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Password="CC78" lockStructure="1"/>
  <bookViews>
    <workbookView activeTab="0"/>
  </bookViews>
  <sheets>
    <sheet name="Dashboard" sheetId="1" r:id="rId1"/>
    <sheet name="Monitoramento" sheetId="2" r:id="rId2"/>
    <sheet name="Consol Mensal" sheetId="3" r:id="rId3"/>
    <sheet name="calculos" sheetId="4" state="hidden" r:id="rId4"/>
    <sheet name="BD" sheetId="5" r:id="rId5"/>
    <sheet name="Config" sheetId="6" r:id="rId6"/>
    <sheet name="calculos_quadro" sheetId="7" state="hidden" r:id="rId7"/>
  </sheets>
  <definedNames>
    <definedName name="_xlnm.Print_Area" localSheetId="0">'Dashboard'!$A$1:$Z$65</definedName>
    <definedName name="_xlnm.Print_Area" localSheetId="1">'Monitoramento'!$A$1:$AK$573</definedName>
    <definedName name="_xlnm.Print_Area" localSheetId="2">'Consol Mensal'!$A$1:$AA$77</definedName>
    <definedName name="_xlnm.Print_Area" localSheetId="5">'Config'!$A$1:$V$98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dd/mm/yyyy"/>
    <numFmt numFmtId="165" formatCode="dd/mm"/>
    <numFmt numFmtId="166" formatCode="#,##0;;"/>
    <numFmt numFmtId="167" formatCode="0.0%"/>
    <numFmt numFmtId="168" formatCode="#,##0.0"/>
    <numFmt numFmtId="169" formatCode="&quot;▲ &quot;0%&quot; vs período ant.&quot;;&quot;▼ &quot;0%&quot; vs período ant.&quot;;&quot;= período ant.&quot;"/>
    <numFmt numFmtId="170" formatCode="#,##0&quot; p.p&quot;"/>
    <numFmt numFmtId="171" formatCode="0.0%;&quot;excede &quot;0.0%"/>
    <numFmt numFmtId="172" formatCode="#,##0.0&quot; h&quot;"/>
    <numFmt numFmtId="173" formatCode="[$-416]d;@"/>
    <numFmt numFmtId="174" formatCode="[&gt;=1000]#,##0;#,##0.0"/>
    <numFmt numFmtId="175" formatCode="&quot;▲ &quot;0%;&quot;▼ &quot;0%;&quot;= 0%&quot;"/>
  </numFmts>
  <fonts count="41">
    <font>
      <sz val="10"/>
      <color rgb="FF000000"/>
      <name val="Calibri"/>
      <family val="2"/>
    </font>
    <font>
      <b/>
      <sz val="9"/>
      <color rgb="FF1B1B1F"/>
      <name val="Calibri"/>
      <family val="2"/>
    </font>
    <font>
      <b/>
      <sz val="9"/>
      <color rgb="FFFFFFFF"/>
      <name val="Calibri"/>
      <family val="2"/>
    </font>
    <font>
      <b/>
      <sz val="10"/>
      <color rgb="FFC00000"/>
      <name val="Calibri"/>
      <family val="2"/>
    </font>
    <font>
      <sz val="9"/>
      <color rgb="FF404040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10"/>
      <color rgb="FF0000FF"/>
      <name val="Calibri"/>
      <family val="2"/>
    </font>
    <font>
      <i/>
      <sz val="8"/>
      <color rgb="FF7F7F7F"/>
      <name val="Calibri"/>
      <family val="2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4"/>
      <color rgb="FFFFFFFF"/>
      <name val="Calibri"/>
      <family val="2"/>
    </font>
    <font>
      <b/>
      <sz val="9"/>
      <color rgb="FF262626"/>
      <name val="Calibri"/>
      <family val="2"/>
    </font>
    <font>
      <sz val="9"/>
      <color rgb="FF262626"/>
      <name val="Calibri"/>
      <family val="2"/>
    </font>
    <font>
      <b/>
      <sz val="9"/>
      <color rgb="FFC00000"/>
      <name val="Calibri"/>
      <family val="2"/>
    </font>
    <font>
      <sz val="9"/>
      <color rgb="FF0000FF"/>
      <name val="Calibri"/>
      <family val="2"/>
    </font>
    <font>
      <sz val="8"/>
      <color rgb="FF9A9A9A"/>
      <name val="Calibri"/>
      <family val="2"/>
    </font>
    <font>
      <b/>
      <sz val="11"/>
      <color rgb="FFFFFFFF"/>
      <name val="Calibri"/>
      <family val="2"/>
    </font>
    <font>
      <b/>
      <sz val="9"/>
      <color rgb="FF404040"/>
      <name val="Calibri"/>
      <family val="2"/>
    </font>
    <font>
      <b/>
      <sz val="10"/>
      <color rgb="FF0000FF"/>
      <name val="Calibri"/>
      <family val="2"/>
    </font>
    <font>
      <b/>
      <sz val="8"/>
      <color rgb="FF1B1B1F"/>
      <name val="Calibri"/>
      <family val="2"/>
    </font>
    <font>
      <b/>
      <sz val="16"/>
      <color rgb="FFFFFFFF"/>
      <name val="Calibri"/>
      <family val="2"/>
    </font>
    <font>
      <b/>
      <sz val="12"/>
      <color rgb="FF1B1B1F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595959"/>
      <name val="Calibri"/>
      <family val="2"/>
    </font>
    <font>
      <sz val="9"/>
      <color rgb="FF7F7F7F"/>
      <name val="Calibri"/>
      <family val="2"/>
    </font>
    <font>
      <b/>
      <sz val="11"/>
      <color rgb="FF1B1B1F"/>
      <name val="Calibri"/>
      <family val="2"/>
    </font>
    <font>
      <b/>
      <sz val="30"/>
      <color rgb="FF1B1B1F"/>
      <name val="Calibri"/>
      <family val="2"/>
    </font>
    <font>
      <b/>
      <sz val="10"/>
      <color rgb="FF595959"/>
      <name val="Calibri"/>
      <family val="2"/>
    </font>
    <font>
      <sz val="10"/>
      <color rgb="FF6E7078"/>
      <name val="Calibri"/>
      <family val="2"/>
    </font>
    <font>
      <b/>
      <sz val="10"/>
      <color rgb="FF7F7F7F"/>
      <name val="Calibri"/>
      <family val="2"/>
    </font>
    <font>
      <b/>
      <sz val="26"/>
      <color rgb="FF1B1B1F"/>
      <name val="Calibri"/>
      <family val="2"/>
    </font>
    <font>
      <b/>
      <sz val="9"/>
      <color rgb="FF6E7078"/>
      <name val="Calibri"/>
      <family val="2"/>
    </font>
    <font>
      <i/>
      <sz val="8"/>
      <color rgb="FF9A9A9A"/>
      <name val="Calibri"/>
      <family val="2"/>
    </font>
    <font>
      <b/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B1B1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2F2F2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BFBFBF"/>
      </bottom>
      <diagonal/>
    </border>
    <border>
      <left style="medium">
        <color rgb="FF000000"/>
      </left>
      <right/>
      <top style="medium">
        <color rgb="FF000000"/>
      </top>
      <bottom style="hair">
        <color rgb="FFBFBFBF"/>
      </bottom>
      <diagonal/>
    </border>
    <border>
      <left/>
      <right/>
      <top style="medium">
        <color rgb="FF000000"/>
      </top>
      <bottom style="hair">
        <color rgb="FFBFBFBF"/>
      </bottom>
      <diagonal/>
    </border>
    <border>
      <left/>
      <right style="medium">
        <color rgb="FF000000"/>
      </right>
      <top style="medium">
        <color rgb="FF000000"/>
      </top>
      <bottom style="hair">
        <color rgb="FFBFBFB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E01E1E"/>
      </left>
      <right/>
      <top style="medium">
        <color rgb="FFE01E1E"/>
      </top>
      <bottom style="medium">
        <color rgb="FFE01E1E"/>
      </bottom>
      <diagonal/>
    </border>
    <border>
      <left/>
      <right/>
      <top style="medium">
        <color rgb="FFE01E1E"/>
      </top>
      <bottom style="medium">
        <color rgb="FFE01E1E"/>
      </bottom>
      <diagonal/>
    </border>
    <border>
      <left/>
      <right style="medium">
        <color rgb="FFE01E1E"/>
      </right>
      <top style="medium">
        <color rgb="FFE01E1E"/>
      </top>
      <bottom style="medium">
        <color rgb="FFE01E1E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E01E1E"/>
      </top>
      <bottom/>
      <diagonal/>
    </border>
    <border>
      <left/>
      <right/>
      <top/>
      <bottom style="hair">
        <color rgb="FFC9CBD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7F7F7F"/>
      </bottom>
      <diagonal/>
    </border>
    <border>
      <left/>
      <right/>
      <top/>
      <bottom style="medium">
        <color rgb="FF595959"/>
      </bottom>
      <diagonal/>
    </border>
    <border>
      <left style="hair">
        <color rgb="FF7F7F7F"/>
      </left>
      <right/>
      <top style="medium">
        <color rgb="FF000000"/>
      </top>
      <bottom/>
      <diagonal/>
    </border>
    <border>
      <left/>
      <right/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medium">
        <color rgb="FF000000"/>
      </right>
      <top style="hair">
        <color rgb="FF7F7F7F"/>
      </top>
      <bottom/>
      <diagonal/>
    </border>
    <border>
      <left/>
      <right/>
      <top style="hair">
        <color rgb="FF7F7F7F"/>
      </top>
      <bottom style="medium">
        <color rgb="FF000000"/>
      </bottom>
      <diagonal/>
    </border>
    <border>
      <left style="hair">
        <color rgb="FF7F7F7F"/>
      </left>
      <right/>
      <top style="hair">
        <color rgb="FF7F7F7F"/>
      </top>
      <bottom style="medium">
        <color rgb="FF000000"/>
      </bottom>
      <diagonal/>
    </border>
    <border>
      <left/>
      <right style="medium">
        <color rgb="FF000000"/>
      </right>
      <top style="hair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8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5" fillId="8" borderId="0" xfId="0" applyNumberFormat="1" applyFont="1" applyFill="1" applyBorder="1" applyAlignment="1">
      <alignment horizontal="center" vertical="center"/>
    </xf>
    <xf numFmtId="3" fontId="5" fillId="8" borderId="0" xfId="0" applyNumberFormat="1" applyFont="1" applyFill="1" applyBorder="1" applyAlignment="1">
      <alignment horizontal="center" vertical="center"/>
    </xf>
    <xf numFmtId="0" fontId="6" fillId="9" borderId="5" xfId="0" applyNumberFormat="1" applyFont="1" applyFill="1" applyBorder="1" applyAlignment="1">
      <alignment horizontal="left" vertical="center" indent="1"/>
    </xf>
    <xf numFmtId="0" fontId="2" fillId="7" borderId="6" xfId="0" applyNumberFormat="1" applyFont="1" applyFill="1" applyBorder="1" applyAlignment="1">
      <alignment horizontal="left" vertical="center" indent="1"/>
    </xf>
    <xf numFmtId="0" fontId="2" fillId="7" borderId="7" xfId="0" applyNumberFormat="1" applyFont="1" applyFill="1" applyBorder="1" applyAlignment="1">
      <alignment horizontal="center" vertical="center" wrapText="1"/>
    </xf>
    <xf numFmtId="0" fontId="2" fillId="7" borderId="8" xfId="0" applyNumberFormat="1" applyFont="1" applyFill="1" applyBorder="1" applyAlignment="1">
      <alignment horizontal="center" vertical="center" wrapText="1"/>
    </xf>
    <xf numFmtId="0" fontId="7" fillId="3" borderId="9" xfId="0" applyNumberFormat="1" applyFont="1" applyFill="1" applyBorder="1" applyAlignment="1">
      <alignment horizontal="left" vertical="center" indent="1"/>
    </xf>
    <xf numFmtId="3" fontId="8" fillId="10" borderId="10" xfId="0" applyNumberFormat="1" applyFont="1" applyFill="1" applyBorder="1" applyAlignment="1">
      <alignment horizontal="center" vertical="center"/>
    </xf>
    <xf numFmtId="3" fontId="8" fillId="10" borderId="11" xfId="0" applyNumberFormat="1" applyFont="1" applyFill="1" applyBorder="1" applyAlignment="1">
      <alignment horizontal="center" vertical="center"/>
    </xf>
    <xf numFmtId="0" fontId="7" fillId="4" borderId="9" xfId="0" applyNumberFormat="1" applyFont="1" applyFill="1" applyBorder="1" applyAlignment="1">
      <alignment horizontal="left" vertical="center" indent="1"/>
    </xf>
    <xf numFmtId="0" fontId="7" fillId="5" borderId="9" xfId="0" applyNumberFormat="1" applyFont="1" applyFill="1" applyBorder="1" applyAlignment="1">
      <alignment horizontal="left" vertical="center" indent="1"/>
    </xf>
    <xf numFmtId="9" fontId="8" fillId="10" borderId="10" xfId="0" applyNumberFormat="1" applyFont="1" applyFill="1" applyBorder="1" applyAlignment="1">
      <alignment horizontal="center" vertical="center"/>
    </xf>
    <xf numFmtId="9" fontId="8" fillId="10" borderId="11" xfId="0" applyNumberFormat="1" applyFont="1" applyFill="1" applyBorder="1" applyAlignment="1">
      <alignment horizontal="center" vertical="center"/>
    </xf>
    <xf numFmtId="0" fontId="7" fillId="6" borderId="9" xfId="0" applyNumberFormat="1" applyFont="1" applyFill="1" applyBorder="1" applyAlignment="1">
      <alignment horizontal="left" vertical="center" indent="1"/>
    </xf>
    <xf numFmtId="0" fontId="7" fillId="6" borderId="6" xfId="0" applyNumberFormat="1" applyFont="1" applyFill="1" applyBorder="1" applyAlignment="1">
      <alignment horizontal="left" vertical="center" indent="1"/>
    </xf>
    <xf numFmtId="3" fontId="8" fillId="10" borderId="7" xfId="0" applyNumberFormat="1" applyFont="1" applyFill="1" applyBorder="1" applyAlignment="1">
      <alignment horizontal="center" vertical="center"/>
    </xf>
    <xf numFmtId="3" fontId="8" fillId="10" borderId="8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horizontal="left" vertical="center"/>
    </xf>
    <xf numFmtId="3" fontId="12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left" vertical="center"/>
    </xf>
    <xf numFmtId="164" fontId="1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1" fontId="11" fillId="0" borderId="0" xfId="0" applyNumberFormat="1" applyFont="1" applyFill="1" applyBorder="1" applyAlignment="1">
      <alignment horizontal="left" vertical="center"/>
    </xf>
    <xf numFmtId="0" fontId="13" fillId="7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/>
    </xf>
    <xf numFmtId="3" fontId="15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4" fontId="12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7" fontId="12" fillId="0" borderId="0" xfId="0" applyNumberFormat="1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7" fillId="8" borderId="12" xfId="0" applyNumberFormat="1" applyFont="1" applyFill="1" applyBorder="1" applyAlignment="1">
      <alignment horizontal="left" vertical="center"/>
    </xf>
    <xf numFmtId="0" fontId="7" fillId="8" borderId="0" xfId="0" applyNumberFormat="1" applyFont="1" applyFill="1" applyBorder="1" applyAlignment="1">
      <alignment horizontal="left" vertical="center"/>
    </xf>
    <xf numFmtId="3" fontId="7" fillId="8" borderId="12" xfId="0" applyNumberFormat="1" applyFont="1" applyFill="1" applyBorder="1" applyAlignment="1">
      <alignment horizontal="center" vertical="center"/>
    </xf>
    <xf numFmtId="168" fontId="12" fillId="8" borderId="0" xfId="0" applyNumberFormat="1" applyFont="1" applyFill="1" applyBorder="1" applyAlignment="1">
      <alignment horizontal="center" vertical="center"/>
    </xf>
    <xf numFmtId="3" fontId="12" fillId="8" borderId="0" xfId="0" applyNumberFormat="1" applyFont="1" applyFill="1" applyBorder="1" applyAlignment="1">
      <alignment horizontal="center" vertical="center"/>
    </xf>
    <xf numFmtId="167" fontId="12" fillId="8" borderId="0" xfId="0" applyNumberFormat="1" applyFont="1" applyFill="1" applyBorder="1" applyAlignment="1">
      <alignment horizontal="center" vertical="center"/>
    </xf>
    <xf numFmtId="9" fontId="12" fillId="8" borderId="0" xfId="0" applyNumberFormat="1" applyFont="1" applyFill="1" applyBorder="1" applyAlignment="1">
      <alignment horizontal="center" vertical="center"/>
    </xf>
    <xf numFmtId="0" fontId="12" fillId="8" borderId="0" xfId="0" applyNumberFormat="1" applyFont="1" applyFill="1" applyBorder="1" applyAlignment="1">
      <alignment horizontal="center" vertical="center"/>
    </xf>
    <xf numFmtId="168" fontId="7" fillId="8" borderId="12" xfId="0" applyNumberFormat="1" applyFont="1" applyFill="1" applyBorder="1" applyAlignment="1">
      <alignment horizontal="center" vertical="center"/>
    </xf>
    <xf numFmtId="167" fontId="7" fillId="8" borderId="12" xfId="0" applyNumberFormat="1" applyFont="1" applyFill="1" applyBorder="1" applyAlignment="1">
      <alignment horizontal="center" vertical="center"/>
    </xf>
    <xf numFmtId="168" fontId="12" fillId="0" borderId="0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168" fontId="7" fillId="0" borderId="0" xfId="0" applyNumberFormat="1" applyFont="1" applyFill="1" applyBorder="1" applyAlignment="1">
      <alignment horizontal="center" vertical="center"/>
    </xf>
    <xf numFmtId="9" fontId="7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/>
    </xf>
    <xf numFmtId="0" fontId="16" fillId="7" borderId="13" xfId="0" applyNumberFormat="1" applyFont="1" applyFill="1" applyBorder="1" applyAlignment="1">
      <alignment horizontal="left" vertical="center" indent="1"/>
    </xf>
    <xf numFmtId="0" fontId="16" fillId="7" borderId="14" xfId="0" applyNumberFormat="1" applyFont="1" applyFill="1" applyBorder="1" applyAlignment="1">
      <alignment horizontal="left" vertical="center" indent="1"/>
    </xf>
    <xf numFmtId="0" fontId="16" fillId="7" borderId="15" xfId="0" applyNumberFormat="1" applyFont="1" applyFill="1" applyBorder="1" applyAlignment="1">
      <alignment horizontal="left" vertical="center" indent="1"/>
    </xf>
    <xf numFmtId="0" fontId="17" fillId="10" borderId="0" xfId="0" applyNumberFormat="1" applyFont="1" applyFill="1" applyBorder="1" applyAlignment="1">
      <alignment horizontal="left" vertical="center" wrapText="1" indent="1"/>
    </xf>
    <xf numFmtId="0" fontId="18" fillId="11" borderId="0" xfId="0" applyNumberFormat="1" applyFont="1" applyFill="1" applyBorder="1" applyAlignment="1">
      <alignment horizontal="left" vertical="center" wrapText="1" indent="1"/>
    </xf>
    <xf numFmtId="0" fontId="19" fillId="0" borderId="0" xfId="0" applyNumberFormat="1" applyFont="1" applyFill="1" applyBorder="1" applyAlignment="1">
      <alignment horizontal="left" vertical="center"/>
    </xf>
    <xf numFmtId="0" fontId="2" fillId="12" borderId="0" xfId="0" applyNumberFormat="1" applyFont="1" applyFill="1" applyBorder="1" applyAlignment="1">
      <alignment horizontal="center" vertical="center" wrapText="1"/>
    </xf>
    <xf numFmtId="0" fontId="20" fillId="10" borderId="16" xfId="0" applyNumberFormat="1" applyFont="1" applyFill="1" applyBorder="1" applyAlignment="1">
      <alignment horizontal="left" vertical="center"/>
    </xf>
    <xf numFmtId="0" fontId="20" fillId="10" borderId="16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2" fillId="9" borderId="0" xfId="0" applyNumberFormat="1" applyFont="1" applyFill="1" applyBorder="1" applyAlignment="1">
      <alignment horizontal="left" vertical="center" indent="1"/>
    </xf>
    <xf numFmtId="0" fontId="23" fillId="8" borderId="16" xfId="0" applyNumberFormat="1" applyFont="1" applyFill="1" applyBorder="1" applyAlignment="1">
      <alignment horizontal="center" vertical="center"/>
    </xf>
    <xf numFmtId="0" fontId="23" fillId="8" borderId="16" xfId="0" applyNumberFormat="1" applyFont="1" applyFill="1" applyBorder="1" applyAlignment="1">
      <alignment horizontal="left" vertical="center"/>
    </xf>
    <xf numFmtId="0" fontId="24" fillId="10" borderId="16" xfId="0" applyNumberFormat="1" applyFont="1" applyFill="1" applyBorder="1" applyAlignment="1">
      <alignment horizontal="left" vertical="center"/>
    </xf>
    <xf numFmtId="3" fontId="20" fillId="10" borderId="16" xfId="0" applyNumberFormat="1" applyFont="1" applyFill="1" applyBorder="1" applyAlignment="1">
      <alignment horizontal="right" vertical="center"/>
    </xf>
    <xf numFmtId="0" fontId="25" fillId="3" borderId="0" xfId="0" applyNumberFormat="1" applyFont="1" applyFill="1" applyBorder="1" applyAlignment="1">
      <alignment horizontal="center" vertical="center" wrapText="1"/>
    </xf>
    <xf numFmtId="0" fontId="25" fillId="4" borderId="0" xfId="0" applyNumberFormat="1" applyFont="1" applyFill="1" applyBorder="1" applyAlignment="1">
      <alignment horizontal="center" vertical="center" wrapText="1"/>
    </xf>
    <xf numFmtId="0" fontId="25" fillId="5" borderId="0" xfId="0" applyNumberFormat="1" applyFont="1" applyFill="1" applyBorder="1" applyAlignment="1">
      <alignment horizontal="center" vertical="center" wrapText="1"/>
    </xf>
    <xf numFmtId="0" fontId="25" fillId="6" borderId="0" xfId="0" applyNumberFormat="1" applyFont="1" applyFill="1" applyBorder="1" applyAlignment="1">
      <alignment horizontal="center" vertical="center" wrapText="1"/>
    </xf>
    <xf numFmtId="0" fontId="2" fillId="7" borderId="13" xfId="0" applyNumberFormat="1" applyFont="1" applyFill="1" applyBorder="1" applyAlignment="1">
      <alignment horizontal="center" vertical="center" wrapText="1"/>
    </xf>
    <xf numFmtId="0" fontId="2" fillId="7" borderId="14" xfId="0" applyNumberFormat="1" applyFont="1" applyFill="1" applyBorder="1" applyAlignment="1">
      <alignment horizontal="center" vertical="center" wrapText="1"/>
    </xf>
    <xf numFmtId="0" fontId="2" fillId="7" borderId="15" xfId="0" applyNumberFormat="1" applyFont="1" applyFill="1" applyBorder="1" applyAlignment="1">
      <alignment horizontal="center" vertical="center" wrapText="1"/>
    </xf>
    <xf numFmtId="0" fontId="23" fillId="8" borderId="17" xfId="0" applyNumberFormat="1" applyFont="1" applyFill="1" applyBorder="1" applyAlignment="1">
      <alignment horizontal="left" vertical="center"/>
    </xf>
    <xf numFmtId="0" fontId="23" fillId="8" borderId="18" xfId="0" applyNumberFormat="1" applyFont="1" applyFill="1" applyBorder="1" applyAlignment="1">
      <alignment horizontal="left" vertical="center"/>
    </xf>
    <xf numFmtId="0" fontId="23" fillId="8" borderId="19" xfId="0" applyNumberFormat="1" applyFont="1" applyFill="1" applyBorder="1" applyAlignment="1">
      <alignment horizontal="left" vertical="center"/>
    </xf>
    <xf numFmtId="0" fontId="20" fillId="10" borderId="17" xfId="0" applyNumberFormat="1" applyFont="1" applyFill="1" applyBorder="1" applyAlignment="1">
      <alignment horizontal="left" vertical="center"/>
    </xf>
    <xf numFmtId="0" fontId="20" fillId="10" borderId="18" xfId="0" applyNumberFormat="1" applyFont="1" applyFill="1" applyBorder="1" applyAlignment="1">
      <alignment horizontal="left" vertical="center"/>
    </xf>
    <xf numFmtId="0" fontId="20" fillId="10" borderId="19" xfId="0" applyNumberFormat="1" applyFont="1" applyFill="1" applyBorder="1" applyAlignment="1">
      <alignment horizontal="left" vertical="center"/>
    </xf>
    <xf numFmtId="9" fontId="20" fillId="10" borderId="16" xfId="0" applyNumberFormat="1" applyFont="1" applyFill="1" applyBorder="1" applyAlignment="1">
      <alignment horizontal="right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10" borderId="0" xfId="0" applyNumberFormat="1" applyFont="1" applyFill="1" applyBorder="1" applyAlignment="1">
      <alignment horizontal="left" vertical="center"/>
    </xf>
    <xf numFmtId="0" fontId="0" fillId="13" borderId="20" xfId="0" applyNumberFormat="1" applyFont="1" applyFill="1" applyBorder="1" applyAlignment="1">
      <alignment horizontal="center" vertical="center"/>
    </xf>
    <xf numFmtId="0" fontId="0" fillId="9" borderId="20" xfId="0" applyNumberFormat="1" applyFont="1" applyFill="1" applyBorder="1" applyAlignment="1">
      <alignment horizontal="center" vertical="center"/>
    </xf>
    <xf numFmtId="0" fontId="26" fillId="9" borderId="20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right" vertical="center" indent="1"/>
    </xf>
    <xf numFmtId="0" fontId="28" fillId="10" borderId="21" xfId="0" applyNumberFormat="1" applyFont="1" applyFill="1" applyBorder="1" applyAlignment="1" applyProtection="1">
      <alignment horizontal="center" vertical="center"/>
      <protection locked="0"/>
    </xf>
    <xf numFmtId="0" fontId="28" fillId="10" borderId="22" xfId="0" applyNumberFormat="1" applyFont="1" applyFill="1" applyBorder="1" applyAlignment="1" applyProtection="1">
      <alignment horizontal="center" vertical="center"/>
      <protection locked="0"/>
    </xf>
    <xf numFmtId="0" fontId="28" fillId="10" borderId="23" xfId="0" applyNumberFormat="1" applyFont="1" applyFill="1" applyBorder="1" applyAlignment="1" applyProtection="1">
      <alignment horizontal="center" vertical="center"/>
      <protection locked="0"/>
    </xf>
    <xf numFmtId="164" fontId="29" fillId="10" borderId="21" xfId="0" applyNumberFormat="1" applyFont="1" applyFill="1" applyBorder="1" applyAlignment="1" applyProtection="1">
      <alignment horizontal="center" vertical="center"/>
      <protection locked="0"/>
    </xf>
    <xf numFmtId="164" fontId="29" fillId="10" borderId="22" xfId="0" applyNumberFormat="1" applyFont="1" applyFill="1" applyBorder="1" applyAlignment="1" applyProtection="1">
      <alignment horizontal="center" vertical="center"/>
      <protection locked="0"/>
    </xf>
    <xf numFmtId="164" fontId="29" fillId="10" borderId="23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right" vertical="center"/>
    </xf>
    <xf numFmtId="0" fontId="0" fillId="14" borderId="24" xfId="0" applyNumberFormat="1" applyFont="1" applyFill="1" applyBorder="1" applyAlignment="1">
      <alignment horizontal="center" vertical="center"/>
    </xf>
    <xf numFmtId="0" fontId="0" fillId="14" borderId="0" xfId="0" applyNumberFormat="1" applyFont="1" applyFill="1" applyBorder="1" applyAlignment="1">
      <alignment horizontal="center" vertical="center"/>
    </xf>
    <xf numFmtId="0" fontId="0" fillId="14" borderId="25" xfId="0" applyNumberFormat="1" applyFont="1" applyFill="1" applyBorder="1" applyAlignment="1">
      <alignment horizontal="center" vertical="center"/>
    </xf>
    <xf numFmtId="0" fontId="0" fillId="14" borderId="26" xfId="0" applyNumberFormat="1" applyFont="1" applyFill="1" applyBorder="1" applyAlignment="1">
      <alignment horizontal="center" vertical="center"/>
    </xf>
    <xf numFmtId="0" fontId="0" fillId="14" borderId="27" xfId="0" applyNumberFormat="1" applyFont="1" applyFill="1" applyBorder="1" applyAlignment="1">
      <alignment horizontal="center" vertical="center"/>
    </xf>
    <xf numFmtId="0" fontId="0" fillId="14" borderId="28" xfId="0" applyNumberFormat="1" applyFont="1" applyFill="1" applyBorder="1" applyAlignment="1">
      <alignment horizontal="center" vertical="center"/>
    </xf>
    <xf numFmtId="0" fontId="0" fillId="3" borderId="29" xfId="0" applyNumberFormat="1" applyFont="1" applyFill="1" applyBorder="1" applyAlignment="1">
      <alignment horizontal="center" vertical="center"/>
    </xf>
    <xf numFmtId="0" fontId="32" fillId="3" borderId="29" xfId="0" applyNumberFormat="1" applyFont="1" applyFill="1" applyBorder="1" applyAlignment="1">
      <alignment horizontal="center" vertical="center" wrapText="1"/>
    </xf>
    <xf numFmtId="3" fontId="33" fillId="14" borderId="0" xfId="0" applyNumberFormat="1" applyFont="1" applyFill="1" applyBorder="1" applyAlignment="1">
      <alignment horizontal="center" vertical="center"/>
    </xf>
    <xf numFmtId="0" fontId="34" fillId="14" borderId="0" xfId="0" applyNumberFormat="1" applyFont="1" applyFill="1" applyBorder="1" applyAlignment="1">
      <alignment horizontal="center" vertical="center"/>
    </xf>
    <xf numFmtId="0" fontId="35" fillId="14" borderId="0" xfId="0" applyNumberFormat="1" applyFont="1" applyFill="1" applyBorder="1" applyAlignment="1">
      <alignment horizontal="center" vertical="center" wrapText="1"/>
    </xf>
    <xf numFmtId="169" fontId="36" fillId="14" borderId="27" xfId="0" applyNumberFormat="1" applyFont="1" applyFill="1" applyBorder="1" applyAlignment="1">
      <alignment horizontal="center" vertical="center"/>
    </xf>
    <xf numFmtId="0" fontId="0" fillId="4" borderId="29" xfId="0" applyNumberFormat="1" applyFont="1" applyFill="1" applyBorder="1" applyAlignment="1">
      <alignment horizontal="center" vertical="center"/>
    </xf>
    <xf numFmtId="0" fontId="32" fillId="4" borderId="29" xfId="0" applyNumberFormat="1" applyFont="1" applyFill="1" applyBorder="1" applyAlignment="1">
      <alignment horizontal="center" vertical="center" wrapText="1"/>
    </xf>
    <xf numFmtId="0" fontId="0" fillId="5" borderId="29" xfId="0" applyNumberFormat="1" applyFont="1" applyFill="1" applyBorder="1" applyAlignment="1">
      <alignment horizontal="center" vertical="center"/>
    </xf>
    <xf numFmtId="0" fontId="32" fillId="5" borderId="29" xfId="0" applyNumberFormat="1" applyFont="1" applyFill="1" applyBorder="1" applyAlignment="1">
      <alignment horizontal="center" vertical="center" wrapText="1"/>
    </xf>
    <xf numFmtId="3" fontId="37" fillId="14" borderId="0" xfId="0" applyNumberFormat="1" applyFont="1" applyFill="1" applyBorder="1" applyAlignment="1">
      <alignment horizontal="center" vertical="center"/>
    </xf>
    <xf numFmtId="0" fontId="38" fillId="14" borderId="30" xfId="0" applyNumberFormat="1" applyFont="1" applyFill="1" applyBorder="1" applyAlignment="1">
      <alignment horizontal="left" vertical="center" indent="1"/>
    </xf>
    <xf numFmtId="3" fontId="32" fillId="14" borderId="30" xfId="0" applyNumberFormat="1" applyFont="1" applyFill="1" applyBorder="1" applyAlignment="1">
      <alignment horizontal="right" vertical="center" indent="1"/>
    </xf>
    <xf numFmtId="0" fontId="38" fillId="14" borderId="0" xfId="0" applyNumberFormat="1" applyFont="1" applyFill="1" applyBorder="1" applyAlignment="1">
      <alignment horizontal="left" vertical="center" indent="1"/>
    </xf>
    <xf numFmtId="3" fontId="32" fillId="14" borderId="0" xfId="0" applyNumberFormat="1" applyFont="1" applyFill="1" applyBorder="1" applyAlignment="1">
      <alignment horizontal="right" vertical="center" indent="1"/>
    </xf>
    <xf numFmtId="170" fontId="32" fillId="14" borderId="30" xfId="0" applyNumberFormat="1" applyFont="1" applyFill="1" applyBorder="1" applyAlignment="1">
      <alignment horizontal="right" vertical="center" indent="1"/>
    </xf>
    <xf numFmtId="167" fontId="32" fillId="14" borderId="30" xfId="0" applyNumberFormat="1" applyFont="1" applyFill="1" applyBorder="1" applyAlignment="1">
      <alignment horizontal="right" vertical="center" indent="1"/>
    </xf>
    <xf numFmtId="171" fontId="32" fillId="14" borderId="30" xfId="0" applyNumberFormat="1" applyFont="1" applyFill="1" applyBorder="1" applyAlignment="1">
      <alignment horizontal="right" vertical="center" indent="1"/>
    </xf>
    <xf numFmtId="0" fontId="34" fillId="14" borderId="0" xfId="0" applyNumberFormat="1" applyFont="1" applyFill="1" applyBorder="1" applyAlignment="1">
      <alignment horizontal="center" vertical="center" wrapText="1"/>
    </xf>
    <xf numFmtId="0" fontId="0" fillId="6" borderId="29" xfId="0" applyNumberFormat="1" applyFont="1" applyFill="1" applyBorder="1" applyAlignment="1">
      <alignment horizontal="center" vertical="center"/>
    </xf>
    <xf numFmtId="0" fontId="32" fillId="6" borderId="29" xfId="0" applyNumberFormat="1" applyFont="1" applyFill="1" applyBorder="1" applyAlignment="1">
      <alignment horizontal="center" vertical="center" wrapText="1"/>
    </xf>
    <xf numFmtId="172" fontId="32" fillId="14" borderId="30" xfId="0" applyNumberFormat="1" applyFont="1" applyFill="1" applyBorder="1" applyAlignment="1">
      <alignment horizontal="right" vertical="center" indent="1"/>
    </xf>
    <xf numFmtId="0" fontId="32" fillId="14" borderId="0" xfId="0" applyNumberFormat="1" applyFont="1" applyFill="1" applyBorder="1" applyAlignment="1">
      <alignment horizontal="right" vertical="center" indent="1"/>
    </xf>
    <xf numFmtId="0" fontId="39" fillId="0" borderId="0" xfId="0" applyNumberFormat="1" applyFont="1" applyFill="1" applyBorder="1" applyAlignment="1">
      <alignment horizontal="left" vertical="center"/>
    </xf>
    <xf numFmtId="0" fontId="16" fillId="9" borderId="20" xfId="0" applyNumberFormat="1" applyFont="1" applyFill="1" applyBorder="1" applyAlignment="1">
      <alignment horizontal="center" vertical="center"/>
    </xf>
    <xf numFmtId="0" fontId="16" fillId="9" borderId="20" xfId="0" applyNumberFormat="1" applyFont="1" applyFill="1" applyBorder="1" applyAlignment="1" applyProtection="1">
      <alignment horizontal="right" vertical="center" indent="1"/>
      <protection locked="0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31" xfId="0" applyNumberFormat="1" applyFont="1" applyFill="1" applyBorder="1" applyAlignment="1">
      <alignment horizontal="center" vertical="center"/>
    </xf>
    <xf numFmtId="0" fontId="11" fillId="2" borderId="32" xfId="0" applyNumberFormat="1" applyFont="1" applyFill="1" applyBorder="1" applyAlignment="1">
      <alignment horizontal="center" vertical="center"/>
    </xf>
    <xf numFmtId="0" fontId="11" fillId="2" borderId="33" xfId="0" applyNumberFormat="1" applyFont="1" applyFill="1" applyBorder="1" applyAlignment="1">
      <alignment horizontal="center" vertical="center"/>
    </xf>
    <xf numFmtId="0" fontId="11" fillId="2" borderId="34" xfId="0" applyNumberFormat="1" applyFont="1" applyFill="1" applyBorder="1" applyAlignment="1">
      <alignment horizontal="center" vertical="center"/>
    </xf>
    <xf numFmtId="0" fontId="11" fillId="2" borderId="35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11" fillId="2" borderId="31" xfId="0" applyNumberFormat="1" applyFont="1" applyFill="1" applyBorder="1" applyAlignment="1">
      <alignment horizontal="center" vertical="center"/>
    </xf>
    <xf numFmtId="0" fontId="40" fillId="15" borderId="13" xfId="0" applyNumberFormat="1" applyFont="1" applyFill="1" applyBorder="1" applyAlignment="1">
      <alignment horizontal="center" vertical="center"/>
    </xf>
    <xf numFmtId="0" fontId="40" fillId="15" borderId="14" xfId="0" applyNumberFormat="1" applyFont="1" applyFill="1" applyBorder="1" applyAlignment="1">
      <alignment horizontal="center" vertical="center"/>
    </xf>
    <xf numFmtId="0" fontId="40" fillId="15" borderId="15" xfId="0" applyNumberFormat="1" applyFont="1" applyFill="1" applyBorder="1" applyAlignment="1">
      <alignment horizontal="center" vertical="center"/>
    </xf>
    <xf numFmtId="0" fontId="11" fillId="15" borderId="5" xfId="0" applyNumberFormat="1" applyFont="1" applyFill="1" applyBorder="1" applyAlignment="1">
      <alignment horizontal="center" vertical="center"/>
    </xf>
    <xf numFmtId="0" fontId="11" fillId="15" borderId="31" xfId="0" applyNumberFormat="1" applyFont="1" applyFill="1" applyBorder="1" applyAlignment="1">
      <alignment horizontal="center" vertical="center"/>
    </xf>
    <xf numFmtId="173" fontId="0" fillId="16" borderId="36" xfId="0" applyNumberFormat="1" applyFont="1" applyFill="1" applyBorder="1" applyAlignment="1">
      <alignment horizontal="center" vertical="center"/>
    </xf>
    <xf numFmtId="173" fontId="0" fillId="16" borderId="37" xfId="0" applyNumberFormat="1" applyFont="1" applyFill="1" applyBorder="1" applyAlignment="1">
      <alignment horizontal="center" vertical="center"/>
    </xf>
    <xf numFmtId="173" fontId="0" fillId="16" borderId="38" xfId="0" applyNumberFormat="1" applyFont="1" applyFill="1" applyBorder="1" applyAlignment="1">
      <alignment horizontal="center" vertical="center"/>
    </xf>
    <xf numFmtId="0" fontId="11" fillId="3" borderId="33" xfId="0" applyNumberFormat="1" applyFont="1" applyFill="1" applyBorder="1" applyAlignment="1">
      <alignment horizontal="center" vertical="center"/>
    </xf>
    <xf numFmtId="3" fontId="11" fillId="3" borderId="5" xfId="0" applyNumberFormat="1" applyFont="1" applyFill="1" applyBorder="1" applyAlignment="1">
      <alignment horizontal="center" vertical="center"/>
    </xf>
    <xf numFmtId="0" fontId="0" fillId="3" borderId="39" xfId="0" applyNumberFormat="1" applyFont="1" applyFill="1" applyBorder="1" applyAlignment="1">
      <alignment horizontal="center" vertical="center"/>
    </xf>
    <xf numFmtId="3" fontId="0" fillId="3" borderId="40" xfId="0" applyNumberFormat="1" applyFont="1" applyFill="1" applyBorder="1" applyAlignment="1">
      <alignment horizontal="center" vertical="center"/>
    </xf>
    <xf numFmtId="3" fontId="0" fillId="3" borderId="41" xfId="0" applyNumberFormat="1" applyFont="1" applyFill="1" applyBorder="1" applyAlignment="1">
      <alignment horizontal="center" vertical="center"/>
    </xf>
    <xf numFmtId="3" fontId="0" fillId="3" borderId="42" xfId="0" applyNumberFormat="1" applyFont="1" applyFill="1" applyBorder="1" applyAlignment="1">
      <alignment horizontal="center" vertical="center"/>
    </xf>
    <xf numFmtId="3" fontId="11" fillId="3" borderId="43" xfId="0" applyNumberFormat="1" applyFont="1" applyFill="1" applyBorder="1" applyAlignment="1">
      <alignment horizontal="center" vertical="center"/>
    </xf>
    <xf numFmtId="0" fontId="11" fillId="3" borderId="35" xfId="0" applyNumberFormat="1" applyFont="1" applyFill="1" applyBorder="1" applyAlignment="1">
      <alignment horizontal="center" vertical="center"/>
    </xf>
    <xf numFmtId="3" fontId="11" fillId="3" borderId="31" xfId="0" applyNumberFormat="1" applyFont="1" applyFill="1" applyBorder="1" applyAlignment="1">
      <alignment horizontal="center" vertical="center"/>
    </xf>
    <xf numFmtId="0" fontId="0" fillId="3" borderId="20" xfId="0" applyNumberFormat="1" applyFont="1" applyFill="1" applyBorder="1" applyAlignment="1">
      <alignment horizontal="center" vertical="center"/>
    </xf>
    <xf numFmtId="3" fontId="0" fillId="3" borderId="44" xfId="0" applyNumberFormat="1" applyFont="1" applyFill="1" applyBorder="1" applyAlignment="1">
      <alignment horizontal="center" vertical="center"/>
    </xf>
    <xf numFmtId="3" fontId="0" fillId="3" borderId="45" xfId="0" applyNumberFormat="1" applyFont="1" applyFill="1" applyBorder="1" applyAlignment="1">
      <alignment horizontal="center" vertical="center"/>
    </xf>
    <xf numFmtId="3" fontId="0" fillId="3" borderId="46" xfId="0" applyNumberFormat="1" applyFont="1" applyFill="1" applyBorder="1" applyAlignment="1">
      <alignment horizontal="center" vertical="center"/>
    </xf>
    <xf numFmtId="0" fontId="11" fillId="4" borderId="33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0" fontId="0" fillId="4" borderId="39" xfId="0" applyNumberFormat="1" applyFont="1" applyFill="1" applyBorder="1" applyAlignment="1">
      <alignment horizontal="center" vertical="center"/>
    </xf>
    <xf numFmtId="3" fontId="0" fillId="4" borderId="40" xfId="0" applyNumberFormat="1" applyFont="1" applyFill="1" applyBorder="1" applyAlignment="1">
      <alignment horizontal="center" vertical="center"/>
    </xf>
    <xf numFmtId="3" fontId="0" fillId="4" borderId="41" xfId="0" applyNumberFormat="1" applyFont="1" applyFill="1" applyBorder="1" applyAlignment="1">
      <alignment horizontal="center" vertical="center"/>
    </xf>
    <xf numFmtId="3" fontId="0" fillId="4" borderId="42" xfId="0" applyNumberFormat="1" applyFont="1" applyFill="1" applyBorder="1" applyAlignment="1">
      <alignment horizontal="center" vertical="center"/>
    </xf>
    <xf numFmtId="3" fontId="11" fillId="4" borderId="43" xfId="0" applyNumberFormat="1" applyFont="1" applyFill="1" applyBorder="1" applyAlignment="1">
      <alignment horizontal="center" vertical="center"/>
    </xf>
    <xf numFmtId="0" fontId="11" fillId="4" borderId="35" xfId="0" applyNumberFormat="1" applyFont="1" applyFill="1" applyBorder="1" applyAlignment="1">
      <alignment horizontal="center" vertical="center"/>
    </xf>
    <xf numFmtId="3" fontId="11" fillId="4" borderId="31" xfId="0" applyNumberFormat="1" applyFont="1" applyFill="1" applyBorder="1" applyAlignment="1">
      <alignment horizontal="center" vertical="center"/>
    </xf>
    <xf numFmtId="0" fontId="0" fillId="4" borderId="20" xfId="0" applyNumberFormat="1" applyFont="1" applyFill="1" applyBorder="1" applyAlignment="1">
      <alignment horizontal="center" vertical="center"/>
    </xf>
    <xf numFmtId="3" fontId="0" fillId="4" borderId="44" xfId="0" applyNumberFormat="1" applyFont="1" applyFill="1" applyBorder="1" applyAlignment="1">
      <alignment horizontal="center" vertical="center"/>
    </xf>
    <xf numFmtId="3" fontId="0" fillId="4" borderId="45" xfId="0" applyNumberFormat="1" applyFont="1" applyFill="1" applyBorder="1" applyAlignment="1">
      <alignment horizontal="center" vertical="center"/>
    </xf>
    <xf numFmtId="3" fontId="0" fillId="4" borderId="46" xfId="0" applyNumberFormat="1" applyFont="1" applyFill="1" applyBorder="1" applyAlignment="1">
      <alignment horizontal="center" vertical="center"/>
    </xf>
    <xf numFmtId="0" fontId="11" fillId="5" borderId="33" xfId="0" applyNumberFormat="1" applyFont="1" applyFill="1" applyBorder="1" applyAlignment="1">
      <alignment horizontal="center" vertical="center"/>
    </xf>
    <xf numFmtId="3" fontId="11" fillId="5" borderId="5" xfId="0" applyNumberFormat="1" applyFont="1" applyFill="1" applyBorder="1" applyAlignment="1">
      <alignment horizontal="center" vertical="center"/>
    </xf>
    <xf numFmtId="0" fontId="0" fillId="5" borderId="39" xfId="0" applyNumberFormat="1" applyFont="1" applyFill="1" applyBorder="1" applyAlignment="1">
      <alignment horizontal="center" vertical="center"/>
    </xf>
    <xf numFmtId="3" fontId="0" fillId="5" borderId="40" xfId="0" applyNumberFormat="1" applyFont="1" applyFill="1" applyBorder="1" applyAlignment="1">
      <alignment horizontal="center" vertical="center"/>
    </xf>
    <xf numFmtId="3" fontId="0" fillId="5" borderId="41" xfId="0" applyNumberFormat="1" applyFont="1" applyFill="1" applyBorder="1" applyAlignment="1">
      <alignment horizontal="center" vertical="center"/>
    </xf>
    <xf numFmtId="3" fontId="0" fillId="5" borderId="42" xfId="0" applyNumberFormat="1" applyFont="1" applyFill="1" applyBorder="1" applyAlignment="1">
      <alignment horizontal="center" vertical="center"/>
    </xf>
    <xf numFmtId="3" fontId="11" fillId="5" borderId="43" xfId="0" applyNumberFormat="1" applyFont="1" applyFill="1" applyBorder="1" applyAlignment="1">
      <alignment horizontal="center" vertical="center"/>
    </xf>
    <xf numFmtId="0" fontId="11" fillId="5" borderId="47" xfId="0" applyNumberFormat="1" applyFont="1" applyFill="1" applyBorder="1" applyAlignment="1">
      <alignment horizontal="center" vertical="center"/>
    </xf>
    <xf numFmtId="3" fontId="11" fillId="5" borderId="48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3" fontId="0" fillId="5" borderId="49" xfId="0" applyNumberFormat="1" applyFont="1" applyFill="1" applyBorder="1" applyAlignment="1">
      <alignment horizontal="center" vertical="center"/>
    </xf>
    <xf numFmtId="3" fontId="0" fillId="5" borderId="50" xfId="0" applyNumberFormat="1" applyFont="1" applyFill="1" applyBorder="1" applyAlignment="1">
      <alignment horizontal="center" vertical="center"/>
    </xf>
    <xf numFmtId="3" fontId="0" fillId="5" borderId="51" xfId="0" applyNumberFormat="1" applyFont="1" applyFill="1" applyBorder="1" applyAlignment="1">
      <alignment horizontal="center" vertical="center"/>
    </xf>
    <xf numFmtId="3" fontId="11" fillId="5" borderId="52" xfId="0" applyNumberFormat="1" applyFont="1" applyFill="1" applyBorder="1" applyAlignment="1">
      <alignment horizontal="center" vertical="center"/>
    </xf>
    <xf numFmtId="0" fontId="11" fillId="5" borderId="35" xfId="0" applyNumberFormat="1" applyFont="1" applyFill="1" applyBorder="1" applyAlignment="1">
      <alignment horizontal="center" vertical="center"/>
    </xf>
    <xf numFmtId="3" fontId="11" fillId="5" borderId="31" xfId="0" applyNumberFormat="1" applyFont="1" applyFill="1" applyBorder="1" applyAlignment="1">
      <alignment horizontal="center" vertical="center"/>
    </xf>
    <xf numFmtId="0" fontId="0" fillId="5" borderId="20" xfId="0" applyNumberFormat="1" applyFont="1" applyFill="1" applyBorder="1" applyAlignment="1">
      <alignment horizontal="center" vertical="center"/>
    </xf>
    <xf numFmtId="3" fontId="0" fillId="5" borderId="44" xfId="0" applyNumberFormat="1" applyFont="1" applyFill="1" applyBorder="1" applyAlignment="1">
      <alignment horizontal="center" vertical="center"/>
    </xf>
    <xf numFmtId="3" fontId="0" fillId="5" borderId="45" xfId="0" applyNumberFormat="1" applyFont="1" applyFill="1" applyBorder="1" applyAlignment="1">
      <alignment horizontal="center" vertical="center"/>
    </xf>
    <xf numFmtId="3" fontId="0" fillId="5" borderId="46" xfId="0" applyNumberFormat="1" applyFont="1" applyFill="1" applyBorder="1" applyAlignment="1">
      <alignment horizontal="center" vertical="center"/>
    </xf>
    <xf numFmtId="0" fontId="11" fillId="3" borderId="47" xfId="0" applyNumberFormat="1" applyFont="1" applyFill="1" applyBorder="1" applyAlignment="1">
      <alignment horizontal="center" vertical="center"/>
    </xf>
    <xf numFmtId="3" fontId="11" fillId="3" borderId="48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3" fontId="0" fillId="3" borderId="49" xfId="0" applyNumberFormat="1" applyFont="1" applyFill="1" applyBorder="1" applyAlignment="1">
      <alignment horizontal="center" vertical="center"/>
    </xf>
    <xf numFmtId="3" fontId="0" fillId="3" borderId="50" xfId="0" applyNumberFormat="1" applyFont="1" applyFill="1" applyBorder="1" applyAlignment="1">
      <alignment horizontal="center" vertical="center"/>
    </xf>
    <xf numFmtId="3" fontId="0" fillId="3" borderId="51" xfId="0" applyNumberFormat="1" applyFont="1" applyFill="1" applyBorder="1" applyAlignment="1">
      <alignment horizontal="center" vertical="center"/>
    </xf>
    <xf numFmtId="3" fontId="11" fillId="3" borderId="52" xfId="0" applyNumberFormat="1" applyFont="1" applyFill="1" applyBorder="1" applyAlignment="1">
      <alignment horizontal="center" vertical="center"/>
    </xf>
    <xf numFmtId="9" fontId="11" fillId="3" borderId="31" xfId="0" applyNumberFormat="1" applyFont="1" applyFill="1" applyBorder="1" applyAlignment="1">
      <alignment horizontal="center" vertical="center"/>
    </xf>
    <xf numFmtId="9" fontId="0" fillId="3" borderId="44" xfId="0" applyNumberFormat="1" applyFont="1" applyFill="1" applyBorder="1" applyAlignment="1">
      <alignment horizontal="center" vertical="center"/>
    </xf>
    <xf numFmtId="9" fontId="0" fillId="3" borderId="45" xfId="0" applyNumberFormat="1" applyFont="1" applyFill="1" applyBorder="1" applyAlignment="1">
      <alignment horizontal="center" vertical="center"/>
    </xf>
    <xf numFmtId="9" fontId="0" fillId="3" borderId="46" xfId="0" applyNumberFormat="1" applyFont="1" applyFill="1" applyBorder="1" applyAlignment="1">
      <alignment horizontal="center" vertical="center"/>
    </xf>
    <xf numFmtId="0" fontId="11" fillId="6" borderId="33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0" fontId="0" fillId="6" borderId="39" xfId="0" applyNumberFormat="1" applyFont="1" applyFill="1" applyBorder="1" applyAlignment="1">
      <alignment horizontal="center" vertical="center"/>
    </xf>
    <xf numFmtId="3" fontId="0" fillId="6" borderId="40" xfId="0" applyNumberFormat="1" applyFont="1" applyFill="1" applyBorder="1" applyAlignment="1">
      <alignment horizontal="center" vertical="center"/>
    </xf>
    <xf numFmtId="3" fontId="0" fillId="6" borderId="41" xfId="0" applyNumberFormat="1" applyFont="1" applyFill="1" applyBorder="1" applyAlignment="1">
      <alignment horizontal="center" vertical="center"/>
    </xf>
    <xf numFmtId="3" fontId="0" fillId="6" borderId="42" xfId="0" applyNumberFormat="1" applyFont="1" applyFill="1" applyBorder="1" applyAlignment="1">
      <alignment horizontal="center" vertical="center"/>
    </xf>
    <xf numFmtId="3" fontId="11" fillId="6" borderId="43" xfId="0" applyNumberFormat="1" applyFont="1" applyFill="1" applyBorder="1" applyAlignment="1">
      <alignment horizontal="center" vertical="center"/>
    </xf>
    <xf numFmtId="0" fontId="11" fillId="6" borderId="47" xfId="0" applyNumberFormat="1" applyFont="1" applyFill="1" applyBorder="1" applyAlignment="1">
      <alignment horizontal="center" vertical="center"/>
    </xf>
    <xf numFmtId="3" fontId="11" fillId="6" borderId="48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 applyAlignment="1">
      <alignment horizontal="center" vertical="center"/>
    </xf>
    <xf numFmtId="3" fontId="0" fillId="6" borderId="49" xfId="0" applyNumberFormat="1" applyFont="1" applyFill="1" applyBorder="1" applyAlignment="1">
      <alignment horizontal="center" vertical="center"/>
    </xf>
    <xf numFmtId="3" fontId="0" fillId="6" borderId="50" xfId="0" applyNumberFormat="1" applyFont="1" applyFill="1" applyBorder="1" applyAlignment="1">
      <alignment horizontal="center" vertical="center"/>
    </xf>
    <xf numFmtId="3" fontId="0" fillId="6" borderId="51" xfId="0" applyNumberFormat="1" applyFont="1" applyFill="1" applyBorder="1" applyAlignment="1">
      <alignment horizontal="center" vertical="center"/>
    </xf>
    <xf numFmtId="3" fontId="11" fillId="6" borderId="52" xfId="0" applyNumberFormat="1" applyFont="1" applyFill="1" applyBorder="1" applyAlignment="1">
      <alignment horizontal="center" vertical="center"/>
    </xf>
    <xf numFmtId="174" fontId="0" fillId="6" borderId="49" xfId="0" applyNumberFormat="1" applyFont="1" applyFill="1" applyBorder="1" applyAlignment="1">
      <alignment horizontal="center" vertical="center"/>
    </xf>
    <xf numFmtId="174" fontId="0" fillId="6" borderId="50" xfId="0" applyNumberFormat="1" applyFont="1" applyFill="1" applyBorder="1" applyAlignment="1">
      <alignment horizontal="center" vertical="center"/>
    </xf>
    <xf numFmtId="174" fontId="0" fillId="6" borderId="51" xfId="0" applyNumberFormat="1" applyFont="1" applyFill="1" applyBorder="1" applyAlignment="1">
      <alignment horizontal="center" vertical="center"/>
    </xf>
    <xf numFmtId="174" fontId="11" fillId="6" borderId="52" xfId="0" applyNumberFormat="1" applyFont="1" applyFill="1" applyBorder="1" applyAlignment="1">
      <alignment horizontal="center" vertical="center"/>
    </xf>
    <xf numFmtId="0" fontId="11" fillId="6" borderId="35" xfId="0" applyNumberFormat="1" applyFont="1" applyFill="1" applyBorder="1" applyAlignment="1">
      <alignment horizontal="center" vertical="center"/>
    </xf>
    <xf numFmtId="3" fontId="11" fillId="6" borderId="31" xfId="0" applyNumberFormat="1" applyFont="1" applyFill="1" applyBorder="1" applyAlignment="1">
      <alignment horizontal="center" vertical="center"/>
    </xf>
    <xf numFmtId="0" fontId="0" fillId="6" borderId="20" xfId="0" applyNumberFormat="1" applyFont="1" applyFill="1" applyBorder="1" applyAlignment="1">
      <alignment horizontal="center" vertical="center"/>
    </xf>
    <xf numFmtId="3" fontId="0" fillId="6" borderId="44" xfId="0" applyNumberFormat="1" applyFont="1" applyFill="1" applyBorder="1" applyAlignment="1">
      <alignment horizontal="center" vertical="center"/>
    </xf>
    <xf numFmtId="3" fontId="0" fillId="6" borderId="45" xfId="0" applyNumberFormat="1" applyFont="1" applyFill="1" applyBorder="1" applyAlignment="1">
      <alignment horizontal="center" vertical="center"/>
    </xf>
    <xf numFmtId="3" fontId="0" fillId="6" borderId="46" xfId="0" applyNumberFormat="1" applyFont="1" applyFill="1" applyBorder="1" applyAlignment="1">
      <alignment horizontal="center" vertical="center"/>
    </xf>
    <xf numFmtId="0" fontId="11" fillId="3" borderId="5" xfId="0" applyNumberFormat="1" applyFont="1" applyFill="1" applyBorder="1" applyAlignment="1">
      <alignment horizontal="center" vertical="center"/>
    </xf>
    <xf numFmtId="0" fontId="11" fillId="3" borderId="31" xfId="0" applyNumberFormat="1" applyFont="1" applyFill="1" applyBorder="1" applyAlignment="1">
      <alignment horizontal="center" vertical="center"/>
    </xf>
    <xf numFmtId="0" fontId="11" fillId="4" borderId="5" xfId="0" applyNumberFormat="1" applyFont="1" applyFill="1" applyBorder="1" applyAlignment="1">
      <alignment horizontal="center" vertical="center"/>
    </xf>
    <xf numFmtId="0" fontId="11" fillId="4" borderId="31" xfId="0" applyNumberFormat="1" applyFont="1" applyFill="1" applyBorder="1" applyAlignment="1">
      <alignment horizontal="center" vertical="center"/>
    </xf>
    <xf numFmtId="0" fontId="11" fillId="5" borderId="5" xfId="0" applyNumberFormat="1" applyFont="1" applyFill="1" applyBorder="1" applyAlignment="1">
      <alignment horizontal="center" vertical="center"/>
    </xf>
    <xf numFmtId="0" fontId="11" fillId="5" borderId="48" xfId="0" applyNumberFormat="1" applyFont="1" applyFill="1" applyBorder="1" applyAlignment="1">
      <alignment horizontal="center" vertical="center"/>
    </xf>
    <xf numFmtId="0" fontId="11" fillId="5" borderId="31" xfId="0" applyNumberFormat="1" applyFont="1" applyFill="1" applyBorder="1" applyAlignment="1">
      <alignment horizontal="center" vertical="center"/>
    </xf>
    <xf numFmtId="0" fontId="11" fillId="3" borderId="48" xfId="0" applyNumberFormat="1" applyFont="1" applyFill="1" applyBorder="1" applyAlignment="1">
      <alignment horizontal="center" vertical="center"/>
    </xf>
    <xf numFmtId="0" fontId="11" fillId="6" borderId="5" xfId="0" applyNumberFormat="1" applyFont="1" applyFill="1" applyBorder="1" applyAlignment="1">
      <alignment horizontal="center" vertical="center"/>
    </xf>
    <xf numFmtId="0" fontId="11" fillId="6" borderId="48" xfId="0" applyNumberFormat="1" applyFont="1" applyFill="1" applyBorder="1" applyAlignment="1">
      <alignment horizontal="center" vertical="center"/>
    </xf>
    <xf numFmtId="0" fontId="11" fillId="6" borderId="31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48" xfId="0" applyNumberFormat="1" applyFont="1" applyFill="1" applyBorder="1" applyAlignment="1">
      <alignment horizontal="center" vertical="center" wrapText="1"/>
    </xf>
    <xf numFmtId="0" fontId="7" fillId="0" borderId="31" xfId="0" applyNumberFormat="1" applyFont="1" applyFill="1" applyBorder="1" applyAlignment="1">
      <alignment horizontal="center" vertical="center" wrapText="1"/>
    </xf>
    <xf numFmtId="174" fontId="0" fillId="3" borderId="44" xfId="0" applyNumberFormat="1" applyFont="1" applyFill="1" applyBorder="1" applyAlignment="1">
      <alignment horizontal="center" vertical="center"/>
    </xf>
    <xf numFmtId="174" fontId="0" fillId="3" borderId="45" xfId="0" applyNumberFormat="1" applyFont="1" applyFill="1" applyBorder="1" applyAlignment="1">
      <alignment horizontal="center" vertical="center"/>
    </xf>
    <xf numFmtId="174" fontId="0" fillId="3" borderId="46" xfId="0" applyNumberFormat="1" applyFont="1" applyFill="1" applyBorder="1" applyAlignment="1">
      <alignment horizontal="center" vertical="center"/>
    </xf>
    <xf numFmtId="174" fontId="11" fillId="3" borderId="31" xfId="0" applyNumberFormat="1" applyFont="1" applyFill="1" applyBorder="1" applyAlignment="1">
      <alignment horizontal="center" vertical="center"/>
    </xf>
    <xf numFmtId="0" fontId="11" fillId="4" borderId="47" xfId="0" applyNumberFormat="1" applyFont="1" applyFill="1" applyBorder="1" applyAlignment="1">
      <alignment horizontal="center" vertical="center"/>
    </xf>
    <xf numFmtId="3" fontId="11" fillId="4" borderId="48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center" vertical="center"/>
    </xf>
    <xf numFmtId="3" fontId="0" fillId="4" borderId="49" xfId="0" applyNumberFormat="1" applyFont="1" applyFill="1" applyBorder="1" applyAlignment="1">
      <alignment horizontal="center" vertical="center"/>
    </xf>
    <xf numFmtId="3" fontId="0" fillId="4" borderId="50" xfId="0" applyNumberFormat="1" applyFont="1" applyFill="1" applyBorder="1" applyAlignment="1">
      <alignment horizontal="center" vertical="center"/>
    </xf>
    <xf numFmtId="3" fontId="0" fillId="4" borderId="51" xfId="0" applyNumberFormat="1" applyFont="1" applyFill="1" applyBorder="1" applyAlignment="1">
      <alignment horizontal="center" vertical="center"/>
    </xf>
    <xf numFmtId="3" fontId="11" fillId="4" borderId="52" xfId="0" applyNumberFormat="1" applyFont="1" applyFill="1" applyBorder="1" applyAlignment="1">
      <alignment horizontal="center" vertical="center"/>
    </xf>
    <xf numFmtId="174" fontId="0" fillId="4" borderId="44" xfId="0" applyNumberFormat="1" applyFont="1" applyFill="1" applyBorder="1" applyAlignment="1">
      <alignment horizontal="center" vertical="center"/>
    </xf>
    <xf numFmtId="174" fontId="0" fillId="4" borderId="45" xfId="0" applyNumberFormat="1" applyFont="1" applyFill="1" applyBorder="1" applyAlignment="1">
      <alignment horizontal="center" vertical="center"/>
    </xf>
    <xf numFmtId="174" fontId="0" fillId="4" borderId="46" xfId="0" applyNumberFormat="1" applyFont="1" applyFill="1" applyBorder="1" applyAlignment="1">
      <alignment horizontal="center" vertical="center"/>
    </xf>
    <xf numFmtId="174" fontId="11" fillId="4" borderId="31" xfId="0" applyNumberFormat="1" applyFont="1" applyFill="1" applyBorder="1" applyAlignment="1">
      <alignment horizontal="center" vertical="center"/>
    </xf>
    <xf numFmtId="0" fontId="11" fillId="4" borderId="48" xfId="0" applyNumberFormat="1" applyFont="1" applyFill="1" applyBorder="1" applyAlignment="1">
      <alignment horizontal="center" vertical="center"/>
    </xf>
    <xf numFmtId="0" fontId="22" fillId="7" borderId="13" xfId="0" applyNumberFormat="1" applyFont="1" applyFill="1" applyBorder="1" applyAlignment="1">
      <alignment horizontal="left" vertical="center" indent="1"/>
    </xf>
    <xf numFmtId="0" fontId="22" fillId="7" borderId="14" xfId="0" applyNumberFormat="1" applyFont="1" applyFill="1" applyBorder="1" applyAlignment="1">
      <alignment horizontal="left" vertical="center" indent="1"/>
    </xf>
    <xf numFmtId="0" fontId="22" fillId="7" borderId="15" xfId="0" applyNumberFormat="1" applyFont="1" applyFill="1" applyBorder="1" applyAlignment="1">
      <alignment horizontal="left" vertical="center" indent="1"/>
    </xf>
    <xf numFmtId="174" fontId="0" fillId="3" borderId="49" xfId="0" applyNumberFormat="1" applyFont="1" applyFill="1" applyBorder="1" applyAlignment="1">
      <alignment horizontal="center" vertical="center"/>
    </xf>
    <xf numFmtId="174" fontId="0" fillId="3" borderId="50" xfId="0" applyNumberFormat="1" applyFont="1" applyFill="1" applyBorder="1" applyAlignment="1">
      <alignment horizontal="center" vertical="center"/>
    </xf>
    <xf numFmtId="174" fontId="0" fillId="3" borderId="51" xfId="0" applyNumberFormat="1" applyFont="1" applyFill="1" applyBorder="1" applyAlignment="1">
      <alignment horizontal="center" vertical="center"/>
    </xf>
    <xf numFmtId="174" fontId="11" fillId="3" borderId="52" xfId="0" applyNumberFormat="1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right" vertical="center"/>
    </xf>
    <xf numFmtId="0" fontId="32" fillId="0" borderId="53" xfId="0" applyNumberFormat="1" applyFont="1" applyFill="1" applyBorder="1" applyAlignment="1">
      <alignment horizontal="left" vertical="center"/>
    </xf>
    <xf numFmtId="0" fontId="11" fillId="2" borderId="13" xfId="0" applyNumberFormat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 wrapText="1"/>
    </xf>
    <xf numFmtId="0" fontId="11" fillId="2" borderId="14" xfId="0" applyNumberFormat="1" applyFont="1" applyFill="1" applyBorder="1" applyAlignment="1">
      <alignment horizontal="center" vertical="center" wrapText="1"/>
    </xf>
    <xf numFmtId="0" fontId="11" fillId="15" borderId="13" xfId="0" applyNumberFormat="1" applyFont="1" applyFill="1" applyBorder="1" applyAlignment="1">
      <alignment horizontal="center" vertical="center" wrapText="1"/>
    </xf>
    <xf numFmtId="0" fontId="11" fillId="15" borderId="15" xfId="0" applyNumberFormat="1" applyFont="1" applyFill="1" applyBorder="1" applyAlignment="1">
      <alignment horizontal="center" vertical="center" wrapText="1"/>
    </xf>
    <xf numFmtId="0" fontId="11" fillId="15" borderId="14" xfId="0" applyNumberFormat="1" applyFont="1" applyFill="1" applyBorder="1" applyAlignment="1">
      <alignment horizontal="center" vertical="center" wrapText="1"/>
    </xf>
    <xf numFmtId="0" fontId="11" fillId="3" borderId="39" xfId="0" applyNumberFormat="1" applyFont="1" applyFill="1" applyBorder="1" applyAlignment="1">
      <alignment horizontal="left" vertical="center" indent="1"/>
    </xf>
    <xf numFmtId="0" fontId="11" fillId="3" borderId="54" xfId="0" applyNumberFormat="1" applyFont="1" applyFill="1" applyBorder="1" applyAlignment="1">
      <alignment horizontal="left" vertical="center" indent="1"/>
    </xf>
    <xf numFmtId="3" fontId="11" fillId="3" borderId="39" xfId="0" applyNumberFormat="1" applyFont="1" applyFill="1" applyBorder="1" applyAlignment="1">
      <alignment horizontal="center" vertical="center"/>
    </xf>
    <xf numFmtId="3" fontId="11" fillId="3" borderId="54" xfId="0" applyNumberFormat="1" applyFont="1" applyFill="1" applyBorder="1" applyAlignment="1">
      <alignment horizontal="center" vertical="center"/>
    </xf>
    <xf numFmtId="3" fontId="40" fillId="3" borderId="39" xfId="0" applyNumberFormat="1" applyFont="1" applyFill="1" applyBorder="1" applyAlignment="1">
      <alignment horizontal="center" vertical="center"/>
    </xf>
    <xf numFmtId="3" fontId="40" fillId="3" borderId="54" xfId="0" applyNumberFormat="1" applyFont="1" applyFill="1" applyBorder="1" applyAlignment="1">
      <alignment horizontal="center" vertical="center"/>
    </xf>
    <xf numFmtId="168" fontId="0" fillId="3" borderId="39" xfId="0" applyNumberFormat="1" applyFont="1" applyFill="1" applyBorder="1" applyAlignment="1">
      <alignment horizontal="center" vertical="center"/>
    </xf>
    <xf numFmtId="168" fontId="0" fillId="3" borderId="54" xfId="0" applyNumberFormat="1" applyFont="1" applyFill="1" applyBorder="1" applyAlignment="1">
      <alignment horizontal="center" vertical="center"/>
    </xf>
    <xf numFmtId="3" fontId="0" fillId="3" borderId="39" xfId="0" applyNumberFormat="1" applyFont="1" applyFill="1" applyBorder="1" applyAlignment="1">
      <alignment horizontal="center" vertical="center"/>
    </xf>
    <xf numFmtId="3" fontId="0" fillId="3" borderId="54" xfId="0" applyNumberFormat="1" applyFont="1" applyFill="1" applyBorder="1" applyAlignment="1">
      <alignment horizontal="center" vertical="center"/>
    </xf>
    <xf numFmtId="175" fontId="11" fillId="3" borderId="39" xfId="0" applyNumberFormat="1" applyFont="1" applyFill="1" applyBorder="1" applyAlignment="1">
      <alignment horizontal="center" vertical="center"/>
    </xf>
    <xf numFmtId="175" fontId="11" fillId="3" borderId="54" xfId="0" applyNumberFormat="1" applyFont="1" applyFill="1" applyBorder="1" applyAlignment="1">
      <alignment horizontal="center" vertical="center"/>
    </xf>
    <xf numFmtId="9" fontId="0" fillId="3" borderId="39" xfId="0" applyNumberFormat="1" applyFont="1" applyFill="1" applyBorder="1" applyAlignment="1">
      <alignment horizontal="center" vertical="center"/>
    </xf>
    <xf numFmtId="9" fontId="0" fillId="3" borderId="54" xfId="0" applyNumberFormat="1" applyFont="1" applyFill="1" applyBorder="1" applyAlignment="1">
      <alignment horizontal="center" vertical="center"/>
    </xf>
    <xf numFmtId="0" fontId="7" fillId="3" borderId="39" xfId="0" applyNumberFormat="1" applyFont="1" applyFill="1" applyBorder="1" applyAlignment="1">
      <alignment horizontal="center" vertical="center"/>
    </xf>
    <xf numFmtId="0" fontId="7" fillId="3" borderId="54" xfId="0" applyNumberFormat="1" applyFont="1" applyFill="1" applyBorder="1" applyAlignment="1">
      <alignment horizontal="center" vertical="center"/>
    </xf>
    <xf numFmtId="0" fontId="7" fillId="3" borderId="33" xfId="0" applyNumberFormat="1" applyFont="1" applyFill="1" applyBorder="1" applyAlignment="1">
      <alignment horizontal="center" vertical="center"/>
    </xf>
    <xf numFmtId="0" fontId="11" fillId="3" borderId="55" xfId="0" applyNumberFormat="1" applyFont="1" applyFill="1" applyBorder="1" applyAlignment="1">
      <alignment horizontal="left" vertical="center" indent="1"/>
    </xf>
    <xf numFmtId="0" fontId="11" fillId="3" borderId="56" xfId="0" applyNumberFormat="1" applyFont="1" applyFill="1" applyBorder="1" applyAlignment="1">
      <alignment horizontal="left" vertical="center" indent="1"/>
    </xf>
    <xf numFmtId="3" fontId="11" fillId="3" borderId="55" xfId="0" applyNumberFormat="1" applyFont="1" applyFill="1" applyBorder="1" applyAlignment="1">
      <alignment horizontal="center" vertical="center"/>
    </xf>
    <xf numFmtId="3" fontId="11" fillId="3" borderId="56" xfId="0" applyNumberFormat="1" applyFont="1" applyFill="1" applyBorder="1" applyAlignment="1">
      <alignment horizontal="center" vertical="center"/>
    </xf>
    <xf numFmtId="3" fontId="40" fillId="3" borderId="55" xfId="0" applyNumberFormat="1" applyFont="1" applyFill="1" applyBorder="1" applyAlignment="1">
      <alignment horizontal="center" vertical="center"/>
    </xf>
    <xf numFmtId="3" fontId="40" fillId="3" borderId="56" xfId="0" applyNumberFormat="1" applyFont="1" applyFill="1" applyBorder="1" applyAlignment="1">
      <alignment horizontal="center" vertical="center"/>
    </xf>
    <xf numFmtId="168" fontId="0" fillId="3" borderId="55" xfId="0" applyNumberFormat="1" applyFont="1" applyFill="1" applyBorder="1" applyAlignment="1">
      <alignment horizontal="center" vertical="center"/>
    </xf>
    <xf numFmtId="168" fontId="0" fillId="3" borderId="56" xfId="0" applyNumberFormat="1" applyFont="1" applyFill="1" applyBorder="1" applyAlignment="1">
      <alignment horizontal="center" vertical="center"/>
    </xf>
    <xf numFmtId="3" fontId="0" fillId="3" borderId="55" xfId="0" applyNumberFormat="1" applyFont="1" applyFill="1" applyBorder="1" applyAlignment="1">
      <alignment horizontal="center" vertical="center"/>
    </xf>
    <xf numFmtId="3" fontId="0" fillId="3" borderId="56" xfId="0" applyNumberFormat="1" applyFont="1" applyFill="1" applyBorder="1" applyAlignment="1">
      <alignment horizontal="center" vertical="center"/>
    </xf>
    <xf numFmtId="175" fontId="11" fillId="3" borderId="55" xfId="0" applyNumberFormat="1" applyFont="1" applyFill="1" applyBorder="1" applyAlignment="1">
      <alignment horizontal="center" vertical="center"/>
    </xf>
    <xf numFmtId="175" fontId="11" fillId="3" borderId="56" xfId="0" applyNumberFormat="1" applyFont="1" applyFill="1" applyBorder="1" applyAlignment="1">
      <alignment horizontal="center" vertical="center"/>
    </xf>
    <xf numFmtId="9" fontId="0" fillId="3" borderId="55" xfId="0" applyNumberFormat="1" applyFont="1" applyFill="1" applyBorder="1" applyAlignment="1">
      <alignment horizontal="center" vertical="center"/>
    </xf>
    <xf numFmtId="9" fontId="0" fillId="3" borderId="56" xfId="0" applyNumberFormat="1" applyFont="1" applyFill="1" applyBorder="1" applyAlignment="1">
      <alignment horizontal="center" vertical="center"/>
    </xf>
    <xf numFmtId="0" fontId="7" fillId="3" borderId="55" xfId="0" applyNumberFormat="1" applyFont="1" applyFill="1" applyBorder="1" applyAlignment="1">
      <alignment horizontal="center" vertical="center"/>
    </xf>
    <xf numFmtId="0" fontId="7" fillId="3" borderId="56" xfId="0" applyNumberFormat="1" applyFont="1" applyFill="1" applyBorder="1" applyAlignment="1">
      <alignment horizontal="center" vertical="center"/>
    </xf>
    <xf numFmtId="0" fontId="7" fillId="3" borderId="57" xfId="0" applyNumberFormat="1" applyFont="1" applyFill="1" applyBorder="1" applyAlignment="1">
      <alignment horizontal="center" vertical="center"/>
    </xf>
    <xf numFmtId="168" fontId="40" fillId="3" borderId="55" xfId="0" applyNumberFormat="1" applyFont="1" applyFill="1" applyBorder="1" applyAlignment="1">
      <alignment horizontal="center" vertical="center"/>
    </xf>
    <xf numFmtId="168" fontId="40" fillId="3" borderId="56" xfId="0" applyNumberFormat="1" applyFont="1" applyFill="1" applyBorder="1" applyAlignment="1">
      <alignment horizontal="center" vertical="center"/>
    </xf>
    <xf numFmtId="0" fontId="11" fillId="3" borderId="58" xfId="0" applyNumberFormat="1" applyFont="1" applyFill="1" applyBorder="1" applyAlignment="1">
      <alignment horizontal="left" vertical="center" indent="1"/>
    </xf>
    <xf numFmtId="0" fontId="11" fillId="3" borderId="59" xfId="0" applyNumberFormat="1" applyFont="1" applyFill="1" applyBorder="1" applyAlignment="1">
      <alignment horizontal="left" vertical="center" indent="1"/>
    </xf>
    <xf numFmtId="3" fontId="11" fillId="3" borderId="58" xfId="0" applyNumberFormat="1" applyFont="1" applyFill="1" applyBorder="1" applyAlignment="1">
      <alignment horizontal="center" vertical="center"/>
    </xf>
    <xf numFmtId="3" fontId="11" fillId="3" borderId="59" xfId="0" applyNumberFormat="1" applyFont="1" applyFill="1" applyBorder="1" applyAlignment="1">
      <alignment horizontal="center" vertical="center"/>
    </xf>
    <xf numFmtId="3" fontId="40" fillId="3" borderId="58" xfId="0" applyNumberFormat="1" applyFont="1" applyFill="1" applyBorder="1" applyAlignment="1">
      <alignment horizontal="center" vertical="center"/>
    </xf>
    <xf numFmtId="3" fontId="40" fillId="3" borderId="59" xfId="0" applyNumberFormat="1" applyFont="1" applyFill="1" applyBorder="1" applyAlignment="1">
      <alignment horizontal="center" vertical="center"/>
    </xf>
    <xf numFmtId="168" fontId="0" fillId="3" borderId="58" xfId="0" applyNumberFormat="1" applyFont="1" applyFill="1" applyBorder="1" applyAlignment="1">
      <alignment horizontal="center" vertical="center"/>
    </xf>
    <xf numFmtId="168" fontId="0" fillId="3" borderId="59" xfId="0" applyNumberFormat="1" applyFont="1" applyFill="1" applyBorder="1" applyAlignment="1">
      <alignment horizontal="center" vertical="center"/>
    </xf>
    <xf numFmtId="3" fontId="0" fillId="3" borderId="58" xfId="0" applyNumberFormat="1" applyFont="1" applyFill="1" applyBorder="1" applyAlignment="1">
      <alignment horizontal="center" vertical="center"/>
    </xf>
    <xf numFmtId="3" fontId="0" fillId="3" borderId="59" xfId="0" applyNumberFormat="1" applyFont="1" applyFill="1" applyBorder="1" applyAlignment="1">
      <alignment horizontal="center" vertical="center"/>
    </xf>
    <xf numFmtId="175" fontId="11" fillId="3" borderId="58" xfId="0" applyNumberFormat="1" applyFont="1" applyFill="1" applyBorder="1" applyAlignment="1">
      <alignment horizontal="center" vertical="center"/>
    </xf>
    <xf numFmtId="175" fontId="11" fillId="3" borderId="59" xfId="0" applyNumberFormat="1" applyFont="1" applyFill="1" applyBorder="1" applyAlignment="1">
      <alignment horizontal="center" vertical="center"/>
    </xf>
    <xf numFmtId="9" fontId="0" fillId="3" borderId="58" xfId="0" applyNumberFormat="1" applyFont="1" applyFill="1" applyBorder="1" applyAlignment="1">
      <alignment horizontal="center" vertical="center"/>
    </xf>
    <xf numFmtId="9" fontId="0" fillId="3" borderId="59" xfId="0" applyNumberFormat="1" applyFont="1" applyFill="1" applyBorder="1" applyAlignment="1">
      <alignment horizontal="center" vertical="center"/>
    </xf>
    <xf numFmtId="0" fontId="7" fillId="3" borderId="58" xfId="0" applyNumberFormat="1" applyFont="1" applyFill="1" applyBorder="1" applyAlignment="1">
      <alignment horizontal="center" vertical="center"/>
    </xf>
    <xf numFmtId="0" fontId="7" fillId="3" borderId="59" xfId="0" applyNumberFormat="1" applyFont="1" applyFill="1" applyBorder="1" applyAlignment="1">
      <alignment horizontal="center" vertical="center"/>
    </xf>
    <xf numFmtId="0" fontId="7" fillId="3" borderId="60" xfId="0" applyNumberFormat="1" applyFont="1" applyFill="1" applyBorder="1" applyAlignment="1">
      <alignment horizontal="center" vertical="center"/>
    </xf>
    <xf numFmtId="0" fontId="11" fillId="4" borderId="39" xfId="0" applyNumberFormat="1" applyFont="1" applyFill="1" applyBorder="1" applyAlignment="1">
      <alignment horizontal="left" vertical="center" indent="1"/>
    </xf>
    <xf numFmtId="0" fontId="11" fillId="4" borderId="54" xfId="0" applyNumberFormat="1" applyFont="1" applyFill="1" applyBorder="1" applyAlignment="1">
      <alignment horizontal="left" vertical="center" indent="1"/>
    </xf>
    <xf numFmtId="3" fontId="11" fillId="4" borderId="39" xfId="0" applyNumberFormat="1" applyFont="1" applyFill="1" applyBorder="1" applyAlignment="1">
      <alignment horizontal="center" vertical="center"/>
    </xf>
    <xf numFmtId="3" fontId="11" fillId="4" borderId="54" xfId="0" applyNumberFormat="1" applyFont="1" applyFill="1" applyBorder="1" applyAlignment="1">
      <alignment horizontal="center" vertical="center"/>
    </xf>
    <xf numFmtId="3" fontId="40" fillId="4" borderId="39" xfId="0" applyNumberFormat="1" applyFont="1" applyFill="1" applyBorder="1" applyAlignment="1">
      <alignment horizontal="center" vertical="center"/>
    </xf>
    <xf numFmtId="3" fontId="40" fillId="4" borderId="54" xfId="0" applyNumberFormat="1" applyFont="1" applyFill="1" applyBorder="1" applyAlignment="1">
      <alignment horizontal="center" vertical="center"/>
    </xf>
    <xf numFmtId="168" fontId="0" fillId="4" borderId="39" xfId="0" applyNumberFormat="1" applyFont="1" applyFill="1" applyBorder="1" applyAlignment="1">
      <alignment horizontal="center" vertical="center"/>
    </xf>
    <xf numFmtId="168" fontId="0" fillId="4" borderId="54" xfId="0" applyNumberFormat="1" applyFont="1" applyFill="1" applyBorder="1" applyAlignment="1">
      <alignment horizontal="center" vertical="center"/>
    </xf>
    <xf numFmtId="3" fontId="0" fillId="4" borderId="39" xfId="0" applyNumberFormat="1" applyFont="1" applyFill="1" applyBorder="1" applyAlignment="1">
      <alignment horizontal="center" vertical="center"/>
    </xf>
    <xf numFmtId="3" fontId="0" fillId="4" borderId="54" xfId="0" applyNumberFormat="1" applyFont="1" applyFill="1" applyBorder="1" applyAlignment="1">
      <alignment horizontal="center" vertical="center"/>
    </xf>
    <xf numFmtId="175" fontId="11" fillId="4" borderId="39" xfId="0" applyNumberFormat="1" applyFont="1" applyFill="1" applyBorder="1" applyAlignment="1">
      <alignment horizontal="center" vertical="center"/>
    </xf>
    <xf numFmtId="175" fontId="11" fillId="4" borderId="54" xfId="0" applyNumberFormat="1" applyFont="1" applyFill="1" applyBorder="1" applyAlignment="1">
      <alignment horizontal="center" vertical="center"/>
    </xf>
    <xf numFmtId="9" fontId="0" fillId="4" borderId="39" xfId="0" applyNumberFormat="1" applyFont="1" applyFill="1" applyBorder="1" applyAlignment="1">
      <alignment horizontal="center" vertical="center"/>
    </xf>
    <xf numFmtId="9" fontId="0" fillId="4" borderId="54" xfId="0" applyNumberFormat="1" applyFont="1" applyFill="1" applyBorder="1" applyAlignment="1">
      <alignment horizontal="center" vertical="center"/>
    </xf>
    <xf numFmtId="0" fontId="7" fillId="4" borderId="39" xfId="0" applyNumberFormat="1" applyFont="1" applyFill="1" applyBorder="1" applyAlignment="1">
      <alignment horizontal="center" vertical="center"/>
    </xf>
    <xf numFmtId="0" fontId="7" fillId="4" borderId="54" xfId="0" applyNumberFormat="1" applyFont="1" applyFill="1" applyBorder="1" applyAlignment="1">
      <alignment horizontal="center" vertical="center"/>
    </xf>
    <xf numFmtId="0" fontId="7" fillId="4" borderId="33" xfId="0" applyNumberFormat="1" applyFont="1" applyFill="1" applyBorder="1" applyAlignment="1">
      <alignment horizontal="center" vertical="center"/>
    </xf>
    <xf numFmtId="0" fontId="11" fillId="4" borderId="55" xfId="0" applyNumberFormat="1" applyFont="1" applyFill="1" applyBorder="1" applyAlignment="1">
      <alignment horizontal="left" vertical="center" indent="1"/>
    </xf>
    <xf numFmtId="0" fontId="11" fillId="4" borderId="56" xfId="0" applyNumberFormat="1" applyFont="1" applyFill="1" applyBorder="1" applyAlignment="1">
      <alignment horizontal="left" vertical="center" indent="1"/>
    </xf>
    <xf numFmtId="3" fontId="11" fillId="4" borderId="55" xfId="0" applyNumberFormat="1" applyFont="1" applyFill="1" applyBorder="1" applyAlignment="1">
      <alignment horizontal="center" vertical="center"/>
    </xf>
    <xf numFmtId="3" fontId="11" fillId="4" borderId="56" xfId="0" applyNumberFormat="1" applyFont="1" applyFill="1" applyBorder="1" applyAlignment="1">
      <alignment horizontal="center" vertical="center"/>
    </xf>
    <xf numFmtId="3" fontId="40" fillId="4" borderId="55" xfId="0" applyNumberFormat="1" applyFont="1" applyFill="1" applyBorder="1" applyAlignment="1">
      <alignment horizontal="center" vertical="center"/>
    </xf>
    <xf numFmtId="3" fontId="40" fillId="4" borderId="56" xfId="0" applyNumberFormat="1" applyFont="1" applyFill="1" applyBorder="1" applyAlignment="1">
      <alignment horizontal="center" vertical="center"/>
    </xf>
    <xf numFmtId="168" fontId="0" fillId="4" borderId="55" xfId="0" applyNumberFormat="1" applyFont="1" applyFill="1" applyBorder="1" applyAlignment="1">
      <alignment horizontal="center" vertical="center"/>
    </xf>
    <xf numFmtId="168" fontId="0" fillId="4" borderId="56" xfId="0" applyNumberFormat="1" applyFont="1" applyFill="1" applyBorder="1" applyAlignment="1">
      <alignment horizontal="center" vertical="center"/>
    </xf>
    <xf numFmtId="3" fontId="0" fillId="4" borderId="55" xfId="0" applyNumberFormat="1" applyFont="1" applyFill="1" applyBorder="1" applyAlignment="1">
      <alignment horizontal="center" vertical="center"/>
    </xf>
    <xf numFmtId="3" fontId="0" fillId="4" borderId="56" xfId="0" applyNumberFormat="1" applyFont="1" applyFill="1" applyBorder="1" applyAlignment="1">
      <alignment horizontal="center" vertical="center"/>
    </xf>
    <xf numFmtId="175" fontId="11" fillId="4" borderId="55" xfId="0" applyNumberFormat="1" applyFont="1" applyFill="1" applyBorder="1" applyAlignment="1">
      <alignment horizontal="center" vertical="center"/>
    </xf>
    <xf numFmtId="175" fontId="11" fillId="4" borderId="56" xfId="0" applyNumberFormat="1" applyFont="1" applyFill="1" applyBorder="1" applyAlignment="1">
      <alignment horizontal="center" vertical="center"/>
    </xf>
    <xf numFmtId="9" fontId="0" fillId="4" borderId="55" xfId="0" applyNumberFormat="1" applyFont="1" applyFill="1" applyBorder="1" applyAlignment="1">
      <alignment horizontal="center" vertical="center"/>
    </xf>
    <xf numFmtId="9" fontId="0" fillId="4" borderId="56" xfId="0" applyNumberFormat="1" applyFont="1" applyFill="1" applyBorder="1" applyAlignment="1">
      <alignment horizontal="center" vertical="center"/>
    </xf>
    <xf numFmtId="0" fontId="7" fillId="4" borderId="55" xfId="0" applyNumberFormat="1" applyFont="1" applyFill="1" applyBorder="1" applyAlignment="1">
      <alignment horizontal="center" vertical="center"/>
    </xf>
    <xf numFmtId="0" fontId="7" fillId="4" borderId="56" xfId="0" applyNumberFormat="1" applyFont="1" applyFill="1" applyBorder="1" applyAlignment="1">
      <alignment horizontal="center" vertical="center"/>
    </xf>
    <xf numFmtId="0" fontId="7" fillId="4" borderId="57" xfId="0" applyNumberFormat="1" applyFont="1" applyFill="1" applyBorder="1" applyAlignment="1">
      <alignment horizontal="center" vertical="center"/>
    </xf>
    <xf numFmtId="0" fontId="11" fillId="4" borderId="58" xfId="0" applyNumberFormat="1" applyFont="1" applyFill="1" applyBorder="1" applyAlignment="1">
      <alignment horizontal="left" vertical="center" indent="1"/>
    </xf>
    <xf numFmtId="0" fontId="11" fillId="4" borderId="59" xfId="0" applyNumberFormat="1" applyFont="1" applyFill="1" applyBorder="1" applyAlignment="1">
      <alignment horizontal="left" vertical="center" indent="1"/>
    </xf>
    <xf numFmtId="3" fontId="11" fillId="4" borderId="58" xfId="0" applyNumberFormat="1" applyFont="1" applyFill="1" applyBorder="1" applyAlignment="1">
      <alignment horizontal="center" vertical="center"/>
    </xf>
    <xf numFmtId="3" fontId="11" fillId="4" borderId="59" xfId="0" applyNumberFormat="1" applyFont="1" applyFill="1" applyBorder="1" applyAlignment="1">
      <alignment horizontal="center" vertical="center"/>
    </xf>
    <xf numFmtId="168" fontId="40" fillId="4" borderId="58" xfId="0" applyNumberFormat="1" applyFont="1" applyFill="1" applyBorder="1" applyAlignment="1">
      <alignment horizontal="center" vertical="center"/>
    </xf>
    <xf numFmtId="168" fontId="40" fillId="4" borderId="59" xfId="0" applyNumberFormat="1" applyFont="1" applyFill="1" applyBorder="1" applyAlignment="1">
      <alignment horizontal="center" vertical="center"/>
    </xf>
    <xf numFmtId="168" fontId="0" fillId="4" borderId="58" xfId="0" applyNumberFormat="1" applyFont="1" applyFill="1" applyBorder="1" applyAlignment="1">
      <alignment horizontal="center" vertical="center"/>
    </xf>
    <xf numFmtId="168" fontId="0" fillId="4" borderId="59" xfId="0" applyNumberFormat="1" applyFont="1" applyFill="1" applyBorder="1" applyAlignment="1">
      <alignment horizontal="center" vertical="center"/>
    </xf>
    <xf numFmtId="175" fontId="11" fillId="4" borderId="58" xfId="0" applyNumberFormat="1" applyFont="1" applyFill="1" applyBorder="1" applyAlignment="1">
      <alignment horizontal="center" vertical="center"/>
    </xf>
    <xf numFmtId="175" fontId="11" fillId="4" borderId="59" xfId="0" applyNumberFormat="1" applyFont="1" applyFill="1" applyBorder="1" applyAlignment="1">
      <alignment horizontal="center" vertical="center"/>
    </xf>
    <xf numFmtId="9" fontId="0" fillId="4" borderId="58" xfId="0" applyNumberFormat="1" applyFont="1" applyFill="1" applyBorder="1" applyAlignment="1">
      <alignment horizontal="center" vertical="center"/>
    </xf>
    <xf numFmtId="9" fontId="0" fillId="4" borderId="59" xfId="0" applyNumberFormat="1" applyFont="1" applyFill="1" applyBorder="1" applyAlignment="1">
      <alignment horizontal="center" vertical="center"/>
    </xf>
    <xf numFmtId="0" fontId="7" fillId="4" borderId="58" xfId="0" applyNumberFormat="1" applyFont="1" applyFill="1" applyBorder="1" applyAlignment="1">
      <alignment horizontal="center" vertical="center"/>
    </xf>
    <xf numFmtId="0" fontId="7" fillId="4" borderId="59" xfId="0" applyNumberFormat="1" applyFont="1" applyFill="1" applyBorder="1" applyAlignment="1">
      <alignment horizontal="center" vertical="center"/>
    </xf>
    <xf numFmtId="0" fontId="7" fillId="4" borderId="60" xfId="0" applyNumberFormat="1" applyFont="1" applyFill="1" applyBorder="1" applyAlignment="1">
      <alignment horizontal="center" vertical="center"/>
    </xf>
    <xf numFmtId="0" fontId="11" fillId="5" borderId="39" xfId="0" applyNumberFormat="1" applyFont="1" applyFill="1" applyBorder="1" applyAlignment="1">
      <alignment horizontal="left" vertical="center" indent="1"/>
    </xf>
    <xf numFmtId="0" fontId="11" fillId="5" borderId="54" xfId="0" applyNumberFormat="1" applyFont="1" applyFill="1" applyBorder="1" applyAlignment="1">
      <alignment horizontal="left" vertical="center" indent="1"/>
    </xf>
    <xf numFmtId="3" fontId="11" fillId="5" borderId="39" xfId="0" applyNumberFormat="1" applyFont="1" applyFill="1" applyBorder="1" applyAlignment="1">
      <alignment horizontal="center" vertical="center"/>
    </xf>
    <xf numFmtId="3" fontId="11" fillId="5" borderId="54" xfId="0" applyNumberFormat="1" applyFont="1" applyFill="1" applyBorder="1" applyAlignment="1">
      <alignment horizontal="center" vertical="center"/>
    </xf>
    <xf numFmtId="3" fontId="40" fillId="5" borderId="39" xfId="0" applyNumberFormat="1" applyFont="1" applyFill="1" applyBorder="1" applyAlignment="1">
      <alignment horizontal="center" vertical="center"/>
    </xf>
    <xf numFmtId="3" fontId="40" fillId="5" borderId="54" xfId="0" applyNumberFormat="1" applyFont="1" applyFill="1" applyBorder="1" applyAlignment="1">
      <alignment horizontal="center" vertical="center"/>
    </xf>
    <xf numFmtId="168" fontId="0" fillId="5" borderId="39" xfId="0" applyNumberFormat="1" applyFont="1" applyFill="1" applyBorder="1" applyAlignment="1">
      <alignment horizontal="center" vertical="center"/>
    </xf>
    <xf numFmtId="168" fontId="0" fillId="5" borderId="54" xfId="0" applyNumberFormat="1" applyFont="1" applyFill="1" applyBorder="1" applyAlignment="1">
      <alignment horizontal="center" vertical="center"/>
    </xf>
    <xf numFmtId="3" fontId="0" fillId="5" borderId="39" xfId="0" applyNumberFormat="1" applyFont="1" applyFill="1" applyBorder="1" applyAlignment="1">
      <alignment horizontal="center" vertical="center"/>
    </xf>
    <xf numFmtId="3" fontId="0" fillId="5" borderId="54" xfId="0" applyNumberFormat="1" applyFont="1" applyFill="1" applyBorder="1" applyAlignment="1">
      <alignment horizontal="center" vertical="center"/>
    </xf>
    <xf numFmtId="175" fontId="11" fillId="5" borderId="39" xfId="0" applyNumberFormat="1" applyFont="1" applyFill="1" applyBorder="1" applyAlignment="1">
      <alignment horizontal="center" vertical="center"/>
    </xf>
    <xf numFmtId="175" fontId="11" fillId="5" borderId="54" xfId="0" applyNumberFormat="1" applyFont="1" applyFill="1" applyBorder="1" applyAlignment="1">
      <alignment horizontal="center" vertical="center"/>
    </xf>
    <xf numFmtId="9" fontId="0" fillId="5" borderId="39" xfId="0" applyNumberFormat="1" applyFont="1" applyFill="1" applyBorder="1" applyAlignment="1">
      <alignment horizontal="center" vertical="center"/>
    </xf>
    <xf numFmtId="9" fontId="0" fillId="5" borderId="54" xfId="0" applyNumberFormat="1" applyFont="1" applyFill="1" applyBorder="1" applyAlignment="1">
      <alignment horizontal="center" vertical="center"/>
    </xf>
    <xf numFmtId="0" fontId="7" fillId="5" borderId="39" xfId="0" applyNumberFormat="1" applyFont="1" applyFill="1" applyBorder="1" applyAlignment="1">
      <alignment horizontal="center" vertical="center"/>
    </xf>
    <xf numFmtId="0" fontId="7" fillId="5" borderId="54" xfId="0" applyNumberFormat="1" applyFont="1" applyFill="1" applyBorder="1" applyAlignment="1">
      <alignment horizontal="center" vertical="center"/>
    </xf>
    <xf numFmtId="0" fontId="7" fillId="5" borderId="33" xfId="0" applyNumberFormat="1" applyFont="1" applyFill="1" applyBorder="1" applyAlignment="1">
      <alignment horizontal="center" vertical="center"/>
    </xf>
    <xf numFmtId="0" fontId="11" fillId="5" borderId="55" xfId="0" applyNumberFormat="1" applyFont="1" applyFill="1" applyBorder="1" applyAlignment="1">
      <alignment horizontal="left" vertical="center" indent="1"/>
    </xf>
    <xf numFmtId="0" fontId="11" fillId="5" borderId="56" xfId="0" applyNumberFormat="1" applyFont="1" applyFill="1" applyBorder="1" applyAlignment="1">
      <alignment horizontal="left" vertical="center" indent="1"/>
    </xf>
    <xf numFmtId="3" fontId="11" fillId="5" borderId="55" xfId="0" applyNumberFormat="1" applyFont="1" applyFill="1" applyBorder="1" applyAlignment="1">
      <alignment horizontal="center" vertical="center"/>
    </xf>
    <xf numFmtId="3" fontId="11" fillId="5" borderId="56" xfId="0" applyNumberFormat="1" applyFont="1" applyFill="1" applyBorder="1" applyAlignment="1">
      <alignment horizontal="center" vertical="center"/>
    </xf>
    <xf numFmtId="3" fontId="40" fillId="5" borderId="55" xfId="0" applyNumberFormat="1" applyFont="1" applyFill="1" applyBorder="1" applyAlignment="1">
      <alignment horizontal="center" vertical="center"/>
    </xf>
    <xf numFmtId="3" fontId="40" fillId="5" borderId="56" xfId="0" applyNumberFormat="1" applyFont="1" applyFill="1" applyBorder="1" applyAlignment="1">
      <alignment horizontal="center" vertical="center"/>
    </xf>
    <xf numFmtId="168" fontId="0" fillId="5" borderId="55" xfId="0" applyNumberFormat="1" applyFont="1" applyFill="1" applyBorder="1" applyAlignment="1">
      <alignment horizontal="center" vertical="center"/>
    </xf>
    <xf numFmtId="168" fontId="0" fillId="5" borderId="56" xfId="0" applyNumberFormat="1" applyFont="1" applyFill="1" applyBorder="1" applyAlignment="1">
      <alignment horizontal="center" vertical="center"/>
    </xf>
    <xf numFmtId="3" fontId="0" fillId="5" borderId="55" xfId="0" applyNumberFormat="1" applyFont="1" applyFill="1" applyBorder="1" applyAlignment="1">
      <alignment horizontal="center" vertical="center"/>
    </xf>
    <xf numFmtId="3" fontId="0" fillId="5" borderId="56" xfId="0" applyNumberFormat="1" applyFont="1" applyFill="1" applyBorder="1" applyAlignment="1">
      <alignment horizontal="center" vertical="center"/>
    </xf>
    <xf numFmtId="175" fontId="11" fillId="5" borderId="55" xfId="0" applyNumberFormat="1" applyFont="1" applyFill="1" applyBorder="1" applyAlignment="1">
      <alignment horizontal="center" vertical="center"/>
    </xf>
    <xf numFmtId="175" fontId="11" fillId="5" borderId="56" xfId="0" applyNumberFormat="1" applyFont="1" applyFill="1" applyBorder="1" applyAlignment="1">
      <alignment horizontal="center" vertical="center"/>
    </xf>
    <xf numFmtId="9" fontId="0" fillId="5" borderId="55" xfId="0" applyNumberFormat="1" applyFont="1" applyFill="1" applyBorder="1" applyAlignment="1">
      <alignment horizontal="center" vertical="center"/>
    </xf>
    <xf numFmtId="9" fontId="0" fillId="5" borderId="56" xfId="0" applyNumberFormat="1" applyFont="1" applyFill="1" applyBorder="1" applyAlignment="1">
      <alignment horizontal="center" vertical="center"/>
    </xf>
    <xf numFmtId="0" fontId="7" fillId="5" borderId="55" xfId="0" applyNumberFormat="1" applyFont="1" applyFill="1" applyBorder="1" applyAlignment="1">
      <alignment horizontal="center" vertical="center"/>
    </xf>
    <xf numFmtId="0" fontId="7" fillId="5" borderId="56" xfId="0" applyNumberFormat="1" applyFont="1" applyFill="1" applyBorder="1" applyAlignment="1">
      <alignment horizontal="center" vertical="center"/>
    </xf>
    <xf numFmtId="0" fontId="7" fillId="5" borderId="57" xfId="0" applyNumberFormat="1" applyFont="1" applyFill="1" applyBorder="1" applyAlignment="1">
      <alignment horizontal="center" vertical="center"/>
    </xf>
    <xf numFmtId="0" fontId="11" fillId="5" borderId="58" xfId="0" applyNumberFormat="1" applyFont="1" applyFill="1" applyBorder="1" applyAlignment="1">
      <alignment horizontal="left" vertical="center" indent="1"/>
    </xf>
    <xf numFmtId="0" fontId="11" fillId="5" borderId="59" xfId="0" applyNumberFormat="1" applyFont="1" applyFill="1" applyBorder="1" applyAlignment="1">
      <alignment horizontal="left" vertical="center" indent="1"/>
    </xf>
    <xf numFmtId="3" fontId="11" fillId="5" borderId="58" xfId="0" applyNumberFormat="1" applyFont="1" applyFill="1" applyBorder="1" applyAlignment="1">
      <alignment horizontal="center" vertical="center"/>
    </xf>
    <xf numFmtId="3" fontId="11" fillId="5" borderId="59" xfId="0" applyNumberFormat="1" applyFont="1" applyFill="1" applyBorder="1" applyAlignment="1">
      <alignment horizontal="center" vertical="center"/>
    </xf>
    <xf numFmtId="3" fontId="40" fillId="5" borderId="58" xfId="0" applyNumberFormat="1" applyFont="1" applyFill="1" applyBorder="1" applyAlignment="1">
      <alignment horizontal="center" vertical="center"/>
    </xf>
    <xf numFmtId="3" fontId="40" fillId="5" borderId="59" xfId="0" applyNumberFormat="1" applyFont="1" applyFill="1" applyBorder="1" applyAlignment="1">
      <alignment horizontal="center" vertical="center"/>
    </xf>
    <xf numFmtId="168" fontId="0" fillId="5" borderId="58" xfId="0" applyNumberFormat="1" applyFont="1" applyFill="1" applyBorder="1" applyAlignment="1">
      <alignment horizontal="center" vertical="center"/>
    </xf>
    <xf numFmtId="168" fontId="0" fillId="5" borderId="59" xfId="0" applyNumberFormat="1" applyFont="1" applyFill="1" applyBorder="1" applyAlignment="1">
      <alignment horizontal="center" vertical="center"/>
    </xf>
    <xf numFmtId="3" fontId="0" fillId="5" borderId="58" xfId="0" applyNumberFormat="1" applyFont="1" applyFill="1" applyBorder="1" applyAlignment="1">
      <alignment horizontal="center" vertical="center"/>
    </xf>
    <xf numFmtId="3" fontId="0" fillId="5" borderId="59" xfId="0" applyNumberFormat="1" applyFont="1" applyFill="1" applyBorder="1" applyAlignment="1">
      <alignment horizontal="center" vertical="center"/>
    </xf>
    <xf numFmtId="175" fontId="11" fillId="5" borderId="58" xfId="0" applyNumberFormat="1" applyFont="1" applyFill="1" applyBorder="1" applyAlignment="1">
      <alignment horizontal="center" vertical="center"/>
    </xf>
    <xf numFmtId="175" fontId="11" fillId="5" borderId="59" xfId="0" applyNumberFormat="1" applyFont="1" applyFill="1" applyBorder="1" applyAlignment="1">
      <alignment horizontal="center" vertical="center"/>
    </xf>
    <xf numFmtId="9" fontId="0" fillId="5" borderId="58" xfId="0" applyNumberFormat="1" applyFont="1" applyFill="1" applyBorder="1" applyAlignment="1">
      <alignment horizontal="center" vertical="center"/>
    </xf>
    <xf numFmtId="9" fontId="0" fillId="5" borderId="59" xfId="0" applyNumberFormat="1" applyFont="1" applyFill="1" applyBorder="1" applyAlignment="1">
      <alignment horizontal="center" vertical="center"/>
    </xf>
    <xf numFmtId="0" fontId="7" fillId="5" borderId="58" xfId="0" applyNumberFormat="1" applyFont="1" applyFill="1" applyBorder="1" applyAlignment="1">
      <alignment horizontal="center" vertical="center"/>
    </xf>
    <xf numFmtId="0" fontId="7" fillId="5" borderId="59" xfId="0" applyNumberFormat="1" applyFont="1" applyFill="1" applyBorder="1" applyAlignment="1">
      <alignment horizontal="center" vertical="center"/>
    </xf>
    <xf numFmtId="0" fontId="7" fillId="5" borderId="60" xfId="0" applyNumberFormat="1" applyFont="1" applyFill="1" applyBorder="1" applyAlignment="1">
      <alignment horizontal="center" vertical="center"/>
    </xf>
    <xf numFmtId="166" fontId="40" fillId="3" borderId="39" xfId="0" applyNumberFormat="1" applyFont="1" applyFill="1" applyBorder="1" applyAlignment="1">
      <alignment horizontal="center" vertical="center"/>
    </xf>
    <xf numFmtId="166" fontId="40" fillId="3" borderId="54" xfId="0" applyNumberFormat="1" applyFont="1" applyFill="1" applyBorder="1" applyAlignment="1">
      <alignment horizontal="center" vertical="center"/>
    </xf>
    <xf numFmtId="166" fontId="0" fillId="3" borderId="39" xfId="0" applyNumberFormat="1" applyFont="1" applyFill="1" applyBorder="1" applyAlignment="1">
      <alignment horizontal="center" vertical="center"/>
    </xf>
    <xf numFmtId="166" fontId="0" fillId="3" borderId="54" xfId="0" applyNumberFormat="1" applyFont="1" applyFill="1" applyBorder="1" applyAlignment="1">
      <alignment horizontal="center" vertical="center"/>
    </xf>
    <xf numFmtId="9" fontId="11" fillId="3" borderId="58" xfId="0" applyNumberFormat="1" applyFont="1" applyFill="1" applyBorder="1" applyAlignment="1">
      <alignment horizontal="center" vertical="center"/>
    </xf>
    <xf numFmtId="9" fontId="11" fillId="3" borderId="59" xfId="0" applyNumberFormat="1" applyFont="1" applyFill="1" applyBorder="1" applyAlignment="1">
      <alignment horizontal="center" vertical="center"/>
    </xf>
    <xf numFmtId="167" fontId="40" fillId="3" borderId="58" xfId="0" applyNumberFormat="1" applyFont="1" applyFill="1" applyBorder="1" applyAlignment="1">
      <alignment horizontal="center" vertical="center"/>
    </xf>
    <xf numFmtId="167" fontId="40" fillId="3" borderId="59" xfId="0" applyNumberFormat="1" applyFont="1" applyFill="1" applyBorder="1" applyAlignment="1">
      <alignment horizontal="center" vertical="center"/>
    </xf>
    <xf numFmtId="167" fontId="0" fillId="3" borderId="58" xfId="0" applyNumberFormat="1" applyFont="1" applyFill="1" applyBorder="1" applyAlignment="1">
      <alignment horizontal="center" vertical="center"/>
    </xf>
    <xf numFmtId="167" fontId="0" fillId="3" borderId="59" xfId="0" applyNumberFormat="1" applyFont="1" applyFill="1" applyBorder="1" applyAlignment="1">
      <alignment horizontal="center" vertical="center"/>
    </xf>
    <xf numFmtId="0" fontId="11" fillId="6" borderId="39" xfId="0" applyNumberFormat="1" applyFont="1" applyFill="1" applyBorder="1" applyAlignment="1">
      <alignment horizontal="left" vertical="center" indent="1"/>
    </xf>
    <xf numFmtId="0" fontId="11" fillId="6" borderId="54" xfId="0" applyNumberFormat="1" applyFont="1" applyFill="1" applyBorder="1" applyAlignment="1">
      <alignment horizontal="left" vertical="center" indent="1"/>
    </xf>
    <xf numFmtId="3" fontId="11" fillId="6" borderId="39" xfId="0" applyNumberFormat="1" applyFont="1" applyFill="1" applyBorder="1" applyAlignment="1">
      <alignment horizontal="center" vertical="center"/>
    </xf>
    <xf numFmtId="3" fontId="11" fillId="6" borderId="54" xfId="0" applyNumberFormat="1" applyFont="1" applyFill="1" applyBorder="1" applyAlignment="1">
      <alignment horizontal="center" vertical="center"/>
    </xf>
    <xf numFmtId="3" fontId="40" fillId="6" borderId="39" xfId="0" applyNumberFormat="1" applyFont="1" applyFill="1" applyBorder="1" applyAlignment="1">
      <alignment horizontal="center" vertical="center"/>
    </xf>
    <xf numFmtId="3" fontId="40" fillId="6" borderId="54" xfId="0" applyNumberFormat="1" applyFont="1" applyFill="1" applyBorder="1" applyAlignment="1">
      <alignment horizontal="center" vertical="center"/>
    </xf>
    <xf numFmtId="168" fontId="0" fillId="6" borderId="39" xfId="0" applyNumberFormat="1" applyFont="1" applyFill="1" applyBorder="1" applyAlignment="1">
      <alignment horizontal="center" vertical="center"/>
    </xf>
    <xf numFmtId="168" fontId="0" fillId="6" borderId="54" xfId="0" applyNumberFormat="1" applyFont="1" applyFill="1" applyBorder="1" applyAlignment="1">
      <alignment horizontal="center" vertical="center"/>
    </xf>
    <xf numFmtId="3" fontId="0" fillId="6" borderId="39" xfId="0" applyNumberFormat="1" applyFont="1" applyFill="1" applyBorder="1" applyAlignment="1">
      <alignment horizontal="center" vertical="center"/>
    </xf>
    <xf numFmtId="3" fontId="0" fillId="6" borderId="54" xfId="0" applyNumberFormat="1" applyFont="1" applyFill="1" applyBorder="1" applyAlignment="1">
      <alignment horizontal="center" vertical="center"/>
    </xf>
    <xf numFmtId="175" fontId="11" fillId="6" borderId="39" xfId="0" applyNumberFormat="1" applyFont="1" applyFill="1" applyBorder="1" applyAlignment="1">
      <alignment horizontal="center" vertical="center"/>
    </xf>
    <xf numFmtId="175" fontId="11" fillId="6" borderId="54" xfId="0" applyNumberFormat="1" applyFont="1" applyFill="1" applyBorder="1" applyAlignment="1">
      <alignment horizontal="center" vertical="center"/>
    </xf>
    <xf numFmtId="9" fontId="0" fillId="6" borderId="39" xfId="0" applyNumberFormat="1" applyFont="1" applyFill="1" applyBorder="1" applyAlignment="1">
      <alignment horizontal="center" vertical="center"/>
    </xf>
    <xf numFmtId="9" fontId="0" fillId="6" borderId="54" xfId="0" applyNumberFormat="1" applyFont="1" applyFill="1" applyBorder="1" applyAlignment="1">
      <alignment horizontal="center" vertical="center"/>
    </xf>
    <xf numFmtId="0" fontId="7" fillId="6" borderId="39" xfId="0" applyNumberFormat="1" applyFont="1" applyFill="1" applyBorder="1" applyAlignment="1">
      <alignment horizontal="center" vertical="center"/>
    </xf>
    <xf numFmtId="0" fontId="7" fillId="6" borderId="54" xfId="0" applyNumberFormat="1" applyFont="1" applyFill="1" applyBorder="1" applyAlignment="1">
      <alignment horizontal="center" vertical="center"/>
    </xf>
    <xf numFmtId="0" fontId="7" fillId="6" borderId="33" xfId="0" applyNumberFormat="1" applyFont="1" applyFill="1" applyBorder="1" applyAlignment="1">
      <alignment horizontal="center" vertical="center"/>
    </xf>
    <xf numFmtId="0" fontId="11" fillId="6" borderId="55" xfId="0" applyNumberFormat="1" applyFont="1" applyFill="1" applyBorder="1" applyAlignment="1">
      <alignment horizontal="left" vertical="center" indent="1"/>
    </xf>
    <xf numFmtId="0" fontId="11" fillId="6" borderId="56" xfId="0" applyNumberFormat="1" applyFont="1" applyFill="1" applyBorder="1" applyAlignment="1">
      <alignment horizontal="left" vertical="center" indent="1"/>
    </xf>
    <xf numFmtId="3" fontId="11" fillId="6" borderId="55" xfId="0" applyNumberFormat="1" applyFont="1" applyFill="1" applyBorder="1" applyAlignment="1">
      <alignment horizontal="center" vertical="center"/>
    </xf>
    <xf numFmtId="3" fontId="11" fillId="6" borderId="56" xfId="0" applyNumberFormat="1" applyFont="1" applyFill="1" applyBorder="1" applyAlignment="1">
      <alignment horizontal="center" vertical="center"/>
    </xf>
    <xf numFmtId="3" fontId="40" fillId="6" borderId="55" xfId="0" applyNumberFormat="1" applyFont="1" applyFill="1" applyBorder="1" applyAlignment="1">
      <alignment horizontal="center" vertical="center"/>
    </xf>
    <xf numFmtId="3" fontId="40" fillId="6" borderId="56" xfId="0" applyNumberFormat="1" applyFont="1" applyFill="1" applyBorder="1" applyAlignment="1">
      <alignment horizontal="center" vertical="center"/>
    </xf>
    <xf numFmtId="168" fontId="0" fillId="6" borderId="55" xfId="0" applyNumberFormat="1" applyFont="1" applyFill="1" applyBorder="1" applyAlignment="1">
      <alignment horizontal="center" vertical="center"/>
    </xf>
    <xf numFmtId="168" fontId="0" fillId="6" borderId="56" xfId="0" applyNumberFormat="1" applyFont="1" applyFill="1" applyBorder="1" applyAlignment="1">
      <alignment horizontal="center" vertical="center"/>
    </xf>
    <xf numFmtId="3" fontId="0" fillId="6" borderId="55" xfId="0" applyNumberFormat="1" applyFont="1" applyFill="1" applyBorder="1" applyAlignment="1">
      <alignment horizontal="center" vertical="center"/>
    </xf>
    <xf numFmtId="3" fontId="0" fillId="6" borderId="56" xfId="0" applyNumberFormat="1" applyFont="1" applyFill="1" applyBorder="1" applyAlignment="1">
      <alignment horizontal="center" vertical="center"/>
    </xf>
    <xf numFmtId="175" fontId="11" fillId="6" borderId="55" xfId="0" applyNumberFormat="1" applyFont="1" applyFill="1" applyBorder="1" applyAlignment="1">
      <alignment horizontal="center" vertical="center"/>
    </xf>
    <xf numFmtId="175" fontId="11" fillId="6" borderId="56" xfId="0" applyNumberFormat="1" applyFont="1" applyFill="1" applyBorder="1" applyAlignment="1">
      <alignment horizontal="center" vertical="center"/>
    </xf>
    <xf numFmtId="9" fontId="0" fillId="6" borderId="55" xfId="0" applyNumberFormat="1" applyFont="1" applyFill="1" applyBorder="1" applyAlignment="1">
      <alignment horizontal="center" vertical="center"/>
    </xf>
    <xf numFmtId="9" fontId="0" fillId="6" borderId="56" xfId="0" applyNumberFormat="1" applyFont="1" applyFill="1" applyBorder="1" applyAlignment="1">
      <alignment horizontal="center" vertical="center"/>
    </xf>
    <xf numFmtId="0" fontId="7" fillId="6" borderId="55" xfId="0" applyNumberFormat="1" applyFont="1" applyFill="1" applyBorder="1" applyAlignment="1">
      <alignment horizontal="center" vertical="center"/>
    </xf>
    <xf numFmtId="0" fontId="7" fillId="6" borderId="56" xfId="0" applyNumberFormat="1" applyFont="1" applyFill="1" applyBorder="1" applyAlignment="1">
      <alignment horizontal="center" vertical="center"/>
    </xf>
    <xf numFmtId="0" fontId="7" fillId="6" borderId="57" xfId="0" applyNumberFormat="1" applyFont="1" applyFill="1" applyBorder="1" applyAlignment="1">
      <alignment horizontal="center" vertical="center"/>
    </xf>
    <xf numFmtId="168" fontId="40" fillId="6" borderId="55" xfId="0" applyNumberFormat="1" applyFont="1" applyFill="1" applyBorder="1" applyAlignment="1">
      <alignment horizontal="center" vertical="center"/>
    </xf>
    <xf numFmtId="168" fontId="40" fillId="6" borderId="56" xfId="0" applyNumberFormat="1" applyFont="1" applyFill="1" applyBorder="1" applyAlignment="1">
      <alignment horizontal="center" vertical="center"/>
    </xf>
    <xf numFmtId="0" fontId="11" fillId="6" borderId="58" xfId="0" applyNumberFormat="1" applyFont="1" applyFill="1" applyBorder="1" applyAlignment="1">
      <alignment horizontal="left" vertical="center" indent="1"/>
    </xf>
    <xf numFmtId="0" fontId="11" fillId="6" borderId="59" xfId="0" applyNumberFormat="1" applyFont="1" applyFill="1" applyBorder="1" applyAlignment="1">
      <alignment horizontal="left" vertical="center" indent="1"/>
    </xf>
    <xf numFmtId="3" fontId="11" fillId="6" borderId="58" xfId="0" applyNumberFormat="1" applyFont="1" applyFill="1" applyBorder="1" applyAlignment="1">
      <alignment horizontal="center" vertical="center"/>
    </xf>
    <xf numFmtId="3" fontId="11" fillId="6" borderId="59" xfId="0" applyNumberFormat="1" applyFont="1" applyFill="1" applyBorder="1" applyAlignment="1">
      <alignment horizontal="center" vertical="center"/>
    </xf>
    <xf numFmtId="3" fontId="40" fillId="6" borderId="58" xfId="0" applyNumberFormat="1" applyFont="1" applyFill="1" applyBorder="1" applyAlignment="1">
      <alignment horizontal="center" vertical="center"/>
    </xf>
    <xf numFmtId="3" fontId="40" fillId="6" borderId="59" xfId="0" applyNumberFormat="1" applyFont="1" applyFill="1" applyBorder="1" applyAlignment="1">
      <alignment horizontal="center" vertical="center"/>
    </xf>
    <xf numFmtId="168" fontId="0" fillId="6" borderId="58" xfId="0" applyNumberFormat="1" applyFont="1" applyFill="1" applyBorder="1" applyAlignment="1">
      <alignment horizontal="center" vertical="center"/>
    </xf>
    <xf numFmtId="168" fontId="0" fillId="6" borderId="59" xfId="0" applyNumberFormat="1" applyFont="1" applyFill="1" applyBorder="1" applyAlignment="1">
      <alignment horizontal="center" vertical="center"/>
    </xf>
    <xf numFmtId="3" fontId="0" fillId="6" borderId="58" xfId="0" applyNumberFormat="1" applyFont="1" applyFill="1" applyBorder="1" applyAlignment="1">
      <alignment horizontal="center" vertical="center"/>
    </xf>
    <xf numFmtId="3" fontId="0" fillId="6" borderId="59" xfId="0" applyNumberFormat="1" applyFont="1" applyFill="1" applyBorder="1" applyAlignment="1">
      <alignment horizontal="center" vertical="center"/>
    </xf>
    <xf numFmtId="175" fontId="11" fillId="6" borderId="58" xfId="0" applyNumberFormat="1" applyFont="1" applyFill="1" applyBorder="1" applyAlignment="1">
      <alignment horizontal="center" vertical="center"/>
    </xf>
    <xf numFmtId="175" fontId="11" fillId="6" borderId="59" xfId="0" applyNumberFormat="1" applyFont="1" applyFill="1" applyBorder="1" applyAlignment="1">
      <alignment horizontal="center" vertical="center"/>
    </xf>
    <xf numFmtId="9" fontId="0" fillId="6" borderId="58" xfId="0" applyNumberFormat="1" applyFont="1" applyFill="1" applyBorder="1" applyAlignment="1">
      <alignment horizontal="center" vertical="center"/>
    </xf>
    <xf numFmtId="9" fontId="0" fillId="6" borderId="59" xfId="0" applyNumberFormat="1" applyFont="1" applyFill="1" applyBorder="1" applyAlignment="1">
      <alignment horizontal="center" vertical="center"/>
    </xf>
    <xf numFmtId="0" fontId="7" fillId="6" borderId="58" xfId="0" applyNumberFormat="1" applyFont="1" applyFill="1" applyBorder="1" applyAlignment="1">
      <alignment horizontal="center" vertical="center"/>
    </xf>
    <xf numFmtId="0" fontId="7" fillId="6" borderId="59" xfId="0" applyNumberFormat="1" applyFont="1" applyFill="1" applyBorder="1" applyAlignment="1">
      <alignment horizontal="center" vertical="center"/>
    </xf>
    <xf numFmtId="0" fontId="7" fillId="6" borderId="60" xfId="0" applyNumberFormat="1" applyFont="1" applyFill="1" applyBorder="1" applyAlignment="1">
      <alignment horizontal="center" vertical="center"/>
    </xf>
    <xf numFmtId="0" fontId="11" fillId="3" borderId="32" xfId="0" applyNumberFormat="1" applyFont="1" applyFill="1" applyBorder="1" applyAlignment="1">
      <alignment horizontal="center" vertical="center"/>
    </xf>
    <xf numFmtId="0" fontId="11" fillId="3" borderId="61" xfId="0" applyNumberFormat="1" applyFont="1" applyFill="1" applyBorder="1" applyAlignment="1">
      <alignment horizontal="center" vertical="center"/>
    </xf>
    <xf numFmtId="0" fontId="11" fillId="3" borderId="34" xfId="0" applyNumberFormat="1" applyFont="1" applyFill="1" applyBorder="1" applyAlignment="1">
      <alignment horizontal="center" vertical="center"/>
    </xf>
    <xf numFmtId="0" fontId="11" fillId="4" borderId="32" xfId="0" applyNumberFormat="1" applyFont="1" applyFill="1" applyBorder="1" applyAlignment="1">
      <alignment horizontal="center" vertical="center"/>
    </xf>
    <xf numFmtId="0" fontId="11" fillId="4" borderId="61" xfId="0" applyNumberFormat="1" applyFont="1" applyFill="1" applyBorder="1" applyAlignment="1">
      <alignment horizontal="center" vertical="center"/>
    </xf>
    <xf numFmtId="0" fontId="11" fillId="4" borderId="34" xfId="0" applyNumberFormat="1" applyFont="1" applyFill="1" applyBorder="1" applyAlignment="1">
      <alignment horizontal="center" vertical="center"/>
    </xf>
    <xf numFmtId="0" fontId="11" fillId="5" borderId="32" xfId="0" applyNumberFormat="1" applyFont="1" applyFill="1" applyBorder="1" applyAlignment="1">
      <alignment horizontal="center" vertical="center"/>
    </xf>
    <xf numFmtId="0" fontId="11" fillId="5" borderId="61" xfId="0" applyNumberFormat="1" applyFont="1" applyFill="1" applyBorder="1" applyAlignment="1">
      <alignment horizontal="center" vertical="center"/>
    </xf>
    <xf numFmtId="0" fontId="11" fillId="5" borderId="34" xfId="0" applyNumberFormat="1" applyFont="1" applyFill="1" applyBorder="1" applyAlignment="1">
      <alignment horizontal="center" vertical="center"/>
    </xf>
    <xf numFmtId="0" fontId="11" fillId="6" borderId="32" xfId="0" applyNumberFormat="1" applyFont="1" applyFill="1" applyBorder="1" applyAlignment="1">
      <alignment horizontal="center" vertical="center"/>
    </xf>
    <xf numFmtId="0" fontId="11" fillId="6" borderId="61" xfId="0" applyNumberFormat="1" applyFont="1" applyFill="1" applyBorder="1" applyAlignment="1">
      <alignment horizontal="center" vertical="center"/>
    </xf>
    <xf numFmtId="0" fontId="11" fillId="6" borderId="34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 wrapText="1"/>
    </xf>
    <xf numFmtId="0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NumberFormat="1" applyFont="1" applyFill="1" applyBorder="1" applyAlignment="1">
      <alignment horizontal="center" vertical="center" wrapText="1"/>
    </xf>
    <xf numFmtId="0" fontId="7" fillId="16" borderId="62" xfId="0" applyNumberFormat="1" applyFont="1" applyFill="1" applyBorder="1" applyAlignment="1">
      <alignment horizontal="center" vertical="center" wrapText="1"/>
    </xf>
    <xf numFmtId="0" fontId="7" fillId="16" borderId="13" xfId="0" applyNumberFormat="1" applyFont="1" applyFill="1" applyBorder="1" applyAlignment="1">
      <alignment horizontal="center" vertical="center" wrapText="1"/>
    </xf>
    <xf numFmtId="0" fontId="7" fillId="16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5F3A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BFBFBF"/>
      </font>
      <fill>
        <patternFill>
          <bgColor rgb="FFFAFAFA"/>
        </patternFill>
      </fill>
    </dxf>
    <dxf>
      <font>
        <color rgb="FFA6A6A6"/>
      </font>
      <fill>
        <patternFill>
          <bgColor rgb="FFD9D9D9"/>
        </patternFill>
      </fill>
    </dxf>
    <dxf>
      <font>
        <b/>
        <color rgb="FF2F7D4E"/>
      </font>
    </dxf>
    <dxf>
      <font>
        <b/>
        <color rgb="FFC00000"/>
      </font>
    </dxf>
    <dxf>
      <font>
        <b/>
        <color rgb="FFC98A00"/>
      </font>
    </dxf>
    <dxf>
      <font>
        <b/>
        <color rgb="FF2F7D4E"/>
      </font>
      <fill>
        <patternFill>
          <bgColor rgb="FFE2EF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1B1B1F"/>
      </font>
      <fill>
        <patternFill>
          <bgColor rgb="FFD9D9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1F6F43"/>
        </patternFill>
      </fill>
    </dxf>
    <dxf>
      <font>
        <b/>
        <color rgb="FF1F5F3A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calculos!$AS$12</c:f>
          <c:strCache>
            <c:ptCount val="1"/>
            <c:pt idx="0">
              <c:v>MOVIMENTAÇÃO VEÍCULO/DIA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Config!$D$83</c:f>
              <c:strCache>
                <c:ptCount val="1"/>
                <c:pt idx="0">
                  <c:v>Recebidos (IN)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calculos!$C$12:$C$42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Config!$D$84</c:f>
              <c:strCache>
                <c:ptCount val="1"/>
                <c:pt idx="0">
                  <c:v>Expedidos (OUT)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calculos!$L$12:$L$42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calculos!$AS$13</c:f>
          <c:strCache>
            <c:ptCount val="1"/>
            <c:pt idx="0">
              <c:v>OCUPAÇÃO DIÁRIA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Config!$D$88</c:f>
              <c:strCache>
                <c:ptCount val="1"/>
                <c:pt idx="0">
                  <c:v>Ocupada (p.p)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calculos!$Y$12:$Y$42</c:f>
              <c:numCache>
                <c:formatCode>General</c:formatCode>
                <c:ptCount val="31"/>
              </c:numCache>
            </c:numRef>
          </c:val>
        </c:ser>
        <c:gapWidth val="40"/>
        <c:axId val="101"/>
        <c:axId val="102"/>
      </c:barChart>
      <c:lineChart>
        <c:grouping val="standard"/>
        <c:varyColors val="0"/>
        <c:ser>
          <c:idx val="1"/>
          <c:order val="1"/>
          <c:tx>
            <c:strRef>
              <c:f>calculos!$BB$384</c:f>
              <c:strCache>
                <c:ptCount val="1"/>
                <c:pt idx="0">
                  <c:v>Capacidade do armazém (p.p)</c:v>
                </c:pt>
              </c:strCache>
            </c:strRef>
          </c:tx>
          <c:spPr>
            <a:ln w="22225" cap="rnd">
              <a:solidFill>
                <a:srgbClr val="404040"/>
              </a:solidFill>
              <a:prstDash val="sysDot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calculos!$X$12:$X$42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2"/>
          <c:order val="2"/>
          <c:tx>
            <c:v>rótulo</c:v>
          </c:tx>
          <c:spPr>
            <a:ln>
              <a:noFill/>
            </a:ln>
          </c:spPr>
          <c:marker>
            <c:symbol val="none"/>
          </c:marker>
          <c:dLbls>
            <c:numFmt formatCode="#,##0&quot; p.p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calculos!$BE$12:$BE$42</c:f>
              <c:numCache>
                <c:formatCode>General</c:formatCode>
                <c:ptCount val="31"/>
              </c:numCache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&quot; p.p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2"/>
        <c:delete val="1"/>
      </c:legendEntry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calculos!$AS$14</c:f>
          <c:strCache>
            <c:ptCount val="1"/>
            <c:pt idx="0">
              <c:v>MOVIMENTAÇÃO PALETES/DIA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calculos!$AN$384</c:f>
              <c:strCache>
                <c:ptCount val="1"/>
                <c:pt idx="0">
                  <c:v>Pallets Movimentados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calculos!$AZ$12:$AZ$42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calculos!$AO$384</c:f>
              <c:strCache>
                <c:ptCount val="1"/>
                <c:pt idx="0">
                  <c:v>Pallets Movimentados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calculos!$BA$12:$BA$42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calculos!$AS$15</c:f>
          <c:strCache>
            <c:ptCount val="1"/>
            <c:pt idx="0">
              <c:v>MOVIMENTAÇÃO TONS/DIA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calculos!$AV$384</c:f>
              <c:strCache>
                <c:ptCount val="1"/>
                <c:pt idx="0">
                  <c:v>Toneladas Movimentadas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calculos!$BB$12:$BB$42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calculos!$AW$384</c:f>
              <c:strCache>
                <c:ptCount val="1"/>
                <c:pt idx="0">
                  <c:v>Toneladas Movimentadas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calculos!$BC$12:$BC$42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calculos!$AS$16</c:f>
          <c:strCache>
            <c:ptCount val="1"/>
            <c:pt idx="0">
              <c:v>ACUMULADO SEMANAL PALETES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calculos!$AN$384</c:f>
              <c:strCache>
                <c:ptCount val="1"/>
                <c:pt idx="0">
                  <c:v>Pallets Movimentados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calculos!$A$93:$A$97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calculos!$AZ$93:$AZ$97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calculos!$AO$384</c:f>
              <c:strCache>
                <c:ptCount val="1"/>
                <c:pt idx="0">
                  <c:v>Pallets Movimentados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calculos!$A$93:$A$97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calculos!$BA$93:$BA$97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calculos!$AS$17</c:f>
          <c:strCache>
            <c:ptCount val="1"/>
            <c:pt idx="0">
              <c:v>ACUMULADO SEMANAL TONS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calculos!$AV$384</c:f>
              <c:strCache>
                <c:ptCount val="1"/>
                <c:pt idx="0">
                  <c:v>Toneladas Movimentadas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calculos!$A$93:$A$97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calculos!$BB$93:$BB$97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calculos!$AW$384</c:f>
              <c:strCache>
                <c:ptCount val="1"/>
                <c:pt idx="0">
                  <c:v>Toneladas Movimentadas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calculos!$A$93:$A$97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calculos!$BC$93:$BC$97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Relationship Id="rId11" Type="http://schemas.openxmlformats.org/officeDocument/2006/relationships/chart" Target="../charts/chart5.xml"/><Relationship Id="rId12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5</xdr:row>
      <xdr:rowOff>104775</xdr:rowOff>
    </xdr:from>
    <xdr:ext cx="514350" cy="381000"/>
    <xdr:pic>
      <xdr:nvPicPr>
        <xdr:cNvPr id="3" name="Imagem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514350" cy="381000"/>
        </a:xfrm>
        <a:prstGeom prst="rect">
          <a:avLst/>
        </a:prstGeom>
      </xdr:spPr>
    </xdr:pic>
    <xdr:clientData/>
  </xdr:oneCellAnchor>
  <xdr:oneCellAnchor>
    <xdr:from>
      <xdr:col>6</xdr:col>
      <xdr:colOff>142875</xdr:colOff>
      <xdr:row>5</xdr:row>
      <xdr:rowOff>104775</xdr:rowOff>
    </xdr:from>
    <xdr:ext cx="438150" cy="381000"/>
    <xdr:pic>
      <xdr:nvPicPr>
        <xdr:cNvPr id="4" name="Imagem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11</xdr:col>
      <xdr:colOff>142875</xdr:colOff>
      <xdr:row>5</xdr:row>
      <xdr:rowOff>104775</xdr:rowOff>
    </xdr:from>
    <xdr:ext cx="438150" cy="381000"/>
    <xdr:pic>
      <xdr:nvPicPr>
        <xdr:cNvPr id="5" name="Imagem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16</xdr:col>
      <xdr:colOff>104775</xdr:colOff>
      <xdr:row>5</xdr:row>
      <xdr:rowOff>104775</xdr:rowOff>
    </xdr:from>
    <xdr:ext cx="504825" cy="381000"/>
    <xdr:pic>
      <xdr:nvPicPr>
        <xdr:cNvPr id="6" name="Imagem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504825" cy="381000"/>
        </a:xfrm>
        <a:prstGeom prst="rect">
          <a:avLst/>
        </a:prstGeom>
      </xdr:spPr>
    </xdr:pic>
    <xdr:clientData/>
  </xdr:oneCellAnchor>
  <xdr:oneCellAnchor>
    <xdr:from>
      <xdr:col>21</xdr:col>
      <xdr:colOff>171450</xdr:colOff>
      <xdr:row>5</xdr:row>
      <xdr:rowOff>104775</xdr:rowOff>
    </xdr:from>
    <xdr:ext cx="381000" cy="381000"/>
    <xdr:pic>
      <xdr:nvPicPr>
        <xdr:cNvPr id="7" name="Imagem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14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8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 editAs="oneCell">
    <xdr:from>
      <xdr:col>14</xdr:col>
      <xdr:colOff>0</xdr:colOff>
      <xdr:row>14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9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10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11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13</xdr:col>
      <xdr:colOff>0</xdr:colOff>
      <xdr:row>64</xdr:row>
      <xdr:rowOff>0</xdr:rowOff>
    </xdr:to>
    <xdr:graphicFrame macro="">
      <xdr:nvGraphicFramePr>
        <xdr:cNvPr id="12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 editAs="oneCell">
    <xdr:from>
      <xdr:col>14</xdr:col>
      <xdr:colOff>0</xdr:colOff>
      <xdr:row>48</xdr:row>
      <xdr:rowOff>0</xdr:rowOff>
    </xdr:from>
    <xdr:to>
      <xdr:col>25</xdr:col>
      <xdr:colOff>0</xdr:colOff>
      <xdr:row>64</xdr:row>
      <xdr:rowOff>0</xdr:rowOff>
    </xdr:to>
    <xdr:graphicFrame macro="">
      <xdr:nvGraphicFramePr>
        <xdr:cNvPr id="13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bBaseTPC" displayName="tbBaseTPC" ref="A2:AI3" totalsRowShown="0">
  <autoFilter ref="A2:AI3"/>
  <tableColumns count="35">
    <tableColumn id="1" name="Data"/>
    <tableColumn id="2" name="Cliente"/>
    <tableColumn id="3" name="IN Veículos Recebidos"/>
    <tableColumn id="4" name="IN Pallets Movimentados"/>
    <tableColumn id="5" name="IN Toneladas Movimentadas"/>
    <tableColumn id="6" name="IN Linhas NF"/>
    <tableColumn id="7" name="IN Caixas Movimentadas"/>
    <tableColumn id="8" name="IN Itens Recebidos"/>
    <tableColumn id="9" name="IN Itens Recebidos CX Mista"/>
    <tableColumn id="10" name="IN Caixas Fechadas"/>
    <tableColumn id="11" name="IN Caixas Mistas Recebidas"/>
    <tableColumn id="12" name="OUT Veículos Expedidos"/>
    <tableColumn id="13" name="OUT Pedidos Expedidos"/>
    <tableColumn id="14" name="OUT Pedidos Faturados"/>
    <tableColumn id="15" name="OUT Itens Expedidos"/>
    <tableColumn id="16" name="OUT Linhas NF"/>
    <tableColumn id="17" name="OUT Caixas Expedidas"/>
    <tableColumn id="18" name="OUT Pallets Movimentados"/>
    <tableColumn id="19" name="OUT Toneladas Movimentadas"/>
    <tableColumn id="20" name="NC Incidentes"/>
    <tableColumn id="21" name="NC No show"/>
    <tableColumn id="22" name="NC Backlog Intralog"/>
    <tableColumn id="23" name="NC Backlog Cliente"/>
    <tableColumn id="24" name="Posições Disponíveis"/>
    <tableColumn id="25" name="Posições Ocupadas"/>
    <tableColumn id="26" name="Efetivo Op."/>
    <tableColumn id="27" name="Falta"/>
    <tableColumn id="28" name="Absenteísmo (H/H)"/>
    <tableColumn id="29" name="Folga"/>
    <tableColumn id="30" name="Férias"/>
    <tableColumn id="31" name="Desligamento"/>
    <tableColumn id="32" name="Desvios Comportamentais"/>
    <tableColumn id="33" name="Acidentes CAF"/>
    <tableColumn id="34" name="Acidentes SAF"/>
    <tableColumn id="35" name="Mod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MetasTPC" displayName="tbMetasTPC" ref="AK22:BF55" totalsRowShown="0">
  <autoFilter ref="AK22:BF55"/>
  <tableColumns count="22">
    <tableColumn id="1" name="Indicador"/>
    <tableColumn id="2" name="Todos"/>
    <tableColumn id="3" name="Alpargatas"/>
    <tableColumn id="4" name="Basf"/>
    <tableColumn id="5" name="Beautybiz"/>
    <tableColumn id="6" name="Boticário"/>
    <tableColumn id="7" name="Confiance"/>
    <tableColumn id="8" name="GE Vernova"/>
    <tableColumn id="9" name="Omnilife"/>
    <tableColumn id="10" name="Supply"/>
    <tableColumn id="11" name="Vedacit"/>
    <tableColumn id="12" name="Vestas"/>
    <tableColumn id="13" name="Vaga 11"/>
    <tableColumn id="14" name="Vaga 12"/>
    <tableColumn id="15" name="Vaga 13"/>
    <tableColumn id="16" name="Vaga 14"/>
    <tableColumn id="17" name="Vaga 15"/>
    <tableColumn id="18" name="Vaga 16"/>
    <tableColumn id="19" name="Vaga 17"/>
    <tableColumn id="20" name="Vaga 18"/>
    <tableColumn id="21" name="Vaga 19"/>
    <tableColumn id="22" name="Vaga 20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T1" Type="http://schemas.openxmlformats.org/officeDocument/2006/relationships/table" Target="../tables/table1.xml"/><Relationship Id="rIdT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Z65"/>
  <sheetViews>
    <sheetView showGridLines="0" tabSelected="1" zoomScale="90" zoomScaleNormal="90" workbookViewId="0"/>
  </sheetViews>
  <sheetFormatPr defaultRowHeight="15"/>
  <cols>
    <col min="1" max="1" width="1.5" customWidth="1"/>
    <col min="2" max="2" width="10" customWidth="1"/>
    <col min="3" max="3" width="10" customWidth="1"/>
    <col min="4" max="4" width="10" customWidth="1"/>
    <col min="5" max="5" width="10" customWidth="1"/>
    <col min="6" max="6" width="1.8" customWidth="1"/>
    <col min="7" max="7" width="10" customWidth="1"/>
    <col min="8" max="8" width="10" customWidth="1"/>
    <col min="9" max="9" width="10" customWidth="1"/>
    <col min="10" max="10" width="10" customWidth="1"/>
    <col min="11" max="11" width="1.8" customWidth="1"/>
    <col min="12" max="12" width="10" customWidth="1"/>
    <col min="13" max="13" width="10" customWidth="1"/>
    <col min="14" max="14" width="10" customWidth="1"/>
    <col min="15" max="15" width="10" customWidth="1"/>
    <col min="16" max="16" width="1.8" customWidth="1"/>
    <col min="17" max="17" width="10" customWidth="1"/>
    <col min="18" max="18" width="10" customWidth="1"/>
    <col min="19" max="19" width="10" customWidth="1"/>
    <col min="20" max="20" width="10" customWidth="1"/>
    <col min="21" max="21" width="1.8" customWidth="1"/>
    <col min="22" max="22" width="10" customWidth="1"/>
    <col min="23" max="23" width="10" customWidth="1"/>
    <col min="24" max="24" width="10" customWidth="1"/>
    <col min="25" max="25" width="10" customWidth="1"/>
    <col min="26" max="26" width="1.5" customWidth="1"/>
  </cols>
  <sheetData>
    <row r="1" ht="34.5" customHeight="1">
      <c r="A1" s="108"/>
      <c r="B1" s="108"/>
      <c r="C1" s="108"/>
      <c r="D1" s="108"/>
      <c r="E1" s="108"/>
      <c r="F1" s="108"/>
      <c r="G1" s="110" t="str">
        <f>"DASHBOARD · INDICADORES OPERACIONAIS"&amp;IF(calculos!$E$2="",""," · "&amp;calculos!$E$2)</f>
        <v>DASHBOARD · INDICADORES OPERACIONAIS · TPC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3" ht="26" customHeight="1">
      <c r="B3" s="111" t="inlineStr">
        <is>
          <t xml:space="preserve">CLIENTE  ▸</t>
        </is>
      </c>
      <c r="C3" s="111"/>
      <c r="D3" s="112" t="inlineStr">
        <is>
          <t xml:space="preserve">Todos</t>
        </is>
      </c>
      <c r="E3" s="113"/>
      <c r="F3" s="113"/>
      <c r="G3" s="113"/>
      <c r="H3" s="113"/>
      <c r="I3" s="114"/>
      <c r="L3" s="111" t="inlineStr">
        <is>
          <t xml:space="preserve">PERÍODO  ▸</t>
        </is>
      </c>
      <c r="M3" s="111"/>
      <c r="N3" s="111"/>
      <c r="O3" s="111"/>
      <c r="Q3" s="115">
        <v>46296</v>
      </c>
      <c r="R3" s="116"/>
      <c r="S3" s="117"/>
      <c r="T3" s="118" t="inlineStr">
        <is>
          <t xml:space="preserve">até</t>
        </is>
      </c>
      <c r="V3" s="115">
        <v>46326</v>
      </c>
      <c r="W3" s="116"/>
      <c r="X3" s="117"/>
    </row>
    <row r="4" ht="16" customHeight="1">
      <c r="B4" s="119" t="str">
        <f>"Período "&amp;TEXT(calculos!$F$7,"dd/mm")&amp;"/"&amp;YEAR(calculos!$F$7)&amp;" a "&amp;TEXT(calculos!$G$7,"dd/mm")&amp;"/"&amp;YEAR(calculos!$G$7)&amp;"   ·   ▲▼ comparado a "&amp;TEXT(calculos!$F$8,"dd/mm")&amp;"–"&amp;TEXT(calculos!$G$8,"dd/mm")&amp;" (mesmo número de dias)   ·   gráficos diários: "&amp;calculos!$B$7</f>
        <v>Período 01/10/2026 a 31/10/2026   ·   ▲▼ comparado a 31/08–30/09 (mesmo número de dias)   ·   gráficos diários: Outubro/2026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6" ht="46" customHeight="1">
      <c r="B6" s="126"/>
      <c r="C6" s="127" t="str">
        <f>Config!$D$60&amp;""</f>
        <v>RECEBIMENTO (IN)</v>
      </c>
      <c r="D6" s="127"/>
      <c r="E6" s="127"/>
      <c r="G6" s="132"/>
      <c r="H6" s="133" t="str">
        <f>Config!$D$62&amp;""</f>
        <v>EXPEDIÇÃO (OUT)</v>
      </c>
      <c r="I6" s="133"/>
      <c r="J6" s="133"/>
      <c r="L6" s="134"/>
      <c r="M6" s="135" t="str">
        <f>Config!$D$64&amp;""</f>
        <v>NC OPERACIONAL</v>
      </c>
      <c r="N6" s="135"/>
      <c r="O6" s="135"/>
      <c r="Q6" s="126"/>
      <c r="R6" s="127" t="str">
        <f>Config!$D$69&amp;""</f>
        <v>ÍNDICE DE OCUPAÇÃO (P.P)</v>
      </c>
      <c r="S6" s="127"/>
      <c r="T6" s="127"/>
      <c r="V6" s="145"/>
      <c r="W6" s="146" t="str">
        <f>Config!$D$75&amp;""</f>
        <v>GENTE</v>
      </c>
      <c r="X6" s="146"/>
      <c r="Y6" s="146"/>
    </row>
    <row r="7" ht="20" customHeight="1">
      <c r="B7" s="128">
        <f>IF(calculos!$AX$384="Não se aplica","—",calculos!$B$342)</f>
        <v>0</v>
      </c>
      <c r="C7" s="128"/>
      <c r="D7" s="128"/>
      <c r="E7" s="128"/>
      <c r="G7" s="128">
        <f>IF(calculos!$AY$384="Não se aplica","—",calculos!$B$345)</f>
        <v>0</v>
      </c>
      <c r="H7" s="128"/>
      <c r="I7" s="128"/>
      <c r="J7" s="128"/>
      <c r="L7" s="136">
        <f>calculos!$B$348</f>
        <v>0</v>
      </c>
      <c r="M7" s="136"/>
      <c r="N7" s="136"/>
      <c r="O7" s="136"/>
      <c r="Q7" s="137" t="str">
        <f>IF(calculos!$AZ$384="Só ocupadas","CONTRATO",IF(OR(calculos!$AZ$384="Completo",calculos!$AZ$384=""),calculos!$BA$384&amp;"",""))</f>
        <v>ARMAZÉM</v>
      </c>
      <c r="R7" s="137"/>
      <c r="S7" s="141" t="str">
        <f>IF(calculos!$AZ$384="Só ocupadas",IF(calculos!$BC$384="","—",UPPER(calculos!$BC$384)),IF(OR(calculos!$AZ$384="Completo",calculos!$AZ$384=""),calculos!$B$353,""))</f>
        <v/>
      </c>
      <c r="T7" s="141"/>
      <c r="V7" s="137" t="str">
        <f>Config!$D$76&amp;""</f>
        <v>EFETIVO</v>
      </c>
      <c r="W7" s="137"/>
      <c r="X7" s="138" t="str">
        <f>calculos!$B$356</f>
        <v/>
      </c>
      <c r="Y7" s="138"/>
    </row>
    <row r="8" ht="20" customHeight="1">
      <c r="B8" s="128"/>
      <c r="C8" s="128"/>
      <c r="D8" s="128"/>
      <c r="E8" s="128"/>
      <c r="G8" s="128"/>
      <c r="H8" s="128"/>
      <c r="I8" s="128"/>
      <c r="J8" s="128"/>
      <c r="L8" s="136"/>
      <c r="M8" s="136"/>
      <c r="N8" s="136"/>
      <c r="O8" s="136"/>
      <c r="Q8" s="137" t="str">
        <f>IF(calculos!$AZ$384="Não se aplica","",Config!$D$72&amp;"")</f>
        <v>OCUPADA</v>
      </c>
      <c r="R8" s="137"/>
      <c r="S8" s="141" t="str">
        <f>IF(calculos!$AZ$384="Não se aplica","",calculos!$B$352)</f>
        <v/>
      </c>
      <c r="T8" s="141"/>
      <c r="V8" s="137" t="str">
        <f>Config!$D$77&amp;""</f>
        <v>ABSENTEÍSMO (H/H)</v>
      </c>
      <c r="W8" s="137"/>
      <c r="X8" s="147">
        <f>calculos!$B$359</f>
        <v>0</v>
      </c>
      <c r="Y8" s="147"/>
    </row>
    <row r="9" ht="20" customHeight="1">
      <c r="B9" s="128"/>
      <c r="C9" s="128"/>
      <c r="D9" s="128"/>
      <c r="E9" s="128"/>
      <c r="G9" s="128"/>
      <c r="H9" s="128"/>
      <c r="I9" s="128"/>
      <c r="J9" s="128"/>
      <c r="L9" s="129" t="str">
        <f>Config!$D$65&amp;""</f>
        <v>incidentes no período</v>
      </c>
      <c r="M9" s="129"/>
      <c r="N9" s="129"/>
      <c r="O9" s="129"/>
      <c r="Q9" s="137" t="str">
        <f>IF(OR(calculos!$AZ$384="Completo",calculos!$AZ$384=""),Config!$D$73&amp;"","")</f>
        <v>TX OCUPAÇÃO</v>
      </c>
      <c r="R9" s="137"/>
      <c r="S9" s="142" t="str">
        <f>IF(OR(calculos!$AZ$384="Completo",calculos!$AZ$384=""),calculos!$B$354,"")</f>
        <v/>
      </c>
      <c r="T9" s="142"/>
      <c r="V9" s="137" t="str">
        <f>Config!$D$78&amp;""</f>
        <v>FÉRIAS</v>
      </c>
      <c r="W9" s="137"/>
      <c r="X9" s="138">
        <f>calculos!$B$362</f>
        <v>0</v>
      </c>
      <c r="Y9" s="138"/>
    </row>
    <row r="10" ht="20" customHeight="1">
      <c r="B10" s="129" t="str">
        <f>IF(calculos!$AX$384="Não se aplica","não se aplica a este cliente",Config!$D$61&amp;"")</f>
        <v>veículos recebidos</v>
      </c>
      <c r="C10" s="129"/>
      <c r="D10" s="129"/>
      <c r="E10" s="129"/>
      <c r="G10" s="129" t="str">
        <f>IF(calculos!$AY$384="Não se aplica","não se aplica a este cliente",Config!$D$63&amp;"")</f>
        <v>veículos expedidos</v>
      </c>
      <c r="H10" s="129"/>
      <c r="I10" s="129"/>
      <c r="J10" s="129"/>
      <c r="L10" s="137" t="str">
        <f>Config!$D$66&amp;""</f>
        <v>NO SHOW</v>
      </c>
      <c r="M10" s="137"/>
      <c r="N10" s="138">
        <f>calculos!$B$349</f>
        <v>0</v>
      </c>
      <c r="O10" s="138"/>
      <c r="Q10" s="137" t="str">
        <f>IF(OR(calculos!$AZ$384="Completo",calculos!$AZ$384=""),Config!$D$74&amp;"","")</f>
        <v>OCIOSIDADE</v>
      </c>
      <c r="R10" s="137"/>
      <c r="S10" s="143" t="str">
        <f>IF(OR(calculos!$AZ$384="Completo",calculos!$AZ$384=""),calculos!$B$355,"")</f>
        <v/>
      </c>
      <c r="T10" s="143"/>
      <c r="V10" s="137" t="str">
        <f>Config!$D$79&amp;""</f>
        <v>TURNOVER</v>
      </c>
      <c r="W10" s="137"/>
      <c r="X10" s="142" t="str">
        <f>calculos!$B$364</f>
        <v/>
      </c>
      <c r="Y10" s="142"/>
    </row>
    <row r="11" ht="20" customHeight="1">
      <c r="B11" s="130" t="str">
        <f>IF(calculos!$AX$384="Não se aplica","",calculos!$B$382)</f>
        <v>0 pallets movimentados</v>
      </c>
      <c r="C11" s="130"/>
      <c r="D11" s="130"/>
      <c r="E11" s="130"/>
      <c r="G11" s="130" t="str">
        <f>IF(calculos!$AY$384="Não se aplica","",calculos!$F$382)</f>
        <v>0 pallets movimentados</v>
      </c>
      <c r="H11" s="130"/>
      <c r="I11" s="130"/>
      <c r="J11" s="130"/>
      <c r="L11" s="137" t="str">
        <f>Config!$D$67&amp;""</f>
        <v>BACKLOG INTRALOG</v>
      </c>
      <c r="M11" s="137"/>
      <c r="N11" s="138" t="str">
        <f>calculos!$B$350</f>
        <v/>
      </c>
      <c r="O11" s="138"/>
      <c r="Q11" s="144" t="str">
        <f>IF(calculos!$AZ$384="Não se aplica","não se aplica a este cliente",IF(calculos!$AZ$384="Só ocupadas","posições ocupadas · contrato "&amp;IF(calculos!$BC$384="","não informado",calculos!$BC$384),IF(ISNUMBER(calculos!$B$354),"taxa de ocupação · "&amp;IF(calculos!$B$354&gt;1,"excede o contratado",IF(calculos!$B$354&gt;=calculos!$B$6,"ocupação alta",IF(calculos!$B$354&gt;=calculos!$B$5,"ocupação média","ociosidade alta"))),"")))</f>
        <v/>
      </c>
      <c r="R11" s="144"/>
      <c r="S11" s="144"/>
      <c r="T11" s="144"/>
      <c r="V11" s="137" t="str">
        <f>Config!$D$80&amp;""</f>
        <v>DESVIOS COMPORTAM.</v>
      </c>
      <c r="W11" s="137"/>
      <c r="X11" s="138">
        <f>calculos!$B$365</f>
        <v>0</v>
      </c>
      <c r="Y11" s="138"/>
    </row>
    <row r="12" ht="20" customHeight="1">
      <c r="B12" s="130" t="str">
        <f>IF(calculos!$AX$384="Não se aplica","",calculos!$D$382)</f>
        <v>0,0 t movimentadas</v>
      </c>
      <c r="C12" s="130"/>
      <c r="D12" s="130"/>
      <c r="E12" s="130"/>
      <c r="G12" s="130" t="str">
        <f>IF(calculos!$AY$384="Não se aplica","",calculos!$H$382)</f>
        <v>0,0 t movimentadas</v>
      </c>
      <c r="H12" s="130"/>
      <c r="I12" s="130"/>
      <c r="J12" s="130"/>
      <c r="L12" s="139" t="str">
        <f>Config!$D$68&amp;""</f>
        <v>BACKLOG CLIENTE</v>
      </c>
      <c r="M12" s="139"/>
      <c r="N12" s="140" t="str">
        <f>calculos!$B$351</f>
        <v/>
      </c>
      <c r="O12" s="140"/>
      <c r="Q12" s="144"/>
      <c r="R12" s="144"/>
      <c r="S12" s="144"/>
      <c r="T12" s="144"/>
      <c r="V12" s="139" t="str">
        <f>Config!$D$81&amp;""</f>
        <v>ACIDENTES (CAF/SAF)</v>
      </c>
      <c r="W12" s="139"/>
      <c r="X12" s="148" t="str">
        <f>N(calculos!$B$366)&amp;" / "&amp;N(calculos!$B$367)</f>
        <v>0 / 0</v>
      </c>
      <c r="Y12" s="148"/>
    </row>
    <row r="13" ht="18" customHeight="1">
      <c r="B13" s="131" t="str">
        <f>IF(calculos!$AX$384="Não se aplica","",calculos!$D$342)</f>
        <v/>
      </c>
      <c r="C13" s="131"/>
      <c r="D13" s="131"/>
      <c r="E13" s="131"/>
      <c r="G13" s="131" t="str">
        <f>IF(calculos!$AY$384="Não se aplica","",calculos!$D$345)</f>
        <v/>
      </c>
      <c r="H13" s="131"/>
      <c r="I13" s="131"/>
      <c r="J13" s="131"/>
      <c r="L13" s="131" t="str">
        <f>calculos!$D$348</f>
        <v/>
      </c>
      <c r="M13" s="131"/>
      <c r="N13" s="131"/>
      <c r="O13" s="131"/>
      <c r="Q13" s="131" t="str">
        <f>IF(AND(calculos!$AZ$384&lt;&gt;"Completo",calculos!$AZ$384&lt;&gt;""),"",calculos!$D$354)</f>
        <v/>
      </c>
      <c r="R13" s="131"/>
      <c r="S13" s="131"/>
      <c r="T13" s="131"/>
      <c r="V13" s="131" t="str">
        <f>calculos!$D$356</f>
        <v/>
      </c>
      <c r="W13" s="131"/>
      <c r="X13" s="131"/>
      <c r="Y13" s="131"/>
    </row>
    <row r="65">
      <c r="B65" s="149" t="inlineStr">
        <is>
          <t xml:space="preserve">Cards: período digitado (dia inicial e final). Gráficos: mês do dia inicial. Absenteísmo (H/H) = horas de ausência lançadas na BD (soma do período) · Turnover = desligamentos ÷ efetivo · CAF/SAF = acidentes com / sem afastamento. Metas: aba BD.</t>
        </is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</row>
  </sheetData>
  <sheetProtection password="CC78" sheet="1" objects="1" scenarios="1"/>
  <mergeCells count="55">
    <mergeCell ref="G1:Z1"/>
    <mergeCell ref="B3:C3"/>
    <mergeCell ref="D3:I3"/>
    <mergeCell ref="L3:O3"/>
    <mergeCell ref="Q3:S3"/>
    <mergeCell ref="V3:X3"/>
    <mergeCell ref="B4:Y4"/>
    <mergeCell ref="C6:E6"/>
    <mergeCell ref="B7:E9"/>
    <mergeCell ref="B10:E10"/>
    <mergeCell ref="B11:E11"/>
    <mergeCell ref="B12:E12"/>
    <mergeCell ref="B13:E13"/>
    <mergeCell ref="H6:J6"/>
    <mergeCell ref="G7:J9"/>
    <mergeCell ref="G10:J10"/>
    <mergeCell ref="G11:J11"/>
    <mergeCell ref="G12:J12"/>
    <mergeCell ref="G13:J13"/>
    <mergeCell ref="M6:O6"/>
    <mergeCell ref="L7:O8"/>
    <mergeCell ref="L9:O9"/>
    <mergeCell ref="L10:M10"/>
    <mergeCell ref="N10:O10"/>
    <mergeCell ref="L11:M11"/>
    <mergeCell ref="N11:O11"/>
    <mergeCell ref="L12:M12"/>
    <mergeCell ref="N12:O12"/>
    <mergeCell ref="L13:O13"/>
    <mergeCell ref="R6:T6"/>
    <mergeCell ref="Q7:R7"/>
    <mergeCell ref="S7:T7"/>
    <mergeCell ref="Q8:R8"/>
    <mergeCell ref="S8:T8"/>
    <mergeCell ref="Q9:R9"/>
    <mergeCell ref="S9:T9"/>
    <mergeCell ref="Q10:R10"/>
    <mergeCell ref="S10:T10"/>
    <mergeCell ref="Q11:T12"/>
    <mergeCell ref="Q13:T13"/>
    <mergeCell ref="W6:Y6"/>
    <mergeCell ref="V7:W7"/>
    <mergeCell ref="X7:Y7"/>
    <mergeCell ref="V8:W8"/>
    <mergeCell ref="X8:Y8"/>
    <mergeCell ref="V9:W9"/>
    <mergeCell ref="X9:Y9"/>
    <mergeCell ref="V10:W10"/>
    <mergeCell ref="X10:Y10"/>
    <mergeCell ref="V11:W11"/>
    <mergeCell ref="X11:Y11"/>
    <mergeCell ref="V12:W12"/>
    <mergeCell ref="X12:Y12"/>
    <mergeCell ref="V13:Y13"/>
    <mergeCell ref="B65:Y65"/>
  </mergeCells>
  <conditionalFormatting sqref="B13">
    <cfRule type="expression" dxfId="7" priority="1">
      <formula>AND(ISNUMBER(B13),B13&gt;0)</formula>
    </cfRule>
  </conditionalFormatting>
  <conditionalFormatting sqref="B13">
    <cfRule type="expression" dxfId="8" priority="2">
      <formula>AND(ISNUMBER(B13),B13&lt;0)</formula>
    </cfRule>
  </conditionalFormatting>
  <conditionalFormatting sqref="G13">
    <cfRule type="expression" dxfId="7" priority="3">
      <formula>AND(ISNUMBER(G13),G13&gt;0)</formula>
    </cfRule>
  </conditionalFormatting>
  <conditionalFormatting sqref="G13">
    <cfRule type="expression" dxfId="8" priority="4">
      <formula>AND(ISNUMBER(G13),G13&lt;0)</formula>
    </cfRule>
  </conditionalFormatting>
  <conditionalFormatting sqref="L13">
    <cfRule type="expression" dxfId="7" priority="5">
      <formula>AND(ISNUMBER(L13),L13&lt;0)</formula>
    </cfRule>
  </conditionalFormatting>
  <conditionalFormatting sqref="L13">
    <cfRule type="expression" dxfId="8" priority="6">
      <formula>AND(ISNUMBER(L13),L13&gt;0)</formula>
    </cfRule>
  </conditionalFormatting>
  <conditionalFormatting sqref="S9">
    <cfRule type="expression" dxfId="7" priority="7" stopIfTrue="1">
      <formula>AND(ISNUMBER(S9),S9&gt;=calculos!$B$6)</formula>
    </cfRule>
  </conditionalFormatting>
  <conditionalFormatting sqref="S9">
    <cfRule type="expression" dxfId="9" priority="8" stopIfTrue="1">
      <formula>AND(ISNUMBER(S9),S9&gt;=calculos!$B$5)</formula>
    </cfRule>
  </conditionalFormatting>
  <conditionalFormatting sqref="S9">
    <cfRule type="expression" dxfId="8" priority="9">
      <formula>ISNUMBER(S9)</formula>
    </cfRule>
  </conditionalFormatting>
  <conditionalFormatting sqref="X11">
    <cfRule type="expression" dxfId="8" priority="10" stopIfTrue="1">
      <formula>N(calculos!$B$365)&gt;0</formula>
    </cfRule>
  </conditionalFormatting>
  <conditionalFormatting sqref="X11">
    <cfRule type="expression" dxfId="7" priority="11">
      <formula>N(calculos!$B$365)=0</formula>
    </cfRule>
  </conditionalFormatting>
  <conditionalFormatting sqref="X12">
    <cfRule type="expression" dxfId="8" priority="12" stopIfTrue="1">
      <formula>N(calculos!$B$366)+N(calculos!$B$367)&gt;0</formula>
    </cfRule>
  </conditionalFormatting>
  <conditionalFormatting sqref="X12">
    <cfRule type="expression" dxfId="7" priority="13">
      <formula>N(calculos!$B$366)+N(calculos!$B$367)=0</formula>
    </cfRule>
  </conditionalFormatting>
  <dataValidations count="3">
    <dataValidation type="list" allowBlank="1" showInputMessage="1" showErrorMessage="1" promptTitle="Cliente" prompt="Escolha na lista. Cards e gráficos se atualizam." errorTitle="Valor inválido" error="Escolha um valor da lista." sqref="D3">
      <formula1>OFFSET(calculos!$AP$12,0,0,1+calculos!$AP$10,1)</formula1>
    </dataValidation>
    <dataValidation type="date" operator="greaterThanOrEqual" allowBlank="1" showInputMessage="1" showErrorMessage="1" promptTitle="Dia inicial" prompt="Digite a data inicial (dd/mm/aaaa)." errorTitle="Valor inválido" error="Digite uma data válida (dd/mm/aaaa)." sqref="Q3">
      <formula1>43831</formula1>
    </dataValidation>
    <dataValidation type="date" operator="greaterThanOrEqual" allowBlank="1" showInputMessage="1" showErrorMessage="1" promptTitle="Dia final" prompt="Digite a data final (dd/mm/aaaa)." errorTitle="Valor inválido" error="Digite uma data válida (dd/mm/aaaa)." sqref="V3">
      <formula1>43831</formula1>
    </dataValidation>
  </dataValidations>
  <pageMargins left="0.25" right="0.25" top="0.4" bottom="0.4" header="0.2" footer="0.2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AK573"/>
  <sheetViews>
    <sheetView showGridLines="0" zoomScale="100" zoomScaleNormal="100"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3" customWidth="1"/>
    <col min="2" max="2" width="17.3" customWidth="1"/>
    <col min="3" max="3" width="24" customWidth="1"/>
    <col min="4" max="4" width="8" customWidth="1"/>
    <col min="5" max="5" width="1.6" customWidth="1"/>
    <col min="6" max="6" width="6.3" customWidth="1"/>
    <col min="7" max="7" width="6.3" customWidth="1"/>
    <col min="8" max="8" width="6.3" customWidth="1"/>
    <col min="9" max="9" width="6.3" customWidth="1"/>
    <col min="10" max="10" width="6.3" customWidth="1"/>
    <col min="11" max="11" width="6.3" customWidth="1"/>
    <col min="12" max="12" width="6.3" customWidth="1"/>
    <col min="13" max="13" width="6.3" customWidth="1"/>
    <col min="14" max="14" width="6.3" customWidth="1"/>
    <col min="15" max="15" width="6.3" customWidth="1"/>
    <col min="16" max="16" width="6.3" customWidth="1"/>
    <col min="17" max="17" width="6.3" customWidth="1"/>
    <col min="18" max="18" width="6.3" customWidth="1"/>
    <col min="19" max="19" width="6.3" customWidth="1"/>
    <col min="20" max="20" width="6.3" customWidth="1"/>
    <col min="21" max="21" width="6.3" customWidth="1"/>
    <col min="22" max="22" width="6.3" customWidth="1"/>
    <col min="23" max="23" width="6.3" customWidth="1"/>
    <col min="24" max="24" width="6.3" customWidth="1"/>
    <col min="25" max="25" width="6.3" customWidth="1"/>
    <col min="26" max="26" width="6.3" customWidth="1"/>
    <col min="27" max="27" width="6.3" customWidth="1"/>
    <col min="28" max="28" width="6.3" customWidth="1"/>
    <col min="29" max="29" width="6.3" customWidth="1"/>
    <col min="30" max="30" width="6.3" customWidth="1"/>
    <col min="31" max="31" width="6.3" customWidth="1"/>
    <col min="32" max="32" width="6.3" customWidth="1"/>
    <col min="33" max="33" width="6.3" customWidth="1"/>
    <col min="34" max="34" width="6.3" customWidth="1"/>
    <col min="35" max="35" width="6.3" customWidth="1"/>
    <col min="36" max="36" width="6.3" customWidth="1"/>
    <col min="37" max="37" width="9.5" customWidth="1"/>
  </cols>
  <sheetData>
    <row r="1" ht="34.5" customHeight="1">
      <c r="A1" s="108"/>
      <c r="B1" s="108"/>
      <c r="C1" s="108"/>
      <c r="D1" s="108"/>
      <c r="E1" s="108"/>
      <c r="F1" s="108"/>
      <c r="G1" s="150" t="inlineStr">
        <is>
          <t xml:space="preserve">MONITORAMENTO DIÁRIO DE PERFORMANCE · TPC</t>
        </is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1" t="inlineStr">
        <is>
          <t xml:space="preserve">OUTUBRO · 2026</t>
        </is>
      </c>
      <c r="AF1" s="151"/>
      <c r="AG1" s="151"/>
      <c r="AH1" s="151"/>
      <c r="AI1" s="151"/>
      <c r="AJ1" s="151"/>
      <c r="AK1" s="151"/>
    </row>
    <row r="2" ht="19.5" customHeight="1">
      <c r="A2" s="152" t="inlineStr">
        <is>
          <t xml:space="preserve">CLIENTE</t>
        </is>
      </c>
      <c r="B2" s="154" t="inlineStr">
        <is>
          <t xml:space="preserve">INDICADORES</t>
        </is>
      </c>
      <c r="C2" s="155"/>
      <c r="D2" s="158" t="inlineStr">
        <is>
          <t xml:space="preserve">META</t>
        </is>
      </c>
      <c r="F2" s="160" t="inlineStr">
        <is>
          <t xml:space="preserve">REALIZADO P/DIA</t>
        </is>
      </c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3" t="inlineStr">
        <is>
          <t xml:space="preserve">MÊS</t>
        </is>
      </c>
    </row>
    <row r="3" ht="13.5" customHeight="1">
      <c r="A3" s="153"/>
      <c r="B3" s="156"/>
      <c r="C3" s="157"/>
      <c r="D3" s="159"/>
      <c r="F3" s="165">
        <f>IF(ISNUMBER($AE$1),DATE(YEAR($AE$1),MONTH($AE$1),1),IFERROR(DATE(VALUE(RIGHT(TRIM($AE$1),4)),MATCH(TRIM(LEFT($AE$1,FIND("·",$AE$1)-1)),{"JANEIRO","FEVEREIRO","MARÇO","ABRIL","MAIO","JUNHO","JULHO","AGOSTO","SETEMBRO","OUTUBRO","NOVEMBRO","DEZEMBRO"},0),1),DATE(2026,10,1)))</f>
        <v>46296</v>
      </c>
      <c r="G3" s="166">
        <f>IF(F3="","",IF(MONTH(F3+1)=MONTH($F$3),F3+1,""))</f>
        <v>46297</v>
      </c>
      <c r="H3" s="166">
        <f>IF(G3="","",IF(MONTH(G3+1)=MONTH($F$3),G3+1,""))</f>
        <v>46298</v>
      </c>
      <c r="I3" s="166">
        <f>IF(H3="","",IF(MONTH(H3+1)=MONTH($F$3),H3+1,""))</f>
        <v>46299</v>
      </c>
      <c r="J3" s="166">
        <f>IF(I3="","",IF(MONTH(I3+1)=MONTH($F$3),I3+1,""))</f>
        <v>46300</v>
      </c>
      <c r="K3" s="166">
        <f>IF(J3="","",IF(MONTH(J3+1)=MONTH($F$3),J3+1,""))</f>
        <v>46301</v>
      </c>
      <c r="L3" s="166">
        <f>IF(K3="","",IF(MONTH(K3+1)=MONTH($F$3),K3+1,""))</f>
        <v>46302</v>
      </c>
      <c r="M3" s="166">
        <f>IF(L3="","",IF(MONTH(L3+1)=MONTH($F$3),L3+1,""))</f>
        <v>46303</v>
      </c>
      <c r="N3" s="166">
        <f>IF(M3="","",IF(MONTH(M3+1)=MONTH($F$3),M3+1,""))</f>
        <v>46304</v>
      </c>
      <c r="O3" s="166">
        <f>IF(N3="","",IF(MONTH(N3+1)=MONTH($F$3),N3+1,""))</f>
        <v>46305</v>
      </c>
      <c r="P3" s="166">
        <f>IF(O3="","",IF(MONTH(O3+1)=MONTH($F$3),O3+1,""))</f>
        <v>46306</v>
      </c>
      <c r="Q3" s="166">
        <f>IF(P3="","",IF(MONTH(P3+1)=MONTH($F$3),P3+1,""))</f>
        <v>46307</v>
      </c>
      <c r="R3" s="166">
        <f>IF(Q3="","",IF(MONTH(Q3+1)=MONTH($F$3),Q3+1,""))</f>
        <v>46308</v>
      </c>
      <c r="S3" s="166">
        <f>IF(R3="","",IF(MONTH(R3+1)=MONTH($F$3),R3+1,""))</f>
        <v>46309</v>
      </c>
      <c r="T3" s="166">
        <f>IF(S3="","",IF(MONTH(S3+1)=MONTH($F$3),S3+1,""))</f>
        <v>46310</v>
      </c>
      <c r="U3" s="166">
        <f>IF(T3="","",IF(MONTH(T3+1)=MONTH($F$3),T3+1,""))</f>
        <v>46311</v>
      </c>
      <c r="V3" s="166">
        <f>IF(U3="","",IF(MONTH(U3+1)=MONTH($F$3),U3+1,""))</f>
        <v>46312</v>
      </c>
      <c r="W3" s="166">
        <f>IF(V3="","",IF(MONTH(V3+1)=MONTH($F$3),V3+1,""))</f>
        <v>46313</v>
      </c>
      <c r="X3" s="166">
        <f>IF(W3="","",IF(MONTH(W3+1)=MONTH($F$3),W3+1,""))</f>
        <v>46314</v>
      </c>
      <c r="Y3" s="166">
        <f>IF(X3="","",IF(MONTH(X3+1)=MONTH($F$3),X3+1,""))</f>
        <v>46315</v>
      </c>
      <c r="Z3" s="166">
        <f>IF(Y3="","",IF(MONTH(Y3+1)=MONTH($F$3),Y3+1,""))</f>
        <v>46316</v>
      </c>
      <c r="AA3" s="166">
        <f>IF(Z3="","",IF(MONTH(Z3+1)=MONTH($F$3),Z3+1,""))</f>
        <v>46317</v>
      </c>
      <c r="AB3" s="166">
        <f>IF(AA3="","",IF(MONTH(AA3+1)=MONTH($F$3),AA3+1,""))</f>
        <v>46318</v>
      </c>
      <c r="AC3" s="166">
        <f>IF(AB3="","",IF(MONTH(AB3+1)=MONTH($F$3),AB3+1,""))</f>
        <v>46319</v>
      </c>
      <c r="AD3" s="166">
        <f>IF(AC3="","",IF(MONTH(AC3+1)=MONTH($F$3),AC3+1,""))</f>
        <v>46320</v>
      </c>
      <c r="AE3" s="166">
        <f>IF(AD3="","",IF(MONTH(AD3+1)=MONTH($F$3),AD3+1,""))</f>
        <v>46321</v>
      </c>
      <c r="AF3" s="166">
        <f>IF(AE3="","",IF(MONTH(AE3+1)=MONTH($F$3),AE3+1,""))</f>
        <v>46322</v>
      </c>
      <c r="AG3" s="166">
        <f>IF(AF3="","",IF(MONTH(AF3+1)=MONTH($F$3),AF3+1,""))</f>
        <v>46323</v>
      </c>
      <c r="AH3" s="166">
        <f>IF(AG3="","",IF(MONTH(AG3+1)=MONTH($F$3),AG3+1,""))</f>
        <v>46324</v>
      </c>
      <c r="AI3" s="166">
        <f>IF(AH3="","",IF(MONTH(AH3+1)=MONTH($F$3),AH3+1,""))</f>
        <v>46325</v>
      </c>
      <c r="AJ3" s="167">
        <f>IF(AI3="","",IF(MONTH(AI3+1)=MONTH($F$3),AI3+1,""))</f>
        <v>46326</v>
      </c>
      <c r="AK3" s="164"/>
    </row>
    <row r="5" ht="15.75" customHeight="1">
      <c r="A5" s="260" t="inlineStr">
        <is>
          <t xml:space="preserve">Alpargatas</t>
        </is>
      </c>
      <c r="B5" s="249" t="inlineStr">
        <is>
          <t xml:space="preserve">IN</t>
        </is>
      </c>
      <c r="C5" s="168" t="inlineStr">
        <is>
          <t xml:space="preserve">Veículos Recebidos</t>
        </is>
      </c>
      <c r="D5" s="169" t="str">
        <f>IFERROR(1/(1/INDEX(BD!$AL$23:$BF$23,MATCH($A$5,BD!$AL$22:$BF$22,0))),"")</f>
        <v/>
      </c>
      <c r="E5" s="170"/>
      <c r="F5" s="171" t="str">
        <f>IF(F$3="","",IF(COUNTIFS(BD!$A$3:$A$5001,F$3,BD!$B$3:$B$5001,$A$5,BD!$C$3:$C$5001,"&lt;&gt;")=0,"",SUMIFS(BD!$C$3:$C$5001,BD!$A$3:$A$5001,F$3,BD!$B$3:$B$5001,$A$5)))</f>
        <v/>
      </c>
      <c r="G5" s="172" t="str">
        <f>IF(G$3="","",IF(COUNTIFS(BD!$A$3:$A$5001,G$3,BD!$B$3:$B$5001,$A$5,BD!$C$3:$C$5001,"&lt;&gt;")=0,"",SUMIFS(BD!$C$3:$C$5001,BD!$A$3:$A$5001,G$3,BD!$B$3:$B$5001,$A$5)))</f>
        <v/>
      </c>
      <c r="H5" s="172" t="str">
        <f>IF(H$3="","",IF(COUNTIFS(BD!$A$3:$A$5001,H$3,BD!$B$3:$B$5001,$A$5,BD!$C$3:$C$5001,"&lt;&gt;")=0,"",SUMIFS(BD!$C$3:$C$5001,BD!$A$3:$A$5001,H$3,BD!$B$3:$B$5001,$A$5)))</f>
        <v/>
      </c>
      <c r="I5" s="172" t="str">
        <f>IF(I$3="","",IF(COUNTIFS(BD!$A$3:$A$5001,I$3,BD!$B$3:$B$5001,$A$5,BD!$C$3:$C$5001,"&lt;&gt;")=0,"",SUMIFS(BD!$C$3:$C$5001,BD!$A$3:$A$5001,I$3,BD!$B$3:$B$5001,$A$5)))</f>
        <v/>
      </c>
      <c r="J5" s="172" t="str">
        <f>IF(J$3="","",IF(COUNTIFS(BD!$A$3:$A$5001,J$3,BD!$B$3:$B$5001,$A$5,BD!$C$3:$C$5001,"&lt;&gt;")=0,"",SUMIFS(BD!$C$3:$C$5001,BD!$A$3:$A$5001,J$3,BD!$B$3:$B$5001,$A$5)))</f>
        <v/>
      </c>
      <c r="K5" s="172" t="str">
        <f>IF(K$3="","",IF(COUNTIFS(BD!$A$3:$A$5001,K$3,BD!$B$3:$B$5001,$A$5,BD!$C$3:$C$5001,"&lt;&gt;")=0,"",SUMIFS(BD!$C$3:$C$5001,BD!$A$3:$A$5001,K$3,BD!$B$3:$B$5001,$A$5)))</f>
        <v/>
      </c>
      <c r="L5" s="172" t="str">
        <f>IF(L$3="","",IF(COUNTIFS(BD!$A$3:$A$5001,L$3,BD!$B$3:$B$5001,$A$5,BD!$C$3:$C$5001,"&lt;&gt;")=0,"",SUMIFS(BD!$C$3:$C$5001,BD!$A$3:$A$5001,L$3,BD!$B$3:$B$5001,$A$5)))</f>
        <v/>
      </c>
      <c r="M5" s="172" t="str">
        <f>IF(M$3="","",IF(COUNTIFS(BD!$A$3:$A$5001,M$3,BD!$B$3:$B$5001,$A$5,BD!$C$3:$C$5001,"&lt;&gt;")=0,"",SUMIFS(BD!$C$3:$C$5001,BD!$A$3:$A$5001,M$3,BD!$B$3:$B$5001,$A$5)))</f>
        <v/>
      </c>
      <c r="N5" s="172" t="str">
        <f>IF(N$3="","",IF(COUNTIFS(BD!$A$3:$A$5001,N$3,BD!$B$3:$B$5001,$A$5,BD!$C$3:$C$5001,"&lt;&gt;")=0,"",SUMIFS(BD!$C$3:$C$5001,BD!$A$3:$A$5001,N$3,BD!$B$3:$B$5001,$A$5)))</f>
        <v/>
      </c>
      <c r="O5" s="172" t="str">
        <f>IF(O$3="","",IF(COUNTIFS(BD!$A$3:$A$5001,O$3,BD!$B$3:$B$5001,$A$5,BD!$C$3:$C$5001,"&lt;&gt;")=0,"",SUMIFS(BD!$C$3:$C$5001,BD!$A$3:$A$5001,O$3,BD!$B$3:$B$5001,$A$5)))</f>
        <v/>
      </c>
      <c r="P5" s="172" t="str">
        <f>IF(P$3="","",IF(COUNTIFS(BD!$A$3:$A$5001,P$3,BD!$B$3:$B$5001,$A$5,BD!$C$3:$C$5001,"&lt;&gt;")=0,"",SUMIFS(BD!$C$3:$C$5001,BD!$A$3:$A$5001,P$3,BD!$B$3:$B$5001,$A$5)))</f>
        <v/>
      </c>
      <c r="Q5" s="172" t="str">
        <f>IF(Q$3="","",IF(COUNTIFS(BD!$A$3:$A$5001,Q$3,BD!$B$3:$B$5001,$A$5,BD!$C$3:$C$5001,"&lt;&gt;")=0,"",SUMIFS(BD!$C$3:$C$5001,BD!$A$3:$A$5001,Q$3,BD!$B$3:$B$5001,$A$5)))</f>
        <v/>
      </c>
      <c r="R5" s="172" t="str">
        <f>IF(R$3="","",IF(COUNTIFS(BD!$A$3:$A$5001,R$3,BD!$B$3:$B$5001,$A$5,BD!$C$3:$C$5001,"&lt;&gt;")=0,"",SUMIFS(BD!$C$3:$C$5001,BD!$A$3:$A$5001,R$3,BD!$B$3:$B$5001,$A$5)))</f>
        <v/>
      </c>
      <c r="S5" s="172" t="str">
        <f>IF(S$3="","",IF(COUNTIFS(BD!$A$3:$A$5001,S$3,BD!$B$3:$B$5001,$A$5,BD!$C$3:$C$5001,"&lt;&gt;")=0,"",SUMIFS(BD!$C$3:$C$5001,BD!$A$3:$A$5001,S$3,BD!$B$3:$B$5001,$A$5)))</f>
        <v/>
      </c>
      <c r="T5" s="172" t="str">
        <f>IF(T$3="","",IF(COUNTIFS(BD!$A$3:$A$5001,T$3,BD!$B$3:$B$5001,$A$5,BD!$C$3:$C$5001,"&lt;&gt;")=0,"",SUMIFS(BD!$C$3:$C$5001,BD!$A$3:$A$5001,T$3,BD!$B$3:$B$5001,$A$5)))</f>
        <v/>
      </c>
      <c r="U5" s="172" t="str">
        <f>IF(U$3="","",IF(COUNTIFS(BD!$A$3:$A$5001,U$3,BD!$B$3:$B$5001,$A$5,BD!$C$3:$C$5001,"&lt;&gt;")=0,"",SUMIFS(BD!$C$3:$C$5001,BD!$A$3:$A$5001,U$3,BD!$B$3:$B$5001,$A$5)))</f>
        <v/>
      </c>
      <c r="V5" s="172" t="str">
        <f>IF(V$3="","",IF(COUNTIFS(BD!$A$3:$A$5001,V$3,BD!$B$3:$B$5001,$A$5,BD!$C$3:$C$5001,"&lt;&gt;")=0,"",SUMIFS(BD!$C$3:$C$5001,BD!$A$3:$A$5001,V$3,BD!$B$3:$B$5001,$A$5)))</f>
        <v/>
      </c>
      <c r="W5" s="172" t="str">
        <f>IF(W$3="","",IF(COUNTIFS(BD!$A$3:$A$5001,W$3,BD!$B$3:$B$5001,$A$5,BD!$C$3:$C$5001,"&lt;&gt;")=0,"",SUMIFS(BD!$C$3:$C$5001,BD!$A$3:$A$5001,W$3,BD!$B$3:$B$5001,$A$5)))</f>
        <v/>
      </c>
      <c r="X5" s="172" t="str">
        <f>IF(X$3="","",IF(COUNTIFS(BD!$A$3:$A$5001,X$3,BD!$B$3:$B$5001,$A$5,BD!$C$3:$C$5001,"&lt;&gt;")=0,"",SUMIFS(BD!$C$3:$C$5001,BD!$A$3:$A$5001,X$3,BD!$B$3:$B$5001,$A$5)))</f>
        <v/>
      </c>
      <c r="Y5" s="172" t="str">
        <f>IF(Y$3="","",IF(COUNTIFS(BD!$A$3:$A$5001,Y$3,BD!$B$3:$B$5001,$A$5,BD!$C$3:$C$5001,"&lt;&gt;")=0,"",SUMIFS(BD!$C$3:$C$5001,BD!$A$3:$A$5001,Y$3,BD!$B$3:$B$5001,$A$5)))</f>
        <v/>
      </c>
      <c r="Z5" s="172" t="str">
        <f>IF(Z$3="","",IF(COUNTIFS(BD!$A$3:$A$5001,Z$3,BD!$B$3:$B$5001,$A$5,BD!$C$3:$C$5001,"&lt;&gt;")=0,"",SUMIFS(BD!$C$3:$C$5001,BD!$A$3:$A$5001,Z$3,BD!$B$3:$B$5001,$A$5)))</f>
        <v/>
      </c>
      <c r="AA5" s="172" t="str">
        <f>IF(AA$3="","",IF(COUNTIFS(BD!$A$3:$A$5001,AA$3,BD!$B$3:$B$5001,$A$5,BD!$C$3:$C$5001,"&lt;&gt;")=0,"",SUMIFS(BD!$C$3:$C$5001,BD!$A$3:$A$5001,AA$3,BD!$B$3:$B$5001,$A$5)))</f>
        <v/>
      </c>
      <c r="AB5" s="172" t="str">
        <f>IF(AB$3="","",IF(COUNTIFS(BD!$A$3:$A$5001,AB$3,BD!$B$3:$B$5001,$A$5,BD!$C$3:$C$5001,"&lt;&gt;")=0,"",SUMIFS(BD!$C$3:$C$5001,BD!$A$3:$A$5001,AB$3,BD!$B$3:$B$5001,$A$5)))</f>
        <v/>
      </c>
      <c r="AC5" s="172" t="str">
        <f>IF(AC$3="","",IF(COUNTIFS(BD!$A$3:$A$5001,AC$3,BD!$B$3:$B$5001,$A$5,BD!$C$3:$C$5001,"&lt;&gt;")=0,"",SUMIFS(BD!$C$3:$C$5001,BD!$A$3:$A$5001,AC$3,BD!$B$3:$B$5001,$A$5)))</f>
        <v/>
      </c>
      <c r="AD5" s="172" t="str">
        <f>IF(AD$3="","",IF(COUNTIFS(BD!$A$3:$A$5001,AD$3,BD!$B$3:$B$5001,$A$5,BD!$C$3:$C$5001,"&lt;&gt;")=0,"",SUMIFS(BD!$C$3:$C$5001,BD!$A$3:$A$5001,AD$3,BD!$B$3:$B$5001,$A$5)))</f>
        <v/>
      </c>
      <c r="AE5" s="172" t="str">
        <f>IF(AE$3="","",IF(COUNTIFS(BD!$A$3:$A$5001,AE$3,BD!$B$3:$B$5001,$A$5,BD!$C$3:$C$5001,"&lt;&gt;")=0,"",SUMIFS(BD!$C$3:$C$5001,BD!$A$3:$A$5001,AE$3,BD!$B$3:$B$5001,$A$5)))</f>
        <v/>
      </c>
      <c r="AF5" s="172" t="str">
        <f>IF(AF$3="","",IF(COUNTIFS(BD!$A$3:$A$5001,AF$3,BD!$B$3:$B$5001,$A$5,BD!$C$3:$C$5001,"&lt;&gt;")=0,"",SUMIFS(BD!$C$3:$C$5001,BD!$A$3:$A$5001,AF$3,BD!$B$3:$B$5001,$A$5)))</f>
        <v/>
      </c>
      <c r="AG5" s="172" t="str">
        <f>IF(AG$3="","",IF(COUNTIFS(BD!$A$3:$A$5001,AG$3,BD!$B$3:$B$5001,$A$5,BD!$C$3:$C$5001,"&lt;&gt;")=0,"",SUMIFS(BD!$C$3:$C$5001,BD!$A$3:$A$5001,AG$3,BD!$B$3:$B$5001,$A$5)))</f>
        <v/>
      </c>
      <c r="AH5" s="172" t="str">
        <f>IF(AH$3="","",IF(COUNTIFS(BD!$A$3:$A$5001,AH$3,BD!$B$3:$B$5001,$A$5,BD!$C$3:$C$5001,"&lt;&gt;")=0,"",SUMIFS(BD!$C$3:$C$5001,BD!$A$3:$A$5001,AH$3,BD!$B$3:$B$5001,$A$5)))</f>
        <v/>
      </c>
      <c r="AI5" s="172" t="str">
        <f>IF(AI$3="","",IF(COUNTIFS(BD!$A$3:$A$5001,AI$3,BD!$B$3:$B$5001,$A$5,BD!$C$3:$C$5001,"&lt;&gt;")=0,"",SUMIFS(BD!$C$3:$C$5001,BD!$A$3:$A$5001,AI$3,BD!$B$3:$B$5001,$A$5)))</f>
        <v/>
      </c>
      <c r="AJ5" s="173" t="str">
        <f>IF(AJ$3="","",IF(COUNTIFS(BD!$A$3:$A$5001,AJ$3,BD!$B$3:$B$5001,$A$5,BD!$C$3:$C$5001,"&lt;&gt;")=0,"",SUMIFS(BD!$C$3:$C$5001,BD!$A$3:$A$5001,AJ$3,BD!$B$3:$B$5001,$A$5)))</f>
        <v/>
      </c>
      <c r="AK5" s="174" t="str">
        <f>IF(COUNT(F5:AJ5)=0,"",SUM(F5:AJ5))</f>
        <v/>
      </c>
    </row>
    <row r="6" ht="15.75" customHeight="1">
      <c r="A6" s="261"/>
      <c r="B6" s="250"/>
      <c r="C6" s="175" t="inlineStr">
        <is>
          <t xml:space="preserve">Caixas Movimentadas</t>
        </is>
      </c>
      <c r="D6" s="176" t="str">
        <f>IFERROR(1/(1/INDEX(BD!$AL$27:$BF$27,MATCH($A$5,BD!$AL$22:$BF$22,0))),"")</f>
        <v/>
      </c>
      <c r="E6" s="177"/>
      <c r="F6" s="178" t="str">
        <f>IF(F$3="","",IF(COUNTIFS(BD!$A$3:$A$5001,F$3,BD!$B$3:$B$5001,$A$5,BD!$G$3:$G$5001,"&lt;&gt;")=0,"",SUMIFS(BD!$G$3:$G$5001,BD!$A$3:$A$5001,F$3,BD!$B$3:$B$5001,$A$5)))</f>
        <v/>
      </c>
      <c r="G6" s="179" t="str">
        <f>IF(G$3="","",IF(COUNTIFS(BD!$A$3:$A$5001,G$3,BD!$B$3:$B$5001,$A$5,BD!$G$3:$G$5001,"&lt;&gt;")=0,"",SUMIFS(BD!$G$3:$G$5001,BD!$A$3:$A$5001,G$3,BD!$B$3:$B$5001,$A$5)))</f>
        <v/>
      </c>
      <c r="H6" s="179" t="str">
        <f>IF(H$3="","",IF(COUNTIFS(BD!$A$3:$A$5001,H$3,BD!$B$3:$B$5001,$A$5,BD!$G$3:$G$5001,"&lt;&gt;")=0,"",SUMIFS(BD!$G$3:$G$5001,BD!$A$3:$A$5001,H$3,BD!$B$3:$B$5001,$A$5)))</f>
        <v/>
      </c>
      <c r="I6" s="179" t="str">
        <f>IF(I$3="","",IF(COUNTIFS(BD!$A$3:$A$5001,I$3,BD!$B$3:$B$5001,$A$5,BD!$G$3:$G$5001,"&lt;&gt;")=0,"",SUMIFS(BD!$G$3:$G$5001,BD!$A$3:$A$5001,I$3,BD!$B$3:$B$5001,$A$5)))</f>
        <v/>
      </c>
      <c r="J6" s="179" t="str">
        <f>IF(J$3="","",IF(COUNTIFS(BD!$A$3:$A$5001,J$3,BD!$B$3:$B$5001,$A$5,BD!$G$3:$G$5001,"&lt;&gt;")=0,"",SUMIFS(BD!$G$3:$G$5001,BD!$A$3:$A$5001,J$3,BD!$B$3:$B$5001,$A$5)))</f>
        <v/>
      </c>
      <c r="K6" s="179" t="str">
        <f>IF(K$3="","",IF(COUNTIFS(BD!$A$3:$A$5001,K$3,BD!$B$3:$B$5001,$A$5,BD!$G$3:$G$5001,"&lt;&gt;")=0,"",SUMIFS(BD!$G$3:$G$5001,BD!$A$3:$A$5001,K$3,BD!$B$3:$B$5001,$A$5)))</f>
        <v/>
      </c>
      <c r="L6" s="179" t="str">
        <f>IF(L$3="","",IF(COUNTIFS(BD!$A$3:$A$5001,L$3,BD!$B$3:$B$5001,$A$5,BD!$G$3:$G$5001,"&lt;&gt;")=0,"",SUMIFS(BD!$G$3:$G$5001,BD!$A$3:$A$5001,L$3,BD!$B$3:$B$5001,$A$5)))</f>
        <v/>
      </c>
      <c r="M6" s="179" t="str">
        <f>IF(M$3="","",IF(COUNTIFS(BD!$A$3:$A$5001,M$3,BD!$B$3:$B$5001,$A$5,BD!$G$3:$G$5001,"&lt;&gt;")=0,"",SUMIFS(BD!$G$3:$G$5001,BD!$A$3:$A$5001,M$3,BD!$B$3:$B$5001,$A$5)))</f>
        <v/>
      </c>
      <c r="N6" s="179" t="str">
        <f>IF(N$3="","",IF(COUNTIFS(BD!$A$3:$A$5001,N$3,BD!$B$3:$B$5001,$A$5,BD!$G$3:$G$5001,"&lt;&gt;")=0,"",SUMIFS(BD!$G$3:$G$5001,BD!$A$3:$A$5001,N$3,BD!$B$3:$B$5001,$A$5)))</f>
        <v/>
      </c>
      <c r="O6" s="179" t="str">
        <f>IF(O$3="","",IF(COUNTIFS(BD!$A$3:$A$5001,O$3,BD!$B$3:$B$5001,$A$5,BD!$G$3:$G$5001,"&lt;&gt;")=0,"",SUMIFS(BD!$G$3:$G$5001,BD!$A$3:$A$5001,O$3,BD!$B$3:$B$5001,$A$5)))</f>
        <v/>
      </c>
      <c r="P6" s="179" t="str">
        <f>IF(P$3="","",IF(COUNTIFS(BD!$A$3:$A$5001,P$3,BD!$B$3:$B$5001,$A$5,BD!$G$3:$G$5001,"&lt;&gt;")=0,"",SUMIFS(BD!$G$3:$G$5001,BD!$A$3:$A$5001,P$3,BD!$B$3:$B$5001,$A$5)))</f>
        <v/>
      </c>
      <c r="Q6" s="179" t="str">
        <f>IF(Q$3="","",IF(COUNTIFS(BD!$A$3:$A$5001,Q$3,BD!$B$3:$B$5001,$A$5,BD!$G$3:$G$5001,"&lt;&gt;")=0,"",SUMIFS(BD!$G$3:$G$5001,BD!$A$3:$A$5001,Q$3,BD!$B$3:$B$5001,$A$5)))</f>
        <v/>
      </c>
      <c r="R6" s="179" t="str">
        <f>IF(R$3="","",IF(COUNTIFS(BD!$A$3:$A$5001,R$3,BD!$B$3:$B$5001,$A$5,BD!$G$3:$G$5001,"&lt;&gt;")=0,"",SUMIFS(BD!$G$3:$G$5001,BD!$A$3:$A$5001,R$3,BD!$B$3:$B$5001,$A$5)))</f>
        <v/>
      </c>
      <c r="S6" s="179" t="str">
        <f>IF(S$3="","",IF(COUNTIFS(BD!$A$3:$A$5001,S$3,BD!$B$3:$B$5001,$A$5,BD!$G$3:$G$5001,"&lt;&gt;")=0,"",SUMIFS(BD!$G$3:$G$5001,BD!$A$3:$A$5001,S$3,BD!$B$3:$B$5001,$A$5)))</f>
        <v/>
      </c>
      <c r="T6" s="179" t="str">
        <f>IF(T$3="","",IF(COUNTIFS(BD!$A$3:$A$5001,T$3,BD!$B$3:$B$5001,$A$5,BD!$G$3:$G$5001,"&lt;&gt;")=0,"",SUMIFS(BD!$G$3:$G$5001,BD!$A$3:$A$5001,T$3,BD!$B$3:$B$5001,$A$5)))</f>
        <v/>
      </c>
      <c r="U6" s="179" t="str">
        <f>IF(U$3="","",IF(COUNTIFS(BD!$A$3:$A$5001,U$3,BD!$B$3:$B$5001,$A$5,BD!$G$3:$G$5001,"&lt;&gt;")=0,"",SUMIFS(BD!$G$3:$G$5001,BD!$A$3:$A$5001,U$3,BD!$B$3:$B$5001,$A$5)))</f>
        <v/>
      </c>
      <c r="V6" s="179" t="str">
        <f>IF(V$3="","",IF(COUNTIFS(BD!$A$3:$A$5001,V$3,BD!$B$3:$B$5001,$A$5,BD!$G$3:$G$5001,"&lt;&gt;")=0,"",SUMIFS(BD!$G$3:$G$5001,BD!$A$3:$A$5001,V$3,BD!$B$3:$B$5001,$A$5)))</f>
        <v/>
      </c>
      <c r="W6" s="179" t="str">
        <f>IF(W$3="","",IF(COUNTIFS(BD!$A$3:$A$5001,W$3,BD!$B$3:$B$5001,$A$5,BD!$G$3:$G$5001,"&lt;&gt;")=0,"",SUMIFS(BD!$G$3:$G$5001,BD!$A$3:$A$5001,W$3,BD!$B$3:$B$5001,$A$5)))</f>
        <v/>
      </c>
      <c r="X6" s="179" t="str">
        <f>IF(X$3="","",IF(COUNTIFS(BD!$A$3:$A$5001,X$3,BD!$B$3:$B$5001,$A$5,BD!$G$3:$G$5001,"&lt;&gt;")=0,"",SUMIFS(BD!$G$3:$G$5001,BD!$A$3:$A$5001,X$3,BD!$B$3:$B$5001,$A$5)))</f>
        <v/>
      </c>
      <c r="Y6" s="179" t="str">
        <f>IF(Y$3="","",IF(COUNTIFS(BD!$A$3:$A$5001,Y$3,BD!$B$3:$B$5001,$A$5,BD!$G$3:$G$5001,"&lt;&gt;")=0,"",SUMIFS(BD!$G$3:$G$5001,BD!$A$3:$A$5001,Y$3,BD!$B$3:$B$5001,$A$5)))</f>
        <v/>
      </c>
      <c r="Z6" s="179" t="str">
        <f>IF(Z$3="","",IF(COUNTIFS(BD!$A$3:$A$5001,Z$3,BD!$B$3:$B$5001,$A$5,BD!$G$3:$G$5001,"&lt;&gt;")=0,"",SUMIFS(BD!$G$3:$G$5001,BD!$A$3:$A$5001,Z$3,BD!$B$3:$B$5001,$A$5)))</f>
        <v/>
      </c>
      <c r="AA6" s="179" t="str">
        <f>IF(AA$3="","",IF(COUNTIFS(BD!$A$3:$A$5001,AA$3,BD!$B$3:$B$5001,$A$5,BD!$G$3:$G$5001,"&lt;&gt;")=0,"",SUMIFS(BD!$G$3:$G$5001,BD!$A$3:$A$5001,AA$3,BD!$B$3:$B$5001,$A$5)))</f>
        <v/>
      </c>
      <c r="AB6" s="179" t="str">
        <f>IF(AB$3="","",IF(COUNTIFS(BD!$A$3:$A$5001,AB$3,BD!$B$3:$B$5001,$A$5,BD!$G$3:$G$5001,"&lt;&gt;")=0,"",SUMIFS(BD!$G$3:$G$5001,BD!$A$3:$A$5001,AB$3,BD!$B$3:$B$5001,$A$5)))</f>
        <v/>
      </c>
      <c r="AC6" s="179" t="str">
        <f>IF(AC$3="","",IF(COUNTIFS(BD!$A$3:$A$5001,AC$3,BD!$B$3:$B$5001,$A$5,BD!$G$3:$G$5001,"&lt;&gt;")=0,"",SUMIFS(BD!$G$3:$G$5001,BD!$A$3:$A$5001,AC$3,BD!$B$3:$B$5001,$A$5)))</f>
        <v/>
      </c>
      <c r="AD6" s="179" t="str">
        <f>IF(AD$3="","",IF(COUNTIFS(BD!$A$3:$A$5001,AD$3,BD!$B$3:$B$5001,$A$5,BD!$G$3:$G$5001,"&lt;&gt;")=0,"",SUMIFS(BD!$G$3:$G$5001,BD!$A$3:$A$5001,AD$3,BD!$B$3:$B$5001,$A$5)))</f>
        <v/>
      </c>
      <c r="AE6" s="179" t="str">
        <f>IF(AE$3="","",IF(COUNTIFS(BD!$A$3:$A$5001,AE$3,BD!$B$3:$B$5001,$A$5,BD!$G$3:$G$5001,"&lt;&gt;")=0,"",SUMIFS(BD!$G$3:$G$5001,BD!$A$3:$A$5001,AE$3,BD!$B$3:$B$5001,$A$5)))</f>
        <v/>
      </c>
      <c r="AF6" s="179" t="str">
        <f>IF(AF$3="","",IF(COUNTIFS(BD!$A$3:$A$5001,AF$3,BD!$B$3:$B$5001,$A$5,BD!$G$3:$G$5001,"&lt;&gt;")=0,"",SUMIFS(BD!$G$3:$G$5001,BD!$A$3:$A$5001,AF$3,BD!$B$3:$B$5001,$A$5)))</f>
        <v/>
      </c>
      <c r="AG6" s="179" t="str">
        <f>IF(AG$3="","",IF(COUNTIFS(BD!$A$3:$A$5001,AG$3,BD!$B$3:$B$5001,$A$5,BD!$G$3:$G$5001,"&lt;&gt;")=0,"",SUMIFS(BD!$G$3:$G$5001,BD!$A$3:$A$5001,AG$3,BD!$B$3:$B$5001,$A$5)))</f>
        <v/>
      </c>
      <c r="AH6" s="179" t="str">
        <f>IF(AH$3="","",IF(COUNTIFS(BD!$A$3:$A$5001,AH$3,BD!$B$3:$B$5001,$A$5,BD!$G$3:$G$5001,"&lt;&gt;")=0,"",SUMIFS(BD!$G$3:$G$5001,BD!$A$3:$A$5001,AH$3,BD!$B$3:$B$5001,$A$5)))</f>
        <v/>
      </c>
      <c r="AI6" s="179" t="str">
        <f>IF(AI$3="","",IF(COUNTIFS(BD!$A$3:$A$5001,AI$3,BD!$B$3:$B$5001,$A$5,BD!$G$3:$G$5001,"&lt;&gt;")=0,"",SUMIFS(BD!$G$3:$G$5001,BD!$A$3:$A$5001,AI$3,BD!$B$3:$B$5001,$A$5)))</f>
        <v/>
      </c>
      <c r="AJ6" s="180" t="str">
        <f>IF(AJ$3="","",IF(COUNTIFS(BD!$A$3:$A$5001,AJ$3,BD!$B$3:$B$5001,$A$5,BD!$G$3:$G$5001,"&lt;&gt;")=0,"",SUMIFS(BD!$G$3:$G$5001,BD!$A$3:$A$5001,AJ$3,BD!$B$3:$B$5001,$A$5)))</f>
        <v/>
      </c>
      <c r="AK6" s="176" t="str">
        <f>IF(COUNT(F6:AJ6)=0,"",SUM(F6:AJ6))</f>
        <v/>
      </c>
    </row>
    <row r="7" ht="15.75" customHeight="1">
      <c r="A7" s="261"/>
      <c r="B7" s="251" t="inlineStr">
        <is>
          <t xml:space="preserve">OUT</t>
        </is>
      </c>
      <c r="C7" s="181" t="inlineStr">
        <is>
          <t xml:space="preserve">Veículos Expedidos</t>
        </is>
      </c>
      <c r="D7" s="182" t="str">
        <f>IFERROR(1/(1/INDEX(BD!$AL$32:$BF$32,MATCH($A$5,BD!$AL$22:$BF$22,0))),"")</f>
        <v/>
      </c>
      <c r="E7" s="183"/>
      <c r="F7" s="184" t="str">
        <f>IF(F$3="","",IF(COUNTIFS(BD!$A$3:$A$5001,F$3,BD!$B$3:$B$5001,$A$5,BD!$L$3:$L$5001,"&lt;&gt;")=0,"",SUMIFS(BD!$L$3:$L$5001,BD!$A$3:$A$5001,F$3,BD!$B$3:$B$5001,$A$5)))</f>
        <v/>
      </c>
      <c r="G7" s="185" t="str">
        <f>IF(G$3="","",IF(COUNTIFS(BD!$A$3:$A$5001,G$3,BD!$B$3:$B$5001,$A$5,BD!$L$3:$L$5001,"&lt;&gt;")=0,"",SUMIFS(BD!$L$3:$L$5001,BD!$A$3:$A$5001,G$3,BD!$B$3:$B$5001,$A$5)))</f>
        <v/>
      </c>
      <c r="H7" s="185" t="str">
        <f>IF(H$3="","",IF(COUNTIFS(BD!$A$3:$A$5001,H$3,BD!$B$3:$B$5001,$A$5,BD!$L$3:$L$5001,"&lt;&gt;")=0,"",SUMIFS(BD!$L$3:$L$5001,BD!$A$3:$A$5001,H$3,BD!$B$3:$B$5001,$A$5)))</f>
        <v/>
      </c>
      <c r="I7" s="185" t="str">
        <f>IF(I$3="","",IF(COUNTIFS(BD!$A$3:$A$5001,I$3,BD!$B$3:$B$5001,$A$5,BD!$L$3:$L$5001,"&lt;&gt;")=0,"",SUMIFS(BD!$L$3:$L$5001,BD!$A$3:$A$5001,I$3,BD!$B$3:$B$5001,$A$5)))</f>
        <v/>
      </c>
      <c r="J7" s="185" t="str">
        <f>IF(J$3="","",IF(COUNTIFS(BD!$A$3:$A$5001,J$3,BD!$B$3:$B$5001,$A$5,BD!$L$3:$L$5001,"&lt;&gt;")=0,"",SUMIFS(BD!$L$3:$L$5001,BD!$A$3:$A$5001,J$3,BD!$B$3:$B$5001,$A$5)))</f>
        <v/>
      </c>
      <c r="K7" s="185" t="str">
        <f>IF(K$3="","",IF(COUNTIFS(BD!$A$3:$A$5001,K$3,BD!$B$3:$B$5001,$A$5,BD!$L$3:$L$5001,"&lt;&gt;")=0,"",SUMIFS(BD!$L$3:$L$5001,BD!$A$3:$A$5001,K$3,BD!$B$3:$B$5001,$A$5)))</f>
        <v/>
      </c>
      <c r="L7" s="185" t="str">
        <f>IF(L$3="","",IF(COUNTIFS(BD!$A$3:$A$5001,L$3,BD!$B$3:$B$5001,$A$5,BD!$L$3:$L$5001,"&lt;&gt;")=0,"",SUMIFS(BD!$L$3:$L$5001,BD!$A$3:$A$5001,L$3,BD!$B$3:$B$5001,$A$5)))</f>
        <v/>
      </c>
      <c r="M7" s="185" t="str">
        <f>IF(M$3="","",IF(COUNTIFS(BD!$A$3:$A$5001,M$3,BD!$B$3:$B$5001,$A$5,BD!$L$3:$L$5001,"&lt;&gt;")=0,"",SUMIFS(BD!$L$3:$L$5001,BD!$A$3:$A$5001,M$3,BD!$B$3:$B$5001,$A$5)))</f>
        <v/>
      </c>
      <c r="N7" s="185" t="str">
        <f>IF(N$3="","",IF(COUNTIFS(BD!$A$3:$A$5001,N$3,BD!$B$3:$B$5001,$A$5,BD!$L$3:$L$5001,"&lt;&gt;")=0,"",SUMIFS(BD!$L$3:$L$5001,BD!$A$3:$A$5001,N$3,BD!$B$3:$B$5001,$A$5)))</f>
        <v/>
      </c>
      <c r="O7" s="185" t="str">
        <f>IF(O$3="","",IF(COUNTIFS(BD!$A$3:$A$5001,O$3,BD!$B$3:$B$5001,$A$5,BD!$L$3:$L$5001,"&lt;&gt;")=0,"",SUMIFS(BD!$L$3:$L$5001,BD!$A$3:$A$5001,O$3,BD!$B$3:$B$5001,$A$5)))</f>
        <v/>
      </c>
      <c r="P7" s="185" t="str">
        <f>IF(P$3="","",IF(COUNTIFS(BD!$A$3:$A$5001,P$3,BD!$B$3:$B$5001,$A$5,BD!$L$3:$L$5001,"&lt;&gt;")=0,"",SUMIFS(BD!$L$3:$L$5001,BD!$A$3:$A$5001,P$3,BD!$B$3:$B$5001,$A$5)))</f>
        <v/>
      </c>
      <c r="Q7" s="185" t="str">
        <f>IF(Q$3="","",IF(COUNTIFS(BD!$A$3:$A$5001,Q$3,BD!$B$3:$B$5001,$A$5,BD!$L$3:$L$5001,"&lt;&gt;")=0,"",SUMIFS(BD!$L$3:$L$5001,BD!$A$3:$A$5001,Q$3,BD!$B$3:$B$5001,$A$5)))</f>
        <v/>
      </c>
      <c r="R7" s="185" t="str">
        <f>IF(R$3="","",IF(COUNTIFS(BD!$A$3:$A$5001,R$3,BD!$B$3:$B$5001,$A$5,BD!$L$3:$L$5001,"&lt;&gt;")=0,"",SUMIFS(BD!$L$3:$L$5001,BD!$A$3:$A$5001,R$3,BD!$B$3:$B$5001,$A$5)))</f>
        <v/>
      </c>
      <c r="S7" s="185" t="str">
        <f>IF(S$3="","",IF(COUNTIFS(BD!$A$3:$A$5001,S$3,BD!$B$3:$B$5001,$A$5,BD!$L$3:$L$5001,"&lt;&gt;")=0,"",SUMIFS(BD!$L$3:$L$5001,BD!$A$3:$A$5001,S$3,BD!$B$3:$B$5001,$A$5)))</f>
        <v/>
      </c>
      <c r="T7" s="185" t="str">
        <f>IF(T$3="","",IF(COUNTIFS(BD!$A$3:$A$5001,T$3,BD!$B$3:$B$5001,$A$5,BD!$L$3:$L$5001,"&lt;&gt;")=0,"",SUMIFS(BD!$L$3:$L$5001,BD!$A$3:$A$5001,T$3,BD!$B$3:$B$5001,$A$5)))</f>
        <v/>
      </c>
      <c r="U7" s="185" t="str">
        <f>IF(U$3="","",IF(COUNTIFS(BD!$A$3:$A$5001,U$3,BD!$B$3:$B$5001,$A$5,BD!$L$3:$L$5001,"&lt;&gt;")=0,"",SUMIFS(BD!$L$3:$L$5001,BD!$A$3:$A$5001,U$3,BD!$B$3:$B$5001,$A$5)))</f>
        <v/>
      </c>
      <c r="V7" s="185" t="str">
        <f>IF(V$3="","",IF(COUNTIFS(BD!$A$3:$A$5001,V$3,BD!$B$3:$B$5001,$A$5,BD!$L$3:$L$5001,"&lt;&gt;")=0,"",SUMIFS(BD!$L$3:$L$5001,BD!$A$3:$A$5001,V$3,BD!$B$3:$B$5001,$A$5)))</f>
        <v/>
      </c>
      <c r="W7" s="185" t="str">
        <f>IF(W$3="","",IF(COUNTIFS(BD!$A$3:$A$5001,W$3,BD!$B$3:$B$5001,$A$5,BD!$L$3:$L$5001,"&lt;&gt;")=0,"",SUMIFS(BD!$L$3:$L$5001,BD!$A$3:$A$5001,W$3,BD!$B$3:$B$5001,$A$5)))</f>
        <v/>
      </c>
      <c r="X7" s="185" t="str">
        <f>IF(X$3="","",IF(COUNTIFS(BD!$A$3:$A$5001,X$3,BD!$B$3:$B$5001,$A$5,BD!$L$3:$L$5001,"&lt;&gt;")=0,"",SUMIFS(BD!$L$3:$L$5001,BD!$A$3:$A$5001,X$3,BD!$B$3:$B$5001,$A$5)))</f>
        <v/>
      </c>
      <c r="Y7" s="185" t="str">
        <f>IF(Y$3="","",IF(COUNTIFS(BD!$A$3:$A$5001,Y$3,BD!$B$3:$B$5001,$A$5,BD!$L$3:$L$5001,"&lt;&gt;")=0,"",SUMIFS(BD!$L$3:$L$5001,BD!$A$3:$A$5001,Y$3,BD!$B$3:$B$5001,$A$5)))</f>
        <v/>
      </c>
      <c r="Z7" s="185" t="str">
        <f>IF(Z$3="","",IF(COUNTIFS(BD!$A$3:$A$5001,Z$3,BD!$B$3:$B$5001,$A$5,BD!$L$3:$L$5001,"&lt;&gt;")=0,"",SUMIFS(BD!$L$3:$L$5001,BD!$A$3:$A$5001,Z$3,BD!$B$3:$B$5001,$A$5)))</f>
        <v/>
      </c>
      <c r="AA7" s="185" t="str">
        <f>IF(AA$3="","",IF(COUNTIFS(BD!$A$3:$A$5001,AA$3,BD!$B$3:$B$5001,$A$5,BD!$L$3:$L$5001,"&lt;&gt;")=0,"",SUMIFS(BD!$L$3:$L$5001,BD!$A$3:$A$5001,AA$3,BD!$B$3:$B$5001,$A$5)))</f>
        <v/>
      </c>
      <c r="AB7" s="185" t="str">
        <f>IF(AB$3="","",IF(COUNTIFS(BD!$A$3:$A$5001,AB$3,BD!$B$3:$B$5001,$A$5,BD!$L$3:$L$5001,"&lt;&gt;")=0,"",SUMIFS(BD!$L$3:$L$5001,BD!$A$3:$A$5001,AB$3,BD!$B$3:$B$5001,$A$5)))</f>
        <v/>
      </c>
      <c r="AC7" s="185" t="str">
        <f>IF(AC$3="","",IF(COUNTIFS(BD!$A$3:$A$5001,AC$3,BD!$B$3:$B$5001,$A$5,BD!$L$3:$L$5001,"&lt;&gt;")=0,"",SUMIFS(BD!$L$3:$L$5001,BD!$A$3:$A$5001,AC$3,BD!$B$3:$B$5001,$A$5)))</f>
        <v/>
      </c>
      <c r="AD7" s="185" t="str">
        <f>IF(AD$3="","",IF(COUNTIFS(BD!$A$3:$A$5001,AD$3,BD!$B$3:$B$5001,$A$5,BD!$L$3:$L$5001,"&lt;&gt;")=0,"",SUMIFS(BD!$L$3:$L$5001,BD!$A$3:$A$5001,AD$3,BD!$B$3:$B$5001,$A$5)))</f>
        <v/>
      </c>
      <c r="AE7" s="185" t="str">
        <f>IF(AE$3="","",IF(COUNTIFS(BD!$A$3:$A$5001,AE$3,BD!$B$3:$B$5001,$A$5,BD!$L$3:$L$5001,"&lt;&gt;")=0,"",SUMIFS(BD!$L$3:$L$5001,BD!$A$3:$A$5001,AE$3,BD!$B$3:$B$5001,$A$5)))</f>
        <v/>
      </c>
      <c r="AF7" s="185" t="str">
        <f>IF(AF$3="","",IF(COUNTIFS(BD!$A$3:$A$5001,AF$3,BD!$B$3:$B$5001,$A$5,BD!$L$3:$L$5001,"&lt;&gt;")=0,"",SUMIFS(BD!$L$3:$L$5001,BD!$A$3:$A$5001,AF$3,BD!$B$3:$B$5001,$A$5)))</f>
        <v/>
      </c>
      <c r="AG7" s="185" t="str">
        <f>IF(AG$3="","",IF(COUNTIFS(BD!$A$3:$A$5001,AG$3,BD!$B$3:$B$5001,$A$5,BD!$L$3:$L$5001,"&lt;&gt;")=0,"",SUMIFS(BD!$L$3:$L$5001,BD!$A$3:$A$5001,AG$3,BD!$B$3:$B$5001,$A$5)))</f>
        <v/>
      </c>
      <c r="AH7" s="185" t="str">
        <f>IF(AH$3="","",IF(COUNTIFS(BD!$A$3:$A$5001,AH$3,BD!$B$3:$B$5001,$A$5,BD!$L$3:$L$5001,"&lt;&gt;")=0,"",SUMIFS(BD!$L$3:$L$5001,BD!$A$3:$A$5001,AH$3,BD!$B$3:$B$5001,$A$5)))</f>
        <v/>
      </c>
      <c r="AI7" s="185" t="str">
        <f>IF(AI$3="","",IF(COUNTIFS(BD!$A$3:$A$5001,AI$3,BD!$B$3:$B$5001,$A$5,BD!$L$3:$L$5001,"&lt;&gt;")=0,"",SUMIFS(BD!$L$3:$L$5001,BD!$A$3:$A$5001,AI$3,BD!$B$3:$B$5001,$A$5)))</f>
        <v/>
      </c>
      <c r="AJ7" s="186" t="str">
        <f>IF(AJ$3="","",IF(COUNTIFS(BD!$A$3:$A$5001,AJ$3,BD!$B$3:$B$5001,$A$5,BD!$L$3:$L$5001,"&lt;&gt;")=0,"",SUMIFS(BD!$L$3:$L$5001,BD!$A$3:$A$5001,AJ$3,BD!$B$3:$B$5001,$A$5)))</f>
        <v/>
      </c>
      <c r="AK7" s="187" t="str">
        <f>IF(COUNT(F7:AJ7)=0,"",SUM(F7:AJ7))</f>
        <v/>
      </c>
    </row>
    <row r="8" ht="15.75" customHeight="1">
      <c r="A8" s="261"/>
      <c r="B8" s="252"/>
      <c r="C8" s="188" t="inlineStr">
        <is>
          <t xml:space="preserve">Caixas Expedidas</t>
        </is>
      </c>
      <c r="D8" s="189" t="str">
        <f>IFERROR(1/(1/INDEX(BD!$AL$37:$BF$37,MATCH($A$5,BD!$AL$22:$BF$22,0))),"")</f>
        <v/>
      </c>
      <c r="E8" s="190"/>
      <c r="F8" s="191" t="str">
        <f>IF(F$3="","",IF(COUNTIFS(BD!$A$3:$A$5001,F$3,BD!$B$3:$B$5001,$A$5,BD!$Q$3:$Q$5001,"&lt;&gt;")=0,"",SUMIFS(BD!$Q$3:$Q$5001,BD!$A$3:$A$5001,F$3,BD!$B$3:$B$5001,$A$5)))</f>
        <v/>
      </c>
      <c r="G8" s="192" t="str">
        <f>IF(G$3="","",IF(COUNTIFS(BD!$A$3:$A$5001,G$3,BD!$B$3:$B$5001,$A$5,BD!$Q$3:$Q$5001,"&lt;&gt;")=0,"",SUMIFS(BD!$Q$3:$Q$5001,BD!$A$3:$A$5001,G$3,BD!$B$3:$B$5001,$A$5)))</f>
        <v/>
      </c>
      <c r="H8" s="192" t="str">
        <f>IF(H$3="","",IF(COUNTIFS(BD!$A$3:$A$5001,H$3,BD!$B$3:$B$5001,$A$5,BD!$Q$3:$Q$5001,"&lt;&gt;")=0,"",SUMIFS(BD!$Q$3:$Q$5001,BD!$A$3:$A$5001,H$3,BD!$B$3:$B$5001,$A$5)))</f>
        <v/>
      </c>
      <c r="I8" s="192" t="str">
        <f>IF(I$3="","",IF(COUNTIFS(BD!$A$3:$A$5001,I$3,BD!$B$3:$B$5001,$A$5,BD!$Q$3:$Q$5001,"&lt;&gt;")=0,"",SUMIFS(BD!$Q$3:$Q$5001,BD!$A$3:$A$5001,I$3,BD!$B$3:$B$5001,$A$5)))</f>
        <v/>
      </c>
      <c r="J8" s="192" t="str">
        <f>IF(J$3="","",IF(COUNTIFS(BD!$A$3:$A$5001,J$3,BD!$B$3:$B$5001,$A$5,BD!$Q$3:$Q$5001,"&lt;&gt;")=0,"",SUMIFS(BD!$Q$3:$Q$5001,BD!$A$3:$A$5001,J$3,BD!$B$3:$B$5001,$A$5)))</f>
        <v/>
      </c>
      <c r="K8" s="192" t="str">
        <f>IF(K$3="","",IF(COUNTIFS(BD!$A$3:$A$5001,K$3,BD!$B$3:$B$5001,$A$5,BD!$Q$3:$Q$5001,"&lt;&gt;")=0,"",SUMIFS(BD!$Q$3:$Q$5001,BD!$A$3:$A$5001,K$3,BD!$B$3:$B$5001,$A$5)))</f>
        <v/>
      </c>
      <c r="L8" s="192" t="str">
        <f>IF(L$3="","",IF(COUNTIFS(BD!$A$3:$A$5001,L$3,BD!$B$3:$B$5001,$A$5,BD!$Q$3:$Q$5001,"&lt;&gt;")=0,"",SUMIFS(BD!$Q$3:$Q$5001,BD!$A$3:$A$5001,L$3,BD!$B$3:$B$5001,$A$5)))</f>
        <v/>
      </c>
      <c r="M8" s="192" t="str">
        <f>IF(M$3="","",IF(COUNTIFS(BD!$A$3:$A$5001,M$3,BD!$B$3:$B$5001,$A$5,BD!$Q$3:$Q$5001,"&lt;&gt;")=0,"",SUMIFS(BD!$Q$3:$Q$5001,BD!$A$3:$A$5001,M$3,BD!$B$3:$B$5001,$A$5)))</f>
        <v/>
      </c>
      <c r="N8" s="192" t="str">
        <f>IF(N$3="","",IF(COUNTIFS(BD!$A$3:$A$5001,N$3,BD!$B$3:$B$5001,$A$5,BD!$Q$3:$Q$5001,"&lt;&gt;")=0,"",SUMIFS(BD!$Q$3:$Q$5001,BD!$A$3:$A$5001,N$3,BD!$B$3:$B$5001,$A$5)))</f>
        <v/>
      </c>
      <c r="O8" s="192" t="str">
        <f>IF(O$3="","",IF(COUNTIFS(BD!$A$3:$A$5001,O$3,BD!$B$3:$B$5001,$A$5,BD!$Q$3:$Q$5001,"&lt;&gt;")=0,"",SUMIFS(BD!$Q$3:$Q$5001,BD!$A$3:$A$5001,O$3,BD!$B$3:$B$5001,$A$5)))</f>
        <v/>
      </c>
      <c r="P8" s="192" t="str">
        <f>IF(P$3="","",IF(COUNTIFS(BD!$A$3:$A$5001,P$3,BD!$B$3:$B$5001,$A$5,BD!$Q$3:$Q$5001,"&lt;&gt;")=0,"",SUMIFS(BD!$Q$3:$Q$5001,BD!$A$3:$A$5001,P$3,BD!$B$3:$B$5001,$A$5)))</f>
        <v/>
      </c>
      <c r="Q8" s="192" t="str">
        <f>IF(Q$3="","",IF(COUNTIFS(BD!$A$3:$A$5001,Q$3,BD!$B$3:$B$5001,$A$5,BD!$Q$3:$Q$5001,"&lt;&gt;")=0,"",SUMIFS(BD!$Q$3:$Q$5001,BD!$A$3:$A$5001,Q$3,BD!$B$3:$B$5001,$A$5)))</f>
        <v/>
      </c>
      <c r="R8" s="192" t="str">
        <f>IF(R$3="","",IF(COUNTIFS(BD!$A$3:$A$5001,R$3,BD!$B$3:$B$5001,$A$5,BD!$Q$3:$Q$5001,"&lt;&gt;")=0,"",SUMIFS(BD!$Q$3:$Q$5001,BD!$A$3:$A$5001,R$3,BD!$B$3:$B$5001,$A$5)))</f>
        <v/>
      </c>
      <c r="S8" s="192" t="str">
        <f>IF(S$3="","",IF(COUNTIFS(BD!$A$3:$A$5001,S$3,BD!$B$3:$B$5001,$A$5,BD!$Q$3:$Q$5001,"&lt;&gt;")=0,"",SUMIFS(BD!$Q$3:$Q$5001,BD!$A$3:$A$5001,S$3,BD!$B$3:$B$5001,$A$5)))</f>
        <v/>
      </c>
      <c r="T8" s="192" t="str">
        <f>IF(T$3="","",IF(COUNTIFS(BD!$A$3:$A$5001,T$3,BD!$B$3:$B$5001,$A$5,BD!$Q$3:$Q$5001,"&lt;&gt;")=0,"",SUMIFS(BD!$Q$3:$Q$5001,BD!$A$3:$A$5001,T$3,BD!$B$3:$B$5001,$A$5)))</f>
        <v/>
      </c>
      <c r="U8" s="192" t="str">
        <f>IF(U$3="","",IF(COUNTIFS(BD!$A$3:$A$5001,U$3,BD!$B$3:$B$5001,$A$5,BD!$Q$3:$Q$5001,"&lt;&gt;")=0,"",SUMIFS(BD!$Q$3:$Q$5001,BD!$A$3:$A$5001,U$3,BD!$B$3:$B$5001,$A$5)))</f>
        <v/>
      </c>
      <c r="V8" s="192" t="str">
        <f>IF(V$3="","",IF(COUNTIFS(BD!$A$3:$A$5001,V$3,BD!$B$3:$B$5001,$A$5,BD!$Q$3:$Q$5001,"&lt;&gt;")=0,"",SUMIFS(BD!$Q$3:$Q$5001,BD!$A$3:$A$5001,V$3,BD!$B$3:$B$5001,$A$5)))</f>
        <v/>
      </c>
      <c r="W8" s="192" t="str">
        <f>IF(W$3="","",IF(COUNTIFS(BD!$A$3:$A$5001,W$3,BD!$B$3:$B$5001,$A$5,BD!$Q$3:$Q$5001,"&lt;&gt;")=0,"",SUMIFS(BD!$Q$3:$Q$5001,BD!$A$3:$A$5001,W$3,BD!$B$3:$B$5001,$A$5)))</f>
        <v/>
      </c>
      <c r="X8" s="192" t="str">
        <f>IF(X$3="","",IF(COUNTIFS(BD!$A$3:$A$5001,X$3,BD!$B$3:$B$5001,$A$5,BD!$Q$3:$Q$5001,"&lt;&gt;")=0,"",SUMIFS(BD!$Q$3:$Q$5001,BD!$A$3:$A$5001,X$3,BD!$B$3:$B$5001,$A$5)))</f>
        <v/>
      </c>
      <c r="Y8" s="192" t="str">
        <f>IF(Y$3="","",IF(COUNTIFS(BD!$A$3:$A$5001,Y$3,BD!$B$3:$B$5001,$A$5,BD!$Q$3:$Q$5001,"&lt;&gt;")=0,"",SUMIFS(BD!$Q$3:$Q$5001,BD!$A$3:$A$5001,Y$3,BD!$B$3:$B$5001,$A$5)))</f>
        <v/>
      </c>
      <c r="Z8" s="192" t="str">
        <f>IF(Z$3="","",IF(COUNTIFS(BD!$A$3:$A$5001,Z$3,BD!$B$3:$B$5001,$A$5,BD!$Q$3:$Q$5001,"&lt;&gt;")=0,"",SUMIFS(BD!$Q$3:$Q$5001,BD!$A$3:$A$5001,Z$3,BD!$B$3:$B$5001,$A$5)))</f>
        <v/>
      </c>
      <c r="AA8" s="192" t="str">
        <f>IF(AA$3="","",IF(COUNTIFS(BD!$A$3:$A$5001,AA$3,BD!$B$3:$B$5001,$A$5,BD!$Q$3:$Q$5001,"&lt;&gt;")=0,"",SUMIFS(BD!$Q$3:$Q$5001,BD!$A$3:$A$5001,AA$3,BD!$B$3:$B$5001,$A$5)))</f>
        <v/>
      </c>
      <c r="AB8" s="192" t="str">
        <f>IF(AB$3="","",IF(COUNTIFS(BD!$A$3:$A$5001,AB$3,BD!$B$3:$B$5001,$A$5,BD!$Q$3:$Q$5001,"&lt;&gt;")=0,"",SUMIFS(BD!$Q$3:$Q$5001,BD!$A$3:$A$5001,AB$3,BD!$B$3:$B$5001,$A$5)))</f>
        <v/>
      </c>
      <c r="AC8" s="192" t="str">
        <f>IF(AC$3="","",IF(COUNTIFS(BD!$A$3:$A$5001,AC$3,BD!$B$3:$B$5001,$A$5,BD!$Q$3:$Q$5001,"&lt;&gt;")=0,"",SUMIFS(BD!$Q$3:$Q$5001,BD!$A$3:$A$5001,AC$3,BD!$B$3:$B$5001,$A$5)))</f>
        <v/>
      </c>
      <c r="AD8" s="192" t="str">
        <f>IF(AD$3="","",IF(COUNTIFS(BD!$A$3:$A$5001,AD$3,BD!$B$3:$B$5001,$A$5,BD!$Q$3:$Q$5001,"&lt;&gt;")=0,"",SUMIFS(BD!$Q$3:$Q$5001,BD!$A$3:$A$5001,AD$3,BD!$B$3:$B$5001,$A$5)))</f>
        <v/>
      </c>
      <c r="AE8" s="192" t="str">
        <f>IF(AE$3="","",IF(COUNTIFS(BD!$A$3:$A$5001,AE$3,BD!$B$3:$B$5001,$A$5,BD!$Q$3:$Q$5001,"&lt;&gt;")=0,"",SUMIFS(BD!$Q$3:$Q$5001,BD!$A$3:$A$5001,AE$3,BD!$B$3:$B$5001,$A$5)))</f>
        <v/>
      </c>
      <c r="AF8" s="192" t="str">
        <f>IF(AF$3="","",IF(COUNTIFS(BD!$A$3:$A$5001,AF$3,BD!$B$3:$B$5001,$A$5,BD!$Q$3:$Q$5001,"&lt;&gt;")=0,"",SUMIFS(BD!$Q$3:$Q$5001,BD!$A$3:$A$5001,AF$3,BD!$B$3:$B$5001,$A$5)))</f>
        <v/>
      </c>
      <c r="AG8" s="192" t="str">
        <f>IF(AG$3="","",IF(COUNTIFS(BD!$A$3:$A$5001,AG$3,BD!$B$3:$B$5001,$A$5,BD!$Q$3:$Q$5001,"&lt;&gt;")=0,"",SUMIFS(BD!$Q$3:$Q$5001,BD!$A$3:$A$5001,AG$3,BD!$B$3:$B$5001,$A$5)))</f>
        <v/>
      </c>
      <c r="AH8" s="192" t="str">
        <f>IF(AH$3="","",IF(COUNTIFS(BD!$A$3:$A$5001,AH$3,BD!$B$3:$B$5001,$A$5,BD!$Q$3:$Q$5001,"&lt;&gt;")=0,"",SUMIFS(BD!$Q$3:$Q$5001,BD!$A$3:$A$5001,AH$3,BD!$B$3:$B$5001,$A$5)))</f>
        <v/>
      </c>
      <c r="AI8" s="192" t="str">
        <f>IF(AI$3="","",IF(COUNTIFS(BD!$A$3:$A$5001,AI$3,BD!$B$3:$B$5001,$A$5,BD!$Q$3:$Q$5001,"&lt;&gt;")=0,"",SUMIFS(BD!$Q$3:$Q$5001,BD!$A$3:$A$5001,AI$3,BD!$B$3:$B$5001,$A$5)))</f>
        <v/>
      </c>
      <c r="AJ8" s="193" t="str">
        <f>IF(AJ$3="","",IF(COUNTIFS(BD!$A$3:$A$5001,AJ$3,BD!$B$3:$B$5001,$A$5,BD!$Q$3:$Q$5001,"&lt;&gt;")=0,"",SUMIFS(BD!$Q$3:$Q$5001,BD!$A$3:$A$5001,AJ$3,BD!$B$3:$B$5001,$A$5)))</f>
        <v/>
      </c>
      <c r="AK8" s="189" t="str">
        <f>IF(COUNT(F8:AJ8)=0,"",SUM(F8:AJ8))</f>
        <v/>
      </c>
    </row>
    <row r="9" ht="15.75" customHeight="1">
      <c r="A9" s="261"/>
      <c r="B9" s="253" t="inlineStr">
        <is>
          <t xml:space="preserve">NC</t>
        </is>
      </c>
      <c r="C9" s="194" t="inlineStr">
        <is>
          <t xml:space="preserve">Incidentes</t>
        </is>
      </c>
      <c r="D9" s="195" t="str">
        <f>IFERROR(1/(1/INDEX(BD!$AL$40:$BF$40,MATCH($A$5,BD!$AL$22:$BF$22,0))),"")</f>
        <v/>
      </c>
      <c r="E9" s="196"/>
      <c r="F9" s="197" t="str">
        <f>IF(F$3="","",IF(COUNTIFS(BD!$A$3:$A$5001,F$3,BD!$B$3:$B$5001,$A$5,BD!$T$3:$T$5001,"&lt;&gt;")=0,"",SUMIFS(BD!$T$3:$T$5001,BD!$A$3:$A$5001,F$3,BD!$B$3:$B$5001,$A$5)))</f>
        <v/>
      </c>
      <c r="G9" s="198" t="str">
        <f>IF(G$3="","",IF(COUNTIFS(BD!$A$3:$A$5001,G$3,BD!$B$3:$B$5001,$A$5,BD!$T$3:$T$5001,"&lt;&gt;")=0,"",SUMIFS(BD!$T$3:$T$5001,BD!$A$3:$A$5001,G$3,BD!$B$3:$B$5001,$A$5)))</f>
        <v/>
      </c>
      <c r="H9" s="198" t="str">
        <f>IF(H$3="","",IF(COUNTIFS(BD!$A$3:$A$5001,H$3,BD!$B$3:$B$5001,$A$5,BD!$T$3:$T$5001,"&lt;&gt;")=0,"",SUMIFS(BD!$T$3:$T$5001,BD!$A$3:$A$5001,H$3,BD!$B$3:$B$5001,$A$5)))</f>
        <v/>
      </c>
      <c r="I9" s="198" t="str">
        <f>IF(I$3="","",IF(COUNTIFS(BD!$A$3:$A$5001,I$3,BD!$B$3:$B$5001,$A$5,BD!$T$3:$T$5001,"&lt;&gt;")=0,"",SUMIFS(BD!$T$3:$T$5001,BD!$A$3:$A$5001,I$3,BD!$B$3:$B$5001,$A$5)))</f>
        <v/>
      </c>
      <c r="J9" s="198" t="str">
        <f>IF(J$3="","",IF(COUNTIFS(BD!$A$3:$A$5001,J$3,BD!$B$3:$B$5001,$A$5,BD!$T$3:$T$5001,"&lt;&gt;")=0,"",SUMIFS(BD!$T$3:$T$5001,BD!$A$3:$A$5001,J$3,BD!$B$3:$B$5001,$A$5)))</f>
        <v/>
      </c>
      <c r="K9" s="198" t="str">
        <f>IF(K$3="","",IF(COUNTIFS(BD!$A$3:$A$5001,K$3,BD!$B$3:$B$5001,$A$5,BD!$T$3:$T$5001,"&lt;&gt;")=0,"",SUMIFS(BD!$T$3:$T$5001,BD!$A$3:$A$5001,K$3,BD!$B$3:$B$5001,$A$5)))</f>
        <v/>
      </c>
      <c r="L9" s="198" t="str">
        <f>IF(L$3="","",IF(COUNTIFS(BD!$A$3:$A$5001,L$3,BD!$B$3:$B$5001,$A$5,BD!$T$3:$T$5001,"&lt;&gt;")=0,"",SUMIFS(BD!$T$3:$T$5001,BD!$A$3:$A$5001,L$3,BD!$B$3:$B$5001,$A$5)))</f>
        <v/>
      </c>
      <c r="M9" s="198" t="str">
        <f>IF(M$3="","",IF(COUNTIFS(BD!$A$3:$A$5001,M$3,BD!$B$3:$B$5001,$A$5,BD!$T$3:$T$5001,"&lt;&gt;")=0,"",SUMIFS(BD!$T$3:$T$5001,BD!$A$3:$A$5001,M$3,BD!$B$3:$B$5001,$A$5)))</f>
        <v/>
      </c>
      <c r="N9" s="198" t="str">
        <f>IF(N$3="","",IF(COUNTIFS(BD!$A$3:$A$5001,N$3,BD!$B$3:$B$5001,$A$5,BD!$T$3:$T$5001,"&lt;&gt;")=0,"",SUMIFS(BD!$T$3:$T$5001,BD!$A$3:$A$5001,N$3,BD!$B$3:$B$5001,$A$5)))</f>
        <v/>
      </c>
      <c r="O9" s="198" t="str">
        <f>IF(O$3="","",IF(COUNTIFS(BD!$A$3:$A$5001,O$3,BD!$B$3:$B$5001,$A$5,BD!$T$3:$T$5001,"&lt;&gt;")=0,"",SUMIFS(BD!$T$3:$T$5001,BD!$A$3:$A$5001,O$3,BD!$B$3:$B$5001,$A$5)))</f>
        <v/>
      </c>
      <c r="P9" s="198" t="str">
        <f>IF(P$3="","",IF(COUNTIFS(BD!$A$3:$A$5001,P$3,BD!$B$3:$B$5001,$A$5,BD!$T$3:$T$5001,"&lt;&gt;")=0,"",SUMIFS(BD!$T$3:$T$5001,BD!$A$3:$A$5001,P$3,BD!$B$3:$B$5001,$A$5)))</f>
        <v/>
      </c>
      <c r="Q9" s="198" t="str">
        <f>IF(Q$3="","",IF(COUNTIFS(BD!$A$3:$A$5001,Q$3,BD!$B$3:$B$5001,$A$5,BD!$T$3:$T$5001,"&lt;&gt;")=0,"",SUMIFS(BD!$T$3:$T$5001,BD!$A$3:$A$5001,Q$3,BD!$B$3:$B$5001,$A$5)))</f>
        <v/>
      </c>
      <c r="R9" s="198" t="str">
        <f>IF(R$3="","",IF(COUNTIFS(BD!$A$3:$A$5001,R$3,BD!$B$3:$B$5001,$A$5,BD!$T$3:$T$5001,"&lt;&gt;")=0,"",SUMIFS(BD!$T$3:$T$5001,BD!$A$3:$A$5001,R$3,BD!$B$3:$B$5001,$A$5)))</f>
        <v/>
      </c>
      <c r="S9" s="198" t="str">
        <f>IF(S$3="","",IF(COUNTIFS(BD!$A$3:$A$5001,S$3,BD!$B$3:$B$5001,$A$5,BD!$T$3:$T$5001,"&lt;&gt;")=0,"",SUMIFS(BD!$T$3:$T$5001,BD!$A$3:$A$5001,S$3,BD!$B$3:$B$5001,$A$5)))</f>
        <v/>
      </c>
      <c r="T9" s="198" t="str">
        <f>IF(T$3="","",IF(COUNTIFS(BD!$A$3:$A$5001,T$3,BD!$B$3:$B$5001,$A$5,BD!$T$3:$T$5001,"&lt;&gt;")=0,"",SUMIFS(BD!$T$3:$T$5001,BD!$A$3:$A$5001,T$3,BD!$B$3:$B$5001,$A$5)))</f>
        <v/>
      </c>
      <c r="U9" s="198" t="str">
        <f>IF(U$3="","",IF(COUNTIFS(BD!$A$3:$A$5001,U$3,BD!$B$3:$B$5001,$A$5,BD!$T$3:$T$5001,"&lt;&gt;")=0,"",SUMIFS(BD!$T$3:$T$5001,BD!$A$3:$A$5001,U$3,BD!$B$3:$B$5001,$A$5)))</f>
        <v/>
      </c>
      <c r="V9" s="198" t="str">
        <f>IF(V$3="","",IF(COUNTIFS(BD!$A$3:$A$5001,V$3,BD!$B$3:$B$5001,$A$5,BD!$T$3:$T$5001,"&lt;&gt;")=0,"",SUMIFS(BD!$T$3:$T$5001,BD!$A$3:$A$5001,V$3,BD!$B$3:$B$5001,$A$5)))</f>
        <v/>
      </c>
      <c r="W9" s="198" t="str">
        <f>IF(W$3="","",IF(COUNTIFS(BD!$A$3:$A$5001,W$3,BD!$B$3:$B$5001,$A$5,BD!$T$3:$T$5001,"&lt;&gt;")=0,"",SUMIFS(BD!$T$3:$T$5001,BD!$A$3:$A$5001,W$3,BD!$B$3:$B$5001,$A$5)))</f>
        <v/>
      </c>
      <c r="X9" s="198" t="str">
        <f>IF(X$3="","",IF(COUNTIFS(BD!$A$3:$A$5001,X$3,BD!$B$3:$B$5001,$A$5,BD!$T$3:$T$5001,"&lt;&gt;")=0,"",SUMIFS(BD!$T$3:$T$5001,BD!$A$3:$A$5001,X$3,BD!$B$3:$B$5001,$A$5)))</f>
        <v/>
      </c>
      <c r="Y9" s="198" t="str">
        <f>IF(Y$3="","",IF(COUNTIFS(BD!$A$3:$A$5001,Y$3,BD!$B$3:$B$5001,$A$5,BD!$T$3:$T$5001,"&lt;&gt;")=0,"",SUMIFS(BD!$T$3:$T$5001,BD!$A$3:$A$5001,Y$3,BD!$B$3:$B$5001,$A$5)))</f>
        <v/>
      </c>
      <c r="Z9" s="198" t="str">
        <f>IF(Z$3="","",IF(COUNTIFS(BD!$A$3:$A$5001,Z$3,BD!$B$3:$B$5001,$A$5,BD!$T$3:$T$5001,"&lt;&gt;")=0,"",SUMIFS(BD!$T$3:$T$5001,BD!$A$3:$A$5001,Z$3,BD!$B$3:$B$5001,$A$5)))</f>
        <v/>
      </c>
      <c r="AA9" s="198" t="str">
        <f>IF(AA$3="","",IF(COUNTIFS(BD!$A$3:$A$5001,AA$3,BD!$B$3:$B$5001,$A$5,BD!$T$3:$T$5001,"&lt;&gt;")=0,"",SUMIFS(BD!$T$3:$T$5001,BD!$A$3:$A$5001,AA$3,BD!$B$3:$B$5001,$A$5)))</f>
        <v/>
      </c>
      <c r="AB9" s="198" t="str">
        <f>IF(AB$3="","",IF(COUNTIFS(BD!$A$3:$A$5001,AB$3,BD!$B$3:$B$5001,$A$5,BD!$T$3:$T$5001,"&lt;&gt;")=0,"",SUMIFS(BD!$T$3:$T$5001,BD!$A$3:$A$5001,AB$3,BD!$B$3:$B$5001,$A$5)))</f>
        <v/>
      </c>
      <c r="AC9" s="198" t="str">
        <f>IF(AC$3="","",IF(COUNTIFS(BD!$A$3:$A$5001,AC$3,BD!$B$3:$B$5001,$A$5,BD!$T$3:$T$5001,"&lt;&gt;")=0,"",SUMIFS(BD!$T$3:$T$5001,BD!$A$3:$A$5001,AC$3,BD!$B$3:$B$5001,$A$5)))</f>
        <v/>
      </c>
      <c r="AD9" s="198" t="str">
        <f>IF(AD$3="","",IF(COUNTIFS(BD!$A$3:$A$5001,AD$3,BD!$B$3:$B$5001,$A$5,BD!$T$3:$T$5001,"&lt;&gt;")=0,"",SUMIFS(BD!$T$3:$T$5001,BD!$A$3:$A$5001,AD$3,BD!$B$3:$B$5001,$A$5)))</f>
        <v/>
      </c>
      <c r="AE9" s="198" t="str">
        <f>IF(AE$3="","",IF(COUNTIFS(BD!$A$3:$A$5001,AE$3,BD!$B$3:$B$5001,$A$5,BD!$T$3:$T$5001,"&lt;&gt;")=0,"",SUMIFS(BD!$T$3:$T$5001,BD!$A$3:$A$5001,AE$3,BD!$B$3:$B$5001,$A$5)))</f>
        <v/>
      </c>
      <c r="AF9" s="198" t="str">
        <f>IF(AF$3="","",IF(COUNTIFS(BD!$A$3:$A$5001,AF$3,BD!$B$3:$B$5001,$A$5,BD!$T$3:$T$5001,"&lt;&gt;")=0,"",SUMIFS(BD!$T$3:$T$5001,BD!$A$3:$A$5001,AF$3,BD!$B$3:$B$5001,$A$5)))</f>
        <v/>
      </c>
      <c r="AG9" s="198" t="str">
        <f>IF(AG$3="","",IF(COUNTIFS(BD!$A$3:$A$5001,AG$3,BD!$B$3:$B$5001,$A$5,BD!$T$3:$T$5001,"&lt;&gt;")=0,"",SUMIFS(BD!$T$3:$T$5001,BD!$A$3:$A$5001,AG$3,BD!$B$3:$B$5001,$A$5)))</f>
        <v/>
      </c>
      <c r="AH9" s="198" t="str">
        <f>IF(AH$3="","",IF(COUNTIFS(BD!$A$3:$A$5001,AH$3,BD!$B$3:$B$5001,$A$5,BD!$T$3:$T$5001,"&lt;&gt;")=0,"",SUMIFS(BD!$T$3:$T$5001,BD!$A$3:$A$5001,AH$3,BD!$B$3:$B$5001,$A$5)))</f>
        <v/>
      </c>
      <c r="AI9" s="198" t="str">
        <f>IF(AI$3="","",IF(COUNTIFS(BD!$A$3:$A$5001,AI$3,BD!$B$3:$B$5001,$A$5,BD!$T$3:$T$5001,"&lt;&gt;")=0,"",SUMIFS(BD!$T$3:$T$5001,BD!$A$3:$A$5001,AI$3,BD!$B$3:$B$5001,$A$5)))</f>
        <v/>
      </c>
      <c r="AJ9" s="199" t="str">
        <f>IF(AJ$3="","",IF(COUNTIFS(BD!$A$3:$A$5001,AJ$3,BD!$B$3:$B$5001,$A$5,BD!$T$3:$T$5001,"&lt;&gt;")=0,"",SUMIFS(BD!$T$3:$T$5001,BD!$A$3:$A$5001,AJ$3,BD!$B$3:$B$5001,$A$5)))</f>
        <v/>
      </c>
      <c r="AK9" s="200" t="str">
        <f>IF(COUNT(F9:AJ9)=0,"",SUM(F9:AJ9))</f>
        <v/>
      </c>
    </row>
    <row r="10" ht="15.75" customHeight="1">
      <c r="A10" s="261"/>
      <c r="B10" s="254"/>
      <c r="C10" s="201" t="inlineStr">
        <is>
          <t xml:space="preserve">No show</t>
        </is>
      </c>
      <c r="D10" s="202" t="str">
        <f>IFERROR(1/(1/INDEX(BD!$AL$41:$BF$41,MATCH($A$5,BD!$AL$22:$BF$22,0))),"")</f>
        <v/>
      </c>
      <c r="E10" s="203"/>
      <c r="F10" s="204" t="str">
        <f>IF(F$3="","",IF(COUNTIFS(BD!$A$3:$A$5001,F$3,BD!$B$3:$B$5001,$A$5,BD!$U$3:$U$5001,"&lt;&gt;")=0,"",SUMIFS(BD!$U$3:$U$5001,BD!$A$3:$A$5001,F$3,BD!$B$3:$B$5001,$A$5)))</f>
        <v/>
      </c>
      <c r="G10" s="205" t="str">
        <f>IF(G$3="","",IF(COUNTIFS(BD!$A$3:$A$5001,G$3,BD!$B$3:$B$5001,$A$5,BD!$U$3:$U$5001,"&lt;&gt;")=0,"",SUMIFS(BD!$U$3:$U$5001,BD!$A$3:$A$5001,G$3,BD!$B$3:$B$5001,$A$5)))</f>
        <v/>
      </c>
      <c r="H10" s="205" t="str">
        <f>IF(H$3="","",IF(COUNTIFS(BD!$A$3:$A$5001,H$3,BD!$B$3:$B$5001,$A$5,BD!$U$3:$U$5001,"&lt;&gt;")=0,"",SUMIFS(BD!$U$3:$U$5001,BD!$A$3:$A$5001,H$3,BD!$B$3:$B$5001,$A$5)))</f>
        <v/>
      </c>
      <c r="I10" s="205" t="str">
        <f>IF(I$3="","",IF(COUNTIFS(BD!$A$3:$A$5001,I$3,BD!$B$3:$B$5001,$A$5,BD!$U$3:$U$5001,"&lt;&gt;")=0,"",SUMIFS(BD!$U$3:$U$5001,BD!$A$3:$A$5001,I$3,BD!$B$3:$B$5001,$A$5)))</f>
        <v/>
      </c>
      <c r="J10" s="205" t="str">
        <f>IF(J$3="","",IF(COUNTIFS(BD!$A$3:$A$5001,J$3,BD!$B$3:$B$5001,$A$5,BD!$U$3:$U$5001,"&lt;&gt;")=0,"",SUMIFS(BD!$U$3:$U$5001,BD!$A$3:$A$5001,J$3,BD!$B$3:$B$5001,$A$5)))</f>
        <v/>
      </c>
      <c r="K10" s="205" t="str">
        <f>IF(K$3="","",IF(COUNTIFS(BD!$A$3:$A$5001,K$3,BD!$B$3:$B$5001,$A$5,BD!$U$3:$U$5001,"&lt;&gt;")=0,"",SUMIFS(BD!$U$3:$U$5001,BD!$A$3:$A$5001,K$3,BD!$B$3:$B$5001,$A$5)))</f>
        <v/>
      </c>
      <c r="L10" s="205" t="str">
        <f>IF(L$3="","",IF(COUNTIFS(BD!$A$3:$A$5001,L$3,BD!$B$3:$B$5001,$A$5,BD!$U$3:$U$5001,"&lt;&gt;")=0,"",SUMIFS(BD!$U$3:$U$5001,BD!$A$3:$A$5001,L$3,BD!$B$3:$B$5001,$A$5)))</f>
        <v/>
      </c>
      <c r="M10" s="205" t="str">
        <f>IF(M$3="","",IF(COUNTIFS(BD!$A$3:$A$5001,M$3,BD!$B$3:$B$5001,$A$5,BD!$U$3:$U$5001,"&lt;&gt;")=0,"",SUMIFS(BD!$U$3:$U$5001,BD!$A$3:$A$5001,M$3,BD!$B$3:$B$5001,$A$5)))</f>
        <v/>
      </c>
      <c r="N10" s="205" t="str">
        <f>IF(N$3="","",IF(COUNTIFS(BD!$A$3:$A$5001,N$3,BD!$B$3:$B$5001,$A$5,BD!$U$3:$U$5001,"&lt;&gt;")=0,"",SUMIFS(BD!$U$3:$U$5001,BD!$A$3:$A$5001,N$3,BD!$B$3:$B$5001,$A$5)))</f>
        <v/>
      </c>
      <c r="O10" s="205" t="str">
        <f>IF(O$3="","",IF(COUNTIFS(BD!$A$3:$A$5001,O$3,BD!$B$3:$B$5001,$A$5,BD!$U$3:$U$5001,"&lt;&gt;")=0,"",SUMIFS(BD!$U$3:$U$5001,BD!$A$3:$A$5001,O$3,BD!$B$3:$B$5001,$A$5)))</f>
        <v/>
      </c>
      <c r="P10" s="205" t="str">
        <f>IF(P$3="","",IF(COUNTIFS(BD!$A$3:$A$5001,P$3,BD!$B$3:$B$5001,$A$5,BD!$U$3:$U$5001,"&lt;&gt;")=0,"",SUMIFS(BD!$U$3:$U$5001,BD!$A$3:$A$5001,P$3,BD!$B$3:$B$5001,$A$5)))</f>
        <v/>
      </c>
      <c r="Q10" s="205" t="str">
        <f>IF(Q$3="","",IF(COUNTIFS(BD!$A$3:$A$5001,Q$3,BD!$B$3:$B$5001,$A$5,BD!$U$3:$U$5001,"&lt;&gt;")=0,"",SUMIFS(BD!$U$3:$U$5001,BD!$A$3:$A$5001,Q$3,BD!$B$3:$B$5001,$A$5)))</f>
        <v/>
      </c>
      <c r="R10" s="205" t="str">
        <f>IF(R$3="","",IF(COUNTIFS(BD!$A$3:$A$5001,R$3,BD!$B$3:$B$5001,$A$5,BD!$U$3:$U$5001,"&lt;&gt;")=0,"",SUMIFS(BD!$U$3:$U$5001,BD!$A$3:$A$5001,R$3,BD!$B$3:$B$5001,$A$5)))</f>
        <v/>
      </c>
      <c r="S10" s="205" t="str">
        <f>IF(S$3="","",IF(COUNTIFS(BD!$A$3:$A$5001,S$3,BD!$B$3:$B$5001,$A$5,BD!$U$3:$U$5001,"&lt;&gt;")=0,"",SUMIFS(BD!$U$3:$U$5001,BD!$A$3:$A$5001,S$3,BD!$B$3:$B$5001,$A$5)))</f>
        <v/>
      </c>
      <c r="T10" s="205" t="str">
        <f>IF(T$3="","",IF(COUNTIFS(BD!$A$3:$A$5001,T$3,BD!$B$3:$B$5001,$A$5,BD!$U$3:$U$5001,"&lt;&gt;")=0,"",SUMIFS(BD!$U$3:$U$5001,BD!$A$3:$A$5001,T$3,BD!$B$3:$B$5001,$A$5)))</f>
        <v/>
      </c>
      <c r="U10" s="205" t="str">
        <f>IF(U$3="","",IF(COUNTIFS(BD!$A$3:$A$5001,U$3,BD!$B$3:$B$5001,$A$5,BD!$U$3:$U$5001,"&lt;&gt;")=0,"",SUMIFS(BD!$U$3:$U$5001,BD!$A$3:$A$5001,U$3,BD!$B$3:$B$5001,$A$5)))</f>
        <v/>
      </c>
      <c r="V10" s="205" t="str">
        <f>IF(V$3="","",IF(COUNTIFS(BD!$A$3:$A$5001,V$3,BD!$B$3:$B$5001,$A$5,BD!$U$3:$U$5001,"&lt;&gt;")=0,"",SUMIFS(BD!$U$3:$U$5001,BD!$A$3:$A$5001,V$3,BD!$B$3:$B$5001,$A$5)))</f>
        <v/>
      </c>
      <c r="W10" s="205" t="str">
        <f>IF(W$3="","",IF(COUNTIFS(BD!$A$3:$A$5001,W$3,BD!$B$3:$B$5001,$A$5,BD!$U$3:$U$5001,"&lt;&gt;")=0,"",SUMIFS(BD!$U$3:$U$5001,BD!$A$3:$A$5001,W$3,BD!$B$3:$B$5001,$A$5)))</f>
        <v/>
      </c>
      <c r="X10" s="205" t="str">
        <f>IF(X$3="","",IF(COUNTIFS(BD!$A$3:$A$5001,X$3,BD!$B$3:$B$5001,$A$5,BD!$U$3:$U$5001,"&lt;&gt;")=0,"",SUMIFS(BD!$U$3:$U$5001,BD!$A$3:$A$5001,X$3,BD!$B$3:$B$5001,$A$5)))</f>
        <v/>
      </c>
      <c r="Y10" s="205" t="str">
        <f>IF(Y$3="","",IF(COUNTIFS(BD!$A$3:$A$5001,Y$3,BD!$B$3:$B$5001,$A$5,BD!$U$3:$U$5001,"&lt;&gt;")=0,"",SUMIFS(BD!$U$3:$U$5001,BD!$A$3:$A$5001,Y$3,BD!$B$3:$B$5001,$A$5)))</f>
        <v/>
      </c>
      <c r="Z10" s="205" t="str">
        <f>IF(Z$3="","",IF(COUNTIFS(BD!$A$3:$A$5001,Z$3,BD!$B$3:$B$5001,$A$5,BD!$U$3:$U$5001,"&lt;&gt;")=0,"",SUMIFS(BD!$U$3:$U$5001,BD!$A$3:$A$5001,Z$3,BD!$B$3:$B$5001,$A$5)))</f>
        <v/>
      </c>
      <c r="AA10" s="205" t="str">
        <f>IF(AA$3="","",IF(COUNTIFS(BD!$A$3:$A$5001,AA$3,BD!$B$3:$B$5001,$A$5,BD!$U$3:$U$5001,"&lt;&gt;")=0,"",SUMIFS(BD!$U$3:$U$5001,BD!$A$3:$A$5001,AA$3,BD!$B$3:$B$5001,$A$5)))</f>
        <v/>
      </c>
      <c r="AB10" s="205" t="str">
        <f>IF(AB$3="","",IF(COUNTIFS(BD!$A$3:$A$5001,AB$3,BD!$B$3:$B$5001,$A$5,BD!$U$3:$U$5001,"&lt;&gt;")=0,"",SUMIFS(BD!$U$3:$U$5001,BD!$A$3:$A$5001,AB$3,BD!$B$3:$B$5001,$A$5)))</f>
        <v/>
      </c>
      <c r="AC10" s="205" t="str">
        <f>IF(AC$3="","",IF(COUNTIFS(BD!$A$3:$A$5001,AC$3,BD!$B$3:$B$5001,$A$5,BD!$U$3:$U$5001,"&lt;&gt;")=0,"",SUMIFS(BD!$U$3:$U$5001,BD!$A$3:$A$5001,AC$3,BD!$B$3:$B$5001,$A$5)))</f>
        <v/>
      </c>
      <c r="AD10" s="205" t="str">
        <f>IF(AD$3="","",IF(COUNTIFS(BD!$A$3:$A$5001,AD$3,BD!$B$3:$B$5001,$A$5,BD!$U$3:$U$5001,"&lt;&gt;")=0,"",SUMIFS(BD!$U$3:$U$5001,BD!$A$3:$A$5001,AD$3,BD!$B$3:$B$5001,$A$5)))</f>
        <v/>
      </c>
      <c r="AE10" s="205" t="str">
        <f>IF(AE$3="","",IF(COUNTIFS(BD!$A$3:$A$5001,AE$3,BD!$B$3:$B$5001,$A$5,BD!$U$3:$U$5001,"&lt;&gt;")=0,"",SUMIFS(BD!$U$3:$U$5001,BD!$A$3:$A$5001,AE$3,BD!$B$3:$B$5001,$A$5)))</f>
        <v/>
      </c>
      <c r="AF10" s="205" t="str">
        <f>IF(AF$3="","",IF(COUNTIFS(BD!$A$3:$A$5001,AF$3,BD!$B$3:$B$5001,$A$5,BD!$U$3:$U$5001,"&lt;&gt;")=0,"",SUMIFS(BD!$U$3:$U$5001,BD!$A$3:$A$5001,AF$3,BD!$B$3:$B$5001,$A$5)))</f>
        <v/>
      </c>
      <c r="AG10" s="205" t="str">
        <f>IF(AG$3="","",IF(COUNTIFS(BD!$A$3:$A$5001,AG$3,BD!$B$3:$B$5001,$A$5,BD!$U$3:$U$5001,"&lt;&gt;")=0,"",SUMIFS(BD!$U$3:$U$5001,BD!$A$3:$A$5001,AG$3,BD!$B$3:$B$5001,$A$5)))</f>
        <v/>
      </c>
      <c r="AH10" s="205" t="str">
        <f>IF(AH$3="","",IF(COUNTIFS(BD!$A$3:$A$5001,AH$3,BD!$B$3:$B$5001,$A$5,BD!$U$3:$U$5001,"&lt;&gt;")=0,"",SUMIFS(BD!$U$3:$U$5001,BD!$A$3:$A$5001,AH$3,BD!$B$3:$B$5001,$A$5)))</f>
        <v/>
      </c>
      <c r="AI10" s="205" t="str">
        <f>IF(AI$3="","",IF(COUNTIFS(BD!$A$3:$A$5001,AI$3,BD!$B$3:$B$5001,$A$5,BD!$U$3:$U$5001,"&lt;&gt;")=0,"",SUMIFS(BD!$U$3:$U$5001,BD!$A$3:$A$5001,AI$3,BD!$B$3:$B$5001,$A$5)))</f>
        <v/>
      </c>
      <c r="AJ10" s="206" t="str">
        <f>IF(AJ$3="","",IF(COUNTIFS(BD!$A$3:$A$5001,AJ$3,BD!$B$3:$B$5001,$A$5,BD!$U$3:$U$5001,"&lt;&gt;")=0,"",SUMIFS(BD!$U$3:$U$5001,BD!$A$3:$A$5001,AJ$3,BD!$B$3:$B$5001,$A$5)))</f>
        <v/>
      </c>
      <c r="AK10" s="207" t="str">
        <f>IF(COUNT(F10:AJ10)=0,"",SUM(F10:AJ10))</f>
        <v/>
      </c>
    </row>
    <row r="11" ht="15.75" customHeight="1">
      <c r="A11" s="261"/>
      <c r="B11" s="254"/>
      <c r="C11" s="201" t="inlineStr">
        <is>
          <t xml:space="preserve">Backlog Intralog</t>
        </is>
      </c>
      <c r="D11" s="202" t="str">
        <f>IFERROR(1/(1/INDEX(BD!$AL$42:$BF$42,MATCH($A$5,BD!$AL$22:$BF$22,0))),"")</f>
        <v/>
      </c>
      <c r="E11" s="203"/>
      <c r="F11" s="204" t="str">
        <f>IF(F$3="","",IF(COUNTIFS(BD!$A$3:$A$5001,F$3,BD!$B$3:$B$5001,$A$5,BD!$V$3:$V$5001,"&lt;&gt;")=0,"",SUMIFS(BD!$V$3:$V$5001,BD!$A$3:$A$5001,F$3,BD!$B$3:$B$5001,$A$5)))</f>
        <v/>
      </c>
      <c r="G11" s="205" t="str">
        <f>IF(G$3="","",IF(COUNTIFS(BD!$A$3:$A$5001,G$3,BD!$B$3:$B$5001,$A$5,BD!$V$3:$V$5001,"&lt;&gt;")=0,"",SUMIFS(BD!$V$3:$V$5001,BD!$A$3:$A$5001,G$3,BD!$B$3:$B$5001,$A$5)))</f>
        <v/>
      </c>
      <c r="H11" s="205" t="str">
        <f>IF(H$3="","",IF(COUNTIFS(BD!$A$3:$A$5001,H$3,BD!$B$3:$B$5001,$A$5,BD!$V$3:$V$5001,"&lt;&gt;")=0,"",SUMIFS(BD!$V$3:$V$5001,BD!$A$3:$A$5001,H$3,BD!$B$3:$B$5001,$A$5)))</f>
        <v/>
      </c>
      <c r="I11" s="205" t="str">
        <f>IF(I$3="","",IF(COUNTIFS(BD!$A$3:$A$5001,I$3,BD!$B$3:$B$5001,$A$5,BD!$V$3:$V$5001,"&lt;&gt;")=0,"",SUMIFS(BD!$V$3:$V$5001,BD!$A$3:$A$5001,I$3,BD!$B$3:$B$5001,$A$5)))</f>
        <v/>
      </c>
      <c r="J11" s="205" t="str">
        <f>IF(J$3="","",IF(COUNTIFS(BD!$A$3:$A$5001,J$3,BD!$B$3:$B$5001,$A$5,BD!$V$3:$V$5001,"&lt;&gt;")=0,"",SUMIFS(BD!$V$3:$V$5001,BD!$A$3:$A$5001,J$3,BD!$B$3:$B$5001,$A$5)))</f>
        <v/>
      </c>
      <c r="K11" s="205" t="str">
        <f>IF(K$3="","",IF(COUNTIFS(BD!$A$3:$A$5001,K$3,BD!$B$3:$B$5001,$A$5,BD!$V$3:$V$5001,"&lt;&gt;")=0,"",SUMIFS(BD!$V$3:$V$5001,BD!$A$3:$A$5001,K$3,BD!$B$3:$B$5001,$A$5)))</f>
        <v/>
      </c>
      <c r="L11" s="205" t="str">
        <f>IF(L$3="","",IF(COUNTIFS(BD!$A$3:$A$5001,L$3,BD!$B$3:$B$5001,$A$5,BD!$V$3:$V$5001,"&lt;&gt;")=0,"",SUMIFS(BD!$V$3:$V$5001,BD!$A$3:$A$5001,L$3,BD!$B$3:$B$5001,$A$5)))</f>
        <v/>
      </c>
      <c r="M11" s="205" t="str">
        <f>IF(M$3="","",IF(COUNTIFS(BD!$A$3:$A$5001,M$3,BD!$B$3:$B$5001,$A$5,BD!$V$3:$V$5001,"&lt;&gt;")=0,"",SUMIFS(BD!$V$3:$V$5001,BD!$A$3:$A$5001,M$3,BD!$B$3:$B$5001,$A$5)))</f>
        <v/>
      </c>
      <c r="N11" s="205" t="str">
        <f>IF(N$3="","",IF(COUNTIFS(BD!$A$3:$A$5001,N$3,BD!$B$3:$B$5001,$A$5,BD!$V$3:$V$5001,"&lt;&gt;")=0,"",SUMIFS(BD!$V$3:$V$5001,BD!$A$3:$A$5001,N$3,BD!$B$3:$B$5001,$A$5)))</f>
        <v/>
      </c>
      <c r="O11" s="205" t="str">
        <f>IF(O$3="","",IF(COUNTIFS(BD!$A$3:$A$5001,O$3,BD!$B$3:$B$5001,$A$5,BD!$V$3:$V$5001,"&lt;&gt;")=0,"",SUMIFS(BD!$V$3:$V$5001,BD!$A$3:$A$5001,O$3,BD!$B$3:$B$5001,$A$5)))</f>
        <v/>
      </c>
      <c r="P11" s="205" t="str">
        <f>IF(P$3="","",IF(COUNTIFS(BD!$A$3:$A$5001,P$3,BD!$B$3:$B$5001,$A$5,BD!$V$3:$V$5001,"&lt;&gt;")=0,"",SUMIFS(BD!$V$3:$V$5001,BD!$A$3:$A$5001,P$3,BD!$B$3:$B$5001,$A$5)))</f>
        <v/>
      </c>
      <c r="Q11" s="205" t="str">
        <f>IF(Q$3="","",IF(COUNTIFS(BD!$A$3:$A$5001,Q$3,BD!$B$3:$B$5001,$A$5,BD!$V$3:$V$5001,"&lt;&gt;")=0,"",SUMIFS(BD!$V$3:$V$5001,BD!$A$3:$A$5001,Q$3,BD!$B$3:$B$5001,$A$5)))</f>
        <v/>
      </c>
      <c r="R11" s="205" t="str">
        <f>IF(R$3="","",IF(COUNTIFS(BD!$A$3:$A$5001,R$3,BD!$B$3:$B$5001,$A$5,BD!$V$3:$V$5001,"&lt;&gt;")=0,"",SUMIFS(BD!$V$3:$V$5001,BD!$A$3:$A$5001,R$3,BD!$B$3:$B$5001,$A$5)))</f>
        <v/>
      </c>
      <c r="S11" s="205" t="str">
        <f>IF(S$3="","",IF(COUNTIFS(BD!$A$3:$A$5001,S$3,BD!$B$3:$B$5001,$A$5,BD!$V$3:$V$5001,"&lt;&gt;")=0,"",SUMIFS(BD!$V$3:$V$5001,BD!$A$3:$A$5001,S$3,BD!$B$3:$B$5001,$A$5)))</f>
        <v/>
      </c>
      <c r="T11" s="205" t="str">
        <f>IF(T$3="","",IF(COUNTIFS(BD!$A$3:$A$5001,T$3,BD!$B$3:$B$5001,$A$5,BD!$V$3:$V$5001,"&lt;&gt;")=0,"",SUMIFS(BD!$V$3:$V$5001,BD!$A$3:$A$5001,T$3,BD!$B$3:$B$5001,$A$5)))</f>
        <v/>
      </c>
      <c r="U11" s="205" t="str">
        <f>IF(U$3="","",IF(COUNTIFS(BD!$A$3:$A$5001,U$3,BD!$B$3:$B$5001,$A$5,BD!$V$3:$V$5001,"&lt;&gt;")=0,"",SUMIFS(BD!$V$3:$V$5001,BD!$A$3:$A$5001,U$3,BD!$B$3:$B$5001,$A$5)))</f>
        <v/>
      </c>
      <c r="V11" s="205" t="str">
        <f>IF(V$3="","",IF(COUNTIFS(BD!$A$3:$A$5001,V$3,BD!$B$3:$B$5001,$A$5,BD!$V$3:$V$5001,"&lt;&gt;")=0,"",SUMIFS(BD!$V$3:$V$5001,BD!$A$3:$A$5001,V$3,BD!$B$3:$B$5001,$A$5)))</f>
        <v/>
      </c>
      <c r="W11" s="205" t="str">
        <f>IF(W$3="","",IF(COUNTIFS(BD!$A$3:$A$5001,W$3,BD!$B$3:$B$5001,$A$5,BD!$V$3:$V$5001,"&lt;&gt;")=0,"",SUMIFS(BD!$V$3:$V$5001,BD!$A$3:$A$5001,W$3,BD!$B$3:$B$5001,$A$5)))</f>
        <v/>
      </c>
      <c r="X11" s="205" t="str">
        <f>IF(X$3="","",IF(COUNTIFS(BD!$A$3:$A$5001,X$3,BD!$B$3:$B$5001,$A$5,BD!$V$3:$V$5001,"&lt;&gt;")=0,"",SUMIFS(BD!$V$3:$V$5001,BD!$A$3:$A$5001,X$3,BD!$B$3:$B$5001,$A$5)))</f>
        <v/>
      </c>
      <c r="Y11" s="205" t="str">
        <f>IF(Y$3="","",IF(COUNTIFS(BD!$A$3:$A$5001,Y$3,BD!$B$3:$B$5001,$A$5,BD!$V$3:$V$5001,"&lt;&gt;")=0,"",SUMIFS(BD!$V$3:$V$5001,BD!$A$3:$A$5001,Y$3,BD!$B$3:$B$5001,$A$5)))</f>
        <v/>
      </c>
      <c r="Z11" s="205" t="str">
        <f>IF(Z$3="","",IF(COUNTIFS(BD!$A$3:$A$5001,Z$3,BD!$B$3:$B$5001,$A$5,BD!$V$3:$V$5001,"&lt;&gt;")=0,"",SUMIFS(BD!$V$3:$V$5001,BD!$A$3:$A$5001,Z$3,BD!$B$3:$B$5001,$A$5)))</f>
        <v/>
      </c>
      <c r="AA11" s="205" t="str">
        <f>IF(AA$3="","",IF(COUNTIFS(BD!$A$3:$A$5001,AA$3,BD!$B$3:$B$5001,$A$5,BD!$V$3:$V$5001,"&lt;&gt;")=0,"",SUMIFS(BD!$V$3:$V$5001,BD!$A$3:$A$5001,AA$3,BD!$B$3:$B$5001,$A$5)))</f>
        <v/>
      </c>
      <c r="AB11" s="205" t="str">
        <f>IF(AB$3="","",IF(COUNTIFS(BD!$A$3:$A$5001,AB$3,BD!$B$3:$B$5001,$A$5,BD!$V$3:$V$5001,"&lt;&gt;")=0,"",SUMIFS(BD!$V$3:$V$5001,BD!$A$3:$A$5001,AB$3,BD!$B$3:$B$5001,$A$5)))</f>
        <v/>
      </c>
      <c r="AC11" s="205" t="str">
        <f>IF(AC$3="","",IF(COUNTIFS(BD!$A$3:$A$5001,AC$3,BD!$B$3:$B$5001,$A$5,BD!$V$3:$V$5001,"&lt;&gt;")=0,"",SUMIFS(BD!$V$3:$V$5001,BD!$A$3:$A$5001,AC$3,BD!$B$3:$B$5001,$A$5)))</f>
        <v/>
      </c>
      <c r="AD11" s="205" t="str">
        <f>IF(AD$3="","",IF(COUNTIFS(BD!$A$3:$A$5001,AD$3,BD!$B$3:$B$5001,$A$5,BD!$V$3:$V$5001,"&lt;&gt;")=0,"",SUMIFS(BD!$V$3:$V$5001,BD!$A$3:$A$5001,AD$3,BD!$B$3:$B$5001,$A$5)))</f>
        <v/>
      </c>
      <c r="AE11" s="205" t="str">
        <f>IF(AE$3="","",IF(COUNTIFS(BD!$A$3:$A$5001,AE$3,BD!$B$3:$B$5001,$A$5,BD!$V$3:$V$5001,"&lt;&gt;")=0,"",SUMIFS(BD!$V$3:$V$5001,BD!$A$3:$A$5001,AE$3,BD!$B$3:$B$5001,$A$5)))</f>
        <v/>
      </c>
      <c r="AF11" s="205" t="str">
        <f>IF(AF$3="","",IF(COUNTIFS(BD!$A$3:$A$5001,AF$3,BD!$B$3:$B$5001,$A$5,BD!$V$3:$V$5001,"&lt;&gt;")=0,"",SUMIFS(BD!$V$3:$V$5001,BD!$A$3:$A$5001,AF$3,BD!$B$3:$B$5001,$A$5)))</f>
        <v/>
      </c>
      <c r="AG11" s="205" t="str">
        <f>IF(AG$3="","",IF(COUNTIFS(BD!$A$3:$A$5001,AG$3,BD!$B$3:$B$5001,$A$5,BD!$V$3:$V$5001,"&lt;&gt;")=0,"",SUMIFS(BD!$V$3:$V$5001,BD!$A$3:$A$5001,AG$3,BD!$B$3:$B$5001,$A$5)))</f>
        <v/>
      </c>
      <c r="AH11" s="205" t="str">
        <f>IF(AH$3="","",IF(COUNTIFS(BD!$A$3:$A$5001,AH$3,BD!$B$3:$B$5001,$A$5,BD!$V$3:$V$5001,"&lt;&gt;")=0,"",SUMIFS(BD!$V$3:$V$5001,BD!$A$3:$A$5001,AH$3,BD!$B$3:$B$5001,$A$5)))</f>
        <v/>
      </c>
      <c r="AI11" s="205" t="str">
        <f>IF(AI$3="","",IF(COUNTIFS(BD!$A$3:$A$5001,AI$3,BD!$B$3:$B$5001,$A$5,BD!$V$3:$V$5001,"&lt;&gt;")=0,"",SUMIFS(BD!$V$3:$V$5001,BD!$A$3:$A$5001,AI$3,BD!$B$3:$B$5001,$A$5)))</f>
        <v/>
      </c>
      <c r="AJ11" s="206" t="str">
        <f>IF(AJ$3="","",IF(COUNTIFS(BD!$A$3:$A$5001,AJ$3,BD!$B$3:$B$5001,$A$5,BD!$V$3:$V$5001,"&lt;&gt;")=0,"",SUMIFS(BD!$V$3:$V$5001,BD!$A$3:$A$5001,AJ$3,BD!$B$3:$B$5001,$A$5)))</f>
        <v/>
      </c>
      <c r="AK11" s="207" t="str">
        <f>IFERROR(LOOKUP(9.99E+307,F11:AJ11),"")</f>
        <v/>
      </c>
    </row>
    <row r="12" ht="15.75" customHeight="1">
      <c r="A12" s="261"/>
      <c r="B12" s="255"/>
      <c r="C12" s="208" t="inlineStr">
        <is>
          <t xml:space="preserve">Backlog Cliente</t>
        </is>
      </c>
      <c r="D12" s="209" t="str">
        <f>IFERROR(1/(1/INDEX(BD!$AL$43:$BF$43,MATCH($A$5,BD!$AL$22:$BF$22,0))),"")</f>
        <v/>
      </c>
      <c r="E12" s="210"/>
      <c r="F12" s="211" t="str">
        <f>IF(F$3="","",IF(COUNTIFS(BD!$A$3:$A$5001,F$3,BD!$B$3:$B$5001,$A$5,BD!$W$3:$W$5001,"&lt;&gt;")=0,"",SUMIFS(BD!$W$3:$W$5001,BD!$A$3:$A$5001,F$3,BD!$B$3:$B$5001,$A$5)))</f>
        <v/>
      </c>
      <c r="G12" s="212" t="str">
        <f>IF(G$3="","",IF(COUNTIFS(BD!$A$3:$A$5001,G$3,BD!$B$3:$B$5001,$A$5,BD!$W$3:$W$5001,"&lt;&gt;")=0,"",SUMIFS(BD!$W$3:$W$5001,BD!$A$3:$A$5001,G$3,BD!$B$3:$B$5001,$A$5)))</f>
        <v/>
      </c>
      <c r="H12" s="212" t="str">
        <f>IF(H$3="","",IF(COUNTIFS(BD!$A$3:$A$5001,H$3,BD!$B$3:$B$5001,$A$5,BD!$W$3:$W$5001,"&lt;&gt;")=0,"",SUMIFS(BD!$W$3:$W$5001,BD!$A$3:$A$5001,H$3,BD!$B$3:$B$5001,$A$5)))</f>
        <v/>
      </c>
      <c r="I12" s="212" t="str">
        <f>IF(I$3="","",IF(COUNTIFS(BD!$A$3:$A$5001,I$3,BD!$B$3:$B$5001,$A$5,BD!$W$3:$W$5001,"&lt;&gt;")=0,"",SUMIFS(BD!$W$3:$W$5001,BD!$A$3:$A$5001,I$3,BD!$B$3:$B$5001,$A$5)))</f>
        <v/>
      </c>
      <c r="J12" s="212" t="str">
        <f>IF(J$3="","",IF(COUNTIFS(BD!$A$3:$A$5001,J$3,BD!$B$3:$B$5001,$A$5,BD!$W$3:$W$5001,"&lt;&gt;")=0,"",SUMIFS(BD!$W$3:$W$5001,BD!$A$3:$A$5001,J$3,BD!$B$3:$B$5001,$A$5)))</f>
        <v/>
      </c>
      <c r="K12" s="212" t="str">
        <f>IF(K$3="","",IF(COUNTIFS(BD!$A$3:$A$5001,K$3,BD!$B$3:$B$5001,$A$5,BD!$W$3:$W$5001,"&lt;&gt;")=0,"",SUMIFS(BD!$W$3:$W$5001,BD!$A$3:$A$5001,K$3,BD!$B$3:$B$5001,$A$5)))</f>
        <v/>
      </c>
      <c r="L12" s="212" t="str">
        <f>IF(L$3="","",IF(COUNTIFS(BD!$A$3:$A$5001,L$3,BD!$B$3:$B$5001,$A$5,BD!$W$3:$W$5001,"&lt;&gt;")=0,"",SUMIFS(BD!$W$3:$W$5001,BD!$A$3:$A$5001,L$3,BD!$B$3:$B$5001,$A$5)))</f>
        <v/>
      </c>
      <c r="M12" s="212" t="str">
        <f>IF(M$3="","",IF(COUNTIFS(BD!$A$3:$A$5001,M$3,BD!$B$3:$B$5001,$A$5,BD!$W$3:$W$5001,"&lt;&gt;")=0,"",SUMIFS(BD!$W$3:$W$5001,BD!$A$3:$A$5001,M$3,BD!$B$3:$B$5001,$A$5)))</f>
        <v/>
      </c>
      <c r="N12" s="212" t="str">
        <f>IF(N$3="","",IF(COUNTIFS(BD!$A$3:$A$5001,N$3,BD!$B$3:$B$5001,$A$5,BD!$W$3:$W$5001,"&lt;&gt;")=0,"",SUMIFS(BD!$W$3:$W$5001,BD!$A$3:$A$5001,N$3,BD!$B$3:$B$5001,$A$5)))</f>
        <v/>
      </c>
      <c r="O12" s="212" t="str">
        <f>IF(O$3="","",IF(COUNTIFS(BD!$A$3:$A$5001,O$3,BD!$B$3:$B$5001,$A$5,BD!$W$3:$W$5001,"&lt;&gt;")=0,"",SUMIFS(BD!$W$3:$W$5001,BD!$A$3:$A$5001,O$3,BD!$B$3:$B$5001,$A$5)))</f>
        <v/>
      </c>
      <c r="P12" s="212" t="str">
        <f>IF(P$3="","",IF(COUNTIFS(BD!$A$3:$A$5001,P$3,BD!$B$3:$B$5001,$A$5,BD!$W$3:$W$5001,"&lt;&gt;")=0,"",SUMIFS(BD!$W$3:$W$5001,BD!$A$3:$A$5001,P$3,BD!$B$3:$B$5001,$A$5)))</f>
        <v/>
      </c>
      <c r="Q12" s="212" t="str">
        <f>IF(Q$3="","",IF(COUNTIFS(BD!$A$3:$A$5001,Q$3,BD!$B$3:$B$5001,$A$5,BD!$W$3:$W$5001,"&lt;&gt;")=0,"",SUMIFS(BD!$W$3:$W$5001,BD!$A$3:$A$5001,Q$3,BD!$B$3:$B$5001,$A$5)))</f>
        <v/>
      </c>
      <c r="R12" s="212" t="str">
        <f>IF(R$3="","",IF(COUNTIFS(BD!$A$3:$A$5001,R$3,BD!$B$3:$B$5001,$A$5,BD!$W$3:$W$5001,"&lt;&gt;")=0,"",SUMIFS(BD!$W$3:$W$5001,BD!$A$3:$A$5001,R$3,BD!$B$3:$B$5001,$A$5)))</f>
        <v/>
      </c>
      <c r="S12" s="212" t="str">
        <f>IF(S$3="","",IF(COUNTIFS(BD!$A$3:$A$5001,S$3,BD!$B$3:$B$5001,$A$5,BD!$W$3:$W$5001,"&lt;&gt;")=0,"",SUMIFS(BD!$W$3:$W$5001,BD!$A$3:$A$5001,S$3,BD!$B$3:$B$5001,$A$5)))</f>
        <v/>
      </c>
      <c r="T12" s="212" t="str">
        <f>IF(T$3="","",IF(COUNTIFS(BD!$A$3:$A$5001,T$3,BD!$B$3:$B$5001,$A$5,BD!$W$3:$W$5001,"&lt;&gt;")=0,"",SUMIFS(BD!$W$3:$W$5001,BD!$A$3:$A$5001,T$3,BD!$B$3:$B$5001,$A$5)))</f>
        <v/>
      </c>
      <c r="U12" s="212" t="str">
        <f>IF(U$3="","",IF(COUNTIFS(BD!$A$3:$A$5001,U$3,BD!$B$3:$B$5001,$A$5,BD!$W$3:$W$5001,"&lt;&gt;")=0,"",SUMIFS(BD!$W$3:$W$5001,BD!$A$3:$A$5001,U$3,BD!$B$3:$B$5001,$A$5)))</f>
        <v/>
      </c>
      <c r="V12" s="212" t="str">
        <f>IF(V$3="","",IF(COUNTIFS(BD!$A$3:$A$5001,V$3,BD!$B$3:$B$5001,$A$5,BD!$W$3:$W$5001,"&lt;&gt;")=0,"",SUMIFS(BD!$W$3:$W$5001,BD!$A$3:$A$5001,V$3,BD!$B$3:$B$5001,$A$5)))</f>
        <v/>
      </c>
      <c r="W12" s="212" t="str">
        <f>IF(W$3="","",IF(COUNTIFS(BD!$A$3:$A$5001,W$3,BD!$B$3:$B$5001,$A$5,BD!$W$3:$W$5001,"&lt;&gt;")=0,"",SUMIFS(BD!$W$3:$W$5001,BD!$A$3:$A$5001,W$3,BD!$B$3:$B$5001,$A$5)))</f>
        <v/>
      </c>
      <c r="X12" s="212" t="str">
        <f>IF(X$3="","",IF(COUNTIFS(BD!$A$3:$A$5001,X$3,BD!$B$3:$B$5001,$A$5,BD!$W$3:$W$5001,"&lt;&gt;")=0,"",SUMIFS(BD!$W$3:$W$5001,BD!$A$3:$A$5001,X$3,BD!$B$3:$B$5001,$A$5)))</f>
        <v/>
      </c>
      <c r="Y12" s="212" t="str">
        <f>IF(Y$3="","",IF(COUNTIFS(BD!$A$3:$A$5001,Y$3,BD!$B$3:$B$5001,$A$5,BD!$W$3:$W$5001,"&lt;&gt;")=0,"",SUMIFS(BD!$W$3:$W$5001,BD!$A$3:$A$5001,Y$3,BD!$B$3:$B$5001,$A$5)))</f>
        <v/>
      </c>
      <c r="Z12" s="212" t="str">
        <f>IF(Z$3="","",IF(COUNTIFS(BD!$A$3:$A$5001,Z$3,BD!$B$3:$B$5001,$A$5,BD!$W$3:$W$5001,"&lt;&gt;")=0,"",SUMIFS(BD!$W$3:$W$5001,BD!$A$3:$A$5001,Z$3,BD!$B$3:$B$5001,$A$5)))</f>
        <v/>
      </c>
      <c r="AA12" s="212" t="str">
        <f>IF(AA$3="","",IF(COUNTIFS(BD!$A$3:$A$5001,AA$3,BD!$B$3:$B$5001,$A$5,BD!$W$3:$W$5001,"&lt;&gt;")=0,"",SUMIFS(BD!$W$3:$W$5001,BD!$A$3:$A$5001,AA$3,BD!$B$3:$B$5001,$A$5)))</f>
        <v/>
      </c>
      <c r="AB12" s="212" t="str">
        <f>IF(AB$3="","",IF(COUNTIFS(BD!$A$3:$A$5001,AB$3,BD!$B$3:$B$5001,$A$5,BD!$W$3:$W$5001,"&lt;&gt;")=0,"",SUMIFS(BD!$W$3:$W$5001,BD!$A$3:$A$5001,AB$3,BD!$B$3:$B$5001,$A$5)))</f>
        <v/>
      </c>
      <c r="AC12" s="212" t="str">
        <f>IF(AC$3="","",IF(COUNTIFS(BD!$A$3:$A$5001,AC$3,BD!$B$3:$B$5001,$A$5,BD!$W$3:$W$5001,"&lt;&gt;")=0,"",SUMIFS(BD!$W$3:$W$5001,BD!$A$3:$A$5001,AC$3,BD!$B$3:$B$5001,$A$5)))</f>
        <v/>
      </c>
      <c r="AD12" s="212" t="str">
        <f>IF(AD$3="","",IF(COUNTIFS(BD!$A$3:$A$5001,AD$3,BD!$B$3:$B$5001,$A$5,BD!$W$3:$W$5001,"&lt;&gt;")=0,"",SUMIFS(BD!$W$3:$W$5001,BD!$A$3:$A$5001,AD$3,BD!$B$3:$B$5001,$A$5)))</f>
        <v/>
      </c>
      <c r="AE12" s="212" t="str">
        <f>IF(AE$3="","",IF(COUNTIFS(BD!$A$3:$A$5001,AE$3,BD!$B$3:$B$5001,$A$5,BD!$W$3:$W$5001,"&lt;&gt;")=0,"",SUMIFS(BD!$W$3:$W$5001,BD!$A$3:$A$5001,AE$3,BD!$B$3:$B$5001,$A$5)))</f>
        <v/>
      </c>
      <c r="AF12" s="212" t="str">
        <f>IF(AF$3="","",IF(COUNTIFS(BD!$A$3:$A$5001,AF$3,BD!$B$3:$B$5001,$A$5,BD!$W$3:$W$5001,"&lt;&gt;")=0,"",SUMIFS(BD!$W$3:$W$5001,BD!$A$3:$A$5001,AF$3,BD!$B$3:$B$5001,$A$5)))</f>
        <v/>
      </c>
      <c r="AG12" s="212" t="str">
        <f>IF(AG$3="","",IF(COUNTIFS(BD!$A$3:$A$5001,AG$3,BD!$B$3:$B$5001,$A$5,BD!$W$3:$W$5001,"&lt;&gt;")=0,"",SUMIFS(BD!$W$3:$W$5001,BD!$A$3:$A$5001,AG$3,BD!$B$3:$B$5001,$A$5)))</f>
        <v/>
      </c>
      <c r="AH12" s="212" t="str">
        <f>IF(AH$3="","",IF(COUNTIFS(BD!$A$3:$A$5001,AH$3,BD!$B$3:$B$5001,$A$5,BD!$W$3:$W$5001,"&lt;&gt;")=0,"",SUMIFS(BD!$W$3:$W$5001,BD!$A$3:$A$5001,AH$3,BD!$B$3:$B$5001,$A$5)))</f>
        <v/>
      </c>
      <c r="AI12" s="212" t="str">
        <f>IF(AI$3="","",IF(COUNTIFS(BD!$A$3:$A$5001,AI$3,BD!$B$3:$B$5001,$A$5,BD!$W$3:$W$5001,"&lt;&gt;")=0,"",SUMIFS(BD!$W$3:$W$5001,BD!$A$3:$A$5001,AI$3,BD!$B$3:$B$5001,$A$5)))</f>
        <v/>
      </c>
      <c r="AJ12" s="213" t="str">
        <f>IF(AJ$3="","",IF(COUNTIFS(BD!$A$3:$A$5001,AJ$3,BD!$B$3:$B$5001,$A$5,BD!$W$3:$W$5001,"&lt;&gt;")=0,"",SUMIFS(BD!$W$3:$W$5001,BD!$A$3:$A$5001,AJ$3,BD!$B$3:$B$5001,$A$5)))</f>
        <v/>
      </c>
      <c r="AK12" s="209" t="str">
        <f>IFERROR(LOOKUP(9.99E+307,F12:AJ12),"")</f>
        <v/>
      </c>
    </row>
    <row r="13" ht="15.75" customHeight="1">
      <c r="A13" s="261"/>
      <c r="B13" s="249" t="inlineStr">
        <is>
          <t xml:space="preserve">OCUPAÇÃO (P.P)</t>
        </is>
      </c>
      <c r="C13" s="168" t="inlineStr">
        <is>
          <t xml:space="preserve">Posições Disponíveis</t>
        </is>
      </c>
      <c r="D13" s="169" t="str">
        <f>IFERROR(1/(1/INDEX(BD!$AL$44:$BF$44,MATCH($A$5,BD!$AL$22:$BF$22,0))),"")</f>
        <v/>
      </c>
      <c r="E13" s="170"/>
      <c r="F13" s="171" t="str">
        <f>IF(F$3="","",IF(COUNTIFS(BD!$A$3:$A$5001,F$3,BD!$B$3:$B$5001,$A$5,BD!$X$3:$X$5001,"&lt;&gt;")=0,"",SUMIFS(BD!$X$3:$X$5001,BD!$A$3:$A$5001,F$3,BD!$B$3:$B$5001,$A$5)))</f>
        <v/>
      </c>
      <c r="G13" s="172" t="str">
        <f>IF(G$3="","",IF(COUNTIFS(BD!$A$3:$A$5001,G$3,BD!$B$3:$B$5001,$A$5,BD!$X$3:$X$5001,"&lt;&gt;")=0,"",SUMIFS(BD!$X$3:$X$5001,BD!$A$3:$A$5001,G$3,BD!$B$3:$B$5001,$A$5)))</f>
        <v/>
      </c>
      <c r="H13" s="172" t="str">
        <f>IF(H$3="","",IF(COUNTIFS(BD!$A$3:$A$5001,H$3,BD!$B$3:$B$5001,$A$5,BD!$X$3:$X$5001,"&lt;&gt;")=0,"",SUMIFS(BD!$X$3:$X$5001,BD!$A$3:$A$5001,H$3,BD!$B$3:$B$5001,$A$5)))</f>
        <v/>
      </c>
      <c r="I13" s="172" t="str">
        <f>IF(I$3="","",IF(COUNTIFS(BD!$A$3:$A$5001,I$3,BD!$B$3:$B$5001,$A$5,BD!$X$3:$X$5001,"&lt;&gt;")=0,"",SUMIFS(BD!$X$3:$X$5001,BD!$A$3:$A$5001,I$3,BD!$B$3:$B$5001,$A$5)))</f>
        <v/>
      </c>
      <c r="J13" s="172" t="str">
        <f>IF(J$3="","",IF(COUNTIFS(BD!$A$3:$A$5001,J$3,BD!$B$3:$B$5001,$A$5,BD!$X$3:$X$5001,"&lt;&gt;")=0,"",SUMIFS(BD!$X$3:$X$5001,BD!$A$3:$A$5001,J$3,BD!$B$3:$B$5001,$A$5)))</f>
        <v/>
      </c>
      <c r="K13" s="172" t="str">
        <f>IF(K$3="","",IF(COUNTIFS(BD!$A$3:$A$5001,K$3,BD!$B$3:$B$5001,$A$5,BD!$X$3:$X$5001,"&lt;&gt;")=0,"",SUMIFS(BD!$X$3:$X$5001,BD!$A$3:$A$5001,K$3,BD!$B$3:$B$5001,$A$5)))</f>
        <v/>
      </c>
      <c r="L13" s="172" t="str">
        <f>IF(L$3="","",IF(COUNTIFS(BD!$A$3:$A$5001,L$3,BD!$B$3:$B$5001,$A$5,BD!$X$3:$X$5001,"&lt;&gt;")=0,"",SUMIFS(BD!$X$3:$X$5001,BD!$A$3:$A$5001,L$3,BD!$B$3:$B$5001,$A$5)))</f>
        <v/>
      </c>
      <c r="M13" s="172" t="str">
        <f>IF(M$3="","",IF(COUNTIFS(BD!$A$3:$A$5001,M$3,BD!$B$3:$B$5001,$A$5,BD!$X$3:$X$5001,"&lt;&gt;")=0,"",SUMIFS(BD!$X$3:$X$5001,BD!$A$3:$A$5001,M$3,BD!$B$3:$B$5001,$A$5)))</f>
        <v/>
      </c>
      <c r="N13" s="172" t="str">
        <f>IF(N$3="","",IF(COUNTIFS(BD!$A$3:$A$5001,N$3,BD!$B$3:$B$5001,$A$5,BD!$X$3:$X$5001,"&lt;&gt;")=0,"",SUMIFS(BD!$X$3:$X$5001,BD!$A$3:$A$5001,N$3,BD!$B$3:$B$5001,$A$5)))</f>
        <v/>
      </c>
      <c r="O13" s="172" t="str">
        <f>IF(O$3="","",IF(COUNTIFS(BD!$A$3:$A$5001,O$3,BD!$B$3:$B$5001,$A$5,BD!$X$3:$X$5001,"&lt;&gt;")=0,"",SUMIFS(BD!$X$3:$X$5001,BD!$A$3:$A$5001,O$3,BD!$B$3:$B$5001,$A$5)))</f>
        <v/>
      </c>
      <c r="P13" s="172" t="str">
        <f>IF(P$3="","",IF(COUNTIFS(BD!$A$3:$A$5001,P$3,BD!$B$3:$B$5001,$A$5,BD!$X$3:$X$5001,"&lt;&gt;")=0,"",SUMIFS(BD!$X$3:$X$5001,BD!$A$3:$A$5001,P$3,BD!$B$3:$B$5001,$A$5)))</f>
        <v/>
      </c>
      <c r="Q13" s="172" t="str">
        <f>IF(Q$3="","",IF(COUNTIFS(BD!$A$3:$A$5001,Q$3,BD!$B$3:$B$5001,$A$5,BD!$X$3:$X$5001,"&lt;&gt;")=0,"",SUMIFS(BD!$X$3:$X$5001,BD!$A$3:$A$5001,Q$3,BD!$B$3:$B$5001,$A$5)))</f>
        <v/>
      </c>
      <c r="R13" s="172" t="str">
        <f>IF(R$3="","",IF(COUNTIFS(BD!$A$3:$A$5001,R$3,BD!$B$3:$B$5001,$A$5,BD!$X$3:$X$5001,"&lt;&gt;")=0,"",SUMIFS(BD!$X$3:$X$5001,BD!$A$3:$A$5001,R$3,BD!$B$3:$B$5001,$A$5)))</f>
        <v/>
      </c>
      <c r="S13" s="172" t="str">
        <f>IF(S$3="","",IF(COUNTIFS(BD!$A$3:$A$5001,S$3,BD!$B$3:$B$5001,$A$5,BD!$X$3:$X$5001,"&lt;&gt;")=0,"",SUMIFS(BD!$X$3:$X$5001,BD!$A$3:$A$5001,S$3,BD!$B$3:$B$5001,$A$5)))</f>
        <v/>
      </c>
      <c r="T13" s="172" t="str">
        <f>IF(T$3="","",IF(COUNTIFS(BD!$A$3:$A$5001,T$3,BD!$B$3:$B$5001,$A$5,BD!$X$3:$X$5001,"&lt;&gt;")=0,"",SUMIFS(BD!$X$3:$X$5001,BD!$A$3:$A$5001,T$3,BD!$B$3:$B$5001,$A$5)))</f>
        <v/>
      </c>
      <c r="U13" s="172" t="str">
        <f>IF(U$3="","",IF(COUNTIFS(BD!$A$3:$A$5001,U$3,BD!$B$3:$B$5001,$A$5,BD!$X$3:$X$5001,"&lt;&gt;")=0,"",SUMIFS(BD!$X$3:$X$5001,BD!$A$3:$A$5001,U$3,BD!$B$3:$B$5001,$A$5)))</f>
        <v/>
      </c>
      <c r="V13" s="172" t="str">
        <f>IF(V$3="","",IF(COUNTIFS(BD!$A$3:$A$5001,V$3,BD!$B$3:$B$5001,$A$5,BD!$X$3:$X$5001,"&lt;&gt;")=0,"",SUMIFS(BD!$X$3:$X$5001,BD!$A$3:$A$5001,V$3,BD!$B$3:$B$5001,$A$5)))</f>
        <v/>
      </c>
      <c r="W13" s="172" t="str">
        <f>IF(W$3="","",IF(COUNTIFS(BD!$A$3:$A$5001,W$3,BD!$B$3:$B$5001,$A$5,BD!$X$3:$X$5001,"&lt;&gt;")=0,"",SUMIFS(BD!$X$3:$X$5001,BD!$A$3:$A$5001,W$3,BD!$B$3:$B$5001,$A$5)))</f>
        <v/>
      </c>
      <c r="X13" s="172" t="str">
        <f>IF(X$3="","",IF(COUNTIFS(BD!$A$3:$A$5001,X$3,BD!$B$3:$B$5001,$A$5,BD!$X$3:$X$5001,"&lt;&gt;")=0,"",SUMIFS(BD!$X$3:$X$5001,BD!$A$3:$A$5001,X$3,BD!$B$3:$B$5001,$A$5)))</f>
        <v/>
      </c>
      <c r="Y13" s="172" t="str">
        <f>IF(Y$3="","",IF(COUNTIFS(BD!$A$3:$A$5001,Y$3,BD!$B$3:$B$5001,$A$5,BD!$X$3:$X$5001,"&lt;&gt;")=0,"",SUMIFS(BD!$X$3:$X$5001,BD!$A$3:$A$5001,Y$3,BD!$B$3:$B$5001,$A$5)))</f>
        <v/>
      </c>
      <c r="Z13" s="172" t="str">
        <f>IF(Z$3="","",IF(COUNTIFS(BD!$A$3:$A$5001,Z$3,BD!$B$3:$B$5001,$A$5,BD!$X$3:$X$5001,"&lt;&gt;")=0,"",SUMIFS(BD!$X$3:$X$5001,BD!$A$3:$A$5001,Z$3,BD!$B$3:$B$5001,$A$5)))</f>
        <v/>
      </c>
      <c r="AA13" s="172" t="str">
        <f>IF(AA$3="","",IF(COUNTIFS(BD!$A$3:$A$5001,AA$3,BD!$B$3:$B$5001,$A$5,BD!$X$3:$X$5001,"&lt;&gt;")=0,"",SUMIFS(BD!$X$3:$X$5001,BD!$A$3:$A$5001,AA$3,BD!$B$3:$B$5001,$A$5)))</f>
        <v/>
      </c>
      <c r="AB13" s="172" t="str">
        <f>IF(AB$3="","",IF(COUNTIFS(BD!$A$3:$A$5001,AB$3,BD!$B$3:$B$5001,$A$5,BD!$X$3:$X$5001,"&lt;&gt;")=0,"",SUMIFS(BD!$X$3:$X$5001,BD!$A$3:$A$5001,AB$3,BD!$B$3:$B$5001,$A$5)))</f>
        <v/>
      </c>
      <c r="AC13" s="172" t="str">
        <f>IF(AC$3="","",IF(COUNTIFS(BD!$A$3:$A$5001,AC$3,BD!$B$3:$B$5001,$A$5,BD!$X$3:$X$5001,"&lt;&gt;")=0,"",SUMIFS(BD!$X$3:$X$5001,BD!$A$3:$A$5001,AC$3,BD!$B$3:$B$5001,$A$5)))</f>
        <v/>
      </c>
      <c r="AD13" s="172" t="str">
        <f>IF(AD$3="","",IF(COUNTIFS(BD!$A$3:$A$5001,AD$3,BD!$B$3:$B$5001,$A$5,BD!$X$3:$X$5001,"&lt;&gt;")=0,"",SUMIFS(BD!$X$3:$X$5001,BD!$A$3:$A$5001,AD$3,BD!$B$3:$B$5001,$A$5)))</f>
        <v/>
      </c>
      <c r="AE13" s="172" t="str">
        <f>IF(AE$3="","",IF(COUNTIFS(BD!$A$3:$A$5001,AE$3,BD!$B$3:$B$5001,$A$5,BD!$X$3:$X$5001,"&lt;&gt;")=0,"",SUMIFS(BD!$X$3:$X$5001,BD!$A$3:$A$5001,AE$3,BD!$B$3:$B$5001,$A$5)))</f>
        <v/>
      </c>
      <c r="AF13" s="172" t="str">
        <f>IF(AF$3="","",IF(COUNTIFS(BD!$A$3:$A$5001,AF$3,BD!$B$3:$B$5001,$A$5,BD!$X$3:$X$5001,"&lt;&gt;")=0,"",SUMIFS(BD!$X$3:$X$5001,BD!$A$3:$A$5001,AF$3,BD!$B$3:$B$5001,$A$5)))</f>
        <v/>
      </c>
      <c r="AG13" s="172" t="str">
        <f>IF(AG$3="","",IF(COUNTIFS(BD!$A$3:$A$5001,AG$3,BD!$B$3:$B$5001,$A$5,BD!$X$3:$X$5001,"&lt;&gt;")=0,"",SUMIFS(BD!$X$3:$X$5001,BD!$A$3:$A$5001,AG$3,BD!$B$3:$B$5001,$A$5)))</f>
        <v/>
      </c>
      <c r="AH13" s="172" t="str">
        <f>IF(AH$3="","",IF(COUNTIFS(BD!$A$3:$A$5001,AH$3,BD!$B$3:$B$5001,$A$5,BD!$X$3:$X$5001,"&lt;&gt;")=0,"",SUMIFS(BD!$X$3:$X$5001,BD!$A$3:$A$5001,AH$3,BD!$B$3:$B$5001,$A$5)))</f>
        <v/>
      </c>
      <c r="AI13" s="172" t="str">
        <f>IF(AI$3="","",IF(COUNTIFS(BD!$A$3:$A$5001,AI$3,BD!$B$3:$B$5001,$A$5,BD!$X$3:$X$5001,"&lt;&gt;")=0,"",SUMIFS(BD!$X$3:$X$5001,BD!$A$3:$A$5001,AI$3,BD!$B$3:$B$5001,$A$5)))</f>
        <v/>
      </c>
      <c r="AJ13" s="173" t="str">
        <f>IF(AJ$3="","",IF(COUNTIFS(BD!$A$3:$A$5001,AJ$3,BD!$B$3:$B$5001,$A$5,BD!$X$3:$X$5001,"&lt;&gt;")=0,"",SUMIFS(BD!$X$3:$X$5001,BD!$A$3:$A$5001,AJ$3,BD!$B$3:$B$5001,$A$5)))</f>
        <v/>
      </c>
      <c r="AK13" s="174" t="str">
        <f>IF(COUNT(F13:AJ13)&gt;0,LOOKUP(9.99E+307,F13:AJ13),IFERROR(IF(INDEX(BD!$AI$3:$AI$5001,MATCH($A$5,BD!$B$3:$B$5001,0))&amp;""="Contrato","",INDEX(BD!$AI$3:$AI$5001,MATCH($A$5,BD!$B$3:$B$5001,0))&amp;""),""))</f>
        <v/>
      </c>
    </row>
    <row r="14" ht="15.75" customHeight="1">
      <c r="A14" s="261"/>
      <c r="B14" s="256"/>
      <c r="C14" s="214" t="inlineStr">
        <is>
          <t xml:space="preserve">Posições Ocupadas</t>
        </is>
      </c>
      <c r="D14" s="215" t="str">
        <f>IFERROR(1/(1/INDEX(BD!$AL$45:$BF$45,MATCH($A$5,BD!$AL$22:$BF$22,0))),"")</f>
        <v/>
      </c>
      <c r="E14" s="216"/>
      <c r="F14" s="217" t="str">
        <f>IF(F$3="","",IF(COUNTIFS(BD!$A$3:$A$5001,F$3,BD!$B$3:$B$5001,$A$5,BD!$Y$3:$Y$5001,"&lt;&gt;")=0,"",SUMIFS(BD!$Y$3:$Y$5001,BD!$A$3:$A$5001,F$3,BD!$B$3:$B$5001,$A$5)))</f>
        <v/>
      </c>
      <c r="G14" s="218" t="str">
        <f>IF(G$3="","",IF(COUNTIFS(BD!$A$3:$A$5001,G$3,BD!$B$3:$B$5001,$A$5,BD!$Y$3:$Y$5001,"&lt;&gt;")=0,"",SUMIFS(BD!$Y$3:$Y$5001,BD!$A$3:$A$5001,G$3,BD!$B$3:$B$5001,$A$5)))</f>
        <v/>
      </c>
      <c r="H14" s="218" t="str">
        <f>IF(H$3="","",IF(COUNTIFS(BD!$A$3:$A$5001,H$3,BD!$B$3:$B$5001,$A$5,BD!$Y$3:$Y$5001,"&lt;&gt;")=0,"",SUMIFS(BD!$Y$3:$Y$5001,BD!$A$3:$A$5001,H$3,BD!$B$3:$B$5001,$A$5)))</f>
        <v/>
      </c>
      <c r="I14" s="218" t="str">
        <f>IF(I$3="","",IF(COUNTIFS(BD!$A$3:$A$5001,I$3,BD!$B$3:$B$5001,$A$5,BD!$Y$3:$Y$5001,"&lt;&gt;")=0,"",SUMIFS(BD!$Y$3:$Y$5001,BD!$A$3:$A$5001,I$3,BD!$B$3:$B$5001,$A$5)))</f>
        <v/>
      </c>
      <c r="J14" s="218" t="str">
        <f>IF(J$3="","",IF(COUNTIFS(BD!$A$3:$A$5001,J$3,BD!$B$3:$B$5001,$A$5,BD!$Y$3:$Y$5001,"&lt;&gt;")=0,"",SUMIFS(BD!$Y$3:$Y$5001,BD!$A$3:$A$5001,J$3,BD!$B$3:$B$5001,$A$5)))</f>
        <v/>
      </c>
      <c r="K14" s="218" t="str">
        <f>IF(K$3="","",IF(COUNTIFS(BD!$A$3:$A$5001,K$3,BD!$B$3:$B$5001,$A$5,BD!$Y$3:$Y$5001,"&lt;&gt;")=0,"",SUMIFS(BD!$Y$3:$Y$5001,BD!$A$3:$A$5001,K$3,BD!$B$3:$B$5001,$A$5)))</f>
        <v/>
      </c>
      <c r="L14" s="218" t="str">
        <f>IF(L$3="","",IF(COUNTIFS(BD!$A$3:$A$5001,L$3,BD!$B$3:$B$5001,$A$5,BD!$Y$3:$Y$5001,"&lt;&gt;")=0,"",SUMIFS(BD!$Y$3:$Y$5001,BD!$A$3:$A$5001,L$3,BD!$B$3:$B$5001,$A$5)))</f>
        <v/>
      </c>
      <c r="M14" s="218" t="str">
        <f>IF(M$3="","",IF(COUNTIFS(BD!$A$3:$A$5001,M$3,BD!$B$3:$B$5001,$A$5,BD!$Y$3:$Y$5001,"&lt;&gt;")=0,"",SUMIFS(BD!$Y$3:$Y$5001,BD!$A$3:$A$5001,M$3,BD!$B$3:$B$5001,$A$5)))</f>
        <v/>
      </c>
      <c r="N14" s="218" t="str">
        <f>IF(N$3="","",IF(COUNTIFS(BD!$A$3:$A$5001,N$3,BD!$B$3:$B$5001,$A$5,BD!$Y$3:$Y$5001,"&lt;&gt;")=0,"",SUMIFS(BD!$Y$3:$Y$5001,BD!$A$3:$A$5001,N$3,BD!$B$3:$B$5001,$A$5)))</f>
        <v/>
      </c>
      <c r="O14" s="218" t="str">
        <f>IF(O$3="","",IF(COUNTIFS(BD!$A$3:$A$5001,O$3,BD!$B$3:$B$5001,$A$5,BD!$Y$3:$Y$5001,"&lt;&gt;")=0,"",SUMIFS(BD!$Y$3:$Y$5001,BD!$A$3:$A$5001,O$3,BD!$B$3:$B$5001,$A$5)))</f>
        <v/>
      </c>
      <c r="P14" s="218" t="str">
        <f>IF(P$3="","",IF(COUNTIFS(BD!$A$3:$A$5001,P$3,BD!$B$3:$B$5001,$A$5,BD!$Y$3:$Y$5001,"&lt;&gt;")=0,"",SUMIFS(BD!$Y$3:$Y$5001,BD!$A$3:$A$5001,P$3,BD!$B$3:$B$5001,$A$5)))</f>
        <v/>
      </c>
      <c r="Q14" s="218" t="str">
        <f>IF(Q$3="","",IF(COUNTIFS(BD!$A$3:$A$5001,Q$3,BD!$B$3:$B$5001,$A$5,BD!$Y$3:$Y$5001,"&lt;&gt;")=0,"",SUMIFS(BD!$Y$3:$Y$5001,BD!$A$3:$A$5001,Q$3,BD!$B$3:$B$5001,$A$5)))</f>
        <v/>
      </c>
      <c r="R14" s="218" t="str">
        <f>IF(R$3="","",IF(COUNTIFS(BD!$A$3:$A$5001,R$3,BD!$B$3:$B$5001,$A$5,BD!$Y$3:$Y$5001,"&lt;&gt;")=0,"",SUMIFS(BD!$Y$3:$Y$5001,BD!$A$3:$A$5001,R$3,BD!$B$3:$B$5001,$A$5)))</f>
        <v/>
      </c>
      <c r="S14" s="218" t="str">
        <f>IF(S$3="","",IF(COUNTIFS(BD!$A$3:$A$5001,S$3,BD!$B$3:$B$5001,$A$5,BD!$Y$3:$Y$5001,"&lt;&gt;")=0,"",SUMIFS(BD!$Y$3:$Y$5001,BD!$A$3:$A$5001,S$3,BD!$B$3:$B$5001,$A$5)))</f>
        <v/>
      </c>
      <c r="T14" s="218" t="str">
        <f>IF(T$3="","",IF(COUNTIFS(BD!$A$3:$A$5001,T$3,BD!$B$3:$B$5001,$A$5,BD!$Y$3:$Y$5001,"&lt;&gt;")=0,"",SUMIFS(BD!$Y$3:$Y$5001,BD!$A$3:$A$5001,T$3,BD!$B$3:$B$5001,$A$5)))</f>
        <v/>
      </c>
      <c r="U14" s="218" t="str">
        <f>IF(U$3="","",IF(COUNTIFS(BD!$A$3:$A$5001,U$3,BD!$B$3:$B$5001,$A$5,BD!$Y$3:$Y$5001,"&lt;&gt;")=0,"",SUMIFS(BD!$Y$3:$Y$5001,BD!$A$3:$A$5001,U$3,BD!$B$3:$B$5001,$A$5)))</f>
        <v/>
      </c>
      <c r="V14" s="218" t="str">
        <f>IF(V$3="","",IF(COUNTIFS(BD!$A$3:$A$5001,V$3,BD!$B$3:$B$5001,$A$5,BD!$Y$3:$Y$5001,"&lt;&gt;")=0,"",SUMIFS(BD!$Y$3:$Y$5001,BD!$A$3:$A$5001,V$3,BD!$B$3:$B$5001,$A$5)))</f>
        <v/>
      </c>
      <c r="W14" s="218" t="str">
        <f>IF(W$3="","",IF(COUNTIFS(BD!$A$3:$A$5001,W$3,BD!$B$3:$B$5001,$A$5,BD!$Y$3:$Y$5001,"&lt;&gt;")=0,"",SUMIFS(BD!$Y$3:$Y$5001,BD!$A$3:$A$5001,W$3,BD!$B$3:$B$5001,$A$5)))</f>
        <v/>
      </c>
      <c r="X14" s="218" t="str">
        <f>IF(X$3="","",IF(COUNTIFS(BD!$A$3:$A$5001,X$3,BD!$B$3:$B$5001,$A$5,BD!$Y$3:$Y$5001,"&lt;&gt;")=0,"",SUMIFS(BD!$Y$3:$Y$5001,BD!$A$3:$A$5001,X$3,BD!$B$3:$B$5001,$A$5)))</f>
        <v/>
      </c>
      <c r="Y14" s="218" t="str">
        <f>IF(Y$3="","",IF(COUNTIFS(BD!$A$3:$A$5001,Y$3,BD!$B$3:$B$5001,$A$5,BD!$Y$3:$Y$5001,"&lt;&gt;")=0,"",SUMIFS(BD!$Y$3:$Y$5001,BD!$A$3:$A$5001,Y$3,BD!$B$3:$B$5001,$A$5)))</f>
        <v/>
      </c>
      <c r="Z14" s="218" t="str">
        <f>IF(Z$3="","",IF(COUNTIFS(BD!$A$3:$A$5001,Z$3,BD!$B$3:$B$5001,$A$5,BD!$Y$3:$Y$5001,"&lt;&gt;")=0,"",SUMIFS(BD!$Y$3:$Y$5001,BD!$A$3:$A$5001,Z$3,BD!$B$3:$B$5001,$A$5)))</f>
        <v/>
      </c>
      <c r="AA14" s="218" t="str">
        <f>IF(AA$3="","",IF(COUNTIFS(BD!$A$3:$A$5001,AA$3,BD!$B$3:$B$5001,$A$5,BD!$Y$3:$Y$5001,"&lt;&gt;")=0,"",SUMIFS(BD!$Y$3:$Y$5001,BD!$A$3:$A$5001,AA$3,BD!$B$3:$B$5001,$A$5)))</f>
        <v/>
      </c>
      <c r="AB14" s="218" t="str">
        <f>IF(AB$3="","",IF(COUNTIFS(BD!$A$3:$A$5001,AB$3,BD!$B$3:$B$5001,$A$5,BD!$Y$3:$Y$5001,"&lt;&gt;")=0,"",SUMIFS(BD!$Y$3:$Y$5001,BD!$A$3:$A$5001,AB$3,BD!$B$3:$B$5001,$A$5)))</f>
        <v/>
      </c>
      <c r="AC14" s="218" t="str">
        <f>IF(AC$3="","",IF(COUNTIFS(BD!$A$3:$A$5001,AC$3,BD!$B$3:$B$5001,$A$5,BD!$Y$3:$Y$5001,"&lt;&gt;")=0,"",SUMIFS(BD!$Y$3:$Y$5001,BD!$A$3:$A$5001,AC$3,BD!$B$3:$B$5001,$A$5)))</f>
        <v/>
      </c>
      <c r="AD14" s="218" t="str">
        <f>IF(AD$3="","",IF(COUNTIFS(BD!$A$3:$A$5001,AD$3,BD!$B$3:$B$5001,$A$5,BD!$Y$3:$Y$5001,"&lt;&gt;")=0,"",SUMIFS(BD!$Y$3:$Y$5001,BD!$A$3:$A$5001,AD$3,BD!$B$3:$B$5001,$A$5)))</f>
        <v/>
      </c>
      <c r="AE14" s="218" t="str">
        <f>IF(AE$3="","",IF(COUNTIFS(BD!$A$3:$A$5001,AE$3,BD!$B$3:$B$5001,$A$5,BD!$Y$3:$Y$5001,"&lt;&gt;")=0,"",SUMIFS(BD!$Y$3:$Y$5001,BD!$A$3:$A$5001,AE$3,BD!$B$3:$B$5001,$A$5)))</f>
        <v/>
      </c>
      <c r="AF14" s="218" t="str">
        <f>IF(AF$3="","",IF(COUNTIFS(BD!$A$3:$A$5001,AF$3,BD!$B$3:$B$5001,$A$5,BD!$Y$3:$Y$5001,"&lt;&gt;")=0,"",SUMIFS(BD!$Y$3:$Y$5001,BD!$A$3:$A$5001,AF$3,BD!$B$3:$B$5001,$A$5)))</f>
        <v/>
      </c>
      <c r="AG14" s="218" t="str">
        <f>IF(AG$3="","",IF(COUNTIFS(BD!$A$3:$A$5001,AG$3,BD!$B$3:$B$5001,$A$5,BD!$Y$3:$Y$5001,"&lt;&gt;")=0,"",SUMIFS(BD!$Y$3:$Y$5001,BD!$A$3:$A$5001,AG$3,BD!$B$3:$B$5001,$A$5)))</f>
        <v/>
      </c>
      <c r="AH14" s="218" t="str">
        <f>IF(AH$3="","",IF(COUNTIFS(BD!$A$3:$A$5001,AH$3,BD!$B$3:$B$5001,$A$5,BD!$Y$3:$Y$5001,"&lt;&gt;")=0,"",SUMIFS(BD!$Y$3:$Y$5001,BD!$A$3:$A$5001,AH$3,BD!$B$3:$B$5001,$A$5)))</f>
        <v/>
      </c>
      <c r="AI14" s="218" t="str">
        <f>IF(AI$3="","",IF(COUNTIFS(BD!$A$3:$A$5001,AI$3,BD!$B$3:$B$5001,$A$5,BD!$Y$3:$Y$5001,"&lt;&gt;")=0,"",SUMIFS(BD!$Y$3:$Y$5001,BD!$A$3:$A$5001,AI$3,BD!$B$3:$B$5001,$A$5)))</f>
        <v/>
      </c>
      <c r="AJ14" s="219" t="str">
        <f>IF(AJ$3="","",IF(COUNTIFS(BD!$A$3:$A$5001,AJ$3,BD!$B$3:$B$5001,$A$5,BD!$Y$3:$Y$5001,"&lt;&gt;")=0,"",SUMIFS(BD!$Y$3:$Y$5001,BD!$A$3:$A$5001,AJ$3,BD!$B$3:$B$5001,$A$5)))</f>
        <v/>
      </c>
      <c r="AK14" s="220" t="str">
        <f>IFERROR(LOOKUP(9.99E+307,F14:AJ14),"")</f>
        <v/>
      </c>
    </row>
    <row r="15" ht="15.75" customHeight="1">
      <c r="A15" s="261"/>
      <c r="B15" s="250"/>
      <c r="C15" s="175" t="inlineStr">
        <is>
          <t xml:space="preserve">Taxa de Ocupação</t>
        </is>
      </c>
      <c r="D15" s="221" t="str">
        <f>IFERROR(1/(1/INDEX(BD!$AL$46:$BF$46,MATCH($A$5,BD!$AL$22:$BF$22,0))),"")</f>
        <v/>
      </c>
      <c r="E15" s="177"/>
      <c r="F15" s="222" t="str">
        <f>IF(AND(ISNUMBER(F13),ISNUMBER(F14)),IF(F13&gt;0,F14/F13,""),"")</f>
        <v/>
      </c>
      <c r="G15" s="223" t="str">
        <f>IF(AND(ISNUMBER(G13),ISNUMBER(G14)),IF(G13&gt;0,G14/G13,""),"")</f>
        <v/>
      </c>
      <c r="H15" s="223" t="str">
        <f>IF(AND(ISNUMBER(H13),ISNUMBER(H14)),IF(H13&gt;0,H14/H13,""),"")</f>
        <v/>
      </c>
      <c r="I15" s="223" t="str">
        <f>IF(AND(ISNUMBER(I13),ISNUMBER(I14)),IF(I13&gt;0,I14/I13,""),"")</f>
        <v/>
      </c>
      <c r="J15" s="223" t="str">
        <f>IF(AND(ISNUMBER(J13),ISNUMBER(J14)),IF(J13&gt;0,J14/J13,""),"")</f>
        <v/>
      </c>
      <c r="K15" s="223" t="str">
        <f>IF(AND(ISNUMBER(K13),ISNUMBER(K14)),IF(K13&gt;0,K14/K13,""),"")</f>
        <v/>
      </c>
      <c r="L15" s="223" t="str">
        <f>IF(AND(ISNUMBER(L13),ISNUMBER(L14)),IF(L13&gt;0,L14/L13,""),"")</f>
        <v/>
      </c>
      <c r="M15" s="223" t="str">
        <f>IF(AND(ISNUMBER(M13),ISNUMBER(M14)),IF(M13&gt;0,M14/M13,""),"")</f>
        <v/>
      </c>
      <c r="N15" s="223" t="str">
        <f>IF(AND(ISNUMBER(N13),ISNUMBER(N14)),IF(N13&gt;0,N14/N13,""),"")</f>
        <v/>
      </c>
      <c r="O15" s="223" t="str">
        <f>IF(AND(ISNUMBER(O13),ISNUMBER(O14)),IF(O13&gt;0,O14/O13,""),"")</f>
        <v/>
      </c>
      <c r="P15" s="223" t="str">
        <f>IF(AND(ISNUMBER(P13),ISNUMBER(P14)),IF(P13&gt;0,P14/P13,""),"")</f>
        <v/>
      </c>
      <c r="Q15" s="223" t="str">
        <f>IF(AND(ISNUMBER(Q13),ISNUMBER(Q14)),IF(Q13&gt;0,Q14/Q13,""),"")</f>
        <v/>
      </c>
      <c r="R15" s="223" t="str">
        <f>IF(AND(ISNUMBER(R13),ISNUMBER(R14)),IF(R13&gt;0,R14/R13,""),"")</f>
        <v/>
      </c>
      <c r="S15" s="223" t="str">
        <f>IF(AND(ISNUMBER(S13),ISNUMBER(S14)),IF(S13&gt;0,S14/S13,""),"")</f>
        <v/>
      </c>
      <c r="T15" s="223" t="str">
        <f>IF(AND(ISNUMBER(T13),ISNUMBER(T14)),IF(T13&gt;0,T14/T13,""),"")</f>
        <v/>
      </c>
      <c r="U15" s="223" t="str">
        <f>IF(AND(ISNUMBER(U13),ISNUMBER(U14)),IF(U13&gt;0,U14/U13,""),"")</f>
        <v/>
      </c>
      <c r="V15" s="223" t="str">
        <f>IF(AND(ISNUMBER(V13),ISNUMBER(V14)),IF(V13&gt;0,V14/V13,""),"")</f>
        <v/>
      </c>
      <c r="W15" s="223" t="str">
        <f>IF(AND(ISNUMBER(W13),ISNUMBER(W14)),IF(W13&gt;0,W14/W13,""),"")</f>
        <v/>
      </c>
      <c r="X15" s="223" t="str">
        <f>IF(AND(ISNUMBER(X13),ISNUMBER(X14)),IF(X13&gt;0,X14/X13,""),"")</f>
        <v/>
      </c>
      <c r="Y15" s="223" t="str">
        <f>IF(AND(ISNUMBER(Y13),ISNUMBER(Y14)),IF(Y13&gt;0,Y14/Y13,""),"")</f>
        <v/>
      </c>
      <c r="Z15" s="223" t="str">
        <f>IF(AND(ISNUMBER(Z13),ISNUMBER(Z14)),IF(Z13&gt;0,Z14/Z13,""),"")</f>
        <v/>
      </c>
      <c r="AA15" s="223" t="str">
        <f>IF(AND(ISNUMBER(AA13),ISNUMBER(AA14)),IF(AA13&gt;0,AA14/AA13,""),"")</f>
        <v/>
      </c>
      <c r="AB15" s="223" t="str">
        <f>IF(AND(ISNUMBER(AB13),ISNUMBER(AB14)),IF(AB13&gt;0,AB14/AB13,""),"")</f>
        <v/>
      </c>
      <c r="AC15" s="223" t="str">
        <f>IF(AND(ISNUMBER(AC13),ISNUMBER(AC14)),IF(AC13&gt;0,AC14/AC13,""),"")</f>
        <v/>
      </c>
      <c r="AD15" s="223" t="str">
        <f>IF(AND(ISNUMBER(AD13),ISNUMBER(AD14)),IF(AD13&gt;0,AD14/AD13,""),"")</f>
        <v/>
      </c>
      <c r="AE15" s="223" t="str">
        <f>IF(AND(ISNUMBER(AE13),ISNUMBER(AE14)),IF(AE13&gt;0,AE14/AE13,""),"")</f>
        <v/>
      </c>
      <c r="AF15" s="223" t="str">
        <f>IF(AND(ISNUMBER(AF13),ISNUMBER(AF14)),IF(AF13&gt;0,AF14/AF13,""),"")</f>
        <v/>
      </c>
      <c r="AG15" s="223" t="str">
        <f>IF(AND(ISNUMBER(AG13),ISNUMBER(AG14)),IF(AG13&gt;0,AG14/AG13,""),"")</f>
        <v/>
      </c>
      <c r="AH15" s="223" t="str">
        <f>IF(AND(ISNUMBER(AH13),ISNUMBER(AH14)),IF(AH13&gt;0,AH14/AH13,""),"")</f>
        <v/>
      </c>
      <c r="AI15" s="223" t="str">
        <f>IF(AND(ISNUMBER(AI13),ISNUMBER(AI14)),IF(AI13&gt;0,AI14/AI13,""),"")</f>
        <v/>
      </c>
      <c r="AJ15" s="224" t="str">
        <f>IF(AND(ISNUMBER(AJ13),ISNUMBER(AJ14)),IF(AJ13&gt;0,AJ14/AJ13,""),"")</f>
        <v/>
      </c>
      <c r="AK15" s="221" t="str">
        <f>IF(AND(ISNUMBER(AK13),ISNUMBER(AK14)),IF(AK13&gt;0,AK14/AK13,""),"")</f>
        <v/>
      </c>
    </row>
    <row r="16" ht="15.75" customHeight="1">
      <c r="A16" s="261"/>
      <c r="B16" s="257" t="inlineStr">
        <is>
          <t xml:space="preserve">GENTE</t>
        </is>
      </c>
      <c r="C16" s="225" t="inlineStr">
        <is>
          <t xml:space="preserve">Efetivo Op.</t>
        </is>
      </c>
      <c r="D16" s="226" t="str">
        <f>IFERROR(1/(1/INDEX(BD!$AL$47:$BF$47,MATCH($A$5,BD!$AL$22:$BF$22,0))),"")</f>
        <v/>
      </c>
      <c r="E16" s="227"/>
      <c r="F16" s="228" t="str">
        <f>IF(F$3="","",IF(COUNTIFS(BD!$A$3:$A$5001,F$3,BD!$B$3:$B$5001,$A$5,BD!$Z$3:$Z$5001,"&lt;&gt;")=0,"",SUMIFS(BD!$Z$3:$Z$5001,BD!$A$3:$A$5001,F$3,BD!$B$3:$B$5001,$A$5)))</f>
        <v/>
      </c>
      <c r="G16" s="229" t="str">
        <f>IF(G$3="","",IF(COUNTIFS(BD!$A$3:$A$5001,G$3,BD!$B$3:$B$5001,$A$5,BD!$Z$3:$Z$5001,"&lt;&gt;")=0,"",SUMIFS(BD!$Z$3:$Z$5001,BD!$A$3:$A$5001,G$3,BD!$B$3:$B$5001,$A$5)))</f>
        <v/>
      </c>
      <c r="H16" s="229" t="str">
        <f>IF(H$3="","",IF(COUNTIFS(BD!$A$3:$A$5001,H$3,BD!$B$3:$B$5001,$A$5,BD!$Z$3:$Z$5001,"&lt;&gt;")=0,"",SUMIFS(BD!$Z$3:$Z$5001,BD!$A$3:$A$5001,H$3,BD!$B$3:$B$5001,$A$5)))</f>
        <v/>
      </c>
      <c r="I16" s="229" t="str">
        <f>IF(I$3="","",IF(COUNTIFS(BD!$A$3:$A$5001,I$3,BD!$B$3:$B$5001,$A$5,BD!$Z$3:$Z$5001,"&lt;&gt;")=0,"",SUMIFS(BD!$Z$3:$Z$5001,BD!$A$3:$A$5001,I$3,BD!$B$3:$B$5001,$A$5)))</f>
        <v/>
      </c>
      <c r="J16" s="229" t="str">
        <f>IF(J$3="","",IF(COUNTIFS(BD!$A$3:$A$5001,J$3,BD!$B$3:$B$5001,$A$5,BD!$Z$3:$Z$5001,"&lt;&gt;")=0,"",SUMIFS(BD!$Z$3:$Z$5001,BD!$A$3:$A$5001,J$3,BD!$B$3:$B$5001,$A$5)))</f>
        <v/>
      </c>
      <c r="K16" s="229" t="str">
        <f>IF(K$3="","",IF(COUNTIFS(BD!$A$3:$A$5001,K$3,BD!$B$3:$B$5001,$A$5,BD!$Z$3:$Z$5001,"&lt;&gt;")=0,"",SUMIFS(BD!$Z$3:$Z$5001,BD!$A$3:$A$5001,K$3,BD!$B$3:$B$5001,$A$5)))</f>
        <v/>
      </c>
      <c r="L16" s="229" t="str">
        <f>IF(L$3="","",IF(COUNTIFS(BD!$A$3:$A$5001,L$3,BD!$B$3:$B$5001,$A$5,BD!$Z$3:$Z$5001,"&lt;&gt;")=0,"",SUMIFS(BD!$Z$3:$Z$5001,BD!$A$3:$A$5001,L$3,BD!$B$3:$B$5001,$A$5)))</f>
        <v/>
      </c>
      <c r="M16" s="229" t="str">
        <f>IF(M$3="","",IF(COUNTIFS(BD!$A$3:$A$5001,M$3,BD!$B$3:$B$5001,$A$5,BD!$Z$3:$Z$5001,"&lt;&gt;")=0,"",SUMIFS(BD!$Z$3:$Z$5001,BD!$A$3:$A$5001,M$3,BD!$B$3:$B$5001,$A$5)))</f>
        <v/>
      </c>
      <c r="N16" s="229" t="str">
        <f>IF(N$3="","",IF(COUNTIFS(BD!$A$3:$A$5001,N$3,BD!$B$3:$B$5001,$A$5,BD!$Z$3:$Z$5001,"&lt;&gt;")=0,"",SUMIFS(BD!$Z$3:$Z$5001,BD!$A$3:$A$5001,N$3,BD!$B$3:$B$5001,$A$5)))</f>
        <v/>
      </c>
      <c r="O16" s="229" t="str">
        <f>IF(O$3="","",IF(COUNTIFS(BD!$A$3:$A$5001,O$3,BD!$B$3:$B$5001,$A$5,BD!$Z$3:$Z$5001,"&lt;&gt;")=0,"",SUMIFS(BD!$Z$3:$Z$5001,BD!$A$3:$A$5001,O$3,BD!$B$3:$B$5001,$A$5)))</f>
        <v/>
      </c>
      <c r="P16" s="229" t="str">
        <f>IF(P$3="","",IF(COUNTIFS(BD!$A$3:$A$5001,P$3,BD!$B$3:$B$5001,$A$5,BD!$Z$3:$Z$5001,"&lt;&gt;")=0,"",SUMIFS(BD!$Z$3:$Z$5001,BD!$A$3:$A$5001,P$3,BD!$B$3:$B$5001,$A$5)))</f>
        <v/>
      </c>
      <c r="Q16" s="229" t="str">
        <f>IF(Q$3="","",IF(COUNTIFS(BD!$A$3:$A$5001,Q$3,BD!$B$3:$B$5001,$A$5,BD!$Z$3:$Z$5001,"&lt;&gt;")=0,"",SUMIFS(BD!$Z$3:$Z$5001,BD!$A$3:$A$5001,Q$3,BD!$B$3:$B$5001,$A$5)))</f>
        <v/>
      </c>
      <c r="R16" s="229" t="str">
        <f>IF(R$3="","",IF(COUNTIFS(BD!$A$3:$A$5001,R$3,BD!$B$3:$B$5001,$A$5,BD!$Z$3:$Z$5001,"&lt;&gt;")=0,"",SUMIFS(BD!$Z$3:$Z$5001,BD!$A$3:$A$5001,R$3,BD!$B$3:$B$5001,$A$5)))</f>
        <v/>
      </c>
      <c r="S16" s="229" t="str">
        <f>IF(S$3="","",IF(COUNTIFS(BD!$A$3:$A$5001,S$3,BD!$B$3:$B$5001,$A$5,BD!$Z$3:$Z$5001,"&lt;&gt;")=0,"",SUMIFS(BD!$Z$3:$Z$5001,BD!$A$3:$A$5001,S$3,BD!$B$3:$B$5001,$A$5)))</f>
        <v/>
      </c>
      <c r="T16" s="229" t="str">
        <f>IF(T$3="","",IF(COUNTIFS(BD!$A$3:$A$5001,T$3,BD!$B$3:$B$5001,$A$5,BD!$Z$3:$Z$5001,"&lt;&gt;")=0,"",SUMIFS(BD!$Z$3:$Z$5001,BD!$A$3:$A$5001,T$3,BD!$B$3:$B$5001,$A$5)))</f>
        <v/>
      </c>
      <c r="U16" s="229" t="str">
        <f>IF(U$3="","",IF(COUNTIFS(BD!$A$3:$A$5001,U$3,BD!$B$3:$B$5001,$A$5,BD!$Z$3:$Z$5001,"&lt;&gt;")=0,"",SUMIFS(BD!$Z$3:$Z$5001,BD!$A$3:$A$5001,U$3,BD!$B$3:$B$5001,$A$5)))</f>
        <v/>
      </c>
      <c r="V16" s="229" t="str">
        <f>IF(V$3="","",IF(COUNTIFS(BD!$A$3:$A$5001,V$3,BD!$B$3:$B$5001,$A$5,BD!$Z$3:$Z$5001,"&lt;&gt;")=0,"",SUMIFS(BD!$Z$3:$Z$5001,BD!$A$3:$A$5001,V$3,BD!$B$3:$B$5001,$A$5)))</f>
        <v/>
      </c>
      <c r="W16" s="229" t="str">
        <f>IF(W$3="","",IF(COUNTIFS(BD!$A$3:$A$5001,W$3,BD!$B$3:$B$5001,$A$5,BD!$Z$3:$Z$5001,"&lt;&gt;")=0,"",SUMIFS(BD!$Z$3:$Z$5001,BD!$A$3:$A$5001,W$3,BD!$B$3:$B$5001,$A$5)))</f>
        <v/>
      </c>
      <c r="X16" s="229" t="str">
        <f>IF(X$3="","",IF(COUNTIFS(BD!$A$3:$A$5001,X$3,BD!$B$3:$B$5001,$A$5,BD!$Z$3:$Z$5001,"&lt;&gt;")=0,"",SUMIFS(BD!$Z$3:$Z$5001,BD!$A$3:$A$5001,X$3,BD!$B$3:$B$5001,$A$5)))</f>
        <v/>
      </c>
      <c r="Y16" s="229" t="str">
        <f>IF(Y$3="","",IF(COUNTIFS(BD!$A$3:$A$5001,Y$3,BD!$B$3:$B$5001,$A$5,BD!$Z$3:$Z$5001,"&lt;&gt;")=0,"",SUMIFS(BD!$Z$3:$Z$5001,BD!$A$3:$A$5001,Y$3,BD!$B$3:$B$5001,$A$5)))</f>
        <v/>
      </c>
      <c r="Z16" s="229" t="str">
        <f>IF(Z$3="","",IF(COUNTIFS(BD!$A$3:$A$5001,Z$3,BD!$B$3:$B$5001,$A$5,BD!$Z$3:$Z$5001,"&lt;&gt;")=0,"",SUMIFS(BD!$Z$3:$Z$5001,BD!$A$3:$A$5001,Z$3,BD!$B$3:$B$5001,$A$5)))</f>
        <v/>
      </c>
      <c r="AA16" s="229" t="str">
        <f>IF(AA$3="","",IF(COUNTIFS(BD!$A$3:$A$5001,AA$3,BD!$B$3:$B$5001,$A$5,BD!$Z$3:$Z$5001,"&lt;&gt;")=0,"",SUMIFS(BD!$Z$3:$Z$5001,BD!$A$3:$A$5001,AA$3,BD!$B$3:$B$5001,$A$5)))</f>
        <v/>
      </c>
      <c r="AB16" s="229" t="str">
        <f>IF(AB$3="","",IF(COUNTIFS(BD!$A$3:$A$5001,AB$3,BD!$B$3:$B$5001,$A$5,BD!$Z$3:$Z$5001,"&lt;&gt;")=0,"",SUMIFS(BD!$Z$3:$Z$5001,BD!$A$3:$A$5001,AB$3,BD!$B$3:$B$5001,$A$5)))</f>
        <v/>
      </c>
      <c r="AC16" s="229" t="str">
        <f>IF(AC$3="","",IF(COUNTIFS(BD!$A$3:$A$5001,AC$3,BD!$B$3:$B$5001,$A$5,BD!$Z$3:$Z$5001,"&lt;&gt;")=0,"",SUMIFS(BD!$Z$3:$Z$5001,BD!$A$3:$A$5001,AC$3,BD!$B$3:$B$5001,$A$5)))</f>
        <v/>
      </c>
      <c r="AD16" s="229" t="str">
        <f>IF(AD$3="","",IF(COUNTIFS(BD!$A$3:$A$5001,AD$3,BD!$B$3:$B$5001,$A$5,BD!$Z$3:$Z$5001,"&lt;&gt;")=0,"",SUMIFS(BD!$Z$3:$Z$5001,BD!$A$3:$A$5001,AD$3,BD!$B$3:$B$5001,$A$5)))</f>
        <v/>
      </c>
      <c r="AE16" s="229" t="str">
        <f>IF(AE$3="","",IF(COUNTIFS(BD!$A$3:$A$5001,AE$3,BD!$B$3:$B$5001,$A$5,BD!$Z$3:$Z$5001,"&lt;&gt;")=0,"",SUMIFS(BD!$Z$3:$Z$5001,BD!$A$3:$A$5001,AE$3,BD!$B$3:$B$5001,$A$5)))</f>
        <v/>
      </c>
      <c r="AF16" s="229" t="str">
        <f>IF(AF$3="","",IF(COUNTIFS(BD!$A$3:$A$5001,AF$3,BD!$B$3:$B$5001,$A$5,BD!$Z$3:$Z$5001,"&lt;&gt;")=0,"",SUMIFS(BD!$Z$3:$Z$5001,BD!$A$3:$A$5001,AF$3,BD!$B$3:$B$5001,$A$5)))</f>
        <v/>
      </c>
      <c r="AG16" s="229" t="str">
        <f>IF(AG$3="","",IF(COUNTIFS(BD!$A$3:$A$5001,AG$3,BD!$B$3:$B$5001,$A$5,BD!$Z$3:$Z$5001,"&lt;&gt;")=0,"",SUMIFS(BD!$Z$3:$Z$5001,BD!$A$3:$A$5001,AG$3,BD!$B$3:$B$5001,$A$5)))</f>
        <v/>
      </c>
      <c r="AH16" s="229" t="str">
        <f>IF(AH$3="","",IF(COUNTIFS(BD!$A$3:$A$5001,AH$3,BD!$B$3:$B$5001,$A$5,BD!$Z$3:$Z$5001,"&lt;&gt;")=0,"",SUMIFS(BD!$Z$3:$Z$5001,BD!$A$3:$A$5001,AH$3,BD!$B$3:$B$5001,$A$5)))</f>
        <v/>
      </c>
      <c r="AI16" s="229" t="str">
        <f>IF(AI$3="","",IF(COUNTIFS(BD!$A$3:$A$5001,AI$3,BD!$B$3:$B$5001,$A$5,BD!$Z$3:$Z$5001,"&lt;&gt;")=0,"",SUMIFS(BD!$Z$3:$Z$5001,BD!$A$3:$A$5001,AI$3,BD!$B$3:$B$5001,$A$5)))</f>
        <v/>
      </c>
      <c r="AJ16" s="230" t="str">
        <f>IF(AJ$3="","",IF(COUNTIFS(BD!$A$3:$A$5001,AJ$3,BD!$B$3:$B$5001,$A$5,BD!$Z$3:$Z$5001,"&lt;&gt;")=0,"",SUMIFS(BD!$Z$3:$Z$5001,BD!$A$3:$A$5001,AJ$3,BD!$B$3:$B$5001,$A$5)))</f>
        <v/>
      </c>
      <c r="AK16" s="231" t="str">
        <f>IFERROR(LOOKUP(9.99E+307,F16:AJ16),"")</f>
        <v/>
      </c>
    </row>
    <row r="17" ht="15.75" customHeight="1">
      <c r="A17" s="261"/>
      <c r="B17" s="258"/>
      <c r="C17" s="232" t="inlineStr">
        <is>
          <t xml:space="preserve">Falta</t>
        </is>
      </c>
      <c r="D17" s="233" t="str">
        <f>IFERROR(1/(1/INDEX(BD!$AL$48:$BF$48,MATCH($A$5,BD!$AL$22:$BF$22,0))),"")</f>
        <v/>
      </c>
      <c r="E17" s="234"/>
      <c r="F17" s="235" t="str">
        <f>IF(F$3="","",IF(COUNTIFS(BD!$A$3:$A$5001,F$3,BD!$B$3:$B$5001,$A$5,BD!$AA$3:$AA$5001,"&lt;&gt;")=0,"",SUMIFS(BD!$AA$3:$AA$5001,BD!$A$3:$A$5001,F$3,BD!$B$3:$B$5001,$A$5)))</f>
        <v/>
      </c>
      <c r="G17" s="236" t="str">
        <f>IF(G$3="","",IF(COUNTIFS(BD!$A$3:$A$5001,G$3,BD!$B$3:$B$5001,$A$5,BD!$AA$3:$AA$5001,"&lt;&gt;")=0,"",SUMIFS(BD!$AA$3:$AA$5001,BD!$A$3:$A$5001,G$3,BD!$B$3:$B$5001,$A$5)))</f>
        <v/>
      </c>
      <c r="H17" s="236" t="str">
        <f>IF(H$3="","",IF(COUNTIFS(BD!$A$3:$A$5001,H$3,BD!$B$3:$B$5001,$A$5,BD!$AA$3:$AA$5001,"&lt;&gt;")=0,"",SUMIFS(BD!$AA$3:$AA$5001,BD!$A$3:$A$5001,H$3,BD!$B$3:$B$5001,$A$5)))</f>
        <v/>
      </c>
      <c r="I17" s="236" t="str">
        <f>IF(I$3="","",IF(COUNTIFS(BD!$A$3:$A$5001,I$3,BD!$B$3:$B$5001,$A$5,BD!$AA$3:$AA$5001,"&lt;&gt;")=0,"",SUMIFS(BD!$AA$3:$AA$5001,BD!$A$3:$A$5001,I$3,BD!$B$3:$B$5001,$A$5)))</f>
        <v/>
      </c>
      <c r="J17" s="236" t="str">
        <f>IF(J$3="","",IF(COUNTIFS(BD!$A$3:$A$5001,J$3,BD!$B$3:$B$5001,$A$5,BD!$AA$3:$AA$5001,"&lt;&gt;")=0,"",SUMIFS(BD!$AA$3:$AA$5001,BD!$A$3:$A$5001,J$3,BD!$B$3:$B$5001,$A$5)))</f>
        <v/>
      </c>
      <c r="K17" s="236" t="str">
        <f>IF(K$3="","",IF(COUNTIFS(BD!$A$3:$A$5001,K$3,BD!$B$3:$B$5001,$A$5,BD!$AA$3:$AA$5001,"&lt;&gt;")=0,"",SUMIFS(BD!$AA$3:$AA$5001,BD!$A$3:$A$5001,K$3,BD!$B$3:$B$5001,$A$5)))</f>
        <v/>
      </c>
      <c r="L17" s="236" t="str">
        <f>IF(L$3="","",IF(COUNTIFS(BD!$A$3:$A$5001,L$3,BD!$B$3:$B$5001,$A$5,BD!$AA$3:$AA$5001,"&lt;&gt;")=0,"",SUMIFS(BD!$AA$3:$AA$5001,BD!$A$3:$A$5001,L$3,BD!$B$3:$B$5001,$A$5)))</f>
        <v/>
      </c>
      <c r="M17" s="236" t="str">
        <f>IF(M$3="","",IF(COUNTIFS(BD!$A$3:$A$5001,M$3,BD!$B$3:$B$5001,$A$5,BD!$AA$3:$AA$5001,"&lt;&gt;")=0,"",SUMIFS(BD!$AA$3:$AA$5001,BD!$A$3:$A$5001,M$3,BD!$B$3:$B$5001,$A$5)))</f>
        <v/>
      </c>
      <c r="N17" s="236" t="str">
        <f>IF(N$3="","",IF(COUNTIFS(BD!$A$3:$A$5001,N$3,BD!$B$3:$B$5001,$A$5,BD!$AA$3:$AA$5001,"&lt;&gt;")=0,"",SUMIFS(BD!$AA$3:$AA$5001,BD!$A$3:$A$5001,N$3,BD!$B$3:$B$5001,$A$5)))</f>
        <v/>
      </c>
      <c r="O17" s="236" t="str">
        <f>IF(O$3="","",IF(COUNTIFS(BD!$A$3:$A$5001,O$3,BD!$B$3:$B$5001,$A$5,BD!$AA$3:$AA$5001,"&lt;&gt;")=0,"",SUMIFS(BD!$AA$3:$AA$5001,BD!$A$3:$A$5001,O$3,BD!$B$3:$B$5001,$A$5)))</f>
        <v/>
      </c>
      <c r="P17" s="236" t="str">
        <f>IF(P$3="","",IF(COUNTIFS(BD!$A$3:$A$5001,P$3,BD!$B$3:$B$5001,$A$5,BD!$AA$3:$AA$5001,"&lt;&gt;")=0,"",SUMIFS(BD!$AA$3:$AA$5001,BD!$A$3:$A$5001,P$3,BD!$B$3:$B$5001,$A$5)))</f>
        <v/>
      </c>
      <c r="Q17" s="236" t="str">
        <f>IF(Q$3="","",IF(COUNTIFS(BD!$A$3:$A$5001,Q$3,BD!$B$3:$B$5001,$A$5,BD!$AA$3:$AA$5001,"&lt;&gt;")=0,"",SUMIFS(BD!$AA$3:$AA$5001,BD!$A$3:$A$5001,Q$3,BD!$B$3:$B$5001,$A$5)))</f>
        <v/>
      </c>
      <c r="R17" s="236" t="str">
        <f>IF(R$3="","",IF(COUNTIFS(BD!$A$3:$A$5001,R$3,BD!$B$3:$B$5001,$A$5,BD!$AA$3:$AA$5001,"&lt;&gt;")=0,"",SUMIFS(BD!$AA$3:$AA$5001,BD!$A$3:$A$5001,R$3,BD!$B$3:$B$5001,$A$5)))</f>
        <v/>
      </c>
      <c r="S17" s="236" t="str">
        <f>IF(S$3="","",IF(COUNTIFS(BD!$A$3:$A$5001,S$3,BD!$B$3:$B$5001,$A$5,BD!$AA$3:$AA$5001,"&lt;&gt;")=0,"",SUMIFS(BD!$AA$3:$AA$5001,BD!$A$3:$A$5001,S$3,BD!$B$3:$B$5001,$A$5)))</f>
        <v/>
      </c>
      <c r="T17" s="236" t="str">
        <f>IF(T$3="","",IF(COUNTIFS(BD!$A$3:$A$5001,T$3,BD!$B$3:$B$5001,$A$5,BD!$AA$3:$AA$5001,"&lt;&gt;")=0,"",SUMIFS(BD!$AA$3:$AA$5001,BD!$A$3:$A$5001,T$3,BD!$B$3:$B$5001,$A$5)))</f>
        <v/>
      </c>
      <c r="U17" s="236" t="str">
        <f>IF(U$3="","",IF(COUNTIFS(BD!$A$3:$A$5001,U$3,BD!$B$3:$B$5001,$A$5,BD!$AA$3:$AA$5001,"&lt;&gt;")=0,"",SUMIFS(BD!$AA$3:$AA$5001,BD!$A$3:$A$5001,U$3,BD!$B$3:$B$5001,$A$5)))</f>
        <v/>
      </c>
      <c r="V17" s="236" t="str">
        <f>IF(V$3="","",IF(COUNTIFS(BD!$A$3:$A$5001,V$3,BD!$B$3:$B$5001,$A$5,BD!$AA$3:$AA$5001,"&lt;&gt;")=0,"",SUMIFS(BD!$AA$3:$AA$5001,BD!$A$3:$A$5001,V$3,BD!$B$3:$B$5001,$A$5)))</f>
        <v/>
      </c>
      <c r="W17" s="236" t="str">
        <f>IF(W$3="","",IF(COUNTIFS(BD!$A$3:$A$5001,W$3,BD!$B$3:$B$5001,$A$5,BD!$AA$3:$AA$5001,"&lt;&gt;")=0,"",SUMIFS(BD!$AA$3:$AA$5001,BD!$A$3:$A$5001,W$3,BD!$B$3:$B$5001,$A$5)))</f>
        <v/>
      </c>
      <c r="X17" s="236" t="str">
        <f>IF(X$3="","",IF(COUNTIFS(BD!$A$3:$A$5001,X$3,BD!$B$3:$B$5001,$A$5,BD!$AA$3:$AA$5001,"&lt;&gt;")=0,"",SUMIFS(BD!$AA$3:$AA$5001,BD!$A$3:$A$5001,X$3,BD!$B$3:$B$5001,$A$5)))</f>
        <v/>
      </c>
      <c r="Y17" s="236" t="str">
        <f>IF(Y$3="","",IF(COUNTIFS(BD!$A$3:$A$5001,Y$3,BD!$B$3:$B$5001,$A$5,BD!$AA$3:$AA$5001,"&lt;&gt;")=0,"",SUMIFS(BD!$AA$3:$AA$5001,BD!$A$3:$A$5001,Y$3,BD!$B$3:$B$5001,$A$5)))</f>
        <v/>
      </c>
      <c r="Z17" s="236" t="str">
        <f>IF(Z$3="","",IF(COUNTIFS(BD!$A$3:$A$5001,Z$3,BD!$B$3:$B$5001,$A$5,BD!$AA$3:$AA$5001,"&lt;&gt;")=0,"",SUMIFS(BD!$AA$3:$AA$5001,BD!$A$3:$A$5001,Z$3,BD!$B$3:$B$5001,$A$5)))</f>
        <v/>
      </c>
      <c r="AA17" s="236" t="str">
        <f>IF(AA$3="","",IF(COUNTIFS(BD!$A$3:$A$5001,AA$3,BD!$B$3:$B$5001,$A$5,BD!$AA$3:$AA$5001,"&lt;&gt;")=0,"",SUMIFS(BD!$AA$3:$AA$5001,BD!$A$3:$A$5001,AA$3,BD!$B$3:$B$5001,$A$5)))</f>
        <v/>
      </c>
      <c r="AB17" s="236" t="str">
        <f>IF(AB$3="","",IF(COUNTIFS(BD!$A$3:$A$5001,AB$3,BD!$B$3:$B$5001,$A$5,BD!$AA$3:$AA$5001,"&lt;&gt;")=0,"",SUMIFS(BD!$AA$3:$AA$5001,BD!$A$3:$A$5001,AB$3,BD!$B$3:$B$5001,$A$5)))</f>
        <v/>
      </c>
      <c r="AC17" s="236" t="str">
        <f>IF(AC$3="","",IF(COUNTIFS(BD!$A$3:$A$5001,AC$3,BD!$B$3:$B$5001,$A$5,BD!$AA$3:$AA$5001,"&lt;&gt;")=0,"",SUMIFS(BD!$AA$3:$AA$5001,BD!$A$3:$A$5001,AC$3,BD!$B$3:$B$5001,$A$5)))</f>
        <v/>
      </c>
      <c r="AD17" s="236" t="str">
        <f>IF(AD$3="","",IF(COUNTIFS(BD!$A$3:$A$5001,AD$3,BD!$B$3:$B$5001,$A$5,BD!$AA$3:$AA$5001,"&lt;&gt;")=0,"",SUMIFS(BD!$AA$3:$AA$5001,BD!$A$3:$A$5001,AD$3,BD!$B$3:$B$5001,$A$5)))</f>
        <v/>
      </c>
      <c r="AE17" s="236" t="str">
        <f>IF(AE$3="","",IF(COUNTIFS(BD!$A$3:$A$5001,AE$3,BD!$B$3:$B$5001,$A$5,BD!$AA$3:$AA$5001,"&lt;&gt;")=0,"",SUMIFS(BD!$AA$3:$AA$5001,BD!$A$3:$A$5001,AE$3,BD!$B$3:$B$5001,$A$5)))</f>
        <v/>
      </c>
      <c r="AF17" s="236" t="str">
        <f>IF(AF$3="","",IF(COUNTIFS(BD!$A$3:$A$5001,AF$3,BD!$B$3:$B$5001,$A$5,BD!$AA$3:$AA$5001,"&lt;&gt;")=0,"",SUMIFS(BD!$AA$3:$AA$5001,BD!$A$3:$A$5001,AF$3,BD!$B$3:$B$5001,$A$5)))</f>
        <v/>
      </c>
      <c r="AG17" s="236" t="str">
        <f>IF(AG$3="","",IF(COUNTIFS(BD!$A$3:$A$5001,AG$3,BD!$B$3:$B$5001,$A$5,BD!$AA$3:$AA$5001,"&lt;&gt;")=0,"",SUMIFS(BD!$AA$3:$AA$5001,BD!$A$3:$A$5001,AG$3,BD!$B$3:$B$5001,$A$5)))</f>
        <v/>
      </c>
      <c r="AH17" s="236" t="str">
        <f>IF(AH$3="","",IF(COUNTIFS(BD!$A$3:$A$5001,AH$3,BD!$B$3:$B$5001,$A$5,BD!$AA$3:$AA$5001,"&lt;&gt;")=0,"",SUMIFS(BD!$AA$3:$AA$5001,BD!$A$3:$A$5001,AH$3,BD!$B$3:$B$5001,$A$5)))</f>
        <v/>
      </c>
      <c r="AI17" s="236" t="str">
        <f>IF(AI$3="","",IF(COUNTIFS(BD!$A$3:$A$5001,AI$3,BD!$B$3:$B$5001,$A$5,BD!$AA$3:$AA$5001,"&lt;&gt;")=0,"",SUMIFS(BD!$AA$3:$AA$5001,BD!$A$3:$A$5001,AI$3,BD!$B$3:$B$5001,$A$5)))</f>
        <v/>
      </c>
      <c r="AJ17" s="237" t="str">
        <f>IF(AJ$3="","",IF(COUNTIFS(BD!$A$3:$A$5001,AJ$3,BD!$B$3:$B$5001,$A$5,BD!$AA$3:$AA$5001,"&lt;&gt;")=0,"",SUMIFS(BD!$AA$3:$AA$5001,BD!$A$3:$A$5001,AJ$3,BD!$B$3:$B$5001,$A$5)))</f>
        <v/>
      </c>
      <c r="AK17" s="238" t="str">
        <f>IF(COUNT(F17:AJ17)=0,"",SUM(F17:AJ17))</f>
        <v/>
      </c>
    </row>
    <row r="18" ht="15.75" customHeight="1">
      <c r="A18" s="261"/>
      <c r="B18" s="258"/>
      <c r="C18" s="232" t="inlineStr">
        <is>
          <t xml:space="preserve">Absenteísmo (H/H)</t>
        </is>
      </c>
      <c r="D18" s="233" t="str">
        <f>IFERROR(1/(1/INDEX(BD!$AL$49:$BF$49,MATCH($A$5,BD!$AL$22:$BF$22,0))),"")</f>
        <v/>
      </c>
      <c r="E18" s="234"/>
      <c r="F18" s="239" t="str">
        <f>IF(F$3="","",IF(COUNTIFS(BD!$A$3:$A$5001,F$3,BD!$B$3:$B$5001,$A$5,BD!$AB$3:$AB$5001,"&lt;&gt;")=0,"",SUMIFS(BD!$AB$3:$AB$5001,BD!$A$3:$A$5001,F$3,BD!$B$3:$B$5001,$A$5)))</f>
        <v/>
      </c>
      <c r="G18" s="240" t="str">
        <f>IF(G$3="","",IF(COUNTIFS(BD!$A$3:$A$5001,G$3,BD!$B$3:$B$5001,$A$5,BD!$AB$3:$AB$5001,"&lt;&gt;")=0,"",SUMIFS(BD!$AB$3:$AB$5001,BD!$A$3:$A$5001,G$3,BD!$B$3:$B$5001,$A$5)))</f>
        <v/>
      </c>
      <c r="H18" s="240" t="str">
        <f>IF(H$3="","",IF(COUNTIFS(BD!$A$3:$A$5001,H$3,BD!$B$3:$B$5001,$A$5,BD!$AB$3:$AB$5001,"&lt;&gt;")=0,"",SUMIFS(BD!$AB$3:$AB$5001,BD!$A$3:$A$5001,H$3,BD!$B$3:$B$5001,$A$5)))</f>
        <v/>
      </c>
      <c r="I18" s="240" t="str">
        <f>IF(I$3="","",IF(COUNTIFS(BD!$A$3:$A$5001,I$3,BD!$B$3:$B$5001,$A$5,BD!$AB$3:$AB$5001,"&lt;&gt;")=0,"",SUMIFS(BD!$AB$3:$AB$5001,BD!$A$3:$A$5001,I$3,BD!$B$3:$B$5001,$A$5)))</f>
        <v/>
      </c>
      <c r="J18" s="240" t="str">
        <f>IF(J$3="","",IF(COUNTIFS(BD!$A$3:$A$5001,J$3,BD!$B$3:$B$5001,$A$5,BD!$AB$3:$AB$5001,"&lt;&gt;")=0,"",SUMIFS(BD!$AB$3:$AB$5001,BD!$A$3:$A$5001,J$3,BD!$B$3:$B$5001,$A$5)))</f>
        <v/>
      </c>
      <c r="K18" s="240" t="str">
        <f>IF(K$3="","",IF(COUNTIFS(BD!$A$3:$A$5001,K$3,BD!$B$3:$B$5001,$A$5,BD!$AB$3:$AB$5001,"&lt;&gt;")=0,"",SUMIFS(BD!$AB$3:$AB$5001,BD!$A$3:$A$5001,K$3,BD!$B$3:$B$5001,$A$5)))</f>
        <v/>
      </c>
      <c r="L18" s="240" t="str">
        <f>IF(L$3="","",IF(COUNTIFS(BD!$A$3:$A$5001,L$3,BD!$B$3:$B$5001,$A$5,BD!$AB$3:$AB$5001,"&lt;&gt;")=0,"",SUMIFS(BD!$AB$3:$AB$5001,BD!$A$3:$A$5001,L$3,BD!$B$3:$B$5001,$A$5)))</f>
        <v/>
      </c>
      <c r="M18" s="240" t="str">
        <f>IF(M$3="","",IF(COUNTIFS(BD!$A$3:$A$5001,M$3,BD!$B$3:$B$5001,$A$5,BD!$AB$3:$AB$5001,"&lt;&gt;")=0,"",SUMIFS(BD!$AB$3:$AB$5001,BD!$A$3:$A$5001,M$3,BD!$B$3:$B$5001,$A$5)))</f>
        <v/>
      </c>
      <c r="N18" s="240" t="str">
        <f>IF(N$3="","",IF(COUNTIFS(BD!$A$3:$A$5001,N$3,BD!$B$3:$B$5001,$A$5,BD!$AB$3:$AB$5001,"&lt;&gt;")=0,"",SUMIFS(BD!$AB$3:$AB$5001,BD!$A$3:$A$5001,N$3,BD!$B$3:$B$5001,$A$5)))</f>
        <v/>
      </c>
      <c r="O18" s="240" t="str">
        <f>IF(O$3="","",IF(COUNTIFS(BD!$A$3:$A$5001,O$3,BD!$B$3:$B$5001,$A$5,BD!$AB$3:$AB$5001,"&lt;&gt;")=0,"",SUMIFS(BD!$AB$3:$AB$5001,BD!$A$3:$A$5001,O$3,BD!$B$3:$B$5001,$A$5)))</f>
        <v/>
      </c>
      <c r="P18" s="240" t="str">
        <f>IF(P$3="","",IF(COUNTIFS(BD!$A$3:$A$5001,P$3,BD!$B$3:$B$5001,$A$5,BD!$AB$3:$AB$5001,"&lt;&gt;")=0,"",SUMIFS(BD!$AB$3:$AB$5001,BD!$A$3:$A$5001,P$3,BD!$B$3:$B$5001,$A$5)))</f>
        <v/>
      </c>
      <c r="Q18" s="240" t="str">
        <f>IF(Q$3="","",IF(COUNTIFS(BD!$A$3:$A$5001,Q$3,BD!$B$3:$B$5001,$A$5,BD!$AB$3:$AB$5001,"&lt;&gt;")=0,"",SUMIFS(BD!$AB$3:$AB$5001,BD!$A$3:$A$5001,Q$3,BD!$B$3:$B$5001,$A$5)))</f>
        <v/>
      </c>
      <c r="R18" s="240" t="str">
        <f>IF(R$3="","",IF(COUNTIFS(BD!$A$3:$A$5001,R$3,BD!$B$3:$B$5001,$A$5,BD!$AB$3:$AB$5001,"&lt;&gt;")=0,"",SUMIFS(BD!$AB$3:$AB$5001,BD!$A$3:$A$5001,R$3,BD!$B$3:$B$5001,$A$5)))</f>
        <v/>
      </c>
      <c r="S18" s="240" t="str">
        <f>IF(S$3="","",IF(COUNTIFS(BD!$A$3:$A$5001,S$3,BD!$B$3:$B$5001,$A$5,BD!$AB$3:$AB$5001,"&lt;&gt;")=0,"",SUMIFS(BD!$AB$3:$AB$5001,BD!$A$3:$A$5001,S$3,BD!$B$3:$B$5001,$A$5)))</f>
        <v/>
      </c>
      <c r="T18" s="240" t="str">
        <f>IF(T$3="","",IF(COUNTIFS(BD!$A$3:$A$5001,T$3,BD!$B$3:$B$5001,$A$5,BD!$AB$3:$AB$5001,"&lt;&gt;")=0,"",SUMIFS(BD!$AB$3:$AB$5001,BD!$A$3:$A$5001,T$3,BD!$B$3:$B$5001,$A$5)))</f>
        <v/>
      </c>
      <c r="U18" s="240" t="str">
        <f>IF(U$3="","",IF(COUNTIFS(BD!$A$3:$A$5001,U$3,BD!$B$3:$B$5001,$A$5,BD!$AB$3:$AB$5001,"&lt;&gt;")=0,"",SUMIFS(BD!$AB$3:$AB$5001,BD!$A$3:$A$5001,U$3,BD!$B$3:$B$5001,$A$5)))</f>
        <v/>
      </c>
      <c r="V18" s="240" t="str">
        <f>IF(V$3="","",IF(COUNTIFS(BD!$A$3:$A$5001,V$3,BD!$B$3:$B$5001,$A$5,BD!$AB$3:$AB$5001,"&lt;&gt;")=0,"",SUMIFS(BD!$AB$3:$AB$5001,BD!$A$3:$A$5001,V$3,BD!$B$3:$B$5001,$A$5)))</f>
        <v/>
      </c>
      <c r="W18" s="240" t="str">
        <f>IF(W$3="","",IF(COUNTIFS(BD!$A$3:$A$5001,W$3,BD!$B$3:$B$5001,$A$5,BD!$AB$3:$AB$5001,"&lt;&gt;")=0,"",SUMIFS(BD!$AB$3:$AB$5001,BD!$A$3:$A$5001,W$3,BD!$B$3:$B$5001,$A$5)))</f>
        <v/>
      </c>
      <c r="X18" s="240" t="str">
        <f>IF(X$3="","",IF(COUNTIFS(BD!$A$3:$A$5001,X$3,BD!$B$3:$B$5001,$A$5,BD!$AB$3:$AB$5001,"&lt;&gt;")=0,"",SUMIFS(BD!$AB$3:$AB$5001,BD!$A$3:$A$5001,X$3,BD!$B$3:$B$5001,$A$5)))</f>
        <v/>
      </c>
      <c r="Y18" s="240" t="str">
        <f>IF(Y$3="","",IF(COUNTIFS(BD!$A$3:$A$5001,Y$3,BD!$B$3:$B$5001,$A$5,BD!$AB$3:$AB$5001,"&lt;&gt;")=0,"",SUMIFS(BD!$AB$3:$AB$5001,BD!$A$3:$A$5001,Y$3,BD!$B$3:$B$5001,$A$5)))</f>
        <v/>
      </c>
      <c r="Z18" s="240" t="str">
        <f>IF(Z$3="","",IF(COUNTIFS(BD!$A$3:$A$5001,Z$3,BD!$B$3:$B$5001,$A$5,BD!$AB$3:$AB$5001,"&lt;&gt;")=0,"",SUMIFS(BD!$AB$3:$AB$5001,BD!$A$3:$A$5001,Z$3,BD!$B$3:$B$5001,$A$5)))</f>
        <v/>
      </c>
      <c r="AA18" s="240" t="str">
        <f>IF(AA$3="","",IF(COUNTIFS(BD!$A$3:$A$5001,AA$3,BD!$B$3:$B$5001,$A$5,BD!$AB$3:$AB$5001,"&lt;&gt;")=0,"",SUMIFS(BD!$AB$3:$AB$5001,BD!$A$3:$A$5001,AA$3,BD!$B$3:$B$5001,$A$5)))</f>
        <v/>
      </c>
      <c r="AB18" s="240" t="str">
        <f>IF(AB$3="","",IF(COUNTIFS(BD!$A$3:$A$5001,AB$3,BD!$B$3:$B$5001,$A$5,BD!$AB$3:$AB$5001,"&lt;&gt;")=0,"",SUMIFS(BD!$AB$3:$AB$5001,BD!$A$3:$A$5001,AB$3,BD!$B$3:$B$5001,$A$5)))</f>
        <v/>
      </c>
      <c r="AC18" s="240" t="str">
        <f>IF(AC$3="","",IF(COUNTIFS(BD!$A$3:$A$5001,AC$3,BD!$B$3:$B$5001,$A$5,BD!$AB$3:$AB$5001,"&lt;&gt;")=0,"",SUMIFS(BD!$AB$3:$AB$5001,BD!$A$3:$A$5001,AC$3,BD!$B$3:$B$5001,$A$5)))</f>
        <v/>
      </c>
      <c r="AD18" s="240" t="str">
        <f>IF(AD$3="","",IF(COUNTIFS(BD!$A$3:$A$5001,AD$3,BD!$B$3:$B$5001,$A$5,BD!$AB$3:$AB$5001,"&lt;&gt;")=0,"",SUMIFS(BD!$AB$3:$AB$5001,BD!$A$3:$A$5001,AD$3,BD!$B$3:$B$5001,$A$5)))</f>
        <v/>
      </c>
      <c r="AE18" s="240" t="str">
        <f>IF(AE$3="","",IF(COUNTIFS(BD!$A$3:$A$5001,AE$3,BD!$B$3:$B$5001,$A$5,BD!$AB$3:$AB$5001,"&lt;&gt;")=0,"",SUMIFS(BD!$AB$3:$AB$5001,BD!$A$3:$A$5001,AE$3,BD!$B$3:$B$5001,$A$5)))</f>
        <v/>
      </c>
      <c r="AF18" s="240" t="str">
        <f>IF(AF$3="","",IF(COUNTIFS(BD!$A$3:$A$5001,AF$3,BD!$B$3:$B$5001,$A$5,BD!$AB$3:$AB$5001,"&lt;&gt;")=0,"",SUMIFS(BD!$AB$3:$AB$5001,BD!$A$3:$A$5001,AF$3,BD!$B$3:$B$5001,$A$5)))</f>
        <v/>
      </c>
      <c r="AG18" s="240" t="str">
        <f>IF(AG$3="","",IF(COUNTIFS(BD!$A$3:$A$5001,AG$3,BD!$B$3:$B$5001,$A$5,BD!$AB$3:$AB$5001,"&lt;&gt;")=0,"",SUMIFS(BD!$AB$3:$AB$5001,BD!$A$3:$A$5001,AG$3,BD!$B$3:$B$5001,$A$5)))</f>
        <v/>
      </c>
      <c r="AH18" s="240" t="str">
        <f>IF(AH$3="","",IF(COUNTIFS(BD!$A$3:$A$5001,AH$3,BD!$B$3:$B$5001,$A$5,BD!$AB$3:$AB$5001,"&lt;&gt;")=0,"",SUMIFS(BD!$AB$3:$AB$5001,BD!$A$3:$A$5001,AH$3,BD!$B$3:$B$5001,$A$5)))</f>
        <v/>
      </c>
      <c r="AI18" s="240" t="str">
        <f>IF(AI$3="","",IF(COUNTIFS(BD!$A$3:$A$5001,AI$3,BD!$B$3:$B$5001,$A$5,BD!$AB$3:$AB$5001,"&lt;&gt;")=0,"",SUMIFS(BD!$AB$3:$AB$5001,BD!$A$3:$A$5001,AI$3,BD!$B$3:$B$5001,$A$5)))</f>
        <v/>
      </c>
      <c r="AJ18" s="241" t="str">
        <f>IF(AJ$3="","",IF(COUNTIFS(BD!$A$3:$A$5001,AJ$3,BD!$B$3:$B$5001,$A$5,BD!$AB$3:$AB$5001,"&lt;&gt;")=0,"",SUMIFS(BD!$AB$3:$AB$5001,BD!$A$3:$A$5001,AJ$3,BD!$B$3:$B$5001,$A$5)))</f>
        <v/>
      </c>
      <c r="AK18" s="242" t="str">
        <f>IF(COUNT(F18:AJ18)=0,"",SUM(F18:AJ18))</f>
        <v/>
      </c>
    </row>
    <row r="19" ht="15.75" customHeight="1">
      <c r="A19" s="261"/>
      <c r="B19" s="258"/>
      <c r="C19" s="232" t="inlineStr">
        <is>
          <t xml:space="preserve">Folga</t>
        </is>
      </c>
      <c r="D19" s="233" t="str">
        <f>IFERROR(1/(1/INDEX(BD!$AL$50:$BF$50,MATCH($A$5,BD!$AL$22:$BF$22,0))),"")</f>
        <v/>
      </c>
      <c r="E19" s="234"/>
      <c r="F19" s="235" t="str">
        <f>IF(F$3="","",IF(COUNTIFS(BD!$A$3:$A$5001,F$3,BD!$B$3:$B$5001,$A$5,BD!$AC$3:$AC$5001,"&lt;&gt;")=0,"",SUMIFS(BD!$AC$3:$AC$5001,BD!$A$3:$A$5001,F$3,BD!$B$3:$B$5001,$A$5)))</f>
        <v/>
      </c>
      <c r="G19" s="236" t="str">
        <f>IF(G$3="","",IF(COUNTIFS(BD!$A$3:$A$5001,G$3,BD!$B$3:$B$5001,$A$5,BD!$AC$3:$AC$5001,"&lt;&gt;")=0,"",SUMIFS(BD!$AC$3:$AC$5001,BD!$A$3:$A$5001,G$3,BD!$B$3:$B$5001,$A$5)))</f>
        <v/>
      </c>
      <c r="H19" s="236" t="str">
        <f>IF(H$3="","",IF(COUNTIFS(BD!$A$3:$A$5001,H$3,BD!$B$3:$B$5001,$A$5,BD!$AC$3:$AC$5001,"&lt;&gt;")=0,"",SUMIFS(BD!$AC$3:$AC$5001,BD!$A$3:$A$5001,H$3,BD!$B$3:$B$5001,$A$5)))</f>
        <v/>
      </c>
      <c r="I19" s="236" t="str">
        <f>IF(I$3="","",IF(COUNTIFS(BD!$A$3:$A$5001,I$3,BD!$B$3:$B$5001,$A$5,BD!$AC$3:$AC$5001,"&lt;&gt;")=0,"",SUMIFS(BD!$AC$3:$AC$5001,BD!$A$3:$A$5001,I$3,BD!$B$3:$B$5001,$A$5)))</f>
        <v/>
      </c>
      <c r="J19" s="236" t="str">
        <f>IF(J$3="","",IF(COUNTIFS(BD!$A$3:$A$5001,J$3,BD!$B$3:$B$5001,$A$5,BD!$AC$3:$AC$5001,"&lt;&gt;")=0,"",SUMIFS(BD!$AC$3:$AC$5001,BD!$A$3:$A$5001,J$3,BD!$B$3:$B$5001,$A$5)))</f>
        <v/>
      </c>
      <c r="K19" s="236" t="str">
        <f>IF(K$3="","",IF(COUNTIFS(BD!$A$3:$A$5001,K$3,BD!$B$3:$B$5001,$A$5,BD!$AC$3:$AC$5001,"&lt;&gt;")=0,"",SUMIFS(BD!$AC$3:$AC$5001,BD!$A$3:$A$5001,K$3,BD!$B$3:$B$5001,$A$5)))</f>
        <v/>
      </c>
      <c r="L19" s="236" t="str">
        <f>IF(L$3="","",IF(COUNTIFS(BD!$A$3:$A$5001,L$3,BD!$B$3:$B$5001,$A$5,BD!$AC$3:$AC$5001,"&lt;&gt;")=0,"",SUMIFS(BD!$AC$3:$AC$5001,BD!$A$3:$A$5001,L$3,BD!$B$3:$B$5001,$A$5)))</f>
        <v/>
      </c>
      <c r="M19" s="236" t="str">
        <f>IF(M$3="","",IF(COUNTIFS(BD!$A$3:$A$5001,M$3,BD!$B$3:$B$5001,$A$5,BD!$AC$3:$AC$5001,"&lt;&gt;")=0,"",SUMIFS(BD!$AC$3:$AC$5001,BD!$A$3:$A$5001,M$3,BD!$B$3:$B$5001,$A$5)))</f>
        <v/>
      </c>
      <c r="N19" s="236" t="str">
        <f>IF(N$3="","",IF(COUNTIFS(BD!$A$3:$A$5001,N$3,BD!$B$3:$B$5001,$A$5,BD!$AC$3:$AC$5001,"&lt;&gt;")=0,"",SUMIFS(BD!$AC$3:$AC$5001,BD!$A$3:$A$5001,N$3,BD!$B$3:$B$5001,$A$5)))</f>
        <v/>
      </c>
      <c r="O19" s="236" t="str">
        <f>IF(O$3="","",IF(COUNTIFS(BD!$A$3:$A$5001,O$3,BD!$B$3:$B$5001,$A$5,BD!$AC$3:$AC$5001,"&lt;&gt;")=0,"",SUMIFS(BD!$AC$3:$AC$5001,BD!$A$3:$A$5001,O$3,BD!$B$3:$B$5001,$A$5)))</f>
        <v/>
      </c>
      <c r="P19" s="236" t="str">
        <f>IF(P$3="","",IF(COUNTIFS(BD!$A$3:$A$5001,P$3,BD!$B$3:$B$5001,$A$5,BD!$AC$3:$AC$5001,"&lt;&gt;")=0,"",SUMIFS(BD!$AC$3:$AC$5001,BD!$A$3:$A$5001,P$3,BD!$B$3:$B$5001,$A$5)))</f>
        <v/>
      </c>
      <c r="Q19" s="236" t="str">
        <f>IF(Q$3="","",IF(COUNTIFS(BD!$A$3:$A$5001,Q$3,BD!$B$3:$B$5001,$A$5,BD!$AC$3:$AC$5001,"&lt;&gt;")=0,"",SUMIFS(BD!$AC$3:$AC$5001,BD!$A$3:$A$5001,Q$3,BD!$B$3:$B$5001,$A$5)))</f>
        <v/>
      </c>
      <c r="R19" s="236" t="str">
        <f>IF(R$3="","",IF(COUNTIFS(BD!$A$3:$A$5001,R$3,BD!$B$3:$B$5001,$A$5,BD!$AC$3:$AC$5001,"&lt;&gt;")=0,"",SUMIFS(BD!$AC$3:$AC$5001,BD!$A$3:$A$5001,R$3,BD!$B$3:$B$5001,$A$5)))</f>
        <v/>
      </c>
      <c r="S19" s="236" t="str">
        <f>IF(S$3="","",IF(COUNTIFS(BD!$A$3:$A$5001,S$3,BD!$B$3:$B$5001,$A$5,BD!$AC$3:$AC$5001,"&lt;&gt;")=0,"",SUMIFS(BD!$AC$3:$AC$5001,BD!$A$3:$A$5001,S$3,BD!$B$3:$B$5001,$A$5)))</f>
        <v/>
      </c>
      <c r="T19" s="236" t="str">
        <f>IF(T$3="","",IF(COUNTIFS(BD!$A$3:$A$5001,T$3,BD!$B$3:$B$5001,$A$5,BD!$AC$3:$AC$5001,"&lt;&gt;")=0,"",SUMIFS(BD!$AC$3:$AC$5001,BD!$A$3:$A$5001,T$3,BD!$B$3:$B$5001,$A$5)))</f>
        <v/>
      </c>
      <c r="U19" s="236" t="str">
        <f>IF(U$3="","",IF(COUNTIFS(BD!$A$3:$A$5001,U$3,BD!$B$3:$B$5001,$A$5,BD!$AC$3:$AC$5001,"&lt;&gt;")=0,"",SUMIFS(BD!$AC$3:$AC$5001,BD!$A$3:$A$5001,U$3,BD!$B$3:$B$5001,$A$5)))</f>
        <v/>
      </c>
      <c r="V19" s="236" t="str">
        <f>IF(V$3="","",IF(COUNTIFS(BD!$A$3:$A$5001,V$3,BD!$B$3:$B$5001,$A$5,BD!$AC$3:$AC$5001,"&lt;&gt;")=0,"",SUMIFS(BD!$AC$3:$AC$5001,BD!$A$3:$A$5001,V$3,BD!$B$3:$B$5001,$A$5)))</f>
        <v/>
      </c>
      <c r="W19" s="236" t="str">
        <f>IF(W$3="","",IF(COUNTIFS(BD!$A$3:$A$5001,W$3,BD!$B$3:$B$5001,$A$5,BD!$AC$3:$AC$5001,"&lt;&gt;")=0,"",SUMIFS(BD!$AC$3:$AC$5001,BD!$A$3:$A$5001,W$3,BD!$B$3:$B$5001,$A$5)))</f>
        <v/>
      </c>
      <c r="X19" s="236" t="str">
        <f>IF(X$3="","",IF(COUNTIFS(BD!$A$3:$A$5001,X$3,BD!$B$3:$B$5001,$A$5,BD!$AC$3:$AC$5001,"&lt;&gt;")=0,"",SUMIFS(BD!$AC$3:$AC$5001,BD!$A$3:$A$5001,X$3,BD!$B$3:$B$5001,$A$5)))</f>
        <v/>
      </c>
      <c r="Y19" s="236" t="str">
        <f>IF(Y$3="","",IF(COUNTIFS(BD!$A$3:$A$5001,Y$3,BD!$B$3:$B$5001,$A$5,BD!$AC$3:$AC$5001,"&lt;&gt;")=0,"",SUMIFS(BD!$AC$3:$AC$5001,BD!$A$3:$A$5001,Y$3,BD!$B$3:$B$5001,$A$5)))</f>
        <v/>
      </c>
      <c r="Z19" s="236" t="str">
        <f>IF(Z$3="","",IF(COUNTIFS(BD!$A$3:$A$5001,Z$3,BD!$B$3:$B$5001,$A$5,BD!$AC$3:$AC$5001,"&lt;&gt;")=0,"",SUMIFS(BD!$AC$3:$AC$5001,BD!$A$3:$A$5001,Z$3,BD!$B$3:$B$5001,$A$5)))</f>
        <v/>
      </c>
      <c r="AA19" s="236" t="str">
        <f>IF(AA$3="","",IF(COUNTIFS(BD!$A$3:$A$5001,AA$3,BD!$B$3:$B$5001,$A$5,BD!$AC$3:$AC$5001,"&lt;&gt;")=0,"",SUMIFS(BD!$AC$3:$AC$5001,BD!$A$3:$A$5001,AA$3,BD!$B$3:$B$5001,$A$5)))</f>
        <v/>
      </c>
      <c r="AB19" s="236" t="str">
        <f>IF(AB$3="","",IF(COUNTIFS(BD!$A$3:$A$5001,AB$3,BD!$B$3:$B$5001,$A$5,BD!$AC$3:$AC$5001,"&lt;&gt;")=0,"",SUMIFS(BD!$AC$3:$AC$5001,BD!$A$3:$A$5001,AB$3,BD!$B$3:$B$5001,$A$5)))</f>
        <v/>
      </c>
      <c r="AC19" s="236" t="str">
        <f>IF(AC$3="","",IF(COUNTIFS(BD!$A$3:$A$5001,AC$3,BD!$B$3:$B$5001,$A$5,BD!$AC$3:$AC$5001,"&lt;&gt;")=0,"",SUMIFS(BD!$AC$3:$AC$5001,BD!$A$3:$A$5001,AC$3,BD!$B$3:$B$5001,$A$5)))</f>
        <v/>
      </c>
      <c r="AD19" s="236" t="str">
        <f>IF(AD$3="","",IF(COUNTIFS(BD!$A$3:$A$5001,AD$3,BD!$B$3:$B$5001,$A$5,BD!$AC$3:$AC$5001,"&lt;&gt;")=0,"",SUMIFS(BD!$AC$3:$AC$5001,BD!$A$3:$A$5001,AD$3,BD!$B$3:$B$5001,$A$5)))</f>
        <v/>
      </c>
      <c r="AE19" s="236" t="str">
        <f>IF(AE$3="","",IF(COUNTIFS(BD!$A$3:$A$5001,AE$3,BD!$B$3:$B$5001,$A$5,BD!$AC$3:$AC$5001,"&lt;&gt;")=0,"",SUMIFS(BD!$AC$3:$AC$5001,BD!$A$3:$A$5001,AE$3,BD!$B$3:$B$5001,$A$5)))</f>
        <v/>
      </c>
      <c r="AF19" s="236" t="str">
        <f>IF(AF$3="","",IF(COUNTIFS(BD!$A$3:$A$5001,AF$3,BD!$B$3:$B$5001,$A$5,BD!$AC$3:$AC$5001,"&lt;&gt;")=0,"",SUMIFS(BD!$AC$3:$AC$5001,BD!$A$3:$A$5001,AF$3,BD!$B$3:$B$5001,$A$5)))</f>
        <v/>
      </c>
      <c r="AG19" s="236" t="str">
        <f>IF(AG$3="","",IF(COUNTIFS(BD!$A$3:$A$5001,AG$3,BD!$B$3:$B$5001,$A$5,BD!$AC$3:$AC$5001,"&lt;&gt;")=0,"",SUMIFS(BD!$AC$3:$AC$5001,BD!$A$3:$A$5001,AG$3,BD!$B$3:$B$5001,$A$5)))</f>
        <v/>
      </c>
      <c r="AH19" s="236" t="str">
        <f>IF(AH$3="","",IF(COUNTIFS(BD!$A$3:$A$5001,AH$3,BD!$B$3:$B$5001,$A$5,BD!$AC$3:$AC$5001,"&lt;&gt;")=0,"",SUMIFS(BD!$AC$3:$AC$5001,BD!$A$3:$A$5001,AH$3,BD!$B$3:$B$5001,$A$5)))</f>
        <v/>
      </c>
      <c r="AI19" s="236" t="str">
        <f>IF(AI$3="","",IF(COUNTIFS(BD!$A$3:$A$5001,AI$3,BD!$B$3:$B$5001,$A$5,BD!$AC$3:$AC$5001,"&lt;&gt;")=0,"",SUMIFS(BD!$AC$3:$AC$5001,BD!$A$3:$A$5001,AI$3,BD!$B$3:$B$5001,$A$5)))</f>
        <v/>
      </c>
      <c r="AJ19" s="237" t="str">
        <f>IF(AJ$3="","",IF(COUNTIFS(BD!$A$3:$A$5001,AJ$3,BD!$B$3:$B$5001,$A$5,BD!$AC$3:$AC$5001,"&lt;&gt;")=0,"",SUMIFS(BD!$AC$3:$AC$5001,BD!$A$3:$A$5001,AJ$3,BD!$B$3:$B$5001,$A$5)))</f>
        <v/>
      </c>
      <c r="AK19" s="238" t="str">
        <f>IF(COUNT(F19:AJ19)=0,"",SUM(F19:AJ19))</f>
        <v/>
      </c>
    </row>
    <row r="20" ht="15.75" customHeight="1">
      <c r="A20" s="261"/>
      <c r="B20" s="258"/>
      <c r="C20" s="232" t="inlineStr">
        <is>
          <t xml:space="preserve">Férias</t>
        </is>
      </c>
      <c r="D20" s="233" t="str">
        <f>IFERROR(1/(1/INDEX(BD!$AL$51:$BF$51,MATCH($A$5,BD!$AL$22:$BF$22,0))),"")</f>
        <v/>
      </c>
      <c r="E20" s="234"/>
      <c r="F20" s="235" t="str">
        <f>IF(F$3="","",IF(COUNTIFS(BD!$A$3:$A$5001,F$3,BD!$B$3:$B$5001,$A$5,BD!$AD$3:$AD$5001,"&lt;&gt;")=0,"",SUMIFS(BD!$AD$3:$AD$5001,BD!$A$3:$A$5001,F$3,BD!$B$3:$B$5001,$A$5)))</f>
        <v/>
      </c>
      <c r="G20" s="236" t="str">
        <f>IF(G$3="","",IF(COUNTIFS(BD!$A$3:$A$5001,G$3,BD!$B$3:$B$5001,$A$5,BD!$AD$3:$AD$5001,"&lt;&gt;")=0,"",SUMIFS(BD!$AD$3:$AD$5001,BD!$A$3:$A$5001,G$3,BD!$B$3:$B$5001,$A$5)))</f>
        <v/>
      </c>
      <c r="H20" s="236" t="str">
        <f>IF(H$3="","",IF(COUNTIFS(BD!$A$3:$A$5001,H$3,BD!$B$3:$B$5001,$A$5,BD!$AD$3:$AD$5001,"&lt;&gt;")=0,"",SUMIFS(BD!$AD$3:$AD$5001,BD!$A$3:$A$5001,H$3,BD!$B$3:$B$5001,$A$5)))</f>
        <v/>
      </c>
      <c r="I20" s="236" t="str">
        <f>IF(I$3="","",IF(COUNTIFS(BD!$A$3:$A$5001,I$3,BD!$B$3:$B$5001,$A$5,BD!$AD$3:$AD$5001,"&lt;&gt;")=0,"",SUMIFS(BD!$AD$3:$AD$5001,BD!$A$3:$A$5001,I$3,BD!$B$3:$B$5001,$A$5)))</f>
        <v/>
      </c>
      <c r="J20" s="236" t="str">
        <f>IF(J$3="","",IF(COUNTIFS(BD!$A$3:$A$5001,J$3,BD!$B$3:$B$5001,$A$5,BD!$AD$3:$AD$5001,"&lt;&gt;")=0,"",SUMIFS(BD!$AD$3:$AD$5001,BD!$A$3:$A$5001,J$3,BD!$B$3:$B$5001,$A$5)))</f>
        <v/>
      </c>
      <c r="K20" s="236" t="str">
        <f>IF(K$3="","",IF(COUNTIFS(BD!$A$3:$A$5001,K$3,BD!$B$3:$B$5001,$A$5,BD!$AD$3:$AD$5001,"&lt;&gt;")=0,"",SUMIFS(BD!$AD$3:$AD$5001,BD!$A$3:$A$5001,K$3,BD!$B$3:$B$5001,$A$5)))</f>
        <v/>
      </c>
      <c r="L20" s="236" t="str">
        <f>IF(L$3="","",IF(COUNTIFS(BD!$A$3:$A$5001,L$3,BD!$B$3:$B$5001,$A$5,BD!$AD$3:$AD$5001,"&lt;&gt;")=0,"",SUMIFS(BD!$AD$3:$AD$5001,BD!$A$3:$A$5001,L$3,BD!$B$3:$B$5001,$A$5)))</f>
        <v/>
      </c>
      <c r="M20" s="236" t="str">
        <f>IF(M$3="","",IF(COUNTIFS(BD!$A$3:$A$5001,M$3,BD!$B$3:$B$5001,$A$5,BD!$AD$3:$AD$5001,"&lt;&gt;")=0,"",SUMIFS(BD!$AD$3:$AD$5001,BD!$A$3:$A$5001,M$3,BD!$B$3:$B$5001,$A$5)))</f>
        <v/>
      </c>
      <c r="N20" s="236" t="str">
        <f>IF(N$3="","",IF(COUNTIFS(BD!$A$3:$A$5001,N$3,BD!$B$3:$B$5001,$A$5,BD!$AD$3:$AD$5001,"&lt;&gt;")=0,"",SUMIFS(BD!$AD$3:$AD$5001,BD!$A$3:$A$5001,N$3,BD!$B$3:$B$5001,$A$5)))</f>
        <v/>
      </c>
      <c r="O20" s="236" t="str">
        <f>IF(O$3="","",IF(COUNTIFS(BD!$A$3:$A$5001,O$3,BD!$B$3:$B$5001,$A$5,BD!$AD$3:$AD$5001,"&lt;&gt;")=0,"",SUMIFS(BD!$AD$3:$AD$5001,BD!$A$3:$A$5001,O$3,BD!$B$3:$B$5001,$A$5)))</f>
        <v/>
      </c>
      <c r="P20" s="236" t="str">
        <f>IF(P$3="","",IF(COUNTIFS(BD!$A$3:$A$5001,P$3,BD!$B$3:$B$5001,$A$5,BD!$AD$3:$AD$5001,"&lt;&gt;")=0,"",SUMIFS(BD!$AD$3:$AD$5001,BD!$A$3:$A$5001,P$3,BD!$B$3:$B$5001,$A$5)))</f>
        <v/>
      </c>
      <c r="Q20" s="236" t="str">
        <f>IF(Q$3="","",IF(COUNTIFS(BD!$A$3:$A$5001,Q$3,BD!$B$3:$B$5001,$A$5,BD!$AD$3:$AD$5001,"&lt;&gt;")=0,"",SUMIFS(BD!$AD$3:$AD$5001,BD!$A$3:$A$5001,Q$3,BD!$B$3:$B$5001,$A$5)))</f>
        <v/>
      </c>
      <c r="R20" s="236" t="str">
        <f>IF(R$3="","",IF(COUNTIFS(BD!$A$3:$A$5001,R$3,BD!$B$3:$B$5001,$A$5,BD!$AD$3:$AD$5001,"&lt;&gt;")=0,"",SUMIFS(BD!$AD$3:$AD$5001,BD!$A$3:$A$5001,R$3,BD!$B$3:$B$5001,$A$5)))</f>
        <v/>
      </c>
      <c r="S20" s="236" t="str">
        <f>IF(S$3="","",IF(COUNTIFS(BD!$A$3:$A$5001,S$3,BD!$B$3:$B$5001,$A$5,BD!$AD$3:$AD$5001,"&lt;&gt;")=0,"",SUMIFS(BD!$AD$3:$AD$5001,BD!$A$3:$A$5001,S$3,BD!$B$3:$B$5001,$A$5)))</f>
        <v/>
      </c>
      <c r="T20" s="236" t="str">
        <f>IF(T$3="","",IF(COUNTIFS(BD!$A$3:$A$5001,T$3,BD!$B$3:$B$5001,$A$5,BD!$AD$3:$AD$5001,"&lt;&gt;")=0,"",SUMIFS(BD!$AD$3:$AD$5001,BD!$A$3:$A$5001,T$3,BD!$B$3:$B$5001,$A$5)))</f>
        <v/>
      </c>
      <c r="U20" s="236" t="str">
        <f>IF(U$3="","",IF(COUNTIFS(BD!$A$3:$A$5001,U$3,BD!$B$3:$B$5001,$A$5,BD!$AD$3:$AD$5001,"&lt;&gt;")=0,"",SUMIFS(BD!$AD$3:$AD$5001,BD!$A$3:$A$5001,U$3,BD!$B$3:$B$5001,$A$5)))</f>
        <v/>
      </c>
      <c r="V20" s="236" t="str">
        <f>IF(V$3="","",IF(COUNTIFS(BD!$A$3:$A$5001,V$3,BD!$B$3:$B$5001,$A$5,BD!$AD$3:$AD$5001,"&lt;&gt;")=0,"",SUMIFS(BD!$AD$3:$AD$5001,BD!$A$3:$A$5001,V$3,BD!$B$3:$B$5001,$A$5)))</f>
        <v/>
      </c>
      <c r="W20" s="236" t="str">
        <f>IF(W$3="","",IF(COUNTIFS(BD!$A$3:$A$5001,W$3,BD!$B$3:$B$5001,$A$5,BD!$AD$3:$AD$5001,"&lt;&gt;")=0,"",SUMIFS(BD!$AD$3:$AD$5001,BD!$A$3:$A$5001,W$3,BD!$B$3:$B$5001,$A$5)))</f>
        <v/>
      </c>
      <c r="X20" s="236" t="str">
        <f>IF(X$3="","",IF(COUNTIFS(BD!$A$3:$A$5001,X$3,BD!$B$3:$B$5001,$A$5,BD!$AD$3:$AD$5001,"&lt;&gt;")=0,"",SUMIFS(BD!$AD$3:$AD$5001,BD!$A$3:$A$5001,X$3,BD!$B$3:$B$5001,$A$5)))</f>
        <v/>
      </c>
      <c r="Y20" s="236" t="str">
        <f>IF(Y$3="","",IF(COUNTIFS(BD!$A$3:$A$5001,Y$3,BD!$B$3:$B$5001,$A$5,BD!$AD$3:$AD$5001,"&lt;&gt;")=0,"",SUMIFS(BD!$AD$3:$AD$5001,BD!$A$3:$A$5001,Y$3,BD!$B$3:$B$5001,$A$5)))</f>
        <v/>
      </c>
      <c r="Z20" s="236" t="str">
        <f>IF(Z$3="","",IF(COUNTIFS(BD!$A$3:$A$5001,Z$3,BD!$B$3:$B$5001,$A$5,BD!$AD$3:$AD$5001,"&lt;&gt;")=0,"",SUMIFS(BD!$AD$3:$AD$5001,BD!$A$3:$A$5001,Z$3,BD!$B$3:$B$5001,$A$5)))</f>
        <v/>
      </c>
      <c r="AA20" s="236" t="str">
        <f>IF(AA$3="","",IF(COUNTIFS(BD!$A$3:$A$5001,AA$3,BD!$B$3:$B$5001,$A$5,BD!$AD$3:$AD$5001,"&lt;&gt;")=0,"",SUMIFS(BD!$AD$3:$AD$5001,BD!$A$3:$A$5001,AA$3,BD!$B$3:$B$5001,$A$5)))</f>
        <v/>
      </c>
      <c r="AB20" s="236" t="str">
        <f>IF(AB$3="","",IF(COUNTIFS(BD!$A$3:$A$5001,AB$3,BD!$B$3:$B$5001,$A$5,BD!$AD$3:$AD$5001,"&lt;&gt;")=0,"",SUMIFS(BD!$AD$3:$AD$5001,BD!$A$3:$A$5001,AB$3,BD!$B$3:$B$5001,$A$5)))</f>
        <v/>
      </c>
      <c r="AC20" s="236" t="str">
        <f>IF(AC$3="","",IF(COUNTIFS(BD!$A$3:$A$5001,AC$3,BD!$B$3:$B$5001,$A$5,BD!$AD$3:$AD$5001,"&lt;&gt;")=0,"",SUMIFS(BD!$AD$3:$AD$5001,BD!$A$3:$A$5001,AC$3,BD!$B$3:$B$5001,$A$5)))</f>
        <v/>
      </c>
      <c r="AD20" s="236" t="str">
        <f>IF(AD$3="","",IF(COUNTIFS(BD!$A$3:$A$5001,AD$3,BD!$B$3:$B$5001,$A$5,BD!$AD$3:$AD$5001,"&lt;&gt;")=0,"",SUMIFS(BD!$AD$3:$AD$5001,BD!$A$3:$A$5001,AD$3,BD!$B$3:$B$5001,$A$5)))</f>
        <v/>
      </c>
      <c r="AE20" s="236" t="str">
        <f>IF(AE$3="","",IF(COUNTIFS(BD!$A$3:$A$5001,AE$3,BD!$B$3:$B$5001,$A$5,BD!$AD$3:$AD$5001,"&lt;&gt;")=0,"",SUMIFS(BD!$AD$3:$AD$5001,BD!$A$3:$A$5001,AE$3,BD!$B$3:$B$5001,$A$5)))</f>
        <v/>
      </c>
      <c r="AF20" s="236" t="str">
        <f>IF(AF$3="","",IF(COUNTIFS(BD!$A$3:$A$5001,AF$3,BD!$B$3:$B$5001,$A$5,BD!$AD$3:$AD$5001,"&lt;&gt;")=0,"",SUMIFS(BD!$AD$3:$AD$5001,BD!$A$3:$A$5001,AF$3,BD!$B$3:$B$5001,$A$5)))</f>
        <v/>
      </c>
      <c r="AG20" s="236" t="str">
        <f>IF(AG$3="","",IF(COUNTIFS(BD!$A$3:$A$5001,AG$3,BD!$B$3:$B$5001,$A$5,BD!$AD$3:$AD$5001,"&lt;&gt;")=0,"",SUMIFS(BD!$AD$3:$AD$5001,BD!$A$3:$A$5001,AG$3,BD!$B$3:$B$5001,$A$5)))</f>
        <v/>
      </c>
      <c r="AH20" s="236" t="str">
        <f>IF(AH$3="","",IF(COUNTIFS(BD!$A$3:$A$5001,AH$3,BD!$B$3:$B$5001,$A$5,BD!$AD$3:$AD$5001,"&lt;&gt;")=0,"",SUMIFS(BD!$AD$3:$AD$5001,BD!$A$3:$A$5001,AH$3,BD!$B$3:$B$5001,$A$5)))</f>
        <v/>
      </c>
      <c r="AI20" s="236" t="str">
        <f>IF(AI$3="","",IF(COUNTIFS(BD!$A$3:$A$5001,AI$3,BD!$B$3:$B$5001,$A$5,BD!$AD$3:$AD$5001,"&lt;&gt;")=0,"",SUMIFS(BD!$AD$3:$AD$5001,BD!$A$3:$A$5001,AI$3,BD!$B$3:$B$5001,$A$5)))</f>
        <v/>
      </c>
      <c r="AJ20" s="237" t="str">
        <f>IF(AJ$3="","",IF(COUNTIFS(BD!$A$3:$A$5001,AJ$3,BD!$B$3:$B$5001,$A$5,BD!$AD$3:$AD$5001,"&lt;&gt;")=0,"",SUMIFS(BD!$AD$3:$AD$5001,BD!$A$3:$A$5001,AJ$3,BD!$B$3:$B$5001,$A$5)))</f>
        <v/>
      </c>
      <c r="AK20" s="238" t="str">
        <f>IF(COUNT(F20:AJ20)=0,"",SUM(F20:AJ20))</f>
        <v/>
      </c>
    </row>
    <row r="21" ht="15.75" customHeight="1">
      <c r="A21" s="261"/>
      <c r="B21" s="258"/>
      <c r="C21" s="232" t="inlineStr">
        <is>
          <t xml:space="preserve">Desligamento</t>
        </is>
      </c>
      <c r="D21" s="233" t="str">
        <f>IFERROR(1/(1/INDEX(BD!$AL$52:$BF$52,MATCH($A$5,BD!$AL$22:$BF$22,0))),"")</f>
        <v/>
      </c>
      <c r="E21" s="234"/>
      <c r="F21" s="235" t="str">
        <f>IF(F$3="","",IF(COUNTIFS(BD!$A$3:$A$5001,F$3,BD!$B$3:$B$5001,$A$5,BD!$AE$3:$AE$5001,"&lt;&gt;")=0,"",SUMIFS(BD!$AE$3:$AE$5001,BD!$A$3:$A$5001,F$3,BD!$B$3:$B$5001,$A$5)))</f>
        <v/>
      </c>
      <c r="G21" s="236" t="str">
        <f>IF(G$3="","",IF(COUNTIFS(BD!$A$3:$A$5001,G$3,BD!$B$3:$B$5001,$A$5,BD!$AE$3:$AE$5001,"&lt;&gt;")=0,"",SUMIFS(BD!$AE$3:$AE$5001,BD!$A$3:$A$5001,G$3,BD!$B$3:$B$5001,$A$5)))</f>
        <v/>
      </c>
      <c r="H21" s="236" t="str">
        <f>IF(H$3="","",IF(COUNTIFS(BD!$A$3:$A$5001,H$3,BD!$B$3:$B$5001,$A$5,BD!$AE$3:$AE$5001,"&lt;&gt;")=0,"",SUMIFS(BD!$AE$3:$AE$5001,BD!$A$3:$A$5001,H$3,BD!$B$3:$B$5001,$A$5)))</f>
        <v/>
      </c>
      <c r="I21" s="236" t="str">
        <f>IF(I$3="","",IF(COUNTIFS(BD!$A$3:$A$5001,I$3,BD!$B$3:$B$5001,$A$5,BD!$AE$3:$AE$5001,"&lt;&gt;")=0,"",SUMIFS(BD!$AE$3:$AE$5001,BD!$A$3:$A$5001,I$3,BD!$B$3:$B$5001,$A$5)))</f>
        <v/>
      </c>
      <c r="J21" s="236" t="str">
        <f>IF(J$3="","",IF(COUNTIFS(BD!$A$3:$A$5001,J$3,BD!$B$3:$B$5001,$A$5,BD!$AE$3:$AE$5001,"&lt;&gt;")=0,"",SUMIFS(BD!$AE$3:$AE$5001,BD!$A$3:$A$5001,J$3,BD!$B$3:$B$5001,$A$5)))</f>
        <v/>
      </c>
      <c r="K21" s="236" t="str">
        <f>IF(K$3="","",IF(COUNTIFS(BD!$A$3:$A$5001,K$3,BD!$B$3:$B$5001,$A$5,BD!$AE$3:$AE$5001,"&lt;&gt;")=0,"",SUMIFS(BD!$AE$3:$AE$5001,BD!$A$3:$A$5001,K$3,BD!$B$3:$B$5001,$A$5)))</f>
        <v/>
      </c>
      <c r="L21" s="236" t="str">
        <f>IF(L$3="","",IF(COUNTIFS(BD!$A$3:$A$5001,L$3,BD!$B$3:$B$5001,$A$5,BD!$AE$3:$AE$5001,"&lt;&gt;")=0,"",SUMIFS(BD!$AE$3:$AE$5001,BD!$A$3:$A$5001,L$3,BD!$B$3:$B$5001,$A$5)))</f>
        <v/>
      </c>
      <c r="M21" s="236" t="str">
        <f>IF(M$3="","",IF(COUNTIFS(BD!$A$3:$A$5001,M$3,BD!$B$3:$B$5001,$A$5,BD!$AE$3:$AE$5001,"&lt;&gt;")=0,"",SUMIFS(BD!$AE$3:$AE$5001,BD!$A$3:$A$5001,M$3,BD!$B$3:$B$5001,$A$5)))</f>
        <v/>
      </c>
      <c r="N21" s="236" t="str">
        <f>IF(N$3="","",IF(COUNTIFS(BD!$A$3:$A$5001,N$3,BD!$B$3:$B$5001,$A$5,BD!$AE$3:$AE$5001,"&lt;&gt;")=0,"",SUMIFS(BD!$AE$3:$AE$5001,BD!$A$3:$A$5001,N$3,BD!$B$3:$B$5001,$A$5)))</f>
        <v/>
      </c>
      <c r="O21" s="236" t="str">
        <f>IF(O$3="","",IF(COUNTIFS(BD!$A$3:$A$5001,O$3,BD!$B$3:$B$5001,$A$5,BD!$AE$3:$AE$5001,"&lt;&gt;")=0,"",SUMIFS(BD!$AE$3:$AE$5001,BD!$A$3:$A$5001,O$3,BD!$B$3:$B$5001,$A$5)))</f>
        <v/>
      </c>
      <c r="P21" s="236" t="str">
        <f>IF(P$3="","",IF(COUNTIFS(BD!$A$3:$A$5001,P$3,BD!$B$3:$B$5001,$A$5,BD!$AE$3:$AE$5001,"&lt;&gt;")=0,"",SUMIFS(BD!$AE$3:$AE$5001,BD!$A$3:$A$5001,P$3,BD!$B$3:$B$5001,$A$5)))</f>
        <v/>
      </c>
      <c r="Q21" s="236" t="str">
        <f>IF(Q$3="","",IF(COUNTIFS(BD!$A$3:$A$5001,Q$3,BD!$B$3:$B$5001,$A$5,BD!$AE$3:$AE$5001,"&lt;&gt;")=0,"",SUMIFS(BD!$AE$3:$AE$5001,BD!$A$3:$A$5001,Q$3,BD!$B$3:$B$5001,$A$5)))</f>
        <v/>
      </c>
      <c r="R21" s="236" t="str">
        <f>IF(R$3="","",IF(COUNTIFS(BD!$A$3:$A$5001,R$3,BD!$B$3:$B$5001,$A$5,BD!$AE$3:$AE$5001,"&lt;&gt;")=0,"",SUMIFS(BD!$AE$3:$AE$5001,BD!$A$3:$A$5001,R$3,BD!$B$3:$B$5001,$A$5)))</f>
        <v/>
      </c>
      <c r="S21" s="236" t="str">
        <f>IF(S$3="","",IF(COUNTIFS(BD!$A$3:$A$5001,S$3,BD!$B$3:$B$5001,$A$5,BD!$AE$3:$AE$5001,"&lt;&gt;")=0,"",SUMIFS(BD!$AE$3:$AE$5001,BD!$A$3:$A$5001,S$3,BD!$B$3:$B$5001,$A$5)))</f>
        <v/>
      </c>
      <c r="T21" s="236" t="str">
        <f>IF(T$3="","",IF(COUNTIFS(BD!$A$3:$A$5001,T$3,BD!$B$3:$B$5001,$A$5,BD!$AE$3:$AE$5001,"&lt;&gt;")=0,"",SUMIFS(BD!$AE$3:$AE$5001,BD!$A$3:$A$5001,T$3,BD!$B$3:$B$5001,$A$5)))</f>
        <v/>
      </c>
      <c r="U21" s="236" t="str">
        <f>IF(U$3="","",IF(COUNTIFS(BD!$A$3:$A$5001,U$3,BD!$B$3:$B$5001,$A$5,BD!$AE$3:$AE$5001,"&lt;&gt;")=0,"",SUMIFS(BD!$AE$3:$AE$5001,BD!$A$3:$A$5001,U$3,BD!$B$3:$B$5001,$A$5)))</f>
        <v/>
      </c>
      <c r="V21" s="236" t="str">
        <f>IF(V$3="","",IF(COUNTIFS(BD!$A$3:$A$5001,V$3,BD!$B$3:$B$5001,$A$5,BD!$AE$3:$AE$5001,"&lt;&gt;")=0,"",SUMIFS(BD!$AE$3:$AE$5001,BD!$A$3:$A$5001,V$3,BD!$B$3:$B$5001,$A$5)))</f>
        <v/>
      </c>
      <c r="W21" s="236" t="str">
        <f>IF(W$3="","",IF(COUNTIFS(BD!$A$3:$A$5001,W$3,BD!$B$3:$B$5001,$A$5,BD!$AE$3:$AE$5001,"&lt;&gt;")=0,"",SUMIFS(BD!$AE$3:$AE$5001,BD!$A$3:$A$5001,W$3,BD!$B$3:$B$5001,$A$5)))</f>
        <v/>
      </c>
      <c r="X21" s="236" t="str">
        <f>IF(X$3="","",IF(COUNTIFS(BD!$A$3:$A$5001,X$3,BD!$B$3:$B$5001,$A$5,BD!$AE$3:$AE$5001,"&lt;&gt;")=0,"",SUMIFS(BD!$AE$3:$AE$5001,BD!$A$3:$A$5001,X$3,BD!$B$3:$B$5001,$A$5)))</f>
        <v/>
      </c>
      <c r="Y21" s="236" t="str">
        <f>IF(Y$3="","",IF(COUNTIFS(BD!$A$3:$A$5001,Y$3,BD!$B$3:$B$5001,$A$5,BD!$AE$3:$AE$5001,"&lt;&gt;")=0,"",SUMIFS(BD!$AE$3:$AE$5001,BD!$A$3:$A$5001,Y$3,BD!$B$3:$B$5001,$A$5)))</f>
        <v/>
      </c>
      <c r="Z21" s="236" t="str">
        <f>IF(Z$3="","",IF(COUNTIFS(BD!$A$3:$A$5001,Z$3,BD!$B$3:$B$5001,$A$5,BD!$AE$3:$AE$5001,"&lt;&gt;")=0,"",SUMIFS(BD!$AE$3:$AE$5001,BD!$A$3:$A$5001,Z$3,BD!$B$3:$B$5001,$A$5)))</f>
        <v/>
      </c>
      <c r="AA21" s="236" t="str">
        <f>IF(AA$3="","",IF(COUNTIFS(BD!$A$3:$A$5001,AA$3,BD!$B$3:$B$5001,$A$5,BD!$AE$3:$AE$5001,"&lt;&gt;")=0,"",SUMIFS(BD!$AE$3:$AE$5001,BD!$A$3:$A$5001,AA$3,BD!$B$3:$B$5001,$A$5)))</f>
        <v/>
      </c>
      <c r="AB21" s="236" t="str">
        <f>IF(AB$3="","",IF(COUNTIFS(BD!$A$3:$A$5001,AB$3,BD!$B$3:$B$5001,$A$5,BD!$AE$3:$AE$5001,"&lt;&gt;")=0,"",SUMIFS(BD!$AE$3:$AE$5001,BD!$A$3:$A$5001,AB$3,BD!$B$3:$B$5001,$A$5)))</f>
        <v/>
      </c>
      <c r="AC21" s="236" t="str">
        <f>IF(AC$3="","",IF(COUNTIFS(BD!$A$3:$A$5001,AC$3,BD!$B$3:$B$5001,$A$5,BD!$AE$3:$AE$5001,"&lt;&gt;")=0,"",SUMIFS(BD!$AE$3:$AE$5001,BD!$A$3:$A$5001,AC$3,BD!$B$3:$B$5001,$A$5)))</f>
        <v/>
      </c>
      <c r="AD21" s="236" t="str">
        <f>IF(AD$3="","",IF(COUNTIFS(BD!$A$3:$A$5001,AD$3,BD!$B$3:$B$5001,$A$5,BD!$AE$3:$AE$5001,"&lt;&gt;")=0,"",SUMIFS(BD!$AE$3:$AE$5001,BD!$A$3:$A$5001,AD$3,BD!$B$3:$B$5001,$A$5)))</f>
        <v/>
      </c>
      <c r="AE21" s="236" t="str">
        <f>IF(AE$3="","",IF(COUNTIFS(BD!$A$3:$A$5001,AE$3,BD!$B$3:$B$5001,$A$5,BD!$AE$3:$AE$5001,"&lt;&gt;")=0,"",SUMIFS(BD!$AE$3:$AE$5001,BD!$A$3:$A$5001,AE$3,BD!$B$3:$B$5001,$A$5)))</f>
        <v/>
      </c>
      <c r="AF21" s="236" t="str">
        <f>IF(AF$3="","",IF(COUNTIFS(BD!$A$3:$A$5001,AF$3,BD!$B$3:$B$5001,$A$5,BD!$AE$3:$AE$5001,"&lt;&gt;")=0,"",SUMIFS(BD!$AE$3:$AE$5001,BD!$A$3:$A$5001,AF$3,BD!$B$3:$B$5001,$A$5)))</f>
        <v/>
      </c>
      <c r="AG21" s="236" t="str">
        <f>IF(AG$3="","",IF(COUNTIFS(BD!$A$3:$A$5001,AG$3,BD!$B$3:$B$5001,$A$5,BD!$AE$3:$AE$5001,"&lt;&gt;")=0,"",SUMIFS(BD!$AE$3:$AE$5001,BD!$A$3:$A$5001,AG$3,BD!$B$3:$B$5001,$A$5)))</f>
        <v/>
      </c>
      <c r="AH21" s="236" t="str">
        <f>IF(AH$3="","",IF(COUNTIFS(BD!$A$3:$A$5001,AH$3,BD!$B$3:$B$5001,$A$5,BD!$AE$3:$AE$5001,"&lt;&gt;")=0,"",SUMIFS(BD!$AE$3:$AE$5001,BD!$A$3:$A$5001,AH$3,BD!$B$3:$B$5001,$A$5)))</f>
        <v/>
      </c>
      <c r="AI21" s="236" t="str">
        <f>IF(AI$3="","",IF(COUNTIFS(BD!$A$3:$A$5001,AI$3,BD!$B$3:$B$5001,$A$5,BD!$AE$3:$AE$5001,"&lt;&gt;")=0,"",SUMIFS(BD!$AE$3:$AE$5001,BD!$A$3:$A$5001,AI$3,BD!$B$3:$B$5001,$A$5)))</f>
        <v/>
      </c>
      <c r="AJ21" s="237" t="str">
        <f>IF(AJ$3="","",IF(COUNTIFS(BD!$A$3:$A$5001,AJ$3,BD!$B$3:$B$5001,$A$5,BD!$AE$3:$AE$5001,"&lt;&gt;")=0,"",SUMIFS(BD!$AE$3:$AE$5001,BD!$A$3:$A$5001,AJ$3,BD!$B$3:$B$5001,$A$5)))</f>
        <v/>
      </c>
      <c r="AK21" s="238" t="str">
        <f>IF(COUNT(F21:AJ21)=0,"",SUM(F21:AJ21))</f>
        <v/>
      </c>
    </row>
    <row r="22" ht="15.75" customHeight="1">
      <c r="A22" s="261"/>
      <c r="B22" s="258"/>
      <c r="C22" s="232" t="inlineStr">
        <is>
          <t xml:space="preserve">Desvios Comportamentais</t>
        </is>
      </c>
      <c r="D22" s="233" t="str">
        <f>IFERROR(1/(1/INDEX(BD!$AL$53:$BF$53,MATCH($A$5,BD!$AL$22:$BF$22,0))),"")</f>
        <v/>
      </c>
      <c r="E22" s="234"/>
      <c r="F22" s="235" t="str">
        <f>IF(F$3="","",IF(COUNTIFS(BD!$A$3:$A$5001,F$3,BD!$B$3:$B$5001,$A$5,BD!$AF$3:$AF$5001,"&lt;&gt;")=0,"",SUMIFS(BD!$AF$3:$AF$5001,BD!$A$3:$A$5001,F$3,BD!$B$3:$B$5001,$A$5)))</f>
        <v/>
      </c>
      <c r="G22" s="236" t="str">
        <f>IF(G$3="","",IF(COUNTIFS(BD!$A$3:$A$5001,G$3,BD!$B$3:$B$5001,$A$5,BD!$AF$3:$AF$5001,"&lt;&gt;")=0,"",SUMIFS(BD!$AF$3:$AF$5001,BD!$A$3:$A$5001,G$3,BD!$B$3:$B$5001,$A$5)))</f>
        <v/>
      </c>
      <c r="H22" s="236" t="str">
        <f>IF(H$3="","",IF(COUNTIFS(BD!$A$3:$A$5001,H$3,BD!$B$3:$B$5001,$A$5,BD!$AF$3:$AF$5001,"&lt;&gt;")=0,"",SUMIFS(BD!$AF$3:$AF$5001,BD!$A$3:$A$5001,H$3,BD!$B$3:$B$5001,$A$5)))</f>
        <v/>
      </c>
      <c r="I22" s="236" t="str">
        <f>IF(I$3="","",IF(COUNTIFS(BD!$A$3:$A$5001,I$3,BD!$B$3:$B$5001,$A$5,BD!$AF$3:$AF$5001,"&lt;&gt;")=0,"",SUMIFS(BD!$AF$3:$AF$5001,BD!$A$3:$A$5001,I$3,BD!$B$3:$B$5001,$A$5)))</f>
        <v/>
      </c>
      <c r="J22" s="236" t="str">
        <f>IF(J$3="","",IF(COUNTIFS(BD!$A$3:$A$5001,J$3,BD!$B$3:$B$5001,$A$5,BD!$AF$3:$AF$5001,"&lt;&gt;")=0,"",SUMIFS(BD!$AF$3:$AF$5001,BD!$A$3:$A$5001,J$3,BD!$B$3:$B$5001,$A$5)))</f>
        <v/>
      </c>
      <c r="K22" s="236" t="str">
        <f>IF(K$3="","",IF(COUNTIFS(BD!$A$3:$A$5001,K$3,BD!$B$3:$B$5001,$A$5,BD!$AF$3:$AF$5001,"&lt;&gt;")=0,"",SUMIFS(BD!$AF$3:$AF$5001,BD!$A$3:$A$5001,K$3,BD!$B$3:$B$5001,$A$5)))</f>
        <v/>
      </c>
      <c r="L22" s="236" t="str">
        <f>IF(L$3="","",IF(COUNTIFS(BD!$A$3:$A$5001,L$3,BD!$B$3:$B$5001,$A$5,BD!$AF$3:$AF$5001,"&lt;&gt;")=0,"",SUMIFS(BD!$AF$3:$AF$5001,BD!$A$3:$A$5001,L$3,BD!$B$3:$B$5001,$A$5)))</f>
        <v/>
      </c>
      <c r="M22" s="236" t="str">
        <f>IF(M$3="","",IF(COUNTIFS(BD!$A$3:$A$5001,M$3,BD!$B$3:$B$5001,$A$5,BD!$AF$3:$AF$5001,"&lt;&gt;")=0,"",SUMIFS(BD!$AF$3:$AF$5001,BD!$A$3:$A$5001,M$3,BD!$B$3:$B$5001,$A$5)))</f>
        <v/>
      </c>
      <c r="N22" s="236" t="str">
        <f>IF(N$3="","",IF(COUNTIFS(BD!$A$3:$A$5001,N$3,BD!$B$3:$B$5001,$A$5,BD!$AF$3:$AF$5001,"&lt;&gt;")=0,"",SUMIFS(BD!$AF$3:$AF$5001,BD!$A$3:$A$5001,N$3,BD!$B$3:$B$5001,$A$5)))</f>
        <v/>
      </c>
      <c r="O22" s="236" t="str">
        <f>IF(O$3="","",IF(COUNTIFS(BD!$A$3:$A$5001,O$3,BD!$B$3:$B$5001,$A$5,BD!$AF$3:$AF$5001,"&lt;&gt;")=0,"",SUMIFS(BD!$AF$3:$AF$5001,BD!$A$3:$A$5001,O$3,BD!$B$3:$B$5001,$A$5)))</f>
        <v/>
      </c>
      <c r="P22" s="236" t="str">
        <f>IF(P$3="","",IF(COUNTIFS(BD!$A$3:$A$5001,P$3,BD!$B$3:$B$5001,$A$5,BD!$AF$3:$AF$5001,"&lt;&gt;")=0,"",SUMIFS(BD!$AF$3:$AF$5001,BD!$A$3:$A$5001,P$3,BD!$B$3:$B$5001,$A$5)))</f>
        <v/>
      </c>
      <c r="Q22" s="236" t="str">
        <f>IF(Q$3="","",IF(COUNTIFS(BD!$A$3:$A$5001,Q$3,BD!$B$3:$B$5001,$A$5,BD!$AF$3:$AF$5001,"&lt;&gt;")=0,"",SUMIFS(BD!$AF$3:$AF$5001,BD!$A$3:$A$5001,Q$3,BD!$B$3:$B$5001,$A$5)))</f>
        <v/>
      </c>
      <c r="R22" s="236" t="str">
        <f>IF(R$3="","",IF(COUNTIFS(BD!$A$3:$A$5001,R$3,BD!$B$3:$B$5001,$A$5,BD!$AF$3:$AF$5001,"&lt;&gt;")=0,"",SUMIFS(BD!$AF$3:$AF$5001,BD!$A$3:$A$5001,R$3,BD!$B$3:$B$5001,$A$5)))</f>
        <v/>
      </c>
      <c r="S22" s="236" t="str">
        <f>IF(S$3="","",IF(COUNTIFS(BD!$A$3:$A$5001,S$3,BD!$B$3:$B$5001,$A$5,BD!$AF$3:$AF$5001,"&lt;&gt;")=0,"",SUMIFS(BD!$AF$3:$AF$5001,BD!$A$3:$A$5001,S$3,BD!$B$3:$B$5001,$A$5)))</f>
        <v/>
      </c>
      <c r="T22" s="236" t="str">
        <f>IF(T$3="","",IF(COUNTIFS(BD!$A$3:$A$5001,T$3,BD!$B$3:$B$5001,$A$5,BD!$AF$3:$AF$5001,"&lt;&gt;")=0,"",SUMIFS(BD!$AF$3:$AF$5001,BD!$A$3:$A$5001,T$3,BD!$B$3:$B$5001,$A$5)))</f>
        <v/>
      </c>
      <c r="U22" s="236" t="str">
        <f>IF(U$3="","",IF(COUNTIFS(BD!$A$3:$A$5001,U$3,BD!$B$3:$B$5001,$A$5,BD!$AF$3:$AF$5001,"&lt;&gt;")=0,"",SUMIFS(BD!$AF$3:$AF$5001,BD!$A$3:$A$5001,U$3,BD!$B$3:$B$5001,$A$5)))</f>
        <v/>
      </c>
      <c r="V22" s="236" t="str">
        <f>IF(V$3="","",IF(COUNTIFS(BD!$A$3:$A$5001,V$3,BD!$B$3:$B$5001,$A$5,BD!$AF$3:$AF$5001,"&lt;&gt;")=0,"",SUMIFS(BD!$AF$3:$AF$5001,BD!$A$3:$A$5001,V$3,BD!$B$3:$B$5001,$A$5)))</f>
        <v/>
      </c>
      <c r="W22" s="236" t="str">
        <f>IF(W$3="","",IF(COUNTIFS(BD!$A$3:$A$5001,W$3,BD!$B$3:$B$5001,$A$5,BD!$AF$3:$AF$5001,"&lt;&gt;")=0,"",SUMIFS(BD!$AF$3:$AF$5001,BD!$A$3:$A$5001,W$3,BD!$B$3:$B$5001,$A$5)))</f>
        <v/>
      </c>
      <c r="X22" s="236" t="str">
        <f>IF(X$3="","",IF(COUNTIFS(BD!$A$3:$A$5001,X$3,BD!$B$3:$B$5001,$A$5,BD!$AF$3:$AF$5001,"&lt;&gt;")=0,"",SUMIFS(BD!$AF$3:$AF$5001,BD!$A$3:$A$5001,X$3,BD!$B$3:$B$5001,$A$5)))</f>
        <v/>
      </c>
      <c r="Y22" s="236" t="str">
        <f>IF(Y$3="","",IF(COUNTIFS(BD!$A$3:$A$5001,Y$3,BD!$B$3:$B$5001,$A$5,BD!$AF$3:$AF$5001,"&lt;&gt;")=0,"",SUMIFS(BD!$AF$3:$AF$5001,BD!$A$3:$A$5001,Y$3,BD!$B$3:$B$5001,$A$5)))</f>
        <v/>
      </c>
      <c r="Z22" s="236" t="str">
        <f>IF(Z$3="","",IF(COUNTIFS(BD!$A$3:$A$5001,Z$3,BD!$B$3:$B$5001,$A$5,BD!$AF$3:$AF$5001,"&lt;&gt;")=0,"",SUMIFS(BD!$AF$3:$AF$5001,BD!$A$3:$A$5001,Z$3,BD!$B$3:$B$5001,$A$5)))</f>
        <v/>
      </c>
      <c r="AA22" s="236" t="str">
        <f>IF(AA$3="","",IF(COUNTIFS(BD!$A$3:$A$5001,AA$3,BD!$B$3:$B$5001,$A$5,BD!$AF$3:$AF$5001,"&lt;&gt;")=0,"",SUMIFS(BD!$AF$3:$AF$5001,BD!$A$3:$A$5001,AA$3,BD!$B$3:$B$5001,$A$5)))</f>
        <v/>
      </c>
      <c r="AB22" s="236" t="str">
        <f>IF(AB$3="","",IF(COUNTIFS(BD!$A$3:$A$5001,AB$3,BD!$B$3:$B$5001,$A$5,BD!$AF$3:$AF$5001,"&lt;&gt;")=0,"",SUMIFS(BD!$AF$3:$AF$5001,BD!$A$3:$A$5001,AB$3,BD!$B$3:$B$5001,$A$5)))</f>
        <v/>
      </c>
      <c r="AC22" s="236" t="str">
        <f>IF(AC$3="","",IF(COUNTIFS(BD!$A$3:$A$5001,AC$3,BD!$B$3:$B$5001,$A$5,BD!$AF$3:$AF$5001,"&lt;&gt;")=0,"",SUMIFS(BD!$AF$3:$AF$5001,BD!$A$3:$A$5001,AC$3,BD!$B$3:$B$5001,$A$5)))</f>
        <v/>
      </c>
      <c r="AD22" s="236" t="str">
        <f>IF(AD$3="","",IF(COUNTIFS(BD!$A$3:$A$5001,AD$3,BD!$B$3:$B$5001,$A$5,BD!$AF$3:$AF$5001,"&lt;&gt;")=0,"",SUMIFS(BD!$AF$3:$AF$5001,BD!$A$3:$A$5001,AD$3,BD!$B$3:$B$5001,$A$5)))</f>
        <v/>
      </c>
      <c r="AE22" s="236" t="str">
        <f>IF(AE$3="","",IF(COUNTIFS(BD!$A$3:$A$5001,AE$3,BD!$B$3:$B$5001,$A$5,BD!$AF$3:$AF$5001,"&lt;&gt;")=0,"",SUMIFS(BD!$AF$3:$AF$5001,BD!$A$3:$A$5001,AE$3,BD!$B$3:$B$5001,$A$5)))</f>
        <v/>
      </c>
      <c r="AF22" s="236" t="str">
        <f>IF(AF$3="","",IF(COUNTIFS(BD!$A$3:$A$5001,AF$3,BD!$B$3:$B$5001,$A$5,BD!$AF$3:$AF$5001,"&lt;&gt;")=0,"",SUMIFS(BD!$AF$3:$AF$5001,BD!$A$3:$A$5001,AF$3,BD!$B$3:$B$5001,$A$5)))</f>
        <v/>
      </c>
      <c r="AG22" s="236" t="str">
        <f>IF(AG$3="","",IF(COUNTIFS(BD!$A$3:$A$5001,AG$3,BD!$B$3:$B$5001,$A$5,BD!$AF$3:$AF$5001,"&lt;&gt;")=0,"",SUMIFS(BD!$AF$3:$AF$5001,BD!$A$3:$A$5001,AG$3,BD!$B$3:$B$5001,$A$5)))</f>
        <v/>
      </c>
      <c r="AH22" s="236" t="str">
        <f>IF(AH$3="","",IF(COUNTIFS(BD!$A$3:$A$5001,AH$3,BD!$B$3:$B$5001,$A$5,BD!$AF$3:$AF$5001,"&lt;&gt;")=0,"",SUMIFS(BD!$AF$3:$AF$5001,BD!$A$3:$A$5001,AH$3,BD!$B$3:$B$5001,$A$5)))</f>
        <v/>
      </c>
      <c r="AI22" s="236" t="str">
        <f>IF(AI$3="","",IF(COUNTIFS(BD!$A$3:$A$5001,AI$3,BD!$B$3:$B$5001,$A$5,BD!$AF$3:$AF$5001,"&lt;&gt;")=0,"",SUMIFS(BD!$AF$3:$AF$5001,BD!$A$3:$A$5001,AI$3,BD!$B$3:$B$5001,$A$5)))</f>
        <v/>
      </c>
      <c r="AJ22" s="237" t="str">
        <f>IF(AJ$3="","",IF(COUNTIFS(BD!$A$3:$A$5001,AJ$3,BD!$B$3:$B$5001,$A$5,BD!$AF$3:$AF$5001,"&lt;&gt;")=0,"",SUMIFS(BD!$AF$3:$AF$5001,BD!$A$3:$A$5001,AJ$3,BD!$B$3:$B$5001,$A$5)))</f>
        <v/>
      </c>
      <c r="AK22" s="238" t="str">
        <f>IF(COUNT(F22:AJ22)=0,"",SUM(F22:AJ22))</f>
        <v/>
      </c>
    </row>
    <row r="23" ht="15.75" customHeight="1">
      <c r="A23" s="261"/>
      <c r="B23" s="258"/>
      <c r="C23" s="232" t="inlineStr">
        <is>
          <t xml:space="preserve">Acidentes CAF</t>
        </is>
      </c>
      <c r="D23" s="233" t="str">
        <f>IFERROR(1/(1/INDEX(BD!$AL$54:$BF$54,MATCH($A$5,BD!$AL$22:$BF$22,0))),"")</f>
        <v/>
      </c>
      <c r="E23" s="234"/>
      <c r="F23" s="235" t="str">
        <f>IF(F$3="","",IF(COUNTIFS(BD!$A$3:$A$5001,F$3,BD!$B$3:$B$5001,$A$5,BD!$AG$3:$AG$5001,"&lt;&gt;")=0,"",SUMIFS(BD!$AG$3:$AG$5001,BD!$A$3:$A$5001,F$3,BD!$B$3:$B$5001,$A$5)))</f>
        <v/>
      </c>
      <c r="G23" s="236" t="str">
        <f>IF(G$3="","",IF(COUNTIFS(BD!$A$3:$A$5001,G$3,BD!$B$3:$B$5001,$A$5,BD!$AG$3:$AG$5001,"&lt;&gt;")=0,"",SUMIFS(BD!$AG$3:$AG$5001,BD!$A$3:$A$5001,G$3,BD!$B$3:$B$5001,$A$5)))</f>
        <v/>
      </c>
      <c r="H23" s="236" t="str">
        <f>IF(H$3="","",IF(COUNTIFS(BD!$A$3:$A$5001,H$3,BD!$B$3:$B$5001,$A$5,BD!$AG$3:$AG$5001,"&lt;&gt;")=0,"",SUMIFS(BD!$AG$3:$AG$5001,BD!$A$3:$A$5001,H$3,BD!$B$3:$B$5001,$A$5)))</f>
        <v/>
      </c>
      <c r="I23" s="236" t="str">
        <f>IF(I$3="","",IF(COUNTIFS(BD!$A$3:$A$5001,I$3,BD!$B$3:$B$5001,$A$5,BD!$AG$3:$AG$5001,"&lt;&gt;")=0,"",SUMIFS(BD!$AG$3:$AG$5001,BD!$A$3:$A$5001,I$3,BD!$B$3:$B$5001,$A$5)))</f>
        <v/>
      </c>
      <c r="J23" s="236" t="str">
        <f>IF(J$3="","",IF(COUNTIFS(BD!$A$3:$A$5001,J$3,BD!$B$3:$B$5001,$A$5,BD!$AG$3:$AG$5001,"&lt;&gt;")=0,"",SUMIFS(BD!$AG$3:$AG$5001,BD!$A$3:$A$5001,J$3,BD!$B$3:$B$5001,$A$5)))</f>
        <v/>
      </c>
      <c r="K23" s="236" t="str">
        <f>IF(K$3="","",IF(COUNTIFS(BD!$A$3:$A$5001,K$3,BD!$B$3:$B$5001,$A$5,BD!$AG$3:$AG$5001,"&lt;&gt;")=0,"",SUMIFS(BD!$AG$3:$AG$5001,BD!$A$3:$A$5001,K$3,BD!$B$3:$B$5001,$A$5)))</f>
        <v/>
      </c>
      <c r="L23" s="236" t="str">
        <f>IF(L$3="","",IF(COUNTIFS(BD!$A$3:$A$5001,L$3,BD!$B$3:$B$5001,$A$5,BD!$AG$3:$AG$5001,"&lt;&gt;")=0,"",SUMIFS(BD!$AG$3:$AG$5001,BD!$A$3:$A$5001,L$3,BD!$B$3:$B$5001,$A$5)))</f>
        <v/>
      </c>
      <c r="M23" s="236" t="str">
        <f>IF(M$3="","",IF(COUNTIFS(BD!$A$3:$A$5001,M$3,BD!$B$3:$B$5001,$A$5,BD!$AG$3:$AG$5001,"&lt;&gt;")=0,"",SUMIFS(BD!$AG$3:$AG$5001,BD!$A$3:$A$5001,M$3,BD!$B$3:$B$5001,$A$5)))</f>
        <v/>
      </c>
      <c r="N23" s="236" t="str">
        <f>IF(N$3="","",IF(COUNTIFS(BD!$A$3:$A$5001,N$3,BD!$B$3:$B$5001,$A$5,BD!$AG$3:$AG$5001,"&lt;&gt;")=0,"",SUMIFS(BD!$AG$3:$AG$5001,BD!$A$3:$A$5001,N$3,BD!$B$3:$B$5001,$A$5)))</f>
        <v/>
      </c>
      <c r="O23" s="236" t="str">
        <f>IF(O$3="","",IF(COUNTIFS(BD!$A$3:$A$5001,O$3,BD!$B$3:$B$5001,$A$5,BD!$AG$3:$AG$5001,"&lt;&gt;")=0,"",SUMIFS(BD!$AG$3:$AG$5001,BD!$A$3:$A$5001,O$3,BD!$B$3:$B$5001,$A$5)))</f>
        <v/>
      </c>
      <c r="P23" s="236" t="str">
        <f>IF(P$3="","",IF(COUNTIFS(BD!$A$3:$A$5001,P$3,BD!$B$3:$B$5001,$A$5,BD!$AG$3:$AG$5001,"&lt;&gt;")=0,"",SUMIFS(BD!$AG$3:$AG$5001,BD!$A$3:$A$5001,P$3,BD!$B$3:$B$5001,$A$5)))</f>
        <v/>
      </c>
      <c r="Q23" s="236" t="str">
        <f>IF(Q$3="","",IF(COUNTIFS(BD!$A$3:$A$5001,Q$3,BD!$B$3:$B$5001,$A$5,BD!$AG$3:$AG$5001,"&lt;&gt;")=0,"",SUMIFS(BD!$AG$3:$AG$5001,BD!$A$3:$A$5001,Q$3,BD!$B$3:$B$5001,$A$5)))</f>
        <v/>
      </c>
      <c r="R23" s="236" t="str">
        <f>IF(R$3="","",IF(COUNTIFS(BD!$A$3:$A$5001,R$3,BD!$B$3:$B$5001,$A$5,BD!$AG$3:$AG$5001,"&lt;&gt;")=0,"",SUMIFS(BD!$AG$3:$AG$5001,BD!$A$3:$A$5001,R$3,BD!$B$3:$B$5001,$A$5)))</f>
        <v/>
      </c>
      <c r="S23" s="236" t="str">
        <f>IF(S$3="","",IF(COUNTIFS(BD!$A$3:$A$5001,S$3,BD!$B$3:$B$5001,$A$5,BD!$AG$3:$AG$5001,"&lt;&gt;")=0,"",SUMIFS(BD!$AG$3:$AG$5001,BD!$A$3:$A$5001,S$3,BD!$B$3:$B$5001,$A$5)))</f>
        <v/>
      </c>
      <c r="T23" s="236" t="str">
        <f>IF(T$3="","",IF(COUNTIFS(BD!$A$3:$A$5001,T$3,BD!$B$3:$B$5001,$A$5,BD!$AG$3:$AG$5001,"&lt;&gt;")=0,"",SUMIFS(BD!$AG$3:$AG$5001,BD!$A$3:$A$5001,T$3,BD!$B$3:$B$5001,$A$5)))</f>
        <v/>
      </c>
      <c r="U23" s="236" t="str">
        <f>IF(U$3="","",IF(COUNTIFS(BD!$A$3:$A$5001,U$3,BD!$B$3:$B$5001,$A$5,BD!$AG$3:$AG$5001,"&lt;&gt;")=0,"",SUMIFS(BD!$AG$3:$AG$5001,BD!$A$3:$A$5001,U$3,BD!$B$3:$B$5001,$A$5)))</f>
        <v/>
      </c>
      <c r="V23" s="236" t="str">
        <f>IF(V$3="","",IF(COUNTIFS(BD!$A$3:$A$5001,V$3,BD!$B$3:$B$5001,$A$5,BD!$AG$3:$AG$5001,"&lt;&gt;")=0,"",SUMIFS(BD!$AG$3:$AG$5001,BD!$A$3:$A$5001,V$3,BD!$B$3:$B$5001,$A$5)))</f>
        <v/>
      </c>
      <c r="W23" s="236" t="str">
        <f>IF(W$3="","",IF(COUNTIFS(BD!$A$3:$A$5001,W$3,BD!$B$3:$B$5001,$A$5,BD!$AG$3:$AG$5001,"&lt;&gt;")=0,"",SUMIFS(BD!$AG$3:$AG$5001,BD!$A$3:$A$5001,W$3,BD!$B$3:$B$5001,$A$5)))</f>
        <v/>
      </c>
      <c r="X23" s="236" t="str">
        <f>IF(X$3="","",IF(COUNTIFS(BD!$A$3:$A$5001,X$3,BD!$B$3:$B$5001,$A$5,BD!$AG$3:$AG$5001,"&lt;&gt;")=0,"",SUMIFS(BD!$AG$3:$AG$5001,BD!$A$3:$A$5001,X$3,BD!$B$3:$B$5001,$A$5)))</f>
        <v/>
      </c>
      <c r="Y23" s="236" t="str">
        <f>IF(Y$3="","",IF(COUNTIFS(BD!$A$3:$A$5001,Y$3,BD!$B$3:$B$5001,$A$5,BD!$AG$3:$AG$5001,"&lt;&gt;")=0,"",SUMIFS(BD!$AG$3:$AG$5001,BD!$A$3:$A$5001,Y$3,BD!$B$3:$B$5001,$A$5)))</f>
        <v/>
      </c>
      <c r="Z23" s="236" t="str">
        <f>IF(Z$3="","",IF(COUNTIFS(BD!$A$3:$A$5001,Z$3,BD!$B$3:$B$5001,$A$5,BD!$AG$3:$AG$5001,"&lt;&gt;")=0,"",SUMIFS(BD!$AG$3:$AG$5001,BD!$A$3:$A$5001,Z$3,BD!$B$3:$B$5001,$A$5)))</f>
        <v/>
      </c>
      <c r="AA23" s="236" t="str">
        <f>IF(AA$3="","",IF(COUNTIFS(BD!$A$3:$A$5001,AA$3,BD!$B$3:$B$5001,$A$5,BD!$AG$3:$AG$5001,"&lt;&gt;")=0,"",SUMIFS(BD!$AG$3:$AG$5001,BD!$A$3:$A$5001,AA$3,BD!$B$3:$B$5001,$A$5)))</f>
        <v/>
      </c>
      <c r="AB23" s="236" t="str">
        <f>IF(AB$3="","",IF(COUNTIFS(BD!$A$3:$A$5001,AB$3,BD!$B$3:$B$5001,$A$5,BD!$AG$3:$AG$5001,"&lt;&gt;")=0,"",SUMIFS(BD!$AG$3:$AG$5001,BD!$A$3:$A$5001,AB$3,BD!$B$3:$B$5001,$A$5)))</f>
        <v/>
      </c>
      <c r="AC23" s="236" t="str">
        <f>IF(AC$3="","",IF(COUNTIFS(BD!$A$3:$A$5001,AC$3,BD!$B$3:$B$5001,$A$5,BD!$AG$3:$AG$5001,"&lt;&gt;")=0,"",SUMIFS(BD!$AG$3:$AG$5001,BD!$A$3:$A$5001,AC$3,BD!$B$3:$B$5001,$A$5)))</f>
        <v/>
      </c>
      <c r="AD23" s="236" t="str">
        <f>IF(AD$3="","",IF(COUNTIFS(BD!$A$3:$A$5001,AD$3,BD!$B$3:$B$5001,$A$5,BD!$AG$3:$AG$5001,"&lt;&gt;")=0,"",SUMIFS(BD!$AG$3:$AG$5001,BD!$A$3:$A$5001,AD$3,BD!$B$3:$B$5001,$A$5)))</f>
        <v/>
      </c>
      <c r="AE23" s="236" t="str">
        <f>IF(AE$3="","",IF(COUNTIFS(BD!$A$3:$A$5001,AE$3,BD!$B$3:$B$5001,$A$5,BD!$AG$3:$AG$5001,"&lt;&gt;")=0,"",SUMIFS(BD!$AG$3:$AG$5001,BD!$A$3:$A$5001,AE$3,BD!$B$3:$B$5001,$A$5)))</f>
        <v/>
      </c>
      <c r="AF23" s="236" t="str">
        <f>IF(AF$3="","",IF(COUNTIFS(BD!$A$3:$A$5001,AF$3,BD!$B$3:$B$5001,$A$5,BD!$AG$3:$AG$5001,"&lt;&gt;")=0,"",SUMIFS(BD!$AG$3:$AG$5001,BD!$A$3:$A$5001,AF$3,BD!$B$3:$B$5001,$A$5)))</f>
        <v/>
      </c>
      <c r="AG23" s="236" t="str">
        <f>IF(AG$3="","",IF(COUNTIFS(BD!$A$3:$A$5001,AG$3,BD!$B$3:$B$5001,$A$5,BD!$AG$3:$AG$5001,"&lt;&gt;")=0,"",SUMIFS(BD!$AG$3:$AG$5001,BD!$A$3:$A$5001,AG$3,BD!$B$3:$B$5001,$A$5)))</f>
        <v/>
      </c>
      <c r="AH23" s="236" t="str">
        <f>IF(AH$3="","",IF(COUNTIFS(BD!$A$3:$A$5001,AH$3,BD!$B$3:$B$5001,$A$5,BD!$AG$3:$AG$5001,"&lt;&gt;")=0,"",SUMIFS(BD!$AG$3:$AG$5001,BD!$A$3:$A$5001,AH$3,BD!$B$3:$B$5001,$A$5)))</f>
        <v/>
      </c>
      <c r="AI23" s="236" t="str">
        <f>IF(AI$3="","",IF(COUNTIFS(BD!$A$3:$A$5001,AI$3,BD!$B$3:$B$5001,$A$5,BD!$AG$3:$AG$5001,"&lt;&gt;")=0,"",SUMIFS(BD!$AG$3:$AG$5001,BD!$A$3:$A$5001,AI$3,BD!$B$3:$B$5001,$A$5)))</f>
        <v/>
      </c>
      <c r="AJ23" s="237" t="str">
        <f>IF(AJ$3="","",IF(COUNTIFS(BD!$A$3:$A$5001,AJ$3,BD!$B$3:$B$5001,$A$5,BD!$AG$3:$AG$5001,"&lt;&gt;")=0,"",SUMIFS(BD!$AG$3:$AG$5001,BD!$A$3:$A$5001,AJ$3,BD!$B$3:$B$5001,$A$5)))</f>
        <v/>
      </c>
      <c r="AK23" s="238" t="str">
        <f>IF(COUNT(F23:AJ23)=0,"",SUM(F23:AJ23))</f>
        <v/>
      </c>
    </row>
    <row r="24" ht="15.75" customHeight="1">
      <c r="A24" s="262"/>
      <c r="B24" s="259"/>
      <c r="C24" s="243" t="inlineStr">
        <is>
          <t xml:space="preserve">Acidentes SAF</t>
        </is>
      </c>
      <c r="D24" s="244" t="str">
        <f>IFERROR(1/(1/INDEX(BD!$AL$55:$BF$55,MATCH($A$5,BD!$AL$22:$BF$22,0))),"")</f>
        <v/>
      </c>
      <c r="E24" s="245"/>
      <c r="F24" s="246" t="str">
        <f>IF(F$3="","",IF(COUNTIFS(BD!$A$3:$A$5001,F$3,BD!$B$3:$B$5001,$A$5,BD!$AH$3:$AH$5001,"&lt;&gt;")=0,"",SUMIFS(BD!$AH$3:$AH$5001,BD!$A$3:$A$5001,F$3,BD!$B$3:$B$5001,$A$5)))</f>
        <v/>
      </c>
      <c r="G24" s="247" t="str">
        <f>IF(G$3="","",IF(COUNTIFS(BD!$A$3:$A$5001,G$3,BD!$B$3:$B$5001,$A$5,BD!$AH$3:$AH$5001,"&lt;&gt;")=0,"",SUMIFS(BD!$AH$3:$AH$5001,BD!$A$3:$A$5001,G$3,BD!$B$3:$B$5001,$A$5)))</f>
        <v/>
      </c>
      <c r="H24" s="247" t="str">
        <f>IF(H$3="","",IF(COUNTIFS(BD!$A$3:$A$5001,H$3,BD!$B$3:$B$5001,$A$5,BD!$AH$3:$AH$5001,"&lt;&gt;")=0,"",SUMIFS(BD!$AH$3:$AH$5001,BD!$A$3:$A$5001,H$3,BD!$B$3:$B$5001,$A$5)))</f>
        <v/>
      </c>
      <c r="I24" s="247" t="str">
        <f>IF(I$3="","",IF(COUNTIFS(BD!$A$3:$A$5001,I$3,BD!$B$3:$B$5001,$A$5,BD!$AH$3:$AH$5001,"&lt;&gt;")=0,"",SUMIFS(BD!$AH$3:$AH$5001,BD!$A$3:$A$5001,I$3,BD!$B$3:$B$5001,$A$5)))</f>
        <v/>
      </c>
      <c r="J24" s="247" t="str">
        <f>IF(J$3="","",IF(COUNTIFS(BD!$A$3:$A$5001,J$3,BD!$B$3:$B$5001,$A$5,BD!$AH$3:$AH$5001,"&lt;&gt;")=0,"",SUMIFS(BD!$AH$3:$AH$5001,BD!$A$3:$A$5001,J$3,BD!$B$3:$B$5001,$A$5)))</f>
        <v/>
      </c>
      <c r="K24" s="247" t="str">
        <f>IF(K$3="","",IF(COUNTIFS(BD!$A$3:$A$5001,K$3,BD!$B$3:$B$5001,$A$5,BD!$AH$3:$AH$5001,"&lt;&gt;")=0,"",SUMIFS(BD!$AH$3:$AH$5001,BD!$A$3:$A$5001,K$3,BD!$B$3:$B$5001,$A$5)))</f>
        <v/>
      </c>
      <c r="L24" s="247" t="str">
        <f>IF(L$3="","",IF(COUNTIFS(BD!$A$3:$A$5001,L$3,BD!$B$3:$B$5001,$A$5,BD!$AH$3:$AH$5001,"&lt;&gt;")=0,"",SUMIFS(BD!$AH$3:$AH$5001,BD!$A$3:$A$5001,L$3,BD!$B$3:$B$5001,$A$5)))</f>
        <v/>
      </c>
      <c r="M24" s="247" t="str">
        <f>IF(M$3="","",IF(COUNTIFS(BD!$A$3:$A$5001,M$3,BD!$B$3:$B$5001,$A$5,BD!$AH$3:$AH$5001,"&lt;&gt;")=0,"",SUMIFS(BD!$AH$3:$AH$5001,BD!$A$3:$A$5001,M$3,BD!$B$3:$B$5001,$A$5)))</f>
        <v/>
      </c>
      <c r="N24" s="247" t="str">
        <f>IF(N$3="","",IF(COUNTIFS(BD!$A$3:$A$5001,N$3,BD!$B$3:$B$5001,$A$5,BD!$AH$3:$AH$5001,"&lt;&gt;")=0,"",SUMIFS(BD!$AH$3:$AH$5001,BD!$A$3:$A$5001,N$3,BD!$B$3:$B$5001,$A$5)))</f>
        <v/>
      </c>
      <c r="O24" s="247" t="str">
        <f>IF(O$3="","",IF(COUNTIFS(BD!$A$3:$A$5001,O$3,BD!$B$3:$B$5001,$A$5,BD!$AH$3:$AH$5001,"&lt;&gt;")=0,"",SUMIFS(BD!$AH$3:$AH$5001,BD!$A$3:$A$5001,O$3,BD!$B$3:$B$5001,$A$5)))</f>
        <v/>
      </c>
      <c r="P24" s="247" t="str">
        <f>IF(P$3="","",IF(COUNTIFS(BD!$A$3:$A$5001,P$3,BD!$B$3:$B$5001,$A$5,BD!$AH$3:$AH$5001,"&lt;&gt;")=0,"",SUMIFS(BD!$AH$3:$AH$5001,BD!$A$3:$A$5001,P$3,BD!$B$3:$B$5001,$A$5)))</f>
        <v/>
      </c>
      <c r="Q24" s="247" t="str">
        <f>IF(Q$3="","",IF(COUNTIFS(BD!$A$3:$A$5001,Q$3,BD!$B$3:$B$5001,$A$5,BD!$AH$3:$AH$5001,"&lt;&gt;")=0,"",SUMIFS(BD!$AH$3:$AH$5001,BD!$A$3:$A$5001,Q$3,BD!$B$3:$B$5001,$A$5)))</f>
        <v/>
      </c>
      <c r="R24" s="247" t="str">
        <f>IF(R$3="","",IF(COUNTIFS(BD!$A$3:$A$5001,R$3,BD!$B$3:$B$5001,$A$5,BD!$AH$3:$AH$5001,"&lt;&gt;")=0,"",SUMIFS(BD!$AH$3:$AH$5001,BD!$A$3:$A$5001,R$3,BD!$B$3:$B$5001,$A$5)))</f>
        <v/>
      </c>
      <c r="S24" s="247" t="str">
        <f>IF(S$3="","",IF(COUNTIFS(BD!$A$3:$A$5001,S$3,BD!$B$3:$B$5001,$A$5,BD!$AH$3:$AH$5001,"&lt;&gt;")=0,"",SUMIFS(BD!$AH$3:$AH$5001,BD!$A$3:$A$5001,S$3,BD!$B$3:$B$5001,$A$5)))</f>
        <v/>
      </c>
      <c r="T24" s="247" t="str">
        <f>IF(T$3="","",IF(COUNTIFS(BD!$A$3:$A$5001,T$3,BD!$B$3:$B$5001,$A$5,BD!$AH$3:$AH$5001,"&lt;&gt;")=0,"",SUMIFS(BD!$AH$3:$AH$5001,BD!$A$3:$A$5001,T$3,BD!$B$3:$B$5001,$A$5)))</f>
        <v/>
      </c>
      <c r="U24" s="247" t="str">
        <f>IF(U$3="","",IF(COUNTIFS(BD!$A$3:$A$5001,U$3,BD!$B$3:$B$5001,$A$5,BD!$AH$3:$AH$5001,"&lt;&gt;")=0,"",SUMIFS(BD!$AH$3:$AH$5001,BD!$A$3:$A$5001,U$3,BD!$B$3:$B$5001,$A$5)))</f>
        <v/>
      </c>
      <c r="V24" s="247" t="str">
        <f>IF(V$3="","",IF(COUNTIFS(BD!$A$3:$A$5001,V$3,BD!$B$3:$B$5001,$A$5,BD!$AH$3:$AH$5001,"&lt;&gt;")=0,"",SUMIFS(BD!$AH$3:$AH$5001,BD!$A$3:$A$5001,V$3,BD!$B$3:$B$5001,$A$5)))</f>
        <v/>
      </c>
      <c r="W24" s="247" t="str">
        <f>IF(W$3="","",IF(COUNTIFS(BD!$A$3:$A$5001,W$3,BD!$B$3:$B$5001,$A$5,BD!$AH$3:$AH$5001,"&lt;&gt;")=0,"",SUMIFS(BD!$AH$3:$AH$5001,BD!$A$3:$A$5001,W$3,BD!$B$3:$B$5001,$A$5)))</f>
        <v/>
      </c>
      <c r="X24" s="247" t="str">
        <f>IF(X$3="","",IF(COUNTIFS(BD!$A$3:$A$5001,X$3,BD!$B$3:$B$5001,$A$5,BD!$AH$3:$AH$5001,"&lt;&gt;")=0,"",SUMIFS(BD!$AH$3:$AH$5001,BD!$A$3:$A$5001,X$3,BD!$B$3:$B$5001,$A$5)))</f>
        <v/>
      </c>
      <c r="Y24" s="247" t="str">
        <f>IF(Y$3="","",IF(COUNTIFS(BD!$A$3:$A$5001,Y$3,BD!$B$3:$B$5001,$A$5,BD!$AH$3:$AH$5001,"&lt;&gt;")=0,"",SUMIFS(BD!$AH$3:$AH$5001,BD!$A$3:$A$5001,Y$3,BD!$B$3:$B$5001,$A$5)))</f>
        <v/>
      </c>
      <c r="Z24" s="247" t="str">
        <f>IF(Z$3="","",IF(COUNTIFS(BD!$A$3:$A$5001,Z$3,BD!$B$3:$B$5001,$A$5,BD!$AH$3:$AH$5001,"&lt;&gt;")=0,"",SUMIFS(BD!$AH$3:$AH$5001,BD!$A$3:$A$5001,Z$3,BD!$B$3:$B$5001,$A$5)))</f>
        <v/>
      </c>
      <c r="AA24" s="247" t="str">
        <f>IF(AA$3="","",IF(COUNTIFS(BD!$A$3:$A$5001,AA$3,BD!$B$3:$B$5001,$A$5,BD!$AH$3:$AH$5001,"&lt;&gt;")=0,"",SUMIFS(BD!$AH$3:$AH$5001,BD!$A$3:$A$5001,AA$3,BD!$B$3:$B$5001,$A$5)))</f>
        <v/>
      </c>
      <c r="AB24" s="247" t="str">
        <f>IF(AB$3="","",IF(COUNTIFS(BD!$A$3:$A$5001,AB$3,BD!$B$3:$B$5001,$A$5,BD!$AH$3:$AH$5001,"&lt;&gt;")=0,"",SUMIFS(BD!$AH$3:$AH$5001,BD!$A$3:$A$5001,AB$3,BD!$B$3:$B$5001,$A$5)))</f>
        <v/>
      </c>
      <c r="AC24" s="247" t="str">
        <f>IF(AC$3="","",IF(COUNTIFS(BD!$A$3:$A$5001,AC$3,BD!$B$3:$B$5001,$A$5,BD!$AH$3:$AH$5001,"&lt;&gt;")=0,"",SUMIFS(BD!$AH$3:$AH$5001,BD!$A$3:$A$5001,AC$3,BD!$B$3:$B$5001,$A$5)))</f>
        <v/>
      </c>
      <c r="AD24" s="247" t="str">
        <f>IF(AD$3="","",IF(COUNTIFS(BD!$A$3:$A$5001,AD$3,BD!$B$3:$B$5001,$A$5,BD!$AH$3:$AH$5001,"&lt;&gt;")=0,"",SUMIFS(BD!$AH$3:$AH$5001,BD!$A$3:$A$5001,AD$3,BD!$B$3:$B$5001,$A$5)))</f>
        <v/>
      </c>
      <c r="AE24" s="247" t="str">
        <f>IF(AE$3="","",IF(COUNTIFS(BD!$A$3:$A$5001,AE$3,BD!$B$3:$B$5001,$A$5,BD!$AH$3:$AH$5001,"&lt;&gt;")=0,"",SUMIFS(BD!$AH$3:$AH$5001,BD!$A$3:$A$5001,AE$3,BD!$B$3:$B$5001,$A$5)))</f>
        <v/>
      </c>
      <c r="AF24" s="247" t="str">
        <f>IF(AF$3="","",IF(COUNTIFS(BD!$A$3:$A$5001,AF$3,BD!$B$3:$B$5001,$A$5,BD!$AH$3:$AH$5001,"&lt;&gt;")=0,"",SUMIFS(BD!$AH$3:$AH$5001,BD!$A$3:$A$5001,AF$3,BD!$B$3:$B$5001,$A$5)))</f>
        <v/>
      </c>
      <c r="AG24" s="247" t="str">
        <f>IF(AG$3="","",IF(COUNTIFS(BD!$A$3:$A$5001,AG$3,BD!$B$3:$B$5001,$A$5,BD!$AH$3:$AH$5001,"&lt;&gt;")=0,"",SUMIFS(BD!$AH$3:$AH$5001,BD!$A$3:$A$5001,AG$3,BD!$B$3:$B$5001,$A$5)))</f>
        <v/>
      </c>
      <c r="AH24" s="247" t="str">
        <f>IF(AH$3="","",IF(COUNTIFS(BD!$A$3:$A$5001,AH$3,BD!$B$3:$B$5001,$A$5,BD!$AH$3:$AH$5001,"&lt;&gt;")=0,"",SUMIFS(BD!$AH$3:$AH$5001,BD!$A$3:$A$5001,AH$3,BD!$B$3:$B$5001,$A$5)))</f>
        <v/>
      </c>
      <c r="AI24" s="247" t="str">
        <f>IF(AI$3="","",IF(COUNTIFS(BD!$A$3:$A$5001,AI$3,BD!$B$3:$B$5001,$A$5,BD!$AH$3:$AH$5001,"&lt;&gt;")=0,"",SUMIFS(BD!$AH$3:$AH$5001,BD!$A$3:$A$5001,AI$3,BD!$B$3:$B$5001,$A$5)))</f>
        <v/>
      </c>
      <c r="AJ24" s="248" t="str">
        <f>IF(AJ$3="","",IF(COUNTIFS(BD!$A$3:$A$5001,AJ$3,BD!$B$3:$B$5001,$A$5,BD!$AH$3:$AH$5001,"&lt;&gt;")=0,"",SUMIFS(BD!$AH$3:$AH$5001,BD!$A$3:$A$5001,AJ$3,BD!$B$3:$B$5001,$A$5)))</f>
        <v/>
      </c>
      <c r="AK24" s="244" t="str">
        <f>IF(COUNT(F24:AJ24)=0,"",SUM(F24:AJ24))</f>
        <v/>
      </c>
    </row>
    <row r="26" ht="15.75" customHeight="1">
      <c r="A26" s="260" t="inlineStr">
        <is>
          <t xml:space="preserve">Basf</t>
        </is>
      </c>
      <c r="B26" s="249" t="inlineStr">
        <is>
          <t xml:space="preserve">IN</t>
        </is>
      </c>
      <c r="C26" s="168" t="inlineStr">
        <is>
          <t xml:space="preserve">Veículos Recebidos</t>
        </is>
      </c>
      <c r="D26" s="169" t="str">
        <f>IFERROR(1/(1/INDEX(BD!$AL$23:$BF$23,MATCH($A$26,BD!$AL$22:$BF$22,0))),"")</f>
        <v/>
      </c>
      <c r="E26" s="170"/>
      <c r="F26" s="171" t="str">
        <f>IF(F$3="","",IF(COUNTIFS(BD!$A$3:$A$5001,F$3,BD!$B$3:$B$5001,$A$26,BD!$C$3:$C$5001,"&lt;&gt;")=0,"",SUMIFS(BD!$C$3:$C$5001,BD!$A$3:$A$5001,F$3,BD!$B$3:$B$5001,$A$26)))</f>
        <v/>
      </c>
      <c r="G26" s="172" t="str">
        <f>IF(G$3="","",IF(COUNTIFS(BD!$A$3:$A$5001,G$3,BD!$B$3:$B$5001,$A$26,BD!$C$3:$C$5001,"&lt;&gt;")=0,"",SUMIFS(BD!$C$3:$C$5001,BD!$A$3:$A$5001,G$3,BD!$B$3:$B$5001,$A$26)))</f>
        <v/>
      </c>
      <c r="H26" s="172" t="str">
        <f>IF(H$3="","",IF(COUNTIFS(BD!$A$3:$A$5001,H$3,BD!$B$3:$B$5001,$A$26,BD!$C$3:$C$5001,"&lt;&gt;")=0,"",SUMIFS(BD!$C$3:$C$5001,BD!$A$3:$A$5001,H$3,BD!$B$3:$B$5001,$A$26)))</f>
        <v/>
      </c>
      <c r="I26" s="172" t="str">
        <f>IF(I$3="","",IF(COUNTIFS(BD!$A$3:$A$5001,I$3,BD!$B$3:$B$5001,$A$26,BD!$C$3:$C$5001,"&lt;&gt;")=0,"",SUMIFS(BD!$C$3:$C$5001,BD!$A$3:$A$5001,I$3,BD!$B$3:$B$5001,$A$26)))</f>
        <v/>
      </c>
      <c r="J26" s="172" t="str">
        <f>IF(J$3="","",IF(COUNTIFS(BD!$A$3:$A$5001,J$3,BD!$B$3:$B$5001,$A$26,BD!$C$3:$C$5001,"&lt;&gt;")=0,"",SUMIFS(BD!$C$3:$C$5001,BD!$A$3:$A$5001,J$3,BD!$B$3:$B$5001,$A$26)))</f>
        <v/>
      </c>
      <c r="K26" s="172" t="str">
        <f>IF(K$3="","",IF(COUNTIFS(BD!$A$3:$A$5001,K$3,BD!$B$3:$B$5001,$A$26,BD!$C$3:$C$5001,"&lt;&gt;")=0,"",SUMIFS(BD!$C$3:$C$5001,BD!$A$3:$A$5001,K$3,BD!$B$3:$B$5001,$A$26)))</f>
        <v/>
      </c>
      <c r="L26" s="172" t="str">
        <f>IF(L$3="","",IF(COUNTIFS(BD!$A$3:$A$5001,L$3,BD!$B$3:$B$5001,$A$26,BD!$C$3:$C$5001,"&lt;&gt;")=0,"",SUMIFS(BD!$C$3:$C$5001,BD!$A$3:$A$5001,L$3,BD!$B$3:$B$5001,$A$26)))</f>
        <v/>
      </c>
      <c r="M26" s="172" t="str">
        <f>IF(M$3="","",IF(COUNTIFS(BD!$A$3:$A$5001,M$3,BD!$B$3:$B$5001,$A$26,BD!$C$3:$C$5001,"&lt;&gt;")=0,"",SUMIFS(BD!$C$3:$C$5001,BD!$A$3:$A$5001,M$3,BD!$B$3:$B$5001,$A$26)))</f>
        <v/>
      </c>
      <c r="N26" s="172" t="str">
        <f>IF(N$3="","",IF(COUNTIFS(BD!$A$3:$A$5001,N$3,BD!$B$3:$B$5001,$A$26,BD!$C$3:$C$5001,"&lt;&gt;")=0,"",SUMIFS(BD!$C$3:$C$5001,BD!$A$3:$A$5001,N$3,BD!$B$3:$B$5001,$A$26)))</f>
        <v/>
      </c>
      <c r="O26" s="172" t="str">
        <f>IF(O$3="","",IF(COUNTIFS(BD!$A$3:$A$5001,O$3,BD!$B$3:$B$5001,$A$26,BD!$C$3:$C$5001,"&lt;&gt;")=0,"",SUMIFS(BD!$C$3:$C$5001,BD!$A$3:$A$5001,O$3,BD!$B$3:$B$5001,$A$26)))</f>
        <v/>
      </c>
      <c r="P26" s="172" t="str">
        <f>IF(P$3="","",IF(COUNTIFS(BD!$A$3:$A$5001,P$3,BD!$B$3:$B$5001,$A$26,BD!$C$3:$C$5001,"&lt;&gt;")=0,"",SUMIFS(BD!$C$3:$C$5001,BD!$A$3:$A$5001,P$3,BD!$B$3:$B$5001,$A$26)))</f>
        <v/>
      </c>
      <c r="Q26" s="172" t="str">
        <f>IF(Q$3="","",IF(COUNTIFS(BD!$A$3:$A$5001,Q$3,BD!$B$3:$B$5001,$A$26,BD!$C$3:$C$5001,"&lt;&gt;")=0,"",SUMIFS(BD!$C$3:$C$5001,BD!$A$3:$A$5001,Q$3,BD!$B$3:$B$5001,$A$26)))</f>
        <v/>
      </c>
      <c r="R26" s="172" t="str">
        <f>IF(R$3="","",IF(COUNTIFS(BD!$A$3:$A$5001,R$3,BD!$B$3:$B$5001,$A$26,BD!$C$3:$C$5001,"&lt;&gt;")=0,"",SUMIFS(BD!$C$3:$C$5001,BD!$A$3:$A$5001,R$3,BD!$B$3:$B$5001,$A$26)))</f>
        <v/>
      </c>
      <c r="S26" s="172" t="str">
        <f>IF(S$3="","",IF(COUNTIFS(BD!$A$3:$A$5001,S$3,BD!$B$3:$B$5001,$A$26,BD!$C$3:$C$5001,"&lt;&gt;")=0,"",SUMIFS(BD!$C$3:$C$5001,BD!$A$3:$A$5001,S$3,BD!$B$3:$B$5001,$A$26)))</f>
        <v/>
      </c>
      <c r="T26" s="172" t="str">
        <f>IF(T$3="","",IF(COUNTIFS(BD!$A$3:$A$5001,T$3,BD!$B$3:$B$5001,$A$26,BD!$C$3:$C$5001,"&lt;&gt;")=0,"",SUMIFS(BD!$C$3:$C$5001,BD!$A$3:$A$5001,T$3,BD!$B$3:$B$5001,$A$26)))</f>
        <v/>
      </c>
      <c r="U26" s="172" t="str">
        <f>IF(U$3="","",IF(COUNTIFS(BD!$A$3:$A$5001,U$3,BD!$B$3:$B$5001,$A$26,BD!$C$3:$C$5001,"&lt;&gt;")=0,"",SUMIFS(BD!$C$3:$C$5001,BD!$A$3:$A$5001,U$3,BD!$B$3:$B$5001,$A$26)))</f>
        <v/>
      </c>
      <c r="V26" s="172" t="str">
        <f>IF(V$3="","",IF(COUNTIFS(BD!$A$3:$A$5001,V$3,BD!$B$3:$B$5001,$A$26,BD!$C$3:$C$5001,"&lt;&gt;")=0,"",SUMIFS(BD!$C$3:$C$5001,BD!$A$3:$A$5001,V$3,BD!$B$3:$B$5001,$A$26)))</f>
        <v/>
      </c>
      <c r="W26" s="172" t="str">
        <f>IF(W$3="","",IF(COUNTIFS(BD!$A$3:$A$5001,W$3,BD!$B$3:$B$5001,$A$26,BD!$C$3:$C$5001,"&lt;&gt;")=0,"",SUMIFS(BD!$C$3:$C$5001,BD!$A$3:$A$5001,W$3,BD!$B$3:$B$5001,$A$26)))</f>
        <v/>
      </c>
      <c r="X26" s="172" t="str">
        <f>IF(X$3="","",IF(COUNTIFS(BD!$A$3:$A$5001,X$3,BD!$B$3:$B$5001,$A$26,BD!$C$3:$C$5001,"&lt;&gt;")=0,"",SUMIFS(BD!$C$3:$C$5001,BD!$A$3:$A$5001,X$3,BD!$B$3:$B$5001,$A$26)))</f>
        <v/>
      </c>
      <c r="Y26" s="172" t="str">
        <f>IF(Y$3="","",IF(COUNTIFS(BD!$A$3:$A$5001,Y$3,BD!$B$3:$B$5001,$A$26,BD!$C$3:$C$5001,"&lt;&gt;")=0,"",SUMIFS(BD!$C$3:$C$5001,BD!$A$3:$A$5001,Y$3,BD!$B$3:$B$5001,$A$26)))</f>
        <v/>
      </c>
      <c r="Z26" s="172" t="str">
        <f>IF(Z$3="","",IF(COUNTIFS(BD!$A$3:$A$5001,Z$3,BD!$B$3:$B$5001,$A$26,BD!$C$3:$C$5001,"&lt;&gt;")=0,"",SUMIFS(BD!$C$3:$C$5001,BD!$A$3:$A$5001,Z$3,BD!$B$3:$B$5001,$A$26)))</f>
        <v/>
      </c>
      <c r="AA26" s="172" t="str">
        <f>IF(AA$3="","",IF(COUNTIFS(BD!$A$3:$A$5001,AA$3,BD!$B$3:$B$5001,$A$26,BD!$C$3:$C$5001,"&lt;&gt;")=0,"",SUMIFS(BD!$C$3:$C$5001,BD!$A$3:$A$5001,AA$3,BD!$B$3:$B$5001,$A$26)))</f>
        <v/>
      </c>
      <c r="AB26" s="172" t="str">
        <f>IF(AB$3="","",IF(COUNTIFS(BD!$A$3:$A$5001,AB$3,BD!$B$3:$B$5001,$A$26,BD!$C$3:$C$5001,"&lt;&gt;")=0,"",SUMIFS(BD!$C$3:$C$5001,BD!$A$3:$A$5001,AB$3,BD!$B$3:$B$5001,$A$26)))</f>
        <v/>
      </c>
      <c r="AC26" s="172" t="str">
        <f>IF(AC$3="","",IF(COUNTIFS(BD!$A$3:$A$5001,AC$3,BD!$B$3:$B$5001,$A$26,BD!$C$3:$C$5001,"&lt;&gt;")=0,"",SUMIFS(BD!$C$3:$C$5001,BD!$A$3:$A$5001,AC$3,BD!$B$3:$B$5001,$A$26)))</f>
        <v/>
      </c>
      <c r="AD26" s="172" t="str">
        <f>IF(AD$3="","",IF(COUNTIFS(BD!$A$3:$A$5001,AD$3,BD!$B$3:$B$5001,$A$26,BD!$C$3:$C$5001,"&lt;&gt;")=0,"",SUMIFS(BD!$C$3:$C$5001,BD!$A$3:$A$5001,AD$3,BD!$B$3:$B$5001,$A$26)))</f>
        <v/>
      </c>
      <c r="AE26" s="172" t="str">
        <f>IF(AE$3="","",IF(COUNTIFS(BD!$A$3:$A$5001,AE$3,BD!$B$3:$B$5001,$A$26,BD!$C$3:$C$5001,"&lt;&gt;")=0,"",SUMIFS(BD!$C$3:$C$5001,BD!$A$3:$A$5001,AE$3,BD!$B$3:$B$5001,$A$26)))</f>
        <v/>
      </c>
      <c r="AF26" s="172" t="str">
        <f>IF(AF$3="","",IF(COUNTIFS(BD!$A$3:$A$5001,AF$3,BD!$B$3:$B$5001,$A$26,BD!$C$3:$C$5001,"&lt;&gt;")=0,"",SUMIFS(BD!$C$3:$C$5001,BD!$A$3:$A$5001,AF$3,BD!$B$3:$B$5001,$A$26)))</f>
        <v/>
      </c>
      <c r="AG26" s="172" t="str">
        <f>IF(AG$3="","",IF(COUNTIFS(BD!$A$3:$A$5001,AG$3,BD!$B$3:$B$5001,$A$26,BD!$C$3:$C$5001,"&lt;&gt;")=0,"",SUMIFS(BD!$C$3:$C$5001,BD!$A$3:$A$5001,AG$3,BD!$B$3:$B$5001,$A$26)))</f>
        <v/>
      </c>
      <c r="AH26" s="172" t="str">
        <f>IF(AH$3="","",IF(COUNTIFS(BD!$A$3:$A$5001,AH$3,BD!$B$3:$B$5001,$A$26,BD!$C$3:$C$5001,"&lt;&gt;")=0,"",SUMIFS(BD!$C$3:$C$5001,BD!$A$3:$A$5001,AH$3,BD!$B$3:$B$5001,$A$26)))</f>
        <v/>
      </c>
      <c r="AI26" s="172" t="str">
        <f>IF(AI$3="","",IF(COUNTIFS(BD!$A$3:$A$5001,AI$3,BD!$B$3:$B$5001,$A$26,BD!$C$3:$C$5001,"&lt;&gt;")=0,"",SUMIFS(BD!$C$3:$C$5001,BD!$A$3:$A$5001,AI$3,BD!$B$3:$B$5001,$A$26)))</f>
        <v/>
      </c>
      <c r="AJ26" s="173" t="str">
        <f>IF(AJ$3="","",IF(COUNTIFS(BD!$A$3:$A$5001,AJ$3,BD!$B$3:$B$5001,$A$26,BD!$C$3:$C$5001,"&lt;&gt;")=0,"",SUMIFS(BD!$C$3:$C$5001,BD!$A$3:$A$5001,AJ$3,BD!$B$3:$B$5001,$A$26)))</f>
        <v/>
      </c>
      <c r="AK26" s="174" t="str">
        <f>IF(COUNT(F26:AJ26)=0,"",SUM(F26:AJ26))</f>
        <v/>
      </c>
    </row>
    <row r="27" ht="15.75" customHeight="1">
      <c r="A27" s="261"/>
      <c r="B27" s="256"/>
      <c r="C27" s="214" t="inlineStr">
        <is>
          <t xml:space="preserve">Pallets Movimentados</t>
        </is>
      </c>
      <c r="D27" s="215" t="str">
        <f>IFERROR(1/(1/INDEX(BD!$AL$24:$BF$24,MATCH($A$26,BD!$AL$22:$BF$22,0))),"")</f>
        <v/>
      </c>
      <c r="E27" s="216"/>
      <c r="F27" s="217" t="str">
        <f>IF(F$3="","",IF(COUNTIFS(BD!$A$3:$A$5001,F$3,BD!$B$3:$B$5001,$A$26,BD!$D$3:$D$5001,"&lt;&gt;")=0,"",SUMIFS(BD!$D$3:$D$5001,BD!$A$3:$A$5001,F$3,BD!$B$3:$B$5001,$A$26)))</f>
        <v/>
      </c>
      <c r="G27" s="218" t="str">
        <f>IF(G$3="","",IF(COUNTIFS(BD!$A$3:$A$5001,G$3,BD!$B$3:$B$5001,$A$26,BD!$D$3:$D$5001,"&lt;&gt;")=0,"",SUMIFS(BD!$D$3:$D$5001,BD!$A$3:$A$5001,G$3,BD!$B$3:$B$5001,$A$26)))</f>
        <v/>
      </c>
      <c r="H27" s="218" t="str">
        <f>IF(H$3="","",IF(COUNTIFS(BD!$A$3:$A$5001,H$3,BD!$B$3:$B$5001,$A$26,BD!$D$3:$D$5001,"&lt;&gt;")=0,"",SUMIFS(BD!$D$3:$D$5001,BD!$A$3:$A$5001,H$3,BD!$B$3:$B$5001,$A$26)))</f>
        <v/>
      </c>
      <c r="I27" s="218" t="str">
        <f>IF(I$3="","",IF(COUNTIFS(BD!$A$3:$A$5001,I$3,BD!$B$3:$B$5001,$A$26,BD!$D$3:$D$5001,"&lt;&gt;")=0,"",SUMIFS(BD!$D$3:$D$5001,BD!$A$3:$A$5001,I$3,BD!$B$3:$B$5001,$A$26)))</f>
        <v/>
      </c>
      <c r="J27" s="218" t="str">
        <f>IF(J$3="","",IF(COUNTIFS(BD!$A$3:$A$5001,J$3,BD!$B$3:$B$5001,$A$26,BD!$D$3:$D$5001,"&lt;&gt;")=0,"",SUMIFS(BD!$D$3:$D$5001,BD!$A$3:$A$5001,J$3,BD!$B$3:$B$5001,$A$26)))</f>
        <v/>
      </c>
      <c r="K27" s="218" t="str">
        <f>IF(K$3="","",IF(COUNTIFS(BD!$A$3:$A$5001,K$3,BD!$B$3:$B$5001,$A$26,BD!$D$3:$D$5001,"&lt;&gt;")=0,"",SUMIFS(BD!$D$3:$D$5001,BD!$A$3:$A$5001,K$3,BD!$B$3:$B$5001,$A$26)))</f>
        <v/>
      </c>
      <c r="L27" s="218" t="str">
        <f>IF(L$3="","",IF(COUNTIFS(BD!$A$3:$A$5001,L$3,BD!$B$3:$B$5001,$A$26,BD!$D$3:$D$5001,"&lt;&gt;")=0,"",SUMIFS(BD!$D$3:$D$5001,BD!$A$3:$A$5001,L$3,BD!$B$3:$B$5001,$A$26)))</f>
        <v/>
      </c>
      <c r="M27" s="218" t="str">
        <f>IF(M$3="","",IF(COUNTIFS(BD!$A$3:$A$5001,M$3,BD!$B$3:$B$5001,$A$26,BD!$D$3:$D$5001,"&lt;&gt;")=0,"",SUMIFS(BD!$D$3:$D$5001,BD!$A$3:$A$5001,M$3,BD!$B$3:$B$5001,$A$26)))</f>
        <v/>
      </c>
      <c r="N27" s="218" t="str">
        <f>IF(N$3="","",IF(COUNTIFS(BD!$A$3:$A$5001,N$3,BD!$B$3:$B$5001,$A$26,BD!$D$3:$D$5001,"&lt;&gt;")=0,"",SUMIFS(BD!$D$3:$D$5001,BD!$A$3:$A$5001,N$3,BD!$B$3:$B$5001,$A$26)))</f>
        <v/>
      </c>
      <c r="O27" s="218" t="str">
        <f>IF(O$3="","",IF(COUNTIFS(BD!$A$3:$A$5001,O$3,BD!$B$3:$B$5001,$A$26,BD!$D$3:$D$5001,"&lt;&gt;")=0,"",SUMIFS(BD!$D$3:$D$5001,BD!$A$3:$A$5001,O$3,BD!$B$3:$B$5001,$A$26)))</f>
        <v/>
      </c>
      <c r="P27" s="218" t="str">
        <f>IF(P$3="","",IF(COUNTIFS(BD!$A$3:$A$5001,P$3,BD!$B$3:$B$5001,$A$26,BD!$D$3:$D$5001,"&lt;&gt;")=0,"",SUMIFS(BD!$D$3:$D$5001,BD!$A$3:$A$5001,P$3,BD!$B$3:$B$5001,$A$26)))</f>
        <v/>
      </c>
      <c r="Q27" s="218" t="str">
        <f>IF(Q$3="","",IF(COUNTIFS(BD!$A$3:$A$5001,Q$3,BD!$B$3:$B$5001,$A$26,BD!$D$3:$D$5001,"&lt;&gt;")=0,"",SUMIFS(BD!$D$3:$D$5001,BD!$A$3:$A$5001,Q$3,BD!$B$3:$B$5001,$A$26)))</f>
        <v/>
      </c>
      <c r="R27" s="218" t="str">
        <f>IF(R$3="","",IF(COUNTIFS(BD!$A$3:$A$5001,R$3,BD!$B$3:$B$5001,$A$26,BD!$D$3:$D$5001,"&lt;&gt;")=0,"",SUMIFS(BD!$D$3:$D$5001,BD!$A$3:$A$5001,R$3,BD!$B$3:$B$5001,$A$26)))</f>
        <v/>
      </c>
      <c r="S27" s="218" t="str">
        <f>IF(S$3="","",IF(COUNTIFS(BD!$A$3:$A$5001,S$3,BD!$B$3:$B$5001,$A$26,BD!$D$3:$D$5001,"&lt;&gt;")=0,"",SUMIFS(BD!$D$3:$D$5001,BD!$A$3:$A$5001,S$3,BD!$B$3:$B$5001,$A$26)))</f>
        <v/>
      </c>
      <c r="T27" s="218" t="str">
        <f>IF(T$3="","",IF(COUNTIFS(BD!$A$3:$A$5001,T$3,BD!$B$3:$B$5001,$A$26,BD!$D$3:$D$5001,"&lt;&gt;")=0,"",SUMIFS(BD!$D$3:$D$5001,BD!$A$3:$A$5001,T$3,BD!$B$3:$B$5001,$A$26)))</f>
        <v/>
      </c>
      <c r="U27" s="218" t="str">
        <f>IF(U$3="","",IF(COUNTIFS(BD!$A$3:$A$5001,U$3,BD!$B$3:$B$5001,$A$26,BD!$D$3:$D$5001,"&lt;&gt;")=0,"",SUMIFS(BD!$D$3:$D$5001,BD!$A$3:$A$5001,U$3,BD!$B$3:$B$5001,$A$26)))</f>
        <v/>
      </c>
      <c r="V27" s="218" t="str">
        <f>IF(V$3="","",IF(COUNTIFS(BD!$A$3:$A$5001,V$3,BD!$B$3:$B$5001,$A$26,BD!$D$3:$D$5001,"&lt;&gt;")=0,"",SUMIFS(BD!$D$3:$D$5001,BD!$A$3:$A$5001,V$3,BD!$B$3:$B$5001,$A$26)))</f>
        <v/>
      </c>
      <c r="W27" s="218" t="str">
        <f>IF(W$3="","",IF(COUNTIFS(BD!$A$3:$A$5001,W$3,BD!$B$3:$B$5001,$A$26,BD!$D$3:$D$5001,"&lt;&gt;")=0,"",SUMIFS(BD!$D$3:$D$5001,BD!$A$3:$A$5001,W$3,BD!$B$3:$B$5001,$A$26)))</f>
        <v/>
      </c>
      <c r="X27" s="218" t="str">
        <f>IF(X$3="","",IF(COUNTIFS(BD!$A$3:$A$5001,X$3,BD!$B$3:$B$5001,$A$26,BD!$D$3:$D$5001,"&lt;&gt;")=0,"",SUMIFS(BD!$D$3:$D$5001,BD!$A$3:$A$5001,X$3,BD!$B$3:$B$5001,$A$26)))</f>
        <v/>
      </c>
      <c r="Y27" s="218" t="str">
        <f>IF(Y$3="","",IF(COUNTIFS(BD!$A$3:$A$5001,Y$3,BD!$B$3:$B$5001,$A$26,BD!$D$3:$D$5001,"&lt;&gt;")=0,"",SUMIFS(BD!$D$3:$D$5001,BD!$A$3:$A$5001,Y$3,BD!$B$3:$B$5001,$A$26)))</f>
        <v/>
      </c>
      <c r="Z27" s="218" t="str">
        <f>IF(Z$3="","",IF(COUNTIFS(BD!$A$3:$A$5001,Z$3,BD!$B$3:$B$5001,$A$26,BD!$D$3:$D$5001,"&lt;&gt;")=0,"",SUMIFS(BD!$D$3:$D$5001,BD!$A$3:$A$5001,Z$3,BD!$B$3:$B$5001,$A$26)))</f>
        <v/>
      </c>
      <c r="AA27" s="218" t="str">
        <f>IF(AA$3="","",IF(COUNTIFS(BD!$A$3:$A$5001,AA$3,BD!$B$3:$B$5001,$A$26,BD!$D$3:$D$5001,"&lt;&gt;")=0,"",SUMIFS(BD!$D$3:$D$5001,BD!$A$3:$A$5001,AA$3,BD!$B$3:$B$5001,$A$26)))</f>
        <v/>
      </c>
      <c r="AB27" s="218" t="str">
        <f>IF(AB$3="","",IF(COUNTIFS(BD!$A$3:$A$5001,AB$3,BD!$B$3:$B$5001,$A$26,BD!$D$3:$D$5001,"&lt;&gt;")=0,"",SUMIFS(BD!$D$3:$D$5001,BD!$A$3:$A$5001,AB$3,BD!$B$3:$B$5001,$A$26)))</f>
        <v/>
      </c>
      <c r="AC27" s="218" t="str">
        <f>IF(AC$3="","",IF(COUNTIFS(BD!$A$3:$A$5001,AC$3,BD!$B$3:$B$5001,$A$26,BD!$D$3:$D$5001,"&lt;&gt;")=0,"",SUMIFS(BD!$D$3:$D$5001,BD!$A$3:$A$5001,AC$3,BD!$B$3:$B$5001,$A$26)))</f>
        <v/>
      </c>
      <c r="AD27" s="218" t="str">
        <f>IF(AD$3="","",IF(COUNTIFS(BD!$A$3:$A$5001,AD$3,BD!$B$3:$B$5001,$A$26,BD!$D$3:$D$5001,"&lt;&gt;")=0,"",SUMIFS(BD!$D$3:$D$5001,BD!$A$3:$A$5001,AD$3,BD!$B$3:$B$5001,$A$26)))</f>
        <v/>
      </c>
      <c r="AE27" s="218" t="str">
        <f>IF(AE$3="","",IF(COUNTIFS(BD!$A$3:$A$5001,AE$3,BD!$B$3:$B$5001,$A$26,BD!$D$3:$D$5001,"&lt;&gt;")=0,"",SUMIFS(BD!$D$3:$D$5001,BD!$A$3:$A$5001,AE$3,BD!$B$3:$B$5001,$A$26)))</f>
        <v/>
      </c>
      <c r="AF27" s="218" t="str">
        <f>IF(AF$3="","",IF(COUNTIFS(BD!$A$3:$A$5001,AF$3,BD!$B$3:$B$5001,$A$26,BD!$D$3:$D$5001,"&lt;&gt;")=0,"",SUMIFS(BD!$D$3:$D$5001,BD!$A$3:$A$5001,AF$3,BD!$B$3:$B$5001,$A$26)))</f>
        <v/>
      </c>
      <c r="AG27" s="218" t="str">
        <f>IF(AG$3="","",IF(COUNTIFS(BD!$A$3:$A$5001,AG$3,BD!$B$3:$B$5001,$A$26,BD!$D$3:$D$5001,"&lt;&gt;")=0,"",SUMIFS(BD!$D$3:$D$5001,BD!$A$3:$A$5001,AG$3,BD!$B$3:$B$5001,$A$26)))</f>
        <v/>
      </c>
      <c r="AH27" s="218" t="str">
        <f>IF(AH$3="","",IF(COUNTIFS(BD!$A$3:$A$5001,AH$3,BD!$B$3:$B$5001,$A$26,BD!$D$3:$D$5001,"&lt;&gt;")=0,"",SUMIFS(BD!$D$3:$D$5001,BD!$A$3:$A$5001,AH$3,BD!$B$3:$B$5001,$A$26)))</f>
        <v/>
      </c>
      <c r="AI27" s="218" t="str">
        <f>IF(AI$3="","",IF(COUNTIFS(BD!$A$3:$A$5001,AI$3,BD!$B$3:$B$5001,$A$26,BD!$D$3:$D$5001,"&lt;&gt;")=0,"",SUMIFS(BD!$D$3:$D$5001,BD!$A$3:$A$5001,AI$3,BD!$B$3:$B$5001,$A$26)))</f>
        <v/>
      </c>
      <c r="AJ27" s="219" t="str">
        <f>IF(AJ$3="","",IF(COUNTIFS(BD!$A$3:$A$5001,AJ$3,BD!$B$3:$B$5001,$A$26,BD!$D$3:$D$5001,"&lt;&gt;")=0,"",SUMIFS(BD!$D$3:$D$5001,BD!$A$3:$A$5001,AJ$3,BD!$B$3:$B$5001,$A$26)))</f>
        <v/>
      </c>
      <c r="AK27" s="220" t="str">
        <f>IF(COUNT(F27:AJ27)=0,"",SUM(F27:AJ27))</f>
        <v/>
      </c>
    </row>
    <row r="28" ht="15.75" customHeight="1">
      <c r="A28" s="261"/>
      <c r="B28" s="250"/>
      <c r="C28" s="175" t="inlineStr">
        <is>
          <t xml:space="preserve">Toneladas Movimentadas</t>
        </is>
      </c>
      <c r="D28" s="176" t="str">
        <f>IFERROR(1/(1/INDEX(BD!$AL$25:$BF$25,MATCH($A$26,BD!$AL$22:$BF$22,0))),"")</f>
        <v/>
      </c>
      <c r="E28" s="177"/>
      <c r="F28" s="263" t="str">
        <f>IF(F$3="","",IF(COUNTIFS(BD!$A$3:$A$5001,F$3,BD!$B$3:$B$5001,$A$26,BD!$E$3:$E$5001,"&lt;&gt;")=0,"",SUMIFS(BD!$E$3:$E$5001,BD!$A$3:$A$5001,F$3,BD!$B$3:$B$5001,$A$26)))</f>
        <v/>
      </c>
      <c r="G28" s="264" t="str">
        <f>IF(G$3="","",IF(COUNTIFS(BD!$A$3:$A$5001,G$3,BD!$B$3:$B$5001,$A$26,BD!$E$3:$E$5001,"&lt;&gt;")=0,"",SUMIFS(BD!$E$3:$E$5001,BD!$A$3:$A$5001,G$3,BD!$B$3:$B$5001,$A$26)))</f>
        <v/>
      </c>
      <c r="H28" s="264" t="str">
        <f>IF(H$3="","",IF(COUNTIFS(BD!$A$3:$A$5001,H$3,BD!$B$3:$B$5001,$A$26,BD!$E$3:$E$5001,"&lt;&gt;")=0,"",SUMIFS(BD!$E$3:$E$5001,BD!$A$3:$A$5001,H$3,BD!$B$3:$B$5001,$A$26)))</f>
        <v/>
      </c>
      <c r="I28" s="264" t="str">
        <f>IF(I$3="","",IF(COUNTIFS(BD!$A$3:$A$5001,I$3,BD!$B$3:$B$5001,$A$26,BD!$E$3:$E$5001,"&lt;&gt;")=0,"",SUMIFS(BD!$E$3:$E$5001,BD!$A$3:$A$5001,I$3,BD!$B$3:$B$5001,$A$26)))</f>
        <v/>
      </c>
      <c r="J28" s="264" t="str">
        <f>IF(J$3="","",IF(COUNTIFS(BD!$A$3:$A$5001,J$3,BD!$B$3:$B$5001,$A$26,BD!$E$3:$E$5001,"&lt;&gt;")=0,"",SUMIFS(BD!$E$3:$E$5001,BD!$A$3:$A$5001,J$3,BD!$B$3:$B$5001,$A$26)))</f>
        <v/>
      </c>
      <c r="K28" s="264" t="str">
        <f>IF(K$3="","",IF(COUNTIFS(BD!$A$3:$A$5001,K$3,BD!$B$3:$B$5001,$A$26,BD!$E$3:$E$5001,"&lt;&gt;")=0,"",SUMIFS(BD!$E$3:$E$5001,BD!$A$3:$A$5001,K$3,BD!$B$3:$B$5001,$A$26)))</f>
        <v/>
      </c>
      <c r="L28" s="264" t="str">
        <f>IF(L$3="","",IF(COUNTIFS(BD!$A$3:$A$5001,L$3,BD!$B$3:$B$5001,$A$26,BD!$E$3:$E$5001,"&lt;&gt;")=0,"",SUMIFS(BD!$E$3:$E$5001,BD!$A$3:$A$5001,L$3,BD!$B$3:$B$5001,$A$26)))</f>
        <v/>
      </c>
      <c r="M28" s="264" t="str">
        <f>IF(M$3="","",IF(COUNTIFS(BD!$A$3:$A$5001,M$3,BD!$B$3:$B$5001,$A$26,BD!$E$3:$E$5001,"&lt;&gt;")=0,"",SUMIFS(BD!$E$3:$E$5001,BD!$A$3:$A$5001,M$3,BD!$B$3:$B$5001,$A$26)))</f>
        <v/>
      </c>
      <c r="N28" s="264" t="str">
        <f>IF(N$3="","",IF(COUNTIFS(BD!$A$3:$A$5001,N$3,BD!$B$3:$B$5001,$A$26,BD!$E$3:$E$5001,"&lt;&gt;")=0,"",SUMIFS(BD!$E$3:$E$5001,BD!$A$3:$A$5001,N$3,BD!$B$3:$B$5001,$A$26)))</f>
        <v/>
      </c>
      <c r="O28" s="264" t="str">
        <f>IF(O$3="","",IF(COUNTIFS(BD!$A$3:$A$5001,O$3,BD!$B$3:$B$5001,$A$26,BD!$E$3:$E$5001,"&lt;&gt;")=0,"",SUMIFS(BD!$E$3:$E$5001,BD!$A$3:$A$5001,O$3,BD!$B$3:$B$5001,$A$26)))</f>
        <v/>
      </c>
      <c r="P28" s="264" t="str">
        <f>IF(P$3="","",IF(COUNTIFS(BD!$A$3:$A$5001,P$3,BD!$B$3:$B$5001,$A$26,BD!$E$3:$E$5001,"&lt;&gt;")=0,"",SUMIFS(BD!$E$3:$E$5001,BD!$A$3:$A$5001,P$3,BD!$B$3:$B$5001,$A$26)))</f>
        <v/>
      </c>
      <c r="Q28" s="264" t="str">
        <f>IF(Q$3="","",IF(COUNTIFS(BD!$A$3:$A$5001,Q$3,BD!$B$3:$B$5001,$A$26,BD!$E$3:$E$5001,"&lt;&gt;")=0,"",SUMIFS(BD!$E$3:$E$5001,BD!$A$3:$A$5001,Q$3,BD!$B$3:$B$5001,$A$26)))</f>
        <v/>
      </c>
      <c r="R28" s="264" t="str">
        <f>IF(R$3="","",IF(COUNTIFS(BD!$A$3:$A$5001,R$3,BD!$B$3:$B$5001,$A$26,BD!$E$3:$E$5001,"&lt;&gt;")=0,"",SUMIFS(BD!$E$3:$E$5001,BD!$A$3:$A$5001,R$3,BD!$B$3:$B$5001,$A$26)))</f>
        <v/>
      </c>
      <c r="S28" s="264" t="str">
        <f>IF(S$3="","",IF(COUNTIFS(BD!$A$3:$A$5001,S$3,BD!$B$3:$B$5001,$A$26,BD!$E$3:$E$5001,"&lt;&gt;")=0,"",SUMIFS(BD!$E$3:$E$5001,BD!$A$3:$A$5001,S$3,BD!$B$3:$B$5001,$A$26)))</f>
        <v/>
      </c>
      <c r="T28" s="264" t="str">
        <f>IF(T$3="","",IF(COUNTIFS(BD!$A$3:$A$5001,T$3,BD!$B$3:$B$5001,$A$26,BD!$E$3:$E$5001,"&lt;&gt;")=0,"",SUMIFS(BD!$E$3:$E$5001,BD!$A$3:$A$5001,T$3,BD!$B$3:$B$5001,$A$26)))</f>
        <v/>
      </c>
      <c r="U28" s="264" t="str">
        <f>IF(U$3="","",IF(COUNTIFS(BD!$A$3:$A$5001,U$3,BD!$B$3:$B$5001,$A$26,BD!$E$3:$E$5001,"&lt;&gt;")=0,"",SUMIFS(BD!$E$3:$E$5001,BD!$A$3:$A$5001,U$3,BD!$B$3:$B$5001,$A$26)))</f>
        <v/>
      </c>
      <c r="V28" s="264" t="str">
        <f>IF(V$3="","",IF(COUNTIFS(BD!$A$3:$A$5001,V$3,BD!$B$3:$B$5001,$A$26,BD!$E$3:$E$5001,"&lt;&gt;")=0,"",SUMIFS(BD!$E$3:$E$5001,BD!$A$3:$A$5001,V$3,BD!$B$3:$B$5001,$A$26)))</f>
        <v/>
      </c>
      <c r="W28" s="264" t="str">
        <f>IF(W$3="","",IF(COUNTIFS(BD!$A$3:$A$5001,W$3,BD!$B$3:$B$5001,$A$26,BD!$E$3:$E$5001,"&lt;&gt;")=0,"",SUMIFS(BD!$E$3:$E$5001,BD!$A$3:$A$5001,W$3,BD!$B$3:$B$5001,$A$26)))</f>
        <v/>
      </c>
      <c r="X28" s="264" t="str">
        <f>IF(X$3="","",IF(COUNTIFS(BD!$A$3:$A$5001,X$3,BD!$B$3:$B$5001,$A$26,BD!$E$3:$E$5001,"&lt;&gt;")=0,"",SUMIFS(BD!$E$3:$E$5001,BD!$A$3:$A$5001,X$3,BD!$B$3:$B$5001,$A$26)))</f>
        <v/>
      </c>
      <c r="Y28" s="264" t="str">
        <f>IF(Y$3="","",IF(COUNTIFS(BD!$A$3:$A$5001,Y$3,BD!$B$3:$B$5001,$A$26,BD!$E$3:$E$5001,"&lt;&gt;")=0,"",SUMIFS(BD!$E$3:$E$5001,BD!$A$3:$A$5001,Y$3,BD!$B$3:$B$5001,$A$26)))</f>
        <v/>
      </c>
      <c r="Z28" s="264" t="str">
        <f>IF(Z$3="","",IF(COUNTIFS(BD!$A$3:$A$5001,Z$3,BD!$B$3:$B$5001,$A$26,BD!$E$3:$E$5001,"&lt;&gt;")=0,"",SUMIFS(BD!$E$3:$E$5001,BD!$A$3:$A$5001,Z$3,BD!$B$3:$B$5001,$A$26)))</f>
        <v/>
      </c>
      <c r="AA28" s="264" t="str">
        <f>IF(AA$3="","",IF(COUNTIFS(BD!$A$3:$A$5001,AA$3,BD!$B$3:$B$5001,$A$26,BD!$E$3:$E$5001,"&lt;&gt;")=0,"",SUMIFS(BD!$E$3:$E$5001,BD!$A$3:$A$5001,AA$3,BD!$B$3:$B$5001,$A$26)))</f>
        <v/>
      </c>
      <c r="AB28" s="264" t="str">
        <f>IF(AB$3="","",IF(COUNTIFS(BD!$A$3:$A$5001,AB$3,BD!$B$3:$B$5001,$A$26,BD!$E$3:$E$5001,"&lt;&gt;")=0,"",SUMIFS(BD!$E$3:$E$5001,BD!$A$3:$A$5001,AB$3,BD!$B$3:$B$5001,$A$26)))</f>
        <v/>
      </c>
      <c r="AC28" s="264" t="str">
        <f>IF(AC$3="","",IF(COUNTIFS(BD!$A$3:$A$5001,AC$3,BD!$B$3:$B$5001,$A$26,BD!$E$3:$E$5001,"&lt;&gt;")=0,"",SUMIFS(BD!$E$3:$E$5001,BD!$A$3:$A$5001,AC$3,BD!$B$3:$B$5001,$A$26)))</f>
        <v/>
      </c>
      <c r="AD28" s="264" t="str">
        <f>IF(AD$3="","",IF(COUNTIFS(BD!$A$3:$A$5001,AD$3,BD!$B$3:$B$5001,$A$26,BD!$E$3:$E$5001,"&lt;&gt;")=0,"",SUMIFS(BD!$E$3:$E$5001,BD!$A$3:$A$5001,AD$3,BD!$B$3:$B$5001,$A$26)))</f>
        <v/>
      </c>
      <c r="AE28" s="264" t="str">
        <f>IF(AE$3="","",IF(COUNTIFS(BD!$A$3:$A$5001,AE$3,BD!$B$3:$B$5001,$A$26,BD!$E$3:$E$5001,"&lt;&gt;")=0,"",SUMIFS(BD!$E$3:$E$5001,BD!$A$3:$A$5001,AE$3,BD!$B$3:$B$5001,$A$26)))</f>
        <v/>
      </c>
      <c r="AF28" s="264" t="str">
        <f>IF(AF$3="","",IF(COUNTIFS(BD!$A$3:$A$5001,AF$3,BD!$B$3:$B$5001,$A$26,BD!$E$3:$E$5001,"&lt;&gt;")=0,"",SUMIFS(BD!$E$3:$E$5001,BD!$A$3:$A$5001,AF$3,BD!$B$3:$B$5001,$A$26)))</f>
        <v/>
      </c>
      <c r="AG28" s="264" t="str">
        <f>IF(AG$3="","",IF(COUNTIFS(BD!$A$3:$A$5001,AG$3,BD!$B$3:$B$5001,$A$26,BD!$E$3:$E$5001,"&lt;&gt;")=0,"",SUMIFS(BD!$E$3:$E$5001,BD!$A$3:$A$5001,AG$3,BD!$B$3:$B$5001,$A$26)))</f>
        <v/>
      </c>
      <c r="AH28" s="264" t="str">
        <f>IF(AH$3="","",IF(COUNTIFS(BD!$A$3:$A$5001,AH$3,BD!$B$3:$B$5001,$A$26,BD!$E$3:$E$5001,"&lt;&gt;")=0,"",SUMIFS(BD!$E$3:$E$5001,BD!$A$3:$A$5001,AH$3,BD!$B$3:$B$5001,$A$26)))</f>
        <v/>
      </c>
      <c r="AI28" s="264" t="str">
        <f>IF(AI$3="","",IF(COUNTIFS(BD!$A$3:$A$5001,AI$3,BD!$B$3:$B$5001,$A$26,BD!$E$3:$E$5001,"&lt;&gt;")=0,"",SUMIFS(BD!$E$3:$E$5001,BD!$A$3:$A$5001,AI$3,BD!$B$3:$B$5001,$A$26)))</f>
        <v/>
      </c>
      <c r="AJ28" s="265" t="str">
        <f>IF(AJ$3="","",IF(COUNTIFS(BD!$A$3:$A$5001,AJ$3,BD!$B$3:$B$5001,$A$26,BD!$E$3:$E$5001,"&lt;&gt;")=0,"",SUMIFS(BD!$E$3:$E$5001,BD!$A$3:$A$5001,AJ$3,BD!$B$3:$B$5001,$A$26)))</f>
        <v/>
      </c>
      <c r="AK28" s="266" t="str">
        <f>IF(COUNT(F28:AJ28)=0,"",SUM(F28:AJ28))</f>
        <v/>
      </c>
    </row>
    <row r="29" ht="15.75" customHeight="1">
      <c r="A29" s="261"/>
      <c r="B29" s="251" t="inlineStr">
        <is>
          <t xml:space="preserve">OUT</t>
        </is>
      </c>
      <c r="C29" s="181" t="inlineStr">
        <is>
          <t xml:space="preserve">Veículos Expedidos</t>
        </is>
      </c>
      <c r="D29" s="182" t="str">
        <f>IFERROR(1/(1/INDEX(BD!$AL$32:$BF$32,MATCH($A$26,BD!$AL$22:$BF$22,0))),"")</f>
        <v/>
      </c>
      <c r="E29" s="183"/>
      <c r="F29" s="184" t="str">
        <f>IF(F$3="","",IF(COUNTIFS(BD!$A$3:$A$5001,F$3,BD!$B$3:$B$5001,$A$26,BD!$L$3:$L$5001,"&lt;&gt;")=0,"",SUMIFS(BD!$L$3:$L$5001,BD!$A$3:$A$5001,F$3,BD!$B$3:$B$5001,$A$26)))</f>
        <v/>
      </c>
      <c r="G29" s="185" t="str">
        <f>IF(G$3="","",IF(COUNTIFS(BD!$A$3:$A$5001,G$3,BD!$B$3:$B$5001,$A$26,BD!$L$3:$L$5001,"&lt;&gt;")=0,"",SUMIFS(BD!$L$3:$L$5001,BD!$A$3:$A$5001,G$3,BD!$B$3:$B$5001,$A$26)))</f>
        <v/>
      </c>
      <c r="H29" s="185" t="str">
        <f>IF(H$3="","",IF(COUNTIFS(BD!$A$3:$A$5001,H$3,BD!$B$3:$B$5001,$A$26,BD!$L$3:$L$5001,"&lt;&gt;")=0,"",SUMIFS(BD!$L$3:$L$5001,BD!$A$3:$A$5001,H$3,BD!$B$3:$B$5001,$A$26)))</f>
        <v/>
      </c>
      <c r="I29" s="185" t="str">
        <f>IF(I$3="","",IF(COUNTIFS(BD!$A$3:$A$5001,I$3,BD!$B$3:$B$5001,$A$26,BD!$L$3:$L$5001,"&lt;&gt;")=0,"",SUMIFS(BD!$L$3:$L$5001,BD!$A$3:$A$5001,I$3,BD!$B$3:$B$5001,$A$26)))</f>
        <v/>
      </c>
      <c r="J29" s="185" t="str">
        <f>IF(J$3="","",IF(COUNTIFS(BD!$A$3:$A$5001,J$3,BD!$B$3:$B$5001,$A$26,BD!$L$3:$L$5001,"&lt;&gt;")=0,"",SUMIFS(BD!$L$3:$L$5001,BD!$A$3:$A$5001,J$3,BD!$B$3:$B$5001,$A$26)))</f>
        <v/>
      </c>
      <c r="K29" s="185" t="str">
        <f>IF(K$3="","",IF(COUNTIFS(BD!$A$3:$A$5001,K$3,BD!$B$3:$B$5001,$A$26,BD!$L$3:$L$5001,"&lt;&gt;")=0,"",SUMIFS(BD!$L$3:$L$5001,BD!$A$3:$A$5001,K$3,BD!$B$3:$B$5001,$A$26)))</f>
        <v/>
      </c>
      <c r="L29" s="185" t="str">
        <f>IF(L$3="","",IF(COUNTIFS(BD!$A$3:$A$5001,L$3,BD!$B$3:$B$5001,$A$26,BD!$L$3:$L$5001,"&lt;&gt;")=0,"",SUMIFS(BD!$L$3:$L$5001,BD!$A$3:$A$5001,L$3,BD!$B$3:$B$5001,$A$26)))</f>
        <v/>
      </c>
      <c r="M29" s="185" t="str">
        <f>IF(M$3="","",IF(COUNTIFS(BD!$A$3:$A$5001,M$3,BD!$B$3:$B$5001,$A$26,BD!$L$3:$L$5001,"&lt;&gt;")=0,"",SUMIFS(BD!$L$3:$L$5001,BD!$A$3:$A$5001,M$3,BD!$B$3:$B$5001,$A$26)))</f>
        <v/>
      </c>
      <c r="N29" s="185" t="str">
        <f>IF(N$3="","",IF(COUNTIFS(BD!$A$3:$A$5001,N$3,BD!$B$3:$B$5001,$A$26,BD!$L$3:$L$5001,"&lt;&gt;")=0,"",SUMIFS(BD!$L$3:$L$5001,BD!$A$3:$A$5001,N$3,BD!$B$3:$B$5001,$A$26)))</f>
        <v/>
      </c>
      <c r="O29" s="185" t="str">
        <f>IF(O$3="","",IF(COUNTIFS(BD!$A$3:$A$5001,O$3,BD!$B$3:$B$5001,$A$26,BD!$L$3:$L$5001,"&lt;&gt;")=0,"",SUMIFS(BD!$L$3:$L$5001,BD!$A$3:$A$5001,O$3,BD!$B$3:$B$5001,$A$26)))</f>
        <v/>
      </c>
      <c r="P29" s="185" t="str">
        <f>IF(P$3="","",IF(COUNTIFS(BD!$A$3:$A$5001,P$3,BD!$B$3:$B$5001,$A$26,BD!$L$3:$L$5001,"&lt;&gt;")=0,"",SUMIFS(BD!$L$3:$L$5001,BD!$A$3:$A$5001,P$3,BD!$B$3:$B$5001,$A$26)))</f>
        <v/>
      </c>
      <c r="Q29" s="185" t="str">
        <f>IF(Q$3="","",IF(COUNTIFS(BD!$A$3:$A$5001,Q$3,BD!$B$3:$B$5001,$A$26,BD!$L$3:$L$5001,"&lt;&gt;")=0,"",SUMIFS(BD!$L$3:$L$5001,BD!$A$3:$A$5001,Q$3,BD!$B$3:$B$5001,$A$26)))</f>
        <v/>
      </c>
      <c r="R29" s="185" t="str">
        <f>IF(R$3="","",IF(COUNTIFS(BD!$A$3:$A$5001,R$3,BD!$B$3:$B$5001,$A$26,BD!$L$3:$L$5001,"&lt;&gt;")=0,"",SUMIFS(BD!$L$3:$L$5001,BD!$A$3:$A$5001,R$3,BD!$B$3:$B$5001,$A$26)))</f>
        <v/>
      </c>
      <c r="S29" s="185" t="str">
        <f>IF(S$3="","",IF(COUNTIFS(BD!$A$3:$A$5001,S$3,BD!$B$3:$B$5001,$A$26,BD!$L$3:$L$5001,"&lt;&gt;")=0,"",SUMIFS(BD!$L$3:$L$5001,BD!$A$3:$A$5001,S$3,BD!$B$3:$B$5001,$A$26)))</f>
        <v/>
      </c>
      <c r="T29" s="185" t="str">
        <f>IF(T$3="","",IF(COUNTIFS(BD!$A$3:$A$5001,T$3,BD!$B$3:$B$5001,$A$26,BD!$L$3:$L$5001,"&lt;&gt;")=0,"",SUMIFS(BD!$L$3:$L$5001,BD!$A$3:$A$5001,T$3,BD!$B$3:$B$5001,$A$26)))</f>
        <v/>
      </c>
      <c r="U29" s="185" t="str">
        <f>IF(U$3="","",IF(COUNTIFS(BD!$A$3:$A$5001,U$3,BD!$B$3:$B$5001,$A$26,BD!$L$3:$L$5001,"&lt;&gt;")=0,"",SUMIFS(BD!$L$3:$L$5001,BD!$A$3:$A$5001,U$3,BD!$B$3:$B$5001,$A$26)))</f>
        <v/>
      </c>
      <c r="V29" s="185" t="str">
        <f>IF(V$3="","",IF(COUNTIFS(BD!$A$3:$A$5001,V$3,BD!$B$3:$B$5001,$A$26,BD!$L$3:$L$5001,"&lt;&gt;")=0,"",SUMIFS(BD!$L$3:$L$5001,BD!$A$3:$A$5001,V$3,BD!$B$3:$B$5001,$A$26)))</f>
        <v/>
      </c>
      <c r="W29" s="185" t="str">
        <f>IF(W$3="","",IF(COUNTIFS(BD!$A$3:$A$5001,W$3,BD!$B$3:$B$5001,$A$26,BD!$L$3:$L$5001,"&lt;&gt;")=0,"",SUMIFS(BD!$L$3:$L$5001,BD!$A$3:$A$5001,W$3,BD!$B$3:$B$5001,$A$26)))</f>
        <v/>
      </c>
      <c r="X29" s="185" t="str">
        <f>IF(X$3="","",IF(COUNTIFS(BD!$A$3:$A$5001,X$3,BD!$B$3:$B$5001,$A$26,BD!$L$3:$L$5001,"&lt;&gt;")=0,"",SUMIFS(BD!$L$3:$L$5001,BD!$A$3:$A$5001,X$3,BD!$B$3:$B$5001,$A$26)))</f>
        <v/>
      </c>
      <c r="Y29" s="185" t="str">
        <f>IF(Y$3="","",IF(COUNTIFS(BD!$A$3:$A$5001,Y$3,BD!$B$3:$B$5001,$A$26,BD!$L$3:$L$5001,"&lt;&gt;")=0,"",SUMIFS(BD!$L$3:$L$5001,BD!$A$3:$A$5001,Y$3,BD!$B$3:$B$5001,$A$26)))</f>
        <v/>
      </c>
      <c r="Z29" s="185" t="str">
        <f>IF(Z$3="","",IF(COUNTIFS(BD!$A$3:$A$5001,Z$3,BD!$B$3:$B$5001,$A$26,BD!$L$3:$L$5001,"&lt;&gt;")=0,"",SUMIFS(BD!$L$3:$L$5001,BD!$A$3:$A$5001,Z$3,BD!$B$3:$B$5001,$A$26)))</f>
        <v/>
      </c>
      <c r="AA29" s="185" t="str">
        <f>IF(AA$3="","",IF(COUNTIFS(BD!$A$3:$A$5001,AA$3,BD!$B$3:$B$5001,$A$26,BD!$L$3:$L$5001,"&lt;&gt;")=0,"",SUMIFS(BD!$L$3:$L$5001,BD!$A$3:$A$5001,AA$3,BD!$B$3:$B$5001,$A$26)))</f>
        <v/>
      </c>
      <c r="AB29" s="185" t="str">
        <f>IF(AB$3="","",IF(COUNTIFS(BD!$A$3:$A$5001,AB$3,BD!$B$3:$B$5001,$A$26,BD!$L$3:$L$5001,"&lt;&gt;")=0,"",SUMIFS(BD!$L$3:$L$5001,BD!$A$3:$A$5001,AB$3,BD!$B$3:$B$5001,$A$26)))</f>
        <v/>
      </c>
      <c r="AC29" s="185" t="str">
        <f>IF(AC$3="","",IF(COUNTIFS(BD!$A$3:$A$5001,AC$3,BD!$B$3:$B$5001,$A$26,BD!$L$3:$L$5001,"&lt;&gt;")=0,"",SUMIFS(BD!$L$3:$L$5001,BD!$A$3:$A$5001,AC$3,BD!$B$3:$B$5001,$A$26)))</f>
        <v/>
      </c>
      <c r="AD29" s="185" t="str">
        <f>IF(AD$3="","",IF(COUNTIFS(BD!$A$3:$A$5001,AD$3,BD!$B$3:$B$5001,$A$26,BD!$L$3:$L$5001,"&lt;&gt;")=0,"",SUMIFS(BD!$L$3:$L$5001,BD!$A$3:$A$5001,AD$3,BD!$B$3:$B$5001,$A$26)))</f>
        <v/>
      </c>
      <c r="AE29" s="185" t="str">
        <f>IF(AE$3="","",IF(COUNTIFS(BD!$A$3:$A$5001,AE$3,BD!$B$3:$B$5001,$A$26,BD!$L$3:$L$5001,"&lt;&gt;")=0,"",SUMIFS(BD!$L$3:$L$5001,BD!$A$3:$A$5001,AE$3,BD!$B$3:$B$5001,$A$26)))</f>
        <v/>
      </c>
      <c r="AF29" s="185" t="str">
        <f>IF(AF$3="","",IF(COUNTIFS(BD!$A$3:$A$5001,AF$3,BD!$B$3:$B$5001,$A$26,BD!$L$3:$L$5001,"&lt;&gt;")=0,"",SUMIFS(BD!$L$3:$L$5001,BD!$A$3:$A$5001,AF$3,BD!$B$3:$B$5001,$A$26)))</f>
        <v/>
      </c>
      <c r="AG29" s="185" t="str">
        <f>IF(AG$3="","",IF(COUNTIFS(BD!$A$3:$A$5001,AG$3,BD!$B$3:$B$5001,$A$26,BD!$L$3:$L$5001,"&lt;&gt;")=0,"",SUMIFS(BD!$L$3:$L$5001,BD!$A$3:$A$5001,AG$3,BD!$B$3:$B$5001,$A$26)))</f>
        <v/>
      </c>
      <c r="AH29" s="185" t="str">
        <f>IF(AH$3="","",IF(COUNTIFS(BD!$A$3:$A$5001,AH$3,BD!$B$3:$B$5001,$A$26,BD!$L$3:$L$5001,"&lt;&gt;")=0,"",SUMIFS(BD!$L$3:$L$5001,BD!$A$3:$A$5001,AH$3,BD!$B$3:$B$5001,$A$26)))</f>
        <v/>
      </c>
      <c r="AI29" s="185" t="str">
        <f>IF(AI$3="","",IF(COUNTIFS(BD!$A$3:$A$5001,AI$3,BD!$B$3:$B$5001,$A$26,BD!$L$3:$L$5001,"&lt;&gt;")=0,"",SUMIFS(BD!$L$3:$L$5001,BD!$A$3:$A$5001,AI$3,BD!$B$3:$B$5001,$A$26)))</f>
        <v/>
      </c>
      <c r="AJ29" s="186" t="str">
        <f>IF(AJ$3="","",IF(COUNTIFS(BD!$A$3:$A$5001,AJ$3,BD!$B$3:$B$5001,$A$26,BD!$L$3:$L$5001,"&lt;&gt;")=0,"",SUMIFS(BD!$L$3:$L$5001,BD!$A$3:$A$5001,AJ$3,BD!$B$3:$B$5001,$A$26)))</f>
        <v/>
      </c>
      <c r="AK29" s="187" t="str">
        <f>IF(COUNT(F29:AJ29)=0,"",SUM(F29:AJ29))</f>
        <v/>
      </c>
    </row>
    <row r="30" ht="15.75" customHeight="1">
      <c r="A30" s="261"/>
      <c r="B30" s="278"/>
      <c r="C30" s="267" t="inlineStr">
        <is>
          <t xml:space="preserve">Pallets Movimentados</t>
        </is>
      </c>
      <c r="D30" s="268" t="str">
        <f>IFERROR(1/(1/INDEX(BD!$AL$38:$BF$38,MATCH($A$26,BD!$AL$22:$BF$22,0))),"")</f>
        <v/>
      </c>
      <c r="E30" s="269"/>
      <c r="F30" s="270" t="str">
        <f>IF(F$3="","",IF(COUNTIFS(BD!$A$3:$A$5001,F$3,BD!$B$3:$B$5001,$A$26,BD!$R$3:$R$5001,"&lt;&gt;")=0,"",SUMIFS(BD!$R$3:$R$5001,BD!$A$3:$A$5001,F$3,BD!$B$3:$B$5001,$A$26)))</f>
        <v/>
      </c>
      <c r="G30" s="271" t="str">
        <f>IF(G$3="","",IF(COUNTIFS(BD!$A$3:$A$5001,G$3,BD!$B$3:$B$5001,$A$26,BD!$R$3:$R$5001,"&lt;&gt;")=0,"",SUMIFS(BD!$R$3:$R$5001,BD!$A$3:$A$5001,G$3,BD!$B$3:$B$5001,$A$26)))</f>
        <v/>
      </c>
      <c r="H30" s="271" t="str">
        <f>IF(H$3="","",IF(COUNTIFS(BD!$A$3:$A$5001,H$3,BD!$B$3:$B$5001,$A$26,BD!$R$3:$R$5001,"&lt;&gt;")=0,"",SUMIFS(BD!$R$3:$R$5001,BD!$A$3:$A$5001,H$3,BD!$B$3:$B$5001,$A$26)))</f>
        <v/>
      </c>
      <c r="I30" s="271" t="str">
        <f>IF(I$3="","",IF(COUNTIFS(BD!$A$3:$A$5001,I$3,BD!$B$3:$B$5001,$A$26,BD!$R$3:$R$5001,"&lt;&gt;")=0,"",SUMIFS(BD!$R$3:$R$5001,BD!$A$3:$A$5001,I$3,BD!$B$3:$B$5001,$A$26)))</f>
        <v/>
      </c>
      <c r="J30" s="271" t="str">
        <f>IF(J$3="","",IF(COUNTIFS(BD!$A$3:$A$5001,J$3,BD!$B$3:$B$5001,$A$26,BD!$R$3:$R$5001,"&lt;&gt;")=0,"",SUMIFS(BD!$R$3:$R$5001,BD!$A$3:$A$5001,J$3,BD!$B$3:$B$5001,$A$26)))</f>
        <v/>
      </c>
      <c r="K30" s="271" t="str">
        <f>IF(K$3="","",IF(COUNTIFS(BD!$A$3:$A$5001,K$3,BD!$B$3:$B$5001,$A$26,BD!$R$3:$R$5001,"&lt;&gt;")=0,"",SUMIFS(BD!$R$3:$R$5001,BD!$A$3:$A$5001,K$3,BD!$B$3:$B$5001,$A$26)))</f>
        <v/>
      </c>
      <c r="L30" s="271" t="str">
        <f>IF(L$3="","",IF(COUNTIFS(BD!$A$3:$A$5001,L$3,BD!$B$3:$B$5001,$A$26,BD!$R$3:$R$5001,"&lt;&gt;")=0,"",SUMIFS(BD!$R$3:$R$5001,BD!$A$3:$A$5001,L$3,BD!$B$3:$B$5001,$A$26)))</f>
        <v/>
      </c>
      <c r="M30" s="271" t="str">
        <f>IF(M$3="","",IF(COUNTIFS(BD!$A$3:$A$5001,M$3,BD!$B$3:$B$5001,$A$26,BD!$R$3:$R$5001,"&lt;&gt;")=0,"",SUMIFS(BD!$R$3:$R$5001,BD!$A$3:$A$5001,M$3,BD!$B$3:$B$5001,$A$26)))</f>
        <v/>
      </c>
      <c r="N30" s="271" t="str">
        <f>IF(N$3="","",IF(COUNTIFS(BD!$A$3:$A$5001,N$3,BD!$B$3:$B$5001,$A$26,BD!$R$3:$R$5001,"&lt;&gt;")=0,"",SUMIFS(BD!$R$3:$R$5001,BD!$A$3:$A$5001,N$3,BD!$B$3:$B$5001,$A$26)))</f>
        <v/>
      </c>
      <c r="O30" s="271" t="str">
        <f>IF(O$3="","",IF(COUNTIFS(BD!$A$3:$A$5001,O$3,BD!$B$3:$B$5001,$A$26,BD!$R$3:$R$5001,"&lt;&gt;")=0,"",SUMIFS(BD!$R$3:$R$5001,BD!$A$3:$A$5001,O$3,BD!$B$3:$B$5001,$A$26)))</f>
        <v/>
      </c>
      <c r="P30" s="271" t="str">
        <f>IF(P$3="","",IF(COUNTIFS(BD!$A$3:$A$5001,P$3,BD!$B$3:$B$5001,$A$26,BD!$R$3:$R$5001,"&lt;&gt;")=0,"",SUMIFS(BD!$R$3:$R$5001,BD!$A$3:$A$5001,P$3,BD!$B$3:$B$5001,$A$26)))</f>
        <v/>
      </c>
      <c r="Q30" s="271" t="str">
        <f>IF(Q$3="","",IF(COUNTIFS(BD!$A$3:$A$5001,Q$3,BD!$B$3:$B$5001,$A$26,BD!$R$3:$R$5001,"&lt;&gt;")=0,"",SUMIFS(BD!$R$3:$R$5001,BD!$A$3:$A$5001,Q$3,BD!$B$3:$B$5001,$A$26)))</f>
        <v/>
      </c>
      <c r="R30" s="271" t="str">
        <f>IF(R$3="","",IF(COUNTIFS(BD!$A$3:$A$5001,R$3,BD!$B$3:$B$5001,$A$26,BD!$R$3:$R$5001,"&lt;&gt;")=0,"",SUMIFS(BD!$R$3:$R$5001,BD!$A$3:$A$5001,R$3,BD!$B$3:$B$5001,$A$26)))</f>
        <v/>
      </c>
      <c r="S30" s="271" t="str">
        <f>IF(S$3="","",IF(COUNTIFS(BD!$A$3:$A$5001,S$3,BD!$B$3:$B$5001,$A$26,BD!$R$3:$R$5001,"&lt;&gt;")=0,"",SUMIFS(BD!$R$3:$R$5001,BD!$A$3:$A$5001,S$3,BD!$B$3:$B$5001,$A$26)))</f>
        <v/>
      </c>
      <c r="T30" s="271" t="str">
        <f>IF(T$3="","",IF(COUNTIFS(BD!$A$3:$A$5001,T$3,BD!$B$3:$B$5001,$A$26,BD!$R$3:$R$5001,"&lt;&gt;")=0,"",SUMIFS(BD!$R$3:$R$5001,BD!$A$3:$A$5001,T$3,BD!$B$3:$B$5001,$A$26)))</f>
        <v/>
      </c>
      <c r="U30" s="271" t="str">
        <f>IF(U$3="","",IF(COUNTIFS(BD!$A$3:$A$5001,U$3,BD!$B$3:$B$5001,$A$26,BD!$R$3:$R$5001,"&lt;&gt;")=0,"",SUMIFS(BD!$R$3:$R$5001,BD!$A$3:$A$5001,U$3,BD!$B$3:$B$5001,$A$26)))</f>
        <v/>
      </c>
      <c r="V30" s="271" t="str">
        <f>IF(V$3="","",IF(COUNTIFS(BD!$A$3:$A$5001,V$3,BD!$B$3:$B$5001,$A$26,BD!$R$3:$R$5001,"&lt;&gt;")=0,"",SUMIFS(BD!$R$3:$R$5001,BD!$A$3:$A$5001,V$3,BD!$B$3:$B$5001,$A$26)))</f>
        <v/>
      </c>
      <c r="W30" s="271" t="str">
        <f>IF(W$3="","",IF(COUNTIFS(BD!$A$3:$A$5001,W$3,BD!$B$3:$B$5001,$A$26,BD!$R$3:$R$5001,"&lt;&gt;")=0,"",SUMIFS(BD!$R$3:$R$5001,BD!$A$3:$A$5001,W$3,BD!$B$3:$B$5001,$A$26)))</f>
        <v/>
      </c>
      <c r="X30" s="271" t="str">
        <f>IF(X$3="","",IF(COUNTIFS(BD!$A$3:$A$5001,X$3,BD!$B$3:$B$5001,$A$26,BD!$R$3:$R$5001,"&lt;&gt;")=0,"",SUMIFS(BD!$R$3:$R$5001,BD!$A$3:$A$5001,X$3,BD!$B$3:$B$5001,$A$26)))</f>
        <v/>
      </c>
      <c r="Y30" s="271" t="str">
        <f>IF(Y$3="","",IF(COUNTIFS(BD!$A$3:$A$5001,Y$3,BD!$B$3:$B$5001,$A$26,BD!$R$3:$R$5001,"&lt;&gt;")=0,"",SUMIFS(BD!$R$3:$R$5001,BD!$A$3:$A$5001,Y$3,BD!$B$3:$B$5001,$A$26)))</f>
        <v/>
      </c>
      <c r="Z30" s="271" t="str">
        <f>IF(Z$3="","",IF(COUNTIFS(BD!$A$3:$A$5001,Z$3,BD!$B$3:$B$5001,$A$26,BD!$R$3:$R$5001,"&lt;&gt;")=0,"",SUMIFS(BD!$R$3:$R$5001,BD!$A$3:$A$5001,Z$3,BD!$B$3:$B$5001,$A$26)))</f>
        <v/>
      </c>
      <c r="AA30" s="271" t="str">
        <f>IF(AA$3="","",IF(COUNTIFS(BD!$A$3:$A$5001,AA$3,BD!$B$3:$B$5001,$A$26,BD!$R$3:$R$5001,"&lt;&gt;")=0,"",SUMIFS(BD!$R$3:$R$5001,BD!$A$3:$A$5001,AA$3,BD!$B$3:$B$5001,$A$26)))</f>
        <v/>
      </c>
      <c r="AB30" s="271" t="str">
        <f>IF(AB$3="","",IF(COUNTIFS(BD!$A$3:$A$5001,AB$3,BD!$B$3:$B$5001,$A$26,BD!$R$3:$R$5001,"&lt;&gt;")=0,"",SUMIFS(BD!$R$3:$R$5001,BD!$A$3:$A$5001,AB$3,BD!$B$3:$B$5001,$A$26)))</f>
        <v/>
      </c>
      <c r="AC30" s="271" t="str">
        <f>IF(AC$3="","",IF(COUNTIFS(BD!$A$3:$A$5001,AC$3,BD!$B$3:$B$5001,$A$26,BD!$R$3:$R$5001,"&lt;&gt;")=0,"",SUMIFS(BD!$R$3:$R$5001,BD!$A$3:$A$5001,AC$3,BD!$B$3:$B$5001,$A$26)))</f>
        <v/>
      </c>
      <c r="AD30" s="271" t="str">
        <f>IF(AD$3="","",IF(COUNTIFS(BD!$A$3:$A$5001,AD$3,BD!$B$3:$B$5001,$A$26,BD!$R$3:$R$5001,"&lt;&gt;")=0,"",SUMIFS(BD!$R$3:$R$5001,BD!$A$3:$A$5001,AD$3,BD!$B$3:$B$5001,$A$26)))</f>
        <v/>
      </c>
      <c r="AE30" s="271" t="str">
        <f>IF(AE$3="","",IF(COUNTIFS(BD!$A$3:$A$5001,AE$3,BD!$B$3:$B$5001,$A$26,BD!$R$3:$R$5001,"&lt;&gt;")=0,"",SUMIFS(BD!$R$3:$R$5001,BD!$A$3:$A$5001,AE$3,BD!$B$3:$B$5001,$A$26)))</f>
        <v/>
      </c>
      <c r="AF30" s="271" t="str">
        <f>IF(AF$3="","",IF(COUNTIFS(BD!$A$3:$A$5001,AF$3,BD!$B$3:$B$5001,$A$26,BD!$R$3:$R$5001,"&lt;&gt;")=0,"",SUMIFS(BD!$R$3:$R$5001,BD!$A$3:$A$5001,AF$3,BD!$B$3:$B$5001,$A$26)))</f>
        <v/>
      </c>
      <c r="AG30" s="271" t="str">
        <f>IF(AG$3="","",IF(COUNTIFS(BD!$A$3:$A$5001,AG$3,BD!$B$3:$B$5001,$A$26,BD!$R$3:$R$5001,"&lt;&gt;")=0,"",SUMIFS(BD!$R$3:$R$5001,BD!$A$3:$A$5001,AG$3,BD!$B$3:$B$5001,$A$26)))</f>
        <v/>
      </c>
      <c r="AH30" s="271" t="str">
        <f>IF(AH$3="","",IF(COUNTIFS(BD!$A$3:$A$5001,AH$3,BD!$B$3:$B$5001,$A$26,BD!$R$3:$R$5001,"&lt;&gt;")=0,"",SUMIFS(BD!$R$3:$R$5001,BD!$A$3:$A$5001,AH$3,BD!$B$3:$B$5001,$A$26)))</f>
        <v/>
      </c>
      <c r="AI30" s="271" t="str">
        <f>IF(AI$3="","",IF(COUNTIFS(BD!$A$3:$A$5001,AI$3,BD!$B$3:$B$5001,$A$26,BD!$R$3:$R$5001,"&lt;&gt;")=0,"",SUMIFS(BD!$R$3:$R$5001,BD!$A$3:$A$5001,AI$3,BD!$B$3:$B$5001,$A$26)))</f>
        <v/>
      </c>
      <c r="AJ30" s="272" t="str">
        <f>IF(AJ$3="","",IF(COUNTIFS(BD!$A$3:$A$5001,AJ$3,BD!$B$3:$B$5001,$A$26,BD!$R$3:$R$5001,"&lt;&gt;")=0,"",SUMIFS(BD!$R$3:$R$5001,BD!$A$3:$A$5001,AJ$3,BD!$B$3:$B$5001,$A$26)))</f>
        <v/>
      </c>
      <c r="AK30" s="273" t="str">
        <f>IF(COUNT(F30:AJ30)=0,"",SUM(F30:AJ30))</f>
        <v/>
      </c>
    </row>
    <row r="31" ht="15.75" customHeight="1">
      <c r="A31" s="261"/>
      <c r="B31" s="252"/>
      <c r="C31" s="188" t="inlineStr">
        <is>
          <t xml:space="preserve">Toneladas Movimentadas</t>
        </is>
      </c>
      <c r="D31" s="189" t="str">
        <f>IFERROR(1/(1/INDEX(BD!$AL$39:$BF$39,MATCH($A$26,BD!$AL$22:$BF$22,0))),"")</f>
        <v/>
      </c>
      <c r="E31" s="190"/>
      <c r="F31" s="274" t="str">
        <f>IF(F$3="","",IF(COUNTIFS(BD!$A$3:$A$5001,F$3,BD!$B$3:$B$5001,$A$26,BD!$S$3:$S$5001,"&lt;&gt;")=0,"",SUMIFS(BD!$S$3:$S$5001,BD!$A$3:$A$5001,F$3,BD!$B$3:$B$5001,$A$26)))</f>
        <v/>
      </c>
      <c r="G31" s="275" t="str">
        <f>IF(G$3="","",IF(COUNTIFS(BD!$A$3:$A$5001,G$3,BD!$B$3:$B$5001,$A$26,BD!$S$3:$S$5001,"&lt;&gt;")=0,"",SUMIFS(BD!$S$3:$S$5001,BD!$A$3:$A$5001,G$3,BD!$B$3:$B$5001,$A$26)))</f>
        <v/>
      </c>
      <c r="H31" s="275" t="str">
        <f>IF(H$3="","",IF(COUNTIFS(BD!$A$3:$A$5001,H$3,BD!$B$3:$B$5001,$A$26,BD!$S$3:$S$5001,"&lt;&gt;")=0,"",SUMIFS(BD!$S$3:$S$5001,BD!$A$3:$A$5001,H$3,BD!$B$3:$B$5001,$A$26)))</f>
        <v/>
      </c>
      <c r="I31" s="275" t="str">
        <f>IF(I$3="","",IF(COUNTIFS(BD!$A$3:$A$5001,I$3,BD!$B$3:$B$5001,$A$26,BD!$S$3:$S$5001,"&lt;&gt;")=0,"",SUMIFS(BD!$S$3:$S$5001,BD!$A$3:$A$5001,I$3,BD!$B$3:$B$5001,$A$26)))</f>
        <v/>
      </c>
      <c r="J31" s="275" t="str">
        <f>IF(J$3="","",IF(COUNTIFS(BD!$A$3:$A$5001,J$3,BD!$B$3:$B$5001,$A$26,BD!$S$3:$S$5001,"&lt;&gt;")=0,"",SUMIFS(BD!$S$3:$S$5001,BD!$A$3:$A$5001,J$3,BD!$B$3:$B$5001,$A$26)))</f>
        <v/>
      </c>
      <c r="K31" s="275" t="str">
        <f>IF(K$3="","",IF(COUNTIFS(BD!$A$3:$A$5001,K$3,BD!$B$3:$B$5001,$A$26,BD!$S$3:$S$5001,"&lt;&gt;")=0,"",SUMIFS(BD!$S$3:$S$5001,BD!$A$3:$A$5001,K$3,BD!$B$3:$B$5001,$A$26)))</f>
        <v/>
      </c>
      <c r="L31" s="275" t="str">
        <f>IF(L$3="","",IF(COUNTIFS(BD!$A$3:$A$5001,L$3,BD!$B$3:$B$5001,$A$26,BD!$S$3:$S$5001,"&lt;&gt;")=0,"",SUMIFS(BD!$S$3:$S$5001,BD!$A$3:$A$5001,L$3,BD!$B$3:$B$5001,$A$26)))</f>
        <v/>
      </c>
      <c r="M31" s="275" t="str">
        <f>IF(M$3="","",IF(COUNTIFS(BD!$A$3:$A$5001,M$3,BD!$B$3:$B$5001,$A$26,BD!$S$3:$S$5001,"&lt;&gt;")=0,"",SUMIFS(BD!$S$3:$S$5001,BD!$A$3:$A$5001,M$3,BD!$B$3:$B$5001,$A$26)))</f>
        <v/>
      </c>
      <c r="N31" s="275" t="str">
        <f>IF(N$3="","",IF(COUNTIFS(BD!$A$3:$A$5001,N$3,BD!$B$3:$B$5001,$A$26,BD!$S$3:$S$5001,"&lt;&gt;")=0,"",SUMIFS(BD!$S$3:$S$5001,BD!$A$3:$A$5001,N$3,BD!$B$3:$B$5001,$A$26)))</f>
        <v/>
      </c>
      <c r="O31" s="275" t="str">
        <f>IF(O$3="","",IF(COUNTIFS(BD!$A$3:$A$5001,O$3,BD!$B$3:$B$5001,$A$26,BD!$S$3:$S$5001,"&lt;&gt;")=0,"",SUMIFS(BD!$S$3:$S$5001,BD!$A$3:$A$5001,O$3,BD!$B$3:$B$5001,$A$26)))</f>
        <v/>
      </c>
      <c r="P31" s="275" t="str">
        <f>IF(P$3="","",IF(COUNTIFS(BD!$A$3:$A$5001,P$3,BD!$B$3:$B$5001,$A$26,BD!$S$3:$S$5001,"&lt;&gt;")=0,"",SUMIFS(BD!$S$3:$S$5001,BD!$A$3:$A$5001,P$3,BD!$B$3:$B$5001,$A$26)))</f>
        <v/>
      </c>
      <c r="Q31" s="275" t="str">
        <f>IF(Q$3="","",IF(COUNTIFS(BD!$A$3:$A$5001,Q$3,BD!$B$3:$B$5001,$A$26,BD!$S$3:$S$5001,"&lt;&gt;")=0,"",SUMIFS(BD!$S$3:$S$5001,BD!$A$3:$A$5001,Q$3,BD!$B$3:$B$5001,$A$26)))</f>
        <v/>
      </c>
      <c r="R31" s="275" t="str">
        <f>IF(R$3="","",IF(COUNTIFS(BD!$A$3:$A$5001,R$3,BD!$B$3:$B$5001,$A$26,BD!$S$3:$S$5001,"&lt;&gt;")=0,"",SUMIFS(BD!$S$3:$S$5001,BD!$A$3:$A$5001,R$3,BD!$B$3:$B$5001,$A$26)))</f>
        <v/>
      </c>
      <c r="S31" s="275" t="str">
        <f>IF(S$3="","",IF(COUNTIFS(BD!$A$3:$A$5001,S$3,BD!$B$3:$B$5001,$A$26,BD!$S$3:$S$5001,"&lt;&gt;")=0,"",SUMIFS(BD!$S$3:$S$5001,BD!$A$3:$A$5001,S$3,BD!$B$3:$B$5001,$A$26)))</f>
        <v/>
      </c>
      <c r="T31" s="275" t="str">
        <f>IF(T$3="","",IF(COUNTIFS(BD!$A$3:$A$5001,T$3,BD!$B$3:$B$5001,$A$26,BD!$S$3:$S$5001,"&lt;&gt;")=0,"",SUMIFS(BD!$S$3:$S$5001,BD!$A$3:$A$5001,T$3,BD!$B$3:$B$5001,$A$26)))</f>
        <v/>
      </c>
      <c r="U31" s="275" t="str">
        <f>IF(U$3="","",IF(COUNTIFS(BD!$A$3:$A$5001,U$3,BD!$B$3:$B$5001,$A$26,BD!$S$3:$S$5001,"&lt;&gt;")=0,"",SUMIFS(BD!$S$3:$S$5001,BD!$A$3:$A$5001,U$3,BD!$B$3:$B$5001,$A$26)))</f>
        <v/>
      </c>
      <c r="V31" s="275" t="str">
        <f>IF(V$3="","",IF(COUNTIFS(BD!$A$3:$A$5001,V$3,BD!$B$3:$B$5001,$A$26,BD!$S$3:$S$5001,"&lt;&gt;")=0,"",SUMIFS(BD!$S$3:$S$5001,BD!$A$3:$A$5001,V$3,BD!$B$3:$B$5001,$A$26)))</f>
        <v/>
      </c>
      <c r="W31" s="275" t="str">
        <f>IF(W$3="","",IF(COUNTIFS(BD!$A$3:$A$5001,W$3,BD!$B$3:$B$5001,$A$26,BD!$S$3:$S$5001,"&lt;&gt;")=0,"",SUMIFS(BD!$S$3:$S$5001,BD!$A$3:$A$5001,W$3,BD!$B$3:$B$5001,$A$26)))</f>
        <v/>
      </c>
      <c r="X31" s="275" t="str">
        <f>IF(X$3="","",IF(COUNTIFS(BD!$A$3:$A$5001,X$3,BD!$B$3:$B$5001,$A$26,BD!$S$3:$S$5001,"&lt;&gt;")=0,"",SUMIFS(BD!$S$3:$S$5001,BD!$A$3:$A$5001,X$3,BD!$B$3:$B$5001,$A$26)))</f>
        <v/>
      </c>
      <c r="Y31" s="275" t="str">
        <f>IF(Y$3="","",IF(COUNTIFS(BD!$A$3:$A$5001,Y$3,BD!$B$3:$B$5001,$A$26,BD!$S$3:$S$5001,"&lt;&gt;")=0,"",SUMIFS(BD!$S$3:$S$5001,BD!$A$3:$A$5001,Y$3,BD!$B$3:$B$5001,$A$26)))</f>
        <v/>
      </c>
      <c r="Z31" s="275" t="str">
        <f>IF(Z$3="","",IF(COUNTIFS(BD!$A$3:$A$5001,Z$3,BD!$B$3:$B$5001,$A$26,BD!$S$3:$S$5001,"&lt;&gt;")=0,"",SUMIFS(BD!$S$3:$S$5001,BD!$A$3:$A$5001,Z$3,BD!$B$3:$B$5001,$A$26)))</f>
        <v/>
      </c>
      <c r="AA31" s="275" t="str">
        <f>IF(AA$3="","",IF(COUNTIFS(BD!$A$3:$A$5001,AA$3,BD!$B$3:$B$5001,$A$26,BD!$S$3:$S$5001,"&lt;&gt;")=0,"",SUMIFS(BD!$S$3:$S$5001,BD!$A$3:$A$5001,AA$3,BD!$B$3:$B$5001,$A$26)))</f>
        <v/>
      </c>
      <c r="AB31" s="275" t="str">
        <f>IF(AB$3="","",IF(COUNTIFS(BD!$A$3:$A$5001,AB$3,BD!$B$3:$B$5001,$A$26,BD!$S$3:$S$5001,"&lt;&gt;")=0,"",SUMIFS(BD!$S$3:$S$5001,BD!$A$3:$A$5001,AB$3,BD!$B$3:$B$5001,$A$26)))</f>
        <v/>
      </c>
      <c r="AC31" s="275" t="str">
        <f>IF(AC$3="","",IF(COUNTIFS(BD!$A$3:$A$5001,AC$3,BD!$B$3:$B$5001,$A$26,BD!$S$3:$S$5001,"&lt;&gt;")=0,"",SUMIFS(BD!$S$3:$S$5001,BD!$A$3:$A$5001,AC$3,BD!$B$3:$B$5001,$A$26)))</f>
        <v/>
      </c>
      <c r="AD31" s="275" t="str">
        <f>IF(AD$3="","",IF(COUNTIFS(BD!$A$3:$A$5001,AD$3,BD!$B$3:$B$5001,$A$26,BD!$S$3:$S$5001,"&lt;&gt;")=0,"",SUMIFS(BD!$S$3:$S$5001,BD!$A$3:$A$5001,AD$3,BD!$B$3:$B$5001,$A$26)))</f>
        <v/>
      </c>
      <c r="AE31" s="275" t="str">
        <f>IF(AE$3="","",IF(COUNTIFS(BD!$A$3:$A$5001,AE$3,BD!$B$3:$B$5001,$A$26,BD!$S$3:$S$5001,"&lt;&gt;")=0,"",SUMIFS(BD!$S$3:$S$5001,BD!$A$3:$A$5001,AE$3,BD!$B$3:$B$5001,$A$26)))</f>
        <v/>
      </c>
      <c r="AF31" s="275" t="str">
        <f>IF(AF$3="","",IF(COUNTIFS(BD!$A$3:$A$5001,AF$3,BD!$B$3:$B$5001,$A$26,BD!$S$3:$S$5001,"&lt;&gt;")=0,"",SUMIFS(BD!$S$3:$S$5001,BD!$A$3:$A$5001,AF$3,BD!$B$3:$B$5001,$A$26)))</f>
        <v/>
      </c>
      <c r="AG31" s="275" t="str">
        <f>IF(AG$3="","",IF(COUNTIFS(BD!$A$3:$A$5001,AG$3,BD!$B$3:$B$5001,$A$26,BD!$S$3:$S$5001,"&lt;&gt;")=0,"",SUMIFS(BD!$S$3:$S$5001,BD!$A$3:$A$5001,AG$3,BD!$B$3:$B$5001,$A$26)))</f>
        <v/>
      </c>
      <c r="AH31" s="275" t="str">
        <f>IF(AH$3="","",IF(COUNTIFS(BD!$A$3:$A$5001,AH$3,BD!$B$3:$B$5001,$A$26,BD!$S$3:$S$5001,"&lt;&gt;")=0,"",SUMIFS(BD!$S$3:$S$5001,BD!$A$3:$A$5001,AH$3,BD!$B$3:$B$5001,$A$26)))</f>
        <v/>
      </c>
      <c r="AI31" s="275" t="str">
        <f>IF(AI$3="","",IF(COUNTIFS(BD!$A$3:$A$5001,AI$3,BD!$B$3:$B$5001,$A$26,BD!$S$3:$S$5001,"&lt;&gt;")=0,"",SUMIFS(BD!$S$3:$S$5001,BD!$A$3:$A$5001,AI$3,BD!$B$3:$B$5001,$A$26)))</f>
        <v/>
      </c>
      <c r="AJ31" s="276" t="str">
        <f>IF(AJ$3="","",IF(COUNTIFS(BD!$A$3:$A$5001,AJ$3,BD!$B$3:$B$5001,$A$26,BD!$S$3:$S$5001,"&lt;&gt;")=0,"",SUMIFS(BD!$S$3:$S$5001,BD!$A$3:$A$5001,AJ$3,BD!$B$3:$B$5001,$A$26)))</f>
        <v/>
      </c>
      <c r="AK31" s="277" t="str">
        <f>IF(COUNT(F31:AJ31)=0,"",SUM(F31:AJ31))</f>
        <v/>
      </c>
    </row>
    <row r="32" ht="15.75" customHeight="1">
      <c r="A32" s="261"/>
      <c r="B32" s="253" t="inlineStr">
        <is>
          <t xml:space="preserve">NC</t>
        </is>
      </c>
      <c r="C32" s="194" t="inlineStr">
        <is>
          <t xml:space="preserve">Incidentes</t>
        </is>
      </c>
      <c r="D32" s="195" t="str">
        <f>IFERROR(1/(1/INDEX(BD!$AL$40:$BF$40,MATCH($A$26,BD!$AL$22:$BF$22,0))),"")</f>
        <v/>
      </c>
      <c r="E32" s="196"/>
      <c r="F32" s="197" t="str">
        <f>IF(F$3="","",IF(COUNTIFS(BD!$A$3:$A$5001,F$3,BD!$B$3:$B$5001,$A$26,BD!$T$3:$T$5001,"&lt;&gt;")=0,"",SUMIFS(BD!$T$3:$T$5001,BD!$A$3:$A$5001,F$3,BD!$B$3:$B$5001,$A$26)))</f>
        <v/>
      </c>
      <c r="G32" s="198" t="str">
        <f>IF(G$3="","",IF(COUNTIFS(BD!$A$3:$A$5001,G$3,BD!$B$3:$B$5001,$A$26,BD!$T$3:$T$5001,"&lt;&gt;")=0,"",SUMIFS(BD!$T$3:$T$5001,BD!$A$3:$A$5001,G$3,BD!$B$3:$B$5001,$A$26)))</f>
        <v/>
      </c>
      <c r="H32" s="198" t="str">
        <f>IF(H$3="","",IF(COUNTIFS(BD!$A$3:$A$5001,H$3,BD!$B$3:$B$5001,$A$26,BD!$T$3:$T$5001,"&lt;&gt;")=0,"",SUMIFS(BD!$T$3:$T$5001,BD!$A$3:$A$5001,H$3,BD!$B$3:$B$5001,$A$26)))</f>
        <v/>
      </c>
      <c r="I32" s="198" t="str">
        <f>IF(I$3="","",IF(COUNTIFS(BD!$A$3:$A$5001,I$3,BD!$B$3:$B$5001,$A$26,BD!$T$3:$T$5001,"&lt;&gt;")=0,"",SUMIFS(BD!$T$3:$T$5001,BD!$A$3:$A$5001,I$3,BD!$B$3:$B$5001,$A$26)))</f>
        <v/>
      </c>
      <c r="J32" s="198" t="str">
        <f>IF(J$3="","",IF(COUNTIFS(BD!$A$3:$A$5001,J$3,BD!$B$3:$B$5001,$A$26,BD!$T$3:$T$5001,"&lt;&gt;")=0,"",SUMIFS(BD!$T$3:$T$5001,BD!$A$3:$A$5001,J$3,BD!$B$3:$B$5001,$A$26)))</f>
        <v/>
      </c>
      <c r="K32" s="198" t="str">
        <f>IF(K$3="","",IF(COUNTIFS(BD!$A$3:$A$5001,K$3,BD!$B$3:$B$5001,$A$26,BD!$T$3:$T$5001,"&lt;&gt;")=0,"",SUMIFS(BD!$T$3:$T$5001,BD!$A$3:$A$5001,K$3,BD!$B$3:$B$5001,$A$26)))</f>
        <v/>
      </c>
      <c r="L32" s="198" t="str">
        <f>IF(L$3="","",IF(COUNTIFS(BD!$A$3:$A$5001,L$3,BD!$B$3:$B$5001,$A$26,BD!$T$3:$T$5001,"&lt;&gt;")=0,"",SUMIFS(BD!$T$3:$T$5001,BD!$A$3:$A$5001,L$3,BD!$B$3:$B$5001,$A$26)))</f>
        <v/>
      </c>
      <c r="M32" s="198" t="str">
        <f>IF(M$3="","",IF(COUNTIFS(BD!$A$3:$A$5001,M$3,BD!$B$3:$B$5001,$A$26,BD!$T$3:$T$5001,"&lt;&gt;")=0,"",SUMIFS(BD!$T$3:$T$5001,BD!$A$3:$A$5001,M$3,BD!$B$3:$B$5001,$A$26)))</f>
        <v/>
      </c>
      <c r="N32" s="198" t="str">
        <f>IF(N$3="","",IF(COUNTIFS(BD!$A$3:$A$5001,N$3,BD!$B$3:$B$5001,$A$26,BD!$T$3:$T$5001,"&lt;&gt;")=0,"",SUMIFS(BD!$T$3:$T$5001,BD!$A$3:$A$5001,N$3,BD!$B$3:$B$5001,$A$26)))</f>
        <v/>
      </c>
      <c r="O32" s="198" t="str">
        <f>IF(O$3="","",IF(COUNTIFS(BD!$A$3:$A$5001,O$3,BD!$B$3:$B$5001,$A$26,BD!$T$3:$T$5001,"&lt;&gt;")=0,"",SUMIFS(BD!$T$3:$T$5001,BD!$A$3:$A$5001,O$3,BD!$B$3:$B$5001,$A$26)))</f>
        <v/>
      </c>
      <c r="P32" s="198" t="str">
        <f>IF(P$3="","",IF(COUNTIFS(BD!$A$3:$A$5001,P$3,BD!$B$3:$B$5001,$A$26,BD!$T$3:$T$5001,"&lt;&gt;")=0,"",SUMIFS(BD!$T$3:$T$5001,BD!$A$3:$A$5001,P$3,BD!$B$3:$B$5001,$A$26)))</f>
        <v/>
      </c>
      <c r="Q32" s="198" t="str">
        <f>IF(Q$3="","",IF(COUNTIFS(BD!$A$3:$A$5001,Q$3,BD!$B$3:$B$5001,$A$26,BD!$T$3:$T$5001,"&lt;&gt;")=0,"",SUMIFS(BD!$T$3:$T$5001,BD!$A$3:$A$5001,Q$3,BD!$B$3:$B$5001,$A$26)))</f>
        <v/>
      </c>
      <c r="R32" s="198" t="str">
        <f>IF(R$3="","",IF(COUNTIFS(BD!$A$3:$A$5001,R$3,BD!$B$3:$B$5001,$A$26,BD!$T$3:$T$5001,"&lt;&gt;")=0,"",SUMIFS(BD!$T$3:$T$5001,BD!$A$3:$A$5001,R$3,BD!$B$3:$B$5001,$A$26)))</f>
        <v/>
      </c>
      <c r="S32" s="198" t="str">
        <f>IF(S$3="","",IF(COUNTIFS(BD!$A$3:$A$5001,S$3,BD!$B$3:$B$5001,$A$26,BD!$T$3:$T$5001,"&lt;&gt;")=0,"",SUMIFS(BD!$T$3:$T$5001,BD!$A$3:$A$5001,S$3,BD!$B$3:$B$5001,$A$26)))</f>
        <v/>
      </c>
      <c r="T32" s="198" t="str">
        <f>IF(T$3="","",IF(COUNTIFS(BD!$A$3:$A$5001,T$3,BD!$B$3:$B$5001,$A$26,BD!$T$3:$T$5001,"&lt;&gt;")=0,"",SUMIFS(BD!$T$3:$T$5001,BD!$A$3:$A$5001,T$3,BD!$B$3:$B$5001,$A$26)))</f>
        <v/>
      </c>
      <c r="U32" s="198" t="str">
        <f>IF(U$3="","",IF(COUNTIFS(BD!$A$3:$A$5001,U$3,BD!$B$3:$B$5001,$A$26,BD!$T$3:$T$5001,"&lt;&gt;")=0,"",SUMIFS(BD!$T$3:$T$5001,BD!$A$3:$A$5001,U$3,BD!$B$3:$B$5001,$A$26)))</f>
        <v/>
      </c>
      <c r="V32" s="198" t="str">
        <f>IF(V$3="","",IF(COUNTIFS(BD!$A$3:$A$5001,V$3,BD!$B$3:$B$5001,$A$26,BD!$T$3:$T$5001,"&lt;&gt;")=0,"",SUMIFS(BD!$T$3:$T$5001,BD!$A$3:$A$5001,V$3,BD!$B$3:$B$5001,$A$26)))</f>
        <v/>
      </c>
      <c r="W32" s="198" t="str">
        <f>IF(W$3="","",IF(COUNTIFS(BD!$A$3:$A$5001,W$3,BD!$B$3:$B$5001,$A$26,BD!$T$3:$T$5001,"&lt;&gt;")=0,"",SUMIFS(BD!$T$3:$T$5001,BD!$A$3:$A$5001,W$3,BD!$B$3:$B$5001,$A$26)))</f>
        <v/>
      </c>
      <c r="X32" s="198" t="str">
        <f>IF(X$3="","",IF(COUNTIFS(BD!$A$3:$A$5001,X$3,BD!$B$3:$B$5001,$A$26,BD!$T$3:$T$5001,"&lt;&gt;")=0,"",SUMIFS(BD!$T$3:$T$5001,BD!$A$3:$A$5001,X$3,BD!$B$3:$B$5001,$A$26)))</f>
        <v/>
      </c>
      <c r="Y32" s="198" t="str">
        <f>IF(Y$3="","",IF(COUNTIFS(BD!$A$3:$A$5001,Y$3,BD!$B$3:$B$5001,$A$26,BD!$T$3:$T$5001,"&lt;&gt;")=0,"",SUMIFS(BD!$T$3:$T$5001,BD!$A$3:$A$5001,Y$3,BD!$B$3:$B$5001,$A$26)))</f>
        <v/>
      </c>
      <c r="Z32" s="198" t="str">
        <f>IF(Z$3="","",IF(COUNTIFS(BD!$A$3:$A$5001,Z$3,BD!$B$3:$B$5001,$A$26,BD!$T$3:$T$5001,"&lt;&gt;")=0,"",SUMIFS(BD!$T$3:$T$5001,BD!$A$3:$A$5001,Z$3,BD!$B$3:$B$5001,$A$26)))</f>
        <v/>
      </c>
      <c r="AA32" s="198" t="str">
        <f>IF(AA$3="","",IF(COUNTIFS(BD!$A$3:$A$5001,AA$3,BD!$B$3:$B$5001,$A$26,BD!$T$3:$T$5001,"&lt;&gt;")=0,"",SUMIFS(BD!$T$3:$T$5001,BD!$A$3:$A$5001,AA$3,BD!$B$3:$B$5001,$A$26)))</f>
        <v/>
      </c>
      <c r="AB32" s="198" t="str">
        <f>IF(AB$3="","",IF(COUNTIFS(BD!$A$3:$A$5001,AB$3,BD!$B$3:$B$5001,$A$26,BD!$T$3:$T$5001,"&lt;&gt;")=0,"",SUMIFS(BD!$T$3:$T$5001,BD!$A$3:$A$5001,AB$3,BD!$B$3:$B$5001,$A$26)))</f>
        <v/>
      </c>
      <c r="AC32" s="198" t="str">
        <f>IF(AC$3="","",IF(COUNTIFS(BD!$A$3:$A$5001,AC$3,BD!$B$3:$B$5001,$A$26,BD!$T$3:$T$5001,"&lt;&gt;")=0,"",SUMIFS(BD!$T$3:$T$5001,BD!$A$3:$A$5001,AC$3,BD!$B$3:$B$5001,$A$26)))</f>
        <v/>
      </c>
      <c r="AD32" s="198" t="str">
        <f>IF(AD$3="","",IF(COUNTIFS(BD!$A$3:$A$5001,AD$3,BD!$B$3:$B$5001,$A$26,BD!$T$3:$T$5001,"&lt;&gt;")=0,"",SUMIFS(BD!$T$3:$T$5001,BD!$A$3:$A$5001,AD$3,BD!$B$3:$B$5001,$A$26)))</f>
        <v/>
      </c>
      <c r="AE32" s="198" t="str">
        <f>IF(AE$3="","",IF(COUNTIFS(BD!$A$3:$A$5001,AE$3,BD!$B$3:$B$5001,$A$26,BD!$T$3:$T$5001,"&lt;&gt;")=0,"",SUMIFS(BD!$T$3:$T$5001,BD!$A$3:$A$5001,AE$3,BD!$B$3:$B$5001,$A$26)))</f>
        <v/>
      </c>
      <c r="AF32" s="198" t="str">
        <f>IF(AF$3="","",IF(COUNTIFS(BD!$A$3:$A$5001,AF$3,BD!$B$3:$B$5001,$A$26,BD!$T$3:$T$5001,"&lt;&gt;")=0,"",SUMIFS(BD!$T$3:$T$5001,BD!$A$3:$A$5001,AF$3,BD!$B$3:$B$5001,$A$26)))</f>
        <v/>
      </c>
      <c r="AG32" s="198" t="str">
        <f>IF(AG$3="","",IF(COUNTIFS(BD!$A$3:$A$5001,AG$3,BD!$B$3:$B$5001,$A$26,BD!$T$3:$T$5001,"&lt;&gt;")=0,"",SUMIFS(BD!$T$3:$T$5001,BD!$A$3:$A$5001,AG$3,BD!$B$3:$B$5001,$A$26)))</f>
        <v/>
      </c>
      <c r="AH32" s="198" t="str">
        <f>IF(AH$3="","",IF(COUNTIFS(BD!$A$3:$A$5001,AH$3,BD!$B$3:$B$5001,$A$26,BD!$T$3:$T$5001,"&lt;&gt;")=0,"",SUMIFS(BD!$T$3:$T$5001,BD!$A$3:$A$5001,AH$3,BD!$B$3:$B$5001,$A$26)))</f>
        <v/>
      </c>
      <c r="AI32" s="198" t="str">
        <f>IF(AI$3="","",IF(COUNTIFS(BD!$A$3:$A$5001,AI$3,BD!$B$3:$B$5001,$A$26,BD!$T$3:$T$5001,"&lt;&gt;")=0,"",SUMIFS(BD!$T$3:$T$5001,BD!$A$3:$A$5001,AI$3,BD!$B$3:$B$5001,$A$26)))</f>
        <v/>
      </c>
      <c r="AJ32" s="199" t="str">
        <f>IF(AJ$3="","",IF(COUNTIFS(BD!$A$3:$A$5001,AJ$3,BD!$B$3:$B$5001,$A$26,BD!$T$3:$T$5001,"&lt;&gt;")=0,"",SUMIFS(BD!$T$3:$T$5001,BD!$A$3:$A$5001,AJ$3,BD!$B$3:$B$5001,$A$26)))</f>
        <v/>
      </c>
      <c r="AK32" s="200" t="str">
        <f>IF(COUNT(F32:AJ32)=0,"",SUM(F32:AJ32))</f>
        <v/>
      </c>
    </row>
    <row r="33" ht="15.75" customHeight="1">
      <c r="A33" s="261"/>
      <c r="B33" s="254"/>
      <c r="C33" s="201" t="inlineStr">
        <is>
          <t xml:space="preserve">No show</t>
        </is>
      </c>
      <c r="D33" s="202" t="str">
        <f>IFERROR(1/(1/INDEX(BD!$AL$41:$BF$41,MATCH($A$26,BD!$AL$22:$BF$22,0))),"")</f>
        <v/>
      </c>
      <c r="E33" s="203"/>
      <c r="F33" s="204" t="str">
        <f>IF(F$3="","",IF(COUNTIFS(BD!$A$3:$A$5001,F$3,BD!$B$3:$B$5001,$A$26,BD!$U$3:$U$5001,"&lt;&gt;")=0,"",SUMIFS(BD!$U$3:$U$5001,BD!$A$3:$A$5001,F$3,BD!$B$3:$B$5001,$A$26)))</f>
        <v/>
      </c>
      <c r="G33" s="205" t="str">
        <f>IF(G$3="","",IF(COUNTIFS(BD!$A$3:$A$5001,G$3,BD!$B$3:$B$5001,$A$26,BD!$U$3:$U$5001,"&lt;&gt;")=0,"",SUMIFS(BD!$U$3:$U$5001,BD!$A$3:$A$5001,G$3,BD!$B$3:$B$5001,$A$26)))</f>
        <v/>
      </c>
      <c r="H33" s="205" t="str">
        <f>IF(H$3="","",IF(COUNTIFS(BD!$A$3:$A$5001,H$3,BD!$B$3:$B$5001,$A$26,BD!$U$3:$U$5001,"&lt;&gt;")=0,"",SUMIFS(BD!$U$3:$U$5001,BD!$A$3:$A$5001,H$3,BD!$B$3:$B$5001,$A$26)))</f>
        <v/>
      </c>
      <c r="I33" s="205" t="str">
        <f>IF(I$3="","",IF(COUNTIFS(BD!$A$3:$A$5001,I$3,BD!$B$3:$B$5001,$A$26,BD!$U$3:$U$5001,"&lt;&gt;")=0,"",SUMIFS(BD!$U$3:$U$5001,BD!$A$3:$A$5001,I$3,BD!$B$3:$B$5001,$A$26)))</f>
        <v/>
      </c>
      <c r="J33" s="205" t="str">
        <f>IF(J$3="","",IF(COUNTIFS(BD!$A$3:$A$5001,J$3,BD!$B$3:$B$5001,$A$26,BD!$U$3:$U$5001,"&lt;&gt;")=0,"",SUMIFS(BD!$U$3:$U$5001,BD!$A$3:$A$5001,J$3,BD!$B$3:$B$5001,$A$26)))</f>
        <v/>
      </c>
      <c r="K33" s="205" t="str">
        <f>IF(K$3="","",IF(COUNTIFS(BD!$A$3:$A$5001,K$3,BD!$B$3:$B$5001,$A$26,BD!$U$3:$U$5001,"&lt;&gt;")=0,"",SUMIFS(BD!$U$3:$U$5001,BD!$A$3:$A$5001,K$3,BD!$B$3:$B$5001,$A$26)))</f>
        <v/>
      </c>
      <c r="L33" s="205" t="str">
        <f>IF(L$3="","",IF(COUNTIFS(BD!$A$3:$A$5001,L$3,BD!$B$3:$B$5001,$A$26,BD!$U$3:$U$5001,"&lt;&gt;")=0,"",SUMIFS(BD!$U$3:$U$5001,BD!$A$3:$A$5001,L$3,BD!$B$3:$B$5001,$A$26)))</f>
        <v/>
      </c>
      <c r="M33" s="205" t="str">
        <f>IF(M$3="","",IF(COUNTIFS(BD!$A$3:$A$5001,M$3,BD!$B$3:$B$5001,$A$26,BD!$U$3:$U$5001,"&lt;&gt;")=0,"",SUMIFS(BD!$U$3:$U$5001,BD!$A$3:$A$5001,M$3,BD!$B$3:$B$5001,$A$26)))</f>
        <v/>
      </c>
      <c r="N33" s="205" t="str">
        <f>IF(N$3="","",IF(COUNTIFS(BD!$A$3:$A$5001,N$3,BD!$B$3:$B$5001,$A$26,BD!$U$3:$U$5001,"&lt;&gt;")=0,"",SUMIFS(BD!$U$3:$U$5001,BD!$A$3:$A$5001,N$3,BD!$B$3:$B$5001,$A$26)))</f>
        <v/>
      </c>
      <c r="O33" s="205" t="str">
        <f>IF(O$3="","",IF(COUNTIFS(BD!$A$3:$A$5001,O$3,BD!$B$3:$B$5001,$A$26,BD!$U$3:$U$5001,"&lt;&gt;")=0,"",SUMIFS(BD!$U$3:$U$5001,BD!$A$3:$A$5001,O$3,BD!$B$3:$B$5001,$A$26)))</f>
        <v/>
      </c>
      <c r="P33" s="205" t="str">
        <f>IF(P$3="","",IF(COUNTIFS(BD!$A$3:$A$5001,P$3,BD!$B$3:$B$5001,$A$26,BD!$U$3:$U$5001,"&lt;&gt;")=0,"",SUMIFS(BD!$U$3:$U$5001,BD!$A$3:$A$5001,P$3,BD!$B$3:$B$5001,$A$26)))</f>
        <v/>
      </c>
      <c r="Q33" s="205" t="str">
        <f>IF(Q$3="","",IF(COUNTIFS(BD!$A$3:$A$5001,Q$3,BD!$B$3:$B$5001,$A$26,BD!$U$3:$U$5001,"&lt;&gt;")=0,"",SUMIFS(BD!$U$3:$U$5001,BD!$A$3:$A$5001,Q$3,BD!$B$3:$B$5001,$A$26)))</f>
        <v/>
      </c>
      <c r="R33" s="205" t="str">
        <f>IF(R$3="","",IF(COUNTIFS(BD!$A$3:$A$5001,R$3,BD!$B$3:$B$5001,$A$26,BD!$U$3:$U$5001,"&lt;&gt;")=0,"",SUMIFS(BD!$U$3:$U$5001,BD!$A$3:$A$5001,R$3,BD!$B$3:$B$5001,$A$26)))</f>
        <v/>
      </c>
      <c r="S33" s="205" t="str">
        <f>IF(S$3="","",IF(COUNTIFS(BD!$A$3:$A$5001,S$3,BD!$B$3:$B$5001,$A$26,BD!$U$3:$U$5001,"&lt;&gt;")=0,"",SUMIFS(BD!$U$3:$U$5001,BD!$A$3:$A$5001,S$3,BD!$B$3:$B$5001,$A$26)))</f>
        <v/>
      </c>
      <c r="T33" s="205" t="str">
        <f>IF(T$3="","",IF(COUNTIFS(BD!$A$3:$A$5001,T$3,BD!$B$3:$B$5001,$A$26,BD!$U$3:$U$5001,"&lt;&gt;")=0,"",SUMIFS(BD!$U$3:$U$5001,BD!$A$3:$A$5001,T$3,BD!$B$3:$B$5001,$A$26)))</f>
        <v/>
      </c>
      <c r="U33" s="205" t="str">
        <f>IF(U$3="","",IF(COUNTIFS(BD!$A$3:$A$5001,U$3,BD!$B$3:$B$5001,$A$26,BD!$U$3:$U$5001,"&lt;&gt;")=0,"",SUMIFS(BD!$U$3:$U$5001,BD!$A$3:$A$5001,U$3,BD!$B$3:$B$5001,$A$26)))</f>
        <v/>
      </c>
      <c r="V33" s="205" t="str">
        <f>IF(V$3="","",IF(COUNTIFS(BD!$A$3:$A$5001,V$3,BD!$B$3:$B$5001,$A$26,BD!$U$3:$U$5001,"&lt;&gt;")=0,"",SUMIFS(BD!$U$3:$U$5001,BD!$A$3:$A$5001,V$3,BD!$B$3:$B$5001,$A$26)))</f>
        <v/>
      </c>
      <c r="W33" s="205" t="str">
        <f>IF(W$3="","",IF(COUNTIFS(BD!$A$3:$A$5001,W$3,BD!$B$3:$B$5001,$A$26,BD!$U$3:$U$5001,"&lt;&gt;")=0,"",SUMIFS(BD!$U$3:$U$5001,BD!$A$3:$A$5001,W$3,BD!$B$3:$B$5001,$A$26)))</f>
        <v/>
      </c>
      <c r="X33" s="205" t="str">
        <f>IF(X$3="","",IF(COUNTIFS(BD!$A$3:$A$5001,X$3,BD!$B$3:$B$5001,$A$26,BD!$U$3:$U$5001,"&lt;&gt;")=0,"",SUMIFS(BD!$U$3:$U$5001,BD!$A$3:$A$5001,X$3,BD!$B$3:$B$5001,$A$26)))</f>
        <v/>
      </c>
      <c r="Y33" s="205" t="str">
        <f>IF(Y$3="","",IF(COUNTIFS(BD!$A$3:$A$5001,Y$3,BD!$B$3:$B$5001,$A$26,BD!$U$3:$U$5001,"&lt;&gt;")=0,"",SUMIFS(BD!$U$3:$U$5001,BD!$A$3:$A$5001,Y$3,BD!$B$3:$B$5001,$A$26)))</f>
        <v/>
      </c>
      <c r="Z33" s="205" t="str">
        <f>IF(Z$3="","",IF(COUNTIFS(BD!$A$3:$A$5001,Z$3,BD!$B$3:$B$5001,$A$26,BD!$U$3:$U$5001,"&lt;&gt;")=0,"",SUMIFS(BD!$U$3:$U$5001,BD!$A$3:$A$5001,Z$3,BD!$B$3:$B$5001,$A$26)))</f>
        <v/>
      </c>
      <c r="AA33" s="205" t="str">
        <f>IF(AA$3="","",IF(COUNTIFS(BD!$A$3:$A$5001,AA$3,BD!$B$3:$B$5001,$A$26,BD!$U$3:$U$5001,"&lt;&gt;")=0,"",SUMIFS(BD!$U$3:$U$5001,BD!$A$3:$A$5001,AA$3,BD!$B$3:$B$5001,$A$26)))</f>
        <v/>
      </c>
      <c r="AB33" s="205" t="str">
        <f>IF(AB$3="","",IF(COUNTIFS(BD!$A$3:$A$5001,AB$3,BD!$B$3:$B$5001,$A$26,BD!$U$3:$U$5001,"&lt;&gt;")=0,"",SUMIFS(BD!$U$3:$U$5001,BD!$A$3:$A$5001,AB$3,BD!$B$3:$B$5001,$A$26)))</f>
        <v/>
      </c>
      <c r="AC33" s="205" t="str">
        <f>IF(AC$3="","",IF(COUNTIFS(BD!$A$3:$A$5001,AC$3,BD!$B$3:$B$5001,$A$26,BD!$U$3:$U$5001,"&lt;&gt;")=0,"",SUMIFS(BD!$U$3:$U$5001,BD!$A$3:$A$5001,AC$3,BD!$B$3:$B$5001,$A$26)))</f>
        <v/>
      </c>
      <c r="AD33" s="205" t="str">
        <f>IF(AD$3="","",IF(COUNTIFS(BD!$A$3:$A$5001,AD$3,BD!$B$3:$B$5001,$A$26,BD!$U$3:$U$5001,"&lt;&gt;")=0,"",SUMIFS(BD!$U$3:$U$5001,BD!$A$3:$A$5001,AD$3,BD!$B$3:$B$5001,$A$26)))</f>
        <v/>
      </c>
      <c r="AE33" s="205" t="str">
        <f>IF(AE$3="","",IF(COUNTIFS(BD!$A$3:$A$5001,AE$3,BD!$B$3:$B$5001,$A$26,BD!$U$3:$U$5001,"&lt;&gt;")=0,"",SUMIFS(BD!$U$3:$U$5001,BD!$A$3:$A$5001,AE$3,BD!$B$3:$B$5001,$A$26)))</f>
        <v/>
      </c>
      <c r="AF33" s="205" t="str">
        <f>IF(AF$3="","",IF(COUNTIFS(BD!$A$3:$A$5001,AF$3,BD!$B$3:$B$5001,$A$26,BD!$U$3:$U$5001,"&lt;&gt;")=0,"",SUMIFS(BD!$U$3:$U$5001,BD!$A$3:$A$5001,AF$3,BD!$B$3:$B$5001,$A$26)))</f>
        <v/>
      </c>
      <c r="AG33" s="205" t="str">
        <f>IF(AG$3="","",IF(COUNTIFS(BD!$A$3:$A$5001,AG$3,BD!$B$3:$B$5001,$A$26,BD!$U$3:$U$5001,"&lt;&gt;")=0,"",SUMIFS(BD!$U$3:$U$5001,BD!$A$3:$A$5001,AG$3,BD!$B$3:$B$5001,$A$26)))</f>
        <v/>
      </c>
      <c r="AH33" s="205" t="str">
        <f>IF(AH$3="","",IF(COUNTIFS(BD!$A$3:$A$5001,AH$3,BD!$B$3:$B$5001,$A$26,BD!$U$3:$U$5001,"&lt;&gt;")=0,"",SUMIFS(BD!$U$3:$U$5001,BD!$A$3:$A$5001,AH$3,BD!$B$3:$B$5001,$A$26)))</f>
        <v/>
      </c>
      <c r="AI33" s="205" t="str">
        <f>IF(AI$3="","",IF(COUNTIFS(BD!$A$3:$A$5001,AI$3,BD!$B$3:$B$5001,$A$26,BD!$U$3:$U$5001,"&lt;&gt;")=0,"",SUMIFS(BD!$U$3:$U$5001,BD!$A$3:$A$5001,AI$3,BD!$B$3:$B$5001,$A$26)))</f>
        <v/>
      </c>
      <c r="AJ33" s="206" t="str">
        <f>IF(AJ$3="","",IF(COUNTIFS(BD!$A$3:$A$5001,AJ$3,BD!$B$3:$B$5001,$A$26,BD!$U$3:$U$5001,"&lt;&gt;")=0,"",SUMIFS(BD!$U$3:$U$5001,BD!$A$3:$A$5001,AJ$3,BD!$B$3:$B$5001,$A$26)))</f>
        <v/>
      </c>
      <c r="AK33" s="207" t="str">
        <f>IF(COUNT(F33:AJ33)=0,"",SUM(F33:AJ33))</f>
        <v/>
      </c>
    </row>
    <row r="34" ht="15.75" customHeight="1">
      <c r="A34" s="261"/>
      <c r="B34" s="254"/>
      <c r="C34" s="201" t="inlineStr">
        <is>
          <t xml:space="preserve">Backlog Intralog</t>
        </is>
      </c>
      <c r="D34" s="202" t="str">
        <f>IFERROR(1/(1/INDEX(BD!$AL$42:$BF$42,MATCH($A$26,BD!$AL$22:$BF$22,0))),"")</f>
        <v/>
      </c>
      <c r="E34" s="203"/>
      <c r="F34" s="204" t="str">
        <f>IF(F$3="","",IF(COUNTIFS(BD!$A$3:$A$5001,F$3,BD!$B$3:$B$5001,$A$26,BD!$V$3:$V$5001,"&lt;&gt;")=0,"",SUMIFS(BD!$V$3:$V$5001,BD!$A$3:$A$5001,F$3,BD!$B$3:$B$5001,$A$26)))</f>
        <v/>
      </c>
      <c r="G34" s="205" t="str">
        <f>IF(G$3="","",IF(COUNTIFS(BD!$A$3:$A$5001,G$3,BD!$B$3:$B$5001,$A$26,BD!$V$3:$V$5001,"&lt;&gt;")=0,"",SUMIFS(BD!$V$3:$V$5001,BD!$A$3:$A$5001,G$3,BD!$B$3:$B$5001,$A$26)))</f>
        <v/>
      </c>
      <c r="H34" s="205" t="str">
        <f>IF(H$3="","",IF(COUNTIFS(BD!$A$3:$A$5001,H$3,BD!$B$3:$B$5001,$A$26,BD!$V$3:$V$5001,"&lt;&gt;")=0,"",SUMIFS(BD!$V$3:$V$5001,BD!$A$3:$A$5001,H$3,BD!$B$3:$B$5001,$A$26)))</f>
        <v/>
      </c>
      <c r="I34" s="205" t="str">
        <f>IF(I$3="","",IF(COUNTIFS(BD!$A$3:$A$5001,I$3,BD!$B$3:$B$5001,$A$26,BD!$V$3:$V$5001,"&lt;&gt;")=0,"",SUMIFS(BD!$V$3:$V$5001,BD!$A$3:$A$5001,I$3,BD!$B$3:$B$5001,$A$26)))</f>
        <v/>
      </c>
      <c r="J34" s="205" t="str">
        <f>IF(J$3="","",IF(COUNTIFS(BD!$A$3:$A$5001,J$3,BD!$B$3:$B$5001,$A$26,BD!$V$3:$V$5001,"&lt;&gt;")=0,"",SUMIFS(BD!$V$3:$V$5001,BD!$A$3:$A$5001,J$3,BD!$B$3:$B$5001,$A$26)))</f>
        <v/>
      </c>
      <c r="K34" s="205" t="str">
        <f>IF(K$3="","",IF(COUNTIFS(BD!$A$3:$A$5001,K$3,BD!$B$3:$B$5001,$A$26,BD!$V$3:$V$5001,"&lt;&gt;")=0,"",SUMIFS(BD!$V$3:$V$5001,BD!$A$3:$A$5001,K$3,BD!$B$3:$B$5001,$A$26)))</f>
        <v/>
      </c>
      <c r="L34" s="205" t="str">
        <f>IF(L$3="","",IF(COUNTIFS(BD!$A$3:$A$5001,L$3,BD!$B$3:$B$5001,$A$26,BD!$V$3:$V$5001,"&lt;&gt;")=0,"",SUMIFS(BD!$V$3:$V$5001,BD!$A$3:$A$5001,L$3,BD!$B$3:$B$5001,$A$26)))</f>
        <v/>
      </c>
      <c r="M34" s="205" t="str">
        <f>IF(M$3="","",IF(COUNTIFS(BD!$A$3:$A$5001,M$3,BD!$B$3:$B$5001,$A$26,BD!$V$3:$V$5001,"&lt;&gt;")=0,"",SUMIFS(BD!$V$3:$V$5001,BD!$A$3:$A$5001,M$3,BD!$B$3:$B$5001,$A$26)))</f>
        <v/>
      </c>
      <c r="N34" s="205" t="str">
        <f>IF(N$3="","",IF(COUNTIFS(BD!$A$3:$A$5001,N$3,BD!$B$3:$B$5001,$A$26,BD!$V$3:$V$5001,"&lt;&gt;")=0,"",SUMIFS(BD!$V$3:$V$5001,BD!$A$3:$A$5001,N$3,BD!$B$3:$B$5001,$A$26)))</f>
        <v/>
      </c>
      <c r="O34" s="205" t="str">
        <f>IF(O$3="","",IF(COUNTIFS(BD!$A$3:$A$5001,O$3,BD!$B$3:$B$5001,$A$26,BD!$V$3:$V$5001,"&lt;&gt;")=0,"",SUMIFS(BD!$V$3:$V$5001,BD!$A$3:$A$5001,O$3,BD!$B$3:$B$5001,$A$26)))</f>
        <v/>
      </c>
      <c r="P34" s="205" t="str">
        <f>IF(P$3="","",IF(COUNTIFS(BD!$A$3:$A$5001,P$3,BD!$B$3:$B$5001,$A$26,BD!$V$3:$V$5001,"&lt;&gt;")=0,"",SUMIFS(BD!$V$3:$V$5001,BD!$A$3:$A$5001,P$3,BD!$B$3:$B$5001,$A$26)))</f>
        <v/>
      </c>
      <c r="Q34" s="205" t="str">
        <f>IF(Q$3="","",IF(COUNTIFS(BD!$A$3:$A$5001,Q$3,BD!$B$3:$B$5001,$A$26,BD!$V$3:$V$5001,"&lt;&gt;")=0,"",SUMIFS(BD!$V$3:$V$5001,BD!$A$3:$A$5001,Q$3,BD!$B$3:$B$5001,$A$26)))</f>
        <v/>
      </c>
      <c r="R34" s="205" t="str">
        <f>IF(R$3="","",IF(COUNTIFS(BD!$A$3:$A$5001,R$3,BD!$B$3:$B$5001,$A$26,BD!$V$3:$V$5001,"&lt;&gt;")=0,"",SUMIFS(BD!$V$3:$V$5001,BD!$A$3:$A$5001,R$3,BD!$B$3:$B$5001,$A$26)))</f>
        <v/>
      </c>
      <c r="S34" s="205" t="str">
        <f>IF(S$3="","",IF(COUNTIFS(BD!$A$3:$A$5001,S$3,BD!$B$3:$B$5001,$A$26,BD!$V$3:$V$5001,"&lt;&gt;")=0,"",SUMIFS(BD!$V$3:$V$5001,BD!$A$3:$A$5001,S$3,BD!$B$3:$B$5001,$A$26)))</f>
        <v/>
      </c>
      <c r="T34" s="205" t="str">
        <f>IF(T$3="","",IF(COUNTIFS(BD!$A$3:$A$5001,T$3,BD!$B$3:$B$5001,$A$26,BD!$V$3:$V$5001,"&lt;&gt;")=0,"",SUMIFS(BD!$V$3:$V$5001,BD!$A$3:$A$5001,T$3,BD!$B$3:$B$5001,$A$26)))</f>
        <v/>
      </c>
      <c r="U34" s="205" t="str">
        <f>IF(U$3="","",IF(COUNTIFS(BD!$A$3:$A$5001,U$3,BD!$B$3:$B$5001,$A$26,BD!$V$3:$V$5001,"&lt;&gt;")=0,"",SUMIFS(BD!$V$3:$V$5001,BD!$A$3:$A$5001,U$3,BD!$B$3:$B$5001,$A$26)))</f>
        <v/>
      </c>
      <c r="V34" s="205" t="str">
        <f>IF(V$3="","",IF(COUNTIFS(BD!$A$3:$A$5001,V$3,BD!$B$3:$B$5001,$A$26,BD!$V$3:$V$5001,"&lt;&gt;")=0,"",SUMIFS(BD!$V$3:$V$5001,BD!$A$3:$A$5001,V$3,BD!$B$3:$B$5001,$A$26)))</f>
        <v/>
      </c>
      <c r="W34" s="205" t="str">
        <f>IF(W$3="","",IF(COUNTIFS(BD!$A$3:$A$5001,W$3,BD!$B$3:$B$5001,$A$26,BD!$V$3:$V$5001,"&lt;&gt;")=0,"",SUMIFS(BD!$V$3:$V$5001,BD!$A$3:$A$5001,W$3,BD!$B$3:$B$5001,$A$26)))</f>
        <v/>
      </c>
      <c r="X34" s="205" t="str">
        <f>IF(X$3="","",IF(COUNTIFS(BD!$A$3:$A$5001,X$3,BD!$B$3:$B$5001,$A$26,BD!$V$3:$V$5001,"&lt;&gt;")=0,"",SUMIFS(BD!$V$3:$V$5001,BD!$A$3:$A$5001,X$3,BD!$B$3:$B$5001,$A$26)))</f>
        <v/>
      </c>
      <c r="Y34" s="205" t="str">
        <f>IF(Y$3="","",IF(COUNTIFS(BD!$A$3:$A$5001,Y$3,BD!$B$3:$B$5001,$A$26,BD!$V$3:$V$5001,"&lt;&gt;")=0,"",SUMIFS(BD!$V$3:$V$5001,BD!$A$3:$A$5001,Y$3,BD!$B$3:$B$5001,$A$26)))</f>
        <v/>
      </c>
      <c r="Z34" s="205" t="str">
        <f>IF(Z$3="","",IF(COUNTIFS(BD!$A$3:$A$5001,Z$3,BD!$B$3:$B$5001,$A$26,BD!$V$3:$V$5001,"&lt;&gt;")=0,"",SUMIFS(BD!$V$3:$V$5001,BD!$A$3:$A$5001,Z$3,BD!$B$3:$B$5001,$A$26)))</f>
        <v/>
      </c>
      <c r="AA34" s="205" t="str">
        <f>IF(AA$3="","",IF(COUNTIFS(BD!$A$3:$A$5001,AA$3,BD!$B$3:$B$5001,$A$26,BD!$V$3:$V$5001,"&lt;&gt;")=0,"",SUMIFS(BD!$V$3:$V$5001,BD!$A$3:$A$5001,AA$3,BD!$B$3:$B$5001,$A$26)))</f>
        <v/>
      </c>
      <c r="AB34" s="205" t="str">
        <f>IF(AB$3="","",IF(COUNTIFS(BD!$A$3:$A$5001,AB$3,BD!$B$3:$B$5001,$A$26,BD!$V$3:$V$5001,"&lt;&gt;")=0,"",SUMIFS(BD!$V$3:$V$5001,BD!$A$3:$A$5001,AB$3,BD!$B$3:$B$5001,$A$26)))</f>
        <v/>
      </c>
      <c r="AC34" s="205" t="str">
        <f>IF(AC$3="","",IF(COUNTIFS(BD!$A$3:$A$5001,AC$3,BD!$B$3:$B$5001,$A$26,BD!$V$3:$V$5001,"&lt;&gt;")=0,"",SUMIFS(BD!$V$3:$V$5001,BD!$A$3:$A$5001,AC$3,BD!$B$3:$B$5001,$A$26)))</f>
        <v/>
      </c>
      <c r="AD34" s="205" t="str">
        <f>IF(AD$3="","",IF(COUNTIFS(BD!$A$3:$A$5001,AD$3,BD!$B$3:$B$5001,$A$26,BD!$V$3:$V$5001,"&lt;&gt;")=0,"",SUMIFS(BD!$V$3:$V$5001,BD!$A$3:$A$5001,AD$3,BD!$B$3:$B$5001,$A$26)))</f>
        <v/>
      </c>
      <c r="AE34" s="205" t="str">
        <f>IF(AE$3="","",IF(COUNTIFS(BD!$A$3:$A$5001,AE$3,BD!$B$3:$B$5001,$A$26,BD!$V$3:$V$5001,"&lt;&gt;")=0,"",SUMIFS(BD!$V$3:$V$5001,BD!$A$3:$A$5001,AE$3,BD!$B$3:$B$5001,$A$26)))</f>
        <v/>
      </c>
      <c r="AF34" s="205" t="str">
        <f>IF(AF$3="","",IF(COUNTIFS(BD!$A$3:$A$5001,AF$3,BD!$B$3:$B$5001,$A$26,BD!$V$3:$V$5001,"&lt;&gt;")=0,"",SUMIFS(BD!$V$3:$V$5001,BD!$A$3:$A$5001,AF$3,BD!$B$3:$B$5001,$A$26)))</f>
        <v/>
      </c>
      <c r="AG34" s="205" t="str">
        <f>IF(AG$3="","",IF(COUNTIFS(BD!$A$3:$A$5001,AG$3,BD!$B$3:$B$5001,$A$26,BD!$V$3:$V$5001,"&lt;&gt;")=0,"",SUMIFS(BD!$V$3:$V$5001,BD!$A$3:$A$5001,AG$3,BD!$B$3:$B$5001,$A$26)))</f>
        <v/>
      </c>
      <c r="AH34" s="205" t="str">
        <f>IF(AH$3="","",IF(COUNTIFS(BD!$A$3:$A$5001,AH$3,BD!$B$3:$B$5001,$A$26,BD!$V$3:$V$5001,"&lt;&gt;")=0,"",SUMIFS(BD!$V$3:$V$5001,BD!$A$3:$A$5001,AH$3,BD!$B$3:$B$5001,$A$26)))</f>
        <v/>
      </c>
      <c r="AI34" s="205" t="str">
        <f>IF(AI$3="","",IF(COUNTIFS(BD!$A$3:$A$5001,AI$3,BD!$B$3:$B$5001,$A$26,BD!$V$3:$V$5001,"&lt;&gt;")=0,"",SUMIFS(BD!$V$3:$V$5001,BD!$A$3:$A$5001,AI$3,BD!$B$3:$B$5001,$A$26)))</f>
        <v/>
      </c>
      <c r="AJ34" s="206" t="str">
        <f>IF(AJ$3="","",IF(COUNTIFS(BD!$A$3:$A$5001,AJ$3,BD!$B$3:$B$5001,$A$26,BD!$V$3:$V$5001,"&lt;&gt;")=0,"",SUMIFS(BD!$V$3:$V$5001,BD!$A$3:$A$5001,AJ$3,BD!$B$3:$B$5001,$A$26)))</f>
        <v/>
      </c>
      <c r="AK34" s="207" t="str">
        <f>IFERROR(LOOKUP(9.99E+307,F34:AJ34),"")</f>
        <v/>
      </c>
    </row>
    <row r="35" ht="15.75" customHeight="1">
      <c r="A35" s="261"/>
      <c r="B35" s="255"/>
      <c r="C35" s="208" t="inlineStr">
        <is>
          <t xml:space="preserve">Backlog Cliente</t>
        </is>
      </c>
      <c r="D35" s="209" t="str">
        <f>IFERROR(1/(1/INDEX(BD!$AL$43:$BF$43,MATCH($A$26,BD!$AL$22:$BF$22,0))),"")</f>
        <v/>
      </c>
      <c r="E35" s="210"/>
      <c r="F35" s="211" t="str">
        <f>IF(F$3="","",IF(COUNTIFS(BD!$A$3:$A$5001,F$3,BD!$B$3:$B$5001,$A$26,BD!$W$3:$W$5001,"&lt;&gt;")=0,"",SUMIFS(BD!$W$3:$W$5001,BD!$A$3:$A$5001,F$3,BD!$B$3:$B$5001,$A$26)))</f>
        <v/>
      </c>
      <c r="G35" s="212" t="str">
        <f>IF(G$3="","",IF(COUNTIFS(BD!$A$3:$A$5001,G$3,BD!$B$3:$B$5001,$A$26,BD!$W$3:$W$5001,"&lt;&gt;")=0,"",SUMIFS(BD!$W$3:$W$5001,BD!$A$3:$A$5001,G$3,BD!$B$3:$B$5001,$A$26)))</f>
        <v/>
      </c>
      <c r="H35" s="212" t="str">
        <f>IF(H$3="","",IF(COUNTIFS(BD!$A$3:$A$5001,H$3,BD!$B$3:$B$5001,$A$26,BD!$W$3:$W$5001,"&lt;&gt;")=0,"",SUMIFS(BD!$W$3:$W$5001,BD!$A$3:$A$5001,H$3,BD!$B$3:$B$5001,$A$26)))</f>
        <v/>
      </c>
      <c r="I35" s="212" t="str">
        <f>IF(I$3="","",IF(COUNTIFS(BD!$A$3:$A$5001,I$3,BD!$B$3:$B$5001,$A$26,BD!$W$3:$W$5001,"&lt;&gt;")=0,"",SUMIFS(BD!$W$3:$W$5001,BD!$A$3:$A$5001,I$3,BD!$B$3:$B$5001,$A$26)))</f>
        <v/>
      </c>
      <c r="J35" s="212" t="str">
        <f>IF(J$3="","",IF(COUNTIFS(BD!$A$3:$A$5001,J$3,BD!$B$3:$B$5001,$A$26,BD!$W$3:$W$5001,"&lt;&gt;")=0,"",SUMIFS(BD!$W$3:$W$5001,BD!$A$3:$A$5001,J$3,BD!$B$3:$B$5001,$A$26)))</f>
        <v/>
      </c>
      <c r="K35" s="212" t="str">
        <f>IF(K$3="","",IF(COUNTIFS(BD!$A$3:$A$5001,K$3,BD!$B$3:$B$5001,$A$26,BD!$W$3:$W$5001,"&lt;&gt;")=0,"",SUMIFS(BD!$W$3:$W$5001,BD!$A$3:$A$5001,K$3,BD!$B$3:$B$5001,$A$26)))</f>
        <v/>
      </c>
      <c r="L35" s="212" t="str">
        <f>IF(L$3="","",IF(COUNTIFS(BD!$A$3:$A$5001,L$3,BD!$B$3:$B$5001,$A$26,BD!$W$3:$W$5001,"&lt;&gt;")=0,"",SUMIFS(BD!$W$3:$W$5001,BD!$A$3:$A$5001,L$3,BD!$B$3:$B$5001,$A$26)))</f>
        <v/>
      </c>
      <c r="M35" s="212" t="str">
        <f>IF(M$3="","",IF(COUNTIFS(BD!$A$3:$A$5001,M$3,BD!$B$3:$B$5001,$A$26,BD!$W$3:$W$5001,"&lt;&gt;")=0,"",SUMIFS(BD!$W$3:$W$5001,BD!$A$3:$A$5001,M$3,BD!$B$3:$B$5001,$A$26)))</f>
        <v/>
      </c>
      <c r="N35" s="212" t="str">
        <f>IF(N$3="","",IF(COUNTIFS(BD!$A$3:$A$5001,N$3,BD!$B$3:$B$5001,$A$26,BD!$W$3:$W$5001,"&lt;&gt;")=0,"",SUMIFS(BD!$W$3:$W$5001,BD!$A$3:$A$5001,N$3,BD!$B$3:$B$5001,$A$26)))</f>
        <v/>
      </c>
      <c r="O35" s="212" t="str">
        <f>IF(O$3="","",IF(COUNTIFS(BD!$A$3:$A$5001,O$3,BD!$B$3:$B$5001,$A$26,BD!$W$3:$W$5001,"&lt;&gt;")=0,"",SUMIFS(BD!$W$3:$W$5001,BD!$A$3:$A$5001,O$3,BD!$B$3:$B$5001,$A$26)))</f>
        <v/>
      </c>
      <c r="P35" s="212" t="str">
        <f>IF(P$3="","",IF(COUNTIFS(BD!$A$3:$A$5001,P$3,BD!$B$3:$B$5001,$A$26,BD!$W$3:$W$5001,"&lt;&gt;")=0,"",SUMIFS(BD!$W$3:$W$5001,BD!$A$3:$A$5001,P$3,BD!$B$3:$B$5001,$A$26)))</f>
        <v/>
      </c>
      <c r="Q35" s="212" t="str">
        <f>IF(Q$3="","",IF(COUNTIFS(BD!$A$3:$A$5001,Q$3,BD!$B$3:$B$5001,$A$26,BD!$W$3:$W$5001,"&lt;&gt;")=0,"",SUMIFS(BD!$W$3:$W$5001,BD!$A$3:$A$5001,Q$3,BD!$B$3:$B$5001,$A$26)))</f>
        <v/>
      </c>
      <c r="R35" s="212" t="str">
        <f>IF(R$3="","",IF(COUNTIFS(BD!$A$3:$A$5001,R$3,BD!$B$3:$B$5001,$A$26,BD!$W$3:$W$5001,"&lt;&gt;")=0,"",SUMIFS(BD!$W$3:$W$5001,BD!$A$3:$A$5001,R$3,BD!$B$3:$B$5001,$A$26)))</f>
        <v/>
      </c>
      <c r="S35" s="212" t="str">
        <f>IF(S$3="","",IF(COUNTIFS(BD!$A$3:$A$5001,S$3,BD!$B$3:$B$5001,$A$26,BD!$W$3:$W$5001,"&lt;&gt;")=0,"",SUMIFS(BD!$W$3:$W$5001,BD!$A$3:$A$5001,S$3,BD!$B$3:$B$5001,$A$26)))</f>
        <v/>
      </c>
      <c r="T35" s="212" t="str">
        <f>IF(T$3="","",IF(COUNTIFS(BD!$A$3:$A$5001,T$3,BD!$B$3:$B$5001,$A$26,BD!$W$3:$W$5001,"&lt;&gt;")=0,"",SUMIFS(BD!$W$3:$W$5001,BD!$A$3:$A$5001,T$3,BD!$B$3:$B$5001,$A$26)))</f>
        <v/>
      </c>
      <c r="U35" s="212" t="str">
        <f>IF(U$3="","",IF(COUNTIFS(BD!$A$3:$A$5001,U$3,BD!$B$3:$B$5001,$A$26,BD!$W$3:$W$5001,"&lt;&gt;")=0,"",SUMIFS(BD!$W$3:$W$5001,BD!$A$3:$A$5001,U$3,BD!$B$3:$B$5001,$A$26)))</f>
        <v/>
      </c>
      <c r="V35" s="212" t="str">
        <f>IF(V$3="","",IF(COUNTIFS(BD!$A$3:$A$5001,V$3,BD!$B$3:$B$5001,$A$26,BD!$W$3:$W$5001,"&lt;&gt;")=0,"",SUMIFS(BD!$W$3:$W$5001,BD!$A$3:$A$5001,V$3,BD!$B$3:$B$5001,$A$26)))</f>
        <v/>
      </c>
      <c r="W35" s="212" t="str">
        <f>IF(W$3="","",IF(COUNTIFS(BD!$A$3:$A$5001,W$3,BD!$B$3:$B$5001,$A$26,BD!$W$3:$W$5001,"&lt;&gt;")=0,"",SUMIFS(BD!$W$3:$W$5001,BD!$A$3:$A$5001,W$3,BD!$B$3:$B$5001,$A$26)))</f>
        <v/>
      </c>
      <c r="X35" s="212" t="str">
        <f>IF(X$3="","",IF(COUNTIFS(BD!$A$3:$A$5001,X$3,BD!$B$3:$B$5001,$A$26,BD!$W$3:$W$5001,"&lt;&gt;")=0,"",SUMIFS(BD!$W$3:$W$5001,BD!$A$3:$A$5001,X$3,BD!$B$3:$B$5001,$A$26)))</f>
        <v/>
      </c>
      <c r="Y35" s="212" t="str">
        <f>IF(Y$3="","",IF(COUNTIFS(BD!$A$3:$A$5001,Y$3,BD!$B$3:$B$5001,$A$26,BD!$W$3:$W$5001,"&lt;&gt;")=0,"",SUMIFS(BD!$W$3:$W$5001,BD!$A$3:$A$5001,Y$3,BD!$B$3:$B$5001,$A$26)))</f>
        <v/>
      </c>
      <c r="Z35" s="212" t="str">
        <f>IF(Z$3="","",IF(COUNTIFS(BD!$A$3:$A$5001,Z$3,BD!$B$3:$B$5001,$A$26,BD!$W$3:$W$5001,"&lt;&gt;")=0,"",SUMIFS(BD!$W$3:$W$5001,BD!$A$3:$A$5001,Z$3,BD!$B$3:$B$5001,$A$26)))</f>
        <v/>
      </c>
      <c r="AA35" s="212" t="str">
        <f>IF(AA$3="","",IF(COUNTIFS(BD!$A$3:$A$5001,AA$3,BD!$B$3:$B$5001,$A$26,BD!$W$3:$W$5001,"&lt;&gt;")=0,"",SUMIFS(BD!$W$3:$W$5001,BD!$A$3:$A$5001,AA$3,BD!$B$3:$B$5001,$A$26)))</f>
        <v/>
      </c>
      <c r="AB35" s="212" t="str">
        <f>IF(AB$3="","",IF(COUNTIFS(BD!$A$3:$A$5001,AB$3,BD!$B$3:$B$5001,$A$26,BD!$W$3:$W$5001,"&lt;&gt;")=0,"",SUMIFS(BD!$W$3:$W$5001,BD!$A$3:$A$5001,AB$3,BD!$B$3:$B$5001,$A$26)))</f>
        <v/>
      </c>
      <c r="AC35" s="212" t="str">
        <f>IF(AC$3="","",IF(COUNTIFS(BD!$A$3:$A$5001,AC$3,BD!$B$3:$B$5001,$A$26,BD!$W$3:$W$5001,"&lt;&gt;")=0,"",SUMIFS(BD!$W$3:$W$5001,BD!$A$3:$A$5001,AC$3,BD!$B$3:$B$5001,$A$26)))</f>
        <v/>
      </c>
      <c r="AD35" s="212" t="str">
        <f>IF(AD$3="","",IF(COUNTIFS(BD!$A$3:$A$5001,AD$3,BD!$B$3:$B$5001,$A$26,BD!$W$3:$W$5001,"&lt;&gt;")=0,"",SUMIFS(BD!$W$3:$W$5001,BD!$A$3:$A$5001,AD$3,BD!$B$3:$B$5001,$A$26)))</f>
        <v/>
      </c>
      <c r="AE35" s="212" t="str">
        <f>IF(AE$3="","",IF(COUNTIFS(BD!$A$3:$A$5001,AE$3,BD!$B$3:$B$5001,$A$26,BD!$W$3:$W$5001,"&lt;&gt;")=0,"",SUMIFS(BD!$W$3:$W$5001,BD!$A$3:$A$5001,AE$3,BD!$B$3:$B$5001,$A$26)))</f>
        <v/>
      </c>
      <c r="AF35" s="212" t="str">
        <f>IF(AF$3="","",IF(COUNTIFS(BD!$A$3:$A$5001,AF$3,BD!$B$3:$B$5001,$A$26,BD!$W$3:$W$5001,"&lt;&gt;")=0,"",SUMIFS(BD!$W$3:$W$5001,BD!$A$3:$A$5001,AF$3,BD!$B$3:$B$5001,$A$26)))</f>
        <v/>
      </c>
      <c r="AG35" s="212" t="str">
        <f>IF(AG$3="","",IF(COUNTIFS(BD!$A$3:$A$5001,AG$3,BD!$B$3:$B$5001,$A$26,BD!$W$3:$W$5001,"&lt;&gt;")=0,"",SUMIFS(BD!$W$3:$W$5001,BD!$A$3:$A$5001,AG$3,BD!$B$3:$B$5001,$A$26)))</f>
        <v/>
      </c>
      <c r="AH35" s="212" t="str">
        <f>IF(AH$3="","",IF(COUNTIFS(BD!$A$3:$A$5001,AH$3,BD!$B$3:$B$5001,$A$26,BD!$W$3:$W$5001,"&lt;&gt;")=0,"",SUMIFS(BD!$W$3:$W$5001,BD!$A$3:$A$5001,AH$3,BD!$B$3:$B$5001,$A$26)))</f>
        <v/>
      </c>
      <c r="AI35" s="212" t="str">
        <f>IF(AI$3="","",IF(COUNTIFS(BD!$A$3:$A$5001,AI$3,BD!$B$3:$B$5001,$A$26,BD!$W$3:$W$5001,"&lt;&gt;")=0,"",SUMIFS(BD!$W$3:$W$5001,BD!$A$3:$A$5001,AI$3,BD!$B$3:$B$5001,$A$26)))</f>
        <v/>
      </c>
      <c r="AJ35" s="213" t="str">
        <f>IF(AJ$3="","",IF(COUNTIFS(BD!$A$3:$A$5001,AJ$3,BD!$B$3:$B$5001,$A$26,BD!$W$3:$W$5001,"&lt;&gt;")=0,"",SUMIFS(BD!$W$3:$W$5001,BD!$A$3:$A$5001,AJ$3,BD!$B$3:$B$5001,$A$26)))</f>
        <v/>
      </c>
      <c r="AK35" s="209" t="str">
        <f>IFERROR(LOOKUP(9.99E+307,F35:AJ35),"")</f>
        <v/>
      </c>
    </row>
    <row r="36" ht="15.75" customHeight="1">
      <c r="A36" s="261"/>
      <c r="B36" s="249" t="inlineStr">
        <is>
          <t xml:space="preserve">OCUPAÇÃO (P.P)</t>
        </is>
      </c>
      <c r="C36" s="168" t="inlineStr">
        <is>
          <t xml:space="preserve">Posições Disponíveis</t>
        </is>
      </c>
      <c r="D36" s="169" t="str">
        <f>IFERROR(1/(1/INDEX(BD!$AL$44:$BF$44,MATCH($A$26,BD!$AL$22:$BF$22,0))),"")</f>
        <v/>
      </c>
      <c r="E36" s="170"/>
      <c r="F36" s="171" t="str">
        <f>IF(F$3="","",IF(COUNTIFS(BD!$A$3:$A$5001,F$3,BD!$B$3:$B$5001,$A$26,BD!$X$3:$X$5001,"&lt;&gt;")=0,"",SUMIFS(BD!$X$3:$X$5001,BD!$A$3:$A$5001,F$3,BD!$B$3:$B$5001,$A$26)))</f>
        <v/>
      </c>
      <c r="G36" s="172" t="str">
        <f>IF(G$3="","",IF(COUNTIFS(BD!$A$3:$A$5001,G$3,BD!$B$3:$B$5001,$A$26,BD!$X$3:$X$5001,"&lt;&gt;")=0,"",SUMIFS(BD!$X$3:$X$5001,BD!$A$3:$A$5001,G$3,BD!$B$3:$B$5001,$A$26)))</f>
        <v/>
      </c>
      <c r="H36" s="172" t="str">
        <f>IF(H$3="","",IF(COUNTIFS(BD!$A$3:$A$5001,H$3,BD!$B$3:$B$5001,$A$26,BD!$X$3:$X$5001,"&lt;&gt;")=0,"",SUMIFS(BD!$X$3:$X$5001,BD!$A$3:$A$5001,H$3,BD!$B$3:$B$5001,$A$26)))</f>
        <v/>
      </c>
      <c r="I36" s="172" t="str">
        <f>IF(I$3="","",IF(COUNTIFS(BD!$A$3:$A$5001,I$3,BD!$B$3:$B$5001,$A$26,BD!$X$3:$X$5001,"&lt;&gt;")=0,"",SUMIFS(BD!$X$3:$X$5001,BD!$A$3:$A$5001,I$3,BD!$B$3:$B$5001,$A$26)))</f>
        <v/>
      </c>
      <c r="J36" s="172" t="str">
        <f>IF(J$3="","",IF(COUNTIFS(BD!$A$3:$A$5001,J$3,BD!$B$3:$B$5001,$A$26,BD!$X$3:$X$5001,"&lt;&gt;")=0,"",SUMIFS(BD!$X$3:$X$5001,BD!$A$3:$A$5001,J$3,BD!$B$3:$B$5001,$A$26)))</f>
        <v/>
      </c>
      <c r="K36" s="172" t="str">
        <f>IF(K$3="","",IF(COUNTIFS(BD!$A$3:$A$5001,K$3,BD!$B$3:$B$5001,$A$26,BD!$X$3:$X$5001,"&lt;&gt;")=0,"",SUMIFS(BD!$X$3:$X$5001,BD!$A$3:$A$5001,K$3,BD!$B$3:$B$5001,$A$26)))</f>
        <v/>
      </c>
      <c r="L36" s="172" t="str">
        <f>IF(L$3="","",IF(COUNTIFS(BD!$A$3:$A$5001,L$3,BD!$B$3:$B$5001,$A$26,BD!$X$3:$X$5001,"&lt;&gt;")=0,"",SUMIFS(BD!$X$3:$X$5001,BD!$A$3:$A$5001,L$3,BD!$B$3:$B$5001,$A$26)))</f>
        <v/>
      </c>
      <c r="M36" s="172" t="str">
        <f>IF(M$3="","",IF(COUNTIFS(BD!$A$3:$A$5001,M$3,BD!$B$3:$B$5001,$A$26,BD!$X$3:$X$5001,"&lt;&gt;")=0,"",SUMIFS(BD!$X$3:$X$5001,BD!$A$3:$A$5001,M$3,BD!$B$3:$B$5001,$A$26)))</f>
        <v/>
      </c>
      <c r="N36" s="172" t="str">
        <f>IF(N$3="","",IF(COUNTIFS(BD!$A$3:$A$5001,N$3,BD!$B$3:$B$5001,$A$26,BD!$X$3:$X$5001,"&lt;&gt;")=0,"",SUMIFS(BD!$X$3:$X$5001,BD!$A$3:$A$5001,N$3,BD!$B$3:$B$5001,$A$26)))</f>
        <v/>
      </c>
      <c r="O36" s="172" t="str">
        <f>IF(O$3="","",IF(COUNTIFS(BD!$A$3:$A$5001,O$3,BD!$B$3:$B$5001,$A$26,BD!$X$3:$X$5001,"&lt;&gt;")=0,"",SUMIFS(BD!$X$3:$X$5001,BD!$A$3:$A$5001,O$3,BD!$B$3:$B$5001,$A$26)))</f>
        <v/>
      </c>
      <c r="P36" s="172" t="str">
        <f>IF(P$3="","",IF(COUNTIFS(BD!$A$3:$A$5001,P$3,BD!$B$3:$B$5001,$A$26,BD!$X$3:$X$5001,"&lt;&gt;")=0,"",SUMIFS(BD!$X$3:$X$5001,BD!$A$3:$A$5001,P$3,BD!$B$3:$B$5001,$A$26)))</f>
        <v/>
      </c>
      <c r="Q36" s="172" t="str">
        <f>IF(Q$3="","",IF(COUNTIFS(BD!$A$3:$A$5001,Q$3,BD!$B$3:$B$5001,$A$26,BD!$X$3:$X$5001,"&lt;&gt;")=0,"",SUMIFS(BD!$X$3:$X$5001,BD!$A$3:$A$5001,Q$3,BD!$B$3:$B$5001,$A$26)))</f>
        <v/>
      </c>
      <c r="R36" s="172" t="str">
        <f>IF(R$3="","",IF(COUNTIFS(BD!$A$3:$A$5001,R$3,BD!$B$3:$B$5001,$A$26,BD!$X$3:$X$5001,"&lt;&gt;")=0,"",SUMIFS(BD!$X$3:$X$5001,BD!$A$3:$A$5001,R$3,BD!$B$3:$B$5001,$A$26)))</f>
        <v/>
      </c>
      <c r="S36" s="172" t="str">
        <f>IF(S$3="","",IF(COUNTIFS(BD!$A$3:$A$5001,S$3,BD!$B$3:$B$5001,$A$26,BD!$X$3:$X$5001,"&lt;&gt;")=0,"",SUMIFS(BD!$X$3:$X$5001,BD!$A$3:$A$5001,S$3,BD!$B$3:$B$5001,$A$26)))</f>
        <v/>
      </c>
      <c r="T36" s="172" t="str">
        <f>IF(T$3="","",IF(COUNTIFS(BD!$A$3:$A$5001,T$3,BD!$B$3:$B$5001,$A$26,BD!$X$3:$X$5001,"&lt;&gt;")=0,"",SUMIFS(BD!$X$3:$X$5001,BD!$A$3:$A$5001,T$3,BD!$B$3:$B$5001,$A$26)))</f>
        <v/>
      </c>
      <c r="U36" s="172" t="str">
        <f>IF(U$3="","",IF(COUNTIFS(BD!$A$3:$A$5001,U$3,BD!$B$3:$B$5001,$A$26,BD!$X$3:$X$5001,"&lt;&gt;")=0,"",SUMIFS(BD!$X$3:$X$5001,BD!$A$3:$A$5001,U$3,BD!$B$3:$B$5001,$A$26)))</f>
        <v/>
      </c>
      <c r="V36" s="172" t="str">
        <f>IF(V$3="","",IF(COUNTIFS(BD!$A$3:$A$5001,V$3,BD!$B$3:$B$5001,$A$26,BD!$X$3:$X$5001,"&lt;&gt;")=0,"",SUMIFS(BD!$X$3:$X$5001,BD!$A$3:$A$5001,V$3,BD!$B$3:$B$5001,$A$26)))</f>
        <v/>
      </c>
      <c r="W36" s="172" t="str">
        <f>IF(W$3="","",IF(COUNTIFS(BD!$A$3:$A$5001,W$3,BD!$B$3:$B$5001,$A$26,BD!$X$3:$X$5001,"&lt;&gt;")=0,"",SUMIFS(BD!$X$3:$X$5001,BD!$A$3:$A$5001,W$3,BD!$B$3:$B$5001,$A$26)))</f>
        <v/>
      </c>
      <c r="X36" s="172" t="str">
        <f>IF(X$3="","",IF(COUNTIFS(BD!$A$3:$A$5001,X$3,BD!$B$3:$B$5001,$A$26,BD!$X$3:$X$5001,"&lt;&gt;")=0,"",SUMIFS(BD!$X$3:$X$5001,BD!$A$3:$A$5001,X$3,BD!$B$3:$B$5001,$A$26)))</f>
        <v/>
      </c>
      <c r="Y36" s="172" t="str">
        <f>IF(Y$3="","",IF(COUNTIFS(BD!$A$3:$A$5001,Y$3,BD!$B$3:$B$5001,$A$26,BD!$X$3:$X$5001,"&lt;&gt;")=0,"",SUMIFS(BD!$X$3:$X$5001,BD!$A$3:$A$5001,Y$3,BD!$B$3:$B$5001,$A$26)))</f>
        <v/>
      </c>
      <c r="Z36" s="172" t="str">
        <f>IF(Z$3="","",IF(COUNTIFS(BD!$A$3:$A$5001,Z$3,BD!$B$3:$B$5001,$A$26,BD!$X$3:$X$5001,"&lt;&gt;")=0,"",SUMIFS(BD!$X$3:$X$5001,BD!$A$3:$A$5001,Z$3,BD!$B$3:$B$5001,$A$26)))</f>
        <v/>
      </c>
      <c r="AA36" s="172" t="str">
        <f>IF(AA$3="","",IF(COUNTIFS(BD!$A$3:$A$5001,AA$3,BD!$B$3:$B$5001,$A$26,BD!$X$3:$X$5001,"&lt;&gt;")=0,"",SUMIFS(BD!$X$3:$X$5001,BD!$A$3:$A$5001,AA$3,BD!$B$3:$B$5001,$A$26)))</f>
        <v/>
      </c>
      <c r="AB36" s="172" t="str">
        <f>IF(AB$3="","",IF(COUNTIFS(BD!$A$3:$A$5001,AB$3,BD!$B$3:$B$5001,$A$26,BD!$X$3:$X$5001,"&lt;&gt;")=0,"",SUMIFS(BD!$X$3:$X$5001,BD!$A$3:$A$5001,AB$3,BD!$B$3:$B$5001,$A$26)))</f>
        <v/>
      </c>
      <c r="AC36" s="172" t="str">
        <f>IF(AC$3="","",IF(COUNTIFS(BD!$A$3:$A$5001,AC$3,BD!$B$3:$B$5001,$A$26,BD!$X$3:$X$5001,"&lt;&gt;")=0,"",SUMIFS(BD!$X$3:$X$5001,BD!$A$3:$A$5001,AC$3,BD!$B$3:$B$5001,$A$26)))</f>
        <v/>
      </c>
      <c r="AD36" s="172" t="str">
        <f>IF(AD$3="","",IF(COUNTIFS(BD!$A$3:$A$5001,AD$3,BD!$B$3:$B$5001,$A$26,BD!$X$3:$X$5001,"&lt;&gt;")=0,"",SUMIFS(BD!$X$3:$X$5001,BD!$A$3:$A$5001,AD$3,BD!$B$3:$B$5001,$A$26)))</f>
        <v/>
      </c>
      <c r="AE36" s="172" t="str">
        <f>IF(AE$3="","",IF(COUNTIFS(BD!$A$3:$A$5001,AE$3,BD!$B$3:$B$5001,$A$26,BD!$X$3:$X$5001,"&lt;&gt;")=0,"",SUMIFS(BD!$X$3:$X$5001,BD!$A$3:$A$5001,AE$3,BD!$B$3:$B$5001,$A$26)))</f>
        <v/>
      </c>
      <c r="AF36" s="172" t="str">
        <f>IF(AF$3="","",IF(COUNTIFS(BD!$A$3:$A$5001,AF$3,BD!$B$3:$B$5001,$A$26,BD!$X$3:$X$5001,"&lt;&gt;")=0,"",SUMIFS(BD!$X$3:$X$5001,BD!$A$3:$A$5001,AF$3,BD!$B$3:$B$5001,$A$26)))</f>
        <v/>
      </c>
      <c r="AG36" s="172" t="str">
        <f>IF(AG$3="","",IF(COUNTIFS(BD!$A$3:$A$5001,AG$3,BD!$B$3:$B$5001,$A$26,BD!$X$3:$X$5001,"&lt;&gt;")=0,"",SUMIFS(BD!$X$3:$X$5001,BD!$A$3:$A$5001,AG$3,BD!$B$3:$B$5001,$A$26)))</f>
        <v/>
      </c>
      <c r="AH36" s="172" t="str">
        <f>IF(AH$3="","",IF(COUNTIFS(BD!$A$3:$A$5001,AH$3,BD!$B$3:$B$5001,$A$26,BD!$X$3:$X$5001,"&lt;&gt;")=0,"",SUMIFS(BD!$X$3:$X$5001,BD!$A$3:$A$5001,AH$3,BD!$B$3:$B$5001,$A$26)))</f>
        <v/>
      </c>
      <c r="AI36" s="172" t="str">
        <f>IF(AI$3="","",IF(COUNTIFS(BD!$A$3:$A$5001,AI$3,BD!$B$3:$B$5001,$A$26,BD!$X$3:$X$5001,"&lt;&gt;")=0,"",SUMIFS(BD!$X$3:$X$5001,BD!$A$3:$A$5001,AI$3,BD!$B$3:$B$5001,$A$26)))</f>
        <v/>
      </c>
      <c r="AJ36" s="173" t="str">
        <f>IF(AJ$3="","",IF(COUNTIFS(BD!$A$3:$A$5001,AJ$3,BD!$B$3:$B$5001,$A$26,BD!$X$3:$X$5001,"&lt;&gt;")=0,"",SUMIFS(BD!$X$3:$X$5001,BD!$A$3:$A$5001,AJ$3,BD!$B$3:$B$5001,$A$26)))</f>
        <v/>
      </c>
      <c r="AK36" s="174" t="str">
        <f>IF(COUNT(F36:AJ36)&gt;0,LOOKUP(9.99E+307,F36:AJ36),IFERROR(IF(INDEX(BD!$AI$3:$AI$5001,MATCH($A$26,BD!$B$3:$B$5001,0))&amp;""="Contrato","",INDEX(BD!$AI$3:$AI$5001,MATCH($A$26,BD!$B$3:$B$5001,0))&amp;""),""))</f>
        <v/>
      </c>
    </row>
    <row r="37" ht="15.75" customHeight="1">
      <c r="A37" s="261"/>
      <c r="B37" s="256"/>
      <c r="C37" s="214" t="inlineStr">
        <is>
          <t xml:space="preserve">Posições Ocupadas</t>
        </is>
      </c>
      <c r="D37" s="215" t="str">
        <f>IFERROR(1/(1/INDEX(BD!$AL$45:$BF$45,MATCH($A$26,BD!$AL$22:$BF$22,0))),"")</f>
        <v/>
      </c>
      <c r="E37" s="216"/>
      <c r="F37" s="217" t="str">
        <f>IF(F$3="","",IF(COUNTIFS(BD!$A$3:$A$5001,F$3,BD!$B$3:$B$5001,$A$26,BD!$Y$3:$Y$5001,"&lt;&gt;")=0,"",SUMIFS(BD!$Y$3:$Y$5001,BD!$A$3:$A$5001,F$3,BD!$B$3:$B$5001,$A$26)))</f>
        <v/>
      </c>
      <c r="G37" s="218" t="str">
        <f>IF(G$3="","",IF(COUNTIFS(BD!$A$3:$A$5001,G$3,BD!$B$3:$B$5001,$A$26,BD!$Y$3:$Y$5001,"&lt;&gt;")=0,"",SUMIFS(BD!$Y$3:$Y$5001,BD!$A$3:$A$5001,G$3,BD!$B$3:$B$5001,$A$26)))</f>
        <v/>
      </c>
      <c r="H37" s="218" t="str">
        <f>IF(H$3="","",IF(COUNTIFS(BD!$A$3:$A$5001,H$3,BD!$B$3:$B$5001,$A$26,BD!$Y$3:$Y$5001,"&lt;&gt;")=0,"",SUMIFS(BD!$Y$3:$Y$5001,BD!$A$3:$A$5001,H$3,BD!$B$3:$B$5001,$A$26)))</f>
        <v/>
      </c>
      <c r="I37" s="218" t="str">
        <f>IF(I$3="","",IF(COUNTIFS(BD!$A$3:$A$5001,I$3,BD!$B$3:$B$5001,$A$26,BD!$Y$3:$Y$5001,"&lt;&gt;")=0,"",SUMIFS(BD!$Y$3:$Y$5001,BD!$A$3:$A$5001,I$3,BD!$B$3:$B$5001,$A$26)))</f>
        <v/>
      </c>
      <c r="J37" s="218" t="str">
        <f>IF(J$3="","",IF(COUNTIFS(BD!$A$3:$A$5001,J$3,BD!$B$3:$B$5001,$A$26,BD!$Y$3:$Y$5001,"&lt;&gt;")=0,"",SUMIFS(BD!$Y$3:$Y$5001,BD!$A$3:$A$5001,J$3,BD!$B$3:$B$5001,$A$26)))</f>
        <v/>
      </c>
      <c r="K37" s="218" t="str">
        <f>IF(K$3="","",IF(COUNTIFS(BD!$A$3:$A$5001,K$3,BD!$B$3:$B$5001,$A$26,BD!$Y$3:$Y$5001,"&lt;&gt;")=0,"",SUMIFS(BD!$Y$3:$Y$5001,BD!$A$3:$A$5001,K$3,BD!$B$3:$B$5001,$A$26)))</f>
        <v/>
      </c>
      <c r="L37" s="218" t="str">
        <f>IF(L$3="","",IF(COUNTIFS(BD!$A$3:$A$5001,L$3,BD!$B$3:$B$5001,$A$26,BD!$Y$3:$Y$5001,"&lt;&gt;")=0,"",SUMIFS(BD!$Y$3:$Y$5001,BD!$A$3:$A$5001,L$3,BD!$B$3:$B$5001,$A$26)))</f>
        <v/>
      </c>
      <c r="M37" s="218" t="str">
        <f>IF(M$3="","",IF(COUNTIFS(BD!$A$3:$A$5001,M$3,BD!$B$3:$B$5001,$A$26,BD!$Y$3:$Y$5001,"&lt;&gt;")=0,"",SUMIFS(BD!$Y$3:$Y$5001,BD!$A$3:$A$5001,M$3,BD!$B$3:$B$5001,$A$26)))</f>
        <v/>
      </c>
      <c r="N37" s="218" t="str">
        <f>IF(N$3="","",IF(COUNTIFS(BD!$A$3:$A$5001,N$3,BD!$B$3:$B$5001,$A$26,BD!$Y$3:$Y$5001,"&lt;&gt;")=0,"",SUMIFS(BD!$Y$3:$Y$5001,BD!$A$3:$A$5001,N$3,BD!$B$3:$B$5001,$A$26)))</f>
        <v/>
      </c>
      <c r="O37" s="218" t="str">
        <f>IF(O$3="","",IF(COUNTIFS(BD!$A$3:$A$5001,O$3,BD!$B$3:$B$5001,$A$26,BD!$Y$3:$Y$5001,"&lt;&gt;")=0,"",SUMIFS(BD!$Y$3:$Y$5001,BD!$A$3:$A$5001,O$3,BD!$B$3:$B$5001,$A$26)))</f>
        <v/>
      </c>
      <c r="P37" s="218" t="str">
        <f>IF(P$3="","",IF(COUNTIFS(BD!$A$3:$A$5001,P$3,BD!$B$3:$B$5001,$A$26,BD!$Y$3:$Y$5001,"&lt;&gt;")=0,"",SUMIFS(BD!$Y$3:$Y$5001,BD!$A$3:$A$5001,P$3,BD!$B$3:$B$5001,$A$26)))</f>
        <v/>
      </c>
      <c r="Q37" s="218" t="str">
        <f>IF(Q$3="","",IF(COUNTIFS(BD!$A$3:$A$5001,Q$3,BD!$B$3:$B$5001,$A$26,BD!$Y$3:$Y$5001,"&lt;&gt;")=0,"",SUMIFS(BD!$Y$3:$Y$5001,BD!$A$3:$A$5001,Q$3,BD!$B$3:$B$5001,$A$26)))</f>
        <v/>
      </c>
      <c r="R37" s="218" t="str">
        <f>IF(R$3="","",IF(COUNTIFS(BD!$A$3:$A$5001,R$3,BD!$B$3:$B$5001,$A$26,BD!$Y$3:$Y$5001,"&lt;&gt;")=0,"",SUMIFS(BD!$Y$3:$Y$5001,BD!$A$3:$A$5001,R$3,BD!$B$3:$B$5001,$A$26)))</f>
        <v/>
      </c>
      <c r="S37" s="218" t="str">
        <f>IF(S$3="","",IF(COUNTIFS(BD!$A$3:$A$5001,S$3,BD!$B$3:$B$5001,$A$26,BD!$Y$3:$Y$5001,"&lt;&gt;")=0,"",SUMIFS(BD!$Y$3:$Y$5001,BD!$A$3:$A$5001,S$3,BD!$B$3:$B$5001,$A$26)))</f>
        <v/>
      </c>
      <c r="T37" s="218" t="str">
        <f>IF(T$3="","",IF(COUNTIFS(BD!$A$3:$A$5001,T$3,BD!$B$3:$B$5001,$A$26,BD!$Y$3:$Y$5001,"&lt;&gt;")=0,"",SUMIFS(BD!$Y$3:$Y$5001,BD!$A$3:$A$5001,T$3,BD!$B$3:$B$5001,$A$26)))</f>
        <v/>
      </c>
      <c r="U37" s="218" t="str">
        <f>IF(U$3="","",IF(COUNTIFS(BD!$A$3:$A$5001,U$3,BD!$B$3:$B$5001,$A$26,BD!$Y$3:$Y$5001,"&lt;&gt;")=0,"",SUMIFS(BD!$Y$3:$Y$5001,BD!$A$3:$A$5001,U$3,BD!$B$3:$B$5001,$A$26)))</f>
        <v/>
      </c>
      <c r="V37" s="218" t="str">
        <f>IF(V$3="","",IF(COUNTIFS(BD!$A$3:$A$5001,V$3,BD!$B$3:$B$5001,$A$26,BD!$Y$3:$Y$5001,"&lt;&gt;")=0,"",SUMIFS(BD!$Y$3:$Y$5001,BD!$A$3:$A$5001,V$3,BD!$B$3:$B$5001,$A$26)))</f>
        <v/>
      </c>
      <c r="W37" s="218" t="str">
        <f>IF(W$3="","",IF(COUNTIFS(BD!$A$3:$A$5001,W$3,BD!$B$3:$B$5001,$A$26,BD!$Y$3:$Y$5001,"&lt;&gt;")=0,"",SUMIFS(BD!$Y$3:$Y$5001,BD!$A$3:$A$5001,W$3,BD!$B$3:$B$5001,$A$26)))</f>
        <v/>
      </c>
      <c r="X37" s="218" t="str">
        <f>IF(X$3="","",IF(COUNTIFS(BD!$A$3:$A$5001,X$3,BD!$B$3:$B$5001,$A$26,BD!$Y$3:$Y$5001,"&lt;&gt;")=0,"",SUMIFS(BD!$Y$3:$Y$5001,BD!$A$3:$A$5001,X$3,BD!$B$3:$B$5001,$A$26)))</f>
        <v/>
      </c>
      <c r="Y37" s="218" t="str">
        <f>IF(Y$3="","",IF(COUNTIFS(BD!$A$3:$A$5001,Y$3,BD!$B$3:$B$5001,$A$26,BD!$Y$3:$Y$5001,"&lt;&gt;")=0,"",SUMIFS(BD!$Y$3:$Y$5001,BD!$A$3:$A$5001,Y$3,BD!$B$3:$B$5001,$A$26)))</f>
        <v/>
      </c>
      <c r="Z37" s="218" t="str">
        <f>IF(Z$3="","",IF(COUNTIFS(BD!$A$3:$A$5001,Z$3,BD!$B$3:$B$5001,$A$26,BD!$Y$3:$Y$5001,"&lt;&gt;")=0,"",SUMIFS(BD!$Y$3:$Y$5001,BD!$A$3:$A$5001,Z$3,BD!$B$3:$B$5001,$A$26)))</f>
        <v/>
      </c>
      <c r="AA37" s="218" t="str">
        <f>IF(AA$3="","",IF(COUNTIFS(BD!$A$3:$A$5001,AA$3,BD!$B$3:$B$5001,$A$26,BD!$Y$3:$Y$5001,"&lt;&gt;")=0,"",SUMIFS(BD!$Y$3:$Y$5001,BD!$A$3:$A$5001,AA$3,BD!$B$3:$B$5001,$A$26)))</f>
        <v/>
      </c>
      <c r="AB37" s="218" t="str">
        <f>IF(AB$3="","",IF(COUNTIFS(BD!$A$3:$A$5001,AB$3,BD!$B$3:$B$5001,$A$26,BD!$Y$3:$Y$5001,"&lt;&gt;")=0,"",SUMIFS(BD!$Y$3:$Y$5001,BD!$A$3:$A$5001,AB$3,BD!$B$3:$B$5001,$A$26)))</f>
        <v/>
      </c>
      <c r="AC37" s="218" t="str">
        <f>IF(AC$3="","",IF(COUNTIFS(BD!$A$3:$A$5001,AC$3,BD!$B$3:$B$5001,$A$26,BD!$Y$3:$Y$5001,"&lt;&gt;")=0,"",SUMIFS(BD!$Y$3:$Y$5001,BD!$A$3:$A$5001,AC$3,BD!$B$3:$B$5001,$A$26)))</f>
        <v/>
      </c>
      <c r="AD37" s="218" t="str">
        <f>IF(AD$3="","",IF(COUNTIFS(BD!$A$3:$A$5001,AD$3,BD!$B$3:$B$5001,$A$26,BD!$Y$3:$Y$5001,"&lt;&gt;")=0,"",SUMIFS(BD!$Y$3:$Y$5001,BD!$A$3:$A$5001,AD$3,BD!$B$3:$B$5001,$A$26)))</f>
        <v/>
      </c>
      <c r="AE37" s="218" t="str">
        <f>IF(AE$3="","",IF(COUNTIFS(BD!$A$3:$A$5001,AE$3,BD!$B$3:$B$5001,$A$26,BD!$Y$3:$Y$5001,"&lt;&gt;")=0,"",SUMIFS(BD!$Y$3:$Y$5001,BD!$A$3:$A$5001,AE$3,BD!$B$3:$B$5001,$A$26)))</f>
        <v/>
      </c>
      <c r="AF37" s="218" t="str">
        <f>IF(AF$3="","",IF(COUNTIFS(BD!$A$3:$A$5001,AF$3,BD!$B$3:$B$5001,$A$26,BD!$Y$3:$Y$5001,"&lt;&gt;")=0,"",SUMIFS(BD!$Y$3:$Y$5001,BD!$A$3:$A$5001,AF$3,BD!$B$3:$B$5001,$A$26)))</f>
        <v/>
      </c>
      <c r="AG37" s="218" t="str">
        <f>IF(AG$3="","",IF(COUNTIFS(BD!$A$3:$A$5001,AG$3,BD!$B$3:$B$5001,$A$26,BD!$Y$3:$Y$5001,"&lt;&gt;")=0,"",SUMIFS(BD!$Y$3:$Y$5001,BD!$A$3:$A$5001,AG$3,BD!$B$3:$B$5001,$A$26)))</f>
        <v/>
      </c>
      <c r="AH37" s="218" t="str">
        <f>IF(AH$3="","",IF(COUNTIFS(BD!$A$3:$A$5001,AH$3,BD!$B$3:$B$5001,$A$26,BD!$Y$3:$Y$5001,"&lt;&gt;")=0,"",SUMIFS(BD!$Y$3:$Y$5001,BD!$A$3:$A$5001,AH$3,BD!$B$3:$B$5001,$A$26)))</f>
        <v/>
      </c>
      <c r="AI37" s="218" t="str">
        <f>IF(AI$3="","",IF(COUNTIFS(BD!$A$3:$A$5001,AI$3,BD!$B$3:$B$5001,$A$26,BD!$Y$3:$Y$5001,"&lt;&gt;")=0,"",SUMIFS(BD!$Y$3:$Y$5001,BD!$A$3:$A$5001,AI$3,BD!$B$3:$B$5001,$A$26)))</f>
        <v/>
      </c>
      <c r="AJ37" s="219" t="str">
        <f>IF(AJ$3="","",IF(COUNTIFS(BD!$A$3:$A$5001,AJ$3,BD!$B$3:$B$5001,$A$26,BD!$Y$3:$Y$5001,"&lt;&gt;")=0,"",SUMIFS(BD!$Y$3:$Y$5001,BD!$A$3:$A$5001,AJ$3,BD!$B$3:$B$5001,$A$26)))</f>
        <v/>
      </c>
      <c r="AK37" s="220" t="str">
        <f>IFERROR(LOOKUP(9.99E+307,F37:AJ37),"")</f>
        <v/>
      </c>
    </row>
    <row r="38" ht="15.75" customHeight="1">
      <c r="A38" s="261"/>
      <c r="B38" s="250"/>
      <c r="C38" s="175" t="inlineStr">
        <is>
          <t xml:space="preserve">Taxa de Ocupação</t>
        </is>
      </c>
      <c r="D38" s="221" t="str">
        <f>IFERROR(1/(1/INDEX(BD!$AL$46:$BF$46,MATCH($A$26,BD!$AL$22:$BF$22,0))),"")</f>
        <v/>
      </c>
      <c r="E38" s="177"/>
      <c r="F38" s="222" t="str">
        <f>IF(AND(ISNUMBER(F36),ISNUMBER(F37)),IF(F36&gt;0,F37/F36,""),"")</f>
        <v/>
      </c>
      <c r="G38" s="223" t="str">
        <f>IF(AND(ISNUMBER(G36),ISNUMBER(G37)),IF(G36&gt;0,G37/G36,""),"")</f>
        <v/>
      </c>
      <c r="H38" s="223" t="str">
        <f>IF(AND(ISNUMBER(H36),ISNUMBER(H37)),IF(H36&gt;0,H37/H36,""),"")</f>
        <v/>
      </c>
      <c r="I38" s="223" t="str">
        <f>IF(AND(ISNUMBER(I36),ISNUMBER(I37)),IF(I36&gt;0,I37/I36,""),"")</f>
        <v/>
      </c>
      <c r="J38" s="223" t="str">
        <f>IF(AND(ISNUMBER(J36),ISNUMBER(J37)),IF(J36&gt;0,J37/J36,""),"")</f>
        <v/>
      </c>
      <c r="K38" s="223" t="str">
        <f>IF(AND(ISNUMBER(K36),ISNUMBER(K37)),IF(K36&gt;0,K37/K36,""),"")</f>
        <v/>
      </c>
      <c r="L38" s="223" t="str">
        <f>IF(AND(ISNUMBER(L36),ISNUMBER(L37)),IF(L36&gt;0,L37/L36,""),"")</f>
        <v/>
      </c>
      <c r="M38" s="223" t="str">
        <f>IF(AND(ISNUMBER(M36),ISNUMBER(M37)),IF(M36&gt;0,M37/M36,""),"")</f>
        <v/>
      </c>
      <c r="N38" s="223" t="str">
        <f>IF(AND(ISNUMBER(N36),ISNUMBER(N37)),IF(N36&gt;0,N37/N36,""),"")</f>
        <v/>
      </c>
      <c r="O38" s="223" t="str">
        <f>IF(AND(ISNUMBER(O36),ISNUMBER(O37)),IF(O36&gt;0,O37/O36,""),"")</f>
        <v/>
      </c>
      <c r="P38" s="223" t="str">
        <f>IF(AND(ISNUMBER(P36),ISNUMBER(P37)),IF(P36&gt;0,P37/P36,""),"")</f>
        <v/>
      </c>
      <c r="Q38" s="223" t="str">
        <f>IF(AND(ISNUMBER(Q36),ISNUMBER(Q37)),IF(Q36&gt;0,Q37/Q36,""),"")</f>
        <v/>
      </c>
      <c r="R38" s="223" t="str">
        <f>IF(AND(ISNUMBER(R36),ISNUMBER(R37)),IF(R36&gt;0,R37/R36,""),"")</f>
        <v/>
      </c>
      <c r="S38" s="223" t="str">
        <f>IF(AND(ISNUMBER(S36),ISNUMBER(S37)),IF(S36&gt;0,S37/S36,""),"")</f>
        <v/>
      </c>
      <c r="T38" s="223" t="str">
        <f>IF(AND(ISNUMBER(T36),ISNUMBER(T37)),IF(T36&gt;0,T37/T36,""),"")</f>
        <v/>
      </c>
      <c r="U38" s="223" t="str">
        <f>IF(AND(ISNUMBER(U36),ISNUMBER(U37)),IF(U36&gt;0,U37/U36,""),"")</f>
        <v/>
      </c>
      <c r="V38" s="223" t="str">
        <f>IF(AND(ISNUMBER(V36),ISNUMBER(V37)),IF(V36&gt;0,V37/V36,""),"")</f>
        <v/>
      </c>
      <c r="W38" s="223" t="str">
        <f>IF(AND(ISNUMBER(W36),ISNUMBER(W37)),IF(W36&gt;0,W37/W36,""),"")</f>
        <v/>
      </c>
      <c r="X38" s="223" t="str">
        <f>IF(AND(ISNUMBER(X36),ISNUMBER(X37)),IF(X36&gt;0,X37/X36,""),"")</f>
        <v/>
      </c>
      <c r="Y38" s="223" t="str">
        <f>IF(AND(ISNUMBER(Y36),ISNUMBER(Y37)),IF(Y36&gt;0,Y37/Y36,""),"")</f>
        <v/>
      </c>
      <c r="Z38" s="223" t="str">
        <f>IF(AND(ISNUMBER(Z36),ISNUMBER(Z37)),IF(Z36&gt;0,Z37/Z36,""),"")</f>
        <v/>
      </c>
      <c r="AA38" s="223" t="str">
        <f>IF(AND(ISNUMBER(AA36),ISNUMBER(AA37)),IF(AA36&gt;0,AA37/AA36,""),"")</f>
        <v/>
      </c>
      <c r="AB38" s="223" t="str">
        <f>IF(AND(ISNUMBER(AB36),ISNUMBER(AB37)),IF(AB36&gt;0,AB37/AB36,""),"")</f>
        <v/>
      </c>
      <c r="AC38" s="223" t="str">
        <f>IF(AND(ISNUMBER(AC36),ISNUMBER(AC37)),IF(AC36&gt;0,AC37/AC36,""),"")</f>
        <v/>
      </c>
      <c r="AD38" s="223" t="str">
        <f>IF(AND(ISNUMBER(AD36),ISNUMBER(AD37)),IF(AD36&gt;0,AD37/AD36,""),"")</f>
        <v/>
      </c>
      <c r="AE38" s="223" t="str">
        <f>IF(AND(ISNUMBER(AE36),ISNUMBER(AE37)),IF(AE36&gt;0,AE37/AE36,""),"")</f>
        <v/>
      </c>
      <c r="AF38" s="223" t="str">
        <f>IF(AND(ISNUMBER(AF36),ISNUMBER(AF37)),IF(AF36&gt;0,AF37/AF36,""),"")</f>
        <v/>
      </c>
      <c r="AG38" s="223" t="str">
        <f>IF(AND(ISNUMBER(AG36),ISNUMBER(AG37)),IF(AG36&gt;0,AG37/AG36,""),"")</f>
        <v/>
      </c>
      <c r="AH38" s="223" t="str">
        <f>IF(AND(ISNUMBER(AH36),ISNUMBER(AH37)),IF(AH36&gt;0,AH37/AH36,""),"")</f>
        <v/>
      </c>
      <c r="AI38" s="223" t="str">
        <f>IF(AND(ISNUMBER(AI36),ISNUMBER(AI37)),IF(AI36&gt;0,AI37/AI36,""),"")</f>
        <v/>
      </c>
      <c r="AJ38" s="224" t="str">
        <f>IF(AND(ISNUMBER(AJ36),ISNUMBER(AJ37)),IF(AJ36&gt;0,AJ37/AJ36,""),"")</f>
        <v/>
      </c>
      <c r="AK38" s="221" t="str">
        <f>IF(AND(ISNUMBER(AK36),ISNUMBER(AK37)),IF(AK36&gt;0,AK37/AK36,""),"")</f>
        <v/>
      </c>
    </row>
    <row r="39" ht="15.75" customHeight="1">
      <c r="A39" s="261"/>
      <c r="B39" s="257" t="inlineStr">
        <is>
          <t xml:space="preserve">GENTE</t>
        </is>
      </c>
      <c r="C39" s="225" t="inlineStr">
        <is>
          <t xml:space="preserve">Efetivo Op.</t>
        </is>
      </c>
      <c r="D39" s="226" t="str">
        <f>IFERROR(1/(1/INDEX(BD!$AL$47:$BF$47,MATCH($A$26,BD!$AL$22:$BF$22,0))),"")</f>
        <v/>
      </c>
      <c r="E39" s="227"/>
      <c r="F39" s="228" t="str">
        <f>IF(F$3="","",IF(COUNTIFS(BD!$A$3:$A$5001,F$3,BD!$B$3:$B$5001,$A$26,BD!$Z$3:$Z$5001,"&lt;&gt;")=0,"",SUMIFS(BD!$Z$3:$Z$5001,BD!$A$3:$A$5001,F$3,BD!$B$3:$B$5001,$A$26)))</f>
        <v/>
      </c>
      <c r="G39" s="229" t="str">
        <f>IF(G$3="","",IF(COUNTIFS(BD!$A$3:$A$5001,G$3,BD!$B$3:$B$5001,$A$26,BD!$Z$3:$Z$5001,"&lt;&gt;")=0,"",SUMIFS(BD!$Z$3:$Z$5001,BD!$A$3:$A$5001,G$3,BD!$B$3:$B$5001,$A$26)))</f>
        <v/>
      </c>
      <c r="H39" s="229" t="str">
        <f>IF(H$3="","",IF(COUNTIFS(BD!$A$3:$A$5001,H$3,BD!$B$3:$B$5001,$A$26,BD!$Z$3:$Z$5001,"&lt;&gt;")=0,"",SUMIFS(BD!$Z$3:$Z$5001,BD!$A$3:$A$5001,H$3,BD!$B$3:$B$5001,$A$26)))</f>
        <v/>
      </c>
      <c r="I39" s="229" t="str">
        <f>IF(I$3="","",IF(COUNTIFS(BD!$A$3:$A$5001,I$3,BD!$B$3:$B$5001,$A$26,BD!$Z$3:$Z$5001,"&lt;&gt;")=0,"",SUMIFS(BD!$Z$3:$Z$5001,BD!$A$3:$A$5001,I$3,BD!$B$3:$B$5001,$A$26)))</f>
        <v/>
      </c>
      <c r="J39" s="229" t="str">
        <f>IF(J$3="","",IF(COUNTIFS(BD!$A$3:$A$5001,J$3,BD!$B$3:$B$5001,$A$26,BD!$Z$3:$Z$5001,"&lt;&gt;")=0,"",SUMIFS(BD!$Z$3:$Z$5001,BD!$A$3:$A$5001,J$3,BD!$B$3:$B$5001,$A$26)))</f>
        <v/>
      </c>
      <c r="K39" s="229" t="str">
        <f>IF(K$3="","",IF(COUNTIFS(BD!$A$3:$A$5001,K$3,BD!$B$3:$B$5001,$A$26,BD!$Z$3:$Z$5001,"&lt;&gt;")=0,"",SUMIFS(BD!$Z$3:$Z$5001,BD!$A$3:$A$5001,K$3,BD!$B$3:$B$5001,$A$26)))</f>
        <v/>
      </c>
      <c r="L39" s="229" t="str">
        <f>IF(L$3="","",IF(COUNTIFS(BD!$A$3:$A$5001,L$3,BD!$B$3:$B$5001,$A$26,BD!$Z$3:$Z$5001,"&lt;&gt;")=0,"",SUMIFS(BD!$Z$3:$Z$5001,BD!$A$3:$A$5001,L$3,BD!$B$3:$B$5001,$A$26)))</f>
        <v/>
      </c>
      <c r="M39" s="229" t="str">
        <f>IF(M$3="","",IF(COUNTIFS(BD!$A$3:$A$5001,M$3,BD!$B$3:$B$5001,$A$26,BD!$Z$3:$Z$5001,"&lt;&gt;")=0,"",SUMIFS(BD!$Z$3:$Z$5001,BD!$A$3:$A$5001,M$3,BD!$B$3:$B$5001,$A$26)))</f>
        <v/>
      </c>
      <c r="N39" s="229" t="str">
        <f>IF(N$3="","",IF(COUNTIFS(BD!$A$3:$A$5001,N$3,BD!$B$3:$B$5001,$A$26,BD!$Z$3:$Z$5001,"&lt;&gt;")=0,"",SUMIFS(BD!$Z$3:$Z$5001,BD!$A$3:$A$5001,N$3,BD!$B$3:$B$5001,$A$26)))</f>
        <v/>
      </c>
      <c r="O39" s="229" t="str">
        <f>IF(O$3="","",IF(COUNTIFS(BD!$A$3:$A$5001,O$3,BD!$B$3:$B$5001,$A$26,BD!$Z$3:$Z$5001,"&lt;&gt;")=0,"",SUMIFS(BD!$Z$3:$Z$5001,BD!$A$3:$A$5001,O$3,BD!$B$3:$B$5001,$A$26)))</f>
        <v/>
      </c>
      <c r="P39" s="229" t="str">
        <f>IF(P$3="","",IF(COUNTIFS(BD!$A$3:$A$5001,P$3,BD!$B$3:$B$5001,$A$26,BD!$Z$3:$Z$5001,"&lt;&gt;")=0,"",SUMIFS(BD!$Z$3:$Z$5001,BD!$A$3:$A$5001,P$3,BD!$B$3:$B$5001,$A$26)))</f>
        <v/>
      </c>
      <c r="Q39" s="229" t="str">
        <f>IF(Q$3="","",IF(COUNTIFS(BD!$A$3:$A$5001,Q$3,BD!$B$3:$B$5001,$A$26,BD!$Z$3:$Z$5001,"&lt;&gt;")=0,"",SUMIFS(BD!$Z$3:$Z$5001,BD!$A$3:$A$5001,Q$3,BD!$B$3:$B$5001,$A$26)))</f>
        <v/>
      </c>
      <c r="R39" s="229" t="str">
        <f>IF(R$3="","",IF(COUNTIFS(BD!$A$3:$A$5001,R$3,BD!$B$3:$B$5001,$A$26,BD!$Z$3:$Z$5001,"&lt;&gt;")=0,"",SUMIFS(BD!$Z$3:$Z$5001,BD!$A$3:$A$5001,R$3,BD!$B$3:$B$5001,$A$26)))</f>
        <v/>
      </c>
      <c r="S39" s="229" t="str">
        <f>IF(S$3="","",IF(COUNTIFS(BD!$A$3:$A$5001,S$3,BD!$B$3:$B$5001,$A$26,BD!$Z$3:$Z$5001,"&lt;&gt;")=0,"",SUMIFS(BD!$Z$3:$Z$5001,BD!$A$3:$A$5001,S$3,BD!$B$3:$B$5001,$A$26)))</f>
        <v/>
      </c>
      <c r="T39" s="229" t="str">
        <f>IF(T$3="","",IF(COUNTIFS(BD!$A$3:$A$5001,T$3,BD!$B$3:$B$5001,$A$26,BD!$Z$3:$Z$5001,"&lt;&gt;")=0,"",SUMIFS(BD!$Z$3:$Z$5001,BD!$A$3:$A$5001,T$3,BD!$B$3:$B$5001,$A$26)))</f>
        <v/>
      </c>
      <c r="U39" s="229" t="str">
        <f>IF(U$3="","",IF(COUNTIFS(BD!$A$3:$A$5001,U$3,BD!$B$3:$B$5001,$A$26,BD!$Z$3:$Z$5001,"&lt;&gt;")=0,"",SUMIFS(BD!$Z$3:$Z$5001,BD!$A$3:$A$5001,U$3,BD!$B$3:$B$5001,$A$26)))</f>
        <v/>
      </c>
      <c r="V39" s="229" t="str">
        <f>IF(V$3="","",IF(COUNTIFS(BD!$A$3:$A$5001,V$3,BD!$B$3:$B$5001,$A$26,BD!$Z$3:$Z$5001,"&lt;&gt;")=0,"",SUMIFS(BD!$Z$3:$Z$5001,BD!$A$3:$A$5001,V$3,BD!$B$3:$B$5001,$A$26)))</f>
        <v/>
      </c>
      <c r="W39" s="229" t="str">
        <f>IF(W$3="","",IF(COUNTIFS(BD!$A$3:$A$5001,W$3,BD!$B$3:$B$5001,$A$26,BD!$Z$3:$Z$5001,"&lt;&gt;")=0,"",SUMIFS(BD!$Z$3:$Z$5001,BD!$A$3:$A$5001,W$3,BD!$B$3:$B$5001,$A$26)))</f>
        <v/>
      </c>
      <c r="X39" s="229" t="str">
        <f>IF(X$3="","",IF(COUNTIFS(BD!$A$3:$A$5001,X$3,BD!$B$3:$B$5001,$A$26,BD!$Z$3:$Z$5001,"&lt;&gt;")=0,"",SUMIFS(BD!$Z$3:$Z$5001,BD!$A$3:$A$5001,X$3,BD!$B$3:$B$5001,$A$26)))</f>
        <v/>
      </c>
      <c r="Y39" s="229" t="str">
        <f>IF(Y$3="","",IF(COUNTIFS(BD!$A$3:$A$5001,Y$3,BD!$B$3:$B$5001,$A$26,BD!$Z$3:$Z$5001,"&lt;&gt;")=0,"",SUMIFS(BD!$Z$3:$Z$5001,BD!$A$3:$A$5001,Y$3,BD!$B$3:$B$5001,$A$26)))</f>
        <v/>
      </c>
      <c r="Z39" s="229" t="str">
        <f>IF(Z$3="","",IF(COUNTIFS(BD!$A$3:$A$5001,Z$3,BD!$B$3:$B$5001,$A$26,BD!$Z$3:$Z$5001,"&lt;&gt;")=0,"",SUMIFS(BD!$Z$3:$Z$5001,BD!$A$3:$A$5001,Z$3,BD!$B$3:$B$5001,$A$26)))</f>
        <v/>
      </c>
      <c r="AA39" s="229" t="str">
        <f>IF(AA$3="","",IF(COUNTIFS(BD!$A$3:$A$5001,AA$3,BD!$B$3:$B$5001,$A$26,BD!$Z$3:$Z$5001,"&lt;&gt;")=0,"",SUMIFS(BD!$Z$3:$Z$5001,BD!$A$3:$A$5001,AA$3,BD!$B$3:$B$5001,$A$26)))</f>
        <v/>
      </c>
      <c r="AB39" s="229" t="str">
        <f>IF(AB$3="","",IF(COUNTIFS(BD!$A$3:$A$5001,AB$3,BD!$B$3:$B$5001,$A$26,BD!$Z$3:$Z$5001,"&lt;&gt;")=0,"",SUMIFS(BD!$Z$3:$Z$5001,BD!$A$3:$A$5001,AB$3,BD!$B$3:$B$5001,$A$26)))</f>
        <v/>
      </c>
      <c r="AC39" s="229" t="str">
        <f>IF(AC$3="","",IF(COUNTIFS(BD!$A$3:$A$5001,AC$3,BD!$B$3:$B$5001,$A$26,BD!$Z$3:$Z$5001,"&lt;&gt;")=0,"",SUMIFS(BD!$Z$3:$Z$5001,BD!$A$3:$A$5001,AC$3,BD!$B$3:$B$5001,$A$26)))</f>
        <v/>
      </c>
      <c r="AD39" s="229" t="str">
        <f>IF(AD$3="","",IF(COUNTIFS(BD!$A$3:$A$5001,AD$3,BD!$B$3:$B$5001,$A$26,BD!$Z$3:$Z$5001,"&lt;&gt;")=0,"",SUMIFS(BD!$Z$3:$Z$5001,BD!$A$3:$A$5001,AD$3,BD!$B$3:$B$5001,$A$26)))</f>
        <v/>
      </c>
      <c r="AE39" s="229" t="str">
        <f>IF(AE$3="","",IF(COUNTIFS(BD!$A$3:$A$5001,AE$3,BD!$B$3:$B$5001,$A$26,BD!$Z$3:$Z$5001,"&lt;&gt;")=0,"",SUMIFS(BD!$Z$3:$Z$5001,BD!$A$3:$A$5001,AE$3,BD!$B$3:$B$5001,$A$26)))</f>
        <v/>
      </c>
      <c r="AF39" s="229" t="str">
        <f>IF(AF$3="","",IF(COUNTIFS(BD!$A$3:$A$5001,AF$3,BD!$B$3:$B$5001,$A$26,BD!$Z$3:$Z$5001,"&lt;&gt;")=0,"",SUMIFS(BD!$Z$3:$Z$5001,BD!$A$3:$A$5001,AF$3,BD!$B$3:$B$5001,$A$26)))</f>
        <v/>
      </c>
      <c r="AG39" s="229" t="str">
        <f>IF(AG$3="","",IF(COUNTIFS(BD!$A$3:$A$5001,AG$3,BD!$B$3:$B$5001,$A$26,BD!$Z$3:$Z$5001,"&lt;&gt;")=0,"",SUMIFS(BD!$Z$3:$Z$5001,BD!$A$3:$A$5001,AG$3,BD!$B$3:$B$5001,$A$26)))</f>
        <v/>
      </c>
      <c r="AH39" s="229" t="str">
        <f>IF(AH$3="","",IF(COUNTIFS(BD!$A$3:$A$5001,AH$3,BD!$B$3:$B$5001,$A$26,BD!$Z$3:$Z$5001,"&lt;&gt;")=0,"",SUMIFS(BD!$Z$3:$Z$5001,BD!$A$3:$A$5001,AH$3,BD!$B$3:$B$5001,$A$26)))</f>
        <v/>
      </c>
      <c r="AI39" s="229" t="str">
        <f>IF(AI$3="","",IF(COUNTIFS(BD!$A$3:$A$5001,AI$3,BD!$B$3:$B$5001,$A$26,BD!$Z$3:$Z$5001,"&lt;&gt;")=0,"",SUMIFS(BD!$Z$3:$Z$5001,BD!$A$3:$A$5001,AI$3,BD!$B$3:$B$5001,$A$26)))</f>
        <v/>
      </c>
      <c r="AJ39" s="230" t="str">
        <f>IF(AJ$3="","",IF(COUNTIFS(BD!$A$3:$A$5001,AJ$3,BD!$B$3:$B$5001,$A$26,BD!$Z$3:$Z$5001,"&lt;&gt;")=0,"",SUMIFS(BD!$Z$3:$Z$5001,BD!$A$3:$A$5001,AJ$3,BD!$B$3:$B$5001,$A$26)))</f>
        <v/>
      </c>
      <c r="AK39" s="231" t="str">
        <f>IFERROR(LOOKUP(9.99E+307,F39:AJ39),"")</f>
        <v/>
      </c>
    </row>
    <row r="40" ht="15.75" customHeight="1">
      <c r="A40" s="261"/>
      <c r="B40" s="258"/>
      <c r="C40" s="232" t="inlineStr">
        <is>
          <t xml:space="preserve">Falta</t>
        </is>
      </c>
      <c r="D40" s="233" t="str">
        <f>IFERROR(1/(1/INDEX(BD!$AL$48:$BF$48,MATCH($A$26,BD!$AL$22:$BF$22,0))),"")</f>
        <v/>
      </c>
      <c r="E40" s="234"/>
      <c r="F40" s="235" t="str">
        <f>IF(F$3="","",IF(COUNTIFS(BD!$A$3:$A$5001,F$3,BD!$B$3:$B$5001,$A$26,BD!$AA$3:$AA$5001,"&lt;&gt;")=0,"",SUMIFS(BD!$AA$3:$AA$5001,BD!$A$3:$A$5001,F$3,BD!$B$3:$B$5001,$A$26)))</f>
        <v/>
      </c>
      <c r="G40" s="236" t="str">
        <f>IF(G$3="","",IF(COUNTIFS(BD!$A$3:$A$5001,G$3,BD!$B$3:$B$5001,$A$26,BD!$AA$3:$AA$5001,"&lt;&gt;")=0,"",SUMIFS(BD!$AA$3:$AA$5001,BD!$A$3:$A$5001,G$3,BD!$B$3:$B$5001,$A$26)))</f>
        <v/>
      </c>
      <c r="H40" s="236" t="str">
        <f>IF(H$3="","",IF(COUNTIFS(BD!$A$3:$A$5001,H$3,BD!$B$3:$B$5001,$A$26,BD!$AA$3:$AA$5001,"&lt;&gt;")=0,"",SUMIFS(BD!$AA$3:$AA$5001,BD!$A$3:$A$5001,H$3,BD!$B$3:$B$5001,$A$26)))</f>
        <v/>
      </c>
      <c r="I40" s="236" t="str">
        <f>IF(I$3="","",IF(COUNTIFS(BD!$A$3:$A$5001,I$3,BD!$B$3:$B$5001,$A$26,BD!$AA$3:$AA$5001,"&lt;&gt;")=0,"",SUMIFS(BD!$AA$3:$AA$5001,BD!$A$3:$A$5001,I$3,BD!$B$3:$B$5001,$A$26)))</f>
        <v/>
      </c>
      <c r="J40" s="236" t="str">
        <f>IF(J$3="","",IF(COUNTIFS(BD!$A$3:$A$5001,J$3,BD!$B$3:$B$5001,$A$26,BD!$AA$3:$AA$5001,"&lt;&gt;")=0,"",SUMIFS(BD!$AA$3:$AA$5001,BD!$A$3:$A$5001,J$3,BD!$B$3:$B$5001,$A$26)))</f>
        <v/>
      </c>
      <c r="K40" s="236" t="str">
        <f>IF(K$3="","",IF(COUNTIFS(BD!$A$3:$A$5001,K$3,BD!$B$3:$B$5001,$A$26,BD!$AA$3:$AA$5001,"&lt;&gt;")=0,"",SUMIFS(BD!$AA$3:$AA$5001,BD!$A$3:$A$5001,K$3,BD!$B$3:$B$5001,$A$26)))</f>
        <v/>
      </c>
      <c r="L40" s="236" t="str">
        <f>IF(L$3="","",IF(COUNTIFS(BD!$A$3:$A$5001,L$3,BD!$B$3:$B$5001,$A$26,BD!$AA$3:$AA$5001,"&lt;&gt;")=0,"",SUMIFS(BD!$AA$3:$AA$5001,BD!$A$3:$A$5001,L$3,BD!$B$3:$B$5001,$A$26)))</f>
        <v/>
      </c>
      <c r="M40" s="236" t="str">
        <f>IF(M$3="","",IF(COUNTIFS(BD!$A$3:$A$5001,M$3,BD!$B$3:$B$5001,$A$26,BD!$AA$3:$AA$5001,"&lt;&gt;")=0,"",SUMIFS(BD!$AA$3:$AA$5001,BD!$A$3:$A$5001,M$3,BD!$B$3:$B$5001,$A$26)))</f>
        <v/>
      </c>
      <c r="N40" s="236" t="str">
        <f>IF(N$3="","",IF(COUNTIFS(BD!$A$3:$A$5001,N$3,BD!$B$3:$B$5001,$A$26,BD!$AA$3:$AA$5001,"&lt;&gt;")=0,"",SUMIFS(BD!$AA$3:$AA$5001,BD!$A$3:$A$5001,N$3,BD!$B$3:$B$5001,$A$26)))</f>
        <v/>
      </c>
      <c r="O40" s="236" t="str">
        <f>IF(O$3="","",IF(COUNTIFS(BD!$A$3:$A$5001,O$3,BD!$B$3:$B$5001,$A$26,BD!$AA$3:$AA$5001,"&lt;&gt;")=0,"",SUMIFS(BD!$AA$3:$AA$5001,BD!$A$3:$A$5001,O$3,BD!$B$3:$B$5001,$A$26)))</f>
        <v/>
      </c>
      <c r="P40" s="236" t="str">
        <f>IF(P$3="","",IF(COUNTIFS(BD!$A$3:$A$5001,P$3,BD!$B$3:$B$5001,$A$26,BD!$AA$3:$AA$5001,"&lt;&gt;")=0,"",SUMIFS(BD!$AA$3:$AA$5001,BD!$A$3:$A$5001,P$3,BD!$B$3:$B$5001,$A$26)))</f>
        <v/>
      </c>
      <c r="Q40" s="236" t="str">
        <f>IF(Q$3="","",IF(COUNTIFS(BD!$A$3:$A$5001,Q$3,BD!$B$3:$B$5001,$A$26,BD!$AA$3:$AA$5001,"&lt;&gt;")=0,"",SUMIFS(BD!$AA$3:$AA$5001,BD!$A$3:$A$5001,Q$3,BD!$B$3:$B$5001,$A$26)))</f>
        <v/>
      </c>
      <c r="R40" s="236" t="str">
        <f>IF(R$3="","",IF(COUNTIFS(BD!$A$3:$A$5001,R$3,BD!$B$3:$B$5001,$A$26,BD!$AA$3:$AA$5001,"&lt;&gt;")=0,"",SUMIFS(BD!$AA$3:$AA$5001,BD!$A$3:$A$5001,R$3,BD!$B$3:$B$5001,$A$26)))</f>
        <v/>
      </c>
      <c r="S40" s="236" t="str">
        <f>IF(S$3="","",IF(COUNTIFS(BD!$A$3:$A$5001,S$3,BD!$B$3:$B$5001,$A$26,BD!$AA$3:$AA$5001,"&lt;&gt;")=0,"",SUMIFS(BD!$AA$3:$AA$5001,BD!$A$3:$A$5001,S$3,BD!$B$3:$B$5001,$A$26)))</f>
        <v/>
      </c>
      <c r="T40" s="236" t="str">
        <f>IF(T$3="","",IF(COUNTIFS(BD!$A$3:$A$5001,T$3,BD!$B$3:$B$5001,$A$26,BD!$AA$3:$AA$5001,"&lt;&gt;")=0,"",SUMIFS(BD!$AA$3:$AA$5001,BD!$A$3:$A$5001,T$3,BD!$B$3:$B$5001,$A$26)))</f>
        <v/>
      </c>
      <c r="U40" s="236" t="str">
        <f>IF(U$3="","",IF(COUNTIFS(BD!$A$3:$A$5001,U$3,BD!$B$3:$B$5001,$A$26,BD!$AA$3:$AA$5001,"&lt;&gt;")=0,"",SUMIFS(BD!$AA$3:$AA$5001,BD!$A$3:$A$5001,U$3,BD!$B$3:$B$5001,$A$26)))</f>
        <v/>
      </c>
      <c r="V40" s="236" t="str">
        <f>IF(V$3="","",IF(COUNTIFS(BD!$A$3:$A$5001,V$3,BD!$B$3:$B$5001,$A$26,BD!$AA$3:$AA$5001,"&lt;&gt;")=0,"",SUMIFS(BD!$AA$3:$AA$5001,BD!$A$3:$A$5001,V$3,BD!$B$3:$B$5001,$A$26)))</f>
        <v/>
      </c>
      <c r="W40" s="236" t="str">
        <f>IF(W$3="","",IF(COUNTIFS(BD!$A$3:$A$5001,W$3,BD!$B$3:$B$5001,$A$26,BD!$AA$3:$AA$5001,"&lt;&gt;")=0,"",SUMIFS(BD!$AA$3:$AA$5001,BD!$A$3:$A$5001,W$3,BD!$B$3:$B$5001,$A$26)))</f>
        <v/>
      </c>
      <c r="X40" s="236" t="str">
        <f>IF(X$3="","",IF(COUNTIFS(BD!$A$3:$A$5001,X$3,BD!$B$3:$B$5001,$A$26,BD!$AA$3:$AA$5001,"&lt;&gt;")=0,"",SUMIFS(BD!$AA$3:$AA$5001,BD!$A$3:$A$5001,X$3,BD!$B$3:$B$5001,$A$26)))</f>
        <v/>
      </c>
      <c r="Y40" s="236" t="str">
        <f>IF(Y$3="","",IF(COUNTIFS(BD!$A$3:$A$5001,Y$3,BD!$B$3:$B$5001,$A$26,BD!$AA$3:$AA$5001,"&lt;&gt;")=0,"",SUMIFS(BD!$AA$3:$AA$5001,BD!$A$3:$A$5001,Y$3,BD!$B$3:$B$5001,$A$26)))</f>
        <v/>
      </c>
      <c r="Z40" s="236" t="str">
        <f>IF(Z$3="","",IF(COUNTIFS(BD!$A$3:$A$5001,Z$3,BD!$B$3:$B$5001,$A$26,BD!$AA$3:$AA$5001,"&lt;&gt;")=0,"",SUMIFS(BD!$AA$3:$AA$5001,BD!$A$3:$A$5001,Z$3,BD!$B$3:$B$5001,$A$26)))</f>
        <v/>
      </c>
      <c r="AA40" s="236" t="str">
        <f>IF(AA$3="","",IF(COUNTIFS(BD!$A$3:$A$5001,AA$3,BD!$B$3:$B$5001,$A$26,BD!$AA$3:$AA$5001,"&lt;&gt;")=0,"",SUMIFS(BD!$AA$3:$AA$5001,BD!$A$3:$A$5001,AA$3,BD!$B$3:$B$5001,$A$26)))</f>
        <v/>
      </c>
      <c r="AB40" s="236" t="str">
        <f>IF(AB$3="","",IF(COUNTIFS(BD!$A$3:$A$5001,AB$3,BD!$B$3:$B$5001,$A$26,BD!$AA$3:$AA$5001,"&lt;&gt;")=0,"",SUMIFS(BD!$AA$3:$AA$5001,BD!$A$3:$A$5001,AB$3,BD!$B$3:$B$5001,$A$26)))</f>
        <v/>
      </c>
      <c r="AC40" s="236" t="str">
        <f>IF(AC$3="","",IF(COUNTIFS(BD!$A$3:$A$5001,AC$3,BD!$B$3:$B$5001,$A$26,BD!$AA$3:$AA$5001,"&lt;&gt;")=0,"",SUMIFS(BD!$AA$3:$AA$5001,BD!$A$3:$A$5001,AC$3,BD!$B$3:$B$5001,$A$26)))</f>
        <v/>
      </c>
      <c r="AD40" s="236" t="str">
        <f>IF(AD$3="","",IF(COUNTIFS(BD!$A$3:$A$5001,AD$3,BD!$B$3:$B$5001,$A$26,BD!$AA$3:$AA$5001,"&lt;&gt;")=0,"",SUMIFS(BD!$AA$3:$AA$5001,BD!$A$3:$A$5001,AD$3,BD!$B$3:$B$5001,$A$26)))</f>
        <v/>
      </c>
      <c r="AE40" s="236" t="str">
        <f>IF(AE$3="","",IF(COUNTIFS(BD!$A$3:$A$5001,AE$3,BD!$B$3:$B$5001,$A$26,BD!$AA$3:$AA$5001,"&lt;&gt;")=0,"",SUMIFS(BD!$AA$3:$AA$5001,BD!$A$3:$A$5001,AE$3,BD!$B$3:$B$5001,$A$26)))</f>
        <v/>
      </c>
      <c r="AF40" s="236" t="str">
        <f>IF(AF$3="","",IF(COUNTIFS(BD!$A$3:$A$5001,AF$3,BD!$B$3:$B$5001,$A$26,BD!$AA$3:$AA$5001,"&lt;&gt;")=0,"",SUMIFS(BD!$AA$3:$AA$5001,BD!$A$3:$A$5001,AF$3,BD!$B$3:$B$5001,$A$26)))</f>
        <v/>
      </c>
      <c r="AG40" s="236" t="str">
        <f>IF(AG$3="","",IF(COUNTIFS(BD!$A$3:$A$5001,AG$3,BD!$B$3:$B$5001,$A$26,BD!$AA$3:$AA$5001,"&lt;&gt;")=0,"",SUMIFS(BD!$AA$3:$AA$5001,BD!$A$3:$A$5001,AG$3,BD!$B$3:$B$5001,$A$26)))</f>
        <v/>
      </c>
      <c r="AH40" s="236" t="str">
        <f>IF(AH$3="","",IF(COUNTIFS(BD!$A$3:$A$5001,AH$3,BD!$B$3:$B$5001,$A$26,BD!$AA$3:$AA$5001,"&lt;&gt;")=0,"",SUMIFS(BD!$AA$3:$AA$5001,BD!$A$3:$A$5001,AH$3,BD!$B$3:$B$5001,$A$26)))</f>
        <v/>
      </c>
      <c r="AI40" s="236" t="str">
        <f>IF(AI$3="","",IF(COUNTIFS(BD!$A$3:$A$5001,AI$3,BD!$B$3:$B$5001,$A$26,BD!$AA$3:$AA$5001,"&lt;&gt;")=0,"",SUMIFS(BD!$AA$3:$AA$5001,BD!$A$3:$A$5001,AI$3,BD!$B$3:$B$5001,$A$26)))</f>
        <v/>
      </c>
      <c r="AJ40" s="237" t="str">
        <f>IF(AJ$3="","",IF(COUNTIFS(BD!$A$3:$A$5001,AJ$3,BD!$B$3:$B$5001,$A$26,BD!$AA$3:$AA$5001,"&lt;&gt;")=0,"",SUMIFS(BD!$AA$3:$AA$5001,BD!$A$3:$A$5001,AJ$3,BD!$B$3:$B$5001,$A$26)))</f>
        <v/>
      </c>
      <c r="AK40" s="238" t="str">
        <f>IF(COUNT(F40:AJ40)=0,"",SUM(F40:AJ40))</f>
        <v/>
      </c>
    </row>
    <row r="41" ht="15.75" customHeight="1">
      <c r="A41" s="261"/>
      <c r="B41" s="258"/>
      <c r="C41" s="232" t="inlineStr">
        <is>
          <t xml:space="preserve">Absenteísmo (H/H)</t>
        </is>
      </c>
      <c r="D41" s="233" t="str">
        <f>IFERROR(1/(1/INDEX(BD!$AL$49:$BF$49,MATCH($A$26,BD!$AL$22:$BF$22,0))),"")</f>
        <v/>
      </c>
      <c r="E41" s="234"/>
      <c r="F41" s="239" t="str">
        <f>IF(F$3="","",IF(COUNTIFS(BD!$A$3:$A$5001,F$3,BD!$B$3:$B$5001,$A$26,BD!$AB$3:$AB$5001,"&lt;&gt;")=0,"",SUMIFS(BD!$AB$3:$AB$5001,BD!$A$3:$A$5001,F$3,BD!$B$3:$B$5001,$A$26)))</f>
        <v/>
      </c>
      <c r="G41" s="240" t="str">
        <f>IF(G$3="","",IF(COUNTIFS(BD!$A$3:$A$5001,G$3,BD!$B$3:$B$5001,$A$26,BD!$AB$3:$AB$5001,"&lt;&gt;")=0,"",SUMIFS(BD!$AB$3:$AB$5001,BD!$A$3:$A$5001,G$3,BD!$B$3:$B$5001,$A$26)))</f>
        <v/>
      </c>
      <c r="H41" s="240" t="str">
        <f>IF(H$3="","",IF(COUNTIFS(BD!$A$3:$A$5001,H$3,BD!$B$3:$B$5001,$A$26,BD!$AB$3:$AB$5001,"&lt;&gt;")=0,"",SUMIFS(BD!$AB$3:$AB$5001,BD!$A$3:$A$5001,H$3,BD!$B$3:$B$5001,$A$26)))</f>
        <v/>
      </c>
      <c r="I41" s="240" t="str">
        <f>IF(I$3="","",IF(COUNTIFS(BD!$A$3:$A$5001,I$3,BD!$B$3:$B$5001,$A$26,BD!$AB$3:$AB$5001,"&lt;&gt;")=0,"",SUMIFS(BD!$AB$3:$AB$5001,BD!$A$3:$A$5001,I$3,BD!$B$3:$B$5001,$A$26)))</f>
        <v/>
      </c>
      <c r="J41" s="240" t="str">
        <f>IF(J$3="","",IF(COUNTIFS(BD!$A$3:$A$5001,J$3,BD!$B$3:$B$5001,$A$26,BD!$AB$3:$AB$5001,"&lt;&gt;")=0,"",SUMIFS(BD!$AB$3:$AB$5001,BD!$A$3:$A$5001,J$3,BD!$B$3:$B$5001,$A$26)))</f>
        <v/>
      </c>
      <c r="K41" s="240" t="str">
        <f>IF(K$3="","",IF(COUNTIFS(BD!$A$3:$A$5001,K$3,BD!$B$3:$B$5001,$A$26,BD!$AB$3:$AB$5001,"&lt;&gt;")=0,"",SUMIFS(BD!$AB$3:$AB$5001,BD!$A$3:$A$5001,K$3,BD!$B$3:$B$5001,$A$26)))</f>
        <v/>
      </c>
      <c r="L41" s="240" t="str">
        <f>IF(L$3="","",IF(COUNTIFS(BD!$A$3:$A$5001,L$3,BD!$B$3:$B$5001,$A$26,BD!$AB$3:$AB$5001,"&lt;&gt;")=0,"",SUMIFS(BD!$AB$3:$AB$5001,BD!$A$3:$A$5001,L$3,BD!$B$3:$B$5001,$A$26)))</f>
        <v/>
      </c>
      <c r="M41" s="240" t="str">
        <f>IF(M$3="","",IF(COUNTIFS(BD!$A$3:$A$5001,M$3,BD!$B$3:$B$5001,$A$26,BD!$AB$3:$AB$5001,"&lt;&gt;")=0,"",SUMIFS(BD!$AB$3:$AB$5001,BD!$A$3:$A$5001,M$3,BD!$B$3:$B$5001,$A$26)))</f>
        <v/>
      </c>
      <c r="N41" s="240" t="str">
        <f>IF(N$3="","",IF(COUNTIFS(BD!$A$3:$A$5001,N$3,BD!$B$3:$B$5001,$A$26,BD!$AB$3:$AB$5001,"&lt;&gt;")=0,"",SUMIFS(BD!$AB$3:$AB$5001,BD!$A$3:$A$5001,N$3,BD!$B$3:$B$5001,$A$26)))</f>
        <v/>
      </c>
      <c r="O41" s="240" t="str">
        <f>IF(O$3="","",IF(COUNTIFS(BD!$A$3:$A$5001,O$3,BD!$B$3:$B$5001,$A$26,BD!$AB$3:$AB$5001,"&lt;&gt;")=0,"",SUMIFS(BD!$AB$3:$AB$5001,BD!$A$3:$A$5001,O$3,BD!$B$3:$B$5001,$A$26)))</f>
        <v/>
      </c>
      <c r="P41" s="240" t="str">
        <f>IF(P$3="","",IF(COUNTIFS(BD!$A$3:$A$5001,P$3,BD!$B$3:$B$5001,$A$26,BD!$AB$3:$AB$5001,"&lt;&gt;")=0,"",SUMIFS(BD!$AB$3:$AB$5001,BD!$A$3:$A$5001,P$3,BD!$B$3:$B$5001,$A$26)))</f>
        <v/>
      </c>
      <c r="Q41" s="240" t="str">
        <f>IF(Q$3="","",IF(COUNTIFS(BD!$A$3:$A$5001,Q$3,BD!$B$3:$B$5001,$A$26,BD!$AB$3:$AB$5001,"&lt;&gt;")=0,"",SUMIFS(BD!$AB$3:$AB$5001,BD!$A$3:$A$5001,Q$3,BD!$B$3:$B$5001,$A$26)))</f>
        <v/>
      </c>
      <c r="R41" s="240" t="str">
        <f>IF(R$3="","",IF(COUNTIFS(BD!$A$3:$A$5001,R$3,BD!$B$3:$B$5001,$A$26,BD!$AB$3:$AB$5001,"&lt;&gt;")=0,"",SUMIFS(BD!$AB$3:$AB$5001,BD!$A$3:$A$5001,R$3,BD!$B$3:$B$5001,$A$26)))</f>
        <v/>
      </c>
      <c r="S41" s="240" t="str">
        <f>IF(S$3="","",IF(COUNTIFS(BD!$A$3:$A$5001,S$3,BD!$B$3:$B$5001,$A$26,BD!$AB$3:$AB$5001,"&lt;&gt;")=0,"",SUMIFS(BD!$AB$3:$AB$5001,BD!$A$3:$A$5001,S$3,BD!$B$3:$B$5001,$A$26)))</f>
        <v/>
      </c>
      <c r="T41" s="240" t="str">
        <f>IF(T$3="","",IF(COUNTIFS(BD!$A$3:$A$5001,T$3,BD!$B$3:$B$5001,$A$26,BD!$AB$3:$AB$5001,"&lt;&gt;")=0,"",SUMIFS(BD!$AB$3:$AB$5001,BD!$A$3:$A$5001,T$3,BD!$B$3:$B$5001,$A$26)))</f>
        <v/>
      </c>
      <c r="U41" s="240" t="str">
        <f>IF(U$3="","",IF(COUNTIFS(BD!$A$3:$A$5001,U$3,BD!$B$3:$B$5001,$A$26,BD!$AB$3:$AB$5001,"&lt;&gt;")=0,"",SUMIFS(BD!$AB$3:$AB$5001,BD!$A$3:$A$5001,U$3,BD!$B$3:$B$5001,$A$26)))</f>
        <v/>
      </c>
      <c r="V41" s="240" t="str">
        <f>IF(V$3="","",IF(COUNTIFS(BD!$A$3:$A$5001,V$3,BD!$B$3:$B$5001,$A$26,BD!$AB$3:$AB$5001,"&lt;&gt;")=0,"",SUMIFS(BD!$AB$3:$AB$5001,BD!$A$3:$A$5001,V$3,BD!$B$3:$B$5001,$A$26)))</f>
        <v/>
      </c>
      <c r="W41" s="240" t="str">
        <f>IF(W$3="","",IF(COUNTIFS(BD!$A$3:$A$5001,W$3,BD!$B$3:$B$5001,$A$26,BD!$AB$3:$AB$5001,"&lt;&gt;")=0,"",SUMIFS(BD!$AB$3:$AB$5001,BD!$A$3:$A$5001,W$3,BD!$B$3:$B$5001,$A$26)))</f>
        <v/>
      </c>
      <c r="X41" s="240" t="str">
        <f>IF(X$3="","",IF(COUNTIFS(BD!$A$3:$A$5001,X$3,BD!$B$3:$B$5001,$A$26,BD!$AB$3:$AB$5001,"&lt;&gt;")=0,"",SUMIFS(BD!$AB$3:$AB$5001,BD!$A$3:$A$5001,X$3,BD!$B$3:$B$5001,$A$26)))</f>
        <v/>
      </c>
      <c r="Y41" s="240" t="str">
        <f>IF(Y$3="","",IF(COUNTIFS(BD!$A$3:$A$5001,Y$3,BD!$B$3:$B$5001,$A$26,BD!$AB$3:$AB$5001,"&lt;&gt;")=0,"",SUMIFS(BD!$AB$3:$AB$5001,BD!$A$3:$A$5001,Y$3,BD!$B$3:$B$5001,$A$26)))</f>
        <v/>
      </c>
      <c r="Z41" s="240" t="str">
        <f>IF(Z$3="","",IF(COUNTIFS(BD!$A$3:$A$5001,Z$3,BD!$B$3:$B$5001,$A$26,BD!$AB$3:$AB$5001,"&lt;&gt;")=0,"",SUMIFS(BD!$AB$3:$AB$5001,BD!$A$3:$A$5001,Z$3,BD!$B$3:$B$5001,$A$26)))</f>
        <v/>
      </c>
      <c r="AA41" s="240" t="str">
        <f>IF(AA$3="","",IF(COUNTIFS(BD!$A$3:$A$5001,AA$3,BD!$B$3:$B$5001,$A$26,BD!$AB$3:$AB$5001,"&lt;&gt;")=0,"",SUMIFS(BD!$AB$3:$AB$5001,BD!$A$3:$A$5001,AA$3,BD!$B$3:$B$5001,$A$26)))</f>
        <v/>
      </c>
      <c r="AB41" s="240" t="str">
        <f>IF(AB$3="","",IF(COUNTIFS(BD!$A$3:$A$5001,AB$3,BD!$B$3:$B$5001,$A$26,BD!$AB$3:$AB$5001,"&lt;&gt;")=0,"",SUMIFS(BD!$AB$3:$AB$5001,BD!$A$3:$A$5001,AB$3,BD!$B$3:$B$5001,$A$26)))</f>
        <v/>
      </c>
      <c r="AC41" s="240" t="str">
        <f>IF(AC$3="","",IF(COUNTIFS(BD!$A$3:$A$5001,AC$3,BD!$B$3:$B$5001,$A$26,BD!$AB$3:$AB$5001,"&lt;&gt;")=0,"",SUMIFS(BD!$AB$3:$AB$5001,BD!$A$3:$A$5001,AC$3,BD!$B$3:$B$5001,$A$26)))</f>
        <v/>
      </c>
      <c r="AD41" s="240" t="str">
        <f>IF(AD$3="","",IF(COUNTIFS(BD!$A$3:$A$5001,AD$3,BD!$B$3:$B$5001,$A$26,BD!$AB$3:$AB$5001,"&lt;&gt;")=0,"",SUMIFS(BD!$AB$3:$AB$5001,BD!$A$3:$A$5001,AD$3,BD!$B$3:$B$5001,$A$26)))</f>
        <v/>
      </c>
      <c r="AE41" s="240" t="str">
        <f>IF(AE$3="","",IF(COUNTIFS(BD!$A$3:$A$5001,AE$3,BD!$B$3:$B$5001,$A$26,BD!$AB$3:$AB$5001,"&lt;&gt;")=0,"",SUMIFS(BD!$AB$3:$AB$5001,BD!$A$3:$A$5001,AE$3,BD!$B$3:$B$5001,$A$26)))</f>
        <v/>
      </c>
      <c r="AF41" s="240" t="str">
        <f>IF(AF$3="","",IF(COUNTIFS(BD!$A$3:$A$5001,AF$3,BD!$B$3:$B$5001,$A$26,BD!$AB$3:$AB$5001,"&lt;&gt;")=0,"",SUMIFS(BD!$AB$3:$AB$5001,BD!$A$3:$A$5001,AF$3,BD!$B$3:$B$5001,$A$26)))</f>
        <v/>
      </c>
      <c r="AG41" s="240" t="str">
        <f>IF(AG$3="","",IF(COUNTIFS(BD!$A$3:$A$5001,AG$3,BD!$B$3:$B$5001,$A$26,BD!$AB$3:$AB$5001,"&lt;&gt;")=0,"",SUMIFS(BD!$AB$3:$AB$5001,BD!$A$3:$A$5001,AG$3,BD!$B$3:$B$5001,$A$26)))</f>
        <v/>
      </c>
      <c r="AH41" s="240" t="str">
        <f>IF(AH$3="","",IF(COUNTIFS(BD!$A$3:$A$5001,AH$3,BD!$B$3:$B$5001,$A$26,BD!$AB$3:$AB$5001,"&lt;&gt;")=0,"",SUMIFS(BD!$AB$3:$AB$5001,BD!$A$3:$A$5001,AH$3,BD!$B$3:$B$5001,$A$26)))</f>
        <v/>
      </c>
      <c r="AI41" s="240" t="str">
        <f>IF(AI$3="","",IF(COUNTIFS(BD!$A$3:$A$5001,AI$3,BD!$B$3:$B$5001,$A$26,BD!$AB$3:$AB$5001,"&lt;&gt;")=0,"",SUMIFS(BD!$AB$3:$AB$5001,BD!$A$3:$A$5001,AI$3,BD!$B$3:$B$5001,$A$26)))</f>
        <v/>
      </c>
      <c r="AJ41" s="241" t="str">
        <f>IF(AJ$3="","",IF(COUNTIFS(BD!$A$3:$A$5001,AJ$3,BD!$B$3:$B$5001,$A$26,BD!$AB$3:$AB$5001,"&lt;&gt;")=0,"",SUMIFS(BD!$AB$3:$AB$5001,BD!$A$3:$A$5001,AJ$3,BD!$B$3:$B$5001,$A$26)))</f>
        <v/>
      </c>
      <c r="AK41" s="242" t="str">
        <f>IF(COUNT(F41:AJ41)=0,"",SUM(F41:AJ41))</f>
        <v/>
      </c>
    </row>
    <row r="42" ht="15.75" customHeight="1">
      <c r="A42" s="261"/>
      <c r="B42" s="258"/>
      <c r="C42" s="232" t="inlineStr">
        <is>
          <t xml:space="preserve">Folga</t>
        </is>
      </c>
      <c r="D42" s="233" t="str">
        <f>IFERROR(1/(1/INDEX(BD!$AL$50:$BF$50,MATCH($A$26,BD!$AL$22:$BF$22,0))),"")</f>
        <v/>
      </c>
      <c r="E42" s="234"/>
      <c r="F42" s="235" t="str">
        <f>IF(F$3="","",IF(COUNTIFS(BD!$A$3:$A$5001,F$3,BD!$B$3:$B$5001,$A$26,BD!$AC$3:$AC$5001,"&lt;&gt;")=0,"",SUMIFS(BD!$AC$3:$AC$5001,BD!$A$3:$A$5001,F$3,BD!$B$3:$B$5001,$A$26)))</f>
        <v/>
      </c>
      <c r="G42" s="236" t="str">
        <f>IF(G$3="","",IF(COUNTIFS(BD!$A$3:$A$5001,G$3,BD!$B$3:$B$5001,$A$26,BD!$AC$3:$AC$5001,"&lt;&gt;")=0,"",SUMIFS(BD!$AC$3:$AC$5001,BD!$A$3:$A$5001,G$3,BD!$B$3:$B$5001,$A$26)))</f>
        <v/>
      </c>
      <c r="H42" s="236" t="str">
        <f>IF(H$3="","",IF(COUNTIFS(BD!$A$3:$A$5001,H$3,BD!$B$3:$B$5001,$A$26,BD!$AC$3:$AC$5001,"&lt;&gt;")=0,"",SUMIFS(BD!$AC$3:$AC$5001,BD!$A$3:$A$5001,H$3,BD!$B$3:$B$5001,$A$26)))</f>
        <v/>
      </c>
      <c r="I42" s="236" t="str">
        <f>IF(I$3="","",IF(COUNTIFS(BD!$A$3:$A$5001,I$3,BD!$B$3:$B$5001,$A$26,BD!$AC$3:$AC$5001,"&lt;&gt;")=0,"",SUMIFS(BD!$AC$3:$AC$5001,BD!$A$3:$A$5001,I$3,BD!$B$3:$B$5001,$A$26)))</f>
        <v/>
      </c>
      <c r="J42" s="236" t="str">
        <f>IF(J$3="","",IF(COUNTIFS(BD!$A$3:$A$5001,J$3,BD!$B$3:$B$5001,$A$26,BD!$AC$3:$AC$5001,"&lt;&gt;")=0,"",SUMIFS(BD!$AC$3:$AC$5001,BD!$A$3:$A$5001,J$3,BD!$B$3:$B$5001,$A$26)))</f>
        <v/>
      </c>
      <c r="K42" s="236" t="str">
        <f>IF(K$3="","",IF(COUNTIFS(BD!$A$3:$A$5001,K$3,BD!$B$3:$B$5001,$A$26,BD!$AC$3:$AC$5001,"&lt;&gt;")=0,"",SUMIFS(BD!$AC$3:$AC$5001,BD!$A$3:$A$5001,K$3,BD!$B$3:$B$5001,$A$26)))</f>
        <v/>
      </c>
      <c r="L42" s="236" t="str">
        <f>IF(L$3="","",IF(COUNTIFS(BD!$A$3:$A$5001,L$3,BD!$B$3:$B$5001,$A$26,BD!$AC$3:$AC$5001,"&lt;&gt;")=0,"",SUMIFS(BD!$AC$3:$AC$5001,BD!$A$3:$A$5001,L$3,BD!$B$3:$B$5001,$A$26)))</f>
        <v/>
      </c>
      <c r="M42" s="236" t="str">
        <f>IF(M$3="","",IF(COUNTIFS(BD!$A$3:$A$5001,M$3,BD!$B$3:$B$5001,$A$26,BD!$AC$3:$AC$5001,"&lt;&gt;")=0,"",SUMIFS(BD!$AC$3:$AC$5001,BD!$A$3:$A$5001,M$3,BD!$B$3:$B$5001,$A$26)))</f>
        <v/>
      </c>
      <c r="N42" s="236" t="str">
        <f>IF(N$3="","",IF(COUNTIFS(BD!$A$3:$A$5001,N$3,BD!$B$3:$B$5001,$A$26,BD!$AC$3:$AC$5001,"&lt;&gt;")=0,"",SUMIFS(BD!$AC$3:$AC$5001,BD!$A$3:$A$5001,N$3,BD!$B$3:$B$5001,$A$26)))</f>
        <v/>
      </c>
      <c r="O42" s="236" t="str">
        <f>IF(O$3="","",IF(COUNTIFS(BD!$A$3:$A$5001,O$3,BD!$B$3:$B$5001,$A$26,BD!$AC$3:$AC$5001,"&lt;&gt;")=0,"",SUMIFS(BD!$AC$3:$AC$5001,BD!$A$3:$A$5001,O$3,BD!$B$3:$B$5001,$A$26)))</f>
        <v/>
      </c>
      <c r="P42" s="236" t="str">
        <f>IF(P$3="","",IF(COUNTIFS(BD!$A$3:$A$5001,P$3,BD!$B$3:$B$5001,$A$26,BD!$AC$3:$AC$5001,"&lt;&gt;")=0,"",SUMIFS(BD!$AC$3:$AC$5001,BD!$A$3:$A$5001,P$3,BD!$B$3:$B$5001,$A$26)))</f>
        <v/>
      </c>
      <c r="Q42" s="236" t="str">
        <f>IF(Q$3="","",IF(COUNTIFS(BD!$A$3:$A$5001,Q$3,BD!$B$3:$B$5001,$A$26,BD!$AC$3:$AC$5001,"&lt;&gt;")=0,"",SUMIFS(BD!$AC$3:$AC$5001,BD!$A$3:$A$5001,Q$3,BD!$B$3:$B$5001,$A$26)))</f>
        <v/>
      </c>
      <c r="R42" s="236" t="str">
        <f>IF(R$3="","",IF(COUNTIFS(BD!$A$3:$A$5001,R$3,BD!$B$3:$B$5001,$A$26,BD!$AC$3:$AC$5001,"&lt;&gt;")=0,"",SUMIFS(BD!$AC$3:$AC$5001,BD!$A$3:$A$5001,R$3,BD!$B$3:$B$5001,$A$26)))</f>
        <v/>
      </c>
      <c r="S42" s="236" t="str">
        <f>IF(S$3="","",IF(COUNTIFS(BD!$A$3:$A$5001,S$3,BD!$B$3:$B$5001,$A$26,BD!$AC$3:$AC$5001,"&lt;&gt;")=0,"",SUMIFS(BD!$AC$3:$AC$5001,BD!$A$3:$A$5001,S$3,BD!$B$3:$B$5001,$A$26)))</f>
        <v/>
      </c>
      <c r="T42" s="236" t="str">
        <f>IF(T$3="","",IF(COUNTIFS(BD!$A$3:$A$5001,T$3,BD!$B$3:$B$5001,$A$26,BD!$AC$3:$AC$5001,"&lt;&gt;")=0,"",SUMIFS(BD!$AC$3:$AC$5001,BD!$A$3:$A$5001,T$3,BD!$B$3:$B$5001,$A$26)))</f>
        <v/>
      </c>
      <c r="U42" s="236" t="str">
        <f>IF(U$3="","",IF(COUNTIFS(BD!$A$3:$A$5001,U$3,BD!$B$3:$B$5001,$A$26,BD!$AC$3:$AC$5001,"&lt;&gt;")=0,"",SUMIFS(BD!$AC$3:$AC$5001,BD!$A$3:$A$5001,U$3,BD!$B$3:$B$5001,$A$26)))</f>
        <v/>
      </c>
      <c r="V42" s="236" t="str">
        <f>IF(V$3="","",IF(COUNTIFS(BD!$A$3:$A$5001,V$3,BD!$B$3:$B$5001,$A$26,BD!$AC$3:$AC$5001,"&lt;&gt;")=0,"",SUMIFS(BD!$AC$3:$AC$5001,BD!$A$3:$A$5001,V$3,BD!$B$3:$B$5001,$A$26)))</f>
        <v/>
      </c>
      <c r="W42" s="236" t="str">
        <f>IF(W$3="","",IF(COUNTIFS(BD!$A$3:$A$5001,W$3,BD!$B$3:$B$5001,$A$26,BD!$AC$3:$AC$5001,"&lt;&gt;")=0,"",SUMIFS(BD!$AC$3:$AC$5001,BD!$A$3:$A$5001,W$3,BD!$B$3:$B$5001,$A$26)))</f>
        <v/>
      </c>
      <c r="X42" s="236" t="str">
        <f>IF(X$3="","",IF(COUNTIFS(BD!$A$3:$A$5001,X$3,BD!$B$3:$B$5001,$A$26,BD!$AC$3:$AC$5001,"&lt;&gt;")=0,"",SUMIFS(BD!$AC$3:$AC$5001,BD!$A$3:$A$5001,X$3,BD!$B$3:$B$5001,$A$26)))</f>
        <v/>
      </c>
      <c r="Y42" s="236" t="str">
        <f>IF(Y$3="","",IF(COUNTIFS(BD!$A$3:$A$5001,Y$3,BD!$B$3:$B$5001,$A$26,BD!$AC$3:$AC$5001,"&lt;&gt;")=0,"",SUMIFS(BD!$AC$3:$AC$5001,BD!$A$3:$A$5001,Y$3,BD!$B$3:$B$5001,$A$26)))</f>
        <v/>
      </c>
      <c r="Z42" s="236" t="str">
        <f>IF(Z$3="","",IF(COUNTIFS(BD!$A$3:$A$5001,Z$3,BD!$B$3:$B$5001,$A$26,BD!$AC$3:$AC$5001,"&lt;&gt;")=0,"",SUMIFS(BD!$AC$3:$AC$5001,BD!$A$3:$A$5001,Z$3,BD!$B$3:$B$5001,$A$26)))</f>
        <v/>
      </c>
      <c r="AA42" s="236" t="str">
        <f>IF(AA$3="","",IF(COUNTIFS(BD!$A$3:$A$5001,AA$3,BD!$B$3:$B$5001,$A$26,BD!$AC$3:$AC$5001,"&lt;&gt;")=0,"",SUMIFS(BD!$AC$3:$AC$5001,BD!$A$3:$A$5001,AA$3,BD!$B$3:$B$5001,$A$26)))</f>
        <v/>
      </c>
      <c r="AB42" s="236" t="str">
        <f>IF(AB$3="","",IF(COUNTIFS(BD!$A$3:$A$5001,AB$3,BD!$B$3:$B$5001,$A$26,BD!$AC$3:$AC$5001,"&lt;&gt;")=0,"",SUMIFS(BD!$AC$3:$AC$5001,BD!$A$3:$A$5001,AB$3,BD!$B$3:$B$5001,$A$26)))</f>
        <v/>
      </c>
      <c r="AC42" s="236" t="str">
        <f>IF(AC$3="","",IF(COUNTIFS(BD!$A$3:$A$5001,AC$3,BD!$B$3:$B$5001,$A$26,BD!$AC$3:$AC$5001,"&lt;&gt;")=0,"",SUMIFS(BD!$AC$3:$AC$5001,BD!$A$3:$A$5001,AC$3,BD!$B$3:$B$5001,$A$26)))</f>
        <v/>
      </c>
      <c r="AD42" s="236" t="str">
        <f>IF(AD$3="","",IF(COUNTIFS(BD!$A$3:$A$5001,AD$3,BD!$B$3:$B$5001,$A$26,BD!$AC$3:$AC$5001,"&lt;&gt;")=0,"",SUMIFS(BD!$AC$3:$AC$5001,BD!$A$3:$A$5001,AD$3,BD!$B$3:$B$5001,$A$26)))</f>
        <v/>
      </c>
      <c r="AE42" s="236" t="str">
        <f>IF(AE$3="","",IF(COUNTIFS(BD!$A$3:$A$5001,AE$3,BD!$B$3:$B$5001,$A$26,BD!$AC$3:$AC$5001,"&lt;&gt;")=0,"",SUMIFS(BD!$AC$3:$AC$5001,BD!$A$3:$A$5001,AE$3,BD!$B$3:$B$5001,$A$26)))</f>
        <v/>
      </c>
      <c r="AF42" s="236" t="str">
        <f>IF(AF$3="","",IF(COUNTIFS(BD!$A$3:$A$5001,AF$3,BD!$B$3:$B$5001,$A$26,BD!$AC$3:$AC$5001,"&lt;&gt;")=0,"",SUMIFS(BD!$AC$3:$AC$5001,BD!$A$3:$A$5001,AF$3,BD!$B$3:$B$5001,$A$26)))</f>
        <v/>
      </c>
      <c r="AG42" s="236" t="str">
        <f>IF(AG$3="","",IF(COUNTIFS(BD!$A$3:$A$5001,AG$3,BD!$B$3:$B$5001,$A$26,BD!$AC$3:$AC$5001,"&lt;&gt;")=0,"",SUMIFS(BD!$AC$3:$AC$5001,BD!$A$3:$A$5001,AG$3,BD!$B$3:$B$5001,$A$26)))</f>
        <v/>
      </c>
      <c r="AH42" s="236" t="str">
        <f>IF(AH$3="","",IF(COUNTIFS(BD!$A$3:$A$5001,AH$3,BD!$B$3:$B$5001,$A$26,BD!$AC$3:$AC$5001,"&lt;&gt;")=0,"",SUMIFS(BD!$AC$3:$AC$5001,BD!$A$3:$A$5001,AH$3,BD!$B$3:$B$5001,$A$26)))</f>
        <v/>
      </c>
      <c r="AI42" s="236" t="str">
        <f>IF(AI$3="","",IF(COUNTIFS(BD!$A$3:$A$5001,AI$3,BD!$B$3:$B$5001,$A$26,BD!$AC$3:$AC$5001,"&lt;&gt;")=0,"",SUMIFS(BD!$AC$3:$AC$5001,BD!$A$3:$A$5001,AI$3,BD!$B$3:$B$5001,$A$26)))</f>
        <v/>
      </c>
      <c r="AJ42" s="237" t="str">
        <f>IF(AJ$3="","",IF(COUNTIFS(BD!$A$3:$A$5001,AJ$3,BD!$B$3:$B$5001,$A$26,BD!$AC$3:$AC$5001,"&lt;&gt;")=0,"",SUMIFS(BD!$AC$3:$AC$5001,BD!$A$3:$A$5001,AJ$3,BD!$B$3:$B$5001,$A$26)))</f>
        <v/>
      </c>
      <c r="AK42" s="238" t="str">
        <f>IF(COUNT(F42:AJ42)=0,"",SUM(F42:AJ42))</f>
        <v/>
      </c>
    </row>
    <row r="43" ht="15.75" customHeight="1">
      <c r="A43" s="261"/>
      <c r="B43" s="258"/>
      <c r="C43" s="232" t="inlineStr">
        <is>
          <t xml:space="preserve">Férias</t>
        </is>
      </c>
      <c r="D43" s="233" t="str">
        <f>IFERROR(1/(1/INDEX(BD!$AL$51:$BF$51,MATCH($A$26,BD!$AL$22:$BF$22,0))),"")</f>
        <v/>
      </c>
      <c r="E43" s="234"/>
      <c r="F43" s="235" t="str">
        <f>IF(F$3="","",IF(COUNTIFS(BD!$A$3:$A$5001,F$3,BD!$B$3:$B$5001,$A$26,BD!$AD$3:$AD$5001,"&lt;&gt;")=0,"",SUMIFS(BD!$AD$3:$AD$5001,BD!$A$3:$A$5001,F$3,BD!$B$3:$B$5001,$A$26)))</f>
        <v/>
      </c>
      <c r="G43" s="236" t="str">
        <f>IF(G$3="","",IF(COUNTIFS(BD!$A$3:$A$5001,G$3,BD!$B$3:$B$5001,$A$26,BD!$AD$3:$AD$5001,"&lt;&gt;")=0,"",SUMIFS(BD!$AD$3:$AD$5001,BD!$A$3:$A$5001,G$3,BD!$B$3:$B$5001,$A$26)))</f>
        <v/>
      </c>
      <c r="H43" s="236" t="str">
        <f>IF(H$3="","",IF(COUNTIFS(BD!$A$3:$A$5001,H$3,BD!$B$3:$B$5001,$A$26,BD!$AD$3:$AD$5001,"&lt;&gt;")=0,"",SUMIFS(BD!$AD$3:$AD$5001,BD!$A$3:$A$5001,H$3,BD!$B$3:$B$5001,$A$26)))</f>
        <v/>
      </c>
      <c r="I43" s="236" t="str">
        <f>IF(I$3="","",IF(COUNTIFS(BD!$A$3:$A$5001,I$3,BD!$B$3:$B$5001,$A$26,BD!$AD$3:$AD$5001,"&lt;&gt;")=0,"",SUMIFS(BD!$AD$3:$AD$5001,BD!$A$3:$A$5001,I$3,BD!$B$3:$B$5001,$A$26)))</f>
        <v/>
      </c>
      <c r="J43" s="236" t="str">
        <f>IF(J$3="","",IF(COUNTIFS(BD!$A$3:$A$5001,J$3,BD!$B$3:$B$5001,$A$26,BD!$AD$3:$AD$5001,"&lt;&gt;")=0,"",SUMIFS(BD!$AD$3:$AD$5001,BD!$A$3:$A$5001,J$3,BD!$B$3:$B$5001,$A$26)))</f>
        <v/>
      </c>
      <c r="K43" s="236" t="str">
        <f>IF(K$3="","",IF(COUNTIFS(BD!$A$3:$A$5001,K$3,BD!$B$3:$B$5001,$A$26,BD!$AD$3:$AD$5001,"&lt;&gt;")=0,"",SUMIFS(BD!$AD$3:$AD$5001,BD!$A$3:$A$5001,K$3,BD!$B$3:$B$5001,$A$26)))</f>
        <v/>
      </c>
      <c r="L43" s="236" t="str">
        <f>IF(L$3="","",IF(COUNTIFS(BD!$A$3:$A$5001,L$3,BD!$B$3:$B$5001,$A$26,BD!$AD$3:$AD$5001,"&lt;&gt;")=0,"",SUMIFS(BD!$AD$3:$AD$5001,BD!$A$3:$A$5001,L$3,BD!$B$3:$B$5001,$A$26)))</f>
        <v/>
      </c>
      <c r="M43" s="236" t="str">
        <f>IF(M$3="","",IF(COUNTIFS(BD!$A$3:$A$5001,M$3,BD!$B$3:$B$5001,$A$26,BD!$AD$3:$AD$5001,"&lt;&gt;")=0,"",SUMIFS(BD!$AD$3:$AD$5001,BD!$A$3:$A$5001,M$3,BD!$B$3:$B$5001,$A$26)))</f>
        <v/>
      </c>
      <c r="N43" s="236" t="str">
        <f>IF(N$3="","",IF(COUNTIFS(BD!$A$3:$A$5001,N$3,BD!$B$3:$B$5001,$A$26,BD!$AD$3:$AD$5001,"&lt;&gt;")=0,"",SUMIFS(BD!$AD$3:$AD$5001,BD!$A$3:$A$5001,N$3,BD!$B$3:$B$5001,$A$26)))</f>
        <v/>
      </c>
      <c r="O43" s="236" t="str">
        <f>IF(O$3="","",IF(COUNTIFS(BD!$A$3:$A$5001,O$3,BD!$B$3:$B$5001,$A$26,BD!$AD$3:$AD$5001,"&lt;&gt;")=0,"",SUMIFS(BD!$AD$3:$AD$5001,BD!$A$3:$A$5001,O$3,BD!$B$3:$B$5001,$A$26)))</f>
        <v/>
      </c>
      <c r="P43" s="236" t="str">
        <f>IF(P$3="","",IF(COUNTIFS(BD!$A$3:$A$5001,P$3,BD!$B$3:$B$5001,$A$26,BD!$AD$3:$AD$5001,"&lt;&gt;")=0,"",SUMIFS(BD!$AD$3:$AD$5001,BD!$A$3:$A$5001,P$3,BD!$B$3:$B$5001,$A$26)))</f>
        <v/>
      </c>
      <c r="Q43" s="236" t="str">
        <f>IF(Q$3="","",IF(COUNTIFS(BD!$A$3:$A$5001,Q$3,BD!$B$3:$B$5001,$A$26,BD!$AD$3:$AD$5001,"&lt;&gt;")=0,"",SUMIFS(BD!$AD$3:$AD$5001,BD!$A$3:$A$5001,Q$3,BD!$B$3:$B$5001,$A$26)))</f>
        <v/>
      </c>
      <c r="R43" s="236" t="str">
        <f>IF(R$3="","",IF(COUNTIFS(BD!$A$3:$A$5001,R$3,BD!$B$3:$B$5001,$A$26,BD!$AD$3:$AD$5001,"&lt;&gt;")=0,"",SUMIFS(BD!$AD$3:$AD$5001,BD!$A$3:$A$5001,R$3,BD!$B$3:$B$5001,$A$26)))</f>
        <v/>
      </c>
      <c r="S43" s="236" t="str">
        <f>IF(S$3="","",IF(COUNTIFS(BD!$A$3:$A$5001,S$3,BD!$B$3:$B$5001,$A$26,BD!$AD$3:$AD$5001,"&lt;&gt;")=0,"",SUMIFS(BD!$AD$3:$AD$5001,BD!$A$3:$A$5001,S$3,BD!$B$3:$B$5001,$A$26)))</f>
        <v/>
      </c>
      <c r="T43" s="236" t="str">
        <f>IF(T$3="","",IF(COUNTIFS(BD!$A$3:$A$5001,T$3,BD!$B$3:$B$5001,$A$26,BD!$AD$3:$AD$5001,"&lt;&gt;")=0,"",SUMIFS(BD!$AD$3:$AD$5001,BD!$A$3:$A$5001,T$3,BD!$B$3:$B$5001,$A$26)))</f>
        <v/>
      </c>
      <c r="U43" s="236" t="str">
        <f>IF(U$3="","",IF(COUNTIFS(BD!$A$3:$A$5001,U$3,BD!$B$3:$B$5001,$A$26,BD!$AD$3:$AD$5001,"&lt;&gt;")=0,"",SUMIFS(BD!$AD$3:$AD$5001,BD!$A$3:$A$5001,U$3,BD!$B$3:$B$5001,$A$26)))</f>
        <v/>
      </c>
      <c r="V43" s="236" t="str">
        <f>IF(V$3="","",IF(COUNTIFS(BD!$A$3:$A$5001,V$3,BD!$B$3:$B$5001,$A$26,BD!$AD$3:$AD$5001,"&lt;&gt;")=0,"",SUMIFS(BD!$AD$3:$AD$5001,BD!$A$3:$A$5001,V$3,BD!$B$3:$B$5001,$A$26)))</f>
        <v/>
      </c>
      <c r="W43" s="236" t="str">
        <f>IF(W$3="","",IF(COUNTIFS(BD!$A$3:$A$5001,W$3,BD!$B$3:$B$5001,$A$26,BD!$AD$3:$AD$5001,"&lt;&gt;")=0,"",SUMIFS(BD!$AD$3:$AD$5001,BD!$A$3:$A$5001,W$3,BD!$B$3:$B$5001,$A$26)))</f>
        <v/>
      </c>
      <c r="X43" s="236" t="str">
        <f>IF(X$3="","",IF(COUNTIFS(BD!$A$3:$A$5001,X$3,BD!$B$3:$B$5001,$A$26,BD!$AD$3:$AD$5001,"&lt;&gt;")=0,"",SUMIFS(BD!$AD$3:$AD$5001,BD!$A$3:$A$5001,X$3,BD!$B$3:$B$5001,$A$26)))</f>
        <v/>
      </c>
      <c r="Y43" s="236" t="str">
        <f>IF(Y$3="","",IF(COUNTIFS(BD!$A$3:$A$5001,Y$3,BD!$B$3:$B$5001,$A$26,BD!$AD$3:$AD$5001,"&lt;&gt;")=0,"",SUMIFS(BD!$AD$3:$AD$5001,BD!$A$3:$A$5001,Y$3,BD!$B$3:$B$5001,$A$26)))</f>
        <v/>
      </c>
      <c r="Z43" s="236" t="str">
        <f>IF(Z$3="","",IF(COUNTIFS(BD!$A$3:$A$5001,Z$3,BD!$B$3:$B$5001,$A$26,BD!$AD$3:$AD$5001,"&lt;&gt;")=0,"",SUMIFS(BD!$AD$3:$AD$5001,BD!$A$3:$A$5001,Z$3,BD!$B$3:$B$5001,$A$26)))</f>
        <v/>
      </c>
      <c r="AA43" s="236" t="str">
        <f>IF(AA$3="","",IF(COUNTIFS(BD!$A$3:$A$5001,AA$3,BD!$B$3:$B$5001,$A$26,BD!$AD$3:$AD$5001,"&lt;&gt;")=0,"",SUMIFS(BD!$AD$3:$AD$5001,BD!$A$3:$A$5001,AA$3,BD!$B$3:$B$5001,$A$26)))</f>
        <v/>
      </c>
      <c r="AB43" s="236" t="str">
        <f>IF(AB$3="","",IF(COUNTIFS(BD!$A$3:$A$5001,AB$3,BD!$B$3:$B$5001,$A$26,BD!$AD$3:$AD$5001,"&lt;&gt;")=0,"",SUMIFS(BD!$AD$3:$AD$5001,BD!$A$3:$A$5001,AB$3,BD!$B$3:$B$5001,$A$26)))</f>
        <v/>
      </c>
      <c r="AC43" s="236" t="str">
        <f>IF(AC$3="","",IF(COUNTIFS(BD!$A$3:$A$5001,AC$3,BD!$B$3:$B$5001,$A$26,BD!$AD$3:$AD$5001,"&lt;&gt;")=0,"",SUMIFS(BD!$AD$3:$AD$5001,BD!$A$3:$A$5001,AC$3,BD!$B$3:$B$5001,$A$26)))</f>
        <v/>
      </c>
      <c r="AD43" s="236" t="str">
        <f>IF(AD$3="","",IF(COUNTIFS(BD!$A$3:$A$5001,AD$3,BD!$B$3:$B$5001,$A$26,BD!$AD$3:$AD$5001,"&lt;&gt;")=0,"",SUMIFS(BD!$AD$3:$AD$5001,BD!$A$3:$A$5001,AD$3,BD!$B$3:$B$5001,$A$26)))</f>
        <v/>
      </c>
      <c r="AE43" s="236" t="str">
        <f>IF(AE$3="","",IF(COUNTIFS(BD!$A$3:$A$5001,AE$3,BD!$B$3:$B$5001,$A$26,BD!$AD$3:$AD$5001,"&lt;&gt;")=0,"",SUMIFS(BD!$AD$3:$AD$5001,BD!$A$3:$A$5001,AE$3,BD!$B$3:$B$5001,$A$26)))</f>
        <v/>
      </c>
      <c r="AF43" s="236" t="str">
        <f>IF(AF$3="","",IF(COUNTIFS(BD!$A$3:$A$5001,AF$3,BD!$B$3:$B$5001,$A$26,BD!$AD$3:$AD$5001,"&lt;&gt;")=0,"",SUMIFS(BD!$AD$3:$AD$5001,BD!$A$3:$A$5001,AF$3,BD!$B$3:$B$5001,$A$26)))</f>
        <v/>
      </c>
      <c r="AG43" s="236" t="str">
        <f>IF(AG$3="","",IF(COUNTIFS(BD!$A$3:$A$5001,AG$3,BD!$B$3:$B$5001,$A$26,BD!$AD$3:$AD$5001,"&lt;&gt;")=0,"",SUMIFS(BD!$AD$3:$AD$5001,BD!$A$3:$A$5001,AG$3,BD!$B$3:$B$5001,$A$26)))</f>
        <v/>
      </c>
      <c r="AH43" s="236" t="str">
        <f>IF(AH$3="","",IF(COUNTIFS(BD!$A$3:$A$5001,AH$3,BD!$B$3:$B$5001,$A$26,BD!$AD$3:$AD$5001,"&lt;&gt;")=0,"",SUMIFS(BD!$AD$3:$AD$5001,BD!$A$3:$A$5001,AH$3,BD!$B$3:$B$5001,$A$26)))</f>
        <v/>
      </c>
      <c r="AI43" s="236" t="str">
        <f>IF(AI$3="","",IF(COUNTIFS(BD!$A$3:$A$5001,AI$3,BD!$B$3:$B$5001,$A$26,BD!$AD$3:$AD$5001,"&lt;&gt;")=0,"",SUMIFS(BD!$AD$3:$AD$5001,BD!$A$3:$A$5001,AI$3,BD!$B$3:$B$5001,$A$26)))</f>
        <v/>
      </c>
      <c r="AJ43" s="237" t="str">
        <f>IF(AJ$3="","",IF(COUNTIFS(BD!$A$3:$A$5001,AJ$3,BD!$B$3:$B$5001,$A$26,BD!$AD$3:$AD$5001,"&lt;&gt;")=0,"",SUMIFS(BD!$AD$3:$AD$5001,BD!$A$3:$A$5001,AJ$3,BD!$B$3:$B$5001,$A$26)))</f>
        <v/>
      </c>
      <c r="AK43" s="238" t="str">
        <f>IF(COUNT(F43:AJ43)=0,"",SUM(F43:AJ43))</f>
        <v/>
      </c>
    </row>
    <row r="44" ht="15.75" customHeight="1">
      <c r="A44" s="261"/>
      <c r="B44" s="258"/>
      <c r="C44" s="232" t="inlineStr">
        <is>
          <t xml:space="preserve">Desligamento</t>
        </is>
      </c>
      <c r="D44" s="233" t="str">
        <f>IFERROR(1/(1/INDEX(BD!$AL$52:$BF$52,MATCH($A$26,BD!$AL$22:$BF$22,0))),"")</f>
        <v/>
      </c>
      <c r="E44" s="234"/>
      <c r="F44" s="235" t="str">
        <f>IF(F$3="","",IF(COUNTIFS(BD!$A$3:$A$5001,F$3,BD!$B$3:$B$5001,$A$26,BD!$AE$3:$AE$5001,"&lt;&gt;")=0,"",SUMIFS(BD!$AE$3:$AE$5001,BD!$A$3:$A$5001,F$3,BD!$B$3:$B$5001,$A$26)))</f>
        <v/>
      </c>
      <c r="G44" s="236" t="str">
        <f>IF(G$3="","",IF(COUNTIFS(BD!$A$3:$A$5001,G$3,BD!$B$3:$B$5001,$A$26,BD!$AE$3:$AE$5001,"&lt;&gt;")=0,"",SUMIFS(BD!$AE$3:$AE$5001,BD!$A$3:$A$5001,G$3,BD!$B$3:$B$5001,$A$26)))</f>
        <v/>
      </c>
      <c r="H44" s="236" t="str">
        <f>IF(H$3="","",IF(COUNTIFS(BD!$A$3:$A$5001,H$3,BD!$B$3:$B$5001,$A$26,BD!$AE$3:$AE$5001,"&lt;&gt;")=0,"",SUMIFS(BD!$AE$3:$AE$5001,BD!$A$3:$A$5001,H$3,BD!$B$3:$B$5001,$A$26)))</f>
        <v/>
      </c>
      <c r="I44" s="236" t="str">
        <f>IF(I$3="","",IF(COUNTIFS(BD!$A$3:$A$5001,I$3,BD!$B$3:$B$5001,$A$26,BD!$AE$3:$AE$5001,"&lt;&gt;")=0,"",SUMIFS(BD!$AE$3:$AE$5001,BD!$A$3:$A$5001,I$3,BD!$B$3:$B$5001,$A$26)))</f>
        <v/>
      </c>
      <c r="J44" s="236" t="str">
        <f>IF(J$3="","",IF(COUNTIFS(BD!$A$3:$A$5001,J$3,BD!$B$3:$B$5001,$A$26,BD!$AE$3:$AE$5001,"&lt;&gt;")=0,"",SUMIFS(BD!$AE$3:$AE$5001,BD!$A$3:$A$5001,J$3,BD!$B$3:$B$5001,$A$26)))</f>
        <v/>
      </c>
      <c r="K44" s="236" t="str">
        <f>IF(K$3="","",IF(COUNTIFS(BD!$A$3:$A$5001,K$3,BD!$B$3:$B$5001,$A$26,BD!$AE$3:$AE$5001,"&lt;&gt;")=0,"",SUMIFS(BD!$AE$3:$AE$5001,BD!$A$3:$A$5001,K$3,BD!$B$3:$B$5001,$A$26)))</f>
        <v/>
      </c>
      <c r="L44" s="236" t="str">
        <f>IF(L$3="","",IF(COUNTIFS(BD!$A$3:$A$5001,L$3,BD!$B$3:$B$5001,$A$26,BD!$AE$3:$AE$5001,"&lt;&gt;")=0,"",SUMIFS(BD!$AE$3:$AE$5001,BD!$A$3:$A$5001,L$3,BD!$B$3:$B$5001,$A$26)))</f>
        <v/>
      </c>
      <c r="M44" s="236" t="str">
        <f>IF(M$3="","",IF(COUNTIFS(BD!$A$3:$A$5001,M$3,BD!$B$3:$B$5001,$A$26,BD!$AE$3:$AE$5001,"&lt;&gt;")=0,"",SUMIFS(BD!$AE$3:$AE$5001,BD!$A$3:$A$5001,M$3,BD!$B$3:$B$5001,$A$26)))</f>
        <v/>
      </c>
      <c r="N44" s="236" t="str">
        <f>IF(N$3="","",IF(COUNTIFS(BD!$A$3:$A$5001,N$3,BD!$B$3:$B$5001,$A$26,BD!$AE$3:$AE$5001,"&lt;&gt;")=0,"",SUMIFS(BD!$AE$3:$AE$5001,BD!$A$3:$A$5001,N$3,BD!$B$3:$B$5001,$A$26)))</f>
        <v/>
      </c>
      <c r="O44" s="236" t="str">
        <f>IF(O$3="","",IF(COUNTIFS(BD!$A$3:$A$5001,O$3,BD!$B$3:$B$5001,$A$26,BD!$AE$3:$AE$5001,"&lt;&gt;")=0,"",SUMIFS(BD!$AE$3:$AE$5001,BD!$A$3:$A$5001,O$3,BD!$B$3:$B$5001,$A$26)))</f>
        <v/>
      </c>
      <c r="P44" s="236" t="str">
        <f>IF(P$3="","",IF(COUNTIFS(BD!$A$3:$A$5001,P$3,BD!$B$3:$B$5001,$A$26,BD!$AE$3:$AE$5001,"&lt;&gt;")=0,"",SUMIFS(BD!$AE$3:$AE$5001,BD!$A$3:$A$5001,P$3,BD!$B$3:$B$5001,$A$26)))</f>
        <v/>
      </c>
      <c r="Q44" s="236" t="str">
        <f>IF(Q$3="","",IF(COUNTIFS(BD!$A$3:$A$5001,Q$3,BD!$B$3:$B$5001,$A$26,BD!$AE$3:$AE$5001,"&lt;&gt;")=0,"",SUMIFS(BD!$AE$3:$AE$5001,BD!$A$3:$A$5001,Q$3,BD!$B$3:$B$5001,$A$26)))</f>
        <v/>
      </c>
      <c r="R44" s="236" t="str">
        <f>IF(R$3="","",IF(COUNTIFS(BD!$A$3:$A$5001,R$3,BD!$B$3:$B$5001,$A$26,BD!$AE$3:$AE$5001,"&lt;&gt;")=0,"",SUMIFS(BD!$AE$3:$AE$5001,BD!$A$3:$A$5001,R$3,BD!$B$3:$B$5001,$A$26)))</f>
        <v/>
      </c>
      <c r="S44" s="236" t="str">
        <f>IF(S$3="","",IF(COUNTIFS(BD!$A$3:$A$5001,S$3,BD!$B$3:$B$5001,$A$26,BD!$AE$3:$AE$5001,"&lt;&gt;")=0,"",SUMIFS(BD!$AE$3:$AE$5001,BD!$A$3:$A$5001,S$3,BD!$B$3:$B$5001,$A$26)))</f>
        <v/>
      </c>
      <c r="T44" s="236" t="str">
        <f>IF(T$3="","",IF(COUNTIFS(BD!$A$3:$A$5001,T$3,BD!$B$3:$B$5001,$A$26,BD!$AE$3:$AE$5001,"&lt;&gt;")=0,"",SUMIFS(BD!$AE$3:$AE$5001,BD!$A$3:$A$5001,T$3,BD!$B$3:$B$5001,$A$26)))</f>
        <v/>
      </c>
      <c r="U44" s="236" t="str">
        <f>IF(U$3="","",IF(COUNTIFS(BD!$A$3:$A$5001,U$3,BD!$B$3:$B$5001,$A$26,BD!$AE$3:$AE$5001,"&lt;&gt;")=0,"",SUMIFS(BD!$AE$3:$AE$5001,BD!$A$3:$A$5001,U$3,BD!$B$3:$B$5001,$A$26)))</f>
        <v/>
      </c>
      <c r="V44" s="236" t="str">
        <f>IF(V$3="","",IF(COUNTIFS(BD!$A$3:$A$5001,V$3,BD!$B$3:$B$5001,$A$26,BD!$AE$3:$AE$5001,"&lt;&gt;")=0,"",SUMIFS(BD!$AE$3:$AE$5001,BD!$A$3:$A$5001,V$3,BD!$B$3:$B$5001,$A$26)))</f>
        <v/>
      </c>
      <c r="W44" s="236" t="str">
        <f>IF(W$3="","",IF(COUNTIFS(BD!$A$3:$A$5001,W$3,BD!$B$3:$B$5001,$A$26,BD!$AE$3:$AE$5001,"&lt;&gt;")=0,"",SUMIFS(BD!$AE$3:$AE$5001,BD!$A$3:$A$5001,W$3,BD!$B$3:$B$5001,$A$26)))</f>
        <v/>
      </c>
      <c r="X44" s="236" t="str">
        <f>IF(X$3="","",IF(COUNTIFS(BD!$A$3:$A$5001,X$3,BD!$B$3:$B$5001,$A$26,BD!$AE$3:$AE$5001,"&lt;&gt;")=0,"",SUMIFS(BD!$AE$3:$AE$5001,BD!$A$3:$A$5001,X$3,BD!$B$3:$B$5001,$A$26)))</f>
        <v/>
      </c>
      <c r="Y44" s="236" t="str">
        <f>IF(Y$3="","",IF(COUNTIFS(BD!$A$3:$A$5001,Y$3,BD!$B$3:$B$5001,$A$26,BD!$AE$3:$AE$5001,"&lt;&gt;")=0,"",SUMIFS(BD!$AE$3:$AE$5001,BD!$A$3:$A$5001,Y$3,BD!$B$3:$B$5001,$A$26)))</f>
        <v/>
      </c>
      <c r="Z44" s="236" t="str">
        <f>IF(Z$3="","",IF(COUNTIFS(BD!$A$3:$A$5001,Z$3,BD!$B$3:$B$5001,$A$26,BD!$AE$3:$AE$5001,"&lt;&gt;")=0,"",SUMIFS(BD!$AE$3:$AE$5001,BD!$A$3:$A$5001,Z$3,BD!$B$3:$B$5001,$A$26)))</f>
        <v/>
      </c>
      <c r="AA44" s="236" t="str">
        <f>IF(AA$3="","",IF(COUNTIFS(BD!$A$3:$A$5001,AA$3,BD!$B$3:$B$5001,$A$26,BD!$AE$3:$AE$5001,"&lt;&gt;")=0,"",SUMIFS(BD!$AE$3:$AE$5001,BD!$A$3:$A$5001,AA$3,BD!$B$3:$B$5001,$A$26)))</f>
        <v/>
      </c>
      <c r="AB44" s="236" t="str">
        <f>IF(AB$3="","",IF(COUNTIFS(BD!$A$3:$A$5001,AB$3,BD!$B$3:$B$5001,$A$26,BD!$AE$3:$AE$5001,"&lt;&gt;")=0,"",SUMIFS(BD!$AE$3:$AE$5001,BD!$A$3:$A$5001,AB$3,BD!$B$3:$B$5001,$A$26)))</f>
        <v/>
      </c>
      <c r="AC44" s="236" t="str">
        <f>IF(AC$3="","",IF(COUNTIFS(BD!$A$3:$A$5001,AC$3,BD!$B$3:$B$5001,$A$26,BD!$AE$3:$AE$5001,"&lt;&gt;")=0,"",SUMIFS(BD!$AE$3:$AE$5001,BD!$A$3:$A$5001,AC$3,BD!$B$3:$B$5001,$A$26)))</f>
        <v/>
      </c>
      <c r="AD44" s="236" t="str">
        <f>IF(AD$3="","",IF(COUNTIFS(BD!$A$3:$A$5001,AD$3,BD!$B$3:$B$5001,$A$26,BD!$AE$3:$AE$5001,"&lt;&gt;")=0,"",SUMIFS(BD!$AE$3:$AE$5001,BD!$A$3:$A$5001,AD$3,BD!$B$3:$B$5001,$A$26)))</f>
        <v/>
      </c>
      <c r="AE44" s="236" t="str">
        <f>IF(AE$3="","",IF(COUNTIFS(BD!$A$3:$A$5001,AE$3,BD!$B$3:$B$5001,$A$26,BD!$AE$3:$AE$5001,"&lt;&gt;")=0,"",SUMIFS(BD!$AE$3:$AE$5001,BD!$A$3:$A$5001,AE$3,BD!$B$3:$B$5001,$A$26)))</f>
        <v/>
      </c>
      <c r="AF44" s="236" t="str">
        <f>IF(AF$3="","",IF(COUNTIFS(BD!$A$3:$A$5001,AF$3,BD!$B$3:$B$5001,$A$26,BD!$AE$3:$AE$5001,"&lt;&gt;")=0,"",SUMIFS(BD!$AE$3:$AE$5001,BD!$A$3:$A$5001,AF$3,BD!$B$3:$B$5001,$A$26)))</f>
        <v/>
      </c>
      <c r="AG44" s="236" t="str">
        <f>IF(AG$3="","",IF(COUNTIFS(BD!$A$3:$A$5001,AG$3,BD!$B$3:$B$5001,$A$26,BD!$AE$3:$AE$5001,"&lt;&gt;")=0,"",SUMIFS(BD!$AE$3:$AE$5001,BD!$A$3:$A$5001,AG$3,BD!$B$3:$B$5001,$A$26)))</f>
        <v/>
      </c>
      <c r="AH44" s="236" t="str">
        <f>IF(AH$3="","",IF(COUNTIFS(BD!$A$3:$A$5001,AH$3,BD!$B$3:$B$5001,$A$26,BD!$AE$3:$AE$5001,"&lt;&gt;")=0,"",SUMIFS(BD!$AE$3:$AE$5001,BD!$A$3:$A$5001,AH$3,BD!$B$3:$B$5001,$A$26)))</f>
        <v/>
      </c>
      <c r="AI44" s="236" t="str">
        <f>IF(AI$3="","",IF(COUNTIFS(BD!$A$3:$A$5001,AI$3,BD!$B$3:$B$5001,$A$26,BD!$AE$3:$AE$5001,"&lt;&gt;")=0,"",SUMIFS(BD!$AE$3:$AE$5001,BD!$A$3:$A$5001,AI$3,BD!$B$3:$B$5001,$A$26)))</f>
        <v/>
      </c>
      <c r="AJ44" s="237" t="str">
        <f>IF(AJ$3="","",IF(COUNTIFS(BD!$A$3:$A$5001,AJ$3,BD!$B$3:$B$5001,$A$26,BD!$AE$3:$AE$5001,"&lt;&gt;")=0,"",SUMIFS(BD!$AE$3:$AE$5001,BD!$A$3:$A$5001,AJ$3,BD!$B$3:$B$5001,$A$26)))</f>
        <v/>
      </c>
      <c r="AK44" s="238" t="str">
        <f>IF(COUNT(F44:AJ44)=0,"",SUM(F44:AJ44))</f>
        <v/>
      </c>
    </row>
    <row r="45" ht="15.75" customHeight="1">
      <c r="A45" s="261"/>
      <c r="B45" s="258"/>
      <c r="C45" s="232" t="inlineStr">
        <is>
          <t xml:space="preserve">Desvios Comportamentais</t>
        </is>
      </c>
      <c r="D45" s="233" t="str">
        <f>IFERROR(1/(1/INDEX(BD!$AL$53:$BF$53,MATCH($A$26,BD!$AL$22:$BF$22,0))),"")</f>
        <v/>
      </c>
      <c r="E45" s="234"/>
      <c r="F45" s="235" t="str">
        <f>IF(F$3="","",IF(COUNTIFS(BD!$A$3:$A$5001,F$3,BD!$B$3:$B$5001,$A$26,BD!$AF$3:$AF$5001,"&lt;&gt;")=0,"",SUMIFS(BD!$AF$3:$AF$5001,BD!$A$3:$A$5001,F$3,BD!$B$3:$B$5001,$A$26)))</f>
        <v/>
      </c>
      <c r="G45" s="236" t="str">
        <f>IF(G$3="","",IF(COUNTIFS(BD!$A$3:$A$5001,G$3,BD!$B$3:$B$5001,$A$26,BD!$AF$3:$AF$5001,"&lt;&gt;")=0,"",SUMIFS(BD!$AF$3:$AF$5001,BD!$A$3:$A$5001,G$3,BD!$B$3:$B$5001,$A$26)))</f>
        <v/>
      </c>
      <c r="H45" s="236" t="str">
        <f>IF(H$3="","",IF(COUNTIFS(BD!$A$3:$A$5001,H$3,BD!$B$3:$B$5001,$A$26,BD!$AF$3:$AF$5001,"&lt;&gt;")=0,"",SUMIFS(BD!$AF$3:$AF$5001,BD!$A$3:$A$5001,H$3,BD!$B$3:$B$5001,$A$26)))</f>
        <v/>
      </c>
      <c r="I45" s="236" t="str">
        <f>IF(I$3="","",IF(COUNTIFS(BD!$A$3:$A$5001,I$3,BD!$B$3:$B$5001,$A$26,BD!$AF$3:$AF$5001,"&lt;&gt;")=0,"",SUMIFS(BD!$AF$3:$AF$5001,BD!$A$3:$A$5001,I$3,BD!$B$3:$B$5001,$A$26)))</f>
        <v/>
      </c>
      <c r="J45" s="236" t="str">
        <f>IF(J$3="","",IF(COUNTIFS(BD!$A$3:$A$5001,J$3,BD!$B$3:$B$5001,$A$26,BD!$AF$3:$AF$5001,"&lt;&gt;")=0,"",SUMIFS(BD!$AF$3:$AF$5001,BD!$A$3:$A$5001,J$3,BD!$B$3:$B$5001,$A$26)))</f>
        <v/>
      </c>
      <c r="K45" s="236" t="str">
        <f>IF(K$3="","",IF(COUNTIFS(BD!$A$3:$A$5001,K$3,BD!$B$3:$B$5001,$A$26,BD!$AF$3:$AF$5001,"&lt;&gt;")=0,"",SUMIFS(BD!$AF$3:$AF$5001,BD!$A$3:$A$5001,K$3,BD!$B$3:$B$5001,$A$26)))</f>
        <v/>
      </c>
      <c r="L45" s="236" t="str">
        <f>IF(L$3="","",IF(COUNTIFS(BD!$A$3:$A$5001,L$3,BD!$B$3:$B$5001,$A$26,BD!$AF$3:$AF$5001,"&lt;&gt;")=0,"",SUMIFS(BD!$AF$3:$AF$5001,BD!$A$3:$A$5001,L$3,BD!$B$3:$B$5001,$A$26)))</f>
        <v/>
      </c>
      <c r="M45" s="236" t="str">
        <f>IF(M$3="","",IF(COUNTIFS(BD!$A$3:$A$5001,M$3,BD!$B$3:$B$5001,$A$26,BD!$AF$3:$AF$5001,"&lt;&gt;")=0,"",SUMIFS(BD!$AF$3:$AF$5001,BD!$A$3:$A$5001,M$3,BD!$B$3:$B$5001,$A$26)))</f>
        <v/>
      </c>
      <c r="N45" s="236" t="str">
        <f>IF(N$3="","",IF(COUNTIFS(BD!$A$3:$A$5001,N$3,BD!$B$3:$B$5001,$A$26,BD!$AF$3:$AF$5001,"&lt;&gt;")=0,"",SUMIFS(BD!$AF$3:$AF$5001,BD!$A$3:$A$5001,N$3,BD!$B$3:$B$5001,$A$26)))</f>
        <v/>
      </c>
      <c r="O45" s="236" t="str">
        <f>IF(O$3="","",IF(COUNTIFS(BD!$A$3:$A$5001,O$3,BD!$B$3:$B$5001,$A$26,BD!$AF$3:$AF$5001,"&lt;&gt;")=0,"",SUMIFS(BD!$AF$3:$AF$5001,BD!$A$3:$A$5001,O$3,BD!$B$3:$B$5001,$A$26)))</f>
        <v/>
      </c>
      <c r="P45" s="236" t="str">
        <f>IF(P$3="","",IF(COUNTIFS(BD!$A$3:$A$5001,P$3,BD!$B$3:$B$5001,$A$26,BD!$AF$3:$AF$5001,"&lt;&gt;")=0,"",SUMIFS(BD!$AF$3:$AF$5001,BD!$A$3:$A$5001,P$3,BD!$B$3:$B$5001,$A$26)))</f>
        <v/>
      </c>
      <c r="Q45" s="236" t="str">
        <f>IF(Q$3="","",IF(COUNTIFS(BD!$A$3:$A$5001,Q$3,BD!$B$3:$B$5001,$A$26,BD!$AF$3:$AF$5001,"&lt;&gt;")=0,"",SUMIFS(BD!$AF$3:$AF$5001,BD!$A$3:$A$5001,Q$3,BD!$B$3:$B$5001,$A$26)))</f>
        <v/>
      </c>
      <c r="R45" s="236" t="str">
        <f>IF(R$3="","",IF(COUNTIFS(BD!$A$3:$A$5001,R$3,BD!$B$3:$B$5001,$A$26,BD!$AF$3:$AF$5001,"&lt;&gt;")=0,"",SUMIFS(BD!$AF$3:$AF$5001,BD!$A$3:$A$5001,R$3,BD!$B$3:$B$5001,$A$26)))</f>
        <v/>
      </c>
      <c r="S45" s="236" t="str">
        <f>IF(S$3="","",IF(COUNTIFS(BD!$A$3:$A$5001,S$3,BD!$B$3:$B$5001,$A$26,BD!$AF$3:$AF$5001,"&lt;&gt;")=0,"",SUMIFS(BD!$AF$3:$AF$5001,BD!$A$3:$A$5001,S$3,BD!$B$3:$B$5001,$A$26)))</f>
        <v/>
      </c>
      <c r="T45" s="236" t="str">
        <f>IF(T$3="","",IF(COUNTIFS(BD!$A$3:$A$5001,T$3,BD!$B$3:$B$5001,$A$26,BD!$AF$3:$AF$5001,"&lt;&gt;")=0,"",SUMIFS(BD!$AF$3:$AF$5001,BD!$A$3:$A$5001,T$3,BD!$B$3:$B$5001,$A$26)))</f>
        <v/>
      </c>
      <c r="U45" s="236" t="str">
        <f>IF(U$3="","",IF(COUNTIFS(BD!$A$3:$A$5001,U$3,BD!$B$3:$B$5001,$A$26,BD!$AF$3:$AF$5001,"&lt;&gt;")=0,"",SUMIFS(BD!$AF$3:$AF$5001,BD!$A$3:$A$5001,U$3,BD!$B$3:$B$5001,$A$26)))</f>
        <v/>
      </c>
      <c r="V45" s="236" t="str">
        <f>IF(V$3="","",IF(COUNTIFS(BD!$A$3:$A$5001,V$3,BD!$B$3:$B$5001,$A$26,BD!$AF$3:$AF$5001,"&lt;&gt;")=0,"",SUMIFS(BD!$AF$3:$AF$5001,BD!$A$3:$A$5001,V$3,BD!$B$3:$B$5001,$A$26)))</f>
        <v/>
      </c>
      <c r="W45" s="236" t="str">
        <f>IF(W$3="","",IF(COUNTIFS(BD!$A$3:$A$5001,W$3,BD!$B$3:$B$5001,$A$26,BD!$AF$3:$AF$5001,"&lt;&gt;")=0,"",SUMIFS(BD!$AF$3:$AF$5001,BD!$A$3:$A$5001,W$3,BD!$B$3:$B$5001,$A$26)))</f>
        <v/>
      </c>
      <c r="X45" s="236" t="str">
        <f>IF(X$3="","",IF(COUNTIFS(BD!$A$3:$A$5001,X$3,BD!$B$3:$B$5001,$A$26,BD!$AF$3:$AF$5001,"&lt;&gt;")=0,"",SUMIFS(BD!$AF$3:$AF$5001,BD!$A$3:$A$5001,X$3,BD!$B$3:$B$5001,$A$26)))</f>
        <v/>
      </c>
      <c r="Y45" s="236" t="str">
        <f>IF(Y$3="","",IF(COUNTIFS(BD!$A$3:$A$5001,Y$3,BD!$B$3:$B$5001,$A$26,BD!$AF$3:$AF$5001,"&lt;&gt;")=0,"",SUMIFS(BD!$AF$3:$AF$5001,BD!$A$3:$A$5001,Y$3,BD!$B$3:$B$5001,$A$26)))</f>
        <v/>
      </c>
      <c r="Z45" s="236" t="str">
        <f>IF(Z$3="","",IF(COUNTIFS(BD!$A$3:$A$5001,Z$3,BD!$B$3:$B$5001,$A$26,BD!$AF$3:$AF$5001,"&lt;&gt;")=0,"",SUMIFS(BD!$AF$3:$AF$5001,BD!$A$3:$A$5001,Z$3,BD!$B$3:$B$5001,$A$26)))</f>
        <v/>
      </c>
      <c r="AA45" s="236" t="str">
        <f>IF(AA$3="","",IF(COUNTIFS(BD!$A$3:$A$5001,AA$3,BD!$B$3:$B$5001,$A$26,BD!$AF$3:$AF$5001,"&lt;&gt;")=0,"",SUMIFS(BD!$AF$3:$AF$5001,BD!$A$3:$A$5001,AA$3,BD!$B$3:$B$5001,$A$26)))</f>
        <v/>
      </c>
      <c r="AB45" s="236" t="str">
        <f>IF(AB$3="","",IF(COUNTIFS(BD!$A$3:$A$5001,AB$3,BD!$B$3:$B$5001,$A$26,BD!$AF$3:$AF$5001,"&lt;&gt;")=0,"",SUMIFS(BD!$AF$3:$AF$5001,BD!$A$3:$A$5001,AB$3,BD!$B$3:$B$5001,$A$26)))</f>
        <v/>
      </c>
      <c r="AC45" s="236" t="str">
        <f>IF(AC$3="","",IF(COUNTIFS(BD!$A$3:$A$5001,AC$3,BD!$B$3:$B$5001,$A$26,BD!$AF$3:$AF$5001,"&lt;&gt;")=0,"",SUMIFS(BD!$AF$3:$AF$5001,BD!$A$3:$A$5001,AC$3,BD!$B$3:$B$5001,$A$26)))</f>
        <v/>
      </c>
      <c r="AD45" s="236" t="str">
        <f>IF(AD$3="","",IF(COUNTIFS(BD!$A$3:$A$5001,AD$3,BD!$B$3:$B$5001,$A$26,BD!$AF$3:$AF$5001,"&lt;&gt;")=0,"",SUMIFS(BD!$AF$3:$AF$5001,BD!$A$3:$A$5001,AD$3,BD!$B$3:$B$5001,$A$26)))</f>
        <v/>
      </c>
      <c r="AE45" s="236" t="str">
        <f>IF(AE$3="","",IF(COUNTIFS(BD!$A$3:$A$5001,AE$3,BD!$B$3:$B$5001,$A$26,BD!$AF$3:$AF$5001,"&lt;&gt;")=0,"",SUMIFS(BD!$AF$3:$AF$5001,BD!$A$3:$A$5001,AE$3,BD!$B$3:$B$5001,$A$26)))</f>
        <v/>
      </c>
      <c r="AF45" s="236" t="str">
        <f>IF(AF$3="","",IF(COUNTIFS(BD!$A$3:$A$5001,AF$3,BD!$B$3:$B$5001,$A$26,BD!$AF$3:$AF$5001,"&lt;&gt;")=0,"",SUMIFS(BD!$AF$3:$AF$5001,BD!$A$3:$A$5001,AF$3,BD!$B$3:$B$5001,$A$26)))</f>
        <v/>
      </c>
      <c r="AG45" s="236" t="str">
        <f>IF(AG$3="","",IF(COUNTIFS(BD!$A$3:$A$5001,AG$3,BD!$B$3:$B$5001,$A$26,BD!$AF$3:$AF$5001,"&lt;&gt;")=0,"",SUMIFS(BD!$AF$3:$AF$5001,BD!$A$3:$A$5001,AG$3,BD!$B$3:$B$5001,$A$26)))</f>
        <v/>
      </c>
      <c r="AH45" s="236" t="str">
        <f>IF(AH$3="","",IF(COUNTIFS(BD!$A$3:$A$5001,AH$3,BD!$B$3:$B$5001,$A$26,BD!$AF$3:$AF$5001,"&lt;&gt;")=0,"",SUMIFS(BD!$AF$3:$AF$5001,BD!$A$3:$A$5001,AH$3,BD!$B$3:$B$5001,$A$26)))</f>
        <v/>
      </c>
      <c r="AI45" s="236" t="str">
        <f>IF(AI$3="","",IF(COUNTIFS(BD!$A$3:$A$5001,AI$3,BD!$B$3:$B$5001,$A$26,BD!$AF$3:$AF$5001,"&lt;&gt;")=0,"",SUMIFS(BD!$AF$3:$AF$5001,BD!$A$3:$A$5001,AI$3,BD!$B$3:$B$5001,$A$26)))</f>
        <v/>
      </c>
      <c r="AJ45" s="237" t="str">
        <f>IF(AJ$3="","",IF(COUNTIFS(BD!$A$3:$A$5001,AJ$3,BD!$B$3:$B$5001,$A$26,BD!$AF$3:$AF$5001,"&lt;&gt;")=0,"",SUMIFS(BD!$AF$3:$AF$5001,BD!$A$3:$A$5001,AJ$3,BD!$B$3:$B$5001,$A$26)))</f>
        <v/>
      </c>
      <c r="AK45" s="238" t="str">
        <f>IF(COUNT(F45:AJ45)=0,"",SUM(F45:AJ45))</f>
        <v/>
      </c>
    </row>
    <row r="46" ht="15.75" customHeight="1">
      <c r="A46" s="261"/>
      <c r="B46" s="258"/>
      <c r="C46" s="232" t="inlineStr">
        <is>
          <t xml:space="preserve">Acidentes CAF</t>
        </is>
      </c>
      <c r="D46" s="233" t="str">
        <f>IFERROR(1/(1/INDEX(BD!$AL$54:$BF$54,MATCH($A$26,BD!$AL$22:$BF$22,0))),"")</f>
        <v/>
      </c>
      <c r="E46" s="234"/>
      <c r="F46" s="235" t="str">
        <f>IF(F$3="","",IF(COUNTIFS(BD!$A$3:$A$5001,F$3,BD!$B$3:$B$5001,$A$26,BD!$AG$3:$AG$5001,"&lt;&gt;")=0,"",SUMIFS(BD!$AG$3:$AG$5001,BD!$A$3:$A$5001,F$3,BD!$B$3:$B$5001,$A$26)))</f>
        <v/>
      </c>
      <c r="G46" s="236" t="str">
        <f>IF(G$3="","",IF(COUNTIFS(BD!$A$3:$A$5001,G$3,BD!$B$3:$B$5001,$A$26,BD!$AG$3:$AG$5001,"&lt;&gt;")=0,"",SUMIFS(BD!$AG$3:$AG$5001,BD!$A$3:$A$5001,G$3,BD!$B$3:$B$5001,$A$26)))</f>
        <v/>
      </c>
      <c r="H46" s="236" t="str">
        <f>IF(H$3="","",IF(COUNTIFS(BD!$A$3:$A$5001,H$3,BD!$B$3:$B$5001,$A$26,BD!$AG$3:$AG$5001,"&lt;&gt;")=0,"",SUMIFS(BD!$AG$3:$AG$5001,BD!$A$3:$A$5001,H$3,BD!$B$3:$B$5001,$A$26)))</f>
        <v/>
      </c>
      <c r="I46" s="236" t="str">
        <f>IF(I$3="","",IF(COUNTIFS(BD!$A$3:$A$5001,I$3,BD!$B$3:$B$5001,$A$26,BD!$AG$3:$AG$5001,"&lt;&gt;")=0,"",SUMIFS(BD!$AG$3:$AG$5001,BD!$A$3:$A$5001,I$3,BD!$B$3:$B$5001,$A$26)))</f>
        <v/>
      </c>
      <c r="J46" s="236" t="str">
        <f>IF(J$3="","",IF(COUNTIFS(BD!$A$3:$A$5001,J$3,BD!$B$3:$B$5001,$A$26,BD!$AG$3:$AG$5001,"&lt;&gt;")=0,"",SUMIFS(BD!$AG$3:$AG$5001,BD!$A$3:$A$5001,J$3,BD!$B$3:$B$5001,$A$26)))</f>
        <v/>
      </c>
      <c r="K46" s="236" t="str">
        <f>IF(K$3="","",IF(COUNTIFS(BD!$A$3:$A$5001,K$3,BD!$B$3:$B$5001,$A$26,BD!$AG$3:$AG$5001,"&lt;&gt;")=0,"",SUMIFS(BD!$AG$3:$AG$5001,BD!$A$3:$A$5001,K$3,BD!$B$3:$B$5001,$A$26)))</f>
        <v/>
      </c>
      <c r="L46" s="236" t="str">
        <f>IF(L$3="","",IF(COUNTIFS(BD!$A$3:$A$5001,L$3,BD!$B$3:$B$5001,$A$26,BD!$AG$3:$AG$5001,"&lt;&gt;")=0,"",SUMIFS(BD!$AG$3:$AG$5001,BD!$A$3:$A$5001,L$3,BD!$B$3:$B$5001,$A$26)))</f>
        <v/>
      </c>
      <c r="M46" s="236" t="str">
        <f>IF(M$3="","",IF(COUNTIFS(BD!$A$3:$A$5001,M$3,BD!$B$3:$B$5001,$A$26,BD!$AG$3:$AG$5001,"&lt;&gt;")=0,"",SUMIFS(BD!$AG$3:$AG$5001,BD!$A$3:$A$5001,M$3,BD!$B$3:$B$5001,$A$26)))</f>
        <v/>
      </c>
      <c r="N46" s="236" t="str">
        <f>IF(N$3="","",IF(COUNTIFS(BD!$A$3:$A$5001,N$3,BD!$B$3:$B$5001,$A$26,BD!$AG$3:$AG$5001,"&lt;&gt;")=0,"",SUMIFS(BD!$AG$3:$AG$5001,BD!$A$3:$A$5001,N$3,BD!$B$3:$B$5001,$A$26)))</f>
        <v/>
      </c>
      <c r="O46" s="236" t="str">
        <f>IF(O$3="","",IF(COUNTIFS(BD!$A$3:$A$5001,O$3,BD!$B$3:$B$5001,$A$26,BD!$AG$3:$AG$5001,"&lt;&gt;")=0,"",SUMIFS(BD!$AG$3:$AG$5001,BD!$A$3:$A$5001,O$3,BD!$B$3:$B$5001,$A$26)))</f>
        <v/>
      </c>
      <c r="P46" s="236" t="str">
        <f>IF(P$3="","",IF(COUNTIFS(BD!$A$3:$A$5001,P$3,BD!$B$3:$B$5001,$A$26,BD!$AG$3:$AG$5001,"&lt;&gt;")=0,"",SUMIFS(BD!$AG$3:$AG$5001,BD!$A$3:$A$5001,P$3,BD!$B$3:$B$5001,$A$26)))</f>
        <v/>
      </c>
      <c r="Q46" s="236" t="str">
        <f>IF(Q$3="","",IF(COUNTIFS(BD!$A$3:$A$5001,Q$3,BD!$B$3:$B$5001,$A$26,BD!$AG$3:$AG$5001,"&lt;&gt;")=0,"",SUMIFS(BD!$AG$3:$AG$5001,BD!$A$3:$A$5001,Q$3,BD!$B$3:$B$5001,$A$26)))</f>
        <v/>
      </c>
      <c r="R46" s="236" t="str">
        <f>IF(R$3="","",IF(COUNTIFS(BD!$A$3:$A$5001,R$3,BD!$B$3:$B$5001,$A$26,BD!$AG$3:$AG$5001,"&lt;&gt;")=0,"",SUMIFS(BD!$AG$3:$AG$5001,BD!$A$3:$A$5001,R$3,BD!$B$3:$B$5001,$A$26)))</f>
        <v/>
      </c>
      <c r="S46" s="236" t="str">
        <f>IF(S$3="","",IF(COUNTIFS(BD!$A$3:$A$5001,S$3,BD!$B$3:$B$5001,$A$26,BD!$AG$3:$AG$5001,"&lt;&gt;")=0,"",SUMIFS(BD!$AG$3:$AG$5001,BD!$A$3:$A$5001,S$3,BD!$B$3:$B$5001,$A$26)))</f>
        <v/>
      </c>
      <c r="T46" s="236" t="str">
        <f>IF(T$3="","",IF(COUNTIFS(BD!$A$3:$A$5001,T$3,BD!$B$3:$B$5001,$A$26,BD!$AG$3:$AG$5001,"&lt;&gt;")=0,"",SUMIFS(BD!$AG$3:$AG$5001,BD!$A$3:$A$5001,T$3,BD!$B$3:$B$5001,$A$26)))</f>
        <v/>
      </c>
      <c r="U46" s="236" t="str">
        <f>IF(U$3="","",IF(COUNTIFS(BD!$A$3:$A$5001,U$3,BD!$B$3:$B$5001,$A$26,BD!$AG$3:$AG$5001,"&lt;&gt;")=0,"",SUMIFS(BD!$AG$3:$AG$5001,BD!$A$3:$A$5001,U$3,BD!$B$3:$B$5001,$A$26)))</f>
        <v/>
      </c>
      <c r="V46" s="236" t="str">
        <f>IF(V$3="","",IF(COUNTIFS(BD!$A$3:$A$5001,V$3,BD!$B$3:$B$5001,$A$26,BD!$AG$3:$AG$5001,"&lt;&gt;")=0,"",SUMIFS(BD!$AG$3:$AG$5001,BD!$A$3:$A$5001,V$3,BD!$B$3:$B$5001,$A$26)))</f>
        <v/>
      </c>
      <c r="W46" s="236" t="str">
        <f>IF(W$3="","",IF(COUNTIFS(BD!$A$3:$A$5001,W$3,BD!$B$3:$B$5001,$A$26,BD!$AG$3:$AG$5001,"&lt;&gt;")=0,"",SUMIFS(BD!$AG$3:$AG$5001,BD!$A$3:$A$5001,W$3,BD!$B$3:$B$5001,$A$26)))</f>
        <v/>
      </c>
      <c r="X46" s="236" t="str">
        <f>IF(X$3="","",IF(COUNTIFS(BD!$A$3:$A$5001,X$3,BD!$B$3:$B$5001,$A$26,BD!$AG$3:$AG$5001,"&lt;&gt;")=0,"",SUMIFS(BD!$AG$3:$AG$5001,BD!$A$3:$A$5001,X$3,BD!$B$3:$B$5001,$A$26)))</f>
        <v/>
      </c>
      <c r="Y46" s="236" t="str">
        <f>IF(Y$3="","",IF(COUNTIFS(BD!$A$3:$A$5001,Y$3,BD!$B$3:$B$5001,$A$26,BD!$AG$3:$AG$5001,"&lt;&gt;")=0,"",SUMIFS(BD!$AG$3:$AG$5001,BD!$A$3:$A$5001,Y$3,BD!$B$3:$B$5001,$A$26)))</f>
        <v/>
      </c>
      <c r="Z46" s="236" t="str">
        <f>IF(Z$3="","",IF(COUNTIFS(BD!$A$3:$A$5001,Z$3,BD!$B$3:$B$5001,$A$26,BD!$AG$3:$AG$5001,"&lt;&gt;")=0,"",SUMIFS(BD!$AG$3:$AG$5001,BD!$A$3:$A$5001,Z$3,BD!$B$3:$B$5001,$A$26)))</f>
        <v/>
      </c>
      <c r="AA46" s="236" t="str">
        <f>IF(AA$3="","",IF(COUNTIFS(BD!$A$3:$A$5001,AA$3,BD!$B$3:$B$5001,$A$26,BD!$AG$3:$AG$5001,"&lt;&gt;")=0,"",SUMIFS(BD!$AG$3:$AG$5001,BD!$A$3:$A$5001,AA$3,BD!$B$3:$B$5001,$A$26)))</f>
        <v/>
      </c>
      <c r="AB46" s="236" t="str">
        <f>IF(AB$3="","",IF(COUNTIFS(BD!$A$3:$A$5001,AB$3,BD!$B$3:$B$5001,$A$26,BD!$AG$3:$AG$5001,"&lt;&gt;")=0,"",SUMIFS(BD!$AG$3:$AG$5001,BD!$A$3:$A$5001,AB$3,BD!$B$3:$B$5001,$A$26)))</f>
        <v/>
      </c>
      <c r="AC46" s="236" t="str">
        <f>IF(AC$3="","",IF(COUNTIFS(BD!$A$3:$A$5001,AC$3,BD!$B$3:$B$5001,$A$26,BD!$AG$3:$AG$5001,"&lt;&gt;")=0,"",SUMIFS(BD!$AG$3:$AG$5001,BD!$A$3:$A$5001,AC$3,BD!$B$3:$B$5001,$A$26)))</f>
        <v/>
      </c>
      <c r="AD46" s="236" t="str">
        <f>IF(AD$3="","",IF(COUNTIFS(BD!$A$3:$A$5001,AD$3,BD!$B$3:$B$5001,$A$26,BD!$AG$3:$AG$5001,"&lt;&gt;")=0,"",SUMIFS(BD!$AG$3:$AG$5001,BD!$A$3:$A$5001,AD$3,BD!$B$3:$B$5001,$A$26)))</f>
        <v/>
      </c>
      <c r="AE46" s="236" t="str">
        <f>IF(AE$3="","",IF(COUNTIFS(BD!$A$3:$A$5001,AE$3,BD!$B$3:$B$5001,$A$26,BD!$AG$3:$AG$5001,"&lt;&gt;")=0,"",SUMIFS(BD!$AG$3:$AG$5001,BD!$A$3:$A$5001,AE$3,BD!$B$3:$B$5001,$A$26)))</f>
        <v/>
      </c>
      <c r="AF46" s="236" t="str">
        <f>IF(AF$3="","",IF(COUNTIFS(BD!$A$3:$A$5001,AF$3,BD!$B$3:$B$5001,$A$26,BD!$AG$3:$AG$5001,"&lt;&gt;")=0,"",SUMIFS(BD!$AG$3:$AG$5001,BD!$A$3:$A$5001,AF$3,BD!$B$3:$B$5001,$A$26)))</f>
        <v/>
      </c>
      <c r="AG46" s="236" t="str">
        <f>IF(AG$3="","",IF(COUNTIFS(BD!$A$3:$A$5001,AG$3,BD!$B$3:$B$5001,$A$26,BD!$AG$3:$AG$5001,"&lt;&gt;")=0,"",SUMIFS(BD!$AG$3:$AG$5001,BD!$A$3:$A$5001,AG$3,BD!$B$3:$B$5001,$A$26)))</f>
        <v/>
      </c>
      <c r="AH46" s="236" t="str">
        <f>IF(AH$3="","",IF(COUNTIFS(BD!$A$3:$A$5001,AH$3,BD!$B$3:$B$5001,$A$26,BD!$AG$3:$AG$5001,"&lt;&gt;")=0,"",SUMIFS(BD!$AG$3:$AG$5001,BD!$A$3:$A$5001,AH$3,BD!$B$3:$B$5001,$A$26)))</f>
        <v/>
      </c>
      <c r="AI46" s="236" t="str">
        <f>IF(AI$3="","",IF(COUNTIFS(BD!$A$3:$A$5001,AI$3,BD!$B$3:$B$5001,$A$26,BD!$AG$3:$AG$5001,"&lt;&gt;")=0,"",SUMIFS(BD!$AG$3:$AG$5001,BD!$A$3:$A$5001,AI$3,BD!$B$3:$B$5001,$A$26)))</f>
        <v/>
      </c>
      <c r="AJ46" s="237" t="str">
        <f>IF(AJ$3="","",IF(COUNTIFS(BD!$A$3:$A$5001,AJ$3,BD!$B$3:$B$5001,$A$26,BD!$AG$3:$AG$5001,"&lt;&gt;")=0,"",SUMIFS(BD!$AG$3:$AG$5001,BD!$A$3:$A$5001,AJ$3,BD!$B$3:$B$5001,$A$26)))</f>
        <v/>
      </c>
      <c r="AK46" s="238" t="str">
        <f>IF(COUNT(F46:AJ46)=0,"",SUM(F46:AJ46))</f>
        <v/>
      </c>
    </row>
    <row r="47" ht="15.75" customHeight="1">
      <c r="A47" s="262"/>
      <c r="B47" s="259"/>
      <c r="C47" s="243" t="inlineStr">
        <is>
          <t xml:space="preserve">Acidentes SAF</t>
        </is>
      </c>
      <c r="D47" s="244" t="str">
        <f>IFERROR(1/(1/INDEX(BD!$AL$55:$BF$55,MATCH($A$26,BD!$AL$22:$BF$22,0))),"")</f>
        <v/>
      </c>
      <c r="E47" s="245"/>
      <c r="F47" s="246" t="str">
        <f>IF(F$3="","",IF(COUNTIFS(BD!$A$3:$A$5001,F$3,BD!$B$3:$B$5001,$A$26,BD!$AH$3:$AH$5001,"&lt;&gt;")=0,"",SUMIFS(BD!$AH$3:$AH$5001,BD!$A$3:$A$5001,F$3,BD!$B$3:$B$5001,$A$26)))</f>
        <v/>
      </c>
      <c r="G47" s="247" t="str">
        <f>IF(G$3="","",IF(COUNTIFS(BD!$A$3:$A$5001,G$3,BD!$B$3:$B$5001,$A$26,BD!$AH$3:$AH$5001,"&lt;&gt;")=0,"",SUMIFS(BD!$AH$3:$AH$5001,BD!$A$3:$A$5001,G$3,BD!$B$3:$B$5001,$A$26)))</f>
        <v/>
      </c>
      <c r="H47" s="247" t="str">
        <f>IF(H$3="","",IF(COUNTIFS(BD!$A$3:$A$5001,H$3,BD!$B$3:$B$5001,$A$26,BD!$AH$3:$AH$5001,"&lt;&gt;")=0,"",SUMIFS(BD!$AH$3:$AH$5001,BD!$A$3:$A$5001,H$3,BD!$B$3:$B$5001,$A$26)))</f>
        <v/>
      </c>
      <c r="I47" s="247" t="str">
        <f>IF(I$3="","",IF(COUNTIFS(BD!$A$3:$A$5001,I$3,BD!$B$3:$B$5001,$A$26,BD!$AH$3:$AH$5001,"&lt;&gt;")=0,"",SUMIFS(BD!$AH$3:$AH$5001,BD!$A$3:$A$5001,I$3,BD!$B$3:$B$5001,$A$26)))</f>
        <v/>
      </c>
      <c r="J47" s="247" t="str">
        <f>IF(J$3="","",IF(COUNTIFS(BD!$A$3:$A$5001,J$3,BD!$B$3:$B$5001,$A$26,BD!$AH$3:$AH$5001,"&lt;&gt;")=0,"",SUMIFS(BD!$AH$3:$AH$5001,BD!$A$3:$A$5001,J$3,BD!$B$3:$B$5001,$A$26)))</f>
        <v/>
      </c>
      <c r="K47" s="247" t="str">
        <f>IF(K$3="","",IF(COUNTIFS(BD!$A$3:$A$5001,K$3,BD!$B$3:$B$5001,$A$26,BD!$AH$3:$AH$5001,"&lt;&gt;")=0,"",SUMIFS(BD!$AH$3:$AH$5001,BD!$A$3:$A$5001,K$3,BD!$B$3:$B$5001,$A$26)))</f>
        <v/>
      </c>
      <c r="L47" s="247" t="str">
        <f>IF(L$3="","",IF(COUNTIFS(BD!$A$3:$A$5001,L$3,BD!$B$3:$B$5001,$A$26,BD!$AH$3:$AH$5001,"&lt;&gt;")=0,"",SUMIFS(BD!$AH$3:$AH$5001,BD!$A$3:$A$5001,L$3,BD!$B$3:$B$5001,$A$26)))</f>
        <v/>
      </c>
      <c r="M47" s="247" t="str">
        <f>IF(M$3="","",IF(COUNTIFS(BD!$A$3:$A$5001,M$3,BD!$B$3:$B$5001,$A$26,BD!$AH$3:$AH$5001,"&lt;&gt;")=0,"",SUMIFS(BD!$AH$3:$AH$5001,BD!$A$3:$A$5001,M$3,BD!$B$3:$B$5001,$A$26)))</f>
        <v/>
      </c>
      <c r="N47" s="247" t="str">
        <f>IF(N$3="","",IF(COUNTIFS(BD!$A$3:$A$5001,N$3,BD!$B$3:$B$5001,$A$26,BD!$AH$3:$AH$5001,"&lt;&gt;")=0,"",SUMIFS(BD!$AH$3:$AH$5001,BD!$A$3:$A$5001,N$3,BD!$B$3:$B$5001,$A$26)))</f>
        <v/>
      </c>
      <c r="O47" s="247" t="str">
        <f>IF(O$3="","",IF(COUNTIFS(BD!$A$3:$A$5001,O$3,BD!$B$3:$B$5001,$A$26,BD!$AH$3:$AH$5001,"&lt;&gt;")=0,"",SUMIFS(BD!$AH$3:$AH$5001,BD!$A$3:$A$5001,O$3,BD!$B$3:$B$5001,$A$26)))</f>
        <v/>
      </c>
      <c r="P47" s="247" t="str">
        <f>IF(P$3="","",IF(COUNTIFS(BD!$A$3:$A$5001,P$3,BD!$B$3:$B$5001,$A$26,BD!$AH$3:$AH$5001,"&lt;&gt;")=0,"",SUMIFS(BD!$AH$3:$AH$5001,BD!$A$3:$A$5001,P$3,BD!$B$3:$B$5001,$A$26)))</f>
        <v/>
      </c>
      <c r="Q47" s="247" t="str">
        <f>IF(Q$3="","",IF(COUNTIFS(BD!$A$3:$A$5001,Q$3,BD!$B$3:$B$5001,$A$26,BD!$AH$3:$AH$5001,"&lt;&gt;")=0,"",SUMIFS(BD!$AH$3:$AH$5001,BD!$A$3:$A$5001,Q$3,BD!$B$3:$B$5001,$A$26)))</f>
        <v/>
      </c>
      <c r="R47" s="247" t="str">
        <f>IF(R$3="","",IF(COUNTIFS(BD!$A$3:$A$5001,R$3,BD!$B$3:$B$5001,$A$26,BD!$AH$3:$AH$5001,"&lt;&gt;")=0,"",SUMIFS(BD!$AH$3:$AH$5001,BD!$A$3:$A$5001,R$3,BD!$B$3:$B$5001,$A$26)))</f>
        <v/>
      </c>
      <c r="S47" s="247" t="str">
        <f>IF(S$3="","",IF(COUNTIFS(BD!$A$3:$A$5001,S$3,BD!$B$3:$B$5001,$A$26,BD!$AH$3:$AH$5001,"&lt;&gt;")=0,"",SUMIFS(BD!$AH$3:$AH$5001,BD!$A$3:$A$5001,S$3,BD!$B$3:$B$5001,$A$26)))</f>
        <v/>
      </c>
      <c r="T47" s="247" t="str">
        <f>IF(T$3="","",IF(COUNTIFS(BD!$A$3:$A$5001,T$3,BD!$B$3:$B$5001,$A$26,BD!$AH$3:$AH$5001,"&lt;&gt;")=0,"",SUMIFS(BD!$AH$3:$AH$5001,BD!$A$3:$A$5001,T$3,BD!$B$3:$B$5001,$A$26)))</f>
        <v/>
      </c>
      <c r="U47" s="247" t="str">
        <f>IF(U$3="","",IF(COUNTIFS(BD!$A$3:$A$5001,U$3,BD!$B$3:$B$5001,$A$26,BD!$AH$3:$AH$5001,"&lt;&gt;")=0,"",SUMIFS(BD!$AH$3:$AH$5001,BD!$A$3:$A$5001,U$3,BD!$B$3:$B$5001,$A$26)))</f>
        <v/>
      </c>
      <c r="V47" s="247" t="str">
        <f>IF(V$3="","",IF(COUNTIFS(BD!$A$3:$A$5001,V$3,BD!$B$3:$B$5001,$A$26,BD!$AH$3:$AH$5001,"&lt;&gt;")=0,"",SUMIFS(BD!$AH$3:$AH$5001,BD!$A$3:$A$5001,V$3,BD!$B$3:$B$5001,$A$26)))</f>
        <v/>
      </c>
      <c r="W47" s="247" t="str">
        <f>IF(W$3="","",IF(COUNTIFS(BD!$A$3:$A$5001,W$3,BD!$B$3:$B$5001,$A$26,BD!$AH$3:$AH$5001,"&lt;&gt;")=0,"",SUMIFS(BD!$AH$3:$AH$5001,BD!$A$3:$A$5001,W$3,BD!$B$3:$B$5001,$A$26)))</f>
        <v/>
      </c>
      <c r="X47" s="247" t="str">
        <f>IF(X$3="","",IF(COUNTIFS(BD!$A$3:$A$5001,X$3,BD!$B$3:$B$5001,$A$26,BD!$AH$3:$AH$5001,"&lt;&gt;")=0,"",SUMIFS(BD!$AH$3:$AH$5001,BD!$A$3:$A$5001,X$3,BD!$B$3:$B$5001,$A$26)))</f>
        <v/>
      </c>
      <c r="Y47" s="247" t="str">
        <f>IF(Y$3="","",IF(COUNTIFS(BD!$A$3:$A$5001,Y$3,BD!$B$3:$B$5001,$A$26,BD!$AH$3:$AH$5001,"&lt;&gt;")=0,"",SUMIFS(BD!$AH$3:$AH$5001,BD!$A$3:$A$5001,Y$3,BD!$B$3:$B$5001,$A$26)))</f>
        <v/>
      </c>
      <c r="Z47" s="247" t="str">
        <f>IF(Z$3="","",IF(COUNTIFS(BD!$A$3:$A$5001,Z$3,BD!$B$3:$B$5001,$A$26,BD!$AH$3:$AH$5001,"&lt;&gt;")=0,"",SUMIFS(BD!$AH$3:$AH$5001,BD!$A$3:$A$5001,Z$3,BD!$B$3:$B$5001,$A$26)))</f>
        <v/>
      </c>
      <c r="AA47" s="247" t="str">
        <f>IF(AA$3="","",IF(COUNTIFS(BD!$A$3:$A$5001,AA$3,BD!$B$3:$B$5001,$A$26,BD!$AH$3:$AH$5001,"&lt;&gt;")=0,"",SUMIFS(BD!$AH$3:$AH$5001,BD!$A$3:$A$5001,AA$3,BD!$B$3:$B$5001,$A$26)))</f>
        <v/>
      </c>
      <c r="AB47" s="247" t="str">
        <f>IF(AB$3="","",IF(COUNTIFS(BD!$A$3:$A$5001,AB$3,BD!$B$3:$B$5001,$A$26,BD!$AH$3:$AH$5001,"&lt;&gt;")=0,"",SUMIFS(BD!$AH$3:$AH$5001,BD!$A$3:$A$5001,AB$3,BD!$B$3:$B$5001,$A$26)))</f>
        <v/>
      </c>
      <c r="AC47" s="247" t="str">
        <f>IF(AC$3="","",IF(COUNTIFS(BD!$A$3:$A$5001,AC$3,BD!$B$3:$B$5001,$A$26,BD!$AH$3:$AH$5001,"&lt;&gt;")=0,"",SUMIFS(BD!$AH$3:$AH$5001,BD!$A$3:$A$5001,AC$3,BD!$B$3:$B$5001,$A$26)))</f>
        <v/>
      </c>
      <c r="AD47" s="247" t="str">
        <f>IF(AD$3="","",IF(COUNTIFS(BD!$A$3:$A$5001,AD$3,BD!$B$3:$B$5001,$A$26,BD!$AH$3:$AH$5001,"&lt;&gt;")=0,"",SUMIFS(BD!$AH$3:$AH$5001,BD!$A$3:$A$5001,AD$3,BD!$B$3:$B$5001,$A$26)))</f>
        <v/>
      </c>
      <c r="AE47" s="247" t="str">
        <f>IF(AE$3="","",IF(COUNTIFS(BD!$A$3:$A$5001,AE$3,BD!$B$3:$B$5001,$A$26,BD!$AH$3:$AH$5001,"&lt;&gt;")=0,"",SUMIFS(BD!$AH$3:$AH$5001,BD!$A$3:$A$5001,AE$3,BD!$B$3:$B$5001,$A$26)))</f>
        <v/>
      </c>
      <c r="AF47" s="247" t="str">
        <f>IF(AF$3="","",IF(COUNTIFS(BD!$A$3:$A$5001,AF$3,BD!$B$3:$B$5001,$A$26,BD!$AH$3:$AH$5001,"&lt;&gt;")=0,"",SUMIFS(BD!$AH$3:$AH$5001,BD!$A$3:$A$5001,AF$3,BD!$B$3:$B$5001,$A$26)))</f>
        <v/>
      </c>
      <c r="AG47" s="247" t="str">
        <f>IF(AG$3="","",IF(COUNTIFS(BD!$A$3:$A$5001,AG$3,BD!$B$3:$B$5001,$A$26,BD!$AH$3:$AH$5001,"&lt;&gt;")=0,"",SUMIFS(BD!$AH$3:$AH$5001,BD!$A$3:$A$5001,AG$3,BD!$B$3:$B$5001,$A$26)))</f>
        <v/>
      </c>
      <c r="AH47" s="247" t="str">
        <f>IF(AH$3="","",IF(COUNTIFS(BD!$A$3:$A$5001,AH$3,BD!$B$3:$B$5001,$A$26,BD!$AH$3:$AH$5001,"&lt;&gt;")=0,"",SUMIFS(BD!$AH$3:$AH$5001,BD!$A$3:$A$5001,AH$3,BD!$B$3:$B$5001,$A$26)))</f>
        <v/>
      </c>
      <c r="AI47" s="247" t="str">
        <f>IF(AI$3="","",IF(COUNTIFS(BD!$A$3:$A$5001,AI$3,BD!$B$3:$B$5001,$A$26,BD!$AH$3:$AH$5001,"&lt;&gt;")=0,"",SUMIFS(BD!$AH$3:$AH$5001,BD!$A$3:$A$5001,AI$3,BD!$B$3:$B$5001,$A$26)))</f>
        <v/>
      </c>
      <c r="AJ47" s="248" t="str">
        <f>IF(AJ$3="","",IF(COUNTIFS(BD!$A$3:$A$5001,AJ$3,BD!$B$3:$B$5001,$A$26,BD!$AH$3:$AH$5001,"&lt;&gt;")=0,"",SUMIFS(BD!$AH$3:$AH$5001,BD!$A$3:$A$5001,AJ$3,BD!$B$3:$B$5001,$A$26)))</f>
        <v/>
      </c>
      <c r="AK47" s="244" t="str">
        <f>IF(COUNT(F47:AJ47)=0,"",SUM(F47:AJ47))</f>
        <v/>
      </c>
    </row>
    <row r="49" ht="15.75" customHeight="1">
      <c r="A49" s="260" t="inlineStr">
        <is>
          <t xml:space="preserve">Beautybiz</t>
        </is>
      </c>
      <c r="B49" s="249" t="inlineStr">
        <is>
          <t xml:space="preserve">IN</t>
        </is>
      </c>
      <c r="C49" s="168" t="inlineStr">
        <is>
          <t xml:space="preserve">Veículos Recebidos</t>
        </is>
      </c>
      <c r="D49" s="169" t="str">
        <f>IFERROR(1/(1/INDEX(BD!$AL$23:$BF$23,MATCH($A$49,BD!$AL$22:$BF$22,0))),"")</f>
        <v/>
      </c>
      <c r="E49" s="170"/>
      <c r="F49" s="171" t="str">
        <f>IF(F$3="","",IF(COUNTIFS(BD!$A$3:$A$5001,F$3,BD!$B$3:$B$5001,$A$49,BD!$C$3:$C$5001,"&lt;&gt;")=0,"",SUMIFS(BD!$C$3:$C$5001,BD!$A$3:$A$5001,F$3,BD!$B$3:$B$5001,$A$49)))</f>
        <v/>
      </c>
      <c r="G49" s="172" t="str">
        <f>IF(G$3="","",IF(COUNTIFS(BD!$A$3:$A$5001,G$3,BD!$B$3:$B$5001,$A$49,BD!$C$3:$C$5001,"&lt;&gt;")=0,"",SUMIFS(BD!$C$3:$C$5001,BD!$A$3:$A$5001,G$3,BD!$B$3:$B$5001,$A$49)))</f>
        <v/>
      </c>
      <c r="H49" s="172" t="str">
        <f>IF(H$3="","",IF(COUNTIFS(BD!$A$3:$A$5001,H$3,BD!$B$3:$B$5001,$A$49,BD!$C$3:$C$5001,"&lt;&gt;")=0,"",SUMIFS(BD!$C$3:$C$5001,BD!$A$3:$A$5001,H$3,BD!$B$3:$B$5001,$A$49)))</f>
        <v/>
      </c>
      <c r="I49" s="172" t="str">
        <f>IF(I$3="","",IF(COUNTIFS(BD!$A$3:$A$5001,I$3,BD!$B$3:$B$5001,$A$49,BD!$C$3:$C$5001,"&lt;&gt;")=0,"",SUMIFS(BD!$C$3:$C$5001,BD!$A$3:$A$5001,I$3,BD!$B$3:$B$5001,$A$49)))</f>
        <v/>
      </c>
      <c r="J49" s="172" t="str">
        <f>IF(J$3="","",IF(COUNTIFS(BD!$A$3:$A$5001,J$3,BD!$B$3:$B$5001,$A$49,BD!$C$3:$C$5001,"&lt;&gt;")=0,"",SUMIFS(BD!$C$3:$C$5001,BD!$A$3:$A$5001,J$3,BD!$B$3:$B$5001,$A$49)))</f>
        <v/>
      </c>
      <c r="K49" s="172" t="str">
        <f>IF(K$3="","",IF(COUNTIFS(BD!$A$3:$A$5001,K$3,BD!$B$3:$B$5001,$A$49,BD!$C$3:$C$5001,"&lt;&gt;")=0,"",SUMIFS(BD!$C$3:$C$5001,BD!$A$3:$A$5001,K$3,BD!$B$3:$B$5001,$A$49)))</f>
        <v/>
      </c>
      <c r="L49" s="172" t="str">
        <f>IF(L$3="","",IF(COUNTIFS(BD!$A$3:$A$5001,L$3,BD!$B$3:$B$5001,$A$49,BD!$C$3:$C$5001,"&lt;&gt;")=0,"",SUMIFS(BD!$C$3:$C$5001,BD!$A$3:$A$5001,L$3,BD!$B$3:$B$5001,$A$49)))</f>
        <v/>
      </c>
      <c r="M49" s="172" t="str">
        <f>IF(M$3="","",IF(COUNTIFS(BD!$A$3:$A$5001,M$3,BD!$B$3:$B$5001,$A$49,BD!$C$3:$C$5001,"&lt;&gt;")=0,"",SUMIFS(BD!$C$3:$C$5001,BD!$A$3:$A$5001,M$3,BD!$B$3:$B$5001,$A$49)))</f>
        <v/>
      </c>
      <c r="N49" s="172" t="str">
        <f>IF(N$3="","",IF(COUNTIFS(BD!$A$3:$A$5001,N$3,BD!$B$3:$B$5001,$A$49,BD!$C$3:$C$5001,"&lt;&gt;")=0,"",SUMIFS(BD!$C$3:$C$5001,BD!$A$3:$A$5001,N$3,BD!$B$3:$B$5001,$A$49)))</f>
        <v/>
      </c>
      <c r="O49" s="172" t="str">
        <f>IF(O$3="","",IF(COUNTIFS(BD!$A$3:$A$5001,O$3,BD!$B$3:$B$5001,$A$49,BD!$C$3:$C$5001,"&lt;&gt;")=0,"",SUMIFS(BD!$C$3:$C$5001,BD!$A$3:$A$5001,O$3,BD!$B$3:$B$5001,$A$49)))</f>
        <v/>
      </c>
      <c r="P49" s="172" t="str">
        <f>IF(P$3="","",IF(COUNTIFS(BD!$A$3:$A$5001,P$3,BD!$B$3:$B$5001,$A$49,BD!$C$3:$C$5001,"&lt;&gt;")=0,"",SUMIFS(BD!$C$3:$C$5001,BD!$A$3:$A$5001,P$3,BD!$B$3:$B$5001,$A$49)))</f>
        <v/>
      </c>
      <c r="Q49" s="172" t="str">
        <f>IF(Q$3="","",IF(COUNTIFS(BD!$A$3:$A$5001,Q$3,BD!$B$3:$B$5001,$A$49,BD!$C$3:$C$5001,"&lt;&gt;")=0,"",SUMIFS(BD!$C$3:$C$5001,BD!$A$3:$A$5001,Q$3,BD!$B$3:$B$5001,$A$49)))</f>
        <v/>
      </c>
      <c r="R49" s="172" t="str">
        <f>IF(R$3="","",IF(COUNTIFS(BD!$A$3:$A$5001,R$3,BD!$B$3:$B$5001,$A$49,BD!$C$3:$C$5001,"&lt;&gt;")=0,"",SUMIFS(BD!$C$3:$C$5001,BD!$A$3:$A$5001,R$3,BD!$B$3:$B$5001,$A$49)))</f>
        <v/>
      </c>
      <c r="S49" s="172" t="str">
        <f>IF(S$3="","",IF(COUNTIFS(BD!$A$3:$A$5001,S$3,BD!$B$3:$B$5001,$A$49,BD!$C$3:$C$5001,"&lt;&gt;")=0,"",SUMIFS(BD!$C$3:$C$5001,BD!$A$3:$A$5001,S$3,BD!$B$3:$B$5001,$A$49)))</f>
        <v/>
      </c>
      <c r="T49" s="172" t="str">
        <f>IF(T$3="","",IF(COUNTIFS(BD!$A$3:$A$5001,T$3,BD!$B$3:$B$5001,$A$49,BD!$C$3:$C$5001,"&lt;&gt;")=0,"",SUMIFS(BD!$C$3:$C$5001,BD!$A$3:$A$5001,T$3,BD!$B$3:$B$5001,$A$49)))</f>
        <v/>
      </c>
      <c r="U49" s="172" t="str">
        <f>IF(U$3="","",IF(COUNTIFS(BD!$A$3:$A$5001,U$3,BD!$B$3:$B$5001,$A$49,BD!$C$3:$C$5001,"&lt;&gt;")=0,"",SUMIFS(BD!$C$3:$C$5001,BD!$A$3:$A$5001,U$3,BD!$B$3:$B$5001,$A$49)))</f>
        <v/>
      </c>
      <c r="V49" s="172" t="str">
        <f>IF(V$3="","",IF(COUNTIFS(BD!$A$3:$A$5001,V$3,BD!$B$3:$B$5001,$A$49,BD!$C$3:$C$5001,"&lt;&gt;")=0,"",SUMIFS(BD!$C$3:$C$5001,BD!$A$3:$A$5001,V$3,BD!$B$3:$B$5001,$A$49)))</f>
        <v/>
      </c>
      <c r="W49" s="172" t="str">
        <f>IF(W$3="","",IF(COUNTIFS(BD!$A$3:$A$5001,W$3,BD!$B$3:$B$5001,$A$49,BD!$C$3:$C$5001,"&lt;&gt;")=0,"",SUMIFS(BD!$C$3:$C$5001,BD!$A$3:$A$5001,W$3,BD!$B$3:$B$5001,$A$49)))</f>
        <v/>
      </c>
      <c r="X49" s="172" t="str">
        <f>IF(X$3="","",IF(COUNTIFS(BD!$A$3:$A$5001,X$3,BD!$B$3:$B$5001,$A$49,BD!$C$3:$C$5001,"&lt;&gt;")=0,"",SUMIFS(BD!$C$3:$C$5001,BD!$A$3:$A$5001,X$3,BD!$B$3:$B$5001,$A$49)))</f>
        <v/>
      </c>
      <c r="Y49" s="172" t="str">
        <f>IF(Y$3="","",IF(COUNTIFS(BD!$A$3:$A$5001,Y$3,BD!$B$3:$B$5001,$A$49,BD!$C$3:$C$5001,"&lt;&gt;")=0,"",SUMIFS(BD!$C$3:$C$5001,BD!$A$3:$A$5001,Y$3,BD!$B$3:$B$5001,$A$49)))</f>
        <v/>
      </c>
      <c r="Z49" s="172" t="str">
        <f>IF(Z$3="","",IF(COUNTIFS(BD!$A$3:$A$5001,Z$3,BD!$B$3:$B$5001,$A$49,BD!$C$3:$C$5001,"&lt;&gt;")=0,"",SUMIFS(BD!$C$3:$C$5001,BD!$A$3:$A$5001,Z$3,BD!$B$3:$B$5001,$A$49)))</f>
        <v/>
      </c>
      <c r="AA49" s="172" t="str">
        <f>IF(AA$3="","",IF(COUNTIFS(BD!$A$3:$A$5001,AA$3,BD!$B$3:$B$5001,$A$49,BD!$C$3:$C$5001,"&lt;&gt;")=0,"",SUMIFS(BD!$C$3:$C$5001,BD!$A$3:$A$5001,AA$3,BD!$B$3:$B$5001,$A$49)))</f>
        <v/>
      </c>
      <c r="AB49" s="172" t="str">
        <f>IF(AB$3="","",IF(COUNTIFS(BD!$A$3:$A$5001,AB$3,BD!$B$3:$B$5001,$A$49,BD!$C$3:$C$5001,"&lt;&gt;")=0,"",SUMIFS(BD!$C$3:$C$5001,BD!$A$3:$A$5001,AB$3,BD!$B$3:$B$5001,$A$49)))</f>
        <v/>
      </c>
      <c r="AC49" s="172" t="str">
        <f>IF(AC$3="","",IF(COUNTIFS(BD!$A$3:$A$5001,AC$3,BD!$B$3:$B$5001,$A$49,BD!$C$3:$C$5001,"&lt;&gt;")=0,"",SUMIFS(BD!$C$3:$C$5001,BD!$A$3:$A$5001,AC$3,BD!$B$3:$B$5001,$A$49)))</f>
        <v/>
      </c>
      <c r="AD49" s="172" t="str">
        <f>IF(AD$3="","",IF(COUNTIFS(BD!$A$3:$A$5001,AD$3,BD!$B$3:$B$5001,$A$49,BD!$C$3:$C$5001,"&lt;&gt;")=0,"",SUMIFS(BD!$C$3:$C$5001,BD!$A$3:$A$5001,AD$3,BD!$B$3:$B$5001,$A$49)))</f>
        <v/>
      </c>
      <c r="AE49" s="172" t="str">
        <f>IF(AE$3="","",IF(COUNTIFS(BD!$A$3:$A$5001,AE$3,BD!$B$3:$B$5001,$A$49,BD!$C$3:$C$5001,"&lt;&gt;")=0,"",SUMIFS(BD!$C$3:$C$5001,BD!$A$3:$A$5001,AE$3,BD!$B$3:$B$5001,$A$49)))</f>
        <v/>
      </c>
      <c r="AF49" s="172" t="str">
        <f>IF(AF$3="","",IF(COUNTIFS(BD!$A$3:$A$5001,AF$3,BD!$B$3:$B$5001,$A$49,BD!$C$3:$C$5001,"&lt;&gt;")=0,"",SUMIFS(BD!$C$3:$C$5001,BD!$A$3:$A$5001,AF$3,BD!$B$3:$B$5001,$A$49)))</f>
        <v/>
      </c>
      <c r="AG49" s="172" t="str">
        <f>IF(AG$3="","",IF(COUNTIFS(BD!$A$3:$A$5001,AG$3,BD!$B$3:$B$5001,$A$49,BD!$C$3:$C$5001,"&lt;&gt;")=0,"",SUMIFS(BD!$C$3:$C$5001,BD!$A$3:$A$5001,AG$3,BD!$B$3:$B$5001,$A$49)))</f>
        <v/>
      </c>
      <c r="AH49" s="172" t="str">
        <f>IF(AH$3="","",IF(COUNTIFS(BD!$A$3:$A$5001,AH$3,BD!$B$3:$B$5001,$A$49,BD!$C$3:$C$5001,"&lt;&gt;")=0,"",SUMIFS(BD!$C$3:$C$5001,BD!$A$3:$A$5001,AH$3,BD!$B$3:$B$5001,$A$49)))</f>
        <v/>
      </c>
      <c r="AI49" s="172" t="str">
        <f>IF(AI$3="","",IF(COUNTIFS(BD!$A$3:$A$5001,AI$3,BD!$B$3:$B$5001,$A$49,BD!$C$3:$C$5001,"&lt;&gt;")=0,"",SUMIFS(BD!$C$3:$C$5001,BD!$A$3:$A$5001,AI$3,BD!$B$3:$B$5001,$A$49)))</f>
        <v/>
      </c>
      <c r="AJ49" s="173" t="str">
        <f>IF(AJ$3="","",IF(COUNTIFS(BD!$A$3:$A$5001,AJ$3,BD!$B$3:$B$5001,$A$49,BD!$C$3:$C$5001,"&lt;&gt;")=0,"",SUMIFS(BD!$C$3:$C$5001,BD!$A$3:$A$5001,AJ$3,BD!$B$3:$B$5001,$A$49)))</f>
        <v/>
      </c>
      <c r="AK49" s="174" t="str">
        <f>IF(COUNT(F49:AJ49)=0,"",SUM(F49:AJ49))</f>
        <v/>
      </c>
    </row>
    <row r="50" ht="15.75" customHeight="1">
      <c r="A50" s="261"/>
      <c r="B50" s="256"/>
      <c r="C50" s="214" t="inlineStr">
        <is>
          <t xml:space="preserve">Pallets Movimentados</t>
        </is>
      </c>
      <c r="D50" s="215" t="str">
        <f>IFERROR(1/(1/INDEX(BD!$AL$24:$BF$24,MATCH($A$49,BD!$AL$22:$BF$22,0))),"")</f>
        <v/>
      </c>
      <c r="E50" s="216"/>
      <c r="F50" s="217" t="str">
        <f>IF(F$3="","",IF(COUNTIFS(BD!$A$3:$A$5001,F$3,BD!$B$3:$B$5001,$A$49,BD!$D$3:$D$5001,"&lt;&gt;")=0,"",SUMIFS(BD!$D$3:$D$5001,BD!$A$3:$A$5001,F$3,BD!$B$3:$B$5001,$A$49)))</f>
        <v/>
      </c>
      <c r="G50" s="218" t="str">
        <f>IF(G$3="","",IF(COUNTIFS(BD!$A$3:$A$5001,G$3,BD!$B$3:$B$5001,$A$49,BD!$D$3:$D$5001,"&lt;&gt;")=0,"",SUMIFS(BD!$D$3:$D$5001,BD!$A$3:$A$5001,G$3,BD!$B$3:$B$5001,$A$49)))</f>
        <v/>
      </c>
      <c r="H50" s="218" t="str">
        <f>IF(H$3="","",IF(COUNTIFS(BD!$A$3:$A$5001,H$3,BD!$B$3:$B$5001,$A$49,BD!$D$3:$D$5001,"&lt;&gt;")=0,"",SUMIFS(BD!$D$3:$D$5001,BD!$A$3:$A$5001,H$3,BD!$B$3:$B$5001,$A$49)))</f>
        <v/>
      </c>
      <c r="I50" s="218" t="str">
        <f>IF(I$3="","",IF(COUNTIFS(BD!$A$3:$A$5001,I$3,BD!$B$3:$B$5001,$A$49,BD!$D$3:$D$5001,"&lt;&gt;")=0,"",SUMIFS(BD!$D$3:$D$5001,BD!$A$3:$A$5001,I$3,BD!$B$3:$B$5001,$A$49)))</f>
        <v/>
      </c>
      <c r="J50" s="218" t="str">
        <f>IF(J$3="","",IF(COUNTIFS(BD!$A$3:$A$5001,J$3,BD!$B$3:$B$5001,$A$49,BD!$D$3:$D$5001,"&lt;&gt;")=0,"",SUMIFS(BD!$D$3:$D$5001,BD!$A$3:$A$5001,J$3,BD!$B$3:$B$5001,$A$49)))</f>
        <v/>
      </c>
      <c r="K50" s="218" t="str">
        <f>IF(K$3="","",IF(COUNTIFS(BD!$A$3:$A$5001,K$3,BD!$B$3:$B$5001,$A$49,BD!$D$3:$D$5001,"&lt;&gt;")=0,"",SUMIFS(BD!$D$3:$D$5001,BD!$A$3:$A$5001,K$3,BD!$B$3:$B$5001,$A$49)))</f>
        <v/>
      </c>
      <c r="L50" s="218" t="str">
        <f>IF(L$3="","",IF(COUNTIFS(BD!$A$3:$A$5001,L$3,BD!$B$3:$B$5001,$A$49,BD!$D$3:$D$5001,"&lt;&gt;")=0,"",SUMIFS(BD!$D$3:$D$5001,BD!$A$3:$A$5001,L$3,BD!$B$3:$B$5001,$A$49)))</f>
        <v/>
      </c>
      <c r="M50" s="218" t="str">
        <f>IF(M$3="","",IF(COUNTIFS(BD!$A$3:$A$5001,M$3,BD!$B$3:$B$5001,$A$49,BD!$D$3:$D$5001,"&lt;&gt;")=0,"",SUMIFS(BD!$D$3:$D$5001,BD!$A$3:$A$5001,M$3,BD!$B$3:$B$5001,$A$49)))</f>
        <v/>
      </c>
      <c r="N50" s="218" t="str">
        <f>IF(N$3="","",IF(COUNTIFS(BD!$A$3:$A$5001,N$3,BD!$B$3:$B$5001,$A$49,BD!$D$3:$D$5001,"&lt;&gt;")=0,"",SUMIFS(BD!$D$3:$D$5001,BD!$A$3:$A$5001,N$3,BD!$B$3:$B$5001,$A$49)))</f>
        <v/>
      </c>
      <c r="O50" s="218" t="str">
        <f>IF(O$3="","",IF(COUNTIFS(BD!$A$3:$A$5001,O$3,BD!$B$3:$B$5001,$A$49,BD!$D$3:$D$5001,"&lt;&gt;")=0,"",SUMIFS(BD!$D$3:$D$5001,BD!$A$3:$A$5001,O$3,BD!$B$3:$B$5001,$A$49)))</f>
        <v/>
      </c>
      <c r="P50" s="218" t="str">
        <f>IF(P$3="","",IF(COUNTIFS(BD!$A$3:$A$5001,P$3,BD!$B$3:$B$5001,$A$49,BD!$D$3:$D$5001,"&lt;&gt;")=0,"",SUMIFS(BD!$D$3:$D$5001,BD!$A$3:$A$5001,P$3,BD!$B$3:$B$5001,$A$49)))</f>
        <v/>
      </c>
      <c r="Q50" s="218" t="str">
        <f>IF(Q$3="","",IF(COUNTIFS(BD!$A$3:$A$5001,Q$3,BD!$B$3:$B$5001,$A$49,BD!$D$3:$D$5001,"&lt;&gt;")=0,"",SUMIFS(BD!$D$3:$D$5001,BD!$A$3:$A$5001,Q$3,BD!$B$3:$B$5001,$A$49)))</f>
        <v/>
      </c>
      <c r="R50" s="218" t="str">
        <f>IF(R$3="","",IF(COUNTIFS(BD!$A$3:$A$5001,R$3,BD!$B$3:$B$5001,$A$49,BD!$D$3:$D$5001,"&lt;&gt;")=0,"",SUMIFS(BD!$D$3:$D$5001,BD!$A$3:$A$5001,R$3,BD!$B$3:$B$5001,$A$49)))</f>
        <v/>
      </c>
      <c r="S50" s="218" t="str">
        <f>IF(S$3="","",IF(COUNTIFS(BD!$A$3:$A$5001,S$3,BD!$B$3:$B$5001,$A$49,BD!$D$3:$D$5001,"&lt;&gt;")=0,"",SUMIFS(BD!$D$3:$D$5001,BD!$A$3:$A$5001,S$3,BD!$B$3:$B$5001,$A$49)))</f>
        <v/>
      </c>
      <c r="T50" s="218" t="str">
        <f>IF(T$3="","",IF(COUNTIFS(BD!$A$3:$A$5001,T$3,BD!$B$3:$B$5001,$A$49,BD!$D$3:$D$5001,"&lt;&gt;")=0,"",SUMIFS(BD!$D$3:$D$5001,BD!$A$3:$A$5001,T$3,BD!$B$3:$B$5001,$A$49)))</f>
        <v/>
      </c>
      <c r="U50" s="218" t="str">
        <f>IF(U$3="","",IF(COUNTIFS(BD!$A$3:$A$5001,U$3,BD!$B$3:$B$5001,$A$49,BD!$D$3:$D$5001,"&lt;&gt;")=0,"",SUMIFS(BD!$D$3:$D$5001,BD!$A$3:$A$5001,U$3,BD!$B$3:$B$5001,$A$49)))</f>
        <v/>
      </c>
      <c r="V50" s="218" t="str">
        <f>IF(V$3="","",IF(COUNTIFS(BD!$A$3:$A$5001,V$3,BD!$B$3:$B$5001,$A$49,BD!$D$3:$D$5001,"&lt;&gt;")=0,"",SUMIFS(BD!$D$3:$D$5001,BD!$A$3:$A$5001,V$3,BD!$B$3:$B$5001,$A$49)))</f>
        <v/>
      </c>
      <c r="W50" s="218" t="str">
        <f>IF(W$3="","",IF(COUNTIFS(BD!$A$3:$A$5001,W$3,BD!$B$3:$B$5001,$A$49,BD!$D$3:$D$5001,"&lt;&gt;")=0,"",SUMIFS(BD!$D$3:$D$5001,BD!$A$3:$A$5001,W$3,BD!$B$3:$B$5001,$A$49)))</f>
        <v/>
      </c>
      <c r="X50" s="218" t="str">
        <f>IF(X$3="","",IF(COUNTIFS(BD!$A$3:$A$5001,X$3,BD!$B$3:$B$5001,$A$49,BD!$D$3:$D$5001,"&lt;&gt;")=0,"",SUMIFS(BD!$D$3:$D$5001,BD!$A$3:$A$5001,X$3,BD!$B$3:$B$5001,$A$49)))</f>
        <v/>
      </c>
      <c r="Y50" s="218" t="str">
        <f>IF(Y$3="","",IF(COUNTIFS(BD!$A$3:$A$5001,Y$3,BD!$B$3:$B$5001,$A$49,BD!$D$3:$D$5001,"&lt;&gt;")=0,"",SUMIFS(BD!$D$3:$D$5001,BD!$A$3:$A$5001,Y$3,BD!$B$3:$B$5001,$A$49)))</f>
        <v/>
      </c>
      <c r="Z50" s="218" t="str">
        <f>IF(Z$3="","",IF(COUNTIFS(BD!$A$3:$A$5001,Z$3,BD!$B$3:$B$5001,$A$49,BD!$D$3:$D$5001,"&lt;&gt;")=0,"",SUMIFS(BD!$D$3:$D$5001,BD!$A$3:$A$5001,Z$3,BD!$B$3:$B$5001,$A$49)))</f>
        <v/>
      </c>
      <c r="AA50" s="218" t="str">
        <f>IF(AA$3="","",IF(COUNTIFS(BD!$A$3:$A$5001,AA$3,BD!$B$3:$B$5001,$A$49,BD!$D$3:$D$5001,"&lt;&gt;")=0,"",SUMIFS(BD!$D$3:$D$5001,BD!$A$3:$A$5001,AA$3,BD!$B$3:$B$5001,$A$49)))</f>
        <v/>
      </c>
      <c r="AB50" s="218" t="str">
        <f>IF(AB$3="","",IF(COUNTIFS(BD!$A$3:$A$5001,AB$3,BD!$B$3:$B$5001,$A$49,BD!$D$3:$D$5001,"&lt;&gt;")=0,"",SUMIFS(BD!$D$3:$D$5001,BD!$A$3:$A$5001,AB$3,BD!$B$3:$B$5001,$A$49)))</f>
        <v/>
      </c>
      <c r="AC50" s="218" t="str">
        <f>IF(AC$3="","",IF(COUNTIFS(BD!$A$3:$A$5001,AC$3,BD!$B$3:$B$5001,$A$49,BD!$D$3:$D$5001,"&lt;&gt;")=0,"",SUMIFS(BD!$D$3:$D$5001,BD!$A$3:$A$5001,AC$3,BD!$B$3:$B$5001,$A$49)))</f>
        <v/>
      </c>
      <c r="AD50" s="218" t="str">
        <f>IF(AD$3="","",IF(COUNTIFS(BD!$A$3:$A$5001,AD$3,BD!$B$3:$B$5001,$A$49,BD!$D$3:$D$5001,"&lt;&gt;")=0,"",SUMIFS(BD!$D$3:$D$5001,BD!$A$3:$A$5001,AD$3,BD!$B$3:$B$5001,$A$49)))</f>
        <v/>
      </c>
      <c r="AE50" s="218" t="str">
        <f>IF(AE$3="","",IF(COUNTIFS(BD!$A$3:$A$5001,AE$3,BD!$B$3:$B$5001,$A$49,BD!$D$3:$D$5001,"&lt;&gt;")=0,"",SUMIFS(BD!$D$3:$D$5001,BD!$A$3:$A$5001,AE$3,BD!$B$3:$B$5001,$A$49)))</f>
        <v/>
      </c>
      <c r="AF50" s="218" t="str">
        <f>IF(AF$3="","",IF(COUNTIFS(BD!$A$3:$A$5001,AF$3,BD!$B$3:$B$5001,$A$49,BD!$D$3:$D$5001,"&lt;&gt;")=0,"",SUMIFS(BD!$D$3:$D$5001,BD!$A$3:$A$5001,AF$3,BD!$B$3:$B$5001,$A$49)))</f>
        <v/>
      </c>
      <c r="AG50" s="218" t="str">
        <f>IF(AG$3="","",IF(COUNTIFS(BD!$A$3:$A$5001,AG$3,BD!$B$3:$B$5001,$A$49,BD!$D$3:$D$5001,"&lt;&gt;")=0,"",SUMIFS(BD!$D$3:$D$5001,BD!$A$3:$A$5001,AG$3,BD!$B$3:$B$5001,$A$49)))</f>
        <v/>
      </c>
      <c r="AH50" s="218" t="str">
        <f>IF(AH$3="","",IF(COUNTIFS(BD!$A$3:$A$5001,AH$3,BD!$B$3:$B$5001,$A$49,BD!$D$3:$D$5001,"&lt;&gt;")=0,"",SUMIFS(BD!$D$3:$D$5001,BD!$A$3:$A$5001,AH$3,BD!$B$3:$B$5001,$A$49)))</f>
        <v/>
      </c>
      <c r="AI50" s="218" t="str">
        <f>IF(AI$3="","",IF(COUNTIFS(BD!$A$3:$A$5001,AI$3,BD!$B$3:$B$5001,$A$49,BD!$D$3:$D$5001,"&lt;&gt;")=0,"",SUMIFS(BD!$D$3:$D$5001,BD!$A$3:$A$5001,AI$3,BD!$B$3:$B$5001,$A$49)))</f>
        <v/>
      </c>
      <c r="AJ50" s="219" t="str">
        <f>IF(AJ$3="","",IF(COUNTIFS(BD!$A$3:$A$5001,AJ$3,BD!$B$3:$B$5001,$A$49,BD!$D$3:$D$5001,"&lt;&gt;")=0,"",SUMIFS(BD!$D$3:$D$5001,BD!$A$3:$A$5001,AJ$3,BD!$B$3:$B$5001,$A$49)))</f>
        <v/>
      </c>
      <c r="AK50" s="220" t="str">
        <f>IF(COUNT(F50:AJ50)=0,"",SUM(F50:AJ50))</f>
        <v/>
      </c>
    </row>
    <row r="51" ht="15.75" customHeight="1">
      <c r="A51" s="261"/>
      <c r="B51" s="250"/>
      <c r="C51" s="175" t="inlineStr">
        <is>
          <t xml:space="preserve">Caixas Movimentadas</t>
        </is>
      </c>
      <c r="D51" s="176" t="str">
        <f>IFERROR(1/(1/INDEX(BD!$AL$27:$BF$27,MATCH($A$49,BD!$AL$22:$BF$22,0))),"")</f>
        <v/>
      </c>
      <c r="E51" s="177"/>
      <c r="F51" s="178" t="str">
        <f>IF(F$3="","",IF(COUNTIFS(BD!$A$3:$A$5001,F$3,BD!$B$3:$B$5001,$A$49,BD!$G$3:$G$5001,"&lt;&gt;")=0,"",SUMIFS(BD!$G$3:$G$5001,BD!$A$3:$A$5001,F$3,BD!$B$3:$B$5001,$A$49)))</f>
        <v/>
      </c>
      <c r="G51" s="179" t="str">
        <f>IF(G$3="","",IF(COUNTIFS(BD!$A$3:$A$5001,G$3,BD!$B$3:$B$5001,$A$49,BD!$G$3:$G$5001,"&lt;&gt;")=0,"",SUMIFS(BD!$G$3:$G$5001,BD!$A$3:$A$5001,G$3,BD!$B$3:$B$5001,$A$49)))</f>
        <v/>
      </c>
      <c r="H51" s="179" t="str">
        <f>IF(H$3="","",IF(COUNTIFS(BD!$A$3:$A$5001,H$3,BD!$B$3:$B$5001,$A$49,BD!$G$3:$G$5001,"&lt;&gt;")=0,"",SUMIFS(BD!$G$3:$G$5001,BD!$A$3:$A$5001,H$3,BD!$B$3:$B$5001,$A$49)))</f>
        <v/>
      </c>
      <c r="I51" s="179" t="str">
        <f>IF(I$3="","",IF(COUNTIFS(BD!$A$3:$A$5001,I$3,BD!$B$3:$B$5001,$A$49,BD!$G$3:$G$5001,"&lt;&gt;")=0,"",SUMIFS(BD!$G$3:$G$5001,BD!$A$3:$A$5001,I$3,BD!$B$3:$B$5001,$A$49)))</f>
        <v/>
      </c>
      <c r="J51" s="179" t="str">
        <f>IF(J$3="","",IF(COUNTIFS(BD!$A$3:$A$5001,J$3,BD!$B$3:$B$5001,$A$49,BD!$G$3:$G$5001,"&lt;&gt;")=0,"",SUMIFS(BD!$G$3:$G$5001,BD!$A$3:$A$5001,J$3,BD!$B$3:$B$5001,$A$49)))</f>
        <v/>
      </c>
      <c r="K51" s="179" t="str">
        <f>IF(K$3="","",IF(COUNTIFS(BD!$A$3:$A$5001,K$3,BD!$B$3:$B$5001,$A$49,BD!$G$3:$G$5001,"&lt;&gt;")=0,"",SUMIFS(BD!$G$3:$G$5001,BD!$A$3:$A$5001,K$3,BD!$B$3:$B$5001,$A$49)))</f>
        <v/>
      </c>
      <c r="L51" s="179" t="str">
        <f>IF(L$3="","",IF(COUNTIFS(BD!$A$3:$A$5001,L$3,BD!$B$3:$B$5001,$A$49,BD!$G$3:$G$5001,"&lt;&gt;")=0,"",SUMIFS(BD!$G$3:$G$5001,BD!$A$3:$A$5001,L$3,BD!$B$3:$B$5001,$A$49)))</f>
        <v/>
      </c>
      <c r="M51" s="179" t="str">
        <f>IF(M$3="","",IF(COUNTIFS(BD!$A$3:$A$5001,M$3,BD!$B$3:$B$5001,$A$49,BD!$G$3:$G$5001,"&lt;&gt;")=0,"",SUMIFS(BD!$G$3:$G$5001,BD!$A$3:$A$5001,M$3,BD!$B$3:$B$5001,$A$49)))</f>
        <v/>
      </c>
      <c r="N51" s="179" t="str">
        <f>IF(N$3="","",IF(COUNTIFS(BD!$A$3:$A$5001,N$3,BD!$B$3:$B$5001,$A$49,BD!$G$3:$G$5001,"&lt;&gt;")=0,"",SUMIFS(BD!$G$3:$G$5001,BD!$A$3:$A$5001,N$3,BD!$B$3:$B$5001,$A$49)))</f>
        <v/>
      </c>
      <c r="O51" s="179" t="str">
        <f>IF(O$3="","",IF(COUNTIFS(BD!$A$3:$A$5001,O$3,BD!$B$3:$B$5001,$A$49,BD!$G$3:$G$5001,"&lt;&gt;")=0,"",SUMIFS(BD!$G$3:$G$5001,BD!$A$3:$A$5001,O$3,BD!$B$3:$B$5001,$A$49)))</f>
        <v/>
      </c>
      <c r="P51" s="179" t="str">
        <f>IF(P$3="","",IF(COUNTIFS(BD!$A$3:$A$5001,P$3,BD!$B$3:$B$5001,$A$49,BD!$G$3:$G$5001,"&lt;&gt;")=0,"",SUMIFS(BD!$G$3:$G$5001,BD!$A$3:$A$5001,P$3,BD!$B$3:$B$5001,$A$49)))</f>
        <v/>
      </c>
      <c r="Q51" s="179" t="str">
        <f>IF(Q$3="","",IF(COUNTIFS(BD!$A$3:$A$5001,Q$3,BD!$B$3:$B$5001,$A$49,BD!$G$3:$G$5001,"&lt;&gt;")=0,"",SUMIFS(BD!$G$3:$G$5001,BD!$A$3:$A$5001,Q$3,BD!$B$3:$B$5001,$A$49)))</f>
        <v/>
      </c>
      <c r="R51" s="179" t="str">
        <f>IF(R$3="","",IF(COUNTIFS(BD!$A$3:$A$5001,R$3,BD!$B$3:$B$5001,$A$49,BD!$G$3:$G$5001,"&lt;&gt;")=0,"",SUMIFS(BD!$G$3:$G$5001,BD!$A$3:$A$5001,R$3,BD!$B$3:$B$5001,$A$49)))</f>
        <v/>
      </c>
      <c r="S51" s="179" t="str">
        <f>IF(S$3="","",IF(COUNTIFS(BD!$A$3:$A$5001,S$3,BD!$B$3:$B$5001,$A$49,BD!$G$3:$G$5001,"&lt;&gt;")=0,"",SUMIFS(BD!$G$3:$G$5001,BD!$A$3:$A$5001,S$3,BD!$B$3:$B$5001,$A$49)))</f>
        <v/>
      </c>
      <c r="T51" s="179" t="str">
        <f>IF(T$3="","",IF(COUNTIFS(BD!$A$3:$A$5001,T$3,BD!$B$3:$B$5001,$A$49,BD!$G$3:$G$5001,"&lt;&gt;")=0,"",SUMIFS(BD!$G$3:$G$5001,BD!$A$3:$A$5001,T$3,BD!$B$3:$B$5001,$A$49)))</f>
        <v/>
      </c>
      <c r="U51" s="179" t="str">
        <f>IF(U$3="","",IF(COUNTIFS(BD!$A$3:$A$5001,U$3,BD!$B$3:$B$5001,$A$49,BD!$G$3:$G$5001,"&lt;&gt;")=0,"",SUMIFS(BD!$G$3:$G$5001,BD!$A$3:$A$5001,U$3,BD!$B$3:$B$5001,$A$49)))</f>
        <v/>
      </c>
      <c r="V51" s="179" t="str">
        <f>IF(V$3="","",IF(COUNTIFS(BD!$A$3:$A$5001,V$3,BD!$B$3:$B$5001,$A$49,BD!$G$3:$G$5001,"&lt;&gt;")=0,"",SUMIFS(BD!$G$3:$G$5001,BD!$A$3:$A$5001,V$3,BD!$B$3:$B$5001,$A$49)))</f>
        <v/>
      </c>
      <c r="W51" s="179" t="str">
        <f>IF(W$3="","",IF(COUNTIFS(BD!$A$3:$A$5001,W$3,BD!$B$3:$B$5001,$A$49,BD!$G$3:$G$5001,"&lt;&gt;")=0,"",SUMIFS(BD!$G$3:$G$5001,BD!$A$3:$A$5001,W$3,BD!$B$3:$B$5001,$A$49)))</f>
        <v/>
      </c>
      <c r="X51" s="179" t="str">
        <f>IF(X$3="","",IF(COUNTIFS(BD!$A$3:$A$5001,X$3,BD!$B$3:$B$5001,$A$49,BD!$G$3:$G$5001,"&lt;&gt;")=0,"",SUMIFS(BD!$G$3:$G$5001,BD!$A$3:$A$5001,X$3,BD!$B$3:$B$5001,$A$49)))</f>
        <v/>
      </c>
      <c r="Y51" s="179" t="str">
        <f>IF(Y$3="","",IF(COUNTIFS(BD!$A$3:$A$5001,Y$3,BD!$B$3:$B$5001,$A$49,BD!$G$3:$G$5001,"&lt;&gt;")=0,"",SUMIFS(BD!$G$3:$G$5001,BD!$A$3:$A$5001,Y$3,BD!$B$3:$B$5001,$A$49)))</f>
        <v/>
      </c>
      <c r="Z51" s="179" t="str">
        <f>IF(Z$3="","",IF(COUNTIFS(BD!$A$3:$A$5001,Z$3,BD!$B$3:$B$5001,$A$49,BD!$G$3:$G$5001,"&lt;&gt;")=0,"",SUMIFS(BD!$G$3:$G$5001,BD!$A$3:$A$5001,Z$3,BD!$B$3:$B$5001,$A$49)))</f>
        <v/>
      </c>
      <c r="AA51" s="179" t="str">
        <f>IF(AA$3="","",IF(COUNTIFS(BD!$A$3:$A$5001,AA$3,BD!$B$3:$B$5001,$A$49,BD!$G$3:$G$5001,"&lt;&gt;")=0,"",SUMIFS(BD!$G$3:$G$5001,BD!$A$3:$A$5001,AA$3,BD!$B$3:$B$5001,$A$49)))</f>
        <v/>
      </c>
      <c r="AB51" s="179" t="str">
        <f>IF(AB$3="","",IF(COUNTIFS(BD!$A$3:$A$5001,AB$3,BD!$B$3:$B$5001,$A$49,BD!$G$3:$G$5001,"&lt;&gt;")=0,"",SUMIFS(BD!$G$3:$G$5001,BD!$A$3:$A$5001,AB$3,BD!$B$3:$B$5001,$A$49)))</f>
        <v/>
      </c>
      <c r="AC51" s="179" t="str">
        <f>IF(AC$3="","",IF(COUNTIFS(BD!$A$3:$A$5001,AC$3,BD!$B$3:$B$5001,$A$49,BD!$G$3:$G$5001,"&lt;&gt;")=0,"",SUMIFS(BD!$G$3:$G$5001,BD!$A$3:$A$5001,AC$3,BD!$B$3:$B$5001,$A$49)))</f>
        <v/>
      </c>
      <c r="AD51" s="179" t="str">
        <f>IF(AD$3="","",IF(COUNTIFS(BD!$A$3:$A$5001,AD$3,BD!$B$3:$B$5001,$A$49,BD!$G$3:$G$5001,"&lt;&gt;")=0,"",SUMIFS(BD!$G$3:$G$5001,BD!$A$3:$A$5001,AD$3,BD!$B$3:$B$5001,$A$49)))</f>
        <v/>
      </c>
      <c r="AE51" s="179" t="str">
        <f>IF(AE$3="","",IF(COUNTIFS(BD!$A$3:$A$5001,AE$3,BD!$B$3:$B$5001,$A$49,BD!$G$3:$G$5001,"&lt;&gt;")=0,"",SUMIFS(BD!$G$3:$G$5001,BD!$A$3:$A$5001,AE$3,BD!$B$3:$B$5001,$A$49)))</f>
        <v/>
      </c>
      <c r="AF51" s="179" t="str">
        <f>IF(AF$3="","",IF(COUNTIFS(BD!$A$3:$A$5001,AF$3,BD!$B$3:$B$5001,$A$49,BD!$G$3:$G$5001,"&lt;&gt;")=0,"",SUMIFS(BD!$G$3:$G$5001,BD!$A$3:$A$5001,AF$3,BD!$B$3:$B$5001,$A$49)))</f>
        <v/>
      </c>
      <c r="AG51" s="179" t="str">
        <f>IF(AG$3="","",IF(COUNTIFS(BD!$A$3:$A$5001,AG$3,BD!$B$3:$B$5001,$A$49,BD!$G$3:$G$5001,"&lt;&gt;")=0,"",SUMIFS(BD!$G$3:$G$5001,BD!$A$3:$A$5001,AG$3,BD!$B$3:$B$5001,$A$49)))</f>
        <v/>
      </c>
      <c r="AH51" s="179" t="str">
        <f>IF(AH$3="","",IF(COUNTIFS(BD!$A$3:$A$5001,AH$3,BD!$B$3:$B$5001,$A$49,BD!$G$3:$G$5001,"&lt;&gt;")=0,"",SUMIFS(BD!$G$3:$G$5001,BD!$A$3:$A$5001,AH$3,BD!$B$3:$B$5001,$A$49)))</f>
        <v/>
      </c>
      <c r="AI51" s="179" t="str">
        <f>IF(AI$3="","",IF(COUNTIFS(BD!$A$3:$A$5001,AI$3,BD!$B$3:$B$5001,$A$49,BD!$G$3:$G$5001,"&lt;&gt;")=0,"",SUMIFS(BD!$G$3:$G$5001,BD!$A$3:$A$5001,AI$3,BD!$B$3:$B$5001,$A$49)))</f>
        <v/>
      </c>
      <c r="AJ51" s="180" t="str">
        <f>IF(AJ$3="","",IF(COUNTIFS(BD!$A$3:$A$5001,AJ$3,BD!$B$3:$B$5001,$A$49,BD!$G$3:$G$5001,"&lt;&gt;")=0,"",SUMIFS(BD!$G$3:$G$5001,BD!$A$3:$A$5001,AJ$3,BD!$B$3:$B$5001,$A$49)))</f>
        <v/>
      </c>
      <c r="AK51" s="176" t="str">
        <f>IF(COUNT(F51:AJ51)=0,"",SUM(F51:AJ51))</f>
        <v/>
      </c>
    </row>
    <row r="52" ht="15.75" customHeight="1">
      <c r="A52" s="261"/>
      <c r="B52" s="251" t="inlineStr">
        <is>
          <t xml:space="preserve">OUT</t>
        </is>
      </c>
      <c r="C52" s="181" t="inlineStr">
        <is>
          <t xml:space="preserve">Veículos Expedidos</t>
        </is>
      </c>
      <c r="D52" s="182" t="str">
        <f>IFERROR(1/(1/INDEX(BD!$AL$32:$BF$32,MATCH($A$49,BD!$AL$22:$BF$22,0))),"")</f>
        <v/>
      </c>
      <c r="E52" s="183"/>
      <c r="F52" s="184" t="str">
        <f>IF(F$3="","",IF(COUNTIFS(BD!$A$3:$A$5001,F$3,BD!$B$3:$B$5001,$A$49,BD!$L$3:$L$5001,"&lt;&gt;")=0,"",SUMIFS(BD!$L$3:$L$5001,BD!$A$3:$A$5001,F$3,BD!$B$3:$B$5001,$A$49)))</f>
        <v/>
      </c>
      <c r="G52" s="185" t="str">
        <f>IF(G$3="","",IF(COUNTIFS(BD!$A$3:$A$5001,G$3,BD!$B$3:$B$5001,$A$49,BD!$L$3:$L$5001,"&lt;&gt;")=0,"",SUMIFS(BD!$L$3:$L$5001,BD!$A$3:$A$5001,G$3,BD!$B$3:$B$5001,$A$49)))</f>
        <v/>
      </c>
      <c r="H52" s="185" t="str">
        <f>IF(H$3="","",IF(COUNTIFS(BD!$A$3:$A$5001,H$3,BD!$B$3:$B$5001,$A$49,BD!$L$3:$L$5001,"&lt;&gt;")=0,"",SUMIFS(BD!$L$3:$L$5001,BD!$A$3:$A$5001,H$3,BD!$B$3:$B$5001,$A$49)))</f>
        <v/>
      </c>
      <c r="I52" s="185" t="str">
        <f>IF(I$3="","",IF(COUNTIFS(BD!$A$3:$A$5001,I$3,BD!$B$3:$B$5001,$A$49,BD!$L$3:$L$5001,"&lt;&gt;")=0,"",SUMIFS(BD!$L$3:$L$5001,BD!$A$3:$A$5001,I$3,BD!$B$3:$B$5001,$A$49)))</f>
        <v/>
      </c>
      <c r="J52" s="185" t="str">
        <f>IF(J$3="","",IF(COUNTIFS(BD!$A$3:$A$5001,J$3,BD!$B$3:$B$5001,$A$49,BD!$L$3:$L$5001,"&lt;&gt;")=0,"",SUMIFS(BD!$L$3:$L$5001,BD!$A$3:$A$5001,J$3,BD!$B$3:$B$5001,$A$49)))</f>
        <v/>
      </c>
      <c r="K52" s="185" t="str">
        <f>IF(K$3="","",IF(COUNTIFS(BD!$A$3:$A$5001,K$3,BD!$B$3:$B$5001,$A$49,BD!$L$3:$L$5001,"&lt;&gt;")=0,"",SUMIFS(BD!$L$3:$L$5001,BD!$A$3:$A$5001,K$3,BD!$B$3:$B$5001,$A$49)))</f>
        <v/>
      </c>
      <c r="L52" s="185" t="str">
        <f>IF(L$3="","",IF(COUNTIFS(BD!$A$3:$A$5001,L$3,BD!$B$3:$B$5001,$A$49,BD!$L$3:$L$5001,"&lt;&gt;")=0,"",SUMIFS(BD!$L$3:$L$5001,BD!$A$3:$A$5001,L$3,BD!$B$3:$B$5001,$A$49)))</f>
        <v/>
      </c>
      <c r="M52" s="185" t="str">
        <f>IF(M$3="","",IF(COUNTIFS(BD!$A$3:$A$5001,M$3,BD!$B$3:$B$5001,$A$49,BD!$L$3:$L$5001,"&lt;&gt;")=0,"",SUMIFS(BD!$L$3:$L$5001,BD!$A$3:$A$5001,M$3,BD!$B$3:$B$5001,$A$49)))</f>
        <v/>
      </c>
      <c r="N52" s="185" t="str">
        <f>IF(N$3="","",IF(COUNTIFS(BD!$A$3:$A$5001,N$3,BD!$B$3:$B$5001,$A$49,BD!$L$3:$L$5001,"&lt;&gt;")=0,"",SUMIFS(BD!$L$3:$L$5001,BD!$A$3:$A$5001,N$3,BD!$B$3:$B$5001,$A$49)))</f>
        <v/>
      </c>
      <c r="O52" s="185" t="str">
        <f>IF(O$3="","",IF(COUNTIFS(BD!$A$3:$A$5001,O$3,BD!$B$3:$B$5001,$A$49,BD!$L$3:$L$5001,"&lt;&gt;")=0,"",SUMIFS(BD!$L$3:$L$5001,BD!$A$3:$A$5001,O$3,BD!$B$3:$B$5001,$A$49)))</f>
        <v/>
      </c>
      <c r="P52" s="185" t="str">
        <f>IF(P$3="","",IF(COUNTIFS(BD!$A$3:$A$5001,P$3,BD!$B$3:$B$5001,$A$49,BD!$L$3:$L$5001,"&lt;&gt;")=0,"",SUMIFS(BD!$L$3:$L$5001,BD!$A$3:$A$5001,P$3,BD!$B$3:$B$5001,$A$49)))</f>
        <v/>
      </c>
      <c r="Q52" s="185" t="str">
        <f>IF(Q$3="","",IF(COUNTIFS(BD!$A$3:$A$5001,Q$3,BD!$B$3:$B$5001,$A$49,BD!$L$3:$L$5001,"&lt;&gt;")=0,"",SUMIFS(BD!$L$3:$L$5001,BD!$A$3:$A$5001,Q$3,BD!$B$3:$B$5001,$A$49)))</f>
        <v/>
      </c>
      <c r="R52" s="185" t="str">
        <f>IF(R$3="","",IF(COUNTIFS(BD!$A$3:$A$5001,R$3,BD!$B$3:$B$5001,$A$49,BD!$L$3:$L$5001,"&lt;&gt;")=0,"",SUMIFS(BD!$L$3:$L$5001,BD!$A$3:$A$5001,R$3,BD!$B$3:$B$5001,$A$49)))</f>
        <v/>
      </c>
      <c r="S52" s="185" t="str">
        <f>IF(S$3="","",IF(COUNTIFS(BD!$A$3:$A$5001,S$3,BD!$B$3:$B$5001,$A$49,BD!$L$3:$L$5001,"&lt;&gt;")=0,"",SUMIFS(BD!$L$3:$L$5001,BD!$A$3:$A$5001,S$3,BD!$B$3:$B$5001,$A$49)))</f>
        <v/>
      </c>
      <c r="T52" s="185" t="str">
        <f>IF(T$3="","",IF(COUNTIFS(BD!$A$3:$A$5001,T$3,BD!$B$3:$B$5001,$A$49,BD!$L$3:$L$5001,"&lt;&gt;")=0,"",SUMIFS(BD!$L$3:$L$5001,BD!$A$3:$A$5001,T$3,BD!$B$3:$B$5001,$A$49)))</f>
        <v/>
      </c>
      <c r="U52" s="185" t="str">
        <f>IF(U$3="","",IF(COUNTIFS(BD!$A$3:$A$5001,U$3,BD!$B$3:$B$5001,$A$49,BD!$L$3:$L$5001,"&lt;&gt;")=0,"",SUMIFS(BD!$L$3:$L$5001,BD!$A$3:$A$5001,U$3,BD!$B$3:$B$5001,$A$49)))</f>
        <v/>
      </c>
      <c r="V52" s="185" t="str">
        <f>IF(V$3="","",IF(COUNTIFS(BD!$A$3:$A$5001,V$3,BD!$B$3:$B$5001,$A$49,BD!$L$3:$L$5001,"&lt;&gt;")=0,"",SUMIFS(BD!$L$3:$L$5001,BD!$A$3:$A$5001,V$3,BD!$B$3:$B$5001,$A$49)))</f>
        <v/>
      </c>
      <c r="W52" s="185" t="str">
        <f>IF(W$3="","",IF(COUNTIFS(BD!$A$3:$A$5001,W$3,BD!$B$3:$B$5001,$A$49,BD!$L$3:$L$5001,"&lt;&gt;")=0,"",SUMIFS(BD!$L$3:$L$5001,BD!$A$3:$A$5001,W$3,BD!$B$3:$B$5001,$A$49)))</f>
        <v/>
      </c>
      <c r="X52" s="185" t="str">
        <f>IF(X$3="","",IF(COUNTIFS(BD!$A$3:$A$5001,X$3,BD!$B$3:$B$5001,$A$49,BD!$L$3:$L$5001,"&lt;&gt;")=0,"",SUMIFS(BD!$L$3:$L$5001,BD!$A$3:$A$5001,X$3,BD!$B$3:$B$5001,$A$49)))</f>
        <v/>
      </c>
      <c r="Y52" s="185" t="str">
        <f>IF(Y$3="","",IF(COUNTIFS(BD!$A$3:$A$5001,Y$3,BD!$B$3:$B$5001,$A$49,BD!$L$3:$L$5001,"&lt;&gt;")=0,"",SUMIFS(BD!$L$3:$L$5001,BD!$A$3:$A$5001,Y$3,BD!$B$3:$B$5001,$A$49)))</f>
        <v/>
      </c>
      <c r="Z52" s="185" t="str">
        <f>IF(Z$3="","",IF(COUNTIFS(BD!$A$3:$A$5001,Z$3,BD!$B$3:$B$5001,$A$49,BD!$L$3:$L$5001,"&lt;&gt;")=0,"",SUMIFS(BD!$L$3:$L$5001,BD!$A$3:$A$5001,Z$3,BD!$B$3:$B$5001,$A$49)))</f>
        <v/>
      </c>
      <c r="AA52" s="185" t="str">
        <f>IF(AA$3="","",IF(COUNTIFS(BD!$A$3:$A$5001,AA$3,BD!$B$3:$B$5001,$A$49,BD!$L$3:$L$5001,"&lt;&gt;")=0,"",SUMIFS(BD!$L$3:$L$5001,BD!$A$3:$A$5001,AA$3,BD!$B$3:$B$5001,$A$49)))</f>
        <v/>
      </c>
      <c r="AB52" s="185" t="str">
        <f>IF(AB$3="","",IF(COUNTIFS(BD!$A$3:$A$5001,AB$3,BD!$B$3:$B$5001,$A$49,BD!$L$3:$L$5001,"&lt;&gt;")=0,"",SUMIFS(BD!$L$3:$L$5001,BD!$A$3:$A$5001,AB$3,BD!$B$3:$B$5001,$A$49)))</f>
        <v/>
      </c>
      <c r="AC52" s="185" t="str">
        <f>IF(AC$3="","",IF(COUNTIFS(BD!$A$3:$A$5001,AC$3,BD!$B$3:$B$5001,$A$49,BD!$L$3:$L$5001,"&lt;&gt;")=0,"",SUMIFS(BD!$L$3:$L$5001,BD!$A$3:$A$5001,AC$3,BD!$B$3:$B$5001,$A$49)))</f>
        <v/>
      </c>
      <c r="AD52" s="185" t="str">
        <f>IF(AD$3="","",IF(COUNTIFS(BD!$A$3:$A$5001,AD$3,BD!$B$3:$B$5001,$A$49,BD!$L$3:$L$5001,"&lt;&gt;")=0,"",SUMIFS(BD!$L$3:$L$5001,BD!$A$3:$A$5001,AD$3,BD!$B$3:$B$5001,$A$49)))</f>
        <v/>
      </c>
      <c r="AE52" s="185" t="str">
        <f>IF(AE$3="","",IF(COUNTIFS(BD!$A$3:$A$5001,AE$3,BD!$B$3:$B$5001,$A$49,BD!$L$3:$L$5001,"&lt;&gt;")=0,"",SUMIFS(BD!$L$3:$L$5001,BD!$A$3:$A$5001,AE$3,BD!$B$3:$B$5001,$A$49)))</f>
        <v/>
      </c>
      <c r="AF52" s="185" t="str">
        <f>IF(AF$3="","",IF(COUNTIFS(BD!$A$3:$A$5001,AF$3,BD!$B$3:$B$5001,$A$49,BD!$L$3:$L$5001,"&lt;&gt;")=0,"",SUMIFS(BD!$L$3:$L$5001,BD!$A$3:$A$5001,AF$3,BD!$B$3:$B$5001,$A$49)))</f>
        <v/>
      </c>
      <c r="AG52" s="185" t="str">
        <f>IF(AG$3="","",IF(COUNTIFS(BD!$A$3:$A$5001,AG$3,BD!$B$3:$B$5001,$A$49,BD!$L$3:$L$5001,"&lt;&gt;")=0,"",SUMIFS(BD!$L$3:$L$5001,BD!$A$3:$A$5001,AG$3,BD!$B$3:$B$5001,$A$49)))</f>
        <v/>
      </c>
      <c r="AH52" s="185" t="str">
        <f>IF(AH$3="","",IF(COUNTIFS(BD!$A$3:$A$5001,AH$3,BD!$B$3:$B$5001,$A$49,BD!$L$3:$L$5001,"&lt;&gt;")=0,"",SUMIFS(BD!$L$3:$L$5001,BD!$A$3:$A$5001,AH$3,BD!$B$3:$B$5001,$A$49)))</f>
        <v/>
      </c>
      <c r="AI52" s="185" t="str">
        <f>IF(AI$3="","",IF(COUNTIFS(BD!$A$3:$A$5001,AI$3,BD!$B$3:$B$5001,$A$49,BD!$L$3:$L$5001,"&lt;&gt;")=0,"",SUMIFS(BD!$L$3:$L$5001,BD!$A$3:$A$5001,AI$3,BD!$B$3:$B$5001,$A$49)))</f>
        <v/>
      </c>
      <c r="AJ52" s="186" t="str">
        <f>IF(AJ$3="","",IF(COUNTIFS(BD!$A$3:$A$5001,AJ$3,BD!$B$3:$B$5001,$A$49,BD!$L$3:$L$5001,"&lt;&gt;")=0,"",SUMIFS(BD!$L$3:$L$5001,BD!$A$3:$A$5001,AJ$3,BD!$B$3:$B$5001,$A$49)))</f>
        <v/>
      </c>
      <c r="AK52" s="187" t="str">
        <f>IF(COUNT(F52:AJ52)=0,"",SUM(F52:AJ52))</f>
        <v/>
      </c>
    </row>
    <row r="53" ht="15.75" customHeight="1">
      <c r="A53" s="261"/>
      <c r="B53" s="278"/>
      <c r="C53" s="267" t="inlineStr">
        <is>
          <t xml:space="preserve">Pallets Movimentados</t>
        </is>
      </c>
      <c r="D53" s="268" t="str">
        <f>IFERROR(1/(1/INDEX(BD!$AL$38:$BF$38,MATCH($A$49,BD!$AL$22:$BF$22,0))),"")</f>
        <v/>
      </c>
      <c r="E53" s="269"/>
      <c r="F53" s="270" t="str">
        <f>IF(F$3="","",IF(COUNTIFS(BD!$A$3:$A$5001,F$3,BD!$B$3:$B$5001,$A$49,BD!$R$3:$R$5001,"&lt;&gt;")=0,"",SUMIFS(BD!$R$3:$R$5001,BD!$A$3:$A$5001,F$3,BD!$B$3:$B$5001,$A$49)))</f>
        <v/>
      </c>
      <c r="G53" s="271" t="str">
        <f>IF(G$3="","",IF(COUNTIFS(BD!$A$3:$A$5001,G$3,BD!$B$3:$B$5001,$A$49,BD!$R$3:$R$5001,"&lt;&gt;")=0,"",SUMIFS(BD!$R$3:$R$5001,BD!$A$3:$A$5001,G$3,BD!$B$3:$B$5001,$A$49)))</f>
        <v/>
      </c>
      <c r="H53" s="271" t="str">
        <f>IF(H$3="","",IF(COUNTIFS(BD!$A$3:$A$5001,H$3,BD!$B$3:$B$5001,$A$49,BD!$R$3:$R$5001,"&lt;&gt;")=0,"",SUMIFS(BD!$R$3:$R$5001,BD!$A$3:$A$5001,H$3,BD!$B$3:$B$5001,$A$49)))</f>
        <v/>
      </c>
      <c r="I53" s="271" t="str">
        <f>IF(I$3="","",IF(COUNTIFS(BD!$A$3:$A$5001,I$3,BD!$B$3:$B$5001,$A$49,BD!$R$3:$R$5001,"&lt;&gt;")=0,"",SUMIFS(BD!$R$3:$R$5001,BD!$A$3:$A$5001,I$3,BD!$B$3:$B$5001,$A$49)))</f>
        <v/>
      </c>
      <c r="J53" s="271" t="str">
        <f>IF(J$3="","",IF(COUNTIFS(BD!$A$3:$A$5001,J$3,BD!$B$3:$B$5001,$A$49,BD!$R$3:$R$5001,"&lt;&gt;")=0,"",SUMIFS(BD!$R$3:$R$5001,BD!$A$3:$A$5001,J$3,BD!$B$3:$B$5001,$A$49)))</f>
        <v/>
      </c>
      <c r="K53" s="271" t="str">
        <f>IF(K$3="","",IF(COUNTIFS(BD!$A$3:$A$5001,K$3,BD!$B$3:$B$5001,$A$49,BD!$R$3:$R$5001,"&lt;&gt;")=0,"",SUMIFS(BD!$R$3:$R$5001,BD!$A$3:$A$5001,K$3,BD!$B$3:$B$5001,$A$49)))</f>
        <v/>
      </c>
      <c r="L53" s="271" t="str">
        <f>IF(L$3="","",IF(COUNTIFS(BD!$A$3:$A$5001,L$3,BD!$B$3:$B$5001,$A$49,BD!$R$3:$R$5001,"&lt;&gt;")=0,"",SUMIFS(BD!$R$3:$R$5001,BD!$A$3:$A$5001,L$3,BD!$B$3:$B$5001,$A$49)))</f>
        <v/>
      </c>
      <c r="M53" s="271" t="str">
        <f>IF(M$3="","",IF(COUNTIFS(BD!$A$3:$A$5001,M$3,BD!$B$3:$B$5001,$A$49,BD!$R$3:$R$5001,"&lt;&gt;")=0,"",SUMIFS(BD!$R$3:$R$5001,BD!$A$3:$A$5001,M$3,BD!$B$3:$B$5001,$A$49)))</f>
        <v/>
      </c>
      <c r="N53" s="271" t="str">
        <f>IF(N$3="","",IF(COUNTIFS(BD!$A$3:$A$5001,N$3,BD!$B$3:$B$5001,$A$49,BD!$R$3:$R$5001,"&lt;&gt;")=0,"",SUMIFS(BD!$R$3:$R$5001,BD!$A$3:$A$5001,N$3,BD!$B$3:$B$5001,$A$49)))</f>
        <v/>
      </c>
      <c r="O53" s="271" t="str">
        <f>IF(O$3="","",IF(COUNTIFS(BD!$A$3:$A$5001,O$3,BD!$B$3:$B$5001,$A$49,BD!$R$3:$R$5001,"&lt;&gt;")=0,"",SUMIFS(BD!$R$3:$R$5001,BD!$A$3:$A$5001,O$3,BD!$B$3:$B$5001,$A$49)))</f>
        <v/>
      </c>
      <c r="P53" s="271" t="str">
        <f>IF(P$3="","",IF(COUNTIFS(BD!$A$3:$A$5001,P$3,BD!$B$3:$B$5001,$A$49,BD!$R$3:$R$5001,"&lt;&gt;")=0,"",SUMIFS(BD!$R$3:$R$5001,BD!$A$3:$A$5001,P$3,BD!$B$3:$B$5001,$A$49)))</f>
        <v/>
      </c>
      <c r="Q53" s="271" t="str">
        <f>IF(Q$3="","",IF(COUNTIFS(BD!$A$3:$A$5001,Q$3,BD!$B$3:$B$5001,$A$49,BD!$R$3:$R$5001,"&lt;&gt;")=0,"",SUMIFS(BD!$R$3:$R$5001,BD!$A$3:$A$5001,Q$3,BD!$B$3:$B$5001,$A$49)))</f>
        <v/>
      </c>
      <c r="R53" s="271" t="str">
        <f>IF(R$3="","",IF(COUNTIFS(BD!$A$3:$A$5001,R$3,BD!$B$3:$B$5001,$A$49,BD!$R$3:$R$5001,"&lt;&gt;")=0,"",SUMIFS(BD!$R$3:$R$5001,BD!$A$3:$A$5001,R$3,BD!$B$3:$B$5001,$A$49)))</f>
        <v/>
      </c>
      <c r="S53" s="271" t="str">
        <f>IF(S$3="","",IF(COUNTIFS(BD!$A$3:$A$5001,S$3,BD!$B$3:$B$5001,$A$49,BD!$R$3:$R$5001,"&lt;&gt;")=0,"",SUMIFS(BD!$R$3:$R$5001,BD!$A$3:$A$5001,S$3,BD!$B$3:$B$5001,$A$49)))</f>
        <v/>
      </c>
      <c r="T53" s="271" t="str">
        <f>IF(T$3="","",IF(COUNTIFS(BD!$A$3:$A$5001,T$3,BD!$B$3:$B$5001,$A$49,BD!$R$3:$R$5001,"&lt;&gt;")=0,"",SUMIFS(BD!$R$3:$R$5001,BD!$A$3:$A$5001,T$3,BD!$B$3:$B$5001,$A$49)))</f>
        <v/>
      </c>
      <c r="U53" s="271" t="str">
        <f>IF(U$3="","",IF(COUNTIFS(BD!$A$3:$A$5001,U$3,BD!$B$3:$B$5001,$A$49,BD!$R$3:$R$5001,"&lt;&gt;")=0,"",SUMIFS(BD!$R$3:$R$5001,BD!$A$3:$A$5001,U$3,BD!$B$3:$B$5001,$A$49)))</f>
        <v/>
      </c>
      <c r="V53" s="271" t="str">
        <f>IF(V$3="","",IF(COUNTIFS(BD!$A$3:$A$5001,V$3,BD!$B$3:$B$5001,$A$49,BD!$R$3:$R$5001,"&lt;&gt;")=0,"",SUMIFS(BD!$R$3:$R$5001,BD!$A$3:$A$5001,V$3,BD!$B$3:$B$5001,$A$49)))</f>
        <v/>
      </c>
      <c r="W53" s="271" t="str">
        <f>IF(W$3="","",IF(COUNTIFS(BD!$A$3:$A$5001,W$3,BD!$B$3:$B$5001,$A$49,BD!$R$3:$R$5001,"&lt;&gt;")=0,"",SUMIFS(BD!$R$3:$R$5001,BD!$A$3:$A$5001,W$3,BD!$B$3:$B$5001,$A$49)))</f>
        <v/>
      </c>
      <c r="X53" s="271" t="str">
        <f>IF(X$3="","",IF(COUNTIFS(BD!$A$3:$A$5001,X$3,BD!$B$3:$B$5001,$A$49,BD!$R$3:$R$5001,"&lt;&gt;")=0,"",SUMIFS(BD!$R$3:$R$5001,BD!$A$3:$A$5001,X$3,BD!$B$3:$B$5001,$A$49)))</f>
        <v/>
      </c>
      <c r="Y53" s="271" t="str">
        <f>IF(Y$3="","",IF(COUNTIFS(BD!$A$3:$A$5001,Y$3,BD!$B$3:$B$5001,$A$49,BD!$R$3:$R$5001,"&lt;&gt;")=0,"",SUMIFS(BD!$R$3:$R$5001,BD!$A$3:$A$5001,Y$3,BD!$B$3:$B$5001,$A$49)))</f>
        <v/>
      </c>
      <c r="Z53" s="271" t="str">
        <f>IF(Z$3="","",IF(COUNTIFS(BD!$A$3:$A$5001,Z$3,BD!$B$3:$B$5001,$A$49,BD!$R$3:$R$5001,"&lt;&gt;")=0,"",SUMIFS(BD!$R$3:$R$5001,BD!$A$3:$A$5001,Z$3,BD!$B$3:$B$5001,$A$49)))</f>
        <v/>
      </c>
      <c r="AA53" s="271" t="str">
        <f>IF(AA$3="","",IF(COUNTIFS(BD!$A$3:$A$5001,AA$3,BD!$B$3:$B$5001,$A$49,BD!$R$3:$R$5001,"&lt;&gt;")=0,"",SUMIFS(BD!$R$3:$R$5001,BD!$A$3:$A$5001,AA$3,BD!$B$3:$B$5001,$A$49)))</f>
        <v/>
      </c>
      <c r="AB53" s="271" t="str">
        <f>IF(AB$3="","",IF(COUNTIFS(BD!$A$3:$A$5001,AB$3,BD!$B$3:$B$5001,$A$49,BD!$R$3:$R$5001,"&lt;&gt;")=0,"",SUMIFS(BD!$R$3:$R$5001,BD!$A$3:$A$5001,AB$3,BD!$B$3:$B$5001,$A$49)))</f>
        <v/>
      </c>
      <c r="AC53" s="271" t="str">
        <f>IF(AC$3="","",IF(COUNTIFS(BD!$A$3:$A$5001,AC$3,BD!$B$3:$B$5001,$A$49,BD!$R$3:$R$5001,"&lt;&gt;")=0,"",SUMIFS(BD!$R$3:$R$5001,BD!$A$3:$A$5001,AC$3,BD!$B$3:$B$5001,$A$49)))</f>
        <v/>
      </c>
      <c r="AD53" s="271" t="str">
        <f>IF(AD$3="","",IF(COUNTIFS(BD!$A$3:$A$5001,AD$3,BD!$B$3:$B$5001,$A$49,BD!$R$3:$R$5001,"&lt;&gt;")=0,"",SUMIFS(BD!$R$3:$R$5001,BD!$A$3:$A$5001,AD$3,BD!$B$3:$B$5001,$A$49)))</f>
        <v/>
      </c>
      <c r="AE53" s="271" t="str">
        <f>IF(AE$3="","",IF(COUNTIFS(BD!$A$3:$A$5001,AE$3,BD!$B$3:$B$5001,$A$49,BD!$R$3:$R$5001,"&lt;&gt;")=0,"",SUMIFS(BD!$R$3:$R$5001,BD!$A$3:$A$5001,AE$3,BD!$B$3:$B$5001,$A$49)))</f>
        <v/>
      </c>
      <c r="AF53" s="271" t="str">
        <f>IF(AF$3="","",IF(COUNTIFS(BD!$A$3:$A$5001,AF$3,BD!$B$3:$B$5001,$A$49,BD!$R$3:$R$5001,"&lt;&gt;")=0,"",SUMIFS(BD!$R$3:$R$5001,BD!$A$3:$A$5001,AF$3,BD!$B$3:$B$5001,$A$49)))</f>
        <v/>
      </c>
      <c r="AG53" s="271" t="str">
        <f>IF(AG$3="","",IF(COUNTIFS(BD!$A$3:$A$5001,AG$3,BD!$B$3:$B$5001,$A$49,BD!$R$3:$R$5001,"&lt;&gt;")=0,"",SUMIFS(BD!$R$3:$R$5001,BD!$A$3:$A$5001,AG$3,BD!$B$3:$B$5001,$A$49)))</f>
        <v/>
      </c>
      <c r="AH53" s="271" t="str">
        <f>IF(AH$3="","",IF(COUNTIFS(BD!$A$3:$A$5001,AH$3,BD!$B$3:$B$5001,$A$49,BD!$R$3:$R$5001,"&lt;&gt;")=0,"",SUMIFS(BD!$R$3:$R$5001,BD!$A$3:$A$5001,AH$3,BD!$B$3:$B$5001,$A$49)))</f>
        <v/>
      </c>
      <c r="AI53" s="271" t="str">
        <f>IF(AI$3="","",IF(COUNTIFS(BD!$A$3:$A$5001,AI$3,BD!$B$3:$B$5001,$A$49,BD!$R$3:$R$5001,"&lt;&gt;")=0,"",SUMIFS(BD!$R$3:$R$5001,BD!$A$3:$A$5001,AI$3,BD!$B$3:$B$5001,$A$49)))</f>
        <v/>
      </c>
      <c r="AJ53" s="272" t="str">
        <f>IF(AJ$3="","",IF(COUNTIFS(BD!$A$3:$A$5001,AJ$3,BD!$B$3:$B$5001,$A$49,BD!$R$3:$R$5001,"&lt;&gt;")=0,"",SUMIFS(BD!$R$3:$R$5001,BD!$A$3:$A$5001,AJ$3,BD!$B$3:$B$5001,$A$49)))</f>
        <v/>
      </c>
      <c r="AK53" s="273" t="str">
        <f>IF(COUNT(F53:AJ53)=0,"",SUM(F53:AJ53))</f>
        <v/>
      </c>
    </row>
    <row r="54" ht="15.75" customHeight="1">
      <c r="A54" s="261"/>
      <c r="B54" s="252"/>
      <c r="C54" s="188" t="inlineStr">
        <is>
          <t xml:space="preserve">Pedidos Expedidos</t>
        </is>
      </c>
      <c r="D54" s="189" t="str">
        <f>IFERROR(1/(1/INDEX(BD!$AL$33:$BF$33,MATCH($A$49,BD!$AL$22:$BF$22,0))),"")</f>
        <v/>
      </c>
      <c r="E54" s="190"/>
      <c r="F54" s="191" t="str">
        <f>IF(F$3="","",IF(COUNTIFS(BD!$A$3:$A$5001,F$3,BD!$B$3:$B$5001,$A$49,BD!$M$3:$M$5001,"&lt;&gt;")=0,"",SUMIFS(BD!$M$3:$M$5001,BD!$A$3:$A$5001,F$3,BD!$B$3:$B$5001,$A$49)))</f>
        <v/>
      </c>
      <c r="G54" s="192" t="str">
        <f>IF(G$3="","",IF(COUNTIFS(BD!$A$3:$A$5001,G$3,BD!$B$3:$B$5001,$A$49,BD!$M$3:$M$5001,"&lt;&gt;")=0,"",SUMIFS(BD!$M$3:$M$5001,BD!$A$3:$A$5001,G$3,BD!$B$3:$B$5001,$A$49)))</f>
        <v/>
      </c>
      <c r="H54" s="192" t="str">
        <f>IF(H$3="","",IF(COUNTIFS(BD!$A$3:$A$5001,H$3,BD!$B$3:$B$5001,$A$49,BD!$M$3:$M$5001,"&lt;&gt;")=0,"",SUMIFS(BD!$M$3:$M$5001,BD!$A$3:$A$5001,H$3,BD!$B$3:$B$5001,$A$49)))</f>
        <v/>
      </c>
      <c r="I54" s="192" t="str">
        <f>IF(I$3="","",IF(COUNTIFS(BD!$A$3:$A$5001,I$3,BD!$B$3:$B$5001,$A$49,BD!$M$3:$M$5001,"&lt;&gt;")=0,"",SUMIFS(BD!$M$3:$M$5001,BD!$A$3:$A$5001,I$3,BD!$B$3:$B$5001,$A$49)))</f>
        <v/>
      </c>
      <c r="J54" s="192" t="str">
        <f>IF(J$3="","",IF(COUNTIFS(BD!$A$3:$A$5001,J$3,BD!$B$3:$B$5001,$A$49,BD!$M$3:$M$5001,"&lt;&gt;")=0,"",SUMIFS(BD!$M$3:$M$5001,BD!$A$3:$A$5001,J$3,BD!$B$3:$B$5001,$A$49)))</f>
        <v/>
      </c>
      <c r="K54" s="192" t="str">
        <f>IF(K$3="","",IF(COUNTIFS(BD!$A$3:$A$5001,K$3,BD!$B$3:$B$5001,$A$49,BD!$M$3:$M$5001,"&lt;&gt;")=0,"",SUMIFS(BD!$M$3:$M$5001,BD!$A$3:$A$5001,K$3,BD!$B$3:$B$5001,$A$49)))</f>
        <v/>
      </c>
      <c r="L54" s="192" t="str">
        <f>IF(L$3="","",IF(COUNTIFS(BD!$A$3:$A$5001,L$3,BD!$B$3:$B$5001,$A$49,BD!$M$3:$M$5001,"&lt;&gt;")=0,"",SUMIFS(BD!$M$3:$M$5001,BD!$A$3:$A$5001,L$3,BD!$B$3:$B$5001,$A$49)))</f>
        <v/>
      </c>
      <c r="M54" s="192" t="str">
        <f>IF(M$3="","",IF(COUNTIFS(BD!$A$3:$A$5001,M$3,BD!$B$3:$B$5001,$A$49,BD!$M$3:$M$5001,"&lt;&gt;")=0,"",SUMIFS(BD!$M$3:$M$5001,BD!$A$3:$A$5001,M$3,BD!$B$3:$B$5001,$A$49)))</f>
        <v/>
      </c>
      <c r="N54" s="192" t="str">
        <f>IF(N$3="","",IF(COUNTIFS(BD!$A$3:$A$5001,N$3,BD!$B$3:$B$5001,$A$49,BD!$M$3:$M$5001,"&lt;&gt;")=0,"",SUMIFS(BD!$M$3:$M$5001,BD!$A$3:$A$5001,N$3,BD!$B$3:$B$5001,$A$49)))</f>
        <v/>
      </c>
      <c r="O54" s="192" t="str">
        <f>IF(O$3="","",IF(COUNTIFS(BD!$A$3:$A$5001,O$3,BD!$B$3:$B$5001,$A$49,BD!$M$3:$M$5001,"&lt;&gt;")=0,"",SUMIFS(BD!$M$3:$M$5001,BD!$A$3:$A$5001,O$3,BD!$B$3:$B$5001,$A$49)))</f>
        <v/>
      </c>
      <c r="P54" s="192" t="str">
        <f>IF(P$3="","",IF(COUNTIFS(BD!$A$3:$A$5001,P$3,BD!$B$3:$B$5001,$A$49,BD!$M$3:$M$5001,"&lt;&gt;")=0,"",SUMIFS(BD!$M$3:$M$5001,BD!$A$3:$A$5001,P$3,BD!$B$3:$B$5001,$A$49)))</f>
        <v/>
      </c>
      <c r="Q54" s="192" t="str">
        <f>IF(Q$3="","",IF(COUNTIFS(BD!$A$3:$A$5001,Q$3,BD!$B$3:$B$5001,$A$49,BD!$M$3:$M$5001,"&lt;&gt;")=0,"",SUMIFS(BD!$M$3:$M$5001,BD!$A$3:$A$5001,Q$3,BD!$B$3:$B$5001,$A$49)))</f>
        <v/>
      </c>
      <c r="R54" s="192" t="str">
        <f>IF(R$3="","",IF(COUNTIFS(BD!$A$3:$A$5001,R$3,BD!$B$3:$B$5001,$A$49,BD!$M$3:$M$5001,"&lt;&gt;")=0,"",SUMIFS(BD!$M$3:$M$5001,BD!$A$3:$A$5001,R$3,BD!$B$3:$B$5001,$A$49)))</f>
        <v/>
      </c>
      <c r="S54" s="192" t="str">
        <f>IF(S$3="","",IF(COUNTIFS(BD!$A$3:$A$5001,S$3,BD!$B$3:$B$5001,$A$49,BD!$M$3:$M$5001,"&lt;&gt;")=0,"",SUMIFS(BD!$M$3:$M$5001,BD!$A$3:$A$5001,S$3,BD!$B$3:$B$5001,$A$49)))</f>
        <v/>
      </c>
      <c r="T54" s="192" t="str">
        <f>IF(T$3="","",IF(COUNTIFS(BD!$A$3:$A$5001,T$3,BD!$B$3:$B$5001,$A$49,BD!$M$3:$M$5001,"&lt;&gt;")=0,"",SUMIFS(BD!$M$3:$M$5001,BD!$A$3:$A$5001,T$3,BD!$B$3:$B$5001,$A$49)))</f>
        <v/>
      </c>
      <c r="U54" s="192" t="str">
        <f>IF(U$3="","",IF(COUNTIFS(BD!$A$3:$A$5001,U$3,BD!$B$3:$B$5001,$A$49,BD!$M$3:$M$5001,"&lt;&gt;")=0,"",SUMIFS(BD!$M$3:$M$5001,BD!$A$3:$A$5001,U$3,BD!$B$3:$B$5001,$A$49)))</f>
        <v/>
      </c>
      <c r="V54" s="192" t="str">
        <f>IF(V$3="","",IF(COUNTIFS(BD!$A$3:$A$5001,V$3,BD!$B$3:$B$5001,$A$49,BD!$M$3:$M$5001,"&lt;&gt;")=0,"",SUMIFS(BD!$M$3:$M$5001,BD!$A$3:$A$5001,V$3,BD!$B$3:$B$5001,$A$49)))</f>
        <v/>
      </c>
      <c r="W54" s="192" t="str">
        <f>IF(W$3="","",IF(COUNTIFS(BD!$A$3:$A$5001,W$3,BD!$B$3:$B$5001,$A$49,BD!$M$3:$M$5001,"&lt;&gt;")=0,"",SUMIFS(BD!$M$3:$M$5001,BD!$A$3:$A$5001,W$3,BD!$B$3:$B$5001,$A$49)))</f>
        <v/>
      </c>
      <c r="X54" s="192" t="str">
        <f>IF(X$3="","",IF(COUNTIFS(BD!$A$3:$A$5001,X$3,BD!$B$3:$B$5001,$A$49,BD!$M$3:$M$5001,"&lt;&gt;")=0,"",SUMIFS(BD!$M$3:$M$5001,BD!$A$3:$A$5001,X$3,BD!$B$3:$B$5001,$A$49)))</f>
        <v/>
      </c>
      <c r="Y54" s="192" t="str">
        <f>IF(Y$3="","",IF(COUNTIFS(BD!$A$3:$A$5001,Y$3,BD!$B$3:$B$5001,$A$49,BD!$M$3:$M$5001,"&lt;&gt;")=0,"",SUMIFS(BD!$M$3:$M$5001,BD!$A$3:$A$5001,Y$3,BD!$B$3:$B$5001,$A$49)))</f>
        <v/>
      </c>
      <c r="Z54" s="192" t="str">
        <f>IF(Z$3="","",IF(COUNTIFS(BD!$A$3:$A$5001,Z$3,BD!$B$3:$B$5001,$A$49,BD!$M$3:$M$5001,"&lt;&gt;")=0,"",SUMIFS(BD!$M$3:$M$5001,BD!$A$3:$A$5001,Z$3,BD!$B$3:$B$5001,$A$49)))</f>
        <v/>
      </c>
      <c r="AA54" s="192" t="str">
        <f>IF(AA$3="","",IF(COUNTIFS(BD!$A$3:$A$5001,AA$3,BD!$B$3:$B$5001,$A$49,BD!$M$3:$M$5001,"&lt;&gt;")=0,"",SUMIFS(BD!$M$3:$M$5001,BD!$A$3:$A$5001,AA$3,BD!$B$3:$B$5001,$A$49)))</f>
        <v/>
      </c>
      <c r="AB54" s="192" t="str">
        <f>IF(AB$3="","",IF(COUNTIFS(BD!$A$3:$A$5001,AB$3,BD!$B$3:$B$5001,$A$49,BD!$M$3:$M$5001,"&lt;&gt;")=0,"",SUMIFS(BD!$M$3:$M$5001,BD!$A$3:$A$5001,AB$3,BD!$B$3:$B$5001,$A$49)))</f>
        <v/>
      </c>
      <c r="AC54" s="192" t="str">
        <f>IF(AC$3="","",IF(COUNTIFS(BD!$A$3:$A$5001,AC$3,BD!$B$3:$B$5001,$A$49,BD!$M$3:$M$5001,"&lt;&gt;")=0,"",SUMIFS(BD!$M$3:$M$5001,BD!$A$3:$A$5001,AC$3,BD!$B$3:$B$5001,$A$49)))</f>
        <v/>
      </c>
      <c r="AD54" s="192" t="str">
        <f>IF(AD$3="","",IF(COUNTIFS(BD!$A$3:$A$5001,AD$3,BD!$B$3:$B$5001,$A$49,BD!$M$3:$M$5001,"&lt;&gt;")=0,"",SUMIFS(BD!$M$3:$M$5001,BD!$A$3:$A$5001,AD$3,BD!$B$3:$B$5001,$A$49)))</f>
        <v/>
      </c>
      <c r="AE54" s="192" t="str">
        <f>IF(AE$3="","",IF(COUNTIFS(BD!$A$3:$A$5001,AE$3,BD!$B$3:$B$5001,$A$49,BD!$M$3:$M$5001,"&lt;&gt;")=0,"",SUMIFS(BD!$M$3:$M$5001,BD!$A$3:$A$5001,AE$3,BD!$B$3:$B$5001,$A$49)))</f>
        <v/>
      </c>
      <c r="AF54" s="192" t="str">
        <f>IF(AF$3="","",IF(COUNTIFS(BD!$A$3:$A$5001,AF$3,BD!$B$3:$B$5001,$A$49,BD!$M$3:$M$5001,"&lt;&gt;")=0,"",SUMIFS(BD!$M$3:$M$5001,BD!$A$3:$A$5001,AF$3,BD!$B$3:$B$5001,$A$49)))</f>
        <v/>
      </c>
      <c r="AG54" s="192" t="str">
        <f>IF(AG$3="","",IF(COUNTIFS(BD!$A$3:$A$5001,AG$3,BD!$B$3:$B$5001,$A$49,BD!$M$3:$M$5001,"&lt;&gt;")=0,"",SUMIFS(BD!$M$3:$M$5001,BD!$A$3:$A$5001,AG$3,BD!$B$3:$B$5001,$A$49)))</f>
        <v/>
      </c>
      <c r="AH54" s="192" t="str">
        <f>IF(AH$3="","",IF(COUNTIFS(BD!$A$3:$A$5001,AH$3,BD!$B$3:$B$5001,$A$49,BD!$M$3:$M$5001,"&lt;&gt;")=0,"",SUMIFS(BD!$M$3:$M$5001,BD!$A$3:$A$5001,AH$3,BD!$B$3:$B$5001,$A$49)))</f>
        <v/>
      </c>
      <c r="AI54" s="192" t="str">
        <f>IF(AI$3="","",IF(COUNTIFS(BD!$A$3:$A$5001,AI$3,BD!$B$3:$B$5001,$A$49,BD!$M$3:$M$5001,"&lt;&gt;")=0,"",SUMIFS(BD!$M$3:$M$5001,BD!$A$3:$A$5001,AI$3,BD!$B$3:$B$5001,$A$49)))</f>
        <v/>
      </c>
      <c r="AJ54" s="193" t="str">
        <f>IF(AJ$3="","",IF(COUNTIFS(BD!$A$3:$A$5001,AJ$3,BD!$B$3:$B$5001,$A$49,BD!$M$3:$M$5001,"&lt;&gt;")=0,"",SUMIFS(BD!$M$3:$M$5001,BD!$A$3:$A$5001,AJ$3,BD!$B$3:$B$5001,$A$49)))</f>
        <v/>
      </c>
      <c r="AK54" s="189" t="str">
        <f>IF(COUNT(F54:AJ54)=0,"",SUM(F54:AJ54))</f>
        <v/>
      </c>
    </row>
    <row r="55" ht="15.75" customHeight="1">
      <c r="A55" s="261"/>
      <c r="B55" s="253" t="inlineStr">
        <is>
          <t xml:space="preserve">NC</t>
        </is>
      </c>
      <c r="C55" s="194" t="inlineStr">
        <is>
          <t xml:space="preserve">Incidentes</t>
        </is>
      </c>
      <c r="D55" s="195" t="str">
        <f>IFERROR(1/(1/INDEX(BD!$AL$40:$BF$40,MATCH($A$49,BD!$AL$22:$BF$22,0))),"")</f>
        <v/>
      </c>
      <c r="E55" s="196"/>
      <c r="F55" s="197" t="str">
        <f>IF(F$3="","",IF(COUNTIFS(BD!$A$3:$A$5001,F$3,BD!$B$3:$B$5001,$A$49,BD!$T$3:$T$5001,"&lt;&gt;")=0,"",SUMIFS(BD!$T$3:$T$5001,BD!$A$3:$A$5001,F$3,BD!$B$3:$B$5001,$A$49)))</f>
        <v/>
      </c>
      <c r="G55" s="198" t="str">
        <f>IF(G$3="","",IF(COUNTIFS(BD!$A$3:$A$5001,G$3,BD!$B$3:$B$5001,$A$49,BD!$T$3:$T$5001,"&lt;&gt;")=0,"",SUMIFS(BD!$T$3:$T$5001,BD!$A$3:$A$5001,G$3,BD!$B$3:$B$5001,$A$49)))</f>
        <v/>
      </c>
      <c r="H55" s="198" t="str">
        <f>IF(H$3="","",IF(COUNTIFS(BD!$A$3:$A$5001,H$3,BD!$B$3:$B$5001,$A$49,BD!$T$3:$T$5001,"&lt;&gt;")=0,"",SUMIFS(BD!$T$3:$T$5001,BD!$A$3:$A$5001,H$3,BD!$B$3:$B$5001,$A$49)))</f>
        <v/>
      </c>
      <c r="I55" s="198" t="str">
        <f>IF(I$3="","",IF(COUNTIFS(BD!$A$3:$A$5001,I$3,BD!$B$3:$B$5001,$A$49,BD!$T$3:$T$5001,"&lt;&gt;")=0,"",SUMIFS(BD!$T$3:$T$5001,BD!$A$3:$A$5001,I$3,BD!$B$3:$B$5001,$A$49)))</f>
        <v/>
      </c>
      <c r="J55" s="198" t="str">
        <f>IF(J$3="","",IF(COUNTIFS(BD!$A$3:$A$5001,J$3,BD!$B$3:$B$5001,$A$49,BD!$T$3:$T$5001,"&lt;&gt;")=0,"",SUMIFS(BD!$T$3:$T$5001,BD!$A$3:$A$5001,J$3,BD!$B$3:$B$5001,$A$49)))</f>
        <v/>
      </c>
      <c r="K55" s="198" t="str">
        <f>IF(K$3="","",IF(COUNTIFS(BD!$A$3:$A$5001,K$3,BD!$B$3:$B$5001,$A$49,BD!$T$3:$T$5001,"&lt;&gt;")=0,"",SUMIFS(BD!$T$3:$T$5001,BD!$A$3:$A$5001,K$3,BD!$B$3:$B$5001,$A$49)))</f>
        <v/>
      </c>
      <c r="L55" s="198" t="str">
        <f>IF(L$3="","",IF(COUNTIFS(BD!$A$3:$A$5001,L$3,BD!$B$3:$B$5001,$A$49,BD!$T$3:$T$5001,"&lt;&gt;")=0,"",SUMIFS(BD!$T$3:$T$5001,BD!$A$3:$A$5001,L$3,BD!$B$3:$B$5001,$A$49)))</f>
        <v/>
      </c>
      <c r="M55" s="198" t="str">
        <f>IF(M$3="","",IF(COUNTIFS(BD!$A$3:$A$5001,M$3,BD!$B$3:$B$5001,$A$49,BD!$T$3:$T$5001,"&lt;&gt;")=0,"",SUMIFS(BD!$T$3:$T$5001,BD!$A$3:$A$5001,M$3,BD!$B$3:$B$5001,$A$49)))</f>
        <v/>
      </c>
      <c r="N55" s="198" t="str">
        <f>IF(N$3="","",IF(COUNTIFS(BD!$A$3:$A$5001,N$3,BD!$B$3:$B$5001,$A$49,BD!$T$3:$T$5001,"&lt;&gt;")=0,"",SUMIFS(BD!$T$3:$T$5001,BD!$A$3:$A$5001,N$3,BD!$B$3:$B$5001,$A$49)))</f>
        <v/>
      </c>
      <c r="O55" s="198" t="str">
        <f>IF(O$3="","",IF(COUNTIFS(BD!$A$3:$A$5001,O$3,BD!$B$3:$B$5001,$A$49,BD!$T$3:$T$5001,"&lt;&gt;")=0,"",SUMIFS(BD!$T$3:$T$5001,BD!$A$3:$A$5001,O$3,BD!$B$3:$B$5001,$A$49)))</f>
        <v/>
      </c>
      <c r="P55" s="198" t="str">
        <f>IF(P$3="","",IF(COUNTIFS(BD!$A$3:$A$5001,P$3,BD!$B$3:$B$5001,$A$49,BD!$T$3:$T$5001,"&lt;&gt;")=0,"",SUMIFS(BD!$T$3:$T$5001,BD!$A$3:$A$5001,P$3,BD!$B$3:$B$5001,$A$49)))</f>
        <v/>
      </c>
      <c r="Q55" s="198" t="str">
        <f>IF(Q$3="","",IF(COUNTIFS(BD!$A$3:$A$5001,Q$3,BD!$B$3:$B$5001,$A$49,BD!$T$3:$T$5001,"&lt;&gt;")=0,"",SUMIFS(BD!$T$3:$T$5001,BD!$A$3:$A$5001,Q$3,BD!$B$3:$B$5001,$A$49)))</f>
        <v/>
      </c>
      <c r="R55" s="198" t="str">
        <f>IF(R$3="","",IF(COUNTIFS(BD!$A$3:$A$5001,R$3,BD!$B$3:$B$5001,$A$49,BD!$T$3:$T$5001,"&lt;&gt;")=0,"",SUMIFS(BD!$T$3:$T$5001,BD!$A$3:$A$5001,R$3,BD!$B$3:$B$5001,$A$49)))</f>
        <v/>
      </c>
      <c r="S55" s="198" t="str">
        <f>IF(S$3="","",IF(COUNTIFS(BD!$A$3:$A$5001,S$3,BD!$B$3:$B$5001,$A$49,BD!$T$3:$T$5001,"&lt;&gt;")=0,"",SUMIFS(BD!$T$3:$T$5001,BD!$A$3:$A$5001,S$3,BD!$B$3:$B$5001,$A$49)))</f>
        <v/>
      </c>
      <c r="T55" s="198" t="str">
        <f>IF(T$3="","",IF(COUNTIFS(BD!$A$3:$A$5001,T$3,BD!$B$3:$B$5001,$A$49,BD!$T$3:$T$5001,"&lt;&gt;")=0,"",SUMIFS(BD!$T$3:$T$5001,BD!$A$3:$A$5001,T$3,BD!$B$3:$B$5001,$A$49)))</f>
        <v/>
      </c>
      <c r="U55" s="198" t="str">
        <f>IF(U$3="","",IF(COUNTIFS(BD!$A$3:$A$5001,U$3,BD!$B$3:$B$5001,$A$49,BD!$T$3:$T$5001,"&lt;&gt;")=0,"",SUMIFS(BD!$T$3:$T$5001,BD!$A$3:$A$5001,U$3,BD!$B$3:$B$5001,$A$49)))</f>
        <v/>
      </c>
      <c r="V55" s="198" t="str">
        <f>IF(V$3="","",IF(COUNTIFS(BD!$A$3:$A$5001,V$3,BD!$B$3:$B$5001,$A$49,BD!$T$3:$T$5001,"&lt;&gt;")=0,"",SUMIFS(BD!$T$3:$T$5001,BD!$A$3:$A$5001,V$3,BD!$B$3:$B$5001,$A$49)))</f>
        <v/>
      </c>
      <c r="W55" s="198" t="str">
        <f>IF(W$3="","",IF(COUNTIFS(BD!$A$3:$A$5001,W$3,BD!$B$3:$B$5001,$A$49,BD!$T$3:$T$5001,"&lt;&gt;")=0,"",SUMIFS(BD!$T$3:$T$5001,BD!$A$3:$A$5001,W$3,BD!$B$3:$B$5001,$A$49)))</f>
        <v/>
      </c>
      <c r="X55" s="198" t="str">
        <f>IF(X$3="","",IF(COUNTIFS(BD!$A$3:$A$5001,X$3,BD!$B$3:$B$5001,$A$49,BD!$T$3:$T$5001,"&lt;&gt;")=0,"",SUMIFS(BD!$T$3:$T$5001,BD!$A$3:$A$5001,X$3,BD!$B$3:$B$5001,$A$49)))</f>
        <v/>
      </c>
      <c r="Y55" s="198" t="str">
        <f>IF(Y$3="","",IF(COUNTIFS(BD!$A$3:$A$5001,Y$3,BD!$B$3:$B$5001,$A$49,BD!$T$3:$T$5001,"&lt;&gt;")=0,"",SUMIFS(BD!$T$3:$T$5001,BD!$A$3:$A$5001,Y$3,BD!$B$3:$B$5001,$A$49)))</f>
        <v/>
      </c>
      <c r="Z55" s="198" t="str">
        <f>IF(Z$3="","",IF(COUNTIFS(BD!$A$3:$A$5001,Z$3,BD!$B$3:$B$5001,$A$49,BD!$T$3:$T$5001,"&lt;&gt;")=0,"",SUMIFS(BD!$T$3:$T$5001,BD!$A$3:$A$5001,Z$3,BD!$B$3:$B$5001,$A$49)))</f>
        <v/>
      </c>
      <c r="AA55" s="198" t="str">
        <f>IF(AA$3="","",IF(COUNTIFS(BD!$A$3:$A$5001,AA$3,BD!$B$3:$B$5001,$A$49,BD!$T$3:$T$5001,"&lt;&gt;")=0,"",SUMIFS(BD!$T$3:$T$5001,BD!$A$3:$A$5001,AA$3,BD!$B$3:$B$5001,$A$49)))</f>
        <v/>
      </c>
      <c r="AB55" s="198" t="str">
        <f>IF(AB$3="","",IF(COUNTIFS(BD!$A$3:$A$5001,AB$3,BD!$B$3:$B$5001,$A$49,BD!$T$3:$T$5001,"&lt;&gt;")=0,"",SUMIFS(BD!$T$3:$T$5001,BD!$A$3:$A$5001,AB$3,BD!$B$3:$B$5001,$A$49)))</f>
        <v/>
      </c>
      <c r="AC55" s="198" t="str">
        <f>IF(AC$3="","",IF(COUNTIFS(BD!$A$3:$A$5001,AC$3,BD!$B$3:$B$5001,$A$49,BD!$T$3:$T$5001,"&lt;&gt;")=0,"",SUMIFS(BD!$T$3:$T$5001,BD!$A$3:$A$5001,AC$3,BD!$B$3:$B$5001,$A$49)))</f>
        <v/>
      </c>
      <c r="AD55" s="198" t="str">
        <f>IF(AD$3="","",IF(COUNTIFS(BD!$A$3:$A$5001,AD$3,BD!$B$3:$B$5001,$A$49,BD!$T$3:$T$5001,"&lt;&gt;")=0,"",SUMIFS(BD!$T$3:$T$5001,BD!$A$3:$A$5001,AD$3,BD!$B$3:$B$5001,$A$49)))</f>
        <v/>
      </c>
      <c r="AE55" s="198" t="str">
        <f>IF(AE$3="","",IF(COUNTIFS(BD!$A$3:$A$5001,AE$3,BD!$B$3:$B$5001,$A$49,BD!$T$3:$T$5001,"&lt;&gt;")=0,"",SUMIFS(BD!$T$3:$T$5001,BD!$A$3:$A$5001,AE$3,BD!$B$3:$B$5001,$A$49)))</f>
        <v/>
      </c>
      <c r="AF55" s="198" t="str">
        <f>IF(AF$3="","",IF(COUNTIFS(BD!$A$3:$A$5001,AF$3,BD!$B$3:$B$5001,$A$49,BD!$T$3:$T$5001,"&lt;&gt;")=0,"",SUMIFS(BD!$T$3:$T$5001,BD!$A$3:$A$5001,AF$3,BD!$B$3:$B$5001,$A$49)))</f>
        <v/>
      </c>
      <c r="AG55" s="198" t="str">
        <f>IF(AG$3="","",IF(COUNTIFS(BD!$A$3:$A$5001,AG$3,BD!$B$3:$B$5001,$A$49,BD!$T$3:$T$5001,"&lt;&gt;")=0,"",SUMIFS(BD!$T$3:$T$5001,BD!$A$3:$A$5001,AG$3,BD!$B$3:$B$5001,$A$49)))</f>
        <v/>
      </c>
      <c r="AH55" s="198" t="str">
        <f>IF(AH$3="","",IF(COUNTIFS(BD!$A$3:$A$5001,AH$3,BD!$B$3:$B$5001,$A$49,BD!$T$3:$T$5001,"&lt;&gt;")=0,"",SUMIFS(BD!$T$3:$T$5001,BD!$A$3:$A$5001,AH$3,BD!$B$3:$B$5001,$A$49)))</f>
        <v/>
      </c>
      <c r="AI55" s="198" t="str">
        <f>IF(AI$3="","",IF(COUNTIFS(BD!$A$3:$A$5001,AI$3,BD!$B$3:$B$5001,$A$49,BD!$T$3:$T$5001,"&lt;&gt;")=0,"",SUMIFS(BD!$T$3:$T$5001,BD!$A$3:$A$5001,AI$3,BD!$B$3:$B$5001,$A$49)))</f>
        <v/>
      </c>
      <c r="AJ55" s="199" t="str">
        <f>IF(AJ$3="","",IF(COUNTIFS(BD!$A$3:$A$5001,AJ$3,BD!$B$3:$B$5001,$A$49,BD!$T$3:$T$5001,"&lt;&gt;")=0,"",SUMIFS(BD!$T$3:$T$5001,BD!$A$3:$A$5001,AJ$3,BD!$B$3:$B$5001,$A$49)))</f>
        <v/>
      </c>
      <c r="AK55" s="200" t="str">
        <f>IF(COUNT(F55:AJ55)=0,"",SUM(F55:AJ55))</f>
        <v/>
      </c>
    </row>
    <row r="56" ht="15.75" customHeight="1">
      <c r="A56" s="261"/>
      <c r="B56" s="254"/>
      <c r="C56" s="201" t="inlineStr">
        <is>
          <t xml:space="preserve">No show</t>
        </is>
      </c>
      <c r="D56" s="202" t="str">
        <f>IFERROR(1/(1/INDEX(BD!$AL$41:$BF$41,MATCH($A$49,BD!$AL$22:$BF$22,0))),"")</f>
        <v/>
      </c>
      <c r="E56" s="203"/>
      <c r="F56" s="204" t="str">
        <f>IF(F$3="","",IF(COUNTIFS(BD!$A$3:$A$5001,F$3,BD!$B$3:$B$5001,$A$49,BD!$U$3:$U$5001,"&lt;&gt;")=0,"",SUMIFS(BD!$U$3:$U$5001,BD!$A$3:$A$5001,F$3,BD!$B$3:$B$5001,$A$49)))</f>
        <v/>
      </c>
      <c r="G56" s="205" t="str">
        <f>IF(G$3="","",IF(COUNTIFS(BD!$A$3:$A$5001,G$3,BD!$B$3:$B$5001,$A$49,BD!$U$3:$U$5001,"&lt;&gt;")=0,"",SUMIFS(BD!$U$3:$U$5001,BD!$A$3:$A$5001,G$3,BD!$B$3:$B$5001,$A$49)))</f>
        <v/>
      </c>
      <c r="H56" s="205" t="str">
        <f>IF(H$3="","",IF(COUNTIFS(BD!$A$3:$A$5001,H$3,BD!$B$3:$B$5001,$A$49,BD!$U$3:$U$5001,"&lt;&gt;")=0,"",SUMIFS(BD!$U$3:$U$5001,BD!$A$3:$A$5001,H$3,BD!$B$3:$B$5001,$A$49)))</f>
        <v/>
      </c>
      <c r="I56" s="205" t="str">
        <f>IF(I$3="","",IF(COUNTIFS(BD!$A$3:$A$5001,I$3,BD!$B$3:$B$5001,$A$49,BD!$U$3:$U$5001,"&lt;&gt;")=0,"",SUMIFS(BD!$U$3:$U$5001,BD!$A$3:$A$5001,I$3,BD!$B$3:$B$5001,$A$49)))</f>
        <v/>
      </c>
      <c r="J56" s="205" t="str">
        <f>IF(J$3="","",IF(COUNTIFS(BD!$A$3:$A$5001,J$3,BD!$B$3:$B$5001,$A$49,BD!$U$3:$U$5001,"&lt;&gt;")=0,"",SUMIFS(BD!$U$3:$U$5001,BD!$A$3:$A$5001,J$3,BD!$B$3:$B$5001,$A$49)))</f>
        <v/>
      </c>
      <c r="K56" s="205" t="str">
        <f>IF(K$3="","",IF(COUNTIFS(BD!$A$3:$A$5001,K$3,BD!$B$3:$B$5001,$A$49,BD!$U$3:$U$5001,"&lt;&gt;")=0,"",SUMIFS(BD!$U$3:$U$5001,BD!$A$3:$A$5001,K$3,BD!$B$3:$B$5001,$A$49)))</f>
        <v/>
      </c>
      <c r="L56" s="205" t="str">
        <f>IF(L$3="","",IF(COUNTIFS(BD!$A$3:$A$5001,L$3,BD!$B$3:$B$5001,$A$49,BD!$U$3:$U$5001,"&lt;&gt;")=0,"",SUMIFS(BD!$U$3:$U$5001,BD!$A$3:$A$5001,L$3,BD!$B$3:$B$5001,$A$49)))</f>
        <v/>
      </c>
      <c r="M56" s="205" t="str">
        <f>IF(M$3="","",IF(COUNTIFS(BD!$A$3:$A$5001,M$3,BD!$B$3:$B$5001,$A$49,BD!$U$3:$U$5001,"&lt;&gt;")=0,"",SUMIFS(BD!$U$3:$U$5001,BD!$A$3:$A$5001,M$3,BD!$B$3:$B$5001,$A$49)))</f>
        <v/>
      </c>
      <c r="N56" s="205" t="str">
        <f>IF(N$3="","",IF(COUNTIFS(BD!$A$3:$A$5001,N$3,BD!$B$3:$B$5001,$A$49,BD!$U$3:$U$5001,"&lt;&gt;")=0,"",SUMIFS(BD!$U$3:$U$5001,BD!$A$3:$A$5001,N$3,BD!$B$3:$B$5001,$A$49)))</f>
        <v/>
      </c>
      <c r="O56" s="205" t="str">
        <f>IF(O$3="","",IF(COUNTIFS(BD!$A$3:$A$5001,O$3,BD!$B$3:$B$5001,$A$49,BD!$U$3:$U$5001,"&lt;&gt;")=0,"",SUMIFS(BD!$U$3:$U$5001,BD!$A$3:$A$5001,O$3,BD!$B$3:$B$5001,$A$49)))</f>
        <v/>
      </c>
      <c r="P56" s="205" t="str">
        <f>IF(P$3="","",IF(COUNTIFS(BD!$A$3:$A$5001,P$3,BD!$B$3:$B$5001,$A$49,BD!$U$3:$U$5001,"&lt;&gt;")=0,"",SUMIFS(BD!$U$3:$U$5001,BD!$A$3:$A$5001,P$3,BD!$B$3:$B$5001,$A$49)))</f>
        <v/>
      </c>
      <c r="Q56" s="205" t="str">
        <f>IF(Q$3="","",IF(COUNTIFS(BD!$A$3:$A$5001,Q$3,BD!$B$3:$B$5001,$A$49,BD!$U$3:$U$5001,"&lt;&gt;")=0,"",SUMIFS(BD!$U$3:$U$5001,BD!$A$3:$A$5001,Q$3,BD!$B$3:$B$5001,$A$49)))</f>
        <v/>
      </c>
      <c r="R56" s="205" t="str">
        <f>IF(R$3="","",IF(COUNTIFS(BD!$A$3:$A$5001,R$3,BD!$B$3:$B$5001,$A$49,BD!$U$3:$U$5001,"&lt;&gt;")=0,"",SUMIFS(BD!$U$3:$U$5001,BD!$A$3:$A$5001,R$3,BD!$B$3:$B$5001,$A$49)))</f>
        <v/>
      </c>
      <c r="S56" s="205" t="str">
        <f>IF(S$3="","",IF(COUNTIFS(BD!$A$3:$A$5001,S$3,BD!$B$3:$B$5001,$A$49,BD!$U$3:$U$5001,"&lt;&gt;")=0,"",SUMIFS(BD!$U$3:$U$5001,BD!$A$3:$A$5001,S$3,BD!$B$3:$B$5001,$A$49)))</f>
        <v/>
      </c>
      <c r="T56" s="205" t="str">
        <f>IF(T$3="","",IF(COUNTIFS(BD!$A$3:$A$5001,T$3,BD!$B$3:$B$5001,$A$49,BD!$U$3:$U$5001,"&lt;&gt;")=0,"",SUMIFS(BD!$U$3:$U$5001,BD!$A$3:$A$5001,T$3,BD!$B$3:$B$5001,$A$49)))</f>
        <v/>
      </c>
      <c r="U56" s="205" t="str">
        <f>IF(U$3="","",IF(COUNTIFS(BD!$A$3:$A$5001,U$3,BD!$B$3:$B$5001,$A$49,BD!$U$3:$U$5001,"&lt;&gt;")=0,"",SUMIFS(BD!$U$3:$U$5001,BD!$A$3:$A$5001,U$3,BD!$B$3:$B$5001,$A$49)))</f>
        <v/>
      </c>
      <c r="V56" s="205" t="str">
        <f>IF(V$3="","",IF(COUNTIFS(BD!$A$3:$A$5001,V$3,BD!$B$3:$B$5001,$A$49,BD!$U$3:$U$5001,"&lt;&gt;")=0,"",SUMIFS(BD!$U$3:$U$5001,BD!$A$3:$A$5001,V$3,BD!$B$3:$B$5001,$A$49)))</f>
        <v/>
      </c>
      <c r="W56" s="205" t="str">
        <f>IF(W$3="","",IF(COUNTIFS(BD!$A$3:$A$5001,W$3,BD!$B$3:$B$5001,$A$49,BD!$U$3:$U$5001,"&lt;&gt;")=0,"",SUMIFS(BD!$U$3:$U$5001,BD!$A$3:$A$5001,W$3,BD!$B$3:$B$5001,$A$49)))</f>
        <v/>
      </c>
      <c r="X56" s="205" t="str">
        <f>IF(X$3="","",IF(COUNTIFS(BD!$A$3:$A$5001,X$3,BD!$B$3:$B$5001,$A$49,BD!$U$3:$U$5001,"&lt;&gt;")=0,"",SUMIFS(BD!$U$3:$U$5001,BD!$A$3:$A$5001,X$3,BD!$B$3:$B$5001,$A$49)))</f>
        <v/>
      </c>
      <c r="Y56" s="205" t="str">
        <f>IF(Y$3="","",IF(COUNTIFS(BD!$A$3:$A$5001,Y$3,BD!$B$3:$B$5001,$A$49,BD!$U$3:$U$5001,"&lt;&gt;")=0,"",SUMIFS(BD!$U$3:$U$5001,BD!$A$3:$A$5001,Y$3,BD!$B$3:$B$5001,$A$49)))</f>
        <v/>
      </c>
      <c r="Z56" s="205" t="str">
        <f>IF(Z$3="","",IF(COUNTIFS(BD!$A$3:$A$5001,Z$3,BD!$B$3:$B$5001,$A$49,BD!$U$3:$U$5001,"&lt;&gt;")=0,"",SUMIFS(BD!$U$3:$U$5001,BD!$A$3:$A$5001,Z$3,BD!$B$3:$B$5001,$A$49)))</f>
        <v/>
      </c>
      <c r="AA56" s="205" t="str">
        <f>IF(AA$3="","",IF(COUNTIFS(BD!$A$3:$A$5001,AA$3,BD!$B$3:$B$5001,$A$49,BD!$U$3:$U$5001,"&lt;&gt;")=0,"",SUMIFS(BD!$U$3:$U$5001,BD!$A$3:$A$5001,AA$3,BD!$B$3:$B$5001,$A$49)))</f>
        <v/>
      </c>
      <c r="AB56" s="205" t="str">
        <f>IF(AB$3="","",IF(COUNTIFS(BD!$A$3:$A$5001,AB$3,BD!$B$3:$B$5001,$A$49,BD!$U$3:$U$5001,"&lt;&gt;")=0,"",SUMIFS(BD!$U$3:$U$5001,BD!$A$3:$A$5001,AB$3,BD!$B$3:$B$5001,$A$49)))</f>
        <v/>
      </c>
      <c r="AC56" s="205" t="str">
        <f>IF(AC$3="","",IF(COUNTIFS(BD!$A$3:$A$5001,AC$3,BD!$B$3:$B$5001,$A$49,BD!$U$3:$U$5001,"&lt;&gt;")=0,"",SUMIFS(BD!$U$3:$U$5001,BD!$A$3:$A$5001,AC$3,BD!$B$3:$B$5001,$A$49)))</f>
        <v/>
      </c>
      <c r="AD56" s="205" t="str">
        <f>IF(AD$3="","",IF(COUNTIFS(BD!$A$3:$A$5001,AD$3,BD!$B$3:$B$5001,$A$49,BD!$U$3:$U$5001,"&lt;&gt;")=0,"",SUMIFS(BD!$U$3:$U$5001,BD!$A$3:$A$5001,AD$3,BD!$B$3:$B$5001,$A$49)))</f>
        <v/>
      </c>
      <c r="AE56" s="205" t="str">
        <f>IF(AE$3="","",IF(COUNTIFS(BD!$A$3:$A$5001,AE$3,BD!$B$3:$B$5001,$A$49,BD!$U$3:$U$5001,"&lt;&gt;")=0,"",SUMIFS(BD!$U$3:$U$5001,BD!$A$3:$A$5001,AE$3,BD!$B$3:$B$5001,$A$49)))</f>
        <v/>
      </c>
      <c r="AF56" s="205" t="str">
        <f>IF(AF$3="","",IF(COUNTIFS(BD!$A$3:$A$5001,AF$3,BD!$B$3:$B$5001,$A$49,BD!$U$3:$U$5001,"&lt;&gt;")=0,"",SUMIFS(BD!$U$3:$U$5001,BD!$A$3:$A$5001,AF$3,BD!$B$3:$B$5001,$A$49)))</f>
        <v/>
      </c>
      <c r="AG56" s="205" t="str">
        <f>IF(AG$3="","",IF(COUNTIFS(BD!$A$3:$A$5001,AG$3,BD!$B$3:$B$5001,$A$49,BD!$U$3:$U$5001,"&lt;&gt;")=0,"",SUMIFS(BD!$U$3:$U$5001,BD!$A$3:$A$5001,AG$3,BD!$B$3:$B$5001,$A$49)))</f>
        <v/>
      </c>
      <c r="AH56" s="205" t="str">
        <f>IF(AH$3="","",IF(COUNTIFS(BD!$A$3:$A$5001,AH$3,BD!$B$3:$B$5001,$A$49,BD!$U$3:$U$5001,"&lt;&gt;")=0,"",SUMIFS(BD!$U$3:$U$5001,BD!$A$3:$A$5001,AH$3,BD!$B$3:$B$5001,$A$49)))</f>
        <v/>
      </c>
      <c r="AI56" s="205" t="str">
        <f>IF(AI$3="","",IF(COUNTIFS(BD!$A$3:$A$5001,AI$3,BD!$B$3:$B$5001,$A$49,BD!$U$3:$U$5001,"&lt;&gt;")=0,"",SUMIFS(BD!$U$3:$U$5001,BD!$A$3:$A$5001,AI$3,BD!$B$3:$B$5001,$A$49)))</f>
        <v/>
      </c>
      <c r="AJ56" s="206" t="str">
        <f>IF(AJ$3="","",IF(COUNTIFS(BD!$A$3:$A$5001,AJ$3,BD!$B$3:$B$5001,$A$49,BD!$U$3:$U$5001,"&lt;&gt;")=0,"",SUMIFS(BD!$U$3:$U$5001,BD!$A$3:$A$5001,AJ$3,BD!$B$3:$B$5001,$A$49)))</f>
        <v/>
      </c>
      <c r="AK56" s="207" t="str">
        <f>IF(COUNT(F56:AJ56)=0,"",SUM(F56:AJ56))</f>
        <v/>
      </c>
    </row>
    <row r="57" ht="15.75" customHeight="1">
      <c r="A57" s="261"/>
      <c r="B57" s="254"/>
      <c r="C57" s="201" t="inlineStr">
        <is>
          <t xml:space="preserve">Backlog Intralog</t>
        </is>
      </c>
      <c r="D57" s="202" t="str">
        <f>IFERROR(1/(1/INDEX(BD!$AL$42:$BF$42,MATCH($A$49,BD!$AL$22:$BF$22,0))),"")</f>
        <v/>
      </c>
      <c r="E57" s="203"/>
      <c r="F57" s="204" t="str">
        <f>IF(F$3="","",IF(COUNTIFS(BD!$A$3:$A$5001,F$3,BD!$B$3:$B$5001,$A$49,BD!$V$3:$V$5001,"&lt;&gt;")=0,"",SUMIFS(BD!$V$3:$V$5001,BD!$A$3:$A$5001,F$3,BD!$B$3:$B$5001,$A$49)))</f>
        <v/>
      </c>
      <c r="G57" s="205" t="str">
        <f>IF(G$3="","",IF(COUNTIFS(BD!$A$3:$A$5001,G$3,BD!$B$3:$B$5001,$A$49,BD!$V$3:$V$5001,"&lt;&gt;")=0,"",SUMIFS(BD!$V$3:$V$5001,BD!$A$3:$A$5001,G$3,BD!$B$3:$B$5001,$A$49)))</f>
        <v/>
      </c>
      <c r="H57" s="205" t="str">
        <f>IF(H$3="","",IF(COUNTIFS(BD!$A$3:$A$5001,H$3,BD!$B$3:$B$5001,$A$49,BD!$V$3:$V$5001,"&lt;&gt;")=0,"",SUMIFS(BD!$V$3:$V$5001,BD!$A$3:$A$5001,H$3,BD!$B$3:$B$5001,$A$49)))</f>
        <v/>
      </c>
      <c r="I57" s="205" t="str">
        <f>IF(I$3="","",IF(COUNTIFS(BD!$A$3:$A$5001,I$3,BD!$B$3:$B$5001,$A$49,BD!$V$3:$V$5001,"&lt;&gt;")=0,"",SUMIFS(BD!$V$3:$V$5001,BD!$A$3:$A$5001,I$3,BD!$B$3:$B$5001,$A$49)))</f>
        <v/>
      </c>
      <c r="J57" s="205" t="str">
        <f>IF(J$3="","",IF(COUNTIFS(BD!$A$3:$A$5001,J$3,BD!$B$3:$B$5001,$A$49,BD!$V$3:$V$5001,"&lt;&gt;")=0,"",SUMIFS(BD!$V$3:$V$5001,BD!$A$3:$A$5001,J$3,BD!$B$3:$B$5001,$A$49)))</f>
        <v/>
      </c>
      <c r="K57" s="205" t="str">
        <f>IF(K$3="","",IF(COUNTIFS(BD!$A$3:$A$5001,K$3,BD!$B$3:$B$5001,$A$49,BD!$V$3:$V$5001,"&lt;&gt;")=0,"",SUMIFS(BD!$V$3:$V$5001,BD!$A$3:$A$5001,K$3,BD!$B$3:$B$5001,$A$49)))</f>
        <v/>
      </c>
      <c r="L57" s="205" t="str">
        <f>IF(L$3="","",IF(COUNTIFS(BD!$A$3:$A$5001,L$3,BD!$B$3:$B$5001,$A$49,BD!$V$3:$V$5001,"&lt;&gt;")=0,"",SUMIFS(BD!$V$3:$V$5001,BD!$A$3:$A$5001,L$3,BD!$B$3:$B$5001,$A$49)))</f>
        <v/>
      </c>
      <c r="M57" s="205" t="str">
        <f>IF(M$3="","",IF(COUNTIFS(BD!$A$3:$A$5001,M$3,BD!$B$3:$B$5001,$A$49,BD!$V$3:$V$5001,"&lt;&gt;")=0,"",SUMIFS(BD!$V$3:$V$5001,BD!$A$3:$A$5001,M$3,BD!$B$3:$B$5001,$A$49)))</f>
        <v/>
      </c>
      <c r="N57" s="205" t="str">
        <f>IF(N$3="","",IF(COUNTIFS(BD!$A$3:$A$5001,N$3,BD!$B$3:$B$5001,$A$49,BD!$V$3:$V$5001,"&lt;&gt;")=0,"",SUMIFS(BD!$V$3:$V$5001,BD!$A$3:$A$5001,N$3,BD!$B$3:$B$5001,$A$49)))</f>
        <v/>
      </c>
      <c r="O57" s="205" t="str">
        <f>IF(O$3="","",IF(COUNTIFS(BD!$A$3:$A$5001,O$3,BD!$B$3:$B$5001,$A$49,BD!$V$3:$V$5001,"&lt;&gt;")=0,"",SUMIFS(BD!$V$3:$V$5001,BD!$A$3:$A$5001,O$3,BD!$B$3:$B$5001,$A$49)))</f>
        <v/>
      </c>
      <c r="P57" s="205" t="str">
        <f>IF(P$3="","",IF(COUNTIFS(BD!$A$3:$A$5001,P$3,BD!$B$3:$B$5001,$A$49,BD!$V$3:$V$5001,"&lt;&gt;")=0,"",SUMIFS(BD!$V$3:$V$5001,BD!$A$3:$A$5001,P$3,BD!$B$3:$B$5001,$A$49)))</f>
        <v/>
      </c>
      <c r="Q57" s="205" t="str">
        <f>IF(Q$3="","",IF(COUNTIFS(BD!$A$3:$A$5001,Q$3,BD!$B$3:$B$5001,$A$49,BD!$V$3:$V$5001,"&lt;&gt;")=0,"",SUMIFS(BD!$V$3:$V$5001,BD!$A$3:$A$5001,Q$3,BD!$B$3:$B$5001,$A$49)))</f>
        <v/>
      </c>
      <c r="R57" s="205" t="str">
        <f>IF(R$3="","",IF(COUNTIFS(BD!$A$3:$A$5001,R$3,BD!$B$3:$B$5001,$A$49,BD!$V$3:$V$5001,"&lt;&gt;")=0,"",SUMIFS(BD!$V$3:$V$5001,BD!$A$3:$A$5001,R$3,BD!$B$3:$B$5001,$A$49)))</f>
        <v/>
      </c>
      <c r="S57" s="205" t="str">
        <f>IF(S$3="","",IF(COUNTIFS(BD!$A$3:$A$5001,S$3,BD!$B$3:$B$5001,$A$49,BD!$V$3:$V$5001,"&lt;&gt;")=0,"",SUMIFS(BD!$V$3:$V$5001,BD!$A$3:$A$5001,S$3,BD!$B$3:$B$5001,$A$49)))</f>
        <v/>
      </c>
      <c r="T57" s="205" t="str">
        <f>IF(T$3="","",IF(COUNTIFS(BD!$A$3:$A$5001,T$3,BD!$B$3:$B$5001,$A$49,BD!$V$3:$V$5001,"&lt;&gt;")=0,"",SUMIFS(BD!$V$3:$V$5001,BD!$A$3:$A$5001,T$3,BD!$B$3:$B$5001,$A$49)))</f>
        <v/>
      </c>
      <c r="U57" s="205" t="str">
        <f>IF(U$3="","",IF(COUNTIFS(BD!$A$3:$A$5001,U$3,BD!$B$3:$B$5001,$A$49,BD!$V$3:$V$5001,"&lt;&gt;")=0,"",SUMIFS(BD!$V$3:$V$5001,BD!$A$3:$A$5001,U$3,BD!$B$3:$B$5001,$A$49)))</f>
        <v/>
      </c>
      <c r="V57" s="205" t="str">
        <f>IF(V$3="","",IF(COUNTIFS(BD!$A$3:$A$5001,V$3,BD!$B$3:$B$5001,$A$49,BD!$V$3:$V$5001,"&lt;&gt;")=0,"",SUMIFS(BD!$V$3:$V$5001,BD!$A$3:$A$5001,V$3,BD!$B$3:$B$5001,$A$49)))</f>
        <v/>
      </c>
      <c r="W57" s="205" t="str">
        <f>IF(W$3="","",IF(COUNTIFS(BD!$A$3:$A$5001,W$3,BD!$B$3:$B$5001,$A$49,BD!$V$3:$V$5001,"&lt;&gt;")=0,"",SUMIFS(BD!$V$3:$V$5001,BD!$A$3:$A$5001,W$3,BD!$B$3:$B$5001,$A$49)))</f>
        <v/>
      </c>
      <c r="X57" s="205" t="str">
        <f>IF(X$3="","",IF(COUNTIFS(BD!$A$3:$A$5001,X$3,BD!$B$3:$B$5001,$A$49,BD!$V$3:$V$5001,"&lt;&gt;")=0,"",SUMIFS(BD!$V$3:$V$5001,BD!$A$3:$A$5001,X$3,BD!$B$3:$B$5001,$A$49)))</f>
        <v/>
      </c>
      <c r="Y57" s="205" t="str">
        <f>IF(Y$3="","",IF(COUNTIFS(BD!$A$3:$A$5001,Y$3,BD!$B$3:$B$5001,$A$49,BD!$V$3:$V$5001,"&lt;&gt;")=0,"",SUMIFS(BD!$V$3:$V$5001,BD!$A$3:$A$5001,Y$3,BD!$B$3:$B$5001,$A$49)))</f>
        <v/>
      </c>
      <c r="Z57" s="205" t="str">
        <f>IF(Z$3="","",IF(COUNTIFS(BD!$A$3:$A$5001,Z$3,BD!$B$3:$B$5001,$A$49,BD!$V$3:$V$5001,"&lt;&gt;")=0,"",SUMIFS(BD!$V$3:$V$5001,BD!$A$3:$A$5001,Z$3,BD!$B$3:$B$5001,$A$49)))</f>
        <v/>
      </c>
      <c r="AA57" s="205" t="str">
        <f>IF(AA$3="","",IF(COUNTIFS(BD!$A$3:$A$5001,AA$3,BD!$B$3:$B$5001,$A$49,BD!$V$3:$V$5001,"&lt;&gt;")=0,"",SUMIFS(BD!$V$3:$V$5001,BD!$A$3:$A$5001,AA$3,BD!$B$3:$B$5001,$A$49)))</f>
        <v/>
      </c>
      <c r="AB57" s="205" t="str">
        <f>IF(AB$3="","",IF(COUNTIFS(BD!$A$3:$A$5001,AB$3,BD!$B$3:$B$5001,$A$49,BD!$V$3:$V$5001,"&lt;&gt;")=0,"",SUMIFS(BD!$V$3:$V$5001,BD!$A$3:$A$5001,AB$3,BD!$B$3:$B$5001,$A$49)))</f>
        <v/>
      </c>
      <c r="AC57" s="205" t="str">
        <f>IF(AC$3="","",IF(COUNTIFS(BD!$A$3:$A$5001,AC$3,BD!$B$3:$B$5001,$A$49,BD!$V$3:$V$5001,"&lt;&gt;")=0,"",SUMIFS(BD!$V$3:$V$5001,BD!$A$3:$A$5001,AC$3,BD!$B$3:$B$5001,$A$49)))</f>
        <v/>
      </c>
      <c r="AD57" s="205" t="str">
        <f>IF(AD$3="","",IF(COUNTIFS(BD!$A$3:$A$5001,AD$3,BD!$B$3:$B$5001,$A$49,BD!$V$3:$V$5001,"&lt;&gt;")=0,"",SUMIFS(BD!$V$3:$V$5001,BD!$A$3:$A$5001,AD$3,BD!$B$3:$B$5001,$A$49)))</f>
        <v/>
      </c>
      <c r="AE57" s="205" t="str">
        <f>IF(AE$3="","",IF(COUNTIFS(BD!$A$3:$A$5001,AE$3,BD!$B$3:$B$5001,$A$49,BD!$V$3:$V$5001,"&lt;&gt;")=0,"",SUMIFS(BD!$V$3:$V$5001,BD!$A$3:$A$5001,AE$3,BD!$B$3:$B$5001,$A$49)))</f>
        <v/>
      </c>
      <c r="AF57" s="205" t="str">
        <f>IF(AF$3="","",IF(COUNTIFS(BD!$A$3:$A$5001,AF$3,BD!$B$3:$B$5001,$A$49,BD!$V$3:$V$5001,"&lt;&gt;")=0,"",SUMIFS(BD!$V$3:$V$5001,BD!$A$3:$A$5001,AF$3,BD!$B$3:$B$5001,$A$49)))</f>
        <v/>
      </c>
      <c r="AG57" s="205" t="str">
        <f>IF(AG$3="","",IF(COUNTIFS(BD!$A$3:$A$5001,AG$3,BD!$B$3:$B$5001,$A$49,BD!$V$3:$V$5001,"&lt;&gt;")=0,"",SUMIFS(BD!$V$3:$V$5001,BD!$A$3:$A$5001,AG$3,BD!$B$3:$B$5001,$A$49)))</f>
        <v/>
      </c>
      <c r="AH57" s="205" t="str">
        <f>IF(AH$3="","",IF(COUNTIFS(BD!$A$3:$A$5001,AH$3,BD!$B$3:$B$5001,$A$49,BD!$V$3:$V$5001,"&lt;&gt;")=0,"",SUMIFS(BD!$V$3:$V$5001,BD!$A$3:$A$5001,AH$3,BD!$B$3:$B$5001,$A$49)))</f>
        <v/>
      </c>
      <c r="AI57" s="205" t="str">
        <f>IF(AI$3="","",IF(COUNTIFS(BD!$A$3:$A$5001,AI$3,BD!$B$3:$B$5001,$A$49,BD!$V$3:$V$5001,"&lt;&gt;")=0,"",SUMIFS(BD!$V$3:$V$5001,BD!$A$3:$A$5001,AI$3,BD!$B$3:$B$5001,$A$49)))</f>
        <v/>
      </c>
      <c r="AJ57" s="206" t="str">
        <f>IF(AJ$3="","",IF(COUNTIFS(BD!$A$3:$A$5001,AJ$3,BD!$B$3:$B$5001,$A$49,BD!$V$3:$V$5001,"&lt;&gt;")=0,"",SUMIFS(BD!$V$3:$V$5001,BD!$A$3:$A$5001,AJ$3,BD!$B$3:$B$5001,$A$49)))</f>
        <v/>
      </c>
      <c r="AK57" s="207" t="str">
        <f>IFERROR(LOOKUP(9.99E+307,F57:AJ57),"")</f>
        <v/>
      </c>
    </row>
    <row r="58" ht="15.75" customHeight="1">
      <c r="A58" s="261"/>
      <c r="B58" s="255"/>
      <c r="C58" s="208" t="inlineStr">
        <is>
          <t xml:space="preserve">Backlog Cliente</t>
        </is>
      </c>
      <c r="D58" s="209" t="str">
        <f>IFERROR(1/(1/INDEX(BD!$AL$43:$BF$43,MATCH($A$49,BD!$AL$22:$BF$22,0))),"")</f>
        <v/>
      </c>
      <c r="E58" s="210"/>
      <c r="F58" s="211" t="str">
        <f>IF(F$3="","",IF(COUNTIFS(BD!$A$3:$A$5001,F$3,BD!$B$3:$B$5001,$A$49,BD!$W$3:$W$5001,"&lt;&gt;")=0,"",SUMIFS(BD!$W$3:$W$5001,BD!$A$3:$A$5001,F$3,BD!$B$3:$B$5001,$A$49)))</f>
        <v/>
      </c>
      <c r="G58" s="212" t="str">
        <f>IF(G$3="","",IF(COUNTIFS(BD!$A$3:$A$5001,G$3,BD!$B$3:$B$5001,$A$49,BD!$W$3:$W$5001,"&lt;&gt;")=0,"",SUMIFS(BD!$W$3:$W$5001,BD!$A$3:$A$5001,G$3,BD!$B$3:$B$5001,$A$49)))</f>
        <v/>
      </c>
      <c r="H58" s="212" t="str">
        <f>IF(H$3="","",IF(COUNTIFS(BD!$A$3:$A$5001,H$3,BD!$B$3:$B$5001,$A$49,BD!$W$3:$W$5001,"&lt;&gt;")=0,"",SUMIFS(BD!$W$3:$W$5001,BD!$A$3:$A$5001,H$3,BD!$B$3:$B$5001,$A$49)))</f>
        <v/>
      </c>
      <c r="I58" s="212" t="str">
        <f>IF(I$3="","",IF(COUNTIFS(BD!$A$3:$A$5001,I$3,BD!$B$3:$B$5001,$A$49,BD!$W$3:$W$5001,"&lt;&gt;")=0,"",SUMIFS(BD!$W$3:$W$5001,BD!$A$3:$A$5001,I$3,BD!$B$3:$B$5001,$A$49)))</f>
        <v/>
      </c>
      <c r="J58" s="212" t="str">
        <f>IF(J$3="","",IF(COUNTIFS(BD!$A$3:$A$5001,J$3,BD!$B$3:$B$5001,$A$49,BD!$W$3:$W$5001,"&lt;&gt;")=0,"",SUMIFS(BD!$W$3:$W$5001,BD!$A$3:$A$5001,J$3,BD!$B$3:$B$5001,$A$49)))</f>
        <v/>
      </c>
      <c r="K58" s="212" t="str">
        <f>IF(K$3="","",IF(COUNTIFS(BD!$A$3:$A$5001,K$3,BD!$B$3:$B$5001,$A$49,BD!$W$3:$W$5001,"&lt;&gt;")=0,"",SUMIFS(BD!$W$3:$W$5001,BD!$A$3:$A$5001,K$3,BD!$B$3:$B$5001,$A$49)))</f>
        <v/>
      </c>
      <c r="L58" s="212" t="str">
        <f>IF(L$3="","",IF(COUNTIFS(BD!$A$3:$A$5001,L$3,BD!$B$3:$B$5001,$A$49,BD!$W$3:$W$5001,"&lt;&gt;")=0,"",SUMIFS(BD!$W$3:$W$5001,BD!$A$3:$A$5001,L$3,BD!$B$3:$B$5001,$A$49)))</f>
        <v/>
      </c>
      <c r="M58" s="212" t="str">
        <f>IF(M$3="","",IF(COUNTIFS(BD!$A$3:$A$5001,M$3,BD!$B$3:$B$5001,$A$49,BD!$W$3:$W$5001,"&lt;&gt;")=0,"",SUMIFS(BD!$W$3:$W$5001,BD!$A$3:$A$5001,M$3,BD!$B$3:$B$5001,$A$49)))</f>
        <v/>
      </c>
      <c r="N58" s="212" t="str">
        <f>IF(N$3="","",IF(COUNTIFS(BD!$A$3:$A$5001,N$3,BD!$B$3:$B$5001,$A$49,BD!$W$3:$W$5001,"&lt;&gt;")=0,"",SUMIFS(BD!$W$3:$W$5001,BD!$A$3:$A$5001,N$3,BD!$B$3:$B$5001,$A$49)))</f>
        <v/>
      </c>
      <c r="O58" s="212" t="str">
        <f>IF(O$3="","",IF(COUNTIFS(BD!$A$3:$A$5001,O$3,BD!$B$3:$B$5001,$A$49,BD!$W$3:$W$5001,"&lt;&gt;")=0,"",SUMIFS(BD!$W$3:$W$5001,BD!$A$3:$A$5001,O$3,BD!$B$3:$B$5001,$A$49)))</f>
        <v/>
      </c>
      <c r="P58" s="212" t="str">
        <f>IF(P$3="","",IF(COUNTIFS(BD!$A$3:$A$5001,P$3,BD!$B$3:$B$5001,$A$49,BD!$W$3:$W$5001,"&lt;&gt;")=0,"",SUMIFS(BD!$W$3:$W$5001,BD!$A$3:$A$5001,P$3,BD!$B$3:$B$5001,$A$49)))</f>
        <v/>
      </c>
      <c r="Q58" s="212" t="str">
        <f>IF(Q$3="","",IF(COUNTIFS(BD!$A$3:$A$5001,Q$3,BD!$B$3:$B$5001,$A$49,BD!$W$3:$W$5001,"&lt;&gt;")=0,"",SUMIFS(BD!$W$3:$W$5001,BD!$A$3:$A$5001,Q$3,BD!$B$3:$B$5001,$A$49)))</f>
        <v/>
      </c>
      <c r="R58" s="212" t="str">
        <f>IF(R$3="","",IF(COUNTIFS(BD!$A$3:$A$5001,R$3,BD!$B$3:$B$5001,$A$49,BD!$W$3:$W$5001,"&lt;&gt;")=0,"",SUMIFS(BD!$W$3:$W$5001,BD!$A$3:$A$5001,R$3,BD!$B$3:$B$5001,$A$49)))</f>
        <v/>
      </c>
      <c r="S58" s="212" t="str">
        <f>IF(S$3="","",IF(COUNTIFS(BD!$A$3:$A$5001,S$3,BD!$B$3:$B$5001,$A$49,BD!$W$3:$W$5001,"&lt;&gt;")=0,"",SUMIFS(BD!$W$3:$W$5001,BD!$A$3:$A$5001,S$3,BD!$B$3:$B$5001,$A$49)))</f>
        <v/>
      </c>
      <c r="T58" s="212" t="str">
        <f>IF(T$3="","",IF(COUNTIFS(BD!$A$3:$A$5001,T$3,BD!$B$3:$B$5001,$A$49,BD!$W$3:$W$5001,"&lt;&gt;")=0,"",SUMIFS(BD!$W$3:$W$5001,BD!$A$3:$A$5001,T$3,BD!$B$3:$B$5001,$A$49)))</f>
        <v/>
      </c>
      <c r="U58" s="212" t="str">
        <f>IF(U$3="","",IF(COUNTIFS(BD!$A$3:$A$5001,U$3,BD!$B$3:$B$5001,$A$49,BD!$W$3:$W$5001,"&lt;&gt;")=0,"",SUMIFS(BD!$W$3:$W$5001,BD!$A$3:$A$5001,U$3,BD!$B$3:$B$5001,$A$49)))</f>
        <v/>
      </c>
      <c r="V58" s="212" t="str">
        <f>IF(V$3="","",IF(COUNTIFS(BD!$A$3:$A$5001,V$3,BD!$B$3:$B$5001,$A$49,BD!$W$3:$W$5001,"&lt;&gt;")=0,"",SUMIFS(BD!$W$3:$W$5001,BD!$A$3:$A$5001,V$3,BD!$B$3:$B$5001,$A$49)))</f>
        <v/>
      </c>
      <c r="W58" s="212" t="str">
        <f>IF(W$3="","",IF(COUNTIFS(BD!$A$3:$A$5001,W$3,BD!$B$3:$B$5001,$A$49,BD!$W$3:$W$5001,"&lt;&gt;")=0,"",SUMIFS(BD!$W$3:$W$5001,BD!$A$3:$A$5001,W$3,BD!$B$3:$B$5001,$A$49)))</f>
        <v/>
      </c>
      <c r="X58" s="212" t="str">
        <f>IF(X$3="","",IF(COUNTIFS(BD!$A$3:$A$5001,X$3,BD!$B$3:$B$5001,$A$49,BD!$W$3:$W$5001,"&lt;&gt;")=0,"",SUMIFS(BD!$W$3:$W$5001,BD!$A$3:$A$5001,X$3,BD!$B$3:$B$5001,$A$49)))</f>
        <v/>
      </c>
      <c r="Y58" s="212" t="str">
        <f>IF(Y$3="","",IF(COUNTIFS(BD!$A$3:$A$5001,Y$3,BD!$B$3:$B$5001,$A$49,BD!$W$3:$W$5001,"&lt;&gt;")=0,"",SUMIFS(BD!$W$3:$W$5001,BD!$A$3:$A$5001,Y$3,BD!$B$3:$B$5001,$A$49)))</f>
        <v/>
      </c>
      <c r="Z58" s="212" t="str">
        <f>IF(Z$3="","",IF(COUNTIFS(BD!$A$3:$A$5001,Z$3,BD!$B$3:$B$5001,$A$49,BD!$W$3:$W$5001,"&lt;&gt;")=0,"",SUMIFS(BD!$W$3:$W$5001,BD!$A$3:$A$5001,Z$3,BD!$B$3:$B$5001,$A$49)))</f>
        <v/>
      </c>
      <c r="AA58" s="212" t="str">
        <f>IF(AA$3="","",IF(COUNTIFS(BD!$A$3:$A$5001,AA$3,BD!$B$3:$B$5001,$A$49,BD!$W$3:$W$5001,"&lt;&gt;")=0,"",SUMIFS(BD!$W$3:$W$5001,BD!$A$3:$A$5001,AA$3,BD!$B$3:$B$5001,$A$49)))</f>
        <v/>
      </c>
      <c r="AB58" s="212" t="str">
        <f>IF(AB$3="","",IF(COUNTIFS(BD!$A$3:$A$5001,AB$3,BD!$B$3:$B$5001,$A$49,BD!$W$3:$W$5001,"&lt;&gt;")=0,"",SUMIFS(BD!$W$3:$W$5001,BD!$A$3:$A$5001,AB$3,BD!$B$3:$B$5001,$A$49)))</f>
        <v/>
      </c>
      <c r="AC58" s="212" t="str">
        <f>IF(AC$3="","",IF(COUNTIFS(BD!$A$3:$A$5001,AC$3,BD!$B$3:$B$5001,$A$49,BD!$W$3:$W$5001,"&lt;&gt;")=0,"",SUMIFS(BD!$W$3:$W$5001,BD!$A$3:$A$5001,AC$3,BD!$B$3:$B$5001,$A$49)))</f>
        <v/>
      </c>
      <c r="AD58" s="212" t="str">
        <f>IF(AD$3="","",IF(COUNTIFS(BD!$A$3:$A$5001,AD$3,BD!$B$3:$B$5001,$A$49,BD!$W$3:$W$5001,"&lt;&gt;")=0,"",SUMIFS(BD!$W$3:$W$5001,BD!$A$3:$A$5001,AD$3,BD!$B$3:$B$5001,$A$49)))</f>
        <v/>
      </c>
      <c r="AE58" s="212" t="str">
        <f>IF(AE$3="","",IF(COUNTIFS(BD!$A$3:$A$5001,AE$3,BD!$B$3:$B$5001,$A$49,BD!$W$3:$W$5001,"&lt;&gt;")=0,"",SUMIFS(BD!$W$3:$W$5001,BD!$A$3:$A$5001,AE$3,BD!$B$3:$B$5001,$A$49)))</f>
        <v/>
      </c>
      <c r="AF58" s="212" t="str">
        <f>IF(AF$3="","",IF(COUNTIFS(BD!$A$3:$A$5001,AF$3,BD!$B$3:$B$5001,$A$49,BD!$W$3:$W$5001,"&lt;&gt;")=0,"",SUMIFS(BD!$W$3:$W$5001,BD!$A$3:$A$5001,AF$3,BD!$B$3:$B$5001,$A$49)))</f>
        <v/>
      </c>
      <c r="AG58" s="212" t="str">
        <f>IF(AG$3="","",IF(COUNTIFS(BD!$A$3:$A$5001,AG$3,BD!$B$3:$B$5001,$A$49,BD!$W$3:$W$5001,"&lt;&gt;")=0,"",SUMIFS(BD!$W$3:$W$5001,BD!$A$3:$A$5001,AG$3,BD!$B$3:$B$5001,$A$49)))</f>
        <v/>
      </c>
      <c r="AH58" s="212" t="str">
        <f>IF(AH$3="","",IF(COUNTIFS(BD!$A$3:$A$5001,AH$3,BD!$B$3:$B$5001,$A$49,BD!$W$3:$W$5001,"&lt;&gt;")=0,"",SUMIFS(BD!$W$3:$W$5001,BD!$A$3:$A$5001,AH$3,BD!$B$3:$B$5001,$A$49)))</f>
        <v/>
      </c>
      <c r="AI58" s="212" t="str">
        <f>IF(AI$3="","",IF(COUNTIFS(BD!$A$3:$A$5001,AI$3,BD!$B$3:$B$5001,$A$49,BD!$W$3:$W$5001,"&lt;&gt;")=0,"",SUMIFS(BD!$W$3:$W$5001,BD!$A$3:$A$5001,AI$3,BD!$B$3:$B$5001,$A$49)))</f>
        <v/>
      </c>
      <c r="AJ58" s="213" t="str">
        <f>IF(AJ$3="","",IF(COUNTIFS(BD!$A$3:$A$5001,AJ$3,BD!$B$3:$B$5001,$A$49,BD!$W$3:$W$5001,"&lt;&gt;")=0,"",SUMIFS(BD!$W$3:$W$5001,BD!$A$3:$A$5001,AJ$3,BD!$B$3:$B$5001,$A$49)))</f>
        <v/>
      </c>
      <c r="AK58" s="209" t="str">
        <f>IFERROR(LOOKUP(9.99E+307,F58:AJ58),"")</f>
        <v/>
      </c>
    </row>
    <row r="59" ht="15.75" customHeight="1">
      <c r="A59" s="261"/>
      <c r="B59" s="249" t="inlineStr">
        <is>
          <t xml:space="preserve">OCUPAÇÃO (P.P)</t>
        </is>
      </c>
      <c r="C59" s="168" t="inlineStr">
        <is>
          <t xml:space="preserve">Posições Disponíveis</t>
        </is>
      </c>
      <c r="D59" s="169" t="str">
        <f>IFERROR(1/(1/INDEX(BD!$AL$44:$BF$44,MATCH($A$49,BD!$AL$22:$BF$22,0))),"")</f>
        <v/>
      </c>
      <c r="E59" s="170"/>
      <c r="F59" s="171" t="str">
        <f>IF(F$3="","",IF(COUNTIFS(BD!$A$3:$A$5001,F$3,BD!$B$3:$B$5001,$A$49,BD!$X$3:$X$5001,"&lt;&gt;")=0,"",SUMIFS(BD!$X$3:$X$5001,BD!$A$3:$A$5001,F$3,BD!$B$3:$B$5001,$A$49)))</f>
        <v/>
      </c>
      <c r="G59" s="172" t="str">
        <f>IF(G$3="","",IF(COUNTIFS(BD!$A$3:$A$5001,G$3,BD!$B$3:$B$5001,$A$49,BD!$X$3:$X$5001,"&lt;&gt;")=0,"",SUMIFS(BD!$X$3:$X$5001,BD!$A$3:$A$5001,G$3,BD!$B$3:$B$5001,$A$49)))</f>
        <v/>
      </c>
      <c r="H59" s="172" t="str">
        <f>IF(H$3="","",IF(COUNTIFS(BD!$A$3:$A$5001,H$3,BD!$B$3:$B$5001,$A$49,BD!$X$3:$X$5001,"&lt;&gt;")=0,"",SUMIFS(BD!$X$3:$X$5001,BD!$A$3:$A$5001,H$3,BD!$B$3:$B$5001,$A$49)))</f>
        <v/>
      </c>
      <c r="I59" s="172" t="str">
        <f>IF(I$3="","",IF(COUNTIFS(BD!$A$3:$A$5001,I$3,BD!$B$3:$B$5001,$A$49,BD!$X$3:$X$5001,"&lt;&gt;")=0,"",SUMIFS(BD!$X$3:$X$5001,BD!$A$3:$A$5001,I$3,BD!$B$3:$B$5001,$A$49)))</f>
        <v/>
      </c>
      <c r="J59" s="172" t="str">
        <f>IF(J$3="","",IF(COUNTIFS(BD!$A$3:$A$5001,J$3,BD!$B$3:$B$5001,$A$49,BD!$X$3:$X$5001,"&lt;&gt;")=0,"",SUMIFS(BD!$X$3:$X$5001,BD!$A$3:$A$5001,J$3,BD!$B$3:$B$5001,$A$49)))</f>
        <v/>
      </c>
      <c r="K59" s="172" t="str">
        <f>IF(K$3="","",IF(COUNTIFS(BD!$A$3:$A$5001,K$3,BD!$B$3:$B$5001,$A$49,BD!$X$3:$X$5001,"&lt;&gt;")=0,"",SUMIFS(BD!$X$3:$X$5001,BD!$A$3:$A$5001,K$3,BD!$B$3:$B$5001,$A$49)))</f>
        <v/>
      </c>
      <c r="L59" s="172" t="str">
        <f>IF(L$3="","",IF(COUNTIFS(BD!$A$3:$A$5001,L$3,BD!$B$3:$B$5001,$A$49,BD!$X$3:$X$5001,"&lt;&gt;")=0,"",SUMIFS(BD!$X$3:$X$5001,BD!$A$3:$A$5001,L$3,BD!$B$3:$B$5001,$A$49)))</f>
        <v/>
      </c>
      <c r="M59" s="172" t="str">
        <f>IF(M$3="","",IF(COUNTIFS(BD!$A$3:$A$5001,M$3,BD!$B$3:$B$5001,$A$49,BD!$X$3:$X$5001,"&lt;&gt;")=0,"",SUMIFS(BD!$X$3:$X$5001,BD!$A$3:$A$5001,M$3,BD!$B$3:$B$5001,$A$49)))</f>
        <v/>
      </c>
      <c r="N59" s="172" t="str">
        <f>IF(N$3="","",IF(COUNTIFS(BD!$A$3:$A$5001,N$3,BD!$B$3:$B$5001,$A$49,BD!$X$3:$X$5001,"&lt;&gt;")=0,"",SUMIFS(BD!$X$3:$X$5001,BD!$A$3:$A$5001,N$3,BD!$B$3:$B$5001,$A$49)))</f>
        <v/>
      </c>
      <c r="O59" s="172" t="str">
        <f>IF(O$3="","",IF(COUNTIFS(BD!$A$3:$A$5001,O$3,BD!$B$3:$B$5001,$A$49,BD!$X$3:$X$5001,"&lt;&gt;")=0,"",SUMIFS(BD!$X$3:$X$5001,BD!$A$3:$A$5001,O$3,BD!$B$3:$B$5001,$A$49)))</f>
        <v/>
      </c>
      <c r="P59" s="172" t="str">
        <f>IF(P$3="","",IF(COUNTIFS(BD!$A$3:$A$5001,P$3,BD!$B$3:$B$5001,$A$49,BD!$X$3:$X$5001,"&lt;&gt;")=0,"",SUMIFS(BD!$X$3:$X$5001,BD!$A$3:$A$5001,P$3,BD!$B$3:$B$5001,$A$49)))</f>
        <v/>
      </c>
      <c r="Q59" s="172" t="str">
        <f>IF(Q$3="","",IF(COUNTIFS(BD!$A$3:$A$5001,Q$3,BD!$B$3:$B$5001,$A$49,BD!$X$3:$X$5001,"&lt;&gt;")=0,"",SUMIFS(BD!$X$3:$X$5001,BD!$A$3:$A$5001,Q$3,BD!$B$3:$B$5001,$A$49)))</f>
        <v/>
      </c>
      <c r="R59" s="172" t="str">
        <f>IF(R$3="","",IF(COUNTIFS(BD!$A$3:$A$5001,R$3,BD!$B$3:$B$5001,$A$49,BD!$X$3:$X$5001,"&lt;&gt;")=0,"",SUMIFS(BD!$X$3:$X$5001,BD!$A$3:$A$5001,R$3,BD!$B$3:$B$5001,$A$49)))</f>
        <v/>
      </c>
      <c r="S59" s="172" t="str">
        <f>IF(S$3="","",IF(COUNTIFS(BD!$A$3:$A$5001,S$3,BD!$B$3:$B$5001,$A$49,BD!$X$3:$X$5001,"&lt;&gt;")=0,"",SUMIFS(BD!$X$3:$X$5001,BD!$A$3:$A$5001,S$3,BD!$B$3:$B$5001,$A$49)))</f>
        <v/>
      </c>
      <c r="T59" s="172" t="str">
        <f>IF(T$3="","",IF(COUNTIFS(BD!$A$3:$A$5001,T$3,BD!$B$3:$B$5001,$A$49,BD!$X$3:$X$5001,"&lt;&gt;")=0,"",SUMIFS(BD!$X$3:$X$5001,BD!$A$3:$A$5001,T$3,BD!$B$3:$B$5001,$A$49)))</f>
        <v/>
      </c>
      <c r="U59" s="172" t="str">
        <f>IF(U$3="","",IF(COUNTIFS(BD!$A$3:$A$5001,U$3,BD!$B$3:$B$5001,$A$49,BD!$X$3:$X$5001,"&lt;&gt;")=0,"",SUMIFS(BD!$X$3:$X$5001,BD!$A$3:$A$5001,U$3,BD!$B$3:$B$5001,$A$49)))</f>
        <v/>
      </c>
      <c r="V59" s="172" t="str">
        <f>IF(V$3="","",IF(COUNTIFS(BD!$A$3:$A$5001,V$3,BD!$B$3:$B$5001,$A$49,BD!$X$3:$X$5001,"&lt;&gt;")=0,"",SUMIFS(BD!$X$3:$X$5001,BD!$A$3:$A$5001,V$3,BD!$B$3:$B$5001,$A$49)))</f>
        <v/>
      </c>
      <c r="W59" s="172" t="str">
        <f>IF(W$3="","",IF(COUNTIFS(BD!$A$3:$A$5001,W$3,BD!$B$3:$B$5001,$A$49,BD!$X$3:$X$5001,"&lt;&gt;")=0,"",SUMIFS(BD!$X$3:$X$5001,BD!$A$3:$A$5001,W$3,BD!$B$3:$B$5001,$A$49)))</f>
        <v/>
      </c>
      <c r="X59" s="172" t="str">
        <f>IF(X$3="","",IF(COUNTIFS(BD!$A$3:$A$5001,X$3,BD!$B$3:$B$5001,$A$49,BD!$X$3:$X$5001,"&lt;&gt;")=0,"",SUMIFS(BD!$X$3:$X$5001,BD!$A$3:$A$5001,X$3,BD!$B$3:$B$5001,$A$49)))</f>
        <v/>
      </c>
      <c r="Y59" s="172" t="str">
        <f>IF(Y$3="","",IF(COUNTIFS(BD!$A$3:$A$5001,Y$3,BD!$B$3:$B$5001,$A$49,BD!$X$3:$X$5001,"&lt;&gt;")=0,"",SUMIFS(BD!$X$3:$X$5001,BD!$A$3:$A$5001,Y$3,BD!$B$3:$B$5001,$A$49)))</f>
        <v/>
      </c>
      <c r="Z59" s="172" t="str">
        <f>IF(Z$3="","",IF(COUNTIFS(BD!$A$3:$A$5001,Z$3,BD!$B$3:$B$5001,$A$49,BD!$X$3:$X$5001,"&lt;&gt;")=0,"",SUMIFS(BD!$X$3:$X$5001,BD!$A$3:$A$5001,Z$3,BD!$B$3:$B$5001,$A$49)))</f>
        <v/>
      </c>
      <c r="AA59" s="172" t="str">
        <f>IF(AA$3="","",IF(COUNTIFS(BD!$A$3:$A$5001,AA$3,BD!$B$3:$B$5001,$A$49,BD!$X$3:$X$5001,"&lt;&gt;")=0,"",SUMIFS(BD!$X$3:$X$5001,BD!$A$3:$A$5001,AA$3,BD!$B$3:$B$5001,$A$49)))</f>
        <v/>
      </c>
      <c r="AB59" s="172" t="str">
        <f>IF(AB$3="","",IF(COUNTIFS(BD!$A$3:$A$5001,AB$3,BD!$B$3:$B$5001,$A$49,BD!$X$3:$X$5001,"&lt;&gt;")=0,"",SUMIFS(BD!$X$3:$X$5001,BD!$A$3:$A$5001,AB$3,BD!$B$3:$B$5001,$A$49)))</f>
        <v/>
      </c>
      <c r="AC59" s="172" t="str">
        <f>IF(AC$3="","",IF(COUNTIFS(BD!$A$3:$A$5001,AC$3,BD!$B$3:$B$5001,$A$49,BD!$X$3:$X$5001,"&lt;&gt;")=0,"",SUMIFS(BD!$X$3:$X$5001,BD!$A$3:$A$5001,AC$3,BD!$B$3:$B$5001,$A$49)))</f>
        <v/>
      </c>
      <c r="AD59" s="172" t="str">
        <f>IF(AD$3="","",IF(COUNTIFS(BD!$A$3:$A$5001,AD$3,BD!$B$3:$B$5001,$A$49,BD!$X$3:$X$5001,"&lt;&gt;")=0,"",SUMIFS(BD!$X$3:$X$5001,BD!$A$3:$A$5001,AD$3,BD!$B$3:$B$5001,$A$49)))</f>
        <v/>
      </c>
      <c r="AE59" s="172" t="str">
        <f>IF(AE$3="","",IF(COUNTIFS(BD!$A$3:$A$5001,AE$3,BD!$B$3:$B$5001,$A$49,BD!$X$3:$X$5001,"&lt;&gt;")=0,"",SUMIFS(BD!$X$3:$X$5001,BD!$A$3:$A$5001,AE$3,BD!$B$3:$B$5001,$A$49)))</f>
        <v/>
      </c>
      <c r="AF59" s="172" t="str">
        <f>IF(AF$3="","",IF(COUNTIFS(BD!$A$3:$A$5001,AF$3,BD!$B$3:$B$5001,$A$49,BD!$X$3:$X$5001,"&lt;&gt;")=0,"",SUMIFS(BD!$X$3:$X$5001,BD!$A$3:$A$5001,AF$3,BD!$B$3:$B$5001,$A$49)))</f>
        <v/>
      </c>
      <c r="AG59" s="172" t="str">
        <f>IF(AG$3="","",IF(COUNTIFS(BD!$A$3:$A$5001,AG$3,BD!$B$3:$B$5001,$A$49,BD!$X$3:$X$5001,"&lt;&gt;")=0,"",SUMIFS(BD!$X$3:$X$5001,BD!$A$3:$A$5001,AG$3,BD!$B$3:$B$5001,$A$49)))</f>
        <v/>
      </c>
      <c r="AH59" s="172" t="str">
        <f>IF(AH$3="","",IF(COUNTIFS(BD!$A$3:$A$5001,AH$3,BD!$B$3:$B$5001,$A$49,BD!$X$3:$X$5001,"&lt;&gt;")=0,"",SUMIFS(BD!$X$3:$X$5001,BD!$A$3:$A$5001,AH$3,BD!$B$3:$B$5001,$A$49)))</f>
        <v/>
      </c>
      <c r="AI59" s="172" t="str">
        <f>IF(AI$3="","",IF(COUNTIFS(BD!$A$3:$A$5001,AI$3,BD!$B$3:$B$5001,$A$49,BD!$X$3:$X$5001,"&lt;&gt;")=0,"",SUMIFS(BD!$X$3:$X$5001,BD!$A$3:$A$5001,AI$3,BD!$B$3:$B$5001,$A$49)))</f>
        <v/>
      </c>
      <c r="AJ59" s="173" t="str">
        <f>IF(AJ$3="","",IF(COUNTIFS(BD!$A$3:$A$5001,AJ$3,BD!$B$3:$B$5001,$A$49,BD!$X$3:$X$5001,"&lt;&gt;")=0,"",SUMIFS(BD!$X$3:$X$5001,BD!$A$3:$A$5001,AJ$3,BD!$B$3:$B$5001,$A$49)))</f>
        <v/>
      </c>
      <c r="AK59" s="174" t="str">
        <f>IF(COUNT(F59:AJ59)&gt;0,LOOKUP(9.99E+307,F59:AJ59),IFERROR(IF(INDEX(BD!$AI$3:$AI$5001,MATCH($A$49,BD!$B$3:$B$5001,0))&amp;""="Contrato","",INDEX(BD!$AI$3:$AI$5001,MATCH($A$49,BD!$B$3:$B$5001,0))&amp;""),""))</f>
        <v/>
      </c>
    </row>
    <row r="60" ht="15.75" customHeight="1">
      <c r="A60" s="261"/>
      <c r="B60" s="256"/>
      <c r="C60" s="214" t="inlineStr">
        <is>
          <t xml:space="preserve">Posições Ocupadas</t>
        </is>
      </c>
      <c r="D60" s="215" t="str">
        <f>IFERROR(1/(1/INDEX(BD!$AL$45:$BF$45,MATCH($A$49,BD!$AL$22:$BF$22,0))),"")</f>
        <v/>
      </c>
      <c r="E60" s="216"/>
      <c r="F60" s="217" t="str">
        <f>IF(F$3="","",IF(COUNTIFS(BD!$A$3:$A$5001,F$3,BD!$B$3:$B$5001,$A$49,BD!$Y$3:$Y$5001,"&lt;&gt;")=0,"",SUMIFS(BD!$Y$3:$Y$5001,BD!$A$3:$A$5001,F$3,BD!$B$3:$B$5001,$A$49)))</f>
        <v/>
      </c>
      <c r="G60" s="218" t="str">
        <f>IF(G$3="","",IF(COUNTIFS(BD!$A$3:$A$5001,G$3,BD!$B$3:$B$5001,$A$49,BD!$Y$3:$Y$5001,"&lt;&gt;")=0,"",SUMIFS(BD!$Y$3:$Y$5001,BD!$A$3:$A$5001,G$3,BD!$B$3:$B$5001,$A$49)))</f>
        <v/>
      </c>
      <c r="H60" s="218" t="str">
        <f>IF(H$3="","",IF(COUNTIFS(BD!$A$3:$A$5001,H$3,BD!$B$3:$B$5001,$A$49,BD!$Y$3:$Y$5001,"&lt;&gt;")=0,"",SUMIFS(BD!$Y$3:$Y$5001,BD!$A$3:$A$5001,H$3,BD!$B$3:$B$5001,$A$49)))</f>
        <v/>
      </c>
      <c r="I60" s="218" t="str">
        <f>IF(I$3="","",IF(COUNTIFS(BD!$A$3:$A$5001,I$3,BD!$B$3:$B$5001,$A$49,BD!$Y$3:$Y$5001,"&lt;&gt;")=0,"",SUMIFS(BD!$Y$3:$Y$5001,BD!$A$3:$A$5001,I$3,BD!$B$3:$B$5001,$A$49)))</f>
        <v/>
      </c>
      <c r="J60" s="218" t="str">
        <f>IF(J$3="","",IF(COUNTIFS(BD!$A$3:$A$5001,J$3,BD!$B$3:$B$5001,$A$49,BD!$Y$3:$Y$5001,"&lt;&gt;")=0,"",SUMIFS(BD!$Y$3:$Y$5001,BD!$A$3:$A$5001,J$3,BD!$B$3:$B$5001,$A$49)))</f>
        <v/>
      </c>
      <c r="K60" s="218" t="str">
        <f>IF(K$3="","",IF(COUNTIFS(BD!$A$3:$A$5001,K$3,BD!$B$3:$B$5001,$A$49,BD!$Y$3:$Y$5001,"&lt;&gt;")=0,"",SUMIFS(BD!$Y$3:$Y$5001,BD!$A$3:$A$5001,K$3,BD!$B$3:$B$5001,$A$49)))</f>
        <v/>
      </c>
      <c r="L60" s="218" t="str">
        <f>IF(L$3="","",IF(COUNTIFS(BD!$A$3:$A$5001,L$3,BD!$B$3:$B$5001,$A$49,BD!$Y$3:$Y$5001,"&lt;&gt;")=0,"",SUMIFS(BD!$Y$3:$Y$5001,BD!$A$3:$A$5001,L$3,BD!$B$3:$B$5001,$A$49)))</f>
        <v/>
      </c>
      <c r="M60" s="218" t="str">
        <f>IF(M$3="","",IF(COUNTIFS(BD!$A$3:$A$5001,M$3,BD!$B$3:$B$5001,$A$49,BD!$Y$3:$Y$5001,"&lt;&gt;")=0,"",SUMIFS(BD!$Y$3:$Y$5001,BD!$A$3:$A$5001,M$3,BD!$B$3:$B$5001,$A$49)))</f>
        <v/>
      </c>
      <c r="N60" s="218" t="str">
        <f>IF(N$3="","",IF(COUNTIFS(BD!$A$3:$A$5001,N$3,BD!$B$3:$B$5001,$A$49,BD!$Y$3:$Y$5001,"&lt;&gt;")=0,"",SUMIFS(BD!$Y$3:$Y$5001,BD!$A$3:$A$5001,N$3,BD!$B$3:$B$5001,$A$49)))</f>
        <v/>
      </c>
      <c r="O60" s="218" t="str">
        <f>IF(O$3="","",IF(COUNTIFS(BD!$A$3:$A$5001,O$3,BD!$B$3:$B$5001,$A$49,BD!$Y$3:$Y$5001,"&lt;&gt;")=0,"",SUMIFS(BD!$Y$3:$Y$5001,BD!$A$3:$A$5001,O$3,BD!$B$3:$B$5001,$A$49)))</f>
        <v/>
      </c>
      <c r="P60" s="218" t="str">
        <f>IF(P$3="","",IF(COUNTIFS(BD!$A$3:$A$5001,P$3,BD!$B$3:$B$5001,$A$49,BD!$Y$3:$Y$5001,"&lt;&gt;")=0,"",SUMIFS(BD!$Y$3:$Y$5001,BD!$A$3:$A$5001,P$3,BD!$B$3:$B$5001,$A$49)))</f>
        <v/>
      </c>
      <c r="Q60" s="218" t="str">
        <f>IF(Q$3="","",IF(COUNTIFS(BD!$A$3:$A$5001,Q$3,BD!$B$3:$B$5001,$A$49,BD!$Y$3:$Y$5001,"&lt;&gt;")=0,"",SUMIFS(BD!$Y$3:$Y$5001,BD!$A$3:$A$5001,Q$3,BD!$B$3:$B$5001,$A$49)))</f>
        <v/>
      </c>
      <c r="R60" s="218" t="str">
        <f>IF(R$3="","",IF(COUNTIFS(BD!$A$3:$A$5001,R$3,BD!$B$3:$B$5001,$A$49,BD!$Y$3:$Y$5001,"&lt;&gt;")=0,"",SUMIFS(BD!$Y$3:$Y$5001,BD!$A$3:$A$5001,R$3,BD!$B$3:$B$5001,$A$49)))</f>
        <v/>
      </c>
      <c r="S60" s="218" t="str">
        <f>IF(S$3="","",IF(COUNTIFS(BD!$A$3:$A$5001,S$3,BD!$B$3:$B$5001,$A$49,BD!$Y$3:$Y$5001,"&lt;&gt;")=0,"",SUMIFS(BD!$Y$3:$Y$5001,BD!$A$3:$A$5001,S$3,BD!$B$3:$B$5001,$A$49)))</f>
        <v/>
      </c>
      <c r="T60" s="218" t="str">
        <f>IF(T$3="","",IF(COUNTIFS(BD!$A$3:$A$5001,T$3,BD!$B$3:$B$5001,$A$49,BD!$Y$3:$Y$5001,"&lt;&gt;")=0,"",SUMIFS(BD!$Y$3:$Y$5001,BD!$A$3:$A$5001,T$3,BD!$B$3:$B$5001,$A$49)))</f>
        <v/>
      </c>
      <c r="U60" s="218" t="str">
        <f>IF(U$3="","",IF(COUNTIFS(BD!$A$3:$A$5001,U$3,BD!$B$3:$B$5001,$A$49,BD!$Y$3:$Y$5001,"&lt;&gt;")=0,"",SUMIFS(BD!$Y$3:$Y$5001,BD!$A$3:$A$5001,U$3,BD!$B$3:$B$5001,$A$49)))</f>
        <v/>
      </c>
      <c r="V60" s="218" t="str">
        <f>IF(V$3="","",IF(COUNTIFS(BD!$A$3:$A$5001,V$3,BD!$B$3:$B$5001,$A$49,BD!$Y$3:$Y$5001,"&lt;&gt;")=0,"",SUMIFS(BD!$Y$3:$Y$5001,BD!$A$3:$A$5001,V$3,BD!$B$3:$B$5001,$A$49)))</f>
        <v/>
      </c>
      <c r="W60" s="218" t="str">
        <f>IF(W$3="","",IF(COUNTIFS(BD!$A$3:$A$5001,W$3,BD!$B$3:$B$5001,$A$49,BD!$Y$3:$Y$5001,"&lt;&gt;")=0,"",SUMIFS(BD!$Y$3:$Y$5001,BD!$A$3:$A$5001,W$3,BD!$B$3:$B$5001,$A$49)))</f>
        <v/>
      </c>
      <c r="X60" s="218" t="str">
        <f>IF(X$3="","",IF(COUNTIFS(BD!$A$3:$A$5001,X$3,BD!$B$3:$B$5001,$A$49,BD!$Y$3:$Y$5001,"&lt;&gt;")=0,"",SUMIFS(BD!$Y$3:$Y$5001,BD!$A$3:$A$5001,X$3,BD!$B$3:$B$5001,$A$49)))</f>
        <v/>
      </c>
      <c r="Y60" s="218" t="str">
        <f>IF(Y$3="","",IF(COUNTIFS(BD!$A$3:$A$5001,Y$3,BD!$B$3:$B$5001,$A$49,BD!$Y$3:$Y$5001,"&lt;&gt;")=0,"",SUMIFS(BD!$Y$3:$Y$5001,BD!$A$3:$A$5001,Y$3,BD!$B$3:$B$5001,$A$49)))</f>
        <v/>
      </c>
      <c r="Z60" s="218" t="str">
        <f>IF(Z$3="","",IF(COUNTIFS(BD!$A$3:$A$5001,Z$3,BD!$B$3:$B$5001,$A$49,BD!$Y$3:$Y$5001,"&lt;&gt;")=0,"",SUMIFS(BD!$Y$3:$Y$5001,BD!$A$3:$A$5001,Z$3,BD!$B$3:$B$5001,$A$49)))</f>
        <v/>
      </c>
      <c r="AA60" s="218" t="str">
        <f>IF(AA$3="","",IF(COUNTIFS(BD!$A$3:$A$5001,AA$3,BD!$B$3:$B$5001,$A$49,BD!$Y$3:$Y$5001,"&lt;&gt;")=0,"",SUMIFS(BD!$Y$3:$Y$5001,BD!$A$3:$A$5001,AA$3,BD!$B$3:$B$5001,$A$49)))</f>
        <v/>
      </c>
      <c r="AB60" s="218" t="str">
        <f>IF(AB$3="","",IF(COUNTIFS(BD!$A$3:$A$5001,AB$3,BD!$B$3:$B$5001,$A$49,BD!$Y$3:$Y$5001,"&lt;&gt;")=0,"",SUMIFS(BD!$Y$3:$Y$5001,BD!$A$3:$A$5001,AB$3,BD!$B$3:$B$5001,$A$49)))</f>
        <v/>
      </c>
      <c r="AC60" s="218" t="str">
        <f>IF(AC$3="","",IF(COUNTIFS(BD!$A$3:$A$5001,AC$3,BD!$B$3:$B$5001,$A$49,BD!$Y$3:$Y$5001,"&lt;&gt;")=0,"",SUMIFS(BD!$Y$3:$Y$5001,BD!$A$3:$A$5001,AC$3,BD!$B$3:$B$5001,$A$49)))</f>
        <v/>
      </c>
      <c r="AD60" s="218" t="str">
        <f>IF(AD$3="","",IF(COUNTIFS(BD!$A$3:$A$5001,AD$3,BD!$B$3:$B$5001,$A$49,BD!$Y$3:$Y$5001,"&lt;&gt;")=0,"",SUMIFS(BD!$Y$3:$Y$5001,BD!$A$3:$A$5001,AD$3,BD!$B$3:$B$5001,$A$49)))</f>
        <v/>
      </c>
      <c r="AE60" s="218" t="str">
        <f>IF(AE$3="","",IF(COUNTIFS(BD!$A$3:$A$5001,AE$3,BD!$B$3:$B$5001,$A$49,BD!$Y$3:$Y$5001,"&lt;&gt;")=0,"",SUMIFS(BD!$Y$3:$Y$5001,BD!$A$3:$A$5001,AE$3,BD!$B$3:$B$5001,$A$49)))</f>
        <v/>
      </c>
      <c r="AF60" s="218" t="str">
        <f>IF(AF$3="","",IF(COUNTIFS(BD!$A$3:$A$5001,AF$3,BD!$B$3:$B$5001,$A$49,BD!$Y$3:$Y$5001,"&lt;&gt;")=0,"",SUMIFS(BD!$Y$3:$Y$5001,BD!$A$3:$A$5001,AF$3,BD!$B$3:$B$5001,$A$49)))</f>
        <v/>
      </c>
      <c r="AG60" s="218" t="str">
        <f>IF(AG$3="","",IF(COUNTIFS(BD!$A$3:$A$5001,AG$3,BD!$B$3:$B$5001,$A$49,BD!$Y$3:$Y$5001,"&lt;&gt;")=0,"",SUMIFS(BD!$Y$3:$Y$5001,BD!$A$3:$A$5001,AG$3,BD!$B$3:$B$5001,$A$49)))</f>
        <v/>
      </c>
      <c r="AH60" s="218" t="str">
        <f>IF(AH$3="","",IF(COUNTIFS(BD!$A$3:$A$5001,AH$3,BD!$B$3:$B$5001,$A$49,BD!$Y$3:$Y$5001,"&lt;&gt;")=0,"",SUMIFS(BD!$Y$3:$Y$5001,BD!$A$3:$A$5001,AH$3,BD!$B$3:$B$5001,$A$49)))</f>
        <v/>
      </c>
      <c r="AI60" s="218" t="str">
        <f>IF(AI$3="","",IF(COUNTIFS(BD!$A$3:$A$5001,AI$3,BD!$B$3:$B$5001,$A$49,BD!$Y$3:$Y$5001,"&lt;&gt;")=0,"",SUMIFS(BD!$Y$3:$Y$5001,BD!$A$3:$A$5001,AI$3,BD!$B$3:$B$5001,$A$49)))</f>
        <v/>
      </c>
      <c r="AJ60" s="219" t="str">
        <f>IF(AJ$3="","",IF(COUNTIFS(BD!$A$3:$A$5001,AJ$3,BD!$B$3:$B$5001,$A$49,BD!$Y$3:$Y$5001,"&lt;&gt;")=0,"",SUMIFS(BD!$Y$3:$Y$5001,BD!$A$3:$A$5001,AJ$3,BD!$B$3:$B$5001,$A$49)))</f>
        <v/>
      </c>
      <c r="AK60" s="220" t="str">
        <f>IFERROR(LOOKUP(9.99E+307,F60:AJ60),"")</f>
        <v/>
      </c>
    </row>
    <row r="61" ht="15.75" customHeight="1">
      <c r="A61" s="261"/>
      <c r="B61" s="250"/>
      <c r="C61" s="175" t="inlineStr">
        <is>
          <t xml:space="preserve">Taxa de Ocupação</t>
        </is>
      </c>
      <c r="D61" s="221" t="str">
        <f>IFERROR(1/(1/INDEX(BD!$AL$46:$BF$46,MATCH($A$49,BD!$AL$22:$BF$22,0))),"")</f>
        <v/>
      </c>
      <c r="E61" s="177"/>
      <c r="F61" s="222" t="str">
        <f>IF(AND(ISNUMBER(F59),ISNUMBER(F60)),IF(F59&gt;0,F60/F59,""),"")</f>
        <v/>
      </c>
      <c r="G61" s="223" t="str">
        <f>IF(AND(ISNUMBER(G59),ISNUMBER(G60)),IF(G59&gt;0,G60/G59,""),"")</f>
        <v/>
      </c>
      <c r="H61" s="223" t="str">
        <f>IF(AND(ISNUMBER(H59),ISNUMBER(H60)),IF(H59&gt;0,H60/H59,""),"")</f>
        <v/>
      </c>
      <c r="I61" s="223" t="str">
        <f>IF(AND(ISNUMBER(I59),ISNUMBER(I60)),IF(I59&gt;0,I60/I59,""),"")</f>
        <v/>
      </c>
      <c r="J61" s="223" t="str">
        <f>IF(AND(ISNUMBER(J59),ISNUMBER(J60)),IF(J59&gt;0,J60/J59,""),"")</f>
        <v/>
      </c>
      <c r="K61" s="223" t="str">
        <f>IF(AND(ISNUMBER(K59),ISNUMBER(K60)),IF(K59&gt;0,K60/K59,""),"")</f>
        <v/>
      </c>
      <c r="L61" s="223" t="str">
        <f>IF(AND(ISNUMBER(L59),ISNUMBER(L60)),IF(L59&gt;0,L60/L59,""),"")</f>
        <v/>
      </c>
      <c r="M61" s="223" t="str">
        <f>IF(AND(ISNUMBER(M59),ISNUMBER(M60)),IF(M59&gt;0,M60/M59,""),"")</f>
        <v/>
      </c>
      <c r="N61" s="223" t="str">
        <f>IF(AND(ISNUMBER(N59),ISNUMBER(N60)),IF(N59&gt;0,N60/N59,""),"")</f>
        <v/>
      </c>
      <c r="O61" s="223" t="str">
        <f>IF(AND(ISNUMBER(O59),ISNUMBER(O60)),IF(O59&gt;0,O60/O59,""),"")</f>
        <v/>
      </c>
      <c r="P61" s="223" t="str">
        <f>IF(AND(ISNUMBER(P59),ISNUMBER(P60)),IF(P59&gt;0,P60/P59,""),"")</f>
        <v/>
      </c>
      <c r="Q61" s="223" t="str">
        <f>IF(AND(ISNUMBER(Q59),ISNUMBER(Q60)),IF(Q59&gt;0,Q60/Q59,""),"")</f>
        <v/>
      </c>
      <c r="R61" s="223" t="str">
        <f>IF(AND(ISNUMBER(R59),ISNUMBER(R60)),IF(R59&gt;0,R60/R59,""),"")</f>
        <v/>
      </c>
      <c r="S61" s="223" t="str">
        <f>IF(AND(ISNUMBER(S59),ISNUMBER(S60)),IF(S59&gt;0,S60/S59,""),"")</f>
        <v/>
      </c>
      <c r="T61" s="223" t="str">
        <f>IF(AND(ISNUMBER(T59),ISNUMBER(T60)),IF(T59&gt;0,T60/T59,""),"")</f>
        <v/>
      </c>
      <c r="U61" s="223" t="str">
        <f>IF(AND(ISNUMBER(U59),ISNUMBER(U60)),IF(U59&gt;0,U60/U59,""),"")</f>
        <v/>
      </c>
      <c r="V61" s="223" t="str">
        <f>IF(AND(ISNUMBER(V59),ISNUMBER(V60)),IF(V59&gt;0,V60/V59,""),"")</f>
        <v/>
      </c>
      <c r="W61" s="223" t="str">
        <f>IF(AND(ISNUMBER(W59),ISNUMBER(W60)),IF(W59&gt;0,W60/W59,""),"")</f>
        <v/>
      </c>
      <c r="X61" s="223" t="str">
        <f>IF(AND(ISNUMBER(X59),ISNUMBER(X60)),IF(X59&gt;0,X60/X59,""),"")</f>
        <v/>
      </c>
      <c r="Y61" s="223" t="str">
        <f>IF(AND(ISNUMBER(Y59),ISNUMBER(Y60)),IF(Y59&gt;0,Y60/Y59,""),"")</f>
        <v/>
      </c>
      <c r="Z61" s="223" t="str">
        <f>IF(AND(ISNUMBER(Z59),ISNUMBER(Z60)),IF(Z59&gt;0,Z60/Z59,""),"")</f>
        <v/>
      </c>
      <c r="AA61" s="223" t="str">
        <f>IF(AND(ISNUMBER(AA59),ISNUMBER(AA60)),IF(AA59&gt;0,AA60/AA59,""),"")</f>
        <v/>
      </c>
      <c r="AB61" s="223" t="str">
        <f>IF(AND(ISNUMBER(AB59),ISNUMBER(AB60)),IF(AB59&gt;0,AB60/AB59,""),"")</f>
        <v/>
      </c>
      <c r="AC61" s="223" t="str">
        <f>IF(AND(ISNUMBER(AC59),ISNUMBER(AC60)),IF(AC59&gt;0,AC60/AC59,""),"")</f>
        <v/>
      </c>
      <c r="AD61" s="223" t="str">
        <f>IF(AND(ISNUMBER(AD59),ISNUMBER(AD60)),IF(AD59&gt;0,AD60/AD59,""),"")</f>
        <v/>
      </c>
      <c r="AE61" s="223" t="str">
        <f>IF(AND(ISNUMBER(AE59),ISNUMBER(AE60)),IF(AE59&gt;0,AE60/AE59,""),"")</f>
        <v/>
      </c>
      <c r="AF61" s="223" t="str">
        <f>IF(AND(ISNUMBER(AF59),ISNUMBER(AF60)),IF(AF59&gt;0,AF60/AF59,""),"")</f>
        <v/>
      </c>
      <c r="AG61" s="223" t="str">
        <f>IF(AND(ISNUMBER(AG59),ISNUMBER(AG60)),IF(AG59&gt;0,AG60/AG59,""),"")</f>
        <v/>
      </c>
      <c r="AH61" s="223" t="str">
        <f>IF(AND(ISNUMBER(AH59),ISNUMBER(AH60)),IF(AH59&gt;0,AH60/AH59,""),"")</f>
        <v/>
      </c>
      <c r="AI61" s="223" t="str">
        <f>IF(AND(ISNUMBER(AI59),ISNUMBER(AI60)),IF(AI59&gt;0,AI60/AI59,""),"")</f>
        <v/>
      </c>
      <c r="AJ61" s="224" t="str">
        <f>IF(AND(ISNUMBER(AJ59),ISNUMBER(AJ60)),IF(AJ59&gt;0,AJ60/AJ59,""),"")</f>
        <v/>
      </c>
      <c r="AK61" s="221" t="str">
        <f>IF(AND(ISNUMBER(AK59),ISNUMBER(AK60)),IF(AK59&gt;0,AK60/AK59,""),"")</f>
        <v/>
      </c>
    </row>
    <row r="62" ht="15.75" customHeight="1">
      <c r="A62" s="261"/>
      <c r="B62" s="257" t="inlineStr">
        <is>
          <t xml:space="preserve">GENTE</t>
        </is>
      </c>
      <c r="C62" s="225" t="inlineStr">
        <is>
          <t xml:space="preserve">Efetivo Op.</t>
        </is>
      </c>
      <c r="D62" s="226" t="str">
        <f>IFERROR(1/(1/INDEX(BD!$AL$47:$BF$47,MATCH($A$49,BD!$AL$22:$BF$22,0))),"")</f>
        <v/>
      </c>
      <c r="E62" s="227"/>
      <c r="F62" s="228" t="str">
        <f>IF(F$3="","",IF(COUNTIFS(BD!$A$3:$A$5001,F$3,BD!$B$3:$B$5001,$A$49,BD!$Z$3:$Z$5001,"&lt;&gt;")=0,"",SUMIFS(BD!$Z$3:$Z$5001,BD!$A$3:$A$5001,F$3,BD!$B$3:$B$5001,$A$49)))</f>
        <v/>
      </c>
      <c r="G62" s="229" t="str">
        <f>IF(G$3="","",IF(COUNTIFS(BD!$A$3:$A$5001,G$3,BD!$B$3:$B$5001,$A$49,BD!$Z$3:$Z$5001,"&lt;&gt;")=0,"",SUMIFS(BD!$Z$3:$Z$5001,BD!$A$3:$A$5001,G$3,BD!$B$3:$B$5001,$A$49)))</f>
        <v/>
      </c>
      <c r="H62" s="229" t="str">
        <f>IF(H$3="","",IF(COUNTIFS(BD!$A$3:$A$5001,H$3,BD!$B$3:$B$5001,$A$49,BD!$Z$3:$Z$5001,"&lt;&gt;")=0,"",SUMIFS(BD!$Z$3:$Z$5001,BD!$A$3:$A$5001,H$3,BD!$B$3:$B$5001,$A$49)))</f>
        <v/>
      </c>
      <c r="I62" s="229" t="str">
        <f>IF(I$3="","",IF(COUNTIFS(BD!$A$3:$A$5001,I$3,BD!$B$3:$B$5001,$A$49,BD!$Z$3:$Z$5001,"&lt;&gt;")=0,"",SUMIFS(BD!$Z$3:$Z$5001,BD!$A$3:$A$5001,I$3,BD!$B$3:$B$5001,$A$49)))</f>
        <v/>
      </c>
      <c r="J62" s="229" t="str">
        <f>IF(J$3="","",IF(COUNTIFS(BD!$A$3:$A$5001,J$3,BD!$B$3:$B$5001,$A$49,BD!$Z$3:$Z$5001,"&lt;&gt;")=0,"",SUMIFS(BD!$Z$3:$Z$5001,BD!$A$3:$A$5001,J$3,BD!$B$3:$B$5001,$A$49)))</f>
        <v/>
      </c>
      <c r="K62" s="229" t="str">
        <f>IF(K$3="","",IF(COUNTIFS(BD!$A$3:$A$5001,K$3,BD!$B$3:$B$5001,$A$49,BD!$Z$3:$Z$5001,"&lt;&gt;")=0,"",SUMIFS(BD!$Z$3:$Z$5001,BD!$A$3:$A$5001,K$3,BD!$B$3:$B$5001,$A$49)))</f>
        <v/>
      </c>
      <c r="L62" s="229" t="str">
        <f>IF(L$3="","",IF(COUNTIFS(BD!$A$3:$A$5001,L$3,BD!$B$3:$B$5001,$A$49,BD!$Z$3:$Z$5001,"&lt;&gt;")=0,"",SUMIFS(BD!$Z$3:$Z$5001,BD!$A$3:$A$5001,L$3,BD!$B$3:$B$5001,$A$49)))</f>
        <v/>
      </c>
      <c r="M62" s="229" t="str">
        <f>IF(M$3="","",IF(COUNTIFS(BD!$A$3:$A$5001,M$3,BD!$B$3:$B$5001,$A$49,BD!$Z$3:$Z$5001,"&lt;&gt;")=0,"",SUMIFS(BD!$Z$3:$Z$5001,BD!$A$3:$A$5001,M$3,BD!$B$3:$B$5001,$A$49)))</f>
        <v/>
      </c>
      <c r="N62" s="229" t="str">
        <f>IF(N$3="","",IF(COUNTIFS(BD!$A$3:$A$5001,N$3,BD!$B$3:$B$5001,$A$49,BD!$Z$3:$Z$5001,"&lt;&gt;")=0,"",SUMIFS(BD!$Z$3:$Z$5001,BD!$A$3:$A$5001,N$3,BD!$B$3:$B$5001,$A$49)))</f>
        <v/>
      </c>
      <c r="O62" s="229" t="str">
        <f>IF(O$3="","",IF(COUNTIFS(BD!$A$3:$A$5001,O$3,BD!$B$3:$B$5001,$A$49,BD!$Z$3:$Z$5001,"&lt;&gt;")=0,"",SUMIFS(BD!$Z$3:$Z$5001,BD!$A$3:$A$5001,O$3,BD!$B$3:$B$5001,$A$49)))</f>
        <v/>
      </c>
      <c r="P62" s="229" t="str">
        <f>IF(P$3="","",IF(COUNTIFS(BD!$A$3:$A$5001,P$3,BD!$B$3:$B$5001,$A$49,BD!$Z$3:$Z$5001,"&lt;&gt;")=0,"",SUMIFS(BD!$Z$3:$Z$5001,BD!$A$3:$A$5001,P$3,BD!$B$3:$B$5001,$A$49)))</f>
        <v/>
      </c>
      <c r="Q62" s="229" t="str">
        <f>IF(Q$3="","",IF(COUNTIFS(BD!$A$3:$A$5001,Q$3,BD!$B$3:$B$5001,$A$49,BD!$Z$3:$Z$5001,"&lt;&gt;")=0,"",SUMIFS(BD!$Z$3:$Z$5001,BD!$A$3:$A$5001,Q$3,BD!$B$3:$B$5001,$A$49)))</f>
        <v/>
      </c>
      <c r="R62" s="229" t="str">
        <f>IF(R$3="","",IF(COUNTIFS(BD!$A$3:$A$5001,R$3,BD!$B$3:$B$5001,$A$49,BD!$Z$3:$Z$5001,"&lt;&gt;")=0,"",SUMIFS(BD!$Z$3:$Z$5001,BD!$A$3:$A$5001,R$3,BD!$B$3:$B$5001,$A$49)))</f>
        <v/>
      </c>
      <c r="S62" s="229" t="str">
        <f>IF(S$3="","",IF(COUNTIFS(BD!$A$3:$A$5001,S$3,BD!$B$3:$B$5001,$A$49,BD!$Z$3:$Z$5001,"&lt;&gt;")=0,"",SUMIFS(BD!$Z$3:$Z$5001,BD!$A$3:$A$5001,S$3,BD!$B$3:$B$5001,$A$49)))</f>
        <v/>
      </c>
      <c r="T62" s="229" t="str">
        <f>IF(T$3="","",IF(COUNTIFS(BD!$A$3:$A$5001,T$3,BD!$B$3:$B$5001,$A$49,BD!$Z$3:$Z$5001,"&lt;&gt;")=0,"",SUMIFS(BD!$Z$3:$Z$5001,BD!$A$3:$A$5001,T$3,BD!$B$3:$B$5001,$A$49)))</f>
        <v/>
      </c>
      <c r="U62" s="229" t="str">
        <f>IF(U$3="","",IF(COUNTIFS(BD!$A$3:$A$5001,U$3,BD!$B$3:$B$5001,$A$49,BD!$Z$3:$Z$5001,"&lt;&gt;")=0,"",SUMIFS(BD!$Z$3:$Z$5001,BD!$A$3:$A$5001,U$3,BD!$B$3:$B$5001,$A$49)))</f>
        <v/>
      </c>
      <c r="V62" s="229" t="str">
        <f>IF(V$3="","",IF(COUNTIFS(BD!$A$3:$A$5001,V$3,BD!$B$3:$B$5001,$A$49,BD!$Z$3:$Z$5001,"&lt;&gt;")=0,"",SUMIFS(BD!$Z$3:$Z$5001,BD!$A$3:$A$5001,V$3,BD!$B$3:$B$5001,$A$49)))</f>
        <v/>
      </c>
      <c r="W62" s="229" t="str">
        <f>IF(W$3="","",IF(COUNTIFS(BD!$A$3:$A$5001,W$3,BD!$B$3:$B$5001,$A$49,BD!$Z$3:$Z$5001,"&lt;&gt;")=0,"",SUMIFS(BD!$Z$3:$Z$5001,BD!$A$3:$A$5001,W$3,BD!$B$3:$B$5001,$A$49)))</f>
        <v/>
      </c>
      <c r="X62" s="229" t="str">
        <f>IF(X$3="","",IF(COUNTIFS(BD!$A$3:$A$5001,X$3,BD!$B$3:$B$5001,$A$49,BD!$Z$3:$Z$5001,"&lt;&gt;")=0,"",SUMIFS(BD!$Z$3:$Z$5001,BD!$A$3:$A$5001,X$3,BD!$B$3:$B$5001,$A$49)))</f>
        <v/>
      </c>
      <c r="Y62" s="229" t="str">
        <f>IF(Y$3="","",IF(COUNTIFS(BD!$A$3:$A$5001,Y$3,BD!$B$3:$B$5001,$A$49,BD!$Z$3:$Z$5001,"&lt;&gt;")=0,"",SUMIFS(BD!$Z$3:$Z$5001,BD!$A$3:$A$5001,Y$3,BD!$B$3:$B$5001,$A$49)))</f>
        <v/>
      </c>
      <c r="Z62" s="229" t="str">
        <f>IF(Z$3="","",IF(COUNTIFS(BD!$A$3:$A$5001,Z$3,BD!$B$3:$B$5001,$A$49,BD!$Z$3:$Z$5001,"&lt;&gt;")=0,"",SUMIFS(BD!$Z$3:$Z$5001,BD!$A$3:$A$5001,Z$3,BD!$B$3:$B$5001,$A$49)))</f>
        <v/>
      </c>
      <c r="AA62" s="229" t="str">
        <f>IF(AA$3="","",IF(COUNTIFS(BD!$A$3:$A$5001,AA$3,BD!$B$3:$B$5001,$A$49,BD!$Z$3:$Z$5001,"&lt;&gt;")=0,"",SUMIFS(BD!$Z$3:$Z$5001,BD!$A$3:$A$5001,AA$3,BD!$B$3:$B$5001,$A$49)))</f>
        <v/>
      </c>
      <c r="AB62" s="229" t="str">
        <f>IF(AB$3="","",IF(COUNTIFS(BD!$A$3:$A$5001,AB$3,BD!$B$3:$B$5001,$A$49,BD!$Z$3:$Z$5001,"&lt;&gt;")=0,"",SUMIFS(BD!$Z$3:$Z$5001,BD!$A$3:$A$5001,AB$3,BD!$B$3:$B$5001,$A$49)))</f>
        <v/>
      </c>
      <c r="AC62" s="229" t="str">
        <f>IF(AC$3="","",IF(COUNTIFS(BD!$A$3:$A$5001,AC$3,BD!$B$3:$B$5001,$A$49,BD!$Z$3:$Z$5001,"&lt;&gt;")=0,"",SUMIFS(BD!$Z$3:$Z$5001,BD!$A$3:$A$5001,AC$3,BD!$B$3:$B$5001,$A$49)))</f>
        <v/>
      </c>
      <c r="AD62" s="229" t="str">
        <f>IF(AD$3="","",IF(COUNTIFS(BD!$A$3:$A$5001,AD$3,BD!$B$3:$B$5001,$A$49,BD!$Z$3:$Z$5001,"&lt;&gt;")=0,"",SUMIFS(BD!$Z$3:$Z$5001,BD!$A$3:$A$5001,AD$3,BD!$B$3:$B$5001,$A$49)))</f>
        <v/>
      </c>
      <c r="AE62" s="229" t="str">
        <f>IF(AE$3="","",IF(COUNTIFS(BD!$A$3:$A$5001,AE$3,BD!$B$3:$B$5001,$A$49,BD!$Z$3:$Z$5001,"&lt;&gt;")=0,"",SUMIFS(BD!$Z$3:$Z$5001,BD!$A$3:$A$5001,AE$3,BD!$B$3:$B$5001,$A$49)))</f>
        <v/>
      </c>
      <c r="AF62" s="229" t="str">
        <f>IF(AF$3="","",IF(COUNTIFS(BD!$A$3:$A$5001,AF$3,BD!$B$3:$B$5001,$A$49,BD!$Z$3:$Z$5001,"&lt;&gt;")=0,"",SUMIFS(BD!$Z$3:$Z$5001,BD!$A$3:$A$5001,AF$3,BD!$B$3:$B$5001,$A$49)))</f>
        <v/>
      </c>
      <c r="AG62" s="229" t="str">
        <f>IF(AG$3="","",IF(COUNTIFS(BD!$A$3:$A$5001,AG$3,BD!$B$3:$B$5001,$A$49,BD!$Z$3:$Z$5001,"&lt;&gt;")=0,"",SUMIFS(BD!$Z$3:$Z$5001,BD!$A$3:$A$5001,AG$3,BD!$B$3:$B$5001,$A$49)))</f>
        <v/>
      </c>
      <c r="AH62" s="229" t="str">
        <f>IF(AH$3="","",IF(COUNTIFS(BD!$A$3:$A$5001,AH$3,BD!$B$3:$B$5001,$A$49,BD!$Z$3:$Z$5001,"&lt;&gt;")=0,"",SUMIFS(BD!$Z$3:$Z$5001,BD!$A$3:$A$5001,AH$3,BD!$B$3:$B$5001,$A$49)))</f>
        <v/>
      </c>
      <c r="AI62" s="229" t="str">
        <f>IF(AI$3="","",IF(COUNTIFS(BD!$A$3:$A$5001,AI$3,BD!$B$3:$B$5001,$A$49,BD!$Z$3:$Z$5001,"&lt;&gt;")=0,"",SUMIFS(BD!$Z$3:$Z$5001,BD!$A$3:$A$5001,AI$3,BD!$B$3:$B$5001,$A$49)))</f>
        <v/>
      </c>
      <c r="AJ62" s="230" t="str">
        <f>IF(AJ$3="","",IF(COUNTIFS(BD!$A$3:$A$5001,AJ$3,BD!$B$3:$B$5001,$A$49,BD!$Z$3:$Z$5001,"&lt;&gt;")=0,"",SUMIFS(BD!$Z$3:$Z$5001,BD!$A$3:$A$5001,AJ$3,BD!$B$3:$B$5001,$A$49)))</f>
        <v/>
      </c>
      <c r="AK62" s="231" t="str">
        <f>IFERROR(LOOKUP(9.99E+307,F62:AJ62),"")</f>
        <v/>
      </c>
    </row>
    <row r="63" ht="15.75" customHeight="1">
      <c r="A63" s="261"/>
      <c r="B63" s="258"/>
      <c r="C63" s="232" t="inlineStr">
        <is>
          <t xml:space="preserve">Falta</t>
        </is>
      </c>
      <c r="D63" s="233" t="str">
        <f>IFERROR(1/(1/INDEX(BD!$AL$48:$BF$48,MATCH($A$49,BD!$AL$22:$BF$22,0))),"")</f>
        <v/>
      </c>
      <c r="E63" s="234"/>
      <c r="F63" s="235" t="str">
        <f>IF(F$3="","",IF(COUNTIFS(BD!$A$3:$A$5001,F$3,BD!$B$3:$B$5001,$A$49,BD!$AA$3:$AA$5001,"&lt;&gt;")=0,"",SUMIFS(BD!$AA$3:$AA$5001,BD!$A$3:$A$5001,F$3,BD!$B$3:$B$5001,$A$49)))</f>
        <v/>
      </c>
      <c r="G63" s="236" t="str">
        <f>IF(G$3="","",IF(COUNTIFS(BD!$A$3:$A$5001,G$3,BD!$B$3:$B$5001,$A$49,BD!$AA$3:$AA$5001,"&lt;&gt;")=0,"",SUMIFS(BD!$AA$3:$AA$5001,BD!$A$3:$A$5001,G$3,BD!$B$3:$B$5001,$A$49)))</f>
        <v/>
      </c>
      <c r="H63" s="236" t="str">
        <f>IF(H$3="","",IF(COUNTIFS(BD!$A$3:$A$5001,H$3,BD!$B$3:$B$5001,$A$49,BD!$AA$3:$AA$5001,"&lt;&gt;")=0,"",SUMIFS(BD!$AA$3:$AA$5001,BD!$A$3:$A$5001,H$3,BD!$B$3:$B$5001,$A$49)))</f>
        <v/>
      </c>
      <c r="I63" s="236" t="str">
        <f>IF(I$3="","",IF(COUNTIFS(BD!$A$3:$A$5001,I$3,BD!$B$3:$B$5001,$A$49,BD!$AA$3:$AA$5001,"&lt;&gt;")=0,"",SUMIFS(BD!$AA$3:$AA$5001,BD!$A$3:$A$5001,I$3,BD!$B$3:$B$5001,$A$49)))</f>
        <v/>
      </c>
      <c r="J63" s="236" t="str">
        <f>IF(J$3="","",IF(COUNTIFS(BD!$A$3:$A$5001,J$3,BD!$B$3:$B$5001,$A$49,BD!$AA$3:$AA$5001,"&lt;&gt;")=0,"",SUMIFS(BD!$AA$3:$AA$5001,BD!$A$3:$A$5001,J$3,BD!$B$3:$B$5001,$A$49)))</f>
        <v/>
      </c>
      <c r="K63" s="236" t="str">
        <f>IF(K$3="","",IF(COUNTIFS(BD!$A$3:$A$5001,K$3,BD!$B$3:$B$5001,$A$49,BD!$AA$3:$AA$5001,"&lt;&gt;")=0,"",SUMIFS(BD!$AA$3:$AA$5001,BD!$A$3:$A$5001,K$3,BD!$B$3:$B$5001,$A$49)))</f>
        <v/>
      </c>
      <c r="L63" s="236" t="str">
        <f>IF(L$3="","",IF(COUNTIFS(BD!$A$3:$A$5001,L$3,BD!$B$3:$B$5001,$A$49,BD!$AA$3:$AA$5001,"&lt;&gt;")=0,"",SUMIFS(BD!$AA$3:$AA$5001,BD!$A$3:$A$5001,L$3,BD!$B$3:$B$5001,$A$49)))</f>
        <v/>
      </c>
      <c r="M63" s="236" t="str">
        <f>IF(M$3="","",IF(COUNTIFS(BD!$A$3:$A$5001,M$3,BD!$B$3:$B$5001,$A$49,BD!$AA$3:$AA$5001,"&lt;&gt;")=0,"",SUMIFS(BD!$AA$3:$AA$5001,BD!$A$3:$A$5001,M$3,BD!$B$3:$B$5001,$A$49)))</f>
        <v/>
      </c>
      <c r="N63" s="236" t="str">
        <f>IF(N$3="","",IF(COUNTIFS(BD!$A$3:$A$5001,N$3,BD!$B$3:$B$5001,$A$49,BD!$AA$3:$AA$5001,"&lt;&gt;")=0,"",SUMIFS(BD!$AA$3:$AA$5001,BD!$A$3:$A$5001,N$3,BD!$B$3:$B$5001,$A$49)))</f>
        <v/>
      </c>
      <c r="O63" s="236" t="str">
        <f>IF(O$3="","",IF(COUNTIFS(BD!$A$3:$A$5001,O$3,BD!$B$3:$B$5001,$A$49,BD!$AA$3:$AA$5001,"&lt;&gt;")=0,"",SUMIFS(BD!$AA$3:$AA$5001,BD!$A$3:$A$5001,O$3,BD!$B$3:$B$5001,$A$49)))</f>
        <v/>
      </c>
      <c r="P63" s="236" t="str">
        <f>IF(P$3="","",IF(COUNTIFS(BD!$A$3:$A$5001,P$3,BD!$B$3:$B$5001,$A$49,BD!$AA$3:$AA$5001,"&lt;&gt;")=0,"",SUMIFS(BD!$AA$3:$AA$5001,BD!$A$3:$A$5001,P$3,BD!$B$3:$B$5001,$A$49)))</f>
        <v/>
      </c>
      <c r="Q63" s="236" t="str">
        <f>IF(Q$3="","",IF(COUNTIFS(BD!$A$3:$A$5001,Q$3,BD!$B$3:$B$5001,$A$49,BD!$AA$3:$AA$5001,"&lt;&gt;")=0,"",SUMIFS(BD!$AA$3:$AA$5001,BD!$A$3:$A$5001,Q$3,BD!$B$3:$B$5001,$A$49)))</f>
        <v/>
      </c>
      <c r="R63" s="236" t="str">
        <f>IF(R$3="","",IF(COUNTIFS(BD!$A$3:$A$5001,R$3,BD!$B$3:$B$5001,$A$49,BD!$AA$3:$AA$5001,"&lt;&gt;")=0,"",SUMIFS(BD!$AA$3:$AA$5001,BD!$A$3:$A$5001,R$3,BD!$B$3:$B$5001,$A$49)))</f>
        <v/>
      </c>
      <c r="S63" s="236" t="str">
        <f>IF(S$3="","",IF(COUNTIFS(BD!$A$3:$A$5001,S$3,BD!$B$3:$B$5001,$A$49,BD!$AA$3:$AA$5001,"&lt;&gt;")=0,"",SUMIFS(BD!$AA$3:$AA$5001,BD!$A$3:$A$5001,S$3,BD!$B$3:$B$5001,$A$49)))</f>
        <v/>
      </c>
      <c r="T63" s="236" t="str">
        <f>IF(T$3="","",IF(COUNTIFS(BD!$A$3:$A$5001,T$3,BD!$B$3:$B$5001,$A$49,BD!$AA$3:$AA$5001,"&lt;&gt;")=0,"",SUMIFS(BD!$AA$3:$AA$5001,BD!$A$3:$A$5001,T$3,BD!$B$3:$B$5001,$A$49)))</f>
        <v/>
      </c>
      <c r="U63" s="236" t="str">
        <f>IF(U$3="","",IF(COUNTIFS(BD!$A$3:$A$5001,U$3,BD!$B$3:$B$5001,$A$49,BD!$AA$3:$AA$5001,"&lt;&gt;")=0,"",SUMIFS(BD!$AA$3:$AA$5001,BD!$A$3:$A$5001,U$3,BD!$B$3:$B$5001,$A$49)))</f>
        <v/>
      </c>
      <c r="V63" s="236" t="str">
        <f>IF(V$3="","",IF(COUNTIFS(BD!$A$3:$A$5001,V$3,BD!$B$3:$B$5001,$A$49,BD!$AA$3:$AA$5001,"&lt;&gt;")=0,"",SUMIFS(BD!$AA$3:$AA$5001,BD!$A$3:$A$5001,V$3,BD!$B$3:$B$5001,$A$49)))</f>
        <v/>
      </c>
      <c r="W63" s="236" t="str">
        <f>IF(W$3="","",IF(COUNTIFS(BD!$A$3:$A$5001,W$3,BD!$B$3:$B$5001,$A$49,BD!$AA$3:$AA$5001,"&lt;&gt;")=0,"",SUMIFS(BD!$AA$3:$AA$5001,BD!$A$3:$A$5001,W$3,BD!$B$3:$B$5001,$A$49)))</f>
        <v/>
      </c>
      <c r="X63" s="236" t="str">
        <f>IF(X$3="","",IF(COUNTIFS(BD!$A$3:$A$5001,X$3,BD!$B$3:$B$5001,$A$49,BD!$AA$3:$AA$5001,"&lt;&gt;")=0,"",SUMIFS(BD!$AA$3:$AA$5001,BD!$A$3:$A$5001,X$3,BD!$B$3:$B$5001,$A$49)))</f>
        <v/>
      </c>
      <c r="Y63" s="236" t="str">
        <f>IF(Y$3="","",IF(COUNTIFS(BD!$A$3:$A$5001,Y$3,BD!$B$3:$B$5001,$A$49,BD!$AA$3:$AA$5001,"&lt;&gt;")=0,"",SUMIFS(BD!$AA$3:$AA$5001,BD!$A$3:$A$5001,Y$3,BD!$B$3:$B$5001,$A$49)))</f>
        <v/>
      </c>
      <c r="Z63" s="236" t="str">
        <f>IF(Z$3="","",IF(COUNTIFS(BD!$A$3:$A$5001,Z$3,BD!$B$3:$B$5001,$A$49,BD!$AA$3:$AA$5001,"&lt;&gt;")=0,"",SUMIFS(BD!$AA$3:$AA$5001,BD!$A$3:$A$5001,Z$3,BD!$B$3:$B$5001,$A$49)))</f>
        <v/>
      </c>
      <c r="AA63" s="236" t="str">
        <f>IF(AA$3="","",IF(COUNTIFS(BD!$A$3:$A$5001,AA$3,BD!$B$3:$B$5001,$A$49,BD!$AA$3:$AA$5001,"&lt;&gt;")=0,"",SUMIFS(BD!$AA$3:$AA$5001,BD!$A$3:$A$5001,AA$3,BD!$B$3:$B$5001,$A$49)))</f>
        <v/>
      </c>
      <c r="AB63" s="236" t="str">
        <f>IF(AB$3="","",IF(COUNTIFS(BD!$A$3:$A$5001,AB$3,BD!$B$3:$B$5001,$A$49,BD!$AA$3:$AA$5001,"&lt;&gt;")=0,"",SUMIFS(BD!$AA$3:$AA$5001,BD!$A$3:$A$5001,AB$3,BD!$B$3:$B$5001,$A$49)))</f>
        <v/>
      </c>
      <c r="AC63" s="236" t="str">
        <f>IF(AC$3="","",IF(COUNTIFS(BD!$A$3:$A$5001,AC$3,BD!$B$3:$B$5001,$A$49,BD!$AA$3:$AA$5001,"&lt;&gt;")=0,"",SUMIFS(BD!$AA$3:$AA$5001,BD!$A$3:$A$5001,AC$3,BD!$B$3:$B$5001,$A$49)))</f>
        <v/>
      </c>
      <c r="AD63" s="236" t="str">
        <f>IF(AD$3="","",IF(COUNTIFS(BD!$A$3:$A$5001,AD$3,BD!$B$3:$B$5001,$A$49,BD!$AA$3:$AA$5001,"&lt;&gt;")=0,"",SUMIFS(BD!$AA$3:$AA$5001,BD!$A$3:$A$5001,AD$3,BD!$B$3:$B$5001,$A$49)))</f>
        <v/>
      </c>
      <c r="AE63" s="236" t="str">
        <f>IF(AE$3="","",IF(COUNTIFS(BD!$A$3:$A$5001,AE$3,BD!$B$3:$B$5001,$A$49,BD!$AA$3:$AA$5001,"&lt;&gt;")=0,"",SUMIFS(BD!$AA$3:$AA$5001,BD!$A$3:$A$5001,AE$3,BD!$B$3:$B$5001,$A$49)))</f>
        <v/>
      </c>
      <c r="AF63" s="236" t="str">
        <f>IF(AF$3="","",IF(COUNTIFS(BD!$A$3:$A$5001,AF$3,BD!$B$3:$B$5001,$A$49,BD!$AA$3:$AA$5001,"&lt;&gt;")=0,"",SUMIFS(BD!$AA$3:$AA$5001,BD!$A$3:$A$5001,AF$3,BD!$B$3:$B$5001,$A$49)))</f>
        <v/>
      </c>
      <c r="AG63" s="236" t="str">
        <f>IF(AG$3="","",IF(COUNTIFS(BD!$A$3:$A$5001,AG$3,BD!$B$3:$B$5001,$A$49,BD!$AA$3:$AA$5001,"&lt;&gt;")=0,"",SUMIFS(BD!$AA$3:$AA$5001,BD!$A$3:$A$5001,AG$3,BD!$B$3:$B$5001,$A$49)))</f>
        <v/>
      </c>
      <c r="AH63" s="236" t="str">
        <f>IF(AH$3="","",IF(COUNTIFS(BD!$A$3:$A$5001,AH$3,BD!$B$3:$B$5001,$A$49,BD!$AA$3:$AA$5001,"&lt;&gt;")=0,"",SUMIFS(BD!$AA$3:$AA$5001,BD!$A$3:$A$5001,AH$3,BD!$B$3:$B$5001,$A$49)))</f>
        <v/>
      </c>
      <c r="AI63" s="236" t="str">
        <f>IF(AI$3="","",IF(COUNTIFS(BD!$A$3:$A$5001,AI$3,BD!$B$3:$B$5001,$A$49,BD!$AA$3:$AA$5001,"&lt;&gt;")=0,"",SUMIFS(BD!$AA$3:$AA$5001,BD!$A$3:$A$5001,AI$3,BD!$B$3:$B$5001,$A$49)))</f>
        <v/>
      </c>
      <c r="AJ63" s="237" t="str">
        <f>IF(AJ$3="","",IF(COUNTIFS(BD!$A$3:$A$5001,AJ$3,BD!$B$3:$B$5001,$A$49,BD!$AA$3:$AA$5001,"&lt;&gt;")=0,"",SUMIFS(BD!$AA$3:$AA$5001,BD!$A$3:$A$5001,AJ$3,BD!$B$3:$B$5001,$A$49)))</f>
        <v/>
      </c>
      <c r="AK63" s="238" t="str">
        <f>IF(COUNT(F63:AJ63)=0,"",SUM(F63:AJ63))</f>
        <v/>
      </c>
    </row>
    <row r="64" ht="15.75" customHeight="1">
      <c r="A64" s="261"/>
      <c r="B64" s="258"/>
      <c r="C64" s="232" t="inlineStr">
        <is>
          <t xml:space="preserve">Absenteísmo (H/H)</t>
        </is>
      </c>
      <c r="D64" s="233" t="str">
        <f>IFERROR(1/(1/INDEX(BD!$AL$49:$BF$49,MATCH($A$49,BD!$AL$22:$BF$22,0))),"")</f>
        <v/>
      </c>
      <c r="E64" s="234"/>
      <c r="F64" s="239" t="str">
        <f>IF(F$3="","",IF(COUNTIFS(BD!$A$3:$A$5001,F$3,BD!$B$3:$B$5001,$A$49,BD!$AB$3:$AB$5001,"&lt;&gt;")=0,"",SUMIFS(BD!$AB$3:$AB$5001,BD!$A$3:$A$5001,F$3,BD!$B$3:$B$5001,$A$49)))</f>
        <v/>
      </c>
      <c r="G64" s="240" t="str">
        <f>IF(G$3="","",IF(COUNTIFS(BD!$A$3:$A$5001,G$3,BD!$B$3:$B$5001,$A$49,BD!$AB$3:$AB$5001,"&lt;&gt;")=0,"",SUMIFS(BD!$AB$3:$AB$5001,BD!$A$3:$A$5001,G$3,BD!$B$3:$B$5001,$A$49)))</f>
        <v/>
      </c>
      <c r="H64" s="240" t="str">
        <f>IF(H$3="","",IF(COUNTIFS(BD!$A$3:$A$5001,H$3,BD!$B$3:$B$5001,$A$49,BD!$AB$3:$AB$5001,"&lt;&gt;")=0,"",SUMIFS(BD!$AB$3:$AB$5001,BD!$A$3:$A$5001,H$3,BD!$B$3:$B$5001,$A$49)))</f>
        <v/>
      </c>
      <c r="I64" s="240" t="str">
        <f>IF(I$3="","",IF(COUNTIFS(BD!$A$3:$A$5001,I$3,BD!$B$3:$B$5001,$A$49,BD!$AB$3:$AB$5001,"&lt;&gt;")=0,"",SUMIFS(BD!$AB$3:$AB$5001,BD!$A$3:$A$5001,I$3,BD!$B$3:$B$5001,$A$49)))</f>
        <v/>
      </c>
      <c r="J64" s="240" t="str">
        <f>IF(J$3="","",IF(COUNTIFS(BD!$A$3:$A$5001,J$3,BD!$B$3:$B$5001,$A$49,BD!$AB$3:$AB$5001,"&lt;&gt;")=0,"",SUMIFS(BD!$AB$3:$AB$5001,BD!$A$3:$A$5001,J$3,BD!$B$3:$B$5001,$A$49)))</f>
        <v/>
      </c>
      <c r="K64" s="240" t="str">
        <f>IF(K$3="","",IF(COUNTIFS(BD!$A$3:$A$5001,K$3,BD!$B$3:$B$5001,$A$49,BD!$AB$3:$AB$5001,"&lt;&gt;")=0,"",SUMIFS(BD!$AB$3:$AB$5001,BD!$A$3:$A$5001,K$3,BD!$B$3:$B$5001,$A$49)))</f>
        <v/>
      </c>
      <c r="L64" s="240" t="str">
        <f>IF(L$3="","",IF(COUNTIFS(BD!$A$3:$A$5001,L$3,BD!$B$3:$B$5001,$A$49,BD!$AB$3:$AB$5001,"&lt;&gt;")=0,"",SUMIFS(BD!$AB$3:$AB$5001,BD!$A$3:$A$5001,L$3,BD!$B$3:$B$5001,$A$49)))</f>
        <v/>
      </c>
      <c r="M64" s="240" t="str">
        <f>IF(M$3="","",IF(COUNTIFS(BD!$A$3:$A$5001,M$3,BD!$B$3:$B$5001,$A$49,BD!$AB$3:$AB$5001,"&lt;&gt;")=0,"",SUMIFS(BD!$AB$3:$AB$5001,BD!$A$3:$A$5001,M$3,BD!$B$3:$B$5001,$A$49)))</f>
        <v/>
      </c>
      <c r="N64" s="240" t="str">
        <f>IF(N$3="","",IF(COUNTIFS(BD!$A$3:$A$5001,N$3,BD!$B$3:$B$5001,$A$49,BD!$AB$3:$AB$5001,"&lt;&gt;")=0,"",SUMIFS(BD!$AB$3:$AB$5001,BD!$A$3:$A$5001,N$3,BD!$B$3:$B$5001,$A$49)))</f>
        <v/>
      </c>
      <c r="O64" s="240" t="str">
        <f>IF(O$3="","",IF(COUNTIFS(BD!$A$3:$A$5001,O$3,BD!$B$3:$B$5001,$A$49,BD!$AB$3:$AB$5001,"&lt;&gt;")=0,"",SUMIFS(BD!$AB$3:$AB$5001,BD!$A$3:$A$5001,O$3,BD!$B$3:$B$5001,$A$49)))</f>
        <v/>
      </c>
      <c r="P64" s="240" t="str">
        <f>IF(P$3="","",IF(COUNTIFS(BD!$A$3:$A$5001,P$3,BD!$B$3:$B$5001,$A$49,BD!$AB$3:$AB$5001,"&lt;&gt;")=0,"",SUMIFS(BD!$AB$3:$AB$5001,BD!$A$3:$A$5001,P$3,BD!$B$3:$B$5001,$A$49)))</f>
        <v/>
      </c>
      <c r="Q64" s="240" t="str">
        <f>IF(Q$3="","",IF(COUNTIFS(BD!$A$3:$A$5001,Q$3,BD!$B$3:$B$5001,$A$49,BD!$AB$3:$AB$5001,"&lt;&gt;")=0,"",SUMIFS(BD!$AB$3:$AB$5001,BD!$A$3:$A$5001,Q$3,BD!$B$3:$B$5001,$A$49)))</f>
        <v/>
      </c>
      <c r="R64" s="240" t="str">
        <f>IF(R$3="","",IF(COUNTIFS(BD!$A$3:$A$5001,R$3,BD!$B$3:$B$5001,$A$49,BD!$AB$3:$AB$5001,"&lt;&gt;")=0,"",SUMIFS(BD!$AB$3:$AB$5001,BD!$A$3:$A$5001,R$3,BD!$B$3:$B$5001,$A$49)))</f>
        <v/>
      </c>
      <c r="S64" s="240" t="str">
        <f>IF(S$3="","",IF(COUNTIFS(BD!$A$3:$A$5001,S$3,BD!$B$3:$B$5001,$A$49,BD!$AB$3:$AB$5001,"&lt;&gt;")=0,"",SUMIFS(BD!$AB$3:$AB$5001,BD!$A$3:$A$5001,S$3,BD!$B$3:$B$5001,$A$49)))</f>
        <v/>
      </c>
      <c r="T64" s="240" t="str">
        <f>IF(T$3="","",IF(COUNTIFS(BD!$A$3:$A$5001,T$3,BD!$B$3:$B$5001,$A$49,BD!$AB$3:$AB$5001,"&lt;&gt;")=0,"",SUMIFS(BD!$AB$3:$AB$5001,BD!$A$3:$A$5001,T$3,BD!$B$3:$B$5001,$A$49)))</f>
        <v/>
      </c>
      <c r="U64" s="240" t="str">
        <f>IF(U$3="","",IF(COUNTIFS(BD!$A$3:$A$5001,U$3,BD!$B$3:$B$5001,$A$49,BD!$AB$3:$AB$5001,"&lt;&gt;")=0,"",SUMIFS(BD!$AB$3:$AB$5001,BD!$A$3:$A$5001,U$3,BD!$B$3:$B$5001,$A$49)))</f>
        <v/>
      </c>
      <c r="V64" s="240" t="str">
        <f>IF(V$3="","",IF(COUNTIFS(BD!$A$3:$A$5001,V$3,BD!$B$3:$B$5001,$A$49,BD!$AB$3:$AB$5001,"&lt;&gt;")=0,"",SUMIFS(BD!$AB$3:$AB$5001,BD!$A$3:$A$5001,V$3,BD!$B$3:$B$5001,$A$49)))</f>
        <v/>
      </c>
      <c r="W64" s="240" t="str">
        <f>IF(W$3="","",IF(COUNTIFS(BD!$A$3:$A$5001,W$3,BD!$B$3:$B$5001,$A$49,BD!$AB$3:$AB$5001,"&lt;&gt;")=0,"",SUMIFS(BD!$AB$3:$AB$5001,BD!$A$3:$A$5001,W$3,BD!$B$3:$B$5001,$A$49)))</f>
        <v/>
      </c>
      <c r="X64" s="240" t="str">
        <f>IF(X$3="","",IF(COUNTIFS(BD!$A$3:$A$5001,X$3,BD!$B$3:$B$5001,$A$49,BD!$AB$3:$AB$5001,"&lt;&gt;")=0,"",SUMIFS(BD!$AB$3:$AB$5001,BD!$A$3:$A$5001,X$3,BD!$B$3:$B$5001,$A$49)))</f>
        <v/>
      </c>
      <c r="Y64" s="240" t="str">
        <f>IF(Y$3="","",IF(COUNTIFS(BD!$A$3:$A$5001,Y$3,BD!$B$3:$B$5001,$A$49,BD!$AB$3:$AB$5001,"&lt;&gt;")=0,"",SUMIFS(BD!$AB$3:$AB$5001,BD!$A$3:$A$5001,Y$3,BD!$B$3:$B$5001,$A$49)))</f>
        <v/>
      </c>
      <c r="Z64" s="240" t="str">
        <f>IF(Z$3="","",IF(COUNTIFS(BD!$A$3:$A$5001,Z$3,BD!$B$3:$B$5001,$A$49,BD!$AB$3:$AB$5001,"&lt;&gt;")=0,"",SUMIFS(BD!$AB$3:$AB$5001,BD!$A$3:$A$5001,Z$3,BD!$B$3:$B$5001,$A$49)))</f>
        <v/>
      </c>
      <c r="AA64" s="240" t="str">
        <f>IF(AA$3="","",IF(COUNTIFS(BD!$A$3:$A$5001,AA$3,BD!$B$3:$B$5001,$A$49,BD!$AB$3:$AB$5001,"&lt;&gt;")=0,"",SUMIFS(BD!$AB$3:$AB$5001,BD!$A$3:$A$5001,AA$3,BD!$B$3:$B$5001,$A$49)))</f>
        <v/>
      </c>
      <c r="AB64" s="240" t="str">
        <f>IF(AB$3="","",IF(COUNTIFS(BD!$A$3:$A$5001,AB$3,BD!$B$3:$B$5001,$A$49,BD!$AB$3:$AB$5001,"&lt;&gt;")=0,"",SUMIFS(BD!$AB$3:$AB$5001,BD!$A$3:$A$5001,AB$3,BD!$B$3:$B$5001,$A$49)))</f>
        <v/>
      </c>
      <c r="AC64" s="240" t="str">
        <f>IF(AC$3="","",IF(COUNTIFS(BD!$A$3:$A$5001,AC$3,BD!$B$3:$B$5001,$A$49,BD!$AB$3:$AB$5001,"&lt;&gt;")=0,"",SUMIFS(BD!$AB$3:$AB$5001,BD!$A$3:$A$5001,AC$3,BD!$B$3:$B$5001,$A$49)))</f>
        <v/>
      </c>
      <c r="AD64" s="240" t="str">
        <f>IF(AD$3="","",IF(COUNTIFS(BD!$A$3:$A$5001,AD$3,BD!$B$3:$B$5001,$A$49,BD!$AB$3:$AB$5001,"&lt;&gt;")=0,"",SUMIFS(BD!$AB$3:$AB$5001,BD!$A$3:$A$5001,AD$3,BD!$B$3:$B$5001,$A$49)))</f>
        <v/>
      </c>
      <c r="AE64" s="240" t="str">
        <f>IF(AE$3="","",IF(COUNTIFS(BD!$A$3:$A$5001,AE$3,BD!$B$3:$B$5001,$A$49,BD!$AB$3:$AB$5001,"&lt;&gt;")=0,"",SUMIFS(BD!$AB$3:$AB$5001,BD!$A$3:$A$5001,AE$3,BD!$B$3:$B$5001,$A$49)))</f>
        <v/>
      </c>
      <c r="AF64" s="240" t="str">
        <f>IF(AF$3="","",IF(COUNTIFS(BD!$A$3:$A$5001,AF$3,BD!$B$3:$B$5001,$A$49,BD!$AB$3:$AB$5001,"&lt;&gt;")=0,"",SUMIFS(BD!$AB$3:$AB$5001,BD!$A$3:$A$5001,AF$3,BD!$B$3:$B$5001,$A$49)))</f>
        <v/>
      </c>
      <c r="AG64" s="240" t="str">
        <f>IF(AG$3="","",IF(COUNTIFS(BD!$A$3:$A$5001,AG$3,BD!$B$3:$B$5001,$A$49,BD!$AB$3:$AB$5001,"&lt;&gt;")=0,"",SUMIFS(BD!$AB$3:$AB$5001,BD!$A$3:$A$5001,AG$3,BD!$B$3:$B$5001,$A$49)))</f>
        <v/>
      </c>
      <c r="AH64" s="240" t="str">
        <f>IF(AH$3="","",IF(COUNTIFS(BD!$A$3:$A$5001,AH$3,BD!$B$3:$B$5001,$A$49,BD!$AB$3:$AB$5001,"&lt;&gt;")=0,"",SUMIFS(BD!$AB$3:$AB$5001,BD!$A$3:$A$5001,AH$3,BD!$B$3:$B$5001,$A$49)))</f>
        <v/>
      </c>
      <c r="AI64" s="240" t="str">
        <f>IF(AI$3="","",IF(COUNTIFS(BD!$A$3:$A$5001,AI$3,BD!$B$3:$B$5001,$A$49,BD!$AB$3:$AB$5001,"&lt;&gt;")=0,"",SUMIFS(BD!$AB$3:$AB$5001,BD!$A$3:$A$5001,AI$3,BD!$B$3:$B$5001,$A$49)))</f>
        <v/>
      </c>
      <c r="AJ64" s="241" t="str">
        <f>IF(AJ$3="","",IF(COUNTIFS(BD!$A$3:$A$5001,AJ$3,BD!$B$3:$B$5001,$A$49,BD!$AB$3:$AB$5001,"&lt;&gt;")=0,"",SUMIFS(BD!$AB$3:$AB$5001,BD!$A$3:$A$5001,AJ$3,BD!$B$3:$B$5001,$A$49)))</f>
        <v/>
      </c>
      <c r="AK64" s="242" t="str">
        <f>IF(COUNT(F64:AJ64)=0,"",SUM(F64:AJ64))</f>
        <v/>
      </c>
    </row>
    <row r="65" ht="15.75" customHeight="1">
      <c r="A65" s="261"/>
      <c r="B65" s="258"/>
      <c r="C65" s="232" t="inlineStr">
        <is>
          <t xml:space="preserve">Folga</t>
        </is>
      </c>
      <c r="D65" s="233" t="str">
        <f>IFERROR(1/(1/INDEX(BD!$AL$50:$BF$50,MATCH($A$49,BD!$AL$22:$BF$22,0))),"")</f>
        <v/>
      </c>
      <c r="E65" s="234"/>
      <c r="F65" s="235" t="str">
        <f>IF(F$3="","",IF(COUNTIFS(BD!$A$3:$A$5001,F$3,BD!$B$3:$B$5001,$A$49,BD!$AC$3:$AC$5001,"&lt;&gt;")=0,"",SUMIFS(BD!$AC$3:$AC$5001,BD!$A$3:$A$5001,F$3,BD!$B$3:$B$5001,$A$49)))</f>
        <v/>
      </c>
      <c r="G65" s="236" t="str">
        <f>IF(G$3="","",IF(COUNTIFS(BD!$A$3:$A$5001,G$3,BD!$B$3:$B$5001,$A$49,BD!$AC$3:$AC$5001,"&lt;&gt;")=0,"",SUMIFS(BD!$AC$3:$AC$5001,BD!$A$3:$A$5001,G$3,BD!$B$3:$B$5001,$A$49)))</f>
        <v/>
      </c>
      <c r="H65" s="236" t="str">
        <f>IF(H$3="","",IF(COUNTIFS(BD!$A$3:$A$5001,H$3,BD!$B$3:$B$5001,$A$49,BD!$AC$3:$AC$5001,"&lt;&gt;")=0,"",SUMIFS(BD!$AC$3:$AC$5001,BD!$A$3:$A$5001,H$3,BD!$B$3:$B$5001,$A$49)))</f>
        <v/>
      </c>
      <c r="I65" s="236" t="str">
        <f>IF(I$3="","",IF(COUNTIFS(BD!$A$3:$A$5001,I$3,BD!$B$3:$B$5001,$A$49,BD!$AC$3:$AC$5001,"&lt;&gt;")=0,"",SUMIFS(BD!$AC$3:$AC$5001,BD!$A$3:$A$5001,I$3,BD!$B$3:$B$5001,$A$49)))</f>
        <v/>
      </c>
      <c r="J65" s="236" t="str">
        <f>IF(J$3="","",IF(COUNTIFS(BD!$A$3:$A$5001,J$3,BD!$B$3:$B$5001,$A$49,BD!$AC$3:$AC$5001,"&lt;&gt;")=0,"",SUMIFS(BD!$AC$3:$AC$5001,BD!$A$3:$A$5001,J$3,BD!$B$3:$B$5001,$A$49)))</f>
        <v/>
      </c>
      <c r="K65" s="236" t="str">
        <f>IF(K$3="","",IF(COUNTIFS(BD!$A$3:$A$5001,K$3,BD!$B$3:$B$5001,$A$49,BD!$AC$3:$AC$5001,"&lt;&gt;")=0,"",SUMIFS(BD!$AC$3:$AC$5001,BD!$A$3:$A$5001,K$3,BD!$B$3:$B$5001,$A$49)))</f>
        <v/>
      </c>
      <c r="L65" s="236" t="str">
        <f>IF(L$3="","",IF(COUNTIFS(BD!$A$3:$A$5001,L$3,BD!$B$3:$B$5001,$A$49,BD!$AC$3:$AC$5001,"&lt;&gt;")=0,"",SUMIFS(BD!$AC$3:$AC$5001,BD!$A$3:$A$5001,L$3,BD!$B$3:$B$5001,$A$49)))</f>
        <v/>
      </c>
      <c r="M65" s="236" t="str">
        <f>IF(M$3="","",IF(COUNTIFS(BD!$A$3:$A$5001,M$3,BD!$B$3:$B$5001,$A$49,BD!$AC$3:$AC$5001,"&lt;&gt;")=0,"",SUMIFS(BD!$AC$3:$AC$5001,BD!$A$3:$A$5001,M$3,BD!$B$3:$B$5001,$A$49)))</f>
        <v/>
      </c>
      <c r="N65" s="236" t="str">
        <f>IF(N$3="","",IF(COUNTIFS(BD!$A$3:$A$5001,N$3,BD!$B$3:$B$5001,$A$49,BD!$AC$3:$AC$5001,"&lt;&gt;")=0,"",SUMIFS(BD!$AC$3:$AC$5001,BD!$A$3:$A$5001,N$3,BD!$B$3:$B$5001,$A$49)))</f>
        <v/>
      </c>
      <c r="O65" s="236" t="str">
        <f>IF(O$3="","",IF(COUNTIFS(BD!$A$3:$A$5001,O$3,BD!$B$3:$B$5001,$A$49,BD!$AC$3:$AC$5001,"&lt;&gt;")=0,"",SUMIFS(BD!$AC$3:$AC$5001,BD!$A$3:$A$5001,O$3,BD!$B$3:$B$5001,$A$49)))</f>
        <v/>
      </c>
      <c r="P65" s="236" t="str">
        <f>IF(P$3="","",IF(COUNTIFS(BD!$A$3:$A$5001,P$3,BD!$B$3:$B$5001,$A$49,BD!$AC$3:$AC$5001,"&lt;&gt;")=0,"",SUMIFS(BD!$AC$3:$AC$5001,BD!$A$3:$A$5001,P$3,BD!$B$3:$B$5001,$A$49)))</f>
        <v/>
      </c>
      <c r="Q65" s="236" t="str">
        <f>IF(Q$3="","",IF(COUNTIFS(BD!$A$3:$A$5001,Q$3,BD!$B$3:$B$5001,$A$49,BD!$AC$3:$AC$5001,"&lt;&gt;")=0,"",SUMIFS(BD!$AC$3:$AC$5001,BD!$A$3:$A$5001,Q$3,BD!$B$3:$B$5001,$A$49)))</f>
        <v/>
      </c>
      <c r="R65" s="236" t="str">
        <f>IF(R$3="","",IF(COUNTIFS(BD!$A$3:$A$5001,R$3,BD!$B$3:$B$5001,$A$49,BD!$AC$3:$AC$5001,"&lt;&gt;")=0,"",SUMIFS(BD!$AC$3:$AC$5001,BD!$A$3:$A$5001,R$3,BD!$B$3:$B$5001,$A$49)))</f>
        <v/>
      </c>
      <c r="S65" s="236" t="str">
        <f>IF(S$3="","",IF(COUNTIFS(BD!$A$3:$A$5001,S$3,BD!$B$3:$B$5001,$A$49,BD!$AC$3:$AC$5001,"&lt;&gt;")=0,"",SUMIFS(BD!$AC$3:$AC$5001,BD!$A$3:$A$5001,S$3,BD!$B$3:$B$5001,$A$49)))</f>
        <v/>
      </c>
      <c r="T65" s="236" t="str">
        <f>IF(T$3="","",IF(COUNTIFS(BD!$A$3:$A$5001,T$3,BD!$B$3:$B$5001,$A$49,BD!$AC$3:$AC$5001,"&lt;&gt;")=0,"",SUMIFS(BD!$AC$3:$AC$5001,BD!$A$3:$A$5001,T$3,BD!$B$3:$B$5001,$A$49)))</f>
        <v/>
      </c>
      <c r="U65" s="236" t="str">
        <f>IF(U$3="","",IF(COUNTIFS(BD!$A$3:$A$5001,U$3,BD!$B$3:$B$5001,$A$49,BD!$AC$3:$AC$5001,"&lt;&gt;")=0,"",SUMIFS(BD!$AC$3:$AC$5001,BD!$A$3:$A$5001,U$3,BD!$B$3:$B$5001,$A$49)))</f>
        <v/>
      </c>
      <c r="V65" s="236" t="str">
        <f>IF(V$3="","",IF(COUNTIFS(BD!$A$3:$A$5001,V$3,BD!$B$3:$B$5001,$A$49,BD!$AC$3:$AC$5001,"&lt;&gt;")=0,"",SUMIFS(BD!$AC$3:$AC$5001,BD!$A$3:$A$5001,V$3,BD!$B$3:$B$5001,$A$49)))</f>
        <v/>
      </c>
      <c r="W65" s="236" t="str">
        <f>IF(W$3="","",IF(COUNTIFS(BD!$A$3:$A$5001,W$3,BD!$B$3:$B$5001,$A$49,BD!$AC$3:$AC$5001,"&lt;&gt;")=0,"",SUMIFS(BD!$AC$3:$AC$5001,BD!$A$3:$A$5001,W$3,BD!$B$3:$B$5001,$A$49)))</f>
        <v/>
      </c>
      <c r="X65" s="236" t="str">
        <f>IF(X$3="","",IF(COUNTIFS(BD!$A$3:$A$5001,X$3,BD!$B$3:$B$5001,$A$49,BD!$AC$3:$AC$5001,"&lt;&gt;")=0,"",SUMIFS(BD!$AC$3:$AC$5001,BD!$A$3:$A$5001,X$3,BD!$B$3:$B$5001,$A$49)))</f>
        <v/>
      </c>
      <c r="Y65" s="236" t="str">
        <f>IF(Y$3="","",IF(COUNTIFS(BD!$A$3:$A$5001,Y$3,BD!$B$3:$B$5001,$A$49,BD!$AC$3:$AC$5001,"&lt;&gt;")=0,"",SUMIFS(BD!$AC$3:$AC$5001,BD!$A$3:$A$5001,Y$3,BD!$B$3:$B$5001,$A$49)))</f>
        <v/>
      </c>
      <c r="Z65" s="236" t="str">
        <f>IF(Z$3="","",IF(COUNTIFS(BD!$A$3:$A$5001,Z$3,BD!$B$3:$B$5001,$A$49,BD!$AC$3:$AC$5001,"&lt;&gt;")=0,"",SUMIFS(BD!$AC$3:$AC$5001,BD!$A$3:$A$5001,Z$3,BD!$B$3:$B$5001,$A$49)))</f>
        <v/>
      </c>
      <c r="AA65" s="236" t="str">
        <f>IF(AA$3="","",IF(COUNTIFS(BD!$A$3:$A$5001,AA$3,BD!$B$3:$B$5001,$A$49,BD!$AC$3:$AC$5001,"&lt;&gt;")=0,"",SUMIFS(BD!$AC$3:$AC$5001,BD!$A$3:$A$5001,AA$3,BD!$B$3:$B$5001,$A$49)))</f>
        <v/>
      </c>
      <c r="AB65" s="236" t="str">
        <f>IF(AB$3="","",IF(COUNTIFS(BD!$A$3:$A$5001,AB$3,BD!$B$3:$B$5001,$A$49,BD!$AC$3:$AC$5001,"&lt;&gt;")=0,"",SUMIFS(BD!$AC$3:$AC$5001,BD!$A$3:$A$5001,AB$3,BD!$B$3:$B$5001,$A$49)))</f>
        <v/>
      </c>
      <c r="AC65" s="236" t="str">
        <f>IF(AC$3="","",IF(COUNTIFS(BD!$A$3:$A$5001,AC$3,BD!$B$3:$B$5001,$A$49,BD!$AC$3:$AC$5001,"&lt;&gt;")=0,"",SUMIFS(BD!$AC$3:$AC$5001,BD!$A$3:$A$5001,AC$3,BD!$B$3:$B$5001,$A$49)))</f>
        <v/>
      </c>
      <c r="AD65" s="236" t="str">
        <f>IF(AD$3="","",IF(COUNTIFS(BD!$A$3:$A$5001,AD$3,BD!$B$3:$B$5001,$A$49,BD!$AC$3:$AC$5001,"&lt;&gt;")=0,"",SUMIFS(BD!$AC$3:$AC$5001,BD!$A$3:$A$5001,AD$3,BD!$B$3:$B$5001,$A$49)))</f>
        <v/>
      </c>
      <c r="AE65" s="236" t="str">
        <f>IF(AE$3="","",IF(COUNTIFS(BD!$A$3:$A$5001,AE$3,BD!$B$3:$B$5001,$A$49,BD!$AC$3:$AC$5001,"&lt;&gt;")=0,"",SUMIFS(BD!$AC$3:$AC$5001,BD!$A$3:$A$5001,AE$3,BD!$B$3:$B$5001,$A$49)))</f>
        <v/>
      </c>
      <c r="AF65" s="236" t="str">
        <f>IF(AF$3="","",IF(COUNTIFS(BD!$A$3:$A$5001,AF$3,BD!$B$3:$B$5001,$A$49,BD!$AC$3:$AC$5001,"&lt;&gt;")=0,"",SUMIFS(BD!$AC$3:$AC$5001,BD!$A$3:$A$5001,AF$3,BD!$B$3:$B$5001,$A$49)))</f>
        <v/>
      </c>
      <c r="AG65" s="236" t="str">
        <f>IF(AG$3="","",IF(COUNTIFS(BD!$A$3:$A$5001,AG$3,BD!$B$3:$B$5001,$A$49,BD!$AC$3:$AC$5001,"&lt;&gt;")=0,"",SUMIFS(BD!$AC$3:$AC$5001,BD!$A$3:$A$5001,AG$3,BD!$B$3:$B$5001,$A$49)))</f>
        <v/>
      </c>
      <c r="AH65" s="236" t="str">
        <f>IF(AH$3="","",IF(COUNTIFS(BD!$A$3:$A$5001,AH$3,BD!$B$3:$B$5001,$A$49,BD!$AC$3:$AC$5001,"&lt;&gt;")=0,"",SUMIFS(BD!$AC$3:$AC$5001,BD!$A$3:$A$5001,AH$3,BD!$B$3:$B$5001,$A$49)))</f>
        <v/>
      </c>
      <c r="AI65" s="236" t="str">
        <f>IF(AI$3="","",IF(COUNTIFS(BD!$A$3:$A$5001,AI$3,BD!$B$3:$B$5001,$A$49,BD!$AC$3:$AC$5001,"&lt;&gt;")=0,"",SUMIFS(BD!$AC$3:$AC$5001,BD!$A$3:$A$5001,AI$3,BD!$B$3:$B$5001,$A$49)))</f>
        <v/>
      </c>
      <c r="AJ65" s="237" t="str">
        <f>IF(AJ$3="","",IF(COUNTIFS(BD!$A$3:$A$5001,AJ$3,BD!$B$3:$B$5001,$A$49,BD!$AC$3:$AC$5001,"&lt;&gt;")=0,"",SUMIFS(BD!$AC$3:$AC$5001,BD!$A$3:$A$5001,AJ$3,BD!$B$3:$B$5001,$A$49)))</f>
        <v/>
      </c>
      <c r="AK65" s="238" t="str">
        <f>IF(COUNT(F65:AJ65)=0,"",SUM(F65:AJ65))</f>
        <v/>
      </c>
    </row>
    <row r="66" ht="15.75" customHeight="1">
      <c r="A66" s="261"/>
      <c r="B66" s="258"/>
      <c r="C66" s="232" t="inlineStr">
        <is>
          <t xml:space="preserve">Férias</t>
        </is>
      </c>
      <c r="D66" s="233" t="str">
        <f>IFERROR(1/(1/INDEX(BD!$AL$51:$BF$51,MATCH($A$49,BD!$AL$22:$BF$22,0))),"")</f>
        <v/>
      </c>
      <c r="E66" s="234"/>
      <c r="F66" s="235" t="str">
        <f>IF(F$3="","",IF(COUNTIFS(BD!$A$3:$A$5001,F$3,BD!$B$3:$B$5001,$A$49,BD!$AD$3:$AD$5001,"&lt;&gt;")=0,"",SUMIFS(BD!$AD$3:$AD$5001,BD!$A$3:$A$5001,F$3,BD!$B$3:$B$5001,$A$49)))</f>
        <v/>
      </c>
      <c r="G66" s="236" t="str">
        <f>IF(G$3="","",IF(COUNTIFS(BD!$A$3:$A$5001,G$3,BD!$B$3:$B$5001,$A$49,BD!$AD$3:$AD$5001,"&lt;&gt;")=0,"",SUMIFS(BD!$AD$3:$AD$5001,BD!$A$3:$A$5001,G$3,BD!$B$3:$B$5001,$A$49)))</f>
        <v/>
      </c>
      <c r="H66" s="236" t="str">
        <f>IF(H$3="","",IF(COUNTIFS(BD!$A$3:$A$5001,H$3,BD!$B$3:$B$5001,$A$49,BD!$AD$3:$AD$5001,"&lt;&gt;")=0,"",SUMIFS(BD!$AD$3:$AD$5001,BD!$A$3:$A$5001,H$3,BD!$B$3:$B$5001,$A$49)))</f>
        <v/>
      </c>
      <c r="I66" s="236" t="str">
        <f>IF(I$3="","",IF(COUNTIFS(BD!$A$3:$A$5001,I$3,BD!$B$3:$B$5001,$A$49,BD!$AD$3:$AD$5001,"&lt;&gt;")=0,"",SUMIFS(BD!$AD$3:$AD$5001,BD!$A$3:$A$5001,I$3,BD!$B$3:$B$5001,$A$49)))</f>
        <v/>
      </c>
      <c r="J66" s="236" t="str">
        <f>IF(J$3="","",IF(COUNTIFS(BD!$A$3:$A$5001,J$3,BD!$B$3:$B$5001,$A$49,BD!$AD$3:$AD$5001,"&lt;&gt;")=0,"",SUMIFS(BD!$AD$3:$AD$5001,BD!$A$3:$A$5001,J$3,BD!$B$3:$B$5001,$A$49)))</f>
        <v/>
      </c>
      <c r="K66" s="236" t="str">
        <f>IF(K$3="","",IF(COUNTIFS(BD!$A$3:$A$5001,K$3,BD!$B$3:$B$5001,$A$49,BD!$AD$3:$AD$5001,"&lt;&gt;")=0,"",SUMIFS(BD!$AD$3:$AD$5001,BD!$A$3:$A$5001,K$3,BD!$B$3:$B$5001,$A$49)))</f>
        <v/>
      </c>
      <c r="L66" s="236" t="str">
        <f>IF(L$3="","",IF(COUNTIFS(BD!$A$3:$A$5001,L$3,BD!$B$3:$B$5001,$A$49,BD!$AD$3:$AD$5001,"&lt;&gt;")=0,"",SUMIFS(BD!$AD$3:$AD$5001,BD!$A$3:$A$5001,L$3,BD!$B$3:$B$5001,$A$49)))</f>
        <v/>
      </c>
      <c r="M66" s="236" t="str">
        <f>IF(M$3="","",IF(COUNTIFS(BD!$A$3:$A$5001,M$3,BD!$B$3:$B$5001,$A$49,BD!$AD$3:$AD$5001,"&lt;&gt;")=0,"",SUMIFS(BD!$AD$3:$AD$5001,BD!$A$3:$A$5001,M$3,BD!$B$3:$B$5001,$A$49)))</f>
        <v/>
      </c>
      <c r="N66" s="236" t="str">
        <f>IF(N$3="","",IF(COUNTIFS(BD!$A$3:$A$5001,N$3,BD!$B$3:$B$5001,$A$49,BD!$AD$3:$AD$5001,"&lt;&gt;")=0,"",SUMIFS(BD!$AD$3:$AD$5001,BD!$A$3:$A$5001,N$3,BD!$B$3:$B$5001,$A$49)))</f>
        <v/>
      </c>
      <c r="O66" s="236" t="str">
        <f>IF(O$3="","",IF(COUNTIFS(BD!$A$3:$A$5001,O$3,BD!$B$3:$B$5001,$A$49,BD!$AD$3:$AD$5001,"&lt;&gt;")=0,"",SUMIFS(BD!$AD$3:$AD$5001,BD!$A$3:$A$5001,O$3,BD!$B$3:$B$5001,$A$49)))</f>
        <v/>
      </c>
      <c r="P66" s="236" t="str">
        <f>IF(P$3="","",IF(COUNTIFS(BD!$A$3:$A$5001,P$3,BD!$B$3:$B$5001,$A$49,BD!$AD$3:$AD$5001,"&lt;&gt;")=0,"",SUMIFS(BD!$AD$3:$AD$5001,BD!$A$3:$A$5001,P$3,BD!$B$3:$B$5001,$A$49)))</f>
        <v/>
      </c>
      <c r="Q66" s="236" t="str">
        <f>IF(Q$3="","",IF(COUNTIFS(BD!$A$3:$A$5001,Q$3,BD!$B$3:$B$5001,$A$49,BD!$AD$3:$AD$5001,"&lt;&gt;")=0,"",SUMIFS(BD!$AD$3:$AD$5001,BD!$A$3:$A$5001,Q$3,BD!$B$3:$B$5001,$A$49)))</f>
        <v/>
      </c>
      <c r="R66" s="236" t="str">
        <f>IF(R$3="","",IF(COUNTIFS(BD!$A$3:$A$5001,R$3,BD!$B$3:$B$5001,$A$49,BD!$AD$3:$AD$5001,"&lt;&gt;")=0,"",SUMIFS(BD!$AD$3:$AD$5001,BD!$A$3:$A$5001,R$3,BD!$B$3:$B$5001,$A$49)))</f>
        <v/>
      </c>
      <c r="S66" s="236" t="str">
        <f>IF(S$3="","",IF(COUNTIFS(BD!$A$3:$A$5001,S$3,BD!$B$3:$B$5001,$A$49,BD!$AD$3:$AD$5001,"&lt;&gt;")=0,"",SUMIFS(BD!$AD$3:$AD$5001,BD!$A$3:$A$5001,S$3,BD!$B$3:$B$5001,$A$49)))</f>
        <v/>
      </c>
      <c r="T66" s="236" t="str">
        <f>IF(T$3="","",IF(COUNTIFS(BD!$A$3:$A$5001,T$3,BD!$B$3:$B$5001,$A$49,BD!$AD$3:$AD$5001,"&lt;&gt;")=0,"",SUMIFS(BD!$AD$3:$AD$5001,BD!$A$3:$A$5001,T$3,BD!$B$3:$B$5001,$A$49)))</f>
        <v/>
      </c>
      <c r="U66" s="236" t="str">
        <f>IF(U$3="","",IF(COUNTIFS(BD!$A$3:$A$5001,U$3,BD!$B$3:$B$5001,$A$49,BD!$AD$3:$AD$5001,"&lt;&gt;")=0,"",SUMIFS(BD!$AD$3:$AD$5001,BD!$A$3:$A$5001,U$3,BD!$B$3:$B$5001,$A$49)))</f>
        <v/>
      </c>
      <c r="V66" s="236" t="str">
        <f>IF(V$3="","",IF(COUNTIFS(BD!$A$3:$A$5001,V$3,BD!$B$3:$B$5001,$A$49,BD!$AD$3:$AD$5001,"&lt;&gt;")=0,"",SUMIFS(BD!$AD$3:$AD$5001,BD!$A$3:$A$5001,V$3,BD!$B$3:$B$5001,$A$49)))</f>
        <v/>
      </c>
      <c r="W66" s="236" t="str">
        <f>IF(W$3="","",IF(COUNTIFS(BD!$A$3:$A$5001,W$3,BD!$B$3:$B$5001,$A$49,BD!$AD$3:$AD$5001,"&lt;&gt;")=0,"",SUMIFS(BD!$AD$3:$AD$5001,BD!$A$3:$A$5001,W$3,BD!$B$3:$B$5001,$A$49)))</f>
        <v/>
      </c>
      <c r="X66" s="236" t="str">
        <f>IF(X$3="","",IF(COUNTIFS(BD!$A$3:$A$5001,X$3,BD!$B$3:$B$5001,$A$49,BD!$AD$3:$AD$5001,"&lt;&gt;")=0,"",SUMIFS(BD!$AD$3:$AD$5001,BD!$A$3:$A$5001,X$3,BD!$B$3:$B$5001,$A$49)))</f>
        <v/>
      </c>
      <c r="Y66" s="236" t="str">
        <f>IF(Y$3="","",IF(COUNTIFS(BD!$A$3:$A$5001,Y$3,BD!$B$3:$B$5001,$A$49,BD!$AD$3:$AD$5001,"&lt;&gt;")=0,"",SUMIFS(BD!$AD$3:$AD$5001,BD!$A$3:$A$5001,Y$3,BD!$B$3:$B$5001,$A$49)))</f>
        <v/>
      </c>
      <c r="Z66" s="236" t="str">
        <f>IF(Z$3="","",IF(COUNTIFS(BD!$A$3:$A$5001,Z$3,BD!$B$3:$B$5001,$A$49,BD!$AD$3:$AD$5001,"&lt;&gt;")=0,"",SUMIFS(BD!$AD$3:$AD$5001,BD!$A$3:$A$5001,Z$3,BD!$B$3:$B$5001,$A$49)))</f>
        <v/>
      </c>
      <c r="AA66" s="236" t="str">
        <f>IF(AA$3="","",IF(COUNTIFS(BD!$A$3:$A$5001,AA$3,BD!$B$3:$B$5001,$A$49,BD!$AD$3:$AD$5001,"&lt;&gt;")=0,"",SUMIFS(BD!$AD$3:$AD$5001,BD!$A$3:$A$5001,AA$3,BD!$B$3:$B$5001,$A$49)))</f>
        <v/>
      </c>
      <c r="AB66" s="236" t="str">
        <f>IF(AB$3="","",IF(COUNTIFS(BD!$A$3:$A$5001,AB$3,BD!$B$3:$B$5001,$A$49,BD!$AD$3:$AD$5001,"&lt;&gt;")=0,"",SUMIFS(BD!$AD$3:$AD$5001,BD!$A$3:$A$5001,AB$3,BD!$B$3:$B$5001,$A$49)))</f>
        <v/>
      </c>
      <c r="AC66" s="236" t="str">
        <f>IF(AC$3="","",IF(COUNTIFS(BD!$A$3:$A$5001,AC$3,BD!$B$3:$B$5001,$A$49,BD!$AD$3:$AD$5001,"&lt;&gt;")=0,"",SUMIFS(BD!$AD$3:$AD$5001,BD!$A$3:$A$5001,AC$3,BD!$B$3:$B$5001,$A$49)))</f>
        <v/>
      </c>
      <c r="AD66" s="236" t="str">
        <f>IF(AD$3="","",IF(COUNTIFS(BD!$A$3:$A$5001,AD$3,BD!$B$3:$B$5001,$A$49,BD!$AD$3:$AD$5001,"&lt;&gt;")=0,"",SUMIFS(BD!$AD$3:$AD$5001,BD!$A$3:$A$5001,AD$3,BD!$B$3:$B$5001,$A$49)))</f>
        <v/>
      </c>
      <c r="AE66" s="236" t="str">
        <f>IF(AE$3="","",IF(COUNTIFS(BD!$A$3:$A$5001,AE$3,BD!$B$3:$B$5001,$A$49,BD!$AD$3:$AD$5001,"&lt;&gt;")=0,"",SUMIFS(BD!$AD$3:$AD$5001,BD!$A$3:$A$5001,AE$3,BD!$B$3:$B$5001,$A$49)))</f>
        <v/>
      </c>
      <c r="AF66" s="236" t="str">
        <f>IF(AF$3="","",IF(COUNTIFS(BD!$A$3:$A$5001,AF$3,BD!$B$3:$B$5001,$A$49,BD!$AD$3:$AD$5001,"&lt;&gt;")=0,"",SUMIFS(BD!$AD$3:$AD$5001,BD!$A$3:$A$5001,AF$3,BD!$B$3:$B$5001,$A$49)))</f>
        <v/>
      </c>
      <c r="AG66" s="236" t="str">
        <f>IF(AG$3="","",IF(COUNTIFS(BD!$A$3:$A$5001,AG$3,BD!$B$3:$B$5001,$A$49,BD!$AD$3:$AD$5001,"&lt;&gt;")=0,"",SUMIFS(BD!$AD$3:$AD$5001,BD!$A$3:$A$5001,AG$3,BD!$B$3:$B$5001,$A$49)))</f>
        <v/>
      </c>
      <c r="AH66" s="236" t="str">
        <f>IF(AH$3="","",IF(COUNTIFS(BD!$A$3:$A$5001,AH$3,BD!$B$3:$B$5001,$A$49,BD!$AD$3:$AD$5001,"&lt;&gt;")=0,"",SUMIFS(BD!$AD$3:$AD$5001,BD!$A$3:$A$5001,AH$3,BD!$B$3:$B$5001,$A$49)))</f>
        <v/>
      </c>
      <c r="AI66" s="236" t="str">
        <f>IF(AI$3="","",IF(COUNTIFS(BD!$A$3:$A$5001,AI$3,BD!$B$3:$B$5001,$A$49,BD!$AD$3:$AD$5001,"&lt;&gt;")=0,"",SUMIFS(BD!$AD$3:$AD$5001,BD!$A$3:$A$5001,AI$3,BD!$B$3:$B$5001,$A$49)))</f>
        <v/>
      </c>
      <c r="AJ66" s="237" t="str">
        <f>IF(AJ$3="","",IF(COUNTIFS(BD!$A$3:$A$5001,AJ$3,BD!$B$3:$B$5001,$A$49,BD!$AD$3:$AD$5001,"&lt;&gt;")=0,"",SUMIFS(BD!$AD$3:$AD$5001,BD!$A$3:$A$5001,AJ$3,BD!$B$3:$B$5001,$A$49)))</f>
        <v/>
      </c>
      <c r="AK66" s="238" t="str">
        <f>IF(COUNT(F66:AJ66)=0,"",SUM(F66:AJ66))</f>
        <v/>
      </c>
    </row>
    <row r="67" ht="15.75" customHeight="1">
      <c r="A67" s="261"/>
      <c r="B67" s="258"/>
      <c r="C67" s="232" t="inlineStr">
        <is>
          <t xml:space="preserve">Desligamento</t>
        </is>
      </c>
      <c r="D67" s="233" t="str">
        <f>IFERROR(1/(1/INDEX(BD!$AL$52:$BF$52,MATCH($A$49,BD!$AL$22:$BF$22,0))),"")</f>
        <v/>
      </c>
      <c r="E67" s="234"/>
      <c r="F67" s="235" t="str">
        <f>IF(F$3="","",IF(COUNTIFS(BD!$A$3:$A$5001,F$3,BD!$B$3:$B$5001,$A$49,BD!$AE$3:$AE$5001,"&lt;&gt;")=0,"",SUMIFS(BD!$AE$3:$AE$5001,BD!$A$3:$A$5001,F$3,BD!$B$3:$B$5001,$A$49)))</f>
        <v/>
      </c>
      <c r="G67" s="236" t="str">
        <f>IF(G$3="","",IF(COUNTIFS(BD!$A$3:$A$5001,G$3,BD!$B$3:$B$5001,$A$49,BD!$AE$3:$AE$5001,"&lt;&gt;")=0,"",SUMIFS(BD!$AE$3:$AE$5001,BD!$A$3:$A$5001,G$3,BD!$B$3:$B$5001,$A$49)))</f>
        <v/>
      </c>
      <c r="H67" s="236" t="str">
        <f>IF(H$3="","",IF(COUNTIFS(BD!$A$3:$A$5001,H$3,BD!$B$3:$B$5001,$A$49,BD!$AE$3:$AE$5001,"&lt;&gt;")=0,"",SUMIFS(BD!$AE$3:$AE$5001,BD!$A$3:$A$5001,H$3,BD!$B$3:$B$5001,$A$49)))</f>
        <v/>
      </c>
      <c r="I67" s="236" t="str">
        <f>IF(I$3="","",IF(COUNTIFS(BD!$A$3:$A$5001,I$3,BD!$B$3:$B$5001,$A$49,BD!$AE$3:$AE$5001,"&lt;&gt;")=0,"",SUMIFS(BD!$AE$3:$AE$5001,BD!$A$3:$A$5001,I$3,BD!$B$3:$B$5001,$A$49)))</f>
        <v/>
      </c>
      <c r="J67" s="236" t="str">
        <f>IF(J$3="","",IF(COUNTIFS(BD!$A$3:$A$5001,J$3,BD!$B$3:$B$5001,$A$49,BD!$AE$3:$AE$5001,"&lt;&gt;")=0,"",SUMIFS(BD!$AE$3:$AE$5001,BD!$A$3:$A$5001,J$3,BD!$B$3:$B$5001,$A$49)))</f>
        <v/>
      </c>
      <c r="K67" s="236" t="str">
        <f>IF(K$3="","",IF(COUNTIFS(BD!$A$3:$A$5001,K$3,BD!$B$3:$B$5001,$A$49,BD!$AE$3:$AE$5001,"&lt;&gt;")=0,"",SUMIFS(BD!$AE$3:$AE$5001,BD!$A$3:$A$5001,K$3,BD!$B$3:$B$5001,$A$49)))</f>
        <v/>
      </c>
      <c r="L67" s="236" t="str">
        <f>IF(L$3="","",IF(COUNTIFS(BD!$A$3:$A$5001,L$3,BD!$B$3:$B$5001,$A$49,BD!$AE$3:$AE$5001,"&lt;&gt;")=0,"",SUMIFS(BD!$AE$3:$AE$5001,BD!$A$3:$A$5001,L$3,BD!$B$3:$B$5001,$A$49)))</f>
        <v/>
      </c>
      <c r="M67" s="236" t="str">
        <f>IF(M$3="","",IF(COUNTIFS(BD!$A$3:$A$5001,M$3,BD!$B$3:$B$5001,$A$49,BD!$AE$3:$AE$5001,"&lt;&gt;")=0,"",SUMIFS(BD!$AE$3:$AE$5001,BD!$A$3:$A$5001,M$3,BD!$B$3:$B$5001,$A$49)))</f>
        <v/>
      </c>
      <c r="N67" s="236" t="str">
        <f>IF(N$3="","",IF(COUNTIFS(BD!$A$3:$A$5001,N$3,BD!$B$3:$B$5001,$A$49,BD!$AE$3:$AE$5001,"&lt;&gt;")=0,"",SUMIFS(BD!$AE$3:$AE$5001,BD!$A$3:$A$5001,N$3,BD!$B$3:$B$5001,$A$49)))</f>
        <v/>
      </c>
      <c r="O67" s="236" t="str">
        <f>IF(O$3="","",IF(COUNTIFS(BD!$A$3:$A$5001,O$3,BD!$B$3:$B$5001,$A$49,BD!$AE$3:$AE$5001,"&lt;&gt;")=0,"",SUMIFS(BD!$AE$3:$AE$5001,BD!$A$3:$A$5001,O$3,BD!$B$3:$B$5001,$A$49)))</f>
        <v/>
      </c>
      <c r="P67" s="236" t="str">
        <f>IF(P$3="","",IF(COUNTIFS(BD!$A$3:$A$5001,P$3,BD!$B$3:$B$5001,$A$49,BD!$AE$3:$AE$5001,"&lt;&gt;")=0,"",SUMIFS(BD!$AE$3:$AE$5001,BD!$A$3:$A$5001,P$3,BD!$B$3:$B$5001,$A$49)))</f>
        <v/>
      </c>
      <c r="Q67" s="236" t="str">
        <f>IF(Q$3="","",IF(COUNTIFS(BD!$A$3:$A$5001,Q$3,BD!$B$3:$B$5001,$A$49,BD!$AE$3:$AE$5001,"&lt;&gt;")=0,"",SUMIFS(BD!$AE$3:$AE$5001,BD!$A$3:$A$5001,Q$3,BD!$B$3:$B$5001,$A$49)))</f>
        <v/>
      </c>
      <c r="R67" s="236" t="str">
        <f>IF(R$3="","",IF(COUNTIFS(BD!$A$3:$A$5001,R$3,BD!$B$3:$B$5001,$A$49,BD!$AE$3:$AE$5001,"&lt;&gt;")=0,"",SUMIFS(BD!$AE$3:$AE$5001,BD!$A$3:$A$5001,R$3,BD!$B$3:$B$5001,$A$49)))</f>
        <v/>
      </c>
      <c r="S67" s="236" t="str">
        <f>IF(S$3="","",IF(COUNTIFS(BD!$A$3:$A$5001,S$3,BD!$B$3:$B$5001,$A$49,BD!$AE$3:$AE$5001,"&lt;&gt;")=0,"",SUMIFS(BD!$AE$3:$AE$5001,BD!$A$3:$A$5001,S$3,BD!$B$3:$B$5001,$A$49)))</f>
        <v/>
      </c>
      <c r="T67" s="236" t="str">
        <f>IF(T$3="","",IF(COUNTIFS(BD!$A$3:$A$5001,T$3,BD!$B$3:$B$5001,$A$49,BD!$AE$3:$AE$5001,"&lt;&gt;")=0,"",SUMIFS(BD!$AE$3:$AE$5001,BD!$A$3:$A$5001,T$3,BD!$B$3:$B$5001,$A$49)))</f>
        <v/>
      </c>
      <c r="U67" s="236" t="str">
        <f>IF(U$3="","",IF(COUNTIFS(BD!$A$3:$A$5001,U$3,BD!$B$3:$B$5001,$A$49,BD!$AE$3:$AE$5001,"&lt;&gt;")=0,"",SUMIFS(BD!$AE$3:$AE$5001,BD!$A$3:$A$5001,U$3,BD!$B$3:$B$5001,$A$49)))</f>
        <v/>
      </c>
      <c r="V67" s="236" t="str">
        <f>IF(V$3="","",IF(COUNTIFS(BD!$A$3:$A$5001,V$3,BD!$B$3:$B$5001,$A$49,BD!$AE$3:$AE$5001,"&lt;&gt;")=0,"",SUMIFS(BD!$AE$3:$AE$5001,BD!$A$3:$A$5001,V$3,BD!$B$3:$B$5001,$A$49)))</f>
        <v/>
      </c>
      <c r="W67" s="236" t="str">
        <f>IF(W$3="","",IF(COUNTIFS(BD!$A$3:$A$5001,W$3,BD!$B$3:$B$5001,$A$49,BD!$AE$3:$AE$5001,"&lt;&gt;")=0,"",SUMIFS(BD!$AE$3:$AE$5001,BD!$A$3:$A$5001,W$3,BD!$B$3:$B$5001,$A$49)))</f>
        <v/>
      </c>
      <c r="X67" s="236" t="str">
        <f>IF(X$3="","",IF(COUNTIFS(BD!$A$3:$A$5001,X$3,BD!$B$3:$B$5001,$A$49,BD!$AE$3:$AE$5001,"&lt;&gt;")=0,"",SUMIFS(BD!$AE$3:$AE$5001,BD!$A$3:$A$5001,X$3,BD!$B$3:$B$5001,$A$49)))</f>
        <v/>
      </c>
      <c r="Y67" s="236" t="str">
        <f>IF(Y$3="","",IF(COUNTIFS(BD!$A$3:$A$5001,Y$3,BD!$B$3:$B$5001,$A$49,BD!$AE$3:$AE$5001,"&lt;&gt;")=0,"",SUMIFS(BD!$AE$3:$AE$5001,BD!$A$3:$A$5001,Y$3,BD!$B$3:$B$5001,$A$49)))</f>
        <v/>
      </c>
      <c r="Z67" s="236" t="str">
        <f>IF(Z$3="","",IF(COUNTIFS(BD!$A$3:$A$5001,Z$3,BD!$B$3:$B$5001,$A$49,BD!$AE$3:$AE$5001,"&lt;&gt;")=0,"",SUMIFS(BD!$AE$3:$AE$5001,BD!$A$3:$A$5001,Z$3,BD!$B$3:$B$5001,$A$49)))</f>
        <v/>
      </c>
      <c r="AA67" s="236" t="str">
        <f>IF(AA$3="","",IF(COUNTIFS(BD!$A$3:$A$5001,AA$3,BD!$B$3:$B$5001,$A$49,BD!$AE$3:$AE$5001,"&lt;&gt;")=0,"",SUMIFS(BD!$AE$3:$AE$5001,BD!$A$3:$A$5001,AA$3,BD!$B$3:$B$5001,$A$49)))</f>
        <v/>
      </c>
      <c r="AB67" s="236" t="str">
        <f>IF(AB$3="","",IF(COUNTIFS(BD!$A$3:$A$5001,AB$3,BD!$B$3:$B$5001,$A$49,BD!$AE$3:$AE$5001,"&lt;&gt;")=0,"",SUMIFS(BD!$AE$3:$AE$5001,BD!$A$3:$A$5001,AB$3,BD!$B$3:$B$5001,$A$49)))</f>
        <v/>
      </c>
      <c r="AC67" s="236" t="str">
        <f>IF(AC$3="","",IF(COUNTIFS(BD!$A$3:$A$5001,AC$3,BD!$B$3:$B$5001,$A$49,BD!$AE$3:$AE$5001,"&lt;&gt;")=0,"",SUMIFS(BD!$AE$3:$AE$5001,BD!$A$3:$A$5001,AC$3,BD!$B$3:$B$5001,$A$49)))</f>
        <v/>
      </c>
      <c r="AD67" s="236" t="str">
        <f>IF(AD$3="","",IF(COUNTIFS(BD!$A$3:$A$5001,AD$3,BD!$B$3:$B$5001,$A$49,BD!$AE$3:$AE$5001,"&lt;&gt;")=0,"",SUMIFS(BD!$AE$3:$AE$5001,BD!$A$3:$A$5001,AD$3,BD!$B$3:$B$5001,$A$49)))</f>
        <v/>
      </c>
      <c r="AE67" s="236" t="str">
        <f>IF(AE$3="","",IF(COUNTIFS(BD!$A$3:$A$5001,AE$3,BD!$B$3:$B$5001,$A$49,BD!$AE$3:$AE$5001,"&lt;&gt;")=0,"",SUMIFS(BD!$AE$3:$AE$5001,BD!$A$3:$A$5001,AE$3,BD!$B$3:$B$5001,$A$49)))</f>
        <v/>
      </c>
      <c r="AF67" s="236" t="str">
        <f>IF(AF$3="","",IF(COUNTIFS(BD!$A$3:$A$5001,AF$3,BD!$B$3:$B$5001,$A$49,BD!$AE$3:$AE$5001,"&lt;&gt;")=0,"",SUMIFS(BD!$AE$3:$AE$5001,BD!$A$3:$A$5001,AF$3,BD!$B$3:$B$5001,$A$49)))</f>
        <v/>
      </c>
      <c r="AG67" s="236" t="str">
        <f>IF(AG$3="","",IF(COUNTIFS(BD!$A$3:$A$5001,AG$3,BD!$B$3:$B$5001,$A$49,BD!$AE$3:$AE$5001,"&lt;&gt;")=0,"",SUMIFS(BD!$AE$3:$AE$5001,BD!$A$3:$A$5001,AG$3,BD!$B$3:$B$5001,$A$49)))</f>
        <v/>
      </c>
      <c r="AH67" s="236" t="str">
        <f>IF(AH$3="","",IF(COUNTIFS(BD!$A$3:$A$5001,AH$3,BD!$B$3:$B$5001,$A$49,BD!$AE$3:$AE$5001,"&lt;&gt;")=0,"",SUMIFS(BD!$AE$3:$AE$5001,BD!$A$3:$A$5001,AH$3,BD!$B$3:$B$5001,$A$49)))</f>
        <v/>
      </c>
      <c r="AI67" s="236" t="str">
        <f>IF(AI$3="","",IF(COUNTIFS(BD!$A$3:$A$5001,AI$3,BD!$B$3:$B$5001,$A$49,BD!$AE$3:$AE$5001,"&lt;&gt;")=0,"",SUMIFS(BD!$AE$3:$AE$5001,BD!$A$3:$A$5001,AI$3,BD!$B$3:$B$5001,$A$49)))</f>
        <v/>
      </c>
      <c r="AJ67" s="237" t="str">
        <f>IF(AJ$3="","",IF(COUNTIFS(BD!$A$3:$A$5001,AJ$3,BD!$B$3:$B$5001,$A$49,BD!$AE$3:$AE$5001,"&lt;&gt;")=0,"",SUMIFS(BD!$AE$3:$AE$5001,BD!$A$3:$A$5001,AJ$3,BD!$B$3:$B$5001,$A$49)))</f>
        <v/>
      </c>
      <c r="AK67" s="238" t="str">
        <f>IF(COUNT(F67:AJ67)=0,"",SUM(F67:AJ67))</f>
        <v/>
      </c>
    </row>
    <row r="68" ht="15.75" customHeight="1">
      <c r="A68" s="261"/>
      <c r="B68" s="258"/>
      <c r="C68" s="232" t="inlineStr">
        <is>
          <t xml:space="preserve">Desvios Comportamentais</t>
        </is>
      </c>
      <c r="D68" s="233" t="str">
        <f>IFERROR(1/(1/INDEX(BD!$AL$53:$BF$53,MATCH($A$49,BD!$AL$22:$BF$22,0))),"")</f>
        <v/>
      </c>
      <c r="E68" s="234"/>
      <c r="F68" s="235" t="str">
        <f>IF(F$3="","",IF(COUNTIFS(BD!$A$3:$A$5001,F$3,BD!$B$3:$B$5001,$A$49,BD!$AF$3:$AF$5001,"&lt;&gt;")=0,"",SUMIFS(BD!$AF$3:$AF$5001,BD!$A$3:$A$5001,F$3,BD!$B$3:$B$5001,$A$49)))</f>
        <v/>
      </c>
      <c r="G68" s="236" t="str">
        <f>IF(G$3="","",IF(COUNTIFS(BD!$A$3:$A$5001,G$3,BD!$B$3:$B$5001,$A$49,BD!$AF$3:$AF$5001,"&lt;&gt;")=0,"",SUMIFS(BD!$AF$3:$AF$5001,BD!$A$3:$A$5001,G$3,BD!$B$3:$B$5001,$A$49)))</f>
        <v/>
      </c>
      <c r="H68" s="236" t="str">
        <f>IF(H$3="","",IF(COUNTIFS(BD!$A$3:$A$5001,H$3,BD!$B$3:$B$5001,$A$49,BD!$AF$3:$AF$5001,"&lt;&gt;")=0,"",SUMIFS(BD!$AF$3:$AF$5001,BD!$A$3:$A$5001,H$3,BD!$B$3:$B$5001,$A$49)))</f>
        <v/>
      </c>
      <c r="I68" s="236" t="str">
        <f>IF(I$3="","",IF(COUNTIFS(BD!$A$3:$A$5001,I$3,BD!$B$3:$B$5001,$A$49,BD!$AF$3:$AF$5001,"&lt;&gt;")=0,"",SUMIFS(BD!$AF$3:$AF$5001,BD!$A$3:$A$5001,I$3,BD!$B$3:$B$5001,$A$49)))</f>
        <v/>
      </c>
      <c r="J68" s="236" t="str">
        <f>IF(J$3="","",IF(COUNTIFS(BD!$A$3:$A$5001,J$3,BD!$B$3:$B$5001,$A$49,BD!$AF$3:$AF$5001,"&lt;&gt;")=0,"",SUMIFS(BD!$AF$3:$AF$5001,BD!$A$3:$A$5001,J$3,BD!$B$3:$B$5001,$A$49)))</f>
        <v/>
      </c>
      <c r="K68" s="236" t="str">
        <f>IF(K$3="","",IF(COUNTIFS(BD!$A$3:$A$5001,K$3,BD!$B$3:$B$5001,$A$49,BD!$AF$3:$AF$5001,"&lt;&gt;")=0,"",SUMIFS(BD!$AF$3:$AF$5001,BD!$A$3:$A$5001,K$3,BD!$B$3:$B$5001,$A$49)))</f>
        <v/>
      </c>
      <c r="L68" s="236" t="str">
        <f>IF(L$3="","",IF(COUNTIFS(BD!$A$3:$A$5001,L$3,BD!$B$3:$B$5001,$A$49,BD!$AF$3:$AF$5001,"&lt;&gt;")=0,"",SUMIFS(BD!$AF$3:$AF$5001,BD!$A$3:$A$5001,L$3,BD!$B$3:$B$5001,$A$49)))</f>
        <v/>
      </c>
      <c r="M68" s="236" t="str">
        <f>IF(M$3="","",IF(COUNTIFS(BD!$A$3:$A$5001,M$3,BD!$B$3:$B$5001,$A$49,BD!$AF$3:$AF$5001,"&lt;&gt;")=0,"",SUMIFS(BD!$AF$3:$AF$5001,BD!$A$3:$A$5001,M$3,BD!$B$3:$B$5001,$A$49)))</f>
        <v/>
      </c>
      <c r="N68" s="236" t="str">
        <f>IF(N$3="","",IF(COUNTIFS(BD!$A$3:$A$5001,N$3,BD!$B$3:$B$5001,$A$49,BD!$AF$3:$AF$5001,"&lt;&gt;")=0,"",SUMIFS(BD!$AF$3:$AF$5001,BD!$A$3:$A$5001,N$3,BD!$B$3:$B$5001,$A$49)))</f>
        <v/>
      </c>
      <c r="O68" s="236" t="str">
        <f>IF(O$3="","",IF(COUNTIFS(BD!$A$3:$A$5001,O$3,BD!$B$3:$B$5001,$A$49,BD!$AF$3:$AF$5001,"&lt;&gt;")=0,"",SUMIFS(BD!$AF$3:$AF$5001,BD!$A$3:$A$5001,O$3,BD!$B$3:$B$5001,$A$49)))</f>
        <v/>
      </c>
      <c r="P68" s="236" t="str">
        <f>IF(P$3="","",IF(COUNTIFS(BD!$A$3:$A$5001,P$3,BD!$B$3:$B$5001,$A$49,BD!$AF$3:$AF$5001,"&lt;&gt;")=0,"",SUMIFS(BD!$AF$3:$AF$5001,BD!$A$3:$A$5001,P$3,BD!$B$3:$B$5001,$A$49)))</f>
        <v/>
      </c>
      <c r="Q68" s="236" t="str">
        <f>IF(Q$3="","",IF(COUNTIFS(BD!$A$3:$A$5001,Q$3,BD!$B$3:$B$5001,$A$49,BD!$AF$3:$AF$5001,"&lt;&gt;")=0,"",SUMIFS(BD!$AF$3:$AF$5001,BD!$A$3:$A$5001,Q$3,BD!$B$3:$B$5001,$A$49)))</f>
        <v/>
      </c>
      <c r="R68" s="236" t="str">
        <f>IF(R$3="","",IF(COUNTIFS(BD!$A$3:$A$5001,R$3,BD!$B$3:$B$5001,$A$49,BD!$AF$3:$AF$5001,"&lt;&gt;")=0,"",SUMIFS(BD!$AF$3:$AF$5001,BD!$A$3:$A$5001,R$3,BD!$B$3:$B$5001,$A$49)))</f>
        <v/>
      </c>
      <c r="S68" s="236" t="str">
        <f>IF(S$3="","",IF(COUNTIFS(BD!$A$3:$A$5001,S$3,BD!$B$3:$B$5001,$A$49,BD!$AF$3:$AF$5001,"&lt;&gt;")=0,"",SUMIFS(BD!$AF$3:$AF$5001,BD!$A$3:$A$5001,S$3,BD!$B$3:$B$5001,$A$49)))</f>
        <v/>
      </c>
      <c r="T68" s="236" t="str">
        <f>IF(T$3="","",IF(COUNTIFS(BD!$A$3:$A$5001,T$3,BD!$B$3:$B$5001,$A$49,BD!$AF$3:$AF$5001,"&lt;&gt;")=0,"",SUMIFS(BD!$AF$3:$AF$5001,BD!$A$3:$A$5001,T$3,BD!$B$3:$B$5001,$A$49)))</f>
        <v/>
      </c>
      <c r="U68" s="236" t="str">
        <f>IF(U$3="","",IF(COUNTIFS(BD!$A$3:$A$5001,U$3,BD!$B$3:$B$5001,$A$49,BD!$AF$3:$AF$5001,"&lt;&gt;")=0,"",SUMIFS(BD!$AF$3:$AF$5001,BD!$A$3:$A$5001,U$3,BD!$B$3:$B$5001,$A$49)))</f>
        <v/>
      </c>
      <c r="V68" s="236" t="str">
        <f>IF(V$3="","",IF(COUNTIFS(BD!$A$3:$A$5001,V$3,BD!$B$3:$B$5001,$A$49,BD!$AF$3:$AF$5001,"&lt;&gt;")=0,"",SUMIFS(BD!$AF$3:$AF$5001,BD!$A$3:$A$5001,V$3,BD!$B$3:$B$5001,$A$49)))</f>
        <v/>
      </c>
      <c r="W68" s="236" t="str">
        <f>IF(W$3="","",IF(COUNTIFS(BD!$A$3:$A$5001,W$3,BD!$B$3:$B$5001,$A$49,BD!$AF$3:$AF$5001,"&lt;&gt;")=0,"",SUMIFS(BD!$AF$3:$AF$5001,BD!$A$3:$A$5001,W$3,BD!$B$3:$B$5001,$A$49)))</f>
        <v/>
      </c>
      <c r="X68" s="236" t="str">
        <f>IF(X$3="","",IF(COUNTIFS(BD!$A$3:$A$5001,X$3,BD!$B$3:$B$5001,$A$49,BD!$AF$3:$AF$5001,"&lt;&gt;")=0,"",SUMIFS(BD!$AF$3:$AF$5001,BD!$A$3:$A$5001,X$3,BD!$B$3:$B$5001,$A$49)))</f>
        <v/>
      </c>
      <c r="Y68" s="236" t="str">
        <f>IF(Y$3="","",IF(COUNTIFS(BD!$A$3:$A$5001,Y$3,BD!$B$3:$B$5001,$A$49,BD!$AF$3:$AF$5001,"&lt;&gt;")=0,"",SUMIFS(BD!$AF$3:$AF$5001,BD!$A$3:$A$5001,Y$3,BD!$B$3:$B$5001,$A$49)))</f>
        <v/>
      </c>
      <c r="Z68" s="236" t="str">
        <f>IF(Z$3="","",IF(COUNTIFS(BD!$A$3:$A$5001,Z$3,BD!$B$3:$B$5001,$A$49,BD!$AF$3:$AF$5001,"&lt;&gt;")=0,"",SUMIFS(BD!$AF$3:$AF$5001,BD!$A$3:$A$5001,Z$3,BD!$B$3:$B$5001,$A$49)))</f>
        <v/>
      </c>
      <c r="AA68" s="236" t="str">
        <f>IF(AA$3="","",IF(COUNTIFS(BD!$A$3:$A$5001,AA$3,BD!$B$3:$B$5001,$A$49,BD!$AF$3:$AF$5001,"&lt;&gt;")=0,"",SUMIFS(BD!$AF$3:$AF$5001,BD!$A$3:$A$5001,AA$3,BD!$B$3:$B$5001,$A$49)))</f>
        <v/>
      </c>
      <c r="AB68" s="236" t="str">
        <f>IF(AB$3="","",IF(COUNTIFS(BD!$A$3:$A$5001,AB$3,BD!$B$3:$B$5001,$A$49,BD!$AF$3:$AF$5001,"&lt;&gt;")=0,"",SUMIFS(BD!$AF$3:$AF$5001,BD!$A$3:$A$5001,AB$3,BD!$B$3:$B$5001,$A$49)))</f>
        <v/>
      </c>
      <c r="AC68" s="236" t="str">
        <f>IF(AC$3="","",IF(COUNTIFS(BD!$A$3:$A$5001,AC$3,BD!$B$3:$B$5001,$A$49,BD!$AF$3:$AF$5001,"&lt;&gt;")=0,"",SUMIFS(BD!$AF$3:$AF$5001,BD!$A$3:$A$5001,AC$3,BD!$B$3:$B$5001,$A$49)))</f>
        <v/>
      </c>
      <c r="AD68" s="236" t="str">
        <f>IF(AD$3="","",IF(COUNTIFS(BD!$A$3:$A$5001,AD$3,BD!$B$3:$B$5001,$A$49,BD!$AF$3:$AF$5001,"&lt;&gt;")=0,"",SUMIFS(BD!$AF$3:$AF$5001,BD!$A$3:$A$5001,AD$3,BD!$B$3:$B$5001,$A$49)))</f>
        <v/>
      </c>
      <c r="AE68" s="236" t="str">
        <f>IF(AE$3="","",IF(COUNTIFS(BD!$A$3:$A$5001,AE$3,BD!$B$3:$B$5001,$A$49,BD!$AF$3:$AF$5001,"&lt;&gt;")=0,"",SUMIFS(BD!$AF$3:$AF$5001,BD!$A$3:$A$5001,AE$3,BD!$B$3:$B$5001,$A$49)))</f>
        <v/>
      </c>
      <c r="AF68" s="236" t="str">
        <f>IF(AF$3="","",IF(COUNTIFS(BD!$A$3:$A$5001,AF$3,BD!$B$3:$B$5001,$A$49,BD!$AF$3:$AF$5001,"&lt;&gt;")=0,"",SUMIFS(BD!$AF$3:$AF$5001,BD!$A$3:$A$5001,AF$3,BD!$B$3:$B$5001,$A$49)))</f>
        <v/>
      </c>
      <c r="AG68" s="236" t="str">
        <f>IF(AG$3="","",IF(COUNTIFS(BD!$A$3:$A$5001,AG$3,BD!$B$3:$B$5001,$A$49,BD!$AF$3:$AF$5001,"&lt;&gt;")=0,"",SUMIFS(BD!$AF$3:$AF$5001,BD!$A$3:$A$5001,AG$3,BD!$B$3:$B$5001,$A$49)))</f>
        <v/>
      </c>
      <c r="AH68" s="236" t="str">
        <f>IF(AH$3="","",IF(COUNTIFS(BD!$A$3:$A$5001,AH$3,BD!$B$3:$B$5001,$A$49,BD!$AF$3:$AF$5001,"&lt;&gt;")=0,"",SUMIFS(BD!$AF$3:$AF$5001,BD!$A$3:$A$5001,AH$3,BD!$B$3:$B$5001,$A$49)))</f>
        <v/>
      </c>
      <c r="AI68" s="236" t="str">
        <f>IF(AI$3="","",IF(COUNTIFS(BD!$A$3:$A$5001,AI$3,BD!$B$3:$B$5001,$A$49,BD!$AF$3:$AF$5001,"&lt;&gt;")=0,"",SUMIFS(BD!$AF$3:$AF$5001,BD!$A$3:$A$5001,AI$3,BD!$B$3:$B$5001,$A$49)))</f>
        <v/>
      </c>
      <c r="AJ68" s="237" t="str">
        <f>IF(AJ$3="","",IF(COUNTIFS(BD!$A$3:$A$5001,AJ$3,BD!$B$3:$B$5001,$A$49,BD!$AF$3:$AF$5001,"&lt;&gt;")=0,"",SUMIFS(BD!$AF$3:$AF$5001,BD!$A$3:$A$5001,AJ$3,BD!$B$3:$B$5001,$A$49)))</f>
        <v/>
      </c>
      <c r="AK68" s="238" t="str">
        <f>IF(COUNT(F68:AJ68)=0,"",SUM(F68:AJ68))</f>
        <v/>
      </c>
    </row>
    <row r="69" ht="15.75" customHeight="1">
      <c r="A69" s="261"/>
      <c r="B69" s="258"/>
      <c r="C69" s="232" t="inlineStr">
        <is>
          <t xml:space="preserve">Acidentes CAF</t>
        </is>
      </c>
      <c r="D69" s="233" t="str">
        <f>IFERROR(1/(1/INDEX(BD!$AL$54:$BF$54,MATCH($A$49,BD!$AL$22:$BF$22,0))),"")</f>
        <v/>
      </c>
      <c r="E69" s="234"/>
      <c r="F69" s="235" t="str">
        <f>IF(F$3="","",IF(COUNTIFS(BD!$A$3:$A$5001,F$3,BD!$B$3:$B$5001,$A$49,BD!$AG$3:$AG$5001,"&lt;&gt;")=0,"",SUMIFS(BD!$AG$3:$AG$5001,BD!$A$3:$A$5001,F$3,BD!$B$3:$B$5001,$A$49)))</f>
        <v/>
      </c>
      <c r="G69" s="236" t="str">
        <f>IF(G$3="","",IF(COUNTIFS(BD!$A$3:$A$5001,G$3,BD!$B$3:$B$5001,$A$49,BD!$AG$3:$AG$5001,"&lt;&gt;")=0,"",SUMIFS(BD!$AG$3:$AG$5001,BD!$A$3:$A$5001,G$3,BD!$B$3:$B$5001,$A$49)))</f>
        <v/>
      </c>
      <c r="H69" s="236" t="str">
        <f>IF(H$3="","",IF(COUNTIFS(BD!$A$3:$A$5001,H$3,BD!$B$3:$B$5001,$A$49,BD!$AG$3:$AG$5001,"&lt;&gt;")=0,"",SUMIFS(BD!$AG$3:$AG$5001,BD!$A$3:$A$5001,H$3,BD!$B$3:$B$5001,$A$49)))</f>
        <v/>
      </c>
      <c r="I69" s="236" t="str">
        <f>IF(I$3="","",IF(COUNTIFS(BD!$A$3:$A$5001,I$3,BD!$B$3:$B$5001,$A$49,BD!$AG$3:$AG$5001,"&lt;&gt;")=0,"",SUMIFS(BD!$AG$3:$AG$5001,BD!$A$3:$A$5001,I$3,BD!$B$3:$B$5001,$A$49)))</f>
        <v/>
      </c>
      <c r="J69" s="236" t="str">
        <f>IF(J$3="","",IF(COUNTIFS(BD!$A$3:$A$5001,J$3,BD!$B$3:$B$5001,$A$49,BD!$AG$3:$AG$5001,"&lt;&gt;")=0,"",SUMIFS(BD!$AG$3:$AG$5001,BD!$A$3:$A$5001,J$3,BD!$B$3:$B$5001,$A$49)))</f>
        <v/>
      </c>
      <c r="K69" s="236" t="str">
        <f>IF(K$3="","",IF(COUNTIFS(BD!$A$3:$A$5001,K$3,BD!$B$3:$B$5001,$A$49,BD!$AG$3:$AG$5001,"&lt;&gt;")=0,"",SUMIFS(BD!$AG$3:$AG$5001,BD!$A$3:$A$5001,K$3,BD!$B$3:$B$5001,$A$49)))</f>
        <v/>
      </c>
      <c r="L69" s="236" t="str">
        <f>IF(L$3="","",IF(COUNTIFS(BD!$A$3:$A$5001,L$3,BD!$B$3:$B$5001,$A$49,BD!$AG$3:$AG$5001,"&lt;&gt;")=0,"",SUMIFS(BD!$AG$3:$AG$5001,BD!$A$3:$A$5001,L$3,BD!$B$3:$B$5001,$A$49)))</f>
        <v/>
      </c>
      <c r="M69" s="236" t="str">
        <f>IF(M$3="","",IF(COUNTIFS(BD!$A$3:$A$5001,M$3,BD!$B$3:$B$5001,$A$49,BD!$AG$3:$AG$5001,"&lt;&gt;")=0,"",SUMIFS(BD!$AG$3:$AG$5001,BD!$A$3:$A$5001,M$3,BD!$B$3:$B$5001,$A$49)))</f>
        <v/>
      </c>
      <c r="N69" s="236" t="str">
        <f>IF(N$3="","",IF(COUNTIFS(BD!$A$3:$A$5001,N$3,BD!$B$3:$B$5001,$A$49,BD!$AG$3:$AG$5001,"&lt;&gt;")=0,"",SUMIFS(BD!$AG$3:$AG$5001,BD!$A$3:$A$5001,N$3,BD!$B$3:$B$5001,$A$49)))</f>
        <v/>
      </c>
      <c r="O69" s="236" t="str">
        <f>IF(O$3="","",IF(COUNTIFS(BD!$A$3:$A$5001,O$3,BD!$B$3:$B$5001,$A$49,BD!$AG$3:$AG$5001,"&lt;&gt;")=0,"",SUMIFS(BD!$AG$3:$AG$5001,BD!$A$3:$A$5001,O$3,BD!$B$3:$B$5001,$A$49)))</f>
        <v/>
      </c>
      <c r="P69" s="236" t="str">
        <f>IF(P$3="","",IF(COUNTIFS(BD!$A$3:$A$5001,P$3,BD!$B$3:$B$5001,$A$49,BD!$AG$3:$AG$5001,"&lt;&gt;")=0,"",SUMIFS(BD!$AG$3:$AG$5001,BD!$A$3:$A$5001,P$3,BD!$B$3:$B$5001,$A$49)))</f>
        <v/>
      </c>
      <c r="Q69" s="236" t="str">
        <f>IF(Q$3="","",IF(COUNTIFS(BD!$A$3:$A$5001,Q$3,BD!$B$3:$B$5001,$A$49,BD!$AG$3:$AG$5001,"&lt;&gt;")=0,"",SUMIFS(BD!$AG$3:$AG$5001,BD!$A$3:$A$5001,Q$3,BD!$B$3:$B$5001,$A$49)))</f>
        <v/>
      </c>
      <c r="R69" s="236" t="str">
        <f>IF(R$3="","",IF(COUNTIFS(BD!$A$3:$A$5001,R$3,BD!$B$3:$B$5001,$A$49,BD!$AG$3:$AG$5001,"&lt;&gt;")=0,"",SUMIFS(BD!$AG$3:$AG$5001,BD!$A$3:$A$5001,R$3,BD!$B$3:$B$5001,$A$49)))</f>
        <v/>
      </c>
      <c r="S69" s="236" t="str">
        <f>IF(S$3="","",IF(COUNTIFS(BD!$A$3:$A$5001,S$3,BD!$B$3:$B$5001,$A$49,BD!$AG$3:$AG$5001,"&lt;&gt;")=0,"",SUMIFS(BD!$AG$3:$AG$5001,BD!$A$3:$A$5001,S$3,BD!$B$3:$B$5001,$A$49)))</f>
        <v/>
      </c>
      <c r="T69" s="236" t="str">
        <f>IF(T$3="","",IF(COUNTIFS(BD!$A$3:$A$5001,T$3,BD!$B$3:$B$5001,$A$49,BD!$AG$3:$AG$5001,"&lt;&gt;")=0,"",SUMIFS(BD!$AG$3:$AG$5001,BD!$A$3:$A$5001,T$3,BD!$B$3:$B$5001,$A$49)))</f>
        <v/>
      </c>
      <c r="U69" s="236" t="str">
        <f>IF(U$3="","",IF(COUNTIFS(BD!$A$3:$A$5001,U$3,BD!$B$3:$B$5001,$A$49,BD!$AG$3:$AG$5001,"&lt;&gt;")=0,"",SUMIFS(BD!$AG$3:$AG$5001,BD!$A$3:$A$5001,U$3,BD!$B$3:$B$5001,$A$49)))</f>
        <v/>
      </c>
      <c r="V69" s="236" t="str">
        <f>IF(V$3="","",IF(COUNTIFS(BD!$A$3:$A$5001,V$3,BD!$B$3:$B$5001,$A$49,BD!$AG$3:$AG$5001,"&lt;&gt;")=0,"",SUMIFS(BD!$AG$3:$AG$5001,BD!$A$3:$A$5001,V$3,BD!$B$3:$B$5001,$A$49)))</f>
        <v/>
      </c>
      <c r="W69" s="236" t="str">
        <f>IF(W$3="","",IF(COUNTIFS(BD!$A$3:$A$5001,W$3,BD!$B$3:$B$5001,$A$49,BD!$AG$3:$AG$5001,"&lt;&gt;")=0,"",SUMIFS(BD!$AG$3:$AG$5001,BD!$A$3:$A$5001,W$3,BD!$B$3:$B$5001,$A$49)))</f>
        <v/>
      </c>
      <c r="X69" s="236" t="str">
        <f>IF(X$3="","",IF(COUNTIFS(BD!$A$3:$A$5001,X$3,BD!$B$3:$B$5001,$A$49,BD!$AG$3:$AG$5001,"&lt;&gt;")=0,"",SUMIFS(BD!$AG$3:$AG$5001,BD!$A$3:$A$5001,X$3,BD!$B$3:$B$5001,$A$49)))</f>
        <v/>
      </c>
      <c r="Y69" s="236" t="str">
        <f>IF(Y$3="","",IF(COUNTIFS(BD!$A$3:$A$5001,Y$3,BD!$B$3:$B$5001,$A$49,BD!$AG$3:$AG$5001,"&lt;&gt;")=0,"",SUMIFS(BD!$AG$3:$AG$5001,BD!$A$3:$A$5001,Y$3,BD!$B$3:$B$5001,$A$49)))</f>
        <v/>
      </c>
      <c r="Z69" s="236" t="str">
        <f>IF(Z$3="","",IF(COUNTIFS(BD!$A$3:$A$5001,Z$3,BD!$B$3:$B$5001,$A$49,BD!$AG$3:$AG$5001,"&lt;&gt;")=0,"",SUMIFS(BD!$AG$3:$AG$5001,BD!$A$3:$A$5001,Z$3,BD!$B$3:$B$5001,$A$49)))</f>
        <v/>
      </c>
      <c r="AA69" s="236" t="str">
        <f>IF(AA$3="","",IF(COUNTIFS(BD!$A$3:$A$5001,AA$3,BD!$B$3:$B$5001,$A$49,BD!$AG$3:$AG$5001,"&lt;&gt;")=0,"",SUMIFS(BD!$AG$3:$AG$5001,BD!$A$3:$A$5001,AA$3,BD!$B$3:$B$5001,$A$49)))</f>
        <v/>
      </c>
      <c r="AB69" s="236" t="str">
        <f>IF(AB$3="","",IF(COUNTIFS(BD!$A$3:$A$5001,AB$3,BD!$B$3:$B$5001,$A$49,BD!$AG$3:$AG$5001,"&lt;&gt;")=0,"",SUMIFS(BD!$AG$3:$AG$5001,BD!$A$3:$A$5001,AB$3,BD!$B$3:$B$5001,$A$49)))</f>
        <v/>
      </c>
      <c r="AC69" s="236" t="str">
        <f>IF(AC$3="","",IF(COUNTIFS(BD!$A$3:$A$5001,AC$3,BD!$B$3:$B$5001,$A$49,BD!$AG$3:$AG$5001,"&lt;&gt;")=0,"",SUMIFS(BD!$AG$3:$AG$5001,BD!$A$3:$A$5001,AC$3,BD!$B$3:$B$5001,$A$49)))</f>
        <v/>
      </c>
      <c r="AD69" s="236" t="str">
        <f>IF(AD$3="","",IF(COUNTIFS(BD!$A$3:$A$5001,AD$3,BD!$B$3:$B$5001,$A$49,BD!$AG$3:$AG$5001,"&lt;&gt;")=0,"",SUMIFS(BD!$AG$3:$AG$5001,BD!$A$3:$A$5001,AD$3,BD!$B$3:$B$5001,$A$49)))</f>
        <v/>
      </c>
      <c r="AE69" s="236" t="str">
        <f>IF(AE$3="","",IF(COUNTIFS(BD!$A$3:$A$5001,AE$3,BD!$B$3:$B$5001,$A$49,BD!$AG$3:$AG$5001,"&lt;&gt;")=0,"",SUMIFS(BD!$AG$3:$AG$5001,BD!$A$3:$A$5001,AE$3,BD!$B$3:$B$5001,$A$49)))</f>
        <v/>
      </c>
      <c r="AF69" s="236" t="str">
        <f>IF(AF$3="","",IF(COUNTIFS(BD!$A$3:$A$5001,AF$3,BD!$B$3:$B$5001,$A$49,BD!$AG$3:$AG$5001,"&lt;&gt;")=0,"",SUMIFS(BD!$AG$3:$AG$5001,BD!$A$3:$A$5001,AF$3,BD!$B$3:$B$5001,$A$49)))</f>
        <v/>
      </c>
      <c r="AG69" s="236" t="str">
        <f>IF(AG$3="","",IF(COUNTIFS(BD!$A$3:$A$5001,AG$3,BD!$B$3:$B$5001,$A$49,BD!$AG$3:$AG$5001,"&lt;&gt;")=0,"",SUMIFS(BD!$AG$3:$AG$5001,BD!$A$3:$A$5001,AG$3,BD!$B$3:$B$5001,$A$49)))</f>
        <v/>
      </c>
      <c r="AH69" s="236" t="str">
        <f>IF(AH$3="","",IF(COUNTIFS(BD!$A$3:$A$5001,AH$3,BD!$B$3:$B$5001,$A$49,BD!$AG$3:$AG$5001,"&lt;&gt;")=0,"",SUMIFS(BD!$AG$3:$AG$5001,BD!$A$3:$A$5001,AH$3,BD!$B$3:$B$5001,$A$49)))</f>
        <v/>
      </c>
      <c r="AI69" s="236" t="str">
        <f>IF(AI$3="","",IF(COUNTIFS(BD!$A$3:$A$5001,AI$3,BD!$B$3:$B$5001,$A$49,BD!$AG$3:$AG$5001,"&lt;&gt;")=0,"",SUMIFS(BD!$AG$3:$AG$5001,BD!$A$3:$A$5001,AI$3,BD!$B$3:$B$5001,$A$49)))</f>
        <v/>
      </c>
      <c r="AJ69" s="237" t="str">
        <f>IF(AJ$3="","",IF(COUNTIFS(BD!$A$3:$A$5001,AJ$3,BD!$B$3:$B$5001,$A$49,BD!$AG$3:$AG$5001,"&lt;&gt;")=0,"",SUMIFS(BD!$AG$3:$AG$5001,BD!$A$3:$A$5001,AJ$3,BD!$B$3:$B$5001,$A$49)))</f>
        <v/>
      </c>
      <c r="AK69" s="238" t="str">
        <f>IF(COUNT(F69:AJ69)=0,"",SUM(F69:AJ69))</f>
        <v/>
      </c>
    </row>
    <row r="70" ht="15.75" customHeight="1">
      <c r="A70" s="262"/>
      <c r="B70" s="259"/>
      <c r="C70" s="243" t="inlineStr">
        <is>
          <t xml:space="preserve">Acidentes SAF</t>
        </is>
      </c>
      <c r="D70" s="244" t="str">
        <f>IFERROR(1/(1/INDEX(BD!$AL$55:$BF$55,MATCH($A$49,BD!$AL$22:$BF$22,0))),"")</f>
        <v/>
      </c>
      <c r="E70" s="245"/>
      <c r="F70" s="246" t="str">
        <f>IF(F$3="","",IF(COUNTIFS(BD!$A$3:$A$5001,F$3,BD!$B$3:$B$5001,$A$49,BD!$AH$3:$AH$5001,"&lt;&gt;")=0,"",SUMIFS(BD!$AH$3:$AH$5001,BD!$A$3:$A$5001,F$3,BD!$B$3:$B$5001,$A$49)))</f>
        <v/>
      </c>
      <c r="G70" s="247" t="str">
        <f>IF(G$3="","",IF(COUNTIFS(BD!$A$3:$A$5001,G$3,BD!$B$3:$B$5001,$A$49,BD!$AH$3:$AH$5001,"&lt;&gt;")=0,"",SUMIFS(BD!$AH$3:$AH$5001,BD!$A$3:$A$5001,G$3,BD!$B$3:$B$5001,$A$49)))</f>
        <v/>
      </c>
      <c r="H70" s="247" t="str">
        <f>IF(H$3="","",IF(COUNTIFS(BD!$A$3:$A$5001,H$3,BD!$B$3:$B$5001,$A$49,BD!$AH$3:$AH$5001,"&lt;&gt;")=0,"",SUMIFS(BD!$AH$3:$AH$5001,BD!$A$3:$A$5001,H$3,BD!$B$3:$B$5001,$A$49)))</f>
        <v/>
      </c>
      <c r="I70" s="247" t="str">
        <f>IF(I$3="","",IF(COUNTIFS(BD!$A$3:$A$5001,I$3,BD!$B$3:$B$5001,$A$49,BD!$AH$3:$AH$5001,"&lt;&gt;")=0,"",SUMIFS(BD!$AH$3:$AH$5001,BD!$A$3:$A$5001,I$3,BD!$B$3:$B$5001,$A$49)))</f>
        <v/>
      </c>
      <c r="J70" s="247" t="str">
        <f>IF(J$3="","",IF(COUNTIFS(BD!$A$3:$A$5001,J$3,BD!$B$3:$B$5001,$A$49,BD!$AH$3:$AH$5001,"&lt;&gt;")=0,"",SUMIFS(BD!$AH$3:$AH$5001,BD!$A$3:$A$5001,J$3,BD!$B$3:$B$5001,$A$49)))</f>
        <v/>
      </c>
      <c r="K70" s="247" t="str">
        <f>IF(K$3="","",IF(COUNTIFS(BD!$A$3:$A$5001,K$3,BD!$B$3:$B$5001,$A$49,BD!$AH$3:$AH$5001,"&lt;&gt;")=0,"",SUMIFS(BD!$AH$3:$AH$5001,BD!$A$3:$A$5001,K$3,BD!$B$3:$B$5001,$A$49)))</f>
        <v/>
      </c>
      <c r="L70" s="247" t="str">
        <f>IF(L$3="","",IF(COUNTIFS(BD!$A$3:$A$5001,L$3,BD!$B$3:$B$5001,$A$49,BD!$AH$3:$AH$5001,"&lt;&gt;")=0,"",SUMIFS(BD!$AH$3:$AH$5001,BD!$A$3:$A$5001,L$3,BD!$B$3:$B$5001,$A$49)))</f>
        <v/>
      </c>
      <c r="M70" s="247" t="str">
        <f>IF(M$3="","",IF(COUNTIFS(BD!$A$3:$A$5001,M$3,BD!$B$3:$B$5001,$A$49,BD!$AH$3:$AH$5001,"&lt;&gt;")=0,"",SUMIFS(BD!$AH$3:$AH$5001,BD!$A$3:$A$5001,M$3,BD!$B$3:$B$5001,$A$49)))</f>
        <v/>
      </c>
      <c r="N70" s="247" t="str">
        <f>IF(N$3="","",IF(COUNTIFS(BD!$A$3:$A$5001,N$3,BD!$B$3:$B$5001,$A$49,BD!$AH$3:$AH$5001,"&lt;&gt;")=0,"",SUMIFS(BD!$AH$3:$AH$5001,BD!$A$3:$A$5001,N$3,BD!$B$3:$B$5001,$A$49)))</f>
        <v/>
      </c>
      <c r="O70" s="247" t="str">
        <f>IF(O$3="","",IF(COUNTIFS(BD!$A$3:$A$5001,O$3,BD!$B$3:$B$5001,$A$49,BD!$AH$3:$AH$5001,"&lt;&gt;")=0,"",SUMIFS(BD!$AH$3:$AH$5001,BD!$A$3:$A$5001,O$3,BD!$B$3:$B$5001,$A$49)))</f>
        <v/>
      </c>
      <c r="P70" s="247" t="str">
        <f>IF(P$3="","",IF(COUNTIFS(BD!$A$3:$A$5001,P$3,BD!$B$3:$B$5001,$A$49,BD!$AH$3:$AH$5001,"&lt;&gt;")=0,"",SUMIFS(BD!$AH$3:$AH$5001,BD!$A$3:$A$5001,P$3,BD!$B$3:$B$5001,$A$49)))</f>
        <v/>
      </c>
      <c r="Q70" s="247" t="str">
        <f>IF(Q$3="","",IF(COUNTIFS(BD!$A$3:$A$5001,Q$3,BD!$B$3:$B$5001,$A$49,BD!$AH$3:$AH$5001,"&lt;&gt;")=0,"",SUMIFS(BD!$AH$3:$AH$5001,BD!$A$3:$A$5001,Q$3,BD!$B$3:$B$5001,$A$49)))</f>
        <v/>
      </c>
      <c r="R70" s="247" t="str">
        <f>IF(R$3="","",IF(COUNTIFS(BD!$A$3:$A$5001,R$3,BD!$B$3:$B$5001,$A$49,BD!$AH$3:$AH$5001,"&lt;&gt;")=0,"",SUMIFS(BD!$AH$3:$AH$5001,BD!$A$3:$A$5001,R$3,BD!$B$3:$B$5001,$A$49)))</f>
        <v/>
      </c>
      <c r="S70" s="247" t="str">
        <f>IF(S$3="","",IF(COUNTIFS(BD!$A$3:$A$5001,S$3,BD!$B$3:$B$5001,$A$49,BD!$AH$3:$AH$5001,"&lt;&gt;")=0,"",SUMIFS(BD!$AH$3:$AH$5001,BD!$A$3:$A$5001,S$3,BD!$B$3:$B$5001,$A$49)))</f>
        <v/>
      </c>
      <c r="T70" s="247" t="str">
        <f>IF(T$3="","",IF(COUNTIFS(BD!$A$3:$A$5001,T$3,BD!$B$3:$B$5001,$A$49,BD!$AH$3:$AH$5001,"&lt;&gt;")=0,"",SUMIFS(BD!$AH$3:$AH$5001,BD!$A$3:$A$5001,T$3,BD!$B$3:$B$5001,$A$49)))</f>
        <v/>
      </c>
      <c r="U70" s="247" t="str">
        <f>IF(U$3="","",IF(COUNTIFS(BD!$A$3:$A$5001,U$3,BD!$B$3:$B$5001,$A$49,BD!$AH$3:$AH$5001,"&lt;&gt;")=0,"",SUMIFS(BD!$AH$3:$AH$5001,BD!$A$3:$A$5001,U$3,BD!$B$3:$B$5001,$A$49)))</f>
        <v/>
      </c>
      <c r="V70" s="247" t="str">
        <f>IF(V$3="","",IF(COUNTIFS(BD!$A$3:$A$5001,V$3,BD!$B$3:$B$5001,$A$49,BD!$AH$3:$AH$5001,"&lt;&gt;")=0,"",SUMIFS(BD!$AH$3:$AH$5001,BD!$A$3:$A$5001,V$3,BD!$B$3:$B$5001,$A$49)))</f>
        <v/>
      </c>
      <c r="W70" s="247" t="str">
        <f>IF(W$3="","",IF(COUNTIFS(BD!$A$3:$A$5001,W$3,BD!$B$3:$B$5001,$A$49,BD!$AH$3:$AH$5001,"&lt;&gt;")=0,"",SUMIFS(BD!$AH$3:$AH$5001,BD!$A$3:$A$5001,W$3,BD!$B$3:$B$5001,$A$49)))</f>
        <v/>
      </c>
      <c r="X70" s="247" t="str">
        <f>IF(X$3="","",IF(COUNTIFS(BD!$A$3:$A$5001,X$3,BD!$B$3:$B$5001,$A$49,BD!$AH$3:$AH$5001,"&lt;&gt;")=0,"",SUMIFS(BD!$AH$3:$AH$5001,BD!$A$3:$A$5001,X$3,BD!$B$3:$B$5001,$A$49)))</f>
        <v/>
      </c>
      <c r="Y70" s="247" t="str">
        <f>IF(Y$3="","",IF(COUNTIFS(BD!$A$3:$A$5001,Y$3,BD!$B$3:$B$5001,$A$49,BD!$AH$3:$AH$5001,"&lt;&gt;")=0,"",SUMIFS(BD!$AH$3:$AH$5001,BD!$A$3:$A$5001,Y$3,BD!$B$3:$B$5001,$A$49)))</f>
        <v/>
      </c>
      <c r="Z70" s="247" t="str">
        <f>IF(Z$3="","",IF(COUNTIFS(BD!$A$3:$A$5001,Z$3,BD!$B$3:$B$5001,$A$49,BD!$AH$3:$AH$5001,"&lt;&gt;")=0,"",SUMIFS(BD!$AH$3:$AH$5001,BD!$A$3:$A$5001,Z$3,BD!$B$3:$B$5001,$A$49)))</f>
        <v/>
      </c>
      <c r="AA70" s="247" t="str">
        <f>IF(AA$3="","",IF(COUNTIFS(BD!$A$3:$A$5001,AA$3,BD!$B$3:$B$5001,$A$49,BD!$AH$3:$AH$5001,"&lt;&gt;")=0,"",SUMIFS(BD!$AH$3:$AH$5001,BD!$A$3:$A$5001,AA$3,BD!$B$3:$B$5001,$A$49)))</f>
        <v/>
      </c>
      <c r="AB70" s="247" t="str">
        <f>IF(AB$3="","",IF(COUNTIFS(BD!$A$3:$A$5001,AB$3,BD!$B$3:$B$5001,$A$49,BD!$AH$3:$AH$5001,"&lt;&gt;")=0,"",SUMIFS(BD!$AH$3:$AH$5001,BD!$A$3:$A$5001,AB$3,BD!$B$3:$B$5001,$A$49)))</f>
        <v/>
      </c>
      <c r="AC70" s="247" t="str">
        <f>IF(AC$3="","",IF(COUNTIFS(BD!$A$3:$A$5001,AC$3,BD!$B$3:$B$5001,$A$49,BD!$AH$3:$AH$5001,"&lt;&gt;")=0,"",SUMIFS(BD!$AH$3:$AH$5001,BD!$A$3:$A$5001,AC$3,BD!$B$3:$B$5001,$A$49)))</f>
        <v/>
      </c>
      <c r="AD70" s="247" t="str">
        <f>IF(AD$3="","",IF(COUNTIFS(BD!$A$3:$A$5001,AD$3,BD!$B$3:$B$5001,$A$49,BD!$AH$3:$AH$5001,"&lt;&gt;")=0,"",SUMIFS(BD!$AH$3:$AH$5001,BD!$A$3:$A$5001,AD$3,BD!$B$3:$B$5001,$A$49)))</f>
        <v/>
      </c>
      <c r="AE70" s="247" t="str">
        <f>IF(AE$3="","",IF(COUNTIFS(BD!$A$3:$A$5001,AE$3,BD!$B$3:$B$5001,$A$49,BD!$AH$3:$AH$5001,"&lt;&gt;")=0,"",SUMIFS(BD!$AH$3:$AH$5001,BD!$A$3:$A$5001,AE$3,BD!$B$3:$B$5001,$A$49)))</f>
        <v/>
      </c>
      <c r="AF70" s="247" t="str">
        <f>IF(AF$3="","",IF(COUNTIFS(BD!$A$3:$A$5001,AF$3,BD!$B$3:$B$5001,$A$49,BD!$AH$3:$AH$5001,"&lt;&gt;")=0,"",SUMIFS(BD!$AH$3:$AH$5001,BD!$A$3:$A$5001,AF$3,BD!$B$3:$B$5001,$A$49)))</f>
        <v/>
      </c>
      <c r="AG70" s="247" t="str">
        <f>IF(AG$3="","",IF(COUNTIFS(BD!$A$3:$A$5001,AG$3,BD!$B$3:$B$5001,$A$49,BD!$AH$3:$AH$5001,"&lt;&gt;")=0,"",SUMIFS(BD!$AH$3:$AH$5001,BD!$A$3:$A$5001,AG$3,BD!$B$3:$B$5001,$A$49)))</f>
        <v/>
      </c>
      <c r="AH70" s="247" t="str">
        <f>IF(AH$3="","",IF(COUNTIFS(BD!$A$3:$A$5001,AH$3,BD!$B$3:$B$5001,$A$49,BD!$AH$3:$AH$5001,"&lt;&gt;")=0,"",SUMIFS(BD!$AH$3:$AH$5001,BD!$A$3:$A$5001,AH$3,BD!$B$3:$B$5001,$A$49)))</f>
        <v/>
      </c>
      <c r="AI70" s="247" t="str">
        <f>IF(AI$3="","",IF(COUNTIFS(BD!$A$3:$A$5001,AI$3,BD!$B$3:$B$5001,$A$49,BD!$AH$3:$AH$5001,"&lt;&gt;")=0,"",SUMIFS(BD!$AH$3:$AH$5001,BD!$A$3:$A$5001,AI$3,BD!$B$3:$B$5001,$A$49)))</f>
        <v/>
      </c>
      <c r="AJ70" s="248" t="str">
        <f>IF(AJ$3="","",IF(COUNTIFS(BD!$A$3:$A$5001,AJ$3,BD!$B$3:$B$5001,$A$49,BD!$AH$3:$AH$5001,"&lt;&gt;")=0,"",SUMIFS(BD!$AH$3:$AH$5001,BD!$A$3:$A$5001,AJ$3,BD!$B$3:$B$5001,$A$49)))</f>
        <v/>
      </c>
      <c r="AK70" s="244" t="str">
        <f>IF(COUNT(F70:AJ70)=0,"",SUM(F70:AJ70))</f>
        <v/>
      </c>
    </row>
    <row r="72" ht="15.75" customHeight="1">
      <c r="A72" s="260" t="inlineStr">
        <is>
          <t xml:space="preserve">Boticário</t>
        </is>
      </c>
      <c r="B72" s="249" t="inlineStr">
        <is>
          <t xml:space="preserve">IN</t>
        </is>
      </c>
      <c r="C72" s="168" t="inlineStr">
        <is>
          <t xml:space="preserve">Veículos Recebidos</t>
        </is>
      </c>
      <c r="D72" s="169" t="str">
        <f>IFERROR(1/(1/INDEX(BD!$AL$23:$BF$23,MATCH($A$72,BD!$AL$22:$BF$22,0))),"")</f>
        <v/>
      </c>
      <c r="E72" s="170"/>
      <c r="F72" s="171" t="str">
        <f>IF(F$3="","",IF(COUNTIFS(BD!$A$3:$A$5001,F$3,BD!$B$3:$B$5001,$A$72,BD!$C$3:$C$5001,"&lt;&gt;")=0,"",SUMIFS(BD!$C$3:$C$5001,BD!$A$3:$A$5001,F$3,BD!$B$3:$B$5001,$A$72)))</f>
        <v/>
      </c>
      <c r="G72" s="172" t="str">
        <f>IF(G$3="","",IF(COUNTIFS(BD!$A$3:$A$5001,G$3,BD!$B$3:$B$5001,$A$72,BD!$C$3:$C$5001,"&lt;&gt;")=0,"",SUMIFS(BD!$C$3:$C$5001,BD!$A$3:$A$5001,G$3,BD!$B$3:$B$5001,$A$72)))</f>
        <v/>
      </c>
      <c r="H72" s="172" t="str">
        <f>IF(H$3="","",IF(COUNTIFS(BD!$A$3:$A$5001,H$3,BD!$B$3:$B$5001,$A$72,BD!$C$3:$C$5001,"&lt;&gt;")=0,"",SUMIFS(BD!$C$3:$C$5001,BD!$A$3:$A$5001,H$3,BD!$B$3:$B$5001,$A$72)))</f>
        <v/>
      </c>
      <c r="I72" s="172" t="str">
        <f>IF(I$3="","",IF(COUNTIFS(BD!$A$3:$A$5001,I$3,BD!$B$3:$B$5001,$A$72,BD!$C$3:$C$5001,"&lt;&gt;")=0,"",SUMIFS(BD!$C$3:$C$5001,BD!$A$3:$A$5001,I$3,BD!$B$3:$B$5001,$A$72)))</f>
        <v/>
      </c>
      <c r="J72" s="172" t="str">
        <f>IF(J$3="","",IF(COUNTIFS(BD!$A$3:$A$5001,J$3,BD!$B$3:$B$5001,$A$72,BD!$C$3:$C$5001,"&lt;&gt;")=0,"",SUMIFS(BD!$C$3:$C$5001,BD!$A$3:$A$5001,J$3,BD!$B$3:$B$5001,$A$72)))</f>
        <v/>
      </c>
      <c r="K72" s="172" t="str">
        <f>IF(K$3="","",IF(COUNTIFS(BD!$A$3:$A$5001,K$3,BD!$B$3:$B$5001,$A$72,BD!$C$3:$C$5001,"&lt;&gt;")=0,"",SUMIFS(BD!$C$3:$C$5001,BD!$A$3:$A$5001,K$3,BD!$B$3:$B$5001,$A$72)))</f>
        <v/>
      </c>
      <c r="L72" s="172" t="str">
        <f>IF(L$3="","",IF(COUNTIFS(BD!$A$3:$A$5001,L$3,BD!$B$3:$B$5001,$A$72,BD!$C$3:$C$5001,"&lt;&gt;")=0,"",SUMIFS(BD!$C$3:$C$5001,BD!$A$3:$A$5001,L$3,BD!$B$3:$B$5001,$A$72)))</f>
        <v/>
      </c>
      <c r="M72" s="172" t="str">
        <f>IF(M$3="","",IF(COUNTIFS(BD!$A$3:$A$5001,M$3,BD!$B$3:$B$5001,$A$72,BD!$C$3:$C$5001,"&lt;&gt;")=0,"",SUMIFS(BD!$C$3:$C$5001,BD!$A$3:$A$5001,M$3,BD!$B$3:$B$5001,$A$72)))</f>
        <v/>
      </c>
      <c r="N72" s="172" t="str">
        <f>IF(N$3="","",IF(COUNTIFS(BD!$A$3:$A$5001,N$3,BD!$B$3:$B$5001,$A$72,BD!$C$3:$C$5001,"&lt;&gt;")=0,"",SUMIFS(BD!$C$3:$C$5001,BD!$A$3:$A$5001,N$3,BD!$B$3:$B$5001,$A$72)))</f>
        <v/>
      </c>
      <c r="O72" s="172" t="str">
        <f>IF(O$3="","",IF(COUNTIFS(BD!$A$3:$A$5001,O$3,BD!$B$3:$B$5001,$A$72,BD!$C$3:$C$5001,"&lt;&gt;")=0,"",SUMIFS(BD!$C$3:$C$5001,BD!$A$3:$A$5001,O$3,BD!$B$3:$B$5001,$A$72)))</f>
        <v/>
      </c>
      <c r="P72" s="172" t="str">
        <f>IF(P$3="","",IF(COUNTIFS(BD!$A$3:$A$5001,P$3,BD!$B$3:$B$5001,$A$72,BD!$C$3:$C$5001,"&lt;&gt;")=0,"",SUMIFS(BD!$C$3:$C$5001,BD!$A$3:$A$5001,P$3,BD!$B$3:$B$5001,$A$72)))</f>
        <v/>
      </c>
      <c r="Q72" s="172" t="str">
        <f>IF(Q$3="","",IF(COUNTIFS(BD!$A$3:$A$5001,Q$3,BD!$B$3:$B$5001,$A$72,BD!$C$3:$C$5001,"&lt;&gt;")=0,"",SUMIFS(BD!$C$3:$C$5001,BD!$A$3:$A$5001,Q$3,BD!$B$3:$B$5001,$A$72)))</f>
        <v/>
      </c>
      <c r="R72" s="172" t="str">
        <f>IF(R$3="","",IF(COUNTIFS(BD!$A$3:$A$5001,R$3,BD!$B$3:$B$5001,$A$72,BD!$C$3:$C$5001,"&lt;&gt;")=0,"",SUMIFS(BD!$C$3:$C$5001,BD!$A$3:$A$5001,R$3,BD!$B$3:$B$5001,$A$72)))</f>
        <v/>
      </c>
      <c r="S72" s="172" t="str">
        <f>IF(S$3="","",IF(COUNTIFS(BD!$A$3:$A$5001,S$3,BD!$B$3:$B$5001,$A$72,BD!$C$3:$C$5001,"&lt;&gt;")=0,"",SUMIFS(BD!$C$3:$C$5001,BD!$A$3:$A$5001,S$3,BD!$B$3:$B$5001,$A$72)))</f>
        <v/>
      </c>
      <c r="T72" s="172" t="str">
        <f>IF(T$3="","",IF(COUNTIFS(BD!$A$3:$A$5001,T$3,BD!$B$3:$B$5001,$A$72,BD!$C$3:$C$5001,"&lt;&gt;")=0,"",SUMIFS(BD!$C$3:$C$5001,BD!$A$3:$A$5001,T$3,BD!$B$3:$B$5001,$A$72)))</f>
        <v/>
      </c>
      <c r="U72" s="172" t="str">
        <f>IF(U$3="","",IF(COUNTIFS(BD!$A$3:$A$5001,U$3,BD!$B$3:$B$5001,$A$72,BD!$C$3:$C$5001,"&lt;&gt;")=0,"",SUMIFS(BD!$C$3:$C$5001,BD!$A$3:$A$5001,U$3,BD!$B$3:$B$5001,$A$72)))</f>
        <v/>
      </c>
      <c r="V72" s="172" t="str">
        <f>IF(V$3="","",IF(COUNTIFS(BD!$A$3:$A$5001,V$3,BD!$B$3:$B$5001,$A$72,BD!$C$3:$C$5001,"&lt;&gt;")=0,"",SUMIFS(BD!$C$3:$C$5001,BD!$A$3:$A$5001,V$3,BD!$B$3:$B$5001,$A$72)))</f>
        <v/>
      </c>
      <c r="W72" s="172" t="str">
        <f>IF(W$3="","",IF(COUNTIFS(BD!$A$3:$A$5001,W$3,BD!$B$3:$B$5001,$A$72,BD!$C$3:$C$5001,"&lt;&gt;")=0,"",SUMIFS(BD!$C$3:$C$5001,BD!$A$3:$A$5001,W$3,BD!$B$3:$B$5001,$A$72)))</f>
        <v/>
      </c>
      <c r="X72" s="172" t="str">
        <f>IF(X$3="","",IF(COUNTIFS(BD!$A$3:$A$5001,X$3,BD!$B$3:$B$5001,$A$72,BD!$C$3:$C$5001,"&lt;&gt;")=0,"",SUMIFS(BD!$C$3:$C$5001,BD!$A$3:$A$5001,X$3,BD!$B$3:$B$5001,$A$72)))</f>
        <v/>
      </c>
      <c r="Y72" s="172" t="str">
        <f>IF(Y$3="","",IF(COUNTIFS(BD!$A$3:$A$5001,Y$3,BD!$B$3:$B$5001,$A$72,BD!$C$3:$C$5001,"&lt;&gt;")=0,"",SUMIFS(BD!$C$3:$C$5001,BD!$A$3:$A$5001,Y$3,BD!$B$3:$B$5001,$A$72)))</f>
        <v/>
      </c>
      <c r="Z72" s="172" t="str">
        <f>IF(Z$3="","",IF(COUNTIFS(BD!$A$3:$A$5001,Z$3,BD!$B$3:$B$5001,$A$72,BD!$C$3:$C$5001,"&lt;&gt;")=0,"",SUMIFS(BD!$C$3:$C$5001,BD!$A$3:$A$5001,Z$3,BD!$B$3:$B$5001,$A$72)))</f>
        <v/>
      </c>
      <c r="AA72" s="172" t="str">
        <f>IF(AA$3="","",IF(COUNTIFS(BD!$A$3:$A$5001,AA$3,BD!$B$3:$B$5001,$A$72,BD!$C$3:$C$5001,"&lt;&gt;")=0,"",SUMIFS(BD!$C$3:$C$5001,BD!$A$3:$A$5001,AA$3,BD!$B$3:$B$5001,$A$72)))</f>
        <v/>
      </c>
      <c r="AB72" s="172" t="str">
        <f>IF(AB$3="","",IF(COUNTIFS(BD!$A$3:$A$5001,AB$3,BD!$B$3:$B$5001,$A$72,BD!$C$3:$C$5001,"&lt;&gt;")=0,"",SUMIFS(BD!$C$3:$C$5001,BD!$A$3:$A$5001,AB$3,BD!$B$3:$B$5001,$A$72)))</f>
        <v/>
      </c>
      <c r="AC72" s="172" t="str">
        <f>IF(AC$3="","",IF(COUNTIFS(BD!$A$3:$A$5001,AC$3,BD!$B$3:$B$5001,$A$72,BD!$C$3:$C$5001,"&lt;&gt;")=0,"",SUMIFS(BD!$C$3:$C$5001,BD!$A$3:$A$5001,AC$3,BD!$B$3:$B$5001,$A$72)))</f>
        <v/>
      </c>
      <c r="AD72" s="172" t="str">
        <f>IF(AD$3="","",IF(COUNTIFS(BD!$A$3:$A$5001,AD$3,BD!$B$3:$B$5001,$A$72,BD!$C$3:$C$5001,"&lt;&gt;")=0,"",SUMIFS(BD!$C$3:$C$5001,BD!$A$3:$A$5001,AD$3,BD!$B$3:$B$5001,$A$72)))</f>
        <v/>
      </c>
      <c r="AE72" s="172" t="str">
        <f>IF(AE$3="","",IF(COUNTIFS(BD!$A$3:$A$5001,AE$3,BD!$B$3:$B$5001,$A$72,BD!$C$3:$C$5001,"&lt;&gt;")=0,"",SUMIFS(BD!$C$3:$C$5001,BD!$A$3:$A$5001,AE$3,BD!$B$3:$B$5001,$A$72)))</f>
        <v/>
      </c>
      <c r="AF72" s="172" t="str">
        <f>IF(AF$3="","",IF(COUNTIFS(BD!$A$3:$A$5001,AF$3,BD!$B$3:$B$5001,$A$72,BD!$C$3:$C$5001,"&lt;&gt;")=0,"",SUMIFS(BD!$C$3:$C$5001,BD!$A$3:$A$5001,AF$3,BD!$B$3:$B$5001,$A$72)))</f>
        <v/>
      </c>
      <c r="AG72" s="172" t="str">
        <f>IF(AG$3="","",IF(COUNTIFS(BD!$A$3:$A$5001,AG$3,BD!$B$3:$B$5001,$A$72,BD!$C$3:$C$5001,"&lt;&gt;")=0,"",SUMIFS(BD!$C$3:$C$5001,BD!$A$3:$A$5001,AG$3,BD!$B$3:$B$5001,$A$72)))</f>
        <v/>
      </c>
      <c r="AH72" s="172" t="str">
        <f>IF(AH$3="","",IF(COUNTIFS(BD!$A$3:$A$5001,AH$3,BD!$B$3:$B$5001,$A$72,BD!$C$3:$C$5001,"&lt;&gt;")=0,"",SUMIFS(BD!$C$3:$C$5001,BD!$A$3:$A$5001,AH$3,BD!$B$3:$B$5001,$A$72)))</f>
        <v/>
      </c>
      <c r="AI72" s="172" t="str">
        <f>IF(AI$3="","",IF(COUNTIFS(BD!$A$3:$A$5001,AI$3,BD!$B$3:$B$5001,$A$72,BD!$C$3:$C$5001,"&lt;&gt;")=0,"",SUMIFS(BD!$C$3:$C$5001,BD!$A$3:$A$5001,AI$3,BD!$B$3:$B$5001,$A$72)))</f>
        <v/>
      </c>
      <c r="AJ72" s="173" t="str">
        <f>IF(AJ$3="","",IF(COUNTIFS(BD!$A$3:$A$5001,AJ$3,BD!$B$3:$B$5001,$A$72,BD!$C$3:$C$5001,"&lt;&gt;")=0,"",SUMIFS(BD!$C$3:$C$5001,BD!$A$3:$A$5001,AJ$3,BD!$B$3:$B$5001,$A$72)))</f>
        <v/>
      </c>
      <c r="AK72" s="174" t="str">
        <f>IF(COUNT(F72:AJ72)=0,"",SUM(F72:AJ72))</f>
        <v/>
      </c>
    </row>
    <row r="73" ht="15.75" customHeight="1">
      <c r="A73" s="261"/>
      <c r="B73" s="256"/>
      <c r="C73" s="214" t="inlineStr">
        <is>
          <t xml:space="preserve">Pallets Movimentados</t>
        </is>
      </c>
      <c r="D73" s="215" t="str">
        <f>IFERROR(1/(1/INDEX(BD!$AL$24:$BF$24,MATCH($A$72,BD!$AL$22:$BF$22,0))),"")</f>
        <v/>
      </c>
      <c r="E73" s="216"/>
      <c r="F73" s="217" t="str">
        <f>IF(F$3="","",IF(COUNTIFS(BD!$A$3:$A$5001,F$3,BD!$B$3:$B$5001,$A$72,BD!$D$3:$D$5001,"&lt;&gt;")=0,"",SUMIFS(BD!$D$3:$D$5001,BD!$A$3:$A$5001,F$3,BD!$B$3:$B$5001,$A$72)))</f>
        <v/>
      </c>
      <c r="G73" s="218" t="str">
        <f>IF(G$3="","",IF(COUNTIFS(BD!$A$3:$A$5001,G$3,BD!$B$3:$B$5001,$A$72,BD!$D$3:$D$5001,"&lt;&gt;")=0,"",SUMIFS(BD!$D$3:$D$5001,BD!$A$3:$A$5001,G$3,BD!$B$3:$B$5001,$A$72)))</f>
        <v/>
      </c>
      <c r="H73" s="218" t="str">
        <f>IF(H$3="","",IF(COUNTIFS(BD!$A$3:$A$5001,H$3,BD!$B$3:$B$5001,$A$72,BD!$D$3:$D$5001,"&lt;&gt;")=0,"",SUMIFS(BD!$D$3:$D$5001,BD!$A$3:$A$5001,H$3,BD!$B$3:$B$5001,$A$72)))</f>
        <v/>
      </c>
      <c r="I73" s="218" t="str">
        <f>IF(I$3="","",IF(COUNTIFS(BD!$A$3:$A$5001,I$3,BD!$B$3:$B$5001,$A$72,BD!$D$3:$D$5001,"&lt;&gt;")=0,"",SUMIFS(BD!$D$3:$D$5001,BD!$A$3:$A$5001,I$3,BD!$B$3:$B$5001,$A$72)))</f>
        <v/>
      </c>
      <c r="J73" s="218" t="str">
        <f>IF(J$3="","",IF(COUNTIFS(BD!$A$3:$A$5001,J$3,BD!$B$3:$B$5001,$A$72,BD!$D$3:$D$5001,"&lt;&gt;")=0,"",SUMIFS(BD!$D$3:$D$5001,BD!$A$3:$A$5001,J$3,BD!$B$3:$B$5001,$A$72)))</f>
        <v/>
      </c>
      <c r="K73" s="218" t="str">
        <f>IF(K$3="","",IF(COUNTIFS(BD!$A$3:$A$5001,K$3,BD!$B$3:$B$5001,$A$72,BD!$D$3:$D$5001,"&lt;&gt;")=0,"",SUMIFS(BD!$D$3:$D$5001,BD!$A$3:$A$5001,K$3,BD!$B$3:$B$5001,$A$72)))</f>
        <v/>
      </c>
      <c r="L73" s="218" t="str">
        <f>IF(L$3="","",IF(COUNTIFS(BD!$A$3:$A$5001,L$3,BD!$B$3:$B$5001,$A$72,BD!$D$3:$D$5001,"&lt;&gt;")=0,"",SUMIFS(BD!$D$3:$D$5001,BD!$A$3:$A$5001,L$3,BD!$B$3:$B$5001,$A$72)))</f>
        <v/>
      </c>
      <c r="M73" s="218" t="str">
        <f>IF(M$3="","",IF(COUNTIFS(BD!$A$3:$A$5001,M$3,BD!$B$3:$B$5001,$A$72,BD!$D$3:$D$5001,"&lt;&gt;")=0,"",SUMIFS(BD!$D$3:$D$5001,BD!$A$3:$A$5001,M$3,BD!$B$3:$B$5001,$A$72)))</f>
        <v/>
      </c>
      <c r="N73" s="218" t="str">
        <f>IF(N$3="","",IF(COUNTIFS(BD!$A$3:$A$5001,N$3,BD!$B$3:$B$5001,$A$72,BD!$D$3:$D$5001,"&lt;&gt;")=0,"",SUMIFS(BD!$D$3:$D$5001,BD!$A$3:$A$5001,N$3,BD!$B$3:$B$5001,$A$72)))</f>
        <v/>
      </c>
      <c r="O73" s="218" t="str">
        <f>IF(O$3="","",IF(COUNTIFS(BD!$A$3:$A$5001,O$3,BD!$B$3:$B$5001,$A$72,BD!$D$3:$D$5001,"&lt;&gt;")=0,"",SUMIFS(BD!$D$3:$D$5001,BD!$A$3:$A$5001,O$3,BD!$B$3:$B$5001,$A$72)))</f>
        <v/>
      </c>
      <c r="P73" s="218" t="str">
        <f>IF(P$3="","",IF(COUNTIFS(BD!$A$3:$A$5001,P$3,BD!$B$3:$B$5001,$A$72,BD!$D$3:$D$5001,"&lt;&gt;")=0,"",SUMIFS(BD!$D$3:$D$5001,BD!$A$3:$A$5001,P$3,BD!$B$3:$B$5001,$A$72)))</f>
        <v/>
      </c>
      <c r="Q73" s="218" t="str">
        <f>IF(Q$3="","",IF(COUNTIFS(BD!$A$3:$A$5001,Q$3,BD!$B$3:$B$5001,$A$72,BD!$D$3:$D$5001,"&lt;&gt;")=0,"",SUMIFS(BD!$D$3:$D$5001,BD!$A$3:$A$5001,Q$3,BD!$B$3:$B$5001,$A$72)))</f>
        <v/>
      </c>
      <c r="R73" s="218" t="str">
        <f>IF(R$3="","",IF(COUNTIFS(BD!$A$3:$A$5001,R$3,BD!$B$3:$B$5001,$A$72,BD!$D$3:$D$5001,"&lt;&gt;")=0,"",SUMIFS(BD!$D$3:$D$5001,BD!$A$3:$A$5001,R$3,BD!$B$3:$B$5001,$A$72)))</f>
        <v/>
      </c>
      <c r="S73" s="218" t="str">
        <f>IF(S$3="","",IF(COUNTIFS(BD!$A$3:$A$5001,S$3,BD!$B$3:$B$5001,$A$72,BD!$D$3:$D$5001,"&lt;&gt;")=0,"",SUMIFS(BD!$D$3:$D$5001,BD!$A$3:$A$5001,S$3,BD!$B$3:$B$5001,$A$72)))</f>
        <v/>
      </c>
      <c r="T73" s="218" t="str">
        <f>IF(T$3="","",IF(COUNTIFS(BD!$A$3:$A$5001,T$3,BD!$B$3:$B$5001,$A$72,BD!$D$3:$D$5001,"&lt;&gt;")=0,"",SUMIFS(BD!$D$3:$D$5001,BD!$A$3:$A$5001,T$3,BD!$B$3:$B$5001,$A$72)))</f>
        <v/>
      </c>
      <c r="U73" s="218" t="str">
        <f>IF(U$3="","",IF(COUNTIFS(BD!$A$3:$A$5001,U$3,BD!$B$3:$B$5001,$A$72,BD!$D$3:$D$5001,"&lt;&gt;")=0,"",SUMIFS(BD!$D$3:$D$5001,BD!$A$3:$A$5001,U$3,BD!$B$3:$B$5001,$A$72)))</f>
        <v/>
      </c>
      <c r="V73" s="218" t="str">
        <f>IF(V$3="","",IF(COUNTIFS(BD!$A$3:$A$5001,V$3,BD!$B$3:$B$5001,$A$72,BD!$D$3:$D$5001,"&lt;&gt;")=0,"",SUMIFS(BD!$D$3:$D$5001,BD!$A$3:$A$5001,V$3,BD!$B$3:$B$5001,$A$72)))</f>
        <v/>
      </c>
      <c r="W73" s="218" t="str">
        <f>IF(W$3="","",IF(COUNTIFS(BD!$A$3:$A$5001,W$3,BD!$B$3:$B$5001,$A$72,BD!$D$3:$D$5001,"&lt;&gt;")=0,"",SUMIFS(BD!$D$3:$D$5001,BD!$A$3:$A$5001,W$3,BD!$B$3:$B$5001,$A$72)))</f>
        <v/>
      </c>
      <c r="X73" s="218" t="str">
        <f>IF(X$3="","",IF(COUNTIFS(BD!$A$3:$A$5001,X$3,BD!$B$3:$B$5001,$A$72,BD!$D$3:$D$5001,"&lt;&gt;")=0,"",SUMIFS(BD!$D$3:$D$5001,BD!$A$3:$A$5001,X$3,BD!$B$3:$B$5001,$A$72)))</f>
        <v/>
      </c>
      <c r="Y73" s="218" t="str">
        <f>IF(Y$3="","",IF(COUNTIFS(BD!$A$3:$A$5001,Y$3,BD!$B$3:$B$5001,$A$72,BD!$D$3:$D$5001,"&lt;&gt;")=0,"",SUMIFS(BD!$D$3:$D$5001,BD!$A$3:$A$5001,Y$3,BD!$B$3:$B$5001,$A$72)))</f>
        <v/>
      </c>
      <c r="Z73" s="218" t="str">
        <f>IF(Z$3="","",IF(COUNTIFS(BD!$A$3:$A$5001,Z$3,BD!$B$3:$B$5001,$A$72,BD!$D$3:$D$5001,"&lt;&gt;")=0,"",SUMIFS(BD!$D$3:$D$5001,BD!$A$3:$A$5001,Z$3,BD!$B$3:$B$5001,$A$72)))</f>
        <v/>
      </c>
      <c r="AA73" s="218" t="str">
        <f>IF(AA$3="","",IF(COUNTIFS(BD!$A$3:$A$5001,AA$3,BD!$B$3:$B$5001,$A$72,BD!$D$3:$D$5001,"&lt;&gt;")=0,"",SUMIFS(BD!$D$3:$D$5001,BD!$A$3:$A$5001,AA$3,BD!$B$3:$B$5001,$A$72)))</f>
        <v/>
      </c>
      <c r="AB73" s="218" t="str">
        <f>IF(AB$3="","",IF(COUNTIFS(BD!$A$3:$A$5001,AB$3,BD!$B$3:$B$5001,$A$72,BD!$D$3:$D$5001,"&lt;&gt;")=0,"",SUMIFS(BD!$D$3:$D$5001,BD!$A$3:$A$5001,AB$3,BD!$B$3:$B$5001,$A$72)))</f>
        <v/>
      </c>
      <c r="AC73" s="218" t="str">
        <f>IF(AC$3="","",IF(COUNTIFS(BD!$A$3:$A$5001,AC$3,BD!$B$3:$B$5001,$A$72,BD!$D$3:$D$5001,"&lt;&gt;")=0,"",SUMIFS(BD!$D$3:$D$5001,BD!$A$3:$A$5001,AC$3,BD!$B$3:$B$5001,$A$72)))</f>
        <v/>
      </c>
      <c r="AD73" s="218" t="str">
        <f>IF(AD$3="","",IF(COUNTIFS(BD!$A$3:$A$5001,AD$3,BD!$B$3:$B$5001,$A$72,BD!$D$3:$D$5001,"&lt;&gt;")=0,"",SUMIFS(BD!$D$3:$D$5001,BD!$A$3:$A$5001,AD$3,BD!$B$3:$B$5001,$A$72)))</f>
        <v/>
      </c>
      <c r="AE73" s="218" t="str">
        <f>IF(AE$3="","",IF(COUNTIFS(BD!$A$3:$A$5001,AE$3,BD!$B$3:$B$5001,$A$72,BD!$D$3:$D$5001,"&lt;&gt;")=0,"",SUMIFS(BD!$D$3:$D$5001,BD!$A$3:$A$5001,AE$3,BD!$B$3:$B$5001,$A$72)))</f>
        <v/>
      </c>
      <c r="AF73" s="218" t="str">
        <f>IF(AF$3="","",IF(COUNTIFS(BD!$A$3:$A$5001,AF$3,BD!$B$3:$B$5001,$A$72,BD!$D$3:$D$5001,"&lt;&gt;")=0,"",SUMIFS(BD!$D$3:$D$5001,BD!$A$3:$A$5001,AF$3,BD!$B$3:$B$5001,$A$72)))</f>
        <v/>
      </c>
      <c r="AG73" s="218" t="str">
        <f>IF(AG$3="","",IF(COUNTIFS(BD!$A$3:$A$5001,AG$3,BD!$B$3:$B$5001,$A$72,BD!$D$3:$D$5001,"&lt;&gt;")=0,"",SUMIFS(BD!$D$3:$D$5001,BD!$A$3:$A$5001,AG$3,BD!$B$3:$B$5001,$A$72)))</f>
        <v/>
      </c>
      <c r="AH73" s="218" t="str">
        <f>IF(AH$3="","",IF(COUNTIFS(BD!$A$3:$A$5001,AH$3,BD!$B$3:$B$5001,$A$72,BD!$D$3:$D$5001,"&lt;&gt;")=0,"",SUMIFS(BD!$D$3:$D$5001,BD!$A$3:$A$5001,AH$3,BD!$B$3:$B$5001,$A$72)))</f>
        <v/>
      </c>
      <c r="AI73" s="218" t="str">
        <f>IF(AI$3="","",IF(COUNTIFS(BD!$A$3:$A$5001,AI$3,BD!$B$3:$B$5001,$A$72,BD!$D$3:$D$5001,"&lt;&gt;")=0,"",SUMIFS(BD!$D$3:$D$5001,BD!$A$3:$A$5001,AI$3,BD!$B$3:$B$5001,$A$72)))</f>
        <v/>
      </c>
      <c r="AJ73" s="219" t="str">
        <f>IF(AJ$3="","",IF(COUNTIFS(BD!$A$3:$A$5001,AJ$3,BD!$B$3:$B$5001,$A$72,BD!$D$3:$D$5001,"&lt;&gt;")=0,"",SUMIFS(BD!$D$3:$D$5001,BD!$A$3:$A$5001,AJ$3,BD!$B$3:$B$5001,$A$72)))</f>
        <v/>
      </c>
      <c r="AK73" s="220" t="str">
        <f>IF(COUNT(F73:AJ73)=0,"",SUM(F73:AJ73))</f>
        <v/>
      </c>
    </row>
    <row r="74" ht="15.75" customHeight="1">
      <c r="A74" s="261"/>
      <c r="B74" s="256"/>
      <c r="C74" s="214" t="inlineStr">
        <is>
          <t xml:space="preserve">Caixas Movimentadas</t>
        </is>
      </c>
      <c r="D74" s="215" t="str">
        <f>IFERROR(1/(1/INDEX(BD!$AL$27:$BF$27,MATCH($A$72,BD!$AL$22:$BF$22,0))),"")</f>
        <v/>
      </c>
      <c r="E74" s="216"/>
      <c r="F74" s="217" t="str">
        <f>IF(F$3="","",IF(COUNTIFS(BD!$A$3:$A$5001,F$3,BD!$B$3:$B$5001,$A$72,BD!$G$3:$G$5001,"&lt;&gt;")=0,"",SUMIFS(BD!$G$3:$G$5001,BD!$A$3:$A$5001,F$3,BD!$B$3:$B$5001,$A$72)))</f>
        <v/>
      </c>
      <c r="G74" s="218" t="str">
        <f>IF(G$3="","",IF(COUNTIFS(BD!$A$3:$A$5001,G$3,BD!$B$3:$B$5001,$A$72,BD!$G$3:$G$5001,"&lt;&gt;")=0,"",SUMIFS(BD!$G$3:$G$5001,BD!$A$3:$A$5001,G$3,BD!$B$3:$B$5001,$A$72)))</f>
        <v/>
      </c>
      <c r="H74" s="218" t="str">
        <f>IF(H$3="","",IF(COUNTIFS(BD!$A$3:$A$5001,H$3,BD!$B$3:$B$5001,$A$72,BD!$G$3:$G$5001,"&lt;&gt;")=0,"",SUMIFS(BD!$G$3:$G$5001,BD!$A$3:$A$5001,H$3,BD!$B$3:$B$5001,$A$72)))</f>
        <v/>
      </c>
      <c r="I74" s="218" t="str">
        <f>IF(I$3="","",IF(COUNTIFS(BD!$A$3:$A$5001,I$3,BD!$B$3:$B$5001,$A$72,BD!$G$3:$G$5001,"&lt;&gt;")=0,"",SUMIFS(BD!$G$3:$G$5001,BD!$A$3:$A$5001,I$3,BD!$B$3:$B$5001,$A$72)))</f>
        <v/>
      </c>
      <c r="J74" s="218" t="str">
        <f>IF(J$3="","",IF(COUNTIFS(BD!$A$3:$A$5001,J$3,BD!$B$3:$B$5001,$A$72,BD!$G$3:$G$5001,"&lt;&gt;")=0,"",SUMIFS(BD!$G$3:$G$5001,BD!$A$3:$A$5001,J$3,BD!$B$3:$B$5001,$A$72)))</f>
        <v/>
      </c>
      <c r="K74" s="218" t="str">
        <f>IF(K$3="","",IF(COUNTIFS(BD!$A$3:$A$5001,K$3,BD!$B$3:$B$5001,$A$72,BD!$G$3:$G$5001,"&lt;&gt;")=0,"",SUMIFS(BD!$G$3:$G$5001,BD!$A$3:$A$5001,K$3,BD!$B$3:$B$5001,$A$72)))</f>
        <v/>
      </c>
      <c r="L74" s="218" t="str">
        <f>IF(L$3="","",IF(COUNTIFS(BD!$A$3:$A$5001,L$3,BD!$B$3:$B$5001,$A$72,BD!$G$3:$G$5001,"&lt;&gt;")=0,"",SUMIFS(BD!$G$3:$G$5001,BD!$A$3:$A$5001,L$3,BD!$B$3:$B$5001,$A$72)))</f>
        <v/>
      </c>
      <c r="M74" s="218" t="str">
        <f>IF(M$3="","",IF(COUNTIFS(BD!$A$3:$A$5001,M$3,BD!$B$3:$B$5001,$A$72,BD!$G$3:$G$5001,"&lt;&gt;")=0,"",SUMIFS(BD!$G$3:$G$5001,BD!$A$3:$A$5001,M$3,BD!$B$3:$B$5001,$A$72)))</f>
        <v/>
      </c>
      <c r="N74" s="218" t="str">
        <f>IF(N$3="","",IF(COUNTIFS(BD!$A$3:$A$5001,N$3,BD!$B$3:$B$5001,$A$72,BD!$G$3:$G$5001,"&lt;&gt;")=0,"",SUMIFS(BD!$G$3:$G$5001,BD!$A$3:$A$5001,N$3,BD!$B$3:$B$5001,$A$72)))</f>
        <v/>
      </c>
      <c r="O74" s="218" t="str">
        <f>IF(O$3="","",IF(COUNTIFS(BD!$A$3:$A$5001,O$3,BD!$B$3:$B$5001,$A$72,BD!$G$3:$G$5001,"&lt;&gt;")=0,"",SUMIFS(BD!$G$3:$G$5001,BD!$A$3:$A$5001,O$3,BD!$B$3:$B$5001,$A$72)))</f>
        <v/>
      </c>
      <c r="P74" s="218" t="str">
        <f>IF(P$3="","",IF(COUNTIFS(BD!$A$3:$A$5001,P$3,BD!$B$3:$B$5001,$A$72,BD!$G$3:$G$5001,"&lt;&gt;")=0,"",SUMIFS(BD!$G$3:$G$5001,BD!$A$3:$A$5001,P$3,BD!$B$3:$B$5001,$A$72)))</f>
        <v/>
      </c>
      <c r="Q74" s="218" t="str">
        <f>IF(Q$3="","",IF(COUNTIFS(BD!$A$3:$A$5001,Q$3,BD!$B$3:$B$5001,$A$72,BD!$G$3:$G$5001,"&lt;&gt;")=0,"",SUMIFS(BD!$G$3:$G$5001,BD!$A$3:$A$5001,Q$3,BD!$B$3:$B$5001,$A$72)))</f>
        <v/>
      </c>
      <c r="R74" s="218" t="str">
        <f>IF(R$3="","",IF(COUNTIFS(BD!$A$3:$A$5001,R$3,BD!$B$3:$B$5001,$A$72,BD!$G$3:$G$5001,"&lt;&gt;")=0,"",SUMIFS(BD!$G$3:$G$5001,BD!$A$3:$A$5001,R$3,BD!$B$3:$B$5001,$A$72)))</f>
        <v/>
      </c>
      <c r="S74" s="218" t="str">
        <f>IF(S$3="","",IF(COUNTIFS(BD!$A$3:$A$5001,S$3,BD!$B$3:$B$5001,$A$72,BD!$G$3:$G$5001,"&lt;&gt;")=0,"",SUMIFS(BD!$G$3:$G$5001,BD!$A$3:$A$5001,S$3,BD!$B$3:$B$5001,$A$72)))</f>
        <v/>
      </c>
      <c r="T74" s="218" t="str">
        <f>IF(T$3="","",IF(COUNTIFS(BD!$A$3:$A$5001,T$3,BD!$B$3:$B$5001,$A$72,BD!$G$3:$G$5001,"&lt;&gt;")=0,"",SUMIFS(BD!$G$3:$G$5001,BD!$A$3:$A$5001,T$3,BD!$B$3:$B$5001,$A$72)))</f>
        <v/>
      </c>
      <c r="U74" s="218" t="str">
        <f>IF(U$3="","",IF(COUNTIFS(BD!$A$3:$A$5001,U$3,BD!$B$3:$B$5001,$A$72,BD!$G$3:$G$5001,"&lt;&gt;")=0,"",SUMIFS(BD!$G$3:$G$5001,BD!$A$3:$A$5001,U$3,BD!$B$3:$B$5001,$A$72)))</f>
        <v/>
      </c>
      <c r="V74" s="218" t="str">
        <f>IF(V$3="","",IF(COUNTIFS(BD!$A$3:$A$5001,V$3,BD!$B$3:$B$5001,$A$72,BD!$G$3:$G$5001,"&lt;&gt;")=0,"",SUMIFS(BD!$G$3:$G$5001,BD!$A$3:$A$5001,V$3,BD!$B$3:$B$5001,$A$72)))</f>
        <v/>
      </c>
      <c r="W74" s="218" t="str">
        <f>IF(W$3="","",IF(COUNTIFS(BD!$A$3:$A$5001,W$3,BD!$B$3:$B$5001,$A$72,BD!$G$3:$G$5001,"&lt;&gt;")=0,"",SUMIFS(BD!$G$3:$G$5001,BD!$A$3:$A$5001,W$3,BD!$B$3:$B$5001,$A$72)))</f>
        <v/>
      </c>
      <c r="X74" s="218" t="str">
        <f>IF(X$3="","",IF(COUNTIFS(BD!$A$3:$A$5001,X$3,BD!$B$3:$B$5001,$A$72,BD!$G$3:$G$5001,"&lt;&gt;")=0,"",SUMIFS(BD!$G$3:$G$5001,BD!$A$3:$A$5001,X$3,BD!$B$3:$B$5001,$A$72)))</f>
        <v/>
      </c>
      <c r="Y74" s="218" t="str">
        <f>IF(Y$3="","",IF(COUNTIFS(BD!$A$3:$A$5001,Y$3,BD!$B$3:$B$5001,$A$72,BD!$G$3:$G$5001,"&lt;&gt;")=0,"",SUMIFS(BD!$G$3:$G$5001,BD!$A$3:$A$5001,Y$3,BD!$B$3:$B$5001,$A$72)))</f>
        <v/>
      </c>
      <c r="Z74" s="218" t="str">
        <f>IF(Z$3="","",IF(COUNTIFS(BD!$A$3:$A$5001,Z$3,BD!$B$3:$B$5001,$A$72,BD!$G$3:$G$5001,"&lt;&gt;")=0,"",SUMIFS(BD!$G$3:$G$5001,BD!$A$3:$A$5001,Z$3,BD!$B$3:$B$5001,$A$72)))</f>
        <v/>
      </c>
      <c r="AA74" s="218" t="str">
        <f>IF(AA$3="","",IF(COUNTIFS(BD!$A$3:$A$5001,AA$3,BD!$B$3:$B$5001,$A$72,BD!$G$3:$G$5001,"&lt;&gt;")=0,"",SUMIFS(BD!$G$3:$G$5001,BD!$A$3:$A$5001,AA$3,BD!$B$3:$B$5001,$A$72)))</f>
        <v/>
      </c>
      <c r="AB74" s="218" t="str">
        <f>IF(AB$3="","",IF(COUNTIFS(BD!$A$3:$A$5001,AB$3,BD!$B$3:$B$5001,$A$72,BD!$G$3:$G$5001,"&lt;&gt;")=0,"",SUMIFS(BD!$G$3:$G$5001,BD!$A$3:$A$5001,AB$3,BD!$B$3:$B$5001,$A$72)))</f>
        <v/>
      </c>
      <c r="AC74" s="218" t="str">
        <f>IF(AC$3="","",IF(COUNTIFS(BD!$A$3:$A$5001,AC$3,BD!$B$3:$B$5001,$A$72,BD!$G$3:$G$5001,"&lt;&gt;")=0,"",SUMIFS(BD!$G$3:$G$5001,BD!$A$3:$A$5001,AC$3,BD!$B$3:$B$5001,$A$72)))</f>
        <v/>
      </c>
      <c r="AD74" s="218" t="str">
        <f>IF(AD$3="","",IF(COUNTIFS(BD!$A$3:$A$5001,AD$3,BD!$B$3:$B$5001,$A$72,BD!$G$3:$G$5001,"&lt;&gt;")=0,"",SUMIFS(BD!$G$3:$G$5001,BD!$A$3:$A$5001,AD$3,BD!$B$3:$B$5001,$A$72)))</f>
        <v/>
      </c>
      <c r="AE74" s="218" t="str">
        <f>IF(AE$3="","",IF(COUNTIFS(BD!$A$3:$A$5001,AE$3,BD!$B$3:$B$5001,$A$72,BD!$G$3:$G$5001,"&lt;&gt;")=0,"",SUMIFS(BD!$G$3:$G$5001,BD!$A$3:$A$5001,AE$3,BD!$B$3:$B$5001,$A$72)))</f>
        <v/>
      </c>
      <c r="AF74" s="218" t="str">
        <f>IF(AF$3="","",IF(COUNTIFS(BD!$A$3:$A$5001,AF$3,BD!$B$3:$B$5001,$A$72,BD!$G$3:$G$5001,"&lt;&gt;")=0,"",SUMIFS(BD!$G$3:$G$5001,BD!$A$3:$A$5001,AF$3,BD!$B$3:$B$5001,$A$72)))</f>
        <v/>
      </c>
      <c r="AG74" s="218" t="str">
        <f>IF(AG$3="","",IF(COUNTIFS(BD!$A$3:$A$5001,AG$3,BD!$B$3:$B$5001,$A$72,BD!$G$3:$G$5001,"&lt;&gt;")=0,"",SUMIFS(BD!$G$3:$G$5001,BD!$A$3:$A$5001,AG$3,BD!$B$3:$B$5001,$A$72)))</f>
        <v/>
      </c>
      <c r="AH74" s="218" t="str">
        <f>IF(AH$3="","",IF(COUNTIFS(BD!$A$3:$A$5001,AH$3,BD!$B$3:$B$5001,$A$72,BD!$G$3:$G$5001,"&lt;&gt;")=0,"",SUMIFS(BD!$G$3:$G$5001,BD!$A$3:$A$5001,AH$3,BD!$B$3:$B$5001,$A$72)))</f>
        <v/>
      </c>
      <c r="AI74" s="218" t="str">
        <f>IF(AI$3="","",IF(COUNTIFS(BD!$A$3:$A$5001,AI$3,BD!$B$3:$B$5001,$A$72,BD!$G$3:$G$5001,"&lt;&gt;")=0,"",SUMIFS(BD!$G$3:$G$5001,BD!$A$3:$A$5001,AI$3,BD!$B$3:$B$5001,$A$72)))</f>
        <v/>
      </c>
      <c r="AJ74" s="219" t="str">
        <f>IF(AJ$3="","",IF(COUNTIFS(BD!$A$3:$A$5001,AJ$3,BD!$B$3:$B$5001,$A$72,BD!$G$3:$G$5001,"&lt;&gt;")=0,"",SUMIFS(BD!$G$3:$G$5001,BD!$A$3:$A$5001,AJ$3,BD!$B$3:$B$5001,$A$72)))</f>
        <v/>
      </c>
      <c r="AK74" s="220" t="str">
        <f>IF(COUNT(F74:AJ74)=0,"",SUM(F74:AJ74))</f>
        <v/>
      </c>
    </row>
    <row r="75" ht="15.75" customHeight="1">
      <c r="A75" s="261"/>
      <c r="B75" s="256"/>
      <c r="C75" s="214" t="inlineStr">
        <is>
          <t xml:space="preserve">Itens Recebidos CX Mista</t>
        </is>
      </c>
      <c r="D75" s="215" t="str">
        <f>IFERROR(1/(1/INDEX(BD!$AL$29:$BF$29,MATCH($A$72,BD!$AL$22:$BF$22,0))),"")</f>
        <v/>
      </c>
      <c r="E75" s="216"/>
      <c r="F75" s="217" t="str">
        <f>IF(F$3="","",IF(COUNTIFS(BD!$A$3:$A$5001,F$3,BD!$B$3:$B$5001,$A$72,BD!$I$3:$I$5001,"&lt;&gt;")=0,"",SUMIFS(BD!$I$3:$I$5001,BD!$A$3:$A$5001,F$3,BD!$B$3:$B$5001,$A$72)))</f>
        <v/>
      </c>
      <c r="G75" s="218" t="str">
        <f>IF(G$3="","",IF(COUNTIFS(BD!$A$3:$A$5001,G$3,BD!$B$3:$B$5001,$A$72,BD!$I$3:$I$5001,"&lt;&gt;")=0,"",SUMIFS(BD!$I$3:$I$5001,BD!$A$3:$A$5001,G$3,BD!$B$3:$B$5001,$A$72)))</f>
        <v/>
      </c>
      <c r="H75" s="218" t="str">
        <f>IF(H$3="","",IF(COUNTIFS(BD!$A$3:$A$5001,H$3,BD!$B$3:$B$5001,$A$72,BD!$I$3:$I$5001,"&lt;&gt;")=0,"",SUMIFS(BD!$I$3:$I$5001,BD!$A$3:$A$5001,H$3,BD!$B$3:$B$5001,$A$72)))</f>
        <v/>
      </c>
      <c r="I75" s="218" t="str">
        <f>IF(I$3="","",IF(COUNTIFS(BD!$A$3:$A$5001,I$3,BD!$B$3:$B$5001,$A$72,BD!$I$3:$I$5001,"&lt;&gt;")=0,"",SUMIFS(BD!$I$3:$I$5001,BD!$A$3:$A$5001,I$3,BD!$B$3:$B$5001,$A$72)))</f>
        <v/>
      </c>
      <c r="J75" s="218" t="str">
        <f>IF(J$3="","",IF(COUNTIFS(BD!$A$3:$A$5001,J$3,BD!$B$3:$B$5001,$A$72,BD!$I$3:$I$5001,"&lt;&gt;")=0,"",SUMIFS(BD!$I$3:$I$5001,BD!$A$3:$A$5001,J$3,BD!$B$3:$B$5001,$A$72)))</f>
        <v/>
      </c>
      <c r="K75" s="218" t="str">
        <f>IF(K$3="","",IF(COUNTIFS(BD!$A$3:$A$5001,K$3,BD!$B$3:$B$5001,$A$72,BD!$I$3:$I$5001,"&lt;&gt;")=0,"",SUMIFS(BD!$I$3:$I$5001,BD!$A$3:$A$5001,K$3,BD!$B$3:$B$5001,$A$72)))</f>
        <v/>
      </c>
      <c r="L75" s="218" t="str">
        <f>IF(L$3="","",IF(COUNTIFS(BD!$A$3:$A$5001,L$3,BD!$B$3:$B$5001,$A$72,BD!$I$3:$I$5001,"&lt;&gt;")=0,"",SUMIFS(BD!$I$3:$I$5001,BD!$A$3:$A$5001,L$3,BD!$B$3:$B$5001,$A$72)))</f>
        <v/>
      </c>
      <c r="M75" s="218" t="str">
        <f>IF(M$3="","",IF(COUNTIFS(BD!$A$3:$A$5001,M$3,BD!$B$3:$B$5001,$A$72,BD!$I$3:$I$5001,"&lt;&gt;")=0,"",SUMIFS(BD!$I$3:$I$5001,BD!$A$3:$A$5001,M$3,BD!$B$3:$B$5001,$A$72)))</f>
        <v/>
      </c>
      <c r="N75" s="218" t="str">
        <f>IF(N$3="","",IF(COUNTIFS(BD!$A$3:$A$5001,N$3,BD!$B$3:$B$5001,$A$72,BD!$I$3:$I$5001,"&lt;&gt;")=0,"",SUMIFS(BD!$I$3:$I$5001,BD!$A$3:$A$5001,N$3,BD!$B$3:$B$5001,$A$72)))</f>
        <v/>
      </c>
      <c r="O75" s="218" t="str">
        <f>IF(O$3="","",IF(COUNTIFS(BD!$A$3:$A$5001,O$3,BD!$B$3:$B$5001,$A$72,BD!$I$3:$I$5001,"&lt;&gt;")=0,"",SUMIFS(BD!$I$3:$I$5001,BD!$A$3:$A$5001,O$3,BD!$B$3:$B$5001,$A$72)))</f>
        <v/>
      </c>
      <c r="P75" s="218" t="str">
        <f>IF(P$3="","",IF(COUNTIFS(BD!$A$3:$A$5001,P$3,BD!$B$3:$B$5001,$A$72,BD!$I$3:$I$5001,"&lt;&gt;")=0,"",SUMIFS(BD!$I$3:$I$5001,BD!$A$3:$A$5001,P$3,BD!$B$3:$B$5001,$A$72)))</f>
        <v/>
      </c>
      <c r="Q75" s="218" t="str">
        <f>IF(Q$3="","",IF(COUNTIFS(BD!$A$3:$A$5001,Q$3,BD!$B$3:$B$5001,$A$72,BD!$I$3:$I$5001,"&lt;&gt;")=0,"",SUMIFS(BD!$I$3:$I$5001,BD!$A$3:$A$5001,Q$3,BD!$B$3:$B$5001,$A$72)))</f>
        <v/>
      </c>
      <c r="R75" s="218" t="str">
        <f>IF(R$3="","",IF(COUNTIFS(BD!$A$3:$A$5001,R$3,BD!$B$3:$B$5001,$A$72,BD!$I$3:$I$5001,"&lt;&gt;")=0,"",SUMIFS(BD!$I$3:$I$5001,BD!$A$3:$A$5001,R$3,BD!$B$3:$B$5001,$A$72)))</f>
        <v/>
      </c>
      <c r="S75" s="218" t="str">
        <f>IF(S$3="","",IF(COUNTIFS(BD!$A$3:$A$5001,S$3,BD!$B$3:$B$5001,$A$72,BD!$I$3:$I$5001,"&lt;&gt;")=0,"",SUMIFS(BD!$I$3:$I$5001,BD!$A$3:$A$5001,S$3,BD!$B$3:$B$5001,$A$72)))</f>
        <v/>
      </c>
      <c r="T75" s="218" t="str">
        <f>IF(T$3="","",IF(COUNTIFS(BD!$A$3:$A$5001,T$3,BD!$B$3:$B$5001,$A$72,BD!$I$3:$I$5001,"&lt;&gt;")=0,"",SUMIFS(BD!$I$3:$I$5001,BD!$A$3:$A$5001,T$3,BD!$B$3:$B$5001,$A$72)))</f>
        <v/>
      </c>
      <c r="U75" s="218" t="str">
        <f>IF(U$3="","",IF(COUNTIFS(BD!$A$3:$A$5001,U$3,BD!$B$3:$B$5001,$A$72,BD!$I$3:$I$5001,"&lt;&gt;")=0,"",SUMIFS(BD!$I$3:$I$5001,BD!$A$3:$A$5001,U$3,BD!$B$3:$B$5001,$A$72)))</f>
        <v/>
      </c>
      <c r="V75" s="218" t="str">
        <f>IF(V$3="","",IF(COUNTIFS(BD!$A$3:$A$5001,V$3,BD!$B$3:$B$5001,$A$72,BD!$I$3:$I$5001,"&lt;&gt;")=0,"",SUMIFS(BD!$I$3:$I$5001,BD!$A$3:$A$5001,V$3,BD!$B$3:$B$5001,$A$72)))</f>
        <v/>
      </c>
      <c r="W75" s="218" t="str">
        <f>IF(W$3="","",IF(COUNTIFS(BD!$A$3:$A$5001,W$3,BD!$B$3:$B$5001,$A$72,BD!$I$3:$I$5001,"&lt;&gt;")=0,"",SUMIFS(BD!$I$3:$I$5001,BD!$A$3:$A$5001,W$3,BD!$B$3:$B$5001,$A$72)))</f>
        <v/>
      </c>
      <c r="X75" s="218" t="str">
        <f>IF(X$3="","",IF(COUNTIFS(BD!$A$3:$A$5001,X$3,BD!$B$3:$B$5001,$A$72,BD!$I$3:$I$5001,"&lt;&gt;")=0,"",SUMIFS(BD!$I$3:$I$5001,BD!$A$3:$A$5001,X$3,BD!$B$3:$B$5001,$A$72)))</f>
        <v/>
      </c>
      <c r="Y75" s="218" t="str">
        <f>IF(Y$3="","",IF(COUNTIFS(BD!$A$3:$A$5001,Y$3,BD!$B$3:$B$5001,$A$72,BD!$I$3:$I$5001,"&lt;&gt;")=0,"",SUMIFS(BD!$I$3:$I$5001,BD!$A$3:$A$5001,Y$3,BD!$B$3:$B$5001,$A$72)))</f>
        <v/>
      </c>
      <c r="Z75" s="218" t="str">
        <f>IF(Z$3="","",IF(COUNTIFS(BD!$A$3:$A$5001,Z$3,BD!$B$3:$B$5001,$A$72,BD!$I$3:$I$5001,"&lt;&gt;")=0,"",SUMIFS(BD!$I$3:$I$5001,BD!$A$3:$A$5001,Z$3,BD!$B$3:$B$5001,$A$72)))</f>
        <v/>
      </c>
      <c r="AA75" s="218" t="str">
        <f>IF(AA$3="","",IF(COUNTIFS(BD!$A$3:$A$5001,AA$3,BD!$B$3:$B$5001,$A$72,BD!$I$3:$I$5001,"&lt;&gt;")=0,"",SUMIFS(BD!$I$3:$I$5001,BD!$A$3:$A$5001,AA$3,BD!$B$3:$B$5001,$A$72)))</f>
        <v/>
      </c>
      <c r="AB75" s="218" t="str">
        <f>IF(AB$3="","",IF(COUNTIFS(BD!$A$3:$A$5001,AB$3,BD!$B$3:$B$5001,$A$72,BD!$I$3:$I$5001,"&lt;&gt;")=0,"",SUMIFS(BD!$I$3:$I$5001,BD!$A$3:$A$5001,AB$3,BD!$B$3:$B$5001,$A$72)))</f>
        <v/>
      </c>
      <c r="AC75" s="218" t="str">
        <f>IF(AC$3="","",IF(COUNTIFS(BD!$A$3:$A$5001,AC$3,BD!$B$3:$B$5001,$A$72,BD!$I$3:$I$5001,"&lt;&gt;")=0,"",SUMIFS(BD!$I$3:$I$5001,BD!$A$3:$A$5001,AC$3,BD!$B$3:$B$5001,$A$72)))</f>
        <v/>
      </c>
      <c r="AD75" s="218" t="str">
        <f>IF(AD$3="","",IF(COUNTIFS(BD!$A$3:$A$5001,AD$3,BD!$B$3:$B$5001,$A$72,BD!$I$3:$I$5001,"&lt;&gt;")=0,"",SUMIFS(BD!$I$3:$I$5001,BD!$A$3:$A$5001,AD$3,BD!$B$3:$B$5001,$A$72)))</f>
        <v/>
      </c>
      <c r="AE75" s="218" t="str">
        <f>IF(AE$3="","",IF(COUNTIFS(BD!$A$3:$A$5001,AE$3,BD!$B$3:$B$5001,$A$72,BD!$I$3:$I$5001,"&lt;&gt;")=0,"",SUMIFS(BD!$I$3:$I$5001,BD!$A$3:$A$5001,AE$3,BD!$B$3:$B$5001,$A$72)))</f>
        <v/>
      </c>
      <c r="AF75" s="218" t="str">
        <f>IF(AF$3="","",IF(COUNTIFS(BD!$A$3:$A$5001,AF$3,BD!$B$3:$B$5001,$A$72,BD!$I$3:$I$5001,"&lt;&gt;")=0,"",SUMIFS(BD!$I$3:$I$5001,BD!$A$3:$A$5001,AF$3,BD!$B$3:$B$5001,$A$72)))</f>
        <v/>
      </c>
      <c r="AG75" s="218" t="str">
        <f>IF(AG$3="","",IF(COUNTIFS(BD!$A$3:$A$5001,AG$3,BD!$B$3:$B$5001,$A$72,BD!$I$3:$I$5001,"&lt;&gt;")=0,"",SUMIFS(BD!$I$3:$I$5001,BD!$A$3:$A$5001,AG$3,BD!$B$3:$B$5001,$A$72)))</f>
        <v/>
      </c>
      <c r="AH75" s="218" t="str">
        <f>IF(AH$3="","",IF(COUNTIFS(BD!$A$3:$A$5001,AH$3,BD!$B$3:$B$5001,$A$72,BD!$I$3:$I$5001,"&lt;&gt;")=0,"",SUMIFS(BD!$I$3:$I$5001,BD!$A$3:$A$5001,AH$3,BD!$B$3:$B$5001,$A$72)))</f>
        <v/>
      </c>
      <c r="AI75" s="218" t="str">
        <f>IF(AI$3="","",IF(COUNTIFS(BD!$A$3:$A$5001,AI$3,BD!$B$3:$B$5001,$A$72,BD!$I$3:$I$5001,"&lt;&gt;")=0,"",SUMIFS(BD!$I$3:$I$5001,BD!$A$3:$A$5001,AI$3,BD!$B$3:$B$5001,$A$72)))</f>
        <v/>
      </c>
      <c r="AJ75" s="219" t="str">
        <f>IF(AJ$3="","",IF(COUNTIFS(BD!$A$3:$A$5001,AJ$3,BD!$B$3:$B$5001,$A$72,BD!$I$3:$I$5001,"&lt;&gt;")=0,"",SUMIFS(BD!$I$3:$I$5001,BD!$A$3:$A$5001,AJ$3,BD!$B$3:$B$5001,$A$72)))</f>
        <v/>
      </c>
      <c r="AK75" s="220" t="str">
        <f>IF(COUNT(F75:AJ75)=0,"",SUM(F75:AJ75))</f>
        <v/>
      </c>
    </row>
    <row r="76" ht="15.75" customHeight="1">
      <c r="A76" s="261"/>
      <c r="B76" s="256"/>
      <c r="C76" s="214" t="inlineStr">
        <is>
          <t xml:space="preserve">Caixas Mistas Recebidas</t>
        </is>
      </c>
      <c r="D76" s="215" t="str">
        <f>IFERROR(1/(1/INDEX(BD!$AL$31:$BF$31,MATCH($A$72,BD!$AL$22:$BF$22,0))),"")</f>
        <v/>
      </c>
      <c r="E76" s="216"/>
      <c r="F76" s="217" t="str">
        <f>IF(F$3="","",IF(COUNTIFS(BD!$A$3:$A$5001,F$3,BD!$B$3:$B$5001,$A$72,BD!$K$3:$K$5001,"&lt;&gt;")=0,"",SUMIFS(BD!$K$3:$K$5001,BD!$A$3:$A$5001,F$3,BD!$B$3:$B$5001,$A$72)))</f>
        <v/>
      </c>
      <c r="G76" s="218" t="str">
        <f>IF(G$3="","",IF(COUNTIFS(BD!$A$3:$A$5001,G$3,BD!$B$3:$B$5001,$A$72,BD!$K$3:$K$5001,"&lt;&gt;")=0,"",SUMIFS(BD!$K$3:$K$5001,BD!$A$3:$A$5001,G$3,BD!$B$3:$B$5001,$A$72)))</f>
        <v/>
      </c>
      <c r="H76" s="218" t="str">
        <f>IF(H$3="","",IF(COUNTIFS(BD!$A$3:$A$5001,H$3,BD!$B$3:$B$5001,$A$72,BD!$K$3:$K$5001,"&lt;&gt;")=0,"",SUMIFS(BD!$K$3:$K$5001,BD!$A$3:$A$5001,H$3,BD!$B$3:$B$5001,$A$72)))</f>
        <v/>
      </c>
      <c r="I76" s="218" t="str">
        <f>IF(I$3="","",IF(COUNTIFS(BD!$A$3:$A$5001,I$3,BD!$B$3:$B$5001,$A$72,BD!$K$3:$K$5001,"&lt;&gt;")=0,"",SUMIFS(BD!$K$3:$K$5001,BD!$A$3:$A$5001,I$3,BD!$B$3:$B$5001,$A$72)))</f>
        <v/>
      </c>
      <c r="J76" s="218" t="str">
        <f>IF(J$3="","",IF(COUNTIFS(BD!$A$3:$A$5001,J$3,BD!$B$3:$B$5001,$A$72,BD!$K$3:$K$5001,"&lt;&gt;")=0,"",SUMIFS(BD!$K$3:$K$5001,BD!$A$3:$A$5001,J$3,BD!$B$3:$B$5001,$A$72)))</f>
        <v/>
      </c>
      <c r="K76" s="218" t="str">
        <f>IF(K$3="","",IF(COUNTIFS(BD!$A$3:$A$5001,K$3,BD!$B$3:$B$5001,$A$72,BD!$K$3:$K$5001,"&lt;&gt;")=0,"",SUMIFS(BD!$K$3:$K$5001,BD!$A$3:$A$5001,K$3,BD!$B$3:$B$5001,$A$72)))</f>
        <v/>
      </c>
      <c r="L76" s="218" t="str">
        <f>IF(L$3="","",IF(COUNTIFS(BD!$A$3:$A$5001,L$3,BD!$B$3:$B$5001,$A$72,BD!$K$3:$K$5001,"&lt;&gt;")=0,"",SUMIFS(BD!$K$3:$K$5001,BD!$A$3:$A$5001,L$3,BD!$B$3:$B$5001,$A$72)))</f>
        <v/>
      </c>
      <c r="M76" s="218" t="str">
        <f>IF(M$3="","",IF(COUNTIFS(BD!$A$3:$A$5001,M$3,BD!$B$3:$B$5001,$A$72,BD!$K$3:$K$5001,"&lt;&gt;")=0,"",SUMIFS(BD!$K$3:$K$5001,BD!$A$3:$A$5001,M$3,BD!$B$3:$B$5001,$A$72)))</f>
        <v/>
      </c>
      <c r="N76" s="218" t="str">
        <f>IF(N$3="","",IF(COUNTIFS(BD!$A$3:$A$5001,N$3,BD!$B$3:$B$5001,$A$72,BD!$K$3:$K$5001,"&lt;&gt;")=0,"",SUMIFS(BD!$K$3:$K$5001,BD!$A$3:$A$5001,N$3,BD!$B$3:$B$5001,$A$72)))</f>
        <v/>
      </c>
      <c r="O76" s="218" t="str">
        <f>IF(O$3="","",IF(COUNTIFS(BD!$A$3:$A$5001,O$3,BD!$B$3:$B$5001,$A$72,BD!$K$3:$K$5001,"&lt;&gt;")=0,"",SUMIFS(BD!$K$3:$K$5001,BD!$A$3:$A$5001,O$3,BD!$B$3:$B$5001,$A$72)))</f>
        <v/>
      </c>
      <c r="P76" s="218" t="str">
        <f>IF(P$3="","",IF(COUNTIFS(BD!$A$3:$A$5001,P$3,BD!$B$3:$B$5001,$A$72,BD!$K$3:$K$5001,"&lt;&gt;")=0,"",SUMIFS(BD!$K$3:$K$5001,BD!$A$3:$A$5001,P$3,BD!$B$3:$B$5001,$A$72)))</f>
        <v/>
      </c>
      <c r="Q76" s="218" t="str">
        <f>IF(Q$3="","",IF(COUNTIFS(BD!$A$3:$A$5001,Q$3,BD!$B$3:$B$5001,$A$72,BD!$K$3:$K$5001,"&lt;&gt;")=0,"",SUMIFS(BD!$K$3:$K$5001,BD!$A$3:$A$5001,Q$3,BD!$B$3:$B$5001,$A$72)))</f>
        <v/>
      </c>
      <c r="R76" s="218" t="str">
        <f>IF(R$3="","",IF(COUNTIFS(BD!$A$3:$A$5001,R$3,BD!$B$3:$B$5001,$A$72,BD!$K$3:$K$5001,"&lt;&gt;")=0,"",SUMIFS(BD!$K$3:$K$5001,BD!$A$3:$A$5001,R$3,BD!$B$3:$B$5001,$A$72)))</f>
        <v/>
      </c>
      <c r="S76" s="218" t="str">
        <f>IF(S$3="","",IF(COUNTIFS(BD!$A$3:$A$5001,S$3,BD!$B$3:$B$5001,$A$72,BD!$K$3:$K$5001,"&lt;&gt;")=0,"",SUMIFS(BD!$K$3:$K$5001,BD!$A$3:$A$5001,S$3,BD!$B$3:$B$5001,$A$72)))</f>
        <v/>
      </c>
      <c r="T76" s="218" t="str">
        <f>IF(T$3="","",IF(COUNTIFS(BD!$A$3:$A$5001,T$3,BD!$B$3:$B$5001,$A$72,BD!$K$3:$K$5001,"&lt;&gt;")=0,"",SUMIFS(BD!$K$3:$K$5001,BD!$A$3:$A$5001,T$3,BD!$B$3:$B$5001,$A$72)))</f>
        <v/>
      </c>
      <c r="U76" s="218" t="str">
        <f>IF(U$3="","",IF(COUNTIFS(BD!$A$3:$A$5001,U$3,BD!$B$3:$B$5001,$A$72,BD!$K$3:$K$5001,"&lt;&gt;")=0,"",SUMIFS(BD!$K$3:$K$5001,BD!$A$3:$A$5001,U$3,BD!$B$3:$B$5001,$A$72)))</f>
        <v/>
      </c>
      <c r="V76" s="218" t="str">
        <f>IF(V$3="","",IF(COUNTIFS(BD!$A$3:$A$5001,V$3,BD!$B$3:$B$5001,$A$72,BD!$K$3:$K$5001,"&lt;&gt;")=0,"",SUMIFS(BD!$K$3:$K$5001,BD!$A$3:$A$5001,V$3,BD!$B$3:$B$5001,$A$72)))</f>
        <v/>
      </c>
      <c r="W76" s="218" t="str">
        <f>IF(W$3="","",IF(COUNTIFS(BD!$A$3:$A$5001,W$3,BD!$B$3:$B$5001,$A$72,BD!$K$3:$K$5001,"&lt;&gt;")=0,"",SUMIFS(BD!$K$3:$K$5001,BD!$A$3:$A$5001,W$3,BD!$B$3:$B$5001,$A$72)))</f>
        <v/>
      </c>
      <c r="X76" s="218" t="str">
        <f>IF(X$3="","",IF(COUNTIFS(BD!$A$3:$A$5001,X$3,BD!$B$3:$B$5001,$A$72,BD!$K$3:$K$5001,"&lt;&gt;")=0,"",SUMIFS(BD!$K$3:$K$5001,BD!$A$3:$A$5001,X$3,BD!$B$3:$B$5001,$A$72)))</f>
        <v/>
      </c>
      <c r="Y76" s="218" t="str">
        <f>IF(Y$3="","",IF(COUNTIFS(BD!$A$3:$A$5001,Y$3,BD!$B$3:$B$5001,$A$72,BD!$K$3:$K$5001,"&lt;&gt;")=0,"",SUMIFS(BD!$K$3:$K$5001,BD!$A$3:$A$5001,Y$3,BD!$B$3:$B$5001,$A$72)))</f>
        <v/>
      </c>
      <c r="Z76" s="218" t="str">
        <f>IF(Z$3="","",IF(COUNTIFS(BD!$A$3:$A$5001,Z$3,BD!$B$3:$B$5001,$A$72,BD!$K$3:$K$5001,"&lt;&gt;")=0,"",SUMIFS(BD!$K$3:$K$5001,BD!$A$3:$A$5001,Z$3,BD!$B$3:$B$5001,$A$72)))</f>
        <v/>
      </c>
      <c r="AA76" s="218" t="str">
        <f>IF(AA$3="","",IF(COUNTIFS(BD!$A$3:$A$5001,AA$3,BD!$B$3:$B$5001,$A$72,BD!$K$3:$K$5001,"&lt;&gt;")=0,"",SUMIFS(BD!$K$3:$K$5001,BD!$A$3:$A$5001,AA$3,BD!$B$3:$B$5001,$A$72)))</f>
        <v/>
      </c>
      <c r="AB76" s="218" t="str">
        <f>IF(AB$3="","",IF(COUNTIFS(BD!$A$3:$A$5001,AB$3,BD!$B$3:$B$5001,$A$72,BD!$K$3:$K$5001,"&lt;&gt;")=0,"",SUMIFS(BD!$K$3:$K$5001,BD!$A$3:$A$5001,AB$3,BD!$B$3:$B$5001,$A$72)))</f>
        <v/>
      </c>
      <c r="AC76" s="218" t="str">
        <f>IF(AC$3="","",IF(COUNTIFS(BD!$A$3:$A$5001,AC$3,BD!$B$3:$B$5001,$A$72,BD!$K$3:$K$5001,"&lt;&gt;")=0,"",SUMIFS(BD!$K$3:$K$5001,BD!$A$3:$A$5001,AC$3,BD!$B$3:$B$5001,$A$72)))</f>
        <v/>
      </c>
      <c r="AD76" s="218" t="str">
        <f>IF(AD$3="","",IF(COUNTIFS(BD!$A$3:$A$5001,AD$3,BD!$B$3:$B$5001,$A$72,BD!$K$3:$K$5001,"&lt;&gt;")=0,"",SUMIFS(BD!$K$3:$K$5001,BD!$A$3:$A$5001,AD$3,BD!$B$3:$B$5001,$A$72)))</f>
        <v/>
      </c>
      <c r="AE76" s="218" t="str">
        <f>IF(AE$3="","",IF(COUNTIFS(BD!$A$3:$A$5001,AE$3,BD!$B$3:$B$5001,$A$72,BD!$K$3:$K$5001,"&lt;&gt;")=0,"",SUMIFS(BD!$K$3:$K$5001,BD!$A$3:$A$5001,AE$3,BD!$B$3:$B$5001,$A$72)))</f>
        <v/>
      </c>
      <c r="AF76" s="218" t="str">
        <f>IF(AF$3="","",IF(COUNTIFS(BD!$A$3:$A$5001,AF$3,BD!$B$3:$B$5001,$A$72,BD!$K$3:$K$5001,"&lt;&gt;")=0,"",SUMIFS(BD!$K$3:$K$5001,BD!$A$3:$A$5001,AF$3,BD!$B$3:$B$5001,$A$72)))</f>
        <v/>
      </c>
      <c r="AG76" s="218" t="str">
        <f>IF(AG$3="","",IF(COUNTIFS(BD!$A$3:$A$5001,AG$3,BD!$B$3:$B$5001,$A$72,BD!$K$3:$K$5001,"&lt;&gt;")=0,"",SUMIFS(BD!$K$3:$K$5001,BD!$A$3:$A$5001,AG$3,BD!$B$3:$B$5001,$A$72)))</f>
        <v/>
      </c>
      <c r="AH76" s="218" t="str">
        <f>IF(AH$3="","",IF(COUNTIFS(BD!$A$3:$A$5001,AH$3,BD!$B$3:$B$5001,$A$72,BD!$K$3:$K$5001,"&lt;&gt;")=0,"",SUMIFS(BD!$K$3:$K$5001,BD!$A$3:$A$5001,AH$3,BD!$B$3:$B$5001,$A$72)))</f>
        <v/>
      </c>
      <c r="AI76" s="218" t="str">
        <f>IF(AI$3="","",IF(COUNTIFS(BD!$A$3:$A$5001,AI$3,BD!$B$3:$B$5001,$A$72,BD!$K$3:$K$5001,"&lt;&gt;")=0,"",SUMIFS(BD!$K$3:$K$5001,BD!$A$3:$A$5001,AI$3,BD!$B$3:$B$5001,$A$72)))</f>
        <v/>
      </c>
      <c r="AJ76" s="219" t="str">
        <f>IF(AJ$3="","",IF(COUNTIFS(BD!$A$3:$A$5001,AJ$3,BD!$B$3:$B$5001,$A$72,BD!$K$3:$K$5001,"&lt;&gt;")=0,"",SUMIFS(BD!$K$3:$K$5001,BD!$A$3:$A$5001,AJ$3,BD!$B$3:$B$5001,$A$72)))</f>
        <v/>
      </c>
      <c r="AK76" s="220" t="str">
        <f>IF(COUNT(F76:AJ76)=0,"",SUM(F76:AJ76))</f>
        <v/>
      </c>
    </row>
    <row r="77" ht="15.75" customHeight="1">
      <c r="A77" s="261"/>
      <c r="B77" s="250"/>
      <c r="C77" s="175" t="inlineStr">
        <is>
          <t xml:space="preserve">Caixas Fechadas</t>
        </is>
      </c>
      <c r="D77" s="176" t="str">
        <f>IFERROR(1/(1/INDEX(BD!$AL$30:$BF$30,MATCH($A$72,BD!$AL$22:$BF$22,0))),"")</f>
        <v/>
      </c>
      <c r="E77" s="177"/>
      <c r="F77" s="178" t="str">
        <f>IF(F$3="","",IF(COUNTIFS(BD!$A$3:$A$5001,F$3,BD!$B$3:$B$5001,$A$72,BD!$J$3:$J$5001,"&lt;&gt;")=0,"",SUMIFS(BD!$J$3:$J$5001,BD!$A$3:$A$5001,F$3,BD!$B$3:$B$5001,$A$72)))</f>
        <v/>
      </c>
      <c r="G77" s="179" t="str">
        <f>IF(G$3="","",IF(COUNTIFS(BD!$A$3:$A$5001,G$3,BD!$B$3:$B$5001,$A$72,BD!$J$3:$J$5001,"&lt;&gt;")=0,"",SUMIFS(BD!$J$3:$J$5001,BD!$A$3:$A$5001,G$3,BD!$B$3:$B$5001,$A$72)))</f>
        <v/>
      </c>
      <c r="H77" s="179" t="str">
        <f>IF(H$3="","",IF(COUNTIFS(BD!$A$3:$A$5001,H$3,BD!$B$3:$B$5001,$A$72,BD!$J$3:$J$5001,"&lt;&gt;")=0,"",SUMIFS(BD!$J$3:$J$5001,BD!$A$3:$A$5001,H$3,BD!$B$3:$B$5001,$A$72)))</f>
        <v/>
      </c>
      <c r="I77" s="179" t="str">
        <f>IF(I$3="","",IF(COUNTIFS(BD!$A$3:$A$5001,I$3,BD!$B$3:$B$5001,$A$72,BD!$J$3:$J$5001,"&lt;&gt;")=0,"",SUMIFS(BD!$J$3:$J$5001,BD!$A$3:$A$5001,I$3,BD!$B$3:$B$5001,$A$72)))</f>
        <v/>
      </c>
      <c r="J77" s="179" t="str">
        <f>IF(J$3="","",IF(COUNTIFS(BD!$A$3:$A$5001,J$3,BD!$B$3:$B$5001,$A$72,BD!$J$3:$J$5001,"&lt;&gt;")=0,"",SUMIFS(BD!$J$3:$J$5001,BD!$A$3:$A$5001,J$3,BD!$B$3:$B$5001,$A$72)))</f>
        <v/>
      </c>
      <c r="K77" s="179" t="str">
        <f>IF(K$3="","",IF(COUNTIFS(BD!$A$3:$A$5001,K$3,BD!$B$3:$B$5001,$A$72,BD!$J$3:$J$5001,"&lt;&gt;")=0,"",SUMIFS(BD!$J$3:$J$5001,BD!$A$3:$A$5001,K$3,BD!$B$3:$B$5001,$A$72)))</f>
        <v/>
      </c>
      <c r="L77" s="179" t="str">
        <f>IF(L$3="","",IF(COUNTIFS(BD!$A$3:$A$5001,L$3,BD!$B$3:$B$5001,$A$72,BD!$J$3:$J$5001,"&lt;&gt;")=0,"",SUMIFS(BD!$J$3:$J$5001,BD!$A$3:$A$5001,L$3,BD!$B$3:$B$5001,$A$72)))</f>
        <v/>
      </c>
      <c r="M77" s="179" t="str">
        <f>IF(M$3="","",IF(COUNTIFS(BD!$A$3:$A$5001,M$3,BD!$B$3:$B$5001,$A$72,BD!$J$3:$J$5001,"&lt;&gt;")=0,"",SUMIFS(BD!$J$3:$J$5001,BD!$A$3:$A$5001,M$3,BD!$B$3:$B$5001,$A$72)))</f>
        <v/>
      </c>
      <c r="N77" s="179" t="str">
        <f>IF(N$3="","",IF(COUNTIFS(BD!$A$3:$A$5001,N$3,BD!$B$3:$B$5001,$A$72,BD!$J$3:$J$5001,"&lt;&gt;")=0,"",SUMIFS(BD!$J$3:$J$5001,BD!$A$3:$A$5001,N$3,BD!$B$3:$B$5001,$A$72)))</f>
        <v/>
      </c>
      <c r="O77" s="179" t="str">
        <f>IF(O$3="","",IF(COUNTIFS(BD!$A$3:$A$5001,O$3,BD!$B$3:$B$5001,$A$72,BD!$J$3:$J$5001,"&lt;&gt;")=0,"",SUMIFS(BD!$J$3:$J$5001,BD!$A$3:$A$5001,O$3,BD!$B$3:$B$5001,$A$72)))</f>
        <v/>
      </c>
      <c r="P77" s="179" t="str">
        <f>IF(P$3="","",IF(COUNTIFS(BD!$A$3:$A$5001,P$3,BD!$B$3:$B$5001,$A$72,BD!$J$3:$J$5001,"&lt;&gt;")=0,"",SUMIFS(BD!$J$3:$J$5001,BD!$A$3:$A$5001,P$3,BD!$B$3:$B$5001,$A$72)))</f>
        <v/>
      </c>
      <c r="Q77" s="179" t="str">
        <f>IF(Q$3="","",IF(COUNTIFS(BD!$A$3:$A$5001,Q$3,BD!$B$3:$B$5001,$A$72,BD!$J$3:$J$5001,"&lt;&gt;")=0,"",SUMIFS(BD!$J$3:$J$5001,BD!$A$3:$A$5001,Q$3,BD!$B$3:$B$5001,$A$72)))</f>
        <v/>
      </c>
      <c r="R77" s="179" t="str">
        <f>IF(R$3="","",IF(COUNTIFS(BD!$A$3:$A$5001,R$3,BD!$B$3:$B$5001,$A$72,BD!$J$3:$J$5001,"&lt;&gt;")=0,"",SUMIFS(BD!$J$3:$J$5001,BD!$A$3:$A$5001,R$3,BD!$B$3:$B$5001,$A$72)))</f>
        <v/>
      </c>
      <c r="S77" s="179" t="str">
        <f>IF(S$3="","",IF(COUNTIFS(BD!$A$3:$A$5001,S$3,BD!$B$3:$B$5001,$A$72,BD!$J$3:$J$5001,"&lt;&gt;")=0,"",SUMIFS(BD!$J$3:$J$5001,BD!$A$3:$A$5001,S$3,BD!$B$3:$B$5001,$A$72)))</f>
        <v/>
      </c>
      <c r="T77" s="179" t="str">
        <f>IF(T$3="","",IF(COUNTIFS(BD!$A$3:$A$5001,T$3,BD!$B$3:$B$5001,$A$72,BD!$J$3:$J$5001,"&lt;&gt;")=0,"",SUMIFS(BD!$J$3:$J$5001,BD!$A$3:$A$5001,T$3,BD!$B$3:$B$5001,$A$72)))</f>
        <v/>
      </c>
      <c r="U77" s="179" t="str">
        <f>IF(U$3="","",IF(COUNTIFS(BD!$A$3:$A$5001,U$3,BD!$B$3:$B$5001,$A$72,BD!$J$3:$J$5001,"&lt;&gt;")=0,"",SUMIFS(BD!$J$3:$J$5001,BD!$A$3:$A$5001,U$3,BD!$B$3:$B$5001,$A$72)))</f>
        <v/>
      </c>
      <c r="V77" s="179" t="str">
        <f>IF(V$3="","",IF(COUNTIFS(BD!$A$3:$A$5001,V$3,BD!$B$3:$B$5001,$A$72,BD!$J$3:$J$5001,"&lt;&gt;")=0,"",SUMIFS(BD!$J$3:$J$5001,BD!$A$3:$A$5001,V$3,BD!$B$3:$B$5001,$A$72)))</f>
        <v/>
      </c>
      <c r="W77" s="179" t="str">
        <f>IF(W$3="","",IF(COUNTIFS(BD!$A$3:$A$5001,W$3,BD!$B$3:$B$5001,$A$72,BD!$J$3:$J$5001,"&lt;&gt;")=0,"",SUMIFS(BD!$J$3:$J$5001,BD!$A$3:$A$5001,W$3,BD!$B$3:$B$5001,$A$72)))</f>
        <v/>
      </c>
      <c r="X77" s="179" t="str">
        <f>IF(X$3="","",IF(COUNTIFS(BD!$A$3:$A$5001,X$3,BD!$B$3:$B$5001,$A$72,BD!$J$3:$J$5001,"&lt;&gt;")=0,"",SUMIFS(BD!$J$3:$J$5001,BD!$A$3:$A$5001,X$3,BD!$B$3:$B$5001,$A$72)))</f>
        <v/>
      </c>
      <c r="Y77" s="179" t="str">
        <f>IF(Y$3="","",IF(COUNTIFS(BD!$A$3:$A$5001,Y$3,BD!$B$3:$B$5001,$A$72,BD!$J$3:$J$5001,"&lt;&gt;")=0,"",SUMIFS(BD!$J$3:$J$5001,BD!$A$3:$A$5001,Y$3,BD!$B$3:$B$5001,$A$72)))</f>
        <v/>
      </c>
      <c r="Z77" s="179" t="str">
        <f>IF(Z$3="","",IF(COUNTIFS(BD!$A$3:$A$5001,Z$3,BD!$B$3:$B$5001,$A$72,BD!$J$3:$J$5001,"&lt;&gt;")=0,"",SUMIFS(BD!$J$3:$J$5001,BD!$A$3:$A$5001,Z$3,BD!$B$3:$B$5001,$A$72)))</f>
        <v/>
      </c>
      <c r="AA77" s="179" t="str">
        <f>IF(AA$3="","",IF(COUNTIFS(BD!$A$3:$A$5001,AA$3,BD!$B$3:$B$5001,$A$72,BD!$J$3:$J$5001,"&lt;&gt;")=0,"",SUMIFS(BD!$J$3:$J$5001,BD!$A$3:$A$5001,AA$3,BD!$B$3:$B$5001,$A$72)))</f>
        <v/>
      </c>
      <c r="AB77" s="179" t="str">
        <f>IF(AB$3="","",IF(COUNTIFS(BD!$A$3:$A$5001,AB$3,BD!$B$3:$B$5001,$A$72,BD!$J$3:$J$5001,"&lt;&gt;")=0,"",SUMIFS(BD!$J$3:$J$5001,BD!$A$3:$A$5001,AB$3,BD!$B$3:$B$5001,$A$72)))</f>
        <v/>
      </c>
      <c r="AC77" s="179" t="str">
        <f>IF(AC$3="","",IF(COUNTIFS(BD!$A$3:$A$5001,AC$3,BD!$B$3:$B$5001,$A$72,BD!$J$3:$J$5001,"&lt;&gt;")=0,"",SUMIFS(BD!$J$3:$J$5001,BD!$A$3:$A$5001,AC$3,BD!$B$3:$B$5001,$A$72)))</f>
        <v/>
      </c>
      <c r="AD77" s="179" t="str">
        <f>IF(AD$3="","",IF(COUNTIFS(BD!$A$3:$A$5001,AD$3,BD!$B$3:$B$5001,$A$72,BD!$J$3:$J$5001,"&lt;&gt;")=0,"",SUMIFS(BD!$J$3:$J$5001,BD!$A$3:$A$5001,AD$3,BD!$B$3:$B$5001,$A$72)))</f>
        <v/>
      </c>
      <c r="AE77" s="179" t="str">
        <f>IF(AE$3="","",IF(COUNTIFS(BD!$A$3:$A$5001,AE$3,BD!$B$3:$B$5001,$A$72,BD!$J$3:$J$5001,"&lt;&gt;")=0,"",SUMIFS(BD!$J$3:$J$5001,BD!$A$3:$A$5001,AE$3,BD!$B$3:$B$5001,$A$72)))</f>
        <v/>
      </c>
      <c r="AF77" s="179" t="str">
        <f>IF(AF$3="","",IF(COUNTIFS(BD!$A$3:$A$5001,AF$3,BD!$B$3:$B$5001,$A$72,BD!$J$3:$J$5001,"&lt;&gt;")=0,"",SUMIFS(BD!$J$3:$J$5001,BD!$A$3:$A$5001,AF$3,BD!$B$3:$B$5001,$A$72)))</f>
        <v/>
      </c>
      <c r="AG77" s="179" t="str">
        <f>IF(AG$3="","",IF(COUNTIFS(BD!$A$3:$A$5001,AG$3,BD!$B$3:$B$5001,$A$72,BD!$J$3:$J$5001,"&lt;&gt;")=0,"",SUMIFS(BD!$J$3:$J$5001,BD!$A$3:$A$5001,AG$3,BD!$B$3:$B$5001,$A$72)))</f>
        <v/>
      </c>
      <c r="AH77" s="179" t="str">
        <f>IF(AH$3="","",IF(COUNTIFS(BD!$A$3:$A$5001,AH$3,BD!$B$3:$B$5001,$A$72,BD!$J$3:$J$5001,"&lt;&gt;")=0,"",SUMIFS(BD!$J$3:$J$5001,BD!$A$3:$A$5001,AH$3,BD!$B$3:$B$5001,$A$72)))</f>
        <v/>
      </c>
      <c r="AI77" s="179" t="str">
        <f>IF(AI$3="","",IF(COUNTIFS(BD!$A$3:$A$5001,AI$3,BD!$B$3:$B$5001,$A$72,BD!$J$3:$J$5001,"&lt;&gt;")=0,"",SUMIFS(BD!$J$3:$J$5001,BD!$A$3:$A$5001,AI$3,BD!$B$3:$B$5001,$A$72)))</f>
        <v/>
      </c>
      <c r="AJ77" s="180" t="str">
        <f>IF(AJ$3="","",IF(COUNTIFS(BD!$A$3:$A$5001,AJ$3,BD!$B$3:$B$5001,$A$72,BD!$J$3:$J$5001,"&lt;&gt;")=0,"",SUMIFS(BD!$J$3:$J$5001,BD!$A$3:$A$5001,AJ$3,BD!$B$3:$B$5001,$A$72)))</f>
        <v/>
      </c>
      <c r="AK77" s="176" t="str">
        <f>IF(COUNT(F77:AJ77)=0,"",SUM(F77:AJ77))</f>
        <v/>
      </c>
    </row>
    <row r="78" ht="15.75" customHeight="1">
      <c r="A78" s="261"/>
      <c r="B78" s="251" t="inlineStr">
        <is>
          <t xml:space="preserve">OUT</t>
        </is>
      </c>
      <c r="C78" s="181" t="inlineStr">
        <is>
          <t xml:space="preserve">Veículos Expedidos</t>
        </is>
      </c>
      <c r="D78" s="182" t="str">
        <f>IFERROR(1/(1/INDEX(BD!$AL$32:$BF$32,MATCH($A$72,BD!$AL$22:$BF$22,0))),"")</f>
        <v/>
      </c>
      <c r="E78" s="183"/>
      <c r="F78" s="184" t="str">
        <f>IF(F$3="","",IF(COUNTIFS(BD!$A$3:$A$5001,F$3,BD!$B$3:$B$5001,$A$72,BD!$L$3:$L$5001,"&lt;&gt;")=0,"",SUMIFS(BD!$L$3:$L$5001,BD!$A$3:$A$5001,F$3,BD!$B$3:$B$5001,$A$72)))</f>
        <v/>
      </c>
      <c r="G78" s="185" t="str">
        <f>IF(G$3="","",IF(COUNTIFS(BD!$A$3:$A$5001,G$3,BD!$B$3:$B$5001,$A$72,BD!$L$3:$L$5001,"&lt;&gt;")=0,"",SUMIFS(BD!$L$3:$L$5001,BD!$A$3:$A$5001,G$3,BD!$B$3:$B$5001,$A$72)))</f>
        <v/>
      </c>
      <c r="H78" s="185" t="str">
        <f>IF(H$3="","",IF(COUNTIFS(BD!$A$3:$A$5001,H$3,BD!$B$3:$B$5001,$A$72,BD!$L$3:$L$5001,"&lt;&gt;")=0,"",SUMIFS(BD!$L$3:$L$5001,BD!$A$3:$A$5001,H$3,BD!$B$3:$B$5001,$A$72)))</f>
        <v/>
      </c>
      <c r="I78" s="185" t="str">
        <f>IF(I$3="","",IF(COUNTIFS(BD!$A$3:$A$5001,I$3,BD!$B$3:$B$5001,$A$72,BD!$L$3:$L$5001,"&lt;&gt;")=0,"",SUMIFS(BD!$L$3:$L$5001,BD!$A$3:$A$5001,I$3,BD!$B$3:$B$5001,$A$72)))</f>
        <v/>
      </c>
      <c r="J78" s="185" t="str">
        <f>IF(J$3="","",IF(COUNTIFS(BD!$A$3:$A$5001,J$3,BD!$B$3:$B$5001,$A$72,BD!$L$3:$L$5001,"&lt;&gt;")=0,"",SUMIFS(BD!$L$3:$L$5001,BD!$A$3:$A$5001,J$3,BD!$B$3:$B$5001,$A$72)))</f>
        <v/>
      </c>
      <c r="K78" s="185" t="str">
        <f>IF(K$3="","",IF(COUNTIFS(BD!$A$3:$A$5001,K$3,BD!$B$3:$B$5001,$A$72,BD!$L$3:$L$5001,"&lt;&gt;")=0,"",SUMIFS(BD!$L$3:$L$5001,BD!$A$3:$A$5001,K$3,BD!$B$3:$B$5001,$A$72)))</f>
        <v/>
      </c>
      <c r="L78" s="185" t="str">
        <f>IF(L$3="","",IF(COUNTIFS(BD!$A$3:$A$5001,L$3,BD!$B$3:$B$5001,$A$72,BD!$L$3:$L$5001,"&lt;&gt;")=0,"",SUMIFS(BD!$L$3:$L$5001,BD!$A$3:$A$5001,L$3,BD!$B$3:$B$5001,$A$72)))</f>
        <v/>
      </c>
      <c r="M78" s="185" t="str">
        <f>IF(M$3="","",IF(COUNTIFS(BD!$A$3:$A$5001,M$3,BD!$B$3:$B$5001,$A$72,BD!$L$3:$L$5001,"&lt;&gt;")=0,"",SUMIFS(BD!$L$3:$L$5001,BD!$A$3:$A$5001,M$3,BD!$B$3:$B$5001,$A$72)))</f>
        <v/>
      </c>
      <c r="N78" s="185" t="str">
        <f>IF(N$3="","",IF(COUNTIFS(BD!$A$3:$A$5001,N$3,BD!$B$3:$B$5001,$A$72,BD!$L$3:$L$5001,"&lt;&gt;")=0,"",SUMIFS(BD!$L$3:$L$5001,BD!$A$3:$A$5001,N$3,BD!$B$3:$B$5001,$A$72)))</f>
        <v/>
      </c>
      <c r="O78" s="185" t="str">
        <f>IF(O$3="","",IF(COUNTIFS(BD!$A$3:$A$5001,O$3,BD!$B$3:$B$5001,$A$72,BD!$L$3:$L$5001,"&lt;&gt;")=0,"",SUMIFS(BD!$L$3:$L$5001,BD!$A$3:$A$5001,O$3,BD!$B$3:$B$5001,$A$72)))</f>
        <v/>
      </c>
      <c r="P78" s="185" t="str">
        <f>IF(P$3="","",IF(COUNTIFS(BD!$A$3:$A$5001,P$3,BD!$B$3:$B$5001,$A$72,BD!$L$3:$L$5001,"&lt;&gt;")=0,"",SUMIFS(BD!$L$3:$L$5001,BD!$A$3:$A$5001,P$3,BD!$B$3:$B$5001,$A$72)))</f>
        <v/>
      </c>
      <c r="Q78" s="185" t="str">
        <f>IF(Q$3="","",IF(COUNTIFS(BD!$A$3:$A$5001,Q$3,BD!$B$3:$B$5001,$A$72,BD!$L$3:$L$5001,"&lt;&gt;")=0,"",SUMIFS(BD!$L$3:$L$5001,BD!$A$3:$A$5001,Q$3,BD!$B$3:$B$5001,$A$72)))</f>
        <v/>
      </c>
      <c r="R78" s="185" t="str">
        <f>IF(R$3="","",IF(COUNTIFS(BD!$A$3:$A$5001,R$3,BD!$B$3:$B$5001,$A$72,BD!$L$3:$L$5001,"&lt;&gt;")=0,"",SUMIFS(BD!$L$3:$L$5001,BD!$A$3:$A$5001,R$3,BD!$B$3:$B$5001,$A$72)))</f>
        <v/>
      </c>
      <c r="S78" s="185" t="str">
        <f>IF(S$3="","",IF(COUNTIFS(BD!$A$3:$A$5001,S$3,BD!$B$3:$B$5001,$A$72,BD!$L$3:$L$5001,"&lt;&gt;")=0,"",SUMIFS(BD!$L$3:$L$5001,BD!$A$3:$A$5001,S$3,BD!$B$3:$B$5001,$A$72)))</f>
        <v/>
      </c>
      <c r="T78" s="185" t="str">
        <f>IF(T$3="","",IF(COUNTIFS(BD!$A$3:$A$5001,T$3,BD!$B$3:$B$5001,$A$72,BD!$L$3:$L$5001,"&lt;&gt;")=0,"",SUMIFS(BD!$L$3:$L$5001,BD!$A$3:$A$5001,T$3,BD!$B$3:$B$5001,$A$72)))</f>
        <v/>
      </c>
      <c r="U78" s="185" t="str">
        <f>IF(U$3="","",IF(COUNTIFS(BD!$A$3:$A$5001,U$3,BD!$B$3:$B$5001,$A$72,BD!$L$3:$L$5001,"&lt;&gt;")=0,"",SUMIFS(BD!$L$3:$L$5001,BD!$A$3:$A$5001,U$3,BD!$B$3:$B$5001,$A$72)))</f>
        <v/>
      </c>
      <c r="V78" s="185" t="str">
        <f>IF(V$3="","",IF(COUNTIFS(BD!$A$3:$A$5001,V$3,BD!$B$3:$B$5001,$A$72,BD!$L$3:$L$5001,"&lt;&gt;")=0,"",SUMIFS(BD!$L$3:$L$5001,BD!$A$3:$A$5001,V$3,BD!$B$3:$B$5001,$A$72)))</f>
        <v/>
      </c>
      <c r="W78" s="185" t="str">
        <f>IF(W$3="","",IF(COUNTIFS(BD!$A$3:$A$5001,W$3,BD!$B$3:$B$5001,$A$72,BD!$L$3:$L$5001,"&lt;&gt;")=0,"",SUMIFS(BD!$L$3:$L$5001,BD!$A$3:$A$5001,W$3,BD!$B$3:$B$5001,$A$72)))</f>
        <v/>
      </c>
      <c r="X78" s="185" t="str">
        <f>IF(X$3="","",IF(COUNTIFS(BD!$A$3:$A$5001,X$3,BD!$B$3:$B$5001,$A$72,BD!$L$3:$L$5001,"&lt;&gt;")=0,"",SUMIFS(BD!$L$3:$L$5001,BD!$A$3:$A$5001,X$3,BD!$B$3:$B$5001,$A$72)))</f>
        <v/>
      </c>
      <c r="Y78" s="185" t="str">
        <f>IF(Y$3="","",IF(COUNTIFS(BD!$A$3:$A$5001,Y$3,BD!$B$3:$B$5001,$A$72,BD!$L$3:$L$5001,"&lt;&gt;")=0,"",SUMIFS(BD!$L$3:$L$5001,BD!$A$3:$A$5001,Y$3,BD!$B$3:$B$5001,$A$72)))</f>
        <v/>
      </c>
      <c r="Z78" s="185" t="str">
        <f>IF(Z$3="","",IF(COUNTIFS(BD!$A$3:$A$5001,Z$3,BD!$B$3:$B$5001,$A$72,BD!$L$3:$L$5001,"&lt;&gt;")=0,"",SUMIFS(BD!$L$3:$L$5001,BD!$A$3:$A$5001,Z$3,BD!$B$3:$B$5001,$A$72)))</f>
        <v/>
      </c>
      <c r="AA78" s="185" t="str">
        <f>IF(AA$3="","",IF(COUNTIFS(BD!$A$3:$A$5001,AA$3,BD!$B$3:$B$5001,$A$72,BD!$L$3:$L$5001,"&lt;&gt;")=0,"",SUMIFS(BD!$L$3:$L$5001,BD!$A$3:$A$5001,AA$3,BD!$B$3:$B$5001,$A$72)))</f>
        <v/>
      </c>
      <c r="AB78" s="185" t="str">
        <f>IF(AB$3="","",IF(COUNTIFS(BD!$A$3:$A$5001,AB$3,BD!$B$3:$B$5001,$A$72,BD!$L$3:$L$5001,"&lt;&gt;")=0,"",SUMIFS(BD!$L$3:$L$5001,BD!$A$3:$A$5001,AB$3,BD!$B$3:$B$5001,$A$72)))</f>
        <v/>
      </c>
      <c r="AC78" s="185" t="str">
        <f>IF(AC$3="","",IF(COUNTIFS(BD!$A$3:$A$5001,AC$3,BD!$B$3:$B$5001,$A$72,BD!$L$3:$L$5001,"&lt;&gt;")=0,"",SUMIFS(BD!$L$3:$L$5001,BD!$A$3:$A$5001,AC$3,BD!$B$3:$B$5001,$A$72)))</f>
        <v/>
      </c>
      <c r="AD78" s="185" t="str">
        <f>IF(AD$3="","",IF(COUNTIFS(BD!$A$3:$A$5001,AD$3,BD!$B$3:$B$5001,$A$72,BD!$L$3:$L$5001,"&lt;&gt;")=0,"",SUMIFS(BD!$L$3:$L$5001,BD!$A$3:$A$5001,AD$3,BD!$B$3:$B$5001,$A$72)))</f>
        <v/>
      </c>
      <c r="AE78" s="185" t="str">
        <f>IF(AE$3="","",IF(COUNTIFS(BD!$A$3:$A$5001,AE$3,BD!$B$3:$B$5001,$A$72,BD!$L$3:$L$5001,"&lt;&gt;")=0,"",SUMIFS(BD!$L$3:$L$5001,BD!$A$3:$A$5001,AE$3,BD!$B$3:$B$5001,$A$72)))</f>
        <v/>
      </c>
      <c r="AF78" s="185" t="str">
        <f>IF(AF$3="","",IF(COUNTIFS(BD!$A$3:$A$5001,AF$3,BD!$B$3:$B$5001,$A$72,BD!$L$3:$L$5001,"&lt;&gt;")=0,"",SUMIFS(BD!$L$3:$L$5001,BD!$A$3:$A$5001,AF$3,BD!$B$3:$B$5001,$A$72)))</f>
        <v/>
      </c>
      <c r="AG78" s="185" t="str">
        <f>IF(AG$3="","",IF(COUNTIFS(BD!$A$3:$A$5001,AG$3,BD!$B$3:$B$5001,$A$72,BD!$L$3:$L$5001,"&lt;&gt;")=0,"",SUMIFS(BD!$L$3:$L$5001,BD!$A$3:$A$5001,AG$3,BD!$B$3:$B$5001,$A$72)))</f>
        <v/>
      </c>
      <c r="AH78" s="185" t="str">
        <f>IF(AH$3="","",IF(COUNTIFS(BD!$A$3:$A$5001,AH$3,BD!$B$3:$B$5001,$A$72,BD!$L$3:$L$5001,"&lt;&gt;")=0,"",SUMIFS(BD!$L$3:$L$5001,BD!$A$3:$A$5001,AH$3,BD!$B$3:$B$5001,$A$72)))</f>
        <v/>
      </c>
      <c r="AI78" s="185" t="str">
        <f>IF(AI$3="","",IF(COUNTIFS(BD!$A$3:$A$5001,AI$3,BD!$B$3:$B$5001,$A$72,BD!$L$3:$L$5001,"&lt;&gt;")=0,"",SUMIFS(BD!$L$3:$L$5001,BD!$A$3:$A$5001,AI$3,BD!$B$3:$B$5001,$A$72)))</f>
        <v/>
      </c>
      <c r="AJ78" s="186" t="str">
        <f>IF(AJ$3="","",IF(COUNTIFS(BD!$A$3:$A$5001,AJ$3,BD!$B$3:$B$5001,$A$72,BD!$L$3:$L$5001,"&lt;&gt;")=0,"",SUMIFS(BD!$L$3:$L$5001,BD!$A$3:$A$5001,AJ$3,BD!$B$3:$B$5001,$A$72)))</f>
        <v/>
      </c>
      <c r="AK78" s="187" t="str">
        <f>IF(COUNT(F78:AJ78)=0,"",SUM(F78:AJ78))</f>
        <v/>
      </c>
    </row>
    <row r="79" ht="15.75" customHeight="1">
      <c r="A79" s="261"/>
      <c r="B79" s="278"/>
      <c r="C79" s="267" t="inlineStr">
        <is>
          <t xml:space="preserve">Pallets Movimentados</t>
        </is>
      </c>
      <c r="D79" s="268" t="str">
        <f>IFERROR(1/(1/INDEX(BD!$AL$38:$BF$38,MATCH($A$72,BD!$AL$22:$BF$22,0))),"")</f>
        <v/>
      </c>
      <c r="E79" s="269"/>
      <c r="F79" s="270" t="str">
        <f>IF(F$3="","",IF(COUNTIFS(BD!$A$3:$A$5001,F$3,BD!$B$3:$B$5001,$A$72,BD!$R$3:$R$5001,"&lt;&gt;")=0,"",SUMIFS(BD!$R$3:$R$5001,BD!$A$3:$A$5001,F$3,BD!$B$3:$B$5001,$A$72)))</f>
        <v/>
      </c>
      <c r="G79" s="271" t="str">
        <f>IF(G$3="","",IF(COUNTIFS(BD!$A$3:$A$5001,G$3,BD!$B$3:$B$5001,$A$72,BD!$R$3:$R$5001,"&lt;&gt;")=0,"",SUMIFS(BD!$R$3:$R$5001,BD!$A$3:$A$5001,G$3,BD!$B$3:$B$5001,$A$72)))</f>
        <v/>
      </c>
      <c r="H79" s="271" t="str">
        <f>IF(H$3="","",IF(COUNTIFS(BD!$A$3:$A$5001,H$3,BD!$B$3:$B$5001,$A$72,BD!$R$3:$R$5001,"&lt;&gt;")=0,"",SUMIFS(BD!$R$3:$R$5001,BD!$A$3:$A$5001,H$3,BD!$B$3:$B$5001,$A$72)))</f>
        <v/>
      </c>
      <c r="I79" s="271" t="str">
        <f>IF(I$3="","",IF(COUNTIFS(BD!$A$3:$A$5001,I$3,BD!$B$3:$B$5001,$A$72,BD!$R$3:$R$5001,"&lt;&gt;")=0,"",SUMIFS(BD!$R$3:$R$5001,BD!$A$3:$A$5001,I$3,BD!$B$3:$B$5001,$A$72)))</f>
        <v/>
      </c>
      <c r="J79" s="271" t="str">
        <f>IF(J$3="","",IF(COUNTIFS(BD!$A$3:$A$5001,J$3,BD!$B$3:$B$5001,$A$72,BD!$R$3:$R$5001,"&lt;&gt;")=0,"",SUMIFS(BD!$R$3:$R$5001,BD!$A$3:$A$5001,J$3,BD!$B$3:$B$5001,$A$72)))</f>
        <v/>
      </c>
      <c r="K79" s="271" t="str">
        <f>IF(K$3="","",IF(COUNTIFS(BD!$A$3:$A$5001,K$3,BD!$B$3:$B$5001,$A$72,BD!$R$3:$R$5001,"&lt;&gt;")=0,"",SUMIFS(BD!$R$3:$R$5001,BD!$A$3:$A$5001,K$3,BD!$B$3:$B$5001,$A$72)))</f>
        <v/>
      </c>
      <c r="L79" s="271" t="str">
        <f>IF(L$3="","",IF(COUNTIFS(BD!$A$3:$A$5001,L$3,BD!$B$3:$B$5001,$A$72,BD!$R$3:$R$5001,"&lt;&gt;")=0,"",SUMIFS(BD!$R$3:$R$5001,BD!$A$3:$A$5001,L$3,BD!$B$3:$B$5001,$A$72)))</f>
        <v/>
      </c>
      <c r="M79" s="271" t="str">
        <f>IF(M$3="","",IF(COUNTIFS(BD!$A$3:$A$5001,M$3,BD!$B$3:$B$5001,$A$72,BD!$R$3:$R$5001,"&lt;&gt;")=0,"",SUMIFS(BD!$R$3:$R$5001,BD!$A$3:$A$5001,M$3,BD!$B$3:$B$5001,$A$72)))</f>
        <v/>
      </c>
      <c r="N79" s="271" t="str">
        <f>IF(N$3="","",IF(COUNTIFS(BD!$A$3:$A$5001,N$3,BD!$B$3:$B$5001,$A$72,BD!$R$3:$R$5001,"&lt;&gt;")=0,"",SUMIFS(BD!$R$3:$R$5001,BD!$A$3:$A$5001,N$3,BD!$B$3:$B$5001,$A$72)))</f>
        <v/>
      </c>
      <c r="O79" s="271" t="str">
        <f>IF(O$3="","",IF(COUNTIFS(BD!$A$3:$A$5001,O$3,BD!$B$3:$B$5001,$A$72,BD!$R$3:$R$5001,"&lt;&gt;")=0,"",SUMIFS(BD!$R$3:$R$5001,BD!$A$3:$A$5001,O$3,BD!$B$3:$B$5001,$A$72)))</f>
        <v/>
      </c>
      <c r="P79" s="271" t="str">
        <f>IF(P$3="","",IF(COUNTIFS(BD!$A$3:$A$5001,P$3,BD!$B$3:$B$5001,$A$72,BD!$R$3:$R$5001,"&lt;&gt;")=0,"",SUMIFS(BD!$R$3:$R$5001,BD!$A$3:$A$5001,P$3,BD!$B$3:$B$5001,$A$72)))</f>
        <v/>
      </c>
      <c r="Q79" s="271" t="str">
        <f>IF(Q$3="","",IF(COUNTIFS(BD!$A$3:$A$5001,Q$3,BD!$B$3:$B$5001,$A$72,BD!$R$3:$R$5001,"&lt;&gt;")=0,"",SUMIFS(BD!$R$3:$R$5001,BD!$A$3:$A$5001,Q$3,BD!$B$3:$B$5001,$A$72)))</f>
        <v/>
      </c>
      <c r="R79" s="271" t="str">
        <f>IF(R$3="","",IF(COUNTIFS(BD!$A$3:$A$5001,R$3,BD!$B$3:$B$5001,$A$72,BD!$R$3:$R$5001,"&lt;&gt;")=0,"",SUMIFS(BD!$R$3:$R$5001,BD!$A$3:$A$5001,R$3,BD!$B$3:$B$5001,$A$72)))</f>
        <v/>
      </c>
      <c r="S79" s="271" t="str">
        <f>IF(S$3="","",IF(COUNTIFS(BD!$A$3:$A$5001,S$3,BD!$B$3:$B$5001,$A$72,BD!$R$3:$R$5001,"&lt;&gt;")=0,"",SUMIFS(BD!$R$3:$R$5001,BD!$A$3:$A$5001,S$3,BD!$B$3:$B$5001,$A$72)))</f>
        <v/>
      </c>
      <c r="T79" s="271" t="str">
        <f>IF(T$3="","",IF(COUNTIFS(BD!$A$3:$A$5001,T$3,BD!$B$3:$B$5001,$A$72,BD!$R$3:$R$5001,"&lt;&gt;")=0,"",SUMIFS(BD!$R$3:$R$5001,BD!$A$3:$A$5001,T$3,BD!$B$3:$B$5001,$A$72)))</f>
        <v/>
      </c>
      <c r="U79" s="271" t="str">
        <f>IF(U$3="","",IF(COUNTIFS(BD!$A$3:$A$5001,U$3,BD!$B$3:$B$5001,$A$72,BD!$R$3:$R$5001,"&lt;&gt;")=0,"",SUMIFS(BD!$R$3:$R$5001,BD!$A$3:$A$5001,U$3,BD!$B$3:$B$5001,$A$72)))</f>
        <v/>
      </c>
      <c r="V79" s="271" t="str">
        <f>IF(V$3="","",IF(COUNTIFS(BD!$A$3:$A$5001,V$3,BD!$B$3:$B$5001,$A$72,BD!$R$3:$R$5001,"&lt;&gt;")=0,"",SUMIFS(BD!$R$3:$R$5001,BD!$A$3:$A$5001,V$3,BD!$B$3:$B$5001,$A$72)))</f>
        <v/>
      </c>
      <c r="W79" s="271" t="str">
        <f>IF(W$3="","",IF(COUNTIFS(BD!$A$3:$A$5001,W$3,BD!$B$3:$B$5001,$A$72,BD!$R$3:$R$5001,"&lt;&gt;")=0,"",SUMIFS(BD!$R$3:$R$5001,BD!$A$3:$A$5001,W$3,BD!$B$3:$B$5001,$A$72)))</f>
        <v/>
      </c>
      <c r="X79" s="271" t="str">
        <f>IF(X$3="","",IF(COUNTIFS(BD!$A$3:$A$5001,X$3,BD!$B$3:$B$5001,$A$72,BD!$R$3:$R$5001,"&lt;&gt;")=0,"",SUMIFS(BD!$R$3:$R$5001,BD!$A$3:$A$5001,X$3,BD!$B$3:$B$5001,$A$72)))</f>
        <v/>
      </c>
      <c r="Y79" s="271" t="str">
        <f>IF(Y$3="","",IF(COUNTIFS(BD!$A$3:$A$5001,Y$3,BD!$B$3:$B$5001,$A$72,BD!$R$3:$R$5001,"&lt;&gt;")=0,"",SUMIFS(BD!$R$3:$R$5001,BD!$A$3:$A$5001,Y$3,BD!$B$3:$B$5001,$A$72)))</f>
        <v/>
      </c>
      <c r="Z79" s="271" t="str">
        <f>IF(Z$3="","",IF(COUNTIFS(BD!$A$3:$A$5001,Z$3,BD!$B$3:$B$5001,$A$72,BD!$R$3:$R$5001,"&lt;&gt;")=0,"",SUMIFS(BD!$R$3:$R$5001,BD!$A$3:$A$5001,Z$3,BD!$B$3:$B$5001,$A$72)))</f>
        <v/>
      </c>
      <c r="AA79" s="271" t="str">
        <f>IF(AA$3="","",IF(COUNTIFS(BD!$A$3:$A$5001,AA$3,BD!$B$3:$B$5001,$A$72,BD!$R$3:$R$5001,"&lt;&gt;")=0,"",SUMIFS(BD!$R$3:$R$5001,BD!$A$3:$A$5001,AA$3,BD!$B$3:$B$5001,$A$72)))</f>
        <v/>
      </c>
      <c r="AB79" s="271" t="str">
        <f>IF(AB$3="","",IF(COUNTIFS(BD!$A$3:$A$5001,AB$3,BD!$B$3:$B$5001,$A$72,BD!$R$3:$R$5001,"&lt;&gt;")=0,"",SUMIFS(BD!$R$3:$R$5001,BD!$A$3:$A$5001,AB$3,BD!$B$3:$B$5001,$A$72)))</f>
        <v/>
      </c>
      <c r="AC79" s="271" t="str">
        <f>IF(AC$3="","",IF(COUNTIFS(BD!$A$3:$A$5001,AC$3,BD!$B$3:$B$5001,$A$72,BD!$R$3:$R$5001,"&lt;&gt;")=0,"",SUMIFS(BD!$R$3:$R$5001,BD!$A$3:$A$5001,AC$3,BD!$B$3:$B$5001,$A$72)))</f>
        <v/>
      </c>
      <c r="AD79" s="271" t="str">
        <f>IF(AD$3="","",IF(COUNTIFS(BD!$A$3:$A$5001,AD$3,BD!$B$3:$B$5001,$A$72,BD!$R$3:$R$5001,"&lt;&gt;")=0,"",SUMIFS(BD!$R$3:$R$5001,BD!$A$3:$A$5001,AD$3,BD!$B$3:$B$5001,$A$72)))</f>
        <v/>
      </c>
      <c r="AE79" s="271" t="str">
        <f>IF(AE$3="","",IF(COUNTIFS(BD!$A$3:$A$5001,AE$3,BD!$B$3:$B$5001,$A$72,BD!$R$3:$R$5001,"&lt;&gt;")=0,"",SUMIFS(BD!$R$3:$R$5001,BD!$A$3:$A$5001,AE$3,BD!$B$3:$B$5001,$A$72)))</f>
        <v/>
      </c>
      <c r="AF79" s="271" t="str">
        <f>IF(AF$3="","",IF(COUNTIFS(BD!$A$3:$A$5001,AF$3,BD!$B$3:$B$5001,$A$72,BD!$R$3:$R$5001,"&lt;&gt;")=0,"",SUMIFS(BD!$R$3:$R$5001,BD!$A$3:$A$5001,AF$3,BD!$B$3:$B$5001,$A$72)))</f>
        <v/>
      </c>
      <c r="AG79" s="271" t="str">
        <f>IF(AG$3="","",IF(COUNTIFS(BD!$A$3:$A$5001,AG$3,BD!$B$3:$B$5001,$A$72,BD!$R$3:$R$5001,"&lt;&gt;")=0,"",SUMIFS(BD!$R$3:$R$5001,BD!$A$3:$A$5001,AG$3,BD!$B$3:$B$5001,$A$72)))</f>
        <v/>
      </c>
      <c r="AH79" s="271" t="str">
        <f>IF(AH$3="","",IF(COUNTIFS(BD!$A$3:$A$5001,AH$3,BD!$B$3:$B$5001,$A$72,BD!$R$3:$R$5001,"&lt;&gt;")=0,"",SUMIFS(BD!$R$3:$R$5001,BD!$A$3:$A$5001,AH$3,BD!$B$3:$B$5001,$A$72)))</f>
        <v/>
      </c>
      <c r="AI79" s="271" t="str">
        <f>IF(AI$3="","",IF(COUNTIFS(BD!$A$3:$A$5001,AI$3,BD!$B$3:$B$5001,$A$72,BD!$R$3:$R$5001,"&lt;&gt;")=0,"",SUMIFS(BD!$R$3:$R$5001,BD!$A$3:$A$5001,AI$3,BD!$B$3:$B$5001,$A$72)))</f>
        <v/>
      </c>
      <c r="AJ79" s="272" t="str">
        <f>IF(AJ$3="","",IF(COUNTIFS(BD!$A$3:$A$5001,AJ$3,BD!$B$3:$B$5001,$A$72,BD!$R$3:$R$5001,"&lt;&gt;")=0,"",SUMIFS(BD!$R$3:$R$5001,BD!$A$3:$A$5001,AJ$3,BD!$B$3:$B$5001,$A$72)))</f>
        <v/>
      </c>
      <c r="AK79" s="273" t="str">
        <f>IF(COUNT(F79:AJ79)=0,"",SUM(F79:AJ79))</f>
        <v/>
      </c>
    </row>
    <row r="80" ht="15.75" customHeight="1">
      <c r="A80" s="261"/>
      <c r="B80" s="278"/>
      <c r="C80" s="267" t="inlineStr">
        <is>
          <t xml:space="preserve">Caixas Expedidas</t>
        </is>
      </c>
      <c r="D80" s="268" t="str">
        <f>IFERROR(1/(1/INDEX(BD!$AL$37:$BF$37,MATCH($A$72,BD!$AL$22:$BF$22,0))),"")</f>
        <v/>
      </c>
      <c r="E80" s="269"/>
      <c r="F80" s="270" t="str">
        <f>IF(F$3="","",IF(COUNTIFS(BD!$A$3:$A$5001,F$3,BD!$B$3:$B$5001,$A$72,BD!$Q$3:$Q$5001,"&lt;&gt;")=0,"",SUMIFS(BD!$Q$3:$Q$5001,BD!$A$3:$A$5001,F$3,BD!$B$3:$B$5001,$A$72)))</f>
        <v/>
      </c>
      <c r="G80" s="271" t="str">
        <f>IF(G$3="","",IF(COUNTIFS(BD!$A$3:$A$5001,G$3,BD!$B$3:$B$5001,$A$72,BD!$Q$3:$Q$5001,"&lt;&gt;")=0,"",SUMIFS(BD!$Q$3:$Q$5001,BD!$A$3:$A$5001,G$3,BD!$B$3:$B$5001,$A$72)))</f>
        <v/>
      </c>
      <c r="H80" s="271" t="str">
        <f>IF(H$3="","",IF(COUNTIFS(BD!$A$3:$A$5001,H$3,BD!$B$3:$B$5001,$A$72,BD!$Q$3:$Q$5001,"&lt;&gt;")=0,"",SUMIFS(BD!$Q$3:$Q$5001,BD!$A$3:$A$5001,H$3,BD!$B$3:$B$5001,$A$72)))</f>
        <v/>
      </c>
      <c r="I80" s="271" t="str">
        <f>IF(I$3="","",IF(COUNTIFS(BD!$A$3:$A$5001,I$3,BD!$B$3:$B$5001,$A$72,BD!$Q$3:$Q$5001,"&lt;&gt;")=0,"",SUMIFS(BD!$Q$3:$Q$5001,BD!$A$3:$A$5001,I$3,BD!$B$3:$B$5001,$A$72)))</f>
        <v/>
      </c>
      <c r="J80" s="271" t="str">
        <f>IF(J$3="","",IF(COUNTIFS(BD!$A$3:$A$5001,J$3,BD!$B$3:$B$5001,$A$72,BD!$Q$3:$Q$5001,"&lt;&gt;")=0,"",SUMIFS(BD!$Q$3:$Q$5001,BD!$A$3:$A$5001,J$3,BD!$B$3:$B$5001,$A$72)))</f>
        <v/>
      </c>
      <c r="K80" s="271" t="str">
        <f>IF(K$3="","",IF(COUNTIFS(BD!$A$3:$A$5001,K$3,BD!$B$3:$B$5001,$A$72,BD!$Q$3:$Q$5001,"&lt;&gt;")=0,"",SUMIFS(BD!$Q$3:$Q$5001,BD!$A$3:$A$5001,K$3,BD!$B$3:$B$5001,$A$72)))</f>
        <v/>
      </c>
      <c r="L80" s="271" t="str">
        <f>IF(L$3="","",IF(COUNTIFS(BD!$A$3:$A$5001,L$3,BD!$B$3:$B$5001,$A$72,BD!$Q$3:$Q$5001,"&lt;&gt;")=0,"",SUMIFS(BD!$Q$3:$Q$5001,BD!$A$3:$A$5001,L$3,BD!$B$3:$B$5001,$A$72)))</f>
        <v/>
      </c>
      <c r="M80" s="271" t="str">
        <f>IF(M$3="","",IF(COUNTIFS(BD!$A$3:$A$5001,M$3,BD!$B$3:$B$5001,$A$72,BD!$Q$3:$Q$5001,"&lt;&gt;")=0,"",SUMIFS(BD!$Q$3:$Q$5001,BD!$A$3:$A$5001,M$3,BD!$B$3:$B$5001,$A$72)))</f>
        <v/>
      </c>
      <c r="N80" s="271" t="str">
        <f>IF(N$3="","",IF(COUNTIFS(BD!$A$3:$A$5001,N$3,BD!$B$3:$B$5001,$A$72,BD!$Q$3:$Q$5001,"&lt;&gt;")=0,"",SUMIFS(BD!$Q$3:$Q$5001,BD!$A$3:$A$5001,N$3,BD!$B$3:$B$5001,$A$72)))</f>
        <v/>
      </c>
      <c r="O80" s="271" t="str">
        <f>IF(O$3="","",IF(COUNTIFS(BD!$A$3:$A$5001,O$3,BD!$B$3:$B$5001,$A$72,BD!$Q$3:$Q$5001,"&lt;&gt;")=0,"",SUMIFS(BD!$Q$3:$Q$5001,BD!$A$3:$A$5001,O$3,BD!$B$3:$B$5001,$A$72)))</f>
        <v/>
      </c>
      <c r="P80" s="271" t="str">
        <f>IF(P$3="","",IF(COUNTIFS(BD!$A$3:$A$5001,P$3,BD!$B$3:$B$5001,$A$72,BD!$Q$3:$Q$5001,"&lt;&gt;")=0,"",SUMIFS(BD!$Q$3:$Q$5001,BD!$A$3:$A$5001,P$3,BD!$B$3:$B$5001,$A$72)))</f>
        <v/>
      </c>
      <c r="Q80" s="271" t="str">
        <f>IF(Q$3="","",IF(COUNTIFS(BD!$A$3:$A$5001,Q$3,BD!$B$3:$B$5001,$A$72,BD!$Q$3:$Q$5001,"&lt;&gt;")=0,"",SUMIFS(BD!$Q$3:$Q$5001,BD!$A$3:$A$5001,Q$3,BD!$B$3:$B$5001,$A$72)))</f>
        <v/>
      </c>
      <c r="R80" s="271" t="str">
        <f>IF(R$3="","",IF(COUNTIFS(BD!$A$3:$A$5001,R$3,BD!$B$3:$B$5001,$A$72,BD!$Q$3:$Q$5001,"&lt;&gt;")=0,"",SUMIFS(BD!$Q$3:$Q$5001,BD!$A$3:$A$5001,R$3,BD!$B$3:$B$5001,$A$72)))</f>
        <v/>
      </c>
      <c r="S80" s="271" t="str">
        <f>IF(S$3="","",IF(COUNTIFS(BD!$A$3:$A$5001,S$3,BD!$B$3:$B$5001,$A$72,BD!$Q$3:$Q$5001,"&lt;&gt;")=0,"",SUMIFS(BD!$Q$3:$Q$5001,BD!$A$3:$A$5001,S$3,BD!$B$3:$B$5001,$A$72)))</f>
        <v/>
      </c>
      <c r="T80" s="271" t="str">
        <f>IF(T$3="","",IF(COUNTIFS(BD!$A$3:$A$5001,T$3,BD!$B$3:$B$5001,$A$72,BD!$Q$3:$Q$5001,"&lt;&gt;")=0,"",SUMIFS(BD!$Q$3:$Q$5001,BD!$A$3:$A$5001,T$3,BD!$B$3:$B$5001,$A$72)))</f>
        <v/>
      </c>
      <c r="U80" s="271" t="str">
        <f>IF(U$3="","",IF(COUNTIFS(BD!$A$3:$A$5001,U$3,BD!$B$3:$B$5001,$A$72,BD!$Q$3:$Q$5001,"&lt;&gt;")=0,"",SUMIFS(BD!$Q$3:$Q$5001,BD!$A$3:$A$5001,U$3,BD!$B$3:$B$5001,$A$72)))</f>
        <v/>
      </c>
      <c r="V80" s="271" t="str">
        <f>IF(V$3="","",IF(COUNTIFS(BD!$A$3:$A$5001,V$3,BD!$B$3:$B$5001,$A$72,BD!$Q$3:$Q$5001,"&lt;&gt;")=0,"",SUMIFS(BD!$Q$3:$Q$5001,BD!$A$3:$A$5001,V$3,BD!$B$3:$B$5001,$A$72)))</f>
        <v/>
      </c>
      <c r="W80" s="271" t="str">
        <f>IF(W$3="","",IF(COUNTIFS(BD!$A$3:$A$5001,W$3,BD!$B$3:$B$5001,$A$72,BD!$Q$3:$Q$5001,"&lt;&gt;")=0,"",SUMIFS(BD!$Q$3:$Q$5001,BD!$A$3:$A$5001,W$3,BD!$B$3:$B$5001,$A$72)))</f>
        <v/>
      </c>
      <c r="X80" s="271" t="str">
        <f>IF(X$3="","",IF(COUNTIFS(BD!$A$3:$A$5001,X$3,BD!$B$3:$B$5001,$A$72,BD!$Q$3:$Q$5001,"&lt;&gt;")=0,"",SUMIFS(BD!$Q$3:$Q$5001,BD!$A$3:$A$5001,X$3,BD!$B$3:$B$5001,$A$72)))</f>
        <v/>
      </c>
      <c r="Y80" s="271" t="str">
        <f>IF(Y$3="","",IF(COUNTIFS(BD!$A$3:$A$5001,Y$3,BD!$B$3:$B$5001,$A$72,BD!$Q$3:$Q$5001,"&lt;&gt;")=0,"",SUMIFS(BD!$Q$3:$Q$5001,BD!$A$3:$A$5001,Y$3,BD!$B$3:$B$5001,$A$72)))</f>
        <v/>
      </c>
      <c r="Z80" s="271" t="str">
        <f>IF(Z$3="","",IF(COUNTIFS(BD!$A$3:$A$5001,Z$3,BD!$B$3:$B$5001,$A$72,BD!$Q$3:$Q$5001,"&lt;&gt;")=0,"",SUMIFS(BD!$Q$3:$Q$5001,BD!$A$3:$A$5001,Z$3,BD!$B$3:$B$5001,$A$72)))</f>
        <v/>
      </c>
      <c r="AA80" s="271" t="str">
        <f>IF(AA$3="","",IF(COUNTIFS(BD!$A$3:$A$5001,AA$3,BD!$B$3:$B$5001,$A$72,BD!$Q$3:$Q$5001,"&lt;&gt;")=0,"",SUMIFS(BD!$Q$3:$Q$5001,BD!$A$3:$A$5001,AA$3,BD!$B$3:$B$5001,$A$72)))</f>
        <v/>
      </c>
      <c r="AB80" s="271" t="str">
        <f>IF(AB$3="","",IF(COUNTIFS(BD!$A$3:$A$5001,AB$3,BD!$B$3:$B$5001,$A$72,BD!$Q$3:$Q$5001,"&lt;&gt;")=0,"",SUMIFS(BD!$Q$3:$Q$5001,BD!$A$3:$A$5001,AB$3,BD!$B$3:$B$5001,$A$72)))</f>
        <v/>
      </c>
      <c r="AC80" s="271" t="str">
        <f>IF(AC$3="","",IF(COUNTIFS(BD!$A$3:$A$5001,AC$3,BD!$B$3:$B$5001,$A$72,BD!$Q$3:$Q$5001,"&lt;&gt;")=0,"",SUMIFS(BD!$Q$3:$Q$5001,BD!$A$3:$A$5001,AC$3,BD!$B$3:$B$5001,$A$72)))</f>
        <v/>
      </c>
      <c r="AD80" s="271" t="str">
        <f>IF(AD$3="","",IF(COUNTIFS(BD!$A$3:$A$5001,AD$3,BD!$B$3:$B$5001,$A$72,BD!$Q$3:$Q$5001,"&lt;&gt;")=0,"",SUMIFS(BD!$Q$3:$Q$5001,BD!$A$3:$A$5001,AD$3,BD!$B$3:$B$5001,$A$72)))</f>
        <v/>
      </c>
      <c r="AE80" s="271" t="str">
        <f>IF(AE$3="","",IF(COUNTIFS(BD!$A$3:$A$5001,AE$3,BD!$B$3:$B$5001,$A$72,BD!$Q$3:$Q$5001,"&lt;&gt;")=0,"",SUMIFS(BD!$Q$3:$Q$5001,BD!$A$3:$A$5001,AE$3,BD!$B$3:$B$5001,$A$72)))</f>
        <v/>
      </c>
      <c r="AF80" s="271" t="str">
        <f>IF(AF$3="","",IF(COUNTIFS(BD!$A$3:$A$5001,AF$3,BD!$B$3:$B$5001,$A$72,BD!$Q$3:$Q$5001,"&lt;&gt;")=0,"",SUMIFS(BD!$Q$3:$Q$5001,BD!$A$3:$A$5001,AF$3,BD!$B$3:$B$5001,$A$72)))</f>
        <v/>
      </c>
      <c r="AG80" s="271" t="str">
        <f>IF(AG$3="","",IF(COUNTIFS(BD!$A$3:$A$5001,AG$3,BD!$B$3:$B$5001,$A$72,BD!$Q$3:$Q$5001,"&lt;&gt;")=0,"",SUMIFS(BD!$Q$3:$Q$5001,BD!$A$3:$A$5001,AG$3,BD!$B$3:$B$5001,$A$72)))</f>
        <v/>
      </c>
      <c r="AH80" s="271" t="str">
        <f>IF(AH$3="","",IF(COUNTIFS(BD!$A$3:$A$5001,AH$3,BD!$B$3:$B$5001,$A$72,BD!$Q$3:$Q$5001,"&lt;&gt;")=0,"",SUMIFS(BD!$Q$3:$Q$5001,BD!$A$3:$A$5001,AH$3,BD!$B$3:$B$5001,$A$72)))</f>
        <v/>
      </c>
      <c r="AI80" s="271" t="str">
        <f>IF(AI$3="","",IF(COUNTIFS(BD!$A$3:$A$5001,AI$3,BD!$B$3:$B$5001,$A$72,BD!$Q$3:$Q$5001,"&lt;&gt;")=0,"",SUMIFS(BD!$Q$3:$Q$5001,BD!$A$3:$A$5001,AI$3,BD!$B$3:$B$5001,$A$72)))</f>
        <v/>
      </c>
      <c r="AJ80" s="272" t="str">
        <f>IF(AJ$3="","",IF(COUNTIFS(BD!$A$3:$A$5001,AJ$3,BD!$B$3:$B$5001,$A$72,BD!$Q$3:$Q$5001,"&lt;&gt;")=0,"",SUMIFS(BD!$Q$3:$Q$5001,BD!$A$3:$A$5001,AJ$3,BD!$B$3:$B$5001,$A$72)))</f>
        <v/>
      </c>
      <c r="AK80" s="273" t="str">
        <f>IF(COUNT(F80:AJ80)=0,"",SUM(F80:AJ80))</f>
        <v/>
      </c>
    </row>
    <row r="81" ht="15.75" customHeight="1">
      <c r="A81" s="261"/>
      <c r="B81" s="278"/>
      <c r="C81" s="267" t="inlineStr">
        <is>
          <t xml:space="preserve">Pedidos Faturados</t>
        </is>
      </c>
      <c r="D81" s="268" t="str">
        <f>IFERROR(1/(1/INDEX(BD!$AL$34:$BF$34,MATCH($A$72,BD!$AL$22:$BF$22,0))),"")</f>
        <v/>
      </c>
      <c r="E81" s="269"/>
      <c r="F81" s="270" t="str">
        <f>IF(F$3="","",IF(COUNTIFS(BD!$A$3:$A$5001,F$3,BD!$B$3:$B$5001,$A$72,BD!$N$3:$N$5001,"&lt;&gt;")=0,"",SUMIFS(BD!$N$3:$N$5001,BD!$A$3:$A$5001,F$3,BD!$B$3:$B$5001,$A$72)))</f>
        <v/>
      </c>
      <c r="G81" s="271" t="str">
        <f>IF(G$3="","",IF(COUNTIFS(BD!$A$3:$A$5001,G$3,BD!$B$3:$B$5001,$A$72,BD!$N$3:$N$5001,"&lt;&gt;")=0,"",SUMIFS(BD!$N$3:$N$5001,BD!$A$3:$A$5001,G$3,BD!$B$3:$B$5001,$A$72)))</f>
        <v/>
      </c>
      <c r="H81" s="271" t="str">
        <f>IF(H$3="","",IF(COUNTIFS(BD!$A$3:$A$5001,H$3,BD!$B$3:$B$5001,$A$72,BD!$N$3:$N$5001,"&lt;&gt;")=0,"",SUMIFS(BD!$N$3:$N$5001,BD!$A$3:$A$5001,H$3,BD!$B$3:$B$5001,$A$72)))</f>
        <v/>
      </c>
      <c r="I81" s="271" t="str">
        <f>IF(I$3="","",IF(COUNTIFS(BD!$A$3:$A$5001,I$3,BD!$B$3:$B$5001,$A$72,BD!$N$3:$N$5001,"&lt;&gt;")=0,"",SUMIFS(BD!$N$3:$N$5001,BD!$A$3:$A$5001,I$3,BD!$B$3:$B$5001,$A$72)))</f>
        <v/>
      </c>
      <c r="J81" s="271" t="str">
        <f>IF(J$3="","",IF(COUNTIFS(BD!$A$3:$A$5001,J$3,BD!$B$3:$B$5001,$A$72,BD!$N$3:$N$5001,"&lt;&gt;")=0,"",SUMIFS(BD!$N$3:$N$5001,BD!$A$3:$A$5001,J$3,BD!$B$3:$B$5001,$A$72)))</f>
        <v/>
      </c>
      <c r="K81" s="271" t="str">
        <f>IF(K$3="","",IF(COUNTIFS(BD!$A$3:$A$5001,K$3,BD!$B$3:$B$5001,$A$72,BD!$N$3:$N$5001,"&lt;&gt;")=0,"",SUMIFS(BD!$N$3:$N$5001,BD!$A$3:$A$5001,K$3,BD!$B$3:$B$5001,$A$72)))</f>
        <v/>
      </c>
      <c r="L81" s="271" t="str">
        <f>IF(L$3="","",IF(COUNTIFS(BD!$A$3:$A$5001,L$3,BD!$B$3:$B$5001,$A$72,BD!$N$3:$N$5001,"&lt;&gt;")=0,"",SUMIFS(BD!$N$3:$N$5001,BD!$A$3:$A$5001,L$3,BD!$B$3:$B$5001,$A$72)))</f>
        <v/>
      </c>
      <c r="M81" s="271" t="str">
        <f>IF(M$3="","",IF(COUNTIFS(BD!$A$3:$A$5001,M$3,BD!$B$3:$B$5001,$A$72,BD!$N$3:$N$5001,"&lt;&gt;")=0,"",SUMIFS(BD!$N$3:$N$5001,BD!$A$3:$A$5001,M$3,BD!$B$3:$B$5001,$A$72)))</f>
        <v/>
      </c>
      <c r="N81" s="271" t="str">
        <f>IF(N$3="","",IF(COUNTIFS(BD!$A$3:$A$5001,N$3,BD!$B$3:$B$5001,$A$72,BD!$N$3:$N$5001,"&lt;&gt;")=0,"",SUMIFS(BD!$N$3:$N$5001,BD!$A$3:$A$5001,N$3,BD!$B$3:$B$5001,$A$72)))</f>
        <v/>
      </c>
      <c r="O81" s="271" t="str">
        <f>IF(O$3="","",IF(COUNTIFS(BD!$A$3:$A$5001,O$3,BD!$B$3:$B$5001,$A$72,BD!$N$3:$N$5001,"&lt;&gt;")=0,"",SUMIFS(BD!$N$3:$N$5001,BD!$A$3:$A$5001,O$3,BD!$B$3:$B$5001,$A$72)))</f>
        <v/>
      </c>
      <c r="P81" s="271" t="str">
        <f>IF(P$3="","",IF(COUNTIFS(BD!$A$3:$A$5001,P$3,BD!$B$3:$B$5001,$A$72,BD!$N$3:$N$5001,"&lt;&gt;")=0,"",SUMIFS(BD!$N$3:$N$5001,BD!$A$3:$A$5001,P$3,BD!$B$3:$B$5001,$A$72)))</f>
        <v/>
      </c>
      <c r="Q81" s="271" t="str">
        <f>IF(Q$3="","",IF(COUNTIFS(BD!$A$3:$A$5001,Q$3,BD!$B$3:$B$5001,$A$72,BD!$N$3:$N$5001,"&lt;&gt;")=0,"",SUMIFS(BD!$N$3:$N$5001,BD!$A$3:$A$5001,Q$3,BD!$B$3:$B$5001,$A$72)))</f>
        <v/>
      </c>
      <c r="R81" s="271" t="str">
        <f>IF(R$3="","",IF(COUNTIFS(BD!$A$3:$A$5001,R$3,BD!$B$3:$B$5001,$A$72,BD!$N$3:$N$5001,"&lt;&gt;")=0,"",SUMIFS(BD!$N$3:$N$5001,BD!$A$3:$A$5001,R$3,BD!$B$3:$B$5001,$A$72)))</f>
        <v/>
      </c>
      <c r="S81" s="271" t="str">
        <f>IF(S$3="","",IF(COUNTIFS(BD!$A$3:$A$5001,S$3,BD!$B$3:$B$5001,$A$72,BD!$N$3:$N$5001,"&lt;&gt;")=0,"",SUMIFS(BD!$N$3:$N$5001,BD!$A$3:$A$5001,S$3,BD!$B$3:$B$5001,$A$72)))</f>
        <v/>
      </c>
      <c r="T81" s="271" t="str">
        <f>IF(T$3="","",IF(COUNTIFS(BD!$A$3:$A$5001,T$3,BD!$B$3:$B$5001,$A$72,BD!$N$3:$N$5001,"&lt;&gt;")=0,"",SUMIFS(BD!$N$3:$N$5001,BD!$A$3:$A$5001,T$3,BD!$B$3:$B$5001,$A$72)))</f>
        <v/>
      </c>
      <c r="U81" s="271" t="str">
        <f>IF(U$3="","",IF(COUNTIFS(BD!$A$3:$A$5001,U$3,BD!$B$3:$B$5001,$A$72,BD!$N$3:$N$5001,"&lt;&gt;")=0,"",SUMIFS(BD!$N$3:$N$5001,BD!$A$3:$A$5001,U$3,BD!$B$3:$B$5001,$A$72)))</f>
        <v/>
      </c>
      <c r="V81" s="271" t="str">
        <f>IF(V$3="","",IF(COUNTIFS(BD!$A$3:$A$5001,V$3,BD!$B$3:$B$5001,$A$72,BD!$N$3:$N$5001,"&lt;&gt;")=0,"",SUMIFS(BD!$N$3:$N$5001,BD!$A$3:$A$5001,V$3,BD!$B$3:$B$5001,$A$72)))</f>
        <v/>
      </c>
      <c r="W81" s="271" t="str">
        <f>IF(W$3="","",IF(COUNTIFS(BD!$A$3:$A$5001,W$3,BD!$B$3:$B$5001,$A$72,BD!$N$3:$N$5001,"&lt;&gt;")=0,"",SUMIFS(BD!$N$3:$N$5001,BD!$A$3:$A$5001,W$3,BD!$B$3:$B$5001,$A$72)))</f>
        <v/>
      </c>
      <c r="X81" s="271" t="str">
        <f>IF(X$3="","",IF(COUNTIFS(BD!$A$3:$A$5001,X$3,BD!$B$3:$B$5001,$A$72,BD!$N$3:$N$5001,"&lt;&gt;")=0,"",SUMIFS(BD!$N$3:$N$5001,BD!$A$3:$A$5001,X$3,BD!$B$3:$B$5001,$A$72)))</f>
        <v/>
      </c>
      <c r="Y81" s="271" t="str">
        <f>IF(Y$3="","",IF(COUNTIFS(BD!$A$3:$A$5001,Y$3,BD!$B$3:$B$5001,$A$72,BD!$N$3:$N$5001,"&lt;&gt;")=0,"",SUMIFS(BD!$N$3:$N$5001,BD!$A$3:$A$5001,Y$3,BD!$B$3:$B$5001,$A$72)))</f>
        <v/>
      </c>
      <c r="Z81" s="271" t="str">
        <f>IF(Z$3="","",IF(COUNTIFS(BD!$A$3:$A$5001,Z$3,BD!$B$3:$B$5001,$A$72,BD!$N$3:$N$5001,"&lt;&gt;")=0,"",SUMIFS(BD!$N$3:$N$5001,BD!$A$3:$A$5001,Z$3,BD!$B$3:$B$5001,$A$72)))</f>
        <v/>
      </c>
      <c r="AA81" s="271" t="str">
        <f>IF(AA$3="","",IF(COUNTIFS(BD!$A$3:$A$5001,AA$3,BD!$B$3:$B$5001,$A$72,BD!$N$3:$N$5001,"&lt;&gt;")=0,"",SUMIFS(BD!$N$3:$N$5001,BD!$A$3:$A$5001,AA$3,BD!$B$3:$B$5001,$A$72)))</f>
        <v/>
      </c>
      <c r="AB81" s="271" t="str">
        <f>IF(AB$3="","",IF(COUNTIFS(BD!$A$3:$A$5001,AB$3,BD!$B$3:$B$5001,$A$72,BD!$N$3:$N$5001,"&lt;&gt;")=0,"",SUMIFS(BD!$N$3:$N$5001,BD!$A$3:$A$5001,AB$3,BD!$B$3:$B$5001,$A$72)))</f>
        <v/>
      </c>
      <c r="AC81" s="271" t="str">
        <f>IF(AC$3="","",IF(COUNTIFS(BD!$A$3:$A$5001,AC$3,BD!$B$3:$B$5001,$A$72,BD!$N$3:$N$5001,"&lt;&gt;")=0,"",SUMIFS(BD!$N$3:$N$5001,BD!$A$3:$A$5001,AC$3,BD!$B$3:$B$5001,$A$72)))</f>
        <v/>
      </c>
      <c r="AD81" s="271" t="str">
        <f>IF(AD$3="","",IF(COUNTIFS(BD!$A$3:$A$5001,AD$3,BD!$B$3:$B$5001,$A$72,BD!$N$3:$N$5001,"&lt;&gt;")=0,"",SUMIFS(BD!$N$3:$N$5001,BD!$A$3:$A$5001,AD$3,BD!$B$3:$B$5001,$A$72)))</f>
        <v/>
      </c>
      <c r="AE81" s="271" t="str">
        <f>IF(AE$3="","",IF(COUNTIFS(BD!$A$3:$A$5001,AE$3,BD!$B$3:$B$5001,$A$72,BD!$N$3:$N$5001,"&lt;&gt;")=0,"",SUMIFS(BD!$N$3:$N$5001,BD!$A$3:$A$5001,AE$3,BD!$B$3:$B$5001,$A$72)))</f>
        <v/>
      </c>
      <c r="AF81" s="271" t="str">
        <f>IF(AF$3="","",IF(COUNTIFS(BD!$A$3:$A$5001,AF$3,BD!$B$3:$B$5001,$A$72,BD!$N$3:$N$5001,"&lt;&gt;")=0,"",SUMIFS(BD!$N$3:$N$5001,BD!$A$3:$A$5001,AF$3,BD!$B$3:$B$5001,$A$72)))</f>
        <v/>
      </c>
      <c r="AG81" s="271" t="str">
        <f>IF(AG$3="","",IF(COUNTIFS(BD!$A$3:$A$5001,AG$3,BD!$B$3:$B$5001,$A$72,BD!$N$3:$N$5001,"&lt;&gt;")=0,"",SUMIFS(BD!$N$3:$N$5001,BD!$A$3:$A$5001,AG$3,BD!$B$3:$B$5001,$A$72)))</f>
        <v/>
      </c>
      <c r="AH81" s="271" t="str">
        <f>IF(AH$3="","",IF(COUNTIFS(BD!$A$3:$A$5001,AH$3,BD!$B$3:$B$5001,$A$72,BD!$N$3:$N$5001,"&lt;&gt;")=0,"",SUMIFS(BD!$N$3:$N$5001,BD!$A$3:$A$5001,AH$3,BD!$B$3:$B$5001,$A$72)))</f>
        <v/>
      </c>
      <c r="AI81" s="271" t="str">
        <f>IF(AI$3="","",IF(COUNTIFS(BD!$A$3:$A$5001,AI$3,BD!$B$3:$B$5001,$A$72,BD!$N$3:$N$5001,"&lt;&gt;")=0,"",SUMIFS(BD!$N$3:$N$5001,BD!$A$3:$A$5001,AI$3,BD!$B$3:$B$5001,$A$72)))</f>
        <v/>
      </c>
      <c r="AJ81" s="272" t="str">
        <f>IF(AJ$3="","",IF(COUNTIFS(BD!$A$3:$A$5001,AJ$3,BD!$B$3:$B$5001,$A$72,BD!$N$3:$N$5001,"&lt;&gt;")=0,"",SUMIFS(BD!$N$3:$N$5001,BD!$A$3:$A$5001,AJ$3,BD!$B$3:$B$5001,$A$72)))</f>
        <v/>
      </c>
      <c r="AK81" s="273" t="str">
        <f>IF(COUNT(F81:AJ81)=0,"",SUM(F81:AJ81))</f>
        <v/>
      </c>
    </row>
    <row r="82" ht="15.75" customHeight="1">
      <c r="A82" s="261"/>
      <c r="B82" s="252"/>
      <c r="C82" s="188" t="inlineStr">
        <is>
          <t xml:space="preserve">Itens Expedidos</t>
        </is>
      </c>
      <c r="D82" s="189" t="str">
        <f>IFERROR(1/(1/INDEX(BD!$AL$35:$BF$35,MATCH($A$72,BD!$AL$22:$BF$22,0))),"")</f>
        <v/>
      </c>
      <c r="E82" s="190"/>
      <c r="F82" s="191" t="str">
        <f>IF(F$3="","",IF(COUNTIFS(BD!$A$3:$A$5001,F$3,BD!$B$3:$B$5001,$A$72,BD!$O$3:$O$5001,"&lt;&gt;")=0,"",SUMIFS(BD!$O$3:$O$5001,BD!$A$3:$A$5001,F$3,BD!$B$3:$B$5001,$A$72)))</f>
        <v/>
      </c>
      <c r="G82" s="192" t="str">
        <f>IF(G$3="","",IF(COUNTIFS(BD!$A$3:$A$5001,G$3,BD!$B$3:$B$5001,$A$72,BD!$O$3:$O$5001,"&lt;&gt;")=0,"",SUMIFS(BD!$O$3:$O$5001,BD!$A$3:$A$5001,G$3,BD!$B$3:$B$5001,$A$72)))</f>
        <v/>
      </c>
      <c r="H82" s="192" t="str">
        <f>IF(H$3="","",IF(COUNTIFS(BD!$A$3:$A$5001,H$3,BD!$B$3:$B$5001,$A$72,BD!$O$3:$O$5001,"&lt;&gt;")=0,"",SUMIFS(BD!$O$3:$O$5001,BD!$A$3:$A$5001,H$3,BD!$B$3:$B$5001,$A$72)))</f>
        <v/>
      </c>
      <c r="I82" s="192" t="str">
        <f>IF(I$3="","",IF(COUNTIFS(BD!$A$3:$A$5001,I$3,BD!$B$3:$B$5001,$A$72,BD!$O$3:$O$5001,"&lt;&gt;")=0,"",SUMIFS(BD!$O$3:$O$5001,BD!$A$3:$A$5001,I$3,BD!$B$3:$B$5001,$A$72)))</f>
        <v/>
      </c>
      <c r="J82" s="192" t="str">
        <f>IF(J$3="","",IF(COUNTIFS(BD!$A$3:$A$5001,J$3,BD!$B$3:$B$5001,$A$72,BD!$O$3:$O$5001,"&lt;&gt;")=0,"",SUMIFS(BD!$O$3:$O$5001,BD!$A$3:$A$5001,J$3,BD!$B$3:$B$5001,$A$72)))</f>
        <v/>
      </c>
      <c r="K82" s="192" t="str">
        <f>IF(K$3="","",IF(COUNTIFS(BD!$A$3:$A$5001,K$3,BD!$B$3:$B$5001,$A$72,BD!$O$3:$O$5001,"&lt;&gt;")=0,"",SUMIFS(BD!$O$3:$O$5001,BD!$A$3:$A$5001,K$3,BD!$B$3:$B$5001,$A$72)))</f>
        <v/>
      </c>
      <c r="L82" s="192" t="str">
        <f>IF(L$3="","",IF(COUNTIFS(BD!$A$3:$A$5001,L$3,BD!$B$3:$B$5001,$A$72,BD!$O$3:$O$5001,"&lt;&gt;")=0,"",SUMIFS(BD!$O$3:$O$5001,BD!$A$3:$A$5001,L$3,BD!$B$3:$B$5001,$A$72)))</f>
        <v/>
      </c>
      <c r="M82" s="192" t="str">
        <f>IF(M$3="","",IF(COUNTIFS(BD!$A$3:$A$5001,M$3,BD!$B$3:$B$5001,$A$72,BD!$O$3:$O$5001,"&lt;&gt;")=0,"",SUMIFS(BD!$O$3:$O$5001,BD!$A$3:$A$5001,M$3,BD!$B$3:$B$5001,$A$72)))</f>
        <v/>
      </c>
      <c r="N82" s="192" t="str">
        <f>IF(N$3="","",IF(COUNTIFS(BD!$A$3:$A$5001,N$3,BD!$B$3:$B$5001,$A$72,BD!$O$3:$O$5001,"&lt;&gt;")=0,"",SUMIFS(BD!$O$3:$O$5001,BD!$A$3:$A$5001,N$3,BD!$B$3:$B$5001,$A$72)))</f>
        <v/>
      </c>
      <c r="O82" s="192" t="str">
        <f>IF(O$3="","",IF(COUNTIFS(BD!$A$3:$A$5001,O$3,BD!$B$3:$B$5001,$A$72,BD!$O$3:$O$5001,"&lt;&gt;")=0,"",SUMIFS(BD!$O$3:$O$5001,BD!$A$3:$A$5001,O$3,BD!$B$3:$B$5001,$A$72)))</f>
        <v/>
      </c>
      <c r="P82" s="192" t="str">
        <f>IF(P$3="","",IF(COUNTIFS(BD!$A$3:$A$5001,P$3,BD!$B$3:$B$5001,$A$72,BD!$O$3:$O$5001,"&lt;&gt;")=0,"",SUMIFS(BD!$O$3:$O$5001,BD!$A$3:$A$5001,P$3,BD!$B$3:$B$5001,$A$72)))</f>
        <v/>
      </c>
      <c r="Q82" s="192" t="str">
        <f>IF(Q$3="","",IF(COUNTIFS(BD!$A$3:$A$5001,Q$3,BD!$B$3:$B$5001,$A$72,BD!$O$3:$O$5001,"&lt;&gt;")=0,"",SUMIFS(BD!$O$3:$O$5001,BD!$A$3:$A$5001,Q$3,BD!$B$3:$B$5001,$A$72)))</f>
        <v/>
      </c>
      <c r="R82" s="192" t="str">
        <f>IF(R$3="","",IF(COUNTIFS(BD!$A$3:$A$5001,R$3,BD!$B$3:$B$5001,$A$72,BD!$O$3:$O$5001,"&lt;&gt;")=0,"",SUMIFS(BD!$O$3:$O$5001,BD!$A$3:$A$5001,R$3,BD!$B$3:$B$5001,$A$72)))</f>
        <v/>
      </c>
      <c r="S82" s="192" t="str">
        <f>IF(S$3="","",IF(COUNTIFS(BD!$A$3:$A$5001,S$3,BD!$B$3:$B$5001,$A$72,BD!$O$3:$O$5001,"&lt;&gt;")=0,"",SUMIFS(BD!$O$3:$O$5001,BD!$A$3:$A$5001,S$3,BD!$B$3:$B$5001,$A$72)))</f>
        <v/>
      </c>
      <c r="T82" s="192" t="str">
        <f>IF(T$3="","",IF(COUNTIFS(BD!$A$3:$A$5001,T$3,BD!$B$3:$B$5001,$A$72,BD!$O$3:$O$5001,"&lt;&gt;")=0,"",SUMIFS(BD!$O$3:$O$5001,BD!$A$3:$A$5001,T$3,BD!$B$3:$B$5001,$A$72)))</f>
        <v/>
      </c>
      <c r="U82" s="192" t="str">
        <f>IF(U$3="","",IF(COUNTIFS(BD!$A$3:$A$5001,U$3,BD!$B$3:$B$5001,$A$72,BD!$O$3:$O$5001,"&lt;&gt;")=0,"",SUMIFS(BD!$O$3:$O$5001,BD!$A$3:$A$5001,U$3,BD!$B$3:$B$5001,$A$72)))</f>
        <v/>
      </c>
      <c r="V82" s="192" t="str">
        <f>IF(V$3="","",IF(COUNTIFS(BD!$A$3:$A$5001,V$3,BD!$B$3:$B$5001,$A$72,BD!$O$3:$O$5001,"&lt;&gt;")=0,"",SUMIFS(BD!$O$3:$O$5001,BD!$A$3:$A$5001,V$3,BD!$B$3:$B$5001,$A$72)))</f>
        <v/>
      </c>
      <c r="W82" s="192" t="str">
        <f>IF(W$3="","",IF(COUNTIFS(BD!$A$3:$A$5001,W$3,BD!$B$3:$B$5001,$A$72,BD!$O$3:$O$5001,"&lt;&gt;")=0,"",SUMIFS(BD!$O$3:$O$5001,BD!$A$3:$A$5001,W$3,BD!$B$3:$B$5001,$A$72)))</f>
        <v/>
      </c>
      <c r="X82" s="192" t="str">
        <f>IF(X$3="","",IF(COUNTIFS(BD!$A$3:$A$5001,X$3,BD!$B$3:$B$5001,$A$72,BD!$O$3:$O$5001,"&lt;&gt;")=0,"",SUMIFS(BD!$O$3:$O$5001,BD!$A$3:$A$5001,X$3,BD!$B$3:$B$5001,$A$72)))</f>
        <v/>
      </c>
      <c r="Y82" s="192" t="str">
        <f>IF(Y$3="","",IF(COUNTIFS(BD!$A$3:$A$5001,Y$3,BD!$B$3:$B$5001,$A$72,BD!$O$3:$O$5001,"&lt;&gt;")=0,"",SUMIFS(BD!$O$3:$O$5001,BD!$A$3:$A$5001,Y$3,BD!$B$3:$B$5001,$A$72)))</f>
        <v/>
      </c>
      <c r="Z82" s="192" t="str">
        <f>IF(Z$3="","",IF(COUNTIFS(BD!$A$3:$A$5001,Z$3,BD!$B$3:$B$5001,$A$72,BD!$O$3:$O$5001,"&lt;&gt;")=0,"",SUMIFS(BD!$O$3:$O$5001,BD!$A$3:$A$5001,Z$3,BD!$B$3:$B$5001,$A$72)))</f>
        <v/>
      </c>
      <c r="AA82" s="192" t="str">
        <f>IF(AA$3="","",IF(COUNTIFS(BD!$A$3:$A$5001,AA$3,BD!$B$3:$B$5001,$A$72,BD!$O$3:$O$5001,"&lt;&gt;")=0,"",SUMIFS(BD!$O$3:$O$5001,BD!$A$3:$A$5001,AA$3,BD!$B$3:$B$5001,$A$72)))</f>
        <v/>
      </c>
      <c r="AB82" s="192" t="str">
        <f>IF(AB$3="","",IF(COUNTIFS(BD!$A$3:$A$5001,AB$3,BD!$B$3:$B$5001,$A$72,BD!$O$3:$O$5001,"&lt;&gt;")=0,"",SUMIFS(BD!$O$3:$O$5001,BD!$A$3:$A$5001,AB$3,BD!$B$3:$B$5001,$A$72)))</f>
        <v/>
      </c>
      <c r="AC82" s="192" t="str">
        <f>IF(AC$3="","",IF(COUNTIFS(BD!$A$3:$A$5001,AC$3,BD!$B$3:$B$5001,$A$72,BD!$O$3:$O$5001,"&lt;&gt;")=0,"",SUMIFS(BD!$O$3:$O$5001,BD!$A$3:$A$5001,AC$3,BD!$B$3:$B$5001,$A$72)))</f>
        <v/>
      </c>
      <c r="AD82" s="192" t="str">
        <f>IF(AD$3="","",IF(COUNTIFS(BD!$A$3:$A$5001,AD$3,BD!$B$3:$B$5001,$A$72,BD!$O$3:$O$5001,"&lt;&gt;")=0,"",SUMIFS(BD!$O$3:$O$5001,BD!$A$3:$A$5001,AD$3,BD!$B$3:$B$5001,$A$72)))</f>
        <v/>
      </c>
      <c r="AE82" s="192" t="str">
        <f>IF(AE$3="","",IF(COUNTIFS(BD!$A$3:$A$5001,AE$3,BD!$B$3:$B$5001,$A$72,BD!$O$3:$O$5001,"&lt;&gt;")=0,"",SUMIFS(BD!$O$3:$O$5001,BD!$A$3:$A$5001,AE$3,BD!$B$3:$B$5001,$A$72)))</f>
        <v/>
      </c>
      <c r="AF82" s="192" t="str">
        <f>IF(AF$3="","",IF(COUNTIFS(BD!$A$3:$A$5001,AF$3,BD!$B$3:$B$5001,$A$72,BD!$O$3:$O$5001,"&lt;&gt;")=0,"",SUMIFS(BD!$O$3:$O$5001,BD!$A$3:$A$5001,AF$3,BD!$B$3:$B$5001,$A$72)))</f>
        <v/>
      </c>
      <c r="AG82" s="192" t="str">
        <f>IF(AG$3="","",IF(COUNTIFS(BD!$A$3:$A$5001,AG$3,BD!$B$3:$B$5001,$A$72,BD!$O$3:$O$5001,"&lt;&gt;")=0,"",SUMIFS(BD!$O$3:$O$5001,BD!$A$3:$A$5001,AG$3,BD!$B$3:$B$5001,$A$72)))</f>
        <v/>
      </c>
      <c r="AH82" s="192" t="str">
        <f>IF(AH$3="","",IF(COUNTIFS(BD!$A$3:$A$5001,AH$3,BD!$B$3:$B$5001,$A$72,BD!$O$3:$O$5001,"&lt;&gt;")=0,"",SUMIFS(BD!$O$3:$O$5001,BD!$A$3:$A$5001,AH$3,BD!$B$3:$B$5001,$A$72)))</f>
        <v/>
      </c>
      <c r="AI82" s="192" t="str">
        <f>IF(AI$3="","",IF(COUNTIFS(BD!$A$3:$A$5001,AI$3,BD!$B$3:$B$5001,$A$72,BD!$O$3:$O$5001,"&lt;&gt;")=0,"",SUMIFS(BD!$O$3:$O$5001,BD!$A$3:$A$5001,AI$3,BD!$B$3:$B$5001,$A$72)))</f>
        <v/>
      </c>
      <c r="AJ82" s="193" t="str">
        <f>IF(AJ$3="","",IF(COUNTIFS(BD!$A$3:$A$5001,AJ$3,BD!$B$3:$B$5001,$A$72,BD!$O$3:$O$5001,"&lt;&gt;")=0,"",SUMIFS(BD!$O$3:$O$5001,BD!$A$3:$A$5001,AJ$3,BD!$B$3:$B$5001,$A$72)))</f>
        <v/>
      </c>
      <c r="AK82" s="189" t="str">
        <f>IF(COUNT(F82:AJ82)=0,"",SUM(F82:AJ82))</f>
        <v/>
      </c>
    </row>
    <row r="83" ht="15.75" customHeight="1">
      <c r="A83" s="261"/>
      <c r="B83" s="253" t="inlineStr">
        <is>
          <t xml:space="preserve">NC</t>
        </is>
      </c>
      <c r="C83" s="194" t="inlineStr">
        <is>
          <t xml:space="preserve">Incidentes</t>
        </is>
      </c>
      <c r="D83" s="195" t="str">
        <f>IFERROR(1/(1/INDEX(BD!$AL$40:$BF$40,MATCH($A$72,BD!$AL$22:$BF$22,0))),"")</f>
        <v/>
      </c>
      <c r="E83" s="196"/>
      <c r="F83" s="197" t="str">
        <f>IF(F$3="","",IF(COUNTIFS(BD!$A$3:$A$5001,F$3,BD!$B$3:$B$5001,$A$72,BD!$T$3:$T$5001,"&lt;&gt;")=0,"",SUMIFS(BD!$T$3:$T$5001,BD!$A$3:$A$5001,F$3,BD!$B$3:$B$5001,$A$72)))</f>
        <v/>
      </c>
      <c r="G83" s="198" t="str">
        <f>IF(G$3="","",IF(COUNTIFS(BD!$A$3:$A$5001,G$3,BD!$B$3:$B$5001,$A$72,BD!$T$3:$T$5001,"&lt;&gt;")=0,"",SUMIFS(BD!$T$3:$T$5001,BD!$A$3:$A$5001,G$3,BD!$B$3:$B$5001,$A$72)))</f>
        <v/>
      </c>
      <c r="H83" s="198" t="str">
        <f>IF(H$3="","",IF(COUNTIFS(BD!$A$3:$A$5001,H$3,BD!$B$3:$B$5001,$A$72,BD!$T$3:$T$5001,"&lt;&gt;")=0,"",SUMIFS(BD!$T$3:$T$5001,BD!$A$3:$A$5001,H$3,BD!$B$3:$B$5001,$A$72)))</f>
        <v/>
      </c>
      <c r="I83" s="198" t="str">
        <f>IF(I$3="","",IF(COUNTIFS(BD!$A$3:$A$5001,I$3,BD!$B$3:$B$5001,$A$72,BD!$T$3:$T$5001,"&lt;&gt;")=0,"",SUMIFS(BD!$T$3:$T$5001,BD!$A$3:$A$5001,I$3,BD!$B$3:$B$5001,$A$72)))</f>
        <v/>
      </c>
      <c r="J83" s="198" t="str">
        <f>IF(J$3="","",IF(COUNTIFS(BD!$A$3:$A$5001,J$3,BD!$B$3:$B$5001,$A$72,BD!$T$3:$T$5001,"&lt;&gt;")=0,"",SUMIFS(BD!$T$3:$T$5001,BD!$A$3:$A$5001,J$3,BD!$B$3:$B$5001,$A$72)))</f>
        <v/>
      </c>
      <c r="K83" s="198" t="str">
        <f>IF(K$3="","",IF(COUNTIFS(BD!$A$3:$A$5001,K$3,BD!$B$3:$B$5001,$A$72,BD!$T$3:$T$5001,"&lt;&gt;")=0,"",SUMIFS(BD!$T$3:$T$5001,BD!$A$3:$A$5001,K$3,BD!$B$3:$B$5001,$A$72)))</f>
        <v/>
      </c>
      <c r="L83" s="198" t="str">
        <f>IF(L$3="","",IF(COUNTIFS(BD!$A$3:$A$5001,L$3,BD!$B$3:$B$5001,$A$72,BD!$T$3:$T$5001,"&lt;&gt;")=0,"",SUMIFS(BD!$T$3:$T$5001,BD!$A$3:$A$5001,L$3,BD!$B$3:$B$5001,$A$72)))</f>
        <v/>
      </c>
      <c r="M83" s="198" t="str">
        <f>IF(M$3="","",IF(COUNTIFS(BD!$A$3:$A$5001,M$3,BD!$B$3:$B$5001,$A$72,BD!$T$3:$T$5001,"&lt;&gt;")=0,"",SUMIFS(BD!$T$3:$T$5001,BD!$A$3:$A$5001,M$3,BD!$B$3:$B$5001,$A$72)))</f>
        <v/>
      </c>
      <c r="N83" s="198" t="str">
        <f>IF(N$3="","",IF(COUNTIFS(BD!$A$3:$A$5001,N$3,BD!$B$3:$B$5001,$A$72,BD!$T$3:$T$5001,"&lt;&gt;")=0,"",SUMIFS(BD!$T$3:$T$5001,BD!$A$3:$A$5001,N$3,BD!$B$3:$B$5001,$A$72)))</f>
        <v/>
      </c>
      <c r="O83" s="198" t="str">
        <f>IF(O$3="","",IF(COUNTIFS(BD!$A$3:$A$5001,O$3,BD!$B$3:$B$5001,$A$72,BD!$T$3:$T$5001,"&lt;&gt;")=0,"",SUMIFS(BD!$T$3:$T$5001,BD!$A$3:$A$5001,O$3,BD!$B$3:$B$5001,$A$72)))</f>
        <v/>
      </c>
      <c r="P83" s="198" t="str">
        <f>IF(P$3="","",IF(COUNTIFS(BD!$A$3:$A$5001,P$3,BD!$B$3:$B$5001,$A$72,BD!$T$3:$T$5001,"&lt;&gt;")=0,"",SUMIFS(BD!$T$3:$T$5001,BD!$A$3:$A$5001,P$3,BD!$B$3:$B$5001,$A$72)))</f>
        <v/>
      </c>
      <c r="Q83" s="198" t="str">
        <f>IF(Q$3="","",IF(COUNTIFS(BD!$A$3:$A$5001,Q$3,BD!$B$3:$B$5001,$A$72,BD!$T$3:$T$5001,"&lt;&gt;")=0,"",SUMIFS(BD!$T$3:$T$5001,BD!$A$3:$A$5001,Q$3,BD!$B$3:$B$5001,$A$72)))</f>
        <v/>
      </c>
      <c r="R83" s="198" t="str">
        <f>IF(R$3="","",IF(COUNTIFS(BD!$A$3:$A$5001,R$3,BD!$B$3:$B$5001,$A$72,BD!$T$3:$T$5001,"&lt;&gt;")=0,"",SUMIFS(BD!$T$3:$T$5001,BD!$A$3:$A$5001,R$3,BD!$B$3:$B$5001,$A$72)))</f>
        <v/>
      </c>
      <c r="S83" s="198" t="str">
        <f>IF(S$3="","",IF(COUNTIFS(BD!$A$3:$A$5001,S$3,BD!$B$3:$B$5001,$A$72,BD!$T$3:$T$5001,"&lt;&gt;")=0,"",SUMIFS(BD!$T$3:$T$5001,BD!$A$3:$A$5001,S$3,BD!$B$3:$B$5001,$A$72)))</f>
        <v/>
      </c>
      <c r="T83" s="198" t="str">
        <f>IF(T$3="","",IF(COUNTIFS(BD!$A$3:$A$5001,T$3,BD!$B$3:$B$5001,$A$72,BD!$T$3:$T$5001,"&lt;&gt;")=0,"",SUMIFS(BD!$T$3:$T$5001,BD!$A$3:$A$5001,T$3,BD!$B$3:$B$5001,$A$72)))</f>
        <v/>
      </c>
      <c r="U83" s="198" t="str">
        <f>IF(U$3="","",IF(COUNTIFS(BD!$A$3:$A$5001,U$3,BD!$B$3:$B$5001,$A$72,BD!$T$3:$T$5001,"&lt;&gt;")=0,"",SUMIFS(BD!$T$3:$T$5001,BD!$A$3:$A$5001,U$3,BD!$B$3:$B$5001,$A$72)))</f>
        <v/>
      </c>
      <c r="V83" s="198" t="str">
        <f>IF(V$3="","",IF(COUNTIFS(BD!$A$3:$A$5001,V$3,BD!$B$3:$B$5001,$A$72,BD!$T$3:$T$5001,"&lt;&gt;")=0,"",SUMIFS(BD!$T$3:$T$5001,BD!$A$3:$A$5001,V$3,BD!$B$3:$B$5001,$A$72)))</f>
        <v/>
      </c>
      <c r="W83" s="198" t="str">
        <f>IF(W$3="","",IF(COUNTIFS(BD!$A$3:$A$5001,W$3,BD!$B$3:$B$5001,$A$72,BD!$T$3:$T$5001,"&lt;&gt;")=0,"",SUMIFS(BD!$T$3:$T$5001,BD!$A$3:$A$5001,W$3,BD!$B$3:$B$5001,$A$72)))</f>
        <v/>
      </c>
      <c r="X83" s="198" t="str">
        <f>IF(X$3="","",IF(COUNTIFS(BD!$A$3:$A$5001,X$3,BD!$B$3:$B$5001,$A$72,BD!$T$3:$T$5001,"&lt;&gt;")=0,"",SUMIFS(BD!$T$3:$T$5001,BD!$A$3:$A$5001,X$3,BD!$B$3:$B$5001,$A$72)))</f>
        <v/>
      </c>
      <c r="Y83" s="198" t="str">
        <f>IF(Y$3="","",IF(COUNTIFS(BD!$A$3:$A$5001,Y$3,BD!$B$3:$B$5001,$A$72,BD!$T$3:$T$5001,"&lt;&gt;")=0,"",SUMIFS(BD!$T$3:$T$5001,BD!$A$3:$A$5001,Y$3,BD!$B$3:$B$5001,$A$72)))</f>
        <v/>
      </c>
      <c r="Z83" s="198" t="str">
        <f>IF(Z$3="","",IF(COUNTIFS(BD!$A$3:$A$5001,Z$3,BD!$B$3:$B$5001,$A$72,BD!$T$3:$T$5001,"&lt;&gt;")=0,"",SUMIFS(BD!$T$3:$T$5001,BD!$A$3:$A$5001,Z$3,BD!$B$3:$B$5001,$A$72)))</f>
        <v/>
      </c>
      <c r="AA83" s="198" t="str">
        <f>IF(AA$3="","",IF(COUNTIFS(BD!$A$3:$A$5001,AA$3,BD!$B$3:$B$5001,$A$72,BD!$T$3:$T$5001,"&lt;&gt;")=0,"",SUMIFS(BD!$T$3:$T$5001,BD!$A$3:$A$5001,AA$3,BD!$B$3:$B$5001,$A$72)))</f>
        <v/>
      </c>
      <c r="AB83" s="198" t="str">
        <f>IF(AB$3="","",IF(COUNTIFS(BD!$A$3:$A$5001,AB$3,BD!$B$3:$B$5001,$A$72,BD!$T$3:$T$5001,"&lt;&gt;")=0,"",SUMIFS(BD!$T$3:$T$5001,BD!$A$3:$A$5001,AB$3,BD!$B$3:$B$5001,$A$72)))</f>
        <v/>
      </c>
      <c r="AC83" s="198" t="str">
        <f>IF(AC$3="","",IF(COUNTIFS(BD!$A$3:$A$5001,AC$3,BD!$B$3:$B$5001,$A$72,BD!$T$3:$T$5001,"&lt;&gt;")=0,"",SUMIFS(BD!$T$3:$T$5001,BD!$A$3:$A$5001,AC$3,BD!$B$3:$B$5001,$A$72)))</f>
        <v/>
      </c>
      <c r="AD83" s="198" t="str">
        <f>IF(AD$3="","",IF(COUNTIFS(BD!$A$3:$A$5001,AD$3,BD!$B$3:$B$5001,$A$72,BD!$T$3:$T$5001,"&lt;&gt;")=0,"",SUMIFS(BD!$T$3:$T$5001,BD!$A$3:$A$5001,AD$3,BD!$B$3:$B$5001,$A$72)))</f>
        <v/>
      </c>
      <c r="AE83" s="198" t="str">
        <f>IF(AE$3="","",IF(COUNTIFS(BD!$A$3:$A$5001,AE$3,BD!$B$3:$B$5001,$A$72,BD!$T$3:$T$5001,"&lt;&gt;")=0,"",SUMIFS(BD!$T$3:$T$5001,BD!$A$3:$A$5001,AE$3,BD!$B$3:$B$5001,$A$72)))</f>
        <v/>
      </c>
      <c r="AF83" s="198" t="str">
        <f>IF(AF$3="","",IF(COUNTIFS(BD!$A$3:$A$5001,AF$3,BD!$B$3:$B$5001,$A$72,BD!$T$3:$T$5001,"&lt;&gt;")=0,"",SUMIFS(BD!$T$3:$T$5001,BD!$A$3:$A$5001,AF$3,BD!$B$3:$B$5001,$A$72)))</f>
        <v/>
      </c>
      <c r="AG83" s="198" t="str">
        <f>IF(AG$3="","",IF(COUNTIFS(BD!$A$3:$A$5001,AG$3,BD!$B$3:$B$5001,$A$72,BD!$T$3:$T$5001,"&lt;&gt;")=0,"",SUMIFS(BD!$T$3:$T$5001,BD!$A$3:$A$5001,AG$3,BD!$B$3:$B$5001,$A$72)))</f>
        <v/>
      </c>
      <c r="AH83" s="198" t="str">
        <f>IF(AH$3="","",IF(COUNTIFS(BD!$A$3:$A$5001,AH$3,BD!$B$3:$B$5001,$A$72,BD!$T$3:$T$5001,"&lt;&gt;")=0,"",SUMIFS(BD!$T$3:$T$5001,BD!$A$3:$A$5001,AH$3,BD!$B$3:$B$5001,$A$72)))</f>
        <v/>
      </c>
      <c r="AI83" s="198" t="str">
        <f>IF(AI$3="","",IF(COUNTIFS(BD!$A$3:$A$5001,AI$3,BD!$B$3:$B$5001,$A$72,BD!$T$3:$T$5001,"&lt;&gt;")=0,"",SUMIFS(BD!$T$3:$T$5001,BD!$A$3:$A$5001,AI$3,BD!$B$3:$B$5001,$A$72)))</f>
        <v/>
      </c>
      <c r="AJ83" s="199" t="str">
        <f>IF(AJ$3="","",IF(COUNTIFS(BD!$A$3:$A$5001,AJ$3,BD!$B$3:$B$5001,$A$72,BD!$T$3:$T$5001,"&lt;&gt;")=0,"",SUMIFS(BD!$T$3:$T$5001,BD!$A$3:$A$5001,AJ$3,BD!$B$3:$B$5001,$A$72)))</f>
        <v/>
      </c>
      <c r="AK83" s="200" t="str">
        <f>IF(COUNT(F83:AJ83)=0,"",SUM(F83:AJ83))</f>
        <v/>
      </c>
    </row>
    <row r="84" ht="15.75" customHeight="1">
      <c r="A84" s="261"/>
      <c r="B84" s="254"/>
      <c r="C84" s="201" t="inlineStr">
        <is>
          <t xml:space="preserve">No show</t>
        </is>
      </c>
      <c r="D84" s="202" t="str">
        <f>IFERROR(1/(1/INDEX(BD!$AL$41:$BF$41,MATCH($A$72,BD!$AL$22:$BF$22,0))),"")</f>
        <v/>
      </c>
      <c r="E84" s="203"/>
      <c r="F84" s="204" t="str">
        <f>IF(F$3="","",IF(COUNTIFS(BD!$A$3:$A$5001,F$3,BD!$B$3:$B$5001,$A$72,BD!$U$3:$U$5001,"&lt;&gt;")=0,"",SUMIFS(BD!$U$3:$U$5001,BD!$A$3:$A$5001,F$3,BD!$B$3:$B$5001,$A$72)))</f>
        <v/>
      </c>
      <c r="G84" s="205" t="str">
        <f>IF(G$3="","",IF(COUNTIFS(BD!$A$3:$A$5001,G$3,BD!$B$3:$B$5001,$A$72,BD!$U$3:$U$5001,"&lt;&gt;")=0,"",SUMIFS(BD!$U$3:$U$5001,BD!$A$3:$A$5001,G$3,BD!$B$3:$B$5001,$A$72)))</f>
        <v/>
      </c>
      <c r="H84" s="205" t="str">
        <f>IF(H$3="","",IF(COUNTIFS(BD!$A$3:$A$5001,H$3,BD!$B$3:$B$5001,$A$72,BD!$U$3:$U$5001,"&lt;&gt;")=0,"",SUMIFS(BD!$U$3:$U$5001,BD!$A$3:$A$5001,H$3,BD!$B$3:$B$5001,$A$72)))</f>
        <v/>
      </c>
      <c r="I84" s="205" t="str">
        <f>IF(I$3="","",IF(COUNTIFS(BD!$A$3:$A$5001,I$3,BD!$B$3:$B$5001,$A$72,BD!$U$3:$U$5001,"&lt;&gt;")=0,"",SUMIFS(BD!$U$3:$U$5001,BD!$A$3:$A$5001,I$3,BD!$B$3:$B$5001,$A$72)))</f>
        <v/>
      </c>
      <c r="J84" s="205" t="str">
        <f>IF(J$3="","",IF(COUNTIFS(BD!$A$3:$A$5001,J$3,BD!$B$3:$B$5001,$A$72,BD!$U$3:$U$5001,"&lt;&gt;")=0,"",SUMIFS(BD!$U$3:$U$5001,BD!$A$3:$A$5001,J$3,BD!$B$3:$B$5001,$A$72)))</f>
        <v/>
      </c>
      <c r="K84" s="205" t="str">
        <f>IF(K$3="","",IF(COUNTIFS(BD!$A$3:$A$5001,K$3,BD!$B$3:$B$5001,$A$72,BD!$U$3:$U$5001,"&lt;&gt;")=0,"",SUMIFS(BD!$U$3:$U$5001,BD!$A$3:$A$5001,K$3,BD!$B$3:$B$5001,$A$72)))</f>
        <v/>
      </c>
      <c r="L84" s="205" t="str">
        <f>IF(L$3="","",IF(COUNTIFS(BD!$A$3:$A$5001,L$3,BD!$B$3:$B$5001,$A$72,BD!$U$3:$U$5001,"&lt;&gt;")=0,"",SUMIFS(BD!$U$3:$U$5001,BD!$A$3:$A$5001,L$3,BD!$B$3:$B$5001,$A$72)))</f>
        <v/>
      </c>
      <c r="M84" s="205" t="str">
        <f>IF(M$3="","",IF(COUNTIFS(BD!$A$3:$A$5001,M$3,BD!$B$3:$B$5001,$A$72,BD!$U$3:$U$5001,"&lt;&gt;")=0,"",SUMIFS(BD!$U$3:$U$5001,BD!$A$3:$A$5001,M$3,BD!$B$3:$B$5001,$A$72)))</f>
        <v/>
      </c>
      <c r="N84" s="205" t="str">
        <f>IF(N$3="","",IF(COUNTIFS(BD!$A$3:$A$5001,N$3,BD!$B$3:$B$5001,$A$72,BD!$U$3:$U$5001,"&lt;&gt;")=0,"",SUMIFS(BD!$U$3:$U$5001,BD!$A$3:$A$5001,N$3,BD!$B$3:$B$5001,$A$72)))</f>
        <v/>
      </c>
      <c r="O84" s="205" t="str">
        <f>IF(O$3="","",IF(COUNTIFS(BD!$A$3:$A$5001,O$3,BD!$B$3:$B$5001,$A$72,BD!$U$3:$U$5001,"&lt;&gt;")=0,"",SUMIFS(BD!$U$3:$U$5001,BD!$A$3:$A$5001,O$3,BD!$B$3:$B$5001,$A$72)))</f>
        <v/>
      </c>
      <c r="P84" s="205" t="str">
        <f>IF(P$3="","",IF(COUNTIFS(BD!$A$3:$A$5001,P$3,BD!$B$3:$B$5001,$A$72,BD!$U$3:$U$5001,"&lt;&gt;")=0,"",SUMIFS(BD!$U$3:$U$5001,BD!$A$3:$A$5001,P$3,BD!$B$3:$B$5001,$A$72)))</f>
        <v/>
      </c>
      <c r="Q84" s="205" t="str">
        <f>IF(Q$3="","",IF(COUNTIFS(BD!$A$3:$A$5001,Q$3,BD!$B$3:$B$5001,$A$72,BD!$U$3:$U$5001,"&lt;&gt;")=0,"",SUMIFS(BD!$U$3:$U$5001,BD!$A$3:$A$5001,Q$3,BD!$B$3:$B$5001,$A$72)))</f>
        <v/>
      </c>
      <c r="R84" s="205" t="str">
        <f>IF(R$3="","",IF(COUNTIFS(BD!$A$3:$A$5001,R$3,BD!$B$3:$B$5001,$A$72,BD!$U$3:$U$5001,"&lt;&gt;")=0,"",SUMIFS(BD!$U$3:$U$5001,BD!$A$3:$A$5001,R$3,BD!$B$3:$B$5001,$A$72)))</f>
        <v/>
      </c>
      <c r="S84" s="205" t="str">
        <f>IF(S$3="","",IF(COUNTIFS(BD!$A$3:$A$5001,S$3,BD!$B$3:$B$5001,$A$72,BD!$U$3:$U$5001,"&lt;&gt;")=0,"",SUMIFS(BD!$U$3:$U$5001,BD!$A$3:$A$5001,S$3,BD!$B$3:$B$5001,$A$72)))</f>
        <v/>
      </c>
      <c r="T84" s="205" t="str">
        <f>IF(T$3="","",IF(COUNTIFS(BD!$A$3:$A$5001,T$3,BD!$B$3:$B$5001,$A$72,BD!$U$3:$U$5001,"&lt;&gt;")=0,"",SUMIFS(BD!$U$3:$U$5001,BD!$A$3:$A$5001,T$3,BD!$B$3:$B$5001,$A$72)))</f>
        <v/>
      </c>
      <c r="U84" s="205" t="str">
        <f>IF(U$3="","",IF(COUNTIFS(BD!$A$3:$A$5001,U$3,BD!$B$3:$B$5001,$A$72,BD!$U$3:$U$5001,"&lt;&gt;")=0,"",SUMIFS(BD!$U$3:$U$5001,BD!$A$3:$A$5001,U$3,BD!$B$3:$B$5001,$A$72)))</f>
        <v/>
      </c>
      <c r="V84" s="205" t="str">
        <f>IF(V$3="","",IF(COUNTIFS(BD!$A$3:$A$5001,V$3,BD!$B$3:$B$5001,$A$72,BD!$U$3:$U$5001,"&lt;&gt;")=0,"",SUMIFS(BD!$U$3:$U$5001,BD!$A$3:$A$5001,V$3,BD!$B$3:$B$5001,$A$72)))</f>
        <v/>
      </c>
      <c r="W84" s="205" t="str">
        <f>IF(W$3="","",IF(COUNTIFS(BD!$A$3:$A$5001,W$3,BD!$B$3:$B$5001,$A$72,BD!$U$3:$U$5001,"&lt;&gt;")=0,"",SUMIFS(BD!$U$3:$U$5001,BD!$A$3:$A$5001,W$3,BD!$B$3:$B$5001,$A$72)))</f>
        <v/>
      </c>
      <c r="X84" s="205" t="str">
        <f>IF(X$3="","",IF(COUNTIFS(BD!$A$3:$A$5001,X$3,BD!$B$3:$B$5001,$A$72,BD!$U$3:$U$5001,"&lt;&gt;")=0,"",SUMIFS(BD!$U$3:$U$5001,BD!$A$3:$A$5001,X$3,BD!$B$3:$B$5001,$A$72)))</f>
        <v/>
      </c>
      <c r="Y84" s="205" t="str">
        <f>IF(Y$3="","",IF(COUNTIFS(BD!$A$3:$A$5001,Y$3,BD!$B$3:$B$5001,$A$72,BD!$U$3:$U$5001,"&lt;&gt;")=0,"",SUMIFS(BD!$U$3:$U$5001,BD!$A$3:$A$5001,Y$3,BD!$B$3:$B$5001,$A$72)))</f>
        <v/>
      </c>
      <c r="Z84" s="205" t="str">
        <f>IF(Z$3="","",IF(COUNTIFS(BD!$A$3:$A$5001,Z$3,BD!$B$3:$B$5001,$A$72,BD!$U$3:$U$5001,"&lt;&gt;")=0,"",SUMIFS(BD!$U$3:$U$5001,BD!$A$3:$A$5001,Z$3,BD!$B$3:$B$5001,$A$72)))</f>
        <v/>
      </c>
      <c r="AA84" s="205" t="str">
        <f>IF(AA$3="","",IF(COUNTIFS(BD!$A$3:$A$5001,AA$3,BD!$B$3:$B$5001,$A$72,BD!$U$3:$U$5001,"&lt;&gt;")=0,"",SUMIFS(BD!$U$3:$U$5001,BD!$A$3:$A$5001,AA$3,BD!$B$3:$B$5001,$A$72)))</f>
        <v/>
      </c>
      <c r="AB84" s="205" t="str">
        <f>IF(AB$3="","",IF(COUNTIFS(BD!$A$3:$A$5001,AB$3,BD!$B$3:$B$5001,$A$72,BD!$U$3:$U$5001,"&lt;&gt;")=0,"",SUMIFS(BD!$U$3:$U$5001,BD!$A$3:$A$5001,AB$3,BD!$B$3:$B$5001,$A$72)))</f>
        <v/>
      </c>
      <c r="AC84" s="205" t="str">
        <f>IF(AC$3="","",IF(COUNTIFS(BD!$A$3:$A$5001,AC$3,BD!$B$3:$B$5001,$A$72,BD!$U$3:$U$5001,"&lt;&gt;")=0,"",SUMIFS(BD!$U$3:$U$5001,BD!$A$3:$A$5001,AC$3,BD!$B$3:$B$5001,$A$72)))</f>
        <v/>
      </c>
      <c r="AD84" s="205" t="str">
        <f>IF(AD$3="","",IF(COUNTIFS(BD!$A$3:$A$5001,AD$3,BD!$B$3:$B$5001,$A$72,BD!$U$3:$U$5001,"&lt;&gt;")=0,"",SUMIFS(BD!$U$3:$U$5001,BD!$A$3:$A$5001,AD$3,BD!$B$3:$B$5001,$A$72)))</f>
        <v/>
      </c>
      <c r="AE84" s="205" t="str">
        <f>IF(AE$3="","",IF(COUNTIFS(BD!$A$3:$A$5001,AE$3,BD!$B$3:$B$5001,$A$72,BD!$U$3:$U$5001,"&lt;&gt;")=0,"",SUMIFS(BD!$U$3:$U$5001,BD!$A$3:$A$5001,AE$3,BD!$B$3:$B$5001,$A$72)))</f>
        <v/>
      </c>
      <c r="AF84" s="205" t="str">
        <f>IF(AF$3="","",IF(COUNTIFS(BD!$A$3:$A$5001,AF$3,BD!$B$3:$B$5001,$A$72,BD!$U$3:$U$5001,"&lt;&gt;")=0,"",SUMIFS(BD!$U$3:$U$5001,BD!$A$3:$A$5001,AF$3,BD!$B$3:$B$5001,$A$72)))</f>
        <v/>
      </c>
      <c r="AG84" s="205" t="str">
        <f>IF(AG$3="","",IF(COUNTIFS(BD!$A$3:$A$5001,AG$3,BD!$B$3:$B$5001,$A$72,BD!$U$3:$U$5001,"&lt;&gt;")=0,"",SUMIFS(BD!$U$3:$U$5001,BD!$A$3:$A$5001,AG$3,BD!$B$3:$B$5001,$A$72)))</f>
        <v/>
      </c>
      <c r="AH84" s="205" t="str">
        <f>IF(AH$3="","",IF(COUNTIFS(BD!$A$3:$A$5001,AH$3,BD!$B$3:$B$5001,$A$72,BD!$U$3:$U$5001,"&lt;&gt;")=0,"",SUMIFS(BD!$U$3:$U$5001,BD!$A$3:$A$5001,AH$3,BD!$B$3:$B$5001,$A$72)))</f>
        <v/>
      </c>
      <c r="AI84" s="205" t="str">
        <f>IF(AI$3="","",IF(COUNTIFS(BD!$A$3:$A$5001,AI$3,BD!$B$3:$B$5001,$A$72,BD!$U$3:$U$5001,"&lt;&gt;")=0,"",SUMIFS(BD!$U$3:$U$5001,BD!$A$3:$A$5001,AI$3,BD!$B$3:$B$5001,$A$72)))</f>
        <v/>
      </c>
      <c r="AJ84" s="206" t="str">
        <f>IF(AJ$3="","",IF(COUNTIFS(BD!$A$3:$A$5001,AJ$3,BD!$B$3:$B$5001,$A$72,BD!$U$3:$U$5001,"&lt;&gt;")=0,"",SUMIFS(BD!$U$3:$U$5001,BD!$A$3:$A$5001,AJ$3,BD!$B$3:$B$5001,$A$72)))</f>
        <v/>
      </c>
      <c r="AK84" s="207" t="str">
        <f>IF(COUNT(F84:AJ84)=0,"",SUM(F84:AJ84))</f>
        <v/>
      </c>
    </row>
    <row r="85" ht="15.75" customHeight="1">
      <c r="A85" s="261"/>
      <c r="B85" s="254"/>
      <c r="C85" s="201" t="inlineStr">
        <is>
          <t xml:space="preserve">Backlog Intralog</t>
        </is>
      </c>
      <c r="D85" s="202" t="str">
        <f>IFERROR(1/(1/INDEX(BD!$AL$42:$BF$42,MATCH($A$72,BD!$AL$22:$BF$22,0))),"")</f>
        <v/>
      </c>
      <c r="E85" s="203"/>
      <c r="F85" s="204" t="str">
        <f>IF(F$3="","",IF(COUNTIFS(BD!$A$3:$A$5001,F$3,BD!$B$3:$B$5001,$A$72,BD!$V$3:$V$5001,"&lt;&gt;")=0,"",SUMIFS(BD!$V$3:$V$5001,BD!$A$3:$A$5001,F$3,BD!$B$3:$B$5001,$A$72)))</f>
        <v/>
      </c>
      <c r="G85" s="205" t="str">
        <f>IF(G$3="","",IF(COUNTIFS(BD!$A$3:$A$5001,G$3,BD!$B$3:$B$5001,$A$72,BD!$V$3:$V$5001,"&lt;&gt;")=0,"",SUMIFS(BD!$V$3:$V$5001,BD!$A$3:$A$5001,G$3,BD!$B$3:$B$5001,$A$72)))</f>
        <v/>
      </c>
      <c r="H85" s="205" t="str">
        <f>IF(H$3="","",IF(COUNTIFS(BD!$A$3:$A$5001,H$3,BD!$B$3:$B$5001,$A$72,BD!$V$3:$V$5001,"&lt;&gt;")=0,"",SUMIFS(BD!$V$3:$V$5001,BD!$A$3:$A$5001,H$3,BD!$B$3:$B$5001,$A$72)))</f>
        <v/>
      </c>
      <c r="I85" s="205" t="str">
        <f>IF(I$3="","",IF(COUNTIFS(BD!$A$3:$A$5001,I$3,BD!$B$3:$B$5001,$A$72,BD!$V$3:$V$5001,"&lt;&gt;")=0,"",SUMIFS(BD!$V$3:$V$5001,BD!$A$3:$A$5001,I$3,BD!$B$3:$B$5001,$A$72)))</f>
        <v/>
      </c>
      <c r="J85" s="205" t="str">
        <f>IF(J$3="","",IF(COUNTIFS(BD!$A$3:$A$5001,J$3,BD!$B$3:$B$5001,$A$72,BD!$V$3:$V$5001,"&lt;&gt;")=0,"",SUMIFS(BD!$V$3:$V$5001,BD!$A$3:$A$5001,J$3,BD!$B$3:$B$5001,$A$72)))</f>
        <v/>
      </c>
      <c r="K85" s="205" t="str">
        <f>IF(K$3="","",IF(COUNTIFS(BD!$A$3:$A$5001,K$3,BD!$B$3:$B$5001,$A$72,BD!$V$3:$V$5001,"&lt;&gt;")=0,"",SUMIFS(BD!$V$3:$V$5001,BD!$A$3:$A$5001,K$3,BD!$B$3:$B$5001,$A$72)))</f>
        <v/>
      </c>
      <c r="L85" s="205" t="str">
        <f>IF(L$3="","",IF(COUNTIFS(BD!$A$3:$A$5001,L$3,BD!$B$3:$B$5001,$A$72,BD!$V$3:$V$5001,"&lt;&gt;")=0,"",SUMIFS(BD!$V$3:$V$5001,BD!$A$3:$A$5001,L$3,BD!$B$3:$B$5001,$A$72)))</f>
        <v/>
      </c>
      <c r="M85" s="205" t="str">
        <f>IF(M$3="","",IF(COUNTIFS(BD!$A$3:$A$5001,M$3,BD!$B$3:$B$5001,$A$72,BD!$V$3:$V$5001,"&lt;&gt;")=0,"",SUMIFS(BD!$V$3:$V$5001,BD!$A$3:$A$5001,M$3,BD!$B$3:$B$5001,$A$72)))</f>
        <v/>
      </c>
      <c r="N85" s="205" t="str">
        <f>IF(N$3="","",IF(COUNTIFS(BD!$A$3:$A$5001,N$3,BD!$B$3:$B$5001,$A$72,BD!$V$3:$V$5001,"&lt;&gt;")=0,"",SUMIFS(BD!$V$3:$V$5001,BD!$A$3:$A$5001,N$3,BD!$B$3:$B$5001,$A$72)))</f>
        <v/>
      </c>
      <c r="O85" s="205" t="str">
        <f>IF(O$3="","",IF(COUNTIFS(BD!$A$3:$A$5001,O$3,BD!$B$3:$B$5001,$A$72,BD!$V$3:$V$5001,"&lt;&gt;")=0,"",SUMIFS(BD!$V$3:$V$5001,BD!$A$3:$A$5001,O$3,BD!$B$3:$B$5001,$A$72)))</f>
        <v/>
      </c>
      <c r="P85" s="205" t="str">
        <f>IF(P$3="","",IF(COUNTIFS(BD!$A$3:$A$5001,P$3,BD!$B$3:$B$5001,$A$72,BD!$V$3:$V$5001,"&lt;&gt;")=0,"",SUMIFS(BD!$V$3:$V$5001,BD!$A$3:$A$5001,P$3,BD!$B$3:$B$5001,$A$72)))</f>
        <v/>
      </c>
      <c r="Q85" s="205" t="str">
        <f>IF(Q$3="","",IF(COUNTIFS(BD!$A$3:$A$5001,Q$3,BD!$B$3:$B$5001,$A$72,BD!$V$3:$V$5001,"&lt;&gt;")=0,"",SUMIFS(BD!$V$3:$V$5001,BD!$A$3:$A$5001,Q$3,BD!$B$3:$B$5001,$A$72)))</f>
        <v/>
      </c>
      <c r="R85" s="205" t="str">
        <f>IF(R$3="","",IF(COUNTIFS(BD!$A$3:$A$5001,R$3,BD!$B$3:$B$5001,$A$72,BD!$V$3:$V$5001,"&lt;&gt;")=0,"",SUMIFS(BD!$V$3:$V$5001,BD!$A$3:$A$5001,R$3,BD!$B$3:$B$5001,$A$72)))</f>
        <v/>
      </c>
      <c r="S85" s="205" t="str">
        <f>IF(S$3="","",IF(COUNTIFS(BD!$A$3:$A$5001,S$3,BD!$B$3:$B$5001,$A$72,BD!$V$3:$V$5001,"&lt;&gt;")=0,"",SUMIFS(BD!$V$3:$V$5001,BD!$A$3:$A$5001,S$3,BD!$B$3:$B$5001,$A$72)))</f>
        <v/>
      </c>
      <c r="T85" s="205" t="str">
        <f>IF(T$3="","",IF(COUNTIFS(BD!$A$3:$A$5001,T$3,BD!$B$3:$B$5001,$A$72,BD!$V$3:$V$5001,"&lt;&gt;")=0,"",SUMIFS(BD!$V$3:$V$5001,BD!$A$3:$A$5001,T$3,BD!$B$3:$B$5001,$A$72)))</f>
        <v/>
      </c>
      <c r="U85" s="205" t="str">
        <f>IF(U$3="","",IF(COUNTIFS(BD!$A$3:$A$5001,U$3,BD!$B$3:$B$5001,$A$72,BD!$V$3:$V$5001,"&lt;&gt;")=0,"",SUMIFS(BD!$V$3:$V$5001,BD!$A$3:$A$5001,U$3,BD!$B$3:$B$5001,$A$72)))</f>
        <v/>
      </c>
      <c r="V85" s="205" t="str">
        <f>IF(V$3="","",IF(COUNTIFS(BD!$A$3:$A$5001,V$3,BD!$B$3:$B$5001,$A$72,BD!$V$3:$V$5001,"&lt;&gt;")=0,"",SUMIFS(BD!$V$3:$V$5001,BD!$A$3:$A$5001,V$3,BD!$B$3:$B$5001,$A$72)))</f>
        <v/>
      </c>
      <c r="W85" s="205" t="str">
        <f>IF(W$3="","",IF(COUNTIFS(BD!$A$3:$A$5001,W$3,BD!$B$3:$B$5001,$A$72,BD!$V$3:$V$5001,"&lt;&gt;")=0,"",SUMIFS(BD!$V$3:$V$5001,BD!$A$3:$A$5001,W$3,BD!$B$3:$B$5001,$A$72)))</f>
        <v/>
      </c>
      <c r="X85" s="205" t="str">
        <f>IF(X$3="","",IF(COUNTIFS(BD!$A$3:$A$5001,X$3,BD!$B$3:$B$5001,$A$72,BD!$V$3:$V$5001,"&lt;&gt;")=0,"",SUMIFS(BD!$V$3:$V$5001,BD!$A$3:$A$5001,X$3,BD!$B$3:$B$5001,$A$72)))</f>
        <v/>
      </c>
      <c r="Y85" s="205" t="str">
        <f>IF(Y$3="","",IF(COUNTIFS(BD!$A$3:$A$5001,Y$3,BD!$B$3:$B$5001,$A$72,BD!$V$3:$V$5001,"&lt;&gt;")=0,"",SUMIFS(BD!$V$3:$V$5001,BD!$A$3:$A$5001,Y$3,BD!$B$3:$B$5001,$A$72)))</f>
        <v/>
      </c>
      <c r="Z85" s="205" t="str">
        <f>IF(Z$3="","",IF(COUNTIFS(BD!$A$3:$A$5001,Z$3,BD!$B$3:$B$5001,$A$72,BD!$V$3:$V$5001,"&lt;&gt;")=0,"",SUMIFS(BD!$V$3:$V$5001,BD!$A$3:$A$5001,Z$3,BD!$B$3:$B$5001,$A$72)))</f>
        <v/>
      </c>
      <c r="AA85" s="205" t="str">
        <f>IF(AA$3="","",IF(COUNTIFS(BD!$A$3:$A$5001,AA$3,BD!$B$3:$B$5001,$A$72,BD!$V$3:$V$5001,"&lt;&gt;")=0,"",SUMIFS(BD!$V$3:$V$5001,BD!$A$3:$A$5001,AA$3,BD!$B$3:$B$5001,$A$72)))</f>
        <v/>
      </c>
      <c r="AB85" s="205" t="str">
        <f>IF(AB$3="","",IF(COUNTIFS(BD!$A$3:$A$5001,AB$3,BD!$B$3:$B$5001,$A$72,BD!$V$3:$V$5001,"&lt;&gt;")=0,"",SUMIFS(BD!$V$3:$V$5001,BD!$A$3:$A$5001,AB$3,BD!$B$3:$B$5001,$A$72)))</f>
        <v/>
      </c>
      <c r="AC85" s="205" t="str">
        <f>IF(AC$3="","",IF(COUNTIFS(BD!$A$3:$A$5001,AC$3,BD!$B$3:$B$5001,$A$72,BD!$V$3:$V$5001,"&lt;&gt;")=0,"",SUMIFS(BD!$V$3:$V$5001,BD!$A$3:$A$5001,AC$3,BD!$B$3:$B$5001,$A$72)))</f>
        <v/>
      </c>
      <c r="AD85" s="205" t="str">
        <f>IF(AD$3="","",IF(COUNTIFS(BD!$A$3:$A$5001,AD$3,BD!$B$3:$B$5001,$A$72,BD!$V$3:$V$5001,"&lt;&gt;")=0,"",SUMIFS(BD!$V$3:$V$5001,BD!$A$3:$A$5001,AD$3,BD!$B$3:$B$5001,$A$72)))</f>
        <v/>
      </c>
      <c r="AE85" s="205" t="str">
        <f>IF(AE$3="","",IF(COUNTIFS(BD!$A$3:$A$5001,AE$3,BD!$B$3:$B$5001,$A$72,BD!$V$3:$V$5001,"&lt;&gt;")=0,"",SUMIFS(BD!$V$3:$V$5001,BD!$A$3:$A$5001,AE$3,BD!$B$3:$B$5001,$A$72)))</f>
        <v/>
      </c>
      <c r="AF85" s="205" t="str">
        <f>IF(AF$3="","",IF(COUNTIFS(BD!$A$3:$A$5001,AF$3,BD!$B$3:$B$5001,$A$72,BD!$V$3:$V$5001,"&lt;&gt;")=0,"",SUMIFS(BD!$V$3:$V$5001,BD!$A$3:$A$5001,AF$3,BD!$B$3:$B$5001,$A$72)))</f>
        <v/>
      </c>
      <c r="AG85" s="205" t="str">
        <f>IF(AG$3="","",IF(COUNTIFS(BD!$A$3:$A$5001,AG$3,BD!$B$3:$B$5001,$A$72,BD!$V$3:$V$5001,"&lt;&gt;")=0,"",SUMIFS(BD!$V$3:$V$5001,BD!$A$3:$A$5001,AG$3,BD!$B$3:$B$5001,$A$72)))</f>
        <v/>
      </c>
      <c r="AH85" s="205" t="str">
        <f>IF(AH$3="","",IF(COUNTIFS(BD!$A$3:$A$5001,AH$3,BD!$B$3:$B$5001,$A$72,BD!$V$3:$V$5001,"&lt;&gt;")=0,"",SUMIFS(BD!$V$3:$V$5001,BD!$A$3:$A$5001,AH$3,BD!$B$3:$B$5001,$A$72)))</f>
        <v/>
      </c>
      <c r="AI85" s="205" t="str">
        <f>IF(AI$3="","",IF(COUNTIFS(BD!$A$3:$A$5001,AI$3,BD!$B$3:$B$5001,$A$72,BD!$V$3:$V$5001,"&lt;&gt;")=0,"",SUMIFS(BD!$V$3:$V$5001,BD!$A$3:$A$5001,AI$3,BD!$B$3:$B$5001,$A$72)))</f>
        <v/>
      </c>
      <c r="AJ85" s="206" t="str">
        <f>IF(AJ$3="","",IF(COUNTIFS(BD!$A$3:$A$5001,AJ$3,BD!$B$3:$B$5001,$A$72,BD!$V$3:$V$5001,"&lt;&gt;")=0,"",SUMIFS(BD!$V$3:$V$5001,BD!$A$3:$A$5001,AJ$3,BD!$B$3:$B$5001,$A$72)))</f>
        <v/>
      </c>
      <c r="AK85" s="207" t="str">
        <f>IFERROR(LOOKUP(9.99E+307,F85:AJ85),"")</f>
        <v/>
      </c>
    </row>
    <row r="86" ht="15.75" customHeight="1">
      <c r="A86" s="261"/>
      <c r="B86" s="255"/>
      <c r="C86" s="208" t="inlineStr">
        <is>
          <t xml:space="preserve">Backlog Cliente</t>
        </is>
      </c>
      <c r="D86" s="209" t="str">
        <f>IFERROR(1/(1/INDEX(BD!$AL$43:$BF$43,MATCH($A$72,BD!$AL$22:$BF$22,0))),"")</f>
        <v/>
      </c>
      <c r="E86" s="210"/>
      <c r="F86" s="211" t="str">
        <f>IF(F$3="","",IF(COUNTIFS(BD!$A$3:$A$5001,F$3,BD!$B$3:$B$5001,$A$72,BD!$W$3:$W$5001,"&lt;&gt;")=0,"",SUMIFS(BD!$W$3:$W$5001,BD!$A$3:$A$5001,F$3,BD!$B$3:$B$5001,$A$72)))</f>
        <v/>
      </c>
      <c r="G86" s="212" t="str">
        <f>IF(G$3="","",IF(COUNTIFS(BD!$A$3:$A$5001,G$3,BD!$B$3:$B$5001,$A$72,BD!$W$3:$W$5001,"&lt;&gt;")=0,"",SUMIFS(BD!$W$3:$W$5001,BD!$A$3:$A$5001,G$3,BD!$B$3:$B$5001,$A$72)))</f>
        <v/>
      </c>
      <c r="H86" s="212" t="str">
        <f>IF(H$3="","",IF(COUNTIFS(BD!$A$3:$A$5001,H$3,BD!$B$3:$B$5001,$A$72,BD!$W$3:$W$5001,"&lt;&gt;")=0,"",SUMIFS(BD!$W$3:$W$5001,BD!$A$3:$A$5001,H$3,BD!$B$3:$B$5001,$A$72)))</f>
        <v/>
      </c>
      <c r="I86" s="212" t="str">
        <f>IF(I$3="","",IF(COUNTIFS(BD!$A$3:$A$5001,I$3,BD!$B$3:$B$5001,$A$72,BD!$W$3:$W$5001,"&lt;&gt;")=0,"",SUMIFS(BD!$W$3:$W$5001,BD!$A$3:$A$5001,I$3,BD!$B$3:$B$5001,$A$72)))</f>
        <v/>
      </c>
      <c r="J86" s="212" t="str">
        <f>IF(J$3="","",IF(COUNTIFS(BD!$A$3:$A$5001,J$3,BD!$B$3:$B$5001,$A$72,BD!$W$3:$W$5001,"&lt;&gt;")=0,"",SUMIFS(BD!$W$3:$W$5001,BD!$A$3:$A$5001,J$3,BD!$B$3:$B$5001,$A$72)))</f>
        <v/>
      </c>
      <c r="K86" s="212" t="str">
        <f>IF(K$3="","",IF(COUNTIFS(BD!$A$3:$A$5001,K$3,BD!$B$3:$B$5001,$A$72,BD!$W$3:$W$5001,"&lt;&gt;")=0,"",SUMIFS(BD!$W$3:$W$5001,BD!$A$3:$A$5001,K$3,BD!$B$3:$B$5001,$A$72)))</f>
        <v/>
      </c>
      <c r="L86" s="212" t="str">
        <f>IF(L$3="","",IF(COUNTIFS(BD!$A$3:$A$5001,L$3,BD!$B$3:$B$5001,$A$72,BD!$W$3:$W$5001,"&lt;&gt;")=0,"",SUMIFS(BD!$W$3:$W$5001,BD!$A$3:$A$5001,L$3,BD!$B$3:$B$5001,$A$72)))</f>
        <v/>
      </c>
      <c r="M86" s="212" t="str">
        <f>IF(M$3="","",IF(COUNTIFS(BD!$A$3:$A$5001,M$3,BD!$B$3:$B$5001,$A$72,BD!$W$3:$W$5001,"&lt;&gt;")=0,"",SUMIFS(BD!$W$3:$W$5001,BD!$A$3:$A$5001,M$3,BD!$B$3:$B$5001,$A$72)))</f>
        <v/>
      </c>
      <c r="N86" s="212" t="str">
        <f>IF(N$3="","",IF(COUNTIFS(BD!$A$3:$A$5001,N$3,BD!$B$3:$B$5001,$A$72,BD!$W$3:$W$5001,"&lt;&gt;")=0,"",SUMIFS(BD!$W$3:$W$5001,BD!$A$3:$A$5001,N$3,BD!$B$3:$B$5001,$A$72)))</f>
        <v/>
      </c>
      <c r="O86" s="212" t="str">
        <f>IF(O$3="","",IF(COUNTIFS(BD!$A$3:$A$5001,O$3,BD!$B$3:$B$5001,$A$72,BD!$W$3:$W$5001,"&lt;&gt;")=0,"",SUMIFS(BD!$W$3:$W$5001,BD!$A$3:$A$5001,O$3,BD!$B$3:$B$5001,$A$72)))</f>
        <v/>
      </c>
      <c r="P86" s="212" t="str">
        <f>IF(P$3="","",IF(COUNTIFS(BD!$A$3:$A$5001,P$3,BD!$B$3:$B$5001,$A$72,BD!$W$3:$W$5001,"&lt;&gt;")=0,"",SUMIFS(BD!$W$3:$W$5001,BD!$A$3:$A$5001,P$3,BD!$B$3:$B$5001,$A$72)))</f>
        <v/>
      </c>
      <c r="Q86" s="212" t="str">
        <f>IF(Q$3="","",IF(COUNTIFS(BD!$A$3:$A$5001,Q$3,BD!$B$3:$B$5001,$A$72,BD!$W$3:$W$5001,"&lt;&gt;")=0,"",SUMIFS(BD!$W$3:$W$5001,BD!$A$3:$A$5001,Q$3,BD!$B$3:$B$5001,$A$72)))</f>
        <v/>
      </c>
      <c r="R86" s="212" t="str">
        <f>IF(R$3="","",IF(COUNTIFS(BD!$A$3:$A$5001,R$3,BD!$B$3:$B$5001,$A$72,BD!$W$3:$W$5001,"&lt;&gt;")=0,"",SUMIFS(BD!$W$3:$W$5001,BD!$A$3:$A$5001,R$3,BD!$B$3:$B$5001,$A$72)))</f>
        <v/>
      </c>
      <c r="S86" s="212" t="str">
        <f>IF(S$3="","",IF(COUNTIFS(BD!$A$3:$A$5001,S$3,BD!$B$3:$B$5001,$A$72,BD!$W$3:$W$5001,"&lt;&gt;")=0,"",SUMIFS(BD!$W$3:$W$5001,BD!$A$3:$A$5001,S$3,BD!$B$3:$B$5001,$A$72)))</f>
        <v/>
      </c>
      <c r="T86" s="212" t="str">
        <f>IF(T$3="","",IF(COUNTIFS(BD!$A$3:$A$5001,T$3,BD!$B$3:$B$5001,$A$72,BD!$W$3:$W$5001,"&lt;&gt;")=0,"",SUMIFS(BD!$W$3:$W$5001,BD!$A$3:$A$5001,T$3,BD!$B$3:$B$5001,$A$72)))</f>
        <v/>
      </c>
      <c r="U86" s="212" t="str">
        <f>IF(U$3="","",IF(COUNTIFS(BD!$A$3:$A$5001,U$3,BD!$B$3:$B$5001,$A$72,BD!$W$3:$W$5001,"&lt;&gt;")=0,"",SUMIFS(BD!$W$3:$W$5001,BD!$A$3:$A$5001,U$3,BD!$B$3:$B$5001,$A$72)))</f>
        <v/>
      </c>
      <c r="V86" s="212" t="str">
        <f>IF(V$3="","",IF(COUNTIFS(BD!$A$3:$A$5001,V$3,BD!$B$3:$B$5001,$A$72,BD!$W$3:$W$5001,"&lt;&gt;")=0,"",SUMIFS(BD!$W$3:$W$5001,BD!$A$3:$A$5001,V$3,BD!$B$3:$B$5001,$A$72)))</f>
        <v/>
      </c>
      <c r="W86" s="212" t="str">
        <f>IF(W$3="","",IF(COUNTIFS(BD!$A$3:$A$5001,W$3,BD!$B$3:$B$5001,$A$72,BD!$W$3:$W$5001,"&lt;&gt;")=0,"",SUMIFS(BD!$W$3:$W$5001,BD!$A$3:$A$5001,W$3,BD!$B$3:$B$5001,$A$72)))</f>
        <v/>
      </c>
      <c r="X86" s="212" t="str">
        <f>IF(X$3="","",IF(COUNTIFS(BD!$A$3:$A$5001,X$3,BD!$B$3:$B$5001,$A$72,BD!$W$3:$W$5001,"&lt;&gt;")=0,"",SUMIFS(BD!$W$3:$W$5001,BD!$A$3:$A$5001,X$3,BD!$B$3:$B$5001,$A$72)))</f>
        <v/>
      </c>
      <c r="Y86" s="212" t="str">
        <f>IF(Y$3="","",IF(COUNTIFS(BD!$A$3:$A$5001,Y$3,BD!$B$3:$B$5001,$A$72,BD!$W$3:$W$5001,"&lt;&gt;")=0,"",SUMIFS(BD!$W$3:$W$5001,BD!$A$3:$A$5001,Y$3,BD!$B$3:$B$5001,$A$72)))</f>
        <v/>
      </c>
      <c r="Z86" s="212" t="str">
        <f>IF(Z$3="","",IF(COUNTIFS(BD!$A$3:$A$5001,Z$3,BD!$B$3:$B$5001,$A$72,BD!$W$3:$W$5001,"&lt;&gt;")=0,"",SUMIFS(BD!$W$3:$W$5001,BD!$A$3:$A$5001,Z$3,BD!$B$3:$B$5001,$A$72)))</f>
        <v/>
      </c>
      <c r="AA86" s="212" t="str">
        <f>IF(AA$3="","",IF(COUNTIFS(BD!$A$3:$A$5001,AA$3,BD!$B$3:$B$5001,$A$72,BD!$W$3:$W$5001,"&lt;&gt;")=0,"",SUMIFS(BD!$W$3:$W$5001,BD!$A$3:$A$5001,AA$3,BD!$B$3:$B$5001,$A$72)))</f>
        <v/>
      </c>
      <c r="AB86" s="212" t="str">
        <f>IF(AB$3="","",IF(COUNTIFS(BD!$A$3:$A$5001,AB$3,BD!$B$3:$B$5001,$A$72,BD!$W$3:$W$5001,"&lt;&gt;")=0,"",SUMIFS(BD!$W$3:$W$5001,BD!$A$3:$A$5001,AB$3,BD!$B$3:$B$5001,$A$72)))</f>
        <v/>
      </c>
      <c r="AC86" s="212" t="str">
        <f>IF(AC$3="","",IF(COUNTIFS(BD!$A$3:$A$5001,AC$3,BD!$B$3:$B$5001,$A$72,BD!$W$3:$W$5001,"&lt;&gt;")=0,"",SUMIFS(BD!$W$3:$W$5001,BD!$A$3:$A$5001,AC$3,BD!$B$3:$B$5001,$A$72)))</f>
        <v/>
      </c>
      <c r="AD86" s="212" t="str">
        <f>IF(AD$3="","",IF(COUNTIFS(BD!$A$3:$A$5001,AD$3,BD!$B$3:$B$5001,$A$72,BD!$W$3:$W$5001,"&lt;&gt;")=0,"",SUMIFS(BD!$W$3:$W$5001,BD!$A$3:$A$5001,AD$3,BD!$B$3:$B$5001,$A$72)))</f>
        <v/>
      </c>
      <c r="AE86" s="212" t="str">
        <f>IF(AE$3="","",IF(COUNTIFS(BD!$A$3:$A$5001,AE$3,BD!$B$3:$B$5001,$A$72,BD!$W$3:$W$5001,"&lt;&gt;")=0,"",SUMIFS(BD!$W$3:$W$5001,BD!$A$3:$A$5001,AE$3,BD!$B$3:$B$5001,$A$72)))</f>
        <v/>
      </c>
      <c r="AF86" s="212" t="str">
        <f>IF(AF$3="","",IF(COUNTIFS(BD!$A$3:$A$5001,AF$3,BD!$B$3:$B$5001,$A$72,BD!$W$3:$W$5001,"&lt;&gt;")=0,"",SUMIFS(BD!$W$3:$W$5001,BD!$A$3:$A$5001,AF$3,BD!$B$3:$B$5001,$A$72)))</f>
        <v/>
      </c>
      <c r="AG86" s="212" t="str">
        <f>IF(AG$3="","",IF(COUNTIFS(BD!$A$3:$A$5001,AG$3,BD!$B$3:$B$5001,$A$72,BD!$W$3:$W$5001,"&lt;&gt;")=0,"",SUMIFS(BD!$W$3:$W$5001,BD!$A$3:$A$5001,AG$3,BD!$B$3:$B$5001,$A$72)))</f>
        <v/>
      </c>
      <c r="AH86" s="212" t="str">
        <f>IF(AH$3="","",IF(COUNTIFS(BD!$A$3:$A$5001,AH$3,BD!$B$3:$B$5001,$A$72,BD!$W$3:$W$5001,"&lt;&gt;")=0,"",SUMIFS(BD!$W$3:$W$5001,BD!$A$3:$A$5001,AH$3,BD!$B$3:$B$5001,$A$72)))</f>
        <v/>
      </c>
      <c r="AI86" s="212" t="str">
        <f>IF(AI$3="","",IF(COUNTIFS(BD!$A$3:$A$5001,AI$3,BD!$B$3:$B$5001,$A$72,BD!$W$3:$W$5001,"&lt;&gt;")=0,"",SUMIFS(BD!$W$3:$W$5001,BD!$A$3:$A$5001,AI$3,BD!$B$3:$B$5001,$A$72)))</f>
        <v/>
      </c>
      <c r="AJ86" s="213" t="str">
        <f>IF(AJ$3="","",IF(COUNTIFS(BD!$A$3:$A$5001,AJ$3,BD!$B$3:$B$5001,$A$72,BD!$W$3:$W$5001,"&lt;&gt;")=0,"",SUMIFS(BD!$W$3:$W$5001,BD!$A$3:$A$5001,AJ$3,BD!$B$3:$B$5001,$A$72)))</f>
        <v/>
      </c>
      <c r="AK86" s="209" t="str">
        <f>IFERROR(LOOKUP(9.99E+307,F86:AJ86),"")</f>
        <v/>
      </c>
    </row>
    <row r="87" ht="15.75" customHeight="1">
      <c r="A87" s="261"/>
      <c r="B87" s="249" t="inlineStr">
        <is>
          <t xml:space="preserve">OCUPAÇÃO (P.P)</t>
        </is>
      </c>
      <c r="C87" s="168" t="inlineStr">
        <is>
          <t xml:space="preserve">Posições Disponíveis</t>
        </is>
      </c>
      <c r="D87" s="169" t="str">
        <f>IFERROR(1/(1/INDEX(BD!$AL$44:$BF$44,MATCH($A$72,BD!$AL$22:$BF$22,0))),"")</f>
        <v/>
      </c>
      <c r="E87" s="170"/>
      <c r="F87" s="171" t="str">
        <f>IF(F$3="","",IF(COUNTIFS(BD!$A$3:$A$5001,F$3,BD!$B$3:$B$5001,$A$72,BD!$X$3:$X$5001,"&lt;&gt;")=0,"",SUMIFS(BD!$X$3:$X$5001,BD!$A$3:$A$5001,F$3,BD!$B$3:$B$5001,$A$72)))</f>
        <v/>
      </c>
      <c r="G87" s="172" t="str">
        <f>IF(G$3="","",IF(COUNTIFS(BD!$A$3:$A$5001,G$3,BD!$B$3:$B$5001,$A$72,BD!$X$3:$X$5001,"&lt;&gt;")=0,"",SUMIFS(BD!$X$3:$X$5001,BD!$A$3:$A$5001,G$3,BD!$B$3:$B$5001,$A$72)))</f>
        <v/>
      </c>
      <c r="H87" s="172" t="str">
        <f>IF(H$3="","",IF(COUNTIFS(BD!$A$3:$A$5001,H$3,BD!$B$3:$B$5001,$A$72,BD!$X$3:$X$5001,"&lt;&gt;")=0,"",SUMIFS(BD!$X$3:$X$5001,BD!$A$3:$A$5001,H$3,BD!$B$3:$B$5001,$A$72)))</f>
        <v/>
      </c>
      <c r="I87" s="172" t="str">
        <f>IF(I$3="","",IF(COUNTIFS(BD!$A$3:$A$5001,I$3,BD!$B$3:$B$5001,$A$72,BD!$X$3:$X$5001,"&lt;&gt;")=0,"",SUMIFS(BD!$X$3:$X$5001,BD!$A$3:$A$5001,I$3,BD!$B$3:$B$5001,$A$72)))</f>
        <v/>
      </c>
      <c r="J87" s="172" t="str">
        <f>IF(J$3="","",IF(COUNTIFS(BD!$A$3:$A$5001,J$3,BD!$B$3:$B$5001,$A$72,BD!$X$3:$X$5001,"&lt;&gt;")=0,"",SUMIFS(BD!$X$3:$X$5001,BD!$A$3:$A$5001,J$3,BD!$B$3:$B$5001,$A$72)))</f>
        <v/>
      </c>
      <c r="K87" s="172" t="str">
        <f>IF(K$3="","",IF(COUNTIFS(BD!$A$3:$A$5001,K$3,BD!$B$3:$B$5001,$A$72,BD!$X$3:$X$5001,"&lt;&gt;")=0,"",SUMIFS(BD!$X$3:$X$5001,BD!$A$3:$A$5001,K$3,BD!$B$3:$B$5001,$A$72)))</f>
        <v/>
      </c>
      <c r="L87" s="172" t="str">
        <f>IF(L$3="","",IF(COUNTIFS(BD!$A$3:$A$5001,L$3,BD!$B$3:$B$5001,$A$72,BD!$X$3:$X$5001,"&lt;&gt;")=0,"",SUMIFS(BD!$X$3:$X$5001,BD!$A$3:$A$5001,L$3,BD!$B$3:$B$5001,$A$72)))</f>
        <v/>
      </c>
      <c r="M87" s="172" t="str">
        <f>IF(M$3="","",IF(COUNTIFS(BD!$A$3:$A$5001,M$3,BD!$B$3:$B$5001,$A$72,BD!$X$3:$X$5001,"&lt;&gt;")=0,"",SUMIFS(BD!$X$3:$X$5001,BD!$A$3:$A$5001,M$3,BD!$B$3:$B$5001,$A$72)))</f>
        <v/>
      </c>
      <c r="N87" s="172" t="str">
        <f>IF(N$3="","",IF(COUNTIFS(BD!$A$3:$A$5001,N$3,BD!$B$3:$B$5001,$A$72,BD!$X$3:$X$5001,"&lt;&gt;")=0,"",SUMIFS(BD!$X$3:$X$5001,BD!$A$3:$A$5001,N$3,BD!$B$3:$B$5001,$A$72)))</f>
        <v/>
      </c>
      <c r="O87" s="172" t="str">
        <f>IF(O$3="","",IF(COUNTIFS(BD!$A$3:$A$5001,O$3,BD!$B$3:$B$5001,$A$72,BD!$X$3:$X$5001,"&lt;&gt;")=0,"",SUMIFS(BD!$X$3:$X$5001,BD!$A$3:$A$5001,O$3,BD!$B$3:$B$5001,$A$72)))</f>
        <v/>
      </c>
      <c r="P87" s="172" t="str">
        <f>IF(P$3="","",IF(COUNTIFS(BD!$A$3:$A$5001,P$3,BD!$B$3:$B$5001,$A$72,BD!$X$3:$X$5001,"&lt;&gt;")=0,"",SUMIFS(BD!$X$3:$X$5001,BD!$A$3:$A$5001,P$3,BD!$B$3:$B$5001,$A$72)))</f>
        <v/>
      </c>
      <c r="Q87" s="172" t="str">
        <f>IF(Q$3="","",IF(COUNTIFS(BD!$A$3:$A$5001,Q$3,BD!$B$3:$B$5001,$A$72,BD!$X$3:$X$5001,"&lt;&gt;")=0,"",SUMIFS(BD!$X$3:$X$5001,BD!$A$3:$A$5001,Q$3,BD!$B$3:$B$5001,$A$72)))</f>
        <v/>
      </c>
      <c r="R87" s="172" t="str">
        <f>IF(R$3="","",IF(COUNTIFS(BD!$A$3:$A$5001,R$3,BD!$B$3:$B$5001,$A$72,BD!$X$3:$X$5001,"&lt;&gt;")=0,"",SUMIFS(BD!$X$3:$X$5001,BD!$A$3:$A$5001,R$3,BD!$B$3:$B$5001,$A$72)))</f>
        <v/>
      </c>
      <c r="S87" s="172" t="str">
        <f>IF(S$3="","",IF(COUNTIFS(BD!$A$3:$A$5001,S$3,BD!$B$3:$B$5001,$A$72,BD!$X$3:$X$5001,"&lt;&gt;")=0,"",SUMIFS(BD!$X$3:$X$5001,BD!$A$3:$A$5001,S$3,BD!$B$3:$B$5001,$A$72)))</f>
        <v/>
      </c>
      <c r="T87" s="172" t="str">
        <f>IF(T$3="","",IF(COUNTIFS(BD!$A$3:$A$5001,T$3,BD!$B$3:$B$5001,$A$72,BD!$X$3:$X$5001,"&lt;&gt;")=0,"",SUMIFS(BD!$X$3:$X$5001,BD!$A$3:$A$5001,T$3,BD!$B$3:$B$5001,$A$72)))</f>
        <v/>
      </c>
      <c r="U87" s="172" t="str">
        <f>IF(U$3="","",IF(COUNTIFS(BD!$A$3:$A$5001,U$3,BD!$B$3:$B$5001,$A$72,BD!$X$3:$X$5001,"&lt;&gt;")=0,"",SUMIFS(BD!$X$3:$X$5001,BD!$A$3:$A$5001,U$3,BD!$B$3:$B$5001,$A$72)))</f>
        <v/>
      </c>
      <c r="V87" s="172" t="str">
        <f>IF(V$3="","",IF(COUNTIFS(BD!$A$3:$A$5001,V$3,BD!$B$3:$B$5001,$A$72,BD!$X$3:$X$5001,"&lt;&gt;")=0,"",SUMIFS(BD!$X$3:$X$5001,BD!$A$3:$A$5001,V$3,BD!$B$3:$B$5001,$A$72)))</f>
        <v/>
      </c>
      <c r="W87" s="172" t="str">
        <f>IF(W$3="","",IF(COUNTIFS(BD!$A$3:$A$5001,W$3,BD!$B$3:$B$5001,$A$72,BD!$X$3:$X$5001,"&lt;&gt;")=0,"",SUMIFS(BD!$X$3:$X$5001,BD!$A$3:$A$5001,W$3,BD!$B$3:$B$5001,$A$72)))</f>
        <v/>
      </c>
      <c r="X87" s="172" t="str">
        <f>IF(X$3="","",IF(COUNTIFS(BD!$A$3:$A$5001,X$3,BD!$B$3:$B$5001,$A$72,BD!$X$3:$X$5001,"&lt;&gt;")=0,"",SUMIFS(BD!$X$3:$X$5001,BD!$A$3:$A$5001,X$3,BD!$B$3:$B$5001,$A$72)))</f>
        <v/>
      </c>
      <c r="Y87" s="172" t="str">
        <f>IF(Y$3="","",IF(COUNTIFS(BD!$A$3:$A$5001,Y$3,BD!$B$3:$B$5001,$A$72,BD!$X$3:$X$5001,"&lt;&gt;")=0,"",SUMIFS(BD!$X$3:$X$5001,BD!$A$3:$A$5001,Y$3,BD!$B$3:$B$5001,$A$72)))</f>
        <v/>
      </c>
      <c r="Z87" s="172" t="str">
        <f>IF(Z$3="","",IF(COUNTIFS(BD!$A$3:$A$5001,Z$3,BD!$B$3:$B$5001,$A$72,BD!$X$3:$X$5001,"&lt;&gt;")=0,"",SUMIFS(BD!$X$3:$X$5001,BD!$A$3:$A$5001,Z$3,BD!$B$3:$B$5001,$A$72)))</f>
        <v/>
      </c>
      <c r="AA87" s="172" t="str">
        <f>IF(AA$3="","",IF(COUNTIFS(BD!$A$3:$A$5001,AA$3,BD!$B$3:$B$5001,$A$72,BD!$X$3:$X$5001,"&lt;&gt;")=0,"",SUMIFS(BD!$X$3:$X$5001,BD!$A$3:$A$5001,AA$3,BD!$B$3:$B$5001,$A$72)))</f>
        <v/>
      </c>
      <c r="AB87" s="172" t="str">
        <f>IF(AB$3="","",IF(COUNTIFS(BD!$A$3:$A$5001,AB$3,BD!$B$3:$B$5001,$A$72,BD!$X$3:$X$5001,"&lt;&gt;")=0,"",SUMIFS(BD!$X$3:$X$5001,BD!$A$3:$A$5001,AB$3,BD!$B$3:$B$5001,$A$72)))</f>
        <v/>
      </c>
      <c r="AC87" s="172" t="str">
        <f>IF(AC$3="","",IF(COUNTIFS(BD!$A$3:$A$5001,AC$3,BD!$B$3:$B$5001,$A$72,BD!$X$3:$X$5001,"&lt;&gt;")=0,"",SUMIFS(BD!$X$3:$X$5001,BD!$A$3:$A$5001,AC$3,BD!$B$3:$B$5001,$A$72)))</f>
        <v/>
      </c>
      <c r="AD87" s="172" t="str">
        <f>IF(AD$3="","",IF(COUNTIFS(BD!$A$3:$A$5001,AD$3,BD!$B$3:$B$5001,$A$72,BD!$X$3:$X$5001,"&lt;&gt;")=0,"",SUMIFS(BD!$X$3:$X$5001,BD!$A$3:$A$5001,AD$3,BD!$B$3:$B$5001,$A$72)))</f>
        <v/>
      </c>
      <c r="AE87" s="172" t="str">
        <f>IF(AE$3="","",IF(COUNTIFS(BD!$A$3:$A$5001,AE$3,BD!$B$3:$B$5001,$A$72,BD!$X$3:$X$5001,"&lt;&gt;")=0,"",SUMIFS(BD!$X$3:$X$5001,BD!$A$3:$A$5001,AE$3,BD!$B$3:$B$5001,$A$72)))</f>
        <v/>
      </c>
      <c r="AF87" s="172" t="str">
        <f>IF(AF$3="","",IF(COUNTIFS(BD!$A$3:$A$5001,AF$3,BD!$B$3:$B$5001,$A$72,BD!$X$3:$X$5001,"&lt;&gt;")=0,"",SUMIFS(BD!$X$3:$X$5001,BD!$A$3:$A$5001,AF$3,BD!$B$3:$B$5001,$A$72)))</f>
        <v/>
      </c>
      <c r="AG87" s="172" t="str">
        <f>IF(AG$3="","",IF(COUNTIFS(BD!$A$3:$A$5001,AG$3,BD!$B$3:$B$5001,$A$72,BD!$X$3:$X$5001,"&lt;&gt;")=0,"",SUMIFS(BD!$X$3:$X$5001,BD!$A$3:$A$5001,AG$3,BD!$B$3:$B$5001,$A$72)))</f>
        <v/>
      </c>
      <c r="AH87" s="172" t="str">
        <f>IF(AH$3="","",IF(COUNTIFS(BD!$A$3:$A$5001,AH$3,BD!$B$3:$B$5001,$A$72,BD!$X$3:$X$5001,"&lt;&gt;")=0,"",SUMIFS(BD!$X$3:$X$5001,BD!$A$3:$A$5001,AH$3,BD!$B$3:$B$5001,$A$72)))</f>
        <v/>
      </c>
      <c r="AI87" s="172" t="str">
        <f>IF(AI$3="","",IF(COUNTIFS(BD!$A$3:$A$5001,AI$3,BD!$B$3:$B$5001,$A$72,BD!$X$3:$X$5001,"&lt;&gt;")=0,"",SUMIFS(BD!$X$3:$X$5001,BD!$A$3:$A$5001,AI$3,BD!$B$3:$B$5001,$A$72)))</f>
        <v/>
      </c>
      <c r="AJ87" s="173" t="str">
        <f>IF(AJ$3="","",IF(COUNTIFS(BD!$A$3:$A$5001,AJ$3,BD!$B$3:$B$5001,$A$72,BD!$X$3:$X$5001,"&lt;&gt;")=0,"",SUMIFS(BD!$X$3:$X$5001,BD!$A$3:$A$5001,AJ$3,BD!$B$3:$B$5001,$A$72)))</f>
        <v/>
      </c>
      <c r="AK87" s="174" t="str">
        <f>IF(COUNT(F87:AJ87)&gt;0,LOOKUP(9.99E+307,F87:AJ87),IFERROR(IF(INDEX(BD!$AI$3:$AI$5001,MATCH($A$72,BD!$B$3:$B$5001,0))&amp;""="Contrato","",INDEX(BD!$AI$3:$AI$5001,MATCH($A$72,BD!$B$3:$B$5001,0))&amp;""),""))</f>
        <v/>
      </c>
    </row>
    <row r="88" ht="15.75" customHeight="1">
      <c r="A88" s="261"/>
      <c r="B88" s="256"/>
      <c r="C88" s="214" t="inlineStr">
        <is>
          <t xml:space="preserve">Posições Ocupadas</t>
        </is>
      </c>
      <c r="D88" s="215" t="str">
        <f>IFERROR(1/(1/INDEX(BD!$AL$45:$BF$45,MATCH($A$72,BD!$AL$22:$BF$22,0))),"")</f>
        <v/>
      </c>
      <c r="E88" s="216"/>
      <c r="F88" s="217" t="str">
        <f>IF(F$3="","",IF(COUNTIFS(BD!$A$3:$A$5001,F$3,BD!$B$3:$B$5001,$A$72,BD!$Y$3:$Y$5001,"&lt;&gt;")=0,"",SUMIFS(BD!$Y$3:$Y$5001,BD!$A$3:$A$5001,F$3,BD!$B$3:$B$5001,$A$72)))</f>
        <v/>
      </c>
      <c r="G88" s="218" t="str">
        <f>IF(G$3="","",IF(COUNTIFS(BD!$A$3:$A$5001,G$3,BD!$B$3:$B$5001,$A$72,BD!$Y$3:$Y$5001,"&lt;&gt;")=0,"",SUMIFS(BD!$Y$3:$Y$5001,BD!$A$3:$A$5001,G$3,BD!$B$3:$B$5001,$A$72)))</f>
        <v/>
      </c>
      <c r="H88" s="218" t="str">
        <f>IF(H$3="","",IF(COUNTIFS(BD!$A$3:$A$5001,H$3,BD!$B$3:$B$5001,$A$72,BD!$Y$3:$Y$5001,"&lt;&gt;")=0,"",SUMIFS(BD!$Y$3:$Y$5001,BD!$A$3:$A$5001,H$3,BD!$B$3:$B$5001,$A$72)))</f>
        <v/>
      </c>
      <c r="I88" s="218" t="str">
        <f>IF(I$3="","",IF(COUNTIFS(BD!$A$3:$A$5001,I$3,BD!$B$3:$B$5001,$A$72,BD!$Y$3:$Y$5001,"&lt;&gt;")=0,"",SUMIFS(BD!$Y$3:$Y$5001,BD!$A$3:$A$5001,I$3,BD!$B$3:$B$5001,$A$72)))</f>
        <v/>
      </c>
      <c r="J88" s="218" t="str">
        <f>IF(J$3="","",IF(COUNTIFS(BD!$A$3:$A$5001,J$3,BD!$B$3:$B$5001,$A$72,BD!$Y$3:$Y$5001,"&lt;&gt;")=0,"",SUMIFS(BD!$Y$3:$Y$5001,BD!$A$3:$A$5001,J$3,BD!$B$3:$B$5001,$A$72)))</f>
        <v/>
      </c>
      <c r="K88" s="218" t="str">
        <f>IF(K$3="","",IF(COUNTIFS(BD!$A$3:$A$5001,K$3,BD!$B$3:$B$5001,$A$72,BD!$Y$3:$Y$5001,"&lt;&gt;")=0,"",SUMIFS(BD!$Y$3:$Y$5001,BD!$A$3:$A$5001,K$3,BD!$B$3:$B$5001,$A$72)))</f>
        <v/>
      </c>
      <c r="L88" s="218" t="str">
        <f>IF(L$3="","",IF(COUNTIFS(BD!$A$3:$A$5001,L$3,BD!$B$3:$B$5001,$A$72,BD!$Y$3:$Y$5001,"&lt;&gt;")=0,"",SUMIFS(BD!$Y$3:$Y$5001,BD!$A$3:$A$5001,L$3,BD!$B$3:$B$5001,$A$72)))</f>
        <v/>
      </c>
      <c r="M88" s="218" t="str">
        <f>IF(M$3="","",IF(COUNTIFS(BD!$A$3:$A$5001,M$3,BD!$B$3:$B$5001,$A$72,BD!$Y$3:$Y$5001,"&lt;&gt;")=0,"",SUMIFS(BD!$Y$3:$Y$5001,BD!$A$3:$A$5001,M$3,BD!$B$3:$B$5001,$A$72)))</f>
        <v/>
      </c>
      <c r="N88" s="218" t="str">
        <f>IF(N$3="","",IF(COUNTIFS(BD!$A$3:$A$5001,N$3,BD!$B$3:$B$5001,$A$72,BD!$Y$3:$Y$5001,"&lt;&gt;")=0,"",SUMIFS(BD!$Y$3:$Y$5001,BD!$A$3:$A$5001,N$3,BD!$B$3:$B$5001,$A$72)))</f>
        <v/>
      </c>
      <c r="O88" s="218" t="str">
        <f>IF(O$3="","",IF(COUNTIFS(BD!$A$3:$A$5001,O$3,BD!$B$3:$B$5001,$A$72,BD!$Y$3:$Y$5001,"&lt;&gt;")=0,"",SUMIFS(BD!$Y$3:$Y$5001,BD!$A$3:$A$5001,O$3,BD!$B$3:$B$5001,$A$72)))</f>
        <v/>
      </c>
      <c r="P88" s="218" t="str">
        <f>IF(P$3="","",IF(COUNTIFS(BD!$A$3:$A$5001,P$3,BD!$B$3:$B$5001,$A$72,BD!$Y$3:$Y$5001,"&lt;&gt;")=0,"",SUMIFS(BD!$Y$3:$Y$5001,BD!$A$3:$A$5001,P$3,BD!$B$3:$B$5001,$A$72)))</f>
        <v/>
      </c>
      <c r="Q88" s="218" t="str">
        <f>IF(Q$3="","",IF(COUNTIFS(BD!$A$3:$A$5001,Q$3,BD!$B$3:$B$5001,$A$72,BD!$Y$3:$Y$5001,"&lt;&gt;")=0,"",SUMIFS(BD!$Y$3:$Y$5001,BD!$A$3:$A$5001,Q$3,BD!$B$3:$B$5001,$A$72)))</f>
        <v/>
      </c>
      <c r="R88" s="218" t="str">
        <f>IF(R$3="","",IF(COUNTIFS(BD!$A$3:$A$5001,R$3,BD!$B$3:$B$5001,$A$72,BD!$Y$3:$Y$5001,"&lt;&gt;")=0,"",SUMIFS(BD!$Y$3:$Y$5001,BD!$A$3:$A$5001,R$3,BD!$B$3:$B$5001,$A$72)))</f>
        <v/>
      </c>
      <c r="S88" s="218" t="str">
        <f>IF(S$3="","",IF(COUNTIFS(BD!$A$3:$A$5001,S$3,BD!$B$3:$B$5001,$A$72,BD!$Y$3:$Y$5001,"&lt;&gt;")=0,"",SUMIFS(BD!$Y$3:$Y$5001,BD!$A$3:$A$5001,S$3,BD!$B$3:$B$5001,$A$72)))</f>
        <v/>
      </c>
      <c r="T88" s="218" t="str">
        <f>IF(T$3="","",IF(COUNTIFS(BD!$A$3:$A$5001,T$3,BD!$B$3:$B$5001,$A$72,BD!$Y$3:$Y$5001,"&lt;&gt;")=0,"",SUMIFS(BD!$Y$3:$Y$5001,BD!$A$3:$A$5001,T$3,BD!$B$3:$B$5001,$A$72)))</f>
        <v/>
      </c>
      <c r="U88" s="218" t="str">
        <f>IF(U$3="","",IF(COUNTIFS(BD!$A$3:$A$5001,U$3,BD!$B$3:$B$5001,$A$72,BD!$Y$3:$Y$5001,"&lt;&gt;")=0,"",SUMIFS(BD!$Y$3:$Y$5001,BD!$A$3:$A$5001,U$3,BD!$B$3:$B$5001,$A$72)))</f>
        <v/>
      </c>
      <c r="V88" s="218" t="str">
        <f>IF(V$3="","",IF(COUNTIFS(BD!$A$3:$A$5001,V$3,BD!$B$3:$B$5001,$A$72,BD!$Y$3:$Y$5001,"&lt;&gt;")=0,"",SUMIFS(BD!$Y$3:$Y$5001,BD!$A$3:$A$5001,V$3,BD!$B$3:$B$5001,$A$72)))</f>
        <v/>
      </c>
      <c r="W88" s="218" t="str">
        <f>IF(W$3="","",IF(COUNTIFS(BD!$A$3:$A$5001,W$3,BD!$B$3:$B$5001,$A$72,BD!$Y$3:$Y$5001,"&lt;&gt;")=0,"",SUMIFS(BD!$Y$3:$Y$5001,BD!$A$3:$A$5001,W$3,BD!$B$3:$B$5001,$A$72)))</f>
        <v/>
      </c>
      <c r="X88" s="218" t="str">
        <f>IF(X$3="","",IF(COUNTIFS(BD!$A$3:$A$5001,X$3,BD!$B$3:$B$5001,$A$72,BD!$Y$3:$Y$5001,"&lt;&gt;")=0,"",SUMIFS(BD!$Y$3:$Y$5001,BD!$A$3:$A$5001,X$3,BD!$B$3:$B$5001,$A$72)))</f>
        <v/>
      </c>
      <c r="Y88" s="218" t="str">
        <f>IF(Y$3="","",IF(COUNTIFS(BD!$A$3:$A$5001,Y$3,BD!$B$3:$B$5001,$A$72,BD!$Y$3:$Y$5001,"&lt;&gt;")=0,"",SUMIFS(BD!$Y$3:$Y$5001,BD!$A$3:$A$5001,Y$3,BD!$B$3:$B$5001,$A$72)))</f>
        <v/>
      </c>
      <c r="Z88" s="218" t="str">
        <f>IF(Z$3="","",IF(COUNTIFS(BD!$A$3:$A$5001,Z$3,BD!$B$3:$B$5001,$A$72,BD!$Y$3:$Y$5001,"&lt;&gt;")=0,"",SUMIFS(BD!$Y$3:$Y$5001,BD!$A$3:$A$5001,Z$3,BD!$B$3:$B$5001,$A$72)))</f>
        <v/>
      </c>
      <c r="AA88" s="218" t="str">
        <f>IF(AA$3="","",IF(COUNTIFS(BD!$A$3:$A$5001,AA$3,BD!$B$3:$B$5001,$A$72,BD!$Y$3:$Y$5001,"&lt;&gt;")=0,"",SUMIFS(BD!$Y$3:$Y$5001,BD!$A$3:$A$5001,AA$3,BD!$B$3:$B$5001,$A$72)))</f>
        <v/>
      </c>
      <c r="AB88" s="218" t="str">
        <f>IF(AB$3="","",IF(COUNTIFS(BD!$A$3:$A$5001,AB$3,BD!$B$3:$B$5001,$A$72,BD!$Y$3:$Y$5001,"&lt;&gt;")=0,"",SUMIFS(BD!$Y$3:$Y$5001,BD!$A$3:$A$5001,AB$3,BD!$B$3:$B$5001,$A$72)))</f>
        <v/>
      </c>
      <c r="AC88" s="218" t="str">
        <f>IF(AC$3="","",IF(COUNTIFS(BD!$A$3:$A$5001,AC$3,BD!$B$3:$B$5001,$A$72,BD!$Y$3:$Y$5001,"&lt;&gt;")=0,"",SUMIFS(BD!$Y$3:$Y$5001,BD!$A$3:$A$5001,AC$3,BD!$B$3:$B$5001,$A$72)))</f>
        <v/>
      </c>
      <c r="AD88" s="218" t="str">
        <f>IF(AD$3="","",IF(COUNTIFS(BD!$A$3:$A$5001,AD$3,BD!$B$3:$B$5001,$A$72,BD!$Y$3:$Y$5001,"&lt;&gt;")=0,"",SUMIFS(BD!$Y$3:$Y$5001,BD!$A$3:$A$5001,AD$3,BD!$B$3:$B$5001,$A$72)))</f>
        <v/>
      </c>
      <c r="AE88" s="218" t="str">
        <f>IF(AE$3="","",IF(COUNTIFS(BD!$A$3:$A$5001,AE$3,BD!$B$3:$B$5001,$A$72,BD!$Y$3:$Y$5001,"&lt;&gt;")=0,"",SUMIFS(BD!$Y$3:$Y$5001,BD!$A$3:$A$5001,AE$3,BD!$B$3:$B$5001,$A$72)))</f>
        <v/>
      </c>
      <c r="AF88" s="218" t="str">
        <f>IF(AF$3="","",IF(COUNTIFS(BD!$A$3:$A$5001,AF$3,BD!$B$3:$B$5001,$A$72,BD!$Y$3:$Y$5001,"&lt;&gt;")=0,"",SUMIFS(BD!$Y$3:$Y$5001,BD!$A$3:$A$5001,AF$3,BD!$B$3:$B$5001,$A$72)))</f>
        <v/>
      </c>
      <c r="AG88" s="218" t="str">
        <f>IF(AG$3="","",IF(COUNTIFS(BD!$A$3:$A$5001,AG$3,BD!$B$3:$B$5001,$A$72,BD!$Y$3:$Y$5001,"&lt;&gt;")=0,"",SUMIFS(BD!$Y$3:$Y$5001,BD!$A$3:$A$5001,AG$3,BD!$B$3:$B$5001,$A$72)))</f>
        <v/>
      </c>
      <c r="AH88" s="218" t="str">
        <f>IF(AH$3="","",IF(COUNTIFS(BD!$A$3:$A$5001,AH$3,BD!$B$3:$B$5001,$A$72,BD!$Y$3:$Y$5001,"&lt;&gt;")=0,"",SUMIFS(BD!$Y$3:$Y$5001,BD!$A$3:$A$5001,AH$3,BD!$B$3:$B$5001,$A$72)))</f>
        <v/>
      </c>
      <c r="AI88" s="218" t="str">
        <f>IF(AI$3="","",IF(COUNTIFS(BD!$A$3:$A$5001,AI$3,BD!$B$3:$B$5001,$A$72,BD!$Y$3:$Y$5001,"&lt;&gt;")=0,"",SUMIFS(BD!$Y$3:$Y$5001,BD!$A$3:$A$5001,AI$3,BD!$B$3:$B$5001,$A$72)))</f>
        <v/>
      </c>
      <c r="AJ88" s="219" t="str">
        <f>IF(AJ$3="","",IF(COUNTIFS(BD!$A$3:$A$5001,AJ$3,BD!$B$3:$B$5001,$A$72,BD!$Y$3:$Y$5001,"&lt;&gt;")=0,"",SUMIFS(BD!$Y$3:$Y$5001,BD!$A$3:$A$5001,AJ$3,BD!$B$3:$B$5001,$A$72)))</f>
        <v/>
      </c>
      <c r="AK88" s="220" t="str">
        <f>IFERROR(LOOKUP(9.99E+307,F88:AJ88),"")</f>
        <v/>
      </c>
    </row>
    <row r="89" ht="15.75" customHeight="1">
      <c r="A89" s="261"/>
      <c r="B89" s="250"/>
      <c r="C89" s="175" t="inlineStr">
        <is>
          <t xml:space="preserve">Taxa de Ocupação</t>
        </is>
      </c>
      <c r="D89" s="221" t="str">
        <f>IFERROR(1/(1/INDEX(BD!$AL$46:$BF$46,MATCH($A$72,BD!$AL$22:$BF$22,0))),"")</f>
        <v/>
      </c>
      <c r="E89" s="177"/>
      <c r="F89" s="222" t="str">
        <f>IF(AND(ISNUMBER(F87),ISNUMBER(F88)),IF(F87&gt;0,F88/F87,""),"")</f>
        <v/>
      </c>
      <c r="G89" s="223" t="str">
        <f>IF(AND(ISNUMBER(G87),ISNUMBER(G88)),IF(G87&gt;0,G88/G87,""),"")</f>
        <v/>
      </c>
      <c r="H89" s="223" t="str">
        <f>IF(AND(ISNUMBER(H87),ISNUMBER(H88)),IF(H87&gt;0,H88/H87,""),"")</f>
        <v/>
      </c>
      <c r="I89" s="223" t="str">
        <f>IF(AND(ISNUMBER(I87),ISNUMBER(I88)),IF(I87&gt;0,I88/I87,""),"")</f>
        <v/>
      </c>
      <c r="J89" s="223" t="str">
        <f>IF(AND(ISNUMBER(J87),ISNUMBER(J88)),IF(J87&gt;0,J88/J87,""),"")</f>
        <v/>
      </c>
      <c r="K89" s="223" t="str">
        <f>IF(AND(ISNUMBER(K87),ISNUMBER(K88)),IF(K87&gt;0,K88/K87,""),"")</f>
        <v/>
      </c>
      <c r="L89" s="223" t="str">
        <f>IF(AND(ISNUMBER(L87),ISNUMBER(L88)),IF(L87&gt;0,L88/L87,""),"")</f>
        <v/>
      </c>
      <c r="M89" s="223" t="str">
        <f>IF(AND(ISNUMBER(M87),ISNUMBER(M88)),IF(M87&gt;0,M88/M87,""),"")</f>
        <v/>
      </c>
      <c r="N89" s="223" t="str">
        <f>IF(AND(ISNUMBER(N87),ISNUMBER(N88)),IF(N87&gt;0,N88/N87,""),"")</f>
        <v/>
      </c>
      <c r="O89" s="223" t="str">
        <f>IF(AND(ISNUMBER(O87),ISNUMBER(O88)),IF(O87&gt;0,O88/O87,""),"")</f>
        <v/>
      </c>
      <c r="P89" s="223" t="str">
        <f>IF(AND(ISNUMBER(P87),ISNUMBER(P88)),IF(P87&gt;0,P88/P87,""),"")</f>
        <v/>
      </c>
      <c r="Q89" s="223" t="str">
        <f>IF(AND(ISNUMBER(Q87),ISNUMBER(Q88)),IF(Q87&gt;0,Q88/Q87,""),"")</f>
        <v/>
      </c>
      <c r="R89" s="223" t="str">
        <f>IF(AND(ISNUMBER(R87),ISNUMBER(R88)),IF(R87&gt;0,R88/R87,""),"")</f>
        <v/>
      </c>
      <c r="S89" s="223" t="str">
        <f>IF(AND(ISNUMBER(S87),ISNUMBER(S88)),IF(S87&gt;0,S88/S87,""),"")</f>
        <v/>
      </c>
      <c r="T89" s="223" t="str">
        <f>IF(AND(ISNUMBER(T87),ISNUMBER(T88)),IF(T87&gt;0,T88/T87,""),"")</f>
        <v/>
      </c>
      <c r="U89" s="223" t="str">
        <f>IF(AND(ISNUMBER(U87),ISNUMBER(U88)),IF(U87&gt;0,U88/U87,""),"")</f>
        <v/>
      </c>
      <c r="V89" s="223" t="str">
        <f>IF(AND(ISNUMBER(V87),ISNUMBER(V88)),IF(V87&gt;0,V88/V87,""),"")</f>
        <v/>
      </c>
      <c r="W89" s="223" t="str">
        <f>IF(AND(ISNUMBER(W87),ISNUMBER(W88)),IF(W87&gt;0,W88/W87,""),"")</f>
        <v/>
      </c>
      <c r="X89" s="223" t="str">
        <f>IF(AND(ISNUMBER(X87),ISNUMBER(X88)),IF(X87&gt;0,X88/X87,""),"")</f>
        <v/>
      </c>
      <c r="Y89" s="223" t="str">
        <f>IF(AND(ISNUMBER(Y87),ISNUMBER(Y88)),IF(Y87&gt;0,Y88/Y87,""),"")</f>
        <v/>
      </c>
      <c r="Z89" s="223" t="str">
        <f>IF(AND(ISNUMBER(Z87),ISNUMBER(Z88)),IF(Z87&gt;0,Z88/Z87,""),"")</f>
        <v/>
      </c>
      <c r="AA89" s="223" t="str">
        <f>IF(AND(ISNUMBER(AA87),ISNUMBER(AA88)),IF(AA87&gt;0,AA88/AA87,""),"")</f>
        <v/>
      </c>
      <c r="AB89" s="223" t="str">
        <f>IF(AND(ISNUMBER(AB87),ISNUMBER(AB88)),IF(AB87&gt;0,AB88/AB87,""),"")</f>
        <v/>
      </c>
      <c r="AC89" s="223" t="str">
        <f>IF(AND(ISNUMBER(AC87),ISNUMBER(AC88)),IF(AC87&gt;0,AC88/AC87,""),"")</f>
        <v/>
      </c>
      <c r="AD89" s="223" t="str">
        <f>IF(AND(ISNUMBER(AD87),ISNUMBER(AD88)),IF(AD87&gt;0,AD88/AD87,""),"")</f>
        <v/>
      </c>
      <c r="AE89" s="223" t="str">
        <f>IF(AND(ISNUMBER(AE87),ISNUMBER(AE88)),IF(AE87&gt;0,AE88/AE87,""),"")</f>
        <v/>
      </c>
      <c r="AF89" s="223" t="str">
        <f>IF(AND(ISNUMBER(AF87),ISNUMBER(AF88)),IF(AF87&gt;0,AF88/AF87,""),"")</f>
        <v/>
      </c>
      <c r="AG89" s="223" t="str">
        <f>IF(AND(ISNUMBER(AG87),ISNUMBER(AG88)),IF(AG87&gt;0,AG88/AG87,""),"")</f>
        <v/>
      </c>
      <c r="AH89" s="223" t="str">
        <f>IF(AND(ISNUMBER(AH87),ISNUMBER(AH88)),IF(AH87&gt;0,AH88/AH87,""),"")</f>
        <v/>
      </c>
      <c r="AI89" s="223" t="str">
        <f>IF(AND(ISNUMBER(AI87),ISNUMBER(AI88)),IF(AI87&gt;0,AI88/AI87,""),"")</f>
        <v/>
      </c>
      <c r="AJ89" s="224" t="str">
        <f>IF(AND(ISNUMBER(AJ87),ISNUMBER(AJ88)),IF(AJ87&gt;0,AJ88/AJ87,""),"")</f>
        <v/>
      </c>
      <c r="AK89" s="221" t="str">
        <f>IF(AND(ISNUMBER(AK87),ISNUMBER(AK88)),IF(AK87&gt;0,AK88/AK87,""),"")</f>
        <v/>
      </c>
    </row>
    <row r="90" ht="15.75" customHeight="1">
      <c r="A90" s="261"/>
      <c r="B90" s="257" t="inlineStr">
        <is>
          <t xml:space="preserve">GENTE</t>
        </is>
      </c>
      <c r="C90" s="225" t="inlineStr">
        <is>
          <t xml:space="preserve">Efetivo Op.</t>
        </is>
      </c>
      <c r="D90" s="226" t="str">
        <f>IFERROR(1/(1/INDEX(BD!$AL$47:$BF$47,MATCH($A$72,BD!$AL$22:$BF$22,0))),"")</f>
        <v/>
      </c>
      <c r="E90" s="227"/>
      <c r="F90" s="228" t="str">
        <f>IF(F$3="","",IF(COUNTIFS(BD!$A$3:$A$5001,F$3,BD!$B$3:$B$5001,$A$72,BD!$Z$3:$Z$5001,"&lt;&gt;")=0,"",SUMIFS(BD!$Z$3:$Z$5001,BD!$A$3:$A$5001,F$3,BD!$B$3:$B$5001,$A$72)))</f>
        <v/>
      </c>
      <c r="G90" s="229" t="str">
        <f>IF(G$3="","",IF(COUNTIFS(BD!$A$3:$A$5001,G$3,BD!$B$3:$B$5001,$A$72,BD!$Z$3:$Z$5001,"&lt;&gt;")=0,"",SUMIFS(BD!$Z$3:$Z$5001,BD!$A$3:$A$5001,G$3,BD!$B$3:$B$5001,$A$72)))</f>
        <v/>
      </c>
      <c r="H90" s="229" t="str">
        <f>IF(H$3="","",IF(COUNTIFS(BD!$A$3:$A$5001,H$3,BD!$B$3:$B$5001,$A$72,BD!$Z$3:$Z$5001,"&lt;&gt;")=0,"",SUMIFS(BD!$Z$3:$Z$5001,BD!$A$3:$A$5001,H$3,BD!$B$3:$B$5001,$A$72)))</f>
        <v/>
      </c>
      <c r="I90" s="229" t="str">
        <f>IF(I$3="","",IF(COUNTIFS(BD!$A$3:$A$5001,I$3,BD!$B$3:$B$5001,$A$72,BD!$Z$3:$Z$5001,"&lt;&gt;")=0,"",SUMIFS(BD!$Z$3:$Z$5001,BD!$A$3:$A$5001,I$3,BD!$B$3:$B$5001,$A$72)))</f>
        <v/>
      </c>
      <c r="J90" s="229" t="str">
        <f>IF(J$3="","",IF(COUNTIFS(BD!$A$3:$A$5001,J$3,BD!$B$3:$B$5001,$A$72,BD!$Z$3:$Z$5001,"&lt;&gt;")=0,"",SUMIFS(BD!$Z$3:$Z$5001,BD!$A$3:$A$5001,J$3,BD!$B$3:$B$5001,$A$72)))</f>
        <v/>
      </c>
      <c r="K90" s="229" t="str">
        <f>IF(K$3="","",IF(COUNTIFS(BD!$A$3:$A$5001,K$3,BD!$B$3:$B$5001,$A$72,BD!$Z$3:$Z$5001,"&lt;&gt;")=0,"",SUMIFS(BD!$Z$3:$Z$5001,BD!$A$3:$A$5001,K$3,BD!$B$3:$B$5001,$A$72)))</f>
        <v/>
      </c>
      <c r="L90" s="229" t="str">
        <f>IF(L$3="","",IF(COUNTIFS(BD!$A$3:$A$5001,L$3,BD!$B$3:$B$5001,$A$72,BD!$Z$3:$Z$5001,"&lt;&gt;")=0,"",SUMIFS(BD!$Z$3:$Z$5001,BD!$A$3:$A$5001,L$3,BD!$B$3:$B$5001,$A$72)))</f>
        <v/>
      </c>
      <c r="M90" s="229" t="str">
        <f>IF(M$3="","",IF(COUNTIFS(BD!$A$3:$A$5001,M$3,BD!$B$3:$B$5001,$A$72,BD!$Z$3:$Z$5001,"&lt;&gt;")=0,"",SUMIFS(BD!$Z$3:$Z$5001,BD!$A$3:$A$5001,M$3,BD!$B$3:$B$5001,$A$72)))</f>
        <v/>
      </c>
      <c r="N90" s="229" t="str">
        <f>IF(N$3="","",IF(COUNTIFS(BD!$A$3:$A$5001,N$3,BD!$B$3:$B$5001,$A$72,BD!$Z$3:$Z$5001,"&lt;&gt;")=0,"",SUMIFS(BD!$Z$3:$Z$5001,BD!$A$3:$A$5001,N$3,BD!$B$3:$B$5001,$A$72)))</f>
        <v/>
      </c>
      <c r="O90" s="229" t="str">
        <f>IF(O$3="","",IF(COUNTIFS(BD!$A$3:$A$5001,O$3,BD!$B$3:$B$5001,$A$72,BD!$Z$3:$Z$5001,"&lt;&gt;")=0,"",SUMIFS(BD!$Z$3:$Z$5001,BD!$A$3:$A$5001,O$3,BD!$B$3:$B$5001,$A$72)))</f>
        <v/>
      </c>
      <c r="P90" s="229" t="str">
        <f>IF(P$3="","",IF(COUNTIFS(BD!$A$3:$A$5001,P$3,BD!$B$3:$B$5001,$A$72,BD!$Z$3:$Z$5001,"&lt;&gt;")=0,"",SUMIFS(BD!$Z$3:$Z$5001,BD!$A$3:$A$5001,P$3,BD!$B$3:$B$5001,$A$72)))</f>
        <v/>
      </c>
      <c r="Q90" s="229" t="str">
        <f>IF(Q$3="","",IF(COUNTIFS(BD!$A$3:$A$5001,Q$3,BD!$B$3:$B$5001,$A$72,BD!$Z$3:$Z$5001,"&lt;&gt;")=0,"",SUMIFS(BD!$Z$3:$Z$5001,BD!$A$3:$A$5001,Q$3,BD!$B$3:$B$5001,$A$72)))</f>
        <v/>
      </c>
      <c r="R90" s="229" t="str">
        <f>IF(R$3="","",IF(COUNTIFS(BD!$A$3:$A$5001,R$3,BD!$B$3:$B$5001,$A$72,BD!$Z$3:$Z$5001,"&lt;&gt;")=0,"",SUMIFS(BD!$Z$3:$Z$5001,BD!$A$3:$A$5001,R$3,BD!$B$3:$B$5001,$A$72)))</f>
        <v/>
      </c>
      <c r="S90" s="229" t="str">
        <f>IF(S$3="","",IF(COUNTIFS(BD!$A$3:$A$5001,S$3,BD!$B$3:$B$5001,$A$72,BD!$Z$3:$Z$5001,"&lt;&gt;")=0,"",SUMIFS(BD!$Z$3:$Z$5001,BD!$A$3:$A$5001,S$3,BD!$B$3:$B$5001,$A$72)))</f>
        <v/>
      </c>
      <c r="T90" s="229" t="str">
        <f>IF(T$3="","",IF(COUNTIFS(BD!$A$3:$A$5001,T$3,BD!$B$3:$B$5001,$A$72,BD!$Z$3:$Z$5001,"&lt;&gt;")=0,"",SUMIFS(BD!$Z$3:$Z$5001,BD!$A$3:$A$5001,T$3,BD!$B$3:$B$5001,$A$72)))</f>
        <v/>
      </c>
      <c r="U90" s="229" t="str">
        <f>IF(U$3="","",IF(COUNTIFS(BD!$A$3:$A$5001,U$3,BD!$B$3:$B$5001,$A$72,BD!$Z$3:$Z$5001,"&lt;&gt;")=0,"",SUMIFS(BD!$Z$3:$Z$5001,BD!$A$3:$A$5001,U$3,BD!$B$3:$B$5001,$A$72)))</f>
        <v/>
      </c>
      <c r="V90" s="229" t="str">
        <f>IF(V$3="","",IF(COUNTIFS(BD!$A$3:$A$5001,V$3,BD!$B$3:$B$5001,$A$72,BD!$Z$3:$Z$5001,"&lt;&gt;")=0,"",SUMIFS(BD!$Z$3:$Z$5001,BD!$A$3:$A$5001,V$3,BD!$B$3:$B$5001,$A$72)))</f>
        <v/>
      </c>
      <c r="W90" s="229" t="str">
        <f>IF(W$3="","",IF(COUNTIFS(BD!$A$3:$A$5001,W$3,BD!$B$3:$B$5001,$A$72,BD!$Z$3:$Z$5001,"&lt;&gt;")=0,"",SUMIFS(BD!$Z$3:$Z$5001,BD!$A$3:$A$5001,W$3,BD!$B$3:$B$5001,$A$72)))</f>
        <v/>
      </c>
      <c r="X90" s="229" t="str">
        <f>IF(X$3="","",IF(COUNTIFS(BD!$A$3:$A$5001,X$3,BD!$B$3:$B$5001,$A$72,BD!$Z$3:$Z$5001,"&lt;&gt;")=0,"",SUMIFS(BD!$Z$3:$Z$5001,BD!$A$3:$A$5001,X$3,BD!$B$3:$B$5001,$A$72)))</f>
        <v/>
      </c>
      <c r="Y90" s="229" t="str">
        <f>IF(Y$3="","",IF(COUNTIFS(BD!$A$3:$A$5001,Y$3,BD!$B$3:$B$5001,$A$72,BD!$Z$3:$Z$5001,"&lt;&gt;")=0,"",SUMIFS(BD!$Z$3:$Z$5001,BD!$A$3:$A$5001,Y$3,BD!$B$3:$B$5001,$A$72)))</f>
        <v/>
      </c>
      <c r="Z90" s="229" t="str">
        <f>IF(Z$3="","",IF(COUNTIFS(BD!$A$3:$A$5001,Z$3,BD!$B$3:$B$5001,$A$72,BD!$Z$3:$Z$5001,"&lt;&gt;")=0,"",SUMIFS(BD!$Z$3:$Z$5001,BD!$A$3:$A$5001,Z$3,BD!$B$3:$B$5001,$A$72)))</f>
        <v/>
      </c>
      <c r="AA90" s="229" t="str">
        <f>IF(AA$3="","",IF(COUNTIFS(BD!$A$3:$A$5001,AA$3,BD!$B$3:$B$5001,$A$72,BD!$Z$3:$Z$5001,"&lt;&gt;")=0,"",SUMIFS(BD!$Z$3:$Z$5001,BD!$A$3:$A$5001,AA$3,BD!$B$3:$B$5001,$A$72)))</f>
        <v/>
      </c>
      <c r="AB90" s="229" t="str">
        <f>IF(AB$3="","",IF(COUNTIFS(BD!$A$3:$A$5001,AB$3,BD!$B$3:$B$5001,$A$72,BD!$Z$3:$Z$5001,"&lt;&gt;")=0,"",SUMIFS(BD!$Z$3:$Z$5001,BD!$A$3:$A$5001,AB$3,BD!$B$3:$B$5001,$A$72)))</f>
        <v/>
      </c>
      <c r="AC90" s="229" t="str">
        <f>IF(AC$3="","",IF(COUNTIFS(BD!$A$3:$A$5001,AC$3,BD!$B$3:$B$5001,$A$72,BD!$Z$3:$Z$5001,"&lt;&gt;")=0,"",SUMIFS(BD!$Z$3:$Z$5001,BD!$A$3:$A$5001,AC$3,BD!$B$3:$B$5001,$A$72)))</f>
        <v/>
      </c>
      <c r="AD90" s="229" t="str">
        <f>IF(AD$3="","",IF(COUNTIFS(BD!$A$3:$A$5001,AD$3,BD!$B$3:$B$5001,$A$72,BD!$Z$3:$Z$5001,"&lt;&gt;")=0,"",SUMIFS(BD!$Z$3:$Z$5001,BD!$A$3:$A$5001,AD$3,BD!$B$3:$B$5001,$A$72)))</f>
        <v/>
      </c>
      <c r="AE90" s="229" t="str">
        <f>IF(AE$3="","",IF(COUNTIFS(BD!$A$3:$A$5001,AE$3,BD!$B$3:$B$5001,$A$72,BD!$Z$3:$Z$5001,"&lt;&gt;")=0,"",SUMIFS(BD!$Z$3:$Z$5001,BD!$A$3:$A$5001,AE$3,BD!$B$3:$B$5001,$A$72)))</f>
        <v/>
      </c>
      <c r="AF90" s="229" t="str">
        <f>IF(AF$3="","",IF(COUNTIFS(BD!$A$3:$A$5001,AF$3,BD!$B$3:$B$5001,$A$72,BD!$Z$3:$Z$5001,"&lt;&gt;")=0,"",SUMIFS(BD!$Z$3:$Z$5001,BD!$A$3:$A$5001,AF$3,BD!$B$3:$B$5001,$A$72)))</f>
        <v/>
      </c>
      <c r="AG90" s="229" t="str">
        <f>IF(AG$3="","",IF(COUNTIFS(BD!$A$3:$A$5001,AG$3,BD!$B$3:$B$5001,$A$72,BD!$Z$3:$Z$5001,"&lt;&gt;")=0,"",SUMIFS(BD!$Z$3:$Z$5001,BD!$A$3:$A$5001,AG$3,BD!$B$3:$B$5001,$A$72)))</f>
        <v/>
      </c>
      <c r="AH90" s="229" t="str">
        <f>IF(AH$3="","",IF(COUNTIFS(BD!$A$3:$A$5001,AH$3,BD!$B$3:$B$5001,$A$72,BD!$Z$3:$Z$5001,"&lt;&gt;")=0,"",SUMIFS(BD!$Z$3:$Z$5001,BD!$A$3:$A$5001,AH$3,BD!$B$3:$B$5001,$A$72)))</f>
        <v/>
      </c>
      <c r="AI90" s="229" t="str">
        <f>IF(AI$3="","",IF(COUNTIFS(BD!$A$3:$A$5001,AI$3,BD!$B$3:$B$5001,$A$72,BD!$Z$3:$Z$5001,"&lt;&gt;")=0,"",SUMIFS(BD!$Z$3:$Z$5001,BD!$A$3:$A$5001,AI$3,BD!$B$3:$B$5001,$A$72)))</f>
        <v/>
      </c>
      <c r="AJ90" s="230" t="str">
        <f>IF(AJ$3="","",IF(COUNTIFS(BD!$A$3:$A$5001,AJ$3,BD!$B$3:$B$5001,$A$72,BD!$Z$3:$Z$5001,"&lt;&gt;")=0,"",SUMIFS(BD!$Z$3:$Z$5001,BD!$A$3:$A$5001,AJ$3,BD!$B$3:$B$5001,$A$72)))</f>
        <v/>
      </c>
      <c r="AK90" s="231" t="str">
        <f>IFERROR(LOOKUP(9.99E+307,F90:AJ90),"")</f>
        <v/>
      </c>
    </row>
    <row r="91" ht="15.75" customHeight="1">
      <c r="A91" s="261"/>
      <c r="B91" s="258"/>
      <c r="C91" s="232" t="inlineStr">
        <is>
          <t xml:space="preserve">Falta</t>
        </is>
      </c>
      <c r="D91" s="233" t="str">
        <f>IFERROR(1/(1/INDEX(BD!$AL$48:$BF$48,MATCH($A$72,BD!$AL$22:$BF$22,0))),"")</f>
        <v/>
      </c>
      <c r="E91" s="234"/>
      <c r="F91" s="235" t="str">
        <f>IF(F$3="","",IF(COUNTIFS(BD!$A$3:$A$5001,F$3,BD!$B$3:$B$5001,$A$72,BD!$AA$3:$AA$5001,"&lt;&gt;")=0,"",SUMIFS(BD!$AA$3:$AA$5001,BD!$A$3:$A$5001,F$3,BD!$B$3:$B$5001,$A$72)))</f>
        <v/>
      </c>
      <c r="G91" s="236" t="str">
        <f>IF(G$3="","",IF(COUNTIFS(BD!$A$3:$A$5001,G$3,BD!$B$3:$B$5001,$A$72,BD!$AA$3:$AA$5001,"&lt;&gt;")=0,"",SUMIFS(BD!$AA$3:$AA$5001,BD!$A$3:$A$5001,G$3,BD!$B$3:$B$5001,$A$72)))</f>
        <v/>
      </c>
      <c r="H91" s="236" t="str">
        <f>IF(H$3="","",IF(COUNTIFS(BD!$A$3:$A$5001,H$3,BD!$B$3:$B$5001,$A$72,BD!$AA$3:$AA$5001,"&lt;&gt;")=0,"",SUMIFS(BD!$AA$3:$AA$5001,BD!$A$3:$A$5001,H$3,BD!$B$3:$B$5001,$A$72)))</f>
        <v/>
      </c>
      <c r="I91" s="236" t="str">
        <f>IF(I$3="","",IF(COUNTIFS(BD!$A$3:$A$5001,I$3,BD!$B$3:$B$5001,$A$72,BD!$AA$3:$AA$5001,"&lt;&gt;")=0,"",SUMIFS(BD!$AA$3:$AA$5001,BD!$A$3:$A$5001,I$3,BD!$B$3:$B$5001,$A$72)))</f>
        <v/>
      </c>
      <c r="J91" s="236" t="str">
        <f>IF(J$3="","",IF(COUNTIFS(BD!$A$3:$A$5001,J$3,BD!$B$3:$B$5001,$A$72,BD!$AA$3:$AA$5001,"&lt;&gt;")=0,"",SUMIFS(BD!$AA$3:$AA$5001,BD!$A$3:$A$5001,J$3,BD!$B$3:$B$5001,$A$72)))</f>
        <v/>
      </c>
      <c r="K91" s="236" t="str">
        <f>IF(K$3="","",IF(COUNTIFS(BD!$A$3:$A$5001,K$3,BD!$B$3:$B$5001,$A$72,BD!$AA$3:$AA$5001,"&lt;&gt;")=0,"",SUMIFS(BD!$AA$3:$AA$5001,BD!$A$3:$A$5001,K$3,BD!$B$3:$B$5001,$A$72)))</f>
        <v/>
      </c>
      <c r="L91" s="236" t="str">
        <f>IF(L$3="","",IF(COUNTIFS(BD!$A$3:$A$5001,L$3,BD!$B$3:$B$5001,$A$72,BD!$AA$3:$AA$5001,"&lt;&gt;")=0,"",SUMIFS(BD!$AA$3:$AA$5001,BD!$A$3:$A$5001,L$3,BD!$B$3:$B$5001,$A$72)))</f>
        <v/>
      </c>
      <c r="M91" s="236" t="str">
        <f>IF(M$3="","",IF(COUNTIFS(BD!$A$3:$A$5001,M$3,BD!$B$3:$B$5001,$A$72,BD!$AA$3:$AA$5001,"&lt;&gt;")=0,"",SUMIFS(BD!$AA$3:$AA$5001,BD!$A$3:$A$5001,M$3,BD!$B$3:$B$5001,$A$72)))</f>
        <v/>
      </c>
      <c r="N91" s="236" t="str">
        <f>IF(N$3="","",IF(COUNTIFS(BD!$A$3:$A$5001,N$3,BD!$B$3:$B$5001,$A$72,BD!$AA$3:$AA$5001,"&lt;&gt;")=0,"",SUMIFS(BD!$AA$3:$AA$5001,BD!$A$3:$A$5001,N$3,BD!$B$3:$B$5001,$A$72)))</f>
        <v/>
      </c>
      <c r="O91" s="236" t="str">
        <f>IF(O$3="","",IF(COUNTIFS(BD!$A$3:$A$5001,O$3,BD!$B$3:$B$5001,$A$72,BD!$AA$3:$AA$5001,"&lt;&gt;")=0,"",SUMIFS(BD!$AA$3:$AA$5001,BD!$A$3:$A$5001,O$3,BD!$B$3:$B$5001,$A$72)))</f>
        <v/>
      </c>
      <c r="P91" s="236" t="str">
        <f>IF(P$3="","",IF(COUNTIFS(BD!$A$3:$A$5001,P$3,BD!$B$3:$B$5001,$A$72,BD!$AA$3:$AA$5001,"&lt;&gt;")=0,"",SUMIFS(BD!$AA$3:$AA$5001,BD!$A$3:$A$5001,P$3,BD!$B$3:$B$5001,$A$72)))</f>
        <v/>
      </c>
      <c r="Q91" s="236" t="str">
        <f>IF(Q$3="","",IF(COUNTIFS(BD!$A$3:$A$5001,Q$3,BD!$B$3:$B$5001,$A$72,BD!$AA$3:$AA$5001,"&lt;&gt;")=0,"",SUMIFS(BD!$AA$3:$AA$5001,BD!$A$3:$A$5001,Q$3,BD!$B$3:$B$5001,$A$72)))</f>
        <v/>
      </c>
      <c r="R91" s="236" t="str">
        <f>IF(R$3="","",IF(COUNTIFS(BD!$A$3:$A$5001,R$3,BD!$B$3:$B$5001,$A$72,BD!$AA$3:$AA$5001,"&lt;&gt;")=0,"",SUMIFS(BD!$AA$3:$AA$5001,BD!$A$3:$A$5001,R$3,BD!$B$3:$B$5001,$A$72)))</f>
        <v/>
      </c>
      <c r="S91" s="236" t="str">
        <f>IF(S$3="","",IF(COUNTIFS(BD!$A$3:$A$5001,S$3,BD!$B$3:$B$5001,$A$72,BD!$AA$3:$AA$5001,"&lt;&gt;")=0,"",SUMIFS(BD!$AA$3:$AA$5001,BD!$A$3:$A$5001,S$3,BD!$B$3:$B$5001,$A$72)))</f>
        <v/>
      </c>
      <c r="T91" s="236" t="str">
        <f>IF(T$3="","",IF(COUNTIFS(BD!$A$3:$A$5001,T$3,BD!$B$3:$B$5001,$A$72,BD!$AA$3:$AA$5001,"&lt;&gt;")=0,"",SUMIFS(BD!$AA$3:$AA$5001,BD!$A$3:$A$5001,T$3,BD!$B$3:$B$5001,$A$72)))</f>
        <v/>
      </c>
      <c r="U91" s="236" t="str">
        <f>IF(U$3="","",IF(COUNTIFS(BD!$A$3:$A$5001,U$3,BD!$B$3:$B$5001,$A$72,BD!$AA$3:$AA$5001,"&lt;&gt;")=0,"",SUMIFS(BD!$AA$3:$AA$5001,BD!$A$3:$A$5001,U$3,BD!$B$3:$B$5001,$A$72)))</f>
        <v/>
      </c>
      <c r="V91" s="236" t="str">
        <f>IF(V$3="","",IF(COUNTIFS(BD!$A$3:$A$5001,V$3,BD!$B$3:$B$5001,$A$72,BD!$AA$3:$AA$5001,"&lt;&gt;")=0,"",SUMIFS(BD!$AA$3:$AA$5001,BD!$A$3:$A$5001,V$3,BD!$B$3:$B$5001,$A$72)))</f>
        <v/>
      </c>
      <c r="W91" s="236" t="str">
        <f>IF(W$3="","",IF(COUNTIFS(BD!$A$3:$A$5001,W$3,BD!$B$3:$B$5001,$A$72,BD!$AA$3:$AA$5001,"&lt;&gt;")=0,"",SUMIFS(BD!$AA$3:$AA$5001,BD!$A$3:$A$5001,W$3,BD!$B$3:$B$5001,$A$72)))</f>
        <v/>
      </c>
      <c r="X91" s="236" t="str">
        <f>IF(X$3="","",IF(COUNTIFS(BD!$A$3:$A$5001,X$3,BD!$B$3:$B$5001,$A$72,BD!$AA$3:$AA$5001,"&lt;&gt;")=0,"",SUMIFS(BD!$AA$3:$AA$5001,BD!$A$3:$A$5001,X$3,BD!$B$3:$B$5001,$A$72)))</f>
        <v/>
      </c>
      <c r="Y91" s="236" t="str">
        <f>IF(Y$3="","",IF(COUNTIFS(BD!$A$3:$A$5001,Y$3,BD!$B$3:$B$5001,$A$72,BD!$AA$3:$AA$5001,"&lt;&gt;")=0,"",SUMIFS(BD!$AA$3:$AA$5001,BD!$A$3:$A$5001,Y$3,BD!$B$3:$B$5001,$A$72)))</f>
        <v/>
      </c>
      <c r="Z91" s="236" t="str">
        <f>IF(Z$3="","",IF(COUNTIFS(BD!$A$3:$A$5001,Z$3,BD!$B$3:$B$5001,$A$72,BD!$AA$3:$AA$5001,"&lt;&gt;")=0,"",SUMIFS(BD!$AA$3:$AA$5001,BD!$A$3:$A$5001,Z$3,BD!$B$3:$B$5001,$A$72)))</f>
        <v/>
      </c>
      <c r="AA91" s="236" t="str">
        <f>IF(AA$3="","",IF(COUNTIFS(BD!$A$3:$A$5001,AA$3,BD!$B$3:$B$5001,$A$72,BD!$AA$3:$AA$5001,"&lt;&gt;")=0,"",SUMIFS(BD!$AA$3:$AA$5001,BD!$A$3:$A$5001,AA$3,BD!$B$3:$B$5001,$A$72)))</f>
        <v/>
      </c>
      <c r="AB91" s="236" t="str">
        <f>IF(AB$3="","",IF(COUNTIFS(BD!$A$3:$A$5001,AB$3,BD!$B$3:$B$5001,$A$72,BD!$AA$3:$AA$5001,"&lt;&gt;")=0,"",SUMIFS(BD!$AA$3:$AA$5001,BD!$A$3:$A$5001,AB$3,BD!$B$3:$B$5001,$A$72)))</f>
        <v/>
      </c>
      <c r="AC91" s="236" t="str">
        <f>IF(AC$3="","",IF(COUNTIFS(BD!$A$3:$A$5001,AC$3,BD!$B$3:$B$5001,$A$72,BD!$AA$3:$AA$5001,"&lt;&gt;")=0,"",SUMIFS(BD!$AA$3:$AA$5001,BD!$A$3:$A$5001,AC$3,BD!$B$3:$B$5001,$A$72)))</f>
        <v/>
      </c>
      <c r="AD91" s="236" t="str">
        <f>IF(AD$3="","",IF(COUNTIFS(BD!$A$3:$A$5001,AD$3,BD!$B$3:$B$5001,$A$72,BD!$AA$3:$AA$5001,"&lt;&gt;")=0,"",SUMIFS(BD!$AA$3:$AA$5001,BD!$A$3:$A$5001,AD$3,BD!$B$3:$B$5001,$A$72)))</f>
        <v/>
      </c>
      <c r="AE91" s="236" t="str">
        <f>IF(AE$3="","",IF(COUNTIFS(BD!$A$3:$A$5001,AE$3,BD!$B$3:$B$5001,$A$72,BD!$AA$3:$AA$5001,"&lt;&gt;")=0,"",SUMIFS(BD!$AA$3:$AA$5001,BD!$A$3:$A$5001,AE$3,BD!$B$3:$B$5001,$A$72)))</f>
        <v/>
      </c>
      <c r="AF91" s="236" t="str">
        <f>IF(AF$3="","",IF(COUNTIFS(BD!$A$3:$A$5001,AF$3,BD!$B$3:$B$5001,$A$72,BD!$AA$3:$AA$5001,"&lt;&gt;")=0,"",SUMIFS(BD!$AA$3:$AA$5001,BD!$A$3:$A$5001,AF$3,BD!$B$3:$B$5001,$A$72)))</f>
        <v/>
      </c>
      <c r="AG91" s="236" t="str">
        <f>IF(AG$3="","",IF(COUNTIFS(BD!$A$3:$A$5001,AG$3,BD!$B$3:$B$5001,$A$72,BD!$AA$3:$AA$5001,"&lt;&gt;")=0,"",SUMIFS(BD!$AA$3:$AA$5001,BD!$A$3:$A$5001,AG$3,BD!$B$3:$B$5001,$A$72)))</f>
        <v/>
      </c>
      <c r="AH91" s="236" t="str">
        <f>IF(AH$3="","",IF(COUNTIFS(BD!$A$3:$A$5001,AH$3,BD!$B$3:$B$5001,$A$72,BD!$AA$3:$AA$5001,"&lt;&gt;")=0,"",SUMIFS(BD!$AA$3:$AA$5001,BD!$A$3:$A$5001,AH$3,BD!$B$3:$B$5001,$A$72)))</f>
        <v/>
      </c>
      <c r="AI91" s="236" t="str">
        <f>IF(AI$3="","",IF(COUNTIFS(BD!$A$3:$A$5001,AI$3,BD!$B$3:$B$5001,$A$72,BD!$AA$3:$AA$5001,"&lt;&gt;")=0,"",SUMIFS(BD!$AA$3:$AA$5001,BD!$A$3:$A$5001,AI$3,BD!$B$3:$B$5001,$A$72)))</f>
        <v/>
      </c>
      <c r="AJ91" s="237" t="str">
        <f>IF(AJ$3="","",IF(COUNTIFS(BD!$A$3:$A$5001,AJ$3,BD!$B$3:$B$5001,$A$72,BD!$AA$3:$AA$5001,"&lt;&gt;")=0,"",SUMIFS(BD!$AA$3:$AA$5001,BD!$A$3:$A$5001,AJ$3,BD!$B$3:$B$5001,$A$72)))</f>
        <v/>
      </c>
      <c r="AK91" s="238" t="str">
        <f>IF(COUNT(F91:AJ91)=0,"",SUM(F91:AJ91))</f>
        <v/>
      </c>
    </row>
    <row r="92" ht="15.75" customHeight="1">
      <c r="A92" s="261"/>
      <c r="B92" s="258"/>
      <c r="C92" s="232" t="inlineStr">
        <is>
          <t xml:space="preserve">Absenteísmo (H/H)</t>
        </is>
      </c>
      <c r="D92" s="233" t="str">
        <f>IFERROR(1/(1/INDEX(BD!$AL$49:$BF$49,MATCH($A$72,BD!$AL$22:$BF$22,0))),"")</f>
        <v/>
      </c>
      <c r="E92" s="234"/>
      <c r="F92" s="239" t="str">
        <f>IF(F$3="","",IF(COUNTIFS(BD!$A$3:$A$5001,F$3,BD!$B$3:$B$5001,$A$72,BD!$AB$3:$AB$5001,"&lt;&gt;")=0,"",SUMIFS(BD!$AB$3:$AB$5001,BD!$A$3:$A$5001,F$3,BD!$B$3:$B$5001,$A$72)))</f>
        <v/>
      </c>
      <c r="G92" s="240" t="str">
        <f>IF(G$3="","",IF(COUNTIFS(BD!$A$3:$A$5001,G$3,BD!$B$3:$B$5001,$A$72,BD!$AB$3:$AB$5001,"&lt;&gt;")=0,"",SUMIFS(BD!$AB$3:$AB$5001,BD!$A$3:$A$5001,G$3,BD!$B$3:$B$5001,$A$72)))</f>
        <v/>
      </c>
      <c r="H92" s="240" t="str">
        <f>IF(H$3="","",IF(COUNTIFS(BD!$A$3:$A$5001,H$3,BD!$B$3:$B$5001,$A$72,BD!$AB$3:$AB$5001,"&lt;&gt;")=0,"",SUMIFS(BD!$AB$3:$AB$5001,BD!$A$3:$A$5001,H$3,BD!$B$3:$B$5001,$A$72)))</f>
        <v/>
      </c>
      <c r="I92" s="240" t="str">
        <f>IF(I$3="","",IF(COUNTIFS(BD!$A$3:$A$5001,I$3,BD!$B$3:$B$5001,$A$72,BD!$AB$3:$AB$5001,"&lt;&gt;")=0,"",SUMIFS(BD!$AB$3:$AB$5001,BD!$A$3:$A$5001,I$3,BD!$B$3:$B$5001,$A$72)))</f>
        <v/>
      </c>
      <c r="J92" s="240" t="str">
        <f>IF(J$3="","",IF(COUNTIFS(BD!$A$3:$A$5001,J$3,BD!$B$3:$B$5001,$A$72,BD!$AB$3:$AB$5001,"&lt;&gt;")=0,"",SUMIFS(BD!$AB$3:$AB$5001,BD!$A$3:$A$5001,J$3,BD!$B$3:$B$5001,$A$72)))</f>
        <v/>
      </c>
      <c r="K92" s="240" t="str">
        <f>IF(K$3="","",IF(COUNTIFS(BD!$A$3:$A$5001,K$3,BD!$B$3:$B$5001,$A$72,BD!$AB$3:$AB$5001,"&lt;&gt;")=0,"",SUMIFS(BD!$AB$3:$AB$5001,BD!$A$3:$A$5001,K$3,BD!$B$3:$B$5001,$A$72)))</f>
        <v/>
      </c>
      <c r="L92" s="240" t="str">
        <f>IF(L$3="","",IF(COUNTIFS(BD!$A$3:$A$5001,L$3,BD!$B$3:$B$5001,$A$72,BD!$AB$3:$AB$5001,"&lt;&gt;")=0,"",SUMIFS(BD!$AB$3:$AB$5001,BD!$A$3:$A$5001,L$3,BD!$B$3:$B$5001,$A$72)))</f>
        <v/>
      </c>
      <c r="M92" s="240" t="str">
        <f>IF(M$3="","",IF(COUNTIFS(BD!$A$3:$A$5001,M$3,BD!$B$3:$B$5001,$A$72,BD!$AB$3:$AB$5001,"&lt;&gt;")=0,"",SUMIFS(BD!$AB$3:$AB$5001,BD!$A$3:$A$5001,M$3,BD!$B$3:$B$5001,$A$72)))</f>
        <v/>
      </c>
      <c r="N92" s="240" t="str">
        <f>IF(N$3="","",IF(COUNTIFS(BD!$A$3:$A$5001,N$3,BD!$B$3:$B$5001,$A$72,BD!$AB$3:$AB$5001,"&lt;&gt;")=0,"",SUMIFS(BD!$AB$3:$AB$5001,BD!$A$3:$A$5001,N$3,BD!$B$3:$B$5001,$A$72)))</f>
        <v/>
      </c>
      <c r="O92" s="240" t="str">
        <f>IF(O$3="","",IF(COUNTIFS(BD!$A$3:$A$5001,O$3,BD!$B$3:$B$5001,$A$72,BD!$AB$3:$AB$5001,"&lt;&gt;")=0,"",SUMIFS(BD!$AB$3:$AB$5001,BD!$A$3:$A$5001,O$3,BD!$B$3:$B$5001,$A$72)))</f>
        <v/>
      </c>
      <c r="P92" s="240" t="str">
        <f>IF(P$3="","",IF(COUNTIFS(BD!$A$3:$A$5001,P$3,BD!$B$3:$B$5001,$A$72,BD!$AB$3:$AB$5001,"&lt;&gt;")=0,"",SUMIFS(BD!$AB$3:$AB$5001,BD!$A$3:$A$5001,P$3,BD!$B$3:$B$5001,$A$72)))</f>
        <v/>
      </c>
      <c r="Q92" s="240" t="str">
        <f>IF(Q$3="","",IF(COUNTIFS(BD!$A$3:$A$5001,Q$3,BD!$B$3:$B$5001,$A$72,BD!$AB$3:$AB$5001,"&lt;&gt;")=0,"",SUMIFS(BD!$AB$3:$AB$5001,BD!$A$3:$A$5001,Q$3,BD!$B$3:$B$5001,$A$72)))</f>
        <v/>
      </c>
      <c r="R92" s="240" t="str">
        <f>IF(R$3="","",IF(COUNTIFS(BD!$A$3:$A$5001,R$3,BD!$B$3:$B$5001,$A$72,BD!$AB$3:$AB$5001,"&lt;&gt;")=0,"",SUMIFS(BD!$AB$3:$AB$5001,BD!$A$3:$A$5001,R$3,BD!$B$3:$B$5001,$A$72)))</f>
        <v/>
      </c>
      <c r="S92" s="240" t="str">
        <f>IF(S$3="","",IF(COUNTIFS(BD!$A$3:$A$5001,S$3,BD!$B$3:$B$5001,$A$72,BD!$AB$3:$AB$5001,"&lt;&gt;")=0,"",SUMIFS(BD!$AB$3:$AB$5001,BD!$A$3:$A$5001,S$3,BD!$B$3:$B$5001,$A$72)))</f>
        <v/>
      </c>
      <c r="T92" s="240" t="str">
        <f>IF(T$3="","",IF(COUNTIFS(BD!$A$3:$A$5001,T$3,BD!$B$3:$B$5001,$A$72,BD!$AB$3:$AB$5001,"&lt;&gt;")=0,"",SUMIFS(BD!$AB$3:$AB$5001,BD!$A$3:$A$5001,T$3,BD!$B$3:$B$5001,$A$72)))</f>
        <v/>
      </c>
      <c r="U92" s="240" t="str">
        <f>IF(U$3="","",IF(COUNTIFS(BD!$A$3:$A$5001,U$3,BD!$B$3:$B$5001,$A$72,BD!$AB$3:$AB$5001,"&lt;&gt;")=0,"",SUMIFS(BD!$AB$3:$AB$5001,BD!$A$3:$A$5001,U$3,BD!$B$3:$B$5001,$A$72)))</f>
        <v/>
      </c>
      <c r="V92" s="240" t="str">
        <f>IF(V$3="","",IF(COUNTIFS(BD!$A$3:$A$5001,V$3,BD!$B$3:$B$5001,$A$72,BD!$AB$3:$AB$5001,"&lt;&gt;")=0,"",SUMIFS(BD!$AB$3:$AB$5001,BD!$A$3:$A$5001,V$3,BD!$B$3:$B$5001,$A$72)))</f>
        <v/>
      </c>
      <c r="W92" s="240" t="str">
        <f>IF(W$3="","",IF(COUNTIFS(BD!$A$3:$A$5001,W$3,BD!$B$3:$B$5001,$A$72,BD!$AB$3:$AB$5001,"&lt;&gt;")=0,"",SUMIFS(BD!$AB$3:$AB$5001,BD!$A$3:$A$5001,W$3,BD!$B$3:$B$5001,$A$72)))</f>
        <v/>
      </c>
      <c r="X92" s="240" t="str">
        <f>IF(X$3="","",IF(COUNTIFS(BD!$A$3:$A$5001,X$3,BD!$B$3:$B$5001,$A$72,BD!$AB$3:$AB$5001,"&lt;&gt;")=0,"",SUMIFS(BD!$AB$3:$AB$5001,BD!$A$3:$A$5001,X$3,BD!$B$3:$B$5001,$A$72)))</f>
        <v/>
      </c>
      <c r="Y92" s="240" t="str">
        <f>IF(Y$3="","",IF(COUNTIFS(BD!$A$3:$A$5001,Y$3,BD!$B$3:$B$5001,$A$72,BD!$AB$3:$AB$5001,"&lt;&gt;")=0,"",SUMIFS(BD!$AB$3:$AB$5001,BD!$A$3:$A$5001,Y$3,BD!$B$3:$B$5001,$A$72)))</f>
        <v/>
      </c>
      <c r="Z92" s="240" t="str">
        <f>IF(Z$3="","",IF(COUNTIFS(BD!$A$3:$A$5001,Z$3,BD!$B$3:$B$5001,$A$72,BD!$AB$3:$AB$5001,"&lt;&gt;")=0,"",SUMIFS(BD!$AB$3:$AB$5001,BD!$A$3:$A$5001,Z$3,BD!$B$3:$B$5001,$A$72)))</f>
        <v/>
      </c>
      <c r="AA92" s="240" t="str">
        <f>IF(AA$3="","",IF(COUNTIFS(BD!$A$3:$A$5001,AA$3,BD!$B$3:$B$5001,$A$72,BD!$AB$3:$AB$5001,"&lt;&gt;")=0,"",SUMIFS(BD!$AB$3:$AB$5001,BD!$A$3:$A$5001,AA$3,BD!$B$3:$B$5001,$A$72)))</f>
        <v/>
      </c>
      <c r="AB92" s="240" t="str">
        <f>IF(AB$3="","",IF(COUNTIFS(BD!$A$3:$A$5001,AB$3,BD!$B$3:$B$5001,$A$72,BD!$AB$3:$AB$5001,"&lt;&gt;")=0,"",SUMIFS(BD!$AB$3:$AB$5001,BD!$A$3:$A$5001,AB$3,BD!$B$3:$B$5001,$A$72)))</f>
        <v/>
      </c>
      <c r="AC92" s="240" t="str">
        <f>IF(AC$3="","",IF(COUNTIFS(BD!$A$3:$A$5001,AC$3,BD!$B$3:$B$5001,$A$72,BD!$AB$3:$AB$5001,"&lt;&gt;")=0,"",SUMIFS(BD!$AB$3:$AB$5001,BD!$A$3:$A$5001,AC$3,BD!$B$3:$B$5001,$A$72)))</f>
        <v/>
      </c>
      <c r="AD92" s="240" t="str">
        <f>IF(AD$3="","",IF(COUNTIFS(BD!$A$3:$A$5001,AD$3,BD!$B$3:$B$5001,$A$72,BD!$AB$3:$AB$5001,"&lt;&gt;")=0,"",SUMIFS(BD!$AB$3:$AB$5001,BD!$A$3:$A$5001,AD$3,BD!$B$3:$B$5001,$A$72)))</f>
        <v/>
      </c>
      <c r="AE92" s="240" t="str">
        <f>IF(AE$3="","",IF(COUNTIFS(BD!$A$3:$A$5001,AE$3,BD!$B$3:$B$5001,$A$72,BD!$AB$3:$AB$5001,"&lt;&gt;")=0,"",SUMIFS(BD!$AB$3:$AB$5001,BD!$A$3:$A$5001,AE$3,BD!$B$3:$B$5001,$A$72)))</f>
        <v/>
      </c>
      <c r="AF92" s="240" t="str">
        <f>IF(AF$3="","",IF(COUNTIFS(BD!$A$3:$A$5001,AF$3,BD!$B$3:$B$5001,$A$72,BD!$AB$3:$AB$5001,"&lt;&gt;")=0,"",SUMIFS(BD!$AB$3:$AB$5001,BD!$A$3:$A$5001,AF$3,BD!$B$3:$B$5001,$A$72)))</f>
        <v/>
      </c>
      <c r="AG92" s="240" t="str">
        <f>IF(AG$3="","",IF(COUNTIFS(BD!$A$3:$A$5001,AG$3,BD!$B$3:$B$5001,$A$72,BD!$AB$3:$AB$5001,"&lt;&gt;")=0,"",SUMIFS(BD!$AB$3:$AB$5001,BD!$A$3:$A$5001,AG$3,BD!$B$3:$B$5001,$A$72)))</f>
        <v/>
      </c>
      <c r="AH92" s="240" t="str">
        <f>IF(AH$3="","",IF(COUNTIFS(BD!$A$3:$A$5001,AH$3,BD!$B$3:$B$5001,$A$72,BD!$AB$3:$AB$5001,"&lt;&gt;")=0,"",SUMIFS(BD!$AB$3:$AB$5001,BD!$A$3:$A$5001,AH$3,BD!$B$3:$B$5001,$A$72)))</f>
        <v/>
      </c>
      <c r="AI92" s="240" t="str">
        <f>IF(AI$3="","",IF(COUNTIFS(BD!$A$3:$A$5001,AI$3,BD!$B$3:$B$5001,$A$72,BD!$AB$3:$AB$5001,"&lt;&gt;")=0,"",SUMIFS(BD!$AB$3:$AB$5001,BD!$A$3:$A$5001,AI$3,BD!$B$3:$B$5001,$A$72)))</f>
        <v/>
      </c>
      <c r="AJ92" s="241" t="str">
        <f>IF(AJ$3="","",IF(COUNTIFS(BD!$A$3:$A$5001,AJ$3,BD!$B$3:$B$5001,$A$72,BD!$AB$3:$AB$5001,"&lt;&gt;")=0,"",SUMIFS(BD!$AB$3:$AB$5001,BD!$A$3:$A$5001,AJ$3,BD!$B$3:$B$5001,$A$72)))</f>
        <v/>
      </c>
      <c r="AK92" s="242" t="str">
        <f>IF(COUNT(F92:AJ92)=0,"",SUM(F92:AJ92))</f>
        <v/>
      </c>
    </row>
    <row r="93" ht="15.75" customHeight="1">
      <c r="A93" s="261"/>
      <c r="B93" s="258"/>
      <c r="C93" s="232" t="inlineStr">
        <is>
          <t xml:space="preserve">Folga</t>
        </is>
      </c>
      <c r="D93" s="233" t="str">
        <f>IFERROR(1/(1/INDEX(BD!$AL$50:$BF$50,MATCH($A$72,BD!$AL$22:$BF$22,0))),"")</f>
        <v/>
      </c>
      <c r="E93" s="234"/>
      <c r="F93" s="235" t="str">
        <f>IF(F$3="","",IF(COUNTIFS(BD!$A$3:$A$5001,F$3,BD!$B$3:$B$5001,$A$72,BD!$AC$3:$AC$5001,"&lt;&gt;")=0,"",SUMIFS(BD!$AC$3:$AC$5001,BD!$A$3:$A$5001,F$3,BD!$B$3:$B$5001,$A$72)))</f>
        <v/>
      </c>
      <c r="G93" s="236" t="str">
        <f>IF(G$3="","",IF(COUNTIFS(BD!$A$3:$A$5001,G$3,BD!$B$3:$B$5001,$A$72,BD!$AC$3:$AC$5001,"&lt;&gt;")=0,"",SUMIFS(BD!$AC$3:$AC$5001,BD!$A$3:$A$5001,G$3,BD!$B$3:$B$5001,$A$72)))</f>
        <v/>
      </c>
      <c r="H93" s="236" t="str">
        <f>IF(H$3="","",IF(COUNTIFS(BD!$A$3:$A$5001,H$3,BD!$B$3:$B$5001,$A$72,BD!$AC$3:$AC$5001,"&lt;&gt;")=0,"",SUMIFS(BD!$AC$3:$AC$5001,BD!$A$3:$A$5001,H$3,BD!$B$3:$B$5001,$A$72)))</f>
        <v/>
      </c>
      <c r="I93" s="236" t="str">
        <f>IF(I$3="","",IF(COUNTIFS(BD!$A$3:$A$5001,I$3,BD!$B$3:$B$5001,$A$72,BD!$AC$3:$AC$5001,"&lt;&gt;")=0,"",SUMIFS(BD!$AC$3:$AC$5001,BD!$A$3:$A$5001,I$3,BD!$B$3:$B$5001,$A$72)))</f>
        <v/>
      </c>
      <c r="J93" s="236" t="str">
        <f>IF(J$3="","",IF(COUNTIFS(BD!$A$3:$A$5001,J$3,BD!$B$3:$B$5001,$A$72,BD!$AC$3:$AC$5001,"&lt;&gt;")=0,"",SUMIFS(BD!$AC$3:$AC$5001,BD!$A$3:$A$5001,J$3,BD!$B$3:$B$5001,$A$72)))</f>
        <v/>
      </c>
      <c r="K93" s="236" t="str">
        <f>IF(K$3="","",IF(COUNTIFS(BD!$A$3:$A$5001,K$3,BD!$B$3:$B$5001,$A$72,BD!$AC$3:$AC$5001,"&lt;&gt;")=0,"",SUMIFS(BD!$AC$3:$AC$5001,BD!$A$3:$A$5001,K$3,BD!$B$3:$B$5001,$A$72)))</f>
        <v/>
      </c>
      <c r="L93" s="236" t="str">
        <f>IF(L$3="","",IF(COUNTIFS(BD!$A$3:$A$5001,L$3,BD!$B$3:$B$5001,$A$72,BD!$AC$3:$AC$5001,"&lt;&gt;")=0,"",SUMIFS(BD!$AC$3:$AC$5001,BD!$A$3:$A$5001,L$3,BD!$B$3:$B$5001,$A$72)))</f>
        <v/>
      </c>
      <c r="M93" s="236" t="str">
        <f>IF(M$3="","",IF(COUNTIFS(BD!$A$3:$A$5001,M$3,BD!$B$3:$B$5001,$A$72,BD!$AC$3:$AC$5001,"&lt;&gt;")=0,"",SUMIFS(BD!$AC$3:$AC$5001,BD!$A$3:$A$5001,M$3,BD!$B$3:$B$5001,$A$72)))</f>
        <v/>
      </c>
      <c r="N93" s="236" t="str">
        <f>IF(N$3="","",IF(COUNTIFS(BD!$A$3:$A$5001,N$3,BD!$B$3:$B$5001,$A$72,BD!$AC$3:$AC$5001,"&lt;&gt;")=0,"",SUMIFS(BD!$AC$3:$AC$5001,BD!$A$3:$A$5001,N$3,BD!$B$3:$B$5001,$A$72)))</f>
        <v/>
      </c>
      <c r="O93" s="236" t="str">
        <f>IF(O$3="","",IF(COUNTIFS(BD!$A$3:$A$5001,O$3,BD!$B$3:$B$5001,$A$72,BD!$AC$3:$AC$5001,"&lt;&gt;")=0,"",SUMIFS(BD!$AC$3:$AC$5001,BD!$A$3:$A$5001,O$3,BD!$B$3:$B$5001,$A$72)))</f>
        <v/>
      </c>
      <c r="P93" s="236" t="str">
        <f>IF(P$3="","",IF(COUNTIFS(BD!$A$3:$A$5001,P$3,BD!$B$3:$B$5001,$A$72,BD!$AC$3:$AC$5001,"&lt;&gt;")=0,"",SUMIFS(BD!$AC$3:$AC$5001,BD!$A$3:$A$5001,P$3,BD!$B$3:$B$5001,$A$72)))</f>
        <v/>
      </c>
      <c r="Q93" s="236" t="str">
        <f>IF(Q$3="","",IF(COUNTIFS(BD!$A$3:$A$5001,Q$3,BD!$B$3:$B$5001,$A$72,BD!$AC$3:$AC$5001,"&lt;&gt;")=0,"",SUMIFS(BD!$AC$3:$AC$5001,BD!$A$3:$A$5001,Q$3,BD!$B$3:$B$5001,$A$72)))</f>
        <v/>
      </c>
      <c r="R93" s="236" t="str">
        <f>IF(R$3="","",IF(COUNTIFS(BD!$A$3:$A$5001,R$3,BD!$B$3:$B$5001,$A$72,BD!$AC$3:$AC$5001,"&lt;&gt;")=0,"",SUMIFS(BD!$AC$3:$AC$5001,BD!$A$3:$A$5001,R$3,BD!$B$3:$B$5001,$A$72)))</f>
        <v/>
      </c>
      <c r="S93" s="236" t="str">
        <f>IF(S$3="","",IF(COUNTIFS(BD!$A$3:$A$5001,S$3,BD!$B$3:$B$5001,$A$72,BD!$AC$3:$AC$5001,"&lt;&gt;")=0,"",SUMIFS(BD!$AC$3:$AC$5001,BD!$A$3:$A$5001,S$3,BD!$B$3:$B$5001,$A$72)))</f>
        <v/>
      </c>
      <c r="T93" s="236" t="str">
        <f>IF(T$3="","",IF(COUNTIFS(BD!$A$3:$A$5001,T$3,BD!$B$3:$B$5001,$A$72,BD!$AC$3:$AC$5001,"&lt;&gt;")=0,"",SUMIFS(BD!$AC$3:$AC$5001,BD!$A$3:$A$5001,T$3,BD!$B$3:$B$5001,$A$72)))</f>
        <v/>
      </c>
      <c r="U93" s="236" t="str">
        <f>IF(U$3="","",IF(COUNTIFS(BD!$A$3:$A$5001,U$3,BD!$B$3:$B$5001,$A$72,BD!$AC$3:$AC$5001,"&lt;&gt;")=0,"",SUMIFS(BD!$AC$3:$AC$5001,BD!$A$3:$A$5001,U$3,BD!$B$3:$B$5001,$A$72)))</f>
        <v/>
      </c>
      <c r="V93" s="236" t="str">
        <f>IF(V$3="","",IF(COUNTIFS(BD!$A$3:$A$5001,V$3,BD!$B$3:$B$5001,$A$72,BD!$AC$3:$AC$5001,"&lt;&gt;")=0,"",SUMIFS(BD!$AC$3:$AC$5001,BD!$A$3:$A$5001,V$3,BD!$B$3:$B$5001,$A$72)))</f>
        <v/>
      </c>
      <c r="W93" s="236" t="str">
        <f>IF(W$3="","",IF(COUNTIFS(BD!$A$3:$A$5001,W$3,BD!$B$3:$B$5001,$A$72,BD!$AC$3:$AC$5001,"&lt;&gt;")=0,"",SUMIFS(BD!$AC$3:$AC$5001,BD!$A$3:$A$5001,W$3,BD!$B$3:$B$5001,$A$72)))</f>
        <v/>
      </c>
      <c r="X93" s="236" t="str">
        <f>IF(X$3="","",IF(COUNTIFS(BD!$A$3:$A$5001,X$3,BD!$B$3:$B$5001,$A$72,BD!$AC$3:$AC$5001,"&lt;&gt;")=0,"",SUMIFS(BD!$AC$3:$AC$5001,BD!$A$3:$A$5001,X$3,BD!$B$3:$B$5001,$A$72)))</f>
        <v/>
      </c>
      <c r="Y93" s="236" t="str">
        <f>IF(Y$3="","",IF(COUNTIFS(BD!$A$3:$A$5001,Y$3,BD!$B$3:$B$5001,$A$72,BD!$AC$3:$AC$5001,"&lt;&gt;")=0,"",SUMIFS(BD!$AC$3:$AC$5001,BD!$A$3:$A$5001,Y$3,BD!$B$3:$B$5001,$A$72)))</f>
        <v/>
      </c>
      <c r="Z93" s="236" t="str">
        <f>IF(Z$3="","",IF(COUNTIFS(BD!$A$3:$A$5001,Z$3,BD!$B$3:$B$5001,$A$72,BD!$AC$3:$AC$5001,"&lt;&gt;")=0,"",SUMIFS(BD!$AC$3:$AC$5001,BD!$A$3:$A$5001,Z$3,BD!$B$3:$B$5001,$A$72)))</f>
        <v/>
      </c>
      <c r="AA93" s="236" t="str">
        <f>IF(AA$3="","",IF(COUNTIFS(BD!$A$3:$A$5001,AA$3,BD!$B$3:$B$5001,$A$72,BD!$AC$3:$AC$5001,"&lt;&gt;")=0,"",SUMIFS(BD!$AC$3:$AC$5001,BD!$A$3:$A$5001,AA$3,BD!$B$3:$B$5001,$A$72)))</f>
        <v/>
      </c>
      <c r="AB93" s="236" t="str">
        <f>IF(AB$3="","",IF(COUNTIFS(BD!$A$3:$A$5001,AB$3,BD!$B$3:$B$5001,$A$72,BD!$AC$3:$AC$5001,"&lt;&gt;")=0,"",SUMIFS(BD!$AC$3:$AC$5001,BD!$A$3:$A$5001,AB$3,BD!$B$3:$B$5001,$A$72)))</f>
        <v/>
      </c>
      <c r="AC93" s="236" t="str">
        <f>IF(AC$3="","",IF(COUNTIFS(BD!$A$3:$A$5001,AC$3,BD!$B$3:$B$5001,$A$72,BD!$AC$3:$AC$5001,"&lt;&gt;")=0,"",SUMIFS(BD!$AC$3:$AC$5001,BD!$A$3:$A$5001,AC$3,BD!$B$3:$B$5001,$A$72)))</f>
        <v/>
      </c>
      <c r="AD93" s="236" t="str">
        <f>IF(AD$3="","",IF(COUNTIFS(BD!$A$3:$A$5001,AD$3,BD!$B$3:$B$5001,$A$72,BD!$AC$3:$AC$5001,"&lt;&gt;")=0,"",SUMIFS(BD!$AC$3:$AC$5001,BD!$A$3:$A$5001,AD$3,BD!$B$3:$B$5001,$A$72)))</f>
        <v/>
      </c>
      <c r="AE93" s="236" t="str">
        <f>IF(AE$3="","",IF(COUNTIFS(BD!$A$3:$A$5001,AE$3,BD!$B$3:$B$5001,$A$72,BD!$AC$3:$AC$5001,"&lt;&gt;")=0,"",SUMIFS(BD!$AC$3:$AC$5001,BD!$A$3:$A$5001,AE$3,BD!$B$3:$B$5001,$A$72)))</f>
        <v/>
      </c>
      <c r="AF93" s="236" t="str">
        <f>IF(AF$3="","",IF(COUNTIFS(BD!$A$3:$A$5001,AF$3,BD!$B$3:$B$5001,$A$72,BD!$AC$3:$AC$5001,"&lt;&gt;")=0,"",SUMIFS(BD!$AC$3:$AC$5001,BD!$A$3:$A$5001,AF$3,BD!$B$3:$B$5001,$A$72)))</f>
        <v/>
      </c>
      <c r="AG93" s="236" t="str">
        <f>IF(AG$3="","",IF(COUNTIFS(BD!$A$3:$A$5001,AG$3,BD!$B$3:$B$5001,$A$72,BD!$AC$3:$AC$5001,"&lt;&gt;")=0,"",SUMIFS(BD!$AC$3:$AC$5001,BD!$A$3:$A$5001,AG$3,BD!$B$3:$B$5001,$A$72)))</f>
        <v/>
      </c>
      <c r="AH93" s="236" t="str">
        <f>IF(AH$3="","",IF(COUNTIFS(BD!$A$3:$A$5001,AH$3,BD!$B$3:$B$5001,$A$72,BD!$AC$3:$AC$5001,"&lt;&gt;")=0,"",SUMIFS(BD!$AC$3:$AC$5001,BD!$A$3:$A$5001,AH$3,BD!$B$3:$B$5001,$A$72)))</f>
        <v/>
      </c>
      <c r="AI93" s="236" t="str">
        <f>IF(AI$3="","",IF(COUNTIFS(BD!$A$3:$A$5001,AI$3,BD!$B$3:$B$5001,$A$72,BD!$AC$3:$AC$5001,"&lt;&gt;")=0,"",SUMIFS(BD!$AC$3:$AC$5001,BD!$A$3:$A$5001,AI$3,BD!$B$3:$B$5001,$A$72)))</f>
        <v/>
      </c>
      <c r="AJ93" s="237" t="str">
        <f>IF(AJ$3="","",IF(COUNTIFS(BD!$A$3:$A$5001,AJ$3,BD!$B$3:$B$5001,$A$72,BD!$AC$3:$AC$5001,"&lt;&gt;")=0,"",SUMIFS(BD!$AC$3:$AC$5001,BD!$A$3:$A$5001,AJ$3,BD!$B$3:$B$5001,$A$72)))</f>
        <v/>
      </c>
      <c r="AK93" s="238" t="str">
        <f>IF(COUNT(F93:AJ93)=0,"",SUM(F93:AJ93))</f>
        <v/>
      </c>
    </row>
    <row r="94" ht="15.75" customHeight="1">
      <c r="A94" s="261"/>
      <c r="B94" s="258"/>
      <c r="C94" s="232" t="inlineStr">
        <is>
          <t xml:space="preserve">Férias</t>
        </is>
      </c>
      <c r="D94" s="233" t="str">
        <f>IFERROR(1/(1/INDEX(BD!$AL$51:$BF$51,MATCH($A$72,BD!$AL$22:$BF$22,0))),"")</f>
        <v/>
      </c>
      <c r="E94" s="234"/>
      <c r="F94" s="235" t="str">
        <f>IF(F$3="","",IF(COUNTIFS(BD!$A$3:$A$5001,F$3,BD!$B$3:$B$5001,$A$72,BD!$AD$3:$AD$5001,"&lt;&gt;")=0,"",SUMIFS(BD!$AD$3:$AD$5001,BD!$A$3:$A$5001,F$3,BD!$B$3:$B$5001,$A$72)))</f>
        <v/>
      </c>
      <c r="G94" s="236" t="str">
        <f>IF(G$3="","",IF(COUNTIFS(BD!$A$3:$A$5001,G$3,BD!$B$3:$B$5001,$A$72,BD!$AD$3:$AD$5001,"&lt;&gt;")=0,"",SUMIFS(BD!$AD$3:$AD$5001,BD!$A$3:$A$5001,G$3,BD!$B$3:$B$5001,$A$72)))</f>
        <v/>
      </c>
      <c r="H94" s="236" t="str">
        <f>IF(H$3="","",IF(COUNTIFS(BD!$A$3:$A$5001,H$3,BD!$B$3:$B$5001,$A$72,BD!$AD$3:$AD$5001,"&lt;&gt;")=0,"",SUMIFS(BD!$AD$3:$AD$5001,BD!$A$3:$A$5001,H$3,BD!$B$3:$B$5001,$A$72)))</f>
        <v/>
      </c>
      <c r="I94" s="236" t="str">
        <f>IF(I$3="","",IF(COUNTIFS(BD!$A$3:$A$5001,I$3,BD!$B$3:$B$5001,$A$72,BD!$AD$3:$AD$5001,"&lt;&gt;")=0,"",SUMIFS(BD!$AD$3:$AD$5001,BD!$A$3:$A$5001,I$3,BD!$B$3:$B$5001,$A$72)))</f>
        <v/>
      </c>
      <c r="J94" s="236" t="str">
        <f>IF(J$3="","",IF(COUNTIFS(BD!$A$3:$A$5001,J$3,BD!$B$3:$B$5001,$A$72,BD!$AD$3:$AD$5001,"&lt;&gt;")=0,"",SUMIFS(BD!$AD$3:$AD$5001,BD!$A$3:$A$5001,J$3,BD!$B$3:$B$5001,$A$72)))</f>
        <v/>
      </c>
      <c r="K94" s="236" t="str">
        <f>IF(K$3="","",IF(COUNTIFS(BD!$A$3:$A$5001,K$3,BD!$B$3:$B$5001,$A$72,BD!$AD$3:$AD$5001,"&lt;&gt;")=0,"",SUMIFS(BD!$AD$3:$AD$5001,BD!$A$3:$A$5001,K$3,BD!$B$3:$B$5001,$A$72)))</f>
        <v/>
      </c>
      <c r="L94" s="236" t="str">
        <f>IF(L$3="","",IF(COUNTIFS(BD!$A$3:$A$5001,L$3,BD!$B$3:$B$5001,$A$72,BD!$AD$3:$AD$5001,"&lt;&gt;")=0,"",SUMIFS(BD!$AD$3:$AD$5001,BD!$A$3:$A$5001,L$3,BD!$B$3:$B$5001,$A$72)))</f>
        <v/>
      </c>
      <c r="M94" s="236" t="str">
        <f>IF(M$3="","",IF(COUNTIFS(BD!$A$3:$A$5001,M$3,BD!$B$3:$B$5001,$A$72,BD!$AD$3:$AD$5001,"&lt;&gt;")=0,"",SUMIFS(BD!$AD$3:$AD$5001,BD!$A$3:$A$5001,M$3,BD!$B$3:$B$5001,$A$72)))</f>
        <v/>
      </c>
      <c r="N94" s="236" t="str">
        <f>IF(N$3="","",IF(COUNTIFS(BD!$A$3:$A$5001,N$3,BD!$B$3:$B$5001,$A$72,BD!$AD$3:$AD$5001,"&lt;&gt;")=0,"",SUMIFS(BD!$AD$3:$AD$5001,BD!$A$3:$A$5001,N$3,BD!$B$3:$B$5001,$A$72)))</f>
        <v/>
      </c>
      <c r="O94" s="236" t="str">
        <f>IF(O$3="","",IF(COUNTIFS(BD!$A$3:$A$5001,O$3,BD!$B$3:$B$5001,$A$72,BD!$AD$3:$AD$5001,"&lt;&gt;")=0,"",SUMIFS(BD!$AD$3:$AD$5001,BD!$A$3:$A$5001,O$3,BD!$B$3:$B$5001,$A$72)))</f>
        <v/>
      </c>
      <c r="P94" s="236" t="str">
        <f>IF(P$3="","",IF(COUNTIFS(BD!$A$3:$A$5001,P$3,BD!$B$3:$B$5001,$A$72,BD!$AD$3:$AD$5001,"&lt;&gt;")=0,"",SUMIFS(BD!$AD$3:$AD$5001,BD!$A$3:$A$5001,P$3,BD!$B$3:$B$5001,$A$72)))</f>
        <v/>
      </c>
      <c r="Q94" s="236" t="str">
        <f>IF(Q$3="","",IF(COUNTIFS(BD!$A$3:$A$5001,Q$3,BD!$B$3:$B$5001,$A$72,BD!$AD$3:$AD$5001,"&lt;&gt;")=0,"",SUMIFS(BD!$AD$3:$AD$5001,BD!$A$3:$A$5001,Q$3,BD!$B$3:$B$5001,$A$72)))</f>
        <v/>
      </c>
      <c r="R94" s="236" t="str">
        <f>IF(R$3="","",IF(COUNTIFS(BD!$A$3:$A$5001,R$3,BD!$B$3:$B$5001,$A$72,BD!$AD$3:$AD$5001,"&lt;&gt;")=0,"",SUMIFS(BD!$AD$3:$AD$5001,BD!$A$3:$A$5001,R$3,BD!$B$3:$B$5001,$A$72)))</f>
        <v/>
      </c>
      <c r="S94" s="236" t="str">
        <f>IF(S$3="","",IF(COUNTIFS(BD!$A$3:$A$5001,S$3,BD!$B$3:$B$5001,$A$72,BD!$AD$3:$AD$5001,"&lt;&gt;")=0,"",SUMIFS(BD!$AD$3:$AD$5001,BD!$A$3:$A$5001,S$3,BD!$B$3:$B$5001,$A$72)))</f>
        <v/>
      </c>
      <c r="T94" s="236" t="str">
        <f>IF(T$3="","",IF(COUNTIFS(BD!$A$3:$A$5001,T$3,BD!$B$3:$B$5001,$A$72,BD!$AD$3:$AD$5001,"&lt;&gt;")=0,"",SUMIFS(BD!$AD$3:$AD$5001,BD!$A$3:$A$5001,T$3,BD!$B$3:$B$5001,$A$72)))</f>
        <v/>
      </c>
      <c r="U94" s="236" t="str">
        <f>IF(U$3="","",IF(COUNTIFS(BD!$A$3:$A$5001,U$3,BD!$B$3:$B$5001,$A$72,BD!$AD$3:$AD$5001,"&lt;&gt;")=0,"",SUMIFS(BD!$AD$3:$AD$5001,BD!$A$3:$A$5001,U$3,BD!$B$3:$B$5001,$A$72)))</f>
        <v/>
      </c>
      <c r="V94" s="236" t="str">
        <f>IF(V$3="","",IF(COUNTIFS(BD!$A$3:$A$5001,V$3,BD!$B$3:$B$5001,$A$72,BD!$AD$3:$AD$5001,"&lt;&gt;")=0,"",SUMIFS(BD!$AD$3:$AD$5001,BD!$A$3:$A$5001,V$3,BD!$B$3:$B$5001,$A$72)))</f>
        <v/>
      </c>
      <c r="W94" s="236" t="str">
        <f>IF(W$3="","",IF(COUNTIFS(BD!$A$3:$A$5001,W$3,BD!$B$3:$B$5001,$A$72,BD!$AD$3:$AD$5001,"&lt;&gt;")=0,"",SUMIFS(BD!$AD$3:$AD$5001,BD!$A$3:$A$5001,W$3,BD!$B$3:$B$5001,$A$72)))</f>
        <v/>
      </c>
      <c r="X94" s="236" t="str">
        <f>IF(X$3="","",IF(COUNTIFS(BD!$A$3:$A$5001,X$3,BD!$B$3:$B$5001,$A$72,BD!$AD$3:$AD$5001,"&lt;&gt;")=0,"",SUMIFS(BD!$AD$3:$AD$5001,BD!$A$3:$A$5001,X$3,BD!$B$3:$B$5001,$A$72)))</f>
        <v/>
      </c>
      <c r="Y94" s="236" t="str">
        <f>IF(Y$3="","",IF(COUNTIFS(BD!$A$3:$A$5001,Y$3,BD!$B$3:$B$5001,$A$72,BD!$AD$3:$AD$5001,"&lt;&gt;")=0,"",SUMIFS(BD!$AD$3:$AD$5001,BD!$A$3:$A$5001,Y$3,BD!$B$3:$B$5001,$A$72)))</f>
        <v/>
      </c>
      <c r="Z94" s="236" t="str">
        <f>IF(Z$3="","",IF(COUNTIFS(BD!$A$3:$A$5001,Z$3,BD!$B$3:$B$5001,$A$72,BD!$AD$3:$AD$5001,"&lt;&gt;")=0,"",SUMIFS(BD!$AD$3:$AD$5001,BD!$A$3:$A$5001,Z$3,BD!$B$3:$B$5001,$A$72)))</f>
        <v/>
      </c>
      <c r="AA94" s="236" t="str">
        <f>IF(AA$3="","",IF(COUNTIFS(BD!$A$3:$A$5001,AA$3,BD!$B$3:$B$5001,$A$72,BD!$AD$3:$AD$5001,"&lt;&gt;")=0,"",SUMIFS(BD!$AD$3:$AD$5001,BD!$A$3:$A$5001,AA$3,BD!$B$3:$B$5001,$A$72)))</f>
        <v/>
      </c>
      <c r="AB94" s="236" t="str">
        <f>IF(AB$3="","",IF(COUNTIFS(BD!$A$3:$A$5001,AB$3,BD!$B$3:$B$5001,$A$72,BD!$AD$3:$AD$5001,"&lt;&gt;")=0,"",SUMIFS(BD!$AD$3:$AD$5001,BD!$A$3:$A$5001,AB$3,BD!$B$3:$B$5001,$A$72)))</f>
        <v/>
      </c>
      <c r="AC94" s="236" t="str">
        <f>IF(AC$3="","",IF(COUNTIFS(BD!$A$3:$A$5001,AC$3,BD!$B$3:$B$5001,$A$72,BD!$AD$3:$AD$5001,"&lt;&gt;")=0,"",SUMIFS(BD!$AD$3:$AD$5001,BD!$A$3:$A$5001,AC$3,BD!$B$3:$B$5001,$A$72)))</f>
        <v/>
      </c>
      <c r="AD94" s="236" t="str">
        <f>IF(AD$3="","",IF(COUNTIFS(BD!$A$3:$A$5001,AD$3,BD!$B$3:$B$5001,$A$72,BD!$AD$3:$AD$5001,"&lt;&gt;")=0,"",SUMIFS(BD!$AD$3:$AD$5001,BD!$A$3:$A$5001,AD$3,BD!$B$3:$B$5001,$A$72)))</f>
        <v/>
      </c>
      <c r="AE94" s="236" t="str">
        <f>IF(AE$3="","",IF(COUNTIFS(BD!$A$3:$A$5001,AE$3,BD!$B$3:$B$5001,$A$72,BD!$AD$3:$AD$5001,"&lt;&gt;")=0,"",SUMIFS(BD!$AD$3:$AD$5001,BD!$A$3:$A$5001,AE$3,BD!$B$3:$B$5001,$A$72)))</f>
        <v/>
      </c>
      <c r="AF94" s="236" t="str">
        <f>IF(AF$3="","",IF(COUNTIFS(BD!$A$3:$A$5001,AF$3,BD!$B$3:$B$5001,$A$72,BD!$AD$3:$AD$5001,"&lt;&gt;")=0,"",SUMIFS(BD!$AD$3:$AD$5001,BD!$A$3:$A$5001,AF$3,BD!$B$3:$B$5001,$A$72)))</f>
        <v/>
      </c>
      <c r="AG94" s="236" t="str">
        <f>IF(AG$3="","",IF(COUNTIFS(BD!$A$3:$A$5001,AG$3,BD!$B$3:$B$5001,$A$72,BD!$AD$3:$AD$5001,"&lt;&gt;")=0,"",SUMIFS(BD!$AD$3:$AD$5001,BD!$A$3:$A$5001,AG$3,BD!$B$3:$B$5001,$A$72)))</f>
        <v/>
      </c>
      <c r="AH94" s="236" t="str">
        <f>IF(AH$3="","",IF(COUNTIFS(BD!$A$3:$A$5001,AH$3,BD!$B$3:$B$5001,$A$72,BD!$AD$3:$AD$5001,"&lt;&gt;")=0,"",SUMIFS(BD!$AD$3:$AD$5001,BD!$A$3:$A$5001,AH$3,BD!$B$3:$B$5001,$A$72)))</f>
        <v/>
      </c>
      <c r="AI94" s="236" t="str">
        <f>IF(AI$3="","",IF(COUNTIFS(BD!$A$3:$A$5001,AI$3,BD!$B$3:$B$5001,$A$72,BD!$AD$3:$AD$5001,"&lt;&gt;")=0,"",SUMIFS(BD!$AD$3:$AD$5001,BD!$A$3:$A$5001,AI$3,BD!$B$3:$B$5001,$A$72)))</f>
        <v/>
      </c>
      <c r="AJ94" s="237" t="str">
        <f>IF(AJ$3="","",IF(COUNTIFS(BD!$A$3:$A$5001,AJ$3,BD!$B$3:$B$5001,$A$72,BD!$AD$3:$AD$5001,"&lt;&gt;")=0,"",SUMIFS(BD!$AD$3:$AD$5001,BD!$A$3:$A$5001,AJ$3,BD!$B$3:$B$5001,$A$72)))</f>
        <v/>
      </c>
      <c r="AK94" s="238" t="str">
        <f>IF(COUNT(F94:AJ94)=0,"",SUM(F94:AJ94))</f>
        <v/>
      </c>
    </row>
    <row r="95" ht="15.75" customHeight="1">
      <c r="A95" s="261"/>
      <c r="B95" s="258"/>
      <c r="C95" s="232" t="inlineStr">
        <is>
          <t xml:space="preserve">Desligamento</t>
        </is>
      </c>
      <c r="D95" s="233" t="str">
        <f>IFERROR(1/(1/INDEX(BD!$AL$52:$BF$52,MATCH($A$72,BD!$AL$22:$BF$22,0))),"")</f>
        <v/>
      </c>
      <c r="E95" s="234"/>
      <c r="F95" s="235" t="str">
        <f>IF(F$3="","",IF(COUNTIFS(BD!$A$3:$A$5001,F$3,BD!$B$3:$B$5001,$A$72,BD!$AE$3:$AE$5001,"&lt;&gt;")=0,"",SUMIFS(BD!$AE$3:$AE$5001,BD!$A$3:$A$5001,F$3,BD!$B$3:$B$5001,$A$72)))</f>
        <v/>
      </c>
      <c r="G95" s="236" t="str">
        <f>IF(G$3="","",IF(COUNTIFS(BD!$A$3:$A$5001,G$3,BD!$B$3:$B$5001,$A$72,BD!$AE$3:$AE$5001,"&lt;&gt;")=0,"",SUMIFS(BD!$AE$3:$AE$5001,BD!$A$3:$A$5001,G$3,BD!$B$3:$B$5001,$A$72)))</f>
        <v/>
      </c>
      <c r="H95" s="236" t="str">
        <f>IF(H$3="","",IF(COUNTIFS(BD!$A$3:$A$5001,H$3,BD!$B$3:$B$5001,$A$72,BD!$AE$3:$AE$5001,"&lt;&gt;")=0,"",SUMIFS(BD!$AE$3:$AE$5001,BD!$A$3:$A$5001,H$3,BD!$B$3:$B$5001,$A$72)))</f>
        <v/>
      </c>
      <c r="I95" s="236" t="str">
        <f>IF(I$3="","",IF(COUNTIFS(BD!$A$3:$A$5001,I$3,BD!$B$3:$B$5001,$A$72,BD!$AE$3:$AE$5001,"&lt;&gt;")=0,"",SUMIFS(BD!$AE$3:$AE$5001,BD!$A$3:$A$5001,I$3,BD!$B$3:$B$5001,$A$72)))</f>
        <v/>
      </c>
      <c r="J95" s="236" t="str">
        <f>IF(J$3="","",IF(COUNTIFS(BD!$A$3:$A$5001,J$3,BD!$B$3:$B$5001,$A$72,BD!$AE$3:$AE$5001,"&lt;&gt;")=0,"",SUMIFS(BD!$AE$3:$AE$5001,BD!$A$3:$A$5001,J$3,BD!$B$3:$B$5001,$A$72)))</f>
        <v/>
      </c>
      <c r="K95" s="236" t="str">
        <f>IF(K$3="","",IF(COUNTIFS(BD!$A$3:$A$5001,K$3,BD!$B$3:$B$5001,$A$72,BD!$AE$3:$AE$5001,"&lt;&gt;")=0,"",SUMIFS(BD!$AE$3:$AE$5001,BD!$A$3:$A$5001,K$3,BD!$B$3:$B$5001,$A$72)))</f>
        <v/>
      </c>
      <c r="L95" s="236" t="str">
        <f>IF(L$3="","",IF(COUNTIFS(BD!$A$3:$A$5001,L$3,BD!$B$3:$B$5001,$A$72,BD!$AE$3:$AE$5001,"&lt;&gt;")=0,"",SUMIFS(BD!$AE$3:$AE$5001,BD!$A$3:$A$5001,L$3,BD!$B$3:$B$5001,$A$72)))</f>
        <v/>
      </c>
      <c r="M95" s="236" t="str">
        <f>IF(M$3="","",IF(COUNTIFS(BD!$A$3:$A$5001,M$3,BD!$B$3:$B$5001,$A$72,BD!$AE$3:$AE$5001,"&lt;&gt;")=0,"",SUMIFS(BD!$AE$3:$AE$5001,BD!$A$3:$A$5001,M$3,BD!$B$3:$B$5001,$A$72)))</f>
        <v/>
      </c>
      <c r="N95" s="236" t="str">
        <f>IF(N$3="","",IF(COUNTIFS(BD!$A$3:$A$5001,N$3,BD!$B$3:$B$5001,$A$72,BD!$AE$3:$AE$5001,"&lt;&gt;")=0,"",SUMIFS(BD!$AE$3:$AE$5001,BD!$A$3:$A$5001,N$3,BD!$B$3:$B$5001,$A$72)))</f>
        <v/>
      </c>
      <c r="O95" s="236" t="str">
        <f>IF(O$3="","",IF(COUNTIFS(BD!$A$3:$A$5001,O$3,BD!$B$3:$B$5001,$A$72,BD!$AE$3:$AE$5001,"&lt;&gt;")=0,"",SUMIFS(BD!$AE$3:$AE$5001,BD!$A$3:$A$5001,O$3,BD!$B$3:$B$5001,$A$72)))</f>
        <v/>
      </c>
      <c r="P95" s="236" t="str">
        <f>IF(P$3="","",IF(COUNTIFS(BD!$A$3:$A$5001,P$3,BD!$B$3:$B$5001,$A$72,BD!$AE$3:$AE$5001,"&lt;&gt;")=0,"",SUMIFS(BD!$AE$3:$AE$5001,BD!$A$3:$A$5001,P$3,BD!$B$3:$B$5001,$A$72)))</f>
        <v/>
      </c>
      <c r="Q95" s="236" t="str">
        <f>IF(Q$3="","",IF(COUNTIFS(BD!$A$3:$A$5001,Q$3,BD!$B$3:$B$5001,$A$72,BD!$AE$3:$AE$5001,"&lt;&gt;")=0,"",SUMIFS(BD!$AE$3:$AE$5001,BD!$A$3:$A$5001,Q$3,BD!$B$3:$B$5001,$A$72)))</f>
        <v/>
      </c>
      <c r="R95" s="236" t="str">
        <f>IF(R$3="","",IF(COUNTIFS(BD!$A$3:$A$5001,R$3,BD!$B$3:$B$5001,$A$72,BD!$AE$3:$AE$5001,"&lt;&gt;")=0,"",SUMIFS(BD!$AE$3:$AE$5001,BD!$A$3:$A$5001,R$3,BD!$B$3:$B$5001,$A$72)))</f>
        <v/>
      </c>
      <c r="S95" s="236" t="str">
        <f>IF(S$3="","",IF(COUNTIFS(BD!$A$3:$A$5001,S$3,BD!$B$3:$B$5001,$A$72,BD!$AE$3:$AE$5001,"&lt;&gt;")=0,"",SUMIFS(BD!$AE$3:$AE$5001,BD!$A$3:$A$5001,S$3,BD!$B$3:$B$5001,$A$72)))</f>
        <v/>
      </c>
      <c r="T95" s="236" t="str">
        <f>IF(T$3="","",IF(COUNTIFS(BD!$A$3:$A$5001,T$3,BD!$B$3:$B$5001,$A$72,BD!$AE$3:$AE$5001,"&lt;&gt;")=0,"",SUMIFS(BD!$AE$3:$AE$5001,BD!$A$3:$A$5001,T$3,BD!$B$3:$B$5001,$A$72)))</f>
        <v/>
      </c>
      <c r="U95" s="236" t="str">
        <f>IF(U$3="","",IF(COUNTIFS(BD!$A$3:$A$5001,U$3,BD!$B$3:$B$5001,$A$72,BD!$AE$3:$AE$5001,"&lt;&gt;")=0,"",SUMIFS(BD!$AE$3:$AE$5001,BD!$A$3:$A$5001,U$3,BD!$B$3:$B$5001,$A$72)))</f>
        <v/>
      </c>
      <c r="V95" s="236" t="str">
        <f>IF(V$3="","",IF(COUNTIFS(BD!$A$3:$A$5001,V$3,BD!$B$3:$B$5001,$A$72,BD!$AE$3:$AE$5001,"&lt;&gt;")=0,"",SUMIFS(BD!$AE$3:$AE$5001,BD!$A$3:$A$5001,V$3,BD!$B$3:$B$5001,$A$72)))</f>
        <v/>
      </c>
      <c r="W95" s="236" t="str">
        <f>IF(W$3="","",IF(COUNTIFS(BD!$A$3:$A$5001,W$3,BD!$B$3:$B$5001,$A$72,BD!$AE$3:$AE$5001,"&lt;&gt;")=0,"",SUMIFS(BD!$AE$3:$AE$5001,BD!$A$3:$A$5001,W$3,BD!$B$3:$B$5001,$A$72)))</f>
        <v/>
      </c>
      <c r="X95" s="236" t="str">
        <f>IF(X$3="","",IF(COUNTIFS(BD!$A$3:$A$5001,X$3,BD!$B$3:$B$5001,$A$72,BD!$AE$3:$AE$5001,"&lt;&gt;")=0,"",SUMIFS(BD!$AE$3:$AE$5001,BD!$A$3:$A$5001,X$3,BD!$B$3:$B$5001,$A$72)))</f>
        <v/>
      </c>
      <c r="Y95" s="236" t="str">
        <f>IF(Y$3="","",IF(COUNTIFS(BD!$A$3:$A$5001,Y$3,BD!$B$3:$B$5001,$A$72,BD!$AE$3:$AE$5001,"&lt;&gt;")=0,"",SUMIFS(BD!$AE$3:$AE$5001,BD!$A$3:$A$5001,Y$3,BD!$B$3:$B$5001,$A$72)))</f>
        <v/>
      </c>
      <c r="Z95" s="236" t="str">
        <f>IF(Z$3="","",IF(COUNTIFS(BD!$A$3:$A$5001,Z$3,BD!$B$3:$B$5001,$A$72,BD!$AE$3:$AE$5001,"&lt;&gt;")=0,"",SUMIFS(BD!$AE$3:$AE$5001,BD!$A$3:$A$5001,Z$3,BD!$B$3:$B$5001,$A$72)))</f>
        <v/>
      </c>
      <c r="AA95" s="236" t="str">
        <f>IF(AA$3="","",IF(COUNTIFS(BD!$A$3:$A$5001,AA$3,BD!$B$3:$B$5001,$A$72,BD!$AE$3:$AE$5001,"&lt;&gt;")=0,"",SUMIFS(BD!$AE$3:$AE$5001,BD!$A$3:$A$5001,AA$3,BD!$B$3:$B$5001,$A$72)))</f>
        <v/>
      </c>
      <c r="AB95" s="236" t="str">
        <f>IF(AB$3="","",IF(COUNTIFS(BD!$A$3:$A$5001,AB$3,BD!$B$3:$B$5001,$A$72,BD!$AE$3:$AE$5001,"&lt;&gt;")=0,"",SUMIFS(BD!$AE$3:$AE$5001,BD!$A$3:$A$5001,AB$3,BD!$B$3:$B$5001,$A$72)))</f>
        <v/>
      </c>
      <c r="AC95" s="236" t="str">
        <f>IF(AC$3="","",IF(COUNTIFS(BD!$A$3:$A$5001,AC$3,BD!$B$3:$B$5001,$A$72,BD!$AE$3:$AE$5001,"&lt;&gt;")=0,"",SUMIFS(BD!$AE$3:$AE$5001,BD!$A$3:$A$5001,AC$3,BD!$B$3:$B$5001,$A$72)))</f>
        <v/>
      </c>
      <c r="AD95" s="236" t="str">
        <f>IF(AD$3="","",IF(COUNTIFS(BD!$A$3:$A$5001,AD$3,BD!$B$3:$B$5001,$A$72,BD!$AE$3:$AE$5001,"&lt;&gt;")=0,"",SUMIFS(BD!$AE$3:$AE$5001,BD!$A$3:$A$5001,AD$3,BD!$B$3:$B$5001,$A$72)))</f>
        <v/>
      </c>
      <c r="AE95" s="236" t="str">
        <f>IF(AE$3="","",IF(COUNTIFS(BD!$A$3:$A$5001,AE$3,BD!$B$3:$B$5001,$A$72,BD!$AE$3:$AE$5001,"&lt;&gt;")=0,"",SUMIFS(BD!$AE$3:$AE$5001,BD!$A$3:$A$5001,AE$3,BD!$B$3:$B$5001,$A$72)))</f>
        <v/>
      </c>
      <c r="AF95" s="236" t="str">
        <f>IF(AF$3="","",IF(COUNTIFS(BD!$A$3:$A$5001,AF$3,BD!$B$3:$B$5001,$A$72,BD!$AE$3:$AE$5001,"&lt;&gt;")=0,"",SUMIFS(BD!$AE$3:$AE$5001,BD!$A$3:$A$5001,AF$3,BD!$B$3:$B$5001,$A$72)))</f>
        <v/>
      </c>
      <c r="AG95" s="236" t="str">
        <f>IF(AG$3="","",IF(COUNTIFS(BD!$A$3:$A$5001,AG$3,BD!$B$3:$B$5001,$A$72,BD!$AE$3:$AE$5001,"&lt;&gt;")=0,"",SUMIFS(BD!$AE$3:$AE$5001,BD!$A$3:$A$5001,AG$3,BD!$B$3:$B$5001,$A$72)))</f>
        <v/>
      </c>
      <c r="AH95" s="236" t="str">
        <f>IF(AH$3="","",IF(COUNTIFS(BD!$A$3:$A$5001,AH$3,BD!$B$3:$B$5001,$A$72,BD!$AE$3:$AE$5001,"&lt;&gt;")=0,"",SUMIFS(BD!$AE$3:$AE$5001,BD!$A$3:$A$5001,AH$3,BD!$B$3:$B$5001,$A$72)))</f>
        <v/>
      </c>
      <c r="AI95" s="236" t="str">
        <f>IF(AI$3="","",IF(COUNTIFS(BD!$A$3:$A$5001,AI$3,BD!$B$3:$B$5001,$A$72,BD!$AE$3:$AE$5001,"&lt;&gt;")=0,"",SUMIFS(BD!$AE$3:$AE$5001,BD!$A$3:$A$5001,AI$3,BD!$B$3:$B$5001,$A$72)))</f>
        <v/>
      </c>
      <c r="AJ95" s="237" t="str">
        <f>IF(AJ$3="","",IF(COUNTIFS(BD!$A$3:$A$5001,AJ$3,BD!$B$3:$B$5001,$A$72,BD!$AE$3:$AE$5001,"&lt;&gt;")=0,"",SUMIFS(BD!$AE$3:$AE$5001,BD!$A$3:$A$5001,AJ$3,BD!$B$3:$B$5001,$A$72)))</f>
        <v/>
      </c>
      <c r="AK95" s="238" t="str">
        <f>IF(COUNT(F95:AJ95)=0,"",SUM(F95:AJ95))</f>
        <v/>
      </c>
    </row>
    <row r="96" ht="15.75" customHeight="1">
      <c r="A96" s="261"/>
      <c r="B96" s="258"/>
      <c r="C96" s="232" t="inlineStr">
        <is>
          <t xml:space="preserve">Desvios Comportamentais</t>
        </is>
      </c>
      <c r="D96" s="233" t="str">
        <f>IFERROR(1/(1/INDEX(BD!$AL$53:$BF$53,MATCH($A$72,BD!$AL$22:$BF$22,0))),"")</f>
        <v/>
      </c>
      <c r="E96" s="234"/>
      <c r="F96" s="235" t="str">
        <f>IF(F$3="","",IF(COUNTIFS(BD!$A$3:$A$5001,F$3,BD!$B$3:$B$5001,$A$72,BD!$AF$3:$AF$5001,"&lt;&gt;")=0,"",SUMIFS(BD!$AF$3:$AF$5001,BD!$A$3:$A$5001,F$3,BD!$B$3:$B$5001,$A$72)))</f>
        <v/>
      </c>
      <c r="G96" s="236" t="str">
        <f>IF(G$3="","",IF(COUNTIFS(BD!$A$3:$A$5001,G$3,BD!$B$3:$B$5001,$A$72,BD!$AF$3:$AF$5001,"&lt;&gt;")=0,"",SUMIFS(BD!$AF$3:$AF$5001,BD!$A$3:$A$5001,G$3,BD!$B$3:$B$5001,$A$72)))</f>
        <v/>
      </c>
      <c r="H96" s="236" t="str">
        <f>IF(H$3="","",IF(COUNTIFS(BD!$A$3:$A$5001,H$3,BD!$B$3:$B$5001,$A$72,BD!$AF$3:$AF$5001,"&lt;&gt;")=0,"",SUMIFS(BD!$AF$3:$AF$5001,BD!$A$3:$A$5001,H$3,BD!$B$3:$B$5001,$A$72)))</f>
        <v/>
      </c>
      <c r="I96" s="236" t="str">
        <f>IF(I$3="","",IF(COUNTIFS(BD!$A$3:$A$5001,I$3,BD!$B$3:$B$5001,$A$72,BD!$AF$3:$AF$5001,"&lt;&gt;")=0,"",SUMIFS(BD!$AF$3:$AF$5001,BD!$A$3:$A$5001,I$3,BD!$B$3:$B$5001,$A$72)))</f>
        <v/>
      </c>
      <c r="J96" s="236" t="str">
        <f>IF(J$3="","",IF(COUNTIFS(BD!$A$3:$A$5001,J$3,BD!$B$3:$B$5001,$A$72,BD!$AF$3:$AF$5001,"&lt;&gt;")=0,"",SUMIFS(BD!$AF$3:$AF$5001,BD!$A$3:$A$5001,J$3,BD!$B$3:$B$5001,$A$72)))</f>
        <v/>
      </c>
      <c r="K96" s="236" t="str">
        <f>IF(K$3="","",IF(COUNTIFS(BD!$A$3:$A$5001,K$3,BD!$B$3:$B$5001,$A$72,BD!$AF$3:$AF$5001,"&lt;&gt;")=0,"",SUMIFS(BD!$AF$3:$AF$5001,BD!$A$3:$A$5001,K$3,BD!$B$3:$B$5001,$A$72)))</f>
        <v/>
      </c>
      <c r="L96" s="236" t="str">
        <f>IF(L$3="","",IF(COUNTIFS(BD!$A$3:$A$5001,L$3,BD!$B$3:$B$5001,$A$72,BD!$AF$3:$AF$5001,"&lt;&gt;")=0,"",SUMIFS(BD!$AF$3:$AF$5001,BD!$A$3:$A$5001,L$3,BD!$B$3:$B$5001,$A$72)))</f>
        <v/>
      </c>
      <c r="M96" s="236" t="str">
        <f>IF(M$3="","",IF(COUNTIFS(BD!$A$3:$A$5001,M$3,BD!$B$3:$B$5001,$A$72,BD!$AF$3:$AF$5001,"&lt;&gt;")=0,"",SUMIFS(BD!$AF$3:$AF$5001,BD!$A$3:$A$5001,M$3,BD!$B$3:$B$5001,$A$72)))</f>
        <v/>
      </c>
      <c r="N96" s="236" t="str">
        <f>IF(N$3="","",IF(COUNTIFS(BD!$A$3:$A$5001,N$3,BD!$B$3:$B$5001,$A$72,BD!$AF$3:$AF$5001,"&lt;&gt;")=0,"",SUMIFS(BD!$AF$3:$AF$5001,BD!$A$3:$A$5001,N$3,BD!$B$3:$B$5001,$A$72)))</f>
        <v/>
      </c>
      <c r="O96" s="236" t="str">
        <f>IF(O$3="","",IF(COUNTIFS(BD!$A$3:$A$5001,O$3,BD!$B$3:$B$5001,$A$72,BD!$AF$3:$AF$5001,"&lt;&gt;")=0,"",SUMIFS(BD!$AF$3:$AF$5001,BD!$A$3:$A$5001,O$3,BD!$B$3:$B$5001,$A$72)))</f>
        <v/>
      </c>
      <c r="P96" s="236" t="str">
        <f>IF(P$3="","",IF(COUNTIFS(BD!$A$3:$A$5001,P$3,BD!$B$3:$B$5001,$A$72,BD!$AF$3:$AF$5001,"&lt;&gt;")=0,"",SUMIFS(BD!$AF$3:$AF$5001,BD!$A$3:$A$5001,P$3,BD!$B$3:$B$5001,$A$72)))</f>
        <v/>
      </c>
      <c r="Q96" s="236" t="str">
        <f>IF(Q$3="","",IF(COUNTIFS(BD!$A$3:$A$5001,Q$3,BD!$B$3:$B$5001,$A$72,BD!$AF$3:$AF$5001,"&lt;&gt;")=0,"",SUMIFS(BD!$AF$3:$AF$5001,BD!$A$3:$A$5001,Q$3,BD!$B$3:$B$5001,$A$72)))</f>
        <v/>
      </c>
      <c r="R96" s="236" t="str">
        <f>IF(R$3="","",IF(COUNTIFS(BD!$A$3:$A$5001,R$3,BD!$B$3:$B$5001,$A$72,BD!$AF$3:$AF$5001,"&lt;&gt;")=0,"",SUMIFS(BD!$AF$3:$AF$5001,BD!$A$3:$A$5001,R$3,BD!$B$3:$B$5001,$A$72)))</f>
        <v/>
      </c>
      <c r="S96" s="236" t="str">
        <f>IF(S$3="","",IF(COUNTIFS(BD!$A$3:$A$5001,S$3,BD!$B$3:$B$5001,$A$72,BD!$AF$3:$AF$5001,"&lt;&gt;")=0,"",SUMIFS(BD!$AF$3:$AF$5001,BD!$A$3:$A$5001,S$3,BD!$B$3:$B$5001,$A$72)))</f>
        <v/>
      </c>
      <c r="T96" s="236" t="str">
        <f>IF(T$3="","",IF(COUNTIFS(BD!$A$3:$A$5001,T$3,BD!$B$3:$B$5001,$A$72,BD!$AF$3:$AF$5001,"&lt;&gt;")=0,"",SUMIFS(BD!$AF$3:$AF$5001,BD!$A$3:$A$5001,T$3,BD!$B$3:$B$5001,$A$72)))</f>
        <v/>
      </c>
      <c r="U96" s="236" t="str">
        <f>IF(U$3="","",IF(COUNTIFS(BD!$A$3:$A$5001,U$3,BD!$B$3:$B$5001,$A$72,BD!$AF$3:$AF$5001,"&lt;&gt;")=0,"",SUMIFS(BD!$AF$3:$AF$5001,BD!$A$3:$A$5001,U$3,BD!$B$3:$B$5001,$A$72)))</f>
        <v/>
      </c>
      <c r="V96" s="236" t="str">
        <f>IF(V$3="","",IF(COUNTIFS(BD!$A$3:$A$5001,V$3,BD!$B$3:$B$5001,$A$72,BD!$AF$3:$AF$5001,"&lt;&gt;")=0,"",SUMIFS(BD!$AF$3:$AF$5001,BD!$A$3:$A$5001,V$3,BD!$B$3:$B$5001,$A$72)))</f>
        <v/>
      </c>
      <c r="W96" s="236" t="str">
        <f>IF(W$3="","",IF(COUNTIFS(BD!$A$3:$A$5001,W$3,BD!$B$3:$B$5001,$A$72,BD!$AF$3:$AF$5001,"&lt;&gt;")=0,"",SUMIFS(BD!$AF$3:$AF$5001,BD!$A$3:$A$5001,W$3,BD!$B$3:$B$5001,$A$72)))</f>
        <v/>
      </c>
      <c r="X96" s="236" t="str">
        <f>IF(X$3="","",IF(COUNTIFS(BD!$A$3:$A$5001,X$3,BD!$B$3:$B$5001,$A$72,BD!$AF$3:$AF$5001,"&lt;&gt;")=0,"",SUMIFS(BD!$AF$3:$AF$5001,BD!$A$3:$A$5001,X$3,BD!$B$3:$B$5001,$A$72)))</f>
        <v/>
      </c>
      <c r="Y96" s="236" t="str">
        <f>IF(Y$3="","",IF(COUNTIFS(BD!$A$3:$A$5001,Y$3,BD!$B$3:$B$5001,$A$72,BD!$AF$3:$AF$5001,"&lt;&gt;")=0,"",SUMIFS(BD!$AF$3:$AF$5001,BD!$A$3:$A$5001,Y$3,BD!$B$3:$B$5001,$A$72)))</f>
        <v/>
      </c>
      <c r="Z96" s="236" t="str">
        <f>IF(Z$3="","",IF(COUNTIFS(BD!$A$3:$A$5001,Z$3,BD!$B$3:$B$5001,$A$72,BD!$AF$3:$AF$5001,"&lt;&gt;")=0,"",SUMIFS(BD!$AF$3:$AF$5001,BD!$A$3:$A$5001,Z$3,BD!$B$3:$B$5001,$A$72)))</f>
        <v/>
      </c>
      <c r="AA96" s="236" t="str">
        <f>IF(AA$3="","",IF(COUNTIFS(BD!$A$3:$A$5001,AA$3,BD!$B$3:$B$5001,$A$72,BD!$AF$3:$AF$5001,"&lt;&gt;")=0,"",SUMIFS(BD!$AF$3:$AF$5001,BD!$A$3:$A$5001,AA$3,BD!$B$3:$B$5001,$A$72)))</f>
        <v/>
      </c>
      <c r="AB96" s="236" t="str">
        <f>IF(AB$3="","",IF(COUNTIFS(BD!$A$3:$A$5001,AB$3,BD!$B$3:$B$5001,$A$72,BD!$AF$3:$AF$5001,"&lt;&gt;")=0,"",SUMIFS(BD!$AF$3:$AF$5001,BD!$A$3:$A$5001,AB$3,BD!$B$3:$B$5001,$A$72)))</f>
        <v/>
      </c>
      <c r="AC96" s="236" t="str">
        <f>IF(AC$3="","",IF(COUNTIFS(BD!$A$3:$A$5001,AC$3,BD!$B$3:$B$5001,$A$72,BD!$AF$3:$AF$5001,"&lt;&gt;")=0,"",SUMIFS(BD!$AF$3:$AF$5001,BD!$A$3:$A$5001,AC$3,BD!$B$3:$B$5001,$A$72)))</f>
        <v/>
      </c>
      <c r="AD96" s="236" t="str">
        <f>IF(AD$3="","",IF(COUNTIFS(BD!$A$3:$A$5001,AD$3,BD!$B$3:$B$5001,$A$72,BD!$AF$3:$AF$5001,"&lt;&gt;")=0,"",SUMIFS(BD!$AF$3:$AF$5001,BD!$A$3:$A$5001,AD$3,BD!$B$3:$B$5001,$A$72)))</f>
        <v/>
      </c>
      <c r="AE96" s="236" t="str">
        <f>IF(AE$3="","",IF(COUNTIFS(BD!$A$3:$A$5001,AE$3,BD!$B$3:$B$5001,$A$72,BD!$AF$3:$AF$5001,"&lt;&gt;")=0,"",SUMIFS(BD!$AF$3:$AF$5001,BD!$A$3:$A$5001,AE$3,BD!$B$3:$B$5001,$A$72)))</f>
        <v/>
      </c>
      <c r="AF96" s="236" t="str">
        <f>IF(AF$3="","",IF(COUNTIFS(BD!$A$3:$A$5001,AF$3,BD!$B$3:$B$5001,$A$72,BD!$AF$3:$AF$5001,"&lt;&gt;")=0,"",SUMIFS(BD!$AF$3:$AF$5001,BD!$A$3:$A$5001,AF$3,BD!$B$3:$B$5001,$A$72)))</f>
        <v/>
      </c>
      <c r="AG96" s="236" t="str">
        <f>IF(AG$3="","",IF(COUNTIFS(BD!$A$3:$A$5001,AG$3,BD!$B$3:$B$5001,$A$72,BD!$AF$3:$AF$5001,"&lt;&gt;")=0,"",SUMIFS(BD!$AF$3:$AF$5001,BD!$A$3:$A$5001,AG$3,BD!$B$3:$B$5001,$A$72)))</f>
        <v/>
      </c>
      <c r="AH96" s="236" t="str">
        <f>IF(AH$3="","",IF(COUNTIFS(BD!$A$3:$A$5001,AH$3,BD!$B$3:$B$5001,$A$72,BD!$AF$3:$AF$5001,"&lt;&gt;")=0,"",SUMIFS(BD!$AF$3:$AF$5001,BD!$A$3:$A$5001,AH$3,BD!$B$3:$B$5001,$A$72)))</f>
        <v/>
      </c>
      <c r="AI96" s="236" t="str">
        <f>IF(AI$3="","",IF(COUNTIFS(BD!$A$3:$A$5001,AI$3,BD!$B$3:$B$5001,$A$72,BD!$AF$3:$AF$5001,"&lt;&gt;")=0,"",SUMIFS(BD!$AF$3:$AF$5001,BD!$A$3:$A$5001,AI$3,BD!$B$3:$B$5001,$A$72)))</f>
        <v/>
      </c>
      <c r="AJ96" s="237" t="str">
        <f>IF(AJ$3="","",IF(COUNTIFS(BD!$A$3:$A$5001,AJ$3,BD!$B$3:$B$5001,$A$72,BD!$AF$3:$AF$5001,"&lt;&gt;")=0,"",SUMIFS(BD!$AF$3:$AF$5001,BD!$A$3:$A$5001,AJ$3,BD!$B$3:$B$5001,$A$72)))</f>
        <v/>
      </c>
      <c r="AK96" s="238" t="str">
        <f>IF(COUNT(F96:AJ96)=0,"",SUM(F96:AJ96))</f>
        <v/>
      </c>
    </row>
    <row r="97" ht="15.75" customHeight="1">
      <c r="A97" s="261"/>
      <c r="B97" s="258"/>
      <c r="C97" s="232" t="inlineStr">
        <is>
          <t xml:space="preserve">Acidentes CAF</t>
        </is>
      </c>
      <c r="D97" s="233" t="str">
        <f>IFERROR(1/(1/INDEX(BD!$AL$54:$BF$54,MATCH($A$72,BD!$AL$22:$BF$22,0))),"")</f>
        <v/>
      </c>
      <c r="E97" s="234"/>
      <c r="F97" s="235" t="str">
        <f>IF(F$3="","",IF(COUNTIFS(BD!$A$3:$A$5001,F$3,BD!$B$3:$B$5001,$A$72,BD!$AG$3:$AG$5001,"&lt;&gt;")=0,"",SUMIFS(BD!$AG$3:$AG$5001,BD!$A$3:$A$5001,F$3,BD!$B$3:$B$5001,$A$72)))</f>
        <v/>
      </c>
      <c r="G97" s="236" t="str">
        <f>IF(G$3="","",IF(COUNTIFS(BD!$A$3:$A$5001,G$3,BD!$B$3:$B$5001,$A$72,BD!$AG$3:$AG$5001,"&lt;&gt;")=0,"",SUMIFS(BD!$AG$3:$AG$5001,BD!$A$3:$A$5001,G$3,BD!$B$3:$B$5001,$A$72)))</f>
        <v/>
      </c>
      <c r="H97" s="236" t="str">
        <f>IF(H$3="","",IF(COUNTIFS(BD!$A$3:$A$5001,H$3,BD!$B$3:$B$5001,$A$72,BD!$AG$3:$AG$5001,"&lt;&gt;")=0,"",SUMIFS(BD!$AG$3:$AG$5001,BD!$A$3:$A$5001,H$3,BD!$B$3:$B$5001,$A$72)))</f>
        <v/>
      </c>
      <c r="I97" s="236" t="str">
        <f>IF(I$3="","",IF(COUNTIFS(BD!$A$3:$A$5001,I$3,BD!$B$3:$B$5001,$A$72,BD!$AG$3:$AG$5001,"&lt;&gt;")=0,"",SUMIFS(BD!$AG$3:$AG$5001,BD!$A$3:$A$5001,I$3,BD!$B$3:$B$5001,$A$72)))</f>
        <v/>
      </c>
      <c r="J97" s="236" t="str">
        <f>IF(J$3="","",IF(COUNTIFS(BD!$A$3:$A$5001,J$3,BD!$B$3:$B$5001,$A$72,BD!$AG$3:$AG$5001,"&lt;&gt;")=0,"",SUMIFS(BD!$AG$3:$AG$5001,BD!$A$3:$A$5001,J$3,BD!$B$3:$B$5001,$A$72)))</f>
        <v/>
      </c>
      <c r="K97" s="236" t="str">
        <f>IF(K$3="","",IF(COUNTIFS(BD!$A$3:$A$5001,K$3,BD!$B$3:$B$5001,$A$72,BD!$AG$3:$AG$5001,"&lt;&gt;")=0,"",SUMIFS(BD!$AG$3:$AG$5001,BD!$A$3:$A$5001,K$3,BD!$B$3:$B$5001,$A$72)))</f>
        <v/>
      </c>
      <c r="L97" s="236" t="str">
        <f>IF(L$3="","",IF(COUNTIFS(BD!$A$3:$A$5001,L$3,BD!$B$3:$B$5001,$A$72,BD!$AG$3:$AG$5001,"&lt;&gt;")=0,"",SUMIFS(BD!$AG$3:$AG$5001,BD!$A$3:$A$5001,L$3,BD!$B$3:$B$5001,$A$72)))</f>
        <v/>
      </c>
      <c r="M97" s="236" t="str">
        <f>IF(M$3="","",IF(COUNTIFS(BD!$A$3:$A$5001,M$3,BD!$B$3:$B$5001,$A$72,BD!$AG$3:$AG$5001,"&lt;&gt;")=0,"",SUMIFS(BD!$AG$3:$AG$5001,BD!$A$3:$A$5001,M$3,BD!$B$3:$B$5001,$A$72)))</f>
        <v/>
      </c>
      <c r="N97" s="236" t="str">
        <f>IF(N$3="","",IF(COUNTIFS(BD!$A$3:$A$5001,N$3,BD!$B$3:$B$5001,$A$72,BD!$AG$3:$AG$5001,"&lt;&gt;")=0,"",SUMIFS(BD!$AG$3:$AG$5001,BD!$A$3:$A$5001,N$3,BD!$B$3:$B$5001,$A$72)))</f>
        <v/>
      </c>
      <c r="O97" s="236" t="str">
        <f>IF(O$3="","",IF(COUNTIFS(BD!$A$3:$A$5001,O$3,BD!$B$3:$B$5001,$A$72,BD!$AG$3:$AG$5001,"&lt;&gt;")=0,"",SUMIFS(BD!$AG$3:$AG$5001,BD!$A$3:$A$5001,O$3,BD!$B$3:$B$5001,$A$72)))</f>
        <v/>
      </c>
      <c r="P97" s="236" t="str">
        <f>IF(P$3="","",IF(COUNTIFS(BD!$A$3:$A$5001,P$3,BD!$B$3:$B$5001,$A$72,BD!$AG$3:$AG$5001,"&lt;&gt;")=0,"",SUMIFS(BD!$AG$3:$AG$5001,BD!$A$3:$A$5001,P$3,BD!$B$3:$B$5001,$A$72)))</f>
        <v/>
      </c>
      <c r="Q97" s="236" t="str">
        <f>IF(Q$3="","",IF(COUNTIFS(BD!$A$3:$A$5001,Q$3,BD!$B$3:$B$5001,$A$72,BD!$AG$3:$AG$5001,"&lt;&gt;")=0,"",SUMIFS(BD!$AG$3:$AG$5001,BD!$A$3:$A$5001,Q$3,BD!$B$3:$B$5001,$A$72)))</f>
        <v/>
      </c>
      <c r="R97" s="236" t="str">
        <f>IF(R$3="","",IF(COUNTIFS(BD!$A$3:$A$5001,R$3,BD!$B$3:$B$5001,$A$72,BD!$AG$3:$AG$5001,"&lt;&gt;")=0,"",SUMIFS(BD!$AG$3:$AG$5001,BD!$A$3:$A$5001,R$3,BD!$B$3:$B$5001,$A$72)))</f>
        <v/>
      </c>
      <c r="S97" s="236" t="str">
        <f>IF(S$3="","",IF(COUNTIFS(BD!$A$3:$A$5001,S$3,BD!$B$3:$B$5001,$A$72,BD!$AG$3:$AG$5001,"&lt;&gt;")=0,"",SUMIFS(BD!$AG$3:$AG$5001,BD!$A$3:$A$5001,S$3,BD!$B$3:$B$5001,$A$72)))</f>
        <v/>
      </c>
      <c r="T97" s="236" t="str">
        <f>IF(T$3="","",IF(COUNTIFS(BD!$A$3:$A$5001,T$3,BD!$B$3:$B$5001,$A$72,BD!$AG$3:$AG$5001,"&lt;&gt;")=0,"",SUMIFS(BD!$AG$3:$AG$5001,BD!$A$3:$A$5001,T$3,BD!$B$3:$B$5001,$A$72)))</f>
        <v/>
      </c>
      <c r="U97" s="236" t="str">
        <f>IF(U$3="","",IF(COUNTIFS(BD!$A$3:$A$5001,U$3,BD!$B$3:$B$5001,$A$72,BD!$AG$3:$AG$5001,"&lt;&gt;")=0,"",SUMIFS(BD!$AG$3:$AG$5001,BD!$A$3:$A$5001,U$3,BD!$B$3:$B$5001,$A$72)))</f>
        <v/>
      </c>
      <c r="V97" s="236" t="str">
        <f>IF(V$3="","",IF(COUNTIFS(BD!$A$3:$A$5001,V$3,BD!$B$3:$B$5001,$A$72,BD!$AG$3:$AG$5001,"&lt;&gt;")=0,"",SUMIFS(BD!$AG$3:$AG$5001,BD!$A$3:$A$5001,V$3,BD!$B$3:$B$5001,$A$72)))</f>
        <v/>
      </c>
      <c r="W97" s="236" t="str">
        <f>IF(W$3="","",IF(COUNTIFS(BD!$A$3:$A$5001,W$3,BD!$B$3:$B$5001,$A$72,BD!$AG$3:$AG$5001,"&lt;&gt;")=0,"",SUMIFS(BD!$AG$3:$AG$5001,BD!$A$3:$A$5001,W$3,BD!$B$3:$B$5001,$A$72)))</f>
        <v/>
      </c>
      <c r="X97" s="236" t="str">
        <f>IF(X$3="","",IF(COUNTIFS(BD!$A$3:$A$5001,X$3,BD!$B$3:$B$5001,$A$72,BD!$AG$3:$AG$5001,"&lt;&gt;")=0,"",SUMIFS(BD!$AG$3:$AG$5001,BD!$A$3:$A$5001,X$3,BD!$B$3:$B$5001,$A$72)))</f>
        <v/>
      </c>
      <c r="Y97" s="236" t="str">
        <f>IF(Y$3="","",IF(COUNTIFS(BD!$A$3:$A$5001,Y$3,BD!$B$3:$B$5001,$A$72,BD!$AG$3:$AG$5001,"&lt;&gt;")=0,"",SUMIFS(BD!$AG$3:$AG$5001,BD!$A$3:$A$5001,Y$3,BD!$B$3:$B$5001,$A$72)))</f>
        <v/>
      </c>
      <c r="Z97" s="236" t="str">
        <f>IF(Z$3="","",IF(COUNTIFS(BD!$A$3:$A$5001,Z$3,BD!$B$3:$B$5001,$A$72,BD!$AG$3:$AG$5001,"&lt;&gt;")=0,"",SUMIFS(BD!$AG$3:$AG$5001,BD!$A$3:$A$5001,Z$3,BD!$B$3:$B$5001,$A$72)))</f>
        <v/>
      </c>
      <c r="AA97" s="236" t="str">
        <f>IF(AA$3="","",IF(COUNTIFS(BD!$A$3:$A$5001,AA$3,BD!$B$3:$B$5001,$A$72,BD!$AG$3:$AG$5001,"&lt;&gt;")=0,"",SUMIFS(BD!$AG$3:$AG$5001,BD!$A$3:$A$5001,AA$3,BD!$B$3:$B$5001,$A$72)))</f>
        <v/>
      </c>
      <c r="AB97" s="236" t="str">
        <f>IF(AB$3="","",IF(COUNTIFS(BD!$A$3:$A$5001,AB$3,BD!$B$3:$B$5001,$A$72,BD!$AG$3:$AG$5001,"&lt;&gt;")=0,"",SUMIFS(BD!$AG$3:$AG$5001,BD!$A$3:$A$5001,AB$3,BD!$B$3:$B$5001,$A$72)))</f>
        <v/>
      </c>
      <c r="AC97" s="236" t="str">
        <f>IF(AC$3="","",IF(COUNTIFS(BD!$A$3:$A$5001,AC$3,BD!$B$3:$B$5001,$A$72,BD!$AG$3:$AG$5001,"&lt;&gt;")=0,"",SUMIFS(BD!$AG$3:$AG$5001,BD!$A$3:$A$5001,AC$3,BD!$B$3:$B$5001,$A$72)))</f>
        <v/>
      </c>
      <c r="AD97" s="236" t="str">
        <f>IF(AD$3="","",IF(COUNTIFS(BD!$A$3:$A$5001,AD$3,BD!$B$3:$B$5001,$A$72,BD!$AG$3:$AG$5001,"&lt;&gt;")=0,"",SUMIFS(BD!$AG$3:$AG$5001,BD!$A$3:$A$5001,AD$3,BD!$B$3:$B$5001,$A$72)))</f>
        <v/>
      </c>
      <c r="AE97" s="236" t="str">
        <f>IF(AE$3="","",IF(COUNTIFS(BD!$A$3:$A$5001,AE$3,BD!$B$3:$B$5001,$A$72,BD!$AG$3:$AG$5001,"&lt;&gt;")=0,"",SUMIFS(BD!$AG$3:$AG$5001,BD!$A$3:$A$5001,AE$3,BD!$B$3:$B$5001,$A$72)))</f>
        <v/>
      </c>
      <c r="AF97" s="236" t="str">
        <f>IF(AF$3="","",IF(COUNTIFS(BD!$A$3:$A$5001,AF$3,BD!$B$3:$B$5001,$A$72,BD!$AG$3:$AG$5001,"&lt;&gt;")=0,"",SUMIFS(BD!$AG$3:$AG$5001,BD!$A$3:$A$5001,AF$3,BD!$B$3:$B$5001,$A$72)))</f>
        <v/>
      </c>
      <c r="AG97" s="236" t="str">
        <f>IF(AG$3="","",IF(COUNTIFS(BD!$A$3:$A$5001,AG$3,BD!$B$3:$B$5001,$A$72,BD!$AG$3:$AG$5001,"&lt;&gt;")=0,"",SUMIFS(BD!$AG$3:$AG$5001,BD!$A$3:$A$5001,AG$3,BD!$B$3:$B$5001,$A$72)))</f>
        <v/>
      </c>
      <c r="AH97" s="236" t="str">
        <f>IF(AH$3="","",IF(COUNTIFS(BD!$A$3:$A$5001,AH$3,BD!$B$3:$B$5001,$A$72,BD!$AG$3:$AG$5001,"&lt;&gt;")=0,"",SUMIFS(BD!$AG$3:$AG$5001,BD!$A$3:$A$5001,AH$3,BD!$B$3:$B$5001,$A$72)))</f>
        <v/>
      </c>
      <c r="AI97" s="236" t="str">
        <f>IF(AI$3="","",IF(COUNTIFS(BD!$A$3:$A$5001,AI$3,BD!$B$3:$B$5001,$A$72,BD!$AG$3:$AG$5001,"&lt;&gt;")=0,"",SUMIFS(BD!$AG$3:$AG$5001,BD!$A$3:$A$5001,AI$3,BD!$B$3:$B$5001,$A$72)))</f>
        <v/>
      </c>
      <c r="AJ97" s="237" t="str">
        <f>IF(AJ$3="","",IF(COUNTIFS(BD!$A$3:$A$5001,AJ$3,BD!$B$3:$B$5001,$A$72,BD!$AG$3:$AG$5001,"&lt;&gt;")=0,"",SUMIFS(BD!$AG$3:$AG$5001,BD!$A$3:$A$5001,AJ$3,BD!$B$3:$B$5001,$A$72)))</f>
        <v/>
      </c>
      <c r="AK97" s="238" t="str">
        <f>IF(COUNT(F97:AJ97)=0,"",SUM(F97:AJ97))</f>
        <v/>
      </c>
    </row>
    <row r="98" ht="15.75" customHeight="1">
      <c r="A98" s="262"/>
      <c r="B98" s="259"/>
      <c r="C98" s="243" t="inlineStr">
        <is>
          <t xml:space="preserve">Acidentes SAF</t>
        </is>
      </c>
      <c r="D98" s="244" t="str">
        <f>IFERROR(1/(1/INDEX(BD!$AL$55:$BF$55,MATCH($A$72,BD!$AL$22:$BF$22,0))),"")</f>
        <v/>
      </c>
      <c r="E98" s="245"/>
      <c r="F98" s="246" t="str">
        <f>IF(F$3="","",IF(COUNTIFS(BD!$A$3:$A$5001,F$3,BD!$B$3:$B$5001,$A$72,BD!$AH$3:$AH$5001,"&lt;&gt;")=0,"",SUMIFS(BD!$AH$3:$AH$5001,BD!$A$3:$A$5001,F$3,BD!$B$3:$B$5001,$A$72)))</f>
        <v/>
      </c>
      <c r="G98" s="247" t="str">
        <f>IF(G$3="","",IF(COUNTIFS(BD!$A$3:$A$5001,G$3,BD!$B$3:$B$5001,$A$72,BD!$AH$3:$AH$5001,"&lt;&gt;")=0,"",SUMIFS(BD!$AH$3:$AH$5001,BD!$A$3:$A$5001,G$3,BD!$B$3:$B$5001,$A$72)))</f>
        <v/>
      </c>
      <c r="H98" s="247" t="str">
        <f>IF(H$3="","",IF(COUNTIFS(BD!$A$3:$A$5001,H$3,BD!$B$3:$B$5001,$A$72,BD!$AH$3:$AH$5001,"&lt;&gt;")=0,"",SUMIFS(BD!$AH$3:$AH$5001,BD!$A$3:$A$5001,H$3,BD!$B$3:$B$5001,$A$72)))</f>
        <v/>
      </c>
      <c r="I98" s="247" t="str">
        <f>IF(I$3="","",IF(COUNTIFS(BD!$A$3:$A$5001,I$3,BD!$B$3:$B$5001,$A$72,BD!$AH$3:$AH$5001,"&lt;&gt;")=0,"",SUMIFS(BD!$AH$3:$AH$5001,BD!$A$3:$A$5001,I$3,BD!$B$3:$B$5001,$A$72)))</f>
        <v/>
      </c>
      <c r="J98" s="247" t="str">
        <f>IF(J$3="","",IF(COUNTIFS(BD!$A$3:$A$5001,J$3,BD!$B$3:$B$5001,$A$72,BD!$AH$3:$AH$5001,"&lt;&gt;")=0,"",SUMIFS(BD!$AH$3:$AH$5001,BD!$A$3:$A$5001,J$3,BD!$B$3:$B$5001,$A$72)))</f>
        <v/>
      </c>
      <c r="K98" s="247" t="str">
        <f>IF(K$3="","",IF(COUNTIFS(BD!$A$3:$A$5001,K$3,BD!$B$3:$B$5001,$A$72,BD!$AH$3:$AH$5001,"&lt;&gt;")=0,"",SUMIFS(BD!$AH$3:$AH$5001,BD!$A$3:$A$5001,K$3,BD!$B$3:$B$5001,$A$72)))</f>
        <v/>
      </c>
      <c r="L98" s="247" t="str">
        <f>IF(L$3="","",IF(COUNTIFS(BD!$A$3:$A$5001,L$3,BD!$B$3:$B$5001,$A$72,BD!$AH$3:$AH$5001,"&lt;&gt;")=0,"",SUMIFS(BD!$AH$3:$AH$5001,BD!$A$3:$A$5001,L$3,BD!$B$3:$B$5001,$A$72)))</f>
        <v/>
      </c>
      <c r="M98" s="247" t="str">
        <f>IF(M$3="","",IF(COUNTIFS(BD!$A$3:$A$5001,M$3,BD!$B$3:$B$5001,$A$72,BD!$AH$3:$AH$5001,"&lt;&gt;")=0,"",SUMIFS(BD!$AH$3:$AH$5001,BD!$A$3:$A$5001,M$3,BD!$B$3:$B$5001,$A$72)))</f>
        <v/>
      </c>
      <c r="N98" s="247" t="str">
        <f>IF(N$3="","",IF(COUNTIFS(BD!$A$3:$A$5001,N$3,BD!$B$3:$B$5001,$A$72,BD!$AH$3:$AH$5001,"&lt;&gt;")=0,"",SUMIFS(BD!$AH$3:$AH$5001,BD!$A$3:$A$5001,N$3,BD!$B$3:$B$5001,$A$72)))</f>
        <v/>
      </c>
      <c r="O98" s="247" t="str">
        <f>IF(O$3="","",IF(COUNTIFS(BD!$A$3:$A$5001,O$3,BD!$B$3:$B$5001,$A$72,BD!$AH$3:$AH$5001,"&lt;&gt;")=0,"",SUMIFS(BD!$AH$3:$AH$5001,BD!$A$3:$A$5001,O$3,BD!$B$3:$B$5001,$A$72)))</f>
        <v/>
      </c>
      <c r="P98" s="247" t="str">
        <f>IF(P$3="","",IF(COUNTIFS(BD!$A$3:$A$5001,P$3,BD!$B$3:$B$5001,$A$72,BD!$AH$3:$AH$5001,"&lt;&gt;")=0,"",SUMIFS(BD!$AH$3:$AH$5001,BD!$A$3:$A$5001,P$3,BD!$B$3:$B$5001,$A$72)))</f>
        <v/>
      </c>
      <c r="Q98" s="247" t="str">
        <f>IF(Q$3="","",IF(COUNTIFS(BD!$A$3:$A$5001,Q$3,BD!$B$3:$B$5001,$A$72,BD!$AH$3:$AH$5001,"&lt;&gt;")=0,"",SUMIFS(BD!$AH$3:$AH$5001,BD!$A$3:$A$5001,Q$3,BD!$B$3:$B$5001,$A$72)))</f>
        <v/>
      </c>
      <c r="R98" s="247" t="str">
        <f>IF(R$3="","",IF(COUNTIFS(BD!$A$3:$A$5001,R$3,BD!$B$3:$B$5001,$A$72,BD!$AH$3:$AH$5001,"&lt;&gt;")=0,"",SUMIFS(BD!$AH$3:$AH$5001,BD!$A$3:$A$5001,R$3,BD!$B$3:$B$5001,$A$72)))</f>
        <v/>
      </c>
      <c r="S98" s="247" t="str">
        <f>IF(S$3="","",IF(COUNTIFS(BD!$A$3:$A$5001,S$3,BD!$B$3:$B$5001,$A$72,BD!$AH$3:$AH$5001,"&lt;&gt;")=0,"",SUMIFS(BD!$AH$3:$AH$5001,BD!$A$3:$A$5001,S$3,BD!$B$3:$B$5001,$A$72)))</f>
        <v/>
      </c>
      <c r="T98" s="247" t="str">
        <f>IF(T$3="","",IF(COUNTIFS(BD!$A$3:$A$5001,T$3,BD!$B$3:$B$5001,$A$72,BD!$AH$3:$AH$5001,"&lt;&gt;")=0,"",SUMIFS(BD!$AH$3:$AH$5001,BD!$A$3:$A$5001,T$3,BD!$B$3:$B$5001,$A$72)))</f>
        <v/>
      </c>
      <c r="U98" s="247" t="str">
        <f>IF(U$3="","",IF(COUNTIFS(BD!$A$3:$A$5001,U$3,BD!$B$3:$B$5001,$A$72,BD!$AH$3:$AH$5001,"&lt;&gt;")=0,"",SUMIFS(BD!$AH$3:$AH$5001,BD!$A$3:$A$5001,U$3,BD!$B$3:$B$5001,$A$72)))</f>
        <v/>
      </c>
      <c r="V98" s="247" t="str">
        <f>IF(V$3="","",IF(COUNTIFS(BD!$A$3:$A$5001,V$3,BD!$B$3:$B$5001,$A$72,BD!$AH$3:$AH$5001,"&lt;&gt;")=0,"",SUMIFS(BD!$AH$3:$AH$5001,BD!$A$3:$A$5001,V$3,BD!$B$3:$B$5001,$A$72)))</f>
        <v/>
      </c>
      <c r="W98" s="247" t="str">
        <f>IF(W$3="","",IF(COUNTIFS(BD!$A$3:$A$5001,W$3,BD!$B$3:$B$5001,$A$72,BD!$AH$3:$AH$5001,"&lt;&gt;")=0,"",SUMIFS(BD!$AH$3:$AH$5001,BD!$A$3:$A$5001,W$3,BD!$B$3:$B$5001,$A$72)))</f>
        <v/>
      </c>
      <c r="X98" s="247" t="str">
        <f>IF(X$3="","",IF(COUNTIFS(BD!$A$3:$A$5001,X$3,BD!$B$3:$B$5001,$A$72,BD!$AH$3:$AH$5001,"&lt;&gt;")=0,"",SUMIFS(BD!$AH$3:$AH$5001,BD!$A$3:$A$5001,X$3,BD!$B$3:$B$5001,$A$72)))</f>
        <v/>
      </c>
      <c r="Y98" s="247" t="str">
        <f>IF(Y$3="","",IF(COUNTIFS(BD!$A$3:$A$5001,Y$3,BD!$B$3:$B$5001,$A$72,BD!$AH$3:$AH$5001,"&lt;&gt;")=0,"",SUMIFS(BD!$AH$3:$AH$5001,BD!$A$3:$A$5001,Y$3,BD!$B$3:$B$5001,$A$72)))</f>
        <v/>
      </c>
      <c r="Z98" s="247" t="str">
        <f>IF(Z$3="","",IF(COUNTIFS(BD!$A$3:$A$5001,Z$3,BD!$B$3:$B$5001,$A$72,BD!$AH$3:$AH$5001,"&lt;&gt;")=0,"",SUMIFS(BD!$AH$3:$AH$5001,BD!$A$3:$A$5001,Z$3,BD!$B$3:$B$5001,$A$72)))</f>
        <v/>
      </c>
      <c r="AA98" s="247" t="str">
        <f>IF(AA$3="","",IF(COUNTIFS(BD!$A$3:$A$5001,AA$3,BD!$B$3:$B$5001,$A$72,BD!$AH$3:$AH$5001,"&lt;&gt;")=0,"",SUMIFS(BD!$AH$3:$AH$5001,BD!$A$3:$A$5001,AA$3,BD!$B$3:$B$5001,$A$72)))</f>
        <v/>
      </c>
      <c r="AB98" s="247" t="str">
        <f>IF(AB$3="","",IF(COUNTIFS(BD!$A$3:$A$5001,AB$3,BD!$B$3:$B$5001,$A$72,BD!$AH$3:$AH$5001,"&lt;&gt;")=0,"",SUMIFS(BD!$AH$3:$AH$5001,BD!$A$3:$A$5001,AB$3,BD!$B$3:$B$5001,$A$72)))</f>
        <v/>
      </c>
      <c r="AC98" s="247" t="str">
        <f>IF(AC$3="","",IF(COUNTIFS(BD!$A$3:$A$5001,AC$3,BD!$B$3:$B$5001,$A$72,BD!$AH$3:$AH$5001,"&lt;&gt;")=0,"",SUMIFS(BD!$AH$3:$AH$5001,BD!$A$3:$A$5001,AC$3,BD!$B$3:$B$5001,$A$72)))</f>
        <v/>
      </c>
      <c r="AD98" s="247" t="str">
        <f>IF(AD$3="","",IF(COUNTIFS(BD!$A$3:$A$5001,AD$3,BD!$B$3:$B$5001,$A$72,BD!$AH$3:$AH$5001,"&lt;&gt;")=0,"",SUMIFS(BD!$AH$3:$AH$5001,BD!$A$3:$A$5001,AD$3,BD!$B$3:$B$5001,$A$72)))</f>
        <v/>
      </c>
      <c r="AE98" s="247" t="str">
        <f>IF(AE$3="","",IF(COUNTIFS(BD!$A$3:$A$5001,AE$3,BD!$B$3:$B$5001,$A$72,BD!$AH$3:$AH$5001,"&lt;&gt;")=0,"",SUMIFS(BD!$AH$3:$AH$5001,BD!$A$3:$A$5001,AE$3,BD!$B$3:$B$5001,$A$72)))</f>
        <v/>
      </c>
      <c r="AF98" s="247" t="str">
        <f>IF(AF$3="","",IF(COUNTIFS(BD!$A$3:$A$5001,AF$3,BD!$B$3:$B$5001,$A$72,BD!$AH$3:$AH$5001,"&lt;&gt;")=0,"",SUMIFS(BD!$AH$3:$AH$5001,BD!$A$3:$A$5001,AF$3,BD!$B$3:$B$5001,$A$72)))</f>
        <v/>
      </c>
      <c r="AG98" s="247" t="str">
        <f>IF(AG$3="","",IF(COUNTIFS(BD!$A$3:$A$5001,AG$3,BD!$B$3:$B$5001,$A$72,BD!$AH$3:$AH$5001,"&lt;&gt;")=0,"",SUMIFS(BD!$AH$3:$AH$5001,BD!$A$3:$A$5001,AG$3,BD!$B$3:$B$5001,$A$72)))</f>
        <v/>
      </c>
      <c r="AH98" s="247" t="str">
        <f>IF(AH$3="","",IF(COUNTIFS(BD!$A$3:$A$5001,AH$3,BD!$B$3:$B$5001,$A$72,BD!$AH$3:$AH$5001,"&lt;&gt;")=0,"",SUMIFS(BD!$AH$3:$AH$5001,BD!$A$3:$A$5001,AH$3,BD!$B$3:$B$5001,$A$72)))</f>
        <v/>
      </c>
      <c r="AI98" s="247" t="str">
        <f>IF(AI$3="","",IF(COUNTIFS(BD!$A$3:$A$5001,AI$3,BD!$B$3:$B$5001,$A$72,BD!$AH$3:$AH$5001,"&lt;&gt;")=0,"",SUMIFS(BD!$AH$3:$AH$5001,BD!$A$3:$A$5001,AI$3,BD!$B$3:$B$5001,$A$72)))</f>
        <v/>
      </c>
      <c r="AJ98" s="248" t="str">
        <f>IF(AJ$3="","",IF(COUNTIFS(BD!$A$3:$A$5001,AJ$3,BD!$B$3:$B$5001,$A$72,BD!$AH$3:$AH$5001,"&lt;&gt;")=0,"",SUMIFS(BD!$AH$3:$AH$5001,BD!$A$3:$A$5001,AJ$3,BD!$B$3:$B$5001,$A$72)))</f>
        <v/>
      </c>
      <c r="AK98" s="244" t="str">
        <f>IF(COUNT(F98:AJ98)=0,"",SUM(F98:AJ98))</f>
        <v/>
      </c>
    </row>
    <row r="100" ht="15.75" customHeight="1">
      <c r="A100" s="260" t="inlineStr">
        <is>
          <t xml:space="preserve">Confiance</t>
        </is>
      </c>
      <c r="B100" s="249" t="inlineStr">
        <is>
          <t xml:space="preserve">IN</t>
        </is>
      </c>
      <c r="C100" s="168" t="inlineStr">
        <is>
          <t xml:space="preserve">Veículos Recebidos</t>
        </is>
      </c>
      <c r="D100" s="169" t="str">
        <f>IFERROR(1/(1/INDEX(BD!$AL$23:$BF$23,MATCH($A$100,BD!$AL$22:$BF$22,0))),"")</f>
        <v/>
      </c>
      <c r="E100" s="170"/>
      <c r="F100" s="171" t="str">
        <f>IF(F$3="","",IF(COUNTIFS(BD!$A$3:$A$5001,F$3,BD!$B$3:$B$5001,$A$100,BD!$C$3:$C$5001,"&lt;&gt;")=0,"",SUMIFS(BD!$C$3:$C$5001,BD!$A$3:$A$5001,F$3,BD!$B$3:$B$5001,$A$100)))</f>
        <v/>
      </c>
      <c r="G100" s="172" t="str">
        <f>IF(G$3="","",IF(COUNTIFS(BD!$A$3:$A$5001,G$3,BD!$B$3:$B$5001,$A$100,BD!$C$3:$C$5001,"&lt;&gt;")=0,"",SUMIFS(BD!$C$3:$C$5001,BD!$A$3:$A$5001,G$3,BD!$B$3:$B$5001,$A$100)))</f>
        <v/>
      </c>
      <c r="H100" s="172" t="str">
        <f>IF(H$3="","",IF(COUNTIFS(BD!$A$3:$A$5001,H$3,BD!$B$3:$B$5001,$A$100,BD!$C$3:$C$5001,"&lt;&gt;")=0,"",SUMIFS(BD!$C$3:$C$5001,BD!$A$3:$A$5001,H$3,BD!$B$3:$B$5001,$A$100)))</f>
        <v/>
      </c>
      <c r="I100" s="172" t="str">
        <f>IF(I$3="","",IF(COUNTIFS(BD!$A$3:$A$5001,I$3,BD!$B$3:$B$5001,$A$100,BD!$C$3:$C$5001,"&lt;&gt;")=0,"",SUMIFS(BD!$C$3:$C$5001,BD!$A$3:$A$5001,I$3,BD!$B$3:$B$5001,$A$100)))</f>
        <v/>
      </c>
      <c r="J100" s="172" t="str">
        <f>IF(J$3="","",IF(COUNTIFS(BD!$A$3:$A$5001,J$3,BD!$B$3:$B$5001,$A$100,BD!$C$3:$C$5001,"&lt;&gt;")=0,"",SUMIFS(BD!$C$3:$C$5001,BD!$A$3:$A$5001,J$3,BD!$B$3:$B$5001,$A$100)))</f>
        <v/>
      </c>
      <c r="K100" s="172" t="str">
        <f>IF(K$3="","",IF(COUNTIFS(BD!$A$3:$A$5001,K$3,BD!$B$3:$B$5001,$A$100,BD!$C$3:$C$5001,"&lt;&gt;")=0,"",SUMIFS(BD!$C$3:$C$5001,BD!$A$3:$A$5001,K$3,BD!$B$3:$B$5001,$A$100)))</f>
        <v/>
      </c>
      <c r="L100" s="172" t="str">
        <f>IF(L$3="","",IF(COUNTIFS(BD!$A$3:$A$5001,L$3,BD!$B$3:$B$5001,$A$100,BD!$C$3:$C$5001,"&lt;&gt;")=0,"",SUMIFS(BD!$C$3:$C$5001,BD!$A$3:$A$5001,L$3,BD!$B$3:$B$5001,$A$100)))</f>
        <v/>
      </c>
      <c r="M100" s="172" t="str">
        <f>IF(M$3="","",IF(COUNTIFS(BD!$A$3:$A$5001,M$3,BD!$B$3:$B$5001,$A$100,BD!$C$3:$C$5001,"&lt;&gt;")=0,"",SUMIFS(BD!$C$3:$C$5001,BD!$A$3:$A$5001,M$3,BD!$B$3:$B$5001,$A$100)))</f>
        <v/>
      </c>
      <c r="N100" s="172" t="str">
        <f>IF(N$3="","",IF(COUNTIFS(BD!$A$3:$A$5001,N$3,BD!$B$3:$B$5001,$A$100,BD!$C$3:$C$5001,"&lt;&gt;")=0,"",SUMIFS(BD!$C$3:$C$5001,BD!$A$3:$A$5001,N$3,BD!$B$3:$B$5001,$A$100)))</f>
        <v/>
      </c>
      <c r="O100" s="172" t="str">
        <f>IF(O$3="","",IF(COUNTIFS(BD!$A$3:$A$5001,O$3,BD!$B$3:$B$5001,$A$100,BD!$C$3:$C$5001,"&lt;&gt;")=0,"",SUMIFS(BD!$C$3:$C$5001,BD!$A$3:$A$5001,O$3,BD!$B$3:$B$5001,$A$100)))</f>
        <v/>
      </c>
      <c r="P100" s="172" t="str">
        <f>IF(P$3="","",IF(COUNTIFS(BD!$A$3:$A$5001,P$3,BD!$B$3:$B$5001,$A$100,BD!$C$3:$C$5001,"&lt;&gt;")=0,"",SUMIFS(BD!$C$3:$C$5001,BD!$A$3:$A$5001,P$3,BD!$B$3:$B$5001,$A$100)))</f>
        <v/>
      </c>
      <c r="Q100" s="172" t="str">
        <f>IF(Q$3="","",IF(COUNTIFS(BD!$A$3:$A$5001,Q$3,BD!$B$3:$B$5001,$A$100,BD!$C$3:$C$5001,"&lt;&gt;")=0,"",SUMIFS(BD!$C$3:$C$5001,BD!$A$3:$A$5001,Q$3,BD!$B$3:$B$5001,$A$100)))</f>
        <v/>
      </c>
      <c r="R100" s="172" t="str">
        <f>IF(R$3="","",IF(COUNTIFS(BD!$A$3:$A$5001,R$3,BD!$B$3:$B$5001,$A$100,BD!$C$3:$C$5001,"&lt;&gt;")=0,"",SUMIFS(BD!$C$3:$C$5001,BD!$A$3:$A$5001,R$3,BD!$B$3:$B$5001,$A$100)))</f>
        <v/>
      </c>
      <c r="S100" s="172" t="str">
        <f>IF(S$3="","",IF(COUNTIFS(BD!$A$3:$A$5001,S$3,BD!$B$3:$B$5001,$A$100,BD!$C$3:$C$5001,"&lt;&gt;")=0,"",SUMIFS(BD!$C$3:$C$5001,BD!$A$3:$A$5001,S$3,BD!$B$3:$B$5001,$A$100)))</f>
        <v/>
      </c>
      <c r="T100" s="172" t="str">
        <f>IF(T$3="","",IF(COUNTIFS(BD!$A$3:$A$5001,T$3,BD!$B$3:$B$5001,$A$100,BD!$C$3:$C$5001,"&lt;&gt;")=0,"",SUMIFS(BD!$C$3:$C$5001,BD!$A$3:$A$5001,T$3,BD!$B$3:$B$5001,$A$100)))</f>
        <v/>
      </c>
      <c r="U100" s="172" t="str">
        <f>IF(U$3="","",IF(COUNTIFS(BD!$A$3:$A$5001,U$3,BD!$B$3:$B$5001,$A$100,BD!$C$3:$C$5001,"&lt;&gt;")=0,"",SUMIFS(BD!$C$3:$C$5001,BD!$A$3:$A$5001,U$3,BD!$B$3:$B$5001,$A$100)))</f>
        <v/>
      </c>
      <c r="V100" s="172" t="str">
        <f>IF(V$3="","",IF(COUNTIFS(BD!$A$3:$A$5001,V$3,BD!$B$3:$B$5001,$A$100,BD!$C$3:$C$5001,"&lt;&gt;")=0,"",SUMIFS(BD!$C$3:$C$5001,BD!$A$3:$A$5001,V$3,BD!$B$3:$B$5001,$A$100)))</f>
        <v/>
      </c>
      <c r="W100" s="172" t="str">
        <f>IF(W$3="","",IF(COUNTIFS(BD!$A$3:$A$5001,W$3,BD!$B$3:$B$5001,$A$100,BD!$C$3:$C$5001,"&lt;&gt;")=0,"",SUMIFS(BD!$C$3:$C$5001,BD!$A$3:$A$5001,W$3,BD!$B$3:$B$5001,$A$100)))</f>
        <v/>
      </c>
      <c r="X100" s="172" t="str">
        <f>IF(X$3="","",IF(COUNTIFS(BD!$A$3:$A$5001,X$3,BD!$B$3:$B$5001,$A$100,BD!$C$3:$C$5001,"&lt;&gt;")=0,"",SUMIFS(BD!$C$3:$C$5001,BD!$A$3:$A$5001,X$3,BD!$B$3:$B$5001,$A$100)))</f>
        <v/>
      </c>
      <c r="Y100" s="172" t="str">
        <f>IF(Y$3="","",IF(COUNTIFS(BD!$A$3:$A$5001,Y$3,BD!$B$3:$B$5001,$A$100,BD!$C$3:$C$5001,"&lt;&gt;")=0,"",SUMIFS(BD!$C$3:$C$5001,BD!$A$3:$A$5001,Y$3,BD!$B$3:$B$5001,$A$100)))</f>
        <v/>
      </c>
      <c r="Z100" s="172" t="str">
        <f>IF(Z$3="","",IF(COUNTIFS(BD!$A$3:$A$5001,Z$3,BD!$B$3:$B$5001,$A$100,BD!$C$3:$C$5001,"&lt;&gt;")=0,"",SUMIFS(BD!$C$3:$C$5001,BD!$A$3:$A$5001,Z$3,BD!$B$3:$B$5001,$A$100)))</f>
        <v/>
      </c>
      <c r="AA100" s="172" t="str">
        <f>IF(AA$3="","",IF(COUNTIFS(BD!$A$3:$A$5001,AA$3,BD!$B$3:$B$5001,$A$100,BD!$C$3:$C$5001,"&lt;&gt;")=0,"",SUMIFS(BD!$C$3:$C$5001,BD!$A$3:$A$5001,AA$3,BD!$B$3:$B$5001,$A$100)))</f>
        <v/>
      </c>
      <c r="AB100" s="172" t="str">
        <f>IF(AB$3="","",IF(COUNTIFS(BD!$A$3:$A$5001,AB$3,BD!$B$3:$B$5001,$A$100,BD!$C$3:$C$5001,"&lt;&gt;")=0,"",SUMIFS(BD!$C$3:$C$5001,BD!$A$3:$A$5001,AB$3,BD!$B$3:$B$5001,$A$100)))</f>
        <v/>
      </c>
      <c r="AC100" s="172" t="str">
        <f>IF(AC$3="","",IF(COUNTIFS(BD!$A$3:$A$5001,AC$3,BD!$B$3:$B$5001,$A$100,BD!$C$3:$C$5001,"&lt;&gt;")=0,"",SUMIFS(BD!$C$3:$C$5001,BD!$A$3:$A$5001,AC$3,BD!$B$3:$B$5001,$A$100)))</f>
        <v/>
      </c>
      <c r="AD100" s="172" t="str">
        <f>IF(AD$3="","",IF(COUNTIFS(BD!$A$3:$A$5001,AD$3,BD!$B$3:$B$5001,$A$100,BD!$C$3:$C$5001,"&lt;&gt;")=0,"",SUMIFS(BD!$C$3:$C$5001,BD!$A$3:$A$5001,AD$3,BD!$B$3:$B$5001,$A$100)))</f>
        <v/>
      </c>
      <c r="AE100" s="172" t="str">
        <f>IF(AE$3="","",IF(COUNTIFS(BD!$A$3:$A$5001,AE$3,BD!$B$3:$B$5001,$A$100,BD!$C$3:$C$5001,"&lt;&gt;")=0,"",SUMIFS(BD!$C$3:$C$5001,BD!$A$3:$A$5001,AE$3,BD!$B$3:$B$5001,$A$100)))</f>
        <v/>
      </c>
      <c r="AF100" s="172" t="str">
        <f>IF(AF$3="","",IF(COUNTIFS(BD!$A$3:$A$5001,AF$3,BD!$B$3:$B$5001,$A$100,BD!$C$3:$C$5001,"&lt;&gt;")=0,"",SUMIFS(BD!$C$3:$C$5001,BD!$A$3:$A$5001,AF$3,BD!$B$3:$B$5001,$A$100)))</f>
        <v/>
      </c>
      <c r="AG100" s="172" t="str">
        <f>IF(AG$3="","",IF(COUNTIFS(BD!$A$3:$A$5001,AG$3,BD!$B$3:$B$5001,$A$100,BD!$C$3:$C$5001,"&lt;&gt;")=0,"",SUMIFS(BD!$C$3:$C$5001,BD!$A$3:$A$5001,AG$3,BD!$B$3:$B$5001,$A$100)))</f>
        <v/>
      </c>
      <c r="AH100" s="172" t="str">
        <f>IF(AH$3="","",IF(COUNTIFS(BD!$A$3:$A$5001,AH$3,BD!$B$3:$B$5001,$A$100,BD!$C$3:$C$5001,"&lt;&gt;")=0,"",SUMIFS(BD!$C$3:$C$5001,BD!$A$3:$A$5001,AH$3,BD!$B$3:$B$5001,$A$100)))</f>
        <v/>
      </c>
      <c r="AI100" s="172" t="str">
        <f>IF(AI$3="","",IF(COUNTIFS(BD!$A$3:$A$5001,AI$3,BD!$B$3:$B$5001,$A$100,BD!$C$3:$C$5001,"&lt;&gt;")=0,"",SUMIFS(BD!$C$3:$C$5001,BD!$A$3:$A$5001,AI$3,BD!$B$3:$B$5001,$A$100)))</f>
        <v/>
      </c>
      <c r="AJ100" s="173" t="str">
        <f>IF(AJ$3="","",IF(COUNTIFS(BD!$A$3:$A$5001,AJ$3,BD!$B$3:$B$5001,$A$100,BD!$C$3:$C$5001,"&lt;&gt;")=0,"",SUMIFS(BD!$C$3:$C$5001,BD!$A$3:$A$5001,AJ$3,BD!$B$3:$B$5001,$A$100)))</f>
        <v/>
      </c>
      <c r="AK100" s="174" t="str">
        <f>IF(COUNT(F100:AJ100)=0,"",SUM(F100:AJ100))</f>
        <v/>
      </c>
    </row>
    <row r="101" ht="15.75" customHeight="1">
      <c r="A101" s="261"/>
      <c r="B101" s="256"/>
      <c r="C101" s="214" t="inlineStr">
        <is>
          <t xml:space="preserve">Pallets Movimentados</t>
        </is>
      </c>
      <c r="D101" s="215" t="str">
        <f>IFERROR(1/(1/INDEX(BD!$AL$24:$BF$24,MATCH($A$100,BD!$AL$22:$BF$22,0))),"")</f>
        <v/>
      </c>
      <c r="E101" s="216"/>
      <c r="F101" s="217" t="str">
        <f>IF(F$3="","",IF(COUNTIFS(BD!$A$3:$A$5001,F$3,BD!$B$3:$B$5001,$A$100,BD!$D$3:$D$5001,"&lt;&gt;")=0,"",SUMIFS(BD!$D$3:$D$5001,BD!$A$3:$A$5001,F$3,BD!$B$3:$B$5001,$A$100)))</f>
        <v/>
      </c>
      <c r="G101" s="218" t="str">
        <f>IF(G$3="","",IF(COUNTIFS(BD!$A$3:$A$5001,G$3,BD!$B$3:$B$5001,$A$100,BD!$D$3:$D$5001,"&lt;&gt;")=0,"",SUMIFS(BD!$D$3:$D$5001,BD!$A$3:$A$5001,G$3,BD!$B$3:$B$5001,$A$100)))</f>
        <v/>
      </c>
      <c r="H101" s="218" t="str">
        <f>IF(H$3="","",IF(COUNTIFS(BD!$A$3:$A$5001,H$3,BD!$B$3:$B$5001,$A$100,BD!$D$3:$D$5001,"&lt;&gt;")=0,"",SUMIFS(BD!$D$3:$D$5001,BD!$A$3:$A$5001,H$3,BD!$B$3:$B$5001,$A$100)))</f>
        <v/>
      </c>
      <c r="I101" s="218" t="str">
        <f>IF(I$3="","",IF(COUNTIFS(BD!$A$3:$A$5001,I$3,BD!$B$3:$B$5001,$A$100,BD!$D$3:$D$5001,"&lt;&gt;")=0,"",SUMIFS(BD!$D$3:$D$5001,BD!$A$3:$A$5001,I$3,BD!$B$3:$B$5001,$A$100)))</f>
        <v/>
      </c>
      <c r="J101" s="218" t="str">
        <f>IF(J$3="","",IF(COUNTIFS(BD!$A$3:$A$5001,J$3,BD!$B$3:$B$5001,$A$100,BD!$D$3:$D$5001,"&lt;&gt;")=0,"",SUMIFS(BD!$D$3:$D$5001,BD!$A$3:$A$5001,J$3,BD!$B$3:$B$5001,$A$100)))</f>
        <v/>
      </c>
      <c r="K101" s="218" t="str">
        <f>IF(K$3="","",IF(COUNTIFS(BD!$A$3:$A$5001,K$3,BD!$B$3:$B$5001,$A$100,BD!$D$3:$D$5001,"&lt;&gt;")=0,"",SUMIFS(BD!$D$3:$D$5001,BD!$A$3:$A$5001,K$3,BD!$B$3:$B$5001,$A$100)))</f>
        <v/>
      </c>
      <c r="L101" s="218" t="str">
        <f>IF(L$3="","",IF(COUNTIFS(BD!$A$3:$A$5001,L$3,BD!$B$3:$B$5001,$A$100,BD!$D$3:$D$5001,"&lt;&gt;")=0,"",SUMIFS(BD!$D$3:$D$5001,BD!$A$3:$A$5001,L$3,BD!$B$3:$B$5001,$A$100)))</f>
        <v/>
      </c>
      <c r="M101" s="218" t="str">
        <f>IF(M$3="","",IF(COUNTIFS(BD!$A$3:$A$5001,M$3,BD!$B$3:$B$5001,$A$100,BD!$D$3:$D$5001,"&lt;&gt;")=0,"",SUMIFS(BD!$D$3:$D$5001,BD!$A$3:$A$5001,M$3,BD!$B$3:$B$5001,$A$100)))</f>
        <v/>
      </c>
      <c r="N101" s="218" t="str">
        <f>IF(N$3="","",IF(COUNTIFS(BD!$A$3:$A$5001,N$3,BD!$B$3:$B$5001,$A$100,BD!$D$3:$D$5001,"&lt;&gt;")=0,"",SUMIFS(BD!$D$3:$D$5001,BD!$A$3:$A$5001,N$3,BD!$B$3:$B$5001,$A$100)))</f>
        <v/>
      </c>
      <c r="O101" s="218" t="str">
        <f>IF(O$3="","",IF(COUNTIFS(BD!$A$3:$A$5001,O$3,BD!$B$3:$B$5001,$A$100,BD!$D$3:$D$5001,"&lt;&gt;")=0,"",SUMIFS(BD!$D$3:$D$5001,BD!$A$3:$A$5001,O$3,BD!$B$3:$B$5001,$A$100)))</f>
        <v/>
      </c>
      <c r="P101" s="218" t="str">
        <f>IF(P$3="","",IF(COUNTIFS(BD!$A$3:$A$5001,P$3,BD!$B$3:$B$5001,$A$100,BD!$D$3:$D$5001,"&lt;&gt;")=0,"",SUMIFS(BD!$D$3:$D$5001,BD!$A$3:$A$5001,P$3,BD!$B$3:$B$5001,$A$100)))</f>
        <v/>
      </c>
      <c r="Q101" s="218" t="str">
        <f>IF(Q$3="","",IF(COUNTIFS(BD!$A$3:$A$5001,Q$3,BD!$B$3:$B$5001,$A$100,BD!$D$3:$D$5001,"&lt;&gt;")=0,"",SUMIFS(BD!$D$3:$D$5001,BD!$A$3:$A$5001,Q$3,BD!$B$3:$B$5001,$A$100)))</f>
        <v/>
      </c>
      <c r="R101" s="218" t="str">
        <f>IF(R$3="","",IF(COUNTIFS(BD!$A$3:$A$5001,R$3,BD!$B$3:$B$5001,$A$100,BD!$D$3:$D$5001,"&lt;&gt;")=0,"",SUMIFS(BD!$D$3:$D$5001,BD!$A$3:$A$5001,R$3,BD!$B$3:$B$5001,$A$100)))</f>
        <v/>
      </c>
      <c r="S101" s="218" t="str">
        <f>IF(S$3="","",IF(COUNTIFS(BD!$A$3:$A$5001,S$3,BD!$B$3:$B$5001,$A$100,BD!$D$3:$D$5001,"&lt;&gt;")=0,"",SUMIFS(BD!$D$3:$D$5001,BD!$A$3:$A$5001,S$3,BD!$B$3:$B$5001,$A$100)))</f>
        <v/>
      </c>
      <c r="T101" s="218" t="str">
        <f>IF(T$3="","",IF(COUNTIFS(BD!$A$3:$A$5001,T$3,BD!$B$3:$B$5001,$A$100,BD!$D$3:$D$5001,"&lt;&gt;")=0,"",SUMIFS(BD!$D$3:$D$5001,BD!$A$3:$A$5001,T$3,BD!$B$3:$B$5001,$A$100)))</f>
        <v/>
      </c>
      <c r="U101" s="218" t="str">
        <f>IF(U$3="","",IF(COUNTIFS(BD!$A$3:$A$5001,U$3,BD!$B$3:$B$5001,$A$100,BD!$D$3:$D$5001,"&lt;&gt;")=0,"",SUMIFS(BD!$D$3:$D$5001,BD!$A$3:$A$5001,U$3,BD!$B$3:$B$5001,$A$100)))</f>
        <v/>
      </c>
      <c r="V101" s="218" t="str">
        <f>IF(V$3="","",IF(COUNTIFS(BD!$A$3:$A$5001,V$3,BD!$B$3:$B$5001,$A$100,BD!$D$3:$D$5001,"&lt;&gt;")=0,"",SUMIFS(BD!$D$3:$D$5001,BD!$A$3:$A$5001,V$3,BD!$B$3:$B$5001,$A$100)))</f>
        <v/>
      </c>
      <c r="W101" s="218" t="str">
        <f>IF(W$3="","",IF(COUNTIFS(BD!$A$3:$A$5001,W$3,BD!$B$3:$B$5001,$A$100,BD!$D$3:$D$5001,"&lt;&gt;")=0,"",SUMIFS(BD!$D$3:$D$5001,BD!$A$3:$A$5001,W$3,BD!$B$3:$B$5001,$A$100)))</f>
        <v/>
      </c>
      <c r="X101" s="218" t="str">
        <f>IF(X$3="","",IF(COUNTIFS(BD!$A$3:$A$5001,X$3,BD!$B$3:$B$5001,$A$100,BD!$D$3:$D$5001,"&lt;&gt;")=0,"",SUMIFS(BD!$D$3:$D$5001,BD!$A$3:$A$5001,X$3,BD!$B$3:$B$5001,$A$100)))</f>
        <v/>
      </c>
      <c r="Y101" s="218" t="str">
        <f>IF(Y$3="","",IF(COUNTIFS(BD!$A$3:$A$5001,Y$3,BD!$B$3:$B$5001,$A$100,BD!$D$3:$D$5001,"&lt;&gt;")=0,"",SUMIFS(BD!$D$3:$D$5001,BD!$A$3:$A$5001,Y$3,BD!$B$3:$B$5001,$A$100)))</f>
        <v/>
      </c>
      <c r="Z101" s="218" t="str">
        <f>IF(Z$3="","",IF(COUNTIFS(BD!$A$3:$A$5001,Z$3,BD!$B$3:$B$5001,$A$100,BD!$D$3:$D$5001,"&lt;&gt;")=0,"",SUMIFS(BD!$D$3:$D$5001,BD!$A$3:$A$5001,Z$3,BD!$B$3:$B$5001,$A$100)))</f>
        <v/>
      </c>
      <c r="AA101" s="218" t="str">
        <f>IF(AA$3="","",IF(COUNTIFS(BD!$A$3:$A$5001,AA$3,BD!$B$3:$B$5001,$A$100,BD!$D$3:$D$5001,"&lt;&gt;")=0,"",SUMIFS(BD!$D$3:$D$5001,BD!$A$3:$A$5001,AA$3,BD!$B$3:$B$5001,$A$100)))</f>
        <v/>
      </c>
      <c r="AB101" s="218" t="str">
        <f>IF(AB$3="","",IF(COUNTIFS(BD!$A$3:$A$5001,AB$3,BD!$B$3:$B$5001,$A$100,BD!$D$3:$D$5001,"&lt;&gt;")=0,"",SUMIFS(BD!$D$3:$D$5001,BD!$A$3:$A$5001,AB$3,BD!$B$3:$B$5001,$A$100)))</f>
        <v/>
      </c>
      <c r="AC101" s="218" t="str">
        <f>IF(AC$3="","",IF(COUNTIFS(BD!$A$3:$A$5001,AC$3,BD!$B$3:$B$5001,$A$100,BD!$D$3:$D$5001,"&lt;&gt;")=0,"",SUMIFS(BD!$D$3:$D$5001,BD!$A$3:$A$5001,AC$3,BD!$B$3:$B$5001,$A$100)))</f>
        <v/>
      </c>
      <c r="AD101" s="218" t="str">
        <f>IF(AD$3="","",IF(COUNTIFS(BD!$A$3:$A$5001,AD$3,BD!$B$3:$B$5001,$A$100,BD!$D$3:$D$5001,"&lt;&gt;")=0,"",SUMIFS(BD!$D$3:$D$5001,BD!$A$3:$A$5001,AD$3,BD!$B$3:$B$5001,$A$100)))</f>
        <v/>
      </c>
      <c r="AE101" s="218" t="str">
        <f>IF(AE$3="","",IF(COUNTIFS(BD!$A$3:$A$5001,AE$3,BD!$B$3:$B$5001,$A$100,BD!$D$3:$D$5001,"&lt;&gt;")=0,"",SUMIFS(BD!$D$3:$D$5001,BD!$A$3:$A$5001,AE$3,BD!$B$3:$B$5001,$A$100)))</f>
        <v/>
      </c>
      <c r="AF101" s="218" t="str">
        <f>IF(AF$3="","",IF(COUNTIFS(BD!$A$3:$A$5001,AF$3,BD!$B$3:$B$5001,$A$100,BD!$D$3:$D$5001,"&lt;&gt;")=0,"",SUMIFS(BD!$D$3:$D$5001,BD!$A$3:$A$5001,AF$3,BD!$B$3:$B$5001,$A$100)))</f>
        <v/>
      </c>
      <c r="AG101" s="218" t="str">
        <f>IF(AG$3="","",IF(COUNTIFS(BD!$A$3:$A$5001,AG$3,BD!$B$3:$B$5001,$A$100,BD!$D$3:$D$5001,"&lt;&gt;")=0,"",SUMIFS(BD!$D$3:$D$5001,BD!$A$3:$A$5001,AG$3,BD!$B$3:$B$5001,$A$100)))</f>
        <v/>
      </c>
      <c r="AH101" s="218" t="str">
        <f>IF(AH$3="","",IF(COUNTIFS(BD!$A$3:$A$5001,AH$3,BD!$B$3:$B$5001,$A$100,BD!$D$3:$D$5001,"&lt;&gt;")=0,"",SUMIFS(BD!$D$3:$D$5001,BD!$A$3:$A$5001,AH$3,BD!$B$3:$B$5001,$A$100)))</f>
        <v/>
      </c>
      <c r="AI101" s="218" t="str">
        <f>IF(AI$3="","",IF(COUNTIFS(BD!$A$3:$A$5001,AI$3,BD!$B$3:$B$5001,$A$100,BD!$D$3:$D$5001,"&lt;&gt;")=0,"",SUMIFS(BD!$D$3:$D$5001,BD!$A$3:$A$5001,AI$3,BD!$B$3:$B$5001,$A$100)))</f>
        <v/>
      </c>
      <c r="AJ101" s="219" t="str">
        <f>IF(AJ$3="","",IF(COUNTIFS(BD!$A$3:$A$5001,AJ$3,BD!$B$3:$B$5001,$A$100,BD!$D$3:$D$5001,"&lt;&gt;")=0,"",SUMIFS(BD!$D$3:$D$5001,BD!$A$3:$A$5001,AJ$3,BD!$B$3:$B$5001,$A$100)))</f>
        <v/>
      </c>
      <c r="AK101" s="220" t="str">
        <f>IF(COUNT(F101:AJ101)=0,"",SUM(F101:AJ101))</f>
        <v/>
      </c>
    </row>
    <row r="102" ht="15.75" customHeight="1">
      <c r="A102" s="261"/>
      <c r="B102" s="250"/>
      <c r="C102" s="175" t="inlineStr">
        <is>
          <t xml:space="preserve">Toneladas Movimentadas</t>
        </is>
      </c>
      <c r="D102" s="176" t="str">
        <f>IFERROR(1/(1/INDEX(BD!$AL$25:$BF$25,MATCH($A$100,BD!$AL$22:$BF$22,0))),"")</f>
        <v/>
      </c>
      <c r="E102" s="177"/>
      <c r="F102" s="263" t="str">
        <f>IF(F$3="","",IF(COUNTIFS(BD!$A$3:$A$5001,F$3,BD!$B$3:$B$5001,$A$100,BD!$E$3:$E$5001,"&lt;&gt;")=0,"",SUMIFS(BD!$E$3:$E$5001,BD!$A$3:$A$5001,F$3,BD!$B$3:$B$5001,$A$100)))</f>
        <v/>
      </c>
      <c r="G102" s="264" t="str">
        <f>IF(G$3="","",IF(COUNTIFS(BD!$A$3:$A$5001,G$3,BD!$B$3:$B$5001,$A$100,BD!$E$3:$E$5001,"&lt;&gt;")=0,"",SUMIFS(BD!$E$3:$E$5001,BD!$A$3:$A$5001,G$3,BD!$B$3:$B$5001,$A$100)))</f>
        <v/>
      </c>
      <c r="H102" s="264" t="str">
        <f>IF(H$3="","",IF(COUNTIFS(BD!$A$3:$A$5001,H$3,BD!$B$3:$B$5001,$A$100,BD!$E$3:$E$5001,"&lt;&gt;")=0,"",SUMIFS(BD!$E$3:$E$5001,BD!$A$3:$A$5001,H$3,BD!$B$3:$B$5001,$A$100)))</f>
        <v/>
      </c>
      <c r="I102" s="264" t="str">
        <f>IF(I$3="","",IF(COUNTIFS(BD!$A$3:$A$5001,I$3,BD!$B$3:$B$5001,$A$100,BD!$E$3:$E$5001,"&lt;&gt;")=0,"",SUMIFS(BD!$E$3:$E$5001,BD!$A$3:$A$5001,I$3,BD!$B$3:$B$5001,$A$100)))</f>
        <v/>
      </c>
      <c r="J102" s="264" t="str">
        <f>IF(J$3="","",IF(COUNTIFS(BD!$A$3:$A$5001,J$3,BD!$B$3:$B$5001,$A$100,BD!$E$3:$E$5001,"&lt;&gt;")=0,"",SUMIFS(BD!$E$3:$E$5001,BD!$A$3:$A$5001,J$3,BD!$B$3:$B$5001,$A$100)))</f>
        <v/>
      </c>
      <c r="K102" s="264" t="str">
        <f>IF(K$3="","",IF(COUNTIFS(BD!$A$3:$A$5001,K$3,BD!$B$3:$B$5001,$A$100,BD!$E$3:$E$5001,"&lt;&gt;")=0,"",SUMIFS(BD!$E$3:$E$5001,BD!$A$3:$A$5001,K$3,BD!$B$3:$B$5001,$A$100)))</f>
        <v/>
      </c>
      <c r="L102" s="264" t="str">
        <f>IF(L$3="","",IF(COUNTIFS(BD!$A$3:$A$5001,L$3,BD!$B$3:$B$5001,$A$100,BD!$E$3:$E$5001,"&lt;&gt;")=0,"",SUMIFS(BD!$E$3:$E$5001,BD!$A$3:$A$5001,L$3,BD!$B$3:$B$5001,$A$100)))</f>
        <v/>
      </c>
      <c r="M102" s="264" t="str">
        <f>IF(M$3="","",IF(COUNTIFS(BD!$A$3:$A$5001,M$3,BD!$B$3:$B$5001,$A$100,BD!$E$3:$E$5001,"&lt;&gt;")=0,"",SUMIFS(BD!$E$3:$E$5001,BD!$A$3:$A$5001,M$3,BD!$B$3:$B$5001,$A$100)))</f>
        <v/>
      </c>
      <c r="N102" s="264" t="str">
        <f>IF(N$3="","",IF(COUNTIFS(BD!$A$3:$A$5001,N$3,BD!$B$3:$B$5001,$A$100,BD!$E$3:$E$5001,"&lt;&gt;")=0,"",SUMIFS(BD!$E$3:$E$5001,BD!$A$3:$A$5001,N$3,BD!$B$3:$B$5001,$A$100)))</f>
        <v/>
      </c>
      <c r="O102" s="264" t="str">
        <f>IF(O$3="","",IF(COUNTIFS(BD!$A$3:$A$5001,O$3,BD!$B$3:$B$5001,$A$100,BD!$E$3:$E$5001,"&lt;&gt;")=0,"",SUMIFS(BD!$E$3:$E$5001,BD!$A$3:$A$5001,O$3,BD!$B$3:$B$5001,$A$100)))</f>
        <v/>
      </c>
      <c r="P102" s="264" t="str">
        <f>IF(P$3="","",IF(COUNTIFS(BD!$A$3:$A$5001,P$3,BD!$B$3:$B$5001,$A$100,BD!$E$3:$E$5001,"&lt;&gt;")=0,"",SUMIFS(BD!$E$3:$E$5001,BD!$A$3:$A$5001,P$3,BD!$B$3:$B$5001,$A$100)))</f>
        <v/>
      </c>
      <c r="Q102" s="264" t="str">
        <f>IF(Q$3="","",IF(COUNTIFS(BD!$A$3:$A$5001,Q$3,BD!$B$3:$B$5001,$A$100,BD!$E$3:$E$5001,"&lt;&gt;")=0,"",SUMIFS(BD!$E$3:$E$5001,BD!$A$3:$A$5001,Q$3,BD!$B$3:$B$5001,$A$100)))</f>
        <v/>
      </c>
      <c r="R102" s="264" t="str">
        <f>IF(R$3="","",IF(COUNTIFS(BD!$A$3:$A$5001,R$3,BD!$B$3:$B$5001,$A$100,BD!$E$3:$E$5001,"&lt;&gt;")=0,"",SUMIFS(BD!$E$3:$E$5001,BD!$A$3:$A$5001,R$3,BD!$B$3:$B$5001,$A$100)))</f>
        <v/>
      </c>
      <c r="S102" s="264" t="str">
        <f>IF(S$3="","",IF(COUNTIFS(BD!$A$3:$A$5001,S$3,BD!$B$3:$B$5001,$A$100,BD!$E$3:$E$5001,"&lt;&gt;")=0,"",SUMIFS(BD!$E$3:$E$5001,BD!$A$3:$A$5001,S$3,BD!$B$3:$B$5001,$A$100)))</f>
        <v/>
      </c>
      <c r="T102" s="264" t="str">
        <f>IF(T$3="","",IF(COUNTIFS(BD!$A$3:$A$5001,T$3,BD!$B$3:$B$5001,$A$100,BD!$E$3:$E$5001,"&lt;&gt;")=0,"",SUMIFS(BD!$E$3:$E$5001,BD!$A$3:$A$5001,T$3,BD!$B$3:$B$5001,$A$100)))</f>
        <v/>
      </c>
      <c r="U102" s="264" t="str">
        <f>IF(U$3="","",IF(COUNTIFS(BD!$A$3:$A$5001,U$3,BD!$B$3:$B$5001,$A$100,BD!$E$3:$E$5001,"&lt;&gt;")=0,"",SUMIFS(BD!$E$3:$E$5001,BD!$A$3:$A$5001,U$3,BD!$B$3:$B$5001,$A$100)))</f>
        <v/>
      </c>
      <c r="V102" s="264" t="str">
        <f>IF(V$3="","",IF(COUNTIFS(BD!$A$3:$A$5001,V$3,BD!$B$3:$B$5001,$A$100,BD!$E$3:$E$5001,"&lt;&gt;")=0,"",SUMIFS(BD!$E$3:$E$5001,BD!$A$3:$A$5001,V$3,BD!$B$3:$B$5001,$A$100)))</f>
        <v/>
      </c>
      <c r="W102" s="264" t="str">
        <f>IF(W$3="","",IF(COUNTIFS(BD!$A$3:$A$5001,W$3,BD!$B$3:$B$5001,$A$100,BD!$E$3:$E$5001,"&lt;&gt;")=0,"",SUMIFS(BD!$E$3:$E$5001,BD!$A$3:$A$5001,W$3,BD!$B$3:$B$5001,$A$100)))</f>
        <v/>
      </c>
      <c r="X102" s="264" t="str">
        <f>IF(X$3="","",IF(COUNTIFS(BD!$A$3:$A$5001,X$3,BD!$B$3:$B$5001,$A$100,BD!$E$3:$E$5001,"&lt;&gt;")=0,"",SUMIFS(BD!$E$3:$E$5001,BD!$A$3:$A$5001,X$3,BD!$B$3:$B$5001,$A$100)))</f>
        <v/>
      </c>
      <c r="Y102" s="264" t="str">
        <f>IF(Y$3="","",IF(COUNTIFS(BD!$A$3:$A$5001,Y$3,BD!$B$3:$B$5001,$A$100,BD!$E$3:$E$5001,"&lt;&gt;")=0,"",SUMIFS(BD!$E$3:$E$5001,BD!$A$3:$A$5001,Y$3,BD!$B$3:$B$5001,$A$100)))</f>
        <v/>
      </c>
      <c r="Z102" s="264" t="str">
        <f>IF(Z$3="","",IF(COUNTIFS(BD!$A$3:$A$5001,Z$3,BD!$B$3:$B$5001,$A$100,BD!$E$3:$E$5001,"&lt;&gt;")=0,"",SUMIFS(BD!$E$3:$E$5001,BD!$A$3:$A$5001,Z$3,BD!$B$3:$B$5001,$A$100)))</f>
        <v/>
      </c>
      <c r="AA102" s="264" t="str">
        <f>IF(AA$3="","",IF(COUNTIFS(BD!$A$3:$A$5001,AA$3,BD!$B$3:$B$5001,$A$100,BD!$E$3:$E$5001,"&lt;&gt;")=0,"",SUMIFS(BD!$E$3:$E$5001,BD!$A$3:$A$5001,AA$3,BD!$B$3:$B$5001,$A$100)))</f>
        <v/>
      </c>
      <c r="AB102" s="264" t="str">
        <f>IF(AB$3="","",IF(COUNTIFS(BD!$A$3:$A$5001,AB$3,BD!$B$3:$B$5001,$A$100,BD!$E$3:$E$5001,"&lt;&gt;")=0,"",SUMIFS(BD!$E$3:$E$5001,BD!$A$3:$A$5001,AB$3,BD!$B$3:$B$5001,$A$100)))</f>
        <v/>
      </c>
      <c r="AC102" s="264" t="str">
        <f>IF(AC$3="","",IF(COUNTIFS(BD!$A$3:$A$5001,AC$3,BD!$B$3:$B$5001,$A$100,BD!$E$3:$E$5001,"&lt;&gt;")=0,"",SUMIFS(BD!$E$3:$E$5001,BD!$A$3:$A$5001,AC$3,BD!$B$3:$B$5001,$A$100)))</f>
        <v/>
      </c>
      <c r="AD102" s="264" t="str">
        <f>IF(AD$3="","",IF(COUNTIFS(BD!$A$3:$A$5001,AD$3,BD!$B$3:$B$5001,$A$100,BD!$E$3:$E$5001,"&lt;&gt;")=0,"",SUMIFS(BD!$E$3:$E$5001,BD!$A$3:$A$5001,AD$3,BD!$B$3:$B$5001,$A$100)))</f>
        <v/>
      </c>
      <c r="AE102" s="264" t="str">
        <f>IF(AE$3="","",IF(COUNTIFS(BD!$A$3:$A$5001,AE$3,BD!$B$3:$B$5001,$A$100,BD!$E$3:$E$5001,"&lt;&gt;")=0,"",SUMIFS(BD!$E$3:$E$5001,BD!$A$3:$A$5001,AE$3,BD!$B$3:$B$5001,$A$100)))</f>
        <v/>
      </c>
      <c r="AF102" s="264" t="str">
        <f>IF(AF$3="","",IF(COUNTIFS(BD!$A$3:$A$5001,AF$3,BD!$B$3:$B$5001,$A$100,BD!$E$3:$E$5001,"&lt;&gt;")=0,"",SUMIFS(BD!$E$3:$E$5001,BD!$A$3:$A$5001,AF$3,BD!$B$3:$B$5001,$A$100)))</f>
        <v/>
      </c>
      <c r="AG102" s="264" t="str">
        <f>IF(AG$3="","",IF(COUNTIFS(BD!$A$3:$A$5001,AG$3,BD!$B$3:$B$5001,$A$100,BD!$E$3:$E$5001,"&lt;&gt;")=0,"",SUMIFS(BD!$E$3:$E$5001,BD!$A$3:$A$5001,AG$3,BD!$B$3:$B$5001,$A$100)))</f>
        <v/>
      </c>
      <c r="AH102" s="264" t="str">
        <f>IF(AH$3="","",IF(COUNTIFS(BD!$A$3:$A$5001,AH$3,BD!$B$3:$B$5001,$A$100,BD!$E$3:$E$5001,"&lt;&gt;")=0,"",SUMIFS(BD!$E$3:$E$5001,BD!$A$3:$A$5001,AH$3,BD!$B$3:$B$5001,$A$100)))</f>
        <v/>
      </c>
      <c r="AI102" s="264" t="str">
        <f>IF(AI$3="","",IF(COUNTIFS(BD!$A$3:$A$5001,AI$3,BD!$B$3:$B$5001,$A$100,BD!$E$3:$E$5001,"&lt;&gt;")=0,"",SUMIFS(BD!$E$3:$E$5001,BD!$A$3:$A$5001,AI$3,BD!$B$3:$B$5001,$A$100)))</f>
        <v/>
      </c>
      <c r="AJ102" s="265" t="str">
        <f>IF(AJ$3="","",IF(COUNTIFS(BD!$A$3:$A$5001,AJ$3,BD!$B$3:$B$5001,$A$100,BD!$E$3:$E$5001,"&lt;&gt;")=0,"",SUMIFS(BD!$E$3:$E$5001,BD!$A$3:$A$5001,AJ$3,BD!$B$3:$B$5001,$A$100)))</f>
        <v/>
      </c>
      <c r="AK102" s="266" t="str">
        <f>IF(COUNT(F102:AJ102)=0,"",SUM(F102:AJ102))</f>
        <v/>
      </c>
    </row>
    <row r="103" ht="15.75" customHeight="1">
      <c r="A103" s="261"/>
      <c r="B103" s="251" t="inlineStr">
        <is>
          <t xml:space="preserve">OUT</t>
        </is>
      </c>
      <c r="C103" s="181" t="inlineStr">
        <is>
          <t xml:space="preserve">Veículos Expedidos</t>
        </is>
      </c>
      <c r="D103" s="182" t="str">
        <f>IFERROR(1/(1/INDEX(BD!$AL$32:$BF$32,MATCH($A$100,BD!$AL$22:$BF$22,0))),"")</f>
        <v/>
      </c>
      <c r="E103" s="183"/>
      <c r="F103" s="184" t="str">
        <f>IF(F$3="","",IF(COUNTIFS(BD!$A$3:$A$5001,F$3,BD!$B$3:$B$5001,$A$100,BD!$L$3:$L$5001,"&lt;&gt;")=0,"",SUMIFS(BD!$L$3:$L$5001,BD!$A$3:$A$5001,F$3,BD!$B$3:$B$5001,$A$100)))</f>
        <v/>
      </c>
      <c r="G103" s="185" t="str">
        <f>IF(G$3="","",IF(COUNTIFS(BD!$A$3:$A$5001,G$3,BD!$B$3:$B$5001,$A$100,BD!$L$3:$L$5001,"&lt;&gt;")=0,"",SUMIFS(BD!$L$3:$L$5001,BD!$A$3:$A$5001,G$3,BD!$B$3:$B$5001,$A$100)))</f>
        <v/>
      </c>
      <c r="H103" s="185" t="str">
        <f>IF(H$3="","",IF(COUNTIFS(BD!$A$3:$A$5001,H$3,BD!$B$3:$B$5001,$A$100,BD!$L$3:$L$5001,"&lt;&gt;")=0,"",SUMIFS(BD!$L$3:$L$5001,BD!$A$3:$A$5001,H$3,BD!$B$3:$B$5001,$A$100)))</f>
        <v/>
      </c>
      <c r="I103" s="185" t="str">
        <f>IF(I$3="","",IF(COUNTIFS(BD!$A$3:$A$5001,I$3,BD!$B$3:$B$5001,$A$100,BD!$L$3:$L$5001,"&lt;&gt;")=0,"",SUMIFS(BD!$L$3:$L$5001,BD!$A$3:$A$5001,I$3,BD!$B$3:$B$5001,$A$100)))</f>
        <v/>
      </c>
      <c r="J103" s="185" t="str">
        <f>IF(J$3="","",IF(COUNTIFS(BD!$A$3:$A$5001,J$3,BD!$B$3:$B$5001,$A$100,BD!$L$3:$L$5001,"&lt;&gt;")=0,"",SUMIFS(BD!$L$3:$L$5001,BD!$A$3:$A$5001,J$3,BD!$B$3:$B$5001,$A$100)))</f>
        <v/>
      </c>
      <c r="K103" s="185" t="str">
        <f>IF(K$3="","",IF(COUNTIFS(BD!$A$3:$A$5001,K$3,BD!$B$3:$B$5001,$A$100,BD!$L$3:$L$5001,"&lt;&gt;")=0,"",SUMIFS(BD!$L$3:$L$5001,BD!$A$3:$A$5001,K$3,BD!$B$3:$B$5001,$A$100)))</f>
        <v/>
      </c>
      <c r="L103" s="185" t="str">
        <f>IF(L$3="","",IF(COUNTIFS(BD!$A$3:$A$5001,L$3,BD!$B$3:$B$5001,$A$100,BD!$L$3:$L$5001,"&lt;&gt;")=0,"",SUMIFS(BD!$L$3:$L$5001,BD!$A$3:$A$5001,L$3,BD!$B$3:$B$5001,$A$100)))</f>
        <v/>
      </c>
      <c r="M103" s="185" t="str">
        <f>IF(M$3="","",IF(COUNTIFS(BD!$A$3:$A$5001,M$3,BD!$B$3:$B$5001,$A$100,BD!$L$3:$L$5001,"&lt;&gt;")=0,"",SUMIFS(BD!$L$3:$L$5001,BD!$A$3:$A$5001,M$3,BD!$B$3:$B$5001,$A$100)))</f>
        <v/>
      </c>
      <c r="N103" s="185" t="str">
        <f>IF(N$3="","",IF(COUNTIFS(BD!$A$3:$A$5001,N$3,BD!$B$3:$B$5001,$A$100,BD!$L$3:$L$5001,"&lt;&gt;")=0,"",SUMIFS(BD!$L$3:$L$5001,BD!$A$3:$A$5001,N$3,BD!$B$3:$B$5001,$A$100)))</f>
        <v/>
      </c>
      <c r="O103" s="185" t="str">
        <f>IF(O$3="","",IF(COUNTIFS(BD!$A$3:$A$5001,O$3,BD!$B$3:$B$5001,$A$100,BD!$L$3:$L$5001,"&lt;&gt;")=0,"",SUMIFS(BD!$L$3:$L$5001,BD!$A$3:$A$5001,O$3,BD!$B$3:$B$5001,$A$100)))</f>
        <v/>
      </c>
      <c r="P103" s="185" t="str">
        <f>IF(P$3="","",IF(COUNTIFS(BD!$A$3:$A$5001,P$3,BD!$B$3:$B$5001,$A$100,BD!$L$3:$L$5001,"&lt;&gt;")=0,"",SUMIFS(BD!$L$3:$L$5001,BD!$A$3:$A$5001,P$3,BD!$B$3:$B$5001,$A$100)))</f>
        <v/>
      </c>
      <c r="Q103" s="185" t="str">
        <f>IF(Q$3="","",IF(COUNTIFS(BD!$A$3:$A$5001,Q$3,BD!$B$3:$B$5001,$A$100,BD!$L$3:$L$5001,"&lt;&gt;")=0,"",SUMIFS(BD!$L$3:$L$5001,BD!$A$3:$A$5001,Q$3,BD!$B$3:$B$5001,$A$100)))</f>
        <v/>
      </c>
      <c r="R103" s="185" t="str">
        <f>IF(R$3="","",IF(COUNTIFS(BD!$A$3:$A$5001,R$3,BD!$B$3:$B$5001,$A$100,BD!$L$3:$L$5001,"&lt;&gt;")=0,"",SUMIFS(BD!$L$3:$L$5001,BD!$A$3:$A$5001,R$3,BD!$B$3:$B$5001,$A$100)))</f>
        <v/>
      </c>
      <c r="S103" s="185" t="str">
        <f>IF(S$3="","",IF(COUNTIFS(BD!$A$3:$A$5001,S$3,BD!$B$3:$B$5001,$A$100,BD!$L$3:$L$5001,"&lt;&gt;")=0,"",SUMIFS(BD!$L$3:$L$5001,BD!$A$3:$A$5001,S$3,BD!$B$3:$B$5001,$A$100)))</f>
        <v/>
      </c>
      <c r="T103" s="185" t="str">
        <f>IF(T$3="","",IF(COUNTIFS(BD!$A$3:$A$5001,T$3,BD!$B$3:$B$5001,$A$100,BD!$L$3:$L$5001,"&lt;&gt;")=0,"",SUMIFS(BD!$L$3:$L$5001,BD!$A$3:$A$5001,T$3,BD!$B$3:$B$5001,$A$100)))</f>
        <v/>
      </c>
      <c r="U103" s="185" t="str">
        <f>IF(U$3="","",IF(COUNTIFS(BD!$A$3:$A$5001,U$3,BD!$B$3:$B$5001,$A$100,BD!$L$3:$L$5001,"&lt;&gt;")=0,"",SUMIFS(BD!$L$3:$L$5001,BD!$A$3:$A$5001,U$3,BD!$B$3:$B$5001,$A$100)))</f>
        <v/>
      </c>
      <c r="V103" s="185" t="str">
        <f>IF(V$3="","",IF(COUNTIFS(BD!$A$3:$A$5001,V$3,BD!$B$3:$B$5001,$A$100,BD!$L$3:$L$5001,"&lt;&gt;")=0,"",SUMIFS(BD!$L$3:$L$5001,BD!$A$3:$A$5001,V$3,BD!$B$3:$B$5001,$A$100)))</f>
        <v/>
      </c>
      <c r="W103" s="185" t="str">
        <f>IF(W$3="","",IF(COUNTIFS(BD!$A$3:$A$5001,W$3,BD!$B$3:$B$5001,$A$100,BD!$L$3:$L$5001,"&lt;&gt;")=0,"",SUMIFS(BD!$L$3:$L$5001,BD!$A$3:$A$5001,W$3,BD!$B$3:$B$5001,$A$100)))</f>
        <v/>
      </c>
      <c r="X103" s="185" t="str">
        <f>IF(X$3="","",IF(COUNTIFS(BD!$A$3:$A$5001,X$3,BD!$B$3:$B$5001,$A$100,BD!$L$3:$L$5001,"&lt;&gt;")=0,"",SUMIFS(BD!$L$3:$L$5001,BD!$A$3:$A$5001,X$3,BD!$B$3:$B$5001,$A$100)))</f>
        <v/>
      </c>
      <c r="Y103" s="185" t="str">
        <f>IF(Y$3="","",IF(COUNTIFS(BD!$A$3:$A$5001,Y$3,BD!$B$3:$B$5001,$A$100,BD!$L$3:$L$5001,"&lt;&gt;")=0,"",SUMIFS(BD!$L$3:$L$5001,BD!$A$3:$A$5001,Y$3,BD!$B$3:$B$5001,$A$100)))</f>
        <v/>
      </c>
      <c r="Z103" s="185" t="str">
        <f>IF(Z$3="","",IF(COUNTIFS(BD!$A$3:$A$5001,Z$3,BD!$B$3:$B$5001,$A$100,BD!$L$3:$L$5001,"&lt;&gt;")=0,"",SUMIFS(BD!$L$3:$L$5001,BD!$A$3:$A$5001,Z$3,BD!$B$3:$B$5001,$A$100)))</f>
        <v/>
      </c>
      <c r="AA103" s="185" t="str">
        <f>IF(AA$3="","",IF(COUNTIFS(BD!$A$3:$A$5001,AA$3,BD!$B$3:$B$5001,$A$100,BD!$L$3:$L$5001,"&lt;&gt;")=0,"",SUMIFS(BD!$L$3:$L$5001,BD!$A$3:$A$5001,AA$3,BD!$B$3:$B$5001,$A$100)))</f>
        <v/>
      </c>
      <c r="AB103" s="185" t="str">
        <f>IF(AB$3="","",IF(COUNTIFS(BD!$A$3:$A$5001,AB$3,BD!$B$3:$B$5001,$A$100,BD!$L$3:$L$5001,"&lt;&gt;")=0,"",SUMIFS(BD!$L$3:$L$5001,BD!$A$3:$A$5001,AB$3,BD!$B$3:$B$5001,$A$100)))</f>
        <v/>
      </c>
      <c r="AC103" s="185" t="str">
        <f>IF(AC$3="","",IF(COUNTIFS(BD!$A$3:$A$5001,AC$3,BD!$B$3:$B$5001,$A$100,BD!$L$3:$L$5001,"&lt;&gt;")=0,"",SUMIFS(BD!$L$3:$L$5001,BD!$A$3:$A$5001,AC$3,BD!$B$3:$B$5001,$A$100)))</f>
        <v/>
      </c>
      <c r="AD103" s="185" t="str">
        <f>IF(AD$3="","",IF(COUNTIFS(BD!$A$3:$A$5001,AD$3,BD!$B$3:$B$5001,$A$100,BD!$L$3:$L$5001,"&lt;&gt;")=0,"",SUMIFS(BD!$L$3:$L$5001,BD!$A$3:$A$5001,AD$3,BD!$B$3:$B$5001,$A$100)))</f>
        <v/>
      </c>
      <c r="AE103" s="185" t="str">
        <f>IF(AE$3="","",IF(COUNTIFS(BD!$A$3:$A$5001,AE$3,BD!$B$3:$B$5001,$A$100,BD!$L$3:$L$5001,"&lt;&gt;")=0,"",SUMIFS(BD!$L$3:$L$5001,BD!$A$3:$A$5001,AE$3,BD!$B$3:$B$5001,$A$100)))</f>
        <v/>
      </c>
      <c r="AF103" s="185" t="str">
        <f>IF(AF$3="","",IF(COUNTIFS(BD!$A$3:$A$5001,AF$3,BD!$B$3:$B$5001,$A$100,BD!$L$3:$L$5001,"&lt;&gt;")=0,"",SUMIFS(BD!$L$3:$L$5001,BD!$A$3:$A$5001,AF$3,BD!$B$3:$B$5001,$A$100)))</f>
        <v/>
      </c>
      <c r="AG103" s="185" t="str">
        <f>IF(AG$3="","",IF(COUNTIFS(BD!$A$3:$A$5001,AG$3,BD!$B$3:$B$5001,$A$100,BD!$L$3:$L$5001,"&lt;&gt;")=0,"",SUMIFS(BD!$L$3:$L$5001,BD!$A$3:$A$5001,AG$3,BD!$B$3:$B$5001,$A$100)))</f>
        <v/>
      </c>
      <c r="AH103" s="185" t="str">
        <f>IF(AH$3="","",IF(COUNTIFS(BD!$A$3:$A$5001,AH$3,BD!$B$3:$B$5001,$A$100,BD!$L$3:$L$5001,"&lt;&gt;")=0,"",SUMIFS(BD!$L$3:$L$5001,BD!$A$3:$A$5001,AH$3,BD!$B$3:$B$5001,$A$100)))</f>
        <v/>
      </c>
      <c r="AI103" s="185" t="str">
        <f>IF(AI$3="","",IF(COUNTIFS(BD!$A$3:$A$5001,AI$3,BD!$B$3:$B$5001,$A$100,BD!$L$3:$L$5001,"&lt;&gt;")=0,"",SUMIFS(BD!$L$3:$L$5001,BD!$A$3:$A$5001,AI$3,BD!$B$3:$B$5001,$A$100)))</f>
        <v/>
      </c>
      <c r="AJ103" s="186" t="str">
        <f>IF(AJ$3="","",IF(COUNTIFS(BD!$A$3:$A$5001,AJ$3,BD!$B$3:$B$5001,$A$100,BD!$L$3:$L$5001,"&lt;&gt;")=0,"",SUMIFS(BD!$L$3:$L$5001,BD!$A$3:$A$5001,AJ$3,BD!$B$3:$B$5001,$A$100)))</f>
        <v/>
      </c>
      <c r="AK103" s="187" t="str">
        <f>IF(COUNT(F103:AJ103)=0,"",SUM(F103:AJ103))</f>
        <v/>
      </c>
    </row>
    <row r="104" ht="15.75" customHeight="1">
      <c r="A104" s="261"/>
      <c r="B104" s="278"/>
      <c r="C104" s="267" t="inlineStr">
        <is>
          <t xml:space="preserve">Pallets Movimentados</t>
        </is>
      </c>
      <c r="D104" s="268" t="str">
        <f>IFERROR(1/(1/INDEX(BD!$AL$38:$BF$38,MATCH($A$100,BD!$AL$22:$BF$22,0))),"")</f>
        <v/>
      </c>
      <c r="E104" s="269"/>
      <c r="F104" s="270" t="str">
        <f>IF(F$3="","",IF(COUNTIFS(BD!$A$3:$A$5001,F$3,BD!$B$3:$B$5001,$A$100,BD!$R$3:$R$5001,"&lt;&gt;")=0,"",SUMIFS(BD!$R$3:$R$5001,BD!$A$3:$A$5001,F$3,BD!$B$3:$B$5001,$A$100)))</f>
        <v/>
      </c>
      <c r="G104" s="271" t="str">
        <f>IF(G$3="","",IF(COUNTIFS(BD!$A$3:$A$5001,G$3,BD!$B$3:$B$5001,$A$100,BD!$R$3:$R$5001,"&lt;&gt;")=0,"",SUMIFS(BD!$R$3:$R$5001,BD!$A$3:$A$5001,G$3,BD!$B$3:$B$5001,$A$100)))</f>
        <v/>
      </c>
      <c r="H104" s="271" t="str">
        <f>IF(H$3="","",IF(COUNTIFS(BD!$A$3:$A$5001,H$3,BD!$B$3:$B$5001,$A$100,BD!$R$3:$R$5001,"&lt;&gt;")=0,"",SUMIFS(BD!$R$3:$R$5001,BD!$A$3:$A$5001,H$3,BD!$B$3:$B$5001,$A$100)))</f>
        <v/>
      </c>
      <c r="I104" s="271" t="str">
        <f>IF(I$3="","",IF(COUNTIFS(BD!$A$3:$A$5001,I$3,BD!$B$3:$B$5001,$A$100,BD!$R$3:$R$5001,"&lt;&gt;")=0,"",SUMIFS(BD!$R$3:$R$5001,BD!$A$3:$A$5001,I$3,BD!$B$3:$B$5001,$A$100)))</f>
        <v/>
      </c>
      <c r="J104" s="271" t="str">
        <f>IF(J$3="","",IF(COUNTIFS(BD!$A$3:$A$5001,J$3,BD!$B$3:$B$5001,$A$100,BD!$R$3:$R$5001,"&lt;&gt;")=0,"",SUMIFS(BD!$R$3:$R$5001,BD!$A$3:$A$5001,J$3,BD!$B$3:$B$5001,$A$100)))</f>
        <v/>
      </c>
      <c r="K104" s="271" t="str">
        <f>IF(K$3="","",IF(COUNTIFS(BD!$A$3:$A$5001,K$3,BD!$B$3:$B$5001,$A$100,BD!$R$3:$R$5001,"&lt;&gt;")=0,"",SUMIFS(BD!$R$3:$R$5001,BD!$A$3:$A$5001,K$3,BD!$B$3:$B$5001,$A$100)))</f>
        <v/>
      </c>
      <c r="L104" s="271" t="str">
        <f>IF(L$3="","",IF(COUNTIFS(BD!$A$3:$A$5001,L$3,BD!$B$3:$B$5001,$A$100,BD!$R$3:$R$5001,"&lt;&gt;")=0,"",SUMIFS(BD!$R$3:$R$5001,BD!$A$3:$A$5001,L$3,BD!$B$3:$B$5001,$A$100)))</f>
        <v/>
      </c>
      <c r="M104" s="271" t="str">
        <f>IF(M$3="","",IF(COUNTIFS(BD!$A$3:$A$5001,M$3,BD!$B$3:$B$5001,$A$100,BD!$R$3:$R$5001,"&lt;&gt;")=0,"",SUMIFS(BD!$R$3:$R$5001,BD!$A$3:$A$5001,M$3,BD!$B$3:$B$5001,$A$100)))</f>
        <v/>
      </c>
      <c r="N104" s="271" t="str">
        <f>IF(N$3="","",IF(COUNTIFS(BD!$A$3:$A$5001,N$3,BD!$B$3:$B$5001,$A$100,BD!$R$3:$R$5001,"&lt;&gt;")=0,"",SUMIFS(BD!$R$3:$R$5001,BD!$A$3:$A$5001,N$3,BD!$B$3:$B$5001,$A$100)))</f>
        <v/>
      </c>
      <c r="O104" s="271" t="str">
        <f>IF(O$3="","",IF(COUNTIFS(BD!$A$3:$A$5001,O$3,BD!$B$3:$B$5001,$A$100,BD!$R$3:$R$5001,"&lt;&gt;")=0,"",SUMIFS(BD!$R$3:$R$5001,BD!$A$3:$A$5001,O$3,BD!$B$3:$B$5001,$A$100)))</f>
        <v/>
      </c>
      <c r="P104" s="271" t="str">
        <f>IF(P$3="","",IF(COUNTIFS(BD!$A$3:$A$5001,P$3,BD!$B$3:$B$5001,$A$100,BD!$R$3:$R$5001,"&lt;&gt;")=0,"",SUMIFS(BD!$R$3:$R$5001,BD!$A$3:$A$5001,P$3,BD!$B$3:$B$5001,$A$100)))</f>
        <v/>
      </c>
      <c r="Q104" s="271" t="str">
        <f>IF(Q$3="","",IF(COUNTIFS(BD!$A$3:$A$5001,Q$3,BD!$B$3:$B$5001,$A$100,BD!$R$3:$R$5001,"&lt;&gt;")=0,"",SUMIFS(BD!$R$3:$R$5001,BD!$A$3:$A$5001,Q$3,BD!$B$3:$B$5001,$A$100)))</f>
        <v/>
      </c>
      <c r="R104" s="271" t="str">
        <f>IF(R$3="","",IF(COUNTIFS(BD!$A$3:$A$5001,R$3,BD!$B$3:$B$5001,$A$100,BD!$R$3:$R$5001,"&lt;&gt;")=0,"",SUMIFS(BD!$R$3:$R$5001,BD!$A$3:$A$5001,R$3,BD!$B$3:$B$5001,$A$100)))</f>
        <v/>
      </c>
      <c r="S104" s="271" t="str">
        <f>IF(S$3="","",IF(COUNTIFS(BD!$A$3:$A$5001,S$3,BD!$B$3:$B$5001,$A$100,BD!$R$3:$R$5001,"&lt;&gt;")=0,"",SUMIFS(BD!$R$3:$R$5001,BD!$A$3:$A$5001,S$3,BD!$B$3:$B$5001,$A$100)))</f>
        <v/>
      </c>
      <c r="T104" s="271" t="str">
        <f>IF(T$3="","",IF(COUNTIFS(BD!$A$3:$A$5001,T$3,BD!$B$3:$B$5001,$A$100,BD!$R$3:$R$5001,"&lt;&gt;")=0,"",SUMIFS(BD!$R$3:$R$5001,BD!$A$3:$A$5001,T$3,BD!$B$3:$B$5001,$A$100)))</f>
        <v/>
      </c>
      <c r="U104" s="271" t="str">
        <f>IF(U$3="","",IF(COUNTIFS(BD!$A$3:$A$5001,U$3,BD!$B$3:$B$5001,$A$100,BD!$R$3:$R$5001,"&lt;&gt;")=0,"",SUMIFS(BD!$R$3:$R$5001,BD!$A$3:$A$5001,U$3,BD!$B$3:$B$5001,$A$100)))</f>
        <v/>
      </c>
      <c r="V104" s="271" t="str">
        <f>IF(V$3="","",IF(COUNTIFS(BD!$A$3:$A$5001,V$3,BD!$B$3:$B$5001,$A$100,BD!$R$3:$R$5001,"&lt;&gt;")=0,"",SUMIFS(BD!$R$3:$R$5001,BD!$A$3:$A$5001,V$3,BD!$B$3:$B$5001,$A$100)))</f>
        <v/>
      </c>
      <c r="W104" s="271" t="str">
        <f>IF(W$3="","",IF(COUNTIFS(BD!$A$3:$A$5001,W$3,BD!$B$3:$B$5001,$A$100,BD!$R$3:$R$5001,"&lt;&gt;")=0,"",SUMIFS(BD!$R$3:$R$5001,BD!$A$3:$A$5001,W$3,BD!$B$3:$B$5001,$A$100)))</f>
        <v/>
      </c>
      <c r="X104" s="271" t="str">
        <f>IF(X$3="","",IF(COUNTIFS(BD!$A$3:$A$5001,X$3,BD!$B$3:$B$5001,$A$100,BD!$R$3:$R$5001,"&lt;&gt;")=0,"",SUMIFS(BD!$R$3:$R$5001,BD!$A$3:$A$5001,X$3,BD!$B$3:$B$5001,$A$100)))</f>
        <v/>
      </c>
      <c r="Y104" s="271" t="str">
        <f>IF(Y$3="","",IF(COUNTIFS(BD!$A$3:$A$5001,Y$3,BD!$B$3:$B$5001,$A$100,BD!$R$3:$R$5001,"&lt;&gt;")=0,"",SUMIFS(BD!$R$3:$R$5001,BD!$A$3:$A$5001,Y$3,BD!$B$3:$B$5001,$A$100)))</f>
        <v/>
      </c>
      <c r="Z104" s="271" t="str">
        <f>IF(Z$3="","",IF(COUNTIFS(BD!$A$3:$A$5001,Z$3,BD!$B$3:$B$5001,$A$100,BD!$R$3:$R$5001,"&lt;&gt;")=0,"",SUMIFS(BD!$R$3:$R$5001,BD!$A$3:$A$5001,Z$3,BD!$B$3:$B$5001,$A$100)))</f>
        <v/>
      </c>
      <c r="AA104" s="271" t="str">
        <f>IF(AA$3="","",IF(COUNTIFS(BD!$A$3:$A$5001,AA$3,BD!$B$3:$B$5001,$A$100,BD!$R$3:$R$5001,"&lt;&gt;")=0,"",SUMIFS(BD!$R$3:$R$5001,BD!$A$3:$A$5001,AA$3,BD!$B$3:$B$5001,$A$100)))</f>
        <v/>
      </c>
      <c r="AB104" s="271" t="str">
        <f>IF(AB$3="","",IF(COUNTIFS(BD!$A$3:$A$5001,AB$3,BD!$B$3:$B$5001,$A$100,BD!$R$3:$R$5001,"&lt;&gt;")=0,"",SUMIFS(BD!$R$3:$R$5001,BD!$A$3:$A$5001,AB$3,BD!$B$3:$B$5001,$A$100)))</f>
        <v/>
      </c>
      <c r="AC104" s="271" t="str">
        <f>IF(AC$3="","",IF(COUNTIFS(BD!$A$3:$A$5001,AC$3,BD!$B$3:$B$5001,$A$100,BD!$R$3:$R$5001,"&lt;&gt;")=0,"",SUMIFS(BD!$R$3:$R$5001,BD!$A$3:$A$5001,AC$3,BD!$B$3:$B$5001,$A$100)))</f>
        <v/>
      </c>
      <c r="AD104" s="271" t="str">
        <f>IF(AD$3="","",IF(COUNTIFS(BD!$A$3:$A$5001,AD$3,BD!$B$3:$B$5001,$A$100,BD!$R$3:$R$5001,"&lt;&gt;")=0,"",SUMIFS(BD!$R$3:$R$5001,BD!$A$3:$A$5001,AD$3,BD!$B$3:$B$5001,$A$100)))</f>
        <v/>
      </c>
      <c r="AE104" s="271" t="str">
        <f>IF(AE$3="","",IF(COUNTIFS(BD!$A$3:$A$5001,AE$3,BD!$B$3:$B$5001,$A$100,BD!$R$3:$R$5001,"&lt;&gt;")=0,"",SUMIFS(BD!$R$3:$R$5001,BD!$A$3:$A$5001,AE$3,BD!$B$3:$B$5001,$A$100)))</f>
        <v/>
      </c>
      <c r="AF104" s="271" t="str">
        <f>IF(AF$3="","",IF(COUNTIFS(BD!$A$3:$A$5001,AF$3,BD!$B$3:$B$5001,$A$100,BD!$R$3:$R$5001,"&lt;&gt;")=0,"",SUMIFS(BD!$R$3:$R$5001,BD!$A$3:$A$5001,AF$3,BD!$B$3:$B$5001,$A$100)))</f>
        <v/>
      </c>
      <c r="AG104" s="271" t="str">
        <f>IF(AG$3="","",IF(COUNTIFS(BD!$A$3:$A$5001,AG$3,BD!$B$3:$B$5001,$A$100,BD!$R$3:$R$5001,"&lt;&gt;")=0,"",SUMIFS(BD!$R$3:$R$5001,BD!$A$3:$A$5001,AG$3,BD!$B$3:$B$5001,$A$100)))</f>
        <v/>
      </c>
      <c r="AH104" s="271" t="str">
        <f>IF(AH$3="","",IF(COUNTIFS(BD!$A$3:$A$5001,AH$3,BD!$B$3:$B$5001,$A$100,BD!$R$3:$R$5001,"&lt;&gt;")=0,"",SUMIFS(BD!$R$3:$R$5001,BD!$A$3:$A$5001,AH$3,BD!$B$3:$B$5001,$A$100)))</f>
        <v/>
      </c>
      <c r="AI104" s="271" t="str">
        <f>IF(AI$3="","",IF(COUNTIFS(BD!$A$3:$A$5001,AI$3,BD!$B$3:$B$5001,$A$100,BD!$R$3:$R$5001,"&lt;&gt;")=0,"",SUMIFS(BD!$R$3:$R$5001,BD!$A$3:$A$5001,AI$3,BD!$B$3:$B$5001,$A$100)))</f>
        <v/>
      </c>
      <c r="AJ104" s="272" t="str">
        <f>IF(AJ$3="","",IF(COUNTIFS(BD!$A$3:$A$5001,AJ$3,BD!$B$3:$B$5001,$A$100,BD!$R$3:$R$5001,"&lt;&gt;")=0,"",SUMIFS(BD!$R$3:$R$5001,BD!$A$3:$A$5001,AJ$3,BD!$B$3:$B$5001,$A$100)))</f>
        <v/>
      </c>
      <c r="AK104" s="273" t="str">
        <f>IF(COUNT(F104:AJ104)=0,"",SUM(F104:AJ104))</f>
        <v/>
      </c>
    </row>
    <row r="105" ht="15.75" customHeight="1">
      <c r="A105" s="261"/>
      <c r="B105" s="252"/>
      <c r="C105" s="188" t="inlineStr">
        <is>
          <t xml:space="preserve">Toneladas Movimentadas</t>
        </is>
      </c>
      <c r="D105" s="189" t="str">
        <f>IFERROR(1/(1/INDEX(BD!$AL$39:$BF$39,MATCH($A$100,BD!$AL$22:$BF$22,0))),"")</f>
        <v/>
      </c>
      <c r="E105" s="190"/>
      <c r="F105" s="274" t="str">
        <f>IF(F$3="","",IF(COUNTIFS(BD!$A$3:$A$5001,F$3,BD!$B$3:$B$5001,$A$100,BD!$S$3:$S$5001,"&lt;&gt;")=0,"",SUMIFS(BD!$S$3:$S$5001,BD!$A$3:$A$5001,F$3,BD!$B$3:$B$5001,$A$100)))</f>
        <v/>
      </c>
      <c r="G105" s="275" t="str">
        <f>IF(G$3="","",IF(COUNTIFS(BD!$A$3:$A$5001,G$3,BD!$B$3:$B$5001,$A$100,BD!$S$3:$S$5001,"&lt;&gt;")=0,"",SUMIFS(BD!$S$3:$S$5001,BD!$A$3:$A$5001,G$3,BD!$B$3:$B$5001,$A$100)))</f>
        <v/>
      </c>
      <c r="H105" s="275" t="str">
        <f>IF(H$3="","",IF(COUNTIFS(BD!$A$3:$A$5001,H$3,BD!$B$3:$B$5001,$A$100,BD!$S$3:$S$5001,"&lt;&gt;")=0,"",SUMIFS(BD!$S$3:$S$5001,BD!$A$3:$A$5001,H$3,BD!$B$3:$B$5001,$A$100)))</f>
        <v/>
      </c>
      <c r="I105" s="275" t="str">
        <f>IF(I$3="","",IF(COUNTIFS(BD!$A$3:$A$5001,I$3,BD!$B$3:$B$5001,$A$100,BD!$S$3:$S$5001,"&lt;&gt;")=0,"",SUMIFS(BD!$S$3:$S$5001,BD!$A$3:$A$5001,I$3,BD!$B$3:$B$5001,$A$100)))</f>
        <v/>
      </c>
      <c r="J105" s="275" t="str">
        <f>IF(J$3="","",IF(COUNTIFS(BD!$A$3:$A$5001,J$3,BD!$B$3:$B$5001,$A$100,BD!$S$3:$S$5001,"&lt;&gt;")=0,"",SUMIFS(BD!$S$3:$S$5001,BD!$A$3:$A$5001,J$3,BD!$B$3:$B$5001,$A$100)))</f>
        <v/>
      </c>
      <c r="K105" s="275" t="str">
        <f>IF(K$3="","",IF(COUNTIFS(BD!$A$3:$A$5001,K$3,BD!$B$3:$B$5001,$A$100,BD!$S$3:$S$5001,"&lt;&gt;")=0,"",SUMIFS(BD!$S$3:$S$5001,BD!$A$3:$A$5001,K$3,BD!$B$3:$B$5001,$A$100)))</f>
        <v/>
      </c>
      <c r="L105" s="275" t="str">
        <f>IF(L$3="","",IF(COUNTIFS(BD!$A$3:$A$5001,L$3,BD!$B$3:$B$5001,$A$100,BD!$S$3:$S$5001,"&lt;&gt;")=0,"",SUMIFS(BD!$S$3:$S$5001,BD!$A$3:$A$5001,L$3,BD!$B$3:$B$5001,$A$100)))</f>
        <v/>
      </c>
      <c r="M105" s="275" t="str">
        <f>IF(M$3="","",IF(COUNTIFS(BD!$A$3:$A$5001,M$3,BD!$B$3:$B$5001,$A$100,BD!$S$3:$S$5001,"&lt;&gt;")=0,"",SUMIFS(BD!$S$3:$S$5001,BD!$A$3:$A$5001,M$3,BD!$B$3:$B$5001,$A$100)))</f>
        <v/>
      </c>
      <c r="N105" s="275" t="str">
        <f>IF(N$3="","",IF(COUNTIFS(BD!$A$3:$A$5001,N$3,BD!$B$3:$B$5001,$A$100,BD!$S$3:$S$5001,"&lt;&gt;")=0,"",SUMIFS(BD!$S$3:$S$5001,BD!$A$3:$A$5001,N$3,BD!$B$3:$B$5001,$A$100)))</f>
        <v/>
      </c>
      <c r="O105" s="275" t="str">
        <f>IF(O$3="","",IF(COUNTIFS(BD!$A$3:$A$5001,O$3,BD!$B$3:$B$5001,$A$100,BD!$S$3:$S$5001,"&lt;&gt;")=0,"",SUMIFS(BD!$S$3:$S$5001,BD!$A$3:$A$5001,O$3,BD!$B$3:$B$5001,$A$100)))</f>
        <v/>
      </c>
      <c r="P105" s="275" t="str">
        <f>IF(P$3="","",IF(COUNTIFS(BD!$A$3:$A$5001,P$3,BD!$B$3:$B$5001,$A$100,BD!$S$3:$S$5001,"&lt;&gt;")=0,"",SUMIFS(BD!$S$3:$S$5001,BD!$A$3:$A$5001,P$3,BD!$B$3:$B$5001,$A$100)))</f>
        <v/>
      </c>
      <c r="Q105" s="275" t="str">
        <f>IF(Q$3="","",IF(COUNTIFS(BD!$A$3:$A$5001,Q$3,BD!$B$3:$B$5001,$A$100,BD!$S$3:$S$5001,"&lt;&gt;")=0,"",SUMIFS(BD!$S$3:$S$5001,BD!$A$3:$A$5001,Q$3,BD!$B$3:$B$5001,$A$100)))</f>
        <v/>
      </c>
      <c r="R105" s="275" t="str">
        <f>IF(R$3="","",IF(COUNTIFS(BD!$A$3:$A$5001,R$3,BD!$B$3:$B$5001,$A$100,BD!$S$3:$S$5001,"&lt;&gt;")=0,"",SUMIFS(BD!$S$3:$S$5001,BD!$A$3:$A$5001,R$3,BD!$B$3:$B$5001,$A$100)))</f>
        <v/>
      </c>
      <c r="S105" s="275" t="str">
        <f>IF(S$3="","",IF(COUNTIFS(BD!$A$3:$A$5001,S$3,BD!$B$3:$B$5001,$A$100,BD!$S$3:$S$5001,"&lt;&gt;")=0,"",SUMIFS(BD!$S$3:$S$5001,BD!$A$3:$A$5001,S$3,BD!$B$3:$B$5001,$A$100)))</f>
        <v/>
      </c>
      <c r="T105" s="275" t="str">
        <f>IF(T$3="","",IF(COUNTIFS(BD!$A$3:$A$5001,T$3,BD!$B$3:$B$5001,$A$100,BD!$S$3:$S$5001,"&lt;&gt;")=0,"",SUMIFS(BD!$S$3:$S$5001,BD!$A$3:$A$5001,T$3,BD!$B$3:$B$5001,$A$100)))</f>
        <v/>
      </c>
      <c r="U105" s="275" t="str">
        <f>IF(U$3="","",IF(COUNTIFS(BD!$A$3:$A$5001,U$3,BD!$B$3:$B$5001,$A$100,BD!$S$3:$S$5001,"&lt;&gt;")=0,"",SUMIFS(BD!$S$3:$S$5001,BD!$A$3:$A$5001,U$3,BD!$B$3:$B$5001,$A$100)))</f>
        <v/>
      </c>
      <c r="V105" s="275" t="str">
        <f>IF(V$3="","",IF(COUNTIFS(BD!$A$3:$A$5001,V$3,BD!$B$3:$B$5001,$A$100,BD!$S$3:$S$5001,"&lt;&gt;")=0,"",SUMIFS(BD!$S$3:$S$5001,BD!$A$3:$A$5001,V$3,BD!$B$3:$B$5001,$A$100)))</f>
        <v/>
      </c>
      <c r="W105" s="275" t="str">
        <f>IF(W$3="","",IF(COUNTIFS(BD!$A$3:$A$5001,W$3,BD!$B$3:$B$5001,$A$100,BD!$S$3:$S$5001,"&lt;&gt;")=0,"",SUMIFS(BD!$S$3:$S$5001,BD!$A$3:$A$5001,W$3,BD!$B$3:$B$5001,$A$100)))</f>
        <v/>
      </c>
      <c r="X105" s="275" t="str">
        <f>IF(X$3="","",IF(COUNTIFS(BD!$A$3:$A$5001,X$3,BD!$B$3:$B$5001,$A$100,BD!$S$3:$S$5001,"&lt;&gt;")=0,"",SUMIFS(BD!$S$3:$S$5001,BD!$A$3:$A$5001,X$3,BD!$B$3:$B$5001,$A$100)))</f>
        <v/>
      </c>
      <c r="Y105" s="275" t="str">
        <f>IF(Y$3="","",IF(COUNTIFS(BD!$A$3:$A$5001,Y$3,BD!$B$3:$B$5001,$A$100,BD!$S$3:$S$5001,"&lt;&gt;")=0,"",SUMIFS(BD!$S$3:$S$5001,BD!$A$3:$A$5001,Y$3,BD!$B$3:$B$5001,$A$100)))</f>
        <v/>
      </c>
      <c r="Z105" s="275" t="str">
        <f>IF(Z$3="","",IF(COUNTIFS(BD!$A$3:$A$5001,Z$3,BD!$B$3:$B$5001,$A$100,BD!$S$3:$S$5001,"&lt;&gt;")=0,"",SUMIFS(BD!$S$3:$S$5001,BD!$A$3:$A$5001,Z$3,BD!$B$3:$B$5001,$A$100)))</f>
        <v/>
      </c>
      <c r="AA105" s="275" t="str">
        <f>IF(AA$3="","",IF(COUNTIFS(BD!$A$3:$A$5001,AA$3,BD!$B$3:$B$5001,$A$100,BD!$S$3:$S$5001,"&lt;&gt;")=0,"",SUMIFS(BD!$S$3:$S$5001,BD!$A$3:$A$5001,AA$3,BD!$B$3:$B$5001,$A$100)))</f>
        <v/>
      </c>
      <c r="AB105" s="275" t="str">
        <f>IF(AB$3="","",IF(COUNTIFS(BD!$A$3:$A$5001,AB$3,BD!$B$3:$B$5001,$A$100,BD!$S$3:$S$5001,"&lt;&gt;")=0,"",SUMIFS(BD!$S$3:$S$5001,BD!$A$3:$A$5001,AB$3,BD!$B$3:$B$5001,$A$100)))</f>
        <v/>
      </c>
      <c r="AC105" s="275" t="str">
        <f>IF(AC$3="","",IF(COUNTIFS(BD!$A$3:$A$5001,AC$3,BD!$B$3:$B$5001,$A$100,BD!$S$3:$S$5001,"&lt;&gt;")=0,"",SUMIFS(BD!$S$3:$S$5001,BD!$A$3:$A$5001,AC$3,BD!$B$3:$B$5001,$A$100)))</f>
        <v/>
      </c>
      <c r="AD105" s="275" t="str">
        <f>IF(AD$3="","",IF(COUNTIFS(BD!$A$3:$A$5001,AD$3,BD!$B$3:$B$5001,$A$100,BD!$S$3:$S$5001,"&lt;&gt;")=0,"",SUMIFS(BD!$S$3:$S$5001,BD!$A$3:$A$5001,AD$3,BD!$B$3:$B$5001,$A$100)))</f>
        <v/>
      </c>
      <c r="AE105" s="275" t="str">
        <f>IF(AE$3="","",IF(COUNTIFS(BD!$A$3:$A$5001,AE$3,BD!$B$3:$B$5001,$A$100,BD!$S$3:$S$5001,"&lt;&gt;")=0,"",SUMIFS(BD!$S$3:$S$5001,BD!$A$3:$A$5001,AE$3,BD!$B$3:$B$5001,$A$100)))</f>
        <v/>
      </c>
      <c r="AF105" s="275" t="str">
        <f>IF(AF$3="","",IF(COUNTIFS(BD!$A$3:$A$5001,AF$3,BD!$B$3:$B$5001,$A$100,BD!$S$3:$S$5001,"&lt;&gt;")=0,"",SUMIFS(BD!$S$3:$S$5001,BD!$A$3:$A$5001,AF$3,BD!$B$3:$B$5001,$A$100)))</f>
        <v/>
      </c>
      <c r="AG105" s="275" t="str">
        <f>IF(AG$3="","",IF(COUNTIFS(BD!$A$3:$A$5001,AG$3,BD!$B$3:$B$5001,$A$100,BD!$S$3:$S$5001,"&lt;&gt;")=0,"",SUMIFS(BD!$S$3:$S$5001,BD!$A$3:$A$5001,AG$3,BD!$B$3:$B$5001,$A$100)))</f>
        <v/>
      </c>
      <c r="AH105" s="275" t="str">
        <f>IF(AH$3="","",IF(COUNTIFS(BD!$A$3:$A$5001,AH$3,BD!$B$3:$B$5001,$A$100,BD!$S$3:$S$5001,"&lt;&gt;")=0,"",SUMIFS(BD!$S$3:$S$5001,BD!$A$3:$A$5001,AH$3,BD!$B$3:$B$5001,$A$100)))</f>
        <v/>
      </c>
      <c r="AI105" s="275" t="str">
        <f>IF(AI$3="","",IF(COUNTIFS(BD!$A$3:$A$5001,AI$3,BD!$B$3:$B$5001,$A$100,BD!$S$3:$S$5001,"&lt;&gt;")=0,"",SUMIFS(BD!$S$3:$S$5001,BD!$A$3:$A$5001,AI$3,BD!$B$3:$B$5001,$A$100)))</f>
        <v/>
      </c>
      <c r="AJ105" s="276" t="str">
        <f>IF(AJ$3="","",IF(COUNTIFS(BD!$A$3:$A$5001,AJ$3,BD!$B$3:$B$5001,$A$100,BD!$S$3:$S$5001,"&lt;&gt;")=0,"",SUMIFS(BD!$S$3:$S$5001,BD!$A$3:$A$5001,AJ$3,BD!$B$3:$B$5001,$A$100)))</f>
        <v/>
      </c>
      <c r="AK105" s="277" t="str">
        <f>IF(COUNT(F105:AJ105)=0,"",SUM(F105:AJ105))</f>
        <v/>
      </c>
    </row>
    <row r="106" ht="15.75" customHeight="1">
      <c r="A106" s="261"/>
      <c r="B106" s="253" t="inlineStr">
        <is>
          <t xml:space="preserve">NC</t>
        </is>
      </c>
      <c r="C106" s="194" t="inlineStr">
        <is>
          <t xml:space="preserve">Incidentes</t>
        </is>
      </c>
      <c r="D106" s="195" t="str">
        <f>IFERROR(1/(1/INDEX(BD!$AL$40:$BF$40,MATCH($A$100,BD!$AL$22:$BF$22,0))),"")</f>
        <v/>
      </c>
      <c r="E106" s="196"/>
      <c r="F106" s="197" t="str">
        <f>IF(F$3="","",IF(COUNTIFS(BD!$A$3:$A$5001,F$3,BD!$B$3:$B$5001,$A$100,BD!$T$3:$T$5001,"&lt;&gt;")=0,"",SUMIFS(BD!$T$3:$T$5001,BD!$A$3:$A$5001,F$3,BD!$B$3:$B$5001,$A$100)))</f>
        <v/>
      </c>
      <c r="G106" s="198" t="str">
        <f>IF(G$3="","",IF(COUNTIFS(BD!$A$3:$A$5001,G$3,BD!$B$3:$B$5001,$A$100,BD!$T$3:$T$5001,"&lt;&gt;")=0,"",SUMIFS(BD!$T$3:$T$5001,BD!$A$3:$A$5001,G$3,BD!$B$3:$B$5001,$A$100)))</f>
        <v/>
      </c>
      <c r="H106" s="198" t="str">
        <f>IF(H$3="","",IF(COUNTIFS(BD!$A$3:$A$5001,H$3,BD!$B$3:$B$5001,$A$100,BD!$T$3:$T$5001,"&lt;&gt;")=0,"",SUMIFS(BD!$T$3:$T$5001,BD!$A$3:$A$5001,H$3,BD!$B$3:$B$5001,$A$100)))</f>
        <v/>
      </c>
      <c r="I106" s="198" t="str">
        <f>IF(I$3="","",IF(COUNTIFS(BD!$A$3:$A$5001,I$3,BD!$B$3:$B$5001,$A$100,BD!$T$3:$T$5001,"&lt;&gt;")=0,"",SUMIFS(BD!$T$3:$T$5001,BD!$A$3:$A$5001,I$3,BD!$B$3:$B$5001,$A$100)))</f>
        <v/>
      </c>
      <c r="J106" s="198" t="str">
        <f>IF(J$3="","",IF(COUNTIFS(BD!$A$3:$A$5001,J$3,BD!$B$3:$B$5001,$A$100,BD!$T$3:$T$5001,"&lt;&gt;")=0,"",SUMIFS(BD!$T$3:$T$5001,BD!$A$3:$A$5001,J$3,BD!$B$3:$B$5001,$A$100)))</f>
        <v/>
      </c>
      <c r="K106" s="198" t="str">
        <f>IF(K$3="","",IF(COUNTIFS(BD!$A$3:$A$5001,K$3,BD!$B$3:$B$5001,$A$100,BD!$T$3:$T$5001,"&lt;&gt;")=0,"",SUMIFS(BD!$T$3:$T$5001,BD!$A$3:$A$5001,K$3,BD!$B$3:$B$5001,$A$100)))</f>
        <v/>
      </c>
      <c r="L106" s="198" t="str">
        <f>IF(L$3="","",IF(COUNTIFS(BD!$A$3:$A$5001,L$3,BD!$B$3:$B$5001,$A$100,BD!$T$3:$T$5001,"&lt;&gt;")=0,"",SUMIFS(BD!$T$3:$T$5001,BD!$A$3:$A$5001,L$3,BD!$B$3:$B$5001,$A$100)))</f>
        <v/>
      </c>
      <c r="M106" s="198" t="str">
        <f>IF(M$3="","",IF(COUNTIFS(BD!$A$3:$A$5001,M$3,BD!$B$3:$B$5001,$A$100,BD!$T$3:$T$5001,"&lt;&gt;")=0,"",SUMIFS(BD!$T$3:$T$5001,BD!$A$3:$A$5001,M$3,BD!$B$3:$B$5001,$A$100)))</f>
        <v/>
      </c>
      <c r="N106" s="198" t="str">
        <f>IF(N$3="","",IF(COUNTIFS(BD!$A$3:$A$5001,N$3,BD!$B$3:$B$5001,$A$100,BD!$T$3:$T$5001,"&lt;&gt;")=0,"",SUMIFS(BD!$T$3:$T$5001,BD!$A$3:$A$5001,N$3,BD!$B$3:$B$5001,$A$100)))</f>
        <v/>
      </c>
      <c r="O106" s="198" t="str">
        <f>IF(O$3="","",IF(COUNTIFS(BD!$A$3:$A$5001,O$3,BD!$B$3:$B$5001,$A$100,BD!$T$3:$T$5001,"&lt;&gt;")=0,"",SUMIFS(BD!$T$3:$T$5001,BD!$A$3:$A$5001,O$3,BD!$B$3:$B$5001,$A$100)))</f>
        <v/>
      </c>
      <c r="P106" s="198" t="str">
        <f>IF(P$3="","",IF(COUNTIFS(BD!$A$3:$A$5001,P$3,BD!$B$3:$B$5001,$A$100,BD!$T$3:$T$5001,"&lt;&gt;")=0,"",SUMIFS(BD!$T$3:$T$5001,BD!$A$3:$A$5001,P$3,BD!$B$3:$B$5001,$A$100)))</f>
        <v/>
      </c>
      <c r="Q106" s="198" t="str">
        <f>IF(Q$3="","",IF(COUNTIFS(BD!$A$3:$A$5001,Q$3,BD!$B$3:$B$5001,$A$100,BD!$T$3:$T$5001,"&lt;&gt;")=0,"",SUMIFS(BD!$T$3:$T$5001,BD!$A$3:$A$5001,Q$3,BD!$B$3:$B$5001,$A$100)))</f>
        <v/>
      </c>
      <c r="R106" s="198" t="str">
        <f>IF(R$3="","",IF(COUNTIFS(BD!$A$3:$A$5001,R$3,BD!$B$3:$B$5001,$A$100,BD!$T$3:$T$5001,"&lt;&gt;")=0,"",SUMIFS(BD!$T$3:$T$5001,BD!$A$3:$A$5001,R$3,BD!$B$3:$B$5001,$A$100)))</f>
        <v/>
      </c>
      <c r="S106" s="198" t="str">
        <f>IF(S$3="","",IF(COUNTIFS(BD!$A$3:$A$5001,S$3,BD!$B$3:$B$5001,$A$100,BD!$T$3:$T$5001,"&lt;&gt;")=0,"",SUMIFS(BD!$T$3:$T$5001,BD!$A$3:$A$5001,S$3,BD!$B$3:$B$5001,$A$100)))</f>
        <v/>
      </c>
      <c r="T106" s="198" t="str">
        <f>IF(T$3="","",IF(COUNTIFS(BD!$A$3:$A$5001,T$3,BD!$B$3:$B$5001,$A$100,BD!$T$3:$T$5001,"&lt;&gt;")=0,"",SUMIFS(BD!$T$3:$T$5001,BD!$A$3:$A$5001,T$3,BD!$B$3:$B$5001,$A$100)))</f>
        <v/>
      </c>
      <c r="U106" s="198" t="str">
        <f>IF(U$3="","",IF(COUNTIFS(BD!$A$3:$A$5001,U$3,BD!$B$3:$B$5001,$A$100,BD!$T$3:$T$5001,"&lt;&gt;")=0,"",SUMIFS(BD!$T$3:$T$5001,BD!$A$3:$A$5001,U$3,BD!$B$3:$B$5001,$A$100)))</f>
        <v/>
      </c>
      <c r="V106" s="198" t="str">
        <f>IF(V$3="","",IF(COUNTIFS(BD!$A$3:$A$5001,V$3,BD!$B$3:$B$5001,$A$100,BD!$T$3:$T$5001,"&lt;&gt;")=0,"",SUMIFS(BD!$T$3:$T$5001,BD!$A$3:$A$5001,V$3,BD!$B$3:$B$5001,$A$100)))</f>
        <v/>
      </c>
      <c r="W106" s="198" t="str">
        <f>IF(W$3="","",IF(COUNTIFS(BD!$A$3:$A$5001,W$3,BD!$B$3:$B$5001,$A$100,BD!$T$3:$T$5001,"&lt;&gt;")=0,"",SUMIFS(BD!$T$3:$T$5001,BD!$A$3:$A$5001,W$3,BD!$B$3:$B$5001,$A$100)))</f>
        <v/>
      </c>
      <c r="X106" s="198" t="str">
        <f>IF(X$3="","",IF(COUNTIFS(BD!$A$3:$A$5001,X$3,BD!$B$3:$B$5001,$A$100,BD!$T$3:$T$5001,"&lt;&gt;")=0,"",SUMIFS(BD!$T$3:$T$5001,BD!$A$3:$A$5001,X$3,BD!$B$3:$B$5001,$A$100)))</f>
        <v/>
      </c>
      <c r="Y106" s="198" t="str">
        <f>IF(Y$3="","",IF(COUNTIFS(BD!$A$3:$A$5001,Y$3,BD!$B$3:$B$5001,$A$100,BD!$T$3:$T$5001,"&lt;&gt;")=0,"",SUMIFS(BD!$T$3:$T$5001,BD!$A$3:$A$5001,Y$3,BD!$B$3:$B$5001,$A$100)))</f>
        <v/>
      </c>
      <c r="Z106" s="198" t="str">
        <f>IF(Z$3="","",IF(COUNTIFS(BD!$A$3:$A$5001,Z$3,BD!$B$3:$B$5001,$A$100,BD!$T$3:$T$5001,"&lt;&gt;")=0,"",SUMIFS(BD!$T$3:$T$5001,BD!$A$3:$A$5001,Z$3,BD!$B$3:$B$5001,$A$100)))</f>
        <v/>
      </c>
      <c r="AA106" s="198" t="str">
        <f>IF(AA$3="","",IF(COUNTIFS(BD!$A$3:$A$5001,AA$3,BD!$B$3:$B$5001,$A$100,BD!$T$3:$T$5001,"&lt;&gt;")=0,"",SUMIFS(BD!$T$3:$T$5001,BD!$A$3:$A$5001,AA$3,BD!$B$3:$B$5001,$A$100)))</f>
        <v/>
      </c>
      <c r="AB106" s="198" t="str">
        <f>IF(AB$3="","",IF(COUNTIFS(BD!$A$3:$A$5001,AB$3,BD!$B$3:$B$5001,$A$100,BD!$T$3:$T$5001,"&lt;&gt;")=0,"",SUMIFS(BD!$T$3:$T$5001,BD!$A$3:$A$5001,AB$3,BD!$B$3:$B$5001,$A$100)))</f>
        <v/>
      </c>
      <c r="AC106" s="198" t="str">
        <f>IF(AC$3="","",IF(COUNTIFS(BD!$A$3:$A$5001,AC$3,BD!$B$3:$B$5001,$A$100,BD!$T$3:$T$5001,"&lt;&gt;")=0,"",SUMIFS(BD!$T$3:$T$5001,BD!$A$3:$A$5001,AC$3,BD!$B$3:$B$5001,$A$100)))</f>
        <v/>
      </c>
      <c r="AD106" s="198" t="str">
        <f>IF(AD$3="","",IF(COUNTIFS(BD!$A$3:$A$5001,AD$3,BD!$B$3:$B$5001,$A$100,BD!$T$3:$T$5001,"&lt;&gt;")=0,"",SUMIFS(BD!$T$3:$T$5001,BD!$A$3:$A$5001,AD$3,BD!$B$3:$B$5001,$A$100)))</f>
        <v/>
      </c>
      <c r="AE106" s="198" t="str">
        <f>IF(AE$3="","",IF(COUNTIFS(BD!$A$3:$A$5001,AE$3,BD!$B$3:$B$5001,$A$100,BD!$T$3:$T$5001,"&lt;&gt;")=0,"",SUMIFS(BD!$T$3:$T$5001,BD!$A$3:$A$5001,AE$3,BD!$B$3:$B$5001,$A$100)))</f>
        <v/>
      </c>
      <c r="AF106" s="198" t="str">
        <f>IF(AF$3="","",IF(COUNTIFS(BD!$A$3:$A$5001,AF$3,BD!$B$3:$B$5001,$A$100,BD!$T$3:$T$5001,"&lt;&gt;")=0,"",SUMIFS(BD!$T$3:$T$5001,BD!$A$3:$A$5001,AF$3,BD!$B$3:$B$5001,$A$100)))</f>
        <v/>
      </c>
      <c r="AG106" s="198" t="str">
        <f>IF(AG$3="","",IF(COUNTIFS(BD!$A$3:$A$5001,AG$3,BD!$B$3:$B$5001,$A$100,BD!$T$3:$T$5001,"&lt;&gt;")=0,"",SUMIFS(BD!$T$3:$T$5001,BD!$A$3:$A$5001,AG$3,BD!$B$3:$B$5001,$A$100)))</f>
        <v/>
      </c>
      <c r="AH106" s="198" t="str">
        <f>IF(AH$3="","",IF(COUNTIFS(BD!$A$3:$A$5001,AH$3,BD!$B$3:$B$5001,$A$100,BD!$T$3:$T$5001,"&lt;&gt;")=0,"",SUMIFS(BD!$T$3:$T$5001,BD!$A$3:$A$5001,AH$3,BD!$B$3:$B$5001,$A$100)))</f>
        <v/>
      </c>
      <c r="AI106" s="198" t="str">
        <f>IF(AI$3="","",IF(COUNTIFS(BD!$A$3:$A$5001,AI$3,BD!$B$3:$B$5001,$A$100,BD!$T$3:$T$5001,"&lt;&gt;")=0,"",SUMIFS(BD!$T$3:$T$5001,BD!$A$3:$A$5001,AI$3,BD!$B$3:$B$5001,$A$100)))</f>
        <v/>
      </c>
      <c r="AJ106" s="199" t="str">
        <f>IF(AJ$3="","",IF(COUNTIFS(BD!$A$3:$A$5001,AJ$3,BD!$B$3:$B$5001,$A$100,BD!$T$3:$T$5001,"&lt;&gt;")=0,"",SUMIFS(BD!$T$3:$T$5001,BD!$A$3:$A$5001,AJ$3,BD!$B$3:$B$5001,$A$100)))</f>
        <v/>
      </c>
      <c r="AK106" s="200" t="str">
        <f>IF(COUNT(F106:AJ106)=0,"",SUM(F106:AJ106))</f>
        <v/>
      </c>
    </row>
    <row r="107" ht="15.75" customHeight="1">
      <c r="A107" s="261"/>
      <c r="B107" s="254"/>
      <c r="C107" s="201" t="inlineStr">
        <is>
          <t xml:space="preserve">No show</t>
        </is>
      </c>
      <c r="D107" s="202" t="str">
        <f>IFERROR(1/(1/INDEX(BD!$AL$41:$BF$41,MATCH($A$100,BD!$AL$22:$BF$22,0))),"")</f>
        <v/>
      </c>
      <c r="E107" s="203"/>
      <c r="F107" s="204" t="str">
        <f>IF(F$3="","",IF(COUNTIFS(BD!$A$3:$A$5001,F$3,BD!$B$3:$B$5001,$A$100,BD!$U$3:$U$5001,"&lt;&gt;")=0,"",SUMIFS(BD!$U$3:$U$5001,BD!$A$3:$A$5001,F$3,BD!$B$3:$B$5001,$A$100)))</f>
        <v/>
      </c>
      <c r="G107" s="205" t="str">
        <f>IF(G$3="","",IF(COUNTIFS(BD!$A$3:$A$5001,G$3,BD!$B$3:$B$5001,$A$100,BD!$U$3:$U$5001,"&lt;&gt;")=0,"",SUMIFS(BD!$U$3:$U$5001,BD!$A$3:$A$5001,G$3,BD!$B$3:$B$5001,$A$100)))</f>
        <v/>
      </c>
      <c r="H107" s="205" t="str">
        <f>IF(H$3="","",IF(COUNTIFS(BD!$A$3:$A$5001,H$3,BD!$B$3:$B$5001,$A$100,BD!$U$3:$U$5001,"&lt;&gt;")=0,"",SUMIFS(BD!$U$3:$U$5001,BD!$A$3:$A$5001,H$3,BD!$B$3:$B$5001,$A$100)))</f>
        <v/>
      </c>
      <c r="I107" s="205" t="str">
        <f>IF(I$3="","",IF(COUNTIFS(BD!$A$3:$A$5001,I$3,BD!$B$3:$B$5001,$A$100,BD!$U$3:$U$5001,"&lt;&gt;")=0,"",SUMIFS(BD!$U$3:$U$5001,BD!$A$3:$A$5001,I$3,BD!$B$3:$B$5001,$A$100)))</f>
        <v/>
      </c>
      <c r="J107" s="205" t="str">
        <f>IF(J$3="","",IF(COUNTIFS(BD!$A$3:$A$5001,J$3,BD!$B$3:$B$5001,$A$100,BD!$U$3:$U$5001,"&lt;&gt;")=0,"",SUMIFS(BD!$U$3:$U$5001,BD!$A$3:$A$5001,J$3,BD!$B$3:$B$5001,$A$100)))</f>
        <v/>
      </c>
      <c r="K107" s="205" t="str">
        <f>IF(K$3="","",IF(COUNTIFS(BD!$A$3:$A$5001,K$3,BD!$B$3:$B$5001,$A$100,BD!$U$3:$U$5001,"&lt;&gt;")=0,"",SUMIFS(BD!$U$3:$U$5001,BD!$A$3:$A$5001,K$3,BD!$B$3:$B$5001,$A$100)))</f>
        <v/>
      </c>
      <c r="L107" s="205" t="str">
        <f>IF(L$3="","",IF(COUNTIFS(BD!$A$3:$A$5001,L$3,BD!$B$3:$B$5001,$A$100,BD!$U$3:$U$5001,"&lt;&gt;")=0,"",SUMIFS(BD!$U$3:$U$5001,BD!$A$3:$A$5001,L$3,BD!$B$3:$B$5001,$A$100)))</f>
        <v/>
      </c>
      <c r="M107" s="205" t="str">
        <f>IF(M$3="","",IF(COUNTIFS(BD!$A$3:$A$5001,M$3,BD!$B$3:$B$5001,$A$100,BD!$U$3:$U$5001,"&lt;&gt;")=0,"",SUMIFS(BD!$U$3:$U$5001,BD!$A$3:$A$5001,M$3,BD!$B$3:$B$5001,$A$100)))</f>
        <v/>
      </c>
      <c r="N107" s="205" t="str">
        <f>IF(N$3="","",IF(COUNTIFS(BD!$A$3:$A$5001,N$3,BD!$B$3:$B$5001,$A$100,BD!$U$3:$U$5001,"&lt;&gt;")=0,"",SUMIFS(BD!$U$3:$U$5001,BD!$A$3:$A$5001,N$3,BD!$B$3:$B$5001,$A$100)))</f>
        <v/>
      </c>
      <c r="O107" s="205" t="str">
        <f>IF(O$3="","",IF(COUNTIFS(BD!$A$3:$A$5001,O$3,BD!$B$3:$B$5001,$A$100,BD!$U$3:$U$5001,"&lt;&gt;")=0,"",SUMIFS(BD!$U$3:$U$5001,BD!$A$3:$A$5001,O$3,BD!$B$3:$B$5001,$A$100)))</f>
        <v/>
      </c>
      <c r="P107" s="205" t="str">
        <f>IF(P$3="","",IF(COUNTIFS(BD!$A$3:$A$5001,P$3,BD!$B$3:$B$5001,$A$100,BD!$U$3:$U$5001,"&lt;&gt;")=0,"",SUMIFS(BD!$U$3:$U$5001,BD!$A$3:$A$5001,P$3,BD!$B$3:$B$5001,$A$100)))</f>
        <v/>
      </c>
      <c r="Q107" s="205" t="str">
        <f>IF(Q$3="","",IF(COUNTIFS(BD!$A$3:$A$5001,Q$3,BD!$B$3:$B$5001,$A$100,BD!$U$3:$U$5001,"&lt;&gt;")=0,"",SUMIFS(BD!$U$3:$U$5001,BD!$A$3:$A$5001,Q$3,BD!$B$3:$B$5001,$A$100)))</f>
        <v/>
      </c>
      <c r="R107" s="205" t="str">
        <f>IF(R$3="","",IF(COUNTIFS(BD!$A$3:$A$5001,R$3,BD!$B$3:$B$5001,$A$100,BD!$U$3:$U$5001,"&lt;&gt;")=0,"",SUMIFS(BD!$U$3:$U$5001,BD!$A$3:$A$5001,R$3,BD!$B$3:$B$5001,$A$100)))</f>
        <v/>
      </c>
      <c r="S107" s="205" t="str">
        <f>IF(S$3="","",IF(COUNTIFS(BD!$A$3:$A$5001,S$3,BD!$B$3:$B$5001,$A$100,BD!$U$3:$U$5001,"&lt;&gt;")=0,"",SUMIFS(BD!$U$3:$U$5001,BD!$A$3:$A$5001,S$3,BD!$B$3:$B$5001,$A$100)))</f>
        <v/>
      </c>
      <c r="T107" s="205" t="str">
        <f>IF(T$3="","",IF(COUNTIFS(BD!$A$3:$A$5001,T$3,BD!$B$3:$B$5001,$A$100,BD!$U$3:$U$5001,"&lt;&gt;")=0,"",SUMIFS(BD!$U$3:$U$5001,BD!$A$3:$A$5001,T$3,BD!$B$3:$B$5001,$A$100)))</f>
        <v/>
      </c>
      <c r="U107" s="205" t="str">
        <f>IF(U$3="","",IF(COUNTIFS(BD!$A$3:$A$5001,U$3,BD!$B$3:$B$5001,$A$100,BD!$U$3:$U$5001,"&lt;&gt;")=0,"",SUMIFS(BD!$U$3:$U$5001,BD!$A$3:$A$5001,U$3,BD!$B$3:$B$5001,$A$100)))</f>
        <v/>
      </c>
      <c r="V107" s="205" t="str">
        <f>IF(V$3="","",IF(COUNTIFS(BD!$A$3:$A$5001,V$3,BD!$B$3:$B$5001,$A$100,BD!$U$3:$U$5001,"&lt;&gt;")=0,"",SUMIFS(BD!$U$3:$U$5001,BD!$A$3:$A$5001,V$3,BD!$B$3:$B$5001,$A$100)))</f>
        <v/>
      </c>
      <c r="W107" s="205" t="str">
        <f>IF(W$3="","",IF(COUNTIFS(BD!$A$3:$A$5001,W$3,BD!$B$3:$B$5001,$A$100,BD!$U$3:$U$5001,"&lt;&gt;")=0,"",SUMIFS(BD!$U$3:$U$5001,BD!$A$3:$A$5001,W$3,BD!$B$3:$B$5001,$A$100)))</f>
        <v/>
      </c>
      <c r="X107" s="205" t="str">
        <f>IF(X$3="","",IF(COUNTIFS(BD!$A$3:$A$5001,X$3,BD!$B$3:$B$5001,$A$100,BD!$U$3:$U$5001,"&lt;&gt;")=0,"",SUMIFS(BD!$U$3:$U$5001,BD!$A$3:$A$5001,X$3,BD!$B$3:$B$5001,$A$100)))</f>
        <v/>
      </c>
      <c r="Y107" s="205" t="str">
        <f>IF(Y$3="","",IF(COUNTIFS(BD!$A$3:$A$5001,Y$3,BD!$B$3:$B$5001,$A$100,BD!$U$3:$U$5001,"&lt;&gt;")=0,"",SUMIFS(BD!$U$3:$U$5001,BD!$A$3:$A$5001,Y$3,BD!$B$3:$B$5001,$A$100)))</f>
        <v/>
      </c>
      <c r="Z107" s="205" t="str">
        <f>IF(Z$3="","",IF(COUNTIFS(BD!$A$3:$A$5001,Z$3,BD!$B$3:$B$5001,$A$100,BD!$U$3:$U$5001,"&lt;&gt;")=0,"",SUMIFS(BD!$U$3:$U$5001,BD!$A$3:$A$5001,Z$3,BD!$B$3:$B$5001,$A$100)))</f>
        <v/>
      </c>
      <c r="AA107" s="205" t="str">
        <f>IF(AA$3="","",IF(COUNTIFS(BD!$A$3:$A$5001,AA$3,BD!$B$3:$B$5001,$A$100,BD!$U$3:$U$5001,"&lt;&gt;")=0,"",SUMIFS(BD!$U$3:$U$5001,BD!$A$3:$A$5001,AA$3,BD!$B$3:$B$5001,$A$100)))</f>
        <v/>
      </c>
      <c r="AB107" s="205" t="str">
        <f>IF(AB$3="","",IF(COUNTIFS(BD!$A$3:$A$5001,AB$3,BD!$B$3:$B$5001,$A$100,BD!$U$3:$U$5001,"&lt;&gt;")=0,"",SUMIFS(BD!$U$3:$U$5001,BD!$A$3:$A$5001,AB$3,BD!$B$3:$B$5001,$A$100)))</f>
        <v/>
      </c>
      <c r="AC107" s="205" t="str">
        <f>IF(AC$3="","",IF(COUNTIFS(BD!$A$3:$A$5001,AC$3,BD!$B$3:$B$5001,$A$100,BD!$U$3:$U$5001,"&lt;&gt;")=0,"",SUMIFS(BD!$U$3:$U$5001,BD!$A$3:$A$5001,AC$3,BD!$B$3:$B$5001,$A$100)))</f>
        <v/>
      </c>
      <c r="AD107" s="205" t="str">
        <f>IF(AD$3="","",IF(COUNTIFS(BD!$A$3:$A$5001,AD$3,BD!$B$3:$B$5001,$A$100,BD!$U$3:$U$5001,"&lt;&gt;")=0,"",SUMIFS(BD!$U$3:$U$5001,BD!$A$3:$A$5001,AD$3,BD!$B$3:$B$5001,$A$100)))</f>
        <v/>
      </c>
      <c r="AE107" s="205" t="str">
        <f>IF(AE$3="","",IF(COUNTIFS(BD!$A$3:$A$5001,AE$3,BD!$B$3:$B$5001,$A$100,BD!$U$3:$U$5001,"&lt;&gt;")=0,"",SUMIFS(BD!$U$3:$U$5001,BD!$A$3:$A$5001,AE$3,BD!$B$3:$B$5001,$A$100)))</f>
        <v/>
      </c>
      <c r="AF107" s="205" t="str">
        <f>IF(AF$3="","",IF(COUNTIFS(BD!$A$3:$A$5001,AF$3,BD!$B$3:$B$5001,$A$100,BD!$U$3:$U$5001,"&lt;&gt;")=0,"",SUMIFS(BD!$U$3:$U$5001,BD!$A$3:$A$5001,AF$3,BD!$B$3:$B$5001,$A$100)))</f>
        <v/>
      </c>
      <c r="AG107" s="205" t="str">
        <f>IF(AG$3="","",IF(COUNTIFS(BD!$A$3:$A$5001,AG$3,BD!$B$3:$B$5001,$A$100,BD!$U$3:$U$5001,"&lt;&gt;")=0,"",SUMIFS(BD!$U$3:$U$5001,BD!$A$3:$A$5001,AG$3,BD!$B$3:$B$5001,$A$100)))</f>
        <v/>
      </c>
      <c r="AH107" s="205" t="str">
        <f>IF(AH$3="","",IF(COUNTIFS(BD!$A$3:$A$5001,AH$3,BD!$B$3:$B$5001,$A$100,BD!$U$3:$U$5001,"&lt;&gt;")=0,"",SUMIFS(BD!$U$3:$U$5001,BD!$A$3:$A$5001,AH$3,BD!$B$3:$B$5001,$A$100)))</f>
        <v/>
      </c>
      <c r="AI107" s="205" t="str">
        <f>IF(AI$3="","",IF(COUNTIFS(BD!$A$3:$A$5001,AI$3,BD!$B$3:$B$5001,$A$100,BD!$U$3:$U$5001,"&lt;&gt;")=0,"",SUMIFS(BD!$U$3:$U$5001,BD!$A$3:$A$5001,AI$3,BD!$B$3:$B$5001,$A$100)))</f>
        <v/>
      </c>
      <c r="AJ107" s="206" t="str">
        <f>IF(AJ$3="","",IF(COUNTIFS(BD!$A$3:$A$5001,AJ$3,BD!$B$3:$B$5001,$A$100,BD!$U$3:$U$5001,"&lt;&gt;")=0,"",SUMIFS(BD!$U$3:$U$5001,BD!$A$3:$A$5001,AJ$3,BD!$B$3:$B$5001,$A$100)))</f>
        <v/>
      </c>
      <c r="AK107" s="207" t="str">
        <f>IF(COUNT(F107:AJ107)=0,"",SUM(F107:AJ107))</f>
        <v/>
      </c>
    </row>
    <row r="108" ht="15.75" customHeight="1">
      <c r="A108" s="261"/>
      <c r="B108" s="254"/>
      <c r="C108" s="201" t="inlineStr">
        <is>
          <t xml:space="preserve">Backlog Intralog</t>
        </is>
      </c>
      <c r="D108" s="202" t="str">
        <f>IFERROR(1/(1/INDEX(BD!$AL$42:$BF$42,MATCH($A$100,BD!$AL$22:$BF$22,0))),"")</f>
        <v/>
      </c>
      <c r="E108" s="203"/>
      <c r="F108" s="204" t="str">
        <f>IF(F$3="","",IF(COUNTIFS(BD!$A$3:$A$5001,F$3,BD!$B$3:$B$5001,$A$100,BD!$V$3:$V$5001,"&lt;&gt;")=0,"",SUMIFS(BD!$V$3:$V$5001,BD!$A$3:$A$5001,F$3,BD!$B$3:$B$5001,$A$100)))</f>
        <v/>
      </c>
      <c r="G108" s="205" t="str">
        <f>IF(G$3="","",IF(COUNTIFS(BD!$A$3:$A$5001,G$3,BD!$B$3:$B$5001,$A$100,BD!$V$3:$V$5001,"&lt;&gt;")=0,"",SUMIFS(BD!$V$3:$V$5001,BD!$A$3:$A$5001,G$3,BD!$B$3:$B$5001,$A$100)))</f>
        <v/>
      </c>
      <c r="H108" s="205" t="str">
        <f>IF(H$3="","",IF(COUNTIFS(BD!$A$3:$A$5001,H$3,BD!$B$3:$B$5001,$A$100,BD!$V$3:$V$5001,"&lt;&gt;")=0,"",SUMIFS(BD!$V$3:$V$5001,BD!$A$3:$A$5001,H$3,BD!$B$3:$B$5001,$A$100)))</f>
        <v/>
      </c>
      <c r="I108" s="205" t="str">
        <f>IF(I$3="","",IF(COUNTIFS(BD!$A$3:$A$5001,I$3,BD!$B$3:$B$5001,$A$100,BD!$V$3:$V$5001,"&lt;&gt;")=0,"",SUMIFS(BD!$V$3:$V$5001,BD!$A$3:$A$5001,I$3,BD!$B$3:$B$5001,$A$100)))</f>
        <v/>
      </c>
      <c r="J108" s="205" t="str">
        <f>IF(J$3="","",IF(COUNTIFS(BD!$A$3:$A$5001,J$3,BD!$B$3:$B$5001,$A$100,BD!$V$3:$V$5001,"&lt;&gt;")=0,"",SUMIFS(BD!$V$3:$V$5001,BD!$A$3:$A$5001,J$3,BD!$B$3:$B$5001,$A$100)))</f>
        <v/>
      </c>
      <c r="K108" s="205" t="str">
        <f>IF(K$3="","",IF(COUNTIFS(BD!$A$3:$A$5001,K$3,BD!$B$3:$B$5001,$A$100,BD!$V$3:$V$5001,"&lt;&gt;")=0,"",SUMIFS(BD!$V$3:$V$5001,BD!$A$3:$A$5001,K$3,BD!$B$3:$B$5001,$A$100)))</f>
        <v/>
      </c>
      <c r="L108" s="205" t="str">
        <f>IF(L$3="","",IF(COUNTIFS(BD!$A$3:$A$5001,L$3,BD!$B$3:$B$5001,$A$100,BD!$V$3:$V$5001,"&lt;&gt;")=0,"",SUMIFS(BD!$V$3:$V$5001,BD!$A$3:$A$5001,L$3,BD!$B$3:$B$5001,$A$100)))</f>
        <v/>
      </c>
      <c r="M108" s="205" t="str">
        <f>IF(M$3="","",IF(COUNTIFS(BD!$A$3:$A$5001,M$3,BD!$B$3:$B$5001,$A$100,BD!$V$3:$V$5001,"&lt;&gt;")=0,"",SUMIFS(BD!$V$3:$V$5001,BD!$A$3:$A$5001,M$3,BD!$B$3:$B$5001,$A$100)))</f>
        <v/>
      </c>
      <c r="N108" s="205" t="str">
        <f>IF(N$3="","",IF(COUNTIFS(BD!$A$3:$A$5001,N$3,BD!$B$3:$B$5001,$A$100,BD!$V$3:$V$5001,"&lt;&gt;")=0,"",SUMIFS(BD!$V$3:$V$5001,BD!$A$3:$A$5001,N$3,BD!$B$3:$B$5001,$A$100)))</f>
        <v/>
      </c>
      <c r="O108" s="205" t="str">
        <f>IF(O$3="","",IF(COUNTIFS(BD!$A$3:$A$5001,O$3,BD!$B$3:$B$5001,$A$100,BD!$V$3:$V$5001,"&lt;&gt;")=0,"",SUMIFS(BD!$V$3:$V$5001,BD!$A$3:$A$5001,O$3,BD!$B$3:$B$5001,$A$100)))</f>
        <v/>
      </c>
      <c r="P108" s="205" t="str">
        <f>IF(P$3="","",IF(COUNTIFS(BD!$A$3:$A$5001,P$3,BD!$B$3:$B$5001,$A$100,BD!$V$3:$V$5001,"&lt;&gt;")=0,"",SUMIFS(BD!$V$3:$V$5001,BD!$A$3:$A$5001,P$3,BD!$B$3:$B$5001,$A$100)))</f>
        <v/>
      </c>
      <c r="Q108" s="205" t="str">
        <f>IF(Q$3="","",IF(COUNTIFS(BD!$A$3:$A$5001,Q$3,BD!$B$3:$B$5001,$A$100,BD!$V$3:$V$5001,"&lt;&gt;")=0,"",SUMIFS(BD!$V$3:$V$5001,BD!$A$3:$A$5001,Q$3,BD!$B$3:$B$5001,$A$100)))</f>
        <v/>
      </c>
      <c r="R108" s="205" t="str">
        <f>IF(R$3="","",IF(COUNTIFS(BD!$A$3:$A$5001,R$3,BD!$B$3:$B$5001,$A$100,BD!$V$3:$V$5001,"&lt;&gt;")=0,"",SUMIFS(BD!$V$3:$V$5001,BD!$A$3:$A$5001,R$3,BD!$B$3:$B$5001,$A$100)))</f>
        <v/>
      </c>
      <c r="S108" s="205" t="str">
        <f>IF(S$3="","",IF(COUNTIFS(BD!$A$3:$A$5001,S$3,BD!$B$3:$B$5001,$A$100,BD!$V$3:$V$5001,"&lt;&gt;")=0,"",SUMIFS(BD!$V$3:$V$5001,BD!$A$3:$A$5001,S$3,BD!$B$3:$B$5001,$A$100)))</f>
        <v/>
      </c>
      <c r="T108" s="205" t="str">
        <f>IF(T$3="","",IF(COUNTIFS(BD!$A$3:$A$5001,T$3,BD!$B$3:$B$5001,$A$100,BD!$V$3:$V$5001,"&lt;&gt;")=0,"",SUMIFS(BD!$V$3:$V$5001,BD!$A$3:$A$5001,T$3,BD!$B$3:$B$5001,$A$100)))</f>
        <v/>
      </c>
      <c r="U108" s="205" t="str">
        <f>IF(U$3="","",IF(COUNTIFS(BD!$A$3:$A$5001,U$3,BD!$B$3:$B$5001,$A$100,BD!$V$3:$V$5001,"&lt;&gt;")=0,"",SUMIFS(BD!$V$3:$V$5001,BD!$A$3:$A$5001,U$3,BD!$B$3:$B$5001,$A$100)))</f>
        <v/>
      </c>
      <c r="V108" s="205" t="str">
        <f>IF(V$3="","",IF(COUNTIFS(BD!$A$3:$A$5001,V$3,BD!$B$3:$B$5001,$A$100,BD!$V$3:$V$5001,"&lt;&gt;")=0,"",SUMIFS(BD!$V$3:$V$5001,BD!$A$3:$A$5001,V$3,BD!$B$3:$B$5001,$A$100)))</f>
        <v/>
      </c>
      <c r="W108" s="205" t="str">
        <f>IF(W$3="","",IF(COUNTIFS(BD!$A$3:$A$5001,W$3,BD!$B$3:$B$5001,$A$100,BD!$V$3:$V$5001,"&lt;&gt;")=0,"",SUMIFS(BD!$V$3:$V$5001,BD!$A$3:$A$5001,W$3,BD!$B$3:$B$5001,$A$100)))</f>
        <v/>
      </c>
      <c r="X108" s="205" t="str">
        <f>IF(X$3="","",IF(COUNTIFS(BD!$A$3:$A$5001,X$3,BD!$B$3:$B$5001,$A$100,BD!$V$3:$V$5001,"&lt;&gt;")=0,"",SUMIFS(BD!$V$3:$V$5001,BD!$A$3:$A$5001,X$3,BD!$B$3:$B$5001,$A$100)))</f>
        <v/>
      </c>
      <c r="Y108" s="205" t="str">
        <f>IF(Y$3="","",IF(COUNTIFS(BD!$A$3:$A$5001,Y$3,BD!$B$3:$B$5001,$A$100,BD!$V$3:$V$5001,"&lt;&gt;")=0,"",SUMIFS(BD!$V$3:$V$5001,BD!$A$3:$A$5001,Y$3,BD!$B$3:$B$5001,$A$100)))</f>
        <v/>
      </c>
      <c r="Z108" s="205" t="str">
        <f>IF(Z$3="","",IF(COUNTIFS(BD!$A$3:$A$5001,Z$3,BD!$B$3:$B$5001,$A$100,BD!$V$3:$V$5001,"&lt;&gt;")=0,"",SUMIFS(BD!$V$3:$V$5001,BD!$A$3:$A$5001,Z$3,BD!$B$3:$B$5001,$A$100)))</f>
        <v/>
      </c>
      <c r="AA108" s="205" t="str">
        <f>IF(AA$3="","",IF(COUNTIFS(BD!$A$3:$A$5001,AA$3,BD!$B$3:$B$5001,$A$100,BD!$V$3:$V$5001,"&lt;&gt;")=0,"",SUMIFS(BD!$V$3:$V$5001,BD!$A$3:$A$5001,AA$3,BD!$B$3:$B$5001,$A$100)))</f>
        <v/>
      </c>
      <c r="AB108" s="205" t="str">
        <f>IF(AB$3="","",IF(COUNTIFS(BD!$A$3:$A$5001,AB$3,BD!$B$3:$B$5001,$A$100,BD!$V$3:$V$5001,"&lt;&gt;")=0,"",SUMIFS(BD!$V$3:$V$5001,BD!$A$3:$A$5001,AB$3,BD!$B$3:$B$5001,$A$100)))</f>
        <v/>
      </c>
      <c r="AC108" s="205" t="str">
        <f>IF(AC$3="","",IF(COUNTIFS(BD!$A$3:$A$5001,AC$3,BD!$B$3:$B$5001,$A$100,BD!$V$3:$V$5001,"&lt;&gt;")=0,"",SUMIFS(BD!$V$3:$V$5001,BD!$A$3:$A$5001,AC$3,BD!$B$3:$B$5001,$A$100)))</f>
        <v/>
      </c>
      <c r="AD108" s="205" t="str">
        <f>IF(AD$3="","",IF(COUNTIFS(BD!$A$3:$A$5001,AD$3,BD!$B$3:$B$5001,$A$100,BD!$V$3:$V$5001,"&lt;&gt;")=0,"",SUMIFS(BD!$V$3:$V$5001,BD!$A$3:$A$5001,AD$3,BD!$B$3:$B$5001,$A$100)))</f>
        <v/>
      </c>
      <c r="AE108" s="205" t="str">
        <f>IF(AE$3="","",IF(COUNTIFS(BD!$A$3:$A$5001,AE$3,BD!$B$3:$B$5001,$A$100,BD!$V$3:$V$5001,"&lt;&gt;")=0,"",SUMIFS(BD!$V$3:$V$5001,BD!$A$3:$A$5001,AE$3,BD!$B$3:$B$5001,$A$100)))</f>
        <v/>
      </c>
      <c r="AF108" s="205" t="str">
        <f>IF(AF$3="","",IF(COUNTIFS(BD!$A$3:$A$5001,AF$3,BD!$B$3:$B$5001,$A$100,BD!$V$3:$V$5001,"&lt;&gt;")=0,"",SUMIFS(BD!$V$3:$V$5001,BD!$A$3:$A$5001,AF$3,BD!$B$3:$B$5001,$A$100)))</f>
        <v/>
      </c>
      <c r="AG108" s="205" t="str">
        <f>IF(AG$3="","",IF(COUNTIFS(BD!$A$3:$A$5001,AG$3,BD!$B$3:$B$5001,$A$100,BD!$V$3:$V$5001,"&lt;&gt;")=0,"",SUMIFS(BD!$V$3:$V$5001,BD!$A$3:$A$5001,AG$3,BD!$B$3:$B$5001,$A$100)))</f>
        <v/>
      </c>
      <c r="AH108" s="205" t="str">
        <f>IF(AH$3="","",IF(COUNTIFS(BD!$A$3:$A$5001,AH$3,BD!$B$3:$B$5001,$A$100,BD!$V$3:$V$5001,"&lt;&gt;")=0,"",SUMIFS(BD!$V$3:$V$5001,BD!$A$3:$A$5001,AH$3,BD!$B$3:$B$5001,$A$100)))</f>
        <v/>
      </c>
      <c r="AI108" s="205" t="str">
        <f>IF(AI$3="","",IF(COUNTIFS(BD!$A$3:$A$5001,AI$3,BD!$B$3:$B$5001,$A$100,BD!$V$3:$V$5001,"&lt;&gt;")=0,"",SUMIFS(BD!$V$3:$V$5001,BD!$A$3:$A$5001,AI$3,BD!$B$3:$B$5001,$A$100)))</f>
        <v/>
      </c>
      <c r="AJ108" s="206" t="str">
        <f>IF(AJ$3="","",IF(COUNTIFS(BD!$A$3:$A$5001,AJ$3,BD!$B$3:$B$5001,$A$100,BD!$V$3:$V$5001,"&lt;&gt;")=0,"",SUMIFS(BD!$V$3:$V$5001,BD!$A$3:$A$5001,AJ$3,BD!$B$3:$B$5001,$A$100)))</f>
        <v/>
      </c>
      <c r="AK108" s="207" t="str">
        <f>IFERROR(LOOKUP(9.99E+307,F108:AJ108),"")</f>
        <v/>
      </c>
    </row>
    <row r="109" ht="15.75" customHeight="1">
      <c r="A109" s="261"/>
      <c r="B109" s="255"/>
      <c r="C109" s="208" t="inlineStr">
        <is>
          <t xml:space="preserve">Backlog Cliente</t>
        </is>
      </c>
      <c r="D109" s="209" t="str">
        <f>IFERROR(1/(1/INDEX(BD!$AL$43:$BF$43,MATCH($A$100,BD!$AL$22:$BF$22,0))),"")</f>
        <v/>
      </c>
      <c r="E109" s="210"/>
      <c r="F109" s="211" t="str">
        <f>IF(F$3="","",IF(COUNTIFS(BD!$A$3:$A$5001,F$3,BD!$B$3:$B$5001,$A$100,BD!$W$3:$W$5001,"&lt;&gt;")=0,"",SUMIFS(BD!$W$3:$W$5001,BD!$A$3:$A$5001,F$3,BD!$B$3:$B$5001,$A$100)))</f>
        <v/>
      </c>
      <c r="G109" s="212" t="str">
        <f>IF(G$3="","",IF(COUNTIFS(BD!$A$3:$A$5001,G$3,BD!$B$3:$B$5001,$A$100,BD!$W$3:$W$5001,"&lt;&gt;")=0,"",SUMIFS(BD!$W$3:$W$5001,BD!$A$3:$A$5001,G$3,BD!$B$3:$B$5001,$A$100)))</f>
        <v/>
      </c>
      <c r="H109" s="212" t="str">
        <f>IF(H$3="","",IF(COUNTIFS(BD!$A$3:$A$5001,H$3,BD!$B$3:$B$5001,$A$100,BD!$W$3:$W$5001,"&lt;&gt;")=0,"",SUMIFS(BD!$W$3:$W$5001,BD!$A$3:$A$5001,H$3,BD!$B$3:$B$5001,$A$100)))</f>
        <v/>
      </c>
      <c r="I109" s="212" t="str">
        <f>IF(I$3="","",IF(COUNTIFS(BD!$A$3:$A$5001,I$3,BD!$B$3:$B$5001,$A$100,BD!$W$3:$W$5001,"&lt;&gt;")=0,"",SUMIFS(BD!$W$3:$W$5001,BD!$A$3:$A$5001,I$3,BD!$B$3:$B$5001,$A$100)))</f>
        <v/>
      </c>
      <c r="J109" s="212" t="str">
        <f>IF(J$3="","",IF(COUNTIFS(BD!$A$3:$A$5001,J$3,BD!$B$3:$B$5001,$A$100,BD!$W$3:$W$5001,"&lt;&gt;")=0,"",SUMIFS(BD!$W$3:$W$5001,BD!$A$3:$A$5001,J$3,BD!$B$3:$B$5001,$A$100)))</f>
        <v/>
      </c>
      <c r="K109" s="212" t="str">
        <f>IF(K$3="","",IF(COUNTIFS(BD!$A$3:$A$5001,K$3,BD!$B$3:$B$5001,$A$100,BD!$W$3:$W$5001,"&lt;&gt;")=0,"",SUMIFS(BD!$W$3:$W$5001,BD!$A$3:$A$5001,K$3,BD!$B$3:$B$5001,$A$100)))</f>
        <v/>
      </c>
      <c r="L109" s="212" t="str">
        <f>IF(L$3="","",IF(COUNTIFS(BD!$A$3:$A$5001,L$3,BD!$B$3:$B$5001,$A$100,BD!$W$3:$W$5001,"&lt;&gt;")=0,"",SUMIFS(BD!$W$3:$W$5001,BD!$A$3:$A$5001,L$3,BD!$B$3:$B$5001,$A$100)))</f>
        <v/>
      </c>
      <c r="M109" s="212" t="str">
        <f>IF(M$3="","",IF(COUNTIFS(BD!$A$3:$A$5001,M$3,BD!$B$3:$B$5001,$A$100,BD!$W$3:$W$5001,"&lt;&gt;")=0,"",SUMIFS(BD!$W$3:$W$5001,BD!$A$3:$A$5001,M$3,BD!$B$3:$B$5001,$A$100)))</f>
        <v/>
      </c>
      <c r="N109" s="212" t="str">
        <f>IF(N$3="","",IF(COUNTIFS(BD!$A$3:$A$5001,N$3,BD!$B$3:$B$5001,$A$100,BD!$W$3:$W$5001,"&lt;&gt;")=0,"",SUMIFS(BD!$W$3:$W$5001,BD!$A$3:$A$5001,N$3,BD!$B$3:$B$5001,$A$100)))</f>
        <v/>
      </c>
      <c r="O109" s="212" t="str">
        <f>IF(O$3="","",IF(COUNTIFS(BD!$A$3:$A$5001,O$3,BD!$B$3:$B$5001,$A$100,BD!$W$3:$W$5001,"&lt;&gt;")=0,"",SUMIFS(BD!$W$3:$W$5001,BD!$A$3:$A$5001,O$3,BD!$B$3:$B$5001,$A$100)))</f>
        <v/>
      </c>
      <c r="P109" s="212" t="str">
        <f>IF(P$3="","",IF(COUNTIFS(BD!$A$3:$A$5001,P$3,BD!$B$3:$B$5001,$A$100,BD!$W$3:$W$5001,"&lt;&gt;")=0,"",SUMIFS(BD!$W$3:$W$5001,BD!$A$3:$A$5001,P$3,BD!$B$3:$B$5001,$A$100)))</f>
        <v/>
      </c>
      <c r="Q109" s="212" t="str">
        <f>IF(Q$3="","",IF(COUNTIFS(BD!$A$3:$A$5001,Q$3,BD!$B$3:$B$5001,$A$100,BD!$W$3:$W$5001,"&lt;&gt;")=0,"",SUMIFS(BD!$W$3:$W$5001,BD!$A$3:$A$5001,Q$3,BD!$B$3:$B$5001,$A$100)))</f>
        <v/>
      </c>
      <c r="R109" s="212" t="str">
        <f>IF(R$3="","",IF(COUNTIFS(BD!$A$3:$A$5001,R$3,BD!$B$3:$B$5001,$A$100,BD!$W$3:$W$5001,"&lt;&gt;")=0,"",SUMIFS(BD!$W$3:$W$5001,BD!$A$3:$A$5001,R$3,BD!$B$3:$B$5001,$A$100)))</f>
        <v/>
      </c>
      <c r="S109" s="212" t="str">
        <f>IF(S$3="","",IF(COUNTIFS(BD!$A$3:$A$5001,S$3,BD!$B$3:$B$5001,$A$100,BD!$W$3:$W$5001,"&lt;&gt;")=0,"",SUMIFS(BD!$W$3:$W$5001,BD!$A$3:$A$5001,S$3,BD!$B$3:$B$5001,$A$100)))</f>
        <v/>
      </c>
      <c r="T109" s="212" t="str">
        <f>IF(T$3="","",IF(COUNTIFS(BD!$A$3:$A$5001,T$3,BD!$B$3:$B$5001,$A$100,BD!$W$3:$W$5001,"&lt;&gt;")=0,"",SUMIFS(BD!$W$3:$W$5001,BD!$A$3:$A$5001,T$3,BD!$B$3:$B$5001,$A$100)))</f>
        <v/>
      </c>
      <c r="U109" s="212" t="str">
        <f>IF(U$3="","",IF(COUNTIFS(BD!$A$3:$A$5001,U$3,BD!$B$3:$B$5001,$A$100,BD!$W$3:$W$5001,"&lt;&gt;")=0,"",SUMIFS(BD!$W$3:$W$5001,BD!$A$3:$A$5001,U$3,BD!$B$3:$B$5001,$A$100)))</f>
        <v/>
      </c>
      <c r="V109" s="212" t="str">
        <f>IF(V$3="","",IF(COUNTIFS(BD!$A$3:$A$5001,V$3,BD!$B$3:$B$5001,$A$100,BD!$W$3:$W$5001,"&lt;&gt;")=0,"",SUMIFS(BD!$W$3:$W$5001,BD!$A$3:$A$5001,V$3,BD!$B$3:$B$5001,$A$100)))</f>
        <v/>
      </c>
      <c r="W109" s="212" t="str">
        <f>IF(W$3="","",IF(COUNTIFS(BD!$A$3:$A$5001,W$3,BD!$B$3:$B$5001,$A$100,BD!$W$3:$W$5001,"&lt;&gt;")=0,"",SUMIFS(BD!$W$3:$W$5001,BD!$A$3:$A$5001,W$3,BD!$B$3:$B$5001,$A$100)))</f>
        <v/>
      </c>
      <c r="X109" s="212" t="str">
        <f>IF(X$3="","",IF(COUNTIFS(BD!$A$3:$A$5001,X$3,BD!$B$3:$B$5001,$A$100,BD!$W$3:$W$5001,"&lt;&gt;")=0,"",SUMIFS(BD!$W$3:$W$5001,BD!$A$3:$A$5001,X$3,BD!$B$3:$B$5001,$A$100)))</f>
        <v/>
      </c>
      <c r="Y109" s="212" t="str">
        <f>IF(Y$3="","",IF(COUNTIFS(BD!$A$3:$A$5001,Y$3,BD!$B$3:$B$5001,$A$100,BD!$W$3:$W$5001,"&lt;&gt;")=0,"",SUMIFS(BD!$W$3:$W$5001,BD!$A$3:$A$5001,Y$3,BD!$B$3:$B$5001,$A$100)))</f>
        <v/>
      </c>
      <c r="Z109" s="212" t="str">
        <f>IF(Z$3="","",IF(COUNTIFS(BD!$A$3:$A$5001,Z$3,BD!$B$3:$B$5001,$A$100,BD!$W$3:$W$5001,"&lt;&gt;")=0,"",SUMIFS(BD!$W$3:$W$5001,BD!$A$3:$A$5001,Z$3,BD!$B$3:$B$5001,$A$100)))</f>
        <v/>
      </c>
      <c r="AA109" s="212" t="str">
        <f>IF(AA$3="","",IF(COUNTIFS(BD!$A$3:$A$5001,AA$3,BD!$B$3:$B$5001,$A$100,BD!$W$3:$W$5001,"&lt;&gt;")=0,"",SUMIFS(BD!$W$3:$W$5001,BD!$A$3:$A$5001,AA$3,BD!$B$3:$B$5001,$A$100)))</f>
        <v/>
      </c>
      <c r="AB109" s="212" t="str">
        <f>IF(AB$3="","",IF(COUNTIFS(BD!$A$3:$A$5001,AB$3,BD!$B$3:$B$5001,$A$100,BD!$W$3:$W$5001,"&lt;&gt;")=0,"",SUMIFS(BD!$W$3:$W$5001,BD!$A$3:$A$5001,AB$3,BD!$B$3:$B$5001,$A$100)))</f>
        <v/>
      </c>
      <c r="AC109" s="212" t="str">
        <f>IF(AC$3="","",IF(COUNTIFS(BD!$A$3:$A$5001,AC$3,BD!$B$3:$B$5001,$A$100,BD!$W$3:$W$5001,"&lt;&gt;")=0,"",SUMIFS(BD!$W$3:$W$5001,BD!$A$3:$A$5001,AC$3,BD!$B$3:$B$5001,$A$100)))</f>
        <v/>
      </c>
      <c r="AD109" s="212" t="str">
        <f>IF(AD$3="","",IF(COUNTIFS(BD!$A$3:$A$5001,AD$3,BD!$B$3:$B$5001,$A$100,BD!$W$3:$W$5001,"&lt;&gt;")=0,"",SUMIFS(BD!$W$3:$W$5001,BD!$A$3:$A$5001,AD$3,BD!$B$3:$B$5001,$A$100)))</f>
        <v/>
      </c>
      <c r="AE109" s="212" t="str">
        <f>IF(AE$3="","",IF(COUNTIFS(BD!$A$3:$A$5001,AE$3,BD!$B$3:$B$5001,$A$100,BD!$W$3:$W$5001,"&lt;&gt;")=0,"",SUMIFS(BD!$W$3:$W$5001,BD!$A$3:$A$5001,AE$3,BD!$B$3:$B$5001,$A$100)))</f>
        <v/>
      </c>
      <c r="AF109" s="212" t="str">
        <f>IF(AF$3="","",IF(COUNTIFS(BD!$A$3:$A$5001,AF$3,BD!$B$3:$B$5001,$A$100,BD!$W$3:$W$5001,"&lt;&gt;")=0,"",SUMIFS(BD!$W$3:$W$5001,BD!$A$3:$A$5001,AF$3,BD!$B$3:$B$5001,$A$100)))</f>
        <v/>
      </c>
      <c r="AG109" s="212" t="str">
        <f>IF(AG$3="","",IF(COUNTIFS(BD!$A$3:$A$5001,AG$3,BD!$B$3:$B$5001,$A$100,BD!$W$3:$W$5001,"&lt;&gt;")=0,"",SUMIFS(BD!$W$3:$W$5001,BD!$A$3:$A$5001,AG$3,BD!$B$3:$B$5001,$A$100)))</f>
        <v/>
      </c>
      <c r="AH109" s="212" t="str">
        <f>IF(AH$3="","",IF(COUNTIFS(BD!$A$3:$A$5001,AH$3,BD!$B$3:$B$5001,$A$100,BD!$W$3:$W$5001,"&lt;&gt;")=0,"",SUMIFS(BD!$W$3:$W$5001,BD!$A$3:$A$5001,AH$3,BD!$B$3:$B$5001,$A$100)))</f>
        <v/>
      </c>
      <c r="AI109" s="212" t="str">
        <f>IF(AI$3="","",IF(COUNTIFS(BD!$A$3:$A$5001,AI$3,BD!$B$3:$B$5001,$A$100,BD!$W$3:$W$5001,"&lt;&gt;")=0,"",SUMIFS(BD!$W$3:$W$5001,BD!$A$3:$A$5001,AI$3,BD!$B$3:$B$5001,$A$100)))</f>
        <v/>
      </c>
      <c r="AJ109" s="213" t="str">
        <f>IF(AJ$3="","",IF(COUNTIFS(BD!$A$3:$A$5001,AJ$3,BD!$B$3:$B$5001,$A$100,BD!$W$3:$W$5001,"&lt;&gt;")=0,"",SUMIFS(BD!$W$3:$W$5001,BD!$A$3:$A$5001,AJ$3,BD!$B$3:$B$5001,$A$100)))</f>
        <v/>
      </c>
      <c r="AK109" s="209" t="str">
        <f>IFERROR(LOOKUP(9.99E+307,F109:AJ109),"")</f>
        <v/>
      </c>
    </row>
    <row r="110" ht="15.75" customHeight="1">
      <c r="A110" s="261"/>
      <c r="B110" s="249" t="inlineStr">
        <is>
          <t xml:space="preserve">OCUPAÇÃO (P.P)</t>
        </is>
      </c>
      <c r="C110" s="168" t="inlineStr">
        <is>
          <t xml:space="preserve">Posições Disponíveis</t>
        </is>
      </c>
      <c r="D110" s="169" t="str">
        <f>IFERROR(1/(1/INDEX(BD!$AL$44:$BF$44,MATCH($A$100,BD!$AL$22:$BF$22,0))),"")</f>
        <v/>
      </c>
      <c r="E110" s="170"/>
      <c r="F110" s="171" t="str">
        <f>IF(F$3="","",IF(COUNTIFS(BD!$A$3:$A$5001,F$3,BD!$B$3:$B$5001,$A$100,BD!$X$3:$X$5001,"&lt;&gt;")=0,"",SUMIFS(BD!$X$3:$X$5001,BD!$A$3:$A$5001,F$3,BD!$B$3:$B$5001,$A$100)))</f>
        <v/>
      </c>
      <c r="G110" s="172" t="str">
        <f>IF(G$3="","",IF(COUNTIFS(BD!$A$3:$A$5001,G$3,BD!$B$3:$B$5001,$A$100,BD!$X$3:$X$5001,"&lt;&gt;")=0,"",SUMIFS(BD!$X$3:$X$5001,BD!$A$3:$A$5001,G$3,BD!$B$3:$B$5001,$A$100)))</f>
        <v/>
      </c>
      <c r="H110" s="172" t="str">
        <f>IF(H$3="","",IF(COUNTIFS(BD!$A$3:$A$5001,H$3,BD!$B$3:$B$5001,$A$100,BD!$X$3:$X$5001,"&lt;&gt;")=0,"",SUMIFS(BD!$X$3:$X$5001,BD!$A$3:$A$5001,H$3,BD!$B$3:$B$5001,$A$100)))</f>
        <v/>
      </c>
      <c r="I110" s="172" t="str">
        <f>IF(I$3="","",IF(COUNTIFS(BD!$A$3:$A$5001,I$3,BD!$B$3:$B$5001,$A$100,BD!$X$3:$X$5001,"&lt;&gt;")=0,"",SUMIFS(BD!$X$3:$X$5001,BD!$A$3:$A$5001,I$3,BD!$B$3:$B$5001,$A$100)))</f>
        <v/>
      </c>
      <c r="J110" s="172" t="str">
        <f>IF(J$3="","",IF(COUNTIFS(BD!$A$3:$A$5001,J$3,BD!$B$3:$B$5001,$A$100,BD!$X$3:$X$5001,"&lt;&gt;")=0,"",SUMIFS(BD!$X$3:$X$5001,BD!$A$3:$A$5001,J$3,BD!$B$3:$B$5001,$A$100)))</f>
        <v/>
      </c>
      <c r="K110" s="172" t="str">
        <f>IF(K$3="","",IF(COUNTIFS(BD!$A$3:$A$5001,K$3,BD!$B$3:$B$5001,$A$100,BD!$X$3:$X$5001,"&lt;&gt;")=0,"",SUMIFS(BD!$X$3:$X$5001,BD!$A$3:$A$5001,K$3,BD!$B$3:$B$5001,$A$100)))</f>
        <v/>
      </c>
      <c r="L110" s="172" t="str">
        <f>IF(L$3="","",IF(COUNTIFS(BD!$A$3:$A$5001,L$3,BD!$B$3:$B$5001,$A$100,BD!$X$3:$X$5001,"&lt;&gt;")=0,"",SUMIFS(BD!$X$3:$X$5001,BD!$A$3:$A$5001,L$3,BD!$B$3:$B$5001,$A$100)))</f>
        <v/>
      </c>
      <c r="M110" s="172" t="str">
        <f>IF(M$3="","",IF(COUNTIFS(BD!$A$3:$A$5001,M$3,BD!$B$3:$B$5001,$A$100,BD!$X$3:$X$5001,"&lt;&gt;")=0,"",SUMIFS(BD!$X$3:$X$5001,BD!$A$3:$A$5001,M$3,BD!$B$3:$B$5001,$A$100)))</f>
        <v/>
      </c>
      <c r="N110" s="172" t="str">
        <f>IF(N$3="","",IF(COUNTIFS(BD!$A$3:$A$5001,N$3,BD!$B$3:$B$5001,$A$100,BD!$X$3:$X$5001,"&lt;&gt;")=0,"",SUMIFS(BD!$X$3:$X$5001,BD!$A$3:$A$5001,N$3,BD!$B$3:$B$5001,$A$100)))</f>
        <v/>
      </c>
      <c r="O110" s="172" t="str">
        <f>IF(O$3="","",IF(COUNTIFS(BD!$A$3:$A$5001,O$3,BD!$B$3:$B$5001,$A$100,BD!$X$3:$X$5001,"&lt;&gt;")=0,"",SUMIFS(BD!$X$3:$X$5001,BD!$A$3:$A$5001,O$3,BD!$B$3:$B$5001,$A$100)))</f>
        <v/>
      </c>
      <c r="P110" s="172" t="str">
        <f>IF(P$3="","",IF(COUNTIFS(BD!$A$3:$A$5001,P$3,BD!$B$3:$B$5001,$A$100,BD!$X$3:$X$5001,"&lt;&gt;")=0,"",SUMIFS(BD!$X$3:$X$5001,BD!$A$3:$A$5001,P$3,BD!$B$3:$B$5001,$A$100)))</f>
        <v/>
      </c>
      <c r="Q110" s="172" t="str">
        <f>IF(Q$3="","",IF(COUNTIFS(BD!$A$3:$A$5001,Q$3,BD!$B$3:$B$5001,$A$100,BD!$X$3:$X$5001,"&lt;&gt;")=0,"",SUMIFS(BD!$X$3:$X$5001,BD!$A$3:$A$5001,Q$3,BD!$B$3:$B$5001,$A$100)))</f>
        <v/>
      </c>
      <c r="R110" s="172" t="str">
        <f>IF(R$3="","",IF(COUNTIFS(BD!$A$3:$A$5001,R$3,BD!$B$3:$B$5001,$A$100,BD!$X$3:$X$5001,"&lt;&gt;")=0,"",SUMIFS(BD!$X$3:$X$5001,BD!$A$3:$A$5001,R$3,BD!$B$3:$B$5001,$A$100)))</f>
        <v/>
      </c>
      <c r="S110" s="172" t="str">
        <f>IF(S$3="","",IF(COUNTIFS(BD!$A$3:$A$5001,S$3,BD!$B$3:$B$5001,$A$100,BD!$X$3:$X$5001,"&lt;&gt;")=0,"",SUMIFS(BD!$X$3:$X$5001,BD!$A$3:$A$5001,S$3,BD!$B$3:$B$5001,$A$100)))</f>
        <v/>
      </c>
      <c r="T110" s="172" t="str">
        <f>IF(T$3="","",IF(COUNTIFS(BD!$A$3:$A$5001,T$3,BD!$B$3:$B$5001,$A$100,BD!$X$3:$X$5001,"&lt;&gt;")=0,"",SUMIFS(BD!$X$3:$X$5001,BD!$A$3:$A$5001,T$3,BD!$B$3:$B$5001,$A$100)))</f>
        <v/>
      </c>
      <c r="U110" s="172" t="str">
        <f>IF(U$3="","",IF(COUNTIFS(BD!$A$3:$A$5001,U$3,BD!$B$3:$B$5001,$A$100,BD!$X$3:$X$5001,"&lt;&gt;")=0,"",SUMIFS(BD!$X$3:$X$5001,BD!$A$3:$A$5001,U$3,BD!$B$3:$B$5001,$A$100)))</f>
        <v/>
      </c>
      <c r="V110" s="172" t="str">
        <f>IF(V$3="","",IF(COUNTIFS(BD!$A$3:$A$5001,V$3,BD!$B$3:$B$5001,$A$100,BD!$X$3:$X$5001,"&lt;&gt;")=0,"",SUMIFS(BD!$X$3:$X$5001,BD!$A$3:$A$5001,V$3,BD!$B$3:$B$5001,$A$100)))</f>
        <v/>
      </c>
      <c r="W110" s="172" t="str">
        <f>IF(W$3="","",IF(COUNTIFS(BD!$A$3:$A$5001,W$3,BD!$B$3:$B$5001,$A$100,BD!$X$3:$X$5001,"&lt;&gt;")=0,"",SUMIFS(BD!$X$3:$X$5001,BD!$A$3:$A$5001,W$3,BD!$B$3:$B$5001,$A$100)))</f>
        <v/>
      </c>
      <c r="X110" s="172" t="str">
        <f>IF(X$3="","",IF(COUNTIFS(BD!$A$3:$A$5001,X$3,BD!$B$3:$B$5001,$A$100,BD!$X$3:$X$5001,"&lt;&gt;")=0,"",SUMIFS(BD!$X$3:$X$5001,BD!$A$3:$A$5001,X$3,BD!$B$3:$B$5001,$A$100)))</f>
        <v/>
      </c>
      <c r="Y110" s="172" t="str">
        <f>IF(Y$3="","",IF(COUNTIFS(BD!$A$3:$A$5001,Y$3,BD!$B$3:$B$5001,$A$100,BD!$X$3:$X$5001,"&lt;&gt;")=0,"",SUMIFS(BD!$X$3:$X$5001,BD!$A$3:$A$5001,Y$3,BD!$B$3:$B$5001,$A$100)))</f>
        <v/>
      </c>
      <c r="Z110" s="172" t="str">
        <f>IF(Z$3="","",IF(COUNTIFS(BD!$A$3:$A$5001,Z$3,BD!$B$3:$B$5001,$A$100,BD!$X$3:$X$5001,"&lt;&gt;")=0,"",SUMIFS(BD!$X$3:$X$5001,BD!$A$3:$A$5001,Z$3,BD!$B$3:$B$5001,$A$100)))</f>
        <v/>
      </c>
      <c r="AA110" s="172" t="str">
        <f>IF(AA$3="","",IF(COUNTIFS(BD!$A$3:$A$5001,AA$3,BD!$B$3:$B$5001,$A$100,BD!$X$3:$X$5001,"&lt;&gt;")=0,"",SUMIFS(BD!$X$3:$X$5001,BD!$A$3:$A$5001,AA$3,BD!$B$3:$B$5001,$A$100)))</f>
        <v/>
      </c>
      <c r="AB110" s="172" t="str">
        <f>IF(AB$3="","",IF(COUNTIFS(BD!$A$3:$A$5001,AB$3,BD!$B$3:$B$5001,$A$100,BD!$X$3:$X$5001,"&lt;&gt;")=0,"",SUMIFS(BD!$X$3:$X$5001,BD!$A$3:$A$5001,AB$3,BD!$B$3:$B$5001,$A$100)))</f>
        <v/>
      </c>
      <c r="AC110" s="172" t="str">
        <f>IF(AC$3="","",IF(COUNTIFS(BD!$A$3:$A$5001,AC$3,BD!$B$3:$B$5001,$A$100,BD!$X$3:$X$5001,"&lt;&gt;")=0,"",SUMIFS(BD!$X$3:$X$5001,BD!$A$3:$A$5001,AC$3,BD!$B$3:$B$5001,$A$100)))</f>
        <v/>
      </c>
      <c r="AD110" s="172" t="str">
        <f>IF(AD$3="","",IF(COUNTIFS(BD!$A$3:$A$5001,AD$3,BD!$B$3:$B$5001,$A$100,BD!$X$3:$X$5001,"&lt;&gt;")=0,"",SUMIFS(BD!$X$3:$X$5001,BD!$A$3:$A$5001,AD$3,BD!$B$3:$B$5001,$A$100)))</f>
        <v/>
      </c>
      <c r="AE110" s="172" t="str">
        <f>IF(AE$3="","",IF(COUNTIFS(BD!$A$3:$A$5001,AE$3,BD!$B$3:$B$5001,$A$100,BD!$X$3:$X$5001,"&lt;&gt;")=0,"",SUMIFS(BD!$X$3:$X$5001,BD!$A$3:$A$5001,AE$3,BD!$B$3:$B$5001,$A$100)))</f>
        <v/>
      </c>
      <c r="AF110" s="172" t="str">
        <f>IF(AF$3="","",IF(COUNTIFS(BD!$A$3:$A$5001,AF$3,BD!$B$3:$B$5001,$A$100,BD!$X$3:$X$5001,"&lt;&gt;")=0,"",SUMIFS(BD!$X$3:$X$5001,BD!$A$3:$A$5001,AF$3,BD!$B$3:$B$5001,$A$100)))</f>
        <v/>
      </c>
      <c r="AG110" s="172" t="str">
        <f>IF(AG$3="","",IF(COUNTIFS(BD!$A$3:$A$5001,AG$3,BD!$B$3:$B$5001,$A$100,BD!$X$3:$X$5001,"&lt;&gt;")=0,"",SUMIFS(BD!$X$3:$X$5001,BD!$A$3:$A$5001,AG$3,BD!$B$3:$B$5001,$A$100)))</f>
        <v/>
      </c>
      <c r="AH110" s="172" t="str">
        <f>IF(AH$3="","",IF(COUNTIFS(BD!$A$3:$A$5001,AH$3,BD!$B$3:$B$5001,$A$100,BD!$X$3:$X$5001,"&lt;&gt;")=0,"",SUMIFS(BD!$X$3:$X$5001,BD!$A$3:$A$5001,AH$3,BD!$B$3:$B$5001,$A$100)))</f>
        <v/>
      </c>
      <c r="AI110" s="172" t="str">
        <f>IF(AI$3="","",IF(COUNTIFS(BD!$A$3:$A$5001,AI$3,BD!$B$3:$B$5001,$A$100,BD!$X$3:$X$5001,"&lt;&gt;")=0,"",SUMIFS(BD!$X$3:$X$5001,BD!$A$3:$A$5001,AI$3,BD!$B$3:$B$5001,$A$100)))</f>
        <v/>
      </c>
      <c r="AJ110" s="173" t="str">
        <f>IF(AJ$3="","",IF(COUNTIFS(BD!$A$3:$A$5001,AJ$3,BD!$B$3:$B$5001,$A$100,BD!$X$3:$X$5001,"&lt;&gt;")=0,"",SUMIFS(BD!$X$3:$X$5001,BD!$A$3:$A$5001,AJ$3,BD!$B$3:$B$5001,$A$100)))</f>
        <v/>
      </c>
      <c r="AK110" s="174" t="str">
        <f>IF(COUNT(F110:AJ110)&gt;0,LOOKUP(9.99E+307,F110:AJ110),IFERROR(IF(INDEX(BD!$AI$3:$AI$5001,MATCH($A$100,BD!$B$3:$B$5001,0))&amp;""="Contrato","",INDEX(BD!$AI$3:$AI$5001,MATCH($A$100,BD!$B$3:$B$5001,0))&amp;""),""))</f>
        <v/>
      </c>
    </row>
    <row r="111" ht="15.75" customHeight="1">
      <c r="A111" s="261"/>
      <c r="B111" s="256"/>
      <c r="C111" s="214" t="inlineStr">
        <is>
          <t xml:space="preserve">Posições Ocupadas</t>
        </is>
      </c>
      <c r="D111" s="215" t="str">
        <f>IFERROR(1/(1/INDEX(BD!$AL$45:$BF$45,MATCH($A$100,BD!$AL$22:$BF$22,0))),"")</f>
        <v/>
      </c>
      <c r="E111" s="216"/>
      <c r="F111" s="217" t="str">
        <f>IF(F$3="","",IF(COUNTIFS(BD!$A$3:$A$5001,F$3,BD!$B$3:$B$5001,$A$100,BD!$Y$3:$Y$5001,"&lt;&gt;")=0,"",SUMIFS(BD!$Y$3:$Y$5001,BD!$A$3:$A$5001,F$3,BD!$B$3:$B$5001,$A$100)))</f>
        <v/>
      </c>
      <c r="G111" s="218" t="str">
        <f>IF(G$3="","",IF(COUNTIFS(BD!$A$3:$A$5001,G$3,BD!$B$3:$B$5001,$A$100,BD!$Y$3:$Y$5001,"&lt;&gt;")=0,"",SUMIFS(BD!$Y$3:$Y$5001,BD!$A$3:$A$5001,G$3,BD!$B$3:$B$5001,$A$100)))</f>
        <v/>
      </c>
      <c r="H111" s="218" t="str">
        <f>IF(H$3="","",IF(COUNTIFS(BD!$A$3:$A$5001,H$3,BD!$B$3:$B$5001,$A$100,BD!$Y$3:$Y$5001,"&lt;&gt;")=0,"",SUMIFS(BD!$Y$3:$Y$5001,BD!$A$3:$A$5001,H$3,BD!$B$3:$B$5001,$A$100)))</f>
        <v/>
      </c>
      <c r="I111" s="218" t="str">
        <f>IF(I$3="","",IF(COUNTIFS(BD!$A$3:$A$5001,I$3,BD!$B$3:$B$5001,$A$100,BD!$Y$3:$Y$5001,"&lt;&gt;")=0,"",SUMIFS(BD!$Y$3:$Y$5001,BD!$A$3:$A$5001,I$3,BD!$B$3:$B$5001,$A$100)))</f>
        <v/>
      </c>
      <c r="J111" s="218" t="str">
        <f>IF(J$3="","",IF(COUNTIFS(BD!$A$3:$A$5001,J$3,BD!$B$3:$B$5001,$A$100,BD!$Y$3:$Y$5001,"&lt;&gt;")=0,"",SUMIFS(BD!$Y$3:$Y$5001,BD!$A$3:$A$5001,J$3,BD!$B$3:$B$5001,$A$100)))</f>
        <v/>
      </c>
      <c r="K111" s="218" t="str">
        <f>IF(K$3="","",IF(COUNTIFS(BD!$A$3:$A$5001,K$3,BD!$B$3:$B$5001,$A$100,BD!$Y$3:$Y$5001,"&lt;&gt;")=0,"",SUMIFS(BD!$Y$3:$Y$5001,BD!$A$3:$A$5001,K$3,BD!$B$3:$B$5001,$A$100)))</f>
        <v/>
      </c>
      <c r="L111" s="218" t="str">
        <f>IF(L$3="","",IF(COUNTIFS(BD!$A$3:$A$5001,L$3,BD!$B$3:$B$5001,$A$100,BD!$Y$3:$Y$5001,"&lt;&gt;")=0,"",SUMIFS(BD!$Y$3:$Y$5001,BD!$A$3:$A$5001,L$3,BD!$B$3:$B$5001,$A$100)))</f>
        <v/>
      </c>
      <c r="M111" s="218" t="str">
        <f>IF(M$3="","",IF(COUNTIFS(BD!$A$3:$A$5001,M$3,BD!$B$3:$B$5001,$A$100,BD!$Y$3:$Y$5001,"&lt;&gt;")=0,"",SUMIFS(BD!$Y$3:$Y$5001,BD!$A$3:$A$5001,M$3,BD!$B$3:$B$5001,$A$100)))</f>
        <v/>
      </c>
      <c r="N111" s="218" t="str">
        <f>IF(N$3="","",IF(COUNTIFS(BD!$A$3:$A$5001,N$3,BD!$B$3:$B$5001,$A$100,BD!$Y$3:$Y$5001,"&lt;&gt;")=0,"",SUMIFS(BD!$Y$3:$Y$5001,BD!$A$3:$A$5001,N$3,BD!$B$3:$B$5001,$A$100)))</f>
        <v/>
      </c>
      <c r="O111" s="218" t="str">
        <f>IF(O$3="","",IF(COUNTIFS(BD!$A$3:$A$5001,O$3,BD!$B$3:$B$5001,$A$100,BD!$Y$3:$Y$5001,"&lt;&gt;")=0,"",SUMIFS(BD!$Y$3:$Y$5001,BD!$A$3:$A$5001,O$3,BD!$B$3:$B$5001,$A$100)))</f>
        <v/>
      </c>
      <c r="P111" s="218" t="str">
        <f>IF(P$3="","",IF(COUNTIFS(BD!$A$3:$A$5001,P$3,BD!$B$3:$B$5001,$A$100,BD!$Y$3:$Y$5001,"&lt;&gt;")=0,"",SUMIFS(BD!$Y$3:$Y$5001,BD!$A$3:$A$5001,P$3,BD!$B$3:$B$5001,$A$100)))</f>
        <v/>
      </c>
      <c r="Q111" s="218" t="str">
        <f>IF(Q$3="","",IF(COUNTIFS(BD!$A$3:$A$5001,Q$3,BD!$B$3:$B$5001,$A$100,BD!$Y$3:$Y$5001,"&lt;&gt;")=0,"",SUMIFS(BD!$Y$3:$Y$5001,BD!$A$3:$A$5001,Q$3,BD!$B$3:$B$5001,$A$100)))</f>
        <v/>
      </c>
      <c r="R111" s="218" t="str">
        <f>IF(R$3="","",IF(COUNTIFS(BD!$A$3:$A$5001,R$3,BD!$B$3:$B$5001,$A$100,BD!$Y$3:$Y$5001,"&lt;&gt;")=0,"",SUMIFS(BD!$Y$3:$Y$5001,BD!$A$3:$A$5001,R$3,BD!$B$3:$B$5001,$A$100)))</f>
        <v/>
      </c>
      <c r="S111" s="218" t="str">
        <f>IF(S$3="","",IF(COUNTIFS(BD!$A$3:$A$5001,S$3,BD!$B$3:$B$5001,$A$100,BD!$Y$3:$Y$5001,"&lt;&gt;")=0,"",SUMIFS(BD!$Y$3:$Y$5001,BD!$A$3:$A$5001,S$3,BD!$B$3:$B$5001,$A$100)))</f>
        <v/>
      </c>
      <c r="T111" s="218" t="str">
        <f>IF(T$3="","",IF(COUNTIFS(BD!$A$3:$A$5001,T$3,BD!$B$3:$B$5001,$A$100,BD!$Y$3:$Y$5001,"&lt;&gt;")=0,"",SUMIFS(BD!$Y$3:$Y$5001,BD!$A$3:$A$5001,T$3,BD!$B$3:$B$5001,$A$100)))</f>
        <v/>
      </c>
      <c r="U111" s="218" t="str">
        <f>IF(U$3="","",IF(COUNTIFS(BD!$A$3:$A$5001,U$3,BD!$B$3:$B$5001,$A$100,BD!$Y$3:$Y$5001,"&lt;&gt;")=0,"",SUMIFS(BD!$Y$3:$Y$5001,BD!$A$3:$A$5001,U$3,BD!$B$3:$B$5001,$A$100)))</f>
        <v/>
      </c>
      <c r="V111" s="218" t="str">
        <f>IF(V$3="","",IF(COUNTIFS(BD!$A$3:$A$5001,V$3,BD!$B$3:$B$5001,$A$100,BD!$Y$3:$Y$5001,"&lt;&gt;")=0,"",SUMIFS(BD!$Y$3:$Y$5001,BD!$A$3:$A$5001,V$3,BD!$B$3:$B$5001,$A$100)))</f>
        <v/>
      </c>
      <c r="W111" s="218" t="str">
        <f>IF(W$3="","",IF(COUNTIFS(BD!$A$3:$A$5001,W$3,BD!$B$3:$B$5001,$A$100,BD!$Y$3:$Y$5001,"&lt;&gt;")=0,"",SUMIFS(BD!$Y$3:$Y$5001,BD!$A$3:$A$5001,W$3,BD!$B$3:$B$5001,$A$100)))</f>
        <v/>
      </c>
      <c r="X111" s="218" t="str">
        <f>IF(X$3="","",IF(COUNTIFS(BD!$A$3:$A$5001,X$3,BD!$B$3:$B$5001,$A$100,BD!$Y$3:$Y$5001,"&lt;&gt;")=0,"",SUMIFS(BD!$Y$3:$Y$5001,BD!$A$3:$A$5001,X$3,BD!$B$3:$B$5001,$A$100)))</f>
        <v/>
      </c>
      <c r="Y111" s="218" t="str">
        <f>IF(Y$3="","",IF(COUNTIFS(BD!$A$3:$A$5001,Y$3,BD!$B$3:$B$5001,$A$100,BD!$Y$3:$Y$5001,"&lt;&gt;")=0,"",SUMIFS(BD!$Y$3:$Y$5001,BD!$A$3:$A$5001,Y$3,BD!$B$3:$B$5001,$A$100)))</f>
        <v/>
      </c>
      <c r="Z111" s="218" t="str">
        <f>IF(Z$3="","",IF(COUNTIFS(BD!$A$3:$A$5001,Z$3,BD!$B$3:$B$5001,$A$100,BD!$Y$3:$Y$5001,"&lt;&gt;")=0,"",SUMIFS(BD!$Y$3:$Y$5001,BD!$A$3:$A$5001,Z$3,BD!$B$3:$B$5001,$A$100)))</f>
        <v/>
      </c>
      <c r="AA111" s="218" t="str">
        <f>IF(AA$3="","",IF(COUNTIFS(BD!$A$3:$A$5001,AA$3,BD!$B$3:$B$5001,$A$100,BD!$Y$3:$Y$5001,"&lt;&gt;")=0,"",SUMIFS(BD!$Y$3:$Y$5001,BD!$A$3:$A$5001,AA$3,BD!$B$3:$B$5001,$A$100)))</f>
        <v/>
      </c>
      <c r="AB111" s="218" t="str">
        <f>IF(AB$3="","",IF(COUNTIFS(BD!$A$3:$A$5001,AB$3,BD!$B$3:$B$5001,$A$100,BD!$Y$3:$Y$5001,"&lt;&gt;")=0,"",SUMIFS(BD!$Y$3:$Y$5001,BD!$A$3:$A$5001,AB$3,BD!$B$3:$B$5001,$A$100)))</f>
        <v/>
      </c>
      <c r="AC111" s="218" t="str">
        <f>IF(AC$3="","",IF(COUNTIFS(BD!$A$3:$A$5001,AC$3,BD!$B$3:$B$5001,$A$100,BD!$Y$3:$Y$5001,"&lt;&gt;")=0,"",SUMIFS(BD!$Y$3:$Y$5001,BD!$A$3:$A$5001,AC$3,BD!$B$3:$B$5001,$A$100)))</f>
        <v/>
      </c>
      <c r="AD111" s="218" t="str">
        <f>IF(AD$3="","",IF(COUNTIFS(BD!$A$3:$A$5001,AD$3,BD!$B$3:$B$5001,$A$100,BD!$Y$3:$Y$5001,"&lt;&gt;")=0,"",SUMIFS(BD!$Y$3:$Y$5001,BD!$A$3:$A$5001,AD$3,BD!$B$3:$B$5001,$A$100)))</f>
        <v/>
      </c>
      <c r="AE111" s="218" t="str">
        <f>IF(AE$3="","",IF(COUNTIFS(BD!$A$3:$A$5001,AE$3,BD!$B$3:$B$5001,$A$100,BD!$Y$3:$Y$5001,"&lt;&gt;")=0,"",SUMIFS(BD!$Y$3:$Y$5001,BD!$A$3:$A$5001,AE$3,BD!$B$3:$B$5001,$A$100)))</f>
        <v/>
      </c>
      <c r="AF111" s="218" t="str">
        <f>IF(AF$3="","",IF(COUNTIFS(BD!$A$3:$A$5001,AF$3,BD!$B$3:$B$5001,$A$100,BD!$Y$3:$Y$5001,"&lt;&gt;")=0,"",SUMIFS(BD!$Y$3:$Y$5001,BD!$A$3:$A$5001,AF$3,BD!$B$3:$B$5001,$A$100)))</f>
        <v/>
      </c>
      <c r="AG111" s="218" t="str">
        <f>IF(AG$3="","",IF(COUNTIFS(BD!$A$3:$A$5001,AG$3,BD!$B$3:$B$5001,$A$100,BD!$Y$3:$Y$5001,"&lt;&gt;")=0,"",SUMIFS(BD!$Y$3:$Y$5001,BD!$A$3:$A$5001,AG$3,BD!$B$3:$B$5001,$A$100)))</f>
        <v/>
      </c>
      <c r="AH111" s="218" t="str">
        <f>IF(AH$3="","",IF(COUNTIFS(BD!$A$3:$A$5001,AH$3,BD!$B$3:$B$5001,$A$100,BD!$Y$3:$Y$5001,"&lt;&gt;")=0,"",SUMIFS(BD!$Y$3:$Y$5001,BD!$A$3:$A$5001,AH$3,BD!$B$3:$B$5001,$A$100)))</f>
        <v/>
      </c>
      <c r="AI111" s="218" t="str">
        <f>IF(AI$3="","",IF(COUNTIFS(BD!$A$3:$A$5001,AI$3,BD!$B$3:$B$5001,$A$100,BD!$Y$3:$Y$5001,"&lt;&gt;")=0,"",SUMIFS(BD!$Y$3:$Y$5001,BD!$A$3:$A$5001,AI$3,BD!$B$3:$B$5001,$A$100)))</f>
        <v/>
      </c>
      <c r="AJ111" s="219" t="str">
        <f>IF(AJ$3="","",IF(COUNTIFS(BD!$A$3:$A$5001,AJ$3,BD!$B$3:$B$5001,$A$100,BD!$Y$3:$Y$5001,"&lt;&gt;")=0,"",SUMIFS(BD!$Y$3:$Y$5001,BD!$A$3:$A$5001,AJ$3,BD!$B$3:$B$5001,$A$100)))</f>
        <v/>
      </c>
      <c r="AK111" s="220" t="str">
        <f>IFERROR(LOOKUP(9.99E+307,F111:AJ111),"")</f>
        <v/>
      </c>
    </row>
    <row r="112" ht="15.75" customHeight="1">
      <c r="A112" s="261"/>
      <c r="B112" s="250"/>
      <c r="C112" s="175" t="inlineStr">
        <is>
          <t xml:space="preserve">Taxa de Ocupação</t>
        </is>
      </c>
      <c r="D112" s="221" t="str">
        <f>IFERROR(1/(1/INDEX(BD!$AL$46:$BF$46,MATCH($A$100,BD!$AL$22:$BF$22,0))),"")</f>
        <v/>
      </c>
      <c r="E112" s="177"/>
      <c r="F112" s="222" t="str">
        <f>IF(AND(ISNUMBER(F110),ISNUMBER(F111)),IF(F110&gt;0,F111/F110,""),"")</f>
        <v/>
      </c>
      <c r="G112" s="223" t="str">
        <f>IF(AND(ISNUMBER(G110),ISNUMBER(G111)),IF(G110&gt;0,G111/G110,""),"")</f>
        <v/>
      </c>
      <c r="H112" s="223" t="str">
        <f>IF(AND(ISNUMBER(H110),ISNUMBER(H111)),IF(H110&gt;0,H111/H110,""),"")</f>
        <v/>
      </c>
      <c r="I112" s="223" t="str">
        <f>IF(AND(ISNUMBER(I110),ISNUMBER(I111)),IF(I110&gt;0,I111/I110,""),"")</f>
        <v/>
      </c>
      <c r="J112" s="223" t="str">
        <f>IF(AND(ISNUMBER(J110),ISNUMBER(J111)),IF(J110&gt;0,J111/J110,""),"")</f>
        <v/>
      </c>
      <c r="K112" s="223" t="str">
        <f>IF(AND(ISNUMBER(K110),ISNUMBER(K111)),IF(K110&gt;0,K111/K110,""),"")</f>
        <v/>
      </c>
      <c r="L112" s="223" t="str">
        <f>IF(AND(ISNUMBER(L110),ISNUMBER(L111)),IF(L110&gt;0,L111/L110,""),"")</f>
        <v/>
      </c>
      <c r="M112" s="223" t="str">
        <f>IF(AND(ISNUMBER(M110),ISNUMBER(M111)),IF(M110&gt;0,M111/M110,""),"")</f>
        <v/>
      </c>
      <c r="N112" s="223" t="str">
        <f>IF(AND(ISNUMBER(N110),ISNUMBER(N111)),IF(N110&gt;0,N111/N110,""),"")</f>
        <v/>
      </c>
      <c r="O112" s="223" t="str">
        <f>IF(AND(ISNUMBER(O110),ISNUMBER(O111)),IF(O110&gt;0,O111/O110,""),"")</f>
        <v/>
      </c>
      <c r="P112" s="223" t="str">
        <f>IF(AND(ISNUMBER(P110),ISNUMBER(P111)),IF(P110&gt;0,P111/P110,""),"")</f>
        <v/>
      </c>
      <c r="Q112" s="223" t="str">
        <f>IF(AND(ISNUMBER(Q110),ISNUMBER(Q111)),IF(Q110&gt;0,Q111/Q110,""),"")</f>
        <v/>
      </c>
      <c r="R112" s="223" t="str">
        <f>IF(AND(ISNUMBER(R110),ISNUMBER(R111)),IF(R110&gt;0,R111/R110,""),"")</f>
        <v/>
      </c>
      <c r="S112" s="223" t="str">
        <f>IF(AND(ISNUMBER(S110),ISNUMBER(S111)),IF(S110&gt;0,S111/S110,""),"")</f>
        <v/>
      </c>
      <c r="T112" s="223" t="str">
        <f>IF(AND(ISNUMBER(T110),ISNUMBER(T111)),IF(T110&gt;0,T111/T110,""),"")</f>
        <v/>
      </c>
      <c r="U112" s="223" t="str">
        <f>IF(AND(ISNUMBER(U110),ISNUMBER(U111)),IF(U110&gt;0,U111/U110,""),"")</f>
        <v/>
      </c>
      <c r="V112" s="223" t="str">
        <f>IF(AND(ISNUMBER(V110),ISNUMBER(V111)),IF(V110&gt;0,V111/V110,""),"")</f>
        <v/>
      </c>
      <c r="W112" s="223" t="str">
        <f>IF(AND(ISNUMBER(W110),ISNUMBER(W111)),IF(W110&gt;0,W111/W110,""),"")</f>
        <v/>
      </c>
      <c r="X112" s="223" t="str">
        <f>IF(AND(ISNUMBER(X110),ISNUMBER(X111)),IF(X110&gt;0,X111/X110,""),"")</f>
        <v/>
      </c>
      <c r="Y112" s="223" t="str">
        <f>IF(AND(ISNUMBER(Y110),ISNUMBER(Y111)),IF(Y110&gt;0,Y111/Y110,""),"")</f>
        <v/>
      </c>
      <c r="Z112" s="223" t="str">
        <f>IF(AND(ISNUMBER(Z110),ISNUMBER(Z111)),IF(Z110&gt;0,Z111/Z110,""),"")</f>
        <v/>
      </c>
      <c r="AA112" s="223" t="str">
        <f>IF(AND(ISNUMBER(AA110),ISNUMBER(AA111)),IF(AA110&gt;0,AA111/AA110,""),"")</f>
        <v/>
      </c>
      <c r="AB112" s="223" t="str">
        <f>IF(AND(ISNUMBER(AB110),ISNUMBER(AB111)),IF(AB110&gt;0,AB111/AB110,""),"")</f>
        <v/>
      </c>
      <c r="AC112" s="223" t="str">
        <f>IF(AND(ISNUMBER(AC110),ISNUMBER(AC111)),IF(AC110&gt;0,AC111/AC110,""),"")</f>
        <v/>
      </c>
      <c r="AD112" s="223" t="str">
        <f>IF(AND(ISNUMBER(AD110),ISNUMBER(AD111)),IF(AD110&gt;0,AD111/AD110,""),"")</f>
        <v/>
      </c>
      <c r="AE112" s="223" t="str">
        <f>IF(AND(ISNUMBER(AE110),ISNUMBER(AE111)),IF(AE110&gt;0,AE111/AE110,""),"")</f>
        <v/>
      </c>
      <c r="AF112" s="223" t="str">
        <f>IF(AND(ISNUMBER(AF110),ISNUMBER(AF111)),IF(AF110&gt;0,AF111/AF110,""),"")</f>
        <v/>
      </c>
      <c r="AG112" s="223" t="str">
        <f>IF(AND(ISNUMBER(AG110),ISNUMBER(AG111)),IF(AG110&gt;0,AG111/AG110,""),"")</f>
        <v/>
      </c>
      <c r="AH112" s="223" t="str">
        <f>IF(AND(ISNUMBER(AH110),ISNUMBER(AH111)),IF(AH110&gt;0,AH111/AH110,""),"")</f>
        <v/>
      </c>
      <c r="AI112" s="223" t="str">
        <f>IF(AND(ISNUMBER(AI110),ISNUMBER(AI111)),IF(AI110&gt;0,AI111/AI110,""),"")</f>
        <v/>
      </c>
      <c r="AJ112" s="224" t="str">
        <f>IF(AND(ISNUMBER(AJ110),ISNUMBER(AJ111)),IF(AJ110&gt;0,AJ111/AJ110,""),"")</f>
        <v/>
      </c>
      <c r="AK112" s="221" t="str">
        <f>IF(AND(ISNUMBER(AK110),ISNUMBER(AK111)),IF(AK110&gt;0,AK111/AK110,""),"")</f>
        <v/>
      </c>
    </row>
    <row r="113" ht="15.75" customHeight="1">
      <c r="A113" s="261"/>
      <c r="B113" s="257" t="inlineStr">
        <is>
          <t xml:space="preserve">GENTE</t>
        </is>
      </c>
      <c r="C113" s="225" t="inlineStr">
        <is>
          <t xml:space="preserve">Efetivo Op.</t>
        </is>
      </c>
      <c r="D113" s="226" t="str">
        <f>IFERROR(1/(1/INDEX(BD!$AL$47:$BF$47,MATCH($A$100,BD!$AL$22:$BF$22,0))),"")</f>
        <v/>
      </c>
      <c r="E113" s="227"/>
      <c r="F113" s="228" t="str">
        <f>IF(F$3="","",IF(COUNTIFS(BD!$A$3:$A$5001,F$3,BD!$B$3:$B$5001,$A$100,BD!$Z$3:$Z$5001,"&lt;&gt;")=0,"",SUMIFS(BD!$Z$3:$Z$5001,BD!$A$3:$A$5001,F$3,BD!$B$3:$B$5001,$A$100)))</f>
        <v/>
      </c>
      <c r="G113" s="229" t="str">
        <f>IF(G$3="","",IF(COUNTIFS(BD!$A$3:$A$5001,G$3,BD!$B$3:$B$5001,$A$100,BD!$Z$3:$Z$5001,"&lt;&gt;")=0,"",SUMIFS(BD!$Z$3:$Z$5001,BD!$A$3:$A$5001,G$3,BD!$B$3:$B$5001,$A$100)))</f>
        <v/>
      </c>
      <c r="H113" s="229" t="str">
        <f>IF(H$3="","",IF(COUNTIFS(BD!$A$3:$A$5001,H$3,BD!$B$3:$B$5001,$A$100,BD!$Z$3:$Z$5001,"&lt;&gt;")=0,"",SUMIFS(BD!$Z$3:$Z$5001,BD!$A$3:$A$5001,H$3,BD!$B$3:$B$5001,$A$100)))</f>
        <v/>
      </c>
      <c r="I113" s="229" t="str">
        <f>IF(I$3="","",IF(COUNTIFS(BD!$A$3:$A$5001,I$3,BD!$B$3:$B$5001,$A$100,BD!$Z$3:$Z$5001,"&lt;&gt;")=0,"",SUMIFS(BD!$Z$3:$Z$5001,BD!$A$3:$A$5001,I$3,BD!$B$3:$B$5001,$A$100)))</f>
        <v/>
      </c>
      <c r="J113" s="229" t="str">
        <f>IF(J$3="","",IF(COUNTIFS(BD!$A$3:$A$5001,J$3,BD!$B$3:$B$5001,$A$100,BD!$Z$3:$Z$5001,"&lt;&gt;")=0,"",SUMIFS(BD!$Z$3:$Z$5001,BD!$A$3:$A$5001,J$3,BD!$B$3:$B$5001,$A$100)))</f>
        <v/>
      </c>
      <c r="K113" s="229" t="str">
        <f>IF(K$3="","",IF(COUNTIFS(BD!$A$3:$A$5001,K$3,BD!$B$3:$B$5001,$A$100,BD!$Z$3:$Z$5001,"&lt;&gt;")=0,"",SUMIFS(BD!$Z$3:$Z$5001,BD!$A$3:$A$5001,K$3,BD!$B$3:$B$5001,$A$100)))</f>
        <v/>
      </c>
      <c r="L113" s="229" t="str">
        <f>IF(L$3="","",IF(COUNTIFS(BD!$A$3:$A$5001,L$3,BD!$B$3:$B$5001,$A$100,BD!$Z$3:$Z$5001,"&lt;&gt;")=0,"",SUMIFS(BD!$Z$3:$Z$5001,BD!$A$3:$A$5001,L$3,BD!$B$3:$B$5001,$A$100)))</f>
        <v/>
      </c>
      <c r="M113" s="229" t="str">
        <f>IF(M$3="","",IF(COUNTIFS(BD!$A$3:$A$5001,M$3,BD!$B$3:$B$5001,$A$100,BD!$Z$3:$Z$5001,"&lt;&gt;")=0,"",SUMIFS(BD!$Z$3:$Z$5001,BD!$A$3:$A$5001,M$3,BD!$B$3:$B$5001,$A$100)))</f>
        <v/>
      </c>
      <c r="N113" s="229" t="str">
        <f>IF(N$3="","",IF(COUNTIFS(BD!$A$3:$A$5001,N$3,BD!$B$3:$B$5001,$A$100,BD!$Z$3:$Z$5001,"&lt;&gt;")=0,"",SUMIFS(BD!$Z$3:$Z$5001,BD!$A$3:$A$5001,N$3,BD!$B$3:$B$5001,$A$100)))</f>
        <v/>
      </c>
      <c r="O113" s="229" t="str">
        <f>IF(O$3="","",IF(COUNTIFS(BD!$A$3:$A$5001,O$3,BD!$B$3:$B$5001,$A$100,BD!$Z$3:$Z$5001,"&lt;&gt;")=0,"",SUMIFS(BD!$Z$3:$Z$5001,BD!$A$3:$A$5001,O$3,BD!$B$3:$B$5001,$A$100)))</f>
        <v/>
      </c>
      <c r="P113" s="229" t="str">
        <f>IF(P$3="","",IF(COUNTIFS(BD!$A$3:$A$5001,P$3,BD!$B$3:$B$5001,$A$100,BD!$Z$3:$Z$5001,"&lt;&gt;")=0,"",SUMIFS(BD!$Z$3:$Z$5001,BD!$A$3:$A$5001,P$3,BD!$B$3:$B$5001,$A$100)))</f>
        <v/>
      </c>
      <c r="Q113" s="229" t="str">
        <f>IF(Q$3="","",IF(COUNTIFS(BD!$A$3:$A$5001,Q$3,BD!$B$3:$B$5001,$A$100,BD!$Z$3:$Z$5001,"&lt;&gt;")=0,"",SUMIFS(BD!$Z$3:$Z$5001,BD!$A$3:$A$5001,Q$3,BD!$B$3:$B$5001,$A$100)))</f>
        <v/>
      </c>
      <c r="R113" s="229" t="str">
        <f>IF(R$3="","",IF(COUNTIFS(BD!$A$3:$A$5001,R$3,BD!$B$3:$B$5001,$A$100,BD!$Z$3:$Z$5001,"&lt;&gt;")=0,"",SUMIFS(BD!$Z$3:$Z$5001,BD!$A$3:$A$5001,R$3,BD!$B$3:$B$5001,$A$100)))</f>
        <v/>
      </c>
      <c r="S113" s="229" t="str">
        <f>IF(S$3="","",IF(COUNTIFS(BD!$A$3:$A$5001,S$3,BD!$B$3:$B$5001,$A$100,BD!$Z$3:$Z$5001,"&lt;&gt;")=0,"",SUMIFS(BD!$Z$3:$Z$5001,BD!$A$3:$A$5001,S$3,BD!$B$3:$B$5001,$A$100)))</f>
        <v/>
      </c>
      <c r="T113" s="229" t="str">
        <f>IF(T$3="","",IF(COUNTIFS(BD!$A$3:$A$5001,T$3,BD!$B$3:$B$5001,$A$100,BD!$Z$3:$Z$5001,"&lt;&gt;")=0,"",SUMIFS(BD!$Z$3:$Z$5001,BD!$A$3:$A$5001,T$3,BD!$B$3:$B$5001,$A$100)))</f>
        <v/>
      </c>
      <c r="U113" s="229" t="str">
        <f>IF(U$3="","",IF(COUNTIFS(BD!$A$3:$A$5001,U$3,BD!$B$3:$B$5001,$A$100,BD!$Z$3:$Z$5001,"&lt;&gt;")=0,"",SUMIFS(BD!$Z$3:$Z$5001,BD!$A$3:$A$5001,U$3,BD!$B$3:$B$5001,$A$100)))</f>
        <v/>
      </c>
      <c r="V113" s="229" t="str">
        <f>IF(V$3="","",IF(COUNTIFS(BD!$A$3:$A$5001,V$3,BD!$B$3:$B$5001,$A$100,BD!$Z$3:$Z$5001,"&lt;&gt;")=0,"",SUMIFS(BD!$Z$3:$Z$5001,BD!$A$3:$A$5001,V$3,BD!$B$3:$B$5001,$A$100)))</f>
        <v/>
      </c>
      <c r="W113" s="229" t="str">
        <f>IF(W$3="","",IF(COUNTIFS(BD!$A$3:$A$5001,W$3,BD!$B$3:$B$5001,$A$100,BD!$Z$3:$Z$5001,"&lt;&gt;")=0,"",SUMIFS(BD!$Z$3:$Z$5001,BD!$A$3:$A$5001,W$3,BD!$B$3:$B$5001,$A$100)))</f>
        <v/>
      </c>
      <c r="X113" s="229" t="str">
        <f>IF(X$3="","",IF(COUNTIFS(BD!$A$3:$A$5001,X$3,BD!$B$3:$B$5001,$A$100,BD!$Z$3:$Z$5001,"&lt;&gt;")=0,"",SUMIFS(BD!$Z$3:$Z$5001,BD!$A$3:$A$5001,X$3,BD!$B$3:$B$5001,$A$100)))</f>
        <v/>
      </c>
      <c r="Y113" s="229" t="str">
        <f>IF(Y$3="","",IF(COUNTIFS(BD!$A$3:$A$5001,Y$3,BD!$B$3:$B$5001,$A$100,BD!$Z$3:$Z$5001,"&lt;&gt;")=0,"",SUMIFS(BD!$Z$3:$Z$5001,BD!$A$3:$A$5001,Y$3,BD!$B$3:$B$5001,$A$100)))</f>
        <v/>
      </c>
      <c r="Z113" s="229" t="str">
        <f>IF(Z$3="","",IF(COUNTIFS(BD!$A$3:$A$5001,Z$3,BD!$B$3:$B$5001,$A$100,BD!$Z$3:$Z$5001,"&lt;&gt;")=0,"",SUMIFS(BD!$Z$3:$Z$5001,BD!$A$3:$A$5001,Z$3,BD!$B$3:$B$5001,$A$100)))</f>
        <v/>
      </c>
      <c r="AA113" s="229" t="str">
        <f>IF(AA$3="","",IF(COUNTIFS(BD!$A$3:$A$5001,AA$3,BD!$B$3:$B$5001,$A$100,BD!$Z$3:$Z$5001,"&lt;&gt;")=0,"",SUMIFS(BD!$Z$3:$Z$5001,BD!$A$3:$A$5001,AA$3,BD!$B$3:$B$5001,$A$100)))</f>
        <v/>
      </c>
      <c r="AB113" s="229" t="str">
        <f>IF(AB$3="","",IF(COUNTIFS(BD!$A$3:$A$5001,AB$3,BD!$B$3:$B$5001,$A$100,BD!$Z$3:$Z$5001,"&lt;&gt;")=0,"",SUMIFS(BD!$Z$3:$Z$5001,BD!$A$3:$A$5001,AB$3,BD!$B$3:$B$5001,$A$100)))</f>
        <v/>
      </c>
      <c r="AC113" s="229" t="str">
        <f>IF(AC$3="","",IF(COUNTIFS(BD!$A$3:$A$5001,AC$3,BD!$B$3:$B$5001,$A$100,BD!$Z$3:$Z$5001,"&lt;&gt;")=0,"",SUMIFS(BD!$Z$3:$Z$5001,BD!$A$3:$A$5001,AC$3,BD!$B$3:$B$5001,$A$100)))</f>
        <v/>
      </c>
      <c r="AD113" s="229" t="str">
        <f>IF(AD$3="","",IF(COUNTIFS(BD!$A$3:$A$5001,AD$3,BD!$B$3:$B$5001,$A$100,BD!$Z$3:$Z$5001,"&lt;&gt;")=0,"",SUMIFS(BD!$Z$3:$Z$5001,BD!$A$3:$A$5001,AD$3,BD!$B$3:$B$5001,$A$100)))</f>
        <v/>
      </c>
      <c r="AE113" s="229" t="str">
        <f>IF(AE$3="","",IF(COUNTIFS(BD!$A$3:$A$5001,AE$3,BD!$B$3:$B$5001,$A$100,BD!$Z$3:$Z$5001,"&lt;&gt;")=0,"",SUMIFS(BD!$Z$3:$Z$5001,BD!$A$3:$A$5001,AE$3,BD!$B$3:$B$5001,$A$100)))</f>
        <v/>
      </c>
      <c r="AF113" s="229" t="str">
        <f>IF(AF$3="","",IF(COUNTIFS(BD!$A$3:$A$5001,AF$3,BD!$B$3:$B$5001,$A$100,BD!$Z$3:$Z$5001,"&lt;&gt;")=0,"",SUMIFS(BD!$Z$3:$Z$5001,BD!$A$3:$A$5001,AF$3,BD!$B$3:$B$5001,$A$100)))</f>
        <v/>
      </c>
      <c r="AG113" s="229" t="str">
        <f>IF(AG$3="","",IF(COUNTIFS(BD!$A$3:$A$5001,AG$3,BD!$B$3:$B$5001,$A$100,BD!$Z$3:$Z$5001,"&lt;&gt;")=0,"",SUMIFS(BD!$Z$3:$Z$5001,BD!$A$3:$A$5001,AG$3,BD!$B$3:$B$5001,$A$100)))</f>
        <v/>
      </c>
      <c r="AH113" s="229" t="str">
        <f>IF(AH$3="","",IF(COUNTIFS(BD!$A$3:$A$5001,AH$3,BD!$B$3:$B$5001,$A$100,BD!$Z$3:$Z$5001,"&lt;&gt;")=0,"",SUMIFS(BD!$Z$3:$Z$5001,BD!$A$3:$A$5001,AH$3,BD!$B$3:$B$5001,$A$100)))</f>
        <v/>
      </c>
      <c r="AI113" s="229" t="str">
        <f>IF(AI$3="","",IF(COUNTIFS(BD!$A$3:$A$5001,AI$3,BD!$B$3:$B$5001,$A$100,BD!$Z$3:$Z$5001,"&lt;&gt;")=0,"",SUMIFS(BD!$Z$3:$Z$5001,BD!$A$3:$A$5001,AI$3,BD!$B$3:$B$5001,$A$100)))</f>
        <v/>
      </c>
      <c r="AJ113" s="230" t="str">
        <f>IF(AJ$3="","",IF(COUNTIFS(BD!$A$3:$A$5001,AJ$3,BD!$B$3:$B$5001,$A$100,BD!$Z$3:$Z$5001,"&lt;&gt;")=0,"",SUMIFS(BD!$Z$3:$Z$5001,BD!$A$3:$A$5001,AJ$3,BD!$B$3:$B$5001,$A$100)))</f>
        <v/>
      </c>
      <c r="AK113" s="231" t="str">
        <f>IFERROR(LOOKUP(9.99E+307,F113:AJ113),"")</f>
        <v/>
      </c>
    </row>
    <row r="114" ht="15.75" customHeight="1">
      <c r="A114" s="261"/>
      <c r="B114" s="258"/>
      <c r="C114" s="232" t="inlineStr">
        <is>
          <t xml:space="preserve">Falta</t>
        </is>
      </c>
      <c r="D114" s="233" t="str">
        <f>IFERROR(1/(1/INDEX(BD!$AL$48:$BF$48,MATCH($A$100,BD!$AL$22:$BF$22,0))),"")</f>
        <v/>
      </c>
      <c r="E114" s="234"/>
      <c r="F114" s="235" t="str">
        <f>IF(F$3="","",IF(COUNTIFS(BD!$A$3:$A$5001,F$3,BD!$B$3:$B$5001,$A$100,BD!$AA$3:$AA$5001,"&lt;&gt;")=0,"",SUMIFS(BD!$AA$3:$AA$5001,BD!$A$3:$A$5001,F$3,BD!$B$3:$B$5001,$A$100)))</f>
        <v/>
      </c>
      <c r="G114" s="236" t="str">
        <f>IF(G$3="","",IF(COUNTIFS(BD!$A$3:$A$5001,G$3,BD!$B$3:$B$5001,$A$100,BD!$AA$3:$AA$5001,"&lt;&gt;")=0,"",SUMIFS(BD!$AA$3:$AA$5001,BD!$A$3:$A$5001,G$3,BD!$B$3:$B$5001,$A$100)))</f>
        <v/>
      </c>
      <c r="H114" s="236" t="str">
        <f>IF(H$3="","",IF(COUNTIFS(BD!$A$3:$A$5001,H$3,BD!$B$3:$B$5001,$A$100,BD!$AA$3:$AA$5001,"&lt;&gt;")=0,"",SUMIFS(BD!$AA$3:$AA$5001,BD!$A$3:$A$5001,H$3,BD!$B$3:$B$5001,$A$100)))</f>
        <v/>
      </c>
      <c r="I114" s="236" t="str">
        <f>IF(I$3="","",IF(COUNTIFS(BD!$A$3:$A$5001,I$3,BD!$B$3:$B$5001,$A$100,BD!$AA$3:$AA$5001,"&lt;&gt;")=0,"",SUMIFS(BD!$AA$3:$AA$5001,BD!$A$3:$A$5001,I$3,BD!$B$3:$B$5001,$A$100)))</f>
        <v/>
      </c>
      <c r="J114" s="236" t="str">
        <f>IF(J$3="","",IF(COUNTIFS(BD!$A$3:$A$5001,J$3,BD!$B$3:$B$5001,$A$100,BD!$AA$3:$AA$5001,"&lt;&gt;")=0,"",SUMIFS(BD!$AA$3:$AA$5001,BD!$A$3:$A$5001,J$3,BD!$B$3:$B$5001,$A$100)))</f>
        <v/>
      </c>
      <c r="K114" s="236" t="str">
        <f>IF(K$3="","",IF(COUNTIFS(BD!$A$3:$A$5001,K$3,BD!$B$3:$B$5001,$A$100,BD!$AA$3:$AA$5001,"&lt;&gt;")=0,"",SUMIFS(BD!$AA$3:$AA$5001,BD!$A$3:$A$5001,K$3,BD!$B$3:$B$5001,$A$100)))</f>
        <v/>
      </c>
      <c r="L114" s="236" t="str">
        <f>IF(L$3="","",IF(COUNTIFS(BD!$A$3:$A$5001,L$3,BD!$B$3:$B$5001,$A$100,BD!$AA$3:$AA$5001,"&lt;&gt;")=0,"",SUMIFS(BD!$AA$3:$AA$5001,BD!$A$3:$A$5001,L$3,BD!$B$3:$B$5001,$A$100)))</f>
        <v/>
      </c>
      <c r="M114" s="236" t="str">
        <f>IF(M$3="","",IF(COUNTIFS(BD!$A$3:$A$5001,M$3,BD!$B$3:$B$5001,$A$100,BD!$AA$3:$AA$5001,"&lt;&gt;")=0,"",SUMIFS(BD!$AA$3:$AA$5001,BD!$A$3:$A$5001,M$3,BD!$B$3:$B$5001,$A$100)))</f>
        <v/>
      </c>
      <c r="N114" s="236" t="str">
        <f>IF(N$3="","",IF(COUNTIFS(BD!$A$3:$A$5001,N$3,BD!$B$3:$B$5001,$A$100,BD!$AA$3:$AA$5001,"&lt;&gt;")=0,"",SUMIFS(BD!$AA$3:$AA$5001,BD!$A$3:$A$5001,N$3,BD!$B$3:$B$5001,$A$100)))</f>
        <v/>
      </c>
      <c r="O114" s="236" t="str">
        <f>IF(O$3="","",IF(COUNTIFS(BD!$A$3:$A$5001,O$3,BD!$B$3:$B$5001,$A$100,BD!$AA$3:$AA$5001,"&lt;&gt;")=0,"",SUMIFS(BD!$AA$3:$AA$5001,BD!$A$3:$A$5001,O$3,BD!$B$3:$B$5001,$A$100)))</f>
        <v/>
      </c>
      <c r="P114" s="236" t="str">
        <f>IF(P$3="","",IF(COUNTIFS(BD!$A$3:$A$5001,P$3,BD!$B$3:$B$5001,$A$100,BD!$AA$3:$AA$5001,"&lt;&gt;")=0,"",SUMIFS(BD!$AA$3:$AA$5001,BD!$A$3:$A$5001,P$3,BD!$B$3:$B$5001,$A$100)))</f>
        <v/>
      </c>
      <c r="Q114" s="236" t="str">
        <f>IF(Q$3="","",IF(COUNTIFS(BD!$A$3:$A$5001,Q$3,BD!$B$3:$B$5001,$A$100,BD!$AA$3:$AA$5001,"&lt;&gt;")=0,"",SUMIFS(BD!$AA$3:$AA$5001,BD!$A$3:$A$5001,Q$3,BD!$B$3:$B$5001,$A$100)))</f>
        <v/>
      </c>
      <c r="R114" s="236" t="str">
        <f>IF(R$3="","",IF(COUNTIFS(BD!$A$3:$A$5001,R$3,BD!$B$3:$B$5001,$A$100,BD!$AA$3:$AA$5001,"&lt;&gt;")=0,"",SUMIFS(BD!$AA$3:$AA$5001,BD!$A$3:$A$5001,R$3,BD!$B$3:$B$5001,$A$100)))</f>
        <v/>
      </c>
      <c r="S114" s="236" t="str">
        <f>IF(S$3="","",IF(COUNTIFS(BD!$A$3:$A$5001,S$3,BD!$B$3:$B$5001,$A$100,BD!$AA$3:$AA$5001,"&lt;&gt;")=0,"",SUMIFS(BD!$AA$3:$AA$5001,BD!$A$3:$A$5001,S$3,BD!$B$3:$B$5001,$A$100)))</f>
        <v/>
      </c>
      <c r="T114" s="236" t="str">
        <f>IF(T$3="","",IF(COUNTIFS(BD!$A$3:$A$5001,T$3,BD!$B$3:$B$5001,$A$100,BD!$AA$3:$AA$5001,"&lt;&gt;")=0,"",SUMIFS(BD!$AA$3:$AA$5001,BD!$A$3:$A$5001,T$3,BD!$B$3:$B$5001,$A$100)))</f>
        <v/>
      </c>
      <c r="U114" s="236" t="str">
        <f>IF(U$3="","",IF(COUNTIFS(BD!$A$3:$A$5001,U$3,BD!$B$3:$B$5001,$A$100,BD!$AA$3:$AA$5001,"&lt;&gt;")=0,"",SUMIFS(BD!$AA$3:$AA$5001,BD!$A$3:$A$5001,U$3,BD!$B$3:$B$5001,$A$100)))</f>
        <v/>
      </c>
      <c r="V114" s="236" t="str">
        <f>IF(V$3="","",IF(COUNTIFS(BD!$A$3:$A$5001,V$3,BD!$B$3:$B$5001,$A$100,BD!$AA$3:$AA$5001,"&lt;&gt;")=0,"",SUMIFS(BD!$AA$3:$AA$5001,BD!$A$3:$A$5001,V$3,BD!$B$3:$B$5001,$A$100)))</f>
        <v/>
      </c>
      <c r="W114" s="236" t="str">
        <f>IF(W$3="","",IF(COUNTIFS(BD!$A$3:$A$5001,W$3,BD!$B$3:$B$5001,$A$100,BD!$AA$3:$AA$5001,"&lt;&gt;")=0,"",SUMIFS(BD!$AA$3:$AA$5001,BD!$A$3:$A$5001,W$3,BD!$B$3:$B$5001,$A$100)))</f>
        <v/>
      </c>
      <c r="X114" s="236" t="str">
        <f>IF(X$3="","",IF(COUNTIFS(BD!$A$3:$A$5001,X$3,BD!$B$3:$B$5001,$A$100,BD!$AA$3:$AA$5001,"&lt;&gt;")=0,"",SUMIFS(BD!$AA$3:$AA$5001,BD!$A$3:$A$5001,X$3,BD!$B$3:$B$5001,$A$100)))</f>
        <v/>
      </c>
      <c r="Y114" s="236" t="str">
        <f>IF(Y$3="","",IF(COUNTIFS(BD!$A$3:$A$5001,Y$3,BD!$B$3:$B$5001,$A$100,BD!$AA$3:$AA$5001,"&lt;&gt;")=0,"",SUMIFS(BD!$AA$3:$AA$5001,BD!$A$3:$A$5001,Y$3,BD!$B$3:$B$5001,$A$100)))</f>
        <v/>
      </c>
      <c r="Z114" s="236" t="str">
        <f>IF(Z$3="","",IF(COUNTIFS(BD!$A$3:$A$5001,Z$3,BD!$B$3:$B$5001,$A$100,BD!$AA$3:$AA$5001,"&lt;&gt;")=0,"",SUMIFS(BD!$AA$3:$AA$5001,BD!$A$3:$A$5001,Z$3,BD!$B$3:$B$5001,$A$100)))</f>
        <v/>
      </c>
      <c r="AA114" s="236" t="str">
        <f>IF(AA$3="","",IF(COUNTIFS(BD!$A$3:$A$5001,AA$3,BD!$B$3:$B$5001,$A$100,BD!$AA$3:$AA$5001,"&lt;&gt;")=0,"",SUMIFS(BD!$AA$3:$AA$5001,BD!$A$3:$A$5001,AA$3,BD!$B$3:$B$5001,$A$100)))</f>
        <v/>
      </c>
      <c r="AB114" s="236" t="str">
        <f>IF(AB$3="","",IF(COUNTIFS(BD!$A$3:$A$5001,AB$3,BD!$B$3:$B$5001,$A$100,BD!$AA$3:$AA$5001,"&lt;&gt;")=0,"",SUMIFS(BD!$AA$3:$AA$5001,BD!$A$3:$A$5001,AB$3,BD!$B$3:$B$5001,$A$100)))</f>
        <v/>
      </c>
      <c r="AC114" s="236" t="str">
        <f>IF(AC$3="","",IF(COUNTIFS(BD!$A$3:$A$5001,AC$3,BD!$B$3:$B$5001,$A$100,BD!$AA$3:$AA$5001,"&lt;&gt;")=0,"",SUMIFS(BD!$AA$3:$AA$5001,BD!$A$3:$A$5001,AC$3,BD!$B$3:$B$5001,$A$100)))</f>
        <v/>
      </c>
      <c r="AD114" s="236" t="str">
        <f>IF(AD$3="","",IF(COUNTIFS(BD!$A$3:$A$5001,AD$3,BD!$B$3:$B$5001,$A$100,BD!$AA$3:$AA$5001,"&lt;&gt;")=0,"",SUMIFS(BD!$AA$3:$AA$5001,BD!$A$3:$A$5001,AD$3,BD!$B$3:$B$5001,$A$100)))</f>
        <v/>
      </c>
      <c r="AE114" s="236" t="str">
        <f>IF(AE$3="","",IF(COUNTIFS(BD!$A$3:$A$5001,AE$3,BD!$B$3:$B$5001,$A$100,BD!$AA$3:$AA$5001,"&lt;&gt;")=0,"",SUMIFS(BD!$AA$3:$AA$5001,BD!$A$3:$A$5001,AE$3,BD!$B$3:$B$5001,$A$100)))</f>
        <v/>
      </c>
      <c r="AF114" s="236" t="str">
        <f>IF(AF$3="","",IF(COUNTIFS(BD!$A$3:$A$5001,AF$3,BD!$B$3:$B$5001,$A$100,BD!$AA$3:$AA$5001,"&lt;&gt;")=0,"",SUMIFS(BD!$AA$3:$AA$5001,BD!$A$3:$A$5001,AF$3,BD!$B$3:$B$5001,$A$100)))</f>
        <v/>
      </c>
      <c r="AG114" s="236" t="str">
        <f>IF(AG$3="","",IF(COUNTIFS(BD!$A$3:$A$5001,AG$3,BD!$B$3:$B$5001,$A$100,BD!$AA$3:$AA$5001,"&lt;&gt;")=0,"",SUMIFS(BD!$AA$3:$AA$5001,BD!$A$3:$A$5001,AG$3,BD!$B$3:$B$5001,$A$100)))</f>
        <v/>
      </c>
      <c r="AH114" s="236" t="str">
        <f>IF(AH$3="","",IF(COUNTIFS(BD!$A$3:$A$5001,AH$3,BD!$B$3:$B$5001,$A$100,BD!$AA$3:$AA$5001,"&lt;&gt;")=0,"",SUMIFS(BD!$AA$3:$AA$5001,BD!$A$3:$A$5001,AH$3,BD!$B$3:$B$5001,$A$100)))</f>
        <v/>
      </c>
      <c r="AI114" s="236" t="str">
        <f>IF(AI$3="","",IF(COUNTIFS(BD!$A$3:$A$5001,AI$3,BD!$B$3:$B$5001,$A$100,BD!$AA$3:$AA$5001,"&lt;&gt;")=0,"",SUMIFS(BD!$AA$3:$AA$5001,BD!$A$3:$A$5001,AI$3,BD!$B$3:$B$5001,$A$100)))</f>
        <v/>
      </c>
      <c r="AJ114" s="237" t="str">
        <f>IF(AJ$3="","",IF(COUNTIFS(BD!$A$3:$A$5001,AJ$3,BD!$B$3:$B$5001,$A$100,BD!$AA$3:$AA$5001,"&lt;&gt;")=0,"",SUMIFS(BD!$AA$3:$AA$5001,BD!$A$3:$A$5001,AJ$3,BD!$B$3:$B$5001,$A$100)))</f>
        <v/>
      </c>
      <c r="AK114" s="238" t="str">
        <f>IF(COUNT(F114:AJ114)=0,"",SUM(F114:AJ114))</f>
        <v/>
      </c>
    </row>
    <row r="115" ht="15.75" customHeight="1">
      <c r="A115" s="261"/>
      <c r="B115" s="258"/>
      <c r="C115" s="232" t="inlineStr">
        <is>
          <t xml:space="preserve">Absenteísmo (H/H)</t>
        </is>
      </c>
      <c r="D115" s="233" t="str">
        <f>IFERROR(1/(1/INDEX(BD!$AL$49:$BF$49,MATCH($A$100,BD!$AL$22:$BF$22,0))),"")</f>
        <v/>
      </c>
      <c r="E115" s="234"/>
      <c r="F115" s="239" t="str">
        <f>IF(F$3="","",IF(COUNTIFS(BD!$A$3:$A$5001,F$3,BD!$B$3:$B$5001,$A$100,BD!$AB$3:$AB$5001,"&lt;&gt;")=0,"",SUMIFS(BD!$AB$3:$AB$5001,BD!$A$3:$A$5001,F$3,BD!$B$3:$B$5001,$A$100)))</f>
        <v/>
      </c>
      <c r="G115" s="240" t="str">
        <f>IF(G$3="","",IF(COUNTIFS(BD!$A$3:$A$5001,G$3,BD!$B$3:$B$5001,$A$100,BD!$AB$3:$AB$5001,"&lt;&gt;")=0,"",SUMIFS(BD!$AB$3:$AB$5001,BD!$A$3:$A$5001,G$3,BD!$B$3:$B$5001,$A$100)))</f>
        <v/>
      </c>
      <c r="H115" s="240" t="str">
        <f>IF(H$3="","",IF(COUNTIFS(BD!$A$3:$A$5001,H$3,BD!$B$3:$B$5001,$A$100,BD!$AB$3:$AB$5001,"&lt;&gt;")=0,"",SUMIFS(BD!$AB$3:$AB$5001,BD!$A$3:$A$5001,H$3,BD!$B$3:$B$5001,$A$100)))</f>
        <v/>
      </c>
      <c r="I115" s="240" t="str">
        <f>IF(I$3="","",IF(COUNTIFS(BD!$A$3:$A$5001,I$3,BD!$B$3:$B$5001,$A$100,BD!$AB$3:$AB$5001,"&lt;&gt;")=0,"",SUMIFS(BD!$AB$3:$AB$5001,BD!$A$3:$A$5001,I$3,BD!$B$3:$B$5001,$A$100)))</f>
        <v/>
      </c>
      <c r="J115" s="240" t="str">
        <f>IF(J$3="","",IF(COUNTIFS(BD!$A$3:$A$5001,J$3,BD!$B$3:$B$5001,$A$100,BD!$AB$3:$AB$5001,"&lt;&gt;")=0,"",SUMIFS(BD!$AB$3:$AB$5001,BD!$A$3:$A$5001,J$3,BD!$B$3:$B$5001,$A$100)))</f>
        <v/>
      </c>
      <c r="K115" s="240" t="str">
        <f>IF(K$3="","",IF(COUNTIFS(BD!$A$3:$A$5001,K$3,BD!$B$3:$B$5001,$A$100,BD!$AB$3:$AB$5001,"&lt;&gt;")=0,"",SUMIFS(BD!$AB$3:$AB$5001,BD!$A$3:$A$5001,K$3,BD!$B$3:$B$5001,$A$100)))</f>
        <v/>
      </c>
      <c r="L115" s="240" t="str">
        <f>IF(L$3="","",IF(COUNTIFS(BD!$A$3:$A$5001,L$3,BD!$B$3:$B$5001,$A$100,BD!$AB$3:$AB$5001,"&lt;&gt;")=0,"",SUMIFS(BD!$AB$3:$AB$5001,BD!$A$3:$A$5001,L$3,BD!$B$3:$B$5001,$A$100)))</f>
        <v/>
      </c>
      <c r="M115" s="240" t="str">
        <f>IF(M$3="","",IF(COUNTIFS(BD!$A$3:$A$5001,M$3,BD!$B$3:$B$5001,$A$100,BD!$AB$3:$AB$5001,"&lt;&gt;")=0,"",SUMIFS(BD!$AB$3:$AB$5001,BD!$A$3:$A$5001,M$3,BD!$B$3:$B$5001,$A$100)))</f>
        <v/>
      </c>
      <c r="N115" s="240" t="str">
        <f>IF(N$3="","",IF(COUNTIFS(BD!$A$3:$A$5001,N$3,BD!$B$3:$B$5001,$A$100,BD!$AB$3:$AB$5001,"&lt;&gt;")=0,"",SUMIFS(BD!$AB$3:$AB$5001,BD!$A$3:$A$5001,N$3,BD!$B$3:$B$5001,$A$100)))</f>
        <v/>
      </c>
      <c r="O115" s="240" t="str">
        <f>IF(O$3="","",IF(COUNTIFS(BD!$A$3:$A$5001,O$3,BD!$B$3:$B$5001,$A$100,BD!$AB$3:$AB$5001,"&lt;&gt;")=0,"",SUMIFS(BD!$AB$3:$AB$5001,BD!$A$3:$A$5001,O$3,BD!$B$3:$B$5001,$A$100)))</f>
        <v/>
      </c>
      <c r="P115" s="240" t="str">
        <f>IF(P$3="","",IF(COUNTIFS(BD!$A$3:$A$5001,P$3,BD!$B$3:$B$5001,$A$100,BD!$AB$3:$AB$5001,"&lt;&gt;")=0,"",SUMIFS(BD!$AB$3:$AB$5001,BD!$A$3:$A$5001,P$3,BD!$B$3:$B$5001,$A$100)))</f>
        <v/>
      </c>
      <c r="Q115" s="240" t="str">
        <f>IF(Q$3="","",IF(COUNTIFS(BD!$A$3:$A$5001,Q$3,BD!$B$3:$B$5001,$A$100,BD!$AB$3:$AB$5001,"&lt;&gt;")=0,"",SUMIFS(BD!$AB$3:$AB$5001,BD!$A$3:$A$5001,Q$3,BD!$B$3:$B$5001,$A$100)))</f>
        <v/>
      </c>
      <c r="R115" s="240" t="str">
        <f>IF(R$3="","",IF(COUNTIFS(BD!$A$3:$A$5001,R$3,BD!$B$3:$B$5001,$A$100,BD!$AB$3:$AB$5001,"&lt;&gt;")=0,"",SUMIFS(BD!$AB$3:$AB$5001,BD!$A$3:$A$5001,R$3,BD!$B$3:$B$5001,$A$100)))</f>
        <v/>
      </c>
      <c r="S115" s="240" t="str">
        <f>IF(S$3="","",IF(COUNTIFS(BD!$A$3:$A$5001,S$3,BD!$B$3:$B$5001,$A$100,BD!$AB$3:$AB$5001,"&lt;&gt;")=0,"",SUMIFS(BD!$AB$3:$AB$5001,BD!$A$3:$A$5001,S$3,BD!$B$3:$B$5001,$A$100)))</f>
        <v/>
      </c>
      <c r="T115" s="240" t="str">
        <f>IF(T$3="","",IF(COUNTIFS(BD!$A$3:$A$5001,T$3,BD!$B$3:$B$5001,$A$100,BD!$AB$3:$AB$5001,"&lt;&gt;")=0,"",SUMIFS(BD!$AB$3:$AB$5001,BD!$A$3:$A$5001,T$3,BD!$B$3:$B$5001,$A$100)))</f>
        <v/>
      </c>
      <c r="U115" s="240" t="str">
        <f>IF(U$3="","",IF(COUNTIFS(BD!$A$3:$A$5001,U$3,BD!$B$3:$B$5001,$A$100,BD!$AB$3:$AB$5001,"&lt;&gt;")=0,"",SUMIFS(BD!$AB$3:$AB$5001,BD!$A$3:$A$5001,U$3,BD!$B$3:$B$5001,$A$100)))</f>
        <v/>
      </c>
      <c r="V115" s="240" t="str">
        <f>IF(V$3="","",IF(COUNTIFS(BD!$A$3:$A$5001,V$3,BD!$B$3:$B$5001,$A$100,BD!$AB$3:$AB$5001,"&lt;&gt;")=0,"",SUMIFS(BD!$AB$3:$AB$5001,BD!$A$3:$A$5001,V$3,BD!$B$3:$B$5001,$A$100)))</f>
        <v/>
      </c>
      <c r="W115" s="240" t="str">
        <f>IF(W$3="","",IF(COUNTIFS(BD!$A$3:$A$5001,W$3,BD!$B$3:$B$5001,$A$100,BD!$AB$3:$AB$5001,"&lt;&gt;")=0,"",SUMIFS(BD!$AB$3:$AB$5001,BD!$A$3:$A$5001,W$3,BD!$B$3:$B$5001,$A$100)))</f>
        <v/>
      </c>
      <c r="X115" s="240" t="str">
        <f>IF(X$3="","",IF(COUNTIFS(BD!$A$3:$A$5001,X$3,BD!$B$3:$B$5001,$A$100,BD!$AB$3:$AB$5001,"&lt;&gt;")=0,"",SUMIFS(BD!$AB$3:$AB$5001,BD!$A$3:$A$5001,X$3,BD!$B$3:$B$5001,$A$100)))</f>
        <v/>
      </c>
      <c r="Y115" s="240" t="str">
        <f>IF(Y$3="","",IF(COUNTIFS(BD!$A$3:$A$5001,Y$3,BD!$B$3:$B$5001,$A$100,BD!$AB$3:$AB$5001,"&lt;&gt;")=0,"",SUMIFS(BD!$AB$3:$AB$5001,BD!$A$3:$A$5001,Y$3,BD!$B$3:$B$5001,$A$100)))</f>
        <v/>
      </c>
      <c r="Z115" s="240" t="str">
        <f>IF(Z$3="","",IF(COUNTIFS(BD!$A$3:$A$5001,Z$3,BD!$B$3:$B$5001,$A$100,BD!$AB$3:$AB$5001,"&lt;&gt;")=0,"",SUMIFS(BD!$AB$3:$AB$5001,BD!$A$3:$A$5001,Z$3,BD!$B$3:$B$5001,$A$100)))</f>
        <v/>
      </c>
      <c r="AA115" s="240" t="str">
        <f>IF(AA$3="","",IF(COUNTIFS(BD!$A$3:$A$5001,AA$3,BD!$B$3:$B$5001,$A$100,BD!$AB$3:$AB$5001,"&lt;&gt;")=0,"",SUMIFS(BD!$AB$3:$AB$5001,BD!$A$3:$A$5001,AA$3,BD!$B$3:$B$5001,$A$100)))</f>
        <v/>
      </c>
      <c r="AB115" s="240" t="str">
        <f>IF(AB$3="","",IF(COUNTIFS(BD!$A$3:$A$5001,AB$3,BD!$B$3:$B$5001,$A$100,BD!$AB$3:$AB$5001,"&lt;&gt;")=0,"",SUMIFS(BD!$AB$3:$AB$5001,BD!$A$3:$A$5001,AB$3,BD!$B$3:$B$5001,$A$100)))</f>
        <v/>
      </c>
      <c r="AC115" s="240" t="str">
        <f>IF(AC$3="","",IF(COUNTIFS(BD!$A$3:$A$5001,AC$3,BD!$B$3:$B$5001,$A$100,BD!$AB$3:$AB$5001,"&lt;&gt;")=0,"",SUMIFS(BD!$AB$3:$AB$5001,BD!$A$3:$A$5001,AC$3,BD!$B$3:$B$5001,$A$100)))</f>
        <v/>
      </c>
      <c r="AD115" s="240" t="str">
        <f>IF(AD$3="","",IF(COUNTIFS(BD!$A$3:$A$5001,AD$3,BD!$B$3:$B$5001,$A$100,BD!$AB$3:$AB$5001,"&lt;&gt;")=0,"",SUMIFS(BD!$AB$3:$AB$5001,BD!$A$3:$A$5001,AD$3,BD!$B$3:$B$5001,$A$100)))</f>
        <v/>
      </c>
      <c r="AE115" s="240" t="str">
        <f>IF(AE$3="","",IF(COUNTIFS(BD!$A$3:$A$5001,AE$3,BD!$B$3:$B$5001,$A$100,BD!$AB$3:$AB$5001,"&lt;&gt;")=0,"",SUMIFS(BD!$AB$3:$AB$5001,BD!$A$3:$A$5001,AE$3,BD!$B$3:$B$5001,$A$100)))</f>
        <v/>
      </c>
      <c r="AF115" s="240" t="str">
        <f>IF(AF$3="","",IF(COUNTIFS(BD!$A$3:$A$5001,AF$3,BD!$B$3:$B$5001,$A$100,BD!$AB$3:$AB$5001,"&lt;&gt;")=0,"",SUMIFS(BD!$AB$3:$AB$5001,BD!$A$3:$A$5001,AF$3,BD!$B$3:$B$5001,$A$100)))</f>
        <v/>
      </c>
      <c r="AG115" s="240" t="str">
        <f>IF(AG$3="","",IF(COUNTIFS(BD!$A$3:$A$5001,AG$3,BD!$B$3:$B$5001,$A$100,BD!$AB$3:$AB$5001,"&lt;&gt;")=0,"",SUMIFS(BD!$AB$3:$AB$5001,BD!$A$3:$A$5001,AG$3,BD!$B$3:$B$5001,$A$100)))</f>
        <v/>
      </c>
      <c r="AH115" s="240" t="str">
        <f>IF(AH$3="","",IF(COUNTIFS(BD!$A$3:$A$5001,AH$3,BD!$B$3:$B$5001,$A$100,BD!$AB$3:$AB$5001,"&lt;&gt;")=0,"",SUMIFS(BD!$AB$3:$AB$5001,BD!$A$3:$A$5001,AH$3,BD!$B$3:$B$5001,$A$100)))</f>
        <v/>
      </c>
      <c r="AI115" s="240" t="str">
        <f>IF(AI$3="","",IF(COUNTIFS(BD!$A$3:$A$5001,AI$3,BD!$B$3:$B$5001,$A$100,BD!$AB$3:$AB$5001,"&lt;&gt;")=0,"",SUMIFS(BD!$AB$3:$AB$5001,BD!$A$3:$A$5001,AI$3,BD!$B$3:$B$5001,$A$100)))</f>
        <v/>
      </c>
      <c r="AJ115" s="241" t="str">
        <f>IF(AJ$3="","",IF(COUNTIFS(BD!$A$3:$A$5001,AJ$3,BD!$B$3:$B$5001,$A$100,BD!$AB$3:$AB$5001,"&lt;&gt;")=0,"",SUMIFS(BD!$AB$3:$AB$5001,BD!$A$3:$A$5001,AJ$3,BD!$B$3:$B$5001,$A$100)))</f>
        <v/>
      </c>
      <c r="AK115" s="242" t="str">
        <f>IF(COUNT(F115:AJ115)=0,"",SUM(F115:AJ115))</f>
        <v/>
      </c>
    </row>
    <row r="116" ht="15.75" customHeight="1">
      <c r="A116" s="261"/>
      <c r="B116" s="258"/>
      <c r="C116" s="232" t="inlineStr">
        <is>
          <t xml:space="preserve">Folga</t>
        </is>
      </c>
      <c r="D116" s="233" t="str">
        <f>IFERROR(1/(1/INDEX(BD!$AL$50:$BF$50,MATCH($A$100,BD!$AL$22:$BF$22,0))),"")</f>
        <v/>
      </c>
      <c r="E116" s="234"/>
      <c r="F116" s="235" t="str">
        <f>IF(F$3="","",IF(COUNTIFS(BD!$A$3:$A$5001,F$3,BD!$B$3:$B$5001,$A$100,BD!$AC$3:$AC$5001,"&lt;&gt;")=0,"",SUMIFS(BD!$AC$3:$AC$5001,BD!$A$3:$A$5001,F$3,BD!$B$3:$B$5001,$A$100)))</f>
        <v/>
      </c>
      <c r="G116" s="236" t="str">
        <f>IF(G$3="","",IF(COUNTIFS(BD!$A$3:$A$5001,G$3,BD!$B$3:$B$5001,$A$100,BD!$AC$3:$AC$5001,"&lt;&gt;")=0,"",SUMIFS(BD!$AC$3:$AC$5001,BD!$A$3:$A$5001,G$3,BD!$B$3:$B$5001,$A$100)))</f>
        <v/>
      </c>
      <c r="H116" s="236" t="str">
        <f>IF(H$3="","",IF(COUNTIFS(BD!$A$3:$A$5001,H$3,BD!$B$3:$B$5001,$A$100,BD!$AC$3:$AC$5001,"&lt;&gt;")=0,"",SUMIFS(BD!$AC$3:$AC$5001,BD!$A$3:$A$5001,H$3,BD!$B$3:$B$5001,$A$100)))</f>
        <v/>
      </c>
      <c r="I116" s="236" t="str">
        <f>IF(I$3="","",IF(COUNTIFS(BD!$A$3:$A$5001,I$3,BD!$B$3:$B$5001,$A$100,BD!$AC$3:$AC$5001,"&lt;&gt;")=0,"",SUMIFS(BD!$AC$3:$AC$5001,BD!$A$3:$A$5001,I$3,BD!$B$3:$B$5001,$A$100)))</f>
        <v/>
      </c>
      <c r="J116" s="236" t="str">
        <f>IF(J$3="","",IF(COUNTIFS(BD!$A$3:$A$5001,J$3,BD!$B$3:$B$5001,$A$100,BD!$AC$3:$AC$5001,"&lt;&gt;")=0,"",SUMIFS(BD!$AC$3:$AC$5001,BD!$A$3:$A$5001,J$3,BD!$B$3:$B$5001,$A$100)))</f>
        <v/>
      </c>
      <c r="K116" s="236" t="str">
        <f>IF(K$3="","",IF(COUNTIFS(BD!$A$3:$A$5001,K$3,BD!$B$3:$B$5001,$A$100,BD!$AC$3:$AC$5001,"&lt;&gt;")=0,"",SUMIFS(BD!$AC$3:$AC$5001,BD!$A$3:$A$5001,K$3,BD!$B$3:$B$5001,$A$100)))</f>
        <v/>
      </c>
      <c r="L116" s="236" t="str">
        <f>IF(L$3="","",IF(COUNTIFS(BD!$A$3:$A$5001,L$3,BD!$B$3:$B$5001,$A$100,BD!$AC$3:$AC$5001,"&lt;&gt;")=0,"",SUMIFS(BD!$AC$3:$AC$5001,BD!$A$3:$A$5001,L$3,BD!$B$3:$B$5001,$A$100)))</f>
        <v/>
      </c>
      <c r="M116" s="236" t="str">
        <f>IF(M$3="","",IF(COUNTIFS(BD!$A$3:$A$5001,M$3,BD!$B$3:$B$5001,$A$100,BD!$AC$3:$AC$5001,"&lt;&gt;")=0,"",SUMIFS(BD!$AC$3:$AC$5001,BD!$A$3:$A$5001,M$3,BD!$B$3:$B$5001,$A$100)))</f>
        <v/>
      </c>
      <c r="N116" s="236" t="str">
        <f>IF(N$3="","",IF(COUNTIFS(BD!$A$3:$A$5001,N$3,BD!$B$3:$B$5001,$A$100,BD!$AC$3:$AC$5001,"&lt;&gt;")=0,"",SUMIFS(BD!$AC$3:$AC$5001,BD!$A$3:$A$5001,N$3,BD!$B$3:$B$5001,$A$100)))</f>
        <v/>
      </c>
      <c r="O116" s="236" t="str">
        <f>IF(O$3="","",IF(COUNTIFS(BD!$A$3:$A$5001,O$3,BD!$B$3:$B$5001,$A$100,BD!$AC$3:$AC$5001,"&lt;&gt;")=0,"",SUMIFS(BD!$AC$3:$AC$5001,BD!$A$3:$A$5001,O$3,BD!$B$3:$B$5001,$A$100)))</f>
        <v/>
      </c>
      <c r="P116" s="236" t="str">
        <f>IF(P$3="","",IF(COUNTIFS(BD!$A$3:$A$5001,P$3,BD!$B$3:$B$5001,$A$100,BD!$AC$3:$AC$5001,"&lt;&gt;")=0,"",SUMIFS(BD!$AC$3:$AC$5001,BD!$A$3:$A$5001,P$3,BD!$B$3:$B$5001,$A$100)))</f>
        <v/>
      </c>
      <c r="Q116" s="236" t="str">
        <f>IF(Q$3="","",IF(COUNTIFS(BD!$A$3:$A$5001,Q$3,BD!$B$3:$B$5001,$A$100,BD!$AC$3:$AC$5001,"&lt;&gt;")=0,"",SUMIFS(BD!$AC$3:$AC$5001,BD!$A$3:$A$5001,Q$3,BD!$B$3:$B$5001,$A$100)))</f>
        <v/>
      </c>
      <c r="R116" s="236" t="str">
        <f>IF(R$3="","",IF(COUNTIFS(BD!$A$3:$A$5001,R$3,BD!$B$3:$B$5001,$A$100,BD!$AC$3:$AC$5001,"&lt;&gt;")=0,"",SUMIFS(BD!$AC$3:$AC$5001,BD!$A$3:$A$5001,R$3,BD!$B$3:$B$5001,$A$100)))</f>
        <v/>
      </c>
      <c r="S116" s="236" t="str">
        <f>IF(S$3="","",IF(COUNTIFS(BD!$A$3:$A$5001,S$3,BD!$B$3:$B$5001,$A$100,BD!$AC$3:$AC$5001,"&lt;&gt;")=0,"",SUMIFS(BD!$AC$3:$AC$5001,BD!$A$3:$A$5001,S$3,BD!$B$3:$B$5001,$A$100)))</f>
        <v/>
      </c>
      <c r="T116" s="236" t="str">
        <f>IF(T$3="","",IF(COUNTIFS(BD!$A$3:$A$5001,T$3,BD!$B$3:$B$5001,$A$100,BD!$AC$3:$AC$5001,"&lt;&gt;")=0,"",SUMIFS(BD!$AC$3:$AC$5001,BD!$A$3:$A$5001,T$3,BD!$B$3:$B$5001,$A$100)))</f>
        <v/>
      </c>
      <c r="U116" s="236" t="str">
        <f>IF(U$3="","",IF(COUNTIFS(BD!$A$3:$A$5001,U$3,BD!$B$3:$B$5001,$A$100,BD!$AC$3:$AC$5001,"&lt;&gt;")=0,"",SUMIFS(BD!$AC$3:$AC$5001,BD!$A$3:$A$5001,U$3,BD!$B$3:$B$5001,$A$100)))</f>
        <v/>
      </c>
      <c r="V116" s="236" t="str">
        <f>IF(V$3="","",IF(COUNTIFS(BD!$A$3:$A$5001,V$3,BD!$B$3:$B$5001,$A$100,BD!$AC$3:$AC$5001,"&lt;&gt;")=0,"",SUMIFS(BD!$AC$3:$AC$5001,BD!$A$3:$A$5001,V$3,BD!$B$3:$B$5001,$A$100)))</f>
        <v/>
      </c>
      <c r="W116" s="236" t="str">
        <f>IF(W$3="","",IF(COUNTIFS(BD!$A$3:$A$5001,W$3,BD!$B$3:$B$5001,$A$100,BD!$AC$3:$AC$5001,"&lt;&gt;")=0,"",SUMIFS(BD!$AC$3:$AC$5001,BD!$A$3:$A$5001,W$3,BD!$B$3:$B$5001,$A$100)))</f>
        <v/>
      </c>
      <c r="X116" s="236" t="str">
        <f>IF(X$3="","",IF(COUNTIFS(BD!$A$3:$A$5001,X$3,BD!$B$3:$B$5001,$A$100,BD!$AC$3:$AC$5001,"&lt;&gt;")=0,"",SUMIFS(BD!$AC$3:$AC$5001,BD!$A$3:$A$5001,X$3,BD!$B$3:$B$5001,$A$100)))</f>
        <v/>
      </c>
      <c r="Y116" s="236" t="str">
        <f>IF(Y$3="","",IF(COUNTIFS(BD!$A$3:$A$5001,Y$3,BD!$B$3:$B$5001,$A$100,BD!$AC$3:$AC$5001,"&lt;&gt;")=0,"",SUMIFS(BD!$AC$3:$AC$5001,BD!$A$3:$A$5001,Y$3,BD!$B$3:$B$5001,$A$100)))</f>
        <v/>
      </c>
      <c r="Z116" s="236" t="str">
        <f>IF(Z$3="","",IF(COUNTIFS(BD!$A$3:$A$5001,Z$3,BD!$B$3:$B$5001,$A$100,BD!$AC$3:$AC$5001,"&lt;&gt;")=0,"",SUMIFS(BD!$AC$3:$AC$5001,BD!$A$3:$A$5001,Z$3,BD!$B$3:$B$5001,$A$100)))</f>
        <v/>
      </c>
      <c r="AA116" s="236" t="str">
        <f>IF(AA$3="","",IF(COUNTIFS(BD!$A$3:$A$5001,AA$3,BD!$B$3:$B$5001,$A$100,BD!$AC$3:$AC$5001,"&lt;&gt;")=0,"",SUMIFS(BD!$AC$3:$AC$5001,BD!$A$3:$A$5001,AA$3,BD!$B$3:$B$5001,$A$100)))</f>
        <v/>
      </c>
      <c r="AB116" s="236" t="str">
        <f>IF(AB$3="","",IF(COUNTIFS(BD!$A$3:$A$5001,AB$3,BD!$B$3:$B$5001,$A$100,BD!$AC$3:$AC$5001,"&lt;&gt;")=0,"",SUMIFS(BD!$AC$3:$AC$5001,BD!$A$3:$A$5001,AB$3,BD!$B$3:$B$5001,$A$100)))</f>
        <v/>
      </c>
      <c r="AC116" s="236" t="str">
        <f>IF(AC$3="","",IF(COUNTIFS(BD!$A$3:$A$5001,AC$3,BD!$B$3:$B$5001,$A$100,BD!$AC$3:$AC$5001,"&lt;&gt;")=0,"",SUMIFS(BD!$AC$3:$AC$5001,BD!$A$3:$A$5001,AC$3,BD!$B$3:$B$5001,$A$100)))</f>
        <v/>
      </c>
      <c r="AD116" s="236" t="str">
        <f>IF(AD$3="","",IF(COUNTIFS(BD!$A$3:$A$5001,AD$3,BD!$B$3:$B$5001,$A$100,BD!$AC$3:$AC$5001,"&lt;&gt;")=0,"",SUMIFS(BD!$AC$3:$AC$5001,BD!$A$3:$A$5001,AD$3,BD!$B$3:$B$5001,$A$100)))</f>
        <v/>
      </c>
      <c r="AE116" s="236" t="str">
        <f>IF(AE$3="","",IF(COUNTIFS(BD!$A$3:$A$5001,AE$3,BD!$B$3:$B$5001,$A$100,BD!$AC$3:$AC$5001,"&lt;&gt;")=0,"",SUMIFS(BD!$AC$3:$AC$5001,BD!$A$3:$A$5001,AE$3,BD!$B$3:$B$5001,$A$100)))</f>
        <v/>
      </c>
      <c r="AF116" s="236" t="str">
        <f>IF(AF$3="","",IF(COUNTIFS(BD!$A$3:$A$5001,AF$3,BD!$B$3:$B$5001,$A$100,BD!$AC$3:$AC$5001,"&lt;&gt;")=0,"",SUMIFS(BD!$AC$3:$AC$5001,BD!$A$3:$A$5001,AF$3,BD!$B$3:$B$5001,$A$100)))</f>
        <v/>
      </c>
      <c r="AG116" s="236" t="str">
        <f>IF(AG$3="","",IF(COUNTIFS(BD!$A$3:$A$5001,AG$3,BD!$B$3:$B$5001,$A$100,BD!$AC$3:$AC$5001,"&lt;&gt;")=0,"",SUMIFS(BD!$AC$3:$AC$5001,BD!$A$3:$A$5001,AG$3,BD!$B$3:$B$5001,$A$100)))</f>
        <v/>
      </c>
      <c r="AH116" s="236" t="str">
        <f>IF(AH$3="","",IF(COUNTIFS(BD!$A$3:$A$5001,AH$3,BD!$B$3:$B$5001,$A$100,BD!$AC$3:$AC$5001,"&lt;&gt;")=0,"",SUMIFS(BD!$AC$3:$AC$5001,BD!$A$3:$A$5001,AH$3,BD!$B$3:$B$5001,$A$100)))</f>
        <v/>
      </c>
      <c r="AI116" s="236" t="str">
        <f>IF(AI$3="","",IF(COUNTIFS(BD!$A$3:$A$5001,AI$3,BD!$B$3:$B$5001,$A$100,BD!$AC$3:$AC$5001,"&lt;&gt;")=0,"",SUMIFS(BD!$AC$3:$AC$5001,BD!$A$3:$A$5001,AI$3,BD!$B$3:$B$5001,$A$100)))</f>
        <v/>
      </c>
      <c r="AJ116" s="237" t="str">
        <f>IF(AJ$3="","",IF(COUNTIFS(BD!$A$3:$A$5001,AJ$3,BD!$B$3:$B$5001,$A$100,BD!$AC$3:$AC$5001,"&lt;&gt;")=0,"",SUMIFS(BD!$AC$3:$AC$5001,BD!$A$3:$A$5001,AJ$3,BD!$B$3:$B$5001,$A$100)))</f>
        <v/>
      </c>
      <c r="AK116" s="238" t="str">
        <f>IF(COUNT(F116:AJ116)=0,"",SUM(F116:AJ116))</f>
        <v/>
      </c>
    </row>
    <row r="117" ht="15.75" customHeight="1">
      <c r="A117" s="261"/>
      <c r="B117" s="258"/>
      <c r="C117" s="232" t="inlineStr">
        <is>
          <t xml:space="preserve">Férias</t>
        </is>
      </c>
      <c r="D117" s="233" t="str">
        <f>IFERROR(1/(1/INDEX(BD!$AL$51:$BF$51,MATCH($A$100,BD!$AL$22:$BF$22,0))),"")</f>
        <v/>
      </c>
      <c r="E117" s="234"/>
      <c r="F117" s="235" t="str">
        <f>IF(F$3="","",IF(COUNTIFS(BD!$A$3:$A$5001,F$3,BD!$B$3:$B$5001,$A$100,BD!$AD$3:$AD$5001,"&lt;&gt;")=0,"",SUMIFS(BD!$AD$3:$AD$5001,BD!$A$3:$A$5001,F$3,BD!$B$3:$B$5001,$A$100)))</f>
        <v/>
      </c>
      <c r="G117" s="236" t="str">
        <f>IF(G$3="","",IF(COUNTIFS(BD!$A$3:$A$5001,G$3,BD!$B$3:$B$5001,$A$100,BD!$AD$3:$AD$5001,"&lt;&gt;")=0,"",SUMIFS(BD!$AD$3:$AD$5001,BD!$A$3:$A$5001,G$3,BD!$B$3:$B$5001,$A$100)))</f>
        <v/>
      </c>
      <c r="H117" s="236" t="str">
        <f>IF(H$3="","",IF(COUNTIFS(BD!$A$3:$A$5001,H$3,BD!$B$3:$B$5001,$A$100,BD!$AD$3:$AD$5001,"&lt;&gt;")=0,"",SUMIFS(BD!$AD$3:$AD$5001,BD!$A$3:$A$5001,H$3,BD!$B$3:$B$5001,$A$100)))</f>
        <v/>
      </c>
      <c r="I117" s="236" t="str">
        <f>IF(I$3="","",IF(COUNTIFS(BD!$A$3:$A$5001,I$3,BD!$B$3:$B$5001,$A$100,BD!$AD$3:$AD$5001,"&lt;&gt;")=0,"",SUMIFS(BD!$AD$3:$AD$5001,BD!$A$3:$A$5001,I$3,BD!$B$3:$B$5001,$A$100)))</f>
        <v/>
      </c>
      <c r="J117" s="236" t="str">
        <f>IF(J$3="","",IF(COUNTIFS(BD!$A$3:$A$5001,J$3,BD!$B$3:$B$5001,$A$100,BD!$AD$3:$AD$5001,"&lt;&gt;")=0,"",SUMIFS(BD!$AD$3:$AD$5001,BD!$A$3:$A$5001,J$3,BD!$B$3:$B$5001,$A$100)))</f>
        <v/>
      </c>
      <c r="K117" s="236" t="str">
        <f>IF(K$3="","",IF(COUNTIFS(BD!$A$3:$A$5001,K$3,BD!$B$3:$B$5001,$A$100,BD!$AD$3:$AD$5001,"&lt;&gt;")=0,"",SUMIFS(BD!$AD$3:$AD$5001,BD!$A$3:$A$5001,K$3,BD!$B$3:$B$5001,$A$100)))</f>
        <v/>
      </c>
      <c r="L117" s="236" t="str">
        <f>IF(L$3="","",IF(COUNTIFS(BD!$A$3:$A$5001,L$3,BD!$B$3:$B$5001,$A$100,BD!$AD$3:$AD$5001,"&lt;&gt;")=0,"",SUMIFS(BD!$AD$3:$AD$5001,BD!$A$3:$A$5001,L$3,BD!$B$3:$B$5001,$A$100)))</f>
        <v/>
      </c>
      <c r="M117" s="236" t="str">
        <f>IF(M$3="","",IF(COUNTIFS(BD!$A$3:$A$5001,M$3,BD!$B$3:$B$5001,$A$100,BD!$AD$3:$AD$5001,"&lt;&gt;")=0,"",SUMIFS(BD!$AD$3:$AD$5001,BD!$A$3:$A$5001,M$3,BD!$B$3:$B$5001,$A$100)))</f>
        <v/>
      </c>
      <c r="N117" s="236" t="str">
        <f>IF(N$3="","",IF(COUNTIFS(BD!$A$3:$A$5001,N$3,BD!$B$3:$B$5001,$A$100,BD!$AD$3:$AD$5001,"&lt;&gt;")=0,"",SUMIFS(BD!$AD$3:$AD$5001,BD!$A$3:$A$5001,N$3,BD!$B$3:$B$5001,$A$100)))</f>
        <v/>
      </c>
      <c r="O117" s="236" t="str">
        <f>IF(O$3="","",IF(COUNTIFS(BD!$A$3:$A$5001,O$3,BD!$B$3:$B$5001,$A$100,BD!$AD$3:$AD$5001,"&lt;&gt;")=0,"",SUMIFS(BD!$AD$3:$AD$5001,BD!$A$3:$A$5001,O$3,BD!$B$3:$B$5001,$A$100)))</f>
        <v/>
      </c>
      <c r="P117" s="236" t="str">
        <f>IF(P$3="","",IF(COUNTIFS(BD!$A$3:$A$5001,P$3,BD!$B$3:$B$5001,$A$100,BD!$AD$3:$AD$5001,"&lt;&gt;")=0,"",SUMIFS(BD!$AD$3:$AD$5001,BD!$A$3:$A$5001,P$3,BD!$B$3:$B$5001,$A$100)))</f>
        <v/>
      </c>
      <c r="Q117" s="236" t="str">
        <f>IF(Q$3="","",IF(COUNTIFS(BD!$A$3:$A$5001,Q$3,BD!$B$3:$B$5001,$A$100,BD!$AD$3:$AD$5001,"&lt;&gt;")=0,"",SUMIFS(BD!$AD$3:$AD$5001,BD!$A$3:$A$5001,Q$3,BD!$B$3:$B$5001,$A$100)))</f>
        <v/>
      </c>
      <c r="R117" s="236" t="str">
        <f>IF(R$3="","",IF(COUNTIFS(BD!$A$3:$A$5001,R$3,BD!$B$3:$B$5001,$A$100,BD!$AD$3:$AD$5001,"&lt;&gt;")=0,"",SUMIFS(BD!$AD$3:$AD$5001,BD!$A$3:$A$5001,R$3,BD!$B$3:$B$5001,$A$100)))</f>
        <v/>
      </c>
      <c r="S117" s="236" t="str">
        <f>IF(S$3="","",IF(COUNTIFS(BD!$A$3:$A$5001,S$3,BD!$B$3:$B$5001,$A$100,BD!$AD$3:$AD$5001,"&lt;&gt;")=0,"",SUMIFS(BD!$AD$3:$AD$5001,BD!$A$3:$A$5001,S$3,BD!$B$3:$B$5001,$A$100)))</f>
        <v/>
      </c>
      <c r="T117" s="236" t="str">
        <f>IF(T$3="","",IF(COUNTIFS(BD!$A$3:$A$5001,T$3,BD!$B$3:$B$5001,$A$100,BD!$AD$3:$AD$5001,"&lt;&gt;")=0,"",SUMIFS(BD!$AD$3:$AD$5001,BD!$A$3:$A$5001,T$3,BD!$B$3:$B$5001,$A$100)))</f>
        <v/>
      </c>
      <c r="U117" s="236" t="str">
        <f>IF(U$3="","",IF(COUNTIFS(BD!$A$3:$A$5001,U$3,BD!$B$3:$B$5001,$A$100,BD!$AD$3:$AD$5001,"&lt;&gt;")=0,"",SUMIFS(BD!$AD$3:$AD$5001,BD!$A$3:$A$5001,U$3,BD!$B$3:$B$5001,$A$100)))</f>
        <v/>
      </c>
      <c r="V117" s="236" t="str">
        <f>IF(V$3="","",IF(COUNTIFS(BD!$A$3:$A$5001,V$3,BD!$B$3:$B$5001,$A$100,BD!$AD$3:$AD$5001,"&lt;&gt;")=0,"",SUMIFS(BD!$AD$3:$AD$5001,BD!$A$3:$A$5001,V$3,BD!$B$3:$B$5001,$A$100)))</f>
        <v/>
      </c>
      <c r="W117" s="236" t="str">
        <f>IF(W$3="","",IF(COUNTIFS(BD!$A$3:$A$5001,W$3,BD!$B$3:$B$5001,$A$100,BD!$AD$3:$AD$5001,"&lt;&gt;")=0,"",SUMIFS(BD!$AD$3:$AD$5001,BD!$A$3:$A$5001,W$3,BD!$B$3:$B$5001,$A$100)))</f>
        <v/>
      </c>
      <c r="X117" s="236" t="str">
        <f>IF(X$3="","",IF(COUNTIFS(BD!$A$3:$A$5001,X$3,BD!$B$3:$B$5001,$A$100,BD!$AD$3:$AD$5001,"&lt;&gt;")=0,"",SUMIFS(BD!$AD$3:$AD$5001,BD!$A$3:$A$5001,X$3,BD!$B$3:$B$5001,$A$100)))</f>
        <v/>
      </c>
      <c r="Y117" s="236" t="str">
        <f>IF(Y$3="","",IF(COUNTIFS(BD!$A$3:$A$5001,Y$3,BD!$B$3:$B$5001,$A$100,BD!$AD$3:$AD$5001,"&lt;&gt;")=0,"",SUMIFS(BD!$AD$3:$AD$5001,BD!$A$3:$A$5001,Y$3,BD!$B$3:$B$5001,$A$100)))</f>
        <v/>
      </c>
      <c r="Z117" s="236" t="str">
        <f>IF(Z$3="","",IF(COUNTIFS(BD!$A$3:$A$5001,Z$3,BD!$B$3:$B$5001,$A$100,BD!$AD$3:$AD$5001,"&lt;&gt;")=0,"",SUMIFS(BD!$AD$3:$AD$5001,BD!$A$3:$A$5001,Z$3,BD!$B$3:$B$5001,$A$100)))</f>
        <v/>
      </c>
      <c r="AA117" s="236" t="str">
        <f>IF(AA$3="","",IF(COUNTIFS(BD!$A$3:$A$5001,AA$3,BD!$B$3:$B$5001,$A$100,BD!$AD$3:$AD$5001,"&lt;&gt;")=0,"",SUMIFS(BD!$AD$3:$AD$5001,BD!$A$3:$A$5001,AA$3,BD!$B$3:$B$5001,$A$100)))</f>
        <v/>
      </c>
      <c r="AB117" s="236" t="str">
        <f>IF(AB$3="","",IF(COUNTIFS(BD!$A$3:$A$5001,AB$3,BD!$B$3:$B$5001,$A$100,BD!$AD$3:$AD$5001,"&lt;&gt;")=0,"",SUMIFS(BD!$AD$3:$AD$5001,BD!$A$3:$A$5001,AB$3,BD!$B$3:$B$5001,$A$100)))</f>
        <v/>
      </c>
      <c r="AC117" s="236" t="str">
        <f>IF(AC$3="","",IF(COUNTIFS(BD!$A$3:$A$5001,AC$3,BD!$B$3:$B$5001,$A$100,BD!$AD$3:$AD$5001,"&lt;&gt;")=0,"",SUMIFS(BD!$AD$3:$AD$5001,BD!$A$3:$A$5001,AC$3,BD!$B$3:$B$5001,$A$100)))</f>
        <v/>
      </c>
      <c r="AD117" s="236" t="str">
        <f>IF(AD$3="","",IF(COUNTIFS(BD!$A$3:$A$5001,AD$3,BD!$B$3:$B$5001,$A$100,BD!$AD$3:$AD$5001,"&lt;&gt;")=0,"",SUMIFS(BD!$AD$3:$AD$5001,BD!$A$3:$A$5001,AD$3,BD!$B$3:$B$5001,$A$100)))</f>
        <v/>
      </c>
      <c r="AE117" s="236" t="str">
        <f>IF(AE$3="","",IF(COUNTIFS(BD!$A$3:$A$5001,AE$3,BD!$B$3:$B$5001,$A$100,BD!$AD$3:$AD$5001,"&lt;&gt;")=0,"",SUMIFS(BD!$AD$3:$AD$5001,BD!$A$3:$A$5001,AE$3,BD!$B$3:$B$5001,$A$100)))</f>
        <v/>
      </c>
      <c r="AF117" s="236" t="str">
        <f>IF(AF$3="","",IF(COUNTIFS(BD!$A$3:$A$5001,AF$3,BD!$B$3:$B$5001,$A$100,BD!$AD$3:$AD$5001,"&lt;&gt;")=0,"",SUMIFS(BD!$AD$3:$AD$5001,BD!$A$3:$A$5001,AF$3,BD!$B$3:$B$5001,$A$100)))</f>
        <v/>
      </c>
      <c r="AG117" s="236" t="str">
        <f>IF(AG$3="","",IF(COUNTIFS(BD!$A$3:$A$5001,AG$3,BD!$B$3:$B$5001,$A$100,BD!$AD$3:$AD$5001,"&lt;&gt;")=0,"",SUMIFS(BD!$AD$3:$AD$5001,BD!$A$3:$A$5001,AG$3,BD!$B$3:$B$5001,$A$100)))</f>
        <v/>
      </c>
      <c r="AH117" s="236" t="str">
        <f>IF(AH$3="","",IF(COUNTIFS(BD!$A$3:$A$5001,AH$3,BD!$B$3:$B$5001,$A$100,BD!$AD$3:$AD$5001,"&lt;&gt;")=0,"",SUMIFS(BD!$AD$3:$AD$5001,BD!$A$3:$A$5001,AH$3,BD!$B$3:$B$5001,$A$100)))</f>
        <v/>
      </c>
      <c r="AI117" s="236" t="str">
        <f>IF(AI$3="","",IF(COUNTIFS(BD!$A$3:$A$5001,AI$3,BD!$B$3:$B$5001,$A$100,BD!$AD$3:$AD$5001,"&lt;&gt;")=0,"",SUMIFS(BD!$AD$3:$AD$5001,BD!$A$3:$A$5001,AI$3,BD!$B$3:$B$5001,$A$100)))</f>
        <v/>
      </c>
      <c r="AJ117" s="237" t="str">
        <f>IF(AJ$3="","",IF(COUNTIFS(BD!$A$3:$A$5001,AJ$3,BD!$B$3:$B$5001,$A$100,BD!$AD$3:$AD$5001,"&lt;&gt;")=0,"",SUMIFS(BD!$AD$3:$AD$5001,BD!$A$3:$A$5001,AJ$3,BD!$B$3:$B$5001,$A$100)))</f>
        <v/>
      </c>
      <c r="AK117" s="238" t="str">
        <f>IF(COUNT(F117:AJ117)=0,"",SUM(F117:AJ117))</f>
        <v/>
      </c>
    </row>
    <row r="118" ht="15.75" customHeight="1">
      <c r="A118" s="261"/>
      <c r="B118" s="258"/>
      <c r="C118" s="232" t="inlineStr">
        <is>
          <t xml:space="preserve">Desligamento</t>
        </is>
      </c>
      <c r="D118" s="233" t="str">
        <f>IFERROR(1/(1/INDEX(BD!$AL$52:$BF$52,MATCH($A$100,BD!$AL$22:$BF$22,0))),"")</f>
        <v/>
      </c>
      <c r="E118" s="234"/>
      <c r="F118" s="235" t="str">
        <f>IF(F$3="","",IF(COUNTIFS(BD!$A$3:$A$5001,F$3,BD!$B$3:$B$5001,$A$100,BD!$AE$3:$AE$5001,"&lt;&gt;")=0,"",SUMIFS(BD!$AE$3:$AE$5001,BD!$A$3:$A$5001,F$3,BD!$B$3:$B$5001,$A$100)))</f>
        <v/>
      </c>
      <c r="G118" s="236" t="str">
        <f>IF(G$3="","",IF(COUNTIFS(BD!$A$3:$A$5001,G$3,BD!$B$3:$B$5001,$A$100,BD!$AE$3:$AE$5001,"&lt;&gt;")=0,"",SUMIFS(BD!$AE$3:$AE$5001,BD!$A$3:$A$5001,G$3,BD!$B$3:$B$5001,$A$100)))</f>
        <v/>
      </c>
      <c r="H118" s="236" t="str">
        <f>IF(H$3="","",IF(COUNTIFS(BD!$A$3:$A$5001,H$3,BD!$B$3:$B$5001,$A$100,BD!$AE$3:$AE$5001,"&lt;&gt;")=0,"",SUMIFS(BD!$AE$3:$AE$5001,BD!$A$3:$A$5001,H$3,BD!$B$3:$B$5001,$A$100)))</f>
        <v/>
      </c>
      <c r="I118" s="236" t="str">
        <f>IF(I$3="","",IF(COUNTIFS(BD!$A$3:$A$5001,I$3,BD!$B$3:$B$5001,$A$100,BD!$AE$3:$AE$5001,"&lt;&gt;")=0,"",SUMIFS(BD!$AE$3:$AE$5001,BD!$A$3:$A$5001,I$3,BD!$B$3:$B$5001,$A$100)))</f>
        <v/>
      </c>
      <c r="J118" s="236" t="str">
        <f>IF(J$3="","",IF(COUNTIFS(BD!$A$3:$A$5001,J$3,BD!$B$3:$B$5001,$A$100,BD!$AE$3:$AE$5001,"&lt;&gt;")=0,"",SUMIFS(BD!$AE$3:$AE$5001,BD!$A$3:$A$5001,J$3,BD!$B$3:$B$5001,$A$100)))</f>
        <v/>
      </c>
      <c r="K118" s="236" t="str">
        <f>IF(K$3="","",IF(COUNTIFS(BD!$A$3:$A$5001,K$3,BD!$B$3:$B$5001,$A$100,BD!$AE$3:$AE$5001,"&lt;&gt;")=0,"",SUMIFS(BD!$AE$3:$AE$5001,BD!$A$3:$A$5001,K$3,BD!$B$3:$B$5001,$A$100)))</f>
        <v/>
      </c>
      <c r="L118" s="236" t="str">
        <f>IF(L$3="","",IF(COUNTIFS(BD!$A$3:$A$5001,L$3,BD!$B$3:$B$5001,$A$100,BD!$AE$3:$AE$5001,"&lt;&gt;")=0,"",SUMIFS(BD!$AE$3:$AE$5001,BD!$A$3:$A$5001,L$3,BD!$B$3:$B$5001,$A$100)))</f>
        <v/>
      </c>
      <c r="M118" s="236" t="str">
        <f>IF(M$3="","",IF(COUNTIFS(BD!$A$3:$A$5001,M$3,BD!$B$3:$B$5001,$A$100,BD!$AE$3:$AE$5001,"&lt;&gt;")=0,"",SUMIFS(BD!$AE$3:$AE$5001,BD!$A$3:$A$5001,M$3,BD!$B$3:$B$5001,$A$100)))</f>
        <v/>
      </c>
      <c r="N118" s="236" t="str">
        <f>IF(N$3="","",IF(COUNTIFS(BD!$A$3:$A$5001,N$3,BD!$B$3:$B$5001,$A$100,BD!$AE$3:$AE$5001,"&lt;&gt;")=0,"",SUMIFS(BD!$AE$3:$AE$5001,BD!$A$3:$A$5001,N$3,BD!$B$3:$B$5001,$A$100)))</f>
        <v/>
      </c>
      <c r="O118" s="236" t="str">
        <f>IF(O$3="","",IF(COUNTIFS(BD!$A$3:$A$5001,O$3,BD!$B$3:$B$5001,$A$100,BD!$AE$3:$AE$5001,"&lt;&gt;")=0,"",SUMIFS(BD!$AE$3:$AE$5001,BD!$A$3:$A$5001,O$3,BD!$B$3:$B$5001,$A$100)))</f>
        <v/>
      </c>
      <c r="P118" s="236" t="str">
        <f>IF(P$3="","",IF(COUNTIFS(BD!$A$3:$A$5001,P$3,BD!$B$3:$B$5001,$A$100,BD!$AE$3:$AE$5001,"&lt;&gt;")=0,"",SUMIFS(BD!$AE$3:$AE$5001,BD!$A$3:$A$5001,P$3,BD!$B$3:$B$5001,$A$100)))</f>
        <v/>
      </c>
      <c r="Q118" s="236" t="str">
        <f>IF(Q$3="","",IF(COUNTIFS(BD!$A$3:$A$5001,Q$3,BD!$B$3:$B$5001,$A$100,BD!$AE$3:$AE$5001,"&lt;&gt;")=0,"",SUMIFS(BD!$AE$3:$AE$5001,BD!$A$3:$A$5001,Q$3,BD!$B$3:$B$5001,$A$100)))</f>
        <v/>
      </c>
      <c r="R118" s="236" t="str">
        <f>IF(R$3="","",IF(COUNTIFS(BD!$A$3:$A$5001,R$3,BD!$B$3:$B$5001,$A$100,BD!$AE$3:$AE$5001,"&lt;&gt;")=0,"",SUMIFS(BD!$AE$3:$AE$5001,BD!$A$3:$A$5001,R$3,BD!$B$3:$B$5001,$A$100)))</f>
        <v/>
      </c>
      <c r="S118" s="236" t="str">
        <f>IF(S$3="","",IF(COUNTIFS(BD!$A$3:$A$5001,S$3,BD!$B$3:$B$5001,$A$100,BD!$AE$3:$AE$5001,"&lt;&gt;")=0,"",SUMIFS(BD!$AE$3:$AE$5001,BD!$A$3:$A$5001,S$3,BD!$B$3:$B$5001,$A$100)))</f>
        <v/>
      </c>
      <c r="T118" s="236" t="str">
        <f>IF(T$3="","",IF(COUNTIFS(BD!$A$3:$A$5001,T$3,BD!$B$3:$B$5001,$A$100,BD!$AE$3:$AE$5001,"&lt;&gt;")=0,"",SUMIFS(BD!$AE$3:$AE$5001,BD!$A$3:$A$5001,T$3,BD!$B$3:$B$5001,$A$100)))</f>
        <v/>
      </c>
      <c r="U118" s="236" t="str">
        <f>IF(U$3="","",IF(COUNTIFS(BD!$A$3:$A$5001,U$3,BD!$B$3:$B$5001,$A$100,BD!$AE$3:$AE$5001,"&lt;&gt;")=0,"",SUMIFS(BD!$AE$3:$AE$5001,BD!$A$3:$A$5001,U$3,BD!$B$3:$B$5001,$A$100)))</f>
        <v/>
      </c>
      <c r="V118" s="236" t="str">
        <f>IF(V$3="","",IF(COUNTIFS(BD!$A$3:$A$5001,V$3,BD!$B$3:$B$5001,$A$100,BD!$AE$3:$AE$5001,"&lt;&gt;")=0,"",SUMIFS(BD!$AE$3:$AE$5001,BD!$A$3:$A$5001,V$3,BD!$B$3:$B$5001,$A$100)))</f>
        <v/>
      </c>
      <c r="W118" s="236" t="str">
        <f>IF(W$3="","",IF(COUNTIFS(BD!$A$3:$A$5001,W$3,BD!$B$3:$B$5001,$A$100,BD!$AE$3:$AE$5001,"&lt;&gt;")=0,"",SUMIFS(BD!$AE$3:$AE$5001,BD!$A$3:$A$5001,W$3,BD!$B$3:$B$5001,$A$100)))</f>
        <v/>
      </c>
      <c r="X118" s="236" t="str">
        <f>IF(X$3="","",IF(COUNTIFS(BD!$A$3:$A$5001,X$3,BD!$B$3:$B$5001,$A$100,BD!$AE$3:$AE$5001,"&lt;&gt;")=0,"",SUMIFS(BD!$AE$3:$AE$5001,BD!$A$3:$A$5001,X$3,BD!$B$3:$B$5001,$A$100)))</f>
        <v/>
      </c>
      <c r="Y118" s="236" t="str">
        <f>IF(Y$3="","",IF(COUNTIFS(BD!$A$3:$A$5001,Y$3,BD!$B$3:$B$5001,$A$100,BD!$AE$3:$AE$5001,"&lt;&gt;")=0,"",SUMIFS(BD!$AE$3:$AE$5001,BD!$A$3:$A$5001,Y$3,BD!$B$3:$B$5001,$A$100)))</f>
        <v/>
      </c>
      <c r="Z118" s="236" t="str">
        <f>IF(Z$3="","",IF(COUNTIFS(BD!$A$3:$A$5001,Z$3,BD!$B$3:$B$5001,$A$100,BD!$AE$3:$AE$5001,"&lt;&gt;")=0,"",SUMIFS(BD!$AE$3:$AE$5001,BD!$A$3:$A$5001,Z$3,BD!$B$3:$B$5001,$A$100)))</f>
        <v/>
      </c>
      <c r="AA118" s="236" t="str">
        <f>IF(AA$3="","",IF(COUNTIFS(BD!$A$3:$A$5001,AA$3,BD!$B$3:$B$5001,$A$100,BD!$AE$3:$AE$5001,"&lt;&gt;")=0,"",SUMIFS(BD!$AE$3:$AE$5001,BD!$A$3:$A$5001,AA$3,BD!$B$3:$B$5001,$A$100)))</f>
        <v/>
      </c>
      <c r="AB118" s="236" t="str">
        <f>IF(AB$3="","",IF(COUNTIFS(BD!$A$3:$A$5001,AB$3,BD!$B$3:$B$5001,$A$100,BD!$AE$3:$AE$5001,"&lt;&gt;")=0,"",SUMIFS(BD!$AE$3:$AE$5001,BD!$A$3:$A$5001,AB$3,BD!$B$3:$B$5001,$A$100)))</f>
        <v/>
      </c>
      <c r="AC118" s="236" t="str">
        <f>IF(AC$3="","",IF(COUNTIFS(BD!$A$3:$A$5001,AC$3,BD!$B$3:$B$5001,$A$100,BD!$AE$3:$AE$5001,"&lt;&gt;")=0,"",SUMIFS(BD!$AE$3:$AE$5001,BD!$A$3:$A$5001,AC$3,BD!$B$3:$B$5001,$A$100)))</f>
        <v/>
      </c>
      <c r="AD118" s="236" t="str">
        <f>IF(AD$3="","",IF(COUNTIFS(BD!$A$3:$A$5001,AD$3,BD!$B$3:$B$5001,$A$100,BD!$AE$3:$AE$5001,"&lt;&gt;")=0,"",SUMIFS(BD!$AE$3:$AE$5001,BD!$A$3:$A$5001,AD$3,BD!$B$3:$B$5001,$A$100)))</f>
        <v/>
      </c>
      <c r="AE118" s="236" t="str">
        <f>IF(AE$3="","",IF(COUNTIFS(BD!$A$3:$A$5001,AE$3,BD!$B$3:$B$5001,$A$100,BD!$AE$3:$AE$5001,"&lt;&gt;")=0,"",SUMIFS(BD!$AE$3:$AE$5001,BD!$A$3:$A$5001,AE$3,BD!$B$3:$B$5001,$A$100)))</f>
        <v/>
      </c>
      <c r="AF118" s="236" t="str">
        <f>IF(AF$3="","",IF(COUNTIFS(BD!$A$3:$A$5001,AF$3,BD!$B$3:$B$5001,$A$100,BD!$AE$3:$AE$5001,"&lt;&gt;")=0,"",SUMIFS(BD!$AE$3:$AE$5001,BD!$A$3:$A$5001,AF$3,BD!$B$3:$B$5001,$A$100)))</f>
        <v/>
      </c>
      <c r="AG118" s="236" t="str">
        <f>IF(AG$3="","",IF(COUNTIFS(BD!$A$3:$A$5001,AG$3,BD!$B$3:$B$5001,$A$100,BD!$AE$3:$AE$5001,"&lt;&gt;")=0,"",SUMIFS(BD!$AE$3:$AE$5001,BD!$A$3:$A$5001,AG$3,BD!$B$3:$B$5001,$A$100)))</f>
        <v/>
      </c>
      <c r="AH118" s="236" t="str">
        <f>IF(AH$3="","",IF(COUNTIFS(BD!$A$3:$A$5001,AH$3,BD!$B$3:$B$5001,$A$100,BD!$AE$3:$AE$5001,"&lt;&gt;")=0,"",SUMIFS(BD!$AE$3:$AE$5001,BD!$A$3:$A$5001,AH$3,BD!$B$3:$B$5001,$A$100)))</f>
        <v/>
      </c>
      <c r="AI118" s="236" t="str">
        <f>IF(AI$3="","",IF(COUNTIFS(BD!$A$3:$A$5001,AI$3,BD!$B$3:$B$5001,$A$100,BD!$AE$3:$AE$5001,"&lt;&gt;")=0,"",SUMIFS(BD!$AE$3:$AE$5001,BD!$A$3:$A$5001,AI$3,BD!$B$3:$B$5001,$A$100)))</f>
        <v/>
      </c>
      <c r="AJ118" s="237" t="str">
        <f>IF(AJ$3="","",IF(COUNTIFS(BD!$A$3:$A$5001,AJ$3,BD!$B$3:$B$5001,$A$100,BD!$AE$3:$AE$5001,"&lt;&gt;")=0,"",SUMIFS(BD!$AE$3:$AE$5001,BD!$A$3:$A$5001,AJ$3,BD!$B$3:$B$5001,$A$100)))</f>
        <v/>
      </c>
      <c r="AK118" s="238" t="str">
        <f>IF(COUNT(F118:AJ118)=0,"",SUM(F118:AJ118))</f>
        <v/>
      </c>
    </row>
    <row r="119" ht="15.75" customHeight="1">
      <c r="A119" s="261"/>
      <c r="B119" s="258"/>
      <c r="C119" s="232" t="inlineStr">
        <is>
          <t xml:space="preserve">Desvios Comportamentais</t>
        </is>
      </c>
      <c r="D119" s="233" t="str">
        <f>IFERROR(1/(1/INDEX(BD!$AL$53:$BF$53,MATCH($A$100,BD!$AL$22:$BF$22,0))),"")</f>
        <v/>
      </c>
      <c r="E119" s="234"/>
      <c r="F119" s="235" t="str">
        <f>IF(F$3="","",IF(COUNTIFS(BD!$A$3:$A$5001,F$3,BD!$B$3:$B$5001,$A$100,BD!$AF$3:$AF$5001,"&lt;&gt;")=0,"",SUMIFS(BD!$AF$3:$AF$5001,BD!$A$3:$A$5001,F$3,BD!$B$3:$B$5001,$A$100)))</f>
        <v/>
      </c>
      <c r="G119" s="236" t="str">
        <f>IF(G$3="","",IF(COUNTIFS(BD!$A$3:$A$5001,G$3,BD!$B$3:$B$5001,$A$100,BD!$AF$3:$AF$5001,"&lt;&gt;")=0,"",SUMIFS(BD!$AF$3:$AF$5001,BD!$A$3:$A$5001,G$3,BD!$B$3:$B$5001,$A$100)))</f>
        <v/>
      </c>
      <c r="H119" s="236" t="str">
        <f>IF(H$3="","",IF(COUNTIFS(BD!$A$3:$A$5001,H$3,BD!$B$3:$B$5001,$A$100,BD!$AF$3:$AF$5001,"&lt;&gt;")=0,"",SUMIFS(BD!$AF$3:$AF$5001,BD!$A$3:$A$5001,H$3,BD!$B$3:$B$5001,$A$100)))</f>
        <v/>
      </c>
      <c r="I119" s="236" t="str">
        <f>IF(I$3="","",IF(COUNTIFS(BD!$A$3:$A$5001,I$3,BD!$B$3:$B$5001,$A$100,BD!$AF$3:$AF$5001,"&lt;&gt;")=0,"",SUMIFS(BD!$AF$3:$AF$5001,BD!$A$3:$A$5001,I$3,BD!$B$3:$B$5001,$A$100)))</f>
        <v/>
      </c>
      <c r="J119" s="236" t="str">
        <f>IF(J$3="","",IF(COUNTIFS(BD!$A$3:$A$5001,J$3,BD!$B$3:$B$5001,$A$100,BD!$AF$3:$AF$5001,"&lt;&gt;")=0,"",SUMIFS(BD!$AF$3:$AF$5001,BD!$A$3:$A$5001,J$3,BD!$B$3:$B$5001,$A$100)))</f>
        <v/>
      </c>
      <c r="K119" s="236" t="str">
        <f>IF(K$3="","",IF(COUNTIFS(BD!$A$3:$A$5001,K$3,BD!$B$3:$B$5001,$A$100,BD!$AF$3:$AF$5001,"&lt;&gt;")=0,"",SUMIFS(BD!$AF$3:$AF$5001,BD!$A$3:$A$5001,K$3,BD!$B$3:$B$5001,$A$100)))</f>
        <v/>
      </c>
      <c r="L119" s="236" t="str">
        <f>IF(L$3="","",IF(COUNTIFS(BD!$A$3:$A$5001,L$3,BD!$B$3:$B$5001,$A$100,BD!$AF$3:$AF$5001,"&lt;&gt;")=0,"",SUMIFS(BD!$AF$3:$AF$5001,BD!$A$3:$A$5001,L$3,BD!$B$3:$B$5001,$A$100)))</f>
        <v/>
      </c>
      <c r="M119" s="236" t="str">
        <f>IF(M$3="","",IF(COUNTIFS(BD!$A$3:$A$5001,M$3,BD!$B$3:$B$5001,$A$100,BD!$AF$3:$AF$5001,"&lt;&gt;")=0,"",SUMIFS(BD!$AF$3:$AF$5001,BD!$A$3:$A$5001,M$3,BD!$B$3:$B$5001,$A$100)))</f>
        <v/>
      </c>
      <c r="N119" s="236" t="str">
        <f>IF(N$3="","",IF(COUNTIFS(BD!$A$3:$A$5001,N$3,BD!$B$3:$B$5001,$A$100,BD!$AF$3:$AF$5001,"&lt;&gt;")=0,"",SUMIFS(BD!$AF$3:$AF$5001,BD!$A$3:$A$5001,N$3,BD!$B$3:$B$5001,$A$100)))</f>
        <v/>
      </c>
      <c r="O119" s="236" t="str">
        <f>IF(O$3="","",IF(COUNTIFS(BD!$A$3:$A$5001,O$3,BD!$B$3:$B$5001,$A$100,BD!$AF$3:$AF$5001,"&lt;&gt;")=0,"",SUMIFS(BD!$AF$3:$AF$5001,BD!$A$3:$A$5001,O$3,BD!$B$3:$B$5001,$A$100)))</f>
        <v/>
      </c>
      <c r="P119" s="236" t="str">
        <f>IF(P$3="","",IF(COUNTIFS(BD!$A$3:$A$5001,P$3,BD!$B$3:$B$5001,$A$100,BD!$AF$3:$AF$5001,"&lt;&gt;")=0,"",SUMIFS(BD!$AF$3:$AF$5001,BD!$A$3:$A$5001,P$3,BD!$B$3:$B$5001,$A$100)))</f>
        <v/>
      </c>
      <c r="Q119" s="236" t="str">
        <f>IF(Q$3="","",IF(COUNTIFS(BD!$A$3:$A$5001,Q$3,BD!$B$3:$B$5001,$A$100,BD!$AF$3:$AF$5001,"&lt;&gt;")=0,"",SUMIFS(BD!$AF$3:$AF$5001,BD!$A$3:$A$5001,Q$3,BD!$B$3:$B$5001,$A$100)))</f>
        <v/>
      </c>
      <c r="R119" s="236" t="str">
        <f>IF(R$3="","",IF(COUNTIFS(BD!$A$3:$A$5001,R$3,BD!$B$3:$B$5001,$A$100,BD!$AF$3:$AF$5001,"&lt;&gt;")=0,"",SUMIFS(BD!$AF$3:$AF$5001,BD!$A$3:$A$5001,R$3,BD!$B$3:$B$5001,$A$100)))</f>
        <v/>
      </c>
      <c r="S119" s="236" t="str">
        <f>IF(S$3="","",IF(COUNTIFS(BD!$A$3:$A$5001,S$3,BD!$B$3:$B$5001,$A$100,BD!$AF$3:$AF$5001,"&lt;&gt;")=0,"",SUMIFS(BD!$AF$3:$AF$5001,BD!$A$3:$A$5001,S$3,BD!$B$3:$B$5001,$A$100)))</f>
        <v/>
      </c>
      <c r="T119" s="236" t="str">
        <f>IF(T$3="","",IF(COUNTIFS(BD!$A$3:$A$5001,T$3,BD!$B$3:$B$5001,$A$100,BD!$AF$3:$AF$5001,"&lt;&gt;")=0,"",SUMIFS(BD!$AF$3:$AF$5001,BD!$A$3:$A$5001,T$3,BD!$B$3:$B$5001,$A$100)))</f>
        <v/>
      </c>
      <c r="U119" s="236" t="str">
        <f>IF(U$3="","",IF(COUNTIFS(BD!$A$3:$A$5001,U$3,BD!$B$3:$B$5001,$A$100,BD!$AF$3:$AF$5001,"&lt;&gt;")=0,"",SUMIFS(BD!$AF$3:$AF$5001,BD!$A$3:$A$5001,U$3,BD!$B$3:$B$5001,$A$100)))</f>
        <v/>
      </c>
      <c r="V119" s="236" t="str">
        <f>IF(V$3="","",IF(COUNTIFS(BD!$A$3:$A$5001,V$3,BD!$B$3:$B$5001,$A$100,BD!$AF$3:$AF$5001,"&lt;&gt;")=0,"",SUMIFS(BD!$AF$3:$AF$5001,BD!$A$3:$A$5001,V$3,BD!$B$3:$B$5001,$A$100)))</f>
        <v/>
      </c>
      <c r="W119" s="236" t="str">
        <f>IF(W$3="","",IF(COUNTIFS(BD!$A$3:$A$5001,W$3,BD!$B$3:$B$5001,$A$100,BD!$AF$3:$AF$5001,"&lt;&gt;")=0,"",SUMIFS(BD!$AF$3:$AF$5001,BD!$A$3:$A$5001,W$3,BD!$B$3:$B$5001,$A$100)))</f>
        <v/>
      </c>
      <c r="X119" s="236" t="str">
        <f>IF(X$3="","",IF(COUNTIFS(BD!$A$3:$A$5001,X$3,BD!$B$3:$B$5001,$A$100,BD!$AF$3:$AF$5001,"&lt;&gt;")=0,"",SUMIFS(BD!$AF$3:$AF$5001,BD!$A$3:$A$5001,X$3,BD!$B$3:$B$5001,$A$100)))</f>
        <v/>
      </c>
      <c r="Y119" s="236" t="str">
        <f>IF(Y$3="","",IF(COUNTIFS(BD!$A$3:$A$5001,Y$3,BD!$B$3:$B$5001,$A$100,BD!$AF$3:$AF$5001,"&lt;&gt;")=0,"",SUMIFS(BD!$AF$3:$AF$5001,BD!$A$3:$A$5001,Y$3,BD!$B$3:$B$5001,$A$100)))</f>
        <v/>
      </c>
      <c r="Z119" s="236" t="str">
        <f>IF(Z$3="","",IF(COUNTIFS(BD!$A$3:$A$5001,Z$3,BD!$B$3:$B$5001,$A$100,BD!$AF$3:$AF$5001,"&lt;&gt;")=0,"",SUMIFS(BD!$AF$3:$AF$5001,BD!$A$3:$A$5001,Z$3,BD!$B$3:$B$5001,$A$100)))</f>
        <v/>
      </c>
      <c r="AA119" s="236" t="str">
        <f>IF(AA$3="","",IF(COUNTIFS(BD!$A$3:$A$5001,AA$3,BD!$B$3:$B$5001,$A$100,BD!$AF$3:$AF$5001,"&lt;&gt;")=0,"",SUMIFS(BD!$AF$3:$AF$5001,BD!$A$3:$A$5001,AA$3,BD!$B$3:$B$5001,$A$100)))</f>
        <v/>
      </c>
      <c r="AB119" s="236" t="str">
        <f>IF(AB$3="","",IF(COUNTIFS(BD!$A$3:$A$5001,AB$3,BD!$B$3:$B$5001,$A$100,BD!$AF$3:$AF$5001,"&lt;&gt;")=0,"",SUMIFS(BD!$AF$3:$AF$5001,BD!$A$3:$A$5001,AB$3,BD!$B$3:$B$5001,$A$100)))</f>
        <v/>
      </c>
      <c r="AC119" s="236" t="str">
        <f>IF(AC$3="","",IF(COUNTIFS(BD!$A$3:$A$5001,AC$3,BD!$B$3:$B$5001,$A$100,BD!$AF$3:$AF$5001,"&lt;&gt;")=0,"",SUMIFS(BD!$AF$3:$AF$5001,BD!$A$3:$A$5001,AC$3,BD!$B$3:$B$5001,$A$100)))</f>
        <v/>
      </c>
      <c r="AD119" s="236" t="str">
        <f>IF(AD$3="","",IF(COUNTIFS(BD!$A$3:$A$5001,AD$3,BD!$B$3:$B$5001,$A$100,BD!$AF$3:$AF$5001,"&lt;&gt;")=0,"",SUMIFS(BD!$AF$3:$AF$5001,BD!$A$3:$A$5001,AD$3,BD!$B$3:$B$5001,$A$100)))</f>
        <v/>
      </c>
      <c r="AE119" s="236" t="str">
        <f>IF(AE$3="","",IF(COUNTIFS(BD!$A$3:$A$5001,AE$3,BD!$B$3:$B$5001,$A$100,BD!$AF$3:$AF$5001,"&lt;&gt;")=0,"",SUMIFS(BD!$AF$3:$AF$5001,BD!$A$3:$A$5001,AE$3,BD!$B$3:$B$5001,$A$100)))</f>
        <v/>
      </c>
      <c r="AF119" s="236" t="str">
        <f>IF(AF$3="","",IF(COUNTIFS(BD!$A$3:$A$5001,AF$3,BD!$B$3:$B$5001,$A$100,BD!$AF$3:$AF$5001,"&lt;&gt;")=0,"",SUMIFS(BD!$AF$3:$AF$5001,BD!$A$3:$A$5001,AF$3,BD!$B$3:$B$5001,$A$100)))</f>
        <v/>
      </c>
      <c r="AG119" s="236" t="str">
        <f>IF(AG$3="","",IF(COUNTIFS(BD!$A$3:$A$5001,AG$3,BD!$B$3:$B$5001,$A$100,BD!$AF$3:$AF$5001,"&lt;&gt;")=0,"",SUMIFS(BD!$AF$3:$AF$5001,BD!$A$3:$A$5001,AG$3,BD!$B$3:$B$5001,$A$100)))</f>
        <v/>
      </c>
      <c r="AH119" s="236" t="str">
        <f>IF(AH$3="","",IF(COUNTIFS(BD!$A$3:$A$5001,AH$3,BD!$B$3:$B$5001,$A$100,BD!$AF$3:$AF$5001,"&lt;&gt;")=0,"",SUMIFS(BD!$AF$3:$AF$5001,BD!$A$3:$A$5001,AH$3,BD!$B$3:$B$5001,$A$100)))</f>
        <v/>
      </c>
      <c r="AI119" s="236" t="str">
        <f>IF(AI$3="","",IF(COUNTIFS(BD!$A$3:$A$5001,AI$3,BD!$B$3:$B$5001,$A$100,BD!$AF$3:$AF$5001,"&lt;&gt;")=0,"",SUMIFS(BD!$AF$3:$AF$5001,BD!$A$3:$A$5001,AI$3,BD!$B$3:$B$5001,$A$100)))</f>
        <v/>
      </c>
      <c r="AJ119" s="237" t="str">
        <f>IF(AJ$3="","",IF(COUNTIFS(BD!$A$3:$A$5001,AJ$3,BD!$B$3:$B$5001,$A$100,BD!$AF$3:$AF$5001,"&lt;&gt;")=0,"",SUMIFS(BD!$AF$3:$AF$5001,BD!$A$3:$A$5001,AJ$3,BD!$B$3:$B$5001,$A$100)))</f>
        <v/>
      </c>
      <c r="AK119" s="238" t="str">
        <f>IF(COUNT(F119:AJ119)=0,"",SUM(F119:AJ119))</f>
        <v/>
      </c>
    </row>
    <row r="120" ht="15.75" customHeight="1">
      <c r="A120" s="261"/>
      <c r="B120" s="258"/>
      <c r="C120" s="232" t="inlineStr">
        <is>
          <t xml:space="preserve">Acidentes CAF</t>
        </is>
      </c>
      <c r="D120" s="233" t="str">
        <f>IFERROR(1/(1/INDEX(BD!$AL$54:$BF$54,MATCH($A$100,BD!$AL$22:$BF$22,0))),"")</f>
        <v/>
      </c>
      <c r="E120" s="234"/>
      <c r="F120" s="235" t="str">
        <f>IF(F$3="","",IF(COUNTIFS(BD!$A$3:$A$5001,F$3,BD!$B$3:$B$5001,$A$100,BD!$AG$3:$AG$5001,"&lt;&gt;")=0,"",SUMIFS(BD!$AG$3:$AG$5001,BD!$A$3:$A$5001,F$3,BD!$B$3:$B$5001,$A$100)))</f>
        <v/>
      </c>
      <c r="G120" s="236" t="str">
        <f>IF(G$3="","",IF(COUNTIFS(BD!$A$3:$A$5001,G$3,BD!$B$3:$B$5001,$A$100,BD!$AG$3:$AG$5001,"&lt;&gt;")=0,"",SUMIFS(BD!$AG$3:$AG$5001,BD!$A$3:$A$5001,G$3,BD!$B$3:$B$5001,$A$100)))</f>
        <v/>
      </c>
      <c r="H120" s="236" t="str">
        <f>IF(H$3="","",IF(COUNTIFS(BD!$A$3:$A$5001,H$3,BD!$B$3:$B$5001,$A$100,BD!$AG$3:$AG$5001,"&lt;&gt;")=0,"",SUMIFS(BD!$AG$3:$AG$5001,BD!$A$3:$A$5001,H$3,BD!$B$3:$B$5001,$A$100)))</f>
        <v/>
      </c>
      <c r="I120" s="236" t="str">
        <f>IF(I$3="","",IF(COUNTIFS(BD!$A$3:$A$5001,I$3,BD!$B$3:$B$5001,$A$100,BD!$AG$3:$AG$5001,"&lt;&gt;")=0,"",SUMIFS(BD!$AG$3:$AG$5001,BD!$A$3:$A$5001,I$3,BD!$B$3:$B$5001,$A$100)))</f>
        <v/>
      </c>
      <c r="J120" s="236" t="str">
        <f>IF(J$3="","",IF(COUNTIFS(BD!$A$3:$A$5001,J$3,BD!$B$3:$B$5001,$A$100,BD!$AG$3:$AG$5001,"&lt;&gt;")=0,"",SUMIFS(BD!$AG$3:$AG$5001,BD!$A$3:$A$5001,J$3,BD!$B$3:$B$5001,$A$100)))</f>
        <v/>
      </c>
      <c r="K120" s="236" t="str">
        <f>IF(K$3="","",IF(COUNTIFS(BD!$A$3:$A$5001,K$3,BD!$B$3:$B$5001,$A$100,BD!$AG$3:$AG$5001,"&lt;&gt;")=0,"",SUMIFS(BD!$AG$3:$AG$5001,BD!$A$3:$A$5001,K$3,BD!$B$3:$B$5001,$A$100)))</f>
        <v/>
      </c>
      <c r="L120" s="236" t="str">
        <f>IF(L$3="","",IF(COUNTIFS(BD!$A$3:$A$5001,L$3,BD!$B$3:$B$5001,$A$100,BD!$AG$3:$AG$5001,"&lt;&gt;")=0,"",SUMIFS(BD!$AG$3:$AG$5001,BD!$A$3:$A$5001,L$3,BD!$B$3:$B$5001,$A$100)))</f>
        <v/>
      </c>
      <c r="M120" s="236" t="str">
        <f>IF(M$3="","",IF(COUNTIFS(BD!$A$3:$A$5001,M$3,BD!$B$3:$B$5001,$A$100,BD!$AG$3:$AG$5001,"&lt;&gt;")=0,"",SUMIFS(BD!$AG$3:$AG$5001,BD!$A$3:$A$5001,M$3,BD!$B$3:$B$5001,$A$100)))</f>
        <v/>
      </c>
      <c r="N120" s="236" t="str">
        <f>IF(N$3="","",IF(COUNTIFS(BD!$A$3:$A$5001,N$3,BD!$B$3:$B$5001,$A$100,BD!$AG$3:$AG$5001,"&lt;&gt;")=0,"",SUMIFS(BD!$AG$3:$AG$5001,BD!$A$3:$A$5001,N$3,BD!$B$3:$B$5001,$A$100)))</f>
        <v/>
      </c>
      <c r="O120" s="236" t="str">
        <f>IF(O$3="","",IF(COUNTIFS(BD!$A$3:$A$5001,O$3,BD!$B$3:$B$5001,$A$100,BD!$AG$3:$AG$5001,"&lt;&gt;")=0,"",SUMIFS(BD!$AG$3:$AG$5001,BD!$A$3:$A$5001,O$3,BD!$B$3:$B$5001,$A$100)))</f>
        <v/>
      </c>
      <c r="P120" s="236" t="str">
        <f>IF(P$3="","",IF(COUNTIFS(BD!$A$3:$A$5001,P$3,BD!$B$3:$B$5001,$A$100,BD!$AG$3:$AG$5001,"&lt;&gt;")=0,"",SUMIFS(BD!$AG$3:$AG$5001,BD!$A$3:$A$5001,P$3,BD!$B$3:$B$5001,$A$100)))</f>
        <v/>
      </c>
      <c r="Q120" s="236" t="str">
        <f>IF(Q$3="","",IF(COUNTIFS(BD!$A$3:$A$5001,Q$3,BD!$B$3:$B$5001,$A$100,BD!$AG$3:$AG$5001,"&lt;&gt;")=0,"",SUMIFS(BD!$AG$3:$AG$5001,BD!$A$3:$A$5001,Q$3,BD!$B$3:$B$5001,$A$100)))</f>
        <v/>
      </c>
      <c r="R120" s="236" t="str">
        <f>IF(R$3="","",IF(COUNTIFS(BD!$A$3:$A$5001,R$3,BD!$B$3:$B$5001,$A$100,BD!$AG$3:$AG$5001,"&lt;&gt;")=0,"",SUMIFS(BD!$AG$3:$AG$5001,BD!$A$3:$A$5001,R$3,BD!$B$3:$B$5001,$A$100)))</f>
        <v/>
      </c>
      <c r="S120" s="236" t="str">
        <f>IF(S$3="","",IF(COUNTIFS(BD!$A$3:$A$5001,S$3,BD!$B$3:$B$5001,$A$100,BD!$AG$3:$AG$5001,"&lt;&gt;")=0,"",SUMIFS(BD!$AG$3:$AG$5001,BD!$A$3:$A$5001,S$3,BD!$B$3:$B$5001,$A$100)))</f>
        <v/>
      </c>
      <c r="T120" s="236" t="str">
        <f>IF(T$3="","",IF(COUNTIFS(BD!$A$3:$A$5001,T$3,BD!$B$3:$B$5001,$A$100,BD!$AG$3:$AG$5001,"&lt;&gt;")=0,"",SUMIFS(BD!$AG$3:$AG$5001,BD!$A$3:$A$5001,T$3,BD!$B$3:$B$5001,$A$100)))</f>
        <v/>
      </c>
      <c r="U120" s="236" t="str">
        <f>IF(U$3="","",IF(COUNTIFS(BD!$A$3:$A$5001,U$3,BD!$B$3:$B$5001,$A$100,BD!$AG$3:$AG$5001,"&lt;&gt;")=0,"",SUMIFS(BD!$AG$3:$AG$5001,BD!$A$3:$A$5001,U$3,BD!$B$3:$B$5001,$A$100)))</f>
        <v/>
      </c>
      <c r="V120" s="236" t="str">
        <f>IF(V$3="","",IF(COUNTIFS(BD!$A$3:$A$5001,V$3,BD!$B$3:$B$5001,$A$100,BD!$AG$3:$AG$5001,"&lt;&gt;")=0,"",SUMIFS(BD!$AG$3:$AG$5001,BD!$A$3:$A$5001,V$3,BD!$B$3:$B$5001,$A$100)))</f>
        <v/>
      </c>
      <c r="W120" s="236" t="str">
        <f>IF(W$3="","",IF(COUNTIFS(BD!$A$3:$A$5001,W$3,BD!$B$3:$B$5001,$A$100,BD!$AG$3:$AG$5001,"&lt;&gt;")=0,"",SUMIFS(BD!$AG$3:$AG$5001,BD!$A$3:$A$5001,W$3,BD!$B$3:$B$5001,$A$100)))</f>
        <v/>
      </c>
      <c r="X120" s="236" t="str">
        <f>IF(X$3="","",IF(COUNTIFS(BD!$A$3:$A$5001,X$3,BD!$B$3:$B$5001,$A$100,BD!$AG$3:$AG$5001,"&lt;&gt;")=0,"",SUMIFS(BD!$AG$3:$AG$5001,BD!$A$3:$A$5001,X$3,BD!$B$3:$B$5001,$A$100)))</f>
        <v/>
      </c>
      <c r="Y120" s="236" t="str">
        <f>IF(Y$3="","",IF(COUNTIFS(BD!$A$3:$A$5001,Y$3,BD!$B$3:$B$5001,$A$100,BD!$AG$3:$AG$5001,"&lt;&gt;")=0,"",SUMIFS(BD!$AG$3:$AG$5001,BD!$A$3:$A$5001,Y$3,BD!$B$3:$B$5001,$A$100)))</f>
        <v/>
      </c>
      <c r="Z120" s="236" t="str">
        <f>IF(Z$3="","",IF(COUNTIFS(BD!$A$3:$A$5001,Z$3,BD!$B$3:$B$5001,$A$100,BD!$AG$3:$AG$5001,"&lt;&gt;")=0,"",SUMIFS(BD!$AG$3:$AG$5001,BD!$A$3:$A$5001,Z$3,BD!$B$3:$B$5001,$A$100)))</f>
        <v/>
      </c>
      <c r="AA120" s="236" t="str">
        <f>IF(AA$3="","",IF(COUNTIFS(BD!$A$3:$A$5001,AA$3,BD!$B$3:$B$5001,$A$100,BD!$AG$3:$AG$5001,"&lt;&gt;")=0,"",SUMIFS(BD!$AG$3:$AG$5001,BD!$A$3:$A$5001,AA$3,BD!$B$3:$B$5001,$A$100)))</f>
        <v/>
      </c>
      <c r="AB120" s="236" t="str">
        <f>IF(AB$3="","",IF(COUNTIFS(BD!$A$3:$A$5001,AB$3,BD!$B$3:$B$5001,$A$100,BD!$AG$3:$AG$5001,"&lt;&gt;")=0,"",SUMIFS(BD!$AG$3:$AG$5001,BD!$A$3:$A$5001,AB$3,BD!$B$3:$B$5001,$A$100)))</f>
        <v/>
      </c>
      <c r="AC120" s="236" t="str">
        <f>IF(AC$3="","",IF(COUNTIFS(BD!$A$3:$A$5001,AC$3,BD!$B$3:$B$5001,$A$100,BD!$AG$3:$AG$5001,"&lt;&gt;")=0,"",SUMIFS(BD!$AG$3:$AG$5001,BD!$A$3:$A$5001,AC$3,BD!$B$3:$B$5001,$A$100)))</f>
        <v/>
      </c>
      <c r="AD120" s="236" t="str">
        <f>IF(AD$3="","",IF(COUNTIFS(BD!$A$3:$A$5001,AD$3,BD!$B$3:$B$5001,$A$100,BD!$AG$3:$AG$5001,"&lt;&gt;")=0,"",SUMIFS(BD!$AG$3:$AG$5001,BD!$A$3:$A$5001,AD$3,BD!$B$3:$B$5001,$A$100)))</f>
        <v/>
      </c>
      <c r="AE120" s="236" t="str">
        <f>IF(AE$3="","",IF(COUNTIFS(BD!$A$3:$A$5001,AE$3,BD!$B$3:$B$5001,$A$100,BD!$AG$3:$AG$5001,"&lt;&gt;")=0,"",SUMIFS(BD!$AG$3:$AG$5001,BD!$A$3:$A$5001,AE$3,BD!$B$3:$B$5001,$A$100)))</f>
        <v/>
      </c>
      <c r="AF120" s="236" t="str">
        <f>IF(AF$3="","",IF(COUNTIFS(BD!$A$3:$A$5001,AF$3,BD!$B$3:$B$5001,$A$100,BD!$AG$3:$AG$5001,"&lt;&gt;")=0,"",SUMIFS(BD!$AG$3:$AG$5001,BD!$A$3:$A$5001,AF$3,BD!$B$3:$B$5001,$A$100)))</f>
        <v/>
      </c>
      <c r="AG120" s="236" t="str">
        <f>IF(AG$3="","",IF(COUNTIFS(BD!$A$3:$A$5001,AG$3,BD!$B$3:$B$5001,$A$100,BD!$AG$3:$AG$5001,"&lt;&gt;")=0,"",SUMIFS(BD!$AG$3:$AG$5001,BD!$A$3:$A$5001,AG$3,BD!$B$3:$B$5001,$A$100)))</f>
        <v/>
      </c>
      <c r="AH120" s="236" t="str">
        <f>IF(AH$3="","",IF(COUNTIFS(BD!$A$3:$A$5001,AH$3,BD!$B$3:$B$5001,$A$100,BD!$AG$3:$AG$5001,"&lt;&gt;")=0,"",SUMIFS(BD!$AG$3:$AG$5001,BD!$A$3:$A$5001,AH$3,BD!$B$3:$B$5001,$A$100)))</f>
        <v/>
      </c>
      <c r="AI120" s="236" t="str">
        <f>IF(AI$3="","",IF(COUNTIFS(BD!$A$3:$A$5001,AI$3,BD!$B$3:$B$5001,$A$100,BD!$AG$3:$AG$5001,"&lt;&gt;")=0,"",SUMIFS(BD!$AG$3:$AG$5001,BD!$A$3:$A$5001,AI$3,BD!$B$3:$B$5001,$A$100)))</f>
        <v/>
      </c>
      <c r="AJ120" s="237" t="str">
        <f>IF(AJ$3="","",IF(COUNTIFS(BD!$A$3:$A$5001,AJ$3,BD!$B$3:$B$5001,$A$100,BD!$AG$3:$AG$5001,"&lt;&gt;")=0,"",SUMIFS(BD!$AG$3:$AG$5001,BD!$A$3:$A$5001,AJ$3,BD!$B$3:$B$5001,$A$100)))</f>
        <v/>
      </c>
      <c r="AK120" s="238" t="str">
        <f>IF(COUNT(F120:AJ120)=0,"",SUM(F120:AJ120))</f>
        <v/>
      </c>
    </row>
    <row r="121" ht="15.75" customHeight="1">
      <c r="A121" s="262"/>
      <c r="B121" s="259"/>
      <c r="C121" s="243" t="inlineStr">
        <is>
          <t xml:space="preserve">Acidentes SAF</t>
        </is>
      </c>
      <c r="D121" s="244" t="str">
        <f>IFERROR(1/(1/INDEX(BD!$AL$55:$BF$55,MATCH($A$100,BD!$AL$22:$BF$22,0))),"")</f>
        <v/>
      </c>
      <c r="E121" s="245"/>
      <c r="F121" s="246" t="str">
        <f>IF(F$3="","",IF(COUNTIFS(BD!$A$3:$A$5001,F$3,BD!$B$3:$B$5001,$A$100,BD!$AH$3:$AH$5001,"&lt;&gt;")=0,"",SUMIFS(BD!$AH$3:$AH$5001,BD!$A$3:$A$5001,F$3,BD!$B$3:$B$5001,$A$100)))</f>
        <v/>
      </c>
      <c r="G121" s="247" t="str">
        <f>IF(G$3="","",IF(COUNTIFS(BD!$A$3:$A$5001,G$3,BD!$B$3:$B$5001,$A$100,BD!$AH$3:$AH$5001,"&lt;&gt;")=0,"",SUMIFS(BD!$AH$3:$AH$5001,BD!$A$3:$A$5001,G$3,BD!$B$3:$B$5001,$A$100)))</f>
        <v/>
      </c>
      <c r="H121" s="247" t="str">
        <f>IF(H$3="","",IF(COUNTIFS(BD!$A$3:$A$5001,H$3,BD!$B$3:$B$5001,$A$100,BD!$AH$3:$AH$5001,"&lt;&gt;")=0,"",SUMIFS(BD!$AH$3:$AH$5001,BD!$A$3:$A$5001,H$3,BD!$B$3:$B$5001,$A$100)))</f>
        <v/>
      </c>
      <c r="I121" s="247" t="str">
        <f>IF(I$3="","",IF(COUNTIFS(BD!$A$3:$A$5001,I$3,BD!$B$3:$B$5001,$A$100,BD!$AH$3:$AH$5001,"&lt;&gt;")=0,"",SUMIFS(BD!$AH$3:$AH$5001,BD!$A$3:$A$5001,I$3,BD!$B$3:$B$5001,$A$100)))</f>
        <v/>
      </c>
      <c r="J121" s="247" t="str">
        <f>IF(J$3="","",IF(COUNTIFS(BD!$A$3:$A$5001,J$3,BD!$B$3:$B$5001,$A$100,BD!$AH$3:$AH$5001,"&lt;&gt;")=0,"",SUMIFS(BD!$AH$3:$AH$5001,BD!$A$3:$A$5001,J$3,BD!$B$3:$B$5001,$A$100)))</f>
        <v/>
      </c>
      <c r="K121" s="247" t="str">
        <f>IF(K$3="","",IF(COUNTIFS(BD!$A$3:$A$5001,K$3,BD!$B$3:$B$5001,$A$100,BD!$AH$3:$AH$5001,"&lt;&gt;")=0,"",SUMIFS(BD!$AH$3:$AH$5001,BD!$A$3:$A$5001,K$3,BD!$B$3:$B$5001,$A$100)))</f>
        <v/>
      </c>
      <c r="L121" s="247" t="str">
        <f>IF(L$3="","",IF(COUNTIFS(BD!$A$3:$A$5001,L$3,BD!$B$3:$B$5001,$A$100,BD!$AH$3:$AH$5001,"&lt;&gt;")=0,"",SUMIFS(BD!$AH$3:$AH$5001,BD!$A$3:$A$5001,L$3,BD!$B$3:$B$5001,$A$100)))</f>
        <v/>
      </c>
      <c r="M121" s="247" t="str">
        <f>IF(M$3="","",IF(COUNTIFS(BD!$A$3:$A$5001,M$3,BD!$B$3:$B$5001,$A$100,BD!$AH$3:$AH$5001,"&lt;&gt;")=0,"",SUMIFS(BD!$AH$3:$AH$5001,BD!$A$3:$A$5001,M$3,BD!$B$3:$B$5001,$A$100)))</f>
        <v/>
      </c>
      <c r="N121" s="247" t="str">
        <f>IF(N$3="","",IF(COUNTIFS(BD!$A$3:$A$5001,N$3,BD!$B$3:$B$5001,$A$100,BD!$AH$3:$AH$5001,"&lt;&gt;")=0,"",SUMIFS(BD!$AH$3:$AH$5001,BD!$A$3:$A$5001,N$3,BD!$B$3:$B$5001,$A$100)))</f>
        <v/>
      </c>
      <c r="O121" s="247" t="str">
        <f>IF(O$3="","",IF(COUNTIFS(BD!$A$3:$A$5001,O$3,BD!$B$3:$B$5001,$A$100,BD!$AH$3:$AH$5001,"&lt;&gt;")=0,"",SUMIFS(BD!$AH$3:$AH$5001,BD!$A$3:$A$5001,O$3,BD!$B$3:$B$5001,$A$100)))</f>
        <v/>
      </c>
      <c r="P121" s="247" t="str">
        <f>IF(P$3="","",IF(COUNTIFS(BD!$A$3:$A$5001,P$3,BD!$B$3:$B$5001,$A$100,BD!$AH$3:$AH$5001,"&lt;&gt;")=0,"",SUMIFS(BD!$AH$3:$AH$5001,BD!$A$3:$A$5001,P$3,BD!$B$3:$B$5001,$A$100)))</f>
        <v/>
      </c>
      <c r="Q121" s="247" t="str">
        <f>IF(Q$3="","",IF(COUNTIFS(BD!$A$3:$A$5001,Q$3,BD!$B$3:$B$5001,$A$100,BD!$AH$3:$AH$5001,"&lt;&gt;")=0,"",SUMIFS(BD!$AH$3:$AH$5001,BD!$A$3:$A$5001,Q$3,BD!$B$3:$B$5001,$A$100)))</f>
        <v/>
      </c>
      <c r="R121" s="247" t="str">
        <f>IF(R$3="","",IF(COUNTIFS(BD!$A$3:$A$5001,R$3,BD!$B$3:$B$5001,$A$100,BD!$AH$3:$AH$5001,"&lt;&gt;")=0,"",SUMIFS(BD!$AH$3:$AH$5001,BD!$A$3:$A$5001,R$3,BD!$B$3:$B$5001,$A$100)))</f>
        <v/>
      </c>
      <c r="S121" s="247" t="str">
        <f>IF(S$3="","",IF(COUNTIFS(BD!$A$3:$A$5001,S$3,BD!$B$3:$B$5001,$A$100,BD!$AH$3:$AH$5001,"&lt;&gt;")=0,"",SUMIFS(BD!$AH$3:$AH$5001,BD!$A$3:$A$5001,S$3,BD!$B$3:$B$5001,$A$100)))</f>
        <v/>
      </c>
      <c r="T121" s="247" t="str">
        <f>IF(T$3="","",IF(COUNTIFS(BD!$A$3:$A$5001,T$3,BD!$B$3:$B$5001,$A$100,BD!$AH$3:$AH$5001,"&lt;&gt;")=0,"",SUMIFS(BD!$AH$3:$AH$5001,BD!$A$3:$A$5001,T$3,BD!$B$3:$B$5001,$A$100)))</f>
        <v/>
      </c>
      <c r="U121" s="247" t="str">
        <f>IF(U$3="","",IF(COUNTIFS(BD!$A$3:$A$5001,U$3,BD!$B$3:$B$5001,$A$100,BD!$AH$3:$AH$5001,"&lt;&gt;")=0,"",SUMIFS(BD!$AH$3:$AH$5001,BD!$A$3:$A$5001,U$3,BD!$B$3:$B$5001,$A$100)))</f>
        <v/>
      </c>
      <c r="V121" s="247" t="str">
        <f>IF(V$3="","",IF(COUNTIFS(BD!$A$3:$A$5001,V$3,BD!$B$3:$B$5001,$A$100,BD!$AH$3:$AH$5001,"&lt;&gt;")=0,"",SUMIFS(BD!$AH$3:$AH$5001,BD!$A$3:$A$5001,V$3,BD!$B$3:$B$5001,$A$100)))</f>
        <v/>
      </c>
      <c r="W121" s="247" t="str">
        <f>IF(W$3="","",IF(COUNTIFS(BD!$A$3:$A$5001,W$3,BD!$B$3:$B$5001,$A$100,BD!$AH$3:$AH$5001,"&lt;&gt;")=0,"",SUMIFS(BD!$AH$3:$AH$5001,BD!$A$3:$A$5001,W$3,BD!$B$3:$B$5001,$A$100)))</f>
        <v/>
      </c>
      <c r="X121" s="247" t="str">
        <f>IF(X$3="","",IF(COUNTIFS(BD!$A$3:$A$5001,X$3,BD!$B$3:$B$5001,$A$100,BD!$AH$3:$AH$5001,"&lt;&gt;")=0,"",SUMIFS(BD!$AH$3:$AH$5001,BD!$A$3:$A$5001,X$3,BD!$B$3:$B$5001,$A$100)))</f>
        <v/>
      </c>
      <c r="Y121" s="247" t="str">
        <f>IF(Y$3="","",IF(COUNTIFS(BD!$A$3:$A$5001,Y$3,BD!$B$3:$B$5001,$A$100,BD!$AH$3:$AH$5001,"&lt;&gt;")=0,"",SUMIFS(BD!$AH$3:$AH$5001,BD!$A$3:$A$5001,Y$3,BD!$B$3:$B$5001,$A$100)))</f>
        <v/>
      </c>
      <c r="Z121" s="247" t="str">
        <f>IF(Z$3="","",IF(COUNTIFS(BD!$A$3:$A$5001,Z$3,BD!$B$3:$B$5001,$A$100,BD!$AH$3:$AH$5001,"&lt;&gt;")=0,"",SUMIFS(BD!$AH$3:$AH$5001,BD!$A$3:$A$5001,Z$3,BD!$B$3:$B$5001,$A$100)))</f>
        <v/>
      </c>
      <c r="AA121" s="247" t="str">
        <f>IF(AA$3="","",IF(COUNTIFS(BD!$A$3:$A$5001,AA$3,BD!$B$3:$B$5001,$A$100,BD!$AH$3:$AH$5001,"&lt;&gt;")=0,"",SUMIFS(BD!$AH$3:$AH$5001,BD!$A$3:$A$5001,AA$3,BD!$B$3:$B$5001,$A$100)))</f>
        <v/>
      </c>
      <c r="AB121" s="247" t="str">
        <f>IF(AB$3="","",IF(COUNTIFS(BD!$A$3:$A$5001,AB$3,BD!$B$3:$B$5001,$A$100,BD!$AH$3:$AH$5001,"&lt;&gt;")=0,"",SUMIFS(BD!$AH$3:$AH$5001,BD!$A$3:$A$5001,AB$3,BD!$B$3:$B$5001,$A$100)))</f>
        <v/>
      </c>
      <c r="AC121" s="247" t="str">
        <f>IF(AC$3="","",IF(COUNTIFS(BD!$A$3:$A$5001,AC$3,BD!$B$3:$B$5001,$A$100,BD!$AH$3:$AH$5001,"&lt;&gt;")=0,"",SUMIFS(BD!$AH$3:$AH$5001,BD!$A$3:$A$5001,AC$3,BD!$B$3:$B$5001,$A$100)))</f>
        <v/>
      </c>
      <c r="AD121" s="247" t="str">
        <f>IF(AD$3="","",IF(COUNTIFS(BD!$A$3:$A$5001,AD$3,BD!$B$3:$B$5001,$A$100,BD!$AH$3:$AH$5001,"&lt;&gt;")=0,"",SUMIFS(BD!$AH$3:$AH$5001,BD!$A$3:$A$5001,AD$3,BD!$B$3:$B$5001,$A$100)))</f>
        <v/>
      </c>
      <c r="AE121" s="247" t="str">
        <f>IF(AE$3="","",IF(COUNTIFS(BD!$A$3:$A$5001,AE$3,BD!$B$3:$B$5001,$A$100,BD!$AH$3:$AH$5001,"&lt;&gt;")=0,"",SUMIFS(BD!$AH$3:$AH$5001,BD!$A$3:$A$5001,AE$3,BD!$B$3:$B$5001,$A$100)))</f>
        <v/>
      </c>
      <c r="AF121" s="247" t="str">
        <f>IF(AF$3="","",IF(COUNTIFS(BD!$A$3:$A$5001,AF$3,BD!$B$3:$B$5001,$A$100,BD!$AH$3:$AH$5001,"&lt;&gt;")=0,"",SUMIFS(BD!$AH$3:$AH$5001,BD!$A$3:$A$5001,AF$3,BD!$B$3:$B$5001,$A$100)))</f>
        <v/>
      </c>
      <c r="AG121" s="247" t="str">
        <f>IF(AG$3="","",IF(COUNTIFS(BD!$A$3:$A$5001,AG$3,BD!$B$3:$B$5001,$A$100,BD!$AH$3:$AH$5001,"&lt;&gt;")=0,"",SUMIFS(BD!$AH$3:$AH$5001,BD!$A$3:$A$5001,AG$3,BD!$B$3:$B$5001,$A$100)))</f>
        <v/>
      </c>
      <c r="AH121" s="247" t="str">
        <f>IF(AH$3="","",IF(COUNTIFS(BD!$A$3:$A$5001,AH$3,BD!$B$3:$B$5001,$A$100,BD!$AH$3:$AH$5001,"&lt;&gt;")=0,"",SUMIFS(BD!$AH$3:$AH$5001,BD!$A$3:$A$5001,AH$3,BD!$B$3:$B$5001,$A$100)))</f>
        <v/>
      </c>
      <c r="AI121" s="247" t="str">
        <f>IF(AI$3="","",IF(COUNTIFS(BD!$A$3:$A$5001,AI$3,BD!$B$3:$B$5001,$A$100,BD!$AH$3:$AH$5001,"&lt;&gt;")=0,"",SUMIFS(BD!$AH$3:$AH$5001,BD!$A$3:$A$5001,AI$3,BD!$B$3:$B$5001,$A$100)))</f>
        <v/>
      </c>
      <c r="AJ121" s="248" t="str">
        <f>IF(AJ$3="","",IF(COUNTIFS(BD!$A$3:$A$5001,AJ$3,BD!$B$3:$B$5001,$A$100,BD!$AH$3:$AH$5001,"&lt;&gt;")=0,"",SUMIFS(BD!$AH$3:$AH$5001,BD!$A$3:$A$5001,AJ$3,BD!$B$3:$B$5001,$A$100)))</f>
        <v/>
      </c>
      <c r="AK121" s="244" t="str">
        <f>IF(COUNT(F121:AJ121)=0,"",SUM(F121:AJ121))</f>
        <v/>
      </c>
    </row>
    <row r="123" ht="15.75" customHeight="1">
      <c r="A123" s="260" t="inlineStr">
        <is>
          <t xml:space="preserve">GE Vernova</t>
        </is>
      </c>
      <c r="B123" s="249" t="inlineStr">
        <is>
          <t xml:space="preserve">IN</t>
        </is>
      </c>
      <c r="C123" s="168" t="inlineStr">
        <is>
          <t xml:space="preserve">Veículos Recebidos</t>
        </is>
      </c>
      <c r="D123" s="169" t="str">
        <f>IFERROR(1/(1/INDEX(BD!$AL$23:$BF$23,MATCH($A$123,BD!$AL$22:$BF$22,0))),"")</f>
        <v/>
      </c>
      <c r="E123" s="170"/>
      <c r="F123" s="171" t="str">
        <f>IF(F$3="","",IF(COUNTIFS(BD!$A$3:$A$5001,F$3,BD!$B$3:$B$5001,$A$123,BD!$C$3:$C$5001,"&lt;&gt;")=0,"",SUMIFS(BD!$C$3:$C$5001,BD!$A$3:$A$5001,F$3,BD!$B$3:$B$5001,$A$123)))</f>
        <v/>
      </c>
      <c r="G123" s="172" t="str">
        <f>IF(G$3="","",IF(COUNTIFS(BD!$A$3:$A$5001,G$3,BD!$B$3:$B$5001,$A$123,BD!$C$3:$C$5001,"&lt;&gt;")=0,"",SUMIFS(BD!$C$3:$C$5001,BD!$A$3:$A$5001,G$3,BD!$B$3:$B$5001,$A$123)))</f>
        <v/>
      </c>
      <c r="H123" s="172" t="str">
        <f>IF(H$3="","",IF(COUNTIFS(BD!$A$3:$A$5001,H$3,BD!$B$3:$B$5001,$A$123,BD!$C$3:$C$5001,"&lt;&gt;")=0,"",SUMIFS(BD!$C$3:$C$5001,BD!$A$3:$A$5001,H$3,BD!$B$3:$B$5001,$A$123)))</f>
        <v/>
      </c>
      <c r="I123" s="172" t="str">
        <f>IF(I$3="","",IF(COUNTIFS(BD!$A$3:$A$5001,I$3,BD!$B$3:$B$5001,$A$123,BD!$C$3:$C$5001,"&lt;&gt;")=0,"",SUMIFS(BD!$C$3:$C$5001,BD!$A$3:$A$5001,I$3,BD!$B$3:$B$5001,$A$123)))</f>
        <v/>
      </c>
      <c r="J123" s="172" t="str">
        <f>IF(J$3="","",IF(COUNTIFS(BD!$A$3:$A$5001,J$3,BD!$B$3:$B$5001,$A$123,BD!$C$3:$C$5001,"&lt;&gt;")=0,"",SUMIFS(BD!$C$3:$C$5001,BD!$A$3:$A$5001,J$3,BD!$B$3:$B$5001,$A$123)))</f>
        <v/>
      </c>
      <c r="K123" s="172" t="str">
        <f>IF(K$3="","",IF(COUNTIFS(BD!$A$3:$A$5001,K$3,BD!$B$3:$B$5001,$A$123,BD!$C$3:$C$5001,"&lt;&gt;")=0,"",SUMIFS(BD!$C$3:$C$5001,BD!$A$3:$A$5001,K$3,BD!$B$3:$B$5001,$A$123)))</f>
        <v/>
      </c>
      <c r="L123" s="172" t="str">
        <f>IF(L$3="","",IF(COUNTIFS(BD!$A$3:$A$5001,L$3,BD!$B$3:$B$5001,$A$123,BD!$C$3:$C$5001,"&lt;&gt;")=0,"",SUMIFS(BD!$C$3:$C$5001,BD!$A$3:$A$5001,L$3,BD!$B$3:$B$5001,$A$123)))</f>
        <v/>
      </c>
      <c r="M123" s="172" t="str">
        <f>IF(M$3="","",IF(COUNTIFS(BD!$A$3:$A$5001,M$3,BD!$B$3:$B$5001,$A$123,BD!$C$3:$C$5001,"&lt;&gt;")=0,"",SUMIFS(BD!$C$3:$C$5001,BD!$A$3:$A$5001,M$3,BD!$B$3:$B$5001,$A$123)))</f>
        <v/>
      </c>
      <c r="N123" s="172" t="str">
        <f>IF(N$3="","",IF(COUNTIFS(BD!$A$3:$A$5001,N$3,BD!$B$3:$B$5001,$A$123,BD!$C$3:$C$5001,"&lt;&gt;")=0,"",SUMIFS(BD!$C$3:$C$5001,BD!$A$3:$A$5001,N$3,BD!$B$3:$B$5001,$A$123)))</f>
        <v/>
      </c>
      <c r="O123" s="172" t="str">
        <f>IF(O$3="","",IF(COUNTIFS(BD!$A$3:$A$5001,O$3,BD!$B$3:$B$5001,$A$123,BD!$C$3:$C$5001,"&lt;&gt;")=0,"",SUMIFS(BD!$C$3:$C$5001,BD!$A$3:$A$5001,O$3,BD!$B$3:$B$5001,$A$123)))</f>
        <v/>
      </c>
      <c r="P123" s="172" t="str">
        <f>IF(P$3="","",IF(COUNTIFS(BD!$A$3:$A$5001,P$3,BD!$B$3:$B$5001,$A$123,BD!$C$3:$C$5001,"&lt;&gt;")=0,"",SUMIFS(BD!$C$3:$C$5001,BD!$A$3:$A$5001,P$3,BD!$B$3:$B$5001,$A$123)))</f>
        <v/>
      </c>
      <c r="Q123" s="172" t="str">
        <f>IF(Q$3="","",IF(COUNTIFS(BD!$A$3:$A$5001,Q$3,BD!$B$3:$B$5001,$A$123,BD!$C$3:$C$5001,"&lt;&gt;")=0,"",SUMIFS(BD!$C$3:$C$5001,BD!$A$3:$A$5001,Q$3,BD!$B$3:$B$5001,$A$123)))</f>
        <v/>
      </c>
      <c r="R123" s="172" t="str">
        <f>IF(R$3="","",IF(COUNTIFS(BD!$A$3:$A$5001,R$3,BD!$B$3:$B$5001,$A$123,BD!$C$3:$C$5001,"&lt;&gt;")=0,"",SUMIFS(BD!$C$3:$C$5001,BD!$A$3:$A$5001,R$3,BD!$B$3:$B$5001,$A$123)))</f>
        <v/>
      </c>
      <c r="S123" s="172" t="str">
        <f>IF(S$3="","",IF(COUNTIFS(BD!$A$3:$A$5001,S$3,BD!$B$3:$B$5001,$A$123,BD!$C$3:$C$5001,"&lt;&gt;")=0,"",SUMIFS(BD!$C$3:$C$5001,BD!$A$3:$A$5001,S$3,BD!$B$3:$B$5001,$A$123)))</f>
        <v/>
      </c>
      <c r="T123" s="172" t="str">
        <f>IF(T$3="","",IF(COUNTIFS(BD!$A$3:$A$5001,T$3,BD!$B$3:$B$5001,$A$123,BD!$C$3:$C$5001,"&lt;&gt;")=0,"",SUMIFS(BD!$C$3:$C$5001,BD!$A$3:$A$5001,T$3,BD!$B$3:$B$5001,$A$123)))</f>
        <v/>
      </c>
      <c r="U123" s="172" t="str">
        <f>IF(U$3="","",IF(COUNTIFS(BD!$A$3:$A$5001,U$3,BD!$B$3:$B$5001,$A$123,BD!$C$3:$C$5001,"&lt;&gt;")=0,"",SUMIFS(BD!$C$3:$C$5001,BD!$A$3:$A$5001,U$3,BD!$B$3:$B$5001,$A$123)))</f>
        <v/>
      </c>
      <c r="V123" s="172" t="str">
        <f>IF(V$3="","",IF(COUNTIFS(BD!$A$3:$A$5001,V$3,BD!$B$3:$B$5001,$A$123,BD!$C$3:$C$5001,"&lt;&gt;")=0,"",SUMIFS(BD!$C$3:$C$5001,BD!$A$3:$A$5001,V$3,BD!$B$3:$B$5001,$A$123)))</f>
        <v/>
      </c>
      <c r="W123" s="172" t="str">
        <f>IF(W$3="","",IF(COUNTIFS(BD!$A$3:$A$5001,W$3,BD!$B$3:$B$5001,$A$123,BD!$C$3:$C$5001,"&lt;&gt;")=0,"",SUMIFS(BD!$C$3:$C$5001,BD!$A$3:$A$5001,W$3,BD!$B$3:$B$5001,$A$123)))</f>
        <v/>
      </c>
      <c r="X123" s="172" t="str">
        <f>IF(X$3="","",IF(COUNTIFS(BD!$A$3:$A$5001,X$3,BD!$B$3:$B$5001,$A$123,BD!$C$3:$C$5001,"&lt;&gt;")=0,"",SUMIFS(BD!$C$3:$C$5001,BD!$A$3:$A$5001,X$3,BD!$B$3:$B$5001,$A$123)))</f>
        <v/>
      </c>
      <c r="Y123" s="172" t="str">
        <f>IF(Y$3="","",IF(COUNTIFS(BD!$A$3:$A$5001,Y$3,BD!$B$3:$B$5001,$A$123,BD!$C$3:$C$5001,"&lt;&gt;")=0,"",SUMIFS(BD!$C$3:$C$5001,BD!$A$3:$A$5001,Y$3,BD!$B$3:$B$5001,$A$123)))</f>
        <v/>
      </c>
      <c r="Z123" s="172" t="str">
        <f>IF(Z$3="","",IF(COUNTIFS(BD!$A$3:$A$5001,Z$3,BD!$B$3:$B$5001,$A$123,BD!$C$3:$C$5001,"&lt;&gt;")=0,"",SUMIFS(BD!$C$3:$C$5001,BD!$A$3:$A$5001,Z$3,BD!$B$3:$B$5001,$A$123)))</f>
        <v/>
      </c>
      <c r="AA123" s="172" t="str">
        <f>IF(AA$3="","",IF(COUNTIFS(BD!$A$3:$A$5001,AA$3,BD!$B$3:$B$5001,$A$123,BD!$C$3:$C$5001,"&lt;&gt;")=0,"",SUMIFS(BD!$C$3:$C$5001,BD!$A$3:$A$5001,AA$3,BD!$B$3:$B$5001,$A$123)))</f>
        <v/>
      </c>
      <c r="AB123" s="172" t="str">
        <f>IF(AB$3="","",IF(COUNTIFS(BD!$A$3:$A$5001,AB$3,BD!$B$3:$B$5001,$A$123,BD!$C$3:$C$5001,"&lt;&gt;")=0,"",SUMIFS(BD!$C$3:$C$5001,BD!$A$3:$A$5001,AB$3,BD!$B$3:$B$5001,$A$123)))</f>
        <v/>
      </c>
      <c r="AC123" s="172" t="str">
        <f>IF(AC$3="","",IF(COUNTIFS(BD!$A$3:$A$5001,AC$3,BD!$B$3:$B$5001,$A$123,BD!$C$3:$C$5001,"&lt;&gt;")=0,"",SUMIFS(BD!$C$3:$C$5001,BD!$A$3:$A$5001,AC$3,BD!$B$3:$B$5001,$A$123)))</f>
        <v/>
      </c>
      <c r="AD123" s="172" t="str">
        <f>IF(AD$3="","",IF(COUNTIFS(BD!$A$3:$A$5001,AD$3,BD!$B$3:$B$5001,$A$123,BD!$C$3:$C$5001,"&lt;&gt;")=0,"",SUMIFS(BD!$C$3:$C$5001,BD!$A$3:$A$5001,AD$3,BD!$B$3:$B$5001,$A$123)))</f>
        <v/>
      </c>
      <c r="AE123" s="172" t="str">
        <f>IF(AE$3="","",IF(COUNTIFS(BD!$A$3:$A$5001,AE$3,BD!$B$3:$B$5001,$A$123,BD!$C$3:$C$5001,"&lt;&gt;")=0,"",SUMIFS(BD!$C$3:$C$5001,BD!$A$3:$A$5001,AE$3,BD!$B$3:$B$5001,$A$123)))</f>
        <v/>
      </c>
      <c r="AF123" s="172" t="str">
        <f>IF(AF$3="","",IF(COUNTIFS(BD!$A$3:$A$5001,AF$3,BD!$B$3:$B$5001,$A$123,BD!$C$3:$C$5001,"&lt;&gt;")=0,"",SUMIFS(BD!$C$3:$C$5001,BD!$A$3:$A$5001,AF$3,BD!$B$3:$B$5001,$A$123)))</f>
        <v/>
      </c>
      <c r="AG123" s="172" t="str">
        <f>IF(AG$3="","",IF(COUNTIFS(BD!$A$3:$A$5001,AG$3,BD!$B$3:$B$5001,$A$123,BD!$C$3:$C$5001,"&lt;&gt;")=0,"",SUMIFS(BD!$C$3:$C$5001,BD!$A$3:$A$5001,AG$3,BD!$B$3:$B$5001,$A$123)))</f>
        <v/>
      </c>
      <c r="AH123" s="172" t="str">
        <f>IF(AH$3="","",IF(COUNTIFS(BD!$A$3:$A$5001,AH$3,BD!$B$3:$B$5001,$A$123,BD!$C$3:$C$5001,"&lt;&gt;")=0,"",SUMIFS(BD!$C$3:$C$5001,BD!$A$3:$A$5001,AH$3,BD!$B$3:$B$5001,$A$123)))</f>
        <v/>
      </c>
      <c r="AI123" s="172" t="str">
        <f>IF(AI$3="","",IF(COUNTIFS(BD!$A$3:$A$5001,AI$3,BD!$B$3:$B$5001,$A$123,BD!$C$3:$C$5001,"&lt;&gt;")=0,"",SUMIFS(BD!$C$3:$C$5001,BD!$A$3:$A$5001,AI$3,BD!$B$3:$B$5001,$A$123)))</f>
        <v/>
      </c>
      <c r="AJ123" s="173" t="str">
        <f>IF(AJ$3="","",IF(COUNTIFS(BD!$A$3:$A$5001,AJ$3,BD!$B$3:$B$5001,$A$123,BD!$C$3:$C$5001,"&lt;&gt;")=0,"",SUMIFS(BD!$C$3:$C$5001,BD!$A$3:$A$5001,AJ$3,BD!$B$3:$B$5001,$A$123)))</f>
        <v/>
      </c>
      <c r="AK123" s="174" t="str">
        <f>IF(COUNT(F123:AJ123)=0,"",SUM(F123:AJ123))</f>
        <v/>
      </c>
    </row>
    <row r="124" ht="15.75" customHeight="1">
      <c r="A124" s="261"/>
      <c r="B124" s="256"/>
      <c r="C124" s="214" t="inlineStr">
        <is>
          <t xml:space="preserve">Pallets Movimentados</t>
        </is>
      </c>
      <c r="D124" s="215" t="str">
        <f>IFERROR(1/(1/INDEX(BD!$AL$24:$BF$24,MATCH($A$123,BD!$AL$22:$BF$22,0))),"")</f>
        <v/>
      </c>
      <c r="E124" s="216"/>
      <c r="F124" s="217" t="str">
        <f>IF(F$3="","",IF(COUNTIFS(BD!$A$3:$A$5001,F$3,BD!$B$3:$B$5001,$A$123,BD!$D$3:$D$5001,"&lt;&gt;")=0,"",SUMIFS(BD!$D$3:$D$5001,BD!$A$3:$A$5001,F$3,BD!$B$3:$B$5001,$A$123)))</f>
        <v/>
      </c>
      <c r="G124" s="218" t="str">
        <f>IF(G$3="","",IF(COUNTIFS(BD!$A$3:$A$5001,G$3,BD!$B$3:$B$5001,$A$123,BD!$D$3:$D$5001,"&lt;&gt;")=0,"",SUMIFS(BD!$D$3:$D$5001,BD!$A$3:$A$5001,G$3,BD!$B$3:$B$5001,$A$123)))</f>
        <v/>
      </c>
      <c r="H124" s="218" t="str">
        <f>IF(H$3="","",IF(COUNTIFS(BD!$A$3:$A$5001,H$3,BD!$B$3:$B$5001,$A$123,BD!$D$3:$D$5001,"&lt;&gt;")=0,"",SUMIFS(BD!$D$3:$D$5001,BD!$A$3:$A$5001,H$3,BD!$B$3:$B$5001,$A$123)))</f>
        <v/>
      </c>
      <c r="I124" s="218" t="str">
        <f>IF(I$3="","",IF(COUNTIFS(BD!$A$3:$A$5001,I$3,BD!$B$3:$B$5001,$A$123,BD!$D$3:$D$5001,"&lt;&gt;")=0,"",SUMIFS(BD!$D$3:$D$5001,BD!$A$3:$A$5001,I$3,BD!$B$3:$B$5001,$A$123)))</f>
        <v/>
      </c>
      <c r="J124" s="218" t="str">
        <f>IF(J$3="","",IF(COUNTIFS(BD!$A$3:$A$5001,J$3,BD!$B$3:$B$5001,$A$123,BD!$D$3:$D$5001,"&lt;&gt;")=0,"",SUMIFS(BD!$D$3:$D$5001,BD!$A$3:$A$5001,J$3,BD!$B$3:$B$5001,$A$123)))</f>
        <v/>
      </c>
      <c r="K124" s="218" t="str">
        <f>IF(K$3="","",IF(COUNTIFS(BD!$A$3:$A$5001,K$3,BD!$B$3:$B$5001,$A$123,BD!$D$3:$D$5001,"&lt;&gt;")=0,"",SUMIFS(BD!$D$3:$D$5001,BD!$A$3:$A$5001,K$3,BD!$B$3:$B$5001,$A$123)))</f>
        <v/>
      </c>
      <c r="L124" s="218" t="str">
        <f>IF(L$3="","",IF(COUNTIFS(BD!$A$3:$A$5001,L$3,BD!$B$3:$B$5001,$A$123,BD!$D$3:$D$5001,"&lt;&gt;")=0,"",SUMIFS(BD!$D$3:$D$5001,BD!$A$3:$A$5001,L$3,BD!$B$3:$B$5001,$A$123)))</f>
        <v/>
      </c>
      <c r="M124" s="218" t="str">
        <f>IF(M$3="","",IF(COUNTIFS(BD!$A$3:$A$5001,M$3,BD!$B$3:$B$5001,$A$123,BD!$D$3:$D$5001,"&lt;&gt;")=0,"",SUMIFS(BD!$D$3:$D$5001,BD!$A$3:$A$5001,M$3,BD!$B$3:$B$5001,$A$123)))</f>
        <v/>
      </c>
      <c r="N124" s="218" t="str">
        <f>IF(N$3="","",IF(COUNTIFS(BD!$A$3:$A$5001,N$3,BD!$B$3:$B$5001,$A$123,BD!$D$3:$D$5001,"&lt;&gt;")=0,"",SUMIFS(BD!$D$3:$D$5001,BD!$A$3:$A$5001,N$3,BD!$B$3:$B$5001,$A$123)))</f>
        <v/>
      </c>
      <c r="O124" s="218" t="str">
        <f>IF(O$3="","",IF(COUNTIFS(BD!$A$3:$A$5001,O$3,BD!$B$3:$B$5001,$A$123,BD!$D$3:$D$5001,"&lt;&gt;")=0,"",SUMIFS(BD!$D$3:$D$5001,BD!$A$3:$A$5001,O$3,BD!$B$3:$B$5001,$A$123)))</f>
        <v/>
      </c>
      <c r="P124" s="218" t="str">
        <f>IF(P$3="","",IF(COUNTIFS(BD!$A$3:$A$5001,P$3,BD!$B$3:$B$5001,$A$123,BD!$D$3:$D$5001,"&lt;&gt;")=0,"",SUMIFS(BD!$D$3:$D$5001,BD!$A$3:$A$5001,P$3,BD!$B$3:$B$5001,$A$123)))</f>
        <v/>
      </c>
      <c r="Q124" s="218" t="str">
        <f>IF(Q$3="","",IF(COUNTIFS(BD!$A$3:$A$5001,Q$3,BD!$B$3:$B$5001,$A$123,BD!$D$3:$D$5001,"&lt;&gt;")=0,"",SUMIFS(BD!$D$3:$D$5001,BD!$A$3:$A$5001,Q$3,BD!$B$3:$B$5001,$A$123)))</f>
        <v/>
      </c>
      <c r="R124" s="218" t="str">
        <f>IF(R$3="","",IF(COUNTIFS(BD!$A$3:$A$5001,R$3,BD!$B$3:$B$5001,$A$123,BD!$D$3:$D$5001,"&lt;&gt;")=0,"",SUMIFS(BD!$D$3:$D$5001,BD!$A$3:$A$5001,R$3,BD!$B$3:$B$5001,$A$123)))</f>
        <v/>
      </c>
      <c r="S124" s="218" t="str">
        <f>IF(S$3="","",IF(COUNTIFS(BD!$A$3:$A$5001,S$3,BD!$B$3:$B$5001,$A$123,BD!$D$3:$D$5001,"&lt;&gt;")=0,"",SUMIFS(BD!$D$3:$D$5001,BD!$A$3:$A$5001,S$3,BD!$B$3:$B$5001,$A$123)))</f>
        <v/>
      </c>
      <c r="T124" s="218" t="str">
        <f>IF(T$3="","",IF(COUNTIFS(BD!$A$3:$A$5001,T$3,BD!$B$3:$B$5001,$A$123,BD!$D$3:$D$5001,"&lt;&gt;")=0,"",SUMIFS(BD!$D$3:$D$5001,BD!$A$3:$A$5001,T$3,BD!$B$3:$B$5001,$A$123)))</f>
        <v/>
      </c>
      <c r="U124" s="218" t="str">
        <f>IF(U$3="","",IF(COUNTIFS(BD!$A$3:$A$5001,U$3,BD!$B$3:$B$5001,$A$123,BD!$D$3:$D$5001,"&lt;&gt;")=0,"",SUMIFS(BD!$D$3:$D$5001,BD!$A$3:$A$5001,U$3,BD!$B$3:$B$5001,$A$123)))</f>
        <v/>
      </c>
      <c r="V124" s="218" t="str">
        <f>IF(V$3="","",IF(COUNTIFS(BD!$A$3:$A$5001,V$3,BD!$B$3:$B$5001,$A$123,BD!$D$3:$D$5001,"&lt;&gt;")=0,"",SUMIFS(BD!$D$3:$D$5001,BD!$A$3:$A$5001,V$3,BD!$B$3:$B$5001,$A$123)))</f>
        <v/>
      </c>
      <c r="W124" s="218" t="str">
        <f>IF(W$3="","",IF(COUNTIFS(BD!$A$3:$A$5001,W$3,BD!$B$3:$B$5001,$A$123,BD!$D$3:$D$5001,"&lt;&gt;")=0,"",SUMIFS(BD!$D$3:$D$5001,BD!$A$3:$A$5001,W$3,BD!$B$3:$B$5001,$A$123)))</f>
        <v/>
      </c>
      <c r="X124" s="218" t="str">
        <f>IF(X$3="","",IF(COUNTIFS(BD!$A$3:$A$5001,X$3,BD!$B$3:$B$5001,$A$123,BD!$D$3:$D$5001,"&lt;&gt;")=0,"",SUMIFS(BD!$D$3:$D$5001,BD!$A$3:$A$5001,X$3,BD!$B$3:$B$5001,$A$123)))</f>
        <v/>
      </c>
      <c r="Y124" s="218" t="str">
        <f>IF(Y$3="","",IF(COUNTIFS(BD!$A$3:$A$5001,Y$3,BD!$B$3:$B$5001,$A$123,BD!$D$3:$D$5001,"&lt;&gt;")=0,"",SUMIFS(BD!$D$3:$D$5001,BD!$A$3:$A$5001,Y$3,BD!$B$3:$B$5001,$A$123)))</f>
        <v/>
      </c>
      <c r="Z124" s="218" t="str">
        <f>IF(Z$3="","",IF(COUNTIFS(BD!$A$3:$A$5001,Z$3,BD!$B$3:$B$5001,$A$123,BD!$D$3:$D$5001,"&lt;&gt;")=0,"",SUMIFS(BD!$D$3:$D$5001,BD!$A$3:$A$5001,Z$3,BD!$B$3:$B$5001,$A$123)))</f>
        <v/>
      </c>
      <c r="AA124" s="218" t="str">
        <f>IF(AA$3="","",IF(COUNTIFS(BD!$A$3:$A$5001,AA$3,BD!$B$3:$B$5001,$A$123,BD!$D$3:$D$5001,"&lt;&gt;")=0,"",SUMIFS(BD!$D$3:$D$5001,BD!$A$3:$A$5001,AA$3,BD!$B$3:$B$5001,$A$123)))</f>
        <v/>
      </c>
      <c r="AB124" s="218" t="str">
        <f>IF(AB$3="","",IF(COUNTIFS(BD!$A$3:$A$5001,AB$3,BD!$B$3:$B$5001,$A$123,BD!$D$3:$D$5001,"&lt;&gt;")=0,"",SUMIFS(BD!$D$3:$D$5001,BD!$A$3:$A$5001,AB$3,BD!$B$3:$B$5001,$A$123)))</f>
        <v/>
      </c>
      <c r="AC124" s="218" t="str">
        <f>IF(AC$3="","",IF(COUNTIFS(BD!$A$3:$A$5001,AC$3,BD!$B$3:$B$5001,$A$123,BD!$D$3:$D$5001,"&lt;&gt;")=0,"",SUMIFS(BD!$D$3:$D$5001,BD!$A$3:$A$5001,AC$3,BD!$B$3:$B$5001,$A$123)))</f>
        <v/>
      </c>
      <c r="AD124" s="218" t="str">
        <f>IF(AD$3="","",IF(COUNTIFS(BD!$A$3:$A$5001,AD$3,BD!$B$3:$B$5001,$A$123,BD!$D$3:$D$5001,"&lt;&gt;")=0,"",SUMIFS(BD!$D$3:$D$5001,BD!$A$3:$A$5001,AD$3,BD!$B$3:$B$5001,$A$123)))</f>
        <v/>
      </c>
      <c r="AE124" s="218" t="str">
        <f>IF(AE$3="","",IF(COUNTIFS(BD!$A$3:$A$5001,AE$3,BD!$B$3:$B$5001,$A$123,BD!$D$3:$D$5001,"&lt;&gt;")=0,"",SUMIFS(BD!$D$3:$D$5001,BD!$A$3:$A$5001,AE$3,BD!$B$3:$B$5001,$A$123)))</f>
        <v/>
      </c>
      <c r="AF124" s="218" t="str">
        <f>IF(AF$3="","",IF(COUNTIFS(BD!$A$3:$A$5001,AF$3,BD!$B$3:$B$5001,$A$123,BD!$D$3:$D$5001,"&lt;&gt;")=0,"",SUMIFS(BD!$D$3:$D$5001,BD!$A$3:$A$5001,AF$3,BD!$B$3:$B$5001,$A$123)))</f>
        <v/>
      </c>
      <c r="AG124" s="218" t="str">
        <f>IF(AG$3="","",IF(COUNTIFS(BD!$A$3:$A$5001,AG$3,BD!$B$3:$B$5001,$A$123,BD!$D$3:$D$5001,"&lt;&gt;")=0,"",SUMIFS(BD!$D$3:$D$5001,BD!$A$3:$A$5001,AG$3,BD!$B$3:$B$5001,$A$123)))</f>
        <v/>
      </c>
      <c r="AH124" s="218" t="str">
        <f>IF(AH$3="","",IF(COUNTIFS(BD!$A$3:$A$5001,AH$3,BD!$B$3:$B$5001,$A$123,BD!$D$3:$D$5001,"&lt;&gt;")=0,"",SUMIFS(BD!$D$3:$D$5001,BD!$A$3:$A$5001,AH$3,BD!$B$3:$B$5001,$A$123)))</f>
        <v/>
      </c>
      <c r="AI124" s="218" t="str">
        <f>IF(AI$3="","",IF(COUNTIFS(BD!$A$3:$A$5001,AI$3,BD!$B$3:$B$5001,$A$123,BD!$D$3:$D$5001,"&lt;&gt;")=0,"",SUMIFS(BD!$D$3:$D$5001,BD!$A$3:$A$5001,AI$3,BD!$B$3:$B$5001,$A$123)))</f>
        <v/>
      </c>
      <c r="AJ124" s="219" t="str">
        <f>IF(AJ$3="","",IF(COUNTIFS(BD!$A$3:$A$5001,AJ$3,BD!$B$3:$B$5001,$A$123,BD!$D$3:$D$5001,"&lt;&gt;")=0,"",SUMIFS(BD!$D$3:$D$5001,BD!$A$3:$A$5001,AJ$3,BD!$B$3:$B$5001,$A$123)))</f>
        <v/>
      </c>
      <c r="AK124" s="220" t="str">
        <f>IF(COUNT(F124:AJ124)=0,"",SUM(F124:AJ124))</f>
        <v/>
      </c>
    </row>
    <row r="125" ht="15.75" customHeight="1">
      <c r="A125" s="261"/>
      <c r="B125" s="250"/>
      <c r="C125" s="175" t="inlineStr">
        <is>
          <t xml:space="preserve">Linhas NF</t>
        </is>
      </c>
      <c r="D125" s="176" t="str">
        <f>IFERROR(1/(1/INDEX(BD!$AL$26:$BF$26,MATCH($A$123,BD!$AL$22:$BF$22,0))),"")</f>
        <v/>
      </c>
      <c r="E125" s="177"/>
      <c r="F125" s="178" t="str">
        <f>IF(F$3="","",IF(COUNTIFS(BD!$A$3:$A$5001,F$3,BD!$B$3:$B$5001,$A$123,BD!$F$3:$F$5001,"&lt;&gt;")=0,"",SUMIFS(BD!$F$3:$F$5001,BD!$A$3:$A$5001,F$3,BD!$B$3:$B$5001,$A$123)))</f>
        <v/>
      </c>
      <c r="G125" s="179" t="str">
        <f>IF(G$3="","",IF(COUNTIFS(BD!$A$3:$A$5001,G$3,BD!$B$3:$B$5001,$A$123,BD!$F$3:$F$5001,"&lt;&gt;")=0,"",SUMIFS(BD!$F$3:$F$5001,BD!$A$3:$A$5001,G$3,BD!$B$3:$B$5001,$A$123)))</f>
        <v/>
      </c>
      <c r="H125" s="179" t="str">
        <f>IF(H$3="","",IF(COUNTIFS(BD!$A$3:$A$5001,H$3,BD!$B$3:$B$5001,$A$123,BD!$F$3:$F$5001,"&lt;&gt;")=0,"",SUMIFS(BD!$F$3:$F$5001,BD!$A$3:$A$5001,H$3,BD!$B$3:$B$5001,$A$123)))</f>
        <v/>
      </c>
      <c r="I125" s="179" t="str">
        <f>IF(I$3="","",IF(COUNTIFS(BD!$A$3:$A$5001,I$3,BD!$B$3:$B$5001,$A$123,BD!$F$3:$F$5001,"&lt;&gt;")=0,"",SUMIFS(BD!$F$3:$F$5001,BD!$A$3:$A$5001,I$3,BD!$B$3:$B$5001,$A$123)))</f>
        <v/>
      </c>
      <c r="J125" s="179" t="str">
        <f>IF(J$3="","",IF(COUNTIFS(BD!$A$3:$A$5001,J$3,BD!$B$3:$B$5001,$A$123,BD!$F$3:$F$5001,"&lt;&gt;")=0,"",SUMIFS(BD!$F$3:$F$5001,BD!$A$3:$A$5001,J$3,BD!$B$3:$B$5001,$A$123)))</f>
        <v/>
      </c>
      <c r="K125" s="179" t="str">
        <f>IF(K$3="","",IF(COUNTIFS(BD!$A$3:$A$5001,K$3,BD!$B$3:$B$5001,$A$123,BD!$F$3:$F$5001,"&lt;&gt;")=0,"",SUMIFS(BD!$F$3:$F$5001,BD!$A$3:$A$5001,K$3,BD!$B$3:$B$5001,$A$123)))</f>
        <v/>
      </c>
      <c r="L125" s="179" t="str">
        <f>IF(L$3="","",IF(COUNTIFS(BD!$A$3:$A$5001,L$3,BD!$B$3:$B$5001,$A$123,BD!$F$3:$F$5001,"&lt;&gt;")=0,"",SUMIFS(BD!$F$3:$F$5001,BD!$A$3:$A$5001,L$3,BD!$B$3:$B$5001,$A$123)))</f>
        <v/>
      </c>
      <c r="M125" s="179" t="str">
        <f>IF(M$3="","",IF(COUNTIFS(BD!$A$3:$A$5001,M$3,BD!$B$3:$B$5001,$A$123,BD!$F$3:$F$5001,"&lt;&gt;")=0,"",SUMIFS(BD!$F$3:$F$5001,BD!$A$3:$A$5001,M$3,BD!$B$3:$B$5001,$A$123)))</f>
        <v/>
      </c>
      <c r="N125" s="179" t="str">
        <f>IF(N$3="","",IF(COUNTIFS(BD!$A$3:$A$5001,N$3,BD!$B$3:$B$5001,$A$123,BD!$F$3:$F$5001,"&lt;&gt;")=0,"",SUMIFS(BD!$F$3:$F$5001,BD!$A$3:$A$5001,N$3,BD!$B$3:$B$5001,$A$123)))</f>
        <v/>
      </c>
      <c r="O125" s="179" t="str">
        <f>IF(O$3="","",IF(COUNTIFS(BD!$A$3:$A$5001,O$3,BD!$B$3:$B$5001,$A$123,BD!$F$3:$F$5001,"&lt;&gt;")=0,"",SUMIFS(BD!$F$3:$F$5001,BD!$A$3:$A$5001,O$3,BD!$B$3:$B$5001,$A$123)))</f>
        <v/>
      </c>
      <c r="P125" s="179" t="str">
        <f>IF(P$3="","",IF(COUNTIFS(BD!$A$3:$A$5001,P$3,BD!$B$3:$B$5001,$A$123,BD!$F$3:$F$5001,"&lt;&gt;")=0,"",SUMIFS(BD!$F$3:$F$5001,BD!$A$3:$A$5001,P$3,BD!$B$3:$B$5001,$A$123)))</f>
        <v/>
      </c>
      <c r="Q125" s="179" t="str">
        <f>IF(Q$3="","",IF(COUNTIFS(BD!$A$3:$A$5001,Q$3,BD!$B$3:$B$5001,$A$123,BD!$F$3:$F$5001,"&lt;&gt;")=0,"",SUMIFS(BD!$F$3:$F$5001,BD!$A$3:$A$5001,Q$3,BD!$B$3:$B$5001,$A$123)))</f>
        <v/>
      </c>
      <c r="R125" s="179" t="str">
        <f>IF(R$3="","",IF(COUNTIFS(BD!$A$3:$A$5001,R$3,BD!$B$3:$B$5001,$A$123,BD!$F$3:$F$5001,"&lt;&gt;")=0,"",SUMIFS(BD!$F$3:$F$5001,BD!$A$3:$A$5001,R$3,BD!$B$3:$B$5001,$A$123)))</f>
        <v/>
      </c>
      <c r="S125" s="179" t="str">
        <f>IF(S$3="","",IF(COUNTIFS(BD!$A$3:$A$5001,S$3,BD!$B$3:$B$5001,$A$123,BD!$F$3:$F$5001,"&lt;&gt;")=0,"",SUMIFS(BD!$F$3:$F$5001,BD!$A$3:$A$5001,S$3,BD!$B$3:$B$5001,$A$123)))</f>
        <v/>
      </c>
      <c r="T125" s="179" t="str">
        <f>IF(T$3="","",IF(COUNTIFS(BD!$A$3:$A$5001,T$3,BD!$B$3:$B$5001,$A$123,BD!$F$3:$F$5001,"&lt;&gt;")=0,"",SUMIFS(BD!$F$3:$F$5001,BD!$A$3:$A$5001,T$3,BD!$B$3:$B$5001,$A$123)))</f>
        <v/>
      </c>
      <c r="U125" s="179" t="str">
        <f>IF(U$3="","",IF(COUNTIFS(BD!$A$3:$A$5001,U$3,BD!$B$3:$B$5001,$A$123,BD!$F$3:$F$5001,"&lt;&gt;")=0,"",SUMIFS(BD!$F$3:$F$5001,BD!$A$3:$A$5001,U$3,BD!$B$3:$B$5001,$A$123)))</f>
        <v/>
      </c>
      <c r="V125" s="179" t="str">
        <f>IF(V$3="","",IF(COUNTIFS(BD!$A$3:$A$5001,V$3,BD!$B$3:$B$5001,$A$123,BD!$F$3:$F$5001,"&lt;&gt;")=0,"",SUMIFS(BD!$F$3:$F$5001,BD!$A$3:$A$5001,V$3,BD!$B$3:$B$5001,$A$123)))</f>
        <v/>
      </c>
      <c r="W125" s="179" t="str">
        <f>IF(W$3="","",IF(COUNTIFS(BD!$A$3:$A$5001,W$3,BD!$B$3:$B$5001,$A$123,BD!$F$3:$F$5001,"&lt;&gt;")=0,"",SUMIFS(BD!$F$3:$F$5001,BD!$A$3:$A$5001,W$3,BD!$B$3:$B$5001,$A$123)))</f>
        <v/>
      </c>
      <c r="X125" s="179" t="str">
        <f>IF(X$3="","",IF(COUNTIFS(BD!$A$3:$A$5001,X$3,BD!$B$3:$B$5001,$A$123,BD!$F$3:$F$5001,"&lt;&gt;")=0,"",SUMIFS(BD!$F$3:$F$5001,BD!$A$3:$A$5001,X$3,BD!$B$3:$B$5001,$A$123)))</f>
        <v/>
      </c>
      <c r="Y125" s="179" t="str">
        <f>IF(Y$3="","",IF(COUNTIFS(BD!$A$3:$A$5001,Y$3,BD!$B$3:$B$5001,$A$123,BD!$F$3:$F$5001,"&lt;&gt;")=0,"",SUMIFS(BD!$F$3:$F$5001,BD!$A$3:$A$5001,Y$3,BD!$B$3:$B$5001,$A$123)))</f>
        <v/>
      </c>
      <c r="Z125" s="179" t="str">
        <f>IF(Z$3="","",IF(COUNTIFS(BD!$A$3:$A$5001,Z$3,BD!$B$3:$B$5001,$A$123,BD!$F$3:$F$5001,"&lt;&gt;")=0,"",SUMIFS(BD!$F$3:$F$5001,BD!$A$3:$A$5001,Z$3,BD!$B$3:$B$5001,$A$123)))</f>
        <v/>
      </c>
      <c r="AA125" s="179" t="str">
        <f>IF(AA$3="","",IF(COUNTIFS(BD!$A$3:$A$5001,AA$3,BD!$B$3:$B$5001,$A$123,BD!$F$3:$F$5001,"&lt;&gt;")=0,"",SUMIFS(BD!$F$3:$F$5001,BD!$A$3:$A$5001,AA$3,BD!$B$3:$B$5001,$A$123)))</f>
        <v/>
      </c>
      <c r="AB125" s="179" t="str">
        <f>IF(AB$3="","",IF(COUNTIFS(BD!$A$3:$A$5001,AB$3,BD!$B$3:$B$5001,$A$123,BD!$F$3:$F$5001,"&lt;&gt;")=0,"",SUMIFS(BD!$F$3:$F$5001,BD!$A$3:$A$5001,AB$3,BD!$B$3:$B$5001,$A$123)))</f>
        <v/>
      </c>
      <c r="AC125" s="179" t="str">
        <f>IF(AC$3="","",IF(COUNTIFS(BD!$A$3:$A$5001,AC$3,BD!$B$3:$B$5001,$A$123,BD!$F$3:$F$5001,"&lt;&gt;")=0,"",SUMIFS(BD!$F$3:$F$5001,BD!$A$3:$A$5001,AC$3,BD!$B$3:$B$5001,$A$123)))</f>
        <v/>
      </c>
      <c r="AD125" s="179" t="str">
        <f>IF(AD$3="","",IF(COUNTIFS(BD!$A$3:$A$5001,AD$3,BD!$B$3:$B$5001,$A$123,BD!$F$3:$F$5001,"&lt;&gt;")=0,"",SUMIFS(BD!$F$3:$F$5001,BD!$A$3:$A$5001,AD$3,BD!$B$3:$B$5001,$A$123)))</f>
        <v/>
      </c>
      <c r="AE125" s="179" t="str">
        <f>IF(AE$3="","",IF(COUNTIFS(BD!$A$3:$A$5001,AE$3,BD!$B$3:$B$5001,$A$123,BD!$F$3:$F$5001,"&lt;&gt;")=0,"",SUMIFS(BD!$F$3:$F$5001,BD!$A$3:$A$5001,AE$3,BD!$B$3:$B$5001,$A$123)))</f>
        <v/>
      </c>
      <c r="AF125" s="179" t="str">
        <f>IF(AF$3="","",IF(COUNTIFS(BD!$A$3:$A$5001,AF$3,BD!$B$3:$B$5001,$A$123,BD!$F$3:$F$5001,"&lt;&gt;")=0,"",SUMIFS(BD!$F$3:$F$5001,BD!$A$3:$A$5001,AF$3,BD!$B$3:$B$5001,$A$123)))</f>
        <v/>
      </c>
      <c r="AG125" s="179" t="str">
        <f>IF(AG$3="","",IF(COUNTIFS(BD!$A$3:$A$5001,AG$3,BD!$B$3:$B$5001,$A$123,BD!$F$3:$F$5001,"&lt;&gt;")=0,"",SUMIFS(BD!$F$3:$F$5001,BD!$A$3:$A$5001,AG$3,BD!$B$3:$B$5001,$A$123)))</f>
        <v/>
      </c>
      <c r="AH125" s="179" t="str">
        <f>IF(AH$3="","",IF(COUNTIFS(BD!$A$3:$A$5001,AH$3,BD!$B$3:$B$5001,$A$123,BD!$F$3:$F$5001,"&lt;&gt;")=0,"",SUMIFS(BD!$F$3:$F$5001,BD!$A$3:$A$5001,AH$3,BD!$B$3:$B$5001,$A$123)))</f>
        <v/>
      </c>
      <c r="AI125" s="179" t="str">
        <f>IF(AI$3="","",IF(COUNTIFS(BD!$A$3:$A$5001,AI$3,BD!$B$3:$B$5001,$A$123,BD!$F$3:$F$5001,"&lt;&gt;")=0,"",SUMIFS(BD!$F$3:$F$5001,BD!$A$3:$A$5001,AI$3,BD!$B$3:$B$5001,$A$123)))</f>
        <v/>
      </c>
      <c r="AJ125" s="180" t="str">
        <f>IF(AJ$3="","",IF(COUNTIFS(BD!$A$3:$A$5001,AJ$3,BD!$B$3:$B$5001,$A$123,BD!$F$3:$F$5001,"&lt;&gt;")=0,"",SUMIFS(BD!$F$3:$F$5001,BD!$A$3:$A$5001,AJ$3,BD!$B$3:$B$5001,$A$123)))</f>
        <v/>
      </c>
      <c r="AK125" s="176" t="str">
        <f>IF(COUNT(F125:AJ125)=0,"",SUM(F125:AJ125))</f>
        <v/>
      </c>
    </row>
    <row r="126" ht="15.75" customHeight="1">
      <c r="A126" s="261"/>
      <c r="B126" s="251" t="inlineStr">
        <is>
          <t xml:space="preserve">OUT</t>
        </is>
      </c>
      <c r="C126" s="181" t="inlineStr">
        <is>
          <t xml:space="preserve">Veículos Expedidos</t>
        </is>
      </c>
      <c r="D126" s="182" t="str">
        <f>IFERROR(1/(1/INDEX(BD!$AL$32:$BF$32,MATCH($A$123,BD!$AL$22:$BF$22,0))),"")</f>
        <v/>
      </c>
      <c r="E126" s="183"/>
      <c r="F126" s="184" t="str">
        <f>IF(F$3="","",IF(COUNTIFS(BD!$A$3:$A$5001,F$3,BD!$B$3:$B$5001,$A$123,BD!$L$3:$L$5001,"&lt;&gt;")=0,"",SUMIFS(BD!$L$3:$L$5001,BD!$A$3:$A$5001,F$3,BD!$B$3:$B$5001,$A$123)))</f>
        <v/>
      </c>
      <c r="G126" s="185" t="str">
        <f>IF(G$3="","",IF(COUNTIFS(BD!$A$3:$A$5001,G$3,BD!$B$3:$B$5001,$A$123,BD!$L$3:$L$5001,"&lt;&gt;")=0,"",SUMIFS(BD!$L$3:$L$5001,BD!$A$3:$A$5001,G$3,BD!$B$3:$B$5001,$A$123)))</f>
        <v/>
      </c>
      <c r="H126" s="185" t="str">
        <f>IF(H$3="","",IF(COUNTIFS(BD!$A$3:$A$5001,H$3,BD!$B$3:$B$5001,$A$123,BD!$L$3:$L$5001,"&lt;&gt;")=0,"",SUMIFS(BD!$L$3:$L$5001,BD!$A$3:$A$5001,H$3,BD!$B$3:$B$5001,$A$123)))</f>
        <v/>
      </c>
      <c r="I126" s="185" t="str">
        <f>IF(I$3="","",IF(COUNTIFS(BD!$A$3:$A$5001,I$3,BD!$B$3:$B$5001,$A$123,BD!$L$3:$L$5001,"&lt;&gt;")=0,"",SUMIFS(BD!$L$3:$L$5001,BD!$A$3:$A$5001,I$3,BD!$B$3:$B$5001,$A$123)))</f>
        <v/>
      </c>
      <c r="J126" s="185" t="str">
        <f>IF(J$3="","",IF(COUNTIFS(BD!$A$3:$A$5001,J$3,BD!$B$3:$B$5001,$A$123,BD!$L$3:$L$5001,"&lt;&gt;")=0,"",SUMIFS(BD!$L$3:$L$5001,BD!$A$3:$A$5001,J$3,BD!$B$3:$B$5001,$A$123)))</f>
        <v/>
      </c>
      <c r="K126" s="185" t="str">
        <f>IF(K$3="","",IF(COUNTIFS(BD!$A$3:$A$5001,K$3,BD!$B$3:$B$5001,$A$123,BD!$L$3:$L$5001,"&lt;&gt;")=0,"",SUMIFS(BD!$L$3:$L$5001,BD!$A$3:$A$5001,K$3,BD!$B$3:$B$5001,$A$123)))</f>
        <v/>
      </c>
      <c r="L126" s="185" t="str">
        <f>IF(L$3="","",IF(COUNTIFS(BD!$A$3:$A$5001,L$3,BD!$B$3:$B$5001,$A$123,BD!$L$3:$L$5001,"&lt;&gt;")=0,"",SUMIFS(BD!$L$3:$L$5001,BD!$A$3:$A$5001,L$3,BD!$B$3:$B$5001,$A$123)))</f>
        <v/>
      </c>
      <c r="M126" s="185" t="str">
        <f>IF(M$3="","",IF(COUNTIFS(BD!$A$3:$A$5001,M$3,BD!$B$3:$B$5001,$A$123,BD!$L$3:$L$5001,"&lt;&gt;")=0,"",SUMIFS(BD!$L$3:$L$5001,BD!$A$3:$A$5001,M$3,BD!$B$3:$B$5001,$A$123)))</f>
        <v/>
      </c>
      <c r="N126" s="185" t="str">
        <f>IF(N$3="","",IF(COUNTIFS(BD!$A$3:$A$5001,N$3,BD!$B$3:$B$5001,$A$123,BD!$L$3:$L$5001,"&lt;&gt;")=0,"",SUMIFS(BD!$L$3:$L$5001,BD!$A$3:$A$5001,N$3,BD!$B$3:$B$5001,$A$123)))</f>
        <v/>
      </c>
      <c r="O126" s="185" t="str">
        <f>IF(O$3="","",IF(COUNTIFS(BD!$A$3:$A$5001,O$3,BD!$B$3:$B$5001,$A$123,BD!$L$3:$L$5001,"&lt;&gt;")=0,"",SUMIFS(BD!$L$3:$L$5001,BD!$A$3:$A$5001,O$3,BD!$B$3:$B$5001,$A$123)))</f>
        <v/>
      </c>
      <c r="P126" s="185" t="str">
        <f>IF(P$3="","",IF(COUNTIFS(BD!$A$3:$A$5001,P$3,BD!$B$3:$B$5001,$A$123,BD!$L$3:$L$5001,"&lt;&gt;")=0,"",SUMIFS(BD!$L$3:$L$5001,BD!$A$3:$A$5001,P$3,BD!$B$3:$B$5001,$A$123)))</f>
        <v/>
      </c>
      <c r="Q126" s="185" t="str">
        <f>IF(Q$3="","",IF(COUNTIFS(BD!$A$3:$A$5001,Q$3,BD!$B$3:$B$5001,$A$123,BD!$L$3:$L$5001,"&lt;&gt;")=0,"",SUMIFS(BD!$L$3:$L$5001,BD!$A$3:$A$5001,Q$3,BD!$B$3:$B$5001,$A$123)))</f>
        <v/>
      </c>
      <c r="R126" s="185" t="str">
        <f>IF(R$3="","",IF(COUNTIFS(BD!$A$3:$A$5001,R$3,BD!$B$3:$B$5001,$A$123,BD!$L$3:$L$5001,"&lt;&gt;")=0,"",SUMIFS(BD!$L$3:$L$5001,BD!$A$3:$A$5001,R$3,BD!$B$3:$B$5001,$A$123)))</f>
        <v/>
      </c>
      <c r="S126" s="185" t="str">
        <f>IF(S$3="","",IF(COUNTIFS(BD!$A$3:$A$5001,S$3,BD!$B$3:$B$5001,$A$123,BD!$L$3:$L$5001,"&lt;&gt;")=0,"",SUMIFS(BD!$L$3:$L$5001,BD!$A$3:$A$5001,S$3,BD!$B$3:$B$5001,$A$123)))</f>
        <v/>
      </c>
      <c r="T126" s="185" t="str">
        <f>IF(T$3="","",IF(COUNTIFS(BD!$A$3:$A$5001,T$3,BD!$B$3:$B$5001,$A$123,BD!$L$3:$L$5001,"&lt;&gt;")=0,"",SUMIFS(BD!$L$3:$L$5001,BD!$A$3:$A$5001,T$3,BD!$B$3:$B$5001,$A$123)))</f>
        <v/>
      </c>
      <c r="U126" s="185" t="str">
        <f>IF(U$3="","",IF(COUNTIFS(BD!$A$3:$A$5001,U$3,BD!$B$3:$B$5001,$A$123,BD!$L$3:$L$5001,"&lt;&gt;")=0,"",SUMIFS(BD!$L$3:$L$5001,BD!$A$3:$A$5001,U$3,BD!$B$3:$B$5001,$A$123)))</f>
        <v/>
      </c>
      <c r="V126" s="185" t="str">
        <f>IF(V$3="","",IF(COUNTIFS(BD!$A$3:$A$5001,V$3,BD!$B$3:$B$5001,$A$123,BD!$L$3:$L$5001,"&lt;&gt;")=0,"",SUMIFS(BD!$L$3:$L$5001,BD!$A$3:$A$5001,V$3,BD!$B$3:$B$5001,$A$123)))</f>
        <v/>
      </c>
      <c r="W126" s="185" t="str">
        <f>IF(W$3="","",IF(COUNTIFS(BD!$A$3:$A$5001,W$3,BD!$B$3:$B$5001,$A$123,BD!$L$3:$L$5001,"&lt;&gt;")=0,"",SUMIFS(BD!$L$3:$L$5001,BD!$A$3:$A$5001,W$3,BD!$B$3:$B$5001,$A$123)))</f>
        <v/>
      </c>
      <c r="X126" s="185" t="str">
        <f>IF(X$3="","",IF(COUNTIFS(BD!$A$3:$A$5001,X$3,BD!$B$3:$B$5001,$A$123,BD!$L$3:$L$5001,"&lt;&gt;")=0,"",SUMIFS(BD!$L$3:$L$5001,BD!$A$3:$A$5001,X$3,BD!$B$3:$B$5001,$A$123)))</f>
        <v/>
      </c>
      <c r="Y126" s="185" t="str">
        <f>IF(Y$3="","",IF(COUNTIFS(BD!$A$3:$A$5001,Y$3,BD!$B$3:$B$5001,$A$123,BD!$L$3:$L$5001,"&lt;&gt;")=0,"",SUMIFS(BD!$L$3:$L$5001,BD!$A$3:$A$5001,Y$3,BD!$B$3:$B$5001,$A$123)))</f>
        <v/>
      </c>
      <c r="Z126" s="185" t="str">
        <f>IF(Z$3="","",IF(COUNTIFS(BD!$A$3:$A$5001,Z$3,BD!$B$3:$B$5001,$A$123,BD!$L$3:$L$5001,"&lt;&gt;")=0,"",SUMIFS(BD!$L$3:$L$5001,BD!$A$3:$A$5001,Z$3,BD!$B$3:$B$5001,$A$123)))</f>
        <v/>
      </c>
      <c r="AA126" s="185" t="str">
        <f>IF(AA$3="","",IF(COUNTIFS(BD!$A$3:$A$5001,AA$3,BD!$B$3:$B$5001,$A$123,BD!$L$3:$L$5001,"&lt;&gt;")=0,"",SUMIFS(BD!$L$3:$L$5001,BD!$A$3:$A$5001,AA$3,BD!$B$3:$B$5001,$A$123)))</f>
        <v/>
      </c>
      <c r="AB126" s="185" t="str">
        <f>IF(AB$3="","",IF(COUNTIFS(BD!$A$3:$A$5001,AB$3,BD!$B$3:$B$5001,$A$123,BD!$L$3:$L$5001,"&lt;&gt;")=0,"",SUMIFS(BD!$L$3:$L$5001,BD!$A$3:$A$5001,AB$3,BD!$B$3:$B$5001,$A$123)))</f>
        <v/>
      </c>
      <c r="AC126" s="185" t="str">
        <f>IF(AC$3="","",IF(COUNTIFS(BD!$A$3:$A$5001,AC$3,BD!$B$3:$B$5001,$A$123,BD!$L$3:$L$5001,"&lt;&gt;")=0,"",SUMIFS(BD!$L$3:$L$5001,BD!$A$3:$A$5001,AC$3,BD!$B$3:$B$5001,$A$123)))</f>
        <v/>
      </c>
      <c r="AD126" s="185" t="str">
        <f>IF(AD$3="","",IF(COUNTIFS(BD!$A$3:$A$5001,AD$3,BD!$B$3:$B$5001,$A$123,BD!$L$3:$L$5001,"&lt;&gt;")=0,"",SUMIFS(BD!$L$3:$L$5001,BD!$A$3:$A$5001,AD$3,BD!$B$3:$B$5001,$A$123)))</f>
        <v/>
      </c>
      <c r="AE126" s="185" t="str">
        <f>IF(AE$3="","",IF(COUNTIFS(BD!$A$3:$A$5001,AE$3,BD!$B$3:$B$5001,$A$123,BD!$L$3:$L$5001,"&lt;&gt;")=0,"",SUMIFS(BD!$L$3:$L$5001,BD!$A$3:$A$5001,AE$3,BD!$B$3:$B$5001,$A$123)))</f>
        <v/>
      </c>
      <c r="AF126" s="185" t="str">
        <f>IF(AF$3="","",IF(COUNTIFS(BD!$A$3:$A$5001,AF$3,BD!$B$3:$B$5001,$A$123,BD!$L$3:$L$5001,"&lt;&gt;")=0,"",SUMIFS(BD!$L$3:$L$5001,BD!$A$3:$A$5001,AF$3,BD!$B$3:$B$5001,$A$123)))</f>
        <v/>
      </c>
      <c r="AG126" s="185" t="str">
        <f>IF(AG$3="","",IF(COUNTIFS(BD!$A$3:$A$5001,AG$3,BD!$B$3:$B$5001,$A$123,BD!$L$3:$L$5001,"&lt;&gt;")=0,"",SUMIFS(BD!$L$3:$L$5001,BD!$A$3:$A$5001,AG$3,BD!$B$3:$B$5001,$A$123)))</f>
        <v/>
      </c>
      <c r="AH126" s="185" t="str">
        <f>IF(AH$3="","",IF(COUNTIFS(BD!$A$3:$A$5001,AH$3,BD!$B$3:$B$5001,$A$123,BD!$L$3:$L$5001,"&lt;&gt;")=0,"",SUMIFS(BD!$L$3:$L$5001,BD!$A$3:$A$5001,AH$3,BD!$B$3:$B$5001,$A$123)))</f>
        <v/>
      </c>
      <c r="AI126" s="185" t="str">
        <f>IF(AI$3="","",IF(COUNTIFS(BD!$A$3:$A$5001,AI$3,BD!$B$3:$B$5001,$A$123,BD!$L$3:$L$5001,"&lt;&gt;")=0,"",SUMIFS(BD!$L$3:$L$5001,BD!$A$3:$A$5001,AI$3,BD!$B$3:$B$5001,$A$123)))</f>
        <v/>
      </c>
      <c r="AJ126" s="186" t="str">
        <f>IF(AJ$3="","",IF(COUNTIFS(BD!$A$3:$A$5001,AJ$3,BD!$B$3:$B$5001,$A$123,BD!$L$3:$L$5001,"&lt;&gt;")=0,"",SUMIFS(BD!$L$3:$L$5001,BD!$A$3:$A$5001,AJ$3,BD!$B$3:$B$5001,$A$123)))</f>
        <v/>
      </c>
      <c r="AK126" s="187" t="str">
        <f>IF(COUNT(F126:AJ126)=0,"",SUM(F126:AJ126))</f>
        <v/>
      </c>
    </row>
    <row r="127" ht="15.75" customHeight="1">
      <c r="A127" s="261"/>
      <c r="B127" s="278"/>
      <c r="C127" s="267" t="inlineStr">
        <is>
          <t xml:space="preserve">Pallets Movimentados</t>
        </is>
      </c>
      <c r="D127" s="268" t="str">
        <f>IFERROR(1/(1/INDEX(BD!$AL$38:$BF$38,MATCH($A$123,BD!$AL$22:$BF$22,0))),"")</f>
        <v/>
      </c>
      <c r="E127" s="269"/>
      <c r="F127" s="270" t="str">
        <f>IF(F$3="","",IF(COUNTIFS(BD!$A$3:$A$5001,F$3,BD!$B$3:$B$5001,$A$123,BD!$R$3:$R$5001,"&lt;&gt;")=0,"",SUMIFS(BD!$R$3:$R$5001,BD!$A$3:$A$5001,F$3,BD!$B$3:$B$5001,$A$123)))</f>
        <v/>
      </c>
      <c r="G127" s="271" t="str">
        <f>IF(G$3="","",IF(COUNTIFS(BD!$A$3:$A$5001,G$3,BD!$B$3:$B$5001,$A$123,BD!$R$3:$R$5001,"&lt;&gt;")=0,"",SUMIFS(BD!$R$3:$R$5001,BD!$A$3:$A$5001,G$3,BD!$B$3:$B$5001,$A$123)))</f>
        <v/>
      </c>
      <c r="H127" s="271" t="str">
        <f>IF(H$3="","",IF(COUNTIFS(BD!$A$3:$A$5001,H$3,BD!$B$3:$B$5001,$A$123,BD!$R$3:$R$5001,"&lt;&gt;")=0,"",SUMIFS(BD!$R$3:$R$5001,BD!$A$3:$A$5001,H$3,BD!$B$3:$B$5001,$A$123)))</f>
        <v/>
      </c>
      <c r="I127" s="271" t="str">
        <f>IF(I$3="","",IF(COUNTIFS(BD!$A$3:$A$5001,I$3,BD!$B$3:$B$5001,$A$123,BD!$R$3:$R$5001,"&lt;&gt;")=0,"",SUMIFS(BD!$R$3:$R$5001,BD!$A$3:$A$5001,I$3,BD!$B$3:$B$5001,$A$123)))</f>
        <v/>
      </c>
      <c r="J127" s="271" t="str">
        <f>IF(J$3="","",IF(COUNTIFS(BD!$A$3:$A$5001,J$3,BD!$B$3:$B$5001,$A$123,BD!$R$3:$R$5001,"&lt;&gt;")=0,"",SUMIFS(BD!$R$3:$R$5001,BD!$A$3:$A$5001,J$3,BD!$B$3:$B$5001,$A$123)))</f>
        <v/>
      </c>
      <c r="K127" s="271" t="str">
        <f>IF(K$3="","",IF(COUNTIFS(BD!$A$3:$A$5001,K$3,BD!$B$3:$B$5001,$A$123,BD!$R$3:$R$5001,"&lt;&gt;")=0,"",SUMIFS(BD!$R$3:$R$5001,BD!$A$3:$A$5001,K$3,BD!$B$3:$B$5001,$A$123)))</f>
        <v/>
      </c>
      <c r="L127" s="271" t="str">
        <f>IF(L$3="","",IF(COUNTIFS(BD!$A$3:$A$5001,L$3,BD!$B$3:$B$5001,$A$123,BD!$R$3:$R$5001,"&lt;&gt;")=0,"",SUMIFS(BD!$R$3:$R$5001,BD!$A$3:$A$5001,L$3,BD!$B$3:$B$5001,$A$123)))</f>
        <v/>
      </c>
      <c r="M127" s="271" t="str">
        <f>IF(M$3="","",IF(COUNTIFS(BD!$A$3:$A$5001,M$3,BD!$B$3:$B$5001,$A$123,BD!$R$3:$R$5001,"&lt;&gt;")=0,"",SUMIFS(BD!$R$3:$R$5001,BD!$A$3:$A$5001,M$3,BD!$B$3:$B$5001,$A$123)))</f>
        <v/>
      </c>
      <c r="N127" s="271" t="str">
        <f>IF(N$3="","",IF(COUNTIFS(BD!$A$3:$A$5001,N$3,BD!$B$3:$B$5001,$A$123,BD!$R$3:$R$5001,"&lt;&gt;")=0,"",SUMIFS(BD!$R$3:$R$5001,BD!$A$3:$A$5001,N$3,BD!$B$3:$B$5001,$A$123)))</f>
        <v/>
      </c>
      <c r="O127" s="271" t="str">
        <f>IF(O$3="","",IF(COUNTIFS(BD!$A$3:$A$5001,O$3,BD!$B$3:$B$5001,$A$123,BD!$R$3:$R$5001,"&lt;&gt;")=0,"",SUMIFS(BD!$R$3:$R$5001,BD!$A$3:$A$5001,O$3,BD!$B$3:$B$5001,$A$123)))</f>
        <v/>
      </c>
      <c r="P127" s="271" t="str">
        <f>IF(P$3="","",IF(COUNTIFS(BD!$A$3:$A$5001,P$3,BD!$B$3:$B$5001,$A$123,BD!$R$3:$R$5001,"&lt;&gt;")=0,"",SUMIFS(BD!$R$3:$R$5001,BD!$A$3:$A$5001,P$3,BD!$B$3:$B$5001,$A$123)))</f>
        <v/>
      </c>
      <c r="Q127" s="271" t="str">
        <f>IF(Q$3="","",IF(COUNTIFS(BD!$A$3:$A$5001,Q$3,BD!$B$3:$B$5001,$A$123,BD!$R$3:$R$5001,"&lt;&gt;")=0,"",SUMIFS(BD!$R$3:$R$5001,BD!$A$3:$A$5001,Q$3,BD!$B$3:$B$5001,$A$123)))</f>
        <v/>
      </c>
      <c r="R127" s="271" t="str">
        <f>IF(R$3="","",IF(COUNTIFS(BD!$A$3:$A$5001,R$3,BD!$B$3:$B$5001,$A$123,BD!$R$3:$R$5001,"&lt;&gt;")=0,"",SUMIFS(BD!$R$3:$R$5001,BD!$A$3:$A$5001,R$3,BD!$B$3:$B$5001,$A$123)))</f>
        <v/>
      </c>
      <c r="S127" s="271" t="str">
        <f>IF(S$3="","",IF(COUNTIFS(BD!$A$3:$A$5001,S$3,BD!$B$3:$B$5001,$A$123,BD!$R$3:$R$5001,"&lt;&gt;")=0,"",SUMIFS(BD!$R$3:$R$5001,BD!$A$3:$A$5001,S$3,BD!$B$3:$B$5001,$A$123)))</f>
        <v/>
      </c>
      <c r="T127" s="271" t="str">
        <f>IF(T$3="","",IF(COUNTIFS(BD!$A$3:$A$5001,T$3,BD!$B$3:$B$5001,$A$123,BD!$R$3:$R$5001,"&lt;&gt;")=0,"",SUMIFS(BD!$R$3:$R$5001,BD!$A$3:$A$5001,T$3,BD!$B$3:$B$5001,$A$123)))</f>
        <v/>
      </c>
      <c r="U127" s="271" t="str">
        <f>IF(U$3="","",IF(COUNTIFS(BD!$A$3:$A$5001,U$3,BD!$B$3:$B$5001,$A$123,BD!$R$3:$R$5001,"&lt;&gt;")=0,"",SUMIFS(BD!$R$3:$R$5001,BD!$A$3:$A$5001,U$3,BD!$B$3:$B$5001,$A$123)))</f>
        <v/>
      </c>
      <c r="V127" s="271" t="str">
        <f>IF(V$3="","",IF(COUNTIFS(BD!$A$3:$A$5001,V$3,BD!$B$3:$B$5001,$A$123,BD!$R$3:$R$5001,"&lt;&gt;")=0,"",SUMIFS(BD!$R$3:$R$5001,BD!$A$3:$A$5001,V$3,BD!$B$3:$B$5001,$A$123)))</f>
        <v/>
      </c>
      <c r="W127" s="271" t="str">
        <f>IF(W$3="","",IF(COUNTIFS(BD!$A$3:$A$5001,W$3,BD!$B$3:$B$5001,$A$123,BD!$R$3:$R$5001,"&lt;&gt;")=0,"",SUMIFS(BD!$R$3:$R$5001,BD!$A$3:$A$5001,W$3,BD!$B$3:$B$5001,$A$123)))</f>
        <v/>
      </c>
      <c r="X127" s="271" t="str">
        <f>IF(X$3="","",IF(COUNTIFS(BD!$A$3:$A$5001,X$3,BD!$B$3:$B$5001,$A$123,BD!$R$3:$R$5001,"&lt;&gt;")=0,"",SUMIFS(BD!$R$3:$R$5001,BD!$A$3:$A$5001,X$3,BD!$B$3:$B$5001,$A$123)))</f>
        <v/>
      </c>
      <c r="Y127" s="271" t="str">
        <f>IF(Y$3="","",IF(COUNTIFS(BD!$A$3:$A$5001,Y$3,BD!$B$3:$B$5001,$A$123,BD!$R$3:$R$5001,"&lt;&gt;")=0,"",SUMIFS(BD!$R$3:$R$5001,BD!$A$3:$A$5001,Y$3,BD!$B$3:$B$5001,$A$123)))</f>
        <v/>
      </c>
      <c r="Z127" s="271" t="str">
        <f>IF(Z$3="","",IF(COUNTIFS(BD!$A$3:$A$5001,Z$3,BD!$B$3:$B$5001,$A$123,BD!$R$3:$R$5001,"&lt;&gt;")=0,"",SUMIFS(BD!$R$3:$R$5001,BD!$A$3:$A$5001,Z$3,BD!$B$3:$B$5001,$A$123)))</f>
        <v/>
      </c>
      <c r="AA127" s="271" t="str">
        <f>IF(AA$3="","",IF(COUNTIFS(BD!$A$3:$A$5001,AA$3,BD!$B$3:$B$5001,$A$123,BD!$R$3:$R$5001,"&lt;&gt;")=0,"",SUMIFS(BD!$R$3:$R$5001,BD!$A$3:$A$5001,AA$3,BD!$B$3:$B$5001,$A$123)))</f>
        <v/>
      </c>
      <c r="AB127" s="271" t="str">
        <f>IF(AB$3="","",IF(COUNTIFS(BD!$A$3:$A$5001,AB$3,BD!$B$3:$B$5001,$A$123,BD!$R$3:$R$5001,"&lt;&gt;")=0,"",SUMIFS(BD!$R$3:$R$5001,BD!$A$3:$A$5001,AB$3,BD!$B$3:$B$5001,$A$123)))</f>
        <v/>
      </c>
      <c r="AC127" s="271" t="str">
        <f>IF(AC$3="","",IF(COUNTIFS(BD!$A$3:$A$5001,AC$3,BD!$B$3:$B$5001,$A$123,BD!$R$3:$R$5001,"&lt;&gt;")=0,"",SUMIFS(BD!$R$3:$R$5001,BD!$A$3:$A$5001,AC$3,BD!$B$3:$B$5001,$A$123)))</f>
        <v/>
      </c>
      <c r="AD127" s="271" t="str">
        <f>IF(AD$3="","",IF(COUNTIFS(BD!$A$3:$A$5001,AD$3,BD!$B$3:$B$5001,$A$123,BD!$R$3:$R$5001,"&lt;&gt;")=0,"",SUMIFS(BD!$R$3:$R$5001,BD!$A$3:$A$5001,AD$3,BD!$B$3:$B$5001,$A$123)))</f>
        <v/>
      </c>
      <c r="AE127" s="271" t="str">
        <f>IF(AE$3="","",IF(COUNTIFS(BD!$A$3:$A$5001,AE$3,BD!$B$3:$B$5001,$A$123,BD!$R$3:$R$5001,"&lt;&gt;")=0,"",SUMIFS(BD!$R$3:$R$5001,BD!$A$3:$A$5001,AE$3,BD!$B$3:$B$5001,$A$123)))</f>
        <v/>
      </c>
      <c r="AF127" s="271" t="str">
        <f>IF(AF$3="","",IF(COUNTIFS(BD!$A$3:$A$5001,AF$3,BD!$B$3:$B$5001,$A$123,BD!$R$3:$R$5001,"&lt;&gt;")=0,"",SUMIFS(BD!$R$3:$R$5001,BD!$A$3:$A$5001,AF$3,BD!$B$3:$B$5001,$A$123)))</f>
        <v/>
      </c>
      <c r="AG127" s="271" t="str">
        <f>IF(AG$3="","",IF(COUNTIFS(BD!$A$3:$A$5001,AG$3,BD!$B$3:$B$5001,$A$123,BD!$R$3:$R$5001,"&lt;&gt;")=0,"",SUMIFS(BD!$R$3:$R$5001,BD!$A$3:$A$5001,AG$3,BD!$B$3:$B$5001,$A$123)))</f>
        <v/>
      </c>
      <c r="AH127" s="271" t="str">
        <f>IF(AH$3="","",IF(COUNTIFS(BD!$A$3:$A$5001,AH$3,BD!$B$3:$B$5001,$A$123,BD!$R$3:$R$5001,"&lt;&gt;")=0,"",SUMIFS(BD!$R$3:$R$5001,BD!$A$3:$A$5001,AH$3,BD!$B$3:$B$5001,$A$123)))</f>
        <v/>
      </c>
      <c r="AI127" s="271" t="str">
        <f>IF(AI$3="","",IF(COUNTIFS(BD!$A$3:$A$5001,AI$3,BD!$B$3:$B$5001,$A$123,BD!$R$3:$R$5001,"&lt;&gt;")=0,"",SUMIFS(BD!$R$3:$R$5001,BD!$A$3:$A$5001,AI$3,BD!$B$3:$B$5001,$A$123)))</f>
        <v/>
      </c>
      <c r="AJ127" s="272" t="str">
        <f>IF(AJ$3="","",IF(COUNTIFS(BD!$A$3:$A$5001,AJ$3,BD!$B$3:$B$5001,$A$123,BD!$R$3:$R$5001,"&lt;&gt;")=0,"",SUMIFS(BD!$R$3:$R$5001,BD!$A$3:$A$5001,AJ$3,BD!$B$3:$B$5001,$A$123)))</f>
        <v/>
      </c>
      <c r="AK127" s="273" t="str">
        <f>IF(COUNT(F127:AJ127)=0,"",SUM(F127:AJ127))</f>
        <v/>
      </c>
    </row>
    <row r="128" ht="15.75" customHeight="1">
      <c r="A128" s="261"/>
      <c r="B128" s="252"/>
      <c r="C128" s="188" t="inlineStr">
        <is>
          <t xml:space="preserve">Linhas NF</t>
        </is>
      </c>
      <c r="D128" s="189" t="str">
        <f>IFERROR(1/(1/INDEX(BD!$AL$36:$BF$36,MATCH($A$123,BD!$AL$22:$BF$22,0))),"")</f>
        <v/>
      </c>
      <c r="E128" s="190"/>
      <c r="F128" s="191" t="str">
        <f>IF(F$3="","",IF(COUNTIFS(BD!$A$3:$A$5001,F$3,BD!$B$3:$B$5001,$A$123,BD!$P$3:$P$5001,"&lt;&gt;")=0,"",SUMIFS(BD!$P$3:$P$5001,BD!$A$3:$A$5001,F$3,BD!$B$3:$B$5001,$A$123)))</f>
        <v/>
      </c>
      <c r="G128" s="192" t="str">
        <f>IF(G$3="","",IF(COUNTIFS(BD!$A$3:$A$5001,G$3,BD!$B$3:$B$5001,$A$123,BD!$P$3:$P$5001,"&lt;&gt;")=0,"",SUMIFS(BD!$P$3:$P$5001,BD!$A$3:$A$5001,G$3,BD!$B$3:$B$5001,$A$123)))</f>
        <v/>
      </c>
      <c r="H128" s="192" t="str">
        <f>IF(H$3="","",IF(COUNTIFS(BD!$A$3:$A$5001,H$3,BD!$B$3:$B$5001,$A$123,BD!$P$3:$P$5001,"&lt;&gt;")=0,"",SUMIFS(BD!$P$3:$P$5001,BD!$A$3:$A$5001,H$3,BD!$B$3:$B$5001,$A$123)))</f>
        <v/>
      </c>
      <c r="I128" s="192" t="str">
        <f>IF(I$3="","",IF(COUNTIFS(BD!$A$3:$A$5001,I$3,BD!$B$3:$B$5001,$A$123,BD!$P$3:$P$5001,"&lt;&gt;")=0,"",SUMIFS(BD!$P$3:$P$5001,BD!$A$3:$A$5001,I$3,BD!$B$3:$B$5001,$A$123)))</f>
        <v/>
      </c>
      <c r="J128" s="192" t="str">
        <f>IF(J$3="","",IF(COUNTIFS(BD!$A$3:$A$5001,J$3,BD!$B$3:$B$5001,$A$123,BD!$P$3:$P$5001,"&lt;&gt;")=0,"",SUMIFS(BD!$P$3:$P$5001,BD!$A$3:$A$5001,J$3,BD!$B$3:$B$5001,$A$123)))</f>
        <v/>
      </c>
      <c r="K128" s="192" t="str">
        <f>IF(K$3="","",IF(COUNTIFS(BD!$A$3:$A$5001,K$3,BD!$B$3:$B$5001,$A$123,BD!$P$3:$P$5001,"&lt;&gt;")=0,"",SUMIFS(BD!$P$3:$P$5001,BD!$A$3:$A$5001,K$3,BD!$B$3:$B$5001,$A$123)))</f>
        <v/>
      </c>
      <c r="L128" s="192" t="str">
        <f>IF(L$3="","",IF(COUNTIFS(BD!$A$3:$A$5001,L$3,BD!$B$3:$B$5001,$A$123,BD!$P$3:$P$5001,"&lt;&gt;")=0,"",SUMIFS(BD!$P$3:$P$5001,BD!$A$3:$A$5001,L$3,BD!$B$3:$B$5001,$A$123)))</f>
        <v/>
      </c>
      <c r="M128" s="192" t="str">
        <f>IF(M$3="","",IF(COUNTIFS(BD!$A$3:$A$5001,M$3,BD!$B$3:$B$5001,$A$123,BD!$P$3:$P$5001,"&lt;&gt;")=0,"",SUMIFS(BD!$P$3:$P$5001,BD!$A$3:$A$5001,M$3,BD!$B$3:$B$5001,$A$123)))</f>
        <v/>
      </c>
      <c r="N128" s="192" t="str">
        <f>IF(N$3="","",IF(COUNTIFS(BD!$A$3:$A$5001,N$3,BD!$B$3:$B$5001,$A$123,BD!$P$3:$P$5001,"&lt;&gt;")=0,"",SUMIFS(BD!$P$3:$P$5001,BD!$A$3:$A$5001,N$3,BD!$B$3:$B$5001,$A$123)))</f>
        <v/>
      </c>
      <c r="O128" s="192" t="str">
        <f>IF(O$3="","",IF(COUNTIFS(BD!$A$3:$A$5001,O$3,BD!$B$3:$B$5001,$A$123,BD!$P$3:$P$5001,"&lt;&gt;")=0,"",SUMIFS(BD!$P$3:$P$5001,BD!$A$3:$A$5001,O$3,BD!$B$3:$B$5001,$A$123)))</f>
        <v/>
      </c>
      <c r="P128" s="192" t="str">
        <f>IF(P$3="","",IF(COUNTIFS(BD!$A$3:$A$5001,P$3,BD!$B$3:$B$5001,$A$123,BD!$P$3:$P$5001,"&lt;&gt;")=0,"",SUMIFS(BD!$P$3:$P$5001,BD!$A$3:$A$5001,P$3,BD!$B$3:$B$5001,$A$123)))</f>
        <v/>
      </c>
      <c r="Q128" s="192" t="str">
        <f>IF(Q$3="","",IF(COUNTIFS(BD!$A$3:$A$5001,Q$3,BD!$B$3:$B$5001,$A$123,BD!$P$3:$P$5001,"&lt;&gt;")=0,"",SUMIFS(BD!$P$3:$P$5001,BD!$A$3:$A$5001,Q$3,BD!$B$3:$B$5001,$A$123)))</f>
        <v/>
      </c>
      <c r="R128" s="192" t="str">
        <f>IF(R$3="","",IF(COUNTIFS(BD!$A$3:$A$5001,R$3,BD!$B$3:$B$5001,$A$123,BD!$P$3:$P$5001,"&lt;&gt;")=0,"",SUMIFS(BD!$P$3:$P$5001,BD!$A$3:$A$5001,R$3,BD!$B$3:$B$5001,$A$123)))</f>
        <v/>
      </c>
      <c r="S128" s="192" t="str">
        <f>IF(S$3="","",IF(COUNTIFS(BD!$A$3:$A$5001,S$3,BD!$B$3:$B$5001,$A$123,BD!$P$3:$P$5001,"&lt;&gt;")=0,"",SUMIFS(BD!$P$3:$P$5001,BD!$A$3:$A$5001,S$3,BD!$B$3:$B$5001,$A$123)))</f>
        <v/>
      </c>
      <c r="T128" s="192" t="str">
        <f>IF(T$3="","",IF(COUNTIFS(BD!$A$3:$A$5001,T$3,BD!$B$3:$B$5001,$A$123,BD!$P$3:$P$5001,"&lt;&gt;")=0,"",SUMIFS(BD!$P$3:$P$5001,BD!$A$3:$A$5001,T$3,BD!$B$3:$B$5001,$A$123)))</f>
        <v/>
      </c>
      <c r="U128" s="192" t="str">
        <f>IF(U$3="","",IF(COUNTIFS(BD!$A$3:$A$5001,U$3,BD!$B$3:$B$5001,$A$123,BD!$P$3:$P$5001,"&lt;&gt;")=0,"",SUMIFS(BD!$P$3:$P$5001,BD!$A$3:$A$5001,U$3,BD!$B$3:$B$5001,$A$123)))</f>
        <v/>
      </c>
      <c r="V128" s="192" t="str">
        <f>IF(V$3="","",IF(COUNTIFS(BD!$A$3:$A$5001,V$3,BD!$B$3:$B$5001,$A$123,BD!$P$3:$P$5001,"&lt;&gt;")=0,"",SUMIFS(BD!$P$3:$P$5001,BD!$A$3:$A$5001,V$3,BD!$B$3:$B$5001,$A$123)))</f>
        <v/>
      </c>
      <c r="W128" s="192" t="str">
        <f>IF(W$3="","",IF(COUNTIFS(BD!$A$3:$A$5001,W$3,BD!$B$3:$B$5001,$A$123,BD!$P$3:$P$5001,"&lt;&gt;")=0,"",SUMIFS(BD!$P$3:$P$5001,BD!$A$3:$A$5001,W$3,BD!$B$3:$B$5001,$A$123)))</f>
        <v/>
      </c>
      <c r="X128" s="192" t="str">
        <f>IF(X$3="","",IF(COUNTIFS(BD!$A$3:$A$5001,X$3,BD!$B$3:$B$5001,$A$123,BD!$P$3:$P$5001,"&lt;&gt;")=0,"",SUMIFS(BD!$P$3:$P$5001,BD!$A$3:$A$5001,X$3,BD!$B$3:$B$5001,$A$123)))</f>
        <v/>
      </c>
      <c r="Y128" s="192" t="str">
        <f>IF(Y$3="","",IF(COUNTIFS(BD!$A$3:$A$5001,Y$3,BD!$B$3:$B$5001,$A$123,BD!$P$3:$P$5001,"&lt;&gt;")=0,"",SUMIFS(BD!$P$3:$P$5001,BD!$A$3:$A$5001,Y$3,BD!$B$3:$B$5001,$A$123)))</f>
        <v/>
      </c>
      <c r="Z128" s="192" t="str">
        <f>IF(Z$3="","",IF(COUNTIFS(BD!$A$3:$A$5001,Z$3,BD!$B$3:$B$5001,$A$123,BD!$P$3:$P$5001,"&lt;&gt;")=0,"",SUMIFS(BD!$P$3:$P$5001,BD!$A$3:$A$5001,Z$3,BD!$B$3:$B$5001,$A$123)))</f>
        <v/>
      </c>
      <c r="AA128" s="192" t="str">
        <f>IF(AA$3="","",IF(COUNTIFS(BD!$A$3:$A$5001,AA$3,BD!$B$3:$B$5001,$A$123,BD!$P$3:$P$5001,"&lt;&gt;")=0,"",SUMIFS(BD!$P$3:$P$5001,BD!$A$3:$A$5001,AA$3,BD!$B$3:$B$5001,$A$123)))</f>
        <v/>
      </c>
      <c r="AB128" s="192" t="str">
        <f>IF(AB$3="","",IF(COUNTIFS(BD!$A$3:$A$5001,AB$3,BD!$B$3:$B$5001,$A$123,BD!$P$3:$P$5001,"&lt;&gt;")=0,"",SUMIFS(BD!$P$3:$P$5001,BD!$A$3:$A$5001,AB$3,BD!$B$3:$B$5001,$A$123)))</f>
        <v/>
      </c>
      <c r="AC128" s="192" t="str">
        <f>IF(AC$3="","",IF(COUNTIFS(BD!$A$3:$A$5001,AC$3,BD!$B$3:$B$5001,$A$123,BD!$P$3:$P$5001,"&lt;&gt;")=0,"",SUMIFS(BD!$P$3:$P$5001,BD!$A$3:$A$5001,AC$3,BD!$B$3:$B$5001,$A$123)))</f>
        <v/>
      </c>
      <c r="AD128" s="192" t="str">
        <f>IF(AD$3="","",IF(COUNTIFS(BD!$A$3:$A$5001,AD$3,BD!$B$3:$B$5001,$A$123,BD!$P$3:$P$5001,"&lt;&gt;")=0,"",SUMIFS(BD!$P$3:$P$5001,BD!$A$3:$A$5001,AD$3,BD!$B$3:$B$5001,$A$123)))</f>
        <v/>
      </c>
      <c r="AE128" s="192" t="str">
        <f>IF(AE$3="","",IF(COUNTIFS(BD!$A$3:$A$5001,AE$3,BD!$B$3:$B$5001,$A$123,BD!$P$3:$P$5001,"&lt;&gt;")=0,"",SUMIFS(BD!$P$3:$P$5001,BD!$A$3:$A$5001,AE$3,BD!$B$3:$B$5001,$A$123)))</f>
        <v/>
      </c>
      <c r="AF128" s="192" t="str">
        <f>IF(AF$3="","",IF(COUNTIFS(BD!$A$3:$A$5001,AF$3,BD!$B$3:$B$5001,$A$123,BD!$P$3:$P$5001,"&lt;&gt;")=0,"",SUMIFS(BD!$P$3:$P$5001,BD!$A$3:$A$5001,AF$3,BD!$B$3:$B$5001,$A$123)))</f>
        <v/>
      </c>
      <c r="AG128" s="192" t="str">
        <f>IF(AG$3="","",IF(COUNTIFS(BD!$A$3:$A$5001,AG$3,BD!$B$3:$B$5001,$A$123,BD!$P$3:$P$5001,"&lt;&gt;")=0,"",SUMIFS(BD!$P$3:$P$5001,BD!$A$3:$A$5001,AG$3,BD!$B$3:$B$5001,$A$123)))</f>
        <v/>
      </c>
      <c r="AH128" s="192" t="str">
        <f>IF(AH$3="","",IF(COUNTIFS(BD!$A$3:$A$5001,AH$3,BD!$B$3:$B$5001,$A$123,BD!$P$3:$P$5001,"&lt;&gt;")=0,"",SUMIFS(BD!$P$3:$P$5001,BD!$A$3:$A$5001,AH$3,BD!$B$3:$B$5001,$A$123)))</f>
        <v/>
      </c>
      <c r="AI128" s="192" t="str">
        <f>IF(AI$3="","",IF(COUNTIFS(BD!$A$3:$A$5001,AI$3,BD!$B$3:$B$5001,$A$123,BD!$P$3:$P$5001,"&lt;&gt;")=0,"",SUMIFS(BD!$P$3:$P$5001,BD!$A$3:$A$5001,AI$3,BD!$B$3:$B$5001,$A$123)))</f>
        <v/>
      </c>
      <c r="AJ128" s="193" t="str">
        <f>IF(AJ$3="","",IF(COUNTIFS(BD!$A$3:$A$5001,AJ$3,BD!$B$3:$B$5001,$A$123,BD!$P$3:$P$5001,"&lt;&gt;")=0,"",SUMIFS(BD!$P$3:$P$5001,BD!$A$3:$A$5001,AJ$3,BD!$B$3:$B$5001,$A$123)))</f>
        <v/>
      </c>
      <c r="AK128" s="189" t="str">
        <f>IF(COUNT(F128:AJ128)=0,"",SUM(F128:AJ128))</f>
        <v/>
      </c>
    </row>
    <row r="129" ht="15.75" customHeight="1">
      <c r="A129" s="261"/>
      <c r="B129" s="253" t="inlineStr">
        <is>
          <t xml:space="preserve">NC</t>
        </is>
      </c>
      <c r="C129" s="194" t="inlineStr">
        <is>
          <t xml:space="preserve">Incidentes</t>
        </is>
      </c>
      <c r="D129" s="195" t="str">
        <f>IFERROR(1/(1/INDEX(BD!$AL$40:$BF$40,MATCH($A$123,BD!$AL$22:$BF$22,0))),"")</f>
        <v/>
      </c>
      <c r="E129" s="196"/>
      <c r="F129" s="197" t="str">
        <f>IF(F$3="","",IF(COUNTIFS(BD!$A$3:$A$5001,F$3,BD!$B$3:$B$5001,$A$123,BD!$T$3:$T$5001,"&lt;&gt;")=0,"",SUMIFS(BD!$T$3:$T$5001,BD!$A$3:$A$5001,F$3,BD!$B$3:$B$5001,$A$123)))</f>
        <v/>
      </c>
      <c r="G129" s="198" t="str">
        <f>IF(G$3="","",IF(COUNTIFS(BD!$A$3:$A$5001,G$3,BD!$B$3:$B$5001,$A$123,BD!$T$3:$T$5001,"&lt;&gt;")=0,"",SUMIFS(BD!$T$3:$T$5001,BD!$A$3:$A$5001,G$3,BD!$B$3:$B$5001,$A$123)))</f>
        <v/>
      </c>
      <c r="H129" s="198" t="str">
        <f>IF(H$3="","",IF(COUNTIFS(BD!$A$3:$A$5001,H$3,BD!$B$3:$B$5001,$A$123,BD!$T$3:$T$5001,"&lt;&gt;")=0,"",SUMIFS(BD!$T$3:$T$5001,BD!$A$3:$A$5001,H$3,BD!$B$3:$B$5001,$A$123)))</f>
        <v/>
      </c>
      <c r="I129" s="198" t="str">
        <f>IF(I$3="","",IF(COUNTIFS(BD!$A$3:$A$5001,I$3,BD!$B$3:$B$5001,$A$123,BD!$T$3:$T$5001,"&lt;&gt;")=0,"",SUMIFS(BD!$T$3:$T$5001,BD!$A$3:$A$5001,I$3,BD!$B$3:$B$5001,$A$123)))</f>
        <v/>
      </c>
      <c r="J129" s="198" t="str">
        <f>IF(J$3="","",IF(COUNTIFS(BD!$A$3:$A$5001,J$3,BD!$B$3:$B$5001,$A$123,BD!$T$3:$T$5001,"&lt;&gt;")=0,"",SUMIFS(BD!$T$3:$T$5001,BD!$A$3:$A$5001,J$3,BD!$B$3:$B$5001,$A$123)))</f>
        <v/>
      </c>
      <c r="K129" s="198" t="str">
        <f>IF(K$3="","",IF(COUNTIFS(BD!$A$3:$A$5001,K$3,BD!$B$3:$B$5001,$A$123,BD!$T$3:$T$5001,"&lt;&gt;")=0,"",SUMIFS(BD!$T$3:$T$5001,BD!$A$3:$A$5001,K$3,BD!$B$3:$B$5001,$A$123)))</f>
        <v/>
      </c>
      <c r="L129" s="198" t="str">
        <f>IF(L$3="","",IF(COUNTIFS(BD!$A$3:$A$5001,L$3,BD!$B$3:$B$5001,$A$123,BD!$T$3:$T$5001,"&lt;&gt;")=0,"",SUMIFS(BD!$T$3:$T$5001,BD!$A$3:$A$5001,L$3,BD!$B$3:$B$5001,$A$123)))</f>
        <v/>
      </c>
      <c r="M129" s="198" t="str">
        <f>IF(M$3="","",IF(COUNTIFS(BD!$A$3:$A$5001,M$3,BD!$B$3:$B$5001,$A$123,BD!$T$3:$T$5001,"&lt;&gt;")=0,"",SUMIFS(BD!$T$3:$T$5001,BD!$A$3:$A$5001,M$3,BD!$B$3:$B$5001,$A$123)))</f>
        <v/>
      </c>
      <c r="N129" s="198" t="str">
        <f>IF(N$3="","",IF(COUNTIFS(BD!$A$3:$A$5001,N$3,BD!$B$3:$B$5001,$A$123,BD!$T$3:$T$5001,"&lt;&gt;")=0,"",SUMIFS(BD!$T$3:$T$5001,BD!$A$3:$A$5001,N$3,BD!$B$3:$B$5001,$A$123)))</f>
        <v/>
      </c>
      <c r="O129" s="198" t="str">
        <f>IF(O$3="","",IF(COUNTIFS(BD!$A$3:$A$5001,O$3,BD!$B$3:$B$5001,$A$123,BD!$T$3:$T$5001,"&lt;&gt;")=0,"",SUMIFS(BD!$T$3:$T$5001,BD!$A$3:$A$5001,O$3,BD!$B$3:$B$5001,$A$123)))</f>
        <v/>
      </c>
      <c r="P129" s="198" t="str">
        <f>IF(P$3="","",IF(COUNTIFS(BD!$A$3:$A$5001,P$3,BD!$B$3:$B$5001,$A$123,BD!$T$3:$T$5001,"&lt;&gt;")=0,"",SUMIFS(BD!$T$3:$T$5001,BD!$A$3:$A$5001,P$3,BD!$B$3:$B$5001,$A$123)))</f>
        <v/>
      </c>
      <c r="Q129" s="198" t="str">
        <f>IF(Q$3="","",IF(COUNTIFS(BD!$A$3:$A$5001,Q$3,BD!$B$3:$B$5001,$A$123,BD!$T$3:$T$5001,"&lt;&gt;")=0,"",SUMIFS(BD!$T$3:$T$5001,BD!$A$3:$A$5001,Q$3,BD!$B$3:$B$5001,$A$123)))</f>
        <v/>
      </c>
      <c r="R129" s="198" t="str">
        <f>IF(R$3="","",IF(COUNTIFS(BD!$A$3:$A$5001,R$3,BD!$B$3:$B$5001,$A$123,BD!$T$3:$T$5001,"&lt;&gt;")=0,"",SUMIFS(BD!$T$3:$T$5001,BD!$A$3:$A$5001,R$3,BD!$B$3:$B$5001,$A$123)))</f>
        <v/>
      </c>
      <c r="S129" s="198" t="str">
        <f>IF(S$3="","",IF(COUNTIFS(BD!$A$3:$A$5001,S$3,BD!$B$3:$B$5001,$A$123,BD!$T$3:$T$5001,"&lt;&gt;")=0,"",SUMIFS(BD!$T$3:$T$5001,BD!$A$3:$A$5001,S$3,BD!$B$3:$B$5001,$A$123)))</f>
        <v/>
      </c>
      <c r="T129" s="198" t="str">
        <f>IF(T$3="","",IF(COUNTIFS(BD!$A$3:$A$5001,T$3,BD!$B$3:$B$5001,$A$123,BD!$T$3:$T$5001,"&lt;&gt;")=0,"",SUMIFS(BD!$T$3:$T$5001,BD!$A$3:$A$5001,T$3,BD!$B$3:$B$5001,$A$123)))</f>
        <v/>
      </c>
      <c r="U129" s="198" t="str">
        <f>IF(U$3="","",IF(COUNTIFS(BD!$A$3:$A$5001,U$3,BD!$B$3:$B$5001,$A$123,BD!$T$3:$T$5001,"&lt;&gt;")=0,"",SUMIFS(BD!$T$3:$T$5001,BD!$A$3:$A$5001,U$3,BD!$B$3:$B$5001,$A$123)))</f>
        <v/>
      </c>
      <c r="V129" s="198" t="str">
        <f>IF(V$3="","",IF(COUNTIFS(BD!$A$3:$A$5001,V$3,BD!$B$3:$B$5001,$A$123,BD!$T$3:$T$5001,"&lt;&gt;")=0,"",SUMIFS(BD!$T$3:$T$5001,BD!$A$3:$A$5001,V$3,BD!$B$3:$B$5001,$A$123)))</f>
        <v/>
      </c>
      <c r="W129" s="198" t="str">
        <f>IF(W$3="","",IF(COUNTIFS(BD!$A$3:$A$5001,W$3,BD!$B$3:$B$5001,$A$123,BD!$T$3:$T$5001,"&lt;&gt;")=0,"",SUMIFS(BD!$T$3:$T$5001,BD!$A$3:$A$5001,W$3,BD!$B$3:$B$5001,$A$123)))</f>
        <v/>
      </c>
      <c r="X129" s="198" t="str">
        <f>IF(X$3="","",IF(COUNTIFS(BD!$A$3:$A$5001,X$3,BD!$B$3:$B$5001,$A$123,BD!$T$3:$T$5001,"&lt;&gt;")=0,"",SUMIFS(BD!$T$3:$T$5001,BD!$A$3:$A$5001,X$3,BD!$B$3:$B$5001,$A$123)))</f>
        <v/>
      </c>
      <c r="Y129" s="198" t="str">
        <f>IF(Y$3="","",IF(COUNTIFS(BD!$A$3:$A$5001,Y$3,BD!$B$3:$B$5001,$A$123,BD!$T$3:$T$5001,"&lt;&gt;")=0,"",SUMIFS(BD!$T$3:$T$5001,BD!$A$3:$A$5001,Y$3,BD!$B$3:$B$5001,$A$123)))</f>
        <v/>
      </c>
      <c r="Z129" s="198" t="str">
        <f>IF(Z$3="","",IF(COUNTIFS(BD!$A$3:$A$5001,Z$3,BD!$B$3:$B$5001,$A$123,BD!$T$3:$T$5001,"&lt;&gt;")=0,"",SUMIFS(BD!$T$3:$T$5001,BD!$A$3:$A$5001,Z$3,BD!$B$3:$B$5001,$A$123)))</f>
        <v/>
      </c>
      <c r="AA129" s="198" t="str">
        <f>IF(AA$3="","",IF(COUNTIFS(BD!$A$3:$A$5001,AA$3,BD!$B$3:$B$5001,$A$123,BD!$T$3:$T$5001,"&lt;&gt;")=0,"",SUMIFS(BD!$T$3:$T$5001,BD!$A$3:$A$5001,AA$3,BD!$B$3:$B$5001,$A$123)))</f>
        <v/>
      </c>
      <c r="AB129" s="198" t="str">
        <f>IF(AB$3="","",IF(COUNTIFS(BD!$A$3:$A$5001,AB$3,BD!$B$3:$B$5001,$A$123,BD!$T$3:$T$5001,"&lt;&gt;")=0,"",SUMIFS(BD!$T$3:$T$5001,BD!$A$3:$A$5001,AB$3,BD!$B$3:$B$5001,$A$123)))</f>
        <v/>
      </c>
      <c r="AC129" s="198" t="str">
        <f>IF(AC$3="","",IF(COUNTIFS(BD!$A$3:$A$5001,AC$3,BD!$B$3:$B$5001,$A$123,BD!$T$3:$T$5001,"&lt;&gt;")=0,"",SUMIFS(BD!$T$3:$T$5001,BD!$A$3:$A$5001,AC$3,BD!$B$3:$B$5001,$A$123)))</f>
        <v/>
      </c>
      <c r="AD129" s="198" t="str">
        <f>IF(AD$3="","",IF(COUNTIFS(BD!$A$3:$A$5001,AD$3,BD!$B$3:$B$5001,$A$123,BD!$T$3:$T$5001,"&lt;&gt;")=0,"",SUMIFS(BD!$T$3:$T$5001,BD!$A$3:$A$5001,AD$3,BD!$B$3:$B$5001,$A$123)))</f>
        <v/>
      </c>
      <c r="AE129" s="198" t="str">
        <f>IF(AE$3="","",IF(COUNTIFS(BD!$A$3:$A$5001,AE$3,BD!$B$3:$B$5001,$A$123,BD!$T$3:$T$5001,"&lt;&gt;")=0,"",SUMIFS(BD!$T$3:$T$5001,BD!$A$3:$A$5001,AE$3,BD!$B$3:$B$5001,$A$123)))</f>
        <v/>
      </c>
      <c r="AF129" s="198" t="str">
        <f>IF(AF$3="","",IF(COUNTIFS(BD!$A$3:$A$5001,AF$3,BD!$B$3:$B$5001,$A$123,BD!$T$3:$T$5001,"&lt;&gt;")=0,"",SUMIFS(BD!$T$3:$T$5001,BD!$A$3:$A$5001,AF$3,BD!$B$3:$B$5001,$A$123)))</f>
        <v/>
      </c>
      <c r="AG129" s="198" t="str">
        <f>IF(AG$3="","",IF(COUNTIFS(BD!$A$3:$A$5001,AG$3,BD!$B$3:$B$5001,$A$123,BD!$T$3:$T$5001,"&lt;&gt;")=0,"",SUMIFS(BD!$T$3:$T$5001,BD!$A$3:$A$5001,AG$3,BD!$B$3:$B$5001,$A$123)))</f>
        <v/>
      </c>
      <c r="AH129" s="198" t="str">
        <f>IF(AH$3="","",IF(COUNTIFS(BD!$A$3:$A$5001,AH$3,BD!$B$3:$B$5001,$A$123,BD!$T$3:$T$5001,"&lt;&gt;")=0,"",SUMIFS(BD!$T$3:$T$5001,BD!$A$3:$A$5001,AH$3,BD!$B$3:$B$5001,$A$123)))</f>
        <v/>
      </c>
      <c r="AI129" s="198" t="str">
        <f>IF(AI$3="","",IF(COUNTIFS(BD!$A$3:$A$5001,AI$3,BD!$B$3:$B$5001,$A$123,BD!$T$3:$T$5001,"&lt;&gt;")=0,"",SUMIFS(BD!$T$3:$T$5001,BD!$A$3:$A$5001,AI$3,BD!$B$3:$B$5001,$A$123)))</f>
        <v/>
      </c>
      <c r="AJ129" s="199" t="str">
        <f>IF(AJ$3="","",IF(COUNTIFS(BD!$A$3:$A$5001,AJ$3,BD!$B$3:$B$5001,$A$123,BD!$T$3:$T$5001,"&lt;&gt;")=0,"",SUMIFS(BD!$T$3:$T$5001,BD!$A$3:$A$5001,AJ$3,BD!$B$3:$B$5001,$A$123)))</f>
        <v/>
      </c>
      <c r="AK129" s="200" t="str">
        <f>IF(COUNT(F129:AJ129)=0,"",SUM(F129:AJ129))</f>
        <v/>
      </c>
    </row>
    <row r="130" ht="15.75" customHeight="1">
      <c r="A130" s="261"/>
      <c r="B130" s="254"/>
      <c r="C130" s="201" t="inlineStr">
        <is>
          <t xml:space="preserve">No show</t>
        </is>
      </c>
      <c r="D130" s="202" t="str">
        <f>IFERROR(1/(1/INDEX(BD!$AL$41:$BF$41,MATCH($A$123,BD!$AL$22:$BF$22,0))),"")</f>
        <v/>
      </c>
      <c r="E130" s="203"/>
      <c r="F130" s="204" t="str">
        <f>IF(F$3="","",IF(COUNTIFS(BD!$A$3:$A$5001,F$3,BD!$B$3:$B$5001,$A$123,BD!$U$3:$U$5001,"&lt;&gt;")=0,"",SUMIFS(BD!$U$3:$U$5001,BD!$A$3:$A$5001,F$3,BD!$B$3:$B$5001,$A$123)))</f>
        <v/>
      </c>
      <c r="G130" s="205" t="str">
        <f>IF(G$3="","",IF(COUNTIFS(BD!$A$3:$A$5001,G$3,BD!$B$3:$B$5001,$A$123,BD!$U$3:$U$5001,"&lt;&gt;")=0,"",SUMIFS(BD!$U$3:$U$5001,BD!$A$3:$A$5001,G$3,BD!$B$3:$B$5001,$A$123)))</f>
        <v/>
      </c>
      <c r="H130" s="205" t="str">
        <f>IF(H$3="","",IF(COUNTIFS(BD!$A$3:$A$5001,H$3,BD!$B$3:$B$5001,$A$123,BD!$U$3:$U$5001,"&lt;&gt;")=0,"",SUMIFS(BD!$U$3:$U$5001,BD!$A$3:$A$5001,H$3,BD!$B$3:$B$5001,$A$123)))</f>
        <v/>
      </c>
      <c r="I130" s="205" t="str">
        <f>IF(I$3="","",IF(COUNTIFS(BD!$A$3:$A$5001,I$3,BD!$B$3:$B$5001,$A$123,BD!$U$3:$U$5001,"&lt;&gt;")=0,"",SUMIFS(BD!$U$3:$U$5001,BD!$A$3:$A$5001,I$3,BD!$B$3:$B$5001,$A$123)))</f>
        <v/>
      </c>
      <c r="J130" s="205" t="str">
        <f>IF(J$3="","",IF(COUNTIFS(BD!$A$3:$A$5001,J$3,BD!$B$3:$B$5001,$A$123,BD!$U$3:$U$5001,"&lt;&gt;")=0,"",SUMIFS(BD!$U$3:$U$5001,BD!$A$3:$A$5001,J$3,BD!$B$3:$B$5001,$A$123)))</f>
        <v/>
      </c>
      <c r="K130" s="205" t="str">
        <f>IF(K$3="","",IF(COUNTIFS(BD!$A$3:$A$5001,K$3,BD!$B$3:$B$5001,$A$123,BD!$U$3:$U$5001,"&lt;&gt;")=0,"",SUMIFS(BD!$U$3:$U$5001,BD!$A$3:$A$5001,K$3,BD!$B$3:$B$5001,$A$123)))</f>
        <v/>
      </c>
      <c r="L130" s="205" t="str">
        <f>IF(L$3="","",IF(COUNTIFS(BD!$A$3:$A$5001,L$3,BD!$B$3:$B$5001,$A$123,BD!$U$3:$U$5001,"&lt;&gt;")=0,"",SUMIFS(BD!$U$3:$U$5001,BD!$A$3:$A$5001,L$3,BD!$B$3:$B$5001,$A$123)))</f>
        <v/>
      </c>
      <c r="M130" s="205" t="str">
        <f>IF(M$3="","",IF(COUNTIFS(BD!$A$3:$A$5001,M$3,BD!$B$3:$B$5001,$A$123,BD!$U$3:$U$5001,"&lt;&gt;")=0,"",SUMIFS(BD!$U$3:$U$5001,BD!$A$3:$A$5001,M$3,BD!$B$3:$B$5001,$A$123)))</f>
        <v/>
      </c>
      <c r="N130" s="205" t="str">
        <f>IF(N$3="","",IF(COUNTIFS(BD!$A$3:$A$5001,N$3,BD!$B$3:$B$5001,$A$123,BD!$U$3:$U$5001,"&lt;&gt;")=0,"",SUMIFS(BD!$U$3:$U$5001,BD!$A$3:$A$5001,N$3,BD!$B$3:$B$5001,$A$123)))</f>
        <v/>
      </c>
      <c r="O130" s="205" t="str">
        <f>IF(O$3="","",IF(COUNTIFS(BD!$A$3:$A$5001,O$3,BD!$B$3:$B$5001,$A$123,BD!$U$3:$U$5001,"&lt;&gt;")=0,"",SUMIFS(BD!$U$3:$U$5001,BD!$A$3:$A$5001,O$3,BD!$B$3:$B$5001,$A$123)))</f>
        <v/>
      </c>
      <c r="P130" s="205" t="str">
        <f>IF(P$3="","",IF(COUNTIFS(BD!$A$3:$A$5001,P$3,BD!$B$3:$B$5001,$A$123,BD!$U$3:$U$5001,"&lt;&gt;")=0,"",SUMIFS(BD!$U$3:$U$5001,BD!$A$3:$A$5001,P$3,BD!$B$3:$B$5001,$A$123)))</f>
        <v/>
      </c>
      <c r="Q130" s="205" t="str">
        <f>IF(Q$3="","",IF(COUNTIFS(BD!$A$3:$A$5001,Q$3,BD!$B$3:$B$5001,$A$123,BD!$U$3:$U$5001,"&lt;&gt;")=0,"",SUMIFS(BD!$U$3:$U$5001,BD!$A$3:$A$5001,Q$3,BD!$B$3:$B$5001,$A$123)))</f>
        <v/>
      </c>
      <c r="R130" s="205" t="str">
        <f>IF(R$3="","",IF(COUNTIFS(BD!$A$3:$A$5001,R$3,BD!$B$3:$B$5001,$A$123,BD!$U$3:$U$5001,"&lt;&gt;")=0,"",SUMIFS(BD!$U$3:$U$5001,BD!$A$3:$A$5001,R$3,BD!$B$3:$B$5001,$A$123)))</f>
        <v/>
      </c>
      <c r="S130" s="205" t="str">
        <f>IF(S$3="","",IF(COUNTIFS(BD!$A$3:$A$5001,S$3,BD!$B$3:$B$5001,$A$123,BD!$U$3:$U$5001,"&lt;&gt;")=0,"",SUMIFS(BD!$U$3:$U$5001,BD!$A$3:$A$5001,S$3,BD!$B$3:$B$5001,$A$123)))</f>
        <v/>
      </c>
      <c r="T130" s="205" t="str">
        <f>IF(T$3="","",IF(COUNTIFS(BD!$A$3:$A$5001,T$3,BD!$B$3:$B$5001,$A$123,BD!$U$3:$U$5001,"&lt;&gt;")=0,"",SUMIFS(BD!$U$3:$U$5001,BD!$A$3:$A$5001,T$3,BD!$B$3:$B$5001,$A$123)))</f>
        <v/>
      </c>
      <c r="U130" s="205" t="str">
        <f>IF(U$3="","",IF(COUNTIFS(BD!$A$3:$A$5001,U$3,BD!$B$3:$B$5001,$A$123,BD!$U$3:$U$5001,"&lt;&gt;")=0,"",SUMIFS(BD!$U$3:$U$5001,BD!$A$3:$A$5001,U$3,BD!$B$3:$B$5001,$A$123)))</f>
        <v/>
      </c>
      <c r="V130" s="205" t="str">
        <f>IF(V$3="","",IF(COUNTIFS(BD!$A$3:$A$5001,V$3,BD!$B$3:$B$5001,$A$123,BD!$U$3:$U$5001,"&lt;&gt;")=0,"",SUMIFS(BD!$U$3:$U$5001,BD!$A$3:$A$5001,V$3,BD!$B$3:$B$5001,$A$123)))</f>
        <v/>
      </c>
      <c r="W130" s="205" t="str">
        <f>IF(W$3="","",IF(COUNTIFS(BD!$A$3:$A$5001,W$3,BD!$B$3:$B$5001,$A$123,BD!$U$3:$U$5001,"&lt;&gt;")=0,"",SUMIFS(BD!$U$3:$U$5001,BD!$A$3:$A$5001,W$3,BD!$B$3:$B$5001,$A$123)))</f>
        <v/>
      </c>
      <c r="X130" s="205" t="str">
        <f>IF(X$3="","",IF(COUNTIFS(BD!$A$3:$A$5001,X$3,BD!$B$3:$B$5001,$A$123,BD!$U$3:$U$5001,"&lt;&gt;")=0,"",SUMIFS(BD!$U$3:$U$5001,BD!$A$3:$A$5001,X$3,BD!$B$3:$B$5001,$A$123)))</f>
        <v/>
      </c>
      <c r="Y130" s="205" t="str">
        <f>IF(Y$3="","",IF(COUNTIFS(BD!$A$3:$A$5001,Y$3,BD!$B$3:$B$5001,$A$123,BD!$U$3:$U$5001,"&lt;&gt;")=0,"",SUMIFS(BD!$U$3:$U$5001,BD!$A$3:$A$5001,Y$3,BD!$B$3:$B$5001,$A$123)))</f>
        <v/>
      </c>
      <c r="Z130" s="205" t="str">
        <f>IF(Z$3="","",IF(COUNTIFS(BD!$A$3:$A$5001,Z$3,BD!$B$3:$B$5001,$A$123,BD!$U$3:$U$5001,"&lt;&gt;")=0,"",SUMIFS(BD!$U$3:$U$5001,BD!$A$3:$A$5001,Z$3,BD!$B$3:$B$5001,$A$123)))</f>
        <v/>
      </c>
      <c r="AA130" s="205" t="str">
        <f>IF(AA$3="","",IF(COUNTIFS(BD!$A$3:$A$5001,AA$3,BD!$B$3:$B$5001,$A$123,BD!$U$3:$U$5001,"&lt;&gt;")=0,"",SUMIFS(BD!$U$3:$U$5001,BD!$A$3:$A$5001,AA$3,BD!$B$3:$B$5001,$A$123)))</f>
        <v/>
      </c>
      <c r="AB130" s="205" t="str">
        <f>IF(AB$3="","",IF(COUNTIFS(BD!$A$3:$A$5001,AB$3,BD!$B$3:$B$5001,$A$123,BD!$U$3:$U$5001,"&lt;&gt;")=0,"",SUMIFS(BD!$U$3:$U$5001,BD!$A$3:$A$5001,AB$3,BD!$B$3:$B$5001,$A$123)))</f>
        <v/>
      </c>
      <c r="AC130" s="205" t="str">
        <f>IF(AC$3="","",IF(COUNTIFS(BD!$A$3:$A$5001,AC$3,BD!$B$3:$B$5001,$A$123,BD!$U$3:$U$5001,"&lt;&gt;")=0,"",SUMIFS(BD!$U$3:$U$5001,BD!$A$3:$A$5001,AC$3,BD!$B$3:$B$5001,$A$123)))</f>
        <v/>
      </c>
      <c r="AD130" s="205" t="str">
        <f>IF(AD$3="","",IF(COUNTIFS(BD!$A$3:$A$5001,AD$3,BD!$B$3:$B$5001,$A$123,BD!$U$3:$U$5001,"&lt;&gt;")=0,"",SUMIFS(BD!$U$3:$U$5001,BD!$A$3:$A$5001,AD$3,BD!$B$3:$B$5001,$A$123)))</f>
        <v/>
      </c>
      <c r="AE130" s="205" t="str">
        <f>IF(AE$3="","",IF(COUNTIFS(BD!$A$3:$A$5001,AE$3,BD!$B$3:$B$5001,$A$123,BD!$U$3:$U$5001,"&lt;&gt;")=0,"",SUMIFS(BD!$U$3:$U$5001,BD!$A$3:$A$5001,AE$3,BD!$B$3:$B$5001,$A$123)))</f>
        <v/>
      </c>
      <c r="AF130" s="205" t="str">
        <f>IF(AF$3="","",IF(COUNTIFS(BD!$A$3:$A$5001,AF$3,BD!$B$3:$B$5001,$A$123,BD!$U$3:$U$5001,"&lt;&gt;")=0,"",SUMIFS(BD!$U$3:$U$5001,BD!$A$3:$A$5001,AF$3,BD!$B$3:$B$5001,$A$123)))</f>
        <v/>
      </c>
      <c r="AG130" s="205" t="str">
        <f>IF(AG$3="","",IF(COUNTIFS(BD!$A$3:$A$5001,AG$3,BD!$B$3:$B$5001,$A$123,BD!$U$3:$U$5001,"&lt;&gt;")=0,"",SUMIFS(BD!$U$3:$U$5001,BD!$A$3:$A$5001,AG$3,BD!$B$3:$B$5001,$A$123)))</f>
        <v/>
      </c>
      <c r="AH130" s="205" t="str">
        <f>IF(AH$3="","",IF(COUNTIFS(BD!$A$3:$A$5001,AH$3,BD!$B$3:$B$5001,$A$123,BD!$U$3:$U$5001,"&lt;&gt;")=0,"",SUMIFS(BD!$U$3:$U$5001,BD!$A$3:$A$5001,AH$3,BD!$B$3:$B$5001,$A$123)))</f>
        <v/>
      </c>
      <c r="AI130" s="205" t="str">
        <f>IF(AI$3="","",IF(COUNTIFS(BD!$A$3:$A$5001,AI$3,BD!$B$3:$B$5001,$A$123,BD!$U$3:$U$5001,"&lt;&gt;")=0,"",SUMIFS(BD!$U$3:$U$5001,BD!$A$3:$A$5001,AI$3,BD!$B$3:$B$5001,$A$123)))</f>
        <v/>
      </c>
      <c r="AJ130" s="206" t="str">
        <f>IF(AJ$3="","",IF(COUNTIFS(BD!$A$3:$A$5001,AJ$3,BD!$B$3:$B$5001,$A$123,BD!$U$3:$U$5001,"&lt;&gt;")=0,"",SUMIFS(BD!$U$3:$U$5001,BD!$A$3:$A$5001,AJ$3,BD!$B$3:$B$5001,$A$123)))</f>
        <v/>
      </c>
      <c r="AK130" s="207" t="str">
        <f>IF(COUNT(F130:AJ130)=0,"",SUM(F130:AJ130))</f>
        <v/>
      </c>
    </row>
    <row r="131" ht="15.75" customHeight="1">
      <c r="A131" s="261"/>
      <c r="B131" s="254"/>
      <c r="C131" s="201" t="inlineStr">
        <is>
          <t xml:space="preserve">Backlog Intralog</t>
        </is>
      </c>
      <c r="D131" s="202" t="str">
        <f>IFERROR(1/(1/INDEX(BD!$AL$42:$BF$42,MATCH($A$123,BD!$AL$22:$BF$22,0))),"")</f>
        <v/>
      </c>
      <c r="E131" s="203"/>
      <c r="F131" s="204" t="str">
        <f>IF(F$3="","",IF(COUNTIFS(BD!$A$3:$A$5001,F$3,BD!$B$3:$B$5001,$A$123,BD!$V$3:$V$5001,"&lt;&gt;")=0,"",SUMIFS(BD!$V$3:$V$5001,BD!$A$3:$A$5001,F$3,BD!$B$3:$B$5001,$A$123)))</f>
        <v/>
      </c>
      <c r="G131" s="205" t="str">
        <f>IF(G$3="","",IF(COUNTIFS(BD!$A$3:$A$5001,G$3,BD!$B$3:$B$5001,$A$123,BD!$V$3:$V$5001,"&lt;&gt;")=0,"",SUMIFS(BD!$V$3:$V$5001,BD!$A$3:$A$5001,G$3,BD!$B$3:$B$5001,$A$123)))</f>
        <v/>
      </c>
      <c r="H131" s="205" t="str">
        <f>IF(H$3="","",IF(COUNTIFS(BD!$A$3:$A$5001,H$3,BD!$B$3:$B$5001,$A$123,BD!$V$3:$V$5001,"&lt;&gt;")=0,"",SUMIFS(BD!$V$3:$V$5001,BD!$A$3:$A$5001,H$3,BD!$B$3:$B$5001,$A$123)))</f>
        <v/>
      </c>
      <c r="I131" s="205" t="str">
        <f>IF(I$3="","",IF(COUNTIFS(BD!$A$3:$A$5001,I$3,BD!$B$3:$B$5001,$A$123,BD!$V$3:$V$5001,"&lt;&gt;")=0,"",SUMIFS(BD!$V$3:$V$5001,BD!$A$3:$A$5001,I$3,BD!$B$3:$B$5001,$A$123)))</f>
        <v/>
      </c>
      <c r="J131" s="205" t="str">
        <f>IF(J$3="","",IF(COUNTIFS(BD!$A$3:$A$5001,J$3,BD!$B$3:$B$5001,$A$123,BD!$V$3:$V$5001,"&lt;&gt;")=0,"",SUMIFS(BD!$V$3:$V$5001,BD!$A$3:$A$5001,J$3,BD!$B$3:$B$5001,$A$123)))</f>
        <v/>
      </c>
      <c r="K131" s="205" t="str">
        <f>IF(K$3="","",IF(COUNTIFS(BD!$A$3:$A$5001,K$3,BD!$B$3:$B$5001,$A$123,BD!$V$3:$V$5001,"&lt;&gt;")=0,"",SUMIFS(BD!$V$3:$V$5001,BD!$A$3:$A$5001,K$3,BD!$B$3:$B$5001,$A$123)))</f>
        <v/>
      </c>
      <c r="L131" s="205" t="str">
        <f>IF(L$3="","",IF(COUNTIFS(BD!$A$3:$A$5001,L$3,BD!$B$3:$B$5001,$A$123,BD!$V$3:$V$5001,"&lt;&gt;")=0,"",SUMIFS(BD!$V$3:$V$5001,BD!$A$3:$A$5001,L$3,BD!$B$3:$B$5001,$A$123)))</f>
        <v/>
      </c>
      <c r="M131" s="205" t="str">
        <f>IF(M$3="","",IF(COUNTIFS(BD!$A$3:$A$5001,M$3,BD!$B$3:$B$5001,$A$123,BD!$V$3:$V$5001,"&lt;&gt;")=0,"",SUMIFS(BD!$V$3:$V$5001,BD!$A$3:$A$5001,M$3,BD!$B$3:$B$5001,$A$123)))</f>
        <v/>
      </c>
      <c r="N131" s="205" t="str">
        <f>IF(N$3="","",IF(COUNTIFS(BD!$A$3:$A$5001,N$3,BD!$B$3:$B$5001,$A$123,BD!$V$3:$V$5001,"&lt;&gt;")=0,"",SUMIFS(BD!$V$3:$V$5001,BD!$A$3:$A$5001,N$3,BD!$B$3:$B$5001,$A$123)))</f>
        <v/>
      </c>
      <c r="O131" s="205" t="str">
        <f>IF(O$3="","",IF(COUNTIFS(BD!$A$3:$A$5001,O$3,BD!$B$3:$B$5001,$A$123,BD!$V$3:$V$5001,"&lt;&gt;")=0,"",SUMIFS(BD!$V$3:$V$5001,BD!$A$3:$A$5001,O$3,BD!$B$3:$B$5001,$A$123)))</f>
        <v/>
      </c>
      <c r="P131" s="205" t="str">
        <f>IF(P$3="","",IF(COUNTIFS(BD!$A$3:$A$5001,P$3,BD!$B$3:$B$5001,$A$123,BD!$V$3:$V$5001,"&lt;&gt;")=0,"",SUMIFS(BD!$V$3:$V$5001,BD!$A$3:$A$5001,P$3,BD!$B$3:$B$5001,$A$123)))</f>
        <v/>
      </c>
      <c r="Q131" s="205" t="str">
        <f>IF(Q$3="","",IF(COUNTIFS(BD!$A$3:$A$5001,Q$3,BD!$B$3:$B$5001,$A$123,BD!$V$3:$V$5001,"&lt;&gt;")=0,"",SUMIFS(BD!$V$3:$V$5001,BD!$A$3:$A$5001,Q$3,BD!$B$3:$B$5001,$A$123)))</f>
        <v/>
      </c>
      <c r="R131" s="205" t="str">
        <f>IF(R$3="","",IF(COUNTIFS(BD!$A$3:$A$5001,R$3,BD!$B$3:$B$5001,$A$123,BD!$V$3:$V$5001,"&lt;&gt;")=0,"",SUMIFS(BD!$V$3:$V$5001,BD!$A$3:$A$5001,R$3,BD!$B$3:$B$5001,$A$123)))</f>
        <v/>
      </c>
      <c r="S131" s="205" t="str">
        <f>IF(S$3="","",IF(COUNTIFS(BD!$A$3:$A$5001,S$3,BD!$B$3:$B$5001,$A$123,BD!$V$3:$V$5001,"&lt;&gt;")=0,"",SUMIFS(BD!$V$3:$V$5001,BD!$A$3:$A$5001,S$3,BD!$B$3:$B$5001,$A$123)))</f>
        <v/>
      </c>
      <c r="T131" s="205" t="str">
        <f>IF(T$3="","",IF(COUNTIFS(BD!$A$3:$A$5001,T$3,BD!$B$3:$B$5001,$A$123,BD!$V$3:$V$5001,"&lt;&gt;")=0,"",SUMIFS(BD!$V$3:$V$5001,BD!$A$3:$A$5001,T$3,BD!$B$3:$B$5001,$A$123)))</f>
        <v/>
      </c>
      <c r="U131" s="205" t="str">
        <f>IF(U$3="","",IF(COUNTIFS(BD!$A$3:$A$5001,U$3,BD!$B$3:$B$5001,$A$123,BD!$V$3:$V$5001,"&lt;&gt;")=0,"",SUMIFS(BD!$V$3:$V$5001,BD!$A$3:$A$5001,U$3,BD!$B$3:$B$5001,$A$123)))</f>
        <v/>
      </c>
      <c r="V131" s="205" t="str">
        <f>IF(V$3="","",IF(COUNTIFS(BD!$A$3:$A$5001,V$3,BD!$B$3:$B$5001,$A$123,BD!$V$3:$V$5001,"&lt;&gt;")=0,"",SUMIFS(BD!$V$3:$V$5001,BD!$A$3:$A$5001,V$3,BD!$B$3:$B$5001,$A$123)))</f>
        <v/>
      </c>
      <c r="W131" s="205" t="str">
        <f>IF(W$3="","",IF(COUNTIFS(BD!$A$3:$A$5001,W$3,BD!$B$3:$B$5001,$A$123,BD!$V$3:$V$5001,"&lt;&gt;")=0,"",SUMIFS(BD!$V$3:$V$5001,BD!$A$3:$A$5001,W$3,BD!$B$3:$B$5001,$A$123)))</f>
        <v/>
      </c>
      <c r="X131" s="205" t="str">
        <f>IF(X$3="","",IF(COUNTIFS(BD!$A$3:$A$5001,X$3,BD!$B$3:$B$5001,$A$123,BD!$V$3:$V$5001,"&lt;&gt;")=0,"",SUMIFS(BD!$V$3:$V$5001,BD!$A$3:$A$5001,X$3,BD!$B$3:$B$5001,$A$123)))</f>
        <v/>
      </c>
      <c r="Y131" s="205" t="str">
        <f>IF(Y$3="","",IF(COUNTIFS(BD!$A$3:$A$5001,Y$3,BD!$B$3:$B$5001,$A$123,BD!$V$3:$V$5001,"&lt;&gt;")=0,"",SUMIFS(BD!$V$3:$V$5001,BD!$A$3:$A$5001,Y$3,BD!$B$3:$B$5001,$A$123)))</f>
        <v/>
      </c>
      <c r="Z131" s="205" t="str">
        <f>IF(Z$3="","",IF(COUNTIFS(BD!$A$3:$A$5001,Z$3,BD!$B$3:$B$5001,$A$123,BD!$V$3:$V$5001,"&lt;&gt;")=0,"",SUMIFS(BD!$V$3:$V$5001,BD!$A$3:$A$5001,Z$3,BD!$B$3:$B$5001,$A$123)))</f>
        <v/>
      </c>
      <c r="AA131" s="205" t="str">
        <f>IF(AA$3="","",IF(COUNTIFS(BD!$A$3:$A$5001,AA$3,BD!$B$3:$B$5001,$A$123,BD!$V$3:$V$5001,"&lt;&gt;")=0,"",SUMIFS(BD!$V$3:$V$5001,BD!$A$3:$A$5001,AA$3,BD!$B$3:$B$5001,$A$123)))</f>
        <v/>
      </c>
      <c r="AB131" s="205" t="str">
        <f>IF(AB$3="","",IF(COUNTIFS(BD!$A$3:$A$5001,AB$3,BD!$B$3:$B$5001,$A$123,BD!$V$3:$V$5001,"&lt;&gt;")=0,"",SUMIFS(BD!$V$3:$V$5001,BD!$A$3:$A$5001,AB$3,BD!$B$3:$B$5001,$A$123)))</f>
        <v/>
      </c>
      <c r="AC131" s="205" t="str">
        <f>IF(AC$3="","",IF(COUNTIFS(BD!$A$3:$A$5001,AC$3,BD!$B$3:$B$5001,$A$123,BD!$V$3:$V$5001,"&lt;&gt;")=0,"",SUMIFS(BD!$V$3:$V$5001,BD!$A$3:$A$5001,AC$3,BD!$B$3:$B$5001,$A$123)))</f>
        <v/>
      </c>
      <c r="AD131" s="205" t="str">
        <f>IF(AD$3="","",IF(COUNTIFS(BD!$A$3:$A$5001,AD$3,BD!$B$3:$B$5001,$A$123,BD!$V$3:$V$5001,"&lt;&gt;")=0,"",SUMIFS(BD!$V$3:$V$5001,BD!$A$3:$A$5001,AD$3,BD!$B$3:$B$5001,$A$123)))</f>
        <v/>
      </c>
      <c r="AE131" s="205" t="str">
        <f>IF(AE$3="","",IF(COUNTIFS(BD!$A$3:$A$5001,AE$3,BD!$B$3:$B$5001,$A$123,BD!$V$3:$V$5001,"&lt;&gt;")=0,"",SUMIFS(BD!$V$3:$V$5001,BD!$A$3:$A$5001,AE$3,BD!$B$3:$B$5001,$A$123)))</f>
        <v/>
      </c>
      <c r="AF131" s="205" t="str">
        <f>IF(AF$3="","",IF(COUNTIFS(BD!$A$3:$A$5001,AF$3,BD!$B$3:$B$5001,$A$123,BD!$V$3:$V$5001,"&lt;&gt;")=0,"",SUMIFS(BD!$V$3:$V$5001,BD!$A$3:$A$5001,AF$3,BD!$B$3:$B$5001,$A$123)))</f>
        <v/>
      </c>
      <c r="AG131" s="205" t="str">
        <f>IF(AG$3="","",IF(COUNTIFS(BD!$A$3:$A$5001,AG$3,BD!$B$3:$B$5001,$A$123,BD!$V$3:$V$5001,"&lt;&gt;")=0,"",SUMIFS(BD!$V$3:$V$5001,BD!$A$3:$A$5001,AG$3,BD!$B$3:$B$5001,$A$123)))</f>
        <v/>
      </c>
      <c r="AH131" s="205" t="str">
        <f>IF(AH$3="","",IF(COUNTIFS(BD!$A$3:$A$5001,AH$3,BD!$B$3:$B$5001,$A$123,BD!$V$3:$V$5001,"&lt;&gt;")=0,"",SUMIFS(BD!$V$3:$V$5001,BD!$A$3:$A$5001,AH$3,BD!$B$3:$B$5001,$A$123)))</f>
        <v/>
      </c>
      <c r="AI131" s="205" t="str">
        <f>IF(AI$3="","",IF(COUNTIFS(BD!$A$3:$A$5001,AI$3,BD!$B$3:$B$5001,$A$123,BD!$V$3:$V$5001,"&lt;&gt;")=0,"",SUMIFS(BD!$V$3:$V$5001,BD!$A$3:$A$5001,AI$3,BD!$B$3:$B$5001,$A$123)))</f>
        <v/>
      </c>
      <c r="AJ131" s="206" t="str">
        <f>IF(AJ$3="","",IF(COUNTIFS(BD!$A$3:$A$5001,AJ$3,BD!$B$3:$B$5001,$A$123,BD!$V$3:$V$5001,"&lt;&gt;")=0,"",SUMIFS(BD!$V$3:$V$5001,BD!$A$3:$A$5001,AJ$3,BD!$B$3:$B$5001,$A$123)))</f>
        <v/>
      </c>
      <c r="AK131" s="207" t="str">
        <f>IFERROR(LOOKUP(9.99E+307,F131:AJ131),"")</f>
        <v/>
      </c>
    </row>
    <row r="132" ht="15.75" customHeight="1">
      <c r="A132" s="261"/>
      <c r="B132" s="255"/>
      <c r="C132" s="208" t="inlineStr">
        <is>
          <t xml:space="preserve">Backlog Cliente</t>
        </is>
      </c>
      <c r="D132" s="209" t="str">
        <f>IFERROR(1/(1/INDEX(BD!$AL$43:$BF$43,MATCH($A$123,BD!$AL$22:$BF$22,0))),"")</f>
        <v/>
      </c>
      <c r="E132" s="210"/>
      <c r="F132" s="211" t="str">
        <f>IF(F$3="","",IF(COUNTIFS(BD!$A$3:$A$5001,F$3,BD!$B$3:$B$5001,$A$123,BD!$W$3:$W$5001,"&lt;&gt;")=0,"",SUMIFS(BD!$W$3:$W$5001,BD!$A$3:$A$5001,F$3,BD!$B$3:$B$5001,$A$123)))</f>
        <v/>
      </c>
      <c r="G132" s="212" t="str">
        <f>IF(G$3="","",IF(COUNTIFS(BD!$A$3:$A$5001,G$3,BD!$B$3:$B$5001,$A$123,BD!$W$3:$W$5001,"&lt;&gt;")=0,"",SUMIFS(BD!$W$3:$W$5001,BD!$A$3:$A$5001,G$3,BD!$B$3:$B$5001,$A$123)))</f>
        <v/>
      </c>
      <c r="H132" s="212" t="str">
        <f>IF(H$3="","",IF(COUNTIFS(BD!$A$3:$A$5001,H$3,BD!$B$3:$B$5001,$A$123,BD!$W$3:$W$5001,"&lt;&gt;")=0,"",SUMIFS(BD!$W$3:$W$5001,BD!$A$3:$A$5001,H$3,BD!$B$3:$B$5001,$A$123)))</f>
        <v/>
      </c>
      <c r="I132" s="212" t="str">
        <f>IF(I$3="","",IF(COUNTIFS(BD!$A$3:$A$5001,I$3,BD!$B$3:$B$5001,$A$123,BD!$W$3:$W$5001,"&lt;&gt;")=0,"",SUMIFS(BD!$W$3:$W$5001,BD!$A$3:$A$5001,I$3,BD!$B$3:$B$5001,$A$123)))</f>
        <v/>
      </c>
      <c r="J132" s="212" t="str">
        <f>IF(J$3="","",IF(COUNTIFS(BD!$A$3:$A$5001,J$3,BD!$B$3:$B$5001,$A$123,BD!$W$3:$W$5001,"&lt;&gt;")=0,"",SUMIFS(BD!$W$3:$W$5001,BD!$A$3:$A$5001,J$3,BD!$B$3:$B$5001,$A$123)))</f>
        <v/>
      </c>
      <c r="K132" s="212" t="str">
        <f>IF(K$3="","",IF(COUNTIFS(BD!$A$3:$A$5001,K$3,BD!$B$3:$B$5001,$A$123,BD!$W$3:$W$5001,"&lt;&gt;")=0,"",SUMIFS(BD!$W$3:$W$5001,BD!$A$3:$A$5001,K$3,BD!$B$3:$B$5001,$A$123)))</f>
        <v/>
      </c>
      <c r="L132" s="212" t="str">
        <f>IF(L$3="","",IF(COUNTIFS(BD!$A$3:$A$5001,L$3,BD!$B$3:$B$5001,$A$123,BD!$W$3:$W$5001,"&lt;&gt;")=0,"",SUMIFS(BD!$W$3:$W$5001,BD!$A$3:$A$5001,L$3,BD!$B$3:$B$5001,$A$123)))</f>
        <v/>
      </c>
      <c r="M132" s="212" t="str">
        <f>IF(M$3="","",IF(COUNTIFS(BD!$A$3:$A$5001,M$3,BD!$B$3:$B$5001,$A$123,BD!$W$3:$W$5001,"&lt;&gt;")=0,"",SUMIFS(BD!$W$3:$W$5001,BD!$A$3:$A$5001,M$3,BD!$B$3:$B$5001,$A$123)))</f>
        <v/>
      </c>
      <c r="N132" s="212" t="str">
        <f>IF(N$3="","",IF(COUNTIFS(BD!$A$3:$A$5001,N$3,BD!$B$3:$B$5001,$A$123,BD!$W$3:$W$5001,"&lt;&gt;")=0,"",SUMIFS(BD!$W$3:$W$5001,BD!$A$3:$A$5001,N$3,BD!$B$3:$B$5001,$A$123)))</f>
        <v/>
      </c>
      <c r="O132" s="212" t="str">
        <f>IF(O$3="","",IF(COUNTIFS(BD!$A$3:$A$5001,O$3,BD!$B$3:$B$5001,$A$123,BD!$W$3:$W$5001,"&lt;&gt;")=0,"",SUMIFS(BD!$W$3:$W$5001,BD!$A$3:$A$5001,O$3,BD!$B$3:$B$5001,$A$123)))</f>
        <v/>
      </c>
      <c r="P132" s="212" t="str">
        <f>IF(P$3="","",IF(COUNTIFS(BD!$A$3:$A$5001,P$3,BD!$B$3:$B$5001,$A$123,BD!$W$3:$W$5001,"&lt;&gt;")=0,"",SUMIFS(BD!$W$3:$W$5001,BD!$A$3:$A$5001,P$3,BD!$B$3:$B$5001,$A$123)))</f>
        <v/>
      </c>
      <c r="Q132" s="212" t="str">
        <f>IF(Q$3="","",IF(COUNTIFS(BD!$A$3:$A$5001,Q$3,BD!$B$3:$B$5001,$A$123,BD!$W$3:$W$5001,"&lt;&gt;")=0,"",SUMIFS(BD!$W$3:$W$5001,BD!$A$3:$A$5001,Q$3,BD!$B$3:$B$5001,$A$123)))</f>
        <v/>
      </c>
      <c r="R132" s="212" t="str">
        <f>IF(R$3="","",IF(COUNTIFS(BD!$A$3:$A$5001,R$3,BD!$B$3:$B$5001,$A$123,BD!$W$3:$W$5001,"&lt;&gt;")=0,"",SUMIFS(BD!$W$3:$W$5001,BD!$A$3:$A$5001,R$3,BD!$B$3:$B$5001,$A$123)))</f>
        <v/>
      </c>
      <c r="S132" s="212" t="str">
        <f>IF(S$3="","",IF(COUNTIFS(BD!$A$3:$A$5001,S$3,BD!$B$3:$B$5001,$A$123,BD!$W$3:$W$5001,"&lt;&gt;")=0,"",SUMIFS(BD!$W$3:$W$5001,BD!$A$3:$A$5001,S$3,BD!$B$3:$B$5001,$A$123)))</f>
        <v/>
      </c>
      <c r="T132" s="212" t="str">
        <f>IF(T$3="","",IF(COUNTIFS(BD!$A$3:$A$5001,T$3,BD!$B$3:$B$5001,$A$123,BD!$W$3:$W$5001,"&lt;&gt;")=0,"",SUMIFS(BD!$W$3:$W$5001,BD!$A$3:$A$5001,T$3,BD!$B$3:$B$5001,$A$123)))</f>
        <v/>
      </c>
      <c r="U132" s="212" t="str">
        <f>IF(U$3="","",IF(COUNTIFS(BD!$A$3:$A$5001,U$3,BD!$B$3:$B$5001,$A$123,BD!$W$3:$W$5001,"&lt;&gt;")=0,"",SUMIFS(BD!$W$3:$W$5001,BD!$A$3:$A$5001,U$3,BD!$B$3:$B$5001,$A$123)))</f>
        <v/>
      </c>
      <c r="V132" s="212" t="str">
        <f>IF(V$3="","",IF(COUNTIFS(BD!$A$3:$A$5001,V$3,BD!$B$3:$B$5001,$A$123,BD!$W$3:$W$5001,"&lt;&gt;")=0,"",SUMIFS(BD!$W$3:$W$5001,BD!$A$3:$A$5001,V$3,BD!$B$3:$B$5001,$A$123)))</f>
        <v/>
      </c>
      <c r="W132" s="212" t="str">
        <f>IF(W$3="","",IF(COUNTIFS(BD!$A$3:$A$5001,W$3,BD!$B$3:$B$5001,$A$123,BD!$W$3:$W$5001,"&lt;&gt;")=0,"",SUMIFS(BD!$W$3:$W$5001,BD!$A$3:$A$5001,W$3,BD!$B$3:$B$5001,$A$123)))</f>
        <v/>
      </c>
      <c r="X132" s="212" t="str">
        <f>IF(X$3="","",IF(COUNTIFS(BD!$A$3:$A$5001,X$3,BD!$B$3:$B$5001,$A$123,BD!$W$3:$W$5001,"&lt;&gt;")=0,"",SUMIFS(BD!$W$3:$W$5001,BD!$A$3:$A$5001,X$3,BD!$B$3:$B$5001,$A$123)))</f>
        <v/>
      </c>
      <c r="Y132" s="212" t="str">
        <f>IF(Y$3="","",IF(COUNTIFS(BD!$A$3:$A$5001,Y$3,BD!$B$3:$B$5001,$A$123,BD!$W$3:$W$5001,"&lt;&gt;")=0,"",SUMIFS(BD!$W$3:$W$5001,BD!$A$3:$A$5001,Y$3,BD!$B$3:$B$5001,$A$123)))</f>
        <v/>
      </c>
      <c r="Z132" s="212" t="str">
        <f>IF(Z$3="","",IF(COUNTIFS(BD!$A$3:$A$5001,Z$3,BD!$B$3:$B$5001,$A$123,BD!$W$3:$W$5001,"&lt;&gt;")=0,"",SUMIFS(BD!$W$3:$W$5001,BD!$A$3:$A$5001,Z$3,BD!$B$3:$B$5001,$A$123)))</f>
        <v/>
      </c>
      <c r="AA132" s="212" t="str">
        <f>IF(AA$3="","",IF(COUNTIFS(BD!$A$3:$A$5001,AA$3,BD!$B$3:$B$5001,$A$123,BD!$W$3:$W$5001,"&lt;&gt;")=0,"",SUMIFS(BD!$W$3:$W$5001,BD!$A$3:$A$5001,AA$3,BD!$B$3:$B$5001,$A$123)))</f>
        <v/>
      </c>
      <c r="AB132" s="212" t="str">
        <f>IF(AB$3="","",IF(COUNTIFS(BD!$A$3:$A$5001,AB$3,BD!$B$3:$B$5001,$A$123,BD!$W$3:$W$5001,"&lt;&gt;")=0,"",SUMIFS(BD!$W$3:$W$5001,BD!$A$3:$A$5001,AB$3,BD!$B$3:$B$5001,$A$123)))</f>
        <v/>
      </c>
      <c r="AC132" s="212" t="str">
        <f>IF(AC$3="","",IF(COUNTIFS(BD!$A$3:$A$5001,AC$3,BD!$B$3:$B$5001,$A$123,BD!$W$3:$W$5001,"&lt;&gt;")=0,"",SUMIFS(BD!$W$3:$W$5001,BD!$A$3:$A$5001,AC$3,BD!$B$3:$B$5001,$A$123)))</f>
        <v/>
      </c>
      <c r="AD132" s="212" t="str">
        <f>IF(AD$3="","",IF(COUNTIFS(BD!$A$3:$A$5001,AD$3,BD!$B$3:$B$5001,$A$123,BD!$W$3:$W$5001,"&lt;&gt;")=0,"",SUMIFS(BD!$W$3:$W$5001,BD!$A$3:$A$5001,AD$3,BD!$B$3:$B$5001,$A$123)))</f>
        <v/>
      </c>
      <c r="AE132" s="212" t="str">
        <f>IF(AE$3="","",IF(COUNTIFS(BD!$A$3:$A$5001,AE$3,BD!$B$3:$B$5001,$A$123,BD!$W$3:$W$5001,"&lt;&gt;")=0,"",SUMIFS(BD!$W$3:$W$5001,BD!$A$3:$A$5001,AE$3,BD!$B$3:$B$5001,$A$123)))</f>
        <v/>
      </c>
      <c r="AF132" s="212" t="str">
        <f>IF(AF$3="","",IF(COUNTIFS(BD!$A$3:$A$5001,AF$3,BD!$B$3:$B$5001,$A$123,BD!$W$3:$W$5001,"&lt;&gt;")=0,"",SUMIFS(BD!$W$3:$W$5001,BD!$A$3:$A$5001,AF$3,BD!$B$3:$B$5001,$A$123)))</f>
        <v/>
      </c>
      <c r="AG132" s="212" t="str">
        <f>IF(AG$3="","",IF(COUNTIFS(BD!$A$3:$A$5001,AG$3,BD!$B$3:$B$5001,$A$123,BD!$W$3:$W$5001,"&lt;&gt;")=0,"",SUMIFS(BD!$W$3:$W$5001,BD!$A$3:$A$5001,AG$3,BD!$B$3:$B$5001,$A$123)))</f>
        <v/>
      </c>
      <c r="AH132" s="212" t="str">
        <f>IF(AH$3="","",IF(COUNTIFS(BD!$A$3:$A$5001,AH$3,BD!$B$3:$B$5001,$A$123,BD!$W$3:$W$5001,"&lt;&gt;")=0,"",SUMIFS(BD!$W$3:$W$5001,BD!$A$3:$A$5001,AH$3,BD!$B$3:$B$5001,$A$123)))</f>
        <v/>
      </c>
      <c r="AI132" s="212" t="str">
        <f>IF(AI$3="","",IF(COUNTIFS(BD!$A$3:$A$5001,AI$3,BD!$B$3:$B$5001,$A$123,BD!$W$3:$W$5001,"&lt;&gt;")=0,"",SUMIFS(BD!$W$3:$W$5001,BD!$A$3:$A$5001,AI$3,BD!$B$3:$B$5001,$A$123)))</f>
        <v/>
      </c>
      <c r="AJ132" s="213" t="str">
        <f>IF(AJ$3="","",IF(COUNTIFS(BD!$A$3:$A$5001,AJ$3,BD!$B$3:$B$5001,$A$123,BD!$W$3:$W$5001,"&lt;&gt;")=0,"",SUMIFS(BD!$W$3:$W$5001,BD!$A$3:$A$5001,AJ$3,BD!$B$3:$B$5001,$A$123)))</f>
        <v/>
      </c>
      <c r="AK132" s="209" t="str">
        <f>IFERROR(LOOKUP(9.99E+307,F132:AJ132),"")</f>
        <v/>
      </c>
    </row>
    <row r="133" ht="15.75" customHeight="1">
      <c r="A133" s="261"/>
      <c r="B133" s="249" t="inlineStr">
        <is>
          <t xml:space="preserve">OCUPAÇÃO (P.P)</t>
        </is>
      </c>
      <c r="C133" s="168" t="inlineStr">
        <is>
          <t xml:space="preserve">Posições Disponíveis</t>
        </is>
      </c>
      <c r="D133" s="169" t="str">
        <f>IFERROR(1/(1/INDEX(BD!$AL$44:$BF$44,MATCH($A$123,BD!$AL$22:$BF$22,0))),"")</f>
        <v/>
      </c>
      <c r="E133" s="170"/>
      <c r="F133" s="171" t="str">
        <f>IF(F$3="","",IF(COUNTIFS(BD!$A$3:$A$5001,F$3,BD!$B$3:$B$5001,$A$123,BD!$X$3:$X$5001,"&lt;&gt;")=0,"",SUMIFS(BD!$X$3:$X$5001,BD!$A$3:$A$5001,F$3,BD!$B$3:$B$5001,$A$123)))</f>
        <v/>
      </c>
      <c r="G133" s="172" t="str">
        <f>IF(G$3="","",IF(COUNTIFS(BD!$A$3:$A$5001,G$3,BD!$B$3:$B$5001,$A$123,BD!$X$3:$X$5001,"&lt;&gt;")=0,"",SUMIFS(BD!$X$3:$X$5001,BD!$A$3:$A$5001,G$3,BD!$B$3:$B$5001,$A$123)))</f>
        <v/>
      </c>
      <c r="H133" s="172" t="str">
        <f>IF(H$3="","",IF(COUNTIFS(BD!$A$3:$A$5001,H$3,BD!$B$3:$B$5001,$A$123,BD!$X$3:$X$5001,"&lt;&gt;")=0,"",SUMIFS(BD!$X$3:$X$5001,BD!$A$3:$A$5001,H$3,BD!$B$3:$B$5001,$A$123)))</f>
        <v/>
      </c>
      <c r="I133" s="172" t="str">
        <f>IF(I$3="","",IF(COUNTIFS(BD!$A$3:$A$5001,I$3,BD!$B$3:$B$5001,$A$123,BD!$X$3:$X$5001,"&lt;&gt;")=0,"",SUMIFS(BD!$X$3:$X$5001,BD!$A$3:$A$5001,I$3,BD!$B$3:$B$5001,$A$123)))</f>
        <v/>
      </c>
      <c r="J133" s="172" t="str">
        <f>IF(J$3="","",IF(COUNTIFS(BD!$A$3:$A$5001,J$3,BD!$B$3:$B$5001,$A$123,BD!$X$3:$X$5001,"&lt;&gt;")=0,"",SUMIFS(BD!$X$3:$X$5001,BD!$A$3:$A$5001,J$3,BD!$B$3:$B$5001,$A$123)))</f>
        <v/>
      </c>
      <c r="K133" s="172" t="str">
        <f>IF(K$3="","",IF(COUNTIFS(BD!$A$3:$A$5001,K$3,BD!$B$3:$B$5001,$A$123,BD!$X$3:$X$5001,"&lt;&gt;")=0,"",SUMIFS(BD!$X$3:$X$5001,BD!$A$3:$A$5001,K$3,BD!$B$3:$B$5001,$A$123)))</f>
        <v/>
      </c>
      <c r="L133" s="172" t="str">
        <f>IF(L$3="","",IF(COUNTIFS(BD!$A$3:$A$5001,L$3,BD!$B$3:$B$5001,$A$123,BD!$X$3:$X$5001,"&lt;&gt;")=0,"",SUMIFS(BD!$X$3:$X$5001,BD!$A$3:$A$5001,L$3,BD!$B$3:$B$5001,$A$123)))</f>
        <v/>
      </c>
      <c r="M133" s="172" t="str">
        <f>IF(M$3="","",IF(COUNTIFS(BD!$A$3:$A$5001,M$3,BD!$B$3:$B$5001,$A$123,BD!$X$3:$X$5001,"&lt;&gt;")=0,"",SUMIFS(BD!$X$3:$X$5001,BD!$A$3:$A$5001,M$3,BD!$B$3:$B$5001,$A$123)))</f>
        <v/>
      </c>
      <c r="N133" s="172" t="str">
        <f>IF(N$3="","",IF(COUNTIFS(BD!$A$3:$A$5001,N$3,BD!$B$3:$B$5001,$A$123,BD!$X$3:$X$5001,"&lt;&gt;")=0,"",SUMIFS(BD!$X$3:$X$5001,BD!$A$3:$A$5001,N$3,BD!$B$3:$B$5001,$A$123)))</f>
        <v/>
      </c>
      <c r="O133" s="172" t="str">
        <f>IF(O$3="","",IF(COUNTIFS(BD!$A$3:$A$5001,O$3,BD!$B$3:$B$5001,$A$123,BD!$X$3:$X$5001,"&lt;&gt;")=0,"",SUMIFS(BD!$X$3:$X$5001,BD!$A$3:$A$5001,O$3,BD!$B$3:$B$5001,$A$123)))</f>
        <v/>
      </c>
      <c r="P133" s="172" t="str">
        <f>IF(P$3="","",IF(COUNTIFS(BD!$A$3:$A$5001,P$3,BD!$B$3:$B$5001,$A$123,BD!$X$3:$X$5001,"&lt;&gt;")=0,"",SUMIFS(BD!$X$3:$X$5001,BD!$A$3:$A$5001,P$3,BD!$B$3:$B$5001,$A$123)))</f>
        <v/>
      </c>
      <c r="Q133" s="172" t="str">
        <f>IF(Q$3="","",IF(COUNTIFS(BD!$A$3:$A$5001,Q$3,BD!$B$3:$B$5001,$A$123,BD!$X$3:$X$5001,"&lt;&gt;")=0,"",SUMIFS(BD!$X$3:$X$5001,BD!$A$3:$A$5001,Q$3,BD!$B$3:$B$5001,$A$123)))</f>
        <v/>
      </c>
      <c r="R133" s="172" t="str">
        <f>IF(R$3="","",IF(COUNTIFS(BD!$A$3:$A$5001,R$3,BD!$B$3:$B$5001,$A$123,BD!$X$3:$X$5001,"&lt;&gt;")=0,"",SUMIFS(BD!$X$3:$X$5001,BD!$A$3:$A$5001,R$3,BD!$B$3:$B$5001,$A$123)))</f>
        <v/>
      </c>
      <c r="S133" s="172" t="str">
        <f>IF(S$3="","",IF(COUNTIFS(BD!$A$3:$A$5001,S$3,BD!$B$3:$B$5001,$A$123,BD!$X$3:$X$5001,"&lt;&gt;")=0,"",SUMIFS(BD!$X$3:$X$5001,BD!$A$3:$A$5001,S$3,BD!$B$3:$B$5001,$A$123)))</f>
        <v/>
      </c>
      <c r="T133" s="172" t="str">
        <f>IF(T$3="","",IF(COUNTIFS(BD!$A$3:$A$5001,T$3,BD!$B$3:$B$5001,$A$123,BD!$X$3:$X$5001,"&lt;&gt;")=0,"",SUMIFS(BD!$X$3:$X$5001,BD!$A$3:$A$5001,T$3,BD!$B$3:$B$5001,$A$123)))</f>
        <v/>
      </c>
      <c r="U133" s="172" t="str">
        <f>IF(U$3="","",IF(COUNTIFS(BD!$A$3:$A$5001,U$3,BD!$B$3:$B$5001,$A$123,BD!$X$3:$X$5001,"&lt;&gt;")=0,"",SUMIFS(BD!$X$3:$X$5001,BD!$A$3:$A$5001,U$3,BD!$B$3:$B$5001,$A$123)))</f>
        <v/>
      </c>
      <c r="V133" s="172" t="str">
        <f>IF(V$3="","",IF(COUNTIFS(BD!$A$3:$A$5001,V$3,BD!$B$3:$B$5001,$A$123,BD!$X$3:$X$5001,"&lt;&gt;")=0,"",SUMIFS(BD!$X$3:$X$5001,BD!$A$3:$A$5001,V$3,BD!$B$3:$B$5001,$A$123)))</f>
        <v/>
      </c>
      <c r="W133" s="172" t="str">
        <f>IF(W$3="","",IF(COUNTIFS(BD!$A$3:$A$5001,W$3,BD!$B$3:$B$5001,$A$123,BD!$X$3:$X$5001,"&lt;&gt;")=0,"",SUMIFS(BD!$X$3:$X$5001,BD!$A$3:$A$5001,W$3,BD!$B$3:$B$5001,$A$123)))</f>
        <v/>
      </c>
      <c r="X133" s="172" t="str">
        <f>IF(X$3="","",IF(COUNTIFS(BD!$A$3:$A$5001,X$3,BD!$B$3:$B$5001,$A$123,BD!$X$3:$X$5001,"&lt;&gt;")=0,"",SUMIFS(BD!$X$3:$X$5001,BD!$A$3:$A$5001,X$3,BD!$B$3:$B$5001,$A$123)))</f>
        <v/>
      </c>
      <c r="Y133" s="172" t="str">
        <f>IF(Y$3="","",IF(COUNTIFS(BD!$A$3:$A$5001,Y$3,BD!$B$3:$B$5001,$A$123,BD!$X$3:$X$5001,"&lt;&gt;")=0,"",SUMIFS(BD!$X$3:$X$5001,BD!$A$3:$A$5001,Y$3,BD!$B$3:$B$5001,$A$123)))</f>
        <v/>
      </c>
      <c r="Z133" s="172" t="str">
        <f>IF(Z$3="","",IF(COUNTIFS(BD!$A$3:$A$5001,Z$3,BD!$B$3:$B$5001,$A$123,BD!$X$3:$X$5001,"&lt;&gt;")=0,"",SUMIFS(BD!$X$3:$X$5001,BD!$A$3:$A$5001,Z$3,BD!$B$3:$B$5001,$A$123)))</f>
        <v/>
      </c>
      <c r="AA133" s="172" t="str">
        <f>IF(AA$3="","",IF(COUNTIFS(BD!$A$3:$A$5001,AA$3,BD!$B$3:$B$5001,$A$123,BD!$X$3:$X$5001,"&lt;&gt;")=0,"",SUMIFS(BD!$X$3:$X$5001,BD!$A$3:$A$5001,AA$3,BD!$B$3:$B$5001,$A$123)))</f>
        <v/>
      </c>
      <c r="AB133" s="172" t="str">
        <f>IF(AB$3="","",IF(COUNTIFS(BD!$A$3:$A$5001,AB$3,BD!$B$3:$B$5001,$A$123,BD!$X$3:$X$5001,"&lt;&gt;")=0,"",SUMIFS(BD!$X$3:$X$5001,BD!$A$3:$A$5001,AB$3,BD!$B$3:$B$5001,$A$123)))</f>
        <v/>
      </c>
      <c r="AC133" s="172" t="str">
        <f>IF(AC$3="","",IF(COUNTIFS(BD!$A$3:$A$5001,AC$3,BD!$B$3:$B$5001,$A$123,BD!$X$3:$X$5001,"&lt;&gt;")=0,"",SUMIFS(BD!$X$3:$X$5001,BD!$A$3:$A$5001,AC$3,BD!$B$3:$B$5001,$A$123)))</f>
        <v/>
      </c>
      <c r="AD133" s="172" t="str">
        <f>IF(AD$3="","",IF(COUNTIFS(BD!$A$3:$A$5001,AD$3,BD!$B$3:$B$5001,$A$123,BD!$X$3:$X$5001,"&lt;&gt;")=0,"",SUMIFS(BD!$X$3:$X$5001,BD!$A$3:$A$5001,AD$3,BD!$B$3:$B$5001,$A$123)))</f>
        <v/>
      </c>
      <c r="AE133" s="172" t="str">
        <f>IF(AE$3="","",IF(COUNTIFS(BD!$A$3:$A$5001,AE$3,BD!$B$3:$B$5001,$A$123,BD!$X$3:$X$5001,"&lt;&gt;")=0,"",SUMIFS(BD!$X$3:$X$5001,BD!$A$3:$A$5001,AE$3,BD!$B$3:$B$5001,$A$123)))</f>
        <v/>
      </c>
      <c r="AF133" s="172" t="str">
        <f>IF(AF$3="","",IF(COUNTIFS(BD!$A$3:$A$5001,AF$3,BD!$B$3:$B$5001,$A$123,BD!$X$3:$X$5001,"&lt;&gt;")=0,"",SUMIFS(BD!$X$3:$X$5001,BD!$A$3:$A$5001,AF$3,BD!$B$3:$B$5001,$A$123)))</f>
        <v/>
      </c>
      <c r="AG133" s="172" t="str">
        <f>IF(AG$3="","",IF(COUNTIFS(BD!$A$3:$A$5001,AG$3,BD!$B$3:$B$5001,$A$123,BD!$X$3:$X$5001,"&lt;&gt;")=0,"",SUMIFS(BD!$X$3:$X$5001,BD!$A$3:$A$5001,AG$3,BD!$B$3:$B$5001,$A$123)))</f>
        <v/>
      </c>
      <c r="AH133" s="172" t="str">
        <f>IF(AH$3="","",IF(COUNTIFS(BD!$A$3:$A$5001,AH$3,BD!$B$3:$B$5001,$A$123,BD!$X$3:$X$5001,"&lt;&gt;")=0,"",SUMIFS(BD!$X$3:$X$5001,BD!$A$3:$A$5001,AH$3,BD!$B$3:$B$5001,$A$123)))</f>
        <v/>
      </c>
      <c r="AI133" s="172" t="str">
        <f>IF(AI$3="","",IF(COUNTIFS(BD!$A$3:$A$5001,AI$3,BD!$B$3:$B$5001,$A$123,BD!$X$3:$X$5001,"&lt;&gt;")=0,"",SUMIFS(BD!$X$3:$X$5001,BD!$A$3:$A$5001,AI$3,BD!$B$3:$B$5001,$A$123)))</f>
        <v/>
      </c>
      <c r="AJ133" s="173" t="str">
        <f>IF(AJ$3="","",IF(COUNTIFS(BD!$A$3:$A$5001,AJ$3,BD!$B$3:$B$5001,$A$123,BD!$X$3:$X$5001,"&lt;&gt;")=0,"",SUMIFS(BD!$X$3:$X$5001,BD!$A$3:$A$5001,AJ$3,BD!$B$3:$B$5001,$A$123)))</f>
        <v/>
      </c>
      <c r="AK133" s="174" t="str">
        <f>IF(COUNT(F133:AJ133)&gt;0,LOOKUP(9.99E+307,F133:AJ133),IFERROR(IF(INDEX(BD!$AI$3:$AI$5001,MATCH($A$123,BD!$B$3:$B$5001,0))&amp;""="Contrato","",INDEX(BD!$AI$3:$AI$5001,MATCH($A$123,BD!$B$3:$B$5001,0))&amp;""),""))</f>
        <v/>
      </c>
    </row>
    <row r="134" ht="15.75" customHeight="1">
      <c r="A134" s="261"/>
      <c r="B134" s="256"/>
      <c r="C134" s="214" t="inlineStr">
        <is>
          <t xml:space="preserve">Posições Ocupadas</t>
        </is>
      </c>
      <c r="D134" s="215" t="str">
        <f>IFERROR(1/(1/INDEX(BD!$AL$45:$BF$45,MATCH($A$123,BD!$AL$22:$BF$22,0))),"")</f>
        <v/>
      </c>
      <c r="E134" s="216"/>
      <c r="F134" s="217" t="str">
        <f>IF(F$3="","",IF(COUNTIFS(BD!$A$3:$A$5001,F$3,BD!$B$3:$B$5001,$A$123,BD!$Y$3:$Y$5001,"&lt;&gt;")=0,"",SUMIFS(BD!$Y$3:$Y$5001,BD!$A$3:$A$5001,F$3,BD!$B$3:$B$5001,$A$123)))</f>
        <v/>
      </c>
      <c r="G134" s="218" t="str">
        <f>IF(G$3="","",IF(COUNTIFS(BD!$A$3:$A$5001,G$3,BD!$B$3:$B$5001,$A$123,BD!$Y$3:$Y$5001,"&lt;&gt;")=0,"",SUMIFS(BD!$Y$3:$Y$5001,BD!$A$3:$A$5001,G$3,BD!$B$3:$B$5001,$A$123)))</f>
        <v/>
      </c>
      <c r="H134" s="218" t="str">
        <f>IF(H$3="","",IF(COUNTIFS(BD!$A$3:$A$5001,H$3,BD!$B$3:$B$5001,$A$123,BD!$Y$3:$Y$5001,"&lt;&gt;")=0,"",SUMIFS(BD!$Y$3:$Y$5001,BD!$A$3:$A$5001,H$3,BD!$B$3:$B$5001,$A$123)))</f>
        <v/>
      </c>
      <c r="I134" s="218" t="str">
        <f>IF(I$3="","",IF(COUNTIFS(BD!$A$3:$A$5001,I$3,BD!$B$3:$B$5001,$A$123,BD!$Y$3:$Y$5001,"&lt;&gt;")=0,"",SUMIFS(BD!$Y$3:$Y$5001,BD!$A$3:$A$5001,I$3,BD!$B$3:$B$5001,$A$123)))</f>
        <v/>
      </c>
      <c r="J134" s="218" t="str">
        <f>IF(J$3="","",IF(COUNTIFS(BD!$A$3:$A$5001,J$3,BD!$B$3:$B$5001,$A$123,BD!$Y$3:$Y$5001,"&lt;&gt;")=0,"",SUMIFS(BD!$Y$3:$Y$5001,BD!$A$3:$A$5001,J$3,BD!$B$3:$B$5001,$A$123)))</f>
        <v/>
      </c>
      <c r="K134" s="218" t="str">
        <f>IF(K$3="","",IF(COUNTIFS(BD!$A$3:$A$5001,K$3,BD!$B$3:$B$5001,$A$123,BD!$Y$3:$Y$5001,"&lt;&gt;")=0,"",SUMIFS(BD!$Y$3:$Y$5001,BD!$A$3:$A$5001,K$3,BD!$B$3:$B$5001,$A$123)))</f>
        <v/>
      </c>
      <c r="L134" s="218" t="str">
        <f>IF(L$3="","",IF(COUNTIFS(BD!$A$3:$A$5001,L$3,BD!$B$3:$B$5001,$A$123,BD!$Y$3:$Y$5001,"&lt;&gt;")=0,"",SUMIFS(BD!$Y$3:$Y$5001,BD!$A$3:$A$5001,L$3,BD!$B$3:$B$5001,$A$123)))</f>
        <v/>
      </c>
      <c r="M134" s="218" t="str">
        <f>IF(M$3="","",IF(COUNTIFS(BD!$A$3:$A$5001,M$3,BD!$B$3:$B$5001,$A$123,BD!$Y$3:$Y$5001,"&lt;&gt;")=0,"",SUMIFS(BD!$Y$3:$Y$5001,BD!$A$3:$A$5001,M$3,BD!$B$3:$B$5001,$A$123)))</f>
        <v/>
      </c>
      <c r="N134" s="218" t="str">
        <f>IF(N$3="","",IF(COUNTIFS(BD!$A$3:$A$5001,N$3,BD!$B$3:$B$5001,$A$123,BD!$Y$3:$Y$5001,"&lt;&gt;")=0,"",SUMIFS(BD!$Y$3:$Y$5001,BD!$A$3:$A$5001,N$3,BD!$B$3:$B$5001,$A$123)))</f>
        <v/>
      </c>
      <c r="O134" s="218" t="str">
        <f>IF(O$3="","",IF(COUNTIFS(BD!$A$3:$A$5001,O$3,BD!$B$3:$B$5001,$A$123,BD!$Y$3:$Y$5001,"&lt;&gt;")=0,"",SUMIFS(BD!$Y$3:$Y$5001,BD!$A$3:$A$5001,O$3,BD!$B$3:$B$5001,$A$123)))</f>
        <v/>
      </c>
      <c r="P134" s="218" t="str">
        <f>IF(P$3="","",IF(COUNTIFS(BD!$A$3:$A$5001,P$3,BD!$B$3:$B$5001,$A$123,BD!$Y$3:$Y$5001,"&lt;&gt;")=0,"",SUMIFS(BD!$Y$3:$Y$5001,BD!$A$3:$A$5001,P$3,BD!$B$3:$B$5001,$A$123)))</f>
        <v/>
      </c>
      <c r="Q134" s="218" t="str">
        <f>IF(Q$3="","",IF(COUNTIFS(BD!$A$3:$A$5001,Q$3,BD!$B$3:$B$5001,$A$123,BD!$Y$3:$Y$5001,"&lt;&gt;")=0,"",SUMIFS(BD!$Y$3:$Y$5001,BD!$A$3:$A$5001,Q$3,BD!$B$3:$B$5001,$A$123)))</f>
        <v/>
      </c>
      <c r="R134" s="218" t="str">
        <f>IF(R$3="","",IF(COUNTIFS(BD!$A$3:$A$5001,R$3,BD!$B$3:$B$5001,$A$123,BD!$Y$3:$Y$5001,"&lt;&gt;")=0,"",SUMIFS(BD!$Y$3:$Y$5001,BD!$A$3:$A$5001,R$3,BD!$B$3:$B$5001,$A$123)))</f>
        <v/>
      </c>
      <c r="S134" s="218" t="str">
        <f>IF(S$3="","",IF(COUNTIFS(BD!$A$3:$A$5001,S$3,BD!$B$3:$B$5001,$A$123,BD!$Y$3:$Y$5001,"&lt;&gt;")=0,"",SUMIFS(BD!$Y$3:$Y$5001,BD!$A$3:$A$5001,S$3,BD!$B$3:$B$5001,$A$123)))</f>
        <v/>
      </c>
      <c r="T134" s="218" t="str">
        <f>IF(T$3="","",IF(COUNTIFS(BD!$A$3:$A$5001,T$3,BD!$B$3:$B$5001,$A$123,BD!$Y$3:$Y$5001,"&lt;&gt;")=0,"",SUMIFS(BD!$Y$3:$Y$5001,BD!$A$3:$A$5001,T$3,BD!$B$3:$B$5001,$A$123)))</f>
        <v/>
      </c>
      <c r="U134" s="218" t="str">
        <f>IF(U$3="","",IF(COUNTIFS(BD!$A$3:$A$5001,U$3,BD!$B$3:$B$5001,$A$123,BD!$Y$3:$Y$5001,"&lt;&gt;")=0,"",SUMIFS(BD!$Y$3:$Y$5001,BD!$A$3:$A$5001,U$3,BD!$B$3:$B$5001,$A$123)))</f>
        <v/>
      </c>
      <c r="V134" s="218" t="str">
        <f>IF(V$3="","",IF(COUNTIFS(BD!$A$3:$A$5001,V$3,BD!$B$3:$B$5001,$A$123,BD!$Y$3:$Y$5001,"&lt;&gt;")=0,"",SUMIFS(BD!$Y$3:$Y$5001,BD!$A$3:$A$5001,V$3,BD!$B$3:$B$5001,$A$123)))</f>
        <v/>
      </c>
      <c r="W134" s="218" t="str">
        <f>IF(W$3="","",IF(COUNTIFS(BD!$A$3:$A$5001,W$3,BD!$B$3:$B$5001,$A$123,BD!$Y$3:$Y$5001,"&lt;&gt;")=0,"",SUMIFS(BD!$Y$3:$Y$5001,BD!$A$3:$A$5001,W$3,BD!$B$3:$B$5001,$A$123)))</f>
        <v/>
      </c>
      <c r="X134" s="218" t="str">
        <f>IF(X$3="","",IF(COUNTIFS(BD!$A$3:$A$5001,X$3,BD!$B$3:$B$5001,$A$123,BD!$Y$3:$Y$5001,"&lt;&gt;")=0,"",SUMIFS(BD!$Y$3:$Y$5001,BD!$A$3:$A$5001,X$3,BD!$B$3:$B$5001,$A$123)))</f>
        <v/>
      </c>
      <c r="Y134" s="218" t="str">
        <f>IF(Y$3="","",IF(COUNTIFS(BD!$A$3:$A$5001,Y$3,BD!$B$3:$B$5001,$A$123,BD!$Y$3:$Y$5001,"&lt;&gt;")=0,"",SUMIFS(BD!$Y$3:$Y$5001,BD!$A$3:$A$5001,Y$3,BD!$B$3:$B$5001,$A$123)))</f>
        <v/>
      </c>
      <c r="Z134" s="218" t="str">
        <f>IF(Z$3="","",IF(COUNTIFS(BD!$A$3:$A$5001,Z$3,BD!$B$3:$B$5001,$A$123,BD!$Y$3:$Y$5001,"&lt;&gt;")=0,"",SUMIFS(BD!$Y$3:$Y$5001,BD!$A$3:$A$5001,Z$3,BD!$B$3:$B$5001,$A$123)))</f>
        <v/>
      </c>
      <c r="AA134" s="218" t="str">
        <f>IF(AA$3="","",IF(COUNTIFS(BD!$A$3:$A$5001,AA$3,BD!$B$3:$B$5001,$A$123,BD!$Y$3:$Y$5001,"&lt;&gt;")=0,"",SUMIFS(BD!$Y$3:$Y$5001,BD!$A$3:$A$5001,AA$3,BD!$B$3:$B$5001,$A$123)))</f>
        <v/>
      </c>
      <c r="AB134" s="218" t="str">
        <f>IF(AB$3="","",IF(COUNTIFS(BD!$A$3:$A$5001,AB$3,BD!$B$3:$B$5001,$A$123,BD!$Y$3:$Y$5001,"&lt;&gt;")=0,"",SUMIFS(BD!$Y$3:$Y$5001,BD!$A$3:$A$5001,AB$3,BD!$B$3:$B$5001,$A$123)))</f>
        <v/>
      </c>
      <c r="AC134" s="218" t="str">
        <f>IF(AC$3="","",IF(COUNTIFS(BD!$A$3:$A$5001,AC$3,BD!$B$3:$B$5001,$A$123,BD!$Y$3:$Y$5001,"&lt;&gt;")=0,"",SUMIFS(BD!$Y$3:$Y$5001,BD!$A$3:$A$5001,AC$3,BD!$B$3:$B$5001,$A$123)))</f>
        <v/>
      </c>
      <c r="AD134" s="218" t="str">
        <f>IF(AD$3="","",IF(COUNTIFS(BD!$A$3:$A$5001,AD$3,BD!$B$3:$B$5001,$A$123,BD!$Y$3:$Y$5001,"&lt;&gt;")=0,"",SUMIFS(BD!$Y$3:$Y$5001,BD!$A$3:$A$5001,AD$3,BD!$B$3:$B$5001,$A$123)))</f>
        <v/>
      </c>
      <c r="AE134" s="218" t="str">
        <f>IF(AE$3="","",IF(COUNTIFS(BD!$A$3:$A$5001,AE$3,BD!$B$3:$B$5001,$A$123,BD!$Y$3:$Y$5001,"&lt;&gt;")=0,"",SUMIFS(BD!$Y$3:$Y$5001,BD!$A$3:$A$5001,AE$3,BD!$B$3:$B$5001,$A$123)))</f>
        <v/>
      </c>
      <c r="AF134" s="218" t="str">
        <f>IF(AF$3="","",IF(COUNTIFS(BD!$A$3:$A$5001,AF$3,BD!$B$3:$B$5001,$A$123,BD!$Y$3:$Y$5001,"&lt;&gt;")=0,"",SUMIFS(BD!$Y$3:$Y$5001,BD!$A$3:$A$5001,AF$3,BD!$B$3:$B$5001,$A$123)))</f>
        <v/>
      </c>
      <c r="AG134" s="218" t="str">
        <f>IF(AG$3="","",IF(COUNTIFS(BD!$A$3:$A$5001,AG$3,BD!$B$3:$B$5001,$A$123,BD!$Y$3:$Y$5001,"&lt;&gt;")=0,"",SUMIFS(BD!$Y$3:$Y$5001,BD!$A$3:$A$5001,AG$3,BD!$B$3:$B$5001,$A$123)))</f>
        <v/>
      </c>
      <c r="AH134" s="218" t="str">
        <f>IF(AH$3="","",IF(COUNTIFS(BD!$A$3:$A$5001,AH$3,BD!$B$3:$B$5001,$A$123,BD!$Y$3:$Y$5001,"&lt;&gt;")=0,"",SUMIFS(BD!$Y$3:$Y$5001,BD!$A$3:$A$5001,AH$3,BD!$B$3:$B$5001,$A$123)))</f>
        <v/>
      </c>
      <c r="AI134" s="218" t="str">
        <f>IF(AI$3="","",IF(COUNTIFS(BD!$A$3:$A$5001,AI$3,BD!$B$3:$B$5001,$A$123,BD!$Y$3:$Y$5001,"&lt;&gt;")=0,"",SUMIFS(BD!$Y$3:$Y$5001,BD!$A$3:$A$5001,AI$3,BD!$B$3:$B$5001,$A$123)))</f>
        <v/>
      </c>
      <c r="AJ134" s="219" t="str">
        <f>IF(AJ$3="","",IF(COUNTIFS(BD!$A$3:$A$5001,AJ$3,BD!$B$3:$B$5001,$A$123,BD!$Y$3:$Y$5001,"&lt;&gt;")=0,"",SUMIFS(BD!$Y$3:$Y$5001,BD!$A$3:$A$5001,AJ$3,BD!$B$3:$B$5001,$A$123)))</f>
        <v/>
      </c>
      <c r="AK134" s="220" t="str">
        <f>IFERROR(LOOKUP(9.99E+307,F134:AJ134),"")</f>
        <v/>
      </c>
    </row>
    <row r="135" ht="15.75" customHeight="1">
      <c r="A135" s="261"/>
      <c r="B135" s="250"/>
      <c r="C135" s="175" t="inlineStr">
        <is>
          <t xml:space="preserve">Taxa de Ocupação</t>
        </is>
      </c>
      <c r="D135" s="221" t="str">
        <f>IFERROR(1/(1/INDEX(BD!$AL$46:$BF$46,MATCH($A$123,BD!$AL$22:$BF$22,0))),"")</f>
        <v/>
      </c>
      <c r="E135" s="177"/>
      <c r="F135" s="222" t="str">
        <f>IF(AND(ISNUMBER(F133),ISNUMBER(F134)),IF(F133&gt;0,F134/F133,""),"")</f>
        <v/>
      </c>
      <c r="G135" s="223" t="str">
        <f>IF(AND(ISNUMBER(G133),ISNUMBER(G134)),IF(G133&gt;0,G134/G133,""),"")</f>
        <v/>
      </c>
      <c r="H135" s="223" t="str">
        <f>IF(AND(ISNUMBER(H133),ISNUMBER(H134)),IF(H133&gt;0,H134/H133,""),"")</f>
        <v/>
      </c>
      <c r="I135" s="223" t="str">
        <f>IF(AND(ISNUMBER(I133),ISNUMBER(I134)),IF(I133&gt;0,I134/I133,""),"")</f>
        <v/>
      </c>
      <c r="J135" s="223" t="str">
        <f>IF(AND(ISNUMBER(J133),ISNUMBER(J134)),IF(J133&gt;0,J134/J133,""),"")</f>
        <v/>
      </c>
      <c r="K135" s="223" t="str">
        <f>IF(AND(ISNUMBER(K133),ISNUMBER(K134)),IF(K133&gt;0,K134/K133,""),"")</f>
        <v/>
      </c>
      <c r="L135" s="223" t="str">
        <f>IF(AND(ISNUMBER(L133),ISNUMBER(L134)),IF(L133&gt;0,L134/L133,""),"")</f>
        <v/>
      </c>
      <c r="M135" s="223" t="str">
        <f>IF(AND(ISNUMBER(M133),ISNUMBER(M134)),IF(M133&gt;0,M134/M133,""),"")</f>
        <v/>
      </c>
      <c r="N135" s="223" t="str">
        <f>IF(AND(ISNUMBER(N133),ISNUMBER(N134)),IF(N133&gt;0,N134/N133,""),"")</f>
        <v/>
      </c>
      <c r="O135" s="223" t="str">
        <f>IF(AND(ISNUMBER(O133),ISNUMBER(O134)),IF(O133&gt;0,O134/O133,""),"")</f>
        <v/>
      </c>
      <c r="P135" s="223" t="str">
        <f>IF(AND(ISNUMBER(P133),ISNUMBER(P134)),IF(P133&gt;0,P134/P133,""),"")</f>
        <v/>
      </c>
      <c r="Q135" s="223" t="str">
        <f>IF(AND(ISNUMBER(Q133),ISNUMBER(Q134)),IF(Q133&gt;0,Q134/Q133,""),"")</f>
        <v/>
      </c>
      <c r="R135" s="223" t="str">
        <f>IF(AND(ISNUMBER(R133),ISNUMBER(R134)),IF(R133&gt;0,R134/R133,""),"")</f>
        <v/>
      </c>
      <c r="S135" s="223" t="str">
        <f>IF(AND(ISNUMBER(S133),ISNUMBER(S134)),IF(S133&gt;0,S134/S133,""),"")</f>
        <v/>
      </c>
      <c r="T135" s="223" t="str">
        <f>IF(AND(ISNUMBER(T133),ISNUMBER(T134)),IF(T133&gt;0,T134/T133,""),"")</f>
        <v/>
      </c>
      <c r="U135" s="223" t="str">
        <f>IF(AND(ISNUMBER(U133),ISNUMBER(U134)),IF(U133&gt;0,U134/U133,""),"")</f>
        <v/>
      </c>
      <c r="V135" s="223" t="str">
        <f>IF(AND(ISNUMBER(V133),ISNUMBER(V134)),IF(V133&gt;0,V134/V133,""),"")</f>
        <v/>
      </c>
      <c r="W135" s="223" t="str">
        <f>IF(AND(ISNUMBER(W133),ISNUMBER(W134)),IF(W133&gt;0,W134/W133,""),"")</f>
        <v/>
      </c>
      <c r="X135" s="223" t="str">
        <f>IF(AND(ISNUMBER(X133),ISNUMBER(X134)),IF(X133&gt;0,X134/X133,""),"")</f>
        <v/>
      </c>
      <c r="Y135" s="223" t="str">
        <f>IF(AND(ISNUMBER(Y133),ISNUMBER(Y134)),IF(Y133&gt;0,Y134/Y133,""),"")</f>
        <v/>
      </c>
      <c r="Z135" s="223" t="str">
        <f>IF(AND(ISNUMBER(Z133),ISNUMBER(Z134)),IF(Z133&gt;0,Z134/Z133,""),"")</f>
        <v/>
      </c>
      <c r="AA135" s="223" t="str">
        <f>IF(AND(ISNUMBER(AA133),ISNUMBER(AA134)),IF(AA133&gt;0,AA134/AA133,""),"")</f>
        <v/>
      </c>
      <c r="AB135" s="223" t="str">
        <f>IF(AND(ISNUMBER(AB133),ISNUMBER(AB134)),IF(AB133&gt;0,AB134/AB133,""),"")</f>
        <v/>
      </c>
      <c r="AC135" s="223" t="str">
        <f>IF(AND(ISNUMBER(AC133),ISNUMBER(AC134)),IF(AC133&gt;0,AC134/AC133,""),"")</f>
        <v/>
      </c>
      <c r="AD135" s="223" t="str">
        <f>IF(AND(ISNUMBER(AD133),ISNUMBER(AD134)),IF(AD133&gt;0,AD134/AD133,""),"")</f>
        <v/>
      </c>
      <c r="AE135" s="223" t="str">
        <f>IF(AND(ISNUMBER(AE133),ISNUMBER(AE134)),IF(AE133&gt;0,AE134/AE133,""),"")</f>
        <v/>
      </c>
      <c r="AF135" s="223" t="str">
        <f>IF(AND(ISNUMBER(AF133),ISNUMBER(AF134)),IF(AF133&gt;0,AF134/AF133,""),"")</f>
        <v/>
      </c>
      <c r="AG135" s="223" t="str">
        <f>IF(AND(ISNUMBER(AG133),ISNUMBER(AG134)),IF(AG133&gt;0,AG134/AG133,""),"")</f>
        <v/>
      </c>
      <c r="AH135" s="223" t="str">
        <f>IF(AND(ISNUMBER(AH133),ISNUMBER(AH134)),IF(AH133&gt;0,AH134/AH133,""),"")</f>
        <v/>
      </c>
      <c r="AI135" s="223" t="str">
        <f>IF(AND(ISNUMBER(AI133),ISNUMBER(AI134)),IF(AI133&gt;0,AI134/AI133,""),"")</f>
        <v/>
      </c>
      <c r="AJ135" s="224" t="str">
        <f>IF(AND(ISNUMBER(AJ133),ISNUMBER(AJ134)),IF(AJ133&gt;0,AJ134/AJ133,""),"")</f>
        <v/>
      </c>
      <c r="AK135" s="221" t="str">
        <f>IF(AND(ISNUMBER(AK133),ISNUMBER(AK134)),IF(AK133&gt;0,AK134/AK133,""),"")</f>
        <v/>
      </c>
    </row>
    <row r="136" ht="15.75" customHeight="1">
      <c r="A136" s="261"/>
      <c r="B136" s="257" t="inlineStr">
        <is>
          <t xml:space="preserve">GENTE</t>
        </is>
      </c>
      <c r="C136" s="225" t="inlineStr">
        <is>
          <t xml:space="preserve">Efetivo Op.</t>
        </is>
      </c>
      <c r="D136" s="226" t="str">
        <f>IFERROR(1/(1/INDEX(BD!$AL$47:$BF$47,MATCH($A$123,BD!$AL$22:$BF$22,0))),"")</f>
        <v/>
      </c>
      <c r="E136" s="227"/>
      <c r="F136" s="228" t="str">
        <f>IF(F$3="","",IF(COUNTIFS(BD!$A$3:$A$5001,F$3,BD!$B$3:$B$5001,$A$123,BD!$Z$3:$Z$5001,"&lt;&gt;")=0,"",SUMIFS(BD!$Z$3:$Z$5001,BD!$A$3:$A$5001,F$3,BD!$B$3:$B$5001,$A$123)))</f>
        <v/>
      </c>
      <c r="G136" s="229" t="str">
        <f>IF(G$3="","",IF(COUNTIFS(BD!$A$3:$A$5001,G$3,BD!$B$3:$B$5001,$A$123,BD!$Z$3:$Z$5001,"&lt;&gt;")=0,"",SUMIFS(BD!$Z$3:$Z$5001,BD!$A$3:$A$5001,G$3,BD!$B$3:$B$5001,$A$123)))</f>
        <v/>
      </c>
      <c r="H136" s="229" t="str">
        <f>IF(H$3="","",IF(COUNTIFS(BD!$A$3:$A$5001,H$3,BD!$B$3:$B$5001,$A$123,BD!$Z$3:$Z$5001,"&lt;&gt;")=0,"",SUMIFS(BD!$Z$3:$Z$5001,BD!$A$3:$A$5001,H$3,BD!$B$3:$B$5001,$A$123)))</f>
        <v/>
      </c>
      <c r="I136" s="229" t="str">
        <f>IF(I$3="","",IF(COUNTIFS(BD!$A$3:$A$5001,I$3,BD!$B$3:$B$5001,$A$123,BD!$Z$3:$Z$5001,"&lt;&gt;")=0,"",SUMIFS(BD!$Z$3:$Z$5001,BD!$A$3:$A$5001,I$3,BD!$B$3:$B$5001,$A$123)))</f>
        <v/>
      </c>
      <c r="J136" s="229" t="str">
        <f>IF(J$3="","",IF(COUNTIFS(BD!$A$3:$A$5001,J$3,BD!$B$3:$B$5001,$A$123,BD!$Z$3:$Z$5001,"&lt;&gt;")=0,"",SUMIFS(BD!$Z$3:$Z$5001,BD!$A$3:$A$5001,J$3,BD!$B$3:$B$5001,$A$123)))</f>
        <v/>
      </c>
      <c r="K136" s="229" t="str">
        <f>IF(K$3="","",IF(COUNTIFS(BD!$A$3:$A$5001,K$3,BD!$B$3:$B$5001,$A$123,BD!$Z$3:$Z$5001,"&lt;&gt;")=0,"",SUMIFS(BD!$Z$3:$Z$5001,BD!$A$3:$A$5001,K$3,BD!$B$3:$B$5001,$A$123)))</f>
        <v/>
      </c>
      <c r="L136" s="229" t="str">
        <f>IF(L$3="","",IF(COUNTIFS(BD!$A$3:$A$5001,L$3,BD!$B$3:$B$5001,$A$123,BD!$Z$3:$Z$5001,"&lt;&gt;")=0,"",SUMIFS(BD!$Z$3:$Z$5001,BD!$A$3:$A$5001,L$3,BD!$B$3:$B$5001,$A$123)))</f>
        <v/>
      </c>
      <c r="M136" s="229" t="str">
        <f>IF(M$3="","",IF(COUNTIFS(BD!$A$3:$A$5001,M$3,BD!$B$3:$B$5001,$A$123,BD!$Z$3:$Z$5001,"&lt;&gt;")=0,"",SUMIFS(BD!$Z$3:$Z$5001,BD!$A$3:$A$5001,M$3,BD!$B$3:$B$5001,$A$123)))</f>
        <v/>
      </c>
      <c r="N136" s="229" t="str">
        <f>IF(N$3="","",IF(COUNTIFS(BD!$A$3:$A$5001,N$3,BD!$B$3:$B$5001,$A$123,BD!$Z$3:$Z$5001,"&lt;&gt;")=0,"",SUMIFS(BD!$Z$3:$Z$5001,BD!$A$3:$A$5001,N$3,BD!$B$3:$B$5001,$A$123)))</f>
        <v/>
      </c>
      <c r="O136" s="229" t="str">
        <f>IF(O$3="","",IF(COUNTIFS(BD!$A$3:$A$5001,O$3,BD!$B$3:$B$5001,$A$123,BD!$Z$3:$Z$5001,"&lt;&gt;")=0,"",SUMIFS(BD!$Z$3:$Z$5001,BD!$A$3:$A$5001,O$3,BD!$B$3:$B$5001,$A$123)))</f>
        <v/>
      </c>
      <c r="P136" s="229" t="str">
        <f>IF(P$3="","",IF(COUNTIFS(BD!$A$3:$A$5001,P$3,BD!$B$3:$B$5001,$A$123,BD!$Z$3:$Z$5001,"&lt;&gt;")=0,"",SUMIFS(BD!$Z$3:$Z$5001,BD!$A$3:$A$5001,P$3,BD!$B$3:$B$5001,$A$123)))</f>
        <v/>
      </c>
      <c r="Q136" s="229" t="str">
        <f>IF(Q$3="","",IF(COUNTIFS(BD!$A$3:$A$5001,Q$3,BD!$B$3:$B$5001,$A$123,BD!$Z$3:$Z$5001,"&lt;&gt;")=0,"",SUMIFS(BD!$Z$3:$Z$5001,BD!$A$3:$A$5001,Q$3,BD!$B$3:$B$5001,$A$123)))</f>
        <v/>
      </c>
      <c r="R136" s="229" t="str">
        <f>IF(R$3="","",IF(COUNTIFS(BD!$A$3:$A$5001,R$3,BD!$B$3:$B$5001,$A$123,BD!$Z$3:$Z$5001,"&lt;&gt;")=0,"",SUMIFS(BD!$Z$3:$Z$5001,BD!$A$3:$A$5001,R$3,BD!$B$3:$B$5001,$A$123)))</f>
        <v/>
      </c>
      <c r="S136" s="229" t="str">
        <f>IF(S$3="","",IF(COUNTIFS(BD!$A$3:$A$5001,S$3,BD!$B$3:$B$5001,$A$123,BD!$Z$3:$Z$5001,"&lt;&gt;")=0,"",SUMIFS(BD!$Z$3:$Z$5001,BD!$A$3:$A$5001,S$3,BD!$B$3:$B$5001,$A$123)))</f>
        <v/>
      </c>
      <c r="T136" s="229" t="str">
        <f>IF(T$3="","",IF(COUNTIFS(BD!$A$3:$A$5001,T$3,BD!$B$3:$B$5001,$A$123,BD!$Z$3:$Z$5001,"&lt;&gt;")=0,"",SUMIFS(BD!$Z$3:$Z$5001,BD!$A$3:$A$5001,T$3,BD!$B$3:$B$5001,$A$123)))</f>
        <v/>
      </c>
      <c r="U136" s="229" t="str">
        <f>IF(U$3="","",IF(COUNTIFS(BD!$A$3:$A$5001,U$3,BD!$B$3:$B$5001,$A$123,BD!$Z$3:$Z$5001,"&lt;&gt;")=0,"",SUMIFS(BD!$Z$3:$Z$5001,BD!$A$3:$A$5001,U$3,BD!$B$3:$B$5001,$A$123)))</f>
        <v/>
      </c>
      <c r="V136" s="229" t="str">
        <f>IF(V$3="","",IF(COUNTIFS(BD!$A$3:$A$5001,V$3,BD!$B$3:$B$5001,$A$123,BD!$Z$3:$Z$5001,"&lt;&gt;")=0,"",SUMIFS(BD!$Z$3:$Z$5001,BD!$A$3:$A$5001,V$3,BD!$B$3:$B$5001,$A$123)))</f>
        <v/>
      </c>
      <c r="W136" s="229" t="str">
        <f>IF(W$3="","",IF(COUNTIFS(BD!$A$3:$A$5001,W$3,BD!$B$3:$B$5001,$A$123,BD!$Z$3:$Z$5001,"&lt;&gt;")=0,"",SUMIFS(BD!$Z$3:$Z$5001,BD!$A$3:$A$5001,W$3,BD!$B$3:$B$5001,$A$123)))</f>
        <v/>
      </c>
      <c r="X136" s="229" t="str">
        <f>IF(X$3="","",IF(COUNTIFS(BD!$A$3:$A$5001,X$3,BD!$B$3:$B$5001,$A$123,BD!$Z$3:$Z$5001,"&lt;&gt;")=0,"",SUMIFS(BD!$Z$3:$Z$5001,BD!$A$3:$A$5001,X$3,BD!$B$3:$B$5001,$A$123)))</f>
        <v/>
      </c>
      <c r="Y136" s="229" t="str">
        <f>IF(Y$3="","",IF(COUNTIFS(BD!$A$3:$A$5001,Y$3,BD!$B$3:$B$5001,$A$123,BD!$Z$3:$Z$5001,"&lt;&gt;")=0,"",SUMIFS(BD!$Z$3:$Z$5001,BD!$A$3:$A$5001,Y$3,BD!$B$3:$B$5001,$A$123)))</f>
        <v/>
      </c>
      <c r="Z136" s="229" t="str">
        <f>IF(Z$3="","",IF(COUNTIFS(BD!$A$3:$A$5001,Z$3,BD!$B$3:$B$5001,$A$123,BD!$Z$3:$Z$5001,"&lt;&gt;")=0,"",SUMIFS(BD!$Z$3:$Z$5001,BD!$A$3:$A$5001,Z$3,BD!$B$3:$B$5001,$A$123)))</f>
        <v/>
      </c>
      <c r="AA136" s="229" t="str">
        <f>IF(AA$3="","",IF(COUNTIFS(BD!$A$3:$A$5001,AA$3,BD!$B$3:$B$5001,$A$123,BD!$Z$3:$Z$5001,"&lt;&gt;")=0,"",SUMIFS(BD!$Z$3:$Z$5001,BD!$A$3:$A$5001,AA$3,BD!$B$3:$B$5001,$A$123)))</f>
        <v/>
      </c>
      <c r="AB136" s="229" t="str">
        <f>IF(AB$3="","",IF(COUNTIFS(BD!$A$3:$A$5001,AB$3,BD!$B$3:$B$5001,$A$123,BD!$Z$3:$Z$5001,"&lt;&gt;")=0,"",SUMIFS(BD!$Z$3:$Z$5001,BD!$A$3:$A$5001,AB$3,BD!$B$3:$B$5001,$A$123)))</f>
        <v/>
      </c>
      <c r="AC136" s="229" t="str">
        <f>IF(AC$3="","",IF(COUNTIFS(BD!$A$3:$A$5001,AC$3,BD!$B$3:$B$5001,$A$123,BD!$Z$3:$Z$5001,"&lt;&gt;")=0,"",SUMIFS(BD!$Z$3:$Z$5001,BD!$A$3:$A$5001,AC$3,BD!$B$3:$B$5001,$A$123)))</f>
        <v/>
      </c>
      <c r="AD136" s="229" t="str">
        <f>IF(AD$3="","",IF(COUNTIFS(BD!$A$3:$A$5001,AD$3,BD!$B$3:$B$5001,$A$123,BD!$Z$3:$Z$5001,"&lt;&gt;")=0,"",SUMIFS(BD!$Z$3:$Z$5001,BD!$A$3:$A$5001,AD$3,BD!$B$3:$B$5001,$A$123)))</f>
        <v/>
      </c>
      <c r="AE136" s="229" t="str">
        <f>IF(AE$3="","",IF(COUNTIFS(BD!$A$3:$A$5001,AE$3,BD!$B$3:$B$5001,$A$123,BD!$Z$3:$Z$5001,"&lt;&gt;")=0,"",SUMIFS(BD!$Z$3:$Z$5001,BD!$A$3:$A$5001,AE$3,BD!$B$3:$B$5001,$A$123)))</f>
        <v/>
      </c>
      <c r="AF136" s="229" t="str">
        <f>IF(AF$3="","",IF(COUNTIFS(BD!$A$3:$A$5001,AF$3,BD!$B$3:$B$5001,$A$123,BD!$Z$3:$Z$5001,"&lt;&gt;")=0,"",SUMIFS(BD!$Z$3:$Z$5001,BD!$A$3:$A$5001,AF$3,BD!$B$3:$B$5001,$A$123)))</f>
        <v/>
      </c>
      <c r="AG136" s="229" t="str">
        <f>IF(AG$3="","",IF(COUNTIFS(BD!$A$3:$A$5001,AG$3,BD!$B$3:$B$5001,$A$123,BD!$Z$3:$Z$5001,"&lt;&gt;")=0,"",SUMIFS(BD!$Z$3:$Z$5001,BD!$A$3:$A$5001,AG$3,BD!$B$3:$B$5001,$A$123)))</f>
        <v/>
      </c>
      <c r="AH136" s="229" t="str">
        <f>IF(AH$3="","",IF(COUNTIFS(BD!$A$3:$A$5001,AH$3,BD!$B$3:$B$5001,$A$123,BD!$Z$3:$Z$5001,"&lt;&gt;")=0,"",SUMIFS(BD!$Z$3:$Z$5001,BD!$A$3:$A$5001,AH$3,BD!$B$3:$B$5001,$A$123)))</f>
        <v/>
      </c>
      <c r="AI136" s="229" t="str">
        <f>IF(AI$3="","",IF(COUNTIFS(BD!$A$3:$A$5001,AI$3,BD!$B$3:$B$5001,$A$123,BD!$Z$3:$Z$5001,"&lt;&gt;")=0,"",SUMIFS(BD!$Z$3:$Z$5001,BD!$A$3:$A$5001,AI$3,BD!$B$3:$B$5001,$A$123)))</f>
        <v/>
      </c>
      <c r="AJ136" s="230" t="str">
        <f>IF(AJ$3="","",IF(COUNTIFS(BD!$A$3:$A$5001,AJ$3,BD!$B$3:$B$5001,$A$123,BD!$Z$3:$Z$5001,"&lt;&gt;")=0,"",SUMIFS(BD!$Z$3:$Z$5001,BD!$A$3:$A$5001,AJ$3,BD!$B$3:$B$5001,$A$123)))</f>
        <v/>
      </c>
      <c r="AK136" s="231" t="str">
        <f>IFERROR(LOOKUP(9.99E+307,F136:AJ136),"")</f>
        <v/>
      </c>
    </row>
    <row r="137" ht="15.75" customHeight="1">
      <c r="A137" s="261"/>
      <c r="B137" s="258"/>
      <c r="C137" s="232" t="inlineStr">
        <is>
          <t xml:space="preserve">Falta</t>
        </is>
      </c>
      <c r="D137" s="233" t="str">
        <f>IFERROR(1/(1/INDEX(BD!$AL$48:$BF$48,MATCH($A$123,BD!$AL$22:$BF$22,0))),"")</f>
        <v/>
      </c>
      <c r="E137" s="234"/>
      <c r="F137" s="235" t="str">
        <f>IF(F$3="","",IF(COUNTIFS(BD!$A$3:$A$5001,F$3,BD!$B$3:$B$5001,$A$123,BD!$AA$3:$AA$5001,"&lt;&gt;")=0,"",SUMIFS(BD!$AA$3:$AA$5001,BD!$A$3:$A$5001,F$3,BD!$B$3:$B$5001,$A$123)))</f>
        <v/>
      </c>
      <c r="G137" s="236" t="str">
        <f>IF(G$3="","",IF(COUNTIFS(BD!$A$3:$A$5001,G$3,BD!$B$3:$B$5001,$A$123,BD!$AA$3:$AA$5001,"&lt;&gt;")=0,"",SUMIFS(BD!$AA$3:$AA$5001,BD!$A$3:$A$5001,G$3,BD!$B$3:$B$5001,$A$123)))</f>
        <v/>
      </c>
      <c r="H137" s="236" t="str">
        <f>IF(H$3="","",IF(COUNTIFS(BD!$A$3:$A$5001,H$3,BD!$B$3:$B$5001,$A$123,BD!$AA$3:$AA$5001,"&lt;&gt;")=0,"",SUMIFS(BD!$AA$3:$AA$5001,BD!$A$3:$A$5001,H$3,BD!$B$3:$B$5001,$A$123)))</f>
        <v/>
      </c>
      <c r="I137" s="236" t="str">
        <f>IF(I$3="","",IF(COUNTIFS(BD!$A$3:$A$5001,I$3,BD!$B$3:$B$5001,$A$123,BD!$AA$3:$AA$5001,"&lt;&gt;")=0,"",SUMIFS(BD!$AA$3:$AA$5001,BD!$A$3:$A$5001,I$3,BD!$B$3:$B$5001,$A$123)))</f>
        <v/>
      </c>
      <c r="J137" s="236" t="str">
        <f>IF(J$3="","",IF(COUNTIFS(BD!$A$3:$A$5001,J$3,BD!$B$3:$B$5001,$A$123,BD!$AA$3:$AA$5001,"&lt;&gt;")=0,"",SUMIFS(BD!$AA$3:$AA$5001,BD!$A$3:$A$5001,J$3,BD!$B$3:$B$5001,$A$123)))</f>
        <v/>
      </c>
      <c r="K137" s="236" t="str">
        <f>IF(K$3="","",IF(COUNTIFS(BD!$A$3:$A$5001,K$3,BD!$B$3:$B$5001,$A$123,BD!$AA$3:$AA$5001,"&lt;&gt;")=0,"",SUMIFS(BD!$AA$3:$AA$5001,BD!$A$3:$A$5001,K$3,BD!$B$3:$B$5001,$A$123)))</f>
        <v/>
      </c>
      <c r="L137" s="236" t="str">
        <f>IF(L$3="","",IF(COUNTIFS(BD!$A$3:$A$5001,L$3,BD!$B$3:$B$5001,$A$123,BD!$AA$3:$AA$5001,"&lt;&gt;")=0,"",SUMIFS(BD!$AA$3:$AA$5001,BD!$A$3:$A$5001,L$3,BD!$B$3:$B$5001,$A$123)))</f>
        <v/>
      </c>
      <c r="M137" s="236" t="str">
        <f>IF(M$3="","",IF(COUNTIFS(BD!$A$3:$A$5001,M$3,BD!$B$3:$B$5001,$A$123,BD!$AA$3:$AA$5001,"&lt;&gt;")=0,"",SUMIFS(BD!$AA$3:$AA$5001,BD!$A$3:$A$5001,M$3,BD!$B$3:$B$5001,$A$123)))</f>
        <v/>
      </c>
      <c r="N137" s="236" t="str">
        <f>IF(N$3="","",IF(COUNTIFS(BD!$A$3:$A$5001,N$3,BD!$B$3:$B$5001,$A$123,BD!$AA$3:$AA$5001,"&lt;&gt;")=0,"",SUMIFS(BD!$AA$3:$AA$5001,BD!$A$3:$A$5001,N$3,BD!$B$3:$B$5001,$A$123)))</f>
        <v/>
      </c>
      <c r="O137" s="236" t="str">
        <f>IF(O$3="","",IF(COUNTIFS(BD!$A$3:$A$5001,O$3,BD!$B$3:$B$5001,$A$123,BD!$AA$3:$AA$5001,"&lt;&gt;")=0,"",SUMIFS(BD!$AA$3:$AA$5001,BD!$A$3:$A$5001,O$3,BD!$B$3:$B$5001,$A$123)))</f>
        <v/>
      </c>
      <c r="P137" s="236" t="str">
        <f>IF(P$3="","",IF(COUNTIFS(BD!$A$3:$A$5001,P$3,BD!$B$3:$B$5001,$A$123,BD!$AA$3:$AA$5001,"&lt;&gt;")=0,"",SUMIFS(BD!$AA$3:$AA$5001,BD!$A$3:$A$5001,P$3,BD!$B$3:$B$5001,$A$123)))</f>
        <v/>
      </c>
      <c r="Q137" s="236" t="str">
        <f>IF(Q$3="","",IF(COUNTIFS(BD!$A$3:$A$5001,Q$3,BD!$B$3:$B$5001,$A$123,BD!$AA$3:$AA$5001,"&lt;&gt;")=0,"",SUMIFS(BD!$AA$3:$AA$5001,BD!$A$3:$A$5001,Q$3,BD!$B$3:$B$5001,$A$123)))</f>
        <v/>
      </c>
      <c r="R137" s="236" t="str">
        <f>IF(R$3="","",IF(COUNTIFS(BD!$A$3:$A$5001,R$3,BD!$B$3:$B$5001,$A$123,BD!$AA$3:$AA$5001,"&lt;&gt;")=0,"",SUMIFS(BD!$AA$3:$AA$5001,BD!$A$3:$A$5001,R$3,BD!$B$3:$B$5001,$A$123)))</f>
        <v/>
      </c>
      <c r="S137" s="236" t="str">
        <f>IF(S$3="","",IF(COUNTIFS(BD!$A$3:$A$5001,S$3,BD!$B$3:$B$5001,$A$123,BD!$AA$3:$AA$5001,"&lt;&gt;")=0,"",SUMIFS(BD!$AA$3:$AA$5001,BD!$A$3:$A$5001,S$3,BD!$B$3:$B$5001,$A$123)))</f>
        <v/>
      </c>
      <c r="T137" s="236" t="str">
        <f>IF(T$3="","",IF(COUNTIFS(BD!$A$3:$A$5001,T$3,BD!$B$3:$B$5001,$A$123,BD!$AA$3:$AA$5001,"&lt;&gt;")=0,"",SUMIFS(BD!$AA$3:$AA$5001,BD!$A$3:$A$5001,T$3,BD!$B$3:$B$5001,$A$123)))</f>
        <v/>
      </c>
      <c r="U137" s="236" t="str">
        <f>IF(U$3="","",IF(COUNTIFS(BD!$A$3:$A$5001,U$3,BD!$B$3:$B$5001,$A$123,BD!$AA$3:$AA$5001,"&lt;&gt;")=0,"",SUMIFS(BD!$AA$3:$AA$5001,BD!$A$3:$A$5001,U$3,BD!$B$3:$B$5001,$A$123)))</f>
        <v/>
      </c>
      <c r="V137" s="236" t="str">
        <f>IF(V$3="","",IF(COUNTIFS(BD!$A$3:$A$5001,V$3,BD!$B$3:$B$5001,$A$123,BD!$AA$3:$AA$5001,"&lt;&gt;")=0,"",SUMIFS(BD!$AA$3:$AA$5001,BD!$A$3:$A$5001,V$3,BD!$B$3:$B$5001,$A$123)))</f>
        <v/>
      </c>
      <c r="W137" s="236" t="str">
        <f>IF(W$3="","",IF(COUNTIFS(BD!$A$3:$A$5001,W$3,BD!$B$3:$B$5001,$A$123,BD!$AA$3:$AA$5001,"&lt;&gt;")=0,"",SUMIFS(BD!$AA$3:$AA$5001,BD!$A$3:$A$5001,W$3,BD!$B$3:$B$5001,$A$123)))</f>
        <v/>
      </c>
      <c r="X137" s="236" t="str">
        <f>IF(X$3="","",IF(COUNTIFS(BD!$A$3:$A$5001,X$3,BD!$B$3:$B$5001,$A$123,BD!$AA$3:$AA$5001,"&lt;&gt;")=0,"",SUMIFS(BD!$AA$3:$AA$5001,BD!$A$3:$A$5001,X$3,BD!$B$3:$B$5001,$A$123)))</f>
        <v/>
      </c>
      <c r="Y137" s="236" t="str">
        <f>IF(Y$3="","",IF(COUNTIFS(BD!$A$3:$A$5001,Y$3,BD!$B$3:$B$5001,$A$123,BD!$AA$3:$AA$5001,"&lt;&gt;")=0,"",SUMIFS(BD!$AA$3:$AA$5001,BD!$A$3:$A$5001,Y$3,BD!$B$3:$B$5001,$A$123)))</f>
        <v/>
      </c>
      <c r="Z137" s="236" t="str">
        <f>IF(Z$3="","",IF(COUNTIFS(BD!$A$3:$A$5001,Z$3,BD!$B$3:$B$5001,$A$123,BD!$AA$3:$AA$5001,"&lt;&gt;")=0,"",SUMIFS(BD!$AA$3:$AA$5001,BD!$A$3:$A$5001,Z$3,BD!$B$3:$B$5001,$A$123)))</f>
        <v/>
      </c>
      <c r="AA137" s="236" t="str">
        <f>IF(AA$3="","",IF(COUNTIFS(BD!$A$3:$A$5001,AA$3,BD!$B$3:$B$5001,$A$123,BD!$AA$3:$AA$5001,"&lt;&gt;")=0,"",SUMIFS(BD!$AA$3:$AA$5001,BD!$A$3:$A$5001,AA$3,BD!$B$3:$B$5001,$A$123)))</f>
        <v/>
      </c>
      <c r="AB137" s="236" t="str">
        <f>IF(AB$3="","",IF(COUNTIFS(BD!$A$3:$A$5001,AB$3,BD!$B$3:$B$5001,$A$123,BD!$AA$3:$AA$5001,"&lt;&gt;")=0,"",SUMIFS(BD!$AA$3:$AA$5001,BD!$A$3:$A$5001,AB$3,BD!$B$3:$B$5001,$A$123)))</f>
        <v/>
      </c>
      <c r="AC137" s="236" t="str">
        <f>IF(AC$3="","",IF(COUNTIFS(BD!$A$3:$A$5001,AC$3,BD!$B$3:$B$5001,$A$123,BD!$AA$3:$AA$5001,"&lt;&gt;")=0,"",SUMIFS(BD!$AA$3:$AA$5001,BD!$A$3:$A$5001,AC$3,BD!$B$3:$B$5001,$A$123)))</f>
        <v/>
      </c>
      <c r="AD137" s="236" t="str">
        <f>IF(AD$3="","",IF(COUNTIFS(BD!$A$3:$A$5001,AD$3,BD!$B$3:$B$5001,$A$123,BD!$AA$3:$AA$5001,"&lt;&gt;")=0,"",SUMIFS(BD!$AA$3:$AA$5001,BD!$A$3:$A$5001,AD$3,BD!$B$3:$B$5001,$A$123)))</f>
        <v/>
      </c>
      <c r="AE137" s="236" t="str">
        <f>IF(AE$3="","",IF(COUNTIFS(BD!$A$3:$A$5001,AE$3,BD!$B$3:$B$5001,$A$123,BD!$AA$3:$AA$5001,"&lt;&gt;")=0,"",SUMIFS(BD!$AA$3:$AA$5001,BD!$A$3:$A$5001,AE$3,BD!$B$3:$B$5001,$A$123)))</f>
        <v/>
      </c>
      <c r="AF137" s="236" t="str">
        <f>IF(AF$3="","",IF(COUNTIFS(BD!$A$3:$A$5001,AF$3,BD!$B$3:$B$5001,$A$123,BD!$AA$3:$AA$5001,"&lt;&gt;")=0,"",SUMIFS(BD!$AA$3:$AA$5001,BD!$A$3:$A$5001,AF$3,BD!$B$3:$B$5001,$A$123)))</f>
        <v/>
      </c>
      <c r="AG137" s="236" t="str">
        <f>IF(AG$3="","",IF(COUNTIFS(BD!$A$3:$A$5001,AG$3,BD!$B$3:$B$5001,$A$123,BD!$AA$3:$AA$5001,"&lt;&gt;")=0,"",SUMIFS(BD!$AA$3:$AA$5001,BD!$A$3:$A$5001,AG$3,BD!$B$3:$B$5001,$A$123)))</f>
        <v/>
      </c>
      <c r="AH137" s="236" t="str">
        <f>IF(AH$3="","",IF(COUNTIFS(BD!$A$3:$A$5001,AH$3,BD!$B$3:$B$5001,$A$123,BD!$AA$3:$AA$5001,"&lt;&gt;")=0,"",SUMIFS(BD!$AA$3:$AA$5001,BD!$A$3:$A$5001,AH$3,BD!$B$3:$B$5001,$A$123)))</f>
        <v/>
      </c>
      <c r="AI137" s="236" t="str">
        <f>IF(AI$3="","",IF(COUNTIFS(BD!$A$3:$A$5001,AI$3,BD!$B$3:$B$5001,$A$123,BD!$AA$3:$AA$5001,"&lt;&gt;")=0,"",SUMIFS(BD!$AA$3:$AA$5001,BD!$A$3:$A$5001,AI$3,BD!$B$3:$B$5001,$A$123)))</f>
        <v/>
      </c>
      <c r="AJ137" s="237" t="str">
        <f>IF(AJ$3="","",IF(COUNTIFS(BD!$A$3:$A$5001,AJ$3,BD!$B$3:$B$5001,$A$123,BD!$AA$3:$AA$5001,"&lt;&gt;")=0,"",SUMIFS(BD!$AA$3:$AA$5001,BD!$A$3:$A$5001,AJ$3,BD!$B$3:$B$5001,$A$123)))</f>
        <v/>
      </c>
      <c r="AK137" s="238" t="str">
        <f>IF(COUNT(F137:AJ137)=0,"",SUM(F137:AJ137))</f>
        <v/>
      </c>
    </row>
    <row r="138" ht="15.75" customHeight="1">
      <c r="A138" s="261"/>
      <c r="B138" s="258"/>
      <c r="C138" s="232" t="inlineStr">
        <is>
          <t xml:space="preserve">Absenteísmo (H/H)</t>
        </is>
      </c>
      <c r="D138" s="233" t="str">
        <f>IFERROR(1/(1/INDEX(BD!$AL$49:$BF$49,MATCH($A$123,BD!$AL$22:$BF$22,0))),"")</f>
        <v/>
      </c>
      <c r="E138" s="234"/>
      <c r="F138" s="239" t="str">
        <f>IF(F$3="","",IF(COUNTIFS(BD!$A$3:$A$5001,F$3,BD!$B$3:$B$5001,$A$123,BD!$AB$3:$AB$5001,"&lt;&gt;")=0,"",SUMIFS(BD!$AB$3:$AB$5001,BD!$A$3:$A$5001,F$3,BD!$B$3:$B$5001,$A$123)))</f>
        <v/>
      </c>
      <c r="G138" s="240" t="str">
        <f>IF(G$3="","",IF(COUNTIFS(BD!$A$3:$A$5001,G$3,BD!$B$3:$B$5001,$A$123,BD!$AB$3:$AB$5001,"&lt;&gt;")=0,"",SUMIFS(BD!$AB$3:$AB$5001,BD!$A$3:$A$5001,G$3,BD!$B$3:$B$5001,$A$123)))</f>
        <v/>
      </c>
      <c r="H138" s="240" t="str">
        <f>IF(H$3="","",IF(COUNTIFS(BD!$A$3:$A$5001,H$3,BD!$B$3:$B$5001,$A$123,BD!$AB$3:$AB$5001,"&lt;&gt;")=0,"",SUMIFS(BD!$AB$3:$AB$5001,BD!$A$3:$A$5001,H$3,BD!$B$3:$B$5001,$A$123)))</f>
        <v/>
      </c>
      <c r="I138" s="240" t="str">
        <f>IF(I$3="","",IF(COUNTIFS(BD!$A$3:$A$5001,I$3,BD!$B$3:$B$5001,$A$123,BD!$AB$3:$AB$5001,"&lt;&gt;")=0,"",SUMIFS(BD!$AB$3:$AB$5001,BD!$A$3:$A$5001,I$3,BD!$B$3:$B$5001,$A$123)))</f>
        <v/>
      </c>
      <c r="J138" s="240" t="str">
        <f>IF(J$3="","",IF(COUNTIFS(BD!$A$3:$A$5001,J$3,BD!$B$3:$B$5001,$A$123,BD!$AB$3:$AB$5001,"&lt;&gt;")=0,"",SUMIFS(BD!$AB$3:$AB$5001,BD!$A$3:$A$5001,J$3,BD!$B$3:$B$5001,$A$123)))</f>
        <v/>
      </c>
      <c r="K138" s="240" t="str">
        <f>IF(K$3="","",IF(COUNTIFS(BD!$A$3:$A$5001,K$3,BD!$B$3:$B$5001,$A$123,BD!$AB$3:$AB$5001,"&lt;&gt;")=0,"",SUMIFS(BD!$AB$3:$AB$5001,BD!$A$3:$A$5001,K$3,BD!$B$3:$B$5001,$A$123)))</f>
        <v/>
      </c>
      <c r="L138" s="240" t="str">
        <f>IF(L$3="","",IF(COUNTIFS(BD!$A$3:$A$5001,L$3,BD!$B$3:$B$5001,$A$123,BD!$AB$3:$AB$5001,"&lt;&gt;")=0,"",SUMIFS(BD!$AB$3:$AB$5001,BD!$A$3:$A$5001,L$3,BD!$B$3:$B$5001,$A$123)))</f>
        <v/>
      </c>
      <c r="M138" s="240" t="str">
        <f>IF(M$3="","",IF(COUNTIFS(BD!$A$3:$A$5001,M$3,BD!$B$3:$B$5001,$A$123,BD!$AB$3:$AB$5001,"&lt;&gt;")=0,"",SUMIFS(BD!$AB$3:$AB$5001,BD!$A$3:$A$5001,M$3,BD!$B$3:$B$5001,$A$123)))</f>
        <v/>
      </c>
      <c r="N138" s="240" t="str">
        <f>IF(N$3="","",IF(COUNTIFS(BD!$A$3:$A$5001,N$3,BD!$B$3:$B$5001,$A$123,BD!$AB$3:$AB$5001,"&lt;&gt;")=0,"",SUMIFS(BD!$AB$3:$AB$5001,BD!$A$3:$A$5001,N$3,BD!$B$3:$B$5001,$A$123)))</f>
        <v/>
      </c>
      <c r="O138" s="240" t="str">
        <f>IF(O$3="","",IF(COUNTIFS(BD!$A$3:$A$5001,O$3,BD!$B$3:$B$5001,$A$123,BD!$AB$3:$AB$5001,"&lt;&gt;")=0,"",SUMIFS(BD!$AB$3:$AB$5001,BD!$A$3:$A$5001,O$3,BD!$B$3:$B$5001,$A$123)))</f>
        <v/>
      </c>
      <c r="P138" s="240" t="str">
        <f>IF(P$3="","",IF(COUNTIFS(BD!$A$3:$A$5001,P$3,BD!$B$3:$B$5001,$A$123,BD!$AB$3:$AB$5001,"&lt;&gt;")=0,"",SUMIFS(BD!$AB$3:$AB$5001,BD!$A$3:$A$5001,P$3,BD!$B$3:$B$5001,$A$123)))</f>
        <v/>
      </c>
      <c r="Q138" s="240" t="str">
        <f>IF(Q$3="","",IF(COUNTIFS(BD!$A$3:$A$5001,Q$3,BD!$B$3:$B$5001,$A$123,BD!$AB$3:$AB$5001,"&lt;&gt;")=0,"",SUMIFS(BD!$AB$3:$AB$5001,BD!$A$3:$A$5001,Q$3,BD!$B$3:$B$5001,$A$123)))</f>
        <v/>
      </c>
      <c r="R138" s="240" t="str">
        <f>IF(R$3="","",IF(COUNTIFS(BD!$A$3:$A$5001,R$3,BD!$B$3:$B$5001,$A$123,BD!$AB$3:$AB$5001,"&lt;&gt;")=0,"",SUMIFS(BD!$AB$3:$AB$5001,BD!$A$3:$A$5001,R$3,BD!$B$3:$B$5001,$A$123)))</f>
        <v/>
      </c>
      <c r="S138" s="240" t="str">
        <f>IF(S$3="","",IF(COUNTIFS(BD!$A$3:$A$5001,S$3,BD!$B$3:$B$5001,$A$123,BD!$AB$3:$AB$5001,"&lt;&gt;")=0,"",SUMIFS(BD!$AB$3:$AB$5001,BD!$A$3:$A$5001,S$3,BD!$B$3:$B$5001,$A$123)))</f>
        <v/>
      </c>
      <c r="T138" s="240" t="str">
        <f>IF(T$3="","",IF(COUNTIFS(BD!$A$3:$A$5001,T$3,BD!$B$3:$B$5001,$A$123,BD!$AB$3:$AB$5001,"&lt;&gt;")=0,"",SUMIFS(BD!$AB$3:$AB$5001,BD!$A$3:$A$5001,T$3,BD!$B$3:$B$5001,$A$123)))</f>
        <v/>
      </c>
      <c r="U138" s="240" t="str">
        <f>IF(U$3="","",IF(COUNTIFS(BD!$A$3:$A$5001,U$3,BD!$B$3:$B$5001,$A$123,BD!$AB$3:$AB$5001,"&lt;&gt;")=0,"",SUMIFS(BD!$AB$3:$AB$5001,BD!$A$3:$A$5001,U$3,BD!$B$3:$B$5001,$A$123)))</f>
        <v/>
      </c>
      <c r="V138" s="240" t="str">
        <f>IF(V$3="","",IF(COUNTIFS(BD!$A$3:$A$5001,V$3,BD!$B$3:$B$5001,$A$123,BD!$AB$3:$AB$5001,"&lt;&gt;")=0,"",SUMIFS(BD!$AB$3:$AB$5001,BD!$A$3:$A$5001,V$3,BD!$B$3:$B$5001,$A$123)))</f>
        <v/>
      </c>
      <c r="W138" s="240" t="str">
        <f>IF(W$3="","",IF(COUNTIFS(BD!$A$3:$A$5001,W$3,BD!$B$3:$B$5001,$A$123,BD!$AB$3:$AB$5001,"&lt;&gt;")=0,"",SUMIFS(BD!$AB$3:$AB$5001,BD!$A$3:$A$5001,W$3,BD!$B$3:$B$5001,$A$123)))</f>
        <v/>
      </c>
      <c r="X138" s="240" t="str">
        <f>IF(X$3="","",IF(COUNTIFS(BD!$A$3:$A$5001,X$3,BD!$B$3:$B$5001,$A$123,BD!$AB$3:$AB$5001,"&lt;&gt;")=0,"",SUMIFS(BD!$AB$3:$AB$5001,BD!$A$3:$A$5001,X$3,BD!$B$3:$B$5001,$A$123)))</f>
        <v/>
      </c>
      <c r="Y138" s="240" t="str">
        <f>IF(Y$3="","",IF(COUNTIFS(BD!$A$3:$A$5001,Y$3,BD!$B$3:$B$5001,$A$123,BD!$AB$3:$AB$5001,"&lt;&gt;")=0,"",SUMIFS(BD!$AB$3:$AB$5001,BD!$A$3:$A$5001,Y$3,BD!$B$3:$B$5001,$A$123)))</f>
        <v/>
      </c>
      <c r="Z138" s="240" t="str">
        <f>IF(Z$3="","",IF(COUNTIFS(BD!$A$3:$A$5001,Z$3,BD!$B$3:$B$5001,$A$123,BD!$AB$3:$AB$5001,"&lt;&gt;")=0,"",SUMIFS(BD!$AB$3:$AB$5001,BD!$A$3:$A$5001,Z$3,BD!$B$3:$B$5001,$A$123)))</f>
        <v/>
      </c>
      <c r="AA138" s="240" t="str">
        <f>IF(AA$3="","",IF(COUNTIFS(BD!$A$3:$A$5001,AA$3,BD!$B$3:$B$5001,$A$123,BD!$AB$3:$AB$5001,"&lt;&gt;")=0,"",SUMIFS(BD!$AB$3:$AB$5001,BD!$A$3:$A$5001,AA$3,BD!$B$3:$B$5001,$A$123)))</f>
        <v/>
      </c>
      <c r="AB138" s="240" t="str">
        <f>IF(AB$3="","",IF(COUNTIFS(BD!$A$3:$A$5001,AB$3,BD!$B$3:$B$5001,$A$123,BD!$AB$3:$AB$5001,"&lt;&gt;")=0,"",SUMIFS(BD!$AB$3:$AB$5001,BD!$A$3:$A$5001,AB$3,BD!$B$3:$B$5001,$A$123)))</f>
        <v/>
      </c>
      <c r="AC138" s="240" t="str">
        <f>IF(AC$3="","",IF(COUNTIFS(BD!$A$3:$A$5001,AC$3,BD!$B$3:$B$5001,$A$123,BD!$AB$3:$AB$5001,"&lt;&gt;")=0,"",SUMIFS(BD!$AB$3:$AB$5001,BD!$A$3:$A$5001,AC$3,BD!$B$3:$B$5001,$A$123)))</f>
        <v/>
      </c>
      <c r="AD138" s="240" t="str">
        <f>IF(AD$3="","",IF(COUNTIFS(BD!$A$3:$A$5001,AD$3,BD!$B$3:$B$5001,$A$123,BD!$AB$3:$AB$5001,"&lt;&gt;")=0,"",SUMIFS(BD!$AB$3:$AB$5001,BD!$A$3:$A$5001,AD$3,BD!$B$3:$B$5001,$A$123)))</f>
        <v/>
      </c>
      <c r="AE138" s="240" t="str">
        <f>IF(AE$3="","",IF(COUNTIFS(BD!$A$3:$A$5001,AE$3,BD!$B$3:$B$5001,$A$123,BD!$AB$3:$AB$5001,"&lt;&gt;")=0,"",SUMIFS(BD!$AB$3:$AB$5001,BD!$A$3:$A$5001,AE$3,BD!$B$3:$B$5001,$A$123)))</f>
        <v/>
      </c>
      <c r="AF138" s="240" t="str">
        <f>IF(AF$3="","",IF(COUNTIFS(BD!$A$3:$A$5001,AF$3,BD!$B$3:$B$5001,$A$123,BD!$AB$3:$AB$5001,"&lt;&gt;")=0,"",SUMIFS(BD!$AB$3:$AB$5001,BD!$A$3:$A$5001,AF$3,BD!$B$3:$B$5001,$A$123)))</f>
        <v/>
      </c>
      <c r="AG138" s="240" t="str">
        <f>IF(AG$3="","",IF(COUNTIFS(BD!$A$3:$A$5001,AG$3,BD!$B$3:$B$5001,$A$123,BD!$AB$3:$AB$5001,"&lt;&gt;")=0,"",SUMIFS(BD!$AB$3:$AB$5001,BD!$A$3:$A$5001,AG$3,BD!$B$3:$B$5001,$A$123)))</f>
        <v/>
      </c>
      <c r="AH138" s="240" t="str">
        <f>IF(AH$3="","",IF(COUNTIFS(BD!$A$3:$A$5001,AH$3,BD!$B$3:$B$5001,$A$123,BD!$AB$3:$AB$5001,"&lt;&gt;")=0,"",SUMIFS(BD!$AB$3:$AB$5001,BD!$A$3:$A$5001,AH$3,BD!$B$3:$B$5001,$A$123)))</f>
        <v/>
      </c>
      <c r="AI138" s="240" t="str">
        <f>IF(AI$3="","",IF(COUNTIFS(BD!$A$3:$A$5001,AI$3,BD!$B$3:$B$5001,$A$123,BD!$AB$3:$AB$5001,"&lt;&gt;")=0,"",SUMIFS(BD!$AB$3:$AB$5001,BD!$A$3:$A$5001,AI$3,BD!$B$3:$B$5001,$A$123)))</f>
        <v/>
      </c>
      <c r="AJ138" s="241" t="str">
        <f>IF(AJ$3="","",IF(COUNTIFS(BD!$A$3:$A$5001,AJ$3,BD!$B$3:$B$5001,$A$123,BD!$AB$3:$AB$5001,"&lt;&gt;")=0,"",SUMIFS(BD!$AB$3:$AB$5001,BD!$A$3:$A$5001,AJ$3,BD!$B$3:$B$5001,$A$123)))</f>
        <v/>
      </c>
      <c r="AK138" s="242" t="str">
        <f>IF(COUNT(F138:AJ138)=0,"",SUM(F138:AJ138))</f>
        <v/>
      </c>
    </row>
    <row r="139" ht="15.75" customHeight="1">
      <c r="A139" s="261"/>
      <c r="B139" s="258"/>
      <c r="C139" s="232" t="inlineStr">
        <is>
          <t xml:space="preserve">Folga</t>
        </is>
      </c>
      <c r="D139" s="233" t="str">
        <f>IFERROR(1/(1/INDEX(BD!$AL$50:$BF$50,MATCH($A$123,BD!$AL$22:$BF$22,0))),"")</f>
        <v/>
      </c>
      <c r="E139" s="234"/>
      <c r="F139" s="235" t="str">
        <f>IF(F$3="","",IF(COUNTIFS(BD!$A$3:$A$5001,F$3,BD!$B$3:$B$5001,$A$123,BD!$AC$3:$AC$5001,"&lt;&gt;")=0,"",SUMIFS(BD!$AC$3:$AC$5001,BD!$A$3:$A$5001,F$3,BD!$B$3:$B$5001,$A$123)))</f>
        <v/>
      </c>
      <c r="G139" s="236" t="str">
        <f>IF(G$3="","",IF(COUNTIFS(BD!$A$3:$A$5001,G$3,BD!$B$3:$B$5001,$A$123,BD!$AC$3:$AC$5001,"&lt;&gt;")=0,"",SUMIFS(BD!$AC$3:$AC$5001,BD!$A$3:$A$5001,G$3,BD!$B$3:$B$5001,$A$123)))</f>
        <v/>
      </c>
      <c r="H139" s="236" t="str">
        <f>IF(H$3="","",IF(COUNTIFS(BD!$A$3:$A$5001,H$3,BD!$B$3:$B$5001,$A$123,BD!$AC$3:$AC$5001,"&lt;&gt;")=0,"",SUMIFS(BD!$AC$3:$AC$5001,BD!$A$3:$A$5001,H$3,BD!$B$3:$B$5001,$A$123)))</f>
        <v/>
      </c>
      <c r="I139" s="236" t="str">
        <f>IF(I$3="","",IF(COUNTIFS(BD!$A$3:$A$5001,I$3,BD!$B$3:$B$5001,$A$123,BD!$AC$3:$AC$5001,"&lt;&gt;")=0,"",SUMIFS(BD!$AC$3:$AC$5001,BD!$A$3:$A$5001,I$3,BD!$B$3:$B$5001,$A$123)))</f>
        <v/>
      </c>
      <c r="J139" s="236" t="str">
        <f>IF(J$3="","",IF(COUNTIFS(BD!$A$3:$A$5001,J$3,BD!$B$3:$B$5001,$A$123,BD!$AC$3:$AC$5001,"&lt;&gt;")=0,"",SUMIFS(BD!$AC$3:$AC$5001,BD!$A$3:$A$5001,J$3,BD!$B$3:$B$5001,$A$123)))</f>
        <v/>
      </c>
      <c r="K139" s="236" t="str">
        <f>IF(K$3="","",IF(COUNTIFS(BD!$A$3:$A$5001,K$3,BD!$B$3:$B$5001,$A$123,BD!$AC$3:$AC$5001,"&lt;&gt;")=0,"",SUMIFS(BD!$AC$3:$AC$5001,BD!$A$3:$A$5001,K$3,BD!$B$3:$B$5001,$A$123)))</f>
        <v/>
      </c>
      <c r="L139" s="236" t="str">
        <f>IF(L$3="","",IF(COUNTIFS(BD!$A$3:$A$5001,L$3,BD!$B$3:$B$5001,$A$123,BD!$AC$3:$AC$5001,"&lt;&gt;")=0,"",SUMIFS(BD!$AC$3:$AC$5001,BD!$A$3:$A$5001,L$3,BD!$B$3:$B$5001,$A$123)))</f>
        <v/>
      </c>
      <c r="M139" s="236" t="str">
        <f>IF(M$3="","",IF(COUNTIFS(BD!$A$3:$A$5001,M$3,BD!$B$3:$B$5001,$A$123,BD!$AC$3:$AC$5001,"&lt;&gt;")=0,"",SUMIFS(BD!$AC$3:$AC$5001,BD!$A$3:$A$5001,M$3,BD!$B$3:$B$5001,$A$123)))</f>
        <v/>
      </c>
      <c r="N139" s="236" t="str">
        <f>IF(N$3="","",IF(COUNTIFS(BD!$A$3:$A$5001,N$3,BD!$B$3:$B$5001,$A$123,BD!$AC$3:$AC$5001,"&lt;&gt;")=0,"",SUMIFS(BD!$AC$3:$AC$5001,BD!$A$3:$A$5001,N$3,BD!$B$3:$B$5001,$A$123)))</f>
        <v/>
      </c>
      <c r="O139" s="236" t="str">
        <f>IF(O$3="","",IF(COUNTIFS(BD!$A$3:$A$5001,O$3,BD!$B$3:$B$5001,$A$123,BD!$AC$3:$AC$5001,"&lt;&gt;")=0,"",SUMIFS(BD!$AC$3:$AC$5001,BD!$A$3:$A$5001,O$3,BD!$B$3:$B$5001,$A$123)))</f>
        <v/>
      </c>
      <c r="P139" s="236" t="str">
        <f>IF(P$3="","",IF(COUNTIFS(BD!$A$3:$A$5001,P$3,BD!$B$3:$B$5001,$A$123,BD!$AC$3:$AC$5001,"&lt;&gt;")=0,"",SUMIFS(BD!$AC$3:$AC$5001,BD!$A$3:$A$5001,P$3,BD!$B$3:$B$5001,$A$123)))</f>
        <v/>
      </c>
      <c r="Q139" s="236" t="str">
        <f>IF(Q$3="","",IF(COUNTIFS(BD!$A$3:$A$5001,Q$3,BD!$B$3:$B$5001,$A$123,BD!$AC$3:$AC$5001,"&lt;&gt;")=0,"",SUMIFS(BD!$AC$3:$AC$5001,BD!$A$3:$A$5001,Q$3,BD!$B$3:$B$5001,$A$123)))</f>
        <v/>
      </c>
      <c r="R139" s="236" t="str">
        <f>IF(R$3="","",IF(COUNTIFS(BD!$A$3:$A$5001,R$3,BD!$B$3:$B$5001,$A$123,BD!$AC$3:$AC$5001,"&lt;&gt;")=0,"",SUMIFS(BD!$AC$3:$AC$5001,BD!$A$3:$A$5001,R$3,BD!$B$3:$B$5001,$A$123)))</f>
        <v/>
      </c>
      <c r="S139" s="236" t="str">
        <f>IF(S$3="","",IF(COUNTIFS(BD!$A$3:$A$5001,S$3,BD!$B$3:$B$5001,$A$123,BD!$AC$3:$AC$5001,"&lt;&gt;")=0,"",SUMIFS(BD!$AC$3:$AC$5001,BD!$A$3:$A$5001,S$3,BD!$B$3:$B$5001,$A$123)))</f>
        <v/>
      </c>
      <c r="T139" s="236" t="str">
        <f>IF(T$3="","",IF(COUNTIFS(BD!$A$3:$A$5001,T$3,BD!$B$3:$B$5001,$A$123,BD!$AC$3:$AC$5001,"&lt;&gt;")=0,"",SUMIFS(BD!$AC$3:$AC$5001,BD!$A$3:$A$5001,T$3,BD!$B$3:$B$5001,$A$123)))</f>
        <v/>
      </c>
      <c r="U139" s="236" t="str">
        <f>IF(U$3="","",IF(COUNTIFS(BD!$A$3:$A$5001,U$3,BD!$B$3:$B$5001,$A$123,BD!$AC$3:$AC$5001,"&lt;&gt;")=0,"",SUMIFS(BD!$AC$3:$AC$5001,BD!$A$3:$A$5001,U$3,BD!$B$3:$B$5001,$A$123)))</f>
        <v/>
      </c>
      <c r="V139" s="236" t="str">
        <f>IF(V$3="","",IF(COUNTIFS(BD!$A$3:$A$5001,V$3,BD!$B$3:$B$5001,$A$123,BD!$AC$3:$AC$5001,"&lt;&gt;")=0,"",SUMIFS(BD!$AC$3:$AC$5001,BD!$A$3:$A$5001,V$3,BD!$B$3:$B$5001,$A$123)))</f>
        <v/>
      </c>
      <c r="W139" s="236" t="str">
        <f>IF(W$3="","",IF(COUNTIFS(BD!$A$3:$A$5001,W$3,BD!$B$3:$B$5001,$A$123,BD!$AC$3:$AC$5001,"&lt;&gt;")=0,"",SUMIFS(BD!$AC$3:$AC$5001,BD!$A$3:$A$5001,W$3,BD!$B$3:$B$5001,$A$123)))</f>
        <v/>
      </c>
      <c r="X139" s="236" t="str">
        <f>IF(X$3="","",IF(COUNTIFS(BD!$A$3:$A$5001,X$3,BD!$B$3:$B$5001,$A$123,BD!$AC$3:$AC$5001,"&lt;&gt;")=0,"",SUMIFS(BD!$AC$3:$AC$5001,BD!$A$3:$A$5001,X$3,BD!$B$3:$B$5001,$A$123)))</f>
        <v/>
      </c>
      <c r="Y139" s="236" t="str">
        <f>IF(Y$3="","",IF(COUNTIFS(BD!$A$3:$A$5001,Y$3,BD!$B$3:$B$5001,$A$123,BD!$AC$3:$AC$5001,"&lt;&gt;")=0,"",SUMIFS(BD!$AC$3:$AC$5001,BD!$A$3:$A$5001,Y$3,BD!$B$3:$B$5001,$A$123)))</f>
        <v/>
      </c>
      <c r="Z139" s="236" t="str">
        <f>IF(Z$3="","",IF(COUNTIFS(BD!$A$3:$A$5001,Z$3,BD!$B$3:$B$5001,$A$123,BD!$AC$3:$AC$5001,"&lt;&gt;")=0,"",SUMIFS(BD!$AC$3:$AC$5001,BD!$A$3:$A$5001,Z$3,BD!$B$3:$B$5001,$A$123)))</f>
        <v/>
      </c>
      <c r="AA139" s="236" t="str">
        <f>IF(AA$3="","",IF(COUNTIFS(BD!$A$3:$A$5001,AA$3,BD!$B$3:$B$5001,$A$123,BD!$AC$3:$AC$5001,"&lt;&gt;")=0,"",SUMIFS(BD!$AC$3:$AC$5001,BD!$A$3:$A$5001,AA$3,BD!$B$3:$B$5001,$A$123)))</f>
        <v/>
      </c>
      <c r="AB139" s="236" t="str">
        <f>IF(AB$3="","",IF(COUNTIFS(BD!$A$3:$A$5001,AB$3,BD!$B$3:$B$5001,$A$123,BD!$AC$3:$AC$5001,"&lt;&gt;")=0,"",SUMIFS(BD!$AC$3:$AC$5001,BD!$A$3:$A$5001,AB$3,BD!$B$3:$B$5001,$A$123)))</f>
        <v/>
      </c>
      <c r="AC139" s="236" t="str">
        <f>IF(AC$3="","",IF(COUNTIFS(BD!$A$3:$A$5001,AC$3,BD!$B$3:$B$5001,$A$123,BD!$AC$3:$AC$5001,"&lt;&gt;")=0,"",SUMIFS(BD!$AC$3:$AC$5001,BD!$A$3:$A$5001,AC$3,BD!$B$3:$B$5001,$A$123)))</f>
        <v/>
      </c>
      <c r="AD139" s="236" t="str">
        <f>IF(AD$3="","",IF(COUNTIFS(BD!$A$3:$A$5001,AD$3,BD!$B$3:$B$5001,$A$123,BD!$AC$3:$AC$5001,"&lt;&gt;")=0,"",SUMIFS(BD!$AC$3:$AC$5001,BD!$A$3:$A$5001,AD$3,BD!$B$3:$B$5001,$A$123)))</f>
        <v/>
      </c>
      <c r="AE139" s="236" t="str">
        <f>IF(AE$3="","",IF(COUNTIFS(BD!$A$3:$A$5001,AE$3,BD!$B$3:$B$5001,$A$123,BD!$AC$3:$AC$5001,"&lt;&gt;")=0,"",SUMIFS(BD!$AC$3:$AC$5001,BD!$A$3:$A$5001,AE$3,BD!$B$3:$B$5001,$A$123)))</f>
        <v/>
      </c>
      <c r="AF139" s="236" t="str">
        <f>IF(AF$3="","",IF(COUNTIFS(BD!$A$3:$A$5001,AF$3,BD!$B$3:$B$5001,$A$123,BD!$AC$3:$AC$5001,"&lt;&gt;")=0,"",SUMIFS(BD!$AC$3:$AC$5001,BD!$A$3:$A$5001,AF$3,BD!$B$3:$B$5001,$A$123)))</f>
        <v/>
      </c>
      <c r="AG139" s="236" t="str">
        <f>IF(AG$3="","",IF(COUNTIFS(BD!$A$3:$A$5001,AG$3,BD!$B$3:$B$5001,$A$123,BD!$AC$3:$AC$5001,"&lt;&gt;")=0,"",SUMIFS(BD!$AC$3:$AC$5001,BD!$A$3:$A$5001,AG$3,BD!$B$3:$B$5001,$A$123)))</f>
        <v/>
      </c>
      <c r="AH139" s="236" t="str">
        <f>IF(AH$3="","",IF(COUNTIFS(BD!$A$3:$A$5001,AH$3,BD!$B$3:$B$5001,$A$123,BD!$AC$3:$AC$5001,"&lt;&gt;")=0,"",SUMIFS(BD!$AC$3:$AC$5001,BD!$A$3:$A$5001,AH$3,BD!$B$3:$B$5001,$A$123)))</f>
        <v/>
      </c>
      <c r="AI139" s="236" t="str">
        <f>IF(AI$3="","",IF(COUNTIFS(BD!$A$3:$A$5001,AI$3,BD!$B$3:$B$5001,$A$123,BD!$AC$3:$AC$5001,"&lt;&gt;")=0,"",SUMIFS(BD!$AC$3:$AC$5001,BD!$A$3:$A$5001,AI$3,BD!$B$3:$B$5001,$A$123)))</f>
        <v/>
      </c>
      <c r="AJ139" s="237" t="str">
        <f>IF(AJ$3="","",IF(COUNTIFS(BD!$A$3:$A$5001,AJ$3,BD!$B$3:$B$5001,$A$123,BD!$AC$3:$AC$5001,"&lt;&gt;")=0,"",SUMIFS(BD!$AC$3:$AC$5001,BD!$A$3:$A$5001,AJ$3,BD!$B$3:$B$5001,$A$123)))</f>
        <v/>
      </c>
      <c r="AK139" s="238" t="str">
        <f>IF(COUNT(F139:AJ139)=0,"",SUM(F139:AJ139))</f>
        <v/>
      </c>
    </row>
    <row r="140" ht="15.75" customHeight="1">
      <c r="A140" s="261"/>
      <c r="B140" s="258"/>
      <c r="C140" s="232" t="inlineStr">
        <is>
          <t xml:space="preserve">Férias</t>
        </is>
      </c>
      <c r="D140" s="233" t="str">
        <f>IFERROR(1/(1/INDEX(BD!$AL$51:$BF$51,MATCH($A$123,BD!$AL$22:$BF$22,0))),"")</f>
        <v/>
      </c>
      <c r="E140" s="234"/>
      <c r="F140" s="235" t="str">
        <f>IF(F$3="","",IF(COUNTIFS(BD!$A$3:$A$5001,F$3,BD!$B$3:$B$5001,$A$123,BD!$AD$3:$AD$5001,"&lt;&gt;")=0,"",SUMIFS(BD!$AD$3:$AD$5001,BD!$A$3:$A$5001,F$3,BD!$B$3:$B$5001,$A$123)))</f>
        <v/>
      </c>
      <c r="G140" s="236" t="str">
        <f>IF(G$3="","",IF(COUNTIFS(BD!$A$3:$A$5001,G$3,BD!$B$3:$B$5001,$A$123,BD!$AD$3:$AD$5001,"&lt;&gt;")=0,"",SUMIFS(BD!$AD$3:$AD$5001,BD!$A$3:$A$5001,G$3,BD!$B$3:$B$5001,$A$123)))</f>
        <v/>
      </c>
      <c r="H140" s="236" t="str">
        <f>IF(H$3="","",IF(COUNTIFS(BD!$A$3:$A$5001,H$3,BD!$B$3:$B$5001,$A$123,BD!$AD$3:$AD$5001,"&lt;&gt;")=0,"",SUMIFS(BD!$AD$3:$AD$5001,BD!$A$3:$A$5001,H$3,BD!$B$3:$B$5001,$A$123)))</f>
        <v/>
      </c>
      <c r="I140" s="236" t="str">
        <f>IF(I$3="","",IF(COUNTIFS(BD!$A$3:$A$5001,I$3,BD!$B$3:$B$5001,$A$123,BD!$AD$3:$AD$5001,"&lt;&gt;")=0,"",SUMIFS(BD!$AD$3:$AD$5001,BD!$A$3:$A$5001,I$3,BD!$B$3:$B$5001,$A$123)))</f>
        <v/>
      </c>
      <c r="J140" s="236" t="str">
        <f>IF(J$3="","",IF(COUNTIFS(BD!$A$3:$A$5001,J$3,BD!$B$3:$B$5001,$A$123,BD!$AD$3:$AD$5001,"&lt;&gt;")=0,"",SUMIFS(BD!$AD$3:$AD$5001,BD!$A$3:$A$5001,J$3,BD!$B$3:$B$5001,$A$123)))</f>
        <v/>
      </c>
      <c r="K140" s="236" t="str">
        <f>IF(K$3="","",IF(COUNTIFS(BD!$A$3:$A$5001,K$3,BD!$B$3:$B$5001,$A$123,BD!$AD$3:$AD$5001,"&lt;&gt;")=0,"",SUMIFS(BD!$AD$3:$AD$5001,BD!$A$3:$A$5001,K$3,BD!$B$3:$B$5001,$A$123)))</f>
        <v/>
      </c>
      <c r="L140" s="236" t="str">
        <f>IF(L$3="","",IF(COUNTIFS(BD!$A$3:$A$5001,L$3,BD!$B$3:$B$5001,$A$123,BD!$AD$3:$AD$5001,"&lt;&gt;")=0,"",SUMIFS(BD!$AD$3:$AD$5001,BD!$A$3:$A$5001,L$3,BD!$B$3:$B$5001,$A$123)))</f>
        <v/>
      </c>
      <c r="M140" s="236" t="str">
        <f>IF(M$3="","",IF(COUNTIFS(BD!$A$3:$A$5001,M$3,BD!$B$3:$B$5001,$A$123,BD!$AD$3:$AD$5001,"&lt;&gt;")=0,"",SUMIFS(BD!$AD$3:$AD$5001,BD!$A$3:$A$5001,M$3,BD!$B$3:$B$5001,$A$123)))</f>
        <v/>
      </c>
      <c r="N140" s="236" t="str">
        <f>IF(N$3="","",IF(COUNTIFS(BD!$A$3:$A$5001,N$3,BD!$B$3:$B$5001,$A$123,BD!$AD$3:$AD$5001,"&lt;&gt;")=0,"",SUMIFS(BD!$AD$3:$AD$5001,BD!$A$3:$A$5001,N$3,BD!$B$3:$B$5001,$A$123)))</f>
        <v/>
      </c>
      <c r="O140" s="236" t="str">
        <f>IF(O$3="","",IF(COUNTIFS(BD!$A$3:$A$5001,O$3,BD!$B$3:$B$5001,$A$123,BD!$AD$3:$AD$5001,"&lt;&gt;")=0,"",SUMIFS(BD!$AD$3:$AD$5001,BD!$A$3:$A$5001,O$3,BD!$B$3:$B$5001,$A$123)))</f>
        <v/>
      </c>
      <c r="P140" s="236" t="str">
        <f>IF(P$3="","",IF(COUNTIFS(BD!$A$3:$A$5001,P$3,BD!$B$3:$B$5001,$A$123,BD!$AD$3:$AD$5001,"&lt;&gt;")=0,"",SUMIFS(BD!$AD$3:$AD$5001,BD!$A$3:$A$5001,P$3,BD!$B$3:$B$5001,$A$123)))</f>
        <v/>
      </c>
      <c r="Q140" s="236" t="str">
        <f>IF(Q$3="","",IF(COUNTIFS(BD!$A$3:$A$5001,Q$3,BD!$B$3:$B$5001,$A$123,BD!$AD$3:$AD$5001,"&lt;&gt;")=0,"",SUMIFS(BD!$AD$3:$AD$5001,BD!$A$3:$A$5001,Q$3,BD!$B$3:$B$5001,$A$123)))</f>
        <v/>
      </c>
      <c r="R140" s="236" t="str">
        <f>IF(R$3="","",IF(COUNTIFS(BD!$A$3:$A$5001,R$3,BD!$B$3:$B$5001,$A$123,BD!$AD$3:$AD$5001,"&lt;&gt;")=0,"",SUMIFS(BD!$AD$3:$AD$5001,BD!$A$3:$A$5001,R$3,BD!$B$3:$B$5001,$A$123)))</f>
        <v/>
      </c>
      <c r="S140" s="236" t="str">
        <f>IF(S$3="","",IF(COUNTIFS(BD!$A$3:$A$5001,S$3,BD!$B$3:$B$5001,$A$123,BD!$AD$3:$AD$5001,"&lt;&gt;")=0,"",SUMIFS(BD!$AD$3:$AD$5001,BD!$A$3:$A$5001,S$3,BD!$B$3:$B$5001,$A$123)))</f>
        <v/>
      </c>
      <c r="T140" s="236" t="str">
        <f>IF(T$3="","",IF(COUNTIFS(BD!$A$3:$A$5001,T$3,BD!$B$3:$B$5001,$A$123,BD!$AD$3:$AD$5001,"&lt;&gt;")=0,"",SUMIFS(BD!$AD$3:$AD$5001,BD!$A$3:$A$5001,T$3,BD!$B$3:$B$5001,$A$123)))</f>
        <v/>
      </c>
      <c r="U140" s="236" t="str">
        <f>IF(U$3="","",IF(COUNTIFS(BD!$A$3:$A$5001,U$3,BD!$B$3:$B$5001,$A$123,BD!$AD$3:$AD$5001,"&lt;&gt;")=0,"",SUMIFS(BD!$AD$3:$AD$5001,BD!$A$3:$A$5001,U$3,BD!$B$3:$B$5001,$A$123)))</f>
        <v/>
      </c>
      <c r="V140" s="236" t="str">
        <f>IF(V$3="","",IF(COUNTIFS(BD!$A$3:$A$5001,V$3,BD!$B$3:$B$5001,$A$123,BD!$AD$3:$AD$5001,"&lt;&gt;")=0,"",SUMIFS(BD!$AD$3:$AD$5001,BD!$A$3:$A$5001,V$3,BD!$B$3:$B$5001,$A$123)))</f>
        <v/>
      </c>
      <c r="W140" s="236" t="str">
        <f>IF(W$3="","",IF(COUNTIFS(BD!$A$3:$A$5001,W$3,BD!$B$3:$B$5001,$A$123,BD!$AD$3:$AD$5001,"&lt;&gt;")=0,"",SUMIFS(BD!$AD$3:$AD$5001,BD!$A$3:$A$5001,W$3,BD!$B$3:$B$5001,$A$123)))</f>
        <v/>
      </c>
      <c r="X140" s="236" t="str">
        <f>IF(X$3="","",IF(COUNTIFS(BD!$A$3:$A$5001,X$3,BD!$B$3:$B$5001,$A$123,BD!$AD$3:$AD$5001,"&lt;&gt;")=0,"",SUMIFS(BD!$AD$3:$AD$5001,BD!$A$3:$A$5001,X$3,BD!$B$3:$B$5001,$A$123)))</f>
        <v/>
      </c>
      <c r="Y140" s="236" t="str">
        <f>IF(Y$3="","",IF(COUNTIFS(BD!$A$3:$A$5001,Y$3,BD!$B$3:$B$5001,$A$123,BD!$AD$3:$AD$5001,"&lt;&gt;")=0,"",SUMIFS(BD!$AD$3:$AD$5001,BD!$A$3:$A$5001,Y$3,BD!$B$3:$B$5001,$A$123)))</f>
        <v/>
      </c>
      <c r="Z140" s="236" t="str">
        <f>IF(Z$3="","",IF(COUNTIFS(BD!$A$3:$A$5001,Z$3,BD!$B$3:$B$5001,$A$123,BD!$AD$3:$AD$5001,"&lt;&gt;")=0,"",SUMIFS(BD!$AD$3:$AD$5001,BD!$A$3:$A$5001,Z$3,BD!$B$3:$B$5001,$A$123)))</f>
        <v/>
      </c>
      <c r="AA140" s="236" t="str">
        <f>IF(AA$3="","",IF(COUNTIFS(BD!$A$3:$A$5001,AA$3,BD!$B$3:$B$5001,$A$123,BD!$AD$3:$AD$5001,"&lt;&gt;")=0,"",SUMIFS(BD!$AD$3:$AD$5001,BD!$A$3:$A$5001,AA$3,BD!$B$3:$B$5001,$A$123)))</f>
        <v/>
      </c>
      <c r="AB140" s="236" t="str">
        <f>IF(AB$3="","",IF(COUNTIFS(BD!$A$3:$A$5001,AB$3,BD!$B$3:$B$5001,$A$123,BD!$AD$3:$AD$5001,"&lt;&gt;")=0,"",SUMIFS(BD!$AD$3:$AD$5001,BD!$A$3:$A$5001,AB$3,BD!$B$3:$B$5001,$A$123)))</f>
        <v/>
      </c>
      <c r="AC140" s="236" t="str">
        <f>IF(AC$3="","",IF(COUNTIFS(BD!$A$3:$A$5001,AC$3,BD!$B$3:$B$5001,$A$123,BD!$AD$3:$AD$5001,"&lt;&gt;")=0,"",SUMIFS(BD!$AD$3:$AD$5001,BD!$A$3:$A$5001,AC$3,BD!$B$3:$B$5001,$A$123)))</f>
        <v/>
      </c>
      <c r="AD140" s="236" t="str">
        <f>IF(AD$3="","",IF(COUNTIFS(BD!$A$3:$A$5001,AD$3,BD!$B$3:$B$5001,$A$123,BD!$AD$3:$AD$5001,"&lt;&gt;")=0,"",SUMIFS(BD!$AD$3:$AD$5001,BD!$A$3:$A$5001,AD$3,BD!$B$3:$B$5001,$A$123)))</f>
        <v/>
      </c>
      <c r="AE140" s="236" t="str">
        <f>IF(AE$3="","",IF(COUNTIFS(BD!$A$3:$A$5001,AE$3,BD!$B$3:$B$5001,$A$123,BD!$AD$3:$AD$5001,"&lt;&gt;")=0,"",SUMIFS(BD!$AD$3:$AD$5001,BD!$A$3:$A$5001,AE$3,BD!$B$3:$B$5001,$A$123)))</f>
        <v/>
      </c>
      <c r="AF140" s="236" t="str">
        <f>IF(AF$3="","",IF(COUNTIFS(BD!$A$3:$A$5001,AF$3,BD!$B$3:$B$5001,$A$123,BD!$AD$3:$AD$5001,"&lt;&gt;")=0,"",SUMIFS(BD!$AD$3:$AD$5001,BD!$A$3:$A$5001,AF$3,BD!$B$3:$B$5001,$A$123)))</f>
        <v/>
      </c>
      <c r="AG140" s="236" t="str">
        <f>IF(AG$3="","",IF(COUNTIFS(BD!$A$3:$A$5001,AG$3,BD!$B$3:$B$5001,$A$123,BD!$AD$3:$AD$5001,"&lt;&gt;")=0,"",SUMIFS(BD!$AD$3:$AD$5001,BD!$A$3:$A$5001,AG$3,BD!$B$3:$B$5001,$A$123)))</f>
        <v/>
      </c>
      <c r="AH140" s="236" t="str">
        <f>IF(AH$3="","",IF(COUNTIFS(BD!$A$3:$A$5001,AH$3,BD!$B$3:$B$5001,$A$123,BD!$AD$3:$AD$5001,"&lt;&gt;")=0,"",SUMIFS(BD!$AD$3:$AD$5001,BD!$A$3:$A$5001,AH$3,BD!$B$3:$B$5001,$A$123)))</f>
        <v/>
      </c>
      <c r="AI140" s="236" t="str">
        <f>IF(AI$3="","",IF(COUNTIFS(BD!$A$3:$A$5001,AI$3,BD!$B$3:$B$5001,$A$123,BD!$AD$3:$AD$5001,"&lt;&gt;")=0,"",SUMIFS(BD!$AD$3:$AD$5001,BD!$A$3:$A$5001,AI$3,BD!$B$3:$B$5001,$A$123)))</f>
        <v/>
      </c>
      <c r="AJ140" s="237" t="str">
        <f>IF(AJ$3="","",IF(COUNTIFS(BD!$A$3:$A$5001,AJ$3,BD!$B$3:$B$5001,$A$123,BD!$AD$3:$AD$5001,"&lt;&gt;")=0,"",SUMIFS(BD!$AD$3:$AD$5001,BD!$A$3:$A$5001,AJ$3,BD!$B$3:$B$5001,$A$123)))</f>
        <v/>
      </c>
      <c r="AK140" s="238" t="str">
        <f>IF(COUNT(F140:AJ140)=0,"",SUM(F140:AJ140))</f>
        <v/>
      </c>
    </row>
    <row r="141" ht="15.75" customHeight="1">
      <c r="A141" s="261"/>
      <c r="B141" s="258"/>
      <c r="C141" s="232" t="inlineStr">
        <is>
          <t xml:space="preserve">Desligamento</t>
        </is>
      </c>
      <c r="D141" s="233" t="str">
        <f>IFERROR(1/(1/INDEX(BD!$AL$52:$BF$52,MATCH($A$123,BD!$AL$22:$BF$22,0))),"")</f>
        <v/>
      </c>
      <c r="E141" s="234"/>
      <c r="F141" s="235" t="str">
        <f>IF(F$3="","",IF(COUNTIFS(BD!$A$3:$A$5001,F$3,BD!$B$3:$B$5001,$A$123,BD!$AE$3:$AE$5001,"&lt;&gt;")=0,"",SUMIFS(BD!$AE$3:$AE$5001,BD!$A$3:$A$5001,F$3,BD!$B$3:$B$5001,$A$123)))</f>
        <v/>
      </c>
      <c r="G141" s="236" t="str">
        <f>IF(G$3="","",IF(COUNTIFS(BD!$A$3:$A$5001,G$3,BD!$B$3:$B$5001,$A$123,BD!$AE$3:$AE$5001,"&lt;&gt;")=0,"",SUMIFS(BD!$AE$3:$AE$5001,BD!$A$3:$A$5001,G$3,BD!$B$3:$B$5001,$A$123)))</f>
        <v/>
      </c>
      <c r="H141" s="236" t="str">
        <f>IF(H$3="","",IF(COUNTIFS(BD!$A$3:$A$5001,H$3,BD!$B$3:$B$5001,$A$123,BD!$AE$3:$AE$5001,"&lt;&gt;")=0,"",SUMIFS(BD!$AE$3:$AE$5001,BD!$A$3:$A$5001,H$3,BD!$B$3:$B$5001,$A$123)))</f>
        <v/>
      </c>
      <c r="I141" s="236" t="str">
        <f>IF(I$3="","",IF(COUNTIFS(BD!$A$3:$A$5001,I$3,BD!$B$3:$B$5001,$A$123,BD!$AE$3:$AE$5001,"&lt;&gt;")=0,"",SUMIFS(BD!$AE$3:$AE$5001,BD!$A$3:$A$5001,I$3,BD!$B$3:$B$5001,$A$123)))</f>
        <v/>
      </c>
      <c r="J141" s="236" t="str">
        <f>IF(J$3="","",IF(COUNTIFS(BD!$A$3:$A$5001,J$3,BD!$B$3:$B$5001,$A$123,BD!$AE$3:$AE$5001,"&lt;&gt;")=0,"",SUMIFS(BD!$AE$3:$AE$5001,BD!$A$3:$A$5001,J$3,BD!$B$3:$B$5001,$A$123)))</f>
        <v/>
      </c>
      <c r="K141" s="236" t="str">
        <f>IF(K$3="","",IF(COUNTIFS(BD!$A$3:$A$5001,K$3,BD!$B$3:$B$5001,$A$123,BD!$AE$3:$AE$5001,"&lt;&gt;")=0,"",SUMIFS(BD!$AE$3:$AE$5001,BD!$A$3:$A$5001,K$3,BD!$B$3:$B$5001,$A$123)))</f>
        <v/>
      </c>
      <c r="L141" s="236" t="str">
        <f>IF(L$3="","",IF(COUNTIFS(BD!$A$3:$A$5001,L$3,BD!$B$3:$B$5001,$A$123,BD!$AE$3:$AE$5001,"&lt;&gt;")=0,"",SUMIFS(BD!$AE$3:$AE$5001,BD!$A$3:$A$5001,L$3,BD!$B$3:$B$5001,$A$123)))</f>
        <v/>
      </c>
      <c r="M141" s="236" t="str">
        <f>IF(M$3="","",IF(COUNTIFS(BD!$A$3:$A$5001,M$3,BD!$B$3:$B$5001,$A$123,BD!$AE$3:$AE$5001,"&lt;&gt;")=0,"",SUMIFS(BD!$AE$3:$AE$5001,BD!$A$3:$A$5001,M$3,BD!$B$3:$B$5001,$A$123)))</f>
        <v/>
      </c>
      <c r="N141" s="236" t="str">
        <f>IF(N$3="","",IF(COUNTIFS(BD!$A$3:$A$5001,N$3,BD!$B$3:$B$5001,$A$123,BD!$AE$3:$AE$5001,"&lt;&gt;")=0,"",SUMIFS(BD!$AE$3:$AE$5001,BD!$A$3:$A$5001,N$3,BD!$B$3:$B$5001,$A$123)))</f>
        <v/>
      </c>
      <c r="O141" s="236" t="str">
        <f>IF(O$3="","",IF(COUNTIFS(BD!$A$3:$A$5001,O$3,BD!$B$3:$B$5001,$A$123,BD!$AE$3:$AE$5001,"&lt;&gt;")=0,"",SUMIFS(BD!$AE$3:$AE$5001,BD!$A$3:$A$5001,O$3,BD!$B$3:$B$5001,$A$123)))</f>
        <v/>
      </c>
      <c r="P141" s="236" t="str">
        <f>IF(P$3="","",IF(COUNTIFS(BD!$A$3:$A$5001,P$3,BD!$B$3:$B$5001,$A$123,BD!$AE$3:$AE$5001,"&lt;&gt;")=0,"",SUMIFS(BD!$AE$3:$AE$5001,BD!$A$3:$A$5001,P$3,BD!$B$3:$B$5001,$A$123)))</f>
        <v/>
      </c>
      <c r="Q141" s="236" t="str">
        <f>IF(Q$3="","",IF(COUNTIFS(BD!$A$3:$A$5001,Q$3,BD!$B$3:$B$5001,$A$123,BD!$AE$3:$AE$5001,"&lt;&gt;")=0,"",SUMIFS(BD!$AE$3:$AE$5001,BD!$A$3:$A$5001,Q$3,BD!$B$3:$B$5001,$A$123)))</f>
        <v/>
      </c>
      <c r="R141" s="236" t="str">
        <f>IF(R$3="","",IF(COUNTIFS(BD!$A$3:$A$5001,R$3,BD!$B$3:$B$5001,$A$123,BD!$AE$3:$AE$5001,"&lt;&gt;")=0,"",SUMIFS(BD!$AE$3:$AE$5001,BD!$A$3:$A$5001,R$3,BD!$B$3:$B$5001,$A$123)))</f>
        <v/>
      </c>
      <c r="S141" s="236" t="str">
        <f>IF(S$3="","",IF(COUNTIFS(BD!$A$3:$A$5001,S$3,BD!$B$3:$B$5001,$A$123,BD!$AE$3:$AE$5001,"&lt;&gt;")=0,"",SUMIFS(BD!$AE$3:$AE$5001,BD!$A$3:$A$5001,S$3,BD!$B$3:$B$5001,$A$123)))</f>
        <v/>
      </c>
      <c r="T141" s="236" t="str">
        <f>IF(T$3="","",IF(COUNTIFS(BD!$A$3:$A$5001,T$3,BD!$B$3:$B$5001,$A$123,BD!$AE$3:$AE$5001,"&lt;&gt;")=0,"",SUMIFS(BD!$AE$3:$AE$5001,BD!$A$3:$A$5001,T$3,BD!$B$3:$B$5001,$A$123)))</f>
        <v/>
      </c>
      <c r="U141" s="236" t="str">
        <f>IF(U$3="","",IF(COUNTIFS(BD!$A$3:$A$5001,U$3,BD!$B$3:$B$5001,$A$123,BD!$AE$3:$AE$5001,"&lt;&gt;")=0,"",SUMIFS(BD!$AE$3:$AE$5001,BD!$A$3:$A$5001,U$3,BD!$B$3:$B$5001,$A$123)))</f>
        <v/>
      </c>
      <c r="V141" s="236" t="str">
        <f>IF(V$3="","",IF(COUNTIFS(BD!$A$3:$A$5001,V$3,BD!$B$3:$B$5001,$A$123,BD!$AE$3:$AE$5001,"&lt;&gt;")=0,"",SUMIFS(BD!$AE$3:$AE$5001,BD!$A$3:$A$5001,V$3,BD!$B$3:$B$5001,$A$123)))</f>
        <v/>
      </c>
      <c r="W141" s="236" t="str">
        <f>IF(W$3="","",IF(COUNTIFS(BD!$A$3:$A$5001,W$3,BD!$B$3:$B$5001,$A$123,BD!$AE$3:$AE$5001,"&lt;&gt;")=0,"",SUMIFS(BD!$AE$3:$AE$5001,BD!$A$3:$A$5001,W$3,BD!$B$3:$B$5001,$A$123)))</f>
        <v/>
      </c>
      <c r="X141" s="236" t="str">
        <f>IF(X$3="","",IF(COUNTIFS(BD!$A$3:$A$5001,X$3,BD!$B$3:$B$5001,$A$123,BD!$AE$3:$AE$5001,"&lt;&gt;")=0,"",SUMIFS(BD!$AE$3:$AE$5001,BD!$A$3:$A$5001,X$3,BD!$B$3:$B$5001,$A$123)))</f>
        <v/>
      </c>
      <c r="Y141" s="236" t="str">
        <f>IF(Y$3="","",IF(COUNTIFS(BD!$A$3:$A$5001,Y$3,BD!$B$3:$B$5001,$A$123,BD!$AE$3:$AE$5001,"&lt;&gt;")=0,"",SUMIFS(BD!$AE$3:$AE$5001,BD!$A$3:$A$5001,Y$3,BD!$B$3:$B$5001,$A$123)))</f>
        <v/>
      </c>
      <c r="Z141" s="236" t="str">
        <f>IF(Z$3="","",IF(COUNTIFS(BD!$A$3:$A$5001,Z$3,BD!$B$3:$B$5001,$A$123,BD!$AE$3:$AE$5001,"&lt;&gt;")=0,"",SUMIFS(BD!$AE$3:$AE$5001,BD!$A$3:$A$5001,Z$3,BD!$B$3:$B$5001,$A$123)))</f>
        <v/>
      </c>
      <c r="AA141" s="236" t="str">
        <f>IF(AA$3="","",IF(COUNTIFS(BD!$A$3:$A$5001,AA$3,BD!$B$3:$B$5001,$A$123,BD!$AE$3:$AE$5001,"&lt;&gt;")=0,"",SUMIFS(BD!$AE$3:$AE$5001,BD!$A$3:$A$5001,AA$3,BD!$B$3:$B$5001,$A$123)))</f>
        <v/>
      </c>
      <c r="AB141" s="236" t="str">
        <f>IF(AB$3="","",IF(COUNTIFS(BD!$A$3:$A$5001,AB$3,BD!$B$3:$B$5001,$A$123,BD!$AE$3:$AE$5001,"&lt;&gt;")=0,"",SUMIFS(BD!$AE$3:$AE$5001,BD!$A$3:$A$5001,AB$3,BD!$B$3:$B$5001,$A$123)))</f>
        <v/>
      </c>
      <c r="AC141" s="236" t="str">
        <f>IF(AC$3="","",IF(COUNTIFS(BD!$A$3:$A$5001,AC$3,BD!$B$3:$B$5001,$A$123,BD!$AE$3:$AE$5001,"&lt;&gt;")=0,"",SUMIFS(BD!$AE$3:$AE$5001,BD!$A$3:$A$5001,AC$3,BD!$B$3:$B$5001,$A$123)))</f>
        <v/>
      </c>
      <c r="AD141" s="236" t="str">
        <f>IF(AD$3="","",IF(COUNTIFS(BD!$A$3:$A$5001,AD$3,BD!$B$3:$B$5001,$A$123,BD!$AE$3:$AE$5001,"&lt;&gt;")=0,"",SUMIFS(BD!$AE$3:$AE$5001,BD!$A$3:$A$5001,AD$3,BD!$B$3:$B$5001,$A$123)))</f>
        <v/>
      </c>
      <c r="AE141" s="236" t="str">
        <f>IF(AE$3="","",IF(COUNTIFS(BD!$A$3:$A$5001,AE$3,BD!$B$3:$B$5001,$A$123,BD!$AE$3:$AE$5001,"&lt;&gt;")=0,"",SUMIFS(BD!$AE$3:$AE$5001,BD!$A$3:$A$5001,AE$3,BD!$B$3:$B$5001,$A$123)))</f>
        <v/>
      </c>
      <c r="AF141" s="236" t="str">
        <f>IF(AF$3="","",IF(COUNTIFS(BD!$A$3:$A$5001,AF$3,BD!$B$3:$B$5001,$A$123,BD!$AE$3:$AE$5001,"&lt;&gt;")=0,"",SUMIFS(BD!$AE$3:$AE$5001,BD!$A$3:$A$5001,AF$3,BD!$B$3:$B$5001,$A$123)))</f>
        <v/>
      </c>
      <c r="AG141" s="236" t="str">
        <f>IF(AG$3="","",IF(COUNTIFS(BD!$A$3:$A$5001,AG$3,BD!$B$3:$B$5001,$A$123,BD!$AE$3:$AE$5001,"&lt;&gt;")=0,"",SUMIFS(BD!$AE$3:$AE$5001,BD!$A$3:$A$5001,AG$3,BD!$B$3:$B$5001,$A$123)))</f>
        <v/>
      </c>
      <c r="AH141" s="236" t="str">
        <f>IF(AH$3="","",IF(COUNTIFS(BD!$A$3:$A$5001,AH$3,BD!$B$3:$B$5001,$A$123,BD!$AE$3:$AE$5001,"&lt;&gt;")=0,"",SUMIFS(BD!$AE$3:$AE$5001,BD!$A$3:$A$5001,AH$3,BD!$B$3:$B$5001,$A$123)))</f>
        <v/>
      </c>
      <c r="AI141" s="236" t="str">
        <f>IF(AI$3="","",IF(COUNTIFS(BD!$A$3:$A$5001,AI$3,BD!$B$3:$B$5001,$A$123,BD!$AE$3:$AE$5001,"&lt;&gt;")=0,"",SUMIFS(BD!$AE$3:$AE$5001,BD!$A$3:$A$5001,AI$3,BD!$B$3:$B$5001,$A$123)))</f>
        <v/>
      </c>
      <c r="AJ141" s="237" t="str">
        <f>IF(AJ$3="","",IF(COUNTIFS(BD!$A$3:$A$5001,AJ$3,BD!$B$3:$B$5001,$A$123,BD!$AE$3:$AE$5001,"&lt;&gt;")=0,"",SUMIFS(BD!$AE$3:$AE$5001,BD!$A$3:$A$5001,AJ$3,BD!$B$3:$B$5001,$A$123)))</f>
        <v/>
      </c>
      <c r="AK141" s="238" t="str">
        <f>IF(COUNT(F141:AJ141)=0,"",SUM(F141:AJ141))</f>
        <v/>
      </c>
    </row>
    <row r="142" ht="15.75" customHeight="1">
      <c r="A142" s="261"/>
      <c r="B142" s="258"/>
      <c r="C142" s="232" t="inlineStr">
        <is>
          <t xml:space="preserve">Desvios Comportamentais</t>
        </is>
      </c>
      <c r="D142" s="233" t="str">
        <f>IFERROR(1/(1/INDEX(BD!$AL$53:$BF$53,MATCH($A$123,BD!$AL$22:$BF$22,0))),"")</f>
        <v/>
      </c>
      <c r="E142" s="234"/>
      <c r="F142" s="235" t="str">
        <f>IF(F$3="","",IF(COUNTIFS(BD!$A$3:$A$5001,F$3,BD!$B$3:$B$5001,$A$123,BD!$AF$3:$AF$5001,"&lt;&gt;")=0,"",SUMIFS(BD!$AF$3:$AF$5001,BD!$A$3:$A$5001,F$3,BD!$B$3:$B$5001,$A$123)))</f>
        <v/>
      </c>
      <c r="G142" s="236" t="str">
        <f>IF(G$3="","",IF(COUNTIFS(BD!$A$3:$A$5001,G$3,BD!$B$3:$B$5001,$A$123,BD!$AF$3:$AF$5001,"&lt;&gt;")=0,"",SUMIFS(BD!$AF$3:$AF$5001,BD!$A$3:$A$5001,G$3,BD!$B$3:$B$5001,$A$123)))</f>
        <v/>
      </c>
      <c r="H142" s="236" t="str">
        <f>IF(H$3="","",IF(COUNTIFS(BD!$A$3:$A$5001,H$3,BD!$B$3:$B$5001,$A$123,BD!$AF$3:$AF$5001,"&lt;&gt;")=0,"",SUMIFS(BD!$AF$3:$AF$5001,BD!$A$3:$A$5001,H$3,BD!$B$3:$B$5001,$A$123)))</f>
        <v/>
      </c>
      <c r="I142" s="236" t="str">
        <f>IF(I$3="","",IF(COUNTIFS(BD!$A$3:$A$5001,I$3,BD!$B$3:$B$5001,$A$123,BD!$AF$3:$AF$5001,"&lt;&gt;")=0,"",SUMIFS(BD!$AF$3:$AF$5001,BD!$A$3:$A$5001,I$3,BD!$B$3:$B$5001,$A$123)))</f>
        <v/>
      </c>
      <c r="J142" s="236" t="str">
        <f>IF(J$3="","",IF(COUNTIFS(BD!$A$3:$A$5001,J$3,BD!$B$3:$B$5001,$A$123,BD!$AF$3:$AF$5001,"&lt;&gt;")=0,"",SUMIFS(BD!$AF$3:$AF$5001,BD!$A$3:$A$5001,J$3,BD!$B$3:$B$5001,$A$123)))</f>
        <v/>
      </c>
      <c r="K142" s="236" t="str">
        <f>IF(K$3="","",IF(COUNTIFS(BD!$A$3:$A$5001,K$3,BD!$B$3:$B$5001,$A$123,BD!$AF$3:$AF$5001,"&lt;&gt;")=0,"",SUMIFS(BD!$AF$3:$AF$5001,BD!$A$3:$A$5001,K$3,BD!$B$3:$B$5001,$A$123)))</f>
        <v/>
      </c>
      <c r="L142" s="236" t="str">
        <f>IF(L$3="","",IF(COUNTIFS(BD!$A$3:$A$5001,L$3,BD!$B$3:$B$5001,$A$123,BD!$AF$3:$AF$5001,"&lt;&gt;")=0,"",SUMIFS(BD!$AF$3:$AF$5001,BD!$A$3:$A$5001,L$3,BD!$B$3:$B$5001,$A$123)))</f>
        <v/>
      </c>
      <c r="M142" s="236" t="str">
        <f>IF(M$3="","",IF(COUNTIFS(BD!$A$3:$A$5001,M$3,BD!$B$3:$B$5001,$A$123,BD!$AF$3:$AF$5001,"&lt;&gt;")=0,"",SUMIFS(BD!$AF$3:$AF$5001,BD!$A$3:$A$5001,M$3,BD!$B$3:$B$5001,$A$123)))</f>
        <v/>
      </c>
      <c r="N142" s="236" t="str">
        <f>IF(N$3="","",IF(COUNTIFS(BD!$A$3:$A$5001,N$3,BD!$B$3:$B$5001,$A$123,BD!$AF$3:$AF$5001,"&lt;&gt;")=0,"",SUMIFS(BD!$AF$3:$AF$5001,BD!$A$3:$A$5001,N$3,BD!$B$3:$B$5001,$A$123)))</f>
        <v/>
      </c>
      <c r="O142" s="236" t="str">
        <f>IF(O$3="","",IF(COUNTIFS(BD!$A$3:$A$5001,O$3,BD!$B$3:$B$5001,$A$123,BD!$AF$3:$AF$5001,"&lt;&gt;")=0,"",SUMIFS(BD!$AF$3:$AF$5001,BD!$A$3:$A$5001,O$3,BD!$B$3:$B$5001,$A$123)))</f>
        <v/>
      </c>
      <c r="P142" s="236" t="str">
        <f>IF(P$3="","",IF(COUNTIFS(BD!$A$3:$A$5001,P$3,BD!$B$3:$B$5001,$A$123,BD!$AF$3:$AF$5001,"&lt;&gt;")=0,"",SUMIFS(BD!$AF$3:$AF$5001,BD!$A$3:$A$5001,P$3,BD!$B$3:$B$5001,$A$123)))</f>
        <v/>
      </c>
      <c r="Q142" s="236" t="str">
        <f>IF(Q$3="","",IF(COUNTIFS(BD!$A$3:$A$5001,Q$3,BD!$B$3:$B$5001,$A$123,BD!$AF$3:$AF$5001,"&lt;&gt;")=0,"",SUMIFS(BD!$AF$3:$AF$5001,BD!$A$3:$A$5001,Q$3,BD!$B$3:$B$5001,$A$123)))</f>
        <v/>
      </c>
      <c r="R142" s="236" t="str">
        <f>IF(R$3="","",IF(COUNTIFS(BD!$A$3:$A$5001,R$3,BD!$B$3:$B$5001,$A$123,BD!$AF$3:$AF$5001,"&lt;&gt;")=0,"",SUMIFS(BD!$AF$3:$AF$5001,BD!$A$3:$A$5001,R$3,BD!$B$3:$B$5001,$A$123)))</f>
        <v/>
      </c>
      <c r="S142" s="236" t="str">
        <f>IF(S$3="","",IF(COUNTIFS(BD!$A$3:$A$5001,S$3,BD!$B$3:$B$5001,$A$123,BD!$AF$3:$AF$5001,"&lt;&gt;")=0,"",SUMIFS(BD!$AF$3:$AF$5001,BD!$A$3:$A$5001,S$3,BD!$B$3:$B$5001,$A$123)))</f>
        <v/>
      </c>
      <c r="T142" s="236" t="str">
        <f>IF(T$3="","",IF(COUNTIFS(BD!$A$3:$A$5001,T$3,BD!$B$3:$B$5001,$A$123,BD!$AF$3:$AF$5001,"&lt;&gt;")=0,"",SUMIFS(BD!$AF$3:$AF$5001,BD!$A$3:$A$5001,T$3,BD!$B$3:$B$5001,$A$123)))</f>
        <v/>
      </c>
      <c r="U142" s="236" t="str">
        <f>IF(U$3="","",IF(COUNTIFS(BD!$A$3:$A$5001,U$3,BD!$B$3:$B$5001,$A$123,BD!$AF$3:$AF$5001,"&lt;&gt;")=0,"",SUMIFS(BD!$AF$3:$AF$5001,BD!$A$3:$A$5001,U$3,BD!$B$3:$B$5001,$A$123)))</f>
        <v/>
      </c>
      <c r="V142" s="236" t="str">
        <f>IF(V$3="","",IF(COUNTIFS(BD!$A$3:$A$5001,V$3,BD!$B$3:$B$5001,$A$123,BD!$AF$3:$AF$5001,"&lt;&gt;")=0,"",SUMIFS(BD!$AF$3:$AF$5001,BD!$A$3:$A$5001,V$3,BD!$B$3:$B$5001,$A$123)))</f>
        <v/>
      </c>
      <c r="W142" s="236" t="str">
        <f>IF(W$3="","",IF(COUNTIFS(BD!$A$3:$A$5001,W$3,BD!$B$3:$B$5001,$A$123,BD!$AF$3:$AF$5001,"&lt;&gt;")=0,"",SUMIFS(BD!$AF$3:$AF$5001,BD!$A$3:$A$5001,W$3,BD!$B$3:$B$5001,$A$123)))</f>
        <v/>
      </c>
      <c r="X142" s="236" t="str">
        <f>IF(X$3="","",IF(COUNTIFS(BD!$A$3:$A$5001,X$3,BD!$B$3:$B$5001,$A$123,BD!$AF$3:$AF$5001,"&lt;&gt;")=0,"",SUMIFS(BD!$AF$3:$AF$5001,BD!$A$3:$A$5001,X$3,BD!$B$3:$B$5001,$A$123)))</f>
        <v/>
      </c>
      <c r="Y142" s="236" t="str">
        <f>IF(Y$3="","",IF(COUNTIFS(BD!$A$3:$A$5001,Y$3,BD!$B$3:$B$5001,$A$123,BD!$AF$3:$AF$5001,"&lt;&gt;")=0,"",SUMIFS(BD!$AF$3:$AF$5001,BD!$A$3:$A$5001,Y$3,BD!$B$3:$B$5001,$A$123)))</f>
        <v/>
      </c>
      <c r="Z142" s="236" t="str">
        <f>IF(Z$3="","",IF(COUNTIFS(BD!$A$3:$A$5001,Z$3,BD!$B$3:$B$5001,$A$123,BD!$AF$3:$AF$5001,"&lt;&gt;")=0,"",SUMIFS(BD!$AF$3:$AF$5001,BD!$A$3:$A$5001,Z$3,BD!$B$3:$B$5001,$A$123)))</f>
        <v/>
      </c>
      <c r="AA142" s="236" t="str">
        <f>IF(AA$3="","",IF(COUNTIFS(BD!$A$3:$A$5001,AA$3,BD!$B$3:$B$5001,$A$123,BD!$AF$3:$AF$5001,"&lt;&gt;")=0,"",SUMIFS(BD!$AF$3:$AF$5001,BD!$A$3:$A$5001,AA$3,BD!$B$3:$B$5001,$A$123)))</f>
        <v/>
      </c>
      <c r="AB142" s="236" t="str">
        <f>IF(AB$3="","",IF(COUNTIFS(BD!$A$3:$A$5001,AB$3,BD!$B$3:$B$5001,$A$123,BD!$AF$3:$AF$5001,"&lt;&gt;")=0,"",SUMIFS(BD!$AF$3:$AF$5001,BD!$A$3:$A$5001,AB$3,BD!$B$3:$B$5001,$A$123)))</f>
        <v/>
      </c>
      <c r="AC142" s="236" t="str">
        <f>IF(AC$3="","",IF(COUNTIFS(BD!$A$3:$A$5001,AC$3,BD!$B$3:$B$5001,$A$123,BD!$AF$3:$AF$5001,"&lt;&gt;")=0,"",SUMIFS(BD!$AF$3:$AF$5001,BD!$A$3:$A$5001,AC$3,BD!$B$3:$B$5001,$A$123)))</f>
        <v/>
      </c>
      <c r="AD142" s="236" t="str">
        <f>IF(AD$3="","",IF(COUNTIFS(BD!$A$3:$A$5001,AD$3,BD!$B$3:$B$5001,$A$123,BD!$AF$3:$AF$5001,"&lt;&gt;")=0,"",SUMIFS(BD!$AF$3:$AF$5001,BD!$A$3:$A$5001,AD$3,BD!$B$3:$B$5001,$A$123)))</f>
        <v/>
      </c>
      <c r="AE142" s="236" t="str">
        <f>IF(AE$3="","",IF(COUNTIFS(BD!$A$3:$A$5001,AE$3,BD!$B$3:$B$5001,$A$123,BD!$AF$3:$AF$5001,"&lt;&gt;")=0,"",SUMIFS(BD!$AF$3:$AF$5001,BD!$A$3:$A$5001,AE$3,BD!$B$3:$B$5001,$A$123)))</f>
        <v/>
      </c>
      <c r="AF142" s="236" t="str">
        <f>IF(AF$3="","",IF(COUNTIFS(BD!$A$3:$A$5001,AF$3,BD!$B$3:$B$5001,$A$123,BD!$AF$3:$AF$5001,"&lt;&gt;")=0,"",SUMIFS(BD!$AF$3:$AF$5001,BD!$A$3:$A$5001,AF$3,BD!$B$3:$B$5001,$A$123)))</f>
        <v/>
      </c>
      <c r="AG142" s="236" t="str">
        <f>IF(AG$3="","",IF(COUNTIFS(BD!$A$3:$A$5001,AG$3,BD!$B$3:$B$5001,$A$123,BD!$AF$3:$AF$5001,"&lt;&gt;")=0,"",SUMIFS(BD!$AF$3:$AF$5001,BD!$A$3:$A$5001,AG$3,BD!$B$3:$B$5001,$A$123)))</f>
        <v/>
      </c>
      <c r="AH142" s="236" t="str">
        <f>IF(AH$3="","",IF(COUNTIFS(BD!$A$3:$A$5001,AH$3,BD!$B$3:$B$5001,$A$123,BD!$AF$3:$AF$5001,"&lt;&gt;")=0,"",SUMIFS(BD!$AF$3:$AF$5001,BD!$A$3:$A$5001,AH$3,BD!$B$3:$B$5001,$A$123)))</f>
        <v/>
      </c>
      <c r="AI142" s="236" t="str">
        <f>IF(AI$3="","",IF(COUNTIFS(BD!$A$3:$A$5001,AI$3,BD!$B$3:$B$5001,$A$123,BD!$AF$3:$AF$5001,"&lt;&gt;")=0,"",SUMIFS(BD!$AF$3:$AF$5001,BD!$A$3:$A$5001,AI$3,BD!$B$3:$B$5001,$A$123)))</f>
        <v/>
      </c>
      <c r="AJ142" s="237" t="str">
        <f>IF(AJ$3="","",IF(COUNTIFS(BD!$A$3:$A$5001,AJ$3,BD!$B$3:$B$5001,$A$123,BD!$AF$3:$AF$5001,"&lt;&gt;")=0,"",SUMIFS(BD!$AF$3:$AF$5001,BD!$A$3:$A$5001,AJ$3,BD!$B$3:$B$5001,$A$123)))</f>
        <v/>
      </c>
      <c r="AK142" s="238" t="str">
        <f>IF(COUNT(F142:AJ142)=0,"",SUM(F142:AJ142))</f>
        <v/>
      </c>
    </row>
    <row r="143" ht="15.75" customHeight="1">
      <c r="A143" s="261"/>
      <c r="B143" s="258"/>
      <c r="C143" s="232" t="inlineStr">
        <is>
          <t xml:space="preserve">Acidentes CAF</t>
        </is>
      </c>
      <c r="D143" s="233" t="str">
        <f>IFERROR(1/(1/INDEX(BD!$AL$54:$BF$54,MATCH($A$123,BD!$AL$22:$BF$22,0))),"")</f>
        <v/>
      </c>
      <c r="E143" s="234"/>
      <c r="F143" s="235" t="str">
        <f>IF(F$3="","",IF(COUNTIFS(BD!$A$3:$A$5001,F$3,BD!$B$3:$B$5001,$A$123,BD!$AG$3:$AG$5001,"&lt;&gt;")=0,"",SUMIFS(BD!$AG$3:$AG$5001,BD!$A$3:$A$5001,F$3,BD!$B$3:$B$5001,$A$123)))</f>
        <v/>
      </c>
      <c r="G143" s="236" t="str">
        <f>IF(G$3="","",IF(COUNTIFS(BD!$A$3:$A$5001,G$3,BD!$B$3:$B$5001,$A$123,BD!$AG$3:$AG$5001,"&lt;&gt;")=0,"",SUMIFS(BD!$AG$3:$AG$5001,BD!$A$3:$A$5001,G$3,BD!$B$3:$B$5001,$A$123)))</f>
        <v/>
      </c>
      <c r="H143" s="236" t="str">
        <f>IF(H$3="","",IF(COUNTIFS(BD!$A$3:$A$5001,H$3,BD!$B$3:$B$5001,$A$123,BD!$AG$3:$AG$5001,"&lt;&gt;")=0,"",SUMIFS(BD!$AG$3:$AG$5001,BD!$A$3:$A$5001,H$3,BD!$B$3:$B$5001,$A$123)))</f>
        <v/>
      </c>
      <c r="I143" s="236" t="str">
        <f>IF(I$3="","",IF(COUNTIFS(BD!$A$3:$A$5001,I$3,BD!$B$3:$B$5001,$A$123,BD!$AG$3:$AG$5001,"&lt;&gt;")=0,"",SUMIFS(BD!$AG$3:$AG$5001,BD!$A$3:$A$5001,I$3,BD!$B$3:$B$5001,$A$123)))</f>
        <v/>
      </c>
      <c r="J143" s="236" t="str">
        <f>IF(J$3="","",IF(COUNTIFS(BD!$A$3:$A$5001,J$3,BD!$B$3:$B$5001,$A$123,BD!$AG$3:$AG$5001,"&lt;&gt;")=0,"",SUMIFS(BD!$AG$3:$AG$5001,BD!$A$3:$A$5001,J$3,BD!$B$3:$B$5001,$A$123)))</f>
        <v/>
      </c>
      <c r="K143" s="236" t="str">
        <f>IF(K$3="","",IF(COUNTIFS(BD!$A$3:$A$5001,K$3,BD!$B$3:$B$5001,$A$123,BD!$AG$3:$AG$5001,"&lt;&gt;")=0,"",SUMIFS(BD!$AG$3:$AG$5001,BD!$A$3:$A$5001,K$3,BD!$B$3:$B$5001,$A$123)))</f>
        <v/>
      </c>
      <c r="L143" s="236" t="str">
        <f>IF(L$3="","",IF(COUNTIFS(BD!$A$3:$A$5001,L$3,BD!$B$3:$B$5001,$A$123,BD!$AG$3:$AG$5001,"&lt;&gt;")=0,"",SUMIFS(BD!$AG$3:$AG$5001,BD!$A$3:$A$5001,L$3,BD!$B$3:$B$5001,$A$123)))</f>
        <v/>
      </c>
      <c r="M143" s="236" t="str">
        <f>IF(M$3="","",IF(COUNTIFS(BD!$A$3:$A$5001,M$3,BD!$B$3:$B$5001,$A$123,BD!$AG$3:$AG$5001,"&lt;&gt;")=0,"",SUMIFS(BD!$AG$3:$AG$5001,BD!$A$3:$A$5001,M$3,BD!$B$3:$B$5001,$A$123)))</f>
        <v/>
      </c>
      <c r="N143" s="236" t="str">
        <f>IF(N$3="","",IF(COUNTIFS(BD!$A$3:$A$5001,N$3,BD!$B$3:$B$5001,$A$123,BD!$AG$3:$AG$5001,"&lt;&gt;")=0,"",SUMIFS(BD!$AG$3:$AG$5001,BD!$A$3:$A$5001,N$3,BD!$B$3:$B$5001,$A$123)))</f>
        <v/>
      </c>
      <c r="O143" s="236" t="str">
        <f>IF(O$3="","",IF(COUNTIFS(BD!$A$3:$A$5001,O$3,BD!$B$3:$B$5001,$A$123,BD!$AG$3:$AG$5001,"&lt;&gt;")=0,"",SUMIFS(BD!$AG$3:$AG$5001,BD!$A$3:$A$5001,O$3,BD!$B$3:$B$5001,$A$123)))</f>
        <v/>
      </c>
      <c r="P143" s="236" t="str">
        <f>IF(P$3="","",IF(COUNTIFS(BD!$A$3:$A$5001,P$3,BD!$B$3:$B$5001,$A$123,BD!$AG$3:$AG$5001,"&lt;&gt;")=0,"",SUMIFS(BD!$AG$3:$AG$5001,BD!$A$3:$A$5001,P$3,BD!$B$3:$B$5001,$A$123)))</f>
        <v/>
      </c>
      <c r="Q143" s="236" t="str">
        <f>IF(Q$3="","",IF(COUNTIFS(BD!$A$3:$A$5001,Q$3,BD!$B$3:$B$5001,$A$123,BD!$AG$3:$AG$5001,"&lt;&gt;")=0,"",SUMIFS(BD!$AG$3:$AG$5001,BD!$A$3:$A$5001,Q$3,BD!$B$3:$B$5001,$A$123)))</f>
        <v/>
      </c>
      <c r="R143" s="236" t="str">
        <f>IF(R$3="","",IF(COUNTIFS(BD!$A$3:$A$5001,R$3,BD!$B$3:$B$5001,$A$123,BD!$AG$3:$AG$5001,"&lt;&gt;")=0,"",SUMIFS(BD!$AG$3:$AG$5001,BD!$A$3:$A$5001,R$3,BD!$B$3:$B$5001,$A$123)))</f>
        <v/>
      </c>
      <c r="S143" s="236" t="str">
        <f>IF(S$3="","",IF(COUNTIFS(BD!$A$3:$A$5001,S$3,BD!$B$3:$B$5001,$A$123,BD!$AG$3:$AG$5001,"&lt;&gt;")=0,"",SUMIFS(BD!$AG$3:$AG$5001,BD!$A$3:$A$5001,S$3,BD!$B$3:$B$5001,$A$123)))</f>
        <v/>
      </c>
      <c r="T143" s="236" t="str">
        <f>IF(T$3="","",IF(COUNTIFS(BD!$A$3:$A$5001,T$3,BD!$B$3:$B$5001,$A$123,BD!$AG$3:$AG$5001,"&lt;&gt;")=0,"",SUMIFS(BD!$AG$3:$AG$5001,BD!$A$3:$A$5001,T$3,BD!$B$3:$B$5001,$A$123)))</f>
        <v/>
      </c>
      <c r="U143" s="236" t="str">
        <f>IF(U$3="","",IF(COUNTIFS(BD!$A$3:$A$5001,U$3,BD!$B$3:$B$5001,$A$123,BD!$AG$3:$AG$5001,"&lt;&gt;")=0,"",SUMIFS(BD!$AG$3:$AG$5001,BD!$A$3:$A$5001,U$3,BD!$B$3:$B$5001,$A$123)))</f>
        <v/>
      </c>
      <c r="V143" s="236" t="str">
        <f>IF(V$3="","",IF(COUNTIFS(BD!$A$3:$A$5001,V$3,BD!$B$3:$B$5001,$A$123,BD!$AG$3:$AG$5001,"&lt;&gt;")=0,"",SUMIFS(BD!$AG$3:$AG$5001,BD!$A$3:$A$5001,V$3,BD!$B$3:$B$5001,$A$123)))</f>
        <v/>
      </c>
      <c r="W143" s="236" t="str">
        <f>IF(W$3="","",IF(COUNTIFS(BD!$A$3:$A$5001,W$3,BD!$B$3:$B$5001,$A$123,BD!$AG$3:$AG$5001,"&lt;&gt;")=0,"",SUMIFS(BD!$AG$3:$AG$5001,BD!$A$3:$A$5001,W$3,BD!$B$3:$B$5001,$A$123)))</f>
        <v/>
      </c>
      <c r="X143" s="236" t="str">
        <f>IF(X$3="","",IF(COUNTIFS(BD!$A$3:$A$5001,X$3,BD!$B$3:$B$5001,$A$123,BD!$AG$3:$AG$5001,"&lt;&gt;")=0,"",SUMIFS(BD!$AG$3:$AG$5001,BD!$A$3:$A$5001,X$3,BD!$B$3:$B$5001,$A$123)))</f>
        <v/>
      </c>
      <c r="Y143" s="236" t="str">
        <f>IF(Y$3="","",IF(COUNTIFS(BD!$A$3:$A$5001,Y$3,BD!$B$3:$B$5001,$A$123,BD!$AG$3:$AG$5001,"&lt;&gt;")=0,"",SUMIFS(BD!$AG$3:$AG$5001,BD!$A$3:$A$5001,Y$3,BD!$B$3:$B$5001,$A$123)))</f>
        <v/>
      </c>
      <c r="Z143" s="236" t="str">
        <f>IF(Z$3="","",IF(COUNTIFS(BD!$A$3:$A$5001,Z$3,BD!$B$3:$B$5001,$A$123,BD!$AG$3:$AG$5001,"&lt;&gt;")=0,"",SUMIFS(BD!$AG$3:$AG$5001,BD!$A$3:$A$5001,Z$3,BD!$B$3:$B$5001,$A$123)))</f>
        <v/>
      </c>
      <c r="AA143" s="236" t="str">
        <f>IF(AA$3="","",IF(COUNTIFS(BD!$A$3:$A$5001,AA$3,BD!$B$3:$B$5001,$A$123,BD!$AG$3:$AG$5001,"&lt;&gt;")=0,"",SUMIFS(BD!$AG$3:$AG$5001,BD!$A$3:$A$5001,AA$3,BD!$B$3:$B$5001,$A$123)))</f>
        <v/>
      </c>
      <c r="AB143" s="236" t="str">
        <f>IF(AB$3="","",IF(COUNTIFS(BD!$A$3:$A$5001,AB$3,BD!$B$3:$B$5001,$A$123,BD!$AG$3:$AG$5001,"&lt;&gt;")=0,"",SUMIFS(BD!$AG$3:$AG$5001,BD!$A$3:$A$5001,AB$3,BD!$B$3:$B$5001,$A$123)))</f>
        <v/>
      </c>
      <c r="AC143" s="236" t="str">
        <f>IF(AC$3="","",IF(COUNTIFS(BD!$A$3:$A$5001,AC$3,BD!$B$3:$B$5001,$A$123,BD!$AG$3:$AG$5001,"&lt;&gt;")=0,"",SUMIFS(BD!$AG$3:$AG$5001,BD!$A$3:$A$5001,AC$3,BD!$B$3:$B$5001,$A$123)))</f>
        <v/>
      </c>
      <c r="AD143" s="236" t="str">
        <f>IF(AD$3="","",IF(COUNTIFS(BD!$A$3:$A$5001,AD$3,BD!$B$3:$B$5001,$A$123,BD!$AG$3:$AG$5001,"&lt;&gt;")=0,"",SUMIFS(BD!$AG$3:$AG$5001,BD!$A$3:$A$5001,AD$3,BD!$B$3:$B$5001,$A$123)))</f>
        <v/>
      </c>
      <c r="AE143" s="236" t="str">
        <f>IF(AE$3="","",IF(COUNTIFS(BD!$A$3:$A$5001,AE$3,BD!$B$3:$B$5001,$A$123,BD!$AG$3:$AG$5001,"&lt;&gt;")=0,"",SUMIFS(BD!$AG$3:$AG$5001,BD!$A$3:$A$5001,AE$3,BD!$B$3:$B$5001,$A$123)))</f>
        <v/>
      </c>
      <c r="AF143" s="236" t="str">
        <f>IF(AF$3="","",IF(COUNTIFS(BD!$A$3:$A$5001,AF$3,BD!$B$3:$B$5001,$A$123,BD!$AG$3:$AG$5001,"&lt;&gt;")=0,"",SUMIFS(BD!$AG$3:$AG$5001,BD!$A$3:$A$5001,AF$3,BD!$B$3:$B$5001,$A$123)))</f>
        <v/>
      </c>
      <c r="AG143" s="236" t="str">
        <f>IF(AG$3="","",IF(COUNTIFS(BD!$A$3:$A$5001,AG$3,BD!$B$3:$B$5001,$A$123,BD!$AG$3:$AG$5001,"&lt;&gt;")=0,"",SUMIFS(BD!$AG$3:$AG$5001,BD!$A$3:$A$5001,AG$3,BD!$B$3:$B$5001,$A$123)))</f>
        <v/>
      </c>
      <c r="AH143" s="236" t="str">
        <f>IF(AH$3="","",IF(COUNTIFS(BD!$A$3:$A$5001,AH$3,BD!$B$3:$B$5001,$A$123,BD!$AG$3:$AG$5001,"&lt;&gt;")=0,"",SUMIFS(BD!$AG$3:$AG$5001,BD!$A$3:$A$5001,AH$3,BD!$B$3:$B$5001,$A$123)))</f>
        <v/>
      </c>
      <c r="AI143" s="236" t="str">
        <f>IF(AI$3="","",IF(COUNTIFS(BD!$A$3:$A$5001,AI$3,BD!$B$3:$B$5001,$A$123,BD!$AG$3:$AG$5001,"&lt;&gt;")=0,"",SUMIFS(BD!$AG$3:$AG$5001,BD!$A$3:$A$5001,AI$3,BD!$B$3:$B$5001,$A$123)))</f>
        <v/>
      </c>
      <c r="AJ143" s="237" t="str">
        <f>IF(AJ$3="","",IF(COUNTIFS(BD!$A$3:$A$5001,AJ$3,BD!$B$3:$B$5001,$A$123,BD!$AG$3:$AG$5001,"&lt;&gt;")=0,"",SUMIFS(BD!$AG$3:$AG$5001,BD!$A$3:$A$5001,AJ$3,BD!$B$3:$B$5001,$A$123)))</f>
        <v/>
      </c>
      <c r="AK143" s="238" t="str">
        <f>IF(COUNT(F143:AJ143)=0,"",SUM(F143:AJ143))</f>
        <v/>
      </c>
    </row>
    <row r="144" ht="15.75" customHeight="1">
      <c r="A144" s="262"/>
      <c r="B144" s="259"/>
      <c r="C144" s="243" t="inlineStr">
        <is>
          <t xml:space="preserve">Acidentes SAF</t>
        </is>
      </c>
      <c r="D144" s="244" t="str">
        <f>IFERROR(1/(1/INDEX(BD!$AL$55:$BF$55,MATCH($A$123,BD!$AL$22:$BF$22,0))),"")</f>
        <v/>
      </c>
      <c r="E144" s="245"/>
      <c r="F144" s="246" t="str">
        <f>IF(F$3="","",IF(COUNTIFS(BD!$A$3:$A$5001,F$3,BD!$B$3:$B$5001,$A$123,BD!$AH$3:$AH$5001,"&lt;&gt;")=0,"",SUMIFS(BD!$AH$3:$AH$5001,BD!$A$3:$A$5001,F$3,BD!$B$3:$B$5001,$A$123)))</f>
        <v/>
      </c>
      <c r="G144" s="247" t="str">
        <f>IF(G$3="","",IF(COUNTIFS(BD!$A$3:$A$5001,G$3,BD!$B$3:$B$5001,$A$123,BD!$AH$3:$AH$5001,"&lt;&gt;")=0,"",SUMIFS(BD!$AH$3:$AH$5001,BD!$A$3:$A$5001,G$3,BD!$B$3:$B$5001,$A$123)))</f>
        <v/>
      </c>
      <c r="H144" s="247" t="str">
        <f>IF(H$3="","",IF(COUNTIFS(BD!$A$3:$A$5001,H$3,BD!$B$3:$B$5001,$A$123,BD!$AH$3:$AH$5001,"&lt;&gt;")=0,"",SUMIFS(BD!$AH$3:$AH$5001,BD!$A$3:$A$5001,H$3,BD!$B$3:$B$5001,$A$123)))</f>
        <v/>
      </c>
      <c r="I144" s="247" t="str">
        <f>IF(I$3="","",IF(COUNTIFS(BD!$A$3:$A$5001,I$3,BD!$B$3:$B$5001,$A$123,BD!$AH$3:$AH$5001,"&lt;&gt;")=0,"",SUMIFS(BD!$AH$3:$AH$5001,BD!$A$3:$A$5001,I$3,BD!$B$3:$B$5001,$A$123)))</f>
        <v/>
      </c>
      <c r="J144" s="247" t="str">
        <f>IF(J$3="","",IF(COUNTIFS(BD!$A$3:$A$5001,J$3,BD!$B$3:$B$5001,$A$123,BD!$AH$3:$AH$5001,"&lt;&gt;")=0,"",SUMIFS(BD!$AH$3:$AH$5001,BD!$A$3:$A$5001,J$3,BD!$B$3:$B$5001,$A$123)))</f>
        <v/>
      </c>
      <c r="K144" s="247" t="str">
        <f>IF(K$3="","",IF(COUNTIFS(BD!$A$3:$A$5001,K$3,BD!$B$3:$B$5001,$A$123,BD!$AH$3:$AH$5001,"&lt;&gt;")=0,"",SUMIFS(BD!$AH$3:$AH$5001,BD!$A$3:$A$5001,K$3,BD!$B$3:$B$5001,$A$123)))</f>
        <v/>
      </c>
      <c r="L144" s="247" t="str">
        <f>IF(L$3="","",IF(COUNTIFS(BD!$A$3:$A$5001,L$3,BD!$B$3:$B$5001,$A$123,BD!$AH$3:$AH$5001,"&lt;&gt;")=0,"",SUMIFS(BD!$AH$3:$AH$5001,BD!$A$3:$A$5001,L$3,BD!$B$3:$B$5001,$A$123)))</f>
        <v/>
      </c>
      <c r="M144" s="247" t="str">
        <f>IF(M$3="","",IF(COUNTIFS(BD!$A$3:$A$5001,M$3,BD!$B$3:$B$5001,$A$123,BD!$AH$3:$AH$5001,"&lt;&gt;")=0,"",SUMIFS(BD!$AH$3:$AH$5001,BD!$A$3:$A$5001,M$3,BD!$B$3:$B$5001,$A$123)))</f>
        <v/>
      </c>
      <c r="N144" s="247" t="str">
        <f>IF(N$3="","",IF(COUNTIFS(BD!$A$3:$A$5001,N$3,BD!$B$3:$B$5001,$A$123,BD!$AH$3:$AH$5001,"&lt;&gt;")=0,"",SUMIFS(BD!$AH$3:$AH$5001,BD!$A$3:$A$5001,N$3,BD!$B$3:$B$5001,$A$123)))</f>
        <v/>
      </c>
      <c r="O144" s="247" t="str">
        <f>IF(O$3="","",IF(COUNTIFS(BD!$A$3:$A$5001,O$3,BD!$B$3:$B$5001,$A$123,BD!$AH$3:$AH$5001,"&lt;&gt;")=0,"",SUMIFS(BD!$AH$3:$AH$5001,BD!$A$3:$A$5001,O$3,BD!$B$3:$B$5001,$A$123)))</f>
        <v/>
      </c>
      <c r="P144" s="247" t="str">
        <f>IF(P$3="","",IF(COUNTIFS(BD!$A$3:$A$5001,P$3,BD!$B$3:$B$5001,$A$123,BD!$AH$3:$AH$5001,"&lt;&gt;")=0,"",SUMIFS(BD!$AH$3:$AH$5001,BD!$A$3:$A$5001,P$3,BD!$B$3:$B$5001,$A$123)))</f>
        <v/>
      </c>
      <c r="Q144" s="247" t="str">
        <f>IF(Q$3="","",IF(COUNTIFS(BD!$A$3:$A$5001,Q$3,BD!$B$3:$B$5001,$A$123,BD!$AH$3:$AH$5001,"&lt;&gt;")=0,"",SUMIFS(BD!$AH$3:$AH$5001,BD!$A$3:$A$5001,Q$3,BD!$B$3:$B$5001,$A$123)))</f>
        <v/>
      </c>
      <c r="R144" s="247" t="str">
        <f>IF(R$3="","",IF(COUNTIFS(BD!$A$3:$A$5001,R$3,BD!$B$3:$B$5001,$A$123,BD!$AH$3:$AH$5001,"&lt;&gt;")=0,"",SUMIFS(BD!$AH$3:$AH$5001,BD!$A$3:$A$5001,R$3,BD!$B$3:$B$5001,$A$123)))</f>
        <v/>
      </c>
      <c r="S144" s="247" t="str">
        <f>IF(S$3="","",IF(COUNTIFS(BD!$A$3:$A$5001,S$3,BD!$B$3:$B$5001,$A$123,BD!$AH$3:$AH$5001,"&lt;&gt;")=0,"",SUMIFS(BD!$AH$3:$AH$5001,BD!$A$3:$A$5001,S$3,BD!$B$3:$B$5001,$A$123)))</f>
        <v/>
      </c>
      <c r="T144" s="247" t="str">
        <f>IF(T$3="","",IF(COUNTIFS(BD!$A$3:$A$5001,T$3,BD!$B$3:$B$5001,$A$123,BD!$AH$3:$AH$5001,"&lt;&gt;")=0,"",SUMIFS(BD!$AH$3:$AH$5001,BD!$A$3:$A$5001,T$3,BD!$B$3:$B$5001,$A$123)))</f>
        <v/>
      </c>
      <c r="U144" s="247" t="str">
        <f>IF(U$3="","",IF(COUNTIFS(BD!$A$3:$A$5001,U$3,BD!$B$3:$B$5001,$A$123,BD!$AH$3:$AH$5001,"&lt;&gt;")=0,"",SUMIFS(BD!$AH$3:$AH$5001,BD!$A$3:$A$5001,U$3,BD!$B$3:$B$5001,$A$123)))</f>
        <v/>
      </c>
      <c r="V144" s="247" t="str">
        <f>IF(V$3="","",IF(COUNTIFS(BD!$A$3:$A$5001,V$3,BD!$B$3:$B$5001,$A$123,BD!$AH$3:$AH$5001,"&lt;&gt;")=0,"",SUMIFS(BD!$AH$3:$AH$5001,BD!$A$3:$A$5001,V$3,BD!$B$3:$B$5001,$A$123)))</f>
        <v/>
      </c>
      <c r="W144" s="247" t="str">
        <f>IF(W$3="","",IF(COUNTIFS(BD!$A$3:$A$5001,W$3,BD!$B$3:$B$5001,$A$123,BD!$AH$3:$AH$5001,"&lt;&gt;")=0,"",SUMIFS(BD!$AH$3:$AH$5001,BD!$A$3:$A$5001,W$3,BD!$B$3:$B$5001,$A$123)))</f>
        <v/>
      </c>
      <c r="X144" s="247" t="str">
        <f>IF(X$3="","",IF(COUNTIFS(BD!$A$3:$A$5001,X$3,BD!$B$3:$B$5001,$A$123,BD!$AH$3:$AH$5001,"&lt;&gt;")=0,"",SUMIFS(BD!$AH$3:$AH$5001,BD!$A$3:$A$5001,X$3,BD!$B$3:$B$5001,$A$123)))</f>
        <v/>
      </c>
      <c r="Y144" s="247" t="str">
        <f>IF(Y$3="","",IF(COUNTIFS(BD!$A$3:$A$5001,Y$3,BD!$B$3:$B$5001,$A$123,BD!$AH$3:$AH$5001,"&lt;&gt;")=0,"",SUMIFS(BD!$AH$3:$AH$5001,BD!$A$3:$A$5001,Y$3,BD!$B$3:$B$5001,$A$123)))</f>
        <v/>
      </c>
      <c r="Z144" s="247" t="str">
        <f>IF(Z$3="","",IF(COUNTIFS(BD!$A$3:$A$5001,Z$3,BD!$B$3:$B$5001,$A$123,BD!$AH$3:$AH$5001,"&lt;&gt;")=0,"",SUMIFS(BD!$AH$3:$AH$5001,BD!$A$3:$A$5001,Z$3,BD!$B$3:$B$5001,$A$123)))</f>
        <v/>
      </c>
      <c r="AA144" s="247" t="str">
        <f>IF(AA$3="","",IF(COUNTIFS(BD!$A$3:$A$5001,AA$3,BD!$B$3:$B$5001,$A$123,BD!$AH$3:$AH$5001,"&lt;&gt;")=0,"",SUMIFS(BD!$AH$3:$AH$5001,BD!$A$3:$A$5001,AA$3,BD!$B$3:$B$5001,$A$123)))</f>
        <v/>
      </c>
      <c r="AB144" s="247" t="str">
        <f>IF(AB$3="","",IF(COUNTIFS(BD!$A$3:$A$5001,AB$3,BD!$B$3:$B$5001,$A$123,BD!$AH$3:$AH$5001,"&lt;&gt;")=0,"",SUMIFS(BD!$AH$3:$AH$5001,BD!$A$3:$A$5001,AB$3,BD!$B$3:$B$5001,$A$123)))</f>
        <v/>
      </c>
      <c r="AC144" s="247" t="str">
        <f>IF(AC$3="","",IF(COUNTIFS(BD!$A$3:$A$5001,AC$3,BD!$B$3:$B$5001,$A$123,BD!$AH$3:$AH$5001,"&lt;&gt;")=0,"",SUMIFS(BD!$AH$3:$AH$5001,BD!$A$3:$A$5001,AC$3,BD!$B$3:$B$5001,$A$123)))</f>
        <v/>
      </c>
      <c r="AD144" s="247" t="str">
        <f>IF(AD$3="","",IF(COUNTIFS(BD!$A$3:$A$5001,AD$3,BD!$B$3:$B$5001,$A$123,BD!$AH$3:$AH$5001,"&lt;&gt;")=0,"",SUMIFS(BD!$AH$3:$AH$5001,BD!$A$3:$A$5001,AD$3,BD!$B$3:$B$5001,$A$123)))</f>
        <v/>
      </c>
      <c r="AE144" s="247" t="str">
        <f>IF(AE$3="","",IF(COUNTIFS(BD!$A$3:$A$5001,AE$3,BD!$B$3:$B$5001,$A$123,BD!$AH$3:$AH$5001,"&lt;&gt;")=0,"",SUMIFS(BD!$AH$3:$AH$5001,BD!$A$3:$A$5001,AE$3,BD!$B$3:$B$5001,$A$123)))</f>
        <v/>
      </c>
      <c r="AF144" s="247" t="str">
        <f>IF(AF$3="","",IF(COUNTIFS(BD!$A$3:$A$5001,AF$3,BD!$B$3:$B$5001,$A$123,BD!$AH$3:$AH$5001,"&lt;&gt;")=0,"",SUMIFS(BD!$AH$3:$AH$5001,BD!$A$3:$A$5001,AF$3,BD!$B$3:$B$5001,$A$123)))</f>
        <v/>
      </c>
      <c r="AG144" s="247" t="str">
        <f>IF(AG$3="","",IF(COUNTIFS(BD!$A$3:$A$5001,AG$3,BD!$B$3:$B$5001,$A$123,BD!$AH$3:$AH$5001,"&lt;&gt;")=0,"",SUMIFS(BD!$AH$3:$AH$5001,BD!$A$3:$A$5001,AG$3,BD!$B$3:$B$5001,$A$123)))</f>
        <v/>
      </c>
      <c r="AH144" s="247" t="str">
        <f>IF(AH$3="","",IF(COUNTIFS(BD!$A$3:$A$5001,AH$3,BD!$B$3:$B$5001,$A$123,BD!$AH$3:$AH$5001,"&lt;&gt;")=0,"",SUMIFS(BD!$AH$3:$AH$5001,BD!$A$3:$A$5001,AH$3,BD!$B$3:$B$5001,$A$123)))</f>
        <v/>
      </c>
      <c r="AI144" s="247" t="str">
        <f>IF(AI$3="","",IF(COUNTIFS(BD!$A$3:$A$5001,AI$3,BD!$B$3:$B$5001,$A$123,BD!$AH$3:$AH$5001,"&lt;&gt;")=0,"",SUMIFS(BD!$AH$3:$AH$5001,BD!$A$3:$A$5001,AI$3,BD!$B$3:$B$5001,$A$123)))</f>
        <v/>
      </c>
      <c r="AJ144" s="248" t="str">
        <f>IF(AJ$3="","",IF(COUNTIFS(BD!$A$3:$A$5001,AJ$3,BD!$B$3:$B$5001,$A$123,BD!$AH$3:$AH$5001,"&lt;&gt;")=0,"",SUMIFS(BD!$AH$3:$AH$5001,BD!$A$3:$A$5001,AJ$3,BD!$B$3:$B$5001,$A$123)))</f>
        <v/>
      </c>
      <c r="AK144" s="244" t="str">
        <f>IF(COUNT(F144:AJ144)=0,"",SUM(F144:AJ144))</f>
        <v/>
      </c>
    </row>
    <row r="146" ht="15.75" customHeight="1">
      <c r="A146" s="260" t="inlineStr">
        <is>
          <t xml:space="preserve">Omnilife</t>
        </is>
      </c>
      <c r="B146" s="249" t="inlineStr">
        <is>
          <t xml:space="preserve">IN</t>
        </is>
      </c>
      <c r="C146" s="168" t="inlineStr">
        <is>
          <t xml:space="preserve">Veículos Recebidos</t>
        </is>
      </c>
      <c r="D146" s="169" t="str">
        <f>IFERROR(1/(1/INDEX(BD!$AL$23:$BF$23,MATCH($A$146,BD!$AL$22:$BF$22,0))),"")</f>
        <v/>
      </c>
      <c r="E146" s="170"/>
      <c r="F146" s="171" t="str">
        <f>IF(F$3="","",IF(COUNTIFS(BD!$A$3:$A$5001,F$3,BD!$B$3:$B$5001,$A$146,BD!$C$3:$C$5001,"&lt;&gt;")=0,"",SUMIFS(BD!$C$3:$C$5001,BD!$A$3:$A$5001,F$3,BD!$B$3:$B$5001,$A$146)))</f>
        <v/>
      </c>
      <c r="G146" s="172" t="str">
        <f>IF(G$3="","",IF(COUNTIFS(BD!$A$3:$A$5001,G$3,BD!$B$3:$B$5001,$A$146,BD!$C$3:$C$5001,"&lt;&gt;")=0,"",SUMIFS(BD!$C$3:$C$5001,BD!$A$3:$A$5001,G$3,BD!$B$3:$B$5001,$A$146)))</f>
        <v/>
      </c>
      <c r="H146" s="172" t="str">
        <f>IF(H$3="","",IF(COUNTIFS(BD!$A$3:$A$5001,H$3,BD!$B$3:$B$5001,$A$146,BD!$C$3:$C$5001,"&lt;&gt;")=0,"",SUMIFS(BD!$C$3:$C$5001,BD!$A$3:$A$5001,H$3,BD!$B$3:$B$5001,$A$146)))</f>
        <v/>
      </c>
      <c r="I146" s="172" t="str">
        <f>IF(I$3="","",IF(COUNTIFS(BD!$A$3:$A$5001,I$3,BD!$B$3:$B$5001,$A$146,BD!$C$3:$C$5001,"&lt;&gt;")=0,"",SUMIFS(BD!$C$3:$C$5001,BD!$A$3:$A$5001,I$3,BD!$B$3:$B$5001,$A$146)))</f>
        <v/>
      </c>
      <c r="J146" s="172" t="str">
        <f>IF(J$3="","",IF(COUNTIFS(BD!$A$3:$A$5001,J$3,BD!$B$3:$B$5001,$A$146,BD!$C$3:$C$5001,"&lt;&gt;")=0,"",SUMIFS(BD!$C$3:$C$5001,BD!$A$3:$A$5001,J$3,BD!$B$3:$B$5001,$A$146)))</f>
        <v/>
      </c>
      <c r="K146" s="172" t="str">
        <f>IF(K$3="","",IF(COUNTIFS(BD!$A$3:$A$5001,K$3,BD!$B$3:$B$5001,$A$146,BD!$C$3:$C$5001,"&lt;&gt;")=0,"",SUMIFS(BD!$C$3:$C$5001,BD!$A$3:$A$5001,K$3,BD!$B$3:$B$5001,$A$146)))</f>
        <v/>
      </c>
      <c r="L146" s="172" t="str">
        <f>IF(L$3="","",IF(COUNTIFS(BD!$A$3:$A$5001,L$3,BD!$B$3:$B$5001,$A$146,BD!$C$3:$C$5001,"&lt;&gt;")=0,"",SUMIFS(BD!$C$3:$C$5001,BD!$A$3:$A$5001,L$3,BD!$B$3:$B$5001,$A$146)))</f>
        <v/>
      </c>
      <c r="M146" s="172" t="str">
        <f>IF(M$3="","",IF(COUNTIFS(BD!$A$3:$A$5001,M$3,BD!$B$3:$B$5001,$A$146,BD!$C$3:$C$5001,"&lt;&gt;")=0,"",SUMIFS(BD!$C$3:$C$5001,BD!$A$3:$A$5001,M$3,BD!$B$3:$B$5001,$A$146)))</f>
        <v/>
      </c>
      <c r="N146" s="172" t="str">
        <f>IF(N$3="","",IF(COUNTIFS(BD!$A$3:$A$5001,N$3,BD!$B$3:$B$5001,$A$146,BD!$C$3:$C$5001,"&lt;&gt;")=0,"",SUMIFS(BD!$C$3:$C$5001,BD!$A$3:$A$5001,N$3,BD!$B$3:$B$5001,$A$146)))</f>
        <v/>
      </c>
      <c r="O146" s="172" t="str">
        <f>IF(O$3="","",IF(COUNTIFS(BD!$A$3:$A$5001,O$3,BD!$B$3:$B$5001,$A$146,BD!$C$3:$C$5001,"&lt;&gt;")=0,"",SUMIFS(BD!$C$3:$C$5001,BD!$A$3:$A$5001,O$3,BD!$B$3:$B$5001,$A$146)))</f>
        <v/>
      </c>
      <c r="P146" s="172" t="str">
        <f>IF(P$3="","",IF(COUNTIFS(BD!$A$3:$A$5001,P$3,BD!$B$3:$B$5001,$A$146,BD!$C$3:$C$5001,"&lt;&gt;")=0,"",SUMIFS(BD!$C$3:$C$5001,BD!$A$3:$A$5001,P$3,BD!$B$3:$B$5001,$A$146)))</f>
        <v/>
      </c>
      <c r="Q146" s="172" t="str">
        <f>IF(Q$3="","",IF(COUNTIFS(BD!$A$3:$A$5001,Q$3,BD!$B$3:$B$5001,$A$146,BD!$C$3:$C$5001,"&lt;&gt;")=0,"",SUMIFS(BD!$C$3:$C$5001,BD!$A$3:$A$5001,Q$3,BD!$B$3:$B$5001,$A$146)))</f>
        <v/>
      </c>
      <c r="R146" s="172" t="str">
        <f>IF(R$3="","",IF(COUNTIFS(BD!$A$3:$A$5001,R$3,BD!$B$3:$B$5001,$A$146,BD!$C$3:$C$5001,"&lt;&gt;")=0,"",SUMIFS(BD!$C$3:$C$5001,BD!$A$3:$A$5001,R$3,BD!$B$3:$B$5001,$A$146)))</f>
        <v/>
      </c>
      <c r="S146" s="172" t="str">
        <f>IF(S$3="","",IF(COUNTIFS(BD!$A$3:$A$5001,S$3,BD!$B$3:$B$5001,$A$146,BD!$C$3:$C$5001,"&lt;&gt;")=0,"",SUMIFS(BD!$C$3:$C$5001,BD!$A$3:$A$5001,S$3,BD!$B$3:$B$5001,$A$146)))</f>
        <v/>
      </c>
      <c r="T146" s="172" t="str">
        <f>IF(T$3="","",IF(COUNTIFS(BD!$A$3:$A$5001,T$3,BD!$B$3:$B$5001,$A$146,BD!$C$3:$C$5001,"&lt;&gt;")=0,"",SUMIFS(BD!$C$3:$C$5001,BD!$A$3:$A$5001,T$3,BD!$B$3:$B$5001,$A$146)))</f>
        <v/>
      </c>
      <c r="U146" s="172" t="str">
        <f>IF(U$3="","",IF(COUNTIFS(BD!$A$3:$A$5001,U$3,BD!$B$3:$B$5001,$A$146,BD!$C$3:$C$5001,"&lt;&gt;")=0,"",SUMIFS(BD!$C$3:$C$5001,BD!$A$3:$A$5001,U$3,BD!$B$3:$B$5001,$A$146)))</f>
        <v/>
      </c>
      <c r="V146" s="172" t="str">
        <f>IF(V$3="","",IF(COUNTIFS(BD!$A$3:$A$5001,V$3,BD!$B$3:$B$5001,$A$146,BD!$C$3:$C$5001,"&lt;&gt;")=0,"",SUMIFS(BD!$C$3:$C$5001,BD!$A$3:$A$5001,V$3,BD!$B$3:$B$5001,$A$146)))</f>
        <v/>
      </c>
      <c r="W146" s="172" t="str">
        <f>IF(W$3="","",IF(COUNTIFS(BD!$A$3:$A$5001,W$3,BD!$B$3:$B$5001,$A$146,BD!$C$3:$C$5001,"&lt;&gt;")=0,"",SUMIFS(BD!$C$3:$C$5001,BD!$A$3:$A$5001,W$3,BD!$B$3:$B$5001,$A$146)))</f>
        <v/>
      </c>
      <c r="X146" s="172" t="str">
        <f>IF(X$3="","",IF(COUNTIFS(BD!$A$3:$A$5001,X$3,BD!$B$3:$B$5001,$A$146,BD!$C$3:$C$5001,"&lt;&gt;")=0,"",SUMIFS(BD!$C$3:$C$5001,BD!$A$3:$A$5001,X$3,BD!$B$3:$B$5001,$A$146)))</f>
        <v/>
      </c>
      <c r="Y146" s="172" t="str">
        <f>IF(Y$3="","",IF(COUNTIFS(BD!$A$3:$A$5001,Y$3,BD!$B$3:$B$5001,$A$146,BD!$C$3:$C$5001,"&lt;&gt;")=0,"",SUMIFS(BD!$C$3:$C$5001,BD!$A$3:$A$5001,Y$3,BD!$B$3:$B$5001,$A$146)))</f>
        <v/>
      </c>
      <c r="Z146" s="172" t="str">
        <f>IF(Z$3="","",IF(COUNTIFS(BD!$A$3:$A$5001,Z$3,BD!$B$3:$B$5001,$A$146,BD!$C$3:$C$5001,"&lt;&gt;")=0,"",SUMIFS(BD!$C$3:$C$5001,BD!$A$3:$A$5001,Z$3,BD!$B$3:$B$5001,$A$146)))</f>
        <v/>
      </c>
      <c r="AA146" s="172" t="str">
        <f>IF(AA$3="","",IF(COUNTIFS(BD!$A$3:$A$5001,AA$3,BD!$B$3:$B$5001,$A$146,BD!$C$3:$C$5001,"&lt;&gt;")=0,"",SUMIFS(BD!$C$3:$C$5001,BD!$A$3:$A$5001,AA$3,BD!$B$3:$B$5001,$A$146)))</f>
        <v/>
      </c>
      <c r="AB146" s="172" t="str">
        <f>IF(AB$3="","",IF(COUNTIFS(BD!$A$3:$A$5001,AB$3,BD!$B$3:$B$5001,$A$146,BD!$C$3:$C$5001,"&lt;&gt;")=0,"",SUMIFS(BD!$C$3:$C$5001,BD!$A$3:$A$5001,AB$3,BD!$B$3:$B$5001,$A$146)))</f>
        <v/>
      </c>
      <c r="AC146" s="172" t="str">
        <f>IF(AC$3="","",IF(COUNTIFS(BD!$A$3:$A$5001,AC$3,BD!$B$3:$B$5001,$A$146,BD!$C$3:$C$5001,"&lt;&gt;")=0,"",SUMIFS(BD!$C$3:$C$5001,BD!$A$3:$A$5001,AC$3,BD!$B$3:$B$5001,$A$146)))</f>
        <v/>
      </c>
      <c r="AD146" s="172" t="str">
        <f>IF(AD$3="","",IF(COUNTIFS(BD!$A$3:$A$5001,AD$3,BD!$B$3:$B$5001,$A$146,BD!$C$3:$C$5001,"&lt;&gt;")=0,"",SUMIFS(BD!$C$3:$C$5001,BD!$A$3:$A$5001,AD$3,BD!$B$3:$B$5001,$A$146)))</f>
        <v/>
      </c>
      <c r="AE146" s="172" t="str">
        <f>IF(AE$3="","",IF(COUNTIFS(BD!$A$3:$A$5001,AE$3,BD!$B$3:$B$5001,$A$146,BD!$C$3:$C$5001,"&lt;&gt;")=0,"",SUMIFS(BD!$C$3:$C$5001,BD!$A$3:$A$5001,AE$3,BD!$B$3:$B$5001,$A$146)))</f>
        <v/>
      </c>
      <c r="AF146" s="172" t="str">
        <f>IF(AF$3="","",IF(COUNTIFS(BD!$A$3:$A$5001,AF$3,BD!$B$3:$B$5001,$A$146,BD!$C$3:$C$5001,"&lt;&gt;")=0,"",SUMIFS(BD!$C$3:$C$5001,BD!$A$3:$A$5001,AF$3,BD!$B$3:$B$5001,$A$146)))</f>
        <v/>
      </c>
      <c r="AG146" s="172" t="str">
        <f>IF(AG$3="","",IF(COUNTIFS(BD!$A$3:$A$5001,AG$3,BD!$B$3:$B$5001,$A$146,BD!$C$3:$C$5001,"&lt;&gt;")=0,"",SUMIFS(BD!$C$3:$C$5001,BD!$A$3:$A$5001,AG$3,BD!$B$3:$B$5001,$A$146)))</f>
        <v/>
      </c>
      <c r="AH146" s="172" t="str">
        <f>IF(AH$3="","",IF(COUNTIFS(BD!$A$3:$A$5001,AH$3,BD!$B$3:$B$5001,$A$146,BD!$C$3:$C$5001,"&lt;&gt;")=0,"",SUMIFS(BD!$C$3:$C$5001,BD!$A$3:$A$5001,AH$3,BD!$B$3:$B$5001,$A$146)))</f>
        <v/>
      </c>
      <c r="AI146" s="172" t="str">
        <f>IF(AI$3="","",IF(COUNTIFS(BD!$A$3:$A$5001,AI$3,BD!$B$3:$B$5001,$A$146,BD!$C$3:$C$5001,"&lt;&gt;")=0,"",SUMIFS(BD!$C$3:$C$5001,BD!$A$3:$A$5001,AI$3,BD!$B$3:$B$5001,$A$146)))</f>
        <v/>
      </c>
      <c r="AJ146" s="173" t="str">
        <f>IF(AJ$3="","",IF(COUNTIFS(BD!$A$3:$A$5001,AJ$3,BD!$B$3:$B$5001,$A$146,BD!$C$3:$C$5001,"&lt;&gt;")=0,"",SUMIFS(BD!$C$3:$C$5001,BD!$A$3:$A$5001,AJ$3,BD!$B$3:$B$5001,$A$146)))</f>
        <v/>
      </c>
      <c r="AK146" s="174" t="str">
        <f>IF(COUNT(F146:AJ146)=0,"",SUM(F146:AJ146))</f>
        <v/>
      </c>
    </row>
    <row r="147" ht="15.75" customHeight="1">
      <c r="A147" s="261"/>
      <c r="B147" s="250"/>
      <c r="C147" s="175" t="inlineStr">
        <is>
          <t xml:space="preserve">Pallets Movimentados</t>
        </is>
      </c>
      <c r="D147" s="176" t="str">
        <f>IFERROR(1/(1/INDEX(BD!$AL$24:$BF$24,MATCH($A$146,BD!$AL$22:$BF$22,0))),"")</f>
        <v/>
      </c>
      <c r="E147" s="177"/>
      <c r="F147" s="178" t="str">
        <f>IF(F$3="","",IF(COUNTIFS(BD!$A$3:$A$5001,F$3,BD!$B$3:$B$5001,$A$146,BD!$D$3:$D$5001,"&lt;&gt;")=0,"",SUMIFS(BD!$D$3:$D$5001,BD!$A$3:$A$5001,F$3,BD!$B$3:$B$5001,$A$146)))</f>
        <v/>
      </c>
      <c r="G147" s="179" t="str">
        <f>IF(G$3="","",IF(COUNTIFS(BD!$A$3:$A$5001,G$3,BD!$B$3:$B$5001,$A$146,BD!$D$3:$D$5001,"&lt;&gt;")=0,"",SUMIFS(BD!$D$3:$D$5001,BD!$A$3:$A$5001,G$3,BD!$B$3:$B$5001,$A$146)))</f>
        <v/>
      </c>
      <c r="H147" s="179" t="str">
        <f>IF(H$3="","",IF(COUNTIFS(BD!$A$3:$A$5001,H$3,BD!$B$3:$B$5001,$A$146,BD!$D$3:$D$5001,"&lt;&gt;")=0,"",SUMIFS(BD!$D$3:$D$5001,BD!$A$3:$A$5001,H$3,BD!$B$3:$B$5001,$A$146)))</f>
        <v/>
      </c>
      <c r="I147" s="179" t="str">
        <f>IF(I$3="","",IF(COUNTIFS(BD!$A$3:$A$5001,I$3,BD!$B$3:$B$5001,$A$146,BD!$D$3:$D$5001,"&lt;&gt;")=0,"",SUMIFS(BD!$D$3:$D$5001,BD!$A$3:$A$5001,I$3,BD!$B$3:$B$5001,$A$146)))</f>
        <v/>
      </c>
      <c r="J147" s="179" t="str">
        <f>IF(J$3="","",IF(COUNTIFS(BD!$A$3:$A$5001,J$3,BD!$B$3:$B$5001,$A$146,BD!$D$3:$D$5001,"&lt;&gt;")=0,"",SUMIFS(BD!$D$3:$D$5001,BD!$A$3:$A$5001,J$3,BD!$B$3:$B$5001,$A$146)))</f>
        <v/>
      </c>
      <c r="K147" s="179" t="str">
        <f>IF(K$3="","",IF(COUNTIFS(BD!$A$3:$A$5001,K$3,BD!$B$3:$B$5001,$A$146,BD!$D$3:$D$5001,"&lt;&gt;")=0,"",SUMIFS(BD!$D$3:$D$5001,BD!$A$3:$A$5001,K$3,BD!$B$3:$B$5001,$A$146)))</f>
        <v/>
      </c>
      <c r="L147" s="179" t="str">
        <f>IF(L$3="","",IF(COUNTIFS(BD!$A$3:$A$5001,L$3,BD!$B$3:$B$5001,$A$146,BD!$D$3:$D$5001,"&lt;&gt;")=0,"",SUMIFS(BD!$D$3:$D$5001,BD!$A$3:$A$5001,L$3,BD!$B$3:$B$5001,$A$146)))</f>
        <v/>
      </c>
      <c r="M147" s="179" t="str">
        <f>IF(M$3="","",IF(COUNTIFS(BD!$A$3:$A$5001,M$3,BD!$B$3:$B$5001,$A$146,BD!$D$3:$D$5001,"&lt;&gt;")=0,"",SUMIFS(BD!$D$3:$D$5001,BD!$A$3:$A$5001,M$3,BD!$B$3:$B$5001,$A$146)))</f>
        <v/>
      </c>
      <c r="N147" s="179" t="str">
        <f>IF(N$3="","",IF(COUNTIFS(BD!$A$3:$A$5001,N$3,BD!$B$3:$B$5001,$A$146,BD!$D$3:$D$5001,"&lt;&gt;")=0,"",SUMIFS(BD!$D$3:$D$5001,BD!$A$3:$A$5001,N$3,BD!$B$3:$B$5001,$A$146)))</f>
        <v/>
      </c>
      <c r="O147" s="179" t="str">
        <f>IF(O$3="","",IF(COUNTIFS(BD!$A$3:$A$5001,O$3,BD!$B$3:$B$5001,$A$146,BD!$D$3:$D$5001,"&lt;&gt;")=0,"",SUMIFS(BD!$D$3:$D$5001,BD!$A$3:$A$5001,O$3,BD!$B$3:$B$5001,$A$146)))</f>
        <v/>
      </c>
      <c r="P147" s="179" t="str">
        <f>IF(P$3="","",IF(COUNTIFS(BD!$A$3:$A$5001,P$3,BD!$B$3:$B$5001,$A$146,BD!$D$3:$D$5001,"&lt;&gt;")=0,"",SUMIFS(BD!$D$3:$D$5001,BD!$A$3:$A$5001,P$3,BD!$B$3:$B$5001,$A$146)))</f>
        <v/>
      </c>
      <c r="Q147" s="179" t="str">
        <f>IF(Q$3="","",IF(COUNTIFS(BD!$A$3:$A$5001,Q$3,BD!$B$3:$B$5001,$A$146,BD!$D$3:$D$5001,"&lt;&gt;")=0,"",SUMIFS(BD!$D$3:$D$5001,BD!$A$3:$A$5001,Q$3,BD!$B$3:$B$5001,$A$146)))</f>
        <v/>
      </c>
      <c r="R147" s="179" t="str">
        <f>IF(R$3="","",IF(COUNTIFS(BD!$A$3:$A$5001,R$3,BD!$B$3:$B$5001,$A$146,BD!$D$3:$D$5001,"&lt;&gt;")=0,"",SUMIFS(BD!$D$3:$D$5001,BD!$A$3:$A$5001,R$3,BD!$B$3:$B$5001,$A$146)))</f>
        <v/>
      </c>
      <c r="S147" s="179" t="str">
        <f>IF(S$3="","",IF(COUNTIFS(BD!$A$3:$A$5001,S$3,BD!$B$3:$B$5001,$A$146,BD!$D$3:$D$5001,"&lt;&gt;")=0,"",SUMIFS(BD!$D$3:$D$5001,BD!$A$3:$A$5001,S$3,BD!$B$3:$B$5001,$A$146)))</f>
        <v/>
      </c>
      <c r="T147" s="179" t="str">
        <f>IF(T$3="","",IF(COUNTIFS(BD!$A$3:$A$5001,T$3,BD!$B$3:$B$5001,$A$146,BD!$D$3:$D$5001,"&lt;&gt;")=0,"",SUMIFS(BD!$D$3:$D$5001,BD!$A$3:$A$5001,T$3,BD!$B$3:$B$5001,$A$146)))</f>
        <v/>
      </c>
      <c r="U147" s="179" t="str">
        <f>IF(U$3="","",IF(COUNTIFS(BD!$A$3:$A$5001,U$3,BD!$B$3:$B$5001,$A$146,BD!$D$3:$D$5001,"&lt;&gt;")=0,"",SUMIFS(BD!$D$3:$D$5001,BD!$A$3:$A$5001,U$3,BD!$B$3:$B$5001,$A$146)))</f>
        <v/>
      </c>
      <c r="V147" s="179" t="str">
        <f>IF(V$3="","",IF(COUNTIFS(BD!$A$3:$A$5001,V$3,BD!$B$3:$B$5001,$A$146,BD!$D$3:$D$5001,"&lt;&gt;")=0,"",SUMIFS(BD!$D$3:$D$5001,BD!$A$3:$A$5001,V$3,BD!$B$3:$B$5001,$A$146)))</f>
        <v/>
      </c>
      <c r="W147" s="179" t="str">
        <f>IF(W$3="","",IF(COUNTIFS(BD!$A$3:$A$5001,W$3,BD!$B$3:$B$5001,$A$146,BD!$D$3:$D$5001,"&lt;&gt;")=0,"",SUMIFS(BD!$D$3:$D$5001,BD!$A$3:$A$5001,W$3,BD!$B$3:$B$5001,$A$146)))</f>
        <v/>
      </c>
      <c r="X147" s="179" t="str">
        <f>IF(X$3="","",IF(COUNTIFS(BD!$A$3:$A$5001,X$3,BD!$B$3:$B$5001,$A$146,BD!$D$3:$D$5001,"&lt;&gt;")=0,"",SUMIFS(BD!$D$3:$D$5001,BD!$A$3:$A$5001,X$3,BD!$B$3:$B$5001,$A$146)))</f>
        <v/>
      </c>
      <c r="Y147" s="179" t="str">
        <f>IF(Y$3="","",IF(COUNTIFS(BD!$A$3:$A$5001,Y$3,BD!$B$3:$B$5001,$A$146,BD!$D$3:$D$5001,"&lt;&gt;")=0,"",SUMIFS(BD!$D$3:$D$5001,BD!$A$3:$A$5001,Y$3,BD!$B$3:$B$5001,$A$146)))</f>
        <v/>
      </c>
      <c r="Z147" s="179" t="str">
        <f>IF(Z$3="","",IF(COUNTIFS(BD!$A$3:$A$5001,Z$3,BD!$B$3:$B$5001,$A$146,BD!$D$3:$D$5001,"&lt;&gt;")=0,"",SUMIFS(BD!$D$3:$D$5001,BD!$A$3:$A$5001,Z$3,BD!$B$3:$B$5001,$A$146)))</f>
        <v/>
      </c>
      <c r="AA147" s="179" t="str">
        <f>IF(AA$3="","",IF(COUNTIFS(BD!$A$3:$A$5001,AA$3,BD!$B$3:$B$5001,$A$146,BD!$D$3:$D$5001,"&lt;&gt;")=0,"",SUMIFS(BD!$D$3:$D$5001,BD!$A$3:$A$5001,AA$3,BD!$B$3:$B$5001,$A$146)))</f>
        <v/>
      </c>
      <c r="AB147" s="179" t="str">
        <f>IF(AB$3="","",IF(COUNTIFS(BD!$A$3:$A$5001,AB$3,BD!$B$3:$B$5001,$A$146,BD!$D$3:$D$5001,"&lt;&gt;")=0,"",SUMIFS(BD!$D$3:$D$5001,BD!$A$3:$A$5001,AB$3,BD!$B$3:$B$5001,$A$146)))</f>
        <v/>
      </c>
      <c r="AC147" s="179" t="str">
        <f>IF(AC$3="","",IF(COUNTIFS(BD!$A$3:$A$5001,AC$3,BD!$B$3:$B$5001,$A$146,BD!$D$3:$D$5001,"&lt;&gt;")=0,"",SUMIFS(BD!$D$3:$D$5001,BD!$A$3:$A$5001,AC$3,BD!$B$3:$B$5001,$A$146)))</f>
        <v/>
      </c>
      <c r="AD147" s="179" t="str">
        <f>IF(AD$3="","",IF(COUNTIFS(BD!$A$3:$A$5001,AD$3,BD!$B$3:$B$5001,$A$146,BD!$D$3:$D$5001,"&lt;&gt;")=0,"",SUMIFS(BD!$D$3:$D$5001,BD!$A$3:$A$5001,AD$3,BD!$B$3:$B$5001,$A$146)))</f>
        <v/>
      </c>
      <c r="AE147" s="179" t="str">
        <f>IF(AE$3="","",IF(COUNTIFS(BD!$A$3:$A$5001,AE$3,BD!$B$3:$B$5001,$A$146,BD!$D$3:$D$5001,"&lt;&gt;")=0,"",SUMIFS(BD!$D$3:$D$5001,BD!$A$3:$A$5001,AE$3,BD!$B$3:$B$5001,$A$146)))</f>
        <v/>
      </c>
      <c r="AF147" s="179" t="str">
        <f>IF(AF$3="","",IF(COUNTIFS(BD!$A$3:$A$5001,AF$3,BD!$B$3:$B$5001,$A$146,BD!$D$3:$D$5001,"&lt;&gt;")=0,"",SUMIFS(BD!$D$3:$D$5001,BD!$A$3:$A$5001,AF$3,BD!$B$3:$B$5001,$A$146)))</f>
        <v/>
      </c>
      <c r="AG147" s="179" t="str">
        <f>IF(AG$3="","",IF(COUNTIFS(BD!$A$3:$A$5001,AG$3,BD!$B$3:$B$5001,$A$146,BD!$D$3:$D$5001,"&lt;&gt;")=0,"",SUMIFS(BD!$D$3:$D$5001,BD!$A$3:$A$5001,AG$3,BD!$B$3:$B$5001,$A$146)))</f>
        <v/>
      </c>
      <c r="AH147" s="179" t="str">
        <f>IF(AH$3="","",IF(COUNTIFS(BD!$A$3:$A$5001,AH$3,BD!$B$3:$B$5001,$A$146,BD!$D$3:$D$5001,"&lt;&gt;")=0,"",SUMIFS(BD!$D$3:$D$5001,BD!$A$3:$A$5001,AH$3,BD!$B$3:$B$5001,$A$146)))</f>
        <v/>
      </c>
      <c r="AI147" s="179" t="str">
        <f>IF(AI$3="","",IF(COUNTIFS(BD!$A$3:$A$5001,AI$3,BD!$B$3:$B$5001,$A$146,BD!$D$3:$D$5001,"&lt;&gt;")=0,"",SUMIFS(BD!$D$3:$D$5001,BD!$A$3:$A$5001,AI$3,BD!$B$3:$B$5001,$A$146)))</f>
        <v/>
      </c>
      <c r="AJ147" s="180" t="str">
        <f>IF(AJ$3="","",IF(COUNTIFS(BD!$A$3:$A$5001,AJ$3,BD!$B$3:$B$5001,$A$146,BD!$D$3:$D$5001,"&lt;&gt;")=0,"",SUMIFS(BD!$D$3:$D$5001,BD!$A$3:$A$5001,AJ$3,BD!$B$3:$B$5001,$A$146)))</f>
        <v/>
      </c>
      <c r="AK147" s="176" t="str">
        <f>IF(COUNT(F147:AJ147)=0,"",SUM(F147:AJ147))</f>
        <v/>
      </c>
    </row>
    <row r="148" ht="15.75" customHeight="1">
      <c r="A148" s="261"/>
      <c r="B148" s="251" t="inlineStr">
        <is>
          <t xml:space="preserve">OUT</t>
        </is>
      </c>
      <c r="C148" s="181" t="inlineStr">
        <is>
          <t xml:space="preserve">Veículos Expedidos</t>
        </is>
      </c>
      <c r="D148" s="182" t="str">
        <f>IFERROR(1/(1/INDEX(BD!$AL$32:$BF$32,MATCH($A$146,BD!$AL$22:$BF$22,0))),"")</f>
        <v/>
      </c>
      <c r="E148" s="183"/>
      <c r="F148" s="184" t="str">
        <f>IF(F$3="","",IF(COUNTIFS(BD!$A$3:$A$5001,F$3,BD!$B$3:$B$5001,$A$146,BD!$L$3:$L$5001,"&lt;&gt;")=0,"",SUMIFS(BD!$L$3:$L$5001,BD!$A$3:$A$5001,F$3,BD!$B$3:$B$5001,$A$146)))</f>
        <v/>
      </c>
      <c r="G148" s="185" t="str">
        <f>IF(G$3="","",IF(COUNTIFS(BD!$A$3:$A$5001,G$3,BD!$B$3:$B$5001,$A$146,BD!$L$3:$L$5001,"&lt;&gt;")=0,"",SUMIFS(BD!$L$3:$L$5001,BD!$A$3:$A$5001,G$3,BD!$B$3:$B$5001,$A$146)))</f>
        <v/>
      </c>
      <c r="H148" s="185" t="str">
        <f>IF(H$3="","",IF(COUNTIFS(BD!$A$3:$A$5001,H$3,BD!$B$3:$B$5001,$A$146,BD!$L$3:$L$5001,"&lt;&gt;")=0,"",SUMIFS(BD!$L$3:$L$5001,BD!$A$3:$A$5001,H$3,BD!$B$3:$B$5001,$A$146)))</f>
        <v/>
      </c>
      <c r="I148" s="185" t="str">
        <f>IF(I$3="","",IF(COUNTIFS(BD!$A$3:$A$5001,I$3,BD!$B$3:$B$5001,$A$146,BD!$L$3:$L$5001,"&lt;&gt;")=0,"",SUMIFS(BD!$L$3:$L$5001,BD!$A$3:$A$5001,I$3,BD!$B$3:$B$5001,$A$146)))</f>
        <v/>
      </c>
      <c r="J148" s="185" t="str">
        <f>IF(J$3="","",IF(COUNTIFS(BD!$A$3:$A$5001,J$3,BD!$B$3:$B$5001,$A$146,BD!$L$3:$L$5001,"&lt;&gt;")=0,"",SUMIFS(BD!$L$3:$L$5001,BD!$A$3:$A$5001,J$3,BD!$B$3:$B$5001,$A$146)))</f>
        <v/>
      </c>
      <c r="K148" s="185" t="str">
        <f>IF(K$3="","",IF(COUNTIFS(BD!$A$3:$A$5001,K$3,BD!$B$3:$B$5001,$A$146,BD!$L$3:$L$5001,"&lt;&gt;")=0,"",SUMIFS(BD!$L$3:$L$5001,BD!$A$3:$A$5001,K$3,BD!$B$3:$B$5001,$A$146)))</f>
        <v/>
      </c>
      <c r="L148" s="185" t="str">
        <f>IF(L$3="","",IF(COUNTIFS(BD!$A$3:$A$5001,L$3,BD!$B$3:$B$5001,$A$146,BD!$L$3:$L$5001,"&lt;&gt;")=0,"",SUMIFS(BD!$L$3:$L$5001,BD!$A$3:$A$5001,L$3,BD!$B$3:$B$5001,$A$146)))</f>
        <v/>
      </c>
      <c r="M148" s="185" t="str">
        <f>IF(M$3="","",IF(COUNTIFS(BD!$A$3:$A$5001,M$3,BD!$B$3:$B$5001,$A$146,BD!$L$3:$L$5001,"&lt;&gt;")=0,"",SUMIFS(BD!$L$3:$L$5001,BD!$A$3:$A$5001,M$3,BD!$B$3:$B$5001,$A$146)))</f>
        <v/>
      </c>
      <c r="N148" s="185" t="str">
        <f>IF(N$3="","",IF(COUNTIFS(BD!$A$3:$A$5001,N$3,BD!$B$3:$B$5001,$A$146,BD!$L$3:$L$5001,"&lt;&gt;")=0,"",SUMIFS(BD!$L$3:$L$5001,BD!$A$3:$A$5001,N$3,BD!$B$3:$B$5001,$A$146)))</f>
        <v/>
      </c>
      <c r="O148" s="185" t="str">
        <f>IF(O$3="","",IF(COUNTIFS(BD!$A$3:$A$5001,O$3,BD!$B$3:$B$5001,$A$146,BD!$L$3:$L$5001,"&lt;&gt;")=0,"",SUMIFS(BD!$L$3:$L$5001,BD!$A$3:$A$5001,O$3,BD!$B$3:$B$5001,$A$146)))</f>
        <v/>
      </c>
      <c r="P148" s="185" t="str">
        <f>IF(P$3="","",IF(COUNTIFS(BD!$A$3:$A$5001,P$3,BD!$B$3:$B$5001,$A$146,BD!$L$3:$L$5001,"&lt;&gt;")=0,"",SUMIFS(BD!$L$3:$L$5001,BD!$A$3:$A$5001,P$3,BD!$B$3:$B$5001,$A$146)))</f>
        <v/>
      </c>
      <c r="Q148" s="185" t="str">
        <f>IF(Q$3="","",IF(COUNTIFS(BD!$A$3:$A$5001,Q$3,BD!$B$3:$B$5001,$A$146,BD!$L$3:$L$5001,"&lt;&gt;")=0,"",SUMIFS(BD!$L$3:$L$5001,BD!$A$3:$A$5001,Q$3,BD!$B$3:$B$5001,$A$146)))</f>
        <v/>
      </c>
      <c r="R148" s="185" t="str">
        <f>IF(R$3="","",IF(COUNTIFS(BD!$A$3:$A$5001,R$3,BD!$B$3:$B$5001,$A$146,BD!$L$3:$L$5001,"&lt;&gt;")=0,"",SUMIFS(BD!$L$3:$L$5001,BD!$A$3:$A$5001,R$3,BD!$B$3:$B$5001,$A$146)))</f>
        <v/>
      </c>
      <c r="S148" s="185" t="str">
        <f>IF(S$3="","",IF(COUNTIFS(BD!$A$3:$A$5001,S$3,BD!$B$3:$B$5001,$A$146,BD!$L$3:$L$5001,"&lt;&gt;")=0,"",SUMIFS(BD!$L$3:$L$5001,BD!$A$3:$A$5001,S$3,BD!$B$3:$B$5001,$A$146)))</f>
        <v/>
      </c>
      <c r="T148" s="185" t="str">
        <f>IF(T$3="","",IF(COUNTIFS(BD!$A$3:$A$5001,T$3,BD!$B$3:$B$5001,$A$146,BD!$L$3:$L$5001,"&lt;&gt;")=0,"",SUMIFS(BD!$L$3:$L$5001,BD!$A$3:$A$5001,T$3,BD!$B$3:$B$5001,$A$146)))</f>
        <v/>
      </c>
      <c r="U148" s="185" t="str">
        <f>IF(U$3="","",IF(COUNTIFS(BD!$A$3:$A$5001,U$3,BD!$B$3:$B$5001,$A$146,BD!$L$3:$L$5001,"&lt;&gt;")=0,"",SUMIFS(BD!$L$3:$L$5001,BD!$A$3:$A$5001,U$3,BD!$B$3:$B$5001,$A$146)))</f>
        <v/>
      </c>
      <c r="V148" s="185" t="str">
        <f>IF(V$3="","",IF(COUNTIFS(BD!$A$3:$A$5001,V$3,BD!$B$3:$B$5001,$A$146,BD!$L$3:$L$5001,"&lt;&gt;")=0,"",SUMIFS(BD!$L$3:$L$5001,BD!$A$3:$A$5001,V$3,BD!$B$3:$B$5001,$A$146)))</f>
        <v/>
      </c>
      <c r="W148" s="185" t="str">
        <f>IF(W$3="","",IF(COUNTIFS(BD!$A$3:$A$5001,W$3,BD!$B$3:$B$5001,$A$146,BD!$L$3:$L$5001,"&lt;&gt;")=0,"",SUMIFS(BD!$L$3:$L$5001,BD!$A$3:$A$5001,W$3,BD!$B$3:$B$5001,$A$146)))</f>
        <v/>
      </c>
      <c r="X148" s="185" t="str">
        <f>IF(X$3="","",IF(COUNTIFS(BD!$A$3:$A$5001,X$3,BD!$B$3:$B$5001,$A$146,BD!$L$3:$L$5001,"&lt;&gt;")=0,"",SUMIFS(BD!$L$3:$L$5001,BD!$A$3:$A$5001,X$3,BD!$B$3:$B$5001,$A$146)))</f>
        <v/>
      </c>
      <c r="Y148" s="185" t="str">
        <f>IF(Y$3="","",IF(COUNTIFS(BD!$A$3:$A$5001,Y$3,BD!$B$3:$B$5001,$A$146,BD!$L$3:$L$5001,"&lt;&gt;")=0,"",SUMIFS(BD!$L$3:$L$5001,BD!$A$3:$A$5001,Y$3,BD!$B$3:$B$5001,$A$146)))</f>
        <v/>
      </c>
      <c r="Z148" s="185" t="str">
        <f>IF(Z$3="","",IF(COUNTIFS(BD!$A$3:$A$5001,Z$3,BD!$B$3:$B$5001,$A$146,BD!$L$3:$L$5001,"&lt;&gt;")=0,"",SUMIFS(BD!$L$3:$L$5001,BD!$A$3:$A$5001,Z$3,BD!$B$3:$B$5001,$A$146)))</f>
        <v/>
      </c>
      <c r="AA148" s="185" t="str">
        <f>IF(AA$3="","",IF(COUNTIFS(BD!$A$3:$A$5001,AA$3,BD!$B$3:$B$5001,$A$146,BD!$L$3:$L$5001,"&lt;&gt;")=0,"",SUMIFS(BD!$L$3:$L$5001,BD!$A$3:$A$5001,AA$3,BD!$B$3:$B$5001,$A$146)))</f>
        <v/>
      </c>
      <c r="AB148" s="185" t="str">
        <f>IF(AB$3="","",IF(COUNTIFS(BD!$A$3:$A$5001,AB$3,BD!$B$3:$B$5001,$A$146,BD!$L$3:$L$5001,"&lt;&gt;")=0,"",SUMIFS(BD!$L$3:$L$5001,BD!$A$3:$A$5001,AB$3,BD!$B$3:$B$5001,$A$146)))</f>
        <v/>
      </c>
      <c r="AC148" s="185" t="str">
        <f>IF(AC$3="","",IF(COUNTIFS(BD!$A$3:$A$5001,AC$3,BD!$B$3:$B$5001,$A$146,BD!$L$3:$L$5001,"&lt;&gt;")=0,"",SUMIFS(BD!$L$3:$L$5001,BD!$A$3:$A$5001,AC$3,BD!$B$3:$B$5001,$A$146)))</f>
        <v/>
      </c>
      <c r="AD148" s="185" t="str">
        <f>IF(AD$3="","",IF(COUNTIFS(BD!$A$3:$A$5001,AD$3,BD!$B$3:$B$5001,$A$146,BD!$L$3:$L$5001,"&lt;&gt;")=0,"",SUMIFS(BD!$L$3:$L$5001,BD!$A$3:$A$5001,AD$3,BD!$B$3:$B$5001,$A$146)))</f>
        <v/>
      </c>
      <c r="AE148" s="185" t="str">
        <f>IF(AE$3="","",IF(COUNTIFS(BD!$A$3:$A$5001,AE$3,BD!$B$3:$B$5001,$A$146,BD!$L$3:$L$5001,"&lt;&gt;")=0,"",SUMIFS(BD!$L$3:$L$5001,BD!$A$3:$A$5001,AE$3,BD!$B$3:$B$5001,$A$146)))</f>
        <v/>
      </c>
      <c r="AF148" s="185" t="str">
        <f>IF(AF$3="","",IF(COUNTIFS(BD!$A$3:$A$5001,AF$3,BD!$B$3:$B$5001,$A$146,BD!$L$3:$L$5001,"&lt;&gt;")=0,"",SUMIFS(BD!$L$3:$L$5001,BD!$A$3:$A$5001,AF$3,BD!$B$3:$B$5001,$A$146)))</f>
        <v/>
      </c>
      <c r="AG148" s="185" t="str">
        <f>IF(AG$3="","",IF(COUNTIFS(BD!$A$3:$A$5001,AG$3,BD!$B$3:$B$5001,$A$146,BD!$L$3:$L$5001,"&lt;&gt;")=0,"",SUMIFS(BD!$L$3:$L$5001,BD!$A$3:$A$5001,AG$3,BD!$B$3:$B$5001,$A$146)))</f>
        <v/>
      </c>
      <c r="AH148" s="185" t="str">
        <f>IF(AH$3="","",IF(COUNTIFS(BD!$A$3:$A$5001,AH$3,BD!$B$3:$B$5001,$A$146,BD!$L$3:$L$5001,"&lt;&gt;")=0,"",SUMIFS(BD!$L$3:$L$5001,BD!$A$3:$A$5001,AH$3,BD!$B$3:$B$5001,$A$146)))</f>
        <v/>
      </c>
      <c r="AI148" s="185" t="str">
        <f>IF(AI$3="","",IF(COUNTIFS(BD!$A$3:$A$5001,AI$3,BD!$B$3:$B$5001,$A$146,BD!$L$3:$L$5001,"&lt;&gt;")=0,"",SUMIFS(BD!$L$3:$L$5001,BD!$A$3:$A$5001,AI$3,BD!$B$3:$B$5001,$A$146)))</f>
        <v/>
      </c>
      <c r="AJ148" s="186" t="str">
        <f>IF(AJ$3="","",IF(COUNTIFS(BD!$A$3:$A$5001,AJ$3,BD!$B$3:$B$5001,$A$146,BD!$L$3:$L$5001,"&lt;&gt;")=0,"",SUMIFS(BD!$L$3:$L$5001,BD!$A$3:$A$5001,AJ$3,BD!$B$3:$B$5001,$A$146)))</f>
        <v/>
      </c>
      <c r="AK148" s="187" t="str">
        <f>IF(COUNT(F148:AJ148)=0,"",SUM(F148:AJ148))</f>
        <v/>
      </c>
    </row>
    <row r="149" ht="15.75" customHeight="1">
      <c r="A149" s="261"/>
      <c r="B149" s="252"/>
      <c r="C149" s="188" t="inlineStr">
        <is>
          <t xml:space="preserve">Pallets Movimentados</t>
        </is>
      </c>
      <c r="D149" s="189" t="str">
        <f>IFERROR(1/(1/INDEX(BD!$AL$38:$BF$38,MATCH($A$146,BD!$AL$22:$BF$22,0))),"")</f>
        <v/>
      </c>
      <c r="E149" s="190"/>
      <c r="F149" s="191" t="str">
        <f>IF(F$3="","",IF(COUNTIFS(BD!$A$3:$A$5001,F$3,BD!$B$3:$B$5001,$A$146,BD!$R$3:$R$5001,"&lt;&gt;")=0,"",SUMIFS(BD!$R$3:$R$5001,BD!$A$3:$A$5001,F$3,BD!$B$3:$B$5001,$A$146)))</f>
        <v/>
      </c>
      <c r="G149" s="192" t="str">
        <f>IF(G$3="","",IF(COUNTIFS(BD!$A$3:$A$5001,G$3,BD!$B$3:$B$5001,$A$146,BD!$R$3:$R$5001,"&lt;&gt;")=0,"",SUMIFS(BD!$R$3:$R$5001,BD!$A$3:$A$5001,G$3,BD!$B$3:$B$5001,$A$146)))</f>
        <v/>
      </c>
      <c r="H149" s="192" t="str">
        <f>IF(H$3="","",IF(COUNTIFS(BD!$A$3:$A$5001,H$3,BD!$B$3:$B$5001,$A$146,BD!$R$3:$R$5001,"&lt;&gt;")=0,"",SUMIFS(BD!$R$3:$R$5001,BD!$A$3:$A$5001,H$3,BD!$B$3:$B$5001,$A$146)))</f>
        <v/>
      </c>
      <c r="I149" s="192" t="str">
        <f>IF(I$3="","",IF(COUNTIFS(BD!$A$3:$A$5001,I$3,BD!$B$3:$B$5001,$A$146,BD!$R$3:$R$5001,"&lt;&gt;")=0,"",SUMIFS(BD!$R$3:$R$5001,BD!$A$3:$A$5001,I$3,BD!$B$3:$B$5001,$A$146)))</f>
        <v/>
      </c>
      <c r="J149" s="192" t="str">
        <f>IF(J$3="","",IF(COUNTIFS(BD!$A$3:$A$5001,J$3,BD!$B$3:$B$5001,$A$146,BD!$R$3:$R$5001,"&lt;&gt;")=0,"",SUMIFS(BD!$R$3:$R$5001,BD!$A$3:$A$5001,J$3,BD!$B$3:$B$5001,$A$146)))</f>
        <v/>
      </c>
      <c r="K149" s="192" t="str">
        <f>IF(K$3="","",IF(COUNTIFS(BD!$A$3:$A$5001,K$3,BD!$B$3:$B$5001,$A$146,BD!$R$3:$R$5001,"&lt;&gt;")=0,"",SUMIFS(BD!$R$3:$R$5001,BD!$A$3:$A$5001,K$3,BD!$B$3:$B$5001,$A$146)))</f>
        <v/>
      </c>
      <c r="L149" s="192" t="str">
        <f>IF(L$3="","",IF(COUNTIFS(BD!$A$3:$A$5001,L$3,BD!$B$3:$B$5001,$A$146,BD!$R$3:$R$5001,"&lt;&gt;")=0,"",SUMIFS(BD!$R$3:$R$5001,BD!$A$3:$A$5001,L$3,BD!$B$3:$B$5001,$A$146)))</f>
        <v/>
      </c>
      <c r="M149" s="192" t="str">
        <f>IF(M$3="","",IF(COUNTIFS(BD!$A$3:$A$5001,M$3,BD!$B$3:$B$5001,$A$146,BD!$R$3:$R$5001,"&lt;&gt;")=0,"",SUMIFS(BD!$R$3:$R$5001,BD!$A$3:$A$5001,M$3,BD!$B$3:$B$5001,$A$146)))</f>
        <v/>
      </c>
      <c r="N149" s="192" t="str">
        <f>IF(N$3="","",IF(COUNTIFS(BD!$A$3:$A$5001,N$3,BD!$B$3:$B$5001,$A$146,BD!$R$3:$R$5001,"&lt;&gt;")=0,"",SUMIFS(BD!$R$3:$R$5001,BD!$A$3:$A$5001,N$3,BD!$B$3:$B$5001,$A$146)))</f>
        <v/>
      </c>
      <c r="O149" s="192" t="str">
        <f>IF(O$3="","",IF(COUNTIFS(BD!$A$3:$A$5001,O$3,BD!$B$3:$B$5001,$A$146,BD!$R$3:$R$5001,"&lt;&gt;")=0,"",SUMIFS(BD!$R$3:$R$5001,BD!$A$3:$A$5001,O$3,BD!$B$3:$B$5001,$A$146)))</f>
        <v/>
      </c>
      <c r="P149" s="192" t="str">
        <f>IF(P$3="","",IF(COUNTIFS(BD!$A$3:$A$5001,P$3,BD!$B$3:$B$5001,$A$146,BD!$R$3:$R$5001,"&lt;&gt;")=0,"",SUMIFS(BD!$R$3:$R$5001,BD!$A$3:$A$5001,P$3,BD!$B$3:$B$5001,$A$146)))</f>
        <v/>
      </c>
      <c r="Q149" s="192" t="str">
        <f>IF(Q$3="","",IF(COUNTIFS(BD!$A$3:$A$5001,Q$3,BD!$B$3:$B$5001,$A$146,BD!$R$3:$R$5001,"&lt;&gt;")=0,"",SUMIFS(BD!$R$3:$R$5001,BD!$A$3:$A$5001,Q$3,BD!$B$3:$B$5001,$A$146)))</f>
        <v/>
      </c>
      <c r="R149" s="192" t="str">
        <f>IF(R$3="","",IF(COUNTIFS(BD!$A$3:$A$5001,R$3,BD!$B$3:$B$5001,$A$146,BD!$R$3:$R$5001,"&lt;&gt;")=0,"",SUMIFS(BD!$R$3:$R$5001,BD!$A$3:$A$5001,R$3,BD!$B$3:$B$5001,$A$146)))</f>
        <v/>
      </c>
      <c r="S149" s="192" t="str">
        <f>IF(S$3="","",IF(COUNTIFS(BD!$A$3:$A$5001,S$3,BD!$B$3:$B$5001,$A$146,BD!$R$3:$R$5001,"&lt;&gt;")=0,"",SUMIFS(BD!$R$3:$R$5001,BD!$A$3:$A$5001,S$3,BD!$B$3:$B$5001,$A$146)))</f>
        <v/>
      </c>
      <c r="T149" s="192" t="str">
        <f>IF(T$3="","",IF(COUNTIFS(BD!$A$3:$A$5001,T$3,BD!$B$3:$B$5001,$A$146,BD!$R$3:$R$5001,"&lt;&gt;")=0,"",SUMIFS(BD!$R$3:$R$5001,BD!$A$3:$A$5001,T$3,BD!$B$3:$B$5001,$A$146)))</f>
        <v/>
      </c>
      <c r="U149" s="192" t="str">
        <f>IF(U$3="","",IF(COUNTIFS(BD!$A$3:$A$5001,U$3,BD!$B$3:$B$5001,$A$146,BD!$R$3:$R$5001,"&lt;&gt;")=0,"",SUMIFS(BD!$R$3:$R$5001,BD!$A$3:$A$5001,U$3,BD!$B$3:$B$5001,$A$146)))</f>
        <v/>
      </c>
      <c r="V149" s="192" t="str">
        <f>IF(V$3="","",IF(COUNTIFS(BD!$A$3:$A$5001,V$3,BD!$B$3:$B$5001,$A$146,BD!$R$3:$R$5001,"&lt;&gt;")=0,"",SUMIFS(BD!$R$3:$R$5001,BD!$A$3:$A$5001,V$3,BD!$B$3:$B$5001,$A$146)))</f>
        <v/>
      </c>
      <c r="W149" s="192" t="str">
        <f>IF(W$3="","",IF(COUNTIFS(BD!$A$3:$A$5001,W$3,BD!$B$3:$B$5001,$A$146,BD!$R$3:$R$5001,"&lt;&gt;")=0,"",SUMIFS(BD!$R$3:$R$5001,BD!$A$3:$A$5001,W$3,BD!$B$3:$B$5001,$A$146)))</f>
        <v/>
      </c>
      <c r="X149" s="192" t="str">
        <f>IF(X$3="","",IF(COUNTIFS(BD!$A$3:$A$5001,X$3,BD!$B$3:$B$5001,$A$146,BD!$R$3:$R$5001,"&lt;&gt;")=0,"",SUMIFS(BD!$R$3:$R$5001,BD!$A$3:$A$5001,X$3,BD!$B$3:$B$5001,$A$146)))</f>
        <v/>
      </c>
      <c r="Y149" s="192" t="str">
        <f>IF(Y$3="","",IF(COUNTIFS(BD!$A$3:$A$5001,Y$3,BD!$B$3:$B$5001,$A$146,BD!$R$3:$R$5001,"&lt;&gt;")=0,"",SUMIFS(BD!$R$3:$R$5001,BD!$A$3:$A$5001,Y$3,BD!$B$3:$B$5001,$A$146)))</f>
        <v/>
      </c>
      <c r="Z149" s="192" t="str">
        <f>IF(Z$3="","",IF(COUNTIFS(BD!$A$3:$A$5001,Z$3,BD!$B$3:$B$5001,$A$146,BD!$R$3:$R$5001,"&lt;&gt;")=0,"",SUMIFS(BD!$R$3:$R$5001,BD!$A$3:$A$5001,Z$3,BD!$B$3:$B$5001,$A$146)))</f>
        <v/>
      </c>
      <c r="AA149" s="192" t="str">
        <f>IF(AA$3="","",IF(COUNTIFS(BD!$A$3:$A$5001,AA$3,BD!$B$3:$B$5001,$A$146,BD!$R$3:$R$5001,"&lt;&gt;")=0,"",SUMIFS(BD!$R$3:$R$5001,BD!$A$3:$A$5001,AA$3,BD!$B$3:$B$5001,$A$146)))</f>
        <v/>
      </c>
      <c r="AB149" s="192" t="str">
        <f>IF(AB$3="","",IF(COUNTIFS(BD!$A$3:$A$5001,AB$3,BD!$B$3:$B$5001,$A$146,BD!$R$3:$R$5001,"&lt;&gt;")=0,"",SUMIFS(BD!$R$3:$R$5001,BD!$A$3:$A$5001,AB$3,BD!$B$3:$B$5001,$A$146)))</f>
        <v/>
      </c>
      <c r="AC149" s="192" t="str">
        <f>IF(AC$3="","",IF(COUNTIFS(BD!$A$3:$A$5001,AC$3,BD!$B$3:$B$5001,$A$146,BD!$R$3:$R$5001,"&lt;&gt;")=0,"",SUMIFS(BD!$R$3:$R$5001,BD!$A$3:$A$5001,AC$3,BD!$B$3:$B$5001,$A$146)))</f>
        <v/>
      </c>
      <c r="AD149" s="192" t="str">
        <f>IF(AD$3="","",IF(COUNTIFS(BD!$A$3:$A$5001,AD$3,BD!$B$3:$B$5001,$A$146,BD!$R$3:$R$5001,"&lt;&gt;")=0,"",SUMIFS(BD!$R$3:$R$5001,BD!$A$3:$A$5001,AD$3,BD!$B$3:$B$5001,$A$146)))</f>
        <v/>
      </c>
      <c r="AE149" s="192" t="str">
        <f>IF(AE$3="","",IF(COUNTIFS(BD!$A$3:$A$5001,AE$3,BD!$B$3:$B$5001,$A$146,BD!$R$3:$R$5001,"&lt;&gt;")=0,"",SUMIFS(BD!$R$3:$R$5001,BD!$A$3:$A$5001,AE$3,BD!$B$3:$B$5001,$A$146)))</f>
        <v/>
      </c>
      <c r="AF149" s="192" t="str">
        <f>IF(AF$3="","",IF(COUNTIFS(BD!$A$3:$A$5001,AF$3,BD!$B$3:$B$5001,$A$146,BD!$R$3:$R$5001,"&lt;&gt;")=0,"",SUMIFS(BD!$R$3:$R$5001,BD!$A$3:$A$5001,AF$3,BD!$B$3:$B$5001,$A$146)))</f>
        <v/>
      </c>
      <c r="AG149" s="192" t="str">
        <f>IF(AG$3="","",IF(COUNTIFS(BD!$A$3:$A$5001,AG$3,BD!$B$3:$B$5001,$A$146,BD!$R$3:$R$5001,"&lt;&gt;")=0,"",SUMIFS(BD!$R$3:$R$5001,BD!$A$3:$A$5001,AG$3,BD!$B$3:$B$5001,$A$146)))</f>
        <v/>
      </c>
      <c r="AH149" s="192" t="str">
        <f>IF(AH$3="","",IF(COUNTIFS(BD!$A$3:$A$5001,AH$3,BD!$B$3:$B$5001,$A$146,BD!$R$3:$R$5001,"&lt;&gt;")=0,"",SUMIFS(BD!$R$3:$R$5001,BD!$A$3:$A$5001,AH$3,BD!$B$3:$B$5001,$A$146)))</f>
        <v/>
      </c>
      <c r="AI149" s="192" t="str">
        <f>IF(AI$3="","",IF(COUNTIFS(BD!$A$3:$A$5001,AI$3,BD!$B$3:$B$5001,$A$146,BD!$R$3:$R$5001,"&lt;&gt;")=0,"",SUMIFS(BD!$R$3:$R$5001,BD!$A$3:$A$5001,AI$3,BD!$B$3:$B$5001,$A$146)))</f>
        <v/>
      </c>
      <c r="AJ149" s="193" t="str">
        <f>IF(AJ$3="","",IF(COUNTIFS(BD!$A$3:$A$5001,AJ$3,BD!$B$3:$B$5001,$A$146,BD!$R$3:$R$5001,"&lt;&gt;")=0,"",SUMIFS(BD!$R$3:$R$5001,BD!$A$3:$A$5001,AJ$3,BD!$B$3:$B$5001,$A$146)))</f>
        <v/>
      </c>
      <c r="AK149" s="189" t="str">
        <f>IF(COUNT(F149:AJ149)=0,"",SUM(F149:AJ149))</f>
        <v/>
      </c>
    </row>
    <row r="150" ht="15.75" customHeight="1">
      <c r="A150" s="261"/>
      <c r="B150" s="253" t="inlineStr">
        <is>
          <t xml:space="preserve">NC</t>
        </is>
      </c>
      <c r="C150" s="194" t="inlineStr">
        <is>
          <t xml:space="preserve">Incidentes</t>
        </is>
      </c>
      <c r="D150" s="195" t="str">
        <f>IFERROR(1/(1/INDEX(BD!$AL$40:$BF$40,MATCH($A$146,BD!$AL$22:$BF$22,0))),"")</f>
        <v/>
      </c>
      <c r="E150" s="196"/>
      <c r="F150" s="197" t="str">
        <f>IF(F$3="","",IF(COUNTIFS(BD!$A$3:$A$5001,F$3,BD!$B$3:$B$5001,$A$146,BD!$T$3:$T$5001,"&lt;&gt;")=0,"",SUMIFS(BD!$T$3:$T$5001,BD!$A$3:$A$5001,F$3,BD!$B$3:$B$5001,$A$146)))</f>
        <v/>
      </c>
      <c r="G150" s="198" t="str">
        <f>IF(G$3="","",IF(COUNTIFS(BD!$A$3:$A$5001,G$3,BD!$B$3:$B$5001,$A$146,BD!$T$3:$T$5001,"&lt;&gt;")=0,"",SUMIFS(BD!$T$3:$T$5001,BD!$A$3:$A$5001,G$3,BD!$B$3:$B$5001,$A$146)))</f>
        <v/>
      </c>
      <c r="H150" s="198" t="str">
        <f>IF(H$3="","",IF(COUNTIFS(BD!$A$3:$A$5001,H$3,BD!$B$3:$B$5001,$A$146,BD!$T$3:$T$5001,"&lt;&gt;")=0,"",SUMIFS(BD!$T$3:$T$5001,BD!$A$3:$A$5001,H$3,BD!$B$3:$B$5001,$A$146)))</f>
        <v/>
      </c>
      <c r="I150" s="198" t="str">
        <f>IF(I$3="","",IF(COUNTIFS(BD!$A$3:$A$5001,I$3,BD!$B$3:$B$5001,$A$146,BD!$T$3:$T$5001,"&lt;&gt;")=0,"",SUMIFS(BD!$T$3:$T$5001,BD!$A$3:$A$5001,I$3,BD!$B$3:$B$5001,$A$146)))</f>
        <v/>
      </c>
      <c r="J150" s="198" t="str">
        <f>IF(J$3="","",IF(COUNTIFS(BD!$A$3:$A$5001,J$3,BD!$B$3:$B$5001,$A$146,BD!$T$3:$T$5001,"&lt;&gt;")=0,"",SUMIFS(BD!$T$3:$T$5001,BD!$A$3:$A$5001,J$3,BD!$B$3:$B$5001,$A$146)))</f>
        <v/>
      </c>
      <c r="K150" s="198" t="str">
        <f>IF(K$3="","",IF(COUNTIFS(BD!$A$3:$A$5001,K$3,BD!$B$3:$B$5001,$A$146,BD!$T$3:$T$5001,"&lt;&gt;")=0,"",SUMIFS(BD!$T$3:$T$5001,BD!$A$3:$A$5001,K$3,BD!$B$3:$B$5001,$A$146)))</f>
        <v/>
      </c>
      <c r="L150" s="198" t="str">
        <f>IF(L$3="","",IF(COUNTIFS(BD!$A$3:$A$5001,L$3,BD!$B$3:$B$5001,$A$146,BD!$T$3:$T$5001,"&lt;&gt;")=0,"",SUMIFS(BD!$T$3:$T$5001,BD!$A$3:$A$5001,L$3,BD!$B$3:$B$5001,$A$146)))</f>
        <v/>
      </c>
      <c r="M150" s="198" t="str">
        <f>IF(M$3="","",IF(COUNTIFS(BD!$A$3:$A$5001,M$3,BD!$B$3:$B$5001,$A$146,BD!$T$3:$T$5001,"&lt;&gt;")=0,"",SUMIFS(BD!$T$3:$T$5001,BD!$A$3:$A$5001,M$3,BD!$B$3:$B$5001,$A$146)))</f>
        <v/>
      </c>
      <c r="N150" s="198" t="str">
        <f>IF(N$3="","",IF(COUNTIFS(BD!$A$3:$A$5001,N$3,BD!$B$3:$B$5001,$A$146,BD!$T$3:$T$5001,"&lt;&gt;")=0,"",SUMIFS(BD!$T$3:$T$5001,BD!$A$3:$A$5001,N$3,BD!$B$3:$B$5001,$A$146)))</f>
        <v/>
      </c>
      <c r="O150" s="198" t="str">
        <f>IF(O$3="","",IF(COUNTIFS(BD!$A$3:$A$5001,O$3,BD!$B$3:$B$5001,$A$146,BD!$T$3:$T$5001,"&lt;&gt;")=0,"",SUMIFS(BD!$T$3:$T$5001,BD!$A$3:$A$5001,O$3,BD!$B$3:$B$5001,$A$146)))</f>
        <v/>
      </c>
      <c r="P150" s="198" t="str">
        <f>IF(P$3="","",IF(COUNTIFS(BD!$A$3:$A$5001,P$3,BD!$B$3:$B$5001,$A$146,BD!$T$3:$T$5001,"&lt;&gt;")=0,"",SUMIFS(BD!$T$3:$T$5001,BD!$A$3:$A$5001,P$3,BD!$B$3:$B$5001,$A$146)))</f>
        <v/>
      </c>
      <c r="Q150" s="198" t="str">
        <f>IF(Q$3="","",IF(COUNTIFS(BD!$A$3:$A$5001,Q$3,BD!$B$3:$B$5001,$A$146,BD!$T$3:$T$5001,"&lt;&gt;")=0,"",SUMIFS(BD!$T$3:$T$5001,BD!$A$3:$A$5001,Q$3,BD!$B$3:$B$5001,$A$146)))</f>
        <v/>
      </c>
      <c r="R150" s="198" t="str">
        <f>IF(R$3="","",IF(COUNTIFS(BD!$A$3:$A$5001,R$3,BD!$B$3:$B$5001,$A$146,BD!$T$3:$T$5001,"&lt;&gt;")=0,"",SUMIFS(BD!$T$3:$T$5001,BD!$A$3:$A$5001,R$3,BD!$B$3:$B$5001,$A$146)))</f>
        <v/>
      </c>
      <c r="S150" s="198" t="str">
        <f>IF(S$3="","",IF(COUNTIFS(BD!$A$3:$A$5001,S$3,BD!$B$3:$B$5001,$A$146,BD!$T$3:$T$5001,"&lt;&gt;")=0,"",SUMIFS(BD!$T$3:$T$5001,BD!$A$3:$A$5001,S$3,BD!$B$3:$B$5001,$A$146)))</f>
        <v/>
      </c>
      <c r="T150" s="198" t="str">
        <f>IF(T$3="","",IF(COUNTIFS(BD!$A$3:$A$5001,T$3,BD!$B$3:$B$5001,$A$146,BD!$T$3:$T$5001,"&lt;&gt;")=0,"",SUMIFS(BD!$T$3:$T$5001,BD!$A$3:$A$5001,T$3,BD!$B$3:$B$5001,$A$146)))</f>
        <v/>
      </c>
      <c r="U150" s="198" t="str">
        <f>IF(U$3="","",IF(COUNTIFS(BD!$A$3:$A$5001,U$3,BD!$B$3:$B$5001,$A$146,BD!$T$3:$T$5001,"&lt;&gt;")=0,"",SUMIFS(BD!$T$3:$T$5001,BD!$A$3:$A$5001,U$3,BD!$B$3:$B$5001,$A$146)))</f>
        <v/>
      </c>
      <c r="V150" s="198" t="str">
        <f>IF(V$3="","",IF(COUNTIFS(BD!$A$3:$A$5001,V$3,BD!$B$3:$B$5001,$A$146,BD!$T$3:$T$5001,"&lt;&gt;")=0,"",SUMIFS(BD!$T$3:$T$5001,BD!$A$3:$A$5001,V$3,BD!$B$3:$B$5001,$A$146)))</f>
        <v/>
      </c>
      <c r="W150" s="198" t="str">
        <f>IF(W$3="","",IF(COUNTIFS(BD!$A$3:$A$5001,W$3,BD!$B$3:$B$5001,$A$146,BD!$T$3:$T$5001,"&lt;&gt;")=0,"",SUMIFS(BD!$T$3:$T$5001,BD!$A$3:$A$5001,W$3,BD!$B$3:$B$5001,$A$146)))</f>
        <v/>
      </c>
      <c r="X150" s="198" t="str">
        <f>IF(X$3="","",IF(COUNTIFS(BD!$A$3:$A$5001,X$3,BD!$B$3:$B$5001,$A$146,BD!$T$3:$T$5001,"&lt;&gt;")=0,"",SUMIFS(BD!$T$3:$T$5001,BD!$A$3:$A$5001,X$3,BD!$B$3:$B$5001,$A$146)))</f>
        <v/>
      </c>
      <c r="Y150" s="198" t="str">
        <f>IF(Y$3="","",IF(COUNTIFS(BD!$A$3:$A$5001,Y$3,BD!$B$3:$B$5001,$A$146,BD!$T$3:$T$5001,"&lt;&gt;")=0,"",SUMIFS(BD!$T$3:$T$5001,BD!$A$3:$A$5001,Y$3,BD!$B$3:$B$5001,$A$146)))</f>
        <v/>
      </c>
      <c r="Z150" s="198" t="str">
        <f>IF(Z$3="","",IF(COUNTIFS(BD!$A$3:$A$5001,Z$3,BD!$B$3:$B$5001,$A$146,BD!$T$3:$T$5001,"&lt;&gt;")=0,"",SUMIFS(BD!$T$3:$T$5001,BD!$A$3:$A$5001,Z$3,BD!$B$3:$B$5001,$A$146)))</f>
        <v/>
      </c>
      <c r="AA150" s="198" t="str">
        <f>IF(AA$3="","",IF(COUNTIFS(BD!$A$3:$A$5001,AA$3,BD!$B$3:$B$5001,$A$146,BD!$T$3:$T$5001,"&lt;&gt;")=0,"",SUMIFS(BD!$T$3:$T$5001,BD!$A$3:$A$5001,AA$3,BD!$B$3:$B$5001,$A$146)))</f>
        <v/>
      </c>
      <c r="AB150" s="198" t="str">
        <f>IF(AB$3="","",IF(COUNTIFS(BD!$A$3:$A$5001,AB$3,BD!$B$3:$B$5001,$A$146,BD!$T$3:$T$5001,"&lt;&gt;")=0,"",SUMIFS(BD!$T$3:$T$5001,BD!$A$3:$A$5001,AB$3,BD!$B$3:$B$5001,$A$146)))</f>
        <v/>
      </c>
      <c r="AC150" s="198" t="str">
        <f>IF(AC$3="","",IF(COUNTIFS(BD!$A$3:$A$5001,AC$3,BD!$B$3:$B$5001,$A$146,BD!$T$3:$T$5001,"&lt;&gt;")=0,"",SUMIFS(BD!$T$3:$T$5001,BD!$A$3:$A$5001,AC$3,BD!$B$3:$B$5001,$A$146)))</f>
        <v/>
      </c>
      <c r="AD150" s="198" t="str">
        <f>IF(AD$3="","",IF(COUNTIFS(BD!$A$3:$A$5001,AD$3,BD!$B$3:$B$5001,$A$146,BD!$T$3:$T$5001,"&lt;&gt;")=0,"",SUMIFS(BD!$T$3:$T$5001,BD!$A$3:$A$5001,AD$3,BD!$B$3:$B$5001,$A$146)))</f>
        <v/>
      </c>
      <c r="AE150" s="198" t="str">
        <f>IF(AE$3="","",IF(COUNTIFS(BD!$A$3:$A$5001,AE$3,BD!$B$3:$B$5001,$A$146,BD!$T$3:$T$5001,"&lt;&gt;")=0,"",SUMIFS(BD!$T$3:$T$5001,BD!$A$3:$A$5001,AE$3,BD!$B$3:$B$5001,$A$146)))</f>
        <v/>
      </c>
      <c r="AF150" s="198" t="str">
        <f>IF(AF$3="","",IF(COUNTIFS(BD!$A$3:$A$5001,AF$3,BD!$B$3:$B$5001,$A$146,BD!$T$3:$T$5001,"&lt;&gt;")=0,"",SUMIFS(BD!$T$3:$T$5001,BD!$A$3:$A$5001,AF$3,BD!$B$3:$B$5001,$A$146)))</f>
        <v/>
      </c>
      <c r="AG150" s="198" t="str">
        <f>IF(AG$3="","",IF(COUNTIFS(BD!$A$3:$A$5001,AG$3,BD!$B$3:$B$5001,$A$146,BD!$T$3:$T$5001,"&lt;&gt;")=0,"",SUMIFS(BD!$T$3:$T$5001,BD!$A$3:$A$5001,AG$3,BD!$B$3:$B$5001,$A$146)))</f>
        <v/>
      </c>
      <c r="AH150" s="198" t="str">
        <f>IF(AH$3="","",IF(COUNTIFS(BD!$A$3:$A$5001,AH$3,BD!$B$3:$B$5001,$A$146,BD!$T$3:$T$5001,"&lt;&gt;")=0,"",SUMIFS(BD!$T$3:$T$5001,BD!$A$3:$A$5001,AH$3,BD!$B$3:$B$5001,$A$146)))</f>
        <v/>
      </c>
      <c r="AI150" s="198" t="str">
        <f>IF(AI$3="","",IF(COUNTIFS(BD!$A$3:$A$5001,AI$3,BD!$B$3:$B$5001,$A$146,BD!$T$3:$T$5001,"&lt;&gt;")=0,"",SUMIFS(BD!$T$3:$T$5001,BD!$A$3:$A$5001,AI$3,BD!$B$3:$B$5001,$A$146)))</f>
        <v/>
      </c>
      <c r="AJ150" s="199" t="str">
        <f>IF(AJ$3="","",IF(COUNTIFS(BD!$A$3:$A$5001,AJ$3,BD!$B$3:$B$5001,$A$146,BD!$T$3:$T$5001,"&lt;&gt;")=0,"",SUMIFS(BD!$T$3:$T$5001,BD!$A$3:$A$5001,AJ$3,BD!$B$3:$B$5001,$A$146)))</f>
        <v/>
      </c>
      <c r="AK150" s="200" t="str">
        <f>IF(COUNT(F150:AJ150)=0,"",SUM(F150:AJ150))</f>
        <v/>
      </c>
    </row>
    <row r="151" ht="15.75" customHeight="1">
      <c r="A151" s="261"/>
      <c r="B151" s="254"/>
      <c r="C151" s="201" t="inlineStr">
        <is>
          <t xml:space="preserve">No show</t>
        </is>
      </c>
      <c r="D151" s="202" t="str">
        <f>IFERROR(1/(1/INDEX(BD!$AL$41:$BF$41,MATCH($A$146,BD!$AL$22:$BF$22,0))),"")</f>
        <v/>
      </c>
      <c r="E151" s="203"/>
      <c r="F151" s="204" t="str">
        <f>IF(F$3="","",IF(COUNTIFS(BD!$A$3:$A$5001,F$3,BD!$B$3:$B$5001,$A$146,BD!$U$3:$U$5001,"&lt;&gt;")=0,"",SUMIFS(BD!$U$3:$U$5001,BD!$A$3:$A$5001,F$3,BD!$B$3:$B$5001,$A$146)))</f>
        <v/>
      </c>
      <c r="G151" s="205" t="str">
        <f>IF(G$3="","",IF(COUNTIFS(BD!$A$3:$A$5001,G$3,BD!$B$3:$B$5001,$A$146,BD!$U$3:$U$5001,"&lt;&gt;")=0,"",SUMIFS(BD!$U$3:$U$5001,BD!$A$3:$A$5001,G$3,BD!$B$3:$B$5001,$A$146)))</f>
        <v/>
      </c>
      <c r="H151" s="205" t="str">
        <f>IF(H$3="","",IF(COUNTIFS(BD!$A$3:$A$5001,H$3,BD!$B$3:$B$5001,$A$146,BD!$U$3:$U$5001,"&lt;&gt;")=0,"",SUMIFS(BD!$U$3:$U$5001,BD!$A$3:$A$5001,H$3,BD!$B$3:$B$5001,$A$146)))</f>
        <v/>
      </c>
      <c r="I151" s="205" t="str">
        <f>IF(I$3="","",IF(COUNTIFS(BD!$A$3:$A$5001,I$3,BD!$B$3:$B$5001,$A$146,BD!$U$3:$U$5001,"&lt;&gt;")=0,"",SUMIFS(BD!$U$3:$U$5001,BD!$A$3:$A$5001,I$3,BD!$B$3:$B$5001,$A$146)))</f>
        <v/>
      </c>
      <c r="J151" s="205" t="str">
        <f>IF(J$3="","",IF(COUNTIFS(BD!$A$3:$A$5001,J$3,BD!$B$3:$B$5001,$A$146,BD!$U$3:$U$5001,"&lt;&gt;")=0,"",SUMIFS(BD!$U$3:$U$5001,BD!$A$3:$A$5001,J$3,BD!$B$3:$B$5001,$A$146)))</f>
        <v/>
      </c>
      <c r="K151" s="205" t="str">
        <f>IF(K$3="","",IF(COUNTIFS(BD!$A$3:$A$5001,K$3,BD!$B$3:$B$5001,$A$146,BD!$U$3:$U$5001,"&lt;&gt;")=0,"",SUMIFS(BD!$U$3:$U$5001,BD!$A$3:$A$5001,K$3,BD!$B$3:$B$5001,$A$146)))</f>
        <v/>
      </c>
      <c r="L151" s="205" t="str">
        <f>IF(L$3="","",IF(COUNTIFS(BD!$A$3:$A$5001,L$3,BD!$B$3:$B$5001,$A$146,BD!$U$3:$U$5001,"&lt;&gt;")=0,"",SUMIFS(BD!$U$3:$U$5001,BD!$A$3:$A$5001,L$3,BD!$B$3:$B$5001,$A$146)))</f>
        <v/>
      </c>
      <c r="M151" s="205" t="str">
        <f>IF(M$3="","",IF(COUNTIFS(BD!$A$3:$A$5001,M$3,BD!$B$3:$B$5001,$A$146,BD!$U$3:$U$5001,"&lt;&gt;")=0,"",SUMIFS(BD!$U$3:$U$5001,BD!$A$3:$A$5001,M$3,BD!$B$3:$B$5001,$A$146)))</f>
        <v/>
      </c>
      <c r="N151" s="205" t="str">
        <f>IF(N$3="","",IF(COUNTIFS(BD!$A$3:$A$5001,N$3,BD!$B$3:$B$5001,$A$146,BD!$U$3:$U$5001,"&lt;&gt;")=0,"",SUMIFS(BD!$U$3:$U$5001,BD!$A$3:$A$5001,N$3,BD!$B$3:$B$5001,$A$146)))</f>
        <v/>
      </c>
      <c r="O151" s="205" t="str">
        <f>IF(O$3="","",IF(COUNTIFS(BD!$A$3:$A$5001,O$3,BD!$B$3:$B$5001,$A$146,BD!$U$3:$U$5001,"&lt;&gt;")=0,"",SUMIFS(BD!$U$3:$U$5001,BD!$A$3:$A$5001,O$3,BD!$B$3:$B$5001,$A$146)))</f>
        <v/>
      </c>
      <c r="P151" s="205" t="str">
        <f>IF(P$3="","",IF(COUNTIFS(BD!$A$3:$A$5001,P$3,BD!$B$3:$B$5001,$A$146,BD!$U$3:$U$5001,"&lt;&gt;")=0,"",SUMIFS(BD!$U$3:$U$5001,BD!$A$3:$A$5001,P$3,BD!$B$3:$B$5001,$A$146)))</f>
        <v/>
      </c>
      <c r="Q151" s="205" t="str">
        <f>IF(Q$3="","",IF(COUNTIFS(BD!$A$3:$A$5001,Q$3,BD!$B$3:$B$5001,$A$146,BD!$U$3:$U$5001,"&lt;&gt;")=0,"",SUMIFS(BD!$U$3:$U$5001,BD!$A$3:$A$5001,Q$3,BD!$B$3:$B$5001,$A$146)))</f>
        <v/>
      </c>
      <c r="R151" s="205" t="str">
        <f>IF(R$3="","",IF(COUNTIFS(BD!$A$3:$A$5001,R$3,BD!$B$3:$B$5001,$A$146,BD!$U$3:$U$5001,"&lt;&gt;")=0,"",SUMIFS(BD!$U$3:$U$5001,BD!$A$3:$A$5001,R$3,BD!$B$3:$B$5001,$A$146)))</f>
        <v/>
      </c>
      <c r="S151" s="205" t="str">
        <f>IF(S$3="","",IF(COUNTIFS(BD!$A$3:$A$5001,S$3,BD!$B$3:$B$5001,$A$146,BD!$U$3:$U$5001,"&lt;&gt;")=0,"",SUMIFS(BD!$U$3:$U$5001,BD!$A$3:$A$5001,S$3,BD!$B$3:$B$5001,$A$146)))</f>
        <v/>
      </c>
      <c r="T151" s="205" t="str">
        <f>IF(T$3="","",IF(COUNTIFS(BD!$A$3:$A$5001,T$3,BD!$B$3:$B$5001,$A$146,BD!$U$3:$U$5001,"&lt;&gt;")=0,"",SUMIFS(BD!$U$3:$U$5001,BD!$A$3:$A$5001,T$3,BD!$B$3:$B$5001,$A$146)))</f>
        <v/>
      </c>
      <c r="U151" s="205" t="str">
        <f>IF(U$3="","",IF(COUNTIFS(BD!$A$3:$A$5001,U$3,BD!$B$3:$B$5001,$A$146,BD!$U$3:$U$5001,"&lt;&gt;")=0,"",SUMIFS(BD!$U$3:$U$5001,BD!$A$3:$A$5001,U$3,BD!$B$3:$B$5001,$A$146)))</f>
        <v/>
      </c>
      <c r="V151" s="205" t="str">
        <f>IF(V$3="","",IF(COUNTIFS(BD!$A$3:$A$5001,V$3,BD!$B$3:$B$5001,$A$146,BD!$U$3:$U$5001,"&lt;&gt;")=0,"",SUMIFS(BD!$U$3:$U$5001,BD!$A$3:$A$5001,V$3,BD!$B$3:$B$5001,$A$146)))</f>
        <v/>
      </c>
      <c r="W151" s="205" t="str">
        <f>IF(W$3="","",IF(COUNTIFS(BD!$A$3:$A$5001,W$3,BD!$B$3:$B$5001,$A$146,BD!$U$3:$U$5001,"&lt;&gt;")=0,"",SUMIFS(BD!$U$3:$U$5001,BD!$A$3:$A$5001,W$3,BD!$B$3:$B$5001,$A$146)))</f>
        <v/>
      </c>
      <c r="X151" s="205" t="str">
        <f>IF(X$3="","",IF(COUNTIFS(BD!$A$3:$A$5001,X$3,BD!$B$3:$B$5001,$A$146,BD!$U$3:$U$5001,"&lt;&gt;")=0,"",SUMIFS(BD!$U$3:$U$5001,BD!$A$3:$A$5001,X$3,BD!$B$3:$B$5001,$A$146)))</f>
        <v/>
      </c>
      <c r="Y151" s="205" t="str">
        <f>IF(Y$3="","",IF(COUNTIFS(BD!$A$3:$A$5001,Y$3,BD!$B$3:$B$5001,$A$146,BD!$U$3:$U$5001,"&lt;&gt;")=0,"",SUMIFS(BD!$U$3:$U$5001,BD!$A$3:$A$5001,Y$3,BD!$B$3:$B$5001,$A$146)))</f>
        <v/>
      </c>
      <c r="Z151" s="205" t="str">
        <f>IF(Z$3="","",IF(COUNTIFS(BD!$A$3:$A$5001,Z$3,BD!$B$3:$B$5001,$A$146,BD!$U$3:$U$5001,"&lt;&gt;")=0,"",SUMIFS(BD!$U$3:$U$5001,BD!$A$3:$A$5001,Z$3,BD!$B$3:$B$5001,$A$146)))</f>
        <v/>
      </c>
      <c r="AA151" s="205" t="str">
        <f>IF(AA$3="","",IF(COUNTIFS(BD!$A$3:$A$5001,AA$3,BD!$B$3:$B$5001,$A$146,BD!$U$3:$U$5001,"&lt;&gt;")=0,"",SUMIFS(BD!$U$3:$U$5001,BD!$A$3:$A$5001,AA$3,BD!$B$3:$B$5001,$A$146)))</f>
        <v/>
      </c>
      <c r="AB151" s="205" t="str">
        <f>IF(AB$3="","",IF(COUNTIFS(BD!$A$3:$A$5001,AB$3,BD!$B$3:$B$5001,$A$146,BD!$U$3:$U$5001,"&lt;&gt;")=0,"",SUMIFS(BD!$U$3:$U$5001,BD!$A$3:$A$5001,AB$3,BD!$B$3:$B$5001,$A$146)))</f>
        <v/>
      </c>
      <c r="AC151" s="205" t="str">
        <f>IF(AC$3="","",IF(COUNTIFS(BD!$A$3:$A$5001,AC$3,BD!$B$3:$B$5001,$A$146,BD!$U$3:$U$5001,"&lt;&gt;")=0,"",SUMIFS(BD!$U$3:$U$5001,BD!$A$3:$A$5001,AC$3,BD!$B$3:$B$5001,$A$146)))</f>
        <v/>
      </c>
      <c r="AD151" s="205" t="str">
        <f>IF(AD$3="","",IF(COUNTIFS(BD!$A$3:$A$5001,AD$3,BD!$B$3:$B$5001,$A$146,BD!$U$3:$U$5001,"&lt;&gt;")=0,"",SUMIFS(BD!$U$3:$U$5001,BD!$A$3:$A$5001,AD$3,BD!$B$3:$B$5001,$A$146)))</f>
        <v/>
      </c>
      <c r="AE151" s="205" t="str">
        <f>IF(AE$3="","",IF(COUNTIFS(BD!$A$3:$A$5001,AE$3,BD!$B$3:$B$5001,$A$146,BD!$U$3:$U$5001,"&lt;&gt;")=0,"",SUMIFS(BD!$U$3:$U$5001,BD!$A$3:$A$5001,AE$3,BD!$B$3:$B$5001,$A$146)))</f>
        <v/>
      </c>
      <c r="AF151" s="205" t="str">
        <f>IF(AF$3="","",IF(COUNTIFS(BD!$A$3:$A$5001,AF$3,BD!$B$3:$B$5001,$A$146,BD!$U$3:$U$5001,"&lt;&gt;")=0,"",SUMIFS(BD!$U$3:$U$5001,BD!$A$3:$A$5001,AF$3,BD!$B$3:$B$5001,$A$146)))</f>
        <v/>
      </c>
      <c r="AG151" s="205" t="str">
        <f>IF(AG$3="","",IF(COUNTIFS(BD!$A$3:$A$5001,AG$3,BD!$B$3:$B$5001,$A$146,BD!$U$3:$U$5001,"&lt;&gt;")=0,"",SUMIFS(BD!$U$3:$U$5001,BD!$A$3:$A$5001,AG$3,BD!$B$3:$B$5001,$A$146)))</f>
        <v/>
      </c>
      <c r="AH151" s="205" t="str">
        <f>IF(AH$3="","",IF(COUNTIFS(BD!$A$3:$A$5001,AH$3,BD!$B$3:$B$5001,$A$146,BD!$U$3:$U$5001,"&lt;&gt;")=0,"",SUMIFS(BD!$U$3:$U$5001,BD!$A$3:$A$5001,AH$3,BD!$B$3:$B$5001,$A$146)))</f>
        <v/>
      </c>
      <c r="AI151" s="205" t="str">
        <f>IF(AI$3="","",IF(COUNTIFS(BD!$A$3:$A$5001,AI$3,BD!$B$3:$B$5001,$A$146,BD!$U$3:$U$5001,"&lt;&gt;")=0,"",SUMIFS(BD!$U$3:$U$5001,BD!$A$3:$A$5001,AI$3,BD!$B$3:$B$5001,$A$146)))</f>
        <v/>
      </c>
      <c r="AJ151" s="206" t="str">
        <f>IF(AJ$3="","",IF(COUNTIFS(BD!$A$3:$A$5001,AJ$3,BD!$B$3:$B$5001,$A$146,BD!$U$3:$U$5001,"&lt;&gt;")=0,"",SUMIFS(BD!$U$3:$U$5001,BD!$A$3:$A$5001,AJ$3,BD!$B$3:$B$5001,$A$146)))</f>
        <v/>
      </c>
      <c r="AK151" s="207" t="str">
        <f>IF(COUNT(F151:AJ151)=0,"",SUM(F151:AJ151))</f>
        <v/>
      </c>
    </row>
    <row r="152" ht="15.75" customHeight="1">
      <c r="A152" s="261"/>
      <c r="B152" s="254"/>
      <c r="C152" s="201" t="inlineStr">
        <is>
          <t xml:space="preserve">Backlog Intralog</t>
        </is>
      </c>
      <c r="D152" s="202" t="str">
        <f>IFERROR(1/(1/INDEX(BD!$AL$42:$BF$42,MATCH($A$146,BD!$AL$22:$BF$22,0))),"")</f>
        <v/>
      </c>
      <c r="E152" s="203"/>
      <c r="F152" s="204" t="str">
        <f>IF(F$3="","",IF(COUNTIFS(BD!$A$3:$A$5001,F$3,BD!$B$3:$B$5001,$A$146,BD!$V$3:$V$5001,"&lt;&gt;")=0,"",SUMIFS(BD!$V$3:$V$5001,BD!$A$3:$A$5001,F$3,BD!$B$3:$B$5001,$A$146)))</f>
        <v/>
      </c>
      <c r="G152" s="205" t="str">
        <f>IF(G$3="","",IF(COUNTIFS(BD!$A$3:$A$5001,G$3,BD!$B$3:$B$5001,$A$146,BD!$V$3:$V$5001,"&lt;&gt;")=0,"",SUMIFS(BD!$V$3:$V$5001,BD!$A$3:$A$5001,G$3,BD!$B$3:$B$5001,$A$146)))</f>
        <v/>
      </c>
      <c r="H152" s="205" t="str">
        <f>IF(H$3="","",IF(COUNTIFS(BD!$A$3:$A$5001,H$3,BD!$B$3:$B$5001,$A$146,BD!$V$3:$V$5001,"&lt;&gt;")=0,"",SUMIFS(BD!$V$3:$V$5001,BD!$A$3:$A$5001,H$3,BD!$B$3:$B$5001,$A$146)))</f>
        <v/>
      </c>
      <c r="I152" s="205" t="str">
        <f>IF(I$3="","",IF(COUNTIFS(BD!$A$3:$A$5001,I$3,BD!$B$3:$B$5001,$A$146,BD!$V$3:$V$5001,"&lt;&gt;")=0,"",SUMIFS(BD!$V$3:$V$5001,BD!$A$3:$A$5001,I$3,BD!$B$3:$B$5001,$A$146)))</f>
        <v/>
      </c>
      <c r="J152" s="205" t="str">
        <f>IF(J$3="","",IF(COUNTIFS(BD!$A$3:$A$5001,J$3,BD!$B$3:$B$5001,$A$146,BD!$V$3:$V$5001,"&lt;&gt;")=0,"",SUMIFS(BD!$V$3:$V$5001,BD!$A$3:$A$5001,J$3,BD!$B$3:$B$5001,$A$146)))</f>
        <v/>
      </c>
      <c r="K152" s="205" t="str">
        <f>IF(K$3="","",IF(COUNTIFS(BD!$A$3:$A$5001,K$3,BD!$B$3:$B$5001,$A$146,BD!$V$3:$V$5001,"&lt;&gt;")=0,"",SUMIFS(BD!$V$3:$V$5001,BD!$A$3:$A$5001,K$3,BD!$B$3:$B$5001,$A$146)))</f>
        <v/>
      </c>
      <c r="L152" s="205" t="str">
        <f>IF(L$3="","",IF(COUNTIFS(BD!$A$3:$A$5001,L$3,BD!$B$3:$B$5001,$A$146,BD!$V$3:$V$5001,"&lt;&gt;")=0,"",SUMIFS(BD!$V$3:$V$5001,BD!$A$3:$A$5001,L$3,BD!$B$3:$B$5001,$A$146)))</f>
        <v/>
      </c>
      <c r="M152" s="205" t="str">
        <f>IF(M$3="","",IF(COUNTIFS(BD!$A$3:$A$5001,M$3,BD!$B$3:$B$5001,$A$146,BD!$V$3:$V$5001,"&lt;&gt;")=0,"",SUMIFS(BD!$V$3:$V$5001,BD!$A$3:$A$5001,M$3,BD!$B$3:$B$5001,$A$146)))</f>
        <v/>
      </c>
      <c r="N152" s="205" t="str">
        <f>IF(N$3="","",IF(COUNTIFS(BD!$A$3:$A$5001,N$3,BD!$B$3:$B$5001,$A$146,BD!$V$3:$V$5001,"&lt;&gt;")=0,"",SUMIFS(BD!$V$3:$V$5001,BD!$A$3:$A$5001,N$3,BD!$B$3:$B$5001,$A$146)))</f>
        <v/>
      </c>
      <c r="O152" s="205" t="str">
        <f>IF(O$3="","",IF(COUNTIFS(BD!$A$3:$A$5001,O$3,BD!$B$3:$B$5001,$A$146,BD!$V$3:$V$5001,"&lt;&gt;")=0,"",SUMIFS(BD!$V$3:$V$5001,BD!$A$3:$A$5001,O$3,BD!$B$3:$B$5001,$A$146)))</f>
        <v/>
      </c>
      <c r="P152" s="205" t="str">
        <f>IF(P$3="","",IF(COUNTIFS(BD!$A$3:$A$5001,P$3,BD!$B$3:$B$5001,$A$146,BD!$V$3:$V$5001,"&lt;&gt;")=0,"",SUMIFS(BD!$V$3:$V$5001,BD!$A$3:$A$5001,P$3,BD!$B$3:$B$5001,$A$146)))</f>
        <v/>
      </c>
      <c r="Q152" s="205" t="str">
        <f>IF(Q$3="","",IF(COUNTIFS(BD!$A$3:$A$5001,Q$3,BD!$B$3:$B$5001,$A$146,BD!$V$3:$V$5001,"&lt;&gt;")=0,"",SUMIFS(BD!$V$3:$V$5001,BD!$A$3:$A$5001,Q$3,BD!$B$3:$B$5001,$A$146)))</f>
        <v/>
      </c>
      <c r="R152" s="205" t="str">
        <f>IF(R$3="","",IF(COUNTIFS(BD!$A$3:$A$5001,R$3,BD!$B$3:$B$5001,$A$146,BD!$V$3:$V$5001,"&lt;&gt;")=0,"",SUMIFS(BD!$V$3:$V$5001,BD!$A$3:$A$5001,R$3,BD!$B$3:$B$5001,$A$146)))</f>
        <v/>
      </c>
      <c r="S152" s="205" t="str">
        <f>IF(S$3="","",IF(COUNTIFS(BD!$A$3:$A$5001,S$3,BD!$B$3:$B$5001,$A$146,BD!$V$3:$V$5001,"&lt;&gt;")=0,"",SUMIFS(BD!$V$3:$V$5001,BD!$A$3:$A$5001,S$3,BD!$B$3:$B$5001,$A$146)))</f>
        <v/>
      </c>
      <c r="T152" s="205" t="str">
        <f>IF(T$3="","",IF(COUNTIFS(BD!$A$3:$A$5001,T$3,BD!$B$3:$B$5001,$A$146,BD!$V$3:$V$5001,"&lt;&gt;")=0,"",SUMIFS(BD!$V$3:$V$5001,BD!$A$3:$A$5001,T$3,BD!$B$3:$B$5001,$A$146)))</f>
        <v/>
      </c>
      <c r="U152" s="205" t="str">
        <f>IF(U$3="","",IF(COUNTIFS(BD!$A$3:$A$5001,U$3,BD!$B$3:$B$5001,$A$146,BD!$V$3:$V$5001,"&lt;&gt;")=0,"",SUMIFS(BD!$V$3:$V$5001,BD!$A$3:$A$5001,U$3,BD!$B$3:$B$5001,$A$146)))</f>
        <v/>
      </c>
      <c r="V152" s="205" t="str">
        <f>IF(V$3="","",IF(COUNTIFS(BD!$A$3:$A$5001,V$3,BD!$B$3:$B$5001,$A$146,BD!$V$3:$V$5001,"&lt;&gt;")=0,"",SUMIFS(BD!$V$3:$V$5001,BD!$A$3:$A$5001,V$3,BD!$B$3:$B$5001,$A$146)))</f>
        <v/>
      </c>
      <c r="W152" s="205" t="str">
        <f>IF(W$3="","",IF(COUNTIFS(BD!$A$3:$A$5001,W$3,BD!$B$3:$B$5001,$A$146,BD!$V$3:$V$5001,"&lt;&gt;")=0,"",SUMIFS(BD!$V$3:$V$5001,BD!$A$3:$A$5001,W$3,BD!$B$3:$B$5001,$A$146)))</f>
        <v/>
      </c>
      <c r="X152" s="205" t="str">
        <f>IF(X$3="","",IF(COUNTIFS(BD!$A$3:$A$5001,X$3,BD!$B$3:$B$5001,$A$146,BD!$V$3:$V$5001,"&lt;&gt;")=0,"",SUMIFS(BD!$V$3:$V$5001,BD!$A$3:$A$5001,X$3,BD!$B$3:$B$5001,$A$146)))</f>
        <v/>
      </c>
      <c r="Y152" s="205" t="str">
        <f>IF(Y$3="","",IF(COUNTIFS(BD!$A$3:$A$5001,Y$3,BD!$B$3:$B$5001,$A$146,BD!$V$3:$V$5001,"&lt;&gt;")=0,"",SUMIFS(BD!$V$3:$V$5001,BD!$A$3:$A$5001,Y$3,BD!$B$3:$B$5001,$A$146)))</f>
        <v/>
      </c>
      <c r="Z152" s="205" t="str">
        <f>IF(Z$3="","",IF(COUNTIFS(BD!$A$3:$A$5001,Z$3,BD!$B$3:$B$5001,$A$146,BD!$V$3:$V$5001,"&lt;&gt;")=0,"",SUMIFS(BD!$V$3:$V$5001,BD!$A$3:$A$5001,Z$3,BD!$B$3:$B$5001,$A$146)))</f>
        <v/>
      </c>
      <c r="AA152" s="205" t="str">
        <f>IF(AA$3="","",IF(COUNTIFS(BD!$A$3:$A$5001,AA$3,BD!$B$3:$B$5001,$A$146,BD!$V$3:$V$5001,"&lt;&gt;")=0,"",SUMIFS(BD!$V$3:$V$5001,BD!$A$3:$A$5001,AA$3,BD!$B$3:$B$5001,$A$146)))</f>
        <v/>
      </c>
      <c r="AB152" s="205" t="str">
        <f>IF(AB$3="","",IF(COUNTIFS(BD!$A$3:$A$5001,AB$3,BD!$B$3:$B$5001,$A$146,BD!$V$3:$V$5001,"&lt;&gt;")=0,"",SUMIFS(BD!$V$3:$V$5001,BD!$A$3:$A$5001,AB$3,BD!$B$3:$B$5001,$A$146)))</f>
        <v/>
      </c>
      <c r="AC152" s="205" t="str">
        <f>IF(AC$3="","",IF(COUNTIFS(BD!$A$3:$A$5001,AC$3,BD!$B$3:$B$5001,$A$146,BD!$V$3:$V$5001,"&lt;&gt;")=0,"",SUMIFS(BD!$V$3:$V$5001,BD!$A$3:$A$5001,AC$3,BD!$B$3:$B$5001,$A$146)))</f>
        <v/>
      </c>
      <c r="AD152" s="205" t="str">
        <f>IF(AD$3="","",IF(COUNTIFS(BD!$A$3:$A$5001,AD$3,BD!$B$3:$B$5001,$A$146,BD!$V$3:$V$5001,"&lt;&gt;")=0,"",SUMIFS(BD!$V$3:$V$5001,BD!$A$3:$A$5001,AD$3,BD!$B$3:$B$5001,$A$146)))</f>
        <v/>
      </c>
      <c r="AE152" s="205" t="str">
        <f>IF(AE$3="","",IF(COUNTIFS(BD!$A$3:$A$5001,AE$3,BD!$B$3:$B$5001,$A$146,BD!$V$3:$V$5001,"&lt;&gt;")=0,"",SUMIFS(BD!$V$3:$V$5001,BD!$A$3:$A$5001,AE$3,BD!$B$3:$B$5001,$A$146)))</f>
        <v/>
      </c>
      <c r="AF152" s="205" t="str">
        <f>IF(AF$3="","",IF(COUNTIFS(BD!$A$3:$A$5001,AF$3,BD!$B$3:$B$5001,$A$146,BD!$V$3:$V$5001,"&lt;&gt;")=0,"",SUMIFS(BD!$V$3:$V$5001,BD!$A$3:$A$5001,AF$3,BD!$B$3:$B$5001,$A$146)))</f>
        <v/>
      </c>
      <c r="AG152" s="205" t="str">
        <f>IF(AG$3="","",IF(COUNTIFS(BD!$A$3:$A$5001,AG$3,BD!$B$3:$B$5001,$A$146,BD!$V$3:$V$5001,"&lt;&gt;")=0,"",SUMIFS(BD!$V$3:$V$5001,BD!$A$3:$A$5001,AG$3,BD!$B$3:$B$5001,$A$146)))</f>
        <v/>
      </c>
      <c r="AH152" s="205" t="str">
        <f>IF(AH$3="","",IF(COUNTIFS(BD!$A$3:$A$5001,AH$3,BD!$B$3:$B$5001,$A$146,BD!$V$3:$V$5001,"&lt;&gt;")=0,"",SUMIFS(BD!$V$3:$V$5001,BD!$A$3:$A$5001,AH$3,BD!$B$3:$B$5001,$A$146)))</f>
        <v/>
      </c>
      <c r="AI152" s="205" t="str">
        <f>IF(AI$3="","",IF(COUNTIFS(BD!$A$3:$A$5001,AI$3,BD!$B$3:$B$5001,$A$146,BD!$V$3:$V$5001,"&lt;&gt;")=0,"",SUMIFS(BD!$V$3:$V$5001,BD!$A$3:$A$5001,AI$3,BD!$B$3:$B$5001,$A$146)))</f>
        <v/>
      </c>
      <c r="AJ152" s="206" t="str">
        <f>IF(AJ$3="","",IF(COUNTIFS(BD!$A$3:$A$5001,AJ$3,BD!$B$3:$B$5001,$A$146,BD!$V$3:$V$5001,"&lt;&gt;")=0,"",SUMIFS(BD!$V$3:$V$5001,BD!$A$3:$A$5001,AJ$3,BD!$B$3:$B$5001,$A$146)))</f>
        <v/>
      </c>
      <c r="AK152" s="207" t="str">
        <f>IFERROR(LOOKUP(9.99E+307,F152:AJ152),"")</f>
        <v/>
      </c>
    </row>
    <row r="153" ht="15.75" customHeight="1">
      <c r="A153" s="261"/>
      <c r="B153" s="255"/>
      <c r="C153" s="208" t="inlineStr">
        <is>
          <t xml:space="preserve">Backlog Cliente</t>
        </is>
      </c>
      <c r="D153" s="209" t="str">
        <f>IFERROR(1/(1/INDEX(BD!$AL$43:$BF$43,MATCH($A$146,BD!$AL$22:$BF$22,0))),"")</f>
        <v/>
      </c>
      <c r="E153" s="210"/>
      <c r="F153" s="211" t="str">
        <f>IF(F$3="","",IF(COUNTIFS(BD!$A$3:$A$5001,F$3,BD!$B$3:$B$5001,$A$146,BD!$W$3:$W$5001,"&lt;&gt;")=0,"",SUMIFS(BD!$W$3:$W$5001,BD!$A$3:$A$5001,F$3,BD!$B$3:$B$5001,$A$146)))</f>
        <v/>
      </c>
      <c r="G153" s="212" t="str">
        <f>IF(G$3="","",IF(COUNTIFS(BD!$A$3:$A$5001,G$3,BD!$B$3:$B$5001,$A$146,BD!$W$3:$W$5001,"&lt;&gt;")=0,"",SUMIFS(BD!$W$3:$W$5001,BD!$A$3:$A$5001,G$3,BD!$B$3:$B$5001,$A$146)))</f>
        <v/>
      </c>
      <c r="H153" s="212" t="str">
        <f>IF(H$3="","",IF(COUNTIFS(BD!$A$3:$A$5001,H$3,BD!$B$3:$B$5001,$A$146,BD!$W$3:$W$5001,"&lt;&gt;")=0,"",SUMIFS(BD!$W$3:$W$5001,BD!$A$3:$A$5001,H$3,BD!$B$3:$B$5001,$A$146)))</f>
        <v/>
      </c>
      <c r="I153" s="212" t="str">
        <f>IF(I$3="","",IF(COUNTIFS(BD!$A$3:$A$5001,I$3,BD!$B$3:$B$5001,$A$146,BD!$W$3:$W$5001,"&lt;&gt;")=0,"",SUMIFS(BD!$W$3:$W$5001,BD!$A$3:$A$5001,I$3,BD!$B$3:$B$5001,$A$146)))</f>
        <v/>
      </c>
      <c r="J153" s="212" t="str">
        <f>IF(J$3="","",IF(COUNTIFS(BD!$A$3:$A$5001,J$3,BD!$B$3:$B$5001,$A$146,BD!$W$3:$W$5001,"&lt;&gt;")=0,"",SUMIFS(BD!$W$3:$W$5001,BD!$A$3:$A$5001,J$3,BD!$B$3:$B$5001,$A$146)))</f>
        <v/>
      </c>
      <c r="K153" s="212" t="str">
        <f>IF(K$3="","",IF(COUNTIFS(BD!$A$3:$A$5001,K$3,BD!$B$3:$B$5001,$A$146,BD!$W$3:$W$5001,"&lt;&gt;")=0,"",SUMIFS(BD!$W$3:$W$5001,BD!$A$3:$A$5001,K$3,BD!$B$3:$B$5001,$A$146)))</f>
        <v/>
      </c>
      <c r="L153" s="212" t="str">
        <f>IF(L$3="","",IF(COUNTIFS(BD!$A$3:$A$5001,L$3,BD!$B$3:$B$5001,$A$146,BD!$W$3:$W$5001,"&lt;&gt;")=0,"",SUMIFS(BD!$W$3:$W$5001,BD!$A$3:$A$5001,L$3,BD!$B$3:$B$5001,$A$146)))</f>
        <v/>
      </c>
      <c r="M153" s="212" t="str">
        <f>IF(M$3="","",IF(COUNTIFS(BD!$A$3:$A$5001,M$3,BD!$B$3:$B$5001,$A$146,BD!$W$3:$W$5001,"&lt;&gt;")=0,"",SUMIFS(BD!$W$3:$W$5001,BD!$A$3:$A$5001,M$3,BD!$B$3:$B$5001,$A$146)))</f>
        <v/>
      </c>
      <c r="N153" s="212" t="str">
        <f>IF(N$3="","",IF(COUNTIFS(BD!$A$3:$A$5001,N$3,BD!$B$3:$B$5001,$A$146,BD!$W$3:$W$5001,"&lt;&gt;")=0,"",SUMIFS(BD!$W$3:$W$5001,BD!$A$3:$A$5001,N$3,BD!$B$3:$B$5001,$A$146)))</f>
        <v/>
      </c>
      <c r="O153" s="212" t="str">
        <f>IF(O$3="","",IF(COUNTIFS(BD!$A$3:$A$5001,O$3,BD!$B$3:$B$5001,$A$146,BD!$W$3:$W$5001,"&lt;&gt;")=0,"",SUMIFS(BD!$W$3:$W$5001,BD!$A$3:$A$5001,O$3,BD!$B$3:$B$5001,$A$146)))</f>
        <v/>
      </c>
      <c r="P153" s="212" t="str">
        <f>IF(P$3="","",IF(COUNTIFS(BD!$A$3:$A$5001,P$3,BD!$B$3:$B$5001,$A$146,BD!$W$3:$W$5001,"&lt;&gt;")=0,"",SUMIFS(BD!$W$3:$W$5001,BD!$A$3:$A$5001,P$3,BD!$B$3:$B$5001,$A$146)))</f>
        <v/>
      </c>
      <c r="Q153" s="212" t="str">
        <f>IF(Q$3="","",IF(COUNTIFS(BD!$A$3:$A$5001,Q$3,BD!$B$3:$B$5001,$A$146,BD!$W$3:$W$5001,"&lt;&gt;")=0,"",SUMIFS(BD!$W$3:$W$5001,BD!$A$3:$A$5001,Q$3,BD!$B$3:$B$5001,$A$146)))</f>
        <v/>
      </c>
      <c r="R153" s="212" t="str">
        <f>IF(R$3="","",IF(COUNTIFS(BD!$A$3:$A$5001,R$3,BD!$B$3:$B$5001,$A$146,BD!$W$3:$W$5001,"&lt;&gt;")=0,"",SUMIFS(BD!$W$3:$W$5001,BD!$A$3:$A$5001,R$3,BD!$B$3:$B$5001,$A$146)))</f>
        <v/>
      </c>
      <c r="S153" s="212" t="str">
        <f>IF(S$3="","",IF(COUNTIFS(BD!$A$3:$A$5001,S$3,BD!$B$3:$B$5001,$A$146,BD!$W$3:$W$5001,"&lt;&gt;")=0,"",SUMIFS(BD!$W$3:$W$5001,BD!$A$3:$A$5001,S$3,BD!$B$3:$B$5001,$A$146)))</f>
        <v/>
      </c>
      <c r="T153" s="212" t="str">
        <f>IF(T$3="","",IF(COUNTIFS(BD!$A$3:$A$5001,T$3,BD!$B$3:$B$5001,$A$146,BD!$W$3:$W$5001,"&lt;&gt;")=0,"",SUMIFS(BD!$W$3:$W$5001,BD!$A$3:$A$5001,T$3,BD!$B$3:$B$5001,$A$146)))</f>
        <v/>
      </c>
      <c r="U153" s="212" t="str">
        <f>IF(U$3="","",IF(COUNTIFS(BD!$A$3:$A$5001,U$3,BD!$B$3:$B$5001,$A$146,BD!$W$3:$W$5001,"&lt;&gt;")=0,"",SUMIFS(BD!$W$3:$W$5001,BD!$A$3:$A$5001,U$3,BD!$B$3:$B$5001,$A$146)))</f>
        <v/>
      </c>
      <c r="V153" s="212" t="str">
        <f>IF(V$3="","",IF(COUNTIFS(BD!$A$3:$A$5001,V$3,BD!$B$3:$B$5001,$A$146,BD!$W$3:$W$5001,"&lt;&gt;")=0,"",SUMIFS(BD!$W$3:$W$5001,BD!$A$3:$A$5001,V$3,BD!$B$3:$B$5001,$A$146)))</f>
        <v/>
      </c>
      <c r="W153" s="212" t="str">
        <f>IF(W$3="","",IF(COUNTIFS(BD!$A$3:$A$5001,W$3,BD!$B$3:$B$5001,$A$146,BD!$W$3:$W$5001,"&lt;&gt;")=0,"",SUMIFS(BD!$W$3:$W$5001,BD!$A$3:$A$5001,W$3,BD!$B$3:$B$5001,$A$146)))</f>
        <v/>
      </c>
      <c r="X153" s="212" t="str">
        <f>IF(X$3="","",IF(COUNTIFS(BD!$A$3:$A$5001,X$3,BD!$B$3:$B$5001,$A$146,BD!$W$3:$W$5001,"&lt;&gt;")=0,"",SUMIFS(BD!$W$3:$W$5001,BD!$A$3:$A$5001,X$3,BD!$B$3:$B$5001,$A$146)))</f>
        <v/>
      </c>
      <c r="Y153" s="212" t="str">
        <f>IF(Y$3="","",IF(COUNTIFS(BD!$A$3:$A$5001,Y$3,BD!$B$3:$B$5001,$A$146,BD!$W$3:$W$5001,"&lt;&gt;")=0,"",SUMIFS(BD!$W$3:$W$5001,BD!$A$3:$A$5001,Y$3,BD!$B$3:$B$5001,$A$146)))</f>
        <v/>
      </c>
      <c r="Z153" s="212" t="str">
        <f>IF(Z$3="","",IF(COUNTIFS(BD!$A$3:$A$5001,Z$3,BD!$B$3:$B$5001,$A$146,BD!$W$3:$W$5001,"&lt;&gt;")=0,"",SUMIFS(BD!$W$3:$W$5001,BD!$A$3:$A$5001,Z$3,BD!$B$3:$B$5001,$A$146)))</f>
        <v/>
      </c>
      <c r="AA153" s="212" t="str">
        <f>IF(AA$3="","",IF(COUNTIFS(BD!$A$3:$A$5001,AA$3,BD!$B$3:$B$5001,$A$146,BD!$W$3:$W$5001,"&lt;&gt;")=0,"",SUMIFS(BD!$W$3:$W$5001,BD!$A$3:$A$5001,AA$3,BD!$B$3:$B$5001,$A$146)))</f>
        <v/>
      </c>
      <c r="AB153" s="212" t="str">
        <f>IF(AB$3="","",IF(COUNTIFS(BD!$A$3:$A$5001,AB$3,BD!$B$3:$B$5001,$A$146,BD!$W$3:$W$5001,"&lt;&gt;")=0,"",SUMIFS(BD!$W$3:$W$5001,BD!$A$3:$A$5001,AB$3,BD!$B$3:$B$5001,$A$146)))</f>
        <v/>
      </c>
      <c r="AC153" s="212" t="str">
        <f>IF(AC$3="","",IF(COUNTIFS(BD!$A$3:$A$5001,AC$3,BD!$B$3:$B$5001,$A$146,BD!$W$3:$W$5001,"&lt;&gt;")=0,"",SUMIFS(BD!$W$3:$W$5001,BD!$A$3:$A$5001,AC$3,BD!$B$3:$B$5001,$A$146)))</f>
        <v/>
      </c>
      <c r="AD153" s="212" t="str">
        <f>IF(AD$3="","",IF(COUNTIFS(BD!$A$3:$A$5001,AD$3,BD!$B$3:$B$5001,$A$146,BD!$W$3:$W$5001,"&lt;&gt;")=0,"",SUMIFS(BD!$W$3:$W$5001,BD!$A$3:$A$5001,AD$3,BD!$B$3:$B$5001,$A$146)))</f>
        <v/>
      </c>
      <c r="AE153" s="212" t="str">
        <f>IF(AE$3="","",IF(COUNTIFS(BD!$A$3:$A$5001,AE$3,BD!$B$3:$B$5001,$A$146,BD!$W$3:$W$5001,"&lt;&gt;")=0,"",SUMIFS(BD!$W$3:$W$5001,BD!$A$3:$A$5001,AE$3,BD!$B$3:$B$5001,$A$146)))</f>
        <v/>
      </c>
      <c r="AF153" s="212" t="str">
        <f>IF(AF$3="","",IF(COUNTIFS(BD!$A$3:$A$5001,AF$3,BD!$B$3:$B$5001,$A$146,BD!$W$3:$W$5001,"&lt;&gt;")=0,"",SUMIFS(BD!$W$3:$W$5001,BD!$A$3:$A$5001,AF$3,BD!$B$3:$B$5001,$A$146)))</f>
        <v/>
      </c>
      <c r="AG153" s="212" t="str">
        <f>IF(AG$3="","",IF(COUNTIFS(BD!$A$3:$A$5001,AG$3,BD!$B$3:$B$5001,$A$146,BD!$W$3:$W$5001,"&lt;&gt;")=0,"",SUMIFS(BD!$W$3:$W$5001,BD!$A$3:$A$5001,AG$3,BD!$B$3:$B$5001,$A$146)))</f>
        <v/>
      </c>
      <c r="AH153" s="212" t="str">
        <f>IF(AH$3="","",IF(COUNTIFS(BD!$A$3:$A$5001,AH$3,BD!$B$3:$B$5001,$A$146,BD!$W$3:$W$5001,"&lt;&gt;")=0,"",SUMIFS(BD!$W$3:$W$5001,BD!$A$3:$A$5001,AH$3,BD!$B$3:$B$5001,$A$146)))</f>
        <v/>
      </c>
      <c r="AI153" s="212" t="str">
        <f>IF(AI$3="","",IF(COUNTIFS(BD!$A$3:$A$5001,AI$3,BD!$B$3:$B$5001,$A$146,BD!$W$3:$W$5001,"&lt;&gt;")=0,"",SUMIFS(BD!$W$3:$W$5001,BD!$A$3:$A$5001,AI$3,BD!$B$3:$B$5001,$A$146)))</f>
        <v/>
      </c>
      <c r="AJ153" s="213" t="str">
        <f>IF(AJ$3="","",IF(COUNTIFS(BD!$A$3:$A$5001,AJ$3,BD!$B$3:$B$5001,$A$146,BD!$W$3:$W$5001,"&lt;&gt;")=0,"",SUMIFS(BD!$W$3:$W$5001,BD!$A$3:$A$5001,AJ$3,BD!$B$3:$B$5001,$A$146)))</f>
        <v/>
      </c>
      <c r="AK153" s="209" t="str">
        <f>IFERROR(LOOKUP(9.99E+307,F153:AJ153),"")</f>
        <v/>
      </c>
    </row>
    <row r="154" ht="15.75" customHeight="1">
      <c r="A154" s="261"/>
      <c r="B154" s="249" t="inlineStr">
        <is>
          <t xml:space="preserve">OCUPAÇÃO (P.P)</t>
        </is>
      </c>
      <c r="C154" s="168" t="inlineStr">
        <is>
          <t xml:space="preserve">Posições Disponíveis</t>
        </is>
      </c>
      <c r="D154" s="169" t="str">
        <f>IFERROR(1/(1/INDEX(BD!$AL$44:$BF$44,MATCH($A$146,BD!$AL$22:$BF$22,0))),"")</f>
        <v/>
      </c>
      <c r="E154" s="170"/>
      <c r="F154" s="171" t="str">
        <f>IF(F$3="","",IF(COUNTIFS(BD!$A$3:$A$5001,F$3,BD!$B$3:$B$5001,$A$146,BD!$X$3:$X$5001,"&lt;&gt;")=0,"",SUMIFS(BD!$X$3:$X$5001,BD!$A$3:$A$5001,F$3,BD!$B$3:$B$5001,$A$146)))</f>
        <v/>
      </c>
      <c r="G154" s="172" t="str">
        <f>IF(G$3="","",IF(COUNTIFS(BD!$A$3:$A$5001,G$3,BD!$B$3:$B$5001,$A$146,BD!$X$3:$X$5001,"&lt;&gt;")=0,"",SUMIFS(BD!$X$3:$X$5001,BD!$A$3:$A$5001,G$3,BD!$B$3:$B$5001,$A$146)))</f>
        <v/>
      </c>
      <c r="H154" s="172" t="str">
        <f>IF(H$3="","",IF(COUNTIFS(BD!$A$3:$A$5001,H$3,BD!$B$3:$B$5001,$A$146,BD!$X$3:$X$5001,"&lt;&gt;")=0,"",SUMIFS(BD!$X$3:$X$5001,BD!$A$3:$A$5001,H$3,BD!$B$3:$B$5001,$A$146)))</f>
        <v/>
      </c>
      <c r="I154" s="172" t="str">
        <f>IF(I$3="","",IF(COUNTIFS(BD!$A$3:$A$5001,I$3,BD!$B$3:$B$5001,$A$146,BD!$X$3:$X$5001,"&lt;&gt;")=0,"",SUMIFS(BD!$X$3:$X$5001,BD!$A$3:$A$5001,I$3,BD!$B$3:$B$5001,$A$146)))</f>
        <v/>
      </c>
      <c r="J154" s="172" t="str">
        <f>IF(J$3="","",IF(COUNTIFS(BD!$A$3:$A$5001,J$3,BD!$B$3:$B$5001,$A$146,BD!$X$3:$X$5001,"&lt;&gt;")=0,"",SUMIFS(BD!$X$3:$X$5001,BD!$A$3:$A$5001,J$3,BD!$B$3:$B$5001,$A$146)))</f>
        <v/>
      </c>
      <c r="K154" s="172" t="str">
        <f>IF(K$3="","",IF(COUNTIFS(BD!$A$3:$A$5001,K$3,BD!$B$3:$B$5001,$A$146,BD!$X$3:$X$5001,"&lt;&gt;")=0,"",SUMIFS(BD!$X$3:$X$5001,BD!$A$3:$A$5001,K$3,BD!$B$3:$B$5001,$A$146)))</f>
        <v/>
      </c>
      <c r="L154" s="172" t="str">
        <f>IF(L$3="","",IF(COUNTIFS(BD!$A$3:$A$5001,L$3,BD!$B$3:$B$5001,$A$146,BD!$X$3:$X$5001,"&lt;&gt;")=0,"",SUMIFS(BD!$X$3:$X$5001,BD!$A$3:$A$5001,L$3,BD!$B$3:$B$5001,$A$146)))</f>
        <v/>
      </c>
      <c r="M154" s="172" t="str">
        <f>IF(M$3="","",IF(COUNTIFS(BD!$A$3:$A$5001,M$3,BD!$B$3:$B$5001,$A$146,BD!$X$3:$X$5001,"&lt;&gt;")=0,"",SUMIFS(BD!$X$3:$X$5001,BD!$A$3:$A$5001,M$3,BD!$B$3:$B$5001,$A$146)))</f>
        <v/>
      </c>
      <c r="N154" s="172" t="str">
        <f>IF(N$3="","",IF(COUNTIFS(BD!$A$3:$A$5001,N$3,BD!$B$3:$B$5001,$A$146,BD!$X$3:$X$5001,"&lt;&gt;")=0,"",SUMIFS(BD!$X$3:$X$5001,BD!$A$3:$A$5001,N$3,BD!$B$3:$B$5001,$A$146)))</f>
        <v/>
      </c>
      <c r="O154" s="172" t="str">
        <f>IF(O$3="","",IF(COUNTIFS(BD!$A$3:$A$5001,O$3,BD!$B$3:$B$5001,$A$146,BD!$X$3:$X$5001,"&lt;&gt;")=0,"",SUMIFS(BD!$X$3:$X$5001,BD!$A$3:$A$5001,O$3,BD!$B$3:$B$5001,$A$146)))</f>
        <v/>
      </c>
      <c r="P154" s="172" t="str">
        <f>IF(P$3="","",IF(COUNTIFS(BD!$A$3:$A$5001,P$3,BD!$B$3:$B$5001,$A$146,BD!$X$3:$X$5001,"&lt;&gt;")=0,"",SUMIFS(BD!$X$3:$X$5001,BD!$A$3:$A$5001,P$3,BD!$B$3:$B$5001,$A$146)))</f>
        <v/>
      </c>
      <c r="Q154" s="172" t="str">
        <f>IF(Q$3="","",IF(COUNTIFS(BD!$A$3:$A$5001,Q$3,BD!$B$3:$B$5001,$A$146,BD!$X$3:$X$5001,"&lt;&gt;")=0,"",SUMIFS(BD!$X$3:$X$5001,BD!$A$3:$A$5001,Q$3,BD!$B$3:$B$5001,$A$146)))</f>
        <v/>
      </c>
      <c r="R154" s="172" t="str">
        <f>IF(R$3="","",IF(COUNTIFS(BD!$A$3:$A$5001,R$3,BD!$B$3:$B$5001,$A$146,BD!$X$3:$X$5001,"&lt;&gt;")=0,"",SUMIFS(BD!$X$3:$X$5001,BD!$A$3:$A$5001,R$3,BD!$B$3:$B$5001,$A$146)))</f>
        <v/>
      </c>
      <c r="S154" s="172" t="str">
        <f>IF(S$3="","",IF(COUNTIFS(BD!$A$3:$A$5001,S$3,BD!$B$3:$B$5001,$A$146,BD!$X$3:$X$5001,"&lt;&gt;")=0,"",SUMIFS(BD!$X$3:$X$5001,BD!$A$3:$A$5001,S$3,BD!$B$3:$B$5001,$A$146)))</f>
        <v/>
      </c>
      <c r="T154" s="172" t="str">
        <f>IF(T$3="","",IF(COUNTIFS(BD!$A$3:$A$5001,T$3,BD!$B$3:$B$5001,$A$146,BD!$X$3:$X$5001,"&lt;&gt;")=0,"",SUMIFS(BD!$X$3:$X$5001,BD!$A$3:$A$5001,T$3,BD!$B$3:$B$5001,$A$146)))</f>
        <v/>
      </c>
      <c r="U154" s="172" t="str">
        <f>IF(U$3="","",IF(COUNTIFS(BD!$A$3:$A$5001,U$3,BD!$B$3:$B$5001,$A$146,BD!$X$3:$X$5001,"&lt;&gt;")=0,"",SUMIFS(BD!$X$3:$X$5001,BD!$A$3:$A$5001,U$3,BD!$B$3:$B$5001,$A$146)))</f>
        <v/>
      </c>
      <c r="V154" s="172" t="str">
        <f>IF(V$3="","",IF(COUNTIFS(BD!$A$3:$A$5001,V$3,BD!$B$3:$B$5001,$A$146,BD!$X$3:$X$5001,"&lt;&gt;")=0,"",SUMIFS(BD!$X$3:$X$5001,BD!$A$3:$A$5001,V$3,BD!$B$3:$B$5001,$A$146)))</f>
        <v/>
      </c>
      <c r="W154" s="172" t="str">
        <f>IF(W$3="","",IF(COUNTIFS(BD!$A$3:$A$5001,W$3,BD!$B$3:$B$5001,$A$146,BD!$X$3:$X$5001,"&lt;&gt;")=0,"",SUMIFS(BD!$X$3:$X$5001,BD!$A$3:$A$5001,W$3,BD!$B$3:$B$5001,$A$146)))</f>
        <v/>
      </c>
      <c r="X154" s="172" t="str">
        <f>IF(X$3="","",IF(COUNTIFS(BD!$A$3:$A$5001,X$3,BD!$B$3:$B$5001,$A$146,BD!$X$3:$X$5001,"&lt;&gt;")=0,"",SUMIFS(BD!$X$3:$X$5001,BD!$A$3:$A$5001,X$3,BD!$B$3:$B$5001,$A$146)))</f>
        <v/>
      </c>
      <c r="Y154" s="172" t="str">
        <f>IF(Y$3="","",IF(COUNTIFS(BD!$A$3:$A$5001,Y$3,BD!$B$3:$B$5001,$A$146,BD!$X$3:$X$5001,"&lt;&gt;")=0,"",SUMIFS(BD!$X$3:$X$5001,BD!$A$3:$A$5001,Y$3,BD!$B$3:$B$5001,$A$146)))</f>
        <v/>
      </c>
      <c r="Z154" s="172" t="str">
        <f>IF(Z$3="","",IF(COUNTIFS(BD!$A$3:$A$5001,Z$3,BD!$B$3:$B$5001,$A$146,BD!$X$3:$X$5001,"&lt;&gt;")=0,"",SUMIFS(BD!$X$3:$X$5001,BD!$A$3:$A$5001,Z$3,BD!$B$3:$B$5001,$A$146)))</f>
        <v/>
      </c>
      <c r="AA154" s="172" t="str">
        <f>IF(AA$3="","",IF(COUNTIFS(BD!$A$3:$A$5001,AA$3,BD!$B$3:$B$5001,$A$146,BD!$X$3:$X$5001,"&lt;&gt;")=0,"",SUMIFS(BD!$X$3:$X$5001,BD!$A$3:$A$5001,AA$3,BD!$B$3:$B$5001,$A$146)))</f>
        <v/>
      </c>
      <c r="AB154" s="172" t="str">
        <f>IF(AB$3="","",IF(COUNTIFS(BD!$A$3:$A$5001,AB$3,BD!$B$3:$B$5001,$A$146,BD!$X$3:$X$5001,"&lt;&gt;")=0,"",SUMIFS(BD!$X$3:$X$5001,BD!$A$3:$A$5001,AB$3,BD!$B$3:$B$5001,$A$146)))</f>
        <v/>
      </c>
      <c r="AC154" s="172" t="str">
        <f>IF(AC$3="","",IF(COUNTIFS(BD!$A$3:$A$5001,AC$3,BD!$B$3:$B$5001,$A$146,BD!$X$3:$X$5001,"&lt;&gt;")=0,"",SUMIFS(BD!$X$3:$X$5001,BD!$A$3:$A$5001,AC$3,BD!$B$3:$B$5001,$A$146)))</f>
        <v/>
      </c>
      <c r="AD154" s="172" t="str">
        <f>IF(AD$3="","",IF(COUNTIFS(BD!$A$3:$A$5001,AD$3,BD!$B$3:$B$5001,$A$146,BD!$X$3:$X$5001,"&lt;&gt;")=0,"",SUMIFS(BD!$X$3:$X$5001,BD!$A$3:$A$5001,AD$3,BD!$B$3:$B$5001,$A$146)))</f>
        <v/>
      </c>
      <c r="AE154" s="172" t="str">
        <f>IF(AE$3="","",IF(COUNTIFS(BD!$A$3:$A$5001,AE$3,BD!$B$3:$B$5001,$A$146,BD!$X$3:$X$5001,"&lt;&gt;")=0,"",SUMIFS(BD!$X$3:$X$5001,BD!$A$3:$A$5001,AE$3,BD!$B$3:$B$5001,$A$146)))</f>
        <v/>
      </c>
      <c r="AF154" s="172" t="str">
        <f>IF(AF$3="","",IF(COUNTIFS(BD!$A$3:$A$5001,AF$3,BD!$B$3:$B$5001,$A$146,BD!$X$3:$X$5001,"&lt;&gt;")=0,"",SUMIFS(BD!$X$3:$X$5001,BD!$A$3:$A$5001,AF$3,BD!$B$3:$B$5001,$A$146)))</f>
        <v/>
      </c>
      <c r="AG154" s="172" t="str">
        <f>IF(AG$3="","",IF(COUNTIFS(BD!$A$3:$A$5001,AG$3,BD!$B$3:$B$5001,$A$146,BD!$X$3:$X$5001,"&lt;&gt;")=0,"",SUMIFS(BD!$X$3:$X$5001,BD!$A$3:$A$5001,AG$3,BD!$B$3:$B$5001,$A$146)))</f>
        <v/>
      </c>
      <c r="AH154" s="172" t="str">
        <f>IF(AH$3="","",IF(COUNTIFS(BD!$A$3:$A$5001,AH$3,BD!$B$3:$B$5001,$A$146,BD!$X$3:$X$5001,"&lt;&gt;")=0,"",SUMIFS(BD!$X$3:$X$5001,BD!$A$3:$A$5001,AH$3,BD!$B$3:$B$5001,$A$146)))</f>
        <v/>
      </c>
      <c r="AI154" s="172" t="str">
        <f>IF(AI$3="","",IF(COUNTIFS(BD!$A$3:$A$5001,AI$3,BD!$B$3:$B$5001,$A$146,BD!$X$3:$X$5001,"&lt;&gt;")=0,"",SUMIFS(BD!$X$3:$X$5001,BD!$A$3:$A$5001,AI$3,BD!$B$3:$B$5001,$A$146)))</f>
        <v/>
      </c>
      <c r="AJ154" s="173" t="str">
        <f>IF(AJ$3="","",IF(COUNTIFS(BD!$A$3:$A$5001,AJ$3,BD!$B$3:$B$5001,$A$146,BD!$X$3:$X$5001,"&lt;&gt;")=0,"",SUMIFS(BD!$X$3:$X$5001,BD!$A$3:$A$5001,AJ$3,BD!$B$3:$B$5001,$A$146)))</f>
        <v/>
      </c>
      <c r="AK154" s="174" t="str">
        <f>IF(COUNT(F154:AJ154)&gt;0,LOOKUP(9.99E+307,F154:AJ154),IFERROR(IF(INDEX(BD!$AI$3:$AI$5001,MATCH($A$146,BD!$B$3:$B$5001,0))&amp;""="Contrato","",INDEX(BD!$AI$3:$AI$5001,MATCH($A$146,BD!$B$3:$B$5001,0))&amp;""),""))</f>
        <v/>
      </c>
    </row>
    <row r="155" ht="15.75" customHeight="1">
      <c r="A155" s="261"/>
      <c r="B155" s="256"/>
      <c r="C155" s="214" t="inlineStr">
        <is>
          <t xml:space="preserve">Posições Ocupadas</t>
        </is>
      </c>
      <c r="D155" s="215" t="str">
        <f>IFERROR(1/(1/INDEX(BD!$AL$45:$BF$45,MATCH($A$146,BD!$AL$22:$BF$22,0))),"")</f>
        <v/>
      </c>
      <c r="E155" s="216"/>
      <c r="F155" s="217" t="str">
        <f>IF(F$3="","",IF(COUNTIFS(BD!$A$3:$A$5001,F$3,BD!$B$3:$B$5001,$A$146,BD!$Y$3:$Y$5001,"&lt;&gt;")=0,"",SUMIFS(BD!$Y$3:$Y$5001,BD!$A$3:$A$5001,F$3,BD!$B$3:$B$5001,$A$146)))</f>
        <v/>
      </c>
      <c r="G155" s="218" t="str">
        <f>IF(G$3="","",IF(COUNTIFS(BD!$A$3:$A$5001,G$3,BD!$B$3:$B$5001,$A$146,BD!$Y$3:$Y$5001,"&lt;&gt;")=0,"",SUMIFS(BD!$Y$3:$Y$5001,BD!$A$3:$A$5001,G$3,BD!$B$3:$B$5001,$A$146)))</f>
        <v/>
      </c>
      <c r="H155" s="218" t="str">
        <f>IF(H$3="","",IF(COUNTIFS(BD!$A$3:$A$5001,H$3,BD!$B$3:$B$5001,$A$146,BD!$Y$3:$Y$5001,"&lt;&gt;")=0,"",SUMIFS(BD!$Y$3:$Y$5001,BD!$A$3:$A$5001,H$3,BD!$B$3:$B$5001,$A$146)))</f>
        <v/>
      </c>
      <c r="I155" s="218" t="str">
        <f>IF(I$3="","",IF(COUNTIFS(BD!$A$3:$A$5001,I$3,BD!$B$3:$B$5001,$A$146,BD!$Y$3:$Y$5001,"&lt;&gt;")=0,"",SUMIFS(BD!$Y$3:$Y$5001,BD!$A$3:$A$5001,I$3,BD!$B$3:$B$5001,$A$146)))</f>
        <v/>
      </c>
      <c r="J155" s="218" t="str">
        <f>IF(J$3="","",IF(COUNTIFS(BD!$A$3:$A$5001,J$3,BD!$B$3:$B$5001,$A$146,BD!$Y$3:$Y$5001,"&lt;&gt;")=0,"",SUMIFS(BD!$Y$3:$Y$5001,BD!$A$3:$A$5001,J$3,BD!$B$3:$B$5001,$A$146)))</f>
        <v/>
      </c>
      <c r="K155" s="218" t="str">
        <f>IF(K$3="","",IF(COUNTIFS(BD!$A$3:$A$5001,K$3,BD!$B$3:$B$5001,$A$146,BD!$Y$3:$Y$5001,"&lt;&gt;")=0,"",SUMIFS(BD!$Y$3:$Y$5001,BD!$A$3:$A$5001,K$3,BD!$B$3:$B$5001,$A$146)))</f>
        <v/>
      </c>
      <c r="L155" s="218" t="str">
        <f>IF(L$3="","",IF(COUNTIFS(BD!$A$3:$A$5001,L$3,BD!$B$3:$B$5001,$A$146,BD!$Y$3:$Y$5001,"&lt;&gt;")=0,"",SUMIFS(BD!$Y$3:$Y$5001,BD!$A$3:$A$5001,L$3,BD!$B$3:$B$5001,$A$146)))</f>
        <v/>
      </c>
      <c r="M155" s="218" t="str">
        <f>IF(M$3="","",IF(COUNTIFS(BD!$A$3:$A$5001,M$3,BD!$B$3:$B$5001,$A$146,BD!$Y$3:$Y$5001,"&lt;&gt;")=0,"",SUMIFS(BD!$Y$3:$Y$5001,BD!$A$3:$A$5001,M$3,BD!$B$3:$B$5001,$A$146)))</f>
        <v/>
      </c>
      <c r="N155" s="218" t="str">
        <f>IF(N$3="","",IF(COUNTIFS(BD!$A$3:$A$5001,N$3,BD!$B$3:$B$5001,$A$146,BD!$Y$3:$Y$5001,"&lt;&gt;")=0,"",SUMIFS(BD!$Y$3:$Y$5001,BD!$A$3:$A$5001,N$3,BD!$B$3:$B$5001,$A$146)))</f>
        <v/>
      </c>
      <c r="O155" s="218" t="str">
        <f>IF(O$3="","",IF(COUNTIFS(BD!$A$3:$A$5001,O$3,BD!$B$3:$B$5001,$A$146,BD!$Y$3:$Y$5001,"&lt;&gt;")=0,"",SUMIFS(BD!$Y$3:$Y$5001,BD!$A$3:$A$5001,O$3,BD!$B$3:$B$5001,$A$146)))</f>
        <v/>
      </c>
      <c r="P155" s="218" t="str">
        <f>IF(P$3="","",IF(COUNTIFS(BD!$A$3:$A$5001,P$3,BD!$B$3:$B$5001,$A$146,BD!$Y$3:$Y$5001,"&lt;&gt;")=0,"",SUMIFS(BD!$Y$3:$Y$5001,BD!$A$3:$A$5001,P$3,BD!$B$3:$B$5001,$A$146)))</f>
        <v/>
      </c>
      <c r="Q155" s="218" t="str">
        <f>IF(Q$3="","",IF(COUNTIFS(BD!$A$3:$A$5001,Q$3,BD!$B$3:$B$5001,$A$146,BD!$Y$3:$Y$5001,"&lt;&gt;")=0,"",SUMIFS(BD!$Y$3:$Y$5001,BD!$A$3:$A$5001,Q$3,BD!$B$3:$B$5001,$A$146)))</f>
        <v/>
      </c>
      <c r="R155" s="218" t="str">
        <f>IF(R$3="","",IF(COUNTIFS(BD!$A$3:$A$5001,R$3,BD!$B$3:$B$5001,$A$146,BD!$Y$3:$Y$5001,"&lt;&gt;")=0,"",SUMIFS(BD!$Y$3:$Y$5001,BD!$A$3:$A$5001,R$3,BD!$B$3:$B$5001,$A$146)))</f>
        <v/>
      </c>
      <c r="S155" s="218" t="str">
        <f>IF(S$3="","",IF(COUNTIFS(BD!$A$3:$A$5001,S$3,BD!$B$3:$B$5001,$A$146,BD!$Y$3:$Y$5001,"&lt;&gt;")=0,"",SUMIFS(BD!$Y$3:$Y$5001,BD!$A$3:$A$5001,S$3,BD!$B$3:$B$5001,$A$146)))</f>
        <v/>
      </c>
      <c r="T155" s="218" t="str">
        <f>IF(T$3="","",IF(COUNTIFS(BD!$A$3:$A$5001,T$3,BD!$B$3:$B$5001,$A$146,BD!$Y$3:$Y$5001,"&lt;&gt;")=0,"",SUMIFS(BD!$Y$3:$Y$5001,BD!$A$3:$A$5001,T$3,BD!$B$3:$B$5001,$A$146)))</f>
        <v/>
      </c>
      <c r="U155" s="218" t="str">
        <f>IF(U$3="","",IF(COUNTIFS(BD!$A$3:$A$5001,U$3,BD!$B$3:$B$5001,$A$146,BD!$Y$3:$Y$5001,"&lt;&gt;")=0,"",SUMIFS(BD!$Y$3:$Y$5001,BD!$A$3:$A$5001,U$3,BD!$B$3:$B$5001,$A$146)))</f>
        <v/>
      </c>
      <c r="V155" s="218" t="str">
        <f>IF(V$3="","",IF(COUNTIFS(BD!$A$3:$A$5001,V$3,BD!$B$3:$B$5001,$A$146,BD!$Y$3:$Y$5001,"&lt;&gt;")=0,"",SUMIFS(BD!$Y$3:$Y$5001,BD!$A$3:$A$5001,V$3,BD!$B$3:$B$5001,$A$146)))</f>
        <v/>
      </c>
      <c r="W155" s="218" t="str">
        <f>IF(W$3="","",IF(COUNTIFS(BD!$A$3:$A$5001,W$3,BD!$B$3:$B$5001,$A$146,BD!$Y$3:$Y$5001,"&lt;&gt;")=0,"",SUMIFS(BD!$Y$3:$Y$5001,BD!$A$3:$A$5001,W$3,BD!$B$3:$B$5001,$A$146)))</f>
        <v/>
      </c>
      <c r="X155" s="218" t="str">
        <f>IF(X$3="","",IF(COUNTIFS(BD!$A$3:$A$5001,X$3,BD!$B$3:$B$5001,$A$146,BD!$Y$3:$Y$5001,"&lt;&gt;")=0,"",SUMIFS(BD!$Y$3:$Y$5001,BD!$A$3:$A$5001,X$3,BD!$B$3:$B$5001,$A$146)))</f>
        <v/>
      </c>
      <c r="Y155" s="218" t="str">
        <f>IF(Y$3="","",IF(COUNTIFS(BD!$A$3:$A$5001,Y$3,BD!$B$3:$B$5001,$A$146,BD!$Y$3:$Y$5001,"&lt;&gt;")=0,"",SUMIFS(BD!$Y$3:$Y$5001,BD!$A$3:$A$5001,Y$3,BD!$B$3:$B$5001,$A$146)))</f>
        <v/>
      </c>
      <c r="Z155" s="218" t="str">
        <f>IF(Z$3="","",IF(COUNTIFS(BD!$A$3:$A$5001,Z$3,BD!$B$3:$B$5001,$A$146,BD!$Y$3:$Y$5001,"&lt;&gt;")=0,"",SUMIFS(BD!$Y$3:$Y$5001,BD!$A$3:$A$5001,Z$3,BD!$B$3:$B$5001,$A$146)))</f>
        <v/>
      </c>
      <c r="AA155" s="218" t="str">
        <f>IF(AA$3="","",IF(COUNTIFS(BD!$A$3:$A$5001,AA$3,BD!$B$3:$B$5001,$A$146,BD!$Y$3:$Y$5001,"&lt;&gt;")=0,"",SUMIFS(BD!$Y$3:$Y$5001,BD!$A$3:$A$5001,AA$3,BD!$B$3:$B$5001,$A$146)))</f>
        <v/>
      </c>
      <c r="AB155" s="218" t="str">
        <f>IF(AB$3="","",IF(COUNTIFS(BD!$A$3:$A$5001,AB$3,BD!$B$3:$B$5001,$A$146,BD!$Y$3:$Y$5001,"&lt;&gt;")=0,"",SUMIFS(BD!$Y$3:$Y$5001,BD!$A$3:$A$5001,AB$3,BD!$B$3:$B$5001,$A$146)))</f>
        <v/>
      </c>
      <c r="AC155" s="218" t="str">
        <f>IF(AC$3="","",IF(COUNTIFS(BD!$A$3:$A$5001,AC$3,BD!$B$3:$B$5001,$A$146,BD!$Y$3:$Y$5001,"&lt;&gt;")=0,"",SUMIFS(BD!$Y$3:$Y$5001,BD!$A$3:$A$5001,AC$3,BD!$B$3:$B$5001,$A$146)))</f>
        <v/>
      </c>
      <c r="AD155" s="218" t="str">
        <f>IF(AD$3="","",IF(COUNTIFS(BD!$A$3:$A$5001,AD$3,BD!$B$3:$B$5001,$A$146,BD!$Y$3:$Y$5001,"&lt;&gt;")=0,"",SUMIFS(BD!$Y$3:$Y$5001,BD!$A$3:$A$5001,AD$3,BD!$B$3:$B$5001,$A$146)))</f>
        <v/>
      </c>
      <c r="AE155" s="218" t="str">
        <f>IF(AE$3="","",IF(COUNTIFS(BD!$A$3:$A$5001,AE$3,BD!$B$3:$B$5001,$A$146,BD!$Y$3:$Y$5001,"&lt;&gt;")=0,"",SUMIFS(BD!$Y$3:$Y$5001,BD!$A$3:$A$5001,AE$3,BD!$B$3:$B$5001,$A$146)))</f>
        <v/>
      </c>
      <c r="AF155" s="218" t="str">
        <f>IF(AF$3="","",IF(COUNTIFS(BD!$A$3:$A$5001,AF$3,BD!$B$3:$B$5001,$A$146,BD!$Y$3:$Y$5001,"&lt;&gt;")=0,"",SUMIFS(BD!$Y$3:$Y$5001,BD!$A$3:$A$5001,AF$3,BD!$B$3:$B$5001,$A$146)))</f>
        <v/>
      </c>
      <c r="AG155" s="218" t="str">
        <f>IF(AG$3="","",IF(COUNTIFS(BD!$A$3:$A$5001,AG$3,BD!$B$3:$B$5001,$A$146,BD!$Y$3:$Y$5001,"&lt;&gt;")=0,"",SUMIFS(BD!$Y$3:$Y$5001,BD!$A$3:$A$5001,AG$3,BD!$B$3:$B$5001,$A$146)))</f>
        <v/>
      </c>
      <c r="AH155" s="218" t="str">
        <f>IF(AH$3="","",IF(COUNTIFS(BD!$A$3:$A$5001,AH$3,BD!$B$3:$B$5001,$A$146,BD!$Y$3:$Y$5001,"&lt;&gt;")=0,"",SUMIFS(BD!$Y$3:$Y$5001,BD!$A$3:$A$5001,AH$3,BD!$B$3:$B$5001,$A$146)))</f>
        <v/>
      </c>
      <c r="AI155" s="218" t="str">
        <f>IF(AI$3="","",IF(COUNTIFS(BD!$A$3:$A$5001,AI$3,BD!$B$3:$B$5001,$A$146,BD!$Y$3:$Y$5001,"&lt;&gt;")=0,"",SUMIFS(BD!$Y$3:$Y$5001,BD!$A$3:$A$5001,AI$3,BD!$B$3:$B$5001,$A$146)))</f>
        <v/>
      </c>
      <c r="AJ155" s="219" t="str">
        <f>IF(AJ$3="","",IF(COUNTIFS(BD!$A$3:$A$5001,AJ$3,BD!$B$3:$B$5001,$A$146,BD!$Y$3:$Y$5001,"&lt;&gt;")=0,"",SUMIFS(BD!$Y$3:$Y$5001,BD!$A$3:$A$5001,AJ$3,BD!$B$3:$B$5001,$A$146)))</f>
        <v/>
      </c>
      <c r="AK155" s="220" t="str">
        <f>IFERROR(LOOKUP(9.99E+307,F155:AJ155),"")</f>
        <v/>
      </c>
    </row>
    <row r="156" ht="15.75" customHeight="1">
      <c r="A156" s="261"/>
      <c r="B156" s="250"/>
      <c r="C156" s="175" t="inlineStr">
        <is>
          <t xml:space="preserve">Taxa de Ocupação</t>
        </is>
      </c>
      <c r="D156" s="221" t="str">
        <f>IFERROR(1/(1/INDEX(BD!$AL$46:$BF$46,MATCH($A$146,BD!$AL$22:$BF$22,0))),"")</f>
        <v/>
      </c>
      <c r="E156" s="177"/>
      <c r="F156" s="222" t="str">
        <f>IF(AND(ISNUMBER(F154),ISNUMBER(F155)),IF(F154&gt;0,F155/F154,""),"")</f>
        <v/>
      </c>
      <c r="G156" s="223" t="str">
        <f>IF(AND(ISNUMBER(G154),ISNUMBER(G155)),IF(G154&gt;0,G155/G154,""),"")</f>
        <v/>
      </c>
      <c r="H156" s="223" t="str">
        <f>IF(AND(ISNUMBER(H154),ISNUMBER(H155)),IF(H154&gt;0,H155/H154,""),"")</f>
        <v/>
      </c>
      <c r="I156" s="223" t="str">
        <f>IF(AND(ISNUMBER(I154),ISNUMBER(I155)),IF(I154&gt;0,I155/I154,""),"")</f>
        <v/>
      </c>
      <c r="J156" s="223" t="str">
        <f>IF(AND(ISNUMBER(J154),ISNUMBER(J155)),IF(J154&gt;0,J155/J154,""),"")</f>
        <v/>
      </c>
      <c r="K156" s="223" t="str">
        <f>IF(AND(ISNUMBER(K154),ISNUMBER(K155)),IF(K154&gt;0,K155/K154,""),"")</f>
        <v/>
      </c>
      <c r="L156" s="223" t="str">
        <f>IF(AND(ISNUMBER(L154),ISNUMBER(L155)),IF(L154&gt;0,L155/L154,""),"")</f>
        <v/>
      </c>
      <c r="M156" s="223" t="str">
        <f>IF(AND(ISNUMBER(M154),ISNUMBER(M155)),IF(M154&gt;0,M155/M154,""),"")</f>
        <v/>
      </c>
      <c r="N156" s="223" t="str">
        <f>IF(AND(ISNUMBER(N154),ISNUMBER(N155)),IF(N154&gt;0,N155/N154,""),"")</f>
        <v/>
      </c>
      <c r="O156" s="223" t="str">
        <f>IF(AND(ISNUMBER(O154),ISNUMBER(O155)),IF(O154&gt;0,O155/O154,""),"")</f>
        <v/>
      </c>
      <c r="P156" s="223" t="str">
        <f>IF(AND(ISNUMBER(P154),ISNUMBER(P155)),IF(P154&gt;0,P155/P154,""),"")</f>
        <v/>
      </c>
      <c r="Q156" s="223" t="str">
        <f>IF(AND(ISNUMBER(Q154),ISNUMBER(Q155)),IF(Q154&gt;0,Q155/Q154,""),"")</f>
        <v/>
      </c>
      <c r="R156" s="223" t="str">
        <f>IF(AND(ISNUMBER(R154),ISNUMBER(R155)),IF(R154&gt;0,R155/R154,""),"")</f>
        <v/>
      </c>
      <c r="S156" s="223" t="str">
        <f>IF(AND(ISNUMBER(S154),ISNUMBER(S155)),IF(S154&gt;0,S155/S154,""),"")</f>
        <v/>
      </c>
      <c r="T156" s="223" t="str">
        <f>IF(AND(ISNUMBER(T154),ISNUMBER(T155)),IF(T154&gt;0,T155/T154,""),"")</f>
        <v/>
      </c>
      <c r="U156" s="223" t="str">
        <f>IF(AND(ISNUMBER(U154),ISNUMBER(U155)),IF(U154&gt;0,U155/U154,""),"")</f>
        <v/>
      </c>
      <c r="V156" s="223" t="str">
        <f>IF(AND(ISNUMBER(V154),ISNUMBER(V155)),IF(V154&gt;0,V155/V154,""),"")</f>
        <v/>
      </c>
      <c r="W156" s="223" t="str">
        <f>IF(AND(ISNUMBER(W154),ISNUMBER(W155)),IF(W154&gt;0,W155/W154,""),"")</f>
        <v/>
      </c>
      <c r="X156" s="223" t="str">
        <f>IF(AND(ISNUMBER(X154),ISNUMBER(X155)),IF(X154&gt;0,X155/X154,""),"")</f>
        <v/>
      </c>
      <c r="Y156" s="223" t="str">
        <f>IF(AND(ISNUMBER(Y154),ISNUMBER(Y155)),IF(Y154&gt;0,Y155/Y154,""),"")</f>
        <v/>
      </c>
      <c r="Z156" s="223" t="str">
        <f>IF(AND(ISNUMBER(Z154),ISNUMBER(Z155)),IF(Z154&gt;0,Z155/Z154,""),"")</f>
        <v/>
      </c>
      <c r="AA156" s="223" t="str">
        <f>IF(AND(ISNUMBER(AA154),ISNUMBER(AA155)),IF(AA154&gt;0,AA155/AA154,""),"")</f>
        <v/>
      </c>
      <c r="AB156" s="223" t="str">
        <f>IF(AND(ISNUMBER(AB154),ISNUMBER(AB155)),IF(AB154&gt;0,AB155/AB154,""),"")</f>
        <v/>
      </c>
      <c r="AC156" s="223" t="str">
        <f>IF(AND(ISNUMBER(AC154),ISNUMBER(AC155)),IF(AC154&gt;0,AC155/AC154,""),"")</f>
        <v/>
      </c>
      <c r="AD156" s="223" t="str">
        <f>IF(AND(ISNUMBER(AD154),ISNUMBER(AD155)),IF(AD154&gt;0,AD155/AD154,""),"")</f>
        <v/>
      </c>
      <c r="AE156" s="223" t="str">
        <f>IF(AND(ISNUMBER(AE154),ISNUMBER(AE155)),IF(AE154&gt;0,AE155/AE154,""),"")</f>
        <v/>
      </c>
      <c r="AF156" s="223" t="str">
        <f>IF(AND(ISNUMBER(AF154),ISNUMBER(AF155)),IF(AF154&gt;0,AF155/AF154,""),"")</f>
        <v/>
      </c>
      <c r="AG156" s="223" t="str">
        <f>IF(AND(ISNUMBER(AG154),ISNUMBER(AG155)),IF(AG154&gt;0,AG155/AG154,""),"")</f>
        <v/>
      </c>
      <c r="AH156" s="223" t="str">
        <f>IF(AND(ISNUMBER(AH154),ISNUMBER(AH155)),IF(AH154&gt;0,AH155/AH154,""),"")</f>
        <v/>
      </c>
      <c r="AI156" s="223" t="str">
        <f>IF(AND(ISNUMBER(AI154),ISNUMBER(AI155)),IF(AI154&gt;0,AI155/AI154,""),"")</f>
        <v/>
      </c>
      <c r="AJ156" s="224" t="str">
        <f>IF(AND(ISNUMBER(AJ154),ISNUMBER(AJ155)),IF(AJ154&gt;0,AJ155/AJ154,""),"")</f>
        <v/>
      </c>
      <c r="AK156" s="221" t="str">
        <f>IF(AND(ISNUMBER(AK154),ISNUMBER(AK155)),IF(AK154&gt;0,AK155/AK154,""),"")</f>
        <v/>
      </c>
    </row>
    <row r="157" ht="15.75" customHeight="1">
      <c r="A157" s="261"/>
      <c r="B157" s="257" t="inlineStr">
        <is>
          <t xml:space="preserve">GENTE</t>
        </is>
      </c>
      <c r="C157" s="225" t="inlineStr">
        <is>
          <t xml:space="preserve">Efetivo Op.</t>
        </is>
      </c>
      <c r="D157" s="226" t="str">
        <f>IFERROR(1/(1/INDEX(BD!$AL$47:$BF$47,MATCH($A$146,BD!$AL$22:$BF$22,0))),"")</f>
        <v/>
      </c>
      <c r="E157" s="227"/>
      <c r="F157" s="228" t="str">
        <f>IF(F$3="","",IF(COUNTIFS(BD!$A$3:$A$5001,F$3,BD!$B$3:$B$5001,$A$146,BD!$Z$3:$Z$5001,"&lt;&gt;")=0,"",SUMIFS(BD!$Z$3:$Z$5001,BD!$A$3:$A$5001,F$3,BD!$B$3:$B$5001,$A$146)))</f>
        <v/>
      </c>
      <c r="G157" s="229" t="str">
        <f>IF(G$3="","",IF(COUNTIFS(BD!$A$3:$A$5001,G$3,BD!$B$3:$B$5001,$A$146,BD!$Z$3:$Z$5001,"&lt;&gt;")=0,"",SUMIFS(BD!$Z$3:$Z$5001,BD!$A$3:$A$5001,G$3,BD!$B$3:$B$5001,$A$146)))</f>
        <v/>
      </c>
      <c r="H157" s="229" t="str">
        <f>IF(H$3="","",IF(COUNTIFS(BD!$A$3:$A$5001,H$3,BD!$B$3:$B$5001,$A$146,BD!$Z$3:$Z$5001,"&lt;&gt;")=0,"",SUMIFS(BD!$Z$3:$Z$5001,BD!$A$3:$A$5001,H$3,BD!$B$3:$B$5001,$A$146)))</f>
        <v/>
      </c>
      <c r="I157" s="229" t="str">
        <f>IF(I$3="","",IF(COUNTIFS(BD!$A$3:$A$5001,I$3,BD!$B$3:$B$5001,$A$146,BD!$Z$3:$Z$5001,"&lt;&gt;")=0,"",SUMIFS(BD!$Z$3:$Z$5001,BD!$A$3:$A$5001,I$3,BD!$B$3:$B$5001,$A$146)))</f>
        <v/>
      </c>
      <c r="J157" s="229" t="str">
        <f>IF(J$3="","",IF(COUNTIFS(BD!$A$3:$A$5001,J$3,BD!$B$3:$B$5001,$A$146,BD!$Z$3:$Z$5001,"&lt;&gt;")=0,"",SUMIFS(BD!$Z$3:$Z$5001,BD!$A$3:$A$5001,J$3,BD!$B$3:$B$5001,$A$146)))</f>
        <v/>
      </c>
      <c r="K157" s="229" t="str">
        <f>IF(K$3="","",IF(COUNTIFS(BD!$A$3:$A$5001,K$3,BD!$B$3:$B$5001,$A$146,BD!$Z$3:$Z$5001,"&lt;&gt;")=0,"",SUMIFS(BD!$Z$3:$Z$5001,BD!$A$3:$A$5001,K$3,BD!$B$3:$B$5001,$A$146)))</f>
        <v/>
      </c>
      <c r="L157" s="229" t="str">
        <f>IF(L$3="","",IF(COUNTIFS(BD!$A$3:$A$5001,L$3,BD!$B$3:$B$5001,$A$146,BD!$Z$3:$Z$5001,"&lt;&gt;")=0,"",SUMIFS(BD!$Z$3:$Z$5001,BD!$A$3:$A$5001,L$3,BD!$B$3:$B$5001,$A$146)))</f>
        <v/>
      </c>
      <c r="M157" s="229" t="str">
        <f>IF(M$3="","",IF(COUNTIFS(BD!$A$3:$A$5001,M$3,BD!$B$3:$B$5001,$A$146,BD!$Z$3:$Z$5001,"&lt;&gt;")=0,"",SUMIFS(BD!$Z$3:$Z$5001,BD!$A$3:$A$5001,M$3,BD!$B$3:$B$5001,$A$146)))</f>
        <v/>
      </c>
      <c r="N157" s="229" t="str">
        <f>IF(N$3="","",IF(COUNTIFS(BD!$A$3:$A$5001,N$3,BD!$B$3:$B$5001,$A$146,BD!$Z$3:$Z$5001,"&lt;&gt;")=0,"",SUMIFS(BD!$Z$3:$Z$5001,BD!$A$3:$A$5001,N$3,BD!$B$3:$B$5001,$A$146)))</f>
        <v/>
      </c>
      <c r="O157" s="229" t="str">
        <f>IF(O$3="","",IF(COUNTIFS(BD!$A$3:$A$5001,O$3,BD!$B$3:$B$5001,$A$146,BD!$Z$3:$Z$5001,"&lt;&gt;")=0,"",SUMIFS(BD!$Z$3:$Z$5001,BD!$A$3:$A$5001,O$3,BD!$B$3:$B$5001,$A$146)))</f>
        <v/>
      </c>
      <c r="P157" s="229" t="str">
        <f>IF(P$3="","",IF(COUNTIFS(BD!$A$3:$A$5001,P$3,BD!$B$3:$B$5001,$A$146,BD!$Z$3:$Z$5001,"&lt;&gt;")=0,"",SUMIFS(BD!$Z$3:$Z$5001,BD!$A$3:$A$5001,P$3,BD!$B$3:$B$5001,$A$146)))</f>
        <v/>
      </c>
      <c r="Q157" s="229" t="str">
        <f>IF(Q$3="","",IF(COUNTIFS(BD!$A$3:$A$5001,Q$3,BD!$B$3:$B$5001,$A$146,BD!$Z$3:$Z$5001,"&lt;&gt;")=0,"",SUMIFS(BD!$Z$3:$Z$5001,BD!$A$3:$A$5001,Q$3,BD!$B$3:$B$5001,$A$146)))</f>
        <v/>
      </c>
      <c r="R157" s="229" t="str">
        <f>IF(R$3="","",IF(COUNTIFS(BD!$A$3:$A$5001,R$3,BD!$B$3:$B$5001,$A$146,BD!$Z$3:$Z$5001,"&lt;&gt;")=0,"",SUMIFS(BD!$Z$3:$Z$5001,BD!$A$3:$A$5001,R$3,BD!$B$3:$B$5001,$A$146)))</f>
        <v/>
      </c>
      <c r="S157" s="229" t="str">
        <f>IF(S$3="","",IF(COUNTIFS(BD!$A$3:$A$5001,S$3,BD!$B$3:$B$5001,$A$146,BD!$Z$3:$Z$5001,"&lt;&gt;")=0,"",SUMIFS(BD!$Z$3:$Z$5001,BD!$A$3:$A$5001,S$3,BD!$B$3:$B$5001,$A$146)))</f>
        <v/>
      </c>
      <c r="T157" s="229" t="str">
        <f>IF(T$3="","",IF(COUNTIFS(BD!$A$3:$A$5001,T$3,BD!$B$3:$B$5001,$A$146,BD!$Z$3:$Z$5001,"&lt;&gt;")=0,"",SUMIFS(BD!$Z$3:$Z$5001,BD!$A$3:$A$5001,T$3,BD!$B$3:$B$5001,$A$146)))</f>
        <v/>
      </c>
      <c r="U157" s="229" t="str">
        <f>IF(U$3="","",IF(COUNTIFS(BD!$A$3:$A$5001,U$3,BD!$B$3:$B$5001,$A$146,BD!$Z$3:$Z$5001,"&lt;&gt;")=0,"",SUMIFS(BD!$Z$3:$Z$5001,BD!$A$3:$A$5001,U$3,BD!$B$3:$B$5001,$A$146)))</f>
        <v/>
      </c>
      <c r="V157" s="229" t="str">
        <f>IF(V$3="","",IF(COUNTIFS(BD!$A$3:$A$5001,V$3,BD!$B$3:$B$5001,$A$146,BD!$Z$3:$Z$5001,"&lt;&gt;")=0,"",SUMIFS(BD!$Z$3:$Z$5001,BD!$A$3:$A$5001,V$3,BD!$B$3:$B$5001,$A$146)))</f>
        <v/>
      </c>
      <c r="W157" s="229" t="str">
        <f>IF(W$3="","",IF(COUNTIFS(BD!$A$3:$A$5001,W$3,BD!$B$3:$B$5001,$A$146,BD!$Z$3:$Z$5001,"&lt;&gt;")=0,"",SUMIFS(BD!$Z$3:$Z$5001,BD!$A$3:$A$5001,W$3,BD!$B$3:$B$5001,$A$146)))</f>
        <v/>
      </c>
      <c r="X157" s="229" t="str">
        <f>IF(X$3="","",IF(COUNTIFS(BD!$A$3:$A$5001,X$3,BD!$B$3:$B$5001,$A$146,BD!$Z$3:$Z$5001,"&lt;&gt;")=0,"",SUMIFS(BD!$Z$3:$Z$5001,BD!$A$3:$A$5001,X$3,BD!$B$3:$B$5001,$A$146)))</f>
        <v/>
      </c>
      <c r="Y157" s="229" t="str">
        <f>IF(Y$3="","",IF(COUNTIFS(BD!$A$3:$A$5001,Y$3,BD!$B$3:$B$5001,$A$146,BD!$Z$3:$Z$5001,"&lt;&gt;")=0,"",SUMIFS(BD!$Z$3:$Z$5001,BD!$A$3:$A$5001,Y$3,BD!$B$3:$B$5001,$A$146)))</f>
        <v/>
      </c>
      <c r="Z157" s="229" t="str">
        <f>IF(Z$3="","",IF(COUNTIFS(BD!$A$3:$A$5001,Z$3,BD!$B$3:$B$5001,$A$146,BD!$Z$3:$Z$5001,"&lt;&gt;")=0,"",SUMIFS(BD!$Z$3:$Z$5001,BD!$A$3:$A$5001,Z$3,BD!$B$3:$B$5001,$A$146)))</f>
        <v/>
      </c>
      <c r="AA157" s="229" t="str">
        <f>IF(AA$3="","",IF(COUNTIFS(BD!$A$3:$A$5001,AA$3,BD!$B$3:$B$5001,$A$146,BD!$Z$3:$Z$5001,"&lt;&gt;")=0,"",SUMIFS(BD!$Z$3:$Z$5001,BD!$A$3:$A$5001,AA$3,BD!$B$3:$B$5001,$A$146)))</f>
        <v/>
      </c>
      <c r="AB157" s="229" t="str">
        <f>IF(AB$3="","",IF(COUNTIFS(BD!$A$3:$A$5001,AB$3,BD!$B$3:$B$5001,$A$146,BD!$Z$3:$Z$5001,"&lt;&gt;")=0,"",SUMIFS(BD!$Z$3:$Z$5001,BD!$A$3:$A$5001,AB$3,BD!$B$3:$B$5001,$A$146)))</f>
        <v/>
      </c>
      <c r="AC157" s="229" t="str">
        <f>IF(AC$3="","",IF(COUNTIFS(BD!$A$3:$A$5001,AC$3,BD!$B$3:$B$5001,$A$146,BD!$Z$3:$Z$5001,"&lt;&gt;")=0,"",SUMIFS(BD!$Z$3:$Z$5001,BD!$A$3:$A$5001,AC$3,BD!$B$3:$B$5001,$A$146)))</f>
        <v/>
      </c>
      <c r="AD157" s="229" t="str">
        <f>IF(AD$3="","",IF(COUNTIFS(BD!$A$3:$A$5001,AD$3,BD!$B$3:$B$5001,$A$146,BD!$Z$3:$Z$5001,"&lt;&gt;")=0,"",SUMIFS(BD!$Z$3:$Z$5001,BD!$A$3:$A$5001,AD$3,BD!$B$3:$B$5001,$A$146)))</f>
        <v/>
      </c>
      <c r="AE157" s="229" t="str">
        <f>IF(AE$3="","",IF(COUNTIFS(BD!$A$3:$A$5001,AE$3,BD!$B$3:$B$5001,$A$146,BD!$Z$3:$Z$5001,"&lt;&gt;")=0,"",SUMIFS(BD!$Z$3:$Z$5001,BD!$A$3:$A$5001,AE$3,BD!$B$3:$B$5001,$A$146)))</f>
        <v/>
      </c>
      <c r="AF157" s="229" t="str">
        <f>IF(AF$3="","",IF(COUNTIFS(BD!$A$3:$A$5001,AF$3,BD!$B$3:$B$5001,$A$146,BD!$Z$3:$Z$5001,"&lt;&gt;")=0,"",SUMIFS(BD!$Z$3:$Z$5001,BD!$A$3:$A$5001,AF$3,BD!$B$3:$B$5001,$A$146)))</f>
        <v/>
      </c>
      <c r="AG157" s="229" t="str">
        <f>IF(AG$3="","",IF(COUNTIFS(BD!$A$3:$A$5001,AG$3,BD!$B$3:$B$5001,$A$146,BD!$Z$3:$Z$5001,"&lt;&gt;")=0,"",SUMIFS(BD!$Z$3:$Z$5001,BD!$A$3:$A$5001,AG$3,BD!$B$3:$B$5001,$A$146)))</f>
        <v/>
      </c>
      <c r="AH157" s="229" t="str">
        <f>IF(AH$3="","",IF(COUNTIFS(BD!$A$3:$A$5001,AH$3,BD!$B$3:$B$5001,$A$146,BD!$Z$3:$Z$5001,"&lt;&gt;")=0,"",SUMIFS(BD!$Z$3:$Z$5001,BD!$A$3:$A$5001,AH$3,BD!$B$3:$B$5001,$A$146)))</f>
        <v/>
      </c>
      <c r="AI157" s="229" t="str">
        <f>IF(AI$3="","",IF(COUNTIFS(BD!$A$3:$A$5001,AI$3,BD!$B$3:$B$5001,$A$146,BD!$Z$3:$Z$5001,"&lt;&gt;")=0,"",SUMIFS(BD!$Z$3:$Z$5001,BD!$A$3:$A$5001,AI$3,BD!$B$3:$B$5001,$A$146)))</f>
        <v/>
      </c>
      <c r="AJ157" s="230" t="str">
        <f>IF(AJ$3="","",IF(COUNTIFS(BD!$A$3:$A$5001,AJ$3,BD!$B$3:$B$5001,$A$146,BD!$Z$3:$Z$5001,"&lt;&gt;")=0,"",SUMIFS(BD!$Z$3:$Z$5001,BD!$A$3:$A$5001,AJ$3,BD!$B$3:$B$5001,$A$146)))</f>
        <v/>
      </c>
      <c r="AK157" s="231" t="str">
        <f>IFERROR(LOOKUP(9.99E+307,F157:AJ157),"")</f>
        <v/>
      </c>
    </row>
    <row r="158" ht="15.75" customHeight="1">
      <c r="A158" s="261"/>
      <c r="B158" s="258"/>
      <c r="C158" s="232" t="inlineStr">
        <is>
          <t xml:space="preserve">Falta</t>
        </is>
      </c>
      <c r="D158" s="233" t="str">
        <f>IFERROR(1/(1/INDEX(BD!$AL$48:$BF$48,MATCH($A$146,BD!$AL$22:$BF$22,0))),"")</f>
        <v/>
      </c>
      <c r="E158" s="234"/>
      <c r="F158" s="235" t="str">
        <f>IF(F$3="","",IF(COUNTIFS(BD!$A$3:$A$5001,F$3,BD!$B$3:$B$5001,$A$146,BD!$AA$3:$AA$5001,"&lt;&gt;")=0,"",SUMIFS(BD!$AA$3:$AA$5001,BD!$A$3:$A$5001,F$3,BD!$B$3:$B$5001,$A$146)))</f>
        <v/>
      </c>
      <c r="G158" s="236" t="str">
        <f>IF(G$3="","",IF(COUNTIFS(BD!$A$3:$A$5001,G$3,BD!$B$3:$B$5001,$A$146,BD!$AA$3:$AA$5001,"&lt;&gt;")=0,"",SUMIFS(BD!$AA$3:$AA$5001,BD!$A$3:$A$5001,G$3,BD!$B$3:$B$5001,$A$146)))</f>
        <v/>
      </c>
      <c r="H158" s="236" t="str">
        <f>IF(H$3="","",IF(COUNTIFS(BD!$A$3:$A$5001,H$3,BD!$B$3:$B$5001,$A$146,BD!$AA$3:$AA$5001,"&lt;&gt;")=0,"",SUMIFS(BD!$AA$3:$AA$5001,BD!$A$3:$A$5001,H$3,BD!$B$3:$B$5001,$A$146)))</f>
        <v/>
      </c>
      <c r="I158" s="236" t="str">
        <f>IF(I$3="","",IF(COUNTIFS(BD!$A$3:$A$5001,I$3,BD!$B$3:$B$5001,$A$146,BD!$AA$3:$AA$5001,"&lt;&gt;")=0,"",SUMIFS(BD!$AA$3:$AA$5001,BD!$A$3:$A$5001,I$3,BD!$B$3:$B$5001,$A$146)))</f>
        <v/>
      </c>
      <c r="J158" s="236" t="str">
        <f>IF(J$3="","",IF(COUNTIFS(BD!$A$3:$A$5001,J$3,BD!$B$3:$B$5001,$A$146,BD!$AA$3:$AA$5001,"&lt;&gt;")=0,"",SUMIFS(BD!$AA$3:$AA$5001,BD!$A$3:$A$5001,J$3,BD!$B$3:$B$5001,$A$146)))</f>
        <v/>
      </c>
      <c r="K158" s="236" t="str">
        <f>IF(K$3="","",IF(COUNTIFS(BD!$A$3:$A$5001,K$3,BD!$B$3:$B$5001,$A$146,BD!$AA$3:$AA$5001,"&lt;&gt;")=0,"",SUMIFS(BD!$AA$3:$AA$5001,BD!$A$3:$A$5001,K$3,BD!$B$3:$B$5001,$A$146)))</f>
        <v/>
      </c>
      <c r="L158" s="236" t="str">
        <f>IF(L$3="","",IF(COUNTIFS(BD!$A$3:$A$5001,L$3,BD!$B$3:$B$5001,$A$146,BD!$AA$3:$AA$5001,"&lt;&gt;")=0,"",SUMIFS(BD!$AA$3:$AA$5001,BD!$A$3:$A$5001,L$3,BD!$B$3:$B$5001,$A$146)))</f>
        <v/>
      </c>
      <c r="M158" s="236" t="str">
        <f>IF(M$3="","",IF(COUNTIFS(BD!$A$3:$A$5001,M$3,BD!$B$3:$B$5001,$A$146,BD!$AA$3:$AA$5001,"&lt;&gt;")=0,"",SUMIFS(BD!$AA$3:$AA$5001,BD!$A$3:$A$5001,M$3,BD!$B$3:$B$5001,$A$146)))</f>
        <v/>
      </c>
      <c r="N158" s="236" t="str">
        <f>IF(N$3="","",IF(COUNTIFS(BD!$A$3:$A$5001,N$3,BD!$B$3:$B$5001,$A$146,BD!$AA$3:$AA$5001,"&lt;&gt;")=0,"",SUMIFS(BD!$AA$3:$AA$5001,BD!$A$3:$A$5001,N$3,BD!$B$3:$B$5001,$A$146)))</f>
        <v/>
      </c>
      <c r="O158" s="236" t="str">
        <f>IF(O$3="","",IF(COUNTIFS(BD!$A$3:$A$5001,O$3,BD!$B$3:$B$5001,$A$146,BD!$AA$3:$AA$5001,"&lt;&gt;")=0,"",SUMIFS(BD!$AA$3:$AA$5001,BD!$A$3:$A$5001,O$3,BD!$B$3:$B$5001,$A$146)))</f>
        <v/>
      </c>
      <c r="P158" s="236" t="str">
        <f>IF(P$3="","",IF(COUNTIFS(BD!$A$3:$A$5001,P$3,BD!$B$3:$B$5001,$A$146,BD!$AA$3:$AA$5001,"&lt;&gt;")=0,"",SUMIFS(BD!$AA$3:$AA$5001,BD!$A$3:$A$5001,P$3,BD!$B$3:$B$5001,$A$146)))</f>
        <v/>
      </c>
      <c r="Q158" s="236" t="str">
        <f>IF(Q$3="","",IF(COUNTIFS(BD!$A$3:$A$5001,Q$3,BD!$B$3:$B$5001,$A$146,BD!$AA$3:$AA$5001,"&lt;&gt;")=0,"",SUMIFS(BD!$AA$3:$AA$5001,BD!$A$3:$A$5001,Q$3,BD!$B$3:$B$5001,$A$146)))</f>
        <v/>
      </c>
      <c r="R158" s="236" t="str">
        <f>IF(R$3="","",IF(COUNTIFS(BD!$A$3:$A$5001,R$3,BD!$B$3:$B$5001,$A$146,BD!$AA$3:$AA$5001,"&lt;&gt;")=0,"",SUMIFS(BD!$AA$3:$AA$5001,BD!$A$3:$A$5001,R$3,BD!$B$3:$B$5001,$A$146)))</f>
        <v/>
      </c>
      <c r="S158" s="236" t="str">
        <f>IF(S$3="","",IF(COUNTIFS(BD!$A$3:$A$5001,S$3,BD!$B$3:$B$5001,$A$146,BD!$AA$3:$AA$5001,"&lt;&gt;")=0,"",SUMIFS(BD!$AA$3:$AA$5001,BD!$A$3:$A$5001,S$3,BD!$B$3:$B$5001,$A$146)))</f>
        <v/>
      </c>
      <c r="T158" s="236" t="str">
        <f>IF(T$3="","",IF(COUNTIFS(BD!$A$3:$A$5001,T$3,BD!$B$3:$B$5001,$A$146,BD!$AA$3:$AA$5001,"&lt;&gt;")=0,"",SUMIFS(BD!$AA$3:$AA$5001,BD!$A$3:$A$5001,T$3,BD!$B$3:$B$5001,$A$146)))</f>
        <v/>
      </c>
      <c r="U158" s="236" t="str">
        <f>IF(U$3="","",IF(COUNTIFS(BD!$A$3:$A$5001,U$3,BD!$B$3:$B$5001,$A$146,BD!$AA$3:$AA$5001,"&lt;&gt;")=0,"",SUMIFS(BD!$AA$3:$AA$5001,BD!$A$3:$A$5001,U$3,BD!$B$3:$B$5001,$A$146)))</f>
        <v/>
      </c>
      <c r="V158" s="236" t="str">
        <f>IF(V$3="","",IF(COUNTIFS(BD!$A$3:$A$5001,V$3,BD!$B$3:$B$5001,$A$146,BD!$AA$3:$AA$5001,"&lt;&gt;")=0,"",SUMIFS(BD!$AA$3:$AA$5001,BD!$A$3:$A$5001,V$3,BD!$B$3:$B$5001,$A$146)))</f>
        <v/>
      </c>
      <c r="W158" s="236" t="str">
        <f>IF(W$3="","",IF(COUNTIFS(BD!$A$3:$A$5001,W$3,BD!$B$3:$B$5001,$A$146,BD!$AA$3:$AA$5001,"&lt;&gt;")=0,"",SUMIFS(BD!$AA$3:$AA$5001,BD!$A$3:$A$5001,W$3,BD!$B$3:$B$5001,$A$146)))</f>
        <v/>
      </c>
      <c r="X158" s="236" t="str">
        <f>IF(X$3="","",IF(COUNTIFS(BD!$A$3:$A$5001,X$3,BD!$B$3:$B$5001,$A$146,BD!$AA$3:$AA$5001,"&lt;&gt;")=0,"",SUMIFS(BD!$AA$3:$AA$5001,BD!$A$3:$A$5001,X$3,BD!$B$3:$B$5001,$A$146)))</f>
        <v/>
      </c>
      <c r="Y158" s="236" t="str">
        <f>IF(Y$3="","",IF(COUNTIFS(BD!$A$3:$A$5001,Y$3,BD!$B$3:$B$5001,$A$146,BD!$AA$3:$AA$5001,"&lt;&gt;")=0,"",SUMIFS(BD!$AA$3:$AA$5001,BD!$A$3:$A$5001,Y$3,BD!$B$3:$B$5001,$A$146)))</f>
        <v/>
      </c>
      <c r="Z158" s="236" t="str">
        <f>IF(Z$3="","",IF(COUNTIFS(BD!$A$3:$A$5001,Z$3,BD!$B$3:$B$5001,$A$146,BD!$AA$3:$AA$5001,"&lt;&gt;")=0,"",SUMIFS(BD!$AA$3:$AA$5001,BD!$A$3:$A$5001,Z$3,BD!$B$3:$B$5001,$A$146)))</f>
        <v/>
      </c>
      <c r="AA158" s="236" t="str">
        <f>IF(AA$3="","",IF(COUNTIFS(BD!$A$3:$A$5001,AA$3,BD!$B$3:$B$5001,$A$146,BD!$AA$3:$AA$5001,"&lt;&gt;")=0,"",SUMIFS(BD!$AA$3:$AA$5001,BD!$A$3:$A$5001,AA$3,BD!$B$3:$B$5001,$A$146)))</f>
        <v/>
      </c>
      <c r="AB158" s="236" t="str">
        <f>IF(AB$3="","",IF(COUNTIFS(BD!$A$3:$A$5001,AB$3,BD!$B$3:$B$5001,$A$146,BD!$AA$3:$AA$5001,"&lt;&gt;")=0,"",SUMIFS(BD!$AA$3:$AA$5001,BD!$A$3:$A$5001,AB$3,BD!$B$3:$B$5001,$A$146)))</f>
        <v/>
      </c>
      <c r="AC158" s="236" t="str">
        <f>IF(AC$3="","",IF(COUNTIFS(BD!$A$3:$A$5001,AC$3,BD!$B$3:$B$5001,$A$146,BD!$AA$3:$AA$5001,"&lt;&gt;")=0,"",SUMIFS(BD!$AA$3:$AA$5001,BD!$A$3:$A$5001,AC$3,BD!$B$3:$B$5001,$A$146)))</f>
        <v/>
      </c>
      <c r="AD158" s="236" t="str">
        <f>IF(AD$3="","",IF(COUNTIFS(BD!$A$3:$A$5001,AD$3,BD!$B$3:$B$5001,$A$146,BD!$AA$3:$AA$5001,"&lt;&gt;")=0,"",SUMIFS(BD!$AA$3:$AA$5001,BD!$A$3:$A$5001,AD$3,BD!$B$3:$B$5001,$A$146)))</f>
        <v/>
      </c>
      <c r="AE158" s="236" t="str">
        <f>IF(AE$3="","",IF(COUNTIFS(BD!$A$3:$A$5001,AE$3,BD!$B$3:$B$5001,$A$146,BD!$AA$3:$AA$5001,"&lt;&gt;")=0,"",SUMIFS(BD!$AA$3:$AA$5001,BD!$A$3:$A$5001,AE$3,BD!$B$3:$B$5001,$A$146)))</f>
        <v/>
      </c>
      <c r="AF158" s="236" t="str">
        <f>IF(AF$3="","",IF(COUNTIFS(BD!$A$3:$A$5001,AF$3,BD!$B$3:$B$5001,$A$146,BD!$AA$3:$AA$5001,"&lt;&gt;")=0,"",SUMIFS(BD!$AA$3:$AA$5001,BD!$A$3:$A$5001,AF$3,BD!$B$3:$B$5001,$A$146)))</f>
        <v/>
      </c>
      <c r="AG158" s="236" t="str">
        <f>IF(AG$3="","",IF(COUNTIFS(BD!$A$3:$A$5001,AG$3,BD!$B$3:$B$5001,$A$146,BD!$AA$3:$AA$5001,"&lt;&gt;")=0,"",SUMIFS(BD!$AA$3:$AA$5001,BD!$A$3:$A$5001,AG$3,BD!$B$3:$B$5001,$A$146)))</f>
        <v/>
      </c>
      <c r="AH158" s="236" t="str">
        <f>IF(AH$3="","",IF(COUNTIFS(BD!$A$3:$A$5001,AH$3,BD!$B$3:$B$5001,$A$146,BD!$AA$3:$AA$5001,"&lt;&gt;")=0,"",SUMIFS(BD!$AA$3:$AA$5001,BD!$A$3:$A$5001,AH$3,BD!$B$3:$B$5001,$A$146)))</f>
        <v/>
      </c>
      <c r="AI158" s="236" t="str">
        <f>IF(AI$3="","",IF(COUNTIFS(BD!$A$3:$A$5001,AI$3,BD!$B$3:$B$5001,$A$146,BD!$AA$3:$AA$5001,"&lt;&gt;")=0,"",SUMIFS(BD!$AA$3:$AA$5001,BD!$A$3:$A$5001,AI$3,BD!$B$3:$B$5001,$A$146)))</f>
        <v/>
      </c>
      <c r="AJ158" s="237" t="str">
        <f>IF(AJ$3="","",IF(COUNTIFS(BD!$A$3:$A$5001,AJ$3,BD!$B$3:$B$5001,$A$146,BD!$AA$3:$AA$5001,"&lt;&gt;")=0,"",SUMIFS(BD!$AA$3:$AA$5001,BD!$A$3:$A$5001,AJ$3,BD!$B$3:$B$5001,$A$146)))</f>
        <v/>
      </c>
      <c r="AK158" s="238" t="str">
        <f>IF(COUNT(F158:AJ158)=0,"",SUM(F158:AJ158))</f>
        <v/>
      </c>
    </row>
    <row r="159" ht="15.75" customHeight="1">
      <c r="A159" s="261"/>
      <c r="B159" s="258"/>
      <c r="C159" s="232" t="inlineStr">
        <is>
          <t xml:space="preserve">Absenteísmo (H/H)</t>
        </is>
      </c>
      <c r="D159" s="233" t="str">
        <f>IFERROR(1/(1/INDEX(BD!$AL$49:$BF$49,MATCH($A$146,BD!$AL$22:$BF$22,0))),"")</f>
        <v/>
      </c>
      <c r="E159" s="234"/>
      <c r="F159" s="239" t="str">
        <f>IF(F$3="","",IF(COUNTIFS(BD!$A$3:$A$5001,F$3,BD!$B$3:$B$5001,$A$146,BD!$AB$3:$AB$5001,"&lt;&gt;")=0,"",SUMIFS(BD!$AB$3:$AB$5001,BD!$A$3:$A$5001,F$3,BD!$B$3:$B$5001,$A$146)))</f>
        <v/>
      </c>
      <c r="G159" s="240" t="str">
        <f>IF(G$3="","",IF(COUNTIFS(BD!$A$3:$A$5001,G$3,BD!$B$3:$B$5001,$A$146,BD!$AB$3:$AB$5001,"&lt;&gt;")=0,"",SUMIFS(BD!$AB$3:$AB$5001,BD!$A$3:$A$5001,G$3,BD!$B$3:$B$5001,$A$146)))</f>
        <v/>
      </c>
      <c r="H159" s="240" t="str">
        <f>IF(H$3="","",IF(COUNTIFS(BD!$A$3:$A$5001,H$3,BD!$B$3:$B$5001,$A$146,BD!$AB$3:$AB$5001,"&lt;&gt;")=0,"",SUMIFS(BD!$AB$3:$AB$5001,BD!$A$3:$A$5001,H$3,BD!$B$3:$B$5001,$A$146)))</f>
        <v/>
      </c>
      <c r="I159" s="240" t="str">
        <f>IF(I$3="","",IF(COUNTIFS(BD!$A$3:$A$5001,I$3,BD!$B$3:$B$5001,$A$146,BD!$AB$3:$AB$5001,"&lt;&gt;")=0,"",SUMIFS(BD!$AB$3:$AB$5001,BD!$A$3:$A$5001,I$3,BD!$B$3:$B$5001,$A$146)))</f>
        <v/>
      </c>
      <c r="J159" s="240" t="str">
        <f>IF(J$3="","",IF(COUNTIFS(BD!$A$3:$A$5001,J$3,BD!$B$3:$B$5001,$A$146,BD!$AB$3:$AB$5001,"&lt;&gt;")=0,"",SUMIFS(BD!$AB$3:$AB$5001,BD!$A$3:$A$5001,J$3,BD!$B$3:$B$5001,$A$146)))</f>
        <v/>
      </c>
      <c r="K159" s="240" t="str">
        <f>IF(K$3="","",IF(COUNTIFS(BD!$A$3:$A$5001,K$3,BD!$B$3:$B$5001,$A$146,BD!$AB$3:$AB$5001,"&lt;&gt;")=0,"",SUMIFS(BD!$AB$3:$AB$5001,BD!$A$3:$A$5001,K$3,BD!$B$3:$B$5001,$A$146)))</f>
        <v/>
      </c>
      <c r="L159" s="240" t="str">
        <f>IF(L$3="","",IF(COUNTIFS(BD!$A$3:$A$5001,L$3,BD!$B$3:$B$5001,$A$146,BD!$AB$3:$AB$5001,"&lt;&gt;")=0,"",SUMIFS(BD!$AB$3:$AB$5001,BD!$A$3:$A$5001,L$3,BD!$B$3:$B$5001,$A$146)))</f>
        <v/>
      </c>
      <c r="M159" s="240" t="str">
        <f>IF(M$3="","",IF(COUNTIFS(BD!$A$3:$A$5001,M$3,BD!$B$3:$B$5001,$A$146,BD!$AB$3:$AB$5001,"&lt;&gt;")=0,"",SUMIFS(BD!$AB$3:$AB$5001,BD!$A$3:$A$5001,M$3,BD!$B$3:$B$5001,$A$146)))</f>
        <v/>
      </c>
      <c r="N159" s="240" t="str">
        <f>IF(N$3="","",IF(COUNTIFS(BD!$A$3:$A$5001,N$3,BD!$B$3:$B$5001,$A$146,BD!$AB$3:$AB$5001,"&lt;&gt;")=0,"",SUMIFS(BD!$AB$3:$AB$5001,BD!$A$3:$A$5001,N$3,BD!$B$3:$B$5001,$A$146)))</f>
        <v/>
      </c>
      <c r="O159" s="240" t="str">
        <f>IF(O$3="","",IF(COUNTIFS(BD!$A$3:$A$5001,O$3,BD!$B$3:$B$5001,$A$146,BD!$AB$3:$AB$5001,"&lt;&gt;")=0,"",SUMIFS(BD!$AB$3:$AB$5001,BD!$A$3:$A$5001,O$3,BD!$B$3:$B$5001,$A$146)))</f>
        <v/>
      </c>
      <c r="P159" s="240" t="str">
        <f>IF(P$3="","",IF(COUNTIFS(BD!$A$3:$A$5001,P$3,BD!$B$3:$B$5001,$A$146,BD!$AB$3:$AB$5001,"&lt;&gt;")=0,"",SUMIFS(BD!$AB$3:$AB$5001,BD!$A$3:$A$5001,P$3,BD!$B$3:$B$5001,$A$146)))</f>
        <v/>
      </c>
      <c r="Q159" s="240" t="str">
        <f>IF(Q$3="","",IF(COUNTIFS(BD!$A$3:$A$5001,Q$3,BD!$B$3:$B$5001,$A$146,BD!$AB$3:$AB$5001,"&lt;&gt;")=0,"",SUMIFS(BD!$AB$3:$AB$5001,BD!$A$3:$A$5001,Q$3,BD!$B$3:$B$5001,$A$146)))</f>
        <v/>
      </c>
      <c r="R159" s="240" t="str">
        <f>IF(R$3="","",IF(COUNTIFS(BD!$A$3:$A$5001,R$3,BD!$B$3:$B$5001,$A$146,BD!$AB$3:$AB$5001,"&lt;&gt;")=0,"",SUMIFS(BD!$AB$3:$AB$5001,BD!$A$3:$A$5001,R$3,BD!$B$3:$B$5001,$A$146)))</f>
        <v/>
      </c>
      <c r="S159" s="240" t="str">
        <f>IF(S$3="","",IF(COUNTIFS(BD!$A$3:$A$5001,S$3,BD!$B$3:$B$5001,$A$146,BD!$AB$3:$AB$5001,"&lt;&gt;")=0,"",SUMIFS(BD!$AB$3:$AB$5001,BD!$A$3:$A$5001,S$3,BD!$B$3:$B$5001,$A$146)))</f>
        <v/>
      </c>
      <c r="T159" s="240" t="str">
        <f>IF(T$3="","",IF(COUNTIFS(BD!$A$3:$A$5001,T$3,BD!$B$3:$B$5001,$A$146,BD!$AB$3:$AB$5001,"&lt;&gt;")=0,"",SUMIFS(BD!$AB$3:$AB$5001,BD!$A$3:$A$5001,T$3,BD!$B$3:$B$5001,$A$146)))</f>
        <v/>
      </c>
      <c r="U159" s="240" t="str">
        <f>IF(U$3="","",IF(COUNTIFS(BD!$A$3:$A$5001,U$3,BD!$B$3:$B$5001,$A$146,BD!$AB$3:$AB$5001,"&lt;&gt;")=0,"",SUMIFS(BD!$AB$3:$AB$5001,BD!$A$3:$A$5001,U$3,BD!$B$3:$B$5001,$A$146)))</f>
        <v/>
      </c>
      <c r="V159" s="240" t="str">
        <f>IF(V$3="","",IF(COUNTIFS(BD!$A$3:$A$5001,V$3,BD!$B$3:$B$5001,$A$146,BD!$AB$3:$AB$5001,"&lt;&gt;")=0,"",SUMIFS(BD!$AB$3:$AB$5001,BD!$A$3:$A$5001,V$3,BD!$B$3:$B$5001,$A$146)))</f>
        <v/>
      </c>
      <c r="W159" s="240" t="str">
        <f>IF(W$3="","",IF(COUNTIFS(BD!$A$3:$A$5001,W$3,BD!$B$3:$B$5001,$A$146,BD!$AB$3:$AB$5001,"&lt;&gt;")=0,"",SUMIFS(BD!$AB$3:$AB$5001,BD!$A$3:$A$5001,W$3,BD!$B$3:$B$5001,$A$146)))</f>
        <v/>
      </c>
      <c r="X159" s="240" t="str">
        <f>IF(X$3="","",IF(COUNTIFS(BD!$A$3:$A$5001,X$3,BD!$B$3:$B$5001,$A$146,BD!$AB$3:$AB$5001,"&lt;&gt;")=0,"",SUMIFS(BD!$AB$3:$AB$5001,BD!$A$3:$A$5001,X$3,BD!$B$3:$B$5001,$A$146)))</f>
        <v/>
      </c>
      <c r="Y159" s="240" t="str">
        <f>IF(Y$3="","",IF(COUNTIFS(BD!$A$3:$A$5001,Y$3,BD!$B$3:$B$5001,$A$146,BD!$AB$3:$AB$5001,"&lt;&gt;")=0,"",SUMIFS(BD!$AB$3:$AB$5001,BD!$A$3:$A$5001,Y$3,BD!$B$3:$B$5001,$A$146)))</f>
        <v/>
      </c>
      <c r="Z159" s="240" t="str">
        <f>IF(Z$3="","",IF(COUNTIFS(BD!$A$3:$A$5001,Z$3,BD!$B$3:$B$5001,$A$146,BD!$AB$3:$AB$5001,"&lt;&gt;")=0,"",SUMIFS(BD!$AB$3:$AB$5001,BD!$A$3:$A$5001,Z$3,BD!$B$3:$B$5001,$A$146)))</f>
        <v/>
      </c>
      <c r="AA159" s="240" t="str">
        <f>IF(AA$3="","",IF(COUNTIFS(BD!$A$3:$A$5001,AA$3,BD!$B$3:$B$5001,$A$146,BD!$AB$3:$AB$5001,"&lt;&gt;")=0,"",SUMIFS(BD!$AB$3:$AB$5001,BD!$A$3:$A$5001,AA$3,BD!$B$3:$B$5001,$A$146)))</f>
        <v/>
      </c>
      <c r="AB159" s="240" t="str">
        <f>IF(AB$3="","",IF(COUNTIFS(BD!$A$3:$A$5001,AB$3,BD!$B$3:$B$5001,$A$146,BD!$AB$3:$AB$5001,"&lt;&gt;")=0,"",SUMIFS(BD!$AB$3:$AB$5001,BD!$A$3:$A$5001,AB$3,BD!$B$3:$B$5001,$A$146)))</f>
        <v/>
      </c>
      <c r="AC159" s="240" t="str">
        <f>IF(AC$3="","",IF(COUNTIFS(BD!$A$3:$A$5001,AC$3,BD!$B$3:$B$5001,$A$146,BD!$AB$3:$AB$5001,"&lt;&gt;")=0,"",SUMIFS(BD!$AB$3:$AB$5001,BD!$A$3:$A$5001,AC$3,BD!$B$3:$B$5001,$A$146)))</f>
        <v/>
      </c>
      <c r="AD159" s="240" t="str">
        <f>IF(AD$3="","",IF(COUNTIFS(BD!$A$3:$A$5001,AD$3,BD!$B$3:$B$5001,$A$146,BD!$AB$3:$AB$5001,"&lt;&gt;")=0,"",SUMIFS(BD!$AB$3:$AB$5001,BD!$A$3:$A$5001,AD$3,BD!$B$3:$B$5001,$A$146)))</f>
        <v/>
      </c>
      <c r="AE159" s="240" t="str">
        <f>IF(AE$3="","",IF(COUNTIFS(BD!$A$3:$A$5001,AE$3,BD!$B$3:$B$5001,$A$146,BD!$AB$3:$AB$5001,"&lt;&gt;")=0,"",SUMIFS(BD!$AB$3:$AB$5001,BD!$A$3:$A$5001,AE$3,BD!$B$3:$B$5001,$A$146)))</f>
        <v/>
      </c>
      <c r="AF159" s="240" t="str">
        <f>IF(AF$3="","",IF(COUNTIFS(BD!$A$3:$A$5001,AF$3,BD!$B$3:$B$5001,$A$146,BD!$AB$3:$AB$5001,"&lt;&gt;")=0,"",SUMIFS(BD!$AB$3:$AB$5001,BD!$A$3:$A$5001,AF$3,BD!$B$3:$B$5001,$A$146)))</f>
        <v/>
      </c>
      <c r="AG159" s="240" t="str">
        <f>IF(AG$3="","",IF(COUNTIFS(BD!$A$3:$A$5001,AG$3,BD!$B$3:$B$5001,$A$146,BD!$AB$3:$AB$5001,"&lt;&gt;")=0,"",SUMIFS(BD!$AB$3:$AB$5001,BD!$A$3:$A$5001,AG$3,BD!$B$3:$B$5001,$A$146)))</f>
        <v/>
      </c>
      <c r="AH159" s="240" t="str">
        <f>IF(AH$3="","",IF(COUNTIFS(BD!$A$3:$A$5001,AH$3,BD!$B$3:$B$5001,$A$146,BD!$AB$3:$AB$5001,"&lt;&gt;")=0,"",SUMIFS(BD!$AB$3:$AB$5001,BD!$A$3:$A$5001,AH$3,BD!$B$3:$B$5001,$A$146)))</f>
        <v/>
      </c>
      <c r="AI159" s="240" t="str">
        <f>IF(AI$3="","",IF(COUNTIFS(BD!$A$3:$A$5001,AI$3,BD!$B$3:$B$5001,$A$146,BD!$AB$3:$AB$5001,"&lt;&gt;")=0,"",SUMIFS(BD!$AB$3:$AB$5001,BD!$A$3:$A$5001,AI$3,BD!$B$3:$B$5001,$A$146)))</f>
        <v/>
      </c>
      <c r="AJ159" s="241" t="str">
        <f>IF(AJ$3="","",IF(COUNTIFS(BD!$A$3:$A$5001,AJ$3,BD!$B$3:$B$5001,$A$146,BD!$AB$3:$AB$5001,"&lt;&gt;")=0,"",SUMIFS(BD!$AB$3:$AB$5001,BD!$A$3:$A$5001,AJ$3,BD!$B$3:$B$5001,$A$146)))</f>
        <v/>
      </c>
      <c r="AK159" s="242" t="str">
        <f>IF(COUNT(F159:AJ159)=0,"",SUM(F159:AJ159))</f>
        <v/>
      </c>
    </row>
    <row r="160" ht="15.75" customHeight="1">
      <c r="A160" s="261"/>
      <c r="B160" s="258"/>
      <c r="C160" s="232" t="inlineStr">
        <is>
          <t xml:space="preserve">Folga</t>
        </is>
      </c>
      <c r="D160" s="233" t="str">
        <f>IFERROR(1/(1/INDEX(BD!$AL$50:$BF$50,MATCH($A$146,BD!$AL$22:$BF$22,0))),"")</f>
        <v/>
      </c>
      <c r="E160" s="234"/>
      <c r="F160" s="235" t="str">
        <f>IF(F$3="","",IF(COUNTIFS(BD!$A$3:$A$5001,F$3,BD!$B$3:$B$5001,$A$146,BD!$AC$3:$AC$5001,"&lt;&gt;")=0,"",SUMIFS(BD!$AC$3:$AC$5001,BD!$A$3:$A$5001,F$3,BD!$B$3:$B$5001,$A$146)))</f>
        <v/>
      </c>
      <c r="G160" s="236" t="str">
        <f>IF(G$3="","",IF(COUNTIFS(BD!$A$3:$A$5001,G$3,BD!$B$3:$B$5001,$A$146,BD!$AC$3:$AC$5001,"&lt;&gt;")=0,"",SUMIFS(BD!$AC$3:$AC$5001,BD!$A$3:$A$5001,G$3,BD!$B$3:$B$5001,$A$146)))</f>
        <v/>
      </c>
      <c r="H160" s="236" t="str">
        <f>IF(H$3="","",IF(COUNTIFS(BD!$A$3:$A$5001,H$3,BD!$B$3:$B$5001,$A$146,BD!$AC$3:$AC$5001,"&lt;&gt;")=0,"",SUMIFS(BD!$AC$3:$AC$5001,BD!$A$3:$A$5001,H$3,BD!$B$3:$B$5001,$A$146)))</f>
        <v/>
      </c>
      <c r="I160" s="236" t="str">
        <f>IF(I$3="","",IF(COUNTIFS(BD!$A$3:$A$5001,I$3,BD!$B$3:$B$5001,$A$146,BD!$AC$3:$AC$5001,"&lt;&gt;")=0,"",SUMIFS(BD!$AC$3:$AC$5001,BD!$A$3:$A$5001,I$3,BD!$B$3:$B$5001,$A$146)))</f>
        <v/>
      </c>
      <c r="J160" s="236" t="str">
        <f>IF(J$3="","",IF(COUNTIFS(BD!$A$3:$A$5001,J$3,BD!$B$3:$B$5001,$A$146,BD!$AC$3:$AC$5001,"&lt;&gt;")=0,"",SUMIFS(BD!$AC$3:$AC$5001,BD!$A$3:$A$5001,J$3,BD!$B$3:$B$5001,$A$146)))</f>
        <v/>
      </c>
      <c r="K160" s="236" t="str">
        <f>IF(K$3="","",IF(COUNTIFS(BD!$A$3:$A$5001,K$3,BD!$B$3:$B$5001,$A$146,BD!$AC$3:$AC$5001,"&lt;&gt;")=0,"",SUMIFS(BD!$AC$3:$AC$5001,BD!$A$3:$A$5001,K$3,BD!$B$3:$B$5001,$A$146)))</f>
        <v/>
      </c>
      <c r="L160" s="236" t="str">
        <f>IF(L$3="","",IF(COUNTIFS(BD!$A$3:$A$5001,L$3,BD!$B$3:$B$5001,$A$146,BD!$AC$3:$AC$5001,"&lt;&gt;")=0,"",SUMIFS(BD!$AC$3:$AC$5001,BD!$A$3:$A$5001,L$3,BD!$B$3:$B$5001,$A$146)))</f>
        <v/>
      </c>
      <c r="M160" s="236" t="str">
        <f>IF(M$3="","",IF(COUNTIFS(BD!$A$3:$A$5001,M$3,BD!$B$3:$B$5001,$A$146,BD!$AC$3:$AC$5001,"&lt;&gt;")=0,"",SUMIFS(BD!$AC$3:$AC$5001,BD!$A$3:$A$5001,M$3,BD!$B$3:$B$5001,$A$146)))</f>
        <v/>
      </c>
      <c r="N160" s="236" t="str">
        <f>IF(N$3="","",IF(COUNTIFS(BD!$A$3:$A$5001,N$3,BD!$B$3:$B$5001,$A$146,BD!$AC$3:$AC$5001,"&lt;&gt;")=0,"",SUMIFS(BD!$AC$3:$AC$5001,BD!$A$3:$A$5001,N$3,BD!$B$3:$B$5001,$A$146)))</f>
        <v/>
      </c>
      <c r="O160" s="236" t="str">
        <f>IF(O$3="","",IF(COUNTIFS(BD!$A$3:$A$5001,O$3,BD!$B$3:$B$5001,$A$146,BD!$AC$3:$AC$5001,"&lt;&gt;")=0,"",SUMIFS(BD!$AC$3:$AC$5001,BD!$A$3:$A$5001,O$3,BD!$B$3:$B$5001,$A$146)))</f>
        <v/>
      </c>
      <c r="P160" s="236" t="str">
        <f>IF(P$3="","",IF(COUNTIFS(BD!$A$3:$A$5001,P$3,BD!$B$3:$B$5001,$A$146,BD!$AC$3:$AC$5001,"&lt;&gt;")=0,"",SUMIFS(BD!$AC$3:$AC$5001,BD!$A$3:$A$5001,P$3,BD!$B$3:$B$5001,$A$146)))</f>
        <v/>
      </c>
      <c r="Q160" s="236" t="str">
        <f>IF(Q$3="","",IF(COUNTIFS(BD!$A$3:$A$5001,Q$3,BD!$B$3:$B$5001,$A$146,BD!$AC$3:$AC$5001,"&lt;&gt;")=0,"",SUMIFS(BD!$AC$3:$AC$5001,BD!$A$3:$A$5001,Q$3,BD!$B$3:$B$5001,$A$146)))</f>
        <v/>
      </c>
      <c r="R160" s="236" t="str">
        <f>IF(R$3="","",IF(COUNTIFS(BD!$A$3:$A$5001,R$3,BD!$B$3:$B$5001,$A$146,BD!$AC$3:$AC$5001,"&lt;&gt;")=0,"",SUMIFS(BD!$AC$3:$AC$5001,BD!$A$3:$A$5001,R$3,BD!$B$3:$B$5001,$A$146)))</f>
        <v/>
      </c>
      <c r="S160" s="236" t="str">
        <f>IF(S$3="","",IF(COUNTIFS(BD!$A$3:$A$5001,S$3,BD!$B$3:$B$5001,$A$146,BD!$AC$3:$AC$5001,"&lt;&gt;")=0,"",SUMIFS(BD!$AC$3:$AC$5001,BD!$A$3:$A$5001,S$3,BD!$B$3:$B$5001,$A$146)))</f>
        <v/>
      </c>
      <c r="T160" s="236" t="str">
        <f>IF(T$3="","",IF(COUNTIFS(BD!$A$3:$A$5001,T$3,BD!$B$3:$B$5001,$A$146,BD!$AC$3:$AC$5001,"&lt;&gt;")=0,"",SUMIFS(BD!$AC$3:$AC$5001,BD!$A$3:$A$5001,T$3,BD!$B$3:$B$5001,$A$146)))</f>
        <v/>
      </c>
      <c r="U160" s="236" t="str">
        <f>IF(U$3="","",IF(COUNTIFS(BD!$A$3:$A$5001,U$3,BD!$B$3:$B$5001,$A$146,BD!$AC$3:$AC$5001,"&lt;&gt;")=0,"",SUMIFS(BD!$AC$3:$AC$5001,BD!$A$3:$A$5001,U$3,BD!$B$3:$B$5001,$A$146)))</f>
        <v/>
      </c>
      <c r="V160" s="236" t="str">
        <f>IF(V$3="","",IF(COUNTIFS(BD!$A$3:$A$5001,V$3,BD!$B$3:$B$5001,$A$146,BD!$AC$3:$AC$5001,"&lt;&gt;")=0,"",SUMIFS(BD!$AC$3:$AC$5001,BD!$A$3:$A$5001,V$3,BD!$B$3:$B$5001,$A$146)))</f>
        <v/>
      </c>
      <c r="W160" s="236" t="str">
        <f>IF(W$3="","",IF(COUNTIFS(BD!$A$3:$A$5001,W$3,BD!$B$3:$B$5001,$A$146,BD!$AC$3:$AC$5001,"&lt;&gt;")=0,"",SUMIFS(BD!$AC$3:$AC$5001,BD!$A$3:$A$5001,W$3,BD!$B$3:$B$5001,$A$146)))</f>
        <v/>
      </c>
      <c r="X160" s="236" t="str">
        <f>IF(X$3="","",IF(COUNTIFS(BD!$A$3:$A$5001,X$3,BD!$B$3:$B$5001,$A$146,BD!$AC$3:$AC$5001,"&lt;&gt;")=0,"",SUMIFS(BD!$AC$3:$AC$5001,BD!$A$3:$A$5001,X$3,BD!$B$3:$B$5001,$A$146)))</f>
        <v/>
      </c>
      <c r="Y160" s="236" t="str">
        <f>IF(Y$3="","",IF(COUNTIFS(BD!$A$3:$A$5001,Y$3,BD!$B$3:$B$5001,$A$146,BD!$AC$3:$AC$5001,"&lt;&gt;")=0,"",SUMIFS(BD!$AC$3:$AC$5001,BD!$A$3:$A$5001,Y$3,BD!$B$3:$B$5001,$A$146)))</f>
        <v/>
      </c>
      <c r="Z160" s="236" t="str">
        <f>IF(Z$3="","",IF(COUNTIFS(BD!$A$3:$A$5001,Z$3,BD!$B$3:$B$5001,$A$146,BD!$AC$3:$AC$5001,"&lt;&gt;")=0,"",SUMIFS(BD!$AC$3:$AC$5001,BD!$A$3:$A$5001,Z$3,BD!$B$3:$B$5001,$A$146)))</f>
        <v/>
      </c>
      <c r="AA160" s="236" t="str">
        <f>IF(AA$3="","",IF(COUNTIFS(BD!$A$3:$A$5001,AA$3,BD!$B$3:$B$5001,$A$146,BD!$AC$3:$AC$5001,"&lt;&gt;")=0,"",SUMIFS(BD!$AC$3:$AC$5001,BD!$A$3:$A$5001,AA$3,BD!$B$3:$B$5001,$A$146)))</f>
        <v/>
      </c>
      <c r="AB160" s="236" t="str">
        <f>IF(AB$3="","",IF(COUNTIFS(BD!$A$3:$A$5001,AB$3,BD!$B$3:$B$5001,$A$146,BD!$AC$3:$AC$5001,"&lt;&gt;")=0,"",SUMIFS(BD!$AC$3:$AC$5001,BD!$A$3:$A$5001,AB$3,BD!$B$3:$B$5001,$A$146)))</f>
        <v/>
      </c>
      <c r="AC160" s="236" t="str">
        <f>IF(AC$3="","",IF(COUNTIFS(BD!$A$3:$A$5001,AC$3,BD!$B$3:$B$5001,$A$146,BD!$AC$3:$AC$5001,"&lt;&gt;")=0,"",SUMIFS(BD!$AC$3:$AC$5001,BD!$A$3:$A$5001,AC$3,BD!$B$3:$B$5001,$A$146)))</f>
        <v/>
      </c>
      <c r="AD160" s="236" t="str">
        <f>IF(AD$3="","",IF(COUNTIFS(BD!$A$3:$A$5001,AD$3,BD!$B$3:$B$5001,$A$146,BD!$AC$3:$AC$5001,"&lt;&gt;")=0,"",SUMIFS(BD!$AC$3:$AC$5001,BD!$A$3:$A$5001,AD$3,BD!$B$3:$B$5001,$A$146)))</f>
        <v/>
      </c>
      <c r="AE160" s="236" t="str">
        <f>IF(AE$3="","",IF(COUNTIFS(BD!$A$3:$A$5001,AE$3,BD!$B$3:$B$5001,$A$146,BD!$AC$3:$AC$5001,"&lt;&gt;")=0,"",SUMIFS(BD!$AC$3:$AC$5001,BD!$A$3:$A$5001,AE$3,BD!$B$3:$B$5001,$A$146)))</f>
        <v/>
      </c>
      <c r="AF160" s="236" t="str">
        <f>IF(AF$3="","",IF(COUNTIFS(BD!$A$3:$A$5001,AF$3,BD!$B$3:$B$5001,$A$146,BD!$AC$3:$AC$5001,"&lt;&gt;")=0,"",SUMIFS(BD!$AC$3:$AC$5001,BD!$A$3:$A$5001,AF$3,BD!$B$3:$B$5001,$A$146)))</f>
        <v/>
      </c>
      <c r="AG160" s="236" t="str">
        <f>IF(AG$3="","",IF(COUNTIFS(BD!$A$3:$A$5001,AG$3,BD!$B$3:$B$5001,$A$146,BD!$AC$3:$AC$5001,"&lt;&gt;")=0,"",SUMIFS(BD!$AC$3:$AC$5001,BD!$A$3:$A$5001,AG$3,BD!$B$3:$B$5001,$A$146)))</f>
        <v/>
      </c>
      <c r="AH160" s="236" t="str">
        <f>IF(AH$3="","",IF(COUNTIFS(BD!$A$3:$A$5001,AH$3,BD!$B$3:$B$5001,$A$146,BD!$AC$3:$AC$5001,"&lt;&gt;")=0,"",SUMIFS(BD!$AC$3:$AC$5001,BD!$A$3:$A$5001,AH$3,BD!$B$3:$B$5001,$A$146)))</f>
        <v/>
      </c>
      <c r="AI160" s="236" t="str">
        <f>IF(AI$3="","",IF(COUNTIFS(BD!$A$3:$A$5001,AI$3,BD!$B$3:$B$5001,$A$146,BD!$AC$3:$AC$5001,"&lt;&gt;")=0,"",SUMIFS(BD!$AC$3:$AC$5001,BD!$A$3:$A$5001,AI$3,BD!$B$3:$B$5001,$A$146)))</f>
        <v/>
      </c>
      <c r="AJ160" s="237" t="str">
        <f>IF(AJ$3="","",IF(COUNTIFS(BD!$A$3:$A$5001,AJ$3,BD!$B$3:$B$5001,$A$146,BD!$AC$3:$AC$5001,"&lt;&gt;")=0,"",SUMIFS(BD!$AC$3:$AC$5001,BD!$A$3:$A$5001,AJ$3,BD!$B$3:$B$5001,$A$146)))</f>
        <v/>
      </c>
      <c r="AK160" s="238" t="str">
        <f>IF(COUNT(F160:AJ160)=0,"",SUM(F160:AJ160))</f>
        <v/>
      </c>
    </row>
    <row r="161" ht="15.75" customHeight="1">
      <c r="A161" s="261"/>
      <c r="B161" s="258"/>
      <c r="C161" s="232" t="inlineStr">
        <is>
          <t xml:space="preserve">Férias</t>
        </is>
      </c>
      <c r="D161" s="233" t="str">
        <f>IFERROR(1/(1/INDEX(BD!$AL$51:$BF$51,MATCH($A$146,BD!$AL$22:$BF$22,0))),"")</f>
        <v/>
      </c>
      <c r="E161" s="234"/>
      <c r="F161" s="235" t="str">
        <f>IF(F$3="","",IF(COUNTIFS(BD!$A$3:$A$5001,F$3,BD!$B$3:$B$5001,$A$146,BD!$AD$3:$AD$5001,"&lt;&gt;")=0,"",SUMIFS(BD!$AD$3:$AD$5001,BD!$A$3:$A$5001,F$3,BD!$B$3:$B$5001,$A$146)))</f>
        <v/>
      </c>
      <c r="G161" s="236" t="str">
        <f>IF(G$3="","",IF(COUNTIFS(BD!$A$3:$A$5001,G$3,BD!$B$3:$B$5001,$A$146,BD!$AD$3:$AD$5001,"&lt;&gt;")=0,"",SUMIFS(BD!$AD$3:$AD$5001,BD!$A$3:$A$5001,G$3,BD!$B$3:$B$5001,$A$146)))</f>
        <v/>
      </c>
      <c r="H161" s="236" t="str">
        <f>IF(H$3="","",IF(COUNTIFS(BD!$A$3:$A$5001,H$3,BD!$B$3:$B$5001,$A$146,BD!$AD$3:$AD$5001,"&lt;&gt;")=0,"",SUMIFS(BD!$AD$3:$AD$5001,BD!$A$3:$A$5001,H$3,BD!$B$3:$B$5001,$A$146)))</f>
        <v/>
      </c>
      <c r="I161" s="236" t="str">
        <f>IF(I$3="","",IF(COUNTIFS(BD!$A$3:$A$5001,I$3,BD!$B$3:$B$5001,$A$146,BD!$AD$3:$AD$5001,"&lt;&gt;")=0,"",SUMIFS(BD!$AD$3:$AD$5001,BD!$A$3:$A$5001,I$3,BD!$B$3:$B$5001,$A$146)))</f>
        <v/>
      </c>
      <c r="J161" s="236" t="str">
        <f>IF(J$3="","",IF(COUNTIFS(BD!$A$3:$A$5001,J$3,BD!$B$3:$B$5001,$A$146,BD!$AD$3:$AD$5001,"&lt;&gt;")=0,"",SUMIFS(BD!$AD$3:$AD$5001,BD!$A$3:$A$5001,J$3,BD!$B$3:$B$5001,$A$146)))</f>
        <v/>
      </c>
      <c r="K161" s="236" t="str">
        <f>IF(K$3="","",IF(COUNTIFS(BD!$A$3:$A$5001,K$3,BD!$B$3:$B$5001,$A$146,BD!$AD$3:$AD$5001,"&lt;&gt;")=0,"",SUMIFS(BD!$AD$3:$AD$5001,BD!$A$3:$A$5001,K$3,BD!$B$3:$B$5001,$A$146)))</f>
        <v/>
      </c>
      <c r="L161" s="236" t="str">
        <f>IF(L$3="","",IF(COUNTIFS(BD!$A$3:$A$5001,L$3,BD!$B$3:$B$5001,$A$146,BD!$AD$3:$AD$5001,"&lt;&gt;")=0,"",SUMIFS(BD!$AD$3:$AD$5001,BD!$A$3:$A$5001,L$3,BD!$B$3:$B$5001,$A$146)))</f>
        <v/>
      </c>
      <c r="M161" s="236" t="str">
        <f>IF(M$3="","",IF(COUNTIFS(BD!$A$3:$A$5001,M$3,BD!$B$3:$B$5001,$A$146,BD!$AD$3:$AD$5001,"&lt;&gt;")=0,"",SUMIFS(BD!$AD$3:$AD$5001,BD!$A$3:$A$5001,M$3,BD!$B$3:$B$5001,$A$146)))</f>
        <v/>
      </c>
      <c r="N161" s="236" t="str">
        <f>IF(N$3="","",IF(COUNTIFS(BD!$A$3:$A$5001,N$3,BD!$B$3:$B$5001,$A$146,BD!$AD$3:$AD$5001,"&lt;&gt;")=0,"",SUMIFS(BD!$AD$3:$AD$5001,BD!$A$3:$A$5001,N$3,BD!$B$3:$B$5001,$A$146)))</f>
        <v/>
      </c>
      <c r="O161" s="236" t="str">
        <f>IF(O$3="","",IF(COUNTIFS(BD!$A$3:$A$5001,O$3,BD!$B$3:$B$5001,$A$146,BD!$AD$3:$AD$5001,"&lt;&gt;")=0,"",SUMIFS(BD!$AD$3:$AD$5001,BD!$A$3:$A$5001,O$3,BD!$B$3:$B$5001,$A$146)))</f>
        <v/>
      </c>
      <c r="P161" s="236" t="str">
        <f>IF(P$3="","",IF(COUNTIFS(BD!$A$3:$A$5001,P$3,BD!$B$3:$B$5001,$A$146,BD!$AD$3:$AD$5001,"&lt;&gt;")=0,"",SUMIFS(BD!$AD$3:$AD$5001,BD!$A$3:$A$5001,P$3,BD!$B$3:$B$5001,$A$146)))</f>
        <v/>
      </c>
      <c r="Q161" s="236" t="str">
        <f>IF(Q$3="","",IF(COUNTIFS(BD!$A$3:$A$5001,Q$3,BD!$B$3:$B$5001,$A$146,BD!$AD$3:$AD$5001,"&lt;&gt;")=0,"",SUMIFS(BD!$AD$3:$AD$5001,BD!$A$3:$A$5001,Q$3,BD!$B$3:$B$5001,$A$146)))</f>
        <v/>
      </c>
      <c r="R161" s="236" t="str">
        <f>IF(R$3="","",IF(COUNTIFS(BD!$A$3:$A$5001,R$3,BD!$B$3:$B$5001,$A$146,BD!$AD$3:$AD$5001,"&lt;&gt;")=0,"",SUMIFS(BD!$AD$3:$AD$5001,BD!$A$3:$A$5001,R$3,BD!$B$3:$B$5001,$A$146)))</f>
        <v/>
      </c>
      <c r="S161" s="236" t="str">
        <f>IF(S$3="","",IF(COUNTIFS(BD!$A$3:$A$5001,S$3,BD!$B$3:$B$5001,$A$146,BD!$AD$3:$AD$5001,"&lt;&gt;")=0,"",SUMIFS(BD!$AD$3:$AD$5001,BD!$A$3:$A$5001,S$3,BD!$B$3:$B$5001,$A$146)))</f>
        <v/>
      </c>
      <c r="T161" s="236" t="str">
        <f>IF(T$3="","",IF(COUNTIFS(BD!$A$3:$A$5001,T$3,BD!$B$3:$B$5001,$A$146,BD!$AD$3:$AD$5001,"&lt;&gt;")=0,"",SUMIFS(BD!$AD$3:$AD$5001,BD!$A$3:$A$5001,T$3,BD!$B$3:$B$5001,$A$146)))</f>
        <v/>
      </c>
      <c r="U161" s="236" t="str">
        <f>IF(U$3="","",IF(COUNTIFS(BD!$A$3:$A$5001,U$3,BD!$B$3:$B$5001,$A$146,BD!$AD$3:$AD$5001,"&lt;&gt;")=0,"",SUMIFS(BD!$AD$3:$AD$5001,BD!$A$3:$A$5001,U$3,BD!$B$3:$B$5001,$A$146)))</f>
        <v/>
      </c>
      <c r="V161" s="236" t="str">
        <f>IF(V$3="","",IF(COUNTIFS(BD!$A$3:$A$5001,V$3,BD!$B$3:$B$5001,$A$146,BD!$AD$3:$AD$5001,"&lt;&gt;")=0,"",SUMIFS(BD!$AD$3:$AD$5001,BD!$A$3:$A$5001,V$3,BD!$B$3:$B$5001,$A$146)))</f>
        <v/>
      </c>
      <c r="W161" s="236" t="str">
        <f>IF(W$3="","",IF(COUNTIFS(BD!$A$3:$A$5001,W$3,BD!$B$3:$B$5001,$A$146,BD!$AD$3:$AD$5001,"&lt;&gt;")=0,"",SUMIFS(BD!$AD$3:$AD$5001,BD!$A$3:$A$5001,W$3,BD!$B$3:$B$5001,$A$146)))</f>
        <v/>
      </c>
      <c r="X161" s="236" t="str">
        <f>IF(X$3="","",IF(COUNTIFS(BD!$A$3:$A$5001,X$3,BD!$B$3:$B$5001,$A$146,BD!$AD$3:$AD$5001,"&lt;&gt;")=0,"",SUMIFS(BD!$AD$3:$AD$5001,BD!$A$3:$A$5001,X$3,BD!$B$3:$B$5001,$A$146)))</f>
        <v/>
      </c>
      <c r="Y161" s="236" t="str">
        <f>IF(Y$3="","",IF(COUNTIFS(BD!$A$3:$A$5001,Y$3,BD!$B$3:$B$5001,$A$146,BD!$AD$3:$AD$5001,"&lt;&gt;")=0,"",SUMIFS(BD!$AD$3:$AD$5001,BD!$A$3:$A$5001,Y$3,BD!$B$3:$B$5001,$A$146)))</f>
        <v/>
      </c>
      <c r="Z161" s="236" t="str">
        <f>IF(Z$3="","",IF(COUNTIFS(BD!$A$3:$A$5001,Z$3,BD!$B$3:$B$5001,$A$146,BD!$AD$3:$AD$5001,"&lt;&gt;")=0,"",SUMIFS(BD!$AD$3:$AD$5001,BD!$A$3:$A$5001,Z$3,BD!$B$3:$B$5001,$A$146)))</f>
        <v/>
      </c>
      <c r="AA161" s="236" t="str">
        <f>IF(AA$3="","",IF(COUNTIFS(BD!$A$3:$A$5001,AA$3,BD!$B$3:$B$5001,$A$146,BD!$AD$3:$AD$5001,"&lt;&gt;")=0,"",SUMIFS(BD!$AD$3:$AD$5001,BD!$A$3:$A$5001,AA$3,BD!$B$3:$B$5001,$A$146)))</f>
        <v/>
      </c>
      <c r="AB161" s="236" t="str">
        <f>IF(AB$3="","",IF(COUNTIFS(BD!$A$3:$A$5001,AB$3,BD!$B$3:$B$5001,$A$146,BD!$AD$3:$AD$5001,"&lt;&gt;")=0,"",SUMIFS(BD!$AD$3:$AD$5001,BD!$A$3:$A$5001,AB$3,BD!$B$3:$B$5001,$A$146)))</f>
        <v/>
      </c>
      <c r="AC161" s="236" t="str">
        <f>IF(AC$3="","",IF(COUNTIFS(BD!$A$3:$A$5001,AC$3,BD!$B$3:$B$5001,$A$146,BD!$AD$3:$AD$5001,"&lt;&gt;")=0,"",SUMIFS(BD!$AD$3:$AD$5001,BD!$A$3:$A$5001,AC$3,BD!$B$3:$B$5001,$A$146)))</f>
        <v/>
      </c>
      <c r="AD161" s="236" t="str">
        <f>IF(AD$3="","",IF(COUNTIFS(BD!$A$3:$A$5001,AD$3,BD!$B$3:$B$5001,$A$146,BD!$AD$3:$AD$5001,"&lt;&gt;")=0,"",SUMIFS(BD!$AD$3:$AD$5001,BD!$A$3:$A$5001,AD$3,BD!$B$3:$B$5001,$A$146)))</f>
        <v/>
      </c>
      <c r="AE161" s="236" t="str">
        <f>IF(AE$3="","",IF(COUNTIFS(BD!$A$3:$A$5001,AE$3,BD!$B$3:$B$5001,$A$146,BD!$AD$3:$AD$5001,"&lt;&gt;")=0,"",SUMIFS(BD!$AD$3:$AD$5001,BD!$A$3:$A$5001,AE$3,BD!$B$3:$B$5001,$A$146)))</f>
        <v/>
      </c>
      <c r="AF161" s="236" t="str">
        <f>IF(AF$3="","",IF(COUNTIFS(BD!$A$3:$A$5001,AF$3,BD!$B$3:$B$5001,$A$146,BD!$AD$3:$AD$5001,"&lt;&gt;")=0,"",SUMIFS(BD!$AD$3:$AD$5001,BD!$A$3:$A$5001,AF$3,BD!$B$3:$B$5001,$A$146)))</f>
        <v/>
      </c>
      <c r="AG161" s="236" t="str">
        <f>IF(AG$3="","",IF(COUNTIFS(BD!$A$3:$A$5001,AG$3,BD!$B$3:$B$5001,$A$146,BD!$AD$3:$AD$5001,"&lt;&gt;")=0,"",SUMIFS(BD!$AD$3:$AD$5001,BD!$A$3:$A$5001,AG$3,BD!$B$3:$B$5001,$A$146)))</f>
        <v/>
      </c>
      <c r="AH161" s="236" t="str">
        <f>IF(AH$3="","",IF(COUNTIFS(BD!$A$3:$A$5001,AH$3,BD!$B$3:$B$5001,$A$146,BD!$AD$3:$AD$5001,"&lt;&gt;")=0,"",SUMIFS(BD!$AD$3:$AD$5001,BD!$A$3:$A$5001,AH$3,BD!$B$3:$B$5001,$A$146)))</f>
        <v/>
      </c>
      <c r="AI161" s="236" t="str">
        <f>IF(AI$3="","",IF(COUNTIFS(BD!$A$3:$A$5001,AI$3,BD!$B$3:$B$5001,$A$146,BD!$AD$3:$AD$5001,"&lt;&gt;")=0,"",SUMIFS(BD!$AD$3:$AD$5001,BD!$A$3:$A$5001,AI$3,BD!$B$3:$B$5001,$A$146)))</f>
        <v/>
      </c>
      <c r="AJ161" s="237" t="str">
        <f>IF(AJ$3="","",IF(COUNTIFS(BD!$A$3:$A$5001,AJ$3,BD!$B$3:$B$5001,$A$146,BD!$AD$3:$AD$5001,"&lt;&gt;")=0,"",SUMIFS(BD!$AD$3:$AD$5001,BD!$A$3:$A$5001,AJ$3,BD!$B$3:$B$5001,$A$146)))</f>
        <v/>
      </c>
      <c r="AK161" s="238" t="str">
        <f>IF(COUNT(F161:AJ161)=0,"",SUM(F161:AJ161))</f>
        <v/>
      </c>
    </row>
    <row r="162" ht="15.75" customHeight="1">
      <c r="A162" s="261"/>
      <c r="B162" s="258"/>
      <c r="C162" s="232" t="inlineStr">
        <is>
          <t xml:space="preserve">Desligamento</t>
        </is>
      </c>
      <c r="D162" s="233" t="str">
        <f>IFERROR(1/(1/INDEX(BD!$AL$52:$BF$52,MATCH($A$146,BD!$AL$22:$BF$22,0))),"")</f>
        <v/>
      </c>
      <c r="E162" s="234"/>
      <c r="F162" s="235" t="str">
        <f>IF(F$3="","",IF(COUNTIFS(BD!$A$3:$A$5001,F$3,BD!$B$3:$B$5001,$A$146,BD!$AE$3:$AE$5001,"&lt;&gt;")=0,"",SUMIFS(BD!$AE$3:$AE$5001,BD!$A$3:$A$5001,F$3,BD!$B$3:$B$5001,$A$146)))</f>
        <v/>
      </c>
      <c r="G162" s="236" t="str">
        <f>IF(G$3="","",IF(COUNTIFS(BD!$A$3:$A$5001,G$3,BD!$B$3:$B$5001,$A$146,BD!$AE$3:$AE$5001,"&lt;&gt;")=0,"",SUMIFS(BD!$AE$3:$AE$5001,BD!$A$3:$A$5001,G$3,BD!$B$3:$B$5001,$A$146)))</f>
        <v/>
      </c>
      <c r="H162" s="236" t="str">
        <f>IF(H$3="","",IF(COUNTIFS(BD!$A$3:$A$5001,H$3,BD!$B$3:$B$5001,$A$146,BD!$AE$3:$AE$5001,"&lt;&gt;")=0,"",SUMIFS(BD!$AE$3:$AE$5001,BD!$A$3:$A$5001,H$3,BD!$B$3:$B$5001,$A$146)))</f>
        <v/>
      </c>
      <c r="I162" s="236" t="str">
        <f>IF(I$3="","",IF(COUNTIFS(BD!$A$3:$A$5001,I$3,BD!$B$3:$B$5001,$A$146,BD!$AE$3:$AE$5001,"&lt;&gt;")=0,"",SUMIFS(BD!$AE$3:$AE$5001,BD!$A$3:$A$5001,I$3,BD!$B$3:$B$5001,$A$146)))</f>
        <v/>
      </c>
      <c r="J162" s="236" t="str">
        <f>IF(J$3="","",IF(COUNTIFS(BD!$A$3:$A$5001,J$3,BD!$B$3:$B$5001,$A$146,BD!$AE$3:$AE$5001,"&lt;&gt;")=0,"",SUMIFS(BD!$AE$3:$AE$5001,BD!$A$3:$A$5001,J$3,BD!$B$3:$B$5001,$A$146)))</f>
        <v/>
      </c>
      <c r="K162" s="236" t="str">
        <f>IF(K$3="","",IF(COUNTIFS(BD!$A$3:$A$5001,K$3,BD!$B$3:$B$5001,$A$146,BD!$AE$3:$AE$5001,"&lt;&gt;")=0,"",SUMIFS(BD!$AE$3:$AE$5001,BD!$A$3:$A$5001,K$3,BD!$B$3:$B$5001,$A$146)))</f>
        <v/>
      </c>
      <c r="L162" s="236" t="str">
        <f>IF(L$3="","",IF(COUNTIFS(BD!$A$3:$A$5001,L$3,BD!$B$3:$B$5001,$A$146,BD!$AE$3:$AE$5001,"&lt;&gt;")=0,"",SUMIFS(BD!$AE$3:$AE$5001,BD!$A$3:$A$5001,L$3,BD!$B$3:$B$5001,$A$146)))</f>
        <v/>
      </c>
      <c r="M162" s="236" t="str">
        <f>IF(M$3="","",IF(COUNTIFS(BD!$A$3:$A$5001,M$3,BD!$B$3:$B$5001,$A$146,BD!$AE$3:$AE$5001,"&lt;&gt;")=0,"",SUMIFS(BD!$AE$3:$AE$5001,BD!$A$3:$A$5001,M$3,BD!$B$3:$B$5001,$A$146)))</f>
        <v/>
      </c>
      <c r="N162" s="236" t="str">
        <f>IF(N$3="","",IF(COUNTIFS(BD!$A$3:$A$5001,N$3,BD!$B$3:$B$5001,$A$146,BD!$AE$3:$AE$5001,"&lt;&gt;")=0,"",SUMIFS(BD!$AE$3:$AE$5001,BD!$A$3:$A$5001,N$3,BD!$B$3:$B$5001,$A$146)))</f>
        <v/>
      </c>
      <c r="O162" s="236" t="str">
        <f>IF(O$3="","",IF(COUNTIFS(BD!$A$3:$A$5001,O$3,BD!$B$3:$B$5001,$A$146,BD!$AE$3:$AE$5001,"&lt;&gt;")=0,"",SUMIFS(BD!$AE$3:$AE$5001,BD!$A$3:$A$5001,O$3,BD!$B$3:$B$5001,$A$146)))</f>
        <v/>
      </c>
      <c r="P162" s="236" t="str">
        <f>IF(P$3="","",IF(COUNTIFS(BD!$A$3:$A$5001,P$3,BD!$B$3:$B$5001,$A$146,BD!$AE$3:$AE$5001,"&lt;&gt;")=0,"",SUMIFS(BD!$AE$3:$AE$5001,BD!$A$3:$A$5001,P$3,BD!$B$3:$B$5001,$A$146)))</f>
        <v/>
      </c>
      <c r="Q162" s="236" t="str">
        <f>IF(Q$3="","",IF(COUNTIFS(BD!$A$3:$A$5001,Q$3,BD!$B$3:$B$5001,$A$146,BD!$AE$3:$AE$5001,"&lt;&gt;")=0,"",SUMIFS(BD!$AE$3:$AE$5001,BD!$A$3:$A$5001,Q$3,BD!$B$3:$B$5001,$A$146)))</f>
        <v/>
      </c>
      <c r="R162" s="236" t="str">
        <f>IF(R$3="","",IF(COUNTIFS(BD!$A$3:$A$5001,R$3,BD!$B$3:$B$5001,$A$146,BD!$AE$3:$AE$5001,"&lt;&gt;")=0,"",SUMIFS(BD!$AE$3:$AE$5001,BD!$A$3:$A$5001,R$3,BD!$B$3:$B$5001,$A$146)))</f>
        <v/>
      </c>
      <c r="S162" s="236" t="str">
        <f>IF(S$3="","",IF(COUNTIFS(BD!$A$3:$A$5001,S$3,BD!$B$3:$B$5001,$A$146,BD!$AE$3:$AE$5001,"&lt;&gt;")=0,"",SUMIFS(BD!$AE$3:$AE$5001,BD!$A$3:$A$5001,S$3,BD!$B$3:$B$5001,$A$146)))</f>
        <v/>
      </c>
      <c r="T162" s="236" t="str">
        <f>IF(T$3="","",IF(COUNTIFS(BD!$A$3:$A$5001,T$3,BD!$B$3:$B$5001,$A$146,BD!$AE$3:$AE$5001,"&lt;&gt;")=0,"",SUMIFS(BD!$AE$3:$AE$5001,BD!$A$3:$A$5001,T$3,BD!$B$3:$B$5001,$A$146)))</f>
        <v/>
      </c>
      <c r="U162" s="236" t="str">
        <f>IF(U$3="","",IF(COUNTIFS(BD!$A$3:$A$5001,U$3,BD!$B$3:$B$5001,$A$146,BD!$AE$3:$AE$5001,"&lt;&gt;")=0,"",SUMIFS(BD!$AE$3:$AE$5001,BD!$A$3:$A$5001,U$3,BD!$B$3:$B$5001,$A$146)))</f>
        <v/>
      </c>
      <c r="V162" s="236" t="str">
        <f>IF(V$3="","",IF(COUNTIFS(BD!$A$3:$A$5001,V$3,BD!$B$3:$B$5001,$A$146,BD!$AE$3:$AE$5001,"&lt;&gt;")=0,"",SUMIFS(BD!$AE$3:$AE$5001,BD!$A$3:$A$5001,V$3,BD!$B$3:$B$5001,$A$146)))</f>
        <v/>
      </c>
      <c r="W162" s="236" t="str">
        <f>IF(W$3="","",IF(COUNTIFS(BD!$A$3:$A$5001,W$3,BD!$B$3:$B$5001,$A$146,BD!$AE$3:$AE$5001,"&lt;&gt;")=0,"",SUMIFS(BD!$AE$3:$AE$5001,BD!$A$3:$A$5001,W$3,BD!$B$3:$B$5001,$A$146)))</f>
        <v/>
      </c>
      <c r="X162" s="236" t="str">
        <f>IF(X$3="","",IF(COUNTIFS(BD!$A$3:$A$5001,X$3,BD!$B$3:$B$5001,$A$146,BD!$AE$3:$AE$5001,"&lt;&gt;")=0,"",SUMIFS(BD!$AE$3:$AE$5001,BD!$A$3:$A$5001,X$3,BD!$B$3:$B$5001,$A$146)))</f>
        <v/>
      </c>
      <c r="Y162" s="236" t="str">
        <f>IF(Y$3="","",IF(COUNTIFS(BD!$A$3:$A$5001,Y$3,BD!$B$3:$B$5001,$A$146,BD!$AE$3:$AE$5001,"&lt;&gt;")=0,"",SUMIFS(BD!$AE$3:$AE$5001,BD!$A$3:$A$5001,Y$3,BD!$B$3:$B$5001,$A$146)))</f>
        <v/>
      </c>
      <c r="Z162" s="236" t="str">
        <f>IF(Z$3="","",IF(COUNTIFS(BD!$A$3:$A$5001,Z$3,BD!$B$3:$B$5001,$A$146,BD!$AE$3:$AE$5001,"&lt;&gt;")=0,"",SUMIFS(BD!$AE$3:$AE$5001,BD!$A$3:$A$5001,Z$3,BD!$B$3:$B$5001,$A$146)))</f>
        <v/>
      </c>
      <c r="AA162" s="236" t="str">
        <f>IF(AA$3="","",IF(COUNTIFS(BD!$A$3:$A$5001,AA$3,BD!$B$3:$B$5001,$A$146,BD!$AE$3:$AE$5001,"&lt;&gt;")=0,"",SUMIFS(BD!$AE$3:$AE$5001,BD!$A$3:$A$5001,AA$3,BD!$B$3:$B$5001,$A$146)))</f>
        <v/>
      </c>
      <c r="AB162" s="236" t="str">
        <f>IF(AB$3="","",IF(COUNTIFS(BD!$A$3:$A$5001,AB$3,BD!$B$3:$B$5001,$A$146,BD!$AE$3:$AE$5001,"&lt;&gt;")=0,"",SUMIFS(BD!$AE$3:$AE$5001,BD!$A$3:$A$5001,AB$3,BD!$B$3:$B$5001,$A$146)))</f>
        <v/>
      </c>
      <c r="AC162" s="236" t="str">
        <f>IF(AC$3="","",IF(COUNTIFS(BD!$A$3:$A$5001,AC$3,BD!$B$3:$B$5001,$A$146,BD!$AE$3:$AE$5001,"&lt;&gt;")=0,"",SUMIFS(BD!$AE$3:$AE$5001,BD!$A$3:$A$5001,AC$3,BD!$B$3:$B$5001,$A$146)))</f>
        <v/>
      </c>
      <c r="AD162" s="236" t="str">
        <f>IF(AD$3="","",IF(COUNTIFS(BD!$A$3:$A$5001,AD$3,BD!$B$3:$B$5001,$A$146,BD!$AE$3:$AE$5001,"&lt;&gt;")=0,"",SUMIFS(BD!$AE$3:$AE$5001,BD!$A$3:$A$5001,AD$3,BD!$B$3:$B$5001,$A$146)))</f>
        <v/>
      </c>
      <c r="AE162" s="236" t="str">
        <f>IF(AE$3="","",IF(COUNTIFS(BD!$A$3:$A$5001,AE$3,BD!$B$3:$B$5001,$A$146,BD!$AE$3:$AE$5001,"&lt;&gt;")=0,"",SUMIFS(BD!$AE$3:$AE$5001,BD!$A$3:$A$5001,AE$3,BD!$B$3:$B$5001,$A$146)))</f>
        <v/>
      </c>
      <c r="AF162" s="236" t="str">
        <f>IF(AF$3="","",IF(COUNTIFS(BD!$A$3:$A$5001,AF$3,BD!$B$3:$B$5001,$A$146,BD!$AE$3:$AE$5001,"&lt;&gt;")=0,"",SUMIFS(BD!$AE$3:$AE$5001,BD!$A$3:$A$5001,AF$3,BD!$B$3:$B$5001,$A$146)))</f>
        <v/>
      </c>
      <c r="AG162" s="236" t="str">
        <f>IF(AG$3="","",IF(COUNTIFS(BD!$A$3:$A$5001,AG$3,BD!$B$3:$B$5001,$A$146,BD!$AE$3:$AE$5001,"&lt;&gt;")=0,"",SUMIFS(BD!$AE$3:$AE$5001,BD!$A$3:$A$5001,AG$3,BD!$B$3:$B$5001,$A$146)))</f>
        <v/>
      </c>
      <c r="AH162" s="236" t="str">
        <f>IF(AH$3="","",IF(COUNTIFS(BD!$A$3:$A$5001,AH$3,BD!$B$3:$B$5001,$A$146,BD!$AE$3:$AE$5001,"&lt;&gt;")=0,"",SUMIFS(BD!$AE$3:$AE$5001,BD!$A$3:$A$5001,AH$3,BD!$B$3:$B$5001,$A$146)))</f>
        <v/>
      </c>
      <c r="AI162" s="236" t="str">
        <f>IF(AI$3="","",IF(COUNTIFS(BD!$A$3:$A$5001,AI$3,BD!$B$3:$B$5001,$A$146,BD!$AE$3:$AE$5001,"&lt;&gt;")=0,"",SUMIFS(BD!$AE$3:$AE$5001,BD!$A$3:$A$5001,AI$3,BD!$B$3:$B$5001,$A$146)))</f>
        <v/>
      </c>
      <c r="AJ162" s="237" t="str">
        <f>IF(AJ$3="","",IF(COUNTIFS(BD!$A$3:$A$5001,AJ$3,BD!$B$3:$B$5001,$A$146,BD!$AE$3:$AE$5001,"&lt;&gt;")=0,"",SUMIFS(BD!$AE$3:$AE$5001,BD!$A$3:$A$5001,AJ$3,BD!$B$3:$B$5001,$A$146)))</f>
        <v/>
      </c>
      <c r="AK162" s="238" t="str">
        <f>IF(COUNT(F162:AJ162)=0,"",SUM(F162:AJ162))</f>
        <v/>
      </c>
    </row>
    <row r="163" ht="15.75" customHeight="1">
      <c r="A163" s="261"/>
      <c r="B163" s="258"/>
      <c r="C163" s="232" t="inlineStr">
        <is>
          <t xml:space="preserve">Desvios Comportamentais</t>
        </is>
      </c>
      <c r="D163" s="233" t="str">
        <f>IFERROR(1/(1/INDEX(BD!$AL$53:$BF$53,MATCH($A$146,BD!$AL$22:$BF$22,0))),"")</f>
        <v/>
      </c>
      <c r="E163" s="234"/>
      <c r="F163" s="235" t="str">
        <f>IF(F$3="","",IF(COUNTIFS(BD!$A$3:$A$5001,F$3,BD!$B$3:$B$5001,$A$146,BD!$AF$3:$AF$5001,"&lt;&gt;")=0,"",SUMIFS(BD!$AF$3:$AF$5001,BD!$A$3:$A$5001,F$3,BD!$B$3:$B$5001,$A$146)))</f>
        <v/>
      </c>
      <c r="G163" s="236" t="str">
        <f>IF(G$3="","",IF(COUNTIFS(BD!$A$3:$A$5001,G$3,BD!$B$3:$B$5001,$A$146,BD!$AF$3:$AF$5001,"&lt;&gt;")=0,"",SUMIFS(BD!$AF$3:$AF$5001,BD!$A$3:$A$5001,G$3,BD!$B$3:$B$5001,$A$146)))</f>
        <v/>
      </c>
      <c r="H163" s="236" t="str">
        <f>IF(H$3="","",IF(COUNTIFS(BD!$A$3:$A$5001,H$3,BD!$B$3:$B$5001,$A$146,BD!$AF$3:$AF$5001,"&lt;&gt;")=0,"",SUMIFS(BD!$AF$3:$AF$5001,BD!$A$3:$A$5001,H$3,BD!$B$3:$B$5001,$A$146)))</f>
        <v/>
      </c>
      <c r="I163" s="236" t="str">
        <f>IF(I$3="","",IF(COUNTIFS(BD!$A$3:$A$5001,I$3,BD!$B$3:$B$5001,$A$146,BD!$AF$3:$AF$5001,"&lt;&gt;")=0,"",SUMIFS(BD!$AF$3:$AF$5001,BD!$A$3:$A$5001,I$3,BD!$B$3:$B$5001,$A$146)))</f>
        <v/>
      </c>
      <c r="J163" s="236" t="str">
        <f>IF(J$3="","",IF(COUNTIFS(BD!$A$3:$A$5001,J$3,BD!$B$3:$B$5001,$A$146,BD!$AF$3:$AF$5001,"&lt;&gt;")=0,"",SUMIFS(BD!$AF$3:$AF$5001,BD!$A$3:$A$5001,J$3,BD!$B$3:$B$5001,$A$146)))</f>
        <v/>
      </c>
      <c r="K163" s="236" t="str">
        <f>IF(K$3="","",IF(COUNTIFS(BD!$A$3:$A$5001,K$3,BD!$B$3:$B$5001,$A$146,BD!$AF$3:$AF$5001,"&lt;&gt;")=0,"",SUMIFS(BD!$AF$3:$AF$5001,BD!$A$3:$A$5001,K$3,BD!$B$3:$B$5001,$A$146)))</f>
        <v/>
      </c>
      <c r="L163" s="236" t="str">
        <f>IF(L$3="","",IF(COUNTIFS(BD!$A$3:$A$5001,L$3,BD!$B$3:$B$5001,$A$146,BD!$AF$3:$AF$5001,"&lt;&gt;")=0,"",SUMIFS(BD!$AF$3:$AF$5001,BD!$A$3:$A$5001,L$3,BD!$B$3:$B$5001,$A$146)))</f>
        <v/>
      </c>
      <c r="M163" s="236" t="str">
        <f>IF(M$3="","",IF(COUNTIFS(BD!$A$3:$A$5001,M$3,BD!$B$3:$B$5001,$A$146,BD!$AF$3:$AF$5001,"&lt;&gt;")=0,"",SUMIFS(BD!$AF$3:$AF$5001,BD!$A$3:$A$5001,M$3,BD!$B$3:$B$5001,$A$146)))</f>
        <v/>
      </c>
      <c r="N163" s="236" t="str">
        <f>IF(N$3="","",IF(COUNTIFS(BD!$A$3:$A$5001,N$3,BD!$B$3:$B$5001,$A$146,BD!$AF$3:$AF$5001,"&lt;&gt;")=0,"",SUMIFS(BD!$AF$3:$AF$5001,BD!$A$3:$A$5001,N$3,BD!$B$3:$B$5001,$A$146)))</f>
        <v/>
      </c>
      <c r="O163" s="236" t="str">
        <f>IF(O$3="","",IF(COUNTIFS(BD!$A$3:$A$5001,O$3,BD!$B$3:$B$5001,$A$146,BD!$AF$3:$AF$5001,"&lt;&gt;")=0,"",SUMIFS(BD!$AF$3:$AF$5001,BD!$A$3:$A$5001,O$3,BD!$B$3:$B$5001,$A$146)))</f>
        <v/>
      </c>
      <c r="P163" s="236" t="str">
        <f>IF(P$3="","",IF(COUNTIFS(BD!$A$3:$A$5001,P$3,BD!$B$3:$B$5001,$A$146,BD!$AF$3:$AF$5001,"&lt;&gt;")=0,"",SUMIFS(BD!$AF$3:$AF$5001,BD!$A$3:$A$5001,P$3,BD!$B$3:$B$5001,$A$146)))</f>
        <v/>
      </c>
      <c r="Q163" s="236" t="str">
        <f>IF(Q$3="","",IF(COUNTIFS(BD!$A$3:$A$5001,Q$3,BD!$B$3:$B$5001,$A$146,BD!$AF$3:$AF$5001,"&lt;&gt;")=0,"",SUMIFS(BD!$AF$3:$AF$5001,BD!$A$3:$A$5001,Q$3,BD!$B$3:$B$5001,$A$146)))</f>
        <v/>
      </c>
      <c r="R163" s="236" t="str">
        <f>IF(R$3="","",IF(COUNTIFS(BD!$A$3:$A$5001,R$3,BD!$B$3:$B$5001,$A$146,BD!$AF$3:$AF$5001,"&lt;&gt;")=0,"",SUMIFS(BD!$AF$3:$AF$5001,BD!$A$3:$A$5001,R$3,BD!$B$3:$B$5001,$A$146)))</f>
        <v/>
      </c>
      <c r="S163" s="236" t="str">
        <f>IF(S$3="","",IF(COUNTIFS(BD!$A$3:$A$5001,S$3,BD!$B$3:$B$5001,$A$146,BD!$AF$3:$AF$5001,"&lt;&gt;")=0,"",SUMIFS(BD!$AF$3:$AF$5001,BD!$A$3:$A$5001,S$3,BD!$B$3:$B$5001,$A$146)))</f>
        <v/>
      </c>
      <c r="T163" s="236" t="str">
        <f>IF(T$3="","",IF(COUNTIFS(BD!$A$3:$A$5001,T$3,BD!$B$3:$B$5001,$A$146,BD!$AF$3:$AF$5001,"&lt;&gt;")=0,"",SUMIFS(BD!$AF$3:$AF$5001,BD!$A$3:$A$5001,T$3,BD!$B$3:$B$5001,$A$146)))</f>
        <v/>
      </c>
      <c r="U163" s="236" t="str">
        <f>IF(U$3="","",IF(COUNTIFS(BD!$A$3:$A$5001,U$3,BD!$B$3:$B$5001,$A$146,BD!$AF$3:$AF$5001,"&lt;&gt;")=0,"",SUMIFS(BD!$AF$3:$AF$5001,BD!$A$3:$A$5001,U$3,BD!$B$3:$B$5001,$A$146)))</f>
        <v/>
      </c>
      <c r="V163" s="236" t="str">
        <f>IF(V$3="","",IF(COUNTIFS(BD!$A$3:$A$5001,V$3,BD!$B$3:$B$5001,$A$146,BD!$AF$3:$AF$5001,"&lt;&gt;")=0,"",SUMIFS(BD!$AF$3:$AF$5001,BD!$A$3:$A$5001,V$3,BD!$B$3:$B$5001,$A$146)))</f>
        <v/>
      </c>
      <c r="W163" s="236" t="str">
        <f>IF(W$3="","",IF(COUNTIFS(BD!$A$3:$A$5001,W$3,BD!$B$3:$B$5001,$A$146,BD!$AF$3:$AF$5001,"&lt;&gt;")=0,"",SUMIFS(BD!$AF$3:$AF$5001,BD!$A$3:$A$5001,W$3,BD!$B$3:$B$5001,$A$146)))</f>
        <v/>
      </c>
      <c r="X163" s="236" t="str">
        <f>IF(X$3="","",IF(COUNTIFS(BD!$A$3:$A$5001,X$3,BD!$B$3:$B$5001,$A$146,BD!$AF$3:$AF$5001,"&lt;&gt;")=0,"",SUMIFS(BD!$AF$3:$AF$5001,BD!$A$3:$A$5001,X$3,BD!$B$3:$B$5001,$A$146)))</f>
        <v/>
      </c>
      <c r="Y163" s="236" t="str">
        <f>IF(Y$3="","",IF(COUNTIFS(BD!$A$3:$A$5001,Y$3,BD!$B$3:$B$5001,$A$146,BD!$AF$3:$AF$5001,"&lt;&gt;")=0,"",SUMIFS(BD!$AF$3:$AF$5001,BD!$A$3:$A$5001,Y$3,BD!$B$3:$B$5001,$A$146)))</f>
        <v/>
      </c>
      <c r="Z163" s="236" t="str">
        <f>IF(Z$3="","",IF(COUNTIFS(BD!$A$3:$A$5001,Z$3,BD!$B$3:$B$5001,$A$146,BD!$AF$3:$AF$5001,"&lt;&gt;")=0,"",SUMIFS(BD!$AF$3:$AF$5001,BD!$A$3:$A$5001,Z$3,BD!$B$3:$B$5001,$A$146)))</f>
        <v/>
      </c>
      <c r="AA163" s="236" t="str">
        <f>IF(AA$3="","",IF(COUNTIFS(BD!$A$3:$A$5001,AA$3,BD!$B$3:$B$5001,$A$146,BD!$AF$3:$AF$5001,"&lt;&gt;")=0,"",SUMIFS(BD!$AF$3:$AF$5001,BD!$A$3:$A$5001,AA$3,BD!$B$3:$B$5001,$A$146)))</f>
        <v/>
      </c>
      <c r="AB163" s="236" t="str">
        <f>IF(AB$3="","",IF(COUNTIFS(BD!$A$3:$A$5001,AB$3,BD!$B$3:$B$5001,$A$146,BD!$AF$3:$AF$5001,"&lt;&gt;")=0,"",SUMIFS(BD!$AF$3:$AF$5001,BD!$A$3:$A$5001,AB$3,BD!$B$3:$B$5001,$A$146)))</f>
        <v/>
      </c>
      <c r="AC163" s="236" t="str">
        <f>IF(AC$3="","",IF(COUNTIFS(BD!$A$3:$A$5001,AC$3,BD!$B$3:$B$5001,$A$146,BD!$AF$3:$AF$5001,"&lt;&gt;")=0,"",SUMIFS(BD!$AF$3:$AF$5001,BD!$A$3:$A$5001,AC$3,BD!$B$3:$B$5001,$A$146)))</f>
        <v/>
      </c>
      <c r="AD163" s="236" t="str">
        <f>IF(AD$3="","",IF(COUNTIFS(BD!$A$3:$A$5001,AD$3,BD!$B$3:$B$5001,$A$146,BD!$AF$3:$AF$5001,"&lt;&gt;")=0,"",SUMIFS(BD!$AF$3:$AF$5001,BD!$A$3:$A$5001,AD$3,BD!$B$3:$B$5001,$A$146)))</f>
        <v/>
      </c>
      <c r="AE163" s="236" t="str">
        <f>IF(AE$3="","",IF(COUNTIFS(BD!$A$3:$A$5001,AE$3,BD!$B$3:$B$5001,$A$146,BD!$AF$3:$AF$5001,"&lt;&gt;")=0,"",SUMIFS(BD!$AF$3:$AF$5001,BD!$A$3:$A$5001,AE$3,BD!$B$3:$B$5001,$A$146)))</f>
        <v/>
      </c>
      <c r="AF163" s="236" t="str">
        <f>IF(AF$3="","",IF(COUNTIFS(BD!$A$3:$A$5001,AF$3,BD!$B$3:$B$5001,$A$146,BD!$AF$3:$AF$5001,"&lt;&gt;")=0,"",SUMIFS(BD!$AF$3:$AF$5001,BD!$A$3:$A$5001,AF$3,BD!$B$3:$B$5001,$A$146)))</f>
        <v/>
      </c>
      <c r="AG163" s="236" t="str">
        <f>IF(AG$3="","",IF(COUNTIFS(BD!$A$3:$A$5001,AG$3,BD!$B$3:$B$5001,$A$146,BD!$AF$3:$AF$5001,"&lt;&gt;")=0,"",SUMIFS(BD!$AF$3:$AF$5001,BD!$A$3:$A$5001,AG$3,BD!$B$3:$B$5001,$A$146)))</f>
        <v/>
      </c>
      <c r="AH163" s="236" t="str">
        <f>IF(AH$3="","",IF(COUNTIFS(BD!$A$3:$A$5001,AH$3,BD!$B$3:$B$5001,$A$146,BD!$AF$3:$AF$5001,"&lt;&gt;")=0,"",SUMIFS(BD!$AF$3:$AF$5001,BD!$A$3:$A$5001,AH$3,BD!$B$3:$B$5001,$A$146)))</f>
        <v/>
      </c>
      <c r="AI163" s="236" t="str">
        <f>IF(AI$3="","",IF(COUNTIFS(BD!$A$3:$A$5001,AI$3,BD!$B$3:$B$5001,$A$146,BD!$AF$3:$AF$5001,"&lt;&gt;")=0,"",SUMIFS(BD!$AF$3:$AF$5001,BD!$A$3:$A$5001,AI$3,BD!$B$3:$B$5001,$A$146)))</f>
        <v/>
      </c>
      <c r="AJ163" s="237" t="str">
        <f>IF(AJ$3="","",IF(COUNTIFS(BD!$A$3:$A$5001,AJ$3,BD!$B$3:$B$5001,$A$146,BD!$AF$3:$AF$5001,"&lt;&gt;")=0,"",SUMIFS(BD!$AF$3:$AF$5001,BD!$A$3:$A$5001,AJ$3,BD!$B$3:$B$5001,$A$146)))</f>
        <v/>
      </c>
      <c r="AK163" s="238" t="str">
        <f>IF(COUNT(F163:AJ163)=0,"",SUM(F163:AJ163))</f>
        <v/>
      </c>
    </row>
    <row r="164" ht="15.75" customHeight="1">
      <c r="A164" s="261"/>
      <c r="B164" s="258"/>
      <c r="C164" s="232" t="inlineStr">
        <is>
          <t xml:space="preserve">Acidentes CAF</t>
        </is>
      </c>
      <c r="D164" s="233" t="str">
        <f>IFERROR(1/(1/INDEX(BD!$AL$54:$BF$54,MATCH($A$146,BD!$AL$22:$BF$22,0))),"")</f>
        <v/>
      </c>
      <c r="E164" s="234"/>
      <c r="F164" s="235" t="str">
        <f>IF(F$3="","",IF(COUNTIFS(BD!$A$3:$A$5001,F$3,BD!$B$3:$B$5001,$A$146,BD!$AG$3:$AG$5001,"&lt;&gt;")=0,"",SUMIFS(BD!$AG$3:$AG$5001,BD!$A$3:$A$5001,F$3,BD!$B$3:$B$5001,$A$146)))</f>
        <v/>
      </c>
      <c r="G164" s="236" t="str">
        <f>IF(G$3="","",IF(COUNTIFS(BD!$A$3:$A$5001,G$3,BD!$B$3:$B$5001,$A$146,BD!$AG$3:$AG$5001,"&lt;&gt;")=0,"",SUMIFS(BD!$AG$3:$AG$5001,BD!$A$3:$A$5001,G$3,BD!$B$3:$B$5001,$A$146)))</f>
        <v/>
      </c>
      <c r="H164" s="236" t="str">
        <f>IF(H$3="","",IF(COUNTIFS(BD!$A$3:$A$5001,H$3,BD!$B$3:$B$5001,$A$146,BD!$AG$3:$AG$5001,"&lt;&gt;")=0,"",SUMIFS(BD!$AG$3:$AG$5001,BD!$A$3:$A$5001,H$3,BD!$B$3:$B$5001,$A$146)))</f>
        <v/>
      </c>
      <c r="I164" s="236" t="str">
        <f>IF(I$3="","",IF(COUNTIFS(BD!$A$3:$A$5001,I$3,BD!$B$3:$B$5001,$A$146,BD!$AG$3:$AG$5001,"&lt;&gt;")=0,"",SUMIFS(BD!$AG$3:$AG$5001,BD!$A$3:$A$5001,I$3,BD!$B$3:$B$5001,$A$146)))</f>
        <v/>
      </c>
      <c r="J164" s="236" t="str">
        <f>IF(J$3="","",IF(COUNTIFS(BD!$A$3:$A$5001,J$3,BD!$B$3:$B$5001,$A$146,BD!$AG$3:$AG$5001,"&lt;&gt;")=0,"",SUMIFS(BD!$AG$3:$AG$5001,BD!$A$3:$A$5001,J$3,BD!$B$3:$B$5001,$A$146)))</f>
        <v/>
      </c>
      <c r="K164" s="236" t="str">
        <f>IF(K$3="","",IF(COUNTIFS(BD!$A$3:$A$5001,K$3,BD!$B$3:$B$5001,$A$146,BD!$AG$3:$AG$5001,"&lt;&gt;")=0,"",SUMIFS(BD!$AG$3:$AG$5001,BD!$A$3:$A$5001,K$3,BD!$B$3:$B$5001,$A$146)))</f>
        <v/>
      </c>
      <c r="L164" s="236" t="str">
        <f>IF(L$3="","",IF(COUNTIFS(BD!$A$3:$A$5001,L$3,BD!$B$3:$B$5001,$A$146,BD!$AG$3:$AG$5001,"&lt;&gt;")=0,"",SUMIFS(BD!$AG$3:$AG$5001,BD!$A$3:$A$5001,L$3,BD!$B$3:$B$5001,$A$146)))</f>
        <v/>
      </c>
      <c r="M164" s="236" t="str">
        <f>IF(M$3="","",IF(COUNTIFS(BD!$A$3:$A$5001,M$3,BD!$B$3:$B$5001,$A$146,BD!$AG$3:$AG$5001,"&lt;&gt;")=0,"",SUMIFS(BD!$AG$3:$AG$5001,BD!$A$3:$A$5001,M$3,BD!$B$3:$B$5001,$A$146)))</f>
        <v/>
      </c>
      <c r="N164" s="236" t="str">
        <f>IF(N$3="","",IF(COUNTIFS(BD!$A$3:$A$5001,N$3,BD!$B$3:$B$5001,$A$146,BD!$AG$3:$AG$5001,"&lt;&gt;")=0,"",SUMIFS(BD!$AG$3:$AG$5001,BD!$A$3:$A$5001,N$3,BD!$B$3:$B$5001,$A$146)))</f>
        <v/>
      </c>
      <c r="O164" s="236" t="str">
        <f>IF(O$3="","",IF(COUNTIFS(BD!$A$3:$A$5001,O$3,BD!$B$3:$B$5001,$A$146,BD!$AG$3:$AG$5001,"&lt;&gt;")=0,"",SUMIFS(BD!$AG$3:$AG$5001,BD!$A$3:$A$5001,O$3,BD!$B$3:$B$5001,$A$146)))</f>
        <v/>
      </c>
      <c r="P164" s="236" t="str">
        <f>IF(P$3="","",IF(COUNTIFS(BD!$A$3:$A$5001,P$3,BD!$B$3:$B$5001,$A$146,BD!$AG$3:$AG$5001,"&lt;&gt;")=0,"",SUMIFS(BD!$AG$3:$AG$5001,BD!$A$3:$A$5001,P$3,BD!$B$3:$B$5001,$A$146)))</f>
        <v/>
      </c>
      <c r="Q164" s="236" t="str">
        <f>IF(Q$3="","",IF(COUNTIFS(BD!$A$3:$A$5001,Q$3,BD!$B$3:$B$5001,$A$146,BD!$AG$3:$AG$5001,"&lt;&gt;")=0,"",SUMIFS(BD!$AG$3:$AG$5001,BD!$A$3:$A$5001,Q$3,BD!$B$3:$B$5001,$A$146)))</f>
        <v/>
      </c>
      <c r="R164" s="236" t="str">
        <f>IF(R$3="","",IF(COUNTIFS(BD!$A$3:$A$5001,R$3,BD!$B$3:$B$5001,$A$146,BD!$AG$3:$AG$5001,"&lt;&gt;")=0,"",SUMIFS(BD!$AG$3:$AG$5001,BD!$A$3:$A$5001,R$3,BD!$B$3:$B$5001,$A$146)))</f>
        <v/>
      </c>
      <c r="S164" s="236" t="str">
        <f>IF(S$3="","",IF(COUNTIFS(BD!$A$3:$A$5001,S$3,BD!$B$3:$B$5001,$A$146,BD!$AG$3:$AG$5001,"&lt;&gt;")=0,"",SUMIFS(BD!$AG$3:$AG$5001,BD!$A$3:$A$5001,S$3,BD!$B$3:$B$5001,$A$146)))</f>
        <v/>
      </c>
      <c r="T164" s="236" t="str">
        <f>IF(T$3="","",IF(COUNTIFS(BD!$A$3:$A$5001,T$3,BD!$B$3:$B$5001,$A$146,BD!$AG$3:$AG$5001,"&lt;&gt;")=0,"",SUMIFS(BD!$AG$3:$AG$5001,BD!$A$3:$A$5001,T$3,BD!$B$3:$B$5001,$A$146)))</f>
        <v/>
      </c>
      <c r="U164" s="236" t="str">
        <f>IF(U$3="","",IF(COUNTIFS(BD!$A$3:$A$5001,U$3,BD!$B$3:$B$5001,$A$146,BD!$AG$3:$AG$5001,"&lt;&gt;")=0,"",SUMIFS(BD!$AG$3:$AG$5001,BD!$A$3:$A$5001,U$3,BD!$B$3:$B$5001,$A$146)))</f>
        <v/>
      </c>
      <c r="V164" s="236" t="str">
        <f>IF(V$3="","",IF(COUNTIFS(BD!$A$3:$A$5001,V$3,BD!$B$3:$B$5001,$A$146,BD!$AG$3:$AG$5001,"&lt;&gt;")=0,"",SUMIFS(BD!$AG$3:$AG$5001,BD!$A$3:$A$5001,V$3,BD!$B$3:$B$5001,$A$146)))</f>
        <v/>
      </c>
      <c r="W164" s="236" t="str">
        <f>IF(W$3="","",IF(COUNTIFS(BD!$A$3:$A$5001,W$3,BD!$B$3:$B$5001,$A$146,BD!$AG$3:$AG$5001,"&lt;&gt;")=0,"",SUMIFS(BD!$AG$3:$AG$5001,BD!$A$3:$A$5001,W$3,BD!$B$3:$B$5001,$A$146)))</f>
        <v/>
      </c>
      <c r="X164" s="236" t="str">
        <f>IF(X$3="","",IF(COUNTIFS(BD!$A$3:$A$5001,X$3,BD!$B$3:$B$5001,$A$146,BD!$AG$3:$AG$5001,"&lt;&gt;")=0,"",SUMIFS(BD!$AG$3:$AG$5001,BD!$A$3:$A$5001,X$3,BD!$B$3:$B$5001,$A$146)))</f>
        <v/>
      </c>
      <c r="Y164" s="236" t="str">
        <f>IF(Y$3="","",IF(COUNTIFS(BD!$A$3:$A$5001,Y$3,BD!$B$3:$B$5001,$A$146,BD!$AG$3:$AG$5001,"&lt;&gt;")=0,"",SUMIFS(BD!$AG$3:$AG$5001,BD!$A$3:$A$5001,Y$3,BD!$B$3:$B$5001,$A$146)))</f>
        <v/>
      </c>
      <c r="Z164" s="236" t="str">
        <f>IF(Z$3="","",IF(COUNTIFS(BD!$A$3:$A$5001,Z$3,BD!$B$3:$B$5001,$A$146,BD!$AG$3:$AG$5001,"&lt;&gt;")=0,"",SUMIFS(BD!$AG$3:$AG$5001,BD!$A$3:$A$5001,Z$3,BD!$B$3:$B$5001,$A$146)))</f>
        <v/>
      </c>
      <c r="AA164" s="236" t="str">
        <f>IF(AA$3="","",IF(COUNTIFS(BD!$A$3:$A$5001,AA$3,BD!$B$3:$B$5001,$A$146,BD!$AG$3:$AG$5001,"&lt;&gt;")=0,"",SUMIFS(BD!$AG$3:$AG$5001,BD!$A$3:$A$5001,AA$3,BD!$B$3:$B$5001,$A$146)))</f>
        <v/>
      </c>
      <c r="AB164" s="236" t="str">
        <f>IF(AB$3="","",IF(COUNTIFS(BD!$A$3:$A$5001,AB$3,BD!$B$3:$B$5001,$A$146,BD!$AG$3:$AG$5001,"&lt;&gt;")=0,"",SUMIFS(BD!$AG$3:$AG$5001,BD!$A$3:$A$5001,AB$3,BD!$B$3:$B$5001,$A$146)))</f>
        <v/>
      </c>
      <c r="AC164" s="236" t="str">
        <f>IF(AC$3="","",IF(COUNTIFS(BD!$A$3:$A$5001,AC$3,BD!$B$3:$B$5001,$A$146,BD!$AG$3:$AG$5001,"&lt;&gt;")=0,"",SUMIFS(BD!$AG$3:$AG$5001,BD!$A$3:$A$5001,AC$3,BD!$B$3:$B$5001,$A$146)))</f>
        <v/>
      </c>
      <c r="AD164" s="236" t="str">
        <f>IF(AD$3="","",IF(COUNTIFS(BD!$A$3:$A$5001,AD$3,BD!$B$3:$B$5001,$A$146,BD!$AG$3:$AG$5001,"&lt;&gt;")=0,"",SUMIFS(BD!$AG$3:$AG$5001,BD!$A$3:$A$5001,AD$3,BD!$B$3:$B$5001,$A$146)))</f>
        <v/>
      </c>
      <c r="AE164" s="236" t="str">
        <f>IF(AE$3="","",IF(COUNTIFS(BD!$A$3:$A$5001,AE$3,BD!$B$3:$B$5001,$A$146,BD!$AG$3:$AG$5001,"&lt;&gt;")=0,"",SUMIFS(BD!$AG$3:$AG$5001,BD!$A$3:$A$5001,AE$3,BD!$B$3:$B$5001,$A$146)))</f>
        <v/>
      </c>
      <c r="AF164" s="236" t="str">
        <f>IF(AF$3="","",IF(COUNTIFS(BD!$A$3:$A$5001,AF$3,BD!$B$3:$B$5001,$A$146,BD!$AG$3:$AG$5001,"&lt;&gt;")=0,"",SUMIFS(BD!$AG$3:$AG$5001,BD!$A$3:$A$5001,AF$3,BD!$B$3:$B$5001,$A$146)))</f>
        <v/>
      </c>
      <c r="AG164" s="236" t="str">
        <f>IF(AG$3="","",IF(COUNTIFS(BD!$A$3:$A$5001,AG$3,BD!$B$3:$B$5001,$A$146,BD!$AG$3:$AG$5001,"&lt;&gt;")=0,"",SUMIFS(BD!$AG$3:$AG$5001,BD!$A$3:$A$5001,AG$3,BD!$B$3:$B$5001,$A$146)))</f>
        <v/>
      </c>
      <c r="AH164" s="236" t="str">
        <f>IF(AH$3="","",IF(COUNTIFS(BD!$A$3:$A$5001,AH$3,BD!$B$3:$B$5001,$A$146,BD!$AG$3:$AG$5001,"&lt;&gt;")=0,"",SUMIFS(BD!$AG$3:$AG$5001,BD!$A$3:$A$5001,AH$3,BD!$B$3:$B$5001,$A$146)))</f>
        <v/>
      </c>
      <c r="AI164" s="236" t="str">
        <f>IF(AI$3="","",IF(COUNTIFS(BD!$A$3:$A$5001,AI$3,BD!$B$3:$B$5001,$A$146,BD!$AG$3:$AG$5001,"&lt;&gt;")=0,"",SUMIFS(BD!$AG$3:$AG$5001,BD!$A$3:$A$5001,AI$3,BD!$B$3:$B$5001,$A$146)))</f>
        <v/>
      </c>
      <c r="AJ164" s="237" t="str">
        <f>IF(AJ$3="","",IF(COUNTIFS(BD!$A$3:$A$5001,AJ$3,BD!$B$3:$B$5001,$A$146,BD!$AG$3:$AG$5001,"&lt;&gt;")=0,"",SUMIFS(BD!$AG$3:$AG$5001,BD!$A$3:$A$5001,AJ$3,BD!$B$3:$B$5001,$A$146)))</f>
        <v/>
      </c>
      <c r="AK164" s="238" t="str">
        <f>IF(COUNT(F164:AJ164)=0,"",SUM(F164:AJ164))</f>
        <v/>
      </c>
    </row>
    <row r="165" ht="15.75" customHeight="1">
      <c r="A165" s="262"/>
      <c r="B165" s="259"/>
      <c r="C165" s="243" t="inlineStr">
        <is>
          <t xml:space="preserve">Acidentes SAF</t>
        </is>
      </c>
      <c r="D165" s="244" t="str">
        <f>IFERROR(1/(1/INDEX(BD!$AL$55:$BF$55,MATCH($A$146,BD!$AL$22:$BF$22,0))),"")</f>
        <v/>
      </c>
      <c r="E165" s="245"/>
      <c r="F165" s="246" t="str">
        <f>IF(F$3="","",IF(COUNTIFS(BD!$A$3:$A$5001,F$3,BD!$B$3:$B$5001,$A$146,BD!$AH$3:$AH$5001,"&lt;&gt;")=0,"",SUMIFS(BD!$AH$3:$AH$5001,BD!$A$3:$A$5001,F$3,BD!$B$3:$B$5001,$A$146)))</f>
        <v/>
      </c>
      <c r="G165" s="247" t="str">
        <f>IF(G$3="","",IF(COUNTIFS(BD!$A$3:$A$5001,G$3,BD!$B$3:$B$5001,$A$146,BD!$AH$3:$AH$5001,"&lt;&gt;")=0,"",SUMIFS(BD!$AH$3:$AH$5001,BD!$A$3:$A$5001,G$3,BD!$B$3:$B$5001,$A$146)))</f>
        <v/>
      </c>
      <c r="H165" s="247" t="str">
        <f>IF(H$3="","",IF(COUNTIFS(BD!$A$3:$A$5001,H$3,BD!$B$3:$B$5001,$A$146,BD!$AH$3:$AH$5001,"&lt;&gt;")=0,"",SUMIFS(BD!$AH$3:$AH$5001,BD!$A$3:$A$5001,H$3,BD!$B$3:$B$5001,$A$146)))</f>
        <v/>
      </c>
      <c r="I165" s="247" t="str">
        <f>IF(I$3="","",IF(COUNTIFS(BD!$A$3:$A$5001,I$3,BD!$B$3:$B$5001,$A$146,BD!$AH$3:$AH$5001,"&lt;&gt;")=0,"",SUMIFS(BD!$AH$3:$AH$5001,BD!$A$3:$A$5001,I$3,BD!$B$3:$B$5001,$A$146)))</f>
        <v/>
      </c>
      <c r="J165" s="247" t="str">
        <f>IF(J$3="","",IF(COUNTIFS(BD!$A$3:$A$5001,J$3,BD!$B$3:$B$5001,$A$146,BD!$AH$3:$AH$5001,"&lt;&gt;")=0,"",SUMIFS(BD!$AH$3:$AH$5001,BD!$A$3:$A$5001,J$3,BD!$B$3:$B$5001,$A$146)))</f>
        <v/>
      </c>
      <c r="K165" s="247" t="str">
        <f>IF(K$3="","",IF(COUNTIFS(BD!$A$3:$A$5001,K$3,BD!$B$3:$B$5001,$A$146,BD!$AH$3:$AH$5001,"&lt;&gt;")=0,"",SUMIFS(BD!$AH$3:$AH$5001,BD!$A$3:$A$5001,K$3,BD!$B$3:$B$5001,$A$146)))</f>
        <v/>
      </c>
      <c r="L165" s="247" t="str">
        <f>IF(L$3="","",IF(COUNTIFS(BD!$A$3:$A$5001,L$3,BD!$B$3:$B$5001,$A$146,BD!$AH$3:$AH$5001,"&lt;&gt;")=0,"",SUMIFS(BD!$AH$3:$AH$5001,BD!$A$3:$A$5001,L$3,BD!$B$3:$B$5001,$A$146)))</f>
        <v/>
      </c>
      <c r="M165" s="247" t="str">
        <f>IF(M$3="","",IF(COUNTIFS(BD!$A$3:$A$5001,M$3,BD!$B$3:$B$5001,$A$146,BD!$AH$3:$AH$5001,"&lt;&gt;")=0,"",SUMIFS(BD!$AH$3:$AH$5001,BD!$A$3:$A$5001,M$3,BD!$B$3:$B$5001,$A$146)))</f>
        <v/>
      </c>
      <c r="N165" s="247" t="str">
        <f>IF(N$3="","",IF(COUNTIFS(BD!$A$3:$A$5001,N$3,BD!$B$3:$B$5001,$A$146,BD!$AH$3:$AH$5001,"&lt;&gt;")=0,"",SUMIFS(BD!$AH$3:$AH$5001,BD!$A$3:$A$5001,N$3,BD!$B$3:$B$5001,$A$146)))</f>
        <v/>
      </c>
      <c r="O165" s="247" t="str">
        <f>IF(O$3="","",IF(COUNTIFS(BD!$A$3:$A$5001,O$3,BD!$B$3:$B$5001,$A$146,BD!$AH$3:$AH$5001,"&lt;&gt;")=0,"",SUMIFS(BD!$AH$3:$AH$5001,BD!$A$3:$A$5001,O$3,BD!$B$3:$B$5001,$A$146)))</f>
        <v/>
      </c>
      <c r="P165" s="247" t="str">
        <f>IF(P$3="","",IF(COUNTIFS(BD!$A$3:$A$5001,P$3,BD!$B$3:$B$5001,$A$146,BD!$AH$3:$AH$5001,"&lt;&gt;")=0,"",SUMIFS(BD!$AH$3:$AH$5001,BD!$A$3:$A$5001,P$3,BD!$B$3:$B$5001,$A$146)))</f>
        <v/>
      </c>
      <c r="Q165" s="247" t="str">
        <f>IF(Q$3="","",IF(COUNTIFS(BD!$A$3:$A$5001,Q$3,BD!$B$3:$B$5001,$A$146,BD!$AH$3:$AH$5001,"&lt;&gt;")=0,"",SUMIFS(BD!$AH$3:$AH$5001,BD!$A$3:$A$5001,Q$3,BD!$B$3:$B$5001,$A$146)))</f>
        <v/>
      </c>
      <c r="R165" s="247" t="str">
        <f>IF(R$3="","",IF(COUNTIFS(BD!$A$3:$A$5001,R$3,BD!$B$3:$B$5001,$A$146,BD!$AH$3:$AH$5001,"&lt;&gt;")=0,"",SUMIFS(BD!$AH$3:$AH$5001,BD!$A$3:$A$5001,R$3,BD!$B$3:$B$5001,$A$146)))</f>
        <v/>
      </c>
      <c r="S165" s="247" t="str">
        <f>IF(S$3="","",IF(COUNTIFS(BD!$A$3:$A$5001,S$3,BD!$B$3:$B$5001,$A$146,BD!$AH$3:$AH$5001,"&lt;&gt;")=0,"",SUMIFS(BD!$AH$3:$AH$5001,BD!$A$3:$A$5001,S$3,BD!$B$3:$B$5001,$A$146)))</f>
        <v/>
      </c>
      <c r="T165" s="247" t="str">
        <f>IF(T$3="","",IF(COUNTIFS(BD!$A$3:$A$5001,T$3,BD!$B$3:$B$5001,$A$146,BD!$AH$3:$AH$5001,"&lt;&gt;")=0,"",SUMIFS(BD!$AH$3:$AH$5001,BD!$A$3:$A$5001,T$3,BD!$B$3:$B$5001,$A$146)))</f>
        <v/>
      </c>
      <c r="U165" s="247" t="str">
        <f>IF(U$3="","",IF(COUNTIFS(BD!$A$3:$A$5001,U$3,BD!$B$3:$B$5001,$A$146,BD!$AH$3:$AH$5001,"&lt;&gt;")=0,"",SUMIFS(BD!$AH$3:$AH$5001,BD!$A$3:$A$5001,U$3,BD!$B$3:$B$5001,$A$146)))</f>
        <v/>
      </c>
      <c r="V165" s="247" t="str">
        <f>IF(V$3="","",IF(COUNTIFS(BD!$A$3:$A$5001,V$3,BD!$B$3:$B$5001,$A$146,BD!$AH$3:$AH$5001,"&lt;&gt;")=0,"",SUMIFS(BD!$AH$3:$AH$5001,BD!$A$3:$A$5001,V$3,BD!$B$3:$B$5001,$A$146)))</f>
        <v/>
      </c>
      <c r="W165" s="247" t="str">
        <f>IF(W$3="","",IF(COUNTIFS(BD!$A$3:$A$5001,W$3,BD!$B$3:$B$5001,$A$146,BD!$AH$3:$AH$5001,"&lt;&gt;")=0,"",SUMIFS(BD!$AH$3:$AH$5001,BD!$A$3:$A$5001,W$3,BD!$B$3:$B$5001,$A$146)))</f>
        <v/>
      </c>
      <c r="X165" s="247" t="str">
        <f>IF(X$3="","",IF(COUNTIFS(BD!$A$3:$A$5001,X$3,BD!$B$3:$B$5001,$A$146,BD!$AH$3:$AH$5001,"&lt;&gt;")=0,"",SUMIFS(BD!$AH$3:$AH$5001,BD!$A$3:$A$5001,X$3,BD!$B$3:$B$5001,$A$146)))</f>
        <v/>
      </c>
      <c r="Y165" s="247" t="str">
        <f>IF(Y$3="","",IF(COUNTIFS(BD!$A$3:$A$5001,Y$3,BD!$B$3:$B$5001,$A$146,BD!$AH$3:$AH$5001,"&lt;&gt;")=0,"",SUMIFS(BD!$AH$3:$AH$5001,BD!$A$3:$A$5001,Y$3,BD!$B$3:$B$5001,$A$146)))</f>
        <v/>
      </c>
      <c r="Z165" s="247" t="str">
        <f>IF(Z$3="","",IF(COUNTIFS(BD!$A$3:$A$5001,Z$3,BD!$B$3:$B$5001,$A$146,BD!$AH$3:$AH$5001,"&lt;&gt;")=0,"",SUMIFS(BD!$AH$3:$AH$5001,BD!$A$3:$A$5001,Z$3,BD!$B$3:$B$5001,$A$146)))</f>
        <v/>
      </c>
      <c r="AA165" s="247" t="str">
        <f>IF(AA$3="","",IF(COUNTIFS(BD!$A$3:$A$5001,AA$3,BD!$B$3:$B$5001,$A$146,BD!$AH$3:$AH$5001,"&lt;&gt;")=0,"",SUMIFS(BD!$AH$3:$AH$5001,BD!$A$3:$A$5001,AA$3,BD!$B$3:$B$5001,$A$146)))</f>
        <v/>
      </c>
      <c r="AB165" s="247" t="str">
        <f>IF(AB$3="","",IF(COUNTIFS(BD!$A$3:$A$5001,AB$3,BD!$B$3:$B$5001,$A$146,BD!$AH$3:$AH$5001,"&lt;&gt;")=0,"",SUMIFS(BD!$AH$3:$AH$5001,BD!$A$3:$A$5001,AB$3,BD!$B$3:$B$5001,$A$146)))</f>
        <v/>
      </c>
      <c r="AC165" s="247" t="str">
        <f>IF(AC$3="","",IF(COUNTIFS(BD!$A$3:$A$5001,AC$3,BD!$B$3:$B$5001,$A$146,BD!$AH$3:$AH$5001,"&lt;&gt;")=0,"",SUMIFS(BD!$AH$3:$AH$5001,BD!$A$3:$A$5001,AC$3,BD!$B$3:$B$5001,$A$146)))</f>
        <v/>
      </c>
      <c r="AD165" s="247" t="str">
        <f>IF(AD$3="","",IF(COUNTIFS(BD!$A$3:$A$5001,AD$3,BD!$B$3:$B$5001,$A$146,BD!$AH$3:$AH$5001,"&lt;&gt;")=0,"",SUMIFS(BD!$AH$3:$AH$5001,BD!$A$3:$A$5001,AD$3,BD!$B$3:$B$5001,$A$146)))</f>
        <v/>
      </c>
      <c r="AE165" s="247" t="str">
        <f>IF(AE$3="","",IF(COUNTIFS(BD!$A$3:$A$5001,AE$3,BD!$B$3:$B$5001,$A$146,BD!$AH$3:$AH$5001,"&lt;&gt;")=0,"",SUMIFS(BD!$AH$3:$AH$5001,BD!$A$3:$A$5001,AE$3,BD!$B$3:$B$5001,$A$146)))</f>
        <v/>
      </c>
      <c r="AF165" s="247" t="str">
        <f>IF(AF$3="","",IF(COUNTIFS(BD!$A$3:$A$5001,AF$3,BD!$B$3:$B$5001,$A$146,BD!$AH$3:$AH$5001,"&lt;&gt;")=0,"",SUMIFS(BD!$AH$3:$AH$5001,BD!$A$3:$A$5001,AF$3,BD!$B$3:$B$5001,$A$146)))</f>
        <v/>
      </c>
      <c r="AG165" s="247" t="str">
        <f>IF(AG$3="","",IF(COUNTIFS(BD!$A$3:$A$5001,AG$3,BD!$B$3:$B$5001,$A$146,BD!$AH$3:$AH$5001,"&lt;&gt;")=0,"",SUMIFS(BD!$AH$3:$AH$5001,BD!$A$3:$A$5001,AG$3,BD!$B$3:$B$5001,$A$146)))</f>
        <v/>
      </c>
      <c r="AH165" s="247" t="str">
        <f>IF(AH$3="","",IF(COUNTIFS(BD!$A$3:$A$5001,AH$3,BD!$B$3:$B$5001,$A$146,BD!$AH$3:$AH$5001,"&lt;&gt;")=0,"",SUMIFS(BD!$AH$3:$AH$5001,BD!$A$3:$A$5001,AH$3,BD!$B$3:$B$5001,$A$146)))</f>
        <v/>
      </c>
      <c r="AI165" s="247" t="str">
        <f>IF(AI$3="","",IF(COUNTIFS(BD!$A$3:$A$5001,AI$3,BD!$B$3:$B$5001,$A$146,BD!$AH$3:$AH$5001,"&lt;&gt;")=0,"",SUMIFS(BD!$AH$3:$AH$5001,BD!$A$3:$A$5001,AI$3,BD!$B$3:$B$5001,$A$146)))</f>
        <v/>
      </c>
      <c r="AJ165" s="248" t="str">
        <f>IF(AJ$3="","",IF(COUNTIFS(BD!$A$3:$A$5001,AJ$3,BD!$B$3:$B$5001,$A$146,BD!$AH$3:$AH$5001,"&lt;&gt;")=0,"",SUMIFS(BD!$AH$3:$AH$5001,BD!$A$3:$A$5001,AJ$3,BD!$B$3:$B$5001,$A$146)))</f>
        <v/>
      </c>
      <c r="AK165" s="244" t="str">
        <f>IF(COUNT(F165:AJ165)=0,"",SUM(F165:AJ165))</f>
        <v/>
      </c>
    </row>
    <row r="167" ht="15.75" customHeight="1">
      <c r="A167" s="260" t="inlineStr">
        <is>
          <t xml:space="preserve">Supply</t>
        </is>
      </c>
      <c r="B167" s="249" t="inlineStr">
        <is>
          <t xml:space="preserve">IN</t>
        </is>
      </c>
      <c r="C167" s="168" t="inlineStr">
        <is>
          <t xml:space="preserve">Veículos Recebidos</t>
        </is>
      </c>
      <c r="D167" s="169" t="str">
        <f>IFERROR(1/(1/INDEX(BD!$AL$23:$BF$23,MATCH($A$167,BD!$AL$22:$BF$22,0))),"")</f>
        <v/>
      </c>
      <c r="E167" s="170"/>
      <c r="F167" s="171" t="str">
        <f>IF(F$3="","",IF(COUNTIFS(BD!$A$3:$A$5001,F$3,BD!$B$3:$B$5001,$A$167,BD!$C$3:$C$5001,"&lt;&gt;")=0,"",SUMIFS(BD!$C$3:$C$5001,BD!$A$3:$A$5001,F$3,BD!$B$3:$B$5001,$A$167)))</f>
        <v/>
      </c>
      <c r="G167" s="172" t="str">
        <f>IF(G$3="","",IF(COUNTIFS(BD!$A$3:$A$5001,G$3,BD!$B$3:$B$5001,$A$167,BD!$C$3:$C$5001,"&lt;&gt;")=0,"",SUMIFS(BD!$C$3:$C$5001,BD!$A$3:$A$5001,G$3,BD!$B$3:$B$5001,$A$167)))</f>
        <v/>
      </c>
      <c r="H167" s="172" t="str">
        <f>IF(H$3="","",IF(COUNTIFS(BD!$A$3:$A$5001,H$3,BD!$B$3:$B$5001,$A$167,BD!$C$3:$C$5001,"&lt;&gt;")=0,"",SUMIFS(BD!$C$3:$C$5001,BD!$A$3:$A$5001,H$3,BD!$B$3:$B$5001,$A$167)))</f>
        <v/>
      </c>
      <c r="I167" s="172" t="str">
        <f>IF(I$3="","",IF(COUNTIFS(BD!$A$3:$A$5001,I$3,BD!$B$3:$B$5001,$A$167,BD!$C$3:$C$5001,"&lt;&gt;")=0,"",SUMIFS(BD!$C$3:$C$5001,BD!$A$3:$A$5001,I$3,BD!$B$3:$B$5001,$A$167)))</f>
        <v/>
      </c>
      <c r="J167" s="172" t="str">
        <f>IF(J$3="","",IF(COUNTIFS(BD!$A$3:$A$5001,J$3,BD!$B$3:$B$5001,$A$167,BD!$C$3:$C$5001,"&lt;&gt;")=0,"",SUMIFS(BD!$C$3:$C$5001,BD!$A$3:$A$5001,J$3,BD!$B$3:$B$5001,$A$167)))</f>
        <v/>
      </c>
      <c r="K167" s="172" t="str">
        <f>IF(K$3="","",IF(COUNTIFS(BD!$A$3:$A$5001,K$3,BD!$B$3:$B$5001,$A$167,BD!$C$3:$C$5001,"&lt;&gt;")=0,"",SUMIFS(BD!$C$3:$C$5001,BD!$A$3:$A$5001,K$3,BD!$B$3:$B$5001,$A$167)))</f>
        <v/>
      </c>
      <c r="L167" s="172" t="str">
        <f>IF(L$3="","",IF(COUNTIFS(BD!$A$3:$A$5001,L$3,BD!$B$3:$B$5001,$A$167,BD!$C$3:$C$5001,"&lt;&gt;")=0,"",SUMIFS(BD!$C$3:$C$5001,BD!$A$3:$A$5001,L$3,BD!$B$3:$B$5001,$A$167)))</f>
        <v/>
      </c>
      <c r="M167" s="172" t="str">
        <f>IF(M$3="","",IF(COUNTIFS(BD!$A$3:$A$5001,M$3,BD!$B$3:$B$5001,$A$167,BD!$C$3:$C$5001,"&lt;&gt;")=0,"",SUMIFS(BD!$C$3:$C$5001,BD!$A$3:$A$5001,M$3,BD!$B$3:$B$5001,$A$167)))</f>
        <v/>
      </c>
      <c r="N167" s="172" t="str">
        <f>IF(N$3="","",IF(COUNTIFS(BD!$A$3:$A$5001,N$3,BD!$B$3:$B$5001,$A$167,BD!$C$3:$C$5001,"&lt;&gt;")=0,"",SUMIFS(BD!$C$3:$C$5001,BD!$A$3:$A$5001,N$3,BD!$B$3:$B$5001,$A$167)))</f>
        <v/>
      </c>
      <c r="O167" s="172" t="str">
        <f>IF(O$3="","",IF(COUNTIFS(BD!$A$3:$A$5001,O$3,BD!$B$3:$B$5001,$A$167,BD!$C$3:$C$5001,"&lt;&gt;")=0,"",SUMIFS(BD!$C$3:$C$5001,BD!$A$3:$A$5001,O$3,BD!$B$3:$B$5001,$A$167)))</f>
        <v/>
      </c>
      <c r="P167" s="172" t="str">
        <f>IF(P$3="","",IF(COUNTIFS(BD!$A$3:$A$5001,P$3,BD!$B$3:$B$5001,$A$167,BD!$C$3:$C$5001,"&lt;&gt;")=0,"",SUMIFS(BD!$C$3:$C$5001,BD!$A$3:$A$5001,P$3,BD!$B$3:$B$5001,$A$167)))</f>
        <v/>
      </c>
      <c r="Q167" s="172" t="str">
        <f>IF(Q$3="","",IF(COUNTIFS(BD!$A$3:$A$5001,Q$3,BD!$B$3:$B$5001,$A$167,BD!$C$3:$C$5001,"&lt;&gt;")=0,"",SUMIFS(BD!$C$3:$C$5001,BD!$A$3:$A$5001,Q$3,BD!$B$3:$B$5001,$A$167)))</f>
        <v/>
      </c>
      <c r="R167" s="172" t="str">
        <f>IF(R$3="","",IF(COUNTIFS(BD!$A$3:$A$5001,R$3,BD!$B$3:$B$5001,$A$167,BD!$C$3:$C$5001,"&lt;&gt;")=0,"",SUMIFS(BD!$C$3:$C$5001,BD!$A$3:$A$5001,R$3,BD!$B$3:$B$5001,$A$167)))</f>
        <v/>
      </c>
      <c r="S167" s="172" t="str">
        <f>IF(S$3="","",IF(COUNTIFS(BD!$A$3:$A$5001,S$3,BD!$B$3:$B$5001,$A$167,BD!$C$3:$C$5001,"&lt;&gt;")=0,"",SUMIFS(BD!$C$3:$C$5001,BD!$A$3:$A$5001,S$3,BD!$B$3:$B$5001,$A$167)))</f>
        <v/>
      </c>
      <c r="T167" s="172" t="str">
        <f>IF(T$3="","",IF(COUNTIFS(BD!$A$3:$A$5001,T$3,BD!$B$3:$B$5001,$A$167,BD!$C$3:$C$5001,"&lt;&gt;")=0,"",SUMIFS(BD!$C$3:$C$5001,BD!$A$3:$A$5001,T$3,BD!$B$3:$B$5001,$A$167)))</f>
        <v/>
      </c>
      <c r="U167" s="172" t="str">
        <f>IF(U$3="","",IF(COUNTIFS(BD!$A$3:$A$5001,U$3,BD!$B$3:$B$5001,$A$167,BD!$C$3:$C$5001,"&lt;&gt;")=0,"",SUMIFS(BD!$C$3:$C$5001,BD!$A$3:$A$5001,U$3,BD!$B$3:$B$5001,$A$167)))</f>
        <v/>
      </c>
      <c r="V167" s="172" t="str">
        <f>IF(V$3="","",IF(COUNTIFS(BD!$A$3:$A$5001,V$3,BD!$B$3:$B$5001,$A$167,BD!$C$3:$C$5001,"&lt;&gt;")=0,"",SUMIFS(BD!$C$3:$C$5001,BD!$A$3:$A$5001,V$3,BD!$B$3:$B$5001,$A$167)))</f>
        <v/>
      </c>
      <c r="W167" s="172" t="str">
        <f>IF(W$3="","",IF(COUNTIFS(BD!$A$3:$A$5001,W$3,BD!$B$3:$B$5001,$A$167,BD!$C$3:$C$5001,"&lt;&gt;")=0,"",SUMIFS(BD!$C$3:$C$5001,BD!$A$3:$A$5001,W$3,BD!$B$3:$B$5001,$A$167)))</f>
        <v/>
      </c>
      <c r="X167" s="172" t="str">
        <f>IF(X$3="","",IF(COUNTIFS(BD!$A$3:$A$5001,X$3,BD!$B$3:$B$5001,$A$167,BD!$C$3:$C$5001,"&lt;&gt;")=0,"",SUMIFS(BD!$C$3:$C$5001,BD!$A$3:$A$5001,X$3,BD!$B$3:$B$5001,$A$167)))</f>
        <v/>
      </c>
      <c r="Y167" s="172" t="str">
        <f>IF(Y$3="","",IF(COUNTIFS(BD!$A$3:$A$5001,Y$3,BD!$B$3:$B$5001,$A$167,BD!$C$3:$C$5001,"&lt;&gt;")=0,"",SUMIFS(BD!$C$3:$C$5001,BD!$A$3:$A$5001,Y$3,BD!$B$3:$B$5001,$A$167)))</f>
        <v/>
      </c>
      <c r="Z167" s="172" t="str">
        <f>IF(Z$3="","",IF(COUNTIFS(BD!$A$3:$A$5001,Z$3,BD!$B$3:$B$5001,$A$167,BD!$C$3:$C$5001,"&lt;&gt;")=0,"",SUMIFS(BD!$C$3:$C$5001,BD!$A$3:$A$5001,Z$3,BD!$B$3:$B$5001,$A$167)))</f>
        <v/>
      </c>
      <c r="AA167" s="172" t="str">
        <f>IF(AA$3="","",IF(COUNTIFS(BD!$A$3:$A$5001,AA$3,BD!$B$3:$B$5001,$A$167,BD!$C$3:$C$5001,"&lt;&gt;")=0,"",SUMIFS(BD!$C$3:$C$5001,BD!$A$3:$A$5001,AA$3,BD!$B$3:$B$5001,$A$167)))</f>
        <v/>
      </c>
      <c r="AB167" s="172" t="str">
        <f>IF(AB$3="","",IF(COUNTIFS(BD!$A$3:$A$5001,AB$3,BD!$B$3:$B$5001,$A$167,BD!$C$3:$C$5001,"&lt;&gt;")=0,"",SUMIFS(BD!$C$3:$C$5001,BD!$A$3:$A$5001,AB$3,BD!$B$3:$B$5001,$A$167)))</f>
        <v/>
      </c>
      <c r="AC167" s="172" t="str">
        <f>IF(AC$3="","",IF(COUNTIFS(BD!$A$3:$A$5001,AC$3,BD!$B$3:$B$5001,$A$167,BD!$C$3:$C$5001,"&lt;&gt;")=0,"",SUMIFS(BD!$C$3:$C$5001,BD!$A$3:$A$5001,AC$3,BD!$B$3:$B$5001,$A$167)))</f>
        <v/>
      </c>
      <c r="AD167" s="172" t="str">
        <f>IF(AD$3="","",IF(COUNTIFS(BD!$A$3:$A$5001,AD$3,BD!$B$3:$B$5001,$A$167,BD!$C$3:$C$5001,"&lt;&gt;")=0,"",SUMIFS(BD!$C$3:$C$5001,BD!$A$3:$A$5001,AD$3,BD!$B$3:$B$5001,$A$167)))</f>
        <v/>
      </c>
      <c r="AE167" s="172" t="str">
        <f>IF(AE$3="","",IF(COUNTIFS(BD!$A$3:$A$5001,AE$3,BD!$B$3:$B$5001,$A$167,BD!$C$3:$C$5001,"&lt;&gt;")=0,"",SUMIFS(BD!$C$3:$C$5001,BD!$A$3:$A$5001,AE$3,BD!$B$3:$B$5001,$A$167)))</f>
        <v/>
      </c>
      <c r="AF167" s="172" t="str">
        <f>IF(AF$3="","",IF(COUNTIFS(BD!$A$3:$A$5001,AF$3,BD!$B$3:$B$5001,$A$167,BD!$C$3:$C$5001,"&lt;&gt;")=0,"",SUMIFS(BD!$C$3:$C$5001,BD!$A$3:$A$5001,AF$3,BD!$B$3:$B$5001,$A$167)))</f>
        <v/>
      </c>
      <c r="AG167" s="172" t="str">
        <f>IF(AG$3="","",IF(COUNTIFS(BD!$A$3:$A$5001,AG$3,BD!$B$3:$B$5001,$A$167,BD!$C$3:$C$5001,"&lt;&gt;")=0,"",SUMIFS(BD!$C$3:$C$5001,BD!$A$3:$A$5001,AG$3,BD!$B$3:$B$5001,$A$167)))</f>
        <v/>
      </c>
      <c r="AH167" s="172" t="str">
        <f>IF(AH$3="","",IF(COUNTIFS(BD!$A$3:$A$5001,AH$3,BD!$B$3:$B$5001,$A$167,BD!$C$3:$C$5001,"&lt;&gt;")=0,"",SUMIFS(BD!$C$3:$C$5001,BD!$A$3:$A$5001,AH$3,BD!$B$3:$B$5001,$A$167)))</f>
        <v/>
      </c>
      <c r="AI167" s="172" t="str">
        <f>IF(AI$3="","",IF(COUNTIFS(BD!$A$3:$A$5001,AI$3,BD!$B$3:$B$5001,$A$167,BD!$C$3:$C$5001,"&lt;&gt;")=0,"",SUMIFS(BD!$C$3:$C$5001,BD!$A$3:$A$5001,AI$3,BD!$B$3:$B$5001,$A$167)))</f>
        <v/>
      </c>
      <c r="AJ167" s="173" t="str">
        <f>IF(AJ$3="","",IF(COUNTIFS(BD!$A$3:$A$5001,AJ$3,BD!$B$3:$B$5001,$A$167,BD!$C$3:$C$5001,"&lt;&gt;")=0,"",SUMIFS(BD!$C$3:$C$5001,BD!$A$3:$A$5001,AJ$3,BD!$B$3:$B$5001,$A$167)))</f>
        <v/>
      </c>
      <c r="AK167" s="174" t="str">
        <f>IF(COUNT(F167:AJ167)=0,"",SUM(F167:AJ167))</f>
        <v/>
      </c>
    </row>
    <row r="168" ht="15.75" customHeight="1">
      <c r="A168" s="261"/>
      <c r="B168" s="256"/>
      <c r="C168" s="214" t="inlineStr">
        <is>
          <t xml:space="preserve">Pallets Movimentados</t>
        </is>
      </c>
      <c r="D168" s="215" t="str">
        <f>IFERROR(1/(1/INDEX(BD!$AL$24:$BF$24,MATCH($A$167,BD!$AL$22:$BF$22,0))),"")</f>
        <v/>
      </c>
      <c r="E168" s="216"/>
      <c r="F168" s="217" t="str">
        <f>IF(F$3="","",IF(COUNTIFS(BD!$A$3:$A$5001,F$3,BD!$B$3:$B$5001,$A$167,BD!$D$3:$D$5001,"&lt;&gt;")=0,"",SUMIFS(BD!$D$3:$D$5001,BD!$A$3:$A$5001,F$3,BD!$B$3:$B$5001,$A$167)))</f>
        <v/>
      </c>
      <c r="G168" s="218" t="str">
        <f>IF(G$3="","",IF(COUNTIFS(BD!$A$3:$A$5001,G$3,BD!$B$3:$B$5001,$A$167,BD!$D$3:$D$5001,"&lt;&gt;")=0,"",SUMIFS(BD!$D$3:$D$5001,BD!$A$3:$A$5001,G$3,BD!$B$3:$B$5001,$A$167)))</f>
        <v/>
      </c>
      <c r="H168" s="218" t="str">
        <f>IF(H$3="","",IF(COUNTIFS(BD!$A$3:$A$5001,H$3,BD!$B$3:$B$5001,$A$167,BD!$D$3:$D$5001,"&lt;&gt;")=0,"",SUMIFS(BD!$D$3:$D$5001,BD!$A$3:$A$5001,H$3,BD!$B$3:$B$5001,$A$167)))</f>
        <v/>
      </c>
      <c r="I168" s="218" t="str">
        <f>IF(I$3="","",IF(COUNTIFS(BD!$A$3:$A$5001,I$3,BD!$B$3:$B$5001,$A$167,BD!$D$3:$D$5001,"&lt;&gt;")=0,"",SUMIFS(BD!$D$3:$D$5001,BD!$A$3:$A$5001,I$3,BD!$B$3:$B$5001,$A$167)))</f>
        <v/>
      </c>
      <c r="J168" s="218" t="str">
        <f>IF(J$3="","",IF(COUNTIFS(BD!$A$3:$A$5001,J$3,BD!$B$3:$B$5001,$A$167,BD!$D$3:$D$5001,"&lt;&gt;")=0,"",SUMIFS(BD!$D$3:$D$5001,BD!$A$3:$A$5001,J$3,BD!$B$3:$B$5001,$A$167)))</f>
        <v/>
      </c>
      <c r="K168" s="218" t="str">
        <f>IF(K$3="","",IF(COUNTIFS(BD!$A$3:$A$5001,K$3,BD!$B$3:$B$5001,$A$167,BD!$D$3:$D$5001,"&lt;&gt;")=0,"",SUMIFS(BD!$D$3:$D$5001,BD!$A$3:$A$5001,K$3,BD!$B$3:$B$5001,$A$167)))</f>
        <v/>
      </c>
      <c r="L168" s="218" t="str">
        <f>IF(L$3="","",IF(COUNTIFS(BD!$A$3:$A$5001,L$3,BD!$B$3:$B$5001,$A$167,BD!$D$3:$D$5001,"&lt;&gt;")=0,"",SUMIFS(BD!$D$3:$D$5001,BD!$A$3:$A$5001,L$3,BD!$B$3:$B$5001,$A$167)))</f>
        <v/>
      </c>
      <c r="M168" s="218" t="str">
        <f>IF(M$3="","",IF(COUNTIFS(BD!$A$3:$A$5001,M$3,BD!$B$3:$B$5001,$A$167,BD!$D$3:$D$5001,"&lt;&gt;")=0,"",SUMIFS(BD!$D$3:$D$5001,BD!$A$3:$A$5001,M$3,BD!$B$3:$B$5001,$A$167)))</f>
        <v/>
      </c>
      <c r="N168" s="218" t="str">
        <f>IF(N$3="","",IF(COUNTIFS(BD!$A$3:$A$5001,N$3,BD!$B$3:$B$5001,$A$167,BD!$D$3:$D$5001,"&lt;&gt;")=0,"",SUMIFS(BD!$D$3:$D$5001,BD!$A$3:$A$5001,N$3,BD!$B$3:$B$5001,$A$167)))</f>
        <v/>
      </c>
      <c r="O168" s="218" t="str">
        <f>IF(O$3="","",IF(COUNTIFS(BD!$A$3:$A$5001,O$3,BD!$B$3:$B$5001,$A$167,BD!$D$3:$D$5001,"&lt;&gt;")=0,"",SUMIFS(BD!$D$3:$D$5001,BD!$A$3:$A$5001,O$3,BD!$B$3:$B$5001,$A$167)))</f>
        <v/>
      </c>
      <c r="P168" s="218" t="str">
        <f>IF(P$3="","",IF(COUNTIFS(BD!$A$3:$A$5001,P$3,BD!$B$3:$B$5001,$A$167,BD!$D$3:$D$5001,"&lt;&gt;")=0,"",SUMIFS(BD!$D$3:$D$5001,BD!$A$3:$A$5001,P$3,BD!$B$3:$B$5001,$A$167)))</f>
        <v/>
      </c>
      <c r="Q168" s="218" t="str">
        <f>IF(Q$3="","",IF(COUNTIFS(BD!$A$3:$A$5001,Q$3,BD!$B$3:$B$5001,$A$167,BD!$D$3:$D$5001,"&lt;&gt;")=0,"",SUMIFS(BD!$D$3:$D$5001,BD!$A$3:$A$5001,Q$3,BD!$B$3:$B$5001,$A$167)))</f>
        <v/>
      </c>
      <c r="R168" s="218" t="str">
        <f>IF(R$3="","",IF(COUNTIFS(BD!$A$3:$A$5001,R$3,BD!$B$3:$B$5001,$A$167,BD!$D$3:$D$5001,"&lt;&gt;")=0,"",SUMIFS(BD!$D$3:$D$5001,BD!$A$3:$A$5001,R$3,BD!$B$3:$B$5001,$A$167)))</f>
        <v/>
      </c>
      <c r="S168" s="218" t="str">
        <f>IF(S$3="","",IF(COUNTIFS(BD!$A$3:$A$5001,S$3,BD!$B$3:$B$5001,$A$167,BD!$D$3:$D$5001,"&lt;&gt;")=0,"",SUMIFS(BD!$D$3:$D$5001,BD!$A$3:$A$5001,S$3,BD!$B$3:$B$5001,$A$167)))</f>
        <v/>
      </c>
      <c r="T168" s="218" t="str">
        <f>IF(T$3="","",IF(COUNTIFS(BD!$A$3:$A$5001,T$3,BD!$B$3:$B$5001,$A$167,BD!$D$3:$D$5001,"&lt;&gt;")=0,"",SUMIFS(BD!$D$3:$D$5001,BD!$A$3:$A$5001,T$3,BD!$B$3:$B$5001,$A$167)))</f>
        <v/>
      </c>
      <c r="U168" s="218" t="str">
        <f>IF(U$3="","",IF(COUNTIFS(BD!$A$3:$A$5001,U$3,BD!$B$3:$B$5001,$A$167,BD!$D$3:$D$5001,"&lt;&gt;")=0,"",SUMIFS(BD!$D$3:$D$5001,BD!$A$3:$A$5001,U$3,BD!$B$3:$B$5001,$A$167)))</f>
        <v/>
      </c>
      <c r="V168" s="218" t="str">
        <f>IF(V$3="","",IF(COUNTIFS(BD!$A$3:$A$5001,V$3,BD!$B$3:$B$5001,$A$167,BD!$D$3:$D$5001,"&lt;&gt;")=0,"",SUMIFS(BD!$D$3:$D$5001,BD!$A$3:$A$5001,V$3,BD!$B$3:$B$5001,$A$167)))</f>
        <v/>
      </c>
      <c r="W168" s="218" t="str">
        <f>IF(W$3="","",IF(COUNTIFS(BD!$A$3:$A$5001,W$3,BD!$B$3:$B$5001,$A$167,BD!$D$3:$D$5001,"&lt;&gt;")=0,"",SUMIFS(BD!$D$3:$D$5001,BD!$A$3:$A$5001,W$3,BD!$B$3:$B$5001,$A$167)))</f>
        <v/>
      </c>
      <c r="X168" s="218" t="str">
        <f>IF(X$3="","",IF(COUNTIFS(BD!$A$3:$A$5001,X$3,BD!$B$3:$B$5001,$A$167,BD!$D$3:$D$5001,"&lt;&gt;")=0,"",SUMIFS(BD!$D$3:$D$5001,BD!$A$3:$A$5001,X$3,BD!$B$3:$B$5001,$A$167)))</f>
        <v/>
      </c>
      <c r="Y168" s="218" t="str">
        <f>IF(Y$3="","",IF(COUNTIFS(BD!$A$3:$A$5001,Y$3,BD!$B$3:$B$5001,$A$167,BD!$D$3:$D$5001,"&lt;&gt;")=0,"",SUMIFS(BD!$D$3:$D$5001,BD!$A$3:$A$5001,Y$3,BD!$B$3:$B$5001,$A$167)))</f>
        <v/>
      </c>
      <c r="Z168" s="218" t="str">
        <f>IF(Z$3="","",IF(COUNTIFS(BD!$A$3:$A$5001,Z$3,BD!$B$3:$B$5001,$A$167,BD!$D$3:$D$5001,"&lt;&gt;")=0,"",SUMIFS(BD!$D$3:$D$5001,BD!$A$3:$A$5001,Z$3,BD!$B$3:$B$5001,$A$167)))</f>
        <v/>
      </c>
      <c r="AA168" s="218" t="str">
        <f>IF(AA$3="","",IF(COUNTIFS(BD!$A$3:$A$5001,AA$3,BD!$B$3:$B$5001,$A$167,BD!$D$3:$D$5001,"&lt;&gt;")=0,"",SUMIFS(BD!$D$3:$D$5001,BD!$A$3:$A$5001,AA$3,BD!$B$3:$B$5001,$A$167)))</f>
        <v/>
      </c>
      <c r="AB168" s="218" t="str">
        <f>IF(AB$3="","",IF(COUNTIFS(BD!$A$3:$A$5001,AB$3,BD!$B$3:$B$5001,$A$167,BD!$D$3:$D$5001,"&lt;&gt;")=0,"",SUMIFS(BD!$D$3:$D$5001,BD!$A$3:$A$5001,AB$3,BD!$B$3:$B$5001,$A$167)))</f>
        <v/>
      </c>
      <c r="AC168" s="218" t="str">
        <f>IF(AC$3="","",IF(COUNTIFS(BD!$A$3:$A$5001,AC$3,BD!$B$3:$B$5001,$A$167,BD!$D$3:$D$5001,"&lt;&gt;")=0,"",SUMIFS(BD!$D$3:$D$5001,BD!$A$3:$A$5001,AC$3,BD!$B$3:$B$5001,$A$167)))</f>
        <v/>
      </c>
      <c r="AD168" s="218" t="str">
        <f>IF(AD$3="","",IF(COUNTIFS(BD!$A$3:$A$5001,AD$3,BD!$B$3:$B$5001,$A$167,BD!$D$3:$D$5001,"&lt;&gt;")=0,"",SUMIFS(BD!$D$3:$D$5001,BD!$A$3:$A$5001,AD$3,BD!$B$3:$B$5001,$A$167)))</f>
        <v/>
      </c>
      <c r="AE168" s="218" t="str">
        <f>IF(AE$3="","",IF(COUNTIFS(BD!$A$3:$A$5001,AE$3,BD!$B$3:$B$5001,$A$167,BD!$D$3:$D$5001,"&lt;&gt;")=0,"",SUMIFS(BD!$D$3:$D$5001,BD!$A$3:$A$5001,AE$3,BD!$B$3:$B$5001,$A$167)))</f>
        <v/>
      </c>
      <c r="AF168" s="218" t="str">
        <f>IF(AF$3="","",IF(COUNTIFS(BD!$A$3:$A$5001,AF$3,BD!$B$3:$B$5001,$A$167,BD!$D$3:$D$5001,"&lt;&gt;")=0,"",SUMIFS(BD!$D$3:$D$5001,BD!$A$3:$A$5001,AF$3,BD!$B$3:$B$5001,$A$167)))</f>
        <v/>
      </c>
      <c r="AG168" s="218" t="str">
        <f>IF(AG$3="","",IF(COUNTIFS(BD!$A$3:$A$5001,AG$3,BD!$B$3:$B$5001,$A$167,BD!$D$3:$D$5001,"&lt;&gt;")=0,"",SUMIFS(BD!$D$3:$D$5001,BD!$A$3:$A$5001,AG$3,BD!$B$3:$B$5001,$A$167)))</f>
        <v/>
      </c>
      <c r="AH168" s="218" t="str">
        <f>IF(AH$3="","",IF(COUNTIFS(BD!$A$3:$A$5001,AH$3,BD!$B$3:$B$5001,$A$167,BD!$D$3:$D$5001,"&lt;&gt;")=0,"",SUMIFS(BD!$D$3:$D$5001,BD!$A$3:$A$5001,AH$3,BD!$B$3:$B$5001,$A$167)))</f>
        <v/>
      </c>
      <c r="AI168" s="218" t="str">
        <f>IF(AI$3="","",IF(COUNTIFS(BD!$A$3:$A$5001,AI$3,BD!$B$3:$B$5001,$A$167,BD!$D$3:$D$5001,"&lt;&gt;")=0,"",SUMIFS(BD!$D$3:$D$5001,BD!$A$3:$A$5001,AI$3,BD!$B$3:$B$5001,$A$167)))</f>
        <v/>
      </c>
      <c r="AJ168" s="219" t="str">
        <f>IF(AJ$3="","",IF(COUNTIFS(BD!$A$3:$A$5001,AJ$3,BD!$B$3:$B$5001,$A$167,BD!$D$3:$D$5001,"&lt;&gt;")=0,"",SUMIFS(BD!$D$3:$D$5001,BD!$A$3:$A$5001,AJ$3,BD!$B$3:$B$5001,$A$167)))</f>
        <v/>
      </c>
      <c r="AK168" s="220" t="str">
        <f>IF(COUNT(F168:AJ168)=0,"",SUM(F168:AJ168))</f>
        <v/>
      </c>
    </row>
    <row r="169" ht="15.75" customHeight="1">
      <c r="A169" s="261"/>
      <c r="B169" s="250"/>
      <c r="C169" s="175" t="inlineStr">
        <is>
          <t xml:space="preserve">Toneladas Movimentadas</t>
        </is>
      </c>
      <c r="D169" s="176" t="str">
        <f>IFERROR(1/(1/INDEX(BD!$AL$25:$BF$25,MATCH($A$167,BD!$AL$22:$BF$22,0))),"")</f>
        <v/>
      </c>
      <c r="E169" s="177"/>
      <c r="F169" s="263" t="str">
        <f>IF(F$3="","",IF(COUNTIFS(BD!$A$3:$A$5001,F$3,BD!$B$3:$B$5001,$A$167,BD!$E$3:$E$5001,"&lt;&gt;")=0,"",SUMIFS(BD!$E$3:$E$5001,BD!$A$3:$A$5001,F$3,BD!$B$3:$B$5001,$A$167)))</f>
        <v/>
      </c>
      <c r="G169" s="264" t="str">
        <f>IF(G$3="","",IF(COUNTIFS(BD!$A$3:$A$5001,G$3,BD!$B$3:$B$5001,$A$167,BD!$E$3:$E$5001,"&lt;&gt;")=0,"",SUMIFS(BD!$E$3:$E$5001,BD!$A$3:$A$5001,G$3,BD!$B$3:$B$5001,$A$167)))</f>
        <v/>
      </c>
      <c r="H169" s="264" t="str">
        <f>IF(H$3="","",IF(COUNTIFS(BD!$A$3:$A$5001,H$3,BD!$B$3:$B$5001,$A$167,BD!$E$3:$E$5001,"&lt;&gt;")=0,"",SUMIFS(BD!$E$3:$E$5001,BD!$A$3:$A$5001,H$3,BD!$B$3:$B$5001,$A$167)))</f>
        <v/>
      </c>
      <c r="I169" s="264" t="str">
        <f>IF(I$3="","",IF(COUNTIFS(BD!$A$3:$A$5001,I$3,BD!$B$3:$B$5001,$A$167,BD!$E$3:$E$5001,"&lt;&gt;")=0,"",SUMIFS(BD!$E$3:$E$5001,BD!$A$3:$A$5001,I$3,BD!$B$3:$B$5001,$A$167)))</f>
        <v/>
      </c>
      <c r="J169" s="264" t="str">
        <f>IF(J$3="","",IF(COUNTIFS(BD!$A$3:$A$5001,J$3,BD!$B$3:$B$5001,$A$167,BD!$E$3:$E$5001,"&lt;&gt;")=0,"",SUMIFS(BD!$E$3:$E$5001,BD!$A$3:$A$5001,J$3,BD!$B$3:$B$5001,$A$167)))</f>
        <v/>
      </c>
      <c r="K169" s="264" t="str">
        <f>IF(K$3="","",IF(COUNTIFS(BD!$A$3:$A$5001,K$3,BD!$B$3:$B$5001,$A$167,BD!$E$3:$E$5001,"&lt;&gt;")=0,"",SUMIFS(BD!$E$3:$E$5001,BD!$A$3:$A$5001,K$3,BD!$B$3:$B$5001,$A$167)))</f>
        <v/>
      </c>
      <c r="L169" s="264" t="str">
        <f>IF(L$3="","",IF(COUNTIFS(BD!$A$3:$A$5001,L$3,BD!$B$3:$B$5001,$A$167,BD!$E$3:$E$5001,"&lt;&gt;")=0,"",SUMIFS(BD!$E$3:$E$5001,BD!$A$3:$A$5001,L$3,BD!$B$3:$B$5001,$A$167)))</f>
        <v/>
      </c>
      <c r="M169" s="264" t="str">
        <f>IF(M$3="","",IF(COUNTIFS(BD!$A$3:$A$5001,M$3,BD!$B$3:$B$5001,$A$167,BD!$E$3:$E$5001,"&lt;&gt;")=0,"",SUMIFS(BD!$E$3:$E$5001,BD!$A$3:$A$5001,M$3,BD!$B$3:$B$5001,$A$167)))</f>
        <v/>
      </c>
      <c r="N169" s="264" t="str">
        <f>IF(N$3="","",IF(COUNTIFS(BD!$A$3:$A$5001,N$3,BD!$B$3:$B$5001,$A$167,BD!$E$3:$E$5001,"&lt;&gt;")=0,"",SUMIFS(BD!$E$3:$E$5001,BD!$A$3:$A$5001,N$3,BD!$B$3:$B$5001,$A$167)))</f>
        <v/>
      </c>
      <c r="O169" s="264" t="str">
        <f>IF(O$3="","",IF(COUNTIFS(BD!$A$3:$A$5001,O$3,BD!$B$3:$B$5001,$A$167,BD!$E$3:$E$5001,"&lt;&gt;")=0,"",SUMIFS(BD!$E$3:$E$5001,BD!$A$3:$A$5001,O$3,BD!$B$3:$B$5001,$A$167)))</f>
        <v/>
      </c>
      <c r="P169" s="264" t="str">
        <f>IF(P$3="","",IF(COUNTIFS(BD!$A$3:$A$5001,P$3,BD!$B$3:$B$5001,$A$167,BD!$E$3:$E$5001,"&lt;&gt;")=0,"",SUMIFS(BD!$E$3:$E$5001,BD!$A$3:$A$5001,P$3,BD!$B$3:$B$5001,$A$167)))</f>
        <v/>
      </c>
      <c r="Q169" s="264" t="str">
        <f>IF(Q$3="","",IF(COUNTIFS(BD!$A$3:$A$5001,Q$3,BD!$B$3:$B$5001,$A$167,BD!$E$3:$E$5001,"&lt;&gt;")=0,"",SUMIFS(BD!$E$3:$E$5001,BD!$A$3:$A$5001,Q$3,BD!$B$3:$B$5001,$A$167)))</f>
        <v/>
      </c>
      <c r="R169" s="264" t="str">
        <f>IF(R$3="","",IF(COUNTIFS(BD!$A$3:$A$5001,R$3,BD!$B$3:$B$5001,$A$167,BD!$E$3:$E$5001,"&lt;&gt;")=0,"",SUMIFS(BD!$E$3:$E$5001,BD!$A$3:$A$5001,R$3,BD!$B$3:$B$5001,$A$167)))</f>
        <v/>
      </c>
      <c r="S169" s="264" t="str">
        <f>IF(S$3="","",IF(COUNTIFS(BD!$A$3:$A$5001,S$3,BD!$B$3:$B$5001,$A$167,BD!$E$3:$E$5001,"&lt;&gt;")=0,"",SUMIFS(BD!$E$3:$E$5001,BD!$A$3:$A$5001,S$3,BD!$B$3:$B$5001,$A$167)))</f>
        <v/>
      </c>
      <c r="T169" s="264" t="str">
        <f>IF(T$3="","",IF(COUNTIFS(BD!$A$3:$A$5001,T$3,BD!$B$3:$B$5001,$A$167,BD!$E$3:$E$5001,"&lt;&gt;")=0,"",SUMIFS(BD!$E$3:$E$5001,BD!$A$3:$A$5001,T$3,BD!$B$3:$B$5001,$A$167)))</f>
        <v/>
      </c>
      <c r="U169" s="264" t="str">
        <f>IF(U$3="","",IF(COUNTIFS(BD!$A$3:$A$5001,U$3,BD!$B$3:$B$5001,$A$167,BD!$E$3:$E$5001,"&lt;&gt;")=0,"",SUMIFS(BD!$E$3:$E$5001,BD!$A$3:$A$5001,U$3,BD!$B$3:$B$5001,$A$167)))</f>
        <v/>
      </c>
      <c r="V169" s="264" t="str">
        <f>IF(V$3="","",IF(COUNTIFS(BD!$A$3:$A$5001,V$3,BD!$B$3:$B$5001,$A$167,BD!$E$3:$E$5001,"&lt;&gt;")=0,"",SUMIFS(BD!$E$3:$E$5001,BD!$A$3:$A$5001,V$3,BD!$B$3:$B$5001,$A$167)))</f>
        <v/>
      </c>
      <c r="W169" s="264" t="str">
        <f>IF(W$3="","",IF(COUNTIFS(BD!$A$3:$A$5001,W$3,BD!$B$3:$B$5001,$A$167,BD!$E$3:$E$5001,"&lt;&gt;")=0,"",SUMIFS(BD!$E$3:$E$5001,BD!$A$3:$A$5001,W$3,BD!$B$3:$B$5001,$A$167)))</f>
        <v/>
      </c>
      <c r="X169" s="264" t="str">
        <f>IF(X$3="","",IF(COUNTIFS(BD!$A$3:$A$5001,X$3,BD!$B$3:$B$5001,$A$167,BD!$E$3:$E$5001,"&lt;&gt;")=0,"",SUMIFS(BD!$E$3:$E$5001,BD!$A$3:$A$5001,X$3,BD!$B$3:$B$5001,$A$167)))</f>
        <v/>
      </c>
      <c r="Y169" s="264" t="str">
        <f>IF(Y$3="","",IF(COUNTIFS(BD!$A$3:$A$5001,Y$3,BD!$B$3:$B$5001,$A$167,BD!$E$3:$E$5001,"&lt;&gt;")=0,"",SUMIFS(BD!$E$3:$E$5001,BD!$A$3:$A$5001,Y$3,BD!$B$3:$B$5001,$A$167)))</f>
        <v/>
      </c>
      <c r="Z169" s="264" t="str">
        <f>IF(Z$3="","",IF(COUNTIFS(BD!$A$3:$A$5001,Z$3,BD!$B$3:$B$5001,$A$167,BD!$E$3:$E$5001,"&lt;&gt;")=0,"",SUMIFS(BD!$E$3:$E$5001,BD!$A$3:$A$5001,Z$3,BD!$B$3:$B$5001,$A$167)))</f>
        <v/>
      </c>
      <c r="AA169" s="264" t="str">
        <f>IF(AA$3="","",IF(COUNTIFS(BD!$A$3:$A$5001,AA$3,BD!$B$3:$B$5001,$A$167,BD!$E$3:$E$5001,"&lt;&gt;")=0,"",SUMIFS(BD!$E$3:$E$5001,BD!$A$3:$A$5001,AA$3,BD!$B$3:$B$5001,$A$167)))</f>
        <v/>
      </c>
      <c r="AB169" s="264" t="str">
        <f>IF(AB$3="","",IF(COUNTIFS(BD!$A$3:$A$5001,AB$3,BD!$B$3:$B$5001,$A$167,BD!$E$3:$E$5001,"&lt;&gt;")=0,"",SUMIFS(BD!$E$3:$E$5001,BD!$A$3:$A$5001,AB$3,BD!$B$3:$B$5001,$A$167)))</f>
        <v/>
      </c>
      <c r="AC169" s="264" t="str">
        <f>IF(AC$3="","",IF(COUNTIFS(BD!$A$3:$A$5001,AC$3,BD!$B$3:$B$5001,$A$167,BD!$E$3:$E$5001,"&lt;&gt;")=0,"",SUMIFS(BD!$E$3:$E$5001,BD!$A$3:$A$5001,AC$3,BD!$B$3:$B$5001,$A$167)))</f>
        <v/>
      </c>
      <c r="AD169" s="264" t="str">
        <f>IF(AD$3="","",IF(COUNTIFS(BD!$A$3:$A$5001,AD$3,BD!$B$3:$B$5001,$A$167,BD!$E$3:$E$5001,"&lt;&gt;")=0,"",SUMIFS(BD!$E$3:$E$5001,BD!$A$3:$A$5001,AD$3,BD!$B$3:$B$5001,$A$167)))</f>
        <v/>
      </c>
      <c r="AE169" s="264" t="str">
        <f>IF(AE$3="","",IF(COUNTIFS(BD!$A$3:$A$5001,AE$3,BD!$B$3:$B$5001,$A$167,BD!$E$3:$E$5001,"&lt;&gt;")=0,"",SUMIFS(BD!$E$3:$E$5001,BD!$A$3:$A$5001,AE$3,BD!$B$3:$B$5001,$A$167)))</f>
        <v/>
      </c>
      <c r="AF169" s="264" t="str">
        <f>IF(AF$3="","",IF(COUNTIFS(BD!$A$3:$A$5001,AF$3,BD!$B$3:$B$5001,$A$167,BD!$E$3:$E$5001,"&lt;&gt;")=0,"",SUMIFS(BD!$E$3:$E$5001,BD!$A$3:$A$5001,AF$3,BD!$B$3:$B$5001,$A$167)))</f>
        <v/>
      </c>
      <c r="AG169" s="264" t="str">
        <f>IF(AG$3="","",IF(COUNTIFS(BD!$A$3:$A$5001,AG$3,BD!$B$3:$B$5001,$A$167,BD!$E$3:$E$5001,"&lt;&gt;")=0,"",SUMIFS(BD!$E$3:$E$5001,BD!$A$3:$A$5001,AG$3,BD!$B$3:$B$5001,$A$167)))</f>
        <v/>
      </c>
      <c r="AH169" s="264" t="str">
        <f>IF(AH$3="","",IF(COUNTIFS(BD!$A$3:$A$5001,AH$3,BD!$B$3:$B$5001,$A$167,BD!$E$3:$E$5001,"&lt;&gt;")=0,"",SUMIFS(BD!$E$3:$E$5001,BD!$A$3:$A$5001,AH$3,BD!$B$3:$B$5001,$A$167)))</f>
        <v/>
      </c>
      <c r="AI169" s="264" t="str">
        <f>IF(AI$3="","",IF(COUNTIFS(BD!$A$3:$A$5001,AI$3,BD!$B$3:$B$5001,$A$167,BD!$E$3:$E$5001,"&lt;&gt;")=0,"",SUMIFS(BD!$E$3:$E$5001,BD!$A$3:$A$5001,AI$3,BD!$B$3:$B$5001,$A$167)))</f>
        <v/>
      </c>
      <c r="AJ169" s="265" t="str">
        <f>IF(AJ$3="","",IF(COUNTIFS(BD!$A$3:$A$5001,AJ$3,BD!$B$3:$B$5001,$A$167,BD!$E$3:$E$5001,"&lt;&gt;")=0,"",SUMIFS(BD!$E$3:$E$5001,BD!$A$3:$A$5001,AJ$3,BD!$B$3:$B$5001,$A$167)))</f>
        <v/>
      </c>
      <c r="AK169" s="266" t="str">
        <f>IF(COUNT(F169:AJ169)=0,"",SUM(F169:AJ169))</f>
        <v/>
      </c>
    </row>
    <row r="170" ht="15.75" customHeight="1">
      <c r="A170" s="261"/>
      <c r="B170" s="251" t="inlineStr">
        <is>
          <t xml:space="preserve">OUT</t>
        </is>
      </c>
      <c r="C170" s="181" t="inlineStr">
        <is>
          <t xml:space="preserve">Veículos Expedidos</t>
        </is>
      </c>
      <c r="D170" s="182" t="str">
        <f>IFERROR(1/(1/INDEX(BD!$AL$32:$BF$32,MATCH($A$167,BD!$AL$22:$BF$22,0))),"")</f>
        <v/>
      </c>
      <c r="E170" s="183"/>
      <c r="F170" s="184" t="str">
        <f>IF(F$3="","",IF(COUNTIFS(BD!$A$3:$A$5001,F$3,BD!$B$3:$B$5001,$A$167,BD!$L$3:$L$5001,"&lt;&gt;")=0,"",SUMIFS(BD!$L$3:$L$5001,BD!$A$3:$A$5001,F$3,BD!$B$3:$B$5001,$A$167)))</f>
        <v/>
      </c>
      <c r="G170" s="185" t="str">
        <f>IF(G$3="","",IF(COUNTIFS(BD!$A$3:$A$5001,G$3,BD!$B$3:$B$5001,$A$167,BD!$L$3:$L$5001,"&lt;&gt;")=0,"",SUMIFS(BD!$L$3:$L$5001,BD!$A$3:$A$5001,G$3,BD!$B$3:$B$5001,$A$167)))</f>
        <v/>
      </c>
      <c r="H170" s="185" t="str">
        <f>IF(H$3="","",IF(COUNTIFS(BD!$A$3:$A$5001,H$3,BD!$B$3:$B$5001,$A$167,BD!$L$3:$L$5001,"&lt;&gt;")=0,"",SUMIFS(BD!$L$3:$L$5001,BD!$A$3:$A$5001,H$3,BD!$B$3:$B$5001,$A$167)))</f>
        <v/>
      </c>
      <c r="I170" s="185" t="str">
        <f>IF(I$3="","",IF(COUNTIFS(BD!$A$3:$A$5001,I$3,BD!$B$3:$B$5001,$A$167,BD!$L$3:$L$5001,"&lt;&gt;")=0,"",SUMIFS(BD!$L$3:$L$5001,BD!$A$3:$A$5001,I$3,BD!$B$3:$B$5001,$A$167)))</f>
        <v/>
      </c>
      <c r="J170" s="185" t="str">
        <f>IF(J$3="","",IF(COUNTIFS(BD!$A$3:$A$5001,J$3,BD!$B$3:$B$5001,$A$167,BD!$L$3:$L$5001,"&lt;&gt;")=0,"",SUMIFS(BD!$L$3:$L$5001,BD!$A$3:$A$5001,J$3,BD!$B$3:$B$5001,$A$167)))</f>
        <v/>
      </c>
      <c r="K170" s="185" t="str">
        <f>IF(K$3="","",IF(COUNTIFS(BD!$A$3:$A$5001,K$3,BD!$B$3:$B$5001,$A$167,BD!$L$3:$L$5001,"&lt;&gt;")=0,"",SUMIFS(BD!$L$3:$L$5001,BD!$A$3:$A$5001,K$3,BD!$B$3:$B$5001,$A$167)))</f>
        <v/>
      </c>
      <c r="L170" s="185" t="str">
        <f>IF(L$3="","",IF(COUNTIFS(BD!$A$3:$A$5001,L$3,BD!$B$3:$B$5001,$A$167,BD!$L$3:$L$5001,"&lt;&gt;")=0,"",SUMIFS(BD!$L$3:$L$5001,BD!$A$3:$A$5001,L$3,BD!$B$3:$B$5001,$A$167)))</f>
        <v/>
      </c>
      <c r="M170" s="185" t="str">
        <f>IF(M$3="","",IF(COUNTIFS(BD!$A$3:$A$5001,M$3,BD!$B$3:$B$5001,$A$167,BD!$L$3:$L$5001,"&lt;&gt;")=0,"",SUMIFS(BD!$L$3:$L$5001,BD!$A$3:$A$5001,M$3,BD!$B$3:$B$5001,$A$167)))</f>
        <v/>
      </c>
      <c r="N170" s="185" t="str">
        <f>IF(N$3="","",IF(COUNTIFS(BD!$A$3:$A$5001,N$3,BD!$B$3:$B$5001,$A$167,BD!$L$3:$L$5001,"&lt;&gt;")=0,"",SUMIFS(BD!$L$3:$L$5001,BD!$A$3:$A$5001,N$3,BD!$B$3:$B$5001,$A$167)))</f>
        <v/>
      </c>
      <c r="O170" s="185" t="str">
        <f>IF(O$3="","",IF(COUNTIFS(BD!$A$3:$A$5001,O$3,BD!$B$3:$B$5001,$A$167,BD!$L$3:$L$5001,"&lt;&gt;")=0,"",SUMIFS(BD!$L$3:$L$5001,BD!$A$3:$A$5001,O$3,BD!$B$3:$B$5001,$A$167)))</f>
        <v/>
      </c>
      <c r="P170" s="185" t="str">
        <f>IF(P$3="","",IF(COUNTIFS(BD!$A$3:$A$5001,P$3,BD!$B$3:$B$5001,$A$167,BD!$L$3:$L$5001,"&lt;&gt;")=0,"",SUMIFS(BD!$L$3:$L$5001,BD!$A$3:$A$5001,P$3,BD!$B$3:$B$5001,$A$167)))</f>
        <v/>
      </c>
      <c r="Q170" s="185" t="str">
        <f>IF(Q$3="","",IF(COUNTIFS(BD!$A$3:$A$5001,Q$3,BD!$B$3:$B$5001,$A$167,BD!$L$3:$L$5001,"&lt;&gt;")=0,"",SUMIFS(BD!$L$3:$L$5001,BD!$A$3:$A$5001,Q$3,BD!$B$3:$B$5001,$A$167)))</f>
        <v/>
      </c>
      <c r="R170" s="185" t="str">
        <f>IF(R$3="","",IF(COUNTIFS(BD!$A$3:$A$5001,R$3,BD!$B$3:$B$5001,$A$167,BD!$L$3:$L$5001,"&lt;&gt;")=0,"",SUMIFS(BD!$L$3:$L$5001,BD!$A$3:$A$5001,R$3,BD!$B$3:$B$5001,$A$167)))</f>
        <v/>
      </c>
      <c r="S170" s="185" t="str">
        <f>IF(S$3="","",IF(COUNTIFS(BD!$A$3:$A$5001,S$3,BD!$B$3:$B$5001,$A$167,BD!$L$3:$L$5001,"&lt;&gt;")=0,"",SUMIFS(BD!$L$3:$L$5001,BD!$A$3:$A$5001,S$3,BD!$B$3:$B$5001,$A$167)))</f>
        <v/>
      </c>
      <c r="T170" s="185" t="str">
        <f>IF(T$3="","",IF(COUNTIFS(BD!$A$3:$A$5001,T$3,BD!$B$3:$B$5001,$A$167,BD!$L$3:$L$5001,"&lt;&gt;")=0,"",SUMIFS(BD!$L$3:$L$5001,BD!$A$3:$A$5001,T$3,BD!$B$3:$B$5001,$A$167)))</f>
        <v/>
      </c>
      <c r="U170" s="185" t="str">
        <f>IF(U$3="","",IF(COUNTIFS(BD!$A$3:$A$5001,U$3,BD!$B$3:$B$5001,$A$167,BD!$L$3:$L$5001,"&lt;&gt;")=0,"",SUMIFS(BD!$L$3:$L$5001,BD!$A$3:$A$5001,U$3,BD!$B$3:$B$5001,$A$167)))</f>
        <v/>
      </c>
      <c r="V170" s="185" t="str">
        <f>IF(V$3="","",IF(COUNTIFS(BD!$A$3:$A$5001,V$3,BD!$B$3:$B$5001,$A$167,BD!$L$3:$L$5001,"&lt;&gt;")=0,"",SUMIFS(BD!$L$3:$L$5001,BD!$A$3:$A$5001,V$3,BD!$B$3:$B$5001,$A$167)))</f>
        <v/>
      </c>
      <c r="W170" s="185" t="str">
        <f>IF(W$3="","",IF(COUNTIFS(BD!$A$3:$A$5001,W$3,BD!$B$3:$B$5001,$A$167,BD!$L$3:$L$5001,"&lt;&gt;")=0,"",SUMIFS(BD!$L$3:$L$5001,BD!$A$3:$A$5001,W$3,BD!$B$3:$B$5001,$A$167)))</f>
        <v/>
      </c>
      <c r="X170" s="185" t="str">
        <f>IF(X$3="","",IF(COUNTIFS(BD!$A$3:$A$5001,X$3,BD!$B$3:$B$5001,$A$167,BD!$L$3:$L$5001,"&lt;&gt;")=0,"",SUMIFS(BD!$L$3:$L$5001,BD!$A$3:$A$5001,X$3,BD!$B$3:$B$5001,$A$167)))</f>
        <v/>
      </c>
      <c r="Y170" s="185" t="str">
        <f>IF(Y$3="","",IF(COUNTIFS(BD!$A$3:$A$5001,Y$3,BD!$B$3:$B$5001,$A$167,BD!$L$3:$L$5001,"&lt;&gt;")=0,"",SUMIFS(BD!$L$3:$L$5001,BD!$A$3:$A$5001,Y$3,BD!$B$3:$B$5001,$A$167)))</f>
        <v/>
      </c>
      <c r="Z170" s="185" t="str">
        <f>IF(Z$3="","",IF(COUNTIFS(BD!$A$3:$A$5001,Z$3,BD!$B$3:$B$5001,$A$167,BD!$L$3:$L$5001,"&lt;&gt;")=0,"",SUMIFS(BD!$L$3:$L$5001,BD!$A$3:$A$5001,Z$3,BD!$B$3:$B$5001,$A$167)))</f>
        <v/>
      </c>
      <c r="AA170" s="185" t="str">
        <f>IF(AA$3="","",IF(COUNTIFS(BD!$A$3:$A$5001,AA$3,BD!$B$3:$B$5001,$A$167,BD!$L$3:$L$5001,"&lt;&gt;")=0,"",SUMIFS(BD!$L$3:$L$5001,BD!$A$3:$A$5001,AA$3,BD!$B$3:$B$5001,$A$167)))</f>
        <v/>
      </c>
      <c r="AB170" s="185" t="str">
        <f>IF(AB$3="","",IF(COUNTIFS(BD!$A$3:$A$5001,AB$3,BD!$B$3:$B$5001,$A$167,BD!$L$3:$L$5001,"&lt;&gt;")=0,"",SUMIFS(BD!$L$3:$L$5001,BD!$A$3:$A$5001,AB$3,BD!$B$3:$B$5001,$A$167)))</f>
        <v/>
      </c>
      <c r="AC170" s="185" t="str">
        <f>IF(AC$3="","",IF(COUNTIFS(BD!$A$3:$A$5001,AC$3,BD!$B$3:$B$5001,$A$167,BD!$L$3:$L$5001,"&lt;&gt;")=0,"",SUMIFS(BD!$L$3:$L$5001,BD!$A$3:$A$5001,AC$3,BD!$B$3:$B$5001,$A$167)))</f>
        <v/>
      </c>
      <c r="AD170" s="185" t="str">
        <f>IF(AD$3="","",IF(COUNTIFS(BD!$A$3:$A$5001,AD$3,BD!$B$3:$B$5001,$A$167,BD!$L$3:$L$5001,"&lt;&gt;")=0,"",SUMIFS(BD!$L$3:$L$5001,BD!$A$3:$A$5001,AD$3,BD!$B$3:$B$5001,$A$167)))</f>
        <v/>
      </c>
      <c r="AE170" s="185" t="str">
        <f>IF(AE$3="","",IF(COUNTIFS(BD!$A$3:$A$5001,AE$3,BD!$B$3:$B$5001,$A$167,BD!$L$3:$L$5001,"&lt;&gt;")=0,"",SUMIFS(BD!$L$3:$L$5001,BD!$A$3:$A$5001,AE$3,BD!$B$3:$B$5001,$A$167)))</f>
        <v/>
      </c>
      <c r="AF170" s="185" t="str">
        <f>IF(AF$3="","",IF(COUNTIFS(BD!$A$3:$A$5001,AF$3,BD!$B$3:$B$5001,$A$167,BD!$L$3:$L$5001,"&lt;&gt;")=0,"",SUMIFS(BD!$L$3:$L$5001,BD!$A$3:$A$5001,AF$3,BD!$B$3:$B$5001,$A$167)))</f>
        <v/>
      </c>
      <c r="AG170" s="185" t="str">
        <f>IF(AG$3="","",IF(COUNTIFS(BD!$A$3:$A$5001,AG$3,BD!$B$3:$B$5001,$A$167,BD!$L$3:$L$5001,"&lt;&gt;")=0,"",SUMIFS(BD!$L$3:$L$5001,BD!$A$3:$A$5001,AG$3,BD!$B$3:$B$5001,$A$167)))</f>
        <v/>
      </c>
      <c r="AH170" s="185" t="str">
        <f>IF(AH$3="","",IF(COUNTIFS(BD!$A$3:$A$5001,AH$3,BD!$B$3:$B$5001,$A$167,BD!$L$3:$L$5001,"&lt;&gt;")=0,"",SUMIFS(BD!$L$3:$L$5001,BD!$A$3:$A$5001,AH$3,BD!$B$3:$B$5001,$A$167)))</f>
        <v/>
      </c>
      <c r="AI170" s="185" t="str">
        <f>IF(AI$3="","",IF(COUNTIFS(BD!$A$3:$A$5001,AI$3,BD!$B$3:$B$5001,$A$167,BD!$L$3:$L$5001,"&lt;&gt;")=0,"",SUMIFS(BD!$L$3:$L$5001,BD!$A$3:$A$5001,AI$3,BD!$B$3:$B$5001,$A$167)))</f>
        <v/>
      </c>
      <c r="AJ170" s="186" t="str">
        <f>IF(AJ$3="","",IF(COUNTIFS(BD!$A$3:$A$5001,AJ$3,BD!$B$3:$B$5001,$A$167,BD!$L$3:$L$5001,"&lt;&gt;")=0,"",SUMIFS(BD!$L$3:$L$5001,BD!$A$3:$A$5001,AJ$3,BD!$B$3:$B$5001,$A$167)))</f>
        <v/>
      </c>
      <c r="AK170" s="187" t="str">
        <f>IF(COUNT(F170:AJ170)=0,"",SUM(F170:AJ170))</f>
        <v/>
      </c>
    </row>
    <row r="171" ht="15.75" customHeight="1">
      <c r="A171" s="261"/>
      <c r="B171" s="278"/>
      <c r="C171" s="267" t="inlineStr">
        <is>
          <t xml:space="preserve">Pallets Movimentados</t>
        </is>
      </c>
      <c r="D171" s="268" t="str">
        <f>IFERROR(1/(1/INDEX(BD!$AL$38:$BF$38,MATCH($A$167,BD!$AL$22:$BF$22,0))),"")</f>
        <v/>
      </c>
      <c r="E171" s="269"/>
      <c r="F171" s="270" t="str">
        <f>IF(F$3="","",IF(COUNTIFS(BD!$A$3:$A$5001,F$3,BD!$B$3:$B$5001,$A$167,BD!$R$3:$R$5001,"&lt;&gt;")=0,"",SUMIFS(BD!$R$3:$R$5001,BD!$A$3:$A$5001,F$3,BD!$B$3:$B$5001,$A$167)))</f>
        <v/>
      </c>
      <c r="G171" s="271" t="str">
        <f>IF(G$3="","",IF(COUNTIFS(BD!$A$3:$A$5001,G$3,BD!$B$3:$B$5001,$A$167,BD!$R$3:$R$5001,"&lt;&gt;")=0,"",SUMIFS(BD!$R$3:$R$5001,BD!$A$3:$A$5001,G$3,BD!$B$3:$B$5001,$A$167)))</f>
        <v/>
      </c>
      <c r="H171" s="271" t="str">
        <f>IF(H$3="","",IF(COUNTIFS(BD!$A$3:$A$5001,H$3,BD!$B$3:$B$5001,$A$167,BD!$R$3:$R$5001,"&lt;&gt;")=0,"",SUMIFS(BD!$R$3:$R$5001,BD!$A$3:$A$5001,H$3,BD!$B$3:$B$5001,$A$167)))</f>
        <v/>
      </c>
      <c r="I171" s="271" t="str">
        <f>IF(I$3="","",IF(COUNTIFS(BD!$A$3:$A$5001,I$3,BD!$B$3:$B$5001,$A$167,BD!$R$3:$R$5001,"&lt;&gt;")=0,"",SUMIFS(BD!$R$3:$R$5001,BD!$A$3:$A$5001,I$3,BD!$B$3:$B$5001,$A$167)))</f>
        <v/>
      </c>
      <c r="J171" s="271" t="str">
        <f>IF(J$3="","",IF(COUNTIFS(BD!$A$3:$A$5001,J$3,BD!$B$3:$B$5001,$A$167,BD!$R$3:$R$5001,"&lt;&gt;")=0,"",SUMIFS(BD!$R$3:$R$5001,BD!$A$3:$A$5001,J$3,BD!$B$3:$B$5001,$A$167)))</f>
        <v/>
      </c>
      <c r="K171" s="271" t="str">
        <f>IF(K$3="","",IF(COUNTIFS(BD!$A$3:$A$5001,K$3,BD!$B$3:$B$5001,$A$167,BD!$R$3:$R$5001,"&lt;&gt;")=0,"",SUMIFS(BD!$R$3:$R$5001,BD!$A$3:$A$5001,K$3,BD!$B$3:$B$5001,$A$167)))</f>
        <v/>
      </c>
      <c r="L171" s="271" t="str">
        <f>IF(L$3="","",IF(COUNTIFS(BD!$A$3:$A$5001,L$3,BD!$B$3:$B$5001,$A$167,BD!$R$3:$R$5001,"&lt;&gt;")=0,"",SUMIFS(BD!$R$3:$R$5001,BD!$A$3:$A$5001,L$3,BD!$B$3:$B$5001,$A$167)))</f>
        <v/>
      </c>
      <c r="M171" s="271" t="str">
        <f>IF(M$3="","",IF(COUNTIFS(BD!$A$3:$A$5001,M$3,BD!$B$3:$B$5001,$A$167,BD!$R$3:$R$5001,"&lt;&gt;")=0,"",SUMIFS(BD!$R$3:$R$5001,BD!$A$3:$A$5001,M$3,BD!$B$3:$B$5001,$A$167)))</f>
        <v/>
      </c>
      <c r="N171" s="271" t="str">
        <f>IF(N$3="","",IF(COUNTIFS(BD!$A$3:$A$5001,N$3,BD!$B$3:$B$5001,$A$167,BD!$R$3:$R$5001,"&lt;&gt;")=0,"",SUMIFS(BD!$R$3:$R$5001,BD!$A$3:$A$5001,N$3,BD!$B$3:$B$5001,$A$167)))</f>
        <v/>
      </c>
      <c r="O171" s="271" t="str">
        <f>IF(O$3="","",IF(COUNTIFS(BD!$A$3:$A$5001,O$3,BD!$B$3:$B$5001,$A$167,BD!$R$3:$R$5001,"&lt;&gt;")=0,"",SUMIFS(BD!$R$3:$R$5001,BD!$A$3:$A$5001,O$3,BD!$B$3:$B$5001,$A$167)))</f>
        <v/>
      </c>
      <c r="P171" s="271" t="str">
        <f>IF(P$3="","",IF(COUNTIFS(BD!$A$3:$A$5001,P$3,BD!$B$3:$B$5001,$A$167,BD!$R$3:$R$5001,"&lt;&gt;")=0,"",SUMIFS(BD!$R$3:$R$5001,BD!$A$3:$A$5001,P$3,BD!$B$3:$B$5001,$A$167)))</f>
        <v/>
      </c>
      <c r="Q171" s="271" t="str">
        <f>IF(Q$3="","",IF(COUNTIFS(BD!$A$3:$A$5001,Q$3,BD!$B$3:$B$5001,$A$167,BD!$R$3:$R$5001,"&lt;&gt;")=0,"",SUMIFS(BD!$R$3:$R$5001,BD!$A$3:$A$5001,Q$3,BD!$B$3:$B$5001,$A$167)))</f>
        <v/>
      </c>
      <c r="R171" s="271" t="str">
        <f>IF(R$3="","",IF(COUNTIFS(BD!$A$3:$A$5001,R$3,BD!$B$3:$B$5001,$A$167,BD!$R$3:$R$5001,"&lt;&gt;")=0,"",SUMIFS(BD!$R$3:$R$5001,BD!$A$3:$A$5001,R$3,BD!$B$3:$B$5001,$A$167)))</f>
        <v/>
      </c>
      <c r="S171" s="271" t="str">
        <f>IF(S$3="","",IF(COUNTIFS(BD!$A$3:$A$5001,S$3,BD!$B$3:$B$5001,$A$167,BD!$R$3:$R$5001,"&lt;&gt;")=0,"",SUMIFS(BD!$R$3:$R$5001,BD!$A$3:$A$5001,S$3,BD!$B$3:$B$5001,$A$167)))</f>
        <v/>
      </c>
      <c r="T171" s="271" t="str">
        <f>IF(T$3="","",IF(COUNTIFS(BD!$A$3:$A$5001,T$3,BD!$B$3:$B$5001,$A$167,BD!$R$3:$R$5001,"&lt;&gt;")=0,"",SUMIFS(BD!$R$3:$R$5001,BD!$A$3:$A$5001,T$3,BD!$B$3:$B$5001,$A$167)))</f>
        <v/>
      </c>
      <c r="U171" s="271" t="str">
        <f>IF(U$3="","",IF(COUNTIFS(BD!$A$3:$A$5001,U$3,BD!$B$3:$B$5001,$A$167,BD!$R$3:$R$5001,"&lt;&gt;")=0,"",SUMIFS(BD!$R$3:$R$5001,BD!$A$3:$A$5001,U$3,BD!$B$3:$B$5001,$A$167)))</f>
        <v/>
      </c>
      <c r="V171" s="271" t="str">
        <f>IF(V$3="","",IF(COUNTIFS(BD!$A$3:$A$5001,V$3,BD!$B$3:$B$5001,$A$167,BD!$R$3:$R$5001,"&lt;&gt;")=0,"",SUMIFS(BD!$R$3:$R$5001,BD!$A$3:$A$5001,V$3,BD!$B$3:$B$5001,$A$167)))</f>
        <v/>
      </c>
      <c r="W171" s="271" t="str">
        <f>IF(W$3="","",IF(COUNTIFS(BD!$A$3:$A$5001,W$3,BD!$B$3:$B$5001,$A$167,BD!$R$3:$R$5001,"&lt;&gt;")=0,"",SUMIFS(BD!$R$3:$R$5001,BD!$A$3:$A$5001,W$3,BD!$B$3:$B$5001,$A$167)))</f>
        <v/>
      </c>
      <c r="X171" s="271" t="str">
        <f>IF(X$3="","",IF(COUNTIFS(BD!$A$3:$A$5001,X$3,BD!$B$3:$B$5001,$A$167,BD!$R$3:$R$5001,"&lt;&gt;")=0,"",SUMIFS(BD!$R$3:$R$5001,BD!$A$3:$A$5001,X$3,BD!$B$3:$B$5001,$A$167)))</f>
        <v/>
      </c>
      <c r="Y171" s="271" t="str">
        <f>IF(Y$3="","",IF(COUNTIFS(BD!$A$3:$A$5001,Y$3,BD!$B$3:$B$5001,$A$167,BD!$R$3:$R$5001,"&lt;&gt;")=0,"",SUMIFS(BD!$R$3:$R$5001,BD!$A$3:$A$5001,Y$3,BD!$B$3:$B$5001,$A$167)))</f>
        <v/>
      </c>
      <c r="Z171" s="271" t="str">
        <f>IF(Z$3="","",IF(COUNTIFS(BD!$A$3:$A$5001,Z$3,BD!$B$3:$B$5001,$A$167,BD!$R$3:$R$5001,"&lt;&gt;")=0,"",SUMIFS(BD!$R$3:$R$5001,BD!$A$3:$A$5001,Z$3,BD!$B$3:$B$5001,$A$167)))</f>
        <v/>
      </c>
      <c r="AA171" s="271" t="str">
        <f>IF(AA$3="","",IF(COUNTIFS(BD!$A$3:$A$5001,AA$3,BD!$B$3:$B$5001,$A$167,BD!$R$3:$R$5001,"&lt;&gt;")=0,"",SUMIFS(BD!$R$3:$R$5001,BD!$A$3:$A$5001,AA$3,BD!$B$3:$B$5001,$A$167)))</f>
        <v/>
      </c>
      <c r="AB171" s="271" t="str">
        <f>IF(AB$3="","",IF(COUNTIFS(BD!$A$3:$A$5001,AB$3,BD!$B$3:$B$5001,$A$167,BD!$R$3:$R$5001,"&lt;&gt;")=0,"",SUMIFS(BD!$R$3:$R$5001,BD!$A$3:$A$5001,AB$3,BD!$B$3:$B$5001,$A$167)))</f>
        <v/>
      </c>
      <c r="AC171" s="271" t="str">
        <f>IF(AC$3="","",IF(COUNTIFS(BD!$A$3:$A$5001,AC$3,BD!$B$3:$B$5001,$A$167,BD!$R$3:$R$5001,"&lt;&gt;")=0,"",SUMIFS(BD!$R$3:$R$5001,BD!$A$3:$A$5001,AC$3,BD!$B$3:$B$5001,$A$167)))</f>
        <v/>
      </c>
      <c r="AD171" s="271" t="str">
        <f>IF(AD$3="","",IF(COUNTIFS(BD!$A$3:$A$5001,AD$3,BD!$B$3:$B$5001,$A$167,BD!$R$3:$R$5001,"&lt;&gt;")=0,"",SUMIFS(BD!$R$3:$R$5001,BD!$A$3:$A$5001,AD$3,BD!$B$3:$B$5001,$A$167)))</f>
        <v/>
      </c>
      <c r="AE171" s="271" t="str">
        <f>IF(AE$3="","",IF(COUNTIFS(BD!$A$3:$A$5001,AE$3,BD!$B$3:$B$5001,$A$167,BD!$R$3:$R$5001,"&lt;&gt;")=0,"",SUMIFS(BD!$R$3:$R$5001,BD!$A$3:$A$5001,AE$3,BD!$B$3:$B$5001,$A$167)))</f>
        <v/>
      </c>
      <c r="AF171" s="271" t="str">
        <f>IF(AF$3="","",IF(COUNTIFS(BD!$A$3:$A$5001,AF$3,BD!$B$3:$B$5001,$A$167,BD!$R$3:$R$5001,"&lt;&gt;")=0,"",SUMIFS(BD!$R$3:$R$5001,BD!$A$3:$A$5001,AF$3,BD!$B$3:$B$5001,$A$167)))</f>
        <v/>
      </c>
      <c r="AG171" s="271" t="str">
        <f>IF(AG$3="","",IF(COUNTIFS(BD!$A$3:$A$5001,AG$3,BD!$B$3:$B$5001,$A$167,BD!$R$3:$R$5001,"&lt;&gt;")=0,"",SUMIFS(BD!$R$3:$R$5001,BD!$A$3:$A$5001,AG$3,BD!$B$3:$B$5001,$A$167)))</f>
        <v/>
      </c>
      <c r="AH171" s="271" t="str">
        <f>IF(AH$3="","",IF(COUNTIFS(BD!$A$3:$A$5001,AH$3,BD!$B$3:$B$5001,$A$167,BD!$R$3:$R$5001,"&lt;&gt;")=0,"",SUMIFS(BD!$R$3:$R$5001,BD!$A$3:$A$5001,AH$3,BD!$B$3:$B$5001,$A$167)))</f>
        <v/>
      </c>
      <c r="AI171" s="271" t="str">
        <f>IF(AI$3="","",IF(COUNTIFS(BD!$A$3:$A$5001,AI$3,BD!$B$3:$B$5001,$A$167,BD!$R$3:$R$5001,"&lt;&gt;")=0,"",SUMIFS(BD!$R$3:$R$5001,BD!$A$3:$A$5001,AI$3,BD!$B$3:$B$5001,$A$167)))</f>
        <v/>
      </c>
      <c r="AJ171" s="272" t="str">
        <f>IF(AJ$3="","",IF(COUNTIFS(BD!$A$3:$A$5001,AJ$3,BD!$B$3:$B$5001,$A$167,BD!$R$3:$R$5001,"&lt;&gt;")=0,"",SUMIFS(BD!$R$3:$R$5001,BD!$A$3:$A$5001,AJ$3,BD!$B$3:$B$5001,$A$167)))</f>
        <v/>
      </c>
      <c r="AK171" s="273" t="str">
        <f>IF(COUNT(F171:AJ171)=0,"",SUM(F171:AJ171))</f>
        <v/>
      </c>
    </row>
    <row r="172" ht="15.75" customHeight="1">
      <c r="A172" s="261"/>
      <c r="B172" s="252"/>
      <c r="C172" s="188" t="inlineStr">
        <is>
          <t xml:space="preserve">Toneladas Movimentadas</t>
        </is>
      </c>
      <c r="D172" s="189" t="str">
        <f>IFERROR(1/(1/INDEX(BD!$AL$39:$BF$39,MATCH($A$167,BD!$AL$22:$BF$22,0))),"")</f>
        <v/>
      </c>
      <c r="E172" s="190"/>
      <c r="F172" s="274" t="str">
        <f>IF(F$3="","",IF(COUNTIFS(BD!$A$3:$A$5001,F$3,BD!$B$3:$B$5001,$A$167,BD!$S$3:$S$5001,"&lt;&gt;")=0,"",SUMIFS(BD!$S$3:$S$5001,BD!$A$3:$A$5001,F$3,BD!$B$3:$B$5001,$A$167)))</f>
        <v/>
      </c>
      <c r="G172" s="275" t="str">
        <f>IF(G$3="","",IF(COUNTIFS(BD!$A$3:$A$5001,G$3,BD!$B$3:$B$5001,$A$167,BD!$S$3:$S$5001,"&lt;&gt;")=0,"",SUMIFS(BD!$S$3:$S$5001,BD!$A$3:$A$5001,G$3,BD!$B$3:$B$5001,$A$167)))</f>
        <v/>
      </c>
      <c r="H172" s="275" t="str">
        <f>IF(H$3="","",IF(COUNTIFS(BD!$A$3:$A$5001,H$3,BD!$B$3:$B$5001,$A$167,BD!$S$3:$S$5001,"&lt;&gt;")=0,"",SUMIFS(BD!$S$3:$S$5001,BD!$A$3:$A$5001,H$3,BD!$B$3:$B$5001,$A$167)))</f>
        <v/>
      </c>
      <c r="I172" s="275" t="str">
        <f>IF(I$3="","",IF(COUNTIFS(BD!$A$3:$A$5001,I$3,BD!$B$3:$B$5001,$A$167,BD!$S$3:$S$5001,"&lt;&gt;")=0,"",SUMIFS(BD!$S$3:$S$5001,BD!$A$3:$A$5001,I$3,BD!$B$3:$B$5001,$A$167)))</f>
        <v/>
      </c>
      <c r="J172" s="275" t="str">
        <f>IF(J$3="","",IF(COUNTIFS(BD!$A$3:$A$5001,J$3,BD!$B$3:$B$5001,$A$167,BD!$S$3:$S$5001,"&lt;&gt;")=0,"",SUMIFS(BD!$S$3:$S$5001,BD!$A$3:$A$5001,J$3,BD!$B$3:$B$5001,$A$167)))</f>
        <v/>
      </c>
      <c r="K172" s="275" t="str">
        <f>IF(K$3="","",IF(COUNTIFS(BD!$A$3:$A$5001,K$3,BD!$B$3:$B$5001,$A$167,BD!$S$3:$S$5001,"&lt;&gt;")=0,"",SUMIFS(BD!$S$3:$S$5001,BD!$A$3:$A$5001,K$3,BD!$B$3:$B$5001,$A$167)))</f>
        <v/>
      </c>
      <c r="L172" s="275" t="str">
        <f>IF(L$3="","",IF(COUNTIFS(BD!$A$3:$A$5001,L$3,BD!$B$3:$B$5001,$A$167,BD!$S$3:$S$5001,"&lt;&gt;")=0,"",SUMIFS(BD!$S$3:$S$5001,BD!$A$3:$A$5001,L$3,BD!$B$3:$B$5001,$A$167)))</f>
        <v/>
      </c>
      <c r="M172" s="275" t="str">
        <f>IF(M$3="","",IF(COUNTIFS(BD!$A$3:$A$5001,M$3,BD!$B$3:$B$5001,$A$167,BD!$S$3:$S$5001,"&lt;&gt;")=0,"",SUMIFS(BD!$S$3:$S$5001,BD!$A$3:$A$5001,M$3,BD!$B$3:$B$5001,$A$167)))</f>
        <v/>
      </c>
      <c r="N172" s="275" t="str">
        <f>IF(N$3="","",IF(COUNTIFS(BD!$A$3:$A$5001,N$3,BD!$B$3:$B$5001,$A$167,BD!$S$3:$S$5001,"&lt;&gt;")=0,"",SUMIFS(BD!$S$3:$S$5001,BD!$A$3:$A$5001,N$3,BD!$B$3:$B$5001,$A$167)))</f>
        <v/>
      </c>
      <c r="O172" s="275" t="str">
        <f>IF(O$3="","",IF(COUNTIFS(BD!$A$3:$A$5001,O$3,BD!$B$3:$B$5001,$A$167,BD!$S$3:$S$5001,"&lt;&gt;")=0,"",SUMIFS(BD!$S$3:$S$5001,BD!$A$3:$A$5001,O$3,BD!$B$3:$B$5001,$A$167)))</f>
        <v/>
      </c>
      <c r="P172" s="275" t="str">
        <f>IF(P$3="","",IF(COUNTIFS(BD!$A$3:$A$5001,P$3,BD!$B$3:$B$5001,$A$167,BD!$S$3:$S$5001,"&lt;&gt;")=0,"",SUMIFS(BD!$S$3:$S$5001,BD!$A$3:$A$5001,P$3,BD!$B$3:$B$5001,$A$167)))</f>
        <v/>
      </c>
      <c r="Q172" s="275" t="str">
        <f>IF(Q$3="","",IF(COUNTIFS(BD!$A$3:$A$5001,Q$3,BD!$B$3:$B$5001,$A$167,BD!$S$3:$S$5001,"&lt;&gt;")=0,"",SUMIFS(BD!$S$3:$S$5001,BD!$A$3:$A$5001,Q$3,BD!$B$3:$B$5001,$A$167)))</f>
        <v/>
      </c>
      <c r="R172" s="275" t="str">
        <f>IF(R$3="","",IF(COUNTIFS(BD!$A$3:$A$5001,R$3,BD!$B$3:$B$5001,$A$167,BD!$S$3:$S$5001,"&lt;&gt;")=0,"",SUMIFS(BD!$S$3:$S$5001,BD!$A$3:$A$5001,R$3,BD!$B$3:$B$5001,$A$167)))</f>
        <v/>
      </c>
      <c r="S172" s="275" t="str">
        <f>IF(S$3="","",IF(COUNTIFS(BD!$A$3:$A$5001,S$3,BD!$B$3:$B$5001,$A$167,BD!$S$3:$S$5001,"&lt;&gt;")=0,"",SUMIFS(BD!$S$3:$S$5001,BD!$A$3:$A$5001,S$3,BD!$B$3:$B$5001,$A$167)))</f>
        <v/>
      </c>
      <c r="T172" s="275" t="str">
        <f>IF(T$3="","",IF(COUNTIFS(BD!$A$3:$A$5001,T$3,BD!$B$3:$B$5001,$A$167,BD!$S$3:$S$5001,"&lt;&gt;")=0,"",SUMIFS(BD!$S$3:$S$5001,BD!$A$3:$A$5001,T$3,BD!$B$3:$B$5001,$A$167)))</f>
        <v/>
      </c>
      <c r="U172" s="275" t="str">
        <f>IF(U$3="","",IF(COUNTIFS(BD!$A$3:$A$5001,U$3,BD!$B$3:$B$5001,$A$167,BD!$S$3:$S$5001,"&lt;&gt;")=0,"",SUMIFS(BD!$S$3:$S$5001,BD!$A$3:$A$5001,U$3,BD!$B$3:$B$5001,$A$167)))</f>
        <v/>
      </c>
      <c r="V172" s="275" t="str">
        <f>IF(V$3="","",IF(COUNTIFS(BD!$A$3:$A$5001,V$3,BD!$B$3:$B$5001,$A$167,BD!$S$3:$S$5001,"&lt;&gt;")=0,"",SUMIFS(BD!$S$3:$S$5001,BD!$A$3:$A$5001,V$3,BD!$B$3:$B$5001,$A$167)))</f>
        <v/>
      </c>
      <c r="W172" s="275" t="str">
        <f>IF(W$3="","",IF(COUNTIFS(BD!$A$3:$A$5001,W$3,BD!$B$3:$B$5001,$A$167,BD!$S$3:$S$5001,"&lt;&gt;")=0,"",SUMIFS(BD!$S$3:$S$5001,BD!$A$3:$A$5001,W$3,BD!$B$3:$B$5001,$A$167)))</f>
        <v/>
      </c>
      <c r="X172" s="275" t="str">
        <f>IF(X$3="","",IF(COUNTIFS(BD!$A$3:$A$5001,X$3,BD!$B$3:$B$5001,$A$167,BD!$S$3:$S$5001,"&lt;&gt;")=0,"",SUMIFS(BD!$S$3:$S$5001,BD!$A$3:$A$5001,X$3,BD!$B$3:$B$5001,$A$167)))</f>
        <v/>
      </c>
      <c r="Y172" s="275" t="str">
        <f>IF(Y$3="","",IF(COUNTIFS(BD!$A$3:$A$5001,Y$3,BD!$B$3:$B$5001,$A$167,BD!$S$3:$S$5001,"&lt;&gt;")=0,"",SUMIFS(BD!$S$3:$S$5001,BD!$A$3:$A$5001,Y$3,BD!$B$3:$B$5001,$A$167)))</f>
        <v/>
      </c>
      <c r="Z172" s="275" t="str">
        <f>IF(Z$3="","",IF(COUNTIFS(BD!$A$3:$A$5001,Z$3,BD!$B$3:$B$5001,$A$167,BD!$S$3:$S$5001,"&lt;&gt;")=0,"",SUMIFS(BD!$S$3:$S$5001,BD!$A$3:$A$5001,Z$3,BD!$B$3:$B$5001,$A$167)))</f>
        <v/>
      </c>
      <c r="AA172" s="275" t="str">
        <f>IF(AA$3="","",IF(COUNTIFS(BD!$A$3:$A$5001,AA$3,BD!$B$3:$B$5001,$A$167,BD!$S$3:$S$5001,"&lt;&gt;")=0,"",SUMIFS(BD!$S$3:$S$5001,BD!$A$3:$A$5001,AA$3,BD!$B$3:$B$5001,$A$167)))</f>
        <v/>
      </c>
      <c r="AB172" s="275" t="str">
        <f>IF(AB$3="","",IF(COUNTIFS(BD!$A$3:$A$5001,AB$3,BD!$B$3:$B$5001,$A$167,BD!$S$3:$S$5001,"&lt;&gt;")=0,"",SUMIFS(BD!$S$3:$S$5001,BD!$A$3:$A$5001,AB$3,BD!$B$3:$B$5001,$A$167)))</f>
        <v/>
      </c>
      <c r="AC172" s="275" t="str">
        <f>IF(AC$3="","",IF(COUNTIFS(BD!$A$3:$A$5001,AC$3,BD!$B$3:$B$5001,$A$167,BD!$S$3:$S$5001,"&lt;&gt;")=0,"",SUMIFS(BD!$S$3:$S$5001,BD!$A$3:$A$5001,AC$3,BD!$B$3:$B$5001,$A$167)))</f>
        <v/>
      </c>
      <c r="AD172" s="275" t="str">
        <f>IF(AD$3="","",IF(COUNTIFS(BD!$A$3:$A$5001,AD$3,BD!$B$3:$B$5001,$A$167,BD!$S$3:$S$5001,"&lt;&gt;")=0,"",SUMIFS(BD!$S$3:$S$5001,BD!$A$3:$A$5001,AD$3,BD!$B$3:$B$5001,$A$167)))</f>
        <v/>
      </c>
      <c r="AE172" s="275" t="str">
        <f>IF(AE$3="","",IF(COUNTIFS(BD!$A$3:$A$5001,AE$3,BD!$B$3:$B$5001,$A$167,BD!$S$3:$S$5001,"&lt;&gt;")=0,"",SUMIFS(BD!$S$3:$S$5001,BD!$A$3:$A$5001,AE$3,BD!$B$3:$B$5001,$A$167)))</f>
        <v/>
      </c>
      <c r="AF172" s="275" t="str">
        <f>IF(AF$3="","",IF(COUNTIFS(BD!$A$3:$A$5001,AF$3,BD!$B$3:$B$5001,$A$167,BD!$S$3:$S$5001,"&lt;&gt;")=0,"",SUMIFS(BD!$S$3:$S$5001,BD!$A$3:$A$5001,AF$3,BD!$B$3:$B$5001,$A$167)))</f>
        <v/>
      </c>
      <c r="AG172" s="275" t="str">
        <f>IF(AG$3="","",IF(COUNTIFS(BD!$A$3:$A$5001,AG$3,BD!$B$3:$B$5001,$A$167,BD!$S$3:$S$5001,"&lt;&gt;")=0,"",SUMIFS(BD!$S$3:$S$5001,BD!$A$3:$A$5001,AG$3,BD!$B$3:$B$5001,$A$167)))</f>
        <v/>
      </c>
      <c r="AH172" s="275" t="str">
        <f>IF(AH$3="","",IF(COUNTIFS(BD!$A$3:$A$5001,AH$3,BD!$B$3:$B$5001,$A$167,BD!$S$3:$S$5001,"&lt;&gt;")=0,"",SUMIFS(BD!$S$3:$S$5001,BD!$A$3:$A$5001,AH$3,BD!$B$3:$B$5001,$A$167)))</f>
        <v/>
      </c>
      <c r="AI172" s="275" t="str">
        <f>IF(AI$3="","",IF(COUNTIFS(BD!$A$3:$A$5001,AI$3,BD!$B$3:$B$5001,$A$167,BD!$S$3:$S$5001,"&lt;&gt;")=0,"",SUMIFS(BD!$S$3:$S$5001,BD!$A$3:$A$5001,AI$3,BD!$B$3:$B$5001,$A$167)))</f>
        <v/>
      </c>
      <c r="AJ172" s="276" t="str">
        <f>IF(AJ$3="","",IF(COUNTIFS(BD!$A$3:$A$5001,AJ$3,BD!$B$3:$B$5001,$A$167,BD!$S$3:$S$5001,"&lt;&gt;")=0,"",SUMIFS(BD!$S$3:$S$5001,BD!$A$3:$A$5001,AJ$3,BD!$B$3:$B$5001,$A$167)))</f>
        <v/>
      </c>
      <c r="AK172" s="277" t="str">
        <f>IF(COUNT(F172:AJ172)=0,"",SUM(F172:AJ172))</f>
        <v/>
      </c>
    </row>
    <row r="173" ht="15.75" customHeight="1">
      <c r="A173" s="261"/>
      <c r="B173" s="253" t="inlineStr">
        <is>
          <t xml:space="preserve">NC</t>
        </is>
      </c>
      <c r="C173" s="194" t="inlineStr">
        <is>
          <t xml:space="preserve">Incidentes</t>
        </is>
      </c>
      <c r="D173" s="195" t="str">
        <f>IFERROR(1/(1/INDEX(BD!$AL$40:$BF$40,MATCH($A$167,BD!$AL$22:$BF$22,0))),"")</f>
        <v/>
      </c>
      <c r="E173" s="196"/>
      <c r="F173" s="197" t="str">
        <f>IF(F$3="","",IF(COUNTIFS(BD!$A$3:$A$5001,F$3,BD!$B$3:$B$5001,$A$167,BD!$T$3:$T$5001,"&lt;&gt;")=0,"",SUMIFS(BD!$T$3:$T$5001,BD!$A$3:$A$5001,F$3,BD!$B$3:$B$5001,$A$167)))</f>
        <v/>
      </c>
      <c r="G173" s="198" t="str">
        <f>IF(G$3="","",IF(COUNTIFS(BD!$A$3:$A$5001,G$3,BD!$B$3:$B$5001,$A$167,BD!$T$3:$T$5001,"&lt;&gt;")=0,"",SUMIFS(BD!$T$3:$T$5001,BD!$A$3:$A$5001,G$3,BD!$B$3:$B$5001,$A$167)))</f>
        <v/>
      </c>
      <c r="H173" s="198" t="str">
        <f>IF(H$3="","",IF(COUNTIFS(BD!$A$3:$A$5001,H$3,BD!$B$3:$B$5001,$A$167,BD!$T$3:$T$5001,"&lt;&gt;")=0,"",SUMIFS(BD!$T$3:$T$5001,BD!$A$3:$A$5001,H$3,BD!$B$3:$B$5001,$A$167)))</f>
        <v/>
      </c>
      <c r="I173" s="198" t="str">
        <f>IF(I$3="","",IF(COUNTIFS(BD!$A$3:$A$5001,I$3,BD!$B$3:$B$5001,$A$167,BD!$T$3:$T$5001,"&lt;&gt;")=0,"",SUMIFS(BD!$T$3:$T$5001,BD!$A$3:$A$5001,I$3,BD!$B$3:$B$5001,$A$167)))</f>
        <v/>
      </c>
      <c r="J173" s="198" t="str">
        <f>IF(J$3="","",IF(COUNTIFS(BD!$A$3:$A$5001,J$3,BD!$B$3:$B$5001,$A$167,BD!$T$3:$T$5001,"&lt;&gt;")=0,"",SUMIFS(BD!$T$3:$T$5001,BD!$A$3:$A$5001,J$3,BD!$B$3:$B$5001,$A$167)))</f>
        <v/>
      </c>
      <c r="K173" s="198" t="str">
        <f>IF(K$3="","",IF(COUNTIFS(BD!$A$3:$A$5001,K$3,BD!$B$3:$B$5001,$A$167,BD!$T$3:$T$5001,"&lt;&gt;")=0,"",SUMIFS(BD!$T$3:$T$5001,BD!$A$3:$A$5001,K$3,BD!$B$3:$B$5001,$A$167)))</f>
        <v/>
      </c>
      <c r="L173" s="198" t="str">
        <f>IF(L$3="","",IF(COUNTIFS(BD!$A$3:$A$5001,L$3,BD!$B$3:$B$5001,$A$167,BD!$T$3:$T$5001,"&lt;&gt;")=0,"",SUMIFS(BD!$T$3:$T$5001,BD!$A$3:$A$5001,L$3,BD!$B$3:$B$5001,$A$167)))</f>
        <v/>
      </c>
      <c r="M173" s="198" t="str">
        <f>IF(M$3="","",IF(COUNTIFS(BD!$A$3:$A$5001,M$3,BD!$B$3:$B$5001,$A$167,BD!$T$3:$T$5001,"&lt;&gt;")=0,"",SUMIFS(BD!$T$3:$T$5001,BD!$A$3:$A$5001,M$3,BD!$B$3:$B$5001,$A$167)))</f>
        <v/>
      </c>
      <c r="N173" s="198" t="str">
        <f>IF(N$3="","",IF(COUNTIFS(BD!$A$3:$A$5001,N$3,BD!$B$3:$B$5001,$A$167,BD!$T$3:$T$5001,"&lt;&gt;")=0,"",SUMIFS(BD!$T$3:$T$5001,BD!$A$3:$A$5001,N$3,BD!$B$3:$B$5001,$A$167)))</f>
        <v/>
      </c>
      <c r="O173" s="198" t="str">
        <f>IF(O$3="","",IF(COUNTIFS(BD!$A$3:$A$5001,O$3,BD!$B$3:$B$5001,$A$167,BD!$T$3:$T$5001,"&lt;&gt;")=0,"",SUMIFS(BD!$T$3:$T$5001,BD!$A$3:$A$5001,O$3,BD!$B$3:$B$5001,$A$167)))</f>
        <v/>
      </c>
      <c r="P173" s="198" t="str">
        <f>IF(P$3="","",IF(COUNTIFS(BD!$A$3:$A$5001,P$3,BD!$B$3:$B$5001,$A$167,BD!$T$3:$T$5001,"&lt;&gt;")=0,"",SUMIFS(BD!$T$3:$T$5001,BD!$A$3:$A$5001,P$3,BD!$B$3:$B$5001,$A$167)))</f>
        <v/>
      </c>
      <c r="Q173" s="198" t="str">
        <f>IF(Q$3="","",IF(COUNTIFS(BD!$A$3:$A$5001,Q$3,BD!$B$3:$B$5001,$A$167,BD!$T$3:$T$5001,"&lt;&gt;")=0,"",SUMIFS(BD!$T$3:$T$5001,BD!$A$3:$A$5001,Q$3,BD!$B$3:$B$5001,$A$167)))</f>
        <v/>
      </c>
      <c r="R173" s="198" t="str">
        <f>IF(R$3="","",IF(COUNTIFS(BD!$A$3:$A$5001,R$3,BD!$B$3:$B$5001,$A$167,BD!$T$3:$T$5001,"&lt;&gt;")=0,"",SUMIFS(BD!$T$3:$T$5001,BD!$A$3:$A$5001,R$3,BD!$B$3:$B$5001,$A$167)))</f>
        <v/>
      </c>
      <c r="S173" s="198" t="str">
        <f>IF(S$3="","",IF(COUNTIFS(BD!$A$3:$A$5001,S$3,BD!$B$3:$B$5001,$A$167,BD!$T$3:$T$5001,"&lt;&gt;")=0,"",SUMIFS(BD!$T$3:$T$5001,BD!$A$3:$A$5001,S$3,BD!$B$3:$B$5001,$A$167)))</f>
        <v/>
      </c>
      <c r="T173" s="198" t="str">
        <f>IF(T$3="","",IF(COUNTIFS(BD!$A$3:$A$5001,T$3,BD!$B$3:$B$5001,$A$167,BD!$T$3:$T$5001,"&lt;&gt;")=0,"",SUMIFS(BD!$T$3:$T$5001,BD!$A$3:$A$5001,T$3,BD!$B$3:$B$5001,$A$167)))</f>
        <v/>
      </c>
      <c r="U173" s="198" t="str">
        <f>IF(U$3="","",IF(COUNTIFS(BD!$A$3:$A$5001,U$3,BD!$B$3:$B$5001,$A$167,BD!$T$3:$T$5001,"&lt;&gt;")=0,"",SUMIFS(BD!$T$3:$T$5001,BD!$A$3:$A$5001,U$3,BD!$B$3:$B$5001,$A$167)))</f>
        <v/>
      </c>
      <c r="V173" s="198" t="str">
        <f>IF(V$3="","",IF(COUNTIFS(BD!$A$3:$A$5001,V$3,BD!$B$3:$B$5001,$A$167,BD!$T$3:$T$5001,"&lt;&gt;")=0,"",SUMIFS(BD!$T$3:$T$5001,BD!$A$3:$A$5001,V$3,BD!$B$3:$B$5001,$A$167)))</f>
        <v/>
      </c>
      <c r="W173" s="198" t="str">
        <f>IF(W$3="","",IF(COUNTIFS(BD!$A$3:$A$5001,W$3,BD!$B$3:$B$5001,$A$167,BD!$T$3:$T$5001,"&lt;&gt;")=0,"",SUMIFS(BD!$T$3:$T$5001,BD!$A$3:$A$5001,W$3,BD!$B$3:$B$5001,$A$167)))</f>
        <v/>
      </c>
      <c r="X173" s="198" t="str">
        <f>IF(X$3="","",IF(COUNTIFS(BD!$A$3:$A$5001,X$3,BD!$B$3:$B$5001,$A$167,BD!$T$3:$T$5001,"&lt;&gt;")=0,"",SUMIFS(BD!$T$3:$T$5001,BD!$A$3:$A$5001,X$3,BD!$B$3:$B$5001,$A$167)))</f>
        <v/>
      </c>
      <c r="Y173" s="198" t="str">
        <f>IF(Y$3="","",IF(COUNTIFS(BD!$A$3:$A$5001,Y$3,BD!$B$3:$B$5001,$A$167,BD!$T$3:$T$5001,"&lt;&gt;")=0,"",SUMIFS(BD!$T$3:$T$5001,BD!$A$3:$A$5001,Y$3,BD!$B$3:$B$5001,$A$167)))</f>
        <v/>
      </c>
      <c r="Z173" s="198" t="str">
        <f>IF(Z$3="","",IF(COUNTIFS(BD!$A$3:$A$5001,Z$3,BD!$B$3:$B$5001,$A$167,BD!$T$3:$T$5001,"&lt;&gt;")=0,"",SUMIFS(BD!$T$3:$T$5001,BD!$A$3:$A$5001,Z$3,BD!$B$3:$B$5001,$A$167)))</f>
        <v/>
      </c>
      <c r="AA173" s="198" t="str">
        <f>IF(AA$3="","",IF(COUNTIFS(BD!$A$3:$A$5001,AA$3,BD!$B$3:$B$5001,$A$167,BD!$T$3:$T$5001,"&lt;&gt;")=0,"",SUMIFS(BD!$T$3:$T$5001,BD!$A$3:$A$5001,AA$3,BD!$B$3:$B$5001,$A$167)))</f>
        <v/>
      </c>
      <c r="AB173" s="198" t="str">
        <f>IF(AB$3="","",IF(COUNTIFS(BD!$A$3:$A$5001,AB$3,BD!$B$3:$B$5001,$A$167,BD!$T$3:$T$5001,"&lt;&gt;")=0,"",SUMIFS(BD!$T$3:$T$5001,BD!$A$3:$A$5001,AB$3,BD!$B$3:$B$5001,$A$167)))</f>
        <v/>
      </c>
      <c r="AC173" s="198" t="str">
        <f>IF(AC$3="","",IF(COUNTIFS(BD!$A$3:$A$5001,AC$3,BD!$B$3:$B$5001,$A$167,BD!$T$3:$T$5001,"&lt;&gt;")=0,"",SUMIFS(BD!$T$3:$T$5001,BD!$A$3:$A$5001,AC$3,BD!$B$3:$B$5001,$A$167)))</f>
        <v/>
      </c>
      <c r="AD173" s="198" t="str">
        <f>IF(AD$3="","",IF(COUNTIFS(BD!$A$3:$A$5001,AD$3,BD!$B$3:$B$5001,$A$167,BD!$T$3:$T$5001,"&lt;&gt;")=0,"",SUMIFS(BD!$T$3:$T$5001,BD!$A$3:$A$5001,AD$3,BD!$B$3:$B$5001,$A$167)))</f>
        <v/>
      </c>
      <c r="AE173" s="198" t="str">
        <f>IF(AE$3="","",IF(COUNTIFS(BD!$A$3:$A$5001,AE$3,BD!$B$3:$B$5001,$A$167,BD!$T$3:$T$5001,"&lt;&gt;")=0,"",SUMIFS(BD!$T$3:$T$5001,BD!$A$3:$A$5001,AE$3,BD!$B$3:$B$5001,$A$167)))</f>
        <v/>
      </c>
      <c r="AF173" s="198" t="str">
        <f>IF(AF$3="","",IF(COUNTIFS(BD!$A$3:$A$5001,AF$3,BD!$B$3:$B$5001,$A$167,BD!$T$3:$T$5001,"&lt;&gt;")=0,"",SUMIFS(BD!$T$3:$T$5001,BD!$A$3:$A$5001,AF$3,BD!$B$3:$B$5001,$A$167)))</f>
        <v/>
      </c>
      <c r="AG173" s="198" t="str">
        <f>IF(AG$3="","",IF(COUNTIFS(BD!$A$3:$A$5001,AG$3,BD!$B$3:$B$5001,$A$167,BD!$T$3:$T$5001,"&lt;&gt;")=0,"",SUMIFS(BD!$T$3:$T$5001,BD!$A$3:$A$5001,AG$3,BD!$B$3:$B$5001,$A$167)))</f>
        <v/>
      </c>
      <c r="AH173" s="198" t="str">
        <f>IF(AH$3="","",IF(COUNTIFS(BD!$A$3:$A$5001,AH$3,BD!$B$3:$B$5001,$A$167,BD!$T$3:$T$5001,"&lt;&gt;")=0,"",SUMIFS(BD!$T$3:$T$5001,BD!$A$3:$A$5001,AH$3,BD!$B$3:$B$5001,$A$167)))</f>
        <v/>
      </c>
      <c r="AI173" s="198" t="str">
        <f>IF(AI$3="","",IF(COUNTIFS(BD!$A$3:$A$5001,AI$3,BD!$B$3:$B$5001,$A$167,BD!$T$3:$T$5001,"&lt;&gt;")=0,"",SUMIFS(BD!$T$3:$T$5001,BD!$A$3:$A$5001,AI$3,BD!$B$3:$B$5001,$A$167)))</f>
        <v/>
      </c>
      <c r="AJ173" s="199" t="str">
        <f>IF(AJ$3="","",IF(COUNTIFS(BD!$A$3:$A$5001,AJ$3,BD!$B$3:$B$5001,$A$167,BD!$T$3:$T$5001,"&lt;&gt;")=0,"",SUMIFS(BD!$T$3:$T$5001,BD!$A$3:$A$5001,AJ$3,BD!$B$3:$B$5001,$A$167)))</f>
        <v/>
      </c>
      <c r="AK173" s="200" t="str">
        <f>IF(COUNT(F173:AJ173)=0,"",SUM(F173:AJ173))</f>
        <v/>
      </c>
    </row>
    <row r="174" ht="15.75" customHeight="1">
      <c r="A174" s="261"/>
      <c r="B174" s="254"/>
      <c r="C174" s="201" t="inlineStr">
        <is>
          <t xml:space="preserve">No show</t>
        </is>
      </c>
      <c r="D174" s="202" t="str">
        <f>IFERROR(1/(1/INDEX(BD!$AL$41:$BF$41,MATCH($A$167,BD!$AL$22:$BF$22,0))),"")</f>
        <v/>
      </c>
      <c r="E174" s="203"/>
      <c r="F174" s="204" t="str">
        <f>IF(F$3="","",IF(COUNTIFS(BD!$A$3:$A$5001,F$3,BD!$B$3:$B$5001,$A$167,BD!$U$3:$U$5001,"&lt;&gt;")=0,"",SUMIFS(BD!$U$3:$U$5001,BD!$A$3:$A$5001,F$3,BD!$B$3:$B$5001,$A$167)))</f>
        <v/>
      </c>
      <c r="G174" s="205" t="str">
        <f>IF(G$3="","",IF(COUNTIFS(BD!$A$3:$A$5001,G$3,BD!$B$3:$B$5001,$A$167,BD!$U$3:$U$5001,"&lt;&gt;")=0,"",SUMIFS(BD!$U$3:$U$5001,BD!$A$3:$A$5001,G$3,BD!$B$3:$B$5001,$A$167)))</f>
        <v/>
      </c>
      <c r="H174" s="205" t="str">
        <f>IF(H$3="","",IF(COUNTIFS(BD!$A$3:$A$5001,H$3,BD!$B$3:$B$5001,$A$167,BD!$U$3:$U$5001,"&lt;&gt;")=0,"",SUMIFS(BD!$U$3:$U$5001,BD!$A$3:$A$5001,H$3,BD!$B$3:$B$5001,$A$167)))</f>
        <v/>
      </c>
      <c r="I174" s="205" t="str">
        <f>IF(I$3="","",IF(COUNTIFS(BD!$A$3:$A$5001,I$3,BD!$B$3:$B$5001,$A$167,BD!$U$3:$U$5001,"&lt;&gt;")=0,"",SUMIFS(BD!$U$3:$U$5001,BD!$A$3:$A$5001,I$3,BD!$B$3:$B$5001,$A$167)))</f>
        <v/>
      </c>
      <c r="J174" s="205" t="str">
        <f>IF(J$3="","",IF(COUNTIFS(BD!$A$3:$A$5001,J$3,BD!$B$3:$B$5001,$A$167,BD!$U$3:$U$5001,"&lt;&gt;")=0,"",SUMIFS(BD!$U$3:$U$5001,BD!$A$3:$A$5001,J$3,BD!$B$3:$B$5001,$A$167)))</f>
        <v/>
      </c>
      <c r="K174" s="205" t="str">
        <f>IF(K$3="","",IF(COUNTIFS(BD!$A$3:$A$5001,K$3,BD!$B$3:$B$5001,$A$167,BD!$U$3:$U$5001,"&lt;&gt;")=0,"",SUMIFS(BD!$U$3:$U$5001,BD!$A$3:$A$5001,K$3,BD!$B$3:$B$5001,$A$167)))</f>
        <v/>
      </c>
      <c r="L174" s="205" t="str">
        <f>IF(L$3="","",IF(COUNTIFS(BD!$A$3:$A$5001,L$3,BD!$B$3:$B$5001,$A$167,BD!$U$3:$U$5001,"&lt;&gt;")=0,"",SUMIFS(BD!$U$3:$U$5001,BD!$A$3:$A$5001,L$3,BD!$B$3:$B$5001,$A$167)))</f>
        <v/>
      </c>
      <c r="M174" s="205" t="str">
        <f>IF(M$3="","",IF(COUNTIFS(BD!$A$3:$A$5001,M$3,BD!$B$3:$B$5001,$A$167,BD!$U$3:$U$5001,"&lt;&gt;")=0,"",SUMIFS(BD!$U$3:$U$5001,BD!$A$3:$A$5001,M$3,BD!$B$3:$B$5001,$A$167)))</f>
        <v/>
      </c>
      <c r="N174" s="205" t="str">
        <f>IF(N$3="","",IF(COUNTIFS(BD!$A$3:$A$5001,N$3,BD!$B$3:$B$5001,$A$167,BD!$U$3:$U$5001,"&lt;&gt;")=0,"",SUMIFS(BD!$U$3:$U$5001,BD!$A$3:$A$5001,N$3,BD!$B$3:$B$5001,$A$167)))</f>
        <v/>
      </c>
      <c r="O174" s="205" t="str">
        <f>IF(O$3="","",IF(COUNTIFS(BD!$A$3:$A$5001,O$3,BD!$B$3:$B$5001,$A$167,BD!$U$3:$U$5001,"&lt;&gt;")=0,"",SUMIFS(BD!$U$3:$U$5001,BD!$A$3:$A$5001,O$3,BD!$B$3:$B$5001,$A$167)))</f>
        <v/>
      </c>
      <c r="P174" s="205" t="str">
        <f>IF(P$3="","",IF(COUNTIFS(BD!$A$3:$A$5001,P$3,BD!$B$3:$B$5001,$A$167,BD!$U$3:$U$5001,"&lt;&gt;")=0,"",SUMIFS(BD!$U$3:$U$5001,BD!$A$3:$A$5001,P$3,BD!$B$3:$B$5001,$A$167)))</f>
        <v/>
      </c>
      <c r="Q174" s="205" t="str">
        <f>IF(Q$3="","",IF(COUNTIFS(BD!$A$3:$A$5001,Q$3,BD!$B$3:$B$5001,$A$167,BD!$U$3:$U$5001,"&lt;&gt;")=0,"",SUMIFS(BD!$U$3:$U$5001,BD!$A$3:$A$5001,Q$3,BD!$B$3:$B$5001,$A$167)))</f>
        <v/>
      </c>
      <c r="R174" s="205" t="str">
        <f>IF(R$3="","",IF(COUNTIFS(BD!$A$3:$A$5001,R$3,BD!$B$3:$B$5001,$A$167,BD!$U$3:$U$5001,"&lt;&gt;")=0,"",SUMIFS(BD!$U$3:$U$5001,BD!$A$3:$A$5001,R$3,BD!$B$3:$B$5001,$A$167)))</f>
        <v/>
      </c>
      <c r="S174" s="205" t="str">
        <f>IF(S$3="","",IF(COUNTIFS(BD!$A$3:$A$5001,S$3,BD!$B$3:$B$5001,$A$167,BD!$U$3:$U$5001,"&lt;&gt;")=0,"",SUMIFS(BD!$U$3:$U$5001,BD!$A$3:$A$5001,S$3,BD!$B$3:$B$5001,$A$167)))</f>
        <v/>
      </c>
      <c r="T174" s="205" t="str">
        <f>IF(T$3="","",IF(COUNTIFS(BD!$A$3:$A$5001,T$3,BD!$B$3:$B$5001,$A$167,BD!$U$3:$U$5001,"&lt;&gt;")=0,"",SUMIFS(BD!$U$3:$U$5001,BD!$A$3:$A$5001,T$3,BD!$B$3:$B$5001,$A$167)))</f>
        <v/>
      </c>
      <c r="U174" s="205" t="str">
        <f>IF(U$3="","",IF(COUNTIFS(BD!$A$3:$A$5001,U$3,BD!$B$3:$B$5001,$A$167,BD!$U$3:$U$5001,"&lt;&gt;")=0,"",SUMIFS(BD!$U$3:$U$5001,BD!$A$3:$A$5001,U$3,BD!$B$3:$B$5001,$A$167)))</f>
        <v/>
      </c>
      <c r="V174" s="205" t="str">
        <f>IF(V$3="","",IF(COUNTIFS(BD!$A$3:$A$5001,V$3,BD!$B$3:$B$5001,$A$167,BD!$U$3:$U$5001,"&lt;&gt;")=0,"",SUMIFS(BD!$U$3:$U$5001,BD!$A$3:$A$5001,V$3,BD!$B$3:$B$5001,$A$167)))</f>
        <v/>
      </c>
      <c r="W174" s="205" t="str">
        <f>IF(W$3="","",IF(COUNTIFS(BD!$A$3:$A$5001,W$3,BD!$B$3:$B$5001,$A$167,BD!$U$3:$U$5001,"&lt;&gt;")=0,"",SUMIFS(BD!$U$3:$U$5001,BD!$A$3:$A$5001,W$3,BD!$B$3:$B$5001,$A$167)))</f>
        <v/>
      </c>
      <c r="X174" s="205" t="str">
        <f>IF(X$3="","",IF(COUNTIFS(BD!$A$3:$A$5001,X$3,BD!$B$3:$B$5001,$A$167,BD!$U$3:$U$5001,"&lt;&gt;")=0,"",SUMIFS(BD!$U$3:$U$5001,BD!$A$3:$A$5001,X$3,BD!$B$3:$B$5001,$A$167)))</f>
        <v/>
      </c>
      <c r="Y174" s="205" t="str">
        <f>IF(Y$3="","",IF(COUNTIFS(BD!$A$3:$A$5001,Y$3,BD!$B$3:$B$5001,$A$167,BD!$U$3:$U$5001,"&lt;&gt;")=0,"",SUMIFS(BD!$U$3:$U$5001,BD!$A$3:$A$5001,Y$3,BD!$B$3:$B$5001,$A$167)))</f>
        <v/>
      </c>
      <c r="Z174" s="205" t="str">
        <f>IF(Z$3="","",IF(COUNTIFS(BD!$A$3:$A$5001,Z$3,BD!$B$3:$B$5001,$A$167,BD!$U$3:$U$5001,"&lt;&gt;")=0,"",SUMIFS(BD!$U$3:$U$5001,BD!$A$3:$A$5001,Z$3,BD!$B$3:$B$5001,$A$167)))</f>
        <v/>
      </c>
      <c r="AA174" s="205" t="str">
        <f>IF(AA$3="","",IF(COUNTIFS(BD!$A$3:$A$5001,AA$3,BD!$B$3:$B$5001,$A$167,BD!$U$3:$U$5001,"&lt;&gt;")=0,"",SUMIFS(BD!$U$3:$U$5001,BD!$A$3:$A$5001,AA$3,BD!$B$3:$B$5001,$A$167)))</f>
        <v/>
      </c>
      <c r="AB174" s="205" t="str">
        <f>IF(AB$3="","",IF(COUNTIFS(BD!$A$3:$A$5001,AB$3,BD!$B$3:$B$5001,$A$167,BD!$U$3:$U$5001,"&lt;&gt;")=0,"",SUMIFS(BD!$U$3:$U$5001,BD!$A$3:$A$5001,AB$3,BD!$B$3:$B$5001,$A$167)))</f>
        <v/>
      </c>
      <c r="AC174" s="205" t="str">
        <f>IF(AC$3="","",IF(COUNTIFS(BD!$A$3:$A$5001,AC$3,BD!$B$3:$B$5001,$A$167,BD!$U$3:$U$5001,"&lt;&gt;")=0,"",SUMIFS(BD!$U$3:$U$5001,BD!$A$3:$A$5001,AC$3,BD!$B$3:$B$5001,$A$167)))</f>
        <v/>
      </c>
      <c r="AD174" s="205" t="str">
        <f>IF(AD$3="","",IF(COUNTIFS(BD!$A$3:$A$5001,AD$3,BD!$B$3:$B$5001,$A$167,BD!$U$3:$U$5001,"&lt;&gt;")=0,"",SUMIFS(BD!$U$3:$U$5001,BD!$A$3:$A$5001,AD$3,BD!$B$3:$B$5001,$A$167)))</f>
        <v/>
      </c>
      <c r="AE174" s="205" t="str">
        <f>IF(AE$3="","",IF(COUNTIFS(BD!$A$3:$A$5001,AE$3,BD!$B$3:$B$5001,$A$167,BD!$U$3:$U$5001,"&lt;&gt;")=0,"",SUMIFS(BD!$U$3:$U$5001,BD!$A$3:$A$5001,AE$3,BD!$B$3:$B$5001,$A$167)))</f>
        <v/>
      </c>
      <c r="AF174" s="205" t="str">
        <f>IF(AF$3="","",IF(COUNTIFS(BD!$A$3:$A$5001,AF$3,BD!$B$3:$B$5001,$A$167,BD!$U$3:$U$5001,"&lt;&gt;")=0,"",SUMIFS(BD!$U$3:$U$5001,BD!$A$3:$A$5001,AF$3,BD!$B$3:$B$5001,$A$167)))</f>
        <v/>
      </c>
      <c r="AG174" s="205" t="str">
        <f>IF(AG$3="","",IF(COUNTIFS(BD!$A$3:$A$5001,AG$3,BD!$B$3:$B$5001,$A$167,BD!$U$3:$U$5001,"&lt;&gt;")=0,"",SUMIFS(BD!$U$3:$U$5001,BD!$A$3:$A$5001,AG$3,BD!$B$3:$B$5001,$A$167)))</f>
        <v/>
      </c>
      <c r="AH174" s="205" t="str">
        <f>IF(AH$3="","",IF(COUNTIFS(BD!$A$3:$A$5001,AH$3,BD!$B$3:$B$5001,$A$167,BD!$U$3:$U$5001,"&lt;&gt;")=0,"",SUMIFS(BD!$U$3:$U$5001,BD!$A$3:$A$5001,AH$3,BD!$B$3:$B$5001,$A$167)))</f>
        <v/>
      </c>
      <c r="AI174" s="205" t="str">
        <f>IF(AI$3="","",IF(COUNTIFS(BD!$A$3:$A$5001,AI$3,BD!$B$3:$B$5001,$A$167,BD!$U$3:$U$5001,"&lt;&gt;")=0,"",SUMIFS(BD!$U$3:$U$5001,BD!$A$3:$A$5001,AI$3,BD!$B$3:$B$5001,$A$167)))</f>
        <v/>
      </c>
      <c r="AJ174" s="206" t="str">
        <f>IF(AJ$3="","",IF(COUNTIFS(BD!$A$3:$A$5001,AJ$3,BD!$B$3:$B$5001,$A$167,BD!$U$3:$U$5001,"&lt;&gt;")=0,"",SUMIFS(BD!$U$3:$U$5001,BD!$A$3:$A$5001,AJ$3,BD!$B$3:$B$5001,$A$167)))</f>
        <v/>
      </c>
      <c r="AK174" s="207" t="str">
        <f>IF(COUNT(F174:AJ174)=0,"",SUM(F174:AJ174))</f>
        <v/>
      </c>
    </row>
    <row r="175" ht="15.75" customHeight="1">
      <c r="A175" s="261"/>
      <c r="B175" s="254"/>
      <c r="C175" s="201" t="inlineStr">
        <is>
          <t xml:space="preserve">Backlog Intralog</t>
        </is>
      </c>
      <c r="D175" s="202" t="str">
        <f>IFERROR(1/(1/INDEX(BD!$AL$42:$BF$42,MATCH($A$167,BD!$AL$22:$BF$22,0))),"")</f>
        <v/>
      </c>
      <c r="E175" s="203"/>
      <c r="F175" s="204" t="str">
        <f>IF(F$3="","",IF(COUNTIFS(BD!$A$3:$A$5001,F$3,BD!$B$3:$B$5001,$A$167,BD!$V$3:$V$5001,"&lt;&gt;")=0,"",SUMIFS(BD!$V$3:$V$5001,BD!$A$3:$A$5001,F$3,BD!$B$3:$B$5001,$A$167)))</f>
        <v/>
      </c>
      <c r="G175" s="205" t="str">
        <f>IF(G$3="","",IF(COUNTIFS(BD!$A$3:$A$5001,G$3,BD!$B$3:$B$5001,$A$167,BD!$V$3:$V$5001,"&lt;&gt;")=0,"",SUMIFS(BD!$V$3:$V$5001,BD!$A$3:$A$5001,G$3,BD!$B$3:$B$5001,$A$167)))</f>
        <v/>
      </c>
      <c r="H175" s="205" t="str">
        <f>IF(H$3="","",IF(COUNTIFS(BD!$A$3:$A$5001,H$3,BD!$B$3:$B$5001,$A$167,BD!$V$3:$V$5001,"&lt;&gt;")=0,"",SUMIFS(BD!$V$3:$V$5001,BD!$A$3:$A$5001,H$3,BD!$B$3:$B$5001,$A$167)))</f>
        <v/>
      </c>
      <c r="I175" s="205" t="str">
        <f>IF(I$3="","",IF(COUNTIFS(BD!$A$3:$A$5001,I$3,BD!$B$3:$B$5001,$A$167,BD!$V$3:$V$5001,"&lt;&gt;")=0,"",SUMIFS(BD!$V$3:$V$5001,BD!$A$3:$A$5001,I$3,BD!$B$3:$B$5001,$A$167)))</f>
        <v/>
      </c>
      <c r="J175" s="205" t="str">
        <f>IF(J$3="","",IF(COUNTIFS(BD!$A$3:$A$5001,J$3,BD!$B$3:$B$5001,$A$167,BD!$V$3:$V$5001,"&lt;&gt;")=0,"",SUMIFS(BD!$V$3:$V$5001,BD!$A$3:$A$5001,J$3,BD!$B$3:$B$5001,$A$167)))</f>
        <v/>
      </c>
      <c r="K175" s="205" t="str">
        <f>IF(K$3="","",IF(COUNTIFS(BD!$A$3:$A$5001,K$3,BD!$B$3:$B$5001,$A$167,BD!$V$3:$V$5001,"&lt;&gt;")=0,"",SUMIFS(BD!$V$3:$V$5001,BD!$A$3:$A$5001,K$3,BD!$B$3:$B$5001,$A$167)))</f>
        <v/>
      </c>
      <c r="L175" s="205" t="str">
        <f>IF(L$3="","",IF(COUNTIFS(BD!$A$3:$A$5001,L$3,BD!$B$3:$B$5001,$A$167,BD!$V$3:$V$5001,"&lt;&gt;")=0,"",SUMIFS(BD!$V$3:$V$5001,BD!$A$3:$A$5001,L$3,BD!$B$3:$B$5001,$A$167)))</f>
        <v/>
      </c>
      <c r="M175" s="205" t="str">
        <f>IF(M$3="","",IF(COUNTIFS(BD!$A$3:$A$5001,M$3,BD!$B$3:$B$5001,$A$167,BD!$V$3:$V$5001,"&lt;&gt;")=0,"",SUMIFS(BD!$V$3:$V$5001,BD!$A$3:$A$5001,M$3,BD!$B$3:$B$5001,$A$167)))</f>
        <v/>
      </c>
      <c r="N175" s="205" t="str">
        <f>IF(N$3="","",IF(COUNTIFS(BD!$A$3:$A$5001,N$3,BD!$B$3:$B$5001,$A$167,BD!$V$3:$V$5001,"&lt;&gt;")=0,"",SUMIFS(BD!$V$3:$V$5001,BD!$A$3:$A$5001,N$3,BD!$B$3:$B$5001,$A$167)))</f>
        <v/>
      </c>
      <c r="O175" s="205" t="str">
        <f>IF(O$3="","",IF(COUNTIFS(BD!$A$3:$A$5001,O$3,BD!$B$3:$B$5001,$A$167,BD!$V$3:$V$5001,"&lt;&gt;")=0,"",SUMIFS(BD!$V$3:$V$5001,BD!$A$3:$A$5001,O$3,BD!$B$3:$B$5001,$A$167)))</f>
        <v/>
      </c>
      <c r="P175" s="205" t="str">
        <f>IF(P$3="","",IF(COUNTIFS(BD!$A$3:$A$5001,P$3,BD!$B$3:$B$5001,$A$167,BD!$V$3:$V$5001,"&lt;&gt;")=0,"",SUMIFS(BD!$V$3:$V$5001,BD!$A$3:$A$5001,P$3,BD!$B$3:$B$5001,$A$167)))</f>
        <v/>
      </c>
      <c r="Q175" s="205" t="str">
        <f>IF(Q$3="","",IF(COUNTIFS(BD!$A$3:$A$5001,Q$3,BD!$B$3:$B$5001,$A$167,BD!$V$3:$V$5001,"&lt;&gt;")=0,"",SUMIFS(BD!$V$3:$V$5001,BD!$A$3:$A$5001,Q$3,BD!$B$3:$B$5001,$A$167)))</f>
        <v/>
      </c>
      <c r="R175" s="205" t="str">
        <f>IF(R$3="","",IF(COUNTIFS(BD!$A$3:$A$5001,R$3,BD!$B$3:$B$5001,$A$167,BD!$V$3:$V$5001,"&lt;&gt;")=0,"",SUMIFS(BD!$V$3:$V$5001,BD!$A$3:$A$5001,R$3,BD!$B$3:$B$5001,$A$167)))</f>
        <v/>
      </c>
      <c r="S175" s="205" t="str">
        <f>IF(S$3="","",IF(COUNTIFS(BD!$A$3:$A$5001,S$3,BD!$B$3:$B$5001,$A$167,BD!$V$3:$V$5001,"&lt;&gt;")=0,"",SUMIFS(BD!$V$3:$V$5001,BD!$A$3:$A$5001,S$3,BD!$B$3:$B$5001,$A$167)))</f>
        <v/>
      </c>
      <c r="T175" s="205" t="str">
        <f>IF(T$3="","",IF(COUNTIFS(BD!$A$3:$A$5001,T$3,BD!$B$3:$B$5001,$A$167,BD!$V$3:$V$5001,"&lt;&gt;")=0,"",SUMIFS(BD!$V$3:$V$5001,BD!$A$3:$A$5001,T$3,BD!$B$3:$B$5001,$A$167)))</f>
        <v/>
      </c>
      <c r="U175" s="205" t="str">
        <f>IF(U$3="","",IF(COUNTIFS(BD!$A$3:$A$5001,U$3,BD!$B$3:$B$5001,$A$167,BD!$V$3:$V$5001,"&lt;&gt;")=0,"",SUMIFS(BD!$V$3:$V$5001,BD!$A$3:$A$5001,U$3,BD!$B$3:$B$5001,$A$167)))</f>
        <v/>
      </c>
      <c r="V175" s="205" t="str">
        <f>IF(V$3="","",IF(COUNTIFS(BD!$A$3:$A$5001,V$3,BD!$B$3:$B$5001,$A$167,BD!$V$3:$V$5001,"&lt;&gt;")=0,"",SUMIFS(BD!$V$3:$V$5001,BD!$A$3:$A$5001,V$3,BD!$B$3:$B$5001,$A$167)))</f>
        <v/>
      </c>
      <c r="W175" s="205" t="str">
        <f>IF(W$3="","",IF(COUNTIFS(BD!$A$3:$A$5001,W$3,BD!$B$3:$B$5001,$A$167,BD!$V$3:$V$5001,"&lt;&gt;")=0,"",SUMIFS(BD!$V$3:$V$5001,BD!$A$3:$A$5001,W$3,BD!$B$3:$B$5001,$A$167)))</f>
        <v/>
      </c>
      <c r="X175" s="205" t="str">
        <f>IF(X$3="","",IF(COUNTIFS(BD!$A$3:$A$5001,X$3,BD!$B$3:$B$5001,$A$167,BD!$V$3:$V$5001,"&lt;&gt;")=0,"",SUMIFS(BD!$V$3:$V$5001,BD!$A$3:$A$5001,X$3,BD!$B$3:$B$5001,$A$167)))</f>
        <v/>
      </c>
      <c r="Y175" s="205" t="str">
        <f>IF(Y$3="","",IF(COUNTIFS(BD!$A$3:$A$5001,Y$3,BD!$B$3:$B$5001,$A$167,BD!$V$3:$V$5001,"&lt;&gt;")=0,"",SUMIFS(BD!$V$3:$V$5001,BD!$A$3:$A$5001,Y$3,BD!$B$3:$B$5001,$A$167)))</f>
        <v/>
      </c>
      <c r="Z175" s="205" t="str">
        <f>IF(Z$3="","",IF(COUNTIFS(BD!$A$3:$A$5001,Z$3,BD!$B$3:$B$5001,$A$167,BD!$V$3:$V$5001,"&lt;&gt;")=0,"",SUMIFS(BD!$V$3:$V$5001,BD!$A$3:$A$5001,Z$3,BD!$B$3:$B$5001,$A$167)))</f>
        <v/>
      </c>
      <c r="AA175" s="205" t="str">
        <f>IF(AA$3="","",IF(COUNTIFS(BD!$A$3:$A$5001,AA$3,BD!$B$3:$B$5001,$A$167,BD!$V$3:$V$5001,"&lt;&gt;")=0,"",SUMIFS(BD!$V$3:$V$5001,BD!$A$3:$A$5001,AA$3,BD!$B$3:$B$5001,$A$167)))</f>
        <v/>
      </c>
      <c r="AB175" s="205" t="str">
        <f>IF(AB$3="","",IF(COUNTIFS(BD!$A$3:$A$5001,AB$3,BD!$B$3:$B$5001,$A$167,BD!$V$3:$V$5001,"&lt;&gt;")=0,"",SUMIFS(BD!$V$3:$V$5001,BD!$A$3:$A$5001,AB$3,BD!$B$3:$B$5001,$A$167)))</f>
        <v/>
      </c>
      <c r="AC175" s="205" t="str">
        <f>IF(AC$3="","",IF(COUNTIFS(BD!$A$3:$A$5001,AC$3,BD!$B$3:$B$5001,$A$167,BD!$V$3:$V$5001,"&lt;&gt;")=0,"",SUMIFS(BD!$V$3:$V$5001,BD!$A$3:$A$5001,AC$3,BD!$B$3:$B$5001,$A$167)))</f>
        <v/>
      </c>
      <c r="AD175" s="205" t="str">
        <f>IF(AD$3="","",IF(COUNTIFS(BD!$A$3:$A$5001,AD$3,BD!$B$3:$B$5001,$A$167,BD!$V$3:$V$5001,"&lt;&gt;")=0,"",SUMIFS(BD!$V$3:$V$5001,BD!$A$3:$A$5001,AD$3,BD!$B$3:$B$5001,$A$167)))</f>
        <v/>
      </c>
      <c r="AE175" s="205" t="str">
        <f>IF(AE$3="","",IF(COUNTIFS(BD!$A$3:$A$5001,AE$3,BD!$B$3:$B$5001,$A$167,BD!$V$3:$V$5001,"&lt;&gt;")=0,"",SUMIFS(BD!$V$3:$V$5001,BD!$A$3:$A$5001,AE$3,BD!$B$3:$B$5001,$A$167)))</f>
        <v/>
      </c>
      <c r="AF175" s="205" t="str">
        <f>IF(AF$3="","",IF(COUNTIFS(BD!$A$3:$A$5001,AF$3,BD!$B$3:$B$5001,$A$167,BD!$V$3:$V$5001,"&lt;&gt;")=0,"",SUMIFS(BD!$V$3:$V$5001,BD!$A$3:$A$5001,AF$3,BD!$B$3:$B$5001,$A$167)))</f>
        <v/>
      </c>
      <c r="AG175" s="205" t="str">
        <f>IF(AG$3="","",IF(COUNTIFS(BD!$A$3:$A$5001,AG$3,BD!$B$3:$B$5001,$A$167,BD!$V$3:$V$5001,"&lt;&gt;")=0,"",SUMIFS(BD!$V$3:$V$5001,BD!$A$3:$A$5001,AG$3,BD!$B$3:$B$5001,$A$167)))</f>
        <v/>
      </c>
      <c r="AH175" s="205" t="str">
        <f>IF(AH$3="","",IF(COUNTIFS(BD!$A$3:$A$5001,AH$3,BD!$B$3:$B$5001,$A$167,BD!$V$3:$V$5001,"&lt;&gt;")=0,"",SUMIFS(BD!$V$3:$V$5001,BD!$A$3:$A$5001,AH$3,BD!$B$3:$B$5001,$A$167)))</f>
        <v/>
      </c>
      <c r="AI175" s="205" t="str">
        <f>IF(AI$3="","",IF(COUNTIFS(BD!$A$3:$A$5001,AI$3,BD!$B$3:$B$5001,$A$167,BD!$V$3:$V$5001,"&lt;&gt;")=0,"",SUMIFS(BD!$V$3:$V$5001,BD!$A$3:$A$5001,AI$3,BD!$B$3:$B$5001,$A$167)))</f>
        <v/>
      </c>
      <c r="AJ175" s="206" t="str">
        <f>IF(AJ$3="","",IF(COUNTIFS(BD!$A$3:$A$5001,AJ$3,BD!$B$3:$B$5001,$A$167,BD!$V$3:$V$5001,"&lt;&gt;")=0,"",SUMIFS(BD!$V$3:$V$5001,BD!$A$3:$A$5001,AJ$3,BD!$B$3:$B$5001,$A$167)))</f>
        <v/>
      </c>
      <c r="AK175" s="207" t="str">
        <f>IFERROR(LOOKUP(9.99E+307,F175:AJ175),"")</f>
        <v/>
      </c>
    </row>
    <row r="176" ht="15.75" customHeight="1">
      <c r="A176" s="261"/>
      <c r="B176" s="255"/>
      <c r="C176" s="208" t="inlineStr">
        <is>
          <t xml:space="preserve">Backlog Cliente</t>
        </is>
      </c>
      <c r="D176" s="209" t="str">
        <f>IFERROR(1/(1/INDEX(BD!$AL$43:$BF$43,MATCH($A$167,BD!$AL$22:$BF$22,0))),"")</f>
        <v/>
      </c>
      <c r="E176" s="210"/>
      <c r="F176" s="211" t="str">
        <f>IF(F$3="","",IF(COUNTIFS(BD!$A$3:$A$5001,F$3,BD!$B$3:$B$5001,$A$167,BD!$W$3:$W$5001,"&lt;&gt;")=0,"",SUMIFS(BD!$W$3:$W$5001,BD!$A$3:$A$5001,F$3,BD!$B$3:$B$5001,$A$167)))</f>
        <v/>
      </c>
      <c r="G176" s="212" t="str">
        <f>IF(G$3="","",IF(COUNTIFS(BD!$A$3:$A$5001,G$3,BD!$B$3:$B$5001,$A$167,BD!$W$3:$W$5001,"&lt;&gt;")=0,"",SUMIFS(BD!$W$3:$W$5001,BD!$A$3:$A$5001,G$3,BD!$B$3:$B$5001,$A$167)))</f>
        <v/>
      </c>
      <c r="H176" s="212" t="str">
        <f>IF(H$3="","",IF(COUNTIFS(BD!$A$3:$A$5001,H$3,BD!$B$3:$B$5001,$A$167,BD!$W$3:$W$5001,"&lt;&gt;")=0,"",SUMIFS(BD!$W$3:$W$5001,BD!$A$3:$A$5001,H$3,BD!$B$3:$B$5001,$A$167)))</f>
        <v/>
      </c>
      <c r="I176" s="212" t="str">
        <f>IF(I$3="","",IF(COUNTIFS(BD!$A$3:$A$5001,I$3,BD!$B$3:$B$5001,$A$167,BD!$W$3:$W$5001,"&lt;&gt;")=0,"",SUMIFS(BD!$W$3:$W$5001,BD!$A$3:$A$5001,I$3,BD!$B$3:$B$5001,$A$167)))</f>
        <v/>
      </c>
      <c r="J176" s="212" t="str">
        <f>IF(J$3="","",IF(COUNTIFS(BD!$A$3:$A$5001,J$3,BD!$B$3:$B$5001,$A$167,BD!$W$3:$W$5001,"&lt;&gt;")=0,"",SUMIFS(BD!$W$3:$W$5001,BD!$A$3:$A$5001,J$3,BD!$B$3:$B$5001,$A$167)))</f>
        <v/>
      </c>
      <c r="K176" s="212" t="str">
        <f>IF(K$3="","",IF(COUNTIFS(BD!$A$3:$A$5001,K$3,BD!$B$3:$B$5001,$A$167,BD!$W$3:$W$5001,"&lt;&gt;")=0,"",SUMIFS(BD!$W$3:$W$5001,BD!$A$3:$A$5001,K$3,BD!$B$3:$B$5001,$A$167)))</f>
        <v/>
      </c>
      <c r="L176" s="212" t="str">
        <f>IF(L$3="","",IF(COUNTIFS(BD!$A$3:$A$5001,L$3,BD!$B$3:$B$5001,$A$167,BD!$W$3:$W$5001,"&lt;&gt;")=0,"",SUMIFS(BD!$W$3:$W$5001,BD!$A$3:$A$5001,L$3,BD!$B$3:$B$5001,$A$167)))</f>
        <v/>
      </c>
      <c r="M176" s="212" t="str">
        <f>IF(M$3="","",IF(COUNTIFS(BD!$A$3:$A$5001,M$3,BD!$B$3:$B$5001,$A$167,BD!$W$3:$W$5001,"&lt;&gt;")=0,"",SUMIFS(BD!$W$3:$W$5001,BD!$A$3:$A$5001,M$3,BD!$B$3:$B$5001,$A$167)))</f>
        <v/>
      </c>
      <c r="N176" s="212" t="str">
        <f>IF(N$3="","",IF(COUNTIFS(BD!$A$3:$A$5001,N$3,BD!$B$3:$B$5001,$A$167,BD!$W$3:$W$5001,"&lt;&gt;")=0,"",SUMIFS(BD!$W$3:$W$5001,BD!$A$3:$A$5001,N$3,BD!$B$3:$B$5001,$A$167)))</f>
        <v/>
      </c>
      <c r="O176" s="212" t="str">
        <f>IF(O$3="","",IF(COUNTIFS(BD!$A$3:$A$5001,O$3,BD!$B$3:$B$5001,$A$167,BD!$W$3:$W$5001,"&lt;&gt;")=0,"",SUMIFS(BD!$W$3:$W$5001,BD!$A$3:$A$5001,O$3,BD!$B$3:$B$5001,$A$167)))</f>
        <v/>
      </c>
      <c r="P176" s="212" t="str">
        <f>IF(P$3="","",IF(COUNTIFS(BD!$A$3:$A$5001,P$3,BD!$B$3:$B$5001,$A$167,BD!$W$3:$W$5001,"&lt;&gt;")=0,"",SUMIFS(BD!$W$3:$W$5001,BD!$A$3:$A$5001,P$3,BD!$B$3:$B$5001,$A$167)))</f>
        <v/>
      </c>
      <c r="Q176" s="212" t="str">
        <f>IF(Q$3="","",IF(COUNTIFS(BD!$A$3:$A$5001,Q$3,BD!$B$3:$B$5001,$A$167,BD!$W$3:$W$5001,"&lt;&gt;")=0,"",SUMIFS(BD!$W$3:$W$5001,BD!$A$3:$A$5001,Q$3,BD!$B$3:$B$5001,$A$167)))</f>
        <v/>
      </c>
      <c r="R176" s="212" t="str">
        <f>IF(R$3="","",IF(COUNTIFS(BD!$A$3:$A$5001,R$3,BD!$B$3:$B$5001,$A$167,BD!$W$3:$W$5001,"&lt;&gt;")=0,"",SUMIFS(BD!$W$3:$W$5001,BD!$A$3:$A$5001,R$3,BD!$B$3:$B$5001,$A$167)))</f>
        <v/>
      </c>
      <c r="S176" s="212" t="str">
        <f>IF(S$3="","",IF(COUNTIFS(BD!$A$3:$A$5001,S$3,BD!$B$3:$B$5001,$A$167,BD!$W$3:$W$5001,"&lt;&gt;")=0,"",SUMIFS(BD!$W$3:$W$5001,BD!$A$3:$A$5001,S$3,BD!$B$3:$B$5001,$A$167)))</f>
        <v/>
      </c>
      <c r="T176" s="212" t="str">
        <f>IF(T$3="","",IF(COUNTIFS(BD!$A$3:$A$5001,T$3,BD!$B$3:$B$5001,$A$167,BD!$W$3:$W$5001,"&lt;&gt;")=0,"",SUMIFS(BD!$W$3:$W$5001,BD!$A$3:$A$5001,T$3,BD!$B$3:$B$5001,$A$167)))</f>
        <v/>
      </c>
      <c r="U176" s="212" t="str">
        <f>IF(U$3="","",IF(COUNTIFS(BD!$A$3:$A$5001,U$3,BD!$B$3:$B$5001,$A$167,BD!$W$3:$W$5001,"&lt;&gt;")=0,"",SUMIFS(BD!$W$3:$W$5001,BD!$A$3:$A$5001,U$3,BD!$B$3:$B$5001,$A$167)))</f>
        <v/>
      </c>
      <c r="V176" s="212" t="str">
        <f>IF(V$3="","",IF(COUNTIFS(BD!$A$3:$A$5001,V$3,BD!$B$3:$B$5001,$A$167,BD!$W$3:$W$5001,"&lt;&gt;")=0,"",SUMIFS(BD!$W$3:$W$5001,BD!$A$3:$A$5001,V$3,BD!$B$3:$B$5001,$A$167)))</f>
        <v/>
      </c>
      <c r="W176" s="212" t="str">
        <f>IF(W$3="","",IF(COUNTIFS(BD!$A$3:$A$5001,W$3,BD!$B$3:$B$5001,$A$167,BD!$W$3:$W$5001,"&lt;&gt;")=0,"",SUMIFS(BD!$W$3:$W$5001,BD!$A$3:$A$5001,W$3,BD!$B$3:$B$5001,$A$167)))</f>
        <v/>
      </c>
      <c r="X176" s="212" t="str">
        <f>IF(X$3="","",IF(COUNTIFS(BD!$A$3:$A$5001,X$3,BD!$B$3:$B$5001,$A$167,BD!$W$3:$W$5001,"&lt;&gt;")=0,"",SUMIFS(BD!$W$3:$W$5001,BD!$A$3:$A$5001,X$3,BD!$B$3:$B$5001,$A$167)))</f>
        <v/>
      </c>
      <c r="Y176" s="212" t="str">
        <f>IF(Y$3="","",IF(COUNTIFS(BD!$A$3:$A$5001,Y$3,BD!$B$3:$B$5001,$A$167,BD!$W$3:$W$5001,"&lt;&gt;")=0,"",SUMIFS(BD!$W$3:$W$5001,BD!$A$3:$A$5001,Y$3,BD!$B$3:$B$5001,$A$167)))</f>
        <v/>
      </c>
      <c r="Z176" s="212" t="str">
        <f>IF(Z$3="","",IF(COUNTIFS(BD!$A$3:$A$5001,Z$3,BD!$B$3:$B$5001,$A$167,BD!$W$3:$W$5001,"&lt;&gt;")=0,"",SUMIFS(BD!$W$3:$W$5001,BD!$A$3:$A$5001,Z$3,BD!$B$3:$B$5001,$A$167)))</f>
        <v/>
      </c>
      <c r="AA176" s="212" t="str">
        <f>IF(AA$3="","",IF(COUNTIFS(BD!$A$3:$A$5001,AA$3,BD!$B$3:$B$5001,$A$167,BD!$W$3:$W$5001,"&lt;&gt;")=0,"",SUMIFS(BD!$W$3:$W$5001,BD!$A$3:$A$5001,AA$3,BD!$B$3:$B$5001,$A$167)))</f>
        <v/>
      </c>
      <c r="AB176" s="212" t="str">
        <f>IF(AB$3="","",IF(COUNTIFS(BD!$A$3:$A$5001,AB$3,BD!$B$3:$B$5001,$A$167,BD!$W$3:$W$5001,"&lt;&gt;")=0,"",SUMIFS(BD!$W$3:$W$5001,BD!$A$3:$A$5001,AB$3,BD!$B$3:$B$5001,$A$167)))</f>
        <v/>
      </c>
      <c r="AC176" s="212" t="str">
        <f>IF(AC$3="","",IF(COUNTIFS(BD!$A$3:$A$5001,AC$3,BD!$B$3:$B$5001,$A$167,BD!$W$3:$W$5001,"&lt;&gt;")=0,"",SUMIFS(BD!$W$3:$W$5001,BD!$A$3:$A$5001,AC$3,BD!$B$3:$B$5001,$A$167)))</f>
        <v/>
      </c>
      <c r="AD176" s="212" t="str">
        <f>IF(AD$3="","",IF(COUNTIFS(BD!$A$3:$A$5001,AD$3,BD!$B$3:$B$5001,$A$167,BD!$W$3:$W$5001,"&lt;&gt;")=0,"",SUMIFS(BD!$W$3:$W$5001,BD!$A$3:$A$5001,AD$3,BD!$B$3:$B$5001,$A$167)))</f>
        <v/>
      </c>
      <c r="AE176" s="212" t="str">
        <f>IF(AE$3="","",IF(COUNTIFS(BD!$A$3:$A$5001,AE$3,BD!$B$3:$B$5001,$A$167,BD!$W$3:$W$5001,"&lt;&gt;")=0,"",SUMIFS(BD!$W$3:$W$5001,BD!$A$3:$A$5001,AE$3,BD!$B$3:$B$5001,$A$167)))</f>
        <v/>
      </c>
      <c r="AF176" s="212" t="str">
        <f>IF(AF$3="","",IF(COUNTIFS(BD!$A$3:$A$5001,AF$3,BD!$B$3:$B$5001,$A$167,BD!$W$3:$W$5001,"&lt;&gt;")=0,"",SUMIFS(BD!$W$3:$W$5001,BD!$A$3:$A$5001,AF$3,BD!$B$3:$B$5001,$A$167)))</f>
        <v/>
      </c>
      <c r="AG176" s="212" t="str">
        <f>IF(AG$3="","",IF(COUNTIFS(BD!$A$3:$A$5001,AG$3,BD!$B$3:$B$5001,$A$167,BD!$W$3:$W$5001,"&lt;&gt;")=0,"",SUMIFS(BD!$W$3:$W$5001,BD!$A$3:$A$5001,AG$3,BD!$B$3:$B$5001,$A$167)))</f>
        <v/>
      </c>
      <c r="AH176" s="212" t="str">
        <f>IF(AH$3="","",IF(COUNTIFS(BD!$A$3:$A$5001,AH$3,BD!$B$3:$B$5001,$A$167,BD!$W$3:$W$5001,"&lt;&gt;")=0,"",SUMIFS(BD!$W$3:$W$5001,BD!$A$3:$A$5001,AH$3,BD!$B$3:$B$5001,$A$167)))</f>
        <v/>
      </c>
      <c r="AI176" s="212" t="str">
        <f>IF(AI$3="","",IF(COUNTIFS(BD!$A$3:$A$5001,AI$3,BD!$B$3:$B$5001,$A$167,BD!$W$3:$W$5001,"&lt;&gt;")=0,"",SUMIFS(BD!$W$3:$W$5001,BD!$A$3:$A$5001,AI$3,BD!$B$3:$B$5001,$A$167)))</f>
        <v/>
      </c>
      <c r="AJ176" s="213" t="str">
        <f>IF(AJ$3="","",IF(COUNTIFS(BD!$A$3:$A$5001,AJ$3,BD!$B$3:$B$5001,$A$167,BD!$W$3:$W$5001,"&lt;&gt;")=0,"",SUMIFS(BD!$W$3:$W$5001,BD!$A$3:$A$5001,AJ$3,BD!$B$3:$B$5001,$A$167)))</f>
        <v/>
      </c>
      <c r="AK176" s="209" t="str">
        <f>IFERROR(LOOKUP(9.99E+307,F176:AJ176),"")</f>
        <v/>
      </c>
    </row>
    <row r="177" ht="15.75" customHeight="1">
      <c r="A177" s="261"/>
      <c r="B177" s="249" t="inlineStr">
        <is>
          <t xml:space="preserve">OCUPAÇÃO (P.P)</t>
        </is>
      </c>
      <c r="C177" s="168" t="inlineStr">
        <is>
          <t xml:space="preserve">Posições Disponíveis</t>
        </is>
      </c>
      <c r="D177" s="169" t="str">
        <f>IFERROR(1/(1/INDEX(BD!$AL$44:$BF$44,MATCH($A$167,BD!$AL$22:$BF$22,0))),"")</f>
        <v/>
      </c>
      <c r="E177" s="170"/>
      <c r="F177" s="171" t="str">
        <f>IF(F$3="","",IF(COUNTIFS(BD!$A$3:$A$5001,F$3,BD!$B$3:$B$5001,$A$167,BD!$X$3:$X$5001,"&lt;&gt;")=0,"",SUMIFS(BD!$X$3:$X$5001,BD!$A$3:$A$5001,F$3,BD!$B$3:$B$5001,$A$167)))</f>
        <v/>
      </c>
      <c r="G177" s="172" t="str">
        <f>IF(G$3="","",IF(COUNTIFS(BD!$A$3:$A$5001,G$3,BD!$B$3:$B$5001,$A$167,BD!$X$3:$X$5001,"&lt;&gt;")=0,"",SUMIFS(BD!$X$3:$X$5001,BD!$A$3:$A$5001,G$3,BD!$B$3:$B$5001,$A$167)))</f>
        <v/>
      </c>
      <c r="H177" s="172" t="str">
        <f>IF(H$3="","",IF(COUNTIFS(BD!$A$3:$A$5001,H$3,BD!$B$3:$B$5001,$A$167,BD!$X$3:$X$5001,"&lt;&gt;")=0,"",SUMIFS(BD!$X$3:$X$5001,BD!$A$3:$A$5001,H$3,BD!$B$3:$B$5001,$A$167)))</f>
        <v/>
      </c>
      <c r="I177" s="172" t="str">
        <f>IF(I$3="","",IF(COUNTIFS(BD!$A$3:$A$5001,I$3,BD!$B$3:$B$5001,$A$167,BD!$X$3:$X$5001,"&lt;&gt;")=0,"",SUMIFS(BD!$X$3:$X$5001,BD!$A$3:$A$5001,I$3,BD!$B$3:$B$5001,$A$167)))</f>
        <v/>
      </c>
      <c r="J177" s="172" t="str">
        <f>IF(J$3="","",IF(COUNTIFS(BD!$A$3:$A$5001,J$3,BD!$B$3:$B$5001,$A$167,BD!$X$3:$X$5001,"&lt;&gt;")=0,"",SUMIFS(BD!$X$3:$X$5001,BD!$A$3:$A$5001,J$3,BD!$B$3:$B$5001,$A$167)))</f>
        <v/>
      </c>
      <c r="K177" s="172" t="str">
        <f>IF(K$3="","",IF(COUNTIFS(BD!$A$3:$A$5001,K$3,BD!$B$3:$B$5001,$A$167,BD!$X$3:$X$5001,"&lt;&gt;")=0,"",SUMIFS(BD!$X$3:$X$5001,BD!$A$3:$A$5001,K$3,BD!$B$3:$B$5001,$A$167)))</f>
        <v/>
      </c>
      <c r="L177" s="172" t="str">
        <f>IF(L$3="","",IF(COUNTIFS(BD!$A$3:$A$5001,L$3,BD!$B$3:$B$5001,$A$167,BD!$X$3:$X$5001,"&lt;&gt;")=0,"",SUMIFS(BD!$X$3:$X$5001,BD!$A$3:$A$5001,L$3,BD!$B$3:$B$5001,$A$167)))</f>
        <v/>
      </c>
      <c r="M177" s="172" t="str">
        <f>IF(M$3="","",IF(COUNTIFS(BD!$A$3:$A$5001,M$3,BD!$B$3:$B$5001,$A$167,BD!$X$3:$X$5001,"&lt;&gt;")=0,"",SUMIFS(BD!$X$3:$X$5001,BD!$A$3:$A$5001,M$3,BD!$B$3:$B$5001,$A$167)))</f>
        <v/>
      </c>
      <c r="N177" s="172" t="str">
        <f>IF(N$3="","",IF(COUNTIFS(BD!$A$3:$A$5001,N$3,BD!$B$3:$B$5001,$A$167,BD!$X$3:$X$5001,"&lt;&gt;")=0,"",SUMIFS(BD!$X$3:$X$5001,BD!$A$3:$A$5001,N$3,BD!$B$3:$B$5001,$A$167)))</f>
        <v/>
      </c>
      <c r="O177" s="172" t="str">
        <f>IF(O$3="","",IF(COUNTIFS(BD!$A$3:$A$5001,O$3,BD!$B$3:$B$5001,$A$167,BD!$X$3:$X$5001,"&lt;&gt;")=0,"",SUMIFS(BD!$X$3:$X$5001,BD!$A$3:$A$5001,O$3,BD!$B$3:$B$5001,$A$167)))</f>
        <v/>
      </c>
      <c r="P177" s="172" t="str">
        <f>IF(P$3="","",IF(COUNTIFS(BD!$A$3:$A$5001,P$3,BD!$B$3:$B$5001,$A$167,BD!$X$3:$X$5001,"&lt;&gt;")=0,"",SUMIFS(BD!$X$3:$X$5001,BD!$A$3:$A$5001,P$3,BD!$B$3:$B$5001,$A$167)))</f>
        <v/>
      </c>
      <c r="Q177" s="172" t="str">
        <f>IF(Q$3="","",IF(COUNTIFS(BD!$A$3:$A$5001,Q$3,BD!$B$3:$B$5001,$A$167,BD!$X$3:$X$5001,"&lt;&gt;")=0,"",SUMIFS(BD!$X$3:$X$5001,BD!$A$3:$A$5001,Q$3,BD!$B$3:$B$5001,$A$167)))</f>
        <v/>
      </c>
      <c r="R177" s="172" t="str">
        <f>IF(R$3="","",IF(COUNTIFS(BD!$A$3:$A$5001,R$3,BD!$B$3:$B$5001,$A$167,BD!$X$3:$X$5001,"&lt;&gt;")=0,"",SUMIFS(BD!$X$3:$X$5001,BD!$A$3:$A$5001,R$3,BD!$B$3:$B$5001,$A$167)))</f>
        <v/>
      </c>
      <c r="S177" s="172" t="str">
        <f>IF(S$3="","",IF(COUNTIFS(BD!$A$3:$A$5001,S$3,BD!$B$3:$B$5001,$A$167,BD!$X$3:$X$5001,"&lt;&gt;")=0,"",SUMIFS(BD!$X$3:$X$5001,BD!$A$3:$A$5001,S$3,BD!$B$3:$B$5001,$A$167)))</f>
        <v/>
      </c>
      <c r="T177" s="172" t="str">
        <f>IF(T$3="","",IF(COUNTIFS(BD!$A$3:$A$5001,T$3,BD!$B$3:$B$5001,$A$167,BD!$X$3:$X$5001,"&lt;&gt;")=0,"",SUMIFS(BD!$X$3:$X$5001,BD!$A$3:$A$5001,T$3,BD!$B$3:$B$5001,$A$167)))</f>
        <v/>
      </c>
      <c r="U177" s="172" t="str">
        <f>IF(U$3="","",IF(COUNTIFS(BD!$A$3:$A$5001,U$3,BD!$B$3:$B$5001,$A$167,BD!$X$3:$X$5001,"&lt;&gt;")=0,"",SUMIFS(BD!$X$3:$X$5001,BD!$A$3:$A$5001,U$3,BD!$B$3:$B$5001,$A$167)))</f>
        <v/>
      </c>
      <c r="V177" s="172" t="str">
        <f>IF(V$3="","",IF(COUNTIFS(BD!$A$3:$A$5001,V$3,BD!$B$3:$B$5001,$A$167,BD!$X$3:$X$5001,"&lt;&gt;")=0,"",SUMIFS(BD!$X$3:$X$5001,BD!$A$3:$A$5001,V$3,BD!$B$3:$B$5001,$A$167)))</f>
        <v/>
      </c>
      <c r="W177" s="172" t="str">
        <f>IF(W$3="","",IF(COUNTIFS(BD!$A$3:$A$5001,W$3,BD!$B$3:$B$5001,$A$167,BD!$X$3:$X$5001,"&lt;&gt;")=0,"",SUMIFS(BD!$X$3:$X$5001,BD!$A$3:$A$5001,W$3,BD!$B$3:$B$5001,$A$167)))</f>
        <v/>
      </c>
      <c r="X177" s="172" t="str">
        <f>IF(X$3="","",IF(COUNTIFS(BD!$A$3:$A$5001,X$3,BD!$B$3:$B$5001,$A$167,BD!$X$3:$X$5001,"&lt;&gt;")=0,"",SUMIFS(BD!$X$3:$X$5001,BD!$A$3:$A$5001,X$3,BD!$B$3:$B$5001,$A$167)))</f>
        <v/>
      </c>
      <c r="Y177" s="172" t="str">
        <f>IF(Y$3="","",IF(COUNTIFS(BD!$A$3:$A$5001,Y$3,BD!$B$3:$B$5001,$A$167,BD!$X$3:$X$5001,"&lt;&gt;")=0,"",SUMIFS(BD!$X$3:$X$5001,BD!$A$3:$A$5001,Y$3,BD!$B$3:$B$5001,$A$167)))</f>
        <v/>
      </c>
      <c r="Z177" s="172" t="str">
        <f>IF(Z$3="","",IF(COUNTIFS(BD!$A$3:$A$5001,Z$3,BD!$B$3:$B$5001,$A$167,BD!$X$3:$X$5001,"&lt;&gt;")=0,"",SUMIFS(BD!$X$3:$X$5001,BD!$A$3:$A$5001,Z$3,BD!$B$3:$B$5001,$A$167)))</f>
        <v/>
      </c>
      <c r="AA177" s="172" t="str">
        <f>IF(AA$3="","",IF(COUNTIFS(BD!$A$3:$A$5001,AA$3,BD!$B$3:$B$5001,$A$167,BD!$X$3:$X$5001,"&lt;&gt;")=0,"",SUMIFS(BD!$X$3:$X$5001,BD!$A$3:$A$5001,AA$3,BD!$B$3:$B$5001,$A$167)))</f>
        <v/>
      </c>
      <c r="AB177" s="172" t="str">
        <f>IF(AB$3="","",IF(COUNTIFS(BD!$A$3:$A$5001,AB$3,BD!$B$3:$B$5001,$A$167,BD!$X$3:$X$5001,"&lt;&gt;")=0,"",SUMIFS(BD!$X$3:$X$5001,BD!$A$3:$A$5001,AB$3,BD!$B$3:$B$5001,$A$167)))</f>
        <v/>
      </c>
      <c r="AC177" s="172" t="str">
        <f>IF(AC$3="","",IF(COUNTIFS(BD!$A$3:$A$5001,AC$3,BD!$B$3:$B$5001,$A$167,BD!$X$3:$X$5001,"&lt;&gt;")=0,"",SUMIFS(BD!$X$3:$X$5001,BD!$A$3:$A$5001,AC$3,BD!$B$3:$B$5001,$A$167)))</f>
        <v/>
      </c>
      <c r="AD177" s="172" t="str">
        <f>IF(AD$3="","",IF(COUNTIFS(BD!$A$3:$A$5001,AD$3,BD!$B$3:$B$5001,$A$167,BD!$X$3:$X$5001,"&lt;&gt;")=0,"",SUMIFS(BD!$X$3:$X$5001,BD!$A$3:$A$5001,AD$3,BD!$B$3:$B$5001,$A$167)))</f>
        <v/>
      </c>
      <c r="AE177" s="172" t="str">
        <f>IF(AE$3="","",IF(COUNTIFS(BD!$A$3:$A$5001,AE$3,BD!$B$3:$B$5001,$A$167,BD!$X$3:$X$5001,"&lt;&gt;")=0,"",SUMIFS(BD!$X$3:$X$5001,BD!$A$3:$A$5001,AE$3,BD!$B$3:$B$5001,$A$167)))</f>
        <v/>
      </c>
      <c r="AF177" s="172" t="str">
        <f>IF(AF$3="","",IF(COUNTIFS(BD!$A$3:$A$5001,AF$3,BD!$B$3:$B$5001,$A$167,BD!$X$3:$X$5001,"&lt;&gt;")=0,"",SUMIFS(BD!$X$3:$X$5001,BD!$A$3:$A$5001,AF$3,BD!$B$3:$B$5001,$A$167)))</f>
        <v/>
      </c>
      <c r="AG177" s="172" t="str">
        <f>IF(AG$3="","",IF(COUNTIFS(BD!$A$3:$A$5001,AG$3,BD!$B$3:$B$5001,$A$167,BD!$X$3:$X$5001,"&lt;&gt;")=0,"",SUMIFS(BD!$X$3:$X$5001,BD!$A$3:$A$5001,AG$3,BD!$B$3:$B$5001,$A$167)))</f>
        <v/>
      </c>
      <c r="AH177" s="172" t="str">
        <f>IF(AH$3="","",IF(COUNTIFS(BD!$A$3:$A$5001,AH$3,BD!$B$3:$B$5001,$A$167,BD!$X$3:$X$5001,"&lt;&gt;")=0,"",SUMIFS(BD!$X$3:$X$5001,BD!$A$3:$A$5001,AH$3,BD!$B$3:$B$5001,$A$167)))</f>
        <v/>
      </c>
      <c r="AI177" s="172" t="str">
        <f>IF(AI$3="","",IF(COUNTIFS(BD!$A$3:$A$5001,AI$3,BD!$B$3:$B$5001,$A$167,BD!$X$3:$X$5001,"&lt;&gt;")=0,"",SUMIFS(BD!$X$3:$X$5001,BD!$A$3:$A$5001,AI$3,BD!$B$3:$B$5001,$A$167)))</f>
        <v/>
      </c>
      <c r="AJ177" s="173" t="str">
        <f>IF(AJ$3="","",IF(COUNTIFS(BD!$A$3:$A$5001,AJ$3,BD!$B$3:$B$5001,$A$167,BD!$X$3:$X$5001,"&lt;&gt;")=0,"",SUMIFS(BD!$X$3:$X$5001,BD!$A$3:$A$5001,AJ$3,BD!$B$3:$B$5001,$A$167)))</f>
        <v/>
      </c>
      <c r="AK177" s="174" t="str">
        <f>IF(COUNT(F177:AJ177)&gt;0,LOOKUP(9.99E+307,F177:AJ177),IFERROR(IF(INDEX(BD!$AI$3:$AI$5001,MATCH($A$167,BD!$B$3:$B$5001,0))&amp;""="Contrato","",INDEX(BD!$AI$3:$AI$5001,MATCH($A$167,BD!$B$3:$B$5001,0))&amp;""),""))</f>
        <v/>
      </c>
    </row>
    <row r="178" ht="15.75" customHeight="1">
      <c r="A178" s="261"/>
      <c r="B178" s="256"/>
      <c r="C178" s="214" t="inlineStr">
        <is>
          <t xml:space="preserve">Posições Ocupadas</t>
        </is>
      </c>
      <c r="D178" s="215" t="str">
        <f>IFERROR(1/(1/INDEX(BD!$AL$45:$BF$45,MATCH($A$167,BD!$AL$22:$BF$22,0))),"")</f>
        <v/>
      </c>
      <c r="E178" s="216"/>
      <c r="F178" s="217" t="str">
        <f>IF(F$3="","",IF(COUNTIFS(BD!$A$3:$A$5001,F$3,BD!$B$3:$B$5001,$A$167,BD!$Y$3:$Y$5001,"&lt;&gt;")=0,"",SUMIFS(BD!$Y$3:$Y$5001,BD!$A$3:$A$5001,F$3,BD!$B$3:$B$5001,$A$167)))</f>
        <v/>
      </c>
      <c r="G178" s="218" t="str">
        <f>IF(G$3="","",IF(COUNTIFS(BD!$A$3:$A$5001,G$3,BD!$B$3:$B$5001,$A$167,BD!$Y$3:$Y$5001,"&lt;&gt;")=0,"",SUMIFS(BD!$Y$3:$Y$5001,BD!$A$3:$A$5001,G$3,BD!$B$3:$B$5001,$A$167)))</f>
        <v/>
      </c>
      <c r="H178" s="218" t="str">
        <f>IF(H$3="","",IF(COUNTIFS(BD!$A$3:$A$5001,H$3,BD!$B$3:$B$5001,$A$167,BD!$Y$3:$Y$5001,"&lt;&gt;")=0,"",SUMIFS(BD!$Y$3:$Y$5001,BD!$A$3:$A$5001,H$3,BD!$B$3:$B$5001,$A$167)))</f>
        <v/>
      </c>
      <c r="I178" s="218" t="str">
        <f>IF(I$3="","",IF(COUNTIFS(BD!$A$3:$A$5001,I$3,BD!$B$3:$B$5001,$A$167,BD!$Y$3:$Y$5001,"&lt;&gt;")=0,"",SUMIFS(BD!$Y$3:$Y$5001,BD!$A$3:$A$5001,I$3,BD!$B$3:$B$5001,$A$167)))</f>
        <v/>
      </c>
      <c r="J178" s="218" t="str">
        <f>IF(J$3="","",IF(COUNTIFS(BD!$A$3:$A$5001,J$3,BD!$B$3:$B$5001,$A$167,BD!$Y$3:$Y$5001,"&lt;&gt;")=0,"",SUMIFS(BD!$Y$3:$Y$5001,BD!$A$3:$A$5001,J$3,BD!$B$3:$B$5001,$A$167)))</f>
        <v/>
      </c>
      <c r="K178" s="218" t="str">
        <f>IF(K$3="","",IF(COUNTIFS(BD!$A$3:$A$5001,K$3,BD!$B$3:$B$5001,$A$167,BD!$Y$3:$Y$5001,"&lt;&gt;")=0,"",SUMIFS(BD!$Y$3:$Y$5001,BD!$A$3:$A$5001,K$3,BD!$B$3:$B$5001,$A$167)))</f>
        <v/>
      </c>
      <c r="L178" s="218" t="str">
        <f>IF(L$3="","",IF(COUNTIFS(BD!$A$3:$A$5001,L$3,BD!$B$3:$B$5001,$A$167,BD!$Y$3:$Y$5001,"&lt;&gt;")=0,"",SUMIFS(BD!$Y$3:$Y$5001,BD!$A$3:$A$5001,L$3,BD!$B$3:$B$5001,$A$167)))</f>
        <v/>
      </c>
      <c r="M178" s="218" t="str">
        <f>IF(M$3="","",IF(COUNTIFS(BD!$A$3:$A$5001,M$3,BD!$B$3:$B$5001,$A$167,BD!$Y$3:$Y$5001,"&lt;&gt;")=0,"",SUMIFS(BD!$Y$3:$Y$5001,BD!$A$3:$A$5001,M$3,BD!$B$3:$B$5001,$A$167)))</f>
        <v/>
      </c>
      <c r="N178" s="218" t="str">
        <f>IF(N$3="","",IF(COUNTIFS(BD!$A$3:$A$5001,N$3,BD!$B$3:$B$5001,$A$167,BD!$Y$3:$Y$5001,"&lt;&gt;")=0,"",SUMIFS(BD!$Y$3:$Y$5001,BD!$A$3:$A$5001,N$3,BD!$B$3:$B$5001,$A$167)))</f>
        <v/>
      </c>
      <c r="O178" s="218" t="str">
        <f>IF(O$3="","",IF(COUNTIFS(BD!$A$3:$A$5001,O$3,BD!$B$3:$B$5001,$A$167,BD!$Y$3:$Y$5001,"&lt;&gt;")=0,"",SUMIFS(BD!$Y$3:$Y$5001,BD!$A$3:$A$5001,O$3,BD!$B$3:$B$5001,$A$167)))</f>
        <v/>
      </c>
      <c r="P178" s="218" t="str">
        <f>IF(P$3="","",IF(COUNTIFS(BD!$A$3:$A$5001,P$3,BD!$B$3:$B$5001,$A$167,BD!$Y$3:$Y$5001,"&lt;&gt;")=0,"",SUMIFS(BD!$Y$3:$Y$5001,BD!$A$3:$A$5001,P$3,BD!$B$3:$B$5001,$A$167)))</f>
        <v/>
      </c>
      <c r="Q178" s="218" t="str">
        <f>IF(Q$3="","",IF(COUNTIFS(BD!$A$3:$A$5001,Q$3,BD!$B$3:$B$5001,$A$167,BD!$Y$3:$Y$5001,"&lt;&gt;")=0,"",SUMIFS(BD!$Y$3:$Y$5001,BD!$A$3:$A$5001,Q$3,BD!$B$3:$B$5001,$A$167)))</f>
        <v/>
      </c>
      <c r="R178" s="218" t="str">
        <f>IF(R$3="","",IF(COUNTIFS(BD!$A$3:$A$5001,R$3,BD!$B$3:$B$5001,$A$167,BD!$Y$3:$Y$5001,"&lt;&gt;")=0,"",SUMIFS(BD!$Y$3:$Y$5001,BD!$A$3:$A$5001,R$3,BD!$B$3:$B$5001,$A$167)))</f>
        <v/>
      </c>
      <c r="S178" s="218" t="str">
        <f>IF(S$3="","",IF(COUNTIFS(BD!$A$3:$A$5001,S$3,BD!$B$3:$B$5001,$A$167,BD!$Y$3:$Y$5001,"&lt;&gt;")=0,"",SUMIFS(BD!$Y$3:$Y$5001,BD!$A$3:$A$5001,S$3,BD!$B$3:$B$5001,$A$167)))</f>
        <v/>
      </c>
      <c r="T178" s="218" t="str">
        <f>IF(T$3="","",IF(COUNTIFS(BD!$A$3:$A$5001,T$3,BD!$B$3:$B$5001,$A$167,BD!$Y$3:$Y$5001,"&lt;&gt;")=0,"",SUMIFS(BD!$Y$3:$Y$5001,BD!$A$3:$A$5001,T$3,BD!$B$3:$B$5001,$A$167)))</f>
        <v/>
      </c>
      <c r="U178" s="218" t="str">
        <f>IF(U$3="","",IF(COUNTIFS(BD!$A$3:$A$5001,U$3,BD!$B$3:$B$5001,$A$167,BD!$Y$3:$Y$5001,"&lt;&gt;")=0,"",SUMIFS(BD!$Y$3:$Y$5001,BD!$A$3:$A$5001,U$3,BD!$B$3:$B$5001,$A$167)))</f>
        <v/>
      </c>
      <c r="V178" s="218" t="str">
        <f>IF(V$3="","",IF(COUNTIFS(BD!$A$3:$A$5001,V$3,BD!$B$3:$B$5001,$A$167,BD!$Y$3:$Y$5001,"&lt;&gt;")=0,"",SUMIFS(BD!$Y$3:$Y$5001,BD!$A$3:$A$5001,V$3,BD!$B$3:$B$5001,$A$167)))</f>
        <v/>
      </c>
      <c r="W178" s="218" t="str">
        <f>IF(W$3="","",IF(COUNTIFS(BD!$A$3:$A$5001,W$3,BD!$B$3:$B$5001,$A$167,BD!$Y$3:$Y$5001,"&lt;&gt;")=0,"",SUMIFS(BD!$Y$3:$Y$5001,BD!$A$3:$A$5001,W$3,BD!$B$3:$B$5001,$A$167)))</f>
        <v/>
      </c>
      <c r="X178" s="218" t="str">
        <f>IF(X$3="","",IF(COUNTIFS(BD!$A$3:$A$5001,X$3,BD!$B$3:$B$5001,$A$167,BD!$Y$3:$Y$5001,"&lt;&gt;")=0,"",SUMIFS(BD!$Y$3:$Y$5001,BD!$A$3:$A$5001,X$3,BD!$B$3:$B$5001,$A$167)))</f>
        <v/>
      </c>
      <c r="Y178" s="218" t="str">
        <f>IF(Y$3="","",IF(COUNTIFS(BD!$A$3:$A$5001,Y$3,BD!$B$3:$B$5001,$A$167,BD!$Y$3:$Y$5001,"&lt;&gt;")=0,"",SUMIFS(BD!$Y$3:$Y$5001,BD!$A$3:$A$5001,Y$3,BD!$B$3:$B$5001,$A$167)))</f>
        <v/>
      </c>
      <c r="Z178" s="218" t="str">
        <f>IF(Z$3="","",IF(COUNTIFS(BD!$A$3:$A$5001,Z$3,BD!$B$3:$B$5001,$A$167,BD!$Y$3:$Y$5001,"&lt;&gt;")=0,"",SUMIFS(BD!$Y$3:$Y$5001,BD!$A$3:$A$5001,Z$3,BD!$B$3:$B$5001,$A$167)))</f>
        <v/>
      </c>
      <c r="AA178" s="218" t="str">
        <f>IF(AA$3="","",IF(COUNTIFS(BD!$A$3:$A$5001,AA$3,BD!$B$3:$B$5001,$A$167,BD!$Y$3:$Y$5001,"&lt;&gt;")=0,"",SUMIFS(BD!$Y$3:$Y$5001,BD!$A$3:$A$5001,AA$3,BD!$B$3:$B$5001,$A$167)))</f>
        <v/>
      </c>
      <c r="AB178" s="218" t="str">
        <f>IF(AB$3="","",IF(COUNTIFS(BD!$A$3:$A$5001,AB$3,BD!$B$3:$B$5001,$A$167,BD!$Y$3:$Y$5001,"&lt;&gt;")=0,"",SUMIFS(BD!$Y$3:$Y$5001,BD!$A$3:$A$5001,AB$3,BD!$B$3:$B$5001,$A$167)))</f>
        <v/>
      </c>
      <c r="AC178" s="218" t="str">
        <f>IF(AC$3="","",IF(COUNTIFS(BD!$A$3:$A$5001,AC$3,BD!$B$3:$B$5001,$A$167,BD!$Y$3:$Y$5001,"&lt;&gt;")=0,"",SUMIFS(BD!$Y$3:$Y$5001,BD!$A$3:$A$5001,AC$3,BD!$B$3:$B$5001,$A$167)))</f>
        <v/>
      </c>
      <c r="AD178" s="218" t="str">
        <f>IF(AD$3="","",IF(COUNTIFS(BD!$A$3:$A$5001,AD$3,BD!$B$3:$B$5001,$A$167,BD!$Y$3:$Y$5001,"&lt;&gt;")=0,"",SUMIFS(BD!$Y$3:$Y$5001,BD!$A$3:$A$5001,AD$3,BD!$B$3:$B$5001,$A$167)))</f>
        <v/>
      </c>
      <c r="AE178" s="218" t="str">
        <f>IF(AE$3="","",IF(COUNTIFS(BD!$A$3:$A$5001,AE$3,BD!$B$3:$B$5001,$A$167,BD!$Y$3:$Y$5001,"&lt;&gt;")=0,"",SUMIFS(BD!$Y$3:$Y$5001,BD!$A$3:$A$5001,AE$3,BD!$B$3:$B$5001,$A$167)))</f>
        <v/>
      </c>
      <c r="AF178" s="218" t="str">
        <f>IF(AF$3="","",IF(COUNTIFS(BD!$A$3:$A$5001,AF$3,BD!$B$3:$B$5001,$A$167,BD!$Y$3:$Y$5001,"&lt;&gt;")=0,"",SUMIFS(BD!$Y$3:$Y$5001,BD!$A$3:$A$5001,AF$3,BD!$B$3:$B$5001,$A$167)))</f>
        <v/>
      </c>
      <c r="AG178" s="218" t="str">
        <f>IF(AG$3="","",IF(COUNTIFS(BD!$A$3:$A$5001,AG$3,BD!$B$3:$B$5001,$A$167,BD!$Y$3:$Y$5001,"&lt;&gt;")=0,"",SUMIFS(BD!$Y$3:$Y$5001,BD!$A$3:$A$5001,AG$3,BD!$B$3:$B$5001,$A$167)))</f>
        <v/>
      </c>
      <c r="AH178" s="218" t="str">
        <f>IF(AH$3="","",IF(COUNTIFS(BD!$A$3:$A$5001,AH$3,BD!$B$3:$B$5001,$A$167,BD!$Y$3:$Y$5001,"&lt;&gt;")=0,"",SUMIFS(BD!$Y$3:$Y$5001,BD!$A$3:$A$5001,AH$3,BD!$B$3:$B$5001,$A$167)))</f>
        <v/>
      </c>
      <c r="AI178" s="218" t="str">
        <f>IF(AI$3="","",IF(COUNTIFS(BD!$A$3:$A$5001,AI$3,BD!$B$3:$B$5001,$A$167,BD!$Y$3:$Y$5001,"&lt;&gt;")=0,"",SUMIFS(BD!$Y$3:$Y$5001,BD!$A$3:$A$5001,AI$3,BD!$B$3:$B$5001,$A$167)))</f>
        <v/>
      </c>
      <c r="AJ178" s="219" t="str">
        <f>IF(AJ$3="","",IF(COUNTIFS(BD!$A$3:$A$5001,AJ$3,BD!$B$3:$B$5001,$A$167,BD!$Y$3:$Y$5001,"&lt;&gt;")=0,"",SUMIFS(BD!$Y$3:$Y$5001,BD!$A$3:$A$5001,AJ$3,BD!$B$3:$B$5001,$A$167)))</f>
        <v/>
      </c>
      <c r="AK178" s="220" t="str">
        <f>IFERROR(LOOKUP(9.99E+307,F178:AJ178),"")</f>
        <v/>
      </c>
    </row>
    <row r="179" ht="15.75" customHeight="1">
      <c r="A179" s="261"/>
      <c r="B179" s="250"/>
      <c r="C179" s="175" t="inlineStr">
        <is>
          <t xml:space="preserve">Taxa de Ocupação</t>
        </is>
      </c>
      <c r="D179" s="221" t="str">
        <f>IFERROR(1/(1/INDEX(BD!$AL$46:$BF$46,MATCH($A$167,BD!$AL$22:$BF$22,0))),"")</f>
        <v/>
      </c>
      <c r="E179" s="177"/>
      <c r="F179" s="222" t="str">
        <f>IF(AND(ISNUMBER(F177),ISNUMBER(F178)),IF(F177&gt;0,F178/F177,""),"")</f>
        <v/>
      </c>
      <c r="G179" s="223" t="str">
        <f>IF(AND(ISNUMBER(G177),ISNUMBER(G178)),IF(G177&gt;0,G178/G177,""),"")</f>
        <v/>
      </c>
      <c r="H179" s="223" t="str">
        <f>IF(AND(ISNUMBER(H177),ISNUMBER(H178)),IF(H177&gt;0,H178/H177,""),"")</f>
        <v/>
      </c>
      <c r="I179" s="223" t="str">
        <f>IF(AND(ISNUMBER(I177),ISNUMBER(I178)),IF(I177&gt;0,I178/I177,""),"")</f>
        <v/>
      </c>
      <c r="J179" s="223" t="str">
        <f>IF(AND(ISNUMBER(J177),ISNUMBER(J178)),IF(J177&gt;0,J178/J177,""),"")</f>
        <v/>
      </c>
      <c r="K179" s="223" t="str">
        <f>IF(AND(ISNUMBER(K177),ISNUMBER(K178)),IF(K177&gt;0,K178/K177,""),"")</f>
        <v/>
      </c>
      <c r="L179" s="223" t="str">
        <f>IF(AND(ISNUMBER(L177),ISNUMBER(L178)),IF(L177&gt;0,L178/L177,""),"")</f>
        <v/>
      </c>
      <c r="M179" s="223" t="str">
        <f>IF(AND(ISNUMBER(M177),ISNUMBER(M178)),IF(M177&gt;0,M178/M177,""),"")</f>
        <v/>
      </c>
      <c r="N179" s="223" t="str">
        <f>IF(AND(ISNUMBER(N177),ISNUMBER(N178)),IF(N177&gt;0,N178/N177,""),"")</f>
        <v/>
      </c>
      <c r="O179" s="223" t="str">
        <f>IF(AND(ISNUMBER(O177),ISNUMBER(O178)),IF(O177&gt;0,O178/O177,""),"")</f>
        <v/>
      </c>
      <c r="P179" s="223" t="str">
        <f>IF(AND(ISNUMBER(P177),ISNUMBER(P178)),IF(P177&gt;0,P178/P177,""),"")</f>
        <v/>
      </c>
      <c r="Q179" s="223" t="str">
        <f>IF(AND(ISNUMBER(Q177),ISNUMBER(Q178)),IF(Q177&gt;0,Q178/Q177,""),"")</f>
        <v/>
      </c>
      <c r="R179" s="223" t="str">
        <f>IF(AND(ISNUMBER(R177),ISNUMBER(R178)),IF(R177&gt;0,R178/R177,""),"")</f>
        <v/>
      </c>
      <c r="S179" s="223" t="str">
        <f>IF(AND(ISNUMBER(S177),ISNUMBER(S178)),IF(S177&gt;0,S178/S177,""),"")</f>
        <v/>
      </c>
      <c r="T179" s="223" t="str">
        <f>IF(AND(ISNUMBER(T177),ISNUMBER(T178)),IF(T177&gt;0,T178/T177,""),"")</f>
        <v/>
      </c>
      <c r="U179" s="223" t="str">
        <f>IF(AND(ISNUMBER(U177),ISNUMBER(U178)),IF(U177&gt;0,U178/U177,""),"")</f>
        <v/>
      </c>
      <c r="V179" s="223" t="str">
        <f>IF(AND(ISNUMBER(V177),ISNUMBER(V178)),IF(V177&gt;0,V178/V177,""),"")</f>
        <v/>
      </c>
      <c r="W179" s="223" t="str">
        <f>IF(AND(ISNUMBER(W177),ISNUMBER(W178)),IF(W177&gt;0,W178/W177,""),"")</f>
        <v/>
      </c>
      <c r="X179" s="223" t="str">
        <f>IF(AND(ISNUMBER(X177),ISNUMBER(X178)),IF(X177&gt;0,X178/X177,""),"")</f>
        <v/>
      </c>
      <c r="Y179" s="223" t="str">
        <f>IF(AND(ISNUMBER(Y177),ISNUMBER(Y178)),IF(Y177&gt;0,Y178/Y177,""),"")</f>
        <v/>
      </c>
      <c r="Z179" s="223" t="str">
        <f>IF(AND(ISNUMBER(Z177),ISNUMBER(Z178)),IF(Z177&gt;0,Z178/Z177,""),"")</f>
        <v/>
      </c>
      <c r="AA179" s="223" t="str">
        <f>IF(AND(ISNUMBER(AA177),ISNUMBER(AA178)),IF(AA177&gt;0,AA178/AA177,""),"")</f>
        <v/>
      </c>
      <c r="AB179" s="223" t="str">
        <f>IF(AND(ISNUMBER(AB177),ISNUMBER(AB178)),IF(AB177&gt;0,AB178/AB177,""),"")</f>
        <v/>
      </c>
      <c r="AC179" s="223" t="str">
        <f>IF(AND(ISNUMBER(AC177),ISNUMBER(AC178)),IF(AC177&gt;0,AC178/AC177,""),"")</f>
        <v/>
      </c>
      <c r="AD179" s="223" t="str">
        <f>IF(AND(ISNUMBER(AD177),ISNUMBER(AD178)),IF(AD177&gt;0,AD178/AD177,""),"")</f>
        <v/>
      </c>
      <c r="AE179" s="223" t="str">
        <f>IF(AND(ISNUMBER(AE177),ISNUMBER(AE178)),IF(AE177&gt;0,AE178/AE177,""),"")</f>
        <v/>
      </c>
      <c r="AF179" s="223" t="str">
        <f>IF(AND(ISNUMBER(AF177),ISNUMBER(AF178)),IF(AF177&gt;0,AF178/AF177,""),"")</f>
        <v/>
      </c>
      <c r="AG179" s="223" t="str">
        <f>IF(AND(ISNUMBER(AG177),ISNUMBER(AG178)),IF(AG177&gt;0,AG178/AG177,""),"")</f>
        <v/>
      </c>
      <c r="AH179" s="223" t="str">
        <f>IF(AND(ISNUMBER(AH177),ISNUMBER(AH178)),IF(AH177&gt;0,AH178/AH177,""),"")</f>
        <v/>
      </c>
      <c r="AI179" s="223" t="str">
        <f>IF(AND(ISNUMBER(AI177),ISNUMBER(AI178)),IF(AI177&gt;0,AI178/AI177,""),"")</f>
        <v/>
      </c>
      <c r="AJ179" s="224" t="str">
        <f>IF(AND(ISNUMBER(AJ177),ISNUMBER(AJ178)),IF(AJ177&gt;0,AJ178/AJ177,""),"")</f>
        <v/>
      </c>
      <c r="AK179" s="221" t="str">
        <f>IF(AND(ISNUMBER(AK177),ISNUMBER(AK178)),IF(AK177&gt;0,AK178/AK177,""),"")</f>
        <v/>
      </c>
    </row>
    <row r="180" ht="15.75" customHeight="1">
      <c r="A180" s="261"/>
      <c r="B180" s="257" t="inlineStr">
        <is>
          <t xml:space="preserve">GENTE</t>
        </is>
      </c>
      <c r="C180" s="225" t="inlineStr">
        <is>
          <t xml:space="preserve">Efetivo Op.</t>
        </is>
      </c>
      <c r="D180" s="226" t="str">
        <f>IFERROR(1/(1/INDEX(BD!$AL$47:$BF$47,MATCH($A$167,BD!$AL$22:$BF$22,0))),"")</f>
        <v/>
      </c>
      <c r="E180" s="227"/>
      <c r="F180" s="228" t="str">
        <f>IF(F$3="","",IF(COUNTIFS(BD!$A$3:$A$5001,F$3,BD!$B$3:$B$5001,$A$167,BD!$Z$3:$Z$5001,"&lt;&gt;")=0,"",SUMIFS(BD!$Z$3:$Z$5001,BD!$A$3:$A$5001,F$3,BD!$B$3:$B$5001,$A$167)))</f>
        <v/>
      </c>
      <c r="G180" s="229" t="str">
        <f>IF(G$3="","",IF(COUNTIFS(BD!$A$3:$A$5001,G$3,BD!$B$3:$B$5001,$A$167,BD!$Z$3:$Z$5001,"&lt;&gt;")=0,"",SUMIFS(BD!$Z$3:$Z$5001,BD!$A$3:$A$5001,G$3,BD!$B$3:$B$5001,$A$167)))</f>
        <v/>
      </c>
      <c r="H180" s="229" t="str">
        <f>IF(H$3="","",IF(COUNTIFS(BD!$A$3:$A$5001,H$3,BD!$B$3:$B$5001,$A$167,BD!$Z$3:$Z$5001,"&lt;&gt;")=0,"",SUMIFS(BD!$Z$3:$Z$5001,BD!$A$3:$A$5001,H$3,BD!$B$3:$B$5001,$A$167)))</f>
        <v/>
      </c>
      <c r="I180" s="229" t="str">
        <f>IF(I$3="","",IF(COUNTIFS(BD!$A$3:$A$5001,I$3,BD!$B$3:$B$5001,$A$167,BD!$Z$3:$Z$5001,"&lt;&gt;")=0,"",SUMIFS(BD!$Z$3:$Z$5001,BD!$A$3:$A$5001,I$3,BD!$B$3:$B$5001,$A$167)))</f>
        <v/>
      </c>
      <c r="J180" s="229" t="str">
        <f>IF(J$3="","",IF(COUNTIFS(BD!$A$3:$A$5001,J$3,BD!$B$3:$B$5001,$A$167,BD!$Z$3:$Z$5001,"&lt;&gt;")=0,"",SUMIFS(BD!$Z$3:$Z$5001,BD!$A$3:$A$5001,J$3,BD!$B$3:$B$5001,$A$167)))</f>
        <v/>
      </c>
      <c r="K180" s="229" t="str">
        <f>IF(K$3="","",IF(COUNTIFS(BD!$A$3:$A$5001,K$3,BD!$B$3:$B$5001,$A$167,BD!$Z$3:$Z$5001,"&lt;&gt;")=0,"",SUMIFS(BD!$Z$3:$Z$5001,BD!$A$3:$A$5001,K$3,BD!$B$3:$B$5001,$A$167)))</f>
        <v/>
      </c>
      <c r="L180" s="229" t="str">
        <f>IF(L$3="","",IF(COUNTIFS(BD!$A$3:$A$5001,L$3,BD!$B$3:$B$5001,$A$167,BD!$Z$3:$Z$5001,"&lt;&gt;")=0,"",SUMIFS(BD!$Z$3:$Z$5001,BD!$A$3:$A$5001,L$3,BD!$B$3:$B$5001,$A$167)))</f>
        <v/>
      </c>
      <c r="M180" s="229" t="str">
        <f>IF(M$3="","",IF(COUNTIFS(BD!$A$3:$A$5001,M$3,BD!$B$3:$B$5001,$A$167,BD!$Z$3:$Z$5001,"&lt;&gt;")=0,"",SUMIFS(BD!$Z$3:$Z$5001,BD!$A$3:$A$5001,M$3,BD!$B$3:$B$5001,$A$167)))</f>
        <v/>
      </c>
      <c r="N180" s="229" t="str">
        <f>IF(N$3="","",IF(COUNTIFS(BD!$A$3:$A$5001,N$3,BD!$B$3:$B$5001,$A$167,BD!$Z$3:$Z$5001,"&lt;&gt;")=0,"",SUMIFS(BD!$Z$3:$Z$5001,BD!$A$3:$A$5001,N$3,BD!$B$3:$B$5001,$A$167)))</f>
        <v/>
      </c>
      <c r="O180" s="229" t="str">
        <f>IF(O$3="","",IF(COUNTIFS(BD!$A$3:$A$5001,O$3,BD!$B$3:$B$5001,$A$167,BD!$Z$3:$Z$5001,"&lt;&gt;")=0,"",SUMIFS(BD!$Z$3:$Z$5001,BD!$A$3:$A$5001,O$3,BD!$B$3:$B$5001,$A$167)))</f>
        <v/>
      </c>
      <c r="P180" s="229" t="str">
        <f>IF(P$3="","",IF(COUNTIFS(BD!$A$3:$A$5001,P$3,BD!$B$3:$B$5001,$A$167,BD!$Z$3:$Z$5001,"&lt;&gt;")=0,"",SUMIFS(BD!$Z$3:$Z$5001,BD!$A$3:$A$5001,P$3,BD!$B$3:$B$5001,$A$167)))</f>
        <v/>
      </c>
      <c r="Q180" s="229" t="str">
        <f>IF(Q$3="","",IF(COUNTIFS(BD!$A$3:$A$5001,Q$3,BD!$B$3:$B$5001,$A$167,BD!$Z$3:$Z$5001,"&lt;&gt;")=0,"",SUMIFS(BD!$Z$3:$Z$5001,BD!$A$3:$A$5001,Q$3,BD!$B$3:$B$5001,$A$167)))</f>
        <v/>
      </c>
      <c r="R180" s="229" t="str">
        <f>IF(R$3="","",IF(COUNTIFS(BD!$A$3:$A$5001,R$3,BD!$B$3:$B$5001,$A$167,BD!$Z$3:$Z$5001,"&lt;&gt;")=0,"",SUMIFS(BD!$Z$3:$Z$5001,BD!$A$3:$A$5001,R$3,BD!$B$3:$B$5001,$A$167)))</f>
        <v/>
      </c>
      <c r="S180" s="229" t="str">
        <f>IF(S$3="","",IF(COUNTIFS(BD!$A$3:$A$5001,S$3,BD!$B$3:$B$5001,$A$167,BD!$Z$3:$Z$5001,"&lt;&gt;")=0,"",SUMIFS(BD!$Z$3:$Z$5001,BD!$A$3:$A$5001,S$3,BD!$B$3:$B$5001,$A$167)))</f>
        <v/>
      </c>
      <c r="T180" s="229" t="str">
        <f>IF(T$3="","",IF(COUNTIFS(BD!$A$3:$A$5001,T$3,BD!$B$3:$B$5001,$A$167,BD!$Z$3:$Z$5001,"&lt;&gt;")=0,"",SUMIFS(BD!$Z$3:$Z$5001,BD!$A$3:$A$5001,T$3,BD!$B$3:$B$5001,$A$167)))</f>
        <v/>
      </c>
      <c r="U180" s="229" t="str">
        <f>IF(U$3="","",IF(COUNTIFS(BD!$A$3:$A$5001,U$3,BD!$B$3:$B$5001,$A$167,BD!$Z$3:$Z$5001,"&lt;&gt;")=0,"",SUMIFS(BD!$Z$3:$Z$5001,BD!$A$3:$A$5001,U$3,BD!$B$3:$B$5001,$A$167)))</f>
        <v/>
      </c>
      <c r="V180" s="229" t="str">
        <f>IF(V$3="","",IF(COUNTIFS(BD!$A$3:$A$5001,V$3,BD!$B$3:$B$5001,$A$167,BD!$Z$3:$Z$5001,"&lt;&gt;")=0,"",SUMIFS(BD!$Z$3:$Z$5001,BD!$A$3:$A$5001,V$3,BD!$B$3:$B$5001,$A$167)))</f>
        <v/>
      </c>
      <c r="W180" s="229" t="str">
        <f>IF(W$3="","",IF(COUNTIFS(BD!$A$3:$A$5001,W$3,BD!$B$3:$B$5001,$A$167,BD!$Z$3:$Z$5001,"&lt;&gt;")=0,"",SUMIFS(BD!$Z$3:$Z$5001,BD!$A$3:$A$5001,W$3,BD!$B$3:$B$5001,$A$167)))</f>
        <v/>
      </c>
      <c r="X180" s="229" t="str">
        <f>IF(X$3="","",IF(COUNTIFS(BD!$A$3:$A$5001,X$3,BD!$B$3:$B$5001,$A$167,BD!$Z$3:$Z$5001,"&lt;&gt;")=0,"",SUMIFS(BD!$Z$3:$Z$5001,BD!$A$3:$A$5001,X$3,BD!$B$3:$B$5001,$A$167)))</f>
        <v/>
      </c>
      <c r="Y180" s="229" t="str">
        <f>IF(Y$3="","",IF(COUNTIFS(BD!$A$3:$A$5001,Y$3,BD!$B$3:$B$5001,$A$167,BD!$Z$3:$Z$5001,"&lt;&gt;")=0,"",SUMIFS(BD!$Z$3:$Z$5001,BD!$A$3:$A$5001,Y$3,BD!$B$3:$B$5001,$A$167)))</f>
        <v/>
      </c>
      <c r="Z180" s="229" t="str">
        <f>IF(Z$3="","",IF(COUNTIFS(BD!$A$3:$A$5001,Z$3,BD!$B$3:$B$5001,$A$167,BD!$Z$3:$Z$5001,"&lt;&gt;")=0,"",SUMIFS(BD!$Z$3:$Z$5001,BD!$A$3:$A$5001,Z$3,BD!$B$3:$B$5001,$A$167)))</f>
        <v/>
      </c>
      <c r="AA180" s="229" t="str">
        <f>IF(AA$3="","",IF(COUNTIFS(BD!$A$3:$A$5001,AA$3,BD!$B$3:$B$5001,$A$167,BD!$Z$3:$Z$5001,"&lt;&gt;")=0,"",SUMIFS(BD!$Z$3:$Z$5001,BD!$A$3:$A$5001,AA$3,BD!$B$3:$B$5001,$A$167)))</f>
        <v/>
      </c>
      <c r="AB180" s="229" t="str">
        <f>IF(AB$3="","",IF(COUNTIFS(BD!$A$3:$A$5001,AB$3,BD!$B$3:$B$5001,$A$167,BD!$Z$3:$Z$5001,"&lt;&gt;")=0,"",SUMIFS(BD!$Z$3:$Z$5001,BD!$A$3:$A$5001,AB$3,BD!$B$3:$B$5001,$A$167)))</f>
        <v/>
      </c>
      <c r="AC180" s="229" t="str">
        <f>IF(AC$3="","",IF(COUNTIFS(BD!$A$3:$A$5001,AC$3,BD!$B$3:$B$5001,$A$167,BD!$Z$3:$Z$5001,"&lt;&gt;")=0,"",SUMIFS(BD!$Z$3:$Z$5001,BD!$A$3:$A$5001,AC$3,BD!$B$3:$B$5001,$A$167)))</f>
        <v/>
      </c>
      <c r="AD180" s="229" t="str">
        <f>IF(AD$3="","",IF(COUNTIFS(BD!$A$3:$A$5001,AD$3,BD!$B$3:$B$5001,$A$167,BD!$Z$3:$Z$5001,"&lt;&gt;")=0,"",SUMIFS(BD!$Z$3:$Z$5001,BD!$A$3:$A$5001,AD$3,BD!$B$3:$B$5001,$A$167)))</f>
        <v/>
      </c>
      <c r="AE180" s="229" t="str">
        <f>IF(AE$3="","",IF(COUNTIFS(BD!$A$3:$A$5001,AE$3,BD!$B$3:$B$5001,$A$167,BD!$Z$3:$Z$5001,"&lt;&gt;")=0,"",SUMIFS(BD!$Z$3:$Z$5001,BD!$A$3:$A$5001,AE$3,BD!$B$3:$B$5001,$A$167)))</f>
        <v/>
      </c>
      <c r="AF180" s="229" t="str">
        <f>IF(AF$3="","",IF(COUNTIFS(BD!$A$3:$A$5001,AF$3,BD!$B$3:$B$5001,$A$167,BD!$Z$3:$Z$5001,"&lt;&gt;")=0,"",SUMIFS(BD!$Z$3:$Z$5001,BD!$A$3:$A$5001,AF$3,BD!$B$3:$B$5001,$A$167)))</f>
        <v/>
      </c>
      <c r="AG180" s="229" t="str">
        <f>IF(AG$3="","",IF(COUNTIFS(BD!$A$3:$A$5001,AG$3,BD!$B$3:$B$5001,$A$167,BD!$Z$3:$Z$5001,"&lt;&gt;")=0,"",SUMIFS(BD!$Z$3:$Z$5001,BD!$A$3:$A$5001,AG$3,BD!$B$3:$B$5001,$A$167)))</f>
        <v/>
      </c>
      <c r="AH180" s="229" t="str">
        <f>IF(AH$3="","",IF(COUNTIFS(BD!$A$3:$A$5001,AH$3,BD!$B$3:$B$5001,$A$167,BD!$Z$3:$Z$5001,"&lt;&gt;")=0,"",SUMIFS(BD!$Z$3:$Z$5001,BD!$A$3:$A$5001,AH$3,BD!$B$3:$B$5001,$A$167)))</f>
        <v/>
      </c>
      <c r="AI180" s="229" t="str">
        <f>IF(AI$3="","",IF(COUNTIFS(BD!$A$3:$A$5001,AI$3,BD!$B$3:$B$5001,$A$167,BD!$Z$3:$Z$5001,"&lt;&gt;")=0,"",SUMIFS(BD!$Z$3:$Z$5001,BD!$A$3:$A$5001,AI$3,BD!$B$3:$B$5001,$A$167)))</f>
        <v/>
      </c>
      <c r="AJ180" s="230" t="str">
        <f>IF(AJ$3="","",IF(COUNTIFS(BD!$A$3:$A$5001,AJ$3,BD!$B$3:$B$5001,$A$167,BD!$Z$3:$Z$5001,"&lt;&gt;")=0,"",SUMIFS(BD!$Z$3:$Z$5001,BD!$A$3:$A$5001,AJ$3,BD!$B$3:$B$5001,$A$167)))</f>
        <v/>
      </c>
      <c r="AK180" s="231" t="str">
        <f>IFERROR(LOOKUP(9.99E+307,F180:AJ180),"")</f>
        <v/>
      </c>
    </row>
    <row r="181" ht="15.75" customHeight="1">
      <c r="A181" s="261"/>
      <c r="B181" s="258"/>
      <c r="C181" s="232" t="inlineStr">
        <is>
          <t xml:space="preserve">Falta</t>
        </is>
      </c>
      <c r="D181" s="233" t="str">
        <f>IFERROR(1/(1/INDEX(BD!$AL$48:$BF$48,MATCH($A$167,BD!$AL$22:$BF$22,0))),"")</f>
        <v/>
      </c>
      <c r="E181" s="234"/>
      <c r="F181" s="235" t="str">
        <f>IF(F$3="","",IF(COUNTIFS(BD!$A$3:$A$5001,F$3,BD!$B$3:$B$5001,$A$167,BD!$AA$3:$AA$5001,"&lt;&gt;")=0,"",SUMIFS(BD!$AA$3:$AA$5001,BD!$A$3:$A$5001,F$3,BD!$B$3:$B$5001,$A$167)))</f>
        <v/>
      </c>
      <c r="G181" s="236" t="str">
        <f>IF(G$3="","",IF(COUNTIFS(BD!$A$3:$A$5001,G$3,BD!$B$3:$B$5001,$A$167,BD!$AA$3:$AA$5001,"&lt;&gt;")=0,"",SUMIFS(BD!$AA$3:$AA$5001,BD!$A$3:$A$5001,G$3,BD!$B$3:$B$5001,$A$167)))</f>
        <v/>
      </c>
      <c r="H181" s="236" t="str">
        <f>IF(H$3="","",IF(COUNTIFS(BD!$A$3:$A$5001,H$3,BD!$B$3:$B$5001,$A$167,BD!$AA$3:$AA$5001,"&lt;&gt;")=0,"",SUMIFS(BD!$AA$3:$AA$5001,BD!$A$3:$A$5001,H$3,BD!$B$3:$B$5001,$A$167)))</f>
        <v/>
      </c>
      <c r="I181" s="236" t="str">
        <f>IF(I$3="","",IF(COUNTIFS(BD!$A$3:$A$5001,I$3,BD!$B$3:$B$5001,$A$167,BD!$AA$3:$AA$5001,"&lt;&gt;")=0,"",SUMIFS(BD!$AA$3:$AA$5001,BD!$A$3:$A$5001,I$3,BD!$B$3:$B$5001,$A$167)))</f>
        <v/>
      </c>
      <c r="J181" s="236" t="str">
        <f>IF(J$3="","",IF(COUNTIFS(BD!$A$3:$A$5001,J$3,BD!$B$3:$B$5001,$A$167,BD!$AA$3:$AA$5001,"&lt;&gt;")=0,"",SUMIFS(BD!$AA$3:$AA$5001,BD!$A$3:$A$5001,J$3,BD!$B$3:$B$5001,$A$167)))</f>
        <v/>
      </c>
      <c r="K181" s="236" t="str">
        <f>IF(K$3="","",IF(COUNTIFS(BD!$A$3:$A$5001,K$3,BD!$B$3:$B$5001,$A$167,BD!$AA$3:$AA$5001,"&lt;&gt;")=0,"",SUMIFS(BD!$AA$3:$AA$5001,BD!$A$3:$A$5001,K$3,BD!$B$3:$B$5001,$A$167)))</f>
        <v/>
      </c>
      <c r="L181" s="236" t="str">
        <f>IF(L$3="","",IF(COUNTIFS(BD!$A$3:$A$5001,L$3,BD!$B$3:$B$5001,$A$167,BD!$AA$3:$AA$5001,"&lt;&gt;")=0,"",SUMIFS(BD!$AA$3:$AA$5001,BD!$A$3:$A$5001,L$3,BD!$B$3:$B$5001,$A$167)))</f>
        <v/>
      </c>
      <c r="M181" s="236" t="str">
        <f>IF(M$3="","",IF(COUNTIFS(BD!$A$3:$A$5001,M$3,BD!$B$3:$B$5001,$A$167,BD!$AA$3:$AA$5001,"&lt;&gt;")=0,"",SUMIFS(BD!$AA$3:$AA$5001,BD!$A$3:$A$5001,M$3,BD!$B$3:$B$5001,$A$167)))</f>
        <v/>
      </c>
      <c r="N181" s="236" t="str">
        <f>IF(N$3="","",IF(COUNTIFS(BD!$A$3:$A$5001,N$3,BD!$B$3:$B$5001,$A$167,BD!$AA$3:$AA$5001,"&lt;&gt;")=0,"",SUMIFS(BD!$AA$3:$AA$5001,BD!$A$3:$A$5001,N$3,BD!$B$3:$B$5001,$A$167)))</f>
        <v/>
      </c>
      <c r="O181" s="236" t="str">
        <f>IF(O$3="","",IF(COUNTIFS(BD!$A$3:$A$5001,O$3,BD!$B$3:$B$5001,$A$167,BD!$AA$3:$AA$5001,"&lt;&gt;")=0,"",SUMIFS(BD!$AA$3:$AA$5001,BD!$A$3:$A$5001,O$3,BD!$B$3:$B$5001,$A$167)))</f>
        <v/>
      </c>
      <c r="P181" s="236" t="str">
        <f>IF(P$3="","",IF(COUNTIFS(BD!$A$3:$A$5001,P$3,BD!$B$3:$B$5001,$A$167,BD!$AA$3:$AA$5001,"&lt;&gt;")=0,"",SUMIFS(BD!$AA$3:$AA$5001,BD!$A$3:$A$5001,P$3,BD!$B$3:$B$5001,$A$167)))</f>
        <v/>
      </c>
      <c r="Q181" s="236" t="str">
        <f>IF(Q$3="","",IF(COUNTIFS(BD!$A$3:$A$5001,Q$3,BD!$B$3:$B$5001,$A$167,BD!$AA$3:$AA$5001,"&lt;&gt;")=0,"",SUMIFS(BD!$AA$3:$AA$5001,BD!$A$3:$A$5001,Q$3,BD!$B$3:$B$5001,$A$167)))</f>
        <v/>
      </c>
      <c r="R181" s="236" t="str">
        <f>IF(R$3="","",IF(COUNTIFS(BD!$A$3:$A$5001,R$3,BD!$B$3:$B$5001,$A$167,BD!$AA$3:$AA$5001,"&lt;&gt;")=0,"",SUMIFS(BD!$AA$3:$AA$5001,BD!$A$3:$A$5001,R$3,BD!$B$3:$B$5001,$A$167)))</f>
        <v/>
      </c>
      <c r="S181" s="236" t="str">
        <f>IF(S$3="","",IF(COUNTIFS(BD!$A$3:$A$5001,S$3,BD!$B$3:$B$5001,$A$167,BD!$AA$3:$AA$5001,"&lt;&gt;")=0,"",SUMIFS(BD!$AA$3:$AA$5001,BD!$A$3:$A$5001,S$3,BD!$B$3:$B$5001,$A$167)))</f>
        <v/>
      </c>
      <c r="T181" s="236" t="str">
        <f>IF(T$3="","",IF(COUNTIFS(BD!$A$3:$A$5001,T$3,BD!$B$3:$B$5001,$A$167,BD!$AA$3:$AA$5001,"&lt;&gt;")=0,"",SUMIFS(BD!$AA$3:$AA$5001,BD!$A$3:$A$5001,T$3,BD!$B$3:$B$5001,$A$167)))</f>
        <v/>
      </c>
      <c r="U181" s="236" t="str">
        <f>IF(U$3="","",IF(COUNTIFS(BD!$A$3:$A$5001,U$3,BD!$B$3:$B$5001,$A$167,BD!$AA$3:$AA$5001,"&lt;&gt;")=0,"",SUMIFS(BD!$AA$3:$AA$5001,BD!$A$3:$A$5001,U$3,BD!$B$3:$B$5001,$A$167)))</f>
        <v/>
      </c>
      <c r="V181" s="236" t="str">
        <f>IF(V$3="","",IF(COUNTIFS(BD!$A$3:$A$5001,V$3,BD!$B$3:$B$5001,$A$167,BD!$AA$3:$AA$5001,"&lt;&gt;")=0,"",SUMIFS(BD!$AA$3:$AA$5001,BD!$A$3:$A$5001,V$3,BD!$B$3:$B$5001,$A$167)))</f>
        <v/>
      </c>
      <c r="W181" s="236" t="str">
        <f>IF(W$3="","",IF(COUNTIFS(BD!$A$3:$A$5001,W$3,BD!$B$3:$B$5001,$A$167,BD!$AA$3:$AA$5001,"&lt;&gt;")=0,"",SUMIFS(BD!$AA$3:$AA$5001,BD!$A$3:$A$5001,W$3,BD!$B$3:$B$5001,$A$167)))</f>
        <v/>
      </c>
      <c r="X181" s="236" t="str">
        <f>IF(X$3="","",IF(COUNTIFS(BD!$A$3:$A$5001,X$3,BD!$B$3:$B$5001,$A$167,BD!$AA$3:$AA$5001,"&lt;&gt;")=0,"",SUMIFS(BD!$AA$3:$AA$5001,BD!$A$3:$A$5001,X$3,BD!$B$3:$B$5001,$A$167)))</f>
        <v/>
      </c>
      <c r="Y181" s="236" t="str">
        <f>IF(Y$3="","",IF(COUNTIFS(BD!$A$3:$A$5001,Y$3,BD!$B$3:$B$5001,$A$167,BD!$AA$3:$AA$5001,"&lt;&gt;")=0,"",SUMIFS(BD!$AA$3:$AA$5001,BD!$A$3:$A$5001,Y$3,BD!$B$3:$B$5001,$A$167)))</f>
        <v/>
      </c>
      <c r="Z181" s="236" t="str">
        <f>IF(Z$3="","",IF(COUNTIFS(BD!$A$3:$A$5001,Z$3,BD!$B$3:$B$5001,$A$167,BD!$AA$3:$AA$5001,"&lt;&gt;")=0,"",SUMIFS(BD!$AA$3:$AA$5001,BD!$A$3:$A$5001,Z$3,BD!$B$3:$B$5001,$A$167)))</f>
        <v/>
      </c>
      <c r="AA181" s="236" t="str">
        <f>IF(AA$3="","",IF(COUNTIFS(BD!$A$3:$A$5001,AA$3,BD!$B$3:$B$5001,$A$167,BD!$AA$3:$AA$5001,"&lt;&gt;")=0,"",SUMIFS(BD!$AA$3:$AA$5001,BD!$A$3:$A$5001,AA$3,BD!$B$3:$B$5001,$A$167)))</f>
        <v/>
      </c>
      <c r="AB181" s="236" t="str">
        <f>IF(AB$3="","",IF(COUNTIFS(BD!$A$3:$A$5001,AB$3,BD!$B$3:$B$5001,$A$167,BD!$AA$3:$AA$5001,"&lt;&gt;")=0,"",SUMIFS(BD!$AA$3:$AA$5001,BD!$A$3:$A$5001,AB$3,BD!$B$3:$B$5001,$A$167)))</f>
        <v/>
      </c>
      <c r="AC181" s="236" t="str">
        <f>IF(AC$3="","",IF(COUNTIFS(BD!$A$3:$A$5001,AC$3,BD!$B$3:$B$5001,$A$167,BD!$AA$3:$AA$5001,"&lt;&gt;")=0,"",SUMIFS(BD!$AA$3:$AA$5001,BD!$A$3:$A$5001,AC$3,BD!$B$3:$B$5001,$A$167)))</f>
        <v/>
      </c>
      <c r="AD181" s="236" t="str">
        <f>IF(AD$3="","",IF(COUNTIFS(BD!$A$3:$A$5001,AD$3,BD!$B$3:$B$5001,$A$167,BD!$AA$3:$AA$5001,"&lt;&gt;")=0,"",SUMIFS(BD!$AA$3:$AA$5001,BD!$A$3:$A$5001,AD$3,BD!$B$3:$B$5001,$A$167)))</f>
        <v/>
      </c>
      <c r="AE181" s="236" t="str">
        <f>IF(AE$3="","",IF(COUNTIFS(BD!$A$3:$A$5001,AE$3,BD!$B$3:$B$5001,$A$167,BD!$AA$3:$AA$5001,"&lt;&gt;")=0,"",SUMIFS(BD!$AA$3:$AA$5001,BD!$A$3:$A$5001,AE$3,BD!$B$3:$B$5001,$A$167)))</f>
        <v/>
      </c>
      <c r="AF181" s="236" t="str">
        <f>IF(AF$3="","",IF(COUNTIFS(BD!$A$3:$A$5001,AF$3,BD!$B$3:$B$5001,$A$167,BD!$AA$3:$AA$5001,"&lt;&gt;")=0,"",SUMIFS(BD!$AA$3:$AA$5001,BD!$A$3:$A$5001,AF$3,BD!$B$3:$B$5001,$A$167)))</f>
        <v/>
      </c>
      <c r="AG181" s="236" t="str">
        <f>IF(AG$3="","",IF(COUNTIFS(BD!$A$3:$A$5001,AG$3,BD!$B$3:$B$5001,$A$167,BD!$AA$3:$AA$5001,"&lt;&gt;")=0,"",SUMIFS(BD!$AA$3:$AA$5001,BD!$A$3:$A$5001,AG$3,BD!$B$3:$B$5001,$A$167)))</f>
        <v/>
      </c>
      <c r="AH181" s="236" t="str">
        <f>IF(AH$3="","",IF(COUNTIFS(BD!$A$3:$A$5001,AH$3,BD!$B$3:$B$5001,$A$167,BD!$AA$3:$AA$5001,"&lt;&gt;")=0,"",SUMIFS(BD!$AA$3:$AA$5001,BD!$A$3:$A$5001,AH$3,BD!$B$3:$B$5001,$A$167)))</f>
        <v/>
      </c>
      <c r="AI181" s="236" t="str">
        <f>IF(AI$3="","",IF(COUNTIFS(BD!$A$3:$A$5001,AI$3,BD!$B$3:$B$5001,$A$167,BD!$AA$3:$AA$5001,"&lt;&gt;")=0,"",SUMIFS(BD!$AA$3:$AA$5001,BD!$A$3:$A$5001,AI$3,BD!$B$3:$B$5001,$A$167)))</f>
        <v/>
      </c>
      <c r="AJ181" s="237" t="str">
        <f>IF(AJ$3="","",IF(COUNTIFS(BD!$A$3:$A$5001,AJ$3,BD!$B$3:$B$5001,$A$167,BD!$AA$3:$AA$5001,"&lt;&gt;")=0,"",SUMIFS(BD!$AA$3:$AA$5001,BD!$A$3:$A$5001,AJ$3,BD!$B$3:$B$5001,$A$167)))</f>
        <v/>
      </c>
      <c r="AK181" s="238" t="str">
        <f>IF(COUNT(F181:AJ181)=0,"",SUM(F181:AJ181))</f>
        <v/>
      </c>
    </row>
    <row r="182" ht="15.75" customHeight="1">
      <c r="A182" s="261"/>
      <c r="B182" s="258"/>
      <c r="C182" s="232" t="inlineStr">
        <is>
          <t xml:space="preserve">Absenteísmo (H/H)</t>
        </is>
      </c>
      <c r="D182" s="233" t="str">
        <f>IFERROR(1/(1/INDEX(BD!$AL$49:$BF$49,MATCH($A$167,BD!$AL$22:$BF$22,0))),"")</f>
        <v/>
      </c>
      <c r="E182" s="234"/>
      <c r="F182" s="239" t="str">
        <f>IF(F$3="","",IF(COUNTIFS(BD!$A$3:$A$5001,F$3,BD!$B$3:$B$5001,$A$167,BD!$AB$3:$AB$5001,"&lt;&gt;")=0,"",SUMIFS(BD!$AB$3:$AB$5001,BD!$A$3:$A$5001,F$3,BD!$B$3:$B$5001,$A$167)))</f>
        <v/>
      </c>
      <c r="G182" s="240" t="str">
        <f>IF(G$3="","",IF(COUNTIFS(BD!$A$3:$A$5001,G$3,BD!$B$3:$B$5001,$A$167,BD!$AB$3:$AB$5001,"&lt;&gt;")=0,"",SUMIFS(BD!$AB$3:$AB$5001,BD!$A$3:$A$5001,G$3,BD!$B$3:$B$5001,$A$167)))</f>
        <v/>
      </c>
      <c r="H182" s="240" t="str">
        <f>IF(H$3="","",IF(COUNTIFS(BD!$A$3:$A$5001,H$3,BD!$B$3:$B$5001,$A$167,BD!$AB$3:$AB$5001,"&lt;&gt;")=0,"",SUMIFS(BD!$AB$3:$AB$5001,BD!$A$3:$A$5001,H$3,BD!$B$3:$B$5001,$A$167)))</f>
        <v/>
      </c>
      <c r="I182" s="240" t="str">
        <f>IF(I$3="","",IF(COUNTIFS(BD!$A$3:$A$5001,I$3,BD!$B$3:$B$5001,$A$167,BD!$AB$3:$AB$5001,"&lt;&gt;")=0,"",SUMIFS(BD!$AB$3:$AB$5001,BD!$A$3:$A$5001,I$3,BD!$B$3:$B$5001,$A$167)))</f>
        <v/>
      </c>
      <c r="J182" s="240" t="str">
        <f>IF(J$3="","",IF(COUNTIFS(BD!$A$3:$A$5001,J$3,BD!$B$3:$B$5001,$A$167,BD!$AB$3:$AB$5001,"&lt;&gt;")=0,"",SUMIFS(BD!$AB$3:$AB$5001,BD!$A$3:$A$5001,J$3,BD!$B$3:$B$5001,$A$167)))</f>
        <v/>
      </c>
      <c r="K182" s="240" t="str">
        <f>IF(K$3="","",IF(COUNTIFS(BD!$A$3:$A$5001,K$3,BD!$B$3:$B$5001,$A$167,BD!$AB$3:$AB$5001,"&lt;&gt;")=0,"",SUMIFS(BD!$AB$3:$AB$5001,BD!$A$3:$A$5001,K$3,BD!$B$3:$B$5001,$A$167)))</f>
        <v/>
      </c>
      <c r="L182" s="240" t="str">
        <f>IF(L$3="","",IF(COUNTIFS(BD!$A$3:$A$5001,L$3,BD!$B$3:$B$5001,$A$167,BD!$AB$3:$AB$5001,"&lt;&gt;")=0,"",SUMIFS(BD!$AB$3:$AB$5001,BD!$A$3:$A$5001,L$3,BD!$B$3:$B$5001,$A$167)))</f>
        <v/>
      </c>
      <c r="M182" s="240" t="str">
        <f>IF(M$3="","",IF(COUNTIFS(BD!$A$3:$A$5001,M$3,BD!$B$3:$B$5001,$A$167,BD!$AB$3:$AB$5001,"&lt;&gt;")=0,"",SUMIFS(BD!$AB$3:$AB$5001,BD!$A$3:$A$5001,M$3,BD!$B$3:$B$5001,$A$167)))</f>
        <v/>
      </c>
      <c r="N182" s="240" t="str">
        <f>IF(N$3="","",IF(COUNTIFS(BD!$A$3:$A$5001,N$3,BD!$B$3:$B$5001,$A$167,BD!$AB$3:$AB$5001,"&lt;&gt;")=0,"",SUMIFS(BD!$AB$3:$AB$5001,BD!$A$3:$A$5001,N$3,BD!$B$3:$B$5001,$A$167)))</f>
        <v/>
      </c>
      <c r="O182" s="240" t="str">
        <f>IF(O$3="","",IF(COUNTIFS(BD!$A$3:$A$5001,O$3,BD!$B$3:$B$5001,$A$167,BD!$AB$3:$AB$5001,"&lt;&gt;")=0,"",SUMIFS(BD!$AB$3:$AB$5001,BD!$A$3:$A$5001,O$3,BD!$B$3:$B$5001,$A$167)))</f>
        <v/>
      </c>
      <c r="P182" s="240" t="str">
        <f>IF(P$3="","",IF(COUNTIFS(BD!$A$3:$A$5001,P$3,BD!$B$3:$B$5001,$A$167,BD!$AB$3:$AB$5001,"&lt;&gt;")=0,"",SUMIFS(BD!$AB$3:$AB$5001,BD!$A$3:$A$5001,P$3,BD!$B$3:$B$5001,$A$167)))</f>
        <v/>
      </c>
      <c r="Q182" s="240" t="str">
        <f>IF(Q$3="","",IF(COUNTIFS(BD!$A$3:$A$5001,Q$3,BD!$B$3:$B$5001,$A$167,BD!$AB$3:$AB$5001,"&lt;&gt;")=0,"",SUMIFS(BD!$AB$3:$AB$5001,BD!$A$3:$A$5001,Q$3,BD!$B$3:$B$5001,$A$167)))</f>
        <v/>
      </c>
      <c r="R182" s="240" t="str">
        <f>IF(R$3="","",IF(COUNTIFS(BD!$A$3:$A$5001,R$3,BD!$B$3:$B$5001,$A$167,BD!$AB$3:$AB$5001,"&lt;&gt;")=0,"",SUMIFS(BD!$AB$3:$AB$5001,BD!$A$3:$A$5001,R$3,BD!$B$3:$B$5001,$A$167)))</f>
        <v/>
      </c>
      <c r="S182" s="240" t="str">
        <f>IF(S$3="","",IF(COUNTIFS(BD!$A$3:$A$5001,S$3,BD!$B$3:$B$5001,$A$167,BD!$AB$3:$AB$5001,"&lt;&gt;")=0,"",SUMIFS(BD!$AB$3:$AB$5001,BD!$A$3:$A$5001,S$3,BD!$B$3:$B$5001,$A$167)))</f>
        <v/>
      </c>
      <c r="T182" s="240" t="str">
        <f>IF(T$3="","",IF(COUNTIFS(BD!$A$3:$A$5001,T$3,BD!$B$3:$B$5001,$A$167,BD!$AB$3:$AB$5001,"&lt;&gt;")=0,"",SUMIFS(BD!$AB$3:$AB$5001,BD!$A$3:$A$5001,T$3,BD!$B$3:$B$5001,$A$167)))</f>
        <v/>
      </c>
      <c r="U182" s="240" t="str">
        <f>IF(U$3="","",IF(COUNTIFS(BD!$A$3:$A$5001,U$3,BD!$B$3:$B$5001,$A$167,BD!$AB$3:$AB$5001,"&lt;&gt;")=0,"",SUMIFS(BD!$AB$3:$AB$5001,BD!$A$3:$A$5001,U$3,BD!$B$3:$B$5001,$A$167)))</f>
        <v/>
      </c>
      <c r="V182" s="240" t="str">
        <f>IF(V$3="","",IF(COUNTIFS(BD!$A$3:$A$5001,V$3,BD!$B$3:$B$5001,$A$167,BD!$AB$3:$AB$5001,"&lt;&gt;")=0,"",SUMIFS(BD!$AB$3:$AB$5001,BD!$A$3:$A$5001,V$3,BD!$B$3:$B$5001,$A$167)))</f>
        <v/>
      </c>
      <c r="W182" s="240" t="str">
        <f>IF(W$3="","",IF(COUNTIFS(BD!$A$3:$A$5001,W$3,BD!$B$3:$B$5001,$A$167,BD!$AB$3:$AB$5001,"&lt;&gt;")=0,"",SUMIFS(BD!$AB$3:$AB$5001,BD!$A$3:$A$5001,W$3,BD!$B$3:$B$5001,$A$167)))</f>
        <v/>
      </c>
      <c r="X182" s="240" t="str">
        <f>IF(X$3="","",IF(COUNTIFS(BD!$A$3:$A$5001,X$3,BD!$B$3:$B$5001,$A$167,BD!$AB$3:$AB$5001,"&lt;&gt;")=0,"",SUMIFS(BD!$AB$3:$AB$5001,BD!$A$3:$A$5001,X$3,BD!$B$3:$B$5001,$A$167)))</f>
        <v/>
      </c>
      <c r="Y182" s="240" t="str">
        <f>IF(Y$3="","",IF(COUNTIFS(BD!$A$3:$A$5001,Y$3,BD!$B$3:$B$5001,$A$167,BD!$AB$3:$AB$5001,"&lt;&gt;")=0,"",SUMIFS(BD!$AB$3:$AB$5001,BD!$A$3:$A$5001,Y$3,BD!$B$3:$B$5001,$A$167)))</f>
        <v/>
      </c>
      <c r="Z182" s="240" t="str">
        <f>IF(Z$3="","",IF(COUNTIFS(BD!$A$3:$A$5001,Z$3,BD!$B$3:$B$5001,$A$167,BD!$AB$3:$AB$5001,"&lt;&gt;")=0,"",SUMIFS(BD!$AB$3:$AB$5001,BD!$A$3:$A$5001,Z$3,BD!$B$3:$B$5001,$A$167)))</f>
        <v/>
      </c>
      <c r="AA182" s="240" t="str">
        <f>IF(AA$3="","",IF(COUNTIFS(BD!$A$3:$A$5001,AA$3,BD!$B$3:$B$5001,$A$167,BD!$AB$3:$AB$5001,"&lt;&gt;")=0,"",SUMIFS(BD!$AB$3:$AB$5001,BD!$A$3:$A$5001,AA$3,BD!$B$3:$B$5001,$A$167)))</f>
        <v/>
      </c>
      <c r="AB182" s="240" t="str">
        <f>IF(AB$3="","",IF(COUNTIFS(BD!$A$3:$A$5001,AB$3,BD!$B$3:$B$5001,$A$167,BD!$AB$3:$AB$5001,"&lt;&gt;")=0,"",SUMIFS(BD!$AB$3:$AB$5001,BD!$A$3:$A$5001,AB$3,BD!$B$3:$B$5001,$A$167)))</f>
        <v/>
      </c>
      <c r="AC182" s="240" t="str">
        <f>IF(AC$3="","",IF(COUNTIFS(BD!$A$3:$A$5001,AC$3,BD!$B$3:$B$5001,$A$167,BD!$AB$3:$AB$5001,"&lt;&gt;")=0,"",SUMIFS(BD!$AB$3:$AB$5001,BD!$A$3:$A$5001,AC$3,BD!$B$3:$B$5001,$A$167)))</f>
        <v/>
      </c>
      <c r="AD182" s="240" t="str">
        <f>IF(AD$3="","",IF(COUNTIFS(BD!$A$3:$A$5001,AD$3,BD!$B$3:$B$5001,$A$167,BD!$AB$3:$AB$5001,"&lt;&gt;")=0,"",SUMIFS(BD!$AB$3:$AB$5001,BD!$A$3:$A$5001,AD$3,BD!$B$3:$B$5001,$A$167)))</f>
        <v/>
      </c>
      <c r="AE182" s="240" t="str">
        <f>IF(AE$3="","",IF(COUNTIFS(BD!$A$3:$A$5001,AE$3,BD!$B$3:$B$5001,$A$167,BD!$AB$3:$AB$5001,"&lt;&gt;")=0,"",SUMIFS(BD!$AB$3:$AB$5001,BD!$A$3:$A$5001,AE$3,BD!$B$3:$B$5001,$A$167)))</f>
        <v/>
      </c>
      <c r="AF182" s="240" t="str">
        <f>IF(AF$3="","",IF(COUNTIFS(BD!$A$3:$A$5001,AF$3,BD!$B$3:$B$5001,$A$167,BD!$AB$3:$AB$5001,"&lt;&gt;")=0,"",SUMIFS(BD!$AB$3:$AB$5001,BD!$A$3:$A$5001,AF$3,BD!$B$3:$B$5001,$A$167)))</f>
        <v/>
      </c>
      <c r="AG182" s="240" t="str">
        <f>IF(AG$3="","",IF(COUNTIFS(BD!$A$3:$A$5001,AG$3,BD!$B$3:$B$5001,$A$167,BD!$AB$3:$AB$5001,"&lt;&gt;")=0,"",SUMIFS(BD!$AB$3:$AB$5001,BD!$A$3:$A$5001,AG$3,BD!$B$3:$B$5001,$A$167)))</f>
        <v/>
      </c>
      <c r="AH182" s="240" t="str">
        <f>IF(AH$3="","",IF(COUNTIFS(BD!$A$3:$A$5001,AH$3,BD!$B$3:$B$5001,$A$167,BD!$AB$3:$AB$5001,"&lt;&gt;")=0,"",SUMIFS(BD!$AB$3:$AB$5001,BD!$A$3:$A$5001,AH$3,BD!$B$3:$B$5001,$A$167)))</f>
        <v/>
      </c>
      <c r="AI182" s="240" t="str">
        <f>IF(AI$3="","",IF(COUNTIFS(BD!$A$3:$A$5001,AI$3,BD!$B$3:$B$5001,$A$167,BD!$AB$3:$AB$5001,"&lt;&gt;")=0,"",SUMIFS(BD!$AB$3:$AB$5001,BD!$A$3:$A$5001,AI$3,BD!$B$3:$B$5001,$A$167)))</f>
        <v/>
      </c>
      <c r="AJ182" s="241" t="str">
        <f>IF(AJ$3="","",IF(COUNTIFS(BD!$A$3:$A$5001,AJ$3,BD!$B$3:$B$5001,$A$167,BD!$AB$3:$AB$5001,"&lt;&gt;")=0,"",SUMIFS(BD!$AB$3:$AB$5001,BD!$A$3:$A$5001,AJ$3,BD!$B$3:$B$5001,$A$167)))</f>
        <v/>
      </c>
      <c r="AK182" s="242" t="str">
        <f>IF(COUNT(F182:AJ182)=0,"",SUM(F182:AJ182))</f>
        <v/>
      </c>
    </row>
    <row r="183" ht="15.75" customHeight="1">
      <c r="A183" s="261"/>
      <c r="B183" s="258"/>
      <c r="C183" s="232" t="inlineStr">
        <is>
          <t xml:space="preserve">Folga</t>
        </is>
      </c>
      <c r="D183" s="233" t="str">
        <f>IFERROR(1/(1/INDEX(BD!$AL$50:$BF$50,MATCH($A$167,BD!$AL$22:$BF$22,0))),"")</f>
        <v/>
      </c>
      <c r="E183" s="234"/>
      <c r="F183" s="235" t="str">
        <f>IF(F$3="","",IF(COUNTIFS(BD!$A$3:$A$5001,F$3,BD!$B$3:$B$5001,$A$167,BD!$AC$3:$AC$5001,"&lt;&gt;")=0,"",SUMIFS(BD!$AC$3:$AC$5001,BD!$A$3:$A$5001,F$3,BD!$B$3:$B$5001,$A$167)))</f>
        <v/>
      </c>
      <c r="G183" s="236" t="str">
        <f>IF(G$3="","",IF(COUNTIFS(BD!$A$3:$A$5001,G$3,BD!$B$3:$B$5001,$A$167,BD!$AC$3:$AC$5001,"&lt;&gt;")=0,"",SUMIFS(BD!$AC$3:$AC$5001,BD!$A$3:$A$5001,G$3,BD!$B$3:$B$5001,$A$167)))</f>
        <v/>
      </c>
      <c r="H183" s="236" t="str">
        <f>IF(H$3="","",IF(COUNTIFS(BD!$A$3:$A$5001,H$3,BD!$B$3:$B$5001,$A$167,BD!$AC$3:$AC$5001,"&lt;&gt;")=0,"",SUMIFS(BD!$AC$3:$AC$5001,BD!$A$3:$A$5001,H$3,BD!$B$3:$B$5001,$A$167)))</f>
        <v/>
      </c>
      <c r="I183" s="236" t="str">
        <f>IF(I$3="","",IF(COUNTIFS(BD!$A$3:$A$5001,I$3,BD!$B$3:$B$5001,$A$167,BD!$AC$3:$AC$5001,"&lt;&gt;")=0,"",SUMIFS(BD!$AC$3:$AC$5001,BD!$A$3:$A$5001,I$3,BD!$B$3:$B$5001,$A$167)))</f>
        <v/>
      </c>
      <c r="J183" s="236" t="str">
        <f>IF(J$3="","",IF(COUNTIFS(BD!$A$3:$A$5001,J$3,BD!$B$3:$B$5001,$A$167,BD!$AC$3:$AC$5001,"&lt;&gt;")=0,"",SUMIFS(BD!$AC$3:$AC$5001,BD!$A$3:$A$5001,J$3,BD!$B$3:$B$5001,$A$167)))</f>
        <v/>
      </c>
      <c r="K183" s="236" t="str">
        <f>IF(K$3="","",IF(COUNTIFS(BD!$A$3:$A$5001,K$3,BD!$B$3:$B$5001,$A$167,BD!$AC$3:$AC$5001,"&lt;&gt;")=0,"",SUMIFS(BD!$AC$3:$AC$5001,BD!$A$3:$A$5001,K$3,BD!$B$3:$B$5001,$A$167)))</f>
        <v/>
      </c>
      <c r="L183" s="236" t="str">
        <f>IF(L$3="","",IF(COUNTIFS(BD!$A$3:$A$5001,L$3,BD!$B$3:$B$5001,$A$167,BD!$AC$3:$AC$5001,"&lt;&gt;")=0,"",SUMIFS(BD!$AC$3:$AC$5001,BD!$A$3:$A$5001,L$3,BD!$B$3:$B$5001,$A$167)))</f>
        <v/>
      </c>
      <c r="M183" s="236" t="str">
        <f>IF(M$3="","",IF(COUNTIFS(BD!$A$3:$A$5001,M$3,BD!$B$3:$B$5001,$A$167,BD!$AC$3:$AC$5001,"&lt;&gt;")=0,"",SUMIFS(BD!$AC$3:$AC$5001,BD!$A$3:$A$5001,M$3,BD!$B$3:$B$5001,$A$167)))</f>
        <v/>
      </c>
      <c r="N183" s="236" t="str">
        <f>IF(N$3="","",IF(COUNTIFS(BD!$A$3:$A$5001,N$3,BD!$B$3:$B$5001,$A$167,BD!$AC$3:$AC$5001,"&lt;&gt;")=0,"",SUMIFS(BD!$AC$3:$AC$5001,BD!$A$3:$A$5001,N$3,BD!$B$3:$B$5001,$A$167)))</f>
        <v/>
      </c>
      <c r="O183" s="236" t="str">
        <f>IF(O$3="","",IF(COUNTIFS(BD!$A$3:$A$5001,O$3,BD!$B$3:$B$5001,$A$167,BD!$AC$3:$AC$5001,"&lt;&gt;")=0,"",SUMIFS(BD!$AC$3:$AC$5001,BD!$A$3:$A$5001,O$3,BD!$B$3:$B$5001,$A$167)))</f>
        <v/>
      </c>
      <c r="P183" s="236" t="str">
        <f>IF(P$3="","",IF(COUNTIFS(BD!$A$3:$A$5001,P$3,BD!$B$3:$B$5001,$A$167,BD!$AC$3:$AC$5001,"&lt;&gt;")=0,"",SUMIFS(BD!$AC$3:$AC$5001,BD!$A$3:$A$5001,P$3,BD!$B$3:$B$5001,$A$167)))</f>
        <v/>
      </c>
      <c r="Q183" s="236" t="str">
        <f>IF(Q$3="","",IF(COUNTIFS(BD!$A$3:$A$5001,Q$3,BD!$B$3:$B$5001,$A$167,BD!$AC$3:$AC$5001,"&lt;&gt;")=0,"",SUMIFS(BD!$AC$3:$AC$5001,BD!$A$3:$A$5001,Q$3,BD!$B$3:$B$5001,$A$167)))</f>
        <v/>
      </c>
      <c r="R183" s="236" t="str">
        <f>IF(R$3="","",IF(COUNTIFS(BD!$A$3:$A$5001,R$3,BD!$B$3:$B$5001,$A$167,BD!$AC$3:$AC$5001,"&lt;&gt;")=0,"",SUMIFS(BD!$AC$3:$AC$5001,BD!$A$3:$A$5001,R$3,BD!$B$3:$B$5001,$A$167)))</f>
        <v/>
      </c>
      <c r="S183" s="236" t="str">
        <f>IF(S$3="","",IF(COUNTIFS(BD!$A$3:$A$5001,S$3,BD!$B$3:$B$5001,$A$167,BD!$AC$3:$AC$5001,"&lt;&gt;")=0,"",SUMIFS(BD!$AC$3:$AC$5001,BD!$A$3:$A$5001,S$3,BD!$B$3:$B$5001,$A$167)))</f>
        <v/>
      </c>
      <c r="T183" s="236" t="str">
        <f>IF(T$3="","",IF(COUNTIFS(BD!$A$3:$A$5001,T$3,BD!$B$3:$B$5001,$A$167,BD!$AC$3:$AC$5001,"&lt;&gt;")=0,"",SUMIFS(BD!$AC$3:$AC$5001,BD!$A$3:$A$5001,T$3,BD!$B$3:$B$5001,$A$167)))</f>
        <v/>
      </c>
      <c r="U183" s="236" t="str">
        <f>IF(U$3="","",IF(COUNTIFS(BD!$A$3:$A$5001,U$3,BD!$B$3:$B$5001,$A$167,BD!$AC$3:$AC$5001,"&lt;&gt;")=0,"",SUMIFS(BD!$AC$3:$AC$5001,BD!$A$3:$A$5001,U$3,BD!$B$3:$B$5001,$A$167)))</f>
        <v/>
      </c>
      <c r="V183" s="236" t="str">
        <f>IF(V$3="","",IF(COUNTIFS(BD!$A$3:$A$5001,V$3,BD!$B$3:$B$5001,$A$167,BD!$AC$3:$AC$5001,"&lt;&gt;")=0,"",SUMIFS(BD!$AC$3:$AC$5001,BD!$A$3:$A$5001,V$3,BD!$B$3:$B$5001,$A$167)))</f>
        <v/>
      </c>
      <c r="W183" s="236" t="str">
        <f>IF(W$3="","",IF(COUNTIFS(BD!$A$3:$A$5001,W$3,BD!$B$3:$B$5001,$A$167,BD!$AC$3:$AC$5001,"&lt;&gt;")=0,"",SUMIFS(BD!$AC$3:$AC$5001,BD!$A$3:$A$5001,W$3,BD!$B$3:$B$5001,$A$167)))</f>
        <v/>
      </c>
      <c r="X183" s="236" t="str">
        <f>IF(X$3="","",IF(COUNTIFS(BD!$A$3:$A$5001,X$3,BD!$B$3:$B$5001,$A$167,BD!$AC$3:$AC$5001,"&lt;&gt;")=0,"",SUMIFS(BD!$AC$3:$AC$5001,BD!$A$3:$A$5001,X$3,BD!$B$3:$B$5001,$A$167)))</f>
        <v/>
      </c>
      <c r="Y183" s="236" t="str">
        <f>IF(Y$3="","",IF(COUNTIFS(BD!$A$3:$A$5001,Y$3,BD!$B$3:$B$5001,$A$167,BD!$AC$3:$AC$5001,"&lt;&gt;")=0,"",SUMIFS(BD!$AC$3:$AC$5001,BD!$A$3:$A$5001,Y$3,BD!$B$3:$B$5001,$A$167)))</f>
        <v/>
      </c>
      <c r="Z183" s="236" t="str">
        <f>IF(Z$3="","",IF(COUNTIFS(BD!$A$3:$A$5001,Z$3,BD!$B$3:$B$5001,$A$167,BD!$AC$3:$AC$5001,"&lt;&gt;")=0,"",SUMIFS(BD!$AC$3:$AC$5001,BD!$A$3:$A$5001,Z$3,BD!$B$3:$B$5001,$A$167)))</f>
        <v/>
      </c>
      <c r="AA183" s="236" t="str">
        <f>IF(AA$3="","",IF(COUNTIFS(BD!$A$3:$A$5001,AA$3,BD!$B$3:$B$5001,$A$167,BD!$AC$3:$AC$5001,"&lt;&gt;")=0,"",SUMIFS(BD!$AC$3:$AC$5001,BD!$A$3:$A$5001,AA$3,BD!$B$3:$B$5001,$A$167)))</f>
        <v/>
      </c>
      <c r="AB183" s="236" t="str">
        <f>IF(AB$3="","",IF(COUNTIFS(BD!$A$3:$A$5001,AB$3,BD!$B$3:$B$5001,$A$167,BD!$AC$3:$AC$5001,"&lt;&gt;")=0,"",SUMIFS(BD!$AC$3:$AC$5001,BD!$A$3:$A$5001,AB$3,BD!$B$3:$B$5001,$A$167)))</f>
        <v/>
      </c>
      <c r="AC183" s="236" t="str">
        <f>IF(AC$3="","",IF(COUNTIFS(BD!$A$3:$A$5001,AC$3,BD!$B$3:$B$5001,$A$167,BD!$AC$3:$AC$5001,"&lt;&gt;")=0,"",SUMIFS(BD!$AC$3:$AC$5001,BD!$A$3:$A$5001,AC$3,BD!$B$3:$B$5001,$A$167)))</f>
        <v/>
      </c>
      <c r="AD183" s="236" t="str">
        <f>IF(AD$3="","",IF(COUNTIFS(BD!$A$3:$A$5001,AD$3,BD!$B$3:$B$5001,$A$167,BD!$AC$3:$AC$5001,"&lt;&gt;")=0,"",SUMIFS(BD!$AC$3:$AC$5001,BD!$A$3:$A$5001,AD$3,BD!$B$3:$B$5001,$A$167)))</f>
        <v/>
      </c>
      <c r="AE183" s="236" t="str">
        <f>IF(AE$3="","",IF(COUNTIFS(BD!$A$3:$A$5001,AE$3,BD!$B$3:$B$5001,$A$167,BD!$AC$3:$AC$5001,"&lt;&gt;")=0,"",SUMIFS(BD!$AC$3:$AC$5001,BD!$A$3:$A$5001,AE$3,BD!$B$3:$B$5001,$A$167)))</f>
        <v/>
      </c>
      <c r="AF183" s="236" t="str">
        <f>IF(AF$3="","",IF(COUNTIFS(BD!$A$3:$A$5001,AF$3,BD!$B$3:$B$5001,$A$167,BD!$AC$3:$AC$5001,"&lt;&gt;")=0,"",SUMIFS(BD!$AC$3:$AC$5001,BD!$A$3:$A$5001,AF$3,BD!$B$3:$B$5001,$A$167)))</f>
        <v/>
      </c>
      <c r="AG183" s="236" t="str">
        <f>IF(AG$3="","",IF(COUNTIFS(BD!$A$3:$A$5001,AG$3,BD!$B$3:$B$5001,$A$167,BD!$AC$3:$AC$5001,"&lt;&gt;")=0,"",SUMIFS(BD!$AC$3:$AC$5001,BD!$A$3:$A$5001,AG$3,BD!$B$3:$B$5001,$A$167)))</f>
        <v/>
      </c>
      <c r="AH183" s="236" t="str">
        <f>IF(AH$3="","",IF(COUNTIFS(BD!$A$3:$A$5001,AH$3,BD!$B$3:$B$5001,$A$167,BD!$AC$3:$AC$5001,"&lt;&gt;")=0,"",SUMIFS(BD!$AC$3:$AC$5001,BD!$A$3:$A$5001,AH$3,BD!$B$3:$B$5001,$A$167)))</f>
        <v/>
      </c>
      <c r="AI183" s="236" t="str">
        <f>IF(AI$3="","",IF(COUNTIFS(BD!$A$3:$A$5001,AI$3,BD!$B$3:$B$5001,$A$167,BD!$AC$3:$AC$5001,"&lt;&gt;")=0,"",SUMIFS(BD!$AC$3:$AC$5001,BD!$A$3:$A$5001,AI$3,BD!$B$3:$B$5001,$A$167)))</f>
        <v/>
      </c>
      <c r="AJ183" s="237" t="str">
        <f>IF(AJ$3="","",IF(COUNTIFS(BD!$A$3:$A$5001,AJ$3,BD!$B$3:$B$5001,$A$167,BD!$AC$3:$AC$5001,"&lt;&gt;")=0,"",SUMIFS(BD!$AC$3:$AC$5001,BD!$A$3:$A$5001,AJ$3,BD!$B$3:$B$5001,$A$167)))</f>
        <v/>
      </c>
      <c r="AK183" s="238" t="str">
        <f>IF(COUNT(F183:AJ183)=0,"",SUM(F183:AJ183))</f>
        <v/>
      </c>
    </row>
    <row r="184" ht="15.75" customHeight="1">
      <c r="A184" s="261"/>
      <c r="B184" s="258"/>
      <c r="C184" s="232" t="inlineStr">
        <is>
          <t xml:space="preserve">Férias</t>
        </is>
      </c>
      <c r="D184" s="233" t="str">
        <f>IFERROR(1/(1/INDEX(BD!$AL$51:$BF$51,MATCH($A$167,BD!$AL$22:$BF$22,0))),"")</f>
        <v/>
      </c>
      <c r="E184" s="234"/>
      <c r="F184" s="235" t="str">
        <f>IF(F$3="","",IF(COUNTIFS(BD!$A$3:$A$5001,F$3,BD!$B$3:$B$5001,$A$167,BD!$AD$3:$AD$5001,"&lt;&gt;")=0,"",SUMIFS(BD!$AD$3:$AD$5001,BD!$A$3:$A$5001,F$3,BD!$B$3:$B$5001,$A$167)))</f>
        <v/>
      </c>
      <c r="G184" s="236" t="str">
        <f>IF(G$3="","",IF(COUNTIFS(BD!$A$3:$A$5001,G$3,BD!$B$3:$B$5001,$A$167,BD!$AD$3:$AD$5001,"&lt;&gt;")=0,"",SUMIFS(BD!$AD$3:$AD$5001,BD!$A$3:$A$5001,G$3,BD!$B$3:$B$5001,$A$167)))</f>
        <v/>
      </c>
      <c r="H184" s="236" t="str">
        <f>IF(H$3="","",IF(COUNTIFS(BD!$A$3:$A$5001,H$3,BD!$B$3:$B$5001,$A$167,BD!$AD$3:$AD$5001,"&lt;&gt;")=0,"",SUMIFS(BD!$AD$3:$AD$5001,BD!$A$3:$A$5001,H$3,BD!$B$3:$B$5001,$A$167)))</f>
        <v/>
      </c>
      <c r="I184" s="236" t="str">
        <f>IF(I$3="","",IF(COUNTIFS(BD!$A$3:$A$5001,I$3,BD!$B$3:$B$5001,$A$167,BD!$AD$3:$AD$5001,"&lt;&gt;")=0,"",SUMIFS(BD!$AD$3:$AD$5001,BD!$A$3:$A$5001,I$3,BD!$B$3:$B$5001,$A$167)))</f>
        <v/>
      </c>
      <c r="J184" s="236" t="str">
        <f>IF(J$3="","",IF(COUNTIFS(BD!$A$3:$A$5001,J$3,BD!$B$3:$B$5001,$A$167,BD!$AD$3:$AD$5001,"&lt;&gt;")=0,"",SUMIFS(BD!$AD$3:$AD$5001,BD!$A$3:$A$5001,J$3,BD!$B$3:$B$5001,$A$167)))</f>
        <v/>
      </c>
      <c r="K184" s="236" t="str">
        <f>IF(K$3="","",IF(COUNTIFS(BD!$A$3:$A$5001,K$3,BD!$B$3:$B$5001,$A$167,BD!$AD$3:$AD$5001,"&lt;&gt;")=0,"",SUMIFS(BD!$AD$3:$AD$5001,BD!$A$3:$A$5001,K$3,BD!$B$3:$B$5001,$A$167)))</f>
        <v/>
      </c>
      <c r="L184" s="236" t="str">
        <f>IF(L$3="","",IF(COUNTIFS(BD!$A$3:$A$5001,L$3,BD!$B$3:$B$5001,$A$167,BD!$AD$3:$AD$5001,"&lt;&gt;")=0,"",SUMIFS(BD!$AD$3:$AD$5001,BD!$A$3:$A$5001,L$3,BD!$B$3:$B$5001,$A$167)))</f>
        <v/>
      </c>
      <c r="M184" s="236" t="str">
        <f>IF(M$3="","",IF(COUNTIFS(BD!$A$3:$A$5001,M$3,BD!$B$3:$B$5001,$A$167,BD!$AD$3:$AD$5001,"&lt;&gt;")=0,"",SUMIFS(BD!$AD$3:$AD$5001,BD!$A$3:$A$5001,M$3,BD!$B$3:$B$5001,$A$167)))</f>
        <v/>
      </c>
      <c r="N184" s="236" t="str">
        <f>IF(N$3="","",IF(COUNTIFS(BD!$A$3:$A$5001,N$3,BD!$B$3:$B$5001,$A$167,BD!$AD$3:$AD$5001,"&lt;&gt;")=0,"",SUMIFS(BD!$AD$3:$AD$5001,BD!$A$3:$A$5001,N$3,BD!$B$3:$B$5001,$A$167)))</f>
        <v/>
      </c>
      <c r="O184" s="236" t="str">
        <f>IF(O$3="","",IF(COUNTIFS(BD!$A$3:$A$5001,O$3,BD!$B$3:$B$5001,$A$167,BD!$AD$3:$AD$5001,"&lt;&gt;")=0,"",SUMIFS(BD!$AD$3:$AD$5001,BD!$A$3:$A$5001,O$3,BD!$B$3:$B$5001,$A$167)))</f>
        <v/>
      </c>
      <c r="P184" s="236" t="str">
        <f>IF(P$3="","",IF(COUNTIFS(BD!$A$3:$A$5001,P$3,BD!$B$3:$B$5001,$A$167,BD!$AD$3:$AD$5001,"&lt;&gt;")=0,"",SUMIFS(BD!$AD$3:$AD$5001,BD!$A$3:$A$5001,P$3,BD!$B$3:$B$5001,$A$167)))</f>
        <v/>
      </c>
      <c r="Q184" s="236" t="str">
        <f>IF(Q$3="","",IF(COUNTIFS(BD!$A$3:$A$5001,Q$3,BD!$B$3:$B$5001,$A$167,BD!$AD$3:$AD$5001,"&lt;&gt;")=0,"",SUMIFS(BD!$AD$3:$AD$5001,BD!$A$3:$A$5001,Q$3,BD!$B$3:$B$5001,$A$167)))</f>
        <v/>
      </c>
      <c r="R184" s="236" t="str">
        <f>IF(R$3="","",IF(COUNTIFS(BD!$A$3:$A$5001,R$3,BD!$B$3:$B$5001,$A$167,BD!$AD$3:$AD$5001,"&lt;&gt;")=0,"",SUMIFS(BD!$AD$3:$AD$5001,BD!$A$3:$A$5001,R$3,BD!$B$3:$B$5001,$A$167)))</f>
        <v/>
      </c>
      <c r="S184" s="236" t="str">
        <f>IF(S$3="","",IF(COUNTIFS(BD!$A$3:$A$5001,S$3,BD!$B$3:$B$5001,$A$167,BD!$AD$3:$AD$5001,"&lt;&gt;")=0,"",SUMIFS(BD!$AD$3:$AD$5001,BD!$A$3:$A$5001,S$3,BD!$B$3:$B$5001,$A$167)))</f>
        <v/>
      </c>
      <c r="T184" s="236" t="str">
        <f>IF(T$3="","",IF(COUNTIFS(BD!$A$3:$A$5001,T$3,BD!$B$3:$B$5001,$A$167,BD!$AD$3:$AD$5001,"&lt;&gt;")=0,"",SUMIFS(BD!$AD$3:$AD$5001,BD!$A$3:$A$5001,T$3,BD!$B$3:$B$5001,$A$167)))</f>
        <v/>
      </c>
      <c r="U184" s="236" t="str">
        <f>IF(U$3="","",IF(COUNTIFS(BD!$A$3:$A$5001,U$3,BD!$B$3:$B$5001,$A$167,BD!$AD$3:$AD$5001,"&lt;&gt;")=0,"",SUMIFS(BD!$AD$3:$AD$5001,BD!$A$3:$A$5001,U$3,BD!$B$3:$B$5001,$A$167)))</f>
        <v/>
      </c>
      <c r="V184" s="236" t="str">
        <f>IF(V$3="","",IF(COUNTIFS(BD!$A$3:$A$5001,V$3,BD!$B$3:$B$5001,$A$167,BD!$AD$3:$AD$5001,"&lt;&gt;")=0,"",SUMIFS(BD!$AD$3:$AD$5001,BD!$A$3:$A$5001,V$3,BD!$B$3:$B$5001,$A$167)))</f>
        <v/>
      </c>
      <c r="W184" s="236" t="str">
        <f>IF(W$3="","",IF(COUNTIFS(BD!$A$3:$A$5001,W$3,BD!$B$3:$B$5001,$A$167,BD!$AD$3:$AD$5001,"&lt;&gt;")=0,"",SUMIFS(BD!$AD$3:$AD$5001,BD!$A$3:$A$5001,W$3,BD!$B$3:$B$5001,$A$167)))</f>
        <v/>
      </c>
      <c r="X184" s="236" t="str">
        <f>IF(X$3="","",IF(COUNTIFS(BD!$A$3:$A$5001,X$3,BD!$B$3:$B$5001,$A$167,BD!$AD$3:$AD$5001,"&lt;&gt;")=0,"",SUMIFS(BD!$AD$3:$AD$5001,BD!$A$3:$A$5001,X$3,BD!$B$3:$B$5001,$A$167)))</f>
        <v/>
      </c>
      <c r="Y184" s="236" t="str">
        <f>IF(Y$3="","",IF(COUNTIFS(BD!$A$3:$A$5001,Y$3,BD!$B$3:$B$5001,$A$167,BD!$AD$3:$AD$5001,"&lt;&gt;")=0,"",SUMIFS(BD!$AD$3:$AD$5001,BD!$A$3:$A$5001,Y$3,BD!$B$3:$B$5001,$A$167)))</f>
        <v/>
      </c>
      <c r="Z184" s="236" t="str">
        <f>IF(Z$3="","",IF(COUNTIFS(BD!$A$3:$A$5001,Z$3,BD!$B$3:$B$5001,$A$167,BD!$AD$3:$AD$5001,"&lt;&gt;")=0,"",SUMIFS(BD!$AD$3:$AD$5001,BD!$A$3:$A$5001,Z$3,BD!$B$3:$B$5001,$A$167)))</f>
        <v/>
      </c>
      <c r="AA184" s="236" t="str">
        <f>IF(AA$3="","",IF(COUNTIFS(BD!$A$3:$A$5001,AA$3,BD!$B$3:$B$5001,$A$167,BD!$AD$3:$AD$5001,"&lt;&gt;")=0,"",SUMIFS(BD!$AD$3:$AD$5001,BD!$A$3:$A$5001,AA$3,BD!$B$3:$B$5001,$A$167)))</f>
        <v/>
      </c>
      <c r="AB184" s="236" t="str">
        <f>IF(AB$3="","",IF(COUNTIFS(BD!$A$3:$A$5001,AB$3,BD!$B$3:$B$5001,$A$167,BD!$AD$3:$AD$5001,"&lt;&gt;")=0,"",SUMIFS(BD!$AD$3:$AD$5001,BD!$A$3:$A$5001,AB$3,BD!$B$3:$B$5001,$A$167)))</f>
        <v/>
      </c>
      <c r="AC184" s="236" t="str">
        <f>IF(AC$3="","",IF(COUNTIFS(BD!$A$3:$A$5001,AC$3,BD!$B$3:$B$5001,$A$167,BD!$AD$3:$AD$5001,"&lt;&gt;")=0,"",SUMIFS(BD!$AD$3:$AD$5001,BD!$A$3:$A$5001,AC$3,BD!$B$3:$B$5001,$A$167)))</f>
        <v/>
      </c>
      <c r="AD184" s="236" t="str">
        <f>IF(AD$3="","",IF(COUNTIFS(BD!$A$3:$A$5001,AD$3,BD!$B$3:$B$5001,$A$167,BD!$AD$3:$AD$5001,"&lt;&gt;")=0,"",SUMIFS(BD!$AD$3:$AD$5001,BD!$A$3:$A$5001,AD$3,BD!$B$3:$B$5001,$A$167)))</f>
        <v/>
      </c>
      <c r="AE184" s="236" t="str">
        <f>IF(AE$3="","",IF(COUNTIFS(BD!$A$3:$A$5001,AE$3,BD!$B$3:$B$5001,$A$167,BD!$AD$3:$AD$5001,"&lt;&gt;")=0,"",SUMIFS(BD!$AD$3:$AD$5001,BD!$A$3:$A$5001,AE$3,BD!$B$3:$B$5001,$A$167)))</f>
        <v/>
      </c>
      <c r="AF184" s="236" t="str">
        <f>IF(AF$3="","",IF(COUNTIFS(BD!$A$3:$A$5001,AF$3,BD!$B$3:$B$5001,$A$167,BD!$AD$3:$AD$5001,"&lt;&gt;")=0,"",SUMIFS(BD!$AD$3:$AD$5001,BD!$A$3:$A$5001,AF$3,BD!$B$3:$B$5001,$A$167)))</f>
        <v/>
      </c>
      <c r="AG184" s="236" t="str">
        <f>IF(AG$3="","",IF(COUNTIFS(BD!$A$3:$A$5001,AG$3,BD!$B$3:$B$5001,$A$167,BD!$AD$3:$AD$5001,"&lt;&gt;")=0,"",SUMIFS(BD!$AD$3:$AD$5001,BD!$A$3:$A$5001,AG$3,BD!$B$3:$B$5001,$A$167)))</f>
        <v/>
      </c>
      <c r="AH184" s="236" t="str">
        <f>IF(AH$3="","",IF(COUNTIFS(BD!$A$3:$A$5001,AH$3,BD!$B$3:$B$5001,$A$167,BD!$AD$3:$AD$5001,"&lt;&gt;")=0,"",SUMIFS(BD!$AD$3:$AD$5001,BD!$A$3:$A$5001,AH$3,BD!$B$3:$B$5001,$A$167)))</f>
        <v/>
      </c>
      <c r="AI184" s="236" t="str">
        <f>IF(AI$3="","",IF(COUNTIFS(BD!$A$3:$A$5001,AI$3,BD!$B$3:$B$5001,$A$167,BD!$AD$3:$AD$5001,"&lt;&gt;")=0,"",SUMIFS(BD!$AD$3:$AD$5001,BD!$A$3:$A$5001,AI$3,BD!$B$3:$B$5001,$A$167)))</f>
        <v/>
      </c>
      <c r="AJ184" s="237" t="str">
        <f>IF(AJ$3="","",IF(COUNTIFS(BD!$A$3:$A$5001,AJ$3,BD!$B$3:$B$5001,$A$167,BD!$AD$3:$AD$5001,"&lt;&gt;")=0,"",SUMIFS(BD!$AD$3:$AD$5001,BD!$A$3:$A$5001,AJ$3,BD!$B$3:$B$5001,$A$167)))</f>
        <v/>
      </c>
      <c r="AK184" s="238" t="str">
        <f>IF(COUNT(F184:AJ184)=0,"",SUM(F184:AJ184))</f>
        <v/>
      </c>
    </row>
    <row r="185" ht="15.75" customHeight="1">
      <c r="A185" s="261"/>
      <c r="B185" s="258"/>
      <c r="C185" s="232" t="inlineStr">
        <is>
          <t xml:space="preserve">Desligamento</t>
        </is>
      </c>
      <c r="D185" s="233" t="str">
        <f>IFERROR(1/(1/INDEX(BD!$AL$52:$BF$52,MATCH($A$167,BD!$AL$22:$BF$22,0))),"")</f>
        <v/>
      </c>
      <c r="E185" s="234"/>
      <c r="F185" s="235" t="str">
        <f>IF(F$3="","",IF(COUNTIFS(BD!$A$3:$A$5001,F$3,BD!$B$3:$B$5001,$A$167,BD!$AE$3:$AE$5001,"&lt;&gt;")=0,"",SUMIFS(BD!$AE$3:$AE$5001,BD!$A$3:$A$5001,F$3,BD!$B$3:$B$5001,$A$167)))</f>
        <v/>
      </c>
      <c r="G185" s="236" t="str">
        <f>IF(G$3="","",IF(COUNTIFS(BD!$A$3:$A$5001,G$3,BD!$B$3:$B$5001,$A$167,BD!$AE$3:$AE$5001,"&lt;&gt;")=0,"",SUMIFS(BD!$AE$3:$AE$5001,BD!$A$3:$A$5001,G$3,BD!$B$3:$B$5001,$A$167)))</f>
        <v/>
      </c>
      <c r="H185" s="236" t="str">
        <f>IF(H$3="","",IF(COUNTIFS(BD!$A$3:$A$5001,H$3,BD!$B$3:$B$5001,$A$167,BD!$AE$3:$AE$5001,"&lt;&gt;")=0,"",SUMIFS(BD!$AE$3:$AE$5001,BD!$A$3:$A$5001,H$3,BD!$B$3:$B$5001,$A$167)))</f>
        <v/>
      </c>
      <c r="I185" s="236" t="str">
        <f>IF(I$3="","",IF(COUNTIFS(BD!$A$3:$A$5001,I$3,BD!$B$3:$B$5001,$A$167,BD!$AE$3:$AE$5001,"&lt;&gt;")=0,"",SUMIFS(BD!$AE$3:$AE$5001,BD!$A$3:$A$5001,I$3,BD!$B$3:$B$5001,$A$167)))</f>
        <v/>
      </c>
      <c r="J185" s="236" t="str">
        <f>IF(J$3="","",IF(COUNTIFS(BD!$A$3:$A$5001,J$3,BD!$B$3:$B$5001,$A$167,BD!$AE$3:$AE$5001,"&lt;&gt;")=0,"",SUMIFS(BD!$AE$3:$AE$5001,BD!$A$3:$A$5001,J$3,BD!$B$3:$B$5001,$A$167)))</f>
        <v/>
      </c>
      <c r="K185" s="236" t="str">
        <f>IF(K$3="","",IF(COUNTIFS(BD!$A$3:$A$5001,K$3,BD!$B$3:$B$5001,$A$167,BD!$AE$3:$AE$5001,"&lt;&gt;")=0,"",SUMIFS(BD!$AE$3:$AE$5001,BD!$A$3:$A$5001,K$3,BD!$B$3:$B$5001,$A$167)))</f>
        <v/>
      </c>
      <c r="L185" s="236" t="str">
        <f>IF(L$3="","",IF(COUNTIFS(BD!$A$3:$A$5001,L$3,BD!$B$3:$B$5001,$A$167,BD!$AE$3:$AE$5001,"&lt;&gt;")=0,"",SUMIFS(BD!$AE$3:$AE$5001,BD!$A$3:$A$5001,L$3,BD!$B$3:$B$5001,$A$167)))</f>
        <v/>
      </c>
      <c r="M185" s="236" t="str">
        <f>IF(M$3="","",IF(COUNTIFS(BD!$A$3:$A$5001,M$3,BD!$B$3:$B$5001,$A$167,BD!$AE$3:$AE$5001,"&lt;&gt;")=0,"",SUMIFS(BD!$AE$3:$AE$5001,BD!$A$3:$A$5001,M$3,BD!$B$3:$B$5001,$A$167)))</f>
        <v/>
      </c>
      <c r="N185" s="236" t="str">
        <f>IF(N$3="","",IF(COUNTIFS(BD!$A$3:$A$5001,N$3,BD!$B$3:$B$5001,$A$167,BD!$AE$3:$AE$5001,"&lt;&gt;")=0,"",SUMIFS(BD!$AE$3:$AE$5001,BD!$A$3:$A$5001,N$3,BD!$B$3:$B$5001,$A$167)))</f>
        <v/>
      </c>
      <c r="O185" s="236" t="str">
        <f>IF(O$3="","",IF(COUNTIFS(BD!$A$3:$A$5001,O$3,BD!$B$3:$B$5001,$A$167,BD!$AE$3:$AE$5001,"&lt;&gt;")=0,"",SUMIFS(BD!$AE$3:$AE$5001,BD!$A$3:$A$5001,O$3,BD!$B$3:$B$5001,$A$167)))</f>
        <v/>
      </c>
      <c r="P185" s="236" t="str">
        <f>IF(P$3="","",IF(COUNTIFS(BD!$A$3:$A$5001,P$3,BD!$B$3:$B$5001,$A$167,BD!$AE$3:$AE$5001,"&lt;&gt;")=0,"",SUMIFS(BD!$AE$3:$AE$5001,BD!$A$3:$A$5001,P$3,BD!$B$3:$B$5001,$A$167)))</f>
        <v/>
      </c>
      <c r="Q185" s="236" t="str">
        <f>IF(Q$3="","",IF(COUNTIFS(BD!$A$3:$A$5001,Q$3,BD!$B$3:$B$5001,$A$167,BD!$AE$3:$AE$5001,"&lt;&gt;")=0,"",SUMIFS(BD!$AE$3:$AE$5001,BD!$A$3:$A$5001,Q$3,BD!$B$3:$B$5001,$A$167)))</f>
        <v/>
      </c>
      <c r="R185" s="236" t="str">
        <f>IF(R$3="","",IF(COUNTIFS(BD!$A$3:$A$5001,R$3,BD!$B$3:$B$5001,$A$167,BD!$AE$3:$AE$5001,"&lt;&gt;")=0,"",SUMIFS(BD!$AE$3:$AE$5001,BD!$A$3:$A$5001,R$3,BD!$B$3:$B$5001,$A$167)))</f>
        <v/>
      </c>
      <c r="S185" s="236" t="str">
        <f>IF(S$3="","",IF(COUNTIFS(BD!$A$3:$A$5001,S$3,BD!$B$3:$B$5001,$A$167,BD!$AE$3:$AE$5001,"&lt;&gt;")=0,"",SUMIFS(BD!$AE$3:$AE$5001,BD!$A$3:$A$5001,S$3,BD!$B$3:$B$5001,$A$167)))</f>
        <v/>
      </c>
      <c r="T185" s="236" t="str">
        <f>IF(T$3="","",IF(COUNTIFS(BD!$A$3:$A$5001,T$3,BD!$B$3:$B$5001,$A$167,BD!$AE$3:$AE$5001,"&lt;&gt;")=0,"",SUMIFS(BD!$AE$3:$AE$5001,BD!$A$3:$A$5001,T$3,BD!$B$3:$B$5001,$A$167)))</f>
        <v/>
      </c>
      <c r="U185" s="236" t="str">
        <f>IF(U$3="","",IF(COUNTIFS(BD!$A$3:$A$5001,U$3,BD!$B$3:$B$5001,$A$167,BD!$AE$3:$AE$5001,"&lt;&gt;")=0,"",SUMIFS(BD!$AE$3:$AE$5001,BD!$A$3:$A$5001,U$3,BD!$B$3:$B$5001,$A$167)))</f>
        <v/>
      </c>
      <c r="V185" s="236" t="str">
        <f>IF(V$3="","",IF(COUNTIFS(BD!$A$3:$A$5001,V$3,BD!$B$3:$B$5001,$A$167,BD!$AE$3:$AE$5001,"&lt;&gt;")=0,"",SUMIFS(BD!$AE$3:$AE$5001,BD!$A$3:$A$5001,V$3,BD!$B$3:$B$5001,$A$167)))</f>
        <v/>
      </c>
      <c r="W185" s="236" t="str">
        <f>IF(W$3="","",IF(COUNTIFS(BD!$A$3:$A$5001,W$3,BD!$B$3:$B$5001,$A$167,BD!$AE$3:$AE$5001,"&lt;&gt;")=0,"",SUMIFS(BD!$AE$3:$AE$5001,BD!$A$3:$A$5001,W$3,BD!$B$3:$B$5001,$A$167)))</f>
        <v/>
      </c>
      <c r="X185" s="236" t="str">
        <f>IF(X$3="","",IF(COUNTIFS(BD!$A$3:$A$5001,X$3,BD!$B$3:$B$5001,$A$167,BD!$AE$3:$AE$5001,"&lt;&gt;")=0,"",SUMIFS(BD!$AE$3:$AE$5001,BD!$A$3:$A$5001,X$3,BD!$B$3:$B$5001,$A$167)))</f>
        <v/>
      </c>
      <c r="Y185" s="236" t="str">
        <f>IF(Y$3="","",IF(COUNTIFS(BD!$A$3:$A$5001,Y$3,BD!$B$3:$B$5001,$A$167,BD!$AE$3:$AE$5001,"&lt;&gt;")=0,"",SUMIFS(BD!$AE$3:$AE$5001,BD!$A$3:$A$5001,Y$3,BD!$B$3:$B$5001,$A$167)))</f>
        <v/>
      </c>
      <c r="Z185" s="236" t="str">
        <f>IF(Z$3="","",IF(COUNTIFS(BD!$A$3:$A$5001,Z$3,BD!$B$3:$B$5001,$A$167,BD!$AE$3:$AE$5001,"&lt;&gt;")=0,"",SUMIFS(BD!$AE$3:$AE$5001,BD!$A$3:$A$5001,Z$3,BD!$B$3:$B$5001,$A$167)))</f>
        <v/>
      </c>
      <c r="AA185" s="236" t="str">
        <f>IF(AA$3="","",IF(COUNTIFS(BD!$A$3:$A$5001,AA$3,BD!$B$3:$B$5001,$A$167,BD!$AE$3:$AE$5001,"&lt;&gt;")=0,"",SUMIFS(BD!$AE$3:$AE$5001,BD!$A$3:$A$5001,AA$3,BD!$B$3:$B$5001,$A$167)))</f>
        <v/>
      </c>
      <c r="AB185" s="236" t="str">
        <f>IF(AB$3="","",IF(COUNTIFS(BD!$A$3:$A$5001,AB$3,BD!$B$3:$B$5001,$A$167,BD!$AE$3:$AE$5001,"&lt;&gt;")=0,"",SUMIFS(BD!$AE$3:$AE$5001,BD!$A$3:$A$5001,AB$3,BD!$B$3:$B$5001,$A$167)))</f>
        <v/>
      </c>
      <c r="AC185" s="236" t="str">
        <f>IF(AC$3="","",IF(COUNTIFS(BD!$A$3:$A$5001,AC$3,BD!$B$3:$B$5001,$A$167,BD!$AE$3:$AE$5001,"&lt;&gt;")=0,"",SUMIFS(BD!$AE$3:$AE$5001,BD!$A$3:$A$5001,AC$3,BD!$B$3:$B$5001,$A$167)))</f>
        <v/>
      </c>
      <c r="AD185" s="236" t="str">
        <f>IF(AD$3="","",IF(COUNTIFS(BD!$A$3:$A$5001,AD$3,BD!$B$3:$B$5001,$A$167,BD!$AE$3:$AE$5001,"&lt;&gt;")=0,"",SUMIFS(BD!$AE$3:$AE$5001,BD!$A$3:$A$5001,AD$3,BD!$B$3:$B$5001,$A$167)))</f>
        <v/>
      </c>
      <c r="AE185" s="236" t="str">
        <f>IF(AE$3="","",IF(COUNTIFS(BD!$A$3:$A$5001,AE$3,BD!$B$3:$B$5001,$A$167,BD!$AE$3:$AE$5001,"&lt;&gt;")=0,"",SUMIFS(BD!$AE$3:$AE$5001,BD!$A$3:$A$5001,AE$3,BD!$B$3:$B$5001,$A$167)))</f>
        <v/>
      </c>
      <c r="AF185" s="236" t="str">
        <f>IF(AF$3="","",IF(COUNTIFS(BD!$A$3:$A$5001,AF$3,BD!$B$3:$B$5001,$A$167,BD!$AE$3:$AE$5001,"&lt;&gt;")=0,"",SUMIFS(BD!$AE$3:$AE$5001,BD!$A$3:$A$5001,AF$3,BD!$B$3:$B$5001,$A$167)))</f>
        <v/>
      </c>
      <c r="AG185" s="236" t="str">
        <f>IF(AG$3="","",IF(COUNTIFS(BD!$A$3:$A$5001,AG$3,BD!$B$3:$B$5001,$A$167,BD!$AE$3:$AE$5001,"&lt;&gt;")=0,"",SUMIFS(BD!$AE$3:$AE$5001,BD!$A$3:$A$5001,AG$3,BD!$B$3:$B$5001,$A$167)))</f>
        <v/>
      </c>
      <c r="AH185" s="236" t="str">
        <f>IF(AH$3="","",IF(COUNTIFS(BD!$A$3:$A$5001,AH$3,BD!$B$3:$B$5001,$A$167,BD!$AE$3:$AE$5001,"&lt;&gt;")=0,"",SUMIFS(BD!$AE$3:$AE$5001,BD!$A$3:$A$5001,AH$3,BD!$B$3:$B$5001,$A$167)))</f>
        <v/>
      </c>
      <c r="AI185" s="236" t="str">
        <f>IF(AI$3="","",IF(COUNTIFS(BD!$A$3:$A$5001,AI$3,BD!$B$3:$B$5001,$A$167,BD!$AE$3:$AE$5001,"&lt;&gt;")=0,"",SUMIFS(BD!$AE$3:$AE$5001,BD!$A$3:$A$5001,AI$3,BD!$B$3:$B$5001,$A$167)))</f>
        <v/>
      </c>
      <c r="AJ185" s="237" t="str">
        <f>IF(AJ$3="","",IF(COUNTIFS(BD!$A$3:$A$5001,AJ$3,BD!$B$3:$B$5001,$A$167,BD!$AE$3:$AE$5001,"&lt;&gt;")=0,"",SUMIFS(BD!$AE$3:$AE$5001,BD!$A$3:$A$5001,AJ$3,BD!$B$3:$B$5001,$A$167)))</f>
        <v/>
      </c>
      <c r="AK185" s="238" t="str">
        <f>IF(COUNT(F185:AJ185)=0,"",SUM(F185:AJ185))</f>
        <v/>
      </c>
    </row>
    <row r="186" ht="15.75" customHeight="1">
      <c r="A186" s="261"/>
      <c r="B186" s="258"/>
      <c r="C186" s="232" t="inlineStr">
        <is>
          <t xml:space="preserve">Desvios Comportamentais</t>
        </is>
      </c>
      <c r="D186" s="233" t="str">
        <f>IFERROR(1/(1/INDEX(BD!$AL$53:$BF$53,MATCH($A$167,BD!$AL$22:$BF$22,0))),"")</f>
        <v/>
      </c>
      <c r="E186" s="234"/>
      <c r="F186" s="235" t="str">
        <f>IF(F$3="","",IF(COUNTIFS(BD!$A$3:$A$5001,F$3,BD!$B$3:$B$5001,$A$167,BD!$AF$3:$AF$5001,"&lt;&gt;")=0,"",SUMIFS(BD!$AF$3:$AF$5001,BD!$A$3:$A$5001,F$3,BD!$B$3:$B$5001,$A$167)))</f>
        <v/>
      </c>
      <c r="G186" s="236" t="str">
        <f>IF(G$3="","",IF(COUNTIFS(BD!$A$3:$A$5001,G$3,BD!$B$3:$B$5001,$A$167,BD!$AF$3:$AF$5001,"&lt;&gt;")=0,"",SUMIFS(BD!$AF$3:$AF$5001,BD!$A$3:$A$5001,G$3,BD!$B$3:$B$5001,$A$167)))</f>
        <v/>
      </c>
      <c r="H186" s="236" t="str">
        <f>IF(H$3="","",IF(COUNTIFS(BD!$A$3:$A$5001,H$3,BD!$B$3:$B$5001,$A$167,BD!$AF$3:$AF$5001,"&lt;&gt;")=0,"",SUMIFS(BD!$AF$3:$AF$5001,BD!$A$3:$A$5001,H$3,BD!$B$3:$B$5001,$A$167)))</f>
        <v/>
      </c>
      <c r="I186" s="236" t="str">
        <f>IF(I$3="","",IF(COUNTIFS(BD!$A$3:$A$5001,I$3,BD!$B$3:$B$5001,$A$167,BD!$AF$3:$AF$5001,"&lt;&gt;")=0,"",SUMIFS(BD!$AF$3:$AF$5001,BD!$A$3:$A$5001,I$3,BD!$B$3:$B$5001,$A$167)))</f>
        <v/>
      </c>
      <c r="J186" s="236" t="str">
        <f>IF(J$3="","",IF(COUNTIFS(BD!$A$3:$A$5001,J$3,BD!$B$3:$B$5001,$A$167,BD!$AF$3:$AF$5001,"&lt;&gt;")=0,"",SUMIFS(BD!$AF$3:$AF$5001,BD!$A$3:$A$5001,J$3,BD!$B$3:$B$5001,$A$167)))</f>
        <v/>
      </c>
      <c r="K186" s="236" t="str">
        <f>IF(K$3="","",IF(COUNTIFS(BD!$A$3:$A$5001,K$3,BD!$B$3:$B$5001,$A$167,BD!$AF$3:$AF$5001,"&lt;&gt;")=0,"",SUMIFS(BD!$AF$3:$AF$5001,BD!$A$3:$A$5001,K$3,BD!$B$3:$B$5001,$A$167)))</f>
        <v/>
      </c>
      <c r="L186" s="236" t="str">
        <f>IF(L$3="","",IF(COUNTIFS(BD!$A$3:$A$5001,L$3,BD!$B$3:$B$5001,$A$167,BD!$AF$3:$AF$5001,"&lt;&gt;")=0,"",SUMIFS(BD!$AF$3:$AF$5001,BD!$A$3:$A$5001,L$3,BD!$B$3:$B$5001,$A$167)))</f>
        <v/>
      </c>
      <c r="M186" s="236" t="str">
        <f>IF(M$3="","",IF(COUNTIFS(BD!$A$3:$A$5001,M$3,BD!$B$3:$B$5001,$A$167,BD!$AF$3:$AF$5001,"&lt;&gt;")=0,"",SUMIFS(BD!$AF$3:$AF$5001,BD!$A$3:$A$5001,M$3,BD!$B$3:$B$5001,$A$167)))</f>
        <v/>
      </c>
      <c r="N186" s="236" t="str">
        <f>IF(N$3="","",IF(COUNTIFS(BD!$A$3:$A$5001,N$3,BD!$B$3:$B$5001,$A$167,BD!$AF$3:$AF$5001,"&lt;&gt;")=0,"",SUMIFS(BD!$AF$3:$AF$5001,BD!$A$3:$A$5001,N$3,BD!$B$3:$B$5001,$A$167)))</f>
        <v/>
      </c>
      <c r="O186" s="236" t="str">
        <f>IF(O$3="","",IF(COUNTIFS(BD!$A$3:$A$5001,O$3,BD!$B$3:$B$5001,$A$167,BD!$AF$3:$AF$5001,"&lt;&gt;")=0,"",SUMIFS(BD!$AF$3:$AF$5001,BD!$A$3:$A$5001,O$3,BD!$B$3:$B$5001,$A$167)))</f>
        <v/>
      </c>
      <c r="P186" s="236" t="str">
        <f>IF(P$3="","",IF(COUNTIFS(BD!$A$3:$A$5001,P$3,BD!$B$3:$B$5001,$A$167,BD!$AF$3:$AF$5001,"&lt;&gt;")=0,"",SUMIFS(BD!$AF$3:$AF$5001,BD!$A$3:$A$5001,P$3,BD!$B$3:$B$5001,$A$167)))</f>
        <v/>
      </c>
      <c r="Q186" s="236" t="str">
        <f>IF(Q$3="","",IF(COUNTIFS(BD!$A$3:$A$5001,Q$3,BD!$B$3:$B$5001,$A$167,BD!$AF$3:$AF$5001,"&lt;&gt;")=0,"",SUMIFS(BD!$AF$3:$AF$5001,BD!$A$3:$A$5001,Q$3,BD!$B$3:$B$5001,$A$167)))</f>
        <v/>
      </c>
      <c r="R186" s="236" t="str">
        <f>IF(R$3="","",IF(COUNTIFS(BD!$A$3:$A$5001,R$3,BD!$B$3:$B$5001,$A$167,BD!$AF$3:$AF$5001,"&lt;&gt;")=0,"",SUMIFS(BD!$AF$3:$AF$5001,BD!$A$3:$A$5001,R$3,BD!$B$3:$B$5001,$A$167)))</f>
        <v/>
      </c>
      <c r="S186" s="236" t="str">
        <f>IF(S$3="","",IF(COUNTIFS(BD!$A$3:$A$5001,S$3,BD!$B$3:$B$5001,$A$167,BD!$AF$3:$AF$5001,"&lt;&gt;")=0,"",SUMIFS(BD!$AF$3:$AF$5001,BD!$A$3:$A$5001,S$3,BD!$B$3:$B$5001,$A$167)))</f>
        <v/>
      </c>
      <c r="T186" s="236" t="str">
        <f>IF(T$3="","",IF(COUNTIFS(BD!$A$3:$A$5001,T$3,BD!$B$3:$B$5001,$A$167,BD!$AF$3:$AF$5001,"&lt;&gt;")=0,"",SUMIFS(BD!$AF$3:$AF$5001,BD!$A$3:$A$5001,T$3,BD!$B$3:$B$5001,$A$167)))</f>
        <v/>
      </c>
      <c r="U186" s="236" t="str">
        <f>IF(U$3="","",IF(COUNTIFS(BD!$A$3:$A$5001,U$3,BD!$B$3:$B$5001,$A$167,BD!$AF$3:$AF$5001,"&lt;&gt;")=0,"",SUMIFS(BD!$AF$3:$AF$5001,BD!$A$3:$A$5001,U$3,BD!$B$3:$B$5001,$A$167)))</f>
        <v/>
      </c>
      <c r="V186" s="236" t="str">
        <f>IF(V$3="","",IF(COUNTIFS(BD!$A$3:$A$5001,V$3,BD!$B$3:$B$5001,$A$167,BD!$AF$3:$AF$5001,"&lt;&gt;")=0,"",SUMIFS(BD!$AF$3:$AF$5001,BD!$A$3:$A$5001,V$3,BD!$B$3:$B$5001,$A$167)))</f>
        <v/>
      </c>
      <c r="W186" s="236" t="str">
        <f>IF(W$3="","",IF(COUNTIFS(BD!$A$3:$A$5001,W$3,BD!$B$3:$B$5001,$A$167,BD!$AF$3:$AF$5001,"&lt;&gt;")=0,"",SUMIFS(BD!$AF$3:$AF$5001,BD!$A$3:$A$5001,W$3,BD!$B$3:$B$5001,$A$167)))</f>
        <v/>
      </c>
      <c r="X186" s="236" t="str">
        <f>IF(X$3="","",IF(COUNTIFS(BD!$A$3:$A$5001,X$3,BD!$B$3:$B$5001,$A$167,BD!$AF$3:$AF$5001,"&lt;&gt;")=0,"",SUMIFS(BD!$AF$3:$AF$5001,BD!$A$3:$A$5001,X$3,BD!$B$3:$B$5001,$A$167)))</f>
        <v/>
      </c>
      <c r="Y186" s="236" t="str">
        <f>IF(Y$3="","",IF(COUNTIFS(BD!$A$3:$A$5001,Y$3,BD!$B$3:$B$5001,$A$167,BD!$AF$3:$AF$5001,"&lt;&gt;")=0,"",SUMIFS(BD!$AF$3:$AF$5001,BD!$A$3:$A$5001,Y$3,BD!$B$3:$B$5001,$A$167)))</f>
        <v/>
      </c>
      <c r="Z186" s="236" t="str">
        <f>IF(Z$3="","",IF(COUNTIFS(BD!$A$3:$A$5001,Z$3,BD!$B$3:$B$5001,$A$167,BD!$AF$3:$AF$5001,"&lt;&gt;")=0,"",SUMIFS(BD!$AF$3:$AF$5001,BD!$A$3:$A$5001,Z$3,BD!$B$3:$B$5001,$A$167)))</f>
        <v/>
      </c>
      <c r="AA186" s="236" t="str">
        <f>IF(AA$3="","",IF(COUNTIFS(BD!$A$3:$A$5001,AA$3,BD!$B$3:$B$5001,$A$167,BD!$AF$3:$AF$5001,"&lt;&gt;")=0,"",SUMIFS(BD!$AF$3:$AF$5001,BD!$A$3:$A$5001,AA$3,BD!$B$3:$B$5001,$A$167)))</f>
        <v/>
      </c>
      <c r="AB186" s="236" t="str">
        <f>IF(AB$3="","",IF(COUNTIFS(BD!$A$3:$A$5001,AB$3,BD!$B$3:$B$5001,$A$167,BD!$AF$3:$AF$5001,"&lt;&gt;")=0,"",SUMIFS(BD!$AF$3:$AF$5001,BD!$A$3:$A$5001,AB$3,BD!$B$3:$B$5001,$A$167)))</f>
        <v/>
      </c>
      <c r="AC186" s="236" t="str">
        <f>IF(AC$3="","",IF(COUNTIFS(BD!$A$3:$A$5001,AC$3,BD!$B$3:$B$5001,$A$167,BD!$AF$3:$AF$5001,"&lt;&gt;")=0,"",SUMIFS(BD!$AF$3:$AF$5001,BD!$A$3:$A$5001,AC$3,BD!$B$3:$B$5001,$A$167)))</f>
        <v/>
      </c>
      <c r="AD186" s="236" t="str">
        <f>IF(AD$3="","",IF(COUNTIFS(BD!$A$3:$A$5001,AD$3,BD!$B$3:$B$5001,$A$167,BD!$AF$3:$AF$5001,"&lt;&gt;")=0,"",SUMIFS(BD!$AF$3:$AF$5001,BD!$A$3:$A$5001,AD$3,BD!$B$3:$B$5001,$A$167)))</f>
        <v/>
      </c>
      <c r="AE186" s="236" t="str">
        <f>IF(AE$3="","",IF(COUNTIFS(BD!$A$3:$A$5001,AE$3,BD!$B$3:$B$5001,$A$167,BD!$AF$3:$AF$5001,"&lt;&gt;")=0,"",SUMIFS(BD!$AF$3:$AF$5001,BD!$A$3:$A$5001,AE$3,BD!$B$3:$B$5001,$A$167)))</f>
        <v/>
      </c>
      <c r="AF186" s="236" t="str">
        <f>IF(AF$3="","",IF(COUNTIFS(BD!$A$3:$A$5001,AF$3,BD!$B$3:$B$5001,$A$167,BD!$AF$3:$AF$5001,"&lt;&gt;")=0,"",SUMIFS(BD!$AF$3:$AF$5001,BD!$A$3:$A$5001,AF$3,BD!$B$3:$B$5001,$A$167)))</f>
        <v/>
      </c>
      <c r="AG186" s="236" t="str">
        <f>IF(AG$3="","",IF(COUNTIFS(BD!$A$3:$A$5001,AG$3,BD!$B$3:$B$5001,$A$167,BD!$AF$3:$AF$5001,"&lt;&gt;")=0,"",SUMIFS(BD!$AF$3:$AF$5001,BD!$A$3:$A$5001,AG$3,BD!$B$3:$B$5001,$A$167)))</f>
        <v/>
      </c>
      <c r="AH186" s="236" t="str">
        <f>IF(AH$3="","",IF(COUNTIFS(BD!$A$3:$A$5001,AH$3,BD!$B$3:$B$5001,$A$167,BD!$AF$3:$AF$5001,"&lt;&gt;")=0,"",SUMIFS(BD!$AF$3:$AF$5001,BD!$A$3:$A$5001,AH$3,BD!$B$3:$B$5001,$A$167)))</f>
        <v/>
      </c>
      <c r="AI186" s="236" t="str">
        <f>IF(AI$3="","",IF(COUNTIFS(BD!$A$3:$A$5001,AI$3,BD!$B$3:$B$5001,$A$167,BD!$AF$3:$AF$5001,"&lt;&gt;")=0,"",SUMIFS(BD!$AF$3:$AF$5001,BD!$A$3:$A$5001,AI$3,BD!$B$3:$B$5001,$A$167)))</f>
        <v/>
      </c>
      <c r="AJ186" s="237" t="str">
        <f>IF(AJ$3="","",IF(COUNTIFS(BD!$A$3:$A$5001,AJ$3,BD!$B$3:$B$5001,$A$167,BD!$AF$3:$AF$5001,"&lt;&gt;")=0,"",SUMIFS(BD!$AF$3:$AF$5001,BD!$A$3:$A$5001,AJ$3,BD!$B$3:$B$5001,$A$167)))</f>
        <v/>
      </c>
      <c r="AK186" s="238" t="str">
        <f>IF(COUNT(F186:AJ186)=0,"",SUM(F186:AJ186))</f>
        <v/>
      </c>
    </row>
    <row r="187" ht="15.75" customHeight="1">
      <c r="A187" s="261"/>
      <c r="B187" s="258"/>
      <c r="C187" s="232" t="inlineStr">
        <is>
          <t xml:space="preserve">Acidentes CAF</t>
        </is>
      </c>
      <c r="D187" s="233" t="str">
        <f>IFERROR(1/(1/INDEX(BD!$AL$54:$BF$54,MATCH($A$167,BD!$AL$22:$BF$22,0))),"")</f>
        <v/>
      </c>
      <c r="E187" s="234"/>
      <c r="F187" s="235" t="str">
        <f>IF(F$3="","",IF(COUNTIFS(BD!$A$3:$A$5001,F$3,BD!$B$3:$B$5001,$A$167,BD!$AG$3:$AG$5001,"&lt;&gt;")=0,"",SUMIFS(BD!$AG$3:$AG$5001,BD!$A$3:$A$5001,F$3,BD!$B$3:$B$5001,$A$167)))</f>
        <v/>
      </c>
      <c r="G187" s="236" t="str">
        <f>IF(G$3="","",IF(COUNTIFS(BD!$A$3:$A$5001,G$3,BD!$B$3:$B$5001,$A$167,BD!$AG$3:$AG$5001,"&lt;&gt;")=0,"",SUMIFS(BD!$AG$3:$AG$5001,BD!$A$3:$A$5001,G$3,BD!$B$3:$B$5001,$A$167)))</f>
        <v/>
      </c>
      <c r="H187" s="236" t="str">
        <f>IF(H$3="","",IF(COUNTIFS(BD!$A$3:$A$5001,H$3,BD!$B$3:$B$5001,$A$167,BD!$AG$3:$AG$5001,"&lt;&gt;")=0,"",SUMIFS(BD!$AG$3:$AG$5001,BD!$A$3:$A$5001,H$3,BD!$B$3:$B$5001,$A$167)))</f>
        <v/>
      </c>
      <c r="I187" s="236" t="str">
        <f>IF(I$3="","",IF(COUNTIFS(BD!$A$3:$A$5001,I$3,BD!$B$3:$B$5001,$A$167,BD!$AG$3:$AG$5001,"&lt;&gt;")=0,"",SUMIFS(BD!$AG$3:$AG$5001,BD!$A$3:$A$5001,I$3,BD!$B$3:$B$5001,$A$167)))</f>
        <v/>
      </c>
      <c r="J187" s="236" t="str">
        <f>IF(J$3="","",IF(COUNTIFS(BD!$A$3:$A$5001,J$3,BD!$B$3:$B$5001,$A$167,BD!$AG$3:$AG$5001,"&lt;&gt;")=0,"",SUMIFS(BD!$AG$3:$AG$5001,BD!$A$3:$A$5001,J$3,BD!$B$3:$B$5001,$A$167)))</f>
        <v/>
      </c>
      <c r="K187" s="236" t="str">
        <f>IF(K$3="","",IF(COUNTIFS(BD!$A$3:$A$5001,K$3,BD!$B$3:$B$5001,$A$167,BD!$AG$3:$AG$5001,"&lt;&gt;")=0,"",SUMIFS(BD!$AG$3:$AG$5001,BD!$A$3:$A$5001,K$3,BD!$B$3:$B$5001,$A$167)))</f>
        <v/>
      </c>
      <c r="L187" s="236" t="str">
        <f>IF(L$3="","",IF(COUNTIFS(BD!$A$3:$A$5001,L$3,BD!$B$3:$B$5001,$A$167,BD!$AG$3:$AG$5001,"&lt;&gt;")=0,"",SUMIFS(BD!$AG$3:$AG$5001,BD!$A$3:$A$5001,L$3,BD!$B$3:$B$5001,$A$167)))</f>
        <v/>
      </c>
      <c r="M187" s="236" t="str">
        <f>IF(M$3="","",IF(COUNTIFS(BD!$A$3:$A$5001,M$3,BD!$B$3:$B$5001,$A$167,BD!$AG$3:$AG$5001,"&lt;&gt;")=0,"",SUMIFS(BD!$AG$3:$AG$5001,BD!$A$3:$A$5001,M$3,BD!$B$3:$B$5001,$A$167)))</f>
        <v/>
      </c>
      <c r="N187" s="236" t="str">
        <f>IF(N$3="","",IF(COUNTIFS(BD!$A$3:$A$5001,N$3,BD!$B$3:$B$5001,$A$167,BD!$AG$3:$AG$5001,"&lt;&gt;")=0,"",SUMIFS(BD!$AG$3:$AG$5001,BD!$A$3:$A$5001,N$3,BD!$B$3:$B$5001,$A$167)))</f>
        <v/>
      </c>
      <c r="O187" s="236" t="str">
        <f>IF(O$3="","",IF(COUNTIFS(BD!$A$3:$A$5001,O$3,BD!$B$3:$B$5001,$A$167,BD!$AG$3:$AG$5001,"&lt;&gt;")=0,"",SUMIFS(BD!$AG$3:$AG$5001,BD!$A$3:$A$5001,O$3,BD!$B$3:$B$5001,$A$167)))</f>
        <v/>
      </c>
      <c r="P187" s="236" t="str">
        <f>IF(P$3="","",IF(COUNTIFS(BD!$A$3:$A$5001,P$3,BD!$B$3:$B$5001,$A$167,BD!$AG$3:$AG$5001,"&lt;&gt;")=0,"",SUMIFS(BD!$AG$3:$AG$5001,BD!$A$3:$A$5001,P$3,BD!$B$3:$B$5001,$A$167)))</f>
        <v/>
      </c>
      <c r="Q187" s="236" t="str">
        <f>IF(Q$3="","",IF(COUNTIFS(BD!$A$3:$A$5001,Q$3,BD!$B$3:$B$5001,$A$167,BD!$AG$3:$AG$5001,"&lt;&gt;")=0,"",SUMIFS(BD!$AG$3:$AG$5001,BD!$A$3:$A$5001,Q$3,BD!$B$3:$B$5001,$A$167)))</f>
        <v/>
      </c>
      <c r="R187" s="236" t="str">
        <f>IF(R$3="","",IF(COUNTIFS(BD!$A$3:$A$5001,R$3,BD!$B$3:$B$5001,$A$167,BD!$AG$3:$AG$5001,"&lt;&gt;")=0,"",SUMIFS(BD!$AG$3:$AG$5001,BD!$A$3:$A$5001,R$3,BD!$B$3:$B$5001,$A$167)))</f>
        <v/>
      </c>
      <c r="S187" s="236" t="str">
        <f>IF(S$3="","",IF(COUNTIFS(BD!$A$3:$A$5001,S$3,BD!$B$3:$B$5001,$A$167,BD!$AG$3:$AG$5001,"&lt;&gt;")=0,"",SUMIFS(BD!$AG$3:$AG$5001,BD!$A$3:$A$5001,S$3,BD!$B$3:$B$5001,$A$167)))</f>
        <v/>
      </c>
      <c r="T187" s="236" t="str">
        <f>IF(T$3="","",IF(COUNTIFS(BD!$A$3:$A$5001,T$3,BD!$B$3:$B$5001,$A$167,BD!$AG$3:$AG$5001,"&lt;&gt;")=0,"",SUMIFS(BD!$AG$3:$AG$5001,BD!$A$3:$A$5001,T$3,BD!$B$3:$B$5001,$A$167)))</f>
        <v/>
      </c>
      <c r="U187" s="236" t="str">
        <f>IF(U$3="","",IF(COUNTIFS(BD!$A$3:$A$5001,U$3,BD!$B$3:$B$5001,$A$167,BD!$AG$3:$AG$5001,"&lt;&gt;")=0,"",SUMIFS(BD!$AG$3:$AG$5001,BD!$A$3:$A$5001,U$3,BD!$B$3:$B$5001,$A$167)))</f>
        <v/>
      </c>
      <c r="V187" s="236" t="str">
        <f>IF(V$3="","",IF(COUNTIFS(BD!$A$3:$A$5001,V$3,BD!$B$3:$B$5001,$A$167,BD!$AG$3:$AG$5001,"&lt;&gt;")=0,"",SUMIFS(BD!$AG$3:$AG$5001,BD!$A$3:$A$5001,V$3,BD!$B$3:$B$5001,$A$167)))</f>
        <v/>
      </c>
      <c r="W187" s="236" t="str">
        <f>IF(W$3="","",IF(COUNTIFS(BD!$A$3:$A$5001,W$3,BD!$B$3:$B$5001,$A$167,BD!$AG$3:$AG$5001,"&lt;&gt;")=0,"",SUMIFS(BD!$AG$3:$AG$5001,BD!$A$3:$A$5001,W$3,BD!$B$3:$B$5001,$A$167)))</f>
        <v/>
      </c>
      <c r="X187" s="236" t="str">
        <f>IF(X$3="","",IF(COUNTIFS(BD!$A$3:$A$5001,X$3,BD!$B$3:$B$5001,$A$167,BD!$AG$3:$AG$5001,"&lt;&gt;")=0,"",SUMIFS(BD!$AG$3:$AG$5001,BD!$A$3:$A$5001,X$3,BD!$B$3:$B$5001,$A$167)))</f>
        <v/>
      </c>
      <c r="Y187" s="236" t="str">
        <f>IF(Y$3="","",IF(COUNTIFS(BD!$A$3:$A$5001,Y$3,BD!$B$3:$B$5001,$A$167,BD!$AG$3:$AG$5001,"&lt;&gt;")=0,"",SUMIFS(BD!$AG$3:$AG$5001,BD!$A$3:$A$5001,Y$3,BD!$B$3:$B$5001,$A$167)))</f>
        <v/>
      </c>
      <c r="Z187" s="236" t="str">
        <f>IF(Z$3="","",IF(COUNTIFS(BD!$A$3:$A$5001,Z$3,BD!$B$3:$B$5001,$A$167,BD!$AG$3:$AG$5001,"&lt;&gt;")=0,"",SUMIFS(BD!$AG$3:$AG$5001,BD!$A$3:$A$5001,Z$3,BD!$B$3:$B$5001,$A$167)))</f>
        <v/>
      </c>
      <c r="AA187" s="236" t="str">
        <f>IF(AA$3="","",IF(COUNTIFS(BD!$A$3:$A$5001,AA$3,BD!$B$3:$B$5001,$A$167,BD!$AG$3:$AG$5001,"&lt;&gt;")=0,"",SUMIFS(BD!$AG$3:$AG$5001,BD!$A$3:$A$5001,AA$3,BD!$B$3:$B$5001,$A$167)))</f>
        <v/>
      </c>
      <c r="AB187" s="236" t="str">
        <f>IF(AB$3="","",IF(COUNTIFS(BD!$A$3:$A$5001,AB$3,BD!$B$3:$B$5001,$A$167,BD!$AG$3:$AG$5001,"&lt;&gt;")=0,"",SUMIFS(BD!$AG$3:$AG$5001,BD!$A$3:$A$5001,AB$3,BD!$B$3:$B$5001,$A$167)))</f>
        <v/>
      </c>
      <c r="AC187" s="236" t="str">
        <f>IF(AC$3="","",IF(COUNTIFS(BD!$A$3:$A$5001,AC$3,BD!$B$3:$B$5001,$A$167,BD!$AG$3:$AG$5001,"&lt;&gt;")=0,"",SUMIFS(BD!$AG$3:$AG$5001,BD!$A$3:$A$5001,AC$3,BD!$B$3:$B$5001,$A$167)))</f>
        <v/>
      </c>
      <c r="AD187" s="236" t="str">
        <f>IF(AD$3="","",IF(COUNTIFS(BD!$A$3:$A$5001,AD$3,BD!$B$3:$B$5001,$A$167,BD!$AG$3:$AG$5001,"&lt;&gt;")=0,"",SUMIFS(BD!$AG$3:$AG$5001,BD!$A$3:$A$5001,AD$3,BD!$B$3:$B$5001,$A$167)))</f>
        <v/>
      </c>
      <c r="AE187" s="236" t="str">
        <f>IF(AE$3="","",IF(COUNTIFS(BD!$A$3:$A$5001,AE$3,BD!$B$3:$B$5001,$A$167,BD!$AG$3:$AG$5001,"&lt;&gt;")=0,"",SUMIFS(BD!$AG$3:$AG$5001,BD!$A$3:$A$5001,AE$3,BD!$B$3:$B$5001,$A$167)))</f>
        <v/>
      </c>
      <c r="AF187" s="236" t="str">
        <f>IF(AF$3="","",IF(COUNTIFS(BD!$A$3:$A$5001,AF$3,BD!$B$3:$B$5001,$A$167,BD!$AG$3:$AG$5001,"&lt;&gt;")=0,"",SUMIFS(BD!$AG$3:$AG$5001,BD!$A$3:$A$5001,AF$3,BD!$B$3:$B$5001,$A$167)))</f>
        <v/>
      </c>
      <c r="AG187" s="236" t="str">
        <f>IF(AG$3="","",IF(COUNTIFS(BD!$A$3:$A$5001,AG$3,BD!$B$3:$B$5001,$A$167,BD!$AG$3:$AG$5001,"&lt;&gt;")=0,"",SUMIFS(BD!$AG$3:$AG$5001,BD!$A$3:$A$5001,AG$3,BD!$B$3:$B$5001,$A$167)))</f>
        <v/>
      </c>
      <c r="AH187" s="236" t="str">
        <f>IF(AH$3="","",IF(COUNTIFS(BD!$A$3:$A$5001,AH$3,BD!$B$3:$B$5001,$A$167,BD!$AG$3:$AG$5001,"&lt;&gt;")=0,"",SUMIFS(BD!$AG$3:$AG$5001,BD!$A$3:$A$5001,AH$3,BD!$B$3:$B$5001,$A$167)))</f>
        <v/>
      </c>
      <c r="AI187" s="236" t="str">
        <f>IF(AI$3="","",IF(COUNTIFS(BD!$A$3:$A$5001,AI$3,BD!$B$3:$B$5001,$A$167,BD!$AG$3:$AG$5001,"&lt;&gt;")=0,"",SUMIFS(BD!$AG$3:$AG$5001,BD!$A$3:$A$5001,AI$3,BD!$B$3:$B$5001,$A$167)))</f>
        <v/>
      </c>
      <c r="AJ187" s="237" t="str">
        <f>IF(AJ$3="","",IF(COUNTIFS(BD!$A$3:$A$5001,AJ$3,BD!$B$3:$B$5001,$A$167,BD!$AG$3:$AG$5001,"&lt;&gt;")=0,"",SUMIFS(BD!$AG$3:$AG$5001,BD!$A$3:$A$5001,AJ$3,BD!$B$3:$B$5001,$A$167)))</f>
        <v/>
      </c>
      <c r="AK187" s="238" t="str">
        <f>IF(COUNT(F187:AJ187)=0,"",SUM(F187:AJ187))</f>
        <v/>
      </c>
    </row>
    <row r="188" ht="15.75" customHeight="1">
      <c r="A188" s="262"/>
      <c r="B188" s="259"/>
      <c r="C188" s="243" t="inlineStr">
        <is>
          <t xml:space="preserve">Acidentes SAF</t>
        </is>
      </c>
      <c r="D188" s="244" t="str">
        <f>IFERROR(1/(1/INDEX(BD!$AL$55:$BF$55,MATCH($A$167,BD!$AL$22:$BF$22,0))),"")</f>
        <v/>
      </c>
      <c r="E188" s="245"/>
      <c r="F188" s="246" t="str">
        <f>IF(F$3="","",IF(COUNTIFS(BD!$A$3:$A$5001,F$3,BD!$B$3:$B$5001,$A$167,BD!$AH$3:$AH$5001,"&lt;&gt;")=0,"",SUMIFS(BD!$AH$3:$AH$5001,BD!$A$3:$A$5001,F$3,BD!$B$3:$B$5001,$A$167)))</f>
        <v/>
      </c>
      <c r="G188" s="247" t="str">
        <f>IF(G$3="","",IF(COUNTIFS(BD!$A$3:$A$5001,G$3,BD!$B$3:$B$5001,$A$167,BD!$AH$3:$AH$5001,"&lt;&gt;")=0,"",SUMIFS(BD!$AH$3:$AH$5001,BD!$A$3:$A$5001,G$3,BD!$B$3:$B$5001,$A$167)))</f>
        <v/>
      </c>
      <c r="H188" s="247" t="str">
        <f>IF(H$3="","",IF(COUNTIFS(BD!$A$3:$A$5001,H$3,BD!$B$3:$B$5001,$A$167,BD!$AH$3:$AH$5001,"&lt;&gt;")=0,"",SUMIFS(BD!$AH$3:$AH$5001,BD!$A$3:$A$5001,H$3,BD!$B$3:$B$5001,$A$167)))</f>
        <v/>
      </c>
      <c r="I188" s="247" t="str">
        <f>IF(I$3="","",IF(COUNTIFS(BD!$A$3:$A$5001,I$3,BD!$B$3:$B$5001,$A$167,BD!$AH$3:$AH$5001,"&lt;&gt;")=0,"",SUMIFS(BD!$AH$3:$AH$5001,BD!$A$3:$A$5001,I$3,BD!$B$3:$B$5001,$A$167)))</f>
        <v/>
      </c>
      <c r="J188" s="247" t="str">
        <f>IF(J$3="","",IF(COUNTIFS(BD!$A$3:$A$5001,J$3,BD!$B$3:$B$5001,$A$167,BD!$AH$3:$AH$5001,"&lt;&gt;")=0,"",SUMIFS(BD!$AH$3:$AH$5001,BD!$A$3:$A$5001,J$3,BD!$B$3:$B$5001,$A$167)))</f>
        <v/>
      </c>
      <c r="K188" s="247" t="str">
        <f>IF(K$3="","",IF(COUNTIFS(BD!$A$3:$A$5001,K$3,BD!$B$3:$B$5001,$A$167,BD!$AH$3:$AH$5001,"&lt;&gt;")=0,"",SUMIFS(BD!$AH$3:$AH$5001,BD!$A$3:$A$5001,K$3,BD!$B$3:$B$5001,$A$167)))</f>
        <v/>
      </c>
      <c r="L188" s="247" t="str">
        <f>IF(L$3="","",IF(COUNTIFS(BD!$A$3:$A$5001,L$3,BD!$B$3:$B$5001,$A$167,BD!$AH$3:$AH$5001,"&lt;&gt;")=0,"",SUMIFS(BD!$AH$3:$AH$5001,BD!$A$3:$A$5001,L$3,BD!$B$3:$B$5001,$A$167)))</f>
        <v/>
      </c>
      <c r="M188" s="247" t="str">
        <f>IF(M$3="","",IF(COUNTIFS(BD!$A$3:$A$5001,M$3,BD!$B$3:$B$5001,$A$167,BD!$AH$3:$AH$5001,"&lt;&gt;")=0,"",SUMIFS(BD!$AH$3:$AH$5001,BD!$A$3:$A$5001,M$3,BD!$B$3:$B$5001,$A$167)))</f>
        <v/>
      </c>
      <c r="N188" s="247" t="str">
        <f>IF(N$3="","",IF(COUNTIFS(BD!$A$3:$A$5001,N$3,BD!$B$3:$B$5001,$A$167,BD!$AH$3:$AH$5001,"&lt;&gt;")=0,"",SUMIFS(BD!$AH$3:$AH$5001,BD!$A$3:$A$5001,N$3,BD!$B$3:$B$5001,$A$167)))</f>
        <v/>
      </c>
      <c r="O188" s="247" t="str">
        <f>IF(O$3="","",IF(COUNTIFS(BD!$A$3:$A$5001,O$3,BD!$B$3:$B$5001,$A$167,BD!$AH$3:$AH$5001,"&lt;&gt;")=0,"",SUMIFS(BD!$AH$3:$AH$5001,BD!$A$3:$A$5001,O$3,BD!$B$3:$B$5001,$A$167)))</f>
        <v/>
      </c>
      <c r="P188" s="247" t="str">
        <f>IF(P$3="","",IF(COUNTIFS(BD!$A$3:$A$5001,P$3,BD!$B$3:$B$5001,$A$167,BD!$AH$3:$AH$5001,"&lt;&gt;")=0,"",SUMIFS(BD!$AH$3:$AH$5001,BD!$A$3:$A$5001,P$3,BD!$B$3:$B$5001,$A$167)))</f>
        <v/>
      </c>
      <c r="Q188" s="247" t="str">
        <f>IF(Q$3="","",IF(COUNTIFS(BD!$A$3:$A$5001,Q$3,BD!$B$3:$B$5001,$A$167,BD!$AH$3:$AH$5001,"&lt;&gt;")=0,"",SUMIFS(BD!$AH$3:$AH$5001,BD!$A$3:$A$5001,Q$3,BD!$B$3:$B$5001,$A$167)))</f>
        <v/>
      </c>
      <c r="R188" s="247" t="str">
        <f>IF(R$3="","",IF(COUNTIFS(BD!$A$3:$A$5001,R$3,BD!$B$3:$B$5001,$A$167,BD!$AH$3:$AH$5001,"&lt;&gt;")=0,"",SUMIFS(BD!$AH$3:$AH$5001,BD!$A$3:$A$5001,R$3,BD!$B$3:$B$5001,$A$167)))</f>
        <v/>
      </c>
      <c r="S188" s="247" t="str">
        <f>IF(S$3="","",IF(COUNTIFS(BD!$A$3:$A$5001,S$3,BD!$B$3:$B$5001,$A$167,BD!$AH$3:$AH$5001,"&lt;&gt;")=0,"",SUMIFS(BD!$AH$3:$AH$5001,BD!$A$3:$A$5001,S$3,BD!$B$3:$B$5001,$A$167)))</f>
        <v/>
      </c>
      <c r="T188" s="247" t="str">
        <f>IF(T$3="","",IF(COUNTIFS(BD!$A$3:$A$5001,T$3,BD!$B$3:$B$5001,$A$167,BD!$AH$3:$AH$5001,"&lt;&gt;")=0,"",SUMIFS(BD!$AH$3:$AH$5001,BD!$A$3:$A$5001,T$3,BD!$B$3:$B$5001,$A$167)))</f>
        <v/>
      </c>
      <c r="U188" s="247" t="str">
        <f>IF(U$3="","",IF(COUNTIFS(BD!$A$3:$A$5001,U$3,BD!$B$3:$B$5001,$A$167,BD!$AH$3:$AH$5001,"&lt;&gt;")=0,"",SUMIFS(BD!$AH$3:$AH$5001,BD!$A$3:$A$5001,U$3,BD!$B$3:$B$5001,$A$167)))</f>
        <v/>
      </c>
      <c r="V188" s="247" t="str">
        <f>IF(V$3="","",IF(COUNTIFS(BD!$A$3:$A$5001,V$3,BD!$B$3:$B$5001,$A$167,BD!$AH$3:$AH$5001,"&lt;&gt;")=0,"",SUMIFS(BD!$AH$3:$AH$5001,BD!$A$3:$A$5001,V$3,BD!$B$3:$B$5001,$A$167)))</f>
        <v/>
      </c>
      <c r="W188" s="247" t="str">
        <f>IF(W$3="","",IF(COUNTIFS(BD!$A$3:$A$5001,W$3,BD!$B$3:$B$5001,$A$167,BD!$AH$3:$AH$5001,"&lt;&gt;")=0,"",SUMIFS(BD!$AH$3:$AH$5001,BD!$A$3:$A$5001,W$3,BD!$B$3:$B$5001,$A$167)))</f>
        <v/>
      </c>
      <c r="X188" s="247" t="str">
        <f>IF(X$3="","",IF(COUNTIFS(BD!$A$3:$A$5001,X$3,BD!$B$3:$B$5001,$A$167,BD!$AH$3:$AH$5001,"&lt;&gt;")=0,"",SUMIFS(BD!$AH$3:$AH$5001,BD!$A$3:$A$5001,X$3,BD!$B$3:$B$5001,$A$167)))</f>
        <v/>
      </c>
      <c r="Y188" s="247" t="str">
        <f>IF(Y$3="","",IF(COUNTIFS(BD!$A$3:$A$5001,Y$3,BD!$B$3:$B$5001,$A$167,BD!$AH$3:$AH$5001,"&lt;&gt;")=0,"",SUMIFS(BD!$AH$3:$AH$5001,BD!$A$3:$A$5001,Y$3,BD!$B$3:$B$5001,$A$167)))</f>
        <v/>
      </c>
      <c r="Z188" s="247" t="str">
        <f>IF(Z$3="","",IF(COUNTIFS(BD!$A$3:$A$5001,Z$3,BD!$B$3:$B$5001,$A$167,BD!$AH$3:$AH$5001,"&lt;&gt;")=0,"",SUMIFS(BD!$AH$3:$AH$5001,BD!$A$3:$A$5001,Z$3,BD!$B$3:$B$5001,$A$167)))</f>
        <v/>
      </c>
      <c r="AA188" s="247" t="str">
        <f>IF(AA$3="","",IF(COUNTIFS(BD!$A$3:$A$5001,AA$3,BD!$B$3:$B$5001,$A$167,BD!$AH$3:$AH$5001,"&lt;&gt;")=0,"",SUMIFS(BD!$AH$3:$AH$5001,BD!$A$3:$A$5001,AA$3,BD!$B$3:$B$5001,$A$167)))</f>
        <v/>
      </c>
      <c r="AB188" s="247" t="str">
        <f>IF(AB$3="","",IF(COUNTIFS(BD!$A$3:$A$5001,AB$3,BD!$B$3:$B$5001,$A$167,BD!$AH$3:$AH$5001,"&lt;&gt;")=0,"",SUMIFS(BD!$AH$3:$AH$5001,BD!$A$3:$A$5001,AB$3,BD!$B$3:$B$5001,$A$167)))</f>
        <v/>
      </c>
      <c r="AC188" s="247" t="str">
        <f>IF(AC$3="","",IF(COUNTIFS(BD!$A$3:$A$5001,AC$3,BD!$B$3:$B$5001,$A$167,BD!$AH$3:$AH$5001,"&lt;&gt;")=0,"",SUMIFS(BD!$AH$3:$AH$5001,BD!$A$3:$A$5001,AC$3,BD!$B$3:$B$5001,$A$167)))</f>
        <v/>
      </c>
      <c r="AD188" s="247" t="str">
        <f>IF(AD$3="","",IF(COUNTIFS(BD!$A$3:$A$5001,AD$3,BD!$B$3:$B$5001,$A$167,BD!$AH$3:$AH$5001,"&lt;&gt;")=0,"",SUMIFS(BD!$AH$3:$AH$5001,BD!$A$3:$A$5001,AD$3,BD!$B$3:$B$5001,$A$167)))</f>
        <v/>
      </c>
      <c r="AE188" s="247" t="str">
        <f>IF(AE$3="","",IF(COUNTIFS(BD!$A$3:$A$5001,AE$3,BD!$B$3:$B$5001,$A$167,BD!$AH$3:$AH$5001,"&lt;&gt;")=0,"",SUMIFS(BD!$AH$3:$AH$5001,BD!$A$3:$A$5001,AE$3,BD!$B$3:$B$5001,$A$167)))</f>
        <v/>
      </c>
      <c r="AF188" s="247" t="str">
        <f>IF(AF$3="","",IF(COUNTIFS(BD!$A$3:$A$5001,AF$3,BD!$B$3:$B$5001,$A$167,BD!$AH$3:$AH$5001,"&lt;&gt;")=0,"",SUMIFS(BD!$AH$3:$AH$5001,BD!$A$3:$A$5001,AF$3,BD!$B$3:$B$5001,$A$167)))</f>
        <v/>
      </c>
      <c r="AG188" s="247" t="str">
        <f>IF(AG$3="","",IF(COUNTIFS(BD!$A$3:$A$5001,AG$3,BD!$B$3:$B$5001,$A$167,BD!$AH$3:$AH$5001,"&lt;&gt;")=0,"",SUMIFS(BD!$AH$3:$AH$5001,BD!$A$3:$A$5001,AG$3,BD!$B$3:$B$5001,$A$167)))</f>
        <v/>
      </c>
      <c r="AH188" s="247" t="str">
        <f>IF(AH$3="","",IF(COUNTIFS(BD!$A$3:$A$5001,AH$3,BD!$B$3:$B$5001,$A$167,BD!$AH$3:$AH$5001,"&lt;&gt;")=0,"",SUMIFS(BD!$AH$3:$AH$5001,BD!$A$3:$A$5001,AH$3,BD!$B$3:$B$5001,$A$167)))</f>
        <v/>
      </c>
      <c r="AI188" s="247" t="str">
        <f>IF(AI$3="","",IF(COUNTIFS(BD!$A$3:$A$5001,AI$3,BD!$B$3:$B$5001,$A$167,BD!$AH$3:$AH$5001,"&lt;&gt;")=0,"",SUMIFS(BD!$AH$3:$AH$5001,BD!$A$3:$A$5001,AI$3,BD!$B$3:$B$5001,$A$167)))</f>
        <v/>
      </c>
      <c r="AJ188" s="248" t="str">
        <f>IF(AJ$3="","",IF(COUNTIFS(BD!$A$3:$A$5001,AJ$3,BD!$B$3:$B$5001,$A$167,BD!$AH$3:$AH$5001,"&lt;&gt;")=0,"",SUMIFS(BD!$AH$3:$AH$5001,BD!$A$3:$A$5001,AJ$3,BD!$B$3:$B$5001,$A$167)))</f>
        <v/>
      </c>
      <c r="AK188" s="244" t="str">
        <f>IF(COUNT(F188:AJ188)=0,"",SUM(F188:AJ188))</f>
        <v/>
      </c>
    </row>
    <row r="190" ht="15.75" customHeight="1">
      <c r="A190" s="260" t="inlineStr">
        <is>
          <t xml:space="preserve">Vedacit</t>
        </is>
      </c>
      <c r="B190" s="249" t="inlineStr">
        <is>
          <t xml:space="preserve">IN</t>
        </is>
      </c>
      <c r="C190" s="168" t="inlineStr">
        <is>
          <t xml:space="preserve">Veículos Recebidos</t>
        </is>
      </c>
      <c r="D190" s="169" t="str">
        <f>IFERROR(1/(1/INDEX(BD!$AL$23:$BF$23,MATCH($A$190,BD!$AL$22:$BF$22,0))),"")</f>
        <v/>
      </c>
      <c r="E190" s="170"/>
      <c r="F190" s="171" t="str">
        <f>IF(F$3="","",IF(COUNTIFS(BD!$A$3:$A$5001,F$3,BD!$B$3:$B$5001,$A$190,BD!$C$3:$C$5001,"&lt;&gt;")=0,"",SUMIFS(BD!$C$3:$C$5001,BD!$A$3:$A$5001,F$3,BD!$B$3:$B$5001,$A$190)))</f>
        <v/>
      </c>
      <c r="G190" s="172" t="str">
        <f>IF(G$3="","",IF(COUNTIFS(BD!$A$3:$A$5001,G$3,BD!$B$3:$B$5001,$A$190,BD!$C$3:$C$5001,"&lt;&gt;")=0,"",SUMIFS(BD!$C$3:$C$5001,BD!$A$3:$A$5001,G$3,BD!$B$3:$B$5001,$A$190)))</f>
        <v/>
      </c>
      <c r="H190" s="172" t="str">
        <f>IF(H$3="","",IF(COUNTIFS(BD!$A$3:$A$5001,H$3,BD!$B$3:$B$5001,$A$190,BD!$C$3:$C$5001,"&lt;&gt;")=0,"",SUMIFS(BD!$C$3:$C$5001,BD!$A$3:$A$5001,H$3,BD!$B$3:$B$5001,$A$190)))</f>
        <v/>
      </c>
      <c r="I190" s="172" t="str">
        <f>IF(I$3="","",IF(COUNTIFS(BD!$A$3:$A$5001,I$3,BD!$B$3:$B$5001,$A$190,BD!$C$3:$C$5001,"&lt;&gt;")=0,"",SUMIFS(BD!$C$3:$C$5001,BD!$A$3:$A$5001,I$3,BD!$B$3:$B$5001,$A$190)))</f>
        <v/>
      </c>
      <c r="J190" s="172" t="str">
        <f>IF(J$3="","",IF(COUNTIFS(BD!$A$3:$A$5001,J$3,BD!$B$3:$B$5001,$A$190,BD!$C$3:$C$5001,"&lt;&gt;")=0,"",SUMIFS(BD!$C$3:$C$5001,BD!$A$3:$A$5001,J$3,BD!$B$3:$B$5001,$A$190)))</f>
        <v/>
      </c>
      <c r="K190" s="172" t="str">
        <f>IF(K$3="","",IF(COUNTIFS(BD!$A$3:$A$5001,K$3,BD!$B$3:$B$5001,$A$190,BD!$C$3:$C$5001,"&lt;&gt;")=0,"",SUMIFS(BD!$C$3:$C$5001,BD!$A$3:$A$5001,K$3,BD!$B$3:$B$5001,$A$190)))</f>
        <v/>
      </c>
      <c r="L190" s="172" t="str">
        <f>IF(L$3="","",IF(COUNTIFS(BD!$A$3:$A$5001,L$3,BD!$B$3:$B$5001,$A$190,BD!$C$3:$C$5001,"&lt;&gt;")=0,"",SUMIFS(BD!$C$3:$C$5001,BD!$A$3:$A$5001,L$3,BD!$B$3:$B$5001,$A$190)))</f>
        <v/>
      </c>
      <c r="M190" s="172" t="str">
        <f>IF(M$3="","",IF(COUNTIFS(BD!$A$3:$A$5001,M$3,BD!$B$3:$B$5001,$A$190,BD!$C$3:$C$5001,"&lt;&gt;")=0,"",SUMIFS(BD!$C$3:$C$5001,BD!$A$3:$A$5001,M$3,BD!$B$3:$B$5001,$A$190)))</f>
        <v/>
      </c>
      <c r="N190" s="172" t="str">
        <f>IF(N$3="","",IF(COUNTIFS(BD!$A$3:$A$5001,N$3,BD!$B$3:$B$5001,$A$190,BD!$C$3:$C$5001,"&lt;&gt;")=0,"",SUMIFS(BD!$C$3:$C$5001,BD!$A$3:$A$5001,N$3,BD!$B$3:$B$5001,$A$190)))</f>
        <v/>
      </c>
      <c r="O190" s="172" t="str">
        <f>IF(O$3="","",IF(COUNTIFS(BD!$A$3:$A$5001,O$3,BD!$B$3:$B$5001,$A$190,BD!$C$3:$C$5001,"&lt;&gt;")=0,"",SUMIFS(BD!$C$3:$C$5001,BD!$A$3:$A$5001,O$3,BD!$B$3:$B$5001,$A$190)))</f>
        <v/>
      </c>
      <c r="P190" s="172" t="str">
        <f>IF(P$3="","",IF(COUNTIFS(BD!$A$3:$A$5001,P$3,BD!$B$3:$B$5001,$A$190,BD!$C$3:$C$5001,"&lt;&gt;")=0,"",SUMIFS(BD!$C$3:$C$5001,BD!$A$3:$A$5001,P$3,BD!$B$3:$B$5001,$A$190)))</f>
        <v/>
      </c>
      <c r="Q190" s="172" t="str">
        <f>IF(Q$3="","",IF(COUNTIFS(BD!$A$3:$A$5001,Q$3,BD!$B$3:$B$5001,$A$190,BD!$C$3:$C$5001,"&lt;&gt;")=0,"",SUMIFS(BD!$C$3:$C$5001,BD!$A$3:$A$5001,Q$3,BD!$B$3:$B$5001,$A$190)))</f>
        <v/>
      </c>
      <c r="R190" s="172" t="str">
        <f>IF(R$3="","",IF(COUNTIFS(BD!$A$3:$A$5001,R$3,BD!$B$3:$B$5001,$A$190,BD!$C$3:$C$5001,"&lt;&gt;")=0,"",SUMIFS(BD!$C$3:$C$5001,BD!$A$3:$A$5001,R$3,BD!$B$3:$B$5001,$A$190)))</f>
        <v/>
      </c>
      <c r="S190" s="172" t="str">
        <f>IF(S$3="","",IF(COUNTIFS(BD!$A$3:$A$5001,S$3,BD!$B$3:$B$5001,$A$190,BD!$C$3:$C$5001,"&lt;&gt;")=0,"",SUMIFS(BD!$C$3:$C$5001,BD!$A$3:$A$5001,S$3,BD!$B$3:$B$5001,$A$190)))</f>
        <v/>
      </c>
      <c r="T190" s="172" t="str">
        <f>IF(T$3="","",IF(COUNTIFS(BD!$A$3:$A$5001,T$3,BD!$B$3:$B$5001,$A$190,BD!$C$3:$C$5001,"&lt;&gt;")=0,"",SUMIFS(BD!$C$3:$C$5001,BD!$A$3:$A$5001,T$3,BD!$B$3:$B$5001,$A$190)))</f>
        <v/>
      </c>
      <c r="U190" s="172" t="str">
        <f>IF(U$3="","",IF(COUNTIFS(BD!$A$3:$A$5001,U$3,BD!$B$3:$B$5001,$A$190,BD!$C$3:$C$5001,"&lt;&gt;")=0,"",SUMIFS(BD!$C$3:$C$5001,BD!$A$3:$A$5001,U$3,BD!$B$3:$B$5001,$A$190)))</f>
        <v/>
      </c>
      <c r="V190" s="172" t="str">
        <f>IF(V$3="","",IF(COUNTIFS(BD!$A$3:$A$5001,V$3,BD!$B$3:$B$5001,$A$190,BD!$C$3:$C$5001,"&lt;&gt;")=0,"",SUMIFS(BD!$C$3:$C$5001,BD!$A$3:$A$5001,V$3,BD!$B$3:$B$5001,$A$190)))</f>
        <v/>
      </c>
      <c r="W190" s="172" t="str">
        <f>IF(W$3="","",IF(COUNTIFS(BD!$A$3:$A$5001,W$3,BD!$B$3:$B$5001,$A$190,BD!$C$3:$C$5001,"&lt;&gt;")=0,"",SUMIFS(BD!$C$3:$C$5001,BD!$A$3:$A$5001,W$3,BD!$B$3:$B$5001,$A$190)))</f>
        <v/>
      </c>
      <c r="X190" s="172" t="str">
        <f>IF(X$3="","",IF(COUNTIFS(BD!$A$3:$A$5001,X$3,BD!$B$3:$B$5001,$A$190,BD!$C$3:$C$5001,"&lt;&gt;")=0,"",SUMIFS(BD!$C$3:$C$5001,BD!$A$3:$A$5001,X$3,BD!$B$3:$B$5001,$A$190)))</f>
        <v/>
      </c>
      <c r="Y190" s="172" t="str">
        <f>IF(Y$3="","",IF(COUNTIFS(BD!$A$3:$A$5001,Y$3,BD!$B$3:$B$5001,$A$190,BD!$C$3:$C$5001,"&lt;&gt;")=0,"",SUMIFS(BD!$C$3:$C$5001,BD!$A$3:$A$5001,Y$3,BD!$B$3:$B$5001,$A$190)))</f>
        <v/>
      </c>
      <c r="Z190" s="172" t="str">
        <f>IF(Z$3="","",IF(COUNTIFS(BD!$A$3:$A$5001,Z$3,BD!$B$3:$B$5001,$A$190,BD!$C$3:$C$5001,"&lt;&gt;")=0,"",SUMIFS(BD!$C$3:$C$5001,BD!$A$3:$A$5001,Z$3,BD!$B$3:$B$5001,$A$190)))</f>
        <v/>
      </c>
      <c r="AA190" s="172" t="str">
        <f>IF(AA$3="","",IF(COUNTIFS(BD!$A$3:$A$5001,AA$3,BD!$B$3:$B$5001,$A$190,BD!$C$3:$C$5001,"&lt;&gt;")=0,"",SUMIFS(BD!$C$3:$C$5001,BD!$A$3:$A$5001,AA$3,BD!$B$3:$B$5001,$A$190)))</f>
        <v/>
      </c>
      <c r="AB190" s="172" t="str">
        <f>IF(AB$3="","",IF(COUNTIFS(BD!$A$3:$A$5001,AB$3,BD!$B$3:$B$5001,$A$190,BD!$C$3:$C$5001,"&lt;&gt;")=0,"",SUMIFS(BD!$C$3:$C$5001,BD!$A$3:$A$5001,AB$3,BD!$B$3:$B$5001,$A$190)))</f>
        <v/>
      </c>
      <c r="AC190" s="172" t="str">
        <f>IF(AC$3="","",IF(COUNTIFS(BD!$A$3:$A$5001,AC$3,BD!$B$3:$B$5001,$A$190,BD!$C$3:$C$5001,"&lt;&gt;")=0,"",SUMIFS(BD!$C$3:$C$5001,BD!$A$3:$A$5001,AC$3,BD!$B$3:$B$5001,$A$190)))</f>
        <v/>
      </c>
      <c r="AD190" s="172" t="str">
        <f>IF(AD$3="","",IF(COUNTIFS(BD!$A$3:$A$5001,AD$3,BD!$B$3:$B$5001,$A$190,BD!$C$3:$C$5001,"&lt;&gt;")=0,"",SUMIFS(BD!$C$3:$C$5001,BD!$A$3:$A$5001,AD$3,BD!$B$3:$B$5001,$A$190)))</f>
        <v/>
      </c>
      <c r="AE190" s="172" t="str">
        <f>IF(AE$3="","",IF(COUNTIFS(BD!$A$3:$A$5001,AE$3,BD!$B$3:$B$5001,$A$190,BD!$C$3:$C$5001,"&lt;&gt;")=0,"",SUMIFS(BD!$C$3:$C$5001,BD!$A$3:$A$5001,AE$3,BD!$B$3:$B$5001,$A$190)))</f>
        <v/>
      </c>
      <c r="AF190" s="172" t="str">
        <f>IF(AF$3="","",IF(COUNTIFS(BD!$A$3:$A$5001,AF$3,BD!$B$3:$B$5001,$A$190,BD!$C$3:$C$5001,"&lt;&gt;")=0,"",SUMIFS(BD!$C$3:$C$5001,BD!$A$3:$A$5001,AF$3,BD!$B$3:$B$5001,$A$190)))</f>
        <v/>
      </c>
      <c r="AG190" s="172" t="str">
        <f>IF(AG$3="","",IF(COUNTIFS(BD!$A$3:$A$5001,AG$3,BD!$B$3:$B$5001,$A$190,BD!$C$3:$C$5001,"&lt;&gt;")=0,"",SUMIFS(BD!$C$3:$C$5001,BD!$A$3:$A$5001,AG$3,BD!$B$3:$B$5001,$A$190)))</f>
        <v/>
      </c>
      <c r="AH190" s="172" t="str">
        <f>IF(AH$3="","",IF(COUNTIFS(BD!$A$3:$A$5001,AH$3,BD!$B$3:$B$5001,$A$190,BD!$C$3:$C$5001,"&lt;&gt;")=0,"",SUMIFS(BD!$C$3:$C$5001,BD!$A$3:$A$5001,AH$3,BD!$B$3:$B$5001,$A$190)))</f>
        <v/>
      </c>
      <c r="AI190" s="172" t="str">
        <f>IF(AI$3="","",IF(COUNTIFS(BD!$A$3:$A$5001,AI$3,BD!$B$3:$B$5001,$A$190,BD!$C$3:$C$5001,"&lt;&gt;")=0,"",SUMIFS(BD!$C$3:$C$5001,BD!$A$3:$A$5001,AI$3,BD!$B$3:$B$5001,$A$190)))</f>
        <v/>
      </c>
      <c r="AJ190" s="173" t="str">
        <f>IF(AJ$3="","",IF(COUNTIFS(BD!$A$3:$A$5001,AJ$3,BD!$B$3:$B$5001,$A$190,BD!$C$3:$C$5001,"&lt;&gt;")=0,"",SUMIFS(BD!$C$3:$C$5001,BD!$A$3:$A$5001,AJ$3,BD!$B$3:$B$5001,$A$190)))</f>
        <v/>
      </c>
      <c r="AK190" s="174" t="str">
        <f>IF(COUNT(F190:AJ190)=0,"",SUM(F190:AJ190))</f>
        <v/>
      </c>
    </row>
    <row r="191" ht="15.75" customHeight="1">
      <c r="A191" s="261"/>
      <c r="B191" s="250"/>
      <c r="C191" s="175" t="inlineStr">
        <is>
          <t xml:space="preserve">Pallets Movimentados</t>
        </is>
      </c>
      <c r="D191" s="176" t="str">
        <f>IFERROR(1/(1/INDEX(BD!$AL$24:$BF$24,MATCH($A$190,BD!$AL$22:$BF$22,0))),"")</f>
        <v/>
      </c>
      <c r="E191" s="177"/>
      <c r="F191" s="178" t="str">
        <f>IF(F$3="","",IF(COUNTIFS(BD!$A$3:$A$5001,F$3,BD!$B$3:$B$5001,$A$190,BD!$D$3:$D$5001,"&lt;&gt;")=0,"",SUMIFS(BD!$D$3:$D$5001,BD!$A$3:$A$5001,F$3,BD!$B$3:$B$5001,$A$190)))</f>
        <v/>
      </c>
      <c r="G191" s="179" t="str">
        <f>IF(G$3="","",IF(COUNTIFS(BD!$A$3:$A$5001,G$3,BD!$B$3:$B$5001,$A$190,BD!$D$3:$D$5001,"&lt;&gt;")=0,"",SUMIFS(BD!$D$3:$D$5001,BD!$A$3:$A$5001,G$3,BD!$B$3:$B$5001,$A$190)))</f>
        <v/>
      </c>
      <c r="H191" s="179" t="str">
        <f>IF(H$3="","",IF(COUNTIFS(BD!$A$3:$A$5001,H$3,BD!$B$3:$B$5001,$A$190,BD!$D$3:$D$5001,"&lt;&gt;")=0,"",SUMIFS(BD!$D$3:$D$5001,BD!$A$3:$A$5001,H$3,BD!$B$3:$B$5001,$A$190)))</f>
        <v/>
      </c>
      <c r="I191" s="179" t="str">
        <f>IF(I$3="","",IF(COUNTIFS(BD!$A$3:$A$5001,I$3,BD!$B$3:$B$5001,$A$190,BD!$D$3:$D$5001,"&lt;&gt;")=0,"",SUMIFS(BD!$D$3:$D$5001,BD!$A$3:$A$5001,I$3,BD!$B$3:$B$5001,$A$190)))</f>
        <v/>
      </c>
      <c r="J191" s="179" t="str">
        <f>IF(J$3="","",IF(COUNTIFS(BD!$A$3:$A$5001,J$3,BD!$B$3:$B$5001,$A$190,BD!$D$3:$D$5001,"&lt;&gt;")=0,"",SUMIFS(BD!$D$3:$D$5001,BD!$A$3:$A$5001,J$3,BD!$B$3:$B$5001,$A$190)))</f>
        <v/>
      </c>
      <c r="K191" s="179" t="str">
        <f>IF(K$3="","",IF(COUNTIFS(BD!$A$3:$A$5001,K$3,BD!$B$3:$B$5001,$A$190,BD!$D$3:$D$5001,"&lt;&gt;")=0,"",SUMIFS(BD!$D$3:$D$5001,BD!$A$3:$A$5001,K$3,BD!$B$3:$B$5001,$A$190)))</f>
        <v/>
      </c>
      <c r="L191" s="179" t="str">
        <f>IF(L$3="","",IF(COUNTIFS(BD!$A$3:$A$5001,L$3,BD!$B$3:$B$5001,$A$190,BD!$D$3:$D$5001,"&lt;&gt;")=0,"",SUMIFS(BD!$D$3:$D$5001,BD!$A$3:$A$5001,L$3,BD!$B$3:$B$5001,$A$190)))</f>
        <v/>
      </c>
      <c r="M191" s="179" t="str">
        <f>IF(M$3="","",IF(COUNTIFS(BD!$A$3:$A$5001,M$3,BD!$B$3:$B$5001,$A$190,BD!$D$3:$D$5001,"&lt;&gt;")=0,"",SUMIFS(BD!$D$3:$D$5001,BD!$A$3:$A$5001,M$3,BD!$B$3:$B$5001,$A$190)))</f>
        <v/>
      </c>
      <c r="N191" s="179" t="str">
        <f>IF(N$3="","",IF(COUNTIFS(BD!$A$3:$A$5001,N$3,BD!$B$3:$B$5001,$A$190,BD!$D$3:$D$5001,"&lt;&gt;")=0,"",SUMIFS(BD!$D$3:$D$5001,BD!$A$3:$A$5001,N$3,BD!$B$3:$B$5001,$A$190)))</f>
        <v/>
      </c>
      <c r="O191" s="179" t="str">
        <f>IF(O$3="","",IF(COUNTIFS(BD!$A$3:$A$5001,O$3,BD!$B$3:$B$5001,$A$190,BD!$D$3:$D$5001,"&lt;&gt;")=0,"",SUMIFS(BD!$D$3:$D$5001,BD!$A$3:$A$5001,O$3,BD!$B$3:$B$5001,$A$190)))</f>
        <v/>
      </c>
      <c r="P191" s="179" t="str">
        <f>IF(P$3="","",IF(COUNTIFS(BD!$A$3:$A$5001,P$3,BD!$B$3:$B$5001,$A$190,BD!$D$3:$D$5001,"&lt;&gt;")=0,"",SUMIFS(BD!$D$3:$D$5001,BD!$A$3:$A$5001,P$3,BD!$B$3:$B$5001,$A$190)))</f>
        <v/>
      </c>
      <c r="Q191" s="179" t="str">
        <f>IF(Q$3="","",IF(COUNTIFS(BD!$A$3:$A$5001,Q$3,BD!$B$3:$B$5001,$A$190,BD!$D$3:$D$5001,"&lt;&gt;")=0,"",SUMIFS(BD!$D$3:$D$5001,BD!$A$3:$A$5001,Q$3,BD!$B$3:$B$5001,$A$190)))</f>
        <v/>
      </c>
      <c r="R191" s="179" t="str">
        <f>IF(R$3="","",IF(COUNTIFS(BD!$A$3:$A$5001,R$3,BD!$B$3:$B$5001,$A$190,BD!$D$3:$D$5001,"&lt;&gt;")=0,"",SUMIFS(BD!$D$3:$D$5001,BD!$A$3:$A$5001,R$3,BD!$B$3:$B$5001,$A$190)))</f>
        <v/>
      </c>
      <c r="S191" s="179" t="str">
        <f>IF(S$3="","",IF(COUNTIFS(BD!$A$3:$A$5001,S$3,BD!$B$3:$B$5001,$A$190,BD!$D$3:$D$5001,"&lt;&gt;")=0,"",SUMIFS(BD!$D$3:$D$5001,BD!$A$3:$A$5001,S$3,BD!$B$3:$B$5001,$A$190)))</f>
        <v/>
      </c>
      <c r="T191" s="179" t="str">
        <f>IF(T$3="","",IF(COUNTIFS(BD!$A$3:$A$5001,T$3,BD!$B$3:$B$5001,$A$190,BD!$D$3:$D$5001,"&lt;&gt;")=0,"",SUMIFS(BD!$D$3:$D$5001,BD!$A$3:$A$5001,T$3,BD!$B$3:$B$5001,$A$190)))</f>
        <v/>
      </c>
      <c r="U191" s="179" t="str">
        <f>IF(U$3="","",IF(COUNTIFS(BD!$A$3:$A$5001,U$3,BD!$B$3:$B$5001,$A$190,BD!$D$3:$D$5001,"&lt;&gt;")=0,"",SUMIFS(BD!$D$3:$D$5001,BD!$A$3:$A$5001,U$3,BD!$B$3:$B$5001,$A$190)))</f>
        <v/>
      </c>
      <c r="V191" s="179" t="str">
        <f>IF(V$3="","",IF(COUNTIFS(BD!$A$3:$A$5001,V$3,BD!$B$3:$B$5001,$A$190,BD!$D$3:$D$5001,"&lt;&gt;")=0,"",SUMIFS(BD!$D$3:$D$5001,BD!$A$3:$A$5001,V$3,BD!$B$3:$B$5001,$A$190)))</f>
        <v/>
      </c>
      <c r="W191" s="179" t="str">
        <f>IF(W$3="","",IF(COUNTIFS(BD!$A$3:$A$5001,W$3,BD!$B$3:$B$5001,$A$190,BD!$D$3:$D$5001,"&lt;&gt;")=0,"",SUMIFS(BD!$D$3:$D$5001,BD!$A$3:$A$5001,W$3,BD!$B$3:$B$5001,$A$190)))</f>
        <v/>
      </c>
      <c r="X191" s="179" t="str">
        <f>IF(X$3="","",IF(COUNTIFS(BD!$A$3:$A$5001,X$3,BD!$B$3:$B$5001,$A$190,BD!$D$3:$D$5001,"&lt;&gt;")=0,"",SUMIFS(BD!$D$3:$D$5001,BD!$A$3:$A$5001,X$3,BD!$B$3:$B$5001,$A$190)))</f>
        <v/>
      </c>
      <c r="Y191" s="179" t="str">
        <f>IF(Y$3="","",IF(COUNTIFS(BD!$A$3:$A$5001,Y$3,BD!$B$3:$B$5001,$A$190,BD!$D$3:$D$5001,"&lt;&gt;")=0,"",SUMIFS(BD!$D$3:$D$5001,BD!$A$3:$A$5001,Y$3,BD!$B$3:$B$5001,$A$190)))</f>
        <v/>
      </c>
      <c r="Z191" s="179" t="str">
        <f>IF(Z$3="","",IF(COUNTIFS(BD!$A$3:$A$5001,Z$3,BD!$B$3:$B$5001,$A$190,BD!$D$3:$D$5001,"&lt;&gt;")=0,"",SUMIFS(BD!$D$3:$D$5001,BD!$A$3:$A$5001,Z$3,BD!$B$3:$B$5001,$A$190)))</f>
        <v/>
      </c>
      <c r="AA191" s="179" t="str">
        <f>IF(AA$3="","",IF(COUNTIFS(BD!$A$3:$A$5001,AA$3,BD!$B$3:$B$5001,$A$190,BD!$D$3:$D$5001,"&lt;&gt;")=0,"",SUMIFS(BD!$D$3:$D$5001,BD!$A$3:$A$5001,AA$3,BD!$B$3:$B$5001,$A$190)))</f>
        <v/>
      </c>
      <c r="AB191" s="179" t="str">
        <f>IF(AB$3="","",IF(COUNTIFS(BD!$A$3:$A$5001,AB$3,BD!$B$3:$B$5001,$A$190,BD!$D$3:$D$5001,"&lt;&gt;")=0,"",SUMIFS(BD!$D$3:$D$5001,BD!$A$3:$A$5001,AB$3,BD!$B$3:$B$5001,$A$190)))</f>
        <v/>
      </c>
      <c r="AC191" s="179" t="str">
        <f>IF(AC$3="","",IF(COUNTIFS(BD!$A$3:$A$5001,AC$3,BD!$B$3:$B$5001,$A$190,BD!$D$3:$D$5001,"&lt;&gt;")=0,"",SUMIFS(BD!$D$3:$D$5001,BD!$A$3:$A$5001,AC$3,BD!$B$3:$B$5001,$A$190)))</f>
        <v/>
      </c>
      <c r="AD191" s="179" t="str">
        <f>IF(AD$3="","",IF(COUNTIFS(BD!$A$3:$A$5001,AD$3,BD!$B$3:$B$5001,$A$190,BD!$D$3:$D$5001,"&lt;&gt;")=0,"",SUMIFS(BD!$D$3:$D$5001,BD!$A$3:$A$5001,AD$3,BD!$B$3:$B$5001,$A$190)))</f>
        <v/>
      </c>
      <c r="AE191" s="179" t="str">
        <f>IF(AE$3="","",IF(COUNTIFS(BD!$A$3:$A$5001,AE$3,BD!$B$3:$B$5001,$A$190,BD!$D$3:$D$5001,"&lt;&gt;")=0,"",SUMIFS(BD!$D$3:$D$5001,BD!$A$3:$A$5001,AE$3,BD!$B$3:$B$5001,$A$190)))</f>
        <v/>
      </c>
      <c r="AF191" s="179" t="str">
        <f>IF(AF$3="","",IF(COUNTIFS(BD!$A$3:$A$5001,AF$3,BD!$B$3:$B$5001,$A$190,BD!$D$3:$D$5001,"&lt;&gt;")=0,"",SUMIFS(BD!$D$3:$D$5001,BD!$A$3:$A$5001,AF$3,BD!$B$3:$B$5001,$A$190)))</f>
        <v/>
      </c>
      <c r="AG191" s="179" t="str">
        <f>IF(AG$3="","",IF(COUNTIFS(BD!$A$3:$A$5001,AG$3,BD!$B$3:$B$5001,$A$190,BD!$D$3:$D$5001,"&lt;&gt;")=0,"",SUMIFS(BD!$D$3:$D$5001,BD!$A$3:$A$5001,AG$3,BD!$B$3:$B$5001,$A$190)))</f>
        <v/>
      </c>
      <c r="AH191" s="179" t="str">
        <f>IF(AH$3="","",IF(COUNTIFS(BD!$A$3:$A$5001,AH$3,BD!$B$3:$B$5001,$A$190,BD!$D$3:$D$5001,"&lt;&gt;")=0,"",SUMIFS(BD!$D$3:$D$5001,BD!$A$3:$A$5001,AH$3,BD!$B$3:$B$5001,$A$190)))</f>
        <v/>
      </c>
      <c r="AI191" s="179" t="str">
        <f>IF(AI$3="","",IF(COUNTIFS(BD!$A$3:$A$5001,AI$3,BD!$B$3:$B$5001,$A$190,BD!$D$3:$D$5001,"&lt;&gt;")=0,"",SUMIFS(BD!$D$3:$D$5001,BD!$A$3:$A$5001,AI$3,BD!$B$3:$B$5001,$A$190)))</f>
        <v/>
      </c>
      <c r="AJ191" s="180" t="str">
        <f>IF(AJ$3="","",IF(COUNTIFS(BD!$A$3:$A$5001,AJ$3,BD!$B$3:$B$5001,$A$190,BD!$D$3:$D$5001,"&lt;&gt;")=0,"",SUMIFS(BD!$D$3:$D$5001,BD!$A$3:$A$5001,AJ$3,BD!$B$3:$B$5001,$A$190)))</f>
        <v/>
      </c>
      <c r="AK191" s="176" t="str">
        <f>IF(COUNT(F191:AJ191)=0,"",SUM(F191:AJ191))</f>
        <v/>
      </c>
    </row>
    <row r="192" ht="15.75" customHeight="1">
      <c r="A192" s="261"/>
      <c r="B192" s="251" t="inlineStr">
        <is>
          <t xml:space="preserve">OUT</t>
        </is>
      </c>
      <c r="C192" s="181" t="inlineStr">
        <is>
          <t xml:space="preserve">Veículos Expedidos</t>
        </is>
      </c>
      <c r="D192" s="182" t="str">
        <f>IFERROR(1/(1/INDEX(BD!$AL$32:$BF$32,MATCH($A$190,BD!$AL$22:$BF$22,0))),"")</f>
        <v/>
      </c>
      <c r="E192" s="183"/>
      <c r="F192" s="184" t="str">
        <f>IF(F$3="","",IF(COUNTIFS(BD!$A$3:$A$5001,F$3,BD!$B$3:$B$5001,$A$190,BD!$L$3:$L$5001,"&lt;&gt;")=0,"",SUMIFS(BD!$L$3:$L$5001,BD!$A$3:$A$5001,F$3,BD!$B$3:$B$5001,$A$190)))</f>
        <v/>
      </c>
      <c r="G192" s="185" t="str">
        <f>IF(G$3="","",IF(COUNTIFS(BD!$A$3:$A$5001,G$3,BD!$B$3:$B$5001,$A$190,BD!$L$3:$L$5001,"&lt;&gt;")=0,"",SUMIFS(BD!$L$3:$L$5001,BD!$A$3:$A$5001,G$3,BD!$B$3:$B$5001,$A$190)))</f>
        <v/>
      </c>
      <c r="H192" s="185" t="str">
        <f>IF(H$3="","",IF(COUNTIFS(BD!$A$3:$A$5001,H$3,BD!$B$3:$B$5001,$A$190,BD!$L$3:$L$5001,"&lt;&gt;")=0,"",SUMIFS(BD!$L$3:$L$5001,BD!$A$3:$A$5001,H$3,BD!$B$3:$B$5001,$A$190)))</f>
        <v/>
      </c>
      <c r="I192" s="185" t="str">
        <f>IF(I$3="","",IF(COUNTIFS(BD!$A$3:$A$5001,I$3,BD!$B$3:$B$5001,$A$190,BD!$L$3:$L$5001,"&lt;&gt;")=0,"",SUMIFS(BD!$L$3:$L$5001,BD!$A$3:$A$5001,I$3,BD!$B$3:$B$5001,$A$190)))</f>
        <v/>
      </c>
      <c r="J192" s="185" t="str">
        <f>IF(J$3="","",IF(COUNTIFS(BD!$A$3:$A$5001,J$3,BD!$B$3:$B$5001,$A$190,BD!$L$3:$L$5001,"&lt;&gt;")=0,"",SUMIFS(BD!$L$3:$L$5001,BD!$A$3:$A$5001,J$3,BD!$B$3:$B$5001,$A$190)))</f>
        <v/>
      </c>
      <c r="K192" s="185" t="str">
        <f>IF(K$3="","",IF(COUNTIFS(BD!$A$3:$A$5001,K$3,BD!$B$3:$B$5001,$A$190,BD!$L$3:$L$5001,"&lt;&gt;")=0,"",SUMIFS(BD!$L$3:$L$5001,BD!$A$3:$A$5001,K$3,BD!$B$3:$B$5001,$A$190)))</f>
        <v/>
      </c>
      <c r="L192" s="185" t="str">
        <f>IF(L$3="","",IF(COUNTIFS(BD!$A$3:$A$5001,L$3,BD!$B$3:$B$5001,$A$190,BD!$L$3:$L$5001,"&lt;&gt;")=0,"",SUMIFS(BD!$L$3:$L$5001,BD!$A$3:$A$5001,L$3,BD!$B$3:$B$5001,$A$190)))</f>
        <v/>
      </c>
      <c r="M192" s="185" t="str">
        <f>IF(M$3="","",IF(COUNTIFS(BD!$A$3:$A$5001,M$3,BD!$B$3:$B$5001,$A$190,BD!$L$3:$L$5001,"&lt;&gt;")=0,"",SUMIFS(BD!$L$3:$L$5001,BD!$A$3:$A$5001,M$3,BD!$B$3:$B$5001,$A$190)))</f>
        <v/>
      </c>
      <c r="N192" s="185" t="str">
        <f>IF(N$3="","",IF(COUNTIFS(BD!$A$3:$A$5001,N$3,BD!$B$3:$B$5001,$A$190,BD!$L$3:$L$5001,"&lt;&gt;")=0,"",SUMIFS(BD!$L$3:$L$5001,BD!$A$3:$A$5001,N$3,BD!$B$3:$B$5001,$A$190)))</f>
        <v/>
      </c>
      <c r="O192" s="185" t="str">
        <f>IF(O$3="","",IF(COUNTIFS(BD!$A$3:$A$5001,O$3,BD!$B$3:$B$5001,$A$190,BD!$L$3:$L$5001,"&lt;&gt;")=0,"",SUMIFS(BD!$L$3:$L$5001,BD!$A$3:$A$5001,O$3,BD!$B$3:$B$5001,$A$190)))</f>
        <v/>
      </c>
      <c r="P192" s="185" t="str">
        <f>IF(P$3="","",IF(COUNTIFS(BD!$A$3:$A$5001,P$3,BD!$B$3:$B$5001,$A$190,BD!$L$3:$L$5001,"&lt;&gt;")=0,"",SUMIFS(BD!$L$3:$L$5001,BD!$A$3:$A$5001,P$3,BD!$B$3:$B$5001,$A$190)))</f>
        <v/>
      </c>
      <c r="Q192" s="185" t="str">
        <f>IF(Q$3="","",IF(COUNTIFS(BD!$A$3:$A$5001,Q$3,BD!$B$3:$B$5001,$A$190,BD!$L$3:$L$5001,"&lt;&gt;")=0,"",SUMIFS(BD!$L$3:$L$5001,BD!$A$3:$A$5001,Q$3,BD!$B$3:$B$5001,$A$190)))</f>
        <v/>
      </c>
      <c r="R192" s="185" t="str">
        <f>IF(R$3="","",IF(COUNTIFS(BD!$A$3:$A$5001,R$3,BD!$B$3:$B$5001,$A$190,BD!$L$3:$L$5001,"&lt;&gt;")=0,"",SUMIFS(BD!$L$3:$L$5001,BD!$A$3:$A$5001,R$3,BD!$B$3:$B$5001,$A$190)))</f>
        <v/>
      </c>
      <c r="S192" s="185" t="str">
        <f>IF(S$3="","",IF(COUNTIFS(BD!$A$3:$A$5001,S$3,BD!$B$3:$B$5001,$A$190,BD!$L$3:$L$5001,"&lt;&gt;")=0,"",SUMIFS(BD!$L$3:$L$5001,BD!$A$3:$A$5001,S$3,BD!$B$3:$B$5001,$A$190)))</f>
        <v/>
      </c>
      <c r="T192" s="185" t="str">
        <f>IF(T$3="","",IF(COUNTIFS(BD!$A$3:$A$5001,T$3,BD!$B$3:$B$5001,$A$190,BD!$L$3:$L$5001,"&lt;&gt;")=0,"",SUMIFS(BD!$L$3:$L$5001,BD!$A$3:$A$5001,T$3,BD!$B$3:$B$5001,$A$190)))</f>
        <v/>
      </c>
      <c r="U192" s="185" t="str">
        <f>IF(U$3="","",IF(COUNTIFS(BD!$A$3:$A$5001,U$3,BD!$B$3:$B$5001,$A$190,BD!$L$3:$L$5001,"&lt;&gt;")=0,"",SUMIFS(BD!$L$3:$L$5001,BD!$A$3:$A$5001,U$3,BD!$B$3:$B$5001,$A$190)))</f>
        <v/>
      </c>
      <c r="V192" s="185" t="str">
        <f>IF(V$3="","",IF(COUNTIFS(BD!$A$3:$A$5001,V$3,BD!$B$3:$B$5001,$A$190,BD!$L$3:$L$5001,"&lt;&gt;")=0,"",SUMIFS(BD!$L$3:$L$5001,BD!$A$3:$A$5001,V$3,BD!$B$3:$B$5001,$A$190)))</f>
        <v/>
      </c>
      <c r="W192" s="185" t="str">
        <f>IF(W$3="","",IF(COUNTIFS(BD!$A$3:$A$5001,W$3,BD!$B$3:$B$5001,$A$190,BD!$L$3:$L$5001,"&lt;&gt;")=0,"",SUMIFS(BD!$L$3:$L$5001,BD!$A$3:$A$5001,W$3,BD!$B$3:$B$5001,$A$190)))</f>
        <v/>
      </c>
      <c r="X192" s="185" t="str">
        <f>IF(X$3="","",IF(COUNTIFS(BD!$A$3:$A$5001,X$3,BD!$B$3:$B$5001,$A$190,BD!$L$3:$L$5001,"&lt;&gt;")=0,"",SUMIFS(BD!$L$3:$L$5001,BD!$A$3:$A$5001,X$3,BD!$B$3:$B$5001,$A$190)))</f>
        <v/>
      </c>
      <c r="Y192" s="185" t="str">
        <f>IF(Y$3="","",IF(COUNTIFS(BD!$A$3:$A$5001,Y$3,BD!$B$3:$B$5001,$A$190,BD!$L$3:$L$5001,"&lt;&gt;")=0,"",SUMIFS(BD!$L$3:$L$5001,BD!$A$3:$A$5001,Y$3,BD!$B$3:$B$5001,$A$190)))</f>
        <v/>
      </c>
      <c r="Z192" s="185" t="str">
        <f>IF(Z$3="","",IF(COUNTIFS(BD!$A$3:$A$5001,Z$3,BD!$B$3:$B$5001,$A$190,BD!$L$3:$L$5001,"&lt;&gt;")=0,"",SUMIFS(BD!$L$3:$L$5001,BD!$A$3:$A$5001,Z$3,BD!$B$3:$B$5001,$A$190)))</f>
        <v/>
      </c>
      <c r="AA192" s="185" t="str">
        <f>IF(AA$3="","",IF(COUNTIFS(BD!$A$3:$A$5001,AA$3,BD!$B$3:$B$5001,$A$190,BD!$L$3:$L$5001,"&lt;&gt;")=0,"",SUMIFS(BD!$L$3:$L$5001,BD!$A$3:$A$5001,AA$3,BD!$B$3:$B$5001,$A$190)))</f>
        <v/>
      </c>
      <c r="AB192" s="185" t="str">
        <f>IF(AB$3="","",IF(COUNTIFS(BD!$A$3:$A$5001,AB$3,BD!$B$3:$B$5001,$A$190,BD!$L$3:$L$5001,"&lt;&gt;")=0,"",SUMIFS(BD!$L$3:$L$5001,BD!$A$3:$A$5001,AB$3,BD!$B$3:$B$5001,$A$190)))</f>
        <v/>
      </c>
      <c r="AC192" s="185" t="str">
        <f>IF(AC$3="","",IF(COUNTIFS(BD!$A$3:$A$5001,AC$3,BD!$B$3:$B$5001,$A$190,BD!$L$3:$L$5001,"&lt;&gt;")=0,"",SUMIFS(BD!$L$3:$L$5001,BD!$A$3:$A$5001,AC$3,BD!$B$3:$B$5001,$A$190)))</f>
        <v/>
      </c>
      <c r="AD192" s="185" t="str">
        <f>IF(AD$3="","",IF(COUNTIFS(BD!$A$3:$A$5001,AD$3,BD!$B$3:$B$5001,$A$190,BD!$L$3:$L$5001,"&lt;&gt;")=0,"",SUMIFS(BD!$L$3:$L$5001,BD!$A$3:$A$5001,AD$3,BD!$B$3:$B$5001,$A$190)))</f>
        <v/>
      </c>
      <c r="AE192" s="185" t="str">
        <f>IF(AE$3="","",IF(COUNTIFS(BD!$A$3:$A$5001,AE$3,BD!$B$3:$B$5001,$A$190,BD!$L$3:$L$5001,"&lt;&gt;")=0,"",SUMIFS(BD!$L$3:$L$5001,BD!$A$3:$A$5001,AE$3,BD!$B$3:$B$5001,$A$190)))</f>
        <v/>
      </c>
      <c r="AF192" s="185" t="str">
        <f>IF(AF$3="","",IF(COUNTIFS(BD!$A$3:$A$5001,AF$3,BD!$B$3:$B$5001,$A$190,BD!$L$3:$L$5001,"&lt;&gt;")=0,"",SUMIFS(BD!$L$3:$L$5001,BD!$A$3:$A$5001,AF$3,BD!$B$3:$B$5001,$A$190)))</f>
        <v/>
      </c>
      <c r="AG192" s="185" t="str">
        <f>IF(AG$3="","",IF(COUNTIFS(BD!$A$3:$A$5001,AG$3,BD!$B$3:$B$5001,$A$190,BD!$L$3:$L$5001,"&lt;&gt;")=0,"",SUMIFS(BD!$L$3:$L$5001,BD!$A$3:$A$5001,AG$3,BD!$B$3:$B$5001,$A$190)))</f>
        <v/>
      </c>
      <c r="AH192" s="185" t="str">
        <f>IF(AH$3="","",IF(COUNTIFS(BD!$A$3:$A$5001,AH$3,BD!$B$3:$B$5001,$A$190,BD!$L$3:$L$5001,"&lt;&gt;")=0,"",SUMIFS(BD!$L$3:$L$5001,BD!$A$3:$A$5001,AH$3,BD!$B$3:$B$5001,$A$190)))</f>
        <v/>
      </c>
      <c r="AI192" s="185" t="str">
        <f>IF(AI$3="","",IF(COUNTIFS(BD!$A$3:$A$5001,AI$3,BD!$B$3:$B$5001,$A$190,BD!$L$3:$L$5001,"&lt;&gt;")=0,"",SUMIFS(BD!$L$3:$L$5001,BD!$A$3:$A$5001,AI$3,BD!$B$3:$B$5001,$A$190)))</f>
        <v/>
      </c>
      <c r="AJ192" s="186" t="str">
        <f>IF(AJ$3="","",IF(COUNTIFS(BD!$A$3:$A$5001,AJ$3,BD!$B$3:$B$5001,$A$190,BD!$L$3:$L$5001,"&lt;&gt;")=0,"",SUMIFS(BD!$L$3:$L$5001,BD!$A$3:$A$5001,AJ$3,BD!$B$3:$B$5001,$A$190)))</f>
        <v/>
      </c>
      <c r="AK192" s="187" t="str">
        <f>IF(COUNT(F192:AJ192)=0,"",SUM(F192:AJ192))</f>
        <v/>
      </c>
    </row>
    <row r="193" ht="15.75" customHeight="1">
      <c r="A193" s="261"/>
      <c r="B193" s="252"/>
      <c r="C193" s="188" t="inlineStr">
        <is>
          <t xml:space="preserve">Pallets Movimentados</t>
        </is>
      </c>
      <c r="D193" s="189" t="str">
        <f>IFERROR(1/(1/INDEX(BD!$AL$38:$BF$38,MATCH($A$190,BD!$AL$22:$BF$22,0))),"")</f>
        <v/>
      </c>
      <c r="E193" s="190"/>
      <c r="F193" s="191" t="str">
        <f>IF(F$3="","",IF(COUNTIFS(BD!$A$3:$A$5001,F$3,BD!$B$3:$B$5001,$A$190,BD!$R$3:$R$5001,"&lt;&gt;")=0,"",SUMIFS(BD!$R$3:$R$5001,BD!$A$3:$A$5001,F$3,BD!$B$3:$B$5001,$A$190)))</f>
        <v/>
      </c>
      <c r="G193" s="192" t="str">
        <f>IF(G$3="","",IF(COUNTIFS(BD!$A$3:$A$5001,G$3,BD!$B$3:$B$5001,$A$190,BD!$R$3:$R$5001,"&lt;&gt;")=0,"",SUMIFS(BD!$R$3:$R$5001,BD!$A$3:$A$5001,G$3,BD!$B$3:$B$5001,$A$190)))</f>
        <v/>
      </c>
      <c r="H193" s="192" t="str">
        <f>IF(H$3="","",IF(COUNTIFS(BD!$A$3:$A$5001,H$3,BD!$B$3:$B$5001,$A$190,BD!$R$3:$R$5001,"&lt;&gt;")=0,"",SUMIFS(BD!$R$3:$R$5001,BD!$A$3:$A$5001,H$3,BD!$B$3:$B$5001,$A$190)))</f>
        <v/>
      </c>
      <c r="I193" s="192" t="str">
        <f>IF(I$3="","",IF(COUNTIFS(BD!$A$3:$A$5001,I$3,BD!$B$3:$B$5001,$A$190,BD!$R$3:$R$5001,"&lt;&gt;")=0,"",SUMIFS(BD!$R$3:$R$5001,BD!$A$3:$A$5001,I$3,BD!$B$3:$B$5001,$A$190)))</f>
        <v/>
      </c>
      <c r="J193" s="192" t="str">
        <f>IF(J$3="","",IF(COUNTIFS(BD!$A$3:$A$5001,J$3,BD!$B$3:$B$5001,$A$190,BD!$R$3:$R$5001,"&lt;&gt;")=0,"",SUMIFS(BD!$R$3:$R$5001,BD!$A$3:$A$5001,J$3,BD!$B$3:$B$5001,$A$190)))</f>
        <v/>
      </c>
      <c r="K193" s="192" t="str">
        <f>IF(K$3="","",IF(COUNTIFS(BD!$A$3:$A$5001,K$3,BD!$B$3:$B$5001,$A$190,BD!$R$3:$R$5001,"&lt;&gt;")=0,"",SUMIFS(BD!$R$3:$R$5001,BD!$A$3:$A$5001,K$3,BD!$B$3:$B$5001,$A$190)))</f>
        <v/>
      </c>
      <c r="L193" s="192" t="str">
        <f>IF(L$3="","",IF(COUNTIFS(BD!$A$3:$A$5001,L$3,BD!$B$3:$B$5001,$A$190,BD!$R$3:$R$5001,"&lt;&gt;")=0,"",SUMIFS(BD!$R$3:$R$5001,BD!$A$3:$A$5001,L$3,BD!$B$3:$B$5001,$A$190)))</f>
        <v/>
      </c>
      <c r="M193" s="192" t="str">
        <f>IF(M$3="","",IF(COUNTIFS(BD!$A$3:$A$5001,M$3,BD!$B$3:$B$5001,$A$190,BD!$R$3:$R$5001,"&lt;&gt;")=0,"",SUMIFS(BD!$R$3:$R$5001,BD!$A$3:$A$5001,M$3,BD!$B$3:$B$5001,$A$190)))</f>
        <v/>
      </c>
      <c r="N193" s="192" t="str">
        <f>IF(N$3="","",IF(COUNTIFS(BD!$A$3:$A$5001,N$3,BD!$B$3:$B$5001,$A$190,BD!$R$3:$R$5001,"&lt;&gt;")=0,"",SUMIFS(BD!$R$3:$R$5001,BD!$A$3:$A$5001,N$3,BD!$B$3:$B$5001,$A$190)))</f>
        <v/>
      </c>
      <c r="O193" s="192" t="str">
        <f>IF(O$3="","",IF(COUNTIFS(BD!$A$3:$A$5001,O$3,BD!$B$3:$B$5001,$A$190,BD!$R$3:$R$5001,"&lt;&gt;")=0,"",SUMIFS(BD!$R$3:$R$5001,BD!$A$3:$A$5001,O$3,BD!$B$3:$B$5001,$A$190)))</f>
        <v/>
      </c>
      <c r="P193" s="192" t="str">
        <f>IF(P$3="","",IF(COUNTIFS(BD!$A$3:$A$5001,P$3,BD!$B$3:$B$5001,$A$190,BD!$R$3:$R$5001,"&lt;&gt;")=0,"",SUMIFS(BD!$R$3:$R$5001,BD!$A$3:$A$5001,P$3,BD!$B$3:$B$5001,$A$190)))</f>
        <v/>
      </c>
      <c r="Q193" s="192" t="str">
        <f>IF(Q$3="","",IF(COUNTIFS(BD!$A$3:$A$5001,Q$3,BD!$B$3:$B$5001,$A$190,BD!$R$3:$R$5001,"&lt;&gt;")=0,"",SUMIFS(BD!$R$3:$R$5001,BD!$A$3:$A$5001,Q$3,BD!$B$3:$B$5001,$A$190)))</f>
        <v/>
      </c>
      <c r="R193" s="192" t="str">
        <f>IF(R$3="","",IF(COUNTIFS(BD!$A$3:$A$5001,R$3,BD!$B$3:$B$5001,$A$190,BD!$R$3:$R$5001,"&lt;&gt;")=0,"",SUMIFS(BD!$R$3:$R$5001,BD!$A$3:$A$5001,R$3,BD!$B$3:$B$5001,$A$190)))</f>
        <v/>
      </c>
      <c r="S193" s="192" t="str">
        <f>IF(S$3="","",IF(COUNTIFS(BD!$A$3:$A$5001,S$3,BD!$B$3:$B$5001,$A$190,BD!$R$3:$R$5001,"&lt;&gt;")=0,"",SUMIFS(BD!$R$3:$R$5001,BD!$A$3:$A$5001,S$3,BD!$B$3:$B$5001,$A$190)))</f>
        <v/>
      </c>
      <c r="T193" s="192" t="str">
        <f>IF(T$3="","",IF(COUNTIFS(BD!$A$3:$A$5001,T$3,BD!$B$3:$B$5001,$A$190,BD!$R$3:$R$5001,"&lt;&gt;")=0,"",SUMIFS(BD!$R$3:$R$5001,BD!$A$3:$A$5001,T$3,BD!$B$3:$B$5001,$A$190)))</f>
        <v/>
      </c>
      <c r="U193" s="192" t="str">
        <f>IF(U$3="","",IF(COUNTIFS(BD!$A$3:$A$5001,U$3,BD!$B$3:$B$5001,$A$190,BD!$R$3:$R$5001,"&lt;&gt;")=0,"",SUMIFS(BD!$R$3:$R$5001,BD!$A$3:$A$5001,U$3,BD!$B$3:$B$5001,$A$190)))</f>
        <v/>
      </c>
      <c r="V193" s="192" t="str">
        <f>IF(V$3="","",IF(COUNTIFS(BD!$A$3:$A$5001,V$3,BD!$B$3:$B$5001,$A$190,BD!$R$3:$R$5001,"&lt;&gt;")=0,"",SUMIFS(BD!$R$3:$R$5001,BD!$A$3:$A$5001,V$3,BD!$B$3:$B$5001,$A$190)))</f>
        <v/>
      </c>
      <c r="W193" s="192" t="str">
        <f>IF(W$3="","",IF(COUNTIFS(BD!$A$3:$A$5001,W$3,BD!$B$3:$B$5001,$A$190,BD!$R$3:$R$5001,"&lt;&gt;")=0,"",SUMIFS(BD!$R$3:$R$5001,BD!$A$3:$A$5001,W$3,BD!$B$3:$B$5001,$A$190)))</f>
        <v/>
      </c>
      <c r="X193" s="192" t="str">
        <f>IF(X$3="","",IF(COUNTIFS(BD!$A$3:$A$5001,X$3,BD!$B$3:$B$5001,$A$190,BD!$R$3:$R$5001,"&lt;&gt;")=0,"",SUMIFS(BD!$R$3:$R$5001,BD!$A$3:$A$5001,X$3,BD!$B$3:$B$5001,$A$190)))</f>
        <v/>
      </c>
      <c r="Y193" s="192" t="str">
        <f>IF(Y$3="","",IF(COUNTIFS(BD!$A$3:$A$5001,Y$3,BD!$B$3:$B$5001,$A$190,BD!$R$3:$R$5001,"&lt;&gt;")=0,"",SUMIFS(BD!$R$3:$R$5001,BD!$A$3:$A$5001,Y$3,BD!$B$3:$B$5001,$A$190)))</f>
        <v/>
      </c>
      <c r="Z193" s="192" t="str">
        <f>IF(Z$3="","",IF(COUNTIFS(BD!$A$3:$A$5001,Z$3,BD!$B$3:$B$5001,$A$190,BD!$R$3:$R$5001,"&lt;&gt;")=0,"",SUMIFS(BD!$R$3:$R$5001,BD!$A$3:$A$5001,Z$3,BD!$B$3:$B$5001,$A$190)))</f>
        <v/>
      </c>
      <c r="AA193" s="192" t="str">
        <f>IF(AA$3="","",IF(COUNTIFS(BD!$A$3:$A$5001,AA$3,BD!$B$3:$B$5001,$A$190,BD!$R$3:$R$5001,"&lt;&gt;")=0,"",SUMIFS(BD!$R$3:$R$5001,BD!$A$3:$A$5001,AA$3,BD!$B$3:$B$5001,$A$190)))</f>
        <v/>
      </c>
      <c r="AB193" s="192" t="str">
        <f>IF(AB$3="","",IF(COUNTIFS(BD!$A$3:$A$5001,AB$3,BD!$B$3:$B$5001,$A$190,BD!$R$3:$R$5001,"&lt;&gt;")=0,"",SUMIFS(BD!$R$3:$R$5001,BD!$A$3:$A$5001,AB$3,BD!$B$3:$B$5001,$A$190)))</f>
        <v/>
      </c>
      <c r="AC193" s="192" t="str">
        <f>IF(AC$3="","",IF(COUNTIFS(BD!$A$3:$A$5001,AC$3,BD!$B$3:$B$5001,$A$190,BD!$R$3:$R$5001,"&lt;&gt;")=0,"",SUMIFS(BD!$R$3:$R$5001,BD!$A$3:$A$5001,AC$3,BD!$B$3:$B$5001,$A$190)))</f>
        <v/>
      </c>
      <c r="AD193" s="192" t="str">
        <f>IF(AD$3="","",IF(COUNTIFS(BD!$A$3:$A$5001,AD$3,BD!$B$3:$B$5001,$A$190,BD!$R$3:$R$5001,"&lt;&gt;")=0,"",SUMIFS(BD!$R$3:$R$5001,BD!$A$3:$A$5001,AD$3,BD!$B$3:$B$5001,$A$190)))</f>
        <v/>
      </c>
      <c r="AE193" s="192" t="str">
        <f>IF(AE$3="","",IF(COUNTIFS(BD!$A$3:$A$5001,AE$3,BD!$B$3:$B$5001,$A$190,BD!$R$3:$R$5001,"&lt;&gt;")=0,"",SUMIFS(BD!$R$3:$R$5001,BD!$A$3:$A$5001,AE$3,BD!$B$3:$B$5001,$A$190)))</f>
        <v/>
      </c>
      <c r="AF193" s="192" t="str">
        <f>IF(AF$3="","",IF(COUNTIFS(BD!$A$3:$A$5001,AF$3,BD!$B$3:$B$5001,$A$190,BD!$R$3:$R$5001,"&lt;&gt;")=0,"",SUMIFS(BD!$R$3:$R$5001,BD!$A$3:$A$5001,AF$3,BD!$B$3:$B$5001,$A$190)))</f>
        <v/>
      </c>
      <c r="AG193" s="192" t="str">
        <f>IF(AG$3="","",IF(COUNTIFS(BD!$A$3:$A$5001,AG$3,BD!$B$3:$B$5001,$A$190,BD!$R$3:$R$5001,"&lt;&gt;")=0,"",SUMIFS(BD!$R$3:$R$5001,BD!$A$3:$A$5001,AG$3,BD!$B$3:$B$5001,$A$190)))</f>
        <v/>
      </c>
      <c r="AH193" s="192" t="str">
        <f>IF(AH$3="","",IF(COUNTIFS(BD!$A$3:$A$5001,AH$3,BD!$B$3:$B$5001,$A$190,BD!$R$3:$R$5001,"&lt;&gt;")=0,"",SUMIFS(BD!$R$3:$R$5001,BD!$A$3:$A$5001,AH$3,BD!$B$3:$B$5001,$A$190)))</f>
        <v/>
      </c>
      <c r="AI193" s="192" t="str">
        <f>IF(AI$3="","",IF(COUNTIFS(BD!$A$3:$A$5001,AI$3,BD!$B$3:$B$5001,$A$190,BD!$R$3:$R$5001,"&lt;&gt;")=0,"",SUMIFS(BD!$R$3:$R$5001,BD!$A$3:$A$5001,AI$3,BD!$B$3:$B$5001,$A$190)))</f>
        <v/>
      </c>
      <c r="AJ193" s="193" t="str">
        <f>IF(AJ$3="","",IF(COUNTIFS(BD!$A$3:$A$5001,AJ$3,BD!$B$3:$B$5001,$A$190,BD!$R$3:$R$5001,"&lt;&gt;")=0,"",SUMIFS(BD!$R$3:$R$5001,BD!$A$3:$A$5001,AJ$3,BD!$B$3:$B$5001,$A$190)))</f>
        <v/>
      </c>
      <c r="AK193" s="189" t="str">
        <f>IF(COUNT(F193:AJ193)=0,"",SUM(F193:AJ193))</f>
        <v/>
      </c>
    </row>
    <row r="194" ht="15.75" customHeight="1">
      <c r="A194" s="261"/>
      <c r="B194" s="253" t="inlineStr">
        <is>
          <t xml:space="preserve">NC</t>
        </is>
      </c>
      <c r="C194" s="194" t="inlineStr">
        <is>
          <t xml:space="preserve">Incidentes</t>
        </is>
      </c>
      <c r="D194" s="195" t="str">
        <f>IFERROR(1/(1/INDEX(BD!$AL$40:$BF$40,MATCH($A$190,BD!$AL$22:$BF$22,0))),"")</f>
        <v/>
      </c>
      <c r="E194" s="196"/>
      <c r="F194" s="197" t="str">
        <f>IF(F$3="","",IF(COUNTIFS(BD!$A$3:$A$5001,F$3,BD!$B$3:$B$5001,$A$190,BD!$T$3:$T$5001,"&lt;&gt;")=0,"",SUMIFS(BD!$T$3:$T$5001,BD!$A$3:$A$5001,F$3,BD!$B$3:$B$5001,$A$190)))</f>
        <v/>
      </c>
      <c r="G194" s="198" t="str">
        <f>IF(G$3="","",IF(COUNTIFS(BD!$A$3:$A$5001,G$3,BD!$B$3:$B$5001,$A$190,BD!$T$3:$T$5001,"&lt;&gt;")=0,"",SUMIFS(BD!$T$3:$T$5001,BD!$A$3:$A$5001,G$3,BD!$B$3:$B$5001,$A$190)))</f>
        <v/>
      </c>
      <c r="H194" s="198" t="str">
        <f>IF(H$3="","",IF(COUNTIFS(BD!$A$3:$A$5001,H$3,BD!$B$3:$B$5001,$A$190,BD!$T$3:$T$5001,"&lt;&gt;")=0,"",SUMIFS(BD!$T$3:$T$5001,BD!$A$3:$A$5001,H$3,BD!$B$3:$B$5001,$A$190)))</f>
        <v/>
      </c>
      <c r="I194" s="198" t="str">
        <f>IF(I$3="","",IF(COUNTIFS(BD!$A$3:$A$5001,I$3,BD!$B$3:$B$5001,$A$190,BD!$T$3:$T$5001,"&lt;&gt;")=0,"",SUMIFS(BD!$T$3:$T$5001,BD!$A$3:$A$5001,I$3,BD!$B$3:$B$5001,$A$190)))</f>
        <v/>
      </c>
      <c r="J194" s="198" t="str">
        <f>IF(J$3="","",IF(COUNTIFS(BD!$A$3:$A$5001,J$3,BD!$B$3:$B$5001,$A$190,BD!$T$3:$T$5001,"&lt;&gt;")=0,"",SUMIFS(BD!$T$3:$T$5001,BD!$A$3:$A$5001,J$3,BD!$B$3:$B$5001,$A$190)))</f>
        <v/>
      </c>
      <c r="K194" s="198" t="str">
        <f>IF(K$3="","",IF(COUNTIFS(BD!$A$3:$A$5001,K$3,BD!$B$3:$B$5001,$A$190,BD!$T$3:$T$5001,"&lt;&gt;")=0,"",SUMIFS(BD!$T$3:$T$5001,BD!$A$3:$A$5001,K$3,BD!$B$3:$B$5001,$A$190)))</f>
        <v/>
      </c>
      <c r="L194" s="198" t="str">
        <f>IF(L$3="","",IF(COUNTIFS(BD!$A$3:$A$5001,L$3,BD!$B$3:$B$5001,$A$190,BD!$T$3:$T$5001,"&lt;&gt;")=0,"",SUMIFS(BD!$T$3:$T$5001,BD!$A$3:$A$5001,L$3,BD!$B$3:$B$5001,$A$190)))</f>
        <v/>
      </c>
      <c r="M194" s="198" t="str">
        <f>IF(M$3="","",IF(COUNTIFS(BD!$A$3:$A$5001,M$3,BD!$B$3:$B$5001,$A$190,BD!$T$3:$T$5001,"&lt;&gt;")=0,"",SUMIFS(BD!$T$3:$T$5001,BD!$A$3:$A$5001,M$3,BD!$B$3:$B$5001,$A$190)))</f>
        <v/>
      </c>
      <c r="N194" s="198" t="str">
        <f>IF(N$3="","",IF(COUNTIFS(BD!$A$3:$A$5001,N$3,BD!$B$3:$B$5001,$A$190,BD!$T$3:$T$5001,"&lt;&gt;")=0,"",SUMIFS(BD!$T$3:$T$5001,BD!$A$3:$A$5001,N$3,BD!$B$3:$B$5001,$A$190)))</f>
        <v/>
      </c>
      <c r="O194" s="198" t="str">
        <f>IF(O$3="","",IF(COUNTIFS(BD!$A$3:$A$5001,O$3,BD!$B$3:$B$5001,$A$190,BD!$T$3:$T$5001,"&lt;&gt;")=0,"",SUMIFS(BD!$T$3:$T$5001,BD!$A$3:$A$5001,O$3,BD!$B$3:$B$5001,$A$190)))</f>
        <v/>
      </c>
      <c r="P194" s="198" t="str">
        <f>IF(P$3="","",IF(COUNTIFS(BD!$A$3:$A$5001,P$3,BD!$B$3:$B$5001,$A$190,BD!$T$3:$T$5001,"&lt;&gt;")=0,"",SUMIFS(BD!$T$3:$T$5001,BD!$A$3:$A$5001,P$3,BD!$B$3:$B$5001,$A$190)))</f>
        <v/>
      </c>
      <c r="Q194" s="198" t="str">
        <f>IF(Q$3="","",IF(COUNTIFS(BD!$A$3:$A$5001,Q$3,BD!$B$3:$B$5001,$A$190,BD!$T$3:$T$5001,"&lt;&gt;")=0,"",SUMIFS(BD!$T$3:$T$5001,BD!$A$3:$A$5001,Q$3,BD!$B$3:$B$5001,$A$190)))</f>
        <v/>
      </c>
      <c r="R194" s="198" t="str">
        <f>IF(R$3="","",IF(COUNTIFS(BD!$A$3:$A$5001,R$3,BD!$B$3:$B$5001,$A$190,BD!$T$3:$T$5001,"&lt;&gt;")=0,"",SUMIFS(BD!$T$3:$T$5001,BD!$A$3:$A$5001,R$3,BD!$B$3:$B$5001,$A$190)))</f>
        <v/>
      </c>
      <c r="S194" s="198" t="str">
        <f>IF(S$3="","",IF(COUNTIFS(BD!$A$3:$A$5001,S$3,BD!$B$3:$B$5001,$A$190,BD!$T$3:$T$5001,"&lt;&gt;")=0,"",SUMIFS(BD!$T$3:$T$5001,BD!$A$3:$A$5001,S$3,BD!$B$3:$B$5001,$A$190)))</f>
        <v/>
      </c>
      <c r="T194" s="198" t="str">
        <f>IF(T$3="","",IF(COUNTIFS(BD!$A$3:$A$5001,T$3,BD!$B$3:$B$5001,$A$190,BD!$T$3:$T$5001,"&lt;&gt;")=0,"",SUMIFS(BD!$T$3:$T$5001,BD!$A$3:$A$5001,T$3,BD!$B$3:$B$5001,$A$190)))</f>
        <v/>
      </c>
      <c r="U194" s="198" t="str">
        <f>IF(U$3="","",IF(COUNTIFS(BD!$A$3:$A$5001,U$3,BD!$B$3:$B$5001,$A$190,BD!$T$3:$T$5001,"&lt;&gt;")=0,"",SUMIFS(BD!$T$3:$T$5001,BD!$A$3:$A$5001,U$3,BD!$B$3:$B$5001,$A$190)))</f>
        <v/>
      </c>
      <c r="V194" s="198" t="str">
        <f>IF(V$3="","",IF(COUNTIFS(BD!$A$3:$A$5001,V$3,BD!$B$3:$B$5001,$A$190,BD!$T$3:$T$5001,"&lt;&gt;")=0,"",SUMIFS(BD!$T$3:$T$5001,BD!$A$3:$A$5001,V$3,BD!$B$3:$B$5001,$A$190)))</f>
        <v/>
      </c>
      <c r="W194" s="198" t="str">
        <f>IF(W$3="","",IF(COUNTIFS(BD!$A$3:$A$5001,W$3,BD!$B$3:$B$5001,$A$190,BD!$T$3:$T$5001,"&lt;&gt;")=0,"",SUMIFS(BD!$T$3:$T$5001,BD!$A$3:$A$5001,W$3,BD!$B$3:$B$5001,$A$190)))</f>
        <v/>
      </c>
      <c r="X194" s="198" t="str">
        <f>IF(X$3="","",IF(COUNTIFS(BD!$A$3:$A$5001,X$3,BD!$B$3:$B$5001,$A$190,BD!$T$3:$T$5001,"&lt;&gt;")=0,"",SUMIFS(BD!$T$3:$T$5001,BD!$A$3:$A$5001,X$3,BD!$B$3:$B$5001,$A$190)))</f>
        <v/>
      </c>
      <c r="Y194" s="198" t="str">
        <f>IF(Y$3="","",IF(COUNTIFS(BD!$A$3:$A$5001,Y$3,BD!$B$3:$B$5001,$A$190,BD!$T$3:$T$5001,"&lt;&gt;")=0,"",SUMIFS(BD!$T$3:$T$5001,BD!$A$3:$A$5001,Y$3,BD!$B$3:$B$5001,$A$190)))</f>
        <v/>
      </c>
      <c r="Z194" s="198" t="str">
        <f>IF(Z$3="","",IF(COUNTIFS(BD!$A$3:$A$5001,Z$3,BD!$B$3:$B$5001,$A$190,BD!$T$3:$T$5001,"&lt;&gt;")=0,"",SUMIFS(BD!$T$3:$T$5001,BD!$A$3:$A$5001,Z$3,BD!$B$3:$B$5001,$A$190)))</f>
        <v/>
      </c>
      <c r="AA194" s="198" t="str">
        <f>IF(AA$3="","",IF(COUNTIFS(BD!$A$3:$A$5001,AA$3,BD!$B$3:$B$5001,$A$190,BD!$T$3:$T$5001,"&lt;&gt;")=0,"",SUMIFS(BD!$T$3:$T$5001,BD!$A$3:$A$5001,AA$3,BD!$B$3:$B$5001,$A$190)))</f>
        <v/>
      </c>
      <c r="AB194" s="198" t="str">
        <f>IF(AB$3="","",IF(COUNTIFS(BD!$A$3:$A$5001,AB$3,BD!$B$3:$B$5001,$A$190,BD!$T$3:$T$5001,"&lt;&gt;")=0,"",SUMIFS(BD!$T$3:$T$5001,BD!$A$3:$A$5001,AB$3,BD!$B$3:$B$5001,$A$190)))</f>
        <v/>
      </c>
      <c r="AC194" s="198" t="str">
        <f>IF(AC$3="","",IF(COUNTIFS(BD!$A$3:$A$5001,AC$3,BD!$B$3:$B$5001,$A$190,BD!$T$3:$T$5001,"&lt;&gt;")=0,"",SUMIFS(BD!$T$3:$T$5001,BD!$A$3:$A$5001,AC$3,BD!$B$3:$B$5001,$A$190)))</f>
        <v/>
      </c>
      <c r="AD194" s="198" t="str">
        <f>IF(AD$3="","",IF(COUNTIFS(BD!$A$3:$A$5001,AD$3,BD!$B$3:$B$5001,$A$190,BD!$T$3:$T$5001,"&lt;&gt;")=0,"",SUMIFS(BD!$T$3:$T$5001,BD!$A$3:$A$5001,AD$3,BD!$B$3:$B$5001,$A$190)))</f>
        <v/>
      </c>
      <c r="AE194" s="198" t="str">
        <f>IF(AE$3="","",IF(COUNTIFS(BD!$A$3:$A$5001,AE$3,BD!$B$3:$B$5001,$A$190,BD!$T$3:$T$5001,"&lt;&gt;")=0,"",SUMIFS(BD!$T$3:$T$5001,BD!$A$3:$A$5001,AE$3,BD!$B$3:$B$5001,$A$190)))</f>
        <v/>
      </c>
      <c r="AF194" s="198" t="str">
        <f>IF(AF$3="","",IF(COUNTIFS(BD!$A$3:$A$5001,AF$3,BD!$B$3:$B$5001,$A$190,BD!$T$3:$T$5001,"&lt;&gt;")=0,"",SUMIFS(BD!$T$3:$T$5001,BD!$A$3:$A$5001,AF$3,BD!$B$3:$B$5001,$A$190)))</f>
        <v/>
      </c>
      <c r="AG194" s="198" t="str">
        <f>IF(AG$3="","",IF(COUNTIFS(BD!$A$3:$A$5001,AG$3,BD!$B$3:$B$5001,$A$190,BD!$T$3:$T$5001,"&lt;&gt;")=0,"",SUMIFS(BD!$T$3:$T$5001,BD!$A$3:$A$5001,AG$3,BD!$B$3:$B$5001,$A$190)))</f>
        <v/>
      </c>
      <c r="AH194" s="198" t="str">
        <f>IF(AH$3="","",IF(COUNTIFS(BD!$A$3:$A$5001,AH$3,BD!$B$3:$B$5001,$A$190,BD!$T$3:$T$5001,"&lt;&gt;")=0,"",SUMIFS(BD!$T$3:$T$5001,BD!$A$3:$A$5001,AH$3,BD!$B$3:$B$5001,$A$190)))</f>
        <v/>
      </c>
      <c r="AI194" s="198" t="str">
        <f>IF(AI$3="","",IF(COUNTIFS(BD!$A$3:$A$5001,AI$3,BD!$B$3:$B$5001,$A$190,BD!$T$3:$T$5001,"&lt;&gt;")=0,"",SUMIFS(BD!$T$3:$T$5001,BD!$A$3:$A$5001,AI$3,BD!$B$3:$B$5001,$A$190)))</f>
        <v/>
      </c>
      <c r="AJ194" s="199" t="str">
        <f>IF(AJ$3="","",IF(COUNTIFS(BD!$A$3:$A$5001,AJ$3,BD!$B$3:$B$5001,$A$190,BD!$T$3:$T$5001,"&lt;&gt;")=0,"",SUMIFS(BD!$T$3:$T$5001,BD!$A$3:$A$5001,AJ$3,BD!$B$3:$B$5001,$A$190)))</f>
        <v/>
      </c>
      <c r="AK194" s="200" t="str">
        <f>IF(COUNT(F194:AJ194)=0,"",SUM(F194:AJ194))</f>
        <v/>
      </c>
    </row>
    <row r="195" ht="15.75" customHeight="1">
      <c r="A195" s="261"/>
      <c r="B195" s="254"/>
      <c r="C195" s="201" t="inlineStr">
        <is>
          <t xml:space="preserve">No show</t>
        </is>
      </c>
      <c r="D195" s="202" t="str">
        <f>IFERROR(1/(1/INDEX(BD!$AL$41:$BF$41,MATCH($A$190,BD!$AL$22:$BF$22,0))),"")</f>
        <v/>
      </c>
      <c r="E195" s="203"/>
      <c r="F195" s="204" t="str">
        <f>IF(F$3="","",IF(COUNTIFS(BD!$A$3:$A$5001,F$3,BD!$B$3:$B$5001,$A$190,BD!$U$3:$U$5001,"&lt;&gt;")=0,"",SUMIFS(BD!$U$3:$U$5001,BD!$A$3:$A$5001,F$3,BD!$B$3:$B$5001,$A$190)))</f>
        <v/>
      </c>
      <c r="G195" s="205" t="str">
        <f>IF(G$3="","",IF(COUNTIFS(BD!$A$3:$A$5001,G$3,BD!$B$3:$B$5001,$A$190,BD!$U$3:$U$5001,"&lt;&gt;")=0,"",SUMIFS(BD!$U$3:$U$5001,BD!$A$3:$A$5001,G$3,BD!$B$3:$B$5001,$A$190)))</f>
        <v/>
      </c>
      <c r="H195" s="205" t="str">
        <f>IF(H$3="","",IF(COUNTIFS(BD!$A$3:$A$5001,H$3,BD!$B$3:$B$5001,$A$190,BD!$U$3:$U$5001,"&lt;&gt;")=0,"",SUMIFS(BD!$U$3:$U$5001,BD!$A$3:$A$5001,H$3,BD!$B$3:$B$5001,$A$190)))</f>
        <v/>
      </c>
      <c r="I195" s="205" t="str">
        <f>IF(I$3="","",IF(COUNTIFS(BD!$A$3:$A$5001,I$3,BD!$B$3:$B$5001,$A$190,BD!$U$3:$U$5001,"&lt;&gt;")=0,"",SUMIFS(BD!$U$3:$U$5001,BD!$A$3:$A$5001,I$3,BD!$B$3:$B$5001,$A$190)))</f>
        <v/>
      </c>
      <c r="J195" s="205" t="str">
        <f>IF(J$3="","",IF(COUNTIFS(BD!$A$3:$A$5001,J$3,BD!$B$3:$B$5001,$A$190,BD!$U$3:$U$5001,"&lt;&gt;")=0,"",SUMIFS(BD!$U$3:$U$5001,BD!$A$3:$A$5001,J$3,BD!$B$3:$B$5001,$A$190)))</f>
        <v/>
      </c>
      <c r="K195" s="205" t="str">
        <f>IF(K$3="","",IF(COUNTIFS(BD!$A$3:$A$5001,K$3,BD!$B$3:$B$5001,$A$190,BD!$U$3:$U$5001,"&lt;&gt;")=0,"",SUMIFS(BD!$U$3:$U$5001,BD!$A$3:$A$5001,K$3,BD!$B$3:$B$5001,$A$190)))</f>
        <v/>
      </c>
      <c r="L195" s="205" t="str">
        <f>IF(L$3="","",IF(COUNTIFS(BD!$A$3:$A$5001,L$3,BD!$B$3:$B$5001,$A$190,BD!$U$3:$U$5001,"&lt;&gt;")=0,"",SUMIFS(BD!$U$3:$U$5001,BD!$A$3:$A$5001,L$3,BD!$B$3:$B$5001,$A$190)))</f>
        <v/>
      </c>
      <c r="M195" s="205" t="str">
        <f>IF(M$3="","",IF(COUNTIFS(BD!$A$3:$A$5001,M$3,BD!$B$3:$B$5001,$A$190,BD!$U$3:$U$5001,"&lt;&gt;")=0,"",SUMIFS(BD!$U$3:$U$5001,BD!$A$3:$A$5001,M$3,BD!$B$3:$B$5001,$A$190)))</f>
        <v/>
      </c>
      <c r="N195" s="205" t="str">
        <f>IF(N$3="","",IF(COUNTIFS(BD!$A$3:$A$5001,N$3,BD!$B$3:$B$5001,$A$190,BD!$U$3:$U$5001,"&lt;&gt;")=0,"",SUMIFS(BD!$U$3:$U$5001,BD!$A$3:$A$5001,N$3,BD!$B$3:$B$5001,$A$190)))</f>
        <v/>
      </c>
      <c r="O195" s="205" t="str">
        <f>IF(O$3="","",IF(COUNTIFS(BD!$A$3:$A$5001,O$3,BD!$B$3:$B$5001,$A$190,BD!$U$3:$U$5001,"&lt;&gt;")=0,"",SUMIFS(BD!$U$3:$U$5001,BD!$A$3:$A$5001,O$3,BD!$B$3:$B$5001,$A$190)))</f>
        <v/>
      </c>
      <c r="P195" s="205" t="str">
        <f>IF(P$3="","",IF(COUNTIFS(BD!$A$3:$A$5001,P$3,BD!$B$3:$B$5001,$A$190,BD!$U$3:$U$5001,"&lt;&gt;")=0,"",SUMIFS(BD!$U$3:$U$5001,BD!$A$3:$A$5001,P$3,BD!$B$3:$B$5001,$A$190)))</f>
        <v/>
      </c>
      <c r="Q195" s="205" t="str">
        <f>IF(Q$3="","",IF(COUNTIFS(BD!$A$3:$A$5001,Q$3,BD!$B$3:$B$5001,$A$190,BD!$U$3:$U$5001,"&lt;&gt;")=0,"",SUMIFS(BD!$U$3:$U$5001,BD!$A$3:$A$5001,Q$3,BD!$B$3:$B$5001,$A$190)))</f>
        <v/>
      </c>
      <c r="R195" s="205" t="str">
        <f>IF(R$3="","",IF(COUNTIFS(BD!$A$3:$A$5001,R$3,BD!$B$3:$B$5001,$A$190,BD!$U$3:$U$5001,"&lt;&gt;")=0,"",SUMIFS(BD!$U$3:$U$5001,BD!$A$3:$A$5001,R$3,BD!$B$3:$B$5001,$A$190)))</f>
        <v/>
      </c>
      <c r="S195" s="205" t="str">
        <f>IF(S$3="","",IF(COUNTIFS(BD!$A$3:$A$5001,S$3,BD!$B$3:$B$5001,$A$190,BD!$U$3:$U$5001,"&lt;&gt;")=0,"",SUMIFS(BD!$U$3:$U$5001,BD!$A$3:$A$5001,S$3,BD!$B$3:$B$5001,$A$190)))</f>
        <v/>
      </c>
      <c r="T195" s="205" t="str">
        <f>IF(T$3="","",IF(COUNTIFS(BD!$A$3:$A$5001,T$3,BD!$B$3:$B$5001,$A$190,BD!$U$3:$U$5001,"&lt;&gt;")=0,"",SUMIFS(BD!$U$3:$U$5001,BD!$A$3:$A$5001,T$3,BD!$B$3:$B$5001,$A$190)))</f>
        <v/>
      </c>
      <c r="U195" s="205" t="str">
        <f>IF(U$3="","",IF(COUNTIFS(BD!$A$3:$A$5001,U$3,BD!$B$3:$B$5001,$A$190,BD!$U$3:$U$5001,"&lt;&gt;")=0,"",SUMIFS(BD!$U$3:$U$5001,BD!$A$3:$A$5001,U$3,BD!$B$3:$B$5001,$A$190)))</f>
        <v/>
      </c>
      <c r="V195" s="205" t="str">
        <f>IF(V$3="","",IF(COUNTIFS(BD!$A$3:$A$5001,V$3,BD!$B$3:$B$5001,$A$190,BD!$U$3:$U$5001,"&lt;&gt;")=0,"",SUMIFS(BD!$U$3:$U$5001,BD!$A$3:$A$5001,V$3,BD!$B$3:$B$5001,$A$190)))</f>
        <v/>
      </c>
      <c r="W195" s="205" t="str">
        <f>IF(W$3="","",IF(COUNTIFS(BD!$A$3:$A$5001,W$3,BD!$B$3:$B$5001,$A$190,BD!$U$3:$U$5001,"&lt;&gt;")=0,"",SUMIFS(BD!$U$3:$U$5001,BD!$A$3:$A$5001,W$3,BD!$B$3:$B$5001,$A$190)))</f>
        <v/>
      </c>
      <c r="X195" s="205" t="str">
        <f>IF(X$3="","",IF(COUNTIFS(BD!$A$3:$A$5001,X$3,BD!$B$3:$B$5001,$A$190,BD!$U$3:$U$5001,"&lt;&gt;")=0,"",SUMIFS(BD!$U$3:$U$5001,BD!$A$3:$A$5001,X$3,BD!$B$3:$B$5001,$A$190)))</f>
        <v/>
      </c>
      <c r="Y195" s="205" t="str">
        <f>IF(Y$3="","",IF(COUNTIFS(BD!$A$3:$A$5001,Y$3,BD!$B$3:$B$5001,$A$190,BD!$U$3:$U$5001,"&lt;&gt;")=0,"",SUMIFS(BD!$U$3:$U$5001,BD!$A$3:$A$5001,Y$3,BD!$B$3:$B$5001,$A$190)))</f>
        <v/>
      </c>
      <c r="Z195" s="205" t="str">
        <f>IF(Z$3="","",IF(COUNTIFS(BD!$A$3:$A$5001,Z$3,BD!$B$3:$B$5001,$A$190,BD!$U$3:$U$5001,"&lt;&gt;")=0,"",SUMIFS(BD!$U$3:$U$5001,BD!$A$3:$A$5001,Z$3,BD!$B$3:$B$5001,$A$190)))</f>
        <v/>
      </c>
      <c r="AA195" s="205" t="str">
        <f>IF(AA$3="","",IF(COUNTIFS(BD!$A$3:$A$5001,AA$3,BD!$B$3:$B$5001,$A$190,BD!$U$3:$U$5001,"&lt;&gt;")=0,"",SUMIFS(BD!$U$3:$U$5001,BD!$A$3:$A$5001,AA$3,BD!$B$3:$B$5001,$A$190)))</f>
        <v/>
      </c>
      <c r="AB195" s="205" t="str">
        <f>IF(AB$3="","",IF(COUNTIFS(BD!$A$3:$A$5001,AB$3,BD!$B$3:$B$5001,$A$190,BD!$U$3:$U$5001,"&lt;&gt;")=0,"",SUMIFS(BD!$U$3:$U$5001,BD!$A$3:$A$5001,AB$3,BD!$B$3:$B$5001,$A$190)))</f>
        <v/>
      </c>
      <c r="AC195" s="205" t="str">
        <f>IF(AC$3="","",IF(COUNTIFS(BD!$A$3:$A$5001,AC$3,BD!$B$3:$B$5001,$A$190,BD!$U$3:$U$5001,"&lt;&gt;")=0,"",SUMIFS(BD!$U$3:$U$5001,BD!$A$3:$A$5001,AC$3,BD!$B$3:$B$5001,$A$190)))</f>
        <v/>
      </c>
      <c r="AD195" s="205" t="str">
        <f>IF(AD$3="","",IF(COUNTIFS(BD!$A$3:$A$5001,AD$3,BD!$B$3:$B$5001,$A$190,BD!$U$3:$U$5001,"&lt;&gt;")=0,"",SUMIFS(BD!$U$3:$U$5001,BD!$A$3:$A$5001,AD$3,BD!$B$3:$B$5001,$A$190)))</f>
        <v/>
      </c>
      <c r="AE195" s="205" t="str">
        <f>IF(AE$3="","",IF(COUNTIFS(BD!$A$3:$A$5001,AE$3,BD!$B$3:$B$5001,$A$190,BD!$U$3:$U$5001,"&lt;&gt;")=0,"",SUMIFS(BD!$U$3:$U$5001,BD!$A$3:$A$5001,AE$3,BD!$B$3:$B$5001,$A$190)))</f>
        <v/>
      </c>
      <c r="AF195" s="205" t="str">
        <f>IF(AF$3="","",IF(COUNTIFS(BD!$A$3:$A$5001,AF$3,BD!$B$3:$B$5001,$A$190,BD!$U$3:$U$5001,"&lt;&gt;")=0,"",SUMIFS(BD!$U$3:$U$5001,BD!$A$3:$A$5001,AF$3,BD!$B$3:$B$5001,$A$190)))</f>
        <v/>
      </c>
      <c r="AG195" s="205" t="str">
        <f>IF(AG$3="","",IF(COUNTIFS(BD!$A$3:$A$5001,AG$3,BD!$B$3:$B$5001,$A$190,BD!$U$3:$U$5001,"&lt;&gt;")=0,"",SUMIFS(BD!$U$3:$U$5001,BD!$A$3:$A$5001,AG$3,BD!$B$3:$B$5001,$A$190)))</f>
        <v/>
      </c>
      <c r="AH195" s="205" t="str">
        <f>IF(AH$3="","",IF(COUNTIFS(BD!$A$3:$A$5001,AH$3,BD!$B$3:$B$5001,$A$190,BD!$U$3:$U$5001,"&lt;&gt;")=0,"",SUMIFS(BD!$U$3:$U$5001,BD!$A$3:$A$5001,AH$3,BD!$B$3:$B$5001,$A$190)))</f>
        <v/>
      </c>
      <c r="AI195" s="205" t="str">
        <f>IF(AI$3="","",IF(COUNTIFS(BD!$A$3:$A$5001,AI$3,BD!$B$3:$B$5001,$A$190,BD!$U$3:$U$5001,"&lt;&gt;")=0,"",SUMIFS(BD!$U$3:$U$5001,BD!$A$3:$A$5001,AI$3,BD!$B$3:$B$5001,$A$190)))</f>
        <v/>
      </c>
      <c r="AJ195" s="206" t="str">
        <f>IF(AJ$3="","",IF(COUNTIFS(BD!$A$3:$A$5001,AJ$3,BD!$B$3:$B$5001,$A$190,BD!$U$3:$U$5001,"&lt;&gt;")=0,"",SUMIFS(BD!$U$3:$U$5001,BD!$A$3:$A$5001,AJ$3,BD!$B$3:$B$5001,$A$190)))</f>
        <v/>
      </c>
      <c r="AK195" s="207" t="str">
        <f>IF(COUNT(F195:AJ195)=0,"",SUM(F195:AJ195))</f>
        <v/>
      </c>
    </row>
    <row r="196" ht="15.75" customHeight="1">
      <c r="A196" s="261"/>
      <c r="B196" s="254"/>
      <c r="C196" s="201" t="inlineStr">
        <is>
          <t xml:space="preserve">Backlog Intralog</t>
        </is>
      </c>
      <c r="D196" s="202" t="str">
        <f>IFERROR(1/(1/INDEX(BD!$AL$42:$BF$42,MATCH($A$190,BD!$AL$22:$BF$22,0))),"")</f>
        <v/>
      </c>
      <c r="E196" s="203"/>
      <c r="F196" s="204" t="str">
        <f>IF(F$3="","",IF(COUNTIFS(BD!$A$3:$A$5001,F$3,BD!$B$3:$B$5001,$A$190,BD!$V$3:$V$5001,"&lt;&gt;")=0,"",SUMIFS(BD!$V$3:$V$5001,BD!$A$3:$A$5001,F$3,BD!$B$3:$B$5001,$A$190)))</f>
        <v/>
      </c>
      <c r="G196" s="205" t="str">
        <f>IF(G$3="","",IF(COUNTIFS(BD!$A$3:$A$5001,G$3,BD!$B$3:$B$5001,$A$190,BD!$V$3:$V$5001,"&lt;&gt;")=0,"",SUMIFS(BD!$V$3:$V$5001,BD!$A$3:$A$5001,G$3,BD!$B$3:$B$5001,$A$190)))</f>
        <v/>
      </c>
      <c r="H196" s="205" t="str">
        <f>IF(H$3="","",IF(COUNTIFS(BD!$A$3:$A$5001,H$3,BD!$B$3:$B$5001,$A$190,BD!$V$3:$V$5001,"&lt;&gt;")=0,"",SUMIFS(BD!$V$3:$V$5001,BD!$A$3:$A$5001,H$3,BD!$B$3:$B$5001,$A$190)))</f>
        <v/>
      </c>
      <c r="I196" s="205" t="str">
        <f>IF(I$3="","",IF(COUNTIFS(BD!$A$3:$A$5001,I$3,BD!$B$3:$B$5001,$A$190,BD!$V$3:$V$5001,"&lt;&gt;")=0,"",SUMIFS(BD!$V$3:$V$5001,BD!$A$3:$A$5001,I$3,BD!$B$3:$B$5001,$A$190)))</f>
        <v/>
      </c>
      <c r="J196" s="205" t="str">
        <f>IF(J$3="","",IF(COUNTIFS(BD!$A$3:$A$5001,J$3,BD!$B$3:$B$5001,$A$190,BD!$V$3:$V$5001,"&lt;&gt;")=0,"",SUMIFS(BD!$V$3:$V$5001,BD!$A$3:$A$5001,J$3,BD!$B$3:$B$5001,$A$190)))</f>
        <v/>
      </c>
      <c r="K196" s="205" t="str">
        <f>IF(K$3="","",IF(COUNTIFS(BD!$A$3:$A$5001,K$3,BD!$B$3:$B$5001,$A$190,BD!$V$3:$V$5001,"&lt;&gt;")=0,"",SUMIFS(BD!$V$3:$V$5001,BD!$A$3:$A$5001,K$3,BD!$B$3:$B$5001,$A$190)))</f>
        <v/>
      </c>
      <c r="L196" s="205" t="str">
        <f>IF(L$3="","",IF(COUNTIFS(BD!$A$3:$A$5001,L$3,BD!$B$3:$B$5001,$A$190,BD!$V$3:$V$5001,"&lt;&gt;")=0,"",SUMIFS(BD!$V$3:$V$5001,BD!$A$3:$A$5001,L$3,BD!$B$3:$B$5001,$A$190)))</f>
        <v/>
      </c>
      <c r="M196" s="205" t="str">
        <f>IF(M$3="","",IF(COUNTIFS(BD!$A$3:$A$5001,M$3,BD!$B$3:$B$5001,$A$190,BD!$V$3:$V$5001,"&lt;&gt;")=0,"",SUMIFS(BD!$V$3:$V$5001,BD!$A$3:$A$5001,M$3,BD!$B$3:$B$5001,$A$190)))</f>
        <v/>
      </c>
      <c r="N196" s="205" t="str">
        <f>IF(N$3="","",IF(COUNTIFS(BD!$A$3:$A$5001,N$3,BD!$B$3:$B$5001,$A$190,BD!$V$3:$V$5001,"&lt;&gt;")=0,"",SUMIFS(BD!$V$3:$V$5001,BD!$A$3:$A$5001,N$3,BD!$B$3:$B$5001,$A$190)))</f>
        <v/>
      </c>
      <c r="O196" s="205" t="str">
        <f>IF(O$3="","",IF(COUNTIFS(BD!$A$3:$A$5001,O$3,BD!$B$3:$B$5001,$A$190,BD!$V$3:$V$5001,"&lt;&gt;")=0,"",SUMIFS(BD!$V$3:$V$5001,BD!$A$3:$A$5001,O$3,BD!$B$3:$B$5001,$A$190)))</f>
        <v/>
      </c>
      <c r="P196" s="205" t="str">
        <f>IF(P$3="","",IF(COUNTIFS(BD!$A$3:$A$5001,P$3,BD!$B$3:$B$5001,$A$190,BD!$V$3:$V$5001,"&lt;&gt;")=0,"",SUMIFS(BD!$V$3:$V$5001,BD!$A$3:$A$5001,P$3,BD!$B$3:$B$5001,$A$190)))</f>
        <v/>
      </c>
      <c r="Q196" s="205" t="str">
        <f>IF(Q$3="","",IF(COUNTIFS(BD!$A$3:$A$5001,Q$3,BD!$B$3:$B$5001,$A$190,BD!$V$3:$V$5001,"&lt;&gt;")=0,"",SUMIFS(BD!$V$3:$V$5001,BD!$A$3:$A$5001,Q$3,BD!$B$3:$B$5001,$A$190)))</f>
        <v/>
      </c>
      <c r="R196" s="205" t="str">
        <f>IF(R$3="","",IF(COUNTIFS(BD!$A$3:$A$5001,R$3,BD!$B$3:$B$5001,$A$190,BD!$V$3:$V$5001,"&lt;&gt;")=0,"",SUMIFS(BD!$V$3:$V$5001,BD!$A$3:$A$5001,R$3,BD!$B$3:$B$5001,$A$190)))</f>
        <v/>
      </c>
      <c r="S196" s="205" t="str">
        <f>IF(S$3="","",IF(COUNTIFS(BD!$A$3:$A$5001,S$3,BD!$B$3:$B$5001,$A$190,BD!$V$3:$V$5001,"&lt;&gt;")=0,"",SUMIFS(BD!$V$3:$V$5001,BD!$A$3:$A$5001,S$3,BD!$B$3:$B$5001,$A$190)))</f>
        <v/>
      </c>
      <c r="T196" s="205" t="str">
        <f>IF(T$3="","",IF(COUNTIFS(BD!$A$3:$A$5001,T$3,BD!$B$3:$B$5001,$A$190,BD!$V$3:$V$5001,"&lt;&gt;")=0,"",SUMIFS(BD!$V$3:$V$5001,BD!$A$3:$A$5001,T$3,BD!$B$3:$B$5001,$A$190)))</f>
        <v/>
      </c>
      <c r="U196" s="205" t="str">
        <f>IF(U$3="","",IF(COUNTIFS(BD!$A$3:$A$5001,U$3,BD!$B$3:$B$5001,$A$190,BD!$V$3:$V$5001,"&lt;&gt;")=0,"",SUMIFS(BD!$V$3:$V$5001,BD!$A$3:$A$5001,U$3,BD!$B$3:$B$5001,$A$190)))</f>
        <v/>
      </c>
      <c r="V196" s="205" t="str">
        <f>IF(V$3="","",IF(COUNTIFS(BD!$A$3:$A$5001,V$3,BD!$B$3:$B$5001,$A$190,BD!$V$3:$V$5001,"&lt;&gt;")=0,"",SUMIFS(BD!$V$3:$V$5001,BD!$A$3:$A$5001,V$3,BD!$B$3:$B$5001,$A$190)))</f>
        <v/>
      </c>
      <c r="W196" s="205" t="str">
        <f>IF(W$3="","",IF(COUNTIFS(BD!$A$3:$A$5001,W$3,BD!$B$3:$B$5001,$A$190,BD!$V$3:$V$5001,"&lt;&gt;")=0,"",SUMIFS(BD!$V$3:$V$5001,BD!$A$3:$A$5001,W$3,BD!$B$3:$B$5001,$A$190)))</f>
        <v/>
      </c>
      <c r="X196" s="205" t="str">
        <f>IF(X$3="","",IF(COUNTIFS(BD!$A$3:$A$5001,X$3,BD!$B$3:$B$5001,$A$190,BD!$V$3:$V$5001,"&lt;&gt;")=0,"",SUMIFS(BD!$V$3:$V$5001,BD!$A$3:$A$5001,X$3,BD!$B$3:$B$5001,$A$190)))</f>
        <v/>
      </c>
      <c r="Y196" s="205" t="str">
        <f>IF(Y$3="","",IF(COUNTIFS(BD!$A$3:$A$5001,Y$3,BD!$B$3:$B$5001,$A$190,BD!$V$3:$V$5001,"&lt;&gt;")=0,"",SUMIFS(BD!$V$3:$V$5001,BD!$A$3:$A$5001,Y$3,BD!$B$3:$B$5001,$A$190)))</f>
        <v/>
      </c>
      <c r="Z196" s="205" t="str">
        <f>IF(Z$3="","",IF(COUNTIFS(BD!$A$3:$A$5001,Z$3,BD!$B$3:$B$5001,$A$190,BD!$V$3:$V$5001,"&lt;&gt;")=0,"",SUMIFS(BD!$V$3:$V$5001,BD!$A$3:$A$5001,Z$3,BD!$B$3:$B$5001,$A$190)))</f>
        <v/>
      </c>
      <c r="AA196" s="205" t="str">
        <f>IF(AA$3="","",IF(COUNTIFS(BD!$A$3:$A$5001,AA$3,BD!$B$3:$B$5001,$A$190,BD!$V$3:$V$5001,"&lt;&gt;")=0,"",SUMIFS(BD!$V$3:$V$5001,BD!$A$3:$A$5001,AA$3,BD!$B$3:$B$5001,$A$190)))</f>
        <v/>
      </c>
      <c r="AB196" s="205" t="str">
        <f>IF(AB$3="","",IF(COUNTIFS(BD!$A$3:$A$5001,AB$3,BD!$B$3:$B$5001,$A$190,BD!$V$3:$V$5001,"&lt;&gt;")=0,"",SUMIFS(BD!$V$3:$V$5001,BD!$A$3:$A$5001,AB$3,BD!$B$3:$B$5001,$A$190)))</f>
        <v/>
      </c>
      <c r="AC196" s="205" t="str">
        <f>IF(AC$3="","",IF(COUNTIFS(BD!$A$3:$A$5001,AC$3,BD!$B$3:$B$5001,$A$190,BD!$V$3:$V$5001,"&lt;&gt;")=0,"",SUMIFS(BD!$V$3:$V$5001,BD!$A$3:$A$5001,AC$3,BD!$B$3:$B$5001,$A$190)))</f>
        <v/>
      </c>
      <c r="AD196" s="205" t="str">
        <f>IF(AD$3="","",IF(COUNTIFS(BD!$A$3:$A$5001,AD$3,BD!$B$3:$B$5001,$A$190,BD!$V$3:$V$5001,"&lt;&gt;")=0,"",SUMIFS(BD!$V$3:$V$5001,BD!$A$3:$A$5001,AD$3,BD!$B$3:$B$5001,$A$190)))</f>
        <v/>
      </c>
      <c r="AE196" s="205" t="str">
        <f>IF(AE$3="","",IF(COUNTIFS(BD!$A$3:$A$5001,AE$3,BD!$B$3:$B$5001,$A$190,BD!$V$3:$V$5001,"&lt;&gt;")=0,"",SUMIFS(BD!$V$3:$V$5001,BD!$A$3:$A$5001,AE$3,BD!$B$3:$B$5001,$A$190)))</f>
        <v/>
      </c>
      <c r="AF196" s="205" t="str">
        <f>IF(AF$3="","",IF(COUNTIFS(BD!$A$3:$A$5001,AF$3,BD!$B$3:$B$5001,$A$190,BD!$V$3:$V$5001,"&lt;&gt;")=0,"",SUMIFS(BD!$V$3:$V$5001,BD!$A$3:$A$5001,AF$3,BD!$B$3:$B$5001,$A$190)))</f>
        <v/>
      </c>
      <c r="AG196" s="205" t="str">
        <f>IF(AG$3="","",IF(COUNTIFS(BD!$A$3:$A$5001,AG$3,BD!$B$3:$B$5001,$A$190,BD!$V$3:$V$5001,"&lt;&gt;")=0,"",SUMIFS(BD!$V$3:$V$5001,BD!$A$3:$A$5001,AG$3,BD!$B$3:$B$5001,$A$190)))</f>
        <v/>
      </c>
      <c r="AH196" s="205" t="str">
        <f>IF(AH$3="","",IF(COUNTIFS(BD!$A$3:$A$5001,AH$3,BD!$B$3:$B$5001,$A$190,BD!$V$3:$V$5001,"&lt;&gt;")=0,"",SUMIFS(BD!$V$3:$V$5001,BD!$A$3:$A$5001,AH$3,BD!$B$3:$B$5001,$A$190)))</f>
        <v/>
      </c>
      <c r="AI196" s="205" t="str">
        <f>IF(AI$3="","",IF(COUNTIFS(BD!$A$3:$A$5001,AI$3,BD!$B$3:$B$5001,$A$190,BD!$V$3:$V$5001,"&lt;&gt;")=0,"",SUMIFS(BD!$V$3:$V$5001,BD!$A$3:$A$5001,AI$3,BD!$B$3:$B$5001,$A$190)))</f>
        <v/>
      </c>
      <c r="AJ196" s="206" t="str">
        <f>IF(AJ$3="","",IF(COUNTIFS(BD!$A$3:$A$5001,AJ$3,BD!$B$3:$B$5001,$A$190,BD!$V$3:$V$5001,"&lt;&gt;")=0,"",SUMIFS(BD!$V$3:$V$5001,BD!$A$3:$A$5001,AJ$3,BD!$B$3:$B$5001,$A$190)))</f>
        <v/>
      </c>
      <c r="AK196" s="207" t="str">
        <f>IFERROR(LOOKUP(9.99E+307,F196:AJ196),"")</f>
        <v/>
      </c>
    </row>
    <row r="197" ht="15.75" customHeight="1">
      <c r="A197" s="261"/>
      <c r="B197" s="255"/>
      <c r="C197" s="208" t="inlineStr">
        <is>
          <t xml:space="preserve">Backlog Cliente</t>
        </is>
      </c>
      <c r="D197" s="209" t="str">
        <f>IFERROR(1/(1/INDEX(BD!$AL$43:$BF$43,MATCH($A$190,BD!$AL$22:$BF$22,0))),"")</f>
        <v/>
      </c>
      <c r="E197" s="210"/>
      <c r="F197" s="211" t="str">
        <f>IF(F$3="","",IF(COUNTIFS(BD!$A$3:$A$5001,F$3,BD!$B$3:$B$5001,$A$190,BD!$W$3:$W$5001,"&lt;&gt;")=0,"",SUMIFS(BD!$W$3:$W$5001,BD!$A$3:$A$5001,F$3,BD!$B$3:$B$5001,$A$190)))</f>
        <v/>
      </c>
      <c r="G197" s="212" t="str">
        <f>IF(G$3="","",IF(COUNTIFS(BD!$A$3:$A$5001,G$3,BD!$B$3:$B$5001,$A$190,BD!$W$3:$W$5001,"&lt;&gt;")=0,"",SUMIFS(BD!$W$3:$W$5001,BD!$A$3:$A$5001,G$3,BD!$B$3:$B$5001,$A$190)))</f>
        <v/>
      </c>
      <c r="H197" s="212" t="str">
        <f>IF(H$3="","",IF(COUNTIFS(BD!$A$3:$A$5001,H$3,BD!$B$3:$B$5001,$A$190,BD!$W$3:$W$5001,"&lt;&gt;")=0,"",SUMIFS(BD!$W$3:$W$5001,BD!$A$3:$A$5001,H$3,BD!$B$3:$B$5001,$A$190)))</f>
        <v/>
      </c>
      <c r="I197" s="212" t="str">
        <f>IF(I$3="","",IF(COUNTIFS(BD!$A$3:$A$5001,I$3,BD!$B$3:$B$5001,$A$190,BD!$W$3:$W$5001,"&lt;&gt;")=0,"",SUMIFS(BD!$W$3:$W$5001,BD!$A$3:$A$5001,I$3,BD!$B$3:$B$5001,$A$190)))</f>
        <v/>
      </c>
      <c r="J197" s="212" t="str">
        <f>IF(J$3="","",IF(COUNTIFS(BD!$A$3:$A$5001,J$3,BD!$B$3:$B$5001,$A$190,BD!$W$3:$W$5001,"&lt;&gt;")=0,"",SUMIFS(BD!$W$3:$W$5001,BD!$A$3:$A$5001,J$3,BD!$B$3:$B$5001,$A$190)))</f>
        <v/>
      </c>
      <c r="K197" s="212" t="str">
        <f>IF(K$3="","",IF(COUNTIFS(BD!$A$3:$A$5001,K$3,BD!$B$3:$B$5001,$A$190,BD!$W$3:$W$5001,"&lt;&gt;")=0,"",SUMIFS(BD!$W$3:$W$5001,BD!$A$3:$A$5001,K$3,BD!$B$3:$B$5001,$A$190)))</f>
        <v/>
      </c>
      <c r="L197" s="212" t="str">
        <f>IF(L$3="","",IF(COUNTIFS(BD!$A$3:$A$5001,L$3,BD!$B$3:$B$5001,$A$190,BD!$W$3:$W$5001,"&lt;&gt;")=0,"",SUMIFS(BD!$W$3:$W$5001,BD!$A$3:$A$5001,L$3,BD!$B$3:$B$5001,$A$190)))</f>
        <v/>
      </c>
      <c r="M197" s="212" t="str">
        <f>IF(M$3="","",IF(COUNTIFS(BD!$A$3:$A$5001,M$3,BD!$B$3:$B$5001,$A$190,BD!$W$3:$W$5001,"&lt;&gt;")=0,"",SUMIFS(BD!$W$3:$W$5001,BD!$A$3:$A$5001,M$3,BD!$B$3:$B$5001,$A$190)))</f>
        <v/>
      </c>
      <c r="N197" s="212" t="str">
        <f>IF(N$3="","",IF(COUNTIFS(BD!$A$3:$A$5001,N$3,BD!$B$3:$B$5001,$A$190,BD!$W$3:$W$5001,"&lt;&gt;")=0,"",SUMIFS(BD!$W$3:$W$5001,BD!$A$3:$A$5001,N$3,BD!$B$3:$B$5001,$A$190)))</f>
        <v/>
      </c>
      <c r="O197" s="212" t="str">
        <f>IF(O$3="","",IF(COUNTIFS(BD!$A$3:$A$5001,O$3,BD!$B$3:$B$5001,$A$190,BD!$W$3:$W$5001,"&lt;&gt;")=0,"",SUMIFS(BD!$W$3:$W$5001,BD!$A$3:$A$5001,O$3,BD!$B$3:$B$5001,$A$190)))</f>
        <v/>
      </c>
      <c r="P197" s="212" t="str">
        <f>IF(P$3="","",IF(COUNTIFS(BD!$A$3:$A$5001,P$3,BD!$B$3:$B$5001,$A$190,BD!$W$3:$W$5001,"&lt;&gt;")=0,"",SUMIFS(BD!$W$3:$W$5001,BD!$A$3:$A$5001,P$3,BD!$B$3:$B$5001,$A$190)))</f>
        <v/>
      </c>
      <c r="Q197" s="212" t="str">
        <f>IF(Q$3="","",IF(COUNTIFS(BD!$A$3:$A$5001,Q$3,BD!$B$3:$B$5001,$A$190,BD!$W$3:$W$5001,"&lt;&gt;")=0,"",SUMIFS(BD!$W$3:$W$5001,BD!$A$3:$A$5001,Q$3,BD!$B$3:$B$5001,$A$190)))</f>
        <v/>
      </c>
      <c r="R197" s="212" t="str">
        <f>IF(R$3="","",IF(COUNTIFS(BD!$A$3:$A$5001,R$3,BD!$B$3:$B$5001,$A$190,BD!$W$3:$W$5001,"&lt;&gt;")=0,"",SUMIFS(BD!$W$3:$W$5001,BD!$A$3:$A$5001,R$3,BD!$B$3:$B$5001,$A$190)))</f>
        <v/>
      </c>
      <c r="S197" s="212" t="str">
        <f>IF(S$3="","",IF(COUNTIFS(BD!$A$3:$A$5001,S$3,BD!$B$3:$B$5001,$A$190,BD!$W$3:$W$5001,"&lt;&gt;")=0,"",SUMIFS(BD!$W$3:$W$5001,BD!$A$3:$A$5001,S$3,BD!$B$3:$B$5001,$A$190)))</f>
        <v/>
      </c>
      <c r="T197" s="212" t="str">
        <f>IF(T$3="","",IF(COUNTIFS(BD!$A$3:$A$5001,T$3,BD!$B$3:$B$5001,$A$190,BD!$W$3:$W$5001,"&lt;&gt;")=0,"",SUMIFS(BD!$W$3:$W$5001,BD!$A$3:$A$5001,T$3,BD!$B$3:$B$5001,$A$190)))</f>
        <v/>
      </c>
      <c r="U197" s="212" t="str">
        <f>IF(U$3="","",IF(COUNTIFS(BD!$A$3:$A$5001,U$3,BD!$B$3:$B$5001,$A$190,BD!$W$3:$W$5001,"&lt;&gt;")=0,"",SUMIFS(BD!$W$3:$W$5001,BD!$A$3:$A$5001,U$3,BD!$B$3:$B$5001,$A$190)))</f>
        <v/>
      </c>
      <c r="V197" s="212" t="str">
        <f>IF(V$3="","",IF(COUNTIFS(BD!$A$3:$A$5001,V$3,BD!$B$3:$B$5001,$A$190,BD!$W$3:$W$5001,"&lt;&gt;")=0,"",SUMIFS(BD!$W$3:$W$5001,BD!$A$3:$A$5001,V$3,BD!$B$3:$B$5001,$A$190)))</f>
        <v/>
      </c>
      <c r="W197" s="212" t="str">
        <f>IF(W$3="","",IF(COUNTIFS(BD!$A$3:$A$5001,W$3,BD!$B$3:$B$5001,$A$190,BD!$W$3:$W$5001,"&lt;&gt;")=0,"",SUMIFS(BD!$W$3:$W$5001,BD!$A$3:$A$5001,W$3,BD!$B$3:$B$5001,$A$190)))</f>
        <v/>
      </c>
      <c r="X197" s="212" t="str">
        <f>IF(X$3="","",IF(COUNTIFS(BD!$A$3:$A$5001,X$3,BD!$B$3:$B$5001,$A$190,BD!$W$3:$W$5001,"&lt;&gt;")=0,"",SUMIFS(BD!$W$3:$W$5001,BD!$A$3:$A$5001,X$3,BD!$B$3:$B$5001,$A$190)))</f>
        <v/>
      </c>
      <c r="Y197" s="212" t="str">
        <f>IF(Y$3="","",IF(COUNTIFS(BD!$A$3:$A$5001,Y$3,BD!$B$3:$B$5001,$A$190,BD!$W$3:$W$5001,"&lt;&gt;")=0,"",SUMIFS(BD!$W$3:$W$5001,BD!$A$3:$A$5001,Y$3,BD!$B$3:$B$5001,$A$190)))</f>
        <v/>
      </c>
      <c r="Z197" s="212" t="str">
        <f>IF(Z$3="","",IF(COUNTIFS(BD!$A$3:$A$5001,Z$3,BD!$B$3:$B$5001,$A$190,BD!$W$3:$W$5001,"&lt;&gt;")=0,"",SUMIFS(BD!$W$3:$W$5001,BD!$A$3:$A$5001,Z$3,BD!$B$3:$B$5001,$A$190)))</f>
        <v/>
      </c>
      <c r="AA197" s="212" t="str">
        <f>IF(AA$3="","",IF(COUNTIFS(BD!$A$3:$A$5001,AA$3,BD!$B$3:$B$5001,$A$190,BD!$W$3:$W$5001,"&lt;&gt;")=0,"",SUMIFS(BD!$W$3:$W$5001,BD!$A$3:$A$5001,AA$3,BD!$B$3:$B$5001,$A$190)))</f>
        <v/>
      </c>
      <c r="AB197" s="212" t="str">
        <f>IF(AB$3="","",IF(COUNTIFS(BD!$A$3:$A$5001,AB$3,BD!$B$3:$B$5001,$A$190,BD!$W$3:$W$5001,"&lt;&gt;")=0,"",SUMIFS(BD!$W$3:$W$5001,BD!$A$3:$A$5001,AB$3,BD!$B$3:$B$5001,$A$190)))</f>
        <v/>
      </c>
      <c r="AC197" s="212" t="str">
        <f>IF(AC$3="","",IF(COUNTIFS(BD!$A$3:$A$5001,AC$3,BD!$B$3:$B$5001,$A$190,BD!$W$3:$W$5001,"&lt;&gt;")=0,"",SUMIFS(BD!$W$3:$W$5001,BD!$A$3:$A$5001,AC$3,BD!$B$3:$B$5001,$A$190)))</f>
        <v/>
      </c>
      <c r="AD197" s="212" t="str">
        <f>IF(AD$3="","",IF(COUNTIFS(BD!$A$3:$A$5001,AD$3,BD!$B$3:$B$5001,$A$190,BD!$W$3:$W$5001,"&lt;&gt;")=0,"",SUMIFS(BD!$W$3:$W$5001,BD!$A$3:$A$5001,AD$3,BD!$B$3:$B$5001,$A$190)))</f>
        <v/>
      </c>
      <c r="AE197" s="212" t="str">
        <f>IF(AE$3="","",IF(COUNTIFS(BD!$A$3:$A$5001,AE$3,BD!$B$3:$B$5001,$A$190,BD!$W$3:$W$5001,"&lt;&gt;")=0,"",SUMIFS(BD!$W$3:$W$5001,BD!$A$3:$A$5001,AE$3,BD!$B$3:$B$5001,$A$190)))</f>
        <v/>
      </c>
      <c r="AF197" s="212" t="str">
        <f>IF(AF$3="","",IF(COUNTIFS(BD!$A$3:$A$5001,AF$3,BD!$B$3:$B$5001,$A$190,BD!$W$3:$W$5001,"&lt;&gt;")=0,"",SUMIFS(BD!$W$3:$W$5001,BD!$A$3:$A$5001,AF$3,BD!$B$3:$B$5001,$A$190)))</f>
        <v/>
      </c>
      <c r="AG197" s="212" t="str">
        <f>IF(AG$3="","",IF(COUNTIFS(BD!$A$3:$A$5001,AG$3,BD!$B$3:$B$5001,$A$190,BD!$W$3:$W$5001,"&lt;&gt;")=0,"",SUMIFS(BD!$W$3:$W$5001,BD!$A$3:$A$5001,AG$3,BD!$B$3:$B$5001,$A$190)))</f>
        <v/>
      </c>
      <c r="AH197" s="212" t="str">
        <f>IF(AH$3="","",IF(COUNTIFS(BD!$A$3:$A$5001,AH$3,BD!$B$3:$B$5001,$A$190,BD!$W$3:$W$5001,"&lt;&gt;")=0,"",SUMIFS(BD!$W$3:$W$5001,BD!$A$3:$A$5001,AH$3,BD!$B$3:$B$5001,$A$190)))</f>
        <v/>
      </c>
      <c r="AI197" s="212" t="str">
        <f>IF(AI$3="","",IF(COUNTIFS(BD!$A$3:$A$5001,AI$3,BD!$B$3:$B$5001,$A$190,BD!$W$3:$W$5001,"&lt;&gt;")=0,"",SUMIFS(BD!$W$3:$W$5001,BD!$A$3:$A$5001,AI$3,BD!$B$3:$B$5001,$A$190)))</f>
        <v/>
      </c>
      <c r="AJ197" s="213" t="str">
        <f>IF(AJ$3="","",IF(COUNTIFS(BD!$A$3:$A$5001,AJ$3,BD!$B$3:$B$5001,$A$190,BD!$W$3:$W$5001,"&lt;&gt;")=0,"",SUMIFS(BD!$W$3:$W$5001,BD!$A$3:$A$5001,AJ$3,BD!$B$3:$B$5001,$A$190)))</f>
        <v/>
      </c>
      <c r="AK197" s="209" t="str">
        <f>IFERROR(LOOKUP(9.99E+307,F197:AJ197),"")</f>
        <v/>
      </c>
    </row>
    <row r="198" ht="15.75" customHeight="1">
      <c r="A198" s="261"/>
      <c r="B198" s="249" t="inlineStr">
        <is>
          <t xml:space="preserve">OCUPAÇÃO (P.P)</t>
        </is>
      </c>
      <c r="C198" s="168" t="inlineStr">
        <is>
          <t xml:space="preserve">Posições Disponíveis</t>
        </is>
      </c>
      <c r="D198" s="169" t="str">
        <f>IFERROR(1/(1/INDEX(BD!$AL$44:$BF$44,MATCH($A$190,BD!$AL$22:$BF$22,0))),"")</f>
        <v/>
      </c>
      <c r="E198" s="170"/>
      <c r="F198" s="171" t="str">
        <f>IF(F$3="","",IF(COUNTIFS(BD!$A$3:$A$5001,F$3,BD!$B$3:$B$5001,$A$190,BD!$X$3:$X$5001,"&lt;&gt;")=0,"",SUMIFS(BD!$X$3:$X$5001,BD!$A$3:$A$5001,F$3,BD!$B$3:$B$5001,$A$190)))</f>
        <v/>
      </c>
      <c r="G198" s="172" t="str">
        <f>IF(G$3="","",IF(COUNTIFS(BD!$A$3:$A$5001,G$3,BD!$B$3:$B$5001,$A$190,BD!$X$3:$X$5001,"&lt;&gt;")=0,"",SUMIFS(BD!$X$3:$X$5001,BD!$A$3:$A$5001,G$3,BD!$B$3:$B$5001,$A$190)))</f>
        <v/>
      </c>
      <c r="H198" s="172" t="str">
        <f>IF(H$3="","",IF(COUNTIFS(BD!$A$3:$A$5001,H$3,BD!$B$3:$B$5001,$A$190,BD!$X$3:$X$5001,"&lt;&gt;")=0,"",SUMIFS(BD!$X$3:$X$5001,BD!$A$3:$A$5001,H$3,BD!$B$3:$B$5001,$A$190)))</f>
        <v/>
      </c>
      <c r="I198" s="172" t="str">
        <f>IF(I$3="","",IF(COUNTIFS(BD!$A$3:$A$5001,I$3,BD!$B$3:$B$5001,$A$190,BD!$X$3:$X$5001,"&lt;&gt;")=0,"",SUMIFS(BD!$X$3:$X$5001,BD!$A$3:$A$5001,I$3,BD!$B$3:$B$5001,$A$190)))</f>
        <v/>
      </c>
      <c r="J198" s="172" t="str">
        <f>IF(J$3="","",IF(COUNTIFS(BD!$A$3:$A$5001,J$3,BD!$B$3:$B$5001,$A$190,BD!$X$3:$X$5001,"&lt;&gt;")=0,"",SUMIFS(BD!$X$3:$X$5001,BD!$A$3:$A$5001,J$3,BD!$B$3:$B$5001,$A$190)))</f>
        <v/>
      </c>
      <c r="K198" s="172" t="str">
        <f>IF(K$3="","",IF(COUNTIFS(BD!$A$3:$A$5001,K$3,BD!$B$3:$B$5001,$A$190,BD!$X$3:$X$5001,"&lt;&gt;")=0,"",SUMIFS(BD!$X$3:$X$5001,BD!$A$3:$A$5001,K$3,BD!$B$3:$B$5001,$A$190)))</f>
        <v/>
      </c>
      <c r="L198" s="172" t="str">
        <f>IF(L$3="","",IF(COUNTIFS(BD!$A$3:$A$5001,L$3,BD!$B$3:$B$5001,$A$190,BD!$X$3:$X$5001,"&lt;&gt;")=0,"",SUMIFS(BD!$X$3:$X$5001,BD!$A$3:$A$5001,L$3,BD!$B$3:$B$5001,$A$190)))</f>
        <v/>
      </c>
      <c r="M198" s="172" t="str">
        <f>IF(M$3="","",IF(COUNTIFS(BD!$A$3:$A$5001,M$3,BD!$B$3:$B$5001,$A$190,BD!$X$3:$X$5001,"&lt;&gt;")=0,"",SUMIFS(BD!$X$3:$X$5001,BD!$A$3:$A$5001,M$3,BD!$B$3:$B$5001,$A$190)))</f>
        <v/>
      </c>
      <c r="N198" s="172" t="str">
        <f>IF(N$3="","",IF(COUNTIFS(BD!$A$3:$A$5001,N$3,BD!$B$3:$B$5001,$A$190,BD!$X$3:$X$5001,"&lt;&gt;")=0,"",SUMIFS(BD!$X$3:$X$5001,BD!$A$3:$A$5001,N$3,BD!$B$3:$B$5001,$A$190)))</f>
        <v/>
      </c>
      <c r="O198" s="172" t="str">
        <f>IF(O$3="","",IF(COUNTIFS(BD!$A$3:$A$5001,O$3,BD!$B$3:$B$5001,$A$190,BD!$X$3:$X$5001,"&lt;&gt;")=0,"",SUMIFS(BD!$X$3:$X$5001,BD!$A$3:$A$5001,O$3,BD!$B$3:$B$5001,$A$190)))</f>
        <v/>
      </c>
      <c r="P198" s="172" t="str">
        <f>IF(P$3="","",IF(COUNTIFS(BD!$A$3:$A$5001,P$3,BD!$B$3:$B$5001,$A$190,BD!$X$3:$X$5001,"&lt;&gt;")=0,"",SUMIFS(BD!$X$3:$X$5001,BD!$A$3:$A$5001,P$3,BD!$B$3:$B$5001,$A$190)))</f>
        <v/>
      </c>
      <c r="Q198" s="172" t="str">
        <f>IF(Q$3="","",IF(COUNTIFS(BD!$A$3:$A$5001,Q$3,BD!$B$3:$B$5001,$A$190,BD!$X$3:$X$5001,"&lt;&gt;")=0,"",SUMIFS(BD!$X$3:$X$5001,BD!$A$3:$A$5001,Q$3,BD!$B$3:$B$5001,$A$190)))</f>
        <v/>
      </c>
      <c r="R198" s="172" t="str">
        <f>IF(R$3="","",IF(COUNTIFS(BD!$A$3:$A$5001,R$3,BD!$B$3:$B$5001,$A$190,BD!$X$3:$X$5001,"&lt;&gt;")=0,"",SUMIFS(BD!$X$3:$X$5001,BD!$A$3:$A$5001,R$3,BD!$B$3:$B$5001,$A$190)))</f>
        <v/>
      </c>
      <c r="S198" s="172" t="str">
        <f>IF(S$3="","",IF(COUNTIFS(BD!$A$3:$A$5001,S$3,BD!$B$3:$B$5001,$A$190,BD!$X$3:$X$5001,"&lt;&gt;")=0,"",SUMIFS(BD!$X$3:$X$5001,BD!$A$3:$A$5001,S$3,BD!$B$3:$B$5001,$A$190)))</f>
        <v/>
      </c>
      <c r="T198" s="172" t="str">
        <f>IF(T$3="","",IF(COUNTIFS(BD!$A$3:$A$5001,T$3,BD!$B$3:$B$5001,$A$190,BD!$X$3:$X$5001,"&lt;&gt;")=0,"",SUMIFS(BD!$X$3:$X$5001,BD!$A$3:$A$5001,T$3,BD!$B$3:$B$5001,$A$190)))</f>
        <v/>
      </c>
      <c r="U198" s="172" t="str">
        <f>IF(U$3="","",IF(COUNTIFS(BD!$A$3:$A$5001,U$3,BD!$B$3:$B$5001,$A$190,BD!$X$3:$X$5001,"&lt;&gt;")=0,"",SUMIFS(BD!$X$3:$X$5001,BD!$A$3:$A$5001,U$3,BD!$B$3:$B$5001,$A$190)))</f>
        <v/>
      </c>
      <c r="V198" s="172" t="str">
        <f>IF(V$3="","",IF(COUNTIFS(BD!$A$3:$A$5001,V$3,BD!$B$3:$B$5001,$A$190,BD!$X$3:$X$5001,"&lt;&gt;")=0,"",SUMIFS(BD!$X$3:$X$5001,BD!$A$3:$A$5001,V$3,BD!$B$3:$B$5001,$A$190)))</f>
        <v/>
      </c>
      <c r="W198" s="172" t="str">
        <f>IF(W$3="","",IF(COUNTIFS(BD!$A$3:$A$5001,W$3,BD!$B$3:$B$5001,$A$190,BD!$X$3:$X$5001,"&lt;&gt;")=0,"",SUMIFS(BD!$X$3:$X$5001,BD!$A$3:$A$5001,W$3,BD!$B$3:$B$5001,$A$190)))</f>
        <v/>
      </c>
      <c r="X198" s="172" t="str">
        <f>IF(X$3="","",IF(COUNTIFS(BD!$A$3:$A$5001,X$3,BD!$B$3:$B$5001,$A$190,BD!$X$3:$X$5001,"&lt;&gt;")=0,"",SUMIFS(BD!$X$3:$X$5001,BD!$A$3:$A$5001,X$3,BD!$B$3:$B$5001,$A$190)))</f>
        <v/>
      </c>
      <c r="Y198" s="172" t="str">
        <f>IF(Y$3="","",IF(COUNTIFS(BD!$A$3:$A$5001,Y$3,BD!$B$3:$B$5001,$A$190,BD!$X$3:$X$5001,"&lt;&gt;")=0,"",SUMIFS(BD!$X$3:$X$5001,BD!$A$3:$A$5001,Y$3,BD!$B$3:$B$5001,$A$190)))</f>
        <v/>
      </c>
      <c r="Z198" s="172" t="str">
        <f>IF(Z$3="","",IF(COUNTIFS(BD!$A$3:$A$5001,Z$3,BD!$B$3:$B$5001,$A$190,BD!$X$3:$X$5001,"&lt;&gt;")=0,"",SUMIFS(BD!$X$3:$X$5001,BD!$A$3:$A$5001,Z$3,BD!$B$3:$B$5001,$A$190)))</f>
        <v/>
      </c>
      <c r="AA198" s="172" t="str">
        <f>IF(AA$3="","",IF(COUNTIFS(BD!$A$3:$A$5001,AA$3,BD!$B$3:$B$5001,$A$190,BD!$X$3:$X$5001,"&lt;&gt;")=0,"",SUMIFS(BD!$X$3:$X$5001,BD!$A$3:$A$5001,AA$3,BD!$B$3:$B$5001,$A$190)))</f>
        <v/>
      </c>
      <c r="AB198" s="172" t="str">
        <f>IF(AB$3="","",IF(COUNTIFS(BD!$A$3:$A$5001,AB$3,BD!$B$3:$B$5001,$A$190,BD!$X$3:$X$5001,"&lt;&gt;")=0,"",SUMIFS(BD!$X$3:$X$5001,BD!$A$3:$A$5001,AB$3,BD!$B$3:$B$5001,$A$190)))</f>
        <v/>
      </c>
      <c r="AC198" s="172" t="str">
        <f>IF(AC$3="","",IF(COUNTIFS(BD!$A$3:$A$5001,AC$3,BD!$B$3:$B$5001,$A$190,BD!$X$3:$X$5001,"&lt;&gt;")=0,"",SUMIFS(BD!$X$3:$X$5001,BD!$A$3:$A$5001,AC$3,BD!$B$3:$B$5001,$A$190)))</f>
        <v/>
      </c>
      <c r="AD198" s="172" t="str">
        <f>IF(AD$3="","",IF(COUNTIFS(BD!$A$3:$A$5001,AD$3,BD!$B$3:$B$5001,$A$190,BD!$X$3:$X$5001,"&lt;&gt;")=0,"",SUMIFS(BD!$X$3:$X$5001,BD!$A$3:$A$5001,AD$3,BD!$B$3:$B$5001,$A$190)))</f>
        <v/>
      </c>
      <c r="AE198" s="172" t="str">
        <f>IF(AE$3="","",IF(COUNTIFS(BD!$A$3:$A$5001,AE$3,BD!$B$3:$B$5001,$A$190,BD!$X$3:$X$5001,"&lt;&gt;")=0,"",SUMIFS(BD!$X$3:$X$5001,BD!$A$3:$A$5001,AE$3,BD!$B$3:$B$5001,$A$190)))</f>
        <v/>
      </c>
      <c r="AF198" s="172" t="str">
        <f>IF(AF$3="","",IF(COUNTIFS(BD!$A$3:$A$5001,AF$3,BD!$B$3:$B$5001,$A$190,BD!$X$3:$X$5001,"&lt;&gt;")=0,"",SUMIFS(BD!$X$3:$X$5001,BD!$A$3:$A$5001,AF$3,BD!$B$3:$B$5001,$A$190)))</f>
        <v/>
      </c>
      <c r="AG198" s="172" t="str">
        <f>IF(AG$3="","",IF(COUNTIFS(BD!$A$3:$A$5001,AG$3,BD!$B$3:$B$5001,$A$190,BD!$X$3:$X$5001,"&lt;&gt;")=0,"",SUMIFS(BD!$X$3:$X$5001,BD!$A$3:$A$5001,AG$3,BD!$B$3:$B$5001,$A$190)))</f>
        <v/>
      </c>
      <c r="AH198" s="172" t="str">
        <f>IF(AH$3="","",IF(COUNTIFS(BD!$A$3:$A$5001,AH$3,BD!$B$3:$B$5001,$A$190,BD!$X$3:$X$5001,"&lt;&gt;")=0,"",SUMIFS(BD!$X$3:$X$5001,BD!$A$3:$A$5001,AH$3,BD!$B$3:$B$5001,$A$190)))</f>
        <v/>
      </c>
      <c r="AI198" s="172" t="str">
        <f>IF(AI$3="","",IF(COUNTIFS(BD!$A$3:$A$5001,AI$3,BD!$B$3:$B$5001,$A$190,BD!$X$3:$X$5001,"&lt;&gt;")=0,"",SUMIFS(BD!$X$3:$X$5001,BD!$A$3:$A$5001,AI$3,BD!$B$3:$B$5001,$A$190)))</f>
        <v/>
      </c>
      <c r="AJ198" s="173" t="str">
        <f>IF(AJ$3="","",IF(COUNTIFS(BD!$A$3:$A$5001,AJ$3,BD!$B$3:$B$5001,$A$190,BD!$X$3:$X$5001,"&lt;&gt;")=0,"",SUMIFS(BD!$X$3:$X$5001,BD!$A$3:$A$5001,AJ$3,BD!$B$3:$B$5001,$A$190)))</f>
        <v/>
      </c>
      <c r="AK198" s="174" t="str">
        <f>IF(COUNT(F198:AJ198)&gt;0,LOOKUP(9.99E+307,F198:AJ198),IFERROR(IF(INDEX(BD!$AI$3:$AI$5001,MATCH($A$190,BD!$B$3:$B$5001,0))&amp;""="Contrato","",INDEX(BD!$AI$3:$AI$5001,MATCH($A$190,BD!$B$3:$B$5001,0))&amp;""),""))</f>
        <v/>
      </c>
    </row>
    <row r="199" ht="15.75" customHeight="1">
      <c r="A199" s="261"/>
      <c r="B199" s="256"/>
      <c r="C199" s="214" t="inlineStr">
        <is>
          <t xml:space="preserve">Posições Ocupadas</t>
        </is>
      </c>
      <c r="D199" s="215" t="str">
        <f>IFERROR(1/(1/INDEX(BD!$AL$45:$BF$45,MATCH($A$190,BD!$AL$22:$BF$22,0))),"")</f>
        <v/>
      </c>
      <c r="E199" s="216"/>
      <c r="F199" s="217" t="str">
        <f>IF(F$3="","",IF(COUNTIFS(BD!$A$3:$A$5001,F$3,BD!$B$3:$B$5001,$A$190,BD!$Y$3:$Y$5001,"&lt;&gt;")=0,"",SUMIFS(BD!$Y$3:$Y$5001,BD!$A$3:$A$5001,F$3,BD!$B$3:$B$5001,$A$190)))</f>
        <v/>
      </c>
      <c r="G199" s="218" t="str">
        <f>IF(G$3="","",IF(COUNTIFS(BD!$A$3:$A$5001,G$3,BD!$B$3:$B$5001,$A$190,BD!$Y$3:$Y$5001,"&lt;&gt;")=0,"",SUMIFS(BD!$Y$3:$Y$5001,BD!$A$3:$A$5001,G$3,BD!$B$3:$B$5001,$A$190)))</f>
        <v/>
      </c>
      <c r="H199" s="218" t="str">
        <f>IF(H$3="","",IF(COUNTIFS(BD!$A$3:$A$5001,H$3,BD!$B$3:$B$5001,$A$190,BD!$Y$3:$Y$5001,"&lt;&gt;")=0,"",SUMIFS(BD!$Y$3:$Y$5001,BD!$A$3:$A$5001,H$3,BD!$B$3:$B$5001,$A$190)))</f>
        <v/>
      </c>
      <c r="I199" s="218" t="str">
        <f>IF(I$3="","",IF(COUNTIFS(BD!$A$3:$A$5001,I$3,BD!$B$3:$B$5001,$A$190,BD!$Y$3:$Y$5001,"&lt;&gt;")=0,"",SUMIFS(BD!$Y$3:$Y$5001,BD!$A$3:$A$5001,I$3,BD!$B$3:$B$5001,$A$190)))</f>
        <v/>
      </c>
      <c r="J199" s="218" t="str">
        <f>IF(J$3="","",IF(COUNTIFS(BD!$A$3:$A$5001,J$3,BD!$B$3:$B$5001,$A$190,BD!$Y$3:$Y$5001,"&lt;&gt;")=0,"",SUMIFS(BD!$Y$3:$Y$5001,BD!$A$3:$A$5001,J$3,BD!$B$3:$B$5001,$A$190)))</f>
        <v/>
      </c>
      <c r="K199" s="218" t="str">
        <f>IF(K$3="","",IF(COUNTIFS(BD!$A$3:$A$5001,K$3,BD!$B$3:$B$5001,$A$190,BD!$Y$3:$Y$5001,"&lt;&gt;")=0,"",SUMIFS(BD!$Y$3:$Y$5001,BD!$A$3:$A$5001,K$3,BD!$B$3:$B$5001,$A$190)))</f>
        <v/>
      </c>
      <c r="L199" s="218" t="str">
        <f>IF(L$3="","",IF(COUNTIFS(BD!$A$3:$A$5001,L$3,BD!$B$3:$B$5001,$A$190,BD!$Y$3:$Y$5001,"&lt;&gt;")=0,"",SUMIFS(BD!$Y$3:$Y$5001,BD!$A$3:$A$5001,L$3,BD!$B$3:$B$5001,$A$190)))</f>
        <v/>
      </c>
      <c r="M199" s="218" t="str">
        <f>IF(M$3="","",IF(COUNTIFS(BD!$A$3:$A$5001,M$3,BD!$B$3:$B$5001,$A$190,BD!$Y$3:$Y$5001,"&lt;&gt;")=0,"",SUMIFS(BD!$Y$3:$Y$5001,BD!$A$3:$A$5001,M$3,BD!$B$3:$B$5001,$A$190)))</f>
        <v/>
      </c>
      <c r="N199" s="218" t="str">
        <f>IF(N$3="","",IF(COUNTIFS(BD!$A$3:$A$5001,N$3,BD!$B$3:$B$5001,$A$190,BD!$Y$3:$Y$5001,"&lt;&gt;")=0,"",SUMIFS(BD!$Y$3:$Y$5001,BD!$A$3:$A$5001,N$3,BD!$B$3:$B$5001,$A$190)))</f>
        <v/>
      </c>
      <c r="O199" s="218" t="str">
        <f>IF(O$3="","",IF(COUNTIFS(BD!$A$3:$A$5001,O$3,BD!$B$3:$B$5001,$A$190,BD!$Y$3:$Y$5001,"&lt;&gt;")=0,"",SUMIFS(BD!$Y$3:$Y$5001,BD!$A$3:$A$5001,O$3,BD!$B$3:$B$5001,$A$190)))</f>
        <v/>
      </c>
      <c r="P199" s="218" t="str">
        <f>IF(P$3="","",IF(COUNTIFS(BD!$A$3:$A$5001,P$3,BD!$B$3:$B$5001,$A$190,BD!$Y$3:$Y$5001,"&lt;&gt;")=0,"",SUMIFS(BD!$Y$3:$Y$5001,BD!$A$3:$A$5001,P$3,BD!$B$3:$B$5001,$A$190)))</f>
        <v/>
      </c>
      <c r="Q199" s="218" t="str">
        <f>IF(Q$3="","",IF(COUNTIFS(BD!$A$3:$A$5001,Q$3,BD!$B$3:$B$5001,$A$190,BD!$Y$3:$Y$5001,"&lt;&gt;")=0,"",SUMIFS(BD!$Y$3:$Y$5001,BD!$A$3:$A$5001,Q$3,BD!$B$3:$B$5001,$A$190)))</f>
        <v/>
      </c>
      <c r="R199" s="218" t="str">
        <f>IF(R$3="","",IF(COUNTIFS(BD!$A$3:$A$5001,R$3,BD!$B$3:$B$5001,$A$190,BD!$Y$3:$Y$5001,"&lt;&gt;")=0,"",SUMIFS(BD!$Y$3:$Y$5001,BD!$A$3:$A$5001,R$3,BD!$B$3:$B$5001,$A$190)))</f>
        <v/>
      </c>
      <c r="S199" s="218" t="str">
        <f>IF(S$3="","",IF(COUNTIFS(BD!$A$3:$A$5001,S$3,BD!$B$3:$B$5001,$A$190,BD!$Y$3:$Y$5001,"&lt;&gt;")=0,"",SUMIFS(BD!$Y$3:$Y$5001,BD!$A$3:$A$5001,S$3,BD!$B$3:$B$5001,$A$190)))</f>
        <v/>
      </c>
      <c r="T199" s="218" t="str">
        <f>IF(T$3="","",IF(COUNTIFS(BD!$A$3:$A$5001,T$3,BD!$B$3:$B$5001,$A$190,BD!$Y$3:$Y$5001,"&lt;&gt;")=0,"",SUMIFS(BD!$Y$3:$Y$5001,BD!$A$3:$A$5001,T$3,BD!$B$3:$B$5001,$A$190)))</f>
        <v/>
      </c>
      <c r="U199" s="218" t="str">
        <f>IF(U$3="","",IF(COUNTIFS(BD!$A$3:$A$5001,U$3,BD!$B$3:$B$5001,$A$190,BD!$Y$3:$Y$5001,"&lt;&gt;")=0,"",SUMIFS(BD!$Y$3:$Y$5001,BD!$A$3:$A$5001,U$3,BD!$B$3:$B$5001,$A$190)))</f>
        <v/>
      </c>
      <c r="V199" s="218" t="str">
        <f>IF(V$3="","",IF(COUNTIFS(BD!$A$3:$A$5001,V$3,BD!$B$3:$B$5001,$A$190,BD!$Y$3:$Y$5001,"&lt;&gt;")=0,"",SUMIFS(BD!$Y$3:$Y$5001,BD!$A$3:$A$5001,V$3,BD!$B$3:$B$5001,$A$190)))</f>
        <v/>
      </c>
      <c r="W199" s="218" t="str">
        <f>IF(W$3="","",IF(COUNTIFS(BD!$A$3:$A$5001,W$3,BD!$B$3:$B$5001,$A$190,BD!$Y$3:$Y$5001,"&lt;&gt;")=0,"",SUMIFS(BD!$Y$3:$Y$5001,BD!$A$3:$A$5001,W$3,BD!$B$3:$B$5001,$A$190)))</f>
        <v/>
      </c>
      <c r="X199" s="218" t="str">
        <f>IF(X$3="","",IF(COUNTIFS(BD!$A$3:$A$5001,X$3,BD!$B$3:$B$5001,$A$190,BD!$Y$3:$Y$5001,"&lt;&gt;")=0,"",SUMIFS(BD!$Y$3:$Y$5001,BD!$A$3:$A$5001,X$3,BD!$B$3:$B$5001,$A$190)))</f>
        <v/>
      </c>
      <c r="Y199" s="218" t="str">
        <f>IF(Y$3="","",IF(COUNTIFS(BD!$A$3:$A$5001,Y$3,BD!$B$3:$B$5001,$A$190,BD!$Y$3:$Y$5001,"&lt;&gt;")=0,"",SUMIFS(BD!$Y$3:$Y$5001,BD!$A$3:$A$5001,Y$3,BD!$B$3:$B$5001,$A$190)))</f>
        <v/>
      </c>
      <c r="Z199" s="218" t="str">
        <f>IF(Z$3="","",IF(COUNTIFS(BD!$A$3:$A$5001,Z$3,BD!$B$3:$B$5001,$A$190,BD!$Y$3:$Y$5001,"&lt;&gt;")=0,"",SUMIFS(BD!$Y$3:$Y$5001,BD!$A$3:$A$5001,Z$3,BD!$B$3:$B$5001,$A$190)))</f>
        <v/>
      </c>
      <c r="AA199" s="218" t="str">
        <f>IF(AA$3="","",IF(COUNTIFS(BD!$A$3:$A$5001,AA$3,BD!$B$3:$B$5001,$A$190,BD!$Y$3:$Y$5001,"&lt;&gt;")=0,"",SUMIFS(BD!$Y$3:$Y$5001,BD!$A$3:$A$5001,AA$3,BD!$B$3:$B$5001,$A$190)))</f>
        <v/>
      </c>
      <c r="AB199" s="218" t="str">
        <f>IF(AB$3="","",IF(COUNTIFS(BD!$A$3:$A$5001,AB$3,BD!$B$3:$B$5001,$A$190,BD!$Y$3:$Y$5001,"&lt;&gt;")=0,"",SUMIFS(BD!$Y$3:$Y$5001,BD!$A$3:$A$5001,AB$3,BD!$B$3:$B$5001,$A$190)))</f>
        <v/>
      </c>
      <c r="AC199" s="218" t="str">
        <f>IF(AC$3="","",IF(COUNTIFS(BD!$A$3:$A$5001,AC$3,BD!$B$3:$B$5001,$A$190,BD!$Y$3:$Y$5001,"&lt;&gt;")=0,"",SUMIFS(BD!$Y$3:$Y$5001,BD!$A$3:$A$5001,AC$3,BD!$B$3:$B$5001,$A$190)))</f>
        <v/>
      </c>
      <c r="AD199" s="218" t="str">
        <f>IF(AD$3="","",IF(COUNTIFS(BD!$A$3:$A$5001,AD$3,BD!$B$3:$B$5001,$A$190,BD!$Y$3:$Y$5001,"&lt;&gt;")=0,"",SUMIFS(BD!$Y$3:$Y$5001,BD!$A$3:$A$5001,AD$3,BD!$B$3:$B$5001,$A$190)))</f>
        <v/>
      </c>
      <c r="AE199" s="218" t="str">
        <f>IF(AE$3="","",IF(COUNTIFS(BD!$A$3:$A$5001,AE$3,BD!$B$3:$B$5001,$A$190,BD!$Y$3:$Y$5001,"&lt;&gt;")=0,"",SUMIFS(BD!$Y$3:$Y$5001,BD!$A$3:$A$5001,AE$3,BD!$B$3:$B$5001,$A$190)))</f>
        <v/>
      </c>
      <c r="AF199" s="218" t="str">
        <f>IF(AF$3="","",IF(COUNTIFS(BD!$A$3:$A$5001,AF$3,BD!$B$3:$B$5001,$A$190,BD!$Y$3:$Y$5001,"&lt;&gt;")=0,"",SUMIFS(BD!$Y$3:$Y$5001,BD!$A$3:$A$5001,AF$3,BD!$B$3:$B$5001,$A$190)))</f>
        <v/>
      </c>
      <c r="AG199" s="218" t="str">
        <f>IF(AG$3="","",IF(COUNTIFS(BD!$A$3:$A$5001,AG$3,BD!$B$3:$B$5001,$A$190,BD!$Y$3:$Y$5001,"&lt;&gt;")=0,"",SUMIFS(BD!$Y$3:$Y$5001,BD!$A$3:$A$5001,AG$3,BD!$B$3:$B$5001,$A$190)))</f>
        <v/>
      </c>
      <c r="AH199" s="218" t="str">
        <f>IF(AH$3="","",IF(COUNTIFS(BD!$A$3:$A$5001,AH$3,BD!$B$3:$B$5001,$A$190,BD!$Y$3:$Y$5001,"&lt;&gt;")=0,"",SUMIFS(BD!$Y$3:$Y$5001,BD!$A$3:$A$5001,AH$3,BD!$B$3:$B$5001,$A$190)))</f>
        <v/>
      </c>
      <c r="AI199" s="218" t="str">
        <f>IF(AI$3="","",IF(COUNTIFS(BD!$A$3:$A$5001,AI$3,BD!$B$3:$B$5001,$A$190,BD!$Y$3:$Y$5001,"&lt;&gt;")=0,"",SUMIFS(BD!$Y$3:$Y$5001,BD!$A$3:$A$5001,AI$3,BD!$B$3:$B$5001,$A$190)))</f>
        <v/>
      </c>
      <c r="AJ199" s="219" t="str">
        <f>IF(AJ$3="","",IF(COUNTIFS(BD!$A$3:$A$5001,AJ$3,BD!$B$3:$B$5001,$A$190,BD!$Y$3:$Y$5001,"&lt;&gt;")=0,"",SUMIFS(BD!$Y$3:$Y$5001,BD!$A$3:$A$5001,AJ$3,BD!$B$3:$B$5001,$A$190)))</f>
        <v/>
      </c>
      <c r="AK199" s="220" t="str">
        <f>IFERROR(LOOKUP(9.99E+307,F199:AJ199),"")</f>
        <v/>
      </c>
    </row>
    <row r="200" ht="15.75" customHeight="1">
      <c r="A200" s="261"/>
      <c r="B200" s="250"/>
      <c r="C200" s="175" t="inlineStr">
        <is>
          <t xml:space="preserve">Taxa de Ocupação</t>
        </is>
      </c>
      <c r="D200" s="221" t="str">
        <f>IFERROR(1/(1/INDEX(BD!$AL$46:$BF$46,MATCH($A$190,BD!$AL$22:$BF$22,0))),"")</f>
        <v/>
      </c>
      <c r="E200" s="177"/>
      <c r="F200" s="222" t="str">
        <f>IF(AND(ISNUMBER(F198),ISNUMBER(F199)),IF(F198&gt;0,F199/F198,""),"")</f>
        <v/>
      </c>
      <c r="G200" s="223" t="str">
        <f>IF(AND(ISNUMBER(G198),ISNUMBER(G199)),IF(G198&gt;0,G199/G198,""),"")</f>
        <v/>
      </c>
      <c r="H200" s="223" t="str">
        <f>IF(AND(ISNUMBER(H198),ISNUMBER(H199)),IF(H198&gt;0,H199/H198,""),"")</f>
        <v/>
      </c>
      <c r="I200" s="223" t="str">
        <f>IF(AND(ISNUMBER(I198),ISNUMBER(I199)),IF(I198&gt;0,I199/I198,""),"")</f>
        <v/>
      </c>
      <c r="J200" s="223" t="str">
        <f>IF(AND(ISNUMBER(J198),ISNUMBER(J199)),IF(J198&gt;0,J199/J198,""),"")</f>
        <v/>
      </c>
      <c r="K200" s="223" t="str">
        <f>IF(AND(ISNUMBER(K198),ISNUMBER(K199)),IF(K198&gt;0,K199/K198,""),"")</f>
        <v/>
      </c>
      <c r="L200" s="223" t="str">
        <f>IF(AND(ISNUMBER(L198),ISNUMBER(L199)),IF(L198&gt;0,L199/L198,""),"")</f>
        <v/>
      </c>
      <c r="M200" s="223" t="str">
        <f>IF(AND(ISNUMBER(M198),ISNUMBER(M199)),IF(M198&gt;0,M199/M198,""),"")</f>
        <v/>
      </c>
      <c r="N200" s="223" t="str">
        <f>IF(AND(ISNUMBER(N198),ISNUMBER(N199)),IF(N198&gt;0,N199/N198,""),"")</f>
        <v/>
      </c>
      <c r="O200" s="223" t="str">
        <f>IF(AND(ISNUMBER(O198),ISNUMBER(O199)),IF(O198&gt;0,O199/O198,""),"")</f>
        <v/>
      </c>
      <c r="P200" s="223" t="str">
        <f>IF(AND(ISNUMBER(P198),ISNUMBER(P199)),IF(P198&gt;0,P199/P198,""),"")</f>
        <v/>
      </c>
      <c r="Q200" s="223" t="str">
        <f>IF(AND(ISNUMBER(Q198),ISNUMBER(Q199)),IF(Q198&gt;0,Q199/Q198,""),"")</f>
        <v/>
      </c>
      <c r="R200" s="223" t="str">
        <f>IF(AND(ISNUMBER(R198),ISNUMBER(R199)),IF(R198&gt;0,R199/R198,""),"")</f>
        <v/>
      </c>
      <c r="S200" s="223" t="str">
        <f>IF(AND(ISNUMBER(S198),ISNUMBER(S199)),IF(S198&gt;0,S199/S198,""),"")</f>
        <v/>
      </c>
      <c r="T200" s="223" t="str">
        <f>IF(AND(ISNUMBER(T198),ISNUMBER(T199)),IF(T198&gt;0,T199/T198,""),"")</f>
        <v/>
      </c>
      <c r="U200" s="223" t="str">
        <f>IF(AND(ISNUMBER(U198),ISNUMBER(U199)),IF(U198&gt;0,U199/U198,""),"")</f>
        <v/>
      </c>
      <c r="V200" s="223" t="str">
        <f>IF(AND(ISNUMBER(V198),ISNUMBER(V199)),IF(V198&gt;0,V199/V198,""),"")</f>
        <v/>
      </c>
      <c r="W200" s="223" t="str">
        <f>IF(AND(ISNUMBER(W198),ISNUMBER(W199)),IF(W198&gt;0,W199/W198,""),"")</f>
        <v/>
      </c>
      <c r="X200" s="223" t="str">
        <f>IF(AND(ISNUMBER(X198),ISNUMBER(X199)),IF(X198&gt;0,X199/X198,""),"")</f>
        <v/>
      </c>
      <c r="Y200" s="223" t="str">
        <f>IF(AND(ISNUMBER(Y198),ISNUMBER(Y199)),IF(Y198&gt;0,Y199/Y198,""),"")</f>
        <v/>
      </c>
      <c r="Z200" s="223" t="str">
        <f>IF(AND(ISNUMBER(Z198),ISNUMBER(Z199)),IF(Z198&gt;0,Z199/Z198,""),"")</f>
        <v/>
      </c>
      <c r="AA200" s="223" t="str">
        <f>IF(AND(ISNUMBER(AA198),ISNUMBER(AA199)),IF(AA198&gt;0,AA199/AA198,""),"")</f>
        <v/>
      </c>
      <c r="AB200" s="223" t="str">
        <f>IF(AND(ISNUMBER(AB198),ISNUMBER(AB199)),IF(AB198&gt;0,AB199/AB198,""),"")</f>
        <v/>
      </c>
      <c r="AC200" s="223" t="str">
        <f>IF(AND(ISNUMBER(AC198),ISNUMBER(AC199)),IF(AC198&gt;0,AC199/AC198,""),"")</f>
        <v/>
      </c>
      <c r="AD200" s="223" t="str">
        <f>IF(AND(ISNUMBER(AD198),ISNUMBER(AD199)),IF(AD198&gt;0,AD199/AD198,""),"")</f>
        <v/>
      </c>
      <c r="AE200" s="223" t="str">
        <f>IF(AND(ISNUMBER(AE198),ISNUMBER(AE199)),IF(AE198&gt;0,AE199/AE198,""),"")</f>
        <v/>
      </c>
      <c r="AF200" s="223" t="str">
        <f>IF(AND(ISNUMBER(AF198),ISNUMBER(AF199)),IF(AF198&gt;0,AF199/AF198,""),"")</f>
        <v/>
      </c>
      <c r="AG200" s="223" t="str">
        <f>IF(AND(ISNUMBER(AG198),ISNUMBER(AG199)),IF(AG198&gt;0,AG199/AG198,""),"")</f>
        <v/>
      </c>
      <c r="AH200" s="223" t="str">
        <f>IF(AND(ISNUMBER(AH198),ISNUMBER(AH199)),IF(AH198&gt;0,AH199/AH198,""),"")</f>
        <v/>
      </c>
      <c r="AI200" s="223" t="str">
        <f>IF(AND(ISNUMBER(AI198),ISNUMBER(AI199)),IF(AI198&gt;0,AI199/AI198,""),"")</f>
        <v/>
      </c>
      <c r="AJ200" s="224" t="str">
        <f>IF(AND(ISNUMBER(AJ198),ISNUMBER(AJ199)),IF(AJ198&gt;0,AJ199/AJ198,""),"")</f>
        <v/>
      </c>
      <c r="AK200" s="221" t="str">
        <f>IF(AND(ISNUMBER(AK198),ISNUMBER(AK199)),IF(AK198&gt;0,AK199/AK198,""),"")</f>
        <v/>
      </c>
    </row>
    <row r="201" ht="15.75" customHeight="1">
      <c r="A201" s="261"/>
      <c r="B201" s="257" t="inlineStr">
        <is>
          <t xml:space="preserve">GENTE</t>
        </is>
      </c>
      <c r="C201" s="225" t="inlineStr">
        <is>
          <t xml:space="preserve">Efetivo Op.</t>
        </is>
      </c>
      <c r="D201" s="226" t="str">
        <f>IFERROR(1/(1/INDEX(BD!$AL$47:$BF$47,MATCH($A$190,BD!$AL$22:$BF$22,0))),"")</f>
        <v/>
      </c>
      <c r="E201" s="227"/>
      <c r="F201" s="228" t="str">
        <f>IF(F$3="","",IF(COUNTIFS(BD!$A$3:$A$5001,F$3,BD!$B$3:$B$5001,$A$190,BD!$Z$3:$Z$5001,"&lt;&gt;")=0,"",SUMIFS(BD!$Z$3:$Z$5001,BD!$A$3:$A$5001,F$3,BD!$B$3:$B$5001,$A$190)))</f>
        <v/>
      </c>
      <c r="G201" s="229" t="str">
        <f>IF(G$3="","",IF(COUNTIFS(BD!$A$3:$A$5001,G$3,BD!$B$3:$B$5001,$A$190,BD!$Z$3:$Z$5001,"&lt;&gt;")=0,"",SUMIFS(BD!$Z$3:$Z$5001,BD!$A$3:$A$5001,G$3,BD!$B$3:$B$5001,$A$190)))</f>
        <v/>
      </c>
      <c r="H201" s="229" t="str">
        <f>IF(H$3="","",IF(COUNTIFS(BD!$A$3:$A$5001,H$3,BD!$B$3:$B$5001,$A$190,BD!$Z$3:$Z$5001,"&lt;&gt;")=0,"",SUMIFS(BD!$Z$3:$Z$5001,BD!$A$3:$A$5001,H$3,BD!$B$3:$B$5001,$A$190)))</f>
        <v/>
      </c>
      <c r="I201" s="229" t="str">
        <f>IF(I$3="","",IF(COUNTIFS(BD!$A$3:$A$5001,I$3,BD!$B$3:$B$5001,$A$190,BD!$Z$3:$Z$5001,"&lt;&gt;")=0,"",SUMIFS(BD!$Z$3:$Z$5001,BD!$A$3:$A$5001,I$3,BD!$B$3:$B$5001,$A$190)))</f>
        <v/>
      </c>
      <c r="J201" s="229" t="str">
        <f>IF(J$3="","",IF(COUNTIFS(BD!$A$3:$A$5001,J$3,BD!$B$3:$B$5001,$A$190,BD!$Z$3:$Z$5001,"&lt;&gt;")=0,"",SUMIFS(BD!$Z$3:$Z$5001,BD!$A$3:$A$5001,J$3,BD!$B$3:$B$5001,$A$190)))</f>
        <v/>
      </c>
      <c r="K201" s="229" t="str">
        <f>IF(K$3="","",IF(COUNTIFS(BD!$A$3:$A$5001,K$3,BD!$B$3:$B$5001,$A$190,BD!$Z$3:$Z$5001,"&lt;&gt;")=0,"",SUMIFS(BD!$Z$3:$Z$5001,BD!$A$3:$A$5001,K$3,BD!$B$3:$B$5001,$A$190)))</f>
        <v/>
      </c>
      <c r="L201" s="229" t="str">
        <f>IF(L$3="","",IF(COUNTIFS(BD!$A$3:$A$5001,L$3,BD!$B$3:$B$5001,$A$190,BD!$Z$3:$Z$5001,"&lt;&gt;")=0,"",SUMIFS(BD!$Z$3:$Z$5001,BD!$A$3:$A$5001,L$3,BD!$B$3:$B$5001,$A$190)))</f>
        <v/>
      </c>
      <c r="M201" s="229" t="str">
        <f>IF(M$3="","",IF(COUNTIFS(BD!$A$3:$A$5001,M$3,BD!$B$3:$B$5001,$A$190,BD!$Z$3:$Z$5001,"&lt;&gt;")=0,"",SUMIFS(BD!$Z$3:$Z$5001,BD!$A$3:$A$5001,M$3,BD!$B$3:$B$5001,$A$190)))</f>
        <v/>
      </c>
      <c r="N201" s="229" t="str">
        <f>IF(N$3="","",IF(COUNTIFS(BD!$A$3:$A$5001,N$3,BD!$B$3:$B$5001,$A$190,BD!$Z$3:$Z$5001,"&lt;&gt;")=0,"",SUMIFS(BD!$Z$3:$Z$5001,BD!$A$3:$A$5001,N$3,BD!$B$3:$B$5001,$A$190)))</f>
        <v/>
      </c>
      <c r="O201" s="229" t="str">
        <f>IF(O$3="","",IF(COUNTIFS(BD!$A$3:$A$5001,O$3,BD!$B$3:$B$5001,$A$190,BD!$Z$3:$Z$5001,"&lt;&gt;")=0,"",SUMIFS(BD!$Z$3:$Z$5001,BD!$A$3:$A$5001,O$3,BD!$B$3:$B$5001,$A$190)))</f>
        <v/>
      </c>
      <c r="P201" s="229" t="str">
        <f>IF(P$3="","",IF(COUNTIFS(BD!$A$3:$A$5001,P$3,BD!$B$3:$B$5001,$A$190,BD!$Z$3:$Z$5001,"&lt;&gt;")=0,"",SUMIFS(BD!$Z$3:$Z$5001,BD!$A$3:$A$5001,P$3,BD!$B$3:$B$5001,$A$190)))</f>
        <v/>
      </c>
      <c r="Q201" s="229" t="str">
        <f>IF(Q$3="","",IF(COUNTIFS(BD!$A$3:$A$5001,Q$3,BD!$B$3:$B$5001,$A$190,BD!$Z$3:$Z$5001,"&lt;&gt;")=0,"",SUMIFS(BD!$Z$3:$Z$5001,BD!$A$3:$A$5001,Q$3,BD!$B$3:$B$5001,$A$190)))</f>
        <v/>
      </c>
      <c r="R201" s="229" t="str">
        <f>IF(R$3="","",IF(COUNTIFS(BD!$A$3:$A$5001,R$3,BD!$B$3:$B$5001,$A$190,BD!$Z$3:$Z$5001,"&lt;&gt;")=0,"",SUMIFS(BD!$Z$3:$Z$5001,BD!$A$3:$A$5001,R$3,BD!$B$3:$B$5001,$A$190)))</f>
        <v/>
      </c>
      <c r="S201" s="229" t="str">
        <f>IF(S$3="","",IF(COUNTIFS(BD!$A$3:$A$5001,S$3,BD!$B$3:$B$5001,$A$190,BD!$Z$3:$Z$5001,"&lt;&gt;")=0,"",SUMIFS(BD!$Z$3:$Z$5001,BD!$A$3:$A$5001,S$3,BD!$B$3:$B$5001,$A$190)))</f>
        <v/>
      </c>
      <c r="T201" s="229" t="str">
        <f>IF(T$3="","",IF(COUNTIFS(BD!$A$3:$A$5001,T$3,BD!$B$3:$B$5001,$A$190,BD!$Z$3:$Z$5001,"&lt;&gt;")=0,"",SUMIFS(BD!$Z$3:$Z$5001,BD!$A$3:$A$5001,T$3,BD!$B$3:$B$5001,$A$190)))</f>
        <v/>
      </c>
      <c r="U201" s="229" t="str">
        <f>IF(U$3="","",IF(COUNTIFS(BD!$A$3:$A$5001,U$3,BD!$B$3:$B$5001,$A$190,BD!$Z$3:$Z$5001,"&lt;&gt;")=0,"",SUMIFS(BD!$Z$3:$Z$5001,BD!$A$3:$A$5001,U$3,BD!$B$3:$B$5001,$A$190)))</f>
        <v/>
      </c>
      <c r="V201" s="229" t="str">
        <f>IF(V$3="","",IF(COUNTIFS(BD!$A$3:$A$5001,V$3,BD!$B$3:$B$5001,$A$190,BD!$Z$3:$Z$5001,"&lt;&gt;")=0,"",SUMIFS(BD!$Z$3:$Z$5001,BD!$A$3:$A$5001,V$3,BD!$B$3:$B$5001,$A$190)))</f>
        <v/>
      </c>
      <c r="W201" s="229" t="str">
        <f>IF(W$3="","",IF(COUNTIFS(BD!$A$3:$A$5001,W$3,BD!$B$3:$B$5001,$A$190,BD!$Z$3:$Z$5001,"&lt;&gt;")=0,"",SUMIFS(BD!$Z$3:$Z$5001,BD!$A$3:$A$5001,W$3,BD!$B$3:$B$5001,$A$190)))</f>
        <v/>
      </c>
      <c r="X201" s="229" t="str">
        <f>IF(X$3="","",IF(COUNTIFS(BD!$A$3:$A$5001,X$3,BD!$B$3:$B$5001,$A$190,BD!$Z$3:$Z$5001,"&lt;&gt;")=0,"",SUMIFS(BD!$Z$3:$Z$5001,BD!$A$3:$A$5001,X$3,BD!$B$3:$B$5001,$A$190)))</f>
        <v/>
      </c>
      <c r="Y201" s="229" t="str">
        <f>IF(Y$3="","",IF(COUNTIFS(BD!$A$3:$A$5001,Y$3,BD!$B$3:$B$5001,$A$190,BD!$Z$3:$Z$5001,"&lt;&gt;")=0,"",SUMIFS(BD!$Z$3:$Z$5001,BD!$A$3:$A$5001,Y$3,BD!$B$3:$B$5001,$A$190)))</f>
        <v/>
      </c>
      <c r="Z201" s="229" t="str">
        <f>IF(Z$3="","",IF(COUNTIFS(BD!$A$3:$A$5001,Z$3,BD!$B$3:$B$5001,$A$190,BD!$Z$3:$Z$5001,"&lt;&gt;")=0,"",SUMIFS(BD!$Z$3:$Z$5001,BD!$A$3:$A$5001,Z$3,BD!$B$3:$B$5001,$A$190)))</f>
        <v/>
      </c>
      <c r="AA201" s="229" t="str">
        <f>IF(AA$3="","",IF(COUNTIFS(BD!$A$3:$A$5001,AA$3,BD!$B$3:$B$5001,$A$190,BD!$Z$3:$Z$5001,"&lt;&gt;")=0,"",SUMIFS(BD!$Z$3:$Z$5001,BD!$A$3:$A$5001,AA$3,BD!$B$3:$B$5001,$A$190)))</f>
        <v/>
      </c>
      <c r="AB201" s="229" t="str">
        <f>IF(AB$3="","",IF(COUNTIFS(BD!$A$3:$A$5001,AB$3,BD!$B$3:$B$5001,$A$190,BD!$Z$3:$Z$5001,"&lt;&gt;")=0,"",SUMIFS(BD!$Z$3:$Z$5001,BD!$A$3:$A$5001,AB$3,BD!$B$3:$B$5001,$A$190)))</f>
        <v/>
      </c>
      <c r="AC201" s="229" t="str">
        <f>IF(AC$3="","",IF(COUNTIFS(BD!$A$3:$A$5001,AC$3,BD!$B$3:$B$5001,$A$190,BD!$Z$3:$Z$5001,"&lt;&gt;")=0,"",SUMIFS(BD!$Z$3:$Z$5001,BD!$A$3:$A$5001,AC$3,BD!$B$3:$B$5001,$A$190)))</f>
        <v/>
      </c>
      <c r="AD201" s="229" t="str">
        <f>IF(AD$3="","",IF(COUNTIFS(BD!$A$3:$A$5001,AD$3,BD!$B$3:$B$5001,$A$190,BD!$Z$3:$Z$5001,"&lt;&gt;")=0,"",SUMIFS(BD!$Z$3:$Z$5001,BD!$A$3:$A$5001,AD$3,BD!$B$3:$B$5001,$A$190)))</f>
        <v/>
      </c>
      <c r="AE201" s="229" t="str">
        <f>IF(AE$3="","",IF(COUNTIFS(BD!$A$3:$A$5001,AE$3,BD!$B$3:$B$5001,$A$190,BD!$Z$3:$Z$5001,"&lt;&gt;")=0,"",SUMIFS(BD!$Z$3:$Z$5001,BD!$A$3:$A$5001,AE$3,BD!$B$3:$B$5001,$A$190)))</f>
        <v/>
      </c>
      <c r="AF201" s="229" t="str">
        <f>IF(AF$3="","",IF(COUNTIFS(BD!$A$3:$A$5001,AF$3,BD!$B$3:$B$5001,$A$190,BD!$Z$3:$Z$5001,"&lt;&gt;")=0,"",SUMIFS(BD!$Z$3:$Z$5001,BD!$A$3:$A$5001,AF$3,BD!$B$3:$B$5001,$A$190)))</f>
        <v/>
      </c>
      <c r="AG201" s="229" t="str">
        <f>IF(AG$3="","",IF(COUNTIFS(BD!$A$3:$A$5001,AG$3,BD!$B$3:$B$5001,$A$190,BD!$Z$3:$Z$5001,"&lt;&gt;")=0,"",SUMIFS(BD!$Z$3:$Z$5001,BD!$A$3:$A$5001,AG$3,BD!$B$3:$B$5001,$A$190)))</f>
        <v/>
      </c>
      <c r="AH201" s="229" t="str">
        <f>IF(AH$3="","",IF(COUNTIFS(BD!$A$3:$A$5001,AH$3,BD!$B$3:$B$5001,$A$190,BD!$Z$3:$Z$5001,"&lt;&gt;")=0,"",SUMIFS(BD!$Z$3:$Z$5001,BD!$A$3:$A$5001,AH$3,BD!$B$3:$B$5001,$A$190)))</f>
        <v/>
      </c>
      <c r="AI201" s="229" t="str">
        <f>IF(AI$3="","",IF(COUNTIFS(BD!$A$3:$A$5001,AI$3,BD!$B$3:$B$5001,$A$190,BD!$Z$3:$Z$5001,"&lt;&gt;")=0,"",SUMIFS(BD!$Z$3:$Z$5001,BD!$A$3:$A$5001,AI$3,BD!$B$3:$B$5001,$A$190)))</f>
        <v/>
      </c>
      <c r="AJ201" s="230" t="str">
        <f>IF(AJ$3="","",IF(COUNTIFS(BD!$A$3:$A$5001,AJ$3,BD!$B$3:$B$5001,$A$190,BD!$Z$3:$Z$5001,"&lt;&gt;")=0,"",SUMIFS(BD!$Z$3:$Z$5001,BD!$A$3:$A$5001,AJ$3,BD!$B$3:$B$5001,$A$190)))</f>
        <v/>
      </c>
      <c r="AK201" s="231" t="str">
        <f>IFERROR(LOOKUP(9.99E+307,F201:AJ201),"")</f>
        <v/>
      </c>
    </row>
    <row r="202" ht="15.75" customHeight="1">
      <c r="A202" s="261"/>
      <c r="B202" s="258"/>
      <c r="C202" s="232" t="inlineStr">
        <is>
          <t xml:space="preserve">Falta</t>
        </is>
      </c>
      <c r="D202" s="233" t="str">
        <f>IFERROR(1/(1/INDEX(BD!$AL$48:$BF$48,MATCH($A$190,BD!$AL$22:$BF$22,0))),"")</f>
        <v/>
      </c>
      <c r="E202" s="234"/>
      <c r="F202" s="235" t="str">
        <f>IF(F$3="","",IF(COUNTIFS(BD!$A$3:$A$5001,F$3,BD!$B$3:$B$5001,$A$190,BD!$AA$3:$AA$5001,"&lt;&gt;")=0,"",SUMIFS(BD!$AA$3:$AA$5001,BD!$A$3:$A$5001,F$3,BD!$B$3:$B$5001,$A$190)))</f>
        <v/>
      </c>
      <c r="G202" s="236" t="str">
        <f>IF(G$3="","",IF(COUNTIFS(BD!$A$3:$A$5001,G$3,BD!$B$3:$B$5001,$A$190,BD!$AA$3:$AA$5001,"&lt;&gt;")=0,"",SUMIFS(BD!$AA$3:$AA$5001,BD!$A$3:$A$5001,G$3,BD!$B$3:$B$5001,$A$190)))</f>
        <v/>
      </c>
      <c r="H202" s="236" t="str">
        <f>IF(H$3="","",IF(COUNTIFS(BD!$A$3:$A$5001,H$3,BD!$B$3:$B$5001,$A$190,BD!$AA$3:$AA$5001,"&lt;&gt;")=0,"",SUMIFS(BD!$AA$3:$AA$5001,BD!$A$3:$A$5001,H$3,BD!$B$3:$B$5001,$A$190)))</f>
        <v/>
      </c>
      <c r="I202" s="236" t="str">
        <f>IF(I$3="","",IF(COUNTIFS(BD!$A$3:$A$5001,I$3,BD!$B$3:$B$5001,$A$190,BD!$AA$3:$AA$5001,"&lt;&gt;")=0,"",SUMIFS(BD!$AA$3:$AA$5001,BD!$A$3:$A$5001,I$3,BD!$B$3:$B$5001,$A$190)))</f>
        <v/>
      </c>
      <c r="J202" s="236" t="str">
        <f>IF(J$3="","",IF(COUNTIFS(BD!$A$3:$A$5001,J$3,BD!$B$3:$B$5001,$A$190,BD!$AA$3:$AA$5001,"&lt;&gt;")=0,"",SUMIFS(BD!$AA$3:$AA$5001,BD!$A$3:$A$5001,J$3,BD!$B$3:$B$5001,$A$190)))</f>
        <v/>
      </c>
      <c r="K202" s="236" t="str">
        <f>IF(K$3="","",IF(COUNTIFS(BD!$A$3:$A$5001,K$3,BD!$B$3:$B$5001,$A$190,BD!$AA$3:$AA$5001,"&lt;&gt;")=0,"",SUMIFS(BD!$AA$3:$AA$5001,BD!$A$3:$A$5001,K$3,BD!$B$3:$B$5001,$A$190)))</f>
        <v/>
      </c>
      <c r="L202" s="236" t="str">
        <f>IF(L$3="","",IF(COUNTIFS(BD!$A$3:$A$5001,L$3,BD!$B$3:$B$5001,$A$190,BD!$AA$3:$AA$5001,"&lt;&gt;")=0,"",SUMIFS(BD!$AA$3:$AA$5001,BD!$A$3:$A$5001,L$3,BD!$B$3:$B$5001,$A$190)))</f>
        <v/>
      </c>
      <c r="M202" s="236" t="str">
        <f>IF(M$3="","",IF(COUNTIFS(BD!$A$3:$A$5001,M$3,BD!$B$3:$B$5001,$A$190,BD!$AA$3:$AA$5001,"&lt;&gt;")=0,"",SUMIFS(BD!$AA$3:$AA$5001,BD!$A$3:$A$5001,M$3,BD!$B$3:$B$5001,$A$190)))</f>
        <v/>
      </c>
      <c r="N202" s="236" t="str">
        <f>IF(N$3="","",IF(COUNTIFS(BD!$A$3:$A$5001,N$3,BD!$B$3:$B$5001,$A$190,BD!$AA$3:$AA$5001,"&lt;&gt;")=0,"",SUMIFS(BD!$AA$3:$AA$5001,BD!$A$3:$A$5001,N$3,BD!$B$3:$B$5001,$A$190)))</f>
        <v/>
      </c>
      <c r="O202" s="236" t="str">
        <f>IF(O$3="","",IF(COUNTIFS(BD!$A$3:$A$5001,O$3,BD!$B$3:$B$5001,$A$190,BD!$AA$3:$AA$5001,"&lt;&gt;")=0,"",SUMIFS(BD!$AA$3:$AA$5001,BD!$A$3:$A$5001,O$3,BD!$B$3:$B$5001,$A$190)))</f>
        <v/>
      </c>
      <c r="P202" s="236" t="str">
        <f>IF(P$3="","",IF(COUNTIFS(BD!$A$3:$A$5001,P$3,BD!$B$3:$B$5001,$A$190,BD!$AA$3:$AA$5001,"&lt;&gt;")=0,"",SUMIFS(BD!$AA$3:$AA$5001,BD!$A$3:$A$5001,P$3,BD!$B$3:$B$5001,$A$190)))</f>
        <v/>
      </c>
      <c r="Q202" s="236" t="str">
        <f>IF(Q$3="","",IF(COUNTIFS(BD!$A$3:$A$5001,Q$3,BD!$B$3:$B$5001,$A$190,BD!$AA$3:$AA$5001,"&lt;&gt;")=0,"",SUMIFS(BD!$AA$3:$AA$5001,BD!$A$3:$A$5001,Q$3,BD!$B$3:$B$5001,$A$190)))</f>
        <v/>
      </c>
      <c r="R202" s="236" t="str">
        <f>IF(R$3="","",IF(COUNTIFS(BD!$A$3:$A$5001,R$3,BD!$B$3:$B$5001,$A$190,BD!$AA$3:$AA$5001,"&lt;&gt;")=0,"",SUMIFS(BD!$AA$3:$AA$5001,BD!$A$3:$A$5001,R$3,BD!$B$3:$B$5001,$A$190)))</f>
        <v/>
      </c>
      <c r="S202" s="236" t="str">
        <f>IF(S$3="","",IF(COUNTIFS(BD!$A$3:$A$5001,S$3,BD!$B$3:$B$5001,$A$190,BD!$AA$3:$AA$5001,"&lt;&gt;")=0,"",SUMIFS(BD!$AA$3:$AA$5001,BD!$A$3:$A$5001,S$3,BD!$B$3:$B$5001,$A$190)))</f>
        <v/>
      </c>
      <c r="T202" s="236" t="str">
        <f>IF(T$3="","",IF(COUNTIFS(BD!$A$3:$A$5001,T$3,BD!$B$3:$B$5001,$A$190,BD!$AA$3:$AA$5001,"&lt;&gt;")=0,"",SUMIFS(BD!$AA$3:$AA$5001,BD!$A$3:$A$5001,T$3,BD!$B$3:$B$5001,$A$190)))</f>
        <v/>
      </c>
      <c r="U202" s="236" t="str">
        <f>IF(U$3="","",IF(COUNTIFS(BD!$A$3:$A$5001,U$3,BD!$B$3:$B$5001,$A$190,BD!$AA$3:$AA$5001,"&lt;&gt;")=0,"",SUMIFS(BD!$AA$3:$AA$5001,BD!$A$3:$A$5001,U$3,BD!$B$3:$B$5001,$A$190)))</f>
        <v/>
      </c>
      <c r="V202" s="236" t="str">
        <f>IF(V$3="","",IF(COUNTIFS(BD!$A$3:$A$5001,V$3,BD!$B$3:$B$5001,$A$190,BD!$AA$3:$AA$5001,"&lt;&gt;")=0,"",SUMIFS(BD!$AA$3:$AA$5001,BD!$A$3:$A$5001,V$3,BD!$B$3:$B$5001,$A$190)))</f>
        <v/>
      </c>
      <c r="W202" s="236" t="str">
        <f>IF(W$3="","",IF(COUNTIFS(BD!$A$3:$A$5001,W$3,BD!$B$3:$B$5001,$A$190,BD!$AA$3:$AA$5001,"&lt;&gt;")=0,"",SUMIFS(BD!$AA$3:$AA$5001,BD!$A$3:$A$5001,W$3,BD!$B$3:$B$5001,$A$190)))</f>
        <v/>
      </c>
      <c r="X202" s="236" t="str">
        <f>IF(X$3="","",IF(COUNTIFS(BD!$A$3:$A$5001,X$3,BD!$B$3:$B$5001,$A$190,BD!$AA$3:$AA$5001,"&lt;&gt;")=0,"",SUMIFS(BD!$AA$3:$AA$5001,BD!$A$3:$A$5001,X$3,BD!$B$3:$B$5001,$A$190)))</f>
        <v/>
      </c>
      <c r="Y202" s="236" t="str">
        <f>IF(Y$3="","",IF(COUNTIFS(BD!$A$3:$A$5001,Y$3,BD!$B$3:$B$5001,$A$190,BD!$AA$3:$AA$5001,"&lt;&gt;")=0,"",SUMIFS(BD!$AA$3:$AA$5001,BD!$A$3:$A$5001,Y$3,BD!$B$3:$B$5001,$A$190)))</f>
        <v/>
      </c>
      <c r="Z202" s="236" t="str">
        <f>IF(Z$3="","",IF(COUNTIFS(BD!$A$3:$A$5001,Z$3,BD!$B$3:$B$5001,$A$190,BD!$AA$3:$AA$5001,"&lt;&gt;")=0,"",SUMIFS(BD!$AA$3:$AA$5001,BD!$A$3:$A$5001,Z$3,BD!$B$3:$B$5001,$A$190)))</f>
        <v/>
      </c>
      <c r="AA202" s="236" t="str">
        <f>IF(AA$3="","",IF(COUNTIFS(BD!$A$3:$A$5001,AA$3,BD!$B$3:$B$5001,$A$190,BD!$AA$3:$AA$5001,"&lt;&gt;")=0,"",SUMIFS(BD!$AA$3:$AA$5001,BD!$A$3:$A$5001,AA$3,BD!$B$3:$B$5001,$A$190)))</f>
        <v/>
      </c>
      <c r="AB202" s="236" t="str">
        <f>IF(AB$3="","",IF(COUNTIFS(BD!$A$3:$A$5001,AB$3,BD!$B$3:$B$5001,$A$190,BD!$AA$3:$AA$5001,"&lt;&gt;")=0,"",SUMIFS(BD!$AA$3:$AA$5001,BD!$A$3:$A$5001,AB$3,BD!$B$3:$B$5001,$A$190)))</f>
        <v/>
      </c>
      <c r="AC202" s="236" t="str">
        <f>IF(AC$3="","",IF(COUNTIFS(BD!$A$3:$A$5001,AC$3,BD!$B$3:$B$5001,$A$190,BD!$AA$3:$AA$5001,"&lt;&gt;")=0,"",SUMIFS(BD!$AA$3:$AA$5001,BD!$A$3:$A$5001,AC$3,BD!$B$3:$B$5001,$A$190)))</f>
        <v/>
      </c>
      <c r="AD202" s="236" t="str">
        <f>IF(AD$3="","",IF(COUNTIFS(BD!$A$3:$A$5001,AD$3,BD!$B$3:$B$5001,$A$190,BD!$AA$3:$AA$5001,"&lt;&gt;")=0,"",SUMIFS(BD!$AA$3:$AA$5001,BD!$A$3:$A$5001,AD$3,BD!$B$3:$B$5001,$A$190)))</f>
        <v/>
      </c>
      <c r="AE202" s="236" t="str">
        <f>IF(AE$3="","",IF(COUNTIFS(BD!$A$3:$A$5001,AE$3,BD!$B$3:$B$5001,$A$190,BD!$AA$3:$AA$5001,"&lt;&gt;")=0,"",SUMIFS(BD!$AA$3:$AA$5001,BD!$A$3:$A$5001,AE$3,BD!$B$3:$B$5001,$A$190)))</f>
        <v/>
      </c>
      <c r="AF202" s="236" t="str">
        <f>IF(AF$3="","",IF(COUNTIFS(BD!$A$3:$A$5001,AF$3,BD!$B$3:$B$5001,$A$190,BD!$AA$3:$AA$5001,"&lt;&gt;")=0,"",SUMIFS(BD!$AA$3:$AA$5001,BD!$A$3:$A$5001,AF$3,BD!$B$3:$B$5001,$A$190)))</f>
        <v/>
      </c>
      <c r="AG202" s="236" t="str">
        <f>IF(AG$3="","",IF(COUNTIFS(BD!$A$3:$A$5001,AG$3,BD!$B$3:$B$5001,$A$190,BD!$AA$3:$AA$5001,"&lt;&gt;")=0,"",SUMIFS(BD!$AA$3:$AA$5001,BD!$A$3:$A$5001,AG$3,BD!$B$3:$B$5001,$A$190)))</f>
        <v/>
      </c>
      <c r="AH202" s="236" t="str">
        <f>IF(AH$3="","",IF(COUNTIFS(BD!$A$3:$A$5001,AH$3,BD!$B$3:$B$5001,$A$190,BD!$AA$3:$AA$5001,"&lt;&gt;")=0,"",SUMIFS(BD!$AA$3:$AA$5001,BD!$A$3:$A$5001,AH$3,BD!$B$3:$B$5001,$A$190)))</f>
        <v/>
      </c>
      <c r="AI202" s="236" t="str">
        <f>IF(AI$3="","",IF(COUNTIFS(BD!$A$3:$A$5001,AI$3,BD!$B$3:$B$5001,$A$190,BD!$AA$3:$AA$5001,"&lt;&gt;")=0,"",SUMIFS(BD!$AA$3:$AA$5001,BD!$A$3:$A$5001,AI$3,BD!$B$3:$B$5001,$A$190)))</f>
        <v/>
      </c>
      <c r="AJ202" s="237" t="str">
        <f>IF(AJ$3="","",IF(COUNTIFS(BD!$A$3:$A$5001,AJ$3,BD!$B$3:$B$5001,$A$190,BD!$AA$3:$AA$5001,"&lt;&gt;")=0,"",SUMIFS(BD!$AA$3:$AA$5001,BD!$A$3:$A$5001,AJ$3,BD!$B$3:$B$5001,$A$190)))</f>
        <v/>
      </c>
      <c r="AK202" s="238" t="str">
        <f>IF(COUNT(F202:AJ202)=0,"",SUM(F202:AJ202))</f>
        <v/>
      </c>
    </row>
    <row r="203" ht="15.75" customHeight="1">
      <c r="A203" s="261"/>
      <c r="B203" s="258"/>
      <c r="C203" s="232" t="inlineStr">
        <is>
          <t xml:space="preserve">Absenteísmo (H/H)</t>
        </is>
      </c>
      <c r="D203" s="233" t="str">
        <f>IFERROR(1/(1/INDEX(BD!$AL$49:$BF$49,MATCH($A$190,BD!$AL$22:$BF$22,0))),"")</f>
        <v/>
      </c>
      <c r="E203" s="234"/>
      <c r="F203" s="239" t="str">
        <f>IF(F$3="","",IF(COUNTIFS(BD!$A$3:$A$5001,F$3,BD!$B$3:$B$5001,$A$190,BD!$AB$3:$AB$5001,"&lt;&gt;")=0,"",SUMIFS(BD!$AB$3:$AB$5001,BD!$A$3:$A$5001,F$3,BD!$B$3:$B$5001,$A$190)))</f>
        <v/>
      </c>
      <c r="G203" s="240" t="str">
        <f>IF(G$3="","",IF(COUNTIFS(BD!$A$3:$A$5001,G$3,BD!$B$3:$B$5001,$A$190,BD!$AB$3:$AB$5001,"&lt;&gt;")=0,"",SUMIFS(BD!$AB$3:$AB$5001,BD!$A$3:$A$5001,G$3,BD!$B$3:$B$5001,$A$190)))</f>
        <v/>
      </c>
      <c r="H203" s="240" t="str">
        <f>IF(H$3="","",IF(COUNTIFS(BD!$A$3:$A$5001,H$3,BD!$B$3:$B$5001,$A$190,BD!$AB$3:$AB$5001,"&lt;&gt;")=0,"",SUMIFS(BD!$AB$3:$AB$5001,BD!$A$3:$A$5001,H$3,BD!$B$3:$B$5001,$A$190)))</f>
        <v/>
      </c>
      <c r="I203" s="240" t="str">
        <f>IF(I$3="","",IF(COUNTIFS(BD!$A$3:$A$5001,I$3,BD!$B$3:$B$5001,$A$190,BD!$AB$3:$AB$5001,"&lt;&gt;")=0,"",SUMIFS(BD!$AB$3:$AB$5001,BD!$A$3:$A$5001,I$3,BD!$B$3:$B$5001,$A$190)))</f>
        <v/>
      </c>
      <c r="J203" s="240" t="str">
        <f>IF(J$3="","",IF(COUNTIFS(BD!$A$3:$A$5001,J$3,BD!$B$3:$B$5001,$A$190,BD!$AB$3:$AB$5001,"&lt;&gt;")=0,"",SUMIFS(BD!$AB$3:$AB$5001,BD!$A$3:$A$5001,J$3,BD!$B$3:$B$5001,$A$190)))</f>
        <v/>
      </c>
      <c r="K203" s="240" t="str">
        <f>IF(K$3="","",IF(COUNTIFS(BD!$A$3:$A$5001,K$3,BD!$B$3:$B$5001,$A$190,BD!$AB$3:$AB$5001,"&lt;&gt;")=0,"",SUMIFS(BD!$AB$3:$AB$5001,BD!$A$3:$A$5001,K$3,BD!$B$3:$B$5001,$A$190)))</f>
        <v/>
      </c>
      <c r="L203" s="240" t="str">
        <f>IF(L$3="","",IF(COUNTIFS(BD!$A$3:$A$5001,L$3,BD!$B$3:$B$5001,$A$190,BD!$AB$3:$AB$5001,"&lt;&gt;")=0,"",SUMIFS(BD!$AB$3:$AB$5001,BD!$A$3:$A$5001,L$3,BD!$B$3:$B$5001,$A$190)))</f>
        <v/>
      </c>
      <c r="M203" s="240" t="str">
        <f>IF(M$3="","",IF(COUNTIFS(BD!$A$3:$A$5001,M$3,BD!$B$3:$B$5001,$A$190,BD!$AB$3:$AB$5001,"&lt;&gt;")=0,"",SUMIFS(BD!$AB$3:$AB$5001,BD!$A$3:$A$5001,M$3,BD!$B$3:$B$5001,$A$190)))</f>
        <v/>
      </c>
      <c r="N203" s="240" t="str">
        <f>IF(N$3="","",IF(COUNTIFS(BD!$A$3:$A$5001,N$3,BD!$B$3:$B$5001,$A$190,BD!$AB$3:$AB$5001,"&lt;&gt;")=0,"",SUMIFS(BD!$AB$3:$AB$5001,BD!$A$3:$A$5001,N$3,BD!$B$3:$B$5001,$A$190)))</f>
        <v/>
      </c>
      <c r="O203" s="240" t="str">
        <f>IF(O$3="","",IF(COUNTIFS(BD!$A$3:$A$5001,O$3,BD!$B$3:$B$5001,$A$190,BD!$AB$3:$AB$5001,"&lt;&gt;")=0,"",SUMIFS(BD!$AB$3:$AB$5001,BD!$A$3:$A$5001,O$3,BD!$B$3:$B$5001,$A$190)))</f>
        <v/>
      </c>
      <c r="P203" s="240" t="str">
        <f>IF(P$3="","",IF(COUNTIFS(BD!$A$3:$A$5001,P$3,BD!$B$3:$B$5001,$A$190,BD!$AB$3:$AB$5001,"&lt;&gt;")=0,"",SUMIFS(BD!$AB$3:$AB$5001,BD!$A$3:$A$5001,P$3,BD!$B$3:$B$5001,$A$190)))</f>
        <v/>
      </c>
      <c r="Q203" s="240" t="str">
        <f>IF(Q$3="","",IF(COUNTIFS(BD!$A$3:$A$5001,Q$3,BD!$B$3:$B$5001,$A$190,BD!$AB$3:$AB$5001,"&lt;&gt;")=0,"",SUMIFS(BD!$AB$3:$AB$5001,BD!$A$3:$A$5001,Q$3,BD!$B$3:$B$5001,$A$190)))</f>
        <v/>
      </c>
      <c r="R203" s="240" t="str">
        <f>IF(R$3="","",IF(COUNTIFS(BD!$A$3:$A$5001,R$3,BD!$B$3:$B$5001,$A$190,BD!$AB$3:$AB$5001,"&lt;&gt;")=0,"",SUMIFS(BD!$AB$3:$AB$5001,BD!$A$3:$A$5001,R$3,BD!$B$3:$B$5001,$A$190)))</f>
        <v/>
      </c>
      <c r="S203" s="240" t="str">
        <f>IF(S$3="","",IF(COUNTIFS(BD!$A$3:$A$5001,S$3,BD!$B$3:$B$5001,$A$190,BD!$AB$3:$AB$5001,"&lt;&gt;")=0,"",SUMIFS(BD!$AB$3:$AB$5001,BD!$A$3:$A$5001,S$3,BD!$B$3:$B$5001,$A$190)))</f>
        <v/>
      </c>
      <c r="T203" s="240" t="str">
        <f>IF(T$3="","",IF(COUNTIFS(BD!$A$3:$A$5001,T$3,BD!$B$3:$B$5001,$A$190,BD!$AB$3:$AB$5001,"&lt;&gt;")=0,"",SUMIFS(BD!$AB$3:$AB$5001,BD!$A$3:$A$5001,T$3,BD!$B$3:$B$5001,$A$190)))</f>
        <v/>
      </c>
      <c r="U203" s="240" t="str">
        <f>IF(U$3="","",IF(COUNTIFS(BD!$A$3:$A$5001,U$3,BD!$B$3:$B$5001,$A$190,BD!$AB$3:$AB$5001,"&lt;&gt;")=0,"",SUMIFS(BD!$AB$3:$AB$5001,BD!$A$3:$A$5001,U$3,BD!$B$3:$B$5001,$A$190)))</f>
        <v/>
      </c>
      <c r="V203" s="240" t="str">
        <f>IF(V$3="","",IF(COUNTIFS(BD!$A$3:$A$5001,V$3,BD!$B$3:$B$5001,$A$190,BD!$AB$3:$AB$5001,"&lt;&gt;")=0,"",SUMIFS(BD!$AB$3:$AB$5001,BD!$A$3:$A$5001,V$3,BD!$B$3:$B$5001,$A$190)))</f>
        <v/>
      </c>
      <c r="W203" s="240" t="str">
        <f>IF(W$3="","",IF(COUNTIFS(BD!$A$3:$A$5001,W$3,BD!$B$3:$B$5001,$A$190,BD!$AB$3:$AB$5001,"&lt;&gt;")=0,"",SUMIFS(BD!$AB$3:$AB$5001,BD!$A$3:$A$5001,W$3,BD!$B$3:$B$5001,$A$190)))</f>
        <v/>
      </c>
      <c r="X203" s="240" t="str">
        <f>IF(X$3="","",IF(COUNTIFS(BD!$A$3:$A$5001,X$3,BD!$B$3:$B$5001,$A$190,BD!$AB$3:$AB$5001,"&lt;&gt;")=0,"",SUMIFS(BD!$AB$3:$AB$5001,BD!$A$3:$A$5001,X$3,BD!$B$3:$B$5001,$A$190)))</f>
        <v/>
      </c>
      <c r="Y203" s="240" t="str">
        <f>IF(Y$3="","",IF(COUNTIFS(BD!$A$3:$A$5001,Y$3,BD!$B$3:$B$5001,$A$190,BD!$AB$3:$AB$5001,"&lt;&gt;")=0,"",SUMIFS(BD!$AB$3:$AB$5001,BD!$A$3:$A$5001,Y$3,BD!$B$3:$B$5001,$A$190)))</f>
        <v/>
      </c>
      <c r="Z203" s="240" t="str">
        <f>IF(Z$3="","",IF(COUNTIFS(BD!$A$3:$A$5001,Z$3,BD!$B$3:$B$5001,$A$190,BD!$AB$3:$AB$5001,"&lt;&gt;")=0,"",SUMIFS(BD!$AB$3:$AB$5001,BD!$A$3:$A$5001,Z$3,BD!$B$3:$B$5001,$A$190)))</f>
        <v/>
      </c>
      <c r="AA203" s="240" t="str">
        <f>IF(AA$3="","",IF(COUNTIFS(BD!$A$3:$A$5001,AA$3,BD!$B$3:$B$5001,$A$190,BD!$AB$3:$AB$5001,"&lt;&gt;")=0,"",SUMIFS(BD!$AB$3:$AB$5001,BD!$A$3:$A$5001,AA$3,BD!$B$3:$B$5001,$A$190)))</f>
        <v/>
      </c>
      <c r="AB203" s="240" t="str">
        <f>IF(AB$3="","",IF(COUNTIFS(BD!$A$3:$A$5001,AB$3,BD!$B$3:$B$5001,$A$190,BD!$AB$3:$AB$5001,"&lt;&gt;")=0,"",SUMIFS(BD!$AB$3:$AB$5001,BD!$A$3:$A$5001,AB$3,BD!$B$3:$B$5001,$A$190)))</f>
        <v/>
      </c>
      <c r="AC203" s="240" t="str">
        <f>IF(AC$3="","",IF(COUNTIFS(BD!$A$3:$A$5001,AC$3,BD!$B$3:$B$5001,$A$190,BD!$AB$3:$AB$5001,"&lt;&gt;")=0,"",SUMIFS(BD!$AB$3:$AB$5001,BD!$A$3:$A$5001,AC$3,BD!$B$3:$B$5001,$A$190)))</f>
        <v/>
      </c>
      <c r="AD203" s="240" t="str">
        <f>IF(AD$3="","",IF(COUNTIFS(BD!$A$3:$A$5001,AD$3,BD!$B$3:$B$5001,$A$190,BD!$AB$3:$AB$5001,"&lt;&gt;")=0,"",SUMIFS(BD!$AB$3:$AB$5001,BD!$A$3:$A$5001,AD$3,BD!$B$3:$B$5001,$A$190)))</f>
        <v/>
      </c>
      <c r="AE203" s="240" t="str">
        <f>IF(AE$3="","",IF(COUNTIFS(BD!$A$3:$A$5001,AE$3,BD!$B$3:$B$5001,$A$190,BD!$AB$3:$AB$5001,"&lt;&gt;")=0,"",SUMIFS(BD!$AB$3:$AB$5001,BD!$A$3:$A$5001,AE$3,BD!$B$3:$B$5001,$A$190)))</f>
        <v/>
      </c>
      <c r="AF203" s="240" t="str">
        <f>IF(AF$3="","",IF(COUNTIFS(BD!$A$3:$A$5001,AF$3,BD!$B$3:$B$5001,$A$190,BD!$AB$3:$AB$5001,"&lt;&gt;")=0,"",SUMIFS(BD!$AB$3:$AB$5001,BD!$A$3:$A$5001,AF$3,BD!$B$3:$B$5001,$A$190)))</f>
        <v/>
      </c>
      <c r="AG203" s="240" t="str">
        <f>IF(AG$3="","",IF(COUNTIFS(BD!$A$3:$A$5001,AG$3,BD!$B$3:$B$5001,$A$190,BD!$AB$3:$AB$5001,"&lt;&gt;")=0,"",SUMIFS(BD!$AB$3:$AB$5001,BD!$A$3:$A$5001,AG$3,BD!$B$3:$B$5001,$A$190)))</f>
        <v/>
      </c>
      <c r="AH203" s="240" t="str">
        <f>IF(AH$3="","",IF(COUNTIFS(BD!$A$3:$A$5001,AH$3,BD!$B$3:$B$5001,$A$190,BD!$AB$3:$AB$5001,"&lt;&gt;")=0,"",SUMIFS(BD!$AB$3:$AB$5001,BD!$A$3:$A$5001,AH$3,BD!$B$3:$B$5001,$A$190)))</f>
        <v/>
      </c>
      <c r="AI203" s="240" t="str">
        <f>IF(AI$3="","",IF(COUNTIFS(BD!$A$3:$A$5001,AI$3,BD!$B$3:$B$5001,$A$190,BD!$AB$3:$AB$5001,"&lt;&gt;")=0,"",SUMIFS(BD!$AB$3:$AB$5001,BD!$A$3:$A$5001,AI$3,BD!$B$3:$B$5001,$A$190)))</f>
        <v/>
      </c>
      <c r="AJ203" s="241" t="str">
        <f>IF(AJ$3="","",IF(COUNTIFS(BD!$A$3:$A$5001,AJ$3,BD!$B$3:$B$5001,$A$190,BD!$AB$3:$AB$5001,"&lt;&gt;")=0,"",SUMIFS(BD!$AB$3:$AB$5001,BD!$A$3:$A$5001,AJ$3,BD!$B$3:$B$5001,$A$190)))</f>
        <v/>
      </c>
      <c r="AK203" s="242" t="str">
        <f>IF(COUNT(F203:AJ203)=0,"",SUM(F203:AJ203))</f>
        <v/>
      </c>
    </row>
    <row r="204" ht="15.75" customHeight="1">
      <c r="A204" s="261"/>
      <c r="B204" s="258"/>
      <c r="C204" s="232" t="inlineStr">
        <is>
          <t xml:space="preserve">Folga</t>
        </is>
      </c>
      <c r="D204" s="233" t="str">
        <f>IFERROR(1/(1/INDEX(BD!$AL$50:$BF$50,MATCH($A$190,BD!$AL$22:$BF$22,0))),"")</f>
        <v/>
      </c>
      <c r="E204" s="234"/>
      <c r="F204" s="235" t="str">
        <f>IF(F$3="","",IF(COUNTIFS(BD!$A$3:$A$5001,F$3,BD!$B$3:$B$5001,$A$190,BD!$AC$3:$AC$5001,"&lt;&gt;")=0,"",SUMIFS(BD!$AC$3:$AC$5001,BD!$A$3:$A$5001,F$3,BD!$B$3:$B$5001,$A$190)))</f>
        <v/>
      </c>
      <c r="G204" s="236" t="str">
        <f>IF(G$3="","",IF(COUNTIFS(BD!$A$3:$A$5001,G$3,BD!$B$3:$B$5001,$A$190,BD!$AC$3:$AC$5001,"&lt;&gt;")=0,"",SUMIFS(BD!$AC$3:$AC$5001,BD!$A$3:$A$5001,G$3,BD!$B$3:$B$5001,$A$190)))</f>
        <v/>
      </c>
      <c r="H204" s="236" t="str">
        <f>IF(H$3="","",IF(COUNTIFS(BD!$A$3:$A$5001,H$3,BD!$B$3:$B$5001,$A$190,BD!$AC$3:$AC$5001,"&lt;&gt;")=0,"",SUMIFS(BD!$AC$3:$AC$5001,BD!$A$3:$A$5001,H$3,BD!$B$3:$B$5001,$A$190)))</f>
        <v/>
      </c>
      <c r="I204" s="236" t="str">
        <f>IF(I$3="","",IF(COUNTIFS(BD!$A$3:$A$5001,I$3,BD!$B$3:$B$5001,$A$190,BD!$AC$3:$AC$5001,"&lt;&gt;")=0,"",SUMIFS(BD!$AC$3:$AC$5001,BD!$A$3:$A$5001,I$3,BD!$B$3:$B$5001,$A$190)))</f>
        <v/>
      </c>
      <c r="J204" s="236" t="str">
        <f>IF(J$3="","",IF(COUNTIFS(BD!$A$3:$A$5001,J$3,BD!$B$3:$B$5001,$A$190,BD!$AC$3:$AC$5001,"&lt;&gt;")=0,"",SUMIFS(BD!$AC$3:$AC$5001,BD!$A$3:$A$5001,J$3,BD!$B$3:$B$5001,$A$190)))</f>
        <v/>
      </c>
      <c r="K204" s="236" t="str">
        <f>IF(K$3="","",IF(COUNTIFS(BD!$A$3:$A$5001,K$3,BD!$B$3:$B$5001,$A$190,BD!$AC$3:$AC$5001,"&lt;&gt;")=0,"",SUMIFS(BD!$AC$3:$AC$5001,BD!$A$3:$A$5001,K$3,BD!$B$3:$B$5001,$A$190)))</f>
        <v/>
      </c>
      <c r="L204" s="236" t="str">
        <f>IF(L$3="","",IF(COUNTIFS(BD!$A$3:$A$5001,L$3,BD!$B$3:$B$5001,$A$190,BD!$AC$3:$AC$5001,"&lt;&gt;")=0,"",SUMIFS(BD!$AC$3:$AC$5001,BD!$A$3:$A$5001,L$3,BD!$B$3:$B$5001,$A$190)))</f>
        <v/>
      </c>
      <c r="M204" s="236" t="str">
        <f>IF(M$3="","",IF(COUNTIFS(BD!$A$3:$A$5001,M$3,BD!$B$3:$B$5001,$A$190,BD!$AC$3:$AC$5001,"&lt;&gt;")=0,"",SUMIFS(BD!$AC$3:$AC$5001,BD!$A$3:$A$5001,M$3,BD!$B$3:$B$5001,$A$190)))</f>
        <v/>
      </c>
      <c r="N204" s="236" t="str">
        <f>IF(N$3="","",IF(COUNTIFS(BD!$A$3:$A$5001,N$3,BD!$B$3:$B$5001,$A$190,BD!$AC$3:$AC$5001,"&lt;&gt;")=0,"",SUMIFS(BD!$AC$3:$AC$5001,BD!$A$3:$A$5001,N$3,BD!$B$3:$B$5001,$A$190)))</f>
        <v/>
      </c>
      <c r="O204" s="236" t="str">
        <f>IF(O$3="","",IF(COUNTIFS(BD!$A$3:$A$5001,O$3,BD!$B$3:$B$5001,$A$190,BD!$AC$3:$AC$5001,"&lt;&gt;")=0,"",SUMIFS(BD!$AC$3:$AC$5001,BD!$A$3:$A$5001,O$3,BD!$B$3:$B$5001,$A$190)))</f>
        <v/>
      </c>
      <c r="P204" s="236" t="str">
        <f>IF(P$3="","",IF(COUNTIFS(BD!$A$3:$A$5001,P$3,BD!$B$3:$B$5001,$A$190,BD!$AC$3:$AC$5001,"&lt;&gt;")=0,"",SUMIFS(BD!$AC$3:$AC$5001,BD!$A$3:$A$5001,P$3,BD!$B$3:$B$5001,$A$190)))</f>
        <v/>
      </c>
      <c r="Q204" s="236" t="str">
        <f>IF(Q$3="","",IF(COUNTIFS(BD!$A$3:$A$5001,Q$3,BD!$B$3:$B$5001,$A$190,BD!$AC$3:$AC$5001,"&lt;&gt;")=0,"",SUMIFS(BD!$AC$3:$AC$5001,BD!$A$3:$A$5001,Q$3,BD!$B$3:$B$5001,$A$190)))</f>
        <v/>
      </c>
      <c r="R204" s="236" t="str">
        <f>IF(R$3="","",IF(COUNTIFS(BD!$A$3:$A$5001,R$3,BD!$B$3:$B$5001,$A$190,BD!$AC$3:$AC$5001,"&lt;&gt;")=0,"",SUMIFS(BD!$AC$3:$AC$5001,BD!$A$3:$A$5001,R$3,BD!$B$3:$B$5001,$A$190)))</f>
        <v/>
      </c>
      <c r="S204" s="236" t="str">
        <f>IF(S$3="","",IF(COUNTIFS(BD!$A$3:$A$5001,S$3,BD!$B$3:$B$5001,$A$190,BD!$AC$3:$AC$5001,"&lt;&gt;")=0,"",SUMIFS(BD!$AC$3:$AC$5001,BD!$A$3:$A$5001,S$3,BD!$B$3:$B$5001,$A$190)))</f>
        <v/>
      </c>
      <c r="T204" s="236" t="str">
        <f>IF(T$3="","",IF(COUNTIFS(BD!$A$3:$A$5001,T$3,BD!$B$3:$B$5001,$A$190,BD!$AC$3:$AC$5001,"&lt;&gt;")=0,"",SUMIFS(BD!$AC$3:$AC$5001,BD!$A$3:$A$5001,T$3,BD!$B$3:$B$5001,$A$190)))</f>
        <v/>
      </c>
      <c r="U204" s="236" t="str">
        <f>IF(U$3="","",IF(COUNTIFS(BD!$A$3:$A$5001,U$3,BD!$B$3:$B$5001,$A$190,BD!$AC$3:$AC$5001,"&lt;&gt;")=0,"",SUMIFS(BD!$AC$3:$AC$5001,BD!$A$3:$A$5001,U$3,BD!$B$3:$B$5001,$A$190)))</f>
        <v/>
      </c>
      <c r="V204" s="236" t="str">
        <f>IF(V$3="","",IF(COUNTIFS(BD!$A$3:$A$5001,V$3,BD!$B$3:$B$5001,$A$190,BD!$AC$3:$AC$5001,"&lt;&gt;")=0,"",SUMIFS(BD!$AC$3:$AC$5001,BD!$A$3:$A$5001,V$3,BD!$B$3:$B$5001,$A$190)))</f>
        <v/>
      </c>
      <c r="W204" s="236" t="str">
        <f>IF(W$3="","",IF(COUNTIFS(BD!$A$3:$A$5001,W$3,BD!$B$3:$B$5001,$A$190,BD!$AC$3:$AC$5001,"&lt;&gt;")=0,"",SUMIFS(BD!$AC$3:$AC$5001,BD!$A$3:$A$5001,W$3,BD!$B$3:$B$5001,$A$190)))</f>
        <v/>
      </c>
      <c r="X204" s="236" t="str">
        <f>IF(X$3="","",IF(COUNTIFS(BD!$A$3:$A$5001,X$3,BD!$B$3:$B$5001,$A$190,BD!$AC$3:$AC$5001,"&lt;&gt;")=0,"",SUMIFS(BD!$AC$3:$AC$5001,BD!$A$3:$A$5001,X$3,BD!$B$3:$B$5001,$A$190)))</f>
        <v/>
      </c>
      <c r="Y204" s="236" t="str">
        <f>IF(Y$3="","",IF(COUNTIFS(BD!$A$3:$A$5001,Y$3,BD!$B$3:$B$5001,$A$190,BD!$AC$3:$AC$5001,"&lt;&gt;")=0,"",SUMIFS(BD!$AC$3:$AC$5001,BD!$A$3:$A$5001,Y$3,BD!$B$3:$B$5001,$A$190)))</f>
        <v/>
      </c>
      <c r="Z204" s="236" t="str">
        <f>IF(Z$3="","",IF(COUNTIFS(BD!$A$3:$A$5001,Z$3,BD!$B$3:$B$5001,$A$190,BD!$AC$3:$AC$5001,"&lt;&gt;")=0,"",SUMIFS(BD!$AC$3:$AC$5001,BD!$A$3:$A$5001,Z$3,BD!$B$3:$B$5001,$A$190)))</f>
        <v/>
      </c>
      <c r="AA204" s="236" t="str">
        <f>IF(AA$3="","",IF(COUNTIFS(BD!$A$3:$A$5001,AA$3,BD!$B$3:$B$5001,$A$190,BD!$AC$3:$AC$5001,"&lt;&gt;")=0,"",SUMIFS(BD!$AC$3:$AC$5001,BD!$A$3:$A$5001,AA$3,BD!$B$3:$B$5001,$A$190)))</f>
        <v/>
      </c>
      <c r="AB204" s="236" t="str">
        <f>IF(AB$3="","",IF(COUNTIFS(BD!$A$3:$A$5001,AB$3,BD!$B$3:$B$5001,$A$190,BD!$AC$3:$AC$5001,"&lt;&gt;")=0,"",SUMIFS(BD!$AC$3:$AC$5001,BD!$A$3:$A$5001,AB$3,BD!$B$3:$B$5001,$A$190)))</f>
        <v/>
      </c>
      <c r="AC204" s="236" t="str">
        <f>IF(AC$3="","",IF(COUNTIFS(BD!$A$3:$A$5001,AC$3,BD!$B$3:$B$5001,$A$190,BD!$AC$3:$AC$5001,"&lt;&gt;")=0,"",SUMIFS(BD!$AC$3:$AC$5001,BD!$A$3:$A$5001,AC$3,BD!$B$3:$B$5001,$A$190)))</f>
        <v/>
      </c>
      <c r="AD204" s="236" t="str">
        <f>IF(AD$3="","",IF(COUNTIFS(BD!$A$3:$A$5001,AD$3,BD!$B$3:$B$5001,$A$190,BD!$AC$3:$AC$5001,"&lt;&gt;")=0,"",SUMIFS(BD!$AC$3:$AC$5001,BD!$A$3:$A$5001,AD$3,BD!$B$3:$B$5001,$A$190)))</f>
        <v/>
      </c>
      <c r="AE204" s="236" t="str">
        <f>IF(AE$3="","",IF(COUNTIFS(BD!$A$3:$A$5001,AE$3,BD!$B$3:$B$5001,$A$190,BD!$AC$3:$AC$5001,"&lt;&gt;")=0,"",SUMIFS(BD!$AC$3:$AC$5001,BD!$A$3:$A$5001,AE$3,BD!$B$3:$B$5001,$A$190)))</f>
        <v/>
      </c>
      <c r="AF204" s="236" t="str">
        <f>IF(AF$3="","",IF(COUNTIFS(BD!$A$3:$A$5001,AF$3,BD!$B$3:$B$5001,$A$190,BD!$AC$3:$AC$5001,"&lt;&gt;")=0,"",SUMIFS(BD!$AC$3:$AC$5001,BD!$A$3:$A$5001,AF$3,BD!$B$3:$B$5001,$A$190)))</f>
        <v/>
      </c>
      <c r="AG204" s="236" t="str">
        <f>IF(AG$3="","",IF(COUNTIFS(BD!$A$3:$A$5001,AG$3,BD!$B$3:$B$5001,$A$190,BD!$AC$3:$AC$5001,"&lt;&gt;")=0,"",SUMIFS(BD!$AC$3:$AC$5001,BD!$A$3:$A$5001,AG$3,BD!$B$3:$B$5001,$A$190)))</f>
        <v/>
      </c>
      <c r="AH204" s="236" t="str">
        <f>IF(AH$3="","",IF(COUNTIFS(BD!$A$3:$A$5001,AH$3,BD!$B$3:$B$5001,$A$190,BD!$AC$3:$AC$5001,"&lt;&gt;")=0,"",SUMIFS(BD!$AC$3:$AC$5001,BD!$A$3:$A$5001,AH$3,BD!$B$3:$B$5001,$A$190)))</f>
        <v/>
      </c>
      <c r="AI204" s="236" t="str">
        <f>IF(AI$3="","",IF(COUNTIFS(BD!$A$3:$A$5001,AI$3,BD!$B$3:$B$5001,$A$190,BD!$AC$3:$AC$5001,"&lt;&gt;")=0,"",SUMIFS(BD!$AC$3:$AC$5001,BD!$A$3:$A$5001,AI$3,BD!$B$3:$B$5001,$A$190)))</f>
        <v/>
      </c>
      <c r="AJ204" s="237" t="str">
        <f>IF(AJ$3="","",IF(COUNTIFS(BD!$A$3:$A$5001,AJ$3,BD!$B$3:$B$5001,$A$190,BD!$AC$3:$AC$5001,"&lt;&gt;")=0,"",SUMIFS(BD!$AC$3:$AC$5001,BD!$A$3:$A$5001,AJ$3,BD!$B$3:$B$5001,$A$190)))</f>
        <v/>
      </c>
      <c r="AK204" s="238" t="str">
        <f>IF(COUNT(F204:AJ204)=0,"",SUM(F204:AJ204))</f>
        <v/>
      </c>
    </row>
    <row r="205" ht="15.75" customHeight="1">
      <c r="A205" s="261"/>
      <c r="B205" s="258"/>
      <c r="C205" s="232" t="inlineStr">
        <is>
          <t xml:space="preserve">Férias</t>
        </is>
      </c>
      <c r="D205" s="233" t="str">
        <f>IFERROR(1/(1/INDEX(BD!$AL$51:$BF$51,MATCH($A$190,BD!$AL$22:$BF$22,0))),"")</f>
        <v/>
      </c>
      <c r="E205" s="234"/>
      <c r="F205" s="235" t="str">
        <f>IF(F$3="","",IF(COUNTIFS(BD!$A$3:$A$5001,F$3,BD!$B$3:$B$5001,$A$190,BD!$AD$3:$AD$5001,"&lt;&gt;")=0,"",SUMIFS(BD!$AD$3:$AD$5001,BD!$A$3:$A$5001,F$3,BD!$B$3:$B$5001,$A$190)))</f>
        <v/>
      </c>
      <c r="G205" s="236" t="str">
        <f>IF(G$3="","",IF(COUNTIFS(BD!$A$3:$A$5001,G$3,BD!$B$3:$B$5001,$A$190,BD!$AD$3:$AD$5001,"&lt;&gt;")=0,"",SUMIFS(BD!$AD$3:$AD$5001,BD!$A$3:$A$5001,G$3,BD!$B$3:$B$5001,$A$190)))</f>
        <v/>
      </c>
      <c r="H205" s="236" t="str">
        <f>IF(H$3="","",IF(COUNTIFS(BD!$A$3:$A$5001,H$3,BD!$B$3:$B$5001,$A$190,BD!$AD$3:$AD$5001,"&lt;&gt;")=0,"",SUMIFS(BD!$AD$3:$AD$5001,BD!$A$3:$A$5001,H$3,BD!$B$3:$B$5001,$A$190)))</f>
        <v/>
      </c>
      <c r="I205" s="236" t="str">
        <f>IF(I$3="","",IF(COUNTIFS(BD!$A$3:$A$5001,I$3,BD!$B$3:$B$5001,$A$190,BD!$AD$3:$AD$5001,"&lt;&gt;")=0,"",SUMIFS(BD!$AD$3:$AD$5001,BD!$A$3:$A$5001,I$3,BD!$B$3:$B$5001,$A$190)))</f>
        <v/>
      </c>
      <c r="J205" s="236" t="str">
        <f>IF(J$3="","",IF(COUNTIFS(BD!$A$3:$A$5001,J$3,BD!$B$3:$B$5001,$A$190,BD!$AD$3:$AD$5001,"&lt;&gt;")=0,"",SUMIFS(BD!$AD$3:$AD$5001,BD!$A$3:$A$5001,J$3,BD!$B$3:$B$5001,$A$190)))</f>
        <v/>
      </c>
      <c r="K205" s="236" t="str">
        <f>IF(K$3="","",IF(COUNTIFS(BD!$A$3:$A$5001,K$3,BD!$B$3:$B$5001,$A$190,BD!$AD$3:$AD$5001,"&lt;&gt;")=0,"",SUMIFS(BD!$AD$3:$AD$5001,BD!$A$3:$A$5001,K$3,BD!$B$3:$B$5001,$A$190)))</f>
        <v/>
      </c>
      <c r="L205" s="236" t="str">
        <f>IF(L$3="","",IF(COUNTIFS(BD!$A$3:$A$5001,L$3,BD!$B$3:$B$5001,$A$190,BD!$AD$3:$AD$5001,"&lt;&gt;")=0,"",SUMIFS(BD!$AD$3:$AD$5001,BD!$A$3:$A$5001,L$3,BD!$B$3:$B$5001,$A$190)))</f>
        <v/>
      </c>
      <c r="M205" s="236" t="str">
        <f>IF(M$3="","",IF(COUNTIFS(BD!$A$3:$A$5001,M$3,BD!$B$3:$B$5001,$A$190,BD!$AD$3:$AD$5001,"&lt;&gt;")=0,"",SUMIFS(BD!$AD$3:$AD$5001,BD!$A$3:$A$5001,M$3,BD!$B$3:$B$5001,$A$190)))</f>
        <v/>
      </c>
      <c r="N205" s="236" t="str">
        <f>IF(N$3="","",IF(COUNTIFS(BD!$A$3:$A$5001,N$3,BD!$B$3:$B$5001,$A$190,BD!$AD$3:$AD$5001,"&lt;&gt;")=0,"",SUMIFS(BD!$AD$3:$AD$5001,BD!$A$3:$A$5001,N$3,BD!$B$3:$B$5001,$A$190)))</f>
        <v/>
      </c>
      <c r="O205" s="236" t="str">
        <f>IF(O$3="","",IF(COUNTIFS(BD!$A$3:$A$5001,O$3,BD!$B$3:$B$5001,$A$190,BD!$AD$3:$AD$5001,"&lt;&gt;")=0,"",SUMIFS(BD!$AD$3:$AD$5001,BD!$A$3:$A$5001,O$3,BD!$B$3:$B$5001,$A$190)))</f>
        <v/>
      </c>
      <c r="P205" s="236" t="str">
        <f>IF(P$3="","",IF(COUNTIFS(BD!$A$3:$A$5001,P$3,BD!$B$3:$B$5001,$A$190,BD!$AD$3:$AD$5001,"&lt;&gt;")=0,"",SUMIFS(BD!$AD$3:$AD$5001,BD!$A$3:$A$5001,P$3,BD!$B$3:$B$5001,$A$190)))</f>
        <v/>
      </c>
      <c r="Q205" s="236" t="str">
        <f>IF(Q$3="","",IF(COUNTIFS(BD!$A$3:$A$5001,Q$3,BD!$B$3:$B$5001,$A$190,BD!$AD$3:$AD$5001,"&lt;&gt;")=0,"",SUMIFS(BD!$AD$3:$AD$5001,BD!$A$3:$A$5001,Q$3,BD!$B$3:$B$5001,$A$190)))</f>
        <v/>
      </c>
      <c r="R205" s="236" t="str">
        <f>IF(R$3="","",IF(COUNTIFS(BD!$A$3:$A$5001,R$3,BD!$B$3:$B$5001,$A$190,BD!$AD$3:$AD$5001,"&lt;&gt;")=0,"",SUMIFS(BD!$AD$3:$AD$5001,BD!$A$3:$A$5001,R$3,BD!$B$3:$B$5001,$A$190)))</f>
        <v/>
      </c>
      <c r="S205" s="236" t="str">
        <f>IF(S$3="","",IF(COUNTIFS(BD!$A$3:$A$5001,S$3,BD!$B$3:$B$5001,$A$190,BD!$AD$3:$AD$5001,"&lt;&gt;")=0,"",SUMIFS(BD!$AD$3:$AD$5001,BD!$A$3:$A$5001,S$3,BD!$B$3:$B$5001,$A$190)))</f>
        <v/>
      </c>
      <c r="T205" s="236" t="str">
        <f>IF(T$3="","",IF(COUNTIFS(BD!$A$3:$A$5001,T$3,BD!$B$3:$B$5001,$A$190,BD!$AD$3:$AD$5001,"&lt;&gt;")=0,"",SUMIFS(BD!$AD$3:$AD$5001,BD!$A$3:$A$5001,T$3,BD!$B$3:$B$5001,$A$190)))</f>
        <v/>
      </c>
      <c r="U205" s="236" t="str">
        <f>IF(U$3="","",IF(COUNTIFS(BD!$A$3:$A$5001,U$3,BD!$B$3:$B$5001,$A$190,BD!$AD$3:$AD$5001,"&lt;&gt;")=0,"",SUMIFS(BD!$AD$3:$AD$5001,BD!$A$3:$A$5001,U$3,BD!$B$3:$B$5001,$A$190)))</f>
        <v/>
      </c>
      <c r="V205" s="236" t="str">
        <f>IF(V$3="","",IF(COUNTIFS(BD!$A$3:$A$5001,V$3,BD!$B$3:$B$5001,$A$190,BD!$AD$3:$AD$5001,"&lt;&gt;")=0,"",SUMIFS(BD!$AD$3:$AD$5001,BD!$A$3:$A$5001,V$3,BD!$B$3:$B$5001,$A$190)))</f>
        <v/>
      </c>
      <c r="W205" s="236" t="str">
        <f>IF(W$3="","",IF(COUNTIFS(BD!$A$3:$A$5001,W$3,BD!$B$3:$B$5001,$A$190,BD!$AD$3:$AD$5001,"&lt;&gt;")=0,"",SUMIFS(BD!$AD$3:$AD$5001,BD!$A$3:$A$5001,W$3,BD!$B$3:$B$5001,$A$190)))</f>
        <v/>
      </c>
      <c r="X205" s="236" t="str">
        <f>IF(X$3="","",IF(COUNTIFS(BD!$A$3:$A$5001,X$3,BD!$B$3:$B$5001,$A$190,BD!$AD$3:$AD$5001,"&lt;&gt;")=0,"",SUMIFS(BD!$AD$3:$AD$5001,BD!$A$3:$A$5001,X$3,BD!$B$3:$B$5001,$A$190)))</f>
        <v/>
      </c>
      <c r="Y205" s="236" t="str">
        <f>IF(Y$3="","",IF(COUNTIFS(BD!$A$3:$A$5001,Y$3,BD!$B$3:$B$5001,$A$190,BD!$AD$3:$AD$5001,"&lt;&gt;")=0,"",SUMIFS(BD!$AD$3:$AD$5001,BD!$A$3:$A$5001,Y$3,BD!$B$3:$B$5001,$A$190)))</f>
        <v/>
      </c>
      <c r="Z205" s="236" t="str">
        <f>IF(Z$3="","",IF(COUNTIFS(BD!$A$3:$A$5001,Z$3,BD!$B$3:$B$5001,$A$190,BD!$AD$3:$AD$5001,"&lt;&gt;")=0,"",SUMIFS(BD!$AD$3:$AD$5001,BD!$A$3:$A$5001,Z$3,BD!$B$3:$B$5001,$A$190)))</f>
        <v/>
      </c>
      <c r="AA205" s="236" t="str">
        <f>IF(AA$3="","",IF(COUNTIFS(BD!$A$3:$A$5001,AA$3,BD!$B$3:$B$5001,$A$190,BD!$AD$3:$AD$5001,"&lt;&gt;")=0,"",SUMIFS(BD!$AD$3:$AD$5001,BD!$A$3:$A$5001,AA$3,BD!$B$3:$B$5001,$A$190)))</f>
        <v/>
      </c>
      <c r="AB205" s="236" t="str">
        <f>IF(AB$3="","",IF(COUNTIFS(BD!$A$3:$A$5001,AB$3,BD!$B$3:$B$5001,$A$190,BD!$AD$3:$AD$5001,"&lt;&gt;")=0,"",SUMIFS(BD!$AD$3:$AD$5001,BD!$A$3:$A$5001,AB$3,BD!$B$3:$B$5001,$A$190)))</f>
        <v/>
      </c>
      <c r="AC205" s="236" t="str">
        <f>IF(AC$3="","",IF(COUNTIFS(BD!$A$3:$A$5001,AC$3,BD!$B$3:$B$5001,$A$190,BD!$AD$3:$AD$5001,"&lt;&gt;")=0,"",SUMIFS(BD!$AD$3:$AD$5001,BD!$A$3:$A$5001,AC$3,BD!$B$3:$B$5001,$A$190)))</f>
        <v/>
      </c>
      <c r="AD205" s="236" t="str">
        <f>IF(AD$3="","",IF(COUNTIFS(BD!$A$3:$A$5001,AD$3,BD!$B$3:$B$5001,$A$190,BD!$AD$3:$AD$5001,"&lt;&gt;")=0,"",SUMIFS(BD!$AD$3:$AD$5001,BD!$A$3:$A$5001,AD$3,BD!$B$3:$B$5001,$A$190)))</f>
        <v/>
      </c>
      <c r="AE205" s="236" t="str">
        <f>IF(AE$3="","",IF(COUNTIFS(BD!$A$3:$A$5001,AE$3,BD!$B$3:$B$5001,$A$190,BD!$AD$3:$AD$5001,"&lt;&gt;")=0,"",SUMIFS(BD!$AD$3:$AD$5001,BD!$A$3:$A$5001,AE$3,BD!$B$3:$B$5001,$A$190)))</f>
        <v/>
      </c>
      <c r="AF205" s="236" t="str">
        <f>IF(AF$3="","",IF(COUNTIFS(BD!$A$3:$A$5001,AF$3,BD!$B$3:$B$5001,$A$190,BD!$AD$3:$AD$5001,"&lt;&gt;")=0,"",SUMIFS(BD!$AD$3:$AD$5001,BD!$A$3:$A$5001,AF$3,BD!$B$3:$B$5001,$A$190)))</f>
        <v/>
      </c>
      <c r="AG205" s="236" t="str">
        <f>IF(AG$3="","",IF(COUNTIFS(BD!$A$3:$A$5001,AG$3,BD!$B$3:$B$5001,$A$190,BD!$AD$3:$AD$5001,"&lt;&gt;")=0,"",SUMIFS(BD!$AD$3:$AD$5001,BD!$A$3:$A$5001,AG$3,BD!$B$3:$B$5001,$A$190)))</f>
        <v/>
      </c>
      <c r="AH205" s="236" t="str">
        <f>IF(AH$3="","",IF(COUNTIFS(BD!$A$3:$A$5001,AH$3,BD!$B$3:$B$5001,$A$190,BD!$AD$3:$AD$5001,"&lt;&gt;")=0,"",SUMIFS(BD!$AD$3:$AD$5001,BD!$A$3:$A$5001,AH$3,BD!$B$3:$B$5001,$A$190)))</f>
        <v/>
      </c>
      <c r="AI205" s="236" t="str">
        <f>IF(AI$3="","",IF(COUNTIFS(BD!$A$3:$A$5001,AI$3,BD!$B$3:$B$5001,$A$190,BD!$AD$3:$AD$5001,"&lt;&gt;")=0,"",SUMIFS(BD!$AD$3:$AD$5001,BD!$A$3:$A$5001,AI$3,BD!$B$3:$B$5001,$A$190)))</f>
        <v/>
      </c>
      <c r="AJ205" s="237" t="str">
        <f>IF(AJ$3="","",IF(COUNTIFS(BD!$A$3:$A$5001,AJ$3,BD!$B$3:$B$5001,$A$190,BD!$AD$3:$AD$5001,"&lt;&gt;")=0,"",SUMIFS(BD!$AD$3:$AD$5001,BD!$A$3:$A$5001,AJ$3,BD!$B$3:$B$5001,$A$190)))</f>
        <v/>
      </c>
      <c r="AK205" s="238" t="str">
        <f>IF(COUNT(F205:AJ205)=0,"",SUM(F205:AJ205))</f>
        <v/>
      </c>
    </row>
    <row r="206" ht="15.75" customHeight="1">
      <c r="A206" s="261"/>
      <c r="B206" s="258"/>
      <c r="C206" s="232" t="inlineStr">
        <is>
          <t xml:space="preserve">Desligamento</t>
        </is>
      </c>
      <c r="D206" s="233" t="str">
        <f>IFERROR(1/(1/INDEX(BD!$AL$52:$BF$52,MATCH($A$190,BD!$AL$22:$BF$22,0))),"")</f>
        <v/>
      </c>
      <c r="E206" s="234"/>
      <c r="F206" s="235" t="str">
        <f>IF(F$3="","",IF(COUNTIFS(BD!$A$3:$A$5001,F$3,BD!$B$3:$B$5001,$A$190,BD!$AE$3:$AE$5001,"&lt;&gt;")=0,"",SUMIFS(BD!$AE$3:$AE$5001,BD!$A$3:$A$5001,F$3,BD!$B$3:$B$5001,$A$190)))</f>
        <v/>
      </c>
      <c r="G206" s="236" t="str">
        <f>IF(G$3="","",IF(COUNTIFS(BD!$A$3:$A$5001,G$3,BD!$B$3:$B$5001,$A$190,BD!$AE$3:$AE$5001,"&lt;&gt;")=0,"",SUMIFS(BD!$AE$3:$AE$5001,BD!$A$3:$A$5001,G$3,BD!$B$3:$B$5001,$A$190)))</f>
        <v/>
      </c>
      <c r="H206" s="236" t="str">
        <f>IF(H$3="","",IF(COUNTIFS(BD!$A$3:$A$5001,H$3,BD!$B$3:$B$5001,$A$190,BD!$AE$3:$AE$5001,"&lt;&gt;")=0,"",SUMIFS(BD!$AE$3:$AE$5001,BD!$A$3:$A$5001,H$3,BD!$B$3:$B$5001,$A$190)))</f>
        <v/>
      </c>
      <c r="I206" s="236" t="str">
        <f>IF(I$3="","",IF(COUNTIFS(BD!$A$3:$A$5001,I$3,BD!$B$3:$B$5001,$A$190,BD!$AE$3:$AE$5001,"&lt;&gt;")=0,"",SUMIFS(BD!$AE$3:$AE$5001,BD!$A$3:$A$5001,I$3,BD!$B$3:$B$5001,$A$190)))</f>
        <v/>
      </c>
      <c r="J206" s="236" t="str">
        <f>IF(J$3="","",IF(COUNTIFS(BD!$A$3:$A$5001,J$3,BD!$B$3:$B$5001,$A$190,BD!$AE$3:$AE$5001,"&lt;&gt;")=0,"",SUMIFS(BD!$AE$3:$AE$5001,BD!$A$3:$A$5001,J$3,BD!$B$3:$B$5001,$A$190)))</f>
        <v/>
      </c>
      <c r="K206" s="236" t="str">
        <f>IF(K$3="","",IF(COUNTIFS(BD!$A$3:$A$5001,K$3,BD!$B$3:$B$5001,$A$190,BD!$AE$3:$AE$5001,"&lt;&gt;")=0,"",SUMIFS(BD!$AE$3:$AE$5001,BD!$A$3:$A$5001,K$3,BD!$B$3:$B$5001,$A$190)))</f>
        <v/>
      </c>
      <c r="L206" s="236" t="str">
        <f>IF(L$3="","",IF(COUNTIFS(BD!$A$3:$A$5001,L$3,BD!$B$3:$B$5001,$A$190,BD!$AE$3:$AE$5001,"&lt;&gt;")=0,"",SUMIFS(BD!$AE$3:$AE$5001,BD!$A$3:$A$5001,L$3,BD!$B$3:$B$5001,$A$190)))</f>
        <v/>
      </c>
      <c r="M206" s="236" t="str">
        <f>IF(M$3="","",IF(COUNTIFS(BD!$A$3:$A$5001,M$3,BD!$B$3:$B$5001,$A$190,BD!$AE$3:$AE$5001,"&lt;&gt;")=0,"",SUMIFS(BD!$AE$3:$AE$5001,BD!$A$3:$A$5001,M$3,BD!$B$3:$B$5001,$A$190)))</f>
        <v/>
      </c>
      <c r="N206" s="236" t="str">
        <f>IF(N$3="","",IF(COUNTIFS(BD!$A$3:$A$5001,N$3,BD!$B$3:$B$5001,$A$190,BD!$AE$3:$AE$5001,"&lt;&gt;")=0,"",SUMIFS(BD!$AE$3:$AE$5001,BD!$A$3:$A$5001,N$3,BD!$B$3:$B$5001,$A$190)))</f>
        <v/>
      </c>
      <c r="O206" s="236" t="str">
        <f>IF(O$3="","",IF(COUNTIFS(BD!$A$3:$A$5001,O$3,BD!$B$3:$B$5001,$A$190,BD!$AE$3:$AE$5001,"&lt;&gt;")=0,"",SUMIFS(BD!$AE$3:$AE$5001,BD!$A$3:$A$5001,O$3,BD!$B$3:$B$5001,$A$190)))</f>
        <v/>
      </c>
      <c r="P206" s="236" t="str">
        <f>IF(P$3="","",IF(COUNTIFS(BD!$A$3:$A$5001,P$3,BD!$B$3:$B$5001,$A$190,BD!$AE$3:$AE$5001,"&lt;&gt;")=0,"",SUMIFS(BD!$AE$3:$AE$5001,BD!$A$3:$A$5001,P$3,BD!$B$3:$B$5001,$A$190)))</f>
        <v/>
      </c>
      <c r="Q206" s="236" t="str">
        <f>IF(Q$3="","",IF(COUNTIFS(BD!$A$3:$A$5001,Q$3,BD!$B$3:$B$5001,$A$190,BD!$AE$3:$AE$5001,"&lt;&gt;")=0,"",SUMIFS(BD!$AE$3:$AE$5001,BD!$A$3:$A$5001,Q$3,BD!$B$3:$B$5001,$A$190)))</f>
        <v/>
      </c>
      <c r="R206" s="236" t="str">
        <f>IF(R$3="","",IF(COUNTIFS(BD!$A$3:$A$5001,R$3,BD!$B$3:$B$5001,$A$190,BD!$AE$3:$AE$5001,"&lt;&gt;")=0,"",SUMIFS(BD!$AE$3:$AE$5001,BD!$A$3:$A$5001,R$3,BD!$B$3:$B$5001,$A$190)))</f>
        <v/>
      </c>
      <c r="S206" s="236" t="str">
        <f>IF(S$3="","",IF(COUNTIFS(BD!$A$3:$A$5001,S$3,BD!$B$3:$B$5001,$A$190,BD!$AE$3:$AE$5001,"&lt;&gt;")=0,"",SUMIFS(BD!$AE$3:$AE$5001,BD!$A$3:$A$5001,S$3,BD!$B$3:$B$5001,$A$190)))</f>
        <v/>
      </c>
      <c r="T206" s="236" t="str">
        <f>IF(T$3="","",IF(COUNTIFS(BD!$A$3:$A$5001,T$3,BD!$B$3:$B$5001,$A$190,BD!$AE$3:$AE$5001,"&lt;&gt;")=0,"",SUMIFS(BD!$AE$3:$AE$5001,BD!$A$3:$A$5001,T$3,BD!$B$3:$B$5001,$A$190)))</f>
        <v/>
      </c>
      <c r="U206" s="236" t="str">
        <f>IF(U$3="","",IF(COUNTIFS(BD!$A$3:$A$5001,U$3,BD!$B$3:$B$5001,$A$190,BD!$AE$3:$AE$5001,"&lt;&gt;")=0,"",SUMIFS(BD!$AE$3:$AE$5001,BD!$A$3:$A$5001,U$3,BD!$B$3:$B$5001,$A$190)))</f>
        <v/>
      </c>
      <c r="V206" s="236" t="str">
        <f>IF(V$3="","",IF(COUNTIFS(BD!$A$3:$A$5001,V$3,BD!$B$3:$B$5001,$A$190,BD!$AE$3:$AE$5001,"&lt;&gt;")=0,"",SUMIFS(BD!$AE$3:$AE$5001,BD!$A$3:$A$5001,V$3,BD!$B$3:$B$5001,$A$190)))</f>
        <v/>
      </c>
      <c r="W206" s="236" t="str">
        <f>IF(W$3="","",IF(COUNTIFS(BD!$A$3:$A$5001,W$3,BD!$B$3:$B$5001,$A$190,BD!$AE$3:$AE$5001,"&lt;&gt;")=0,"",SUMIFS(BD!$AE$3:$AE$5001,BD!$A$3:$A$5001,W$3,BD!$B$3:$B$5001,$A$190)))</f>
        <v/>
      </c>
      <c r="X206" s="236" t="str">
        <f>IF(X$3="","",IF(COUNTIFS(BD!$A$3:$A$5001,X$3,BD!$B$3:$B$5001,$A$190,BD!$AE$3:$AE$5001,"&lt;&gt;")=0,"",SUMIFS(BD!$AE$3:$AE$5001,BD!$A$3:$A$5001,X$3,BD!$B$3:$B$5001,$A$190)))</f>
        <v/>
      </c>
      <c r="Y206" s="236" t="str">
        <f>IF(Y$3="","",IF(COUNTIFS(BD!$A$3:$A$5001,Y$3,BD!$B$3:$B$5001,$A$190,BD!$AE$3:$AE$5001,"&lt;&gt;")=0,"",SUMIFS(BD!$AE$3:$AE$5001,BD!$A$3:$A$5001,Y$3,BD!$B$3:$B$5001,$A$190)))</f>
        <v/>
      </c>
      <c r="Z206" s="236" t="str">
        <f>IF(Z$3="","",IF(COUNTIFS(BD!$A$3:$A$5001,Z$3,BD!$B$3:$B$5001,$A$190,BD!$AE$3:$AE$5001,"&lt;&gt;")=0,"",SUMIFS(BD!$AE$3:$AE$5001,BD!$A$3:$A$5001,Z$3,BD!$B$3:$B$5001,$A$190)))</f>
        <v/>
      </c>
      <c r="AA206" s="236" t="str">
        <f>IF(AA$3="","",IF(COUNTIFS(BD!$A$3:$A$5001,AA$3,BD!$B$3:$B$5001,$A$190,BD!$AE$3:$AE$5001,"&lt;&gt;")=0,"",SUMIFS(BD!$AE$3:$AE$5001,BD!$A$3:$A$5001,AA$3,BD!$B$3:$B$5001,$A$190)))</f>
        <v/>
      </c>
      <c r="AB206" s="236" t="str">
        <f>IF(AB$3="","",IF(COUNTIFS(BD!$A$3:$A$5001,AB$3,BD!$B$3:$B$5001,$A$190,BD!$AE$3:$AE$5001,"&lt;&gt;")=0,"",SUMIFS(BD!$AE$3:$AE$5001,BD!$A$3:$A$5001,AB$3,BD!$B$3:$B$5001,$A$190)))</f>
        <v/>
      </c>
      <c r="AC206" s="236" t="str">
        <f>IF(AC$3="","",IF(COUNTIFS(BD!$A$3:$A$5001,AC$3,BD!$B$3:$B$5001,$A$190,BD!$AE$3:$AE$5001,"&lt;&gt;")=0,"",SUMIFS(BD!$AE$3:$AE$5001,BD!$A$3:$A$5001,AC$3,BD!$B$3:$B$5001,$A$190)))</f>
        <v/>
      </c>
      <c r="AD206" s="236" t="str">
        <f>IF(AD$3="","",IF(COUNTIFS(BD!$A$3:$A$5001,AD$3,BD!$B$3:$B$5001,$A$190,BD!$AE$3:$AE$5001,"&lt;&gt;")=0,"",SUMIFS(BD!$AE$3:$AE$5001,BD!$A$3:$A$5001,AD$3,BD!$B$3:$B$5001,$A$190)))</f>
        <v/>
      </c>
      <c r="AE206" s="236" t="str">
        <f>IF(AE$3="","",IF(COUNTIFS(BD!$A$3:$A$5001,AE$3,BD!$B$3:$B$5001,$A$190,BD!$AE$3:$AE$5001,"&lt;&gt;")=0,"",SUMIFS(BD!$AE$3:$AE$5001,BD!$A$3:$A$5001,AE$3,BD!$B$3:$B$5001,$A$190)))</f>
        <v/>
      </c>
      <c r="AF206" s="236" t="str">
        <f>IF(AF$3="","",IF(COUNTIFS(BD!$A$3:$A$5001,AF$3,BD!$B$3:$B$5001,$A$190,BD!$AE$3:$AE$5001,"&lt;&gt;")=0,"",SUMIFS(BD!$AE$3:$AE$5001,BD!$A$3:$A$5001,AF$3,BD!$B$3:$B$5001,$A$190)))</f>
        <v/>
      </c>
      <c r="AG206" s="236" t="str">
        <f>IF(AG$3="","",IF(COUNTIFS(BD!$A$3:$A$5001,AG$3,BD!$B$3:$B$5001,$A$190,BD!$AE$3:$AE$5001,"&lt;&gt;")=0,"",SUMIFS(BD!$AE$3:$AE$5001,BD!$A$3:$A$5001,AG$3,BD!$B$3:$B$5001,$A$190)))</f>
        <v/>
      </c>
      <c r="AH206" s="236" t="str">
        <f>IF(AH$3="","",IF(COUNTIFS(BD!$A$3:$A$5001,AH$3,BD!$B$3:$B$5001,$A$190,BD!$AE$3:$AE$5001,"&lt;&gt;")=0,"",SUMIFS(BD!$AE$3:$AE$5001,BD!$A$3:$A$5001,AH$3,BD!$B$3:$B$5001,$A$190)))</f>
        <v/>
      </c>
      <c r="AI206" s="236" t="str">
        <f>IF(AI$3="","",IF(COUNTIFS(BD!$A$3:$A$5001,AI$3,BD!$B$3:$B$5001,$A$190,BD!$AE$3:$AE$5001,"&lt;&gt;")=0,"",SUMIFS(BD!$AE$3:$AE$5001,BD!$A$3:$A$5001,AI$3,BD!$B$3:$B$5001,$A$190)))</f>
        <v/>
      </c>
      <c r="AJ206" s="237" t="str">
        <f>IF(AJ$3="","",IF(COUNTIFS(BD!$A$3:$A$5001,AJ$3,BD!$B$3:$B$5001,$A$190,BD!$AE$3:$AE$5001,"&lt;&gt;")=0,"",SUMIFS(BD!$AE$3:$AE$5001,BD!$A$3:$A$5001,AJ$3,BD!$B$3:$B$5001,$A$190)))</f>
        <v/>
      </c>
      <c r="AK206" s="238" t="str">
        <f>IF(COUNT(F206:AJ206)=0,"",SUM(F206:AJ206))</f>
        <v/>
      </c>
    </row>
    <row r="207" ht="15.75" customHeight="1">
      <c r="A207" s="261"/>
      <c r="B207" s="258"/>
      <c r="C207" s="232" t="inlineStr">
        <is>
          <t xml:space="preserve">Desvios Comportamentais</t>
        </is>
      </c>
      <c r="D207" s="233" t="str">
        <f>IFERROR(1/(1/INDEX(BD!$AL$53:$BF$53,MATCH($A$190,BD!$AL$22:$BF$22,0))),"")</f>
        <v/>
      </c>
      <c r="E207" s="234"/>
      <c r="F207" s="235" t="str">
        <f>IF(F$3="","",IF(COUNTIFS(BD!$A$3:$A$5001,F$3,BD!$B$3:$B$5001,$A$190,BD!$AF$3:$AF$5001,"&lt;&gt;")=0,"",SUMIFS(BD!$AF$3:$AF$5001,BD!$A$3:$A$5001,F$3,BD!$B$3:$B$5001,$A$190)))</f>
        <v/>
      </c>
      <c r="G207" s="236" t="str">
        <f>IF(G$3="","",IF(COUNTIFS(BD!$A$3:$A$5001,G$3,BD!$B$3:$B$5001,$A$190,BD!$AF$3:$AF$5001,"&lt;&gt;")=0,"",SUMIFS(BD!$AF$3:$AF$5001,BD!$A$3:$A$5001,G$3,BD!$B$3:$B$5001,$A$190)))</f>
        <v/>
      </c>
      <c r="H207" s="236" t="str">
        <f>IF(H$3="","",IF(COUNTIFS(BD!$A$3:$A$5001,H$3,BD!$B$3:$B$5001,$A$190,BD!$AF$3:$AF$5001,"&lt;&gt;")=0,"",SUMIFS(BD!$AF$3:$AF$5001,BD!$A$3:$A$5001,H$3,BD!$B$3:$B$5001,$A$190)))</f>
        <v/>
      </c>
      <c r="I207" s="236" t="str">
        <f>IF(I$3="","",IF(COUNTIFS(BD!$A$3:$A$5001,I$3,BD!$B$3:$B$5001,$A$190,BD!$AF$3:$AF$5001,"&lt;&gt;")=0,"",SUMIFS(BD!$AF$3:$AF$5001,BD!$A$3:$A$5001,I$3,BD!$B$3:$B$5001,$A$190)))</f>
        <v/>
      </c>
      <c r="J207" s="236" t="str">
        <f>IF(J$3="","",IF(COUNTIFS(BD!$A$3:$A$5001,J$3,BD!$B$3:$B$5001,$A$190,BD!$AF$3:$AF$5001,"&lt;&gt;")=0,"",SUMIFS(BD!$AF$3:$AF$5001,BD!$A$3:$A$5001,J$3,BD!$B$3:$B$5001,$A$190)))</f>
        <v/>
      </c>
      <c r="K207" s="236" t="str">
        <f>IF(K$3="","",IF(COUNTIFS(BD!$A$3:$A$5001,K$3,BD!$B$3:$B$5001,$A$190,BD!$AF$3:$AF$5001,"&lt;&gt;")=0,"",SUMIFS(BD!$AF$3:$AF$5001,BD!$A$3:$A$5001,K$3,BD!$B$3:$B$5001,$A$190)))</f>
        <v/>
      </c>
      <c r="L207" s="236" t="str">
        <f>IF(L$3="","",IF(COUNTIFS(BD!$A$3:$A$5001,L$3,BD!$B$3:$B$5001,$A$190,BD!$AF$3:$AF$5001,"&lt;&gt;")=0,"",SUMIFS(BD!$AF$3:$AF$5001,BD!$A$3:$A$5001,L$3,BD!$B$3:$B$5001,$A$190)))</f>
        <v/>
      </c>
      <c r="M207" s="236" t="str">
        <f>IF(M$3="","",IF(COUNTIFS(BD!$A$3:$A$5001,M$3,BD!$B$3:$B$5001,$A$190,BD!$AF$3:$AF$5001,"&lt;&gt;")=0,"",SUMIFS(BD!$AF$3:$AF$5001,BD!$A$3:$A$5001,M$3,BD!$B$3:$B$5001,$A$190)))</f>
        <v/>
      </c>
      <c r="N207" s="236" t="str">
        <f>IF(N$3="","",IF(COUNTIFS(BD!$A$3:$A$5001,N$3,BD!$B$3:$B$5001,$A$190,BD!$AF$3:$AF$5001,"&lt;&gt;")=0,"",SUMIFS(BD!$AF$3:$AF$5001,BD!$A$3:$A$5001,N$3,BD!$B$3:$B$5001,$A$190)))</f>
        <v/>
      </c>
      <c r="O207" s="236" t="str">
        <f>IF(O$3="","",IF(COUNTIFS(BD!$A$3:$A$5001,O$3,BD!$B$3:$B$5001,$A$190,BD!$AF$3:$AF$5001,"&lt;&gt;")=0,"",SUMIFS(BD!$AF$3:$AF$5001,BD!$A$3:$A$5001,O$3,BD!$B$3:$B$5001,$A$190)))</f>
        <v/>
      </c>
      <c r="P207" s="236" t="str">
        <f>IF(P$3="","",IF(COUNTIFS(BD!$A$3:$A$5001,P$3,BD!$B$3:$B$5001,$A$190,BD!$AF$3:$AF$5001,"&lt;&gt;")=0,"",SUMIFS(BD!$AF$3:$AF$5001,BD!$A$3:$A$5001,P$3,BD!$B$3:$B$5001,$A$190)))</f>
        <v/>
      </c>
      <c r="Q207" s="236" t="str">
        <f>IF(Q$3="","",IF(COUNTIFS(BD!$A$3:$A$5001,Q$3,BD!$B$3:$B$5001,$A$190,BD!$AF$3:$AF$5001,"&lt;&gt;")=0,"",SUMIFS(BD!$AF$3:$AF$5001,BD!$A$3:$A$5001,Q$3,BD!$B$3:$B$5001,$A$190)))</f>
        <v/>
      </c>
      <c r="R207" s="236" t="str">
        <f>IF(R$3="","",IF(COUNTIFS(BD!$A$3:$A$5001,R$3,BD!$B$3:$B$5001,$A$190,BD!$AF$3:$AF$5001,"&lt;&gt;")=0,"",SUMIFS(BD!$AF$3:$AF$5001,BD!$A$3:$A$5001,R$3,BD!$B$3:$B$5001,$A$190)))</f>
        <v/>
      </c>
      <c r="S207" s="236" t="str">
        <f>IF(S$3="","",IF(COUNTIFS(BD!$A$3:$A$5001,S$3,BD!$B$3:$B$5001,$A$190,BD!$AF$3:$AF$5001,"&lt;&gt;")=0,"",SUMIFS(BD!$AF$3:$AF$5001,BD!$A$3:$A$5001,S$3,BD!$B$3:$B$5001,$A$190)))</f>
        <v/>
      </c>
      <c r="T207" s="236" t="str">
        <f>IF(T$3="","",IF(COUNTIFS(BD!$A$3:$A$5001,T$3,BD!$B$3:$B$5001,$A$190,BD!$AF$3:$AF$5001,"&lt;&gt;")=0,"",SUMIFS(BD!$AF$3:$AF$5001,BD!$A$3:$A$5001,T$3,BD!$B$3:$B$5001,$A$190)))</f>
        <v/>
      </c>
      <c r="U207" s="236" t="str">
        <f>IF(U$3="","",IF(COUNTIFS(BD!$A$3:$A$5001,U$3,BD!$B$3:$B$5001,$A$190,BD!$AF$3:$AF$5001,"&lt;&gt;")=0,"",SUMIFS(BD!$AF$3:$AF$5001,BD!$A$3:$A$5001,U$3,BD!$B$3:$B$5001,$A$190)))</f>
        <v/>
      </c>
      <c r="V207" s="236" t="str">
        <f>IF(V$3="","",IF(COUNTIFS(BD!$A$3:$A$5001,V$3,BD!$B$3:$B$5001,$A$190,BD!$AF$3:$AF$5001,"&lt;&gt;")=0,"",SUMIFS(BD!$AF$3:$AF$5001,BD!$A$3:$A$5001,V$3,BD!$B$3:$B$5001,$A$190)))</f>
        <v/>
      </c>
      <c r="W207" s="236" t="str">
        <f>IF(W$3="","",IF(COUNTIFS(BD!$A$3:$A$5001,W$3,BD!$B$3:$B$5001,$A$190,BD!$AF$3:$AF$5001,"&lt;&gt;")=0,"",SUMIFS(BD!$AF$3:$AF$5001,BD!$A$3:$A$5001,W$3,BD!$B$3:$B$5001,$A$190)))</f>
        <v/>
      </c>
      <c r="X207" s="236" t="str">
        <f>IF(X$3="","",IF(COUNTIFS(BD!$A$3:$A$5001,X$3,BD!$B$3:$B$5001,$A$190,BD!$AF$3:$AF$5001,"&lt;&gt;")=0,"",SUMIFS(BD!$AF$3:$AF$5001,BD!$A$3:$A$5001,X$3,BD!$B$3:$B$5001,$A$190)))</f>
        <v/>
      </c>
      <c r="Y207" s="236" t="str">
        <f>IF(Y$3="","",IF(COUNTIFS(BD!$A$3:$A$5001,Y$3,BD!$B$3:$B$5001,$A$190,BD!$AF$3:$AF$5001,"&lt;&gt;")=0,"",SUMIFS(BD!$AF$3:$AF$5001,BD!$A$3:$A$5001,Y$3,BD!$B$3:$B$5001,$A$190)))</f>
        <v/>
      </c>
      <c r="Z207" s="236" t="str">
        <f>IF(Z$3="","",IF(COUNTIFS(BD!$A$3:$A$5001,Z$3,BD!$B$3:$B$5001,$A$190,BD!$AF$3:$AF$5001,"&lt;&gt;")=0,"",SUMIFS(BD!$AF$3:$AF$5001,BD!$A$3:$A$5001,Z$3,BD!$B$3:$B$5001,$A$190)))</f>
        <v/>
      </c>
      <c r="AA207" s="236" t="str">
        <f>IF(AA$3="","",IF(COUNTIFS(BD!$A$3:$A$5001,AA$3,BD!$B$3:$B$5001,$A$190,BD!$AF$3:$AF$5001,"&lt;&gt;")=0,"",SUMIFS(BD!$AF$3:$AF$5001,BD!$A$3:$A$5001,AA$3,BD!$B$3:$B$5001,$A$190)))</f>
        <v/>
      </c>
      <c r="AB207" s="236" t="str">
        <f>IF(AB$3="","",IF(COUNTIFS(BD!$A$3:$A$5001,AB$3,BD!$B$3:$B$5001,$A$190,BD!$AF$3:$AF$5001,"&lt;&gt;")=0,"",SUMIFS(BD!$AF$3:$AF$5001,BD!$A$3:$A$5001,AB$3,BD!$B$3:$B$5001,$A$190)))</f>
        <v/>
      </c>
      <c r="AC207" s="236" t="str">
        <f>IF(AC$3="","",IF(COUNTIFS(BD!$A$3:$A$5001,AC$3,BD!$B$3:$B$5001,$A$190,BD!$AF$3:$AF$5001,"&lt;&gt;")=0,"",SUMIFS(BD!$AF$3:$AF$5001,BD!$A$3:$A$5001,AC$3,BD!$B$3:$B$5001,$A$190)))</f>
        <v/>
      </c>
      <c r="AD207" s="236" t="str">
        <f>IF(AD$3="","",IF(COUNTIFS(BD!$A$3:$A$5001,AD$3,BD!$B$3:$B$5001,$A$190,BD!$AF$3:$AF$5001,"&lt;&gt;")=0,"",SUMIFS(BD!$AF$3:$AF$5001,BD!$A$3:$A$5001,AD$3,BD!$B$3:$B$5001,$A$190)))</f>
        <v/>
      </c>
      <c r="AE207" s="236" t="str">
        <f>IF(AE$3="","",IF(COUNTIFS(BD!$A$3:$A$5001,AE$3,BD!$B$3:$B$5001,$A$190,BD!$AF$3:$AF$5001,"&lt;&gt;")=0,"",SUMIFS(BD!$AF$3:$AF$5001,BD!$A$3:$A$5001,AE$3,BD!$B$3:$B$5001,$A$190)))</f>
        <v/>
      </c>
      <c r="AF207" s="236" t="str">
        <f>IF(AF$3="","",IF(COUNTIFS(BD!$A$3:$A$5001,AF$3,BD!$B$3:$B$5001,$A$190,BD!$AF$3:$AF$5001,"&lt;&gt;")=0,"",SUMIFS(BD!$AF$3:$AF$5001,BD!$A$3:$A$5001,AF$3,BD!$B$3:$B$5001,$A$190)))</f>
        <v/>
      </c>
      <c r="AG207" s="236" t="str">
        <f>IF(AG$3="","",IF(COUNTIFS(BD!$A$3:$A$5001,AG$3,BD!$B$3:$B$5001,$A$190,BD!$AF$3:$AF$5001,"&lt;&gt;")=0,"",SUMIFS(BD!$AF$3:$AF$5001,BD!$A$3:$A$5001,AG$3,BD!$B$3:$B$5001,$A$190)))</f>
        <v/>
      </c>
      <c r="AH207" s="236" t="str">
        <f>IF(AH$3="","",IF(COUNTIFS(BD!$A$3:$A$5001,AH$3,BD!$B$3:$B$5001,$A$190,BD!$AF$3:$AF$5001,"&lt;&gt;")=0,"",SUMIFS(BD!$AF$3:$AF$5001,BD!$A$3:$A$5001,AH$3,BD!$B$3:$B$5001,$A$190)))</f>
        <v/>
      </c>
      <c r="AI207" s="236" t="str">
        <f>IF(AI$3="","",IF(COUNTIFS(BD!$A$3:$A$5001,AI$3,BD!$B$3:$B$5001,$A$190,BD!$AF$3:$AF$5001,"&lt;&gt;")=0,"",SUMIFS(BD!$AF$3:$AF$5001,BD!$A$3:$A$5001,AI$3,BD!$B$3:$B$5001,$A$190)))</f>
        <v/>
      </c>
      <c r="AJ207" s="237" t="str">
        <f>IF(AJ$3="","",IF(COUNTIFS(BD!$A$3:$A$5001,AJ$3,BD!$B$3:$B$5001,$A$190,BD!$AF$3:$AF$5001,"&lt;&gt;")=0,"",SUMIFS(BD!$AF$3:$AF$5001,BD!$A$3:$A$5001,AJ$3,BD!$B$3:$B$5001,$A$190)))</f>
        <v/>
      </c>
      <c r="AK207" s="238" t="str">
        <f>IF(COUNT(F207:AJ207)=0,"",SUM(F207:AJ207))</f>
        <v/>
      </c>
    </row>
    <row r="208" ht="15.75" customHeight="1">
      <c r="A208" s="261"/>
      <c r="B208" s="258"/>
      <c r="C208" s="232" t="inlineStr">
        <is>
          <t xml:space="preserve">Acidentes CAF</t>
        </is>
      </c>
      <c r="D208" s="233" t="str">
        <f>IFERROR(1/(1/INDEX(BD!$AL$54:$BF$54,MATCH($A$190,BD!$AL$22:$BF$22,0))),"")</f>
        <v/>
      </c>
      <c r="E208" s="234"/>
      <c r="F208" s="235" t="str">
        <f>IF(F$3="","",IF(COUNTIFS(BD!$A$3:$A$5001,F$3,BD!$B$3:$B$5001,$A$190,BD!$AG$3:$AG$5001,"&lt;&gt;")=0,"",SUMIFS(BD!$AG$3:$AG$5001,BD!$A$3:$A$5001,F$3,BD!$B$3:$B$5001,$A$190)))</f>
        <v/>
      </c>
      <c r="G208" s="236" t="str">
        <f>IF(G$3="","",IF(COUNTIFS(BD!$A$3:$A$5001,G$3,BD!$B$3:$B$5001,$A$190,BD!$AG$3:$AG$5001,"&lt;&gt;")=0,"",SUMIFS(BD!$AG$3:$AG$5001,BD!$A$3:$A$5001,G$3,BD!$B$3:$B$5001,$A$190)))</f>
        <v/>
      </c>
      <c r="H208" s="236" t="str">
        <f>IF(H$3="","",IF(COUNTIFS(BD!$A$3:$A$5001,H$3,BD!$B$3:$B$5001,$A$190,BD!$AG$3:$AG$5001,"&lt;&gt;")=0,"",SUMIFS(BD!$AG$3:$AG$5001,BD!$A$3:$A$5001,H$3,BD!$B$3:$B$5001,$A$190)))</f>
        <v/>
      </c>
      <c r="I208" s="236" t="str">
        <f>IF(I$3="","",IF(COUNTIFS(BD!$A$3:$A$5001,I$3,BD!$B$3:$B$5001,$A$190,BD!$AG$3:$AG$5001,"&lt;&gt;")=0,"",SUMIFS(BD!$AG$3:$AG$5001,BD!$A$3:$A$5001,I$3,BD!$B$3:$B$5001,$A$190)))</f>
        <v/>
      </c>
      <c r="J208" s="236" t="str">
        <f>IF(J$3="","",IF(COUNTIFS(BD!$A$3:$A$5001,J$3,BD!$B$3:$B$5001,$A$190,BD!$AG$3:$AG$5001,"&lt;&gt;")=0,"",SUMIFS(BD!$AG$3:$AG$5001,BD!$A$3:$A$5001,J$3,BD!$B$3:$B$5001,$A$190)))</f>
        <v/>
      </c>
      <c r="K208" s="236" t="str">
        <f>IF(K$3="","",IF(COUNTIFS(BD!$A$3:$A$5001,K$3,BD!$B$3:$B$5001,$A$190,BD!$AG$3:$AG$5001,"&lt;&gt;")=0,"",SUMIFS(BD!$AG$3:$AG$5001,BD!$A$3:$A$5001,K$3,BD!$B$3:$B$5001,$A$190)))</f>
        <v/>
      </c>
      <c r="L208" s="236" t="str">
        <f>IF(L$3="","",IF(COUNTIFS(BD!$A$3:$A$5001,L$3,BD!$B$3:$B$5001,$A$190,BD!$AG$3:$AG$5001,"&lt;&gt;")=0,"",SUMIFS(BD!$AG$3:$AG$5001,BD!$A$3:$A$5001,L$3,BD!$B$3:$B$5001,$A$190)))</f>
        <v/>
      </c>
      <c r="M208" s="236" t="str">
        <f>IF(M$3="","",IF(COUNTIFS(BD!$A$3:$A$5001,M$3,BD!$B$3:$B$5001,$A$190,BD!$AG$3:$AG$5001,"&lt;&gt;")=0,"",SUMIFS(BD!$AG$3:$AG$5001,BD!$A$3:$A$5001,M$3,BD!$B$3:$B$5001,$A$190)))</f>
        <v/>
      </c>
      <c r="N208" s="236" t="str">
        <f>IF(N$3="","",IF(COUNTIFS(BD!$A$3:$A$5001,N$3,BD!$B$3:$B$5001,$A$190,BD!$AG$3:$AG$5001,"&lt;&gt;")=0,"",SUMIFS(BD!$AG$3:$AG$5001,BD!$A$3:$A$5001,N$3,BD!$B$3:$B$5001,$A$190)))</f>
        <v/>
      </c>
      <c r="O208" s="236" t="str">
        <f>IF(O$3="","",IF(COUNTIFS(BD!$A$3:$A$5001,O$3,BD!$B$3:$B$5001,$A$190,BD!$AG$3:$AG$5001,"&lt;&gt;")=0,"",SUMIFS(BD!$AG$3:$AG$5001,BD!$A$3:$A$5001,O$3,BD!$B$3:$B$5001,$A$190)))</f>
        <v/>
      </c>
      <c r="P208" s="236" t="str">
        <f>IF(P$3="","",IF(COUNTIFS(BD!$A$3:$A$5001,P$3,BD!$B$3:$B$5001,$A$190,BD!$AG$3:$AG$5001,"&lt;&gt;")=0,"",SUMIFS(BD!$AG$3:$AG$5001,BD!$A$3:$A$5001,P$3,BD!$B$3:$B$5001,$A$190)))</f>
        <v/>
      </c>
      <c r="Q208" s="236" t="str">
        <f>IF(Q$3="","",IF(COUNTIFS(BD!$A$3:$A$5001,Q$3,BD!$B$3:$B$5001,$A$190,BD!$AG$3:$AG$5001,"&lt;&gt;")=0,"",SUMIFS(BD!$AG$3:$AG$5001,BD!$A$3:$A$5001,Q$3,BD!$B$3:$B$5001,$A$190)))</f>
        <v/>
      </c>
      <c r="R208" s="236" t="str">
        <f>IF(R$3="","",IF(COUNTIFS(BD!$A$3:$A$5001,R$3,BD!$B$3:$B$5001,$A$190,BD!$AG$3:$AG$5001,"&lt;&gt;")=0,"",SUMIFS(BD!$AG$3:$AG$5001,BD!$A$3:$A$5001,R$3,BD!$B$3:$B$5001,$A$190)))</f>
        <v/>
      </c>
      <c r="S208" s="236" t="str">
        <f>IF(S$3="","",IF(COUNTIFS(BD!$A$3:$A$5001,S$3,BD!$B$3:$B$5001,$A$190,BD!$AG$3:$AG$5001,"&lt;&gt;")=0,"",SUMIFS(BD!$AG$3:$AG$5001,BD!$A$3:$A$5001,S$3,BD!$B$3:$B$5001,$A$190)))</f>
        <v/>
      </c>
      <c r="T208" s="236" t="str">
        <f>IF(T$3="","",IF(COUNTIFS(BD!$A$3:$A$5001,T$3,BD!$B$3:$B$5001,$A$190,BD!$AG$3:$AG$5001,"&lt;&gt;")=0,"",SUMIFS(BD!$AG$3:$AG$5001,BD!$A$3:$A$5001,T$3,BD!$B$3:$B$5001,$A$190)))</f>
        <v/>
      </c>
      <c r="U208" s="236" t="str">
        <f>IF(U$3="","",IF(COUNTIFS(BD!$A$3:$A$5001,U$3,BD!$B$3:$B$5001,$A$190,BD!$AG$3:$AG$5001,"&lt;&gt;")=0,"",SUMIFS(BD!$AG$3:$AG$5001,BD!$A$3:$A$5001,U$3,BD!$B$3:$B$5001,$A$190)))</f>
        <v/>
      </c>
      <c r="V208" s="236" t="str">
        <f>IF(V$3="","",IF(COUNTIFS(BD!$A$3:$A$5001,V$3,BD!$B$3:$B$5001,$A$190,BD!$AG$3:$AG$5001,"&lt;&gt;")=0,"",SUMIFS(BD!$AG$3:$AG$5001,BD!$A$3:$A$5001,V$3,BD!$B$3:$B$5001,$A$190)))</f>
        <v/>
      </c>
      <c r="W208" s="236" t="str">
        <f>IF(W$3="","",IF(COUNTIFS(BD!$A$3:$A$5001,W$3,BD!$B$3:$B$5001,$A$190,BD!$AG$3:$AG$5001,"&lt;&gt;")=0,"",SUMIFS(BD!$AG$3:$AG$5001,BD!$A$3:$A$5001,W$3,BD!$B$3:$B$5001,$A$190)))</f>
        <v/>
      </c>
      <c r="X208" s="236" t="str">
        <f>IF(X$3="","",IF(COUNTIFS(BD!$A$3:$A$5001,X$3,BD!$B$3:$B$5001,$A$190,BD!$AG$3:$AG$5001,"&lt;&gt;")=0,"",SUMIFS(BD!$AG$3:$AG$5001,BD!$A$3:$A$5001,X$3,BD!$B$3:$B$5001,$A$190)))</f>
        <v/>
      </c>
      <c r="Y208" s="236" t="str">
        <f>IF(Y$3="","",IF(COUNTIFS(BD!$A$3:$A$5001,Y$3,BD!$B$3:$B$5001,$A$190,BD!$AG$3:$AG$5001,"&lt;&gt;")=0,"",SUMIFS(BD!$AG$3:$AG$5001,BD!$A$3:$A$5001,Y$3,BD!$B$3:$B$5001,$A$190)))</f>
        <v/>
      </c>
      <c r="Z208" s="236" t="str">
        <f>IF(Z$3="","",IF(COUNTIFS(BD!$A$3:$A$5001,Z$3,BD!$B$3:$B$5001,$A$190,BD!$AG$3:$AG$5001,"&lt;&gt;")=0,"",SUMIFS(BD!$AG$3:$AG$5001,BD!$A$3:$A$5001,Z$3,BD!$B$3:$B$5001,$A$190)))</f>
        <v/>
      </c>
      <c r="AA208" s="236" t="str">
        <f>IF(AA$3="","",IF(COUNTIFS(BD!$A$3:$A$5001,AA$3,BD!$B$3:$B$5001,$A$190,BD!$AG$3:$AG$5001,"&lt;&gt;")=0,"",SUMIFS(BD!$AG$3:$AG$5001,BD!$A$3:$A$5001,AA$3,BD!$B$3:$B$5001,$A$190)))</f>
        <v/>
      </c>
      <c r="AB208" s="236" t="str">
        <f>IF(AB$3="","",IF(COUNTIFS(BD!$A$3:$A$5001,AB$3,BD!$B$3:$B$5001,$A$190,BD!$AG$3:$AG$5001,"&lt;&gt;")=0,"",SUMIFS(BD!$AG$3:$AG$5001,BD!$A$3:$A$5001,AB$3,BD!$B$3:$B$5001,$A$190)))</f>
        <v/>
      </c>
      <c r="AC208" s="236" t="str">
        <f>IF(AC$3="","",IF(COUNTIFS(BD!$A$3:$A$5001,AC$3,BD!$B$3:$B$5001,$A$190,BD!$AG$3:$AG$5001,"&lt;&gt;")=0,"",SUMIFS(BD!$AG$3:$AG$5001,BD!$A$3:$A$5001,AC$3,BD!$B$3:$B$5001,$A$190)))</f>
        <v/>
      </c>
      <c r="AD208" s="236" t="str">
        <f>IF(AD$3="","",IF(COUNTIFS(BD!$A$3:$A$5001,AD$3,BD!$B$3:$B$5001,$A$190,BD!$AG$3:$AG$5001,"&lt;&gt;")=0,"",SUMIFS(BD!$AG$3:$AG$5001,BD!$A$3:$A$5001,AD$3,BD!$B$3:$B$5001,$A$190)))</f>
        <v/>
      </c>
      <c r="AE208" s="236" t="str">
        <f>IF(AE$3="","",IF(COUNTIFS(BD!$A$3:$A$5001,AE$3,BD!$B$3:$B$5001,$A$190,BD!$AG$3:$AG$5001,"&lt;&gt;")=0,"",SUMIFS(BD!$AG$3:$AG$5001,BD!$A$3:$A$5001,AE$3,BD!$B$3:$B$5001,$A$190)))</f>
        <v/>
      </c>
      <c r="AF208" s="236" t="str">
        <f>IF(AF$3="","",IF(COUNTIFS(BD!$A$3:$A$5001,AF$3,BD!$B$3:$B$5001,$A$190,BD!$AG$3:$AG$5001,"&lt;&gt;")=0,"",SUMIFS(BD!$AG$3:$AG$5001,BD!$A$3:$A$5001,AF$3,BD!$B$3:$B$5001,$A$190)))</f>
        <v/>
      </c>
      <c r="AG208" s="236" t="str">
        <f>IF(AG$3="","",IF(COUNTIFS(BD!$A$3:$A$5001,AG$3,BD!$B$3:$B$5001,$A$190,BD!$AG$3:$AG$5001,"&lt;&gt;")=0,"",SUMIFS(BD!$AG$3:$AG$5001,BD!$A$3:$A$5001,AG$3,BD!$B$3:$B$5001,$A$190)))</f>
        <v/>
      </c>
      <c r="AH208" s="236" t="str">
        <f>IF(AH$3="","",IF(COUNTIFS(BD!$A$3:$A$5001,AH$3,BD!$B$3:$B$5001,$A$190,BD!$AG$3:$AG$5001,"&lt;&gt;")=0,"",SUMIFS(BD!$AG$3:$AG$5001,BD!$A$3:$A$5001,AH$3,BD!$B$3:$B$5001,$A$190)))</f>
        <v/>
      </c>
      <c r="AI208" s="236" t="str">
        <f>IF(AI$3="","",IF(COUNTIFS(BD!$A$3:$A$5001,AI$3,BD!$B$3:$B$5001,$A$190,BD!$AG$3:$AG$5001,"&lt;&gt;")=0,"",SUMIFS(BD!$AG$3:$AG$5001,BD!$A$3:$A$5001,AI$3,BD!$B$3:$B$5001,$A$190)))</f>
        <v/>
      </c>
      <c r="AJ208" s="237" t="str">
        <f>IF(AJ$3="","",IF(COUNTIFS(BD!$A$3:$A$5001,AJ$3,BD!$B$3:$B$5001,$A$190,BD!$AG$3:$AG$5001,"&lt;&gt;")=0,"",SUMIFS(BD!$AG$3:$AG$5001,BD!$A$3:$A$5001,AJ$3,BD!$B$3:$B$5001,$A$190)))</f>
        <v/>
      </c>
      <c r="AK208" s="238" t="str">
        <f>IF(COUNT(F208:AJ208)=0,"",SUM(F208:AJ208))</f>
        <v/>
      </c>
    </row>
    <row r="209" ht="15.75" customHeight="1">
      <c r="A209" s="262"/>
      <c r="B209" s="259"/>
      <c r="C209" s="243" t="inlineStr">
        <is>
          <t xml:space="preserve">Acidentes SAF</t>
        </is>
      </c>
      <c r="D209" s="244" t="str">
        <f>IFERROR(1/(1/INDEX(BD!$AL$55:$BF$55,MATCH($A$190,BD!$AL$22:$BF$22,0))),"")</f>
        <v/>
      </c>
      <c r="E209" s="245"/>
      <c r="F209" s="246" t="str">
        <f>IF(F$3="","",IF(COUNTIFS(BD!$A$3:$A$5001,F$3,BD!$B$3:$B$5001,$A$190,BD!$AH$3:$AH$5001,"&lt;&gt;")=0,"",SUMIFS(BD!$AH$3:$AH$5001,BD!$A$3:$A$5001,F$3,BD!$B$3:$B$5001,$A$190)))</f>
        <v/>
      </c>
      <c r="G209" s="247" t="str">
        <f>IF(G$3="","",IF(COUNTIFS(BD!$A$3:$A$5001,G$3,BD!$B$3:$B$5001,$A$190,BD!$AH$3:$AH$5001,"&lt;&gt;")=0,"",SUMIFS(BD!$AH$3:$AH$5001,BD!$A$3:$A$5001,G$3,BD!$B$3:$B$5001,$A$190)))</f>
        <v/>
      </c>
      <c r="H209" s="247" t="str">
        <f>IF(H$3="","",IF(COUNTIFS(BD!$A$3:$A$5001,H$3,BD!$B$3:$B$5001,$A$190,BD!$AH$3:$AH$5001,"&lt;&gt;")=0,"",SUMIFS(BD!$AH$3:$AH$5001,BD!$A$3:$A$5001,H$3,BD!$B$3:$B$5001,$A$190)))</f>
        <v/>
      </c>
      <c r="I209" s="247" t="str">
        <f>IF(I$3="","",IF(COUNTIFS(BD!$A$3:$A$5001,I$3,BD!$B$3:$B$5001,$A$190,BD!$AH$3:$AH$5001,"&lt;&gt;")=0,"",SUMIFS(BD!$AH$3:$AH$5001,BD!$A$3:$A$5001,I$3,BD!$B$3:$B$5001,$A$190)))</f>
        <v/>
      </c>
      <c r="J209" s="247" t="str">
        <f>IF(J$3="","",IF(COUNTIFS(BD!$A$3:$A$5001,J$3,BD!$B$3:$B$5001,$A$190,BD!$AH$3:$AH$5001,"&lt;&gt;")=0,"",SUMIFS(BD!$AH$3:$AH$5001,BD!$A$3:$A$5001,J$3,BD!$B$3:$B$5001,$A$190)))</f>
        <v/>
      </c>
      <c r="K209" s="247" t="str">
        <f>IF(K$3="","",IF(COUNTIFS(BD!$A$3:$A$5001,K$3,BD!$B$3:$B$5001,$A$190,BD!$AH$3:$AH$5001,"&lt;&gt;")=0,"",SUMIFS(BD!$AH$3:$AH$5001,BD!$A$3:$A$5001,K$3,BD!$B$3:$B$5001,$A$190)))</f>
        <v/>
      </c>
      <c r="L209" s="247" t="str">
        <f>IF(L$3="","",IF(COUNTIFS(BD!$A$3:$A$5001,L$3,BD!$B$3:$B$5001,$A$190,BD!$AH$3:$AH$5001,"&lt;&gt;")=0,"",SUMIFS(BD!$AH$3:$AH$5001,BD!$A$3:$A$5001,L$3,BD!$B$3:$B$5001,$A$190)))</f>
        <v/>
      </c>
      <c r="M209" s="247" t="str">
        <f>IF(M$3="","",IF(COUNTIFS(BD!$A$3:$A$5001,M$3,BD!$B$3:$B$5001,$A$190,BD!$AH$3:$AH$5001,"&lt;&gt;")=0,"",SUMIFS(BD!$AH$3:$AH$5001,BD!$A$3:$A$5001,M$3,BD!$B$3:$B$5001,$A$190)))</f>
        <v/>
      </c>
      <c r="N209" s="247" t="str">
        <f>IF(N$3="","",IF(COUNTIFS(BD!$A$3:$A$5001,N$3,BD!$B$3:$B$5001,$A$190,BD!$AH$3:$AH$5001,"&lt;&gt;")=0,"",SUMIFS(BD!$AH$3:$AH$5001,BD!$A$3:$A$5001,N$3,BD!$B$3:$B$5001,$A$190)))</f>
        <v/>
      </c>
      <c r="O209" s="247" t="str">
        <f>IF(O$3="","",IF(COUNTIFS(BD!$A$3:$A$5001,O$3,BD!$B$3:$B$5001,$A$190,BD!$AH$3:$AH$5001,"&lt;&gt;")=0,"",SUMIFS(BD!$AH$3:$AH$5001,BD!$A$3:$A$5001,O$3,BD!$B$3:$B$5001,$A$190)))</f>
        <v/>
      </c>
      <c r="P209" s="247" t="str">
        <f>IF(P$3="","",IF(COUNTIFS(BD!$A$3:$A$5001,P$3,BD!$B$3:$B$5001,$A$190,BD!$AH$3:$AH$5001,"&lt;&gt;")=0,"",SUMIFS(BD!$AH$3:$AH$5001,BD!$A$3:$A$5001,P$3,BD!$B$3:$B$5001,$A$190)))</f>
        <v/>
      </c>
      <c r="Q209" s="247" t="str">
        <f>IF(Q$3="","",IF(COUNTIFS(BD!$A$3:$A$5001,Q$3,BD!$B$3:$B$5001,$A$190,BD!$AH$3:$AH$5001,"&lt;&gt;")=0,"",SUMIFS(BD!$AH$3:$AH$5001,BD!$A$3:$A$5001,Q$3,BD!$B$3:$B$5001,$A$190)))</f>
        <v/>
      </c>
      <c r="R209" s="247" t="str">
        <f>IF(R$3="","",IF(COUNTIFS(BD!$A$3:$A$5001,R$3,BD!$B$3:$B$5001,$A$190,BD!$AH$3:$AH$5001,"&lt;&gt;")=0,"",SUMIFS(BD!$AH$3:$AH$5001,BD!$A$3:$A$5001,R$3,BD!$B$3:$B$5001,$A$190)))</f>
        <v/>
      </c>
      <c r="S209" s="247" t="str">
        <f>IF(S$3="","",IF(COUNTIFS(BD!$A$3:$A$5001,S$3,BD!$B$3:$B$5001,$A$190,BD!$AH$3:$AH$5001,"&lt;&gt;")=0,"",SUMIFS(BD!$AH$3:$AH$5001,BD!$A$3:$A$5001,S$3,BD!$B$3:$B$5001,$A$190)))</f>
        <v/>
      </c>
      <c r="T209" s="247" t="str">
        <f>IF(T$3="","",IF(COUNTIFS(BD!$A$3:$A$5001,T$3,BD!$B$3:$B$5001,$A$190,BD!$AH$3:$AH$5001,"&lt;&gt;")=0,"",SUMIFS(BD!$AH$3:$AH$5001,BD!$A$3:$A$5001,T$3,BD!$B$3:$B$5001,$A$190)))</f>
        <v/>
      </c>
      <c r="U209" s="247" t="str">
        <f>IF(U$3="","",IF(COUNTIFS(BD!$A$3:$A$5001,U$3,BD!$B$3:$B$5001,$A$190,BD!$AH$3:$AH$5001,"&lt;&gt;")=0,"",SUMIFS(BD!$AH$3:$AH$5001,BD!$A$3:$A$5001,U$3,BD!$B$3:$B$5001,$A$190)))</f>
        <v/>
      </c>
      <c r="V209" s="247" t="str">
        <f>IF(V$3="","",IF(COUNTIFS(BD!$A$3:$A$5001,V$3,BD!$B$3:$B$5001,$A$190,BD!$AH$3:$AH$5001,"&lt;&gt;")=0,"",SUMIFS(BD!$AH$3:$AH$5001,BD!$A$3:$A$5001,V$3,BD!$B$3:$B$5001,$A$190)))</f>
        <v/>
      </c>
      <c r="W209" s="247" t="str">
        <f>IF(W$3="","",IF(COUNTIFS(BD!$A$3:$A$5001,W$3,BD!$B$3:$B$5001,$A$190,BD!$AH$3:$AH$5001,"&lt;&gt;")=0,"",SUMIFS(BD!$AH$3:$AH$5001,BD!$A$3:$A$5001,W$3,BD!$B$3:$B$5001,$A$190)))</f>
        <v/>
      </c>
      <c r="X209" s="247" t="str">
        <f>IF(X$3="","",IF(COUNTIFS(BD!$A$3:$A$5001,X$3,BD!$B$3:$B$5001,$A$190,BD!$AH$3:$AH$5001,"&lt;&gt;")=0,"",SUMIFS(BD!$AH$3:$AH$5001,BD!$A$3:$A$5001,X$3,BD!$B$3:$B$5001,$A$190)))</f>
        <v/>
      </c>
      <c r="Y209" s="247" t="str">
        <f>IF(Y$3="","",IF(COUNTIFS(BD!$A$3:$A$5001,Y$3,BD!$B$3:$B$5001,$A$190,BD!$AH$3:$AH$5001,"&lt;&gt;")=0,"",SUMIFS(BD!$AH$3:$AH$5001,BD!$A$3:$A$5001,Y$3,BD!$B$3:$B$5001,$A$190)))</f>
        <v/>
      </c>
      <c r="Z209" s="247" t="str">
        <f>IF(Z$3="","",IF(COUNTIFS(BD!$A$3:$A$5001,Z$3,BD!$B$3:$B$5001,$A$190,BD!$AH$3:$AH$5001,"&lt;&gt;")=0,"",SUMIFS(BD!$AH$3:$AH$5001,BD!$A$3:$A$5001,Z$3,BD!$B$3:$B$5001,$A$190)))</f>
        <v/>
      </c>
      <c r="AA209" s="247" t="str">
        <f>IF(AA$3="","",IF(COUNTIFS(BD!$A$3:$A$5001,AA$3,BD!$B$3:$B$5001,$A$190,BD!$AH$3:$AH$5001,"&lt;&gt;")=0,"",SUMIFS(BD!$AH$3:$AH$5001,BD!$A$3:$A$5001,AA$3,BD!$B$3:$B$5001,$A$190)))</f>
        <v/>
      </c>
      <c r="AB209" s="247" t="str">
        <f>IF(AB$3="","",IF(COUNTIFS(BD!$A$3:$A$5001,AB$3,BD!$B$3:$B$5001,$A$190,BD!$AH$3:$AH$5001,"&lt;&gt;")=0,"",SUMIFS(BD!$AH$3:$AH$5001,BD!$A$3:$A$5001,AB$3,BD!$B$3:$B$5001,$A$190)))</f>
        <v/>
      </c>
      <c r="AC209" s="247" t="str">
        <f>IF(AC$3="","",IF(COUNTIFS(BD!$A$3:$A$5001,AC$3,BD!$B$3:$B$5001,$A$190,BD!$AH$3:$AH$5001,"&lt;&gt;")=0,"",SUMIFS(BD!$AH$3:$AH$5001,BD!$A$3:$A$5001,AC$3,BD!$B$3:$B$5001,$A$190)))</f>
        <v/>
      </c>
      <c r="AD209" s="247" t="str">
        <f>IF(AD$3="","",IF(COUNTIFS(BD!$A$3:$A$5001,AD$3,BD!$B$3:$B$5001,$A$190,BD!$AH$3:$AH$5001,"&lt;&gt;")=0,"",SUMIFS(BD!$AH$3:$AH$5001,BD!$A$3:$A$5001,AD$3,BD!$B$3:$B$5001,$A$190)))</f>
        <v/>
      </c>
      <c r="AE209" s="247" t="str">
        <f>IF(AE$3="","",IF(COUNTIFS(BD!$A$3:$A$5001,AE$3,BD!$B$3:$B$5001,$A$190,BD!$AH$3:$AH$5001,"&lt;&gt;")=0,"",SUMIFS(BD!$AH$3:$AH$5001,BD!$A$3:$A$5001,AE$3,BD!$B$3:$B$5001,$A$190)))</f>
        <v/>
      </c>
      <c r="AF209" s="247" t="str">
        <f>IF(AF$3="","",IF(COUNTIFS(BD!$A$3:$A$5001,AF$3,BD!$B$3:$B$5001,$A$190,BD!$AH$3:$AH$5001,"&lt;&gt;")=0,"",SUMIFS(BD!$AH$3:$AH$5001,BD!$A$3:$A$5001,AF$3,BD!$B$3:$B$5001,$A$190)))</f>
        <v/>
      </c>
      <c r="AG209" s="247" t="str">
        <f>IF(AG$3="","",IF(COUNTIFS(BD!$A$3:$A$5001,AG$3,BD!$B$3:$B$5001,$A$190,BD!$AH$3:$AH$5001,"&lt;&gt;")=0,"",SUMIFS(BD!$AH$3:$AH$5001,BD!$A$3:$A$5001,AG$3,BD!$B$3:$B$5001,$A$190)))</f>
        <v/>
      </c>
      <c r="AH209" s="247" t="str">
        <f>IF(AH$3="","",IF(COUNTIFS(BD!$A$3:$A$5001,AH$3,BD!$B$3:$B$5001,$A$190,BD!$AH$3:$AH$5001,"&lt;&gt;")=0,"",SUMIFS(BD!$AH$3:$AH$5001,BD!$A$3:$A$5001,AH$3,BD!$B$3:$B$5001,$A$190)))</f>
        <v/>
      </c>
      <c r="AI209" s="247" t="str">
        <f>IF(AI$3="","",IF(COUNTIFS(BD!$A$3:$A$5001,AI$3,BD!$B$3:$B$5001,$A$190,BD!$AH$3:$AH$5001,"&lt;&gt;")=0,"",SUMIFS(BD!$AH$3:$AH$5001,BD!$A$3:$A$5001,AI$3,BD!$B$3:$B$5001,$A$190)))</f>
        <v/>
      </c>
      <c r="AJ209" s="248" t="str">
        <f>IF(AJ$3="","",IF(COUNTIFS(BD!$A$3:$A$5001,AJ$3,BD!$B$3:$B$5001,$A$190,BD!$AH$3:$AH$5001,"&lt;&gt;")=0,"",SUMIFS(BD!$AH$3:$AH$5001,BD!$A$3:$A$5001,AJ$3,BD!$B$3:$B$5001,$A$190)))</f>
        <v/>
      </c>
      <c r="AK209" s="244" t="str">
        <f>IF(COUNT(F209:AJ209)=0,"",SUM(F209:AJ209))</f>
        <v/>
      </c>
    </row>
    <row r="211" ht="15.75" customHeight="1">
      <c r="A211" s="260" t="inlineStr">
        <is>
          <t xml:space="preserve">Vestas</t>
        </is>
      </c>
      <c r="B211" s="249" t="inlineStr">
        <is>
          <t xml:space="preserve">IN</t>
        </is>
      </c>
      <c r="C211" s="168" t="inlineStr">
        <is>
          <t xml:space="preserve">Veículos Recebidos</t>
        </is>
      </c>
      <c r="D211" s="169" t="str">
        <f>IFERROR(1/(1/INDEX(BD!$AL$23:$BF$23,MATCH($A$211,BD!$AL$22:$BF$22,0))),"")</f>
        <v/>
      </c>
      <c r="E211" s="170"/>
      <c r="F211" s="171" t="str">
        <f>IF(F$3="","",IF(COUNTIFS(BD!$A$3:$A$5001,F$3,BD!$B$3:$B$5001,$A$211,BD!$C$3:$C$5001,"&lt;&gt;")=0,"",SUMIFS(BD!$C$3:$C$5001,BD!$A$3:$A$5001,F$3,BD!$B$3:$B$5001,$A$211)))</f>
        <v/>
      </c>
      <c r="G211" s="172" t="str">
        <f>IF(G$3="","",IF(COUNTIFS(BD!$A$3:$A$5001,G$3,BD!$B$3:$B$5001,$A$211,BD!$C$3:$C$5001,"&lt;&gt;")=0,"",SUMIFS(BD!$C$3:$C$5001,BD!$A$3:$A$5001,G$3,BD!$B$3:$B$5001,$A$211)))</f>
        <v/>
      </c>
      <c r="H211" s="172" t="str">
        <f>IF(H$3="","",IF(COUNTIFS(BD!$A$3:$A$5001,H$3,BD!$B$3:$B$5001,$A$211,BD!$C$3:$C$5001,"&lt;&gt;")=0,"",SUMIFS(BD!$C$3:$C$5001,BD!$A$3:$A$5001,H$3,BD!$B$3:$B$5001,$A$211)))</f>
        <v/>
      </c>
      <c r="I211" s="172" t="str">
        <f>IF(I$3="","",IF(COUNTIFS(BD!$A$3:$A$5001,I$3,BD!$B$3:$B$5001,$A$211,BD!$C$3:$C$5001,"&lt;&gt;")=0,"",SUMIFS(BD!$C$3:$C$5001,BD!$A$3:$A$5001,I$3,BD!$B$3:$B$5001,$A$211)))</f>
        <v/>
      </c>
      <c r="J211" s="172" t="str">
        <f>IF(J$3="","",IF(COUNTIFS(BD!$A$3:$A$5001,J$3,BD!$B$3:$B$5001,$A$211,BD!$C$3:$C$5001,"&lt;&gt;")=0,"",SUMIFS(BD!$C$3:$C$5001,BD!$A$3:$A$5001,J$3,BD!$B$3:$B$5001,$A$211)))</f>
        <v/>
      </c>
      <c r="K211" s="172" t="str">
        <f>IF(K$3="","",IF(COUNTIFS(BD!$A$3:$A$5001,K$3,BD!$B$3:$B$5001,$A$211,BD!$C$3:$C$5001,"&lt;&gt;")=0,"",SUMIFS(BD!$C$3:$C$5001,BD!$A$3:$A$5001,K$3,BD!$B$3:$B$5001,$A$211)))</f>
        <v/>
      </c>
      <c r="L211" s="172" t="str">
        <f>IF(L$3="","",IF(COUNTIFS(BD!$A$3:$A$5001,L$3,BD!$B$3:$B$5001,$A$211,BD!$C$3:$C$5001,"&lt;&gt;")=0,"",SUMIFS(BD!$C$3:$C$5001,BD!$A$3:$A$5001,L$3,BD!$B$3:$B$5001,$A$211)))</f>
        <v/>
      </c>
      <c r="M211" s="172" t="str">
        <f>IF(M$3="","",IF(COUNTIFS(BD!$A$3:$A$5001,M$3,BD!$B$3:$B$5001,$A$211,BD!$C$3:$C$5001,"&lt;&gt;")=0,"",SUMIFS(BD!$C$3:$C$5001,BD!$A$3:$A$5001,M$3,BD!$B$3:$B$5001,$A$211)))</f>
        <v/>
      </c>
      <c r="N211" s="172" t="str">
        <f>IF(N$3="","",IF(COUNTIFS(BD!$A$3:$A$5001,N$3,BD!$B$3:$B$5001,$A$211,BD!$C$3:$C$5001,"&lt;&gt;")=0,"",SUMIFS(BD!$C$3:$C$5001,BD!$A$3:$A$5001,N$3,BD!$B$3:$B$5001,$A$211)))</f>
        <v/>
      </c>
      <c r="O211" s="172" t="str">
        <f>IF(O$3="","",IF(COUNTIFS(BD!$A$3:$A$5001,O$3,BD!$B$3:$B$5001,$A$211,BD!$C$3:$C$5001,"&lt;&gt;")=0,"",SUMIFS(BD!$C$3:$C$5001,BD!$A$3:$A$5001,O$3,BD!$B$3:$B$5001,$A$211)))</f>
        <v/>
      </c>
      <c r="P211" s="172" t="str">
        <f>IF(P$3="","",IF(COUNTIFS(BD!$A$3:$A$5001,P$3,BD!$B$3:$B$5001,$A$211,BD!$C$3:$C$5001,"&lt;&gt;")=0,"",SUMIFS(BD!$C$3:$C$5001,BD!$A$3:$A$5001,P$3,BD!$B$3:$B$5001,$A$211)))</f>
        <v/>
      </c>
      <c r="Q211" s="172" t="str">
        <f>IF(Q$3="","",IF(COUNTIFS(BD!$A$3:$A$5001,Q$3,BD!$B$3:$B$5001,$A$211,BD!$C$3:$C$5001,"&lt;&gt;")=0,"",SUMIFS(BD!$C$3:$C$5001,BD!$A$3:$A$5001,Q$3,BD!$B$3:$B$5001,$A$211)))</f>
        <v/>
      </c>
      <c r="R211" s="172" t="str">
        <f>IF(R$3="","",IF(COUNTIFS(BD!$A$3:$A$5001,R$3,BD!$B$3:$B$5001,$A$211,BD!$C$3:$C$5001,"&lt;&gt;")=0,"",SUMIFS(BD!$C$3:$C$5001,BD!$A$3:$A$5001,R$3,BD!$B$3:$B$5001,$A$211)))</f>
        <v/>
      </c>
      <c r="S211" s="172" t="str">
        <f>IF(S$3="","",IF(COUNTIFS(BD!$A$3:$A$5001,S$3,BD!$B$3:$B$5001,$A$211,BD!$C$3:$C$5001,"&lt;&gt;")=0,"",SUMIFS(BD!$C$3:$C$5001,BD!$A$3:$A$5001,S$3,BD!$B$3:$B$5001,$A$211)))</f>
        <v/>
      </c>
      <c r="T211" s="172" t="str">
        <f>IF(T$3="","",IF(COUNTIFS(BD!$A$3:$A$5001,T$3,BD!$B$3:$B$5001,$A$211,BD!$C$3:$C$5001,"&lt;&gt;")=0,"",SUMIFS(BD!$C$3:$C$5001,BD!$A$3:$A$5001,T$3,BD!$B$3:$B$5001,$A$211)))</f>
        <v/>
      </c>
      <c r="U211" s="172" t="str">
        <f>IF(U$3="","",IF(COUNTIFS(BD!$A$3:$A$5001,U$3,BD!$B$3:$B$5001,$A$211,BD!$C$3:$C$5001,"&lt;&gt;")=0,"",SUMIFS(BD!$C$3:$C$5001,BD!$A$3:$A$5001,U$3,BD!$B$3:$B$5001,$A$211)))</f>
        <v/>
      </c>
      <c r="V211" s="172" t="str">
        <f>IF(V$3="","",IF(COUNTIFS(BD!$A$3:$A$5001,V$3,BD!$B$3:$B$5001,$A$211,BD!$C$3:$C$5001,"&lt;&gt;")=0,"",SUMIFS(BD!$C$3:$C$5001,BD!$A$3:$A$5001,V$3,BD!$B$3:$B$5001,$A$211)))</f>
        <v/>
      </c>
      <c r="W211" s="172" t="str">
        <f>IF(W$3="","",IF(COUNTIFS(BD!$A$3:$A$5001,W$3,BD!$B$3:$B$5001,$A$211,BD!$C$3:$C$5001,"&lt;&gt;")=0,"",SUMIFS(BD!$C$3:$C$5001,BD!$A$3:$A$5001,W$3,BD!$B$3:$B$5001,$A$211)))</f>
        <v/>
      </c>
      <c r="X211" s="172" t="str">
        <f>IF(X$3="","",IF(COUNTIFS(BD!$A$3:$A$5001,X$3,BD!$B$3:$B$5001,$A$211,BD!$C$3:$C$5001,"&lt;&gt;")=0,"",SUMIFS(BD!$C$3:$C$5001,BD!$A$3:$A$5001,X$3,BD!$B$3:$B$5001,$A$211)))</f>
        <v/>
      </c>
      <c r="Y211" s="172" t="str">
        <f>IF(Y$3="","",IF(COUNTIFS(BD!$A$3:$A$5001,Y$3,BD!$B$3:$B$5001,$A$211,BD!$C$3:$C$5001,"&lt;&gt;")=0,"",SUMIFS(BD!$C$3:$C$5001,BD!$A$3:$A$5001,Y$3,BD!$B$3:$B$5001,$A$211)))</f>
        <v/>
      </c>
      <c r="Z211" s="172" t="str">
        <f>IF(Z$3="","",IF(COUNTIFS(BD!$A$3:$A$5001,Z$3,BD!$B$3:$B$5001,$A$211,BD!$C$3:$C$5001,"&lt;&gt;")=0,"",SUMIFS(BD!$C$3:$C$5001,BD!$A$3:$A$5001,Z$3,BD!$B$3:$B$5001,$A$211)))</f>
        <v/>
      </c>
      <c r="AA211" s="172" t="str">
        <f>IF(AA$3="","",IF(COUNTIFS(BD!$A$3:$A$5001,AA$3,BD!$B$3:$B$5001,$A$211,BD!$C$3:$C$5001,"&lt;&gt;")=0,"",SUMIFS(BD!$C$3:$C$5001,BD!$A$3:$A$5001,AA$3,BD!$B$3:$B$5001,$A$211)))</f>
        <v/>
      </c>
      <c r="AB211" s="172" t="str">
        <f>IF(AB$3="","",IF(COUNTIFS(BD!$A$3:$A$5001,AB$3,BD!$B$3:$B$5001,$A$211,BD!$C$3:$C$5001,"&lt;&gt;")=0,"",SUMIFS(BD!$C$3:$C$5001,BD!$A$3:$A$5001,AB$3,BD!$B$3:$B$5001,$A$211)))</f>
        <v/>
      </c>
      <c r="AC211" s="172" t="str">
        <f>IF(AC$3="","",IF(COUNTIFS(BD!$A$3:$A$5001,AC$3,BD!$B$3:$B$5001,$A$211,BD!$C$3:$C$5001,"&lt;&gt;")=0,"",SUMIFS(BD!$C$3:$C$5001,BD!$A$3:$A$5001,AC$3,BD!$B$3:$B$5001,$A$211)))</f>
        <v/>
      </c>
      <c r="AD211" s="172" t="str">
        <f>IF(AD$3="","",IF(COUNTIFS(BD!$A$3:$A$5001,AD$3,BD!$B$3:$B$5001,$A$211,BD!$C$3:$C$5001,"&lt;&gt;")=0,"",SUMIFS(BD!$C$3:$C$5001,BD!$A$3:$A$5001,AD$3,BD!$B$3:$B$5001,$A$211)))</f>
        <v/>
      </c>
      <c r="AE211" s="172" t="str">
        <f>IF(AE$3="","",IF(COUNTIFS(BD!$A$3:$A$5001,AE$3,BD!$B$3:$B$5001,$A$211,BD!$C$3:$C$5001,"&lt;&gt;")=0,"",SUMIFS(BD!$C$3:$C$5001,BD!$A$3:$A$5001,AE$3,BD!$B$3:$B$5001,$A$211)))</f>
        <v/>
      </c>
      <c r="AF211" s="172" t="str">
        <f>IF(AF$3="","",IF(COUNTIFS(BD!$A$3:$A$5001,AF$3,BD!$B$3:$B$5001,$A$211,BD!$C$3:$C$5001,"&lt;&gt;")=0,"",SUMIFS(BD!$C$3:$C$5001,BD!$A$3:$A$5001,AF$3,BD!$B$3:$B$5001,$A$211)))</f>
        <v/>
      </c>
      <c r="AG211" s="172" t="str">
        <f>IF(AG$3="","",IF(COUNTIFS(BD!$A$3:$A$5001,AG$3,BD!$B$3:$B$5001,$A$211,BD!$C$3:$C$5001,"&lt;&gt;")=0,"",SUMIFS(BD!$C$3:$C$5001,BD!$A$3:$A$5001,AG$3,BD!$B$3:$B$5001,$A$211)))</f>
        <v/>
      </c>
      <c r="AH211" s="172" t="str">
        <f>IF(AH$3="","",IF(COUNTIFS(BD!$A$3:$A$5001,AH$3,BD!$B$3:$B$5001,$A$211,BD!$C$3:$C$5001,"&lt;&gt;")=0,"",SUMIFS(BD!$C$3:$C$5001,BD!$A$3:$A$5001,AH$3,BD!$B$3:$B$5001,$A$211)))</f>
        <v/>
      </c>
      <c r="AI211" s="172" t="str">
        <f>IF(AI$3="","",IF(COUNTIFS(BD!$A$3:$A$5001,AI$3,BD!$B$3:$B$5001,$A$211,BD!$C$3:$C$5001,"&lt;&gt;")=0,"",SUMIFS(BD!$C$3:$C$5001,BD!$A$3:$A$5001,AI$3,BD!$B$3:$B$5001,$A$211)))</f>
        <v/>
      </c>
      <c r="AJ211" s="173" t="str">
        <f>IF(AJ$3="","",IF(COUNTIFS(BD!$A$3:$A$5001,AJ$3,BD!$B$3:$B$5001,$A$211,BD!$C$3:$C$5001,"&lt;&gt;")=0,"",SUMIFS(BD!$C$3:$C$5001,BD!$A$3:$A$5001,AJ$3,BD!$B$3:$B$5001,$A$211)))</f>
        <v/>
      </c>
      <c r="AK211" s="174" t="str">
        <f>IF(COUNT(F211:AJ211)=0,"",SUM(F211:AJ211))</f>
        <v/>
      </c>
    </row>
    <row r="212" ht="15.75" customHeight="1">
      <c r="A212" s="261"/>
      <c r="B212" s="250"/>
      <c r="C212" s="175" t="inlineStr">
        <is>
          <t xml:space="preserve">Linhas NF</t>
        </is>
      </c>
      <c r="D212" s="176" t="str">
        <f>IFERROR(1/(1/INDEX(BD!$AL$26:$BF$26,MATCH($A$211,BD!$AL$22:$BF$22,0))),"")</f>
        <v/>
      </c>
      <c r="E212" s="177"/>
      <c r="F212" s="178" t="str">
        <f>IF(F$3="","",IF(COUNTIFS(BD!$A$3:$A$5001,F$3,BD!$B$3:$B$5001,$A$211,BD!$F$3:$F$5001,"&lt;&gt;")=0,"",SUMIFS(BD!$F$3:$F$5001,BD!$A$3:$A$5001,F$3,BD!$B$3:$B$5001,$A$211)))</f>
        <v/>
      </c>
      <c r="G212" s="179" t="str">
        <f>IF(G$3="","",IF(COUNTIFS(BD!$A$3:$A$5001,G$3,BD!$B$3:$B$5001,$A$211,BD!$F$3:$F$5001,"&lt;&gt;")=0,"",SUMIFS(BD!$F$3:$F$5001,BD!$A$3:$A$5001,G$3,BD!$B$3:$B$5001,$A$211)))</f>
        <v/>
      </c>
      <c r="H212" s="179" t="str">
        <f>IF(H$3="","",IF(COUNTIFS(BD!$A$3:$A$5001,H$3,BD!$B$3:$B$5001,$A$211,BD!$F$3:$F$5001,"&lt;&gt;")=0,"",SUMIFS(BD!$F$3:$F$5001,BD!$A$3:$A$5001,H$3,BD!$B$3:$B$5001,$A$211)))</f>
        <v/>
      </c>
      <c r="I212" s="179" t="str">
        <f>IF(I$3="","",IF(COUNTIFS(BD!$A$3:$A$5001,I$3,BD!$B$3:$B$5001,$A$211,BD!$F$3:$F$5001,"&lt;&gt;")=0,"",SUMIFS(BD!$F$3:$F$5001,BD!$A$3:$A$5001,I$3,BD!$B$3:$B$5001,$A$211)))</f>
        <v/>
      </c>
      <c r="J212" s="179" t="str">
        <f>IF(J$3="","",IF(COUNTIFS(BD!$A$3:$A$5001,J$3,BD!$B$3:$B$5001,$A$211,BD!$F$3:$F$5001,"&lt;&gt;")=0,"",SUMIFS(BD!$F$3:$F$5001,BD!$A$3:$A$5001,J$3,BD!$B$3:$B$5001,$A$211)))</f>
        <v/>
      </c>
      <c r="K212" s="179" t="str">
        <f>IF(K$3="","",IF(COUNTIFS(BD!$A$3:$A$5001,K$3,BD!$B$3:$B$5001,$A$211,BD!$F$3:$F$5001,"&lt;&gt;")=0,"",SUMIFS(BD!$F$3:$F$5001,BD!$A$3:$A$5001,K$3,BD!$B$3:$B$5001,$A$211)))</f>
        <v/>
      </c>
      <c r="L212" s="179" t="str">
        <f>IF(L$3="","",IF(COUNTIFS(BD!$A$3:$A$5001,L$3,BD!$B$3:$B$5001,$A$211,BD!$F$3:$F$5001,"&lt;&gt;")=0,"",SUMIFS(BD!$F$3:$F$5001,BD!$A$3:$A$5001,L$3,BD!$B$3:$B$5001,$A$211)))</f>
        <v/>
      </c>
      <c r="M212" s="179" t="str">
        <f>IF(M$3="","",IF(COUNTIFS(BD!$A$3:$A$5001,M$3,BD!$B$3:$B$5001,$A$211,BD!$F$3:$F$5001,"&lt;&gt;")=0,"",SUMIFS(BD!$F$3:$F$5001,BD!$A$3:$A$5001,M$3,BD!$B$3:$B$5001,$A$211)))</f>
        <v/>
      </c>
      <c r="N212" s="179" t="str">
        <f>IF(N$3="","",IF(COUNTIFS(BD!$A$3:$A$5001,N$3,BD!$B$3:$B$5001,$A$211,BD!$F$3:$F$5001,"&lt;&gt;")=0,"",SUMIFS(BD!$F$3:$F$5001,BD!$A$3:$A$5001,N$3,BD!$B$3:$B$5001,$A$211)))</f>
        <v/>
      </c>
      <c r="O212" s="179" t="str">
        <f>IF(O$3="","",IF(COUNTIFS(BD!$A$3:$A$5001,O$3,BD!$B$3:$B$5001,$A$211,BD!$F$3:$F$5001,"&lt;&gt;")=0,"",SUMIFS(BD!$F$3:$F$5001,BD!$A$3:$A$5001,O$3,BD!$B$3:$B$5001,$A$211)))</f>
        <v/>
      </c>
      <c r="P212" s="179" t="str">
        <f>IF(P$3="","",IF(COUNTIFS(BD!$A$3:$A$5001,P$3,BD!$B$3:$B$5001,$A$211,BD!$F$3:$F$5001,"&lt;&gt;")=0,"",SUMIFS(BD!$F$3:$F$5001,BD!$A$3:$A$5001,P$3,BD!$B$3:$B$5001,$A$211)))</f>
        <v/>
      </c>
      <c r="Q212" s="179" t="str">
        <f>IF(Q$3="","",IF(COUNTIFS(BD!$A$3:$A$5001,Q$3,BD!$B$3:$B$5001,$A$211,BD!$F$3:$F$5001,"&lt;&gt;")=0,"",SUMIFS(BD!$F$3:$F$5001,BD!$A$3:$A$5001,Q$3,BD!$B$3:$B$5001,$A$211)))</f>
        <v/>
      </c>
      <c r="R212" s="179" t="str">
        <f>IF(R$3="","",IF(COUNTIFS(BD!$A$3:$A$5001,R$3,BD!$B$3:$B$5001,$A$211,BD!$F$3:$F$5001,"&lt;&gt;")=0,"",SUMIFS(BD!$F$3:$F$5001,BD!$A$3:$A$5001,R$3,BD!$B$3:$B$5001,$A$211)))</f>
        <v/>
      </c>
      <c r="S212" s="179" t="str">
        <f>IF(S$3="","",IF(COUNTIFS(BD!$A$3:$A$5001,S$3,BD!$B$3:$B$5001,$A$211,BD!$F$3:$F$5001,"&lt;&gt;")=0,"",SUMIFS(BD!$F$3:$F$5001,BD!$A$3:$A$5001,S$3,BD!$B$3:$B$5001,$A$211)))</f>
        <v/>
      </c>
      <c r="T212" s="179" t="str">
        <f>IF(T$3="","",IF(COUNTIFS(BD!$A$3:$A$5001,T$3,BD!$B$3:$B$5001,$A$211,BD!$F$3:$F$5001,"&lt;&gt;")=0,"",SUMIFS(BD!$F$3:$F$5001,BD!$A$3:$A$5001,T$3,BD!$B$3:$B$5001,$A$211)))</f>
        <v/>
      </c>
      <c r="U212" s="179" t="str">
        <f>IF(U$3="","",IF(COUNTIFS(BD!$A$3:$A$5001,U$3,BD!$B$3:$B$5001,$A$211,BD!$F$3:$F$5001,"&lt;&gt;")=0,"",SUMIFS(BD!$F$3:$F$5001,BD!$A$3:$A$5001,U$3,BD!$B$3:$B$5001,$A$211)))</f>
        <v/>
      </c>
      <c r="V212" s="179" t="str">
        <f>IF(V$3="","",IF(COUNTIFS(BD!$A$3:$A$5001,V$3,BD!$B$3:$B$5001,$A$211,BD!$F$3:$F$5001,"&lt;&gt;")=0,"",SUMIFS(BD!$F$3:$F$5001,BD!$A$3:$A$5001,V$3,BD!$B$3:$B$5001,$A$211)))</f>
        <v/>
      </c>
      <c r="W212" s="179" t="str">
        <f>IF(W$3="","",IF(COUNTIFS(BD!$A$3:$A$5001,W$3,BD!$B$3:$B$5001,$A$211,BD!$F$3:$F$5001,"&lt;&gt;")=0,"",SUMIFS(BD!$F$3:$F$5001,BD!$A$3:$A$5001,W$3,BD!$B$3:$B$5001,$A$211)))</f>
        <v/>
      </c>
      <c r="X212" s="179" t="str">
        <f>IF(X$3="","",IF(COUNTIFS(BD!$A$3:$A$5001,X$3,BD!$B$3:$B$5001,$A$211,BD!$F$3:$F$5001,"&lt;&gt;")=0,"",SUMIFS(BD!$F$3:$F$5001,BD!$A$3:$A$5001,X$3,BD!$B$3:$B$5001,$A$211)))</f>
        <v/>
      </c>
      <c r="Y212" s="179" t="str">
        <f>IF(Y$3="","",IF(COUNTIFS(BD!$A$3:$A$5001,Y$3,BD!$B$3:$B$5001,$A$211,BD!$F$3:$F$5001,"&lt;&gt;")=0,"",SUMIFS(BD!$F$3:$F$5001,BD!$A$3:$A$5001,Y$3,BD!$B$3:$B$5001,$A$211)))</f>
        <v/>
      </c>
      <c r="Z212" s="179" t="str">
        <f>IF(Z$3="","",IF(COUNTIFS(BD!$A$3:$A$5001,Z$3,BD!$B$3:$B$5001,$A$211,BD!$F$3:$F$5001,"&lt;&gt;")=0,"",SUMIFS(BD!$F$3:$F$5001,BD!$A$3:$A$5001,Z$3,BD!$B$3:$B$5001,$A$211)))</f>
        <v/>
      </c>
      <c r="AA212" s="179" t="str">
        <f>IF(AA$3="","",IF(COUNTIFS(BD!$A$3:$A$5001,AA$3,BD!$B$3:$B$5001,$A$211,BD!$F$3:$F$5001,"&lt;&gt;")=0,"",SUMIFS(BD!$F$3:$F$5001,BD!$A$3:$A$5001,AA$3,BD!$B$3:$B$5001,$A$211)))</f>
        <v/>
      </c>
      <c r="AB212" s="179" t="str">
        <f>IF(AB$3="","",IF(COUNTIFS(BD!$A$3:$A$5001,AB$3,BD!$B$3:$B$5001,$A$211,BD!$F$3:$F$5001,"&lt;&gt;")=0,"",SUMIFS(BD!$F$3:$F$5001,BD!$A$3:$A$5001,AB$3,BD!$B$3:$B$5001,$A$211)))</f>
        <v/>
      </c>
      <c r="AC212" s="179" t="str">
        <f>IF(AC$3="","",IF(COUNTIFS(BD!$A$3:$A$5001,AC$3,BD!$B$3:$B$5001,$A$211,BD!$F$3:$F$5001,"&lt;&gt;")=0,"",SUMIFS(BD!$F$3:$F$5001,BD!$A$3:$A$5001,AC$3,BD!$B$3:$B$5001,$A$211)))</f>
        <v/>
      </c>
      <c r="AD212" s="179" t="str">
        <f>IF(AD$3="","",IF(COUNTIFS(BD!$A$3:$A$5001,AD$3,BD!$B$3:$B$5001,$A$211,BD!$F$3:$F$5001,"&lt;&gt;")=0,"",SUMIFS(BD!$F$3:$F$5001,BD!$A$3:$A$5001,AD$3,BD!$B$3:$B$5001,$A$211)))</f>
        <v/>
      </c>
      <c r="AE212" s="179" t="str">
        <f>IF(AE$3="","",IF(COUNTIFS(BD!$A$3:$A$5001,AE$3,BD!$B$3:$B$5001,$A$211,BD!$F$3:$F$5001,"&lt;&gt;")=0,"",SUMIFS(BD!$F$3:$F$5001,BD!$A$3:$A$5001,AE$3,BD!$B$3:$B$5001,$A$211)))</f>
        <v/>
      </c>
      <c r="AF212" s="179" t="str">
        <f>IF(AF$3="","",IF(COUNTIFS(BD!$A$3:$A$5001,AF$3,BD!$B$3:$B$5001,$A$211,BD!$F$3:$F$5001,"&lt;&gt;")=0,"",SUMIFS(BD!$F$3:$F$5001,BD!$A$3:$A$5001,AF$3,BD!$B$3:$B$5001,$A$211)))</f>
        <v/>
      </c>
      <c r="AG212" s="179" t="str">
        <f>IF(AG$3="","",IF(COUNTIFS(BD!$A$3:$A$5001,AG$3,BD!$B$3:$B$5001,$A$211,BD!$F$3:$F$5001,"&lt;&gt;")=0,"",SUMIFS(BD!$F$3:$F$5001,BD!$A$3:$A$5001,AG$3,BD!$B$3:$B$5001,$A$211)))</f>
        <v/>
      </c>
      <c r="AH212" s="179" t="str">
        <f>IF(AH$3="","",IF(COUNTIFS(BD!$A$3:$A$5001,AH$3,BD!$B$3:$B$5001,$A$211,BD!$F$3:$F$5001,"&lt;&gt;")=0,"",SUMIFS(BD!$F$3:$F$5001,BD!$A$3:$A$5001,AH$3,BD!$B$3:$B$5001,$A$211)))</f>
        <v/>
      </c>
      <c r="AI212" s="179" t="str">
        <f>IF(AI$3="","",IF(COUNTIFS(BD!$A$3:$A$5001,AI$3,BD!$B$3:$B$5001,$A$211,BD!$F$3:$F$5001,"&lt;&gt;")=0,"",SUMIFS(BD!$F$3:$F$5001,BD!$A$3:$A$5001,AI$3,BD!$B$3:$B$5001,$A$211)))</f>
        <v/>
      </c>
      <c r="AJ212" s="180" t="str">
        <f>IF(AJ$3="","",IF(COUNTIFS(BD!$A$3:$A$5001,AJ$3,BD!$B$3:$B$5001,$A$211,BD!$F$3:$F$5001,"&lt;&gt;")=0,"",SUMIFS(BD!$F$3:$F$5001,BD!$A$3:$A$5001,AJ$3,BD!$B$3:$B$5001,$A$211)))</f>
        <v/>
      </c>
      <c r="AK212" s="176" t="str">
        <f>IF(COUNT(F212:AJ212)=0,"",SUM(F212:AJ212))</f>
        <v/>
      </c>
    </row>
    <row r="213" ht="15.75" customHeight="1">
      <c r="A213" s="261"/>
      <c r="B213" s="251" t="inlineStr">
        <is>
          <t xml:space="preserve">OUT</t>
        </is>
      </c>
      <c r="C213" s="181" t="inlineStr">
        <is>
          <t xml:space="preserve">Veículos Expedidos</t>
        </is>
      </c>
      <c r="D213" s="182" t="str">
        <f>IFERROR(1/(1/INDEX(BD!$AL$32:$BF$32,MATCH($A$211,BD!$AL$22:$BF$22,0))),"")</f>
        <v/>
      </c>
      <c r="E213" s="183"/>
      <c r="F213" s="184" t="str">
        <f>IF(F$3="","",IF(COUNTIFS(BD!$A$3:$A$5001,F$3,BD!$B$3:$B$5001,$A$211,BD!$L$3:$L$5001,"&lt;&gt;")=0,"",SUMIFS(BD!$L$3:$L$5001,BD!$A$3:$A$5001,F$3,BD!$B$3:$B$5001,$A$211)))</f>
        <v/>
      </c>
      <c r="G213" s="185" t="str">
        <f>IF(G$3="","",IF(COUNTIFS(BD!$A$3:$A$5001,G$3,BD!$B$3:$B$5001,$A$211,BD!$L$3:$L$5001,"&lt;&gt;")=0,"",SUMIFS(BD!$L$3:$L$5001,BD!$A$3:$A$5001,G$3,BD!$B$3:$B$5001,$A$211)))</f>
        <v/>
      </c>
      <c r="H213" s="185" t="str">
        <f>IF(H$3="","",IF(COUNTIFS(BD!$A$3:$A$5001,H$3,BD!$B$3:$B$5001,$A$211,BD!$L$3:$L$5001,"&lt;&gt;")=0,"",SUMIFS(BD!$L$3:$L$5001,BD!$A$3:$A$5001,H$3,BD!$B$3:$B$5001,$A$211)))</f>
        <v/>
      </c>
      <c r="I213" s="185" t="str">
        <f>IF(I$3="","",IF(COUNTIFS(BD!$A$3:$A$5001,I$3,BD!$B$3:$B$5001,$A$211,BD!$L$3:$L$5001,"&lt;&gt;")=0,"",SUMIFS(BD!$L$3:$L$5001,BD!$A$3:$A$5001,I$3,BD!$B$3:$B$5001,$A$211)))</f>
        <v/>
      </c>
      <c r="J213" s="185" t="str">
        <f>IF(J$3="","",IF(COUNTIFS(BD!$A$3:$A$5001,J$3,BD!$B$3:$B$5001,$A$211,BD!$L$3:$L$5001,"&lt;&gt;")=0,"",SUMIFS(BD!$L$3:$L$5001,BD!$A$3:$A$5001,J$3,BD!$B$3:$B$5001,$A$211)))</f>
        <v/>
      </c>
      <c r="K213" s="185" t="str">
        <f>IF(K$3="","",IF(COUNTIFS(BD!$A$3:$A$5001,K$3,BD!$B$3:$B$5001,$A$211,BD!$L$3:$L$5001,"&lt;&gt;")=0,"",SUMIFS(BD!$L$3:$L$5001,BD!$A$3:$A$5001,K$3,BD!$B$3:$B$5001,$A$211)))</f>
        <v/>
      </c>
      <c r="L213" s="185" t="str">
        <f>IF(L$3="","",IF(COUNTIFS(BD!$A$3:$A$5001,L$3,BD!$B$3:$B$5001,$A$211,BD!$L$3:$L$5001,"&lt;&gt;")=0,"",SUMIFS(BD!$L$3:$L$5001,BD!$A$3:$A$5001,L$3,BD!$B$3:$B$5001,$A$211)))</f>
        <v/>
      </c>
      <c r="M213" s="185" t="str">
        <f>IF(M$3="","",IF(COUNTIFS(BD!$A$3:$A$5001,M$3,BD!$B$3:$B$5001,$A$211,BD!$L$3:$L$5001,"&lt;&gt;")=0,"",SUMIFS(BD!$L$3:$L$5001,BD!$A$3:$A$5001,M$3,BD!$B$3:$B$5001,$A$211)))</f>
        <v/>
      </c>
      <c r="N213" s="185" t="str">
        <f>IF(N$3="","",IF(COUNTIFS(BD!$A$3:$A$5001,N$3,BD!$B$3:$B$5001,$A$211,BD!$L$3:$L$5001,"&lt;&gt;")=0,"",SUMIFS(BD!$L$3:$L$5001,BD!$A$3:$A$5001,N$3,BD!$B$3:$B$5001,$A$211)))</f>
        <v/>
      </c>
      <c r="O213" s="185" t="str">
        <f>IF(O$3="","",IF(COUNTIFS(BD!$A$3:$A$5001,O$3,BD!$B$3:$B$5001,$A$211,BD!$L$3:$L$5001,"&lt;&gt;")=0,"",SUMIFS(BD!$L$3:$L$5001,BD!$A$3:$A$5001,O$3,BD!$B$3:$B$5001,$A$211)))</f>
        <v/>
      </c>
      <c r="P213" s="185" t="str">
        <f>IF(P$3="","",IF(COUNTIFS(BD!$A$3:$A$5001,P$3,BD!$B$3:$B$5001,$A$211,BD!$L$3:$L$5001,"&lt;&gt;")=0,"",SUMIFS(BD!$L$3:$L$5001,BD!$A$3:$A$5001,P$3,BD!$B$3:$B$5001,$A$211)))</f>
        <v/>
      </c>
      <c r="Q213" s="185" t="str">
        <f>IF(Q$3="","",IF(COUNTIFS(BD!$A$3:$A$5001,Q$3,BD!$B$3:$B$5001,$A$211,BD!$L$3:$L$5001,"&lt;&gt;")=0,"",SUMIFS(BD!$L$3:$L$5001,BD!$A$3:$A$5001,Q$3,BD!$B$3:$B$5001,$A$211)))</f>
        <v/>
      </c>
      <c r="R213" s="185" t="str">
        <f>IF(R$3="","",IF(COUNTIFS(BD!$A$3:$A$5001,R$3,BD!$B$3:$B$5001,$A$211,BD!$L$3:$L$5001,"&lt;&gt;")=0,"",SUMIFS(BD!$L$3:$L$5001,BD!$A$3:$A$5001,R$3,BD!$B$3:$B$5001,$A$211)))</f>
        <v/>
      </c>
      <c r="S213" s="185" t="str">
        <f>IF(S$3="","",IF(COUNTIFS(BD!$A$3:$A$5001,S$3,BD!$B$3:$B$5001,$A$211,BD!$L$3:$L$5001,"&lt;&gt;")=0,"",SUMIFS(BD!$L$3:$L$5001,BD!$A$3:$A$5001,S$3,BD!$B$3:$B$5001,$A$211)))</f>
        <v/>
      </c>
      <c r="T213" s="185" t="str">
        <f>IF(T$3="","",IF(COUNTIFS(BD!$A$3:$A$5001,T$3,BD!$B$3:$B$5001,$A$211,BD!$L$3:$L$5001,"&lt;&gt;")=0,"",SUMIFS(BD!$L$3:$L$5001,BD!$A$3:$A$5001,T$3,BD!$B$3:$B$5001,$A$211)))</f>
        <v/>
      </c>
      <c r="U213" s="185" t="str">
        <f>IF(U$3="","",IF(COUNTIFS(BD!$A$3:$A$5001,U$3,BD!$B$3:$B$5001,$A$211,BD!$L$3:$L$5001,"&lt;&gt;")=0,"",SUMIFS(BD!$L$3:$L$5001,BD!$A$3:$A$5001,U$3,BD!$B$3:$B$5001,$A$211)))</f>
        <v/>
      </c>
      <c r="V213" s="185" t="str">
        <f>IF(V$3="","",IF(COUNTIFS(BD!$A$3:$A$5001,V$3,BD!$B$3:$B$5001,$A$211,BD!$L$3:$L$5001,"&lt;&gt;")=0,"",SUMIFS(BD!$L$3:$L$5001,BD!$A$3:$A$5001,V$3,BD!$B$3:$B$5001,$A$211)))</f>
        <v/>
      </c>
      <c r="W213" s="185" t="str">
        <f>IF(W$3="","",IF(COUNTIFS(BD!$A$3:$A$5001,W$3,BD!$B$3:$B$5001,$A$211,BD!$L$3:$L$5001,"&lt;&gt;")=0,"",SUMIFS(BD!$L$3:$L$5001,BD!$A$3:$A$5001,W$3,BD!$B$3:$B$5001,$A$211)))</f>
        <v/>
      </c>
      <c r="X213" s="185" t="str">
        <f>IF(X$3="","",IF(COUNTIFS(BD!$A$3:$A$5001,X$3,BD!$B$3:$B$5001,$A$211,BD!$L$3:$L$5001,"&lt;&gt;")=0,"",SUMIFS(BD!$L$3:$L$5001,BD!$A$3:$A$5001,X$3,BD!$B$3:$B$5001,$A$211)))</f>
        <v/>
      </c>
      <c r="Y213" s="185" t="str">
        <f>IF(Y$3="","",IF(COUNTIFS(BD!$A$3:$A$5001,Y$3,BD!$B$3:$B$5001,$A$211,BD!$L$3:$L$5001,"&lt;&gt;")=0,"",SUMIFS(BD!$L$3:$L$5001,BD!$A$3:$A$5001,Y$3,BD!$B$3:$B$5001,$A$211)))</f>
        <v/>
      </c>
      <c r="Z213" s="185" t="str">
        <f>IF(Z$3="","",IF(COUNTIFS(BD!$A$3:$A$5001,Z$3,BD!$B$3:$B$5001,$A$211,BD!$L$3:$L$5001,"&lt;&gt;")=0,"",SUMIFS(BD!$L$3:$L$5001,BD!$A$3:$A$5001,Z$3,BD!$B$3:$B$5001,$A$211)))</f>
        <v/>
      </c>
      <c r="AA213" s="185" t="str">
        <f>IF(AA$3="","",IF(COUNTIFS(BD!$A$3:$A$5001,AA$3,BD!$B$3:$B$5001,$A$211,BD!$L$3:$L$5001,"&lt;&gt;")=0,"",SUMIFS(BD!$L$3:$L$5001,BD!$A$3:$A$5001,AA$3,BD!$B$3:$B$5001,$A$211)))</f>
        <v/>
      </c>
      <c r="AB213" s="185" t="str">
        <f>IF(AB$3="","",IF(COUNTIFS(BD!$A$3:$A$5001,AB$3,BD!$B$3:$B$5001,$A$211,BD!$L$3:$L$5001,"&lt;&gt;")=0,"",SUMIFS(BD!$L$3:$L$5001,BD!$A$3:$A$5001,AB$3,BD!$B$3:$B$5001,$A$211)))</f>
        <v/>
      </c>
      <c r="AC213" s="185" t="str">
        <f>IF(AC$3="","",IF(COUNTIFS(BD!$A$3:$A$5001,AC$3,BD!$B$3:$B$5001,$A$211,BD!$L$3:$L$5001,"&lt;&gt;")=0,"",SUMIFS(BD!$L$3:$L$5001,BD!$A$3:$A$5001,AC$3,BD!$B$3:$B$5001,$A$211)))</f>
        <v/>
      </c>
      <c r="AD213" s="185" t="str">
        <f>IF(AD$3="","",IF(COUNTIFS(BD!$A$3:$A$5001,AD$3,BD!$B$3:$B$5001,$A$211,BD!$L$3:$L$5001,"&lt;&gt;")=0,"",SUMIFS(BD!$L$3:$L$5001,BD!$A$3:$A$5001,AD$3,BD!$B$3:$B$5001,$A$211)))</f>
        <v/>
      </c>
      <c r="AE213" s="185" t="str">
        <f>IF(AE$3="","",IF(COUNTIFS(BD!$A$3:$A$5001,AE$3,BD!$B$3:$B$5001,$A$211,BD!$L$3:$L$5001,"&lt;&gt;")=0,"",SUMIFS(BD!$L$3:$L$5001,BD!$A$3:$A$5001,AE$3,BD!$B$3:$B$5001,$A$211)))</f>
        <v/>
      </c>
      <c r="AF213" s="185" t="str">
        <f>IF(AF$3="","",IF(COUNTIFS(BD!$A$3:$A$5001,AF$3,BD!$B$3:$B$5001,$A$211,BD!$L$3:$L$5001,"&lt;&gt;")=0,"",SUMIFS(BD!$L$3:$L$5001,BD!$A$3:$A$5001,AF$3,BD!$B$3:$B$5001,$A$211)))</f>
        <v/>
      </c>
      <c r="AG213" s="185" t="str">
        <f>IF(AG$3="","",IF(COUNTIFS(BD!$A$3:$A$5001,AG$3,BD!$B$3:$B$5001,$A$211,BD!$L$3:$L$5001,"&lt;&gt;")=0,"",SUMIFS(BD!$L$3:$L$5001,BD!$A$3:$A$5001,AG$3,BD!$B$3:$B$5001,$A$211)))</f>
        <v/>
      </c>
      <c r="AH213" s="185" t="str">
        <f>IF(AH$3="","",IF(COUNTIFS(BD!$A$3:$A$5001,AH$3,BD!$B$3:$B$5001,$A$211,BD!$L$3:$L$5001,"&lt;&gt;")=0,"",SUMIFS(BD!$L$3:$L$5001,BD!$A$3:$A$5001,AH$3,BD!$B$3:$B$5001,$A$211)))</f>
        <v/>
      </c>
      <c r="AI213" s="185" t="str">
        <f>IF(AI$3="","",IF(COUNTIFS(BD!$A$3:$A$5001,AI$3,BD!$B$3:$B$5001,$A$211,BD!$L$3:$L$5001,"&lt;&gt;")=0,"",SUMIFS(BD!$L$3:$L$5001,BD!$A$3:$A$5001,AI$3,BD!$B$3:$B$5001,$A$211)))</f>
        <v/>
      </c>
      <c r="AJ213" s="186" t="str">
        <f>IF(AJ$3="","",IF(COUNTIFS(BD!$A$3:$A$5001,AJ$3,BD!$B$3:$B$5001,$A$211,BD!$L$3:$L$5001,"&lt;&gt;")=0,"",SUMIFS(BD!$L$3:$L$5001,BD!$A$3:$A$5001,AJ$3,BD!$B$3:$B$5001,$A$211)))</f>
        <v/>
      </c>
      <c r="AK213" s="187" t="str">
        <f>IF(COUNT(F213:AJ213)=0,"",SUM(F213:AJ213))</f>
        <v/>
      </c>
    </row>
    <row r="214" ht="15.75" customHeight="1">
      <c r="A214" s="261"/>
      <c r="B214" s="252"/>
      <c r="C214" s="188" t="inlineStr">
        <is>
          <t xml:space="preserve">Linhas NF</t>
        </is>
      </c>
      <c r="D214" s="189" t="str">
        <f>IFERROR(1/(1/INDEX(BD!$AL$36:$BF$36,MATCH($A$211,BD!$AL$22:$BF$22,0))),"")</f>
        <v/>
      </c>
      <c r="E214" s="190"/>
      <c r="F214" s="191" t="str">
        <f>IF(F$3="","",IF(COUNTIFS(BD!$A$3:$A$5001,F$3,BD!$B$3:$B$5001,$A$211,BD!$P$3:$P$5001,"&lt;&gt;")=0,"",SUMIFS(BD!$P$3:$P$5001,BD!$A$3:$A$5001,F$3,BD!$B$3:$B$5001,$A$211)))</f>
        <v/>
      </c>
      <c r="G214" s="192" t="str">
        <f>IF(G$3="","",IF(COUNTIFS(BD!$A$3:$A$5001,G$3,BD!$B$3:$B$5001,$A$211,BD!$P$3:$P$5001,"&lt;&gt;")=0,"",SUMIFS(BD!$P$3:$P$5001,BD!$A$3:$A$5001,G$3,BD!$B$3:$B$5001,$A$211)))</f>
        <v/>
      </c>
      <c r="H214" s="192" t="str">
        <f>IF(H$3="","",IF(COUNTIFS(BD!$A$3:$A$5001,H$3,BD!$B$3:$B$5001,$A$211,BD!$P$3:$P$5001,"&lt;&gt;")=0,"",SUMIFS(BD!$P$3:$P$5001,BD!$A$3:$A$5001,H$3,BD!$B$3:$B$5001,$A$211)))</f>
        <v/>
      </c>
      <c r="I214" s="192" t="str">
        <f>IF(I$3="","",IF(COUNTIFS(BD!$A$3:$A$5001,I$3,BD!$B$3:$B$5001,$A$211,BD!$P$3:$P$5001,"&lt;&gt;")=0,"",SUMIFS(BD!$P$3:$P$5001,BD!$A$3:$A$5001,I$3,BD!$B$3:$B$5001,$A$211)))</f>
        <v/>
      </c>
      <c r="J214" s="192" t="str">
        <f>IF(J$3="","",IF(COUNTIFS(BD!$A$3:$A$5001,J$3,BD!$B$3:$B$5001,$A$211,BD!$P$3:$P$5001,"&lt;&gt;")=0,"",SUMIFS(BD!$P$3:$P$5001,BD!$A$3:$A$5001,J$3,BD!$B$3:$B$5001,$A$211)))</f>
        <v/>
      </c>
      <c r="K214" s="192" t="str">
        <f>IF(K$3="","",IF(COUNTIFS(BD!$A$3:$A$5001,K$3,BD!$B$3:$B$5001,$A$211,BD!$P$3:$P$5001,"&lt;&gt;")=0,"",SUMIFS(BD!$P$3:$P$5001,BD!$A$3:$A$5001,K$3,BD!$B$3:$B$5001,$A$211)))</f>
        <v/>
      </c>
      <c r="L214" s="192" t="str">
        <f>IF(L$3="","",IF(COUNTIFS(BD!$A$3:$A$5001,L$3,BD!$B$3:$B$5001,$A$211,BD!$P$3:$P$5001,"&lt;&gt;")=0,"",SUMIFS(BD!$P$3:$P$5001,BD!$A$3:$A$5001,L$3,BD!$B$3:$B$5001,$A$211)))</f>
        <v/>
      </c>
      <c r="M214" s="192" t="str">
        <f>IF(M$3="","",IF(COUNTIFS(BD!$A$3:$A$5001,M$3,BD!$B$3:$B$5001,$A$211,BD!$P$3:$P$5001,"&lt;&gt;")=0,"",SUMIFS(BD!$P$3:$P$5001,BD!$A$3:$A$5001,M$3,BD!$B$3:$B$5001,$A$211)))</f>
        <v/>
      </c>
      <c r="N214" s="192" t="str">
        <f>IF(N$3="","",IF(COUNTIFS(BD!$A$3:$A$5001,N$3,BD!$B$3:$B$5001,$A$211,BD!$P$3:$P$5001,"&lt;&gt;")=0,"",SUMIFS(BD!$P$3:$P$5001,BD!$A$3:$A$5001,N$3,BD!$B$3:$B$5001,$A$211)))</f>
        <v/>
      </c>
      <c r="O214" s="192" t="str">
        <f>IF(O$3="","",IF(COUNTIFS(BD!$A$3:$A$5001,O$3,BD!$B$3:$B$5001,$A$211,BD!$P$3:$P$5001,"&lt;&gt;")=0,"",SUMIFS(BD!$P$3:$P$5001,BD!$A$3:$A$5001,O$3,BD!$B$3:$B$5001,$A$211)))</f>
        <v/>
      </c>
      <c r="P214" s="192" t="str">
        <f>IF(P$3="","",IF(COUNTIFS(BD!$A$3:$A$5001,P$3,BD!$B$3:$B$5001,$A$211,BD!$P$3:$P$5001,"&lt;&gt;")=0,"",SUMIFS(BD!$P$3:$P$5001,BD!$A$3:$A$5001,P$3,BD!$B$3:$B$5001,$A$211)))</f>
        <v/>
      </c>
      <c r="Q214" s="192" t="str">
        <f>IF(Q$3="","",IF(COUNTIFS(BD!$A$3:$A$5001,Q$3,BD!$B$3:$B$5001,$A$211,BD!$P$3:$P$5001,"&lt;&gt;")=0,"",SUMIFS(BD!$P$3:$P$5001,BD!$A$3:$A$5001,Q$3,BD!$B$3:$B$5001,$A$211)))</f>
        <v/>
      </c>
      <c r="R214" s="192" t="str">
        <f>IF(R$3="","",IF(COUNTIFS(BD!$A$3:$A$5001,R$3,BD!$B$3:$B$5001,$A$211,BD!$P$3:$P$5001,"&lt;&gt;")=0,"",SUMIFS(BD!$P$3:$P$5001,BD!$A$3:$A$5001,R$3,BD!$B$3:$B$5001,$A$211)))</f>
        <v/>
      </c>
      <c r="S214" s="192" t="str">
        <f>IF(S$3="","",IF(COUNTIFS(BD!$A$3:$A$5001,S$3,BD!$B$3:$B$5001,$A$211,BD!$P$3:$P$5001,"&lt;&gt;")=0,"",SUMIFS(BD!$P$3:$P$5001,BD!$A$3:$A$5001,S$3,BD!$B$3:$B$5001,$A$211)))</f>
        <v/>
      </c>
      <c r="T214" s="192" t="str">
        <f>IF(T$3="","",IF(COUNTIFS(BD!$A$3:$A$5001,T$3,BD!$B$3:$B$5001,$A$211,BD!$P$3:$P$5001,"&lt;&gt;")=0,"",SUMIFS(BD!$P$3:$P$5001,BD!$A$3:$A$5001,T$3,BD!$B$3:$B$5001,$A$211)))</f>
        <v/>
      </c>
      <c r="U214" s="192" t="str">
        <f>IF(U$3="","",IF(COUNTIFS(BD!$A$3:$A$5001,U$3,BD!$B$3:$B$5001,$A$211,BD!$P$3:$P$5001,"&lt;&gt;")=0,"",SUMIFS(BD!$P$3:$P$5001,BD!$A$3:$A$5001,U$3,BD!$B$3:$B$5001,$A$211)))</f>
        <v/>
      </c>
      <c r="V214" s="192" t="str">
        <f>IF(V$3="","",IF(COUNTIFS(BD!$A$3:$A$5001,V$3,BD!$B$3:$B$5001,$A$211,BD!$P$3:$P$5001,"&lt;&gt;")=0,"",SUMIFS(BD!$P$3:$P$5001,BD!$A$3:$A$5001,V$3,BD!$B$3:$B$5001,$A$211)))</f>
        <v/>
      </c>
      <c r="W214" s="192" t="str">
        <f>IF(W$3="","",IF(COUNTIFS(BD!$A$3:$A$5001,W$3,BD!$B$3:$B$5001,$A$211,BD!$P$3:$P$5001,"&lt;&gt;")=0,"",SUMIFS(BD!$P$3:$P$5001,BD!$A$3:$A$5001,W$3,BD!$B$3:$B$5001,$A$211)))</f>
        <v/>
      </c>
      <c r="X214" s="192" t="str">
        <f>IF(X$3="","",IF(COUNTIFS(BD!$A$3:$A$5001,X$3,BD!$B$3:$B$5001,$A$211,BD!$P$3:$P$5001,"&lt;&gt;")=0,"",SUMIFS(BD!$P$3:$P$5001,BD!$A$3:$A$5001,X$3,BD!$B$3:$B$5001,$A$211)))</f>
        <v/>
      </c>
      <c r="Y214" s="192" t="str">
        <f>IF(Y$3="","",IF(COUNTIFS(BD!$A$3:$A$5001,Y$3,BD!$B$3:$B$5001,$A$211,BD!$P$3:$P$5001,"&lt;&gt;")=0,"",SUMIFS(BD!$P$3:$P$5001,BD!$A$3:$A$5001,Y$3,BD!$B$3:$B$5001,$A$211)))</f>
        <v/>
      </c>
      <c r="Z214" s="192" t="str">
        <f>IF(Z$3="","",IF(COUNTIFS(BD!$A$3:$A$5001,Z$3,BD!$B$3:$B$5001,$A$211,BD!$P$3:$P$5001,"&lt;&gt;")=0,"",SUMIFS(BD!$P$3:$P$5001,BD!$A$3:$A$5001,Z$3,BD!$B$3:$B$5001,$A$211)))</f>
        <v/>
      </c>
      <c r="AA214" s="192" t="str">
        <f>IF(AA$3="","",IF(COUNTIFS(BD!$A$3:$A$5001,AA$3,BD!$B$3:$B$5001,$A$211,BD!$P$3:$P$5001,"&lt;&gt;")=0,"",SUMIFS(BD!$P$3:$P$5001,BD!$A$3:$A$5001,AA$3,BD!$B$3:$B$5001,$A$211)))</f>
        <v/>
      </c>
      <c r="AB214" s="192" t="str">
        <f>IF(AB$3="","",IF(COUNTIFS(BD!$A$3:$A$5001,AB$3,BD!$B$3:$B$5001,$A$211,BD!$P$3:$P$5001,"&lt;&gt;")=0,"",SUMIFS(BD!$P$3:$P$5001,BD!$A$3:$A$5001,AB$3,BD!$B$3:$B$5001,$A$211)))</f>
        <v/>
      </c>
      <c r="AC214" s="192" t="str">
        <f>IF(AC$3="","",IF(COUNTIFS(BD!$A$3:$A$5001,AC$3,BD!$B$3:$B$5001,$A$211,BD!$P$3:$P$5001,"&lt;&gt;")=0,"",SUMIFS(BD!$P$3:$P$5001,BD!$A$3:$A$5001,AC$3,BD!$B$3:$B$5001,$A$211)))</f>
        <v/>
      </c>
      <c r="AD214" s="192" t="str">
        <f>IF(AD$3="","",IF(COUNTIFS(BD!$A$3:$A$5001,AD$3,BD!$B$3:$B$5001,$A$211,BD!$P$3:$P$5001,"&lt;&gt;")=0,"",SUMIFS(BD!$P$3:$P$5001,BD!$A$3:$A$5001,AD$3,BD!$B$3:$B$5001,$A$211)))</f>
        <v/>
      </c>
      <c r="AE214" s="192" t="str">
        <f>IF(AE$3="","",IF(COUNTIFS(BD!$A$3:$A$5001,AE$3,BD!$B$3:$B$5001,$A$211,BD!$P$3:$P$5001,"&lt;&gt;")=0,"",SUMIFS(BD!$P$3:$P$5001,BD!$A$3:$A$5001,AE$3,BD!$B$3:$B$5001,$A$211)))</f>
        <v/>
      </c>
      <c r="AF214" s="192" t="str">
        <f>IF(AF$3="","",IF(COUNTIFS(BD!$A$3:$A$5001,AF$3,BD!$B$3:$B$5001,$A$211,BD!$P$3:$P$5001,"&lt;&gt;")=0,"",SUMIFS(BD!$P$3:$P$5001,BD!$A$3:$A$5001,AF$3,BD!$B$3:$B$5001,$A$211)))</f>
        <v/>
      </c>
      <c r="AG214" s="192" t="str">
        <f>IF(AG$3="","",IF(COUNTIFS(BD!$A$3:$A$5001,AG$3,BD!$B$3:$B$5001,$A$211,BD!$P$3:$P$5001,"&lt;&gt;")=0,"",SUMIFS(BD!$P$3:$P$5001,BD!$A$3:$A$5001,AG$3,BD!$B$3:$B$5001,$A$211)))</f>
        <v/>
      </c>
      <c r="AH214" s="192" t="str">
        <f>IF(AH$3="","",IF(COUNTIFS(BD!$A$3:$A$5001,AH$3,BD!$B$3:$B$5001,$A$211,BD!$P$3:$P$5001,"&lt;&gt;")=0,"",SUMIFS(BD!$P$3:$P$5001,BD!$A$3:$A$5001,AH$3,BD!$B$3:$B$5001,$A$211)))</f>
        <v/>
      </c>
      <c r="AI214" s="192" t="str">
        <f>IF(AI$3="","",IF(COUNTIFS(BD!$A$3:$A$5001,AI$3,BD!$B$3:$B$5001,$A$211,BD!$P$3:$P$5001,"&lt;&gt;")=0,"",SUMIFS(BD!$P$3:$P$5001,BD!$A$3:$A$5001,AI$3,BD!$B$3:$B$5001,$A$211)))</f>
        <v/>
      </c>
      <c r="AJ214" s="193" t="str">
        <f>IF(AJ$3="","",IF(COUNTIFS(BD!$A$3:$A$5001,AJ$3,BD!$B$3:$B$5001,$A$211,BD!$P$3:$P$5001,"&lt;&gt;")=0,"",SUMIFS(BD!$P$3:$P$5001,BD!$A$3:$A$5001,AJ$3,BD!$B$3:$B$5001,$A$211)))</f>
        <v/>
      </c>
      <c r="AK214" s="189" t="str">
        <f>IF(COUNT(F214:AJ214)=0,"",SUM(F214:AJ214))</f>
        <v/>
      </c>
    </row>
    <row r="215" ht="15.75" customHeight="1">
      <c r="A215" s="261"/>
      <c r="B215" s="253" t="inlineStr">
        <is>
          <t xml:space="preserve">NC</t>
        </is>
      </c>
      <c r="C215" s="194" t="inlineStr">
        <is>
          <t xml:space="preserve">Incidentes</t>
        </is>
      </c>
      <c r="D215" s="195" t="str">
        <f>IFERROR(1/(1/INDEX(BD!$AL$40:$BF$40,MATCH($A$211,BD!$AL$22:$BF$22,0))),"")</f>
        <v/>
      </c>
      <c r="E215" s="196"/>
      <c r="F215" s="197" t="str">
        <f>IF(F$3="","",IF(COUNTIFS(BD!$A$3:$A$5001,F$3,BD!$B$3:$B$5001,$A$211,BD!$T$3:$T$5001,"&lt;&gt;")=0,"",SUMIFS(BD!$T$3:$T$5001,BD!$A$3:$A$5001,F$3,BD!$B$3:$B$5001,$A$211)))</f>
        <v/>
      </c>
      <c r="G215" s="198" t="str">
        <f>IF(G$3="","",IF(COUNTIFS(BD!$A$3:$A$5001,G$3,BD!$B$3:$B$5001,$A$211,BD!$T$3:$T$5001,"&lt;&gt;")=0,"",SUMIFS(BD!$T$3:$T$5001,BD!$A$3:$A$5001,G$3,BD!$B$3:$B$5001,$A$211)))</f>
        <v/>
      </c>
      <c r="H215" s="198" t="str">
        <f>IF(H$3="","",IF(COUNTIFS(BD!$A$3:$A$5001,H$3,BD!$B$3:$B$5001,$A$211,BD!$T$3:$T$5001,"&lt;&gt;")=0,"",SUMIFS(BD!$T$3:$T$5001,BD!$A$3:$A$5001,H$3,BD!$B$3:$B$5001,$A$211)))</f>
        <v/>
      </c>
      <c r="I215" s="198" t="str">
        <f>IF(I$3="","",IF(COUNTIFS(BD!$A$3:$A$5001,I$3,BD!$B$3:$B$5001,$A$211,BD!$T$3:$T$5001,"&lt;&gt;")=0,"",SUMIFS(BD!$T$3:$T$5001,BD!$A$3:$A$5001,I$3,BD!$B$3:$B$5001,$A$211)))</f>
        <v/>
      </c>
      <c r="J215" s="198" t="str">
        <f>IF(J$3="","",IF(COUNTIFS(BD!$A$3:$A$5001,J$3,BD!$B$3:$B$5001,$A$211,BD!$T$3:$T$5001,"&lt;&gt;")=0,"",SUMIFS(BD!$T$3:$T$5001,BD!$A$3:$A$5001,J$3,BD!$B$3:$B$5001,$A$211)))</f>
        <v/>
      </c>
      <c r="K215" s="198" t="str">
        <f>IF(K$3="","",IF(COUNTIFS(BD!$A$3:$A$5001,K$3,BD!$B$3:$B$5001,$A$211,BD!$T$3:$T$5001,"&lt;&gt;")=0,"",SUMIFS(BD!$T$3:$T$5001,BD!$A$3:$A$5001,K$3,BD!$B$3:$B$5001,$A$211)))</f>
        <v/>
      </c>
      <c r="L215" s="198" t="str">
        <f>IF(L$3="","",IF(COUNTIFS(BD!$A$3:$A$5001,L$3,BD!$B$3:$B$5001,$A$211,BD!$T$3:$T$5001,"&lt;&gt;")=0,"",SUMIFS(BD!$T$3:$T$5001,BD!$A$3:$A$5001,L$3,BD!$B$3:$B$5001,$A$211)))</f>
        <v/>
      </c>
      <c r="M215" s="198" t="str">
        <f>IF(M$3="","",IF(COUNTIFS(BD!$A$3:$A$5001,M$3,BD!$B$3:$B$5001,$A$211,BD!$T$3:$T$5001,"&lt;&gt;")=0,"",SUMIFS(BD!$T$3:$T$5001,BD!$A$3:$A$5001,M$3,BD!$B$3:$B$5001,$A$211)))</f>
        <v/>
      </c>
      <c r="N215" s="198" t="str">
        <f>IF(N$3="","",IF(COUNTIFS(BD!$A$3:$A$5001,N$3,BD!$B$3:$B$5001,$A$211,BD!$T$3:$T$5001,"&lt;&gt;")=0,"",SUMIFS(BD!$T$3:$T$5001,BD!$A$3:$A$5001,N$3,BD!$B$3:$B$5001,$A$211)))</f>
        <v/>
      </c>
      <c r="O215" s="198" t="str">
        <f>IF(O$3="","",IF(COUNTIFS(BD!$A$3:$A$5001,O$3,BD!$B$3:$B$5001,$A$211,BD!$T$3:$T$5001,"&lt;&gt;")=0,"",SUMIFS(BD!$T$3:$T$5001,BD!$A$3:$A$5001,O$3,BD!$B$3:$B$5001,$A$211)))</f>
        <v/>
      </c>
      <c r="P215" s="198" t="str">
        <f>IF(P$3="","",IF(COUNTIFS(BD!$A$3:$A$5001,P$3,BD!$B$3:$B$5001,$A$211,BD!$T$3:$T$5001,"&lt;&gt;")=0,"",SUMIFS(BD!$T$3:$T$5001,BD!$A$3:$A$5001,P$3,BD!$B$3:$B$5001,$A$211)))</f>
        <v/>
      </c>
      <c r="Q215" s="198" t="str">
        <f>IF(Q$3="","",IF(COUNTIFS(BD!$A$3:$A$5001,Q$3,BD!$B$3:$B$5001,$A$211,BD!$T$3:$T$5001,"&lt;&gt;")=0,"",SUMIFS(BD!$T$3:$T$5001,BD!$A$3:$A$5001,Q$3,BD!$B$3:$B$5001,$A$211)))</f>
        <v/>
      </c>
      <c r="R215" s="198" t="str">
        <f>IF(R$3="","",IF(COUNTIFS(BD!$A$3:$A$5001,R$3,BD!$B$3:$B$5001,$A$211,BD!$T$3:$T$5001,"&lt;&gt;")=0,"",SUMIFS(BD!$T$3:$T$5001,BD!$A$3:$A$5001,R$3,BD!$B$3:$B$5001,$A$211)))</f>
        <v/>
      </c>
      <c r="S215" s="198" t="str">
        <f>IF(S$3="","",IF(COUNTIFS(BD!$A$3:$A$5001,S$3,BD!$B$3:$B$5001,$A$211,BD!$T$3:$T$5001,"&lt;&gt;")=0,"",SUMIFS(BD!$T$3:$T$5001,BD!$A$3:$A$5001,S$3,BD!$B$3:$B$5001,$A$211)))</f>
        <v/>
      </c>
      <c r="T215" s="198" t="str">
        <f>IF(T$3="","",IF(COUNTIFS(BD!$A$3:$A$5001,T$3,BD!$B$3:$B$5001,$A$211,BD!$T$3:$T$5001,"&lt;&gt;")=0,"",SUMIFS(BD!$T$3:$T$5001,BD!$A$3:$A$5001,T$3,BD!$B$3:$B$5001,$A$211)))</f>
        <v/>
      </c>
      <c r="U215" s="198" t="str">
        <f>IF(U$3="","",IF(COUNTIFS(BD!$A$3:$A$5001,U$3,BD!$B$3:$B$5001,$A$211,BD!$T$3:$T$5001,"&lt;&gt;")=0,"",SUMIFS(BD!$T$3:$T$5001,BD!$A$3:$A$5001,U$3,BD!$B$3:$B$5001,$A$211)))</f>
        <v/>
      </c>
      <c r="V215" s="198" t="str">
        <f>IF(V$3="","",IF(COUNTIFS(BD!$A$3:$A$5001,V$3,BD!$B$3:$B$5001,$A$211,BD!$T$3:$T$5001,"&lt;&gt;")=0,"",SUMIFS(BD!$T$3:$T$5001,BD!$A$3:$A$5001,V$3,BD!$B$3:$B$5001,$A$211)))</f>
        <v/>
      </c>
      <c r="W215" s="198" t="str">
        <f>IF(W$3="","",IF(COUNTIFS(BD!$A$3:$A$5001,W$3,BD!$B$3:$B$5001,$A$211,BD!$T$3:$T$5001,"&lt;&gt;")=0,"",SUMIFS(BD!$T$3:$T$5001,BD!$A$3:$A$5001,W$3,BD!$B$3:$B$5001,$A$211)))</f>
        <v/>
      </c>
      <c r="X215" s="198" t="str">
        <f>IF(X$3="","",IF(COUNTIFS(BD!$A$3:$A$5001,X$3,BD!$B$3:$B$5001,$A$211,BD!$T$3:$T$5001,"&lt;&gt;")=0,"",SUMIFS(BD!$T$3:$T$5001,BD!$A$3:$A$5001,X$3,BD!$B$3:$B$5001,$A$211)))</f>
        <v/>
      </c>
      <c r="Y215" s="198" t="str">
        <f>IF(Y$3="","",IF(COUNTIFS(BD!$A$3:$A$5001,Y$3,BD!$B$3:$B$5001,$A$211,BD!$T$3:$T$5001,"&lt;&gt;")=0,"",SUMIFS(BD!$T$3:$T$5001,BD!$A$3:$A$5001,Y$3,BD!$B$3:$B$5001,$A$211)))</f>
        <v/>
      </c>
      <c r="Z215" s="198" t="str">
        <f>IF(Z$3="","",IF(COUNTIFS(BD!$A$3:$A$5001,Z$3,BD!$B$3:$B$5001,$A$211,BD!$T$3:$T$5001,"&lt;&gt;")=0,"",SUMIFS(BD!$T$3:$T$5001,BD!$A$3:$A$5001,Z$3,BD!$B$3:$B$5001,$A$211)))</f>
        <v/>
      </c>
      <c r="AA215" s="198" t="str">
        <f>IF(AA$3="","",IF(COUNTIFS(BD!$A$3:$A$5001,AA$3,BD!$B$3:$B$5001,$A$211,BD!$T$3:$T$5001,"&lt;&gt;")=0,"",SUMIFS(BD!$T$3:$T$5001,BD!$A$3:$A$5001,AA$3,BD!$B$3:$B$5001,$A$211)))</f>
        <v/>
      </c>
      <c r="AB215" s="198" t="str">
        <f>IF(AB$3="","",IF(COUNTIFS(BD!$A$3:$A$5001,AB$3,BD!$B$3:$B$5001,$A$211,BD!$T$3:$T$5001,"&lt;&gt;")=0,"",SUMIFS(BD!$T$3:$T$5001,BD!$A$3:$A$5001,AB$3,BD!$B$3:$B$5001,$A$211)))</f>
        <v/>
      </c>
      <c r="AC215" s="198" t="str">
        <f>IF(AC$3="","",IF(COUNTIFS(BD!$A$3:$A$5001,AC$3,BD!$B$3:$B$5001,$A$211,BD!$T$3:$T$5001,"&lt;&gt;")=0,"",SUMIFS(BD!$T$3:$T$5001,BD!$A$3:$A$5001,AC$3,BD!$B$3:$B$5001,$A$211)))</f>
        <v/>
      </c>
      <c r="AD215" s="198" t="str">
        <f>IF(AD$3="","",IF(COUNTIFS(BD!$A$3:$A$5001,AD$3,BD!$B$3:$B$5001,$A$211,BD!$T$3:$T$5001,"&lt;&gt;")=0,"",SUMIFS(BD!$T$3:$T$5001,BD!$A$3:$A$5001,AD$3,BD!$B$3:$B$5001,$A$211)))</f>
        <v/>
      </c>
      <c r="AE215" s="198" t="str">
        <f>IF(AE$3="","",IF(COUNTIFS(BD!$A$3:$A$5001,AE$3,BD!$B$3:$B$5001,$A$211,BD!$T$3:$T$5001,"&lt;&gt;")=0,"",SUMIFS(BD!$T$3:$T$5001,BD!$A$3:$A$5001,AE$3,BD!$B$3:$B$5001,$A$211)))</f>
        <v/>
      </c>
      <c r="AF215" s="198" t="str">
        <f>IF(AF$3="","",IF(COUNTIFS(BD!$A$3:$A$5001,AF$3,BD!$B$3:$B$5001,$A$211,BD!$T$3:$T$5001,"&lt;&gt;")=0,"",SUMIFS(BD!$T$3:$T$5001,BD!$A$3:$A$5001,AF$3,BD!$B$3:$B$5001,$A$211)))</f>
        <v/>
      </c>
      <c r="AG215" s="198" t="str">
        <f>IF(AG$3="","",IF(COUNTIFS(BD!$A$3:$A$5001,AG$3,BD!$B$3:$B$5001,$A$211,BD!$T$3:$T$5001,"&lt;&gt;")=0,"",SUMIFS(BD!$T$3:$T$5001,BD!$A$3:$A$5001,AG$3,BD!$B$3:$B$5001,$A$211)))</f>
        <v/>
      </c>
      <c r="AH215" s="198" t="str">
        <f>IF(AH$3="","",IF(COUNTIFS(BD!$A$3:$A$5001,AH$3,BD!$B$3:$B$5001,$A$211,BD!$T$3:$T$5001,"&lt;&gt;")=0,"",SUMIFS(BD!$T$3:$T$5001,BD!$A$3:$A$5001,AH$3,BD!$B$3:$B$5001,$A$211)))</f>
        <v/>
      </c>
      <c r="AI215" s="198" t="str">
        <f>IF(AI$3="","",IF(COUNTIFS(BD!$A$3:$A$5001,AI$3,BD!$B$3:$B$5001,$A$211,BD!$T$3:$T$5001,"&lt;&gt;")=0,"",SUMIFS(BD!$T$3:$T$5001,BD!$A$3:$A$5001,AI$3,BD!$B$3:$B$5001,$A$211)))</f>
        <v/>
      </c>
      <c r="AJ215" s="199" t="str">
        <f>IF(AJ$3="","",IF(COUNTIFS(BD!$A$3:$A$5001,AJ$3,BD!$B$3:$B$5001,$A$211,BD!$T$3:$T$5001,"&lt;&gt;")=0,"",SUMIFS(BD!$T$3:$T$5001,BD!$A$3:$A$5001,AJ$3,BD!$B$3:$B$5001,$A$211)))</f>
        <v/>
      </c>
      <c r="AK215" s="200" t="str">
        <f>IF(COUNT(F215:AJ215)=0,"",SUM(F215:AJ215))</f>
        <v/>
      </c>
    </row>
    <row r="216" ht="15.75" customHeight="1">
      <c r="A216" s="261"/>
      <c r="B216" s="254"/>
      <c r="C216" s="201" t="inlineStr">
        <is>
          <t xml:space="preserve">No show</t>
        </is>
      </c>
      <c r="D216" s="202" t="str">
        <f>IFERROR(1/(1/INDEX(BD!$AL$41:$BF$41,MATCH($A$211,BD!$AL$22:$BF$22,0))),"")</f>
        <v/>
      </c>
      <c r="E216" s="203"/>
      <c r="F216" s="204" t="str">
        <f>IF(F$3="","",IF(COUNTIFS(BD!$A$3:$A$5001,F$3,BD!$B$3:$B$5001,$A$211,BD!$U$3:$U$5001,"&lt;&gt;")=0,"",SUMIFS(BD!$U$3:$U$5001,BD!$A$3:$A$5001,F$3,BD!$B$3:$B$5001,$A$211)))</f>
        <v/>
      </c>
      <c r="G216" s="205" t="str">
        <f>IF(G$3="","",IF(COUNTIFS(BD!$A$3:$A$5001,G$3,BD!$B$3:$B$5001,$A$211,BD!$U$3:$U$5001,"&lt;&gt;")=0,"",SUMIFS(BD!$U$3:$U$5001,BD!$A$3:$A$5001,G$3,BD!$B$3:$B$5001,$A$211)))</f>
        <v/>
      </c>
      <c r="H216" s="205" t="str">
        <f>IF(H$3="","",IF(COUNTIFS(BD!$A$3:$A$5001,H$3,BD!$B$3:$B$5001,$A$211,BD!$U$3:$U$5001,"&lt;&gt;")=0,"",SUMIFS(BD!$U$3:$U$5001,BD!$A$3:$A$5001,H$3,BD!$B$3:$B$5001,$A$211)))</f>
        <v/>
      </c>
      <c r="I216" s="205" t="str">
        <f>IF(I$3="","",IF(COUNTIFS(BD!$A$3:$A$5001,I$3,BD!$B$3:$B$5001,$A$211,BD!$U$3:$U$5001,"&lt;&gt;")=0,"",SUMIFS(BD!$U$3:$U$5001,BD!$A$3:$A$5001,I$3,BD!$B$3:$B$5001,$A$211)))</f>
        <v/>
      </c>
      <c r="J216" s="205" t="str">
        <f>IF(J$3="","",IF(COUNTIFS(BD!$A$3:$A$5001,J$3,BD!$B$3:$B$5001,$A$211,BD!$U$3:$U$5001,"&lt;&gt;")=0,"",SUMIFS(BD!$U$3:$U$5001,BD!$A$3:$A$5001,J$3,BD!$B$3:$B$5001,$A$211)))</f>
        <v/>
      </c>
      <c r="K216" s="205" t="str">
        <f>IF(K$3="","",IF(COUNTIFS(BD!$A$3:$A$5001,K$3,BD!$B$3:$B$5001,$A$211,BD!$U$3:$U$5001,"&lt;&gt;")=0,"",SUMIFS(BD!$U$3:$U$5001,BD!$A$3:$A$5001,K$3,BD!$B$3:$B$5001,$A$211)))</f>
        <v/>
      </c>
      <c r="L216" s="205" t="str">
        <f>IF(L$3="","",IF(COUNTIFS(BD!$A$3:$A$5001,L$3,BD!$B$3:$B$5001,$A$211,BD!$U$3:$U$5001,"&lt;&gt;")=0,"",SUMIFS(BD!$U$3:$U$5001,BD!$A$3:$A$5001,L$3,BD!$B$3:$B$5001,$A$211)))</f>
        <v/>
      </c>
      <c r="M216" s="205" t="str">
        <f>IF(M$3="","",IF(COUNTIFS(BD!$A$3:$A$5001,M$3,BD!$B$3:$B$5001,$A$211,BD!$U$3:$U$5001,"&lt;&gt;")=0,"",SUMIFS(BD!$U$3:$U$5001,BD!$A$3:$A$5001,M$3,BD!$B$3:$B$5001,$A$211)))</f>
        <v/>
      </c>
      <c r="N216" s="205" t="str">
        <f>IF(N$3="","",IF(COUNTIFS(BD!$A$3:$A$5001,N$3,BD!$B$3:$B$5001,$A$211,BD!$U$3:$U$5001,"&lt;&gt;")=0,"",SUMIFS(BD!$U$3:$U$5001,BD!$A$3:$A$5001,N$3,BD!$B$3:$B$5001,$A$211)))</f>
        <v/>
      </c>
      <c r="O216" s="205" t="str">
        <f>IF(O$3="","",IF(COUNTIFS(BD!$A$3:$A$5001,O$3,BD!$B$3:$B$5001,$A$211,BD!$U$3:$U$5001,"&lt;&gt;")=0,"",SUMIFS(BD!$U$3:$U$5001,BD!$A$3:$A$5001,O$3,BD!$B$3:$B$5001,$A$211)))</f>
        <v/>
      </c>
      <c r="P216" s="205" t="str">
        <f>IF(P$3="","",IF(COUNTIFS(BD!$A$3:$A$5001,P$3,BD!$B$3:$B$5001,$A$211,BD!$U$3:$U$5001,"&lt;&gt;")=0,"",SUMIFS(BD!$U$3:$U$5001,BD!$A$3:$A$5001,P$3,BD!$B$3:$B$5001,$A$211)))</f>
        <v/>
      </c>
      <c r="Q216" s="205" t="str">
        <f>IF(Q$3="","",IF(COUNTIFS(BD!$A$3:$A$5001,Q$3,BD!$B$3:$B$5001,$A$211,BD!$U$3:$U$5001,"&lt;&gt;")=0,"",SUMIFS(BD!$U$3:$U$5001,BD!$A$3:$A$5001,Q$3,BD!$B$3:$B$5001,$A$211)))</f>
        <v/>
      </c>
      <c r="R216" s="205" t="str">
        <f>IF(R$3="","",IF(COUNTIFS(BD!$A$3:$A$5001,R$3,BD!$B$3:$B$5001,$A$211,BD!$U$3:$U$5001,"&lt;&gt;")=0,"",SUMIFS(BD!$U$3:$U$5001,BD!$A$3:$A$5001,R$3,BD!$B$3:$B$5001,$A$211)))</f>
        <v/>
      </c>
      <c r="S216" s="205" t="str">
        <f>IF(S$3="","",IF(COUNTIFS(BD!$A$3:$A$5001,S$3,BD!$B$3:$B$5001,$A$211,BD!$U$3:$U$5001,"&lt;&gt;")=0,"",SUMIFS(BD!$U$3:$U$5001,BD!$A$3:$A$5001,S$3,BD!$B$3:$B$5001,$A$211)))</f>
        <v/>
      </c>
      <c r="T216" s="205" t="str">
        <f>IF(T$3="","",IF(COUNTIFS(BD!$A$3:$A$5001,T$3,BD!$B$3:$B$5001,$A$211,BD!$U$3:$U$5001,"&lt;&gt;")=0,"",SUMIFS(BD!$U$3:$U$5001,BD!$A$3:$A$5001,T$3,BD!$B$3:$B$5001,$A$211)))</f>
        <v/>
      </c>
      <c r="U216" s="205" t="str">
        <f>IF(U$3="","",IF(COUNTIFS(BD!$A$3:$A$5001,U$3,BD!$B$3:$B$5001,$A$211,BD!$U$3:$U$5001,"&lt;&gt;")=0,"",SUMIFS(BD!$U$3:$U$5001,BD!$A$3:$A$5001,U$3,BD!$B$3:$B$5001,$A$211)))</f>
        <v/>
      </c>
      <c r="V216" s="205" t="str">
        <f>IF(V$3="","",IF(COUNTIFS(BD!$A$3:$A$5001,V$3,BD!$B$3:$B$5001,$A$211,BD!$U$3:$U$5001,"&lt;&gt;")=0,"",SUMIFS(BD!$U$3:$U$5001,BD!$A$3:$A$5001,V$3,BD!$B$3:$B$5001,$A$211)))</f>
        <v/>
      </c>
      <c r="W216" s="205" t="str">
        <f>IF(W$3="","",IF(COUNTIFS(BD!$A$3:$A$5001,W$3,BD!$B$3:$B$5001,$A$211,BD!$U$3:$U$5001,"&lt;&gt;")=0,"",SUMIFS(BD!$U$3:$U$5001,BD!$A$3:$A$5001,W$3,BD!$B$3:$B$5001,$A$211)))</f>
        <v/>
      </c>
      <c r="X216" s="205" t="str">
        <f>IF(X$3="","",IF(COUNTIFS(BD!$A$3:$A$5001,X$3,BD!$B$3:$B$5001,$A$211,BD!$U$3:$U$5001,"&lt;&gt;")=0,"",SUMIFS(BD!$U$3:$U$5001,BD!$A$3:$A$5001,X$3,BD!$B$3:$B$5001,$A$211)))</f>
        <v/>
      </c>
      <c r="Y216" s="205" t="str">
        <f>IF(Y$3="","",IF(COUNTIFS(BD!$A$3:$A$5001,Y$3,BD!$B$3:$B$5001,$A$211,BD!$U$3:$U$5001,"&lt;&gt;")=0,"",SUMIFS(BD!$U$3:$U$5001,BD!$A$3:$A$5001,Y$3,BD!$B$3:$B$5001,$A$211)))</f>
        <v/>
      </c>
      <c r="Z216" s="205" t="str">
        <f>IF(Z$3="","",IF(COUNTIFS(BD!$A$3:$A$5001,Z$3,BD!$B$3:$B$5001,$A$211,BD!$U$3:$U$5001,"&lt;&gt;")=0,"",SUMIFS(BD!$U$3:$U$5001,BD!$A$3:$A$5001,Z$3,BD!$B$3:$B$5001,$A$211)))</f>
        <v/>
      </c>
      <c r="AA216" s="205" t="str">
        <f>IF(AA$3="","",IF(COUNTIFS(BD!$A$3:$A$5001,AA$3,BD!$B$3:$B$5001,$A$211,BD!$U$3:$U$5001,"&lt;&gt;")=0,"",SUMIFS(BD!$U$3:$U$5001,BD!$A$3:$A$5001,AA$3,BD!$B$3:$B$5001,$A$211)))</f>
        <v/>
      </c>
      <c r="AB216" s="205" t="str">
        <f>IF(AB$3="","",IF(COUNTIFS(BD!$A$3:$A$5001,AB$3,BD!$B$3:$B$5001,$A$211,BD!$U$3:$U$5001,"&lt;&gt;")=0,"",SUMIFS(BD!$U$3:$U$5001,BD!$A$3:$A$5001,AB$3,BD!$B$3:$B$5001,$A$211)))</f>
        <v/>
      </c>
      <c r="AC216" s="205" t="str">
        <f>IF(AC$3="","",IF(COUNTIFS(BD!$A$3:$A$5001,AC$3,BD!$B$3:$B$5001,$A$211,BD!$U$3:$U$5001,"&lt;&gt;")=0,"",SUMIFS(BD!$U$3:$U$5001,BD!$A$3:$A$5001,AC$3,BD!$B$3:$B$5001,$A$211)))</f>
        <v/>
      </c>
      <c r="AD216" s="205" t="str">
        <f>IF(AD$3="","",IF(COUNTIFS(BD!$A$3:$A$5001,AD$3,BD!$B$3:$B$5001,$A$211,BD!$U$3:$U$5001,"&lt;&gt;")=0,"",SUMIFS(BD!$U$3:$U$5001,BD!$A$3:$A$5001,AD$3,BD!$B$3:$B$5001,$A$211)))</f>
        <v/>
      </c>
      <c r="AE216" s="205" t="str">
        <f>IF(AE$3="","",IF(COUNTIFS(BD!$A$3:$A$5001,AE$3,BD!$B$3:$B$5001,$A$211,BD!$U$3:$U$5001,"&lt;&gt;")=0,"",SUMIFS(BD!$U$3:$U$5001,BD!$A$3:$A$5001,AE$3,BD!$B$3:$B$5001,$A$211)))</f>
        <v/>
      </c>
      <c r="AF216" s="205" t="str">
        <f>IF(AF$3="","",IF(COUNTIFS(BD!$A$3:$A$5001,AF$3,BD!$B$3:$B$5001,$A$211,BD!$U$3:$U$5001,"&lt;&gt;")=0,"",SUMIFS(BD!$U$3:$U$5001,BD!$A$3:$A$5001,AF$3,BD!$B$3:$B$5001,$A$211)))</f>
        <v/>
      </c>
      <c r="AG216" s="205" t="str">
        <f>IF(AG$3="","",IF(COUNTIFS(BD!$A$3:$A$5001,AG$3,BD!$B$3:$B$5001,$A$211,BD!$U$3:$U$5001,"&lt;&gt;")=0,"",SUMIFS(BD!$U$3:$U$5001,BD!$A$3:$A$5001,AG$3,BD!$B$3:$B$5001,$A$211)))</f>
        <v/>
      </c>
      <c r="AH216" s="205" t="str">
        <f>IF(AH$3="","",IF(COUNTIFS(BD!$A$3:$A$5001,AH$3,BD!$B$3:$B$5001,$A$211,BD!$U$3:$U$5001,"&lt;&gt;")=0,"",SUMIFS(BD!$U$3:$U$5001,BD!$A$3:$A$5001,AH$3,BD!$B$3:$B$5001,$A$211)))</f>
        <v/>
      </c>
      <c r="AI216" s="205" t="str">
        <f>IF(AI$3="","",IF(COUNTIFS(BD!$A$3:$A$5001,AI$3,BD!$B$3:$B$5001,$A$211,BD!$U$3:$U$5001,"&lt;&gt;")=0,"",SUMIFS(BD!$U$3:$U$5001,BD!$A$3:$A$5001,AI$3,BD!$B$3:$B$5001,$A$211)))</f>
        <v/>
      </c>
      <c r="AJ216" s="206" t="str">
        <f>IF(AJ$3="","",IF(COUNTIFS(BD!$A$3:$A$5001,AJ$3,BD!$B$3:$B$5001,$A$211,BD!$U$3:$U$5001,"&lt;&gt;")=0,"",SUMIFS(BD!$U$3:$U$5001,BD!$A$3:$A$5001,AJ$3,BD!$B$3:$B$5001,$A$211)))</f>
        <v/>
      </c>
      <c r="AK216" s="207" t="str">
        <f>IF(COUNT(F216:AJ216)=0,"",SUM(F216:AJ216))</f>
        <v/>
      </c>
    </row>
    <row r="217" ht="15.75" customHeight="1">
      <c r="A217" s="261"/>
      <c r="B217" s="254"/>
      <c r="C217" s="201" t="inlineStr">
        <is>
          <t xml:space="preserve">Backlog Intralog</t>
        </is>
      </c>
      <c r="D217" s="202" t="str">
        <f>IFERROR(1/(1/INDEX(BD!$AL$42:$BF$42,MATCH($A$211,BD!$AL$22:$BF$22,0))),"")</f>
        <v/>
      </c>
      <c r="E217" s="203"/>
      <c r="F217" s="204" t="str">
        <f>IF(F$3="","",IF(COUNTIFS(BD!$A$3:$A$5001,F$3,BD!$B$3:$B$5001,$A$211,BD!$V$3:$V$5001,"&lt;&gt;")=0,"",SUMIFS(BD!$V$3:$V$5001,BD!$A$3:$A$5001,F$3,BD!$B$3:$B$5001,$A$211)))</f>
        <v/>
      </c>
      <c r="G217" s="205" t="str">
        <f>IF(G$3="","",IF(COUNTIFS(BD!$A$3:$A$5001,G$3,BD!$B$3:$B$5001,$A$211,BD!$V$3:$V$5001,"&lt;&gt;")=0,"",SUMIFS(BD!$V$3:$V$5001,BD!$A$3:$A$5001,G$3,BD!$B$3:$B$5001,$A$211)))</f>
        <v/>
      </c>
      <c r="H217" s="205" t="str">
        <f>IF(H$3="","",IF(COUNTIFS(BD!$A$3:$A$5001,H$3,BD!$B$3:$B$5001,$A$211,BD!$V$3:$V$5001,"&lt;&gt;")=0,"",SUMIFS(BD!$V$3:$V$5001,BD!$A$3:$A$5001,H$3,BD!$B$3:$B$5001,$A$211)))</f>
        <v/>
      </c>
      <c r="I217" s="205" t="str">
        <f>IF(I$3="","",IF(COUNTIFS(BD!$A$3:$A$5001,I$3,BD!$B$3:$B$5001,$A$211,BD!$V$3:$V$5001,"&lt;&gt;")=0,"",SUMIFS(BD!$V$3:$V$5001,BD!$A$3:$A$5001,I$3,BD!$B$3:$B$5001,$A$211)))</f>
        <v/>
      </c>
      <c r="J217" s="205" t="str">
        <f>IF(J$3="","",IF(COUNTIFS(BD!$A$3:$A$5001,J$3,BD!$B$3:$B$5001,$A$211,BD!$V$3:$V$5001,"&lt;&gt;")=0,"",SUMIFS(BD!$V$3:$V$5001,BD!$A$3:$A$5001,J$3,BD!$B$3:$B$5001,$A$211)))</f>
        <v/>
      </c>
      <c r="K217" s="205" t="str">
        <f>IF(K$3="","",IF(COUNTIFS(BD!$A$3:$A$5001,K$3,BD!$B$3:$B$5001,$A$211,BD!$V$3:$V$5001,"&lt;&gt;")=0,"",SUMIFS(BD!$V$3:$V$5001,BD!$A$3:$A$5001,K$3,BD!$B$3:$B$5001,$A$211)))</f>
        <v/>
      </c>
      <c r="L217" s="205" t="str">
        <f>IF(L$3="","",IF(COUNTIFS(BD!$A$3:$A$5001,L$3,BD!$B$3:$B$5001,$A$211,BD!$V$3:$V$5001,"&lt;&gt;")=0,"",SUMIFS(BD!$V$3:$V$5001,BD!$A$3:$A$5001,L$3,BD!$B$3:$B$5001,$A$211)))</f>
        <v/>
      </c>
      <c r="M217" s="205" t="str">
        <f>IF(M$3="","",IF(COUNTIFS(BD!$A$3:$A$5001,M$3,BD!$B$3:$B$5001,$A$211,BD!$V$3:$V$5001,"&lt;&gt;")=0,"",SUMIFS(BD!$V$3:$V$5001,BD!$A$3:$A$5001,M$3,BD!$B$3:$B$5001,$A$211)))</f>
        <v/>
      </c>
      <c r="N217" s="205" t="str">
        <f>IF(N$3="","",IF(COUNTIFS(BD!$A$3:$A$5001,N$3,BD!$B$3:$B$5001,$A$211,BD!$V$3:$V$5001,"&lt;&gt;")=0,"",SUMIFS(BD!$V$3:$V$5001,BD!$A$3:$A$5001,N$3,BD!$B$3:$B$5001,$A$211)))</f>
        <v/>
      </c>
      <c r="O217" s="205" t="str">
        <f>IF(O$3="","",IF(COUNTIFS(BD!$A$3:$A$5001,O$3,BD!$B$3:$B$5001,$A$211,BD!$V$3:$V$5001,"&lt;&gt;")=0,"",SUMIFS(BD!$V$3:$V$5001,BD!$A$3:$A$5001,O$3,BD!$B$3:$B$5001,$A$211)))</f>
        <v/>
      </c>
      <c r="P217" s="205" t="str">
        <f>IF(P$3="","",IF(COUNTIFS(BD!$A$3:$A$5001,P$3,BD!$B$3:$B$5001,$A$211,BD!$V$3:$V$5001,"&lt;&gt;")=0,"",SUMIFS(BD!$V$3:$V$5001,BD!$A$3:$A$5001,P$3,BD!$B$3:$B$5001,$A$211)))</f>
        <v/>
      </c>
      <c r="Q217" s="205" t="str">
        <f>IF(Q$3="","",IF(COUNTIFS(BD!$A$3:$A$5001,Q$3,BD!$B$3:$B$5001,$A$211,BD!$V$3:$V$5001,"&lt;&gt;")=0,"",SUMIFS(BD!$V$3:$V$5001,BD!$A$3:$A$5001,Q$3,BD!$B$3:$B$5001,$A$211)))</f>
        <v/>
      </c>
      <c r="R217" s="205" t="str">
        <f>IF(R$3="","",IF(COUNTIFS(BD!$A$3:$A$5001,R$3,BD!$B$3:$B$5001,$A$211,BD!$V$3:$V$5001,"&lt;&gt;")=0,"",SUMIFS(BD!$V$3:$V$5001,BD!$A$3:$A$5001,R$3,BD!$B$3:$B$5001,$A$211)))</f>
        <v/>
      </c>
      <c r="S217" s="205" t="str">
        <f>IF(S$3="","",IF(COUNTIFS(BD!$A$3:$A$5001,S$3,BD!$B$3:$B$5001,$A$211,BD!$V$3:$V$5001,"&lt;&gt;")=0,"",SUMIFS(BD!$V$3:$V$5001,BD!$A$3:$A$5001,S$3,BD!$B$3:$B$5001,$A$211)))</f>
        <v/>
      </c>
      <c r="T217" s="205" t="str">
        <f>IF(T$3="","",IF(COUNTIFS(BD!$A$3:$A$5001,T$3,BD!$B$3:$B$5001,$A$211,BD!$V$3:$V$5001,"&lt;&gt;")=0,"",SUMIFS(BD!$V$3:$V$5001,BD!$A$3:$A$5001,T$3,BD!$B$3:$B$5001,$A$211)))</f>
        <v/>
      </c>
      <c r="U217" s="205" t="str">
        <f>IF(U$3="","",IF(COUNTIFS(BD!$A$3:$A$5001,U$3,BD!$B$3:$B$5001,$A$211,BD!$V$3:$V$5001,"&lt;&gt;")=0,"",SUMIFS(BD!$V$3:$V$5001,BD!$A$3:$A$5001,U$3,BD!$B$3:$B$5001,$A$211)))</f>
        <v/>
      </c>
      <c r="V217" s="205" t="str">
        <f>IF(V$3="","",IF(COUNTIFS(BD!$A$3:$A$5001,V$3,BD!$B$3:$B$5001,$A$211,BD!$V$3:$V$5001,"&lt;&gt;")=0,"",SUMIFS(BD!$V$3:$V$5001,BD!$A$3:$A$5001,V$3,BD!$B$3:$B$5001,$A$211)))</f>
        <v/>
      </c>
      <c r="W217" s="205" t="str">
        <f>IF(W$3="","",IF(COUNTIFS(BD!$A$3:$A$5001,W$3,BD!$B$3:$B$5001,$A$211,BD!$V$3:$V$5001,"&lt;&gt;")=0,"",SUMIFS(BD!$V$3:$V$5001,BD!$A$3:$A$5001,W$3,BD!$B$3:$B$5001,$A$211)))</f>
        <v/>
      </c>
      <c r="X217" s="205" t="str">
        <f>IF(X$3="","",IF(COUNTIFS(BD!$A$3:$A$5001,X$3,BD!$B$3:$B$5001,$A$211,BD!$V$3:$V$5001,"&lt;&gt;")=0,"",SUMIFS(BD!$V$3:$V$5001,BD!$A$3:$A$5001,X$3,BD!$B$3:$B$5001,$A$211)))</f>
        <v/>
      </c>
      <c r="Y217" s="205" t="str">
        <f>IF(Y$3="","",IF(COUNTIFS(BD!$A$3:$A$5001,Y$3,BD!$B$3:$B$5001,$A$211,BD!$V$3:$V$5001,"&lt;&gt;")=0,"",SUMIFS(BD!$V$3:$V$5001,BD!$A$3:$A$5001,Y$3,BD!$B$3:$B$5001,$A$211)))</f>
        <v/>
      </c>
      <c r="Z217" s="205" t="str">
        <f>IF(Z$3="","",IF(COUNTIFS(BD!$A$3:$A$5001,Z$3,BD!$B$3:$B$5001,$A$211,BD!$V$3:$V$5001,"&lt;&gt;")=0,"",SUMIFS(BD!$V$3:$V$5001,BD!$A$3:$A$5001,Z$3,BD!$B$3:$B$5001,$A$211)))</f>
        <v/>
      </c>
      <c r="AA217" s="205" t="str">
        <f>IF(AA$3="","",IF(COUNTIFS(BD!$A$3:$A$5001,AA$3,BD!$B$3:$B$5001,$A$211,BD!$V$3:$V$5001,"&lt;&gt;")=0,"",SUMIFS(BD!$V$3:$V$5001,BD!$A$3:$A$5001,AA$3,BD!$B$3:$B$5001,$A$211)))</f>
        <v/>
      </c>
      <c r="AB217" s="205" t="str">
        <f>IF(AB$3="","",IF(COUNTIFS(BD!$A$3:$A$5001,AB$3,BD!$B$3:$B$5001,$A$211,BD!$V$3:$V$5001,"&lt;&gt;")=0,"",SUMIFS(BD!$V$3:$V$5001,BD!$A$3:$A$5001,AB$3,BD!$B$3:$B$5001,$A$211)))</f>
        <v/>
      </c>
      <c r="AC217" s="205" t="str">
        <f>IF(AC$3="","",IF(COUNTIFS(BD!$A$3:$A$5001,AC$3,BD!$B$3:$B$5001,$A$211,BD!$V$3:$V$5001,"&lt;&gt;")=0,"",SUMIFS(BD!$V$3:$V$5001,BD!$A$3:$A$5001,AC$3,BD!$B$3:$B$5001,$A$211)))</f>
        <v/>
      </c>
      <c r="AD217" s="205" t="str">
        <f>IF(AD$3="","",IF(COUNTIFS(BD!$A$3:$A$5001,AD$3,BD!$B$3:$B$5001,$A$211,BD!$V$3:$V$5001,"&lt;&gt;")=0,"",SUMIFS(BD!$V$3:$V$5001,BD!$A$3:$A$5001,AD$3,BD!$B$3:$B$5001,$A$211)))</f>
        <v/>
      </c>
      <c r="AE217" s="205" t="str">
        <f>IF(AE$3="","",IF(COUNTIFS(BD!$A$3:$A$5001,AE$3,BD!$B$3:$B$5001,$A$211,BD!$V$3:$V$5001,"&lt;&gt;")=0,"",SUMIFS(BD!$V$3:$V$5001,BD!$A$3:$A$5001,AE$3,BD!$B$3:$B$5001,$A$211)))</f>
        <v/>
      </c>
      <c r="AF217" s="205" t="str">
        <f>IF(AF$3="","",IF(COUNTIFS(BD!$A$3:$A$5001,AF$3,BD!$B$3:$B$5001,$A$211,BD!$V$3:$V$5001,"&lt;&gt;")=0,"",SUMIFS(BD!$V$3:$V$5001,BD!$A$3:$A$5001,AF$3,BD!$B$3:$B$5001,$A$211)))</f>
        <v/>
      </c>
      <c r="AG217" s="205" t="str">
        <f>IF(AG$3="","",IF(COUNTIFS(BD!$A$3:$A$5001,AG$3,BD!$B$3:$B$5001,$A$211,BD!$V$3:$V$5001,"&lt;&gt;")=0,"",SUMIFS(BD!$V$3:$V$5001,BD!$A$3:$A$5001,AG$3,BD!$B$3:$B$5001,$A$211)))</f>
        <v/>
      </c>
      <c r="AH217" s="205" t="str">
        <f>IF(AH$3="","",IF(COUNTIFS(BD!$A$3:$A$5001,AH$3,BD!$B$3:$B$5001,$A$211,BD!$V$3:$V$5001,"&lt;&gt;")=0,"",SUMIFS(BD!$V$3:$V$5001,BD!$A$3:$A$5001,AH$3,BD!$B$3:$B$5001,$A$211)))</f>
        <v/>
      </c>
      <c r="AI217" s="205" t="str">
        <f>IF(AI$3="","",IF(COUNTIFS(BD!$A$3:$A$5001,AI$3,BD!$B$3:$B$5001,$A$211,BD!$V$3:$V$5001,"&lt;&gt;")=0,"",SUMIFS(BD!$V$3:$V$5001,BD!$A$3:$A$5001,AI$3,BD!$B$3:$B$5001,$A$211)))</f>
        <v/>
      </c>
      <c r="AJ217" s="206" t="str">
        <f>IF(AJ$3="","",IF(COUNTIFS(BD!$A$3:$A$5001,AJ$3,BD!$B$3:$B$5001,$A$211,BD!$V$3:$V$5001,"&lt;&gt;")=0,"",SUMIFS(BD!$V$3:$V$5001,BD!$A$3:$A$5001,AJ$3,BD!$B$3:$B$5001,$A$211)))</f>
        <v/>
      </c>
      <c r="AK217" s="207" t="str">
        <f>IFERROR(LOOKUP(9.99E+307,F217:AJ217),"")</f>
        <v/>
      </c>
    </row>
    <row r="218" ht="15.75" customHeight="1">
      <c r="A218" s="261"/>
      <c r="B218" s="255"/>
      <c r="C218" s="208" t="inlineStr">
        <is>
          <t xml:space="preserve">Backlog Cliente</t>
        </is>
      </c>
      <c r="D218" s="209" t="str">
        <f>IFERROR(1/(1/INDEX(BD!$AL$43:$BF$43,MATCH($A$211,BD!$AL$22:$BF$22,0))),"")</f>
        <v/>
      </c>
      <c r="E218" s="210"/>
      <c r="F218" s="211" t="str">
        <f>IF(F$3="","",IF(COUNTIFS(BD!$A$3:$A$5001,F$3,BD!$B$3:$B$5001,$A$211,BD!$W$3:$W$5001,"&lt;&gt;")=0,"",SUMIFS(BD!$W$3:$W$5001,BD!$A$3:$A$5001,F$3,BD!$B$3:$B$5001,$A$211)))</f>
        <v/>
      </c>
      <c r="G218" s="212" t="str">
        <f>IF(G$3="","",IF(COUNTIFS(BD!$A$3:$A$5001,G$3,BD!$B$3:$B$5001,$A$211,BD!$W$3:$W$5001,"&lt;&gt;")=0,"",SUMIFS(BD!$W$3:$W$5001,BD!$A$3:$A$5001,G$3,BD!$B$3:$B$5001,$A$211)))</f>
        <v/>
      </c>
      <c r="H218" s="212" t="str">
        <f>IF(H$3="","",IF(COUNTIFS(BD!$A$3:$A$5001,H$3,BD!$B$3:$B$5001,$A$211,BD!$W$3:$W$5001,"&lt;&gt;")=0,"",SUMIFS(BD!$W$3:$W$5001,BD!$A$3:$A$5001,H$3,BD!$B$3:$B$5001,$A$211)))</f>
        <v/>
      </c>
      <c r="I218" s="212" t="str">
        <f>IF(I$3="","",IF(COUNTIFS(BD!$A$3:$A$5001,I$3,BD!$B$3:$B$5001,$A$211,BD!$W$3:$W$5001,"&lt;&gt;")=0,"",SUMIFS(BD!$W$3:$W$5001,BD!$A$3:$A$5001,I$3,BD!$B$3:$B$5001,$A$211)))</f>
        <v/>
      </c>
      <c r="J218" s="212" t="str">
        <f>IF(J$3="","",IF(COUNTIFS(BD!$A$3:$A$5001,J$3,BD!$B$3:$B$5001,$A$211,BD!$W$3:$W$5001,"&lt;&gt;")=0,"",SUMIFS(BD!$W$3:$W$5001,BD!$A$3:$A$5001,J$3,BD!$B$3:$B$5001,$A$211)))</f>
        <v/>
      </c>
      <c r="K218" s="212" t="str">
        <f>IF(K$3="","",IF(COUNTIFS(BD!$A$3:$A$5001,K$3,BD!$B$3:$B$5001,$A$211,BD!$W$3:$W$5001,"&lt;&gt;")=0,"",SUMIFS(BD!$W$3:$W$5001,BD!$A$3:$A$5001,K$3,BD!$B$3:$B$5001,$A$211)))</f>
        <v/>
      </c>
      <c r="L218" s="212" t="str">
        <f>IF(L$3="","",IF(COUNTIFS(BD!$A$3:$A$5001,L$3,BD!$B$3:$B$5001,$A$211,BD!$W$3:$W$5001,"&lt;&gt;")=0,"",SUMIFS(BD!$W$3:$W$5001,BD!$A$3:$A$5001,L$3,BD!$B$3:$B$5001,$A$211)))</f>
        <v/>
      </c>
      <c r="M218" s="212" t="str">
        <f>IF(M$3="","",IF(COUNTIFS(BD!$A$3:$A$5001,M$3,BD!$B$3:$B$5001,$A$211,BD!$W$3:$W$5001,"&lt;&gt;")=0,"",SUMIFS(BD!$W$3:$W$5001,BD!$A$3:$A$5001,M$3,BD!$B$3:$B$5001,$A$211)))</f>
        <v/>
      </c>
      <c r="N218" s="212" t="str">
        <f>IF(N$3="","",IF(COUNTIFS(BD!$A$3:$A$5001,N$3,BD!$B$3:$B$5001,$A$211,BD!$W$3:$W$5001,"&lt;&gt;")=0,"",SUMIFS(BD!$W$3:$W$5001,BD!$A$3:$A$5001,N$3,BD!$B$3:$B$5001,$A$211)))</f>
        <v/>
      </c>
      <c r="O218" s="212" t="str">
        <f>IF(O$3="","",IF(COUNTIFS(BD!$A$3:$A$5001,O$3,BD!$B$3:$B$5001,$A$211,BD!$W$3:$W$5001,"&lt;&gt;")=0,"",SUMIFS(BD!$W$3:$W$5001,BD!$A$3:$A$5001,O$3,BD!$B$3:$B$5001,$A$211)))</f>
        <v/>
      </c>
      <c r="P218" s="212" t="str">
        <f>IF(P$3="","",IF(COUNTIFS(BD!$A$3:$A$5001,P$3,BD!$B$3:$B$5001,$A$211,BD!$W$3:$W$5001,"&lt;&gt;")=0,"",SUMIFS(BD!$W$3:$W$5001,BD!$A$3:$A$5001,P$3,BD!$B$3:$B$5001,$A$211)))</f>
        <v/>
      </c>
      <c r="Q218" s="212" t="str">
        <f>IF(Q$3="","",IF(COUNTIFS(BD!$A$3:$A$5001,Q$3,BD!$B$3:$B$5001,$A$211,BD!$W$3:$W$5001,"&lt;&gt;")=0,"",SUMIFS(BD!$W$3:$W$5001,BD!$A$3:$A$5001,Q$3,BD!$B$3:$B$5001,$A$211)))</f>
        <v/>
      </c>
      <c r="R218" s="212" t="str">
        <f>IF(R$3="","",IF(COUNTIFS(BD!$A$3:$A$5001,R$3,BD!$B$3:$B$5001,$A$211,BD!$W$3:$W$5001,"&lt;&gt;")=0,"",SUMIFS(BD!$W$3:$W$5001,BD!$A$3:$A$5001,R$3,BD!$B$3:$B$5001,$A$211)))</f>
        <v/>
      </c>
      <c r="S218" s="212" t="str">
        <f>IF(S$3="","",IF(COUNTIFS(BD!$A$3:$A$5001,S$3,BD!$B$3:$B$5001,$A$211,BD!$W$3:$W$5001,"&lt;&gt;")=0,"",SUMIFS(BD!$W$3:$W$5001,BD!$A$3:$A$5001,S$3,BD!$B$3:$B$5001,$A$211)))</f>
        <v/>
      </c>
      <c r="T218" s="212" t="str">
        <f>IF(T$3="","",IF(COUNTIFS(BD!$A$3:$A$5001,T$3,BD!$B$3:$B$5001,$A$211,BD!$W$3:$W$5001,"&lt;&gt;")=0,"",SUMIFS(BD!$W$3:$W$5001,BD!$A$3:$A$5001,T$3,BD!$B$3:$B$5001,$A$211)))</f>
        <v/>
      </c>
      <c r="U218" s="212" t="str">
        <f>IF(U$3="","",IF(COUNTIFS(BD!$A$3:$A$5001,U$3,BD!$B$3:$B$5001,$A$211,BD!$W$3:$W$5001,"&lt;&gt;")=0,"",SUMIFS(BD!$W$3:$W$5001,BD!$A$3:$A$5001,U$3,BD!$B$3:$B$5001,$A$211)))</f>
        <v/>
      </c>
      <c r="V218" s="212" t="str">
        <f>IF(V$3="","",IF(COUNTIFS(BD!$A$3:$A$5001,V$3,BD!$B$3:$B$5001,$A$211,BD!$W$3:$W$5001,"&lt;&gt;")=0,"",SUMIFS(BD!$W$3:$W$5001,BD!$A$3:$A$5001,V$3,BD!$B$3:$B$5001,$A$211)))</f>
        <v/>
      </c>
      <c r="W218" s="212" t="str">
        <f>IF(W$3="","",IF(COUNTIFS(BD!$A$3:$A$5001,W$3,BD!$B$3:$B$5001,$A$211,BD!$W$3:$W$5001,"&lt;&gt;")=0,"",SUMIFS(BD!$W$3:$W$5001,BD!$A$3:$A$5001,W$3,BD!$B$3:$B$5001,$A$211)))</f>
        <v/>
      </c>
      <c r="X218" s="212" t="str">
        <f>IF(X$3="","",IF(COUNTIFS(BD!$A$3:$A$5001,X$3,BD!$B$3:$B$5001,$A$211,BD!$W$3:$W$5001,"&lt;&gt;")=0,"",SUMIFS(BD!$W$3:$W$5001,BD!$A$3:$A$5001,X$3,BD!$B$3:$B$5001,$A$211)))</f>
        <v/>
      </c>
      <c r="Y218" s="212" t="str">
        <f>IF(Y$3="","",IF(COUNTIFS(BD!$A$3:$A$5001,Y$3,BD!$B$3:$B$5001,$A$211,BD!$W$3:$W$5001,"&lt;&gt;")=0,"",SUMIFS(BD!$W$3:$W$5001,BD!$A$3:$A$5001,Y$3,BD!$B$3:$B$5001,$A$211)))</f>
        <v/>
      </c>
      <c r="Z218" s="212" t="str">
        <f>IF(Z$3="","",IF(COUNTIFS(BD!$A$3:$A$5001,Z$3,BD!$B$3:$B$5001,$A$211,BD!$W$3:$W$5001,"&lt;&gt;")=0,"",SUMIFS(BD!$W$3:$W$5001,BD!$A$3:$A$5001,Z$3,BD!$B$3:$B$5001,$A$211)))</f>
        <v/>
      </c>
      <c r="AA218" s="212" t="str">
        <f>IF(AA$3="","",IF(COUNTIFS(BD!$A$3:$A$5001,AA$3,BD!$B$3:$B$5001,$A$211,BD!$W$3:$W$5001,"&lt;&gt;")=0,"",SUMIFS(BD!$W$3:$W$5001,BD!$A$3:$A$5001,AA$3,BD!$B$3:$B$5001,$A$211)))</f>
        <v/>
      </c>
      <c r="AB218" s="212" t="str">
        <f>IF(AB$3="","",IF(COUNTIFS(BD!$A$3:$A$5001,AB$3,BD!$B$3:$B$5001,$A$211,BD!$W$3:$W$5001,"&lt;&gt;")=0,"",SUMIFS(BD!$W$3:$W$5001,BD!$A$3:$A$5001,AB$3,BD!$B$3:$B$5001,$A$211)))</f>
        <v/>
      </c>
      <c r="AC218" s="212" t="str">
        <f>IF(AC$3="","",IF(COUNTIFS(BD!$A$3:$A$5001,AC$3,BD!$B$3:$B$5001,$A$211,BD!$W$3:$W$5001,"&lt;&gt;")=0,"",SUMIFS(BD!$W$3:$W$5001,BD!$A$3:$A$5001,AC$3,BD!$B$3:$B$5001,$A$211)))</f>
        <v/>
      </c>
      <c r="AD218" s="212" t="str">
        <f>IF(AD$3="","",IF(COUNTIFS(BD!$A$3:$A$5001,AD$3,BD!$B$3:$B$5001,$A$211,BD!$W$3:$W$5001,"&lt;&gt;")=0,"",SUMIFS(BD!$W$3:$W$5001,BD!$A$3:$A$5001,AD$3,BD!$B$3:$B$5001,$A$211)))</f>
        <v/>
      </c>
      <c r="AE218" s="212" t="str">
        <f>IF(AE$3="","",IF(COUNTIFS(BD!$A$3:$A$5001,AE$3,BD!$B$3:$B$5001,$A$211,BD!$W$3:$W$5001,"&lt;&gt;")=0,"",SUMIFS(BD!$W$3:$W$5001,BD!$A$3:$A$5001,AE$3,BD!$B$3:$B$5001,$A$211)))</f>
        <v/>
      </c>
      <c r="AF218" s="212" t="str">
        <f>IF(AF$3="","",IF(COUNTIFS(BD!$A$3:$A$5001,AF$3,BD!$B$3:$B$5001,$A$211,BD!$W$3:$W$5001,"&lt;&gt;")=0,"",SUMIFS(BD!$W$3:$W$5001,BD!$A$3:$A$5001,AF$3,BD!$B$3:$B$5001,$A$211)))</f>
        <v/>
      </c>
      <c r="AG218" s="212" t="str">
        <f>IF(AG$3="","",IF(COUNTIFS(BD!$A$3:$A$5001,AG$3,BD!$B$3:$B$5001,$A$211,BD!$W$3:$W$5001,"&lt;&gt;")=0,"",SUMIFS(BD!$W$3:$W$5001,BD!$A$3:$A$5001,AG$3,BD!$B$3:$B$5001,$A$211)))</f>
        <v/>
      </c>
      <c r="AH218" s="212" t="str">
        <f>IF(AH$3="","",IF(COUNTIFS(BD!$A$3:$A$5001,AH$3,BD!$B$3:$B$5001,$A$211,BD!$W$3:$W$5001,"&lt;&gt;")=0,"",SUMIFS(BD!$W$3:$W$5001,BD!$A$3:$A$5001,AH$3,BD!$B$3:$B$5001,$A$211)))</f>
        <v/>
      </c>
      <c r="AI218" s="212" t="str">
        <f>IF(AI$3="","",IF(COUNTIFS(BD!$A$3:$A$5001,AI$3,BD!$B$3:$B$5001,$A$211,BD!$W$3:$W$5001,"&lt;&gt;")=0,"",SUMIFS(BD!$W$3:$W$5001,BD!$A$3:$A$5001,AI$3,BD!$B$3:$B$5001,$A$211)))</f>
        <v/>
      </c>
      <c r="AJ218" s="213" t="str">
        <f>IF(AJ$3="","",IF(COUNTIFS(BD!$A$3:$A$5001,AJ$3,BD!$B$3:$B$5001,$A$211,BD!$W$3:$W$5001,"&lt;&gt;")=0,"",SUMIFS(BD!$W$3:$W$5001,BD!$A$3:$A$5001,AJ$3,BD!$B$3:$B$5001,$A$211)))</f>
        <v/>
      </c>
      <c r="AK218" s="209" t="str">
        <f>IFERROR(LOOKUP(9.99E+307,F218:AJ218),"")</f>
        <v/>
      </c>
    </row>
    <row r="219" ht="15.75" customHeight="1">
      <c r="A219" s="261"/>
      <c r="B219" s="249" t="inlineStr">
        <is>
          <t xml:space="preserve">OCUPAÇÃO (P.P)</t>
        </is>
      </c>
      <c r="C219" s="168" t="inlineStr">
        <is>
          <t xml:space="preserve">Posições Disponíveis</t>
        </is>
      </c>
      <c r="D219" s="169" t="str">
        <f>IFERROR(1/(1/INDEX(BD!$AL$44:$BF$44,MATCH($A$211,BD!$AL$22:$BF$22,0))),"")</f>
        <v/>
      </c>
      <c r="E219" s="170"/>
      <c r="F219" s="171" t="str">
        <f>IF(F$3="","",IF(COUNTIFS(BD!$A$3:$A$5001,F$3,BD!$B$3:$B$5001,$A$211,BD!$X$3:$X$5001,"&lt;&gt;")=0,"",SUMIFS(BD!$X$3:$X$5001,BD!$A$3:$A$5001,F$3,BD!$B$3:$B$5001,$A$211)))</f>
        <v/>
      </c>
      <c r="G219" s="172" t="str">
        <f>IF(G$3="","",IF(COUNTIFS(BD!$A$3:$A$5001,G$3,BD!$B$3:$B$5001,$A$211,BD!$X$3:$X$5001,"&lt;&gt;")=0,"",SUMIFS(BD!$X$3:$X$5001,BD!$A$3:$A$5001,G$3,BD!$B$3:$B$5001,$A$211)))</f>
        <v/>
      </c>
      <c r="H219" s="172" t="str">
        <f>IF(H$3="","",IF(COUNTIFS(BD!$A$3:$A$5001,H$3,BD!$B$3:$B$5001,$A$211,BD!$X$3:$X$5001,"&lt;&gt;")=0,"",SUMIFS(BD!$X$3:$X$5001,BD!$A$3:$A$5001,H$3,BD!$B$3:$B$5001,$A$211)))</f>
        <v/>
      </c>
      <c r="I219" s="172" t="str">
        <f>IF(I$3="","",IF(COUNTIFS(BD!$A$3:$A$5001,I$3,BD!$B$3:$B$5001,$A$211,BD!$X$3:$X$5001,"&lt;&gt;")=0,"",SUMIFS(BD!$X$3:$X$5001,BD!$A$3:$A$5001,I$3,BD!$B$3:$B$5001,$A$211)))</f>
        <v/>
      </c>
      <c r="J219" s="172" t="str">
        <f>IF(J$3="","",IF(COUNTIFS(BD!$A$3:$A$5001,J$3,BD!$B$3:$B$5001,$A$211,BD!$X$3:$X$5001,"&lt;&gt;")=0,"",SUMIFS(BD!$X$3:$X$5001,BD!$A$3:$A$5001,J$3,BD!$B$3:$B$5001,$A$211)))</f>
        <v/>
      </c>
      <c r="K219" s="172" t="str">
        <f>IF(K$3="","",IF(COUNTIFS(BD!$A$3:$A$5001,K$3,BD!$B$3:$B$5001,$A$211,BD!$X$3:$X$5001,"&lt;&gt;")=0,"",SUMIFS(BD!$X$3:$X$5001,BD!$A$3:$A$5001,K$3,BD!$B$3:$B$5001,$A$211)))</f>
        <v/>
      </c>
      <c r="L219" s="172" t="str">
        <f>IF(L$3="","",IF(COUNTIFS(BD!$A$3:$A$5001,L$3,BD!$B$3:$B$5001,$A$211,BD!$X$3:$X$5001,"&lt;&gt;")=0,"",SUMIFS(BD!$X$3:$X$5001,BD!$A$3:$A$5001,L$3,BD!$B$3:$B$5001,$A$211)))</f>
        <v/>
      </c>
      <c r="M219" s="172" t="str">
        <f>IF(M$3="","",IF(COUNTIFS(BD!$A$3:$A$5001,M$3,BD!$B$3:$B$5001,$A$211,BD!$X$3:$X$5001,"&lt;&gt;")=0,"",SUMIFS(BD!$X$3:$X$5001,BD!$A$3:$A$5001,M$3,BD!$B$3:$B$5001,$A$211)))</f>
        <v/>
      </c>
      <c r="N219" s="172" t="str">
        <f>IF(N$3="","",IF(COUNTIFS(BD!$A$3:$A$5001,N$3,BD!$B$3:$B$5001,$A$211,BD!$X$3:$X$5001,"&lt;&gt;")=0,"",SUMIFS(BD!$X$3:$X$5001,BD!$A$3:$A$5001,N$3,BD!$B$3:$B$5001,$A$211)))</f>
        <v/>
      </c>
      <c r="O219" s="172" t="str">
        <f>IF(O$3="","",IF(COUNTIFS(BD!$A$3:$A$5001,O$3,BD!$B$3:$B$5001,$A$211,BD!$X$3:$X$5001,"&lt;&gt;")=0,"",SUMIFS(BD!$X$3:$X$5001,BD!$A$3:$A$5001,O$3,BD!$B$3:$B$5001,$A$211)))</f>
        <v/>
      </c>
      <c r="P219" s="172" t="str">
        <f>IF(P$3="","",IF(COUNTIFS(BD!$A$3:$A$5001,P$3,BD!$B$3:$B$5001,$A$211,BD!$X$3:$X$5001,"&lt;&gt;")=0,"",SUMIFS(BD!$X$3:$X$5001,BD!$A$3:$A$5001,P$3,BD!$B$3:$B$5001,$A$211)))</f>
        <v/>
      </c>
      <c r="Q219" s="172" t="str">
        <f>IF(Q$3="","",IF(COUNTIFS(BD!$A$3:$A$5001,Q$3,BD!$B$3:$B$5001,$A$211,BD!$X$3:$X$5001,"&lt;&gt;")=0,"",SUMIFS(BD!$X$3:$X$5001,BD!$A$3:$A$5001,Q$3,BD!$B$3:$B$5001,$A$211)))</f>
        <v/>
      </c>
      <c r="R219" s="172" t="str">
        <f>IF(R$3="","",IF(COUNTIFS(BD!$A$3:$A$5001,R$3,BD!$B$3:$B$5001,$A$211,BD!$X$3:$X$5001,"&lt;&gt;")=0,"",SUMIFS(BD!$X$3:$X$5001,BD!$A$3:$A$5001,R$3,BD!$B$3:$B$5001,$A$211)))</f>
        <v/>
      </c>
      <c r="S219" s="172" t="str">
        <f>IF(S$3="","",IF(COUNTIFS(BD!$A$3:$A$5001,S$3,BD!$B$3:$B$5001,$A$211,BD!$X$3:$X$5001,"&lt;&gt;")=0,"",SUMIFS(BD!$X$3:$X$5001,BD!$A$3:$A$5001,S$3,BD!$B$3:$B$5001,$A$211)))</f>
        <v/>
      </c>
      <c r="T219" s="172" t="str">
        <f>IF(T$3="","",IF(COUNTIFS(BD!$A$3:$A$5001,T$3,BD!$B$3:$B$5001,$A$211,BD!$X$3:$X$5001,"&lt;&gt;")=0,"",SUMIFS(BD!$X$3:$X$5001,BD!$A$3:$A$5001,T$3,BD!$B$3:$B$5001,$A$211)))</f>
        <v/>
      </c>
      <c r="U219" s="172" t="str">
        <f>IF(U$3="","",IF(COUNTIFS(BD!$A$3:$A$5001,U$3,BD!$B$3:$B$5001,$A$211,BD!$X$3:$X$5001,"&lt;&gt;")=0,"",SUMIFS(BD!$X$3:$X$5001,BD!$A$3:$A$5001,U$3,BD!$B$3:$B$5001,$A$211)))</f>
        <v/>
      </c>
      <c r="V219" s="172" t="str">
        <f>IF(V$3="","",IF(COUNTIFS(BD!$A$3:$A$5001,V$3,BD!$B$3:$B$5001,$A$211,BD!$X$3:$X$5001,"&lt;&gt;")=0,"",SUMIFS(BD!$X$3:$X$5001,BD!$A$3:$A$5001,V$3,BD!$B$3:$B$5001,$A$211)))</f>
        <v/>
      </c>
      <c r="W219" s="172" t="str">
        <f>IF(W$3="","",IF(COUNTIFS(BD!$A$3:$A$5001,W$3,BD!$B$3:$B$5001,$A$211,BD!$X$3:$X$5001,"&lt;&gt;")=0,"",SUMIFS(BD!$X$3:$X$5001,BD!$A$3:$A$5001,W$3,BD!$B$3:$B$5001,$A$211)))</f>
        <v/>
      </c>
      <c r="X219" s="172" t="str">
        <f>IF(X$3="","",IF(COUNTIFS(BD!$A$3:$A$5001,X$3,BD!$B$3:$B$5001,$A$211,BD!$X$3:$X$5001,"&lt;&gt;")=0,"",SUMIFS(BD!$X$3:$X$5001,BD!$A$3:$A$5001,X$3,BD!$B$3:$B$5001,$A$211)))</f>
        <v/>
      </c>
      <c r="Y219" s="172" t="str">
        <f>IF(Y$3="","",IF(COUNTIFS(BD!$A$3:$A$5001,Y$3,BD!$B$3:$B$5001,$A$211,BD!$X$3:$X$5001,"&lt;&gt;")=0,"",SUMIFS(BD!$X$3:$X$5001,BD!$A$3:$A$5001,Y$3,BD!$B$3:$B$5001,$A$211)))</f>
        <v/>
      </c>
      <c r="Z219" s="172" t="str">
        <f>IF(Z$3="","",IF(COUNTIFS(BD!$A$3:$A$5001,Z$3,BD!$B$3:$B$5001,$A$211,BD!$X$3:$X$5001,"&lt;&gt;")=0,"",SUMIFS(BD!$X$3:$X$5001,BD!$A$3:$A$5001,Z$3,BD!$B$3:$B$5001,$A$211)))</f>
        <v/>
      </c>
      <c r="AA219" s="172" t="str">
        <f>IF(AA$3="","",IF(COUNTIFS(BD!$A$3:$A$5001,AA$3,BD!$B$3:$B$5001,$A$211,BD!$X$3:$X$5001,"&lt;&gt;")=0,"",SUMIFS(BD!$X$3:$X$5001,BD!$A$3:$A$5001,AA$3,BD!$B$3:$B$5001,$A$211)))</f>
        <v/>
      </c>
      <c r="AB219" s="172" t="str">
        <f>IF(AB$3="","",IF(COUNTIFS(BD!$A$3:$A$5001,AB$3,BD!$B$3:$B$5001,$A$211,BD!$X$3:$X$5001,"&lt;&gt;")=0,"",SUMIFS(BD!$X$3:$X$5001,BD!$A$3:$A$5001,AB$3,BD!$B$3:$B$5001,$A$211)))</f>
        <v/>
      </c>
      <c r="AC219" s="172" t="str">
        <f>IF(AC$3="","",IF(COUNTIFS(BD!$A$3:$A$5001,AC$3,BD!$B$3:$B$5001,$A$211,BD!$X$3:$X$5001,"&lt;&gt;")=0,"",SUMIFS(BD!$X$3:$X$5001,BD!$A$3:$A$5001,AC$3,BD!$B$3:$B$5001,$A$211)))</f>
        <v/>
      </c>
      <c r="AD219" s="172" t="str">
        <f>IF(AD$3="","",IF(COUNTIFS(BD!$A$3:$A$5001,AD$3,BD!$B$3:$B$5001,$A$211,BD!$X$3:$X$5001,"&lt;&gt;")=0,"",SUMIFS(BD!$X$3:$X$5001,BD!$A$3:$A$5001,AD$3,BD!$B$3:$B$5001,$A$211)))</f>
        <v/>
      </c>
      <c r="AE219" s="172" t="str">
        <f>IF(AE$3="","",IF(COUNTIFS(BD!$A$3:$A$5001,AE$3,BD!$B$3:$B$5001,$A$211,BD!$X$3:$X$5001,"&lt;&gt;")=0,"",SUMIFS(BD!$X$3:$X$5001,BD!$A$3:$A$5001,AE$3,BD!$B$3:$B$5001,$A$211)))</f>
        <v/>
      </c>
      <c r="AF219" s="172" t="str">
        <f>IF(AF$3="","",IF(COUNTIFS(BD!$A$3:$A$5001,AF$3,BD!$B$3:$B$5001,$A$211,BD!$X$3:$X$5001,"&lt;&gt;")=0,"",SUMIFS(BD!$X$3:$X$5001,BD!$A$3:$A$5001,AF$3,BD!$B$3:$B$5001,$A$211)))</f>
        <v/>
      </c>
      <c r="AG219" s="172" t="str">
        <f>IF(AG$3="","",IF(COUNTIFS(BD!$A$3:$A$5001,AG$3,BD!$B$3:$B$5001,$A$211,BD!$X$3:$X$5001,"&lt;&gt;")=0,"",SUMIFS(BD!$X$3:$X$5001,BD!$A$3:$A$5001,AG$3,BD!$B$3:$B$5001,$A$211)))</f>
        <v/>
      </c>
      <c r="AH219" s="172" t="str">
        <f>IF(AH$3="","",IF(COUNTIFS(BD!$A$3:$A$5001,AH$3,BD!$B$3:$B$5001,$A$211,BD!$X$3:$X$5001,"&lt;&gt;")=0,"",SUMIFS(BD!$X$3:$X$5001,BD!$A$3:$A$5001,AH$3,BD!$B$3:$B$5001,$A$211)))</f>
        <v/>
      </c>
      <c r="AI219" s="172" t="str">
        <f>IF(AI$3="","",IF(COUNTIFS(BD!$A$3:$A$5001,AI$3,BD!$B$3:$B$5001,$A$211,BD!$X$3:$X$5001,"&lt;&gt;")=0,"",SUMIFS(BD!$X$3:$X$5001,BD!$A$3:$A$5001,AI$3,BD!$B$3:$B$5001,$A$211)))</f>
        <v/>
      </c>
      <c r="AJ219" s="173" t="str">
        <f>IF(AJ$3="","",IF(COUNTIFS(BD!$A$3:$A$5001,AJ$3,BD!$B$3:$B$5001,$A$211,BD!$X$3:$X$5001,"&lt;&gt;")=0,"",SUMIFS(BD!$X$3:$X$5001,BD!$A$3:$A$5001,AJ$3,BD!$B$3:$B$5001,$A$211)))</f>
        <v/>
      </c>
      <c r="AK219" s="174" t="str">
        <f>IF(COUNT(F219:AJ219)&gt;0,LOOKUP(9.99E+307,F219:AJ219),IFERROR(IF(INDEX(BD!$AI$3:$AI$5001,MATCH($A$211,BD!$B$3:$B$5001,0))&amp;""="Contrato","",INDEX(BD!$AI$3:$AI$5001,MATCH($A$211,BD!$B$3:$B$5001,0))&amp;""),""))</f>
        <v/>
      </c>
    </row>
    <row r="220" ht="15.75" customHeight="1">
      <c r="A220" s="261"/>
      <c r="B220" s="256"/>
      <c r="C220" s="214" t="inlineStr">
        <is>
          <t xml:space="preserve">Posições Ocupadas</t>
        </is>
      </c>
      <c r="D220" s="215" t="str">
        <f>IFERROR(1/(1/INDEX(BD!$AL$45:$BF$45,MATCH($A$211,BD!$AL$22:$BF$22,0))),"")</f>
        <v/>
      </c>
      <c r="E220" s="216"/>
      <c r="F220" s="217" t="str">
        <f>IF(F$3="","",IF(COUNTIFS(BD!$A$3:$A$5001,F$3,BD!$B$3:$B$5001,$A$211,BD!$Y$3:$Y$5001,"&lt;&gt;")=0,"",SUMIFS(BD!$Y$3:$Y$5001,BD!$A$3:$A$5001,F$3,BD!$B$3:$B$5001,$A$211)))</f>
        <v/>
      </c>
      <c r="G220" s="218" t="str">
        <f>IF(G$3="","",IF(COUNTIFS(BD!$A$3:$A$5001,G$3,BD!$B$3:$B$5001,$A$211,BD!$Y$3:$Y$5001,"&lt;&gt;")=0,"",SUMIFS(BD!$Y$3:$Y$5001,BD!$A$3:$A$5001,G$3,BD!$B$3:$B$5001,$A$211)))</f>
        <v/>
      </c>
      <c r="H220" s="218" t="str">
        <f>IF(H$3="","",IF(COUNTIFS(BD!$A$3:$A$5001,H$3,BD!$B$3:$B$5001,$A$211,BD!$Y$3:$Y$5001,"&lt;&gt;")=0,"",SUMIFS(BD!$Y$3:$Y$5001,BD!$A$3:$A$5001,H$3,BD!$B$3:$B$5001,$A$211)))</f>
        <v/>
      </c>
      <c r="I220" s="218" t="str">
        <f>IF(I$3="","",IF(COUNTIFS(BD!$A$3:$A$5001,I$3,BD!$B$3:$B$5001,$A$211,BD!$Y$3:$Y$5001,"&lt;&gt;")=0,"",SUMIFS(BD!$Y$3:$Y$5001,BD!$A$3:$A$5001,I$3,BD!$B$3:$B$5001,$A$211)))</f>
        <v/>
      </c>
      <c r="J220" s="218" t="str">
        <f>IF(J$3="","",IF(COUNTIFS(BD!$A$3:$A$5001,J$3,BD!$B$3:$B$5001,$A$211,BD!$Y$3:$Y$5001,"&lt;&gt;")=0,"",SUMIFS(BD!$Y$3:$Y$5001,BD!$A$3:$A$5001,J$3,BD!$B$3:$B$5001,$A$211)))</f>
        <v/>
      </c>
      <c r="K220" s="218" t="str">
        <f>IF(K$3="","",IF(COUNTIFS(BD!$A$3:$A$5001,K$3,BD!$B$3:$B$5001,$A$211,BD!$Y$3:$Y$5001,"&lt;&gt;")=0,"",SUMIFS(BD!$Y$3:$Y$5001,BD!$A$3:$A$5001,K$3,BD!$B$3:$B$5001,$A$211)))</f>
        <v/>
      </c>
      <c r="L220" s="218" t="str">
        <f>IF(L$3="","",IF(COUNTIFS(BD!$A$3:$A$5001,L$3,BD!$B$3:$B$5001,$A$211,BD!$Y$3:$Y$5001,"&lt;&gt;")=0,"",SUMIFS(BD!$Y$3:$Y$5001,BD!$A$3:$A$5001,L$3,BD!$B$3:$B$5001,$A$211)))</f>
        <v/>
      </c>
      <c r="M220" s="218" t="str">
        <f>IF(M$3="","",IF(COUNTIFS(BD!$A$3:$A$5001,M$3,BD!$B$3:$B$5001,$A$211,BD!$Y$3:$Y$5001,"&lt;&gt;")=0,"",SUMIFS(BD!$Y$3:$Y$5001,BD!$A$3:$A$5001,M$3,BD!$B$3:$B$5001,$A$211)))</f>
        <v/>
      </c>
      <c r="N220" s="218" t="str">
        <f>IF(N$3="","",IF(COUNTIFS(BD!$A$3:$A$5001,N$3,BD!$B$3:$B$5001,$A$211,BD!$Y$3:$Y$5001,"&lt;&gt;")=0,"",SUMIFS(BD!$Y$3:$Y$5001,BD!$A$3:$A$5001,N$3,BD!$B$3:$B$5001,$A$211)))</f>
        <v/>
      </c>
      <c r="O220" s="218" t="str">
        <f>IF(O$3="","",IF(COUNTIFS(BD!$A$3:$A$5001,O$3,BD!$B$3:$B$5001,$A$211,BD!$Y$3:$Y$5001,"&lt;&gt;")=0,"",SUMIFS(BD!$Y$3:$Y$5001,BD!$A$3:$A$5001,O$3,BD!$B$3:$B$5001,$A$211)))</f>
        <v/>
      </c>
      <c r="P220" s="218" t="str">
        <f>IF(P$3="","",IF(COUNTIFS(BD!$A$3:$A$5001,P$3,BD!$B$3:$B$5001,$A$211,BD!$Y$3:$Y$5001,"&lt;&gt;")=0,"",SUMIFS(BD!$Y$3:$Y$5001,BD!$A$3:$A$5001,P$3,BD!$B$3:$B$5001,$A$211)))</f>
        <v/>
      </c>
      <c r="Q220" s="218" t="str">
        <f>IF(Q$3="","",IF(COUNTIFS(BD!$A$3:$A$5001,Q$3,BD!$B$3:$B$5001,$A$211,BD!$Y$3:$Y$5001,"&lt;&gt;")=0,"",SUMIFS(BD!$Y$3:$Y$5001,BD!$A$3:$A$5001,Q$3,BD!$B$3:$B$5001,$A$211)))</f>
        <v/>
      </c>
      <c r="R220" s="218" t="str">
        <f>IF(R$3="","",IF(COUNTIFS(BD!$A$3:$A$5001,R$3,BD!$B$3:$B$5001,$A$211,BD!$Y$3:$Y$5001,"&lt;&gt;")=0,"",SUMIFS(BD!$Y$3:$Y$5001,BD!$A$3:$A$5001,R$3,BD!$B$3:$B$5001,$A$211)))</f>
        <v/>
      </c>
      <c r="S220" s="218" t="str">
        <f>IF(S$3="","",IF(COUNTIFS(BD!$A$3:$A$5001,S$3,BD!$B$3:$B$5001,$A$211,BD!$Y$3:$Y$5001,"&lt;&gt;")=0,"",SUMIFS(BD!$Y$3:$Y$5001,BD!$A$3:$A$5001,S$3,BD!$B$3:$B$5001,$A$211)))</f>
        <v/>
      </c>
      <c r="T220" s="218" t="str">
        <f>IF(T$3="","",IF(COUNTIFS(BD!$A$3:$A$5001,T$3,BD!$B$3:$B$5001,$A$211,BD!$Y$3:$Y$5001,"&lt;&gt;")=0,"",SUMIFS(BD!$Y$3:$Y$5001,BD!$A$3:$A$5001,T$3,BD!$B$3:$B$5001,$A$211)))</f>
        <v/>
      </c>
      <c r="U220" s="218" t="str">
        <f>IF(U$3="","",IF(COUNTIFS(BD!$A$3:$A$5001,U$3,BD!$B$3:$B$5001,$A$211,BD!$Y$3:$Y$5001,"&lt;&gt;")=0,"",SUMIFS(BD!$Y$3:$Y$5001,BD!$A$3:$A$5001,U$3,BD!$B$3:$B$5001,$A$211)))</f>
        <v/>
      </c>
      <c r="V220" s="218" t="str">
        <f>IF(V$3="","",IF(COUNTIFS(BD!$A$3:$A$5001,V$3,BD!$B$3:$B$5001,$A$211,BD!$Y$3:$Y$5001,"&lt;&gt;")=0,"",SUMIFS(BD!$Y$3:$Y$5001,BD!$A$3:$A$5001,V$3,BD!$B$3:$B$5001,$A$211)))</f>
        <v/>
      </c>
      <c r="W220" s="218" t="str">
        <f>IF(W$3="","",IF(COUNTIFS(BD!$A$3:$A$5001,W$3,BD!$B$3:$B$5001,$A$211,BD!$Y$3:$Y$5001,"&lt;&gt;")=0,"",SUMIFS(BD!$Y$3:$Y$5001,BD!$A$3:$A$5001,W$3,BD!$B$3:$B$5001,$A$211)))</f>
        <v/>
      </c>
      <c r="X220" s="218" t="str">
        <f>IF(X$3="","",IF(COUNTIFS(BD!$A$3:$A$5001,X$3,BD!$B$3:$B$5001,$A$211,BD!$Y$3:$Y$5001,"&lt;&gt;")=0,"",SUMIFS(BD!$Y$3:$Y$5001,BD!$A$3:$A$5001,X$3,BD!$B$3:$B$5001,$A$211)))</f>
        <v/>
      </c>
      <c r="Y220" s="218" t="str">
        <f>IF(Y$3="","",IF(COUNTIFS(BD!$A$3:$A$5001,Y$3,BD!$B$3:$B$5001,$A$211,BD!$Y$3:$Y$5001,"&lt;&gt;")=0,"",SUMIFS(BD!$Y$3:$Y$5001,BD!$A$3:$A$5001,Y$3,BD!$B$3:$B$5001,$A$211)))</f>
        <v/>
      </c>
      <c r="Z220" s="218" t="str">
        <f>IF(Z$3="","",IF(COUNTIFS(BD!$A$3:$A$5001,Z$3,BD!$B$3:$B$5001,$A$211,BD!$Y$3:$Y$5001,"&lt;&gt;")=0,"",SUMIFS(BD!$Y$3:$Y$5001,BD!$A$3:$A$5001,Z$3,BD!$B$3:$B$5001,$A$211)))</f>
        <v/>
      </c>
      <c r="AA220" s="218" t="str">
        <f>IF(AA$3="","",IF(COUNTIFS(BD!$A$3:$A$5001,AA$3,BD!$B$3:$B$5001,$A$211,BD!$Y$3:$Y$5001,"&lt;&gt;")=0,"",SUMIFS(BD!$Y$3:$Y$5001,BD!$A$3:$A$5001,AA$3,BD!$B$3:$B$5001,$A$211)))</f>
        <v/>
      </c>
      <c r="AB220" s="218" t="str">
        <f>IF(AB$3="","",IF(COUNTIFS(BD!$A$3:$A$5001,AB$3,BD!$B$3:$B$5001,$A$211,BD!$Y$3:$Y$5001,"&lt;&gt;")=0,"",SUMIFS(BD!$Y$3:$Y$5001,BD!$A$3:$A$5001,AB$3,BD!$B$3:$B$5001,$A$211)))</f>
        <v/>
      </c>
      <c r="AC220" s="218" t="str">
        <f>IF(AC$3="","",IF(COUNTIFS(BD!$A$3:$A$5001,AC$3,BD!$B$3:$B$5001,$A$211,BD!$Y$3:$Y$5001,"&lt;&gt;")=0,"",SUMIFS(BD!$Y$3:$Y$5001,BD!$A$3:$A$5001,AC$3,BD!$B$3:$B$5001,$A$211)))</f>
        <v/>
      </c>
      <c r="AD220" s="218" t="str">
        <f>IF(AD$3="","",IF(COUNTIFS(BD!$A$3:$A$5001,AD$3,BD!$B$3:$B$5001,$A$211,BD!$Y$3:$Y$5001,"&lt;&gt;")=0,"",SUMIFS(BD!$Y$3:$Y$5001,BD!$A$3:$A$5001,AD$3,BD!$B$3:$B$5001,$A$211)))</f>
        <v/>
      </c>
      <c r="AE220" s="218" t="str">
        <f>IF(AE$3="","",IF(COUNTIFS(BD!$A$3:$A$5001,AE$3,BD!$B$3:$B$5001,$A$211,BD!$Y$3:$Y$5001,"&lt;&gt;")=0,"",SUMIFS(BD!$Y$3:$Y$5001,BD!$A$3:$A$5001,AE$3,BD!$B$3:$B$5001,$A$211)))</f>
        <v/>
      </c>
      <c r="AF220" s="218" t="str">
        <f>IF(AF$3="","",IF(COUNTIFS(BD!$A$3:$A$5001,AF$3,BD!$B$3:$B$5001,$A$211,BD!$Y$3:$Y$5001,"&lt;&gt;")=0,"",SUMIFS(BD!$Y$3:$Y$5001,BD!$A$3:$A$5001,AF$3,BD!$B$3:$B$5001,$A$211)))</f>
        <v/>
      </c>
      <c r="AG220" s="218" t="str">
        <f>IF(AG$3="","",IF(COUNTIFS(BD!$A$3:$A$5001,AG$3,BD!$B$3:$B$5001,$A$211,BD!$Y$3:$Y$5001,"&lt;&gt;")=0,"",SUMIFS(BD!$Y$3:$Y$5001,BD!$A$3:$A$5001,AG$3,BD!$B$3:$B$5001,$A$211)))</f>
        <v/>
      </c>
      <c r="AH220" s="218" t="str">
        <f>IF(AH$3="","",IF(COUNTIFS(BD!$A$3:$A$5001,AH$3,BD!$B$3:$B$5001,$A$211,BD!$Y$3:$Y$5001,"&lt;&gt;")=0,"",SUMIFS(BD!$Y$3:$Y$5001,BD!$A$3:$A$5001,AH$3,BD!$B$3:$B$5001,$A$211)))</f>
        <v/>
      </c>
      <c r="AI220" s="218" t="str">
        <f>IF(AI$3="","",IF(COUNTIFS(BD!$A$3:$A$5001,AI$3,BD!$B$3:$B$5001,$A$211,BD!$Y$3:$Y$5001,"&lt;&gt;")=0,"",SUMIFS(BD!$Y$3:$Y$5001,BD!$A$3:$A$5001,AI$3,BD!$B$3:$B$5001,$A$211)))</f>
        <v/>
      </c>
      <c r="AJ220" s="219" t="str">
        <f>IF(AJ$3="","",IF(COUNTIFS(BD!$A$3:$A$5001,AJ$3,BD!$B$3:$B$5001,$A$211,BD!$Y$3:$Y$5001,"&lt;&gt;")=0,"",SUMIFS(BD!$Y$3:$Y$5001,BD!$A$3:$A$5001,AJ$3,BD!$B$3:$B$5001,$A$211)))</f>
        <v/>
      </c>
      <c r="AK220" s="220" t="str">
        <f>IFERROR(LOOKUP(9.99E+307,F220:AJ220),"")</f>
        <v/>
      </c>
    </row>
    <row r="221" ht="15.75" customHeight="1">
      <c r="A221" s="261"/>
      <c r="B221" s="250"/>
      <c r="C221" s="175" t="inlineStr">
        <is>
          <t xml:space="preserve">Taxa de Ocupação</t>
        </is>
      </c>
      <c r="D221" s="221" t="str">
        <f>IFERROR(1/(1/INDEX(BD!$AL$46:$BF$46,MATCH($A$211,BD!$AL$22:$BF$22,0))),"")</f>
        <v/>
      </c>
      <c r="E221" s="177"/>
      <c r="F221" s="222" t="str">
        <f>IF(AND(ISNUMBER(F219),ISNUMBER(F220)),IF(F219&gt;0,F220/F219,""),"")</f>
        <v/>
      </c>
      <c r="G221" s="223" t="str">
        <f>IF(AND(ISNUMBER(G219),ISNUMBER(G220)),IF(G219&gt;0,G220/G219,""),"")</f>
        <v/>
      </c>
      <c r="H221" s="223" t="str">
        <f>IF(AND(ISNUMBER(H219),ISNUMBER(H220)),IF(H219&gt;0,H220/H219,""),"")</f>
        <v/>
      </c>
      <c r="I221" s="223" t="str">
        <f>IF(AND(ISNUMBER(I219),ISNUMBER(I220)),IF(I219&gt;0,I220/I219,""),"")</f>
        <v/>
      </c>
      <c r="J221" s="223" t="str">
        <f>IF(AND(ISNUMBER(J219),ISNUMBER(J220)),IF(J219&gt;0,J220/J219,""),"")</f>
        <v/>
      </c>
      <c r="K221" s="223" t="str">
        <f>IF(AND(ISNUMBER(K219),ISNUMBER(K220)),IF(K219&gt;0,K220/K219,""),"")</f>
        <v/>
      </c>
      <c r="L221" s="223" t="str">
        <f>IF(AND(ISNUMBER(L219),ISNUMBER(L220)),IF(L219&gt;0,L220/L219,""),"")</f>
        <v/>
      </c>
      <c r="M221" s="223" t="str">
        <f>IF(AND(ISNUMBER(M219),ISNUMBER(M220)),IF(M219&gt;0,M220/M219,""),"")</f>
        <v/>
      </c>
      <c r="N221" s="223" t="str">
        <f>IF(AND(ISNUMBER(N219),ISNUMBER(N220)),IF(N219&gt;0,N220/N219,""),"")</f>
        <v/>
      </c>
      <c r="O221" s="223" t="str">
        <f>IF(AND(ISNUMBER(O219),ISNUMBER(O220)),IF(O219&gt;0,O220/O219,""),"")</f>
        <v/>
      </c>
      <c r="P221" s="223" t="str">
        <f>IF(AND(ISNUMBER(P219),ISNUMBER(P220)),IF(P219&gt;0,P220/P219,""),"")</f>
        <v/>
      </c>
      <c r="Q221" s="223" t="str">
        <f>IF(AND(ISNUMBER(Q219),ISNUMBER(Q220)),IF(Q219&gt;0,Q220/Q219,""),"")</f>
        <v/>
      </c>
      <c r="R221" s="223" t="str">
        <f>IF(AND(ISNUMBER(R219),ISNUMBER(R220)),IF(R219&gt;0,R220/R219,""),"")</f>
        <v/>
      </c>
      <c r="S221" s="223" t="str">
        <f>IF(AND(ISNUMBER(S219),ISNUMBER(S220)),IF(S219&gt;0,S220/S219,""),"")</f>
        <v/>
      </c>
      <c r="T221" s="223" t="str">
        <f>IF(AND(ISNUMBER(T219),ISNUMBER(T220)),IF(T219&gt;0,T220/T219,""),"")</f>
        <v/>
      </c>
      <c r="U221" s="223" t="str">
        <f>IF(AND(ISNUMBER(U219),ISNUMBER(U220)),IF(U219&gt;0,U220/U219,""),"")</f>
        <v/>
      </c>
      <c r="V221" s="223" t="str">
        <f>IF(AND(ISNUMBER(V219),ISNUMBER(V220)),IF(V219&gt;0,V220/V219,""),"")</f>
        <v/>
      </c>
      <c r="W221" s="223" t="str">
        <f>IF(AND(ISNUMBER(W219),ISNUMBER(W220)),IF(W219&gt;0,W220/W219,""),"")</f>
        <v/>
      </c>
      <c r="X221" s="223" t="str">
        <f>IF(AND(ISNUMBER(X219),ISNUMBER(X220)),IF(X219&gt;0,X220/X219,""),"")</f>
        <v/>
      </c>
      <c r="Y221" s="223" t="str">
        <f>IF(AND(ISNUMBER(Y219),ISNUMBER(Y220)),IF(Y219&gt;0,Y220/Y219,""),"")</f>
        <v/>
      </c>
      <c r="Z221" s="223" t="str">
        <f>IF(AND(ISNUMBER(Z219),ISNUMBER(Z220)),IF(Z219&gt;0,Z220/Z219,""),"")</f>
        <v/>
      </c>
      <c r="AA221" s="223" t="str">
        <f>IF(AND(ISNUMBER(AA219),ISNUMBER(AA220)),IF(AA219&gt;0,AA220/AA219,""),"")</f>
        <v/>
      </c>
      <c r="AB221" s="223" t="str">
        <f>IF(AND(ISNUMBER(AB219),ISNUMBER(AB220)),IF(AB219&gt;0,AB220/AB219,""),"")</f>
        <v/>
      </c>
      <c r="AC221" s="223" t="str">
        <f>IF(AND(ISNUMBER(AC219),ISNUMBER(AC220)),IF(AC219&gt;0,AC220/AC219,""),"")</f>
        <v/>
      </c>
      <c r="AD221" s="223" t="str">
        <f>IF(AND(ISNUMBER(AD219),ISNUMBER(AD220)),IF(AD219&gt;0,AD220/AD219,""),"")</f>
        <v/>
      </c>
      <c r="AE221" s="223" t="str">
        <f>IF(AND(ISNUMBER(AE219),ISNUMBER(AE220)),IF(AE219&gt;0,AE220/AE219,""),"")</f>
        <v/>
      </c>
      <c r="AF221" s="223" t="str">
        <f>IF(AND(ISNUMBER(AF219),ISNUMBER(AF220)),IF(AF219&gt;0,AF220/AF219,""),"")</f>
        <v/>
      </c>
      <c r="AG221" s="223" t="str">
        <f>IF(AND(ISNUMBER(AG219),ISNUMBER(AG220)),IF(AG219&gt;0,AG220/AG219,""),"")</f>
        <v/>
      </c>
      <c r="AH221" s="223" t="str">
        <f>IF(AND(ISNUMBER(AH219),ISNUMBER(AH220)),IF(AH219&gt;0,AH220/AH219,""),"")</f>
        <v/>
      </c>
      <c r="AI221" s="223" t="str">
        <f>IF(AND(ISNUMBER(AI219),ISNUMBER(AI220)),IF(AI219&gt;0,AI220/AI219,""),"")</f>
        <v/>
      </c>
      <c r="AJ221" s="224" t="str">
        <f>IF(AND(ISNUMBER(AJ219),ISNUMBER(AJ220)),IF(AJ219&gt;0,AJ220/AJ219,""),"")</f>
        <v/>
      </c>
      <c r="AK221" s="221" t="str">
        <f>IF(AND(ISNUMBER(AK219),ISNUMBER(AK220)),IF(AK219&gt;0,AK220/AK219,""),"")</f>
        <v/>
      </c>
    </row>
    <row r="222" ht="15.75" customHeight="1">
      <c r="A222" s="261"/>
      <c r="B222" s="257" t="inlineStr">
        <is>
          <t xml:space="preserve">GENTE</t>
        </is>
      </c>
      <c r="C222" s="225" t="inlineStr">
        <is>
          <t xml:space="preserve">Efetivo Op.</t>
        </is>
      </c>
      <c r="D222" s="226" t="str">
        <f>IFERROR(1/(1/INDEX(BD!$AL$47:$BF$47,MATCH($A$211,BD!$AL$22:$BF$22,0))),"")</f>
        <v/>
      </c>
      <c r="E222" s="227"/>
      <c r="F222" s="228" t="str">
        <f>IF(F$3="","",IF(COUNTIFS(BD!$A$3:$A$5001,F$3,BD!$B$3:$B$5001,$A$211,BD!$Z$3:$Z$5001,"&lt;&gt;")=0,"",SUMIFS(BD!$Z$3:$Z$5001,BD!$A$3:$A$5001,F$3,BD!$B$3:$B$5001,$A$211)))</f>
        <v/>
      </c>
      <c r="G222" s="229" t="str">
        <f>IF(G$3="","",IF(COUNTIFS(BD!$A$3:$A$5001,G$3,BD!$B$3:$B$5001,$A$211,BD!$Z$3:$Z$5001,"&lt;&gt;")=0,"",SUMIFS(BD!$Z$3:$Z$5001,BD!$A$3:$A$5001,G$3,BD!$B$3:$B$5001,$A$211)))</f>
        <v/>
      </c>
      <c r="H222" s="229" t="str">
        <f>IF(H$3="","",IF(COUNTIFS(BD!$A$3:$A$5001,H$3,BD!$B$3:$B$5001,$A$211,BD!$Z$3:$Z$5001,"&lt;&gt;")=0,"",SUMIFS(BD!$Z$3:$Z$5001,BD!$A$3:$A$5001,H$3,BD!$B$3:$B$5001,$A$211)))</f>
        <v/>
      </c>
      <c r="I222" s="229" t="str">
        <f>IF(I$3="","",IF(COUNTIFS(BD!$A$3:$A$5001,I$3,BD!$B$3:$B$5001,$A$211,BD!$Z$3:$Z$5001,"&lt;&gt;")=0,"",SUMIFS(BD!$Z$3:$Z$5001,BD!$A$3:$A$5001,I$3,BD!$B$3:$B$5001,$A$211)))</f>
        <v/>
      </c>
      <c r="J222" s="229" t="str">
        <f>IF(J$3="","",IF(COUNTIFS(BD!$A$3:$A$5001,J$3,BD!$B$3:$B$5001,$A$211,BD!$Z$3:$Z$5001,"&lt;&gt;")=0,"",SUMIFS(BD!$Z$3:$Z$5001,BD!$A$3:$A$5001,J$3,BD!$B$3:$B$5001,$A$211)))</f>
        <v/>
      </c>
      <c r="K222" s="229" t="str">
        <f>IF(K$3="","",IF(COUNTIFS(BD!$A$3:$A$5001,K$3,BD!$B$3:$B$5001,$A$211,BD!$Z$3:$Z$5001,"&lt;&gt;")=0,"",SUMIFS(BD!$Z$3:$Z$5001,BD!$A$3:$A$5001,K$3,BD!$B$3:$B$5001,$A$211)))</f>
        <v/>
      </c>
      <c r="L222" s="229" t="str">
        <f>IF(L$3="","",IF(COUNTIFS(BD!$A$3:$A$5001,L$3,BD!$B$3:$B$5001,$A$211,BD!$Z$3:$Z$5001,"&lt;&gt;")=0,"",SUMIFS(BD!$Z$3:$Z$5001,BD!$A$3:$A$5001,L$3,BD!$B$3:$B$5001,$A$211)))</f>
        <v/>
      </c>
      <c r="M222" s="229" t="str">
        <f>IF(M$3="","",IF(COUNTIFS(BD!$A$3:$A$5001,M$3,BD!$B$3:$B$5001,$A$211,BD!$Z$3:$Z$5001,"&lt;&gt;")=0,"",SUMIFS(BD!$Z$3:$Z$5001,BD!$A$3:$A$5001,M$3,BD!$B$3:$B$5001,$A$211)))</f>
        <v/>
      </c>
      <c r="N222" s="229" t="str">
        <f>IF(N$3="","",IF(COUNTIFS(BD!$A$3:$A$5001,N$3,BD!$B$3:$B$5001,$A$211,BD!$Z$3:$Z$5001,"&lt;&gt;")=0,"",SUMIFS(BD!$Z$3:$Z$5001,BD!$A$3:$A$5001,N$3,BD!$B$3:$B$5001,$A$211)))</f>
        <v/>
      </c>
      <c r="O222" s="229" t="str">
        <f>IF(O$3="","",IF(COUNTIFS(BD!$A$3:$A$5001,O$3,BD!$B$3:$B$5001,$A$211,BD!$Z$3:$Z$5001,"&lt;&gt;")=0,"",SUMIFS(BD!$Z$3:$Z$5001,BD!$A$3:$A$5001,O$3,BD!$B$3:$B$5001,$A$211)))</f>
        <v/>
      </c>
      <c r="P222" s="229" t="str">
        <f>IF(P$3="","",IF(COUNTIFS(BD!$A$3:$A$5001,P$3,BD!$B$3:$B$5001,$A$211,BD!$Z$3:$Z$5001,"&lt;&gt;")=0,"",SUMIFS(BD!$Z$3:$Z$5001,BD!$A$3:$A$5001,P$3,BD!$B$3:$B$5001,$A$211)))</f>
        <v/>
      </c>
      <c r="Q222" s="229" t="str">
        <f>IF(Q$3="","",IF(COUNTIFS(BD!$A$3:$A$5001,Q$3,BD!$B$3:$B$5001,$A$211,BD!$Z$3:$Z$5001,"&lt;&gt;")=0,"",SUMIFS(BD!$Z$3:$Z$5001,BD!$A$3:$A$5001,Q$3,BD!$B$3:$B$5001,$A$211)))</f>
        <v/>
      </c>
      <c r="R222" s="229" t="str">
        <f>IF(R$3="","",IF(COUNTIFS(BD!$A$3:$A$5001,R$3,BD!$B$3:$B$5001,$A$211,BD!$Z$3:$Z$5001,"&lt;&gt;")=0,"",SUMIFS(BD!$Z$3:$Z$5001,BD!$A$3:$A$5001,R$3,BD!$B$3:$B$5001,$A$211)))</f>
        <v/>
      </c>
      <c r="S222" s="229" t="str">
        <f>IF(S$3="","",IF(COUNTIFS(BD!$A$3:$A$5001,S$3,BD!$B$3:$B$5001,$A$211,BD!$Z$3:$Z$5001,"&lt;&gt;")=0,"",SUMIFS(BD!$Z$3:$Z$5001,BD!$A$3:$A$5001,S$3,BD!$B$3:$B$5001,$A$211)))</f>
        <v/>
      </c>
      <c r="T222" s="229" t="str">
        <f>IF(T$3="","",IF(COUNTIFS(BD!$A$3:$A$5001,T$3,BD!$B$3:$B$5001,$A$211,BD!$Z$3:$Z$5001,"&lt;&gt;")=0,"",SUMIFS(BD!$Z$3:$Z$5001,BD!$A$3:$A$5001,T$3,BD!$B$3:$B$5001,$A$211)))</f>
        <v/>
      </c>
      <c r="U222" s="229" t="str">
        <f>IF(U$3="","",IF(COUNTIFS(BD!$A$3:$A$5001,U$3,BD!$B$3:$B$5001,$A$211,BD!$Z$3:$Z$5001,"&lt;&gt;")=0,"",SUMIFS(BD!$Z$3:$Z$5001,BD!$A$3:$A$5001,U$3,BD!$B$3:$B$5001,$A$211)))</f>
        <v/>
      </c>
      <c r="V222" s="229" t="str">
        <f>IF(V$3="","",IF(COUNTIFS(BD!$A$3:$A$5001,V$3,BD!$B$3:$B$5001,$A$211,BD!$Z$3:$Z$5001,"&lt;&gt;")=0,"",SUMIFS(BD!$Z$3:$Z$5001,BD!$A$3:$A$5001,V$3,BD!$B$3:$B$5001,$A$211)))</f>
        <v/>
      </c>
      <c r="W222" s="229" t="str">
        <f>IF(W$3="","",IF(COUNTIFS(BD!$A$3:$A$5001,W$3,BD!$B$3:$B$5001,$A$211,BD!$Z$3:$Z$5001,"&lt;&gt;")=0,"",SUMIFS(BD!$Z$3:$Z$5001,BD!$A$3:$A$5001,W$3,BD!$B$3:$B$5001,$A$211)))</f>
        <v/>
      </c>
      <c r="X222" s="229" t="str">
        <f>IF(X$3="","",IF(COUNTIFS(BD!$A$3:$A$5001,X$3,BD!$B$3:$B$5001,$A$211,BD!$Z$3:$Z$5001,"&lt;&gt;")=0,"",SUMIFS(BD!$Z$3:$Z$5001,BD!$A$3:$A$5001,X$3,BD!$B$3:$B$5001,$A$211)))</f>
        <v/>
      </c>
      <c r="Y222" s="229" t="str">
        <f>IF(Y$3="","",IF(COUNTIFS(BD!$A$3:$A$5001,Y$3,BD!$B$3:$B$5001,$A$211,BD!$Z$3:$Z$5001,"&lt;&gt;")=0,"",SUMIFS(BD!$Z$3:$Z$5001,BD!$A$3:$A$5001,Y$3,BD!$B$3:$B$5001,$A$211)))</f>
        <v/>
      </c>
      <c r="Z222" s="229" t="str">
        <f>IF(Z$3="","",IF(COUNTIFS(BD!$A$3:$A$5001,Z$3,BD!$B$3:$B$5001,$A$211,BD!$Z$3:$Z$5001,"&lt;&gt;")=0,"",SUMIFS(BD!$Z$3:$Z$5001,BD!$A$3:$A$5001,Z$3,BD!$B$3:$B$5001,$A$211)))</f>
        <v/>
      </c>
      <c r="AA222" s="229" t="str">
        <f>IF(AA$3="","",IF(COUNTIFS(BD!$A$3:$A$5001,AA$3,BD!$B$3:$B$5001,$A$211,BD!$Z$3:$Z$5001,"&lt;&gt;")=0,"",SUMIFS(BD!$Z$3:$Z$5001,BD!$A$3:$A$5001,AA$3,BD!$B$3:$B$5001,$A$211)))</f>
        <v/>
      </c>
      <c r="AB222" s="229" t="str">
        <f>IF(AB$3="","",IF(COUNTIFS(BD!$A$3:$A$5001,AB$3,BD!$B$3:$B$5001,$A$211,BD!$Z$3:$Z$5001,"&lt;&gt;")=0,"",SUMIFS(BD!$Z$3:$Z$5001,BD!$A$3:$A$5001,AB$3,BD!$B$3:$B$5001,$A$211)))</f>
        <v/>
      </c>
      <c r="AC222" s="229" t="str">
        <f>IF(AC$3="","",IF(COUNTIFS(BD!$A$3:$A$5001,AC$3,BD!$B$3:$B$5001,$A$211,BD!$Z$3:$Z$5001,"&lt;&gt;")=0,"",SUMIFS(BD!$Z$3:$Z$5001,BD!$A$3:$A$5001,AC$3,BD!$B$3:$B$5001,$A$211)))</f>
        <v/>
      </c>
      <c r="AD222" s="229" t="str">
        <f>IF(AD$3="","",IF(COUNTIFS(BD!$A$3:$A$5001,AD$3,BD!$B$3:$B$5001,$A$211,BD!$Z$3:$Z$5001,"&lt;&gt;")=0,"",SUMIFS(BD!$Z$3:$Z$5001,BD!$A$3:$A$5001,AD$3,BD!$B$3:$B$5001,$A$211)))</f>
        <v/>
      </c>
      <c r="AE222" s="229" t="str">
        <f>IF(AE$3="","",IF(COUNTIFS(BD!$A$3:$A$5001,AE$3,BD!$B$3:$B$5001,$A$211,BD!$Z$3:$Z$5001,"&lt;&gt;")=0,"",SUMIFS(BD!$Z$3:$Z$5001,BD!$A$3:$A$5001,AE$3,BD!$B$3:$B$5001,$A$211)))</f>
        <v/>
      </c>
      <c r="AF222" s="229" t="str">
        <f>IF(AF$3="","",IF(COUNTIFS(BD!$A$3:$A$5001,AF$3,BD!$B$3:$B$5001,$A$211,BD!$Z$3:$Z$5001,"&lt;&gt;")=0,"",SUMIFS(BD!$Z$3:$Z$5001,BD!$A$3:$A$5001,AF$3,BD!$B$3:$B$5001,$A$211)))</f>
        <v/>
      </c>
      <c r="AG222" s="229" t="str">
        <f>IF(AG$3="","",IF(COUNTIFS(BD!$A$3:$A$5001,AG$3,BD!$B$3:$B$5001,$A$211,BD!$Z$3:$Z$5001,"&lt;&gt;")=0,"",SUMIFS(BD!$Z$3:$Z$5001,BD!$A$3:$A$5001,AG$3,BD!$B$3:$B$5001,$A$211)))</f>
        <v/>
      </c>
      <c r="AH222" s="229" t="str">
        <f>IF(AH$3="","",IF(COUNTIFS(BD!$A$3:$A$5001,AH$3,BD!$B$3:$B$5001,$A$211,BD!$Z$3:$Z$5001,"&lt;&gt;")=0,"",SUMIFS(BD!$Z$3:$Z$5001,BD!$A$3:$A$5001,AH$3,BD!$B$3:$B$5001,$A$211)))</f>
        <v/>
      </c>
      <c r="AI222" s="229" t="str">
        <f>IF(AI$3="","",IF(COUNTIFS(BD!$A$3:$A$5001,AI$3,BD!$B$3:$B$5001,$A$211,BD!$Z$3:$Z$5001,"&lt;&gt;")=0,"",SUMIFS(BD!$Z$3:$Z$5001,BD!$A$3:$A$5001,AI$3,BD!$B$3:$B$5001,$A$211)))</f>
        <v/>
      </c>
      <c r="AJ222" s="230" t="str">
        <f>IF(AJ$3="","",IF(COUNTIFS(BD!$A$3:$A$5001,AJ$3,BD!$B$3:$B$5001,$A$211,BD!$Z$3:$Z$5001,"&lt;&gt;")=0,"",SUMIFS(BD!$Z$3:$Z$5001,BD!$A$3:$A$5001,AJ$3,BD!$B$3:$B$5001,$A$211)))</f>
        <v/>
      </c>
      <c r="AK222" s="231" t="str">
        <f>IFERROR(LOOKUP(9.99E+307,F222:AJ222),"")</f>
        <v/>
      </c>
    </row>
    <row r="223" ht="15.75" customHeight="1">
      <c r="A223" s="261"/>
      <c r="B223" s="258"/>
      <c r="C223" s="232" t="inlineStr">
        <is>
          <t xml:space="preserve">Falta</t>
        </is>
      </c>
      <c r="D223" s="233" t="str">
        <f>IFERROR(1/(1/INDEX(BD!$AL$48:$BF$48,MATCH($A$211,BD!$AL$22:$BF$22,0))),"")</f>
        <v/>
      </c>
      <c r="E223" s="234"/>
      <c r="F223" s="235" t="str">
        <f>IF(F$3="","",IF(COUNTIFS(BD!$A$3:$A$5001,F$3,BD!$B$3:$B$5001,$A$211,BD!$AA$3:$AA$5001,"&lt;&gt;")=0,"",SUMIFS(BD!$AA$3:$AA$5001,BD!$A$3:$A$5001,F$3,BD!$B$3:$B$5001,$A$211)))</f>
        <v/>
      </c>
      <c r="G223" s="236" t="str">
        <f>IF(G$3="","",IF(COUNTIFS(BD!$A$3:$A$5001,G$3,BD!$B$3:$B$5001,$A$211,BD!$AA$3:$AA$5001,"&lt;&gt;")=0,"",SUMIFS(BD!$AA$3:$AA$5001,BD!$A$3:$A$5001,G$3,BD!$B$3:$B$5001,$A$211)))</f>
        <v/>
      </c>
      <c r="H223" s="236" t="str">
        <f>IF(H$3="","",IF(COUNTIFS(BD!$A$3:$A$5001,H$3,BD!$B$3:$B$5001,$A$211,BD!$AA$3:$AA$5001,"&lt;&gt;")=0,"",SUMIFS(BD!$AA$3:$AA$5001,BD!$A$3:$A$5001,H$3,BD!$B$3:$B$5001,$A$211)))</f>
        <v/>
      </c>
      <c r="I223" s="236" t="str">
        <f>IF(I$3="","",IF(COUNTIFS(BD!$A$3:$A$5001,I$3,BD!$B$3:$B$5001,$A$211,BD!$AA$3:$AA$5001,"&lt;&gt;")=0,"",SUMIFS(BD!$AA$3:$AA$5001,BD!$A$3:$A$5001,I$3,BD!$B$3:$B$5001,$A$211)))</f>
        <v/>
      </c>
      <c r="J223" s="236" t="str">
        <f>IF(J$3="","",IF(COUNTIFS(BD!$A$3:$A$5001,J$3,BD!$B$3:$B$5001,$A$211,BD!$AA$3:$AA$5001,"&lt;&gt;")=0,"",SUMIFS(BD!$AA$3:$AA$5001,BD!$A$3:$A$5001,J$3,BD!$B$3:$B$5001,$A$211)))</f>
        <v/>
      </c>
      <c r="K223" s="236" t="str">
        <f>IF(K$3="","",IF(COUNTIFS(BD!$A$3:$A$5001,K$3,BD!$B$3:$B$5001,$A$211,BD!$AA$3:$AA$5001,"&lt;&gt;")=0,"",SUMIFS(BD!$AA$3:$AA$5001,BD!$A$3:$A$5001,K$3,BD!$B$3:$B$5001,$A$211)))</f>
        <v/>
      </c>
      <c r="L223" s="236" t="str">
        <f>IF(L$3="","",IF(COUNTIFS(BD!$A$3:$A$5001,L$3,BD!$B$3:$B$5001,$A$211,BD!$AA$3:$AA$5001,"&lt;&gt;")=0,"",SUMIFS(BD!$AA$3:$AA$5001,BD!$A$3:$A$5001,L$3,BD!$B$3:$B$5001,$A$211)))</f>
        <v/>
      </c>
      <c r="M223" s="236" t="str">
        <f>IF(M$3="","",IF(COUNTIFS(BD!$A$3:$A$5001,M$3,BD!$B$3:$B$5001,$A$211,BD!$AA$3:$AA$5001,"&lt;&gt;")=0,"",SUMIFS(BD!$AA$3:$AA$5001,BD!$A$3:$A$5001,M$3,BD!$B$3:$B$5001,$A$211)))</f>
        <v/>
      </c>
      <c r="N223" s="236" t="str">
        <f>IF(N$3="","",IF(COUNTIFS(BD!$A$3:$A$5001,N$3,BD!$B$3:$B$5001,$A$211,BD!$AA$3:$AA$5001,"&lt;&gt;")=0,"",SUMIFS(BD!$AA$3:$AA$5001,BD!$A$3:$A$5001,N$3,BD!$B$3:$B$5001,$A$211)))</f>
        <v/>
      </c>
      <c r="O223" s="236" t="str">
        <f>IF(O$3="","",IF(COUNTIFS(BD!$A$3:$A$5001,O$3,BD!$B$3:$B$5001,$A$211,BD!$AA$3:$AA$5001,"&lt;&gt;")=0,"",SUMIFS(BD!$AA$3:$AA$5001,BD!$A$3:$A$5001,O$3,BD!$B$3:$B$5001,$A$211)))</f>
        <v/>
      </c>
      <c r="P223" s="236" t="str">
        <f>IF(P$3="","",IF(COUNTIFS(BD!$A$3:$A$5001,P$3,BD!$B$3:$B$5001,$A$211,BD!$AA$3:$AA$5001,"&lt;&gt;")=0,"",SUMIFS(BD!$AA$3:$AA$5001,BD!$A$3:$A$5001,P$3,BD!$B$3:$B$5001,$A$211)))</f>
        <v/>
      </c>
      <c r="Q223" s="236" t="str">
        <f>IF(Q$3="","",IF(COUNTIFS(BD!$A$3:$A$5001,Q$3,BD!$B$3:$B$5001,$A$211,BD!$AA$3:$AA$5001,"&lt;&gt;")=0,"",SUMIFS(BD!$AA$3:$AA$5001,BD!$A$3:$A$5001,Q$3,BD!$B$3:$B$5001,$A$211)))</f>
        <v/>
      </c>
      <c r="R223" s="236" t="str">
        <f>IF(R$3="","",IF(COUNTIFS(BD!$A$3:$A$5001,R$3,BD!$B$3:$B$5001,$A$211,BD!$AA$3:$AA$5001,"&lt;&gt;")=0,"",SUMIFS(BD!$AA$3:$AA$5001,BD!$A$3:$A$5001,R$3,BD!$B$3:$B$5001,$A$211)))</f>
        <v/>
      </c>
      <c r="S223" s="236" t="str">
        <f>IF(S$3="","",IF(COUNTIFS(BD!$A$3:$A$5001,S$3,BD!$B$3:$B$5001,$A$211,BD!$AA$3:$AA$5001,"&lt;&gt;")=0,"",SUMIFS(BD!$AA$3:$AA$5001,BD!$A$3:$A$5001,S$3,BD!$B$3:$B$5001,$A$211)))</f>
        <v/>
      </c>
      <c r="T223" s="236" t="str">
        <f>IF(T$3="","",IF(COUNTIFS(BD!$A$3:$A$5001,T$3,BD!$B$3:$B$5001,$A$211,BD!$AA$3:$AA$5001,"&lt;&gt;")=0,"",SUMIFS(BD!$AA$3:$AA$5001,BD!$A$3:$A$5001,T$3,BD!$B$3:$B$5001,$A$211)))</f>
        <v/>
      </c>
      <c r="U223" s="236" t="str">
        <f>IF(U$3="","",IF(COUNTIFS(BD!$A$3:$A$5001,U$3,BD!$B$3:$B$5001,$A$211,BD!$AA$3:$AA$5001,"&lt;&gt;")=0,"",SUMIFS(BD!$AA$3:$AA$5001,BD!$A$3:$A$5001,U$3,BD!$B$3:$B$5001,$A$211)))</f>
        <v/>
      </c>
      <c r="V223" s="236" t="str">
        <f>IF(V$3="","",IF(COUNTIFS(BD!$A$3:$A$5001,V$3,BD!$B$3:$B$5001,$A$211,BD!$AA$3:$AA$5001,"&lt;&gt;")=0,"",SUMIFS(BD!$AA$3:$AA$5001,BD!$A$3:$A$5001,V$3,BD!$B$3:$B$5001,$A$211)))</f>
        <v/>
      </c>
      <c r="W223" s="236" t="str">
        <f>IF(W$3="","",IF(COUNTIFS(BD!$A$3:$A$5001,W$3,BD!$B$3:$B$5001,$A$211,BD!$AA$3:$AA$5001,"&lt;&gt;")=0,"",SUMIFS(BD!$AA$3:$AA$5001,BD!$A$3:$A$5001,W$3,BD!$B$3:$B$5001,$A$211)))</f>
        <v/>
      </c>
      <c r="X223" s="236" t="str">
        <f>IF(X$3="","",IF(COUNTIFS(BD!$A$3:$A$5001,X$3,BD!$B$3:$B$5001,$A$211,BD!$AA$3:$AA$5001,"&lt;&gt;")=0,"",SUMIFS(BD!$AA$3:$AA$5001,BD!$A$3:$A$5001,X$3,BD!$B$3:$B$5001,$A$211)))</f>
        <v/>
      </c>
      <c r="Y223" s="236" t="str">
        <f>IF(Y$3="","",IF(COUNTIFS(BD!$A$3:$A$5001,Y$3,BD!$B$3:$B$5001,$A$211,BD!$AA$3:$AA$5001,"&lt;&gt;")=0,"",SUMIFS(BD!$AA$3:$AA$5001,BD!$A$3:$A$5001,Y$3,BD!$B$3:$B$5001,$A$211)))</f>
        <v/>
      </c>
      <c r="Z223" s="236" t="str">
        <f>IF(Z$3="","",IF(COUNTIFS(BD!$A$3:$A$5001,Z$3,BD!$B$3:$B$5001,$A$211,BD!$AA$3:$AA$5001,"&lt;&gt;")=0,"",SUMIFS(BD!$AA$3:$AA$5001,BD!$A$3:$A$5001,Z$3,BD!$B$3:$B$5001,$A$211)))</f>
        <v/>
      </c>
      <c r="AA223" s="236" t="str">
        <f>IF(AA$3="","",IF(COUNTIFS(BD!$A$3:$A$5001,AA$3,BD!$B$3:$B$5001,$A$211,BD!$AA$3:$AA$5001,"&lt;&gt;")=0,"",SUMIFS(BD!$AA$3:$AA$5001,BD!$A$3:$A$5001,AA$3,BD!$B$3:$B$5001,$A$211)))</f>
        <v/>
      </c>
      <c r="AB223" s="236" t="str">
        <f>IF(AB$3="","",IF(COUNTIFS(BD!$A$3:$A$5001,AB$3,BD!$B$3:$B$5001,$A$211,BD!$AA$3:$AA$5001,"&lt;&gt;")=0,"",SUMIFS(BD!$AA$3:$AA$5001,BD!$A$3:$A$5001,AB$3,BD!$B$3:$B$5001,$A$211)))</f>
        <v/>
      </c>
      <c r="AC223" s="236" t="str">
        <f>IF(AC$3="","",IF(COUNTIFS(BD!$A$3:$A$5001,AC$3,BD!$B$3:$B$5001,$A$211,BD!$AA$3:$AA$5001,"&lt;&gt;")=0,"",SUMIFS(BD!$AA$3:$AA$5001,BD!$A$3:$A$5001,AC$3,BD!$B$3:$B$5001,$A$211)))</f>
        <v/>
      </c>
      <c r="AD223" s="236" t="str">
        <f>IF(AD$3="","",IF(COUNTIFS(BD!$A$3:$A$5001,AD$3,BD!$B$3:$B$5001,$A$211,BD!$AA$3:$AA$5001,"&lt;&gt;")=0,"",SUMIFS(BD!$AA$3:$AA$5001,BD!$A$3:$A$5001,AD$3,BD!$B$3:$B$5001,$A$211)))</f>
        <v/>
      </c>
      <c r="AE223" s="236" t="str">
        <f>IF(AE$3="","",IF(COUNTIFS(BD!$A$3:$A$5001,AE$3,BD!$B$3:$B$5001,$A$211,BD!$AA$3:$AA$5001,"&lt;&gt;")=0,"",SUMIFS(BD!$AA$3:$AA$5001,BD!$A$3:$A$5001,AE$3,BD!$B$3:$B$5001,$A$211)))</f>
        <v/>
      </c>
      <c r="AF223" s="236" t="str">
        <f>IF(AF$3="","",IF(COUNTIFS(BD!$A$3:$A$5001,AF$3,BD!$B$3:$B$5001,$A$211,BD!$AA$3:$AA$5001,"&lt;&gt;")=0,"",SUMIFS(BD!$AA$3:$AA$5001,BD!$A$3:$A$5001,AF$3,BD!$B$3:$B$5001,$A$211)))</f>
        <v/>
      </c>
      <c r="AG223" s="236" t="str">
        <f>IF(AG$3="","",IF(COUNTIFS(BD!$A$3:$A$5001,AG$3,BD!$B$3:$B$5001,$A$211,BD!$AA$3:$AA$5001,"&lt;&gt;")=0,"",SUMIFS(BD!$AA$3:$AA$5001,BD!$A$3:$A$5001,AG$3,BD!$B$3:$B$5001,$A$211)))</f>
        <v/>
      </c>
      <c r="AH223" s="236" t="str">
        <f>IF(AH$3="","",IF(COUNTIFS(BD!$A$3:$A$5001,AH$3,BD!$B$3:$B$5001,$A$211,BD!$AA$3:$AA$5001,"&lt;&gt;")=0,"",SUMIFS(BD!$AA$3:$AA$5001,BD!$A$3:$A$5001,AH$3,BD!$B$3:$B$5001,$A$211)))</f>
        <v/>
      </c>
      <c r="AI223" s="236" t="str">
        <f>IF(AI$3="","",IF(COUNTIFS(BD!$A$3:$A$5001,AI$3,BD!$B$3:$B$5001,$A$211,BD!$AA$3:$AA$5001,"&lt;&gt;")=0,"",SUMIFS(BD!$AA$3:$AA$5001,BD!$A$3:$A$5001,AI$3,BD!$B$3:$B$5001,$A$211)))</f>
        <v/>
      </c>
      <c r="AJ223" s="237" t="str">
        <f>IF(AJ$3="","",IF(COUNTIFS(BD!$A$3:$A$5001,AJ$3,BD!$B$3:$B$5001,$A$211,BD!$AA$3:$AA$5001,"&lt;&gt;")=0,"",SUMIFS(BD!$AA$3:$AA$5001,BD!$A$3:$A$5001,AJ$3,BD!$B$3:$B$5001,$A$211)))</f>
        <v/>
      </c>
      <c r="AK223" s="238" t="str">
        <f>IF(COUNT(F223:AJ223)=0,"",SUM(F223:AJ223))</f>
        <v/>
      </c>
    </row>
    <row r="224" ht="15.75" customHeight="1">
      <c r="A224" s="261"/>
      <c r="B224" s="258"/>
      <c r="C224" s="232" t="inlineStr">
        <is>
          <t xml:space="preserve">Absenteísmo (H/H)</t>
        </is>
      </c>
      <c r="D224" s="233" t="str">
        <f>IFERROR(1/(1/INDEX(BD!$AL$49:$BF$49,MATCH($A$211,BD!$AL$22:$BF$22,0))),"")</f>
        <v/>
      </c>
      <c r="E224" s="234"/>
      <c r="F224" s="239" t="str">
        <f>IF(F$3="","",IF(COUNTIFS(BD!$A$3:$A$5001,F$3,BD!$B$3:$B$5001,$A$211,BD!$AB$3:$AB$5001,"&lt;&gt;")=0,"",SUMIFS(BD!$AB$3:$AB$5001,BD!$A$3:$A$5001,F$3,BD!$B$3:$B$5001,$A$211)))</f>
        <v/>
      </c>
      <c r="G224" s="240" t="str">
        <f>IF(G$3="","",IF(COUNTIFS(BD!$A$3:$A$5001,G$3,BD!$B$3:$B$5001,$A$211,BD!$AB$3:$AB$5001,"&lt;&gt;")=0,"",SUMIFS(BD!$AB$3:$AB$5001,BD!$A$3:$A$5001,G$3,BD!$B$3:$B$5001,$A$211)))</f>
        <v/>
      </c>
      <c r="H224" s="240" t="str">
        <f>IF(H$3="","",IF(COUNTIFS(BD!$A$3:$A$5001,H$3,BD!$B$3:$B$5001,$A$211,BD!$AB$3:$AB$5001,"&lt;&gt;")=0,"",SUMIFS(BD!$AB$3:$AB$5001,BD!$A$3:$A$5001,H$3,BD!$B$3:$B$5001,$A$211)))</f>
        <v/>
      </c>
      <c r="I224" s="240" t="str">
        <f>IF(I$3="","",IF(COUNTIFS(BD!$A$3:$A$5001,I$3,BD!$B$3:$B$5001,$A$211,BD!$AB$3:$AB$5001,"&lt;&gt;")=0,"",SUMIFS(BD!$AB$3:$AB$5001,BD!$A$3:$A$5001,I$3,BD!$B$3:$B$5001,$A$211)))</f>
        <v/>
      </c>
      <c r="J224" s="240" t="str">
        <f>IF(J$3="","",IF(COUNTIFS(BD!$A$3:$A$5001,J$3,BD!$B$3:$B$5001,$A$211,BD!$AB$3:$AB$5001,"&lt;&gt;")=0,"",SUMIFS(BD!$AB$3:$AB$5001,BD!$A$3:$A$5001,J$3,BD!$B$3:$B$5001,$A$211)))</f>
        <v/>
      </c>
      <c r="K224" s="240" t="str">
        <f>IF(K$3="","",IF(COUNTIFS(BD!$A$3:$A$5001,K$3,BD!$B$3:$B$5001,$A$211,BD!$AB$3:$AB$5001,"&lt;&gt;")=0,"",SUMIFS(BD!$AB$3:$AB$5001,BD!$A$3:$A$5001,K$3,BD!$B$3:$B$5001,$A$211)))</f>
        <v/>
      </c>
      <c r="L224" s="240" t="str">
        <f>IF(L$3="","",IF(COUNTIFS(BD!$A$3:$A$5001,L$3,BD!$B$3:$B$5001,$A$211,BD!$AB$3:$AB$5001,"&lt;&gt;")=0,"",SUMIFS(BD!$AB$3:$AB$5001,BD!$A$3:$A$5001,L$3,BD!$B$3:$B$5001,$A$211)))</f>
        <v/>
      </c>
      <c r="M224" s="240" t="str">
        <f>IF(M$3="","",IF(COUNTIFS(BD!$A$3:$A$5001,M$3,BD!$B$3:$B$5001,$A$211,BD!$AB$3:$AB$5001,"&lt;&gt;")=0,"",SUMIFS(BD!$AB$3:$AB$5001,BD!$A$3:$A$5001,M$3,BD!$B$3:$B$5001,$A$211)))</f>
        <v/>
      </c>
      <c r="N224" s="240" t="str">
        <f>IF(N$3="","",IF(COUNTIFS(BD!$A$3:$A$5001,N$3,BD!$B$3:$B$5001,$A$211,BD!$AB$3:$AB$5001,"&lt;&gt;")=0,"",SUMIFS(BD!$AB$3:$AB$5001,BD!$A$3:$A$5001,N$3,BD!$B$3:$B$5001,$A$211)))</f>
        <v/>
      </c>
      <c r="O224" s="240" t="str">
        <f>IF(O$3="","",IF(COUNTIFS(BD!$A$3:$A$5001,O$3,BD!$B$3:$B$5001,$A$211,BD!$AB$3:$AB$5001,"&lt;&gt;")=0,"",SUMIFS(BD!$AB$3:$AB$5001,BD!$A$3:$A$5001,O$3,BD!$B$3:$B$5001,$A$211)))</f>
        <v/>
      </c>
      <c r="P224" s="240" t="str">
        <f>IF(P$3="","",IF(COUNTIFS(BD!$A$3:$A$5001,P$3,BD!$B$3:$B$5001,$A$211,BD!$AB$3:$AB$5001,"&lt;&gt;")=0,"",SUMIFS(BD!$AB$3:$AB$5001,BD!$A$3:$A$5001,P$3,BD!$B$3:$B$5001,$A$211)))</f>
        <v/>
      </c>
      <c r="Q224" s="240" t="str">
        <f>IF(Q$3="","",IF(COUNTIFS(BD!$A$3:$A$5001,Q$3,BD!$B$3:$B$5001,$A$211,BD!$AB$3:$AB$5001,"&lt;&gt;")=0,"",SUMIFS(BD!$AB$3:$AB$5001,BD!$A$3:$A$5001,Q$3,BD!$B$3:$B$5001,$A$211)))</f>
        <v/>
      </c>
      <c r="R224" s="240" t="str">
        <f>IF(R$3="","",IF(COUNTIFS(BD!$A$3:$A$5001,R$3,BD!$B$3:$B$5001,$A$211,BD!$AB$3:$AB$5001,"&lt;&gt;")=0,"",SUMIFS(BD!$AB$3:$AB$5001,BD!$A$3:$A$5001,R$3,BD!$B$3:$B$5001,$A$211)))</f>
        <v/>
      </c>
      <c r="S224" s="240" t="str">
        <f>IF(S$3="","",IF(COUNTIFS(BD!$A$3:$A$5001,S$3,BD!$B$3:$B$5001,$A$211,BD!$AB$3:$AB$5001,"&lt;&gt;")=0,"",SUMIFS(BD!$AB$3:$AB$5001,BD!$A$3:$A$5001,S$3,BD!$B$3:$B$5001,$A$211)))</f>
        <v/>
      </c>
      <c r="T224" s="240" t="str">
        <f>IF(T$3="","",IF(COUNTIFS(BD!$A$3:$A$5001,T$3,BD!$B$3:$B$5001,$A$211,BD!$AB$3:$AB$5001,"&lt;&gt;")=0,"",SUMIFS(BD!$AB$3:$AB$5001,BD!$A$3:$A$5001,T$3,BD!$B$3:$B$5001,$A$211)))</f>
        <v/>
      </c>
      <c r="U224" s="240" t="str">
        <f>IF(U$3="","",IF(COUNTIFS(BD!$A$3:$A$5001,U$3,BD!$B$3:$B$5001,$A$211,BD!$AB$3:$AB$5001,"&lt;&gt;")=0,"",SUMIFS(BD!$AB$3:$AB$5001,BD!$A$3:$A$5001,U$3,BD!$B$3:$B$5001,$A$211)))</f>
        <v/>
      </c>
      <c r="V224" s="240" t="str">
        <f>IF(V$3="","",IF(COUNTIFS(BD!$A$3:$A$5001,V$3,BD!$B$3:$B$5001,$A$211,BD!$AB$3:$AB$5001,"&lt;&gt;")=0,"",SUMIFS(BD!$AB$3:$AB$5001,BD!$A$3:$A$5001,V$3,BD!$B$3:$B$5001,$A$211)))</f>
        <v/>
      </c>
      <c r="W224" s="240" t="str">
        <f>IF(W$3="","",IF(COUNTIFS(BD!$A$3:$A$5001,W$3,BD!$B$3:$B$5001,$A$211,BD!$AB$3:$AB$5001,"&lt;&gt;")=0,"",SUMIFS(BD!$AB$3:$AB$5001,BD!$A$3:$A$5001,W$3,BD!$B$3:$B$5001,$A$211)))</f>
        <v/>
      </c>
      <c r="X224" s="240" t="str">
        <f>IF(X$3="","",IF(COUNTIFS(BD!$A$3:$A$5001,X$3,BD!$B$3:$B$5001,$A$211,BD!$AB$3:$AB$5001,"&lt;&gt;")=0,"",SUMIFS(BD!$AB$3:$AB$5001,BD!$A$3:$A$5001,X$3,BD!$B$3:$B$5001,$A$211)))</f>
        <v/>
      </c>
      <c r="Y224" s="240" t="str">
        <f>IF(Y$3="","",IF(COUNTIFS(BD!$A$3:$A$5001,Y$3,BD!$B$3:$B$5001,$A$211,BD!$AB$3:$AB$5001,"&lt;&gt;")=0,"",SUMIFS(BD!$AB$3:$AB$5001,BD!$A$3:$A$5001,Y$3,BD!$B$3:$B$5001,$A$211)))</f>
        <v/>
      </c>
      <c r="Z224" s="240" t="str">
        <f>IF(Z$3="","",IF(COUNTIFS(BD!$A$3:$A$5001,Z$3,BD!$B$3:$B$5001,$A$211,BD!$AB$3:$AB$5001,"&lt;&gt;")=0,"",SUMIFS(BD!$AB$3:$AB$5001,BD!$A$3:$A$5001,Z$3,BD!$B$3:$B$5001,$A$211)))</f>
        <v/>
      </c>
      <c r="AA224" s="240" t="str">
        <f>IF(AA$3="","",IF(COUNTIFS(BD!$A$3:$A$5001,AA$3,BD!$B$3:$B$5001,$A$211,BD!$AB$3:$AB$5001,"&lt;&gt;")=0,"",SUMIFS(BD!$AB$3:$AB$5001,BD!$A$3:$A$5001,AA$3,BD!$B$3:$B$5001,$A$211)))</f>
        <v/>
      </c>
      <c r="AB224" s="240" t="str">
        <f>IF(AB$3="","",IF(COUNTIFS(BD!$A$3:$A$5001,AB$3,BD!$B$3:$B$5001,$A$211,BD!$AB$3:$AB$5001,"&lt;&gt;")=0,"",SUMIFS(BD!$AB$3:$AB$5001,BD!$A$3:$A$5001,AB$3,BD!$B$3:$B$5001,$A$211)))</f>
        <v/>
      </c>
      <c r="AC224" s="240" t="str">
        <f>IF(AC$3="","",IF(COUNTIFS(BD!$A$3:$A$5001,AC$3,BD!$B$3:$B$5001,$A$211,BD!$AB$3:$AB$5001,"&lt;&gt;")=0,"",SUMIFS(BD!$AB$3:$AB$5001,BD!$A$3:$A$5001,AC$3,BD!$B$3:$B$5001,$A$211)))</f>
        <v/>
      </c>
      <c r="AD224" s="240" t="str">
        <f>IF(AD$3="","",IF(COUNTIFS(BD!$A$3:$A$5001,AD$3,BD!$B$3:$B$5001,$A$211,BD!$AB$3:$AB$5001,"&lt;&gt;")=0,"",SUMIFS(BD!$AB$3:$AB$5001,BD!$A$3:$A$5001,AD$3,BD!$B$3:$B$5001,$A$211)))</f>
        <v/>
      </c>
      <c r="AE224" s="240" t="str">
        <f>IF(AE$3="","",IF(COUNTIFS(BD!$A$3:$A$5001,AE$3,BD!$B$3:$B$5001,$A$211,BD!$AB$3:$AB$5001,"&lt;&gt;")=0,"",SUMIFS(BD!$AB$3:$AB$5001,BD!$A$3:$A$5001,AE$3,BD!$B$3:$B$5001,$A$211)))</f>
        <v/>
      </c>
      <c r="AF224" s="240" t="str">
        <f>IF(AF$3="","",IF(COUNTIFS(BD!$A$3:$A$5001,AF$3,BD!$B$3:$B$5001,$A$211,BD!$AB$3:$AB$5001,"&lt;&gt;")=0,"",SUMIFS(BD!$AB$3:$AB$5001,BD!$A$3:$A$5001,AF$3,BD!$B$3:$B$5001,$A$211)))</f>
        <v/>
      </c>
      <c r="AG224" s="240" t="str">
        <f>IF(AG$3="","",IF(COUNTIFS(BD!$A$3:$A$5001,AG$3,BD!$B$3:$B$5001,$A$211,BD!$AB$3:$AB$5001,"&lt;&gt;")=0,"",SUMIFS(BD!$AB$3:$AB$5001,BD!$A$3:$A$5001,AG$3,BD!$B$3:$B$5001,$A$211)))</f>
        <v/>
      </c>
      <c r="AH224" s="240" t="str">
        <f>IF(AH$3="","",IF(COUNTIFS(BD!$A$3:$A$5001,AH$3,BD!$B$3:$B$5001,$A$211,BD!$AB$3:$AB$5001,"&lt;&gt;")=0,"",SUMIFS(BD!$AB$3:$AB$5001,BD!$A$3:$A$5001,AH$3,BD!$B$3:$B$5001,$A$211)))</f>
        <v/>
      </c>
      <c r="AI224" s="240" t="str">
        <f>IF(AI$3="","",IF(COUNTIFS(BD!$A$3:$A$5001,AI$3,BD!$B$3:$B$5001,$A$211,BD!$AB$3:$AB$5001,"&lt;&gt;")=0,"",SUMIFS(BD!$AB$3:$AB$5001,BD!$A$3:$A$5001,AI$3,BD!$B$3:$B$5001,$A$211)))</f>
        <v/>
      </c>
      <c r="AJ224" s="241" t="str">
        <f>IF(AJ$3="","",IF(COUNTIFS(BD!$A$3:$A$5001,AJ$3,BD!$B$3:$B$5001,$A$211,BD!$AB$3:$AB$5001,"&lt;&gt;")=0,"",SUMIFS(BD!$AB$3:$AB$5001,BD!$A$3:$A$5001,AJ$3,BD!$B$3:$B$5001,$A$211)))</f>
        <v/>
      </c>
      <c r="AK224" s="242" t="str">
        <f>IF(COUNT(F224:AJ224)=0,"",SUM(F224:AJ224))</f>
        <v/>
      </c>
    </row>
    <row r="225" ht="15.75" customHeight="1">
      <c r="A225" s="261"/>
      <c r="B225" s="258"/>
      <c r="C225" s="232" t="inlineStr">
        <is>
          <t xml:space="preserve">Folga</t>
        </is>
      </c>
      <c r="D225" s="233" t="str">
        <f>IFERROR(1/(1/INDEX(BD!$AL$50:$BF$50,MATCH($A$211,BD!$AL$22:$BF$22,0))),"")</f>
        <v/>
      </c>
      <c r="E225" s="234"/>
      <c r="F225" s="235" t="str">
        <f>IF(F$3="","",IF(COUNTIFS(BD!$A$3:$A$5001,F$3,BD!$B$3:$B$5001,$A$211,BD!$AC$3:$AC$5001,"&lt;&gt;")=0,"",SUMIFS(BD!$AC$3:$AC$5001,BD!$A$3:$A$5001,F$3,BD!$B$3:$B$5001,$A$211)))</f>
        <v/>
      </c>
      <c r="G225" s="236" t="str">
        <f>IF(G$3="","",IF(COUNTIFS(BD!$A$3:$A$5001,G$3,BD!$B$3:$B$5001,$A$211,BD!$AC$3:$AC$5001,"&lt;&gt;")=0,"",SUMIFS(BD!$AC$3:$AC$5001,BD!$A$3:$A$5001,G$3,BD!$B$3:$B$5001,$A$211)))</f>
        <v/>
      </c>
      <c r="H225" s="236" t="str">
        <f>IF(H$3="","",IF(COUNTIFS(BD!$A$3:$A$5001,H$3,BD!$B$3:$B$5001,$A$211,BD!$AC$3:$AC$5001,"&lt;&gt;")=0,"",SUMIFS(BD!$AC$3:$AC$5001,BD!$A$3:$A$5001,H$3,BD!$B$3:$B$5001,$A$211)))</f>
        <v/>
      </c>
      <c r="I225" s="236" t="str">
        <f>IF(I$3="","",IF(COUNTIFS(BD!$A$3:$A$5001,I$3,BD!$B$3:$B$5001,$A$211,BD!$AC$3:$AC$5001,"&lt;&gt;")=0,"",SUMIFS(BD!$AC$3:$AC$5001,BD!$A$3:$A$5001,I$3,BD!$B$3:$B$5001,$A$211)))</f>
        <v/>
      </c>
      <c r="J225" s="236" t="str">
        <f>IF(J$3="","",IF(COUNTIFS(BD!$A$3:$A$5001,J$3,BD!$B$3:$B$5001,$A$211,BD!$AC$3:$AC$5001,"&lt;&gt;")=0,"",SUMIFS(BD!$AC$3:$AC$5001,BD!$A$3:$A$5001,J$3,BD!$B$3:$B$5001,$A$211)))</f>
        <v/>
      </c>
      <c r="K225" s="236" t="str">
        <f>IF(K$3="","",IF(COUNTIFS(BD!$A$3:$A$5001,K$3,BD!$B$3:$B$5001,$A$211,BD!$AC$3:$AC$5001,"&lt;&gt;")=0,"",SUMIFS(BD!$AC$3:$AC$5001,BD!$A$3:$A$5001,K$3,BD!$B$3:$B$5001,$A$211)))</f>
        <v/>
      </c>
      <c r="L225" s="236" t="str">
        <f>IF(L$3="","",IF(COUNTIFS(BD!$A$3:$A$5001,L$3,BD!$B$3:$B$5001,$A$211,BD!$AC$3:$AC$5001,"&lt;&gt;")=0,"",SUMIFS(BD!$AC$3:$AC$5001,BD!$A$3:$A$5001,L$3,BD!$B$3:$B$5001,$A$211)))</f>
        <v/>
      </c>
      <c r="M225" s="236" t="str">
        <f>IF(M$3="","",IF(COUNTIFS(BD!$A$3:$A$5001,M$3,BD!$B$3:$B$5001,$A$211,BD!$AC$3:$AC$5001,"&lt;&gt;")=0,"",SUMIFS(BD!$AC$3:$AC$5001,BD!$A$3:$A$5001,M$3,BD!$B$3:$B$5001,$A$211)))</f>
        <v/>
      </c>
      <c r="N225" s="236" t="str">
        <f>IF(N$3="","",IF(COUNTIFS(BD!$A$3:$A$5001,N$3,BD!$B$3:$B$5001,$A$211,BD!$AC$3:$AC$5001,"&lt;&gt;")=0,"",SUMIFS(BD!$AC$3:$AC$5001,BD!$A$3:$A$5001,N$3,BD!$B$3:$B$5001,$A$211)))</f>
        <v/>
      </c>
      <c r="O225" s="236" t="str">
        <f>IF(O$3="","",IF(COUNTIFS(BD!$A$3:$A$5001,O$3,BD!$B$3:$B$5001,$A$211,BD!$AC$3:$AC$5001,"&lt;&gt;")=0,"",SUMIFS(BD!$AC$3:$AC$5001,BD!$A$3:$A$5001,O$3,BD!$B$3:$B$5001,$A$211)))</f>
        <v/>
      </c>
      <c r="P225" s="236" t="str">
        <f>IF(P$3="","",IF(COUNTIFS(BD!$A$3:$A$5001,P$3,BD!$B$3:$B$5001,$A$211,BD!$AC$3:$AC$5001,"&lt;&gt;")=0,"",SUMIFS(BD!$AC$3:$AC$5001,BD!$A$3:$A$5001,P$3,BD!$B$3:$B$5001,$A$211)))</f>
        <v/>
      </c>
      <c r="Q225" s="236" t="str">
        <f>IF(Q$3="","",IF(COUNTIFS(BD!$A$3:$A$5001,Q$3,BD!$B$3:$B$5001,$A$211,BD!$AC$3:$AC$5001,"&lt;&gt;")=0,"",SUMIFS(BD!$AC$3:$AC$5001,BD!$A$3:$A$5001,Q$3,BD!$B$3:$B$5001,$A$211)))</f>
        <v/>
      </c>
      <c r="R225" s="236" t="str">
        <f>IF(R$3="","",IF(COUNTIFS(BD!$A$3:$A$5001,R$3,BD!$B$3:$B$5001,$A$211,BD!$AC$3:$AC$5001,"&lt;&gt;")=0,"",SUMIFS(BD!$AC$3:$AC$5001,BD!$A$3:$A$5001,R$3,BD!$B$3:$B$5001,$A$211)))</f>
        <v/>
      </c>
      <c r="S225" s="236" t="str">
        <f>IF(S$3="","",IF(COUNTIFS(BD!$A$3:$A$5001,S$3,BD!$B$3:$B$5001,$A$211,BD!$AC$3:$AC$5001,"&lt;&gt;")=0,"",SUMIFS(BD!$AC$3:$AC$5001,BD!$A$3:$A$5001,S$3,BD!$B$3:$B$5001,$A$211)))</f>
        <v/>
      </c>
      <c r="T225" s="236" t="str">
        <f>IF(T$3="","",IF(COUNTIFS(BD!$A$3:$A$5001,T$3,BD!$B$3:$B$5001,$A$211,BD!$AC$3:$AC$5001,"&lt;&gt;")=0,"",SUMIFS(BD!$AC$3:$AC$5001,BD!$A$3:$A$5001,T$3,BD!$B$3:$B$5001,$A$211)))</f>
        <v/>
      </c>
      <c r="U225" s="236" t="str">
        <f>IF(U$3="","",IF(COUNTIFS(BD!$A$3:$A$5001,U$3,BD!$B$3:$B$5001,$A$211,BD!$AC$3:$AC$5001,"&lt;&gt;")=0,"",SUMIFS(BD!$AC$3:$AC$5001,BD!$A$3:$A$5001,U$3,BD!$B$3:$B$5001,$A$211)))</f>
        <v/>
      </c>
      <c r="V225" s="236" t="str">
        <f>IF(V$3="","",IF(COUNTIFS(BD!$A$3:$A$5001,V$3,BD!$B$3:$B$5001,$A$211,BD!$AC$3:$AC$5001,"&lt;&gt;")=0,"",SUMIFS(BD!$AC$3:$AC$5001,BD!$A$3:$A$5001,V$3,BD!$B$3:$B$5001,$A$211)))</f>
        <v/>
      </c>
      <c r="W225" s="236" t="str">
        <f>IF(W$3="","",IF(COUNTIFS(BD!$A$3:$A$5001,W$3,BD!$B$3:$B$5001,$A$211,BD!$AC$3:$AC$5001,"&lt;&gt;")=0,"",SUMIFS(BD!$AC$3:$AC$5001,BD!$A$3:$A$5001,W$3,BD!$B$3:$B$5001,$A$211)))</f>
        <v/>
      </c>
      <c r="X225" s="236" t="str">
        <f>IF(X$3="","",IF(COUNTIFS(BD!$A$3:$A$5001,X$3,BD!$B$3:$B$5001,$A$211,BD!$AC$3:$AC$5001,"&lt;&gt;")=0,"",SUMIFS(BD!$AC$3:$AC$5001,BD!$A$3:$A$5001,X$3,BD!$B$3:$B$5001,$A$211)))</f>
        <v/>
      </c>
      <c r="Y225" s="236" t="str">
        <f>IF(Y$3="","",IF(COUNTIFS(BD!$A$3:$A$5001,Y$3,BD!$B$3:$B$5001,$A$211,BD!$AC$3:$AC$5001,"&lt;&gt;")=0,"",SUMIFS(BD!$AC$3:$AC$5001,BD!$A$3:$A$5001,Y$3,BD!$B$3:$B$5001,$A$211)))</f>
        <v/>
      </c>
      <c r="Z225" s="236" t="str">
        <f>IF(Z$3="","",IF(COUNTIFS(BD!$A$3:$A$5001,Z$3,BD!$B$3:$B$5001,$A$211,BD!$AC$3:$AC$5001,"&lt;&gt;")=0,"",SUMIFS(BD!$AC$3:$AC$5001,BD!$A$3:$A$5001,Z$3,BD!$B$3:$B$5001,$A$211)))</f>
        <v/>
      </c>
      <c r="AA225" s="236" t="str">
        <f>IF(AA$3="","",IF(COUNTIFS(BD!$A$3:$A$5001,AA$3,BD!$B$3:$B$5001,$A$211,BD!$AC$3:$AC$5001,"&lt;&gt;")=0,"",SUMIFS(BD!$AC$3:$AC$5001,BD!$A$3:$A$5001,AA$3,BD!$B$3:$B$5001,$A$211)))</f>
        <v/>
      </c>
      <c r="AB225" s="236" t="str">
        <f>IF(AB$3="","",IF(COUNTIFS(BD!$A$3:$A$5001,AB$3,BD!$B$3:$B$5001,$A$211,BD!$AC$3:$AC$5001,"&lt;&gt;")=0,"",SUMIFS(BD!$AC$3:$AC$5001,BD!$A$3:$A$5001,AB$3,BD!$B$3:$B$5001,$A$211)))</f>
        <v/>
      </c>
      <c r="AC225" s="236" t="str">
        <f>IF(AC$3="","",IF(COUNTIFS(BD!$A$3:$A$5001,AC$3,BD!$B$3:$B$5001,$A$211,BD!$AC$3:$AC$5001,"&lt;&gt;")=0,"",SUMIFS(BD!$AC$3:$AC$5001,BD!$A$3:$A$5001,AC$3,BD!$B$3:$B$5001,$A$211)))</f>
        <v/>
      </c>
      <c r="AD225" s="236" t="str">
        <f>IF(AD$3="","",IF(COUNTIFS(BD!$A$3:$A$5001,AD$3,BD!$B$3:$B$5001,$A$211,BD!$AC$3:$AC$5001,"&lt;&gt;")=0,"",SUMIFS(BD!$AC$3:$AC$5001,BD!$A$3:$A$5001,AD$3,BD!$B$3:$B$5001,$A$211)))</f>
        <v/>
      </c>
      <c r="AE225" s="236" t="str">
        <f>IF(AE$3="","",IF(COUNTIFS(BD!$A$3:$A$5001,AE$3,BD!$B$3:$B$5001,$A$211,BD!$AC$3:$AC$5001,"&lt;&gt;")=0,"",SUMIFS(BD!$AC$3:$AC$5001,BD!$A$3:$A$5001,AE$3,BD!$B$3:$B$5001,$A$211)))</f>
        <v/>
      </c>
      <c r="AF225" s="236" t="str">
        <f>IF(AF$3="","",IF(COUNTIFS(BD!$A$3:$A$5001,AF$3,BD!$B$3:$B$5001,$A$211,BD!$AC$3:$AC$5001,"&lt;&gt;")=0,"",SUMIFS(BD!$AC$3:$AC$5001,BD!$A$3:$A$5001,AF$3,BD!$B$3:$B$5001,$A$211)))</f>
        <v/>
      </c>
      <c r="AG225" s="236" t="str">
        <f>IF(AG$3="","",IF(COUNTIFS(BD!$A$3:$A$5001,AG$3,BD!$B$3:$B$5001,$A$211,BD!$AC$3:$AC$5001,"&lt;&gt;")=0,"",SUMIFS(BD!$AC$3:$AC$5001,BD!$A$3:$A$5001,AG$3,BD!$B$3:$B$5001,$A$211)))</f>
        <v/>
      </c>
      <c r="AH225" s="236" t="str">
        <f>IF(AH$3="","",IF(COUNTIFS(BD!$A$3:$A$5001,AH$3,BD!$B$3:$B$5001,$A$211,BD!$AC$3:$AC$5001,"&lt;&gt;")=0,"",SUMIFS(BD!$AC$3:$AC$5001,BD!$A$3:$A$5001,AH$3,BD!$B$3:$B$5001,$A$211)))</f>
        <v/>
      </c>
      <c r="AI225" s="236" t="str">
        <f>IF(AI$3="","",IF(COUNTIFS(BD!$A$3:$A$5001,AI$3,BD!$B$3:$B$5001,$A$211,BD!$AC$3:$AC$5001,"&lt;&gt;")=0,"",SUMIFS(BD!$AC$3:$AC$5001,BD!$A$3:$A$5001,AI$3,BD!$B$3:$B$5001,$A$211)))</f>
        <v/>
      </c>
      <c r="AJ225" s="237" t="str">
        <f>IF(AJ$3="","",IF(COUNTIFS(BD!$A$3:$A$5001,AJ$3,BD!$B$3:$B$5001,$A$211,BD!$AC$3:$AC$5001,"&lt;&gt;")=0,"",SUMIFS(BD!$AC$3:$AC$5001,BD!$A$3:$A$5001,AJ$3,BD!$B$3:$B$5001,$A$211)))</f>
        <v/>
      </c>
      <c r="AK225" s="238" t="str">
        <f>IF(COUNT(F225:AJ225)=0,"",SUM(F225:AJ225))</f>
        <v/>
      </c>
    </row>
    <row r="226" ht="15.75" customHeight="1">
      <c r="A226" s="261"/>
      <c r="B226" s="258"/>
      <c r="C226" s="232" t="inlineStr">
        <is>
          <t xml:space="preserve">Férias</t>
        </is>
      </c>
      <c r="D226" s="233" t="str">
        <f>IFERROR(1/(1/INDEX(BD!$AL$51:$BF$51,MATCH($A$211,BD!$AL$22:$BF$22,0))),"")</f>
        <v/>
      </c>
      <c r="E226" s="234"/>
      <c r="F226" s="235" t="str">
        <f>IF(F$3="","",IF(COUNTIFS(BD!$A$3:$A$5001,F$3,BD!$B$3:$B$5001,$A$211,BD!$AD$3:$AD$5001,"&lt;&gt;")=0,"",SUMIFS(BD!$AD$3:$AD$5001,BD!$A$3:$A$5001,F$3,BD!$B$3:$B$5001,$A$211)))</f>
        <v/>
      </c>
      <c r="G226" s="236" t="str">
        <f>IF(G$3="","",IF(COUNTIFS(BD!$A$3:$A$5001,G$3,BD!$B$3:$B$5001,$A$211,BD!$AD$3:$AD$5001,"&lt;&gt;")=0,"",SUMIFS(BD!$AD$3:$AD$5001,BD!$A$3:$A$5001,G$3,BD!$B$3:$B$5001,$A$211)))</f>
        <v/>
      </c>
      <c r="H226" s="236" t="str">
        <f>IF(H$3="","",IF(COUNTIFS(BD!$A$3:$A$5001,H$3,BD!$B$3:$B$5001,$A$211,BD!$AD$3:$AD$5001,"&lt;&gt;")=0,"",SUMIFS(BD!$AD$3:$AD$5001,BD!$A$3:$A$5001,H$3,BD!$B$3:$B$5001,$A$211)))</f>
        <v/>
      </c>
      <c r="I226" s="236" t="str">
        <f>IF(I$3="","",IF(COUNTIFS(BD!$A$3:$A$5001,I$3,BD!$B$3:$B$5001,$A$211,BD!$AD$3:$AD$5001,"&lt;&gt;")=0,"",SUMIFS(BD!$AD$3:$AD$5001,BD!$A$3:$A$5001,I$3,BD!$B$3:$B$5001,$A$211)))</f>
        <v/>
      </c>
      <c r="J226" s="236" t="str">
        <f>IF(J$3="","",IF(COUNTIFS(BD!$A$3:$A$5001,J$3,BD!$B$3:$B$5001,$A$211,BD!$AD$3:$AD$5001,"&lt;&gt;")=0,"",SUMIFS(BD!$AD$3:$AD$5001,BD!$A$3:$A$5001,J$3,BD!$B$3:$B$5001,$A$211)))</f>
        <v/>
      </c>
      <c r="K226" s="236" t="str">
        <f>IF(K$3="","",IF(COUNTIFS(BD!$A$3:$A$5001,K$3,BD!$B$3:$B$5001,$A$211,BD!$AD$3:$AD$5001,"&lt;&gt;")=0,"",SUMIFS(BD!$AD$3:$AD$5001,BD!$A$3:$A$5001,K$3,BD!$B$3:$B$5001,$A$211)))</f>
        <v/>
      </c>
      <c r="L226" s="236" t="str">
        <f>IF(L$3="","",IF(COUNTIFS(BD!$A$3:$A$5001,L$3,BD!$B$3:$B$5001,$A$211,BD!$AD$3:$AD$5001,"&lt;&gt;")=0,"",SUMIFS(BD!$AD$3:$AD$5001,BD!$A$3:$A$5001,L$3,BD!$B$3:$B$5001,$A$211)))</f>
        <v/>
      </c>
      <c r="M226" s="236" t="str">
        <f>IF(M$3="","",IF(COUNTIFS(BD!$A$3:$A$5001,M$3,BD!$B$3:$B$5001,$A$211,BD!$AD$3:$AD$5001,"&lt;&gt;")=0,"",SUMIFS(BD!$AD$3:$AD$5001,BD!$A$3:$A$5001,M$3,BD!$B$3:$B$5001,$A$211)))</f>
        <v/>
      </c>
      <c r="N226" s="236" t="str">
        <f>IF(N$3="","",IF(COUNTIFS(BD!$A$3:$A$5001,N$3,BD!$B$3:$B$5001,$A$211,BD!$AD$3:$AD$5001,"&lt;&gt;")=0,"",SUMIFS(BD!$AD$3:$AD$5001,BD!$A$3:$A$5001,N$3,BD!$B$3:$B$5001,$A$211)))</f>
        <v/>
      </c>
      <c r="O226" s="236" t="str">
        <f>IF(O$3="","",IF(COUNTIFS(BD!$A$3:$A$5001,O$3,BD!$B$3:$B$5001,$A$211,BD!$AD$3:$AD$5001,"&lt;&gt;")=0,"",SUMIFS(BD!$AD$3:$AD$5001,BD!$A$3:$A$5001,O$3,BD!$B$3:$B$5001,$A$211)))</f>
        <v/>
      </c>
      <c r="P226" s="236" t="str">
        <f>IF(P$3="","",IF(COUNTIFS(BD!$A$3:$A$5001,P$3,BD!$B$3:$B$5001,$A$211,BD!$AD$3:$AD$5001,"&lt;&gt;")=0,"",SUMIFS(BD!$AD$3:$AD$5001,BD!$A$3:$A$5001,P$3,BD!$B$3:$B$5001,$A$211)))</f>
        <v/>
      </c>
      <c r="Q226" s="236" t="str">
        <f>IF(Q$3="","",IF(COUNTIFS(BD!$A$3:$A$5001,Q$3,BD!$B$3:$B$5001,$A$211,BD!$AD$3:$AD$5001,"&lt;&gt;")=0,"",SUMIFS(BD!$AD$3:$AD$5001,BD!$A$3:$A$5001,Q$3,BD!$B$3:$B$5001,$A$211)))</f>
        <v/>
      </c>
      <c r="R226" s="236" t="str">
        <f>IF(R$3="","",IF(COUNTIFS(BD!$A$3:$A$5001,R$3,BD!$B$3:$B$5001,$A$211,BD!$AD$3:$AD$5001,"&lt;&gt;")=0,"",SUMIFS(BD!$AD$3:$AD$5001,BD!$A$3:$A$5001,R$3,BD!$B$3:$B$5001,$A$211)))</f>
        <v/>
      </c>
      <c r="S226" s="236" t="str">
        <f>IF(S$3="","",IF(COUNTIFS(BD!$A$3:$A$5001,S$3,BD!$B$3:$B$5001,$A$211,BD!$AD$3:$AD$5001,"&lt;&gt;")=0,"",SUMIFS(BD!$AD$3:$AD$5001,BD!$A$3:$A$5001,S$3,BD!$B$3:$B$5001,$A$211)))</f>
        <v/>
      </c>
      <c r="T226" s="236" t="str">
        <f>IF(T$3="","",IF(COUNTIFS(BD!$A$3:$A$5001,T$3,BD!$B$3:$B$5001,$A$211,BD!$AD$3:$AD$5001,"&lt;&gt;")=0,"",SUMIFS(BD!$AD$3:$AD$5001,BD!$A$3:$A$5001,T$3,BD!$B$3:$B$5001,$A$211)))</f>
        <v/>
      </c>
      <c r="U226" s="236" t="str">
        <f>IF(U$3="","",IF(COUNTIFS(BD!$A$3:$A$5001,U$3,BD!$B$3:$B$5001,$A$211,BD!$AD$3:$AD$5001,"&lt;&gt;")=0,"",SUMIFS(BD!$AD$3:$AD$5001,BD!$A$3:$A$5001,U$3,BD!$B$3:$B$5001,$A$211)))</f>
        <v/>
      </c>
      <c r="V226" s="236" t="str">
        <f>IF(V$3="","",IF(COUNTIFS(BD!$A$3:$A$5001,V$3,BD!$B$3:$B$5001,$A$211,BD!$AD$3:$AD$5001,"&lt;&gt;")=0,"",SUMIFS(BD!$AD$3:$AD$5001,BD!$A$3:$A$5001,V$3,BD!$B$3:$B$5001,$A$211)))</f>
        <v/>
      </c>
      <c r="W226" s="236" t="str">
        <f>IF(W$3="","",IF(COUNTIFS(BD!$A$3:$A$5001,W$3,BD!$B$3:$B$5001,$A$211,BD!$AD$3:$AD$5001,"&lt;&gt;")=0,"",SUMIFS(BD!$AD$3:$AD$5001,BD!$A$3:$A$5001,W$3,BD!$B$3:$B$5001,$A$211)))</f>
        <v/>
      </c>
      <c r="X226" s="236" t="str">
        <f>IF(X$3="","",IF(COUNTIFS(BD!$A$3:$A$5001,X$3,BD!$B$3:$B$5001,$A$211,BD!$AD$3:$AD$5001,"&lt;&gt;")=0,"",SUMIFS(BD!$AD$3:$AD$5001,BD!$A$3:$A$5001,X$3,BD!$B$3:$B$5001,$A$211)))</f>
        <v/>
      </c>
      <c r="Y226" s="236" t="str">
        <f>IF(Y$3="","",IF(COUNTIFS(BD!$A$3:$A$5001,Y$3,BD!$B$3:$B$5001,$A$211,BD!$AD$3:$AD$5001,"&lt;&gt;")=0,"",SUMIFS(BD!$AD$3:$AD$5001,BD!$A$3:$A$5001,Y$3,BD!$B$3:$B$5001,$A$211)))</f>
        <v/>
      </c>
      <c r="Z226" s="236" t="str">
        <f>IF(Z$3="","",IF(COUNTIFS(BD!$A$3:$A$5001,Z$3,BD!$B$3:$B$5001,$A$211,BD!$AD$3:$AD$5001,"&lt;&gt;")=0,"",SUMIFS(BD!$AD$3:$AD$5001,BD!$A$3:$A$5001,Z$3,BD!$B$3:$B$5001,$A$211)))</f>
        <v/>
      </c>
      <c r="AA226" s="236" t="str">
        <f>IF(AA$3="","",IF(COUNTIFS(BD!$A$3:$A$5001,AA$3,BD!$B$3:$B$5001,$A$211,BD!$AD$3:$AD$5001,"&lt;&gt;")=0,"",SUMIFS(BD!$AD$3:$AD$5001,BD!$A$3:$A$5001,AA$3,BD!$B$3:$B$5001,$A$211)))</f>
        <v/>
      </c>
      <c r="AB226" s="236" t="str">
        <f>IF(AB$3="","",IF(COUNTIFS(BD!$A$3:$A$5001,AB$3,BD!$B$3:$B$5001,$A$211,BD!$AD$3:$AD$5001,"&lt;&gt;")=0,"",SUMIFS(BD!$AD$3:$AD$5001,BD!$A$3:$A$5001,AB$3,BD!$B$3:$B$5001,$A$211)))</f>
        <v/>
      </c>
      <c r="AC226" s="236" t="str">
        <f>IF(AC$3="","",IF(COUNTIFS(BD!$A$3:$A$5001,AC$3,BD!$B$3:$B$5001,$A$211,BD!$AD$3:$AD$5001,"&lt;&gt;")=0,"",SUMIFS(BD!$AD$3:$AD$5001,BD!$A$3:$A$5001,AC$3,BD!$B$3:$B$5001,$A$211)))</f>
        <v/>
      </c>
      <c r="AD226" s="236" t="str">
        <f>IF(AD$3="","",IF(COUNTIFS(BD!$A$3:$A$5001,AD$3,BD!$B$3:$B$5001,$A$211,BD!$AD$3:$AD$5001,"&lt;&gt;")=0,"",SUMIFS(BD!$AD$3:$AD$5001,BD!$A$3:$A$5001,AD$3,BD!$B$3:$B$5001,$A$211)))</f>
        <v/>
      </c>
      <c r="AE226" s="236" t="str">
        <f>IF(AE$3="","",IF(COUNTIFS(BD!$A$3:$A$5001,AE$3,BD!$B$3:$B$5001,$A$211,BD!$AD$3:$AD$5001,"&lt;&gt;")=0,"",SUMIFS(BD!$AD$3:$AD$5001,BD!$A$3:$A$5001,AE$3,BD!$B$3:$B$5001,$A$211)))</f>
        <v/>
      </c>
      <c r="AF226" s="236" t="str">
        <f>IF(AF$3="","",IF(COUNTIFS(BD!$A$3:$A$5001,AF$3,BD!$B$3:$B$5001,$A$211,BD!$AD$3:$AD$5001,"&lt;&gt;")=0,"",SUMIFS(BD!$AD$3:$AD$5001,BD!$A$3:$A$5001,AF$3,BD!$B$3:$B$5001,$A$211)))</f>
        <v/>
      </c>
      <c r="AG226" s="236" t="str">
        <f>IF(AG$3="","",IF(COUNTIFS(BD!$A$3:$A$5001,AG$3,BD!$B$3:$B$5001,$A$211,BD!$AD$3:$AD$5001,"&lt;&gt;")=0,"",SUMIFS(BD!$AD$3:$AD$5001,BD!$A$3:$A$5001,AG$3,BD!$B$3:$B$5001,$A$211)))</f>
        <v/>
      </c>
      <c r="AH226" s="236" t="str">
        <f>IF(AH$3="","",IF(COUNTIFS(BD!$A$3:$A$5001,AH$3,BD!$B$3:$B$5001,$A$211,BD!$AD$3:$AD$5001,"&lt;&gt;")=0,"",SUMIFS(BD!$AD$3:$AD$5001,BD!$A$3:$A$5001,AH$3,BD!$B$3:$B$5001,$A$211)))</f>
        <v/>
      </c>
      <c r="AI226" s="236" t="str">
        <f>IF(AI$3="","",IF(COUNTIFS(BD!$A$3:$A$5001,AI$3,BD!$B$3:$B$5001,$A$211,BD!$AD$3:$AD$5001,"&lt;&gt;")=0,"",SUMIFS(BD!$AD$3:$AD$5001,BD!$A$3:$A$5001,AI$3,BD!$B$3:$B$5001,$A$211)))</f>
        <v/>
      </c>
      <c r="AJ226" s="237" t="str">
        <f>IF(AJ$3="","",IF(COUNTIFS(BD!$A$3:$A$5001,AJ$3,BD!$B$3:$B$5001,$A$211,BD!$AD$3:$AD$5001,"&lt;&gt;")=0,"",SUMIFS(BD!$AD$3:$AD$5001,BD!$A$3:$A$5001,AJ$3,BD!$B$3:$B$5001,$A$211)))</f>
        <v/>
      </c>
      <c r="AK226" s="238" t="str">
        <f>IF(COUNT(F226:AJ226)=0,"",SUM(F226:AJ226))</f>
        <v/>
      </c>
    </row>
    <row r="227" ht="15.75" customHeight="1">
      <c r="A227" s="261"/>
      <c r="B227" s="258"/>
      <c r="C227" s="232" t="inlineStr">
        <is>
          <t xml:space="preserve">Desligamento</t>
        </is>
      </c>
      <c r="D227" s="233" t="str">
        <f>IFERROR(1/(1/INDEX(BD!$AL$52:$BF$52,MATCH($A$211,BD!$AL$22:$BF$22,0))),"")</f>
        <v/>
      </c>
      <c r="E227" s="234"/>
      <c r="F227" s="235" t="str">
        <f>IF(F$3="","",IF(COUNTIFS(BD!$A$3:$A$5001,F$3,BD!$B$3:$B$5001,$A$211,BD!$AE$3:$AE$5001,"&lt;&gt;")=0,"",SUMIFS(BD!$AE$3:$AE$5001,BD!$A$3:$A$5001,F$3,BD!$B$3:$B$5001,$A$211)))</f>
        <v/>
      </c>
      <c r="G227" s="236" t="str">
        <f>IF(G$3="","",IF(COUNTIFS(BD!$A$3:$A$5001,G$3,BD!$B$3:$B$5001,$A$211,BD!$AE$3:$AE$5001,"&lt;&gt;")=0,"",SUMIFS(BD!$AE$3:$AE$5001,BD!$A$3:$A$5001,G$3,BD!$B$3:$B$5001,$A$211)))</f>
        <v/>
      </c>
      <c r="H227" s="236" t="str">
        <f>IF(H$3="","",IF(COUNTIFS(BD!$A$3:$A$5001,H$3,BD!$B$3:$B$5001,$A$211,BD!$AE$3:$AE$5001,"&lt;&gt;")=0,"",SUMIFS(BD!$AE$3:$AE$5001,BD!$A$3:$A$5001,H$3,BD!$B$3:$B$5001,$A$211)))</f>
        <v/>
      </c>
      <c r="I227" s="236" t="str">
        <f>IF(I$3="","",IF(COUNTIFS(BD!$A$3:$A$5001,I$3,BD!$B$3:$B$5001,$A$211,BD!$AE$3:$AE$5001,"&lt;&gt;")=0,"",SUMIFS(BD!$AE$3:$AE$5001,BD!$A$3:$A$5001,I$3,BD!$B$3:$B$5001,$A$211)))</f>
        <v/>
      </c>
      <c r="J227" s="236" t="str">
        <f>IF(J$3="","",IF(COUNTIFS(BD!$A$3:$A$5001,J$3,BD!$B$3:$B$5001,$A$211,BD!$AE$3:$AE$5001,"&lt;&gt;")=0,"",SUMIFS(BD!$AE$3:$AE$5001,BD!$A$3:$A$5001,J$3,BD!$B$3:$B$5001,$A$211)))</f>
        <v/>
      </c>
      <c r="K227" s="236" t="str">
        <f>IF(K$3="","",IF(COUNTIFS(BD!$A$3:$A$5001,K$3,BD!$B$3:$B$5001,$A$211,BD!$AE$3:$AE$5001,"&lt;&gt;")=0,"",SUMIFS(BD!$AE$3:$AE$5001,BD!$A$3:$A$5001,K$3,BD!$B$3:$B$5001,$A$211)))</f>
        <v/>
      </c>
      <c r="L227" s="236" t="str">
        <f>IF(L$3="","",IF(COUNTIFS(BD!$A$3:$A$5001,L$3,BD!$B$3:$B$5001,$A$211,BD!$AE$3:$AE$5001,"&lt;&gt;")=0,"",SUMIFS(BD!$AE$3:$AE$5001,BD!$A$3:$A$5001,L$3,BD!$B$3:$B$5001,$A$211)))</f>
        <v/>
      </c>
      <c r="M227" s="236" t="str">
        <f>IF(M$3="","",IF(COUNTIFS(BD!$A$3:$A$5001,M$3,BD!$B$3:$B$5001,$A$211,BD!$AE$3:$AE$5001,"&lt;&gt;")=0,"",SUMIFS(BD!$AE$3:$AE$5001,BD!$A$3:$A$5001,M$3,BD!$B$3:$B$5001,$A$211)))</f>
        <v/>
      </c>
      <c r="N227" s="236" t="str">
        <f>IF(N$3="","",IF(COUNTIFS(BD!$A$3:$A$5001,N$3,BD!$B$3:$B$5001,$A$211,BD!$AE$3:$AE$5001,"&lt;&gt;")=0,"",SUMIFS(BD!$AE$3:$AE$5001,BD!$A$3:$A$5001,N$3,BD!$B$3:$B$5001,$A$211)))</f>
        <v/>
      </c>
      <c r="O227" s="236" t="str">
        <f>IF(O$3="","",IF(COUNTIFS(BD!$A$3:$A$5001,O$3,BD!$B$3:$B$5001,$A$211,BD!$AE$3:$AE$5001,"&lt;&gt;")=0,"",SUMIFS(BD!$AE$3:$AE$5001,BD!$A$3:$A$5001,O$3,BD!$B$3:$B$5001,$A$211)))</f>
        <v/>
      </c>
      <c r="P227" s="236" t="str">
        <f>IF(P$3="","",IF(COUNTIFS(BD!$A$3:$A$5001,P$3,BD!$B$3:$B$5001,$A$211,BD!$AE$3:$AE$5001,"&lt;&gt;")=0,"",SUMIFS(BD!$AE$3:$AE$5001,BD!$A$3:$A$5001,P$3,BD!$B$3:$B$5001,$A$211)))</f>
        <v/>
      </c>
      <c r="Q227" s="236" t="str">
        <f>IF(Q$3="","",IF(COUNTIFS(BD!$A$3:$A$5001,Q$3,BD!$B$3:$B$5001,$A$211,BD!$AE$3:$AE$5001,"&lt;&gt;")=0,"",SUMIFS(BD!$AE$3:$AE$5001,BD!$A$3:$A$5001,Q$3,BD!$B$3:$B$5001,$A$211)))</f>
        <v/>
      </c>
      <c r="R227" s="236" t="str">
        <f>IF(R$3="","",IF(COUNTIFS(BD!$A$3:$A$5001,R$3,BD!$B$3:$B$5001,$A$211,BD!$AE$3:$AE$5001,"&lt;&gt;")=0,"",SUMIFS(BD!$AE$3:$AE$5001,BD!$A$3:$A$5001,R$3,BD!$B$3:$B$5001,$A$211)))</f>
        <v/>
      </c>
      <c r="S227" s="236" t="str">
        <f>IF(S$3="","",IF(COUNTIFS(BD!$A$3:$A$5001,S$3,BD!$B$3:$B$5001,$A$211,BD!$AE$3:$AE$5001,"&lt;&gt;")=0,"",SUMIFS(BD!$AE$3:$AE$5001,BD!$A$3:$A$5001,S$3,BD!$B$3:$B$5001,$A$211)))</f>
        <v/>
      </c>
      <c r="T227" s="236" t="str">
        <f>IF(T$3="","",IF(COUNTIFS(BD!$A$3:$A$5001,T$3,BD!$B$3:$B$5001,$A$211,BD!$AE$3:$AE$5001,"&lt;&gt;")=0,"",SUMIFS(BD!$AE$3:$AE$5001,BD!$A$3:$A$5001,T$3,BD!$B$3:$B$5001,$A$211)))</f>
        <v/>
      </c>
      <c r="U227" s="236" t="str">
        <f>IF(U$3="","",IF(COUNTIFS(BD!$A$3:$A$5001,U$3,BD!$B$3:$B$5001,$A$211,BD!$AE$3:$AE$5001,"&lt;&gt;")=0,"",SUMIFS(BD!$AE$3:$AE$5001,BD!$A$3:$A$5001,U$3,BD!$B$3:$B$5001,$A$211)))</f>
        <v/>
      </c>
      <c r="V227" s="236" t="str">
        <f>IF(V$3="","",IF(COUNTIFS(BD!$A$3:$A$5001,V$3,BD!$B$3:$B$5001,$A$211,BD!$AE$3:$AE$5001,"&lt;&gt;")=0,"",SUMIFS(BD!$AE$3:$AE$5001,BD!$A$3:$A$5001,V$3,BD!$B$3:$B$5001,$A$211)))</f>
        <v/>
      </c>
      <c r="W227" s="236" t="str">
        <f>IF(W$3="","",IF(COUNTIFS(BD!$A$3:$A$5001,W$3,BD!$B$3:$B$5001,$A$211,BD!$AE$3:$AE$5001,"&lt;&gt;")=0,"",SUMIFS(BD!$AE$3:$AE$5001,BD!$A$3:$A$5001,W$3,BD!$B$3:$B$5001,$A$211)))</f>
        <v/>
      </c>
      <c r="X227" s="236" t="str">
        <f>IF(X$3="","",IF(COUNTIFS(BD!$A$3:$A$5001,X$3,BD!$B$3:$B$5001,$A$211,BD!$AE$3:$AE$5001,"&lt;&gt;")=0,"",SUMIFS(BD!$AE$3:$AE$5001,BD!$A$3:$A$5001,X$3,BD!$B$3:$B$5001,$A$211)))</f>
        <v/>
      </c>
      <c r="Y227" s="236" t="str">
        <f>IF(Y$3="","",IF(COUNTIFS(BD!$A$3:$A$5001,Y$3,BD!$B$3:$B$5001,$A$211,BD!$AE$3:$AE$5001,"&lt;&gt;")=0,"",SUMIFS(BD!$AE$3:$AE$5001,BD!$A$3:$A$5001,Y$3,BD!$B$3:$B$5001,$A$211)))</f>
        <v/>
      </c>
      <c r="Z227" s="236" t="str">
        <f>IF(Z$3="","",IF(COUNTIFS(BD!$A$3:$A$5001,Z$3,BD!$B$3:$B$5001,$A$211,BD!$AE$3:$AE$5001,"&lt;&gt;")=0,"",SUMIFS(BD!$AE$3:$AE$5001,BD!$A$3:$A$5001,Z$3,BD!$B$3:$B$5001,$A$211)))</f>
        <v/>
      </c>
      <c r="AA227" s="236" t="str">
        <f>IF(AA$3="","",IF(COUNTIFS(BD!$A$3:$A$5001,AA$3,BD!$B$3:$B$5001,$A$211,BD!$AE$3:$AE$5001,"&lt;&gt;")=0,"",SUMIFS(BD!$AE$3:$AE$5001,BD!$A$3:$A$5001,AA$3,BD!$B$3:$B$5001,$A$211)))</f>
        <v/>
      </c>
      <c r="AB227" s="236" t="str">
        <f>IF(AB$3="","",IF(COUNTIFS(BD!$A$3:$A$5001,AB$3,BD!$B$3:$B$5001,$A$211,BD!$AE$3:$AE$5001,"&lt;&gt;")=0,"",SUMIFS(BD!$AE$3:$AE$5001,BD!$A$3:$A$5001,AB$3,BD!$B$3:$B$5001,$A$211)))</f>
        <v/>
      </c>
      <c r="AC227" s="236" t="str">
        <f>IF(AC$3="","",IF(COUNTIFS(BD!$A$3:$A$5001,AC$3,BD!$B$3:$B$5001,$A$211,BD!$AE$3:$AE$5001,"&lt;&gt;")=0,"",SUMIFS(BD!$AE$3:$AE$5001,BD!$A$3:$A$5001,AC$3,BD!$B$3:$B$5001,$A$211)))</f>
        <v/>
      </c>
      <c r="AD227" s="236" t="str">
        <f>IF(AD$3="","",IF(COUNTIFS(BD!$A$3:$A$5001,AD$3,BD!$B$3:$B$5001,$A$211,BD!$AE$3:$AE$5001,"&lt;&gt;")=0,"",SUMIFS(BD!$AE$3:$AE$5001,BD!$A$3:$A$5001,AD$3,BD!$B$3:$B$5001,$A$211)))</f>
        <v/>
      </c>
      <c r="AE227" s="236" t="str">
        <f>IF(AE$3="","",IF(COUNTIFS(BD!$A$3:$A$5001,AE$3,BD!$B$3:$B$5001,$A$211,BD!$AE$3:$AE$5001,"&lt;&gt;")=0,"",SUMIFS(BD!$AE$3:$AE$5001,BD!$A$3:$A$5001,AE$3,BD!$B$3:$B$5001,$A$211)))</f>
        <v/>
      </c>
      <c r="AF227" s="236" t="str">
        <f>IF(AF$3="","",IF(COUNTIFS(BD!$A$3:$A$5001,AF$3,BD!$B$3:$B$5001,$A$211,BD!$AE$3:$AE$5001,"&lt;&gt;")=0,"",SUMIFS(BD!$AE$3:$AE$5001,BD!$A$3:$A$5001,AF$3,BD!$B$3:$B$5001,$A$211)))</f>
        <v/>
      </c>
      <c r="AG227" s="236" t="str">
        <f>IF(AG$3="","",IF(COUNTIFS(BD!$A$3:$A$5001,AG$3,BD!$B$3:$B$5001,$A$211,BD!$AE$3:$AE$5001,"&lt;&gt;")=0,"",SUMIFS(BD!$AE$3:$AE$5001,BD!$A$3:$A$5001,AG$3,BD!$B$3:$B$5001,$A$211)))</f>
        <v/>
      </c>
      <c r="AH227" s="236" t="str">
        <f>IF(AH$3="","",IF(COUNTIFS(BD!$A$3:$A$5001,AH$3,BD!$B$3:$B$5001,$A$211,BD!$AE$3:$AE$5001,"&lt;&gt;")=0,"",SUMIFS(BD!$AE$3:$AE$5001,BD!$A$3:$A$5001,AH$3,BD!$B$3:$B$5001,$A$211)))</f>
        <v/>
      </c>
      <c r="AI227" s="236" t="str">
        <f>IF(AI$3="","",IF(COUNTIFS(BD!$A$3:$A$5001,AI$3,BD!$B$3:$B$5001,$A$211,BD!$AE$3:$AE$5001,"&lt;&gt;")=0,"",SUMIFS(BD!$AE$3:$AE$5001,BD!$A$3:$A$5001,AI$3,BD!$B$3:$B$5001,$A$211)))</f>
        <v/>
      </c>
      <c r="AJ227" s="237" t="str">
        <f>IF(AJ$3="","",IF(COUNTIFS(BD!$A$3:$A$5001,AJ$3,BD!$B$3:$B$5001,$A$211,BD!$AE$3:$AE$5001,"&lt;&gt;")=0,"",SUMIFS(BD!$AE$3:$AE$5001,BD!$A$3:$A$5001,AJ$3,BD!$B$3:$B$5001,$A$211)))</f>
        <v/>
      </c>
      <c r="AK227" s="238" t="str">
        <f>IF(COUNT(F227:AJ227)=0,"",SUM(F227:AJ227))</f>
        <v/>
      </c>
    </row>
    <row r="228" ht="15.75" customHeight="1">
      <c r="A228" s="261"/>
      <c r="B228" s="258"/>
      <c r="C228" s="232" t="inlineStr">
        <is>
          <t xml:space="preserve">Desvios Comportamentais</t>
        </is>
      </c>
      <c r="D228" s="233" t="str">
        <f>IFERROR(1/(1/INDEX(BD!$AL$53:$BF$53,MATCH($A$211,BD!$AL$22:$BF$22,0))),"")</f>
        <v/>
      </c>
      <c r="E228" s="234"/>
      <c r="F228" s="235" t="str">
        <f>IF(F$3="","",IF(COUNTIFS(BD!$A$3:$A$5001,F$3,BD!$B$3:$B$5001,$A$211,BD!$AF$3:$AF$5001,"&lt;&gt;")=0,"",SUMIFS(BD!$AF$3:$AF$5001,BD!$A$3:$A$5001,F$3,BD!$B$3:$B$5001,$A$211)))</f>
        <v/>
      </c>
      <c r="G228" s="236" t="str">
        <f>IF(G$3="","",IF(COUNTIFS(BD!$A$3:$A$5001,G$3,BD!$B$3:$B$5001,$A$211,BD!$AF$3:$AF$5001,"&lt;&gt;")=0,"",SUMIFS(BD!$AF$3:$AF$5001,BD!$A$3:$A$5001,G$3,BD!$B$3:$B$5001,$A$211)))</f>
        <v/>
      </c>
      <c r="H228" s="236" t="str">
        <f>IF(H$3="","",IF(COUNTIFS(BD!$A$3:$A$5001,H$3,BD!$B$3:$B$5001,$A$211,BD!$AF$3:$AF$5001,"&lt;&gt;")=0,"",SUMIFS(BD!$AF$3:$AF$5001,BD!$A$3:$A$5001,H$3,BD!$B$3:$B$5001,$A$211)))</f>
        <v/>
      </c>
      <c r="I228" s="236" t="str">
        <f>IF(I$3="","",IF(COUNTIFS(BD!$A$3:$A$5001,I$3,BD!$B$3:$B$5001,$A$211,BD!$AF$3:$AF$5001,"&lt;&gt;")=0,"",SUMIFS(BD!$AF$3:$AF$5001,BD!$A$3:$A$5001,I$3,BD!$B$3:$B$5001,$A$211)))</f>
        <v/>
      </c>
      <c r="J228" s="236" t="str">
        <f>IF(J$3="","",IF(COUNTIFS(BD!$A$3:$A$5001,J$3,BD!$B$3:$B$5001,$A$211,BD!$AF$3:$AF$5001,"&lt;&gt;")=0,"",SUMIFS(BD!$AF$3:$AF$5001,BD!$A$3:$A$5001,J$3,BD!$B$3:$B$5001,$A$211)))</f>
        <v/>
      </c>
      <c r="K228" s="236" t="str">
        <f>IF(K$3="","",IF(COUNTIFS(BD!$A$3:$A$5001,K$3,BD!$B$3:$B$5001,$A$211,BD!$AF$3:$AF$5001,"&lt;&gt;")=0,"",SUMIFS(BD!$AF$3:$AF$5001,BD!$A$3:$A$5001,K$3,BD!$B$3:$B$5001,$A$211)))</f>
        <v/>
      </c>
      <c r="L228" s="236" t="str">
        <f>IF(L$3="","",IF(COUNTIFS(BD!$A$3:$A$5001,L$3,BD!$B$3:$B$5001,$A$211,BD!$AF$3:$AF$5001,"&lt;&gt;")=0,"",SUMIFS(BD!$AF$3:$AF$5001,BD!$A$3:$A$5001,L$3,BD!$B$3:$B$5001,$A$211)))</f>
        <v/>
      </c>
      <c r="M228" s="236" t="str">
        <f>IF(M$3="","",IF(COUNTIFS(BD!$A$3:$A$5001,M$3,BD!$B$3:$B$5001,$A$211,BD!$AF$3:$AF$5001,"&lt;&gt;")=0,"",SUMIFS(BD!$AF$3:$AF$5001,BD!$A$3:$A$5001,M$3,BD!$B$3:$B$5001,$A$211)))</f>
        <v/>
      </c>
      <c r="N228" s="236" t="str">
        <f>IF(N$3="","",IF(COUNTIFS(BD!$A$3:$A$5001,N$3,BD!$B$3:$B$5001,$A$211,BD!$AF$3:$AF$5001,"&lt;&gt;")=0,"",SUMIFS(BD!$AF$3:$AF$5001,BD!$A$3:$A$5001,N$3,BD!$B$3:$B$5001,$A$211)))</f>
        <v/>
      </c>
      <c r="O228" s="236" t="str">
        <f>IF(O$3="","",IF(COUNTIFS(BD!$A$3:$A$5001,O$3,BD!$B$3:$B$5001,$A$211,BD!$AF$3:$AF$5001,"&lt;&gt;")=0,"",SUMIFS(BD!$AF$3:$AF$5001,BD!$A$3:$A$5001,O$3,BD!$B$3:$B$5001,$A$211)))</f>
        <v/>
      </c>
      <c r="P228" s="236" t="str">
        <f>IF(P$3="","",IF(COUNTIFS(BD!$A$3:$A$5001,P$3,BD!$B$3:$B$5001,$A$211,BD!$AF$3:$AF$5001,"&lt;&gt;")=0,"",SUMIFS(BD!$AF$3:$AF$5001,BD!$A$3:$A$5001,P$3,BD!$B$3:$B$5001,$A$211)))</f>
        <v/>
      </c>
      <c r="Q228" s="236" t="str">
        <f>IF(Q$3="","",IF(COUNTIFS(BD!$A$3:$A$5001,Q$3,BD!$B$3:$B$5001,$A$211,BD!$AF$3:$AF$5001,"&lt;&gt;")=0,"",SUMIFS(BD!$AF$3:$AF$5001,BD!$A$3:$A$5001,Q$3,BD!$B$3:$B$5001,$A$211)))</f>
        <v/>
      </c>
      <c r="R228" s="236" t="str">
        <f>IF(R$3="","",IF(COUNTIFS(BD!$A$3:$A$5001,R$3,BD!$B$3:$B$5001,$A$211,BD!$AF$3:$AF$5001,"&lt;&gt;")=0,"",SUMIFS(BD!$AF$3:$AF$5001,BD!$A$3:$A$5001,R$3,BD!$B$3:$B$5001,$A$211)))</f>
        <v/>
      </c>
      <c r="S228" s="236" t="str">
        <f>IF(S$3="","",IF(COUNTIFS(BD!$A$3:$A$5001,S$3,BD!$B$3:$B$5001,$A$211,BD!$AF$3:$AF$5001,"&lt;&gt;")=0,"",SUMIFS(BD!$AF$3:$AF$5001,BD!$A$3:$A$5001,S$3,BD!$B$3:$B$5001,$A$211)))</f>
        <v/>
      </c>
      <c r="T228" s="236" t="str">
        <f>IF(T$3="","",IF(COUNTIFS(BD!$A$3:$A$5001,T$3,BD!$B$3:$B$5001,$A$211,BD!$AF$3:$AF$5001,"&lt;&gt;")=0,"",SUMIFS(BD!$AF$3:$AF$5001,BD!$A$3:$A$5001,T$3,BD!$B$3:$B$5001,$A$211)))</f>
        <v/>
      </c>
      <c r="U228" s="236" t="str">
        <f>IF(U$3="","",IF(COUNTIFS(BD!$A$3:$A$5001,U$3,BD!$B$3:$B$5001,$A$211,BD!$AF$3:$AF$5001,"&lt;&gt;")=0,"",SUMIFS(BD!$AF$3:$AF$5001,BD!$A$3:$A$5001,U$3,BD!$B$3:$B$5001,$A$211)))</f>
        <v/>
      </c>
      <c r="V228" s="236" t="str">
        <f>IF(V$3="","",IF(COUNTIFS(BD!$A$3:$A$5001,V$3,BD!$B$3:$B$5001,$A$211,BD!$AF$3:$AF$5001,"&lt;&gt;")=0,"",SUMIFS(BD!$AF$3:$AF$5001,BD!$A$3:$A$5001,V$3,BD!$B$3:$B$5001,$A$211)))</f>
        <v/>
      </c>
      <c r="W228" s="236" t="str">
        <f>IF(W$3="","",IF(COUNTIFS(BD!$A$3:$A$5001,W$3,BD!$B$3:$B$5001,$A$211,BD!$AF$3:$AF$5001,"&lt;&gt;")=0,"",SUMIFS(BD!$AF$3:$AF$5001,BD!$A$3:$A$5001,W$3,BD!$B$3:$B$5001,$A$211)))</f>
        <v/>
      </c>
      <c r="X228" s="236" t="str">
        <f>IF(X$3="","",IF(COUNTIFS(BD!$A$3:$A$5001,X$3,BD!$B$3:$B$5001,$A$211,BD!$AF$3:$AF$5001,"&lt;&gt;")=0,"",SUMIFS(BD!$AF$3:$AF$5001,BD!$A$3:$A$5001,X$3,BD!$B$3:$B$5001,$A$211)))</f>
        <v/>
      </c>
      <c r="Y228" s="236" t="str">
        <f>IF(Y$3="","",IF(COUNTIFS(BD!$A$3:$A$5001,Y$3,BD!$B$3:$B$5001,$A$211,BD!$AF$3:$AF$5001,"&lt;&gt;")=0,"",SUMIFS(BD!$AF$3:$AF$5001,BD!$A$3:$A$5001,Y$3,BD!$B$3:$B$5001,$A$211)))</f>
        <v/>
      </c>
      <c r="Z228" s="236" t="str">
        <f>IF(Z$3="","",IF(COUNTIFS(BD!$A$3:$A$5001,Z$3,BD!$B$3:$B$5001,$A$211,BD!$AF$3:$AF$5001,"&lt;&gt;")=0,"",SUMIFS(BD!$AF$3:$AF$5001,BD!$A$3:$A$5001,Z$3,BD!$B$3:$B$5001,$A$211)))</f>
        <v/>
      </c>
      <c r="AA228" s="236" t="str">
        <f>IF(AA$3="","",IF(COUNTIFS(BD!$A$3:$A$5001,AA$3,BD!$B$3:$B$5001,$A$211,BD!$AF$3:$AF$5001,"&lt;&gt;")=0,"",SUMIFS(BD!$AF$3:$AF$5001,BD!$A$3:$A$5001,AA$3,BD!$B$3:$B$5001,$A$211)))</f>
        <v/>
      </c>
      <c r="AB228" s="236" t="str">
        <f>IF(AB$3="","",IF(COUNTIFS(BD!$A$3:$A$5001,AB$3,BD!$B$3:$B$5001,$A$211,BD!$AF$3:$AF$5001,"&lt;&gt;")=0,"",SUMIFS(BD!$AF$3:$AF$5001,BD!$A$3:$A$5001,AB$3,BD!$B$3:$B$5001,$A$211)))</f>
        <v/>
      </c>
      <c r="AC228" s="236" t="str">
        <f>IF(AC$3="","",IF(COUNTIFS(BD!$A$3:$A$5001,AC$3,BD!$B$3:$B$5001,$A$211,BD!$AF$3:$AF$5001,"&lt;&gt;")=0,"",SUMIFS(BD!$AF$3:$AF$5001,BD!$A$3:$A$5001,AC$3,BD!$B$3:$B$5001,$A$211)))</f>
        <v/>
      </c>
      <c r="AD228" s="236" t="str">
        <f>IF(AD$3="","",IF(COUNTIFS(BD!$A$3:$A$5001,AD$3,BD!$B$3:$B$5001,$A$211,BD!$AF$3:$AF$5001,"&lt;&gt;")=0,"",SUMIFS(BD!$AF$3:$AF$5001,BD!$A$3:$A$5001,AD$3,BD!$B$3:$B$5001,$A$211)))</f>
        <v/>
      </c>
      <c r="AE228" s="236" t="str">
        <f>IF(AE$3="","",IF(COUNTIFS(BD!$A$3:$A$5001,AE$3,BD!$B$3:$B$5001,$A$211,BD!$AF$3:$AF$5001,"&lt;&gt;")=0,"",SUMIFS(BD!$AF$3:$AF$5001,BD!$A$3:$A$5001,AE$3,BD!$B$3:$B$5001,$A$211)))</f>
        <v/>
      </c>
      <c r="AF228" s="236" t="str">
        <f>IF(AF$3="","",IF(COUNTIFS(BD!$A$3:$A$5001,AF$3,BD!$B$3:$B$5001,$A$211,BD!$AF$3:$AF$5001,"&lt;&gt;")=0,"",SUMIFS(BD!$AF$3:$AF$5001,BD!$A$3:$A$5001,AF$3,BD!$B$3:$B$5001,$A$211)))</f>
        <v/>
      </c>
      <c r="AG228" s="236" t="str">
        <f>IF(AG$3="","",IF(COUNTIFS(BD!$A$3:$A$5001,AG$3,BD!$B$3:$B$5001,$A$211,BD!$AF$3:$AF$5001,"&lt;&gt;")=0,"",SUMIFS(BD!$AF$3:$AF$5001,BD!$A$3:$A$5001,AG$3,BD!$B$3:$B$5001,$A$211)))</f>
        <v/>
      </c>
      <c r="AH228" s="236" t="str">
        <f>IF(AH$3="","",IF(COUNTIFS(BD!$A$3:$A$5001,AH$3,BD!$B$3:$B$5001,$A$211,BD!$AF$3:$AF$5001,"&lt;&gt;")=0,"",SUMIFS(BD!$AF$3:$AF$5001,BD!$A$3:$A$5001,AH$3,BD!$B$3:$B$5001,$A$211)))</f>
        <v/>
      </c>
      <c r="AI228" s="236" t="str">
        <f>IF(AI$3="","",IF(COUNTIFS(BD!$A$3:$A$5001,AI$3,BD!$B$3:$B$5001,$A$211,BD!$AF$3:$AF$5001,"&lt;&gt;")=0,"",SUMIFS(BD!$AF$3:$AF$5001,BD!$A$3:$A$5001,AI$3,BD!$B$3:$B$5001,$A$211)))</f>
        <v/>
      </c>
      <c r="AJ228" s="237" t="str">
        <f>IF(AJ$3="","",IF(COUNTIFS(BD!$A$3:$A$5001,AJ$3,BD!$B$3:$B$5001,$A$211,BD!$AF$3:$AF$5001,"&lt;&gt;")=0,"",SUMIFS(BD!$AF$3:$AF$5001,BD!$A$3:$A$5001,AJ$3,BD!$B$3:$B$5001,$A$211)))</f>
        <v/>
      </c>
      <c r="AK228" s="238" t="str">
        <f>IF(COUNT(F228:AJ228)=0,"",SUM(F228:AJ228))</f>
        <v/>
      </c>
    </row>
    <row r="229" ht="15.75" customHeight="1">
      <c r="A229" s="261"/>
      <c r="B229" s="258"/>
      <c r="C229" s="232" t="inlineStr">
        <is>
          <t xml:space="preserve">Acidentes CAF</t>
        </is>
      </c>
      <c r="D229" s="233" t="str">
        <f>IFERROR(1/(1/INDEX(BD!$AL$54:$BF$54,MATCH($A$211,BD!$AL$22:$BF$22,0))),"")</f>
        <v/>
      </c>
      <c r="E229" s="234"/>
      <c r="F229" s="235" t="str">
        <f>IF(F$3="","",IF(COUNTIFS(BD!$A$3:$A$5001,F$3,BD!$B$3:$B$5001,$A$211,BD!$AG$3:$AG$5001,"&lt;&gt;")=0,"",SUMIFS(BD!$AG$3:$AG$5001,BD!$A$3:$A$5001,F$3,BD!$B$3:$B$5001,$A$211)))</f>
        <v/>
      </c>
      <c r="G229" s="236" t="str">
        <f>IF(G$3="","",IF(COUNTIFS(BD!$A$3:$A$5001,G$3,BD!$B$3:$B$5001,$A$211,BD!$AG$3:$AG$5001,"&lt;&gt;")=0,"",SUMIFS(BD!$AG$3:$AG$5001,BD!$A$3:$A$5001,G$3,BD!$B$3:$B$5001,$A$211)))</f>
        <v/>
      </c>
      <c r="H229" s="236" t="str">
        <f>IF(H$3="","",IF(COUNTIFS(BD!$A$3:$A$5001,H$3,BD!$B$3:$B$5001,$A$211,BD!$AG$3:$AG$5001,"&lt;&gt;")=0,"",SUMIFS(BD!$AG$3:$AG$5001,BD!$A$3:$A$5001,H$3,BD!$B$3:$B$5001,$A$211)))</f>
        <v/>
      </c>
      <c r="I229" s="236" t="str">
        <f>IF(I$3="","",IF(COUNTIFS(BD!$A$3:$A$5001,I$3,BD!$B$3:$B$5001,$A$211,BD!$AG$3:$AG$5001,"&lt;&gt;")=0,"",SUMIFS(BD!$AG$3:$AG$5001,BD!$A$3:$A$5001,I$3,BD!$B$3:$B$5001,$A$211)))</f>
        <v/>
      </c>
      <c r="J229" s="236" t="str">
        <f>IF(J$3="","",IF(COUNTIFS(BD!$A$3:$A$5001,J$3,BD!$B$3:$B$5001,$A$211,BD!$AG$3:$AG$5001,"&lt;&gt;")=0,"",SUMIFS(BD!$AG$3:$AG$5001,BD!$A$3:$A$5001,J$3,BD!$B$3:$B$5001,$A$211)))</f>
        <v/>
      </c>
      <c r="K229" s="236" t="str">
        <f>IF(K$3="","",IF(COUNTIFS(BD!$A$3:$A$5001,K$3,BD!$B$3:$B$5001,$A$211,BD!$AG$3:$AG$5001,"&lt;&gt;")=0,"",SUMIFS(BD!$AG$3:$AG$5001,BD!$A$3:$A$5001,K$3,BD!$B$3:$B$5001,$A$211)))</f>
        <v/>
      </c>
      <c r="L229" s="236" t="str">
        <f>IF(L$3="","",IF(COUNTIFS(BD!$A$3:$A$5001,L$3,BD!$B$3:$B$5001,$A$211,BD!$AG$3:$AG$5001,"&lt;&gt;")=0,"",SUMIFS(BD!$AG$3:$AG$5001,BD!$A$3:$A$5001,L$3,BD!$B$3:$B$5001,$A$211)))</f>
        <v/>
      </c>
      <c r="M229" s="236" t="str">
        <f>IF(M$3="","",IF(COUNTIFS(BD!$A$3:$A$5001,M$3,BD!$B$3:$B$5001,$A$211,BD!$AG$3:$AG$5001,"&lt;&gt;")=0,"",SUMIFS(BD!$AG$3:$AG$5001,BD!$A$3:$A$5001,M$3,BD!$B$3:$B$5001,$A$211)))</f>
        <v/>
      </c>
      <c r="N229" s="236" t="str">
        <f>IF(N$3="","",IF(COUNTIFS(BD!$A$3:$A$5001,N$3,BD!$B$3:$B$5001,$A$211,BD!$AG$3:$AG$5001,"&lt;&gt;")=0,"",SUMIFS(BD!$AG$3:$AG$5001,BD!$A$3:$A$5001,N$3,BD!$B$3:$B$5001,$A$211)))</f>
        <v/>
      </c>
      <c r="O229" s="236" t="str">
        <f>IF(O$3="","",IF(COUNTIFS(BD!$A$3:$A$5001,O$3,BD!$B$3:$B$5001,$A$211,BD!$AG$3:$AG$5001,"&lt;&gt;")=0,"",SUMIFS(BD!$AG$3:$AG$5001,BD!$A$3:$A$5001,O$3,BD!$B$3:$B$5001,$A$211)))</f>
        <v/>
      </c>
      <c r="P229" s="236" t="str">
        <f>IF(P$3="","",IF(COUNTIFS(BD!$A$3:$A$5001,P$3,BD!$B$3:$B$5001,$A$211,BD!$AG$3:$AG$5001,"&lt;&gt;")=0,"",SUMIFS(BD!$AG$3:$AG$5001,BD!$A$3:$A$5001,P$3,BD!$B$3:$B$5001,$A$211)))</f>
        <v/>
      </c>
      <c r="Q229" s="236" t="str">
        <f>IF(Q$3="","",IF(COUNTIFS(BD!$A$3:$A$5001,Q$3,BD!$B$3:$B$5001,$A$211,BD!$AG$3:$AG$5001,"&lt;&gt;")=0,"",SUMIFS(BD!$AG$3:$AG$5001,BD!$A$3:$A$5001,Q$3,BD!$B$3:$B$5001,$A$211)))</f>
        <v/>
      </c>
      <c r="R229" s="236" t="str">
        <f>IF(R$3="","",IF(COUNTIFS(BD!$A$3:$A$5001,R$3,BD!$B$3:$B$5001,$A$211,BD!$AG$3:$AG$5001,"&lt;&gt;")=0,"",SUMIFS(BD!$AG$3:$AG$5001,BD!$A$3:$A$5001,R$3,BD!$B$3:$B$5001,$A$211)))</f>
        <v/>
      </c>
      <c r="S229" s="236" t="str">
        <f>IF(S$3="","",IF(COUNTIFS(BD!$A$3:$A$5001,S$3,BD!$B$3:$B$5001,$A$211,BD!$AG$3:$AG$5001,"&lt;&gt;")=0,"",SUMIFS(BD!$AG$3:$AG$5001,BD!$A$3:$A$5001,S$3,BD!$B$3:$B$5001,$A$211)))</f>
        <v/>
      </c>
      <c r="T229" s="236" t="str">
        <f>IF(T$3="","",IF(COUNTIFS(BD!$A$3:$A$5001,T$3,BD!$B$3:$B$5001,$A$211,BD!$AG$3:$AG$5001,"&lt;&gt;")=0,"",SUMIFS(BD!$AG$3:$AG$5001,BD!$A$3:$A$5001,T$3,BD!$B$3:$B$5001,$A$211)))</f>
        <v/>
      </c>
      <c r="U229" s="236" t="str">
        <f>IF(U$3="","",IF(COUNTIFS(BD!$A$3:$A$5001,U$3,BD!$B$3:$B$5001,$A$211,BD!$AG$3:$AG$5001,"&lt;&gt;")=0,"",SUMIFS(BD!$AG$3:$AG$5001,BD!$A$3:$A$5001,U$3,BD!$B$3:$B$5001,$A$211)))</f>
        <v/>
      </c>
      <c r="V229" s="236" t="str">
        <f>IF(V$3="","",IF(COUNTIFS(BD!$A$3:$A$5001,V$3,BD!$B$3:$B$5001,$A$211,BD!$AG$3:$AG$5001,"&lt;&gt;")=0,"",SUMIFS(BD!$AG$3:$AG$5001,BD!$A$3:$A$5001,V$3,BD!$B$3:$B$5001,$A$211)))</f>
        <v/>
      </c>
      <c r="W229" s="236" t="str">
        <f>IF(W$3="","",IF(COUNTIFS(BD!$A$3:$A$5001,W$3,BD!$B$3:$B$5001,$A$211,BD!$AG$3:$AG$5001,"&lt;&gt;")=0,"",SUMIFS(BD!$AG$3:$AG$5001,BD!$A$3:$A$5001,W$3,BD!$B$3:$B$5001,$A$211)))</f>
        <v/>
      </c>
      <c r="X229" s="236" t="str">
        <f>IF(X$3="","",IF(COUNTIFS(BD!$A$3:$A$5001,X$3,BD!$B$3:$B$5001,$A$211,BD!$AG$3:$AG$5001,"&lt;&gt;")=0,"",SUMIFS(BD!$AG$3:$AG$5001,BD!$A$3:$A$5001,X$3,BD!$B$3:$B$5001,$A$211)))</f>
        <v/>
      </c>
      <c r="Y229" s="236" t="str">
        <f>IF(Y$3="","",IF(COUNTIFS(BD!$A$3:$A$5001,Y$3,BD!$B$3:$B$5001,$A$211,BD!$AG$3:$AG$5001,"&lt;&gt;")=0,"",SUMIFS(BD!$AG$3:$AG$5001,BD!$A$3:$A$5001,Y$3,BD!$B$3:$B$5001,$A$211)))</f>
        <v/>
      </c>
      <c r="Z229" s="236" t="str">
        <f>IF(Z$3="","",IF(COUNTIFS(BD!$A$3:$A$5001,Z$3,BD!$B$3:$B$5001,$A$211,BD!$AG$3:$AG$5001,"&lt;&gt;")=0,"",SUMIFS(BD!$AG$3:$AG$5001,BD!$A$3:$A$5001,Z$3,BD!$B$3:$B$5001,$A$211)))</f>
        <v/>
      </c>
      <c r="AA229" s="236" t="str">
        <f>IF(AA$3="","",IF(COUNTIFS(BD!$A$3:$A$5001,AA$3,BD!$B$3:$B$5001,$A$211,BD!$AG$3:$AG$5001,"&lt;&gt;")=0,"",SUMIFS(BD!$AG$3:$AG$5001,BD!$A$3:$A$5001,AA$3,BD!$B$3:$B$5001,$A$211)))</f>
        <v/>
      </c>
      <c r="AB229" s="236" t="str">
        <f>IF(AB$3="","",IF(COUNTIFS(BD!$A$3:$A$5001,AB$3,BD!$B$3:$B$5001,$A$211,BD!$AG$3:$AG$5001,"&lt;&gt;")=0,"",SUMIFS(BD!$AG$3:$AG$5001,BD!$A$3:$A$5001,AB$3,BD!$B$3:$B$5001,$A$211)))</f>
        <v/>
      </c>
      <c r="AC229" s="236" t="str">
        <f>IF(AC$3="","",IF(COUNTIFS(BD!$A$3:$A$5001,AC$3,BD!$B$3:$B$5001,$A$211,BD!$AG$3:$AG$5001,"&lt;&gt;")=0,"",SUMIFS(BD!$AG$3:$AG$5001,BD!$A$3:$A$5001,AC$3,BD!$B$3:$B$5001,$A$211)))</f>
        <v/>
      </c>
      <c r="AD229" s="236" t="str">
        <f>IF(AD$3="","",IF(COUNTIFS(BD!$A$3:$A$5001,AD$3,BD!$B$3:$B$5001,$A$211,BD!$AG$3:$AG$5001,"&lt;&gt;")=0,"",SUMIFS(BD!$AG$3:$AG$5001,BD!$A$3:$A$5001,AD$3,BD!$B$3:$B$5001,$A$211)))</f>
        <v/>
      </c>
      <c r="AE229" s="236" t="str">
        <f>IF(AE$3="","",IF(COUNTIFS(BD!$A$3:$A$5001,AE$3,BD!$B$3:$B$5001,$A$211,BD!$AG$3:$AG$5001,"&lt;&gt;")=0,"",SUMIFS(BD!$AG$3:$AG$5001,BD!$A$3:$A$5001,AE$3,BD!$B$3:$B$5001,$A$211)))</f>
        <v/>
      </c>
      <c r="AF229" s="236" t="str">
        <f>IF(AF$3="","",IF(COUNTIFS(BD!$A$3:$A$5001,AF$3,BD!$B$3:$B$5001,$A$211,BD!$AG$3:$AG$5001,"&lt;&gt;")=0,"",SUMIFS(BD!$AG$3:$AG$5001,BD!$A$3:$A$5001,AF$3,BD!$B$3:$B$5001,$A$211)))</f>
        <v/>
      </c>
      <c r="AG229" s="236" t="str">
        <f>IF(AG$3="","",IF(COUNTIFS(BD!$A$3:$A$5001,AG$3,BD!$B$3:$B$5001,$A$211,BD!$AG$3:$AG$5001,"&lt;&gt;")=0,"",SUMIFS(BD!$AG$3:$AG$5001,BD!$A$3:$A$5001,AG$3,BD!$B$3:$B$5001,$A$211)))</f>
        <v/>
      </c>
      <c r="AH229" s="236" t="str">
        <f>IF(AH$3="","",IF(COUNTIFS(BD!$A$3:$A$5001,AH$3,BD!$B$3:$B$5001,$A$211,BD!$AG$3:$AG$5001,"&lt;&gt;")=0,"",SUMIFS(BD!$AG$3:$AG$5001,BD!$A$3:$A$5001,AH$3,BD!$B$3:$B$5001,$A$211)))</f>
        <v/>
      </c>
      <c r="AI229" s="236" t="str">
        <f>IF(AI$3="","",IF(COUNTIFS(BD!$A$3:$A$5001,AI$3,BD!$B$3:$B$5001,$A$211,BD!$AG$3:$AG$5001,"&lt;&gt;")=0,"",SUMIFS(BD!$AG$3:$AG$5001,BD!$A$3:$A$5001,AI$3,BD!$B$3:$B$5001,$A$211)))</f>
        <v/>
      </c>
      <c r="AJ229" s="237" t="str">
        <f>IF(AJ$3="","",IF(COUNTIFS(BD!$A$3:$A$5001,AJ$3,BD!$B$3:$B$5001,$A$211,BD!$AG$3:$AG$5001,"&lt;&gt;")=0,"",SUMIFS(BD!$AG$3:$AG$5001,BD!$A$3:$A$5001,AJ$3,BD!$B$3:$B$5001,$A$211)))</f>
        <v/>
      </c>
      <c r="AK229" s="238" t="str">
        <f>IF(COUNT(F229:AJ229)=0,"",SUM(F229:AJ229))</f>
        <v/>
      </c>
    </row>
    <row r="230" ht="15.75" customHeight="1">
      <c r="A230" s="262"/>
      <c r="B230" s="259"/>
      <c r="C230" s="243" t="inlineStr">
        <is>
          <t xml:space="preserve">Acidentes SAF</t>
        </is>
      </c>
      <c r="D230" s="244" t="str">
        <f>IFERROR(1/(1/INDEX(BD!$AL$55:$BF$55,MATCH($A$211,BD!$AL$22:$BF$22,0))),"")</f>
        <v/>
      </c>
      <c r="E230" s="245"/>
      <c r="F230" s="246" t="str">
        <f>IF(F$3="","",IF(COUNTIFS(BD!$A$3:$A$5001,F$3,BD!$B$3:$B$5001,$A$211,BD!$AH$3:$AH$5001,"&lt;&gt;")=0,"",SUMIFS(BD!$AH$3:$AH$5001,BD!$A$3:$A$5001,F$3,BD!$B$3:$B$5001,$A$211)))</f>
        <v/>
      </c>
      <c r="G230" s="247" t="str">
        <f>IF(G$3="","",IF(COUNTIFS(BD!$A$3:$A$5001,G$3,BD!$B$3:$B$5001,$A$211,BD!$AH$3:$AH$5001,"&lt;&gt;")=0,"",SUMIFS(BD!$AH$3:$AH$5001,BD!$A$3:$A$5001,G$3,BD!$B$3:$B$5001,$A$211)))</f>
        <v/>
      </c>
      <c r="H230" s="247" t="str">
        <f>IF(H$3="","",IF(COUNTIFS(BD!$A$3:$A$5001,H$3,BD!$B$3:$B$5001,$A$211,BD!$AH$3:$AH$5001,"&lt;&gt;")=0,"",SUMIFS(BD!$AH$3:$AH$5001,BD!$A$3:$A$5001,H$3,BD!$B$3:$B$5001,$A$211)))</f>
        <v/>
      </c>
      <c r="I230" s="247" t="str">
        <f>IF(I$3="","",IF(COUNTIFS(BD!$A$3:$A$5001,I$3,BD!$B$3:$B$5001,$A$211,BD!$AH$3:$AH$5001,"&lt;&gt;")=0,"",SUMIFS(BD!$AH$3:$AH$5001,BD!$A$3:$A$5001,I$3,BD!$B$3:$B$5001,$A$211)))</f>
        <v/>
      </c>
      <c r="J230" s="247" t="str">
        <f>IF(J$3="","",IF(COUNTIFS(BD!$A$3:$A$5001,J$3,BD!$B$3:$B$5001,$A$211,BD!$AH$3:$AH$5001,"&lt;&gt;")=0,"",SUMIFS(BD!$AH$3:$AH$5001,BD!$A$3:$A$5001,J$3,BD!$B$3:$B$5001,$A$211)))</f>
        <v/>
      </c>
      <c r="K230" s="247" t="str">
        <f>IF(K$3="","",IF(COUNTIFS(BD!$A$3:$A$5001,K$3,BD!$B$3:$B$5001,$A$211,BD!$AH$3:$AH$5001,"&lt;&gt;")=0,"",SUMIFS(BD!$AH$3:$AH$5001,BD!$A$3:$A$5001,K$3,BD!$B$3:$B$5001,$A$211)))</f>
        <v/>
      </c>
      <c r="L230" s="247" t="str">
        <f>IF(L$3="","",IF(COUNTIFS(BD!$A$3:$A$5001,L$3,BD!$B$3:$B$5001,$A$211,BD!$AH$3:$AH$5001,"&lt;&gt;")=0,"",SUMIFS(BD!$AH$3:$AH$5001,BD!$A$3:$A$5001,L$3,BD!$B$3:$B$5001,$A$211)))</f>
        <v/>
      </c>
      <c r="M230" s="247" t="str">
        <f>IF(M$3="","",IF(COUNTIFS(BD!$A$3:$A$5001,M$3,BD!$B$3:$B$5001,$A$211,BD!$AH$3:$AH$5001,"&lt;&gt;")=0,"",SUMIFS(BD!$AH$3:$AH$5001,BD!$A$3:$A$5001,M$3,BD!$B$3:$B$5001,$A$211)))</f>
        <v/>
      </c>
      <c r="N230" s="247" t="str">
        <f>IF(N$3="","",IF(COUNTIFS(BD!$A$3:$A$5001,N$3,BD!$B$3:$B$5001,$A$211,BD!$AH$3:$AH$5001,"&lt;&gt;")=0,"",SUMIFS(BD!$AH$3:$AH$5001,BD!$A$3:$A$5001,N$3,BD!$B$3:$B$5001,$A$211)))</f>
        <v/>
      </c>
      <c r="O230" s="247" t="str">
        <f>IF(O$3="","",IF(COUNTIFS(BD!$A$3:$A$5001,O$3,BD!$B$3:$B$5001,$A$211,BD!$AH$3:$AH$5001,"&lt;&gt;")=0,"",SUMIFS(BD!$AH$3:$AH$5001,BD!$A$3:$A$5001,O$3,BD!$B$3:$B$5001,$A$211)))</f>
        <v/>
      </c>
      <c r="P230" s="247" t="str">
        <f>IF(P$3="","",IF(COUNTIFS(BD!$A$3:$A$5001,P$3,BD!$B$3:$B$5001,$A$211,BD!$AH$3:$AH$5001,"&lt;&gt;")=0,"",SUMIFS(BD!$AH$3:$AH$5001,BD!$A$3:$A$5001,P$3,BD!$B$3:$B$5001,$A$211)))</f>
        <v/>
      </c>
      <c r="Q230" s="247" t="str">
        <f>IF(Q$3="","",IF(COUNTIFS(BD!$A$3:$A$5001,Q$3,BD!$B$3:$B$5001,$A$211,BD!$AH$3:$AH$5001,"&lt;&gt;")=0,"",SUMIFS(BD!$AH$3:$AH$5001,BD!$A$3:$A$5001,Q$3,BD!$B$3:$B$5001,$A$211)))</f>
        <v/>
      </c>
      <c r="R230" s="247" t="str">
        <f>IF(R$3="","",IF(COUNTIFS(BD!$A$3:$A$5001,R$3,BD!$B$3:$B$5001,$A$211,BD!$AH$3:$AH$5001,"&lt;&gt;")=0,"",SUMIFS(BD!$AH$3:$AH$5001,BD!$A$3:$A$5001,R$3,BD!$B$3:$B$5001,$A$211)))</f>
        <v/>
      </c>
      <c r="S230" s="247" t="str">
        <f>IF(S$3="","",IF(COUNTIFS(BD!$A$3:$A$5001,S$3,BD!$B$3:$B$5001,$A$211,BD!$AH$3:$AH$5001,"&lt;&gt;")=0,"",SUMIFS(BD!$AH$3:$AH$5001,BD!$A$3:$A$5001,S$3,BD!$B$3:$B$5001,$A$211)))</f>
        <v/>
      </c>
      <c r="T230" s="247" t="str">
        <f>IF(T$3="","",IF(COUNTIFS(BD!$A$3:$A$5001,T$3,BD!$B$3:$B$5001,$A$211,BD!$AH$3:$AH$5001,"&lt;&gt;")=0,"",SUMIFS(BD!$AH$3:$AH$5001,BD!$A$3:$A$5001,T$3,BD!$B$3:$B$5001,$A$211)))</f>
        <v/>
      </c>
      <c r="U230" s="247" t="str">
        <f>IF(U$3="","",IF(COUNTIFS(BD!$A$3:$A$5001,U$3,BD!$B$3:$B$5001,$A$211,BD!$AH$3:$AH$5001,"&lt;&gt;")=0,"",SUMIFS(BD!$AH$3:$AH$5001,BD!$A$3:$A$5001,U$3,BD!$B$3:$B$5001,$A$211)))</f>
        <v/>
      </c>
      <c r="V230" s="247" t="str">
        <f>IF(V$3="","",IF(COUNTIFS(BD!$A$3:$A$5001,V$3,BD!$B$3:$B$5001,$A$211,BD!$AH$3:$AH$5001,"&lt;&gt;")=0,"",SUMIFS(BD!$AH$3:$AH$5001,BD!$A$3:$A$5001,V$3,BD!$B$3:$B$5001,$A$211)))</f>
        <v/>
      </c>
      <c r="W230" s="247" t="str">
        <f>IF(W$3="","",IF(COUNTIFS(BD!$A$3:$A$5001,W$3,BD!$B$3:$B$5001,$A$211,BD!$AH$3:$AH$5001,"&lt;&gt;")=0,"",SUMIFS(BD!$AH$3:$AH$5001,BD!$A$3:$A$5001,W$3,BD!$B$3:$B$5001,$A$211)))</f>
        <v/>
      </c>
      <c r="X230" s="247" t="str">
        <f>IF(X$3="","",IF(COUNTIFS(BD!$A$3:$A$5001,X$3,BD!$B$3:$B$5001,$A$211,BD!$AH$3:$AH$5001,"&lt;&gt;")=0,"",SUMIFS(BD!$AH$3:$AH$5001,BD!$A$3:$A$5001,X$3,BD!$B$3:$B$5001,$A$211)))</f>
        <v/>
      </c>
      <c r="Y230" s="247" t="str">
        <f>IF(Y$3="","",IF(COUNTIFS(BD!$A$3:$A$5001,Y$3,BD!$B$3:$B$5001,$A$211,BD!$AH$3:$AH$5001,"&lt;&gt;")=0,"",SUMIFS(BD!$AH$3:$AH$5001,BD!$A$3:$A$5001,Y$3,BD!$B$3:$B$5001,$A$211)))</f>
        <v/>
      </c>
      <c r="Z230" s="247" t="str">
        <f>IF(Z$3="","",IF(COUNTIFS(BD!$A$3:$A$5001,Z$3,BD!$B$3:$B$5001,$A$211,BD!$AH$3:$AH$5001,"&lt;&gt;")=0,"",SUMIFS(BD!$AH$3:$AH$5001,BD!$A$3:$A$5001,Z$3,BD!$B$3:$B$5001,$A$211)))</f>
        <v/>
      </c>
      <c r="AA230" s="247" t="str">
        <f>IF(AA$3="","",IF(COUNTIFS(BD!$A$3:$A$5001,AA$3,BD!$B$3:$B$5001,$A$211,BD!$AH$3:$AH$5001,"&lt;&gt;")=0,"",SUMIFS(BD!$AH$3:$AH$5001,BD!$A$3:$A$5001,AA$3,BD!$B$3:$B$5001,$A$211)))</f>
        <v/>
      </c>
      <c r="AB230" s="247" t="str">
        <f>IF(AB$3="","",IF(COUNTIFS(BD!$A$3:$A$5001,AB$3,BD!$B$3:$B$5001,$A$211,BD!$AH$3:$AH$5001,"&lt;&gt;")=0,"",SUMIFS(BD!$AH$3:$AH$5001,BD!$A$3:$A$5001,AB$3,BD!$B$3:$B$5001,$A$211)))</f>
        <v/>
      </c>
      <c r="AC230" s="247" t="str">
        <f>IF(AC$3="","",IF(COUNTIFS(BD!$A$3:$A$5001,AC$3,BD!$B$3:$B$5001,$A$211,BD!$AH$3:$AH$5001,"&lt;&gt;")=0,"",SUMIFS(BD!$AH$3:$AH$5001,BD!$A$3:$A$5001,AC$3,BD!$B$3:$B$5001,$A$211)))</f>
        <v/>
      </c>
      <c r="AD230" s="247" t="str">
        <f>IF(AD$3="","",IF(COUNTIFS(BD!$A$3:$A$5001,AD$3,BD!$B$3:$B$5001,$A$211,BD!$AH$3:$AH$5001,"&lt;&gt;")=0,"",SUMIFS(BD!$AH$3:$AH$5001,BD!$A$3:$A$5001,AD$3,BD!$B$3:$B$5001,$A$211)))</f>
        <v/>
      </c>
      <c r="AE230" s="247" t="str">
        <f>IF(AE$3="","",IF(COUNTIFS(BD!$A$3:$A$5001,AE$3,BD!$B$3:$B$5001,$A$211,BD!$AH$3:$AH$5001,"&lt;&gt;")=0,"",SUMIFS(BD!$AH$3:$AH$5001,BD!$A$3:$A$5001,AE$3,BD!$B$3:$B$5001,$A$211)))</f>
        <v/>
      </c>
      <c r="AF230" s="247" t="str">
        <f>IF(AF$3="","",IF(COUNTIFS(BD!$A$3:$A$5001,AF$3,BD!$B$3:$B$5001,$A$211,BD!$AH$3:$AH$5001,"&lt;&gt;")=0,"",SUMIFS(BD!$AH$3:$AH$5001,BD!$A$3:$A$5001,AF$3,BD!$B$3:$B$5001,$A$211)))</f>
        <v/>
      </c>
      <c r="AG230" s="247" t="str">
        <f>IF(AG$3="","",IF(COUNTIFS(BD!$A$3:$A$5001,AG$3,BD!$B$3:$B$5001,$A$211,BD!$AH$3:$AH$5001,"&lt;&gt;")=0,"",SUMIFS(BD!$AH$3:$AH$5001,BD!$A$3:$A$5001,AG$3,BD!$B$3:$B$5001,$A$211)))</f>
        <v/>
      </c>
      <c r="AH230" s="247" t="str">
        <f>IF(AH$3="","",IF(COUNTIFS(BD!$A$3:$A$5001,AH$3,BD!$B$3:$B$5001,$A$211,BD!$AH$3:$AH$5001,"&lt;&gt;")=0,"",SUMIFS(BD!$AH$3:$AH$5001,BD!$A$3:$A$5001,AH$3,BD!$B$3:$B$5001,$A$211)))</f>
        <v/>
      </c>
      <c r="AI230" s="247" t="str">
        <f>IF(AI$3="","",IF(COUNTIFS(BD!$A$3:$A$5001,AI$3,BD!$B$3:$B$5001,$A$211,BD!$AH$3:$AH$5001,"&lt;&gt;")=0,"",SUMIFS(BD!$AH$3:$AH$5001,BD!$A$3:$A$5001,AI$3,BD!$B$3:$B$5001,$A$211)))</f>
        <v/>
      </c>
      <c r="AJ230" s="248" t="str">
        <f>IF(AJ$3="","",IF(COUNTIFS(BD!$A$3:$A$5001,AJ$3,BD!$B$3:$B$5001,$A$211,BD!$AH$3:$AH$5001,"&lt;&gt;")=0,"",SUMIFS(BD!$AH$3:$AH$5001,BD!$A$3:$A$5001,AJ$3,BD!$B$3:$B$5001,$A$211)))</f>
        <v/>
      </c>
      <c r="AK230" s="244" t="str">
        <f>IF(COUNT(F230:AJ230)=0,"",SUM(F230:AJ230))</f>
        <v/>
      </c>
    </row>
    <row r="232" ht="20" customHeight="1" hidden="1">
      <c r="A232" s="279" t="inlineStr">
        <is>
          <t xml:space="preserve">VAGAS PARA NOVOS CLIENTES — reexiba as linhas de um bloco, digite o nome do cliente na coluna CLIENTE (igual ao da BD) e exclua as linhas que ele não usa</t>
        </is>
      </c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  <c r="AH232" s="280"/>
      <c r="AI232" s="280"/>
      <c r="AJ232" s="280"/>
      <c r="AK232" s="281"/>
    </row>
    <row r="233" ht="15.75" customHeight="1" hidden="1">
      <c r="A233" s="260"/>
      <c r="B233" s="249" t="inlineStr">
        <is>
          <t xml:space="preserve">IN</t>
        </is>
      </c>
      <c r="C233" s="168" t="inlineStr">
        <is>
          <t xml:space="preserve">Veículos Recebidos</t>
        </is>
      </c>
      <c r="D233" s="169" t="str">
        <f>IFERROR(1/(1/INDEX(BD!$AL$23:$BF$23,MATCH($A$233,BD!$AL$22:$BF$22,0))),"")</f>
        <v/>
      </c>
      <c r="E233" s="170"/>
      <c r="F233" s="171" t="str">
        <f>IF(F$3="","",IF(COUNTIFS(BD!$A$3:$A$5001,F$3,BD!$B$3:$B$5001,$A$233,BD!$C$3:$C$5001,"&lt;&gt;")=0,"",SUMIFS(BD!$C$3:$C$5001,BD!$A$3:$A$5001,F$3,BD!$B$3:$B$5001,$A$233)))</f>
        <v/>
      </c>
      <c r="G233" s="172" t="str">
        <f>IF(G$3="","",IF(COUNTIFS(BD!$A$3:$A$5001,G$3,BD!$B$3:$B$5001,$A$233,BD!$C$3:$C$5001,"&lt;&gt;")=0,"",SUMIFS(BD!$C$3:$C$5001,BD!$A$3:$A$5001,G$3,BD!$B$3:$B$5001,$A$233)))</f>
        <v/>
      </c>
      <c r="H233" s="172" t="str">
        <f>IF(H$3="","",IF(COUNTIFS(BD!$A$3:$A$5001,H$3,BD!$B$3:$B$5001,$A$233,BD!$C$3:$C$5001,"&lt;&gt;")=0,"",SUMIFS(BD!$C$3:$C$5001,BD!$A$3:$A$5001,H$3,BD!$B$3:$B$5001,$A$233)))</f>
        <v/>
      </c>
      <c r="I233" s="172" t="str">
        <f>IF(I$3="","",IF(COUNTIFS(BD!$A$3:$A$5001,I$3,BD!$B$3:$B$5001,$A$233,BD!$C$3:$C$5001,"&lt;&gt;")=0,"",SUMIFS(BD!$C$3:$C$5001,BD!$A$3:$A$5001,I$3,BD!$B$3:$B$5001,$A$233)))</f>
        <v/>
      </c>
      <c r="J233" s="172" t="str">
        <f>IF(J$3="","",IF(COUNTIFS(BD!$A$3:$A$5001,J$3,BD!$B$3:$B$5001,$A$233,BD!$C$3:$C$5001,"&lt;&gt;")=0,"",SUMIFS(BD!$C$3:$C$5001,BD!$A$3:$A$5001,J$3,BD!$B$3:$B$5001,$A$233)))</f>
        <v/>
      </c>
      <c r="K233" s="172" t="str">
        <f>IF(K$3="","",IF(COUNTIFS(BD!$A$3:$A$5001,K$3,BD!$B$3:$B$5001,$A$233,BD!$C$3:$C$5001,"&lt;&gt;")=0,"",SUMIFS(BD!$C$3:$C$5001,BD!$A$3:$A$5001,K$3,BD!$B$3:$B$5001,$A$233)))</f>
        <v/>
      </c>
      <c r="L233" s="172" t="str">
        <f>IF(L$3="","",IF(COUNTIFS(BD!$A$3:$A$5001,L$3,BD!$B$3:$B$5001,$A$233,BD!$C$3:$C$5001,"&lt;&gt;")=0,"",SUMIFS(BD!$C$3:$C$5001,BD!$A$3:$A$5001,L$3,BD!$B$3:$B$5001,$A$233)))</f>
        <v/>
      </c>
      <c r="M233" s="172" t="str">
        <f>IF(M$3="","",IF(COUNTIFS(BD!$A$3:$A$5001,M$3,BD!$B$3:$B$5001,$A$233,BD!$C$3:$C$5001,"&lt;&gt;")=0,"",SUMIFS(BD!$C$3:$C$5001,BD!$A$3:$A$5001,M$3,BD!$B$3:$B$5001,$A$233)))</f>
        <v/>
      </c>
      <c r="N233" s="172" t="str">
        <f>IF(N$3="","",IF(COUNTIFS(BD!$A$3:$A$5001,N$3,BD!$B$3:$B$5001,$A$233,BD!$C$3:$C$5001,"&lt;&gt;")=0,"",SUMIFS(BD!$C$3:$C$5001,BD!$A$3:$A$5001,N$3,BD!$B$3:$B$5001,$A$233)))</f>
        <v/>
      </c>
      <c r="O233" s="172" t="str">
        <f>IF(O$3="","",IF(COUNTIFS(BD!$A$3:$A$5001,O$3,BD!$B$3:$B$5001,$A$233,BD!$C$3:$C$5001,"&lt;&gt;")=0,"",SUMIFS(BD!$C$3:$C$5001,BD!$A$3:$A$5001,O$3,BD!$B$3:$B$5001,$A$233)))</f>
        <v/>
      </c>
      <c r="P233" s="172" t="str">
        <f>IF(P$3="","",IF(COUNTIFS(BD!$A$3:$A$5001,P$3,BD!$B$3:$B$5001,$A$233,BD!$C$3:$C$5001,"&lt;&gt;")=0,"",SUMIFS(BD!$C$3:$C$5001,BD!$A$3:$A$5001,P$3,BD!$B$3:$B$5001,$A$233)))</f>
        <v/>
      </c>
      <c r="Q233" s="172" t="str">
        <f>IF(Q$3="","",IF(COUNTIFS(BD!$A$3:$A$5001,Q$3,BD!$B$3:$B$5001,$A$233,BD!$C$3:$C$5001,"&lt;&gt;")=0,"",SUMIFS(BD!$C$3:$C$5001,BD!$A$3:$A$5001,Q$3,BD!$B$3:$B$5001,$A$233)))</f>
        <v/>
      </c>
      <c r="R233" s="172" t="str">
        <f>IF(R$3="","",IF(COUNTIFS(BD!$A$3:$A$5001,R$3,BD!$B$3:$B$5001,$A$233,BD!$C$3:$C$5001,"&lt;&gt;")=0,"",SUMIFS(BD!$C$3:$C$5001,BD!$A$3:$A$5001,R$3,BD!$B$3:$B$5001,$A$233)))</f>
        <v/>
      </c>
      <c r="S233" s="172" t="str">
        <f>IF(S$3="","",IF(COUNTIFS(BD!$A$3:$A$5001,S$3,BD!$B$3:$B$5001,$A$233,BD!$C$3:$C$5001,"&lt;&gt;")=0,"",SUMIFS(BD!$C$3:$C$5001,BD!$A$3:$A$5001,S$3,BD!$B$3:$B$5001,$A$233)))</f>
        <v/>
      </c>
      <c r="T233" s="172" t="str">
        <f>IF(T$3="","",IF(COUNTIFS(BD!$A$3:$A$5001,T$3,BD!$B$3:$B$5001,$A$233,BD!$C$3:$C$5001,"&lt;&gt;")=0,"",SUMIFS(BD!$C$3:$C$5001,BD!$A$3:$A$5001,T$3,BD!$B$3:$B$5001,$A$233)))</f>
        <v/>
      </c>
      <c r="U233" s="172" t="str">
        <f>IF(U$3="","",IF(COUNTIFS(BD!$A$3:$A$5001,U$3,BD!$B$3:$B$5001,$A$233,BD!$C$3:$C$5001,"&lt;&gt;")=0,"",SUMIFS(BD!$C$3:$C$5001,BD!$A$3:$A$5001,U$3,BD!$B$3:$B$5001,$A$233)))</f>
        <v/>
      </c>
      <c r="V233" s="172" t="str">
        <f>IF(V$3="","",IF(COUNTIFS(BD!$A$3:$A$5001,V$3,BD!$B$3:$B$5001,$A$233,BD!$C$3:$C$5001,"&lt;&gt;")=0,"",SUMIFS(BD!$C$3:$C$5001,BD!$A$3:$A$5001,V$3,BD!$B$3:$B$5001,$A$233)))</f>
        <v/>
      </c>
      <c r="W233" s="172" t="str">
        <f>IF(W$3="","",IF(COUNTIFS(BD!$A$3:$A$5001,W$3,BD!$B$3:$B$5001,$A$233,BD!$C$3:$C$5001,"&lt;&gt;")=0,"",SUMIFS(BD!$C$3:$C$5001,BD!$A$3:$A$5001,W$3,BD!$B$3:$B$5001,$A$233)))</f>
        <v/>
      </c>
      <c r="X233" s="172" t="str">
        <f>IF(X$3="","",IF(COUNTIFS(BD!$A$3:$A$5001,X$3,BD!$B$3:$B$5001,$A$233,BD!$C$3:$C$5001,"&lt;&gt;")=0,"",SUMIFS(BD!$C$3:$C$5001,BD!$A$3:$A$5001,X$3,BD!$B$3:$B$5001,$A$233)))</f>
        <v/>
      </c>
      <c r="Y233" s="172" t="str">
        <f>IF(Y$3="","",IF(COUNTIFS(BD!$A$3:$A$5001,Y$3,BD!$B$3:$B$5001,$A$233,BD!$C$3:$C$5001,"&lt;&gt;")=0,"",SUMIFS(BD!$C$3:$C$5001,BD!$A$3:$A$5001,Y$3,BD!$B$3:$B$5001,$A$233)))</f>
        <v/>
      </c>
      <c r="Z233" s="172" t="str">
        <f>IF(Z$3="","",IF(COUNTIFS(BD!$A$3:$A$5001,Z$3,BD!$B$3:$B$5001,$A$233,BD!$C$3:$C$5001,"&lt;&gt;")=0,"",SUMIFS(BD!$C$3:$C$5001,BD!$A$3:$A$5001,Z$3,BD!$B$3:$B$5001,$A$233)))</f>
        <v/>
      </c>
      <c r="AA233" s="172" t="str">
        <f>IF(AA$3="","",IF(COUNTIFS(BD!$A$3:$A$5001,AA$3,BD!$B$3:$B$5001,$A$233,BD!$C$3:$C$5001,"&lt;&gt;")=0,"",SUMIFS(BD!$C$3:$C$5001,BD!$A$3:$A$5001,AA$3,BD!$B$3:$B$5001,$A$233)))</f>
        <v/>
      </c>
      <c r="AB233" s="172" t="str">
        <f>IF(AB$3="","",IF(COUNTIFS(BD!$A$3:$A$5001,AB$3,BD!$B$3:$B$5001,$A$233,BD!$C$3:$C$5001,"&lt;&gt;")=0,"",SUMIFS(BD!$C$3:$C$5001,BD!$A$3:$A$5001,AB$3,BD!$B$3:$B$5001,$A$233)))</f>
        <v/>
      </c>
      <c r="AC233" s="172" t="str">
        <f>IF(AC$3="","",IF(COUNTIFS(BD!$A$3:$A$5001,AC$3,BD!$B$3:$B$5001,$A$233,BD!$C$3:$C$5001,"&lt;&gt;")=0,"",SUMIFS(BD!$C$3:$C$5001,BD!$A$3:$A$5001,AC$3,BD!$B$3:$B$5001,$A$233)))</f>
        <v/>
      </c>
      <c r="AD233" s="172" t="str">
        <f>IF(AD$3="","",IF(COUNTIFS(BD!$A$3:$A$5001,AD$3,BD!$B$3:$B$5001,$A$233,BD!$C$3:$C$5001,"&lt;&gt;")=0,"",SUMIFS(BD!$C$3:$C$5001,BD!$A$3:$A$5001,AD$3,BD!$B$3:$B$5001,$A$233)))</f>
        <v/>
      </c>
      <c r="AE233" s="172" t="str">
        <f>IF(AE$3="","",IF(COUNTIFS(BD!$A$3:$A$5001,AE$3,BD!$B$3:$B$5001,$A$233,BD!$C$3:$C$5001,"&lt;&gt;")=0,"",SUMIFS(BD!$C$3:$C$5001,BD!$A$3:$A$5001,AE$3,BD!$B$3:$B$5001,$A$233)))</f>
        <v/>
      </c>
      <c r="AF233" s="172" t="str">
        <f>IF(AF$3="","",IF(COUNTIFS(BD!$A$3:$A$5001,AF$3,BD!$B$3:$B$5001,$A$233,BD!$C$3:$C$5001,"&lt;&gt;")=0,"",SUMIFS(BD!$C$3:$C$5001,BD!$A$3:$A$5001,AF$3,BD!$B$3:$B$5001,$A$233)))</f>
        <v/>
      </c>
      <c r="AG233" s="172" t="str">
        <f>IF(AG$3="","",IF(COUNTIFS(BD!$A$3:$A$5001,AG$3,BD!$B$3:$B$5001,$A$233,BD!$C$3:$C$5001,"&lt;&gt;")=0,"",SUMIFS(BD!$C$3:$C$5001,BD!$A$3:$A$5001,AG$3,BD!$B$3:$B$5001,$A$233)))</f>
        <v/>
      </c>
      <c r="AH233" s="172" t="str">
        <f>IF(AH$3="","",IF(COUNTIFS(BD!$A$3:$A$5001,AH$3,BD!$B$3:$B$5001,$A$233,BD!$C$3:$C$5001,"&lt;&gt;")=0,"",SUMIFS(BD!$C$3:$C$5001,BD!$A$3:$A$5001,AH$3,BD!$B$3:$B$5001,$A$233)))</f>
        <v/>
      </c>
      <c r="AI233" s="172" t="str">
        <f>IF(AI$3="","",IF(COUNTIFS(BD!$A$3:$A$5001,AI$3,BD!$B$3:$B$5001,$A$233,BD!$C$3:$C$5001,"&lt;&gt;")=0,"",SUMIFS(BD!$C$3:$C$5001,BD!$A$3:$A$5001,AI$3,BD!$B$3:$B$5001,$A$233)))</f>
        <v/>
      </c>
      <c r="AJ233" s="173" t="str">
        <f>IF(AJ$3="","",IF(COUNTIFS(BD!$A$3:$A$5001,AJ$3,BD!$B$3:$B$5001,$A$233,BD!$C$3:$C$5001,"&lt;&gt;")=0,"",SUMIFS(BD!$C$3:$C$5001,BD!$A$3:$A$5001,AJ$3,BD!$B$3:$B$5001,$A$233)))</f>
        <v/>
      </c>
      <c r="AK233" s="174" t="str">
        <f>IF(COUNT(F233:AJ233)=0,"",SUM(F233:AJ233))</f>
        <v/>
      </c>
    </row>
    <row r="234" ht="15.75" customHeight="1" hidden="1">
      <c r="A234" s="261"/>
      <c r="B234" s="256"/>
      <c r="C234" s="214" t="inlineStr">
        <is>
          <t xml:space="preserve">Pallets Movimentados</t>
        </is>
      </c>
      <c r="D234" s="215" t="str">
        <f>IFERROR(1/(1/INDEX(BD!$AL$24:$BF$24,MATCH($A$233,BD!$AL$22:$BF$22,0))),"")</f>
        <v/>
      </c>
      <c r="E234" s="216"/>
      <c r="F234" s="217" t="str">
        <f>IF(F$3="","",IF(COUNTIFS(BD!$A$3:$A$5001,F$3,BD!$B$3:$B$5001,$A$233,BD!$D$3:$D$5001,"&lt;&gt;")=0,"",SUMIFS(BD!$D$3:$D$5001,BD!$A$3:$A$5001,F$3,BD!$B$3:$B$5001,$A$233)))</f>
        <v/>
      </c>
      <c r="G234" s="218" t="str">
        <f>IF(G$3="","",IF(COUNTIFS(BD!$A$3:$A$5001,G$3,BD!$B$3:$B$5001,$A$233,BD!$D$3:$D$5001,"&lt;&gt;")=0,"",SUMIFS(BD!$D$3:$D$5001,BD!$A$3:$A$5001,G$3,BD!$B$3:$B$5001,$A$233)))</f>
        <v/>
      </c>
      <c r="H234" s="218" t="str">
        <f>IF(H$3="","",IF(COUNTIFS(BD!$A$3:$A$5001,H$3,BD!$B$3:$B$5001,$A$233,BD!$D$3:$D$5001,"&lt;&gt;")=0,"",SUMIFS(BD!$D$3:$D$5001,BD!$A$3:$A$5001,H$3,BD!$B$3:$B$5001,$A$233)))</f>
        <v/>
      </c>
      <c r="I234" s="218" t="str">
        <f>IF(I$3="","",IF(COUNTIFS(BD!$A$3:$A$5001,I$3,BD!$B$3:$B$5001,$A$233,BD!$D$3:$D$5001,"&lt;&gt;")=0,"",SUMIFS(BD!$D$3:$D$5001,BD!$A$3:$A$5001,I$3,BD!$B$3:$B$5001,$A$233)))</f>
        <v/>
      </c>
      <c r="J234" s="218" t="str">
        <f>IF(J$3="","",IF(COUNTIFS(BD!$A$3:$A$5001,J$3,BD!$B$3:$B$5001,$A$233,BD!$D$3:$D$5001,"&lt;&gt;")=0,"",SUMIFS(BD!$D$3:$D$5001,BD!$A$3:$A$5001,J$3,BD!$B$3:$B$5001,$A$233)))</f>
        <v/>
      </c>
      <c r="K234" s="218" t="str">
        <f>IF(K$3="","",IF(COUNTIFS(BD!$A$3:$A$5001,K$3,BD!$B$3:$B$5001,$A$233,BD!$D$3:$D$5001,"&lt;&gt;")=0,"",SUMIFS(BD!$D$3:$D$5001,BD!$A$3:$A$5001,K$3,BD!$B$3:$B$5001,$A$233)))</f>
        <v/>
      </c>
      <c r="L234" s="218" t="str">
        <f>IF(L$3="","",IF(COUNTIFS(BD!$A$3:$A$5001,L$3,BD!$B$3:$B$5001,$A$233,BD!$D$3:$D$5001,"&lt;&gt;")=0,"",SUMIFS(BD!$D$3:$D$5001,BD!$A$3:$A$5001,L$3,BD!$B$3:$B$5001,$A$233)))</f>
        <v/>
      </c>
      <c r="M234" s="218" t="str">
        <f>IF(M$3="","",IF(COUNTIFS(BD!$A$3:$A$5001,M$3,BD!$B$3:$B$5001,$A$233,BD!$D$3:$D$5001,"&lt;&gt;")=0,"",SUMIFS(BD!$D$3:$D$5001,BD!$A$3:$A$5001,M$3,BD!$B$3:$B$5001,$A$233)))</f>
        <v/>
      </c>
      <c r="N234" s="218" t="str">
        <f>IF(N$3="","",IF(COUNTIFS(BD!$A$3:$A$5001,N$3,BD!$B$3:$B$5001,$A$233,BD!$D$3:$D$5001,"&lt;&gt;")=0,"",SUMIFS(BD!$D$3:$D$5001,BD!$A$3:$A$5001,N$3,BD!$B$3:$B$5001,$A$233)))</f>
        <v/>
      </c>
      <c r="O234" s="218" t="str">
        <f>IF(O$3="","",IF(COUNTIFS(BD!$A$3:$A$5001,O$3,BD!$B$3:$B$5001,$A$233,BD!$D$3:$D$5001,"&lt;&gt;")=0,"",SUMIFS(BD!$D$3:$D$5001,BD!$A$3:$A$5001,O$3,BD!$B$3:$B$5001,$A$233)))</f>
        <v/>
      </c>
      <c r="P234" s="218" t="str">
        <f>IF(P$3="","",IF(COUNTIFS(BD!$A$3:$A$5001,P$3,BD!$B$3:$B$5001,$A$233,BD!$D$3:$D$5001,"&lt;&gt;")=0,"",SUMIFS(BD!$D$3:$D$5001,BD!$A$3:$A$5001,P$3,BD!$B$3:$B$5001,$A$233)))</f>
        <v/>
      </c>
      <c r="Q234" s="218" t="str">
        <f>IF(Q$3="","",IF(COUNTIFS(BD!$A$3:$A$5001,Q$3,BD!$B$3:$B$5001,$A$233,BD!$D$3:$D$5001,"&lt;&gt;")=0,"",SUMIFS(BD!$D$3:$D$5001,BD!$A$3:$A$5001,Q$3,BD!$B$3:$B$5001,$A$233)))</f>
        <v/>
      </c>
      <c r="R234" s="218" t="str">
        <f>IF(R$3="","",IF(COUNTIFS(BD!$A$3:$A$5001,R$3,BD!$B$3:$B$5001,$A$233,BD!$D$3:$D$5001,"&lt;&gt;")=0,"",SUMIFS(BD!$D$3:$D$5001,BD!$A$3:$A$5001,R$3,BD!$B$3:$B$5001,$A$233)))</f>
        <v/>
      </c>
      <c r="S234" s="218" t="str">
        <f>IF(S$3="","",IF(COUNTIFS(BD!$A$3:$A$5001,S$3,BD!$B$3:$B$5001,$A$233,BD!$D$3:$D$5001,"&lt;&gt;")=0,"",SUMIFS(BD!$D$3:$D$5001,BD!$A$3:$A$5001,S$3,BD!$B$3:$B$5001,$A$233)))</f>
        <v/>
      </c>
      <c r="T234" s="218" t="str">
        <f>IF(T$3="","",IF(COUNTIFS(BD!$A$3:$A$5001,T$3,BD!$B$3:$B$5001,$A$233,BD!$D$3:$D$5001,"&lt;&gt;")=0,"",SUMIFS(BD!$D$3:$D$5001,BD!$A$3:$A$5001,T$3,BD!$B$3:$B$5001,$A$233)))</f>
        <v/>
      </c>
      <c r="U234" s="218" t="str">
        <f>IF(U$3="","",IF(COUNTIFS(BD!$A$3:$A$5001,U$3,BD!$B$3:$B$5001,$A$233,BD!$D$3:$D$5001,"&lt;&gt;")=0,"",SUMIFS(BD!$D$3:$D$5001,BD!$A$3:$A$5001,U$3,BD!$B$3:$B$5001,$A$233)))</f>
        <v/>
      </c>
      <c r="V234" s="218" t="str">
        <f>IF(V$3="","",IF(COUNTIFS(BD!$A$3:$A$5001,V$3,BD!$B$3:$B$5001,$A$233,BD!$D$3:$D$5001,"&lt;&gt;")=0,"",SUMIFS(BD!$D$3:$D$5001,BD!$A$3:$A$5001,V$3,BD!$B$3:$B$5001,$A$233)))</f>
        <v/>
      </c>
      <c r="W234" s="218" t="str">
        <f>IF(W$3="","",IF(COUNTIFS(BD!$A$3:$A$5001,W$3,BD!$B$3:$B$5001,$A$233,BD!$D$3:$D$5001,"&lt;&gt;")=0,"",SUMIFS(BD!$D$3:$D$5001,BD!$A$3:$A$5001,W$3,BD!$B$3:$B$5001,$A$233)))</f>
        <v/>
      </c>
      <c r="X234" s="218" t="str">
        <f>IF(X$3="","",IF(COUNTIFS(BD!$A$3:$A$5001,X$3,BD!$B$3:$B$5001,$A$233,BD!$D$3:$D$5001,"&lt;&gt;")=0,"",SUMIFS(BD!$D$3:$D$5001,BD!$A$3:$A$5001,X$3,BD!$B$3:$B$5001,$A$233)))</f>
        <v/>
      </c>
      <c r="Y234" s="218" t="str">
        <f>IF(Y$3="","",IF(COUNTIFS(BD!$A$3:$A$5001,Y$3,BD!$B$3:$B$5001,$A$233,BD!$D$3:$D$5001,"&lt;&gt;")=0,"",SUMIFS(BD!$D$3:$D$5001,BD!$A$3:$A$5001,Y$3,BD!$B$3:$B$5001,$A$233)))</f>
        <v/>
      </c>
      <c r="Z234" s="218" t="str">
        <f>IF(Z$3="","",IF(COUNTIFS(BD!$A$3:$A$5001,Z$3,BD!$B$3:$B$5001,$A$233,BD!$D$3:$D$5001,"&lt;&gt;")=0,"",SUMIFS(BD!$D$3:$D$5001,BD!$A$3:$A$5001,Z$3,BD!$B$3:$B$5001,$A$233)))</f>
        <v/>
      </c>
      <c r="AA234" s="218" t="str">
        <f>IF(AA$3="","",IF(COUNTIFS(BD!$A$3:$A$5001,AA$3,BD!$B$3:$B$5001,$A$233,BD!$D$3:$D$5001,"&lt;&gt;")=0,"",SUMIFS(BD!$D$3:$D$5001,BD!$A$3:$A$5001,AA$3,BD!$B$3:$B$5001,$A$233)))</f>
        <v/>
      </c>
      <c r="AB234" s="218" t="str">
        <f>IF(AB$3="","",IF(COUNTIFS(BD!$A$3:$A$5001,AB$3,BD!$B$3:$B$5001,$A$233,BD!$D$3:$D$5001,"&lt;&gt;")=0,"",SUMIFS(BD!$D$3:$D$5001,BD!$A$3:$A$5001,AB$3,BD!$B$3:$B$5001,$A$233)))</f>
        <v/>
      </c>
      <c r="AC234" s="218" t="str">
        <f>IF(AC$3="","",IF(COUNTIFS(BD!$A$3:$A$5001,AC$3,BD!$B$3:$B$5001,$A$233,BD!$D$3:$D$5001,"&lt;&gt;")=0,"",SUMIFS(BD!$D$3:$D$5001,BD!$A$3:$A$5001,AC$3,BD!$B$3:$B$5001,$A$233)))</f>
        <v/>
      </c>
      <c r="AD234" s="218" t="str">
        <f>IF(AD$3="","",IF(COUNTIFS(BD!$A$3:$A$5001,AD$3,BD!$B$3:$B$5001,$A$233,BD!$D$3:$D$5001,"&lt;&gt;")=0,"",SUMIFS(BD!$D$3:$D$5001,BD!$A$3:$A$5001,AD$3,BD!$B$3:$B$5001,$A$233)))</f>
        <v/>
      </c>
      <c r="AE234" s="218" t="str">
        <f>IF(AE$3="","",IF(COUNTIFS(BD!$A$3:$A$5001,AE$3,BD!$B$3:$B$5001,$A$233,BD!$D$3:$D$5001,"&lt;&gt;")=0,"",SUMIFS(BD!$D$3:$D$5001,BD!$A$3:$A$5001,AE$3,BD!$B$3:$B$5001,$A$233)))</f>
        <v/>
      </c>
      <c r="AF234" s="218" t="str">
        <f>IF(AF$3="","",IF(COUNTIFS(BD!$A$3:$A$5001,AF$3,BD!$B$3:$B$5001,$A$233,BD!$D$3:$D$5001,"&lt;&gt;")=0,"",SUMIFS(BD!$D$3:$D$5001,BD!$A$3:$A$5001,AF$3,BD!$B$3:$B$5001,$A$233)))</f>
        <v/>
      </c>
      <c r="AG234" s="218" t="str">
        <f>IF(AG$3="","",IF(COUNTIFS(BD!$A$3:$A$5001,AG$3,BD!$B$3:$B$5001,$A$233,BD!$D$3:$D$5001,"&lt;&gt;")=0,"",SUMIFS(BD!$D$3:$D$5001,BD!$A$3:$A$5001,AG$3,BD!$B$3:$B$5001,$A$233)))</f>
        <v/>
      </c>
      <c r="AH234" s="218" t="str">
        <f>IF(AH$3="","",IF(COUNTIFS(BD!$A$3:$A$5001,AH$3,BD!$B$3:$B$5001,$A$233,BD!$D$3:$D$5001,"&lt;&gt;")=0,"",SUMIFS(BD!$D$3:$D$5001,BD!$A$3:$A$5001,AH$3,BD!$B$3:$B$5001,$A$233)))</f>
        <v/>
      </c>
      <c r="AI234" s="218" t="str">
        <f>IF(AI$3="","",IF(COUNTIFS(BD!$A$3:$A$5001,AI$3,BD!$B$3:$B$5001,$A$233,BD!$D$3:$D$5001,"&lt;&gt;")=0,"",SUMIFS(BD!$D$3:$D$5001,BD!$A$3:$A$5001,AI$3,BD!$B$3:$B$5001,$A$233)))</f>
        <v/>
      </c>
      <c r="AJ234" s="219" t="str">
        <f>IF(AJ$3="","",IF(COUNTIFS(BD!$A$3:$A$5001,AJ$3,BD!$B$3:$B$5001,$A$233,BD!$D$3:$D$5001,"&lt;&gt;")=0,"",SUMIFS(BD!$D$3:$D$5001,BD!$A$3:$A$5001,AJ$3,BD!$B$3:$B$5001,$A$233)))</f>
        <v/>
      </c>
      <c r="AK234" s="220" t="str">
        <f>IF(COUNT(F234:AJ234)=0,"",SUM(F234:AJ234))</f>
        <v/>
      </c>
    </row>
    <row r="235" ht="15.75" customHeight="1" hidden="1">
      <c r="A235" s="261"/>
      <c r="B235" s="256"/>
      <c r="C235" s="214" t="inlineStr">
        <is>
          <t xml:space="preserve">Toneladas Movimentadas</t>
        </is>
      </c>
      <c r="D235" s="215" t="str">
        <f>IFERROR(1/(1/INDEX(BD!$AL$25:$BF$25,MATCH($A$233,BD!$AL$22:$BF$22,0))),"")</f>
        <v/>
      </c>
      <c r="E235" s="216"/>
      <c r="F235" s="282" t="str">
        <f>IF(F$3="","",IF(COUNTIFS(BD!$A$3:$A$5001,F$3,BD!$B$3:$B$5001,$A$233,BD!$E$3:$E$5001,"&lt;&gt;")=0,"",SUMIFS(BD!$E$3:$E$5001,BD!$A$3:$A$5001,F$3,BD!$B$3:$B$5001,$A$233)))</f>
        <v/>
      </c>
      <c r="G235" s="283" t="str">
        <f>IF(G$3="","",IF(COUNTIFS(BD!$A$3:$A$5001,G$3,BD!$B$3:$B$5001,$A$233,BD!$E$3:$E$5001,"&lt;&gt;")=0,"",SUMIFS(BD!$E$3:$E$5001,BD!$A$3:$A$5001,G$3,BD!$B$3:$B$5001,$A$233)))</f>
        <v/>
      </c>
      <c r="H235" s="283" t="str">
        <f>IF(H$3="","",IF(COUNTIFS(BD!$A$3:$A$5001,H$3,BD!$B$3:$B$5001,$A$233,BD!$E$3:$E$5001,"&lt;&gt;")=0,"",SUMIFS(BD!$E$3:$E$5001,BD!$A$3:$A$5001,H$3,BD!$B$3:$B$5001,$A$233)))</f>
        <v/>
      </c>
      <c r="I235" s="283" t="str">
        <f>IF(I$3="","",IF(COUNTIFS(BD!$A$3:$A$5001,I$3,BD!$B$3:$B$5001,$A$233,BD!$E$3:$E$5001,"&lt;&gt;")=0,"",SUMIFS(BD!$E$3:$E$5001,BD!$A$3:$A$5001,I$3,BD!$B$3:$B$5001,$A$233)))</f>
        <v/>
      </c>
      <c r="J235" s="283" t="str">
        <f>IF(J$3="","",IF(COUNTIFS(BD!$A$3:$A$5001,J$3,BD!$B$3:$B$5001,$A$233,BD!$E$3:$E$5001,"&lt;&gt;")=0,"",SUMIFS(BD!$E$3:$E$5001,BD!$A$3:$A$5001,J$3,BD!$B$3:$B$5001,$A$233)))</f>
        <v/>
      </c>
      <c r="K235" s="283" t="str">
        <f>IF(K$3="","",IF(COUNTIFS(BD!$A$3:$A$5001,K$3,BD!$B$3:$B$5001,$A$233,BD!$E$3:$E$5001,"&lt;&gt;")=0,"",SUMIFS(BD!$E$3:$E$5001,BD!$A$3:$A$5001,K$3,BD!$B$3:$B$5001,$A$233)))</f>
        <v/>
      </c>
      <c r="L235" s="283" t="str">
        <f>IF(L$3="","",IF(COUNTIFS(BD!$A$3:$A$5001,L$3,BD!$B$3:$B$5001,$A$233,BD!$E$3:$E$5001,"&lt;&gt;")=0,"",SUMIFS(BD!$E$3:$E$5001,BD!$A$3:$A$5001,L$3,BD!$B$3:$B$5001,$A$233)))</f>
        <v/>
      </c>
      <c r="M235" s="283" t="str">
        <f>IF(M$3="","",IF(COUNTIFS(BD!$A$3:$A$5001,M$3,BD!$B$3:$B$5001,$A$233,BD!$E$3:$E$5001,"&lt;&gt;")=0,"",SUMIFS(BD!$E$3:$E$5001,BD!$A$3:$A$5001,M$3,BD!$B$3:$B$5001,$A$233)))</f>
        <v/>
      </c>
      <c r="N235" s="283" t="str">
        <f>IF(N$3="","",IF(COUNTIFS(BD!$A$3:$A$5001,N$3,BD!$B$3:$B$5001,$A$233,BD!$E$3:$E$5001,"&lt;&gt;")=0,"",SUMIFS(BD!$E$3:$E$5001,BD!$A$3:$A$5001,N$3,BD!$B$3:$B$5001,$A$233)))</f>
        <v/>
      </c>
      <c r="O235" s="283" t="str">
        <f>IF(O$3="","",IF(COUNTIFS(BD!$A$3:$A$5001,O$3,BD!$B$3:$B$5001,$A$233,BD!$E$3:$E$5001,"&lt;&gt;")=0,"",SUMIFS(BD!$E$3:$E$5001,BD!$A$3:$A$5001,O$3,BD!$B$3:$B$5001,$A$233)))</f>
        <v/>
      </c>
      <c r="P235" s="283" t="str">
        <f>IF(P$3="","",IF(COUNTIFS(BD!$A$3:$A$5001,P$3,BD!$B$3:$B$5001,$A$233,BD!$E$3:$E$5001,"&lt;&gt;")=0,"",SUMIFS(BD!$E$3:$E$5001,BD!$A$3:$A$5001,P$3,BD!$B$3:$B$5001,$A$233)))</f>
        <v/>
      </c>
      <c r="Q235" s="283" t="str">
        <f>IF(Q$3="","",IF(COUNTIFS(BD!$A$3:$A$5001,Q$3,BD!$B$3:$B$5001,$A$233,BD!$E$3:$E$5001,"&lt;&gt;")=0,"",SUMIFS(BD!$E$3:$E$5001,BD!$A$3:$A$5001,Q$3,BD!$B$3:$B$5001,$A$233)))</f>
        <v/>
      </c>
      <c r="R235" s="283" t="str">
        <f>IF(R$3="","",IF(COUNTIFS(BD!$A$3:$A$5001,R$3,BD!$B$3:$B$5001,$A$233,BD!$E$3:$E$5001,"&lt;&gt;")=0,"",SUMIFS(BD!$E$3:$E$5001,BD!$A$3:$A$5001,R$3,BD!$B$3:$B$5001,$A$233)))</f>
        <v/>
      </c>
      <c r="S235" s="283" t="str">
        <f>IF(S$3="","",IF(COUNTIFS(BD!$A$3:$A$5001,S$3,BD!$B$3:$B$5001,$A$233,BD!$E$3:$E$5001,"&lt;&gt;")=0,"",SUMIFS(BD!$E$3:$E$5001,BD!$A$3:$A$5001,S$3,BD!$B$3:$B$5001,$A$233)))</f>
        <v/>
      </c>
      <c r="T235" s="283" t="str">
        <f>IF(T$3="","",IF(COUNTIFS(BD!$A$3:$A$5001,T$3,BD!$B$3:$B$5001,$A$233,BD!$E$3:$E$5001,"&lt;&gt;")=0,"",SUMIFS(BD!$E$3:$E$5001,BD!$A$3:$A$5001,T$3,BD!$B$3:$B$5001,$A$233)))</f>
        <v/>
      </c>
      <c r="U235" s="283" t="str">
        <f>IF(U$3="","",IF(COUNTIFS(BD!$A$3:$A$5001,U$3,BD!$B$3:$B$5001,$A$233,BD!$E$3:$E$5001,"&lt;&gt;")=0,"",SUMIFS(BD!$E$3:$E$5001,BD!$A$3:$A$5001,U$3,BD!$B$3:$B$5001,$A$233)))</f>
        <v/>
      </c>
      <c r="V235" s="283" t="str">
        <f>IF(V$3="","",IF(COUNTIFS(BD!$A$3:$A$5001,V$3,BD!$B$3:$B$5001,$A$233,BD!$E$3:$E$5001,"&lt;&gt;")=0,"",SUMIFS(BD!$E$3:$E$5001,BD!$A$3:$A$5001,V$3,BD!$B$3:$B$5001,$A$233)))</f>
        <v/>
      </c>
      <c r="W235" s="283" t="str">
        <f>IF(W$3="","",IF(COUNTIFS(BD!$A$3:$A$5001,W$3,BD!$B$3:$B$5001,$A$233,BD!$E$3:$E$5001,"&lt;&gt;")=0,"",SUMIFS(BD!$E$3:$E$5001,BD!$A$3:$A$5001,W$3,BD!$B$3:$B$5001,$A$233)))</f>
        <v/>
      </c>
      <c r="X235" s="283" t="str">
        <f>IF(X$3="","",IF(COUNTIFS(BD!$A$3:$A$5001,X$3,BD!$B$3:$B$5001,$A$233,BD!$E$3:$E$5001,"&lt;&gt;")=0,"",SUMIFS(BD!$E$3:$E$5001,BD!$A$3:$A$5001,X$3,BD!$B$3:$B$5001,$A$233)))</f>
        <v/>
      </c>
      <c r="Y235" s="283" t="str">
        <f>IF(Y$3="","",IF(COUNTIFS(BD!$A$3:$A$5001,Y$3,BD!$B$3:$B$5001,$A$233,BD!$E$3:$E$5001,"&lt;&gt;")=0,"",SUMIFS(BD!$E$3:$E$5001,BD!$A$3:$A$5001,Y$3,BD!$B$3:$B$5001,$A$233)))</f>
        <v/>
      </c>
      <c r="Z235" s="283" t="str">
        <f>IF(Z$3="","",IF(COUNTIFS(BD!$A$3:$A$5001,Z$3,BD!$B$3:$B$5001,$A$233,BD!$E$3:$E$5001,"&lt;&gt;")=0,"",SUMIFS(BD!$E$3:$E$5001,BD!$A$3:$A$5001,Z$3,BD!$B$3:$B$5001,$A$233)))</f>
        <v/>
      </c>
      <c r="AA235" s="283" t="str">
        <f>IF(AA$3="","",IF(COUNTIFS(BD!$A$3:$A$5001,AA$3,BD!$B$3:$B$5001,$A$233,BD!$E$3:$E$5001,"&lt;&gt;")=0,"",SUMIFS(BD!$E$3:$E$5001,BD!$A$3:$A$5001,AA$3,BD!$B$3:$B$5001,$A$233)))</f>
        <v/>
      </c>
      <c r="AB235" s="283" t="str">
        <f>IF(AB$3="","",IF(COUNTIFS(BD!$A$3:$A$5001,AB$3,BD!$B$3:$B$5001,$A$233,BD!$E$3:$E$5001,"&lt;&gt;")=0,"",SUMIFS(BD!$E$3:$E$5001,BD!$A$3:$A$5001,AB$3,BD!$B$3:$B$5001,$A$233)))</f>
        <v/>
      </c>
      <c r="AC235" s="283" t="str">
        <f>IF(AC$3="","",IF(COUNTIFS(BD!$A$3:$A$5001,AC$3,BD!$B$3:$B$5001,$A$233,BD!$E$3:$E$5001,"&lt;&gt;")=0,"",SUMIFS(BD!$E$3:$E$5001,BD!$A$3:$A$5001,AC$3,BD!$B$3:$B$5001,$A$233)))</f>
        <v/>
      </c>
      <c r="AD235" s="283" t="str">
        <f>IF(AD$3="","",IF(COUNTIFS(BD!$A$3:$A$5001,AD$3,BD!$B$3:$B$5001,$A$233,BD!$E$3:$E$5001,"&lt;&gt;")=0,"",SUMIFS(BD!$E$3:$E$5001,BD!$A$3:$A$5001,AD$3,BD!$B$3:$B$5001,$A$233)))</f>
        <v/>
      </c>
      <c r="AE235" s="283" t="str">
        <f>IF(AE$3="","",IF(COUNTIFS(BD!$A$3:$A$5001,AE$3,BD!$B$3:$B$5001,$A$233,BD!$E$3:$E$5001,"&lt;&gt;")=0,"",SUMIFS(BD!$E$3:$E$5001,BD!$A$3:$A$5001,AE$3,BD!$B$3:$B$5001,$A$233)))</f>
        <v/>
      </c>
      <c r="AF235" s="283" t="str">
        <f>IF(AF$3="","",IF(COUNTIFS(BD!$A$3:$A$5001,AF$3,BD!$B$3:$B$5001,$A$233,BD!$E$3:$E$5001,"&lt;&gt;")=0,"",SUMIFS(BD!$E$3:$E$5001,BD!$A$3:$A$5001,AF$3,BD!$B$3:$B$5001,$A$233)))</f>
        <v/>
      </c>
      <c r="AG235" s="283" t="str">
        <f>IF(AG$3="","",IF(COUNTIFS(BD!$A$3:$A$5001,AG$3,BD!$B$3:$B$5001,$A$233,BD!$E$3:$E$5001,"&lt;&gt;")=0,"",SUMIFS(BD!$E$3:$E$5001,BD!$A$3:$A$5001,AG$3,BD!$B$3:$B$5001,$A$233)))</f>
        <v/>
      </c>
      <c r="AH235" s="283" t="str">
        <f>IF(AH$3="","",IF(COUNTIFS(BD!$A$3:$A$5001,AH$3,BD!$B$3:$B$5001,$A$233,BD!$E$3:$E$5001,"&lt;&gt;")=0,"",SUMIFS(BD!$E$3:$E$5001,BD!$A$3:$A$5001,AH$3,BD!$B$3:$B$5001,$A$233)))</f>
        <v/>
      </c>
      <c r="AI235" s="283" t="str">
        <f>IF(AI$3="","",IF(COUNTIFS(BD!$A$3:$A$5001,AI$3,BD!$B$3:$B$5001,$A$233,BD!$E$3:$E$5001,"&lt;&gt;")=0,"",SUMIFS(BD!$E$3:$E$5001,BD!$A$3:$A$5001,AI$3,BD!$B$3:$B$5001,$A$233)))</f>
        <v/>
      </c>
      <c r="AJ235" s="284" t="str">
        <f>IF(AJ$3="","",IF(COUNTIFS(BD!$A$3:$A$5001,AJ$3,BD!$B$3:$B$5001,$A$233,BD!$E$3:$E$5001,"&lt;&gt;")=0,"",SUMIFS(BD!$E$3:$E$5001,BD!$A$3:$A$5001,AJ$3,BD!$B$3:$B$5001,$A$233)))</f>
        <v/>
      </c>
      <c r="AK235" s="285" t="str">
        <f>IF(COUNT(F235:AJ235)=0,"",SUM(F235:AJ235))</f>
        <v/>
      </c>
    </row>
    <row r="236" ht="15.75" customHeight="1" hidden="1">
      <c r="A236" s="261"/>
      <c r="B236" s="256"/>
      <c r="C236" s="214" t="inlineStr">
        <is>
          <t xml:space="preserve">Linhas NF</t>
        </is>
      </c>
      <c r="D236" s="215" t="str">
        <f>IFERROR(1/(1/INDEX(BD!$AL$26:$BF$26,MATCH($A$233,BD!$AL$22:$BF$22,0))),"")</f>
        <v/>
      </c>
      <c r="E236" s="216"/>
      <c r="F236" s="217" t="str">
        <f>IF(F$3="","",IF(COUNTIFS(BD!$A$3:$A$5001,F$3,BD!$B$3:$B$5001,$A$233,BD!$F$3:$F$5001,"&lt;&gt;")=0,"",SUMIFS(BD!$F$3:$F$5001,BD!$A$3:$A$5001,F$3,BD!$B$3:$B$5001,$A$233)))</f>
        <v/>
      </c>
      <c r="G236" s="218" t="str">
        <f>IF(G$3="","",IF(COUNTIFS(BD!$A$3:$A$5001,G$3,BD!$B$3:$B$5001,$A$233,BD!$F$3:$F$5001,"&lt;&gt;")=0,"",SUMIFS(BD!$F$3:$F$5001,BD!$A$3:$A$5001,G$3,BD!$B$3:$B$5001,$A$233)))</f>
        <v/>
      </c>
      <c r="H236" s="218" t="str">
        <f>IF(H$3="","",IF(COUNTIFS(BD!$A$3:$A$5001,H$3,BD!$B$3:$B$5001,$A$233,BD!$F$3:$F$5001,"&lt;&gt;")=0,"",SUMIFS(BD!$F$3:$F$5001,BD!$A$3:$A$5001,H$3,BD!$B$3:$B$5001,$A$233)))</f>
        <v/>
      </c>
      <c r="I236" s="218" t="str">
        <f>IF(I$3="","",IF(COUNTIFS(BD!$A$3:$A$5001,I$3,BD!$B$3:$B$5001,$A$233,BD!$F$3:$F$5001,"&lt;&gt;")=0,"",SUMIFS(BD!$F$3:$F$5001,BD!$A$3:$A$5001,I$3,BD!$B$3:$B$5001,$A$233)))</f>
        <v/>
      </c>
      <c r="J236" s="218" t="str">
        <f>IF(J$3="","",IF(COUNTIFS(BD!$A$3:$A$5001,J$3,BD!$B$3:$B$5001,$A$233,BD!$F$3:$F$5001,"&lt;&gt;")=0,"",SUMIFS(BD!$F$3:$F$5001,BD!$A$3:$A$5001,J$3,BD!$B$3:$B$5001,$A$233)))</f>
        <v/>
      </c>
      <c r="K236" s="218" t="str">
        <f>IF(K$3="","",IF(COUNTIFS(BD!$A$3:$A$5001,K$3,BD!$B$3:$B$5001,$A$233,BD!$F$3:$F$5001,"&lt;&gt;")=0,"",SUMIFS(BD!$F$3:$F$5001,BD!$A$3:$A$5001,K$3,BD!$B$3:$B$5001,$A$233)))</f>
        <v/>
      </c>
      <c r="L236" s="218" t="str">
        <f>IF(L$3="","",IF(COUNTIFS(BD!$A$3:$A$5001,L$3,BD!$B$3:$B$5001,$A$233,BD!$F$3:$F$5001,"&lt;&gt;")=0,"",SUMIFS(BD!$F$3:$F$5001,BD!$A$3:$A$5001,L$3,BD!$B$3:$B$5001,$A$233)))</f>
        <v/>
      </c>
      <c r="M236" s="218" t="str">
        <f>IF(M$3="","",IF(COUNTIFS(BD!$A$3:$A$5001,M$3,BD!$B$3:$B$5001,$A$233,BD!$F$3:$F$5001,"&lt;&gt;")=0,"",SUMIFS(BD!$F$3:$F$5001,BD!$A$3:$A$5001,M$3,BD!$B$3:$B$5001,$A$233)))</f>
        <v/>
      </c>
      <c r="N236" s="218" t="str">
        <f>IF(N$3="","",IF(COUNTIFS(BD!$A$3:$A$5001,N$3,BD!$B$3:$B$5001,$A$233,BD!$F$3:$F$5001,"&lt;&gt;")=0,"",SUMIFS(BD!$F$3:$F$5001,BD!$A$3:$A$5001,N$3,BD!$B$3:$B$5001,$A$233)))</f>
        <v/>
      </c>
      <c r="O236" s="218" t="str">
        <f>IF(O$3="","",IF(COUNTIFS(BD!$A$3:$A$5001,O$3,BD!$B$3:$B$5001,$A$233,BD!$F$3:$F$5001,"&lt;&gt;")=0,"",SUMIFS(BD!$F$3:$F$5001,BD!$A$3:$A$5001,O$3,BD!$B$3:$B$5001,$A$233)))</f>
        <v/>
      </c>
      <c r="P236" s="218" t="str">
        <f>IF(P$3="","",IF(COUNTIFS(BD!$A$3:$A$5001,P$3,BD!$B$3:$B$5001,$A$233,BD!$F$3:$F$5001,"&lt;&gt;")=0,"",SUMIFS(BD!$F$3:$F$5001,BD!$A$3:$A$5001,P$3,BD!$B$3:$B$5001,$A$233)))</f>
        <v/>
      </c>
      <c r="Q236" s="218" t="str">
        <f>IF(Q$3="","",IF(COUNTIFS(BD!$A$3:$A$5001,Q$3,BD!$B$3:$B$5001,$A$233,BD!$F$3:$F$5001,"&lt;&gt;")=0,"",SUMIFS(BD!$F$3:$F$5001,BD!$A$3:$A$5001,Q$3,BD!$B$3:$B$5001,$A$233)))</f>
        <v/>
      </c>
      <c r="R236" s="218" t="str">
        <f>IF(R$3="","",IF(COUNTIFS(BD!$A$3:$A$5001,R$3,BD!$B$3:$B$5001,$A$233,BD!$F$3:$F$5001,"&lt;&gt;")=0,"",SUMIFS(BD!$F$3:$F$5001,BD!$A$3:$A$5001,R$3,BD!$B$3:$B$5001,$A$233)))</f>
        <v/>
      </c>
      <c r="S236" s="218" t="str">
        <f>IF(S$3="","",IF(COUNTIFS(BD!$A$3:$A$5001,S$3,BD!$B$3:$B$5001,$A$233,BD!$F$3:$F$5001,"&lt;&gt;")=0,"",SUMIFS(BD!$F$3:$F$5001,BD!$A$3:$A$5001,S$3,BD!$B$3:$B$5001,$A$233)))</f>
        <v/>
      </c>
      <c r="T236" s="218" t="str">
        <f>IF(T$3="","",IF(COUNTIFS(BD!$A$3:$A$5001,T$3,BD!$B$3:$B$5001,$A$233,BD!$F$3:$F$5001,"&lt;&gt;")=0,"",SUMIFS(BD!$F$3:$F$5001,BD!$A$3:$A$5001,T$3,BD!$B$3:$B$5001,$A$233)))</f>
        <v/>
      </c>
      <c r="U236" s="218" t="str">
        <f>IF(U$3="","",IF(COUNTIFS(BD!$A$3:$A$5001,U$3,BD!$B$3:$B$5001,$A$233,BD!$F$3:$F$5001,"&lt;&gt;")=0,"",SUMIFS(BD!$F$3:$F$5001,BD!$A$3:$A$5001,U$3,BD!$B$3:$B$5001,$A$233)))</f>
        <v/>
      </c>
      <c r="V236" s="218" t="str">
        <f>IF(V$3="","",IF(COUNTIFS(BD!$A$3:$A$5001,V$3,BD!$B$3:$B$5001,$A$233,BD!$F$3:$F$5001,"&lt;&gt;")=0,"",SUMIFS(BD!$F$3:$F$5001,BD!$A$3:$A$5001,V$3,BD!$B$3:$B$5001,$A$233)))</f>
        <v/>
      </c>
      <c r="W236" s="218" t="str">
        <f>IF(W$3="","",IF(COUNTIFS(BD!$A$3:$A$5001,W$3,BD!$B$3:$B$5001,$A$233,BD!$F$3:$F$5001,"&lt;&gt;")=0,"",SUMIFS(BD!$F$3:$F$5001,BD!$A$3:$A$5001,W$3,BD!$B$3:$B$5001,$A$233)))</f>
        <v/>
      </c>
      <c r="X236" s="218" t="str">
        <f>IF(X$3="","",IF(COUNTIFS(BD!$A$3:$A$5001,X$3,BD!$B$3:$B$5001,$A$233,BD!$F$3:$F$5001,"&lt;&gt;")=0,"",SUMIFS(BD!$F$3:$F$5001,BD!$A$3:$A$5001,X$3,BD!$B$3:$B$5001,$A$233)))</f>
        <v/>
      </c>
      <c r="Y236" s="218" t="str">
        <f>IF(Y$3="","",IF(COUNTIFS(BD!$A$3:$A$5001,Y$3,BD!$B$3:$B$5001,$A$233,BD!$F$3:$F$5001,"&lt;&gt;")=0,"",SUMIFS(BD!$F$3:$F$5001,BD!$A$3:$A$5001,Y$3,BD!$B$3:$B$5001,$A$233)))</f>
        <v/>
      </c>
      <c r="Z236" s="218" t="str">
        <f>IF(Z$3="","",IF(COUNTIFS(BD!$A$3:$A$5001,Z$3,BD!$B$3:$B$5001,$A$233,BD!$F$3:$F$5001,"&lt;&gt;")=0,"",SUMIFS(BD!$F$3:$F$5001,BD!$A$3:$A$5001,Z$3,BD!$B$3:$B$5001,$A$233)))</f>
        <v/>
      </c>
      <c r="AA236" s="218" t="str">
        <f>IF(AA$3="","",IF(COUNTIFS(BD!$A$3:$A$5001,AA$3,BD!$B$3:$B$5001,$A$233,BD!$F$3:$F$5001,"&lt;&gt;")=0,"",SUMIFS(BD!$F$3:$F$5001,BD!$A$3:$A$5001,AA$3,BD!$B$3:$B$5001,$A$233)))</f>
        <v/>
      </c>
      <c r="AB236" s="218" t="str">
        <f>IF(AB$3="","",IF(COUNTIFS(BD!$A$3:$A$5001,AB$3,BD!$B$3:$B$5001,$A$233,BD!$F$3:$F$5001,"&lt;&gt;")=0,"",SUMIFS(BD!$F$3:$F$5001,BD!$A$3:$A$5001,AB$3,BD!$B$3:$B$5001,$A$233)))</f>
        <v/>
      </c>
      <c r="AC236" s="218" t="str">
        <f>IF(AC$3="","",IF(COUNTIFS(BD!$A$3:$A$5001,AC$3,BD!$B$3:$B$5001,$A$233,BD!$F$3:$F$5001,"&lt;&gt;")=0,"",SUMIFS(BD!$F$3:$F$5001,BD!$A$3:$A$5001,AC$3,BD!$B$3:$B$5001,$A$233)))</f>
        <v/>
      </c>
      <c r="AD236" s="218" t="str">
        <f>IF(AD$3="","",IF(COUNTIFS(BD!$A$3:$A$5001,AD$3,BD!$B$3:$B$5001,$A$233,BD!$F$3:$F$5001,"&lt;&gt;")=0,"",SUMIFS(BD!$F$3:$F$5001,BD!$A$3:$A$5001,AD$3,BD!$B$3:$B$5001,$A$233)))</f>
        <v/>
      </c>
      <c r="AE236" s="218" t="str">
        <f>IF(AE$3="","",IF(COUNTIFS(BD!$A$3:$A$5001,AE$3,BD!$B$3:$B$5001,$A$233,BD!$F$3:$F$5001,"&lt;&gt;")=0,"",SUMIFS(BD!$F$3:$F$5001,BD!$A$3:$A$5001,AE$3,BD!$B$3:$B$5001,$A$233)))</f>
        <v/>
      </c>
      <c r="AF236" s="218" t="str">
        <f>IF(AF$3="","",IF(COUNTIFS(BD!$A$3:$A$5001,AF$3,BD!$B$3:$B$5001,$A$233,BD!$F$3:$F$5001,"&lt;&gt;")=0,"",SUMIFS(BD!$F$3:$F$5001,BD!$A$3:$A$5001,AF$3,BD!$B$3:$B$5001,$A$233)))</f>
        <v/>
      </c>
      <c r="AG236" s="218" t="str">
        <f>IF(AG$3="","",IF(COUNTIFS(BD!$A$3:$A$5001,AG$3,BD!$B$3:$B$5001,$A$233,BD!$F$3:$F$5001,"&lt;&gt;")=0,"",SUMIFS(BD!$F$3:$F$5001,BD!$A$3:$A$5001,AG$3,BD!$B$3:$B$5001,$A$233)))</f>
        <v/>
      </c>
      <c r="AH236" s="218" t="str">
        <f>IF(AH$3="","",IF(COUNTIFS(BD!$A$3:$A$5001,AH$3,BD!$B$3:$B$5001,$A$233,BD!$F$3:$F$5001,"&lt;&gt;")=0,"",SUMIFS(BD!$F$3:$F$5001,BD!$A$3:$A$5001,AH$3,BD!$B$3:$B$5001,$A$233)))</f>
        <v/>
      </c>
      <c r="AI236" s="218" t="str">
        <f>IF(AI$3="","",IF(COUNTIFS(BD!$A$3:$A$5001,AI$3,BD!$B$3:$B$5001,$A$233,BD!$F$3:$F$5001,"&lt;&gt;")=0,"",SUMIFS(BD!$F$3:$F$5001,BD!$A$3:$A$5001,AI$3,BD!$B$3:$B$5001,$A$233)))</f>
        <v/>
      </c>
      <c r="AJ236" s="219" t="str">
        <f>IF(AJ$3="","",IF(COUNTIFS(BD!$A$3:$A$5001,AJ$3,BD!$B$3:$B$5001,$A$233,BD!$F$3:$F$5001,"&lt;&gt;")=0,"",SUMIFS(BD!$F$3:$F$5001,BD!$A$3:$A$5001,AJ$3,BD!$B$3:$B$5001,$A$233)))</f>
        <v/>
      </c>
      <c r="AK236" s="220" t="str">
        <f>IF(COUNT(F236:AJ236)=0,"",SUM(F236:AJ236))</f>
        <v/>
      </c>
    </row>
    <row r="237" ht="15.75" customHeight="1" hidden="1">
      <c r="A237" s="261"/>
      <c r="B237" s="256"/>
      <c r="C237" s="214" t="inlineStr">
        <is>
          <t xml:space="preserve">Caixas Movimentadas</t>
        </is>
      </c>
      <c r="D237" s="215" t="str">
        <f>IFERROR(1/(1/INDEX(BD!$AL$27:$BF$27,MATCH($A$233,BD!$AL$22:$BF$22,0))),"")</f>
        <v/>
      </c>
      <c r="E237" s="216"/>
      <c r="F237" s="217" t="str">
        <f>IF(F$3="","",IF(COUNTIFS(BD!$A$3:$A$5001,F$3,BD!$B$3:$B$5001,$A$233,BD!$G$3:$G$5001,"&lt;&gt;")=0,"",SUMIFS(BD!$G$3:$G$5001,BD!$A$3:$A$5001,F$3,BD!$B$3:$B$5001,$A$233)))</f>
        <v/>
      </c>
      <c r="G237" s="218" t="str">
        <f>IF(G$3="","",IF(COUNTIFS(BD!$A$3:$A$5001,G$3,BD!$B$3:$B$5001,$A$233,BD!$G$3:$G$5001,"&lt;&gt;")=0,"",SUMIFS(BD!$G$3:$G$5001,BD!$A$3:$A$5001,G$3,BD!$B$3:$B$5001,$A$233)))</f>
        <v/>
      </c>
      <c r="H237" s="218" t="str">
        <f>IF(H$3="","",IF(COUNTIFS(BD!$A$3:$A$5001,H$3,BD!$B$3:$B$5001,$A$233,BD!$G$3:$G$5001,"&lt;&gt;")=0,"",SUMIFS(BD!$G$3:$G$5001,BD!$A$3:$A$5001,H$3,BD!$B$3:$B$5001,$A$233)))</f>
        <v/>
      </c>
      <c r="I237" s="218" t="str">
        <f>IF(I$3="","",IF(COUNTIFS(BD!$A$3:$A$5001,I$3,BD!$B$3:$B$5001,$A$233,BD!$G$3:$G$5001,"&lt;&gt;")=0,"",SUMIFS(BD!$G$3:$G$5001,BD!$A$3:$A$5001,I$3,BD!$B$3:$B$5001,$A$233)))</f>
        <v/>
      </c>
      <c r="J237" s="218" t="str">
        <f>IF(J$3="","",IF(COUNTIFS(BD!$A$3:$A$5001,J$3,BD!$B$3:$B$5001,$A$233,BD!$G$3:$G$5001,"&lt;&gt;")=0,"",SUMIFS(BD!$G$3:$G$5001,BD!$A$3:$A$5001,J$3,BD!$B$3:$B$5001,$A$233)))</f>
        <v/>
      </c>
      <c r="K237" s="218" t="str">
        <f>IF(K$3="","",IF(COUNTIFS(BD!$A$3:$A$5001,K$3,BD!$B$3:$B$5001,$A$233,BD!$G$3:$G$5001,"&lt;&gt;")=0,"",SUMIFS(BD!$G$3:$G$5001,BD!$A$3:$A$5001,K$3,BD!$B$3:$B$5001,$A$233)))</f>
        <v/>
      </c>
      <c r="L237" s="218" t="str">
        <f>IF(L$3="","",IF(COUNTIFS(BD!$A$3:$A$5001,L$3,BD!$B$3:$B$5001,$A$233,BD!$G$3:$G$5001,"&lt;&gt;")=0,"",SUMIFS(BD!$G$3:$G$5001,BD!$A$3:$A$5001,L$3,BD!$B$3:$B$5001,$A$233)))</f>
        <v/>
      </c>
      <c r="M237" s="218" t="str">
        <f>IF(M$3="","",IF(COUNTIFS(BD!$A$3:$A$5001,M$3,BD!$B$3:$B$5001,$A$233,BD!$G$3:$G$5001,"&lt;&gt;")=0,"",SUMIFS(BD!$G$3:$G$5001,BD!$A$3:$A$5001,M$3,BD!$B$3:$B$5001,$A$233)))</f>
        <v/>
      </c>
      <c r="N237" s="218" t="str">
        <f>IF(N$3="","",IF(COUNTIFS(BD!$A$3:$A$5001,N$3,BD!$B$3:$B$5001,$A$233,BD!$G$3:$G$5001,"&lt;&gt;")=0,"",SUMIFS(BD!$G$3:$G$5001,BD!$A$3:$A$5001,N$3,BD!$B$3:$B$5001,$A$233)))</f>
        <v/>
      </c>
      <c r="O237" s="218" t="str">
        <f>IF(O$3="","",IF(COUNTIFS(BD!$A$3:$A$5001,O$3,BD!$B$3:$B$5001,$A$233,BD!$G$3:$G$5001,"&lt;&gt;")=0,"",SUMIFS(BD!$G$3:$G$5001,BD!$A$3:$A$5001,O$3,BD!$B$3:$B$5001,$A$233)))</f>
        <v/>
      </c>
      <c r="P237" s="218" t="str">
        <f>IF(P$3="","",IF(COUNTIFS(BD!$A$3:$A$5001,P$3,BD!$B$3:$B$5001,$A$233,BD!$G$3:$G$5001,"&lt;&gt;")=0,"",SUMIFS(BD!$G$3:$G$5001,BD!$A$3:$A$5001,P$3,BD!$B$3:$B$5001,$A$233)))</f>
        <v/>
      </c>
      <c r="Q237" s="218" t="str">
        <f>IF(Q$3="","",IF(COUNTIFS(BD!$A$3:$A$5001,Q$3,BD!$B$3:$B$5001,$A$233,BD!$G$3:$G$5001,"&lt;&gt;")=0,"",SUMIFS(BD!$G$3:$G$5001,BD!$A$3:$A$5001,Q$3,BD!$B$3:$B$5001,$A$233)))</f>
        <v/>
      </c>
      <c r="R237" s="218" t="str">
        <f>IF(R$3="","",IF(COUNTIFS(BD!$A$3:$A$5001,R$3,BD!$B$3:$B$5001,$A$233,BD!$G$3:$G$5001,"&lt;&gt;")=0,"",SUMIFS(BD!$G$3:$G$5001,BD!$A$3:$A$5001,R$3,BD!$B$3:$B$5001,$A$233)))</f>
        <v/>
      </c>
      <c r="S237" s="218" t="str">
        <f>IF(S$3="","",IF(COUNTIFS(BD!$A$3:$A$5001,S$3,BD!$B$3:$B$5001,$A$233,BD!$G$3:$G$5001,"&lt;&gt;")=0,"",SUMIFS(BD!$G$3:$G$5001,BD!$A$3:$A$5001,S$3,BD!$B$3:$B$5001,$A$233)))</f>
        <v/>
      </c>
      <c r="T237" s="218" t="str">
        <f>IF(T$3="","",IF(COUNTIFS(BD!$A$3:$A$5001,T$3,BD!$B$3:$B$5001,$A$233,BD!$G$3:$G$5001,"&lt;&gt;")=0,"",SUMIFS(BD!$G$3:$G$5001,BD!$A$3:$A$5001,T$3,BD!$B$3:$B$5001,$A$233)))</f>
        <v/>
      </c>
      <c r="U237" s="218" t="str">
        <f>IF(U$3="","",IF(COUNTIFS(BD!$A$3:$A$5001,U$3,BD!$B$3:$B$5001,$A$233,BD!$G$3:$G$5001,"&lt;&gt;")=0,"",SUMIFS(BD!$G$3:$G$5001,BD!$A$3:$A$5001,U$3,BD!$B$3:$B$5001,$A$233)))</f>
        <v/>
      </c>
      <c r="V237" s="218" t="str">
        <f>IF(V$3="","",IF(COUNTIFS(BD!$A$3:$A$5001,V$3,BD!$B$3:$B$5001,$A$233,BD!$G$3:$G$5001,"&lt;&gt;")=0,"",SUMIFS(BD!$G$3:$G$5001,BD!$A$3:$A$5001,V$3,BD!$B$3:$B$5001,$A$233)))</f>
        <v/>
      </c>
      <c r="W237" s="218" t="str">
        <f>IF(W$3="","",IF(COUNTIFS(BD!$A$3:$A$5001,W$3,BD!$B$3:$B$5001,$A$233,BD!$G$3:$G$5001,"&lt;&gt;")=0,"",SUMIFS(BD!$G$3:$G$5001,BD!$A$3:$A$5001,W$3,BD!$B$3:$B$5001,$A$233)))</f>
        <v/>
      </c>
      <c r="X237" s="218" t="str">
        <f>IF(X$3="","",IF(COUNTIFS(BD!$A$3:$A$5001,X$3,BD!$B$3:$B$5001,$A$233,BD!$G$3:$G$5001,"&lt;&gt;")=0,"",SUMIFS(BD!$G$3:$G$5001,BD!$A$3:$A$5001,X$3,BD!$B$3:$B$5001,$A$233)))</f>
        <v/>
      </c>
      <c r="Y237" s="218" t="str">
        <f>IF(Y$3="","",IF(COUNTIFS(BD!$A$3:$A$5001,Y$3,BD!$B$3:$B$5001,$A$233,BD!$G$3:$G$5001,"&lt;&gt;")=0,"",SUMIFS(BD!$G$3:$G$5001,BD!$A$3:$A$5001,Y$3,BD!$B$3:$B$5001,$A$233)))</f>
        <v/>
      </c>
      <c r="Z237" s="218" t="str">
        <f>IF(Z$3="","",IF(COUNTIFS(BD!$A$3:$A$5001,Z$3,BD!$B$3:$B$5001,$A$233,BD!$G$3:$G$5001,"&lt;&gt;")=0,"",SUMIFS(BD!$G$3:$G$5001,BD!$A$3:$A$5001,Z$3,BD!$B$3:$B$5001,$A$233)))</f>
        <v/>
      </c>
      <c r="AA237" s="218" t="str">
        <f>IF(AA$3="","",IF(COUNTIFS(BD!$A$3:$A$5001,AA$3,BD!$B$3:$B$5001,$A$233,BD!$G$3:$G$5001,"&lt;&gt;")=0,"",SUMIFS(BD!$G$3:$G$5001,BD!$A$3:$A$5001,AA$3,BD!$B$3:$B$5001,$A$233)))</f>
        <v/>
      </c>
      <c r="AB237" s="218" t="str">
        <f>IF(AB$3="","",IF(COUNTIFS(BD!$A$3:$A$5001,AB$3,BD!$B$3:$B$5001,$A$233,BD!$G$3:$G$5001,"&lt;&gt;")=0,"",SUMIFS(BD!$G$3:$G$5001,BD!$A$3:$A$5001,AB$3,BD!$B$3:$B$5001,$A$233)))</f>
        <v/>
      </c>
      <c r="AC237" s="218" t="str">
        <f>IF(AC$3="","",IF(COUNTIFS(BD!$A$3:$A$5001,AC$3,BD!$B$3:$B$5001,$A$233,BD!$G$3:$G$5001,"&lt;&gt;")=0,"",SUMIFS(BD!$G$3:$G$5001,BD!$A$3:$A$5001,AC$3,BD!$B$3:$B$5001,$A$233)))</f>
        <v/>
      </c>
      <c r="AD237" s="218" t="str">
        <f>IF(AD$3="","",IF(COUNTIFS(BD!$A$3:$A$5001,AD$3,BD!$B$3:$B$5001,$A$233,BD!$G$3:$G$5001,"&lt;&gt;")=0,"",SUMIFS(BD!$G$3:$G$5001,BD!$A$3:$A$5001,AD$3,BD!$B$3:$B$5001,$A$233)))</f>
        <v/>
      </c>
      <c r="AE237" s="218" t="str">
        <f>IF(AE$3="","",IF(COUNTIFS(BD!$A$3:$A$5001,AE$3,BD!$B$3:$B$5001,$A$233,BD!$G$3:$G$5001,"&lt;&gt;")=0,"",SUMIFS(BD!$G$3:$G$5001,BD!$A$3:$A$5001,AE$3,BD!$B$3:$B$5001,$A$233)))</f>
        <v/>
      </c>
      <c r="AF237" s="218" t="str">
        <f>IF(AF$3="","",IF(COUNTIFS(BD!$A$3:$A$5001,AF$3,BD!$B$3:$B$5001,$A$233,BD!$G$3:$G$5001,"&lt;&gt;")=0,"",SUMIFS(BD!$G$3:$G$5001,BD!$A$3:$A$5001,AF$3,BD!$B$3:$B$5001,$A$233)))</f>
        <v/>
      </c>
      <c r="AG237" s="218" t="str">
        <f>IF(AG$3="","",IF(COUNTIFS(BD!$A$3:$A$5001,AG$3,BD!$B$3:$B$5001,$A$233,BD!$G$3:$G$5001,"&lt;&gt;")=0,"",SUMIFS(BD!$G$3:$G$5001,BD!$A$3:$A$5001,AG$3,BD!$B$3:$B$5001,$A$233)))</f>
        <v/>
      </c>
      <c r="AH237" s="218" t="str">
        <f>IF(AH$3="","",IF(COUNTIFS(BD!$A$3:$A$5001,AH$3,BD!$B$3:$B$5001,$A$233,BD!$G$3:$G$5001,"&lt;&gt;")=0,"",SUMIFS(BD!$G$3:$G$5001,BD!$A$3:$A$5001,AH$3,BD!$B$3:$B$5001,$A$233)))</f>
        <v/>
      </c>
      <c r="AI237" s="218" t="str">
        <f>IF(AI$3="","",IF(COUNTIFS(BD!$A$3:$A$5001,AI$3,BD!$B$3:$B$5001,$A$233,BD!$G$3:$G$5001,"&lt;&gt;")=0,"",SUMIFS(BD!$G$3:$G$5001,BD!$A$3:$A$5001,AI$3,BD!$B$3:$B$5001,$A$233)))</f>
        <v/>
      </c>
      <c r="AJ237" s="219" t="str">
        <f>IF(AJ$3="","",IF(COUNTIFS(BD!$A$3:$A$5001,AJ$3,BD!$B$3:$B$5001,$A$233,BD!$G$3:$G$5001,"&lt;&gt;")=0,"",SUMIFS(BD!$G$3:$G$5001,BD!$A$3:$A$5001,AJ$3,BD!$B$3:$B$5001,$A$233)))</f>
        <v/>
      </c>
      <c r="AK237" s="220" t="str">
        <f>IF(COUNT(F237:AJ237)=0,"",SUM(F237:AJ237))</f>
        <v/>
      </c>
    </row>
    <row r="238" ht="15.75" customHeight="1" hidden="1">
      <c r="A238" s="261"/>
      <c r="B238" s="256"/>
      <c r="C238" s="214" t="inlineStr">
        <is>
          <t xml:space="preserve">Itens Recebidos</t>
        </is>
      </c>
      <c r="D238" s="215" t="str">
        <f>IFERROR(1/(1/INDEX(BD!$AL$28:$BF$28,MATCH($A$233,BD!$AL$22:$BF$22,0))),"")</f>
        <v/>
      </c>
      <c r="E238" s="216"/>
      <c r="F238" s="217" t="str">
        <f>IF(F$3="","",IF(COUNTIFS(BD!$A$3:$A$5001,F$3,BD!$B$3:$B$5001,$A$233,BD!$H$3:$H$5001,"&lt;&gt;")=0,"",SUMIFS(BD!$H$3:$H$5001,BD!$A$3:$A$5001,F$3,BD!$B$3:$B$5001,$A$233)))</f>
        <v/>
      </c>
      <c r="G238" s="218" t="str">
        <f>IF(G$3="","",IF(COUNTIFS(BD!$A$3:$A$5001,G$3,BD!$B$3:$B$5001,$A$233,BD!$H$3:$H$5001,"&lt;&gt;")=0,"",SUMIFS(BD!$H$3:$H$5001,BD!$A$3:$A$5001,G$3,BD!$B$3:$B$5001,$A$233)))</f>
        <v/>
      </c>
      <c r="H238" s="218" t="str">
        <f>IF(H$3="","",IF(COUNTIFS(BD!$A$3:$A$5001,H$3,BD!$B$3:$B$5001,$A$233,BD!$H$3:$H$5001,"&lt;&gt;")=0,"",SUMIFS(BD!$H$3:$H$5001,BD!$A$3:$A$5001,H$3,BD!$B$3:$B$5001,$A$233)))</f>
        <v/>
      </c>
      <c r="I238" s="218" t="str">
        <f>IF(I$3="","",IF(COUNTIFS(BD!$A$3:$A$5001,I$3,BD!$B$3:$B$5001,$A$233,BD!$H$3:$H$5001,"&lt;&gt;")=0,"",SUMIFS(BD!$H$3:$H$5001,BD!$A$3:$A$5001,I$3,BD!$B$3:$B$5001,$A$233)))</f>
        <v/>
      </c>
      <c r="J238" s="218" t="str">
        <f>IF(J$3="","",IF(COUNTIFS(BD!$A$3:$A$5001,J$3,BD!$B$3:$B$5001,$A$233,BD!$H$3:$H$5001,"&lt;&gt;")=0,"",SUMIFS(BD!$H$3:$H$5001,BD!$A$3:$A$5001,J$3,BD!$B$3:$B$5001,$A$233)))</f>
        <v/>
      </c>
      <c r="K238" s="218" t="str">
        <f>IF(K$3="","",IF(COUNTIFS(BD!$A$3:$A$5001,K$3,BD!$B$3:$B$5001,$A$233,BD!$H$3:$H$5001,"&lt;&gt;")=0,"",SUMIFS(BD!$H$3:$H$5001,BD!$A$3:$A$5001,K$3,BD!$B$3:$B$5001,$A$233)))</f>
        <v/>
      </c>
      <c r="L238" s="218" t="str">
        <f>IF(L$3="","",IF(COUNTIFS(BD!$A$3:$A$5001,L$3,BD!$B$3:$B$5001,$A$233,BD!$H$3:$H$5001,"&lt;&gt;")=0,"",SUMIFS(BD!$H$3:$H$5001,BD!$A$3:$A$5001,L$3,BD!$B$3:$B$5001,$A$233)))</f>
        <v/>
      </c>
      <c r="M238" s="218" t="str">
        <f>IF(M$3="","",IF(COUNTIFS(BD!$A$3:$A$5001,M$3,BD!$B$3:$B$5001,$A$233,BD!$H$3:$H$5001,"&lt;&gt;")=0,"",SUMIFS(BD!$H$3:$H$5001,BD!$A$3:$A$5001,M$3,BD!$B$3:$B$5001,$A$233)))</f>
        <v/>
      </c>
      <c r="N238" s="218" t="str">
        <f>IF(N$3="","",IF(COUNTIFS(BD!$A$3:$A$5001,N$3,BD!$B$3:$B$5001,$A$233,BD!$H$3:$H$5001,"&lt;&gt;")=0,"",SUMIFS(BD!$H$3:$H$5001,BD!$A$3:$A$5001,N$3,BD!$B$3:$B$5001,$A$233)))</f>
        <v/>
      </c>
      <c r="O238" s="218" t="str">
        <f>IF(O$3="","",IF(COUNTIFS(BD!$A$3:$A$5001,O$3,BD!$B$3:$B$5001,$A$233,BD!$H$3:$H$5001,"&lt;&gt;")=0,"",SUMIFS(BD!$H$3:$H$5001,BD!$A$3:$A$5001,O$3,BD!$B$3:$B$5001,$A$233)))</f>
        <v/>
      </c>
      <c r="P238" s="218" t="str">
        <f>IF(P$3="","",IF(COUNTIFS(BD!$A$3:$A$5001,P$3,BD!$B$3:$B$5001,$A$233,BD!$H$3:$H$5001,"&lt;&gt;")=0,"",SUMIFS(BD!$H$3:$H$5001,BD!$A$3:$A$5001,P$3,BD!$B$3:$B$5001,$A$233)))</f>
        <v/>
      </c>
      <c r="Q238" s="218" t="str">
        <f>IF(Q$3="","",IF(COUNTIFS(BD!$A$3:$A$5001,Q$3,BD!$B$3:$B$5001,$A$233,BD!$H$3:$H$5001,"&lt;&gt;")=0,"",SUMIFS(BD!$H$3:$H$5001,BD!$A$3:$A$5001,Q$3,BD!$B$3:$B$5001,$A$233)))</f>
        <v/>
      </c>
      <c r="R238" s="218" t="str">
        <f>IF(R$3="","",IF(COUNTIFS(BD!$A$3:$A$5001,R$3,BD!$B$3:$B$5001,$A$233,BD!$H$3:$H$5001,"&lt;&gt;")=0,"",SUMIFS(BD!$H$3:$H$5001,BD!$A$3:$A$5001,R$3,BD!$B$3:$B$5001,$A$233)))</f>
        <v/>
      </c>
      <c r="S238" s="218" t="str">
        <f>IF(S$3="","",IF(COUNTIFS(BD!$A$3:$A$5001,S$3,BD!$B$3:$B$5001,$A$233,BD!$H$3:$H$5001,"&lt;&gt;")=0,"",SUMIFS(BD!$H$3:$H$5001,BD!$A$3:$A$5001,S$3,BD!$B$3:$B$5001,$A$233)))</f>
        <v/>
      </c>
      <c r="T238" s="218" t="str">
        <f>IF(T$3="","",IF(COUNTIFS(BD!$A$3:$A$5001,T$3,BD!$B$3:$B$5001,$A$233,BD!$H$3:$H$5001,"&lt;&gt;")=0,"",SUMIFS(BD!$H$3:$H$5001,BD!$A$3:$A$5001,T$3,BD!$B$3:$B$5001,$A$233)))</f>
        <v/>
      </c>
      <c r="U238" s="218" t="str">
        <f>IF(U$3="","",IF(COUNTIFS(BD!$A$3:$A$5001,U$3,BD!$B$3:$B$5001,$A$233,BD!$H$3:$H$5001,"&lt;&gt;")=0,"",SUMIFS(BD!$H$3:$H$5001,BD!$A$3:$A$5001,U$3,BD!$B$3:$B$5001,$A$233)))</f>
        <v/>
      </c>
      <c r="V238" s="218" t="str">
        <f>IF(V$3="","",IF(COUNTIFS(BD!$A$3:$A$5001,V$3,BD!$B$3:$B$5001,$A$233,BD!$H$3:$H$5001,"&lt;&gt;")=0,"",SUMIFS(BD!$H$3:$H$5001,BD!$A$3:$A$5001,V$3,BD!$B$3:$B$5001,$A$233)))</f>
        <v/>
      </c>
      <c r="W238" s="218" t="str">
        <f>IF(W$3="","",IF(COUNTIFS(BD!$A$3:$A$5001,W$3,BD!$B$3:$B$5001,$A$233,BD!$H$3:$H$5001,"&lt;&gt;")=0,"",SUMIFS(BD!$H$3:$H$5001,BD!$A$3:$A$5001,W$3,BD!$B$3:$B$5001,$A$233)))</f>
        <v/>
      </c>
      <c r="X238" s="218" t="str">
        <f>IF(X$3="","",IF(COUNTIFS(BD!$A$3:$A$5001,X$3,BD!$B$3:$B$5001,$A$233,BD!$H$3:$H$5001,"&lt;&gt;")=0,"",SUMIFS(BD!$H$3:$H$5001,BD!$A$3:$A$5001,X$3,BD!$B$3:$B$5001,$A$233)))</f>
        <v/>
      </c>
      <c r="Y238" s="218" t="str">
        <f>IF(Y$3="","",IF(COUNTIFS(BD!$A$3:$A$5001,Y$3,BD!$B$3:$B$5001,$A$233,BD!$H$3:$H$5001,"&lt;&gt;")=0,"",SUMIFS(BD!$H$3:$H$5001,BD!$A$3:$A$5001,Y$3,BD!$B$3:$B$5001,$A$233)))</f>
        <v/>
      </c>
      <c r="Z238" s="218" t="str">
        <f>IF(Z$3="","",IF(COUNTIFS(BD!$A$3:$A$5001,Z$3,BD!$B$3:$B$5001,$A$233,BD!$H$3:$H$5001,"&lt;&gt;")=0,"",SUMIFS(BD!$H$3:$H$5001,BD!$A$3:$A$5001,Z$3,BD!$B$3:$B$5001,$A$233)))</f>
        <v/>
      </c>
      <c r="AA238" s="218" t="str">
        <f>IF(AA$3="","",IF(COUNTIFS(BD!$A$3:$A$5001,AA$3,BD!$B$3:$B$5001,$A$233,BD!$H$3:$H$5001,"&lt;&gt;")=0,"",SUMIFS(BD!$H$3:$H$5001,BD!$A$3:$A$5001,AA$3,BD!$B$3:$B$5001,$A$233)))</f>
        <v/>
      </c>
      <c r="AB238" s="218" t="str">
        <f>IF(AB$3="","",IF(COUNTIFS(BD!$A$3:$A$5001,AB$3,BD!$B$3:$B$5001,$A$233,BD!$H$3:$H$5001,"&lt;&gt;")=0,"",SUMIFS(BD!$H$3:$H$5001,BD!$A$3:$A$5001,AB$3,BD!$B$3:$B$5001,$A$233)))</f>
        <v/>
      </c>
      <c r="AC238" s="218" t="str">
        <f>IF(AC$3="","",IF(COUNTIFS(BD!$A$3:$A$5001,AC$3,BD!$B$3:$B$5001,$A$233,BD!$H$3:$H$5001,"&lt;&gt;")=0,"",SUMIFS(BD!$H$3:$H$5001,BD!$A$3:$A$5001,AC$3,BD!$B$3:$B$5001,$A$233)))</f>
        <v/>
      </c>
      <c r="AD238" s="218" t="str">
        <f>IF(AD$3="","",IF(COUNTIFS(BD!$A$3:$A$5001,AD$3,BD!$B$3:$B$5001,$A$233,BD!$H$3:$H$5001,"&lt;&gt;")=0,"",SUMIFS(BD!$H$3:$H$5001,BD!$A$3:$A$5001,AD$3,BD!$B$3:$B$5001,$A$233)))</f>
        <v/>
      </c>
      <c r="AE238" s="218" t="str">
        <f>IF(AE$3="","",IF(COUNTIFS(BD!$A$3:$A$5001,AE$3,BD!$B$3:$B$5001,$A$233,BD!$H$3:$H$5001,"&lt;&gt;")=0,"",SUMIFS(BD!$H$3:$H$5001,BD!$A$3:$A$5001,AE$3,BD!$B$3:$B$5001,$A$233)))</f>
        <v/>
      </c>
      <c r="AF238" s="218" t="str">
        <f>IF(AF$3="","",IF(COUNTIFS(BD!$A$3:$A$5001,AF$3,BD!$B$3:$B$5001,$A$233,BD!$H$3:$H$5001,"&lt;&gt;")=0,"",SUMIFS(BD!$H$3:$H$5001,BD!$A$3:$A$5001,AF$3,BD!$B$3:$B$5001,$A$233)))</f>
        <v/>
      </c>
      <c r="AG238" s="218" t="str">
        <f>IF(AG$3="","",IF(COUNTIFS(BD!$A$3:$A$5001,AG$3,BD!$B$3:$B$5001,$A$233,BD!$H$3:$H$5001,"&lt;&gt;")=0,"",SUMIFS(BD!$H$3:$H$5001,BD!$A$3:$A$5001,AG$3,BD!$B$3:$B$5001,$A$233)))</f>
        <v/>
      </c>
      <c r="AH238" s="218" t="str">
        <f>IF(AH$3="","",IF(COUNTIFS(BD!$A$3:$A$5001,AH$3,BD!$B$3:$B$5001,$A$233,BD!$H$3:$H$5001,"&lt;&gt;")=0,"",SUMIFS(BD!$H$3:$H$5001,BD!$A$3:$A$5001,AH$3,BD!$B$3:$B$5001,$A$233)))</f>
        <v/>
      </c>
      <c r="AI238" s="218" t="str">
        <f>IF(AI$3="","",IF(COUNTIFS(BD!$A$3:$A$5001,AI$3,BD!$B$3:$B$5001,$A$233,BD!$H$3:$H$5001,"&lt;&gt;")=0,"",SUMIFS(BD!$H$3:$H$5001,BD!$A$3:$A$5001,AI$3,BD!$B$3:$B$5001,$A$233)))</f>
        <v/>
      </c>
      <c r="AJ238" s="219" t="str">
        <f>IF(AJ$3="","",IF(COUNTIFS(BD!$A$3:$A$5001,AJ$3,BD!$B$3:$B$5001,$A$233,BD!$H$3:$H$5001,"&lt;&gt;")=0,"",SUMIFS(BD!$H$3:$H$5001,BD!$A$3:$A$5001,AJ$3,BD!$B$3:$B$5001,$A$233)))</f>
        <v/>
      </c>
      <c r="AK238" s="220" t="str">
        <f>IF(COUNT(F238:AJ238)=0,"",SUM(F238:AJ238))</f>
        <v/>
      </c>
    </row>
    <row r="239" ht="15.75" customHeight="1" hidden="1">
      <c r="A239" s="261"/>
      <c r="B239" s="256"/>
      <c r="C239" s="214" t="inlineStr">
        <is>
          <t xml:space="preserve">Itens Recebidos CX Mista</t>
        </is>
      </c>
      <c r="D239" s="215" t="str">
        <f>IFERROR(1/(1/INDEX(BD!$AL$29:$BF$29,MATCH($A$233,BD!$AL$22:$BF$22,0))),"")</f>
        <v/>
      </c>
      <c r="E239" s="216"/>
      <c r="F239" s="217" t="str">
        <f>IF(F$3="","",IF(COUNTIFS(BD!$A$3:$A$5001,F$3,BD!$B$3:$B$5001,$A$233,BD!$I$3:$I$5001,"&lt;&gt;")=0,"",SUMIFS(BD!$I$3:$I$5001,BD!$A$3:$A$5001,F$3,BD!$B$3:$B$5001,$A$233)))</f>
        <v/>
      </c>
      <c r="G239" s="218" t="str">
        <f>IF(G$3="","",IF(COUNTIFS(BD!$A$3:$A$5001,G$3,BD!$B$3:$B$5001,$A$233,BD!$I$3:$I$5001,"&lt;&gt;")=0,"",SUMIFS(BD!$I$3:$I$5001,BD!$A$3:$A$5001,G$3,BD!$B$3:$B$5001,$A$233)))</f>
        <v/>
      </c>
      <c r="H239" s="218" t="str">
        <f>IF(H$3="","",IF(COUNTIFS(BD!$A$3:$A$5001,H$3,BD!$B$3:$B$5001,$A$233,BD!$I$3:$I$5001,"&lt;&gt;")=0,"",SUMIFS(BD!$I$3:$I$5001,BD!$A$3:$A$5001,H$3,BD!$B$3:$B$5001,$A$233)))</f>
        <v/>
      </c>
      <c r="I239" s="218" t="str">
        <f>IF(I$3="","",IF(COUNTIFS(BD!$A$3:$A$5001,I$3,BD!$B$3:$B$5001,$A$233,BD!$I$3:$I$5001,"&lt;&gt;")=0,"",SUMIFS(BD!$I$3:$I$5001,BD!$A$3:$A$5001,I$3,BD!$B$3:$B$5001,$A$233)))</f>
        <v/>
      </c>
      <c r="J239" s="218" t="str">
        <f>IF(J$3="","",IF(COUNTIFS(BD!$A$3:$A$5001,J$3,BD!$B$3:$B$5001,$A$233,BD!$I$3:$I$5001,"&lt;&gt;")=0,"",SUMIFS(BD!$I$3:$I$5001,BD!$A$3:$A$5001,J$3,BD!$B$3:$B$5001,$A$233)))</f>
        <v/>
      </c>
      <c r="K239" s="218" t="str">
        <f>IF(K$3="","",IF(COUNTIFS(BD!$A$3:$A$5001,K$3,BD!$B$3:$B$5001,$A$233,BD!$I$3:$I$5001,"&lt;&gt;")=0,"",SUMIFS(BD!$I$3:$I$5001,BD!$A$3:$A$5001,K$3,BD!$B$3:$B$5001,$A$233)))</f>
        <v/>
      </c>
      <c r="L239" s="218" t="str">
        <f>IF(L$3="","",IF(COUNTIFS(BD!$A$3:$A$5001,L$3,BD!$B$3:$B$5001,$A$233,BD!$I$3:$I$5001,"&lt;&gt;")=0,"",SUMIFS(BD!$I$3:$I$5001,BD!$A$3:$A$5001,L$3,BD!$B$3:$B$5001,$A$233)))</f>
        <v/>
      </c>
      <c r="M239" s="218" t="str">
        <f>IF(M$3="","",IF(COUNTIFS(BD!$A$3:$A$5001,M$3,BD!$B$3:$B$5001,$A$233,BD!$I$3:$I$5001,"&lt;&gt;")=0,"",SUMIFS(BD!$I$3:$I$5001,BD!$A$3:$A$5001,M$3,BD!$B$3:$B$5001,$A$233)))</f>
        <v/>
      </c>
      <c r="N239" s="218" t="str">
        <f>IF(N$3="","",IF(COUNTIFS(BD!$A$3:$A$5001,N$3,BD!$B$3:$B$5001,$A$233,BD!$I$3:$I$5001,"&lt;&gt;")=0,"",SUMIFS(BD!$I$3:$I$5001,BD!$A$3:$A$5001,N$3,BD!$B$3:$B$5001,$A$233)))</f>
        <v/>
      </c>
      <c r="O239" s="218" t="str">
        <f>IF(O$3="","",IF(COUNTIFS(BD!$A$3:$A$5001,O$3,BD!$B$3:$B$5001,$A$233,BD!$I$3:$I$5001,"&lt;&gt;")=0,"",SUMIFS(BD!$I$3:$I$5001,BD!$A$3:$A$5001,O$3,BD!$B$3:$B$5001,$A$233)))</f>
        <v/>
      </c>
      <c r="P239" s="218" t="str">
        <f>IF(P$3="","",IF(COUNTIFS(BD!$A$3:$A$5001,P$3,BD!$B$3:$B$5001,$A$233,BD!$I$3:$I$5001,"&lt;&gt;")=0,"",SUMIFS(BD!$I$3:$I$5001,BD!$A$3:$A$5001,P$3,BD!$B$3:$B$5001,$A$233)))</f>
        <v/>
      </c>
      <c r="Q239" s="218" t="str">
        <f>IF(Q$3="","",IF(COUNTIFS(BD!$A$3:$A$5001,Q$3,BD!$B$3:$B$5001,$A$233,BD!$I$3:$I$5001,"&lt;&gt;")=0,"",SUMIFS(BD!$I$3:$I$5001,BD!$A$3:$A$5001,Q$3,BD!$B$3:$B$5001,$A$233)))</f>
        <v/>
      </c>
      <c r="R239" s="218" t="str">
        <f>IF(R$3="","",IF(COUNTIFS(BD!$A$3:$A$5001,R$3,BD!$B$3:$B$5001,$A$233,BD!$I$3:$I$5001,"&lt;&gt;")=0,"",SUMIFS(BD!$I$3:$I$5001,BD!$A$3:$A$5001,R$3,BD!$B$3:$B$5001,$A$233)))</f>
        <v/>
      </c>
      <c r="S239" s="218" t="str">
        <f>IF(S$3="","",IF(COUNTIFS(BD!$A$3:$A$5001,S$3,BD!$B$3:$B$5001,$A$233,BD!$I$3:$I$5001,"&lt;&gt;")=0,"",SUMIFS(BD!$I$3:$I$5001,BD!$A$3:$A$5001,S$3,BD!$B$3:$B$5001,$A$233)))</f>
        <v/>
      </c>
      <c r="T239" s="218" t="str">
        <f>IF(T$3="","",IF(COUNTIFS(BD!$A$3:$A$5001,T$3,BD!$B$3:$B$5001,$A$233,BD!$I$3:$I$5001,"&lt;&gt;")=0,"",SUMIFS(BD!$I$3:$I$5001,BD!$A$3:$A$5001,T$3,BD!$B$3:$B$5001,$A$233)))</f>
        <v/>
      </c>
      <c r="U239" s="218" t="str">
        <f>IF(U$3="","",IF(COUNTIFS(BD!$A$3:$A$5001,U$3,BD!$B$3:$B$5001,$A$233,BD!$I$3:$I$5001,"&lt;&gt;")=0,"",SUMIFS(BD!$I$3:$I$5001,BD!$A$3:$A$5001,U$3,BD!$B$3:$B$5001,$A$233)))</f>
        <v/>
      </c>
      <c r="V239" s="218" t="str">
        <f>IF(V$3="","",IF(COUNTIFS(BD!$A$3:$A$5001,V$3,BD!$B$3:$B$5001,$A$233,BD!$I$3:$I$5001,"&lt;&gt;")=0,"",SUMIFS(BD!$I$3:$I$5001,BD!$A$3:$A$5001,V$3,BD!$B$3:$B$5001,$A$233)))</f>
        <v/>
      </c>
      <c r="W239" s="218" t="str">
        <f>IF(W$3="","",IF(COUNTIFS(BD!$A$3:$A$5001,W$3,BD!$B$3:$B$5001,$A$233,BD!$I$3:$I$5001,"&lt;&gt;")=0,"",SUMIFS(BD!$I$3:$I$5001,BD!$A$3:$A$5001,W$3,BD!$B$3:$B$5001,$A$233)))</f>
        <v/>
      </c>
      <c r="X239" s="218" t="str">
        <f>IF(X$3="","",IF(COUNTIFS(BD!$A$3:$A$5001,X$3,BD!$B$3:$B$5001,$A$233,BD!$I$3:$I$5001,"&lt;&gt;")=0,"",SUMIFS(BD!$I$3:$I$5001,BD!$A$3:$A$5001,X$3,BD!$B$3:$B$5001,$A$233)))</f>
        <v/>
      </c>
      <c r="Y239" s="218" t="str">
        <f>IF(Y$3="","",IF(COUNTIFS(BD!$A$3:$A$5001,Y$3,BD!$B$3:$B$5001,$A$233,BD!$I$3:$I$5001,"&lt;&gt;")=0,"",SUMIFS(BD!$I$3:$I$5001,BD!$A$3:$A$5001,Y$3,BD!$B$3:$B$5001,$A$233)))</f>
        <v/>
      </c>
      <c r="Z239" s="218" t="str">
        <f>IF(Z$3="","",IF(COUNTIFS(BD!$A$3:$A$5001,Z$3,BD!$B$3:$B$5001,$A$233,BD!$I$3:$I$5001,"&lt;&gt;")=0,"",SUMIFS(BD!$I$3:$I$5001,BD!$A$3:$A$5001,Z$3,BD!$B$3:$B$5001,$A$233)))</f>
        <v/>
      </c>
      <c r="AA239" s="218" t="str">
        <f>IF(AA$3="","",IF(COUNTIFS(BD!$A$3:$A$5001,AA$3,BD!$B$3:$B$5001,$A$233,BD!$I$3:$I$5001,"&lt;&gt;")=0,"",SUMIFS(BD!$I$3:$I$5001,BD!$A$3:$A$5001,AA$3,BD!$B$3:$B$5001,$A$233)))</f>
        <v/>
      </c>
      <c r="AB239" s="218" t="str">
        <f>IF(AB$3="","",IF(COUNTIFS(BD!$A$3:$A$5001,AB$3,BD!$B$3:$B$5001,$A$233,BD!$I$3:$I$5001,"&lt;&gt;")=0,"",SUMIFS(BD!$I$3:$I$5001,BD!$A$3:$A$5001,AB$3,BD!$B$3:$B$5001,$A$233)))</f>
        <v/>
      </c>
      <c r="AC239" s="218" t="str">
        <f>IF(AC$3="","",IF(COUNTIFS(BD!$A$3:$A$5001,AC$3,BD!$B$3:$B$5001,$A$233,BD!$I$3:$I$5001,"&lt;&gt;")=0,"",SUMIFS(BD!$I$3:$I$5001,BD!$A$3:$A$5001,AC$3,BD!$B$3:$B$5001,$A$233)))</f>
        <v/>
      </c>
      <c r="AD239" s="218" t="str">
        <f>IF(AD$3="","",IF(COUNTIFS(BD!$A$3:$A$5001,AD$3,BD!$B$3:$B$5001,$A$233,BD!$I$3:$I$5001,"&lt;&gt;")=0,"",SUMIFS(BD!$I$3:$I$5001,BD!$A$3:$A$5001,AD$3,BD!$B$3:$B$5001,$A$233)))</f>
        <v/>
      </c>
      <c r="AE239" s="218" t="str">
        <f>IF(AE$3="","",IF(COUNTIFS(BD!$A$3:$A$5001,AE$3,BD!$B$3:$B$5001,$A$233,BD!$I$3:$I$5001,"&lt;&gt;")=0,"",SUMIFS(BD!$I$3:$I$5001,BD!$A$3:$A$5001,AE$3,BD!$B$3:$B$5001,$A$233)))</f>
        <v/>
      </c>
      <c r="AF239" s="218" t="str">
        <f>IF(AF$3="","",IF(COUNTIFS(BD!$A$3:$A$5001,AF$3,BD!$B$3:$B$5001,$A$233,BD!$I$3:$I$5001,"&lt;&gt;")=0,"",SUMIFS(BD!$I$3:$I$5001,BD!$A$3:$A$5001,AF$3,BD!$B$3:$B$5001,$A$233)))</f>
        <v/>
      </c>
      <c r="AG239" s="218" t="str">
        <f>IF(AG$3="","",IF(COUNTIFS(BD!$A$3:$A$5001,AG$3,BD!$B$3:$B$5001,$A$233,BD!$I$3:$I$5001,"&lt;&gt;")=0,"",SUMIFS(BD!$I$3:$I$5001,BD!$A$3:$A$5001,AG$3,BD!$B$3:$B$5001,$A$233)))</f>
        <v/>
      </c>
      <c r="AH239" s="218" t="str">
        <f>IF(AH$3="","",IF(COUNTIFS(BD!$A$3:$A$5001,AH$3,BD!$B$3:$B$5001,$A$233,BD!$I$3:$I$5001,"&lt;&gt;")=0,"",SUMIFS(BD!$I$3:$I$5001,BD!$A$3:$A$5001,AH$3,BD!$B$3:$B$5001,$A$233)))</f>
        <v/>
      </c>
      <c r="AI239" s="218" t="str">
        <f>IF(AI$3="","",IF(COUNTIFS(BD!$A$3:$A$5001,AI$3,BD!$B$3:$B$5001,$A$233,BD!$I$3:$I$5001,"&lt;&gt;")=0,"",SUMIFS(BD!$I$3:$I$5001,BD!$A$3:$A$5001,AI$3,BD!$B$3:$B$5001,$A$233)))</f>
        <v/>
      </c>
      <c r="AJ239" s="219" t="str">
        <f>IF(AJ$3="","",IF(COUNTIFS(BD!$A$3:$A$5001,AJ$3,BD!$B$3:$B$5001,$A$233,BD!$I$3:$I$5001,"&lt;&gt;")=0,"",SUMIFS(BD!$I$3:$I$5001,BD!$A$3:$A$5001,AJ$3,BD!$B$3:$B$5001,$A$233)))</f>
        <v/>
      </c>
      <c r="AK239" s="220" t="str">
        <f>IF(COUNT(F239:AJ239)=0,"",SUM(F239:AJ239))</f>
        <v/>
      </c>
    </row>
    <row r="240" ht="15.75" customHeight="1" hidden="1">
      <c r="A240" s="261"/>
      <c r="B240" s="256"/>
      <c r="C240" s="214" t="inlineStr">
        <is>
          <t xml:space="preserve">Caixas Fechadas</t>
        </is>
      </c>
      <c r="D240" s="215" t="str">
        <f>IFERROR(1/(1/INDEX(BD!$AL$30:$BF$30,MATCH($A$233,BD!$AL$22:$BF$22,0))),"")</f>
        <v/>
      </c>
      <c r="E240" s="216"/>
      <c r="F240" s="217" t="str">
        <f>IF(F$3="","",IF(COUNTIFS(BD!$A$3:$A$5001,F$3,BD!$B$3:$B$5001,$A$233,BD!$J$3:$J$5001,"&lt;&gt;")=0,"",SUMIFS(BD!$J$3:$J$5001,BD!$A$3:$A$5001,F$3,BD!$B$3:$B$5001,$A$233)))</f>
        <v/>
      </c>
      <c r="G240" s="218" t="str">
        <f>IF(G$3="","",IF(COUNTIFS(BD!$A$3:$A$5001,G$3,BD!$B$3:$B$5001,$A$233,BD!$J$3:$J$5001,"&lt;&gt;")=0,"",SUMIFS(BD!$J$3:$J$5001,BD!$A$3:$A$5001,G$3,BD!$B$3:$B$5001,$A$233)))</f>
        <v/>
      </c>
      <c r="H240" s="218" t="str">
        <f>IF(H$3="","",IF(COUNTIFS(BD!$A$3:$A$5001,H$3,BD!$B$3:$B$5001,$A$233,BD!$J$3:$J$5001,"&lt;&gt;")=0,"",SUMIFS(BD!$J$3:$J$5001,BD!$A$3:$A$5001,H$3,BD!$B$3:$B$5001,$A$233)))</f>
        <v/>
      </c>
      <c r="I240" s="218" t="str">
        <f>IF(I$3="","",IF(COUNTIFS(BD!$A$3:$A$5001,I$3,BD!$B$3:$B$5001,$A$233,BD!$J$3:$J$5001,"&lt;&gt;")=0,"",SUMIFS(BD!$J$3:$J$5001,BD!$A$3:$A$5001,I$3,BD!$B$3:$B$5001,$A$233)))</f>
        <v/>
      </c>
      <c r="J240" s="218" t="str">
        <f>IF(J$3="","",IF(COUNTIFS(BD!$A$3:$A$5001,J$3,BD!$B$3:$B$5001,$A$233,BD!$J$3:$J$5001,"&lt;&gt;")=0,"",SUMIFS(BD!$J$3:$J$5001,BD!$A$3:$A$5001,J$3,BD!$B$3:$B$5001,$A$233)))</f>
        <v/>
      </c>
      <c r="K240" s="218" t="str">
        <f>IF(K$3="","",IF(COUNTIFS(BD!$A$3:$A$5001,K$3,BD!$B$3:$B$5001,$A$233,BD!$J$3:$J$5001,"&lt;&gt;")=0,"",SUMIFS(BD!$J$3:$J$5001,BD!$A$3:$A$5001,K$3,BD!$B$3:$B$5001,$A$233)))</f>
        <v/>
      </c>
      <c r="L240" s="218" t="str">
        <f>IF(L$3="","",IF(COUNTIFS(BD!$A$3:$A$5001,L$3,BD!$B$3:$B$5001,$A$233,BD!$J$3:$J$5001,"&lt;&gt;")=0,"",SUMIFS(BD!$J$3:$J$5001,BD!$A$3:$A$5001,L$3,BD!$B$3:$B$5001,$A$233)))</f>
        <v/>
      </c>
      <c r="M240" s="218" t="str">
        <f>IF(M$3="","",IF(COUNTIFS(BD!$A$3:$A$5001,M$3,BD!$B$3:$B$5001,$A$233,BD!$J$3:$J$5001,"&lt;&gt;")=0,"",SUMIFS(BD!$J$3:$J$5001,BD!$A$3:$A$5001,M$3,BD!$B$3:$B$5001,$A$233)))</f>
        <v/>
      </c>
      <c r="N240" s="218" t="str">
        <f>IF(N$3="","",IF(COUNTIFS(BD!$A$3:$A$5001,N$3,BD!$B$3:$B$5001,$A$233,BD!$J$3:$J$5001,"&lt;&gt;")=0,"",SUMIFS(BD!$J$3:$J$5001,BD!$A$3:$A$5001,N$3,BD!$B$3:$B$5001,$A$233)))</f>
        <v/>
      </c>
      <c r="O240" s="218" t="str">
        <f>IF(O$3="","",IF(COUNTIFS(BD!$A$3:$A$5001,O$3,BD!$B$3:$B$5001,$A$233,BD!$J$3:$J$5001,"&lt;&gt;")=0,"",SUMIFS(BD!$J$3:$J$5001,BD!$A$3:$A$5001,O$3,BD!$B$3:$B$5001,$A$233)))</f>
        <v/>
      </c>
      <c r="P240" s="218" t="str">
        <f>IF(P$3="","",IF(COUNTIFS(BD!$A$3:$A$5001,P$3,BD!$B$3:$B$5001,$A$233,BD!$J$3:$J$5001,"&lt;&gt;")=0,"",SUMIFS(BD!$J$3:$J$5001,BD!$A$3:$A$5001,P$3,BD!$B$3:$B$5001,$A$233)))</f>
        <v/>
      </c>
      <c r="Q240" s="218" t="str">
        <f>IF(Q$3="","",IF(COUNTIFS(BD!$A$3:$A$5001,Q$3,BD!$B$3:$B$5001,$A$233,BD!$J$3:$J$5001,"&lt;&gt;")=0,"",SUMIFS(BD!$J$3:$J$5001,BD!$A$3:$A$5001,Q$3,BD!$B$3:$B$5001,$A$233)))</f>
        <v/>
      </c>
      <c r="R240" s="218" t="str">
        <f>IF(R$3="","",IF(COUNTIFS(BD!$A$3:$A$5001,R$3,BD!$B$3:$B$5001,$A$233,BD!$J$3:$J$5001,"&lt;&gt;")=0,"",SUMIFS(BD!$J$3:$J$5001,BD!$A$3:$A$5001,R$3,BD!$B$3:$B$5001,$A$233)))</f>
        <v/>
      </c>
      <c r="S240" s="218" t="str">
        <f>IF(S$3="","",IF(COUNTIFS(BD!$A$3:$A$5001,S$3,BD!$B$3:$B$5001,$A$233,BD!$J$3:$J$5001,"&lt;&gt;")=0,"",SUMIFS(BD!$J$3:$J$5001,BD!$A$3:$A$5001,S$3,BD!$B$3:$B$5001,$A$233)))</f>
        <v/>
      </c>
      <c r="T240" s="218" t="str">
        <f>IF(T$3="","",IF(COUNTIFS(BD!$A$3:$A$5001,T$3,BD!$B$3:$B$5001,$A$233,BD!$J$3:$J$5001,"&lt;&gt;")=0,"",SUMIFS(BD!$J$3:$J$5001,BD!$A$3:$A$5001,T$3,BD!$B$3:$B$5001,$A$233)))</f>
        <v/>
      </c>
      <c r="U240" s="218" t="str">
        <f>IF(U$3="","",IF(COUNTIFS(BD!$A$3:$A$5001,U$3,BD!$B$3:$B$5001,$A$233,BD!$J$3:$J$5001,"&lt;&gt;")=0,"",SUMIFS(BD!$J$3:$J$5001,BD!$A$3:$A$5001,U$3,BD!$B$3:$B$5001,$A$233)))</f>
        <v/>
      </c>
      <c r="V240" s="218" t="str">
        <f>IF(V$3="","",IF(COUNTIFS(BD!$A$3:$A$5001,V$3,BD!$B$3:$B$5001,$A$233,BD!$J$3:$J$5001,"&lt;&gt;")=0,"",SUMIFS(BD!$J$3:$J$5001,BD!$A$3:$A$5001,V$3,BD!$B$3:$B$5001,$A$233)))</f>
        <v/>
      </c>
      <c r="W240" s="218" t="str">
        <f>IF(W$3="","",IF(COUNTIFS(BD!$A$3:$A$5001,W$3,BD!$B$3:$B$5001,$A$233,BD!$J$3:$J$5001,"&lt;&gt;")=0,"",SUMIFS(BD!$J$3:$J$5001,BD!$A$3:$A$5001,W$3,BD!$B$3:$B$5001,$A$233)))</f>
        <v/>
      </c>
      <c r="X240" s="218" t="str">
        <f>IF(X$3="","",IF(COUNTIFS(BD!$A$3:$A$5001,X$3,BD!$B$3:$B$5001,$A$233,BD!$J$3:$J$5001,"&lt;&gt;")=0,"",SUMIFS(BD!$J$3:$J$5001,BD!$A$3:$A$5001,X$3,BD!$B$3:$B$5001,$A$233)))</f>
        <v/>
      </c>
      <c r="Y240" s="218" t="str">
        <f>IF(Y$3="","",IF(COUNTIFS(BD!$A$3:$A$5001,Y$3,BD!$B$3:$B$5001,$A$233,BD!$J$3:$J$5001,"&lt;&gt;")=0,"",SUMIFS(BD!$J$3:$J$5001,BD!$A$3:$A$5001,Y$3,BD!$B$3:$B$5001,$A$233)))</f>
        <v/>
      </c>
      <c r="Z240" s="218" t="str">
        <f>IF(Z$3="","",IF(COUNTIFS(BD!$A$3:$A$5001,Z$3,BD!$B$3:$B$5001,$A$233,BD!$J$3:$J$5001,"&lt;&gt;")=0,"",SUMIFS(BD!$J$3:$J$5001,BD!$A$3:$A$5001,Z$3,BD!$B$3:$B$5001,$A$233)))</f>
        <v/>
      </c>
      <c r="AA240" s="218" t="str">
        <f>IF(AA$3="","",IF(COUNTIFS(BD!$A$3:$A$5001,AA$3,BD!$B$3:$B$5001,$A$233,BD!$J$3:$J$5001,"&lt;&gt;")=0,"",SUMIFS(BD!$J$3:$J$5001,BD!$A$3:$A$5001,AA$3,BD!$B$3:$B$5001,$A$233)))</f>
        <v/>
      </c>
      <c r="AB240" s="218" t="str">
        <f>IF(AB$3="","",IF(COUNTIFS(BD!$A$3:$A$5001,AB$3,BD!$B$3:$B$5001,$A$233,BD!$J$3:$J$5001,"&lt;&gt;")=0,"",SUMIFS(BD!$J$3:$J$5001,BD!$A$3:$A$5001,AB$3,BD!$B$3:$B$5001,$A$233)))</f>
        <v/>
      </c>
      <c r="AC240" s="218" t="str">
        <f>IF(AC$3="","",IF(COUNTIFS(BD!$A$3:$A$5001,AC$3,BD!$B$3:$B$5001,$A$233,BD!$J$3:$J$5001,"&lt;&gt;")=0,"",SUMIFS(BD!$J$3:$J$5001,BD!$A$3:$A$5001,AC$3,BD!$B$3:$B$5001,$A$233)))</f>
        <v/>
      </c>
      <c r="AD240" s="218" t="str">
        <f>IF(AD$3="","",IF(COUNTIFS(BD!$A$3:$A$5001,AD$3,BD!$B$3:$B$5001,$A$233,BD!$J$3:$J$5001,"&lt;&gt;")=0,"",SUMIFS(BD!$J$3:$J$5001,BD!$A$3:$A$5001,AD$3,BD!$B$3:$B$5001,$A$233)))</f>
        <v/>
      </c>
      <c r="AE240" s="218" t="str">
        <f>IF(AE$3="","",IF(COUNTIFS(BD!$A$3:$A$5001,AE$3,BD!$B$3:$B$5001,$A$233,BD!$J$3:$J$5001,"&lt;&gt;")=0,"",SUMIFS(BD!$J$3:$J$5001,BD!$A$3:$A$5001,AE$3,BD!$B$3:$B$5001,$A$233)))</f>
        <v/>
      </c>
      <c r="AF240" s="218" t="str">
        <f>IF(AF$3="","",IF(COUNTIFS(BD!$A$3:$A$5001,AF$3,BD!$B$3:$B$5001,$A$233,BD!$J$3:$J$5001,"&lt;&gt;")=0,"",SUMIFS(BD!$J$3:$J$5001,BD!$A$3:$A$5001,AF$3,BD!$B$3:$B$5001,$A$233)))</f>
        <v/>
      </c>
      <c r="AG240" s="218" t="str">
        <f>IF(AG$3="","",IF(COUNTIFS(BD!$A$3:$A$5001,AG$3,BD!$B$3:$B$5001,$A$233,BD!$J$3:$J$5001,"&lt;&gt;")=0,"",SUMIFS(BD!$J$3:$J$5001,BD!$A$3:$A$5001,AG$3,BD!$B$3:$B$5001,$A$233)))</f>
        <v/>
      </c>
      <c r="AH240" s="218" t="str">
        <f>IF(AH$3="","",IF(COUNTIFS(BD!$A$3:$A$5001,AH$3,BD!$B$3:$B$5001,$A$233,BD!$J$3:$J$5001,"&lt;&gt;")=0,"",SUMIFS(BD!$J$3:$J$5001,BD!$A$3:$A$5001,AH$3,BD!$B$3:$B$5001,$A$233)))</f>
        <v/>
      </c>
      <c r="AI240" s="218" t="str">
        <f>IF(AI$3="","",IF(COUNTIFS(BD!$A$3:$A$5001,AI$3,BD!$B$3:$B$5001,$A$233,BD!$J$3:$J$5001,"&lt;&gt;")=0,"",SUMIFS(BD!$J$3:$J$5001,BD!$A$3:$A$5001,AI$3,BD!$B$3:$B$5001,$A$233)))</f>
        <v/>
      </c>
      <c r="AJ240" s="219" t="str">
        <f>IF(AJ$3="","",IF(COUNTIFS(BD!$A$3:$A$5001,AJ$3,BD!$B$3:$B$5001,$A$233,BD!$J$3:$J$5001,"&lt;&gt;")=0,"",SUMIFS(BD!$J$3:$J$5001,BD!$A$3:$A$5001,AJ$3,BD!$B$3:$B$5001,$A$233)))</f>
        <v/>
      </c>
      <c r="AK240" s="220" t="str">
        <f>IF(COUNT(F240:AJ240)=0,"",SUM(F240:AJ240))</f>
        <v/>
      </c>
    </row>
    <row r="241" ht="15.75" customHeight="1" hidden="1">
      <c r="A241" s="261"/>
      <c r="B241" s="250"/>
      <c r="C241" s="175" t="inlineStr">
        <is>
          <t xml:space="preserve">Caixas Mistas Recebidas</t>
        </is>
      </c>
      <c r="D241" s="176" t="str">
        <f>IFERROR(1/(1/INDEX(BD!$AL$31:$BF$31,MATCH($A$233,BD!$AL$22:$BF$22,0))),"")</f>
        <v/>
      </c>
      <c r="E241" s="177"/>
      <c r="F241" s="178" t="str">
        <f>IF(F$3="","",IF(COUNTIFS(BD!$A$3:$A$5001,F$3,BD!$B$3:$B$5001,$A$233,BD!$K$3:$K$5001,"&lt;&gt;")=0,"",SUMIFS(BD!$K$3:$K$5001,BD!$A$3:$A$5001,F$3,BD!$B$3:$B$5001,$A$233)))</f>
        <v/>
      </c>
      <c r="G241" s="179" t="str">
        <f>IF(G$3="","",IF(COUNTIFS(BD!$A$3:$A$5001,G$3,BD!$B$3:$B$5001,$A$233,BD!$K$3:$K$5001,"&lt;&gt;")=0,"",SUMIFS(BD!$K$3:$K$5001,BD!$A$3:$A$5001,G$3,BD!$B$3:$B$5001,$A$233)))</f>
        <v/>
      </c>
      <c r="H241" s="179" t="str">
        <f>IF(H$3="","",IF(COUNTIFS(BD!$A$3:$A$5001,H$3,BD!$B$3:$B$5001,$A$233,BD!$K$3:$K$5001,"&lt;&gt;")=0,"",SUMIFS(BD!$K$3:$K$5001,BD!$A$3:$A$5001,H$3,BD!$B$3:$B$5001,$A$233)))</f>
        <v/>
      </c>
      <c r="I241" s="179" t="str">
        <f>IF(I$3="","",IF(COUNTIFS(BD!$A$3:$A$5001,I$3,BD!$B$3:$B$5001,$A$233,BD!$K$3:$K$5001,"&lt;&gt;")=0,"",SUMIFS(BD!$K$3:$K$5001,BD!$A$3:$A$5001,I$3,BD!$B$3:$B$5001,$A$233)))</f>
        <v/>
      </c>
      <c r="J241" s="179" t="str">
        <f>IF(J$3="","",IF(COUNTIFS(BD!$A$3:$A$5001,J$3,BD!$B$3:$B$5001,$A$233,BD!$K$3:$K$5001,"&lt;&gt;")=0,"",SUMIFS(BD!$K$3:$K$5001,BD!$A$3:$A$5001,J$3,BD!$B$3:$B$5001,$A$233)))</f>
        <v/>
      </c>
      <c r="K241" s="179" t="str">
        <f>IF(K$3="","",IF(COUNTIFS(BD!$A$3:$A$5001,K$3,BD!$B$3:$B$5001,$A$233,BD!$K$3:$K$5001,"&lt;&gt;")=0,"",SUMIFS(BD!$K$3:$K$5001,BD!$A$3:$A$5001,K$3,BD!$B$3:$B$5001,$A$233)))</f>
        <v/>
      </c>
      <c r="L241" s="179" t="str">
        <f>IF(L$3="","",IF(COUNTIFS(BD!$A$3:$A$5001,L$3,BD!$B$3:$B$5001,$A$233,BD!$K$3:$K$5001,"&lt;&gt;")=0,"",SUMIFS(BD!$K$3:$K$5001,BD!$A$3:$A$5001,L$3,BD!$B$3:$B$5001,$A$233)))</f>
        <v/>
      </c>
      <c r="M241" s="179" t="str">
        <f>IF(M$3="","",IF(COUNTIFS(BD!$A$3:$A$5001,M$3,BD!$B$3:$B$5001,$A$233,BD!$K$3:$K$5001,"&lt;&gt;")=0,"",SUMIFS(BD!$K$3:$K$5001,BD!$A$3:$A$5001,M$3,BD!$B$3:$B$5001,$A$233)))</f>
        <v/>
      </c>
      <c r="N241" s="179" t="str">
        <f>IF(N$3="","",IF(COUNTIFS(BD!$A$3:$A$5001,N$3,BD!$B$3:$B$5001,$A$233,BD!$K$3:$K$5001,"&lt;&gt;")=0,"",SUMIFS(BD!$K$3:$K$5001,BD!$A$3:$A$5001,N$3,BD!$B$3:$B$5001,$A$233)))</f>
        <v/>
      </c>
      <c r="O241" s="179" t="str">
        <f>IF(O$3="","",IF(COUNTIFS(BD!$A$3:$A$5001,O$3,BD!$B$3:$B$5001,$A$233,BD!$K$3:$K$5001,"&lt;&gt;")=0,"",SUMIFS(BD!$K$3:$K$5001,BD!$A$3:$A$5001,O$3,BD!$B$3:$B$5001,$A$233)))</f>
        <v/>
      </c>
      <c r="P241" s="179" t="str">
        <f>IF(P$3="","",IF(COUNTIFS(BD!$A$3:$A$5001,P$3,BD!$B$3:$B$5001,$A$233,BD!$K$3:$K$5001,"&lt;&gt;")=0,"",SUMIFS(BD!$K$3:$K$5001,BD!$A$3:$A$5001,P$3,BD!$B$3:$B$5001,$A$233)))</f>
        <v/>
      </c>
      <c r="Q241" s="179" t="str">
        <f>IF(Q$3="","",IF(COUNTIFS(BD!$A$3:$A$5001,Q$3,BD!$B$3:$B$5001,$A$233,BD!$K$3:$K$5001,"&lt;&gt;")=0,"",SUMIFS(BD!$K$3:$K$5001,BD!$A$3:$A$5001,Q$3,BD!$B$3:$B$5001,$A$233)))</f>
        <v/>
      </c>
      <c r="R241" s="179" t="str">
        <f>IF(R$3="","",IF(COUNTIFS(BD!$A$3:$A$5001,R$3,BD!$B$3:$B$5001,$A$233,BD!$K$3:$K$5001,"&lt;&gt;")=0,"",SUMIFS(BD!$K$3:$K$5001,BD!$A$3:$A$5001,R$3,BD!$B$3:$B$5001,$A$233)))</f>
        <v/>
      </c>
      <c r="S241" s="179" t="str">
        <f>IF(S$3="","",IF(COUNTIFS(BD!$A$3:$A$5001,S$3,BD!$B$3:$B$5001,$A$233,BD!$K$3:$K$5001,"&lt;&gt;")=0,"",SUMIFS(BD!$K$3:$K$5001,BD!$A$3:$A$5001,S$3,BD!$B$3:$B$5001,$A$233)))</f>
        <v/>
      </c>
      <c r="T241" s="179" t="str">
        <f>IF(T$3="","",IF(COUNTIFS(BD!$A$3:$A$5001,T$3,BD!$B$3:$B$5001,$A$233,BD!$K$3:$K$5001,"&lt;&gt;")=0,"",SUMIFS(BD!$K$3:$K$5001,BD!$A$3:$A$5001,T$3,BD!$B$3:$B$5001,$A$233)))</f>
        <v/>
      </c>
      <c r="U241" s="179" t="str">
        <f>IF(U$3="","",IF(COUNTIFS(BD!$A$3:$A$5001,U$3,BD!$B$3:$B$5001,$A$233,BD!$K$3:$K$5001,"&lt;&gt;")=0,"",SUMIFS(BD!$K$3:$K$5001,BD!$A$3:$A$5001,U$3,BD!$B$3:$B$5001,$A$233)))</f>
        <v/>
      </c>
      <c r="V241" s="179" t="str">
        <f>IF(V$3="","",IF(COUNTIFS(BD!$A$3:$A$5001,V$3,BD!$B$3:$B$5001,$A$233,BD!$K$3:$K$5001,"&lt;&gt;")=0,"",SUMIFS(BD!$K$3:$K$5001,BD!$A$3:$A$5001,V$3,BD!$B$3:$B$5001,$A$233)))</f>
        <v/>
      </c>
      <c r="W241" s="179" t="str">
        <f>IF(W$3="","",IF(COUNTIFS(BD!$A$3:$A$5001,W$3,BD!$B$3:$B$5001,$A$233,BD!$K$3:$K$5001,"&lt;&gt;")=0,"",SUMIFS(BD!$K$3:$K$5001,BD!$A$3:$A$5001,W$3,BD!$B$3:$B$5001,$A$233)))</f>
        <v/>
      </c>
      <c r="X241" s="179" t="str">
        <f>IF(X$3="","",IF(COUNTIFS(BD!$A$3:$A$5001,X$3,BD!$B$3:$B$5001,$A$233,BD!$K$3:$K$5001,"&lt;&gt;")=0,"",SUMIFS(BD!$K$3:$K$5001,BD!$A$3:$A$5001,X$3,BD!$B$3:$B$5001,$A$233)))</f>
        <v/>
      </c>
      <c r="Y241" s="179" t="str">
        <f>IF(Y$3="","",IF(COUNTIFS(BD!$A$3:$A$5001,Y$3,BD!$B$3:$B$5001,$A$233,BD!$K$3:$K$5001,"&lt;&gt;")=0,"",SUMIFS(BD!$K$3:$K$5001,BD!$A$3:$A$5001,Y$3,BD!$B$3:$B$5001,$A$233)))</f>
        <v/>
      </c>
      <c r="Z241" s="179" t="str">
        <f>IF(Z$3="","",IF(COUNTIFS(BD!$A$3:$A$5001,Z$3,BD!$B$3:$B$5001,$A$233,BD!$K$3:$K$5001,"&lt;&gt;")=0,"",SUMIFS(BD!$K$3:$K$5001,BD!$A$3:$A$5001,Z$3,BD!$B$3:$B$5001,$A$233)))</f>
        <v/>
      </c>
      <c r="AA241" s="179" t="str">
        <f>IF(AA$3="","",IF(COUNTIFS(BD!$A$3:$A$5001,AA$3,BD!$B$3:$B$5001,$A$233,BD!$K$3:$K$5001,"&lt;&gt;")=0,"",SUMIFS(BD!$K$3:$K$5001,BD!$A$3:$A$5001,AA$3,BD!$B$3:$B$5001,$A$233)))</f>
        <v/>
      </c>
      <c r="AB241" s="179" t="str">
        <f>IF(AB$3="","",IF(COUNTIFS(BD!$A$3:$A$5001,AB$3,BD!$B$3:$B$5001,$A$233,BD!$K$3:$K$5001,"&lt;&gt;")=0,"",SUMIFS(BD!$K$3:$K$5001,BD!$A$3:$A$5001,AB$3,BD!$B$3:$B$5001,$A$233)))</f>
        <v/>
      </c>
      <c r="AC241" s="179" t="str">
        <f>IF(AC$3="","",IF(COUNTIFS(BD!$A$3:$A$5001,AC$3,BD!$B$3:$B$5001,$A$233,BD!$K$3:$K$5001,"&lt;&gt;")=0,"",SUMIFS(BD!$K$3:$K$5001,BD!$A$3:$A$5001,AC$3,BD!$B$3:$B$5001,$A$233)))</f>
        <v/>
      </c>
      <c r="AD241" s="179" t="str">
        <f>IF(AD$3="","",IF(COUNTIFS(BD!$A$3:$A$5001,AD$3,BD!$B$3:$B$5001,$A$233,BD!$K$3:$K$5001,"&lt;&gt;")=0,"",SUMIFS(BD!$K$3:$K$5001,BD!$A$3:$A$5001,AD$3,BD!$B$3:$B$5001,$A$233)))</f>
        <v/>
      </c>
      <c r="AE241" s="179" t="str">
        <f>IF(AE$3="","",IF(COUNTIFS(BD!$A$3:$A$5001,AE$3,BD!$B$3:$B$5001,$A$233,BD!$K$3:$K$5001,"&lt;&gt;")=0,"",SUMIFS(BD!$K$3:$K$5001,BD!$A$3:$A$5001,AE$3,BD!$B$3:$B$5001,$A$233)))</f>
        <v/>
      </c>
      <c r="AF241" s="179" t="str">
        <f>IF(AF$3="","",IF(COUNTIFS(BD!$A$3:$A$5001,AF$3,BD!$B$3:$B$5001,$A$233,BD!$K$3:$K$5001,"&lt;&gt;")=0,"",SUMIFS(BD!$K$3:$K$5001,BD!$A$3:$A$5001,AF$3,BD!$B$3:$B$5001,$A$233)))</f>
        <v/>
      </c>
      <c r="AG241" s="179" t="str">
        <f>IF(AG$3="","",IF(COUNTIFS(BD!$A$3:$A$5001,AG$3,BD!$B$3:$B$5001,$A$233,BD!$K$3:$K$5001,"&lt;&gt;")=0,"",SUMIFS(BD!$K$3:$K$5001,BD!$A$3:$A$5001,AG$3,BD!$B$3:$B$5001,$A$233)))</f>
        <v/>
      </c>
      <c r="AH241" s="179" t="str">
        <f>IF(AH$3="","",IF(COUNTIFS(BD!$A$3:$A$5001,AH$3,BD!$B$3:$B$5001,$A$233,BD!$K$3:$K$5001,"&lt;&gt;")=0,"",SUMIFS(BD!$K$3:$K$5001,BD!$A$3:$A$5001,AH$3,BD!$B$3:$B$5001,$A$233)))</f>
        <v/>
      </c>
      <c r="AI241" s="179" t="str">
        <f>IF(AI$3="","",IF(COUNTIFS(BD!$A$3:$A$5001,AI$3,BD!$B$3:$B$5001,$A$233,BD!$K$3:$K$5001,"&lt;&gt;")=0,"",SUMIFS(BD!$K$3:$K$5001,BD!$A$3:$A$5001,AI$3,BD!$B$3:$B$5001,$A$233)))</f>
        <v/>
      </c>
      <c r="AJ241" s="180" t="str">
        <f>IF(AJ$3="","",IF(COUNTIFS(BD!$A$3:$A$5001,AJ$3,BD!$B$3:$B$5001,$A$233,BD!$K$3:$K$5001,"&lt;&gt;")=0,"",SUMIFS(BD!$K$3:$K$5001,BD!$A$3:$A$5001,AJ$3,BD!$B$3:$B$5001,$A$233)))</f>
        <v/>
      </c>
      <c r="AK241" s="176" t="str">
        <f>IF(COUNT(F241:AJ241)=0,"",SUM(F241:AJ241))</f>
        <v/>
      </c>
    </row>
    <row r="242" ht="15.75" customHeight="1" hidden="1">
      <c r="A242" s="261"/>
      <c r="B242" s="251" t="inlineStr">
        <is>
          <t xml:space="preserve">OUT</t>
        </is>
      </c>
      <c r="C242" s="181" t="inlineStr">
        <is>
          <t xml:space="preserve">Veículos Expedidos</t>
        </is>
      </c>
      <c r="D242" s="182" t="str">
        <f>IFERROR(1/(1/INDEX(BD!$AL$32:$BF$32,MATCH($A$233,BD!$AL$22:$BF$22,0))),"")</f>
        <v/>
      </c>
      <c r="E242" s="183"/>
      <c r="F242" s="184" t="str">
        <f>IF(F$3="","",IF(COUNTIFS(BD!$A$3:$A$5001,F$3,BD!$B$3:$B$5001,$A$233,BD!$L$3:$L$5001,"&lt;&gt;")=0,"",SUMIFS(BD!$L$3:$L$5001,BD!$A$3:$A$5001,F$3,BD!$B$3:$B$5001,$A$233)))</f>
        <v/>
      </c>
      <c r="G242" s="185" t="str">
        <f>IF(G$3="","",IF(COUNTIFS(BD!$A$3:$A$5001,G$3,BD!$B$3:$B$5001,$A$233,BD!$L$3:$L$5001,"&lt;&gt;")=0,"",SUMIFS(BD!$L$3:$L$5001,BD!$A$3:$A$5001,G$3,BD!$B$3:$B$5001,$A$233)))</f>
        <v/>
      </c>
      <c r="H242" s="185" t="str">
        <f>IF(H$3="","",IF(COUNTIFS(BD!$A$3:$A$5001,H$3,BD!$B$3:$B$5001,$A$233,BD!$L$3:$L$5001,"&lt;&gt;")=0,"",SUMIFS(BD!$L$3:$L$5001,BD!$A$3:$A$5001,H$3,BD!$B$3:$B$5001,$A$233)))</f>
        <v/>
      </c>
      <c r="I242" s="185" t="str">
        <f>IF(I$3="","",IF(COUNTIFS(BD!$A$3:$A$5001,I$3,BD!$B$3:$B$5001,$A$233,BD!$L$3:$L$5001,"&lt;&gt;")=0,"",SUMIFS(BD!$L$3:$L$5001,BD!$A$3:$A$5001,I$3,BD!$B$3:$B$5001,$A$233)))</f>
        <v/>
      </c>
      <c r="J242" s="185" t="str">
        <f>IF(J$3="","",IF(COUNTIFS(BD!$A$3:$A$5001,J$3,BD!$B$3:$B$5001,$A$233,BD!$L$3:$L$5001,"&lt;&gt;")=0,"",SUMIFS(BD!$L$3:$L$5001,BD!$A$3:$A$5001,J$3,BD!$B$3:$B$5001,$A$233)))</f>
        <v/>
      </c>
      <c r="K242" s="185" t="str">
        <f>IF(K$3="","",IF(COUNTIFS(BD!$A$3:$A$5001,K$3,BD!$B$3:$B$5001,$A$233,BD!$L$3:$L$5001,"&lt;&gt;")=0,"",SUMIFS(BD!$L$3:$L$5001,BD!$A$3:$A$5001,K$3,BD!$B$3:$B$5001,$A$233)))</f>
        <v/>
      </c>
      <c r="L242" s="185" t="str">
        <f>IF(L$3="","",IF(COUNTIFS(BD!$A$3:$A$5001,L$3,BD!$B$3:$B$5001,$A$233,BD!$L$3:$L$5001,"&lt;&gt;")=0,"",SUMIFS(BD!$L$3:$L$5001,BD!$A$3:$A$5001,L$3,BD!$B$3:$B$5001,$A$233)))</f>
        <v/>
      </c>
      <c r="M242" s="185" t="str">
        <f>IF(M$3="","",IF(COUNTIFS(BD!$A$3:$A$5001,M$3,BD!$B$3:$B$5001,$A$233,BD!$L$3:$L$5001,"&lt;&gt;")=0,"",SUMIFS(BD!$L$3:$L$5001,BD!$A$3:$A$5001,M$3,BD!$B$3:$B$5001,$A$233)))</f>
        <v/>
      </c>
      <c r="N242" s="185" t="str">
        <f>IF(N$3="","",IF(COUNTIFS(BD!$A$3:$A$5001,N$3,BD!$B$3:$B$5001,$A$233,BD!$L$3:$L$5001,"&lt;&gt;")=0,"",SUMIFS(BD!$L$3:$L$5001,BD!$A$3:$A$5001,N$3,BD!$B$3:$B$5001,$A$233)))</f>
        <v/>
      </c>
      <c r="O242" s="185" t="str">
        <f>IF(O$3="","",IF(COUNTIFS(BD!$A$3:$A$5001,O$3,BD!$B$3:$B$5001,$A$233,BD!$L$3:$L$5001,"&lt;&gt;")=0,"",SUMIFS(BD!$L$3:$L$5001,BD!$A$3:$A$5001,O$3,BD!$B$3:$B$5001,$A$233)))</f>
        <v/>
      </c>
      <c r="P242" s="185" t="str">
        <f>IF(P$3="","",IF(COUNTIFS(BD!$A$3:$A$5001,P$3,BD!$B$3:$B$5001,$A$233,BD!$L$3:$L$5001,"&lt;&gt;")=0,"",SUMIFS(BD!$L$3:$L$5001,BD!$A$3:$A$5001,P$3,BD!$B$3:$B$5001,$A$233)))</f>
        <v/>
      </c>
      <c r="Q242" s="185" t="str">
        <f>IF(Q$3="","",IF(COUNTIFS(BD!$A$3:$A$5001,Q$3,BD!$B$3:$B$5001,$A$233,BD!$L$3:$L$5001,"&lt;&gt;")=0,"",SUMIFS(BD!$L$3:$L$5001,BD!$A$3:$A$5001,Q$3,BD!$B$3:$B$5001,$A$233)))</f>
        <v/>
      </c>
      <c r="R242" s="185" t="str">
        <f>IF(R$3="","",IF(COUNTIFS(BD!$A$3:$A$5001,R$3,BD!$B$3:$B$5001,$A$233,BD!$L$3:$L$5001,"&lt;&gt;")=0,"",SUMIFS(BD!$L$3:$L$5001,BD!$A$3:$A$5001,R$3,BD!$B$3:$B$5001,$A$233)))</f>
        <v/>
      </c>
      <c r="S242" s="185" t="str">
        <f>IF(S$3="","",IF(COUNTIFS(BD!$A$3:$A$5001,S$3,BD!$B$3:$B$5001,$A$233,BD!$L$3:$L$5001,"&lt;&gt;")=0,"",SUMIFS(BD!$L$3:$L$5001,BD!$A$3:$A$5001,S$3,BD!$B$3:$B$5001,$A$233)))</f>
        <v/>
      </c>
      <c r="T242" s="185" t="str">
        <f>IF(T$3="","",IF(COUNTIFS(BD!$A$3:$A$5001,T$3,BD!$B$3:$B$5001,$A$233,BD!$L$3:$L$5001,"&lt;&gt;")=0,"",SUMIFS(BD!$L$3:$L$5001,BD!$A$3:$A$5001,T$3,BD!$B$3:$B$5001,$A$233)))</f>
        <v/>
      </c>
      <c r="U242" s="185" t="str">
        <f>IF(U$3="","",IF(COUNTIFS(BD!$A$3:$A$5001,U$3,BD!$B$3:$B$5001,$A$233,BD!$L$3:$L$5001,"&lt;&gt;")=0,"",SUMIFS(BD!$L$3:$L$5001,BD!$A$3:$A$5001,U$3,BD!$B$3:$B$5001,$A$233)))</f>
        <v/>
      </c>
      <c r="V242" s="185" t="str">
        <f>IF(V$3="","",IF(COUNTIFS(BD!$A$3:$A$5001,V$3,BD!$B$3:$B$5001,$A$233,BD!$L$3:$L$5001,"&lt;&gt;")=0,"",SUMIFS(BD!$L$3:$L$5001,BD!$A$3:$A$5001,V$3,BD!$B$3:$B$5001,$A$233)))</f>
        <v/>
      </c>
      <c r="W242" s="185" t="str">
        <f>IF(W$3="","",IF(COUNTIFS(BD!$A$3:$A$5001,W$3,BD!$B$3:$B$5001,$A$233,BD!$L$3:$L$5001,"&lt;&gt;")=0,"",SUMIFS(BD!$L$3:$L$5001,BD!$A$3:$A$5001,W$3,BD!$B$3:$B$5001,$A$233)))</f>
        <v/>
      </c>
      <c r="X242" s="185" t="str">
        <f>IF(X$3="","",IF(COUNTIFS(BD!$A$3:$A$5001,X$3,BD!$B$3:$B$5001,$A$233,BD!$L$3:$L$5001,"&lt;&gt;")=0,"",SUMIFS(BD!$L$3:$L$5001,BD!$A$3:$A$5001,X$3,BD!$B$3:$B$5001,$A$233)))</f>
        <v/>
      </c>
      <c r="Y242" s="185" t="str">
        <f>IF(Y$3="","",IF(COUNTIFS(BD!$A$3:$A$5001,Y$3,BD!$B$3:$B$5001,$A$233,BD!$L$3:$L$5001,"&lt;&gt;")=0,"",SUMIFS(BD!$L$3:$L$5001,BD!$A$3:$A$5001,Y$3,BD!$B$3:$B$5001,$A$233)))</f>
        <v/>
      </c>
      <c r="Z242" s="185" t="str">
        <f>IF(Z$3="","",IF(COUNTIFS(BD!$A$3:$A$5001,Z$3,BD!$B$3:$B$5001,$A$233,BD!$L$3:$L$5001,"&lt;&gt;")=0,"",SUMIFS(BD!$L$3:$L$5001,BD!$A$3:$A$5001,Z$3,BD!$B$3:$B$5001,$A$233)))</f>
        <v/>
      </c>
      <c r="AA242" s="185" t="str">
        <f>IF(AA$3="","",IF(COUNTIFS(BD!$A$3:$A$5001,AA$3,BD!$B$3:$B$5001,$A$233,BD!$L$3:$L$5001,"&lt;&gt;")=0,"",SUMIFS(BD!$L$3:$L$5001,BD!$A$3:$A$5001,AA$3,BD!$B$3:$B$5001,$A$233)))</f>
        <v/>
      </c>
      <c r="AB242" s="185" t="str">
        <f>IF(AB$3="","",IF(COUNTIFS(BD!$A$3:$A$5001,AB$3,BD!$B$3:$B$5001,$A$233,BD!$L$3:$L$5001,"&lt;&gt;")=0,"",SUMIFS(BD!$L$3:$L$5001,BD!$A$3:$A$5001,AB$3,BD!$B$3:$B$5001,$A$233)))</f>
        <v/>
      </c>
      <c r="AC242" s="185" t="str">
        <f>IF(AC$3="","",IF(COUNTIFS(BD!$A$3:$A$5001,AC$3,BD!$B$3:$B$5001,$A$233,BD!$L$3:$L$5001,"&lt;&gt;")=0,"",SUMIFS(BD!$L$3:$L$5001,BD!$A$3:$A$5001,AC$3,BD!$B$3:$B$5001,$A$233)))</f>
        <v/>
      </c>
      <c r="AD242" s="185" t="str">
        <f>IF(AD$3="","",IF(COUNTIFS(BD!$A$3:$A$5001,AD$3,BD!$B$3:$B$5001,$A$233,BD!$L$3:$L$5001,"&lt;&gt;")=0,"",SUMIFS(BD!$L$3:$L$5001,BD!$A$3:$A$5001,AD$3,BD!$B$3:$B$5001,$A$233)))</f>
        <v/>
      </c>
      <c r="AE242" s="185" t="str">
        <f>IF(AE$3="","",IF(COUNTIFS(BD!$A$3:$A$5001,AE$3,BD!$B$3:$B$5001,$A$233,BD!$L$3:$L$5001,"&lt;&gt;")=0,"",SUMIFS(BD!$L$3:$L$5001,BD!$A$3:$A$5001,AE$3,BD!$B$3:$B$5001,$A$233)))</f>
        <v/>
      </c>
      <c r="AF242" s="185" t="str">
        <f>IF(AF$3="","",IF(COUNTIFS(BD!$A$3:$A$5001,AF$3,BD!$B$3:$B$5001,$A$233,BD!$L$3:$L$5001,"&lt;&gt;")=0,"",SUMIFS(BD!$L$3:$L$5001,BD!$A$3:$A$5001,AF$3,BD!$B$3:$B$5001,$A$233)))</f>
        <v/>
      </c>
      <c r="AG242" s="185" t="str">
        <f>IF(AG$3="","",IF(COUNTIFS(BD!$A$3:$A$5001,AG$3,BD!$B$3:$B$5001,$A$233,BD!$L$3:$L$5001,"&lt;&gt;")=0,"",SUMIFS(BD!$L$3:$L$5001,BD!$A$3:$A$5001,AG$3,BD!$B$3:$B$5001,$A$233)))</f>
        <v/>
      </c>
      <c r="AH242" s="185" t="str">
        <f>IF(AH$3="","",IF(COUNTIFS(BD!$A$3:$A$5001,AH$3,BD!$B$3:$B$5001,$A$233,BD!$L$3:$L$5001,"&lt;&gt;")=0,"",SUMIFS(BD!$L$3:$L$5001,BD!$A$3:$A$5001,AH$3,BD!$B$3:$B$5001,$A$233)))</f>
        <v/>
      </c>
      <c r="AI242" s="185" t="str">
        <f>IF(AI$3="","",IF(COUNTIFS(BD!$A$3:$A$5001,AI$3,BD!$B$3:$B$5001,$A$233,BD!$L$3:$L$5001,"&lt;&gt;")=0,"",SUMIFS(BD!$L$3:$L$5001,BD!$A$3:$A$5001,AI$3,BD!$B$3:$B$5001,$A$233)))</f>
        <v/>
      </c>
      <c r="AJ242" s="186" t="str">
        <f>IF(AJ$3="","",IF(COUNTIFS(BD!$A$3:$A$5001,AJ$3,BD!$B$3:$B$5001,$A$233,BD!$L$3:$L$5001,"&lt;&gt;")=0,"",SUMIFS(BD!$L$3:$L$5001,BD!$A$3:$A$5001,AJ$3,BD!$B$3:$B$5001,$A$233)))</f>
        <v/>
      </c>
      <c r="AK242" s="187" t="str">
        <f>IF(COUNT(F242:AJ242)=0,"",SUM(F242:AJ242))</f>
        <v/>
      </c>
    </row>
    <row r="243" ht="15.75" customHeight="1" hidden="1">
      <c r="A243" s="261"/>
      <c r="B243" s="278"/>
      <c r="C243" s="267" t="inlineStr">
        <is>
          <t xml:space="preserve">Pedidos Expedidos</t>
        </is>
      </c>
      <c r="D243" s="268" t="str">
        <f>IFERROR(1/(1/INDEX(BD!$AL$33:$BF$33,MATCH($A$233,BD!$AL$22:$BF$22,0))),"")</f>
        <v/>
      </c>
      <c r="E243" s="269"/>
      <c r="F243" s="270" t="str">
        <f>IF(F$3="","",IF(COUNTIFS(BD!$A$3:$A$5001,F$3,BD!$B$3:$B$5001,$A$233,BD!$M$3:$M$5001,"&lt;&gt;")=0,"",SUMIFS(BD!$M$3:$M$5001,BD!$A$3:$A$5001,F$3,BD!$B$3:$B$5001,$A$233)))</f>
        <v/>
      </c>
      <c r="G243" s="271" t="str">
        <f>IF(G$3="","",IF(COUNTIFS(BD!$A$3:$A$5001,G$3,BD!$B$3:$B$5001,$A$233,BD!$M$3:$M$5001,"&lt;&gt;")=0,"",SUMIFS(BD!$M$3:$M$5001,BD!$A$3:$A$5001,G$3,BD!$B$3:$B$5001,$A$233)))</f>
        <v/>
      </c>
      <c r="H243" s="271" t="str">
        <f>IF(H$3="","",IF(COUNTIFS(BD!$A$3:$A$5001,H$3,BD!$B$3:$B$5001,$A$233,BD!$M$3:$M$5001,"&lt;&gt;")=0,"",SUMIFS(BD!$M$3:$M$5001,BD!$A$3:$A$5001,H$3,BD!$B$3:$B$5001,$A$233)))</f>
        <v/>
      </c>
      <c r="I243" s="271" t="str">
        <f>IF(I$3="","",IF(COUNTIFS(BD!$A$3:$A$5001,I$3,BD!$B$3:$B$5001,$A$233,BD!$M$3:$M$5001,"&lt;&gt;")=0,"",SUMIFS(BD!$M$3:$M$5001,BD!$A$3:$A$5001,I$3,BD!$B$3:$B$5001,$A$233)))</f>
        <v/>
      </c>
      <c r="J243" s="271" t="str">
        <f>IF(J$3="","",IF(COUNTIFS(BD!$A$3:$A$5001,J$3,BD!$B$3:$B$5001,$A$233,BD!$M$3:$M$5001,"&lt;&gt;")=0,"",SUMIFS(BD!$M$3:$M$5001,BD!$A$3:$A$5001,J$3,BD!$B$3:$B$5001,$A$233)))</f>
        <v/>
      </c>
      <c r="K243" s="271" t="str">
        <f>IF(K$3="","",IF(COUNTIFS(BD!$A$3:$A$5001,K$3,BD!$B$3:$B$5001,$A$233,BD!$M$3:$M$5001,"&lt;&gt;")=0,"",SUMIFS(BD!$M$3:$M$5001,BD!$A$3:$A$5001,K$3,BD!$B$3:$B$5001,$A$233)))</f>
        <v/>
      </c>
      <c r="L243" s="271" t="str">
        <f>IF(L$3="","",IF(COUNTIFS(BD!$A$3:$A$5001,L$3,BD!$B$3:$B$5001,$A$233,BD!$M$3:$M$5001,"&lt;&gt;")=0,"",SUMIFS(BD!$M$3:$M$5001,BD!$A$3:$A$5001,L$3,BD!$B$3:$B$5001,$A$233)))</f>
        <v/>
      </c>
      <c r="M243" s="271" t="str">
        <f>IF(M$3="","",IF(COUNTIFS(BD!$A$3:$A$5001,M$3,BD!$B$3:$B$5001,$A$233,BD!$M$3:$M$5001,"&lt;&gt;")=0,"",SUMIFS(BD!$M$3:$M$5001,BD!$A$3:$A$5001,M$3,BD!$B$3:$B$5001,$A$233)))</f>
        <v/>
      </c>
      <c r="N243" s="271" t="str">
        <f>IF(N$3="","",IF(COUNTIFS(BD!$A$3:$A$5001,N$3,BD!$B$3:$B$5001,$A$233,BD!$M$3:$M$5001,"&lt;&gt;")=0,"",SUMIFS(BD!$M$3:$M$5001,BD!$A$3:$A$5001,N$3,BD!$B$3:$B$5001,$A$233)))</f>
        <v/>
      </c>
      <c r="O243" s="271" t="str">
        <f>IF(O$3="","",IF(COUNTIFS(BD!$A$3:$A$5001,O$3,BD!$B$3:$B$5001,$A$233,BD!$M$3:$M$5001,"&lt;&gt;")=0,"",SUMIFS(BD!$M$3:$M$5001,BD!$A$3:$A$5001,O$3,BD!$B$3:$B$5001,$A$233)))</f>
        <v/>
      </c>
      <c r="P243" s="271" t="str">
        <f>IF(P$3="","",IF(COUNTIFS(BD!$A$3:$A$5001,P$3,BD!$B$3:$B$5001,$A$233,BD!$M$3:$M$5001,"&lt;&gt;")=0,"",SUMIFS(BD!$M$3:$M$5001,BD!$A$3:$A$5001,P$3,BD!$B$3:$B$5001,$A$233)))</f>
        <v/>
      </c>
      <c r="Q243" s="271" t="str">
        <f>IF(Q$3="","",IF(COUNTIFS(BD!$A$3:$A$5001,Q$3,BD!$B$3:$B$5001,$A$233,BD!$M$3:$M$5001,"&lt;&gt;")=0,"",SUMIFS(BD!$M$3:$M$5001,BD!$A$3:$A$5001,Q$3,BD!$B$3:$B$5001,$A$233)))</f>
        <v/>
      </c>
      <c r="R243" s="271" t="str">
        <f>IF(R$3="","",IF(COUNTIFS(BD!$A$3:$A$5001,R$3,BD!$B$3:$B$5001,$A$233,BD!$M$3:$M$5001,"&lt;&gt;")=0,"",SUMIFS(BD!$M$3:$M$5001,BD!$A$3:$A$5001,R$3,BD!$B$3:$B$5001,$A$233)))</f>
        <v/>
      </c>
      <c r="S243" s="271" t="str">
        <f>IF(S$3="","",IF(COUNTIFS(BD!$A$3:$A$5001,S$3,BD!$B$3:$B$5001,$A$233,BD!$M$3:$M$5001,"&lt;&gt;")=0,"",SUMIFS(BD!$M$3:$M$5001,BD!$A$3:$A$5001,S$3,BD!$B$3:$B$5001,$A$233)))</f>
        <v/>
      </c>
      <c r="T243" s="271" t="str">
        <f>IF(T$3="","",IF(COUNTIFS(BD!$A$3:$A$5001,T$3,BD!$B$3:$B$5001,$A$233,BD!$M$3:$M$5001,"&lt;&gt;")=0,"",SUMIFS(BD!$M$3:$M$5001,BD!$A$3:$A$5001,T$3,BD!$B$3:$B$5001,$A$233)))</f>
        <v/>
      </c>
      <c r="U243" s="271" t="str">
        <f>IF(U$3="","",IF(COUNTIFS(BD!$A$3:$A$5001,U$3,BD!$B$3:$B$5001,$A$233,BD!$M$3:$M$5001,"&lt;&gt;")=0,"",SUMIFS(BD!$M$3:$M$5001,BD!$A$3:$A$5001,U$3,BD!$B$3:$B$5001,$A$233)))</f>
        <v/>
      </c>
      <c r="V243" s="271" t="str">
        <f>IF(V$3="","",IF(COUNTIFS(BD!$A$3:$A$5001,V$3,BD!$B$3:$B$5001,$A$233,BD!$M$3:$M$5001,"&lt;&gt;")=0,"",SUMIFS(BD!$M$3:$M$5001,BD!$A$3:$A$5001,V$3,BD!$B$3:$B$5001,$A$233)))</f>
        <v/>
      </c>
      <c r="W243" s="271" t="str">
        <f>IF(W$3="","",IF(COUNTIFS(BD!$A$3:$A$5001,W$3,BD!$B$3:$B$5001,$A$233,BD!$M$3:$M$5001,"&lt;&gt;")=0,"",SUMIFS(BD!$M$3:$M$5001,BD!$A$3:$A$5001,W$3,BD!$B$3:$B$5001,$A$233)))</f>
        <v/>
      </c>
      <c r="X243" s="271" t="str">
        <f>IF(X$3="","",IF(COUNTIFS(BD!$A$3:$A$5001,X$3,BD!$B$3:$B$5001,$A$233,BD!$M$3:$M$5001,"&lt;&gt;")=0,"",SUMIFS(BD!$M$3:$M$5001,BD!$A$3:$A$5001,X$3,BD!$B$3:$B$5001,$A$233)))</f>
        <v/>
      </c>
      <c r="Y243" s="271" t="str">
        <f>IF(Y$3="","",IF(COUNTIFS(BD!$A$3:$A$5001,Y$3,BD!$B$3:$B$5001,$A$233,BD!$M$3:$M$5001,"&lt;&gt;")=0,"",SUMIFS(BD!$M$3:$M$5001,BD!$A$3:$A$5001,Y$3,BD!$B$3:$B$5001,$A$233)))</f>
        <v/>
      </c>
      <c r="Z243" s="271" t="str">
        <f>IF(Z$3="","",IF(COUNTIFS(BD!$A$3:$A$5001,Z$3,BD!$B$3:$B$5001,$A$233,BD!$M$3:$M$5001,"&lt;&gt;")=0,"",SUMIFS(BD!$M$3:$M$5001,BD!$A$3:$A$5001,Z$3,BD!$B$3:$B$5001,$A$233)))</f>
        <v/>
      </c>
      <c r="AA243" s="271" t="str">
        <f>IF(AA$3="","",IF(COUNTIFS(BD!$A$3:$A$5001,AA$3,BD!$B$3:$B$5001,$A$233,BD!$M$3:$M$5001,"&lt;&gt;")=0,"",SUMIFS(BD!$M$3:$M$5001,BD!$A$3:$A$5001,AA$3,BD!$B$3:$B$5001,$A$233)))</f>
        <v/>
      </c>
      <c r="AB243" s="271" t="str">
        <f>IF(AB$3="","",IF(COUNTIFS(BD!$A$3:$A$5001,AB$3,BD!$B$3:$B$5001,$A$233,BD!$M$3:$M$5001,"&lt;&gt;")=0,"",SUMIFS(BD!$M$3:$M$5001,BD!$A$3:$A$5001,AB$3,BD!$B$3:$B$5001,$A$233)))</f>
        <v/>
      </c>
      <c r="AC243" s="271" t="str">
        <f>IF(AC$3="","",IF(COUNTIFS(BD!$A$3:$A$5001,AC$3,BD!$B$3:$B$5001,$A$233,BD!$M$3:$M$5001,"&lt;&gt;")=0,"",SUMIFS(BD!$M$3:$M$5001,BD!$A$3:$A$5001,AC$3,BD!$B$3:$B$5001,$A$233)))</f>
        <v/>
      </c>
      <c r="AD243" s="271" t="str">
        <f>IF(AD$3="","",IF(COUNTIFS(BD!$A$3:$A$5001,AD$3,BD!$B$3:$B$5001,$A$233,BD!$M$3:$M$5001,"&lt;&gt;")=0,"",SUMIFS(BD!$M$3:$M$5001,BD!$A$3:$A$5001,AD$3,BD!$B$3:$B$5001,$A$233)))</f>
        <v/>
      </c>
      <c r="AE243" s="271" t="str">
        <f>IF(AE$3="","",IF(COUNTIFS(BD!$A$3:$A$5001,AE$3,BD!$B$3:$B$5001,$A$233,BD!$M$3:$M$5001,"&lt;&gt;")=0,"",SUMIFS(BD!$M$3:$M$5001,BD!$A$3:$A$5001,AE$3,BD!$B$3:$B$5001,$A$233)))</f>
        <v/>
      </c>
      <c r="AF243" s="271" t="str">
        <f>IF(AF$3="","",IF(COUNTIFS(BD!$A$3:$A$5001,AF$3,BD!$B$3:$B$5001,$A$233,BD!$M$3:$M$5001,"&lt;&gt;")=0,"",SUMIFS(BD!$M$3:$M$5001,BD!$A$3:$A$5001,AF$3,BD!$B$3:$B$5001,$A$233)))</f>
        <v/>
      </c>
      <c r="AG243" s="271" t="str">
        <f>IF(AG$3="","",IF(COUNTIFS(BD!$A$3:$A$5001,AG$3,BD!$B$3:$B$5001,$A$233,BD!$M$3:$M$5001,"&lt;&gt;")=0,"",SUMIFS(BD!$M$3:$M$5001,BD!$A$3:$A$5001,AG$3,BD!$B$3:$B$5001,$A$233)))</f>
        <v/>
      </c>
      <c r="AH243" s="271" t="str">
        <f>IF(AH$3="","",IF(COUNTIFS(BD!$A$3:$A$5001,AH$3,BD!$B$3:$B$5001,$A$233,BD!$M$3:$M$5001,"&lt;&gt;")=0,"",SUMIFS(BD!$M$3:$M$5001,BD!$A$3:$A$5001,AH$3,BD!$B$3:$B$5001,$A$233)))</f>
        <v/>
      </c>
      <c r="AI243" s="271" t="str">
        <f>IF(AI$3="","",IF(COUNTIFS(BD!$A$3:$A$5001,AI$3,BD!$B$3:$B$5001,$A$233,BD!$M$3:$M$5001,"&lt;&gt;")=0,"",SUMIFS(BD!$M$3:$M$5001,BD!$A$3:$A$5001,AI$3,BD!$B$3:$B$5001,$A$233)))</f>
        <v/>
      </c>
      <c r="AJ243" s="272" t="str">
        <f>IF(AJ$3="","",IF(COUNTIFS(BD!$A$3:$A$5001,AJ$3,BD!$B$3:$B$5001,$A$233,BD!$M$3:$M$5001,"&lt;&gt;")=0,"",SUMIFS(BD!$M$3:$M$5001,BD!$A$3:$A$5001,AJ$3,BD!$B$3:$B$5001,$A$233)))</f>
        <v/>
      </c>
      <c r="AK243" s="273" t="str">
        <f>IF(COUNT(F243:AJ243)=0,"",SUM(F243:AJ243))</f>
        <v/>
      </c>
    </row>
    <row r="244" ht="15.75" customHeight="1" hidden="1">
      <c r="A244" s="261"/>
      <c r="B244" s="278"/>
      <c r="C244" s="267" t="inlineStr">
        <is>
          <t xml:space="preserve">Pedidos Faturados</t>
        </is>
      </c>
      <c r="D244" s="268" t="str">
        <f>IFERROR(1/(1/INDEX(BD!$AL$34:$BF$34,MATCH($A$233,BD!$AL$22:$BF$22,0))),"")</f>
        <v/>
      </c>
      <c r="E244" s="269"/>
      <c r="F244" s="270" t="str">
        <f>IF(F$3="","",IF(COUNTIFS(BD!$A$3:$A$5001,F$3,BD!$B$3:$B$5001,$A$233,BD!$N$3:$N$5001,"&lt;&gt;")=0,"",SUMIFS(BD!$N$3:$N$5001,BD!$A$3:$A$5001,F$3,BD!$B$3:$B$5001,$A$233)))</f>
        <v/>
      </c>
      <c r="G244" s="271" t="str">
        <f>IF(G$3="","",IF(COUNTIFS(BD!$A$3:$A$5001,G$3,BD!$B$3:$B$5001,$A$233,BD!$N$3:$N$5001,"&lt;&gt;")=0,"",SUMIFS(BD!$N$3:$N$5001,BD!$A$3:$A$5001,G$3,BD!$B$3:$B$5001,$A$233)))</f>
        <v/>
      </c>
      <c r="H244" s="271" t="str">
        <f>IF(H$3="","",IF(COUNTIFS(BD!$A$3:$A$5001,H$3,BD!$B$3:$B$5001,$A$233,BD!$N$3:$N$5001,"&lt;&gt;")=0,"",SUMIFS(BD!$N$3:$N$5001,BD!$A$3:$A$5001,H$3,BD!$B$3:$B$5001,$A$233)))</f>
        <v/>
      </c>
      <c r="I244" s="271" t="str">
        <f>IF(I$3="","",IF(COUNTIFS(BD!$A$3:$A$5001,I$3,BD!$B$3:$B$5001,$A$233,BD!$N$3:$N$5001,"&lt;&gt;")=0,"",SUMIFS(BD!$N$3:$N$5001,BD!$A$3:$A$5001,I$3,BD!$B$3:$B$5001,$A$233)))</f>
        <v/>
      </c>
      <c r="J244" s="271" t="str">
        <f>IF(J$3="","",IF(COUNTIFS(BD!$A$3:$A$5001,J$3,BD!$B$3:$B$5001,$A$233,BD!$N$3:$N$5001,"&lt;&gt;")=0,"",SUMIFS(BD!$N$3:$N$5001,BD!$A$3:$A$5001,J$3,BD!$B$3:$B$5001,$A$233)))</f>
        <v/>
      </c>
      <c r="K244" s="271" t="str">
        <f>IF(K$3="","",IF(COUNTIFS(BD!$A$3:$A$5001,K$3,BD!$B$3:$B$5001,$A$233,BD!$N$3:$N$5001,"&lt;&gt;")=0,"",SUMIFS(BD!$N$3:$N$5001,BD!$A$3:$A$5001,K$3,BD!$B$3:$B$5001,$A$233)))</f>
        <v/>
      </c>
      <c r="L244" s="271" t="str">
        <f>IF(L$3="","",IF(COUNTIFS(BD!$A$3:$A$5001,L$3,BD!$B$3:$B$5001,$A$233,BD!$N$3:$N$5001,"&lt;&gt;")=0,"",SUMIFS(BD!$N$3:$N$5001,BD!$A$3:$A$5001,L$3,BD!$B$3:$B$5001,$A$233)))</f>
        <v/>
      </c>
      <c r="M244" s="271" t="str">
        <f>IF(M$3="","",IF(COUNTIFS(BD!$A$3:$A$5001,M$3,BD!$B$3:$B$5001,$A$233,BD!$N$3:$N$5001,"&lt;&gt;")=0,"",SUMIFS(BD!$N$3:$N$5001,BD!$A$3:$A$5001,M$3,BD!$B$3:$B$5001,$A$233)))</f>
        <v/>
      </c>
      <c r="N244" s="271" t="str">
        <f>IF(N$3="","",IF(COUNTIFS(BD!$A$3:$A$5001,N$3,BD!$B$3:$B$5001,$A$233,BD!$N$3:$N$5001,"&lt;&gt;")=0,"",SUMIFS(BD!$N$3:$N$5001,BD!$A$3:$A$5001,N$3,BD!$B$3:$B$5001,$A$233)))</f>
        <v/>
      </c>
      <c r="O244" s="271" t="str">
        <f>IF(O$3="","",IF(COUNTIFS(BD!$A$3:$A$5001,O$3,BD!$B$3:$B$5001,$A$233,BD!$N$3:$N$5001,"&lt;&gt;")=0,"",SUMIFS(BD!$N$3:$N$5001,BD!$A$3:$A$5001,O$3,BD!$B$3:$B$5001,$A$233)))</f>
        <v/>
      </c>
      <c r="P244" s="271" t="str">
        <f>IF(P$3="","",IF(COUNTIFS(BD!$A$3:$A$5001,P$3,BD!$B$3:$B$5001,$A$233,BD!$N$3:$N$5001,"&lt;&gt;")=0,"",SUMIFS(BD!$N$3:$N$5001,BD!$A$3:$A$5001,P$3,BD!$B$3:$B$5001,$A$233)))</f>
        <v/>
      </c>
      <c r="Q244" s="271" t="str">
        <f>IF(Q$3="","",IF(COUNTIFS(BD!$A$3:$A$5001,Q$3,BD!$B$3:$B$5001,$A$233,BD!$N$3:$N$5001,"&lt;&gt;")=0,"",SUMIFS(BD!$N$3:$N$5001,BD!$A$3:$A$5001,Q$3,BD!$B$3:$B$5001,$A$233)))</f>
        <v/>
      </c>
      <c r="R244" s="271" t="str">
        <f>IF(R$3="","",IF(COUNTIFS(BD!$A$3:$A$5001,R$3,BD!$B$3:$B$5001,$A$233,BD!$N$3:$N$5001,"&lt;&gt;")=0,"",SUMIFS(BD!$N$3:$N$5001,BD!$A$3:$A$5001,R$3,BD!$B$3:$B$5001,$A$233)))</f>
        <v/>
      </c>
      <c r="S244" s="271" t="str">
        <f>IF(S$3="","",IF(COUNTIFS(BD!$A$3:$A$5001,S$3,BD!$B$3:$B$5001,$A$233,BD!$N$3:$N$5001,"&lt;&gt;")=0,"",SUMIFS(BD!$N$3:$N$5001,BD!$A$3:$A$5001,S$3,BD!$B$3:$B$5001,$A$233)))</f>
        <v/>
      </c>
      <c r="T244" s="271" t="str">
        <f>IF(T$3="","",IF(COUNTIFS(BD!$A$3:$A$5001,T$3,BD!$B$3:$B$5001,$A$233,BD!$N$3:$N$5001,"&lt;&gt;")=0,"",SUMIFS(BD!$N$3:$N$5001,BD!$A$3:$A$5001,T$3,BD!$B$3:$B$5001,$A$233)))</f>
        <v/>
      </c>
      <c r="U244" s="271" t="str">
        <f>IF(U$3="","",IF(COUNTIFS(BD!$A$3:$A$5001,U$3,BD!$B$3:$B$5001,$A$233,BD!$N$3:$N$5001,"&lt;&gt;")=0,"",SUMIFS(BD!$N$3:$N$5001,BD!$A$3:$A$5001,U$3,BD!$B$3:$B$5001,$A$233)))</f>
        <v/>
      </c>
      <c r="V244" s="271" t="str">
        <f>IF(V$3="","",IF(COUNTIFS(BD!$A$3:$A$5001,V$3,BD!$B$3:$B$5001,$A$233,BD!$N$3:$N$5001,"&lt;&gt;")=0,"",SUMIFS(BD!$N$3:$N$5001,BD!$A$3:$A$5001,V$3,BD!$B$3:$B$5001,$A$233)))</f>
        <v/>
      </c>
      <c r="W244" s="271" t="str">
        <f>IF(W$3="","",IF(COUNTIFS(BD!$A$3:$A$5001,W$3,BD!$B$3:$B$5001,$A$233,BD!$N$3:$N$5001,"&lt;&gt;")=0,"",SUMIFS(BD!$N$3:$N$5001,BD!$A$3:$A$5001,W$3,BD!$B$3:$B$5001,$A$233)))</f>
        <v/>
      </c>
      <c r="X244" s="271" t="str">
        <f>IF(X$3="","",IF(COUNTIFS(BD!$A$3:$A$5001,X$3,BD!$B$3:$B$5001,$A$233,BD!$N$3:$N$5001,"&lt;&gt;")=0,"",SUMIFS(BD!$N$3:$N$5001,BD!$A$3:$A$5001,X$3,BD!$B$3:$B$5001,$A$233)))</f>
        <v/>
      </c>
      <c r="Y244" s="271" t="str">
        <f>IF(Y$3="","",IF(COUNTIFS(BD!$A$3:$A$5001,Y$3,BD!$B$3:$B$5001,$A$233,BD!$N$3:$N$5001,"&lt;&gt;")=0,"",SUMIFS(BD!$N$3:$N$5001,BD!$A$3:$A$5001,Y$3,BD!$B$3:$B$5001,$A$233)))</f>
        <v/>
      </c>
      <c r="Z244" s="271" t="str">
        <f>IF(Z$3="","",IF(COUNTIFS(BD!$A$3:$A$5001,Z$3,BD!$B$3:$B$5001,$A$233,BD!$N$3:$N$5001,"&lt;&gt;")=0,"",SUMIFS(BD!$N$3:$N$5001,BD!$A$3:$A$5001,Z$3,BD!$B$3:$B$5001,$A$233)))</f>
        <v/>
      </c>
      <c r="AA244" s="271" t="str">
        <f>IF(AA$3="","",IF(COUNTIFS(BD!$A$3:$A$5001,AA$3,BD!$B$3:$B$5001,$A$233,BD!$N$3:$N$5001,"&lt;&gt;")=0,"",SUMIFS(BD!$N$3:$N$5001,BD!$A$3:$A$5001,AA$3,BD!$B$3:$B$5001,$A$233)))</f>
        <v/>
      </c>
      <c r="AB244" s="271" t="str">
        <f>IF(AB$3="","",IF(COUNTIFS(BD!$A$3:$A$5001,AB$3,BD!$B$3:$B$5001,$A$233,BD!$N$3:$N$5001,"&lt;&gt;")=0,"",SUMIFS(BD!$N$3:$N$5001,BD!$A$3:$A$5001,AB$3,BD!$B$3:$B$5001,$A$233)))</f>
        <v/>
      </c>
      <c r="AC244" s="271" t="str">
        <f>IF(AC$3="","",IF(COUNTIFS(BD!$A$3:$A$5001,AC$3,BD!$B$3:$B$5001,$A$233,BD!$N$3:$N$5001,"&lt;&gt;")=0,"",SUMIFS(BD!$N$3:$N$5001,BD!$A$3:$A$5001,AC$3,BD!$B$3:$B$5001,$A$233)))</f>
        <v/>
      </c>
      <c r="AD244" s="271" t="str">
        <f>IF(AD$3="","",IF(COUNTIFS(BD!$A$3:$A$5001,AD$3,BD!$B$3:$B$5001,$A$233,BD!$N$3:$N$5001,"&lt;&gt;")=0,"",SUMIFS(BD!$N$3:$N$5001,BD!$A$3:$A$5001,AD$3,BD!$B$3:$B$5001,$A$233)))</f>
        <v/>
      </c>
      <c r="AE244" s="271" t="str">
        <f>IF(AE$3="","",IF(COUNTIFS(BD!$A$3:$A$5001,AE$3,BD!$B$3:$B$5001,$A$233,BD!$N$3:$N$5001,"&lt;&gt;")=0,"",SUMIFS(BD!$N$3:$N$5001,BD!$A$3:$A$5001,AE$3,BD!$B$3:$B$5001,$A$233)))</f>
        <v/>
      </c>
      <c r="AF244" s="271" t="str">
        <f>IF(AF$3="","",IF(COUNTIFS(BD!$A$3:$A$5001,AF$3,BD!$B$3:$B$5001,$A$233,BD!$N$3:$N$5001,"&lt;&gt;")=0,"",SUMIFS(BD!$N$3:$N$5001,BD!$A$3:$A$5001,AF$3,BD!$B$3:$B$5001,$A$233)))</f>
        <v/>
      </c>
      <c r="AG244" s="271" t="str">
        <f>IF(AG$3="","",IF(COUNTIFS(BD!$A$3:$A$5001,AG$3,BD!$B$3:$B$5001,$A$233,BD!$N$3:$N$5001,"&lt;&gt;")=0,"",SUMIFS(BD!$N$3:$N$5001,BD!$A$3:$A$5001,AG$3,BD!$B$3:$B$5001,$A$233)))</f>
        <v/>
      </c>
      <c r="AH244" s="271" t="str">
        <f>IF(AH$3="","",IF(COUNTIFS(BD!$A$3:$A$5001,AH$3,BD!$B$3:$B$5001,$A$233,BD!$N$3:$N$5001,"&lt;&gt;")=0,"",SUMIFS(BD!$N$3:$N$5001,BD!$A$3:$A$5001,AH$3,BD!$B$3:$B$5001,$A$233)))</f>
        <v/>
      </c>
      <c r="AI244" s="271" t="str">
        <f>IF(AI$3="","",IF(COUNTIFS(BD!$A$3:$A$5001,AI$3,BD!$B$3:$B$5001,$A$233,BD!$N$3:$N$5001,"&lt;&gt;")=0,"",SUMIFS(BD!$N$3:$N$5001,BD!$A$3:$A$5001,AI$3,BD!$B$3:$B$5001,$A$233)))</f>
        <v/>
      </c>
      <c r="AJ244" s="272" t="str">
        <f>IF(AJ$3="","",IF(COUNTIFS(BD!$A$3:$A$5001,AJ$3,BD!$B$3:$B$5001,$A$233,BD!$N$3:$N$5001,"&lt;&gt;")=0,"",SUMIFS(BD!$N$3:$N$5001,BD!$A$3:$A$5001,AJ$3,BD!$B$3:$B$5001,$A$233)))</f>
        <v/>
      </c>
      <c r="AK244" s="273" t="str">
        <f>IF(COUNT(F244:AJ244)=0,"",SUM(F244:AJ244))</f>
        <v/>
      </c>
    </row>
    <row r="245" ht="15.75" customHeight="1" hidden="1">
      <c r="A245" s="261"/>
      <c r="B245" s="278"/>
      <c r="C245" s="267" t="inlineStr">
        <is>
          <t xml:space="preserve">Itens Expedidos</t>
        </is>
      </c>
      <c r="D245" s="268" t="str">
        <f>IFERROR(1/(1/INDEX(BD!$AL$35:$BF$35,MATCH($A$233,BD!$AL$22:$BF$22,0))),"")</f>
        <v/>
      </c>
      <c r="E245" s="269"/>
      <c r="F245" s="270" t="str">
        <f>IF(F$3="","",IF(COUNTIFS(BD!$A$3:$A$5001,F$3,BD!$B$3:$B$5001,$A$233,BD!$O$3:$O$5001,"&lt;&gt;")=0,"",SUMIFS(BD!$O$3:$O$5001,BD!$A$3:$A$5001,F$3,BD!$B$3:$B$5001,$A$233)))</f>
        <v/>
      </c>
      <c r="G245" s="271" t="str">
        <f>IF(G$3="","",IF(COUNTIFS(BD!$A$3:$A$5001,G$3,BD!$B$3:$B$5001,$A$233,BD!$O$3:$O$5001,"&lt;&gt;")=0,"",SUMIFS(BD!$O$3:$O$5001,BD!$A$3:$A$5001,G$3,BD!$B$3:$B$5001,$A$233)))</f>
        <v/>
      </c>
      <c r="H245" s="271" t="str">
        <f>IF(H$3="","",IF(COUNTIFS(BD!$A$3:$A$5001,H$3,BD!$B$3:$B$5001,$A$233,BD!$O$3:$O$5001,"&lt;&gt;")=0,"",SUMIFS(BD!$O$3:$O$5001,BD!$A$3:$A$5001,H$3,BD!$B$3:$B$5001,$A$233)))</f>
        <v/>
      </c>
      <c r="I245" s="271" t="str">
        <f>IF(I$3="","",IF(COUNTIFS(BD!$A$3:$A$5001,I$3,BD!$B$3:$B$5001,$A$233,BD!$O$3:$O$5001,"&lt;&gt;")=0,"",SUMIFS(BD!$O$3:$O$5001,BD!$A$3:$A$5001,I$3,BD!$B$3:$B$5001,$A$233)))</f>
        <v/>
      </c>
      <c r="J245" s="271" t="str">
        <f>IF(J$3="","",IF(COUNTIFS(BD!$A$3:$A$5001,J$3,BD!$B$3:$B$5001,$A$233,BD!$O$3:$O$5001,"&lt;&gt;")=0,"",SUMIFS(BD!$O$3:$O$5001,BD!$A$3:$A$5001,J$3,BD!$B$3:$B$5001,$A$233)))</f>
        <v/>
      </c>
      <c r="K245" s="271" t="str">
        <f>IF(K$3="","",IF(COUNTIFS(BD!$A$3:$A$5001,K$3,BD!$B$3:$B$5001,$A$233,BD!$O$3:$O$5001,"&lt;&gt;")=0,"",SUMIFS(BD!$O$3:$O$5001,BD!$A$3:$A$5001,K$3,BD!$B$3:$B$5001,$A$233)))</f>
        <v/>
      </c>
      <c r="L245" s="271" t="str">
        <f>IF(L$3="","",IF(COUNTIFS(BD!$A$3:$A$5001,L$3,BD!$B$3:$B$5001,$A$233,BD!$O$3:$O$5001,"&lt;&gt;")=0,"",SUMIFS(BD!$O$3:$O$5001,BD!$A$3:$A$5001,L$3,BD!$B$3:$B$5001,$A$233)))</f>
        <v/>
      </c>
      <c r="M245" s="271" t="str">
        <f>IF(M$3="","",IF(COUNTIFS(BD!$A$3:$A$5001,M$3,BD!$B$3:$B$5001,$A$233,BD!$O$3:$O$5001,"&lt;&gt;")=0,"",SUMIFS(BD!$O$3:$O$5001,BD!$A$3:$A$5001,M$3,BD!$B$3:$B$5001,$A$233)))</f>
        <v/>
      </c>
      <c r="N245" s="271" t="str">
        <f>IF(N$3="","",IF(COUNTIFS(BD!$A$3:$A$5001,N$3,BD!$B$3:$B$5001,$A$233,BD!$O$3:$O$5001,"&lt;&gt;")=0,"",SUMIFS(BD!$O$3:$O$5001,BD!$A$3:$A$5001,N$3,BD!$B$3:$B$5001,$A$233)))</f>
        <v/>
      </c>
      <c r="O245" s="271" t="str">
        <f>IF(O$3="","",IF(COUNTIFS(BD!$A$3:$A$5001,O$3,BD!$B$3:$B$5001,$A$233,BD!$O$3:$O$5001,"&lt;&gt;")=0,"",SUMIFS(BD!$O$3:$O$5001,BD!$A$3:$A$5001,O$3,BD!$B$3:$B$5001,$A$233)))</f>
        <v/>
      </c>
      <c r="P245" s="271" t="str">
        <f>IF(P$3="","",IF(COUNTIFS(BD!$A$3:$A$5001,P$3,BD!$B$3:$B$5001,$A$233,BD!$O$3:$O$5001,"&lt;&gt;")=0,"",SUMIFS(BD!$O$3:$O$5001,BD!$A$3:$A$5001,P$3,BD!$B$3:$B$5001,$A$233)))</f>
        <v/>
      </c>
      <c r="Q245" s="271" t="str">
        <f>IF(Q$3="","",IF(COUNTIFS(BD!$A$3:$A$5001,Q$3,BD!$B$3:$B$5001,$A$233,BD!$O$3:$O$5001,"&lt;&gt;")=0,"",SUMIFS(BD!$O$3:$O$5001,BD!$A$3:$A$5001,Q$3,BD!$B$3:$B$5001,$A$233)))</f>
        <v/>
      </c>
      <c r="R245" s="271" t="str">
        <f>IF(R$3="","",IF(COUNTIFS(BD!$A$3:$A$5001,R$3,BD!$B$3:$B$5001,$A$233,BD!$O$3:$O$5001,"&lt;&gt;")=0,"",SUMIFS(BD!$O$3:$O$5001,BD!$A$3:$A$5001,R$3,BD!$B$3:$B$5001,$A$233)))</f>
        <v/>
      </c>
      <c r="S245" s="271" t="str">
        <f>IF(S$3="","",IF(COUNTIFS(BD!$A$3:$A$5001,S$3,BD!$B$3:$B$5001,$A$233,BD!$O$3:$O$5001,"&lt;&gt;")=0,"",SUMIFS(BD!$O$3:$O$5001,BD!$A$3:$A$5001,S$3,BD!$B$3:$B$5001,$A$233)))</f>
        <v/>
      </c>
      <c r="T245" s="271" t="str">
        <f>IF(T$3="","",IF(COUNTIFS(BD!$A$3:$A$5001,T$3,BD!$B$3:$B$5001,$A$233,BD!$O$3:$O$5001,"&lt;&gt;")=0,"",SUMIFS(BD!$O$3:$O$5001,BD!$A$3:$A$5001,T$3,BD!$B$3:$B$5001,$A$233)))</f>
        <v/>
      </c>
      <c r="U245" s="271" t="str">
        <f>IF(U$3="","",IF(COUNTIFS(BD!$A$3:$A$5001,U$3,BD!$B$3:$B$5001,$A$233,BD!$O$3:$O$5001,"&lt;&gt;")=0,"",SUMIFS(BD!$O$3:$O$5001,BD!$A$3:$A$5001,U$3,BD!$B$3:$B$5001,$A$233)))</f>
        <v/>
      </c>
      <c r="V245" s="271" t="str">
        <f>IF(V$3="","",IF(COUNTIFS(BD!$A$3:$A$5001,V$3,BD!$B$3:$B$5001,$A$233,BD!$O$3:$O$5001,"&lt;&gt;")=0,"",SUMIFS(BD!$O$3:$O$5001,BD!$A$3:$A$5001,V$3,BD!$B$3:$B$5001,$A$233)))</f>
        <v/>
      </c>
      <c r="W245" s="271" t="str">
        <f>IF(W$3="","",IF(COUNTIFS(BD!$A$3:$A$5001,W$3,BD!$B$3:$B$5001,$A$233,BD!$O$3:$O$5001,"&lt;&gt;")=0,"",SUMIFS(BD!$O$3:$O$5001,BD!$A$3:$A$5001,W$3,BD!$B$3:$B$5001,$A$233)))</f>
        <v/>
      </c>
      <c r="X245" s="271" t="str">
        <f>IF(X$3="","",IF(COUNTIFS(BD!$A$3:$A$5001,X$3,BD!$B$3:$B$5001,$A$233,BD!$O$3:$O$5001,"&lt;&gt;")=0,"",SUMIFS(BD!$O$3:$O$5001,BD!$A$3:$A$5001,X$3,BD!$B$3:$B$5001,$A$233)))</f>
        <v/>
      </c>
      <c r="Y245" s="271" t="str">
        <f>IF(Y$3="","",IF(COUNTIFS(BD!$A$3:$A$5001,Y$3,BD!$B$3:$B$5001,$A$233,BD!$O$3:$O$5001,"&lt;&gt;")=0,"",SUMIFS(BD!$O$3:$O$5001,BD!$A$3:$A$5001,Y$3,BD!$B$3:$B$5001,$A$233)))</f>
        <v/>
      </c>
      <c r="Z245" s="271" t="str">
        <f>IF(Z$3="","",IF(COUNTIFS(BD!$A$3:$A$5001,Z$3,BD!$B$3:$B$5001,$A$233,BD!$O$3:$O$5001,"&lt;&gt;")=0,"",SUMIFS(BD!$O$3:$O$5001,BD!$A$3:$A$5001,Z$3,BD!$B$3:$B$5001,$A$233)))</f>
        <v/>
      </c>
      <c r="AA245" s="271" t="str">
        <f>IF(AA$3="","",IF(COUNTIFS(BD!$A$3:$A$5001,AA$3,BD!$B$3:$B$5001,$A$233,BD!$O$3:$O$5001,"&lt;&gt;")=0,"",SUMIFS(BD!$O$3:$O$5001,BD!$A$3:$A$5001,AA$3,BD!$B$3:$B$5001,$A$233)))</f>
        <v/>
      </c>
      <c r="AB245" s="271" t="str">
        <f>IF(AB$3="","",IF(COUNTIFS(BD!$A$3:$A$5001,AB$3,BD!$B$3:$B$5001,$A$233,BD!$O$3:$O$5001,"&lt;&gt;")=0,"",SUMIFS(BD!$O$3:$O$5001,BD!$A$3:$A$5001,AB$3,BD!$B$3:$B$5001,$A$233)))</f>
        <v/>
      </c>
      <c r="AC245" s="271" t="str">
        <f>IF(AC$3="","",IF(COUNTIFS(BD!$A$3:$A$5001,AC$3,BD!$B$3:$B$5001,$A$233,BD!$O$3:$O$5001,"&lt;&gt;")=0,"",SUMIFS(BD!$O$3:$O$5001,BD!$A$3:$A$5001,AC$3,BD!$B$3:$B$5001,$A$233)))</f>
        <v/>
      </c>
      <c r="AD245" s="271" t="str">
        <f>IF(AD$3="","",IF(COUNTIFS(BD!$A$3:$A$5001,AD$3,BD!$B$3:$B$5001,$A$233,BD!$O$3:$O$5001,"&lt;&gt;")=0,"",SUMIFS(BD!$O$3:$O$5001,BD!$A$3:$A$5001,AD$3,BD!$B$3:$B$5001,$A$233)))</f>
        <v/>
      </c>
      <c r="AE245" s="271" t="str">
        <f>IF(AE$3="","",IF(COUNTIFS(BD!$A$3:$A$5001,AE$3,BD!$B$3:$B$5001,$A$233,BD!$O$3:$O$5001,"&lt;&gt;")=0,"",SUMIFS(BD!$O$3:$O$5001,BD!$A$3:$A$5001,AE$3,BD!$B$3:$B$5001,$A$233)))</f>
        <v/>
      </c>
      <c r="AF245" s="271" t="str">
        <f>IF(AF$3="","",IF(COUNTIFS(BD!$A$3:$A$5001,AF$3,BD!$B$3:$B$5001,$A$233,BD!$O$3:$O$5001,"&lt;&gt;")=0,"",SUMIFS(BD!$O$3:$O$5001,BD!$A$3:$A$5001,AF$3,BD!$B$3:$B$5001,$A$233)))</f>
        <v/>
      </c>
      <c r="AG245" s="271" t="str">
        <f>IF(AG$3="","",IF(COUNTIFS(BD!$A$3:$A$5001,AG$3,BD!$B$3:$B$5001,$A$233,BD!$O$3:$O$5001,"&lt;&gt;")=0,"",SUMIFS(BD!$O$3:$O$5001,BD!$A$3:$A$5001,AG$3,BD!$B$3:$B$5001,$A$233)))</f>
        <v/>
      </c>
      <c r="AH245" s="271" t="str">
        <f>IF(AH$3="","",IF(COUNTIFS(BD!$A$3:$A$5001,AH$3,BD!$B$3:$B$5001,$A$233,BD!$O$3:$O$5001,"&lt;&gt;")=0,"",SUMIFS(BD!$O$3:$O$5001,BD!$A$3:$A$5001,AH$3,BD!$B$3:$B$5001,$A$233)))</f>
        <v/>
      </c>
      <c r="AI245" s="271" t="str">
        <f>IF(AI$3="","",IF(COUNTIFS(BD!$A$3:$A$5001,AI$3,BD!$B$3:$B$5001,$A$233,BD!$O$3:$O$5001,"&lt;&gt;")=0,"",SUMIFS(BD!$O$3:$O$5001,BD!$A$3:$A$5001,AI$3,BD!$B$3:$B$5001,$A$233)))</f>
        <v/>
      </c>
      <c r="AJ245" s="272" t="str">
        <f>IF(AJ$3="","",IF(COUNTIFS(BD!$A$3:$A$5001,AJ$3,BD!$B$3:$B$5001,$A$233,BD!$O$3:$O$5001,"&lt;&gt;")=0,"",SUMIFS(BD!$O$3:$O$5001,BD!$A$3:$A$5001,AJ$3,BD!$B$3:$B$5001,$A$233)))</f>
        <v/>
      </c>
      <c r="AK245" s="273" t="str">
        <f>IF(COUNT(F245:AJ245)=0,"",SUM(F245:AJ245))</f>
        <v/>
      </c>
    </row>
    <row r="246" ht="15.75" customHeight="1" hidden="1">
      <c r="A246" s="261"/>
      <c r="B246" s="278"/>
      <c r="C246" s="267" t="inlineStr">
        <is>
          <t xml:space="preserve">Linhas NF</t>
        </is>
      </c>
      <c r="D246" s="268" t="str">
        <f>IFERROR(1/(1/INDEX(BD!$AL$36:$BF$36,MATCH($A$233,BD!$AL$22:$BF$22,0))),"")</f>
        <v/>
      </c>
      <c r="E246" s="269"/>
      <c r="F246" s="270" t="str">
        <f>IF(F$3="","",IF(COUNTIFS(BD!$A$3:$A$5001,F$3,BD!$B$3:$B$5001,$A$233,BD!$P$3:$P$5001,"&lt;&gt;")=0,"",SUMIFS(BD!$P$3:$P$5001,BD!$A$3:$A$5001,F$3,BD!$B$3:$B$5001,$A$233)))</f>
        <v/>
      </c>
      <c r="G246" s="271" t="str">
        <f>IF(G$3="","",IF(COUNTIFS(BD!$A$3:$A$5001,G$3,BD!$B$3:$B$5001,$A$233,BD!$P$3:$P$5001,"&lt;&gt;")=0,"",SUMIFS(BD!$P$3:$P$5001,BD!$A$3:$A$5001,G$3,BD!$B$3:$B$5001,$A$233)))</f>
        <v/>
      </c>
      <c r="H246" s="271" t="str">
        <f>IF(H$3="","",IF(COUNTIFS(BD!$A$3:$A$5001,H$3,BD!$B$3:$B$5001,$A$233,BD!$P$3:$P$5001,"&lt;&gt;")=0,"",SUMIFS(BD!$P$3:$P$5001,BD!$A$3:$A$5001,H$3,BD!$B$3:$B$5001,$A$233)))</f>
        <v/>
      </c>
      <c r="I246" s="271" t="str">
        <f>IF(I$3="","",IF(COUNTIFS(BD!$A$3:$A$5001,I$3,BD!$B$3:$B$5001,$A$233,BD!$P$3:$P$5001,"&lt;&gt;")=0,"",SUMIFS(BD!$P$3:$P$5001,BD!$A$3:$A$5001,I$3,BD!$B$3:$B$5001,$A$233)))</f>
        <v/>
      </c>
      <c r="J246" s="271" t="str">
        <f>IF(J$3="","",IF(COUNTIFS(BD!$A$3:$A$5001,J$3,BD!$B$3:$B$5001,$A$233,BD!$P$3:$P$5001,"&lt;&gt;")=0,"",SUMIFS(BD!$P$3:$P$5001,BD!$A$3:$A$5001,J$3,BD!$B$3:$B$5001,$A$233)))</f>
        <v/>
      </c>
      <c r="K246" s="271" t="str">
        <f>IF(K$3="","",IF(COUNTIFS(BD!$A$3:$A$5001,K$3,BD!$B$3:$B$5001,$A$233,BD!$P$3:$P$5001,"&lt;&gt;")=0,"",SUMIFS(BD!$P$3:$P$5001,BD!$A$3:$A$5001,K$3,BD!$B$3:$B$5001,$A$233)))</f>
        <v/>
      </c>
      <c r="L246" s="271" t="str">
        <f>IF(L$3="","",IF(COUNTIFS(BD!$A$3:$A$5001,L$3,BD!$B$3:$B$5001,$A$233,BD!$P$3:$P$5001,"&lt;&gt;")=0,"",SUMIFS(BD!$P$3:$P$5001,BD!$A$3:$A$5001,L$3,BD!$B$3:$B$5001,$A$233)))</f>
        <v/>
      </c>
      <c r="M246" s="271" t="str">
        <f>IF(M$3="","",IF(COUNTIFS(BD!$A$3:$A$5001,M$3,BD!$B$3:$B$5001,$A$233,BD!$P$3:$P$5001,"&lt;&gt;")=0,"",SUMIFS(BD!$P$3:$P$5001,BD!$A$3:$A$5001,M$3,BD!$B$3:$B$5001,$A$233)))</f>
        <v/>
      </c>
      <c r="N246" s="271" t="str">
        <f>IF(N$3="","",IF(COUNTIFS(BD!$A$3:$A$5001,N$3,BD!$B$3:$B$5001,$A$233,BD!$P$3:$P$5001,"&lt;&gt;")=0,"",SUMIFS(BD!$P$3:$P$5001,BD!$A$3:$A$5001,N$3,BD!$B$3:$B$5001,$A$233)))</f>
        <v/>
      </c>
      <c r="O246" s="271" t="str">
        <f>IF(O$3="","",IF(COUNTIFS(BD!$A$3:$A$5001,O$3,BD!$B$3:$B$5001,$A$233,BD!$P$3:$P$5001,"&lt;&gt;")=0,"",SUMIFS(BD!$P$3:$P$5001,BD!$A$3:$A$5001,O$3,BD!$B$3:$B$5001,$A$233)))</f>
        <v/>
      </c>
      <c r="P246" s="271" t="str">
        <f>IF(P$3="","",IF(COUNTIFS(BD!$A$3:$A$5001,P$3,BD!$B$3:$B$5001,$A$233,BD!$P$3:$P$5001,"&lt;&gt;")=0,"",SUMIFS(BD!$P$3:$P$5001,BD!$A$3:$A$5001,P$3,BD!$B$3:$B$5001,$A$233)))</f>
        <v/>
      </c>
      <c r="Q246" s="271" t="str">
        <f>IF(Q$3="","",IF(COUNTIFS(BD!$A$3:$A$5001,Q$3,BD!$B$3:$B$5001,$A$233,BD!$P$3:$P$5001,"&lt;&gt;")=0,"",SUMIFS(BD!$P$3:$P$5001,BD!$A$3:$A$5001,Q$3,BD!$B$3:$B$5001,$A$233)))</f>
        <v/>
      </c>
      <c r="R246" s="271" t="str">
        <f>IF(R$3="","",IF(COUNTIFS(BD!$A$3:$A$5001,R$3,BD!$B$3:$B$5001,$A$233,BD!$P$3:$P$5001,"&lt;&gt;")=0,"",SUMIFS(BD!$P$3:$P$5001,BD!$A$3:$A$5001,R$3,BD!$B$3:$B$5001,$A$233)))</f>
        <v/>
      </c>
      <c r="S246" s="271" t="str">
        <f>IF(S$3="","",IF(COUNTIFS(BD!$A$3:$A$5001,S$3,BD!$B$3:$B$5001,$A$233,BD!$P$3:$P$5001,"&lt;&gt;")=0,"",SUMIFS(BD!$P$3:$P$5001,BD!$A$3:$A$5001,S$3,BD!$B$3:$B$5001,$A$233)))</f>
        <v/>
      </c>
      <c r="T246" s="271" t="str">
        <f>IF(T$3="","",IF(COUNTIFS(BD!$A$3:$A$5001,T$3,BD!$B$3:$B$5001,$A$233,BD!$P$3:$P$5001,"&lt;&gt;")=0,"",SUMIFS(BD!$P$3:$P$5001,BD!$A$3:$A$5001,T$3,BD!$B$3:$B$5001,$A$233)))</f>
        <v/>
      </c>
      <c r="U246" s="271" t="str">
        <f>IF(U$3="","",IF(COUNTIFS(BD!$A$3:$A$5001,U$3,BD!$B$3:$B$5001,$A$233,BD!$P$3:$P$5001,"&lt;&gt;")=0,"",SUMIFS(BD!$P$3:$P$5001,BD!$A$3:$A$5001,U$3,BD!$B$3:$B$5001,$A$233)))</f>
        <v/>
      </c>
      <c r="V246" s="271" t="str">
        <f>IF(V$3="","",IF(COUNTIFS(BD!$A$3:$A$5001,V$3,BD!$B$3:$B$5001,$A$233,BD!$P$3:$P$5001,"&lt;&gt;")=0,"",SUMIFS(BD!$P$3:$P$5001,BD!$A$3:$A$5001,V$3,BD!$B$3:$B$5001,$A$233)))</f>
        <v/>
      </c>
      <c r="W246" s="271" t="str">
        <f>IF(W$3="","",IF(COUNTIFS(BD!$A$3:$A$5001,W$3,BD!$B$3:$B$5001,$A$233,BD!$P$3:$P$5001,"&lt;&gt;")=0,"",SUMIFS(BD!$P$3:$P$5001,BD!$A$3:$A$5001,W$3,BD!$B$3:$B$5001,$A$233)))</f>
        <v/>
      </c>
      <c r="X246" s="271" t="str">
        <f>IF(X$3="","",IF(COUNTIFS(BD!$A$3:$A$5001,X$3,BD!$B$3:$B$5001,$A$233,BD!$P$3:$P$5001,"&lt;&gt;")=0,"",SUMIFS(BD!$P$3:$P$5001,BD!$A$3:$A$5001,X$3,BD!$B$3:$B$5001,$A$233)))</f>
        <v/>
      </c>
      <c r="Y246" s="271" t="str">
        <f>IF(Y$3="","",IF(COUNTIFS(BD!$A$3:$A$5001,Y$3,BD!$B$3:$B$5001,$A$233,BD!$P$3:$P$5001,"&lt;&gt;")=0,"",SUMIFS(BD!$P$3:$P$5001,BD!$A$3:$A$5001,Y$3,BD!$B$3:$B$5001,$A$233)))</f>
        <v/>
      </c>
      <c r="Z246" s="271" t="str">
        <f>IF(Z$3="","",IF(COUNTIFS(BD!$A$3:$A$5001,Z$3,BD!$B$3:$B$5001,$A$233,BD!$P$3:$P$5001,"&lt;&gt;")=0,"",SUMIFS(BD!$P$3:$P$5001,BD!$A$3:$A$5001,Z$3,BD!$B$3:$B$5001,$A$233)))</f>
        <v/>
      </c>
      <c r="AA246" s="271" t="str">
        <f>IF(AA$3="","",IF(COUNTIFS(BD!$A$3:$A$5001,AA$3,BD!$B$3:$B$5001,$A$233,BD!$P$3:$P$5001,"&lt;&gt;")=0,"",SUMIFS(BD!$P$3:$P$5001,BD!$A$3:$A$5001,AA$3,BD!$B$3:$B$5001,$A$233)))</f>
        <v/>
      </c>
      <c r="AB246" s="271" t="str">
        <f>IF(AB$3="","",IF(COUNTIFS(BD!$A$3:$A$5001,AB$3,BD!$B$3:$B$5001,$A$233,BD!$P$3:$P$5001,"&lt;&gt;")=0,"",SUMIFS(BD!$P$3:$P$5001,BD!$A$3:$A$5001,AB$3,BD!$B$3:$B$5001,$A$233)))</f>
        <v/>
      </c>
      <c r="AC246" s="271" t="str">
        <f>IF(AC$3="","",IF(COUNTIFS(BD!$A$3:$A$5001,AC$3,BD!$B$3:$B$5001,$A$233,BD!$P$3:$P$5001,"&lt;&gt;")=0,"",SUMIFS(BD!$P$3:$P$5001,BD!$A$3:$A$5001,AC$3,BD!$B$3:$B$5001,$A$233)))</f>
        <v/>
      </c>
      <c r="AD246" s="271" t="str">
        <f>IF(AD$3="","",IF(COUNTIFS(BD!$A$3:$A$5001,AD$3,BD!$B$3:$B$5001,$A$233,BD!$P$3:$P$5001,"&lt;&gt;")=0,"",SUMIFS(BD!$P$3:$P$5001,BD!$A$3:$A$5001,AD$3,BD!$B$3:$B$5001,$A$233)))</f>
        <v/>
      </c>
      <c r="AE246" s="271" t="str">
        <f>IF(AE$3="","",IF(COUNTIFS(BD!$A$3:$A$5001,AE$3,BD!$B$3:$B$5001,$A$233,BD!$P$3:$P$5001,"&lt;&gt;")=0,"",SUMIFS(BD!$P$3:$P$5001,BD!$A$3:$A$5001,AE$3,BD!$B$3:$B$5001,$A$233)))</f>
        <v/>
      </c>
      <c r="AF246" s="271" t="str">
        <f>IF(AF$3="","",IF(COUNTIFS(BD!$A$3:$A$5001,AF$3,BD!$B$3:$B$5001,$A$233,BD!$P$3:$P$5001,"&lt;&gt;")=0,"",SUMIFS(BD!$P$3:$P$5001,BD!$A$3:$A$5001,AF$3,BD!$B$3:$B$5001,$A$233)))</f>
        <v/>
      </c>
      <c r="AG246" s="271" t="str">
        <f>IF(AG$3="","",IF(COUNTIFS(BD!$A$3:$A$5001,AG$3,BD!$B$3:$B$5001,$A$233,BD!$P$3:$P$5001,"&lt;&gt;")=0,"",SUMIFS(BD!$P$3:$P$5001,BD!$A$3:$A$5001,AG$3,BD!$B$3:$B$5001,$A$233)))</f>
        <v/>
      </c>
      <c r="AH246" s="271" t="str">
        <f>IF(AH$3="","",IF(COUNTIFS(BD!$A$3:$A$5001,AH$3,BD!$B$3:$B$5001,$A$233,BD!$P$3:$P$5001,"&lt;&gt;")=0,"",SUMIFS(BD!$P$3:$P$5001,BD!$A$3:$A$5001,AH$3,BD!$B$3:$B$5001,$A$233)))</f>
        <v/>
      </c>
      <c r="AI246" s="271" t="str">
        <f>IF(AI$3="","",IF(COUNTIFS(BD!$A$3:$A$5001,AI$3,BD!$B$3:$B$5001,$A$233,BD!$P$3:$P$5001,"&lt;&gt;")=0,"",SUMIFS(BD!$P$3:$P$5001,BD!$A$3:$A$5001,AI$3,BD!$B$3:$B$5001,$A$233)))</f>
        <v/>
      </c>
      <c r="AJ246" s="272" t="str">
        <f>IF(AJ$3="","",IF(COUNTIFS(BD!$A$3:$A$5001,AJ$3,BD!$B$3:$B$5001,$A$233,BD!$P$3:$P$5001,"&lt;&gt;")=0,"",SUMIFS(BD!$P$3:$P$5001,BD!$A$3:$A$5001,AJ$3,BD!$B$3:$B$5001,$A$233)))</f>
        <v/>
      </c>
      <c r="AK246" s="273" t="str">
        <f>IF(COUNT(F246:AJ246)=0,"",SUM(F246:AJ246))</f>
        <v/>
      </c>
    </row>
    <row r="247" ht="15.75" customHeight="1" hidden="1">
      <c r="A247" s="261"/>
      <c r="B247" s="278"/>
      <c r="C247" s="267" t="inlineStr">
        <is>
          <t xml:space="preserve">Caixas Expedidas</t>
        </is>
      </c>
      <c r="D247" s="268" t="str">
        <f>IFERROR(1/(1/INDEX(BD!$AL$37:$BF$37,MATCH($A$233,BD!$AL$22:$BF$22,0))),"")</f>
        <v/>
      </c>
      <c r="E247" s="269"/>
      <c r="F247" s="270" t="str">
        <f>IF(F$3="","",IF(COUNTIFS(BD!$A$3:$A$5001,F$3,BD!$B$3:$B$5001,$A$233,BD!$Q$3:$Q$5001,"&lt;&gt;")=0,"",SUMIFS(BD!$Q$3:$Q$5001,BD!$A$3:$A$5001,F$3,BD!$B$3:$B$5001,$A$233)))</f>
        <v/>
      </c>
      <c r="G247" s="271" t="str">
        <f>IF(G$3="","",IF(COUNTIFS(BD!$A$3:$A$5001,G$3,BD!$B$3:$B$5001,$A$233,BD!$Q$3:$Q$5001,"&lt;&gt;")=0,"",SUMIFS(BD!$Q$3:$Q$5001,BD!$A$3:$A$5001,G$3,BD!$B$3:$B$5001,$A$233)))</f>
        <v/>
      </c>
      <c r="H247" s="271" t="str">
        <f>IF(H$3="","",IF(COUNTIFS(BD!$A$3:$A$5001,H$3,BD!$B$3:$B$5001,$A$233,BD!$Q$3:$Q$5001,"&lt;&gt;")=0,"",SUMIFS(BD!$Q$3:$Q$5001,BD!$A$3:$A$5001,H$3,BD!$B$3:$B$5001,$A$233)))</f>
        <v/>
      </c>
      <c r="I247" s="271" t="str">
        <f>IF(I$3="","",IF(COUNTIFS(BD!$A$3:$A$5001,I$3,BD!$B$3:$B$5001,$A$233,BD!$Q$3:$Q$5001,"&lt;&gt;")=0,"",SUMIFS(BD!$Q$3:$Q$5001,BD!$A$3:$A$5001,I$3,BD!$B$3:$B$5001,$A$233)))</f>
        <v/>
      </c>
      <c r="J247" s="271" t="str">
        <f>IF(J$3="","",IF(COUNTIFS(BD!$A$3:$A$5001,J$3,BD!$B$3:$B$5001,$A$233,BD!$Q$3:$Q$5001,"&lt;&gt;")=0,"",SUMIFS(BD!$Q$3:$Q$5001,BD!$A$3:$A$5001,J$3,BD!$B$3:$B$5001,$A$233)))</f>
        <v/>
      </c>
      <c r="K247" s="271" t="str">
        <f>IF(K$3="","",IF(COUNTIFS(BD!$A$3:$A$5001,K$3,BD!$B$3:$B$5001,$A$233,BD!$Q$3:$Q$5001,"&lt;&gt;")=0,"",SUMIFS(BD!$Q$3:$Q$5001,BD!$A$3:$A$5001,K$3,BD!$B$3:$B$5001,$A$233)))</f>
        <v/>
      </c>
      <c r="L247" s="271" t="str">
        <f>IF(L$3="","",IF(COUNTIFS(BD!$A$3:$A$5001,L$3,BD!$B$3:$B$5001,$A$233,BD!$Q$3:$Q$5001,"&lt;&gt;")=0,"",SUMIFS(BD!$Q$3:$Q$5001,BD!$A$3:$A$5001,L$3,BD!$B$3:$B$5001,$A$233)))</f>
        <v/>
      </c>
      <c r="M247" s="271" t="str">
        <f>IF(M$3="","",IF(COUNTIFS(BD!$A$3:$A$5001,M$3,BD!$B$3:$B$5001,$A$233,BD!$Q$3:$Q$5001,"&lt;&gt;")=0,"",SUMIFS(BD!$Q$3:$Q$5001,BD!$A$3:$A$5001,M$3,BD!$B$3:$B$5001,$A$233)))</f>
        <v/>
      </c>
      <c r="N247" s="271" t="str">
        <f>IF(N$3="","",IF(COUNTIFS(BD!$A$3:$A$5001,N$3,BD!$B$3:$B$5001,$A$233,BD!$Q$3:$Q$5001,"&lt;&gt;")=0,"",SUMIFS(BD!$Q$3:$Q$5001,BD!$A$3:$A$5001,N$3,BD!$B$3:$B$5001,$A$233)))</f>
        <v/>
      </c>
      <c r="O247" s="271" t="str">
        <f>IF(O$3="","",IF(COUNTIFS(BD!$A$3:$A$5001,O$3,BD!$B$3:$B$5001,$A$233,BD!$Q$3:$Q$5001,"&lt;&gt;")=0,"",SUMIFS(BD!$Q$3:$Q$5001,BD!$A$3:$A$5001,O$3,BD!$B$3:$B$5001,$A$233)))</f>
        <v/>
      </c>
      <c r="P247" s="271" t="str">
        <f>IF(P$3="","",IF(COUNTIFS(BD!$A$3:$A$5001,P$3,BD!$B$3:$B$5001,$A$233,BD!$Q$3:$Q$5001,"&lt;&gt;")=0,"",SUMIFS(BD!$Q$3:$Q$5001,BD!$A$3:$A$5001,P$3,BD!$B$3:$B$5001,$A$233)))</f>
        <v/>
      </c>
      <c r="Q247" s="271" t="str">
        <f>IF(Q$3="","",IF(COUNTIFS(BD!$A$3:$A$5001,Q$3,BD!$B$3:$B$5001,$A$233,BD!$Q$3:$Q$5001,"&lt;&gt;")=0,"",SUMIFS(BD!$Q$3:$Q$5001,BD!$A$3:$A$5001,Q$3,BD!$B$3:$B$5001,$A$233)))</f>
        <v/>
      </c>
      <c r="R247" s="271" t="str">
        <f>IF(R$3="","",IF(COUNTIFS(BD!$A$3:$A$5001,R$3,BD!$B$3:$B$5001,$A$233,BD!$Q$3:$Q$5001,"&lt;&gt;")=0,"",SUMIFS(BD!$Q$3:$Q$5001,BD!$A$3:$A$5001,R$3,BD!$B$3:$B$5001,$A$233)))</f>
        <v/>
      </c>
      <c r="S247" s="271" t="str">
        <f>IF(S$3="","",IF(COUNTIFS(BD!$A$3:$A$5001,S$3,BD!$B$3:$B$5001,$A$233,BD!$Q$3:$Q$5001,"&lt;&gt;")=0,"",SUMIFS(BD!$Q$3:$Q$5001,BD!$A$3:$A$5001,S$3,BD!$B$3:$B$5001,$A$233)))</f>
        <v/>
      </c>
      <c r="T247" s="271" t="str">
        <f>IF(T$3="","",IF(COUNTIFS(BD!$A$3:$A$5001,T$3,BD!$B$3:$B$5001,$A$233,BD!$Q$3:$Q$5001,"&lt;&gt;")=0,"",SUMIFS(BD!$Q$3:$Q$5001,BD!$A$3:$A$5001,T$3,BD!$B$3:$B$5001,$A$233)))</f>
        <v/>
      </c>
      <c r="U247" s="271" t="str">
        <f>IF(U$3="","",IF(COUNTIFS(BD!$A$3:$A$5001,U$3,BD!$B$3:$B$5001,$A$233,BD!$Q$3:$Q$5001,"&lt;&gt;")=0,"",SUMIFS(BD!$Q$3:$Q$5001,BD!$A$3:$A$5001,U$3,BD!$B$3:$B$5001,$A$233)))</f>
        <v/>
      </c>
      <c r="V247" s="271" t="str">
        <f>IF(V$3="","",IF(COUNTIFS(BD!$A$3:$A$5001,V$3,BD!$B$3:$B$5001,$A$233,BD!$Q$3:$Q$5001,"&lt;&gt;")=0,"",SUMIFS(BD!$Q$3:$Q$5001,BD!$A$3:$A$5001,V$3,BD!$B$3:$B$5001,$A$233)))</f>
        <v/>
      </c>
      <c r="W247" s="271" t="str">
        <f>IF(W$3="","",IF(COUNTIFS(BD!$A$3:$A$5001,W$3,BD!$B$3:$B$5001,$A$233,BD!$Q$3:$Q$5001,"&lt;&gt;")=0,"",SUMIFS(BD!$Q$3:$Q$5001,BD!$A$3:$A$5001,W$3,BD!$B$3:$B$5001,$A$233)))</f>
        <v/>
      </c>
      <c r="X247" s="271" t="str">
        <f>IF(X$3="","",IF(COUNTIFS(BD!$A$3:$A$5001,X$3,BD!$B$3:$B$5001,$A$233,BD!$Q$3:$Q$5001,"&lt;&gt;")=0,"",SUMIFS(BD!$Q$3:$Q$5001,BD!$A$3:$A$5001,X$3,BD!$B$3:$B$5001,$A$233)))</f>
        <v/>
      </c>
      <c r="Y247" s="271" t="str">
        <f>IF(Y$3="","",IF(COUNTIFS(BD!$A$3:$A$5001,Y$3,BD!$B$3:$B$5001,$A$233,BD!$Q$3:$Q$5001,"&lt;&gt;")=0,"",SUMIFS(BD!$Q$3:$Q$5001,BD!$A$3:$A$5001,Y$3,BD!$B$3:$B$5001,$A$233)))</f>
        <v/>
      </c>
      <c r="Z247" s="271" t="str">
        <f>IF(Z$3="","",IF(COUNTIFS(BD!$A$3:$A$5001,Z$3,BD!$B$3:$B$5001,$A$233,BD!$Q$3:$Q$5001,"&lt;&gt;")=0,"",SUMIFS(BD!$Q$3:$Q$5001,BD!$A$3:$A$5001,Z$3,BD!$B$3:$B$5001,$A$233)))</f>
        <v/>
      </c>
      <c r="AA247" s="271" t="str">
        <f>IF(AA$3="","",IF(COUNTIFS(BD!$A$3:$A$5001,AA$3,BD!$B$3:$B$5001,$A$233,BD!$Q$3:$Q$5001,"&lt;&gt;")=0,"",SUMIFS(BD!$Q$3:$Q$5001,BD!$A$3:$A$5001,AA$3,BD!$B$3:$B$5001,$A$233)))</f>
        <v/>
      </c>
      <c r="AB247" s="271" t="str">
        <f>IF(AB$3="","",IF(COUNTIFS(BD!$A$3:$A$5001,AB$3,BD!$B$3:$B$5001,$A$233,BD!$Q$3:$Q$5001,"&lt;&gt;")=0,"",SUMIFS(BD!$Q$3:$Q$5001,BD!$A$3:$A$5001,AB$3,BD!$B$3:$B$5001,$A$233)))</f>
        <v/>
      </c>
      <c r="AC247" s="271" t="str">
        <f>IF(AC$3="","",IF(COUNTIFS(BD!$A$3:$A$5001,AC$3,BD!$B$3:$B$5001,$A$233,BD!$Q$3:$Q$5001,"&lt;&gt;")=0,"",SUMIFS(BD!$Q$3:$Q$5001,BD!$A$3:$A$5001,AC$3,BD!$B$3:$B$5001,$A$233)))</f>
        <v/>
      </c>
      <c r="AD247" s="271" t="str">
        <f>IF(AD$3="","",IF(COUNTIFS(BD!$A$3:$A$5001,AD$3,BD!$B$3:$B$5001,$A$233,BD!$Q$3:$Q$5001,"&lt;&gt;")=0,"",SUMIFS(BD!$Q$3:$Q$5001,BD!$A$3:$A$5001,AD$3,BD!$B$3:$B$5001,$A$233)))</f>
        <v/>
      </c>
      <c r="AE247" s="271" t="str">
        <f>IF(AE$3="","",IF(COUNTIFS(BD!$A$3:$A$5001,AE$3,BD!$B$3:$B$5001,$A$233,BD!$Q$3:$Q$5001,"&lt;&gt;")=0,"",SUMIFS(BD!$Q$3:$Q$5001,BD!$A$3:$A$5001,AE$3,BD!$B$3:$B$5001,$A$233)))</f>
        <v/>
      </c>
      <c r="AF247" s="271" t="str">
        <f>IF(AF$3="","",IF(COUNTIFS(BD!$A$3:$A$5001,AF$3,BD!$B$3:$B$5001,$A$233,BD!$Q$3:$Q$5001,"&lt;&gt;")=0,"",SUMIFS(BD!$Q$3:$Q$5001,BD!$A$3:$A$5001,AF$3,BD!$B$3:$B$5001,$A$233)))</f>
        <v/>
      </c>
      <c r="AG247" s="271" t="str">
        <f>IF(AG$3="","",IF(COUNTIFS(BD!$A$3:$A$5001,AG$3,BD!$B$3:$B$5001,$A$233,BD!$Q$3:$Q$5001,"&lt;&gt;")=0,"",SUMIFS(BD!$Q$3:$Q$5001,BD!$A$3:$A$5001,AG$3,BD!$B$3:$B$5001,$A$233)))</f>
        <v/>
      </c>
      <c r="AH247" s="271" t="str">
        <f>IF(AH$3="","",IF(COUNTIFS(BD!$A$3:$A$5001,AH$3,BD!$B$3:$B$5001,$A$233,BD!$Q$3:$Q$5001,"&lt;&gt;")=0,"",SUMIFS(BD!$Q$3:$Q$5001,BD!$A$3:$A$5001,AH$3,BD!$B$3:$B$5001,$A$233)))</f>
        <v/>
      </c>
      <c r="AI247" s="271" t="str">
        <f>IF(AI$3="","",IF(COUNTIFS(BD!$A$3:$A$5001,AI$3,BD!$B$3:$B$5001,$A$233,BD!$Q$3:$Q$5001,"&lt;&gt;")=0,"",SUMIFS(BD!$Q$3:$Q$5001,BD!$A$3:$A$5001,AI$3,BD!$B$3:$B$5001,$A$233)))</f>
        <v/>
      </c>
      <c r="AJ247" s="272" t="str">
        <f>IF(AJ$3="","",IF(COUNTIFS(BD!$A$3:$A$5001,AJ$3,BD!$B$3:$B$5001,$A$233,BD!$Q$3:$Q$5001,"&lt;&gt;")=0,"",SUMIFS(BD!$Q$3:$Q$5001,BD!$A$3:$A$5001,AJ$3,BD!$B$3:$B$5001,$A$233)))</f>
        <v/>
      </c>
      <c r="AK247" s="273" t="str">
        <f>IF(COUNT(F247:AJ247)=0,"",SUM(F247:AJ247))</f>
        <v/>
      </c>
    </row>
    <row r="248" ht="15.75" customHeight="1" hidden="1">
      <c r="A248" s="261"/>
      <c r="B248" s="278"/>
      <c r="C248" s="267" t="inlineStr">
        <is>
          <t xml:space="preserve">Pallets Movimentados</t>
        </is>
      </c>
      <c r="D248" s="268" t="str">
        <f>IFERROR(1/(1/INDEX(BD!$AL$38:$BF$38,MATCH($A$233,BD!$AL$22:$BF$22,0))),"")</f>
        <v/>
      </c>
      <c r="E248" s="269"/>
      <c r="F248" s="270" t="str">
        <f>IF(F$3="","",IF(COUNTIFS(BD!$A$3:$A$5001,F$3,BD!$B$3:$B$5001,$A$233,BD!$R$3:$R$5001,"&lt;&gt;")=0,"",SUMIFS(BD!$R$3:$R$5001,BD!$A$3:$A$5001,F$3,BD!$B$3:$B$5001,$A$233)))</f>
        <v/>
      </c>
      <c r="G248" s="271" t="str">
        <f>IF(G$3="","",IF(COUNTIFS(BD!$A$3:$A$5001,G$3,BD!$B$3:$B$5001,$A$233,BD!$R$3:$R$5001,"&lt;&gt;")=0,"",SUMIFS(BD!$R$3:$R$5001,BD!$A$3:$A$5001,G$3,BD!$B$3:$B$5001,$A$233)))</f>
        <v/>
      </c>
      <c r="H248" s="271" t="str">
        <f>IF(H$3="","",IF(COUNTIFS(BD!$A$3:$A$5001,H$3,BD!$B$3:$B$5001,$A$233,BD!$R$3:$R$5001,"&lt;&gt;")=0,"",SUMIFS(BD!$R$3:$R$5001,BD!$A$3:$A$5001,H$3,BD!$B$3:$B$5001,$A$233)))</f>
        <v/>
      </c>
      <c r="I248" s="271" t="str">
        <f>IF(I$3="","",IF(COUNTIFS(BD!$A$3:$A$5001,I$3,BD!$B$3:$B$5001,$A$233,BD!$R$3:$R$5001,"&lt;&gt;")=0,"",SUMIFS(BD!$R$3:$R$5001,BD!$A$3:$A$5001,I$3,BD!$B$3:$B$5001,$A$233)))</f>
        <v/>
      </c>
      <c r="J248" s="271" t="str">
        <f>IF(J$3="","",IF(COUNTIFS(BD!$A$3:$A$5001,J$3,BD!$B$3:$B$5001,$A$233,BD!$R$3:$R$5001,"&lt;&gt;")=0,"",SUMIFS(BD!$R$3:$R$5001,BD!$A$3:$A$5001,J$3,BD!$B$3:$B$5001,$A$233)))</f>
        <v/>
      </c>
      <c r="K248" s="271" t="str">
        <f>IF(K$3="","",IF(COUNTIFS(BD!$A$3:$A$5001,K$3,BD!$B$3:$B$5001,$A$233,BD!$R$3:$R$5001,"&lt;&gt;")=0,"",SUMIFS(BD!$R$3:$R$5001,BD!$A$3:$A$5001,K$3,BD!$B$3:$B$5001,$A$233)))</f>
        <v/>
      </c>
      <c r="L248" s="271" t="str">
        <f>IF(L$3="","",IF(COUNTIFS(BD!$A$3:$A$5001,L$3,BD!$B$3:$B$5001,$A$233,BD!$R$3:$R$5001,"&lt;&gt;")=0,"",SUMIFS(BD!$R$3:$R$5001,BD!$A$3:$A$5001,L$3,BD!$B$3:$B$5001,$A$233)))</f>
        <v/>
      </c>
      <c r="M248" s="271" t="str">
        <f>IF(M$3="","",IF(COUNTIFS(BD!$A$3:$A$5001,M$3,BD!$B$3:$B$5001,$A$233,BD!$R$3:$R$5001,"&lt;&gt;")=0,"",SUMIFS(BD!$R$3:$R$5001,BD!$A$3:$A$5001,M$3,BD!$B$3:$B$5001,$A$233)))</f>
        <v/>
      </c>
      <c r="N248" s="271" t="str">
        <f>IF(N$3="","",IF(COUNTIFS(BD!$A$3:$A$5001,N$3,BD!$B$3:$B$5001,$A$233,BD!$R$3:$R$5001,"&lt;&gt;")=0,"",SUMIFS(BD!$R$3:$R$5001,BD!$A$3:$A$5001,N$3,BD!$B$3:$B$5001,$A$233)))</f>
        <v/>
      </c>
      <c r="O248" s="271" t="str">
        <f>IF(O$3="","",IF(COUNTIFS(BD!$A$3:$A$5001,O$3,BD!$B$3:$B$5001,$A$233,BD!$R$3:$R$5001,"&lt;&gt;")=0,"",SUMIFS(BD!$R$3:$R$5001,BD!$A$3:$A$5001,O$3,BD!$B$3:$B$5001,$A$233)))</f>
        <v/>
      </c>
      <c r="P248" s="271" t="str">
        <f>IF(P$3="","",IF(COUNTIFS(BD!$A$3:$A$5001,P$3,BD!$B$3:$B$5001,$A$233,BD!$R$3:$R$5001,"&lt;&gt;")=0,"",SUMIFS(BD!$R$3:$R$5001,BD!$A$3:$A$5001,P$3,BD!$B$3:$B$5001,$A$233)))</f>
        <v/>
      </c>
      <c r="Q248" s="271" t="str">
        <f>IF(Q$3="","",IF(COUNTIFS(BD!$A$3:$A$5001,Q$3,BD!$B$3:$B$5001,$A$233,BD!$R$3:$R$5001,"&lt;&gt;")=0,"",SUMIFS(BD!$R$3:$R$5001,BD!$A$3:$A$5001,Q$3,BD!$B$3:$B$5001,$A$233)))</f>
        <v/>
      </c>
      <c r="R248" s="271" t="str">
        <f>IF(R$3="","",IF(COUNTIFS(BD!$A$3:$A$5001,R$3,BD!$B$3:$B$5001,$A$233,BD!$R$3:$R$5001,"&lt;&gt;")=0,"",SUMIFS(BD!$R$3:$R$5001,BD!$A$3:$A$5001,R$3,BD!$B$3:$B$5001,$A$233)))</f>
        <v/>
      </c>
      <c r="S248" s="271" t="str">
        <f>IF(S$3="","",IF(COUNTIFS(BD!$A$3:$A$5001,S$3,BD!$B$3:$B$5001,$A$233,BD!$R$3:$R$5001,"&lt;&gt;")=0,"",SUMIFS(BD!$R$3:$R$5001,BD!$A$3:$A$5001,S$3,BD!$B$3:$B$5001,$A$233)))</f>
        <v/>
      </c>
      <c r="T248" s="271" t="str">
        <f>IF(T$3="","",IF(COUNTIFS(BD!$A$3:$A$5001,T$3,BD!$B$3:$B$5001,$A$233,BD!$R$3:$R$5001,"&lt;&gt;")=0,"",SUMIFS(BD!$R$3:$R$5001,BD!$A$3:$A$5001,T$3,BD!$B$3:$B$5001,$A$233)))</f>
        <v/>
      </c>
      <c r="U248" s="271" t="str">
        <f>IF(U$3="","",IF(COUNTIFS(BD!$A$3:$A$5001,U$3,BD!$B$3:$B$5001,$A$233,BD!$R$3:$R$5001,"&lt;&gt;")=0,"",SUMIFS(BD!$R$3:$R$5001,BD!$A$3:$A$5001,U$3,BD!$B$3:$B$5001,$A$233)))</f>
        <v/>
      </c>
      <c r="V248" s="271" t="str">
        <f>IF(V$3="","",IF(COUNTIFS(BD!$A$3:$A$5001,V$3,BD!$B$3:$B$5001,$A$233,BD!$R$3:$R$5001,"&lt;&gt;")=0,"",SUMIFS(BD!$R$3:$R$5001,BD!$A$3:$A$5001,V$3,BD!$B$3:$B$5001,$A$233)))</f>
        <v/>
      </c>
      <c r="W248" s="271" t="str">
        <f>IF(W$3="","",IF(COUNTIFS(BD!$A$3:$A$5001,W$3,BD!$B$3:$B$5001,$A$233,BD!$R$3:$R$5001,"&lt;&gt;")=0,"",SUMIFS(BD!$R$3:$R$5001,BD!$A$3:$A$5001,W$3,BD!$B$3:$B$5001,$A$233)))</f>
        <v/>
      </c>
      <c r="X248" s="271" t="str">
        <f>IF(X$3="","",IF(COUNTIFS(BD!$A$3:$A$5001,X$3,BD!$B$3:$B$5001,$A$233,BD!$R$3:$R$5001,"&lt;&gt;")=0,"",SUMIFS(BD!$R$3:$R$5001,BD!$A$3:$A$5001,X$3,BD!$B$3:$B$5001,$A$233)))</f>
        <v/>
      </c>
      <c r="Y248" s="271" t="str">
        <f>IF(Y$3="","",IF(COUNTIFS(BD!$A$3:$A$5001,Y$3,BD!$B$3:$B$5001,$A$233,BD!$R$3:$R$5001,"&lt;&gt;")=0,"",SUMIFS(BD!$R$3:$R$5001,BD!$A$3:$A$5001,Y$3,BD!$B$3:$B$5001,$A$233)))</f>
        <v/>
      </c>
      <c r="Z248" s="271" t="str">
        <f>IF(Z$3="","",IF(COUNTIFS(BD!$A$3:$A$5001,Z$3,BD!$B$3:$B$5001,$A$233,BD!$R$3:$R$5001,"&lt;&gt;")=0,"",SUMIFS(BD!$R$3:$R$5001,BD!$A$3:$A$5001,Z$3,BD!$B$3:$B$5001,$A$233)))</f>
        <v/>
      </c>
      <c r="AA248" s="271" t="str">
        <f>IF(AA$3="","",IF(COUNTIFS(BD!$A$3:$A$5001,AA$3,BD!$B$3:$B$5001,$A$233,BD!$R$3:$R$5001,"&lt;&gt;")=0,"",SUMIFS(BD!$R$3:$R$5001,BD!$A$3:$A$5001,AA$3,BD!$B$3:$B$5001,$A$233)))</f>
        <v/>
      </c>
      <c r="AB248" s="271" t="str">
        <f>IF(AB$3="","",IF(COUNTIFS(BD!$A$3:$A$5001,AB$3,BD!$B$3:$B$5001,$A$233,BD!$R$3:$R$5001,"&lt;&gt;")=0,"",SUMIFS(BD!$R$3:$R$5001,BD!$A$3:$A$5001,AB$3,BD!$B$3:$B$5001,$A$233)))</f>
        <v/>
      </c>
      <c r="AC248" s="271" t="str">
        <f>IF(AC$3="","",IF(COUNTIFS(BD!$A$3:$A$5001,AC$3,BD!$B$3:$B$5001,$A$233,BD!$R$3:$R$5001,"&lt;&gt;")=0,"",SUMIFS(BD!$R$3:$R$5001,BD!$A$3:$A$5001,AC$3,BD!$B$3:$B$5001,$A$233)))</f>
        <v/>
      </c>
      <c r="AD248" s="271" t="str">
        <f>IF(AD$3="","",IF(COUNTIFS(BD!$A$3:$A$5001,AD$3,BD!$B$3:$B$5001,$A$233,BD!$R$3:$R$5001,"&lt;&gt;")=0,"",SUMIFS(BD!$R$3:$R$5001,BD!$A$3:$A$5001,AD$3,BD!$B$3:$B$5001,$A$233)))</f>
        <v/>
      </c>
      <c r="AE248" s="271" t="str">
        <f>IF(AE$3="","",IF(COUNTIFS(BD!$A$3:$A$5001,AE$3,BD!$B$3:$B$5001,$A$233,BD!$R$3:$R$5001,"&lt;&gt;")=0,"",SUMIFS(BD!$R$3:$R$5001,BD!$A$3:$A$5001,AE$3,BD!$B$3:$B$5001,$A$233)))</f>
        <v/>
      </c>
      <c r="AF248" s="271" t="str">
        <f>IF(AF$3="","",IF(COUNTIFS(BD!$A$3:$A$5001,AF$3,BD!$B$3:$B$5001,$A$233,BD!$R$3:$R$5001,"&lt;&gt;")=0,"",SUMIFS(BD!$R$3:$R$5001,BD!$A$3:$A$5001,AF$3,BD!$B$3:$B$5001,$A$233)))</f>
        <v/>
      </c>
      <c r="AG248" s="271" t="str">
        <f>IF(AG$3="","",IF(COUNTIFS(BD!$A$3:$A$5001,AG$3,BD!$B$3:$B$5001,$A$233,BD!$R$3:$R$5001,"&lt;&gt;")=0,"",SUMIFS(BD!$R$3:$R$5001,BD!$A$3:$A$5001,AG$3,BD!$B$3:$B$5001,$A$233)))</f>
        <v/>
      </c>
      <c r="AH248" s="271" t="str">
        <f>IF(AH$3="","",IF(COUNTIFS(BD!$A$3:$A$5001,AH$3,BD!$B$3:$B$5001,$A$233,BD!$R$3:$R$5001,"&lt;&gt;")=0,"",SUMIFS(BD!$R$3:$R$5001,BD!$A$3:$A$5001,AH$3,BD!$B$3:$B$5001,$A$233)))</f>
        <v/>
      </c>
      <c r="AI248" s="271" t="str">
        <f>IF(AI$3="","",IF(COUNTIFS(BD!$A$3:$A$5001,AI$3,BD!$B$3:$B$5001,$A$233,BD!$R$3:$R$5001,"&lt;&gt;")=0,"",SUMIFS(BD!$R$3:$R$5001,BD!$A$3:$A$5001,AI$3,BD!$B$3:$B$5001,$A$233)))</f>
        <v/>
      </c>
      <c r="AJ248" s="272" t="str">
        <f>IF(AJ$3="","",IF(COUNTIFS(BD!$A$3:$A$5001,AJ$3,BD!$B$3:$B$5001,$A$233,BD!$R$3:$R$5001,"&lt;&gt;")=0,"",SUMIFS(BD!$R$3:$R$5001,BD!$A$3:$A$5001,AJ$3,BD!$B$3:$B$5001,$A$233)))</f>
        <v/>
      </c>
      <c r="AK248" s="273" t="str">
        <f>IF(COUNT(F248:AJ248)=0,"",SUM(F248:AJ248))</f>
        <v/>
      </c>
    </row>
    <row r="249" ht="15.75" customHeight="1" hidden="1">
      <c r="A249" s="261"/>
      <c r="B249" s="252"/>
      <c r="C249" s="188" t="inlineStr">
        <is>
          <t xml:space="preserve">Toneladas Movimentadas</t>
        </is>
      </c>
      <c r="D249" s="189" t="str">
        <f>IFERROR(1/(1/INDEX(BD!$AL$39:$BF$39,MATCH($A$233,BD!$AL$22:$BF$22,0))),"")</f>
        <v/>
      </c>
      <c r="E249" s="190"/>
      <c r="F249" s="274" t="str">
        <f>IF(F$3="","",IF(COUNTIFS(BD!$A$3:$A$5001,F$3,BD!$B$3:$B$5001,$A$233,BD!$S$3:$S$5001,"&lt;&gt;")=0,"",SUMIFS(BD!$S$3:$S$5001,BD!$A$3:$A$5001,F$3,BD!$B$3:$B$5001,$A$233)))</f>
        <v/>
      </c>
      <c r="G249" s="275" t="str">
        <f>IF(G$3="","",IF(COUNTIFS(BD!$A$3:$A$5001,G$3,BD!$B$3:$B$5001,$A$233,BD!$S$3:$S$5001,"&lt;&gt;")=0,"",SUMIFS(BD!$S$3:$S$5001,BD!$A$3:$A$5001,G$3,BD!$B$3:$B$5001,$A$233)))</f>
        <v/>
      </c>
      <c r="H249" s="275" t="str">
        <f>IF(H$3="","",IF(COUNTIFS(BD!$A$3:$A$5001,H$3,BD!$B$3:$B$5001,$A$233,BD!$S$3:$S$5001,"&lt;&gt;")=0,"",SUMIFS(BD!$S$3:$S$5001,BD!$A$3:$A$5001,H$3,BD!$B$3:$B$5001,$A$233)))</f>
        <v/>
      </c>
      <c r="I249" s="275" t="str">
        <f>IF(I$3="","",IF(COUNTIFS(BD!$A$3:$A$5001,I$3,BD!$B$3:$B$5001,$A$233,BD!$S$3:$S$5001,"&lt;&gt;")=0,"",SUMIFS(BD!$S$3:$S$5001,BD!$A$3:$A$5001,I$3,BD!$B$3:$B$5001,$A$233)))</f>
        <v/>
      </c>
      <c r="J249" s="275" t="str">
        <f>IF(J$3="","",IF(COUNTIFS(BD!$A$3:$A$5001,J$3,BD!$B$3:$B$5001,$A$233,BD!$S$3:$S$5001,"&lt;&gt;")=0,"",SUMIFS(BD!$S$3:$S$5001,BD!$A$3:$A$5001,J$3,BD!$B$3:$B$5001,$A$233)))</f>
        <v/>
      </c>
      <c r="K249" s="275" t="str">
        <f>IF(K$3="","",IF(COUNTIFS(BD!$A$3:$A$5001,K$3,BD!$B$3:$B$5001,$A$233,BD!$S$3:$S$5001,"&lt;&gt;")=0,"",SUMIFS(BD!$S$3:$S$5001,BD!$A$3:$A$5001,K$3,BD!$B$3:$B$5001,$A$233)))</f>
        <v/>
      </c>
      <c r="L249" s="275" t="str">
        <f>IF(L$3="","",IF(COUNTIFS(BD!$A$3:$A$5001,L$3,BD!$B$3:$B$5001,$A$233,BD!$S$3:$S$5001,"&lt;&gt;")=0,"",SUMIFS(BD!$S$3:$S$5001,BD!$A$3:$A$5001,L$3,BD!$B$3:$B$5001,$A$233)))</f>
        <v/>
      </c>
      <c r="M249" s="275" t="str">
        <f>IF(M$3="","",IF(COUNTIFS(BD!$A$3:$A$5001,M$3,BD!$B$3:$B$5001,$A$233,BD!$S$3:$S$5001,"&lt;&gt;")=0,"",SUMIFS(BD!$S$3:$S$5001,BD!$A$3:$A$5001,M$3,BD!$B$3:$B$5001,$A$233)))</f>
        <v/>
      </c>
      <c r="N249" s="275" t="str">
        <f>IF(N$3="","",IF(COUNTIFS(BD!$A$3:$A$5001,N$3,BD!$B$3:$B$5001,$A$233,BD!$S$3:$S$5001,"&lt;&gt;")=0,"",SUMIFS(BD!$S$3:$S$5001,BD!$A$3:$A$5001,N$3,BD!$B$3:$B$5001,$A$233)))</f>
        <v/>
      </c>
      <c r="O249" s="275" t="str">
        <f>IF(O$3="","",IF(COUNTIFS(BD!$A$3:$A$5001,O$3,BD!$B$3:$B$5001,$A$233,BD!$S$3:$S$5001,"&lt;&gt;")=0,"",SUMIFS(BD!$S$3:$S$5001,BD!$A$3:$A$5001,O$3,BD!$B$3:$B$5001,$A$233)))</f>
        <v/>
      </c>
      <c r="P249" s="275" t="str">
        <f>IF(P$3="","",IF(COUNTIFS(BD!$A$3:$A$5001,P$3,BD!$B$3:$B$5001,$A$233,BD!$S$3:$S$5001,"&lt;&gt;")=0,"",SUMIFS(BD!$S$3:$S$5001,BD!$A$3:$A$5001,P$3,BD!$B$3:$B$5001,$A$233)))</f>
        <v/>
      </c>
      <c r="Q249" s="275" t="str">
        <f>IF(Q$3="","",IF(COUNTIFS(BD!$A$3:$A$5001,Q$3,BD!$B$3:$B$5001,$A$233,BD!$S$3:$S$5001,"&lt;&gt;")=0,"",SUMIFS(BD!$S$3:$S$5001,BD!$A$3:$A$5001,Q$3,BD!$B$3:$B$5001,$A$233)))</f>
        <v/>
      </c>
      <c r="R249" s="275" t="str">
        <f>IF(R$3="","",IF(COUNTIFS(BD!$A$3:$A$5001,R$3,BD!$B$3:$B$5001,$A$233,BD!$S$3:$S$5001,"&lt;&gt;")=0,"",SUMIFS(BD!$S$3:$S$5001,BD!$A$3:$A$5001,R$3,BD!$B$3:$B$5001,$A$233)))</f>
        <v/>
      </c>
      <c r="S249" s="275" t="str">
        <f>IF(S$3="","",IF(COUNTIFS(BD!$A$3:$A$5001,S$3,BD!$B$3:$B$5001,$A$233,BD!$S$3:$S$5001,"&lt;&gt;")=0,"",SUMIFS(BD!$S$3:$S$5001,BD!$A$3:$A$5001,S$3,BD!$B$3:$B$5001,$A$233)))</f>
        <v/>
      </c>
      <c r="T249" s="275" t="str">
        <f>IF(T$3="","",IF(COUNTIFS(BD!$A$3:$A$5001,T$3,BD!$B$3:$B$5001,$A$233,BD!$S$3:$S$5001,"&lt;&gt;")=0,"",SUMIFS(BD!$S$3:$S$5001,BD!$A$3:$A$5001,T$3,BD!$B$3:$B$5001,$A$233)))</f>
        <v/>
      </c>
      <c r="U249" s="275" t="str">
        <f>IF(U$3="","",IF(COUNTIFS(BD!$A$3:$A$5001,U$3,BD!$B$3:$B$5001,$A$233,BD!$S$3:$S$5001,"&lt;&gt;")=0,"",SUMIFS(BD!$S$3:$S$5001,BD!$A$3:$A$5001,U$3,BD!$B$3:$B$5001,$A$233)))</f>
        <v/>
      </c>
      <c r="V249" s="275" t="str">
        <f>IF(V$3="","",IF(COUNTIFS(BD!$A$3:$A$5001,V$3,BD!$B$3:$B$5001,$A$233,BD!$S$3:$S$5001,"&lt;&gt;")=0,"",SUMIFS(BD!$S$3:$S$5001,BD!$A$3:$A$5001,V$3,BD!$B$3:$B$5001,$A$233)))</f>
        <v/>
      </c>
      <c r="W249" s="275" t="str">
        <f>IF(W$3="","",IF(COUNTIFS(BD!$A$3:$A$5001,W$3,BD!$B$3:$B$5001,$A$233,BD!$S$3:$S$5001,"&lt;&gt;")=0,"",SUMIFS(BD!$S$3:$S$5001,BD!$A$3:$A$5001,W$3,BD!$B$3:$B$5001,$A$233)))</f>
        <v/>
      </c>
      <c r="X249" s="275" t="str">
        <f>IF(X$3="","",IF(COUNTIFS(BD!$A$3:$A$5001,X$3,BD!$B$3:$B$5001,$A$233,BD!$S$3:$S$5001,"&lt;&gt;")=0,"",SUMIFS(BD!$S$3:$S$5001,BD!$A$3:$A$5001,X$3,BD!$B$3:$B$5001,$A$233)))</f>
        <v/>
      </c>
      <c r="Y249" s="275" t="str">
        <f>IF(Y$3="","",IF(COUNTIFS(BD!$A$3:$A$5001,Y$3,BD!$B$3:$B$5001,$A$233,BD!$S$3:$S$5001,"&lt;&gt;")=0,"",SUMIFS(BD!$S$3:$S$5001,BD!$A$3:$A$5001,Y$3,BD!$B$3:$B$5001,$A$233)))</f>
        <v/>
      </c>
      <c r="Z249" s="275" t="str">
        <f>IF(Z$3="","",IF(COUNTIFS(BD!$A$3:$A$5001,Z$3,BD!$B$3:$B$5001,$A$233,BD!$S$3:$S$5001,"&lt;&gt;")=0,"",SUMIFS(BD!$S$3:$S$5001,BD!$A$3:$A$5001,Z$3,BD!$B$3:$B$5001,$A$233)))</f>
        <v/>
      </c>
      <c r="AA249" s="275" t="str">
        <f>IF(AA$3="","",IF(COUNTIFS(BD!$A$3:$A$5001,AA$3,BD!$B$3:$B$5001,$A$233,BD!$S$3:$S$5001,"&lt;&gt;")=0,"",SUMIFS(BD!$S$3:$S$5001,BD!$A$3:$A$5001,AA$3,BD!$B$3:$B$5001,$A$233)))</f>
        <v/>
      </c>
      <c r="AB249" s="275" t="str">
        <f>IF(AB$3="","",IF(COUNTIFS(BD!$A$3:$A$5001,AB$3,BD!$B$3:$B$5001,$A$233,BD!$S$3:$S$5001,"&lt;&gt;")=0,"",SUMIFS(BD!$S$3:$S$5001,BD!$A$3:$A$5001,AB$3,BD!$B$3:$B$5001,$A$233)))</f>
        <v/>
      </c>
      <c r="AC249" s="275" t="str">
        <f>IF(AC$3="","",IF(COUNTIFS(BD!$A$3:$A$5001,AC$3,BD!$B$3:$B$5001,$A$233,BD!$S$3:$S$5001,"&lt;&gt;")=0,"",SUMIFS(BD!$S$3:$S$5001,BD!$A$3:$A$5001,AC$3,BD!$B$3:$B$5001,$A$233)))</f>
        <v/>
      </c>
      <c r="AD249" s="275" t="str">
        <f>IF(AD$3="","",IF(COUNTIFS(BD!$A$3:$A$5001,AD$3,BD!$B$3:$B$5001,$A$233,BD!$S$3:$S$5001,"&lt;&gt;")=0,"",SUMIFS(BD!$S$3:$S$5001,BD!$A$3:$A$5001,AD$3,BD!$B$3:$B$5001,$A$233)))</f>
        <v/>
      </c>
      <c r="AE249" s="275" t="str">
        <f>IF(AE$3="","",IF(COUNTIFS(BD!$A$3:$A$5001,AE$3,BD!$B$3:$B$5001,$A$233,BD!$S$3:$S$5001,"&lt;&gt;")=0,"",SUMIFS(BD!$S$3:$S$5001,BD!$A$3:$A$5001,AE$3,BD!$B$3:$B$5001,$A$233)))</f>
        <v/>
      </c>
      <c r="AF249" s="275" t="str">
        <f>IF(AF$3="","",IF(COUNTIFS(BD!$A$3:$A$5001,AF$3,BD!$B$3:$B$5001,$A$233,BD!$S$3:$S$5001,"&lt;&gt;")=0,"",SUMIFS(BD!$S$3:$S$5001,BD!$A$3:$A$5001,AF$3,BD!$B$3:$B$5001,$A$233)))</f>
        <v/>
      </c>
      <c r="AG249" s="275" t="str">
        <f>IF(AG$3="","",IF(COUNTIFS(BD!$A$3:$A$5001,AG$3,BD!$B$3:$B$5001,$A$233,BD!$S$3:$S$5001,"&lt;&gt;")=0,"",SUMIFS(BD!$S$3:$S$5001,BD!$A$3:$A$5001,AG$3,BD!$B$3:$B$5001,$A$233)))</f>
        <v/>
      </c>
      <c r="AH249" s="275" t="str">
        <f>IF(AH$3="","",IF(COUNTIFS(BD!$A$3:$A$5001,AH$3,BD!$B$3:$B$5001,$A$233,BD!$S$3:$S$5001,"&lt;&gt;")=0,"",SUMIFS(BD!$S$3:$S$5001,BD!$A$3:$A$5001,AH$3,BD!$B$3:$B$5001,$A$233)))</f>
        <v/>
      </c>
      <c r="AI249" s="275" t="str">
        <f>IF(AI$3="","",IF(COUNTIFS(BD!$A$3:$A$5001,AI$3,BD!$B$3:$B$5001,$A$233,BD!$S$3:$S$5001,"&lt;&gt;")=0,"",SUMIFS(BD!$S$3:$S$5001,BD!$A$3:$A$5001,AI$3,BD!$B$3:$B$5001,$A$233)))</f>
        <v/>
      </c>
      <c r="AJ249" s="276" t="str">
        <f>IF(AJ$3="","",IF(COUNTIFS(BD!$A$3:$A$5001,AJ$3,BD!$B$3:$B$5001,$A$233,BD!$S$3:$S$5001,"&lt;&gt;")=0,"",SUMIFS(BD!$S$3:$S$5001,BD!$A$3:$A$5001,AJ$3,BD!$B$3:$B$5001,$A$233)))</f>
        <v/>
      </c>
      <c r="AK249" s="277" t="str">
        <f>IF(COUNT(F249:AJ249)=0,"",SUM(F249:AJ249))</f>
        <v/>
      </c>
    </row>
    <row r="250" ht="15.75" customHeight="1" hidden="1">
      <c r="A250" s="261"/>
      <c r="B250" s="253" t="inlineStr">
        <is>
          <t xml:space="preserve">NC</t>
        </is>
      </c>
      <c r="C250" s="194" t="inlineStr">
        <is>
          <t xml:space="preserve">Incidentes</t>
        </is>
      </c>
      <c r="D250" s="195" t="str">
        <f>IFERROR(1/(1/INDEX(BD!$AL$40:$BF$40,MATCH($A$233,BD!$AL$22:$BF$22,0))),"")</f>
        <v/>
      </c>
      <c r="E250" s="196"/>
      <c r="F250" s="197" t="str">
        <f>IF(F$3="","",IF(COUNTIFS(BD!$A$3:$A$5001,F$3,BD!$B$3:$B$5001,$A$233,BD!$T$3:$T$5001,"&lt;&gt;")=0,"",SUMIFS(BD!$T$3:$T$5001,BD!$A$3:$A$5001,F$3,BD!$B$3:$B$5001,$A$233)))</f>
        <v/>
      </c>
      <c r="G250" s="198" t="str">
        <f>IF(G$3="","",IF(COUNTIFS(BD!$A$3:$A$5001,G$3,BD!$B$3:$B$5001,$A$233,BD!$T$3:$T$5001,"&lt;&gt;")=0,"",SUMIFS(BD!$T$3:$T$5001,BD!$A$3:$A$5001,G$3,BD!$B$3:$B$5001,$A$233)))</f>
        <v/>
      </c>
      <c r="H250" s="198" t="str">
        <f>IF(H$3="","",IF(COUNTIFS(BD!$A$3:$A$5001,H$3,BD!$B$3:$B$5001,$A$233,BD!$T$3:$T$5001,"&lt;&gt;")=0,"",SUMIFS(BD!$T$3:$T$5001,BD!$A$3:$A$5001,H$3,BD!$B$3:$B$5001,$A$233)))</f>
        <v/>
      </c>
      <c r="I250" s="198" t="str">
        <f>IF(I$3="","",IF(COUNTIFS(BD!$A$3:$A$5001,I$3,BD!$B$3:$B$5001,$A$233,BD!$T$3:$T$5001,"&lt;&gt;")=0,"",SUMIFS(BD!$T$3:$T$5001,BD!$A$3:$A$5001,I$3,BD!$B$3:$B$5001,$A$233)))</f>
        <v/>
      </c>
      <c r="J250" s="198" t="str">
        <f>IF(J$3="","",IF(COUNTIFS(BD!$A$3:$A$5001,J$3,BD!$B$3:$B$5001,$A$233,BD!$T$3:$T$5001,"&lt;&gt;")=0,"",SUMIFS(BD!$T$3:$T$5001,BD!$A$3:$A$5001,J$3,BD!$B$3:$B$5001,$A$233)))</f>
        <v/>
      </c>
      <c r="K250" s="198" t="str">
        <f>IF(K$3="","",IF(COUNTIFS(BD!$A$3:$A$5001,K$3,BD!$B$3:$B$5001,$A$233,BD!$T$3:$T$5001,"&lt;&gt;")=0,"",SUMIFS(BD!$T$3:$T$5001,BD!$A$3:$A$5001,K$3,BD!$B$3:$B$5001,$A$233)))</f>
        <v/>
      </c>
      <c r="L250" s="198" t="str">
        <f>IF(L$3="","",IF(COUNTIFS(BD!$A$3:$A$5001,L$3,BD!$B$3:$B$5001,$A$233,BD!$T$3:$T$5001,"&lt;&gt;")=0,"",SUMIFS(BD!$T$3:$T$5001,BD!$A$3:$A$5001,L$3,BD!$B$3:$B$5001,$A$233)))</f>
        <v/>
      </c>
      <c r="M250" s="198" t="str">
        <f>IF(M$3="","",IF(COUNTIFS(BD!$A$3:$A$5001,M$3,BD!$B$3:$B$5001,$A$233,BD!$T$3:$T$5001,"&lt;&gt;")=0,"",SUMIFS(BD!$T$3:$T$5001,BD!$A$3:$A$5001,M$3,BD!$B$3:$B$5001,$A$233)))</f>
        <v/>
      </c>
      <c r="N250" s="198" t="str">
        <f>IF(N$3="","",IF(COUNTIFS(BD!$A$3:$A$5001,N$3,BD!$B$3:$B$5001,$A$233,BD!$T$3:$T$5001,"&lt;&gt;")=0,"",SUMIFS(BD!$T$3:$T$5001,BD!$A$3:$A$5001,N$3,BD!$B$3:$B$5001,$A$233)))</f>
        <v/>
      </c>
      <c r="O250" s="198" t="str">
        <f>IF(O$3="","",IF(COUNTIFS(BD!$A$3:$A$5001,O$3,BD!$B$3:$B$5001,$A$233,BD!$T$3:$T$5001,"&lt;&gt;")=0,"",SUMIFS(BD!$T$3:$T$5001,BD!$A$3:$A$5001,O$3,BD!$B$3:$B$5001,$A$233)))</f>
        <v/>
      </c>
      <c r="P250" s="198" t="str">
        <f>IF(P$3="","",IF(COUNTIFS(BD!$A$3:$A$5001,P$3,BD!$B$3:$B$5001,$A$233,BD!$T$3:$T$5001,"&lt;&gt;")=0,"",SUMIFS(BD!$T$3:$T$5001,BD!$A$3:$A$5001,P$3,BD!$B$3:$B$5001,$A$233)))</f>
        <v/>
      </c>
      <c r="Q250" s="198" t="str">
        <f>IF(Q$3="","",IF(COUNTIFS(BD!$A$3:$A$5001,Q$3,BD!$B$3:$B$5001,$A$233,BD!$T$3:$T$5001,"&lt;&gt;")=0,"",SUMIFS(BD!$T$3:$T$5001,BD!$A$3:$A$5001,Q$3,BD!$B$3:$B$5001,$A$233)))</f>
        <v/>
      </c>
      <c r="R250" s="198" t="str">
        <f>IF(R$3="","",IF(COUNTIFS(BD!$A$3:$A$5001,R$3,BD!$B$3:$B$5001,$A$233,BD!$T$3:$T$5001,"&lt;&gt;")=0,"",SUMIFS(BD!$T$3:$T$5001,BD!$A$3:$A$5001,R$3,BD!$B$3:$B$5001,$A$233)))</f>
        <v/>
      </c>
      <c r="S250" s="198" t="str">
        <f>IF(S$3="","",IF(COUNTIFS(BD!$A$3:$A$5001,S$3,BD!$B$3:$B$5001,$A$233,BD!$T$3:$T$5001,"&lt;&gt;")=0,"",SUMIFS(BD!$T$3:$T$5001,BD!$A$3:$A$5001,S$3,BD!$B$3:$B$5001,$A$233)))</f>
        <v/>
      </c>
      <c r="T250" s="198" t="str">
        <f>IF(T$3="","",IF(COUNTIFS(BD!$A$3:$A$5001,T$3,BD!$B$3:$B$5001,$A$233,BD!$T$3:$T$5001,"&lt;&gt;")=0,"",SUMIFS(BD!$T$3:$T$5001,BD!$A$3:$A$5001,T$3,BD!$B$3:$B$5001,$A$233)))</f>
        <v/>
      </c>
      <c r="U250" s="198" t="str">
        <f>IF(U$3="","",IF(COUNTIFS(BD!$A$3:$A$5001,U$3,BD!$B$3:$B$5001,$A$233,BD!$T$3:$T$5001,"&lt;&gt;")=0,"",SUMIFS(BD!$T$3:$T$5001,BD!$A$3:$A$5001,U$3,BD!$B$3:$B$5001,$A$233)))</f>
        <v/>
      </c>
      <c r="V250" s="198" t="str">
        <f>IF(V$3="","",IF(COUNTIFS(BD!$A$3:$A$5001,V$3,BD!$B$3:$B$5001,$A$233,BD!$T$3:$T$5001,"&lt;&gt;")=0,"",SUMIFS(BD!$T$3:$T$5001,BD!$A$3:$A$5001,V$3,BD!$B$3:$B$5001,$A$233)))</f>
        <v/>
      </c>
      <c r="W250" s="198" t="str">
        <f>IF(W$3="","",IF(COUNTIFS(BD!$A$3:$A$5001,W$3,BD!$B$3:$B$5001,$A$233,BD!$T$3:$T$5001,"&lt;&gt;")=0,"",SUMIFS(BD!$T$3:$T$5001,BD!$A$3:$A$5001,W$3,BD!$B$3:$B$5001,$A$233)))</f>
        <v/>
      </c>
      <c r="X250" s="198" t="str">
        <f>IF(X$3="","",IF(COUNTIFS(BD!$A$3:$A$5001,X$3,BD!$B$3:$B$5001,$A$233,BD!$T$3:$T$5001,"&lt;&gt;")=0,"",SUMIFS(BD!$T$3:$T$5001,BD!$A$3:$A$5001,X$3,BD!$B$3:$B$5001,$A$233)))</f>
        <v/>
      </c>
      <c r="Y250" s="198" t="str">
        <f>IF(Y$3="","",IF(COUNTIFS(BD!$A$3:$A$5001,Y$3,BD!$B$3:$B$5001,$A$233,BD!$T$3:$T$5001,"&lt;&gt;")=0,"",SUMIFS(BD!$T$3:$T$5001,BD!$A$3:$A$5001,Y$3,BD!$B$3:$B$5001,$A$233)))</f>
        <v/>
      </c>
      <c r="Z250" s="198" t="str">
        <f>IF(Z$3="","",IF(COUNTIFS(BD!$A$3:$A$5001,Z$3,BD!$B$3:$B$5001,$A$233,BD!$T$3:$T$5001,"&lt;&gt;")=0,"",SUMIFS(BD!$T$3:$T$5001,BD!$A$3:$A$5001,Z$3,BD!$B$3:$B$5001,$A$233)))</f>
        <v/>
      </c>
      <c r="AA250" s="198" t="str">
        <f>IF(AA$3="","",IF(COUNTIFS(BD!$A$3:$A$5001,AA$3,BD!$B$3:$B$5001,$A$233,BD!$T$3:$T$5001,"&lt;&gt;")=0,"",SUMIFS(BD!$T$3:$T$5001,BD!$A$3:$A$5001,AA$3,BD!$B$3:$B$5001,$A$233)))</f>
        <v/>
      </c>
      <c r="AB250" s="198" t="str">
        <f>IF(AB$3="","",IF(COUNTIFS(BD!$A$3:$A$5001,AB$3,BD!$B$3:$B$5001,$A$233,BD!$T$3:$T$5001,"&lt;&gt;")=0,"",SUMIFS(BD!$T$3:$T$5001,BD!$A$3:$A$5001,AB$3,BD!$B$3:$B$5001,$A$233)))</f>
        <v/>
      </c>
      <c r="AC250" s="198" t="str">
        <f>IF(AC$3="","",IF(COUNTIFS(BD!$A$3:$A$5001,AC$3,BD!$B$3:$B$5001,$A$233,BD!$T$3:$T$5001,"&lt;&gt;")=0,"",SUMIFS(BD!$T$3:$T$5001,BD!$A$3:$A$5001,AC$3,BD!$B$3:$B$5001,$A$233)))</f>
        <v/>
      </c>
      <c r="AD250" s="198" t="str">
        <f>IF(AD$3="","",IF(COUNTIFS(BD!$A$3:$A$5001,AD$3,BD!$B$3:$B$5001,$A$233,BD!$T$3:$T$5001,"&lt;&gt;")=0,"",SUMIFS(BD!$T$3:$T$5001,BD!$A$3:$A$5001,AD$3,BD!$B$3:$B$5001,$A$233)))</f>
        <v/>
      </c>
      <c r="AE250" s="198" t="str">
        <f>IF(AE$3="","",IF(COUNTIFS(BD!$A$3:$A$5001,AE$3,BD!$B$3:$B$5001,$A$233,BD!$T$3:$T$5001,"&lt;&gt;")=0,"",SUMIFS(BD!$T$3:$T$5001,BD!$A$3:$A$5001,AE$3,BD!$B$3:$B$5001,$A$233)))</f>
        <v/>
      </c>
      <c r="AF250" s="198" t="str">
        <f>IF(AF$3="","",IF(COUNTIFS(BD!$A$3:$A$5001,AF$3,BD!$B$3:$B$5001,$A$233,BD!$T$3:$T$5001,"&lt;&gt;")=0,"",SUMIFS(BD!$T$3:$T$5001,BD!$A$3:$A$5001,AF$3,BD!$B$3:$B$5001,$A$233)))</f>
        <v/>
      </c>
      <c r="AG250" s="198" t="str">
        <f>IF(AG$3="","",IF(COUNTIFS(BD!$A$3:$A$5001,AG$3,BD!$B$3:$B$5001,$A$233,BD!$T$3:$T$5001,"&lt;&gt;")=0,"",SUMIFS(BD!$T$3:$T$5001,BD!$A$3:$A$5001,AG$3,BD!$B$3:$B$5001,$A$233)))</f>
        <v/>
      </c>
      <c r="AH250" s="198" t="str">
        <f>IF(AH$3="","",IF(COUNTIFS(BD!$A$3:$A$5001,AH$3,BD!$B$3:$B$5001,$A$233,BD!$T$3:$T$5001,"&lt;&gt;")=0,"",SUMIFS(BD!$T$3:$T$5001,BD!$A$3:$A$5001,AH$3,BD!$B$3:$B$5001,$A$233)))</f>
        <v/>
      </c>
      <c r="AI250" s="198" t="str">
        <f>IF(AI$3="","",IF(COUNTIFS(BD!$A$3:$A$5001,AI$3,BD!$B$3:$B$5001,$A$233,BD!$T$3:$T$5001,"&lt;&gt;")=0,"",SUMIFS(BD!$T$3:$T$5001,BD!$A$3:$A$5001,AI$3,BD!$B$3:$B$5001,$A$233)))</f>
        <v/>
      </c>
      <c r="AJ250" s="199" t="str">
        <f>IF(AJ$3="","",IF(COUNTIFS(BD!$A$3:$A$5001,AJ$3,BD!$B$3:$B$5001,$A$233,BD!$T$3:$T$5001,"&lt;&gt;")=0,"",SUMIFS(BD!$T$3:$T$5001,BD!$A$3:$A$5001,AJ$3,BD!$B$3:$B$5001,$A$233)))</f>
        <v/>
      </c>
      <c r="AK250" s="200" t="str">
        <f>IF(COUNT(F250:AJ250)=0,"",SUM(F250:AJ250))</f>
        <v/>
      </c>
    </row>
    <row r="251" ht="15.75" customHeight="1" hidden="1">
      <c r="A251" s="261"/>
      <c r="B251" s="254"/>
      <c r="C251" s="201" t="inlineStr">
        <is>
          <t xml:space="preserve">No show</t>
        </is>
      </c>
      <c r="D251" s="202" t="str">
        <f>IFERROR(1/(1/INDEX(BD!$AL$41:$BF$41,MATCH($A$233,BD!$AL$22:$BF$22,0))),"")</f>
        <v/>
      </c>
      <c r="E251" s="203"/>
      <c r="F251" s="204" t="str">
        <f>IF(F$3="","",IF(COUNTIFS(BD!$A$3:$A$5001,F$3,BD!$B$3:$B$5001,$A$233,BD!$U$3:$U$5001,"&lt;&gt;")=0,"",SUMIFS(BD!$U$3:$U$5001,BD!$A$3:$A$5001,F$3,BD!$B$3:$B$5001,$A$233)))</f>
        <v/>
      </c>
      <c r="G251" s="205" t="str">
        <f>IF(G$3="","",IF(COUNTIFS(BD!$A$3:$A$5001,G$3,BD!$B$3:$B$5001,$A$233,BD!$U$3:$U$5001,"&lt;&gt;")=0,"",SUMIFS(BD!$U$3:$U$5001,BD!$A$3:$A$5001,G$3,BD!$B$3:$B$5001,$A$233)))</f>
        <v/>
      </c>
      <c r="H251" s="205" t="str">
        <f>IF(H$3="","",IF(COUNTIFS(BD!$A$3:$A$5001,H$3,BD!$B$3:$B$5001,$A$233,BD!$U$3:$U$5001,"&lt;&gt;")=0,"",SUMIFS(BD!$U$3:$U$5001,BD!$A$3:$A$5001,H$3,BD!$B$3:$B$5001,$A$233)))</f>
        <v/>
      </c>
      <c r="I251" s="205" t="str">
        <f>IF(I$3="","",IF(COUNTIFS(BD!$A$3:$A$5001,I$3,BD!$B$3:$B$5001,$A$233,BD!$U$3:$U$5001,"&lt;&gt;")=0,"",SUMIFS(BD!$U$3:$U$5001,BD!$A$3:$A$5001,I$3,BD!$B$3:$B$5001,$A$233)))</f>
        <v/>
      </c>
      <c r="J251" s="205" t="str">
        <f>IF(J$3="","",IF(COUNTIFS(BD!$A$3:$A$5001,J$3,BD!$B$3:$B$5001,$A$233,BD!$U$3:$U$5001,"&lt;&gt;")=0,"",SUMIFS(BD!$U$3:$U$5001,BD!$A$3:$A$5001,J$3,BD!$B$3:$B$5001,$A$233)))</f>
        <v/>
      </c>
      <c r="K251" s="205" t="str">
        <f>IF(K$3="","",IF(COUNTIFS(BD!$A$3:$A$5001,K$3,BD!$B$3:$B$5001,$A$233,BD!$U$3:$U$5001,"&lt;&gt;")=0,"",SUMIFS(BD!$U$3:$U$5001,BD!$A$3:$A$5001,K$3,BD!$B$3:$B$5001,$A$233)))</f>
        <v/>
      </c>
      <c r="L251" s="205" t="str">
        <f>IF(L$3="","",IF(COUNTIFS(BD!$A$3:$A$5001,L$3,BD!$B$3:$B$5001,$A$233,BD!$U$3:$U$5001,"&lt;&gt;")=0,"",SUMIFS(BD!$U$3:$U$5001,BD!$A$3:$A$5001,L$3,BD!$B$3:$B$5001,$A$233)))</f>
        <v/>
      </c>
      <c r="M251" s="205" t="str">
        <f>IF(M$3="","",IF(COUNTIFS(BD!$A$3:$A$5001,M$3,BD!$B$3:$B$5001,$A$233,BD!$U$3:$U$5001,"&lt;&gt;")=0,"",SUMIFS(BD!$U$3:$U$5001,BD!$A$3:$A$5001,M$3,BD!$B$3:$B$5001,$A$233)))</f>
        <v/>
      </c>
      <c r="N251" s="205" t="str">
        <f>IF(N$3="","",IF(COUNTIFS(BD!$A$3:$A$5001,N$3,BD!$B$3:$B$5001,$A$233,BD!$U$3:$U$5001,"&lt;&gt;")=0,"",SUMIFS(BD!$U$3:$U$5001,BD!$A$3:$A$5001,N$3,BD!$B$3:$B$5001,$A$233)))</f>
        <v/>
      </c>
      <c r="O251" s="205" t="str">
        <f>IF(O$3="","",IF(COUNTIFS(BD!$A$3:$A$5001,O$3,BD!$B$3:$B$5001,$A$233,BD!$U$3:$U$5001,"&lt;&gt;")=0,"",SUMIFS(BD!$U$3:$U$5001,BD!$A$3:$A$5001,O$3,BD!$B$3:$B$5001,$A$233)))</f>
        <v/>
      </c>
      <c r="P251" s="205" t="str">
        <f>IF(P$3="","",IF(COUNTIFS(BD!$A$3:$A$5001,P$3,BD!$B$3:$B$5001,$A$233,BD!$U$3:$U$5001,"&lt;&gt;")=0,"",SUMIFS(BD!$U$3:$U$5001,BD!$A$3:$A$5001,P$3,BD!$B$3:$B$5001,$A$233)))</f>
        <v/>
      </c>
      <c r="Q251" s="205" t="str">
        <f>IF(Q$3="","",IF(COUNTIFS(BD!$A$3:$A$5001,Q$3,BD!$B$3:$B$5001,$A$233,BD!$U$3:$U$5001,"&lt;&gt;")=0,"",SUMIFS(BD!$U$3:$U$5001,BD!$A$3:$A$5001,Q$3,BD!$B$3:$B$5001,$A$233)))</f>
        <v/>
      </c>
      <c r="R251" s="205" t="str">
        <f>IF(R$3="","",IF(COUNTIFS(BD!$A$3:$A$5001,R$3,BD!$B$3:$B$5001,$A$233,BD!$U$3:$U$5001,"&lt;&gt;")=0,"",SUMIFS(BD!$U$3:$U$5001,BD!$A$3:$A$5001,R$3,BD!$B$3:$B$5001,$A$233)))</f>
        <v/>
      </c>
      <c r="S251" s="205" t="str">
        <f>IF(S$3="","",IF(COUNTIFS(BD!$A$3:$A$5001,S$3,BD!$B$3:$B$5001,$A$233,BD!$U$3:$U$5001,"&lt;&gt;")=0,"",SUMIFS(BD!$U$3:$U$5001,BD!$A$3:$A$5001,S$3,BD!$B$3:$B$5001,$A$233)))</f>
        <v/>
      </c>
      <c r="T251" s="205" t="str">
        <f>IF(T$3="","",IF(COUNTIFS(BD!$A$3:$A$5001,T$3,BD!$B$3:$B$5001,$A$233,BD!$U$3:$U$5001,"&lt;&gt;")=0,"",SUMIFS(BD!$U$3:$U$5001,BD!$A$3:$A$5001,T$3,BD!$B$3:$B$5001,$A$233)))</f>
        <v/>
      </c>
      <c r="U251" s="205" t="str">
        <f>IF(U$3="","",IF(COUNTIFS(BD!$A$3:$A$5001,U$3,BD!$B$3:$B$5001,$A$233,BD!$U$3:$U$5001,"&lt;&gt;")=0,"",SUMIFS(BD!$U$3:$U$5001,BD!$A$3:$A$5001,U$3,BD!$B$3:$B$5001,$A$233)))</f>
        <v/>
      </c>
      <c r="V251" s="205" t="str">
        <f>IF(V$3="","",IF(COUNTIFS(BD!$A$3:$A$5001,V$3,BD!$B$3:$B$5001,$A$233,BD!$U$3:$U$5001,"&lt;&gt;")=0,"",SUMIFS(BD!$U$3:$U$5001,BD!$A$3:$A$5001,V$3,BD!$B$3:$B$5001,$A$233)))</f>
        <v/>
      </c>
      <c r="W251" s="205" t="str">
        <f>IF(W$3="","",IF(COUNTIFS(BD!$A$3:$A$5001,W$3,BD!$B$3:$B$5001,$A$233,BD!$U$3:$U$5001,"&lt;&gt;")=0,"",SUMIFS(BD!$U$3:$U$5001,BD!$A$3:$A$5001,W$3,BD!$B$3:$B$5001,$A$233)))</f>
        <v/>
      </c>
      <c r="X251" s="205" t="str">
        <f>IF(X$3="","",IF(COUNTIFS(BD!$A$3:$A$5001,X$3,BD!$B$3:$B$5001,$A$233,BD!$U$3:$U$5001,"&lt;&gt;")=0,"",SUMIFS(BD!$U$3:$U$5001,BD!$A$3:$A$5001,X$3,BD!$B$3:$B$5001,$A$233)))</f>
        <v/>
      </c>
      <c r="Y251" s="205" t="str">
        <f>IF(Y$3="","",IF(COUNTIFS(BD!$A$3:$A$5001,Y$3,BD!$B$3:$B$5001,$A$233,BD!$U$3:$U$5001,"&lt;&gt;")=0,"",SUMIFS(BD!$U$3:$U$5001,BD!$A$3:$A$5001,Y$3,BD!$B$3:$B$5001,$A$233)))</f>
        <v/>
      </c>
      <c r="Z251" s="205" t="str">
        <f>IF(Z$3="","",IF(COUNTIFS(BD!$A$3:$A$5001,Z$3,BD!$B$3:$B$5001,$A$233,BD!$U$3:$U$5001,"&lt;&gt;")=0,"",SUMIFS(BD!$U$3:$U$5001,BD!$A$3:$A$5001,Z$3,BD!$B$3:$B$5001,$A$233)))</f>
        <v/>
      </c>
      <c r="AA251" s="205" t="str">
        <f>IF(AA$3="","",IF(COUNTIFS(BD!$A$3:$A$5001,AA$3,BD!$B$3:$B$5001,$A$233,BD!$U$3:$U$5001,"&lt;&gt;")=0,"",SUMIFS(BD!$U$3:$U$5001,BD!$A$3:$A$5001,AA$3,BD!$B$3:$B$5001,$A$233)))</f>
        <v/>
      </c>
      <c r="AB251" s="205" t="str">
        <f>IF(AB$3="","",IF(COUNTIFS(BD!$A$3:$A$5001,AB$3,BD!$B$3:$B$5001,$A$233,BD!$U$3:$U$5001,"&lt;&gt;")=0,"",SUMIFS(BD!$U$3:$U$5001,BD!$A$3:$A$5001,AB$3,BD!$B$3:$B$5001,$A$233)))</f>
        <v/>
      </c>
      <c r="AC251" s="205" t="str">
        <f>IF(AC$3="","",IF(COUNTIFS(BD!$A$3:$A$5001,AC$3,BD!$B$3:$B$5001,$A$233,BD!$U$3:$U$5001,"&lt;&gt;")=0,"",SUMIFS(BD!$U$3:$U$5001,BD!$A$3:$A$5001,AC$3,BD!$B$3:$B$5001,$A$233)))</f>
        <v/>
      </c>
      <c r="AD251" s="205" t="str">
        <f>IF(AD$3="","",IF(COUNTIFS(BD!$A$3:$A$5001,AD$3,BD!$B$3:$B$5001,$A$233,BD!$U$3:$U$5001,"&lt;&gt;")=0,"",SUMIFS(BD!$U$3:$U$5001,BD!$A$3:$A$5001,AD$3,BD!$B$3:$B$5001,$A$233)))</f>
        <v/>
      </c>
      <c r="AE251" s="205" t="str">
        <f>IF(AE$3="","",IF(COUNTIFS(BD!$A$3:$A$5001,AE$3,BD!$B$3:$B$5001,$A$233,BD!$U$3:$U$5001,"&lt;&gt;")=0,"",SUMIFS(BD!$U$3:$U$5001,BD!$A$3:$A$5001,AE$3,BD!$B$3:$B$5001,$A$233)))</f>
        <v/>
      </c>
      <c r="AF251" s="205" t="str">
        <f>IF(AF$3="","",IF(COUNTIFS(BD!$A$3:$A$5001,AF$3,BD!$B$3:$B$5001,$A$233,BD!$U$3:$U$5001,"&lt;&gt;")=0,"",SUMIFS(BD!$U$3:$U$5001,BD!$A$3:$A$5001,AF$3,BD!$B$3:$B$5001,$A$233)))</f>
        <v/>
      </c>
      <c r="AG251" s="205" t="str">
        <f>IF(AG$3="","",IF(COUNTIFS(BD!$A$3:$A$5001,AG$3,BD!$B$3:$B$5001,$A$233,BD!$U$3:$U$5001,"&lt;&gt;")=0,"",SUMIFS(BD!$U$3:$U$5001,BD!$A$3:$A$5001,AG$3,BD!$B$3:$B$5001,$A$233)))</f>
        <v/>
      </c>
      <c r="AH251" s="205" t="str">
        <f>IF(AH$3="","",IF(COUNTIFS(BD!$A$3:$A$5001,AH$3,BD!$B$3:$B$5001,$A$233,BD!$U$3:$U$5001,"&lt;&gt;")=0,"",SUMIFS(BD!$U$3:$U$5001,BD!$A$3:$A$5001,AH$3,BD!$B$3:$B$5001,$A$233)))</f>
        <v/>
      </c>
      <c r="AI251" s="205" t="str">
        <f>IF(AI$3="","",IF(COUNTIFS(BD!$A$3:$A$5001,AI$3,BD!$B$3:$B$5001,$A$233,BD!$U$3:$U$5001,"&lt;&gt;")=0,"",SUMIFS(BD!$U$3:$U$5001,BD!$A$3:$A$5001,AI$3,BD!$B$3:$B$5001,$A$233)))</f>
        <v/>
      </c>
      <c r="AJ251" s="206" t="str">
        <f>IF(AJ$3="","",IF(COUNTIFS(BD!$A$3:$A$5001,AJ$3,BD!$B$3:$B$5001,$A$233,BD!$U$3:$U$5001,"&lt;&gt;")=0,"",SUMIFS(BD!$U$3:$U$5001,BD!$A$3:$A$5001,AJ$3,BD!$B$3:$B$5001,$A$233)))</f>
        <v/>
      </c>
      <c r="AK251" s="207" t="str">
        <f>IF(COUNT(F251:AJ251)=0,"",SUM(F251:AJ251))</f>
        <v/>
      </c>
    </row>
    <row r="252" ht="15.75" customHeight="1" hidden="1">
      <c r="A252" s="261"/>
      <c r="B252" s="254"/>
      <c r="C252" s="201" t="inlineStr">
        <is>
          <t xml:space="preserve">Backlog Intralog</t>
        </is>
      </c>
      <c r="D252" s="202" t="str">
        <f>IFERROR(1/(1/INDEX(BD!$AL$42:$BF$42,MATCH($A$233,BD!$AL$22:$BF$22,0))),"")</f>
        <v/>
      </c>
      <c r="E252" s="203"/>
      <c r="F252" s="204" t="str">
        <f>IF(F$3="","",IF(COUNTIFS(BD!$A$3:$A$5001,F$3,BD!$B$3:$B$5001,$A$233,BD!$V$3:$V$5001,"&lt;&gt;")=0,"",SUMIFS(BD!$V$3:$V$5001,BD!$A$3:$A$5001,F$3,BD!$B$3:$B$5001,$A$233)))</f>
        <v/>
      </c>
      <c r="G252" s="205" t="str">
        <f>IF(G$3="","",IF(COUNTIFS(BD!$A$3:$A$5001,G$3,BD!$B$3:$B$5001,$A$233,BD!$V$3:$V$5001,"&lt;&gt;")=0,"",SUMIFS(BD!$V$3:$V$5001,BD!$A$3:$A$5001,G$3,BD!$B$3:$B$5001,$A$233)))</f>
        <v/>
      </c>
      <c r="H252" s="205" t="str">
        <f>IF(H$3="","",IF(COUNTIFS(BD!$A$3:$A$5001,H$3,BD!$B$3:$B$5001,$A$233,BD!$V$3:$V$5001,"&lt;&gt;")=0,"",SUMIFS(BD!$V$3:$V$5001,BD!$A$3:$A$5001,H$3,BD!$B$3:$B$5001,$A$233)))</f>
        <v/>
      </c>
      <c r="I252" s="205" t="str">
        <f>IF(I$3="","",IF(COUNTIFS(BD!$A$3:$A$5001,I$3,BD!$B$3:$B$5001,$A$233,BD!$V$3:$V$5001,"&lt;&gt;")=0,"",SUMIFS(BD!$V$3:$V$5001,BD!$A$3:$A$5001,I$3,BD!$B$3:$B$5001,$A$233)))</f>
        <v/>
      </c>
      <c r="J252" s="205" t="str">
        <f>IF(J$3="","",IF(COUNTIFS(BD!$A$3:$A$5001,J$3,BD!$B$3:$B$5001,$A$233,BD!$V$3:$V$5001,"&lt;&gt;")=0,"",SUMIFS(BD!$V$3:$V$5001,BD!$A$3:$A$5001,J$3,BD!$B$3:$B$5001,$A$233)))</f>
        <v/>
      </c>
      <c r="K252" s="205" t="str">
        <f>IF(K$3="","",IF(COUNTIFS(BD!$A$3:$A$5001,K$3,BD!$B$3:$B$5001,$A$233,BD!$V$3:$V$5001,"&lt;&gt;")=0,"",SUMIFS(BD!$V$3:$V$5001,BD!$A$3:$A$5001,K$3,BD!$B$3:$B$5001,$A$233)))</f>
        <v/>
      </c>
      <c r="L252" s="205" t="str">
        <f>IF(L$3="","",IF(COUNTIFS(BD!$A$3:$A$5001,L$3,BD!$B$3:$B$5001,$A$233,BD!$V$3:$V$5001,"&lt;&gt;")=0,"",SUMIFS(BD!$V$3:$V$5001,BD!$A$3:$A$5001,L$3,BD!$B$3:$B$5001,$A$233)))</f>
        <v/>
      </c>
      <c r="M252" s="205" t="str">
        <f>IF(M$3="","",IF(COUNTIFS(BD!$A$3:$A$5001,M$3,BD!$B$3:$B$5001,$A$233,BD!$V$3:$V$5001,"&lt;&gt;")=0,"",SUMIFS(BD!$V$3:$V$5001,BD!$A$3:$A$5001,M$3,BD!$B$3:$B$5001,$A$233)))</f>
        <v/>
      </c>
      <c r="N252" s="205" t="str">
        <f>IF(N$3="","",IF(COUNTIFS(BD!$A$3:$A$5001,N$3,BD!$B$3:$B$5001,$A$233,BD!$V$3:$V$5001,"&lt;&gt;")=0,"",SUMIFS(BD!$V$3:$V$5001,BD!$A$3:$A$5001,N$3,BD!$B$3:$B$5001,$A$233)))</f>
        <v/>
      </c>
      <c r="O252" s="205" t="str">
        <f>IF(O$3="","",IF(COUNTIFS(BD!$A$3:$A$5001,O$3,BD!$B$3:$B$5001,$A$233,BD!$V$3:$V$5001,"&lt;&gt;")=0,"",SUMIFS(BD!$V$3:$V$5001,BD!$A$3:$A$5001,O$3,BD!$B$3:$B$5001,$A$233)))</f>
        <v/>
      </c>
      <c r="P252" s="205" t="str">
        <f>IF(P$3="","",IF(COUNTIFS(BD!$A$3:$A$5001,P$3,BD!$B$3:$B$5001,$A$233,BD!$V$3:$V$5001,"&lt;&gt;")=0,"",SUMIFS(BD!$V$3:$V$5001,BD!$A$3:$A$5001,P$3,BD!$B$3:$B$5001,$A$233)))</f>
        <v/>
      </c>
      <c r="Q252" s="205" t="str">
        <f>IF(Q$3="","",IF(COUNTIFS(BD!$A$3:$A$5001,Q$3,BD!$B$3:$B$5001,$A$233,BD!$V$3:$V$5001,"&lt;&gt;")=0,"",SUMIFS(BD!$V$3:$V$5001,BD!$A$3:$A$5001,Q$3,BD!$B$3:$B$5001,$A$233)))</f>
        <v/>
      </c>
      <c r="R252" s="205" t="str">
        <f>IF(R$3="","",IF(COUNTIFS(BD!$A$3:$A$5001,R$3,BD!$B$3:$B$5001,$A$233,BD!$V$3:$V$5001,"&lt;&gt;")=0,"",SUMIFS(BD!$V$3:$V$5001,BD!$A$3:$A$5001,R$3,BD!$B$3:$B$5001,$A$233)))</f>
        <v/>
      </c>
      <c r="S252" s="205" t="str">
        <f>IF(S$3="","",IF(COUNTIFS(BD!$A$3:$A$5001,S$3,BD!$B$3:$B$5001,$A$233,BD!$V$3:$V$5001,"&lt;&gt;")=0,"",SUMIFS(BD!$V$3:$V$5001,BD!$A$3:$A$5001,S$3,BD!$B$3:$B$5001,$A$233)))</f>
        <v/>
      </c>
      <c r="T252" s="205" t="str">
        <f>IF(T$3="","",IF(COUNTIFS(BD!$A$3:$A$5001,T$3,BD!$B$3:$B$5001,$A$233,BD!$V$3:$V$5001,"&lt;&gt;")=0,"",SUMIFS(BD!$V$3:$V$5001,BD!$A$3:$A$5001,T$3,BD!$B$3:$B$5001,$A$233)))</f>
        <v/>
      </c>
      <c r="U252" s="205" t="str">
        <f>IF(U$3="","",IF(COUNTIFS(BD!$A$3:$A$5001,U$3,BD!$B$3:$B$5001,$A$233,BD!$V$3:$V$5001,"&lt;&gt;")=0,"",SUMIFS(BD!$V$3:$V$5001,BD!$A$3:$A$5001,U$3,BD!$B$3:$B$5001,$A$233)))</f>
        <v/>
      </c>
      <c r="V252" s="205" t="str">
        <f>IF(V$3="","",IF(COUNTIFS(BD!$A$3:$A$5001,V$3,BD!$B$3:$B$5001,$A$233,BD!$V$3:$V$5001,"&lt;&gt;")=0,"",SUMIFS(BD!$V$3:$V$5001,BD!$A$3:$A$5001,V$3,BD!$B$3:$B$5001,$A$233)))</f>
        <v/>
      </c>
      <c r="W252" s="205" t="str">
        <f>IF(W$3="","",IF(COUNTIFS(BD!$A$3:$A$5001,W$3,BD!$B$3:$B$5001,$A$233,BD!$V$3:$V$5001,"&lt;&gt;")=0,"",SUMIFS(BD!$V$3:$V$5001,BD!$A$3:$A$5001,W$3,BD!$B$3:$B$5001,$A$233)))</f>
        <v/>
      </c>
      <c r="X252" s="205" t="str">
        <f>IF(X$3="","",IF(COUNTIFS(BD!$A$3:$A$5001,X$3,BD!$B$3:$B$5001,$A$233,BD!$V$3:$V$5001,"&lt;&gt;")=0,"",SUMIFS(BD!$V$3:$V$5001,BD!$A$3:$A$5001,X$3,BD!$B$3:$B$5001,$A$233)))</f>
        <v/>
      </c>
      <c r="Y252" s="205" t="str">
        <f>IF(Y$3="","",IF(COUNTIFS(BD!$A$3:$A$5001,Y$3,BD!$B$3:$B$5001,$A$233,BD!$V$3:$V$5001,"&lt;&gt;")=0,"",SUMIFS(BD!$V$3:$V$5001,BD!$A$3:$A$5001,Y$3,BD!$B$3:$B$5001,$A$233)))</f>
        <v/>
      </c>
      <c r="Z252" s="205" t="str">
        <f>IF(Z$3="","",IF(COUNTIFS(BD!$A$3:$A$5001,Z$3,BD!$B$3:$B$5001,$A$233,BD!$V$3:$V$5001,"&lt;&gt;")=0,"",SUMIFS(BD!$V$3:$V$5001,BD!$A$3:$A$5001,Z$3,BD!$B$3:$B$5001,$A$233)))</f>
        <v/>
      </c>
      <c r="AA252" s="205" t="str">
        <f>IF(AA$3="","",IF(COUNTIFS(BD!$A$3:$A$5001,AA$3,BD!$B$3:$B$5001,$A$233,BD!$V$3:$V$5001,"&lt;&gt;")=0,"",SUMIFS(BD!$V$3:$V$5001,BD!$A$3:$A$5001,AA$3,BD!$B$3:$B$5001,$A$233)))</f>
        <v/>
      </c>
      <c r="AB252" s="205" t="str">
        <f>IF(AB$3="","",IF(COUNTIFS(BD!$A$3:$A$5001,AB$3,BD!$B$3:$B$5001,$A$233,BD!$V$3:$V$5001,"&lt;&gt;")=0,"",SUMIFS(BD!$V$3:$V$5001,BD!$A$3:$A$5001,AB$3,BD!$B$3:$B$5001,$A$233)))</f>
        <v/>
      </c>
      <c r="AC252" s="205" t="str">
        <f>IF(AC$3="","",IF(COUNTIFS(BD!$A$3:$A$5001,AC$3,BD!$B$3:$B$5001,$A$233,BD!$V$3:$V$5001,"&lt;&gt;")=0,"",SUMIFS(BD!$V$3:$V$5001,BD!$A$3:$A$5001,AC$3,BD!$B$3:$B$5001,$A$233)))</f>
        <v/>
      </c>
      <c r="AD252" s="205" t="str">
        <f>IF(AD$3="","",IF(COUNTIFS(BD!$A$3:$A$5001,AD$3,BD!$B$3:$B$5001,$A$233,BD!$V$3:$V$5001,"&lt;&gt;")=0,"",SUMIFS(BD!$V$3:$V$5001,BD!$A$3:$A$5001,AD$3,BD!$B$3:$B$5001,$A$233)))</f>
        <v/>
      </c>
      <c r="AE252" s="205" t="str">
        <f>IF(AE$3="","",IF(COUNTIFS(BD!$A$3:$A$5001,AE$3,BD!$B$3:$B$5001,$A$233,BD!$V$3:$V$5001,"&lt;&gt;")=0,"",SUMIFS(BD!$V$3:$V$5001,BD!$A$3:$A$5001,AE$3,BD!$B$3:$B$5001,$A$233)))</f>
        <v/>
      </c>
      <c r="AF252" s="205" t="str">
        <f>IF(AF$3="","",IF(COUNTIFS(BD!$A$3:$A$5001,AF$3,BD!$B$3:$B$5001,$A$233,BD!$V$3:$V$5001,"&lt;&gt;")=0,"",SUMIFS(BD!$V$3:$V$5001,BD!$A$3:$A$5001,AF$3,BD!$B$3:$B$5001,$A$233)))</f>
        <v/>
      </c>
      <c r="AG252" s="205" t="str">
        <f>IF(AG$3="","",IF(COUNTIFS(BD!$A$3:$A$5001,AG$3,BD!$B$3:$B$5001,$A$233,BD!$V$3:$V$5001,"&lt;&gt;")=0,"",SUMIFS(BD!$V$3:$V$5001,BD!$A$3:$A$5001,AG$3,BD!$B$3:$B$5001,$A$233)))</f>
        <v/>
      </c>
      <c r="AH252" s="205" t="str">
        <f>IF(AH$3="","",IF(COUNTIFS(BD!$A$3:$A$5001,AH$3,BD!$B$3:$B$5001,$A$233,BD!$V$3:$V$5001,"&lt;&gt;")=0,"",SUMIFS(BD!$V$3:$V$5001,BD!$A$3:$A$5001,AH$3,BD!$B$3:$B$5001,$A$233)))</f>
        <v/>
      </c>
      <c r="AI252" s="205" t="str">
        <f>IF(AI$3="","",IF(COUNTIFS(BD!$A$3:$A$5001,AI$3,BD!$B$3:$B$5001,$A$233,BD!$V$3:$V$5001,"&lt;&gt;")=0,"",SUMIFS(BD!$V$3:$V$5001,BD!$A$3:$A$5001,AI$3,BD!$B$3:$B$5001,$A$233)))</f>
        <v/>
      </c>
      <c r="AJ252" s="206" t="str">
        <f>IF(AJ$3="","",IF(COUNTIFS(BD!$A$3:$A$5001,AJ$3,BD!$B$3:$B$5001,$A$233,BD!$V$3:$V$5001,"&lt;&gt;")=0,"",SUMIFS(BD!$V$3:$V$5001,BD!$A$3:$A$5001,AJ$3,BD!$B$3:$B$5001,$A$233)))</f>
        <v/>
      </c>
      <c r="AK252" s="207" t="str">
        <f>IFERROR(LOOKUP(9.99E+307,F252:AJ252),"")</f>
        <v/>
      </c>
    </row>
    <row r="253" ht="15.75" customHeight="1" hidden="1">
      <c r="A253" s="261"/>
      <c r="B253" s="255"/>
      <c r="C253" s="208" t="inlineStr">
        <is>
          <t xml:space="preserve">Backlog Cliente</t>
        </is>
      </c>
      <c r="D253" s="209" t="str">
        <f>IFERROR(1/(1/INDEX(BD!$AL$43:$BF$43,MATCH($A$233,BD!$AL$22:$BF$22,0))),"")</f>
        <v/>
      </c>
      <c r="E253" s="210"/>
      <c r="F253" s="211" t="str">
        <f>IF(F$3="","",IF(COUNTIFS(BD!$A$3:$A$5001,F$3,BD!$B$3:$B$5001,$A$233,BD!$W$3:$W$5001,"&lt;&gt;")=0,"",SUMIFS(BD!$W$3:$W$5001,BD!$A$3:$A$5001,F$3,BD!$B$3:$B$5001,$A$233)))</f>
        <v/>
      </c>
      <c r="G253" s="212" t="str">
        <f>IF(G$3="","",IF(COUNTIFS(BD!$A$3:$A$5001,G$3,BD!$B$3:$B$5001,$A$233,BD!$W$3:$W$5001,"&lt;&gt;")=0,"",SUMIFS(BD!$W$3:$W$5001,BD!$A$3:$A$5001,G$3,BD!$B$3:$B$5001,$A$233)))</f>
        <v/>
      </c>
      <c r="H253" s="212" t="str">
        <f>IF(H$3="","",IF(COUNTIFS(BD!$A$3:$A$5001,H$3,BD!$B$3:$B$5001,$A$233,BD!$W$3:$W$5001,"&lt;&gt;")=0,"",SUMIFS(BD!$W$3:$W$5001,BD!$A$3:$A$5001,H$3,BD!$B$3:$B$5001,$A$233)))</f>
        <v/>
      </c>
      <c r="I253" s="212" t="str">
        <f>IF(I$3="","",IF(COUNTIFS(BD!$A$3:$A$5001,I$3,BD!$B$3:$B$5001,$A$233,BD!$W$3:$W$5001,"&lt;&gt;")=0,"",SUMIFS(BD!$W$3:$W$5001,BD!$A$3:$A$5001,I$3,BD!$B$3:$B$5001,$A$233)))</f>
        <v/>
      </c>
      <c r="J253" s="212" t="str">
        <f>IF(J$3="","",IF(COUNTIFS(BD!$A$3:$A$5001,J$3,BD!$B$3:$B$5001,$A$233,BD!$W$3:$W$5001,"&lt;&gt;")=0,"",SUMIFS(BD!$W$3:$W$5001,BD!$A$3:$A$5001,J$3,BD!$B$3:$B$5001,$A$233)))</f>
        <v/>
      </c>
      <c r="K253" s="212" t="str">
        <f>IF(K$3="","",IF(COUNTIFS(BD!$A$3:$A$5001,K$3,BD!$B$3:$B$5001,$A$233,BD!$W$3:$W$5001,"&lt;&gt;")=0,"",SUMIFS(BD!$W$3:$W$5001,BD!$A$3:$A$5001,K$3,BD!$B$3:$B$5001,$A$233)))</f>
        <v/>
      </c>
      <c r="L253" s="212" t="str">
        <f>IF(L$3="","",IF(COUNTIFS(BD!$A$3:$A$5001,L$3,BD!$B$3:$B$5001,$A$233,BD!$W$3:$W$5001,"&lt;&gt;")=0,"",SUMIFS(BD!$W$3:$W$5001,BD!$A$3:$A$5001,L$3,BD!$B$3:$B$5001,$A$233)))</f>
        <v/>
      </c>
      <c r="M253" s="212" t="str">
        <f>IF(M$3="","",IF(COUNTIFS(BD!$A$3:$A$5001,M$3,BD!$B$3:$B$5001,$A$233,BD!$W$3:$W$5001,"&lt;&gt;")=0,"",SUMIFS(BD!$W$3:$W$5001,BD!$A$3:$A$5001,M$3,BD!$B$3:$B$5001,$A$233)))</f>
        <v/>
      </c>
      <c r="N253" s="212" t="str">
        <f>IF(N$3="","",IF(COUNTIFS(BD!$A$3:$A$5001,N$3,BD!$B$3:$B$5001,$A$233,BD!$W$3:$W$5001,"&lt;&gt;")=0,"",SUMIFS(BD!$W$3:$W$5001,BD!$A$3:$A$5001,N$3,BD!$B$3:$B$5001,$A$233)))</f>
        <v/>
      </c>
      <c r="O253" s="212" t="str">
        <f>IF(O$3="","",IF(COUNTIFS(BD!$A$3:$A$5001,O$3,BD!$B$3:$B$5001,$A$233,BD!$W$3:$W$5001,"&lt;&gt;")=0,"",SUMIFS(BD!$W$3:$W$5001,BD!$A$3:$A$5001,O$3,BD!$B$3:$B$5001,$A$233)))</f>
        <v/>
      </c>
      <c r="P253" s="212" t="str">
        <f>IF(P$3="","",IF(COUNTIFS(BD!$A$3:$A$5001,P$3,BD!$B$3:$B$5001,$A$233,BD!$W$3:$W$5001,"&lt;&gt;")=0,"",SUMIFS(BD!$W$3:$W$5001,BD!$A$3:$A$5001,P$3,BD!$B$3:$B$5001,$A$233)))</f>
        <v/>
      </c>
      <c r="Q253" s="212" t="str">
        <f>IF(Q$3="","",IF(COUNTIFS(BD!$A$3:$A$5001,Q$3,BD!$B$3:$B$5001,$A$233,BD!$W$3:$W$5001,"&lt;&gt;")=0,"",SUMIFS(BD!$W$3:$W$5001,BD!$A$3:$A$5001,Q$3,BD!$B$3:$B$5001,$A$233)))</f>
        <v/>
      </c>
      <c r="R253" s="212" t="str">
        <f>IF(R$3="","",IF(COUNTIFS(BD!$A$3:$A$5001,R$3,BD!$B$3:$B$5001,$A$233,BD!$W$3:$W$5001,"&lt;&gt;")=0,"",SUMIFS(BD!$W$3:$W$5001,BD!$A$3:$A$5001,R$3,BD!$B$3:$B$5001,$A$233)))</f>
        <v/>
      </c>
      <c r="S253" s="212" t="str">
        <f>IF(S$3="","",IF(COUNTIFS(BD!$A$3:$A$5001,S$3,BD!$B$3:$B$5001,$A$233,BD!$W$3:$W$5001,"&lt;&gt;")=0,"",SUMIFS(BD!$W$3:$W$5001,BD!$A$3:$A$5001,S$3,BD!$B$3:$B$5001,$A$233)))</f>
        <v/>
      </c>
      <c r="T253" s="212" t="str">
        <f>IF(T$3="","",IF(COUNTIFS(BD!$A$3:$A$5001,T$3,BD!$B$3:$B$5001,$A$233,BD!$W$3:$W$5001,"&lt;&gt;")=0,"",SUMIFS(BD!$W$3:$W$5001,BD!$A$3:$A$5001,T$3,BD!$B$3:$B$5001,$A$233)))</f>
        <v/>
      </c>
      <c r="U253" s="212" t="str">
        <f>IF(U$3="","",IF(COUNTIFS(BD!$A$3:$A$5001,U$3,BD!$B$3:$B$5001,$A$233,BD!$W$3:$W$5001,"&lt;&gt;")=0,"",SUMIFS(BD!$W$3:$W$5001,BD!$A$3:$A$5001,U$3,BD!$B$3:$B$5001,$A$233)))</f>
        <v/>
      </c>
      <c r="V253" s="212" t="str">
        <f>IF(V$3="","",IF(COUNTIFS(BD!$A$3:$A$5001,V$3,BD!$B$3:$B$5001,$A$233,BD!$W$3:$W$5001,"&lt;&gt;")=0,"",SUMIFS(BD!$W$3:$W$5001,BD!$A$3:$A$5001,V$3,BD!$B$3:$B$5001,$A$233)))</f>
        <v/>
      </c>
      <c r="W253" s="212" t="str">
        <f>IF(W$3="","",IF(COUNTIFS(BD!$A$3:$A$5001,W$3,BD!$B$3:$B$5001,$A$233,BD!$W$3:$W$5001,"&lt;&gt;")=0,"",SUMIFS(BD!$W$3:$W$5001,BD!$A$3:$A$5001,W$3,BD!$B$3:$B$5001,$A$233)))</f>
        <v/>
      </c>
      <c r="X253" s="212" t="str">
        <f>IF(X$3="","",IF(COUNTIFS(BD!$A$3:$A$5001,X$3,BD!$B$3:$B$5001,$A$233,BD!$W$3:$W$5001,"&lt;&gt;")=0,"",SUMIFS(BD!$W$3:$W$5001,BD!$A$3:$A$5001,X$3,BD!$B$3:$B$5001,$A$233)))</f>
        <v/>
      </c>
      <c r="Y253" s="212" t="str">
        <f>IF(Y$3="","",IF(COUNTIFS(BD!$A$3:$A$5001,Y$3,BD!$B$3:$B$5001,$A$233,BD!$W$3:$W$5001,"&lt;&gt;")=0,"",SUMIFS(BD!$W$3:$W$5001,BD!$A$3:$A$5001,Y$3,BD!$B$3:$B$5001,$A$233)))</f>
        <v/>
      </c>
      <c r="Z253" s="212" t="str">
        <f>IF(Z$3="","",IF(COUNTIFS(BD!$A$3:$A$5001,Z$3,BD!$B$3:$B$5001,$A$233,BD!$W$3:$W$5001,"&lt;&gt;")=0,"",SUMIFS(BD!$W$3:$W$5001,BD!$A$3:$A$5001,Z$3,BD!$B$3:$B$5001,$A$233)))</f>
        <v/>
      </c>
      <c r="AA253" s="212" t="str">
        <f>IF(AA$3="","",IF(COUNTIFS(BD!$A$3:$A$5001,AA$3,BD!$B$3:$B$5001,$A$233,BD!$W$3:$W$5001,"&lt;&gt;")=0,"",SUMIFS(BD!$W$3:$W$5001,BD!$A$3:$A$5001,AA$3,BD!$B$3:$B$5001,$A$233)))</f>
        <v/>
      </c>
      <c r="AB253" s="212" t="str">
        <f>IF(AB$3="","",IF(COUNTIFS(BD!$A$3:$A$5001,AB$3,BD!$B$3:$B$5001,$A$233,BD!$W$3:$W$5001,"&lt;&gt;")=0,"",SUMIFS(BD!$W$3:$W$5001,BD!$A$3:$A$5001,AB$3,BD!$B$3:$B$5001,$A$233)))</f>
        <v/>
      </c>
      <c r="AC253" s="212" t="str">
        <f>IF(AC$3="","",IF(COUNTIFS(BD!$A$3:$A$5001,AC$3,BD!$B$3:$B$5001,$A$233,BD!$W$3:$W$5001,"&lt;&gt;")=0,"",SUMIFS(BD!$W$3:$W$5001,BD!$A$3:$A$5001,AC$3,BD!$B$3:$B$5001,$A$233)))</f>
        <v/>
      </c>
      <c r="AD253" s="212" t="str">
        <f>IF(AD$3="","",IF(COUNTIFS(BD!$A$3:$A$5001,AD$3,BD!$B$3:$B$5001,$A$233,BD!$W$3:$W$5001,"&lt;&gt;")=0,"",SUMIFS(BD!$W$3:$W$5001,BD!$A$3:$A$5001,AD$3,BD!$B$3:$B$5001,$A$233)))</f>
        <v/>
      </c>
      <c r="AE253" s="212" t="str">
        <f>IF(AE$3="","",IF(COUNTIFS(BD!$A$3:$A$5001,AE$3,BD!$B$3:$B$5001,$A$233,BD!$W$3:$W$5001,"&lt;&gt;")=0,"",SUMIFS(BD!$W$3:$W$5001,BD!$A$3:$A$5001,AE$3,BD!$B$3:$B$5001,$A$233)))</f>
        <v/>
      </c>
      <c r="AF253" s="212" t="str">
        <f>IF(AF$3="","",IF(COUNTIFS(BD!$A$3:$A$5001,AF$3,BD!$B$3:$B$5001,$A$233,BD!$W$3:$W$5001,"&lt;&gt;")=0,"",SUMIFS(BD!$W$3:$W$5001,BD!$A$3:$A$5001,AF$3,BD!$B$3:$B$5001,$A$233)))</f>
        <v/>
      </c>
      <c r="AG253" s="212" t="str">
        <f>IF(AG$3="","",IF(COUNTIFS(BD!$A$3:$A$5001,AG$3,BD!$B$3:$B$5001,$A$233,BD!$W$3:$W$5001,"&lt;&gt;")=0,"",SUMIFS(BD!$W$3:$W$5001,BD!$A$3:$A$5001,AG$3,BD!$B$3:$B$5001,$A$233)))</f>
        <v/>
      </c>
      <c r="AH253" s="212" t="str">
        <f>IF(AH$3="","",IF(COUNTIFS(BD!$A$3:$A$5001,AH$3,BD!$B$3:$B$5001,$A$233,BD!$W$3:$W$5001,"&lt;&gt;")=0,"",SUMIFS(BD!$W$3:$W$5001,BD!$A$3:$A$5001,AH$3,BD!$B$3:$B$5001,$A$233)))</f>
        <v/>
      </c>
      <c r="AI253" s="212" t="str">
        <f>IF(AI$3="","",IF(COUNTIFS(BD!$A$3:$A$5001,AI$3,BD!$B$3:$B$5001,$A$233,BD!$W$3:$W$5001,"&lt;&gt;")=0,"",SUMIFS(BD!$W$3:$W$5001,BD!$A$3:$A$5001,AI$3,BD!$B$3:$B$5001,$A$233)))</f>
        <v/>
      </c>
      <c r="AJ253" s="213" t="str">
        <f>IF(AJ$3="","",IF(COUNTIFS(BD!$A$3:$A$5001,AJ$3,BD!$B$3:$B$5001,$A$233,BD!$W$3:$W$5001,"&lt;&gt;")=0,"",SUMIFS(BD!$W$3:$W$5001,BD!$A$3:$A$5001,AJ$3,BD!$B$3:$B$5001,$A$233)))</f>
        <v/>
      </c>
      <c r="AK253" s="209" t="str">
        <f>IFERROR(LOOKUP(9.99E+307,F253:AJ253),"")</f>
        <v/>
      </c>
    </row>
    <row r="254" ht="15.75" customHeight="1" hidden="1">
      <c r="A254" s="261"/>
      <c r="B254" s="249" t="inlineStr">
        <is>
          <t xml:space="preserve">OCUPAÇÃO (P.P)</t>
        </is>
      </c>
      <c r="C254" s="168" t="inlineStr">
        <is>
          <t xml:space="preserve">Posições Disponíveis</t>
        </is>
      </c>
      <c r="D254" s="169" t="str">
        <f>IFERROR(1/(1/INDEX(BD!$AL$44:$BF$44,MATCH($A$233,BD!$AL$22:$BF$22,0))),"")</f>
        <v/>
      </c>
      <c r="E254" s="170"/>
      <c r="F254" s="171" t="str">
        <f>IF(F$3="","",IF(COUNTIFS(BD!$A$3:$A$5001,F$3,BD!$B$3:$B$5001,$A$233,BD!$X$3:$X$5001,"&lt;&gt;")=0,"",SUMIFS(BD!$X$3:$X$5001,BD!$A$3:$A$5001,F$3,BD!$B$3:$B$5001,$A$233)))</f>
        <v/>
      </c>
      <c r="G254" s="172" t="str">
        <f>IF(G$3="","",IF(COUNTIFS(BD!$A$3:$A$5001,G$3,BD!$B$3:$B$5001,$A$233,BD!$X$3:$X$5001,"&lt;&gt;")=0,"",SUMIFS(BD!$X$3:$X$5001,BD!$A$3:$A$5001,G$3,BD!$B$3:$B$5001,$A$233)))</f>
        <v/>
      </c>
      <c r="H254" s="172" t="str">
        <f>IF(H$3="","",IF(COUNTIFS(BD!$A$3:$A$5001,H$3,BD!$B$3:$B$5001,$A$233,BD!$X$3:$X$5001,"&lt;&gt;")=0,"",SUMIFS(BD!$X$3:$X$5001,BD!$A$3:$A$5001,H$3,BD!$B$3:$B$5001,$A$233)))</f>
        <v/>
      </c>
      <c r="I254" s="172" t="str">
        <f>IF(I$3="","",IF(COUNTIFS(BD!$A$3:$A$5001,I$3,BD!$B$3:$B$5001,$A$233,BD!$X$3:$X$5001,"&lt;&gt;")=0,"",SUMIFS(BD!$X$3:$X$5001,BD!$A$3:$A$5001,I$3,BD!$B$3:$B$5001,$A$233)))</f>
        <v/>
      </c>
      <c r="J254" s="172" t="str">
        <f>IF(J$3="","",IF(COUNTIFS(BD!$A$3:$A$5001,J$3,BD!$B$3:$B$5001,$A$233,BD!$X$3:$X$5001,"&lt;&gt;")=0,"",SUMIFS(BD!$X$3:$X$5001,BD!$A$3:$A$5001,J$3,BD!$B$3:$B$5001,$A$233)))</f>
        <v/>
      </c>
      <c r="K254" s="172" t="str">
        <f>IF(K$3="","",IF(COUNTIFS(BD!$A$3:$A$5001,K$3,BD!$B$3:$B$5001,$A$233,BD!$X$3:$X$5001,"&lt;&gt;")=0,"",SUMIFS(BD!$X$3:$X$5001,BD!$A$3:$A$5001,K$3,BD!$B$3:$B$5001,$A$233)))</f>
        <v/>
      </c>
      <c r="L254" s="172" t="str">
        <f>IF(L$3="","",IF(COUNTIFS(BD!$A$3:$A$5001,L$3,BD!$B$3:$B$5001,$A$233,BD!$X$3:$X$5001,"&lt;&gt;")=0,"",SUMIFS(BD!$X$3:$X$5001,BD!$A$3:$A$5001,L$3,BD!$B$3:$B$5001,$A$233)))</f>
        <v/>
      </c>
      <c r="M254" s="172" t="str">
        <f>IF(M$3="","",IF(COUNTIFS(BD!$A$3:$A$5001,M$3,BD!$B$3:$B$5001,$A$233,BD!$X$3:$X$5001,"&lt;&gt;")=0,"",SUMIFS(BD!$X$3:$X$5001,BD!$A$3:$A$5001,M$3,BD!$B$3:$B$5001,$A$233)))</f>
        <v/>
      </c>
      <c r="N254" s="172" t="str">
        <f>IF(N$3="","",IF(COUNTIFS(BD!$A$3:$A$5001,N$3,BD!$B$3:$B$5001,$A$233,BD!$X$3:$X$5001,"&lt;&gt;")=0,"",SUMIFS(BD!$X$3:$X$5001,BD!$A$3:$A$5001,N$3,BD!$B$3:$B$5001,$A$233)))</f>
        <v/>
      </c>
      <c r="O254" s="172" t="str">
        <f>IF(O$3="","",IF(COUNTIFS(BD!$A$3:$A$5001,O$3,BD!$B$3:$B$5001,$A$233,BD!$X$3:$X$5001,"&lt;&gt;")=0,"",SUMIFS(BD!$X$3:$X$5001,BD!$A$3:$A$5001,O$3,BD!$B$3:$B$5001,$A$233)))</f>
        <v/>
      </c>
      <c r="P254" s="172" t="str">
        <f>IF(P$3="","",IF(COUNTIFS(BD!$A$3:$A$5001,P$3,BD!$B$3:$B$5001,$A$233,BD!$X$3:$X$5001,"&lt;&gt;")=0,"",SUMIFS(BD!$X$3:$X$5001,BD!$A$3:$A$5001,P$3,BD!$B$3:$B$5001,$A$233)))</f>
        <v/>
      </c>
      <c r="Q254" s="172" t="str">
        <f>IF(Q$3="","",IF(COUNTIFS(BD!$A$3:$A$5001,Q$3,BD!$B$3:$B$5001,$A$233,BD!$X$3:$X$5001,"&lt;&gt;")=0,"",SUMIFS(BD!$X$3:$X$5001,BD!$A$3:$A$5001,Q$3,BD!$B$3:$B$5001,$A$233)))</f>
        <v/>
      </c>
      <c r="R254" s="172" t="str">
        <f>IF(R$3="","",IF(COUNTIFS(BD!$A$3:$A$5001,R$3,BD!$B$3:$B$5001,$A$233,BD!$X$3:$X$5001,"&lt;&gt;")=0,"",SUMIFS(BD!$X$3:$X$5001,BD!$A$3:$A$5001,R$3,BD!$B$3:$B$5001,$A$233)))</f>
        <v/>
      </c>
      <c r="S254" s="172" t="str">
        <f>IF(S$3="","",IF(COUNTIFS(BD!$A$3:$A$5001,S$3,BD!$B$3:$B$5001,$A$233,BD!$X$3:$X$5001,"&lt;&gt;")=0,"",SUMIFS(BD!$X$3:$X$5001,BD!$A$3:$A$5001,S$3,BD!$B$3:$B$5001,$A$233)))</f>
        <v/>
      </c>
      <c r="T254" s="172" t="str">
        <f>IF(T$3="","",IF(COUNTIFS(BD!$A$3:$A$5001,T$3,BD!$B$3:$B$5001,$A$233,BD!$X$3:$X$5001,"&lt;&gt;")=0,"",SUMIFS(BD!$X$3:$X$5001,BD!$A$3:$A$5001,T$3,BD!$B$3:$B$5001,$A$233)))</f>
        <v/>
      </c>
      <c r="U254" s="172" t="str">
        <f>IF(U$3="","",IF(COUNTIFS(BD!$A$3:$A$5001,U$3,BD!$B$3:$B$5001,$A$233,BD!$X$3:$X$5001,"&lt;&gt;")=0,"",SUMIFS(BD!$X$3:$X$5001,BD!$A$3:$A$5001,U$3,BD!$B$3:$B$5001,$A$233)))</f>
        <v/>
      </c>
      <c r="V254" s="172" t="str">
        <f>IF(V$3="","",IF(COUNTIFS(BD!$A$3:$A$5001,V$3,BD!$B$3:$B$5001,$A$233,BD!$X$3:$X$5001,"&lt;&gt;")=0,"",SUMIFS(BD!$X$3:$X$5001,BD!$A$3:$A$5001,V$3,BD!$B$3:$B$5001,$A$233)))</f>
        <v/>
      </c>
      <c r="W254" s="172" t="str">
        <f>IF(W$3="","",IF(COUNTIFS(BD!$A$3:$A$5001,W$3,BD!$B$3:$B$5001,$A$233,BD!$X$3:$X$5001,"&lt;&gt;")=0,"",SUMIFS(BD!$X$3:$X$5001,BD!$A$3:$A$5001,W$3,BD!$B$3:$B$5001,$A$233)))</f>
        <v/>
      </c>
      <c r="X254" s="172" t="str">
        <f>IF(X$3="","",IF(COUNTIFS(BD!$A$3:$A$5001,X$3,BD!$B$3:$B$5001,$A$233,BD!$X$3:$X$5001,"&lt;&gt;")=0,"",SUMIFS(BD!$X$3:$X$5001,BD!$A$3:$A$5001,X$3,BD!$B$3:$B$5001,$A$233)))</f>
        <v/>
      </c>
      <c r="Y254" s="172" t="str">
        <f>IF(Y$3="","",IF(COUNTIFS(BD!$A$3:$A$5001,Y$3,BD!$B$3:$B$5001,$A$233,BD!$X$3:$X$5001,"&lt;&gt;")=0,"",SUMIFS(BD!$X$3:$X$5001,BD!$A$3:$A$5001,Y$3,BD!$B$3:$B$5001,$A$233)))</f>
        <v/>
      </c>
      <c r="Z254" s="172" t="str">
        <f>IF(Z$3="","",IF(COUNTIFS(BD!$A$3:$A$5001,Z$3,BD!$B$3:$B$5001,$A$233,BD!$X$3:$X$5001,"&lt;&gt;")=0,"",SUMIFS(BD!$X$3:$X$5001,BD!$A$3:$A$5001,Z$3,BD!$B$3:$B$5001,$A$233)))</f>
        <v/>
      </c>
      <c r="AA254" s="172" t="str">
        <f>IF(AA$3="","",IF(COUNTIFS(BD!$A$3:$A$5001,AA$3,BD!$B$3:$B$5001,$A$233,BD!$X$3:$X$5001,"&lt;&gt;")=0,"",SUMIFS(BD!$X$3:$X$5001,BD!$A$3:$A$5001,AA$3,BD!$B$3:$B$5001,$A$233)))</f>
        <v/>
      </c>
      <c r="AB254" s="172" t="str">
        <f>IF(AB$3="","",IF(COUNTIFS(BD!$A$3:$A$5001,AB$3,BD!$B$3:$B$5001,$A$233,BD!$X$3:$X$5001,"&lt;&gt;")=0,"",SUMIFS(BD!$X$3:$X$5001,BD!$A$3:$A$5001,AB$3,BD!$B$3:$B$5001,$A$233)))</f>
        <v/>
      </c>
      <c r="AC254" s="172" t="str">
        <f>IF(AC$3="","",IF(COUNTIFS(BD!$A$3:$A$5001,AC$3,BD!$B$3:$B$5001,$A$233,BD!$X$3:$X$5001,"&lt;&gt;")=0,"",SUMIFS(BD!$X$3:$X$5001,BD!$A$3:$A$5001,AC$3,BD!$B$3:$B$5001,$A$233)))</f>
        <v/>
      </c>
      <c r="AD254" s="172" t="str">
        <f>IF(AD$3="","",IF(COUNTIFS(BD!$A$3:$A$5001,AD$3,BD!$B$3:$B$5001,$A$233,BD!$X$3:$X$5001,"&lt;&gt;")=0,"",SUMIFS(BD!$X$3:$X$5001,BD!$A$3:$A$5001,AD$3,BD!$B$3:$B$5001,$A$233)))</f>
        <v/>
      </c>
      <c r="AE254" s="172" t="str">
        <f>IF(AE$3="","",IF(COUNTIFS(BD!$A$3:$A$5001,AE$3,BD!$B$3:$B$5001,$A$233,BD!$X$3:$X$5001,"&lt;&gt;")=0,"",SUMIFS(BD!$X$3:$X$5001,BD!$A$3:$A$5001,AE$3,BD!$B$3:$B$5001,$A$233)))</f>
        <v/>
      </c>
      <c r="AF254" s="172" t="str">
        <f>IF(AF$3="","",IF(COUNTIFS(BD!$A$3:$A$5001,AF$3,BD!$B$3:$B$5001,$A$233,BD!$X$3:$X$5001,"&lt;&gt;")=0,"",SUMIFS(BD!$X$3:$X$5001,BD!$A$3:$A$5001,AF$3,BD!$B$3:$B$5001,$A$233)))</f>
        <v/>
      </c>
      <c r="AG254" s="172" t="str">
        <f>IF(AG$3="","",IF(COUNTIFS(BD!$A$3:$A$5001,AG$3,BD!$B$3:$B$5001,$A$233,BD!$X$3:$X$5001,"&lt;&gt;")=0,"",SUMIFS(BD!$X$3:$X$5001,BD!$A$3:$A$5001,AG$3,BD!$B$3:$B$5001,$A$233)))</f>
        <v/>
      </c>
      <c r="AH254" s="172" t="str">
        <f>IF(AH$3="","",IF(COUNTIFS(BD!$A$3:$A$5001,AH$3,BD!$B$3:$B$5001,$A$233,BD!$X$3:$X$5001,"&lt;&gt;")=0,"",SUMIFS(BD!$X$3:$X$5001,BD!$A$3:$A$5001,AH$3,BD!$B$3:$B$5001,$A$233)))</f>
        <v/>
      </c>
      <c r="AI254" s="172" t="str">
        <f>IF(AI$3="","",IF(COUNTIFS(BD!$A$3:$A$5001,AI$3,BD!$B$3:$B$5001,$A$233,BD!$X$3:$X$5001,"&lt;&gt;")=0,"",SUMIFS(BD!$X$3:$X$5001,BD!$A$3:$A$5001,AI$3,BD!$B$3:$B$5001,$A$233)))</f>
        <v/>
      </c>
      <c r="AJ254" s="173" t="str">
        <f>IF(AJ$3="","",IF(COUNTIFS(BD!$A$3:$A$5001,AJ$3,BD!$B$3:$B$5001,$A$233,BD!$X$3:$X$5001,"&lt;&gt;")=0,"",SUMIFS(BD!$X$3:$X$5001,BD!$A$3:$A$5001,AJ$3,BD!$B$3:$B$5001,$A$233)))</f>
        <v/>
      </c>
      <c r="AK254" s="174" t="str">
        <f>IF(COUNT(F254:AJ254)&gt;0,LOOKUP(9.99E+307,F254:AJ254),IFERROR(IF(INDEX(BD!$AI$3:$AI$5001,MATCH($A$233,BD!$B$3:$B$5001,0))&amp;""="Contrato","",INDEX(BD!$AI$3:$AI$5001,MATCH($A$233,BD!$B$3:$B$5001,0))&amp;""),""))</f>
        <v/>
      </c>
    </row>
    <row r="255" ht="15.75" customHeight="1" hidden="1">
      <c r="A255" s="261"/>
      <c r="B255" s="256"/>
      <c r="C255" s="214" t="inlineStr">
        <is>
          <t xml:space="preserve">Posições Ocupadas</t>
        </is>
      </c>
      <c r="D255" s="215" t="str">
        <f>IFERROR(1/(1/INDEX(BD!$AL$45:$BF$45,MATCH($A$233,BD!$AL$22:$BF$22,0))),"")</f>
        <v/>
      </c>
      <c r="E255" s="216"/>
      <c r="F255" s="217" t="str">
        <f>IF(F$3="","",IF(COUNTIFS(BD!$A$3:$A$5001,F$3,BD!$B$3:$B$5001,$A$233,BD!$Y$3:$Y$5001,"&lt;&gt;")=0,"",SUMIFS(BD!$Y$3:$Y$5001,BD!$A$3:$A$5001,F$3,BD!$B$3:$B$5001,$A$233)))</f>
        <v/>
      </c>
      <c r="G255" s="218" t="str">
        <f>IF(G$3="","",IF(COUNTIFS(BD!$A$3:$A$5001,G$3,BD!$B$3:$B$5001,$A$233,BD!$Y$3:$Y$5001,"&lt;&gt;")=0,"",SUMIFS(BD!$Y$3:$Y$5001,BD!$A$3:$A$5001,G$3,BD!$B$3:$B$5001,$A$233)))</f>
        <v/>
      </c>
      <c r="H255" s="218" t="str">
        <f>IF(H$3="","",IF(COUNTIFS(BD!$A$3:$A$5001,H$3,BD!$B$3:$B$5001,$A$233,BD!$Y$3:$Y$5001,"&lt;&gt;")=0,"",SUMIFS(BD!$Y$3:$Y$5001,BD!$A$3:$A$5001,H$3,BD!$B$3:$B$5001,$A$233)))</f>
        <v/>
      </c>
      <c r="I255" s="218" t="str">
        <f>IF(I$3="","",IF(COUNTIFS(BD!$A$3:$A$5001,I$3,BD!$B$3:$B$5001,$A$233,BD!$Y$3:$Y$5001,"&lt;&gt;")=0,"",SUMIFS(BD!$Y$3:$Y$5001,BD!$A$3:$A$5001,I$3,BD!$B$3:$B$5001,$A$233)))</f>
        <v/>
      </c>
      <c r="J255" s="218" t="str">
        <f>IF(J$3="","",IF(COUNTIFS(BD!$A$3:$A$5001,J$3,BD!$B$3:$B$5001,$A$233,BD!$Y$3:$Y$5001,"&lt;&gt;")=0,"",SUMIFS(BD!$Y$3:$Y$5001,BD!$A$3:$A$5001,J$3,BD!$B$3:$B$5001,$A$233)))</f>
        <v/>
      </c>
      <c r="K255" s="218" t="str">
        <f>IF(K$3="","",IF(COUNTIFS(BD!$A$3:$A$5001,K$3,BD!$B$3:$B$5001,$A$233,BD!$Y$3:$Y$5001,"&lt;&gt;")=0,"",SUMIFS(BD!$Y$3:$Y$5001,BD!$A$3:$A$5001,K$3,BD!$B$3:$B$5001,$A$233)))</f>
        <v/>
      </c>
      <c r="L255" s="218" t="str">
        <f>IF(L$3="","",IF(COUNTIFS(BD!$A$3:$A$5001,L$3,BD!$B$3:$B$5001,$A$233,BD!$Y$3:$Y$5001,"&lt;&gt;")=0,"",SUMIFS(BD!$Y$3:$Y$5001,BD!$A$3:$A$5001,L$3,BD!$B$3:$B$5001,$A$233)))</f>
        <v/>
      </c>
      <c r="M255" s="218" t="str">
        <f>IF(M$3="","",IF(COUNTIFS(BD!$A$3:$A$5001,M$3,BD!$B$3:$B$5001,$A$233,BD!$Y$3:$Y$5001,"&lt;&gt;")=0,"",SUMIFS(BD!$Y$3:$Y$5001,BD!$A$3:$A$5001,M$3,BD!$B$3:$B$5001,$A$233)))</f>
        <v/>
      </c>
      <c r="N255" s="218" t="str">
        <f>IF(N$3="","",IF(COUNTIFS(BD!$A$3:$A$5001,N$3,BD!$B$3:$B$5001,$A$233,BD!$Y$3:$Y$5001,"&lt;&gt;")=0,"",SUMIFS(BD!$Y$3:$Y$5001,BD!$A$3:$A$5001,N$3,BD!$B$3:$B$5001,$A$233)))</f>
        <v/>
      </c>
      <c r="O255" s="218" t="str">
        <f>IF(O$3="","",IF(COUNTIFS(BD!$A$3:$A$5001,O$3,BD!$B$3:$B$5001,$A$233,BD!$Y$3:$Y$5001,"&lt;&gt;")=0,"",SUMIFS(BD!$Y$3:$Y$5001,BD!$A$3:$A$5001,O$3,BD!$B$3:$B$5001,$A$233)))</f>
        <v/>
      </c>
      <c r="P255" s="218" t="str">
        <f>IF(P$3="","",IF(COUNTIFS(BD!$A$3:$A$5001,P$3,BD!$B$3:$B$5001,$A$233,BD!$Y$3:$Y$5001,"&lt;&gt;")=0,"",SUMIFS(BD!$Y$3:$Y$5001,BD!$A$3:$A$5001,P$3,BD!$B$3:$B$5001,$A$233)))</f>
        <v/>
      </c>
      <c r="Q255" s="218" t="str">
        <f>IF(Q$3="","",IF(COUNTIFS(BD!$A$3:$A$5001,Q$3,BD!$B$3:$B$5001,$A$233,BD!$Y$3:$Y$5001,"&lt;&gt;")=0,"",SUMIFS(BD!$Y$3:$Y$5001,BD!$A$3:$A$5001,Q$3,BD!$B$3:$B$5001,$A$233)))</f>
        <v/>
      </c>
      <c r="R255" s="218" t="str">
        <f>IF(R$3="","",IF(COUNTIFS(BD!$A$3:$A$5001,R$3,BD!$B$3:$B$5001,$A$233,BD!$Y$3:$Y$5001,"&lt;&gt;")=0,"",SUMIFS(BD!$Y$3:$Y$5001,BD!$A$3:$A$5001,R$3,BD!$B$3:$B$5001,$A$233)))</f>
        <v/>
      </c>
      <c r="S255" s="218" t="str">
        <f>IF(S$3="","",IF(COUNTIFS(BD!$A$3:$A$5001,S$3,BD!$B$3:$B$5001,$A$233,BD!$Y$3:$Y$5001,"&lt;&gt;")=0,"",SUMIFS(BD!$Y$3:$Y$5001,BD!$A$3:$A$5001,S$3,BD!$B$3:$B$5001,$A$233)))</f>
        <v/>
      </c>
      <c r="T255" s="218" t="str">
        <f>IF(T$3="","",IF(COUNTIFS(BD!$A$3:$A$5001,T$3,BD!$B$3:$B$5001,$A$233,BD!$Y$3:$Y$5001,"&lt;&gt;")=0,"",SUMIFS(BD!$Y$3:$Y$5001,BD!$A$3:$A$5001,T$3,BD!$B$3:$B$5001,$A$233)))</f>
        <v/>
      </c>
      <c r="U255" s="218" t="str">
        <f>IF(U$3="","",IF(COUNTIFS(BD!$A$3:$A$5001,U$3,BD!$B$3:$B$5001,$A$233,BD!$Y$3:$Y$5001,"&lt;&gt;")=0,"",SUMIFS(BD!$Y$3:$Y$5001,BD!$A$3:$A$5001,U$3,BD!$B$3:$B$5001,$A$233)))</f>
        <v/>
      </c>
      <c r="V255" s="218" t="str">
        <f>IF(V$3="","",IF(COUNTIFS(BD!$A$3:$A$5001,V$3,BD!$B$3:$B$5001,$A$233,BD!$Y$3:$Y$5001,"&lt;&gt;")=0,"",SUMIFS(BD!$Y$3:$Y$5001,BD!$A$3:$A$5001,V$3,BD!$B$3:$B$5001,$A$233)))</f>
        <v/>
      </c>
      <c r="W255" s="218" t="str">
        <f>IF(W$3="","",IF(COUNTIFS(BD!$A$3:$A$5001,W$3,BD!$B$3:$B$5001,$A$233,BD!$Y$3:$Y$5001,"&lt;&gt;")=0,"",SUMIFS(BD!$Y$3:$Y$5001,BD!$A$3:$A$5001,W$3,BD!$B$3:$B$5001,$A$233)))</f>
        <v/>
      </c>
      <c r="X255" s="218" t="str">
        <f>IF(X$3="","",IF(COUNTIFS(BD!$A$3:$A$5001,X$3,BD!$B$3:$B$5001,$A$233,BD!$Y$3:$Y$5001,"&lt;&gt;")=0,"",SUMIFS(BD!$Y$3:$Y$5001,BD!$A$3:$A$5001,X$3,BD!$B$3:$B$5001,$A$233)))</f>
        <v/>
      </c>
      <c r="Y255" s="218" t="str">
        <f>IF(Y$3="","",IF(COUNTIFS(BD!$A$3:$A$5001,Y$3,BD!$B$3:$B$5001,$A$233,BD!$Y$3:$Y$5001,"&lt;&gt;")=0,"",SUMIFS(BD!$Y$3:$Y$5001,BD!$A$3:$A$5001,Y$3,BD!$B$3:$B$5001,$A$233)))</f>
        <v/>
      </c>
      <c r="Z255" s="218" t="str">
        <f>IF(Z$3="","",IF(COUNTIFS(BD!$A$3:$A$5001,Z$3,BD!$B$3:$B$5001,$A$233,BD!$Y$3:$Y$5001,"&lt;&gt;")=0,"",SUMIFS(BD!$Y$3:$Y$5001,BD!$A$3:$A$5001,Z$3,BD!$B$3:$B$5001,$A$233)))</f>
        <v/>
      </c>
      <c r="AA255" s="218" t="str">
        <f>IF(AA$3="","",IF(COUNTIFS(BD!$A$3:$A$5001,AA$3,BD!$B$3:$B$5001,$A$233,BD!$Y$3:$Y$5001,"&lt;&gt;")=0,"",SUMIFS(BD!$Y$3:$Y$5001,BD!$A$3:$A$5001,AA$3,BD!$B$3:$B$5001,$A$233)))</f>
        <v/>
      </c>
      <c r="AB255" s="218" t="str">
        <f>IF(AB$3="","",IF(COUNTIFS(BD!$A$3:$A$5001,AB$3,BD!$B$3:$B$5001,$A$233,BD!$Y$3:$Y$5001,"&lt;&gt;")=0,"",SUMIFS(BD!$Y$3:$Y$5001,BD!$A$3:$A$5001,AB$3,BD!$B$3:$B$5001,$A$233)))</f>
        <v/>
      </c>
      <c r="AC255" s="218" t="str">
        <f>IF(AC$3="","",IF(COUNTIFS(BD!$A$3:$A$5001,AC$3,BD!$B$3:$B$5001,$A$233,BD!$Y$3:$Y$5001,"&lt;&gt;")=0,"",SUMIFS(BD!$Y$3:$Y$5001,BD!$A$3:$A$5001,AC$3,BD!$B$3:$B$5001,$A$233)))</f>
        <v/>
      </c>
      <c r="AD255" s="218" t="str">
        <f>IF(AD$3="","",IF(COUNTIFS(BD!$A$3:$A$5001,AD$3,BD!$B$3:$B$5001,$A$233,BD!$Y$3:$Y$5001,"&lt;&gt;")=0,"",SUMIFS(BD!$Y$3:$Y$5001,BD!$A$3:$A$5001,AD$3,BD!$B$3:$B$5001,$A$233)))</f>
        <v/>
      </c>
      <c r="AE255" s="218" t="str">
        <f>IF(AE$3="","",IF(COUNTIFS(BD!$A$3:$A$5001,AE$3,BD!$B$3:$B$5001,$A$233,BD!$Y$3:$Y$5001,"&lt;&gt;")=0,"",SUMIFS(BD!$Y$3:$Y$5001,BD!$A$3:$A$5001,AE$3,BD!$B$3:$B$5001,$A$233)))</f>
        <v/>
      </c>
      <c r="AF255" s="218" t="str">
        <f>IF(AF$3="","",IF(COUNTIFS(BD!$A$3:$A$5001,AF$3,BD!$B$3:$B$5001,$A$233,BD!$Y$3:$Y$5001,"&lt;&gt;")=0,"",SUMIFS(BD!$Y$3:$Y$5001,BD!$A$3:$A$5001,AF$3,BD!$B$3:$B$5001,$A$233)))</f>
        <v/>
      </c>
      <c r="AG255" s="218" t="str">
        <f>IF(AG$3="","",IF(COUNTIFS(BD!$A$3:$A$5001,AG$3,BD!$B$3:$B$5001,$A$233,BD!$Y$3:$Y$5001,"&lt;&gt;")=0,"",SUMIFS(BD!$Y$3:$Y$5001,BD!$A$3:$A$5001,AG$3,BD!$B$3:$B$5001,$A$233)))</f>
        <v/>
      </c>
      <c r="AH255" s="218" t="str">
        <f>IF(AH$3="","",IF(COUNTIFS(BD!$A$3:$A$5001,AH$3,BD!$B$3:$B$5001,$A$233,BD!$Y$3:$Y$5001,"&lt;&gt;")=0,"",SUMIFS(BD!$Y$3:$Y$5001,BD!$A$3:$A$5001,AH$3,BD!$B$3:$B$5001,$A$233)))</f>
        <v/>
      </c>
      <c r="AI255" s="218" t="str">
        <f>IF(AI$3="","",IF(COUNTIFS(BD!$A$3:$A$5001,AI$3,BD!$B$3:$B$5001,$A$233,BD!$Y$3:$Y$5001,"&lt;&gt;")=0,"",SUMIFS(BD!$Y$3:$Y$5001,BD!$A$3:$A$5001,AI$3,BD!$B$3:$B$5001,$A$233)))</f>
        <v/>
      </c>
      <c r="AJ255" s="219" t="str">
        <f>IF(AJ$3="","",IF(COUNTIFS(BD!$A$3:$A$5001,AJ$3,BD!$B$3:$B$5001,$A$233,BD!$Y$3:$Y$5001,"&lt;&gt;")=0,"",SUMIFS(BD!$Y$3:$Y$5001,BD!$A$3:$A$5001,AJ$3,BD!$B$3:$B$5001,$A$233)))</f>
        <v/>
      </c>
      <c r="AK255" s="220" t="str">
        <f>IFERROR(LOOKUP(9.99E+307,F255:AJ255),"")</f>
        <v/>
      </c>
    </row>
    <row r="256" ht="15.75" customHeight="1" hidden="1">
      <c r="A256" s="261"/>
      <c r="B256" s="250"/>
      <c r="C256" s="175" t="inlineStr">
        <is>
          <t xml:space="preserve">Taxa de Ocupação</t>
        </is>
      </c>
      <c r="D256" s="221" t="str">
        <f>IFERROR(1/(1/INDEX(BD!$AL$46:$BF$46,MATCH($A$233,BD!$AL$22:$BF$22,0))),"")</f>
        <v/>
      </c>
      <c r="E256" s="177"/>
      <c r="F256" s="222" t="str">
        <f>IF(AND(ISNUMBER(F254),ISNUMBER(F255)),IF(F254&gt;0,F255/F254,""),"")</f>
        <v/>
      </c>
      <c r="G256" s="223" t="str">
        <f>IF(AND(ISNUMBER(G254),ISNUMBER(G255)),IF(G254&gt;0,G255/G254,""),"")</f>
        <v/>
      </c>
      <c r="H256" s="223" t="str">
        <f>IF(AND(ISNUMBER(H254),ISNUMBER(H255)),IF(H254&gt;0,H255/H254,""),"")</f>
        <v/>
      </c>
      <c r="I256" s="223" t="str">
        <f>IF(AND(ISNUMBER(I254),ISNUMBER(I255)),IF(I254&gt;0,I255/I254,""),"")</f>
        <v/>
      </c>
      <c r="J256" s="223" t="str">
        <f>IF(AND(ISNUMBER(J254),ISNUMBER(J255)),IF(J254&gt;0,J255/J254,""),"")</f>
        <v/>
      </c>
      <c r="K256" s="223" t="str">
        <f>IF(AND(ISNUMBER(K254),ISNUMBER(K255)),IF(K254&gt;0,K255/K254,""),"")</f>
        <v/>
      </c>
      <c r="L256" s="223" t="str">
        <f>IF(AND(ISNUMBER(L254),ISNUMBER(L255)),IF(L254&gt;0,L255/L254,""),"")</f>
        <v/>
      </c>
      <c r="M256" s="223" t="str">
        <f>IF(AND(ISNUMBER(M254),ISNUMBER(M255)),IF(M254&gt;0,M255/M254,""),"")</f>
        <v/>
      </c>
      <c r="N256" s="223" t="str">
        <f>IF(AND(ISNUMBER(N254),ISNUMBER(N255)),IF(N254&gt;0,N255/N254,""),"")</f>
        <v/>
      </c>
      <c r="O256" s="223" t="str">
        <f>IF(AND(ISNUMBER(O254),ISNUMBER(O255)),IF(O254&gt;0,O255/O254,""),"")</f>
        <v/>
      </c>
      <c r="P256" s="223" t="str">
        <f>IF(AND(ISNUMBER(P254),ISNUMBER(P255)),IF(P254&gt;0,P255/P254,""),"")</f>
        <v/>
      </c>
      <c r="Q256" s="223" t="str">
        <f>IF(AND(ISNUMBER(Q254),ISNUMBER(Q255)),IF(Q254&gt;0,Q255/Q254,""),"")</f>
        <v/>
      </c>
      <c r="R256" s="223" t="str">
        <f>IF(AND(ISNUMBER(R254),ISNUMBER(R255)),IF(R254&gt;0,R255/R254,""),"")</f>
        <v/>
      </c>
      <c r="S256" s="223" t="str">
        <f>IF(AND(ISNUMBER(S254),ISNUMBER(S255)),IF(S254&gt;0,S255/S254,""),"")</f>
        <v/>
      </c>
      <c r="T256" s="223" t="str">
        <f>IF(AND(ISNUMBER(T254),ISNUMBER(T255)),IF(T254&gt;0,T255/T254,""),"")</f>
        <v/>
      </c>
      <c r="U256" s="223" t="str">
        <f>IF(AND(ISNUMBER(U254),ISNUMBER(U255)),IF(U254&gt;0,U255/U254,""),"")</f>
        <v/>
      </c>
      <c r="V256" s="223" t="str">
        <f>IF(AND(ISNUMBER(V254),ISNUMBER(V255)),IF(V254&gt;0,V255/V254,""),"")</f>
        <v/>
      </c>
      <c r="W256" s="223" t="str">
        <f>IF(AND(ISNUMBER(W254),ISNUMBER(W255)),IF(W254&gt;0,W255/W254,""),"")</f>
        <v/>
      </c>
      <c r="X256" s="223" t="str">
        <f>IF(AND(ISNUMBER(X254),ISNUMBER(X255)),IF(X254&gt;0,X255/X254,""),"")</f>
        <v/>
      </c>
      <c r="Y256" s="223" t="str">
        <f>IF(AND(ISNUMBER(Y254),ISNUMBER(Y255)),IF(Y254&gt;0,Y255/Y254,""),"")</f>
        <v/>
      </c>
      <c r="Z256" s="223" t="str">
        <f>IF(AND(ISNUMBER(Z254),ISNUMBER(Z255)),IF(Z254&gt;0,Z255/Z254,""),"")</f>
        <v/>
      </c>
      <c r="AA256" s="223" t="str">
        <f>IF(AND(ISNUMBER(AA254),ISNUMBER(AA255)),IF(AA254&gt;0,AA255/AA254,""),"")</f>
        <v/>
      </c>
      <c r="AB256" s="223" t="str">
        <f>IF(AND(ISNUMBER(AB254),ISNUMBER(AB255)),IF(AB254&gt;0,AB255/AB254,""),"")</f>
        <v/>
      </c>
      <c r="AC256" s="223" t="str">
        <f>IF(AND(ISNUMBER(AC254),ISNUMBER(AC255)),IF(AC254&gt;0,AC255/AC254,""),"")</f>
        <v/>
      </c>
      <c r="AD256" s="223" t="str">
        <f>IF(AND(ISNUMBER(AD254),ISNUMBER(AD255)),IF(AD254&gt;0,AD255/AD254,""),"")</f>
        <v/>
      </c>
      <c r="AE256" s="223" t="str">
        <f>IF(AND(ISNUMBER(AE254),ISNUMBER(AE255)),IF(AE254&gt;0,AE255/AE254,""),"")</f>
        <v/>
      </c>
      <c r="AF256" s="223" t="str">
        <f>IF(AND(ISNUMBER(AF254),ISNUMBER(AF255)),IF(AF254&gt;0,AF255/AF254,""),"")</f>
        <v/>
      </c>
      <c r="AG256" s="223" t="str">
        <f>IF(AND(ISNUMBER(AG254),ISNUMBER(AG255)),IF(AG254&gt;0,AG255/AG254,""),"")</f>
        <v/>
      </c>
      <c r="AH256" s="223" t="str">
        <f>IF(AND(ISNUMBER(AH254),ISNUMBER(AH255)),IF(AH254&gt;0,AH255/AH254,""),"")</f>
        <v/>
      </c>
      <c r="AI256" s="223" t="str">
        <f>IF(AND(ISNUMBER(AI254),ISNUMBER(AI255)),IF(AI254&gt;0,AI255/AI254,""),"")</f>
        <v/>
      </c>
      <c r="AJ256" s="224" t="str">
        <f>IF(AND(ISNUMBER(AJ254),ISNUMBER(AJ255)),IF(AJ254&gt;0,AJ255/AJ254,""),"")</f>
        <v/>
      </c>
      <c r="AK256" s="221" t="str">
        <f>IF(AND(ISNUMBER(AK254),ISNUMBER(AK255)),IF(AK254&gt;0,AK255/AK254,""),"")</f>
        <v/>
      </c>
    </row>
    <row r="257" ht="15.75" customHeight="1" hidden="1">
      <c r="A257" s="261"/>
      <c r="B257" s="257" t="inlineStr">
        <is>
          <t xml:space="preserve">GENTE</t>
        </is>
      </c>
      <c r="C257" s="225" t="inlineStr">
        <is>
          <t xml:space="preserve">Efetivo Op.</t>
        </is>
      </c>
      <c r="D257" s="226" t="str">
        <f>IFERROR(1/(1/INDEX(BD!$AL$47:$BF$47,MATCH($A$233,BD!$AL$22:$BF$22,0))),"")</f>
        <v/>
      </c>
      <c r="E257" s="227"/>
      <c r="F257" s="228" t="str">
        <f>IF(F$3="","",IF(COUNTIFS(BD!$A$3:$A$5001,F$3,BD!$B$3:$B$5001,$A$233,BD!$Z$3:$Z$5001,"&lt;&gt;")=0,"",SUMIFS(BD!$Z$3:$Z$5001,BD!$A$3:$A$5001,F$3,BD!$B$3:$B$5001,$A$233)))</f>
        <v/>
      </c>
      <c r="G257" s="229" t="str">
        <f>IF(G$3="","",IF(COUNTIFS(BD!$A$3:$A$5001,G$3,BD!$B$3:$B$5001,$A$233,BD!$Z$3:$Z$5001,"&lt;&gt;")=0,"",SUMIFS(BD!$Z$3:$Z$5001,BD!$A$3:$A$5001,G$3,BD!$B$3:$B$5001,$A$233)))</f>
        <v/>
      </c>
      <c r="H257" s="229" t="str">
        <f>IF(H$3="","",IF(COUNTIFS(BD!$A$3:$A$5001,H$3,BD!$B$3:$B$5001,$A$233,BD!$Z$3:$Z$5001,"&lt;&gt;")=0,"",SUMIFS(BD!$Z$3:$Z$5001,BD!$A$3:$A$5001,H$3,BD!$B$3:$B$5001,$A$233)))</f>
        <v/>
      </c>
      <c r="I257" s="229" t="str">
        <f>IF(I$3="","",IF(COUNTIFS(BD!$A$3:$A$5001,I$3,BD!$B$3:$B$5001,$A$233,BD!$Z$3:$Z$5001,"&lt;&gt;")=0,"",SUMIFS(BD!$Z$3:$Z$5001,BD!$A$3:$A$5001,I$3,BD!$B$3:$B$5001,$A$233)))</f>
        <v/>
      </c>
      <c r="J257" s="229" t="str">
        <f>IF(J$3="","",IF(COUNTIFS(BD!$A$3:$A$5001,J$3,BD!$B$3:$B$5001,$A$233,BD!$Z$3:$Z$5001,"&lt;&gt;")=0,"",SUMIFS(BD!$Z$3:$Z$5001,BD!$A$3:$A$5001,J$3,BD!$B$3:$B$5001,$A$233)))</f>
        <v/>
      </c>
      <c r="K257" s="229" t="str">
        <f>IF(K$3="","",IF(COUNTIFS(BD!$A$3:$A$5001,K$3,BD!$B$3:$B$5001,$A$233,BD!$Z$3:$Z$5001,"&lt;&gt;")=0,"",SUMIFS(BD!$Z$3:$Z$5001,BD!$A$3:$A$5001,K$3,BD!$B$3:$B$5001,$A$233)))</f>
        <v/>
      </c>
      <c r="L257" s="229" t="str">
        <f>IF(L$3="","",IF(COUNTIFS(BD!$A$3:$A$5001,L$3,BD!$B$3:$B$5001,$A$233,BD!$Z$3:$Z$5001,"&lt;&gt;")=0,"",SUMIFS(BD!$Z$3:$Z$5001,BD!$A$3:$A$5001,L$3,BD!$B$3:$B$5001,$A$233)))</f>
        <v/>
      </c>
      <c r="M257" s="229" t="str">
        <f>IF(M$3="","",IF(COUNTIFS(BD!$A$3:$A$5001,M$3,BD!$B$3:$B$5001,$A$233,BD!$Z$3:$Z$5001,"&lt;&gt;")=0,"",SUMIFS(BD!$Z$3:$Z$5001,BD!$A$3:$A$5001,M$3,BD!$B$3:$B$5001,$A$233)))</f>
        <v/>
      </c>
      <c r="N257" s="229" t="str">
        <f>IF(N$3="","",IF(COUNTIFS(BD!$A$3:$A$5001,N$3,BD!$B$3:$B$5001,$A$233,BD!$Z$3:$Z$5001,"&lt;&gt;")=0,"",SUMIFS(BD!$Z$3:$Z$5001,BD!$A$3:$A$5001,N$3,BD!$B$3:$B$5001,$A$233)))</f>
        <v/>
      </c>
      <c r="O257" s="229" t="str">
        <f>IF(O$3="","",IF(COUNTIFS(BD!$A$3:$A$5001,O$3,BD!$B$3:$B$5001,$A$233,BD!$Z$3:$Z$5001,"&lt;&gt;")=0,"",SUMIFS(BD!$Z$3:$Z$5001,BD!$A$3:$A$5001,O$3,BD!$B$3:$B$5001,$A$233)))</f>
        <v/>
      </c>
      <c r="P257" s="229" t="str">
        <f>IF(P$3="","",IF(COUNTIFS(BD!$A$3:$A$5001,P$3,BD!$B$3:$B$5001,$A$233,BD!$Z$3:$Z$5001,"&lt;&gt;")=0,"",SUMIFS(BD!$Z$3:$Z$5001,BD!$A$3:$A$5001,P$3,BD!$B$3:$B$5001,$A$233)))</f>
        <v/>
      </c>
      <c r="Q257" s="229" t="str">
        <f>IF(Q$3="","",IF(COUNTIFS(BD!$A$3:$A$5001,Q$3,BD!$B$3:$B$5001,$A$233,BD!$Z$3:$Z$5001,"&lt;&gt;")=0,"",SUMIFS(BD!$Z$3:$Z$5001,BD!$A$3:$A$5001,Q$3,BD!$B$3:$B$5001,$A$233)))</f>
        <v/>
      </c>
      <c r="R257" s="229" t="str">
        <f>IF(R$3="","",IF(COUNTIFS(BD!$A$3:$A$5001,R$3,BD!$B$3:$B$5001,$A$233,BD!$Z$3:$Z$5001,"&lt;&gt;")=0,"",SUMIFS(BD!$Z$3:$Z$5001,BD!$A$3:$A$5001,R$3,BD!$B$3:$B$5001,$A$233)))</f>
        <v/>
      </c>
      <c r="S257" s="229" t="str">
        <f>IF(S$3="","",IF(COUNTIFS(BD!$A$3:$A$5001,S$3,BD!$B$3:$B$5001,$A$233,BD!$Z$3:$Z$5001,"&lt;&gt;")=0,"",SUMIFS(BD!$Z$3:$Z$5001,BD!$A$3:$A$5001,S$3,BD!$B$3:$B$5001,$A$233)))</f>
        <v/>
      </c>
      <c r="T257" s="229" t="str">
        <f>IF(T$3="","",IF(COUNTIFS(BD!$A$3:$A$5001,T$3,BD!$B$3:$B$5001,$A$233,BD!$Z$3:$Z$5001,"&lt;&gt;")=0,"",SUMIFS(BD!$Z$3:$Z$5001,BD!$A$3:$A$5001,T$3,BD!$B$3:$B$5001,$A$233)))</f>
        <v/>
      </c>
      <c r="U257" s="229" t="str">
        <f>IF(U$3="","",IF(COUNTIFS(BD!$A$3:$A$5001,U$3,BD!$B$3:$B$5001,$A$233,BD!$Z$3:$Z$5001,"&lt;&gt;")=0,"",SUMIFS(BD!$Z$3:$Z$5001,BD!$A$3:$A$5001,U$3,BD!$B$3:$B$5001,$A$233)))</f>
        <v/>
      </c>
      <c r="V257" s="229" t="str">
        <f>IF(V$3="","",IF(COUNTIFS(BD!$A$3:$A$5001,V$3,BD!$B$3:$B$5001,$A$233,BD!$Z$3:$Z$5001,"&lt;&gt;")=0,"",SUMIFS(BD!$Z$3:$Z$5001,BD!$A$3:$A$5001,V$3,BD!$B$3:$B$5001,$A$233)))</f>
        <v/>
      </c>
      <c r="W257" s="229" t="str">
        <f>IF(W$3="","",IF(COUNTIFS(BD!$A$3:$A$5001,W$3,BD!$B$3:$B$5001,$A$233,BD!$Z$3:$Z$5001,"&lt;&gt;")=0,"",SUMIFS(BD!$Z$3:$Z$5001,BD!$A$3:$A$5001,W$3,BD!$B$3:$B$5001,$A$233)))</f>
        <v/>
      </c>
      <c r="X257" s="229" t="str">
        <f>IF(X$3="","",IF(COUNTIFS(BD!$A$3:$A$5001,X$3,BD!$B$3:$B$5001,$A$233,BD!$Z$3:$Z$5001,"&lt;&gt;")=0,"",SUMIFS(BD!$Z$3:$Z$5001,BD!$A$3:$A$5001,X$3,BD!$B$3:$B$5001,$A$233)))</f>
        <v/>
      </c>
      <c r="Y257" s="229" t="str">
        <f>IF(Y$3="","",IF(COUNTIFS(BD!$A$3:$A$5001,Y$3,BD!$B$3:$B$5001,$A$233,BD!$Z$3:$Z$5001,"&lt;&gt;")=0,"",SUMIFS(BD!$Z$3:$Z$5001,BD!$A$3:$A$5001,Y$3,BD!$B$3:$B$5001,$A$233)))</f>
        <v/>
      </c>
      <c r="Z257" s="229" t="str">
        <f>IF(Z$3="","",IF(COUNTIFS(BD!$A$3:$A$5001,Z$3,BD!$B$3:$B$5001,$A$233,BD!$Z$3:$Z$5001,"&lt;&gt;")=0,"",SUMIFS(BD!$Z$3:$Z$5001,BD!$A$3:$A$5001,Z$3,BD!$B$3:$B$5001,$A$233)))</f>
        <v/>
      </c>
      <c r="AA257" s="229" t="str">
        <f>IF(AA$3="","",IF(COUNTIFS(BD!$A$3:$A$5001,AA$3,BD!$B$3:$B$5001,$A$233,BD!$Z$3:$Z$5001,"&lt;&gt;")=0,"",SUMIFS(BD!$Z$3:$Z$5001,BD!$A$3:$A$5001,AA$3,BD!$B$3:$B$5001,$A$233)))</f>
        <v/>
      </c>
      <c r="AB257" s="229" t="str">
        <f>IF(AB$3="","",IF(COUNTIFS(BD!$A$3:$A$5001,AB$3,BD!$B$3:$B$5001,$A$233,BD!$Z$3:$Z$5001,"&lt;&gt;")=0,"",SUMIFS(BD!$Z$3:$Z$5001,BD!$A$3:$A$5001,AB$3,BD!$B$3:$B$5001,$A$233)))</f>
        <v/>
      </c>
      <c r="AC257" s="229" t="str">
        <f>IF(AC$3="","",IF(COUNTIFS(BD!$A$3:$A$5001,AC$3,BD!$B$3:$B$5001,$A$233,BD!$Z$3:$Z$5001,"&lt;&gt;")=0,"",SUMIFS(BD!$Z$3:$Z$5001,BD!$A$3:$A$5001,AC$3,BD!$B$3:$B$5001,$A$233)))</f>
        <v/>
      </c>
      <c r="AD257" s="229" t="str">
        <f>IF(AD$3="","",IF(COUNTIFS(BD!$A$3:$A$5001,AD$3,BD!$B$3:$B$5001,$A$233,BD!$Z$3:$Z$5001,"&lt;&gt;")=0,"",SUMIFS(BD!$Z$3:$Z$5001,BD!$A$3:$A$5001,AD$3,BD!$B$3:$B$5001,$A$233)))</f>
        <v/>
      </c>
      <c r="AE257" s="229" t="str">
        <f>IF(AE$3="","",IF(COUNTIFS(BD!$A$3:$A$5001,AE$3,BD!$B$3:$B$5001,$A$233,BD!$Z$3:$Z$5001,"&lt;&gt;")=0,"",SUMIFS(BD!$Z$3:$Z$5001,BD!$A$3:$A$5001,AE$3,BD!$B$3:$B$5001,$A$233)))</f>
        <v/>
      </c>
      <c r="AF257" s="229" t="str">
        <f>IF(AF$3="","",IF(COUNTIFS(BD!$A$3:$A$5001,AF$3,BD!$B$3:$B$5001,$A$233,BD!$Z$3:$Z$5001,"&lt;&gt;")=0,"",SUMIFS(BD!$Z$3:$Z$5001,BD!$A$3:$A$5001,AF$3,BD!$B$3:$B$5001,$A$233)))</f>
        <v/>
      </c>
      <c r="AG257" s="229" t="str">
        <f>IF(AG$3="","",IF(COUNTIFS(BD!$A$3:$A$5001,AG$3,BD!$B$3:$B$5001,$A$233,BD!$Z$3:$Z$5001,"&lt;&gt;")=0,"",SUMIFS(BD!$Z$3:$Z$5001,BD!$A$3:$A$5001,AG$3,BD!$B$3:$B$5001,$A$233)))</f>
        <v/>
      </c>
      <c r="AH257" s="229" t="str">
        <f>IF(AH$3="","",IF(COUNTIFS(BD!$A$3:$A$5001,AH$3,BD!$B$3:$B$5001,$A$233,BD!$Z$3:$Z$5001,"&lt;&gt;")=0,"",SUMIFS(BD!$Z$3:$Z$5001,BD!$A$3:$A$5001,AH$3,BD!$B$3:$B$5001,$A$233)))</f>
        <v/>
      </c>
      <c r="AI257" s="229" t="str">
        <f>IF(AI$3="","",IF(COUNTIFS(BD!$A$3:$A$5001,AI$3,BD!$B$3:$B$5001,$A$233,BD!$Z$3:$Z$5001,"&lt;&gt;")=0,"",SUMIFS(BD!$Z$3:$Z$5001,BD!$A$3:$A$5001,AI$3,BD!$B$3:$B$5001,$A$233)))</f>
        <v/>
      </c>
      <c r="AJ257" s="230" t="str">
        <f>IF(AJ$3="","",IF(COUNTIFS(BD!$A$3:$A$5001,AJ$3,BD!$B$3:$B$5001,$A$233,BD!$Z$3:$Z$5001,"&lt;&gt;")=0,"",SUMIFS(BD!$Z$3:$Z$5001,BD!$A$3:$A$5001,AJ$3,BD!$B$3:$B$5001,$A$233)))</f>
        <v/>
      </c>
      <c r="AK257" s="231" t="str">
        <f>IFERROR(LOOKUP(9.99E+307,F257:AJ257),"")</f>
        <v/>
      </c>
    </row>
    <row r="258" ht="15.75" customHeight="1" hidden="1">
      <c r="A258" s="261"/>
      <c r="B258" s="258"/>
      <c r="C258" s="232" t="inlineStr">
        <is>
          <t xml:space="preserve">Falta</t>
        </is>
      </c>
      <c r="D258" s="233" t="str">
        <f>IFERROR(1/(1/INDEX(BD!$AL$48:$BF$48,MATCH($A$233,BD!$AL$22:$BF$22,0))),"")</f>
        <v/>
      </c>
      <c r="E258" s="234"/>
      <c r="F258" s="235" t="str">
        <f>IF(F$3="","",IF(COUNTIFS(BD!$A$3:$A$5001,F$3,BD!$B$3:$B$5001,$A$233,BD!$AA$3:$AA$5001,"&lt;&gt;")=0,"",SUMIFS(BD!$AA$3:$AA$5001,BD!$A$3:$A$5001,F$3,BD!$B$3:$B$5001,$A$233)))</f>
        <v/>
      </c>
      <c r="G258" s="236" t="str">
        <f>IF(G$3="","",IF(COUNTIFS(BD!$A$3:$A$5001,G$3,BD!$B$3:$B$5001,$A$233,BD!$AA$3:$AA$5001,"&lt;&gt;")=0,"",SUMIFS(BD!$AA$3:$AA$5001,BD!$A$3:$A$5001,G$3,BD!$B$3:$B$5001,$A$233)))</f>
        <v/>
      </c>
      <c r="H258" s="236" t="str">
        <f>IF(H$3="","",IF(COUNTIFS(BD!$A$3:$A$5001,H$3,BD!$B$3:$B$5001,$A$233,BD!$AA$3:$AA$5001,"&lt;&gt;")=0,"",SUMIFS(BD!$AA$3:$AA$5001,BD!$A$3:$A$5001,H$3,BD!$B$3:$B$5001,$A$233)))</f>
        <v/>
      </c>
      <c r="I258" s="236" t="str">
        <f>IF(I$3="","",IF(COUNTIFS(BD!$A$3:$A$5001,I$3,BD!$B$3:$B$5001,$A$233,BD!$AA$3:$AA$5001,"&lt;&gt;")=0,"",SUMIFS(BD!$AA$3:$AA$5001,BD!$A$3:$A$5001,I$3,BD!$B$3:$B$5001,$A$233)))</f>
        <v/>
      </c>
      <c r="J258" s="236" t="str">
        <f>IF(J$3="","",IF(COUNTIFS(BD!$A$3:$A$5001,J$3,BD!$B$3:$B$5001,$A$233,BD!$AA$3:$AA$5001,"&lt;&gt;")=0,"",SUMIFS(BD!$AA$3:$AA$5001,BD!$A$3:$A$5001,J$3,BD!$B$3:$B$5001,$A$233)))</f>
        <v/>
      </c>
      <c r="K258" s="236" t="str">
        <f>IF(K$3="","",IF(COUNTIFS(BD!$A$3:$A$5001,K$3,BD!$B$3:$B$5001,$A$233,BD!$AA$3:$AA$5001,"&lt;&gt;")=0,"",SUMIFS(BD!$AA$3:$AA$5001,BD!$A$3:$A$5001,K$3,BD!$B$3:$B$5001,$A$233)))</f>
        <v/>
      </c>
      <c r="L258" s="236" t="str">
        <f>IF(L$3="","",IF(COUNTIFS(BD!$A$3:$A$5001,L$3,BD!$B$3:$B$5001,$A$233,BD!$AA$3:$AA$5001,"&lt;&gt;")=0,"",SUMIFS(BD!$AA$3:$AA$5001,BD!$A$3:$A$5001,L$3,BD!$B$3:$B$5001,$A$233)))</f>
        <v/>
      </c>
      <c r="M258" s="236" t="str">
        <f>IF(M$3="","",IF(COUNTIFS(BD!$A$3:$A$5001,M$3,BD!$B$3:$B$5001,$A$233,BD!$AA$3:$AA$5001,"&lt;&gt;")=0,"",SUMIFS(BD!$AA$3:$AA$5001,BD!$A$3:$A$5001,M$3,BD!$B$3:$B$5001,$A$233)))</f>
        <v/>
      </c>
      <c r="N258" s="236" t="str">
        <f>IF(N$3="","",IF(COUNTIFS(BD!$A$3:$A$5001,N$3,BD!$B$3:$B$5001,$A$233,BD!$AA$3:$AA$5001,"&lt;&gt;")=0,"",SUMIFS(BD!$AA$3:$AA$5001,BD!$A$3:$A$5001,N$3,BD!$B$3:$B$5001,$A$233)))</f>
        <v/>
      </c>
      <c r="O258" s="236" t="str">
        <f>IF(O$3="","",IF(COUNTIFS(BD!$A$3:$A$5001,O$3,BD!$B$3:$B$5001,$A$233,BD!$AA$3:$AA$5001,"&lt;&gt;")=0,"",SUMIFS(BD!$AA$3:$AA$5001,BD!$A$3:$A$5001,O$3,BD!$B$3:$B$5001,$A$233)))</f>
        <v/>
      </c>
      <c r="P258" s="236" t="str">
        <f>IF(P$3="","",IF(COUNTIFS(BD!$A$3:$A$5001,P$3,BD!$B$3:$B$5001,$A$233,BD!$AA$3:$AA$5001,"&lt;&gt;")=0,"",SUMIFS(BD!$AA$3:$AA$5001,BD!$A$3:$A$5001,P$3,BD!$B$3:$B$5001,$A$233)))</f>
        <v/>
      </c>
      <c r="Q258" s="236" t="str">
        <f>IF(Q$3="","",IF(COUNTIFS(BD!$A$3:$A$5001,Q$3,BD!$B$3:$B$5001,$A$233,BD!$AA$3:$AA$5001,"&lt;&gt;")=0,"",SUMIFS(BD!$AA$3:$AA$5001,BD!$A$3:$A$5001,Q$3,BD!$B$3:$B$5001,$A$233)))</f>
        <v/>
      </c>
      <c r="R258" s="236" t="str">
        <f>IF(R$3="","",IF(COUNTIFS(BD!$A$3:$A$5001,R$3,BD!$B$3:$B$5001,$A$233,BD!$AA$3:$AA$5001,"&lt;&gt;")=0,"",SUMIFS(BD!$AA$3:$AA$5001,BD!$A$3:$A$5001,R$3,BD!$B$3:$B$5001,$A$233)))</f>
        <v/>
      </c>
      <c r="S258" s="236" t="str">
        <f>IF(S$3="","",IF(COUNTIFS(BD!$A$3:$A$5001,S$3,BD!$B$3:$B$5001,$A$233,BD!$AA$3:$AA$5001,"&lt;&gt;")=0,"",SUMIFS(BD!$AA$3:$AA$5001,BD!$A$3:$A$5001,S$3,BD!$B$3:$B$5001,$A$233)))</f>
        <v/>
      </c>
      <c r="T258" s="236" t="str">
        <f>IF(T$3="","",IF(COUNTIFS(BD!$A$3:$A$5001,T$3,BD!$B$3:$B$5001,$A$233,BD!$AA$3:$AA$5001,"&lt;&gt;")=0,"",SUMIFS(BD!$AA$3:$AA$5001,BD!$A$3:$A$5001,T$3,BD!$B$3:$B$5001,$A$233)))</f>
        <v/>
      </c>
      <c r="U258" s="236" t="str">
        <f>IF(U$3="","",IF(COUNTIFS(BD!$A$3:$A$5001,U$3,BD!$B$3:$B$5001,$A$233,BD!$AA$3:$AA$5001,"&lt;&gt;")=0,"",SUMIFS(BD!$AA$3:$AA$5001,BD!$A$3:$A$5001,U$3,BD!$B$3:$B$5001,$A$233)))</f>
        <v/>
      </c>
      <c r="V258" s="236" t="str">
        <f>IF(V$3="","",IF(COUNTIFS(BD!$A$3:$A$5001,V$3,BD!$B$3:$B$5001,$A$233,BD!$AA$3:$AA$5001,"&lt;&gt;")=0,"",SUMIFS(BD!$AA$3:$AA$5001,BD!$A$3:$A$5001,V$3,BD!$B$3:$B$5001,$A$233)))</f>
        <v/>
      </c>
      <c r="W258" s="236" t="str">
        <f>IF(W$3="","",IF(COUNTIFS(BD!$A$3:$A$5001,W$3,BD!$B$3:$B$5001,$A$233,BD!$AA$3:$AA$5001,"&lt;&gt;")=0,"",SUMIFS(BD!$AA$3:$AA$5001,BD!$A$3:$A$5001,W$3,BD!$B$3:$B$5001,$A$233)))</f>
        <v/>
      </c>
      <c r="X258" s="236" t="str">
        <f>IF(X$3="","",IF(COUNTIFS(BD!$A$3:$A$5001,X$3,BD!$B$3:$B$5001,$A$233,BD!$AA$3:$AA$5001,"&lt;&gt;")=0,"",SUMIFS(BD!$AA$3:$AA$5001,BD!$A$3:$A$5001,X$3,BD!$B$3:$B$5001,$A$233)))</f>
        <v/>
      </c>
      <c r="Y258" s="236" t="str">
        <f>IF(Y$3="","",IF(COUNTIFS(BD!$A$3:$A$5001,Y$3,BD!$B$3:$B$5001,$A$233,BD!$AA$3:$AA$5001,"&lt;&gt;")=0,"",SUMIFS(BD!$AA$3:$AA$5001,BD!$A$3:$A$5001,Y$3,BD!$B$3:$B$5001,$A$233)))</f>
        <v/>
      </c>
      <c r="Z258" s="236" t="str">
        <f>IF(Z$3="","",IF(COUNTIFS(BD!$A$3:$A$5001,Z$3,BD!$B$3:$B$5001,$A$233,BD!$AA$3:$AA$5001,"&lt;&gt;")=0,"",SUMIFS(BD!$AA$3:$AA$5001,BD!$A$3:$A$5001,Z$3,BD!$B$3:$B$5001,$A$233)))</f>
        <v/>
      </c>
      <c r="AA258" s="236" t="str">
        <f>IF(AA$3="","",IF(COUNTIFS(BD!$A$3:$A$5001,AA$3,BD!$B$3:$B$5001,$A$233,BD!$AA$3:$AA$5001,"&lt;&gt;")=0,"",SUMIFS(BD!$AA$3:$AA$5001,BD!$A$3:$A$5001,AA$3,BD!$B$3:$B$5001,$A$233)))</f>
        <v/>
      </c>
      <c r="AB258" s="236" t="str">
        <f>IF(AB$3="","",IF(COUNTIFS(BD!$A$3:$A$5001,AB$3,BD!$B$3:$B$5001,$A$233,BD!$AA$3:$AA$5001,"&lt;&gt;")=0,"",SUMIFS(BD!$AA$3:$AA$5001,BD!$A$3:$A$5001,AB$3,BD!$B$3:$B$5001,$A$233)))</f>
        <v/>
      </c>
      <c r="AC258" s="236" t="str">
        <f>IF(AC$3="","",IF(COUNTIFS(BD!$A$3:$A$5001,AC$3,BD!$B$3:$B$5001,$A$233,BD!$AA$3:$AA$5001,"&lt;&gt;")=0,"",SUMIFS(BD!$AA$3:$AA$5001,BD!$A$3:$A$5001,AC$3,BD!$B$3:$B$5001,$A$233)))</f>
        <v/>
      </c>
      <c r="AD258" s="236" t="str">
        <f>IF(AD$3="","",IF(COUNTIFS(BD!$A$3:$A$5001,AD$3,BD!$B$3:$B$5001,$A$233,BD!$AA$3:$AA$5001,"&lt;&gt;")=0,"",SUMIFS(BD!$AA$3:$AA$5001,BD!$A$3:$A$5001,AD$3,BD!$B$3:$B$5001,$A$233)))</f>
        <v/>
      </c>
      <c r="AE258" s="236" t="str">
        <f>IF(AE$3="","",IF(COUNTIFS(BD!$A$3:$A$5001,AE$3,BD!$B$3:$B$5001,$A$233,BD!$AA$3:$AA$5001,"&lt;&gt;")=0,"",SUMIFS(BD!$AA$3:$AA$5001,BD!$A$3:$A$5001,AE$3,BD!$B$3:$B$5001,$A$233)))</f>
        <v/>
      </c>
      <c r="AF258" s="236" t="str">
        <f>IF(AF$3="","",IF(COUNTIFS(BD!$A$3:$A$5001,AF$3,BD!$B$3:$B$5001,$A$233,BD!$AA$3:$AA$5001,"&lt;&gt;")=0,"",SUMIFS(BD!$AA$3:$AA$5001,BD!$A$3:$A$5001,AF$3,BD!$B$3:$B$5001,$A$233)))</f>
        <v/>
      </c>
      <c r="AG258" s="236" t="str">
        <f>IF(AG$3="","",IF(COUNTIFS(BD!$A$3:$A$5001,AG$3,BD!$B$3:$B$5001,$A$233,BD!$AA$3:$AA$5001,"&lt;&gt;")=0,"",SUMIFS(BD!$AA$3:$AA$5001,BD!$A$3:$A$5001,AG$3,BD!$B$3:$B$5001,$A$233)))</f>
        <v/>
      </c>
      <c r="AH258" s="236" t="str">
        <f>IF(AH$3="","",IF(COUNTIFS(BD!$A$3:$A$5001,AH$3,BD!$B$3:$B$5001,$A$233,BD!$AA$3:$AA$5001,"&lt;&gt;")=0,"",SUMIFS(BD!$AA$3:$AA$5001,BD!$A$3:$A$5001,AH$3,BD!$B$3:$B$5001,$A$233)))</f>
        <v/>
      </c>
      <c r="AI258" s="236" t="str">
        <f>IF(AI$3="","",IF(COUNTIFS(BD!$A$3:$A$5001,AI$3,BD!$B$3:$B$5001,$A$233,BD!$AA$3:$AA$5001,"&lt;&gt;")=0,"",SUMIFS(BD!$AA$3:$AA$5001,BD!$A$3:$A$5001,AI$3,BD!$B$3:$B$5001,$A$233)))</f>
        <v/>
      </c>
      <c r="AJ258" s="237" t="str">
        <f>IF(AJ$3="","",IF(COUNTIFS(BD!$A$3:$A$5001,AJ$3,BD!$B$3:$B$5001,$A$233,BD!$AA$3:$AA$5001,"&lt;&gt;")=0,"",SUMIFS(BD!$AA$3:$AA$5001,BD!$A$3:$A$5001,AJ$3,BD!$B$3:$B$5001,$A$233)))</f>
        <v/>
      </c>
      <c r="AK258" s="238" t="str">
        <f>IF(COUNT(F258:AJ258)=0,"",SUM(F258:AJ258))</f>
        <v/>
      </c>
    </row>
    <row r="259" ht="15.75" customHeight="1" hidden="1">
      <c r="A259" s="261"/>
      <c r="B259" s="258"/>
      <c r="C259" s="232" t="inlineStr">
        <is>
          <t xml:space="preserve">Absenteísmo (H/H)</t>
        </is>
      </c>
      <c r="D259" s="233" t="str">
        <f>IFERROR(1/(1/INDEX(BD!$AL$49:$BF$49,MATCH($A$233,BD!$AL$22:$BF$22,0))),"")</f>
        <v/>
      </c>
      <c r="E259" s="234"/>
      <c r="F259" s="239" t="str">
        <f>IF(F$3="","",IF(COUNTIFS(BD!$A$3:$A$5001,F$3,BD!$B$3:$B$5001,$A$233,BD!$AB$3:$AB$5001,"&lt;&gt;")=0,"",SUMIFS(BD!$AB$3:$AB$5001,BD!$A$3:$A$5001,F$3,BD!$B$3:$B$5001,$A$233)))</f>
        <v/>
      </c>
      <c r="G259" s="240" t="str">
        <f>IF(G$3="","",IF(COUNTIFS(BD!$A$3:$A$5001,G$3,BD!$B$3:$B$5001,$A$233,BD!$AB$3:$AB$5001,"&lt;&gt;")=0,"",SUMIFS(BD!$AB$3:$AB$5001,BD!$A$3:$A$5001,G$3,BD!$B$3:$B$5001,$A$233)))</f>
        <v/>
      </c>
      <c r="H259" s="240" t="str">
        <f>IF(H$3="","",IF(COUNTIFS(BD!$A$3:$A$5001,H$3,BD!$B$3:$B$5001,$A$233,BD!$AB$3:$AB$5001,"&lt;&gt;")=0,"",SUMIFS(BD!$AB$3:$AB$5001,BD!$A$3:$A$5001,H$3,BD!$B$3:$B$5001,$A$233)))</f>
        <v/>
      </c>
      <c r="I259" s="240" t="str">
        <f>IF(I$3="","",IF(COUNTIFS(BD!$A$3:$A$5001,I$3,BD!$B$3:$B$5001,$A$233,BD!$AB$3:$AB$5001,"&lt;&gt;")=0,"",SUMIFS(BD!$AB$3:$AB$5001,BD!$A$3:$A$5001,I$3,BD!$B$3:$B$5001,$A$233)))</f>
        <v/>
      </c>
      <c r="J259" s="240" t="str">
        <f>IF(J$3="","",IF(COUNTIFS(BD!$A$3:$A$5001,J$3,BD!$B$3:$B$5001,$A$233,BD!$AB$3:$AB$5001,"&lt;&gt;")=0,"",SUMIFS(BD!$AB$3:$AB$5001,BD!$A$3:$A$5001,J$3,BD!$B$3:$B$5001,$A$233)))</f>
        <v/>
      </c>
      <c r="K259" s="240" t="str">
        <f>IF(K$3="","",IF(COUNTIFS(BD!$A$3:$A$5001,K$3,BD!$B$3:$B$5001,$A$233,BD!$AB$3:$AB$5001,"&lt;&gt;")=0,"",SUMIFS(BD!$AB$3:$AB$5001,BD!$A$3:$A$5001,K$3,BD!$B$3:$B$5001,$A$233)))</f>
        <v/>
      </c>
      <c r="L259" s="240" t="str">
        <f>IF(L$3="","",IF(COUNTIFS(BD!$A$3:$A$5001,L$3,BD!$B$3:$B$5001,$A$233,BD!$AB$3:$AB$5001,"&lt;&gt;")=0,"",SUMIFS(BD!$AB$3:$AB$5001,BD!$A$3:$A$5001,L$3,BD!$B$3:$B$5001,$A$233)))</f>
        <v/>
      </c>
      <c r="M259" s="240" t="str">
        <f>IF(M$3="","",IF(COUNTIFS(BD!$A$3:$A$5001,M$3,BD!$B$3:$B$5001,$A$233,BD!$AB$3:$AB$5001,"&lt;&gt;")=0,"",SUMIFS(BD!$AB$3:$AB$5001,BD!$A$3:$A$5001,M$3,BD!$B$3:$B$5001,$A$233)))</f>
        <v/>
      </c>
      <c r="N259" s="240" t="str">
        <f>IF(N$3="","",IF(COUNTIFS(BD!$A$3:$A$5001,N$3,BD!$B$3:$B$5001,$A$233,BD!$AB$3:$AB$5001,"&lt;&gt;")=0,"",SUMIFS(BD!$AB$3:$AB$5001,BD!$A$3:$A$5001,N$3,BD!$B$3:$B$5001,$A$233)))</f>
        <v/>
      </c>
      <c r="O259" s="240" t="str">
        <f>IF(O$3="","",IF(COUNTIFS(BD!$A$3:$A$5001,O$3,BD!$B$3:$B$5001,$A$233,BD!$AB$3:$AB$5001,"&lt;&gt;")=0,"",SUMIFS(BD!$AB$3:$AB$5001,BD!$A$3:$A$5001,O$3,BD!$B$3:$B$5001,$A$233)))</f>
        <v/>
      </c>
      <c r="P259" s="240" t="str">
        <f>IF(P$3="","",IF(COUNTIFS(BD!$A$3:$A$5001,P$3,BD!$B$3:$B$5001,$A$233,BD!$AB$3:$AB$5001,"&lt;&gt;")=0,"",SUMIFS(BD!$AB$3:$AB$5001,BD!$A$3:$A$5001,P$3,BD!$B$3:$B$5001,$A$233)))</f>
        <v/>
      </c>
      <c r="Q259" s="240" t="str">
        <f>IF(Q$3="","",IF(COUNTIFS(BD!$A$3:$A$5001,Q$3,BD!$B$3:$B$5001,$A$233,BD!$AB$3:$AB$5001,"&lt;&gt;")=0,"",SUMIFS(BD!$AB$3:$AB$5001,BD!$A$3:$A$5001,Q$3,BD!$B$3:$B$5001,$A$233)))</f>
        <v/>
      </c>
      <c r="R259" s="240" t="str">
        <f>IF(R$3="","",IF(COUNTIFS(BD!$A$3:$A$5001,R$3,BD!$B$3:$B$5001,$A$233,BD!$AB$3:$AB$5001,"&lt;&gt;")=0,"",SUMIFS(BD!$AB$3:$AB$5001,BD!$A$3:$A$5001,R$3,BD!$B$3:$B$5001,$A$233)))</f>
        <v/>
      </c>
      <c r="S259" s="240" t="str">
        <f>IF(S$3="","",IF(COUNTIFS(BD!$A$3:$A$5001,S$3,BD!$B$3:$B$5001,$A$233,BD!$AB$3:$AB$5001,"&lt;&gt;")=0,"",SUMIFS(BD!$AB$3:$AB$5001,BD!$A$3:$A$5001,S$3,BD!$B$3:$B$5001,$A$233)))</f>
        <v/>
      </c>
      <c r="T259" s="240" t="str">
        <f>IF(T$3="","",IF(COUNTIFS(BD!$A$3:$A$5001,T$3,BD!$B$3:$B$5001,$A$233,BD!$AB$3:$AB$5001,"&lt;&gt;")=0,"",SUMIFS(BD!$AB$3:$AB$5001,BD!$A$3:$A$5001,T$3,BD!$B$3:$B$5001,$A$233)))</f>
        <v/>
      </c>
      <c r="U259" s="240" t="str">
        <f>IF(U$3="","",IF(COUNTIFS(BD!$A$3:$A$5001,U$3,BD!$B$3:$B$5001,$A$233,BD!$AB$3:$AB$5001,"&lt;&gt;")=0,"",SUMIFS(BD!$AB$3:$AB$5001,BD!$A$3:$A$5001,U$3,BD!$B$3:$B$5001,$A$233)))</f>
        <v/>
      </c>
      <c r="V259" s="240" t="str">
        <f>IF(V$3="","",IF(COUNTIFS(BD!$A$3:$A$5001,V$3,BD!$B$3:$B$5001,$A$233,BD!$AB$3:$AB$5001,"&lt;&gt;")=0,"",SUMIFS(BD!$AB$3:$AB$5001,BD!$A$3:$A$5001,V$3,BD!$B$3:$B$5001,$A$233)))</f>
        <v/>
      </c>
      <c r="W259" s="240" t="str">
        <f>IF(W$3="","",IF(COUNTIFS(BD!$A$3:$A$5001,W$3,BD!$B$3:$B$5001,$A$233,BD!$AB$3:$AB$5001,"&lt;&gt;")=0,"",SUMIFS(BD!$AB$3:$AB$5001,BD!$A$3:$A$5001,W$3,BD!$B$3:$B$5001,$A$233)))</f>
        <v/>
      </c>
      <c r="X259" s="240" t="str">
        <f>IF(X$3="","",IF(COUNTIFS(BD!$A$3:$A$5001,X$3,BD!$B$3:$B$5001,$A$233,BD!$AB$3:$AB$5001,"&lt;&gt;")=0,"",SUMIFS(BD!$AB$3:$AB$5001,BD!$A$3:$A$5001,X$3,BD!$B$3:$B$5001,$A$233)))</f>
        <v/>
      </c>
      <c r="Y259" s="240" t="str">
        <f>IF(Y$3="","",IF(COUNTIFS(BD!$A$3:$A$5001,Y$3,BD!$B$3:$B$5001,$A$233,BD!$AB$3:$AB$5001,"&lt;&gt;")=0,"",SUMIFS(BD!$AB$3:$AB$5001,BD!$A$3:$A$5001,Y$3,BD!$B$3:$B$5001,$A$233)))</f>
        <v/>
      </c>
      <c r="Z259" s="240" t="str">
        <f>IF(Z$3="","",IF(COUNTIFS(BD!$A$3:$A$5001,Z$3,BD!$B$3:$B$5001,$A$233,BD!$AB$3:$AB$5001,"&lt;&gt;")=0,"",SUMIFS(BD!$AB$3:$AB$5001,BD!$A$3:$A$5001,Z$3,BD!$B$3:$B$5001,$A$233)))</f>
        <v/>
      </c>
      <c r="AA259" s="240" t="str">
        <f>IF(AA$3="","",IF(COUNTIFS(BD!$A$3:$A$5001,AA$3,BD!$B$3:$B$5001,$A$233,BD!$AB$3:$AB$5001,"&lt;&gt;")=0,"",SUMIFS(BD!$AB$3:$AB$5001,BD!$A$3:$A$5001,AA$3,BD!$B$3:$B$5001,$A$233)))</f>
        <v/>
      </c>
      <c r="AB259" s="240" t="str">
        <f>IF(AB$3="","",IF(COUNTIFS(BD!$A$3:$A$5001,AB$3,BD!$B$3:$B$5001,$A$233,BD!$AB$3:$AB$5001,"&lt;&gt;")=0,"",SUMIFS(BD!$AB$3:$AB$5001,BD!$A$3:$A$5001,AB$3,BD!$B$3:$B$5001,$A$233)))</f>
        <v/>
      </c>
      <c r="AC259" s="240" t="str">
        <f>IF(AC$3="","",IF(COUNTIFS(BD!$A$3:$A$5001,AC$3,BD!$B$3:$B$5001,$A$233,BD!$AB$3:$AB$5001,"&lt;&gt;")=0,"",SUMIFS(BD!$AB$3:$AB$5001,BD!$A$3:$A$5001,AC$3,BD!$B$3:$B$5001,$A$233)))</f>
        <v/>
      </c>
      <c r="AD259" s="240" t="str">
        <f>IF(AD$3="","",IF(COUNTIFS(BD!$A$3:$A$5001,AD$3,BD!$B$3:$B$5001,$A$233,BD!$AB$3:$AB$5001,"&lt;&gt;")=0,"",SUMIFS(BD!$AB$3:$AB$5001,BD!$A$3:$A$5001,AD$3,BD!$B$3:$B$5001,$A$233)))</f>
        <v/>
      </c>
      <c r="AE259" s="240" t="str">
        <f>IF(AE$3="","",IF(COUNTIFS(BD!$A$3:$A$5001,AE$3,BD!$B$3:$B$5001,$A$233,BD!$AB$3:$AB$5001,"&lt;&gt;")=0,"",SUMIFS(BD!$AB$3:$AB$5001,BD!$A$3:$A$5001,AE$3,BD!$B$3:$B$5001,$A$233)))</f>
        <v/>
      </c>
      <c r="AF259" s="240" t="str">
        <f>IF(AF$3="","",IF(COUNTIFS(BD!$A$3:$A$5001,AF$3,BD!$B$3:$B$5001,$A$233,BD!$AB$3:$AB$5001,"&lt;&gt;")=0,"",SUMIFS(BD!$AB$3:$AB$5001,BD!$A$3:$A$5001,AF$3,BD!$B$3:$B$5001,$A$233)))</f>
        <v/>
      </c>
      <c r="AG259" s="240" t="str">
        <f>IF(AG$3="","",IF(COUNTIFS(BD!$A$3:$A$5001,AG$3,BD!$B$3:$B$5001,$A$233,BD!$AB$3:$AB$5001,"&lt;&gt;")=0,"",SUMIFS(BD!$AB$3:$AB$5001,BD!$A$3:$A$5001,AG$3,BD!$B$3:$B$5001,$A$233)))</f>
        <v/>
      </c>
      <c r="AH259" s="240" t="str">
        <f>IF(AH$3="","",IF(COUNTIFS(BD!$A$3:$A$5001,AH$3,BD!$B$3:$B$5001,$A$233,BD!$AB$3:$AB$5001,"&lt;&gt;")=0,"",SUMIFS(BD!$AB$3:$AB$5001,BD!$A$3:$A$5001,AH$3,BD!$B$3:$B$5001,$A$233)))</f>
        <v/>
      </c>
      <c r="AI259" s="240" t="str">
        <f>IF(AI$3="","",IF(COUNTIFS(BD!$A$3:$A$5001,AI$3,BD!$B$3:$B$5001,$A$233,BD!$AB$3:$AB$5001,"&lt;&gt;")=0,"",SUMIFS(BD!$AB$3:$AB$5001,BD!$A$3:$A$5001,AI$3,BD!$B$3:$B$5001,$A$233)))</f>
        <v/>
      </c>
      <c r="AJ259" s="241" t="str">
        <f>IF(AJ$3="","",IF(COUNTIFS(BD!$A$3:$A$5001,AJ$3,BD!$B$3:$B$5001,$A$233,BD!$AB$3:$AB$5001,"&lt;&gt;")=0,"",SUMIFS(BD!$AB$3:$AB$5001,BD!$A$3:$A$5001,AJ$3,BD!$B$3:$B$5001,$A$233)))</f>
        <v/>
      </c>
      <c r="AK259" s="242" t="str">
        <f>IF(COUNT(F259:AJ259)=0,"",SUM(F259:AJ259))</f>
        <v/>
      </c>
    </row>
    <row r="260" ht="15.75" customHeight="1" hidden="1">
      <c r="A260" s="261"/>
      <c r="B260" s="258"/>
      <c r="C260" s="232" t="inlineStr">
        <is>
          <t xml:space="preserve">Folga</t>
        </is>
      </c>
      <c r="D260" s="233" t="str">
        <f>IFERROR(1/(1/INDEX(BD!$AL$50:$BF$50,MATCH($A$233,BD!$AL$22:$BF$22,0))),"")</f>
        <v/>
      </c>
      <c r="E260" s="234"/>
      <c r="F260" s="235" t="str">
        <f>IF(F$3="","",IF(COUNTIFS(BD!$A$3:$A$5001,F$3,BD!$B$3:$B$5001,$A$233,BD!$AC$3:$AC$5001,"&lt;&gt;")=0,"",SUMIFS(BD!$AC$3:$AC$5001,BD!$A$3:$A$5001,F$3,BD!$B$3:$B$5001,$A$233)))</f>
        <v/>
      </c>
      <c r="G260" s="236" t="str">
        <f>IF(G$3="","",IF(COUNTIFS(BD!$A$3:$A$5001,G$3,BD!$B$3:$B$5001,$A$233,BD!$AC$3:$AC$5001,"&lt;&gt;")=0,"",SUMIFS(BD!$AC$3:$AC$5001,BD!$A$3:$A$5001,G$3,BD!$B$3:$B$5001,$A$233)))</f>
        <v/>
      </c>
      <c r="H260" s="236" t="str">
        <f>IF(H$3="","",IF(COUNTIFS(BD!$A$3:$A$5001,H$3,BD!$B$3:$B$5001,$A$233,BD!$AC$3:$AC$5001,"&lt;&gt;")=0,"",SUMIFS(BD!$AC$3:$AC$5001,BD!$A$3:$A$5001,H$3,BD!$B$3:$B$5001,$A$233)))</f>
        <v/>
      </c>
      <c r="I260" s="236" t="str">
        <f>IF(I$3="","",IF(COUNTIFS(BD!$A$3:$A$5001,I$3,BD!$B$3:$B$5001,$A$233,BD!$AC$3:$AC$5001,"&lt;&gt;")=0,"",SUMIFS(BD!$AC$3:$AC$5001,BD!$A$3:$A$5001,I$3,BD!$B$3:$B$5001,$A$233)))</f>
        <v/>
      </c>
      <c r="J260" s="236" t="str">
        <f>IF(J$3="","",IF(COUNTIFS(BD!$A$3:$A$5001,J$3,BD!$B$3:$B$5001,$A$233,BD!$AC$3:$AC$5001,"&lt;&gt;")=0,"",SUMIFS(BD!$AC$3:$AC$5001,BD!$A$3:$A$5001,J$3,BD!$B$3:$B$5001,$A$233)))</f>
        <v/>
      </c>
      <c r="K260" s="236" t="str">
        <f>IF(K$3="","",IF(COUNTIFS(BD!$A$3:$A$5001,K$3,BD!$B$3:$B$5001,$A$233,BD!$AC$3:$AC$5001,"&lt;&gt;")=0,"",SUMIFS(BD!$AC$3:$AC$5001,BD!$A$3:$A$5001,K$3,BD!$B$3:$B$5001,$A$233)))</f>
        <v/>
      </c>
      <c r="L260" s="236" t="str">
        <f>IF(L$3="","",IF(COUNTIFS(BD!$A$3:$A$5001,L$3,BD!$B$3:$B$5001,$A$233,BD!$AC$3:$AC$5001,"&lt;&gt;")=0,"",SUMIFS(BD!$AC$3:$AC$5001,BD!$A$3:$A$5001,L$3,BD!$B$3:$B$5001,$A$233)))</f>
        <v/>
      </c>
      <c r="M260" s="236" t="str">
        <f>IF(M$3="","",IF(COUNTIFS(BD!$A$3:$A$5001,M$3,BD!$B$3:$B$5001,$A$233,BD!$AC$3:$AC$5001,"&lt;&gt;")=0,"",SUMIFS(BD!$AC$3:$AC$5001,BD!$A$3:$A$5001,M$3,BD!$B$3:$B$5001,$A$233)))</f>
        <v/>
      </c>
      <c r="N260" s="236" t="str">
        <f>IF(N$3="","",IF(COUNTIFS(BD!$A$3:$A$5001,N$3,BD!$B$3:$B$5001,$A$233,BD!$AC$3:$AC$5001,"&lt;&gt;")=0,"",SUMIFS(BD!$AC$3:$AC$5001,BD!$A$3:$A$5001,N$3,BD!$B$3:$B$5001,$A$233)))</f>
        <v/>
      </c>
      <c r="O260" s="236" t="str">
        <f>IF(O$3="","",IF(COUNTIFS(BD!$A$3:$A$5001,O$3,BD!$B$3:$B$5001,$A$233,BD!$AC$3:$AC$5001,"&lt;&gt;")=0,"",SUMIFS(BD!$AC$3:$AC$5001,BD!$A$3:$A$5001,O$3,BD!$B$3:$B$5001,$A$233)))</f>
        <v/>
      </c>
      <c r="P260" s="236" t="str">
        <f>IF(P$3="","",IF(COUNTIFS(BD!$A$3:$A$5001,P$3,BD!$B$3:$B$5001,$A$233,BD!$AC$3:$AC$5001,"&lt;&gt;")=0,"",SUMIFS(BD!$AC$3:$AC$5001,BD!$A$3:$A$5001,P$3,BD!$B$3:$B$5001,$A$233)))</f>
        <v/>
      </c>
      <c r="Q260" s="236" t="str">
        <f>IF(Q$3="","",IF(COUNTIFS(BD!$A$3:$A$5001,Q$3,BD!$B$3:$B$5001,$A$233,BD!$AC$3:$AC$5001,"&lt;&gt;")=0,"",SUMIFS(BD!$AC$3:$AC$5001,BD!$A$3:$A$5001,Q$3,BD!$B$3:$B$5001,$A$233)))</f>
        <v/>
      </c>
      <c r="R260" s="236" t="str">
        <f>IF(R$3="","",IF(COUNTIFS(BD!$A$3:$A$5001,R$3,BD!$B$3:$B$5001,$A$233,BD!$AC$3:$AC$5001,"&lt;&gt;")=0,"",SUMIFS(BD!$AC$3:$AC$5001,BD!$A$3:$A$5001,R$3,BD!$B$3:$B$5001,$A$233)))</f>
        <v/>
      </c>
      <c r="S260" s="236" t="str">
        <f>IF(S$3="","",IF(COUNTIFS(BD!$A$3:$A$5001,S$3,BD!$B$3:$B$5001,$A$233,BD!$AC$3:$AC$5001,"&lt;&gt;")=0,"",SUMIFS(BD!$AC$3:$AC$5001,BD!$A$3:$A$5001,S$3,BD!$B$3:$B$5001,$A$233)))</f>
        <v/>
      </c>
      <c r="T260" s="236" t="str">
        <f>IF(T$3="","",IF(COUNTIFS(BD!$A$3:$A$5001,T$3,BD!$B$3:$B$5001,$A$233,BD!$AC$3:$AC$5001,"&lt;&gt;")=0,"",SUMIFS(BD!$AC$3:$AC$5001,BD!$A$3:$A$5001,T$3,BD!$B$3:$B$5001,$A$233)))</f>
        <v/>
      </c>
      <c r="U260" s="236" t="str">
        <f>IF(U$3="","",IF(COUNTIFS(BD!$A$3:$A$5001,U$3,BD!$B$3:$B$5001,$A$233,BD!$AC$3:$AC$5001,"&lt;&gt;")=0,"",SUMIFS(BD!$AC$3:$AC$5001,BD!$A$3:$A$5001,U$3,BD!$B$3:$B$5001,$A$233)))</f>
        <v/>
      </c>
      <c r="V260" s="236" t="str">
        <f>IF(V$3="","",IF(COUNTIFS(BD!$A$3:$A$5001,V$3,BD!$B$3:$B$5001,$A$233,BD!$AC$3:$AC$5001,"&lt;&gt;")=0,"",SUMIFS(BD!$AC$3:$AC$5001,BD!$A$3:$A$5001,V$3,BD!$B$3:$B$5001,$A$233)))</f>
        <v/>
      </c>
      <c r="W260" s="236" t="str">
        <f>IF(W$3="","",IF(COUNTIFS(BD!$A$3:$A$5001,W$3,BD!$B$3:$B$5001,$A$233,BD!$AC$3:$AC$5001,"&lt;&gt;")=0,"",SUMIFS(BD!$AC$3:$AC$5001,BD!$A$3:$A$5001,W$3,BD!$B$3:$B$5001,$A$233)))</f>
        <v/>
      </c>
      <c r="X260" s="236" t="str">
        <f>IF(X$3="","",IF(COUNTIFS(BD!$A$3:$A$5001,X$3,BD!$B$3:$B$5001,$A$233,BD!$AC$3:$AC$5001,"&lt;&gt;")=0,"",SUMIFS(BD!$AC$3:$AC$5001,BD!$A$3:$A$5001,X$3,BD!$B$3:$B$5001,$A$233)))</f>
        <v/>
      </c>
      <c r="Y260" s="236" t="str">
        <f>IF(Y$3="","",IF(COUNTIFS(BD!$A$3:$A$5001,Y$3,BD!$B$3:$B$5001,$A$233,BD!$AC$3:$AC$5001,"&lt;&gt;")=0,"",SUMIFS(BD!$AC$3:$AC$5001,BD!$A$3:$A$5001,Y$3,BD!$B$3:$B$5001,$A$233)))</f>
        <v/>
      </c>
      <c r="Z260" s="236" t="str">
        <f>IF(Z$3="","",IF(COUNTIFS(BD!$A$3:$A$5001,Z$3,BD!$B$3:$B$5001,$A$233,BD!$AC$3:$AC$5001,"&lt;&gt;")=0,"",SUMIFS(BD!$AC$3:$AC$5001,BD!$A$3:$A$5001,Z$3,BD!$B$3:$B$5001,$A$233)))</f>
        <v/>
      </c>
      <c r="AA260" s="236" t="str">
        <f>IF(AA$3="","",IF(COUNTIFS(BD!$A$3:$A$5001,AA$3,BD!$B$3:$B$5001,$A$233,BD!$AC$3:$AC$5001,"&lt;&gt;")=0,"",SUMIFS(BD!$AC$3:$AC$5001,BD!$A$3:$A$5001,AA$3,BD!$B$3:$B$5001,$A$233)))</f>
        <v/>
      </c>
      <c r="AB260" s="236" t="str">
        <f>IF(AB$3="","",IF(COUNTIFS(BD!$A$3:$A$5001,AB$3,BD!$B$3:$B$5001,$A$233,BD!$AC$3:$AC$5001,"&lt;&gt;")=0,"",SUMIFS(BD!$AC$3:$AC$5001,BD!$A$3:$A$5001,AB$3,BD!$B$3:$B$5001,$A$233)))</f>
        <v/>
      </c>
      <c r="AC260" s="236" t="str">
        <f>IF(AC$3="","",IF(COUNTIFS(BD!$A$3:$A$5001,AC$3,BD!$B$3:$B$5001,$A$233,BD!$AC$3:$AC$5001,"&lt;&gt;")=0,"",SUMIFS(BD!$AC$3:$AC$5001,BD!$A$3:$A$5001,AC$3,BD!$B$3:$B$5001,$A$233)))</f>
        <v/>
      </c>
      <c r="AD260" s="236" t="str">
        <f>IF(AD$3="","",IF(COUNTIFS(BD!$A$3:$A$5001,AD$3,BD!$B$3:$B$5001,$A$233,BD!$AC$3:$AC$5001,"&lt;&gt;")=0,"",SUMIFS(BD!$AC$3:$AC$5001,BD!$A$3:$A$5001,AD$3,BD!$B$3:$B$5001,$A$233)))</f>
        <v/>
      </c>
      <c r="AE260" s="236" t="str">
        <f>IF(AE$3="","",IF(COUNTIFS(BD!$A$3:$A$5001,AE$3,BD!$B$3:$B$5001,$A$233,BD!$AC$3:$AC$5001,"&lt;&gt;")=0,"",SUMIFS(BD!$AC$3:$AC$5001,BD!$A$3:$A$5001,AE$3,BD!$B$3:$B$5001,$A$233)))</f>
        <v/>
      </c>
      <c r="AF260" s="236" t="str">
        <f>IF(AF$3="","",IF(COUNTIFS(BD!$A$3:$A$5001,AF$3,BD!$B$3:$B$5001,$A$233,BD!$AC$3:$AC$5001,"&lt;&gt;")=0,"",SUMIFS(BD!$AC$3:$AC$5001,BD!$A$3:$A$5001,AF$3,BD!$B$3:$B$5001,$A$233)))</f>
        <v/>
      </c>
      <c r="AG260" s="236" t="str">
        <f>IF(AG$3="","",IF(COUNTIFS(BD!$A$3:$A$5001,AG$3,BD!$B$3:$B$5001,$A$233,BD!$AC$3:$AC$5001,"&lt;&gt;")=0,"",SUMIFS(BD!$AC$3:$AC$5001,BD!$A$3:$A$5001,AG$3,BD!$B$3:$B$5001,$A$233)))</f>
        <v/>
      </c>
      <c r="AH260" s="236" t="str">
        <f>IF(AH$3="","",IF(COUNTIFS(BD!$A$3:$A$5001,AH$3,BD!$B$3:$B$5001,$A$233,BD!$AC$3:$AC$5001,"&lt;&gt;")=0,"",SUMIFS(BD!$AC$3:$AC$5001,BD!$A$3:$A$5001,AH$3,BD!$B$3:$B$5001,$A$233)))</f>
        <v/>
      </c>
      <c r="AI260" s="236" t="str">
        <f>IF(AI$3="","",IF(COUNTIFS(BD!$A$3:$A$5001,AI$3,BD!$B$3:$B$5001,$A$233,BD!$AC$3:$AC$5001,"&lt;&gt;")=0,"",SUMIFS(BD!$AC$3:$AC$5001,BD!$A$3:$A$5001,AI$3,BD!$B$3:$B$5001,$A$233)))</f>
        <v/>
      </c>
      <c r="AJ260" s="237" t="str">
        <f>IF(AJ$3="","",IF(COUNTIFS(BD!$A$3:$A$5001,AJ$3,BD!$B$3:$B$5001,$A$233,BD!$AC$3:$AC$5001,"&lt;&gt;")=0,"",SUMIFS(BD!$AC$3:$AC$5001,BD!$A$3:$A$5001,AJ$3,BD!$B$3:$B$5001,$A$233)))</f>
        <v/>
      </c>
      <c r="AK260" s="238" t="str">
        <f>IF(COUNT(F260:AJ260)=0,"",SUM(F260:AJ260))</f>
        <v/>
      </c>
    </row>
    <row r="261" ht="15.75" customHeight="1" hidden="1">
      <c r="A261" s="261"/>
      <c r="B261" s="258"/>
      <c r="C261" s="232" t="inlineStr">
        <is>
          <t xml:space="preserve">Férias</t>
        </is>
      </c>
      <c r="D261" s="233" t="str">
        <f>IFERROR(1/(1/INDEX(BD!$AL$51:$BF$51,MATCH($A$233,BD!$AL$22:$BF$22,0))),"")</f>
        <v/>
      </c>
      <c r="E261" s="234"/>
      <c r="F261" s="235" t="str">
        <f>IF(F$3="","",IF(COUNTIFS(BD!$A$3:$A$5001,F$3,BD!$B$3:$B$5001,$A$233,BD!$AD$3:$AD$5001,"&lt;&gt;")=0,"",SUMIFS(BD!$AD$3:$AD$5001,BD!$A$3:$A$5001,F$3,BD!$B$3:$B$5001,$A$233)))</f>
        <v/>
      </c>
      <c r="G261" s="236" t="str">
        <f>IF(G$3="","",IF(COUNTIFS(BD!$A$3:$A$5001,G$3,BD!$B$3:$B$5001,$A$233,BD!$AD$3:$AD$5001,"&lt;&gt;")=0,"",SUMIFS(BD!$AD$3:$AD$5001,BD!$A$3:$A$5001,G$3,BD!$B$3:$B$5001,$A$233)))</f>
        <v/>
      </c>
      <c r="H261" s="236" t="str">
        <f>IF(H$3="","",IF(COUNTIFS(BD!$A$3:$A$5001,H$3,BD!$B$3:$B$5001,$A$233,BD!$AD$3:$AD$5001,"&lt;&gt;")=0,"",SUMIFS(BD!$AD$3:$AD$5001,BD!$A$3:$A$5001,H$3,BD!$B$3:$B$5001,$A$233)))</f>
        <v/>
      </c>
      <c r="I261" s="236" t="str">
        <f>IF(I$3="","",IF(COUNTIFS(BD!$A$3:$A$5001,I$3,BD!$B$3:$B$5001,$A$233,BD!$AD$3:$AD$5001,"&lt;&gt;")=0,"",SUMIFS(BD!$AD$3:$AD$5001,BD!$A$3:$A$5001,I$3,BD!$B$3:$B$5001,$A$233)))</f>
        <v/>
      </c>
      <c r="J261" s="236" t="str">
        <f>IF(J$3="","",IF(COUNTIFS(BD!$A$3:$A$5001,J$3,BD!$B$3:$B$5001,$A$233,BD!$AD$3:$AD$5001,"&lt;&gt;")=0,"",SUMIFS(BD!$AD$3:$AD$5001,BD!$A$3:$A$5001,J$3,BD!$B$3:$B$5001,$A$233)))</f>
        <v/>
      </c>
      <c r="K261" s="236" t="str">
        <f>IF(K$3="","",IF(COUNTIFS(BD!$A$3:$A$5001,K$3,BD!$B$3:$B$5001,$A$233,BD!$AD$3:$AD$5001,"&lt;&gt;")=0,"",SUMIFS(BD!$AD$3:$AD$5001,BD!$A$3:$A$5001,K$3,BD!$B$3:$B$5001,$A$233)))</f>
        <v/>
      </c>
      <c r="L261" s="236" t="str">
        <f>IF(L$3="","",IF(COUNTIFS(BD!$A$3:$A$5001,L$3,BD!$B$3:$B$5001,$A$233,BD!$AD$3:$AD$5001,"&lt;&gt;")=0,"",SUMIFS(BD!$AD$3:$AD$5001,BD!$A$3:$A$5001,L$3,BD!$B$3:$B$5001,$A$233)))</f>
        <v/>
      </c>
      <c r="M261" s="236" t="str">
        <f>IF(M$3="","",IF(COUNTIFS(BD!$A$3:$A$5001,M$3,BD!$B$3:$B$5001,$A$233,BD!$AD$3:$AD$5001,"&lt;&gt;")=0,"",SUMIFS(BD!$AD$3:$AD$5001,BD!$A$3:$A$5001,M$3,BD!$B$3:$B$5001,$A$233)))</f>
        <v/>
      </c>
      <c r="N261" s="236" t="str">
        <f>IF(N$3="","",IF(COUNTIFS(BD!$A$3:$A$5001,N$3,BD!$B$3:$B$5001,$A$233,BD!$AD$3:$AD$5001,"&lt;&gt;")=0,"",SUMIFS(BD!$AD$3:$AD$5001,BD!$A$3:$A$5001,N$3,BD!$B$3:$B$5001,$A$233)))</f>
        <v/>
      </c>
      <c r="O261" s="236" t="str">
        <f>IF(O$3="","",IF(COUNTIFS(BD!$A$3:$A$5001,O$3,BD!$B$3:$B$5001,$A$233,BD!$AD$3:$AD$5001,"&lt;&gt;")=0,"",SUMIFS(BD!$AD$3:$AD$5001,BD!$A$3:$A$5001,O$3,BD!$B$3:$B$5001,$A$233)))</f>
        <v/>
      </c>
      <c r="P261" s="236" t="str">
        <f>IF(P$3="","",IF(COUNTIFS(BD!$A$3:$A$5001,P$3,BD!$B$3:$B$5001,$A$233,BD!$AD$3:$AD$5001,"&lt;&gt;")=0,"",SUMIFS(BD!$AD$3:$AD$5001,BD!$A$3:$A$5001,P$3,BD!$B$3:$B$5001,$A$233)))</f>
        <v/>
      </c>
      <c r="Q261" s="236" t="str">
        <f>IF(Q$3="","",IF(COUNTIFS(BD!$A$3:$A$5001,Q$3,BD!$B$3:$B$5001,$A$233,BD!$AD$3:$AD$5001,"&lt;&gt;")=0,"",SUMIFS(BD!$AD$3:$AD$5001,BD!$A$3:$A$5001,Q$3,BD!$B$3:$B$5001,$A$233)))</f>
        <v/>
      </c>
      <c r="R261" s="236" t="str">
        <f>IF(R$3="","",IF(COUNTIFS(BD!$A$3:$A$5001,R$3,BD!$B$3:$B$5001,$A$233,BD!$AD$3:$AD$5001,"&lt;&gt;")=0,"",SUMIFS(BD!$AD$3:$AD$5001,BD!$A$3:$A$5001,R$3,BD!$B$3:$B$5001,$A$233)))</f>
        <v/>
      </c>
      <c r="S261" s="236" t="str">
        <f>IF(S$3="","",IF(COUNTIFS(BD!$A$3:$A$5001,S$3,BD!$B$3:$B$5001,$A$233,BD!$AD$3:$AD$5001,"&lt;&gt;")=0,"",SUMIFS(BD!$AD$3:$AD$5001,BD!$A$3:$A$5001,S$3,BD!$B$3:$B$5001,$A$233)))</f>
        <v/>
      </c>
      <c r="T261" s="236" t="str">
        <f>IF(T$3="","",IF(COUNTIFS(BD!$A$3:$A$5001,T$3,BD!$B$3:$B$5001,$A$233,BD!$AD$3:$AD$5001,"&lt;&gt;")=0,"",SUMIFS(BD!$AD$3:$AD$5001,BD!$A$3:$A$5001,T$3,BD!$B$3:$B$5001,$A$233)))</f>
        <v/>
      </c>
      <c r="U261" s="236" t="str">
        <f>IF(U$3="","",IF(COUNTIFS(BD!$A$3:$A$5001,U$3,BD!$B$3:$B$5001,$A$233,BD!$AD$3:$AD$5001,"&lt;&gt;")=0,"",SUMIFS(BD!$AD$3:$AD$5001,BD!$A$3:$A$5001,U$3,BD!$B$3:$B$5001,$A$233)))</f>
        <v/>
      </c>
      <c r="V261" s="236" t="str">
        <f>IF(V$3="","",IF(COUNTIFS(BD!$A$3:$A$5001,V$3,BD!$B$3:$B$5001,$A$233,BD!$AD$3:$AD$5001,"&lt;&gt;")=0,"",SUMIFS(BD!$AD$3:$AD$5001,BD!$A$3:$A$5001,V$3,BD!$B$3:$B$5001,$A$233)))</f>
        <v/>
      </c>
      <c r="W261" s="236" t="str">
        <f>IF(W$3="","",IF(COUNTIFS(BD!$A$3:$A$5001,W$3,BD!$B$3:$B$5001,$A$233,BD!$AD$3:$AD$5001,"&lt;&gt;")=0,"",SUMIFS(BD!$AD$3:$AD$5001,BD!$A$3:$A$5001,W$3,BD!$B$3:$B$5001,$A$233)))</f>
        <v/>
      </c>
      <c r="X261" s="236" t="str">
        <f>IF(X$3="","",IF(COUNTIFS(BD!$A$3:$A$5001,X$3,BD!$B$3:$B$5001,$A$233,BD!$AD$3:$AD$5001,"&lt;&gt;")=0,"",SUMIFS(BD!$AD$3:$AD$5001,BD!$A$3:$A$5001,X$3,BD!$B$3:$B$5001,$A$233)))</f>
        <v/>
      </c>
      <c r="Y261" s="236" t="str">
        <f>IF(Y$3="","",IF(COUNTIFS(BD!$A$3:$A$5001,Y$3,BD!$B$3:$B$5001,$A$233,BD!$AD$3:$AD$5001,"&lt;&gt;")=0,"",SUMIFS(BD!$AD$3:$AD$5001,BD!$A$3:$A$5001,Y$3,BD!$B$3:$B$5001,$A$233)))</f>
        <v/>
      </c>
      <c r="Z261" s="236" t="str">
        <f>IF(Z$3="","",IF(COUNTIFS(BD!$A$3:$A$5001,Z$3,BD!$B$3:$B$5001,$A$233,BD!$AD$3:$AD$5001,"&lt;&gt;")=0,"",SUMIFS(BD!$AD$3:$AD$5001,BD!$A$3:$A$5001,Z$3,BD!$B$3:$B$5001,$A$233)))</f>
        <v/>
      </c>
      <c r="AA261" s="236" t="str">
        <f>IF(AA$3="","",IF(COUNTIFS(BD!$A$3:$A$5001,AA$3,BD!$B$3:$B$5001,$A$233,BD!$AD$3:$AD$5001,"&lt;&gt;")=0,"",SUMIFS(BD!$AD$3:$AD$5001,BD!$A$3:$A$5001,AA$3,BD!$B$3:$B$5001,$A$233)))</f>
        <v/>
      </c>
      <c r="AB261" s="236" t="str">
        <f>IF(AB$3="","",IF(COUNTIFS(BD!$A$3:$A$5001,AB$3,BD!$B$3:$B$5001,$A$233,BD!$AD$3:$AD$5001,"&lt;&gt;")=0,"",SUMIFS(BD!$AD$3:$AD$5001,BD!$A$3:$A$5001,AB$3,BD!$B$3:$B$5001,$A$233)))</f>
        <v/>
      </c>
      <c r="AC261" s="236" t="str">
        <f>IF(AC$3="","",IF(COUNTIFS(BD!$A$3:$A$5001,AC$3,BD!$B$3:$B$5001,$A$233,BD!$AD$3:$AD$5001,"&lt;&gt;")=0,"",SUMIFS(BD!$AD$3:$AD$5001,BD!$A$3:$A$5001,AC$3,BD!$B$3:$B$5001,$A$233)))</f>
        <v/>
      </c>
      <c r="AD261" s="236" t="str">
        <f>IF(AD$3="","",IF(COUNTIFS(BD!$A$3:$A$5001,AD$3,BD!$B$3:$B$5001,$A$233,BD!$AD$3:$AD$5001,"&lt;&gt;")=0,"",SUMIFS(BD!$AD$3:$AD$5001,BD!$A$3:$A$5001,AD$3,BD!$B$3:$B$5001,$A$233)))</f>
        <v/>
      </c>
      <c r="AE261" s="236" t="str">
        <f>IF(AE$3="","",IF(COUNTIFS(BD!$A$3:$A$5001,AE$3,BD!$B$3:$B$5001,$A$233,BD!$AD$3:$AD$5001,"&lt;&gt;")=0,"",SUMIFS(BD!$AD$3:$AD$5001,BD!$A$3:$A$5001,AE$3,BD!$B$3:$B$5001,$A$233)))</f>
        <v/>
      </c>
      <c r="AF261" s="236" t="str">
        <f>IF(AF$3="","",IF(COUNTIFS(BD!$A$3:$A$5001,AF$3,BD!$B$3:$B$5001,$A$233,BD!$AD$3:$AD$5001,"&lt;&gt;")=0,"",SUMIFS(BD!$AD$3:$AD$5001,BD!$A$3:$A$5001,AF$3,BD!$B$3:$B$5001,$A$233)))</f>
        <v/>
      </c>
      <c r="AG261" s="236" t="str">
        <f>IF(AG$3="","",IF(COUNTIFS(BD!$A$3:$A$5001,AG$3,BD!$B$3:$B$5001,$A$233,BD!$AD$3:$AD$5001,"&lt;&gt;")=0,"",SUMIFS(BD!$AD$3:$AD$5001,BD!$A$3:$A$5001,AG$3,BD!$B$3:$B$5001,$A$233)))</f>
        <v/>
      </c>
      <c r="AH261" s="236" t="str">
        <f>IF(AH$3="","",IF(COUNTIFS(BD!$A$3:$A$5001,AH$3,BD!$B$3:$B$5001,$A$233,BD!$AD$3:$AD$5001,"&lt;&gt;")=0,"",SUMIFS(BD!$AD$3:$AD$5001,BD!$A$3:$A$5001,AH$3,BD!$B$3:$B$5001,$A$233)))</f>
        <v/>
      </c>
      <c r="AI261" s="236" t="str">
        <f>IF(AI$3="","",IF(COUNTIFS(BD!$A$3:$A$5001,AI$3,BD!$B$3:$B$5001,$A$233,BD!$AD$3:$AD$5001,"&lt;&gt;")=0,"",SUMIFS(BD!$AD$3:$AD$5001,BD!$A$3:$A$5001,AI$3,BD!$B$3:$B$5001,$A$233)))</f>
        <v/>
      </c>
      <c r="AJ261" s="237" t="str">
        <f>IF(AJ$3="","",IF(COUNTIFS(BD!$A$3:$A$5001,AJ$3,BD!$B$3:$B$5001,$A$233,BD!$AD$3:$AD$5001,"&lt;&gt;")=0,"",SUMIFS(BD!$AD$3:$AD$5001,BD!$A$3:$A$5001,AJ$3,BD!$B$3:$B$5001,$A$233)))</f>
        <v/>
      </c>
      <c r="AK261" s="238" t="str">
        <f>IF(COUNT(F261:AJ261)=0,"",SUM(F261:AJ261))</f>
        <v/>
      </c>
    </row>
    <row r="262" ht="15.75" customHeight="1" hidden="1">
      <c r="A262" s="261"/>
      <c r="B262" s="258"/>
      <c r="C262" s="232" t="inlineStr">
        <is>
          <t xml:space="preserve">Desligamento</t>
        </is>
      </c>
      <c r="D262" s="233" t="str">
        <f>IFERROR(1/(1/INDEX(BD!$AL$52:$BF$52,MATCH($A$233,BD!$AL$22:$BF$22,0))),"")</f>
        <v/>
      </c>
      <c r="E262" s="234"/>
      <c r="F262" s="235" t="str">
        <f>IF(F$3="","",IF(COUNTIFS(BD!$A$3:$A$5001,F$3,BD!$B$3:$B$5001,$A$233,BD!$AE$3:$AE$5001,"&lt;&gt;")=0,"",SUMIFS(BD!$AE$3:$AE$5001,BD!$A$3:$A$5001,F$3,BD!$B$3:$B$5001,$A$233)))</f>
        <v/>
      </c>
      <c r="G262" s="236" t="str">
        <f>IF(G$3="","",IF(COUNTIFS(BD!$A$3:$A$5001,G$3,BD!$B$3:$B$5001,$A$233,BD!$AE$3:$AE$5001,"&lt;&gt;")=0,"",SUMIFS(BD!$AE$3:$AE$5001,BD!$A$3:$A$5001,G$3,BD!$B$3:$B$5001,$A$233)))</f>
        <v/>
      </c>
      <c r="H262" s="236" t="str">
        <f>IF(H$3="","",IF(COUNTIFS(BD!$A$3:$A$5001,H$3,BD!$B$3:$B$5001,$A$233,BD!$AE$3:$AE$5001,"&lt;&gt;")=0,"",SUMIFS(BD!$AE$3:$AE$5001,BD!$A$3:$A$5001,H$3,BD!$B$3:$B$5001,$A$233)))</f>
        <v/>
      </c>
      <c r="I262" s="236" t="str">
        <f>IF(I$3="","",IF(COUNTIFS(BD!$A$3:$A$5001,I$3,BD!$B$3:$B$5001,$A$233,BD!$AE$3:$AE$5001,"&lt;&gt;")=0,"",SUMIFS(BD!$AE$3:$AE$5001,BD!$A$3:$A$5001,I$3,BD!$B$3:$B$5001,$A$233)))</f>
        <v/>
      </c>
      <c r="J262" s="236" t="str">
        <f>IF(J$3="","",IF(COUNTIFS(BD!$A$3:$A$5001,J$3,BD!$B$3:$B$5001,$A$233,BD!$AE$3:$AE$5001,"&lt;&gt;")=0,"",SUMIFS(BD!$AE$3:$AE$5001,BD!$A$3:$A$5001,J$3,BD!$B$3:$B$5001,$A$233)))</f>
        <v/>
      </c>
      <c r="K262" s="236" t="str">
        <f>IF(K$3="","",IF(COUNTIFS(BD!$A$3:$A$5001,K$3,BD!$B$3:$B$5001,$A$233,BD!$AE$3:$AE$5001,"&lt;&gt;")=0,"",SUMIFS(BD!$AE$3:$AE$5001,BD!$A$3:$A$5001,K$3,BD!$B$3:$B$5001,$A$233)))</f>
        <v/>
      </c>
      <c r="L262" s="236" t="str">
        <f>IF(L$3="","",IF(COUNTIFS(BD!$A$3:$A$5001,L$3,BD!$B$3:$B$5001,$A$233,BD!$AE$3:$AE$5001,"&lt;&gt;")=0,"",SUMIFS(BD!$AE$3:$AE$5001,BD!$A$3:$A$5001,L$3,BD!$B$3:$B$5001,$A$233)))</f>
        <v/>
      </c>
      <c r="M262" s="236" t="str">
        <f>IF(M$3="","",IF(COUNTIFS(BD!$A$3:$A$5001,M$3,BD!$B$3:$B$5001,$A$233,BD!$AE$3:$AE$5001,"&lt;&gt;")=0,"",SUMIFS(BD!$AE$3:$AE$5001,BD!$A$3:$A$5001,M$3,BD!$B$3:$B$5001,$A$233)))</f>
        <v/>
      </c>
      <c r="N262" s="236" t="str">
        <f>IF(N$3="","",IF(COUNTIFS(BD!$A$3:$A$5001,N$3,BD!$B$3:$B$5001,$A$233,BD!$AE$3:$AE$5001,"&lt;&gt;")=0,"",SUMIFS(BD!$AE$3:$AE$5001,BD!$A$3:$A$5001,N$3,BD!$B$3:$B$5001,$A$233)))</f>
        <v/>
      </c>
      <c r="O262" s="236" t="str">
        <f>IF(O$3="","",IF(COUNTIFS(BD!$A$3:$A$5001,O$3,BD!$B$3:$B$5001,$A$233,BD!$AE$3:$AE$5001,"&lt;&gt;")=0,"",SUMIFS(BD!$AE$3:$AE$5001,BD!$A$3:$A$5001,O$3,BD!$B$3:$B$5001,$A$233)))</f>
        <v/>
      </c>
      <c r="P262" s="236" t="str">
        <f>IF(P$3="","",IF(COUNTIFS(BD!$A$3:$A$5001,P$3,BD!$B$3:$B$5001,$A$233,BD!$AE$3:$AE$5001,"&lt;&gt;")=0,"",SUMIFS(BD!$AE$3:$AE$5001,BD!$A$3:$A$5001,P$3,BD!$B$3:$B$5001,$A$233)))</f>
        <v/>
      </c>
      <c r="Q262" s="236" t="str">
        <f>IF(Q$3="","",IF(COUNTIFS(BD!$A$3:$A$5001,Q$3,BD!$B$3:$B$5001,$A$233,BD!$AE$3:$AE$5001,"&lt;&gt;")=0,"",SUMIFS(BD!$AE$3:$AE$5001,BD!$A$3:$A$5001,Q$3,BD!$B$3:$B$5001,$A$233)))</f>
        <v/>
      </c>
      <c r="R262" s="236" t="str">
        <f>IF(R$3="","",IF(COUNTIFS(BD!$A$3:$A$5001,R$3,BD!$B$3:$B$5001,$A$233,BD!$AE$3:$AE$5001,"&lt;&gt;")=0,"",SUMIFS(BD!$AE$3:$AE$5001,BD!$A$3:$A$5001,R$3,BD!$B$3:$B$5001,$A$233)))</f>
        <v/>
      </c>
      <c r="S262" s="236" t="str">
        <f>IF(S$3="","",IF(COUNTIFS(BD!$A$3:$A$5001,S$3,BD!$B$3:$B$5001,$A$233,BD!$AE$3:$AE$5001,"&lt;&gt;")=0,"",SUMIFS(BD!$AE$3:$AE$5001,BD!$A$3:$A$5001,S$3,BD!$B$3:$B$5001,$A$233)))</f>
        <v/>
      </c>
      <c r="T262" s="236" t="str">
        <f>IF(T$3="","",IF(COUNTIFS(BD!$A$3:$A$5001,T$3,BD!$B$3:$B$5001,$A$233,BD!$AE$3:$AE$5001,"&lt;&gt;")=0,"",SUMIFS(BD!$AE$3:$AE$5001,BD!$A$3:$A$5001,T$3,BD!$B$3:$B$5001,$A$233)))</f>
        <v/>
      </c>
      <c r="U262" s="236" t="str">
        <f>IF(U$3="","",IF(COUNTIFS(BD!$A$3:$A$5001,U$3,BD!$B$3:$B$5001,$A$233,BD!$AE$3:$AE$5001,"&lt;&gt;")=0,"",SUMIFS(BD!$AE$3:$AE$5001,BD!$A$3:$A$5001,U$3,BD!$B$3:$B$5001,$A$233)))</f>
        <v/>
      </c>
      <c r="V262" s="236" t="str">
        <f>IF(V$3="","",IF(COUNTIFS(BD!$A$3:$A$5001,V$3,BD!$B$3:$B$5001,$A$233,BD!$AE$3:$AE$5001,"&lt;&gt;")=0,"",SUMIFS(BD!$AE$3:$AE$5001,BD!$A$3:$A$5001,V$3,BD!$B$3:$B$5001,$A$233)))</f>
        <v/>
      </c>
      <c r="W262" s="236" t="str">
        <f>IF(W$3="","",IF(COUNTIFS(BD!$A$3:$A$5001,W$3,BD!$B$3:$B$5001,$A$233,BD!$AE$3:$AE$5001,"&lt;&gt;")=0,"",SUMIFS(BD!$AE$3:$AE$5001,BD!$A$3:$A$5001,W$3,BD!$B$3:$B$5001,$A$233)))</f>
        <v/>
      </c>
      <c r="X262" s="236" t="str">
        <f>IF(X$3="","",IF(COUNTIFS(BD!$A$3:$A$5001,X$3,BD!$B$3:$B$5001,$A$233,BD!$AE$3:$AE$5001,"&lt;&gt;")=0,"",SUMIFS(BD!$AE$3:$AE$5001,BD!$A$3:$A$5001,X$3,BD!$B$3:$B$5001,$A$233)))</f>
        <v/>
      </c>
      <c r="Y262" s="236" t="str">
        <f>IF(Y$3="","",IF(COUNTIFS(BD!$A$3:$A$5001,Y$3,BD!$B$3:$B$5001,$A$233,BD!$AE$3:$AE$5001,"&lt;&gt;")=0,"",SUMIFS(BD!$AE$3:$AE$5001,BD!$A$3:$A$5001,Y$3,BD!$B$3:$B$5001,$A$233)))</f>
        <v/>
      </c>
      <c r="Z262" s="236" t="str">
        <f>IF(Z$3="","",IF(COUNTIFS(BD!$A$3:$A$5001,Z$3,BD!$B$3:$B$5001,$A$233,BD!$AE$3:$AE$5001,"&lt;&gt;")=0,"",SUMIFS(BD!$AE$3:$AE$5001,BD!$A$3:$A$5001,Z$3,BD!$B$3:$B$5001,$A$233)))</f>
        <v/>
      </c>
      <c r="AA262" s="236" t="str">
        <f>IF(AA$3="","",IF(COUNTIFS(BD!$A$3:$A$5001,AA$3,BD!$B$3:$B$5001,$A$233,BD!$AE$3:$AE$5001,"&lt;&gt;")=0,"",SUMIFS(BD!$AE$3:$AE$5001,BD!$A$3:$A$5001,AA$3,BD!$B$3:$B$5001,$A$233)))</f>
        <v/>
      </c>
      <c r="AB262" s="236" t="str">
        <f>IF(AB$3="","",IF(COUNTIFS(BD!$A$3:$A$5001,AB$3,BD!$B$3:$B$5001,$A$233,BD!$AE$3:$AE$5001,"&lt;&gt;")=0,"",SUMIFS(BD!$AE$3:$AE$5001,BD!$A$3:$A$5001,AB$3,BD!$B$3:$B$5001,$A$233)))</f>
        <v/>
      </c>
      <c r="AC262" s="236" t="str">
        <f>IF(AC$3="","",IF(COUNTIFS(BD!$A$3:$A$5001,AC$3,BD!$B$3:$B$5001,$A$233,BD!$AE$3:$AE$5001,"&lt;&gt;")=0,"",SUMIFS(BD!$AE$3:$AE$5001,BD!$A$3:$A$5001,AC$3,BD!$B$3:$B$5001,$A$233)))</f>
        <v/>
      </c>
      <c r="AD262" s="236" t="str">
        <f>IF(AD$3="","",IF(COUNTIFS(BD!$A$3:$A$5001,AD$3,BD!$B$3:$B$5001,$A$233,BD!$AE$3:$AE$5001,"&lt;&gt;")=0,"",SUMIFS(BD!$AE$3:$AE$5001,BD!$A$3:$A$5001,AD$3,BD!$B$3:$B$5001,$A$233)))</f>
        <v/>
      </c>
      <c r="AE262" s="236" t="str">
        <f>IF(AE$3="","",IF(COUNTIFS(BD!$A$3:$A$5001,AE$3,BD!$B$3:$B$5001,$A$233,BD!$AE$3:$AE$5001,"&lt;&gt;")=0,"",SUMIFS(BD!$AE$3:$AE$5001,BD!$A$3:$A$5001,AE$3,BD!$B$3:$B$5001,$A$233)))</f>
        <v/>
      </c>
      <c r="AF262" s="236" t="str">
        <f>IF(AF$3="","",IF(COUNTIFS(BD!$A$3:$A$5001,AF$3,BD!$B$3:$B$5001,$A$233,BD!$AE$3:$AE$5001,"&lt;&gt;")=0,"",SUMIFS(BD!$AE$3:$AE$5001,BD!$A$3:$A$5001,AF$3,BD!$B$3:$B$5001,$A$233)))</f>
        <v/>
      </c>
      <c r="AG262" s="236" t="str">
        <f>IF(AG$3="","",IF(COUNTIFS(BD!$A$3:$A$5001,AG$3,BD!$B$3:$B$5001,$A$233,BD!$AE$3:$AE$5001,"&lt;&gt;")=0,"",SUMIFS(BD!$AE$3:$AE$5001,BD!$A$3:$A$5001,AG$3,BD!$B$3:$B$5001,$A$233)))</f>
        <v/>
      </c>
      <c r="AH262" s="236" t="str">
        <f>IF(AH$3="","",IF(COUNTIFS(BD!$A$3:$A$5001,AH$3,BD!$B$3:$B$5001,$A$233,BD!$AE$3:$AE$5001,"&lt;&gt;")=0,"",SUMIFS(BD!$AE$3:$AE$5001,BD!$A$3:$A$5001,AH$3,BD!$B$3:$B$5001,$A$233)))</f>
        <v/>
      </c>
      <c r="AI262" s="236" t="str">
        <f>IF(AI$3="","",IF(COUNTIFS(BD!$A$3:$A$5001,AI$3,BD!$B$3:$B$5001,$A$233,BD!$AE$3:$AE$5001,"&lt;&gt;")=0,"",SUMIFS(BD!$AE$3:$AE$5001,BD!$A$3:$A$5001,AI$3,BD!$B$3:$B$5001,$A$233)))</f>
        <v/>
      </c>
      <c r="AJ262" s="237" t="str">
        <f>IF(AJ$3="","",IF(COUNTIFS(BD!$A$3:$A$5001,AJ$3,BD!$B$3:$B$5001,$A$233,BD!$AE$3:$AE$5001,"&lt;&gt;")=0,"",SUMIFS(BD!$AE$3:$AE$5001,BD!$A$3:$A$5001,AJ$3,BD!$B$3:$B$5001,$A$233)))</f>
        <v/>
      </c>
      <c r="AK262" s="238" t="str">
        <f>IF(COUNT(F262:AJ262)=0,"",SUM(F262:AJ262))</f>
        <v/>
      </c>
    </row>
    <row r="263" ht="15.75" customHeight="1" hidden="1">
      <c r="A263" s="261"/>
      <c r="B263" s="258"/>
      <c r="C263" s="232" t="inlineStr">
        <is>
          <t xml:space="preserve">Desvios Comportamentais</t>
        </is>
      </c>
      <c r="D263" s="233" t="str">
        <f>IFERROR(1/(1/INDEX(BD!$AL$53:$BF$53,MATCH($A$233,BD!$AL$22:$BF$22,0))),"")</f>
        <v/>
      </c>
      <c r="E263" s="234"/>
      <c r="F263" s="235" t="str">
        <f>IF(F$3="","",IF(COUNTIFS(BD!$A$3:$A$5001,F$3,BD!$B$3:$B$5001,$A$233,BD!$AF$3:$AF$5001,"&lt;&gt;")=0,"",SUMIFS(BD!$AF$3:$AF$5001,BD!$A$3:$A$5001,F$3,BD!$B$3:$B$5001,$A$233)))</f>
        <v/>
      </c>
      <c r="G263" s="236" t="str">
        <f>IF(G$3="","",IF(COUNTIFS(BD!$A$3:$A$5001,G$3,BD!$B$3:$B$5001,$A$233,BD!$AF$3:$AF$5001,"&lt;&gt;")=0,"",SUMIFS(BD!$AF$3:$AF$5001,BD!$A$3:$A$5001,G$3,BD!$B$3:$B$5001,$A$233)))</f>
        <v/>
      </c>
      <c r="H263" s="236" t="str">
        <f>IF(H$3="","",IF(COUNTIFS(BD!$A$3:$A$5001,H$3,BD!$B$3:$B$5001,$A$233,BD!$AF$3:$AF$5001,"&lt;&gt;")=0,"",SUMIFS(BD!$AF$3:$AF$5001,BD!$A$3:$A$5001,H$3,BD!$B$3:$B$5001,$A$233)))</f>
        <v/>
      </c>
      <c r="I263" s="236" t="str">
        <f>IF(I$3="","",IF(COUNTIFS(BD!$A$3:$A$5001,I$3,BD!$B$3:$B$5001,$A$233,BD!$AF$3:$AF$5001,"&lt;&gt;")=0,"",SUMIFS(BD!$AF$3:$AF$5001,BD!$A$3:$A$5001,I$3,BD!$B$3:$B$5001,$A$233)))</f>
        <v/>
      </c>
      <c r="J263" s="236" t="str">
        <f>IF(J$3="","",IF(COUNTIFS(BD!$A$3:$A$5001,J$3,BD!$B$3:$B$5001,$A$233,BD!$AF$3:$AF$5001,"&lt;&gt;")=0,"",SUMIFS(BD!$AF$3:$AF$5001,BD!$A$3:$A$5001,J$3,BD!$B$3:$B$5001,$A$233)))</f>
        <v/>
      </c>
      <c r="K263" s="236" t="str">
        <f>IF(K$3="","",IF(COUNTIFS(BD!$A$3:$A$5001,K$3,BD!$B$3:$B$5001,$A$233,BD!$AF$3:$AF$5001,"&lt;&gt;")=0,"",SUMIFS(BD!$AF$3:$AF$5001,BD!$A$3:$A$5001,K$3,BD!$B$3:$B$5001,$A$233)))</f>
        <v/>
      </c>
      <c r="L263" s="236" t="str">
        <f>IF(L$3="","",IF(COUNTIFS(BD!$A$3:$A$5001,L$3,BD!$B$3:$B$5001,$A$233,BD!$AF$3:$AF$5001,"&lt;&gt;")=0,"",SUMIFS(BD!$AF$3:$AF$5001,BD!$A$3:$A$5001,L$3,BD!$B$3:$B$5001,$A$233)))</f>
        <v/>
      </c>
      <c r="M263" s="236" t="str">
        <f>IF(M$3="","",IF(COUNTIFS(BD!$A$3:$A$5001,M$3,BD!$B$3:$B$5001,$A$233,BD!$AF$3:$AF$5001,"&lt;&gt;")=0,"",SUMIFS(BD!$AF$3:$AF$5001,BD!$A$3:$A$5001,M$3,BD!$B$3:$B$5001,$A$233)))</f>
        <v/>
      </c>
      <c r="N263" s="236" t="str">
        <f>IF(N$3="","",IF(COUNTIFS(BD!$A$3:$A$5001,N$3,BD!$B$3:$B$5001,$A$233,BD!$AF$3:$AF$5001,"&lt;&gt;")=0,"",SUMIFS(BD!$AF$3:$AF$5001,BD!$A$3:$A$5001,N$3,BD!$B$3:$B$5001,$A$233)))</f>
        <v/>
      </c>
      <c r="O263" s="236" t="str">
        <f>IF(O$3="","",IF(COUNTIFS(BD!$A$3:$A$5001,O$3,BD!$B$3:$B$5001,$A$233,BD!$AF$3:$AF$5001,"&lt;&gt;")=0,"",SUMIFS(BD!$AF$3:$AF$5001,BD!$A$3:$A$5001,O$3,BD!$B$3:$B$5001,$A$233)))</f>
        <v/>
      </c>
      <c r="P263" s="236" t="str">
        <f>IF(P$3="","",IF(COUNTIFS(BD!$A$3:$A$5001,P$3,BD!$B$3:$B$5001,$A$233,BD!$AF$3:$AF$5001,"&lt;&gt;")=0,"",SUMIFS(BD!$AF$3:$AF$5001,BD!$A$3:$A$5001,P$3,BD!$B$3:$B$5001,$A$233)))</f>
        <v/>
      </c>
      <c r="Q263" s="236" t="str">
        <f>IF(Q$3="","",IF(COUNTIFS(BD!$A$3:$A$5001,Q$3,BD!$B$3:$B$5001,$A$233,BD!$AF$3:$AF$5001,"&lt;&gt;")=0,"",SUMIFS(BD!$AF$3:$AF$5001,BD!$A$3:$A$5001,Q$3,BD!$B$3:$B$5001,$A$233)))</f>
        <v/>
      </c>
      <c r="R263" s="236" t="str">
        <f>IF(R$3="","",IF(COUNTIFS(BD!$A$3:$A$5001,R$3,BD!$B$3:$B$5001,$A$233,BD!$AF$3:$AF$5001,"&lt;&gt;")=0,"",SUMIFS(BD!$AF$3:$AF$5001,BD!$A$3:$A$5001,R$3,BD!$B$3:$B$5001,$A$233)))</f>
        <v/>
      </c>
      <c r="S263" s="236" t="str">
        <f>IF(S$3="","",IF(COUNTIFS(BD!$A$3:$A$5001,S$3,BD!$B$3:$B$5001,$A$233,BD!$AF$3:$AF$5001,"&lt;&gt;")=0,"",SUMIFS(BD!$AF$3:$AF$5001,BD!$A$3:$A$5001,S$3,BD!$B$3:$B$5001,$A$233)))</f>
        <v/>
      </c>
      <c r="T263" s="236" t="str">
        <f>IF(T$3="","",IF(COUNTIFS(BD!$A$3:$A$5001,T$3,BD!$B$3:$B$5001,$A$233,BD!$AF$3:$AF$5001,"&lt;&gt;")=0,"",SUMIFS(BD!$AF$3:$AF$5001,BD!$A$3:$A$5001,T$3,BD!$B$3:$B$5001,$A$233)))</f>
        <v/>
      </c>
      <c r="U263" s="236" t="str">
        <f>IF(U$3="","",IF(COUNTIFS(BD!$A$3:$A$5001,U$3,BD!$B$3:$B$5001,$A$233,BD!$AF$3:$AF$5001,"&lt;&gt;")=0,"",SUMIFS(BD!$AF$3:$AF$5001,BD!$A$3:$A$5001,U$3,BD!$B$3:$B$5001,$A$233)))</f>
        <v/>
      </c>
      <c r="V263" s="236" t="str">
        <f>IF(V$3="","",IF(COUNTIFS(BD!$A$3:$A$5001,V$3,BD!$B$3:$B$5001,$A$233,BD!$AF$3:$AF$5001,"&lt;&gt;")=0,"",SUMIFS(BD!$AF$3:$AF$5001,BD!$A$3:$A$5001,V$3,BD!$B$3:$B$5001,$A$233)))</f>
        <v/>
      </c>
      <c r="W263" s="236" t="str">
        <f>IF(W$3="","",IF(COUNTIFS(BD!$A$3:$A$5001,W$3,BD!$B$3:$B$5001,$A$233,BD!$AF$3:$AF$5001,"&lt;&gt;")=0,"",SUMIFS(BD!$AF$3:$AF$5001,BD!$A$3:$A$5001,W$3,BD!$B$3:$B$5001,$A$233)))</f>
        <v/>
      </c>
      <c r="X263" s="236" t="str">
        <f>IF(X$3="","",IF(COUNTIFS(BD!$A$3:$A$5001,X$3,BD!$B$3:$B$5001,$A$233,BD!$AF$3:$AF$5001,"&lt;&gt;")=0,"",SUMIFS(BD!$AF$3:$AF$5001,BD!$A$3:$A$5001,X$3,BD!$B$3:$B$5001,$A$233)))</f>
        <v/>
      </c>
      <c r="Y263" s="236" t="str">
        <f>IF(Y$3="","",IF(COUNTIFS(BD!$A$3:$A$5001,Y$3,BD!$B$3:$B$5001,$A$233,BD!$AF$3:$AF$5001,"&lt;&gt;")=0,"",SUMIFS(BD!$AF$3:$AF$5001,BD!$A$3:$A$5001,Y$3,BD!$B$3:$B$5001,$A$233)))</f>
        <v/>
      </c>
      <c r="Z263" s="236" t="str">
        <f>IF(Z$3="","",IF(COUNTIFS(BD!$A$3:$A$5001,Z$3,BD!$B$3:$B$5001,$A$233,BD!$AF$3:$AF$5001,"&lt;&gt;")=0,"",SUMIFS(BD!$AF$3:$AF$5001,BD!$A$3:$A$5001,Z$3,BD!$B$3:$B$5001,$A$233)))</f>
        <v/>
      </c>
      <c r="AA263" s="236" t="str">
        <f>IF(AA$3="","",IF(COUNTIFS(BD!$A$3:$A$5001,AA$3,BD!$B$3:$B$5001,$A$233,BD!$AF$3:$AF$5001,"&lt;&gt;")=0,"",SUMIFS(BD!$AF$3:$AF$5001,BD!$A$3:$A$5001,AA$3,BD!$B$3:$B$5001,$A$233)))</f>
        <v/>
      </c>
      <c r="AB263" s="236" t="str">
        <f>IF(AB$3="","",IF(COUNTIFS(BD!$A$3:$A$5001,AB$3,BD!$B$3:$B$5001,$A$233,BD!$AF$3:$AF$5001,"&lt;&gt;")=0,"",SUMIFS(BD!$AF$3:$AF$5001,BD!$A$3:$A$5001,AB$3,BD!$B$3:$B$5001,$A$233)))</f>
        <v/>
      </c>
      <c r="AC263" s="236" t="str">
        <f>IF(AC$3="","",IF(COUNTIFS(BD!$A$3:$A$5001,AC$3,BD!$B$3:$B$5001,$A$233,BD!$AF$3:$AF$5001,"&lt;&gt;")=0,"",SUMIFS(BD!$AF$3:$AF$5001,BD!$A$3:$A$5001,AC$3,BD!$B$3:$B$5001,$A$233)))</f>
        <v/>
      </c>
      <c r="AD263" s="236" t="str">
        <f>IF(AD$3="","",IF(COUNTIFS(BD!$A$3:$A$5001,AD$3,BD!$B$3:$B$5001,$A$233,BD!$AF$3:$AF$5001,"&lt;&gt;")=0,"",SUMIFS(BD!$AF$3:$AF$5001,BD!$A$3:$A$5001,AD$3,BD!$B$3:$B$5001,$A$233)))</f>
        <v/>
      </c>
      <c r="AE263" s="236" t="str">
        <f>IF(AE$3="","",IF(COUNTIFS(BD!$A$3:$A$5001,AE$3,BD!$B$3:$B$5001,$A$233,BD!$AF$3:$AF$5001,"&lt;&gt;")=0,"",SUMIFS(BD!$AF$3:$AF$5001,BD!$A$3:$A$5001,AE$3,BD!$B$3:$B$5001,$A$233)))</f>
        <v/>
      </c>
      <c r="AF263" s="236" t="str">
        <f>IF(AF$3="","",IF(COUNTIFS(BD!$A$3:$A$5001,AF$3,BD!$B$3:$B$5001,$A$233,BD!$AF$3:$AF$5001,"&lt;&gt;")=0,"",SUMIFS(BD!$AF$3:$AF$5001,BD!$A$3:$A$5001,AF$3,BD!$B$3:$B$5001,$A$233)))</f>
        <v/>
      </c>
      <c r="AG263" s="236" t="str">
        <f>IF(AG$3="","",IF(COUNTIFS(BD!$A$3:$A$5001,AG$3,BD!$B$3:$B$5001,$A$233,BD!$AF$3:$AF$5001,"&lt;&gt;")=0,"",SUMIFS(BD!$AF$3:$AF$5001,BD!$A$3:$A$5001,AG$3,BD!$B$3:$B$5001,$A$233)))</f>
        <v/>
      </c>
      <c r="AH263" s="236" t="str">
        <f>IF(AH$3="","",IF(COUNTIFS(BD!$A$3:$A$5001,AH$3,BD!$B$3:$B$5001,$A$233,BD!$AF$3:$AF$5001,"&lt;&gt;")=0,"",SUMIFS(BD!$AF$3:$AF$5001,BD!$A$3:$A$5001,AH$3,BD!$B$3:$B$5001,$A$233)))</f>
        <v/>
      </c>
      <c r="AI263" s="236" t="str">
        <f>IF(AI$3="","",IF(COUNTIFS(BD!$A$3:$A$5001,AI$3,BD!$B$3:$B$5001,$A$233,BD!$AF$3:$AF$5001,"&lt;&gt;")=0,"",SUMIFS(BD!$AF$3:$AF$5001,BD!$A$3:$A$5001,AI$3,BD!$B$3:$B$5001,$A$233)))</f>
        <v/>
      </c>
      <c r="AJ263" s="237" t="str">
        <f>IF(AJ$3="","",IF(COUNTIFS(BD!$A$3:$A$5001,AJ$3,BD!$B$3:$B$5001,$A$233,BD!$AF$3:$AF$5001,"&lt;&gt;")=0,"",SUMIFS(BD!$AF$3:$AF$5001,BD!$A$3:$A$5001,AJ$3,BD!$B$3:$B$5001,$A$233)))</f>
        <v/>
      </c>
      <c r="AK263" s="238" t="str">
        <f>IF(COUNT(F263:AJ263)=0,"",SUM(F263:AJ263))</f>
        <v/>
      </c>
    </row>
    <row r="264" ht="15.75" customHeight="1" hidden="1">
      <c r="A264" s="261"/>
      <c r="B264" s="258"/>
      <c r="C264" s="232" t="inlineStr">
        <is>
          <t xml:space="preserve">Acidentes CAF</t>
        </is>
      </c>
      <c r="D264" s="233" t="str">
        <f>IFERROR(1/(1/INDEX(BD!$AL$54:$BF$54,MATCH($A$233,BD!$AL$22:$BF$22,0))),"")</f>
        <v/>
      </c>
      <c r="E264" s="234"/>
      <c r="F264" s="235" t="str">
        <f>IF(F$3="","",IF(COUNTIFS(BD!$A$3:$A$5001,F$3,BD!$B$3:$B$5001,$A$233,BD!$AG$3:$AG$5001,"&lt;&gt;")=0,"",SUMIFS(BD!$AG$3:$AG$5001,BD!$A$3:$A$5001,F$3,BD!$B$3:$B$5001,$A$233)))</f>
        <v/>
      </c>
      <c r="G264" s="236" t="str">
        <f>IF(G$3="","",IF(COUNTIFS(BD!$A$3:$A$5001,G$3,BD!$B$3:$B$5001,$A$233,BD!$AG$3:$AG$5001,"&lt;&gt;")=0,"",SUMIFS(BD!$AG$3:$AG$5001,BD!$A$3:$A$5001,G$3,BD!$B$3:$B$5001,$A$233)))</f>
        <v/>
      </c>
      <c r="H264" s="236" t="str">
        <f>IF(H$3="","",IF(COUNTIFS(BD!$A$3:$A$5001,H$3,BD!$B$3:$B$5001,$A$233,BD!$AG$3:$AG$5001,"&lt;&gt;")=0,"",SUMIFS(BD!$AG$3:$AG$5001,BD!$A$3:$A$5001,H$3,BD!$B$3:$B$5001,$A$233)))</f>
        <v/>
      </c>
      <c r="I264" s="236" t="str">
        <f>IF(I$3="","",IF(COUNTIFS(BD!$A$3:$A$5001,I$3,BD!$B$3:$B$5001,$A$233,BD!$AG$3:$AG$5001,"&lt;&gt;")=0,"",SUMIFS(BD!$AG$3:$AG$5001,BD!$A$3:$A$5001,I$3,BD!$B$3:$B$5001,$A$233)))</f>
        <v/>
      </c>
      <c r="J264" s="236" t="str">
        <f>IF(J$3="","",IF(COUNTIFS(BD!$A$3:$A$5001,J$3,BD!$B$3:$B$5001,$A$233,BD!$AG$3:$AG$5001,"&lt;&gt;")=0,"",SUMIFS(BD!$AG$3:$AG$5001,BD!$A$3:$A$5001,J$3,BD!$B$3:$B$5001,$A$233)))</f>
        <v/>
      </c>
      <c r="K264" s="236" t="str">
        <f>IF(K$3="","",IF(COUNTIFS(BD!$A$3:$A$5001,K$3,BD!$B$3:$B$5001,$A$233,BD!$AG$3:$AG$5001,"&lt;&gt;")=0,"",SUMIFS(BD!$AG$3:$AG$5001,BD!$A$3:$A$5001,K$3,BD!$B$3:$B$5001,$A$233)))</f>
        <v/>
      </c>
      <c r="L264" s="236" t="str">
        <f>IF(L$3="","",IF(COUNTIFS(BD!$A$3:$A$5001,L$3,BD!$B$3:$B$5001,$A$233,BD!$AG$3:$AG$5001,"&lt;&gt;")=0,"",SUMIFS(BD!$AG$3:$AG$5001,BD!$A$3:$A$5001,L$3,BD!$B$3:$B$5001,$A$233)))</f>
        <v/>
      </c>
      <c r="M264" s="236" t="str">
        <f>IF(M$3="","",IF(COUNTIFS(BD!$A$3:$A$5001,M$3,BD!$B$3:$B$5001,$A$233,BD!$AG$3:$AG$5001,"&lt;&gt;")=0,"",SUMIFS(BD!$AG$3:$AG$5001,BD!$A$3:$A$5001,M$3,BD!$B$3:$B$5001,$A$233)))</f>
        <v/>
      </c>
      <c r="N264" s="236" t="str">
        <f>IF(N$3="","",IF(COUNTIFS(BD!$A$3:$A$5001,N$3,BD!$B$3:$B$5001,$A$233,BD!$AG$3:$AG$5001,"&lt;&gt;")=0,"",SUMIFS(BD!$AG$3:$AG$5001,BD!$A$3:$A$5001,N$3,BD!$B$3:$B$5001,$A$233)))</f>
        <v/>
      </c>
      <c r="O264" s="236" t="str">
        <f>IF(O$3="","",IF(COUNTIFS(BD!$A$3:$A$5001,O$3,BD!$B$3:$B$5001,$A$233,BD!$AG$3:$AG$5001,"&lt;&gt;")=0,"",SUMIFS(BD!$AG$3:$AG$5001,BD!$A$3:$A$5001,O$3,BD!$B$3:$B$5001,$A$233)))</f>
        <v/>
      </c>
      <c r="P264" s="236" t="str">
        <f>IF(P$3="","",IF(COUNTIFS(BD!$A$3:$A$5001,P$3,BD!$B$3:$B$5001,$A$233,BD!$AG$3:$AG$5001,"&lt;&gt;")=0,"",SUMIFS(BD!$AG$3:$AG$5001,BD!$A$3:$A$5001,P$3,BD!$B$3:$B$5001,$A$233)))</f>
        <v/>
      </c>
      <c r="Q264" s="236" t="str">
        <f>IF(Q$3="","",IF(COUNTIFS(BD!$A$3:$A$5001,Q$3,BD!$B$3:$B$5001,$A$233,BD!$AG$3:$AG$5001,"&lt;&gt;")=0,"",SUMIFS(BD!$AG$3:$AG$5001,BD!$A$3:$A$5001,Q$3,BD!$B$3:$B$5001,$A$233)))</f>
        <v/>
      </c>
      <c r="R264" s="236" t="str">
        <f>IF(R$3="","",IF(COUNTIFS(BD!$A$3:$A$5001,R$3,BD!$B$3:$B$5001,$A$233,BD!$AG$3:$AG$5001,"&lt;&gt;")=0,"",SUMIFS(BD!$AG$3:$AG$5001,BD!$A$3:$A$5001,R$3,BD!$B$3:$B$5001,$A$233)))</f>
        <v/>
      </c>
      <c r="S264" s="236" t="str">
        <f>IF(S$3="","",IF(COUNTIFS(BD!$A$3:$A$5001,S$3,BD!$B$3:$B$5001,$A$233,BD!$AG$3:$AG$5001,"&lt;&gt;")=0,"",SUMIFS(BD!$AG$3:$AG$5001,BD!$A$3:$A$5001,S$3,BD!$B$3:$B$5001,$A$233)))</f>
        <v/>
      </c>
      <c r="T264" s="236" t="str">
        <f>IF(T$3="","",IF(COUNTIFS(BD!$A$3:$A$5001,T$3,BD!$B$3:$B$5001,$A$233,BD!$AG$3:$AG$5001,"&lt;&gt;")=0,"",SUMIFS(BD!$AG$3:$AG$5001,BD!$A$3:$A$5001,T$3,BD!$B$3:$B$5001,$A$233)))</f>
        <v/>
      </c>
      <c r="U264" s="236" t="str">
        <f>IF(U$3="","",IF(COUNTIFS(BD!$A$3:$A$5001,U$3,BD!$B$3:$B$5001,$A$233,BD!$AG$3:$AG$5001,"&lt;&gt;")=0,"",SUMIFS(BD!$AG$3:$AG$5001,BD!$A$3:$A$5001,U$3,BD!$B$3:$B$5001,$A$233)))</f>
        <v/>
      </c>
      <c r="V264" s="236" t="str">
        <f>IF(V$3="","",IF(COUNTIFS(BD!$A$3:$A$5001,V$3,BD!$B$3:$B$5001,$A$233,BD!$AG$3:$AG$5001,"&lt;&gt;")=0,"",SUMIFS(BD!$AG$3:$AG$5001,BD!$A$3:$A$5001,V$3,BD!$B$3:$B$5001,$A$233)))</f>
        <v/>
      </c>
      <c r="W264" s="236" t="str">
        <f>IF(W$3="","",IF(COUNTIFS(BD!$A$3:$A$5001,W$3,BD!$B$3:$B$5001,$A$233,BD!$AG$3:$AG$5001,"&lt;&gt;")=0,"",SUMIFS(BD!$AG$3:$AG$5001,BD!$A$3:$A$5001,W$3,BD!$B$3:$B$5001,$A$233)))</f>
        <v/>
      </c>
      <c r="X264" s="236" t="str">
        <f>IF(X$3="","",IF(COUNTIFS(BD!$A$3:$A$5001,X$3,BD!$B$3:$B$5001,$A$233,BD!$AG$3:$AG$5001,"&lt;&gt;")=0,"",SUMIFS(BD!$AG$3:$AG$5001,BD!$A$3:$A$5001,X$3,BD!$B$3:$B$5001,$A$233)))</f>
        <v/>
      </c>
      <c r="Y264" s="236" t="str">
        <f>IF(Y$3="","",IF(COUNTIFS(BD!$A$3:$A$5001,Y$3,BD!$B$3:$B$5001,$A$233,BD!$AG$3:$AG$5001,"&lt;&gt;")=0,"",SUMIFS(BD!$AG$3:$AG$5001,BD!$A$3:$A$5001,Y$3,BD!$B$3:$B$5001,$A$233)))</f>
        <v/>
      </c>
      <c r="Z264" s="236" t="str">
        <f>IF(Z$3="","",IF(COUNTIFS(BD!$A$3:$A$5001,Z$3,BD!$B$3:$B$5001,$A$233,BD!$AG$3:$AG$5001,"&lt;&gt;")=0,"",SUMIFS(BD!$AG$3:$AG$5001,BD!$A$3:$A$5001,Z$3,BD!$B$3:$B$5001,$A$233)))</f>
        <v/>
      </c>
      <c r="AA264" s="236" t="str">
        <f>IF(AA$3="","",IF(COUNTIFS(BD!$A$3:$A$5001,AA$3,BD!$B$3:$B$5001,$A$233,BD!$AG$3:$AG$5001,"&lt;&gt;")=0,"",SUMIFS(BD!$AG$3:$AG$5001,BD!$A$3:$A$5001,AA$3,BD!$B$3:$B$5001,$A$233)))</f>
        <v/>
      </c>
      <c r="AB264" s="236" t="str">
        <f>IF(AB$3="","",IF(COUNTIFS(BD!$A$3:$A$5001,AB$3,BD!$B$3:$B$5001,$A$233,BD!$AG$3:$AG$5001,"&lt;&gt;")=0,"",SUMIFS(BD!$AG$3:$AG$5001,BD!$A$3:$A$5001,AB$3,BD!$B$3:$B$5001,$A$233)))</f>
        <v/>
      </c>
      <c r="AC264" s="236" t="str">
        <f>IF(AC$3="","",IF(COUNTIFS(BD!$A$3:$A$5001,AC$3,BD!$B$3:$B$5001,$A$233,BD!$AG$3:$AG$5001,"&lt;&gt;")=0,"",SUMIFS(BD!$AG$3:$AG$5001,BD!$A$3:$A$5001,AC$3,BD!$B$3:$B$5001,$A$233)))</f>
        <v/>
      </c>
      <c r="AD264" s="236" t="str">
        <f>IF(AD$3="","",IF(COUNTIFS(BD!$A$3:$A$5001,AD$3,BD!$B$3:$B$5001,$A$233,BD!$AG$3:$AG$5001,"&lt;&gt;")=0,"",SUMIFS(BD!$AG$3:$AG$5001,BD!$A$3:$A$5001,AD$3,BD!$B$3:$B$5001,$A$233)))</f>
        <v/>
      </c>
      <c r="AE264" s="236" t="str">
        <f>IF(AE$3="","",IF(COUNTIFS(BD!$A$3:$A$5001,AE$3,BD!$B$3:$B$5001,$A$233,BD!$AG$3:$AG$5001,"&lt;&gt;")=0,"",SUMIFS(BD!$AG$3:$AG$5001,BD!$A$3:$A$5001,AE$3,BD!$B$3:$B$5001,$A$233)))</f>
        <v/>
      </c>
      <c r="AF264" s="236" t="str">
        <f>IF(AF$3="","",IF(COUNTIFS(BD!$A$3:$A$5001,AF$3,BD!$B$3:$B$5001,$A$233,BD!$AG$3:$AG$5001,"&lt;&gt;")=0,"",SUMIFS(BD!$AG$3:$AG$5001,BD!$A$3:$A$5001,AF$3,BD!$B$3:$B$5001,$A$233)))</f>
        <v/>
      </c>
      <c r="AG264" s="236" t="str">
        <f>IF(AG$3="","",IF(COUNTIFS(BD!$A$3:$A$5001,AG$3,BD!$B$3:$B$5001,$A$233,BD!$AG$3:$AG$5001,"&lt;&gt;")=0,"",SUMIFS(BD!$AG$3:$AG$5001,BD!$A$3:$A$5001,AG$3,BD!$B$3:$B$5001,$A$233)))</f>
        <v/>
      </c>
      <c r="AH264" s="236" t="str">
        <f>IF(AH$3="","",IF(COUNTIFS(BD!$A$3:$A$5001,AH$3,BD!$B$3:$B$5001,$A$233,BD!$AG$3:$AG$5001,"&lt;&gt;")=0,"",SUMIFS(BD!$AG$3:$AG$5001,BD!$A$3:$A$5001,AH$3,BD!$B$3:$B$5001,$A$233)))</f>
        <v/>
      </c>
      <c r="AI264" s="236" t="str">
        <f>IF(AI$3="","",IF(COUNTIFS(BD!$A$3:$A$5001,AI$3,BD!$B$3:$B$5001,$A$233,BD!$AG$3:$AG$5001,"&lt;&gt;")=0,"",SUMIFS(BD!$AG$3:$AG$5001,BD!$A$3:$A$5001,AI$3,BD!$B$3:$B$5001,$A$233)))</f>
        <v/>
      </c>
      <c r="AJ264" s="237" t="str">
        <f>IF(AJ$3="","",IF(COUNTIFS(BD!$A$3:$A$5001,AJ$3,BD!$B$3:$B$5001,$A$233,BD!$AG$3:$AG$5001,"&lt;&gt;")=0,"",SUMIFS(BD!$AG$3:$AG$5001,BD!$A$3:$A$5001,AJ$3,BD!$B$3:$B$5001,$A$233)))</f>
        <v/>
      </c>
      <c r="AK264" s="238" t="str">
        <f>IF(COUNT(F264:AJ264)=0,"",SUM(F264:AJ264))</f>
        <v/>
      </c>
    </row>
    <row r="265" ht="15.75" customHeight="1" hidden="1">
      <c r="A265" s="262"/>
      <c r="B265" s="259"/>
      <c r="C265" s="243" t="inlineStr">
        <is>
          <t xml:space="preserve">Acidentes SAF</t>
        </is>
      </c>
      <c r="D265" s="244" t="str">
        <f>IFERROR(1/(1/INDEX(BD!$AL$55:$BF$55,MATCH($A$233,BD!$AL$22:$BF$22,0))),"")</f>
        <v/>
      </c>
      <c r="E265" s="245"/>
      <c r="F265" s="246" t="str">
        <f>IF(F$3="","",IF(COUNTIFS(BD!$A$3:$A$5001,F$3,BD!$B$3:$B$5001,$A$233,BD!$AH$3:$AH$5001,"&lt;&gt;")=0,"",SUMIFS(BD!$AH$3:$AH$5001,BD!$A$3:$A$5001,F$3,BD!$B$3:$B$5001,$A$233)))</f>
        <v/>
      </c>
      <c r="G265" s="247" t="str">
        <f>IF(G$3="","",IF(COUNTIFS(BD!$A$3:$A$5001,G$3,BD!$B$3:$B$5001,$A$233,BD!$AH$3:$AH$5001,"&lt;&gt;")=0,"",SUMIFS(BD!$AH$3:$AH$5001,BD!$A$3:$A$5001,G$3,BD!$B$3:$B$5001,$A$233)))</f>
        <v/>
      </c>
      <c r="H265" s="247" t="str">
        <f>IF(H$3="","",IF(COUNTIFS(BD!$A$3:$A$5001,H$3,BD!$B$3:$B$5001,$A$233,BD!$AH$3:$AH$5001,"&lt;&gt;")=0,"",SUMIFS(BD!$AH$3:$AH$5001,BD!$A$3:$A$5001,H$3,BD!$B$3:$B$5001,$A$233)))</f>
        <v/>
      </c>
      <c r="I265" s="247" t="str">
        <f>IF(I$3="","",IF(COUNTIFS(BD!$A$3:$A$5001,I$3,BD!$B$3:$B$5001,$A$233,BD!$AH$3:$AH$5001,"&lt;&gt;")=0,"",SUMIFS(BD!$AH$3:$AH$5001,BD!$A$3:$A$5001,I$3,BD!$B$3:$B$5001,$A$233)))</f>
        <v/>
      </c>
      <c r="J265" s="247" t="str">
        <f>IF(J$3="","",IF(COUNTIFS(BD!$A$3:$A$5001,J$3,BD!$B$3:$B$5001,$A$233,BD!$AH$3:$AH$5001,"&lt;&gt;")=0,"",SUMIFS(BD!$AH$3:$AH$5001,BD!$A$3:$A$5001,J$3,BD!$B$3:$B$5001,$A$233)))</f>
        <v/>
      </c>
      <c r="K265" s="247" t="str">
        <f>IF(K$3="","",IF(COUNTIFS(BD!$A$3:$A$5001,K$3,BD!$B$3:$B$5001,$A$233,BD!$AH$3:$AH$5001,"&lt;&gt;")=0,"",SUMIFS(BD!$AH$3:$AH$5001,BD!$A$3:$A$5001,K$3,BD!$B$3:$B$5001,$A$233)))</f>
        <v/>
      </c>
      <c r="L265" s="247" t="str">
        <f>IF(L$3="","",IF(COUNTIFS(BD!$A$3:$A$5001,L$3,BD!$B$3:$B$5001,$A$233,BD!$AH$3:$AH$5001,"&lt;&gt;")=0,"",SUMIFS(BD!$AH$3:$AH$5001,BD!$A$3:$A$5001,L$3,BD!$B$3:$B$5001,$A$233)))</f>
        <v/>
      </c>
      <c r="M265" s="247" t="str">
        <f>IF(M$3="","",IF(COUNTIFS(BD!$A$3:$A$5001,M$3,BD!$B$3:$B$5001,$A$233,BD!$AH$3:$AH$5001,"&lt;&gt;")=0,"",SUMIFS(BD!$AH$3:$AH$5001,BD!$A$3:$A$5001,M$3,BD!$B$3:$B$5001,$A$233)))</f>
        <v/>
      </c>
      <c r="N265" s="247" t="str">
        <f>IF(N$3="","",IF(COUNTIFS(BD!$A$3:$A$5001,N$3,BD!$B$3:$B$5001,$A$233,BD!$AH$3:$AH$5001,"&lt;&gt;")=0,"",SUMIFS(BD!$AH$3:$AH$5001,BD!$A$3:$A$5001,N$3,BD!$B$3:$B$5001,$A$233)))</f>
        <v/>
      </c>
      <c r="O265" s="247" t="str">
        <f>IF(O$3="","",IF(COUNTIFS(BD!$A$3:$A$5001,O$3,BD!$B$3:$B$5001,$A$233,BD!$AH$3:$AH$5001,"&lt;&gt;")=0,"",SUMIFS(BD!$AH$3:$AH$5001,BD!$A$3:$A$5001,O$3,BD!$B$3:$B$5001,$A$233)))</f>
        <v/>
      </c>
      <c r="P265" s="247" t="str">
        <f>IF(P$3="","",IF(COUNTIFS(BD!$A$3:$A$5001,P$3,BD!$B$3:$B$5001,$A$233,BD!$AH$3:$AH$5001,"&lt;&gt;")=0,"",SUMIFS(BD!$AH$3:$AH$5001,BD!$A$3:$A$5001,P$3,BD!$B$3:$B$5001,$A$233)))</f>
        <v/>
      </c>
      <c r="Q265" s="247" t="str">
        <f>IF(Q$3="","",IF(COUNTIFS(BD!$A$3:$A$5001,Q$3,BD!$B$3:$B$5001,$A$233,BD!$AH$3:$AH$5001,"&lt;&gt;")=0,"",SUMIFS(BD!$AH$3:$AH$5001,BD!$A$3:$A$5001,Q$3,BD!$B$3:$B$5001,$A$233)))</f>
        <v/>
      </c>
      <c r="R265" s="247" t="str">
        <f>IF(R$3="","",IF(COUNTIFS(BD!$A$3:$A$5001,R$3,BD!$B$3:$B$5001,$A$233,BD!$AH$3:$AH$5001,"&lt;&gt;")=0,"",SUMIFS(BD!$AH$3:$AH$5001,BD!$A$3:$A$5001,R$3,BD!$B$3:$B$5001,$A$233)))</f>
        <v/>
      </c>
      <c r="S265" s="247" t="str">
        <f>IF(S$3="","",IF(COUNTIFS(BD!$A$3:$A$5001,S$3,BD!$B$3:$B$5001,$A$233,BD!$AH$3:$AH$5001,"&lt;&gt;")=0,"",SUMIFS(BD!$AH$3:$AH$5001,BD!$A$3:$A$5001,S$3,BD!$B$3:$B$5001,$A$233)))</f>
        <v/>
      </c>
      <c r="T265" s="247" t="str">
        <f>IF(T$3="","",IF(COUNTIFS(BD!$A$3:$A$5001,T$3,BD!$B$3:$B$5001,$A$233,BD!$AH$3:$AH$5001,"&lt;&gt;")=0,"",SUMIFS(BD!$AH$3:$AH$5001,BD!$A$3:$A$5001,T$3,BD!$B$3:$B$5001,$A$233)))</f>
        <v/>
      </c>
      <c r="U265" s="247" t="str">
        <f>IF(U$3="","",IF(COUNTIFS(BD!$A$3:$A$5001,U$3,BD!$B$3:$B$5001,$A$233,BD!$AH$3:$AH$5001,"&lt;&gt;")=0,"",SUMIFS(BD!$AH$3:$AH$5001,BD!$A$3:$A$5001,U$3,BD!$B$3:$B$5001,$A$233)))</f>
        <v/>
      </c>
      <c r="V265" s="247" t="str">
        <f>IF(V$3="","",IF(COUNTIFS(BD!$A$3:$A$5001,V$3,BD!$B$3:$B$5001,$A$233,BD!$AH$3:$AH$5001,"&lt;&gt;")=0,"",SUMIFS(BD!$AH$3:$AH$5001,BD!$A$3:$A$5001,V$3,BD!$B$3:$B$5001,$A$233)))</f>
        <v/>
      </c>
      <c r="W265" s="247" t="str">
        <f>IF(W$3="","",IF(COUNTIFS(BD!$A$3:$A$5001,W$3,BD!$B$3:$B$5001,$A$233,BD!$AH$3:$AH$5001,"&lt;&gt;")=0,"",SUMIFS(BD!$AH$3:$AH$5001,BD!$A$3:$A$5001,W$3,BD!$B$3:$B$5001,$A$233)))</f>
        <v/>
      </c>
      <c r="X265" s="247" t="str">
        <f>IF(X$3="","",IF(COUNTIFS(BD!$A$3:$A$5001,X$3,BD!$B$3:$B$5001,$A$233,BD!$AH$3:$AH$5001,"&lt;&gt;")=0,"",SUMIFS(BD!$AH$3:$AH$5001,BD!$A$3:$A$5001,X$3,BD!$B$3:$B$5001,$A$233)))</f>
        <v/>
      </c>
      <c r="Y265" s="247" t="str">
        <f>IF(Y$3="","",IF(COUNTIFS(BD!$A$3:$A$5001,Y$3,BD!$B$3:$B$5001,$A$233,BD!$AH$3:$AH$5001,"&lt;&gt;")=0,"",SUMIFS(BD!$AH$3:$AH$5001,BD!$A$3:$A$5001,Y$3,BD!$B$3:$B$5001,$A$233)))</f>
        <v/>
      </c>
      <c r="Z265" s="247" t="str">
        <f>IF(Z$3="","",IF(COUNTIFS(BD!$A$3:$A$5001,Z$3,BD!$B$3:$B$5001,$A$233,BD!$AH$3:$AH$5001,"&lt;&gt;")=0,"",SUMIFS(BD!$AH$3:$AH$5001,BD!$A$3:$A$5001,Z$3,BD!$B$3:$B$5001,$A$233)))</f>
        <v/>
      </c>
      <c r="AA265" s="247" t="str">
        <f>IF(AA$3="","",IF(COUNTIFS(BD!$A$3:$A$5001,AA$3,BD!$B$3:$B$5001,$A$233,BD!$AH$3:$AH$5001,"&lt;&gt;")=0,"",SUMIFS(BD!$AH$3:$AH$5001,BD!$A$3:$A$5001,AA$3,BD!$B$3:$B$5001,$A$233)))</f>
        <v/>
      </c>
      <c r="AB265" s="247" t="str">
        <f>IF(AB$3="","",IF(COUNTIFS(BD!$A$3:$A$5001,AB$3,BD!$B$3:$B$5001,$A$233,BD!$AH$3:$AH$5001,"&lt;&gt;")=0,"",SUMIFS(BD!$AH$3:$AH$5001,BD!$A$3:$A$5001,AB$3,BD!$B$3:$B$5001,$A$233)))</f>
        <v/>
      </c>
      <c r="AC265" s="247" t="str">
        <f>IF(AC$3="","",IF(COUNTIFS(BD!$A$3:$A$5001,AC$3,BD!$B$3:$B$5001,$A$233,BD!$AH$3:$AH$5001,"&lt;&gt;")=0,"",SUMIFS(BD!$AH$3:$AH$5001,BD!$A$3:$A$5001,AC$3,BD!$B$3:$B$5001,$A$233)))</f>
        <v/>
      </c>
      <c r="AD265" s="247" t="str">
        <f>IF(AD$3="","",IF(COUNTIFS(BD!$A$3:$A$5001,AD$3,BD!$B$3:$B$5001,$A$233,BD!$AH$3:$AH$5001,"&lt;&gt;")=0,"",SUMIFS(BD!$AH$3:$AH$5001,BD!$A$3:$A$5001,AD$3,BD!$B$3:$B$5001,$A$233)))</f>
        <v/>
      </c>
      <c r="AE265" s="247" t="str">
        <f>IF(AE$3="","",IF(COUNTIFS(BD!$A$3:$A$5001,AE$3,BD!$B$3:$B$5001,$A$233,BD!$AH$3:$AH$5001,"&lt;&gt;")=0,"",SUMIFS(BD!$AH$3:$AH$5001,BD!$A$3:$A$5001,AE$3,BD!$B$3:$B$5001,$A$233)))</f>
        <v/>
      </c>
      <c r="AF265" s="247" t="str">
        <f>IF(AF$3="","",IF(COUNTIFS(BD!$A$3:$A$5001,AF$3,BD!$B$3:$B$5001,$A$233,BD!$AH$3:$AH$5001,"&lt;&gt;")=0,"",SUMIFS(BD!$AH$3:$AH$5001,BD!$A$3:$A$5001,AF$3,BD!$B$3:$B$5001,$A$233)))</f>
        <v/>
      </c>
      <c r="AG265" s="247" t="str">
        <f>IF(AG$3="","",IF(COUNTIFS(BD!$A$3:$A$5001,AG$3,BD!$B$3:$B$5001,$A$233,BD!$AH$3:$AH$5001,"&lt;&gt;")=0,"",SUMIFS(BD!$AH$3:$AH$5001,BD!$A$3:$A$5001,AG$3,BD!$B$3:$B$5001,$A$233)))</f>
        <v/>
      </c>
      <c r="AH265" s="247" t="str">
        <f>IF(AH$3="","",IF(COUNTIFS(BD!$A$3:$A$5001,AH$3,BD!$B$3:$B$5001,$A$233,BD!$AH$3:$AH$5001,"&lt;&gt;")=0,"",SUMIFS(BD!$AH$3:$AH$5001,BD!$A$3:$A$5001,AH$3,BD!$B$3:$B$5001,$A$233)))</f>
        <v/>
      </c>
      <c r="AI265" s="247" t="str">
        <f>IF(AI$3="","",IF(COUNTIFS(BD!$A$3:$A$5001,AI$3,BD!$B$3:$B$5001,$A$233,BD!$AH$3:$AH$5001,"&lt;&gt;")=0,"",SUMIFS(BD!$AH$3:$AH$5001,BD!$A$3:$A$5001,AI$3,BD!$B$3:$B$5001,$A$233)))</f>
        <v/>
      </c>
      <c r="AJ265" s="248" t="str">
        <f>IF(AJ$3="","",IF(COUNTIFS(BD!$A$3:$A$5001,AJ$3,BD!$B$3:$B$5001,$A$233,BD!$AH$3:$AH$5001,"&lt;&gt;")=0,"",SUMIFS(BD!$AH$3:$AH$5001,BD!$A$3:$A$5001,AJ$3,BD!$B$3:$B$5001,$A$233)))</f>
        <v/>
      </c>
      <c r="AK265" s="244" t="str">
        <f>IF(COUNT(F265:AJ265)=0,"",SUM(F265:AJ265))</f>
        <v/>
      </c>
    </row>
    <row r="267" ht="15.75" customHeight="1" hidden="1">
      <c r="A267" s="260"/>
      <c r="B267" s="249" t="inlineStr">
        <is>
          <t xml:space="preserve">IN</t>
        </is>
      </c>
      <c r="C267" s="168" t="inlineStr">
        <is>
          <t xml:space="preserve">Veículos Recebidos</t>
        </is>
      </c>
      <c r="D267" s="169" t="str">
        <f>IFERROR(1/(1/INDEX(BD!$AL$23:$BF$23,MATCH($A$267,BD!$AL$22:$BF$22,0))),"")</f>
        <v/>
      </c>
      <c r="E267" s="170"/>
      <c r="F267" s="171" t="str">
        <f>IF(F$3="","",IF(COUNTIFS(BD!$A$3:$A$5001,F$3,BD!$B$3:$B$5001,$A$267,BD!$C$3:$C$5001,"&lt;&gt;")=0,"",SUMIFS(BD!$C$3:$C$5001,BD!$A$3:$A$5001,F$3,BD!$B$3:$B$5001,$A$267)))</f>
        <v/>
      </c>
      <c r="G267" s="172" t="str">
        <f>IF(G$3="","",IF(COUNTIFS(BD!$A$3:$A$5001,G$3,BD!$B$3:$B$5001,$A$267,BD!$C$3:$C$5001,"&lt;&gt;")=0,"",SUMIFS(BD!$C$3:$C$5001,BD!$A$3:$A$5001,G$3,BD!$B$3:$B$5001,$A$267)))</f>
        <v/>
      </c>
      <c r="H267" s="172" t="str">
        <f>IF(H$3="","",IF(COUNTIFS(BD!$A$3:$A$5001,H$3,BD!$B$3:$B$5001,$A$267,BD!$C$3:$C$5001,"&lt;&gt;")=0,"",SUMIFS(BD!$C$3:$C$5001,BD!$A$3:$A$5001,H$3,BD!$B$3:$B$5001,$A$267)))</f>
        <v/>
      </c>
      <c r="I267" s="172" t="str">
        <f>IF(I$3="","",IF(COUNTIFS(BD!$A$3:$A$5001,I$3,BD!$B$3:$B$5001,$A$267,BD!$C$3:$C$5001,"&lt;&gt;")=0,"",SUMIFS(BD!$C$3:$C$5001,BD!$A$3:$A$5001,I$3,BD!$B$3:$B$5001,$A$267)))</f>
        <v/>
      </c>
      <c r="J267" s="172" t="str">
        <f>IF(J$3="","",IF(COUNTIFS(BD!$A$3:$A$5001,J$3,BD!$B$3:$B$5001,$A$267,BD!$C$3:$C$5001,"&lt;&gt;")=0,"",SUMIFS(BD!$C$3:$C$5001,BD!$A$3:$A$5001,J$3,BD!$B$3:$B$5001,$A$267)))</f>
        <v/>
      </c>
      <c r="K267" s="172" t="str">
        <f>IF(K$3="","",IF(COUNTIFS(BD!$A$3:$A$5001,K$3,BD!$B$3:$B$5001,$A$267,BD!$C$3:$C$5001,"&lt;&gt;")=0,"",SUMIFS(BD!$C$3:$C$5001,BD!$A$3:$A$5001,K$3,BD!$B$3:$B$5001,$A$267)))</f>
        <v/>
      </c>
      <c r="L267" s="172" t="str">
        <f>IF(L$3="","",IF(COUNTIFS(BD!$A$3:$A$5001,L$3,BD!$B$3:$B$5001,$A$267,BD!$C$3:$C$5001,"&lt;&gt;")=0,"",SUMIFS(BD!$C$3:$C$5001,BD!$A$3:$A$5001,L$3,BD!$B$3:$B$5001,$A$267)))</f>
        <v/>
      </c>
      <c r="M267" s="172" t="str">
        <f>IF(M$3="","",IF(COUNTIFS(BD!$A$3:$A$5001,M$3,BD!$B$3:$B$5001,$A$267,BD!$C$3:$C$5001,"&lt;&gt;")=0,"",SUMIFS(BD!$C$3:$C$5001,BD!$A$3:$A$5001,M$3,BD!$B$3:$B$5001,$A$267)))</f>
        <v/>
      </c>
      <c r="N267" s="172" t="str">
        <f>IF(N$3="","",IF(COUNTIFS(BD!$A$3:$A$5001,N$3,BD!$B$3:$B$5001,$A$267,BD!$C$3:$C$5001,"&lt;&gt;")=0,"",SUMIFS(BD!$C$3:$C$5001,BD!$A$3:$A$5001,N$3,BD!$B$3:$B$5001,$A$267)))</f>
        <v/>
      </c>
      <c r="O267" s="172" t="str">
        <f>IF(O$3="","",IF(COUNTIFS(BD!$A$3:$A$5001,O$3,BD!$B$3:$B$5001,$A$267,BD!$C$3:$C$5001,"&lt;&gt;")=0,"",SUMIFS(BD!$C$3:$C$5001,BD!$A$3:$A$5001,O$3,BD!$B$3:$B$5001,$A$267)))</f>
        <v/>
      </c>
      <c r="P267" s="172" t="str">
        <f>IF(P$3="","",IF(COUNTIFS(BD!$A$3:$A$5001,P$3,BD!$B$3:$B$5001,$A$267,BD!$C$3:$C$5001,"&lt;&gt;")=0,"",SUMIFS(BD!$C$3:$C$5001,BD!$A$3:$A$5001,P$3,BD!$B$3:$B$5001,$A$267)))</f>
        <v/>
      </c>
      <c r="Q267" s="172" t="str">
        <f>IF(Q$3="","",IF(COUNTIFS(BD!$A$3:$A$5001,Q$3,BD!$B$3:$B$5001,$A$267,BD!$C$3:$C$5001,"&lt;&gt;")=0,"",SUMIFS(BD!$C$3:$C$5001,BD!$A$3:$A$5001,Q$3,BD!$B$3:$B$5001,$A$267)))</f>
        <v/>
      </c>
      <c r="R267" s="172" t="str">
        <f>IF(R$3="","",IF(COUNTIFS(BD!$A$3:$A$5001,R$3,BD!$B$3:$B$5001,$A$267,BD!$C$3:$C$5001,"&lt;&gt;")=0,"",SUMIFS(BD!$C$3:$C$5001,BD!$A$3:$A$5001,R$3,BD!$B$3:$B$5001,$A$267)))</f>
        <v/>
      </c>
      <c r="S267" s="172" t="str">
        <f>IF(S$3="","",IF(COUNTIFS(BD!$A$3:$A$5001,S$3,BD!$B$3:$B$5001,$A$267,BD!$C$3:$C$5001,"&lt;&gt;")=0,"",SUMIFS(BD!$C$3:$C$5001,BD!$A$3:$A$5001,S$3,BD!$B$3:$B$5001,$A$267)))</f>
        <v/>
      </c>
      <c r="T267" s="172" t="str">
        <f>IF(T$3="","",IF(COUNTIFS(BD!$A$3:$A$5001,T$3,BD!$B$3:$B$5001,$A$267,BD!$C$3:$C$5001,"&lt;&gt;")=0,"",SUMIFS(BD!$C$3:$C$5001,BD!$A$3:$A$5001,T$3,BD!$B$3:$B$5001,$A$267)))</f>
        <v/>
      </c>
      <c r="U267" s="172" t="str">
        <f>IF(U$3="","",IF(COUNTIFS(BD!$A$3:$A$5001,U$3,BD!$B$3:$B$5001,$A$267,BD!$C$3:$C$5001,"&lt;&gt;")=0,"",SUMIFS(BD!$C$3:$C$5001,BD!$A$3:$A$5001,U$3,BD!$B$3:$B$5001,$A$267)))</f>
        <v/>
      </c>
      <c r="V267" s="172" t="str">
        <f>IF(V$3="","",IF(COUNTIFS(BD!$A$3:$A$5001,V$3,BD!$B$3:$B$5001,$A$267,BD!$C$3:$C$5001,"&lt;&gt;")=0,"",SUMIFS(BD!$C$3:$C$5001,BD!$A$3:$A$5001,V$3,BD!$B$3:$B$5001,$A$267)))</f>
        <v/>
      </c>
      <c r="W267" s="172" t="str">
        <f>IF(W$3="","",IF(COUNTIFS(BD!$A$3:$A$5001,W$3,BD!$B$3:$B$5001,$A$267,BD!$C$3:$C$5001,"&lt;&gt;")=0,"",SUMIFS(BD!$C$3:$C$5001,BD!$A$3:$A$5001,W$3,BD!$B$3:$B$5001,$A$267)))</f>
        <v/>
      </c>
      <c r="X267" s="172" t="str">
        <f>IF(X$3="","",IF(COUNTIFS(BD!$A$3:$A$5001,X$3,BD!$B$3:$B$5001,$A$267,BD!$C$3:$C$5001,"&lt;&gt;")=0,"",SUMIFS(BD!$C$3:$C$5001,BD!$A$3:$A$5001,X$3,BD!$B$3:$B$5001,$A$267)))</f>
        <v/>
      </c>
      <c r="Y267" s="172" t="str">
        <f>IF(Y$3="","",IF(COUNTIFS(BD!$A$3:$A$5001,Y$3,BD!$B$3:$B$5001,$A$267,BD!$C$3:$C$5001,"&lt;&gt;")=0,"",SUMIFS(BD!$C$3:$C$5001,BD!$A$3:$A$5001,Y$3,BD!$B$3:$B$5001,$A$267)))</f>
        <v/>
      </c>
      <c r="Z267" s="172" t="str">
        <f>IF(Z$3="","",IF(COUNTIFS(BD!$A$3:$A$5001,Z$3,BD!$B$3:$B$5001,$A$267,BD!$C$3:$C$5001,"&lt;&gt;")=0,"",SUMIFS(BD!$C$3:$C$5001,BD!$A$3:$A$5001,Z$3,BD!$B$3:$B$5001,$A$267)))</f>
        <v/>
      </c>
      <c r="AA267" s="172" t="str">
        <f>IF(AA$3="","",IF(COUNTIFS(BD!$A$3:$A$5001,AA$3,BD!$B$3:$B$5001,$A$267,BD!$C$3:$C$5001,"&lt;&gt;")=0,"",SUMIFS(BD!$C$3:$C$5001,BD!$A$3:$A$5001,AA$3,BD!$B$3:$B$5001,$A$267)))</f>
        <v/>
      </c>
      <c r="AB267" s="172" t="str">
        <f>IF(AB$3="","",IF(COUNTIFS(BD!$A$3:$A$5001,AB$3,BD!$B$3:$B$5001,$A$267,BD!$C$3:$C$5001,"&lt;&gt;")=0,"",SUMIFS(BD!$C$3:$C$5001,BD!$A$3:$A$5001,AB$3,BD!$B$3:$B$5001,$A$267)))</f>
        <v/>
      </c>
      <c r="AC267" s="172" t="str">
        <f>IF(AC$3="","",IF(COUNTIFS(BD!$A$3:$A$5001,AC$3,BD!$B$3:$B$5001,$A$267,BD!$C$3:$C$5001,"&lt;&gt;")=0,"",SUMIFS(BD!$C$3:$C$5001,BD!$A$3:$A$5001,AC$3,BD!$B$3:$B$5001,$A$267)))</f>
        <v/>
      </c>
      <c r="AD267" s="172" t="str">
        <f>IF(AD$3="","",IF(COUNTIFS(BD!$A$3:$A$5001,AD$3,BD!$B$3:$B$5001,$A$267,BD!$C$3:$C$5001,"&lt;&gt;")=0,"",SUMIFS(BD!$C$3:$C$5001,BD!$A$3:$A$5001,AD$3,BD!$B$3:$B$5001,$A$267)))</f>
        <v/>
      </c>
      <c r="AE267" s="172" t="str">
        <f>IF(AE$3="","",IF(COUNTIFS(BD!$A$3:$A$5001,AE$3,BD!$B$3:$B$5001,$A$267,BD!$C$3:$C$5001,"&lt;&gt;")=0,"",SUMIFS(BD!$C$3:$C$5001,BD!$A$3:$A$5001,AE$3,BD!$B$3:$B$5001,$A$267)))</f>
        <v/>
      </c>
      <c r="AF267" s="172" t="str">
        <f>IF(AF$3="","",IF(COUNTIFS(BD!$A$3:$A$5001,AF$3,BD!$B$3:$B$5001,$A$267,BD!$C$3:$C$5001,"&lt;&gt;")=0,"",SUMIFS(BD!$C$3:$C$5001,BD!$A$3:$A$5001,AF$3,BD!$B$3:$B$5001,$A$267)))</f>
        <v/>
      </c>
      <c r="AG267" s="172" t="str">
        <f>IF(AG$3="","",IF(COUNTIFS(BD!$A$3:$A$5001,AG$3,BD!$B$3:$B$5001,$A$267,BD!$C$3:$C$5001,"&lt;&gt;")=0,"",SUMIFS(BD!$C$3:$C$5001,BD!$A$3:$A$5001,AG$3,BD!$B$3:$B$5001,$A$267)))</f>
        <v/>
      </c>
      <c r="AH267" s="172" t="str">
        <f>IF(AH$3="","",IF(COUNTIFS(BD!$A$3:$A$5001,AH$3,BD!$B$3:$B$5001,$A$267,BD!$C$3:$C$5001,"&lt;&gt;")=0,"",SUMIFS(BD!$C$3:$C$5001,BD!$A$3:$A$5001,AH$3,BD!$B$3:$B$5001,$A$267)))</f>
        <v/>
      </c>
      <c r="AI267" s="172" t="str">
        <f>IF(AI$3="","",IF(COUNTIFS(BD!$A$3:$A$5001,AI$3,BD!$B$3:$B$5001,$A$267,BD!$C$3:$C$5001,"&lt;&gt;")=0,"",SUMIFS(BD!$C$3:$C$5001,BD!$A$3:$A$5001,AI$3,BD!$B$3:$B$5001,$A$267)))</f>
        <v/>
      </c>
      <c r="AJ267" s="173" t="str">
        <f>IF(AJ$3="","",IF(COUNTIFS(BD!$A$3:$A$5001,AJ$3,BD!$B$3:$B$5001,$A$267,BD!$C$3:$C$5001,"&lt;&gt;")=0,"",SUMIFS(BD!$C$3:$C$5001,BD!$A$3:$A$5001,AJ$3,BD!$B$3:$B$5001,$A$267)))</f>
        <v/>
      </c>
      <c r="AK267" s="174" t="str">
        <f>IF(COUNT(F267:AJ267)=0,"",SUM(F267:AJ267))</f>
        <v/>
      </c>
    </row>
    <row r="268" ht="15.75" customHeight="1" hidden="1">
      <c r="A268" s="261"/>
      <c r="B268" s="256"/>
      <c r="C268" s="214" t="inlineStr">
        <is>
          <t xml:space="preserve">Pallets Movimentados</t>
        </is>
      </c>
      <c r="D268" s="215" t="str">
        <f>IFERROR(1/(1/INDEX(BD!$AL$24:$BF$24,MATCH($A$267,BD!$AL$22:$BF$22,0))),"")</f>
        <v/>
      </c>
      <c r="E268" s="216"/>
      <c r="F268" s="217" t="str">
        <f>IF(F$3="","",IF(COUNTIFS(BD!$A$3:$A$5001,F$3,BD!$B$3:$B$5001,$A$267,BD!$D$3:$D$5001,"&lt;&gt;")=0,"",SUMIFS(BD!$D$3:$D$5001,BD!$A$3:$A$5001,F$3,BD!$B$3:$B$5001,$A$267)))</f>
        <v/>
      </c>
      <c r="G268" s="218" t="str">
        <f>IF(G$3="","",IF(COUNTIFS(BD!$A$3:$A$5001,G$3,BD!$B$3:$B$5001,$A$267,BD!$D$3:$D$5001,"&lt;&gt;")=0,"",SUMIFS(BD!$D$3:$D$5001,BD!$A$3:$A$5001,G$3,BD!$B$3:$B$5001,$A$267)))</f>
        <v/>
      </c>
      <c r="H268" s="218" t="str">
        <f>IF(H$3="","",IF(COUNTIFS(BD!$A$3:$A$5001,H$3,BD!$B$3:$B$5001,$A$267,BD!$D$3:$D$5001,"&lt;&gt;")=0,"",SUMIFS(BD!$D$3:$D$5001,BD!$A$3:$A$5001,H$3,BD!$B$3:$B$5001,$A$267)))</f>
        <v/>
      </c>
      <c r="I268" s="218" t="str">
        <f>IF(I$3="","",IF(COUNTIFS(BD!$A$3:$A$5001,I$3,BD!$B$3:$B$5001,$A$267,BD!$D$3:$D$5001,"&lt;&gt;")=0,"",SUMIFS(BD!$D$3:$D$5001,BD!$A$3:$A$5001,I$3,BD!$B$3:$B$5001,$A$267)))</f>
        <v/>
      </c>
      <c r="J268" s="218" t="str">
        <f>IF(J$3="","",IF(COUNTIFS(BD!$A$3:$A$5001,J$3,BD!$B$3:$B$5001,$A$267,BD!$D$3:$D$5001,"&lt;&gt;")=0,"",SUMIFS(BD!$D$3:$D$5001,BD!$A$3:$A$5001,J$3,BD!$B$3:$B$5001,$A$267)))</f>
        <v/>
      </c>
      <c r="K268" s="218" t="str">
        <f>IF(K$3="","",IF(COUNTIFS(BD!$A$3:$A$5001,K$3,BD!$B$3:$B$5001,$A$267,BD!$D$3:$D$5001,"&lt;&gt;")=0,"",SUMIFS(BD!$D$3:$D$5001,BD!$A$3:$A$5001,K$3,BD!$B$3:$B$5001,$A$267)))</f>
        <v/>
      </c>
      <c r="L268" s="218" t="str">
        <f>IF(L$3="","",IF(COUNTIFS(BD!$A$3:$A$5001,L$3,BD!$B$3:$B$5001,$A$267,BD!$D$3:$D$5001,"&lt;&gt;")=0,"",SUMIFS(BD!$D$3:$D$5001,BD!$A$3:$A$5001,L$3,BD!$B$3:$B$5001,$A$267)))</f>
        <v/>
      </c>
      <c r="M268" s="218" t="str">
        <f>IF(M$3="","",IF(COUNTIFS(BD!$A$3:$A$5001,M$3,BD!$B$3:$B$5001,$A$267,BD!$D$3:$D$5001,"&lt;&gt;")=0,"",SUMIFS(BD!$D$3:$D$5001,BD!$A$3:$A$5001,M$3,BD!$B$3:$B$5001,$A$267)))</f>
        <v/>
      </c>
      <c r="N268" s="218" t="str">
        <f>IF(N$3="","",IF(COUNTIFS(BD!$A$3:$A$5001,N$3,BD!$B$3:$B$5001,$A$267,BD!$D$3:$D$5001,"&lt;&gt;")=0,"",SUMIFS(BD!$D$3:$D$5001,BD!$A$3:$A$5001,N$3,BD!$B$3:$B$5001,$A$267)))</f>
        <v/>
      </c>
      <c r="O268" s="218" t="str">
        <f>IF(O$3="","",IF(COUNTIFS(BD!$A$3:$A$5001,O$3,BD!$B$3:$B$5001,$A$267,BD!$D$3:$D$5001,"&lt;&gt;")=0,"",SUMIFS(BD!$D$3:$D$5001,BD!$A$3:$A$5001,O$3,BD!$B$3:$B$5001,$A$267)))</f>
        <v/>
      </c>
      <c r="P268" s="218" t="str">
        <f>IF(P$3="","",IF(COUNTIFS(BD!$A$3:$A$5001,P$3,BD!$B$3:$B$5001,$A$267,BD!$D$3:$D$5001,"&lt;&gt;")=0,"",SUMIFS(BD!$D$3:$D$5001,BD!$A$3:$A$5001,P$3,BD!$B$3:$B$5001,$A$267)))</f>
        <v/>
      </c>
      <c r="Q268" s="218" t="str">
        <f>IF(Q$3="","",IF(COUNTIFS(BD!$A$3:$A$5001,Q$3,BD!$B$3:$B$5001,$A$267,BD!$D$3:$D$5001,"&lt;&gt;")=0,"",SUMIFS(BD!$D$3:$D$5001,BD!$A$3:$A$5001,Q$3,BD!$B$3:$B$5001,$A$267)))</f>
        <v/>
      </c>
      <c r="R268" s="218" t="str">
        <f>IF(R$3="","",IF(COUNTIFS(BD!$A$3:$A$5001,R$3,BD!$B$3:$B$5001,$A$267,BD!$D$3:$D$5001,"&lt;&gt;")=0,"",SUMIFS(BD!$D$3:$D$5001,BD!$A$3:$A$5001,R$3,BD!$B$3:$B$5001,$A$267)))</f>
        <v/>
      </c>
      <c r="S268" s="218" t="str">
        <f>IF(S$3="","",IF(COUNTIFS(BD!$A$3:$A$5001,S$3,BD!$B$3:$B$5001,$A$267,BD!$D$3:$D$5001,"&lt;&gt;")=0,"",SUMIFS(BD!$D$3:$D$5001,BD!$A$3:$A$5001,S$3,BD!$B$3:$B$5001,$A$267)))</f>
        <v/>
      </c>
      <c r="T268" s="218" t="str">
        <f>IF(T$3="","",IF(COUNTIFS(BD!$A$3:$A$5001,T$3,BD!$B$3:$B$5001,$A$267,BD!$D$3:$D$5001,"&lt;&gt;")=0,"",SUMIFS(BD!$D$3:$D$5001,BD!$A$3:$A$5001,T$3,BD!$B$3:$B$5001,$A$267)))</f>
        <v/>
      </c>
      <c r="U268" s="218" t="str">
        <f>IF(U$3="","",IF(COUNTIFS(BD!$A$3:$A$5001,U$3,BD!$B$3:$B$5001,$A$267,BD!$D$3:$D$5001,"&lt;&gt;")=0,"",SUMIFS(BD!$D$3:$D$5001,BD!$A$3:$A$5001,U$3,BD!$B$3:$B$5001,$A$267)))</f>
        <v/>
      </c>
      <c r="V268" s="218" t="str">
        <f>IF(V$3="","",IF(COUNTIFS(BD!$A$3:$A$5001,V$3,BD!$B$3:$B$5001,$A$267,BD!$D$3:$D$5001,"&lt;&gt;")=0,"",SUMIFS(BD!$D$3:$D$5001,BD!$A$3:$A$5001,V$3,BD!$B$3:$B$5001,$A$267)))</f>
        <v/>
      </c>
      <c r="W268" s="218" t="str">
        <f>IF(W$3="","",IF(COUNTIFS(BD!$A$3:$A$5001,W$3,BD!$B$3:$B$5001,$A$267,BD!$D$3:$D$5001,"&lt;&gt;")=0,"",SUMIFS(BD!$D$3:$D$5001,BD!$A$3:$A$5001,W$3,BD!$B$3:$B$5001,$A$267)))</f>
        <v/>
      </c>
      <c r="X268" s="218" t="str">
        <f>IF(X$3="","",IF(COUNTIFS(BD!$A$3:$A$5001,X$3,BD!$B$3:$B$5001,$A$267,BD!$D$3:$D$5001,"&lt;&gt;")=0,"",SUMIFS(BD!$D$3:$D$5001,BD!$A$3:$A$5001,X$3,BD!$B$3:$B$5001,$A$267)))</f>
        <v/>
      </c>
      <c r="Y268" s="218" t="str">
        <f>IF(Y$3="","",IF(COUNTIFS(BD!$A$3:$A$5001,Y$3,BD!$B$3:$B$5001,$A$267,BD!$D$3:$D$5001,"&lt;&gt;")=0,"",SUMIFS(BD!$D$3:$D$5001,BD!$A$3:$A$5001,Y$3,BD!$B$3:$B$5001,$A$267)))</f>
        <v/>
      </c>
      <c r="Z268" s="218" t="str">
        <f>IF(Z$3="","",IF(COUNTIFS(BD!$A$3:$A$5001,Z$3,BD!$B$3:$B$5001,$A$267,BD!$D$3:$D$5001,"&lt;&gt;")=0,"",SUMIFS(BD!$D$3:$D$5001,BD!$A$3:$A$5001,Z$3,BD!$B$3:$B$5001,$A$267)))</f>
        <v/>
      </c>
      <c r="AA268" s="218" t="str">
        <f>IF(AA$3="","",IF(COUNTIFS(BD!$A$3:$A$5001,AA$3,BD!$B$3:$B$5001,$A$267,BD!$D$3:$D$5001,"&lt;&gt;")=0,"",SUMIFS(BD!$D$3:$D$5001,BD!$A$3:$A$5001,AA$3,BD!$B$3:$B$5001,$A$267)))</f>
        <v/>
      </c>
      <c r="AB268" s="218" t="str">
        <f>IF(AB$3="","",IF(COUNTIFS(BD!$A$3:$A$5001,AB$3,BD!$B$3:$B$5001,$A$267,BD!$D$3:$D$5001,"&lt;&gt;")=0,"",SUMIFS(BD!$D$3:$D$5001,BD!$A$3:$A$5001,AB$3,BD!$B$3:$B$5001,$A$267)))</f>
        <v/>
      </c>
      <c r="AC268" s="218" t="str">
        <f>IF(AC$3="","",IF(COUNTIFS(BD!$A$3:$A$5001,AC$3,BD!$B$3:$B$5001,$A$267,BD!$D$3:$D$5001,"&lt;&gt;")=0,"",SUMIFS(BD!$D$3:$D$5001,BD!$A$3:$A$5001,AC$3,BD!$B$3:$B$5001,$A$267)))</f>
        <v/>
      </c>
      <c r="AD268" s="218" t="str">
        <f>IF(AD$3="","",IF(COUNTIFS(BD!$A$3:$A$5001,AD$3,BD!$B$3:$B$5001,$A$267,BD!$D$3:$D$5001,"&lt;&gt;")=0,"",SUMIFS(BD!$D$3:$D$5001,BD!$A$3:$A$5001,AD$3,BD!$B$3:$B$5001,$A$267)))</f>
        <v/>
      </c>
      <c r="AE268" s="218" t="str">
        <f>IF(AE$3="","",IF(COUNTIFS(BD!$A$3:$A$5001,AE$3,BD!$B$3:$B$5001,$A$267,BD!$D$3:$D$5001,"&lt;&gt;")=0,"",SUMIFS(BD!$D$3:$D$5001,BD!$A$3:$A$5001,AE$3,BD!$B$3:$B$5001,$A$267)))</f>
        <v/>
      </c>
      <c r="AF268" s="218" t="str">
        <f>IF(AF$3="","",IF(COUNTIFS(BD!$A$3:$A$5001,AF$3,BD!$B$3:$B$5001,$A$267,BD!$D$3:$D$5001,"&lt;&gt;")=0,"",SUMIFS(BD!$D$3:$D$5001,BD!$A$3:$A$5001,AF$3,BD!$B$3:$B$5001,$A$267)))</f>
        <v/>
      </c>
      <c r="AG268" s="218" t="str">
        <f>IF(AG$3="","",IF(COUNTIFS(BD!$A$3:$A$5001,AG$3,BD!$B$3:$B$5001,$A$267,BD!$D$3:$D$5001,"&lt;&gt;")=0,"",SUMIFS(BD!$D$3:$D$5001,BD!$A$3:$A$5001,AG$3,BD!$B$3:$B$5001,$A$267)))</f>
        <v/>
      </c>
      <c r="AH268" s="218" t="str">
        <f>IF(AH$3="","",IF(COUNTIFS(BD!$A$3:$A$5001,AH$3,BD!$B$3:$B$5001,$A$267,BD!$D$3:$D$5001,"&lt;&gt;")=0,"",SUMIFS(BD!$D$3:$D$5001,BD!$A$3:$A$5001,AH$3,BD!$B$3:$B$5001,$A$267)))</f>
        <v/>
      </c>
      <c r="AI268" s="218" t="str">
        <f>IF(AI$3="","",IF(COUNTIFS(BD!$A$3:$A$5001,AI$3,BD!$B$3:$B$5001,$A$267,BD!$D$3:$D$5001,"&lt;&gt;")=0,"",SUMIFS(BD!$D$3:$D$5001,BD!$A$3:$A$5001,AI$3,BD!$B$3:$B$5001,$A$267)))</f>
        <v/>
      </c>
      <c r="AJ268" s="219" t="str">
        <f>IF(AJ$3="","",IF(COUNTIFS(BD!$A$3:$A$5001,AJ$3,BD!$B$3:$B$5001,$A$267,BD!$D$3:$D$5001,"&lt;&gt;")=0,"",SUMIFS(BD!$D$3:$D$5001,BD!$A$3:$A$5001,AJ$3,BD!$B$3:$B$5001,$A$267)))</f>
        <v/>
      </c>
      <c r="AK268" s="220" t="str">
        <f>IF(COUNT(F268:AJ268)=0,"",SUM(F268:AJ268))</f>
        <v/>
      </c>
    </row>
    <row r="269" ht="15.75" customHeight="1" hidden="1">
      <c r="A269" s="261"/>
      <c r="B269" s="256"/>
      <c r="C269" s="214" t="inlineStr">
        <is>
          <t xml:space="preserve">Toneladas Movimentadas</t>
        </is>
      </c>
      <c r="D269" s="215" t="str">
        <f>IFERROR(1/(1/INDEX(BD!$AL$25:$BF$25,MATCH($A$267,BD!$AL$22:$BF$22,0))),"")</f>
        <v/>
      </c>
      <c r="E269" s="216"/>
      <c r="F269" s="282" t="str">
        <f>IF(F$3="","",IF(COUNTIFS(BD!$A$3:$A$5001,F$3,BD!$B$3:$B$5001,$A$267,BD!$E$3:$E$5001,"&lt;&gt;")=0,"",SUMIFS(BD!$E$3:$E$5001,BD!$A$3:$A$5001,F$3,BD!$B$3:$B$5001,$A$267)))</f>
        <v/>
      </c>
      <c r="G269" s="283" t="str">
        <f>IF(G$3="","",IF(COUNTIFS(BD!$A$3:$A$5001,G$3,BD!$B$3:$B$5001,$A$267,BD!$E$3:$E$5001,"&lt;&gt;")=0,"",SUMIFS(BD!$E$3:$E$5001,BD!$A$3:$A$5001,G$3,BD!$B$3:$B$5001,$A$267)))</f>
        <v/>
      </c>
      <c r="H269" s="283" t="str">
        <f>IF(H$3="","",IF(COUNTIFS(BD!$A$3:$A$5001,H$3,BD!$B$3:$B$5001,$A$267,BD!$E$3:$E$5001,"&lt;&gt;")=0,"",SUMIFS(BD!$E$3:$E$5001,BD!$A$3:$A$5001,H$3,BD!$B$3:$B$5001,$A$267)))</f>
        <v/>
      </c>
      <c r="I269" s="283" t="str">
        <f>IF(I$3="","",IF(COUNTIFS(BD!$A$3:$A$5001,I$3,BD!$B$3:$B$5001,$A$267,BD!$E$3:$E$5001,"&lt;&gt;")=0,"",SUMIFS(BD!$E$3:$E$5001,BD!$A$3:$A$5001,I$3,BD!$B$3:$B$5001,$A$267)))</f>
        <v/>
      </c>
      <c r="J269" s="283" t="str">
        <f>IF(J$3="","",IF(COUNTIFS(BD!$A$3:$A$5001,J$3,BD!$B$3:$B$5001,$A$267,BD!$E$3:$E$5001,"&lt;&gt;")=0,"",SUMIFS(BD!$E$3:$E$5001,BD!$A$3:$A$5001,J$3,BD!$B$3:$B$5001,$A$267)))</f>
        <v/>
      </c>
      <c r="K269" s="283" t="str">
        <f>IF(K$3="","",IF(COUNTIFS(BD!$A$3:$A$5001,K$3,BD!$B$3:$B$5001,$A$267,BD!$E$3:$E$5001,"&lt;&gt;")=0,"",SUMIFS(BD!$E$3:$E$5001,BD!$A$3:$A$5001,K$3,BD!$B$3:$B$5001,$A$267)))</f>
        <v/>
      </c>
      <c r="L269" s="283" t="str">
        <f>IF(L$3="","",IF(COUNTIFS(BD!$A$3:$A$5001,L$3,BD!$B$3:$B$5001,$A$267,BD!$E$3:$E$5001,"&lt;&gt;")=0,"",SUMIFS(BD!$E$3:$E$5001,BD!$A$3:$A$5001,L$3,BD!$B$3:$B$5001,$A$267)))</f>
        <v/>
      </c>
      <c r="M269" s="283" t="str">
        <f>IF(M$3="","",IF(COUNTIFS(BD!$A$3:$A$5001,M$3,BD!$B$3:$B$5001,$A$267,BD!$E$3:$E$5001,"&lt;&gt;")=0,"",SUMIFS(BD!$E$3:$E$5001,BD!$A$3:$A$5001,M$3,BD!$B$3:$B$5001,$A$267)))</f>
        <v/>
      </c>
      <c r="N269" s="283" t="str">
        <f>IF(N$3="","",IF(COUNTIFS(BD!$A$3:$A$5001,N$3,BD!$B$3:$B$5001,$A$267,BD!$E$3:$E$5001,"&lt;&gt;")=0,"",SUMIFS(BD!$E$3:$E$5001,BD!$A$3:$A$5001,N$3,BD!$B$3:$B$5001,$A$267)))</f>
        <v/>
      </c>
      <c r="O269" s="283" t="str">
        <f>IF(O$3="","",IF(COUNTIFS(BD!$A$3:$A$5001,O$3,BD!$B$3:$B$5001,$A$267,BD!$E$3:$E$5001,"&lt;&gt;")=0,"",SUMIFS(BD!$E$3:$E$5001,BD!$A$3:$A$5001,O$3,BD!$B$3:$B$5001,$A$267)))</f>
        <v/>
      </c>
      <c r="P269" s="283" t="str">
        <f>IF(P$3="","",IF(COUNTIFS(BD!$A$3:$A$5001,P$3,BD!$B$3:$B$5001,$A$267,BD!$E$3:$E$5001,"&lt;&gt;")=0,"",SUMIFS(BD!$E$3:$E$5001,BD!$A$3:$A$5001,P$3,BD!$B$3:$B$5001,$A$267)))</f>
        <v/>
      </c>
      <c r="Q269" s="283" t="str">
        <f>IF(Q$3="","",IF(COUNTIFS(BD!$A$3:$A$5001,Q$3,BD!$B$3:$B$5001,$A$267,BD!$E$3:$E$5001,"&lt;&gt;")=0,"",SUMIFS(BD!$E$3:$E$5001,BD!$A$3:$A$5001,Q$3,BD!$B$3:$B$5001,$A$267)))</f>
        <v/>
      </c>
      <c r="R269" s="283" t="str">
        <f>IF(R$3="","",IF(COUNTIFS(BD!$A$3:$A$5001,R$3,BD!$B$3:$B$5001,$A$267,BD!$E$3:$E$5001,"&lt;&gt;")=0,"",SUMIFS(BD!$E$3:$E$5001,BD!$A$3:$A$5001,R$3,BD!$B$3:$B$5001,$A$267)))</f>
        <v/>
      </c>
      <c r="S269" s="283" t="str">
        <f>IF(S$3="","",IF(COUNTIFS(BD!$A$3:$A$5001,S$3,BD!$B$3:$B$5001,$A$267,BD!$E$3:$E$5001,"&lt;&gt;")=0,"",SUMIFS(BD!$E$3:$E$5001,BD!$A$3:$A$5001,S$3,BD!$B$3:$B$5001,$A$267)))</f>
        <v/>
      </c>
      <c r="T269" s="283" t="str">
        <f>IF(T$3="","",IF(COUNTIFS(BD!$A$3:$A$5001,T$3,BD!$B$3:$B$5001,$A$267,BD!$E$3:$E$5001,"&lt;&gt;")=0,"",SUMIFS(BD!$E$3:$E$5001,BD!$A$3:$A$5001,T$3,BD!$B$3:$B$5001,$A$267)))</f>
        <v/>
      </c>
      <c r="U269" s="283" t="str">
        <f>IF(U$3="","",IF(COUNTIFS(BD!$A$3:$A$5001,U$3,BD!$B$3:$B$5001,$A$267,BD!$E$3:$E$5001,"&lt;&gt;")=0,"",SUMIFS(BD!$E$3:$E$5001,BD!$A$3:$A$5001,U$3,BD!$B$3:$B$5001,$A$267)))</f>
        <v/>
      </c>
      <c r="V269" s="283" t="str">
        <f>IF(V$3="","",IF(COUNTIFS(BD!$A$3:$A$5001,V$3,BD!$B$3:$B$5001,$A$267,BD!$E$3:$E$5001,"&lt;&gt;")=0,"",SUMIFS(BD!$E$3:$E$5001,BD!$A$3:$A$5001,V$3,BD!$B$3:$B$5001,$A$267)))</f>
        <v/>
      </c>
      <c r="W269" s="283" t="str">
        <f>IF(W$3="","",IF(COUNTIFS(BD!$A$3:$A$5001,W$3,BD!$B$3:$B$5001,$A$267,BD!$E$3:$E$5001,"&lt;&gt;")=0,"",SUMIFS(BD!$E$3:$E$5001,BD!$A$3:$A$5001,W$3,BD!$B$3:$B$5001,$A$267)))</f>
        <v/>
      </c>
      <c r="X269" s="283" t="str">
        <f>IF(X$3="","",IF(COUNTIFS(BD!$A$3:$A$5001,X$3,BD!$B$3:$B$5001,$A$267,BD!$E$3:$E$5001,"&lt;&gt;")=0,"",SUMIFS(BD!$E$3:$E$5001,BD!$A$3:$A$5001,X$3,BD!$B$3:$B$5001,$A$267)))</f>
        <v/>
      </c>
      <c r="Y269" s="283" t="str">
        <f>IF(Y$3="","",IF(COUNTIFS(BD!$A$3:$A$5001,Y$3,BD!$B$3:$B$5001,$A$267,BD!$E$3:$E$5001,"&lt;&gt;")=0,"",SUMIFS(BD!$E$3:$E$5001,BD!$A$3:$A$5001,Y$3,BD!$B$3:$B$5001,$A$267)))</f>
        <v/>
      </c>
      <c r="Z269" s="283" t="str">
        <f>IF(Z$3="","",IF(COUNTIFS(BD!$A$3:$A$5001,Z$3,BD!$B$3:$B$5001,$A$267,BD!$E$3:$E$5001,"&lt;&gt;")=0,"",SUMIFS(BD!$E$3:$E$5001,BD!$A$3:$A$5001,Z$3,BD!$B$3:$B$5001,$A$267)))</f>
        <v/>
      </c>
      <c r="AA269" s="283" t="str">
        <f>IF(AA$3="","",IF(COUNTIFS(BD!$A$3:$A$5001,AA$3,BD!$B$3:$B$5001,$A$267,BD!$E$3:$E$5001,"&lt;&gt;")=0,"",SUMIFS(BD!$E$3:$E$5001,BD!$A$3:$A$5001,AA$3,BD!$B$3:$B$5001,$A$267)))</f>
        <v/>
      </c>
      <c r="AB269" s="283" t="str">
        <f>IF(AB$3="","",IF(COUNTIFS(BD!$A$3:$A$5001,AB$3,BD!$B$3:$B$5001,$A$267,BD!$E$3:$E$5001,"&lt;&gt;")=0,"",SUMIFS(BD!$E$3:$E$5001,BD!$A$3:$A$5001,AB$3,BD!$B$3:$B$5001,$A$267)))</f>
        <v/>
      </c>
      <c r="AC269" s="283" t="str">
        <f>IF(AC$3="","",IF(COUNTIFS(BD!$A$3:$A$5001,AC$3,BD!$B$3:$B$5001,$A$267,BD!$E$3:$E$5001,"&lt;&gt;")=0,"",SUMIFS(BD!$E$3:$E$5001,BD!$A$3:$A$5001,AC$3,BD!$B$3:$B$5001,$A$267)))</f>
        <v/>
      </c>
      <c r="AD269" s="283" t="str">
        <f>IF(AD$3="","",IF(COUNTIFS(BD!$A$3:$A$5001,AD$3,BD!$B$3:$B$5001,$A$267,BD!$E$3:$E$5001,"&lt;&gt;")=0,"",SUMIFS(BD!$E$3:$E$5001,BD!$A$3:$A$5001,AD$3,BD!$B$3:$B$5001,$A$267)))</f>
        <v/>
      </c>
      <c r="AE269" s="283" t="str">
        <f>IF(AE$3="","",IF(COUNTIFS(BD!$A$3:$A$5001,AE$3,BD!$B$3:$B$5001,$A$267,BD!$E$3:$E$5001,"&lt;&gt;")=0,"",SUMIFS(BD!$E$3:$E$5001,BD!$A$3:$A$5001,AE$3,BD!$B$3:$B$5001,$A$267)))</f>
        <v/>
      </c>
      <c r="AF269" s="283" t="str">
        <f>IF(AF$3="","",IF(COUNTIFS(BD!$A$3:$A$5001,AF$3,BD!$B$3:$B$5001,$A$267,BD!$E$3:$E$5001,"&lt;&gt;")=0,"",SUMIFS(BD!$E$3:$E$5001,BD!$A$3:$A$5001,AF$3,BD!$B$3:$B$5001,$A$267)))</f>
        <v/>
      </c>
      <c r="AG269" s="283" t="str">
        <f>IF(AG$3="","",IF(COUNTIFS(BD!$A$3:$A$5001,AG$3,BD!$B$3:$B$5001,$A$267,BD!$E$3:$E$5001,"&lt;&gt;")=0,"",SUMIFS(BD!$E$3:$E$5001,BD!$A$3:$A$5001,AG$3,BD!$B$3:$B$5001,$A$267)))</f>
        <v/>
      </c>
      <c r="AH269" s="283" t="str">
        <f>IF(AH$3="","",IF(COUNTIFS(BD!$A$3:$A$5001,AH$3,BD!$B$3:$B$5001,$A$267,BD!$E$3:$E$5001,"&lt;&gt;")=0,"",SUMIFS(BD!$E$3:$E$5001,BD!$A$3:$A$5001,AH$3,BD!$B$3:$B$5001,$A$267)))</f>
        <v/>
      </c>
      <c r="AI269" s="283" t="str">
        <f>IF(AI$3="","",IF(COUNTIFS(BD!$A$3:$A$5001,AI$3,BD!$B$3:$B$5001,$A$267,BD!$E$3:$E$5001,"&lt;&gt;")=0,"",SUMIFS(BD!$E$3:$E$5001,BD!$A$3:$A$5001,AI$3,BD!$B$3:$B$5001,$A$267)))</f>
        <v/>
      </c>
      <c r="AJ269" s="284" t="str">
        <f>IF(AJ$3="","",IF(COUNTIFS(BD!$A$3:$A$5001,AJ$3,BD!$B$3:$B$5001,$A$267,BD!$E$3:$E$5001,"&lt;&gt;")=0,"",SUMIFS(BD!$E$3:$E$5001,BD!$A$3:$A$5001,AJ$3,BD!$B$3:$B$5001,$A$267)))</f>
        <v/>
      </c>
      <c r="AK269" s="285" t="str">
        <f>IF(COUNT(F269:AJ269)=0,"",SUM(F269:AJ269))</f>
        <v/>
      </c>
    </row>
    <row r="270" ht="15.75" customHeight="1" hidden="1">
      <c r="A270" s="261"/>
      <c r="B270" s="256"/>
      <c r="C270" s="214" t="inlineStr">
        <is>
          <t xml:space="preserve">Linhas NF</t>
        </is>
      </c>
      <c r="D270" s="215" t="str">
        <f>IFERROR(1/(1/INDEX(BD!$AL$26:$BF$26,MATCH($A$267,BD!$AL$22:$BF$22,0))),"")</f>
        <v/>
      </c>
      <c r="E270" s="216"/>
      <c r="F270" s="217" t="str">
        <f>IF(F$3="","",IF(COUNTIFS(BD!$A$3:$A$5001,F$3,BD!$B$3:$B$5001,$A$267,BD!$F$3:$F$5001,"&lt;&gt;")=0,"",SUMIFS(BD!$F$3:$F$5001,BD!$A$3:$A$5001,F$3,BD!$B$3:$B$5001,$A$267)))</f>
        <v/>
      </c>
      <c r="G270" s="218" t="str">
        <f>IF(G$3="","",IF(COUNTIFS(BD!$A$3:$A$5001,G$3,BD!$B$3:$B$5001,$A$267,BD!$F$3:$F$5001,"&lt;&gt;")=0,"",SUMIFS(BD!$F$3:$F$5001,BD!$A$3:$A$5001,G$3,BD!$B$3:$B$5001,$A$267)))</f>
        <v/>
      </c>
      <c r="H270" s="218" t="str">
        <f>IF(H$3="","",IF(COUNTIFS(BD!$A$3:$A$5001,H$3,BD!$B$3:$B$5001,$A$267,BD!$F$3:$F$5001,"&lt;&gt;")=0,"",SUMIFS(BD!$F$3:$F$5001,BD!$A$3:$A$5001,H$3,BD!$B$3:$B$5001,$A$267)))</f>
        <v/>
      </c>
      <c r="I270" s="218" t="str">
        <f>IF(I$3="","",IF(COUNTIFS(BD!$A$3:$A$5001,I$3,BD!$B$3:$B$5001,$A$267,BD!$F$3:$F$5001,"&lt;&gt;")=0,"",SUMIFS(BD!$F$3:$F$5001,BD!$A$3:$A$5001,I$3,BD!$B$3:$B$5001,$A$267)))</f>
        <v/>
      </c>
      <c r="J270" s="218" t="str">
        <f>IF(J$3="","",IF(COUNTIFS(BD!$A$3:$A$5001,J$3,BD!$B$3:$B$5001,$A$267,BD!$F$3:$F$5001,"&lt;&gt;")=0,"",SUMIFS(BD!$F$3:$F$5001,BD!$A$3:$A$5001,J$3,BD!$B$3:$B$5001,$A$267)))</f>
        <v/>
      </c>
      <c r="K270" s="218" t="str">
        <f>IF(K$3="","",IF(COUNTIFS(BD!$A$3:$A$5001,K$3,BD!$B$3:$B$5001,$A$267,BD!$F$3:$F$5001,"&lt;&gt;")=0,"",SUMIFS(BD!$F$3:$F$5001,BD!$A$3:$A$5001,K$3,BD!$B$3:$B$5001,$A$267)))</f>
        <v/>
      </c>
      <c r="L270" s="218" t="str">
        <f>IF(L$3="","",IF(COUNTIFS(BD!$A$3:$A$5001,L$3,BD!$B$3:$B$5001,$A$267,BD!$F$3:$F$5001,"&lt;&gt;")=0,"",SUMIFS(BD!$F$3:$F$5001,BD!$A$3:$A$5001,L$3,BD!$B$3:$B$5001,$A$267)))</f>
        <v/>
      </c>
      <c r="M270" s="218" t="str">
        <f>IF(M$3="","",IF(COUNTIFS(BD!$A$3:$A$5001,M$3,BD!$B$3:$B$5001,$A$267,BD!$F$3:$F$5001,"&lt;&gt;")=0,"",SUMIFS(BD!$F$3:$F$5001,BD!$A$3:$A$5001,M$3,BD!$B$3:$B$5001,$A$267)))</f>
        <v/>
      </c>
      <c r="N270" s="218" t="str">
        <f>IF(N$3="","",IF(COUNTIFS(BD!$A$3:$A$5001,N$3,BD!$B$3:$B$5001,$A$267,BD!$F$3:$F$5001,"&lt;&gt;")=0,"",SUMIFS(BD!$F$3:$F$5001,BD!$A$3:$A$5001,N$3,BD!$B$3:$B$5001,$A$267)))</f>
        <v/>
      </c>
      <c r="O270" s="218" t="str">
        <f>IF(O$3="","",IF(COUNTIFS(BD!$A$3:$A$5001,O$3,BD!$B$3:$B$5001,$A$267,BD!$F$3:$F$5001,"&lt;&gt;")=0,"",SUMIFS(BD!$F$3:$F$5001,BD!$A$3:$A$5001,O$3,BD!$B$3:$B$5001,$A$267)))</f>
        <v/>
      </c>
      <c r="P270" s="218" t="str">
        <f>IF(P$3="","",IF(COUNTIFS(BD!$A$3:$A$5001,P$3,BD!$B$3:$B$5001,$A$267,BD!$F$3:$F$5001,"&lt;&gt;")=0,"",SUMIFS(BD!$F$3:$F$5001,BD!$A$3:$A$5001,P$3,BD!$B$3:$B$5001,$A$267)))</f>
        <v/>
      </c>
      <c r="Q270" s="218" t="str">
        <f>IF(Q$3="","",IF(COUNTIFS(BD!$A$3:$A$5001,Q$3,BD!$B$3:$B$5001,$A$267,BD!$F$3:$F$5001,"&lt;&gt;")=0,"",SUMIFS(BD!$F$3:$F$5001,BD!$A$3:$A$5001,Q$3,BD!$B$3:$B$5001,$A$267)))</f>
        <v/>
      </c>
      <c r="R270" s="218" t="str">
        <f>IF(R$3="","",IF(COUNTIFS(BD!$A$3:$A$5001,R$3,BD!$B$3:$B$5001,$A$267,BD!$F$3:$F$5001,"&lt;&gt;")=0,"",SUMIFS(BD!$F$3:$F$5001,BD!$A$3:$A$5001,R$3,BD!$B$3:$B$5001,$A$267)))</f>
        <v/>
      </c>
      <c r="S270" s="218" t="str">
        <f>IF(S$3="","",IF(COUNTIFS(BD!$A$3:$A$5001,S$3,BD!$B$3:$B$5001,$A$267,BD!$F$3:$F$5001,"&lt;&gt;")=0,"",SUMIFS(BD!$F$3:$F$5001,BD!$A$3:$A$5001,S$3,BD!$B$3:$B$5001,$A$267)))</f>
        <v/>
      </c>
      <c r="T270" s="218" t="str">
        <f>IF(T$3="","",IF(COUNTIFS(BD!$A$3:$A$5001,T$3,BD!$B$3:$B$5001,$A$267,BD!$F$3:$F$5001,"&lt;&gt;")=0,"",SUMIFS(BD!$F$3:$F$5001,BD!$A$3:$A$5001,T$3,BD!$B$3:$B$5001,$A$267)))</f>
        <v/>
      </c>
      <c r="U270" s="218" t="str">
        <f>IF(U$3="","",IF(COUNTIFS(BD!$A$3:$A$5001,U$3,BD!$B$3:$B$5001,$A$267,BD!$F$3:$F$5001,"&lt;&gt;")=0,"",SUMIFS(BD!$F$3:$F$5001,BD!$A$3:$A$5001,U$3,BD!$B$3:$B$5001,$A$267)))</f>
        <v/>
      </c>
      <c r="V270" s="218" t="str">
        <f>IF(V$3="","",IF(COUNTIFS(BD!$A$3:$A$5001,V$3,BD!$B$3:$B$5001,$A$267,BD!$F$3:$F$5001,"&lt;&gt;")=0,"",SUMIFS(BD!$F$3:$F$5001,BD!$A$3:$A$5001,V$3,BD!$B$3:$B$5001,$A$267)))</f>
        <v/>
      </c>
      <c r="W270" s="218" t="str">
        <f>IF(W$3="","",IF(COUNTIFS(BD!$A$3:$A$5001,W$3,BD!$B$3:$B$5001,$A$267,BD!$F$3:$F$5001,"&lt;&gt;")=0,"",SUMIFS(BD!$F$3:$F$5001,BD!$A$3:$A$5001,W$3,BD!$B$3:$B$5001,$A$267)))</f>
        <v/>
      </c>
      <c r="X270" s="218" t="str">
        <f>IF(X$3="","",IF(COUNTIFS(BD!$A$3:$A$5001,X$3,BD!$B$3:$B$5001,$A$267,BD!$F$3:$F$5001,"&lt;&gt;")=0,"",SUMIFS(BD!$F$3:$F$5001,BD!$A$3:$A$5001,X$3,BD!$B$3:$B$5001,$A$267)))</f>
        <v/>
      </c>
      <c r="Y270" s="218" t="str">
        <f>IF(Y$3="","",IF(COUNTIFS(BD!$A$3:$A$5001,Y$3,BD!$B$3:$B$5001,$A$267,BD!$F$3:$F$5001,"&lt;&gt;")=0,"",SUMIFS(BD!$F$3:$F$5001,BD!$A$3:$A$5001,Y$3,BD!$B$3:$B$5001,$A$267)))</f>
        <v/>
      </c>
      <c r="Z270" s="218" t="str">
        <f>IF(Z$3="","",IF(COUNTIFS(BD!$A$3:$A$5001,Z$3,BD!$B$3:$B$5001,$A$267,BD!$F$3:$F$5001,"&lt;&gt;")=0,"",SUMIFS(BD!$F$3:$F$5001,BD!$A$3:$A$5001,Z$3,BD!$B$3:$B$5001,$A$267)))</f>
        <v/>
      </c>
      <c r="AA270" s="218" t="str">
        <f>IF(AA$3="","",IF(COUNTIFS(BD!$A$3:$A$5001,AA$3,BD!$B$3:$B$5001,$A$267,BD!$F$3:$F$5001,"&lt;&gt;")=0,"",SUMIFS(BD!$F$3:$F$5001,BD!$A$3:$A$5001,AA$3,BD!$B$3:$B$5001,$A$267)))</f>
        <v/>
      </c>
      <c r="AB270" s="218" t="str">
        <f>IF(AB$3="","",IF(COUNTIFS(BD!$A$3:$A$5001,AB$3,BD!$B$3:$B$5001,$A$267,BD!$F$3:$F$5001,"&lt;&gt;")=0,"",SUMIFS(BD!$F$3:$F$5001,BD!$A$3:$A$5001,AB$3,BD!$B$3:$B$5001,$A$267)))</f>
        <v/>
      </c>
      <c r="AC270" s="218" t="str">
        <f>IF(AC$3="","",IF(COUNTIFS(BD!$A$3:$A$5001,AC$3,BD!$B$3:$B$5001,$A$267,BD!$F$3:$F$5001,"&lt;&gt;")=0,"",SUMIFS(BD!$F$3:$F$5001,BD!$A$3:$A$5001,AC$3,BD!$B$3:$B$5001,$A$267)))</f>
        <v/>
      </c>
      <c r="AD270" s="218" t="str">
        <f>IF(AD$3="","",IF(COUNTIFS(BD!$A$3:$A$5001,AD$3,BD!$B$3:$B$5001,$A$267,BD!$F$3:$F$5001,"&lt;&gt;")=0,"",SUMIFS(BD!$F$3:$F$5001,BD!$A$3:$A$5001,AD$3,BD!$B$3:$B$5001,$A$267)))</f>
        <v/>
      </c>
      <c r="AE270" s="218" t="str">
        <f>IF(AE$3="","",IF(COUNTIFS(BD!$A$3:$A$5001,AE$3,BD!$B$3:$B$5001,$A$267,BD!$F$3:$F$5001,"&lt;&gt;")=0,"",SUMIFS(BD!$F$3:$F$5001,BD!$A$3:$A$5001,AE$3,BD!$B$3:$B$5001,$A$267)))</f>
        <v/>
      </c>
      <c r="AF270" s="218" t="str">
        <f>IF(AF$3="","",IF(COUNTIFS(BD!$A$3:$A$5001,AF$3,BD!$B$3:$B$5001,$A$267,BD!$F$3:$F$5001,"&lt;&gt;")=0,"",SUMIFS(BD!$F$3:$F$5001,BD!$A$3:$A$5001,AF$3,BD!$B$3:$B$5001,$A$267)))</f>
        <v/>
      </c>
      <c r="AG270" s="218" t="str">
        <f>IF(AG$3="","",IF(COUNTIFS(BD!$A$3:$A$5001,AG$3,BD!$B$3:$B$5001,$A$267,BD!$F$3:$F$5001,"&lt;&gt;")=0,"",SUMIFS(BD!$F$3:$F$5001,BD!$A$3:$A$5001,AG$3,BD!$B$3:$B$5001,$A$267)))</f>
        <v/>
      </c>
      <c r="AH270" s="218" t="str">
        <f>IF(AH$3="","",IF(COUNTIFS(BD!$A$3:$A$5001,AH$3,BD!$B$3:$B$5001,$A$267,BD!$F$3:$F$5001,"&lt;&gt;")=0,"",SUMIFS(BD!$F$3:$F$5001,BD!$A$3:$A$5001,AH$3,BD!$B$3:$B$5001,$A$267)))</f>
        <v/>
      </c>
      <c r="AI270" s="218" t="str">
        <f>IF(AI$3="","",IF(COUNTIFS(BD!$A$3:$A$5001,AI$3,BD!$B$3:$B$5001,$A$267,BD!$F$3:$F$5001,"&lt;&gt;")=0,"",SUMIFS(BD!$F$3:$F$5001,BD!$A$3:$A$5001,AI$3,BD!$B$3:$B$5001,$A$267)))</f>
        <v/>
      </c>
      <c r="AJ270" s="219" t="str">
        <f>IF(AJ$3="","",IF(COUNTIFS(BD!$A$3:$A$5001,AJ$3,BD!$B$3:$B$5001,$A$267,BD!$F$3:$F$5001,"&lt;&gt;")=0,"",SUMIFS(BD!$F$3:$F$5001,BD!$A$3:$A$5001,AJ$3,BD!$B$3:$B$5001,$A$267)))</f>
        <v/>
      </c>
      <c r="AK270" s="220" t="str">
        <f>IF(COUNT(F270:AJ270)=0,"",SUM(F270:AJ270))</f>
        <v/>
      </c>
    </row>
    <row r="271" ht="15.75" customHeight="1" hidden="1">
      <c r="A271" s="261"/>
      <c r="B271" s="256"/>
      <c r="C271" s="214" t="inlineStr">
        <is>
          <t xml:space="preserve">Caixas Movimentadas</t>
        </is>
      </c>
      <c r="D271" s="215" t="str">
        <f>IFERROR(1/(1/INDEX(BD!$AL$27:$BF$27,MATCH($A$267,BD!$AL$22:$BF$22,0))),"")</f>
        <v/>
      </c>
      <c r="E271" s="216"/>
      <c r="F271" s="217" t="str">
        <f>IF(F$3="","",IF(COUNTIFS(BD!$A$3:$A$5001,F$3,BD!$B$3:$B$5001,$A$267,BD!$G$3:$G$5001,"&lt;&gt;")=0,"",SUMIFS(BD!$G$3:$G$5001,BD!$A$3:$A$5001,F$3,BD!$B$3:$B$5001,$A$267)))</f>
        <v/>
      </c>
      <c r="G271" s="218" t="str">
        <f>IF(G$3="","",IF(COUNTIFS(BD!$A$3:$A$5001,G$3,BD!$B$3:$B$5001,$A$267,BD!$G$3:$G$5001,"&lt;&gt;")=0,"",SUMIFS(BD!$G$3:$G$5001,BD!$A$3:$A$5001,G$3,BD!$B$3:$B$5001,$A$267)))</f>
        <v/>
      </c>
      <c r="H271" s="218" t="str">
        <f>IF(H$3="","",IF(COUNTIFS(BD!$A$3:$A$5001,H$3,BD!$B$3:$B$5001,$A$267,BD!$G$3:$G$5001,"&lt;&gt;")=0,"",SUMIFS(BD!$G$3:$G$5001,BD!$A$3:$A$5001,H$3,BD!$B$3:$B$5001,$A$267)))</f>
        <v/>
      </c>
      <c r="I271" s="218" t="str">
        <f>IF(I$3="","",IF(COUNTIFS(BD!$A$3:$A$5001,I$3,BD!$B$3:$B$5001,$A$267,BD!$G$3:$G$5001,"&lt;&gt;")=0,"",SUMIFS(BD!$G$3:$G$5001,BD!$A$3:$A$5001,I$3,BD!$B$3:$B$5001,$A$267)))</f>
        <v/>
      </c>
      <c r="J271" s="218" t="str">
        <f>IF(J$3="","",IF(COUNTIFS(BD!$A$3:$A$5001,J$3,BD!$B$3:$B$5001,$A$267,BD!$G$3:$G$5001,"&lt;&gt;")=0,"",SUMIFS(BD!$G$3:$G$5001,BD!$A$3:$A$5001,J$3,BD!$B$3:$B$5001,$A$267)))</f>
        <v/>
      </c>
      <c r="K271" s="218" t="str">
        <f>IF(K$3="","",IF(COUNTIFS(BD!$A$3:$A$5001,K$3,BD!$B$3:$B$5001,$A$267,BD!$G$3:$G$5001,"&lt;&gt;")=0,"",SUMIFS(BD!$G$3:$G$5001,BD!$A$3:$A$5001,K$3,BD!$B$3:$B$5001,$A$267)))</f>
        <v/>
      </c>
      <c r="L271" s="218" t="str">
        <f>IF(L$3="","",IF(COUNTIFS(BD!$A$3:$A$5001,L$3,BD!$B$3:$B$5001,$A$267,BD!$G$3:$G$5001,"&lt;&gt;")=0,"",SUMIFS(BD!$G$3:$G$5001,BD!$A$3:$A$5001,L$3,BD!$B$3:$B$5001,$A$267)))</f>
        <v/>
      </c>
      <c r="M271" s="218" t="str">
        <f>IF(M$3="","",IF(COUNTIFS(BD!$A$3:$A$5001,M$3,BD!$B$3:$B$5001,$A$267,BD!$G$3:$G$5001,"&lt;&gt;")=0,"",SUMIFS(BD!$G$3:$G$5001,BD!$A$3:$A$5001,M$3,BD!$B$3:$B$5001,$A$267)))</f>
        <v/>
      </c>
      <c r="N271" s="218" t="str">
        <f>IF(N$3="","",IF(COUNTIFS(BD!$A$3:$A$5001,N$3,BD!$B$3:$B$5001,$A$267,BD!$G$3:$G$5001,"&lt;&gt;")=0,"",SUMIFS(BD!$G$3:$G$5001,BD!$A$3:$A$5001,N$3,BD!$B$3:$B$5001,$A$267)))</f>
        <v/>
      </c>
      <c r="O271" s="218" t="str">
        <f>IF(O$3="","",IF(COUNTIFS(BD!$A$3:$A$5001,O$3,BD!$B$3:$B$5001,$A$267,BD!$G$3:$G$5001,"&lt;&gt;")=0,"",SUMIFS(BD!$G$3:$G$5001,BD!$A$3:$A$5001,O$3,BD!$B$3:$B$5001,$A$267)))</f>
        <v/>
      </c>
      <c r="P271" s="218" t="str">
        <f>IF(P$3="","",IF(COUNTIFS(BD!$A$3:$A$5001,P$3,BD!$B$3:$B$5001,$A$267,BD!$G$3:$G$5001,"&lt;&gt;")=0,"",SUMIFS(BD!$G$3:$G$5001,BD!$A$3:$A$5001,P$3,BD!$B$3:$B$5001,$A$267)))</f>
        <v/>
      </c>
      <c r="Q271" s="218" t="str">
        <f>IF(Q$3="","",IF(COUNTIFS(BD!$A$3:$A$5001,Q$3,BD!$B$3:$B$5001,$A$267,BD!$G$3:$G$5001,"&lt;&gt;")=0,"",SUMIFS(BD!$G$3:$G$5001,BD!$A$3:$A$5001,Q$3,BD!$B$3:$B$5001,$A$267)))</f>
        <v/>
      </c>
      <c r="R271" s="218" t="str">
        <f>IF(R$3="","",IF(COUNTIFS(BD!$A$3:$A$5001,R$3,BD!$B$3:$B$5001,$A$267,BD!$G$3:$G$5001,"&lt;&gt;")=0,"",SUMIFS(BD!$G$3:$G$5001,BD!$A$3:$A$5001,R$3,BD!$B$3:$B$5001,$A$267)))</f>
        <v/>
      </c>
      <c r="S271" s="218" t="str">
        <f>IF(S$3="","",IF(COUNTIFS(BD!$A$3:$A$5001,S$3,BD!$B$3:$B$5001,$A$267,BD!$G$3:$G$5001,"&lt;&gt;")=0,"",SUMIFS(BD!$G$3:$G$5001,BD!$A$3:$A$5001,S$3,BD!$B$3:$B$5001,$A$267)))</f>
        <v/>
      </c>
      <c r="T271" s="218" t="str">
        <f>IF(T$3="","",IF(COUNTIFS(BD!$A$3:$A$5001,T$3,BD!$B$3:$B$5001,$A$267,BD!$G$3:$G$5001,"&lt;&gt;")=0,"",SUMIFS(BD!$G$3:$G$5001,BD!$A$3:$A$5001,T$3,BD!$B$3:$B$5001,$A$267)))</f>
        <v/>
      </c>
      <c r="U271" s="218" t="str">
        <f>IF(U$3="","",IF(COUNTIFS(BD!$A$3:$A$5001,U$3,BD!$B$3:$B$5001,$A$267,BD!$G$3:$G$5001,"&lt;&gt;")=0,"",SUMIFS(BD!$G$3:$G$5001,BD!$A$3:$A$5001,U$3,BD!$B$3:$B$5001,$A$267)))</f>
        <v/>
      </c>
      <c r="V271" s="218" t="str">
        <f>IF(V$3="","",IF(COUNTIFS(BD!$A$3:$A$5001,V$3,BD!$B$3:$B$5001,$A$267,BD!$G$3:$G$5001,"&lt;&gt;")=0,"",SUMIFS(BD!$G$3:$G$5001,BD!$A$3:$A$5001,V$3,BD!$B$3:$B$5001,$A$267)))</f>
        <v/>
      </c>
      <c r="W271" s="218" t="str">
        <f>IF(W$3="","",IF(COUNTIFS(BD!$A$3:$A$5001,W$3,BD!$B$3:$B$5001,$A$267,BD!$G$3:$G$5001,"&lt;&gt;")=0,"",SUMIFS(BD!$G$3:$G$5001,BD!$A$3:$A$5001,W$3,BD!$B$3:$B$5001,$A$267)))</f>
        <v/>
      </c>
      <c r="X271" s="218" t="str">
        <f>IF(X$3="","",IF(COUNTIFS(BD!$A$3:$A$5001,X$3,BD!$B$3:$B$5001,$A$267,BD!$G$3:$G$5001,"&lt;&gt;")=0,"",SUMIFS(BD!$G$3:$G$5001,BD!$A$3:$A$5001,X$3,BD!$B$3:$B$5001,$A$267)))</f>
        <v/>
      </c>
      <c r="Y271" s="218" t="str">
        <f>IF(Y$3="","",IF(COUNTIFS(BD!$A$3:$A$5001,Y$3,BD!$B$3:$B$5001,$A$267,BD!$G$3:$G$5001,"&lt;&gt;")=0,"",SUMIFS(BD!$G$3:$G$5001,BD!$A$3:$A$5001,Y$3,BD!$B$3:$B$5001,$A$267)))</f>
        <v/>
      </c>
      <c r="Z271" s="218" t="str">
        <f>IF(Z$3="","",IF(COUNTIFS(BD!$A$3:$A$5001,Z$3,BD!$B$3:$B$5001,$A$267,BD!$G$3:$G$5001,"&lt;&gt;")=0,"",SUMIFS(BD!$G$3:$G$5001,BD!$A$3:$A$5001,Z$3,BD!$B$3:$B$5001,$A$267)))</f>
        <v/>
      </c>
      <c r="AA271" s="218" t="str">
        <f>IF(AA$3="","",IF(COUNTIFS(BD!$A$3:$A$5001,AA$3,BD!$B$3:$B$5001,$A$267,BD!$G$3:$G$5001,"&lt;&gt;")=0,"",SUMIFS(BD!$G$3:$G$5001,BD!$A$3:$A$5001,AA$3,BD!$B$3:$B$5001,$A$267)))</f>
        <v/>
      </c>
      <c r="AB271" s="218" t="str">
        <f>IF(AB$3="","",IF(COUNTIFS(BD!$A$3:$A$5001,AB$3,BD!$B$3:$B$5001,$A$267,BD!$G$3:$G$5001,"&lt;&gt;")=0,"",SUMIFS(BD!$G$3:$G$5001,BD!$A$3:$A$5001,AB$3,BD!$B$3:$B$5001,$A$267)))</f>
        <v/>
      </c>
      <c r="AC271" s="218" t="str">
        <f>IF(AC$3="","",IF(COUNTIFS(BD!$A$3:$A$5001,AC$3,BD!$B$3:$B$5001,$A$267,BD!$G$3:$G$5001,"&lt;&gt;")=0,"",SUMIFS(BD!$G$3:$G$5001,BD!$A$3:$A$5001,AC$3,BD!$B$3:$B$5001,$A$267)))</f>
        <v/>
      </c>
      <c r="AD271" s="218" t="str">
        <f>IF(AD$3="","",IF(COUNTIFS(BD!$A$3:$A$5001,AD$3,BD!$B$3:$B$5001,$A$267,BD!$G$3:$G$5001,"&lt;&gt;")=0,"",SUMIFS(BD!$G$3:$G$5001,BD!$A$3:$A$5001,AD$3,BD!$B$3:$B$5001,$A$267)))</f>
        <v/>
      </c>
      <c r="AE271" s="218" t="str">
        <f>IF(AE$3="","",IF(COUNTIFS(BD!$A$3:$A$5001,AE$3,BD!$B$3:$B$5001,$A$267,BD!$G$3:$G$5001,"&lt;&gt;")=0,"",SUMIFS(BD!$G$3:$G$5001,BD!$A$3:$A$5001,AE$3,BD!$B$3:$B$5001,$A$267)))</f>
        <v/>
      </c>
      <c r="AF271" s="218" t="str">
        <f>IF(AF$3="","",IF(COUNTIFS(BD!$A$3:$A$5001,AF$3,BD!$B$3:$B$5001,$A$267,BD!$G$3:$G$5001,"&lt;&gt;")=0,"",SUMIFS(BD!$G$3:$G$5001,BD!$A$3:$A$5001,AF$3,BD!$B$3:$B$5001,$A$267)))</f>
        <v/>
      </c>
      <c r="AG271" s="218" t="str">
        <f>IF(AG$3="","",IF(COUNTIFS(BD!$A$3:$A$5001,AG$3,BD!$B$3:$B$5001,$A$267,BD!$G$3:$G$5001,"&lt;&gt;")=0,"",SUMIFS(BD!$G$3:$G$5001,BD!$A$3:$A$5001,AG$3,BD!$B$3:$B$5001,$A$267)))</f>
        <v/>
      </c>
      <c r="AH271" s="218" t="str">
        <f>IF(AH$3="","",IF(COUNTIFS(BD!$A$3:$A$5001,AH$3,BD!$B$3:$B$5001,$A$267,BD!$G$3:$G$5001,"&lt;&gt;")=0,"",SUMIFS(BD!$G$3:$G$5001,BD!$A$3:$A$5001,AH$3,BD!$B$3:$B$5001,$A$267)))</f>
        <v/>
      </c>
      <c r="AI271" s="218" t="str">
        <f>IF(AI$3="","",IF(COUNTIFS(BD!$A$3:$A$5001,AI$3,BD!$B$3:$B$5001,$A$267,BD!$G$3:$G$5001,"&lt;&gt;")=0,"",SUMIFS(BD!$G$3:$G$5001,BD!$A$3:$A$5001,AI$3,BD!$B$3:$B$5001,$A$267)))</f>
        <v/>
      </c>
      <c r="AJ271" s="219" t="str">
        <f>IF(AJ$3="","",IF(COUNTIFS(BD!$A$3:$A$5001,AJ$3,BD!$B$3:$B$5001,$A$267,BD!$G$3:$G$5001,"&lt;&gt;")=0,"",SUMIFS(BD!$G$3:$G$5001,BD!$A$3:$A$5001,AJ$3,BD!$B$3:$B$5001,$A$267)))</f>
        <v/>
      </c>
      <c r="AK271" s="220" t="str">
        <f>IF(COUNT(F271:AJ271)=0,"",SUM(F271:AJ271))</f>
        <v/>
      </c>
    </row>
    <row r="272" ht="15.75" customHeight="1" hidden="1">
      <c r="A272" s="261"/>
      <c r="B272" s="256"/>
      <c r="C272" s="214" t="inlineStr">
        <is>
          <t xml:space="preserve">Itens Recebidos</t>
        </is>
      </c>
      <c r="D272" s="215" t="str">
        <f>IFERROR(1/(1/INDEX(BD!$AL$28:$BF$28,MATCH($A$267,BD!$AL$22:$BF$22,0))),"")</f>
        <v/>
      </c>
      <c r="E272" s="216"/>
      <c r="F272" s="217" t="str">
        <f>IF(F$3="","",IF(COUNTIFS(BD!$A$3:$A$5001,F$3,BD!$B$3:$B$5001,$A$267,BD!$H$3:$H$5001,"&lt;&gt;")=0,"",SUMIFS(BD!$H$3:$H$5001,BD!$A$3:$A$5001,F$3,BD!$B$3:$B$5001,$A$267)))</f>
        <v/>
      </c>
      <c r="G272" s="218" t="str">
        <f>IF(G$3="","",IF(COUNTIFS(BD!$A$3:$A$5001,G$3,BD!$B$3:$B$5001,$A$267,BD!$H$3:$H$5001,"&lt;&gt;")=0,"",SUMIFS(BD!$H$3:$H$5001,BD!$A$3:$A$5001,G$3,BD!$B$3:$B$5001,$A$267)))</f>
        <v/>
      </c>
      <c r="H272" s="218" t="str">
        <f>IF(H$3="","",IF(COUNTIFS(BD!$A$3:$A$5001,H$3,BD!$B$3:$B$5001,$A$267,BD!$H$3:$H$5001,"&lt;&gt;")=0,"",SUMIFS(BD!$H$3:$H$5001,BD!$A$3:$A$5001,H$3,BD!$B$3:$B$5001,$A$267)))</f>
        <v/>
      </c>
      <c r="I272" s="218" t="str">
        <f>IF(I$3="","",IF(COUNTIFS(BD!$A$3:$A$5001,I$3,BD!$B$3:$B$5001,$A$267,BD!$H$3:$H$5001,"&lt;&gt;")=0,"",SUMIFS(BD!$H$3:$H$5001,BD!$A$3:$A$5001,I$3,BD!$B$3:$B$5001,$A$267)))</f>
        <v/>
      </c>
      <c r="J272" s="218" t="str">
        <f>IF(J$3="","",IF(COUNTIFS(BD!$A$3:$A$5001,J$3,BD!$B$3:$B$5001,$A$267,BD!$H$3:$H$5001,"&lt;&gt;")=0,"",SUMIFS(BD!$H$3:$H$5001,BD!$A$3:$A$5001,J$3,BD!$B$3:$B$5001,$A$267)))</f>
        <v/>
      </c>
      <c r="K272" s="218" t="str">
        <f>IF(K$3="","",IF(COUNTIFS(BD!$A$3:$A$5001,K$3,BD!$B$3:$B$5001,$A$267,BD!$H$3:$H$5001,"&lt;&gt;")=0,"",SUMIFS(BD!$H$3:$H$5001,BD!$A$3:$A$5001,K$3,BD!$B$3:$B$5001,$A$267)))</f>
        <v/>
      </c>
      <c r="L272" s="218" t="str">
        <f>IF(L$3="","",IF(COUNTIFS(BD!$A$3:$A$5001,L$3,BD!$B$3:$B$5001,$A$267,BD!$H$3:$H$5001,"&lt;&gt;")=0,"",SUMIFS(BD!$H$3:$H$5001,BD!$A$3:$A$5001,L$3,BD!$B$3:$B$5001,$A$267)))</f>
        <v/>
      </c>
      <c r="M272" s="218" t="str">
        <f>IF(M$3="","",IF(COUNTIFS(BD!$A$3:$A$5001,M$3,BD!$B$3:$B$5001,$A$267,BD!$H$3:$H$5001,"&lt;&gt;")=0,"",SUMIFS(BD!$H$3:$H$5001,BD!$A$3:$A$5001,M$3,BD!$B$3:$B$5001,$A$267)))</f>
        <v/>
      </c>
      <c r="N272" s="218" t="str">
        <f>IF(N$3="","",IF(COUNTIFS(BD!$A$3:$A$5001,N$3,BD!$B$3:$B$5001,$A$267,BD!$H$3:$H$5001,"&lt;&gt;")=0,"",SUMIFS(BD!$H$3:$H$5001,BD!$A$3:$A$5001,N$3,BD!$B$3:$B$5001,$A$267)))</f>
        <v/>
      </c>
      <c r="O272" s="218" t="str">
        <f>IF(O$3="","",IF(COUNTIFS(BD!$A$3:$A$5001,O$3,BD!$B$3:$B$5001,$A$267,BD!$H$3:$H$5001,"&lt;&gt;")=0,"",SUMIFS(BD!$H$3:$H$5001,BD!$A$3:$A$5001,O$3,BD!$B$3:$B$5001,$A$267)))</f>
        <v/>
      </c>
      <c r="P272" s="218" t="str">
        <f>IF(P$3="","",IF(COUNTIFS(BD!$A$3:$A$5001,P$3,BD!$B$3:$B$5001,$A$267,BD!$H$3:$H$5001,"&lt;&gt;")=0,"",SUMIFS(BD!$H$3:$H$5001,BD!$A$3:$A$5001,P$3,BD!$B$3:$B$5001,$A$267)))</f>
        <v/>
      </c>
      <c r="Q272" s="218" t="str">
        <f>IF(Q$3="","",IF(COUNTIFS(BD!$A$3:$A$5001,Q$3,BD!$B$3:$B$5001,$A$267,BD!$H$3:$H$5001,"&lt;&gt;")=0,"",SUMIFS(BD!$H$3:$H$5001,BD!$A$3:$A$5001,Q$3,BD!$B$3:$B$5001,$A$267)))</f>
        <v/>
      </c>
      <c r="R272" s="218" t="str">
        <f>IF(R$3="","",IF(COUNTIFS(BD!$A$3:$A$5001,R$3,BD!$B$3:$B$5001,$A$267,BD!$H$3:$H$5001,"&lt;&gt;")=0,"",SUMIFS(BD!$H$3:$H$5001,BD!$A$3:$A$5001,R$3,BD!$B$3:$B$5001,$A$267)))</f>
        <v/>
      </c>
      <c r="S272" s="218" t="str">
        <f>IF(S$3="","",IF(COUNTIFS(BD!$A$3:$A$5001,S$3,BD!$B$3:$B$5001,$A$267,BD!$H$3:$H$5001,"&lt;&gt;")=0,"",SUMIFS(BD!$H$3:$H$5001,BD!$A$3:$A$5001,S$3,BD!$B$3:$B$5001,$A$267)))</f>
        <v/>
      </c>
      <c r="T272" s="218" t="str">
        <f>IF(T$3="","",IF(COUNTIFS(BD!$A$3:$A$5001,T$3,BD!$B$3:$B$5001,$A$267,BD!$H$3:$H$5001,"&lt;&gt;")=0,"",SUMIFS(BD!$H$3:$H$5001,BD!$A$3:$A$5001,T$3,BD!$B$3:$B$5001,$A$267)))</f>
        <v/>
      </c>
      <c r="U272" s="218" t="str">
        <f>IF(U$3="","",IF(COUNTIFS(BD!$A$3:$A$5001,U$3,BD!$B$3:$B$5001,$A$267,BD!$H$3:$H$5001,"&lt;&gt;")=0,"",SUMIFS(BD!$H$3:$H$5001,BD!$A$3:$A$5001,U$3,BD!$B$3:$B$5001,$A$267)))</f>
        <v/>
      </c>
      <c r="V272" s="218" t="str">
        <f>IF(V$3="","",IF(COUNTIFS(BD!$A$3:$A$5001,V$3,BD!$B$3:$B$5001,$A$267,BD!$H$3:$H$5001,"&lt;&gt;")=0,"",SUMIFS(BD!$H$3:$H$5001,BD!$A$3:$A$5001,V$3,BD!$B$3:$B$5001,$A$267)))</f>
        <v/>
      </c>
      <c r="W272" s="218" t="str">
        <f>IF(W$3="","",IF(COUNTIFS(BD!$A$3:$A$5001,W$3,BD!$B$3:$B$5001,$A$267,BD!$H$3:$H$5001,"&lt;&gt;")=0,"",SUMIFS(BD!$H$3:$H$5001,BD!$A$3:$A$5001,W$3,BD!$B$3:$B$5001,$A$267)))</f>
        <v/>
      </c>
      <c r="X272" s="218" t="str">
        <f>IF(X$3="","",IF(COUNTIFS(BD!$A$3:$A$5001,X$3,BD!$B$3:$B$5001,$A$267,BD!$H$3:$H$5001,"&lt;&gt;")=0,"",SUMIFS(BD!$H$3:$H$5001,BD!$A$3:$A$5001,X$3,BD!$B$3:$B$5001,$A$267)))</f>
        <v/>
      </c>
      <c r="Y272" s="218" t="str">
        <f>IF(Y$3="","",IF(COUNTIFS(BD!$A$3:$A$5001,Y$3,BD!$B$3:$B$5001,$A$267,BD!$H$3:$H$5001,"&lt;&gt;")=0,"",SUMIFS(BD!$H$3:$H$5001,BD!$A$3:$A$5001,Y$3,BD!$B$3:$B$5001,$A$267)))</f>
        <v/>
      </c>
      <c r="Z272" s="218" t="str">
        <f>IF(Z$3="","",IF(COUNTIFS(BD!$A$3:$A$5001,Z$3,BD!$B$3:$B$5001,$A$267,BD!$H$3:$H$5001,"&lt;&gt;")=0,"",SUMIFS(BD!$H$3:$H$5001,BD!$A$3:$A$5001,Z$3,BD!$B$3:$B$5001,$A$267)))</f>
        <v/>
      </c>
      <c r="AA272" s="218" t="str">
        <f>IF(AA$3="","",IF(COUNTIFS(BD!$A$3:$A$5001,AA$3,BD!$B$3:$B$5001,$A$267,BD!$H$3:$H$5001,"&lt;&gt;")=0,"",SUMIFS(BD!$H$3:$H$5001,BD!$A$3:$A$5001,AA$3,BD!$B$3:$B$5001,$A$267)))</f>
        <v/>
      </c>
      <c r="AB272" s="218" t="str">
        <f>IF(AB$3="","",IF(COUNTIFS(BD!$A$3:$A$5001,AB$3,BD!$B$3:$B$5001,$A$267,BD!$H$3:$H$5001,"&lt;&gt;")=0,"",SUMIFS(BD!$H$3:$H$5001,BD!$A$3:$A$5001,AB$3,BD!$B$3:$B$5001,$A$267)))</f>
        <v/>
      </c>
      <c r="AC272" s="218" t="str">
        <f>IF(AC$3="","",IF(COUNTIFS(BD!$A$3:$A$5001,AC$3,BD!$B$3:$B$5001,$A$267,BD!$H$3:$H$5001,"&lt;&gt;")=0,"",SUMIFS(BD!$H$3:$H$5001,BD!$A$3:$A$5001,AC$3,BD!$B$3:$B$5001,$A$267)))</f>
        <v/>
      </c>
      <c r="AD272" s="218" t="str">
        <f>IF(AD$3="","",IF(COUNTIFS(BD!$A$3:$A$5001,AD$3,BD!$B$3:$B$5001,$A$267,BD!$H$3:$H$5001,"&lt;&gt;")=0,"",SUMIFS(BD!$H$3:$H$5001,BD!$A$3:$A$5001,AD$3,BD!$B$3:$B$5001,$A$267)))</f>
        <v/>
      </c>
      <c r="AE272" s="218" t="str">
        <f>IF(AE$3="","",IF(COUNTIFS(BD!$A$3:$A$5001,AE$3,BD!$B$3:$B$5001,$A$267,BD!$H$3:$H$5001,"&lt;&gt;")=0,"",SUMIFS(BD!$H$3:$H$5001,BD!$A$3:$A$5001,AE$3,BD!$B$3:$B$5001,$A$267)))</f>
        <v/>
      </c>
      <c r="AF272" s="218" t="str">
        <f>IF(AF$3="","",IF(COUNTIFS(BD!$A$3:$A$5001,AF$3,BD!$B$3:$B$5001,$A$267,BD!$H$3:$H$5001,"&lt;&gt;")=0,"",SUMIFS(BD!$H$3:$H$5001,BD!$A$3:$A$5001,AF$3,BD!$B$3:$B$5001,$A$267)))</f>
        <v/>
      </c>
      <c r="AG272" s="218" t="str">
        <f>IF(AG$3="","",IF(COUNTIFS(BD!$A$3:$A$5001,AG$3,BD!$B$3:$B$5001,$A$267,BD!$H$3:$H$5001,"&lt;&gt;")=0,"",SUMIFS(BD!$H$3:$H$5001,BD!$A$3:$A$5001,AG$3,BD!$B$3:$B$5001,$A$267)))</f>
        <v/>
      </c>
      <c r="AH272" s="218" t="str">
        <f>IF(AH$3="","",IF(COUNTIFS(BD!$A$3:$A$5001,AH$3,BD!$B$3:$B$5001,$A$267,BD!$H$3:$H$5001,"&lt;&gt;")=0,"",SUMIFS(BD!$H$3:$H$5001,BD!$A$3:$A$5001,AH$3,BD!$B$3:$B$5001,$A$267)))</f>
        <v/>
      </c>
      <c r="AI272" s="218" t="str">
        <f>IF(AI$3="","",IF(COUNTIFS(BD!$A$3:$A$5001,AI$3,BD!$B$3:$B$5001,$A$267,BD!$H$3:$H$5001,"&lt;&gt;")=0,"",SUMIFS(BD!$H$3:$H$5001,BD!$A$3:$A$5001,AI$3,BD!$B$3:$B$5001,$A$267)))</f>
        <v/>
      </c>
      <c r="AJ272" s="219" t="str">
        <f>IF(AJ$3="","",IF(COUNTIFS(BD!$A$3:$A$5001,AJ$3,BD!$B$3:$B$5001,$A$267,BD!$H$3:$H$5001,"&lt;&gt;")=0,"",SUMIFS(BD!$H$3:$H$5001,BD!$A$3:$A$5001,AJ$3,BD!$B$3:$B$5001,$A$267)))</f>
        <v/>
      </c>
      <c r="AK272" s="220" t="str">
        <f>IF(COUNT(F272:AJ272)=0,"",SUM(F272:AJ272))</f>
        <v/>
      </c>
    </row>
    <row r="273" ht="15.75" customHeight="1" hidden="1">
      <c r="A273" s="261"/>
      <c r="B273" s="256"/>
      <c r="C273" s="214" t="inlineStr">
        <is>
          <t xml:space="preserve">Itens Recebidos CX Mista</t>
        </is>
      </c>
      <c r="D273" s="215" t="str">
        <f>IFERROR(1/(1/INDEX(BD!$AL$29:$BF$29,MATCH($A$267,BD!$AL$22:$BF$22,0))),"")</f>
        <v/>
      </c>
      <c r="E273" s="216"/>
      <c r="F273" s="217" t="str">
        <f>IF(F$3="","",IF(COUNTIFS(BD!$A$3:$A$5001,F$3,BD!$B$3:$B$5001,$A$267,BD!$I$3:$I$5001,"&lt;&gt;")=0,"",SUMIFS(BD!$I$3:$I$5001,BD!$A$3:$A$5001,F$3,BD!$B$3:$B$5001,$A$267)))</f>
        <v/>
      </c>
      <c r="G273" s="218" t="str">
        <f>IF(G$3="","",IF(COUNTIFS(BD!$A$3:$A$5001,G$3,BD!$B$3:$B$5001,$A$267,BD!$I$3:$I$5001,"&lt;&gt;")=0,"",SUMIFS(BD!$I$3:$I$5001,BD!$A$3:$A$5001,G$3,BD!$B$3:$B$5001,$A$267)))</f>
        <v/>
      </c>
      <c r="H273" s="218" t="str">
        <f>IF(H$3="","",IF(COUNTIFS(BD!$A$3:$A$5001,H$3,BD!$B$3:$B$5001,$A$267,BD!$I$3:$I$5001,"&lt;&gt;")=0,"",SUMIFS(BD!$I$3:$I$5001,BD!$A$3:$A$5001,H$3,BD!$B$3:$B$5001,$A$267)))</f>
        <v/>
      </c>
      <c r="I273" s="218" t="str">
        <f>IF(I$3="","",IF(COUNTIFS(BD!$A$3:$A$5001,I$3,BD!$B$3:$B$5001,$A$267,BD!$I$3:$I$5001,"&lt;&gt;")=0,"",SUMIFS(BD!$I$3:$I$5001,BD!$A$3:$A$5001,I$3,BD!$B$3:$B$5001,$A$267)))</f>
        <v/>
      </c>
      <c r="J273" s="218" t="str">
        <f>IF(J$3="","",IF(COUNTIFS(BD!$A$3:$A$5001,J$3,BD!$B$3:$B$5001,$A$267,BD!$I$3:$I$5001,"&lt;&gt;")=0,"",SUMIFS(BD!$I$3:$I$5001,BD!$A$3:$A$5001,J$3,BD!$B$3:$B$5001,$A$267)))</f>
        <v/>
      </c>
      <c r="K273" s="218" t="str">
        <f>IF(K$3="","",IF(COUNTIFS(BD!$A$3:$A$5001,K$3,BD!$B$3:$B$5001,$A$267,BD!$I$3:$I$5001,"&lt;&gt;")=0,"",SUMIFS(BD!$I$3:$I$5001,BD!$A$3:$A$5001,K$3,BD!$B$3:$B$5001,$A$267)))</f>
        <v/>
      </c>
      <c r="L273" s="218" t="str">
        <f>IF(L$3="","",IF(COUNTIFS(BD!$A$3:$A$5001,L$3,BD!$B$3:$B$5001,$A$267,BD!$I$3:$I$5001,"&lt;&gt;")=0,"",SUMIFS(BD!$I$3:$I$5001,BD!$A$3:$A$5001,L$3,BD!$B$3:$B$5001,$A$267)))</f>
        <v/>
      </c>
      <c r="M273" s="218" t="str">
        <f>IF(M$3="","",IF(COUNTIFS(BD!$A$3:$A$5001,M$3,BD!$B$3:$B$5001,$A$267,BD!$I$3:$I$5001,"&lt;&gt;")=0,"",SUMIFS(BD!$I$3:$I$5001,BD!$A$3:$A$5001,M$3,BD!$B$3:$B$5001,$A$267)))</f>
        <v/>
      </c>
      <c r="N273" s="218" t="str">
        <f>IF(N$3="","",IF(COUNTIFS(BD!$A$3:$A$5001,N$3,BD!$B$3:$B$5001,$A$267,BD!$I$3:$I$5001,"&lt;&gt;")=0,"",SUMIFS(BD!$I$3:$I$5001,BD!$A$3:$A$5001,N$3,BD!$B$3:$B$5001,$A$267)))</f>
        <v/>
      </c>
      <c r="O273" s="218" t="str">
        <f>IF(O$3="","",IF(COUNTIFS(BD!$A$3:$A$5001,O$3,BD!$B$3:$B$5001,$A$267,BD!$I$3:$I$5001,"&lt;&gt;")=0,"",SUMIFS(BD!$I$3:$I$5001,BD!$A$3:$A$5001,O$3,BD!$B$3:$B$5001,$A$267)))</f>
        <v/>
      </c>
      <c r="P273" s="218" t="str">
        <f>IF(P$3="","",IF(COUNTIFS(BD!$A$3:$A$5001,P$3,BD!$B$3:$B$5001,$A$267,BD!$I$3:$I$5001,"&lt;&gt;")=0,"",SUMIFS(BD!$I$3:$I$5001,BD!$A$3:$A$5001,P$3,BD!$B$3:$B$5001,$A$267)))</f>
        <v/>
      </c>
      <c r="Q273" s="218" t="str">
        <f>IF(Q$3="","",IF(COUNTIFS(BD!$A$3:$A$5001,Q$3,BD!$B$3:$B$5001,$A$267,BD!$I$3:$I$5001,"&lt;&gt;")=0,"",SUMIFS(BD!$I$3:$I$5001,BD!$A$3:$A$5001,Q$3,BD!$B$3:$B$5001,$A$267)))</f>
        <v/>
      </c>
      <c r="R273" s="218" t="str">
        <f>IF(R$3="","",IF(COUNTIFS(BD!$A$3:$A$5001,R$3,BD!$B$3:$B$5001,$A$267,BD!$I$3:$I$5001,"&lt;&gt;")=0,"",SUMIFS(BD!$I$3:$I$5001,BD!$A$3:$A$5001,R$3,BD!$B$3:$B$5001,$A$267)))</f>
        <v/>
      </c>
      <c r="S273" s="218" t="str">
        <f>IF(S$3="","",IF(COUNTIFS(BD!$A$3:$A$5001,S$3,BD!$B$3:$B$5001,$A$267,BD!$I$3:$I$5001,"&lt;&gt;")=0,"",SUMIFS(BD!$I$3:$I$5001,BD!$A$3:$A$5001,S$3,BD!$B$3:$B$5001,$A$267)))</f>
        <v/>
      </c>
      <c r="T273" s="218" t="str">
        <f>IF(T$3="","",IF(COUNTIFS(BD!$A$3:$A$5001,T$3,BD!$B$3:$B$5001,$A$267,BD!$I$3:$I$5001,"&lt;&gt;")=0,"",SUMIFS(BD!$I$3:$I$5001,BD!$A$3:$A$5001,T$3,BD!$B$3:$B$5001,$A$267)))</f>
        <v/>
      </c>
      <c r="U273" s="218" t="str">
        <f>IF(U$3="","",IF(COUNTIFS(BD!$A$3:$A$5001,U$3,BD!$B$3:$B$5001,$A$267,BD!$I$3:$I$5001,"&lt;&gt;")=0,"",SUMIFS(BD!$I$3:$I$5001,BD!$A$3:$A$5001,U$3,BD!$B$3:$B$5001,$A$267)))</f>
        <v/>
      </c>
      <c r="V273" s="218" t="str">
        <f>IF(V$3="","",IF(COUNTIFS(BD!$A$3:$A$5001,V$3,BD!$B$3:$B$5001,$A$267,BD!$I$3:$I$5001,"&lt;&gt;")=0,"",SUMIFS(BD!$I$3:$I$5001,BD!$A$3:$A$5001,V$3,BD!$B$3:$B$5001,$A$267)))</f>
        <v/>
      </c>
      <c r="W273" s="218" t="str">
        <f>IF(W$3="","",IF(COUNTIFS(BD!$A$3:$A$5001,W$3,BD!$B$3:$B$5001,$A$267,BD!$I$3:$I$5001,"&lt;&gt;")=0,"",SUMIFS(BD!$I$3:$I$5001,BD!$A$3:$A$5001,W$3,BD!$B$3:$B$5001,$A$267)))</f>
        <v/>
      </c>
      <c r="X273" s="218" t="str">
        <f>IF(X$3="","",IF(COUNTIFS(BD!$A$3:$A$5001,X$3,BD!$B$3:$B$5001,$A$267,BD!$I$3:$I$5001,"&lt;&gt;")=0,"",SUMIFS(BD!$I$3:$I$5001,BD!$A$3:$A$5001,X$3,BD!$B$3:$B$5001,$A$267)))</f>
        <v/>
      </c>
      <c r="Y273" s="218" t="str">
        <f>IF(Y$3="","",IF(COUNTIFS(BD!$A$3:$A$5001,Y$3,BD!$B$3:$B$5001,$A$267,BD!$I$3:$I$5001,"&lt;&gt;")=0,"",SUMIFS(BD!$I$3:$I$5001,BD!$A$3:$A$5001,Y$3,BD!$B$3:$B$5001,$A$267)))</f>
        <v/>
      </c>
      <c r="Z273" s="218" t="str">
        <f>IF(Z$3="","",IF(COUNTIFS(BD!$A$3:$A$5001,Z$3,BD!$B$3:$B$5001,$A$267,BD!$I$3:$I$5001,"&lt;&gt;")=0,"",SUMIFS(BD!$I$3:$I$5001,BD!$A$3:$A$5001,Z$3,BD!$B$3:$B$5001,$A$267)))</f>
        <v/>
      </c>
      <c r="AA273" s="218" t="str">
        <f>IF(AA$3="","",IF(COUNTIFS(BD!$A$3:$A$5001,AA$3,BD!$B$3:$B$5001,$A$267,BD!$I$3:$I$5001,"&lt;&gt;")=0,"",SUMIFS(BD!$I$3:$I$5001,BD!$A$3:$A$5001,AA$3,BD!$B$3:$B$5001,$A$267)))</f>
        <v/>
      </c>
      <c r="AB273" s="218" t="str">
        <f>IF(AB$3="","",IF(COUNTIFS(BD!$A$3:$A$5001,AB$3,BD!$B$3:$B$5001,$A$267,BD!$I$3:$I$5001,"&lt;&gt;")=0,"",SUMIFS(BD!$I$3:$I$5001,BD!$A$3:$A$5001,AB$3,BD!$B$3:$B$5001,$A$267)))</f>
        <v/>
      </c>
      <c r="AC273" s="218" t="str">
        <f>IF(AC$3="","",IF(COUNTIFS(BD!$A$3:$A$5001,AC$3,BD!$B$3:$B$5001,$A$267,BD!$I$3:$I$5001,"&lt;&gt;")=0,"",SUMIFS(BD!$I$3:$I$5001,BD!$A$3:$A$5001,AC$3,BD!$B$3:$B$5001,$A$267)))</f>
        <v/>
      </c>
      <c r="AD273" s="218" t="str">
        <f>IF(AD$3="","",IF(COUNTIFS(BD!$A$3:$A$5001,AD$3,BD!$B$3:$B$5001,$A$267,BD!$I$3:$I$5001,"&lt;&gt;")=0,"",SUMIFS(BD!$I$3:$I$5001,BD!$A$3:$A$5001,AD$3,BD!$B$3:$B$5001,$A$267)))</f>
        <v/>
      </c>
      <c r="AE273" s="218" t="str">
        <f>IF(AE$3="","",IF(COUNTIFS(BD!$A$3:$A$5001,AE$3,BD!$B$3:$B$5001,$A$267,BD!$I$3:$I$5001,"&lt;&gt;")=0,"",SUMIFS(BD!$I$3:$I$5001,BD!$A$3:$A$5001,AE$3,BD!$B$3:$B$5001,$A$267)))</f>
        <v/>
      </c>
      <c r="AF273" s="218" t="str">
        <f>IF(AF$3="","",IF(COUNTIFS(BD!$A$3:$A$5001,AF$3,BD!$B$3:$B$5001,$A$267,BD!$I$3:$I$5001,"&lt;&gt;")=0,"",SUMIFS(BD!$I$3:$I$5001,BD!$A$3:$A$5001,AF$3,BD!$B$3:$B$5001,$A$267)))</f>
        <v/>
      </c>
      <c r="AG273" s="218" t="str">
        <f>IF(AG$3="","",IF(COUNTIFS(BD!$A$3:$A$5001,AG$3,BD!$B$3:$B$5001,$A$267,BD!$I$3:$I$5001,"&lt;&gt;")=0,"",SUMIFS(BD!$I$3:$I$5001,BD!$A$3:$A$5001,AG$3,BD!$B$3:$B$5001,$A$267)))</f>
        <v/>
      </c>
      <c r="AH273" s="218" t="str">
        <f>IF(AH$3="","",IF(COUNTIFS(BD!$A$3:$A$5001,AH$3,BD!$B$3:$B$5001,$A$267,BD!$I$3:$I$5001,"&lt;&gt;")=0,"",SUMIFS(BD!$I$3:$I$5001,BD!$A$3:$A$5001,AH$3,BD!$B$3:$B$5001,$A$267)))</f>
        <v/>
      </c>
      <c r="AI273" s="218" t="str">
        <f>IF(AI$3="","",IF(COUNTIFS(BD!$A$3:$A$5001,AI$3,BD!$B$3:$B$5001,$A$267,BD!$I$3:$I$5001,"&lt;&gt;")=0,"",SUMIFS(BD!$I$3:$I$5001,BD!$A$3:$A$5001,AI$3,BD!$B$3:$B$5001,$A$267)))</f>
        <v/>
      </c>
      <c r="AJ273" s="219" t="str">
        <f>IF(AJ$3="","",IF(COUNTIFS(BD!$A$3:$A$5001,AJ$3,BD!$B$3:$B$5001,$A$267,BD!$I$3:$I$5001,"&lt;&gt;")=0,"",SUMIFS(BD!$I$3:$I$5001,BD!$A$3:$A$5001,AJ$3,BD!$B$3:$B$5001,$A$267)))</f>
        <v/>
      </c>
      <c r="AK273" s="220" t="str">
        <f>IF(COUNT(F273:AJ273)=0,"",SUM(F273:AJ273))</f>
        <v/>
      </c>
    </row>
    <row r="274" ht="15.75" customHeight="1" hidden="1">
      <c r="A274" s="261"/>
      <c r="B274" s="256"/>
      <c r="C274" s="214" t="inlineStr">
        <is>
          <t xml:space="preserve">Caixas Fechadas</t>
        </is>
      </c>
      <c r="D274" s="215" t="str">
        <f>IFERROR(1/(1/INDEX(BD!$AL$30:$BF$30,MATCH($A$267,BD!$AL$22:$BF$22,0))),"")</f>
        <v/>
      </c>
      <c r="E274" s="216"/>
      <c r="F274" s="217" t="str">
        <f>IF(F$3="","",IF(COUNTIFS(BD!$A$3:$A$5001,F$3,BD!$B$3:$B$5001,$A$267,BD!$J$3:$J$5001,"&lt;&gt;")=0,"",SUMIFS(BD!$J$3:$J$5001,BD!$A$3:$A$5001,F$3,BD!$B$3:$B$5001,$A$267)))</f>
        <v/>
      </c>
      <c r="G274" s="218" t="str">
        <f>IF(G$3="","",IF(COUNTIFS(BD!$A$3:$A$5001,G$3,BD!$B$3:$B$5001,$A$267,BD!$J$3:$J$5001,"&lt;&gt;")=0,"",SUMIFS(BD!$J$3:$J$5001,BD!$A$3:$A$5001,G$3,BD!$B$3:$B$5001,$A$267)))</f>
        <v/>
      </c>
      <c r="H274" s="218" t="str">
        <f>IF(H$3="","",IF(COUNTIFS(BD!$A$3:$A$5001,H$3,BD!$B$3:$B$5001,$A$267,BD!$J$3:$J$5001,"&lt;&gt;")=0,"",SUMIFS(BD!$J$3:$J$5001,BD!$A$3:$A$5001,H$3,BD!$B$3:$B$5001,$A$267)))</f>
        <v/>
      </c>
      <c r="I274" s="218" t="str">
        <f>IF(I$3="","",IF(COUNTIFS(BD!$A$3:$A$5001,I$3,BD!$B$3:$B$5001,$A$267,BD!$J$3:$J$5001,"&lt;&gt;")=0,"",SUMIFS(BD!$J$3:$J$5001,BD!$A$3:$A$5001,I$3,BD!$B$3:$B$5001,$A$267)))</f>
        <v/>
      </c>
      <c r="J274" s="218" t="str">
        <f>IF(J$3="","",IF(COUNTIFS(BD!$A$3:$A$5001,J$3,BD!$B$3:$B$5001,$A$267,BD!$J$3:$J$5001,"&lt;&gt;")=0,"",SUMIFS(BD!$J$3:$J$5001,BD!$A$3:$A$5001,J$3,BD!$B$3:$B$5001,$A$267)))</f>
        <v/>
      </c>
      <c r="K274" s="218" t="str">
        <f>IF(K$3="","",IF(COUNTIFS(BD!$A$3:$A$5001,K$3,BD!$B$3:$B$5001,$A$267,BD!$J$3:$J$5001,"&lt;&gt;")=0,"",SUMIFS(BD!$J$3:$J$5001,BD!$A$3:$A$5001,K$3,BD!$B$3:$B$5001,$A$267)))</f>
        <v/>
      </c>
      <c r="L274" s="218" t="str">
        <f>IF(L$3="","",IF(COUNTIFS(BD!$A$3:$A$5001,L$3,BD!$B$3:$B$5001,$A$267,BD!$J$3:$J$5001,"&lt;&gt;")=0,"",SUMIFS(BD!$J$3:$J$5001,BD!$A$3:$A$5001,L$3,BD!$B$3:$B$5001,$A$267)))</f>
        <v/>
      </c>
      <c r="M274" s="218" t="str">
        <f>IF(M$3="","",IF(COUNTIFS(BD!$A$3:$A$5001,M$3,BD!$B$3:$B$5001,$A$267,BD!$J$3:$J$5001,"&lt;&gt;")=0,"",SUMIFS(BD!$J$3:$J$5001,BD!$A$3:$A$5001,M$3,BD!$B$3:$B$5001,$A$267)))</f>
        <v/>
      </c>
      <c r="N274" s="218" t="str">
        <f>IF(N$3="","",IF(COUNTIFS(BD!$A$3:$A$5001,N$3,BD!$B$3:$B$5001,$A$267,BD!$J$3:$J$5001,"&lt;&gt;")=0,"",SUMIFS(BD!$J$3:$J$5001,BD!$A$3:$A$5001,N$3,BD!$B$3:$B$5001,$A$267)))</f>
        <v/>
      </c>
      <c r="O274" s="218" t="str">
        <f>IF(O$3="","",IF(COUNTIFS(BD!$A$3:$A$5001,O$3,BD!$B$3:$B$5001,$A$267,BD!$J$3:$J$5001,"&lt;&gt;")=0,"",SUMIFS(BD!$J$3:$J$5001,BD!$A$3:$A$5001,O$3,BD!$B$3:$B$5001,$A$267)))</f>
        <v/>
      </c>
      <c r="P274" s="218" t="str">
        <f>IF(P$3="","",IF(COUNTIFS(BD!$A$3:$A$5001,P$3,BD!$B$3:$B$5001,$A$267,BD!$J$3:$J$5001,"&lt;&gt;")=0,"",SUMIFS(BD!$J$3:$J$5001,BD!$A$3:$A$5001,P$3,BD!$B$3:$B$5001,$A$267)))</f>
        <v/>
      </c>
      <c r="Q274" s="218" t="str">
        <f>IF(Q$3="","",IF(COUNTIFS(BD!$A$3:$A$5001,Q$3,BD!$B$3:$B$5001,$A$267,BD!$J$3:$J$5001,"&lt;&gt;")=0,"",SUMIFS(BD!$J$3:$J$5001,BD!$A$3:$A$5001,Q$3,BD!$B$3:$B$5001,$A$267)))</f>
        <v/>
      </c>
      <c r="R274" s="218" t="str">
        <f>IF(R$3="","",IF(COUNTIFS(BD!$A$3:$A$5001,R$3,BD!$B$3:$B$5001,$A$267,BD!$J$3:$J$5001,"&lt;&gt;")=0,"",SUMIFS(BD!$J$3:$J$5001,BD!$A$3:$A$5001,R$3,BD!$B$3:$B$5001,$A$267)))</f>
        <v/>
      </c>
      <c r="S274" s="218" t="str">
        <f>IF(S$3="","",IF(COUNTIFS(BD!$A$3:$A$5001,S$3,BD!$B$3:$B$5001,$A$267,BD!$J$3:$J$5001,"&lt;&gt;")=0,"",SUMIFS(BD!$J$3:$J$5001,BD!$A$3:$A$5001,S$3,BD!$B$3:$B$5001,$A$267)))</f>
        <v/>
      </c>
      <c r="T274" s="218" t="str">
        <f>IF(T$3="","",IF(COUNTIFS(BD!$A$3:$A$5001,T$3,BD!$B$3:$B$5001,$A$267,BD!$J$3:$J$5001,"&lt;&gt;")=0,"",SUMIFS(BD!$J$3:$J$5001,BD!$A$3:$A$5001,T$3,BD!$B$3:$B$5001,$A$267)))</f>
        <v/>
      </c>
      <c r="U274" s="218" t="str">
        <f>IF(U$3="","",IF(COUNTIFS(BD!$A$3:$A$5001,U$3,BD!$B$3:$B$5001,$A$267,BD!$J$3:$J$5001,"&lt;&gt;")=0,"",SUMIFS(BD!$J$3:$J$5001,BD!$A$3:$A$5001,U$3,BD!$B$3:$B$5001,$A$267)))</f>
        <v/>
      </c>
      <c r="V274" s="218" t="str">
        <f>IF(V$3="","",IF(COUNTIFS(BD!$A$3:$A$5001,V$3,BD!$B$3:$B$5001,$A$267,BD!$J$3:$J$5001,"&lt;&gt;")=0,"",SUMIFS(BD!$J$3:$J$5001,BD!$A$3:$A$5001,V$3,BD!$B$3:$B$5001,$A$267)))</f>
        <v/>
      </c>
      <c r="W274" s="218" t="str">
        <f>IF(W$3="","",IF(COUNTIFS(BD!$A$3:$A$5001,W$3,BD!$B$3:$B$5001,$A$267,BD!$J$3:$J$5001,"&lt;&gt;")=0,"",SUMIFS(BD!$J$3:$J$5001,BD!$A$3:$A$5001,W$3,BD!$B$3:$B$5001,$A$267)))</f>
        <v/>
      </c>
      <c r="X274" s="218" t="str">
        <f>IF(X$3="","",IF(COUNTIFS(BD!$A$3:$A$5001,X$3,BD!$B$3:$B$5001,$A$267,BD!$J$3:$J$5001,"&lt;&gt;")=0,"",SUMIFS(BD!$J$3:$J$5001,BD!$A$3:$A$5001,X$3,BD!$B$3:$B$5001,$A$267)))</f>
        <v/>
      </c>
      <c r="Y274" s="218" t="str">
        <f>IF(Y$3="","",IF(COUNTIFS(BD!$A$3:$A$5001,Y$3,BD!$B$3:$B$5001,$A$267,BD!$J$3:$J$5001,"&lt;&gt;")=0,"",SUMIFS(BD!$J$3:$J$5001,BD!$A$3:$A$5001,Y$3,BD!$B$3:$B$5001,$A$267)))</f>
        <v/>
      </c>
      <c r="Z274" s="218" t="str">
        <f>IF(Z$3="","",IF(COUNTIFS(BD!$A$3:$A$5001,Z$3,BD!$B$3:$B$5001,$A$267,BD!$J$3:$J$5001,"&lt;&gt;")=0,"",SUMIFS(BD!$J$3:$J$5001,BD!$A$3:$A$5001,Z$3,BD!$B$3:$B$5001,$A$267)))</f>
        <v/>
      </c>
      <c r="AA274" s="218" t="str">
        <f>IF(AA$3="","",IF(COUNTIFS(BD!$A$3:$A$5001,AA$3,BD!$B$3:$B$5001,$A$267,BD!$J$3:$J$5001,"&lt;&gt;")=0,"",SUMIFS(BD!$J$3:$J$5001,BD!$A$3:$A$5001,AA$3,BD!$B$3:$B$5001,$A$267)))</f>
        <v/>
      </c>
      <c r="AB274" s="218" t="str">
        <f>IF(AB$3="","",IF(COUNTIFS(BD!$A$3:$A$5001,AB$3,BD!$B$3:$B$5001,$A$267,BD!$J$3:$J$5001,"&lt;&gt;")=0,"",SUMIFS(BD!$J$3:$J$5001,BD!$A$3:$A$5001,AB$3,BD!$B$3:$B$5001,$A$267)))</f>
        <v/>
      </c>
      <c r="AC274" s="218" t="str">
        <f>IF(AC$3="","",IF(COUNTIFS(BD!$A$3:$A$5001,AC$3,BD!$B$3:$B$5001,$A$267,BD!$J$3:$J$5001,"&lt;&gt;")=0,"",SUMIFS(BD!$J$3:$J$5001,BD!$A$3:$A$5001,AC$3,BD!$B$3:$B$5001,$A$267)))</f>
        <v/>
      </c>
      <c r="AD274" s="218" t="str">
        <f>IF(AD$3="","",IF(COUNTIFS(BD!$A$3:$A$5001,AD$3,BD!$B$3:$B$5001,$A$267,BD!$J$3:$J$5001,"&lt;&gt;")=0,"",SUMIFS(BD!$J$3:$J$5001,BD!$A$3:$A$5001,AD$3,BD!$B$3:$B$5001,$A$267)))</f>
        <v/>
      </c>
      <c r="AE274" s="218" t="str">
        <f>IF(AE$3="","",IF(COUNTIFS(BD!$A$3:$A$5001,AE$3,BD!$B$3:$B$5001,$A$267,BD!$J$3:$J$5001,"&lt;&gt;")=0,"",SUMIFS(BD!$J$3:$J$5001,BD!$A$3:$A$5001,AE$3,BD!$B$3:$B$5001,$A$267)))</f>
        <v/>
      </c>
      <c r="AF274" s="218" t="str">
        <f>IF(AF$3="","",IF(COUNTIFS(BD!$A$3:$A$5001,AF$3,BD!$B$3:$B$5001,$A$267,BD!$J$3:$J$5001,"&lt;&gt;")=0,"",SUMIFS(BD!$J$3:$J$5001,BD!$A$3:$A$5001,AF$3,BD!$B$3:$B$5001,$A$267)))</f>
        <v/>
      </c>
      <c r="AG274" s="218" t="str">
        <f>IF(AG$3="","",IF(COUNTIFS(BD!$A$3:$A$5001,AG$3,BD!$B$3:$B$5001,$A$267,BD!$J$3:$J$5001,"&lt;&gt;")=0,"",SUMIFS(BD!$J$3:$J$5001,BD!$A$3:$A$5001,AG$3,BD!$B$3:$B$5001,$A$267)))</f>
        <v/>
      </c>
      <c r="AH274" s="218" t="str">
        <f>IF(AH$3="","",IF(COUNTIFS(BD!$A$3:$A$5001,AH$3,BD!$B$3:$B$5001,$A$267,BD!$J$3:$J$5001,"&lt;&gt;")=0,"",SUMIFS(BD!$J$3:$J$5001,BD!$A$3:$A$5001,AH$3,BD!$B$3:$B$5001,$A$267)))</f>
        <v/>
      </c>
      <c r="AI274" s="218" t="str">
        <f>IF(AI$3="","",IF(COUNTIFS(BD!$A$3:$A$5001,AI$3,BD!$B$3:$B$5001,$A$267,BD!$J$3:$J$5001,"&lt;&gt;")=0,"",SUMIFS(BD!$J$3:$J$5001,BD!$A$3:$A$5001,AI$3,BD!$B$3:$B$5001,$A$267)))</f>
        <v/>
      </c>
      <c r="AJ274" s="219" t="str">
        <f>IF(AJ$3="","",IF(COUNTIFS(BD!$A$3:$A$5001,AJ$3,BD!$B$3:$B$5001,$A$267,BD!$J$3:$J$5001,"&lt;&gt;")=0,"",SUMIFS(BD!$J$3:$J$5001,BD!$A$3:$A$5001,AJ$3,BD!$B$3:$B$5001,$A$267)))</f>
        <v/>
      </c>
      <c r="AK274" s="220" t="str">
        <f>IF(COUNT(F274:AJ274)=0,"",SUM(F274:AJ274))</f>
        <v/>
      </c>
    </row>
    <row r="275" ht="15.75" customHeight="1" hidden="1">
      <c r="A275" s="261"/>
      <c r="B275" s="250"/>
      <c r="C275" s="175" t="inlineStr">
        <is>
          <t xml:space="preserve">Caixas Mistas Recebidas</t>
        </is>
      </c>
      <c r="D275" s="176" t="str">
        <f>IFERROR(1/(1/INDEX(BD!$AL$31:$BF$31,MATCH($A$267,BD!$AL$22:$BF$22,0))),"")</f>
        <v/>
      </c>
      <c r="E275" s="177"/>
      <c r="F275" s="178" t="str">
        <f>IF(F$3="","",IF(COUNTIFS(BD!$A$3:$A$5001,F$3,BD!$B$3:$B$5001,$A$267,BD!$K$3:$K$5001,"&lt;&gt;")=0,"",SUMIFS(BD!$K$3:$K$5001,BD!$A$3:$A$5001,F$3,BD!$B$3:$B$5001,$A$267)))</f>
        <v/>
      </c>
      <c r="G275" s="179" t="str">
        <f>IF(G$3="","",IF(COUNTIFS(BD!$A$3:$A$5001,G$3,BD!$B$3:$B$5001,$A$267,BD!$K$3:$K$5001,"&lt;&gt;")=0,"",SUMIFS(BD!$K$3:$K$5001,BD!$A$3:$A$5001,G$3,BD!$B$3:$B$5001,$A$267)))</f>
        <v/>
      </c>
      <c r="H275" s="179" t="str">
        <f>IF(H$3="","",IF(COUNTIFS(BD!$A$3:$A$5001,H$3,BD!$B$3:$B$5001,$A$267,BD!$K$3:$K$5001,"&lt;&gt;")=0,"",SUMIFS(BD!$K$3:$K$5001,BD!$A$3:$A$5001,H$3,BD!$B$3:$B$5001,$A$267)))</f>
        <v/>
      </c>
      <c r="I275" s="179" t="str">
        <f>IF(I$3="","",IF(COUNTIFS(BD!$A$3:$A$5001,I$3,BD!$B$3:$B$5001,$A$267,BD!$K$3:$K$5001,"&lt;&gt;")=0,"",SUMIFS(BD!$K$3:$K$5001,BD!$A$3:$A$5001,I$3,BD!$B$3:$B$5001,$A$267)))</f>
        <v/>
      </c>
      <c r="J275" s="179" t="str">
        <f>IF(J$3="","",IF(COUNTIFS(BD!$A$3:$A$5001,J$3,BD!$B$3:$B$5001,$A$267,BD!$K$3:$K$5001,"&lt;&gt;")=0,"",SUMIFS(BD!$K$3:$K$5001,BD!$A$3:$A$5001,J$3,BD!$B$3:$B$5001,$A$267)))</f>
        <v/>
      </c>
      <c r="K275" s="179" t="str">
        <f>IF(K$3="","",IF(COUNTIFS(BD!$A$3:$A$5001,K$3,BD!$B$3:$B$5001,$A$267,BD!$K$3:$K$5001,"&lt;&gt;")=0,"",SUMIFS(BD!$K$3:$K$5001,BD!$A$3:$A$5001,K$3,BD!$B$3:$B$5001,$A$267)))</f>
        <v/>
      </c>
      <c r="L275" s="179" t="str">
        <f>IF(L$3="","",IF(COUNTIFS(BD!$A$3:$A$5001,L$3,BD!$B$3:$B$5001,$A$267,BD!$K$3:$K$5001,"&lt;&gt;")=0,"",SUMIFS(BD!$K$3:$K$5001,BD!$A$3:$A$5001,L$3,BD!$B$3:$B$5001,$A$267)))</f>
        <v/>
      </c>
      <c r="M275" s="179" t="str">
        <f>IF(M$3="","",IF(COUNTIFS(BD!$A$3:$A$5001,M$3,BD!$B$3:$B$5001,$A$267,BD!$K$3:$K$5001,"&lt;&gt;")=0,"",SUMIFS(BD!$K$3:$K$5001,BD!$A$3:$A$5001,M$3,BD!$B$3:$B$5001,$A$267)))</f>
        <v/>
      </c>
      <c r="N275" s="179" t="str">
        <f>IF(N$3="","",IF(COUNTIFS(BD!$A$3:$A$5001,N$3,BD!$B$3:$B$5001,$A$267,BD!$K$3:$K$5001,"&lt;&gt;")=0,"",SUMIFS(BD!$K$3:$K$5001,BD!$A$3:$A$5001,N$3,BD!$B$3:$B$5001,$A$267)))</f>
        <v/>
      </c>
      <c r="O275" s="179" t="str">
        <f>IF(O$3="","",IF(COUNTIFS(BD!$A$3:$A$5001,O$3,BD!$B$3:$B$5001,$A$267,BD!$K$3:$K$5001,"&lt;&gt;")=0,"",SUMIFS(BD!$K$3:$K$5001,BD!$A$3:$A$5001,O$3,BD!$B$3:$B$5001,$A$267)))</f>
        <v/>
      </c>
      <c r="P275" s="179" t="str">
        <f>IF(P$3="","",IF(COUNTIFS(BD!$A$3:$A$5001,P$3,BD!$B$3:$B$5001,$A$267,BD!$K$3:$K$5001,"&lt;&gt;")=0,"",SUMIFS(BD!$K$3:$K$5001,BD!$A$3:$A$5001,P$3,BD!$B$3:$B$5001,$A$267)))</f>
        <v/>
      </c>
      <c r="Q275" s="179" t="str">
        <f>IF(Q$3="","",IF(COUNTIFS(BD!$A$3:$A$5001,Q$3,BD!$B$3:$B$5001,$A$267,BD!$K$3:$K$5001,"&lt;&gt;")=0,"",SUMIFS(BD!$K$3:$K$5001,BD!$A$3:$A$5001,Q$3,BD!$B$3:$B$5001,$A$267)))</f>
        <v/>
      </c>
      <c r="R275" s="179" t="str">
        <f>IF(R$3="","",IF(COUNTIFS(BD!$A$3:$A$5001,R$3,BD!$B$3:$B$5001,$A$267,BD!$K$3:$K$5001,"&lt;&gt;")=0,"",SUMIFS(BD!$K$3:$K$5001,BD!$A$3:$A$5001,R$3,BD!$B$3:$B$5001,$A$267)))</f>
        <v/>
      </c>
      <c r="S275" s="179" t="str">
        <f>IF(S$3="","",IF(COUNTIFS(BD!$A$3:$A$5001,S$3,BD!$B$3:$B$5001,$A$267,BD!$K$3:$K$5001,"&lt;&gt;")=0,"",SUMIFS(BD!$K$3:$K$5001,BD!$A$3:$A$5001,S$3,BD!$B$3:$B$5001,$A$267)))</f>
        <v/>
      </c>
      <c r="T275" s="179" t="str">
        <f>IF(T$3="","",IF(COUNTIFS(BD!$A$3:$A$5001,T$3,BD!$B$3:$B$5001,$A$267,BD!$K$3:$K$5001,"&lt;&gt;")=0,"",SUMIFS(BD!$K$3:$K$5001,BD!$A$3:$A$5001,T$3,BD!$B$3:$B$5001,$A$267)))</f>
        <v/>
      </c>
      <c r="U275" s="179" t="str">
        <f>IF(U$3="","",IF(COUNTIFS(BD!$A$3:$A$5001,U$3,BD!$B$3:$B$5001,$A$267,BD!$K$3:$K$5001,"&lt;&gt;")=0,"",SUMIFS(BD!$K$3:$K$5001,BD!$A$3:$A$5001,U$3,BD!$B$3:$B$5001,$A$267)))</f>
        <v/>
      </c>
      <c r="V275" s="179" t="str">
        <f>IF(V$3="","",IF(COUNTIFS(BD!$A$3:$A$5001,V$3,BD!$B$3:$B$5001,$A$267,BD!$K$3:$K$5001,"&lt;&gt;")=0,"",SUMIFS(BD!$K$3:$K$5001,BD!$A$3:$A$5001,V$3,BD!$B$3:$B$5001,$A$267)))</f>
        <v/>
      </c>
      <c r="W275" s="179" t="str">
        <f>IF(W$3="","",IF(COUNTIFS(BD!$A$3:$A$5001,W$3,BD!$B$3:$B$5001,$A$267,BD!$K$3:$K$5001,"&lt;&gt;")=0,"",SUMIFS(BD!$K$3:$K$5001,BD!$A$3:$A$5001,W$3,BD!$B$3:$B$5001,$A$267)))</f>
        <v/>
      </c>
      <c r="X275" s="179" t="str">
        <f>IF(X$3="","",IF(COUNTIFS(BD!$A$3:$A$5001,X$3,BD!$B$3:$B$5001,$A$267,BD!$K$3:$K$5001,"&lt;&gt;")=0,"",SUMIFS(BD!$K$3:$K$5001,BD!$A$3:$A$5001,X$3,BD!$B$3:$B$5001,$A$267)))</f>
        <v/>
      </c>
      <c r="Y275" s="179" t="str">
        <f>IF(Y$3="","",IF(COUNTIFS(BD!$A$3:$A$5001,Y$3,BD!$B$3:$B$5001,$A$267,BD!$K$3:$K$5001,"&lt;&gt;")=0,"",SUMIFS(BD!$K$3:$K$5001,BD!$A$3:$A$5001,Y$3,BD!$B$3:$B$5001,$A$267)))</f>
        <v/>
      </c>
      <c r="Z275" s="179" t="str">
        <f>IF(Z$3="","",IF(COUNTIFS(BD!$A$3:$A$5001,Z$3,BD!$B$3:$B$5001,$A$267,BD!$K$3:$K$5001,"&lt;&gt;")=0,"",SUMIFS(BD!$K$3:$K$5001,BD!$A$3:$A$5001,Z$3,BD!$B$3:$B$5001,$A$267)))</f>
        <v/>
      </c>
      <c r="AA275" s="179" t="str">
        <f>IF(AA$3="","",IF(COUNTIFS(BD!$A$3:$A$5001,AA$3,BD!$B$3:$B$5001,$A$267,BD!$K$3:$K$5001,"&lt;&gt;")=0,"",SUMIFS(BD!$K$3:$K$5001,BD!$A$3:$A$5001,AA$3,BD!$B$3:$B$5001,$A$267)))</f>
        <v/>
      </c>
      <c r="AB275" s="179" t="str">
        <f>IF(AB$3="","",IF(COUNTIFS(BD!$A$3:$A$5001,AB$3,BD!$B$3:$B$5001,$A$267,BD!$K$3:$K$5001,"&lt;&gt;")=0,"",SUMIFS(BD!$K$3:$K$5001,BD!$A$3:$A$5001,AB$3,BD!$B$3:$B$5001,$A$267)))</f>
        <v/>
      </c>
      <c r="AC275" s="179" t="str">
        <f>IF(AC$3="","",IF(COUNTIFS(BD!$A$3:$A$5001,AC$3,BD!$B$3:$B$5001,$A$267,BD!$K$3:$K$5001,"&lt;&gt;")=0,"",SUMIFS(BD!$K$3:$K$5001,BD!$A$3:$A$5001,AC$3,BD!$B$3:$B$5001,$A$267)))</f>
        <v/>
      </c>
      <c r="AD275" s="179" t="str">
        <f>IF(AD$3="","",IF(COUNTIFS(BD!$A$3:$A$5001,AD$3,BD!$B$3:$B$5001,$A$267,BD!$K$3:$K$5001,"&lt;&gt;")=0,"",SUMIFS(BD!$K$3:$K$5001,BD!$A$3:$A$5001,AD$3,BD!$B$3:$B$5001,$A$267)))</f>
        <v/>
      </c>
      <c r="AE275" s="179" t="str">
        <f>IF(AE$3="","",IF(COUNTIFS(BD!$A$3:$A$5001,AE$3,BD!$B$3:$B$5001,$A$267,BD!$K$3:$K$5001,"&lt;&gt;")=0,"",SUMIFS(BD!$K$3:$K$5001,BD!$A$3:$A$5001,AE$3,BD!$B$3:$B$5001,$A$267)))</f>
        <v/>
      </c>
      <c r="AF275" s="179" t="str">
        <f>IF(AF$3="","",IF(COUNTIFS(BD!$A$3:$A$5001,AF$3,BD!$B$3:$B$5001,$A$267,BD!$K$3:$K$5001,"&lt;&gt;")=0,"",SUMIFS(BD!$K$3:$K$5001,BD!$A$3:$A$5001,AF$3,BD!$B$3:$B$5001,$A$267)))</f>
        <v/>
      </c>
      <c r="AG275" s="179" t="str">
        <f>IF(AG$3="","",IF(COUNTIFS(BD!$A$3:$A$5001,AG$3,BD!$B$3:$B$5001,$A$267,BD!$K$3:$K$5001,"&lt;&gt;")=0,"",SUMIFS(BD!$K$3:$K$5001,BD!$A$3:$A$5001,AG$3,BD!$B$3:$B$5001,$A$267)))</f>
        <v/>
      </c>
      <c r="AH275" s="179" t="str">
        <f>IF(AH$3="","",IF(COUNTIFS(BD!$A$3:$A$5001,AH$3,BD!$B$3:$B$5001,$A$267,BD!$K$3:$K$5001,"&lt;&gt;")=0,"",SUMIFS(BD!$K$3:$K$5001,BD!$A$3:$A$5001,AH$3,BD!$B$3:$B$5001,$A$267)))</f>
        <v/>
      </c>
      <c r="AI275" s="179" t="str">
        <f>IF(AI$3="","",IF(COUNTIFS(BD!$A$3:$A$5001,AI$3,BD!$B$3:$B$5001,$A$267,BD!$K$3:$K$5001,"&lt;&gt;")=0,"",SUMIFS(BD!$K$3:$K$5001,BD!$A$3:$A$5001,AI$3,BD!$B$3:$B$5001,$A$267)))</f>
        <v/>
      </c>
      <c r="AJ275" s="180" t="str">
        <f>IF(AJ$3="","",IF(COUNTIFS(BD!$A$3:$A$5001,AJ$3,BD!$B$3:$B$5001,$A$267,BD!$K$3:$K$5001,"&lt;&gt;")=0,"",SUMIFS(BD!$K$3:$K$5001,BD!$A$3:$A$5001,AJ$3,BD!$B$3:$B$5001,$A$267)))</f>
        <v/>
      </c>
      <c r="AK275" s="176" t="str">
        <f>IF(COUNT(F275:AJ275)=0,"",SUM(F275:AJ275))</f>
        <v/>
      </c>
    </row>
    <row r="276" ht="15.75" customHeight="1" hidden="1">
      <c r="A276" s="261"/>
      <c r="B276" s="251" t="inlineStr">
        <is>
          <t xml:space="preserve">OUT</t>
        </is>
      </c>
      <c r="C276" s="181" t="inlineStr">
        <is>
          <t xml:space="preserve">Veículos Expedidos</t>
        </is>
      </c>
      <c r="D276" s="182" t="str">
        <f>IFERROR(1/(1/INDEX(BD!$AL$32:$BF$32,MATCH($A$267,BD!$AL$22:$BF$22,0))),"")</f>
        <v/>
      </c>
      <c r="E276" s="183"/>
      <c r="F276" s="184" t="str">
        <f>IF(F$3="","",IF(COUNTIFS(BD!$A$3:$A$5001,F$3,BD!$B$3:$B$5001,$A$267,BD!$L$3:$L$5001,"&lt;&gt;")=0,"",SUMIFS(BD!$L$3:$L$5001,BD!$A$3:$A$5001,F$3,BD!$B$3:$B$5001,$A$267)))</f>
        <v/>
      </c>
      <c r="G276" s="185" t="str">
        <f>IF(G$3="","",IF(COUNTIFS(BD!$A$3:$A$5001,G$3,BD!$B$3:$B$5001,$A$267,BD!$L$3:$L$5001,"&lt;&gt;")=0,"",SUMIFS(BD!$L$3:$L$5001,BD!$A$3:$A$5001,G$3,BD!$B$3:$B$5001,$A$267)))</f>
        <v/>
      </c>
      <c r="H276" s="185" t="str">
        <f>IF(H$3="","",IF(COUNTIFS(BD!$A$3:$A$5001,H$3,BD!$B$3:$B$5001,$A$267,BD!$L$3:$L$5001,"&lt;&gt;")=0,"",SUMIFS(BD!$L$3:$L$5001,BD!$A$3:$A$5001,H$3,BD!$B$3:$B$5001,$A$267)))</f>
        <v/>
      </c>
      <c r="I276" s="185" t="str">
        <f>IF(I$3="","",IF(COUNTIFS(BD!$A$3:$A$5001,I$3,BD!$B$3:$B$5001,$A$267,BD!$L$3:$L$5001,"&lt;&gt;")=0,"",SUMIFS(BD!$L$3:$L$5001,BD!$A$3:$A$5001,I$3,BD!$B$3:$B$5001,$A$267)))</f>
        <v/>
      </c>
      <c r="J276" s="185" t="str">
        <f>IF(J$3="","",IF(COUNTIFS(BD!$A$3:$A$5001,J$3,BD!$B$3:$B$5001,$A$267,BD!$L$3:$L$5001,"&lt;&gt;")=0,"",SUMIFS(BD!$L$3:$L$5001,BD!$A$3:$A$5001,J$3,BD!$B$3:$B$5001,$A$267)))</f>
        <v/>
      </c>
      <c r="K276" s="185" t="str">
        <f>IF(K$3="","",IF(COUNTIFS(BD!$A$3:$A$5001,K$3,BD!$B$3:$B$5001,$A$267,BD!$L$3:$L$5001,"&lt;&gt;")=0,"",SUMIFS(BD!$L$3:$L$5001,BD!$A$3:$A$5001,K$3,BD!$B$3:$B$5001,$A$267)))</f>
        <v/>
      </c>
      <c r="L276" s="185" t="str">
        <f>IF(L$3="","",IF(COUNTIFS(BD!$A$3:$A$5001,L$3,BD!$B$3:$B$5001,$A$267,BD!$L$3:$L$5001,"&lt;&gt;")=0,"",SUMIFS(BD!$L$3:$L$5001,BD!$A$3:$A$5001,L$3,BD!$B$3:$B$5001,$A$267)))</f>
        <v/>
      </c>
      <c r="M276" s="185" t="str">
        <f>IF(M$3="","",IF(COUNTIFS(BD!$A$3:$A$5001,M$3,BD!$B$3:$B$5001,$A$267,BD!$L$3:$L$5001,"&lt;&gt;")=0,"",SUMIFS(BD!$L$3:$L$5001,BD!$A$3:$A$5001,M$3,BD!$B$3:$B$5001,$A$267)))</f>
        <v/>
      </c>
      <c r="N276" s="185" t="str">
        <f>IF(N$3="","",IF(COUNTIFS(BD!$A$3:$A$5001,N$3,BD!$B$3:$B$5001,$A$267,BD!$L$3:$L$5001,"&lt;&gt;")=0,"",SUMIFS(BD!$L$3:$L$5001,BD!$A$3:$A$5001,N$3,BD!$B$3:$B$5001,$A$267)))</f>
        <v/>
      </c>
      <c r="O276" s="185" t="str">
        <f>IF(O$3="","",IF(COUNTIFS(BD!$A$3:$A$5001,O$3,BD!$B$3:$B$5001,$A$267,BD!$L$3:$L$5001,"&lt;&gt;")=0,"",SUMIFS(BD!$L$3:$L$5001,BD!$A$3:$A$5001,O$3,BD!$B$3:$B$5001,$A$267)))</f>
        <v/>
      </c>
      <c r="P276" s="185" t="str">
        <f>IF(P$3="","",IF(COUNTIFS(BD!$A$3:$A$5001,P$3,BD!$B$3:$B$5001,$A$267,BD!$L$3:$L$5001,"&lt;&gt;")=0,"",SUMIFS(BD!$L$3:$L$5001,BD!$A$3:$A$5001,P$3,BD!$B$3:$B$5001,$A$267)))</f>
        <v/>
      </c>
      <c r="Q276" s="185" t="str">
        <f>IF(Q$3="","",IF(COUNTIFS(BD!$A$3:$A$5001,Q$3,BD!$B$3:$B$5001,$A$267,BD!$L$3:$L$5001,"&lt;&gt;")=0,"",SUMIFS(BD!$L$3:$L$5001,BD!$A$3:$A$5001,Q$3,BD!$B$3:$B$5001,$A$267)))</f>
        <v/>
      </c>
      <c r="R276" s="185" t="str">
        <f>IF(R$3="","",IF(COUNTIFS(BD!$A$3:$A$5001,R$3,BD!$B$3:$B$5001,$A$267,BD!$L$3:$L$5001,"&lt;&gt;")=0,"",SUMIFS(BD!$L$3:$L$5001,BD!$A$3:$A$5001,R$3,BD!$B$3:$B$5001,$A$267)))</f>
        <v/>
      </c>
      <c r="S276" s="185" t="str">
        <f>IF(S$3="","",IF(COUNTIFS(BD!$A$3:$A$5001,S$3,BD!$B$3:$B$5001,$A$267,BD!$L$3:$L$5001,"&lt;&gt;")=0,"",SUMIFS(BD!$L$3:$L$5001,BD!$A$3:$A$5001,S$3,BD!$B$3:$B$5001,$A$267)))</f>
        <v/>
      </c>
      <c r="T276" s="185" t="str">
        <f>IF(T$3="","",IF(COUNTIFS(BD!$A$3:$A$5001,T$3,BD!$B$3:$B$5001,$A$267,BD!$L$3:$L$5001,"&lt;&gt;")=0,"",SUMIFS(BD!$L$3:$L$5001,BD!$A$3:$A$5001,T$3,BD!$B$3:$B$5001,$A$267)))</f>
        <v/>
      </c>
      <c r="U276" s="185" t="str">
        <f>IF(U$3="","",IF(COUNTIFS(BD!$A$3:$A$5001,U$3,BD!$B$3:$B$5001,$A$267,BD!$L$3:$L$5001,"&lt;&gt;")=0,"",SUMIFS(BD!$L$3:$L$5001,BD!$A$3:$A$5001,U$3,BD!$B$3:$B$5001,$A$267)))</f>
        <v/>
      </c>
      <c r="V276" s="185" t="str">
        <f>IF(V$3="","",IF(COUNTIFS(BD!$A$3:$A$5001,V$3,BD!$B$3:$B$5001,$A$267,BD!$L$3:$L$5001,"&lt;&gt;")=0,"",SUMIFS(BD!$L$3:$L$5001,BD!$A$3:$A$5001,V$3,BD!$B$3:$B$5001,$A$267)))</f>
        <v/>
      </c>
      <c r="W276" s="185" t="str">
        <f>IF(W$3="","",IF(COUNTIFS(BD!$A$3:$A$5001,W$3,BD!$B$3:$B$5001,$A$267,BD!$L$3:$L$5001,"&lt;&gt;")=0,"",SUMIFS(BD!$L$3:$L$5001,BD!$A$3:$A$5001,W$3,BD!$B$3:$B$5001,$A$267)))</f>
        <v/>
      </c>
      <c r="X276" s="185" t="str">
        <f>IF(X$3="","",IF(COUNTIFS(BD!$A$3:$A$5001,X$3,BD!$B$3:$B$5001,$A$267,BD!$L$3:$L$5001,"&lt;&gt;")=0,"",SUMIFS(BD!$L$3:$L$5001,BD!$A$3:$A$5001,X$3,BD!$B$3:$B$5001,$A$267)))</f>
        <v/>
      </c>
      <c r="Y276" s="185" t="str">
        <f>IF(Y$3="","",IF(COUNTIFS(BD!$A$3:$A$5001,Y$3,BD!$B$3:$B$5001,$A$267,BD!$L$3:$L$5001,"&lt;&gt;")=0,"",SUMIFS(BD!$L$3:$L$5001,BD!$A$3:$A$5001,Y$3,BD!$B$3:$B$5001,$A$267)))</f>
        <v/>
      </c>
      <c r="Z276" s="185" t="str">
        <f>IF(Z$3="","",IF(COUNTIFS(BD!$A$3:$A$5001,Z$3,BD!$B$3:$B$5001,$A$267,BD!$L$3:$L$5001,"&lt;&gt;")=0,"",SUMIFS(BD!$L$3:$L$5001,BD!$A$3:$A$5001,Z$3,BD!$B$3:$B$5001,$A$267)))</f>
        <v/>
      </c>
      <c r="AA276" s="185" t="str">
        <f>IF(AA$3="","",IF(COUNTIFS(BD!$A$3:$A$5001,AA$3,BD!$B$3:$B$5001,$A$267,BD!$L$3:$L$5001,"&lt;&gt;")=0,"",SUMIFS(BD!$L$3:$L$5001,BD!$A$3:$A$5001,AA$3,BD!$B$3:$B$5001,$A$267)))</f>
        <v/>
      </c>
      <c r="AB276" s="185" t="str">
        <f>IF(AB$3="","",IF(COUNTIFS(BD!$A$3:$A$5001,AB$3,BD!$B$3:$B$5001,$A$267,BD!$L$3:$L$5001,"&lt;&gt;")=0,"",SUMIFS(BD!$L$3:$L$5001,BD!$A$3:$A$5001,AB$3,BD!$B$3:$B$5001,$A$267)))</f>
        <v/>
      </c>
      <c r="AC276" s="185" t="str">
        <f>IF(AC$3="","",IF(COUNTIFS(BD!$A$3:$A$5001,AC$3,BD!$B$3:$B$5001,$A$267,BD!$L$3:$L$5001,"&lt;&gt;")=0,"",SUMIFS(BD!$L$3:$L$5001,BD!$A$3:$A$5001,AC$3,BD!$B$3:$B$5001,$A$267)))</f>
        <v/>
      </c>
      <c r="AD276" s="185" t="str">
        <f>IF(AD$3="","",IF(COUNTIFS(BD!$A$3:$A$5001,AD$3,BD!$B$3:$B$5001,$A$267,BD!$L$3:$L$5001,"&lt;&gt;")=0,"",SUMIFS(BD!$L$3:$L$5001,BD!$A$3:$A$5001,AD$3,BD!$B$3:$B$5001,$A$267)))</f>
        <v/>
      </c>
      <c r="AE276" s="185" t="str">
        <f>IF(AE$3="","",IF(COUNTIFS(BD!$A$3:$A$5001,AE$3,BD!$B$3:$B$5001,$A$267,BD!$L$3:$L$5001,"&lt;&gt;")=0,"",SUMIFS(BD!$L$3:$L$5001,BD!$A$3:$A$5001,AE$3,BD!$B$3:$B$5001,$A$267)))</f>
        <v/>
      </c>
      <c r="AF276" s="185" t="str">
        <f>IF(AF$3="","",IF(COUNTIFS(BD!$A$3:$A$5001,AF$3,BD!$B$3:$B$5001,$A$267,BD!$L$3:$L$5001,"&lt;&gt;")=0,"",SUMIFS(BD!$L$3:$L$5001,BD!$A$3:$A$5001,AF$3,BD!$B$3:$B$5001,$A$267)))</f>
        <v/>
      </c>
      <c r="AG276" s="185" t="str">
        <f>IF(AG$3="","",IF(COUNTIFS(BD!$A$3:$A$5001,AG$3,BD!$B$3:$B$5001,$A$267,BD!$L$3:$L$5001,"&lt;&gt;")=0,"",SUMIFS(BD!$L$3:$L$5001,BD!$A$3:$A$5001,AG$3,BD!$B$3:$B$5001,$A$267)))</f>
        <v/>
      </c>
      <c r="AH276" s="185" t="str">
        <f>IF(AH$3="","",IF(COUNTIFS(BD!$A$3:$A$5001,AH$3,BD!$B$3:$B$5001,$A$267,BD!$L$3:$L$5001,"&lt;&gt;")=0,"",SUMIFS(BD!$L$3:$L$5001,BD!$A$3:$A$5001,AH$3,BD!$B$3:$B$5001,$A$267)))</f>
        <v/>
      </c>
      <c r="AI276" s="185" t="str">
        <f>IF(AI$3="","",IF(COUNTIFS(BD!$A$3:$A$5001,AI$3,BD!$B$3:$B$5001,$A$267,BD!$L$3:$L$5001,"&lt;&gt;")=0,"",SUMIFS(BD!$L$3:$L$5001,BD!$A$3:$A$5001,AI$3,BD!$B$3:$B$5001,$A$267)))</f>
        <v/>
      </c>
      <c r="AJ276" s="186" t="str">
        <f>IF(AJ$3="","",IF(COUNTIFS(BD!$A$3:$A$5001,AJ$3,BD!$B$3:$B$5001,$A$267,BD!$L$3:$L$5001,"&lt;&gt;")=0,"",SUMIFS(BD!$L$3:$L$5001,BD!$A$3:$A$5001,AJ$3,BD!$B$3:$B$5001,$A$267)))</f>
        <v/>
      </c>
      <c r="AK276" s="187" t="str">
        <f>IF(COUNT(F276:AJ276)=0,"",SUM(F276:AJ276))</f>
        <v/>
      </c>
    </row>
    <row r="277" ht="15.75" customHeight="1" hidden="1">
      <c r="A277" s="261"/>
      <c r="B277" s="278"/>
      <c r="C277" s="267" t="inlineStr">
        <is>
          <t xml:space="preserve">Pedidos Expedidos</t>
        </is>
      </c>
      <c r="D277" s="268" t="str">
        <f>IFERROR(1/(1/INDEX(BD!$AL$33:$BF$33,MATCH($A$267,BD!$AL$22:$BF$22,0))),"")</f>
        <v/>
      </c>
      <c r="E277" s="269"/>
      <c r="F277" s="270" t="str">
        <f>IF(F$3="","",IF(COUNTIFS(BD!$A$3:$A$5001,F$3,BD!$B$3:$B$5001,$A$267,BD!$M$3:$M$5001,"&lt;&gt;")=0,"",SUMIFS(BD!$M$3:$M$5001,BD!$A$3:$A$5001,F$3,BD!$B$3:$B$5001,$A$267)))</f>
        <v/>
      </c>
      <c r="G277" s="271" t="str">
        <f>IF(G$3="","",IF(COUNTIFS(BD!$A$3:$A$5001,G$3,BD!$B$3:$B$5001,$A$267,BD!$M$3:$M$5001,"&lt;&gt;")=0,"",SUMIFS(BD!$M$3:$M$5001,BD!$A$3:$A$5001,G$3,BD!$B$3:$B$5001,$A$267)))</f>
        <v/>
      </c>
      <c r="H277" s="271" t="str">
        <f>IF(H$3="","",IF(COUNTIFS(BD!$A$3:$A$5001,H$3,BD!$B$3:$B$5001,$A$267,BD!$M$3:$M$5001,"&lt;&gt;")=0,"",SUMIFS(BD!$M$3:$M$5001,BD!$A$3:$A$5001,H$3,BD!$B$3:$B$5001,$A$267)))</f>
        <v/>
      </c>
      <c r="I277" s="271" t="str">
        <f>IF(I$3="","",IF(COUNTIFS(BD!$A$3:$A$5001,I$3,BD!$B$3:$B$5001,$A$267,BD!$M$3:$M$5001,"&lt;&gt;")=0,"",SUMIFS(BD!$M$3:$M$5001,BD!$A$3:$A$5001,I$3,BD!$B$3:$B$5001,$A$267)))</f>
        <v/>
      </c>
      <c r="J277" s="271" t="str">
        <f>IF(J$3="","",IF(COUNTIFS(BD!$A$3:$A$5001,J$3,BD!$B$3:$B$5001,$A$267,BD!$M$3:$M$5001,"&lt;&gt;")=0,"",SUMIFS(BD!$M$3:$M$5001,BD!$A$3:$A$5001,J$3,BD!$B$3:$B$5001,$A$267)))</f>
        <v/>
      </c>
      <c r="K277" s="271" t="str">
        <f>IF(K$3="","",IF(COUNTIFS(BD!$A$3:$A$5001,K$3,BD!$B$3:$B$5001,$A$267,BD!$M$3:$M$5001,"&lt;&gt;")=0,"",SUMIFS(BD!$M$3:$M$5001,BD!$A$3:$A$5001,K$3,BD!$B$3:$B$5001,$A$267)))</f>
        <v/>
      </c>
      <c r="L277" s="271" t="str">
        <f>IF(L$3="","",IF(COUNTIFS(BD!$A$3:$A$5001,L$3,BD!$B$3:$B$5001,$A$267,BD!$M$3:$M$5001,"&lt;&gt;")=0,"",SUMIFS(BD!$M$3:$M$5001,BD!$A$3:$A$5001,L$3,BD!$B$3:$B$5001,$A$267)))</f>
        <v/>
      </c>
      <c r="M277" s="271" t="str">
        <f>IF(M$3="","",IF(COUNTIFS(BD!$A$3:$A$5001,M$3,BD!$B$3:$B$5001,$A$267,BD!$M$3:$M$5001,"&lt;&gt;")=0,"",SUMIFS(BD!$M$3:$M$5001,BD!$A$3:$A$5001,M$3,BD!$B$3:$B$5001,$A$267)))</f>
        <v/>
      </c>
      <c r="N277" s="271" t="str">
        <f>IF(N$3="","",IF(COUNTIFS(BD!$A$3:$A$5001,N$3,BD!$B$3:$B$5001,$A$267,BD!$M$3:$M$5001,"&lt;&gt;")=0,"",SUMIFS(BD!$M$3:$M$5001,BD!$A$3:$A$5001,N$3,BD!$B$3:$B$5001,$A$267)))</f>
        <v/>
      </c>
      <c r="O277" s="271" t="str">
        <f>IF(O$3="","",IF(COUNTIFS(BD!$A$3:$A$5001,O$3,BD!$B$3:$B$5001,$A$267,BD!$M$3:$M$5001,"&lt;&gt;")=0,"",SUMIFS(BD!$M$3:$M$5001,BD!$A$3:$A$5001,O$3,BD!$B$3:$B$5001,$A$267)))</f>
        <v/>
      </c>
      <c r="P277" s="271" t="str">
        <f>IF(P$3="","",IF(COUNTIFS(BD!$A$3:$A$5001,P$3,BD!$B$3:$B$5001,$A$267,BD!$M$3:$M$5001,"&lt;&gt;")=0,"",SUMIFS(BD!$M$3:$M$5001,BD!$A$3:$A$5001,P$3,BD!$B$3:$B$5001,$A$267)))</f>
        <v/>
      </c>
      <c r="Q277" s="271" t="str">
        <f>IF(Q$3="","",IF(COUNTIFS(BD!$A$3:$A$5001,Q$3,BD!$B$3:$B$5001,$A$267,BD!$M$3:$M$5001,"&lt;&gt;")=0,"",SUMIFS(BD!$M$3:$M$5001,BD!$A$3:$A$5001,Q$3,BD!$B$3:$B$5001,$A$267)))</f>
        <v/>
      </c>
      <c r="R277" s="271" t="str">
        <f>IF(R$3="","",IF(COUNTIFS(BD!$A$3:$A$5001,R$3,BD!$B$3:$B$5001,$A$267,BD!$M$3:$M$5001,"&lt;&gt;")=0,"",SUMIFS(BD!$M$3:$M$5001,BD!$A$3:$A$5001,R$3,BD!$B$3:$B$5001,$A$267)))</f>
        <v/>
      </c>
      <c r="S277" s="271" t="str">
        <f>IF(S$3="","",IF(COUNTIFS(BD!$A$3:$A$5001,S$3,BD!$B$3:$B$5001,$A$267,BD!$M$3:$M$5001,"&lt;&gt;")=0,"",SUMIFS(BD!$M$3:$M$5001,BD!$A$3:$A$5001,S$3,BD!$B$3:$B$5001,$A$267)))</f>
        <v/>
      </c>
      <c r="T277" s="271" t="str">
        <f>IF(T$3="","",IF(COUNTIFS(BD!$A$3:$A$5001,T$3,BD!$B$3:$B$5001,$A$267,BD!$M$3:$M$5001,"&lt;&gt;")=0,"",SUMIFS(BD!$M$3:$M$5001,BD!$A$3:$A$5001,T$3,BD!$B$3:$B$5001,$A$267)))</f>
        <v/>
      </c>
      <c r="U277" s="271" t="str">
        <f>IF(U$3="","",IF(COUNTIFS(BD!$A$3:$A$5001,U$3,BD!$B$3:$B$5001,$A$267,BD!$M$3:$M$5001,"&lt;&gt;")=0,"",SUMIFS(BD!$M$3:$M$5001,BD!$A$3:$A$5001,U$3,BD!$B$3:$B$5001,$A$267)))</f>
        <v/>
      </c>
      <c r="V277" s="271" t="str">
        <f>IF(V$3="","",IF(COUNTIFS(BD!$A$3:$A$5001,V$3,BD!$B$3:$B$5001,$A$267,BD!$M$3:$M$5001,"&lt;&gt;")=0,"",SUMIFS(BD!$M$3:$M$5001,BD!$A$3:$A$5001,V$3,BD!$B$3:$B$5001,$A$267)))</f>
        <v/>
      </c>
      <c r="W277" s="271" t="str">
        <f>IF(W$3="","",IF(COUNTIFS(BD!$A$3:$A$5001,W$3,BD!$B$3:$B$5001,$A$267,BD!$M$3:$M$5001,"&lt;&gt;")=0,"",SUMIFS(BD!$M$3:$M$5001,BD!$A$3:$A$5001,W$3,BD!$B$3:$B$5001,$A$267)))</f>
        <v/>
      </c>
      <c r="X277" s="271" t="str">
        <f>IF(X$3="","",IF(COUNTIFS(BD!$A$3:$A$5001,X$3,BD!$B$3:$B$5001,$A$267,BD!$M$3:$M$5001,"&lt;&gt;")=0,"",SUMIFS(BD!$M$3:$M$5001,BD!$A$3:$A$5001,X$3,BD!$B$3:$B$5001,$A$267)))</f>
        <v/>
      </c>
      <c r="Y277" s="271" t="str">
        <f>IF(Y$3="","",IF(COUNTIFS(BD!$A$3:$A$5001,Y$3,BD!$B$3:$B$5001,$A$267,BD!$M$3:$M$5001,"&lt;&gt;")=0,"",SUMIFS(BD!$M$3:$M$5001,BD!$A$3:$A$5001,Y$3,BD!$B$3:$B$5001,$A$267)))</f>
        <v/>
      </c>
      <c r="Z277" s="271" t="str">
        <f>IF(Z$3="","",IF(COUNTIFS(BD!$A$3:$A$5001,Z$3,BD!$B$3:$B$5001,$A$267,BD!$M$3:$M$5001,"&lt;&gt;")=0,"",SUMIFS(BD!$M$3:$M$5001,BD!$A$3:$A$5001,Z$3,BD!$B$3:$B$5001,$A$267)))</f>
        <v/>
      </c>
      <c r="AA277" s="271" t="str">
        <f>IF(AA$3="","",IF(COUNTIFS(BD!$A$3:$A$5001,AA$3,BD!$B$3:$B$5001,$A$267,BD!$M$3:$M$5001,"&lt;&gt;")=0,"",SUMIFS(BD!$M$3:$M$5001,BD!$A$3:$A$5001,AA$3,BD!$B$3:$B$5001,$A$267)))</f>
        <v/>
      </c>
      <c r="AB277" s="271" t="str">
        <f>IF(AB$3="","",IF(COUNTIFS(BD!$A$3:$A$5001,AB$3,BD!$B$3:$B$5001,$A$267,BD!$M$3:$M$5001,"&lt;&gt;")=0,"",SUMIFS(BD!$M$3:$M$5001,BD!$A$3:$A$5001,AB$3,BD!$B$3:$B$5001,$A$267)))</f>
        <v/>
      </c>
      <c r="AC277" s="271" t="str">
        <f>IF(AC$3="","",IF(COUNTIFS(BD!$A$3:$A$5001,AC$3,BD!$B$3:$B$5001,$A$267,BD!$M$3:$M$5001,"&lt;&gt;")=0,"",SUMIFS(BD!$M$3:$M$5001,BD!$A$3:$A$5001,AC$3,BD!$B$3:$B$5001,$A$267)))</f>
        <v/>
      </c>
      <c r="AD277" s="271" t="str">
        <f>IF(AD$3="","",IF(COUNTIFS(BD!$A$3:$A$5001,AD$3,BD!$B$3:$B$5001,$A$267,BD!$M$3:$M$5001,"&lt;&gt;")=0,"",SUMIFS(BD!$M$3:$M$5001,BD!$A$3:$A$5001,AD$3,BD!$B$3:$B$5001,$A$267)))</f>
        <v/>
      </c>
      <c r="AE277" s="271" t="str">
        <f>IF(AE$3="","",IF(COUNTIFS(BD!$A$3:$A$5001,AE$3,BD!$B$3:$B$5001,$A$267,BD!$M$3:$M$5001,"&lt;&gt;")=0,"",SUMIFS(BD!$M$3:$M$5001,BD!$A$3:$A$5001,AE$3,BD!$B$3:$B$5001,$A$267)))</f>
        <v/>
      </c>
      <c r="AF277" s="271" t="str">
        <f>IF(AF$3="","",IF(COUNTIFS(BD!$A$3:$A$5001,AF$3,BD!$B$3:$B$5001,$A$267,BD!$M$3:$M$5001,"&lt;&gt;")=0,"",SUMIFS(BD!$M$3:$M$5001,BD!$A$3:$A$5001,AF$3,BD!$B$3:$B$5001,$A$267)))</f>
        <v/>
      </c>
      <c r="AG277" s="271" t="str">
        <f>IF(AG$3="","",IF(COUNTIFS(BD!$A$3:$A$5001,AG$3,BD!$B$3:$B$5001,$A$267,BD!$M$3:$M$5001,"&lt;&gt;")=0,"",SUMIFS(BD!$M$3:$M$5001,BD!$A$3:$A$5001,AG$3,BD!$B$3:$B$5001,$A$267)))</f>
        <v/>
      </c>
      <c r="AH277" s="271" t="str">
        <f>IF(AH$3="","",IF(COUNTIFS(BD!$A$3:$A$5001,AH$3,BD!$B$3:$B$5001,$A$267,BD!$M$3:$M$5001,"&lt;&gt;")=0,"",SUMIFS(BD!$M$3:$M$5001,BD!$A$3:$A$5001,AH$3,BD!$B$3:$B$5001,$A$267)))</f>
        <v/>
      </c>
      <c r="AI277" s="271" t="str">
        <f>IF(AI$3="","",IF(COUNTIFS(BD!$A$3:$A$5001,AI$3,BD!$B$3:$B$5001,$A$267,BD!$M$3:$M$5001,"&lt;&gt;")=0,"",SUMIFS(BD!$M$3:$M$5001,BD!$A$3:$A$5001,AI$3,BD!$B$3:$B$5001,$A$267)))</f>
        <v/>
      </c>
      <c r="AJ277" s="272" t="str">
        <f>IF(AJ$3="","",IF(COUNTIFS(BD!$A$3:$A$5001,AJ$3,BD!$B$3:$B$5001,$A$267,BD!$M$3:$M$5001,"&lt;&gt;")=0,"",SUMIFS(BD!$M$3:$M$5001,BD!$A$3:$A$5001,AJ$3,BD!$B$3:$B$5001,$A$267)))</f>
        <v/>
      </c>
      <c r="AK277" s="273" t="str">
        <f>IF(COUNT(F277:AJ277)=0,"",SUM(F277:AJ277))</f>
        <v/>
      </c>
    </row>
    <row r="278" ht="15.75" customHeight="1" hidden="1">
      <c r="A278" s="261"/>
      <c r="B278" s="278"/>
      <c r="C278" s="267" t="inlineStr">
        <is>
          <t xml:space="preserve">Pedidos Faturados</t>
        </is>
      </c>
      <c r="D278" s="268" t="str">
        <f>IFERROR(1/(1/INDEX(BD!$AL$34:$BF$34,MATCH($A$267,BD!$AL$22:$BF$22,0))),"")</f>
        <v/>
      </c>
      <c r="E278" s="269"/>
      <c r="F278" s="270" t="str">
        <f>IF(F$3="","",IF(COUNTIFS(BD!$A$3:$A$5001,F$3,BD!$B$3:$B$5001,$A$267,BD!$N$3:$N$5001,"&lt;&gt;")=0,"",SUMIFS(BD!$N$3:$N$5001,BD!$A$3:$A$5001,F$3,BD!$B$3:$B$5001,$A$267)))</f>
        <v/>
      </c>
      <c r="G278" s="271" t="str">
        <f>IF(G$3="","",IF(COUNTIFS(BD!$A$3:$A$5001,G$3,BD!$B$3:$B$5001,$A$267,BD!$N$3:$N$5001,"&lt;&gt;")=0,"",SUMIFS(BD!$N$3:$N$5001,BD!$A$3:$A$5001,G$3,BD!$B$3:$B$5001,$A$267)))</f>
        <v/>
      </c>
      <c r="H278" s="271" t="str">
        <f>IF(H$3="","",IF(COUNTIFS(BD!$A$3:$A$5001,H$3,BD!$B$3:$B$5001,$A$267,BD!$N$3:$N$5001,"&lt;&gt;")=0,"",SUMIFS(BD!$N$3:$N$5001,BD!$A$3:$A$5001,H$3,BD!$B$3:$B$5001,$A$267)))</f>
        <v/>
      </c>
      <c r="I278" s="271" t="str">
        <f>IF(I$3="","",IF(COUNTIFS(BD!$A$3:$A$5001,I$3,BD!$B$3:$B$5001,$A$267,BD!$N$3:$N$5001,"&lt;&gt;")=0,"",SUMIFS(BD!$N$3:$N$5001,BD!$A$3:$A$5001,I$3,BD!$B$3:$B$5001,$A$267)))</f>
        <v/>
      </c>
      <c r="J278" s="271" t="str">
        <f>IF(J$3="","",IF(COUNTIFS(BD!$A$3:$A$5001,J$3,BD!$B$3:$B$5001,$A$267,BD!$N$3:$N$5001,"&lt;&gt;")=0,"",SUMIFS(BD!$N$3:$N$5001,BD!$A$3:$A$5001,J$3,BD!$B$3:$B$5001,$A$267)))</f>
        <v/>
      </c>
      <c r="K278" s="271" t="str">
        <f>IF(K$3="","",IF(COUNTIFS(BD!$A$3:$A$5001,K$3,BD!$B$3:$B$5001,$A$267,BD!$N$3:$N$5001,"&lt;&gt;")=0,"",SUMIFS(BD!$N$3:$N$5001,BD!$A$3:$A$5001,K$3,BD!$B$3:$B$5001,$A$267)))</f>
        <v/>
      </c>
      <c r="L278" s="271" t="str">
        <f>IF(L$3="","",IF(COUNTIFS(BD!$A$3:$A$5001,L$3,BD!$B$3:$B$5001,$A$267,BD!$N$3:$N$5001,"&lt;&gt;")=0,"",SUMIFS(BD!$N$3:$N$5001,BD!$A$3:$A$5001,L$3,BD!$B$3:$B$5001,$A$267)))</f>
        <v/>
      </c>
      <c r="M278" s="271" t="str">
        <f>IF(M$3="","",IF(COUNTIFS(BD!$A$3:$A$5001,M$3,BD!$B$3:$B$5001,$A$267,BD!$N$3:$N$5001,"&lt;&gt;")=0,"",SUMIFS(BD!$N$3:$N$5001,BD!$A$3:$A$5001,M$3,BD!$B$3:$B$5001,$A$267)))</f>
        <v/>
      </c>
      <c r="N278" s="271" t="str">
        <f>IF(N$3="","",IF(COUNTIFS(BD!$A$3:$A$5001,N$3,BD!$B$3:$B$5001,$A$267,BD!$N$3:$N$5001,"&lt;&gt;")=0,"",SUMIFS(BD!$N$3:$N$5001,BD!$A$3:$A$5001,N$3,BD!$B$3:$B$5001,$A$267)))</f>
        <v/>
      </c>
      <c r="O278" s="271" t="str">
        <f>IF(O$3="","",IF(COUNTIFS(BD!$A$3:$A$5001,O$3,BD!$B$3:$B$5001,$A$267,BD!$N$3:$N$5001,"&lt;&gt;")=0,"",SUMIFS(BD!$N$3:$N$5001,BD!$A$3:$A$5001,O$3,BD!$B$3:$B$5001,$A$267)))</f>
        <v/>
      </c>
      <c r="P278" s="271" t="str">
        <f>IF(P$3="","",IF(COUNTIFS(BD!$A$3:$A$5001,P$3,BD!$B$3:$B$5001,$A$267,BD!$N$3:$N$5001,"&lt;&gt;")=0,"",SUMIFS(BD!$N$3:$N$5001,BD!$A$3:$A$5001,P$3,BD!$B$3:$B$5001,$A$267)))</f>
        <v/>
      </c>
      <c r="Q278" s="271" t="str">
        <f>IF(Q$3="","",IF(COUNTIFS(BD!$A$3:$A$5001,Q$3,BD!$B$3:$B$5001,$A$267,BD!$N$3:$N$5001,"&lt;&gt;")=0,"",SUMIFS(BD!$N$3:$N$5001,BD!$A$3:$A$5001,Q$3,BD!$B$3:$B$5001,$A$267)))</f>
        <v/>
      </c>
      <c r="R278" s="271" t="str">
        <f>IF(R$3="","",IF(COUNTIFS(BD!$A$3:$A$5001,R$3,BD!$B$3:$B$5001,$A$267,BD!$N$3:$N$5001,"&lt;&gt;")=0,"",SUMIFS(BD!$N$3:$N$5001,BD!$A$3:$A$5001,R$3,BD!$B$3:$B$5001,$A$267)))</f>
        <v/>
      </c>
      <c r="S278" s="271" t="str">
        <f>IF(S$3="","",IF(COUNTIFS(BD!$A$3:$A$5001,S$3,BD!$B$3:$B$5001,$A$267,BD!$N$3:$N$5001,"&lt;&gt;")=0,"",SUMIFS(BD!$N$3:$N$5001,BD!$A$3:$A$5001,S$3,BD!$B$3:$B$5001,$A$267)))</f>
        <v/>
      </c>
      <c r="T278" s="271" t="str">
        <f>IF(T$3="","",IF(COUNTIFS(BD!$A$3:$A$5001,T$3,BD!$B$3:$B$5001,$A$267,BD!$N$3:$N$5001,"&lt;&gt;")=0,"",SUMIFS(BD!$N$3:$N$5001,BD!$A$3:$A$5001,T$3,BD!$B$3:$B$5001,$A$267)))</f>
        <v/>
      </c>
      <c r="U278" s="271" t="str">
        <f>IF(U$3="","",IF(COUNTIFS(BD!$A$3:$A$5001,U$3,BD!$B$3:$B$5001,$A$267,BD!$N$3:$N$5001,"&lt;&gt;")=0,"",SUMIFS(BD!$N$3:$N$5001,BD!$A$3:$A$5001,U$3,BD!$B$3:$B$5001,$A$267)))</f>
        <v/>
      </c>
      <c r="V278" s="271" t="str">
        <f>IF(V$3="","",IF(COUNTIFS(BD!$A$3:$A$5001,V$3,BD!$B$3:$B$5001,$A$267,BD!$N$3:$N$5001,"&lt;&gt;")=0,"",SUMIFS(BD!$N$3:$N$5001,BD!$A$3:$A$5001,V$3,BD!$B$3:$B$5001,$A$267)))</f>
        <v/>
      </c>
      <c r="W278" s="271" t="str">
        <f>IF(W$3="","",IF(COUNTIFS(BD!$A$3:$A$5001,W$3,BD!$B$3:$B$5001,$A$267,BD!$N$3:$N$5001,"&lt;&gt;")=0,"",SUMIFS(BD!$N$3:$N$5001,BD!$A$3:$A$5001,W$3,BD!$B$3:$B$5001,$A$267)))</f>
        <v/>
      </c>
      <c r="X278" s="271" t="str">
        <f>IF(X$3="","",IF(COUNTIFS(BD!$A$3:$A$5001,X$3,BD!$B$3:$B$5001,$A$267,BD!$N$3:$N$5001,"&lt;&gt;")=0,"",SUMIFS(BD!$N$3:$N$5001,BD!$A$3:$A$5001,X$3,BD!$B$3:$B$5001,$A$267)))</f>
        <v/>
      </c>
      <c r="Y278" s="271" t="str">
        <f>IF(Y$3="","",IF(COUNTIFS(BD!$A$3:$A$5001,Y$3,BD!$B$3:$B$5001,$A$267,BD!$N$3:$N$5001,"&lt;&gt;")=0,"",SUMIFS(BD!$N$3:$N$5001,BD!$A$3:$A$5001,Y$3,BD!$B$3:$B$5001,$A$267)))</f>
        <v/>
      </c>
      <c r="Z278" s="271" t="str">
        <f>IF(Z$3="","",IF(COUNTIFS(BD!$A$3:$A$5001,Z$3,BD!$B$3:$B$5001,$A$267,BD!$N$3:$N$5001,"&lt;&gt;")=0,"",SUMIFS(BD!$N$3:$N$5001,BD!$A$3:$A$5001,Z$3,BD!$B$3:$B$5001,$A$267)))</f>
        <v/>
      </c>
      <c r="AA278" s="271" t="str">
        <f>IF(AA$3="","",IF(COUNTIFS(BD!$A$3:$A$5001,AA$3,BD!$B$3:$B$5001,$A$267,BD!$N$3:$N$5001,"&lt;&gt;")=0,"",SUMIFS(BD!$N$3:$N$5001,BD!$A$3:$A$5001,AA$3,BD!$B$3:$B$5001,$A$267)))</f>
        <v/>
      </c>
      <c r="AB278" s="271" t="str">
        <f>IF(AB$3="","",IF(COUNTIFS(BD!$A$3:$A$5001,AB$3,BD!$B$3:$B$5001,$A$267,BD!$N$3:$N$5001,"&lt;&gt;")=0,"",SUMIFS(BD!$N$3:$N$5001,BD!$A$3:$A$5001,AB$3,BD!$B$3:$B$5001,$A$267)))</f>
        <v/>
      </c>
      <c r="AC278" s="271" t="str">
        <f>IF(AC$3="","",IF(COUNTIFS(BD!$A$3:$A$5001,AC$3,BD!$B$3:$B$5001,$A$267,BD!$N$3:$N$5001,"&lt;&gt;")=0,"",SUMIFS(BD!$N$3:$N$5001,BD!$A$3:$A$5001,AC$3,BD!$B$3:$B$5001,$A$267)))</f>
        <v/>
      </c>
      <c r="AD278" s="271" t="str">
        <f>IF(AD$3="","",IF(COUNTIFS(BD!$A$3:$A$5001,AD$3,BD!$B$3:$B$5001,$A$267,BD!$N$3:$N$5001,"&lt;&gt;")=0,"",SUMIFS(BD!$N$3:$N$5001,BD!$A$3:$A$5001,AD$3,BD!$B$3:$B$5001,$A$267)))</f>
        <v/>
      </c>
      <c r="AE278" s="271" t="str">
        <f>IF(AE$3="","",IF(COUNTIFS(BD!$A$3:$A$5001,AE$3,BD!$B$3:$B$5001,$A$267,BD!$N$3:$N$5001,"&lt;&gt;")=0,"",SUMIFS(BD!$N$3:$N$5001,BD!$A$3:$A$5001,AE$3,BD!$B$3:$B$5001,$A$267)))</f>
        <v/>
      </c>
      <c r="AF278" s="271" t="str">
        <f>IF(AF$3="","",IF(COUNTIFS(BD!$A$3:$A$5001,AF$3,BD!$B$3:$B$5001,$A$267,BD!$N$3:$N$5001,"&lt;&gt;")=0,"",SUMIFS(BD!$N$3:$N$5001,BD!$A$3:$A$5001,AF$3,BD!$B$3:$B$5001,$A$267)))</f>
        <v/>
      </c>
      <c r="AG278" s="271" t="str">
        <f>IF(AG$3="","",IF(COUNTIFS(BD!$A$3:$A$5001,AG$3,BD!$B$3:$B$5001,$A$267,BD!$N$3:$N$5001,"&lt;&gt;")=0,"",SUMIFS(BD!$N$3:$N$5001,BD!$A$3:$A$5001,AG$3,BD!$B$3:$B$5001,$A$267)))</f>
        <v/>
      </c>
      <c r="AH278" s="271" t="str">
        <f>IF(AH$3="","",IF(COUNTIFS(BD!$A$3:$A$5001,AH$3,BD!$B$3:$B$5001,$A$267,BD!$N$3:$N$5001,"&lt;&gt;")=0,"",SUMIFS(BD!$N$3:$N$5001,BD!$A$3:$A$5001,AH$3,BD!$B$3:$B$5001,$A$267)))</f>
        <v/>
      </c>
      <c r="AI278" s="271" t="str">
        <f>IF(AI$3="","",IF(COUNTIFS(BD!$A$3:$A$5001,AI$3,BD!$B$3:$B$5001,$A$267,BD!$N$3:$N$5001,"&lt;&gt;")=0,"",SUMIFS(BD!$N$3:$N$5001,BD!$A$3:$A$5001,AI$3,BD!$B$3:$B$5001,$A$267)))</f>
        <v/>
      </c>
      <c r="AJ278" s="272" t="str">
        <f>IF(AJ$3="","",IF(COUNTIFS(BD!$A$3:$A$5001,AJ$3,BD!$B$3:$B$5001,$A$267,BD!$N$3:$N$5001,"&lt;&gt;")=0,"",SUMIFS(BD!$N$3:$N$5001,BD!$A$3:$A$5001,AJ$3,BD!$B$3:$B$5001,$A$267)))</f>
        <v/>
      </c>
      <c r="AK278" s="273" t="str">
        <f>IF(COUNT(F278:AJ278)=0,"",SUM(F278:AJ278))</f>
        <v/>
      </c>
    </row>
    <row r="279" ht="15.75" customHeight="1" hidden="1">
      <c r="A279" s="261"/>
      <c r="B279" s="278"/>
      <c r="C279" s="267" t="inlineStr">
        <is>
          <t xml:space="preserve">Itens Expedidos</t>
        </is>
      </c>
      <c r="D279" s="268" t="str">
        <f>IFERROR(1/(1/INDEX(BD!$AL$35:$BF$35,MATCH($A$267,BD!$AL$22:$BF$22,0))),"")</f>
        <v/>
      </c>
      <c r="E279" s="269"/>
      <c r="F279" s="270" t="str">
        <f>IF(F$3="","",IF(COUNTIFS(BD!$A$3:$A$5001,F$3,BD!$B$3:$B$5001,$A$267,BD!$O$3:$O$5001,"&lt;&gt;")=0,"",SUMIFS(BD!$O$3:$O$5001,BD!$A$3:$A$5001,F$3,BD!$B$3:$B$5001,$A$267)))</f>
        <v/>
      </c>
      <c r="G279" s="271" t="str">
        <f>IF(G$3="","",IF(COUNTIFS(BD!$A$3:$A$5001,G$3,BD!$B$3:$B$5001,$A$267,BD!$O$3:$O$5001,"&lt;&gt;")=0,"",SUMIFS(BD!$O$3:$O$5001,BD!$A$3:$A$5001,G$3,BD!$B$3:$B$5001,$A$267)))</f>
        <v/>
      </c>
      <c r="H279" s="271" t="str">
        <f>IF(H$3="","",IF(COUNTIFS(BD!$A$3:$A$5001,H$3,BD!$B$3:$B$5001,$A$267,BD!$O$3:$O$5001,"&lt;&gt;")=0,"",SUMIFS(BD!$O$3:$O$5001,BD!$A$3:$A$5001,H$3,BD!$B$3:$B$5001,$A$267)))</f>
        <v/>
      </c>
      <c r="I279" s="271" t="str">
        <f>IF(I$3="","",IF(COUNTIFS(BD!$A$3:$A$5001,I$3,BD!$B$3:$B$5001,$A$267,BD!$O$3:$O$5001,"&lt;&gt;")=0,"",SUMIFS(BD!$O$3:$O$5001,BD!$A$3:$A$5001,I$3,BD!$B$3:$B$5001,$A$267)))</f>
        <v/>
      </c>
      <c r="J279" s="271" t="str">
        <f>IF(J$3="","",IF(COUNTIFS(BD!$A$3:$A$5001,J$3,BD!$B$3:$B$5001,$A$267,BD!$O$3:$O$5001,"&lt;&gt;")=0,"",SUMIFS(BD!$O$3:$O$5001,BD!$A$3:$A$5001,J$3,BD!$B$3:$B$5001,$A$267)))</f>
        <v/>
      </c>
      <c r="K279" s="271" t="str">
        <f>IF(K$3="","",IF(COUNTIFS(BD!$A$3:$A$5001,K$3,BD!$B$3:$B$5001,$A$267,BD!$O$3:$O$5001,"&lt;&gt;")=0,"",SUMIFS(BD!$O$3:$O$5001,BD!$A$3:$A$5001,K$3,BD!$B$3:$B$5001,$A$267)))</f>
        <v/>
      </c>
      <c r="L279" s="271" t="str">
        <f>IF(L$3="","",IF(COUNTIFS(BD!$A$3:$A$5001,L$3,BD!$B$3:$B$5001,$A$267,BD!$O$3:$O$5001,"&lt;&gt;")=0,"",SUMIFS(BD!$O$3:$O$5001,BD!$A$3:$A$5001,L$3,BD!$B$3:$B$5001,$A$267)))</f>
        <v/>
      </c>
      <c r="M279" s="271" t="str">
        <f>IF(M$3="","",IF(COUNTIFS(BD!$A$3:$A$5001,M$3,BD!$B$3:$B$5001,$A$267,BD!$O$3:$O$5001,"&lt;&gt;")=0,"",SUMIFS(BD!$O$3:$O$5001,BD!$A$3:$A$5001,M$3,BD!$B$3:$B$5001,$A$267)))</f>
        <v/>
      </c>
      <c r="N279" s="271" t="str">
        <f>IF(N$3="","",IF(COUNTIFS(BD!$A$3:$A$5001,N$3,BD!$B$3:$B$5001,$A$267,BD!$O$3:$O$5001,"&lt;&gt;")=0,"",SUMIFS(BD!$O$3:$O$5001,BD!$A$3:$A$5001,N$3,BD!$B$3:$B$5001,$A$267)))</f>
        <v/>
      </c>
      <c r="O279" s="271" t="str">
        <f>IF(O$3="","",IF(COUNTIFS(BD!$A$3:$A$5001,O$3,BD!$B$3:$B$5001,$A$267,BD!$O$3:$O$5001,"&lt;&gt;")=0,"",SUMIFS(BD!$O$3:$O$5001,BD!$A$3:$A$5001,O$3,BD!$B$3:$B$5001,$A$267)))</f>
        <v/>
      </c>
      <c r="P279" s="271" t="str">
        <f>IF(P$3="","",IF(COUNTIFS(BD!$A$3:$A$5001,P$3,BD!$B$3:$B$5001,$A$267,BD!$O$3:$O$5001,"&lt;&gt;")=0,"",SUMIFS(BD!$O$3:$O$5001,BD!$A$3:$A$5001,P$3,BD!$B$3:$B$5001,$A$267)))</f>
        <v/>
      </c>
      <c r="Q279" s="271" t="str">
        <f>IF(Q$3="","",IF(COUNTIFS(BD!$A$3:$A$5001,Q$3,BD!$B$3:$B$5001,$A$267,BD!$O$3:$O$5001,"&lt;&gt;")=0,"",SUMIFS(BD!$O$3:$O$5001,BD!$A$3:$A$5001,Q$3,BD!$B$3:$B$5001,$A$267)))</f>
        <v/>
      </c>
      <c r="R279" s="271" t="str">
        <f>IF(R$3="","",IF(COUNTIFS(BD!$A$3:$A$5001,R$3,BD!$B$3:$B$5001,$A$267,BD!$O$3:$O$5001,"&lt;&gt;")=0,"",SUMIFS(BD!$O$3:$O$5001,BD!$A$3:$A$5001,R$3,BD!$B$3:$B$5001,$A$267)))</f>
        <v/>
      </c>
      <c r="S279" s="271" t="str">
        <f>IF(S$3="","",IF(COUNTIFS(BD!$A$3:$A$5001,S$3,BD!$B$3:$B$5001,$A$267,BD!$O$3:$O$5001,"&lt;&gt;")=0,"",SUMIFS(BD!$O$3:$O$5001,BD!$A$3:$A$5001,S$3,BD!$B$3:$B$5001,$A$267)))</f>
        <v/>
      </c>
      <c r="T279" s="271" t="str">
        <f>IF(T$3="","",IF(COUNTIFS(BD!$A$3:$A$5001,T$3,BD!$B$3:$B$5001,$A$267,BD!$O$3:$O$5001,"&lt;&gt;")=0,"",SUMIFS(BD!$O$3:$O$5001,BD!$A$3:$A$5001,T$3,BD!$B$3:$B$5001,$A$267)))</f>
        <v/>
      </c>
      <c r="U279" s="271" t="str">
        <f>IF(U$3="","",IF(COUNTIFS(BD!$A$3:$A$5001,U$3,BD!$B$3:$B$5001,$A$267,BD!$O$3:$O$5001,"&lt;&gt;")=0,"",SUMIFS(BD!$O$3:$O$5001,BD!$A$3:$A$5001,U$3,BD!$B$3:$B$5001,$A$267)))</f>
        <v/>
      </c>
      <c r="V279" s="271" t="str">
        <f>IF(V$3="","",IF(COUNTIFS(BD!$A$3:$A$5001,V$3,BD!$B$3:$B$5001,$A$267,BD!$O$3:$O$5001,"&lt;&gt;")=0,"",SUMIFS(BD!$O$3:$O$5001,BD!$A$3:$A$5001,V$3,BD!$B$3:$B$5001,$A$267)))</f>
        <v/>
      </c>
      <c r="W279" s="271" t="str">
        <f>IF(W$3="","",IF(COUNTIFS(BD!$A$3:$A$5001,W$3,BD!$B$3:$B$5001,$A$267,BD!$O$3:$O$5001,"&lt;&gt;")=0,"",SUMIFS(BD!$O$3:$O$5001,BD!$A$3:$A$5001,W$3,BD!$B$3:$B$5001,$A$267)))</f>
        <v/>
      </c>
      <c r="X279" s="271" t="str">
        <f>IF(X$3="","",IF(COUNTIFS(BD!$A$3:$A$5001,X$3,BD!$B$3:$B$5001,$A$267,BD!$O$3:$O$5001,"&lt;&gt;")=0,"",SUMIFS(BD!$O$3:$O$5001,BD!$A$3:$A$5001,X$3,BD!$B$3:$B$5001,$A$267)))</f>
        <v/>
      </c>
      <c r="Y279" s="271" t="str">
        <f>IF(Y$3="","",IF(COUNTIFS(BD!$A$3:$A$5001,Y$3,BD!$B$3:$B$5001,$A$267,BD!$O$3:$O$5001,"&lt;&gt;")=0,"",SUMIFS(BD!$O$3:$O$5001,BD!$A$3:$A$5001,Y$3,BD!$B$3:$B$5001,$A$267)))</f>
        <v/>
      </c>
      <c r="Z279" s="271" t="str">
        <f>IF(Z$3="","",IF(COUNTIFS(BD!$A$3:$A$5001,Z$3,BD!$B$3:$B$5001,$A$267,BD!$O$3:$O$5001,"&lt;&gt;")=0,"",SUMIFS(BD!$O$3:$O$5001,BD!$A$3:$A$5001,Z$3,BD!$B$3:$B$5001,$A$267)))</f>
        <v/>
      </c>
      <c r="AA279" s="271" t="str">
        <f>IF(AA$3="","",IF(COUNTIFS(BD!$A$3:$A$5001,AA$3,BD!$B$3:$B$5001,$A$267,BD!$O$3:$O$5001,"&lt;&gt;")=0,"",SUMIFS(BD!$O$3:$O$5001,BD!$A$3:$A$5001,AA$3,BD!$B$3:$B$5001,$A$267)))</f>
        <v/>
      </c>
      <c r="AB279" s="271" t="str">
        <f>IF(AB$3="","",IF(COUNTIFS(BD!$A$3:$A$5001,AB$3,BD!$B$3:$B$5001,$A$267,BD!$O$3:$O$5001,"&lt;&gt;")=0,"",SUMIFS(BD!$O$3:$O$5001,BD!$A$3:$A$5001,AB$3,BD!$B$3:$B$5001,$A$267)))</f>
        <v/>
      </c>
      <c r="AC279" s="271" t="str">
        <f>IF(AC$3="","",IF(COUNTIFS(BD!$A$3:$A$5001,AC$3,BD!$B$3:$B$5001,$A$267,BD!$O$3:$O$5001,"&lt;&gt;")=0,"",SUMIFS(BD!$O$3:$O$5001,BD!$A$3:$A$5001,AC$3,BD!$B$3:$B$5001,$A$267)))</f>
        <v/>
      </c>
      <c r="AD279" s="271" t="str">
        <f>IF(AD$3="","",IF(COUNTIFS(BD!$A$3:$A$5001,AD$3,BD!$B$3:$B$5001,$A$267,BD!$O$3:$O$5001,"&lt;&gt;")=0,"",SUMIFS(BD!$O$3:$O$5001,BD!$A$3:$A$5001,AD$3,BD!$B$3:$B$5001,$A$267)))</f>
        <v/>
      </c>
      <c r="AE279" s="271" t="str">
        <f>IF(AE$3="","",IF(COUNTIFS(BD!$A$3:$A$5001,AE$3,BD!$B$3:$B$5001,$A$267,BD!$O$3:$O$5001,"&lt;&gt;")=0,"",SUMIFS(BD!$O$3:$O$5001,BD!$A$3:$A$5001,AE$3,BD!$B$3:$B$5001,$A$267)))</f>
        <v/>
      </c>
      <c r="AF279" s="271" t="str">
        <f>IF(AF$3="","",IF(COUNTIFS(BD!$A$3:$A$5001,AF$3,BD!$B$3:$B$5001,$A$267,BD!$O$3:$O$5001,"&lt;&gt;")=0,"",SUMIFS(BD!$O$3:$O$5001,BD!$A$3:$A$5001,AF$3,BD!$B$3:$B$5001,$A$267)))</f>
        <v/>
      </c>
      <c r="AG279" s="271" t="str">
        <f>IF(AG$3="","",IF(COUNTIFS(BD!$A$3:$A$5001,AG$3,BD!$B$3:$B$5001,$A$267,BD!$O$3:$O$5001,"&lt;&gt;")=0,"",SUMIFS(BD!$O$3:$O$5001,BD!$A$3:$A$5001,AG$3,BD!$B$3:$B$5001,$A$267)))</f>
        <v/>
      </c>
      <c r="AH279" s="271" t="str">
        <f>IF(AH$3="","",IF(COUNTIFS(BD!$A$3:$A$5001,AH$3,BD!$B$3:$B$5001,$A$267,BD!$O$3:$O$5001,"&lt;&gt;")=0,"",SUMIFS(BD!$O$3:$O$5001,BD!$A$3:$A$5001,AH$3,BD!$B$3:$B$5001,$A$267)))</f>
        <v/>
      </c>
      <c r="AI279" s="271" t="str">
        <f>IF(AI$3="","",IF(COUNTIFS(BD!$A$3:$A$5001,AI$3,BD!$B$3:$B$5001,$A$267,BD!$O$3:$O$5001,"&lt;&gt;")=0,"",SUMIFS(BD!$O$3:$O$5001,BD!$A$3:$A$5001,AI$3,BD!$B$3:$B$5001,$A$267)))</f>
        <v/>
      </c>
      <c r="AJ279" s="272" t="str">
        <f>IF(AJ$3="","",IF(COUNTIFS(BD!$A$3:$A$5001,AJ$3,BD!$B$3:$B$5001,$A$267,BD!$O$3:$O$5001,"&lt;&gt;")=0,"",SUMIFS(BD!$O$3:$O$5001,BD!$A$3:$A$5001,AJ$3,BD!$B$3:$B$5001,$A$267)))</f>
        <v/>
      </c>
      <c r="AK279" s="273" t="str">
        <f>IF(COUNT(F279:AJ279)=0,"",SUM(F279:AJ279))</f>
        <v/>
      </c>
    </row>
    <row r="280" ht="15.75" customHeight="1" hidden="1">
      <c r="A280" s="261"/>
      <c r="B280" s="278"/>
      <c r="C280" s="267" t="inlineStr">
        <is>
          <t xml:space="preserve">Linhas NF</t>
        </is>
      </c>
      <c r="D280" s="268" t="str">
        <f>IFERROR(1/(1/INDEX(BD!$AL$36:$BF$36,MATCH($A$267,BD!$AL$22:$BF$22,0))),"")</f>
        <v/>
      </c>
      <c r="E280" s="269"/>
      <c r="F280" s="270" t="str">
        <f>IF(F$3="","",IF(COUNTIFS(BD!$A$3:$A$5001,F$3,BD!$B$3:$B$5001,$A$267,BD!$P$3:$P$5001,"&lt;&gt;")=0,"",SUMIFS(BD!$P$3:$P$5001,BD!$A$3:$A$5001,F$3,BD!$B$3:$B$5001,$A$267)))</f>
        <v/>
      </c>
      <c r="G280" s="271" t="str">
        <f>IF(G$3="","",IF(COUNTIFS(BD!$A$3:$A$5001,G$3,BD!$B$3:$B$5001,$A$267,BD!$P$3:$P$5001,"&lt;&gt;")=0,"",SUMIFS(BD!$P$3:$P$5001,BD!$A$3:$A$5001,G$3,BD!$B$3:$B$5001,$A$267)))</f>
        <v/>
      </c>
      <c r="H280" s="271" t="str">
        <f>IF(H$3="","",IF(COUNTIFS(BD!$A$3:$A$5001,H$3,BD!$B$3:$B$5001,$A$267,BD!$P$3:$P$5001,"&lt;&gt;")=0,"",SUMIFS(BD!$P$3:$P$5001,BD!$A$3:$A$5001,H$3,BD!$B$3:$B$5001,$A$267)))</f>
        <v/>
      </c>
      <c r="I280" s="271" t="str">
        <f>IF(I$3="","",IF(COUNTIFS(BD!$A$3:$A$5001,I$3,BD!$B$3:$B$5001,$A$267,BD!$P$3:$P$5001,"&lt;&gt;")=0,"",SUMIFS(BD!$P$3:$P$5001,BD!$A$3:$A$5001,I$3,BD!$B$3:$B$5001,$A$267)))</f>
        <v/>
      </c>
      <c r="J280" s="271" t="str">
        <f>IF(J$3="","",IF(COUNTIFS(BD!$A$3:$A$5001,J$3,BD!$B$3:$B$5001,$A$267,BD!$P$3:$P$5001,"&lt;&gt;")=0,"",SUMIFS(BD!$P$3:$P$5001,BD!$A$3:$A$5001,J$3,BD!$B$3:$B$5001,$A$267)))</f>
        <v/>
      </c>
      <c r="K280" s="271" t="str">
        <f>IF(K$3="","",IF(COUNTIFS(BD!$A$3:$A$5001,K$3,BD!$B$3:$B$5001,$A$267,BD!$P$3:$P$5001,"&lt;&gt;")=0,"",SUMIFS(BD!$P$3:$P$5001,BD!$A$3:$A$5001,K$3,BD!$B$3:$B$5001,$A$267)))</f>
        <v/>
      </c>
      <c r="L280" s="271" t="str">
        <f>IF(L$3="","",IF(COUNTIFS(BD!$A$3:$A$5001,L$3,BD!$B$3:$B$5001,$A$267,BD!$P$3:$P$5001,"&lt;&gt;")=0,"",SUMIFS(BD!$P$3:$P$5001,BD!$A$3:$A$5001,L$3,BD!$B$3:$B$5001,$A$267)))</f>
        <v/>
      </c>
      <c r="M280" s="271" t="str">
        <f>IF(M$3="","",IF(COUNTIFS(BD!$A$3:$A$5001,M$3,BD!$B$3:$B$5001,$A$267,BD!$P$3:$P$5001,"&lt;&gt;")=0,"",SUMIFS(BD!$P$3:$P$5001,BD!$A$3:$A$5001,M$3,BD!$B$3:$B$5001,$A$267)))</f>
        <v/>
      </c>
      <c r="N280" s="271" t="str">
        <f>IF(N$3="","",IF(COUNTIFS(BD!$A$3:$A$5001,N$3,BD!$B$3:$B$5001,$A$267,BD!$P$3:$P$5001,"&lt;&gt;")=0,"",SUMIFS(BD!$P$3:$P$5001,BD!$A$3:$A$5001,N$3,BD!$B$3:$B$5001,$A$267)))</f>
        <v/>
      </c>
      <c r="O280" s="271" t="str">
        <f>IF(O$3="","",IF(COUNTIFS(BD!$A$3:$A$5001,O$3,BD!$B$3:$B$5001,$A$267,BD!$P$3:$P$5001,"&lt;&gt;")=0,"",SUMIFS(BD!$P$3:$P$5001,BD!$A$3:$A$5001,O$3,BD!$B$3:$B$5001,$A$267)))</f>
        <v/>
      </c>
      <c r="P280" s="271" t="str">
        <f>IF(P$3="","",IF(COUNTIFS(BD!$A$3:$A$5001,P$3,BD!$B$3:$B$5001,$A$267,BD!$P$3:$P$5001,"&lt;&gt;")=0,"",SUMIFS(BD!$P$3:$P$5001,BD!$A$3:$A$5001,P$3,BD!$B$3:$B$5001,$A$267)))</f>
        <v/>
      </c>
      <c r="Q280" s="271" t="str">
        <f>IF(Q$3="","",IF(COUNTIFS(BD!$A$3:$A$5001,Q$3,BD!$B$3:$B$5001,$A$267,BD!$P$3:$P$5001,"&lt;&gt;")=0,"",SUMIFS(BD!$P$3:$P$5001,BD!$A$3:$A$5001,Q$3,BD!$B$3:$B$5001,$A$267)))</f>
        <v/>
      </c>
      <c r="R280" s="271" t="str">
        <f>IF(R$3="","",IF(COUNTIFS(BD!$A$3:$A$5001,R$3,BD!$B$3:$B$5001,$A$267,BD!$P$3:$P$5001,"&lt;&gt;")=0,"",SUMIFS(BD!$P$3:$P$5001,BD!$A$3:$A$5001,R$3,BD!$B$3:$B$5001,$A$267)))</f>
        <v/>
      </c>
      <c r="S280" s="271" t="str">
        <f>IF(S$3="","",IF(COUNTIFS(BD!$A$3:$A$5001,S$3,BD!$B$3:$B$5001,$A$267,BD!$P$3:$P$5001,"&lt;&gt;")=0,"",SUMIFS(BD!$P$3:$P$5001,BD!$A$3:$A$5001,S$3,BD!$B$3:$B$5001,$A$267)))</f>
        <v/>
      </c>
      <c r="T280" s="271" t="str">
        <f>IF(T$3="","",IF(COUNTIFS(BD!$A$3:$A$5001,T$3,BD!$B$3:$B$5001,$A$267,BD!$P$3:$P$5001,"&lt;&gt;")=0,"",SUMIFS(BD!$P$3:$P$5001,BD!$A$3:$A$5001,T$3,BD!$B$3:$B$5001,$A$267)))</f>
        <v/>
      </c>
      <c r="U280" s="271" t="str">
        <f>IF(U$3="","",IF(COUNTIFS(BD!$A$3:$A$5001,U$3,BD!$B$3:$B$5001,$A$267,BD!$P$3:$P$5001,"&lt;&gt;")=0,"",SUMIFS(BD!$P$3:$P$5001,BD!$A$3:$A$5001,U$3,BD!$B$3:$B$5001,$A$267)))</f>
        <v/>
      </c>
      <c r="V280" s="271" t="str">
        <f>IF(V$3="","",IF(COUNTIFS(BD!$A$3:$A$5001,V$3,BD!$B$3:$B$5001,$A$267,BD!$P$3:$P$5001,"&lt;&gt;")=0,"",SUMIFS(BD!$P$3:$P$5001,BD!$A$3:$A$5001,V$3,BD!$B$3:$B$5001,$A$267)))</f>
        <v/>
      </c>
      <c r="W280" s="271" t="str">
        <f>IF(W$3="","",IF(COUNTIFS(BD!$A$3:$A$5001,W$3,BD!$B$3:$B$5001,$A$267,BD!$P$3:$P$5001,"&lt;&gt;")=0,"",SUMIFS(BD!$P$3:$P$5001,BD!$A$3:$A$5001,W$3,BD!$B$3:$B$5001,$A$267)))</f>
        <v/>
      </c>
      <c r="X280" s="271" t="str">
        <f>IF(X$3="","",IF(COUNTIFS(BD!$A$3:$A$5001,X$3,BD!$B$3:$B$5001,$A$267,BD!$P$3:$P$5001,"&lt;&gt;")=0,"",SUMIFS(BD!$P$3:$P$5001,BD!$A$3:$A$5001,X$3,BD!$B$3:$B$5001,$A$267)))</f>
        <v/>
      </c>
      <c r="Y280" s="271" t="str">
        <f>IF(Y$3="","",IF(COUNTIFS(BD!$A$3:$A$5001,Y$3,BD!$B$3:$B$5001,$A$267,BD!$P$3:$P$5001,"&lt;&gt;")=0,"",SUMIFS(BD!$P$3:$P$5001,BD!$A$3:$A$5001,Y$3,BD!$B$3:$B$5001,$A$267)))</f>
        <v/>
      </c>
      <c r="Z280" s="271" t="str">
        <f>IF(Z$3="","",IF(COUNTIFS(BD!$A$3:$A$5001,Z$3,BD!$B$3:$B$5001,$A$267,BD!$P$3:$P$5001,"&lt;&gt;")=0,"",SUMIFS(BD!$P$3:$P$5001,BD!$A$3:$A$5001,Z$3,BD!$B$3:$B$5001,$A$267)))</f>
        <v/>
      </c>
      <c r="AA280" s="271" t="str">
        <f>IF(AA$3="","",IF(COUNTIFS(BD!$A$3:$A$5001,AA$3,BD!$B$3:$B$5001,$A$267,BD!$P$3:$P$5001,"&lt;&gt;")=0,"",SUMIFS(BD!$P$3:$P$5001,BD!$A$3:$A$5001,AA$3,BD!$B$3:$B$5001,$A$267)))</f>
        <v/>
      </c>
      <c r="AB280" s="271" t="str">
        <f>IF(AB$3="","",IF(COUNTIFS(BD!$A$3:$A$5001,AB$3,BD!$B$3:$B$5001,$A$267,BD!$P$3:$P$5001,"&lt;&gt;")=0,"",SUMIFS(BD!$P$3:$P$5001,BD!$A$3:$A$5001,AB$3,BD!$B$3:$B$5001,$A$267)))</f>
        <v/>
      </c>
      <c r="AC280" s="271" t="str">
        <f>IF(AC$3="","",IF(COUNTIFS(BD!$A$3:$A$5001,AC$3,BD!$B$3:$B$5001,$A$267,BD!$P$3:$P$5001,"&lt;&gt;")=0,"",SUMIFS(BD!$P$3:$P$5001,BD!$A$3:$A$5001,AC$3,BD!$B$3:$B$5001,$A$267)))</f>
        <v/>
      </c>
      <c r="AD280" s="271" t="str">
        <f>IF(AD$3="","",IF(COUNTIFS(BD!$A$3:$A$5001,AD$3,BD!$B$3:$B$5001,$A$267,BD!$P$3:$P$5001,"&lt;&gt;")=0,"",SUMIFS(BD!$P$3:$P$5001,BD!$A$3:$A$5001,AD$3,BD!$B$3:$B$5001,$A$267)))</f>
        <v/>
      </c>
      <c r="AE280" s="271" t="str">
        <f>IF(AE$3="","",IF(COUNTIFS(BD!$A$3:$A$5001,AE$3,BD!$B$3:$B$5001,$A$267,BD!$P$3:$P$5001,"&lt;&gt;")=0,"",SUMIFS(BD!$P$3:$P$5001,BD!$A$3:$A$5001,AE$3,BD!$B$3:$B$5001,$A$267)))</f>
        <v/>
      </c>
      <c r="AF280" s="271" t="str">
        <f>IF(AF$3="","",IF(COUNTIFS(BD!$A$3:$A$5001,AF$3,BD!$B$3:$B$5001,$A$267,BD!$P$3:$P$5001,"&lt;&gt;")=0,"",SUMIFS(BD!$P$3:$P$5001,BD!$A$3:$A$5001,AF$3,BD!$B$3:$B$5001,$A$267)))</f>
        <v/>
      </c>
      <c r="AG280" s="271" t="str">
        <f>IF(AG$3="","",IF(COUNTIFS(BD!$A$3:$A$5001,AG$3,BD!$B$3:$B$5001,$A$267,BD!$P$3:$P$5001,"&lt;&gt;")=0,"",SUMIFS(BD!$P$3:$P$5001,BD!$A$3:$A$5001,AG$3,BD!$B$3:$B$5001,$A$267)))</f>
        <v/>
      </c>
      <c r="AH280" s="271" t="str">
        <f>IF(AH$3="","",IF(COUNTIFS(BD!$A$3:$A$5001,AH$3,BD!$B$3:$B$5001,$A$267,BD!$P$3:$P$5001,"&lt;&gt;")=0,"",SUMIFS(BD!$P$3:$P$5001,BD!$A$3:$A$5001,AH$3,BD!$B$3:$B$5001,$A$267)))</f>
        <v/>
      </c>
      <c r="AI280" s="271" t="str">
        <f>IF(AI$3="","",IF(COUNTIFS(BD!$A$3:$A$5001,AI$3,BD!$B$3:$B$5001,$A$267,BD!$P$3:$P$5001,"&lt;&gt;")=0,"",SUMIFS(BD!$P$3:$P$5001,BD!$A$3:$A$5001,AI$3,BD!$B$3:$B$5001,$A$267)))</f>
        <v/>
      </c>
      <c r="AJ280" s="272" t="str">
        <f>IF(AJ$3="","",IF(COUNTIFS(BD!$A$3:$A$5001,AJ$3,BD!$B$3:$B$5001,$A$267,BD!$P$3:$P$5001,"&lt;&gt;")=0,"",SUMIFS(BD!$P$3:$P$5001,BD!$A$3:$A$5001,AJ$3,BD!$B$3:$B$5001,$A$267)))</f>
        <v/>
      </c>
      <c r="AK280" s="273" t="str">
        <f>IF(COUNT(F280:AJ280)=0,"",SUM(F280:AJ280))</f>
        <v/>
      </c>
    </row>
    <row r="281" ht="15.75" customHeight="1" hidden="1">
      <c r="A281" s="261"/>
      <c r="B281" s="278"/>
      <c r="C281" s="267" t="inlineStr">
        <is>
          <t xml:space="preserve">Caixas Expedidas</t>
        </is>
      </c>
      <c r="D281" s="268" t="str">
        <f>IFERROR(1/(1/INDEX(BD!$AL$37:$BF$37,MATCH($A$267,BD!$AL$22:$BF$22,0))),"")</f>
        <v/>
      </c>
      <c r="E281" s="269"/>
      <c r="F281" s="270" t="str">
        <f>IF(F$3="","",IF(COUNTIFS(BD!$A$3:$A$5001,F$3,BD!$B$3:$B$5001,$A$267,BD!$Q$3:$Q$5001,"&lt;&gt;")=0,"",SUMIFS(BD!$Q$3:$Q$5001,BD!$A$3:$A$5001,F$3,BD!$B$3:$B$5001,$A$267)))</f>
        <v/>
      </c>
      <c r="G281" s="271" t="str">
        <f>IF(G$3="","",IF(COUNTIFS(BD!$A$3:$A$5001,G$3,BD!$B$3:$B$5001,$A$267,BD!$Q$3:$Q$5001,"&lt;&gt;")=0,"",SUMIFS(BD!$Q$3:$Q$5001,BD!$A$3:$A$5001,G$3,BD!$B$3:$B$5001,$A$267)))</f>
        <v/>
      </c>
      <c r="H281" s="271" t="str">
        <f>IF(H$3="","",IF(COUNTIFS(BD!$A$3:$A$5001,H$3,BD!$B$3:$B$5001,$A$267,BD!$Q$3:$Q$5001,"&lt;&gt;")=0,"",SUMIFS(BD!$Q$3:$Q$5001,BD!$A$3:$A$5001,H$3,BD!$B$3:$B$5001,$A$267)))</f>
        <v/>
      </c>
      <c r="I281" s="271" t="str">
        <f>IF(I$3="","",IF(COUNTIFS(BD!$A$3:$A$5001,I$3,BD!$B$3:$B$5001,$A$267,BD!$Q$3:$Q$5001,"&lt;&gt;")=0,"",SUMIFS(BD!$Q$3:$Q$5001,BD!$A$3:$A$5001,I$3,BD!$B$3:$B$5001,$A$267)))</f>
        <v/>
      </c>
      <c r="J281" s="271" t="str">
        <f>IF(J$3="","",IF(COUNTIFS(BD!$A$3:$A$5001,J$3,BD!$B$3:$B$5001,$A$267,BD!$Q$3:$Q$5001,"&lt;&gt;")=0,"",SUMIFS(BD!$Q$3:$Q$5001,BD!$A$3:$A$5001,J$3,BD!$B$3:$B$5001,$A$267)))</f>
        <v/>
      </c>
      <c r="K281" s="271" t="str">
        <f>IF(K$3="","",IF(COUNTIFS(BD!$A$3:$A$5001,K$3,BD!$B$3:$B$5001,$A$267,BD!$Q$3:$Q$5001,"&lt;&gt;")=0,"",SUMIFS(BD!$Q$3:$Q$5001,BD!$A$3:$A$5001,K$3,BD!$B$3:$B$5001,$A$267)))</f>
        <v/>
      </c>
      <c r="L281" s="271" t="str">
        <f>IF(L$3="","",IF(COUNTIFS(BD!$A$3:$A$5001,L$3,BD!$B$3:$B$5001,$A$267,BD!$Q$3:$Q$5001,"&lt;&gt;")=0,"",SUMIFS(BD!$Q$3:$Q$5001,BD!$A$3:$A$5001,L$3,BD!$B$3:$B$5001,$A$267)))</f>
        <v/>
      </c>
      <c r="M281" s="271" t="str">
        <f>IF(M$3="","",IF(COUNTIFS(BD!$A$3:$A$5001,M$3,BD!$B$3:$B$5001,$A$267,BD!$Q$3:$Q$5001,"&lt;&gt;")=0,"",SUMIFS(BD!$Q$3:$Q$5001,BD!$A$3:$A$5001,M$3,BD!$B$3:$B$5001,$A$267)))</f>
        <v/>
      </c>
      <c r="N281" s="271" t="str">
        <f>IF(N$3="","",IF(COUNTIFS(BD!$A$3:$A$5001,N$3,BD!$B$3:$B$5001,$A$267,BD!$Q$3:$Q$5001,"&lt;&gt;")=0,"",SUMIFS(BD!$Q$3:$Q$5001,BD!$A$3:$A$5001,N$3,BD!$B$3:$B$5001,$A$267)))</f>
        <v/>
      </c>
      <c r="O281" s="271" t="str">
        <f>IF(O$3="","",IF(COUNTIFS(BD!$A$3:$A$5001,O$3,BD!$B$3:$B$5001,$A$267,BD!$Q$3:$Q$5001,"&lt;&gt;")=0,"",SUMIFS(BD!$Q$3:$Q$5001,BD!$A$3:$A$5001,O$3,BD!$B$3:$B$5001,$A$267)))</f>
        <v/>
      </c>
      <c r="P281" s="271" t="str">
        <f>IF(P$3="","",IF(COUNTIFS(BD!$A$3:$A$5001,P$3,BD!$B$3:$B$5001,$A$267,BD!$Q$3:$Q$5001,"&lt;&gt;")=0,"",SUMIFS(BD!$Q$3:$Q$5001,BD!$A$3:$A$5001,P$3,BD!$B$3:$B$5001,$A$267)))</f>
        <v/>
      </c>
      <c r="Q281" s="271" t="str">
        <f>IF(Q$3="","",IF(COUNTIFS(BD!$A$3:$A$5001,Q$3,BD!$B$3:$B$5001,$A$267,BD!$Q$3:$Q$5001,"&lt;&gt;")=0,"",SUMIFS(BD!$Q$3:$Q$5001,BD!$A$3:$A$5001,Q$3,BD!$B$3:$B$5001,$A$267)))</f>
        <v/>
      </c>
      <c r="R281" s="271" t="str">
        <f>IF(R$3="","",IF(COUNTIFS(BD!$A$3:$A$5001,R$3,BD!$B$3:$B$5001,$A$267,BD!$Q$3:$Q$5001,"&lt;&gt;")=0,"",SUMIFS(BD!$Q$3:$Q$5001,BD!$A$3:$A$5001,R$3,BD!$B$3:$B$5001,$A$267)))</f>
        <v/>
      </c>
      <c r="S281" s="271" t="str">
        <f>IF(S$3="","",IF(COUNTIFS(BD!$A$3:$A$5001,S$3,BD!$B$3:$B$5001,$A$267,BD!$Q$3:$Q$5001,"&lt;&gt;")=0,"",SUMIFS(BD!$Q$3:$Q$5001,BD!$A$3:$A$5001,S$3,BD!$B$3:$B$5001,$A$267)))</f>
        <v/>
      </c>
      <c r="T281" s="271" t="str">
        <f>IF(T$3="","",IF(COUNTIFS(BD!$A$3:$A$5001,T$3,BD!$B$3:$B$5001,$A$267,BD!$Q$3:$Q$5001,"&lt;&gt;")=0,"",SUMIFS(BD!$Q$3:$Q$5001,BD!$A$3:$A$5001,T$3,BD!$B$3:$B$5001,$A$267)))</f>
        <v/>
      </c>
      <c r="U281" s="271" t="str">
        <f>IF(U$3="","",IF(COUNTIFS(BD!$A$3:$A$5001,U$3,BD!$B$3:$B$5001,$A$267,BD!$Q$3:$Q$5001,"&lt;&gt;")=0,"",SUMIFS(BD!$Q$3:$Q$5001,BD!$A$3:$A$5001,U$3,BD!$B$3:$B$5001,$A$267)))</f>
        <v/>
      </c>
      <c r="V281" s="271" t="str">
        <f>IF(V$3="","",IF(COUNTIFS(BD!$A$3:$A$5001,V$3,BD!$B$3:$B$5001,$A$267,BD!$Q$3:$Q$5001,"&lt;&gt;")=0,"",SUMIFS(BD!$Q$3:$Q$5001,BD!$A$3:$A$5001,V$3,BD!$B$3:$B$5001,$A$267)))</f>
        <v/>
      </c>
      <c r="W281" s="271" t="str">
        <f>IF(W$3="","",IF(COUNTIFS(BD!$A$3:$A$5001,W$3,BD!$B$3:$B$5001,$A$267,BD!$Q$3:$Q$5001,"&lt;&gt;")=0,"",SUMIFS(BD!$Q$3:$Q$5001,BD!$A$3:$A$5001,W$3,BD!$B$3:$B$5001,$A$267)))</f>
        <v/>
      </c>
      <c r="X281" s="271" t="str">
        <f>IF(X$3="","",IF(COUNTIFS(BD!$A$3:$A$5001,X$3,BD!$B$3:$B$5001,$A$267,BD!$Q$3:$Q$5001,"&lt;&gt;")=0,"",SUMIFS(BD!$Q$3:$Q$5001,BD!$A$3:$A$5001,X$3,BD!$B$3:$B$5001,$A$267)))</f>
        <v/>
      </c>
      <c r="Y281" s="271" t="str">
        <f>IF(Y$3="","",IF(COUNTIFS(BD!$A$3:$A$5001,Y$3,BD!$B$3:$B$5001,$A$267,BD!$Q$3:$Q$5001,"&lt;&gt;")=0,"",SUMIFS(BD!$Q$3:$Q$5001,BD!$A$3:$A$5001,Y$3,BD!$B$3:$B$5001,$A$267)))</f>
        <v/>
      </c>
      <c r="Z281" s="271" t="str">
        <f>IF(Z$3="","",IF(COUNTIFS(BD!$A$3:$A$5001,Z$3,BD!$B$3:$B$5001,$A$267,BD!$Q$3:$Q$5001,"&lt;&gt;")=0,"",SUMIFS(BD!$Q$3:$Q$5001,BD!$A$3:$A$5001,Z$3,BD!$B$3:$B$5001,$A$267)))</f>
        <v/>
      </c>
      <c r="AA281" s="271" t="str">
        <f>IF(AA$3="","",IF(COUNTIFS(BD!$A$3:$A$5001,AA$3,BD!$B$3:$B$5001,$A$267,BD!$Q$3:$Q$5001,"&lt;&gt;")=0,"",SUMIFS(BD!$Q$3:$Q$5001,BD!$A$3:$A$5001,AA$3,BD!$B$3:$B$5001,$A$267)))</f>
        <v/>
      </c>
      <c r="AB281" s="271" t="str">
        <f>IF(AB$3="","",IF(COUNTIFS(BD!$A$3:$A$5001,AB$3,BD!$B$3:$B$5001,$A$267,BD!$Q$3:$Q$5001,"&lt;&gt;")=0,"",SUMIFS(BD!$Q$3:$Q$5001,BD!$A$3:$A$5001,AB$3,BD!$B$3:$B$5001,$A$267)))</f>
        <v/>
      </c>
      <c r="AC281" s="271" t="str">
        <f>IF(AC$3="","",IF(COUNTIFS(BD!$A$3:$A$5001,AC$3,BD!$B$3:$B$5001,$A$267,BD!$Q$3:$Q$5001,"&lt;&gt;")=0,"",SUMIFS(BD!$Q$3:$Q$5001,BD!$A$3:$A$5001,AC$3,BD!$B$3:$B$5001,$A$267)))</f>
        <v/>
      </c>
      <c r="AD281" s="271" t="str">
        <f>IF(AD$3="","",IF(COUNTIFS(BD!$A$3:$A$5001,AD$3,BD!$B$3:$B$5001,$A$267,BD!$Q$3:$Q$5001,"&lt;&gt;")=0,"",SUMIFS(BD!$Q$3:$Q$5001,BD!$A$3:$A$5001,AD$3,BD!$B$3:$B$5001,$A$267)))</f>
        <v/>
      </c>
      <c r="AE281" s="271" t="str">
        <f>IF(AE$3="","",IF(COUNTIFS(BD!$A$3:$A$5001,AE$3,BD!$B$3:$B$5001,$A$267,BD!$Q$3:$Q$5001,"&lt;&gt;")=0,"",SUMIFS(BD!$Q$3:$Q$5001,BD!$A$3:$A$5001,AE$3,BD!$B$3:$B$5001,$A$267)))</f>
        <v/>
      </c>
      <c r="AF281" s="271" t="str">
        <f>IF(AF$3="","",IF(COUNTIFS(BD!$A$3:$A$5001,AF$3,BD!$B$3:$B$5001,$A$267,BD!$Q$3:$Q$5001,"&lt;&gt;")=0,"",SUMIFS(BD!$Q$3:$Q$5001,BD!$A$3:$A$5001,AF$3,BD!$B$3:$B$5001,$A$267)))</f>
        <v/>
      </c>
      <c r="AG281" s="271" t="str">
        <f>IF(AG$3="","",IF(COUNTIFS(BD!$A$3:$A$5001,AG$3,BD!$B$3:$B$5001,$A$267,BD!$Q$3:$Q$5001,"&lt;&gt;")=0,"",SUMIFS(BD!$Q$3:$Q$5001,BD!$A$3:$A$5001,AG$3,BD!$B$3:$B$5001,$A$267)))</f>
        <v/>
      </c>
      <c r="AH281" s="271" t="str">
        <f>IF(AH$3="","",IF(COUNTIFS(BD!$A$3:$A$5001,AH$3,BD!$B$3:$B$5001,$A$267,BD!$Q$3:$Q$5001,"&lt;&gt;")=0,"",SUMIFS(BD!$Q$3:$Q$5001,BD!$A$3:$A$5001,AH$3,BD!$B$3:$B$5001,$A$267)))</f>
        <v/>
      </c>
      <c r="AI281" s="271" t="str">
        <f>IF(AI$3="","",IF(COUNTIFS(BD!$A$3:$A$5001,AI$3,BD!$B$3:$B$5001,$A$267,BD!$Q$3:$Q$5001,"&lt;&gt;")=0,"",SUMIFS(BD!$Q$3:$Q$5001,BD!$A$3:$A$5001,AI$3,BD!$B$3:$B$5001,$A$267)))</f>
        <v/>
      </c>
      <c r="AJ281" s="272" t="str">
        <f>IF(AJ$3="","",IF(COUNTIFS(BD!$A$3:$A$5001,AJ$3,BD!$B$3:$B$5001,$A$267,BD!$Q$3:$Q$5001,"&lt;&gt;")=0,"",SUMIFS(BD!$Q$3:$Q$5001,BD!$A$3:$A$5001,AJ$3,BD!$B$3:$B$5001,$A$267)))</f>
        <v/>
      </c>
      <c r="AK281" s="273" t="str">
        <f>IF(COUNT(F281:AJ281)=0,"",SUM(F281:AJ281))</f>
        <v/>
      </c>
    </row>
    <row r="282" ht="15.75" customHeight="1" hidden="1">
      <c r="A282" s="261"/>
      <c r="B282" s="278"/>
      <c r="C282" s="267" t="inlineStr">
        <is>
          <t xml:space="preserve">Pallets Movimentados</t>
        </is>
      </c>
      <c r="D282" s="268" t="str">
        <f>IFERROR(1/(1/INDEX(BD!$AL$38:$BF$38,MATCH($A$267,BD!$AL$22:$BF$22,0))),"")</f>
        <v/>
      </c>
      <c r="E282" s="269"/>
      <c r="F282" s="270" t="str">
        <f>IF(F$3="","",IF(COUNTIFS(BD!$A$3:$A$5001,F$3,BD!$B$3:$B$5001,$A$267,BD!$R$3:$R$5001,"&lt;&gt;")=0,"",SUMIFS(BD!$R$3:$R$5001,BD!$A$3:$A$5001,F$3,BD!$B$3:$B$5001,$A$267)))</f>
        <v/>
      </c>
      <c r="G282" s="271" t="str">
        <f>IF(G$3="","",IF(COUNTIFS(BD!$A$3:$A$5001,G$3,BD!$B$3:$B$5001,$A$267,BD!$R$3:$R$5001,"&lt;&gt;")=0,"",SUMIFS(BD!$R$3:$R$5001,BD!$A$3:$A$5001,G$3,BD!$B$3:$B$5001,$A$267)))</f>
        <v/>
      </c>
      <c r="H282" s="271" t="str">
        <f>IF(H$3="","",IF(COUNTIFS(BD!$A$3:$A$5001,H$3,BD!$B$3:$B$5001,$A$267,BD!$R$3:$R$5001,"&lt;&gt;")=0,"",SUMIFS(BD!$R$3:$R$5001,BD!$A$3:$A$5001,H$3,BD!$B$3:$B$5001,$A$267)))</f>
        <v/>
      </c>
      <c r="I282" s="271" t="str">
        <f>IF(I$3="","",IF(COUNTIFS(BD!$A$3:$A$5001,I$3,BD!$B$3:$B$5001,$A$267,BD!$R$3:$R$5001,"&lt;&gt;")=0,"",SUMIFS(BD!$R$3:$R$5001,BD!$A$3:$A$5001,I$3,BD!$B$3:$B$5001,$A$267)))</f>
        <v/>
      </c>
      <c r="J282" s="271" t="str">
        <f>IF(J$3="","",IF(COUNTIFS(BD!$A$3:$A$5001,J$3,BD!$B$3:$B$5001,$A$267,BD!$R$3:$R$5001,"&lt;&gt;")=0,"",SUMIFS(BD!$R$3:$R$5001,BD!$A$3:$A$5001,J$3,BD!$B$3:$B$5001,$A$267)))</f>
        <v/>
      </c>
      <c r="K282" s="271" t="str">
        <f>IF(K$3="","",IF(COUNTIFS(BD!$A$3:$A$5001,K$3,BD!$B$3:$B$5001,$A$267,BD!$R$3:$R$5001,"&lt;&gt;")=0,"",SUMIFS(BD!$R$3:$R$5001,BD!$A$3:$A$5001,K$3,BD!$B$3:$B$5001,$A$267)))</f>
        <v/>
      </c>
      <c r="L282" s="271" t="str">
        <f>IF(L$3="","",IF(COUNTIFS(BD!$A$3:$A$5001,L$3,BD!$B$3:$B$5001,$A$267,BD!$R$3:$R$5001,"&lt;&gt;")=0,"",SUMIFS(BD!$R$3:$R$5001,BD!$A$3:$A$5001,L$3,BD!$B$3:$B$5001,$A$267)))</f>
        <v/>
      </c>
      <c r="M282" s="271" t="str">
        <f>IF(M$3="","",IF(COUNTIFS(BD!$A$3:$A$5001,M$3,BD!$B$3:$B$5001,$A$267,BD!$R$3:$R$5001,"&lt;&gt;")=0,"",SUMIFS(BD!$R$3:$R$5001,BD!$A$3:$A$5001,M$3,BD!$B$3:$B$5001,$A$267)))</f>
        <v/>
      </c>
      <c r="N282" s="271" t="str">
        <f>IF(N$3="","",IF(COUNTIFS(BD!$A$3:$A$5001,N$3,BD!$B$3:$B$5001,$A$267,BD!$R$3:$R$5001,"&lt;&gt;")=0,"",SUMIFS(BD!$R$3:$R$5001,BD!$A$3:$A$5001,N$3,BD!$B$3:$B$5001,$A$267)))</f>
        <v/>
      </c>
      <c r="O282" s="271" t="str">
        <f>IF(O$3="","",IF(COUNTIFS(BD!$A$3:$A$5001,O$3,BD!$B$3:$B$5001,$A$267,BD!$R$3:$R$5001,"&lt;&gt;")=0,"",SUMIFS(BD!$R$3:$R$5001,BD!$A$3:$A$5001,O$3,BD!$B$3:$B$5001,$A$267)))</f>
        <v/>
      </c>
      <c r="P282" s="271" t="str">
        <f>IF(P$3="","",IF(COUNTIFS(BD!$A$3:$A$5001,P$3,BD!$B$3:$B$5001,$A$267,BD!$R$3:$R$5001,"&lt;&gt;")=0,"",SUMIFS(BD!$R$3:$R$5001,BD!$A$3:$A$5001,P$3,BD!$B$3:$B$5001,$A$267)))</f>
        <v/>
      </c>
      <c r="Q282" s="271" t="str">
        <f>IF(Q$3="","",IF(COUNTIFS(BD!$A$3:$A$5001,Q$3,BD!$B$3:$B$5001,$A$267,BD!$R$3:$R$5001,"&lt;&gt;")=0,"",SUMIFS(BD!$R$3:$R$5001,BD!$A$3:$A$5001,Q$3,BD!$B$3:$B$5001,$A$267)))</f>
        <v/>
      </c>
      <c r="R282" s="271" t="str">
        <f>IF(R$3="","",IF(COUNTIFS(BD!$A$3:$A$5001,R$3,BD!$B$3:$B$5001,$A$267,BD!$R$3:$R$5001,"&lt;&gt;")=0,"",SUMIFS(BD!$R$3:$R$5001,BD!$A$3:$A$5001,R$3,BD!$B$3:$B$5001,$A$267)))</f>
        <v/>
      </c>
      <c r="S282" s="271" t="str">
        <f>IF(S$3="","",IF(COUNTIFS(BD!$A$3:$A$5001,S$3,BD!$B$3:$B$5001,$A$267,BD!$R$3:$R$5001,"&lt;&gt;")=0,"",SUMIFS(BD!$R$3:$R$5001,BD!$A$3:$A$5001,S$3,BD!$B$3:$B$5001,$A$267)))</f>
        <v/>
      </c>
      <c r="T282" s="271" t="str">
        <f>IF(T$3="","",IF(COUNTIFS(BD!$A$3:$A$5001,T$3,BD!$B$3:$B$5001,$A$267,BD!$R$3:$R$5001,"&lt;&gt;")=0,"",SUMIFS(BD!$R$3:$R$5001,BD!$A$3:$A$5001,T$3,BD!$B$3:$B$5001,$A$267)))</f>
        <v/>
      </c>
      <c r="U282" s="271" t="str">
        <f>IF(U$3="","",IF(COUNTIFS(BD!$A$3:$A$5001,U$3,BD!$B$3:$B$5001,$A$267,BD!$R$3:$R$5001,"&lt;&gt;")=0,"",SUMIFS(BD!$R$3:$R$5001,BD!$A$3:$A$5001,U$3,BD!$B$3:$B$5001,$A$267)))</f>
        <v/>
      </c>
      <c r="V282" s="271" t="str">
        <f>IF(V$3="","",IF(COUNTIFS(BD!$A$3:$A$5001,V$3,BD!$B$3:$B$5001,$A$267,BD!$R$3:$R$5001,"&lt;&gt;")=0,"",SUMIFS(BD!$R$3:$R$5001,BD!$A$3:$A$5001,V$3,BD!$B$3:$B$5001,$A$267)))</f>
        <v/>
      </c>
      <c r="W282" s="271" t="str">
        <f>IF(W$3="","",IF(COUNTIFS(BD!$A$3:$A$5001,W$3,BD!$B$3:$B$5001,$A$267,BD!$R$3:$R$5001,"&lt;&gt;")=0,"",SUMIFS(BD!$R$3:$R$5001,BD!$A$3:$A$5001,W$3,BD!$B$3:$B$5001,$A$267)))</f>
        <v/>
      </c>
      <c r="X282" s="271" t="str">
        <f>IF(X$3="","",IF(COUNTIFS(BD!$A$3:$A$5001,X$3,BD!$B$3:$B$5001,$A$267,BD!$R$3:$R$5001,"&lt;&gt;")=0,"",SUMIFS(BD!$R$3:$R$5001,BD!$A$3:$A$5001,X$3,BD!$B$3:$B$5001,$A$267)))</f>
        <v/>
      </c>
      <c r="Y282" s="271" t="str">
        <f>IF(Y$3="","",IF(COUNTIFS(BD!$A$3:$A$5001,Y$3,BD!$B$3:$B$5001,$A$267,BD!$R$3:$R$5001,"&lt;&gt;")=0,"",SUMIFS(BD!$R$3:$R$5001,BD!$A$3:$A$5001,Y$3,BD!$B$3:$B$5001,$A$267)))</f>
        <v/>
      </c>
      <c r="Z282" s="271" t="str">
        <f>IF(Z$3="","",IF(COUNTIFS(BD!$A$3:$A$5001,Z$3,BD!$B$3:$B$5001,$A$267,BD!$R$3:$R$5001,"&lt;&gt;")=0,"",SUMIFS(BD!$R$3:$R$5001,BD!$A$3:$A$5001,Z$3,BD!$B$3:$B$5001,$A$267)))</f>
        <v/>
      </c>
      <c r="AA282" s="271" t="str">
        <f>IF(AA$3="","",IF(COUNTIFS(BD!$A$3:$A$5001,AA$3,BD!$B$3:$B$5001,$A$267,BD!$R$3:$R$5001,"&lt;&gt;")=0,"",SUMIFS(BD!$R$3:$R$5001,BD!$A$3:$A$5001,AA$3,BD!$B$3:$B$5001,$A$267)))</f>
        <v/>
      </c>
      <c r="AB282" s="271" t="str">
        <f>IF(AB$3="","",IF(COUNTIFS(BD!$A$3:$A$5001,AB$3,BD!$B$3:$B$5001,$A$267,BD!$R$3:$R$5001,"&lt;&gt;")=0,"",SUMIFS(BD!$R$3:$R$5001,BD!$A$3:$A$5001,AB$3,BD!$B$3:$B$5001,$A$267)))</f>
        <v/>
      </c>
      <c r="AC282" s="271" t="str">
        <f>IF(AC$3="","",IF(COUNTIFS(BD!$A$3:$A$5001,AC$3,BD!$B$3:$B$5001,$A$267,BD!$R$3:$R$5001,"&lt;&gt;")=0,"",SUMIFS(BD!$R$3:$R$5001,BD!$A$3:$A$5001,AC$3,BD!$B$3:$B$5001,$A$267)))</f>
        <v/>
      </c>
      <c r="AD282" s="271" t="str">
        <f>IF(AD$3="","",IF(COUNTIFS(BD!$A$3:$A$5001,AD$3,BD!$B$3:$B$5001,$A$267,BD!$R$3:$R$5001,"&lt;&gt;")=0,"",SUMIFS(BD!$R$3:$R$5001,BD!$A$3:$A$5001,AD$3,BD!$B$3:$B$5001,$A$267)))</f>
        <v/>
      </c>
      <c r="AE282" s="271" t="str">
        <f>IF(AE$3="","",IF(COUNTIFS(BD!$A$3:$A$5001,AE$3,BD!$B$3:$B$5001,$A$267,BD!$R$3:$R$5001,"&lt;&gt;")=0,"",SUMIFS(BD!$R$3:$R$5001,BD!$A$3:$A$5001,AE$3,BD!$B$3:$B$5001,$A$267)))</f>
        <v/>
      </c>
      <c r="AF282" s="271" t="str">
        <f>IF(AF$3="","",IF(COUNTIFS(BD!$A$3:$A$5001,AF$3,BD!$B$3:$B$5001,$A$267,BD!$R$3:$R$5001,"&lt;&gt;")=0,"",SUMIFS(BD!$R$3:$R$5001,BD!$A$3:$A$5001,AF$3,BD!$B$3:$B$5001,$A$267)))</f>
        <v/>
      </c>
      <c r="AG282" s="271" t="str">
        <f>IF(AG$3="","",IF(COUNTIFS(BD!$A$3:$A$5001,AG$3,BD!$B$3:$B$5001,$A$267,BD!$R$3:$R$5001,"&lt;&gt;")=0,"",SUMIFS(BD!$R$3:$R$5001,BD!$A$3:$A$5001,AG$3,BD!$B$3:$B$5001,$A$267)))</f>
        <v/>
      </c>
      <c r="AH282" s="271" t="str">
        <f>IF(AH$3="","",IF(COUNTIFS(BD!$A$3:$A$5001,AH$3,BD!$B$3:$B$5001,$A$267,BD!$R$3:$R$5001,"&lt;&gt;")=0,"",SUMIFS(BD!$R$3:$R$5001,BD!$A$3:$A$5001,AH$3,BD!$B$3:$B$5001,$A$267)))</f>
        <v/>
      </c>
      <c r="AI282" s="271" t="str">
        <f>IF(AI$3="","",IF(COUNTIFS(BD!$A$3:$A$5001,AI$3,BD!$B$3:$B$5001,$A$267,BD!$R$3:$R$5001,"&lt;&gt;")=0,"",SUMIFS(BD!$R$3:$R$5001,BD!$A$3:$A$5001,AI$3,BD!$B$3:$B$5001,$A$267)))</f>
        <v/>
      </c>
      <c r="AJ282" s="272" t="str">
        <f>IF(AJ$3="","",IF(COUNTIFS(BD!$A$3:$A$5001,AJ$3,BD!$B$3:$B$5001,$A$267,BD!$R$3:$R$5001,"&lt;&gt;")=0,"",SUMIFS(BD!$R$3:$R$5001,BD!$A$3:$A$5001,AJ$3,BD!$B$3:$B$5001,$A$267)))</f>
        <v/>
      </c>
      <c r="AK282" s="273" t="str">
        <f>IF(COUNT(F282:AJ282)=0,"",SUM(F282:AJ282))</f>
        <v/>
      </c>
    </row>
    <row r="283" ht="15.75" customHeight="1" hidden="1">
      <c r="A283" s="261"/>
      <c r="B283" s="252"/>
      <c r="C283" s="188" t="inlineStr">
        <is>
          <t xml:space="preserve">Toneladas Movimentadas</t>
        </is>
      </c>
      <c r="D283" s="189" t="str">
        <f>IFERROR(1/(1/INDEX(BD!$AL$39:$BF$39,MATCH($A$267,BD!$AL$22:$BF$22,0))),"")</f>
        <v/>
      </c>
      <c r="E283" s="190"/>
      <c r="F283" s="274" t="str">
        <f>IF(F$3="","",IF(COUNTIFS(BD!$A$3:$A$5001,F$3,BD!$B$3:$B$5001,$A$267,BD!$S$3:$S$5001,"&lt;&gt;")=0,"",SUMIFS(BD!$S$3:$S$5001,BD!$A$3:$A$5001,F$3,BD!$B$3:$B$5001,$A$267)))</f>
        <v/>
      </c>
      <c r="G283" s="275" t="str">
        <f>IF(G$3="","",IF(COUNTIFS(BD!$A$3:$A$5001,G$3,BD!$B$3:$B$5001,$A$267,BD!$S$3:$S$5001,"&lt;&gt;")=0,"",SUMIFS(BD!$S$3:$S$5001,BD!$A$3:$A$5001,G$3,BD!$B$3:$B$5001,$A$267)))</f>
        <v/>
      </c>
      <c r="H283" s="275" t="str">
        <f>IF(H$3="","",IF(COUNTIFS(BD!$A$3:$A$5001,H$3,BD!$B$3:$B$5001,$A$267,BD!$S$3:$S$5001,"&lt;&gt;")=0,"",SUMIFS(BD!$S$3:$S$5001,BD!$A$3:$A$5001,H$3,BD!$B$3:$B$5001,$A$267)))</f>
        <v/>
      </c>
      <c r="I283" s="275" t="str">
        <f>IF(I$3="","",IF(COUNTIFS(BD!$A$3:$A$5001,I$3,BD!$B$3:$B$5001,$A$267,BD!$S$3:$S$5001,"&lt;&gt;")=0,"",SUMIFS(BD!$S$3:$S$5001,BD!$A$3:$A$5001,I$3,BD!$B$3:$B$5001,$A$267)))</f>
        <v/>
      </c>
      <c r="J283" s="275" t="str">
        <f>IF(J$3="","",IF(COUNTIFS(BD!$A$3:$A$5001,J$3,BD!$B$3:$B$5001,$A$267,BD!$S$3:$S$5001,"&lt;&gt;")=0,"",SUMIFS(BD!$S$3:$S$5001,BD!$A$3:$A$5001,J$3,BD!$B$3:$B$5001,$A$267)))</f>
        <v/>
      </c>
      <c r="K283" s="275" t="str">
        <f>IF(K$3="","",IF(COUNTIFS(BD!$A$3:$A$5001,K$3,BD!$B$3:$B$5001,$A$267,BD!$S$3:$S$5001,"&lt;&gt;")=0,"",SUMIFS(BD!$S$3:$S$5001,BD!$A$3:$A$5001,K$3,BD!$B$3:$B$5001,$A$267)))</f>
        <v/>
      </c>
      <c r="L283" s="275" t="str">
        <f>IF(L$3="","",IF(COUNTIFS(BD!$A$3:$A$5001,L$3,BD!$B$3:$B$5001,$A$267,BD!$S$3:$S$5001,"&lt;&gt;")=0,"",SUMIFS(BD!$S$3:$S$5001,BD!$A$3:$A$5001,L$3,BD!$B$3:$B$5001,$A$267)))</f>
        <v/>
      </c>
      <c r="M283" s="275" t="str">
        <f>IF(M$3="","",IF(COUNTIFS(BD!$A$3:$A$5001,M$3,BD!$B$3:$B$5001,$A$267,BD!$S$3:$S$5001,"&lt;&gt;")=0,"",SUMIFS(BD!$S$3:$S$5001,BD!$A$3:$A$5001,M$3,BD!$B$3:$B$5001,$A$267)))</f>
        <v/>
      </c>
      <c r="N283" s="275" t="str">
        <f>IF(N$3="","",IF(COUNTIFS(BD!$A$3:$A$5001,N$3,BD!$B$3:$B$5001,$A$267,BD!$S$3:$S$5001,"&lt;&gt;")=0,"",SUMIFS(BD!$S$3:$S$5001,BD!$A$3:$A$5001,N$3,BD!$B$3:$B$5001,$A$267)))</f>
        <v/>
      </c>
      <c r="O283" s="275" t="str">
        <f>IF(O$3="","",IF(COUNTIFS(BD!$A$3:$A$5001,O$3,BD!$B$3:$B$5001,$A$267,BD!$S$3:$S$5001,"&lt;&gt;")=0,"",SUMIFS(BD!$S$3:$S$5001,BD!$A$3:$A$5001,O$3,BD!$B$3:$B$5001,$A$267)))</f>
        <v/>
      </c>
      <c r="P283" s="275" t="str">
        <f>IF(P$3="","",IF(COUNTIFS(BD!$A$3:$A$5001,P$3,BD!$B$3:$B$5001,$A$267,BD!$S$3:$S$5001,"&lt;&gt;")=0,"",SUMIFS(BD!$S$3:$S$5001,BD!$A$3:$A$5001,P$3,BD!$B$3:$B$5001,$A$267)))</f>
        <v/>
      </c>
      <c r="Q283" s="275" t="str">
        <f>IF(Q$3="","",IF(COUNTIFS(BD!$A$3:$A$5001,Q$3,BD!$B$3:$B$5001,$A$267,BD!$S$3:$S$5001,"&lt;&gt;")=0,"",SUMIFS(BD!$S$3:$S$5001,BD!$A$3:$A$5001,Q$3,BD!$B$3:$B$5001,$A$267)))</f>
        <v/>
      </c>
      <c r="R283" s="275" t="str">
        <f>IF(R$3="","",IF(COUNTIFS(BD!$A$3:$A$5001,R$3,BD!$B$3:$B$5001,$A$267,BD!$S$3:$S$5001,"&lt;&gt;")=0,"",SUMIFS(BD!$S$3:$S$5001,BD!$A$3:$A$5001,R$3,BD!$B$3:$B$5001,$A$267)))</f>
        <v/>
      </c>
      <c r="S283" s="275" t="str">
        <f>IF(S$3="","",IF(COUNTIFS(BD!$A$3:$A$5001,S$3,BD!$B$3:$B$5001,$A$267,BD!$S$3:$S$5001,"&lt;&gt;")=0,"",SUMIFS(BD!$S$3:$S$5001,BD!$A$3:$A$5001,S$3,BD!$B$3:$B$5001,$A$267)))</f>
        <v/>
      </c>
      <c r="T283" s="275" t="str">
        <f>IF(T$3="","",IF(COUNTIFS(BD!$A$3:$A$5001,T$3,BD!$B$3:$B$5001,$A$267,BD!$S$3:$S$5001,"&lt;&gt;")=0,"",SUMIFS(BD!$S$3:$S$5001,BD!$A$3:$A$5001,T$3,BD!$B$3:$B$5001,$A$267)))</f>
        <v/>
      </c>
      <c r="U283" s="275" t="str">
        <f>IF(U$3="","",IF(COUNTIFS(BD!$A$3:$A$5001,U$3,BD!$B$3:$B$5001,$A$267,BD!$S$3:$S$5001,"&lt;&gt;")=0,"",SUMIFS(BD!$S$3:$S$5001,BD!$A$3:$A$5001,U$3,BD!$B$3:$B$5001,$A$267)))</f>
        <v/>
      </c>
      <c r="V283" s="275" t="str">
        <f>IF(V$3="","",IF(COUNTIFS(BD!$A$3:$A$5001,V$3,BD!$B$3:$B$5001,$A$267,BD!$S$3:$S$5001,"&lt;&gt;")=0,"",SUMIFS(BD!$S$3:$S$5001,BD!$A$3:$A$5001,V$3,BD!$B$3:$B$5001,$A$267)))</f>
        <v/>
      </c>
      <c r="W283" s="275" t="str">
        <f>IF(W$3="","",IF(COUNTIFS(BD!$A$3:$A$5001,W$3,BD!$B$3:$B$5001,$A$267,BD!$S$3:$S$5001,"&lt;&gt;")=0,"",SUMIFS(BD!$S$3:$S$5001,BD!$A$3:$A$5001,W$3,BD!$B$3:$B$5001,$A$267)))</f>
        <v/>
      </c>
      <c r="X283" s="275" t="str">
        <f>IF(X$3="","",IF(COUNTIFS(BD!$A$3:$A$5001,X$3,BD!$B$3:$B$5001,$A$267,BD!$S$3:$S$5001,"&lt;&gt;")=0,"",SUMIFS(BD!$S$3:$S$5001,BD!$A$3:$A$5001,X$3,BD!$B$3:$B$5001,$A$267)))</f>
        <v/>
      </c>
      <c r="Y283" s="275" t="str">
        <f>IF(Y$3="","",IF(COUNTIFS(BD!$A$3:$A$5001,Y$3,BD!$B$3:$B$5001,$A$267,BD!$S$3:$S$5001,"&lt;&gt;")=0,"",SUMIFS(BD!$S$3:$S$5001,BD!$A$3:$A$5001,Y$3,BD!$B$3:$B$5001,$A$267)))</f>
        <v/>
      </c>
      <c r="Z283" s="275" t="str">
        <f>IF(Z$3="","",IF(COUNTIFS(BD!$A$3:$A$5001,Z$3,BD!$B$3:$B$5001,$A$267,BD!$S$3:$S$5001,"&lt;&gt;")=0,"",SUMIFS(BD!$S$3:$S$5001,BD!$A$3:$A$5001,Z$3,BD!$B$3:$B$5001,$A$267)))</f>
        <v/>
      </c>
      <c r="AA283" s="275" t="str">
        <f>IF(AA$3="","",IF(COUNTIFS(BD!$A$3:$A$5001,AA$3,BD!$B$3:$B$5001,$A$267,BD!$S$3:$S$5001,"&lt;&gt;")=0,"",SUMIFS(BD!$S$3:$S$5001,BD!$A$3:$A$5001,AA$3,BD!$B$3:$B$5001,$A$267)))</f>
        <v/>
      </c>
      <c r="AB283" s="275" t="str">
        <f>IF(AB$3="","",IF(COUNTIFS(BD!$A$3:$A$5001,AB$3,BD!$B$3:$B$5001,$A$267,BD!$S$3:$S$5001,"&lt;&gt;")=0,"",SUMIFS(BD!$S$3:$S$5001,BD!$A$3:$A$5001,AB$3,BD!$B$3:$B$5001,$A$267)))</f>
        <v/>
      </c>
      <c r="AC283" s="275" t="str">
        <f>IF(AC$3="","",IF(COUNTIFS(BD!$A$3:$A$5001,AC$3,BD!$B$3:$B$5001,$A$267,BD!$S$3:$S$5001,"&lt;&gt;")=0,"",SUMIFS(BD!$S$3:$S$5001,BD!$A$3:$A$5001,AC$3,BD!$B$3:$B$5001,$A$267)))</f>
        <v/>
      </c>
      <c r="AD283" s="275" t="str">
        <f>IF(AD$3="","",IF(COUNTIFS(BD!$A$3:$A$5001,AD$3,BD!$B$3:$B$5001,$A$267,BD!$S$3:$S$5001,"&lt;&gt;")=0,"",SUMIFS(BD!$S$3:$S$5001,BD!$A$3:$A$5001,AD$3,BD!$B$3:$B$5001,$A$267)))</f>
        <v/>
      </c>
      <c r="AE283" s="275" t="str">
        <f>IF(AE$3="","",IF(COUNTIFS(BD!$A$3:$A$5001,AE$3,BD!$B$3:$B$5001,$A$267,BD!$S$3:$S$5001,"&lt;&gt;")=0,"",SUMIFS(BD!$S$3:$S$5001,BD!$A$3:$A$5001,AE$3,BD!$B$3:$B$5001,$A$267)))</f>
        <v/>
      </c>
      <c r="AF283" s="275" t="str">
        <f>IF(AF$3="","",IF(COUNTIFS(BD!$A$3:$A$5001,AF$3,BD!$B$3:$B$5001,$A$267,BD!$S$3:$S$5001,"&lt;&gt;")=0,"",SUMIFS(BD!$S$3:$S$5001,BD!$A$3:$A$5001,AF$3,BD!$B$3:$B$5001,$A$267)))</f>
        <v/>
      </c>
      <c r="AG283" s="275" t="str">
        <f>IF(AG$3="","",IF(COUNTIFS(BD!$A$3:$A$5001,AG$3,BD!$B$3:$B$5001,$A$267,BD!$S$3:$S$5001,"&lt;&gt;")=0,"",SUMIFS(BD!$S$3:$S$5001,BD!$A$3:$A$5001,AG$3,BD!$B$3:$B$5001,$A$267)))</f>
        <v/>
      </c>
      <c r="AH283" s="275" t="str">
        <f>IF(AH$3="","",IF(COUNTIFS(BD!$A$3:$A$5001,AH$3,BD!$B$3:$B$5001,$A$267,BD!$S$3:$S$5001,"&lt;&gt;")=0,"",SUMIFS(BD!$S$3:$S$5001,BD!$A$3:$A$5001,AH$3,BD!$B$3:$B$5001,$A$267)))</f>
        <v/>
      </c>
      <c r="AI283" s="275" t="str">
        <f>IF(AI$3="","",IF(COUNTIFS(BD!$A$3:$A$5001,AI$3,BD!$B$3:$B$5001,$A$267,BD!$S$3:$S$5001,"&lt;&gt;")=0,"",SUMIFS(BD!$S$3:$S$5001,BD!$A$3:$A$5001,AI$3,BD!$B$3:$B$5001,$A$267)))</f>
        <v/>
      </c>
      <c r="AJ283" s="276" t="str">
        <f>IF(AJ$3="","",IF(COUNTIFS(BD!$A$3:$A$5001,AJ$3,BD!$B$3:$B$5001,$A$267,BD!$S$3:$S$5001,"&lt;&gt;")=0,"",SUMIFS(BD!$S$3:$S$5001,BD!$A$3:$A$5001,AJ$3,BD!$B$3:$B$5001,$A$267)))</f>
        <v/>
      </c>
      <c r="AK283" s="277" t="str">
        <f>IF(COUNT(F283:AJ283)=0,"",SUM(F283:AJ283))</f>
        <v/>
      </c>
    </row>
    <row r="284" ht="15.75" customHeight="1" hidden="1">
      <c r="A284" s="261"/>
      <c r="B284" s="253" t="inlineStr">
        <is>
          <t xml:space="preserve">NC</t>
        </is>
      </c>
      <c r="C284" s="194" t="inlineStr">
        <is>
          <t xml:space="preserve">Incidentes</t>
        </is>
      </c>
      <c r="D284" s="195" t="str">
        <f>IFERROR(1/(1/INDEX(BD!$AL$40:$BF$40,MATCH($A$267,BD!$AL$22:$BF$22,0))),"")</f>
        <v/>
      </c>
      <c r="E284" s="196"/>
      <c r="F284" s="197" t="str">
        <f>IF(F$3="","",IF(COUNTIFS(BD!$A$3:$A$5001,F$3,BD!$B$3:$B$5001,$A$267,BD!$T$3:$T$5001,"&lt;&gt;")=0,"",SUMIFS(BD!$T$3:$T$5001,BD!$A$3:$A$5001,F$3,BD!$B$3:$B$5001,$A$267)))</f>
        <v/>
      </c>
      <c r="G284" s="198" t="str">
        <f>IF(G$3="","",IF(COUNTIFS(BD!$A$3:$A$5001,G$3,BD!$B$3:$B$5001,$A$267,BD!$T$3:$T$5001,"&lt;&gt;")=0,"",SUMIFS(BD!$T$3:$T$5001,BD!$A$3:$A$5001,G$3,BD!$B$3:$B$5001,$A$267)))</f>
        <v/>
      </c>
      <c r="H284" s="198" t="str">
        <f>IF(H$3="","",IF(COUNTIFS(BD!$A$3:$A$5001,H$3,BD!$B$3:$B$5001,$A$267,BD!$T$3:$T$5001,"&lt;&gt;")=0,"",SUMIFS(BD!$T$3:$T$5001,BD!$A$3:$A$5001,H$3,BD!$B$3:$B$5001,$A$267)))</f>
        <v/>
      </c>
      <c r="I284" s="198" t="str">
        <f>IF(I$3="","",IF(COUNTIFS(BD!$A$3:$A$5001,I$3,BD!$B$3:$B$5001,$A$267,BD!$T$3:$T$5001,"&lt;&gt;")=0,"",SUMIFS(BD!$T$3:$T$5001,BD!$A$3:$A$5001,I$3,BD!$B$3:$B$5001,$A$267)))</f>
        <v/>
      </c>
      <c r="J284" s="198" t="str">
        <f>IF(J$3="","",IF(COUNTIFS(BD!$A$3:$A$5001,J$3,BD!$B$3:$B$5001,$A$267,BD!$T$3:$T$5001,"&lt;&gt;")=0,"",SUMIFS(BD!$T$3:$T$5001,BD!$A$3:$A$5001,J$3,BD!$B$3:$B$5001,$A$267)))</f>
        <v/>
      </c>
      <c r="K284" s="198" t="str">
        <f>IF(K$3="","",IF(COUNTIFS(BD!$A$3:$A$5001,K$3,BD!$B$3:$B$5001,$A$267,BD!$T$3:$T$5001,"&lt;&gt;")=0,"",SUMIFS(BD!$T$3:$T$5001,BD!$A$3:$A$5001,K$3,BD!$B$3:$B$5001,$A$267)))</f>
        <v/>
      </c>
      <c r="L284" s="198" t="str">
        <f>IF(L$3="","",IF(COUNTIFS(BD!$A$3:$A$5001,L$3,BD!$B$3:$B$5001,$A$267,BD!$T$3:$T$5001,"&lt;&gt;")=0,"",SUMIFS(BD!$T$3:$T$5001,BD!$A$3:$A$5001,L$3,BD!$B$3:$B$5001,$A$267)))</f>
        <v/>
      </c>
      <c r="M284" s="198" t="str">
        <f>IF(M$3="","",IF(COUNTIFS(BD!$A$3:$A$5001,M$3,BD!$B$3:$B$5001,$A$267,BD!$T$3:$T$5001,"&lt;&gt;")=0,"",SUMIFS(BD!$T$3:$T$5001,BD!$A$3:$A$5001,M$3,BD!$B$3:$B$5001,$A$267)))</f>
        <v/>
      </c>
      <c r="N284" s="198" t="str">
        <f>IF(N$3="","",IF(COUNTIFS(BD!$A$3:$A$5001,N$3,BD!$B$3:$B$5001,$A$267,BD!$T$3:$T$5001,"&lt;&gt;")=0,"",SUMIFS(BD!$T$3:$T$5001,BD!$A$3:$A$5001,N$3,BD!$B$3:$B$5001,$A$267)))</f>
        <v/>
      </c>
      <c r="O284" s="198" t="str">
        <f>IF(O$3="","",IF(COUNTIFS(BD!$A$3:$A$5001,O$3,BD!$B$3:$B$5001,$A$267,BD!$T$3:$T$5001,"&lt;&gt;")=0,"",SUMIFS(BD!$T$3:$T$5001,BD!$A$3:$A$5001,O$3,BD!$B$3:$B$5001,$A$267)))</f>
        <v/>
      </c>
      <c r="P284" s="198" t="str">
        <f>IF(P$3="","",IF(COUNTIFS(BD!$A$3:$A$5001,P$3,BD!$B$3:$B$5001,$A$267,BD!$T$3:$T$5001,"&lt;&gt;")=0,"",SUMIFS(BD!$T$3:$T$5001,BD!$A$3:$A$5001,P$3,BD!$B$3:$B$5001,$A$267)))</f>
        <v/>
      </c>
      <c r="Q284" s="198" t="str">
        <f>IF(Q$3="","",IF(COUNTIFS(BD!$A$3:$A$5001,Q$3,BD!$B$3:$B$5001,$A$267,BD!$T$3:$T$5001,"&lt;&gt;")=0,"",SUMIFS(BD!$T$3:$T$5001,BD!$A$3:$A$5001,Q$3,BD!$B$3:$B$5001,$A$267)))</f>
        <v/>
      </c>
      <c r="R284" s="198" t="str">
        <f>IF(R$3="","",IF(COUNTIFS(BD!$A$3:$A$5001,R$3,BD!$B$3:$B$5001,$A$267,BD!$T$3:$T$5001,"&lt;&gt;")=0,"",SUMIFS(BD!$T$3:$T$5001,BD!$A$3:$A$5001,R$3,BD!$B$3:$B$5001,$A$267)))</f>
        <v/>
      </c>
      <c r="S284" s="198" t="str">
        <f>IF(S$3="","",IF(COUNTIFS(BD!$A$3:$A$5001,S$3,BD!$B$3:$B$5001,$A$267,BD!$T$3:$T$5001,"&lt;&gt;")=0,"",SUMIFS(BD!$T$3:$T$5001,BD!$A$3:$A$5001,S$3,BD!$B$3:$B$5001,$A$267)))</f>
        <v/>
      </c>
      <c r="T284" s="198" t="str">
        <f>IF(T$3="","",IF(COUNTIFS(BD!$A$3:$A$5001,T$3,BD!$B$3:$B$5001,$A$267,BD!$T$3:$T$5001,"&lt;&gt;")=0,"",SUMIFS(BD!$T$3:$T$5001,BD!$A$3:$A$5001,T$3,BD!$B$3:$B$5001,$A$267)))</f>
        <v/>
      </c>
      <c r="U284" s="198" t="str">
        <f>IF(U$3="","",IF(COUNTIFS(BD!$A$3:$A$5001,U$3,BD!$B$3:$B$5001,$A$267,BD!$T$3:$T$5001,"&lt;&gt;")=0,"",SUMIFS(BD!$T$3:$T$5001,BD!$A$3:$A$5001,U$3,BD!$B$3:$B$5001,$A$267)))</f>
        <v/>
      </c>
      <c r="V284" s="198" t="str">
        <f>IF(V$3="","",IF(COUNTIFS(BD!$A$3:$A$5001,V$3,BD!$B$3:$B$5001,$A$267,BD!$T$3:$T$5001,"&lt;&gt;")=0,"",SUMIFS(BD!$T$3:$T$5001,BD!$A$3:$A$5001,V$3,BD!$B$3:$B$5001,$A$267)))</f>
        <v/>
      </c>
      <c r="W284" s="198" t="str">
        <f>IF(W$3="","",IF(COUNTIFS(BD!$A$3:$A$5001,W$3,BD!$B$3:$B$5001,$A$267,BD!$T$3:$T$5001,"&lt;&gt;")=0,"",SUMIFS(BD!$T$3:$T$5001,BD!$A$3:$A$5001,W$3,BD!$B$3:$B$5001,$A$267)))</f>
        <v/>
      </c>
      <c r="X284" s="198" t="str">
        <f>IF(X$3="","",IF(COUNTIFS(BD!$A$3:$A$5001,X$3,BD!$B$3:$B$5001,$A$267,BD!$T$3:$T$5001,"&lt;&gt;")=0,"",SUMIFS(BD!$T$3:$T$5001,BD!$A$3:$A$5001,X$3,BD!$B$3:$B$5001,$A$267)))</f>
        <v/>
      </c>
      <c r="Y284" s="198" t="str">
        <f>IF(Y$3="","",IF(COUNTIFS(BD!$A$3:$A$5001,Y$3,BD!$B$3:$B$5001,$A$267,BD!$T$3:$T$5001,"&lt;&gt;")=0,"",SUMIFS(BD!$T$3:$T$5001,BD!$A$3:$A$5001,Y$3,BD!$B$3:$B$5001,$A$267)))</f>
        <v/>
      </c>
      <c r="Z284" s="198" t="str">
        <f>IF(Z$3="","",IF(COUNTIFS(BD!$A$3:$A$5001,Z$3,BD!$B$3:$B$5001,$A$267,BD!$T$3:$T$5001,"&lt;&gt;")=0,"",SUMIFS(BD!$T$3:$T$5001,BD!$A$3:$A$5001,Z$3,BD!$B$3:$B$5001,$A$267)))</f>
        <v/>
      </c>
      <c r="AA284" s="198" t="str">
        <f>IF(AA$3="","",IF(COUNTIFS(BD!$A$3:$A$5001,AA$3,BD!$B$3:$B$5001,$A$267,BD!$T$3:$T$5001,"&lt;&gt;")=0,"",SUMIFS(BD!$T$3:$T$5001,BD!$A$3:$A$5001,AA$3,BD!$B$3:$B$5001,$A$267)))</f>
        <v/>
      </c>
      <c r="AB284" s="198" t="str">
        <f>IF(AB$3="","",IF(COUNTIFS(BD!$A$3:$A$5001,AB$3,BD!$B$3:$B$5001,$A$267,BD!$T$3:$T$5001,"&lt;&gt;")=0,"",SUMIFS(BD!$T$3:$T$5001,BD!$A$3:$A$5001,AB$3,BD!$B$3:$B$5001,$A$267)))</f>
        <v/>
      </c>
      <c r="AC284" s="198" t="str">
        <f>IF(AC$3="","",IF(COUNTIFS(BD!$A$3:$A$5001,AC$3,BD!$B$3:$B$5001,$A$267,BD!$T$3:$T$5001,"&lt;&gt;")=0,"",SUMIFS(BD!$T$3:$T$5001,BD!$A$3:$A$5001,AC$3,BD!$B$3:$B$5001,$A$267)))</f>
        <v/>
      </c>
      <c r="AD284" s="198" t="str">
        <f>IF(AD$3="","",IF(COUNTIFS(BD!$A$3:$A$5001,AD$3,BD!$B$3:$B$5001,$A$267,BD!$T$3:$T$5001,"&lt;&gt;")=0,"",SUMIFS(BD!$T$3:$T$5001,BD!$A$3:$A$5001,AD$3,BD!$B$3:$B$5001,$A$267)))</f>
        <v/>
      </c>
      <c r="AE284" s="198" t="str">
        <f>IF(AE$3="","",IF(COUNTIFS(BD!$A$3:$A$5001,AE$3,BD!$B$3:$B$5001,$A$267,BD!$T$3:$T$5001,"&lt;&gt;")=0,"",SUMIFS(BD!$T$3:$T$5001,BD!$A$3:$A$5001,AE$3,BD!$B$3:$B$5001,$A$267)))</f>
        <v/>
      </c>
      <c r="AF284" s="198" t="str">
        <f>IF(AF$3="","",IF(COUNTIFS(BD!$A$3:$A$5001,AF$3,BD!$B$3:$B$5001,$A$267,BD!$T$3:$T$5001,"&lt;&gt;")=0,"",SUMIFS(BD!$T$3:$T$5001,BD!$A$3:$A$5001,AF$3,BD!$B$3:$B$5001,$A$267)))</f>
        <v/>
      </c>
      <c r="AG284" s="198" t="str">
        <f>IF(AG$3="","",IF(COUNTIFS(BD!$A$3:$A$5001,AG$3,BD!$B$3:$B$5001,$A$267,BD!$T$3:$T$5001,"&lt;&gt;")=0,"",SUMIFS(BD!$T$3:$T$5001,BD!$A$3:$A$5001,AG$3,BD!$B$3:$B$5001,$A$267)))</f>
        <v/>
      </c>
      <c r="AH284" s="198" t="str">
        <f>IF(AH$3="","",IF(COUNTIFS(BD!$A$3:$A$5001,AH$3,BD!$B$3:$B$5001,$A$267,BD!$T$3:$T$5001,"&lt;&gt;")=0,"",SUMIFS(BD!$T$3:$T$5001,BD!$A$3:$A$5001,AH$3,BD!$B$3:$B$5001,$A$267)))</f>
        <v/>
      </c>
      <c r="AI284" s="198" t="str">
        <f>IF(AI$3="","",IF(COUNTIFS(BD!$A$3:$A$5001,AI$3,BD!$B$3:$B$5001,$A$267,BD!$T$3:$T$5001,"&lt;&gt;")=0,"",SUMIFS(BD!$T$3:$T$5001,BD!$A$3:$A$5001,AI$3,BD!$B$3:$B$5001,$A$267)))</f>
        <v/>
      </c>
      <c r="AJ284" s="199" t="str">
        <f>IF(AJ$3="","",IF(COUNTIFS(BD!$A$3:$A$5001,AJ$3,BD!$B$3:$B$5001,$A$267,BD!$T$3:$T$5001,"&lt;&gt;")=0,"",SUMIFS(BD!$T$3:$T$5001,BD!$A$3:$A$5001,AJ$3,BD!$B$3:$B$5001,$A$267)))</f>
        <v/>
      </c>
      <c r="AK284" s="200" t="str">
        <f>IF(COUNT(F284:AJ284)=0,"",SUM(F284:AJ284))</f>
        <v/>
      </c>
    </row>
    <row r="285" ht="15.75" customHeight="1" hidden="1">
      <c r="A285" s="261"/>
      <c r="B285" s="254"/>
      <c r="C285" s="201" t="inlineStr">
        <is>
          <t xml:space="preserve">No show</t>
        </is>
      </c>
      <c r="D285" s="202" t="str">
        <f>IFERROR(1/(1/INDEX(BD!$AL$41:$BF$41,MATCH($A$267,BD!$AL$22:$BF$22,0))),"")</f>
        <v/>
      </c>
      <c r="E285" s="203"/>
      <c r="F285" s="204" t="str">
        <f>IF(F$3="","",IF(COUNTIFS(BD!$A$3:$A$5001,F$3,BD!$B$3:$B$5001,$A$267,BD!$U$3:$U$5001,"&lt;&gt;")=0,"",SUMIFS(BD!$U$3:$U$5001,BD!$A$3:$A$5001,F$3,BD!$B$3:$B$5001,$A$267)))</f>
        <v/>
      </c>
      <c r="G285" s="205" t="str">
        <f>IF(G$3="","",IF(COUNTIFS(BD!$A$3:$A$5001,G$3,BD!$B$3:$B$5001,$A$267,BD!$U$3:$U$5001,"&lt;&gt;")=0,"",SUMIFS(BD!$U$3:$U$5001,BD!$A$3:$A$5001,G$3,BD!$B$3:$B$5001,$A$267)))</f>
        <v/>
      </c>
      <c r="H285" s="205" t="str">
        <f>IF(H$3="","",IF(COUNTIFS(BD!$A$3:$A$5001,H$3,BD!$B$3:$B$5001,$A$267,BD!$U$3:$U$5001,"&lt;&gt;")=0,"",SUMIFS(BD!$U$3:$U$5001,BD!$A$3:$A$5001,H$3,BD!$B$3:$B$5001,$A$267)))</f>
        <v/>
      </c>
      <c r="I285" s="205" t="str">
        <f>IF(I$3="","",IF(COUNTIFS(BD!$A$3:$A$5001,I$3,BD!$B$3:$B$5001,$A$267,BD!$U$3:$U$5001,"&lt;&gt;")=0,"",SUMIFS(BD!$U$3:$U$5001,BD!$A$3:$A$5001,I$3,BD!$B$3:$B$5001,$A$267)))</f>
        <v/>
      </c>
      <c r="J285" s="205" t="str">
        <f>IF(J$3="","",IF(COUNTIFS(BD!$A$3:$A$5001,J$3,BD!$B$3:$B$5001,$A$267,BD!$U$3:$U$5001,"&lt;&gt;")=0,"",SUMIFS(BD!$U$3:$U$5001,BD!$A$3:$A$5001,J$3,BD!$B$3:$B$5001,$A$267)))</f>
        <v/>
      </c>
      <c r="K285" s="205" t="str">
        <f>IF(K$3="","",IF(COUNTIFS(BD!$A$3:$A$5001,K$3,BD!$B$3:$B$5001,$A$267,BD!$U$3:$U$5001,"&lt;&gt;")=0,"",SUMIFS(BD!$U$3:$U$5001,BD!$A$3:$A$5001,K$3,BD!$B$3:$B$5001,$A$267)))</f>
        <v/>
      </c>
      <c r="L285" s="205" t="str">
        <f>IF(L$3="","",IF(COUNTIFS(BD!$A$3:$A$5001,L$3,BD!$B$3:$B$5001,$A$267,BD!$U$3:$U$5001,"&lt;&gt;")=0,"",SUMIFS(BD!$U$3:$U$5001,BD!$A$3:$A$5001,L$3,BD!$B$3:$B$5001,$A$267)))</f>
        <v/>
      </c>
      <c r="M285" s="205" t="str">
        <f>IF(M$3="","",IF(COUNTIFS(BD!$A$3:$A$5001,M$3,BD!$B$3:$B$5001,$A$267,BD!$U$3:$U$5001,"&lt;&gt;")=0,"",SUMIFS(BD!$U$3:$U$5001,BD!$A$3:$A$5001,M$3,BD!$B$3:$B$5001,$A$267)))</f>
        <v/>
      </c>
      <c r="N285" s="205" t="str">
        <f>IF(N$3="","",IF(COUNTIFS(BD!$A$3:$A$5001,N$3,BD!$B$3:$B$5001,$A$267,BD!$U$3:$U$5001,"&lt;&gt;")=0,"",SUMIFS(BD!$U$3:$U$5001,BD!$A$3:$A$5001,N$3,BD!$B$3:$B$5001,$A$267)))</f>
        <v/>
      </c>
      <c r="O285" s="205" t="str">
        <f>IF(O$3="","",IF(COUNTIFS(BD!$A$3:$A$5001,O$3,BD!$B$3:$B$5001,$A$267,BD!$U$3:$U$5001,"&lt;&gt;")=0,"",SUMIFS(BD!$U$3:$U$5001,BD!$A$3:$A$5001,O$3,BD!$B$3:$B$5001,$A$267)))</f>
        <v/>
      </c>
      <c r="P285" s="205" t="str">
        <f>IF(P$3="","",IF(COUNTIFS(BD!$A$3:$A$5001,P$3,BD!$B$3:$B$5001,$A$267,BD!$U$3:$U$5001,"&lt;&gt;")=0,"",SUMIFS(BD!$U$3:$U$5001,BD!$A$3:$A$5001,P$3,BD!$B$3:$B$5001,$A$267)))</f>
        <v/>
      </c>
      <c r="Q285" s="205" t="str">
        <f>IF(Q$3="","",IF(COUNTIFS(BD!$A$3:$A$5001,Q$3,BD!$B$3:$B$5001,$A$267,BD!$U$3:$U$5001,"&lt;&gt;")=0,"",SUMIFS(BD!$U$3:$U$5001,BD!$A$3:$A$5001,Q$3,BD!$B$3:$B$5001,$A$267)))</f>
        <v/>
      </c>
      <c r="R285" s="205" t="str">
        <f>IF(R$3="","",IF(COUNTIFS(BD!$A$3:$A$5001,R$3,BD!$B$3:$B$5001,$A$267,BD!$U$3:$U$5001,"&lt;&gt;")=0,"",SUMIFS(BD!$U$3:$U$5001,BD!$A$3:$A$5001,R$3,BD!$B$3:$B$5001,$A$267)))</f>
        <v/>
      </c>
      <c r="S285" s="205" t="str">
        <f>IF(S$3="","",IF(COUNTIFS(BD!$A$3:$A$5001,S$3,BD!$B$3:$B$5001,$A$267,BD!$U$3:$U$5001,"&lt;&gt;")=0,"",SUMIFS(BD!$U$3:$U$5001,BD!$A$3:$A$5001,S$3,BD!$B$3:$B$5001,$A$267)))</f>
        <v/>
      </c>
      <c r="T285" s="205" t="str">
        <f>IF(T$3="","",IF(COUNTIFS(BD!$A$3:$A$5001,T$3,BD!$B$3:$B$5001,$A$267,BD!$U$3:$U$5001,"&lt;&gt;")=0,"",SUMIFS(BD!$U$3:$U$5001,BD!$A$3:$A$5001,T$3,BD!$B$3:$B$5001,$A$267)))</f>
        <v/>
      </c>
      <c r="U285" s="205" t="str">
        <f>IF(U$3="","",IF(COUNTIFS(BD!$A$3:$A$5001,U$3,BD!$B$3:$B$5001,$A$267,BD!$U$3:$U$5001,"&lt;&gt;")=0,"",SUMIFS(BD!$U$3:$U$5001,BD!$A$3:$A$5001,U$3,BD!$B$3:$B$5001,$A$267)))</f>
        <v/>
      </c>
      <c r="V285" s="205" t="str">
        <f>IF(V$3="","",IF(COUNTIFS(BD!$A$3:$A$5001,V$3,BD!$B$3:$B$5001,$A$267,BD!$U$3:$U$5001,"&lt;&gt;")=0,"",SUMIFS(BD!$U$3:$U$5001,BD!$A$3:$A$5001,V$3,BD!$B$3:$B$5001,$A$267)))</f>
        <v/>
      </c>
      <c r="W285" s="205" t="str">
        <f>IF(W$3="","",IF(COUNTIFS(BD!$A$3:$A$5001,W$3,BD!$B$3:$B$5001,$A$267,BD!$U$3:$U$5001,"&lt;&gt;")=0,"",SUMIFS(BD!$U$3:$U$5001,BD!$A$3:$A$5001,W$3,BD!$B$3:$B$5001,$A$267)))</f>
        <v/>
      </c>
      <c r="X285" s="205" t="str">
        <f>IF(X$3="","",IF(COUNTIFS(BD!$A$3:$A$5001,X$3,BD!$B$3:$B$5001,$A$267,BD!$U$3:$U$5001,"&lt;&gt;")=0,"",SUMIFS(BD!$U$3:$U$5001,BD!$A$3:$A$5001,X$3,BD!$B$3:$B$5001,$A$267)))</f>
        <v/>
      </c>
      <c r="Y285" s="205" t="str">
        <f>IF(Y$3="","",IF(COUNTIFS(BD!$A$3:$A$5001,Y$3,BD!$B$3:$B$5001,$A$267,BD!$U$3:$U$5001,"&lt;&gt;")=0,"",SUMIFS(BD!$U$3:$U$5001,BD!$A$3:$A$5001,Y$3,BD!$B$3:$B$5001,$A$267)))</f>
        <v/>
      </c>
      <c r="Z285" s="205" t="str">
        <f>IF(Z$3="","",IF(COUNTIFS(BD!$A$3:$A$5001,Z$3,BD!$B$3:$B$5001,$A$267,BD!$U$3:$U$5001,"&lt;&gt;")=0,"",SUMIFS(BD!$U$3:$U$5001,BD!$A$3:$A$5001,Z$3,BD!$B$3:$B$5001,$A$267)))</f>
        <v/>
      </c>
      <c r="AA285" s="205" t="str">
        <f>IF(AA$3="","",IF(COUNTIFS(BD!$A$3:$A$5001,AA$3,BD!$B$3:$B$5001,$A$267,BD!$U$3:$U$5001,"&lt;&gt;")=0,"",SUMIFS(BD!$U$3:$U$5001,BD!$A$3:$A$5001,AA$3,BD!$B$3:$B$5001,$A$267)))</f>
        <v/>
      </c>
      <c r="AB285" s="205" t="str">
        <f>IF(AB$3="","",IF(COUNTIFS(BD!$A$3:$A$5001,AB$3,BD!$B$3:$B$5001,$A$267,BD!$U$3:$U$5001,"&lt;&gt;")=0,"",SUMIFS(BD!$U$3:$U$5001,BD!$A$3:$A$5001,AB$3,BD!$B$3:$B$5001,$A$267)))</f>
        <v/>
      </c>
      <c r="AC285" s="205" t="str">
        <f>IF(AC$3="","",IF(COUNTIFS(BD!$A$3:$A$5001,AC$3,BD!$B$3:$B$5001,$A$267,BD!$U$3:$U$5001,"&lt;&gt;")=0,"",SUMIFS(BD!$U$3:$U$5001,BD!$A$3:$A$5001,AC$3,BD!$B$3:$B$5001,$A$267)))</f>
        <v/>
      </c>
      <c r="AD285" s="205" t="str">
        <f>IF(AD$3="","",IF(COUNTIFS(BD!$A$3:$A$5001,AD$3,BD!$B$3:$B$5001,$A$267,BD!$U$3:$U$5001,"&lt;&gt;")=0,"",SUMIFS(BD!$U$3:$U$5001,BD!$A$3:$A$5001,AD$3,BD!$B$3:$B$5001,$A$267)))</f>
        <v/>
      </c>
      <c r="AE285" s="205" t="str">
        <f>IF(AE$3="","",IF(COUNTIFS(BD!$A$3:$A$5001,AE$3,BD!$B$3:$B$5001,$A$267,BD!$U$3:$U$5001,"&lt;&gt;")=0,"",SUMIFS(BD!$U$3:$U$5001,BD!$A$3:$A$5001,AE$3,BD!$B$3:$B$5001,$A$267)))</f>
        <v/>
      </c>
      <c r="AF285" s="205" t="str">
        <f>IF(AF$3="","",IF(COUNTIFS(BD!$A$3:$A$5001,AF$3,BD!$B$3:$B$5001,$A$267,BD!$U$3:$U$5001,"&lt;&gt;")=0,"",SUMIFS(BD!$U$3:$U$5001,BD!$A$3:$A$5001,AF$3,BD!$B$3:$B$5001,$A$267)))</f>
        <v/>
      </c>
      <c r="AG285" s="205" t="str">
        <f>IF(AG$3="","",IF(COUNTIFS(BD!$A$3:$A$5001,AG$3,BD!$B$3:$B$5001,$A$267,BD!$U$3:$U$5001,"&lt;&gt;")=0,"",SUMIFS(BD!$U$3:$U$5001,BD!$A$3:$A$5001,AG$3,BD!$B$3:$B$5001,$A$267)))</f>
        <v/>
      </c>
      <c r="AH285" s="205" t="str">
        <f>IF(AH$3="","",IF(COUNTIFS(BD!$A$3:$A$5001,AH$3,BD!$B$3:$B$5001,$A$267,BD!$U$3:$U$5001,"&lt;&gt;")=0,"",SUMIFS(BD!$U$3:$U$5001,BD!$A$3:$A$5001,AH$3,BD!$B$3:$B$5001,$A$267)))</f>
        <v/>
      </c>
      <c r="AI285" s="205" t="str">
        <f>IF(AI$3="","",IF(COUNTIFS(BD!$A$3:$A$5001,AI$3,BD!$B$3:$B$5001,$A$267,BD!$U$3:$U$5001,"&lt;&gt;")=0,"",SUMIFS(BD!$U$3:$U$5001,BD!$A$3:$A$5001,AI$3,BD!$B$3:$B$5001,$A$267)))</f>
        <v/>
      </c>
      <c r="AJ285" s="206" t="str">
        <f>IF(AJ$3="","",IF(COUNTIFS(BD!$A$3:$A$5001,AJ$3,BD!$B$3:$B$5001,$A$267,BD!$U$3:$U$5001,"&lt;&gt;")=0,"",SUMIFS(BD!$U$3:$U$5001,BD!$A$3:$A$5001,AJ$3,BD!$B$3:$B$5001,$A$267)))</f>
        <v/>
      </c>
      <c r="AK285" s="207" t="str">
        <f>IF(COUNT(F285:AJ285)=0,"",SUM(F285:AJ285))</f>
        <v/>
      </c>
    </row>
    <row r="286" ht="15.75" customHeight="1" hidden="1">
      <c r="A286" s="261"/>
      <c r="B286" s="254"/>
      <c r="C286" s="201" t="inlineStr">
        <is>
          <t xml:space="preserve">Backlog Intralog</t>
        </is>
      </c>
      <c r="D286" s="202" t="str">
        <f>IFERROR(1/(1/INDEX(BD!$AL$42:$BF$42,MATCH($A$267,BD!$AL$22:$BF$22,0))),"")</f>
        <v/>
      </c>
      <c r="E286" s="203"/>
      <c r="F286" s="204" t="str">
        <f>IF(F$3="","",IF(COUNTIFS(BD!$A$3:$A$5001,F$3,BD!$B$3:$B$5001,$A$267,BD!$V$3:$V$5001,"&lt;&gt;")=0,"",SUMIFS(BD!$V$3:$V$5001,BD!$A$3:$A$5001,F$3,BD!$B$3:$B$5001,$A$267)))</f>
        <v/>
      </c>
      <c r="G286" s="205" t="str">
        <f>IF(G$3="","",IF(COUNTIFS(BD!$A$3:$A$5001,G$3,BD!$B$3:$B$5001,$A$267,BD!$V$3:$V$5001,"&lt;&gt;")=0,"",SUMIFS(BD!$V$3:$V$5001,BD!$A$3:$A$5001,G$3,BD!$B$3:$B$5001,$A$267)))</f>
        <v/>
      </c>
      <c r="H286" s="205" t="str">
        <f>IF(H$3="","",IF(COUNTIFS(BD!$A$3:$A$5001,H$3,BD!$B$3:$B$5001,$A$267,BD!$V$3:$V$5001,"&lt;&gt;")=0,"",SUMIFS(BD!$V$3:$V$5001,BD!$A$3:$A$5001,H$3,BD!$B$3:$B$5001,$A$267)))</f>
        <v/>
      </c>
      <c r="I286" s="205" t="str">
        <f>IF(I$3="","",IF(COUNTIFS(BD!$A$3:$A$5001,I$3,BD!$B$3:$B$5001,$A$267,BD!$V$3:$V$5001,"&lt;&gt;")=0,"",SUMIFS(BD!$V$3:$V$5001,BD!$A$3:$A$5001,I$3,BD!$B$3:$B$5001,$A$267)))</f>
        <v/>
      </c>
      <c r="J286" s="205" t="str">
        <f>IF(J$3="","",IF(COUNTIFS(BD!$A$3:$A$5001,J$3,BD!$B$3:$B$5001,$A$267,BD!$V$3:$V$5001,"&lt;&gt;")=0,"",SUMIFS(BD!$V$3:$V$5001,BD!$A$3:$A$5001,J$3,BD!$B$3:$B$5001,$A$267)))</f>
        <v/>
      </c>
      <c r="K286" s="205" t="str">
        <f>IF(K$3="","",IF(COUNTIFS(BD!$A$3:$A$5001,K$3,BD!$B$3:$B$5001,$A$267,BD!$V$3:$V$5001,"&lt;&gt;")=0,"",SUMIFS(BD!$V$3:$V$5001,BD!$A$3:$A$5001,K$3,BD!$B$3:$B$5001,$A$267)))</f>
        <v/>
      </c>
      <c r="L286" s="205" t="str">
        <f>IF(L$3="","",IF(COUNTIFS(BD!$A$3:$A$5001,L$3,BD!$B$3:$B$5001,$A$267,BD!$V$3:$V$5001,"&lt;&gt;")=0,"",SUMIFS(BD!$V$3:$V$5001,BD!$A$3:$A$5001,L$3,BD!$B$3:$B$5001,$A$267)))</f>
        <v/>
      </c>
      <c r="M286" s="205" t="str">
        <f>IF(M$3="","",IF(COUNTIFS(BD!$A$3:$A$5001,M$3,BD!$B$3:$B$5001,$A$267,BD!$V$3:$V$5001,"&lt;&gt;")=0,"",SUMIFS(BD!$V$3:$V$5001,BD!$A$3:$A$5001,M$3,BD!$B$3:$B$5001,$A$267)))</f>
        <v/>
      </c>
      <c r="N286" s="205" t="str">
        <f>IF(N$3="","",IF(COUNTIFS(BD!$A$3:$A$5001,N$3,BD!$B$3:$B$5001,$A$267,BD!$V$3:$V$5001,"&lt;&gt;")=0,"",SUMIFS(BD!$V$3:$V$5001,BD!$A$3:$A$5001,N$3,BD!$B$3:$B$5001,$A$267)))</f>
        <v/>
      </c>
      <c r="O286" s="205" t="str">
        <f>IF(O$3="","",IF(COUNTIFS(BD!$A$3:$A$5001,O$3,BD!$B$3:$B$5001,$A$267,BD!$V$3:$V$5001,"&lt;&gt;")=0,"",SUMIFS(BD!$V$3:$V$5001,BD!$A$3:$A$5001,O$3,BD!$B$3:$B$5001,$A$267)))</f>
        <v/>
      </c>
      <c r="P286" s="205" t="str">
        <f>IF(P$3="","",IF(COUNTIFS(BD!$A$3:$A$5001,P$3,BD!$B$3:$B$5001,$A$267,BD!$V$3:$V$5001,"&lt;&gt;")=0,"",SUMIFS(BD!$V$3:$V$5001,BD!$A$3:$A$5001,P$3,BD!$B$3:$B$5001,$A$267)))</f>
        <v/>
      </c>
      <c r="Q286" s="205" t="str">
        <f>IF(Q$3="","",IF(COUNTIFS(BD!$A$3:$A$5001,Q$3,BD!$B$3:$B$5001,$A$267,BD!$V$3:$V$5001,"&lt;&gt;")=0,"",SUMIFS(BD!$V$3:$V$5001,BD!$A$3:$A$5001,Q$3,BD!$B$3:$B$5001,$A$267)))</f>
        <v/>
      </c>
      <c r="R286" s="205" t="str">
        <f>IF(R$3="","",IF(COUNTIFS(BD!$A$3:$A$5001,R$3,BD!$B$3:$B$5001,$A$267,BD!$V$3:$V$5001,"&lt;&gt;")=0,"",SUMIFS(BD!$V$3:$V$5001,BD!$A$3:$A$5001,R$3,BD!$B$3:$B$5001,$A$267)))</f>
        <v/>
      </c>
      <c r="S286" s="205" t="str">
        <f>IF(S$3="","",IF(COUNTIFS(BD!$A$3:$A$5001,S$3,BD!$B$3:$B$5001,$A$267,BD!$V$3:$V$5001,"&lt;&gt;")=0,"",SUMIFS(BD!$V$3:$V$5001,BD!$A$3:$A$5001,S$3,BD!$B$3:$B$5001,$A$267)))</f>
        <v/>
      </c>
      <c r="T286" s="205" t="str">
        <f>IF(T$3="","",IF(COUNTIFS(BD!$A$3:$A$5001,T$3,BD!$B$3:$B$5001,$A$267,BD!$V$3:$V$5001,"&lt;&gt;")=0,"",SUMIFS(BD!$V$3:$V$5001,BD!$A$3:$A$5001,T$3,BD!$B$3:$B$5001,$A$267)))</f>
        <v/>
      </c>
      <c r="U286" s="205" t="str">
        <f>IF(U$3="","",IF(COUNTIFS(BD!$A$3:$A$5001,U$3,BD!$B$3:$B$5001,$A$267,BD!$V$3:$V$5001,"&lt;&gt;")=0,"",SUMIFS(BD!$V$3:$V$5001,BD!$A$3:$A$5001,U$3,BD!$B$3:$B$5001,$A$267)))</f>
        <v/>
      </c>
      <c r="V286" s="205" t="str">
        <f>IF(V$3="","",IF(COUNTIFS(BD!$A$3:$A$5001,V$3,BD!$B$3:$B$5001,$A$267,BD!$V$3:$V$5001,"&lt;&gt;")=0,"",SUMIFS(BD!$V$3:$V$5001,BD!$A$3:$A$5001,V$3,BD!$B$3:$B$5001,$A$267)))</f>
        <v/>
      </c>
      <c r="W286" s="205" t="str">
        <f>IF(W$3="","",IF(COUNTIFS(BD!$A$3:$A$5001,W$3,BD!$B$3:$B$5001,$A$267,BD!$V$3:$V$5001,"&lt;&gt;")=0,"",SUMIFS(BD!$V$3:$V$5001,BD!$A$3:$A$5001,W$3,BD!$B$3:$B$5001,$A$267)))</f>
        <v/>
      </c>
      <c r="X286" s="205" t="str">
        <f>IF(X$3="","",IF(COUNTIFS(BD!$A$3:$A$5001,X$3,BD!$B$3:$B$5001,$A$267,BD!$V$3:$V$5001,"&lt;&gt;")=0,"",SUMIFS(BD!$V$3:$V$5001,BD!$A$3:$A$5001,X$3,BD!$B$3:$B$5001,$A$267)))</f>
        <v/>
      </c>
      <c r="Y286" s="205" t="str">
        <f>IF(Y$3="","",IF(COUNTIFS(BD!$A$3:$A$5001,Y$3,BD!$B$3:$B$5001,$A$267,BD!$V$3:$V$5001,"&lt;&gt;")=0,"",SUMIFS(BD!$V$3:$V$5001,BD!$A$3:$A$5001,Y$3,BD!$B$3:$B$5001,$A$267)))</f>
        <v/>
      </c>
      <c r="Z286" s="205" t="str">
        <f>IF(Z$3="","",IF(COUNTIFS(BD!$A$3:$A$5001,Z$3,BD!$B$3:$B$5001,$A$267,BD!$V$3:$V$5001,"&lt;&gt;")=0,"",SUMIFS(BD!$V$3:$V$5001,BD!$A$3:$A$5001,Z$3,BD!$B$3:$B$5001,$A$267)))</f>
        <v/>
      </c>
      <c r="AA286" s="205" t="str">
        <f>IF(AA$3="","",IF(COUNTIFS(BD!$A$3:$A$5001,AA$3,BD!$B$3:$B$5001,$A$267,BD!$V$3:$V$5001,"&lt;&gt;")=0,"",SUMIFS(BD!$V$3:$V$5001,BD!$A$3:$A$5001,AA$3,BD!$B$3:$B$5001,$A$267)))</f>
        <v/>
      </c>
      <c r="AB286" s="205" t="str">
        <f>IF(AB$3="","",IF(COUNTIFS(BD!$A$3:$A$5001,AB$3,BD!$B$3:$B$5001,$A$267,BD!$V$3:$V$5001,"&lt;&gt;")=0,"",SUMIFS(BD!$V$3:$V$5001,BD!$A$3:$A$5001,AB$3,BD!$B$3:$B$5001,$A$267)))</f>
        <v/>
      </c>
      <c r="AC286" s="205" t="str">
        <f>IF(AC$3="","",IF(COUNTIFS(BD!$A$3:$A$5001,AC$3,BD!$B$3:$B$5001,$A$267,BD!$V$3:$V$5001,"&lt;&gt;")=0,"",SUMIFS(BD!$V$3:$V$5001,BD!$A$3:$A$5001,AC$3,BD!$B$3:$B$5001,$A$267)))</f>
        <v/>
      </c>
      <c r="AD286" s="205" t="str">
        <f>IF(AD$3="","",IF(COUNTIFS(BD!$A$3:$A$5001,AD$3,BD!$B$3:$B$5001,$A$267,BD!$V$3:$V$5001,"&lt;&gt;")=0,"",SUMIFS(BD!$V$3:$V$5001,BD!$A$3:$A$5001,AD$3,BD!$B$3:$B$5001,$A$267)))</f>
        <v/>
      </c>
      <c r="AE286" s="205" t="str">
        <f>IF(AE$3="","",IF(COUNTIFS(BD!$A$3:$A$5001,AE$3,BD!$B$3:$B$5001,$A$267,BD!$V$3:$V$5001,"&lt;&gt;")=0,"",SUMIFS(BD!$V$3:$V$5001,BD!$A$3:$A$5001,AE$3,BD!$B$3:$B$5001,$A$267)))</f>
        <v/>
      </c>
      <c r="AF286" s="205" t="str">
        <f>IF(AF$3="","",IF(COUNTIFS(BD!$A$3:$A$5001,AF$3,BD!$B$3:$B$5001,$A$267,BD!$V$3:$V$5001,"&lt;&gt;")=0,"",SUMIFS(BD!$V$3:$V$5001,BD!$A$3:$A$5001,AF$3,BD!$B$3:$B$5001,$A$267)))</f>
        <v/>
      </c>
      <c r="AG286" s="205" t="str">
        <f>IF(AG$3="","",IF(COUNTIFS(BD!$A$3:$A$5001,AG$3,BD!$B$3:$B$5001,$A$267,BD!$V$3:$V$5001,"&lt;&gt;")=0,"",SUMIFS(BD!$V$3:$V$5001,BD!$A$3:$A$5001,AG$3,BD!$B$3:$B$5001,$A$267)))</f>
        <v/>
      </c>
      <c r="AH286" s="205" t="str">
        <f>IF(AH$3="","",IF(COUNTIFS(BD!$A$3:$A$5001,AH$3,BD!$B$3:$B$5001,$A$267,BD!$V$3:$V$5001,"&lt;&gt;")=0,"",SUMIFS(BD!$V$3:$V$5001,BD!$A$3:$A$5001,AH$3,BD!$B$3:$B$5001,$A$267)))</f>
        <v/>
      </c>
      <c r="AI286" s="205" t="str">
        <f>IF(AI$3="","",IF(COUNTIFS(BD!$A$3:$A$5001,AI$3,BD!$B$3:$B$5001,$A$267,BD!$V$3:$V$5001,"&lt;&gt;")=0,"",SUMIFS(BD!$V$3:$V$5001,BD!$A$3:$A$5001,AI$3,BD!$B$3:$B$5001,$A$267)))</f>
        <v/>
      </c>
      <c r="AJ286" s="206" t="str">
        <f>IF(AJ$3="","",IF(COUNTIFS(BD!$A$3:$A$5001,AJ$3,BD!$B$3:$B$5001,$A$267,BD!$V$3:$V$5001,"&lt;&gt;")=0,"",SUMIFS(BD!$V$3:$V$5001,BD!$A$3:$A$5001,AJ$3,BD!$B$3:$B$5001,$A$267)))</f>
        <v/>
      </c>
      <c r="AK286" s="207" t="str">
        <f>IFERROR(LOOKUP(9.99E+307,F286:AJ286),"")</f>
        <v/>
      </c>
    </row>
    <row r="287" ht="15.75" customHeight="1" hidden="1">
      <c r="A287" s="261"/>
      <c r="B287" s="255"/>
      <c r="C287" s="208" t="inlineStr">
        <is>
          <t xml:space="preserve">Backlog Cliente</t>
        </is>
      </c>
      <c r="D287" s="209" t="str">
        <f>IFERROR(1/(1/INDEX(BD!$AL$43:$BF$43,MATCH($A$267,BD!$AL$22:$BF$22,0))),"")</f>
        <v/>
      </c>
      <c r="E287" s="210"/>
      <c r="F287" s="211" t="str">
        <f>IF(F$3="","",IF(COUNTIFS(BD!$A$3:$A$5001,F$3,BD!$B$3:$B$5001,$A$267,BD!$W$3:$W$5001,"&lt;&gt;")=0,"",SUMIFS(BD!$W$3:$W$5001,BD!$A$3:$A$5001,F$3,BD!$B$3:$B$5001,$A$267)))</f>
        <v/>
      </c>
      <c r="G287" s="212" t="str">
        <f>IF(G$3="","",IF(COUNTIFS(BD!$A$3:$A$5001,G$3,BD!$B$3:$B$5001,$A$267,BD!$W$3:$W$5001,"&lt;&gt;")=0,"",SUMIFS(BD!$W$3:$W$5001,BD!$A$3:$A$5001,G$3,BD!$B$3:$B$5001,$A$267)))</f>
        <v/>
      </c>
      <c r="H287" s="212" t="str">
        <f>IF(H$3="","",IF(COUNTIFS(BD!$A$3:$A$5001,H$3,BD!$B$3:$B$5001,$A$267,BD!$W$3:$W$5001,"&lt;&gt;")=0,"",SUMIFS(BD!$W$3:$W$5001,BD!$A$3:$A$5001,H$3,BD!$B$3:$B$5001,$A$267)))</f>
        <v/>
      </c>
      <c r="I287" s="212" t="str">
        <f>IF(I$3="","",IF(COUNTIFS(BD!$A$3:$A$5001,I$3,BD!$B$3:$B$5001,$A$267,BD!$W$3:$W$5001,"&lt;&gt;")=0,"",SUMIFS(BD!$W$3:$W$5001,BD!$A$3:$A$5001,I$3,BD!$B$3:$B$5001,$A$267)))</f>
        <v/>
      </c>
      <c r="J287" s="212" t="str">
        <f>IF(J$3="","",IF(COUNTIFS(BD!$A$3:$A$5001,J$3,BD!$B$3:$B$5001,$A$267,BD!$W$3:$W$5001,"&lt;&gt;")=0,"",SUMIFS(BD!$W$3:$W$5001,BD!$A$3:$A$5001,J$3,BD!$B$3:$B$5001,$A$267)))</f>
        <v/>
      </c>
      <c r="K287" s="212" t="str">
        <f>IF(K$3="","",IF(COUNTIFS(BD!$A$3:$A$5001,K$3,BD!$B$3:$B$5001,$A$267,BD!$W$3:$W$5001,"&lt;&gt;")=0,"",SUMIFS(BD!$W$3:$W$5001,BD!$A$3:$A$5001,K$3,BD!$B$3:$B$5001,$A$267)))</f>
        <v/>
      </c>
      <c r="L287" s="212" t="str">
        <f>IF(L$3="","",IF(COUNTIFS(BD!$A$3:$A$5001,L$3,BD!$B$3:$B$5001,$A$267,BD!$W$3:$W$5001,"&lt;&gt;")=0,"",SUMIFS(BD!$W$3:$W$5001,BD!$A$3:$A$5001,L$3,BD!$B$3:$B$5001,$A$267)))</f>
        <v/>
      </c>
      <c r="M287" s="212" t="str">
        <f>IF(M$3="","",IF(COUNTIFS(BD!$A$3:$A$5001,M$3,BD!$B$3:$B$5001,$A$267,BD!$W$3:$W$5001,"&lt;&gt;")=0,"",SUMIFS(BD!$W$3:$W$5001,BD!$A$3:$A$5001,M$3,BD!$B$3:$B$5001,$A$267)))</f>
        <v/>
      </c>
      <c r="N287" s="212" t="str">
        <f>IF(N$3="","",IF(COUNTIFS(BD!$A$3:$A$5001,N$3,BD!$B$3:$B$5001,$A$267,BD!$W$3:$W$5001,"&lt;&gt;")=0,"",SUMIFS(BD!$W$3:$W$5001,BD!$A$3:$A$5001,N$3,BD!$B$3:$B$5001,$A$267)))</f>
        <v/>
      </c>
      <c r="O287" s="212" t="str">
        <f>IF(O$3="","",IF(COUNTIFS(BD!$A$3:$A$5001,O$3,BD!$B$3:$B$5001,$A$267,BD!$W$3:$W$5001,"&lt;&gt;")=0,"",SUMIFS(BD!$W$3:$W$5001,BD!$A$3:$A$5001,O$3,BD!$B$3:$B$5001,$A$267)))</f>
        <v/>
      </c>
      <c r="P287" s="212" t="str">
        <f>IF(P$3="","",IF(COUNTIFS(BD!$A$3:$A$5001,P$3,BD!$B$3:$B$5001,$A$267,BD!$W$3:$W$5001,"&lt;&gt;")=0,"",SUMIFS(BD!$W$3:$W$5001,BD!$A$3:$A$5001,P$3,BD!$B$3:$B$5001,$A$267)))</f>
        <v/>
      </c>
      <c r="Q287" s="212" t="str">
        <f>IF(Q$3="","",IF(COUNTIFS(BD!$A$3:$A$5001,Q$3,BD!$B$3:$B$5001,$A$267,BD!$W$3:$W$5001,"&lt;&gt;")=0,"",SUMIFS(BD!$W$3:$W$5001,BD!$A$3:$A$5001,Q$3,BD!$B$3:$B$5001,$A$267)))</f>
        <v/>
      </c>
      <c r="R287" s="212" t="str">
        <f>IF(R$3="","",IF(COUNTIFS(BD!$A$3:$A$5001,R$3,BD!$B$3:$B$5001,$A$267,BD!$W$3:$W$5001,"&lt;&gt;")=0,"",SUMIFS(BD!$W$3:$W$5001,BD!$A$3:$A$5001,R$3,BD!$B$3:$B$5001,$A$267)))</f>
        <v/>
      </c>
      <c r="S287" s="212" t="str">
        <f>IF(S$3="","",IF(COUNTIFS(BD!$A$3:$A$5001,S$3,BD!$B$3:$B$5001,$A$267,BD!$W$3:$W$5001,"&lt;&gt;")=0,"",SUMIFS(BD!$W$3:$W$5001,BD!$A$3:$A$5001,S$3,BD!$B$3:$B$5001,$A$267)))</f>
        <v/>
      </c>
      <c r="T287" s="212" t="str">
        <f>IF(T$3="","",IF(COUNTIFS(BD!$A$3:$A$5001,T$3,BD!$B$3:$B$5001,$A$267,BD!$W$3:$W$5001,"&lt;&gt;")=0,"",SUMIFS(BD!$W$3:$W$5001,BD!$A$3:$A$5001,T$3,BD!$B$3:$B$5001,$A$267)))</f>
        <v/>
      </c>
      <c r="U287" s="212" t="str">
        <f>IF(U$3="","",IF(COUNTIFS(BD!$A$3:$A$5001,U$3,BD!$B$3:$B$5001,$A$267,BD!$W$3:$W$5001,"&lt;&gt;")=0,"",SUMIFS(BD!$W$3:$W$5001,BD!$A$3:$A$5001,U$3,BD!$B$3:$B$5001,$A$267)))</f>
        <v/>
      </c>
      <c r="V287" s="212" t="str">
        <f>IF(V$3="","",IF(COUNTIFS(BD!$A$3:$A$5001,V$3,BD!$B$3:$B$5001,$A$267,BD!$W$3:$W$5001,"&lt;&gt;")=0,"",SUMIFS(BD!$W$3:$W$5001,BD!$A$3:$A$5001,V$3,BD!$B$3:$B$5001,$A$267)))</f>
        <v/>
      </c>
      <c r="W287" s="212" t="str">
        <f>IF(W$3="","",IF(COUNTIFS(BD!$A$3:$A$5001,W$3,BD!$B$3:$B$5001,$A$267,BD!$W$3:$W$5001,"&lt;&gt;")=0,"",SUMIFS(BD!$W$3:$W$5001,BD!$A$3:$A$5001,W$3,BD!$B$3:$B$5001,$A$267)))</f>
        <v/>
      </c>
      <c r="X287" s="212" t="str">
        <f>IF(X$3="","",IF(COUNTIFS(BD!$A$3:$A$5001,X$3,BD!$B$3:$B$5001,$A$267,BD!$W$3:$W$5001,"&lt;&gt;")=0,"",SUMIFS(BD!$W$3:$W$5001,BD!$A$3:$A$5001,X$3,BD!$B$3:$B$5001,$A$267)))</f>
        <v/>
      </c>
      <c r="Y287" s="212" t="str">
        <f>IF(Y$3="","",IF(COUNTIFS(BD!$A$3:$A$5001,Y$3,BD!$B$3:$B$5001,$A$267,BD!$W$3:$W$5001,"&lt;&gt;")=0,"",SUMIFS(BD!$W$3:$W$5001,BD!$A$3:$A$5001,Y$3,BD!$B$3:$B$5001,$A$267)))</f>
        <v/>
      </c>
      <c r="Z287" s="212" t="str">
        <f>IF(Z$3="","",IF(COUNTIFS(BD!$A$3:$A$5001,Z$3,BD!$B$3:$B$5001,$A$267,BD!$W$3:$W$5001,"&lt;&gt;")=0,"",SUMIFS(BD!$W$3:$W$5001,BD!$A$3:$A$5001,Z$3,BD!$B$3:$B$5001,$A$267)))</f>
        <v/>
      </c>
      <c r="AA287" s="212" t="str">
        <f>IF(AA$3="","",IF(COUNTIFS(BD!$A$3:$A$5001,AA$3,BD!$B$3:$B$5001,$A$267,BD!$W$3:$W$5001,"&lt;&gt;")=0,"",SUMIFS(BD!$W$3:$W$5001,BD!$A$3:$A$5001,AA$3,BD!$B$3:$B$5001,$A$267)))</f>
        <v/>
      </c>
      <c r="AB287" s="212" t="str">
        <f>IF(AB$3="","",IF(COUNTIFS(BD!$A$3:$A$5001,AB$3,BD!$B$3:$B$5001,$A$267,BD!$W$3:$W$5001,"&lt;&gt;")=0,"",SUMIFS(BD!$W$3:$W$5001,BD!$A$3:$A$5001,AB$3,BD!$B$3:$B$5001,$A$267)))</f>
        <v/>
      </c>
      <c r="AC287" s="212" t="str">
        <f>IF(AC$3="","",IF(COUNTIFS(BD!$A$3:$A$5001,AC$3,BD!$B$3:$B$5001,$A$267,BD!$W$3:$W$5001,"&lt;&gt;")=0,"",SUMIFS(BD!$W$3:$W$5001,BD!$A$3:$A$5001,AC$3,BD!$B$3:$B$5001,$A$267)))</f>
        <v/>
      </c>
      <c r="AD287" s="212" t="str">
        <f>IF(AD$3="","",IF(COUNTIFS(BD!$A$3:$A$5001,AD$3,BD!$B$3:$B$5001,$A$267,BD!$W$3:$W$5001,"&lt;&gt;")=0,"",SUMIFS(BD!$W$3:$W$5001,BD!$A$3:$A$5001,AD$3,BD!$B$3:$B$5001,$A$267)))</f>
        <v/>
      </c>
      <c r="AE287" s="212" t="str">
        <f>IF(AE$3="","",IF(COUNTIFS(BD!$A$3:$A$5001,AE$3,BD!$B$3:$B$5001,$A$267,BD!$W$3:$W$5001,"&lt;&gt;")=0,"",SUMIFS(BD!$W$3:$W$5001,BD!$A$3:$A$5001,AE$3,BD!$B$3:$B$5001,$A$267)))</f>
        <v/>
      </c>
      <c r="AF287" s="212" t="str">
        <f>IF(AF$3="","",IF(COUNTIFS(BD!$A$3:$A$5001,AF$3,BD!$B$3:$B$5001,$A$267,BD!$W$3:$W$5001,"&lt;&gt;")=0,"",SUMIFS(BD!$W$3:$W$5001,BD!$A$3:$A$5001,AF$3,BD!$B$3:$B$5001,$A$267)))</f>
        <v/>
      </c>
      <c r="AG287" s="212" t="str">
        <f>IF(AG$3="","",IF(COUNTIFS(BD!$A$3:$A$5001,AG$3,BD!$B$3:$B$5001,$A$267,BD!$W$3:$W$5001,"&lt;&gt;")=0,"",SUMIFS(BD!$W$3:$W$5001,BD!$A$3:$A$5001,AG$3,BD!$B$3:$B$5001,$A$267)))</f>
        <v/>
      </c>
      <c r="AH287" s="212" t="str">
        <f>IF(AH$3="","",IF(COUNTIFS(BD!$A$3:$A$5001,AH$3,BD!$B$3:$B$5001,$A$267,BD!$W$3:$W$5001,"&lt;&gt;")=0,"",SUMIFS(BD!$W$3:$W$5001,BD!$A$3:$A$5001,AH$3,BD!$B$3:$B$5001,$A$267)))</f>
        <v/>
      </c>
      <c r="AI287" s="212" t="str">
        <f>IF(AI$3="","",IF(COUNTIFS(BD!$A$3:$A$5001,AI$3,BD!$B$3:$B$5001,$A$267,BD!$W$3:$W$5001,"&lt;&gt;")=0,"",SUMIFS(BD!$W$3:$W$5001,BD!$A$3:$A$5001,AI$3,BD!$B$3:$B$5001,$A$267)))</f>
        <v/>
      </c>
      <c r="AJ287" s="213" t="str">
        <f>IF(AJ$3="","",IF(COUNTIFS(BD!$A$3:$A$5001,AJ$3,BD!$B$3:$B$5001,$A$267,BD!$W$3:$W$5001,"&lt;&gt;")=0,"",SUMIFS(BD!$W$3:$W$5001,BD!$A$3:$A$5001,AJ$3,BD!$B$3:$B$5001,$A$267)))</f>
        <v/>
      </c>
      <c r="AK287" s="209" t="str">
        <f>IFERROR(LOOKUP(9.99E+307,F287:AJ287),"")</f>
        <v/>
      </c>
    </row>
    <row r="288" ht="15.75" customHeight="1" hidden="1">
      <c r="A288" s="261"/>
      <c r="B288" s="249" t="inlineStr">
        <is>
          <t xml:space="preserve">OCUPAÇÃO (P.P)</t>
        </is>
      </c>
      <c r="C288" s="168" t="inlineStr">
        <is>
          <t xml:space="preserve">Posições Disponíveis</t>
        </is>
      </c>
      <c r="D288" s="169" t="str">
        <f>IFERROR(1/(1/INDEX(BD!$AL$44:$BF$44,MATCH($A$267,BD!$AL$22:$BF$22,0))),"")</f>
        <v/>
      </c>
      <c r="E288" s="170"/>
      <c r="F288" s="171" t="str">
        <f>IF(F$3="","",IF(COUNTIFS(BD!$A$3:$A$5001,F$3,BD!$B$3:$B$5001,$A$267,BD!$X$3:$X$5001,"&lt;&gt;")=0,"",SUMIFS(BD!$X$3:$X$5001,BD!$A$3:$A$5001,F$3,BD!$B$3:$B$5001,$A$267)))</f>
        <v/>
      </c>
      <c r="G288" s="172" t="str">
        <f>IF(G$3="","",IF(COUNTIFS(BD!$A$3:$A$5001,G$3,BD!$B$3:$B$5001,$A$267,BD!$X$3:$X$5001,"&lt;&gt;")=0,"",SUMIFS(BD!$X$3:$X$5001,BD!$A$3:$A$5001,G$3,BD!$B$3:$B$5001,$A$267)))</f>
        <v/>
      </c>
      <c r="H288" s="172" t="str">
        <f>IF(H$3="","",IF(COUNTIFS(BD!$A$3:$A$5001,H$3,BD!$B$3:$B$5001,$A$267,BD!$X$3:$X$5001,"&lt;&gt;")=0,"",SUMIFS(BD!$X$3:$X$5001,BD!$A$3:$A$5001,H$3,BD!$B$3:$B$5001,$A$267)))</f>
        <v/>
      </c>
      <c r="I288" s="172" t="str">
        <f>IF(I$3="","",IF(COUNTIFS(BD!$A$3:$A$5001,I$3,BD!$B$3:$B$5001,$A$267,BD!$X$3:$X$5001,"&lt;&gt;")=0,"",SUMIFS(BD!$X$3:$X$5001,BD!$A$3:$A$5001,I$3,BD!$B$3:$B$5001,$A$267)))</f>
        <v/>
      </c>
      <c r="J288" s="172" t="str">
        <f>IF(J$3="","",IF(COUNTIFS(BD!$A$3:$A$5001,J$3,BD!$B$3:$B$5001,$A$267,BD!$X$3:$X$5001,"&lt;&gt;")=0,"",SUMIFS(BD!$X$3:$X$5001,BD!$A$3:$A$5001,J$3,BD!$B$3:$B$5001,$A$267)))</f>
        <v/>
      </c>
      <c r="K288" s="172" t="str">
        <f>IF(K$3="","",IF(COUNTIFS(BD!$A$3:$A$5001,K$3,BD!$B$3:$B$5001,$A$267,BD!$X$3:$X$5001,"&lt;&gt;")=0,"",SUMIFS(BD!$X$3:$X$5001,BD!$A$3:$A$5001,K$3,BD!$B$3:$B$5001,$A$267)))</f>
        <v/>
      </c>
      <c r="L288" s="172" t="str">
        <f>IF(L$3="","",IF(COUNTIFS(BD!$A$3:$A$5001,L$3,BD!$B$3:$B$5001,$A$267,BD!$X$3:$X$5001,"&lt;&gt;")=0,"",SUMIFS(BD!$X$3:$X$5001,BD!$A$3:$A$5001,L$3,BD!$B$3:$B$5001,$A$267)))</f>
        <v/>
      </c>
      <c r="M288" s="172" t="str">
        <f>IF(M$3="","",IF(COUNTIFS(BD!$A$3:$A$5001,M$3,BD!$B$3:$B$5001,$A$267,BD!$X$3:$X$5001,"&lt;&gt;")=0,"",SUMIFS(BD!$X$3:$X$5001,BD!$A$3:$A$5001,M$3,BD!$B$3:$B$5001,$A$267)))</f>
        <v/>
      </c>
      <c r="N288" s="172" t="str">
        <f>IF(N$3="","",IF(COUNTIFS(BD!$A$3:$A$5001,N$3,BD!$B$3:$B$5001,$A$267,BD!$X$3:$X$5001,"&lt;&gt;")=0,"",SUMIFS(BD!$X$3:$X$5001,BD!$A$3:$A$5001,N$3,BD!$B$3:$B$5001,$A$267)))</f>
        <v/>
      </c>
      <c r="O288" s="172" t="str">
        <f>IF(O$3="","",IF(COUNTIFS(BD!$A$3:$A$5001,O$3,BD!$B$3:$B$5001,$A$267,BD!$X$3:$X$5001,"&lt;&gt;")=0,"",SUMIFS(BD!$X$3:$X$5001,BD!$A$3:$A$5001,O$3,BD!$B$3:$B$5001,$A$267)))</f>
        <v/>
      </c>
      <c r="P288" s="172" t="str">
        <f>IF(P$3="","",IF(COUNTIFS(BD!$A$3:$A$5001,P$3,BD!$B$3:$B$5001,$A$267,BD!$X$3:$X$5001,"&lt;&gt;")=0,"",SUMIFS(BD!$X$3:$X$5001,BD!$A$3:$A$5001,P$3,BD!$B$3:$B$5001,$A$267)))</f>
        <v/>
      </c>
      <c r="Q288" s="172" t="str">
        <f>IF(Q$3="","",IF(COUNTIFS(BD!$A$3:$A$5001,Q$3,BD!$B$3:$B$5001,$A$267,BD!$X$3:$X$5001,"&lt;&gt;")=0,"",SUMIFS(BD!$X$3:$X$5001,BD!$A$3:$A$5001,Q$3,BD!$B$3:$B$5001,$A$267)))</f>
        <v/>
      </c>
      <c r="R288" s="172" t="str">
        <f>IF(R$3="","",IF(COUNTIFS(BD!$A$3:$A$5001,R$3,BD!$B$3:$B$5001,$A$267,BD!$X$3:$X$5001,"&lt;&gt;")=0,"",SUMIFS(BD!$X$3:$X$5001,BD!$A$3:$A$5001,R$3,BD!$B$3:$B$5001,$A$267)))</f>
        <v/>
      </c>
      <c r="S288" s="172" t="str">
        <f>IF(S$3="","",IF(COUNTIFS(BD!$A$3:$A$5001,S$3,BD!$B$3:$B$5001,$A$267,BD!$X$3:$X$5001,"&lt;&gt;")=0,"",SUMIFS(BD!$X$3:$X$5001,BD!$A$3:$A$5001,S$3,BD!$B$3:$B$5001,$A$267)))</f>
        <v/>
      </c>
      <c r="T288" s="172" t="str">
        <f>IF(T$3="","",IF(COUNTIFS(BD!$A$3:$A$5001,T$3,BD!$B$3:$B$5001,$A$267,BD!$X$3:$X$5001,"&lt;&gt;")=0,"",SUMIFS(BD!$X$3:$X$5001,BD!$A$3:$A$5001,T$3,BD!$B$3:$B$5001,$A$267)))</f>
        <v/>
      </c>
      <c r="U288" s="172" t="str">
        <f>IF(U$3="","",IF(COUNTIFS(BD!$A$3:$A$5001,U$3,BD!$B$3:$B$5001,$A$267,BD!$X$3:$X$5001,"&lt;&gt;")=0,"",SUMIFS(BD!$X$3:$X$5001,BD!$A$3:$A$5001,U$3,BD!$B$3:$B$5001,$A$267)))</f>
        <v/>
      </c>
      <c r="V288" s="172" t="str">
        <f>IF(V$3="","",IF(COUNTIFS(BD!$A$3:$A$5001,V$3,BD!$B$3:$B$5001,$A$267,BD!$X$3:$X$5001,"&lt;&gt;")=0,"",SUMIFS(BD!$X$3:$X$5001,BD!$A$3:$A$5001,V$3,BD!$B$3:$B$5001,$A$267)))</f>
        <v/>
      </c>
      <c r="W288" s="172" t="str">
        <f>IF(W$3="","",IF(COUNTIFS(BD!$A$3:$A$5001,W$3,BD!$B$3:$B$5001,$A$267,BD!$X$3:$X$5001,"&lt;&gt;")=0,"",SUMIFS(BD!$X$3:$X$5001,BD!$A$3:$A$5001,W$3,BD!$B$3:$B$5001,$A$267)))</f>
        <v/>
      </c>
      <c r="X288" s="172" t="str">
        <f>IF(X$3="","",IF(COUNTIFS(BD!$A$3:$A$5001,X$3,BD!$B$3:$B$5001,$A$267,BD!$X$3:$X$5001,"&lt;&gt;")=0,"",SUMIFS(BD!$X$3:$X$5001,BD!$A$3:$A$5001,X$3,BD!$B$3:$B$5001,$A$267)))</f>
        <v/>
      </c>
      <c r="Y288" s="172" t="str">
        <f>IF(Y$3="","",IF(COUNTIFS(BD!$A$3:$A$5001,Y$3,BD!$B$3:$B$5001,$A$267,BD!$X$3:$X$5001,"&lt;&gt;")=0,"",SUMIFS(BD!$X$3:$X$5001,BD!$A$3:$A$5001,Y$3,BD!$B$3:$B$5001,$A$267)))</f>
        <v/>
      </c>
      <c r="Z288" s="172" t="str">
        <f>IF(Z$3="","",IF(COUNTIFS(BD!$A$3:$A$5001,Z$3,BD!$B$3:$B$5001,$A$267,BD!$X$3:$X$5001,"&lt;&gt;")=0,"",SUMIFS(BD!$X$3:$X$5001,BD!$A$3:$A$5001,Z$3,BD!$B$3:$B$5001,$A$267)))</f>
        <v/>
      </c>
      <c r="AA288" s="172" t="str">
        <f>IF(AA$3="","",IF(COUNTIFS(BD!$A$3:$A$5001,AA$3,BD!$B$3:$B$5001,$A$267,BD!$X$3:$X$5001,"&lt;&gt;")=0,"",SUMIFS(BD!$X$3:$X$5001,BD!$A$3:$A$5001,AA$3,BD!$B$3:$B$5001,$A$267)))</f>
        <v/>
      </c>
      <c r="AB288" s="172" t="str">
        <f>IF(AB$3="","",IF(COUNTIFS(BD!$A$3:$A$5001,AB$3,BD!$B$3:$B$5001,$A$267,BD!$X$3:$X$5001,"&lt;&gt;")=0,"",SUMIFS(BD!$X$3:$X$5001,BD!$A$3:$A$5001,AB$3,BD!$B$3:$B$5001,$A$267)))</f>
        <v/>
      </c>
      <c r="AC288" s="172" t="str">
        <f>IF(AC$3="","",IF(COUNTIFS(BD!$A$3:$A$5001,AC$3,BD!$B$3:$B$5001,$A$267,BD!$X$3:$X$5001,"&lt;&gt;")=0,"",SUMIFS(BD!$X$3:$X$5001,BD!$A$3:$A$5001,AC$3,BD!$B$3:$B$5001,$A$267)))</f>
        <v/>
      </c>
      <c r="AD288" s="172" t="str">
        <f>IF(AD$3="","",IF(COUNTIFS(BD!$A$3:$A$5001,AD$3,BD!$B$3:$B$5001,$A$267,BD!$X$3:$X$5001,"&lt;&gt;")=0,"",SUMIFS(BD!$X$3:$X$5001,BD!$A$3:$A$5001,AD$3,BD!$B$3:$B$5001,$A$267)))</f>
        <v/>
      </c>
      <c r="AE288" s="172" t="str">
        <f>IF(AE$3="","",IF(COUNTIFS(BD!$A$3:$A$5001,AE$3,BD!$B$3:$B$5001,$A$267,BD!$X$3:$X$5001,"&lt;&gt;")=0,"",SUMIFS(BD!$X$3:$X$5001,BD!$A$3:$A$5001,AE$3,BD!$B$3:$B$5001,$A$267)))</f>
        <v/>
      </c>
      <c r="AF288" s="172" t="str">
        <f>IF(AF$3="","",IF(COUNTIFS(BD!$A$3:$A$5001,AF$3,BD!$B$3:$B$5001,$A$267,BD!$X$3:$X$5001,"&lt;&gt;")=0,"",SUMIFS(BD!$X$3:$X$5001,BD!$A$3:$A$5001,AF$3,BD!$B$3:$B$5001,$A$267)))</f>
        <v/>
      </c>
      <c r="AG288" s="172" t="str">
        <f>IF(AG$3="","",IF(COUNTIFS(BD!$A$3:$A$5001,AG$3,BD!$B$3:$B$5001,$A$267,BD!$X$3:$X$5001,"&lt;&gt;")=0,"",SUMIFS(BD!$X$3:$X$5001,BD!$A$3:$A$5001,AG$3,BD!$B$3:$B$5001,$A$267)))</f>
        <v/>
      </c>
      <c r="AH288" s="172" t="str">
        <f>IF(AH$3="","",IF(COUNTIFS(BD!$A$3:$A$5001,AH$3,BD!$B$3:$B$5001,$A$267,BD!$X$3:$X$5001,"&lt;&gt;")=0,"",SUMIFS(BD!$X$3:$X$5001,BD!$A$3:$A$5001,AH$3,BD!$B$3:$B$5001,$A$267)))</f>
        <v/>
      </c>
      <c r="AI288" s="172" t="str">
        <f>IF(AI$3="","",IF(COUNTIFS(BD!$A$3:$A$5001,AI$3,BD!$B$3:$B$5001,$A$267,BD!$X$3:$X$5001,"&lt;&gt;")=0,"",SUMIFS(BD!$X$3:$X$5001,BD!$A$3:$A$5001,AI$3,BD!$B$3:$B$5001,$A$267)))</f>
        <v/>
      </c>
      <c r="AJ288" s="173" t="str">
        <f>IF(AJ$3="","",IF(COUNTIFS(BD!$A$3:$A$5001,AJ$3,BD!$B$3:$B$5001,$A$267,BD!$X$3:$X$5001,"&lt;&gt;")=0,"",SUMIFS(BD!$X$3:$X$5001,BD!$A$3:$A$5001,AJ$3,BD!$B$3:$B$5001,$A$267)))</f>
        <v/>
      </c>
      <c r="AK288" s="174" t="str">
        <f>IF(COUNT(F288:AJ288)&gt;0,LOOKUP(9.99E+307,F288:AJ288),IFERROR(IF(INDEX(BD!$AI$3:$AI$5001,MATCH($A$267,BD!$B$3:$B$5001,0))&amp;""="Contrato","",INDEX(BD!$AI$3:$AI$5001,MATCH($A$267,BD!$B$3:$B$5001,0))&amp;""),""))</f>
        <v/>
      </c>
    </row>
    <row r="289" ht="15.75" customHeight="1" hidden="1">
      <c r="A289" s="261"/>
      <c r="B289" s="256"/>
      <c r="C289" s="214" t="inlineStr">
        <is>
          <t xml:space="preserve">Posições Ocupadas</t>
        </is>
      </c>
      <c r="D289" s="215" t="str">
        <f>IFERROR(1/(1/INDEX(BD!$AL$45:$BF$45,MATCH($A$267,BD!$AL$22:$BF$22,0))),"")</f>
        <v/>
      </c>
      <c r="E289" s="216"/>
      <c r="F289" s="217" t="str">
        <f>IF(F$3="","",IF(COUNTIFS(BD!$A$3:$A$5001,F$3,BD!$B$3:$B$5001,$A$267,BD!$Y$3:$Y$5001,"&lt;&gt;")=0,"",SUMIFS(BD!$Y$3:$Y$5001,BD!$A$3:$A$5001,F$3,BD!$B$3:$B$5001,$A$267)))</f>
        <v/>
      </c>
      <c r="G289" s="218" t="str">
        <f>IF(G$3="","",IF(COUNTIFS(BD!$A$3:$A$5001,G$3,BD!$B$3:$B$5001,$A$267,BD!$Y$3:$Y$5001,"&lt;&gt;")=0,"",SUMIFS(BD!$Y$3:$Y$5001,BD!$A$3:$A$5001,G$3,BD!$B$3:$B$5001,$A$267)))</f>
        <v/>
      </c>
      <c r="H289" s="218" t="str">
        <f>IF(H$3="","",IF(COUNTIFS(BD!$A$3:$A$5001,H$3,BD!$B$3:$B$5001,$A$267,BD!$Y$3:$Y$5001,"&lt;&gt;")=0,"",SUMIFS(BD!$Y$3:$Y$5001,BD!$A$3:$A$5001,H$3,BD!$B$3:$B$5001,$A$267)))</f>
        <v/>
      </c>
      <c r="I289" s="218" t="str">
        <f>IF(I$3="","",IF(COUNTIFS(BD!$A$3:$A$5001,I$3,BD!$B$3:$B$5001,$A$267,BD!$Y$3:$Y$5001,"&lt;&gt;")=0,"",SUMIFS(BD!$Y$3:$Y$5001,BD!$A$3:$A$5001,I$3,BD!$B$3:$B$5001,$A$267)))</f>
        <v/>
      </c>
      <c r="J289" s="218" t="str">
        <f>IF(J$3="","",IF(COUNTIFS(BD!$A$3:$A$5001,J$3,BD!$B$3:$B$5001,$A$267,BD!$Y$3:$Y$5001,"&lt;&gt;")=0,"",SUMIFS(BD!$Y$3:$Y$5001,BD!$A$3:$A$5001,J$3,BD!$B$3:$B$5001,$A$267)))</f>
        <v/>
      </c>
      <c r="K289" s="218" t="str">
        <f>IF(K$3="","",IF(COUNTIFS(BD!$A$3:$A$5001,K$3,BD!$B$3:$B$5001,$A$267,BD!$Y$3:$Y$5001,"&lt;&gt;")=0,"",SUMIFS(BD!$Y$3:$Y$5001,BD!$A$3:$A$5001,K$3,BD!$B$3:$B$5001,$A$267)))</f>
        <v/>
      </c>
      <c r="L289" s="218" t="str">
        <f>IF(L$3="","",IF(COUNTIFS(BD!$A$3:$A$5001,L$3,BD!$B$3:$B$5001,$A$267,BD!$Y$3:$Y$5001,"&lt;&gt;")=0,"",SUMIFS(BD!$Y$3:$Y$5001,BD!$A$3:$A$5001,L$3,BD!$B$3:$B$5001,$A$267)))</f>
        <v/>
      </c>
      <c r="M289" s="218" t="str">
        <f>IF(M$3="","",IF(COUNTIFS(BD!$A$3:$A$5001,M$3,BD!$B$3:$B$5001,$A$267,BD!$Y$3:$Y$5001,"&lt;&gt;")=0,"",SUMIFS(BD!$Y$3:$Y$5001,BD!$A$3:$A$5001,M$3,BD!$B$3:$B$5001,$A$267)))</f>
        <v/>
      </c>
      <c r="N289" s="218" t="str">
        <f>IF(N$3="","",IF(COUNTIFS(BD!$A$3:$A$5001,N$3,BD!$B$3:$B$5001,$A$267,BD!$Y$3:$Y$5001,"&lt;&gt;")=0,"",SUMIFS(BD!$Y$3:$Y$5001,BD!$A$3:$A$5001,N$3,BD!$B$3:$B$5001,$A$267)))</f>
        <v/>
      </c>
      <c r="O289" s="218" t="str">
        <f>IF(O$3="","",IF(COUNTIFS(BD!$A$3:$A$5001,O$3,BD!$B$3:$B$5001,$A$267,BD!$Y$3:$Y$5001,"&lt;&gt;")=0,"",SUMIFS(BD!$Y$3:$Y$5001,BD!$A$3:$A$5001,O$3,BD!$B$3:$B$5001,$A$267)))</f>
        <v/>
      </c>
      <c r="P289" s="218" t="str">
        <f>IF(P$3="","",IF(COUNTIFS(BD!$A$3:$A$5001,P$3,BD!$B$3:$B$5001,$A$267,BD!$Y$3:$Y$5001,"&lt;&gt;")=0,"",SUMIFS(BD!$Y$3:$Y$5001,BD!$A$3:$A$5001,P$3,BD!$B$3:$B$5001,$A$267)))</f>
        <v/>
      </c>
      <c r="Q289" s="218" t="str">
        <f>IF(Q$3="","",IF(COUNTIFS(BD!$A$3:$A$5001,Q$3,BD!$B$3:$B$5001,$A$267,BD!$Y$3:$Y$5001,"&lt;&gt;")=0,"",SUMIFS(BD!$Y$3:$Y$5001,BD!$A$3:$A$5001,Q$3,BD!$B$3:$B$5001,$A$267)))</f>
        <v/>
      </c>
      <c r="R289" s="218" t="str">
        <f>IF(R$3="","",IF(COUNTIFS(BD!$A$3:$A$5001,R$3,BD!$B$3:$B$5001,$A$267,BD!$Y$3:$Y$5001,"&lt;&gt;")=0,"",SUMIFS(BD!$Y$3:$Y$5001,BD!$A$3:$A$5001,R$3,BD!$B$3:$B$5001,$A$267)))</f>
        <v/>
      </c>
      <c r="S289" s="218" t="str">
        <f>IF(S$3="","",IF(COUNTIFS(BD!$A$3:$A$5001,S$3,BD!$B$3:$B$5001,$A$267,BD!$Y$3:$Y$5001,"&lt;&gt;")=0,"",SUMIFS(BD!$Y$3:$Y$5001,BD!$A$3:$A$5001,S$3,BD!$B$3:$B$5001,$A$267)))</f>
        <v/>
      </c>
      <c r="T289" s="218" t="str">
        <f>IF(T$3="","",IF(COUNTIFS(BD!$A$3:$A$5001,T$3,BD!$B$3:$B$5001,$A$267,BD!$Y$3:$Y$5001,"&lt;&gt;")=0,"",SUMIFS(BD!$Y$3:$Y$5001,BD!$A$3:$A$5001,T$3,BD!$B$3:$B$5001,$A$267)))</f>
        <v/>
      </c>
      <c r="U289" s="218" t="str">
        <f>IF(U$3="","",IF(COUNTIFS(BD!$A$3:$A$5001,U$3,BD!$B$3:$B$5001,$A$267,BD!$Y$3:$Y$5001,"&lt;&gt;")=0,"",SUMIFS(BD!$Y$3:$Y$5001,BD!$A$3:$A$5001,U$3,BD!$B$3:$B$5001,$A$267)))</f>
        <v/>
      </c>
      <c r="V289" s="218" t="str">
        <f>IF(V$3="","",IF(COUNTIFS(BD!$A$3:$A$5001,V$3,BD!$B$3:$B$5001,$A$267,BD!$Y$3:$Y$5001,"&lt;&gt;")=0,"",SUMIFS(BD!$Y$3:$Y$5001,BD!$A$3:$A$5001,V$3,BD!$B$3:$B$5001,$A$267)))</f>
        <v/>
      </c>
      <c r="W289" s="218" t="str">
        <f>IF(W$3="","",IF(COUNTIFS(BD!$A$3:$A$5001,W$3,BD!$B$3:$B$5001,$A$267,BD!$Y$3:$Y$5001,"&lt;&gt;")=0,"",SUMIFS(BD!$Y$3:$Y$5001,BD!$A$3:$A$5001,W$3,BD!$B$3:$B$5001,$A$267)))</f>
        <v/>
      </c>
      <c r="X289" s="218" t="str">
        <f>IF(X$3="","",IF(COUNTIFS(BD!$A$3:$A$5001,X$3,BD!$B$3:$B$5001,$A$267,BD!$Y$3:$Y$5001,"&lt;&gt;")=0,"",SUMIFS(BD!$Y$3:$Y$5001,BD!$A$3:$A$5001,X$3,BD!$B$3:$B$5001,$A$267)))</f>
        <v/>
      </c>
      <c r="Y289" s="218" t="str">
        <f>IF(Y$3="","",IF(COUNTIFS(BD!$A$3:$A$5001,Y$3,BD!$B$3:$B$5001,$A$267,BD!$Y$3:$Y$5001,"&lt;&gt;")=0,"",SUMIFS(BD!$Y$3:$Y$5001,BD!$A$3:$A$5001,Y$3,BD!$B$3:$B$5001,$A$267)))</f>
        <v/>
      </c>
      <c r="Z289" s="218" t="str">
        <f>IF(Z$3="","",IF(COUNTIFS(BD!$A$3:$A$5001,Z$3,BD!$B$3:$B$5001,$A$267,BD!$Y$3:$Y$5001,"&lt;&gt;")=0,"",SUMIFS(BD!$Y$3:$Y$5001,BD!$A$3:$A$5001,Z$3,BD!$B$3:$B$5001,$A$267)))</f>
        <v/>
      </c>
      <c r="AA289" s="218" t="str">
        <f>IF(AA$3="","",IF(COUNTIFS(BD!$A$3:$A$5001,AA$3,BD!$B$3:$B$5001,$A$267,BD!$Y$3:$Y$5001,"&lt;&gt;")=0,"",SUMIFS(BD!$Y$3:$Y$5001,BD!$A$3:$A$5001,AA$3,BD!$B$3:$B$5001,$A$267)))</f>
        <v/>
      </c>
      <c r="AB289" s="218" t="str">
        <f>IF(AB$3="","",IF(COUNTIFS(BD!$A$3:$A$5001,AB$3,BD!$B$3:$B$5001,$A$267,BD!$Y$3:$Y$5001,"&lt;&gt;")=0,"",SUMIFS(BD!$Y$3:$Y$5001,BD!$A$3:$A$5001,AB$3,BD!$B$3:$B$5001,$A$267)))</f>
        <v/>
      </c>
      <c r="AC289" s="218" t="str">
        <f>IF(AC$3="","",IF(COUNTIFS(BD!$A$3:$A$5001,AC$3,BD!$B$3:$B$5001,$A$267,BD!$Y$3:$Y$5001,"&lt;&gt;")=0,"",SUMIFS(BD!$Y$3:$Y$5001,BD!$A$3:$A$5001,AC$3,BD!$B$3:$B$5001,$A$267)))</f>
        <v/>
      </c>
      <c r="AD289" s="218" t="str">
        <f>IF(AD$3="","",IF(COUNTIFS(BD!$A$3:$A$5001,AD$3,BD!$B$3:$B$5001,$A$267,BD!$Y$3:$Y$5001,"&lt;&gt;")=0,"",SUMIFS(BD!$Y$3:$Y$5001,BD!$A$3:$A$5001,AD$3,BD!$B$3:$B$5001,$A$267)))</f>
        <v/>
      </c>
      <c r="AE289" s="218" t="str">
        <f>IF(AE$3="","",IF(COUNTIFS(BD!$A$3:$A$5001,AE$3,BD!$B$3:$B$5001,$A$267,BD!$Y$3:$Y$5001,"&lt;&gt;")=0,"",SUMIFS(BD!$Y$3:$Y$5001,BD!$A$3:$A$5001,AE$3,BD!$B$3:$B$5001,$A$267)))</f>
        <v/>
      </c>
      <c r="AF289" s="218" t="str">
        <f>IF(AF$3="","",IF(COUNTIFS(BD!$A$3:$A$5001,AF$3,BD!$B$3:$B$5001,$A$267,BD!$Y$3:$Y$5001,"&lt;&gt;")=0,"",SUMIFS(BD!$Y$3:$Y$5001,BD!$A$3:$A$5001,AF$3,BD!$B$3:$B$5001,$A$267)))</f>
        <v/>
      </c>
      <c r="AG289" s="218" t="str">
        <f>IF(AG$3="","",IF(COUNTIFS(BD!$A$3:$A$5001,AG$3,BD!$B$3:$B$5001,$A$267,BD!$Y$3:$Y$5001,"&lt;&gt;")=0,"",SUMIFS(BD!$Y$3:$Y$5001,BD!$A$3:$A$5001,AG$3,BD!$B$3:$B$5001,$A$267)))</f>
        <v/>
      </c>
      <c r="AH289" s="218" t="str">
        <f>IF(AH$3="","",IF(COUNTIFS(BD!$A$3:$A$5001,AH$3,BD!$B$3:$B$5001,$A$267,BD!$Y$3:$Y$5001,"&lt;&gt;")=0,"",SUMIFS(BD!$Y$3:$Y$5001,BD!$A$3:$A$5001,AH$3,BD!$B$3:$B$5001,$A$267)))</f>
        <v/>
      </c>
      <c r="AI289" s="218" t="str">
        <f>IF(AI$3="","",IF(COUNTIFS(BD!$A$3:$A$5001,AI$3,BD!$B$3:$B$5001,$A$267,BD!$Y$3:$Y$5001,"&lt;&gt;")=0,"",SUMIFS(BD!$Y$3:$Y$5001,BD!$A$3:$A$5001,AI$3,BD!$B$3:$B$5001,$A$267)))</f>
        <v/>
      </c>
      <c r="AJ289" s="219" t="str">
        <f>IF(AJ$3="","",IF(COUNTIFS(BD!$A$3:$A$5001,AJ$3,BD!$B$3:$B$5001,$A$267,BD!$Y$3:$Y$5001,"&lt;&gt;")=0,"",SUMIFS(BD!$Y$3:$Y$5001,BD!$A$3:$A$5001,AJ$3,BD!$B$3:$B$5001,$A$267)))</f>
        <v/>
      </c>
      <c r="AK289" s="220" t="str">
        <f>IFERROR(LOOKUP(9.99E+307,F289:AJ289),"")</f>
        <v/>
      </c>
    </row>
    <row r="290" ht="15.75" customHeight="1" hidden="1">
      <c r="A290" s="261"/>
      <c r="B290" s="250"/>
      <c r="C290" s="175" t="inlineStr">
        <is>
          <t xml:space="preserve">Taxa de Ocupação</t>
        </is>
      </c>
      <c r="D290" s="221" t="str">
        <f>IFERROR(1/(1/INDEX(BD!$AL$46:$BF$46,MATCH($A$267,BD!$AL$22:$BF$22,0))),"")</f>
        <v/>
      </c>
      <c r="E290" s="177"/>
      <c r="F290" s="222" t="str">
        <f>IF(AND(ISNUMBER(F288),ISNUMBER(F289)),IF(F288&gt;0,F289/F288,""),"")</f>
        <v/>
      </c>
      <c r="G290" s="223" t="str">
        <f>IF(AND(ISNUMBER(G288),ISNUMBER(G289)),IF(G288&gt;0,G289/G288,""),"")</f>
        <v/>
      </c>
      <c r="H290" s="223" t="str">
        <f>IF(AND(ISNUMBER(H288),ISNUMBER(H289)),IF(H288&gt;0,H289/H288,""),"")</f>
        <v/>
      </c>
      <c r="I290" s="223" t="str">
        <f>IF(AND(ISNUMBER(I288),ISNUMBER(I289)),IF(I288&gt;0,I289/I288,""),"")</f>
        <v/>
      </c>
      <c r="J290" s="223" t="str">
        <f>IF(AND(ISNUMBER(J288),ISNUMBER(J289)),IF(J288&gt;0,J289/J288,""),"")</f>
        <v/>
      </c>
      <c r="K290" s="223" t="str">
        <f>IF(AND(ISNUMBER(K288),ISNUMBER(K289)),IF(K288&gt;0,K289/K288,""),"")</f>
        <v/>
      </c>
      <c r="L290" s="223" t="str">
        <f>IF(AND(ISNUMBER(L288),ISNUMBER(L289)),IF(L288&gt;0,L289/L288,""),"")</f>
        <v/>
      </c>
      <c r="M290" s="223" t="str">
        <f>IF(AND(ISNUMBER(M288),ISNUMBER(M289)),IF(M288&gt;0,M289/M288,""),"")</f>
        <v/>
      </c>
      <c r="N290" s="223" t="str">
        <f>IF(AND(ISNUMBER(N288),ISNUMBER(N289)),IF(N288&gt;0,N289/N288,""),"")</f>
        <v/>
      </c>
      <c r="O290" s="223" t="str">
        <f>IF(AND(ISNUMBER(O288),ISNUMBER(O289)),IF(O288&gt;0,O289/O288,""),"")</f>
        <v/>
      </c>
      <c r="P290" s="223" t="str">
        <f>IF(AND(ISNUMBER(P288),ISNUMBER(P289)),IF(P288&gt;0,P289/P288,""),"")</f>
        <v/>
      </c>
      <c r="Q290" s="223" t="str">
        <f>IF(AND(ISNUMBER(Q288),ISNUMBER(Q289)),IF(Q288&gt;0,Q289/Q288,""),"")</f>
        <v/>
      </c>
      <c r="R290" s="223" t="str">
        <f>IF(AND(ISNUMBER(R288),ISNUMBER(R289)),IF(R288&gt;0,R289/R288,""),"")</f>
        <v/>
      </c>
      <c r="S290" s="223" t="str">
        <f>IF(AND(ISNUMBER(S288),ISNUMBER(S289)),IF(S288&gt;0,S289/S288,""),"")</f>
        <v/>
      </c>
      <c r="T290" s="223" t="str">
        <f>IF(AND(ISNUMBER(T288),ISNUMBER(T289)),IF(T288&gt;0,T289/T288,""),"")</f>
        <v/>
      </c>
      <c r="U290" s="223" t="str">
        <f>IF(AND(ISNUMBER(U288),ISNUMBER(U289)),IF(U288&gt;0,U289/U288,""),"")</f>
        <v/>
      </c>
      <c r="V290" s="223" t="str">
        <f>IF(AND(ISNUMBER(V288),ISNUMBER(V289)),IF(V288&gt;0,V289/V288,""),"")</f>
        <v/>
      </c>
      <c r="W290" s="223" t="str">
        <f>IF(AND(ISNUMBER(W288),ISNUMBER(W289)),IF(W288&gt;0,W289/W288,""),"")</f>
        <v/>
      </c>
      <c r="X290" s="223" t="str">
        <f>IF(AND(ISNUMBER(X288),ISNUMBER(X289)),IF(X288&gt;0,X289/X288,""),"")</f>
        <v/>
      </c>
      <c r="Y290" s="223" t="str">
        <f>IF(AND(ISNUMBER(Y288),ISNUMBER(Y289)),IF(Y288&gt;0,Y289/Y288,""),"")</f>
        <v/>
      </c>
      <c r="Z290" s="223" t="str">
        <f>IF(AND(ISNUMBER(Z288),ISNUMBER(Z289)),IF(Z288&gt;0,Z289/Z288,""),"")</f>
        <v/>
      </c>
      <c r="AA290" s="223" t="str">
        <f>IF(AND(ISNUMBER(AA288),ISNUMBER(AA289)),IF(AA288&gt;0,AA289/AA288,""),"")</f>
        <v/>
      </c>
      <c r="AB290" s="223" t="str">
        <f>IF(AND(ISNUMBER(AB288),ISNUMBER(AB289)),IF(AB288&gt;0,AB289/AB288,""),"")</f>
        <v/>
      </c>
      <c r="AC290" s="223" t="str">
        <f>IF(AND(ISNUMBER(AC288),ISNUMBER(AC289)),IF(AC288&gt;0,AC289/AC288,""),"")</f>
        <v/>
      </c>
      <c r="AD290" s="223" t="str">
        <f>IF(AND(ISNUMBER(AD288),ISNUMBER(AD289)),IF(AD288&gt;0,AD289/AD288,""),"")</f>
        <v/>
      </c>
      <c r="AE290" s="223" t="str">
        <f>IF(AND(ISNUMBER(AE288),ISNUMBER(AE289)),IF(AE288&gt;0,AE289/AE288,""),"")</f>
        <v/>
      </c>
      <c r="AF290" s="223" t="str">
        <f>IF(AND(ISNUMBER(AF288),ISNUMBER(AF289)),IF(AF288&gt;0,AF289/AF288,""),"")</f>
        <v/>
      </c>
      <c r="AG290" s="223" t="str">
        <f>IF(AND(ISNUMBER(AG288),ISNUMBER(AG289)),IF(AG288&gt;0,AG289/AG288,""),"")</f>
        <v/>
      </c>
      <c r="AH290" s="223" t="str">
        <f>IF(AND(ISNUMBER(AH288),ISNUMBER(AH289)),IF(AH288&gt;0,AH289/AH288,""),"")</f>
        <v/>
      </c>
      <c r="AI290" s="223" t="str">
        <f>IF(AND(ISNUMBER(AI288),ISNUMBER(AI289)),IF(AI288&gt;0,AI289/AI288,""),"")</f>
        <v/>
      </c>
      <c r="AJ290" s="224" t="str">
        <f>IF(AND(ISNUMBER(AJ288),ISNUMBER(AJ289)),IF(AJ288&gt;0,AJ289/AJ288,""),"")</f>
        <v/>
      </c>
      <c r="AK290" s="221" t="str">
        <f>IF(AND(ISNUMBER(AK288),ISNUMBER(AK289)),IF(AK288&gt;0,AK289/AK288,""),"")</f>
        <v/>
      </c>
    </row>
    <row r="291" ht="15.75" customHeight="1" hidden="1">
      <c r="A291" s="261"/>
      <c r="B291" s="257" t="inlineStr">
        <is>
          <t xml:space="preserve">GENTE</t>
        </is>
      </c>
      <c r="C291" s="225" t="inlineStr">
        <is>
          <t xml:space="preserve">Efetivo Op.</t>
        </is>
      </c>
      <c r="D291" s="226" t="str">
        <f>IFERROR(1/(1/INDEX(BD!$AL$47:$BF$47,MATCH($A$267,BD!$AL$22:$BF$22,0))),"")</f>
        <v/>
      </c>
      <c r="E291" s="227"/>
      <c r="F291" s="228" t="str">
        <f>IF(F$3="","",IF(COUNTIFS(BD!$A$3:$A$5001,F$3,BD!$B$3:$B$5001,$A$267,BD!$Z$3:$Z$5001,"&lt;&gt;")=0,"",SUMIFS(BD!$Z$3:$Z$5001,BD!$A$3:$A$5001,F$3,BD!$B$3:$B$5001,$A$267)))</f>
        <v/>
      </c>
      <c r="G291" s="229" t="str">
        <f>IF(G$3="","",IF(COUNTIFS(BD!$A$3:$A$5001,G$3,BD!$B$3:$B$5001,$A$267,BD!$Z$3:$Z$5001,"&lt;&gt;")=0,"",SUMIFS(BD!$Z$3:$Z$5001,BD!$A$3:$A$5001,G$3,BD!$B$3:$B$5001,$A$267)))</f>
        <v/>
      </c>
      <c r="H291" s="229" t="str">
        <f>IF(H$3="","",IF(COUNTIFS(BD!$A$3:$A$5001,H$3,BD!$B$3:$B$5001,$A$267,BD!$Z$3:$Z$5001,"&lt;&gt;")=0,"",SUMIFS(BD!$Z$3:$Z$5001,BD!$A$3:$A$5001,H$3,BD!$B$3:$B$5001,$A$267)))</f>
        <v/>
      </c>
      <c r="I291" s="229" t="str">
        <f>IF(I$3="","",IF(COUNTIFS(BD!$A$3:$A$5001,I$3,BD!$B$3:$B$5001,$A$267,BD!$Z$3:$Z$5001,"&lt;&gt;")=0,"",SUMIFS(BD!$Z$3:$Z$5001,BD!$A$3:$A$5001,I$3,BD!$B$3:$B$5001,$A$267)))</f>
        <v/>
      </c>
      <c r="J291" s="229" t="str">
        <f>IF(J$3="","",IF(COUNTIFS(BD!$A$3:$A$5001,J$3,BD!$B$3:$B$5001,$A$267,BD!$Z$3:$Z$5001,"&lt;&gt;")=0,"",SUMIFS(BD!$Z$3:$Z$5001,BD!$A$3:$A$5001,J$3,BD!$B$3:$B$5001,$A$267)))</f>
        <v/>
      </c>
      <c r="K291" s="229" t="str">
        <f>IF(K$3="","",IF(COUNTIFS(BD!$A$3:$A$5001,K$3,BD!$B$3:$B$5001,$A$267,BD!$Z$3:$Z$5001,"&lt;&gt;")=0,"",SUMIFS(BD!$Z$3:$Z$5001,BD!$A$3:$A$5001,K$3,BD!$B$3:$B$5001,$A$267)))</f>
        <v/>
      </c>
      <c r="L291" s="229" t="str">
        <f>IF(L$3="","",IF(COUNTIFS(BD!$A$3:$A$5001,L$3,BD!$B$3:$B$5001,$A$267,BD!$Z$3:$Z$5001,"&lt;&gt;")=0,"",SUMIFS(BD!$Z$3:$Z$5001,BD!$A$3:$A$5001,L$3,BD!$B$3:$B$5001,$A$267)))</f>
        <v/>
      </c>
      <c r="M291" s="229" t="str">
        <f>IF(M$3="","",IF(COUNTIFS(BD!$A$3:$A$5001,M$3,BD!$B$3:$B$5001,$A$267,BD!$Z$3:$Z$5001,"&lt;&gt;")=0,"",SUMIFS(BD!$Z$3:$Z$5001,BD!$A$3:$A$5001,M$3,BD!$B$3:$B$5001,$A$267)))</f>
        <v/>
      </c>
      <c r="N291" s="229" t="str">
        <f>IF(N$3="","",IF(COUNTIFS(BD!$A$3:$A$5001,N$3,BD!$B$3:$B$5001,$A$267,BD!$Z$3:$Z$5001,"&lt;&gt;")=0,"",SUMIFS(BD!$Z$3:$Z$5001,BD!$A$3:$A$5001,N$3,BD!$B$3:$B$5001,$A$267)))</f>
        <v/>
      </c>
      <c r="O291" s="229" t="str">
        <f>IF(O$3="","",IF(COUNTIFS(BD!$A$3:$A$5001,O$3,BD!$B$3:$B$5001,$A$267,BD!$Z$3:$Z$5001,"&lt;&gt;")=0,"",SUMIFS(BD!$Z$3:$Z$5001,BD!$A$3:$A$5001,O$3,BD!$B$3:$B$5001,$A$267)))</f>
        <v/>
      </c>
      <c r="P291" s="229" t="str">
        <f>IF(P$3="","",IF(COUNTIFS(BD!$A$3:$A$5001,P$3,BD!$B$3:$B$5001,$A$267,BD!$Z$3:$Z$5001,"&lt;&gt;")=0,"",SUMIFS(BD!$Z$3:$Z$5001,BD!$A$3:$A$5001,P$3,BD!$B$3:$B$5001,$A$267)))</f>
        <v/>
      </c>
      <c r="Q291" s="229" t="str">
        <f>IF(Q$3="","",IF(COUNTIFS(BD!$A$3:$A$5001,Q$3,BD!$B$3:$B$5001,$A$267,BD!$Z$3:$Z$5001,"&lt;&gt;")=0,"",SUMIFS(BD!$Z$3:$Z$5001,BD!$A$3:$A$5001,Q$3,BD!$B$3:$B$5001,$A$267)))</f>
        <v/>
      </c>
      <c r="R291" s="229" t="str">
        <f>IF(R$3="","",IF(COUNTIFS(BD!$A$3:$A$5001,R$3,BD!$B$3:$B$5001,$A$267,BD!$Z$3:$Z$5001,"&lt;&gt;")=0,"",SUMIFS(BD!$Z$3:$Z$5001,BD!$A$3:$A$5001,R$3,BD!$B$3:$B$5001,$A$267)))</f>
        <v/>
      </c>
      <c r="S291" s="229" t="str">
        <f>IF(S$3="","",IF(COUNTIFS(BD!$A$3:$A$5001,S$3,BD!$B$3:$B$5001,$A$267,BD!$Z$3:$Z$5001,"&lt;&gt;")=0,"",SUMIFS(BD!$Z$3:$Z$5001,BD!$A$3:$A$5001,S$3,BD!$B$3:$B$5001,$A$267)))</f>
        <v/>
      </c>
      <c r="T291" s="229" t="str">
        <f>IF(T$3="","",IF(COUNTIFS(BD!$A$3:$A$5001,T$3,BD!$B$3:$B$5001,$A$267,BD!$Z$3:$Z$5001,"&lt;&gt;")=0,"",SUMIFS(BD!$Z$3:$Z$5001,BD!$A$3:$A$5001,T$3,BD!$B$3:$B$5001,$A$267)))</f>
        <v/>
      </c>
      <c r="U291" s="229" t="str">
        <f>IF(U$3="","",IF(COUNTIFS(BD!$A$3:$A$5001,U$3,BD!$B$3:$B$5001,$A$267,BD!$Z$3:$Z$5001,"&lt;&gt;")=0,"",SUMIFS(BD!$Z$3:$Z$5001,BD!$A$3:$A$5001,U$3,BD!$B$3:$B$5001,$A$267)))</f>
        <v/>
      </c>
      <c r="V291" s="229" t="str">
        <f>IF(V$3="","",IF(COUNTIFS(BD!$A$3:$A$5001,V$3,BD!$B$3:$B$5001,$A$267,BD!$Z$3:$Z$5001,"&lt;&gt;")=0,"",SUMIFS(BD!$Z$3:$Z$5001,BD!$A$3:$A$5001,V$3,BD!$B$3:$B$5001,$A$267)))</f>
        <v/>
      </c>
      <c r="W291" s="229" t="str">
        <f>IF(W$3="","",IF(COUNTIFS(BD!$A$3:$A$5001,W$3,BD!$B$3:$B$5001,$A$267,BD!$Z$3:$Z$5001,"&lt;&gt;")=0,"",SUMIFS(BD!$Z$3:$Z$5001,BD!$A$3:$A$5001,W$3,BD!$B$3:$B$5001,$A$267)))</f>
        <v/>
      </c>
      <c r="X291" s="229" t="str">
        <f>IF(X$3="","",IF(COUNTIFS(BD!$A$3:$A$5001,X$3,BD!$B$3:$B$5001,$A$267,BD!$Z$3:$Z$5001,"&lt;&gt;")=0,"",SUMIFS(BD!$Z$3:$Z$5001,BD!$A$3:$A$5001,X$3,BD!$B$3:$B$5001,$A$267)))</f>
        <v/>
      </c>
      <c r="Y291" s="229" t="str">
        <f>IF(Y$3="","",IF(COUNTIFS(BD!$A$3:$A$5001,Y$3,BD!$B$3:$B$5001,$A$267,BD!$Z$3:$Z$5001,"&lt;&gt;")=0,"",SUMIFS(BD!$Z$3:$Z$5001,BD!$A$3:$A$5001,Y$3,BD!$B$3:$B$5001,$A$267)))</f>
        <v/>
      </c>
      <c r="Z291" s="229" t="str">
        <f>IF(Z$3="","",IF(COUNTIFS(BD!$A$3:$A$5001,Z$3,BD!$B$3:$B$5001,$A$267,BD!$Z$3:$Z$5001,"&lt;&gt;")=0,"",SUMIFS(BD!$Z$3:$Z$5001,BD!$A$3:$A$5001,Z$3,BD!$B$3:$B$5001,$A$267)))</f>
        <v/>
      </c>
      <c r="AA291" s="229" t="str">
        <f>IF(AA$3="","",IF(COUNTIFS(BD!$A$3:$A$5001,AA$3,BD!$B$3:$B$5001,$A$267,BD!$Z$3:$Z$5001,"&lt;&gt;")=0,"",SUMIFS(BD!$Z$3:$Z$5001,BD!$A$3:$A$5001,AA$3,BD!$B$3:$B$5001,$A$267)))</f>
        <v/>
      </c>
      <c r="AB291" s="229" t="str">
        <f>IF(AB$3="","",IF(COUNTIFS(BD!$A$3:$A$5001,AB$3,BD!$B$3:$B$5001,$A$267,BD!$Z$3:$Z$5001,"&lt;&gt;")=0,"",SUMIFS(BD!$Z$3:$Z$5001,BD!$A$3:$A$5001,AB$3,BD!$B$3:$B$5001,$A$267)))</f>
        <v/>
      </c>
      <c r="AC291" s="229" t="str">
        <f>IF(AC$3="","",IF(COUNTIFS(BD!$A$3:$A$5001,AC$3,BD!$B$3:$B$5001,$A$267,BD!$Z$3:$Z$5001,"&lt;&gt;")=0,"",SUMIFS(BD!$Z$3:$Z$5001,BD!$A$3:$A$5001,AC$3,BD!$B$3:$B$5001,$A$267)))</f>
        <v/>
      </c>
      <c r="AD291" s="229" t="str">
        <f>IF(AD$3="","",IF(COUNTIFS(BD!$A$3:$A$5001,AD$3,BD!$B$3:$B$5001,$A$267,BD!$Z$3:$Z$5001,"&lt;&gt;")=0,"",SUMIFS(BD!$Z$3:$Z$5001,BD!$A$3:$A$5001,AD$3,BD!$B$3:$B$5001,$A$267)))</f>
        <v/>
      </c>
      <c r="AE291" s="229" t="str">
        <f>IF(AE$3="","",IF(COUNTIFS(BD!$A$3:$A$5001,AE$3,BD!$B$3:$B$5001,$A$267,BD!$Z$3:$Z$5001,"&lt;&gt;")=0,"",SUMIFS(BD!$Z$3:$Z$5001,BD!$A$3:$A$5001,AE$3,BD!$B$3:$B$5001,$A$267)))</f>
        <v/>
      </c>
      <c r="AF291" s="229" t="str">
        <f>IF(AF$3="","",IF(COUNTIFS(BD!$A$3:$A$5001,AF$3,BD!$B$3:$B$5001,$A$267,BD!$Z$3:$Z$5001,"&lt;&gt;")=0,"",SUMIFS(BD!$Z$3:$Z$5001,BD!$A$3:$A$5001,AF$3,BD!$B$3:$B$5001,$A$267)))</f>
        <v/>
      </c>
      <c r="AG291" s="229" t="str">
        <f>IF(AG$3="","",IF(COUNTIFS(BD!$A$3:$A$5001,AG$3,BD!$B$3:$B$5001,$A$267,BD!$Z$3:$Z$5001,"&lt;&gt;")=0,"",SUMIFS(BD!$Z$3:$Z$5001,BD!$A$3:$A$5001,AG$3,BD!$B$3:$B$5001,$A$267)))</f>
        <v/>
      </c>
      <c r="AH291" s="229" t="str">
        <f>IF(AH$3="","",IF(COUNTIFS(BD!$A$3:$A$5001,AH$3,BD!$B$3:$B$5001,$A$267,BD!$Z$3:$Z$5001,"&lt;&gt;")=0,"",SUMIFS(BD!$Z$3:$Z$5001,BD!$A$3:$A$5001,AH$3,BD!$B$3:$B$5001,$A$267)))</f>
        <v/>
      </c>
      <c r="AI291" s="229" t="str">
        <f>IF(AI$3="","",IF(COUNTIFS(BD!$A$3:$A$5001,AI$3,BD!$B$3:$B$5001,$A$267,BD!$Z$3:$Z$5001,"&lt;&gt;")=0,"",SUMIFS(BD!$Z$3:$Z$5001,BD!$A$3:$A$5001,AI$3,BD!$B$3:$B$5001,$A$267)))</f>
        <v/>
      </c>
      <c r="AJ291" s="230" t="str">
        <f>IF(AJ$3="","",IF(COUNTIFS(BD!$A$3:$A$5001,AJ$3,BD!$B$3:$B$5001,$A$267,BD!$Z$3:$Z$5001,"&lt;&gt;")=0,"",SUMIFS(BD!$Z$3:$Z$5001,BD!$A$3:$A$5001,AJ$3,BD!$B$3:$B$5001,$A$267)))</f>
        <v/>
      </c>
      <c r="AK291" s="231" t="str">
        <f>IFERROR(LOOKUP(9.99E+307,F291:AJ291),"")</f>
        <v/>
      </c>
    </row>
    <row r="292" ht="15.75" customHeight="1" hidden="1">
      <c r="A292" s="261"/>
      <c r="B292" s="258"/>
      <c r="C292" s="232" t="inlineStr">
        <is>
          <t xml:space="preserve">Falta</t>
        </is>
      </c>
      <c r="D292" s="233" t="str">
        <f>IFERROR(1/(1/INDEX(BD!$AL$48:$BF$48,MATCH($A$267,BD!$AL$22:$BF$22,0))),"")</f>
        <v/>
      </c>
      <c r="E292" s="234"/>
      <c r="F292" s="235" t="str">
        <f>IF(F$3="","",IF(COUNTIFS(BD!$A$3:$A$5001,F$3,BD!$B$3:$B$5001,$A$267,BD!$AA$3:$AA$5001,"&lt;&gt;")=0,"",SUMIFS(BD!$AA$3:$AA$5001,BD!$A$3:$A$5001,F$3,BD!$B$3:$B$5001,$A$267)))</f>
        <v/>
      </c>
      <c r="G292" s="236" t="str">
        <f>IF(G$3="","",IF(COUNTIFS(BD!$A$3:$A$5001,G$3,BD!$B$3:$B$5001,$A$267,BD!$AA$3:$AA$5001,"&lt;&gt;")=0,"",SUMIFS(BD!$AA$3:$AA$5001,BD!$A$3:$A$5001,G$3,BD!$B$3:$B$5001,$A$267)))</f>
        <v/>
      </c>
      <c r="H292" s="236" t="str">
        <f>IF(H$3="","",IF(COUNTIFS(BD!$A$3:$A$5001,H$3,BD!$B$3:$B$5001,$A$267,BD!$AA$3:$AA$5001,"&lt;&gt;")=0,"",SUMIFS(BD!$AA$3:$AA$5001,BD!$A$3:$A$5001,H$3,BD!$B$3:$B$5001,$A$267)))</f>
        <v/>
      </c>
      <c r="I292" s="236" t="str">
        <f>IF(I$3="","",IF(COUNTIFS(BD!$A$3:$A$5001,I$3,BD!$B$3:$B$5001,$A$267,BD!$AA$3:$AA$5001,"&lt;&gt;")=0,"",SUMIFS(BD!$AA$3:$AA$5001,BD!$A$3:$A$5001,I$3,BD!$B$3:$B$5001,$A$267)))</f>
        <v/>
      </c>
      <c r="J292" s="236" t="str">
        <f>IF(J$3="","",IF(COUNTIFS(BD!$A$3:$A$5001,J$3,BD!$B$3:$B$5001,$A$267,BD!$AA$3:$AA$5001,"&lt;&gt;")=0,"",SUMIFS(BD!$AA$3:$AA$5001,BD!$A$3:$A$5001,J$3,BD!$B$3:$B$5001,$A$267)))</f>
        <v/>
      </c>
      <c r="K292" s="236" t="str">
        <f>IF(K$3="","",IF(COUNTIFS(BD!$A$3:$A$5001,K$3,BD!$B$3:$B$5001,$A$267,BD!$AA$3:$AA$5001,"&lt;&gt;")=0,"",SUMIFS(BD!$AA$3:$AA$5001,BD!$A$3:$A$5001,K$3,BD!$B$3:$B$5001,$A$267)))</f>
        <v/>
      </c>
      <c r="L292" s="236" t="str">
        <f>IF(L$3="","",IF(COUNTIFS(BD!$A$3:$A$5001,L$3,BD!$B$3:$B$5001,$A$267,BD!$AA$3:$AA$5001,"&lt;&gt;")=0,"",SUMIFS(BD!$AA$3:$AA$5001,BD!$A$3:$A$5001,L$3,BD!$B$3:$B$5001,$A$267)))</f>
        <v/>
      </c>
      <c r="M292" s="236" t="str">
        <f>IF(M$3="","",IF(COUNTIFS(BD!$A$3:$A$5001,M$3,BD!$B$3:$B$5001,$A$267,BD!$AA$3:$AA$5001,"&lt;&gt;")=0,"",SUMIFS(BD!$AA$3:$AA$5001,BD!$A$3:$A$5001,M$3,BD!$B$3:$B$5001,$A$267)))</f>
        <v/>
      </c>
      <c r="N292" s="236" t="str">
        <f>IF(N$3="","",IF(COUNTIFS(BD!$A$3:$A$5001,N$3,BD!$B$3:$B$5001,$A$267,BD!$AA$3:$AA$5001,"&lt;&gt;")=0,"",SUMIFS(BD!$AA$3:$AA$5001,BD!$A$3:$A$5001,N$3,BD!$B$3:$B$5001,$A$267)))</f>
        <v/>
      </c>
      <c r="O292" s="236" t="str">
        <f>IF(O$3="","",IF(COUNTIFS(BD!$A$3:$A$5001,O$3,BD!$B$3:$B$5001,$A$267,BD!$AA$3:$AA$5001,"&lt;&gt;")=0,"",SUMIFS(BD!$AA$3:$AA$5001,BD!$A$3:$A$5001,O$3,BD!$B$3:$B$5001,$A$267)))</f>
        <v/>
      </c>
      <c r="P292" s="236" t="str">
        <f>IF(P$3="","",IF(COUNTIFS(BD!$A$3:$A$5001,P$3,BD!$B$3:$B$5001,$A$267,BD!$AA$3:$AA$5001,"&lt;&gt;")=0,"",SUMIFS(BD!$AA$3:$AA$5001,BD!$A$3:$A$5001,P$3,BD!$B$3:$B$5001,$A$267)))</f>
        <v/>
      </c>
      <c r="Q292" s="236" t="str">
        <f>IF(Q$3="","",IF(COUNTIFS(BD!$A$3:$A$5001,Q$3,BD!$B$3:$B$5001,$A$267,BD!$AA$3:$AA$5001,"&lt;&gt;")=0,"",SUMIFS(BD!$AA$3:$AA$5001,BD!$A$3:$A$5001,Q$3,BD!$B$3:$B$5001,$A$267)))</f>
        <v/>
      </c>
      <c r="R292" s="236" t="str">
        <f>IF(R$3="","",IF(COUNTIFS(BD!$A$3:$A$5001,R$3,BD!$B$3:$B$5001,$A$267,BD!$AA$3:$AA$5001,"&lt;&gt;")=0,"",SUMIFS(BD!$AA$3:$AA$5001,BD!$A$3:$A$5001,R$3,BD!$B$3:$B$5001,$A$267)))</f>
        <v/>
      </c>
      <c r="S292" s="236" t="str">
        <f>IF(S$3="","",IF(COUNTIFS(BD!$A$3:$A$5001,S$3,BD!$B$3:$B$5001,$A$267,BD!$AA$3:$AA$5001,"&lt;&gt;")=0,"",SUMIFS(BD!$AA$3:$AA$5001,BD!$A$3:$A$5001,S$3,BD!$B$3:$B$5001,$A$267)))</f>
        <v/>
      </c>
      <c r="T292" s="236" t="str">
        <f>IF(T$3="","",IF(COUNTIFS(BD!$A$3:$A$5001,T$3,BD!$B$3:$B$5001,$A$267,BD!$AA$3:$AA$5001,"&lt;&gt;")=0,"",SUMIFS(BD!$AA$3:$AA$5001,BD!$A$3:$A$5001,T$3,BD!$B$3:$B$5001,$A$267)))</f>
        <v/>
      </c>
      <c r="U292" s="236" t="str">
        <f>IF(U$3="","",IF(COUNTIFS(BD!$A$3:$A$5001,U$3,BD!$B$3:$B$5001,$A$267,BD!$AA$3:$AA$5001,"&lt;&gt;")=0,"",SUMIFS(BD!$AA$3:$AA$5001,BD!$A$3:$A$5001,U$3,BD!$B$3:$B$5001,$A$267)))</f>
        <v/>
      </c>
      <c r="V292" s="236" t="str">
        <f>IF(V$3="","",IF(COUNTIFS(BD!$A$3:$A$5001,V$3,BD!$B$3:$B$5001,$A$267,BD!$AA$3:$AA$5001,"&lt;&gt;")=0,"",SUMIFS(BD!$AA$3:$AA$5001,BD!$A$3:$A$5001,V$3,BD!$B$3:$B$5001,$A$267)))</f>
        <v/>
      </c>
      <c r="W292" s="236" t="str">
        <f>IF(W$3="","",IF(COUNTIFS(BD!$A$3:$A$5001,W$3,BD!$B$3:$B$5001,$A$267,BD!$AA$3:$AA$5001,"&lt;&gt;")=0,"",SUMIFS(BD!$AA$3:$AA$5001,BD!$A$3:$A$5001,W$3,BD!$B$3:$B$5001,$A$267)))</f>
        <v/>
      </c>
      <c r="X292" s="236" t="str">
        <f>IF(X$3="","",IF(COUNTIFS(BD!$A$3:$A$5001,X$3,BD!$B$3:$B$5001,$A$267,BD!$AA$3:$AA$5001,"&lt;&gt;")=0,"",SUMIFS(BD!$AA$3:$AA$5001,BD!$A$3:$A$5001,X$3,BD!$B$3:$B$5001,$A$267)))</f>
        <v/>
      </c>
      <c r="Y292" s="236" t="str">
        <f>IF(Y$3="","",IF(COUNTIFS(BD!$A$3:$A$5001,Y$3,BD!$B$3:$B$5001,$A$267,BD!$AA$3:$AA$5001,"&lt;&gt;")=0,"",SUMIFS(BD!$AA$3:$AA$5001,BD!$A$3:$A$5001,Y$3,BD!$B$3:$B$5001,$A$267)))</f>
        <v/>
      </c>
      <c r="Z292" s="236" t="str">
        <f>IF(Z$3="","",IF(COUNTIFS(BD!$A$3:$A$5001,Z$3,BD!$B$3:$B$5001,$A$267,BD!$AA$3:$AA$5001,"&lt;&gt;")=0,"",SUMIFS(BD!$AA$3:$AA$5001,BD!$A$3:$A$5001,Z$3,BD!$B$3:$B$5001,$A$267)))</f>
        <v/>
      </c>
      <c r="AA292" s="236" t="str">
        <f>IF(AA$3="","",IF(COUNTIFS(BD!$A$3:$A$5001,AA$3,BD!$B$3:$B$5001,$A$267,BD!$AA$3:$AA$5001,"&lt;&gt;")=0,"",SUMIFS(BD!$AA$3:$AA$5001,BD!$A$3:$A$5001,AA$3,BD!$B$3:$B$5001,$A$267)))</f>
        <v/>
      </c>
      <c r="AB292" s="236" t="str">
        <f>IF(AB$3="","",IF(COUNTIFS(BD!$A$3:$A$5001,AB$3,BD!$B$3:$B$5001,$A$267,BD!$AA$3:$AA$5001,"&lt;&gt;")=0,"",SUMIFS(BD!$AA$3:$AA$5001,BD!$A$3:$A$5001,AB$3,BD!$B$3:$B$5001,$A$267)))</f>
        <v/>
      </c>
      <c r="AC292" s="236" t="str">
        <f>IF(AC$3="","",IF(COUNTIFS(BD!$A$3:$A$5001,AC$3,BD!$B$3:$B$5001,$A$267,BD!$AA$3:$AA$5001,"&lt;&gt;")=0,"",SUMIFS(BD!$AA$3:$AA$5001,BD!$A$3:$A$5001,AC$3,BD!$B$3:$B$5001,$A$267)))</f>
        <v/>
      </c>
      <c r="AD292" s="236" t="str">
        <f>IF(AD$3="","",IF(COUNTIFS(BD!$A$3:$A$5001,AD$3,BD!$B$3:$B$5001,$A$267,BD!$AA$3:$AA$5001,"&lt;&gt;")=0,"",SUMIFS(BD!$AA$3:$AA$5001,BD!$A$3:$A$5001,AD$3,BD!$B$3:$B$5001,$A$267)))</f>
        <v/>
      </c>
      <c r="AE292" s="236" t="str">
        <f>IF(AE$3="","",IF(COUNTIFS(BD!$A$3:$A$5001,AE$3,BD!$B$3:$B$5001,$A$267,BD!$AA$3:$AA$5001,"&lt;&gt;")=0,"",SUMIFS(BD!$AA$3:$AA$5001,BD!$A$3:$A$5001,AE$3,BD!$B$3:$B$5001,$A$267)))</f>
        <v/>
      </c>
      <c r="AF292" s="236" t="str">
        <f>IF(AF$3="","",IF(COUNTIFS(BD!$A$3:$A$5001,AF$3,BD!$B$3:$B$5001,$A$267,BD!$AA$3:$AA$5001,"&lt;&gt;")=0,"",SUMIFS(BD!$AA$3:$AA$5001,BD!$A$3:$A$5001,AF$3,BD!$B$3:$B$5001,$A$267)))</f>
        <v/>
      </c>
      <c r="AG292" s="236" t="str">
        <f>IF(AG$3="","",IF(COUNTIFS(BD!$A$3:$A$5001,AG$3,BD!$B$3:$B$5001,$A$267,BD!$AA$3:$AA$5001,"&lt;&gt;")=0,"",SUMIFS(BD!$AA$3:$AA$5001,BD!$A$3:$A$5001,AG$3,BD!$B$3:$B$5001,$A$267)))</f>
        <v/>
      </c>
      <c r="AH292" s="236" t="str">
        <f>IF(AH$3="","",IF(COUNTIFS(BD!$A$3:$A$5001,AH$3,BD!$B$3:$B$5001,$A$267,BD!$AA$3:$AA$5001,"&lt;&gt;")=0,"",SUMIFS(BD!$AA$3:$AA$5001,BD!$A$3:$A$5001,AH$3,BD!$B$3:$B$5001,$A$267)))</f>
        <v/>
      </c>
      <c r="AI292" s="236" t="str">
        <f>IF(AI$3="","",IF(COUNTIFS(BD!$A$3:$A$5001,AI$3,BD!$B$3:$B$5001,$A$267,BD!$AA$3:$AA$5001,"&lt;&gt;")=0,"",SUMIFS(BD!$AA$3:$AA$5001,BD!$A$3:$A$5001,AI$3,BD!$B$3:$B$5001,$A$267)))</f>
        <v/>
      </c>
      <c r="AJ292" s="237" t="str">
        <f>IF(AJ$3="","",IF(COUNTIFS(BD!$A$3:$A$5001,AJ$3,BD!$B$3:$B$5001,$A$267,BD!$AA$3:$AA$5001,"&lt;&gt;")=0,"",SUMIFS(BD!$AA$3:$AA$5001,BD!$A$3:$A$5001,AJ$3,BD!$B$3:$B$5001,$A$267)))</f>
        <v/>
      </c>
      <c r="AK292" s="238" t="str">
        <f>IF(COUNT(F292:AJ292)=0,"",SUM(F292:AJ292))</f>
        <v/>
      </c>
    </row>
    <row r="293" ht="15.75" customHeight="1" hidden="1">
      <c r="A293" s="261"/>
      <c r="B293" s="258"/>
      <c r="C293" s="232" t="inlineStr">
        <is>
          <t xml:space="preserve">Absenteísmo (H/H)</t>
        </is>
      </c>
      <c r="D293" s="233" t="str">
        <f>IFERROR(1/(1/INDEX(BD!$AL$49:$BF$49,MATCH($A$267,BD!$AL$22:$BF$22,0))),"")</f>
        <v/>
      </c>
      <c r="E293" s="234"/>
      <c r="F293" s="239" t="str">
        <f>IF(F$3="","",IF(COUNTIFS(BD!$A$3:$A$5001,F$3,BD!$B$3:$B$5001,$A$267,BD!$AB$3:$AB$5001,"&lt;&gt;")=0,"",SUMIFS(BD!$AB$3:$AB$5001,BD!$A$3:$A$5001,F$3,BD!$B$3:$B$5001,$A$267)))</f>
        <v/>
      </c>
      <c r="G293" s="240" t="str">
        <f>IF(G$3="","",IF(COUNTIFS(BD!$A$3:$A$5001,G$3,BD!$B$3:$B$5001,$A$267,BD!$AB$3:$AB$5001,"&lt;&gt;")=0,"",SUMIFS(BD!$AB$3:$AB$5001,BD!$A$3:$A$5001,G$3,BD!$B$3:$B$5001,$A$267)))</f>
        <v/>
      </c>
      <c r="H293" s="240" t="str">
        <f>IF(H$3="","",IF(COUNTIFS(BD!$A$3:$A$5001,H$3,BD!$B$3:$B$5001,$A$267,BD!$AB$3:$AB$5001,"&lt;&gt;")=0,"",SUMIFS(BD!$AB$3:$AB$5001,BD!$A$3:$A$5001,H$3,BD!$B$3:$B$5001,$A$267)))</f>
        <v/>
      </c>
      <c r="I293" s="240" t="str">
        <f>IF(I$3="","",IF(COUNTIFS(BD!$A$3:$A$5001,I$3,BD!$B$3:$B$5001,$A$267,BD!$AB$3:$AB$5001,"&lt;&gt;")=0,"",SUMIFS(BD!$AB$3:$AB$5001,BD!$A$3:$A$5001,I$3,BD!$B$3:$B$5001,$A$267)))</f>
        <v/>
      </c>
      <c r="J293" s="240" t="str">
        <f>IF(J$3="","",IF(COUNTIFS(BD!$A$3:$A$5001,J$3,BD!$B$3:$B$5001,$A$267,BD!$AB$3:$AB$5001,"&lt;&gt;")=0,"",SUMIFS(BD!$AB$3:$AB$5001,BD!$A$3:$A$5001,J$3,BD!$B$3:$B$5001,$A$267)))</f>
        <v/>
      </c>
      <c r="K293" s="240" t="str">
        <f>IF(K$3="","",IF(COUNTIFS(BD!$A$3:$A$5001,K$3,BD!$B$3:$B$5001,$A$267,BD!$AB$3:$AB$5001,"&lt;&gt;")=0,"",SUMIFS(BD!$AB$3:$AB$5001,BD!$A$3:$A$5001,K$3,BD!$B$3:$B$5001,$A$267)))</f>
        <v/>
      </c>
      <c r="L293" s="240" t="str">
        <f>IF(L$3="","",IF(COUNTIFS(BD!$A$3:$A$5001,L$3,BD!$B$3:$B$5001,$A$267,BD!$AB$3:$AB$5001,"&lt;&gt;")=0,"",SUMIFS(BD!$AB$3:$AB$5001,BD!$A$3:$A$5001,L$3,BD!$B$3:$B$5001,$A$267)))</f>
        <v/>
      </c>
      <c r="M293" s="240" t="str">
        <f>IF(M$3="","",IF(COUNTIFS(BD!$A$3:$A$5001,M$3,BD!$B$3:$B$5001,$A$267,BD!$AB$3:$AB$5001,"&lt;&gt;")=0,"",SUMIFS(BD!$AB$3:$AB$5001,BD!$A$3:$A$5001,M$3,BD!$B$3:$B$5001,$A$267)))</f>
        <v/>
      </c>
      <c r="N293" s="240" t="str">
        <f>IF(N$3="","",IF(COUNTIFS(BD!$A$3:$A$5001,N$3,BD!$B$3:$B$5001,$A$267,BD!$AB$3:$AB$5001,"&lt;&gt;")=0,"",SUMIFS(BD!$AB$3:$AB$5001,BD!$A$3:$A$5001,N$3,BD!$B$3:$B$5001,$A$267)))</f>
        <v/>
      </c>
      <c r="O293" s="240" t="str">
        <f>IF(O$3="","",IF(COUNTIFS(BD!$A$3:$A$5001,O$3,BD!$B$3:$B$5001,$A$267,BD!$AB$3:$AB$5001,"&lt;&gt;")=0,"",SUMIFS(BD!$AB$3:$AB$5001,BD!$A$3:$A$5001,O$3,BD!$B$3:$B$5001,$A$267)))</f>
        <v/>
      </c>
      <c r="P293" s="240" t="str">
        <f>IF(P$3="","",IF(COUNTIFS(BD!$A$3:$A$5001,P$3,BD!$B$3:$B$5001,$A$267,BD!$AB$3:$AB$5001,"&lt;&gt;")=0,"",SUMIFS(BD!$AB$3:$AB$5001,BD!$A$3:$A$5001,P$3,BD!$B$3:$B$5001,$A$267)))</f>
        <v/>
      </c>
      <c r="Q293" s="240" t="str">
        <f>IF(Q$3="","",IF(COUNTIFS(BD!$A$3:$A$5001,Q$3,BD!$B$3:$B$5001,$A$267,BD!$AB$3:$AB$5001,"&lt;&gt;")=0,"",SUMIFS(BD!$AB$3:$AB$5001,BD!$A$3:$A$5001,Q$3,BD!$B$3:$B$5001,$A$267)))</f>
        <v/>
      </c>
      <c r="R293" s="240" t="str">
        <f>IF(R$3="","",IF(COUNTIFS(BD!$A$3:$A$5001,R$3,BD!$B$3:$B$5001,$A$267,BD!$AB$3:$AB$5001,"&lt;&gt;")=0,"",SUMIFS(BD!$AB$3:$AB$5001,BD!$A$3:$A$5001,R$3,BD!$B$3:$B$5001,$A$267)))</f>
        <v/>
      </c>
      <c r="S293" s="240" t="str">
        <f>IF(S$3="","",IF(COUNTIFS(BD!$A$3:$A$5001,S$3,BD!$B$3:$B$5001,$A$267,BD!$AB$3:$AB$5001,"&lt;&gt;")=0,"",SUMIFS(BD!$AB$3:$AB$5001,BD!$A$3:$A$5001,S$3,BD!$B$3:$B$5001,$A$267)))</f>
        <v/>
      </c>
      <c r="T293" s="240" t="str">
        <f>IF(T$3="","",IF(COUNTIFS(BD!$A$3:$A$5001,T$3,BD!$B$3:$B$5001,$A$267,BD!$AB$3:$AB$5001,"&lt;&gt;")=0,"",SUMIFS(BD!$AB$3:$AB$5001,BD!$A$3:$A$5001,T$3,BD!$B$3:$B$5001,$A$267)))</f>
        <v/>
      </c>
      <c r="U293" s="240" t="str">
        <f>IF(U$3="","",IF(COUNTIFS(BD!$A$3:$A$5001,U$3,BD!$B$3:$B$5001,$A$267,BD!$AB$3:$AB$5001,"&lt;&gt;")=0,"",SUMIFS(BD!$AB$3:$AB$5001,BD!$A$3:$A$5001,U$3,BD!$B$3:$B$5001,$A$267)))</f>
        <v/>
      </c>
      <c r="V293" s="240" t="str">
        <f>IF(V$3="","",IF(COUNTIFS(BD!$A$3:$A$5001,V$3,BD!$B$3:$B$5001,$A$267,BD!$AB$3:$AB$5001,"&lt;&gt;")=0,"",SUMIFS(BD!$AB$3:$AB$5001,BD!$A$3:$A$5001,V$3,BD!$B$3:$B$5001,$A$267)))</f>
        <v/>
      </c>
      <c r="W293" s="240" t="str">
        <f>IF(W$3="","",IF(COUNTIFS(BD!$A$3:$A$5001,W$3,BD!$B$3:$B$5001,$A$267,BD!$AB$3:$AB$5001,"&lt;&gt;")=0,"",SUMIFS(BD!$AB$3:$AB$5001,BD!$A$3:$A$5001,W$3,BD!$B$3:$B$5001,$A$267)))</f>
        <v/>
      </c>
      <c r="X293" s="240" t="str">
        <f>IF(X$3="","",IF(COUNTIFS(BD!$A$3:$A$5001,X$3,BD!$B$3:$B$5001,$A$267,BD!$AB$3:$AB$5001,"&lt;&gt;")=0,"",SUMIFS(BD!$AB$3:$AB$5001,BD!$A$3:$A$5001,X$3,BD!$B$3:$B$5001,$A$267)))</f>
        <v/>
      </c>
      <c r="Y293" s="240" t="str">
        <f>IF(Y$3="","",IF(COUNTIFS(BD!$A$3:$A$5001,Y$3,BD!$B$3:$B$5001,$A$267,BD!$AB$3:$AB$5001,"&lt;&gt;")=0,"",SUMIFS(BD!$AB$3:$AB$5001,BD!$A$3:$A$5001,Y$3,BD!$B$3:$B$5001,$A$267)))</f>
        <v/>
      </c>
      <c r="Z293" s="240" t="str">
        <f>IF(Z$3="","",IF(COUNTIFS(BD!$A$3:$A$5001,Z$3,BD!$B$3:$B$5001,$A$267,BD!$AB$3:$AB$5001,"&lt;&gt;")=0,"",SUMIFS(BD!$AB$3:$AB$5001,BD!$A$3:$A$5001,Z$3,BD!$B$3:$B$5001,$A$267)))</f>
        <v/>
      </c>
      <c r="AA293" s="240" t="str">
        <f>IF(AA$3="","",IF(COUNTIFS(BD!$A$3:$A$5001,AA$3,BD!$B$3:$B$5001,$A$267,BD!$AB$3:$AB$5001,"&lt;&gt;")=0,"",SUMIFS(BD!$AB$3:$AB$5001,BD!$A$3:$A$5001,AA$3,BD!$B$3:$B$5001,$A$267)))</f>
        <v/>
      </c>
      <c r="AB293" s="240" t="str">
        <f>IF(AB$3="","",IF(COUNTIFS(BD!$A$3:$A$5001,AB$3,BD!$B$3:$B$5001,$A$267,BD!$AB$3:$AB$5001,"&lt;&gt;")=0,"",SUMIFS(BD!$AB$3:$AB$5001,BD!$A$3:$A$5001,AB$3,BD!$B$3:$B$5001,$A$267)))</f>
        <v/>
      </c>
      <c r="AC293" s="240" t="str">
        <f>IF(AC$3="","",IF(COUNTIFS(BD!$A$3:$A$5001,AC$3,BD!$B$3:$B$5001,$A$267,BD!$AB$3:$AB$5001,"&lt;&gt;")=0,"",SUMIFS(BD!$AB$3:$AB$5001,BD!$A$3:$A$5001,AC$3,BD!$B$3:$B$5001,$A$267)))</f>
        <v/>
      </c>
      <c r="AD293" s="240" t="str">
        <f>IF(AD$3="","",IF(COUNTIFS(BD!$A$3:$A$5001,AD$3,BD!$B$3:$B$5001,$A$267,BD!$AB$3:$AB$5001,"&lt;&gt;")=0,"",SUMIFS(BD!$AB$3:$AB$5001,BD!$A$3:$A$5001,AD$3,BD!$B$3:$B$5001,$A$267)))</f>
        <v/>
      </c>
      <c r="AE293" s="240" t="str">
        <f>IF(AE$3="","",IF(COUNTIFS(BD!$A$3:$A$5001,AE$3,BD!$B$3:$B$5001,$A$267,BD!$AB$3:$AB$5001,"&lt;&gt;")=0,"",SUMIFS(BD!$AB$3:$AB$5001,BD!$A$3:$A$5001,AE$3,BD!$B$3:$B$5001,$A$267)))</f>
        <v/>
      </c>
      <c r="AF293" s="240" t="str">
        <f>IF(AF$3="","",IF(COUNTIFS(BD!$A$3:$A$5001,AF$3,BD!$B$3:$B$5001,$A$267,BD!$AB$3:$AB$5001,"&lt;&gt;")=0,"",SUMIFS(BD!$AB$3:$AB$5001,BD!$A$3:$A$5001,AF$3,BD!$B$3:$B$5001,$A$267)))</f>
        <v/>
      </c>
      <c r="AG293" s="240" t="str">
        <f>IF(AG$3="","",IF(COUNTIFS(BD!$A$3:$A$5001,AG$3,BD!$B$3:$B$5001,$A$267,BD!$AB$3:$AB$5001,"&lt;&gt;")=0,"",SUMIFS(BD!$AB$3:$AB$5001,BD!$A$3:$A$5001,AG$3,BD!$B$3:$B$5001,$A$267)))</f>
        <v/>
      </c>
      <c r="AH293" s="240" t="str">
        <f>IF(AH$3="","",IF(COUNTIFS(BD!$A$3:$A$5001,AH$3,BD!$B$3:$B$5001,$A$267,BD!$AB$3:$AB$5001,"&lt;&gt;")=0,"",SUMIFS(BD!$AB$3:$AB$5001,BD!$A$3:$A$5001,AH$3,BD!$B$3:$B$5001,$A$267)))</f>
        <v/>
      </c>
      <c r="AI293" s="240" t="str">
        <f>IF(AI$3="","",IF(COUNTIFS(BD!$A$3:$A$5001,AI$3,BD!$B$3:$B$5001,$A$267,BD!$AB$3:$AB$5001,"&lt;&gt;")=0,"",SUMIFS(BD!$AB$3:$AB$5001,BD!$A$3:$A$5001,AI$3,BD!$B$3:$B$5001,$A$267)))</f>
        <v/>
      </c>
      <c r="AJ293" s="241" t="str">
        <f>IF(AJ$3="","",IF(COUNTIFS(BD!$A$3:$A$5001,AJ$3,BD!$B$3:$B$5001,$A$267,BD!$AB$3:$AB$5001,"&lt;&gt;")=0,"",SUMIFS(BD!$AB$3:$AB$5001,BD!$A$3:$A$5001,AJ$3,BD!$B$3:$B$5001,$A$267)))</f>
        <v/>
      </c>
      <c r="AK293" s="242" t="str">
        <f>IF(COUNT(F293:AJ293)=0,"",SUM(F293:AJ293))</f>
        <v/>
      </c>
    </row>
    <row r="294" ht="15.75" customHeight="1" hidden="1">
      <c r="A294" s="261"/>
      <c r="B294" s="258"/>
      <c r="C294" s="232" t="inlineStr">
        <is>
          <t xml:space="preserve">Folga</t>
        </is>
      </c>
      <c r="D294" s="233" t="str">
        <f>IFERROR(1/(1/INDEX(BD!$AL$50:$BF$50,MATCH($A$267,BD!$AL$22:$BF$22,0))),"")</f>
        <v/>
      </c>
      <c r="E294" s="234"/>
      <c r="F294" s="235" t="str">
        <f>IF(F$3="","",IF(COUNTIFS(BD!$A$3:$A$5001,F$3,BD!$B$3:$B$5001,$A$267,BD!$AC$3:$AC$5001,"&lt;&gt;")=0,"",SUMIFS(BD!$AC$3:$AC$5001,BD!$A$3:$A$5001,F$3,BD!$B$3:$B$5001,$A$267)))</f>
        <v/>
      </c>
      <c r="G294" s="236" t="str">
        <f>IF(G$3="","",IF(COUNTIFS(BD!$A$3:$A$5001,G$3,BD!$B$3:$B$5001,$A$267,BD!$AC$3:$AC$5001,"&lt;&gt;")=0,"",SUMIFS(BD!$AC$3:$AC$5001,BD!$A$3:$A$5001,G$3,BD!$B$3:$B$5001,$A$267)))</f>
        <v/>
      </c>
      <c r="H294" s="236" t="str">
        <f>IF(H$3="","",IF(COUNTIFS(BD!$A$3:$A$5001,H$3,BD!$B$3:$B$5001,$A$267,BD!$AC$3:$AC$5001,"&lt;&gt;")=0,"",SUMIFS(BD!$AC$3:$AC$5001,BD!$A$3:$A$5001,H$3,BD!$B$3:$B$5001,$A$267)))</f>
        <v/>
      </c>
      <c r="I294" s="236" t="str">
        <f>IF(I$3="","",IF(COUNTIFS(BD!$A$3:$A$5001,I$3,BD!$B$3:$B$5001,$A$267,BD!$AC$3:$AC$5001,"&lt;&gt;")=0,"",SUMIFS(BD!$AC$3:$AC$5001,BD!$A$3:$A$5001,I$3,BD!$B$3:$B$5001,$A$267)))</f>
        <v/>
      </c>
      <c r="J294" s="236" t="str">
        <f>IF(J$3="","",IF(COUNTIFS(BD!$A$3:$A$5001,J$3,BD!$B$3:$B$5001,$A$267,BD!$AC$3:$AC$5001,"&lt;&gt;")=0,"",SUMIFS(BD!$AC$3:$AC$5001,BD!$A$3:$A$5001,J$3,BD!$B$3:$B$5001,$A$267)))</f>
        <v/>
      </c>
      <c r="K294" s="236" t="str">
        <f>IF(K$3="","",IF(COUNTIFS(BD!$A$3:$A$5001,K$3,BD!$B$3:$B$5001,$A$267,BD!$AC$3:$AC$5001,"&lt;&gt;")=0,"",SUMIFS(BD!$AC$3:$AC$5001,BD!$A$3:$A$5001,K$3,BD!$B$3:$B$5001,$A$267)))</f>
        <v/>
      </c>
      <c r="L294" s="236" t="str">
        <f>IF(L$3="","",IF(COUNTIFS(BD!$A$3:$A$5001,L$3,BD!$B$3:$B$5001,$A$267,BD!$AC$3:$AC$5001,"&lt;&gt;")=0,"",SUMIFS(BD!$AC$3:$AC$5001,BD!$A$3:$A$5001,L$3,BD!$B$3:$B$5001,$A$267)))</f>
        <v/>
      </c>
      <c r="M294" s="236" t="str">
        <f>IF(M$3="","",IF(COUNTIFS(BD!$A$3:$A$5001,M$3,BD!$B$3:$B$5001,$A$267,BD!$AC$3:$AC$5001,"&lt;&gt;")=0,"",SUMIFS(BD!$AC$3:$AC$5001,BD!$A$3:$A$5001,M$3,BD!$B$3:$B$5001,$A$267)))</f>
        <v/>
      </c>
      <c r="N294" s="236" t="str">
        <f>IF(N$3="","",IF(COUNTIFS(BD!$A$3:$A$5001,N$3,BD!$B$3:$B$5001,$A$267,BD!$AC$3:$AC$5001,"&lt;&gt;")=0,"",SUMIFS(BD!$AC$3:$AC$5001,BD!$A$3:$A$5001,N$3,BD!$B$3:$B$5001,$A$267)))</f>
        <v/>
      </c>
      <c r="O294" s="236" t="str">
        <f>IF(O$3="","",IF(COUNTIFS(BD!$A$3:$A$5001,O$3,BD!$B$3:$B$5001,$A$267,BD!$AC$3:$AC$5001,"&lt;&gt;")=0,"",SUMIFS(BD!$AC$3:$AC$5001,BD!$A$3:$A$5001,O$3,BD!$B$3:$B$5001,$A$267)))</f>
        <v/>
      </c>
      <c r="P294" s="236" t="str">
        <f>IF(P$3="","",IF(COUNTIFS(BD!$A$3:$A$5001,P$3,BD!$B$3:$B$5001,$A$267,BD!$AC$3:$AC$5001,"&lt;&gt;")=0,"",SUMIFS(BD!$AC$3:$AC$5001,BD!$A$3:$A$5001,P$3,BD!$B$3:$B$5001,$A$267)))</f>
        <v/>
      </c>
      <c r="Q294" s="236" t="str">
        <f>IF(Q$3="","",IF(COUNTIFS(BD!$A$3:$A$5001,Q$3,BD!$B$3:$B$5001,$A$267,BD!$AC$3:$AC$5001,"&lt;&gt;")=0,"",SUMIFS(BD!$AC$3:$AC$5001,BD!$A$3:$A$5001,Q$3,BD!$B$3:$B$5001,$A$267)))</f>
        <v/>
      </c>
      <c r="R294" s="236" t="str">
        <f>IF(R$3="","",IF(COUNTIFS(BD!$A$3:$A$5001,R$3,BD!$B$3:$B$5001,$A$267,BD!$AC$3:$AC$5001,"&lt;&gt;")=0,"",SUMIFS(BD!$AC$3:$AC$5001,BD!$A$3:$A$5001,R$3,BD!$B$3:$B$5001,$A$267)))</f>
        <v/>
      </c>
      <c r="S294" s="236" t="str">
        <f>IF(S$3="","",IF(COUNTIFS(BD!$A$3:$A$5001,S$3,BD!$B$3:$B$5001,$A$267,BD!$AC$3:$AC$5001,"&lt;&gt;")=0,"",SUMIFS(BD!$AC$3:$AC$5001,BD!$A$3:$A$5001,S$3,BD!$B$3:$B$5001,$A$267)))</f>
        <v/>
      </c>
      <c r="T294" s="236" t="str">
        <f>IF(T$3="","",IF(COUNTIFS(BD!$A$3:$A$5001,T$3,BD!$B$3:$B$5001,$A$267,BD!$AC$3:$AC$5001,"&lt;&gt;")=0,"",SUMIFS(BD!$AC$3:$AC$5001,BD!$A$3:$A$5001,T$3,BD!$B$3:$B$5001,$A$267)))</f>
        <v/>
      </c>
      <c r="U294" s="236" t="str">
        <f>IF(U$3="","",IF(COUNTIFS(BD!$A$3:$A$5001,U$3,BD!$B$3:$B$5001,$A$267,BD!$AC$3:$AC$5001,"&lt;&gt;")=0,"",SUMIFS(BD!$AC$3:$AC$5001,BD!$A$3:$A$5001,U$3,BD!$B$3:$B$5001,$A$267)))</f>
        <v/>
      </c>
      <c r="V294" s="236" t="str">
        <f>IF(V$3="","",IF(COUNTIFS(BD!$A$3:$A$5001,V$3,BD!$B$3:$B$5001,$A$267,BD!$AC$3:$AC$5001,"&lt;&gt;")=0,"",SUMIFS(BD!$AC$3:$AC$5001,BD!$A$3:$A$5001,V$3,BD!$B$3:$B$5001,$A$267)))</f>
        <v/>
      </c>
      <c r="W294" s="236" t="str">
        <f>IF(W$3="","",IF(COUNTIFS(BD!$A$3:$A$5001,W$3,BD!$B$3:$B$5001,$A$267,BD!$AC$3:$AC$5001,"&lt;&gt;")=0,"",SUMIFS(BD!$AC$3:$AC$5001,BD!$A$3:$A$5001,W$3,BD!$B$3:$B$5001,$A$267)))</f>
        <v/>
      </c>
      <c r="X294" s="236" t="str">
        <f>IF(X$3="","",IF(COUNTIFS(BD!$A$3:$A$5001,X$3,BD!$B$3:$B$5001,$A$267,BD!$AC$3:$AC$5001,"&lt;&gt;")=0,"",SUMIFS(BD!$AC$3:$AC$5001,BD!$A$3:$A$5001,X$3,BD!$B$3:$B$5001,$A$267)))</f>
        <v/>
      </c>
      <c r="Y294" s="236" t="str">
        <f>IF(Y$3="","",IF(COUNTIFS(BD!$A$3:$A$5001,Y$3,BD!$B$3:$B$5001,$A$267,BD!$AC$3:$AC$5001,"&lt;&gt;")=0,"",SUMIFS(BD!$AC$3:$AC$5001,BD!$A$3:$A$5001,Y$3,BD!$B$3:$B$5001,$A$267)))</f>
        <v/>
      </c>
      <c r="Z294" s="236" t="str">
        <f>IF(Z$3="","",IF(COUNTIFS(BD!$A$3:$A$5001,Z$3,BD!$B$3:$B$5001,$A$267,BD!$AC$3:$AC$5001,"&lt;&gt;")=0,"",SUMIFS(BD!$AC$3:$AC$5001,BD!$A$3:$A$5001,Z$3,BD!$B$3:$B$5001,$A$267)))</f>
        <v/>
      </c>
      <c r="AA294" s="236" t="str">
        <f>IF(AA$3="","",IF(COUNTIFS(BD!$A$3:$A$5001,AA$3,BD!$B$3:$B$5001,$A$267,BD!$AC$3:$AC$5001,"&lt;&gt;")=0,"",SUMIFS(BD!$AC$3:$AC$5001,BD!$A$3:$A$5001,AA$3,BD!$B$3:$B$5001,$A$267)))</f>
        <v/>
      </c>
      <c r="AB294" s="236" t="str">
        <f>IF(AB$3="","",IF(COUNTIFS(BD!$A$3:$A$5001,AB$3,BD!$B$3:$B$5001,$A$267,BD!$AC$3:$AC$5001,"&lt;&gt;")=0,"",SUMIFS(BD!$AC$3:$AC$5001,BD!$A$3:$A$5001,AB$3,BD!$B$3:$B$5001,$A$267)))</f>
        <v/>
      </c>
      <c r="AC294" s="236" t="str">
        <f>IF(AC$3="","",IF(COUNTIFS(BD!$A$3:$A$5001,AC$3,BD!$B$3:$B$5001,$A$267,BD!$AC$3:$AC$5001,"&lt;&gt;")=0,"",SUMIFS(BD!$AC$3:$AC$5001,BD!$A$3:$A$5001,AC$3,BD!$B$3:$B$5001,$A$267)))</f>
        <v/>
      </c>
      <c r="AD294" s="236" t="str">
        <f>IF(AD$3="","",IF(COUNTIFS(BD!$A$3:$A$5001,AD$3,BD!$B$3:$B$5001,$A$267,BD!$AC$3:$AC$5001,"&lt;&gt;")=0,"",SUMIFS(BD!$AC$3:$AC$5001,BD!$A$3:$A$5001,AD$3,BD!$B$3:$B$5001,$A$267)))</f>
        <v/>
      </c>
      <c r="AE294" s="236" t="str">
        <f>IF(AE$3="","",IF(COUNTIFS(BD!$A$3:$A$5001,AE$3,BD!$B$3:$B$5001,$A$267,BD!$AC$3:$AC$5001,"&lt;&gt;")=0,"",SUMIFS(BD!$AC$3:$AC$5001,BD!$A$3:$A$5001,AE$3,BD!$B$3:$B$5001,$A$267)))</f>
        <v/>
      </c>
      <c r="AF294" s="236" t="str">
        <f>IF(AF$3="","",IF(COUNTIFS(BD!$A$3:$A$5001,AF$3,BD!$B$3:$B$5001,$A$267,BD!$AC$3:$AC$5001,"&lt;&gt;")=0,"",SUMIFS(BD!$AC$3:$AC$5001,BD!$A$3:$A$5001,AF$3,BD!$B$3:$B$5001,$A$267)))</f>
        <v/>
      </c>
      <c r="AG294" s="236" t="str">
        <f>IF(AG$3="","",IF(COUNTIFS(BD!$A$3:$A$5001,AG$3,BD!$B$3:$B$5001,$A$267,BD!$AC$3:$AC$5001,"&lt;&gt;")=0,"",SUMIFS(BD!$AC$3:$AC$5001,BD!$A$3:$A$5001,AG$3,BD!$B$3:$B$5001,$A$267)))</f>
        <v/>
      </c>
      <c r="AH294" s="236" t="str">
        <f>IF(AH$3="","",IF(COUNTIFS(BD!$A$3:$A$5001,AH$3,BD!$B$3:$B$5001,$A$267,BD!$AC$3:$AC$5001,"&lt;&gt;")=0,"",SUMIFS(BD!$AC$3:$AC$5001,BD!$A$3:$A$5001,AH$3,BD!$B$3:$B$5001,$A$267)))</f>
        <v/>
      </c>
      <c r="AI294" s="236" t="str">
        <f>IF(AI$3="","",IF(COUNTIFS(BD!$A$3:$A$5001,AI$3,BD!$B$3:$B$5001,$A$267,BD!$AC$3:$AC$5001,"&lt;&gt;")=0,"",SUMIFS(BD!$AC$3:$AC$5001,BD!$A$3:$A$5001,AI$3,BD!$B$3:$B$5001,$A$267)))</f>
        <v/>
      </c>
      <c r="AJ294" s="237" t="str">
        <f>IF(AJ$3="","",IF(COUNTIFS(BD!$A$3:$A$5001,AJ$3,BD!$B$3:$B$5001,$A$267,BD!$AC$3:$AC$5001,"&lt;&gt;")=0,"",SUMIFS(BD!$AC$3:$AC$5001,BD!$A$3:$A$5001,AJ$3,BD!$B$3:$B$5001,$A$267)))</f>
        <v/>
      </c>
      <c r="AK294" s="238" t="str">
        <f>IF(COUNT(F294:AJ294)=0,"",SUM(F294:AJ294))</f>
        <v/>
      </c>
    </row>
    <row r="295" ht="15.75" customHeight="1" hidden="1">
      <c r="A295" s="261"/>
      <c r="B295" s="258"/>
      <c r="C295" s="232" t="inlineStr">
        <is>
          <t xml:space="preserve">Férias</t>
        </is>
      </c>
      <c r="D295" s="233" t="str">
        <f>IFERROR(1/(1/INDEX(BD!$AL$51:$BF$51,MATCH($A$267,BD!$AL$22:$BF$22,0))),"")</f>
        <v/>
      </c>
      <c r="E295" s="234"/>
      <c r="F295" s="235" t="str">
        <f>IF(F$3="","",IF(COUNTIFS(BD!$A$3:$A$5001,F$3,BD!$B$3:$B$5001,$A$267,BD!$AD$3:$AD$5001,"&lt;&gt;")=0,"",SUMIFS(BD!$AD$3:$AD$5001,BD!$A$3:$A$5001,F$3,BD!$B$3:$B$5001,$A$267)))</f>
        <v/>
      </c>
      <c r="G295" s="236" t="str">
        <f>IF(G$3="","",IF(COUNTIFS(BD!$A$3:$A$5001,G$3,BD!$B$3:$B$5001,$A$267,BD!$AD$3:$AD$5001,"&lt;&gt;")=0,"",SUMIFS(BD!$AD$3:$AD$5001,BD!$A$3:$A$5001,G$3,BD!$B$3:$B$5001,$A$267)))</f>
        <v/>
      </c>
      <c r="H295" s="236" t="str">
        <f>IF(H$3="","",IF(COUNTIFS(BD!$A$3:$A$5001,H$3,BD!$B$3:$B$5001,$A$267,BD!$AD$3:$AD$5001,"&lt;&gt;")=0,"",SUMIFS(BD!$AD$3:$AD$5001,BD!$A$3:$A$5001,H$3,BD!$B$3:$B$5001,$A$267)))</f>
        <v/>
      </c>
      <c r="I295" s="236" t="str">
        <f>IF(I$3="","",IF(COUNTIFS(BD!$A$3:$A$5001,I$3,BD!$B$3:$B$5001,$A$267,BD!$AD$3:$AD$5001,"&lt;&gt;")=0,"",SUMIFS(BD!$AD$3:$AD$5001,BD!$A$3:$A$5001,I$3,BD!$B$3:$B$5001,$A$267)))</f>
        <v/>
      </c>
      <c r="J295" s="236" t="str">
        <f>IF(J$3="","",IF(COUNTIFS(BD!$A$3:$A$5001,J$3,BD!$B$3:$B$5001,$A$267,BD!$AD$3:$AD$5001,"&lt;&gt;")=0,"",SUMIFS(BD!$AD$3:$AD$5001,BD!$A$3:$A$5001,J$3,BD!$B$3:$B$5001,$A$267)))</f>
        <v/>
      </c>
      <c r="K295" s="236" t="str">
        <f>IF(K$3="","",IF(COUNTIFS(BD!$A$3:$A$5001,K$3,BD!$B$3:$B$5001,$A$267,BD!$AD$3:$AD$5001,"&lt;&gt;")=0,"",SUMIFS(BD!$AD$3:$AD$5001,BD!$A$3:$A$5001,K$3,BD!$B$3:$B$5001,$A$267)))</f>
        <v/>
      </c>
      <c r="L295" s="236" t="str">
        <f>IF(L$3="","",IF(COUNTIFS(BD!$A$3:$A$5001,L$3,BD!$B$3:$B$5001,$A$267,BD!$AD$3:$AD$5001,"&lt;&gt;")=0,"",SUMIFS(BD!$AD$3:$AD$5001,BD!$A$3:$A$5001,L$3,BD!$B$3:$B$5001,$A$267)))</f>
        <v/>
      </c>
      <c r="M295" s="236" t="str">
        <f>IF(M$3="","",IF(COUNTIFS(BD!$A$3:$A$5001,M$3,BD!$B$3:$B$5001,$A$267,BD!$AD$3:$AD$5001,"&lt;&gt;")=0,"",SUMIFS(BD!$AD$3:$AD$5001,BD!$A$3:$A$5001,M$3,BD!$B$3:$B$5001,$A$267)))</f>
        <v/>
      </c>
      <c r="N295" s="236" t="str">
        <f>IF(N$3="","",IF(COUNTIFS(BD!$A$3:$A$5001,N$3,BD!$B$3:$B$5001,$A$267,BD!$AD$3:$AD$5001,"&lt;&gt;")=0,"",SUMIFS(BD!$AD$3:$AD$5001,BD!$A$3:$A$5001,N$3,BD!$B$3:$B$5001,$A$267)))</f>
        <v/>
      </c>
      <c r="O295" s="236" t="str">
        <f>IF(O$3="","",IF(COUNTIFS(BD!$A$3:$A$5001,O$3,BD!$B$3:$B$5001,$A$267,BD!$AD$3:$AD$5001,"&lt;&gt;")=0,"",SUMIFS(BD!$AD$3:$AD$5001,BD!$A$3:$A$5001,O$3,BD!$B$3:$B$5001,$A$267)))</f>
        <v/>
      </c>
      <c r="P295" s="236" t="str">
        <f>IF(P$3="","",IF(COUNTIFS(BD!$A$3:$A$5001,P$3,BD!$B$3:$B$5001,$A$267,BD!$AD$3:$AD$5001,"&lt;&gt;")=0,"",SUMIFS(BD!$AD$3:$AD$5001,BD!$A$3:$A$5001,P$3,BD!$B$3:$B$5001,$A$267)))</f>
        <v/>
      </c>
      <c r="Q295" s="236" t="str">
        <f>IF(Q$3="","",IF(COUNTIFS(BD!$A$3:$A$5001,Q$3,BD!$B$3:$B$5001,$A$267,BD!$AD$3:$AD$5001,"&lt;&gt;")=0,"",SUMIFS(BD!$AD$3:$AD$5001,BD!$A$3:$A$5001,Q$3,BD!$B$3:$B$5001,$A$267)))</f>
        <v/>
      </c>
      <c r="R295" s="236" t="str">
        <f>IF(R$3="","",IF(COUNTIFS(BD!$A$3:$A$5001,R$3,BD!$B$3:$B$5001,$A$267,BD!$AD$3:$AD$5001,"&lt;&gt;")=0,"",SUMIFS(BD!$AD$3:$AD$5001,BD!$A$3:$A$5001,R$3,BD!$B$3:$B$5001,$A$267)))</f>
        <v/>
      </c>
      <c r="S295" s="236" t="str">
        <f>IF(S$3="","",IF(COUNTIFS(BD!$A$3:$A$5001,S$3,BD!$B$3:$B$5001,$A$267,BD!$AD$3:$AD$5001,"&lt;&gt;")=0,"",SUMIFS(BD!$AD$3:$AD$5001,BD!$A$3:$A$5001,S$3,BD!$B$3:$B$5001,$A$267)))</f>
        <v/>
      </c>
      <c r="T295" s="236" t="str">
        <f>IF(T$3="","",IF(COUNTIFS(BD!$A$3:$A$5001,T$3,BD!$B$3:$B$5001,$A$267,BD!$AD$3:$AD$5001,"&lt;&gt;")=0,"",SUMIFS(BD!$AD$3:$AD$5001,BD!$A$3:$A$5001,T$3,BD!$B$3:$B$5001,$A$267)))</f>
        <v/>
      </c>
      <c r="U295" s="236" t="str">
        <f>IF(U$3="","",IF(COUNTIFS(BD!$A$3:$A$5001,U$3,BD!$B$3:$B$5001,$A$267,BD!$AD$3:$AD$5001,"&lt;&gt;")=0,"",SUMIFS(BD!$AD$3:$AD$5001,BD!$A$3:$A$5001,U$3,BD!$B$3:$B$5001,$A$267)))</f>
        <v/>
      </c>
      <c r="V295" s="236" t="str">
        <f>IF(V$3="","",IF(COUNTIFS(BD!$A$3:$A$5001,V$3,BD!$B$3:$B$5001,$A$267,BD!$AD$3:$AD$5001,"&lt;&gt;")=0,"",SUMIFS(BD!$AD$3:$AD$5001,BD!$A$3:$A$5001,V$3,BD!$B$3:$B$5001,$A$267)))</f>
        <v/>
      </c>
      <c r="W295" s="236" t="str">
        <f>IF(W$3="","",IF(COUNTIFS(BD!$A$3:$A$5001,W$3,BD!$B$3:$B$5001,$A$267,BD!$AD$3:$AD$5001,"&lt;&gt;")=0,"",SUMIFS(BD!$AD$3:$AD$5001,BD!$A$3:$A$5001,W$3,BD!$B$3:$B$5001,$A$267)))</f>
        <v/>
      </c>
      <c r="X295" s="236" t="str">
        <f>IF(X$3="","",IF(COUNTIFS(BD!$A$3:$A$5001,X$3,BD!$B$3:$B$5001,$A$267,BD!$AD$3:$AD$5001,"&lt;&gt;")=0,"",SUMIFS(BD!$AD$3:$AD$5001,BD!$A$3:$A$5001,X$3,BD!$B$3:$B$5001,$A$267)))</f>
        <v/>
      </c>
      <c r="Y295" s="236" t="str">
        <f>IF(Y$3="","",IF(COUNTIFS(BD!$A$3:$A$5001,Y$3,BD!$B$3:$B$5001,$A$267,BD!$AD$3:$AD$5001,"&lt;&gt;")=0,"",SUMIFS(BD!$AD$3:$AD$5001,BD!$A$3:$A$5001,Y$3,BD!$B$3:$B$5001,$A$267)))</f>
        <v/>
      </c>
      <c r="Z295" s="236" t="str">
        <f>IF(Z$3="","",IF(COUNTIFS(BD!$A$3:$A$5001,Z$3,BD!$B$3:$B$5001,$A$267,BD!$AD$3:$AD$5001,"&lt;&gt;")=0,"",SUMIFS(BD!$AD$3:$AD$5001,BD!$A$3:$A$5001,Z$3,BD!$B$3:$B$5001,$A$267)))</f>
        <v/>
      </c>
      <c r="AA295" s="236" t="str">
        <f>IF(AA$3="","",IF(COUNTIFS(BD!$A$3:$A$5001,AA$3,BD!$B$3:$B$5001,$A$267,BD!$AD$3:$AD$5001,"&lt;&gt;")=0,"",SUMIFS(BD!$AD$3:$AD$5001,BD!$A$3:$A$5001,AA$3,BD!$B$3:$B$5001,$A$267)))</f>
        <v/>
      </c>
      <c r="AB295" s="236" t="str">
        <f>IF(AB$3="","",IF(COUNTIFS(BD!$A$3:$A$5001,AB$3,BD!$B$3:$B$5001,$A$267,BD!$AD$3:$AD$5001,"&lt;&gt;")=0,"",SUMIFS(BD!$AD$3:$AD$5001,BD!$A$3:$A$5001,AB$3,BD!$B$3:$B$5001,$A$267)))</f>
        <v/>
      </c>
      <c r="AC295" s="236" t="str">
        <f>IF(AC$3="","",IF(COUNTIFS(BD!$A$3:$A$5001,AC$3,BD!$B$3:$B$5001,$A$267,BD!$AD$3:$AD$5001,"&lt;&gt;")=0,"",SUMIFS(BD!$AD$3:$AD$5001,BD!$A$3:$A$5001,AC$3,BD!$B$3:$B$5001,$A$267)))</f>
        <v/>
      </c>
      <c r="AD295" s="236" t="str">
        <f>IF(AD$3="","",IF(COUNTIFS(BD!$A$3:$A$5001,AD$3,BD!$B$3:$B$5001,$A$267,BD!$AD$3:$AD$5001,"&lt;&gt;")=0,"",SUMIFS(BD!$AD$3:$AD$5001,BD!$A$3:$A$5001,AD$3,BD!$B$3:$B$5001,$A$267)))</f>
        <v/>
      </c>
      <c r="AE295" s="236" t="str">
        <f>IF(AE$3="","",IF(COUNTIFS(BD!$A$3:$A$5001,AE$3,BD!$B$3:$B$5001,$A$267,BD!$AD$3:$AD$5001,"&lt;&gt;")=0,"",SUMIFS(BD!$AD$3:$AD$5001,BD!$A$3:$A$5001,AE$3,BD!$B$3:$B$5001,$A$267)))</f>
        <v/>
      </c>
      <c r="AF295" s="236" t="str">
        <f>IF(AF$3="","",IF(COUNTIFS(BD!$A$3:$A$5001,AF$3,BD!$B$3:$B$5001,$A$267,BD!$AD$3:$AD$5001,"&lt;&gt;")=0,"",SUMIFS(BD!$AD$3:$AD$5001,BD!$A$3:$A$5001,AF$3,BD!$B$3:$B$5001,$A$267)))</f>
        <v/>
      </c>
      <c r="AG295" s="236" t="str">
        <f>IF(AG$3="","",IF(COUNTIFS(BD!$A$3:$A$5001,AG$3,BD!$B$3:$B$5001,$A$267,BD!$AD$3:$AD$5001,"&lt;&gt;")=0,"",SUMIFS(BD!$AD$3:$AD$5001,BD!$A$3:$A$5001,AG$3,BD!$B$3:$B$5001,$A$267)))</f>
        <v/>
      </c>
      <c r="AH295" s="236" t="str">
        <f>IF(AH$3="","",IF(COUNTIFS(BD!$A$3:$A$5001,AH$3,BD!$B$3:$B$5001,$A$267,BD!$AD$3:$AD$5001,"&lt;&gt;")=0,"",SUMIFS(BD!$AD$3:$AD$5001,BD!$A$3:$A$5001,AH$3,BD!$B$3:$B$5001,$A$267)))</f>
        <v/>
      </c>
      <c r="AI295" s="236" t="str">
        <f>IF(AI$3="","",IF(COUNTIFS(BD!$A$3:$A$5001,AI$3,BD!$B$3:$B$5001,$A$267,BD!$AD$3:$AD$5001,"&lt;&gt;")=0,"",SUMIFS(BD!$AD$3:$AD$5001,BD!$A$3:$A$5001,AI$3,BD!$B$3:$B$5001,$A$267)))</f>
        <v/>
      </c>
      <c r="AJ295" s="237" t="str">
        <f>IF(AJ$3="","",IF(COUNTIFS(BD!$A$3:$A$5001,AJ$3,BD!$B$3:$B$5001,$A$267,BD!$AD$3:$AD$5001,"&lt;&gt;")=0,"",SUMIFS(BD!$AD$3:$AD$5001,BD!$A$3:$A$5001,AJ$3,BD!$B$3:$B$5001,$A$267)))</f>
        <v/>
      </c>
      <c r="AK295" s="238" t="str">
        <f>IF(COUNT(F295:AJ295)=0,"",SUM(F295:AJ295))</f>
        <v/>
      </c>
    </row>
    <row r="296" ht="15.75" customHeight="1" hidden="1">
      <c r="A296" s="261"/>
      <c r="B296" s="258"/>
      <c r="C296" s="232" t="inlineStr">
        <is>
          <t xml:space="preserve">Desligamento</t>
        </is>
      </c>
      <c r="D296" s="233" t="str">
        <f>IFERROR(1/(1/INDEX(BD!$AL$52:$BF$52,MATCH($A$267,BD!$AL$22:$BF$22,0))),"")</f>
        <v/>
      </c>
      <c r="E296" s="234"/>
      <c r="F296" s="235" t="str">
        <f>IF(F$3="","",IF(COUNTIFS(BD!$A$3:$A$5001,F$3,BD!$B$3:$B$5001,$A$267,BD!$AE$3:$AE$5001,"&lt;&gt;")=0,"",SUMIFS(BD!$AE$3:$AE$5001,BD!$A$3:$A$5001,F$3,BD!$B$3:$B$5001,$A$267)))</f>
        <v/>
      </c>
      <c r="G296" s="236" t="str">
        <f>IF(G$3="","",IF(COUNTIFS(BD!$A$3:$A$5001,G$3,BD!$B$3:$B$5001,$A$267,BD!$AE$3:$AE$5001,"&lt;&gt;")=0,"",SUMIFS(BD!$AE$3:$AE$5001,BD!$A$3:$A$5001,G$3,BD!$B$3:$B$5001,$A$267)))</f>
        <v/>
      </c>
      <c r="H296" s="236" t="str">
        <f>IF(H$3="","",IF(COUNTIFS(BD!$A$3:$A$5001,H$3,BD!$B$3:$B$5001,$A$267,BD!$AE$3:$AE$5001,"&lt;&gt;")=0,"",SUMIFS(BD!$AE$3:$AE$5001,BD!$A$3:$A$5001,H$3,BD!$B$3:$B$5001,$A$267)))</f>
        <v/>
      </c>
      <c r="I296" s="236" t="str">
        <f>IF(I$3="","",IF(COUNTIFS(BD!$A$3:$A$5001,I$3,BD!$B$3:$B$5001,$A$267,BD!$AE$3:$AE$5001,"&lt;&gt;")=0,"",SUMIFS(BD!$AE$3:$AE$5001,BD!$A$3:$A$5001,I$3,BD!$B$3:$B$5001,$A$267)))</f>
        <v/>
      </c>
      <c r="J296" s="236" t="str">
        <f>IF(J$3="","",IF(COUNTIFS(BD!$A$3:$A$5001,J$3,BD!$B$3:$B$5001,$A$267,BD!$AE$3:$AE$5001,"&lt;&gt;")=0,"",SUMIFS(BD!$AE$3:$AE$5001,BD!$A$3:$A$5001,J$3,BD!$B$3:$B$5001,$A$267)))</f>
        <v/>
      </c>
      <c r="K296" s="236" t="str">
        <f>IF(K$3="","",IF(COUNTIFS(BD!$A$3:$A$5001,K$3,BD!$B$3:$B$5001,$A$267,BD!$AE$3:$AE$5001,"&lt;&gt;")=0,"",SUMIFS(BD!$AE$3:$AE$5001,BD!$A$3:$A$5001,K$3,BD!$B$3:$B$5001,$A$267)))</f>
        <v/>
      </c>
      <c r="L296" s="236" t="str">
        <f>IF(L$3="","",IF(COUNTIFS(BD!$A$3:$A$5001,L$3,BD!$B$3:$B$5001,$A$267,BD!$AE$3:$AE$5001,"&lt;&gt;")=0,"",SUMIFS(BD!$AE$3:$AE$5001,BD!$A$3:$A$5001,L$3,BD!$B$3:$B$5001,$A$267)))</f>
        <v/>
      </c>
      <c r="M296" s="236" t="str">
        <f>IF(M$3="","",IF(COUNTIFS(BD!$A$3:$A$5001,M$3,BD!$B$3:$B$5001,$A$267,BD!$AE$3:$AE$5001,"&lt;&gt;")=0,"",SUMIFS(BD!$AE$3:$AE$5001,BD!$A$3:$A$5001,M$3,BD!$B$3:$B$5001,$A$267)))</f>
        <v/>
      </c>
      <c r="N296" s="236" t="str">
        <f>IF(N$3="","",IF(COUNTIFS(BD!$A$3:$A$5001,N$3,BD!$B$3:$B$5001,$A$267,BD!$AE$3:$AE$5001,"&lt;&gt;")=0,"",SUMIFS(BD!$AE$3:$AE$5001,BD!$A$3:$A$5001,N$3,BD!$B$3:$B$5001,$A$267)))</f>
        <v/>
      </c>
      <c r="O296" s="236" t="str">
        <f>IF(O$3="","",IF(COUNTIFS(BD!$A$3:$A$5001,O$3,BD!$B$3:$B$5001,$A$267,BD!$AE$3:$AE$5001,"&lt;&gt;")=0,"",SUMIFS(BD!$AE$3:$AE$5001,BD!$A$3:$A$5001,O$3,BD!$B$3:$B$5001,$A$267)))</f>
        <v/>
      </c>
      <c r="P296" s="236" t="str">
        <f>IF(P$3="","",IF(COUNTIFS(BD!$A$3:$A$5001,P$3,BD!$B$3:$B$5001,$A$267,BD!$AE$3:$AE$5001,"&lt;&gt;")=0,"",SUMIFS(BD!$AE$3:$AE$5001,BD!$A$3:$A$5001,P$3,BD!$B$3:$B$5001,$A$267)))</f>
        <v/>
      </c>
      <c r="Q296" s="236" t="str">
        <f>IF(Q$3="","",IF(COUNTIFS(BD!$A$3:$A$5001,Q$3,BD!$B$3:$B$5001,$A$267,BD!$AE$3:$AE$5001,"&lt;&gt;")=0,"",SUMIFS(BD!$AE$3:$AE$5001,BD!$A$3:$A$5001,Q$3,BD!$B$3:$B$5001,$A$267)))</f>
        <v/>
      </c>
      <c r="R296" s="236" t="str">
        <f>IF(R$3="","",IF(COUNTIFS(BD!$A$3:$A$5001,R$3,BD!$B$3:$B$5001,$A$267,BD!$AE$3:$AE$5001,"&lt;&gt;")=0,"",SUMIFS(BD!$AE$3:$AE$5001,BD!$A$3:$A$5001,R$3,BD!$B$3:$B$5001,$A$267)))</f>
        <v/>
      </c>
      <c r="S296" s="236" t="str">
        <f>IF(S$3="","",IF(COUNTIFS(BD!$A$3:$A$5001,S$3,BD!$B$3:$B$5001,$A$267,BD!$AE$3:$AE$5001,"&lt;&gt;")=0,"",SUMIFS(BD!$AE$3:$AE$5001,BD!$A$3:$A$5001,S$3,BD!$B$3:$B$5001,$A$267)))</f>
        <v/>
      </c>
      <c r="T296" s="236" t="str">
        <f>IF(T$3="","",IF(COUNTIFS(BD!$A$3:$A$5001,T$3,BD!$B$3:$B$5001,$A$267,BD!$AE$3:$AE$5001,"&lt;&gt;")=0,"",SUMIFS(BD!$AE$3:$AE$5001,BD!$A$3:$A$5001,T$3,BD!$B$3:$B$5001,$A$267)))</f>
        <v/>
      </c>
      <c r="U296" s="236" t="str">
        <f>IF(U$3="","",IF(COUNTIFS(BD!$A$3:$A$5001,U$3,BD!$B$3:$B$5001,$A$267,BD!$AE$3:$AE$5001,"&lt;&gt;")=0,"",SUMIFS(BD!$AE$3:$AE$5001,BD!$A$3:$A$5001,U$3,BD!$B$3:$B$5001,$A$267)))</f>
        <v/>
      </c>
      <c r="V296" s="236" t="str">
        <f>IF(V$3="","",IF(COUNTIFS(BD!$A$3:$A$5001,V$3,BD!$B$3:$B$5001,$A$267,BD!$AE$3:$AE$5001,"&lt;&gt;")=0,"",SUMIFS(BD!$AE$3:$AE$5001,BD!$A$3:$A$5001,V$3,BD!$B$3:$B$5001,$A$267)))</f>
        <v/>
      </c>
      <c r="W296" s="236" t="str">
        <f>IF(W$3="","",IF(COUNTIFS(BD!$A$3:$A$5001,W$3,BD!$B$3:$B$5001,$A$267,BD!$AE$3:$AE$5001,"&lt;&gt;")=0,"",SUMIFS(BD!$AE$3:$AE$5001,BD!$A$3:$A$5001,W$3,BD!$B$3:$B$5001,$A$267)))</f>
        <v/>
      </c>
      <c r="X296" s="236" t="str">
        <f>IF(X$3="","",IF(COUNTIFS(BD!$A$3:$A$5001,X$3,BD!$B$3:$B$5001,$A$267,BD!$AE$3:$AE$5001,"&lt;&gt;")=0,"",SUMIFS(BD!$AE$3:$AE$5001,BD!$A$3:$A$5001,X$3,BD!$B$3:$B$5001,$A$267)))</f>
        <v/>
      </c>
      <c r="Y296" s="236" t="str">
        <f>IF(Y$3="","",IF(COUNTIFS(BD!$A$3:$A$5001,Y$3,BD!$B$3:$B$5001,$A$267,BD!$AE$3:$AE$5001,"&lt;&gt;")=0,"",SUMIFS(BD!$AE$3:$AE$5001,BD!$A$3:$A$5001,Y$3,BD!$B$3:$B$5001,$A$267)))</f>
        <v/>
      </c>
      <c r="Z296" s="236" t="str">
        <f>IF(Z$3="","",IF(COUNTIFS(BD!$A$3:$A$5001,Z$3,BD!$B$3:$B$5001,$A$267,BD!$AE$3:$AE$5001,"&lt;&gt;")=0,"",SUMIFS(BD!$AE$3:$AE$5001,BD!$A$3:$A$5001,Z$3,BD!$B$3:$B$5001,$A$267)))</f>
        <v/>
      </c>
      <c r="AA296" s="236" t="str">
        <f>IF(AA$3="","",IF(COUNTIFS(BD!$A$3:$A$5001,AA$3,BD!$B$3:$B$5001,$A$267,BD!$AE$3:$AE$5001,"&lt;&gt;")=0,"",SUMIFS(BD!$AE$3:$AE$5001,BD!$A$3:$A$5001,AA$3,BD!$B$3:$B$5001,$A$267)))</f>
        <v/>
      </c>
      <c r="AB296" s="236" t="str">
        <f>IF(AB$3="","",IF(COUNTIFS(BD!$A$3:$A$5001,AB$3,BD!$B$3:$B$5001,$A$267,BD!$AE$3:$AE$5001,"&lt;&gt;")=0,"",SUMIFS(BD!$AE$3:$AE$5001,BD!$A$3:$A$5001,AB$3,BD!$B$3:$B$5001,$A$267)))</f>
        <v/>
      </c>
      <c r="AC296" s="236" t="str">
        <f>IF(AC$3="","",IF(COUNTIFS(BD!$A$3:$A$5001,AC$3,BD!$B$3:$B$5001,$A$267,BD!$AE$3:$AE$5001,"&lt;&gt;")=0,"",SUMIFS(BD!$AE$3:$AE$5001,BD!$A$3:$A$5001,AC$3,BD!$B$3:$B$5001,$A$267)))</f>
        <v/>
      </c>
      <c r="AD296" s="236" t="str">
        <f>IF(AD$3="","",IF(COUNTIFS(BD!$A$3:$A$5001,AD$3,BD!$B$3:$B$5001,$A$267,BD!$AE$3:$AE$5001,"&lt;&gt;")=0,"",SUMIFS(BD!$AE$3:$AE$5001,BD!$A$3:$A$5001,AD$3,BD!$B$3:$B$5001,$A$267)))</f>
        <v/>
      </c>
      <c r="AE296" s="236" t="str">
        <f>IF(AE$3="","",IF(COUNTIFS(BD!$A$3:$A$5001,AE$3,BD!$B$3:$B$5001,$A$267,BD!$AE$3:$AE$5001,"&lt;&gt;")=0,"",SUMIFS(BD!$AE$3:$AE$5001,BD!$A$3:$A$5001,AE$3,BD!$B$3:$B$5001,$A$267)))</f>
        <v/>
      </c>
      <c r="AF296" s="236" t="str">
        <f>IF(AF$3="","",IF(COUNTIFS(BD!$A$3:$A$5001,AF$3,BD!$B$3:$B$5001,$A$267,BD!$AE$3:$AE$5001,"&lt;&gt;")=0,"",SUMIFS(BD!$AE$3:$AE$5001,BD!$A$3:$A$5001,AF$3,BD!$B$3:$B$5001,$A$267)))</f>
        <v/>
      </c>
      <c r="AG296" s="236" t="str">
        <f>IF(AG$3="","",IF(COUNTIFS(BD!$A$3:$A$5001,AG$3,BD!$B$3:$B$5001,$A$267,BD!$AE$3:$AE$5001,"&lt;&gt;")=0,"",SUMIFS(BD!$AE$3:$AE$5001,BD!$A$3:$A$5001,AG$3,BD!$B$3:$B$5001,$A$267)))</f>
        <v/>
      </c>
      <c r="AH296" s="236" t="str">
        <f>IF(AH$3="","",IF(COUNTIFS(BD!$A$3:$A$5001,AH$3,BD!$B$3:$B$5001,$A$267,BD!$AE$3:$AE$5001,"&lt;&gt;")=0,"",SUMIFS(BD!$AE$3:$AE$5001,BD!$A$3:$A$5001,AH$3,BD!$B$3:$B$5001,$A$267)))</f>
        <v/>
      </c>
      <c r="AI296" s="236" t="str">
        <f>IF(AI$3="","",IF(COUNTIFS(BD!$A$3:$A$5001,AI$3,BD!$B$3:$B$5001,$A$267,BD!$AE$3:$AE$5001,"&lt;&gt;")=0,"",SUMIFS(BD!$AE$3:$AE$5001,BD!$A$3:$A$5001,AI$3,BD!$B$3:$B$5001,$A$267)))</f>
        <v/>
      </c>
      <c r="AJ296" s="237" t="str">
        <f>IF(AJ$3="","",IF(COUNTIFS(BD!$A$3:$A$5001,AJ$3,BD!$B$3:$B$5001,$A$267,BD!$AE$3:$AE$5001,"&lt;&gt;")=0,"",SUMIFS(BD!$AE$3:$AE$5001,BD!$A$3:$A$5001,AJ$3,BD!$B$3:$B$5001,$A$267)))</f>
        <v/>
      </c>
      <c r="AK296" s="238" t="str">
        <f>IF(COUNT(F296:AJ296)=0,"",SUM(F296:AJ296))</f>
        <v/>
      </c>
    </row>
    <row r="297" ht="15.75" customHeight="1" hidden="1">
      <c r="A297" s="261"/>
      <c r="B297" s="258"/>
      <c r="C297" s="232" t="inlineStr">
        <is>
          <t xml:space="preserve">Desvios Comportamentais</t>
        </is>
      </c>
      <c r="D297" s="233" t="str">
        <f>IFERROR(1/(1/INDEX(BD!$AL$53:$BF$53,MATCH($A$267,BD!$AL$22:$BF$22,0))),"")</f>
        <v/>
      </c>
      <c r="E297" s="234"/>
      <c r="F297" s="235" t="str">
        <f>IF(F$3="","",IF(COUNTIFS(BD!$A$3:$A$5001,F$3,BD!$B$3:$B$5001,$A$267,BD!$AF$3:$AF$5001,"&lt;&gt;")=0,"",SUMIFS(BD!$AF$3:$AF$5001,BD!$A$3:$A$5001,F$3,BD!$B$3:$B$5001,$A$267)))</f>
        <v/>
      </c>
      <c r="G297" s="236" t="str">
        <f>IF(G$3="","",IF(COUNTIFS(BD!$A$3:$A$5001,G$3,BD!$B$3:$B$5001,$A$267,BD!$AF$3:$AF$5001,"&lt;&gt;")=0,"",SUMIFS(BD!$AF$3:$AF$5001,BD!$A$3:$A$5001,G$3,BD!$B$3:$B$5001,$A$267)))</f>
        <v/>
      </c>
      <c r="H297" s="236" t="str">
        <f>IF(H$3="","",IF(COUNTIFS(BD!$A$3:$A$5001,H$3,BD!$B$3:$B$5001,$A$267,BD!$AF$3:$AF$5001,"&lt;&gt;")=0,"",SUMIFS(BD!$AF$3:$AF$5001,BD!$A$3:$A$5001,H$3,BD!$B$3:$B$5001,$A$267)))</f>
        <v/>
      </c>
      <c r="I297" s="236" t="str">
        <f>IF(I$3="","",IF(COUNTIFS(BD!$A$3:$A$5001,I$3,BD!$B$3:$B$5001,$A$267,BD!$AF$3:$AF$5001,"&lt;&gt;")=0,"",SUMIFS(BD!$AF$3:$AF$5001,BD!$A$3:$A$5001,I$3,BD!$B$3:$B$5001,$A$267)))</f>
        <v/>
      </c>
      <c r="J297" s="236" t="str">
        <f>IF(J$3="","",IF(COUNTIFS(BD!$A$3:$A$5001,J$3,BD!$B$3:$B$5001,$A$267,BD!$AF$3:$AF$5001,"&lt;&gt;")=0,"",SUMIFS(BD!$AF$3:$AF$5001,BD!$A$3:$A$5001,J$3,BD!$B$3:$B$5001,$A$267)))</f>
        <v/>
      </c>
      <c r="K297" s="236" t="str">
        <f>IF(K$3="","",IF(COUNTIFS(BD!$A$3:$A$5001,K$3,BD!$B$3:$B$5001,$A$267,BD!$AF$3:$AF$5001,"&lt;&gt;")=0,"",SUMIFS(BD!$AF$3:$AF$5001,BD!$A$3:$A$5001,K$3,BD!$B$3:$B$5001,$A$267)))</f>
        <v/>
      </c>
      <c r="L297" s="236" t="str">
        <f>IF(L$3="","",IF(COUNTIFS(BD!$A$3:$A$5001,L$3,BD!$B$3:$B$5001,$A$267,BD!$AF$3:$AF$5001,"&lt;&gt;")=0,"",SUMIFS(BD!$AF$3:$AF$5001,BD!$A$3:$A$5001,L$3,BD!$B$3:$B$5001,$A$267)))</f>
        <v/>
      </c>
      <c r="M297" s="236" t="str">
        <f>IF(M$3="","",IF(COUNTIFS(BD!$A$3:$A$5001,M$3,BD!$B$3:$B$5001,$A$267,BD!$AF$3:$AF$5001,"&lt;&gt;")=0,"",SUMIFS(BD!$AF$3:$AF$5001,BD!$A$3:$A$5001,M$3,BD!$B$3:$B$5001,$A$267)))</f>
        <v/>
      </c>
      <c r="N297" s="236" t="str">
        <f>IF(N$3="","",IF(COUNTIFS(BD!$A$3:$A$5001,N$3,BD!$B$3:$B$5001,$A$267,BD!$AF$3:$AF$5001,"&lt;&gt;")=0,"",SUMIFS(BD!$AF$3:$AF$5001,BD!$A$3:$A$5001,N$3,BD!$B$3:$B$5001,$A$267)))</f>
        <v/>
      </c>
      <c r="O297" s="236" t="str">
        <f>IF(O$3="","",IF(COUNTIFS(BD!$A$3:$A$5001,O$3,BD!$B$3:$B$5001,$A$267,BD!$AF$3:$AF$5001,"&lt;&gt;")=0,"",SUMIFS(BD!$AF$3:$AF$5001,BD!$A$3:$A$5001,O$3,BD!$B$3:$B$5001,$A$267)))</f>
        <v/>
      </c>
      <c r="P297" s="236" t="str">
        <f>IF(P$3="","",IF(COUNTIFS(BD!$A$3:$A$5001,P$3,BD!$B$3:$B$5001,$A$267,BD!$AF$3:$AF$5001,"&lt;&gt;")=0,"",SUMIFS(BD!$AF$3:$AF$5001,BD!$A$3:$A$5001,P$3,BD!$B$3:$B$5001,$A$267)))</f>
        <v/>
      </c>
      <c r="Q297" s="236" t="str">
        <f>IF(Q$3="","",IF(COUNTIFS(BD!$A$3:$A$5001,Q$3,BD!$B$3:$B$5001,$A$267,BD!$AF$3:$AF$5001,"&lt;&gt;")=0,"",SUMIFS(BD!$AF$3:$AF$5001,BD!$A$3:$A$5001,Q$3,BD!$B$3:$B$5001,$A$267)))</f>
        <v/>
      </c>
      <c r="R297" s="236" t="str">
        <f>IF(R$3="","",IF(COUNTIFS(BD!$A$3:$A$5001,R$3,BD!$B$3:$B$5001,$A$267,BD!$AF$3:$AF$5001,"&lt;&gt;")=0,"",SUMIFS(BD!$AF$3:$AF$5001,BD!$A$3:$A$5001,R$3,BD!$B$3:$B$5001,$A$267)))</f>
        <v/>
      </c>
      <c r="S297" s="236" t="str">
        <f>IF(S$3="","",IF(COUNTIFS(BD!$A$3:$A$5001,S$3,BD!$B$3:$B$5001,$A$267,BD!$AF$3:$AF$5001,"&lt;&gt;")=0,"",SUMIFS(BD!$AF$3:$AF$5001,BD!$A$3:$A$5001,S$3,BD!$B$3:$B$5001,$A$267)))</f>
        <v/>
      </c>
      <c r="T297" s="236" t="str">
        <f>IF(T$3="","",IF(COUNTIFS(BD!$A$3:$A$5001,T$3,BD!$B$3:$B$5001,$A$267,BD!$AF$3:$AF$5001,"&lt;&gt;")=0,"",SUMIFS(BD!$AF$3:$AF$5001,BD!$A$3:$A$5001,T$3,BD!$B$3:$B$5001,$A$267)))</f>
        <v/>
      </c>
      <c r="U297" s="236" t="str">
        <f>IF(U$3="","",IF(COUNTIFS(BD!$A$3:$A$5001,U$3,BD!$B$3:$B$5001,$A$267,BD!$AF$3:$AF$5001,"&lt;&gt;")=0,"",SUMIFS(BD!$AF$3:$AF$5001,BD!$A$3:$A$5001,U$3,BD!$B$3:$B$5001,$A$267)))</f>
        <v/>
      </c>
      <c r="V297" s="236" t="str">
        <f>IF(V$3="","",IF(COUNTIFS(BD!$A$3:$A$5001,V$3,BD!$B$3:$B$5001,$A$267,BD!$AF$3:$AF$5001,"&lt;&gt;")=0,"",SUMIFS(BD!$AF$3:$AF$5001,BD!$A$3:$A$5001,V$3,BD!$B$3:$B$5001,$A$267)))</f>
        <v/>
      </c>
      <c r="W297" s="236" t="str">
        <f>IF(W$3="","",IF(COUNTIFS(BD!$A$3:$A$5001,W$3,BD!$B$3:$B$5001,$A$267,BD!$AF$3:$AF$5001,"&lt;&gt;")=0,"",SUMIFS(BD!$AF$3:$AF$5001,BD!$A$3:$A$5001,W$3,BD!$B$3:$B$5001,$A$267)))</f>
        <v/>
      </c>
      <c r="X297" s="236" t="str">
        <f>IF(X$3="","",IF(COUNTIFS(BD!$A$3:$A$5001,X$3,BD!$B$3:$B$5001,$A$267,BD!$AF$3:$AF$5001,"&lt;&gt;")=0,"",SUMIFS(BD!$AF$3:$AF$5001,BD!$A$3:$A$5001,X$3,BD!$B$3:$B$5001,$A$267)))</f>
        <v/>
      </c>
      <c r="Y297" s="236" t="str">
        <f>IF(Y$3="","",IF(COUNTIFS(BD!$A$3:$A$5001,Y$3,BD!$B$3:$B$5001,$A$267,BD!$AF$3:$AF$5001,"&lt;&gt;")=0,"",SUMIFS(BD!$AF$3:$AF$5001,BD!$A$3:$A$5001,Y$3,BD!$B$3:$B$5001,$A$267)))</f>
        <v/>
      </c>
      <c r="Z297" s="236" t="str">
        <f>IF(Z$3="","",IF(COUNTIFS(BD!$A$3:$A$5001,Z$3,BD!$B$3:$B$5001,$A$267,BD!$AF$3:$AF$5001,"&lt;&gt;")=0,"",SUMIFS(BD!$AF$3:$AF$5001,BD!$A$3:$A$5001,Z$3,BD!$B$3:$B$5001,$A$267)))</f>
        <v/>
      </c>
      <c r="AA297" s="236" t="str">
        <f>IF(AA$3="","",IF(COUNTIFS(BD!$A$3:$A$5001,AA$3,BD!$B$3:$B$5001,$A$267,BD!$AF$3:$AF$5001,"&lt;&gt;")=0,"",SUMIFS(BD!$AF$3:$AF$5001,BD!$A$3:$A$5001,AA$3,BD!$B$3:$B$5001,$A$267)))</f>
        <v/>
      </c>
      <c r="AB297" s="236" t="str">
        <f>IF(AB$3="","",IF(COUNTIFS(BD!$A$3:$A$5001,AB$3,BD!$B$3:$B$5001,$A$267,BD!$AF$3:$AF$5001,"&lt;&gt;")=0,"",SUMIFS(BD!$AF$3:$AF$5001,BD!$A$3:$A$5001,AB$3,BD!$B$3:$B$5001,$A$267)))</f>
        <v/>
      </c>
      <c r="AC297" s="236" t="str">
        <f>IF(AC$3="","",IF(COUNTIFS(BD!$A$3:$A$5001,AC$3,BD!$B$3:$B$5001,$A$267,BD!$AF$3:$AF$5001,"&lt;&gt;")=0,"",SUMIFS(BD!$AF$3:$AF$5001,BD!$A$3:$A$5001,AC$3,BD!$B$3:$B$5001,$A$267)))</f>
        <v/>
      </c>
      <c r="AD297" s="236" t="str">
        <f>IF(AD$3="","",IF(COUNTIFS(BD!$A$3:$A$5001,AD$3,BD!$B$3:$B$5001,$A$267,BD!$AF$3:$AF$5001,"&lt;&gt;")=0,"",SUMIFS(BD!$AF$3:$AF$5001,BD!$A$3:$A$5001,AD$3,BD!$B$3:$B$5001,$A$267)))</f>
        <v/>
      </c>
      <c r="AE297" s="236" t="str">
        <f>IF(AE$3="","",IF(COUNTIFS(BD!$A$3:$A$5001,AE$3,BD!$B$3:$B$5001,$A$267,BD!$AF$3:$AF$5001,"&lt;&gt;")=0,"",SUMIFS(BD!$AF$3:$AF$5001,BD!$A$3:$A$5001,AE$3,BD!$B$3:$B$5001,$A$267)))</f>
        <v/>
      </c>
      <c r="AF297" s="236" t="str">
        <f>IF(AF$3="","",IF(COUNTIFS(BD!$A$3:$A$5001,AF$3,BD!$B$3:$B$5001,$A$267,BD!$AF$3:$AF$5001,"&lt;&gt;")=0,"",SUMIFS(BD!$AF$3:$AF$5001,BD!$A$3:$A$5001,AF$3,BD!$B$3:$B$5001,$A$267)))</f>
        <v/>
      </c>
      <c r="AG297" s="236" t="str">
        <f>IF(AG$3="","",IF(COUNTIFS(BD!$A$3:$A$5001,AG$3,BD!$B$3:$B$5001,$A$267,BD!$AF$3:$AF$5001,"&lt;&gt;")=0,"",SUMIFS(BD!$AF$3:$AF$5001,BD!$A$3:$A$5001,AG$3,BD!$B$3:$B$5001,$A$267)))</f>
        <v/>
      </c>
      <c r="AH297" s="236" t="str">
        <f>IF(AH$3="","",IF(COUNTIFS(BD!$A$3:$A$5001,AH$3,BD!$B$3:$B$5001,$A$267,BD!$AF$3:$AF$5001,"&lt;&gt;")=0,"",SUMIFS(BD!$AF$3:$AF$5001,BD!$A$3:$A$5001,AH$3,BD!$B$3:$B$5001,$A$267)))</f>
        <v/>
      </c>
      <c r="AI297" s="236" t="str">
        <f>IF(AI$3="","",IF(COUNTIFS(BD!$A$3:$A$5001,AI$3,BD!$B$3:$B$5001,$A$267,BD!$AF$3:$AF$5001,"&lt;&gt;")=0,"",SUMIFS(BD!$AF$3:$AF$5001,BD!$A$3:$A$5001,AI$3,BD!$B$3:$B$5001,$A$267)))</f>
        <v/>
      </c>
      <c r="AJ297" s="237" t="str">
        <f>IF(AJ$3="","",IF(COUNTIFS(BD!$A$3:$A$5001,AJ$3,BD!$B$3:$B$5001,$A$267,BD!$AF$3:$AF$5001,"&lt;&gt;")=0,"",SUMIFS(BD!$AF$3:$AF$5001,BD!$A$3:$A$5001,AJ$3,BD!$B$3:$B$5001,$A$267)))</f>
        <v/>
      </c>
      <c r="AK297" s="238" t="str">
        <f>IF(COUNT(F297:AJ297)=0,"",SUM(F297:AJ297))</f>
        <v/>
      </c>
    </row>
    <row r="298" ht="15.75" customHeight="1" hidden="1">
      <c r="A298" s="261"/>
      <c r="B298" s="258"/>
      <c r="C298" s="232" t="inlineStr">
        <is>
          <t xml:space="preserve">Acidentes CAF</t>
        </is>
      </c>
      <c r="D298" s="233" t="str">
        <f>IFERROR(1/(1/INDEX(BD!$AL$54:$BF$54,MATCH($A$267,BD!$AL$22:$BF$22,0))),"")</f>
        <v/>
      </c>
      <c r="E298" s="234"/>
      <c r="F298" s="235" t="str">
        <f>IF(F$3="","",IF(COUNTIFS(BD!$A$3:$A$5001,F$3,BD!$B$3:$B$5001,$A$267,BD!$AG$3:$AG$5001,"&lt;&gt;")=0,"",SUMIFS(BD!$AG$3:$AG$5001,BD!$A$3:$A$5001,F$3,BD!$B$3:$B$5001,$A$267)))</f>
        <v/>
      </c>
      <c r="G298" s="236" t="str">
        <f>IF(G$3="","",IF(COUNTIFS(BD!$A$3:$A$5001,G$3,BD!$B$3:$B$5001,$A$267,BD!$AG$3:$AG$5001,"&lt;&gt;")=0,"",SUMIFS(BD!$AG$3:$AG$5001,BD!$A$3:$A$5001,G$3,BD!$B$3:$B$5001,$A$267)))</f>
        <v/>
      </c>
      <c r="H298" s="236" t="str">
        <f>IF(H$3="","",IF(COUNTIFS(BD!$A$3:$A$5001,H$3,BD!$B$3:$B$5001,$A$267,BD!$AG$3:$AG$5001,"&lt;&gt;")=0,"",SUMIFS(BD!$AG$3:$AG$5001,BD!$A$3:$A$5001,H$3,BD!$B$3:$B$5001,$A$267)))</f>
        <v/>
      </c>
      <c r="I298" s="236" t="str">
        <f>IF(I$3="","",IF(COUNTIFS(BD!$A$3:$A$5001,I$3,BD!$B$3:$B$5001,$A$267,BD!$AG$3:$AG$5001,"&lt;&gt;")=0,"",SUMIFS(BD!$AG$3:$AG$5001,BD!$A$3:$A$5001,I$3,BD!$B$3:$B$5001,$A$267)))</f>
        <v/>
      </c>
      <c r="J298" s="236" t="str">
        <f>IF(J$3="","",IF(COUNTIFS(BD!$A$3:$A$5001,J$3,BD!$B$3:$B$5001,$A$267,BD!$AG$3:$AG$5001,"&lt;&gt;")=0,"",SUMIFS(BD!$AG$3:$AG$5001,BD!$A$3:$A$5001,J$3,BD!$B$3:$B$5001,$A$267)))</f>
        <v/>
      </c>
      <c r="K298" s="236" t="str">
        <f>IF(K$3="","",IF(COUNTIFS(BD!$A$3:$A$5001,K$3,BD!$B$3:$B$5001,$A$267,BD!$AG$3:$AG$5001,"&lt;&gt;")=0,"",SUMIFS(BD!$AG$3:$AG$5001,BD!$A$3:$A$5001,K$3,BD!$B$3:$B$5001,$A$267)))</f>
        <v/>
      </c>
      <c r="L298" s="236" t="str">
        <f>IF(L$3="","",IF(COUNTIFS(BD!$A$3:$A$5001,L$3,BD!$B$3:$B$5001,$A$267,BD!$AG$3:$AG$5001,"&lt;&gt;")=0,"",SUMIFS(BD!$AG$3:$AG$5001,BD!$A$3:$A$5001,L$3,BD!$B$3:$B$5001,$A$267)))</f>
        <v/>
      </c>
      <c r="M298" s="236" t="str">
        <f>IF(M$3="","",IF(COUNTIFS(BD!$A$3:$A$5001,M$3,BD!$B$3:$B$5001,$A$267,BD!$AG$3:$AG$5001,"&lt;&gt;")=0,"",SUMIFS(BD!$AG$3:$AG$5001,BD!$A$3:$A$5001,M$3,BD!$B$3:$B$5001,$A$267)))</f>
        <v/>
      </c>
      <c r="N298" s="236" t="str">
        <f>IF(N$3="","",IF(COUNTIFS(BD!$A$3:$A$5001,N$3,BD!$B$3:$B$5001,$A$267,BD!$AG$3:$AG$5001,"&lt;&gt;")=0,"",SUMIFS(BD!$AG$3:$AG$5001,BD!$A$3:$A$5001,N$3,BD!$B$3:$B$5001,$A$267)))</f>
        <v/>
      </c>
      <c r="O298" s="236" t="str">
        <f>IF(O$3="","",IF(COUNTIFS(BD!$A$3:$A$5001,O$3,BD!$B$3:$B$5001,$A$267,BD!$AG$3:$AG$5001,"&lt;&gt;")=0,"",SUMIFS(BD!$AG$3:$AG$5001,BD!$A$3:$A$5001,O$3,BD!$B$3:$B$5001,$A$267)))</f>
        <v/>
      </c>
      <c r="P298" s="236" t="str">
        <f>IF(P$3="","",IF(COUNTIFS(BD!$A$3:$A$5001,P$3,BD!$B$3:$B$5001,$A$267,BD!$AG$3:$AG$5001,"&lt;&gt;")=0,"",SUMIFS(BD!$AG$3:$AG$5001,BD!$A$3:$A$5001,P$3,BD!$B$3:$B$5001,$A$267)))</f>
        <v/>
      </c>
      <c r="Q298" s="236" t="str">
        <f>IF(Q$3="","",IF(COUNTIFS(BD!$A$3:$A$5001,Q$3,BD!$B$3:$B$5001,$A$267,BD!$AG$3:$AG$5001,"&lt;&gt;")=0,"",SUMIFS(BD!$AG$3:$AG$5001,BD!$A$3:$A$5001,Q$3,BD!$B$3:$B$5001,$A$267)))</f>
        <v/>
      </c>
      <c r="R298" s="236" t="str">
        <f>IF(R$3="","",IF(COUNTIFS(BD!$A$3:$A$5001,R$3,BD!$B$3:$B$5001,$A$267,BD!$AG$3:$AG$5001,"&lt;&gt;")=0,"",SUMIFS(BD!$AG$3:$AG$5001,BD!$A$3:$A$5001,R$3,BD!$B$3:$B$5001,$A$267)))</f>
        <v/>
      </c>
      <c r="S298" s="236" t="str">
        <f>IF(S$3="","",IF(COUNTIFS(BD!$A$3:$A$5001,S$3,BD!$B$3:$B$5001,$A$267,BD!$AG$3:$AG$5001,"&lt;&gt;")=0,"",SUMIFS(BD!$AG$3:$AG$5001,BD!$A$3:$A$5001,S$3,BD!$B$3:$B$5001,$A$267)))</f>
        <v/>
      </c>
      <c r="T298" s="236" t="str">
        <f>IF(T$3="","",IF(COUNTIFS(BD!$A$3:$A$5001,T$3,BD!$B$3:$B$5001,$A$267,BD!$AG$3:$AG$5001,"&lt;&gt;")=0,"",SUMIFS(BD!$AG$3:$AG$5001,BD!$A$3:$A$5001,T$3,BD!$B$3:$B$5001,$A$267)))</f>
        <v/>
      </c>
      <c r="U298" s="236" t="str">
        <f>IF(U$3="","",IF(COUNTIFS(BD!$A$3:$A$5001,U$3,BD!$B$3:$B$5001,$A$267,BD!$AG$3:$AG$5001,"&lt;&gt;")=0,"",SUMIFS(BD!$AG$3:$AG$5001,BD!$A$3:$A$5001,U$3,BD!$B$3:$B$5001,$A$267)))</f>
        <v/>
      </c>
      <c r="V298" s="236" t="str">
        <f>IF(V$3="","",IF(COUNTIFS(BD!$A$3:$A$5001,V$3,BD!$B$3:$B$5001,$A$267,BD!$AG$3:$AG$5001,"&lt;&gt;")=0,"",SUMIFS(BD!$AG$3:$AG$5001,BD!$A$3:$A$5001,V$3,BD!$B$3:$B$5001,$A$267)))</f>
        <v/>
      </c>
      <c r="W298" s="236" t="str">
        <f>IF(W$3="","",IF(COUNTIFS(BD!$A$3:$A$5001,W$3,BD!$B$3:$B$5001,$A$267,BD!$AG$3:$AG$5001,"&lt;&gt;")=0,"",SUMIFS(BD!$AG$3:$AG$5001,BD!$A$3:$A$5001,W$3,BD!$B$3:$B$5001,$A$267)))</f>
        <v/>
      </c>
      <c r="X298" s="236" t="str">
        <f>IF(X$3="","",IF(COUNTIFS(BD!$A$3:$A$5001,X$3,BD!$B$3:$B$5001,$A$267,BD!$AG$3:$AG$5001,"&lt;&gt;")=0,"",SUMIFS(BD!$AG$3:$AG$5001,BD!$A$3:$A$5001,X$3,BD!$B$3:$B$5001,$A$267)))</f>
        <v/>
      </c>
      <c r="Y298" s="236" t="str">
        <f>IF(Y$3="","",IF(COUNTIFS(BD!$A$3:$A$5001,Y$3,BD!$B$3:$B$5001,$A$267,BD!$AG$3:$AG$5001,"&lt;&gt;")=0,"",SUMIFS(BD!$AG$3:$AG$5001,BD!$A$3:$A$5001,Y$3,BD!$B$3:$B$5001,$A$267)))</f>
        <v/>
      </c>
      <c r="Z298" s="236" t="str">
        <f>IF(Z$3="","",IF(COUNTIFS(BD!$A$3:$A$5001,Z$3,BD!$B$3:$B$5001,$A$267,BD!$AG$3:$AG$5001,"&lt;&gt;")=0,"",SUMIFS(BD!$AG$3:$AG$5001,BD!$A$3:$A$5001,Z$3,BD!$B$3:$B$5001,$A$267)))</f>
        <v/>
      </c>
      <c r="AA298" s="236" t="str">
        <f>IF(AA$3="","",IF(COUNTIFS(BD!$A$3:$A$5001,AA$3,BD!$B$3:$B$5001,$A$267,BD!$AG$3:$AG$5001,"&lt;&gt;")=0,"",SUMIFS(BD!$AG$3:$AG$5001,BD!$A$3:$A$5001,AA$3,BD!$B$3:$B$5001,$A$267)))</f>
        <v/>
      </c>
      <c r="AB298" s="236" t="str">
        <f>IF(AB$3="","",IF(COUNTIFS(BD!$A$3:$A$5001,AB$3,BD!$B$3:$B$5001,$A$267,BD!$AG$3:$AG$5001,"&lt;&gt;")=0,"",SUMIFS(BD!$AG$3:$AG$5001,BD!$A$3:$A$5001,AB$3,BD!$B$3:$B$5001,$A$267)))</f>
        <v/>
      </c>
      <c r="AC298" s="236" t="str">
        <f>IF(AC$3="","",IF(COUNTIFS(BD!$A$3:$A$5001,AC$3,BD!$B$3:$B$5001,$A$267,BD!$AG$3:$AG$5001,"&lt;&gt;")=0,"",SUMIFS(BD!$AG$3:$AG$5001,BD!$A$3:$A$5001,AC$3,BD!$B$3:$B$5001,$A$267)))</f>
        <v/>
      </c>
      <c r="AD298" s="236" t="str">
        <f>IF(AD$3="","",IF(COUNTIFS(BD!$A$3:$A$5001,AD$3,BD!$B$3:$B$5001,$A$267,BD!$AG$3:$AG$5001,"&lt;&gt;")=0,"",SUMIFS(BD!$AG$3:$AG$5001,BD!$A$3:$A$5001,AD$3,BD!$B$3:$B$5001,$A$267)))</f>
        <v/>
      </c>
      <c r="AE298" s="236" t="str">
        <f>IF(AE$3="","",IF(COUNTIFS(BD!$A$3:$A$5001,AE$3,BD!$B$3:$B$5001,$A$267,BD!$AG$3:$AG$5001,"&lt;&gt;")=0,"",SUMIFS(BD!$AG$3:$AG$5001,BD!$A$3:$A$5001,AE$3,BD!$B$3:$B$5001,$A$267)))</f>
        <v/>
      </c>
      <c r="AF298" s="236" t="str">
        <f>IF(AF$3="","",IF(COUNTIFS(BD!$A$3:$A$5001,AF$3,BD!$B$3:$B$5001,$A$267,BD!$AG$3:$AG$5001,"&lt;&gt;")=0,"",SUMIFS(BD!$AG$3:$AG$5001,BD!$A$3:$A$5001,AF$3,BD!$B$3:$B$5001,$A$267)))</f>
        <v/>
      </c>
      <c r="AG298" s="236" t="str">
        <f>IF(AG$3="","",IF(COUNTIFS(BD!$A$3:$A$5001,AG$3,BD!$B$3:$B$5001,$A$267,BD!$AG$3:$AG$5001,"&lt;&gt;")=0,"",SUMIFS(BD!$AG$3:$AG$5001,BD!$A$3:$A$5001,AG$3,BD!$B$3:$B$5001,$A$267)))</f>
        <v/>
      </c>
      <c r="AH298" s="236" t="str">
        <f>IF(AH$3="","",IF(COUNTIFS(BD!$A$3:$A$5001,AH$3,BD!$B$3:$B$5001,$A$267,BD!$AG$3:$AG$5001,"&lt;&gt;")=0,"",SUMIFS(BD!$AG$3:$AG$5001,BD!$A$3:$A$5001,AH$3,BD!$B$3:$B$5001,$A$267)))</f>
        <v/>
      </c>
      <c r="AI298" s="236" t="str">
        <f>IF(AI$3="","",IF(COUNTIFS(BD!$A$3:$A$5001,AI$3,BD!$B$3:$B$5001,$A$267,BD!$AG$3:$AG$5001,"&lt;&gt;")=0,"",SUMIFS(BD!$AG$3:$AG$5001,BD!$A$3:$A$5001,AI$3,BD!$B$3:$B$5001,$A$267)))</f>
        <v/>
      </c>
      <c r="AJ298" s="237" t="str">
        <f>IF(AJ$3="","",IF(COUNTIFS(BD!$A$3:$A$5001,AJ$3,BD!$B$3:$B$5001,$A$267,BD!$AG$3:$AG$5001,"&lt;&gt;")=0,"",SUMIFS(BD!$AG$3:$AG$5001,BD!$A$3:$A$5001,AJ$3,BD!$B$3:$B$5001,$A$267)))</f>
        <v/>
      </c>
      <c r="AK298" s="238" t="str">
        <f>IF(COUNT(F298:AJ298)=0,"",SUM(F298:AJ298))</f>
        <v/>
      </c>
    </row>
    <row r="299" ht="15.75" customHeight="1" hidden="1">
      <c r="A299" s="262"/>
      <c r="B299" s="259"/>
      <c r="C299" s="243" t="inlineStr">
        <is>
          <t xml:space="preserve">Acidentes SAF</t>
        </is>
      </c>
      <c r="D299" s="244" t="str">
        <f>IFERROR(1/(1/INDEX(BD!$AL$55:$BF$55,MATCH($A$267,BD!$AL$22:$BF$22,0))),"")</f>
        <v/>
      </c>
      <c r="E299" s="245"/>
      <c r="F299" s="246" t="str">
        <f>IF(F$3="","",IF(COUNTIFS(BD!$A$3:$A$5001,F$3,BD!$B$3:$B$5001,$A$267,BD!$AH$3:$AH$5001,"&lt;&gt;")=0,"",SUMIFS(BD!$AH$3:$AH$5001,BD!$A$3:$A$5001,F$3,BD!$B$3:$B$5001,$A$267)))</f>
        <v/>
      </c>
      <c r="G299" s="247" t="str">
        <f>IF(G$3="","",IF(COUNTIFS(BD!$A$3:$A$5001,G$3,BD!$B$3:$B$5001,$A$267,BD!$AH$3:$AH$5001,"&lt;&gt;")=0,"",SUMIFS(BD!$AH$3:$AH$5001,BD!$A$3:$A$5001,G$3,BD!$B$3:$B$5001,$A$267)))</f>
        <v/>
      </c>
      <c r="H299" s="247" t="str">
        <f>IF(H$3="","",IF(COUNTIFS(BD!$A$3:$A$5001,H$3,BD!$B$3:$B$5001,$A$267,BD!$AH$3:$AH$5001,"&lt;&gt;")=0,"",SUMIFS(BD!$AH$3:$AH$5001,BD!$A$3:$A$5001,H$3,BD!$B$3:$B$5001,$A$267)))</f>
        <v/>
      </c>
      <c r="I299" s="247" t="str">
        <f>IF(I$3="","",IF(COUNTIFS(BD!$A$3:$A$5001,I$3,BD!$B$3:$B$5001,$A$267,BD!$AH$3:$AH$5001,"&lt;&gt;")=0,"",SUMIFS(BD!$AH$3:$AH$5001,BD!$A$3:$A$5001,I$3,BD!$B$3:$B$5001,$A$267)))</f>
        <v/>
      </c>
      <c r="J299" s="247" t="str">
        <f>IF(J$3="","",IF(COUNTIFS(BD!$A$3:$A$5001,J$3,BD!$B$3:$B$5001,$A$267,BD!$AH$3:$AH$5001,"&lt;&gt;")=0,"",SUMIFS(BD!$AH$3:$AH$5001,BD!$A$3:$A$5001,J$3,BD!$B$3:$B$5001,$A$267)))</f>
        <v/>
      </c>
      <c r="K299" s="247" t="str">
        <f>IF(K$3="","",IF(COUNTIFS(BD!$A$3:$A$5001,K$3,BD!$B$3:$B$5001,$A$267,BD!$AH$3:$AH$5001,"&lt;&gt;")=0,"",SUMIFS(BD!$AH$3:$AH$5001,BD!$A$3:$A$5001,K$3,BD!$B$3:$B$5001,$A$267)))</f>
        <v/>
      </c>
      <c r="L299" s="247" t="str">
        <f>IF(L$3="","",IF(COUNTIFS(BD!$A$3:$A$5001,L$3,BD!$B$3:$B$5001,$A$267,BD!$AH$3:$AH$5001,"&lt;&gt;")=0,"",SUMIFS(BD!$AH$3:$AH$5001,BD!$A$3:$A$5001,L$3,BD!$B$3:$B$5001,$A$267)))</f>
        <v/>
      </c>
      <c r="M299" s="247" t="str">
        <f>IF(M$3="","",IF(COUNTIFS(BD!$A$3:$A$5001,M$3,BD!$B$3:$B$5001,$A$267,BD!$AH$3:$AH$5001,"&lt;&gt;")=0,"",SUMIFS(BD!$AH$3:$AH$5001,BD!$A$3:$A$5001,M$3,BD!$B$3:$B$5001,$A$267)))</f>
        <v/>
      </c>
      <c r="N299" s="247" t="str">
        <f>IF(N$3="","",IF(COUNTIFS(BD!$A$3:$A$5001,N$3,BD!$B$3:$B$5001,$A$267,BD!$AH$3:$AH$5001,"&lt;&gt;")=0,"",SUMIFS(BD!$AH$3:$AH$5001,BD!$A$3:$A$5001,N$3,BD!$B$3:$B$5001,$A$267)))</f>
        <v/>
      </c>
      <c r="O299" s="247" t="str">
        <f>IF(O$3="","",IF(COUNTIFS(BD!$A$3:$A$5001,O$3,BD!$B$3:$B$5001,$A$267,BD!$AH$3:$AH$5001,"&lt;&gt;")=0,"",SUMIFS(BD!$AH$3:$AH$5001,BD!$A$3:$A$5001,O$3,BD!$B$3:$B$5001,$A$267)))</f>
        <v/>
      </c>
      <c r="P299" s="247" t="str">
        <f>IF(P$3="","",IF(COUNTIFS(BD!$A$3:$A$5001,P$3,BD!$B$3:$B$5001,$A$267,BD!$AH$3:$AH$5001,"&lt;&gt;")=0,"",SUMIFS(BD!$AH$3:$AH$5001,BD!$A$3:$A$5001,P$3,BD!$B$3:$B$5001,$A$267)))</f>
        <v/>
      </c>
      <c r="Q299" s="247" t="str">
        <f>IF(Q$3="","",IF(COUNTIFS(BD!$A$3:$A$5001,Q$3,BD!$B$3:$B$5001,$A$267,BD!$AH$3:$AH$5001,"&lt;&gt;")=0,"",SUMIFS(BD!$AH$3:$AH$5001,BD!$A$3:$A$5001,Q$3,BD!$B$3:$B$5001,$A$267)))</f>
        <v/>
      </c>
      <c r="R299" s="247" t="str">
        <f>IF(R$3="","",IF(COUNTIFS(BD!$A$3:$A$5001,R$3,BD!$B$3:$B$5001,$A$267,BD!$AH$3:$AH$5001,"&lt;&gt;")=0,"",SUMIFS(BD!$AH$3:$AH$5001,BD!$A$3:$A$5001,R$3,BD!$B$3:$B$5001,$A$267)))</f>
        <v/>
      </c>
      <c r="S299" s="247" t="str">
        <f>IF(S$3="","",IF(COUNTIFS(BD!$A$3:$A$5001,S$3,BD!$B$3:$B$5001,$A$267,BD!$AH$3:$AH$5001,"&lt;&gt;")=0,"",SUMIFS(BD!$AH$3:$AH$5001,BD!$A$3:$A$5001,S$3,BD!$B$3:$B$5001,$A$267)))</f>
        <v/>
      </c>
      <c r="T299" s="247" t="str">
        <f>IF(T$3="","",IF(COUNTIFS(BD!$A$3:$A$5001,T$3,BD!$B$3:$B$5001,$A$267,BD!$AH$3:$AH$5001,"&lt;&gt;")=0,"",SUMIFS(BD!$AH$3:$AH$5001,BD!$A$3:$A$5001,T$3,BD!$B$3:$B$5001,$A$267)))</f>
        <v/>
      </c>
      <c r="U299" s="247" t="str">
        <f>IF(U$3="","",IF(COUNTIFS(BD!$A$3:$A$5001,U$3,BD!$B$3:$B$5001,$A$267,BD!$AH$3:$AH$5001,"&lt;&gt;")=0,"",SUMIFS(BD!$AH$3:$AH$5001,BD!$A$3:$A$5001,U$3,BD!$B$3:$B$5001,$A$267)))</f>
        <v/>
      </c>
      <c r="V299" s="247" t="str">
        <f>IF(V$3="","",IF(COUNTIFS(BD!$A$3:$A$5001,V$3,BD!$B$3:$B$5001,$A$267,BD!$AH$3:$AH$5001,"&lt;&gt;")=0,"",SUMIFS(BD!$AH$3:$AH$5001,BD!$A$3:$A$5001,V$3,BD!$B$3:$B$5001,$A$267)))</f>
        <v/>
      </c>
      <c r="W299" s="247" t="str">
        <f>IF(W$3="","",IF(COUNTIFS(BD!$A$3:$A$5001,W$3,BD!$B$3:$B$5001,$A$267,BD!$AH$3:$AH$5001,"&lt;&gt;")=0,"",SUMIFS(BD!$AH$3:$AH$5001,BD!$A$3:$A$5001,W$3,BD!$B$3:$B$5001,$A$267)))</f>
        <v/>
      </c>
      <c r="X299" s="247" t="str">
        <f>IF(X$3="","",IF(COUNTIFS(BD!$A$3:$A$5001,X$3,BD!$B$3:$B$5001,$A$267,BD!$AH$3:$AH$5001,"&lt;&gt;")=0,"",SUMIFS(BD!$AH$3:$AH$5001,BD!$A$3:$A$5001,X$3,BD!$B$3:$B$5001,$A$267)))</f>
        <v/>
      </c>
      <c r="Y299" s="247" t="str">
        <f>IF(Y$3="","",IF(COUNTIFS(BD!$A$3:$A$5001,Y$3,BD!$B$3:$B$5001,$A$267,BD!$AH$3:$AH$5001,"&lt;&gt;")=0,"",SUMIFS(BD!$AH$3:$AH$5001,BD!$A$3:$A$5001,Y$3,BD!$B$3:$B$5001,$A$267)))</f>
        <v/>
      </c>
      <c r="Z299" s="247" t="str">
        <f>IF(Z$3="","",IF(COUNTIFS(BD!$A$3:$A$5001,Z$3,BD!$B$3:$B$5001,$A$267,BD!$AH$3:$AH$5001,"&lt;&gt;")=0,"",SUMIFS(BD!$AH$3:$AH$5001,BD!$A$3:$A$5001,Z$3,BD!$B$3:$B$5001,$A$267)))</f>
        <v/>
      </c>
      <c r="AA299" s="247" t="str">
        <f>IF(AA$3="","",IF(COUNTIFS(BD!$A$3:$A$5001,AA$3,BD!$B$3:$B$5001,$A$267,BD!$AH$3:$AH$5001,"&lt;&gt;")=0,"",SUMIFS(BD!$AH$3:$AH$5001,BD!$A$3:$A$5001,AA$3,BD!$B$3:$B$5001,$A$267)))</f>
        <v/>
      </c>
      <c r="AB299" s="247" t="str">
        <f>IF(AB$3="","",IF(COUNTIFS(BD!$A$3:$A$5001,AB$3,BD!$B$3:$B$5001,$A$267,BD!$AH$3:$AH$5001,"&lt;&gt;")=0,"",SUMIFS(BD!$AH$3:$AH$5001,BD!$A$3:$A$5001,AB$3,BD!$B$3:$B$5001,$A$267)))</f>
        <v/>
      </c>
      <c r="AC299" s="247" t="str">
        <f>IF(AC$3="","",IF(COUNTIFS(BD!$A$3:$A$5001,AC$3,BD!$B$3:$B$5001,$A$267,BD!$AH$3:$AH$5001,"&lt;&gt;")=0,"",SUMIFS(BD!$AH$3:$AH$5001,BD!$A$3:$A$5001,AC$3,BD!$B$3:$B$5001,$A$267)))</f>
        <v/>
      </c>
      <c r="AD299" s="247" t="str">
        <f>IF(AD$3="","",IF(COUNTIFS(BD!$A$3:$A$5001,AD$3,BD!$B$3:$B$5001,$A$267,BD!$AH$3:$AH$5001,"&lt;&gt;")=0,"",SUMIFS(BD!$AH$3:$AH$5001,BD!$A$3:$A$5001,AD$3,BD!$B$3:$B$5001,$A$267)))</f>
        <v/>
      </c>
      <c r="AE299" s="247" t="str">
        <f>IF(AE$3="","",IF(COUNTIFS(BD!$A$3:$A$5001,AE$3,BD!$B$3:$B$5001,$A$267,BD!$AH$3:$AH$5001,"&lt;&gt;")=0,"",SUMIFS(BD!$AH$3:$AH$5001,BD!$A$3:$A$5001,AE$3,BD!$B$3:$B$5001,$A$267)))</f>
        <v/>
      </c>
      <c r="AF299" s="247" t="str">
        <f>IF(AF$3="","",IF(COUNTIFS(BD!$A$3:$A$5001,AF$3,BD!$B$3:$B$5001,$A$267,BD!$AH$3:$AH$5001,"&lt;&gt;")=0,"",SUMIFS(BD!$AH$3:$AH$5001,BD!$A$3:$A$5001,AF$3,BD!$B$3:$B$5001,$A$267)))</f>
        <v/>
      </c>
      <c r="AG299" s="247" t="str">
        <f>IF(AG$3="","",IF(COUNTIFS(BD!$A$3:$A$5001,AG$3,BD!$B$3:$B$5001,$A$267,BD!$AH$3:$AH$5001,"&lt;&gt;")=0,"",SUMIFS(BD!$AH$3:$AH$5001,BD!$A$3:$A$5001,AG$3,BD!$B$3:$B$5001,$A$267)))</f>
        <v/>
      </c>
      <c r="AH299" s="247" t="str">
        <f>IF(AH$3="","",IF(COUNTIFS(BD!$A$3:$A$5001,AH$3,BD!$B$3:$B$5001,$A$267,BD!$AH$3:$AH$5001,"&lt;&gt;")=0,"",SUMIFS(BD!$AH$3:$AH$5001,BD!$A$3:$A$5001,AH$3,BD!$B$3:$B$5001,$A$267)))</f>
        <v/>
      </c>
      <c r="AI299" s="247" t="str">
        <f>IF(AI$3="","",IF(COUNTIFS(BD!$A$3:$A$5001,AI$3,BD!$B$3:$B$5001,$A$267,BD!$AH$3:$AH$5001,"&lt;&gt;")=0,"",SUMIFS(BD!$AH$3:$AH$5001,BD!$A$3:$A$5001,AI$3,BD!$B$3:$B$5001,$A$267)))</f>
        <v/>
      </c>
      <c r="AJ299" s="248" t="str">
        <f>IF(AJ$3="","",IF(COUNTIFS(BD!$A$3:$A$5001,AJ$3,BD!$B$3:$B$5001,$A$267,BD!$AH$3:$AH$5001,"&lt;&gt;")=0,"",SUMIFS(BD!$AH$3:$AH$5001,BD!$A$3:$A$5001,AJ$3,BD!$B$3:$B$5001,$A$267)))</f>
        <v/>
      </c>
      <c r="AK299" s="244" t="str">
        <f>IF(COUNT(F299:AJ299)=0,"",SUM(F299:AJ299))</f>
        <v/>
      </c>
    </row>
    <row r="301" ht="15.75" customHeight="1" hidden="1">
      <c r="A301" s="260"/>
      <c r="B301" s="249" t="inlineStr">
        <is>
          <t xml:space="preserve">IN</t>
        </is>
      </c>
      <c r="C301" s="168" t="inlineStr">
        <is>
          <t xml:space="preserve">Veículos Recebidos</t>
        </is>
      </c>
      <c r="D301" s="169" t="str">
        <f>IFERROR(1/(1/INDEX(BD!$AL$23:$BF$23,MATCH($A$301,BD!$AL$22:$BF$22,0))),"")</f>
        <v/>
      </c>
      <c r="E301" s="170"/>
      <c r="F301" s="171" t="str">
        <f>IF(F$3="","",IF(COUNTIFS(BD!$A$3:$A$5001,F$3,BD!$B$3:$B$5001,$A$301,BD!$C$3:$C$5001,"&lt;&gt;")=0,"",SUMIFS(BD!$C$3:$C$5001,BD!$A$3:$A$5001,F$3,BD!$B$3:$B$5001,$A$301)))</f>
        <v/>
      </c>
      <c r="G301" s="172" t="str">
        <f>IF(G$3="","",IF(COUNTIFS(BD!$A$3:$A$5001,G$3,BD!$B$3:$B$5001,$A$301,BD!$C$3:$C$5001,"&lt;&gt;")=0,"",SUMIFS(BD!$C$3:$C$5001,BD!$A$3:$A$5001,G$3,BD!$B$3:$B$5001,$A$301)))</f>
        <v/>
      </c>
      <c r="H301" s="172" t="str">
        <f>IF(H$3="","",IF(COUNTIFS(BD!$A$3:$A$5001,H$3,BD!$B$3:$B$5001,$A$301,BD!$C$3:$C$5001,"&lt;&gt;")=0,"",SUMIFS(BD!$C$3:$C$5001,BD!$A$3:$A$5001,H$3,BD!$B$3:$B$5001,$A$301)))</f>
        <v/>
      </c>
      <c r="I301" s="172" t="str">
        <f>IF(I$3="","",IF(COUNTIFS(BD!$A$3:$A$5001,I$3,BD!$B$3:$B$5001,$A$301,BD!$C$3:$C$5001,"&lt;&gt;")=0,"",SUMIFS(BD!$C$3:$C$5001,BD!$A$3:$A$5001,I$3,BD!$B$3:$B$5001,$A$301)))</f>
        <v/>
      </c>
      <c r="J301" s="172" t="str">
        <f>IF(J$3="","",IF(COUNTIFS(BD!$A$3:$A$5001,J$3,BD!$B$3:$B$5001,$A$301,BD!$C$3:$C$5001,"&lt;&gt;")=0,"",SUMIFS(BD!$C$3:$C$5001,BD!$A$3:$A$5001,J$3,BD!$B$3:$B$5001,$A$301)))</f>
        <v/>
      </c>
      <c r="K301" s="172" t="str">
        <f>IF(K$3="","",IF(COUNTIFS(BD!$A$3:$A$5001,K$3,BD!$B$3:$B$5001,$A$301,BD!$C$3:$C$5001,"&lt;&gt;")=0,"",SUMIFS(BD!$C$3:$C$5001,BD!$A$3:$A$5001,K$3,BD!$B$3:$B$5001,$A$301)))</f>
        <v/>
      </c>
      <c r="L301" s="172" t="str">
        <f>IF(L$3="","",IF(COUNTIFS(BD!$A$3:$A$5001,L$3,BD!$B$3:$B$5001,$A$301,BD!$C$3:$C$5001,"&lt;&gt;")=0,"",SUMIFS(BD!$C$3:$C$5001,BD!$A$3:$A$5001,L$3,BD!$B$3:$B$5001,$A$301)))</f>
        <v/>
      </c>
      <c r="M301" s="172" t="str">
        <f>IF(M$3="","",IF(COUNTIFS(BD!$A$3:$A$5001,M$3,BD!$B$3:$B$5001,$A$301,BD!$C$3:$C$5001,"&lt;&gt;")=0,"",SUMIFS(BD!$C$3:$C$5001,BD!$A$3:$A$5001,M$3,BD!$B$3:$B$5001,$A$301)))</f>
        <v/>
      </c>
      <c r="N301" s="172" t="str">
        <f>IF(N$3="","",IF(COUNTIFS(BD!$A$3:$A$5001,N$3,BD!$B$3:$B$5001,$A$301,BD!$C$3:$C$5001,"&lt;&gt;")=0,"",SUMIFS(BD!$C$3:$C$5001,BD!$A$3:$A$5001,N$3,BD!$B$3:$B$5001,$A$301)))</f>
        <v/>
      </c>
      <c r="O301" s="172" t="str">
        <f>IF(O$3="","",IF(COUNTIFS(BD!$A$3:$A$5001,O$3,BD!$B$3:$B$5001,$A$301,BD!$C$3:$C$5001,"&lt;&gt;")=0,"",SUMIFS(BD!$C$3:$C$5001,BD!$A$3:$A$5001,O$3,BD!$B$3:$B$5001,$A$301)))</f>
        <v/>
      </c>
      <c r="P301" s="172" t="str">
        <f>IF(P$3="","",IF(COUNTIFS(BD!$A$3:$A$5001,P$3,BD!$B$3:$B$5001,$A$301,BD!$C$3:$C$5001,"&lt;&gt;")=0,"",SUMIFS(BD!$C$3:$C$5001,BD!$A$3:$A$5001,P$3,BD!$B$3:$B$5001,$A$301)))</f>
        <v/>
      </c>
      <c r="Q301" s="172" t="str">
        <f>IF(Q$3="","",IF(COUNTIFS(BD!$A$3:$A$5001,Q$3,BD!$B$3:$B$5001,$A$301,BD!$C$3:$C$5001,"&lt;&gt;")=0,"",SUMIFS(BD!$C$3:$C$5001,BD!$A$3:$A$5001,Q$3,BD!$B$3:$B$5001,$A$301)))</f>
        <v/>
      </c>
      <c r="R301" s="172" t="str">
        <f>IF(R$3="","",IF(COUNTIFS(BD!$A$3:$A$5001,R$3,BD!$B$3:$B$5001,$A$301,BD!$C$3:$C$5001,"&lt;&gt;")=0,"",SUMIFS(BD!$C$3:$C$5001,BD!$A$3:$A$5001,R$3,BD!$B$3:$B$5001,$A$301)))</f>
        <v/>
      </c>
      <c r="S301" s="172" t="str">
        <f>IF(S$3="","",IF(COUNTIFS(BD!$A$3:$A$5001,S$3,BD!$B$3:$B$5001,$A$301,BD!$C$3:$C$5001,"&lt;&gt;")=0,"",SUMIFS(BD!$C$3:$C$5001,BD!$A$3:$A$5001,S$3,BD!$B$3:$B$5001,$A$301)))</f>
        <v/>
      </c>
      <c r="T301" s="172" t="str">
        <f>IF(T$3="","",IF(COUNTIFS(BD!$A$3:$A$5001,T$3,BD!$B$3:$B$5001,$A$301,BD!$C$3:$C$5001,"&lt;&gt;")=0,"",SUMIFS(BD!$C$3:$C$5001,BD!$A$3:$A$5001,T$3,BD!$B$3:$B$5001,$A$301)))</f>
        <v/>
      </c>
      <c r="U301" s="172" t="str">
        <f>IF(U$3="","",IF(COUNTIFS(BD!$A$3:$A$5001,U$3,BD!$B$3:$B$5001,$A$301,BD!$C$3:$C$5001,"&lt;&gt;")=0,"",SUMIFS(BD!$C$3:$C$5001,BD!$A$3:$A$5001,U$3,BD!$B$3:$B$5001,$A$301)))</f>
        <v/>
      </c>
      <c r="V301" s="172" t="str">
        <f>IF(V$3="","",IF(COUNTIFS(BD!$A$3:$A$5001,V$3,BD!$B$3:$B$5001,$A$301,BD!$C$3:$C$5001,"&lt;&gt;")=0,"",SUMIFS(BD!$C$3:$C$5001,BD!$A$3:$A$5001,V$3,BD!$B$3:$B$5001,$A$301)))</f>
        <v/>
      </c>
      <c r="W301" s="172" t="str">
        <f>IF(W$3="","",IF(COUNTIFS(BD!$A$3:$A$5001,W$3,BD!$B$3:$B$5001,$A$301,BD!$C$3:$C$5001,"&lt;&gt;")=0,"",SUMIFS(BD!$C$3:$C$5001,BD!$A$3:$A$5001,W$3,BD!$B$3:$B$5001,$A$301)))</f>
        <v/>
      </c>
      <c r="X301" s="172" t="str">
        <f>IF(X$3="","",IF(COUNTIFS(BD!$A$3:$A$5001,X$3,BD!$B$3:$B$5001,$A$301,BD!$C$3:$C$5001,"&lt;&gt;")=0,"",SUMIFS(BD!$C$3:$C$5001,BD!$A$3:$A$5001,X$3,BD!$B$3:$B$5001,$A$301)))</f>
        <v/>
      </c>
      <c r="Y301" s="172" t="str">
        <f>IF(Y$3="","",IF(COUNTIFS(BD!$A$3:$A$5001,Y$3,BD!$B$3:$B$5001,$A$301,BD!$C$3:$C$5001,"&lt;&gt;")=0,"",SUMIFS(BD!$C$3:$C$5001,BD!$A$3:$A$5001,Y$3,BD!$B$3:$B$5001,$A$301)))</f>
        <v/>
      </c>
      <c r="Z301" s="172" t="str">
        <f>IF(Z$3="","",IF(COUNTIFS(BD!$A$3:$A$5001,Z$3,BD!$B$3:$B$5001,$A$301,BD!$C$3:$C$5001,"&lt;&gt;")=0,"",SUMIFS(BD!$C$3:$C$5001,BD!$A$3:$A$5001,Z$3,BD!$B$3:$B$5001,$A$301)))</f>
        <v/>
      </c>
      <c r="AA301" s="172" t="str">
        <f>IF(AA$3="","",IF(COUNTIFS(BD!$A$3:$A$5001,AA$3,BD!$B$3:$B$5001,$A$301,BD!$C$3:$C$5001,"&lt;&gt;")=0,"",SUMIFS(BD!$C$3:$C$5001,BD!$A$3:$A$5001,AA$3,BD!$B$3:$B$5001,$A$301)))</f>
        <v/>
      </c>
      <c r="AB301" s="172" t="str">
        <f>IF(AB$3="","",IF(COUNTIFS(BD!$A$3:$A$5001,AB$3,BD!$B$3:$B$5001,$A$301,BD!$C$3:$C$5001,"&lt;&gt;")=0,"",SUMIFS(BD!$C$3:$C$5001,BD!$A$3:$A$5001,AB$3,BD!$B$3:$B$5001,$A$301)))</f>
        <v/>
      </c>
      <c r="AC301" s="172" t="str">
        <f>IF(AC$3="","",IF(COUNTIFS(BD!$A$3:$A$5001,AC$3,BD!$B$3:$B$5001,$A$301,BD!$C$3:$C$5001,"&lt;&gt;")=0,"",SUMIFS(BD!$C$3:$C$5001,BD!$A$3:$A$5001,AC$3,BD!$B$3:$B$5001,$A$301)))</f>
        <v/>
      </c>
      <c r="AD301" s="172" t="str">
        <f>IF(AD$3="","",IF(COUNTIFS(BD!$A$3:$A$5001,AD$3,BD!$B$3:$B$5001,$A$301,BD!$C$3:$C$5001,"&lt;&gt;")=0,"",SUMIFS(BD!$C$3:$C$5001,BD!$A$3:$A$5001,AD$3,BD!$B$3:$B$5001,$A$301)))</f>
        <v/>
      </c>
      <c r="AE301" s="172" t="str">
        <f>IF(AE$3="","",IF(COUNTIFS(BD!$A$3:$A$5001,AE$3,BD!$B$3:$B$5001,$A$301,BD!$C$3:$C$5001,"&lt;&gt;")=0,"",SUMIFS(BD!$C$3:$C$5001,BD!$A$3:$A$5001,AE$3,BD!$B$3:$B$5001,$A$301)))</f>
        <v/>
      </c>
      <c r="AF301" s="172" t="str">
        <f>IF(AF$3="","",IF(COUNTIFS(BD!$A$3:$A$5001,AF$3,BD!$B$3:$B$5001,$A$301,BD!$C$3:$C$5001,"&lt;&gt;")=0,"",SUMIFS(BD!$C$3:$C$5001,BD!$A$3:$A$5001,AF$3,BD!$B$3:$B$5001,$A$301)))</f>
        <v/>
      </c>
      <c r="AG301" s="172" t="str">
        <f>IF(AG$3="","",IF(COUNTIFS(BD!$A$3:$A$5001,AG$3,BD!$B$3:$B$5001,$A$301,BD!$C$3:$C$5001,"&lt;&gt;")=0,"",SUMIFS(BD!$C$3:$C$5001,BD!$A$3:$A$5001,AG$3,BD!$B$3:$B$5001,$A$301)))</f>
        <v/>
      </c>
      <c r="AH301" s="172" t="str">
        <f>IF(AH$3="","",IF(COUNTIFS(BD!$A$3:$A$5001,AH$3,BD!$B$3:$B$5001,$A$301,BD!$C$3:$C$5001,"&lt;&gt;")=0,"",SUMIFS(BD!$C$3:$C$5001,BD!$A$3:$A$5001,AH$3,BD!$B$3:$B$5001,$A$301)))</f>
        <v/>
      </c>
      <c r="AI301" s="172" t="str">
        <f>IF(AI$3="","",IF(COUNTIFS(BD!$A$3:$A$5001,AI$3,BD!$B$3:$B$5001,$A$301,BD!$C$3:$C$5001,"&lt;&gt;")=0,"",SUMIFS(BD!$C$3:$C$5001,BD!$A$3:$A$5001,AI$3,BD!$B$3:$B$5001,$A$301)))</f>
        <v/>
      </c>
      <c r="AJ301" s="173" t="str">
        <f>IF(AJ$3="","",IF(COUNTIFS(BD!$A$3:$A$5001,AJ$3,BD!$B$3:$B$5001,$A$301,BD!$C$3:$C$5001,"&lt;&gt;")=0,"",SUMIFS(BD!$C$3:$C$5001,BD!$A$3:$A$5001,AJ$3,BD!$B$3:$B$5001,$A$301)))</f>
        <v/>
      </c>
      <c r="AK301" s="174" t="str">
        <f>IF(COUNT(F301:AJ301)=0,"",SUM(F301:AJ301))</f>
        <v/>
      </c>
    </row>
    <row r="302" ht="15.75" customHeight="1" hidden="1">
      <c r="A302" s="261"/>
      <c r="B302" s="256"/>
      <c r="C302" s="214" t="inlineStr">
        <is>
          <t xml:space="preserve">Pallets Movimentados</t>
        </is>
      </c>
      <c r="D302" s="215" t="str">
        <f>IFERROR(1/(1/INDEX(BD!$AL$24:$BF$24,MATCH($A$301,BD!$AL$22:$BF$22,0))),"")</f>
        <v/>
      </c>
      <c r="E302" s="216"/>
      <c r="F302" s="217" t="str">
        <f>IF(F$3="","",IF(COUNTIFS(BD!$A$3:$A$5001,F$3,BD!$B$3:$B$5001,$A$301,BD!$D$3:$D$5001,"&lt;&gt;")=0,"",SUMIFS(BD!$D$3:$D$5001,BD!$A$3:$A$5001,F$3,BD!$B$3:$B$5001,$A$301)))</f>
        <v/>
      </c>
      <c r="G302" s="218" t="str">
        <f>IF(G$3="","",IF(COUNTIFS(BD!$A$3:$A$5001,G$3,BD!$B$3:$B$5001,$A$301,BD!$D$3:$D$5001,"&lt;&gt;")=0,"",SUMIFS(BD!$D$3:$D$5001,BD!$A$3:$A$5001,G$3,BD!$B$3:$B$5001,$A$301)))</f>
        <v/>
      </c>
      <c r="H302" s="218" t="str">
        <f>IF(H$3="","",IF(COUNTIFS(BD!$A$3:$A$5001,H$3,BD!$B$3:$B$5001,$A$301,BD!$D$3:$D$5001,"&lt;&gt;")=0,"",SUMIFS(BD!$D$3:$D$5001,BD!$A$3:$A$5001,H$3,BD!$B$3:$B$5001,$A$301)))</f>
        <v/>
      </c>
      <c r="I302" s="218" t="str">
        <f>IF(I$3="","",IF(COUNTIFS(BD!$A$3:$A$5001,I$3,BD!$B$3:$B$5001,$A$301,BD!$D$3:$D$5001,"&lt;&gt;")=0,"",SUMIFS(BD!$D$3:$D$5001,BD!$A$3:$A$5001,I$3,BD!$B$3:$B$5001,$A$301)))</f>
        <v/>
      </c>
      <c r="J302" s="218" t="str">
        <f>IF(J$3="","",IF(COUNTIFS(BD!$A$3:$A$5001,J$3,BD!$B$3:$B$5001,$A$301,BD!$D$3:$D$5001,"&lt;&gt;")=0,"",SUMIFS(BD!$D$3:$D$5001,BD!$A$3:$A$5001,J$3,BD!$B$3:$B$5001,$A$301)))</f>
        <v/>
      </c>
      <c r="K302" s="218" t="str">
        <f>IF(K$3="","",IF(COUNTIFS(BD!$A$3:$A$5001,K$3,BD!$B$3:$B$5001,$A$301,BD!$D$3:$D$5001,"&lt;&gt;")=0,"",SUMIFS(BD!$D$3:$D$5001,BD!$A$3:$A$5001,K$3,BD!$B$3:$B$5001,$A$301)))</f>
        <v/>
      </c>
      <c r="L302" s="218" t="str">
        <f>IF(L$3="","",IF(COUNTIFS(BD!$A$3:$A$5001,L$3,BD!$B$3:$B$5001,$A$301,BD!$D$3:$D$5001,"&lt;&gt;")=0,"",SUMIFS(BD!$D$3:$D$5001,BD!$A$3:$A$5001,L$3,BD!$B$3:$B$5001,$A$301)))</f>
        <v/>
      </c>
      <c r="M302" s="218" t="str">
        <f>IF(M$3="","",IF(COUNTIFS(BD!$A$3:$A$5001,M$3,BD!$B$3:$B$5001,$A$301,BD!$D$3:$D$5001,"&lt;&gt;")=0,"",SUMIFS(BD!$D$3:$D$5001,BD!$A$3:$A$5001,M$3,BD!$B$3:$B$5001,$A$301)))</f>
        <v/>
      </c>
      <c r="N302" s="218" t="str">
        <f>IF(N$3="","",IF(COUNTIFS(BD!$A$3:$A$5001,N$3,BD!$B$3:$B$5001,$A$301,BD!$D$3:$D$5001,"&lt;&gt;")=0,"",SUMIFS(BD!$D$3:$D$5001,BD!$A$3:$A$5001,N$3,BD!$B$3:$B$5001,$A$301)))</f>
        <v/>
      </c>
      <c r="O302" s="218" t="str">
        <f>IF(O$3="","",IF(COUNTIFS(BD!$A$3:$A$5001,O$3,BD!$B$3:$B$5001,$A$301,BD!$D$3:$D$5001,"&lt;&gt;")=0,"",SUMIFS(BD!$D$3:$D$5001,BD!$A$3:$A$5001,O$3,BD!$B$3:$B$5001,$A$301)))</f>
        <v/>
      </c>
      <c r="P302" s="218" t="str">
        <f>IF(P$3="","",IF(COUNTIFS(BD!$A$3:$A$5001,P$3,BD!$B$3:$B$5001,$A$301,BD!$D$3:$D$5001,"&lt;&gt;")=0,"",SUMIFS(BD!$D$3:$D$5001,BD!$A$3:$A$5001,P$3,BD!$B$3:$B$5001,$A$301)))</f>
        <v/>
      </c>
      <c r="Q302" s="218" t="str">
        <f>IF(Q$3="","",IF(COUNTIFS(BD!$A$3:$A$5001,Q$3,BD!$B$3:$B$5001,$A$301,BD!$D$3:$D$5001,"&lt;&gt;")=0,"",SUMIFS(BD!$D$3:$D$5001,BD!$A$3:$A$5001,Q$3,BD!$B$3:$B$5001,$A$301)))</f>
        <v/>
      </c>
      <c r="R302" s="218" t="str">
        <f>IF(R$3="","",IF(COUNTIFS(BD!$A$3:$A$5001,R$3,BD!$B$3:$B$5001,$A$301,BD!$D$3:$D$5001,"&lt;&gt;")=0,"",SUMIFS(BD!$D$3:$D$5001,BD!$A$3:$A$5001,R$3,BD!$B$3:$B$5001,$A$301)))</f>
        <v/>
      </c>
      <c r="S302" s="218" t="str">
        <f>IF(S$3="","",IF(COUNTIFS(BD!$A$3:$A$5001,S$3,BD!$B$3:$B$5001,$A$301,BD!$D$3:$D$5001,"&lt;&gt;")=0,"",SUMIFS(BD!$D$3:$D$5001,BD!$A$3:$A$5001,S$3,BD!$B$3:$B$5001,$A$301)))</f>
        <v/>
      </c>
      <c r="T302" s="218" t="str">
        <f>IF(T$3="","",IF(COUNTIFS(BD!$A$3:$A$5001,T$3,BD!$B$3:$B$5001,$A$301,BD!$D$3:$D$5001,"&lt;&gt;")=0,"",SUMIFS(BD!$D$3:$D$5001,BD!$A$3:$A$5001,T$3,BD!$B$3:$B$5001,$A$301)))</f>
        <v/>
      </c>
      <c r="U302" s="218" t="str">
        <f>IF(U$3="","",IF(COUNTIFS(BD!$A$3:$A$5001,U$3,BD!$B$3:$B$5001,$A$301,BD!$D$3:$D$5001,"&lt;&gt;")=0,"",SUMIFS(BD!$D$3:$D$5001,BD!$A$3:$A$5001,U$3,BD!$B$3:$B$5001,$A$301)))</f>
        <v/>
      </c>
      <c r="V302" s="218" t="str">
        <f>IF(V$3="","",IF(COUNTIFS(BD!$A$3:$A$5001,V$3,BD!$B$3:$B$5001,$A$301,BD!$D$3:$D$5001,"&lt;&gt;")=0,"",SUMIFS(BD!$D$3:$D$5001,BD!$A$3:$A$5001,V$3,BD!$B$3:$B$5001,$A$301)))</f>
        <v/>
      </c>
      <c r="W302" s="218" t="str">
        <f>IF(W$3="","",IF(COUNTIFS(BD!$A$3:$A$5001,W$3,BD!$B$3:$B$5001,$A$301,BD!$D$3:$D$5001,"&lt;&gt;")=0,"",SUMIFS(BD!$D$3:$D$5001,BD!$A$3:$A$5001,W$3,BD!$B$3:$B$5001,$A$301)))</f>
        <v/>
      </c>
      <c r="X302" s="218" t="str">
        <f>IF(X$3="","",IF(COUNTIFS(BD!$A$3:$A$5001,X$3,BD!$B$3:$B$5001,$A$301,BD!$D$3:$D$5001,"&lt;&gt;")=0,"",SUMIFS(BD!$D$3:$D$5001,BD!$A$3:$A$5001,X$3,BD!$B$3:$B$5001,$A$301)))</f>
        <v/>
      </c>
      <c r="Y302" s="218" t="str">
        <f>IF(Y$3="","",IF(COUNTIFS(BD!$A$3:$A$5001,Y$3,BD!$B$3:$B$5001,$A$301,BD!$D$3:$D$5001,"&lt;&gt;")=0,"",SUMIFS(BD!$D$3:$D$5001,BD!$A$3:$A$5001,Y$3,BD!$B$3:$B$5001,$A$301)))</f>
        <v/>
      </c>
      <c r="Z302" s="218" t="str">
        <f>IF(Z$3="","",IF(COUNTIFS(BD!$A$3:$A$5001,Z$3,BD!$B$3:$B$5001,$A$301,BD!$D$3:$D$5001,"&lt;&gt;")=0,"",SUMIFS(BD!$D$3:$D$5001,BD!$A$3:$A$5001,Z$3,BD!$B$3:$B$5001,$A$301)))</f>
        <v/>
      </c>
      <c r="AA302" s="218" t="str">
        <f>IF(AA$3="","",IF(COUNTIFS(BD!$A$3:$A$5001,AA$3,BD!$B$3:$B$5001,$A$301,BD!$D$3:$D$5001,"&lt;&gt;")=0,"",SUMIFS(BD!$D$3:$D$5001,BD!$A$3:$A$5001,AA$3,BD!$B$3:$B$5001,$A$301)))</f>
        <v/>
      </c>
      <c r="AB302" s="218" t="str">
        <f>IF(AB$3="","",IF(COUNTIFS(BD!$A$3:$A$5001,AB$3,BD!$B$3:$B$5001,$A$301,BD!$D$3:$D$5001,"&lt;&gt;")=0,"",SUMIFS(BD!$D$3:$D$5001,BD!$A$3:$A$5001,AB$3,BD!$B$3:$B$5001,$A$301)))</f>
        <v/>
      </c>
      <c r="AC302" s="218" t="str">
        <f>IF(AC$3="","",IF(COUNTIFS(BD!$A$3:$A$5001,AC$3,BD!$B$3:$B$5001,$A$301,BD!$D$3:$D$5001,"&lt;&gt;")=0,"",SUMIFS(BD!$D$3:$D$5001,BD!$A$3:$A$5001,AC$3,BD!$B$3:$B$5001,$A$301)))</f>
        <v/>
      </c>
      <c r="AD302" s="218" t="str">
        <f>IF(AD$3="","",IF(COUNTIFS(BD!$A$3:$A$5001,AD$3,BD!$B$3:$B$5001,$A$301,BD!$D$3:$D$5001,"&lt;&gt;")=0,"",SUMIFS(BD!$D$3:$D$5001,BD!$A$3:$A$5001,AD$3,BD!$B$3:$B$5001,$A$301)))</f>
        <v/>
      </c>
      <c r="AE302" s="218" t="str">
        <f>IF(AE$3="","",IF(COUNTIFS(BD!$A$3:$A$5001,AE$3,BD!$B$3:$B$5001,$A$301,BD!$D$3:$D$5001,"&lt;&gt;")=0,"",SUMIFS(BD!$D$3:$D$5001,BD!$A$3:$A$5001,AE$3,BD!$B$3:$B$5001,$A$301)))</f>
        <v/>
      </c>
      <c r="AF302" s="218" t="str">
        <f>IF(AF$3="","",IF(COUNTIFS(BD!$A$3:$A$5001,AF$3,BD!$B$3:$B$5001,$A$301,BD!$D$3:$D$5001,"&lt;&gt;")=0,"",SUMIFS(BD!$D$3:$D$5001,BD!$A$3:$A$5001,AF$3,BD!$B$3:$B$5001,$A$301)))</f>
        <v/>
      </c>
      <c r="AG302" s="218" t="str">
        <f>IF(AG$3="","",IF(COUNTIFS(BD!$A$3:$A$5001,AG$3,BD!$B$3:$B$5001,$A$301,BD!$D$3:$D$5001,"&lt;&gt;")=0,"",SUMIFS(BD!$D$3:$D$5001,BD!$A$3:$A$5001,AG$3,BD!$B$3:$B$5001,$A$301)))</f>
        <v/>
      </c>
      <c r="AH302" s="218" t="str">
        <f>IF(AH$3="","",IF(COUNTIFS(BD!$A$3:$A$5001,AH$3,BD!$B$3:$B$5001,$A$301,BD!$D$3:$D$5001,"&lt;&gt;")=0,"",SUMIFS(BD!$D$3:$D$5001,BD!$A$3:$A$5001,AH$3,BD!$B$3:$B$5001,$A$301)))</f>
        <v/>
      </c>
      <c r="AI302" s="218" t="str">
        <f>IF(AI$3="","",IF(COUNTIFS(BD!$A$3:$A$5001,AI$3,BD!$B$3:$B$5001,$A$301,BD!$D$3:$D$5001,"&lt;&gt;")=0,"",SUMIFS(BD!$D$3:$D$5001,BD!$A$3:$A$5001,AI$3,BD!$B$3:$B$5001,$A$301)))</f>
        <v/>
      </c>
      <c r="AJ302" s="219" t="str">
        <f>IF(AJ$3="","",IF(COUNTIFS(BD!$A$3:$A$5001,AJ$3,BD!$B$3:$B$5001,$A$301,BD!$D$3:$D$5001,"&lt;&gt;")=0,"",SUMIFS(BD!$D$3:$D$5001,BD!$A$3:$A$5001,AJ$3,BD!$B$3:$B$5001,$A$301)))</f>
        <v/>
      </c>
      <c r="AK302" s="220" t="str">
        <f>IF(COUNT(F302:AJ302)=0,"",SUM(F302:AJ302))</f>
        <v/>
      </c>
    </row>
    <row r="303" ht="15.75" customHeight="1" hidden="1">
      <c r="A303" s="261"/>
      <c r="B303" s="256"/>
      <c r="C303" s="214" t="inlineStr">
        <is>
          <t xml:space="preserve">Toneladas Movimentadas</t>
        </is>
      </c>
      <c r="D303" s="215" t="str">
        <f>IFERROR(1/(1/INDEX(BD!$AL$25:$BF$25,MATCH($A$301,BD!$AL$22:$BF$22,0))),"")</f>
        <v/>
      </c>
      <c r="E303" s="216"/>
      <c r="F303" s="282" t="str">
        <f>IF(F$3="","",IF(COUNTIFS(BD!$A$3:$A$5001,F$3,BD!$B$3:$B$5001,$A$301,BD!$E$3:$E$5001,"&lt;&gt;")=0,"",SUMIFS(BD!$E$3:$E$5001,BD!$A$3:$A$5001,F$3,BD!$B$3:$B$5001,$A$301)))</f>
        <v/>
      </c>
      <c r="G303" s="283" t="str">
        <f>IF(G$3="","",IF(COUNTIFS(BD!$A$3:$A$5001,G$3,BD!$B$3:$B$5001,$A$301,BD!$E$3:$E$5001,"&lt;&gt;")=0,"",SUMIFS(BD!$E$3:$E$5001,BD!$A$3:$A$5001,G$3,BD!$B$3:$B$5001,$A$301)))</f>
        <v/>
      </c>
      <c r="H303" s="283" t="str">
        <f>IF(H$3="","",IF(COUNTIFS(BD!$A$3:$A$5001,H$3,BD!$B$3:$B$5001,$A$301,BD!$E$3:$E$5001,"&lt;&gt;")=0,"",SUMIFS(BD!$E$3:$E$5001,BD!$A$3:$A$5001,H$3,BD!$B$3:$B$5001,$A$301)))</f>
        <v/>
      </c>
      <c r="I303" s="283" t="str">
        <f>IF(I$3="","",IF(COUNTIFS(BD!$A$3:$A$5001,I$3,BD!$B$3:$B$5001,$A$301,BD!$E$3:$E$5001,"&lt;&gt;")=0,"",SUMIFS(BD!$E$3:$E$5001,BD!$A$3:$A$5001,I$3,BD!$B$3:$B$5001,$A$301)))</f>
        <v/>
      </c>
      <c r="J303" s="283" t="str">
        <f>IF(J$3="","",IF(COUNTIFS(BD!$A$3:$A$5001,J$3,BD!$B$3:$B$5001,$A$301,BD!$E$3:$E$5001,"&lt;&gt;")=0,"",SUMIFS(BD!$E$3:$E$5001,BD!$A$3:$A$5001,J$3,BD!$B$3:$B$5001,$A$301)))</f>
        <v/>
      </c>
      <c r="K303" s="283" t="str">
        <f>IF(K$3="","",IF(COUNTIFS(BD!$A$3:$A$5001,K$3,BD!$B$3:$B$5001,$A$301,BD!$E$3:$E$5001,"&lt;&gt;")=0,"",SUMIFS(BD!$E$3:$E$5001,BD!$A$3:$A$5001,K$3,BD!$B$3:$B$5001,$A$301)))</f>
        <v/>
      </c>
      <c r="L303" s="283" t="str">
        <f>IF(L$3="","",IF(COUNTIFS(BD!$A$3:$A$5001,L$3,BD!$B$3:$B$5001,$A$301,BD!$E$3:$E$5001,"&lt;&gt;")=0,"",SUMIFS(BD!$E$3:$E$5001,BD!$A$3:$A$5001,L$3,BD!$B$3:$B$5001,$A$301)))</f>
        <v/>
      </c>
      <c r="M303" s="283" t="str">
        <f>IF(M$3="","",IF(COUNTIFS(BD!$A$3:$A$5001,M$3,BD!$B$3:$B$5001,$A$301,BD!$E$3:$E$5001,"&lt;&gt;")=0,"",SUMIFS(BD!$E$3:$E$5001,BD!$A$3:$A$5001,M$3,BD!$B$3:$B$5001,$A$301)))</f>
        <v/>
      </c>
      <c r="N303" s="283" t="str">
        <f>IF(N$3="","",IF(COUNTIFS(BD!$A$3:$A$5001,N$3,BD!$B$3:$B$5001,$A$301,BD!$E$3:$E$5001,"&lt;&gt;")=0,"",SUMIFS(BD!$E$3:$E$5001,BD!$A$3:$A$5001,N$3,BD!$B$3:$B$5001,$A$301)))</f>
        <v/>
      </c>
      <c r="O303" s="283" t="str">
        <f>IF(O$3="","",IF(COUNTIFS(BD!$A$3:$A$5001,O$3,BD!$B$3:$B$5001,$A$301,BD!$E$3:$E$5001,"&lt;&gt;")=0,"",SUMIFS(BD!$E$3:$E$5001,BD!$A$3:$A$5001,O$3,BD!$B$3:$B$5001,$A$301)))</f>
        <v/>
      </c>
      <c r="P303" s="283" t="str">
        <f>IF(P$3="","",IF(COUNTIFS(BD!$A$3:$A$5001,P$3,BD!$B$3:$B$5001,$A$301,BD!$E$3:$E$5001,"&lt;&gt;")=0,"",SUMIFS(BD!$E$3:$E$5001,BD!$A$3:$A$5001,P$3,BD!$B$3:$B$5001,$A$301)))</f>
        <v/>
      </c>
      <c r="Q303" s="283" t="str">
        <f>IF(Q$3="","",IF(COUNTIFS(BD!$A$3:$A$5001,Q$3,BD!$B$3:$B$5001,$A$301,BD!$E$3:$E$5001,"&lt;&gt;")=0,"",SUMIFS(BD!$E$3:$E$5001,BD!$A$3:$A$5001,Q$3,BD!$B$3:$B$5001,$A$301)))</f>
        <v/>
      </c>
      <c r="R303" s="283" t="str">
        <f>IF(R$3="","",IF(COUNTIFS(BD!$A$3:$A$5001,R$3,BD!$B$3:$B$5001,$A$301,BD!$E$3:$E$5001,"&lt;&gt;")=0,"",SUMIFS(BD!$E$3:$E$5001,BD!$A$3:$A$5001,R$3,BD!$B$3:$B$5001,$A$301)))</f>
        <v/>
      </c>
      <c r="S303" s="283" t="str">
        <f>IF(S$3="","",IF(COUNTIFS(BD!$A$3:$A$5001,S$3,BD!$B$3:$B$5001,$A$301,BD!$E$3:$E$5001,"&lt;&gt;")=0,"",SUMIFS(BD!$E$3:$E$5001,BD!$A$3:$A$5001,S$3,BD!$B$3:$B$5001,$A$301)))</f>
        <v/>
      </c>
      <c r="T303" s="283" t="str">
        <f>IF(T$3="","",IF(COUNTIFS(BD!$A$3:$A$5001,T$3,BD!$B$3:$B$5001,$A$301,BD!$E$3:$E$5001,"&lt;&gt;")=0,"",SUMIFS(BD!$E$3:$E$5001,BD!$A$3:$A$5001,T$3,BD!$B$3:$B$5001,$A$301)))</f>
        <v/>
      </c>
      <c r="U303" s="283" t="str">
        <f>IF(U$3="","",IF(COUNTIFS(BD!$A$3:$A$5001,U$3,BD!$B$3:$B$5001,$A$301,BD!$E$3:$E$5001,"&lt;&gt;")=0,"",SUMIFS(BD!$E$3:$E$5001,BD!$A$3:$A$5001,U$3,BD!$B$3:$B$5001,$A$301)))</f>
        <v/>
      </c>
      <c r="V303" s="283" t="str">
        <f>IF(V$3="","",IF(COUNTIFS(BD!$A$3:$A$5001,V$3,BD!$B$3:$B$5001,$A$301,BD!$E$3:$E$5001,"&lt;&gt;")=0,"",SUMIFS(BD!$E$3:$E$5001,BD!$A$3:$A$5001,V$3,BD!$B$3:$B$5001,$A$301)))</f>
        <v/>
      </c>
      <c r="W303" s="283" t="str">
        <f>IF(W$3="","",IF(COUNTIFS(BD!$A$3:$A$5001,W$3,BD!$B$3:$B$5001,$A$301,BD!$E$3:$E$5001,"&lt;&gt;")=0,"",SUMIFS(BD!$E$3:$E$5001,BD!$A$3:$A$5001,W$3,BD!$B$3:$B$5001,$A$301)))</f>
        <v/>
      </c>
      <c r="X303" s="283" t="str">
        <f>IF(X$3="","",IF(COUNTIFS(BD!$A$3:$A$5001,X$3,BD!$B$3:$B$5001,$A$301,BD!$E$3:$E$5001,"&lt;&gt;")=0,"",SUMIFS(BD!$E$3:$E$5001,BD!$A$3:$A$5001,X$3,BD!$B$3:$B$5001,$A$301)))</f>
        <v/>
      </c>
      <c r="Y303" s="283" t="str">
        <f>IF(Y$3="","",IF(COUNTIFS(BD!$A$3:$A$5001,Y$3,BD!$B$3:$B$5001,$A$301,BD!$E$3:$E$5001,"&lt;&gt;")=0,"",SUMIFS(BD!$E$3:$E$5001,BD!$A$3:$A$5001,Y$3,BD!$B$3:$B$5001,$A$301)))</f>
        <v/>
      </c>
      <c r="Z303" s="283" t="str">
        <f>IF(Z$3="","",IF(COUNTIFS(BD!$A$3:$A$5001,Z$3,BD!$B$3:$B$5001,$A$301,BD!$E$3:$E$5001,"&lt;&gt;")=0,"",SUMIFS(BD!$E$3:$E$5001,BD!$A$3:$A$5001,Z$3,BD!$B$3:$B$5001,$A$301)))</f>
        <v/>
      </c>
      <c r="AA303" s="283" t="str">
        <f>IF(AA$3="","",IF(COUNTIFS(BD!$A$3:$A$5001,AA$3,BD!$B$3:$B$5001,$A$301,BD!$E$3:$E$5001,"&lt;&gt;")=0,"",SUMIFS(BD!$E$3:$E$5001,BD!$A$3:$A$5001,AA$3,BD!$B$3:$B$5001,$A$301)))</f>
        <v/>
      </c>
      <c r="AB303" s="283" t="str">
        <f>IF(AB$3="","",IF(COUNTIFS(BD!$A$3:$A$5001,AB$3,BD!$B$3:$B$5001,$A$301,BD!$E$3:$E$5001,"&lt;&gt;")=0,"",SUMIFS(BD!$E$3:$E$5001,BD!$A$3:$A$5001,AB$3,BD!$B$3:$B$5001,$A$301)))</f>
        <v/>
      </c>
      <c r="AC303" s="283" t="str">
        <f>IF(AC$3="","",IF(COUNTIFS(BD!$A$3:$A$5001,AC$3,BD!$B$3:$B$5001,$A$301,BD!$E$3:$E$5001,"&lt;&gt;")=0,"",SUMIFS(BD!$E$3:$E$5001,BD!$A$3:$A$5001,AC$3,BD!$B$3:$B$5001,$A$301)))</f>
        <v/>
      </c>
      <c r="AD303" s="283" t="str">
        <f>IF(AD$3="","",IF(COUNTIFS(BD!$A$3:$A$5001,AD$3,BD!$B$3:$B$5001,$A$301,BD!$E$3:$E$5001,"&lt;&gt;")=0,"",SUMIFS(BD!$E$3:$E$5001,BD!$A$3:$A$5001,AD$3,BD!$B$3:$B$5001,$A$301)))</f>
        <v/>
      </c>
      <c r="AE303" s="283" t="str">
        <f>IF(AE$3="","",IF(COUNTIFS(BD!$A$3:$A$5001,AE$3,BD!$B$3:$B$5001,$A$301,BD!$E$3:$E$5001,"&lt;&gt;")=0,"",SUMIFS(BD!$E$3:$E$5001,BD!$A$3:$A$5001,AE$3,BD!$B$3:$B$5001,$A$301)))</f>
        <v/>
      </c>
      <c r="AF303" s="283" t="str">
        <f>IF(AF$3="","",IF(COUNTIFS(BD!$A$3:$A$5001,AF$3,BD!$B$3:$B$5001,$A$301,BD!$E$3:$E$5001,"&lt;&gt;")=0,"",SUMIFS(BD!$E$3:$E$5001,BD!$A$3:$A$5001,AF$3,BD!$B$3:$B$5001,$A$301)))</f>
        <v/>
      </c>
      <c r="AG303" s="283" t="str">
        <f>IF(AG$3="","",IF(COUNTIFS(BD!$A$3:$A$5001,AG$3,BD!$B$3:$B$5001,$A$301,BD!$E$3:$E$5001,"&lt;&gt;")=0,"",SUMIFS(BD!$E$3:$E$5001,BD!$A$3:$A$5001,AG$3,BD!$B$3:$B$5001,$A$301)))</f>
        <v/>
      </c>
      <c r="AH303" s="283" t="str">
        <f>IF(AH$3="","",IF(COUNTIFS(BD!$A$3:$A$5001,AH$3,BD!$B$3:$B$5001,$A$301,BD!$E$3:$E$5001,"&lt;&gt;")=0,"",SUMIFS(BD!$E$3:$E$5001,BD!$A$3:$A$5001,AH$3,BD!$B$3:$B$5001,$A$301)))</f>
        <v/>
      </c>
      <c r="AI303" s="283" t="str">
        <f>IF(AI$3="","",IF(COUNTIFS(BD!$A$3:$A$5001,AI$3,BD!$B$3:$B$5001,$A$301,BD!$E$3:$E$5001,"&lt;&gt;")=0,"",SUMIFS(BD!$E$3:$E$5001,BD!$A$3:$A$5001,AI$3,BD!$B$3:$B$5001,$A$301)))</f>
        <v/>
      </c>
      <c r="AJ303" s="284" t="str">
        <f>IF(AJ$3="","",IF(COUNTIFS(BD!$A$3:$A$5001,AJ$3,BD!$B$3:$B$5001,$A$301,BD!$E$3:$E$5001,"&lt;&gt;")=0,"",SUMIFS(BD!$E$3:$E$5001,BD!$A$3:$A$5001,AJ$3,BD!$B$3:$B$5001,$A$301)))</f>
        <v/>
      </c>
      <c r="AK303" s="285" t="str">
        <f>IF(COUNT(F303:AJ303)=0,"",SUM(F303:AJ303))</f>
        <v/>
      </c>
    </row>
    <row r="304" ht="15.75" customHeight="1" hidden="1">
      <c r="A304" s="261"/>
      <c r="B304" s="256"/>
      <c r="C304" s="214" t="inlineStr">
        <is>
          <t xml:space="preserve">Linhas NF</t>
        </is>
      </c>
      <c r="D304" s="215" t="str">
        <f>IFERROR(1/(1/INDEX(BD!$AL$26:$BF$26,MATCH($A$301,BD!$AL$22:$BF$22,0))),"")</f>
        <v/>
      </c>
      <c r="E304" s="216"/>
      <c r="F304" s="217" t="str">
        <f>IF(F$3="","",IF(COUNTIFS(BD!$A$3:$A$5001,F$3,BD!$B$3:$B$5001,$A$301,BD!$F$3:$F$5001,"&lt;&gt;")=0,"",SUMIFS(BD!$F$3:$F$5001,BD!$A$3:$A$5001,F$3,BD!$B$3:$B$5001,$A$301)))</f>
        <v/>
      </c>
      <c r="G304" s="218" t="str">
        <f>IF(G$3="","",IF(COUNTIFS(BD!$A$3:$A$5001,G$3,BD!$B$3:$B$5001,$A$301,BD!$F$3:$F$5001,"&lt;&gt;")=0,"",SUMIFS(BD!$F$3:$F$5001,BD!$A$3:$A$5001,G$3,BD!$B$3:$B$5001,$A$301)))</f>
        <v/>
      </c>
      <c r="H304" s="218" t="str">
        <f>IF(H$3="","",IF(COUNTIFS(BD!$A$3:$A$5001,H$3,BD!$B$3:$B$5001,$A$301,BD!$F$3:$F$5001,"&lt;&gt;")=0,"",SUMIFS(BD!$F$3:$F$5001,BD!$A$3:$A$5001,H$3,BD!$B$3:$B$5001,$A$301)))</f>
        <v/>
      </c>
      <c r="I304" s="218" t="str">
        <f>IF(I$3="","",IF(COUNTIFS(BD!$A$3:$A$5001,I$3,BD!$B$3:$B$5001,$A$301,BD!$F$3:$F$5001,"&lt;&gt;")=0,"",SUMIFS(BD!$F$3:$F$5001,BD!$A$3:$A$5001,I$3,BD!$B$3:$B$5001,$A$301)))</f>
        <v/>
      </c>
      <c r="J304" s="218" t="str">
        <f>IF(J$3="","",IF(COUNTIFS(BD!$A$3:$A$5001,J$3,BD!$B$3:$B$5001,$A$301,BD!$F$3:$F$5001,"&lt;&gt;")=0,"",SUMIFS(BD!$F$3:$F$5001,BD!$A$3:$A$5001,J$3,BD!$B$3:$B$5001,$A$301)))</f>
        <v/>
      </c>
      <c r="K304" s="218" t="str">
        <f>IF(K$3="","",IF(COUNTIFS(BD!$A$3:$A$5001,K$3,BD!$B$3:$B$5001,$A$301,BD!$F$3:$F$5001,"&lt;&gt;")=0,"",SUMIFS(BD!$F$3:$F$5001,BD!$A$3:$A$5001,K$3,BD!$B$3:$B$5001,$A$301)))</f>
        <v/>
      </c>
      <c r="L304" s="218" t="str">
        <f>IF(L$3="","",IF(COUNTIFS(BD!$A$3:$A$5001,L$3,BD!$B$3:$B$5001,$A$301,BD!$F$3:$F$5001,"&lt;&gt;")=0,"",SUMIFS(BD!$F$3:$F$5001,BD!$A$3:$A$5001,L$3,BD!$B$3:$B$5001,$A$301)))</f>
        <v/>
      </c>
      <c r="M304" s="218" t="str">
        <f>IF(M$3="","",IF(COUNTIFS(BD!$A$3:$A$5001,M$3,BD!$B$3:$B$5001,$A$301,BD!$F$3:$F$5001,"&lt;&gt;")=0,"",SUMIFS(BD!$F$3:$F$5001,BD!$A$3:$A$5001,M$3,BD!$B$3:$B$5001,$A$301)))</f>
        <v/>
      </c>
      <c r="N304" s="218" t="str">
        <f>IF(N$3="","",IF(COUNTIFS(BD!$A$3:$A$5001,N$3,BD!$B$3:$B$5001,$A$301,BD!$F$3:$F$5001,"&lt;&gt;")=0,"",SUMIFS(BD!$F$3:$F$5001,BD!$A$3:$A$5001,N$3,BD!$B$3:$B$5001,$A$301)))</f>
        <v/>
      </c>
      <c r="O304" s="218" t="str">
        <f>IF(O$3="","",IF(COUNTIFS(BD!$A$3:$A$5001,O$3,BD!$B$3:$B$5001,$A$301,BD!$F$3:$F$5001,"&lt;&gt;")=0,"",SUMIFS(BD!$F$3:$F$5001,BD!$A$3:$A$5001,O$3,BD!$B$3:$B$5001,$A$301)))</f>
        <v/>
      </c>
      <c r="P304" s="218" t="str">
        <f>IF(P$3="","",IF(COUNTIFS(BD!$A$3:$A$5001,P$3,BD!$B$3:$B$5001,$A$301,BD!$F$3:$F$5001,"&lt;&gt;")=0,"",SUMIFS(BD!$F$3:$F$5001,BD!$A$3:$A$5001,P$3,BD!$B$3:$B$5001,$A$301)))</f>
        <v/>
      </c>
      <c r="Q304" s="218" t="str">
        <f>IF(Q$3="","",IF(COUNTIFS(BD!$A$3:$A$5001,Q$3,BD!$B$3:$B$5001,$A$301,BD!$F$3:$F$5001,"&lt;&gt;")=0,"",SUMIFS(BD!$F$3:$F$5001,BD!$A$3:$A$5001,Q$3,BD!$B$3:$B$5001,$A$301)))</f>
        <v/>
      </c>
      <c r="R304" s="218" t="str">
        <f>IF(R$3="","",IF(COUNTIFS(BD!$A$3:$A$5001,R$3,BD!$B$3:$B$5001,$A$301,BD!$F$3:$F$5001,"&lt;&gt;")=0,"",SUMIFS(BD!$F$3:$F$5001,BD!$A$3:$A$5001,R$3,BD!$B$3:$B$5001,$A$301)))</f>
        <v/>
      </c>
      <c r="S304" s="218" t="str">
        <f>IF(S$3="","",IF(COUNTIFS(BD!$A$3:$A$5001,S$3,BD!$B$3:$B$5001,$A$301,BD!$F$3:$F$5001,"&lt;&gt;")=0,"",SUMIFS(BD!$F$3:$F$5001,BD!$A$3:$A$5001,S$3,BD!$B$3:$B$5001,$A$301)))</f>
        <v/>
      </c>
      <c r="T304" s="218" t="str">
        <f>IF(T$3="","",IF(COUNTIFS(BD!$A$3:$A$5001,T$3,BD!$B$3:$B$5001,$A$301,BD!$F$3:$F$5001,"&lt;&gt;")=0,"",SUMIFS(BD!$F$3:$F$5001,BD!$A$3:$A$5001,T$3,BD!$B$3:$B$5001,$A$301)))</f>
        <v/>
      </c>
      <c r="U304" s="218" t="str">
        <f>IF(U$3="","",IF(COUNTIFS(BD!$A$3:$A$5001,U$3,BD!$B$3:$B$5001,$A$301,BD!$F$3:$F$5001,"&lt;&gt;")=0,"",SUMIFS(BD!$F$3:$F$5001,BD!$A$3:$A$5001,U$3,BD!$B$3:$B$5001,$A$301)))</f>
        <v/>
      </c>
      <c r="V304" s="218" t="str">
        <f>IF(V$3="","",IF(COUNTIFS(BD!$A$3:$A$5001,V$3,BD!$B$3:$B$5001,$A$301,BD!$F$3:$F$5001,"&lt;&gt;")=0,"",SUMIFS(BD!$F$3:$F$5001,BD!$A$3:$A$5001,V$3,BD!$B$3:$B$5001,$A$301)))</f>
        <v/>
      </c>
      <c r="W304" s="218" t="str">
        <f>IF(W$3="","",IF(COUNTIFS(BD!$A$3:$A$5001,W$3,BD!$B$3:$B$5001,$A$301,BD!$F$3:$F$5001,"&lt;&gt;")=0,"",SUMIFS(BD!$F$3:$F$5001,BD!$A$3:$A$5001,W$3,BD!$B$3:$B$5001,$A$301)))</f>
        <v/>
      </c>
      <c r="X304" s="218" t="str">
        <f>IF(X$3="","",IF(COUNTIFS(BD!$A$3:$A$5001,X$3,BD!$B$3:$B$5001,$A$301,BD!$F$3:$F$5001,"&lt;&gt;")=0,"",SUMIFS(BD!$F$3:$F$5001,BD!$A$3:$A$5001,X$3,BD!$B$3:$B$5001,$A$301)))</f>
        <v/>
      </c>
      <c r="Y304" s="218" t="str">
        <f>IF(Y$3="","",IF(COUNTIFS(BD!$A$3:$A$5001,Y$3,BD!$B$3:$B$5001,$A$301,BD!$F$3:$F$5001,"&lt;&gt;")=0,"",SUMIFS(BD!$F$3:$F$5001,BD!$A$3:$A$5001,Y$3,BD!$B$3:$B$5001,$A$301)))</f>
        <v/>
      </c>
      <c r="Z304" s="218" t="str">
        <f>IF(Z$3="","",IF(COUNTIFS(BD!$A$3:$A$5001,Z$3,BD!$B$3:$B$5001,$A$301,BD!$F$3:$F$5001,"&lt;&gt;")=0,"",SUMIFS(BD!$F$3:$F$5001,BD!$A$3:$A$5001,Z$3,BD!$B$3:$B$5001,$A$301)))</f>
        <v/>
      </c>
      <c r="AA304" s="218" t="str">
        <f>IF(AA$3="","",IF(COUNTIFS(BD!$A$3:$A$5001,AA$3,BD!$B$3:$B$5001,$A$301,BD!$F$3:$F$5001,"&lt;&gt;")=0,"",SUMIFS(BD!$F$3:$F$5001,BD!$A$3:$A$5001,AA$3,BD!$B$3:$B$5001,$A$301)))</f>
        <v/>
      </c>
      <c r="AB304" s="218" t="str">
        <f>IF(AB$3="","",IF(COUNTIFS(BD!$A$3:$A$5001,AB$3,BD!$B$3:$B$5001,$A$301,BD!$F$3:$F$5001,"&lt;&gt;")=0,"",SUMIFS(BD!$F$3:$F$5001,BD!$A$3:$A$5001,AB$3,BD!$B$3:$B$5001,$A$301)))</f>
        <v/>
      </c>
      <c r="AC304" s="218" t="str">
        <f>IF(AC$3="","",IF(COUNTIFS(BD!$A$3:$A$5001,AC$3,BD!$B$3:$B$5001,$A$301,BD!$F$3:$F$5001,"&lt;&gt;")=0,"",SUMIFS(BD!$F$3:$F$5001,BD!$A$3:$A$5001,AC$3,BD!$B$3:$B$5001,$A$301)))</f>
        <v/>
      </c>
      <c r="AD304" s="218" t="str">
        <f>IF(AD$3="","",IF(COUNTIFS(BD!$A$3:$A$5001,AD$3,BD!$B$3:$B$5001,$A$301,BD!$F$3:$F$5001,"&lt;&gt;")=0,"",SUMIFS(BD!$F$3:$F$5001,BD!$A$3:$A$5001,AD$3,BD!$B$3:$B$5001,$A$301)))</f>
        <v/>
      </c>
      <c r="AE304" s="218" t="str">
        <f>IF(AE$3="","",IF(COUNTIFS(BD!$A$3:$A$5001,AE$3,BD!$B$3:$B$5001,$A$301,BD!$F$3:$F$5001,"&lt;&gt;")=0,"",SUMIFS(BD!$F$3:$F$5001,BD!$A$3:$A$5001,AE$3,BD!$B$3:$B$5001,$A$301)))</f>
        <v/>
      </c>
      <c r="AF304" s="218" t="str">
        <f>IF(AF$3="","",IF(COUNTIFS(BD!$A$3:$A$5001,AF$3,BD!$B$3:$B$5001,$A$301,BD!$F$3:$F$5001,"&lt;&gt;")=0,"",SUMIFS(BD!$F$3:$F$5001,BD!$A$3:$A$5001,AF$3,BD!$B$3:$B$5001,$A$301)))</f>
        <v/>
      </c>
      <c r="AG304" s="218" t="str">
        <f>IF(AG$3="","",IF(COUNTIFS(BD!$A$3:$A$5001,AG$3,BD!$B$3:$B$5001,$A$301,BD!$F$3:$F$5001,"&lt;&gt;")=0,"",SUMIFS(BD!$F$3:$F$5001,BD!$A$3:$A$5001,AG$3,BD!$B$3:$B$5001,$A$301)))</f>
        <v/>
      </c>
      <c r="AH304" s="218" t="str">
        <f>IF(AH$3="","",IF(COUNTIFS(BD!$A$3:$A$5001,AH$3,BD!$B$3:$B$5001,$A$301,BD!$F$3:$F$5001,"&lt;&gt;")=0,"",SUMIFS(BD!$F$3:$F$5001,BD!$A$3:$A$5001,AH$3,BD!$B$3:$B$5001,$A$301)))</f>
        <v/>
      </c>
      <c r="AI304" s="218" t="str">
        <f>IF(AI$3="","",IF(COUNTIFS(BD!$A$3:$A$5001,AI$3,BD!$B$3:$B$5001,$A$301,BD!$F$3:$F$5001,"&lt;&gt;")=0,"",SUMIFS(BD!$F$3:$F$5001,BD!$A$3:$A$5001,AI$3,BD!$B$3:$B$5001,$A$301)))</f>
        <v/>
      </c>
      <c r="AJ304" s="219" t="str">
        <f>IF(AJ$3="","",IF(COUNTIFS(BD!$A$3:$A$5001,AJ$3,BD!$B$3:$B$5001,$A$301,BD!$F$3:$F$5001,"&lt;&gt;")=0,"",SUMIFS(BD!$F$3:$F$5001,BD!$A$3:$A$5001,AJ$3,BD!$B$3:$B$5001,$A$301)))</f>
        <v/>
      </c>
      <c r="AK304" s="220" t="str">
        <f>IF(COUNT(F304:AJ304)=0,"",SUM(F304:AJ304))</f>
        <v/>
      </c>
    </row>
    <row r="305" ht="15.75" customHeight="1" hidden="1">
      <c r="A305" s="261"/>
      <c r="B305" s="256"/>
      <c r="C305" s="214" t="inlineStr">
        <is>
          <t xml:space="preserve">Caixas Movimentadas</t>
        </is>
      </c>
      <c r="D305" s="215" t="str">
        <f>IFERROR(1/(1/INDEX(BD!$AL$27:$BF$27,MATCH($A$301,BD!$AL$22:$BF$22,0))),"")</f>
        <v/>
      </c>
      <c r="E305" s="216"/>
      <c r="F305" s="217" t="str">
        <f>IF(F$3="","",IF(COUNTIFS(BD!$A$3:$A$5001,F$3,BD!$B$3:$B$5001,$A$301,BD!$G$3:$G$5001,"&lt;&gt;")=0,"",SUMIFS(BD!$G$3:$G$5001,BD!$A$3:$A$5001,F$3,BD!$B$3:$B$5001,$A$301)))</f>
        <v/>
      </c>
      <c r="G305" s="218" t="str">
        <f>IF(G$3="","",IF(COUNTIFS(BD!$A$3:$A$5001,G$3,BD!$B$3:$B$5001,$A$301,BD!$G$3:$G$5001,"&lt;&gt;")=0,"",SUMIFS(BD!$G$3:$G$5001,BD!$A$3:$A$5001,G$3,BD!$B$3:$B$5001,$A$301)))</f>
        <v/>
      </c>
      <c r="H305" s="218" t="str">
        <f>IF(H$3="","",IF(COUNTIFS(BD!$A$3:$A$5001,H$3,BD!$B$3:$B$5001,$A$301,BD!$G$3:$G$5001,"&lt;&gt;")=0,"",SUMIFS(BD!$G$3:$G$5001,BD!$A$3:$A$5001,H$3,BD!$B$3:$B$5001,$A$301)))</f>
        <v/>
      </c>
      <c r="I305" s="218" t="str">
        <f>IF(I$3="","",IF(COUNTIFS(BD!$A$3:$A$5001,I$3,BD!$B$3:$B$5001,$A$301,BD!$G$3:$G$5001,"&lt;&gt;")=0,"",SUMIFS(BD!$G$3:$G$5001,BD!$A$3:$A$5001,I$3,BD!$B$3:$B$5001,$A$301)))</f>
        <v/>
      </c>
      <c r="J305" s="218" t="str">
        <f>IF(J$3="","",IF(COUNTIFS(BD!$A$3:$A$5001,J$3,BD!$B$3:$B$5001,$A$301,BD!$G$3:$G$5001,"&lt;&gt;")=0,"",SUMIFS(BD!$G$3:$G$5001,BD!$A$3:$A$5001,J$3,BD!$B$3:$B$5001,$A$301)))</f>
        <v/>
      </c>
      <c r="K305" s="218" t="str">
        <f>IF(K$3="","",IF(COUNTIFS(BD!$A$3:$A$5001,K$3,BD!$B$3:$B$5001,$A$301,BD!$G$3:$G$5001,"&lt;&gt;")=0,"",SUMIFS(BD!$G$3:$G$5001,BD!$A$3:$A$5001,K$3,BD!$B$3:$B$5001,$A$301)))</f>
        <v/>
      </c>
      <c r="L305" s="218" t="str">
        <f>IF(L$3="","",IF(COUNTIFS(BD!$A$3:$A$5001,L$3,BD!$B$3:$B$5001,$A$301,BD!$G$3:$G$5001,"&lt;&gt;")=0,"",SUMIFS(BD!$G$3:$G$5001,BD!$A$3:$A$5001,L$3,BD!$B$3:$B$5001,$A$301)))</f>
        <v/>
      </c>
      <c r="M305" s="218" t="str">
        <f>IF(M$3="","",IF(COUNTIFS(BD!$A$3:$A$5001,M$3,BD!$B$3:$B$5001,$A$301,BD!$G$3:$G$5001,"&lt;&gt;")=0,"",SUMIFS(BD!$G$3:$G$5001,BD!$A$3:$A$5001,M$3,BD!$B$3:$B$5001,$A$301)))</f>
        <v/>
      </c>
      <c r="N305" s="218" t="str">
        <f>IF(N$3="","",IF(COUNTIFS(BD!$A$3:$A$5001,N$3,BD!$B$3:$B$5001,$A$301,BD!$G$3:$G$5001,"&lt;&gt;")=0,"",SUMIFS(BD!$G$3:$G$5001,BD!$A$3:$A$5001,N$3,BD!$B$3:$B$5001,$A$301)))</f>
        <v/>
      </c>
      <c r="O305" s="218" t="str">
        <f>IF(O$3="","",IF(COUNTIFS(BD!$A$3:$A$5001,O$3,BD!$B$3:$B$5001,$A$301,BD!$G$3:$G$5001,"&lt;&gt;")=0,"",SUMIFS(BD!$G$3:$G$5001,BD!$A$3:$A$5001,O$3,BD!$B$3:$B$5001,$A$301)))</f>
        <v/>
      </c>
      <c r="P305" s="218" t="str">
        <f>IF(P$3="","",IF(COUNTIFS(BD!$A$3:$A$5001,P$3,BD!$B$3:$B$5001,$A$301,BD!$G$3:$G$5001,"&lt;&gt;")=0,"",SUMIFS(BD!$G$3:$G$5001,BD!$A$3:$A$5001,P$3,BD!$B$3:$B$5001,$A$301)))</f>
        <v/>
      </c>
      <c r="Q305" s="218" t="str">
        <f>IF(Q$3="","",IF(COUNTIFS(BD!$A$3:$A$5001,Q$3,BD!$B$3:$B$5001,$A$301,BD!$G$3:$G$5001,"&lt;&gt;")=0,"",SUMIFS(BD!$G$3:$G$5001,BD!$A$3:$A$5001,Q$3,BD!$B$3:$B$5001,$A$301)))</f>
        <v/>
      </c>
      <c r="R305" s="218" t="str">
        <f>IF(R$3="","",IF(COUNTIFS(BD!$A$3:$A$5001,R$3,BD!$B$3:$B$5001,$A$301,BD!$G$3:$G$5001,"&lt;&gt;")=0,"",SUMIFS(BD!$G$3:$G$5001,BD!$A$3:$A$5001,R$3,BD!$B$3:$B$5001,$A$301)))</f>
        <v/>
      </c>
      <c r="S305" s="218" t="str">
        <f>IF(S$3="","",IF(COUNTIFS(BD!$A$3:$A$5001,S$3,BD!$B$3:$B$5001,$A$301,BD!$G$3:$G$5001,"&lt;&gt;")=0,"",SUMIFS(BD!$G$3:$G$5001,BD!$A$3:$A$5001,S$3,BD!$B$3:$B$5001,$A$301)))</f>
        <v/>
      </c>
      <c r="T305" s="218" t="str">
        <f>IF(T$3="","",IF(COUNTIFS(BD!$A$3:$A$5001,T$3,BD!$B$3:$B$5001,$A$301,BD!$G$3:$G$5001,"&lt;&gt;")=0,"",SUMIFS(BD!$G$3:$G$5001,BD!$A$3:$A$5001,T$3,BD!$B$3:$B$5001,$A$301)))</f>
        <v/>
      </c>
      <c r="U305" s="218" t="str">
        <f>IF(U$3="","",IF(COUNTIFS(BD!$A$3:$A$5001,U$3,BD!$B$3:$B$5001,$A$301,BD!$G$3:$G$5001,"&lt;&gt;")=0,"",SUMIFS(BD!$G$3:$G$5001,BD!$A$3:$A$5001,U$3,BD!$B$3:$B$5001,$A$301)))</f>
        <v/>
      </c>
      <c r="V305" s="218" t="str">
        <f>IF(V$3="","",IF(COUNTIFS(BD!$A$3:$A$5001,V$3,BD!$B$3:$B$5001,$A$301,BD!$G$3:$G$5001,"&lt;&gt;")=0,"",SUMIFS(BD!$G$3:$G$5001,BD!$A$3:$A$5001,V$3,BD!$B$3:$B$5001,$A$301)))</f>
        <v/>
      </c>
      <c r="W305" s="218" t="str">
        <f>IF(W$3="","",IF(COUNTIFS(BD!$A$3:$A$5001,W$3,BD!$B$3:$B$5001,$A$301,BD!$G$3:$G$5001,"&lt;&gt;")=0,"",SUMIFS(BD!$G$3:$G$5001,BD!$A$3:$A$5001,W$3,BD!$B$3:$B$5001,$A$301)))</f>
        <v/>
      </c>
      <c r="X305" s="218" t="str">
        <f>IF(X$3="","",IF(COUNTIFS(BD!$A$3:$A$5001,X$3,BD!$B$3:$B$5001,$A$301,BD!$G$3:$G$5001,"&lt;&gt;")=0,"",SUMIFS(BD!$G$3:$G$5001,BD!$A$3:$A$5001,X$3,BD!$B$3:$B$5001,$A$301)))</f>
        <v/>
      </c>
      <c r="Y305" s="218" t="str">
        <f>IF(Y$3="","",IF(COUNTIFS(BD!$A$3:$A$5001,Y$3,BD!$B$3:$B$5001,$A$301,BD!$G$3:$G$5001,"&lt;&gt;")=0,"",SUMIFS(BD!$G$3:$G$5001,BD!$A$3:$A$5001,Y$3,BD!$B$3:$B$5001,$A$301)))</f>
        <v/>
      </c>
      <c r="Z305" s="218" t="str">
        <f>IF(Z$3="","",IF(COUNTIFS(BD!$A$3:$A$5001,Z$3,BD!$B$3:$B$5001,$A$301,BD!$G$3:$G$5001,"&lt;&gt;")=0,"",SUMIFS(BD!$G$3:$G$5001,BD!$A$3:$A$5001,Z$3,BD!$B$3:$B$5001,$A$301)))</f>
        <v/>
      </c>
      <c r="AA305" s="218" t="str">
        <f>IF(AA$3="","",IF(COUNTIFS(BD!$A$3:$A$5001,AA$3,BD!$B$3:$B$5001,$A$301,BD!$G$3:$G$5001,"&lt;&gt;")=0,"",SUMIFS(BD!$G$3:$G$5001,BD!$A$3:$A$5001,AA$3,BD!$B$3:$B$5001,$A$301)))</f>
        <v/>
      </c>
      <c r="AB305" s="218" t="str">
        <f>IF(AB$3="","",IF(COUNTIFS(BD!$A$3:$A$5001,AB$3,BD!$B$3:$B$5001,$A$301,BD!$G$3:$G$5001,"&lt;&gt;")=0,"",SUMIFS(BD!$G$3:$G$5001,BD!$A$3:$A$5001,AB$3,BD!$B$3:$B$5001,$A$301)))</f>
        <v/>
      </c>
      <c r="AC305" s="218" t="str">
        <f>IF(AC$3="","",IF(COUNTIFS(BD!$A$3:$A$5001,AC$3,BD!$B$3:$B$5001,$A$301,BD!$G$3:$G$5001,"&lt;&gt;")=0,"",SUMIFS(BD!$G$3:$G$5001,BD!$A$3:$A$5001,AC$3,BD!$B$3:$B$5001,$A$301)))</f>
        <v/>
      </c>
      <c r="AD305" s="218" t="str">
        <f>IF(AD$3="","",IF(COUNTIFS(BD!$A$3:$A$5001,AD$3,BD!$B$3:$B$5001,$A$301,BD!$G$3:$G$5001,"&lt;&gt;")=0,"",SUMIFS(BD!$G$3:$G$5001,BD!$A$3:$A$5001,AD$3,BD!$B$3:$B$5001,$A$301)))</f>
        <v/>
      </c>
      <c r="AE305" s="218" t="str">
        <f>IF(AE$3="","",IF(COUNTIFS(BD!$A$3:$A$5001,AE$3,BD!$B$3:$B$5001,$A$301,BD!$G$3:$G$5001,"&lt;&gt;")=0,"",SUMIFS(BD!$G$3:$G$5001,BD!$A$3:$A$5001,AE$3,BD!$B$3:$B$5001,$A$301)))</f>
        <v/>
      </c>
      <c r="AF305" s="218" t="str">
        <f>IF(AF$3="","",IF(COUNTIFS(BD!$A$3:$A$5001,AF$3,BD!$B$3:$B$5001,$A$301,BD!$G$3:$G$5001,"&lt;&gt;")=0,"",SUMIFS(BD!$G$3:$G$5001,BD!$A$3:$A$5001,AF$3,BD!$B$3:$B$5001,$A$301)))</f>
        <v/>
      </c>
      <c r="AG305" s="218" t="str">
        <f>IF(AG$3="","",IF(COUNTIFS(BD!$A$3:$A$5001,AG$3,BD!$B$3:$B$5001,$A$301,BD!$G$3:$G$5001,"&lt;&gt;")=0,"",SUMIFS(BD!$G$3:$G$5001,BD!$A$3:$A$5001,AG$3,BD!$B$3:$B$5001,$A$301)))</f>
        <v/>
      </c>
      <c r="AH305" s="218" t="str">
        <f>IF(AH$3="","",IF(COUNTIFS(BD!$A$3:$A$5001,AH$3,BD!$B$3:$B$5001,$A$301,BD!$G$3:$G$5001,"&lt;&gt;")=0,"",SUMIFS(BD!$G$3:$G$5001,BD!$A$3:$A$5001,AH$3,BD!$B$3:$B$5001,$A$301)))</f>
        <v/>
      </c>
      <c r="AI305" s="218" t="str">
        <f>IF(AI$3="","",IF(COUNTIFS(BD!$A$3:$A$5001,AI$3,BD!$B$3:$B$5001,$A$301,BD!$G$3:$G$5001,"&lt;&gt;")=0,"",SUMIFS(BD!$G$3:$G$5001,BD!$A$3:$A$5001,AI$3,BD!$B$3:$B$5001,$A$301)))</f>
        <v/>
      </c>
      <c r="AJ305" s="219" t="str">
        <f>IF(AJ$3="","",IF(COUNTIFS(BD!$A$3:$A$5001,AJ$3,BD!$B$3:$B$5001,$A$301,BD!$G$3:$G$5001,"&lt;&gt;")=0,"",SUMIFS(BD!$G$3:$G$5001,BD!$A$3:$A$5001,AJ$3,BD!$B$3:$B$5001,$A$301)))</f>
        <v/>
      </c>
      <c r="AK305" s="220" t="str">
        <f>IF(COUNT(F305:AJ305)=0,"",SUM(F305:AJ305))</f>
        <v/>
      </c>
    </row>
    <row r="306" ht="15.75" customHeight="1" hidden="1">
      <c r="A306" s="261"/>
      <c r="B306" s="256"/>
      <c r="C306" s="214" t="inlineStr">
        <is>
          <t xml:space="preserve">Itens Recebidos</t>
        </is>
      </c>
      <c r="D306" s="215" t="str">
        <f>IFERROR(1/(1/INDEX(BD!$AL$28:$BF$28,MATCH($A$301,BD!$AL$22:$BF$22,0))),"")</f>
        <v/>
      </c>
      <c r="E306" s="216"/>
      <c r="F306" s="217" t="str">
        <f>IF(F$3="","",IF(COUNTIFS(BD!$A$3:$A$5001,F$3,BD!$B$3:$B$5001,$A$301,BD!$H$3:$H$5001,"&lt;&gt;")=0,"",SUMIFS(BD!$H$3:$H$5001,BD!$A$3:$A$5001,F$3,BD!$B$3:$B$5001,$A$301)))</f>
        <v/>
      </c>
      <c r="G306" s="218" t="str">
        <f>IF(G$3="","",IF(COUNTIFS(BD!$A$3:$A$5001,G$3,BD!$B$3:$B$5001,$A$301,BD!$H$3:$H$5001,"&lt;&gt;")=0,"",SUMIFS(BD!$H$3:$H$5001,BD!$A$3:$A$5001,G$3,BD!$B$3:$B$5001,$A$301)))</f>
        <v/>
      </c>
      <c r="H306" s="218" t="str">
        <f>IF(H$3="","",IF(COUNTIFS(BD!$A$3:$A$5001,H$3,BD!$B$3:$B$5001,$A$301,BD!$H$3:$H$5001,"&lt;&gt;")=0,"",SUMIFS(BD!$H$3:$H$5001,BD!$A$3:$A$5001,H$3,BD!$B$3:$B$5001,$A$301)))</f>
        <v/>
      </c>
      <c r="I306" s="218" t="str">
        <f>IF(I$3="","",IF(COUNTIFS(BD!$A$3:$A$5001,I$3,BD!$B$3:$B$5001,$A$301,BD!$H$3:$H$5001,"&lt;&gt;")=0,"",SUMIFS(BD!$H$3:$H$5001,BD!$A$3:$A$5001,I$3,BD!$B$3:$B$5001,$A$301)))</f>
        <v/>
      </c>
      <c r="J306" s="218" t="str">
        <f>IF(J$3="","",IF(COUNTIFS(BD!$A$3:$A$5001,J$3,BD!$B$3:$B$5001,$A$301,BD!$H$3:$H$5001,"&lt;&gt;")=0,"",SUMIFS(BD!$H$3:$H$5001,BD!$A$3:$A$5001,J$3,BD!$B$3:$B$5001,$A$301)))</f>
        <v/>
      </c>
      <c r="K306" s="218" t="str">
        <f>IF(K$3="","",IF(COUNTIFS(BD!$A$3:$A$5001,K$3,BD!$B$3:$B$5001,$A$301,BD!$H$3:$H$5001,"&lt;&gt;")=0,"",SUMIFS(BD!$H$3:$H$5001,BD!$A$3:$A$5001,K$3,BD!$B$3:$B$5001,$A$301)))</f>
        <v/>
      </c>
      <c r="L306" s="218" t="str">
        <f>IF(L$3="","",IF(COUNTIFS(BD!$A$3:$A$5001,L$3,BD!$B$3:$B$5001,$A$301,BD!$H$3:$H$5001,"&lt;&gt;")=0,"",SUMIFS(BD!$H$3:$H$5001,BD!$A$3:$A$5001,L$3,BD!$B$3:$B$5001,$A$301)))</f>
        <v/>
      </c>
      <c r="M306" s="218" t="str">
        <f>IF(M$3="","",IF(COUNTIFS(BD!$A$3:$A$5001,M$3,BD!$B$3:$B$5001,$A$301,BD!$H$3:$H$5001,"&lt;&gt;")=0,"",SUMIFS(BD!$H$3:$H$5001,BD!$A$3:$A$5001,M$3,BD!$B$3:$B$5001,$A$301)))</f>
        <v/>
      </c>
      <c r="N306" s="218" t="str">
        <f>IF(N$3="","",IF(COUNTIFS(BD!$A$3:$A$5001,N$3,BD!$B$3:$B$5001,$A$301,BD!$H$3:$H$5001,"&lt;&gt;")=0,"",SUMIFS(BD!$H$3:$H$5001,BD!$A$3:$A$5001,N$3,BD!$B$3:$B$5001,$A$301)))</f>
        <v/>
      </c>
      <c r="O306" s="218" t="str">
        <f>IF(O$3="","",IF(COUNTIFS(BD!$A$3:$A$5001,O$3,BD!$B$3:$B$5001,$A$301,BD!$H$3:$H$5001,"&lt;&gt;")=0,"",SUMIFS(BD!$H$3:$H$5001,BD!$A$3:$A$5001,O$3,BD!$B$3:$B$5001,$A$301)))</f>
        <v/>
      </c>
      <c r="P306" s="218" t="str">
        <f>IF(P$3="","",IF(COUNTIFS(BD!$A$3:$A$5001,P$3,BD!$B$3:$B$5001,$A$301,BD!$H$3:$H$5001,"&lt;&gt;")=0,"",SUMIFS(BD!$H$3:$H$5001,BD!$A$3:$A$5001,P$3,BD!$B$3:$B$5001,$A$301)))</f>
        <v/>
      </c>
      <c r="Q306" s="218" t="str">
        <f>IF(Q$3="","",IF(COUNTIFS(BD!$A$3:$A$5001,Q$3,BD!$B$3:$B$5001,$A$301,BD!$H$3:$H$5001,"&lt;&gt;")=0,"",SUMIFS(BD!$H$3:$H$5001,BD!$A$3:$A$5001,Q$3,BD!$B$3:$B$5001,$A$301)))</f>
        <v/>
      </c>
      <c r="R306" s="218" t="str">
        <f>IF(R$3="","",IF(COUNTIFS(BD!$A$3:$A$5001,R$3,BD!$B$3:$B$5001,$A$301,BD!$H$3:$H$5001,"&lt;&gt;")=0,"",SUMIFS(BD!$H$3:$H$5001,BD!$A$3:$A$5001,R$3,BD!$B$3:$B$5001,$A$301)))</f>
        <v/>
      </c>
      <c r="S306" s="218" t="str">
        <f>IF(S$3="","",IF(COUNTIFS(BD!$A$3:$A$5001,S$3,BD!$B$3:$B$5001,$A$301,BD!$H$3:$H$5001,"&lt;&gt;")=0,"",SUMIFS(BD!$H$3:$H$5001,BD!$A$3:$A$5001,S$3,BD!$B$3:$B$5001,$A$301)))</f>
        <v/>
      </c>
      <c r="T306" s="218" t="str">
        <f>IF(T$3="","",IF(COUNTIFS(BD!$A$3:$A$5001,T$3,BD!$B$3:$B$5001,$A$301,BD!$H$3:$H$5001,"&lt;&gt;")=0,"",SUMIFS(BD!$H$3:$H$5001,BD!$A$3:$A$5001,T$3,BD!$B$3:$B$5001,$A$301)))</f>
        <v/>
      </c>
      <c r="U306" s="218" t="str">
        <f>IF(U$3="","",IF(COUNTIFS(BD!$A$3:$A$5001,U$3,BD!$B$3:$B$5001,$A$301,BD!$H$3:$H$5001,"&lt;&gt;")=0,"",SUMIFS(BD!$H$3:$H$5001,BD!$A$3:$A$5001,U$3,BD!$B$3:$B$5001,$A$301)))</f>
        <v/>
      </c>
      <c r="V306" s="218" t="str">
        <f>IF(V$3="","",IF(COUNTIFS(BD!$A$3:$A$5001,V$3,BD!$B$3:$B$5001,$A$301,BD!$H$3:$H$5001,"&lt;&gt;")=0,"",SUMIFS(BD!$H$3:$H$5001,BD!$A$3:$A$5001,V$3,BD!$B$3:$B$5001,$A$301)))</f>
        <v/>
      </c>
      <c r="W306" s="218" t="str">
        <f>IF(W$3="","",IF(COUNTIFS(BD!$A$3:$A$5001,W$3,BD!$B$3:$B$5001,$A$301,BD!$H$3:$H$5001,"&lt;&gt;")=0,"",SUMIFS(BD!$H$3:$H$5001,BD!$A$3:$A$5001,W$3,BD!$B$3:$B$5001,$A$301)))</f>
        <v/>
      </c>
      <c r="X306" s="218" t="str">
        <f>IF(X$3="","",IF(COUNTIFS(BD!$A$3:$A$5001,X$3,BD!$B$3:$B$5001,$A$301,BD!$H$3:$H$5001,"&lt;&gt;")=0,"",SUMIFS(BD!$H$3:$H$5001,BD!$A$3:$A$5001,X$3,BD!$B$3:$B$5001,$A$301)))</f>
        <v/>
      </c>
      <c r="Y306" s="218" t="str">
        <f>IF(Y$3="","",IF(COUNTIFS(BD!$A$3:$A$5001,Y$3,BD!$B$3:$B$5001,$A$301,BD!$H$3:$H$5001,"&lt;&gt;")=0,"",SUMIFS(BD!$H$3:$H$5001,BD!$A$3:$A$5001,Y$3,BD!$B$3:$B$5001,$A$301)))</f>
        <v/>
      </c>
      <c r="Z306" s="218" t="str">
        <f>IF(Z$3="","",IF(COUNTIFS(BD!$A$3:$A$5001,Z$3,BD!$B$3:$B$5001,$A$301,BD!$H$3:$H$5001,"&lt;&gt;")=0,"",SUMIFS(BD!$H$3:$H$5001,BD!$A$3:$A$5001,Z$3,BD!$B$3:$B$5001,$A$301)))</f>
        <v/>
      </c>
      <c r="AA306" s="218" t="str">
        <f>IF(AA$3="","",IF(COUNTIFS(BD!$A$3:$A$5001,AA$3,BD!$B$3:$B$5001,$A$301,BD!$H$3:$H$5001,"&lt;&gt;")=0,"",SUMIFS(BD!$H$3:$H$5001,BD!$A$3:$A$5001,AA$3,BD!$B$3:$B$5001,$A$301)))</f>
        <v/>
      </c>
      <c r="AB306" s="218" t="str">
        <f>IF(AB$3="","",IF(COUNTIFS(BD!$A$3:$A$5001,AB$3,BD!$B$3:$B$5001,$A$301,BD!$H$3:$H$5001,"&lt;&gt;")=0,"",SUMIFS(BD!$H$3:$H$5001,BD!$A$3:$A$5001,AB$3,BD!$B$3:$B$5001,$A$301)))</f>
        <v/>
      </c>
      <c r="AC306" s="218" t="str">
        <f>IF(AC$3="","",IF(COUNTIFS(BD!$A$3:$A$5001,AC$3,BD!$B$3:$B$5001,$A$301,BD!$H$3:$H$5001,"&lt;&gt;")=0,"",SUMIFS(BD!$H$3:$H$5001,BD!$A$3:$A$5001,AC$3,BD!$B$3:$B$5001,$A$301)))</f>
        <v/>
      </c>
      <c r="AD306" s="218" t="str">
        <f>IF(AD$3="","",IF(COUNTIFS(BD!$A$3:$A$5001,AD$3,BD!$B$3:$B$5001,$A$301,BD!$H$3:$H$5001,"&lt;&gt;")=0,"",SUMIFS(BD!$H$3:$H$5001,BD!$A$3:$A$5001,AD$3,BD!$B$3:$B$5001,$A$301)))</f>
        <v/>
      </c>
      <c r="AE306" s="218" t="str">
        <f>IF(AE$3="","",IF(COUNTIFS(BD!$A$3:$A$5001,AE$3,BD!$B$3:$B$5001,$A$301,BD!$H$3:$H$5001,"&lt;&gt;")=0,"",SUMIFS(BD!$H$3:$H$5001,BD!$A$3:$A$5001,AE$3,BD!$B$3:$B$5001,$A$301)))</f>
        <v/>
      </c>
      <c r="AF306" s="218" t="str">
        <f>IF(AF$3="","",IF(COUNTIFS(BD!$A$3:$A$5001,AF$3,BD!$B$3:$B$5001,$A$301,BD!$H$3:$H$5001,"&lt;&gt;")=0,"",SUMIFS(BD!$H$3:$H$5001,BD!$A$3:$A$5001,AF$3,BD!$B$3:$B$5001,$A$301)))</f>
        <v/>
      </c>
      <c r="AG306" s="218" t="str">
        <f>IF(AG$3="","",IF(COUNTIFS(BD!$A$3:$A$5001,AG$3,BD!$B$3:$B$5001,$A$301,BD!$H$3:$H$5001,"&lt;&gt;")=0,"",SUMIFS(BD!$H$3:$H$5001,BD!$A$3:$A$5001,AG$3,BD!$B$3:$B$5001,$A$301)))</f>
        <v/>
      </c>
      <c r="AH306" s="218" t="str">
        <f>IF(AH$3="","",IF(COUNTIFS(BD!$A$3:$A$5001,AH$3,BD!$B$3:$B$5001,$A$301,BD!$H$3:$H$5001,"&lt;&gt;")=0,"",SUMIFS(BD!$H$3:$H$5001,BD!$A$3:$A$5001,AH$3,BD!$B$3:$B$5001,$A$301)))</f>
        <v/>
      </c>
      <c r="AI306" s="218" t="str">
        <f>IF(AI$3="","",IF(COUNTIFS(BD!$A$3:$A$5001,AI$3,BD!$B$3:$B$5001,$A$301,BD!$H$3:$H$5001,"&lt;&gt;")=0,"",SUMIFS(BD!$H$3:$H$5001,BD!$A$3:$A$5001,AI$3,BD!$B$3:$B$5001,$A$301)))</f>
        <v/>
      </c>
      <c r="AJ306" s="219" t="str">
        <f>IF(AJ$3="","",IF(COUNTIFS(BD!$A$3:$A$5001,AJ$3,BD!$B$3:$B$5001,$A$301,BD!$H$3:$H$5001,"&lt;&gt;")=0,"",SUMIFS(BD!$H$3:$H$5001,BD!$A$3:$A$5001,AJ$3,BD!$B$3:$B$5001,$A$301)))</f>
        <v/>
      </c>
      <c r="AK306" s="220" t="str">
        <f>IF(COUNT(F306:AJ306)=0,"",SUM(F306:AJ306))</f>
        <v/>
      </c>
    </row>
    <row r="307" ht="15.75" customHeight="1" hidden="1">
      <c r="A307" s="261"/>
      <c r="B307" s="256"/>
      <c r="C307" s="214" t="inlineStr">
        <is>
          <t xml:space="preserve">Itens Recebidos CX Mista</t>
        </is>
      </c>
      <c r="D307" s="215" t="str">
        <f>IFERROR(1/(1/INDEX(BD!$AL$29:$BF$29,MATCH($A$301,BD!$AL$22:$BF$22,0))),"")</f>
        <v/>
      </c>
      <c r="E307" s="216"/>
      <c r="F307" s="217" t="str">
        <f>IF(F$3="","",IF(COUNTIFS(BD!$A$3:$A$5001,F$3,BD!$B$3:$B$5001,$A$301,BD!$I$3:$I$5001,"&lt;&gt;")=0,"",SUMIFS(BD!$I$3:$I$5001,BD!$A$3:$A$5001,F$3,BD!$B$3:$B$5001,$A$301)))</f>
        <v/>
      </c>
      <c r="G307" s="218" t="str">
        <f>IF(G$3="","",IF(COUNTIFS(BD!$A$3:$A$5001,G$3,BD!$B$3:$B$5001,$A$301,BD!$I$3:$I$5001,"&lt;&gt;")=0,"",SUMIFS(BD!$I$3:$I$5001,BD!$A$3:$A$5001,G$3,BD!$B$3:$B$5001,$A$301)))</f>
        <v/>
      </c>
      <c r="H307" s="218" t="str">
        <f>IF(H$3="","",IF(COUNTIFS(BD!$A$3:$A$5001,H$3,BD!$B$3:$B$5001,$A$301,BD!$I$3:$I$5001,"&lt;&gt;")=0,"",SUMIFS(BD!$I$3:$I$5001,BD!$A$3:$A$5001,H$3,BD!$B$3:$B$5001,$A$301)))</f>
        <v/>
      </c>
      <c r="I307" s="218" t="str">
        <f>IF(I$3="","",IF(COUNTIFS(BD!$A$3:$A$5001,I$3,BD!$B$3:$B$5001,$A$301,BD!$I$3:$I$5001,"&lt;&gt;")=0,"",SUMIFS(BD!$I$3:$I$5001,BD!$A$3:$A$5001,I$3,BD!$B$3:$B$5001,$A$301)))</f>
        <v/>
      </c>
      <c r="J307" s="218" t="str">
        <f>IF(J$3="","",IF(COUNTIFS(BD!$A$3:$A$5001,J$3,BD!$B$3:$B$5001,$A$301,BD!$I$3:$I$5001,"&lt;&gt;")=0,"",SUMIFS(BD!$I$3:$I$5001,BD!$A$3:$A$5001,J$3,BD!$B$3:$B$5001,$A$301)))</f>
        <v/>
      </c>
      <c r="K307" s="218" t="str">
        <f>IF(K$3="","",IF(COUNTIFS(BD!$A$3:$A$5001,K$3,BD!$B$3:$B$5001,$A$301,BD!$I$3:$I$5001,"&lt;&gt;")=0,"",SUMIFS(BD!$I$3:$I$5001,BD!$A$3:$A$5001,K$3,BD!$B$3:$B$5001,$A$301)))</f>
        <v/>
      </c>
      <c r="L307" s="218" t="str">
        <f>IF(L$3="","",IF(COUNTIFS(BD!$A$3:$A$5001,L$3,BD!$B$3:$B$5001,$A$301,BD!$I$3:$I$5001,"&lt;&gt;")=0,"",SUMIFS(BD!$I$3:$I$5001,BD!$A$3:$A$5001,L$3,BD!$B$3:$B$5001,$A$301)))</f>
        <v/>
      </c>
      <c r="M307" s="218" t="str">
        <f>IF(M$3="","",IF(COUNTIFS(BD!$A$3:$A$5001,M$3,BD!$B$3:$B$5001,$A$301,BD!$I$3:$I$5001,"&lt;&gt;")=0,"",SUMIFS(BD!$I$3:$I$5001,BD!$A$3:$A$5001,M$3,BD!$B$3:$B$5001,$A$301)))</f>
        <v/>
      </c>
      <c r="N307" s="218" t="str">
        <f>IF(N$3="","",IF(COUNTIFS(BD!$A$3:$A$5001,N$3,BD!$B$3:$B$5001,$A$301,BD!$I$3:$I$5001,"&lt;&gt;")=0,"",SUMIFS(BD!$I$3:$I$5001,BD!$A$3:$A$5001,N$3,BD!$B$3:$B$5001,$A$301)))</f>
        <v/>
      </c>
      <c r="O307" s="218" t="str">
        <f>IF(O$3="","",IF(COUNTIFS(BD!$A$3:$A$5001,O$3,BD!$B$3:$B$5001,$A$301,BD!$I$3:$I$5001,"&lt;&gt;")=0,"",SUMIFS(BD!$I$3:$I$5001,BD!$A$3:$A$5001,O$3,BD!$B$3:$B$5001,$A$301)))</f>
        <v/>
      </c>
      <c r="P307" s="218" t="str">
        <f>IF(P$3="","",IF(COUNTIFS(BD!$A$3:$A$5001,P$3,BD!$B$3:$B$5001,$A$301,BD!$I$3:$I$5001,"&lt;&gt;")=0,"",SUMIFS(BD!$I$3:$I$5001,BD!$A$3:$A$5001,P$3,BD!$B$3:$B$5001,$A$301)))</f>
        <v/>
      </c>
      <c r="Q307" s="218" t="str">
        <f>IF(Q$3="","",IF(COUNTIFS(BD!$A$3:$A$5001,Q$3,BD!$B$3:$B$5001,$A$301,BD!$I$3:$I$5001,"&lt;&gt;")=0,"",SUMIFS(BD!$I$3:$I$5001,BD!$A$3:$A$5001,Q$3,BD!$B$3:$B$5001,$A$301)))</f>
        <v/>
      </c>
      <c r="R307" s="218" t="str">
        <f>IF(R$3="","",IF(COUNTIFS(BD!$A$3:$A$5001,R$3,BD!$B$3:$B$5001,$A$301,BD!$I$3:$I$5001,"&lt;&gt;")=0,"",SUMIFS(BD!$I$3:$I$5001,BD!$A$3:$A$5001,R$3,BD!$B$3:$B$5001,$A$301)))</f>
        <v/>
      </c>
      <c r="S307" s="218" t="str">
        <f>IF(S$3="","",IF(COUNTIFS(BD!$A$3:$A$5001,S$3,BD!$B$3:$B$5001,$A$301,BD!$I$3:$I$5001,"&lt;&gt;")=0,"",SUMIFS(BD!$I$3:$I$5001,BD!$A$3:$A$5001,S$3,BD!$B$3:$B$5001,$A$301)))</f>
        <v/>
      </c>
      <c r="T307" s="218" t="str">
        <f>IF(T$3="","",IF(COUNTIFS(BD!$A$3:$A$5001,T$3,BD!$B$3:$B$5001,$A$301,BD!$I$3:$I$5001,"&lt;&gt;")=0,"",SUMIFS(BD!$I$3:$I$5001,BD!$A$3:$A$5001,T$3,BD!$B$3:$B$5001,$A$301)))</f>
        <v/>
      </c>
      <c r="U307" s="218" t="str">
        <f>IF(U$3="","",IF(COUNTIFS(BD!$A$3:$A$5001,U$3,BD!$B$3:$B$5001,$A$301,BD!$I$3:$I$5001,"&lt;&gt;")=0,"",SUMIFS(BD!$I$3:$I$5001,BD!$A$3:$A$5001,U$3,BD!$B$3:$B$5001,$A$301)))</f>
        <v/>
      </c>
      <c r="V307" s="218" t="str">
        <f>IF(V$3="","",IF(COUNTIFS(BD!$A$3:$A$5001,V$3,BD!$B$3:$B$5001,$A$301,BD!$I$3:$I$5001,"&lt;&gt;")=0,"",SUMIFS(BD!$I$3:$I$5001,BD!$A$3:$A$5001,V$3,BD!$B$3:$B$5001,$A$301)))</f>
        <v/>
      </c>
      <c r="W307" s="218" t="str">
        <f>IF(W$3="","",IF(COUNTIFS(BD!$A$3:$A$5001,W$3,BD!$B$3:$B$5001,$A$301,BD!$I$3:$I$5001,"&lt;&gt;")=0,"",SUMIFS(BD!$I$3:$I$5001,BD!$A$3:$A$5001,W$3,BD!$B$3:$B$5001,$A$301)))</f>
        <v/>
      </c>
      <c r="X307" s="218" t="str">
        <f>IF(X$3="","",IF(COUNTIFS(BD!$A$3:$A$5001,X$3,BD!$B$3:$B$5001,$A$301,BD!$I$3:$I$5001,"&lt;&gt;")=0,"",SUMIFS(BD!$I$3:$I$5001,BD!$A$3:$A$5001,X$3,BD!$B$3:$B$5001,$A$301)))</f>
        <v/>
      </c>
      <c r="Y307" s="218" t="str">
        <f>IF(Y$3="","",IF(COUNTIFS(BD!$A$3:$A$5001,Y$3,BD!$B$3:$B$5001,$A$301,BD!$I$3:$I$5001,"&lt;&gt;")=0,"",SUMIFS(BD!$I$3:$I$5001,BD!$A$3:$A$5001,Y$3,BD!$B$3:$B$5001,$A$301)))</f>
        <v/>
      </c>
      <c r="Z307" s="218" t="str">
        <f>IF(Z$3="","",IF(COUNTIFS(BD!$A$3:$A$5001,Z$3,BD!$B$3:$B$5001,$A$301,BD!$I$3:$I$5001,"&lt;&gt;")=0,"",SUMIFS(BD!$I$3:$I$5001,BD!$A$3:$A$5001,Z$3,BD!$B$3:$B$5001,$A$301)))</f>
        <v/>
      </c>
      <c r="AA307" s="218" t="str">
        <f>IF(AA$3="","",IF(COUNTIFS(BD!$A$3:$A$5001,AA$3,BD!$B$3:$B$5001,$A$301,BD!$I$3:$I$5001,"&lt;&gt;")=0,"",SUMIFS(BD!$I$3:$I$5001,BD!$A$3:$A$5001,AA$3,BD!$B$3:$B$5001,$A$301)))</f>
        <v/>
      </c>
      <c r="AB307" s="218" t="str">
        <f>IF(AB$3="","",IF(COUNTIFS(BD!$A$3:$A$5001,AB$3,BD!$B$3:$B$5001,$A$301,BD!$I$3:$I$5001,"&lt;&gt;")=0,"",SUMIFS(BD!$I$3:$I$5001,BD!$A$3:$A$5001,AB$3,BD!$B$3:$B$5001,$A$301)))</f>
        <v/>
      </c>
      <c r="AC307" s="218" t="str">
        <f>IF(AC$3="","",IF(COUNTIFS(BD!$A$3:$A$5001,AC$3,BD!$B$3:$B$5001,$A$301,BD!$I$3:$I$5001,"&lt;&gt;")=0,"",SUMIFS(BD!$I$3:$I$5001,BD!$A$3:$A$5001,AC$3,BD!$B$3:$B$5001,$A$301)))</f>
        <v/>
      </c>
      <c r="AD307" s="218" t="str">
        <f>IF(AD$3="","",IF(COUNTIFS(BD!$A$3:$A$5001,AD$3,BD!$B$3:$B$5001,$A$301,BD!$I$3:$I$5001,"&lt;&gt;")=0,"",SUMIFS(BD!$I$3:$I$5001,BD!$A$3:$A$5001,AD$3,BD!$B$3:$B$5001,$A$301)))</f>
        <v/>
      </c>
      <c r="AE307" s="218" t="str">
        <f>IF(AE$3="","",IF(COUNTIFS(BD!$A$3:$A$5001,AE$3,BD!$B$3:$B$5001,$A$301,BD!$I$3:$I$5001,"&lt;&gt;")=0,"",SUMIFS(BD!$I$3:$I$5001,BD!$A$3:$A$5001,AE$3,BD!$B$3:$B$5001,$A$301)))</f>
        <v/>
      </c>
      <c r="AF307" s="218" t="str">
        <f>IF(AF$3="","",IF(COUNTIFS(BD!$A$3:$A$5001,AF$3,BD!$B$3:$B$5001,$A$301,BD!$I$3:$I$5001,"&lt;&gt;")=0,"",SUMIFS(BD!$I$3:$I$5001,BD!$A$3:$A$5001,AF$3,BD!$B$3:$B$5001,$A$301)))</f>
        <v/>
      </c>
      <c r="AG307" s="218" t="str">
        <f>IF(AG$3="","",IF(COUNTIFS(BD!$A$3:$A$5001,AG$3,BD!$B$3:$B$5001,$A$301,BD!$I$3:$I$5001,"&lt;&gt;")=0,"",SUMIFS(BD!$I$3:$I$5001,BD!$A$3:$A$5001,AG$3,BD!$B$3:$B$5001,$A$301)))</f>
        <v/>
      </c>
      <c r="AH307" s="218" t="str">
        <f>IF(AH$3="","",IF(COUNTIFS(BD!$A$3:$A$5001,AH$3,BD!$B$3:$B$5001,$A$301,BD!$I$3:$I$5001,"&lt;&gt;")=0,"",SUMIFS(BD!$I$3:$I$5001,BD!$A$3:$A$5001,AH$3,BD!$B$3:$B$5001,$A$301)))</f>
        <v/>
      </c>
      <c r="AI307" s="218" t="str">
        <f>IF(AI$3="","",IF(COUNTIFS(BD!$A$3:$A$5001,AI$3,BD!$B$3:$B$5001,$A$301,BD!$I$3:$I$5001,"&lt;&gt;")=0,"",SUMIFS(BD!$I$3:$I$5001,BD!$A$3:$A$5001,AI$3,BD!$B$3:$B$5001,$A$301)))</f>
        <v/>
      </c>
      <c r="AJ307" s="219" t="str">
        <f>IF(AJ$3="","",IF(COUNTIFS(BD!$A$3:$A$5001,AJ$3,BD!$B$3:$B$5001,$A$301,BD!$I$3:$I$5001,"&lt;&gt;")=0,"",SUMIFS(BD!$I$3:$I$5001,BD!$A$3:$A$5001,AJ$3,BD!$B$3:$B$5001,$A$301)))</f>
        <v/>
      </c>
      <c r="AK307" s="220" t="str">
        <f>IF(COUNT(F307:AJ307)=0,"",SUM(F307:AJ307))</f>
        <v/>
      </c>
    </row>
    <row r="308" ht="15.75" customHeight="1" hidden="1">
      <c r="A308" s="261"/>
      <c r="B308" s="256"/>
      <c r="C308" s="214" t="inlineStr">
        <is>
          <t xml:space="preserve">Caixas Fechadas</t>
        </is>
      </c>
      <c r="D308" s="215" t="str">
        <f>IFERROR(1/(1/INDEX(BD!$AL$30:$BF$30,MATCH($A$301,BD!$AL$22:$BF$22,0))),"")</f>
        <v/>
      </c>
      <c r="E308" s="216"/>
      <c r="F308" s="217" t="str">
        <f>IF(F$3="","",IF(COUNTIFS(BD!$A$3:$A$5001,F$3,BD!$B$3:$B$5001,$A$301,BD!$J$3:$J$5001,"&lt;&gt;")=0,"",SUMIFS(BD!$J$3:$J$5001,BD!$A$3:$A$5001,F$3,BD!$B$3:$B$5001,$A$301)))</f>
        <v/>
      </c>
      <c r="G308" s="218" t="str">
        <f>IF(G$3="","",IF(COUNTIFS(BD!$A$3:$A$5001,G$3,BD!$B$3:$B$5001,$A$301,BD!$J$3:$J$5001,"&lt;&gt;")=0,"",SUMIFS(BD!$J$3:$J$5001,BD!$A$3:$A$5001,G$3,BD!$B$3:$B$5001,$A$301)))</f>
        <v/>
      </c>
      <c r="H308" s="218" t="str">
        <f>IF(H$3="","",IF(COUNTIFS(BD!$A$3:$A$5001,H$3,BD!$B$3:$B$5001,$A$301,BD!$J$3:$J$5001,"&lt;&gt;")=0,"",SUMIFS(BD!$J$3:$J$5001,BD!$A$3:$A$5001,H$3,BD!$B$3:$B$5001,$A$301)))</f>
        <v/>
      </c>
      <c r="I308" s="218" t="str">
        <f>IF(I$3="","",IF(COUNTIFS(BD!$A$3:$A$5001,I$3,BD!$B$3:$B$5001,$A$301,BD!$J$3:$J$5001,"&lt;&gt;")=0,"",SUMIFS(BD!$J$3:$J$5001,BD!$A$3:$A$5001,I$3,BD!$B$3:$B$5001,$A$301)))</f>
        <v/>
      </c>
      <c r="J308" s="218" t="str">
        <f>IF(J$3="","",IF(COUNTIFS(BD!$A$3:$A$5001,J$3,BD!$B$3:$B$5001,$A$301,BD!$J$3:$J$5001,"&lt;&gt;")=0,"",SUMIFS(BD!$J$3:$J$5001,BD!$A$3:$A$5001,J$3,BD!$B$3:$B$5001,$A$301)))</f>
        <v/>
      </c>
      <c r="K308" s="218" t="str">
        <f>IF(K$3="","",IF(COUNTIFS(BD!$A$3:$A$5001,K$3,BD!$B$3:$B$5001,$A$301,BD!$J$3:$J$5001,"&lt;&gt;")=0,"",SUMIFS(BD!$J$3:$J$5001,BD!$A$3:$A$5001,K$3,BD!$B$3:$B$5001,$A$301)))</f>
        <v/>
      </c>
      <c r="L308" s="218" t="str">
        <f>IF(L$3="","",IF(COUNTIFS(BD!$A$3:$A$5001,L$3,BD!$B$3:$B$5001,$A$301,BD!$J$3:$J$5001,"&lt;&gt;")=0,"",SUMIFS(BD!$J$3:$J$5001,BD!$A$3:$A$5001,L$3,BD!$B$3:$B$5001,$A$301)))</f>
        <v/>
      </c>
      <c r="M308" s="218" t="str">
        <f>IF(M$3="","",IF(COUNTIFS(BD!$A$3:$A$5001,M$3,BD!$B$3:$B$5001,$A$301,BD!$J$3:$J$5001,"&lt;&gt;")=0,"",SUMIFS(BD!$J$3:$J$5001,BD!$A$3:$A$5001,M$3,BD!$B$3:$B$5001,$A$301)))</f>
        <v/>
      </c>
      <c r="N308" s="218" t="str">
        <f>IF(N$3="","",IF(COUNTIFS(BD!$A$3:$A$5001,N$3,BD!$B$3:$B$5001,$A$301,BD!$J$3:$J$5001,"&lt;&gt;")=0,"",SUMIFS(BD!$J$3:$J$5001,BD!$A$3:$A$5001,N$3,BD!$B$3:$B$5001,$A$301)))</f>
        <v/>
      </c>
      <c r="O308" s="218" t="str">
        <f>IF(O$3="","",IF(COUNTIFS(BD!$A$3:$A$5001,O$3,BD!$B$3:$B$5001,$A$301,BD!$J$3:$J$5001,"&lt;&gt;")=0,"",SUMIFS(BD!$J$3:$J$5001,BD!$A$3:$A$5001,O$3,BD!$B$3:$B$5001,$A$301)))</f>
        <v/>
      </c>
      <c r="P308" s="218" t="str">
        <f>IF(P$3="","",IF(COUNTIFS(BD!$A$3:$A$5001,P$3,BD!$B$3:$B$5001,$A$301,BD!$J$3:$J$5001,"&lt;&gt;")=0,"",SUMIFS(BD!$J$3:$J$5001,BD!$A$3:$A$5001,P$3,BD!$B$3:$B$5001,$A$301)))</f>
        <v/>
      </c>
      <c r="Q308" s="218" t="str">
        <f>IF(Q$3="","",IF(COUNTIFS(BD!$A$3:$A$5001,Q$3,BD!$B$3:$B$5001,$A$301,BD!$J$3:$J$5001,"&lt;&gt;")=0,"",SUMIFS(BD!$J$3:$J$5001,BD!$A$3:$A$5001,Q$3,BD!$B$3:$B$5001,$A$301)))</f>
        <v/>
      </c>
      <c r="R308" s="218" t="str">
        <f>IF(R$3="","",IF(COUNTIFS(BD!$A$3:$A$5001,R$3,BD!$B$3:$B$5001,$A$301,BD!$J$3:$J$5001,"&lt;&gt;")=0,"",SUMIFS(BD!$J$3:$J$5001,BD!$A$3:$A$5001,R$3,BD!$B$3:$B$5001,$A$301)))</f>
        <v/>
      </c>
      <c r="S308" s="218" t="str">
        <f>IF(S$3="","",IF(COUNTIFS(BD!$A$3:$A$5001,S$3,BD!$B$3:$B$5001,$A$301,BD!$J$3:$J$5001,"&lt;&gt;")=0,"",SUMIFS(BD!$J$3:$J$5001,BD!$A$3:$A$5001,S$3,BD!$B$3:$B$5001,$A$301)))</f>
        <v/>
      </c>
      <c r="T308" s="218" t="str">
        <f>IF(T$3="","",IF(COUNTIFS(BD!$A$3:$A$5001,T$3,BD!$B$3:$B$5001,$A$301,BD!$J$3:$J$5001,"&lt;&gt;")=0,"",SUMIFS(BD!$J$3:$J$5001,BD!$A$3:$A$5001,T$3,BD!$B$3:$B$5001,$A$301)))</f>
        <v/>
      </c>
      <c r="U308" s="218" t="str">
        <f>IF(U$3="","",IF(COUNTIFS(BD!$A$3:$A$5001,U$3,BD!$B$3:$B$5001,$A$301,BD!$J$3:$J$5001,"&lt;&gt;")=0,"",SUMIFS(BD!$J$3:$J$5001,BD!$A$3:$A$5001,U$3,BD!$B$3:$B$5001,$A$301)))</f>
        <v/>
      </c>
      <c r="V308" s="218" t="str">
        <f>IF(V$3="","",IF(COUNTIFS(BD!$A$3:$A$5001,V$3,BD!$B$3:$B$5001,$A$301,BD!$J$3:$J$5001,"&lt;&gt;")=0,"",SUMIFS(BD!$J$3:$J$5001,BD!$A$3:$A$5001,V$3,BD!$B$3:$B$5001,$A$301)))</f>
        <v/>
      </c>
      <c r="W308" s="218" t="str">
        <f>IF(W$3="","",IF(COUNTIFS(BD!$A$3:$A$5001,W$3,BD!$B$3:$B$5001,$A$301,BD!$J$3:$J$5001,"&lt;&gt;")=0,"",SUMIFS(BD!$J$3:$J$5001,BD!$A$3:$A$5001,W$3,BD!$B$3:$B$5001,$A$301)))</f>
        <v/>
      </c>
      <c r="X308" s="218" t="str">
        <f>IF(X$3="","",IF(COUNTIFS(BD!$A$3:$A$5001,X$3,BD!$B$3:$B$5001,$A$301,BD!$J$3:$J$5001,"&lt;&gt;")=0,"",SUMIFS(BD!$J$3:$J$5001,BD!$A$3:$A$5001,X$3,BD!$B$3:$B$5001,$A$301)))</f>
        <v/>
      </c>
      <c r="Y308" s="218" t="str">
        <f>IF(Y$3="","",IF(COUNTIFS(BD!$A$3:$A$5001,Y$3,BD!$B$3:$B$5001,$A$301,BD!$J$3:$J$5001,"&lt;&gt;")=0,"",SUMIFS(BD!$J$3:$J$5001,BD!$A$3:$A$5001,Y$3,BD!$B$3:$B$5001,$A$301)))</f>
        <v/>
      </c>
      <c r="Z308" s="218" t="str">
        <f>IF(Z$3="","",IF(COUNTIFS(BD!$A$3:$A$5001,Z$3,BD!$B$3:$B$5001,$A$301,BD!$J$3:$J$5001,"&lt;&gt;")=0,"",SUMIFS(BD!$J$3:$J$5001,BD!$A$3:$A$5001,Z$3,BD!$B$3:$B$5001,$A$301)))</f>
        <v/>
      </c>
      <c r="AA308" s="218" t="str">
        <f>IF(AA$3="","",IF(COUNTIFS(BD!$A$3:$A$5001,AA$3,BD!$B$3:$B$5001,$A$301,BD!$J$3:$J$5001,"&lt;&gt;")=0,"",SUMIFS(BD!$J$3:$J$5001,BD!$A$3:$A$5001,AA$3,BD!$B$3:$B$5001,$A$301)))</f>
        <v/>
      </c>
      <c r="AB308" s="218" t="str">
        <f>IF(AB$3="","",IF(COUNTIFS(BD!$A$3:$A$5001,AB$3,BD!$B$3:$B$5001,$A$301,BD!$J$3:$J$5001,"&lt;&gt;")=0,"",SUMIFS(BD!$J$3:$J$5001,BD!$A$3:$A$5001,AB$3,BD!$B$3:$B$5001,$A$301)))</f>
        <v/>
      </c>
      <c r="AC308" s="218" t="str">
        <f>IF(AC$3="","",IF(COUNTIFS(BD!$A$3:$A$5001,AC$3,BD!$B$3:$B$5001,$A$301,BD!$J$3:$J$5001,"&lt;&gt;")=0,"",SUMIFS(BD!$J$3:$J$5001,BD!$A$3:$A$5001,AC$3,BD!$B$3:$B$5001,$A$301)))</f>
        <v/>
      </c>
      <c r="AD308" s="218" t="str">
        <f>IF(AD$3="","",IF(COUNTIFS(BD!$A$3:$A$5001,AD$3,BD!$B$3:$B$5001,$A$301,BD!$J$3:$J$5001,"&lt;&gt;")=0,"",SUMIFS(BD!$J$3:$J$5001,BD!$A$3:$A$5001,AD$3,BD!$B$3:$B$5001,$A$301)))</f>
        <v/>
      </c>
      <c r="AE308" s="218" t="str">
        <f>IF(AE$3="","",IF(COUNTIFS(BD!$A$3:$A$5001,AE$3,BD!$B$3:$B$5001,$A$301,BD!$J$3:$J$5001,"&lt;&gt;")=0,"",SUMIFS(BD!$J$3:$J$5001,BD!$A$3:$A$5001,AE$3,BD!$B$3:$B$5001,$A$301)))</f>
        <v/>
      </c>
      <c r="AF308" s="218" t="str">
        <f>IF(AF$3="","",IF(COUNTIFS(BD!$A$3:$A$5001,AF$3,BD!$B$3:$B$5001,$A$301,BD!$J$3:$J$5001,"&lt;&gt;")=0,"",SUMIFS(BD!$J$3:$J$5001,BD!$A$3:$A$5001,AF$3,BD!$B$3:$B$5001,$A$301)))</f>
        <v/>
      </c>
      <c r="AG308" s="218" t="str">
        <f>IF(AG$3="","",IF(COUNTIFS(BD!$A$3:$A$5001,AG$3,BD!$B$3:$B$5001,$A$301,BD!$J$3:$J$5001,"&lt;&gt;")=0,"",SUMIFS(BD!$J$3:$J$5001,BD!$A$3:$A$5001,AG$3,BD!$B$3:$B$5001,$A$301)))</f>
        <v/>
      </c>
      <c r="AH308" s="218" t="str">
        <f>IF(AH$3="","",IF(COUNTIFS(BD!$A$3:$A$5001,AH$3,BD!$B$3:$B$5001,$A$301,BD!$J$3:$J$5001,"&lt;&gt;")=0,"",SUMIFS(BD!$J$3:$J$5001,BD!$A$3:$A$5001,AH$3,BD!$B$3:$B$5001,$A$301)))</f>
        <v/>
      </c>
      <c r="AI308" s="218" t="str">
        <f>IF(AI$3="","",IF(COUNTIFS(BD!$A$3:$A$5001,AI$3,BD!$B$3:$B$5001,$A$301,BD!$J$3:$J$5001,"&lt;&gt;")=0,"",SUMIFS(BD!$J$3:$J$5001,BD!$A$3:$A$5001,AI$3,BD!$B$3:$B$5001,$A$301)))</f>
        <v/>
      </c>
      <c r="AJ308" s="219" t="str">
        <f>IF(AJ$3="","",IF(COUNTIFS(BD!$A$3:$A$5001,AJ$3,BD!$B$3:$B$5001,$A$301,BD!$J$3:$J$5001,"&lt;&gt;")=0,"",SUMIFS(BD!$J$3:$J$5001,BD!$A$3:$A$5001,AJ$3,BD!$B$3:$B$5001,$A$301)))</f>
        <v/>
      </c>
      <c r="AK308" s="220" t="str">
        <f>IF(COUNT(F308:AJ308)=0,"",SUM(F308:AJ308))</f>
        <v/>
      </c>
    </row>
    <row r="309" ht="15.75" customHeight="1" hidden="1">
      <c r="A309" s="261"/>
      <c r="B309" s="250"/>
      <c r="C309" s="175" t="inlineStr">
        <is>
          <t xml:space="preserve">Caixas Mistas Recebidas</t>
        </is>
      </c>
      <c r="D309" s="176" t="str">
        <f>IFERROR(1/(1/INDEX(BD!$AL$31:$BF$31,MATCH($A$301,BD!$AL$22:$BF$22,0))),"")</f>
        <v/>
      </c>
      <c r="E309" s="177"/>
      <c r="F309" s="178" t="str">
        <f>IF(F$3="","",IF(COUNTIFS(BD!$A$3:$A$5001,F$3,BD!$B$3:$B$5001,$A$301,BD!$K$3:$K$5001,"&lt;&gt;")=0,"",SUMIFS(BD!$K$3:$K$5001,BD!$A$3:$A$5001,F$3,BD!$B$3:$B$5001,$A$301)))</f>
        <v/>
      </c>
      <c r="G309" s="179" t="str">
        <f>IF(G$3="","",IF(COUNTIFS(BD!$A$3:$A$5001,G$3,BD!$B$3:$B$5001,$A$301,BD!$K$3:$K$5001,"&lt;&gt;")=0,"",SUMIFS(BD!$K$3:$K$5001,BD!$A$3:$A$5001,G$3,BD!$B$3:$B$5001,$A$301)))</f>
        <v/>
      </c>
      <c r="H309" s="179" t="str">
        <f>IF(H$3="","",IF(COUNTIFS(BD!$A$3:$A$5001,H$3,BD!$B$3:$B$5001,$A$301,BD!$K$3:$K$5001,"&lt;&gt;")=0,"",SUMIFS(BD!$K$3:$K$5001,BD!$A$3:$A$5001,H$3,BD!$B$3:$B$5001,$A$301)))</f>
        <v/>
      </c>
      <c r="I309" s="179" t="str">
        <f>IF(I$3="","",IF(COUNTIFS(BD!$A$3:$A$5001,I$3,BD!$B$3:$B$5001,$A$301,BD!$K$3:$K$5001,"&lt;&gt;")=0,"",SUMIFS(BD!$K$3:$K$5001,BD!$A$3:$A$5001,I$3,BD!$B$3:$B$5001,$A$301)))</f>
        <v/>
      </c>
      <c r="J309" s="179" t="str">
        <f>IF(J$3="","",IF(COUNTIFS(BD!$A$3:$A$5001,J$3,BD!$B$3:$B$5001,$A$301,BD!$K$3:$K$5001,"&lt;&gt;")=0,"",SUMIFS(BD!$K$3:$K$5001,BD!$A$3:$A$5001,J$3,BD!$B$3:$B$5001,$A$301)))</f>
        <v/>
      </c>
      <c r="K309" s="179" t="str">
        <f>IF(K$3="","",IF(COUNTIFS(BD!$A$3:$A$5001,K$3,BD!$B$3:$B$5001,$A$301,BD!$K$3:$K$5001,"&lt;&gt;")=0,"",SUMIFS(BD!$K$3:$K$5001,BD!$A$3:$A$5001,K$3,BD!$B$3:$B$5001,$A$301)))</f>
        <v/>
      </c>
      <c r="L309" s="179" t="str">
        <f>IF(L$3="","",IF(COUNTIFS(BD!$A$3:$A$5001,L$3,BD!$B$3:$B$5001,$A$301,BD!$K$3:$K$5001,"&lt;&gt;")=0,"",SUMIFS(BD!$K$3:$K$5001,BD!$A$3:$A$5001,L$3,BD!$B$3:$B$5001,$A$301)))</f>
        <v/>
      </c>
      <c r="M309" s="179" t="str">
        <f>IF(M$3="","",IF(COUNTIFS(BD!$A$3:$A$5001,M$3,BD!$B$3:$B$5001,$A$301,BD!$K$3:$K$5001,"&lt;&gt;")=0,"",SUMIFS(BD!$K$3:$K$5001,BD!$A$3:$A$5001,M$3,BD!$B$3:$B$5001,$A$301)))</f>
        <v/>
      </c>
      <c r="N309" s="179" t="str">
        <f>IF(N$3="","",IF(COUNTIFS(BD!$A$3:$A$5001,N$3,BD!$B$3:$B$5001,$A$301,BD!$K$3:$K$5001,"&lt;&gt;")=0,"",SUMIFS(BD!$K$3:$K$5001,BD!$A$3:$A$5001,N$3,BD!$B$3:$B$5001,$A$301)))</f>
        <v/>
      </c>
      <c r="O309" s="179" t="str">
        <f>IF(O$3="","",IF(COUNTIFS(BD!$A$3:$A$5001,O$3,BD!$B$3:$B$5001,$A$301,BD!$K$3:$K$5001,"&lt;&gt;")=0,"",SUMIFS(BD!$K$3:$K$5001,BD!$A$3:$A$5001,O$3,BD!$B$3:$B$5001,$A$301)))</f>
        <v/>
      </c>
      <c r="P309" s="179" t="str">
        <f>IF(P$3="","",IF(COUNTIFS(BD!$A$3:$A$5001,P$3,BD!$B$3:$B$5001,$A$301,BD!$K$3:$K$5001,"&lt;&gt;")=0,"",SUMIFS(BD!$K$3:$K$5001,BD!$A$3:$A$5001,P$3,BD!$B$3:$B$5001,$A$301)))</f>
        <v/>
      </c>
      <c r="Q309" s="179" t="str">
        <f>IF(Q$3="","",IF(COUNTIFS(BD!$A$3:$A$5001,Q$3,BD!$B$3:$B$5001,$A$301,BD!$K$3:$K$5001,"&lt;&gt;")=0,"",SUMIFS(BD!$K$3:$K$5001,BD!$A$3:$A$5001,Q$3,BD!$B$3:$B$5001,$A$301)))</f>
        <v/>
      </c>
      <c r="R309" s="179" t="str">
        <f>IF(R$3="","",IF(COUNTIFS(BD!$A$3:$A$5001,R$3,BD!$B$3:$B$5001,$A$301,BD!$K$3:$K$5001,"&lt;&gt;")=0,"",SUMIFS(BD!$K$3:$K$5001,BD!$A$3:$A$5001,R$3,BD!$B$3:$B$5001,$A$301)))</f>
        <v/>
      </c>
      <c r="S309" s="179" t="str">
        <f>IF(S$3="","",IF(COUNTIFS(BD!$A$3:$A$5001,S$3,BD!$B$3:$B$5001,$A$301,BD!$K$3:$K$5001,"&lt;&gt;")=0,"",SUMIFS(BD!$K$3:$K$5001,BD!$A$3:$A$5001,S$3,BD!$B$3:$B$5001,$A$301)))</f>
        <v/>
      </c>
      <c r="T309" s="179" t="str">
        <f>IF(T$3="","",IF(COUNTIFS(BD!$A$3:$A$5001,T$3,BD!$B$3:$B$5001,$A$301,BD!$K$3:$K$5001,"&lt;&gt;")=0,"",SUMIFS(BD!$K$3:$K$5001,BD!$A$3:$A$5001,T$3,BD!$B$3:$B$5001,$A$301)))</f>
        <v/>
      </c>
      <c r="U309" s="179" t="str">
        <f>IF(U$3="","",IF(COUNTIFS(BD!$A$3:$A$5001,U$3,BD!$B$3:$B$5001,$A$301,BD!$K$3:$K$5001,"&lt;&gt;")=0,"",SUMIFS(BD!$K$3:$K$5001,BD!$A$3:$A$5001,U$3,BD!$B$3:$B$5001,$A$301)))</f>
        <v/>
      </c>
      <c r="V309" s="179" t="str">
        <f>IF(V$3="","",IF(COUNTIFS(BD!$A$3:$A$5001,V$3,BD!$B$3:$B$5001,$A$301,BD!$K$3:$K$5001,"&lt;&gt;")=0,"",SUMIFS(BD!$K$3:$K$5001,BD!$A$3:$A$5001,V$3,BD!$B$3:$B$5001,$A$301)))</f>
        <v/>
      </c>
      <c r="W309" s="179" t="str">
        <f>IF(W$3="","",IF(COUNTIFS(BD!$A$3:$A$5001,W$3,BD!$B$3:$B$5001,$A$301,BD!$K$3:$K$5001,"&lt;&gt;")=0,"",SUMIFS(BD!$K$3:$K$5001,BD!$A$3:$A$5001,W$3,BD!$B$3:$B$5001,$A$301)))</f>
        <v/>
      </c>
      <c r="X309" s="179" t="str">
        <f>IF(X$3="","",IF(COUNTIFS(BD!$A$3:$A$5001,X$3,BD!$B$3:$B$5001,$A$301,BD!$K$3:$K$5001,"&lt;&gt;")=0,"",SUMIFS(BD!$K$3:$K$5001,BD!$A$3:$A$5001,X$3,BD!$B$3:$B$5001,$A$301)))</f>
        <v/>
      </c>
      <c r="Y309" s="179" t="str">
        <f>IF(Y$3="","",IF(COUNTIFS(BD!$A$3:$A$5001,Y$3,BD!$B$3:$B$5001,$A$301,BD!$K$3:$K$5001,"&lt;&gt;")=0,"",SUMIFS(BD!$K$3:$K$5001,BD!$A$3:$A$5001,Y$3,BD!$B$3:$B$5001,$A$301)))</f>
        <v/>
      </c>
      <c r="Z309" s="179" t="str">
        <f>IF(Z$3="","",IF(COUNTIFS(BD!$A$3:$A$5001,Z$3,BD!$B$3:$B$5001,$A$301,BD!$K$3:$K$5001,"&lt;&gt;")=0,"",SUMIFS(BD!$K$3:$K$5001,BD!$A$3:$A$5001,Z$3,BD!$B$3:$B$5001,$A$301)))</f>
        <v/>
      </c>
      <c r="AA309" s="179" t="str">
        <f>IF(AA$3="","",IF(COUNTIFS(BD!$A$3:$A$5001,AA$3,BD!$B$3:$B$5001,$A$301,BD!$K$3:$K$5001,"&lt;&gt;")=0,"",SUMIFS(BD!$K$3:$K$5001,BD!$A$3:$A$5001,AA$3,BD!$B$3:$B$5001,$A$301)))</f>
        <v/>
      </c>
      <c r="AB309" s="179" t="str">
        <f>IF(AB$3="","",IF(COUNTIFS(BD!$A$3:$A$5001,AB$3,BD!$B$3:$B$5001,$A$301,BD!$K$3:$K$5001,"&lt;&gt;")=0,"",SUMIFS(BD!$K$3:$K$5001,BD!$A$3:$A$5001,AB$3,BD!$B$3:$B$5001,$A$301)))</f>
        <v/>
      </c>
      <c r="AC309" s="179" t="str">
        <f>IF(AC$3="","",IF(COUNTIFS(BD!$A$3:$A$5001,AC$3,BD!$B$3:$B$5001,$A$301,BD!$K$3:$K$5001,"&lt;&gt;")=0,"",SUMIFS(BD!$K$3:$K$5001,BD!$A$3:$A$5001,AC$3,BD!$B$3:$B$5001,$A$301)))</f>
        <v/>
      </c>
      <c r="AD309" s="179" t="str">
        <f>IF(AD$3="","",IF(COUNTIFS(BD!$A$3:$A$5001,AD$3,BD!$B$3:$B$5001,$A$301,BD!$K$3:$K$5001,"&lt;&gt;")=0,"",SUMIFS(BD!$K$3:$K$5001,BD!$A$3:$A$5001,AD$3,BD!$B$3:$B$5001,$A$301)))</f>
        <v/>
      </c>
      <c r="AE309" s="179" t="str">
        <f>IF(AE$3="","",IF(COUNTIFS(BD!$A$3:$A$5001,AE$3,BD!$B$3:$B$5001,$A$301,BD!$K$3:$K$5001,"&lt;&gt;")=0,"",SUMIFS(BD!$K$3:$K$5001,BD!$A$3:$A$5001,AE$3,BD!$B$3:$B$5001,$A$301)))</f>
        <v/>
      </c>
      <c r="AF309" s="179" t="str">
        <f>IF(AF$3="","",IF(COUNTIFS(BD!$A$3:$A$5001,AF$3,BD!$B$3:$B$5001,$A$301,BD!$K$3:$K$5001,"&lt;&gt;")=0,"",SUMIFS(BD!$K$3:$K$5001,BD!$A$3:$A$5001,AF$3,BD!$B$3:$B$5001,$A$301)))</f>
        <v/>
      </c>
      <c r="AG309" s="179" t="str">
        <f>IF(AG$3="","",IF(COUNTIFS(BD!$A$3:$A$5001,AG$3,BD!$B$3:$B$5001,$A$301,BD!$K$3:$K$5001,"&lt;&gt;")=0,"",SUMIFS(BD!$K$3:$K$5001,BD!$A$3:$A$5001,AG$3,BD!$B$3:$B$5001,$A$301)))</f>
        <v/>
      </c>
      <c r="AH309" s="179" t="str">
        <f>IF(AH$3="","",IF(COUNTIFS(BD!$A$3:$A$5001,AH$3,BD!$B$3:$B$5001,$A$301,BD!$K$3:$K$5001,"&lt;&gt;")=0,"",SUMIFS(BD!$K$3:$K$5001,BD!$A$3:$A$5001,AH$3,BD!$B$3:$B$5001,$A$301)))</f>
        <v/>
      </c>
      <c r="AI309" s="179" t="str">
        <f>IF(AI$3="","",IF(COUNTIFS(BD!$A$3:$A$5001,AI$3,BD!$B$3:$B$5001,$A$301,BD!$K$3:$K$5001,"&lt;&gt;")=0,"",SUMIFS(BD!$K$3:$K$5001,BD!$A$3:$A$5001,AI$3,BD!$B$3:$B$5001,$A$301)))</f>
        <v/>
      </c>
      <c r="AJ309" s="180" t="str">
        <f>IF(AJ$3="","",IF(COUNTIFS(BD!$A$3:$A$5001,AJ$3,BD!$B$3:$B$5001,$A$301,BD!$K$3:$K$5001,"&lt;&gt;")=0,"",SUMIFS(BD!$K$3:$K$5001,BD!$A$3:$A$5001,AJ$3,BD!$B$3:$B$5001,$A$301)))</f>
        <v/>
      </c>
      <c r="AK309" s="176" t="str">
        <f>IF(COUNT(F309:AJ309)=0,"",SUM(F309:AJ309))</f>
        <v/>
      </c>
    </row>
    <row r="310" ht="15.75" customHeight="1" hidden="1">
      <c r="A310" s="261"/>
      <c r="B310" s="251" t="inlineStr">
        <is>
          <t xml:space="preserve">OUT</t>
        </is>
      </c>
      <c r="C310" s="181" t="inlineStr">
        <is>
          <t xml:space="preserve">Veículos Expedidos</t>
        </is>
      </c>
      <c r="D310" s="182" t="str">
        <f>IFERROR(1/(1/INDEX(BD!$AL$32:$BF$32,MATCH($A$301,BD!$AL$22:$BF$22,0))),"")</f>
        <v/>
      </c>
      <c r="E310" s="183"/>
      <c r="F310" s="184" t="str">
        <f>IF(F$3="","",IF(COUNTIFS(BD!$A$3:$A$5001,F$3,BD!$B$3:$B$5001,$A$301,BD!$L$3:$L$5001,"&lt;&gt;")=0,"",SUMIFS(BD!$L$3:$L$5001,BD!$A$3:$A$5001,F$3,BD!$B$3:$B$5001,$A$301)))</f>
        <v/>
      </c>
      <c r="G310" s="185" t="str">
        <f>IF(G$3="","",IF(COUNTIFS(BD!$A$3:$A$5001,G$3,BD!$B$3:$B$5001,$A$301,BD!$L$3:$L$5001,"&lt;&gt;")=0,"",SUMIFS(BD!$L$3:$L$5001,BD!$A$3:$A$5001,G$3,BD!$B$3:$B$5001,$A$301)))</f>
        <v/>
      </c>
      <c r="H310" s="185" t="str">
        <f>IF(H$3="","",IF(COUNTIFS(BD!$A$3:$A$5001,H$3,BD!$B$3:$B$5001,$A$301,BD!$L$3:$L$5001,"&lt;&gt;")=0,"",SUMIFS(BD!$L$3:$L$5001,BD!$A$3:$A$5001,H$3,BD!$B$3:$B$5001,$A$301)))</f>
        <v/>
      </c>
      <c r="I310" s="185" t="str">
        <f>IF(I$3="","",IF(COUNTIFS(BD!$A$3:$A$5001,I$3,BD!$B$3:$B$5001,$A$301,BD!$L$3:$L$5001,"&lt;&gt;")=0,"",SUMIFS(BD!$L$3:$L$5001,BD!$A$3:$A$5001,I$3,BD!$B$3:$B$5001,$A$301)))</f>
        <v/>
      </c>
      <c r="J310" s="185" t="str">
        <f>IF(J$3="","",IF(COUNTIFS(BD!$A$3:$A$5001,J$3,BD!$B$3:$B$5001,$A$301,BD!$L$3:$L$5001,"&lt;&gt;")=0,"",SUMIFS(BD!$L$3:$L$5001,BD!$A$3:$A$5001,J$3,BD!$B$3:$B$5001,$A$301)))</f>
        <v/>
      </c>
      <c r="K310" s="185" t="str">
        <f>IF(K$3="","",IF(COUNTIFS(BD!$A$3:$A$5001,K$3,BD!$B$3:$B$5001,$A$301,BD!$L$3:$L$5001,"&lt;&gt;")=0,"",SUMIFS(BD!$L$3:$L$5001,BD!$A$3:$A$5001,K$3,BD!$B$3:$B$5001,$A$301)))</f>
        <v/>
      </c>
      <c r="L310" s="185" t="str">
        <f>IF(L$3="","",IF(COUNTIFS(BD!$A$3:$A$5001,L$3,BD!$B$3:$B$5001,$A$301,BD!$L$3:$L$5001,"&lt;&gt;")=0,"",SUMIFS(BD!$L$3:$L$5001,BD!$A$3:$A$5001,L$3,BD!$B$3:$B$5001,$A$301)))</f>
        <v/>
      </c>
      <c r="M310" s="185" t="str">
        <f>IF(M$3="","",IF(COUNTIFS(BD!$A$3:$A$5001,M$3,BD!$B$3:$B$5001,$A$301,BD!$L$3:$L$5001,"&lt;&gt;")=0,"",SUMIFS(BD!$L$3:$L$5001,BD!$A$3:$A$5001,M$3,BD!$B$3:$B$5001,$A$301)))</f>
        <v/>
      </c>
      <c r="N310" s="185" t="str">
        <f>IF(N$3="","",IF(COUNTIFS(BD!$A$3:$A$5001,N$3,BD!$B$3:$B$5001,$A$301,BD!$L$3:$L$5001,"&lt;&gt;")=0,"",SUMIFS(BD!$L$3:$L$5001,BD!$A$3:$A$5001,N$3,BD!$B$3:$B$5001,$A$301)))</f>
        <v/>
      </c>
      <c r="O310" s="185" t="str">
        <f>IF(O$3="","",IF(COUNTIFS(BD!$A$3:$A$5001,O$3,BD!$B$3:$B$5001,$A$301,BD!$L$3:$L$5001,"&lt;&gt;")=0,"",SUMIFS(BD!$L$3:$L$5001,BD!$A$3:$A$5001,O$3,BD!$B$3:$B$5001,$A$301)))</f>
        <v/>
      </c>
      <c r="P310" s="185" t="str">
        <f>IF(P$3="","",IF(COUNTIFS(BD!$A$3:$A$5001,P$3,BD!$B$3:$B$5001,$A$301,BD!$L$3:$L$5001,"&lt;&gt;")=0,"",SUMIFS(BD!$L$3:$L$5001,BD!$A$3:$A$5001,P$3,BD!$B$3:$B$5001,$A$301)))</f>
        <v/>
      </c>
      <c r="Q310" s="185" t="str">
        <f>IF(Q$3="","",IF(COUNTIFS(BD!$A$3:$A$5001,Q$3,BD!$B$3:$B$5001,$A$301,BD!$L$3:$L$5001,"&lt;&gt;")=0,"",SUMIFS(BD!$L$3:$L$5001,BD!$A$3:$A$5001,Q$3,BD!$B$3:$B$5001,$A$301)))</f>
        <v/>
      </c>
      <c r="R310" s="185" t="str">
        <f>IF(R$3="","",IF(COUNTIFS(BD!$A$3:$A$5001,R$3,BD!$B$3:$B$5001,$A$301,BD!$L$3:$L$5001,"&lt;&gt;")=0,"",SUMIFS(BD!$L$3:$L$5001,BD!$A$3:$A$5001,R$3,BD!$B$3:$B$5001,$A$301)))</f>
        <v/>
      </c>
      <c r="S310" s="185" t="str">
        <f>IF(S$3="","",IF(COUNTIFS(BD!$A$3:$A$5001,S$3,BD!$B$3:$B$5001,$A$301,BD!$L$3:$L$5001,"&lt;&gt;")=0,"",SUMIFS(BD!$L$3:$L$5001,BD!$A$3:$A$5001,S$3,BD!$B$3:$B$5001,$A$301)))</f>
        <v/>
      </c>
      <c r="T310" s="185" t="str">
        <f>IF(T$3="","",IF(COUNTIFS(BD!$A$3:$A$5001,T$3,BD!$B$3:$B$5001,$A$301,BD!$L$3:$L$5001,"&lt;&gt;")=0,"",SUMIFS(BD!$L$3:$L$5001,BD!$A$3:$A$5001,T$3,BD!$B$3:$B$5001,$A$301)))</f>
        <v/>
      </c>
      <c r="U310" s="185" t="str">
        <f>IF(U$3="","",IF(COUNTIFS(BD!$A$3:$A$5001,U$3,BD!$B$3:$B$5001,$A$301,BD!$L$3:$L$5001,"&lt;&gt;")=0,"",SUMIFS(BD!$L$3:$L$5001,BD!$A$3:$A$5001,U$3,BD!$B$3:$B$5001,$A$301)))</f>
        <v/>
      </c>
      <c r="V310" s="185" t="str">
        <f>IF(V$3="","",IF(COUNTIFS(BD!$A$3:$A$5001,V$3,BD!$B$3:$B$5001,$A$301,BD!$L$3:$L$5001,"&lt;&gt;")=0,"",SUMIFS(BD!$L$3:$L$5001,BD!$A$3:$A$5001,V$3,BD!$B$3:$B$5001,$A$301)))</f>
        <v/>
      </c>
      <c r="W310" s="185" t="str">
        <f>IF(W$3="","",IF(COUNTIFS(BD!$A$3:$A$5001,W$3,BD!$B$3:$B$5001,$A$301,BD!$L$3:$L$5001,"&lt;&gt;")=0,"",SUMIFS(BD!$L$3:$L$5001,BD!$A$3:$A$5001,W$3,BD!$B$3:$B$5001,$A$301)))</f>
        <v/>
      </c>
      <c r="X310" s="185" t="str">
        <f>IF(X$3="","",IF(COUNTIFS(BD!$A$3:$A$5001,X$3,BD!$B$3:$B$5001,$A$301,BD!$L$3:$L$5001,"&lt;&gt;")=0,"",SUMIFS(BD!$L$3:$L$5001,BD!$A$3:$A$5001,X$3,BD!$B$3:$B$5001,$A$301)))</f>
        <v/>
      </c>
      <c r="Y310" s="185" t="str">
        <f>IF(Y$3="","",IF(COUNTIFS(BD!$A$3:$A$5001,Y$3,BD!$B$3:$B$5001,$A$301,BD!$L$3:$L$5001,"&lt;&gt;")=0,"",SUMIFS(BD!$L$3:$L$5001,BD!$A$3:$A$5001,Y$3,BD!$B$3:$B$5001,$A$301)))</f>
        <v/>
      </c>
      <c r="Z310" s="185" t="str">
        <f>IF(Z$3="","",IF(COUNTIFS(BD!$A$3:$A$5001,Z$3,BD!$B$3:$B$5001,$A$301,BD!$L$3:$L$5001,"&lt;&gt;")=0,"",SUMIFS(BD!$L$3:$L$5001,BD!$A$3:$A$5001,Z$3,BD!$B$3:$B$5001,$A$301)))</f>
        <v/>
      </c>
      <c r="AA310" s="185" t="str">
        <f>IF(AA$3="","",IF(COUNTIFS(BD!$A$3:$A$5001,AA$3,BD!$B$3:$B$5001,$A$301,BD!$L$3:$L$5001,"&lt;&gt;")=0,"",SUMIFS(BD!$L$3:$L$5001,BD!$A$3:$A$5001,AA$3,BD!$B$3:$B$5001,$A$301)))</f>
        <v/>
      </c>
      <c r="AB310" s="185" t="str">
        <f>IF(AB$3="","",IF(COUNTIFS(BD!$A$3:$A$5001,AB$3,BD!$B$3:$B$5001,$A$301,BD!$L$3:$L$5001,"&lt;&gt;")=0,"",SUMIFS(BD!$L$3:$L$5001,BD!$A$3:$A$5001,AB$3,BD!$B$3:$B$5001,$A$301)))</f>
        <v/>
      </c>
      <c r="AC310" s="185" t="str">
        <f>IF(AC$3="","",IF(COUNTIFS(BD!$A$3:$A$5001,AC$3,BD!$B$3:$B$5001,$A$301,BD!$L$3:$L$5001,"&lt;&gt;")=0,"",SUMIFS(BD!$L$3:$L$5001,BD!$A$3:$A$5001,AC$3,BD!$B$3:$B$5001,$A$301)))</f>
        <v/>
      </c>
      <c r="AD310" s="185" t="str">
        <f>IF(AD$3="","",IF(COUNTIFS(BD!$A$3:$A$5001,AD$3,BD!$B$3:$B$5001,$A$301,BD!$L$3:$L$5001,"&lt;&gt;")=0,"",SUMIFS(BD!$L$3:$L$5001,BD!$A$3:$A$5001,AD$3,BD!$B$3:$B$5001,$A$301)))</f>
        <v/>
      </c>
      <c r="AE310" s="185" t="str">
        <f>IF(AE$3="","",IF(COUNTIFS(BD!$A$3:$A$5001,AE$3,BD!$B$3:$B$5001,$A$301,BD!$L$3:$L$5001,"&lt;&gt;")=0,"",SUMIFS(BD!$L$3:$L$5001,BD!$A$3:$A$5001,AE$3,BD!$B$3:$B$5001,$A$301)))</f>
        <v/>
      </c>
      <c r="AF310" s="185" t="str">
        <f>IF(AF$3="","",IF(COUNTIFS(BD!$A$3:$A$5001,AF$3,BD!$B$3:$B$5001,$A$301,BD!$L$3:$L$5001,"&lt;&gt;")=0,"",SUMIFS(BD!$L$3:$L$5001,BD!$A$3:$A$5001,AF$3,BD!$B$3:$B$5001,$A$301)))</f>
        <v/>
      </c>
      <c r="AG310" s="185" t="str">
        <f>IF(AG$3="","",IF(COUNTIFS(BD!$A$3:$A$5001,AG$3,BD!$B$3:$B$5001,$A$301,BD!$L$3:$L$5001,"&lt;&gt;")=0,"",SUMIFS(BD!$L$3:$L$5001,BD!$A$3:$A$5001,AG$3,BD!$B$3:$B$5001,$A$301)))</f>
        <v/>
      </c>
      <c r="AH310" s="185" t="str">
        <f>IF(AH$3="","",IF(COUNTIFS(BD!$A$3:$A$5001,AH$3,BD!$B$3:$B$5001,$A$301,BD!$L$3:$L$5001,"&lt;&gt;")=0,"",SUMIFS(BD!$L$3:$L$5001,BD!$A$3:$A$5001,AH$3,BD!$B$3:$B$5001,$A$301)))</f>
        <v/>
      </c>
      <c r="AI310" s="185" t="str">
        <f>IF(AI$3="","",IF(COUNTIFS(BD!$A$3:$A$5001,AI$3,BD!$B$3:$B$5001,$A$301,BD!$L$3:$L$5001,"&lt;&gt;")=0,"",SUMIFS(BD!$L$3:$L$5001,BD!$A$3:$A$5001,AI$3,BD!$B$3:$B$5001,$A$301)))</f>
        <v/>
      </c>
      <c r="AJ310" s="186" t="str">
        <f>IF(AJ$3="","",IF(COUNTIFS(BD!$A$3:$A$5001,AJ$3,BD!$B$3:$B$5001,$A$301,BD!$L$3:$L$5001,"&lt;&gt;")=0,"",SUMIFS(BD!$L$3:$L$5001,BD!$A$3:$A$5001,AJ$3,BD!$B$3:$B$5001,$A$301)))</f>
        <v/>
      </c>
      <c r="AK310" s="187" t="str">
        <f>IF(COUNT(F310:AJ310)=0,"",SUM(F310:AJ310))</f>
        <v/>
      </c>
    </row>
    <row r="311" ht="15.75" customHeight="1" hidden="1">
      <c r="A311" s="261"/>
      <c r="B311" s="278"/>
      <c r="C311" s="267" t="inlineStr">
        <is>
          <t xml:space="preserve">Pedidos Expedidos</t>
        </is>
      </c>
      <c r="D311" s="268" t="str">
        <f>IFERROR(1/(1/INDEX(BD!$AL$33:$BF$33,MATCH($A$301,BD!$AL$22:$BF$22,0))),"")</f>
        <v/>
      </c>
      <c r="E311" s="269"/>
      <c r="F311" s="270" t="str">
        <f>IF(F$3="","",IF(COUNTIFS(BD!$A$3:$A$5001,F$3,BD!$B$3:$B$5001,$A$301,BD!$M$3:$M$5001,"&lt;&gt;")=0,"",SUMIFS(BD!$M$3:$M$5001,BD!$A$3:$A$5001,F$3,BD!$B$3:$B$5001,$A$301)))</f>
        <v/>
      </c>
      <c r="G311" s="271" t="str">
        <f>IF(G$3="","",IF(COUNTIFS(BD!$A$3:$A$5001,G$3,BD!$B$3:$B$5001,$A$301,BD!$M$3:$M$5001,"&lt;&gt;")=0,"",SUMIFS(BD!$M$3:$M$5001,BD!$A$3:$A$5001,G$3,BD!$B$3:$B$5001,$A$301)))</f>
        <v/>
      </c>
      <c r="H311" s="271" t="str">
        <f>IF(H$3="","",IF(COUNTIFS(BD!$A$3:$A$5001,H$3,BD!$B$3:$B$5001,$A$301,BD!$M$3:$M$5001,"&lt;&gt;")=0,"",SUMIFS(BD!$M$3:$M$5001,BD!$A$3:$A$5001,H$3,BD!$B$3:$B$5001,$A$301)))</f>
        <v/>
      </c>
      <c r="I311" s="271" t="str">
        <f>IF(I$3="","",IF(COUNTIFS(BD!$A$3:$A$5001,I$3,BD!$B$3:$B$5001,$A$301,BD!$M$3:$M$5001,"&lt;&gt;")=0,"",SUMIFS(BD!$M$3:$M$5001,BD!$A$3:$A$5001,I$3,BD!$B$3:$B$5001,$A$301)))</f>
        <v/>
      </c>
      <c r="J311" s="271" t="str">
        <f>IF(J$3="","",IF(COUNTIFS(BD!$A$3:$A$5001,J$3,BD!$B$3:$B$5001,$A$301,BD!$M$3:$M$5001,"&lt;&gt;")=0,"",SUMIFS(BD!$M$3:$M$5001,BD!$A$3:$A$5001,J$3,BD!$B$3:$B$5001,$A$301)))</f>
        <v/>
      </c>
      <c r="K311" s="271" t="str">
        <f>IF(K$3="","",IF(COUNTIFS(BD!$A$3:$A$5001,K$3,BD!$B$3:$B$5001,$A$301,BD!$M$3:$M$5001,"&lt;&gt;")=0,"",SUMIFS(BD!$M$3:$M$5001,BD!$A$3:$A$5001,K$3,BD!$B$3:$B$5001,$A$301)))</f>
        <v/>
      </c>
      <c r="L311" s="271" t="str">
        <f>IF(L$3="","",IF(COUNTIFS(BD!$A$3:$A$5001,L$3,BD!$B$3:$B$5001,$A$301,BD!$M$3:$M$5001,"&lt;&gt;")=0,"",SUMIFS(BD!$M$3:$M$5001,BD!$A$3:$A$5001,L$3,BD!$B$3:$B$5001,$A$301)))</f>
        <v/>
      </c>
      <c r="M311" s="271" t="str">
        <f>IF(M$3="","",IF(COUNTIFS(BD!$A$3:$A$5001,M$3,BD!$B$3:$B$5001,$A$301,BD!$M$3:$M$5001,"&lt;&gt;")=0,"",SUMIFS(BD!$M$3:$M$5001,BD!$A$3:$A$5001,M$3,BD!$B$3:$B$5001,$A$301)))</f>
        <v/>
      </c>
      <c r="N311" s="271" t="str">
        <f>IF(N$3="","",IF(COUNTIFS(BD!$A$3:$A$5001,N$3,BD!$B$3:$B$5001,$A$301,BD!$M$3:$M$5001,"&lt;&gt;")=0,"",SUMIFS(BD!$M$3:$M$5001,BD!$A$3:$A$5001,N$3,BD!$B$3:$B$5001,$A$301)))</f>
        <v/>
      </c>
      <c r="O311" s="271" t="str">
        <f>IF(O$3="","",IF(COUNTIFS(BD!$A$3:$A$5001,O$3,BD!$B$3:$B$5001,$A$301,BD!$M$3:$M$5001,"&lt;&gt;")=0,"",SUMIFS(BD!$M$3:$M$5001,BD!$A$3:$A$5001,O$3,BD!$B$3:$B$5001,$A$301)))</f>
        <v/>
      </c>
      <c r="P311" s="271" t="str">
        <f>IF(P$3="","",IF(COUNTIFS(BD!$A$3:$A$5001,P$3,BD!$B$3:$B$5001,$A$301,BD!$M$3:$M$5001,"&lt;&gt;")=0,"",SUMIFS(BD!$M$3:$M$5001,BD!$A$3:$A$5001,P$3,BD!$B$3:$B$5001,$A$301)))</f>
        <v/>
      </c>
      <c r="Q311" s="271" t="str">
        <f>IF(Q$3="","",IF(COUNTIFS(BD!$A$3:$A$5001,Q$3,BD!$B$3:$B$5001,$A$301,BD!$M$3:$M$5001,"&lt;&gt;")=0,"",SUMIFS(BD!$M$3:$M$5001,BD!$A$3:$A$5001,Q$3,BD!$B$3:$B$5001,$A$301)))</f>
        <v/>
      </c>
      <c r="R311" s="271" t="str">
        <f>IF(R$3="","",IF(COUNTIFS(BD!$A$3:$A$5001,R$3,BD!$B$3:$B$5001,$A$301,BD!$M$3:$M$5001,"&lt;&gt;")=0,"",SUMIFS(BD!$M$3:$M$5001,BD!$A$3:$A$5001,R$3,BD!$B$3:$B$5001,$A$301)))</f>
        <v/>
      </c>
      <c r="S311" s="271" t="str">
        <f>IF(S$3="","",IF(COUNTIFS(BD!$A$3:$A$5001,S$3,BD!$B$3:$B$5001,$A$301,BD!$M$3:$M$5001,"&lt;&gt;")=0,"",SUMIFS(BD!$M$3:$M$5001,BD!$A$3:$A$5001,S$3,BD!$B$3:$B$5001,$A$301)))</f>
        <v/>
      </c>
      <c r="T311" s="271" t="str">
        <f>IF(T$3="","",IF(COUNTIFS(BD!$A$3:$A$5001,T$3,BD!$B$3:$B$5001,$A$301,BD!$M$3:$M$5001,"&lt;&gt;")=0,"",SUMIFS(BD!$M$3:$M$5001,BD!$A$3:$A$5001,T$3,BD!$B$3:$B$5001,$A$301)))</f>
        <v/>
      </c>
      <c r="U311" s="271" t="str">
        <f>IF(U$3="","",IF(COUNTIFS(BD!$A$3:$A$5001,U$3,BD!$B$3:$B$5001,$A$301,BD!$M$3:$M$5001,"&lt;&gt;")=0,"",SUMIFS(BD!$M$3:$M$5001,BD!$A$3:$A$5001,U$3,BD!$B$3:$B$5001,$A$301)))</f>
        <v/>
      </c>
      <c r="V311" s="271" t="str">
        <f>IF(V$3="","",IF(COUNTIFS(BD!$A$3:$A$5001,V$3,BD!$B$3:$B$5001,$A$301,BD!$M$3:$M$5001,"&lt;&gt;")=0,"",SUMIFS(BD!$M$3:$M$5001,BD!$A$3:$A$5001,V$3,BD!$B$3:$B$5001,$A$301)))</f>
        <v/>
      </c>
      <c r="W311" s="271" t="str">
        <f>IF(W$3="","",IF(COUNTIFS(BD!$A$3:$A$5001,W$3,BD!$B$3:$B$5001,$A$301,BD!$M$3:$M$5001,"&lt;&gt;")=0,"",SUMIFS(BD!$M$3:$M$5001,BD!$A$3:$A$5001,W$3,BD!$B$3:$B$5001,$A$301)))</f>
        <v/>
      </c>
      <c r="X311" s="271" t="str">
        <f>IF(X$3="","",IF(COUNTIFS(BD!$A$3:$A$5001,X$3,BD!$B$3:$B$5001,$A$301,BD!$M$3:$M$5001,"&lt;&gt;")=0,"",SUMIFS(BD!$M$3:$M$5001,BD!$A$3:$A$5001,X$3,BD!$B$3:$B$5001,$A$301)))</f>
        <v/>
      </c>
      <c r="Y311" s="271" t="str">
        <f>IF(Y$3="","",IF(COUNTIFS(BD!$A$3:$A$5001,Y$3,BD!$B$3:$B$5001,$A$301,BD!$M$3:$M$5001,"&lt;&gt;")=0,"",SUMIFS(BD!$M$3:$M$5001,BD!$A$3:$A$5001,Y$3,BD!$B$3:$B$5001,$A$301)))</f>
        <v/>
      </c>
      <c r="Z311" s="271" t="str">
        <f>IF(Z$3="","",IF(COUNTIFS(BD!$A$3:$A$5001,Z$3,BD!$B$3:$B$5001,$A$301,BD!$M$3:$M$5001,"&lt;&gt;")=0,"",SUMIFS(BD!$M$3:$M$5001,BD!$A$3:$A$5001,Z$3,BD!$B$3:$B$5001,$A$301)))</f>
        <v/>
      </c>
      <c r="AA311" s="271" t="str">
        <f>IF(AA$3="","",IF(COUNTIFS(BD!$A$3:$A$5001,AA$3,BD!$B$3:$B$5001,$A$301,BD!$M$3:$M$5001,"&lt;&gt;")=0,"",SUMIFS(BD!$M$3:$M$5001,BD!$A$3:$A$5001,AA$3,BD!$B$3:$B$5001,$A$301)))</f>
        <v/>
      </c>
      <c r="AB311" s="271" t="str">
        <f>IF(AB$3="","",IF(COUNTIFS(BD!$A$3:$A$5001,AB$3,BD!$B$3:$B$5001,$A$301,BD!$M$3:$M$5001,"&lt;&gt;")=0,"",SUMIFS(BD!$M$3:$M$5001,BD!$A$3:$A$5001,AB$3,BD!$B$3:$B$5001,$A$301)))</f>
        <v/>
      </c>
      <c r="AC311" s="271" t="str">
        <f>IF(AC$3="","",IF(COUNTIFS(BD!$A$3:$A$5001,AC$3,BD!$B$3:$B$5001,$A$301,BD!$M$3:$M$5001,"&lt;&gt;")=0,"",SUMIFS(BD!$M$3:$M$5001,BD!$A$3:$A$5001,AC$3,BD!$B$3:$B$5001,$A$301)))</f>
        <v/>
      </c>
      <c r="AD311" s="271" t="str">
        <f>IF(AD$3="","",IF(COUNTIFS(BD!$A$3:$A$5001,AD$3,BD!$B$3:$B$5001,$A$301,BD!$M$3:$M$5001,"&lt;&gt;")=0,"",SUMIFS(BD!$M$3:$M$5001,BD!$A$3:$A$5001,AD$3,BD!$B$3:$B$5001,$A$301)))</f>
        <v/>
      </c>
      <c r="AE311" s="271" t="str">
        <f>IF(AE$3="","",IF(COUNTIFS(BD!$A$3:$A$5001,AE$3,BD!$B$3:$B$5001,$A$301,BD!$M$3:$M$5001,"&lt;&gt;")=0,"",SUMIFS(BD!$M$3:$M$5001,BD!$A$3:$A$5001,AE$3,BD!$B$3:$B$5001,$A$301)))</f>
        <v/>
      </c>
      <c r="AF311" s="271" t="str">
        <f>IF(AF$3="","",IF(COUNTIFS(BD!$A$3:$A$5001,AF$3,BD!$B$3:$B$5001,$A$301,BD!$M$3:$M$5001,"&lt;&gt;")=0,"",SUMIFS(BD!$M$3:$M$5001,BD!$A$3:$A$5001,AF$3,BD!$B$3:$B$5001,$A$301)))</f>
        <v/>
      </c>
      <c r="AG311" s="271" t="str">
        <f>IF(AG$3="","",IF(COUNTIFS(BD!$A$3:$A$5001,AG$3,BD!$B$3:$B$5001,$A$301,BD!$M$3:$M$5001,"&lt;&gt;")=0,"",SUMIFS(BD!$M$3:$M$5001,BD!$A$3:$A$5001,AG$3,BD!$B$3:$B$5001,$A$301)))</f>
        <v/>
      </c>
      <c r="AH311" s="271" t="str">
        <f>IF(AH$3="","",IF(COUNTIFS(BD!$A$3:$A$5001,AH$3,BD!$B$3:$B$5001,$A$301,BD!$M$3:$M$5001,"&lt;&gt;")=0,"",SUMIFS(BD!$M$3:$M$5001,BD!$A$3:$A$5001,AH$3,BD!$B$3:$B$5001,$A$301)))</f>
        <v/>
      </c>
      <c r="AI311" s="271" t="str">
        <f>IF(AI$3="","",IF(COUNTIFS(BD!$A$3:$A$5001,AI$3,BD!$B$3:$B$5001,$A$301,BD!$M$3:$M$5001,"&lt;&gt;")=0,"",SUMIFS(BD!$M$3:$M$5001,BD!$A$3:$A$5001,AI$3,BD!$B$3:$B$5001,$A$301)))</f>
        <v/>
      </c>
      <c r="AJ311" s="272" t="str">
        <f>IF(AJ$3="","",IF(COUNTIFS(BD!$A$3:$A$5001,AJ$3,BD!$B$3:$B$5001,$A$301,BD!$M$3:$M$5001,"&lt;&gt;")=0,"",SUMIFS(BD!$M$3:$M$5001,BD!$A$3:$A$5001,AJ$3,BD!$B$3:$B$5001,$A$301)))</f>
        <v/>
      </c>
      <c r="AK311" s="273" t="str">
        <f>IF(COUNT(F311:AJ311)=0,"",SUM(F311:AJ311))</f>
        <v/>
      </c>
    </row>
    <row r="312" ht="15.75" customHeight="1" hidden="1">
      <c r="A312" s="261"/>
      <c r="B312" s="278"/>
      <c r="C312" s="267" t="inlineStr">
        <is>
          <t xml:space="preserve">Pedidos Faturados</t>
        </is>
      </c>
      <c r="D312" s="268" t="str">
        <f>IFERROR(1/(1/INDEX(BD!$AL$34:$BF$34,MATCH($A$301,BD!$AL$22:$BF$22,0))),"")</f>
        <v/>
      </c>
      <c r="E312" s="269"/>
      <c r="F312" s="270" t="str">
        <f>IF(F$3="","",IF(COUNTIFS(BD!$A$3:$A$5001,F$3,BD!$B$3:$B$5001,$A$301,BD!$N$3:$N$5001,"&lt;&gt;")=0,"",SUMIFS(BD!$N$3:$N$5001,BD!$A$3:$A$5001,F$3,BD!$B$3:$B$5001,$A$301)))</f>
        <v/>
      </c>
      <c r="G312" s="271" t="str">
        <f>IF(G$3="","",IF(COUNTIFS(BD!$A$3:$A$5001,G$3,BD!$B$3:$B$5001,$A$301,BD!$N$3:$N$5001,"&lt;&gt;")=0,"",SUMIFS(BD!$N$3:$N$5001,BD!$A$3:$A$5001,G$3,BD!$B$3:$B$5001,$A$301)))</f>
        <v/>
      </c>
      <c r="H312" s="271" t="str">
        <f>IF(H$3="","",IF(COUNTIFS(BD!$A$3:$A$5001,H$3,BD!$B$3:$B$5001,$A$301,BD!$N$3:$N$5001,"&lt;&gt;")=0,"",SUMIFS(BD!$N$3:$N$5001,BD!$A$3:$A$5001,H$3,BD!$B$3:$B$5001,$A$301)))</f>
        <v/>
      </c>
      <c r="I312" s="271" t="str">
        <f>IF(I$3="","",IF(COUNTIFS(BD!$A$3:$A$5001,I$3,BD!$B$3:$B$5001,$A$301,BD!$N$3:$N$5001,"&lt;&gt;")=0,"",SUMIFS(BD!$N$3:$N$5001,BD!$A$3:$A$5001,I$3,BD!$B$3:$B$5001,$A$301)))</f>
        <v/>
      </c>
      <c r="J312" s="271" t="str">
        <f>IF(J$3="","",IF(COUNTIFS(BD!$A$3:$A$5001,J$3,BD!$B$3:$B$5001,$A$301,BD!$N$3:$N$5001,"&lt;&gt;")=0,"",SUMIFS(BD!$N$3:$N$5001,BD!$A$3:$A$5001,J$3,BD!$B$3:$B$5001,$A$301)))</f>
        <v/>
      </c>
      <c r="K312" s="271" t="str">
        <f>IF(K$3="","",IF(COUNTIFS(BD!$A$3:$A$5001,K$3,BD!$B$3:$B$5001,$A$301,BD!$N$3:$N$5001,"&lt;&gt;")=0,"",SUMIFS(BD!$N$3:$N$5001,BD!$A$3:$A$5001,K$3,BD!$B$3:$B$5001,$A$301)))</f>
        <v/>
      </c>
      <c r="L312" s="271" t="str">
        <f>IF(L$3="","",IF(COUNTIFS(BD!$A$3:$A$5001,L$3,BD!$B$3:$B$5001,$A$301,BD!$N$3:$N$5001,"&lt;&gt;")=0,"",SUMIFS(BD!$N$3:$N$5001,BD!$A$3:$A$5001,L$3,BD!$B$3:$B$5001,$A$301)))</f>
        <v/>
      </c>
      <c r="M312" s="271" t="str">
        <f>IF(M$3="","",IF(COUNTIFS(BD!$A$3:$A$5001,M$3,BD!$B$3:$B$5001,$A$301,BD!$N$3:$N$5001,"&lt;&gt;")=0,"",SUMIFS(BD!$N$3:$N$5001,BD!$A$3:$A$5001,M$3,BD!$B$3:$B$5001,$A$301)))</f>
        <v/>
      </c>
      <c r="N312" s="271" t="str">
        <f>IF(N$3="","",IF(COUNTIFS(BD!$A$3:$A$5001,N$3,BD!$B$3:$B$5001,$A$301,BD!$N$3:$N$5001,"&lt;&gt;")=0,"",SUMIFS(BD!$N$3:$N$5001,BD!$A$3:$A$5001,N$3,BD!$B$3:$B$5001,$A$301)))</f>
        <v/>
      </c>
      <c r="O312" s="271" t="str">
        <f>IF(O$3="","",IF(COUNTIFS(BD!$A$3:$A$5001,O$3,BD!$B$3:$B$5001,$A$301,BD!$N$3:$N$5001,"&lt;&gt;")=0,"",SUMIFS(BD!$N$3:$N$5001,BD!$A$3:$A$5001,O$3,BD!$B$3:$B$5001,$A$301)))</f>
        <v/>
      </c>
      <c r="P312" s="271" t="str">
        <f>IF(P$3="","",IF(COUNTIFS(BD!$A$3:$A$5001,P$3,BD!$B$3:$B$5001,$A$301,BD!$N$3:$N$5001,"&lt;&gt;")=0,"",SUMIFS(BD!$N$3:$N$5001,BD!$A$3:$A$5001,P$3,BD!$B$3:$B$5001,$A$301)))</f>
        <v/>
      </c>
      <c r="Q312" s="271" t="str">
        <f>IF(Q$3="","",IF(COUNTIFS(BD!$A$3:$A$5001,Q$3,BD!$B$3:$B$5001,$A$301,BD!$N$3:$N$5001,"&lt;&gt;")=0,"",SUMIFS(BD!$N$3:$N$5001,BD!$A$3:$A$5001,Q$3,BD!$B$3:$B$5001,$A$301)))</f>
        <v/>
      </c>
      <c r="R312" s="271" t="str">
        <f>IF(R$3="","",IF(COUNTIFS(BD!$A$3:$A$5001,R$3,BD!$B$3:$B$5001,$A$301,BD!$N$3:$N$5001,"&lt;&gt;")=0,"",SUMIFS(BD!$N$3:$N$5001,BD!$A$3:$A$5001,R$3,BD!$B$3:$B$5001,$A$301)))</f>
        <v/>
      </c>
      <c r="S312" s="271" t="str">
        <f>IF(S$3="","",IF(COUNTIFS(BD!$A$3:$A$5001,S$3,BD!$B$3:$B$5001,$A$301,BD!$N$3:$N$5001,"&lt;&gt;")=0,"",SUMIFS(BD!$N$3:$N$5001,BD!$A$3:$A$5001,S$3,BD!$B$3:$B$5001,$A$301)))</f>
        <v/>
      </c>
      <c r="T312" s="271" t="str">
        <f>IF(T$3="","",IF(COUNTIFS(BD!$A$3:$A$5001,T$3,BD!$B$3:$B$5001,$A$301,BD!$N$3:$N$5001,"&lt;&gt;")=0,"",SUMIFS(BD!$N$3:$N$5001,BD!$A$3:$A$5001,T$3,BD!$B$3:$B$5001,$A$301)))</f>
        <v/>
      </c>
      <c r="U312" s="271" t="str">
        <f>IF(U$3="","",IF(COUNTIFS(BD!$A$3:$A$5001,U$3,BD!$B$3:$B$5001,$A$301,BD!$N$3:$N$5001,"&lt;&gt;")=0,"",SUMIFS(BD!$N$3:$N$5001,BD!$A$3:$A$5001,U$3,BD!$B$3:$B$5001,$A$301)))</f>
        <v/>
      </c>
      <c r="V312" s="271" t="str">
        <f>IF(V$3="","",IF(COUNTIFS(BD!$A$3:$A$5001,V$3,BD!$B$3:$B$5001,$A$301,BD!$N$3:$N$5001,"&lt;&gt;")=0,"",SUMIFS(BD!$N$3:$N$5001,BD!$A$3:$A$5001,V$3,BD!$B$3:$B$5001,$A$301)))</f>
        <v/>
      </c>
      <c r="W312" s="271" t="str">
        <f>IF(W$3="","",IF(COUNTIFS(BD!$A$3:$A$5001,W$3,BD!$B$3:$B$5001,$A$301,BD!$N$3:$N$5001,"&lt;&gt;")=0,"",SUMIFS(BD!$N$3:$N$5001,BD!$A$3:$A$5001,W$3,BD!$B$3:$B$5001,$A$301)))</f>
        <v/>
      </c>
      <c r="X312" s="271" t="str">
        <f>IF(X$3="","",IF(COUNTIFS(BD!$A$3:$A$5001,X$3,BD!$B$3:$B$5001,$A$301,BD!$N$3:$N$5001,"&lt;&gt;")=0,"",SUMIFS(BD!$N$3:$N$5001,BD!$A$3:$A$5001,X$3,BD!$B$3:$B$5001,$A$301)))</f>
        <v/>
      </c>
      <c r="Y312" s="271" t="str">
        <f>IF(Y$3="","",IF(COUNTIFS(BD!$A$3:$A$5001,Y$3,BD!$B$3:$B$5001,$A$301,BD!$N$3:$N$5001,"&lt;&gt;")=0,"",SUMIFS(BD!$N$3:$N$5001,BD!$A$3:$A$5001,Y$3,BD!$B$3:$B$5001,$A$301)))</f>
        <v/>
      </c>
      <c r="Z312" s="271" t="str">
        <f>IF(Z$3="","",IF(COUNTIFS(BD!$A$3:$A$5001,Z$3,BD!$B$3:$B$5001,$A$301,BD!$N$3:$N$5001,"&lt;&gt;")=0,"",SUMIFS(BD!$N$3:$N$5001,BD!$A$3:$A$5001,Z$3,BD!$B$3:$B$5001,$A$301)))</f>
        <v/>
      </c>
      <c r="AA312" s="271" t="str">
        <f>IF(AA$3="","",IF(COUNTIFS(BD!$A$3:$A$5001,AA$3,BD!$B$3:$B$5001,$A$301,BD!$N$3:$N$5001,"&lt;&gt;")=0,"",SUMIFS(BD!$N$3:$N$5001,BD!$A$3:$A$5001,AA$3,BD!$B$3:$B$5001,$A$301)))</f>
        <v/>
      </c>
      <c r="AB312" s="271" t="str">
        <f>IF(AB$3="","",IF(COUNTIFS(BD!$A$3:$A$5001,AB$3,BD!$B$3:$B$5001,$A$301,BD!$N$3:$N$5001,"&lt;&gt;")=0,"",SUMIFS(BD!$N$3:$N$5001,BD!$A$3:$A$5001,AB$3,BD!$B$3:$B$5001,$A$301)))</f>
        <v/>
      </c>
      <c r="AC312" s="271" t="str">
        <f>IF(AC$3="","",IF(COUNTIFS(BD!$A$3:$A$5001,AC$3,BD!$B$3:$B$5001,$A$301,BD!$N$3:$N$5001,"&lt;&gt;")=0,"",SUMIFS(BD!$N$3:$N$5001,BD!$A$3:$A$5001,AC$3,BD!$B$3:$B$5001,$A$301)))</f>
        <v/>
      </c>
      <c r="AD312" s="271" t="str">
        <f>IF(AD$3="","",IF(COUNTIFS(BD!$A$3:$A$5001,AD$3,BD!$B$3:$B$5001,$A$301,BD!$N$3:$N$5001,"&lt;&gt;")=0,"",SUMIFS(BD!$N$3:$N$5001,BD!$A$3:$A$5001,AD$3,BD!$B$3:$B$5001,$A$301)))</f>
        <v/>
      </c>
      <c r="AE312" s="271" t="str">
        <f>IF(AE$3="","",IF(COUNTIFS(BD!$A$3:$A$5001,AE$3,BD!$B$3:$B$5001,$A$301,BD!$N$3:$N$5001,"&lt;&gt;")=0,"",SUMIFS(BD!$N$3:$N$5001,BD!$A$3:$A$5001,AE$3,BD!$B$3:$B$5001,$A$301)))</f>
        <v/>
      </c>
      <c r="AF312" s="271" t="str">
        <f>IF(AF$3="","",IF(COUNTIFS(BD!$A$3:$A$5001,AF$3,BD!$B$3:$B$5001,$A$301,BD!$N$3:$N$5001,"&lt;&gt;")=0,"",SUMIFS(BD!$N$3:$N$5001,BD!$A$3:$A$5001,AF$3,BD!$B$3:$B$5001,$A$301)))</f>
        <v/>
      </c>
      <c r="AG312" s="271" t="str">
        <f>IF(AG$3="","",IF(COUNTIFS(BD!$A$3:$A$5001,AG$3,BD!$B$3:$B$5001,$A$301,BD!$N$3:$N$5001,"&lt;&gt;")=0,"",SUMIFS(BD!$N$3:$N$5001,BD!$A$3:$A$5001,AG$3,BD!$B$3:$B$5001,$A$301)))</f>
        <v/>
      </c>
      <c r="AH312" s="271" t="str">
        <f>IF(AH$3="","",IF(COUNTIFS(BD!$A$3:$A$5001,AH$3,BD!$B$3:$B$5001,$A$301,BD!$N$3:$N$5001,"&lt;&gt;")=0,"",SUMIFS(BD!$N$3:$N$5001,BD!$A$3:$A$5001,AH$3,BD!$B$3:$B$5001,$A$301)))</f>
        <v/>
      </c>
      <c r="AI312" s="271" t="str">
        <f>IF(AI$3="","",IF(COUNTIFS(BD!$A$3:$A$5001,AI$3,BD!$B$3:$B$5001,$A$301,BD!$N$3:$N$5001,"&lt;&gt;")=0,"",SUMIFS(BD!$N$3:$N$5001,BD!$A$3:$A$5001,AI$3,BD!$B$3:$B$5001,$A$301)))</f>
        <v/>
      </c>
      <c r="AJ312" s="272" t="str">
        <f>IF(AJ$3="","",IF(COUNTIFS(BD!$A$3:$A$5001,AJ$3,BD!$B$3:$B$5001,$A$301,BD!$N$3:$N$5001,"&lt;&gt;")=0,"",SUMIFS(BD!$N$3:$N$5001,BD!$A$3:$A$5001,AJ$3,BD!$B$3:$B$5001,$A$301)))</f>
        <v/>
      </c>
      <c r="AK312" s="273" t="str">
        <f>IF(COUNT(F312:AJ312)=0,"",SUM(F312:AJ312))</f>
        <v/>
      </c>
    </row>
    <row r="313" ht="15.75" customHeight="1" hidden="1">
      <c r="A313" s="261"/>
      <c r="B313" s="278"/>
      <c r="C313" s="267" t="inlineStr">
        <is>
          <t xml:space="preserve">Itens Expedidos</t>
        </is>
      </c>
      <c r="D313" s="268" t="str">
        <f>IFERROR(1/(1/INDEX(BD!$AL$35:$BF$35,MATCH($A$301,BD!$AL$22:$BF$22,0))),"")</f>
        <v/>
      </c>
      <c r="E313" s="269"/>
      <c r="F313" s="270" t="str">
        <f>IF(F$3="","",IF(COUNTIFS(BD!$A$3:$A$5001,F$3,BD!$B$3:$B$5001,$A$301,BD!$O$3:$O$5001,"&lt;&gt;")=0,"",SUMIFS(BD!$O$3:$O$5001,BD!$A$3:$A$5001,F$3,BD!$B$3:$B$5001,$A$301)))</f>
        <v/>
      </c>
      <c r="G313" s="271" t="str">
        <f>IF(G$3="","",IF(COUNTIFS(BD!$A$3:$A$5001,G$3,BD!$B$3:$B$5001,$A$301,BD!$O$3:$O$5001,"&lt;&gt;")=0,"",SUMIFS(BD!$O$3:$O$5001,BD!$A$3:$A$5001,G$3,BD!$B$3:$B$5001,$A$301)))</f>
        <v/>
      </c>
      <c r="H313" s="271" t="str">
        <f>IF(H$3="","",IF(COUNTIFS(BD!$A$3:$A$5001,H$3,BD!$B$3:$B$5001,$A$301,BD!$O$3:$O$5001,"&lt;&gt;")=0,"",SUMIFS(BD!$O$3:$O$5001,BD!$A$3:$A$5001,H$3,BD!$B$3:$B$5001,$A$301)))</f>
        <v/>
      </c>
      <c r="I313" s="271" t="str">
        <f>IF(I$3="","",IF(COUNTIFS(BD!$A$3:$A$5001,I$3,BD!$B$3:$B$5001,$A$301,BD!$O$3:$O$5001,"&lt;&gt;")=0,"",SUMIFS(BD!$O$3:$O$5001,BD!$A$3:$A$5001,I$3,BD!$B$3:$B$5001,$A$301)))</f>
        <v/>
      </c>
      <c r="J313" s="271" t="str">
        <f>IF(J$3="","",IF(COUNTIFS(BD!$A$3:$A$5001,J$3,BD!$B$3:$B$5001,$A$301,BD!$O$3:$O$5001,"&lt;&gt;")=0,"",SUMIFS(BD!$O$3:$O$5001,BD!$A$3:$A$5001,J$3,BD!$B$3:$B$5001,$A$301)))</f>
        <v/>
      </c>
      <c r="K313" s="271" t="str">
        <f>IF(K$3="","",IF(COUNTIFS(BD!$A$3:$A$5001,K$3,BD!$B$3:$B$5001,$A$301,BD!$O$3:$O$5001,"&lt;&gt;")=0,"",SUMIFS(BD!$O$3:$O$5001,BD!$A$3:$A$5001,K$3,BD!$B$3:$B$5001,$A$301)))</f>
        <v/>
      </c>
      <c r="L313" s="271" t="str">
        <f>IF(L$3="","",IF(COUNTIFS(BD!$A$3:$A$5001,L$3,BD!$B$3:$B$5001,$A$301,BD!$O$3:$O$5001,"&lt;&gt;")=0,"",SUMIFS(BD!$O$3:$O$5001,BD!$A$3:$A$5001,L$3,BD!$B$3:$B$5001,$A$301)))</f>
        <v/>
      </c>
      <c r="M313" s="271" t="str">
        <f>IF(M$3="","",IF(COUNTIFS(BD!$A$3:$A$5001,M$3,BD!$B$3:$B$5001,$A$301,BD!$O$3:$O$5001,"&lt;&gt;")=0,"",SUMIFS(BD!$O$3:$O$5001,BD!$A$3:$A$5001,M$3,BD!$B$3:$B$5001,$A$301)))</f>
        <v/>
      </c>
      <c r="N313" s="271" t="str">
        <f>IF(N$3="","",IF(COUNTIFS(BD!$A$3:$A$5001,N$3,BD!$B$3:$B$5001,$A$301,BD!$O$3:$O$5001,"&lt;&gt;")=0,"",SUMIFS(BD!$O$3:$O$5001,BD!$A$3:$A$5001,N$3,BD!$B$3:$B$5001,$A$301)))</f>
        <v/>
      </c>
      <c r="O313" s="271" t="str">
        <f>IF(O$3="","",IF(COUNTIFS(BD!$A$3:$A$5001,O$3,BD!$B$3:$B$5001,$A$301,BD!$O$3:$O$5001,"&lt;&gt;")=0,"",SUMIFS(BD!$O$3:$O$5001,BD!$A$3:$A$5001,O$3,BD!$B$3:$B$5001,$A$301)))</f>
        <v/>
      </c>
      <c r="P313" s="271" t="str">
        <f>IF(P$3="","",IF(COUNTIFS(BD!$A$3:$A$5001,P$3,BD!$B$3:$B$5001,$A$301,BD!$O$3:$O$5001,"&lt;&gt;")=0,"",SUMIFS(BD!$O$3:$O$5001,BD!$A$3:$A$5001,P$3,BD!$B$3:$B$5001,$A$301)))</f>
        <v/>
      </c>
      <c r="Q313" s="271" t="str">
        <f>IF(Q$3="","",IF(COUNTIFS(BD!$A$3:$A$5001,Q$3,BD!$B$3:$B$5001,$A$301,BD!$O$3:$O$5001,"&lt;&gt;")=0,"",SUMIFS(BD!$O$3:$O$5001,BD!$A$3:$A$5001,Q$3,BD!$B$3:$B$5001,$A$301)))</f>
        <v/>
      </c>
      <c r="R313" s="271" t="str">
        <f>IF(R$3="","",IF(COUNTIFS(BD!$A$3:$A$5001,R$3,BD!$B$3:$B$5001,$A$301,BD!$O$3:$O$5001,"&lt;&gt;")=0,"",SUMIFS(BD!$O$3:$O$5001,BD!$A$3:$A$5001,R$3,BD!$B$3:$B$5001,$A$301)))</f>
        <v/>
      </c>
      <c r="S313" s="271" t="str">
        <f>IF(S$3="","",IF(COUNTIFS(BD!$A$3:$A$5001,S$3,BD!$B$3:$B$5001,$A$301,BD!$O$3:$O$5001,"&lt;&gt;")=0,"",SUMIFS(BD!$O$3:$O$5001,BD!$A$3:$A$5001,S$3,BD!$B$3:$B$5001,$A$301)))</f>
        <v/>
      </c>
      <c r="T313" s="271" t="str">
        <f>IF(T$3="","",IF(COUNTIFS(BD!$A$3:$A$5001,T$3,BD!$B$3:$B$5001,$A$301,BD!$O$3:$O$5001,"&lt;&gt;")=0,"",SUMIFS(BD!$O$3:$O$5001,BD!$A$3:$A$5001,T$3,BD!$B$3:$B$5001,$A$301)))</f>
        <v/>
      </c>
      <c r="U313" s="271" t="str">
        <f>IF(U$3="","",IF(COUNTIFS(BD!$A$3:$A$5001,U$3,BD!$B$3:$B$5001,$A$301,BD!$O$3:$O$5001,"&lt;&gt;")=0,"",SUMIFS(BD!$O$3:$O$5001,BD!$A$3:$A$5001,U$3,BD!$B$3:$B$5001,$A$301)))</f>
        <v/>
      </c>
      <c r="V313" s="271" t="str">
        <f>IF(V$3="","",IF(COUNTIFS(BD!$A$3:$A$5001,V$3,BD!$B$3:$B$5001,$A$301,BD!$O$3:$O$5001,"&lt;&gt;")=0,"",SUMIFS(BD!$O$3:$O$5001,BD!$A$3:$A$5001,V$3,BD!$B$3:$B$5001,$A$301)))</f>
        <v/>
      </c>
      <c r="W313" s="271" t="str">
        <f>IF(W$3="","",IF(COUNTIFS(BD!$A$3:$A$5001,W$3,BD!$B$3:$B$5001,$A$301,BD!$O$3:$O$5001,"&lt;&gt;")=0,"",SUMIFS(BD!$O$3:$O$5001,BD!$A$3:$A$5001,W$3,BD!$B$3:$B$5001,$A$301)))</f>
        <v/>
      </c>
      <c r="X313" s="271" t="str">
        <f>IF(X$3="","",IF(COUNTIFS(BD!$A$3:$A$5001,X$3,BD!$B$3:$B$5001,$A$301,BD!$O$3:$O$5001,"&lt;&gt;")=0,"",SUMIFS(BD!$O$3:$O$5001,BD!$A$3:$A$5001,X$3,BD!$B$3:$B$5001,$A$301)))</f>
        <v/>
      </c>
      <c r="Y313" s="271" t="str">
        <f>IF(Y$3="","",IF(COUNTIFS(BD!$A$3:$A$5001,Y$3,BD!$B$3:$B$5001,$A$301,BD!$O$3:$O$5001,"&lt;&gt;")=0,"",SUMIFS(BD!$O$3:$O$5001,BD!$A$3:$A$5001,Y$3,BD!$B$3:$B$5001,$A$301)))</f>
        <v/>
      </c>
      <c r="Z313" s="271" t="str">
        <f>IF(Z$3="","",IF(COUNTIFS(BD!$A$3:$A$5001,Z$3,BD!$B$3:$B$5001,$A$301,BD!$O$3:$O$5001,"&lt;&gt;")=0,"",SUMIFS(BD!$O$3:$O$5001,BD!$A$3:$A$5001,Z$3,BD!$B$3:$B$5001,$A$301)))</f>
        <v/>
      </c>
      <c r="AA313" s="271" t="str">
        <f>IF(AA$3="","",IF(COUNTIFS(BD!$A$3:$A$5001,AA$3,BD!$B$3:$B$5001,$A$301,BD!$O$3:$O$5001,"&lt;&gt;")=0,"",SUMIFS(BD!$O$3:$O$5001,BD!$A$3:$A$5001,AA$3,BD!$B$3:$B$5001,$A$301)))</f>
        <v/>
      </c>
      <c r="AB313" s="271" t="str">
        <f>IF(AB$3="","",IF(COUNTIFS(BD!$A$3:$A$5001,AB$3,BD!$B$3:$B$5001,$A$301,BD!$O$3:$O$5001,"&lt;&gt;")=0,"",SUMIFS(BD!$O$3:$O$5001,BD!$A$3:$A$5001,AB$3,BD!$B$3:$B$5001,$A$301)))</f>
        <v/>
      </c>
      <c r="AC313" s="271" t="str">
        <f>IF(AC$3="","",IF(COUNTIFS(BD!$A$3:$A$5001,AC$3,BD!$B$3:$B$5001,$A$301,BD!$O$3:$O$5001,"&lt;&gt;")=0,"",SUMIFS(BD!$O$3:$O$5001,BD!$A$3:$A$5001,AC$3,BD!$B$3:$B$5001,$A$301)))</f>
        <v/>
      </c>
      <c r="AD313" s="271" t="str">
        <f>IF(AD$3="","",IF(COUNTIFS(BD!$A$3:$A$5001,AD$3,BD!$B$3:$B$5001,$A$301,BD!$O$3:$O$5001,"&lt;&gt;")=0,"",SUMIFS(BD!$O$3:$O$5001,BD!$A$3:$A$5001,AD$3,BD!$B$3:$B$5001,$A$301)))</f>
        <v/>
      </c>
      <c r="AE313" s="271" t="str">
        <f>IF(AE$3="","",IF(COUNTIFS(BD!$A$3:$A$5001,AE$3,BD!$B$3:$B$5001,$A$301,BD!$O$3:$O$5001,"&lt;&gt;")=0,"",SUMIFS(BD!$O$3:$O$5001,BD!$A$3:$A$5001,AE$3,BD!$B$3:$B$5001,$A$301)))</f>
        <v/>
      </c>
      <c r="AF313" s="271" t="str">
        <f>IF(AF$3="","",IF(COUNTIFS(BD!$A$3:$A$5001,AF$3,BD!$B$3:$B$5001,$A$301,BD!$O$3:$O$5001,"&lt;&gt;")=0,"",SUMIFS(BD!$O$3:$O$5001,BD!$A$3:$A$5001,AF$3,BD!$B$3:$B$5001,$A$301)))</f>
        <v/>
      </c>
      <c r="AG313" s="271" t="str">
        <f>IF(AG$3="","",IF(COUNTIFS(BD!$A$3:$A$5001,AG$3,BD!$B$3:$B$5001,$A$301,BD!$O$3:$O$5001,"&lt;&gt;")=0,"",SUMIFS(BD!$O$3:$O$5001,BD!$A$3:$A$5001,AG$3,BD!$B$3:$B$5001,$A$301)))</f>
        <v/>
      </c>
      <c r="AH313" s="271" t="str">
        <f>IF(AH$3="","",IF(COUNTIFS(BD!$A$3:$A$5001,AH$3,BD!$B$3:$B$5001,$A$301,BD!$O$3:$O$5001,"&lt;&gt;")=0,"",SUMIFS(BD!$O$3:$O$5001,BD!$A$3:$A$5001,AH$3,BD!$B$3:$B$5001,$A$301)))</f>
        <v/>
      </c>
      <c r="AI313" s="271" t="str">
        <f>IF(AI$3="","",IF(COUNTIFS(BD!$A$3:$A$5001,AI$3,BD!$B$3:$B$5001,$A$301,BD!$O$3:$O$5001,"&lt;&gt;")=0,"",SUMIFS(BD!$O$3:$O$5001,BD!$A$3:$A$5001,AI$3,BD!$B$3:$B$5001,$A$301)))</f>
        <v/>
      </c>
      <c r="AJ313" s="272" t="str">
        <f>IF(AJ$3="","",IF(COUNTIFS(BD!$A$3:$A$5001,AJ$3,BD!$B$3:$B$5001,$A$301,BD!$O$3:$O$5001,"&lt;&gt;")=0,"",SUMIFS(BD!$O$3:$O$5001,BD!$A$3:$A$5001,AJ$3,BD!$B$3:$B$5001,$A$301)))</f>
        <v/>
      </c>
      <c r="AK313" s="273" t="str">
        <f>IF(COUNT(F313:AJ313)=0,"",SUM(F313:AJ313))</f>
        <v/>
      </c>
    </row>
    <row r="314" ht="15.75" customHeight="1" hidden="1">
      <c r="A314" s="261"/>
      <c r="B314" s="278"/>
      <c r="C314" s="267" t="inlineStr">
        <is>
          <t xml:space="preserve">Linhas NF</t>
        </is>
      </c>
      <c r="D314" s="268" t="str">
        <f>IFERROR(1/(1/INDEX(BD!$AL$36:$BF$36,MATCH($A$301,BD!$AL$22:$BF$22,0))),"")</f>
        <v/>
      </c>
      <c r="E314" s="269"/>
      <c r="F314" s="270" t="str">
        <f>IF(F$3="","",IF(COUNTIFS(BD!$A$3:$A$5001,F$3,BD!$B$3:$B$5001,$A$301,BD!$P$3:$P$5001,"&lt;&gt;")=0,"",SUMIFS(BD!$P$3:$P$5001,BD!$A$3:$A$5001,F$3,BD!$B$3:$B$5001,$A$301)))</f>
        <v/>
      </c>
      <c r="G314" s="271" t="str">
        <f>IF(G$3="","",IF(COUNTIFS(BD!$A$3:$A$5001,G$3,BD!$B$3:$B$5001,$A$301,BD!$P$3:$P$5001,"&lt;&gt;")=0,"",SUMIFS(BD!$P$3:$P$5001,BD!$A$3:$A$5001,G$3,BD!$B$3:$B$5001,$A$301)))</f>
        <v/>
      </c>
      <c r="H314" s="271" t="str">
        <f>IF(H$3="","",IF(COUNTIFS(BD!$A$3:$A$5001,H$3,BD!$B$3:$B$5001,$A$301,BD!$P$3:$P$5001,"&lt;&gt;")=0,"",SUMIFS(BD!$P$3:$P$5001,BD!$A$3:$A$5001,H$3,BD!$B$3:$B$5001,$A$301)))</f>
        <v/>
      </c>
      <c r="I314" s="271" t="str">
        <f>IF(I$3="","",IF(COUNTIFS(BD!$A$3:$A$5001,I$3,BD!$B$3:$B$5001,$A$301,BD!$P$3:$P$5001,"&lt;&gt;")=0,"",SUMIFS(BD!$P$3:$P$5001,BD!$A$3:$A$5001,I$3,BD!$B$3:$B$5001,$A$301)))</f>
        <v/>
      </c>
      <c r="J314" s="271" t="str">
        <f>IF(J$3="","",IF(COUNTIFS(BD!$A$3:$A$5001,J$3,BD!$B$3:$B$5001,$A$301,BD!$P$3:$P$5001,"&lt;&gt;")=0,"",SUMIFS(BD!$P$3:$P$5001,BD!$A$3:$A$5001,J$3,BD!$B$3:$B$5001,$A$301)))</f>
        <v/>
      </c>
      <c r="K314" s="271" t="str">
        <f>IF(K$3="","",IF(COUNTIFS(BD!$A$3:$A$5001,K$3,BD!$B$3:$B$5001,$A$301,BD!$P$3:$P$5001,"&lt;&gt;")=0,"",SUMIFS(BD!$P$3:$P$5001,BD!$A$3:$A$5001,K$3,BD!$B$3:$B$5001,$A$301)))</f>
        <v/>
      </c>
      <c r="L314" s="271" t="str">
        <f>IF(L$3="","",IF(COUNTIFS(BD!$A$3:$A$5001,L$3,BD!$B$3:$B$5001,$A$301,BD!$P$3:$P$5001,"&lt;&gt;")=0,"",SUMIFS(BD!$P$3:$P$5001,BD!$A$3:$A$5001,L$3,BD!$B$3:$B$5001,$A$301)))</f>
        <v/>
      </c>
      <c r="M314" s="271" t="str">
        <f>IF(M$3="","",IF(COUNTIFS(BD!$A$3:$A$5001,M$3,BD!$B$3:$B$5001,$A$301,BD!$P$3:$P$5001,"&lt;&gt;")=0,"",SUMIFS(BD!$P$3:$P$5001,BD!$A$3:$A$5001,M$3,BD!$B$3:$B$5001,$A$301)))</f>
        <v/>
      </c>
      <c r="N314" s="271" t="str">
        <f>IF(N$3="","",IF(COUNTIFS(BD!$A$3:$A$5001,N$3,BD!$B$3:$B$5001,$A$301,BD!$P$3:$P$5001,"&lt;&gt;")=0,"",SUMIFS(BD!$P$3:$P$5001,BD!$A$3:$A$5001,N$3,BD!$B$3:$B$5001,$A$301)))</f>
        <v/>
      </c>
      <c r="O314" s="271" t="str">
        <f>IF(O$3="","",IF(COUNTIFS(BD!$A$3:$A$5001,O$3,BD!$B$3:$B$5001,$A$301,BD!$P$3:$P$5001,"&lt;&gt;")=0,"",SUMIFS(BD!$P$3:$P$5001,BD!$A$3:$A$5001,O$3,BD!$B$3:$B$5001,$A$301)))</f>
        <v/>
      </c>
      <c r="P314" s="271" t="str">
        <f>IF(P$3="","",IF(COUNTIFS(BD!$A$3:$A$5001,P$3,BD!$B$3:$B$5001,$A$301,BD!$P$3:$P$5001,"&lt;&gt;")=0,"",SUMIFS(BD!$P$3:$P$5001,BD!$A$3:$A$5001,P$3,BD!$B$3:$B$5001,$A$301)))</f>
        <v/>
      </c>
      <c r="Q314" s="271" t="str">
        <f>IF(Q$3="","",IF(COUNTIFS(BD!$A$3:$A$5001,Q$3,BD!$B$3:$B$5001,$A$301,BD!$P$3:$P$5001,"&lt;&gt;")=0,"",SUMIFS(BD!$P$3:$P$5001,BD!$A$3:$A$5001,Q$3,BD!$B$3:$B$5001,$A$301)))</f>
        <v/>
      </c>
      <c r="R314" s="271" t="str">
        <f>IF(R$3="","",IF(COUNTIFS(BD!$A$3:$A$5001,R$3,BD!$B$3:$B$5001,$A$301,BD!$P$3:$P$5001,"&lt;&gt;")=0,"",SUMIFS(BD!$P$3:$P$5001,BD!$A$3:$A$5001,R$3,BD!$B$3:$B$5001,$A$301)))</f>
        <v/>
      </c>
      <c r="S314" s="271" t="str">
        <f>IF(S$3="","",IF(COUNTIFS(BD!$A$3:$A$5001,S$3,BD!$B$3:$B$5001,$A$301,BD!$P$3:$P$5001,"&lt;&gt;")=0,"",SUMIFS(BD!$P$3:$P$5001,BD!$A$3:$A$5001,S$3,BD!$B$3:$B$5001,$A$301)))</f>
        <v/>
      </c>
      <c r="T314" s="271" t="str">
        <f>IF(T$3="","",IF(COUNTIFS(BD!$A$3:$A$5001,T$3,BD!$B$3:$B$5001,$A$301,BD!$P$3:$P$5001,"&lt;&gt;")=0,"",SUMIFS(BD!$P$3:$P$5001,BD!$A$3:$A$5001,T$3,BD!$B$3:$B$5001,$A$301)))</f>
        <v/>
      </c>
      <c r="U314" s="271" t="str">
        <f>IF(U$3="","",IF(COUNTIFS(BD!$A$3:$A$5001,U$3,BD!$B$3:$B$5001,$A$301,BD!$P$3:$P$5001,"&lt;&gt;")=0,"",SUMIFS(BD!$P$3:$P$5001,BD!$A$3:$A$5001,U$3,BD!$B$3:$B$5001,$A$301)))</f>
        <v/>
      </c>
      <c r="V314" s="271" t="str">
        <f>IF(V$3="","",IF(COUNTIFS(BD!$A$3:$A$5001,V$3,BD!$B$3:$B$5001,$A$301,BD!$P$3:$P$5001,"&lt;&gt;")=0,"",SUMIFS(BD!$P$3:$P$5001,BD!$A$3:$A$5001,V$3,BD!$B$3:$B$5001,$A$301)))</f>
        <v/>
      </c>
      <c r="W314" s="271" t="str">
        <f>IF(W$3="","",IF(COUNTIFS(BD!$A$3:$A$5001,W$3,BD!$B$3:$B$5001,$A$301,BD!$P$3:$P$5001,"&lt;&gt;")=0,"",SUMIFS(BD!$P$3:$P$5001,BD!$A$3:$A$5001,W$3,BD!$B$3:$B$5001,$A$301)))</f>
        <v/>
      </c>
      <c r="X314" s="271" t="str">
        <f>IF(X$3="","",IF(COUNTIFS(BD!$A$3:$A$5001,X$3,BD!$B$3:$B$5001,$A$301,BD!$P$3:$P$5001,"&lt;&gt;")=0,"",SUMIFS(BD!$P$3:$P$5001,BD!$A$3:$A$5001,X$3,BD!$B$3:$B$5001,$A$301)))</f>
        <v/>
      </c>
      <c r="Y314" s="271" t="str">
        <f>IF(Y$3="","",IF(COUNTIFS(BD!$A$3:$A$5001,Y$3,BD!$B$3:$B$5001,$A$301,BD!$P$3:$P$5001,"&lt;&gt;")=0,"",SUMIFS(BD!$P$3:$P$5001,BD!$A$3:$A$5001,Y$3,BD!$B$3:$B$5001,$A$301)))</f>
        <v/>
      </c>
      <c r="Z314" s="271" t="str">
        <f>IF(Z$3="","",IF(COUNTIFS(BD!$A$3:$A$5001,Z$3,BD!$B$3:$B$5001,$A$301,BD!$P$3:$P$5001,"&lt;&gt;")=0,"",SUMIFS(BD!$P$3:$P$5001,BD!$A$3:$A$5001,Z$3,BD!$B$3:$B$5001,$A$301)))</f>
        <v/>
      </c>
      <c r="AA314" s="271" t="str">
        <f>IF(AA$3="","",IF(COUNTIFS(BD!$A$3:$A$5001,AA$3,BD!$B$3:$B$5001,$A$301,BD!$P$3:$P$5001,"&lt;&gt;")=0,"",SUMIFS(BD!$P$3:$P$5001,BD!$A$3:$A$5001,AA$3,BD!$B$3:$B$5001,$A$301)))</f>
        <v/>
      </c>
      <c r="AB314" s="271" t="str">
        <f>IF(AB$3="","",IF(COUNTIFS(BD!$A$3:$A$5001,AB$3,BD!$B$3:$B$5001,$A$301,BD!$P$3:$P$5001,"&lt;&gt;")=0,"",SUMIFS(BD!$P$3:$P$5001,BD!$A$3:$A$5001,AB$3,BD!$B$3:$B$5001,$A$301)))</f>
        <v/>
      </c>
      <c r="AC314" s="271" t="str">
        <f>IF(AC$3="","",IF(COUNTIFS(BD!$A$3:$A$5001,AC$3,BD!$B$3:$B$5001,$A$301,BD!$P$3:$P$5001,"&lt;&gt;")=0,"",SUMIFS(BD!$P$3:$P$5001,BD!$A$3:$A$5001,AC$3,BD!$B$3:$B$5001,$A$301)))</f>
        <v/>
      </c>
      <c r="AD314" s="271" t="str">
        <f>IF(AD$3="","",IF(COUNTIFS(BD!$A$3:$A$5001,AD$3,BD!$B$3:$B$5001,$A$301,BD!$P$3:$P$5001,"&lt;&gt;")=0,"",SUMIFS(BD!$P$3:$P$5001,BD!$A$3:$A$5001,AD$3,BD!$B$3:$B$5001,$A$301)))</f>
        <v/>
      </c>
      <c r="AE314" s="271" t="str">
        <f>IF(AE$3="","",IF(COUNTIFS(BD!$A$3:$A$5001,AE$3,BD!$B$3:$B$5001,$A$301,BD!$P$3:$P$5001,"&lt;&gt;")=0,"",SUMIFS(BD!$P$3:$P$5001,BD!$A$3:$A$5001,AE$3,BD!$B$3:$B$5001,$A$301)))</f>
        <v/>
      </c>
      <c r="AF314" s="271" t="str">
        <f>IF(AF$3="","",IF(COUNTIFS(BD!$A$3:$A$5001,AF$3,BD!$B$3:$B$5001,$A$301,BD!$P$3:$P$5001,"&lt;&gt;")=0,"",SUMIFS(BD!$P$3:$P$5001,BD!$A$3:$A$5001,AF$3,BD!$B$3:$B$5001,$A$301)))</f>
        <v/>
      </c>
      <c r="AG314" s="271" t="str">
        <f>IF(AG$3="","",IF(COUNTIFS(BD!$A$3:$A$5001,AG$3,BD!$B$3:$B$5001,$A$301,BD!$P$3:$P$5001,"&lt;&gt;")=0,"",SUMIFS(BD!$P$3:$P$5001,BD!$A$3:$A$5001,AG$3,BD!$B$3:$B$5001,$A$301)))</f>
        <v/>
      </c>
      <c r="AH314" s="271" t="str">
        <f>IF(AH$3="","",IF(COUNTIFS(BD!$A$3:$A$5001,AH$3,BD!$B$3:$B$5001,$A$301,BD!$P$3:$P$5001,"&lt;&gt;")=0,"",SUMIFS(BD!$P$3:$P$5001,BD!$A$3:$A$5001,AH$3,BD!$B$3:$B$5001,$A$301)))</f>
        <v/>
      </c>
      <c r="AI314" s="271" t="str">
        <f>IF(AI$3="","",IF(COUNTIFS(BD!$A$3:$A$5001,AI$3,BD!$B$3:$B$5001,$A$301,BD!$P$3:$P$5001,"&lt;&gt;")=0,"",SUMIFS(BD!$P$3:$P$5001,BD!$A$3:$A$5001,AI$3,BD!$B$3:$B$5001,$A$301)))</f>
        <v/>
      </c>
      <c r="AJ314" s="272" t="str">
        <f>IF(AJ$3="","",IF(COUNTIFS(BD!$A$3:$A$5001,AJ$3,BD!$B$3:$B$5001,$A$301,BD!$P$3:$P$5001,"&lt;&gt;")=0,"",SUMIFS(BD!$P$3:$P$5001,BD!$A$3:$A$5001,AJ$3,BD!$B$3:$B$5001,$A$301)))</f>
        <v/>
      </c>
      <c r="AK314" s="273" t="str">
        <f>IF(COUNT(F314:AJ314)=0,"",SUM(F314:AJ314))</f>
        <v/>
      </c>
    </row>
    <row r="315" ht="15.75" customHeight="1" hidden="1">
      <c r="A315" s="261"/>
      <c r="B315" s="278"/>
      <c r="C315" s="267" t="inlineStr">
        <is>
          <t xml:space="preserve">Caixas Expedidas</t>
        </is>
      </c>
      <c r="D315" s="268" t="str">
        <f>IFERROR(1/(1/INDEX(BD!$AL$37:$BF$37,MATCH($A$301,BD!$AL$22:$BF$22,0))),"")</f>
        <v/>
      </c>
      <c r="E315" s="269"/>
      <c r="F315" s="270" t="str">
        <f>IF(F$3="","",IF(COUNTIFS(BD!$A$3:$A$5001,F$3,BD!$B$3:$B$5001,$A$301,BD!$Q$3:$Q$5001,"&lt;&gt;")=0,"",SUMIFS(BD!$Q$3:$Q$5001,BD!$A$3:$A$5001,F$3,BD!$B$3:$B$5001,$A$301)))</f>
        <v/>
      </c>
      <c r="G315" s="271" t="str">
        <f>IF(G$3="","",IF(COUNTIFS(BD!$A$3:$A$5001,G$3,BD!$B$3:$B$5001,$A$301,BD!$Q$3:$Q$5001,"&lt;&gt;")=0,"",SUMIFS(BD!$Q$3:$Q$5001,BD!$A$3:$A$5001,G$3,BD!$B$3:$B$5001,$A$301)))</f>
        <v/>
      </c>
      <c r="H315" s="271" t="str">
        <f>IF(H$3="","",IF(COUNTIFS(BD!$A$3:$A$5001,H$3,BD!$B$3:$B$5001,$A$301,BD!$Q$3:$Q$5001,"&lt;&gt;")=0,"",SUMIFS(BD!$Q$3:$Q$5001,BD!$A$3:$A$5001,H$3,BD!$B$3:$B$5001,$A$301)))</f>
        <v/>
      </c>
      <c r="I315" s="271" t="str">
        <f>IF(I$3="","",IF(COUNTIFS(BD!$A$3:$A$5001,I$3,BD!$B$3:$B$5001,$A$301,BD!$Q$3:$Q$5001,"&lt;&gt;")=0,"",SUMIFS(BD!$Q$3:$Q$5001,BD!$A$3:$A$5001,I$3,BD!$B$3:$B$5001,$A$301)))</f>
        <v/>
      </c>
      <c r="J315" s="271" t="str">
        <f>IF(J$3="","",IF(COUNTIFS(BD!$A$3:$A$5001,J$3,BD!$B$3:$B$5001,$A$301,BD!$Q$3:$Q$5001,"&lt;&gt;")=0,"",SUMIFS(BD!$Q$3:$Q$5001,BD!$A$3:$A$5001,J$3,BD!$B$3:$B$5001,$A$301)))</f>
        <v/>
      </c>
      <c r="K315" s="271" t="str">
        <f>IF(K$3="","",IF(COUNTIFS(BD!$A$3:$A$5001,K$3,BD!$B$3:$B$5001,$A$301,BD!$Q$3:$Q$5001,"&lt;&gt;")=0,"",SUMIFS(BD!$Q$3:$Q$5001,BD!$A$3:$A$5001,K$3,BD!$B$3:$B$5001,$A$301)))</f>
        <v/>
      </c>
      <c r="L315" s="271" t="str">
        <f>IF(L$3="","",IF(COUNTIFS(BD!$A$3:$A$5001,L$3,BD!$B$3:$B$5001,$A$301,BD!$Q$3:$Q$5001,"&lt;&gt;")=0,"",SUMIFS(BD!$Q$3:$Q$5001,BD!$A$3:$A$5001,L$3,BD!$B$3:$B$5001,$A$301)))</f>
        <v/>
      </c>
      <c r="M315" s="271" t="str">
        <f>IF(M$3="","",IF(COUNTIFS(BD!$A$3:$A$5001,M$3,BD!$B$3:$B$5001,$A$301,BD!$Q$3:$Q$5001,"&lt;&gt;")=0,"",SUMIFS(BD!$Q$3:$Q$5001,BD!$A$3:$A$5001,M$3,BD!$B$3:$B$5001,$A$301)))</f>
        <v/>
      </c>
      <c r="N315" s="271" t="str">
        <f>IF(N$3="","",IF(COUNTIFS(BD!$A$3:$A$5001,N$3,BD!$B$3:$B$5001,$A$301,BD!$Q$3:$Q$5001,"&lt;&gt;")=0,"",SUMIFS(BD!$Q$3:$Q$5001,BD!$A$3:$A$5001,N$3,BD!$B$3:$B$5001,$A$301)))</f>
        <v/>
      </c>
      <c r="O315" s="271" t="str">
        <f>IF(O$3="","",IF(COUNTIFS(BD!$A$3:$A$5001,O$3,BD!$B$3:$B$5001,$A$301,BD!$Q$3:$Q$5001,"&lt;&gt;")=0,"",SUMIFS(BD!$Q$3:$Q$5001,BD!$A$3:$A$5001,O$3,BD!$B$3:$B$5001,$A$301)))</f>
        <v/>
      </c>
      <c r="P315" s="271" t="str">
        <f>IF(P$3="","",IF(COUNTIFS(BD!$A$3:$A$5001,P$3,BD!$B$3:$B$5001,$A$301,BD!$Q$3:$Q$5001,"&lt;&gt;")=0,"",SUMIFS(BD!$Q$3:$Q$5001,BD!$A$3:$A$5001,P$3,BD!$B$3:$B$5001,$A$301)))</f>
        <v/>
      </c>
      <c r="Q315" s="271" t="str">
        <f>IF(Q$3="","",IF(COUNTIFS(BD!$A$3:$A$5001,Q$3,BD!$B$3:$B$5001,$A$301,BD!$Q$3:$Q$5001,"&lt;&gt;")=0,"",SUMIFS(BD!$Q$3:$Q$5001,BD!$A$3:$A$5001,Q$3,BD!$B$3:$B$5001,$A$301)))</f>
        <v/>
      </c>
      <c r="R315" s="271" t="str">
        <f>IF(R$3="","",IF(COUNTIFS(BD!$A$3:$A$5001,R$3,BD!$B$3:$B$5001,$A$301,BD!$Q$3:$Q$5001,"&lt;&gt;")=0,"",SUMIFS(BD!$Q$3:$Q$5001,BD!$A$3:$A$5001,R$3,BD!$B$3:$B$5001,$A$301)))</f>
        <v/>
      </c>
      <c r="S315" s="271" t="str">
        <f>IF(S$3="","",IF(COUNTIFS(BD!$A$3:$A$5001,S$3,BD!$B$3:$B$5001,$A$301,BD!$Q$3:$Q$5001,"&lt;&gt;")=0,"",SUMIFS(BD!$Q$3:$Q$5001,BD!$A$3:$A$5001,S$3,BD!$B$3:$B$5001,$A$301)))</f>
        <v/>
      </c>
      <c r="T315" s="271" t="str">
        <f>IF(T$3="","",IF(COUNTIFS(BD!$A$3:$A$5001,T$3,BD!$B$3:$B$5001,$A$301,BD!$Q$3:$Q$5001,"&lt;&gt;")=0,"",SUMIFS(BD!$Q$3:$Q$5001,BD!$A$3:$A$5001,T$3,BD!$B$3:$B$5001,$A$301)))</f>
        <v/>
      </c>
      <c r="U315" s="271" t="str">
        <f>IF(U$3="","",IF(COUNTIFS(BD!$A$3:$A$5001,U$3,BD!$B$3:$B$5001,$A$301,BD!$Q$3:$Q$5001,"&lt;&gt;")=0,"",SUMIFS(BD!$Q$3:$Q$5001,BD!$A$3:$A$5001,U$3,BD!$B$3:$B$5001,$A$301)))</f>
        <v/>
      </c>
      <c r="V315" s="271" t="str">
        <f>IF(V$3="","",IF(COUNTIFS(BD!$A$3:$A$5001,V$3,BD!$B$3:$B$5001,$A$301,BD!$Q$3:$Q$5001,"&lt;&gt;")=0,"",SUMIFS(BD!$Q$3:$Q$5001,BD!$A$3:$A$5001,V$3,BD!$B$3:$B$5001,$A$301)))</f>
        <v/>
      </c>
      <c r="W315" s="271" t="str">
        <f>IF(W$3="","",IF(COUNTIFS(BD!$A$3:$A$5001,W$3,BD!$B$3:$B$5001,$A$301,BD!$Q$3:$Q$5001,"&lt;&gt;")=0,"",SUMIFS(BD!$Q$3:$Q$5001,BD!$A$3:$A$5001,W$3,BD!$B$3:$B$5001,$A$301)))</f>
        <v/>
      </c>
      <c r="X315" s="271" t="str">
        <f>IF(X$3="","",IF(COUNTIFS(BD!$A$3:$A$5001,X$3,BD!$B$3:$B$5001,$A$301,BD!$Q$3:$Q$5001,"&lt;&gt;")=0,"",SUMIFS(BD!$Q$3:$Q$5001,BD!$A$3:$A$5001,X$3,BD!$B$3:$B$5001,$A$301)))</f>
        <v/>
      </c>
      <c r="Y315" s="271" t="str">
        <f>IF(Y$3="","",IF(COUNTIFS(BD!$A$3:$A$5001,Y$3,BD!$B$3:$B$5001,$A$301,BD!$Q$3:$Q$5001,"&lt;&gt;")=0,"",SUMIFS(BD!$Q$3:$Q$5001,BD!$A$3:$A$5001,Y$3,BD!$B$3:$B$5001,$A$301)))</f>
        <v/>
      </c>
      <c r="Z315" s="271" t="str">
        <f>IF(Z$3="","",IF(COUNTIFS(BD!$A$3:$A$5001,Z$3,BD!$B$3:$B$5001,$A$301,BD!$Q$3:$Q$5001,"&lt;&gt;")=0,"",SUMIFS(BD!$Q$3:$Q$5001,BD!$A$3:$A$5001,Z$3,BD!$B$3:$B$5001,$A$301)))</f>
        <v/>
      </c>
      <c r="AA315" s="271" t="str">
        <f>IF(AA$3="","",IF(COUNTIFS(BD!$A$3:$A$5001,AA$3,BD!$B$3:$B$5001,$A$301,BD!$Q$3:$Q$5001,"&lt;&gt;")=0,"",SUMIFS(BD!$Q$3:$Q$5001,BD!$A$3:$A$5001,AA$3,BD!$B$3:$B$5001,$A$301)))</f>
        <v/>
      </c>
      <c r="AB315" s="271" t="str">
        <f>IF(AB$3="","",IF(COUNTIFS(BD!$A$3:$A$5001,AB$3,BD!$B$3:$B$5001,$A$301,BD!$Q$3:$Q$5001,"&lt;&gt;")=0,"",SUMIFS(BD!$Q$3:$Q$5001,BD!$A$3:$A$5001,AB$3,BD!$B$3:$B$5001,$A$301)))</f>
        <v/>
      </c>
      <c r="AC315" s="271" t="str">
        <f>IF(AC$3="","",IF(COUNTIFS(BD!$A$3:$A$5001,AC$3,BD!$B$3:$B$5001,$A$301,BD!$Q$3:$Q$5001,"&lt;&gt;")=0,"",SUMIFS(BD!$Q$3:$Q$5001,BD!$A$3:$A$5001,AC$3,BD!$B$3:$B$5001,$A$301)))</f>
        <v/>
      </c>
      <c r="AD315" s="271" t="str">
        <f>IF(AD$3="","",IF(COUNTIFS(BD!$A$3:$A$5001,AD$3,BD!$B$3:$B$5001,$A$301,BD!$Q$3:$Q$5001,"&lt;&gt;")=0,"",SUMIFS(BD!$Q$3:$Q$5001,BD!$A$3:$A$5001,AD$3,BD!$B$3:$B$5001,$A$301)))</f>
        <v/>
      </c>
      <c r="AE315" s="271" t="str">
        <f>IF(AE$3="","",IF(COUNTIFS(BD!$A$3:$A$5001,AE$3,BD!$B$3:$B$5001,$A$301,BD!$Q$3:$Q$5001,"&lt;&gt;")=0,"",SUMIFS(BD!$Q$3:$Q$5001,BD!$A$3:$A$5001,AE$3,BD!$B$3:$B$5001,$A$301)))</f>
        <v/>
      </c>
      <c r="AF315" s="271" t="str">
        <f>IF(AF$3="","",IF(COUNTIFS(BD!$A$3:$A$5001,AF$3,BD!$B$3:$B$5001,$A$301,BD!$Q$3:$Q$5001,"&lt;&gt;")=0,"",SUMIFS(BD!$Q$3:$Q$5001,BD!$A$3:$A$5001,AF$3,BD!$B$3:$B$5001,$A$301)))</f>
        <v/>
      </c>
      <c r="AG315" s="271" t="str">
        <f>IF(AG$3="","",IF(COUNTIFS(BD!$A$3:$A$5001,AG$3,BD!$B$3:$B$5001,$A$301,BD!$Q$3:$Q$5001,"&lt;&gt;")=0,"",SUMIFS(BD!$Q$3:$Q$5001,BD!$A$3:$A$5001,AG$3,BD!$B$3:$B$5001,$A$301)))</f>
        <v/>
      </c>
      <c r="AH315" s="271" t="str">
        <f>IF(AH$3="","",IF(COUNTIFS(BD!$A$3:$A$5001,AH$3,BD!$B$3:$B$5001,$A$301,BD!$Q$3:$Q$5001,"&lt;&gt;")=0,"",SUMIFS(BD!$Q$3:$Q$5001,BD!$A$3:$A$5001,AH$3,BD!$B$3:$B$5001,$A$301)))</f>
        <v/>
      </c>
      <c r="AI315" s="271" t="str">
        <f>IF(AI$3="","",IF(COUNTIFS(BD!$A$3:$A$5001,AI$3,BD!$B$3:$B$5001,$A$301,BD!$Q$3:$Q$5001,"&lt;&gt;")=0,"",SUMIFS(BD!$Q$3:$Q$5001,BD!$A$3:$A$5001,AI$3,BD!$B$3:$B$5001,$A$301)))</f>
        <v/>
      </c>
      <c r="AJ315" s="272" t="str">
        <f>IF(AJ$3="","",IF(COUNTIFS(BD!$A$3:$A$5001,AJ$3,BD!$B$3:$B$5001,$A$301,BD!$Q$3:$Q$5001,"&lt;&gt;")=0,"",SUMIFS(BD!$Q$3:$Q$5001,BD!$A$3:$A$5001,AJ$3,BD!$B$3:$B$5001,$A$301)))</f>
        <v/>
      </c>
      <c r="AK315" s="273" t="str">
        <f>IF(COUNT(F315:AJ315)=0,"",SUM(F315:AJ315))</f>
        <v/>
      </c>
    </row>
    <row r="316" ht="15.75" customHeight="1" hidden="1">
      <c r="A316" s="261"/>
      <c r="B316" s="278"/>
      <c r="C316" s="267" t="inlineStr">
        <is>
          <t xml:space="preserve">Pallets Movimentados</t>
        </is>
      </c>
      <c r="D316" s="268" t="str">
        <f>IFERROR(1/(1/INDEX(BD!$AL$38:$BF$38,MATCH($A$301,BD!$AL$22:$BF$22,0))),"")</f>
        <v/>
      </c>
      <c r="E316" s="269"/>
      <c r="F316" s="270" t="str">
        <f>IF(F$3="","",IF(COUNTIFS(BD!$A$3:$A$5001,F$3,BD!$B$3:$B$5001,$A$301,BD!$R$3:$R$5001,"&lt;&gt;")=0,"",SUMIFS(BD!$R$3:$R$5001,BD!$A$3:$A$5001,F$3,BD!$B$3:$B$5001,$A$301)))</f>
        <v/>
      </c>
      <c r="G316" s="271" t="str">
        <f>IF(G$3="","",IF(COUNTIFS(BD!$A$3:$A$5001,G$3,BD!$B$3:$B$5001,$A$301,BD!$R$3:$R$5001,"&lt;&gt;")=0,"",SUMIFS(BD!$R$3:$R$5001,BD!$A$3:$A$5001,G$3,BD!$B$3:$B$5001,$A$301)))</f>
        <v/>
      </c>
      <c r="H316" s="271" t="str">
        <f>IF(H$3="","",IF(COUNTIFS(BD!$A$3:$A$5001,H$3,BD!$B$3:$B$5001,$A$301,BD!$R$3:$R$5001,"&lt;&gt;")=0,"",SUMIFS(BD!$R$3:$R$5001,BD!$A$3:$A$5001,H$3,BD!$B$3:$B$5001,$A$301)))</f>
        <v/>
      </c>
      <c r="I316" s="271" t="str">
        <f>IF(I$3="","",IF(COUNTIFS(BD!$A$3:$A$5001,I$3,BD!$B$3:$B$5001,$A$301,BD!$R$3:$R$5001,"&lt;&gt;")=0,"",SUMIFS(BD!$R$3:$R$5001,BD!$A$3:$A$5001,I$3,BD!$B$3:$B$5001,$A$301)))</f>
        <v/>
      </c>
      <c r="J316" s="271" t="str">
        <f>IF(J$3="","",IF(COUNTIFS(BD!$A$3:$A$5001,J$3,BD!$B$3:$B$5001,$A$301,BD!$R$3:$R$5001,"&lt;&gt;")=0,"",SUMIFS(BD!$R$3:$R$5001,BD!$A$3:$A$5001,J$3,BD!$B$3:$B$5001,$A$301)))</f>
        <v/>
      </c>
      <c r="K316" s="271" t="str">
        <f>IF(K$3="","",IF(COUNTIFS(BD!$A$3:$A$5001,K$3,BD!$B$3:$B$5001,$A$301,BD!$R$3:$R$5001,"&lt;&gt;")=0,"",SUMIFS(BD!$R$3:$R$5001,BD!$A$3:$A$5001,K$3,BD!$B$3:$B$5001,$A$301)))</f>
        <v/>
      </c>
      <c r="L316" s="271" t="str">
        <f>IF(L$3="","",IF(COUNTIFS(BD!$A$3:$A$5001,L$3,BD!$B$3:$B$5001,$A$301,BD!$R$3:$R$5001,"&lt;&gt;")=0,"",SUMIFS(BD!$R$3:$R$5001,BD!$A$3:$A$5001,L$3,BD!$B$3:$B$5001,$A$301)))</f>
        <v/>
      </c>
      <c r="M316" s="271" t="str">
        <f>IF(M$3="","",IF(COUNTIFS(BD!$A$3:$A$5001,M$3,BD!$B$3:$B$5001,$A$301,BD!$R$3:$R$5001,"&lt;&gt;")=0,"",SUMIFS(BD!$R$3:$R$5001,BD!$A$3:$A$5001,M$3,BD!$B$3:$B$5001,$A$301)))</f>
        <v/>
      </c>
      <c r="N316" s="271" t="str">
        <f>IF(N$3="","",IF(COUNTIFS(BD!$A$3:$A$5001,N$3,BD!$B$3:$B$5001,$A$301,BD!$R$3:$R$5001,"&lt;&gt;")=0,"",SUMIFS(BD!$R$3:$R$5001,BD!$A$3:$A$5001,N$3,BD!$B$3:$B$5001,$A$301)))</f>
        <v/>
      </c>
      <c r="O316" s="271" t="str">
        <f>IF(O$3="","",IF(COUNTIFS(BD!$A$3:$A$5001,O$3,BD!$B$3:$B$5001,$A$301,BD!$R$3:$R$5001,"&lt;&gt;")=0,"",SUMIFS(BD!$R$3:$R$5001,BD!$A$3:$A$5001,O$3,BD!$B$3:$B$5001,$A$301)))</f>
        <v/>
      </c>
      <c r="P316" s="271" t="str">
        <f>IF(P$3="","",IF(COUNTIFS(BD!$A$3:$A$5001,P$3,BD!$B$3:$B$5001,$A$301,BD!$R$3:$R$5001,"&lt;&gt;")=0,"",SUMIFS(BD!$R$3:$R$5001,BD!$A$3:$A$5001,P$3,BD!$B$3:$B$5001,$A$301)))</f>
        <v/>
      </c>
      <c r="Q316" s="271" t="str">
        <f>IF(Q$3="","",IF(COUNTIFS(BD!$A$3:$A$5001,Q$3,BD!$B$3:$B$5001,$A$301,BD!$R$3:$R$5001,"&lt;&gt;")=0,"",SUMIFS(BD!$R$3:$R$5001,BD!$A$3:$A$5001,Q$3,BD!$B$3:$B$5001,$A$301)))</f>
        <v/>
      </c>
      <c r="R316" s="271" t="str">
        <f>IF(R$3="","",IF(COUNTIFS(BD!$A$3:$A$5001,R$3,BD!$B$3:$B$5001,$A$301,BD!$R$3:$R$5001,"&lt;&gt;")=0,"",SUMIFS(BD!$R$3:$R$5001,BD!$A$3:$A$5001,R$3,BD!$B$3:$B$5001,$A$301)))</f>
        <v/>
      </c>
      <c r="S316" s="271" t="str">
        <f>IF(S$3="","",IF(COUNTIFS(BD!$A$3:$A$5001,S$3,BD!$B$3:$B$5001,$A$301,BD!$R$3:$R$5001,"&lt;&gt;")=0,"",SUMIFS(BD!$R$3:$R$5001,BD!$A$3:$A$5001,S$3,BD!$B$3:$B$5001,$A$301)))</f>
        <v/>
      </c>
      <c r="T316" s="271" t="str">
        <f>IF(T$3="","",IF(COUNTIFS(BD!$A$3:$A$5001,T$3,BD!$B$3:$B$5001,$A$301,BD!$R$3:$R$5001,"&lt;&gt;")=0,"",SUMIFS(BD!$R$3:$R$5001,BD!$A$3:$A$5001,T$3,BD!$B$3:$B$5001,$A$301)))</f>
        <v/>
      </c>
      <c r="U316" s="271" t="str">
        <f>IF(U$3="","",IF(COUNTIFS(BD!$A$3:$A$5001,U$3,BD!$B$3:$B$5001,$A$301,BD!$R$3:$R$5001,"&lt;&gt;")=0,"",SUMIFS(BD!$R$3:$R$5001,BD!$A$3:$A$5001,U$3,BD!$B$3:$B$5001,$A$301)))</f>
        <v/>
      </c>
      <c r="V316" s="271" t="str">
        <f>IF(V$3="","",IF(COUNTIFS(BD!$A$3:$A$5001,V$3,BD!$B$3:$B$5001,$A$301,BD!$R$3:$R$5001,"&lt;&gt;")=0,"",SUMIFS(BD!$R$3:$R$5001,BD!$A$3:$A$5001,V$3,BD!$B$3:$B$5001,$A$301)))</f>
        <v/>
      </c>
      <c r="W316" s="271" t="str">
        <f>IF(W$3="","",IF(COUNTIFS(BD!$A$3:$A$5001,W$3,BD!$B$3:$B$5001,$A$301,BD!$R$3:$R$5001,"&lt;&gt;")=0,"",SUMIFS(BD!$R$3:$R$5001,BD!$A$3:$A$5001,W$3,BD!$B$3:$B$5001,$A$301)))</f>
        <v/>
      </c>
      <c r="X316" s="271" t="str">
        <f>IF(X$3="","",IF(COUNTIFS(BD!$A$3:$A$5001,X$3,BD!$B$3:$B$5001,$A$301,BD!$R$3:$R$5001,"&lt;&gt;")=0,"",SUMIFS(BD!$R$3:$R$5001,BD!$A$3:$A$5001,X$3,BD!$B$3:$B$5001,$A$301)))</f>
        <v/>
      </c>
      <c r="Y316" s="271" t="str">
        <f>IF(Y$3="","",IF(COUNTIFS(BD!$A$3:$A$5001,Y$3,BD!$B$3:$B$5001,$A$301,BD!$R$3:$R$5001,"&lt;&gt;")=0,"",SUMIFS(BD!$R$3:$R$5001,BD!$A$3:$A$5001,Y$3,BD!$B$3:$B$5001,$A$301)))</f>
        <v/>
      </c>
      <c r="Z316" s="271" t="str">
        <f>IF(Z$3="","",IF(COUNTIFS(BD!$A$3:$A$5001,Z$3,BD!$B$3:$B$5001,$A$301,BD!$R$3:$R$5001,"&lt;&gt;")=0,"",SUMIFS(BD!$R$3:$R$5001,BD!$A$3:$A$5001,Z$3,BD!$B$3:$B$5001,$A$301)))</f>
        <v/>
      </c>
      <c r="AA316" s="271" t="str">
        <f>IF(AA$3="","",IF(COUNTIFS(BD!$A$3:$A$5001,AA$3,BD!$B$3:$B$5001,$A$301,BD!$R$3:$R$5001,"&lt;&gt;")=0,"",SUMIFS(BD!$R$3:$R$5001,BD!$A$3:$A$5001,AA$3,BD!$B$3:$B$5001,$A$301)))</f>
        <v/>
      </c>
      <c r="AB316" s="271" t="str">
        <f>IF(AB$3="","",IF(COUNTIFS(BD!$A$3:$A$5001,AB$3,BD!$B$3:$B$5001,$A$301,BD!$R$3:$R$5001,"&lt;&gt;")=0,"",SUMIFS(BD!$R$3:$R$5001,BD!$A$3:$A$5001,AB$3,BD!$B$3:$B$5001,$A$301)))</f>
        <v/>
      </c>
      <c r="AC316" s="271" t="str">
        <f>IF(AC$3="","",IF(COUNTIFS(BD!$A$3:$A$5001,AC$3,BD!$B$3:$B$5001,$A$301,BD!$R$3:$R$5001,"&lt;&gt;")=0,"",SUMIFS(BD!$R$3:$R$5001,BD!$A$3:$A$5001,AC$3,BD!$B$3:$B$5001,$A$301)))</f>
        <v/>
      </c>
      <c r="AD316" s="271" t="str">
        <f>IF(AD$3="","",IF(COUNTIFS(BD!$A$3:$A$5001,AD$3,BD!$B$3:$B$5001,$A$301,BD!$R$3:$R$5001,"&lt;&gt;")=0,"",SUMIFS(BD!$R$3:$R$5001,BD!$A$3:$A$5001,AD$3,BD!$B$3:$B$5001,$A$301)))</f>
        <v/>
      </c>
      <c r="AE316" s="271" t="str">
        <f>IF(AE$3="","",IF(COUNTIFS(BD!$A$3:$A$5001,AE$3,BD!$B$3:$B$5001,$A$301,BD!$R$3:$R$5001,"&lt;&gt;")=0,"",SUMIFS(BD!$R$3:$R$5001,BD!$A$3:$A$5001,AE$3,BD!$B$3:$B$5001,$A$301)))</f>
        <v/>
      </c>
      <c r="AF316" s="271" t="str">
        <f>IF(AF$3="","",IF(COUNTIFS(BD!$A$3:$A$5001,AF$3,BD!$B$3:$B$5001,$A$301,BD!$R$3:$R$5001,"&lt;&gt;")=0,"",SUMIFS(BD!$R$3:$R$5001,BD!$A$3:$A$5001,AF$3,BD!$B$3:$B$5001,$A$301)))</f>
        <v/>
      </c>
      <c r="AG316" s="271" t="str">
        <f>IF(AG$3="","",IF(COUNTIFS(BD!$A$3:$A$5001,AG$3,BD!$B$3:$B$5001,$A$301,BD!$R$3:$R$5001,"&lt;&gt;")=0,"",SUMIFS(BD!$R$3:$R$5001,BD!$A$3:$A$5001,AG$3,BD!$B$3:$B$5001,$A$301)))</f>
        <v/>
      </c>
      <c r="AH316" s="271" t="str">
        <f>IF(AH$3="","",IF(COUNTIFS(BD!$A$3:$A$5001,AH$3,BD!$B$3:$B$5001,$A$301,BD!$R$3:$R$5001,"&lt;&gt;")=0,"",SUMIFS(BD!$R$3:$R$5001,BD!$A$3:$A$5001,AH$3,BD!$B$3:$B$5001,$A$301)))</f>
        <v/>
      </c>
      <c r="AI316" s="271" t="str">
        <f>IF(AI$3="","",IF(COUNTIFS(BD!$A$3:$A$5001,AI$3,BD!$B$3:$B$5001,$A$301,BD!$R$3:$R$5001,"&lt;&gt;")=0,"",SUMIFS(BD!$R$3:$R$5001,BD!$A$3:$A$5001,AI$3,BD!$B$3:$B$5001,$A$301)))</f>
        <v/>
      </c>
      <c r="AJ316" s="272" t="str">
        <f>IF(AJ$3="","",IF(COUNTIFS(BD!$A$3:$A$5001,AJ$3,BD!$B$3:$B$5001,$A$301,BD!$R$3:$R$5001,"&lt;&gt;")=0,"",SUMIFS(BD!$R$3:$R$5001,BD!$A$3:$A$5001,AJ$3,BD!$B$3:$B$5001,$A$301)))</f>
        <v/>
      </c>
      <c r="AK316" s="273" t="str">
        <f>IF(COUNT(F316:AJ316)=0,"",SUM(F316:AJ316))</f>
        <v/>
      </c>
    </row>
    <row r="317" ht="15.75" customHeight="1" hidden="1">
      <c r="A317" s="261"/>
      <c r="B317" s="252"/>
      <c r="C317" s="188" t="inlineStr">
        <is>
          <t xml:space="preserve">Toneladas Movimentadas</t>
        </is>
      </c>
      <c r="D317" s="189" t="str">
        <f>IFERROR(1/(1/INDEX(BD!$AL$39:$BF$39,MATCH($A$301,BD!$AL$22:$BF$22,0))),"")</f>
        <v/>
      </c>
      <c r="E317" s="190"/>
      <c r="F317" s="274" t="str">
        <f>IF(F$3="","",IF(COUNTIFS(BD!$A$3:$A$5001,F$3,BD!$B$3:$B$5001,$A$301,BD!$S$3:$S$5001,"&lt;&gt;")=0,"",SUMIFS(BD!$S$3:$S$5001,BD!$A$3:$A$5001,F$3,BD!$B$3:$B$5001,$A$301)))</f>
        <v/>
      </c>
      <c r="G317" s="275" t="str">
        <f>IF(G$3="","",IF(COUNTIFS(BD!$A$3:$A$5001,G$3,BD!$B$3:$B$5001,$A$301,BD!$S$3:$S$5001,"&lt;&gt;")=0,"",SUMIFS(BD!$S$3:$S$5001,BD!$A$3:$A$5001,G$3,BD!$B$3:$B$5001,$A$301)))</f>
        <v/>
      </c>
      <c r="H317" s="275" t="str">
        <f>IF(H$3="","",IF(COUNTIFS(BD!$A$3:$A$5001,H$3,BD!$B$3:$B$5001,$A$301,BD!$S$3:$S$5001,"&lt;&gt;")=0,"",SUMIFS(BD!$S$3:$S$5001,BD!$A$3:$A$5001,H$3,BD!$B$3:$B$5001,$A$301)))</f>
        <v/>
      </c>
      <c r="I317" s="275" t="str">
        <f>IF(I$3="","",IF(COUNTIFS(BD!$A$3:$A$5001,I$3,BD!$B$3:$B$5001,$A$301,BD!$S$3:$S$5001,"&lt;&gt;")=0,"",SUMIFS(BD!$S$3:$S$5001,BD!$A$3:$A$5001,I$3,BD!$B$3:$B$5001,$A$301)))</f>
        <v/>
      </c>
      <c r="J317" s="275" t="str">
        <f>IF(J$3="","",IF(COUNTIFS(BD!$A$3:$A$5001,J$3,BD!$B$3:$B$5001,$A$301,BD!$S$3:$S$5001,"&lt;&gt;")=0,"",SUMIFS(BD!$S$3:$S$5001,BD!$A$3:$A$5001,J$3,BD!$B$3:$B$5001,$A$301)))</f>
        <v/>
      </c>
      <c r="K317" s="275" t="str">
        <f>IF(K$3="","",IF(COUNTIFS(BD!$A$3:$A$5001,K$3,BD!$B$3:$B$5001,$A$301,BD!$S$3:$S$5001,"&lt;&gt;")=0,"",SUMIFS(BD!$S$3:$S$5001,BD!$A$3:$A$5001,K$3,BD!$B$3:$B$5001,$A$301)))</f>
        <v/>
      </c>
      <c r="L317" s="275" t="str">
        <f>IF(L$3="","",IF(COUNTIFS(BD!$A$3:$A$5001,L$3,BD!$B$3:$B$5001,$A$301,BD!$S$3:$S$5001,"&lt;&gt;")=0,"",SUMIFS(BD!$S$3:$S$5001,BD!$A$3:$A$5001,L$3,BD!$B$3:$B$5001,$A$301)))</f>
        <v/>
      </c>
      <c r="M317" s="275" t="str">
        <f>IF(M$3="","",IF(COUNTIFS(BD!$A$3:$A$5001,M$3,BD!$B$3:$B$5001,$A$301,BD!$S$3:$S$5001,"&lt;&gt;")=0,"",SUMIFS(BD!$S$3:$S$5001,BD!$A$3:$A$5001,M$3,BD!$B$3:$B$5001,$A$301)))</f>
        <v/>
      </c>
      <c r="N317" s="275" t="str">
        <f>IF(N$3="","",IF(COUNTIFS(BD!$A$3:$A$5001,N$3,BD!$B$3:$B$5001,$A$301,BD!$S$3:$S$5001,"&lt;&gt;")=0,"",SUMIFS(BD!$S$3:$S$5001,BD!$A$3:$A$5001,N$3,BD!$B$3:$B$5001,$A$301)))</f>
        <v/>
      </c>
      <c r="O317" s="275" t="str">
        <f>IF(O$3="","",IF(COUNTIFS(BD!$A$3:$A$5001,O$3,BD!$B$3:$B$5001,$A$301,BD!$S$3:$S$5001,"&lt;&gt;")=0,"",SUMIFS(BD!$S$3:$S$5001,BD!$A$3:$A$5001,O$3,BD!$B$3:$B$5001,$A$301)))</f>
        <v/>
      </c>
      <c r="P317" s="275" t="str">
        <f>IF(P$3="","",IF(COUNTIFS(BD!$A$3:$A$5001,P$3,BD!$B$3:$B$5001,$A$301,BD!$S$3:$S$5001,"&lt;&gt;")=0,"",SUMIFS(BD!$S$3:$S$5001,BD!$A$3:$A$5001,P$3,BD!$B$3:$B$5001,$A$301)))</f>
        <v/>
      </c>
      <c r="Q317" s="275" t="str">
        <f>IF(Q$3="","",IF(COUNTIFS(BD!$A$3:$A$5001,Q$3,BD!$B$3:$B$5001,$A$301,BD!$S$3:$S$5001,"&lt;&gt;")=0,"",SUMIFS(BD!$S$3:$S$5001,BD!$A$3:$A$5001,Q$3,BD!$B$3:$B$5001,$A$301)))</f>
        <v/>
      </c>
      <c r="R317" s="275" t="str">
        <f>IF(R$3="","",IF(COUNTIFS(BD!$A$3:$A$5001,R$3,BD!$B$3:$B$5001,$A$301,BD!$S$3:$S$5001,"&lt;&gt;")=0,"",SUMIFS(BD!$S$3:$S$5001,BD!$A$3:$A$5001,R$3,BD!$B$3:$B$5001,$A$301)))</f>
        <v/>
      </c>
      <c r="S317" s="275" t="str">
        <f>IF(S$3="","",IF(COUNTIFS(BD!$A$3:$A$5001,S$3,BD!$B$3:$B$5001,$A$301,BD!$S$3:$S$5001,"&lt;&gt;")=0,"",SUMIFS(BD!$S$3:$S$5001,BD!$A$3:$A$5001,S$3,BD!$B$3:$B$5001,$A$301)))</f>
        <v/>
      </c>
      <c r="T317" s="275" t="str">
        <f>IF(T$3="","",IF(COUNTIFS(BD!$A$3:$A$5001,T$3,BD!$B$3:$B$5001,$A$301,BD!$S$3:$S$5001,"&lt;&gt;")=0,"",SUMIFS(BD!$S$3:$S$5001,BD!$A$3:$A$5001,T$3,BD!$B$3:$B$5001,$A$301)))</f>
        <v/>
      </c>
      <c r="U317" s="275" t="str">
        <f>IF(U$3="","",IF(COUNTIFS(BD!$A$3:$A$5001,U$3,BD!$B$3:$B$5001,$A$301,BD!$S$3:$S$5001,"&lt;&gt;")=0,"",SUMIFS(BD!$S$3:$S$5001,BD!$A$3:$A$5001,U$3,BD!$B$3:$B$5001,$A$301)))</f>
        <v/>
      </c>
      <c r="V317" s="275" t="str">
        <f>IF(V$3="","",IF(COUNTIFS(BD!$A$3:$A$5001,V$3,BD!$B$3:$B$5001,$A$301,BD!$S$3:$S$5001,"&lt;&gt;")=0,"",SUMIFS(BD!$S$3:$S$5001,BD!$A$3:$A$5001,V$3,BD!$B$3:$B$5001,$A$301)))</f>
        <v/>
      </c>
      <c r="W317" s="275" t="str">
        <f>IF(W$3="","",IF(COUNTIFS(BD!$A$3:$A$5001,W$3,BD!$B$3:$B$5001,$A$301,BD!$S$3:$S$5001,"&lt;&gt;")=0,"",SUMIFS(BD!$S$3:$S$5001,BD!$A$3:$A$5001,W$3,BD!$B$3:$B$5001,$A$301)))</f>
        <v/>
      </c>
      <c r="X317" s="275" t="str">
        <f>IF(X$3="","",IF(COUNTIFS(BD!$A$3:$A$5001,X$3,BD!$B$3:$B$5001,$A$301,BD!$S$3:$S$5001,"&lt;&gt;")=0,"",SUMIFS(BD!$S$3:$S$5001,BD!$A$3:$A$5001,X$3,BD!$B$3:$B$5001,$A$301)))</f>
        <v/>
      </c>
      <c r="Y317" s="275" t="str">
        <f>IF(Y$3="","",IF(COUNTIFS(BD!$A$3:$A$5001,Y$3,BD!$B$3:$B$5001,$A$301,BD!$S$3:$S$5001,"&lt;&gt;")=0,"",SUMIFS(BD!$S$3:$S$5001,BD!$A$3:$A$5001,Y$3,BD!$B$3:$B$5001,$A$301)))</f>
        <v/>
      </c>
      <c r="Z317" s="275" t="str">
        <f>IF(Z$3="","",IF(COUNTIFS(BD!$A$3:$A$5001,Z$3,BD!$B$3:$B$5001,$A$301,BD!$S$3:$S$5001,"&lt;&gt;")=0,"",SUMIFS(BD!$S$3:$S$5001,BD!$A$3:$A$5001,Z$3,BD!$B$3:$B$5001,$A$301)))</f>
        <v/>
      </c>
      <c r="AA317" s="275" t="str">
        <f>IF(AA$3="","",IF(COUNTIFS(BD!$A$3:$A$5001,AA$3,BD!$B$3:$B$5001,$A$301,BD!$S$3:$S$5001,"&lt;&gt;")=0,"",SUMIFS(BD!$S$3:$S$5001,BD!$A$3:$A$5001,AA$3,BD!$B$3:$B$5001,$A$301)))</f>
        <v/>
      </c>
      <c r="AB317" s="275" t="str">
        <f>IF(AB$3="","",IF(COUNTIFS(BD!$A$3:$A$5001,AB$3,BD!$B$3:$B$5001,$A$301,BD!$S$3:$S$5001,"&lt;&gt;")=0,"",SUMIFS(BD!$S$3:$S$5001,BD!$A$3:$A$5001,AB$3,BD!$B$3:$B$5001,$A$301)))</f>
        <v/>
      </c>
      <c r="AC317" s="275" t="str">
        <f>IF(AC$3="","",IF(COUNTIFS(BD!$A$3:$A$5001,AC$3,BD!$B$3:$B$5001,$A$301,BD!$S$3:$S$5001,"&lt;&gt;")=0,"",SUMIFS(BD!$S$3:$S$5001,BD!$A$3:$A$5001,AC$3,BD!$B$3:$B$5001,$A$301)))</f>
        <v/>
      </c>
      <c r="AD317" s="275" t="str">
        <f>IF(AD$3="","",IF(COUNTIFS(BD!$A$3:$A$5001,AD$3,BD!$B$3:$B$5001,$A$301,BD!$S$3:$S$5001,"&lt;&gt;")=0,"",SUMIFS(BD!$S$3:$S$5001,BD!$A$3:$A$5001,AD$3,BD!$B$3:$B$5001,$A$301)))</f>
        <v/>
      </c>
      <c r="AE317" s="275" t="str">
        <f>IF(AE$3="","",IF(COUNTIFS(BD!$A$3:$A$5001,AE$3,BD!$B$3:$B$5001,$A$301,BD!$S$3:$S$5001,"&lt;&gt;")=0,"",SUMIFS(BD!$S$3:$S$5001,BD!$A$3:$A$5001,AE$3,BD!$B$3:$B$5001,$A$301)))</f>
        <v/>
      </c>
      <c r="AF317" s="275" t="str">
        <f>IF(AF$3="","",IF(COUNTIFS(BD!$A$3:$A$5001,AF$3,BD!$B$3:$B$5001,$A$301,BD!$S$3:$S$5001,"&lt;&gt;")=0,"",SUMIFS(BD!$S$3:$S$5001,BD!$A$3:$A$5001,AF$3,BD!$B$3:$B$5001,$A$301)))</f>
        <v/>
      </c>
      <c r="AG317" s="275" t="str">
        <f>IF(AG$3="","",IF(COUNTIFS(BD!$A$3:$A$5001,AG$3,BD!$B$3:$B$5001,$A$301,BD!$S$3:$S$5001,"&lt;&gt;")=0,"",SUMIFS(BD!$S$3:$S$5001,BD!$A$3:$A$5001,AG$3,BD!$B$3:$B$5001,$A$301)))</f>
        <v/>
      </c>
      <c r="AH317" s="275" t="str">
        <f>IF(AH$3="","",IF(COUNTIFS(BD!$A$3:$A$5001,AH$3,BD!$B$3:$B$5001,$A$301,BD!$S$3:$S$5001,"&lt;&gt;")=0,"",SUMIFS(BD!$S$3:$S$5001,BD!$A$3:$A$5001,AH$3,BD!$B$3:$B$5001,$A$301)))</f>
        <v/>
      </c>
      <c r="AI317" s="275" t="str">
        <f>IF(AI$3="","",IF(COUNTIFS(BD!$A$3:$A$5001,AI$3,BD!$B$3:$B$5001,$A$301,BD!$S$3:$S$5001,"&lt;&gt;")=0,"",SUMIFS(BD!$S$3:$S$5001,BD!$A$3:$A$5001,AI$3,BD!$B$3:$B$5001,$A$301)))</f>
        <v/>
      </c>
      <c r="AJ317" s="276" t="str">
        <f>IF(AJ$3="","",IF(COUNTIFS(BD!$A$3:$A$5001,AJ$3,BD!$B$3:$B$5001,$A$301,BD!$S$3:$S$5001,"&lt;&gt;")=0,"",SUMIFS(BD!$S$3:$S$5001,BD!$A$3:$A$5001,AJ$3,BD!$B$3:$B$5001,$A$301)))</f>
        <v/>
      </c>
      <c r="AK317" s="277" t="str">
        <f>IF(COUNT(F317:AJ317)=0,"",SUM(F317:AJ317))</f>
        <v/>
      </c>
    </row>
    <row r="318" ht="15.75" customHeight="1" hidden="1">
      <c r="A318" s="261"/>
      <c r="B318" s="253" t="inlineStr">
        <is>
          <t xml:space="preserve">NC</t>
        </is>
      </c>
      <c r="C318" s="194" t="inlineStr">
        <is>
          <t xml:space="preserve">Incidentes</t>
        </is>
      </c>
      <c r="D318" s="195" t="str">
        <f>IFERROR(1/(1/INDEX(BD!$AL$40:$BF$40,MATCH($A$301,BD!$AL$22:$BF$22,0))),"")</f>
        <v/>
      </c>
      <c r="E318" s="196"/>
      <c r="F318" s="197" t="str">
        <f>IF(F$3="","",IF(COUNTIFS(BD!$A$3:$A$5001,F$3,BD!$B$3:$B$5001,$A$301,BD!$T$3:$T$5001,"&lt;&gt;")=0,"",SUMIFS(BD!$T$3:$T$5001,BD!$A$3:$A$5001,F$3,BD!$B$3:$B$5001,$A$301)))</f>
        <v/>
      </c>
      <c r="G318" s="198" t="str">
        <f>IF(G$3="","",IF(COUNTIFS(BD!$A$3:$A$5001,G$3,BD!$B$3:$B$5001,$A$301,BD!$T$3:$T$5001,"&lt;&gt;")=0,"",SUMIFS(BD!$T$3:$T$5001,BD!$A$3:$A$5001,G$3,BD!$B$3:$B$5001,$A$301)))</f>
        <v/>
      </c>
      <c r="H318" s="198" t="str">
        <f>IF(H$3="","",IF(COUNTIFS(BD!$A$3:$A$5001,H$3,BD!$B$3:$B$5001,$A$301,BD!$T$3:$T$5001,"&lt;&gt;")=0,"",SUMIFS(BD!$T$3:$T$5001,BD!$A$3:$A$5001,H$3,BD!$B$3:$B$5001,$A$301)))</f>
        <v/>
      </c>
      <c r="I318" s="198" t="str">
        <f>IF(I$3="","",IF(COUNTIFS(BD!$A$3:$A$5001,I$3,BD!$B$3:$B$5001,$A$301,BD!$T$3:$T$5001,"&lt;&gt;")=0,"",SUMIFS(BD!$T$3:$T$5001,BD!$A$3:$A$5001,I$3,BD!$B$3:$B$5001,$A$301)))</f>
        <v/>
      </c>
      <c r="J318" s="198" t="str">
        <f>IF(J$3="","",IF(COUNTIFS(BD!$A$3:$A$5001,J$3,BD!$B$3:$B$5001,$A$301,BD!$T$3:$T$5001,"&lt;&gt;")=0,"",SUMIFS(BD!$T$3:$T$5001,BD!$A$3:$A$5001,J$3,BD!$B$3:$B$5001,$A$301)))</f>
        <v/>
      </c>
      <c r="K318" s="198" t="str">
        <f>IF(K$3="","",IF(COUNTIFS(BD!$A$3:$A$5001,K$3,BD!$B$3:$B$5001,$A$301,BD!$T$3:$T$5001,"&lt;&gt;")=0,"",SUMIFS(BD!$T$3:$T$5001,BD!$A$3:$A$5001,K$3,BD!$B$3:$B$5001,$A$301)))</f>
        <v/>
      </c>
      <c r="L318" s="198" t="str">
        <f>IF(L$3="","",IF(COUNTIFS(BD!$A$3:$A$5001,L$3,BD!$B$3:$B$5001,$A$301,BD!$T$3:$T$5001,"&lt;&gt;")=0,"",SUMIFS(BD!$T$3:$T$5001,BD!$A$3:$A$5001,L$3,BD!$B$3:$B$5001,$A$301)))</f>
        <v/>
      </c>
      <c r="M318" s="198" t="str">
        <f>IF(M$3="","",IF(COUNTIFS(BD!$A$3:$A$5001,M$3,BD!$B$3:$B$5001,$A$301,BD!$T$3:$T$5001,"&lt;&gt;")=0,"",SUMIFS(BD!$T$3:$T$5001,BD!$A$3:$A$5001,M$3,BD!$B$3:$B$5001,$A$301)))</f>
        <v/>
      </c>
      <c r="N318" s="198" t="str">
        <f>IF(N$3="","",IF(COUNTIFS(BD!$A$3:$A$5001,N$3,BD!$B$3:$B$5001,$A$301,BD!$T$3:$T$5001,"&lt;&gt;")=0,"",SUMIFS(BD!$T$3:$T$5001,BD!$A$3:$A$5001,N$3,BD!$B$3:$B$5001,$A$301)))</f>
        <v/>
      </c>
      <c r="O318" s="198" t="str">
        <f>IF(O$3="","",IF(COUNTIFS(BD!$A$3:$A$5001,O$3,BD!$B$3:$B$5001,$A$301,BD!$T$3:$T$5001,"&lt;&gt;")=0,"",SUMIFS(BD!$T$3:$T$5001,BD!$A$3:$A$5001,O$3,BD!$B$3:$B$5001,$A$301)))</f>
        <v/>
      </c>
      <c r="P318" s="198" t="str">
        <f>IF(P$3="","",IF(COUNTIFS(BD!$A$3:$A$5001,P$3,BD!$B$3:$B$5001,$A$301,BD!$T$3:$T$5001,"&lt;&gt;")=0,"",SUMIFS(BD!$T$3:$T$5001,BD!$A$3:$A$5001,P$3,BD!$B$3:$B$5001,$A$301)))</f>
        <v/>
      </c>
      <c r="Q318" s="198" t="str">
        <f>IF(Q$3="","",IF(COUNTIFS(BD!$A$3:$A$5001,Q$3,BD!$B$3:$B$5001,$A$301,BD!$T$3:$T$5001,"&lt;&gt;")=0,"",SUMIFS(BD!$T$3:$T$5001,BD!$A$3:$A$5001,Q$3,BD!$B$3:$B$5001,$A$301)))</f>
        <v/>
      </c>
      <c r="R318" s="198" t="str">
        <f>IF(R$3="","",IF(COUNTIFS(BD!$A$3:$A$5001,R$3,BD!$B$3:$B$5001,$A$301,BD!$T$3:$T$5001,"&lt;&gt;")=0,"",SUMIFS(BD!$T$3:$T$5001,BD!$A$3:$A$5001,R$3,BD!$B$3:$B$5001,$A$301)))</f>
        <v/>
      </c>
      <c r="S318" s="198" t="str">
        <f>IF(S$3="","",IF(COUNTIFS(BD!$A$3:$A$5001,S$3,BD!$B$3:$B$5001,$A$301,BD!$T$3:$T$5001,"&lt;&gt;")=0,"",SUMIFS(BD!$T$3:$T$5001,BD!$A$3:$A$5001,S$3,BD!$B$3:$B$5001,$A$301)))</f>
        <v/>
      </c>
      <c r="T318" s="198" t="str">
        <f>IF(T$3="","",IF(COUNTIFS(BD!$A$3:$A$5001,T$3,BD!$B$3:$B$5001,$A$301,BD!$T$3:$T$5001,"&lt;&gt;")=0,"",SUMIFS(BD!$T$3:$T$5001,BD!$A$3:$A$5001,T$3,BD!$B$3:$B$5001,$A$301)))</f>
        <v/>
      </c>
      <c r="U318" s="198" t="str">
        <f>IF(U$3="","",IF(COUNTIFS(BD!$A$3:$A$5001,U$3,BD!$B$3:$B$5001,$A$301,BD!$T$3:$T$5001,"&lt;&gt;")=0,"",SUMIFS(BD!$T$3:$T$5001,BD!$A$3:$A$5001,U$3,BD!$B$3:$B$5001,$A$301)))</f>
        <v/>
      </c>
      <c r="V318" s="198" t="str">
        <f>IF(V$3="","",IF(COUNTIFS(BD!$A$3:$A$5001,V$3,BD!$B$3:$B$5001,$A$301,BD!$T$3:$T$5001,"&lt;&gt;")=0,"",SUMIFS(BD!$T$3:$T$5001,BD!$A$3:$A$5001,V$3,BD!$B$3:$B$5001,$A$301)))</f>
        <v/>
      </c>
      <c r="W318" s="198" t="str">
        <f>IF(W$3="","",IF(COUNTIFS(BD!$A$3:$A$5001,W$3,BD!$B$3:$B$5001,$A$301,BD!$T$3:$T$5001,"&lt;&gt;")=0,"",SUMIFS(BD!$T$3:$T$5001,BD!$A$3:$A$5001,W$3,BD!$B$3:$B$5001,$A$301)))</f>
        <v/>
      </c>
      <c r="X318" s="198" t="str">
        <f>IF(X$3="","",IF(COUNTIFS(BD!$A$3:$A$5001,X$3,BD!$B$3:$B$5001,$A$301,BD!$T$3:$T$5001,"&lt;&gt;")=0,"",SUMIFS(BD!$T$3:$T$5001,BD!$A$3:$A$5001,X$3,BD!$B$3:$B$5001,$A$301)))</f>
        <v/>
      </c>
      <c r="Y318" s="198" t="str">
        <f>IF(Y$3="","",IF(COUNTIFS(BD!$A$3:$A$5001,Y$3,BD!$B$3:$B$5001,$A$301,BD!$T$3:$T$5001,"&lt;&gt;")=0,"",SUMIFS(BD!$T$3:$T$5001,BD!$A$3:$A$5001,Y$3,BD!$B$3:$B$5001,$A$301)))</f>
        <v/>
      </c>
      <c r="Z318" s="198" t="str">
        <f>IF(Z$3="","",IF(COUNTIFS(BD!$A$3:$A$5001,Z$3,BD!$B$3:$B$5001,$A$301,BD!$T$3:$T$5001,"&lt;&gt;")=0,"",SUMIFS(BD!$T$3:$T$5001,BD!$A$3:$A$5001,Z$3,BD!$B$3:$B$5001,$A$301)))</f>
        <v/>
      </c>
      <c r="AA318" s="198" t="str">
        <f>IF(AA$3="","",IF(COUNTIFS(BD!$A$3:$A$5001,AA$3,BD!$B$3:$B$5001,$A$301,BD!$T$3:$T$5001,"&lt;&gt;")=0,"",SUMIFS(BD!$T$3:$T$5001,BD!$A$3:$A$5001,AA$3,BD!$B$3:$B$5001,$A$301)))</f>
        <v/>
      </c>
      <c r="AB318" s="198" t="str">
        <f>IF(AB$3="","",IF(COUNTIFS(BD!$A$3:$A$5001,AB$3,BD!$B$3:$B$5001,$A$301,BD!$T$3:$T$5001,"&lt;&gt;")=0,"",SUMIFS(BD!$T$3:$T$5001,BD!$A$3:$A$5001,AB$3,BD!$B$3:$B$5001,$A$301)))</f>
        <v/>
      </c>
      <c r="AC318" s="198" t="str">
        <f>IF(AC$3="","",IF(COUNTIFS(BD!$A$3:$A$5001,AC$3,BD!$B$3:$B$5001,$A$301,BD!$T$3:$T$5001,"&lt;&gt;")=0,"",SUMIFS(BD!$T$3:$T$5001,BD!$A$3:$A$5001,AC$3,BD!$B$3:$B$5001,$A$301)))</f>
        <v/>
      </c>
      <c r="AD318" s="198" t="str">
        <f>IF(AD$3="","",IF(COUNTIFS(BD!$A$3:$A$5001,AD$3,BD!$B$3:$B$5001,$A$301,BD!$T$3:$T$5001,"&lt;&gt;")=0,"",SUMIFS(BD!$T$3:$T$5001,BD!$A$3:$A$5001,AD$3,BD!$B$3:$B$5001,$A$301)))</f>
        <v/>
      </c>
      <c r="AE318" s="198" t="str">
        <f>IF(AE$3="","",IF(COUNTIFS(BD!$A$3:$A$5001,AE$3,BD!$B$3:$B$5001,$A$301,BD!$T$3:$T$5001,"&lt;&gt;")=0,"",SUMIFS(BD!$T$3:$T$5001,BD!$A$3:$A$5001,AE$3,BD!$B$3:$B$5001,$A$301)))</f>
        <v/>
      </c>
      <c r="AF318" s="198" t="str">
        <f>IF(AF$3="","",IF(COUNTIFS(BD!$A$3:$A$5001,AF$3,BD!$B$3:$B$5001,$A$301,BD!$T$3:$T$5001,"&lt;&gt;")=0,"",SUMIFS(BD!$T$3:$T$5001,BD!$A$3:$A$5001,AF$3,BD!$B$3:$B$5001,$A$301)))</f>
        <v/>
      </c>
      <c r="AG318" s="198" t="str">
        <f>IF(AG$3="","",IF(COUNTIFS(BD!$A$3:$A$5001,AG$3,BD!$B$3:$B$5001,$A$301,BD!$T$3:$T$5001,"&lt;&gt;")=0,"",SUMIFS(BD!$T$3:$T$5001,BD!$A$3:$A$5001,AG$3,BD!$B$3:$B$5001,$A$301)))</f>
        <v/>
      </c>
      <c r="AH318" s="198" t="str">
        <f>IF(AH$3="","",IF(COUNTIFS(BD!$A$3:$A$5001,AH$3,BD!$B$3:$B$5001,$A$301,BD!$T$3:$T$5001,"&lt;&gt;")=0,"",SUMIFS(BD!$T$3:$T$5001,BD!$A$3:$A$5001,AH$3,BD!$B$3:$B$5001,$A$301)))</f>
        <v/>
      </c>
      <c r="AI318" s="198" t="str">
        <f>IF(AI$3="","",IF(COUNTIFS(BD!$A$3:$A$5001,AI$3,BD!$B$3:$B$5001,$A$301,BD!$T$3:$T$5001,"&lt;&gt;")=0,"",SUMIFS(BD!$T$3:$T$5001,BD!$A$3:$A$5001,AI$3,BD!$B$3:$B$5001,$A$301)))</f>
        <v/>
      </c>
      <c r="AJ318" s="199" t="str">
        <f>IF(AJ$3="","",IF(COUNTIFS(BD!$A$3:$A$5001,AJ$3,BD!$B$3:$B$5001,$A$301,BD!$T$3:$T$5001,"&lt;&gt;")=0,"",SUMIFS(BD!$T$3:$T$5001,BD!$A$3:$A$5001,AJ$3,BD!$B$3:$B$5001,$A$301)))</f>
        <v/>
      </c>
      <c r="AK318" s="200" t="str">
        <f>IF(COUNT(F318:AJ318)=0,"",SUM(F318:AJ318))</f>
        <v/>
      </c>
    </row>
    <row r="319" ht="15.75" customHeight="1" hidden="1">
      <c r="A319" s="261"/>
      <c r="B319" s="254"/>
      <c r="C319" s="201" t="inlineStr">
        <is>
          <t xml:space="preserve">No show</t>
        </is>
      </c>
      <c r="D319" s="202" t="str">
        <f>IFERROR(1/(1/INDEX(BD!$AL$41:$BF$41,MATCH($A$301,BD!$AL$22:$BF$22,0))),"")</f>
        <v/>
      </c>
      <c r="E319" s="203"/>
      <c r="F319" s="204" t="str">
        <f>IF(F$3="","",IF(COUNTIFS(BD!$A$3:$A$5001,F$3,BD!$B$3:$B$5001,$A$301,BD!$U$3:$U$5001,"&lt;&gt;")=0,"",SUMIFS(BD!$U$3:$U$5001,BD!$A$3:$A$5001,F$3,BD!$B$3:$B$5001,$A$301)))</f>
        <v/>
      </c>
      <c r="G319" s="205" t="str">
        <f>IF(G$3="","",IF(COUNTIFS(BD!$A$3:$A$5001,G$3,BD!$B$3:$B$5001,$A$301,BD!$U$3:$U$5001,"&lt;&gt;")=0,"",SUMIFS(BD!$U$3:$U$5001,BD!$A$3:$A$5001,G$3,BD!$B$3:$B$5001,$A$301)))</f>
        <v/>
      </c>
      <c r="H319" s="205" t="str">
        <f>IF(H$3="","",IF(COUNTIFS(BD!$A$3:$A$5001,H$3,BD!$B$3:$B$5001,$A$301,BD!$U$3:$U$5001,"&lt;&gt;")=0,"",SUMIFS(BD!$U$3:$U$5001,BD!$A$3:$A$5001,H$3,BD!$B$3:$B$5001,$A$301)))</f>
        <v/>
      </c>
      <c r="I319" s="205" t="str">
        <f>IF(I$3="","",IF(COUNTIFS(BD!$A$3:$A$5001,I$3,BD!$B$3:$B$5001,$A$301,BD!$U$3:$U$5001,"&lt;&gt;")=0,"",SUMIFS(BD!$U$3:$U$5001,BD!$A$3:$A$5001,I$3,BD!$B$3:$B$5001,$A$301)))</f>
        <v/>
      </c>
      <c r="J319" s="205" t="str">
        <f>IF(J$3="","",IF(COUNTIFS(BD!$A$3:$A$5001,J$3,BD!$B$3:$B$5001,$A$301,BD!$U$3:$U$5001,"&lt;&gt;")=0,"",SUMIFS(BD!$U$3:$U$5001,BD!$A$3:$A$5001,J$3,BD!$B$3:$B$5001,$A$301)))</f>
        <v/>
      </c>
      <c r="K319" s="205" t="str">
        <f>IF(K$3="","",IF(COUNTIFS(BD!$A$3:$A$5001,K$3,BD!$B$3:$B$5001,$A$301,BD!$U$3:$U$5001,"&lt;&gt;")=0,"",SUMIFS(BD!$U$3:$U$5001,BD!$A$3:$A$5001,K$3,BD!$B$3:$B$5001,$A$301)))</f>
        <v/>
      </c>
      <c r="L319" s="205" t="str">
        <f>IF(L$3="","",IF(COUNTIFS(BD!$A$3:$A$5001,L$3,BD!$B$3:$B$5001,$A$301,BD!$U$3:$U$5001,"&lt;&gt;")=0,"",SUMIFS(BD!$U$3:$U$5001,BD!$A$3:$A$5001,L$3,BD!$B$3:$B$5001,$A$301)))</f>
        <v/>
      </c>
      <c r="M319" s="205" t="str">
        <f>IF(M$3="","",IF(COUNTIFS(BD!$A$3:$A$5001,M$3,BD!$B$3:$B$5001,$A$301,BD!$U$3:$U$5001,"&lt;&gt;")=0,"",SUMIFS(BD!$U$3:$U$5001,BD!$A$3:$A$5001,M$3,BD!$B$3:$B$5001,$A$301)))</f>
        <v/>
      </c>
      <c r="N319" s="205" t="str">
        <f>IF(N$3="","",IF(COUNTIFS(BD!$A$3:$A$5001,N$3,BD!$B$3:$B$5001,$A$301,BD!$U$3:$U$5001,"&lt;&gt;")=0,"",SUMIFS(BD!$U$3:$U$5001,BD!$A$3:$A$5001,N$3,BD!$B$3:$B$5001,$A$301)))</f>
        <v/>
      </c>
      <c r="O319" s="205" t="str">
        <f>IF(O$3="","",IF(COUNTIFS(BD!$A$3:$A$5001,O$3,BD!$B$3:$B$5001,$A$301,BD!$U$3:$U$5001,"&lt;&gt;")=0,"",SUMIFS(BD!$U$3:$U$5001,BD!$A$3:$A$5001,O$3,BD!$B$3:$B$5001,$A$301)))</f>
        <v/>
      </c>
      <c r="P319" s="205" t="str">
        <f>IF(P$3="","",IF(COUNTIFS(BD!$A$3:$A$5001,P$3,BD!$B$3:$B$5001,$A$301,BD!$U$3:$U$5001,"&lt;&gt;")=0,"",SUMIFS(BD!$U$3:$U$5001,BD!$A$3:$A$5001,P$3,BD!$B$3:$B$5001,$A$301)))</f>
        <v/>
      </c>
      <c r="Q319" s="205" t="str">
        <f>IF(Q$3="","",IF(COUNTIFS(BD!$A$3:$A$5001,Q$3,BD!$B$3:$B$5001,$A$301,BD!$U$3:$U$5001,"&lt;&gt;")=0,"",SUMIFS(BD!$U$3:$U$5001,BD!$A$3:$A$5001,Q$3,BD!$B$3:$B$5001,$A$301)))</f>
        <v/>
      </c>
      <c r="R319" s="205" t="str">
        <f>IF(R$3="","",IF(COUNTIFS(BD!$A$3:$A$5001,R$3,BD!$B$3:$B$5001,$A$301,BD!$U$3:$U$5001,"&lt;&gt;")=0,"",SUMIFS(BD!$U$3:$U$5001,BD!$A$3:$A$5001,R$3,BD!$B$3:$B$5001,$A$301)))</f>
        <v/>
      </c>
      <c r="S319" s="205" t="str">
        <f>IF(S$3="","",IF(COUNTIFS(BD!$A$3:$A$5001,S$3,BD!$B$3:$B$5001,$A$301,BD!$U$3:$U$5001,"&lt;&gt;")=0,"",SUMIFS(BD!$U$3:$U$5001,BD!$A$3:$A$5001,S$3,BD!$B$3:$B$5001,$A$301)))</f>
        <v/>
      </c>
      <c r="T319" s="205" t="str">
        <f>IF(T$3="","",IF(COUNTIFS(BD!$A$3:$A$5001,T$3,BD!$B$3:$B$5001,$A$301,BD!$U$3:$U$5001,"&lt;&gt;")=0,"",SUMIFS(BD!$U$3:$U$5001,BD!$A$3:$A$5001,T$3,BD!$B$3:$B$5001,$A$301)))</f>
        <v/>
      </c>
      <c r="U319" s="205" t="str">
        <f>IF(U$3="","",IF(COUNTIFS(BD!$A$3:$A$5001,U$3,BD!$B$3:$B$5001,$A$301,BD!$U$3:$U$5001,"&lt;&gt;")=0,"",SUMIFS(BD!$U$3:$U$5001,BD!$A$3:$A$5001,U$3,BD!$B$3:$B$5001,$A$301)))</f>
        <v/>
      </c>
      <c r="V319" s="205" t="str">
        <f>IF(V$3="","",IF(COUNTIFS(BD!$A$3:$A$5001,V$3,BD!$B$3:$B$5001,$A$301,BD!$U$3:$U$5001,"&lt;&gt;")=0,"",SUMIFS(BD!$U$3:$U$5001,BD!$A$3:$A$5001,V$3,BD!$B$3:$B$5001,$A$301)))</f>
        <v/>
      </c>
      <c r="W319" s="205" t="str">
        <f>IF(W$3="","",IF(COUNTIFS(BD!$A$3:$A$5001,W$3,BD!$B$3:$B$5001,$A$301,BD!$U$3:$U$5001,"&lt;&gt;")=0,"",SUMIFS(BD!$U$3:$U$5001,BD!$A$3:$A$5001,W$3,BD!$B$3:$B$5001,$A$301)))</f>
        <v/>
      </c>
      <c r="X319" s="205" t="str">
        <f>IF(X$3="","",IF(COUNTIFS(BD!$A$3:$A$5001,X$3,BD!$B$3:$B$5001,$A$301,BD!$U$3:$U$5001,"&lt;&gt;")=0,"",SUMIFS(BD!$U$3:$U$5001,BD!$A$3:$A$5001,X$3,BD!$B$3:$B$5001,$A$301)))</f>
        <v/>
      </c>
      <c r="Y319" s="205" t="str">
        <f>IF(Y$3="","",IF(COUNTIFS(BD!$A$3:$A$5001,Y$3,BD!$B$3:$B$5001,$A$301,BD!$U$3:$U$5001,"&lt;&gt;")=0,"",SUMIFS(BD!$U$3:$U$5001,BD!$A$3:$A$5001,Y$3,BD!$B$3:$B$5001,$A$301)))</f>
        <v/>
      </c>
      <c r="Z319" s="205" t="str">
        <f>IF(Z$3="","",IF(COUNTIFS(BD!$A$3:$A$5001,Z$3,BD!$B$3:$B$5001,$A$301,BD!$U$3:$U$5001,"&lt;&gt;")=0,"",SUMIFS(BD!$U$3:$U$5001,BD!$A$3:$A$5001,Z$3,BD!$B$3:$B$5001,$A$301)))</f>
        <v/>
      </c>
      <c r="AA319" s="205" t="str">
        <f>IF(AA$3="","",IF(COUNTIFS(BD!$A$3:$A$5001,AA$3,BD!$B$3:$B$5001,$A$301,BD!$U$3:$U$5001,"&lt;&gt;")=0,"",SUMIFS(BD!$U$3:$U$5001,BD!$A$3:$A$5001,AA$3,BD!$B$3:$B$5001,$A$301)))</f>
        <v/>
      </c>
      <c r="AB319" s="205" t="str">
        <f>IF(AB$3="","",IF(COUNTIFS(BD!$A$3:$A$5001,AB$3,BD!$B$3:$B$5001,$A$301,BD!$U$3:$U$5001,"&lt;&gt;")=0,"",SUMIFS(BD!$U$3:$U$5001,BD!$A$3:$A$5001,AB$3,BD!$B$3:$B$5001,$A$301)))</f>
        <v/>
      </c>
      <c r="AC319" s="205" t="str">
        <f>IF(AC$3="","",IF(COUNTIFS(BD!$A$3:$A$5001,AC$3,BD!$B$3:$B$5001,$A$301,BD!$U$3:$U$5001,"&lt;&gt;")=0,"",SUMIFS(BD!$U$3:$U$5001,BD!$A$3:$A$5001,AC$3,BD!$B$3:$B$5001,$A$301)))</f>
        <v/>
      </c>
      <c r="AD319" s="205" t="str">
        <f>IF(AD$3="","",IF(COUNTIFS(BD!$A$3:$A$5001,AD$3,BD!$B$3:$B$5001,$A$301,BD!$U$3:$U$5001,"&lt;&gt;")=0,"",SUMIFS(BD!$U$3:$U$5001,BD!$A$3:$A$5001,AD$3,BD!$B$3:$B$5001,$A$301)))</f>
        <v/>
      </c>
      <c r="AE319" s="205" t="str">
        <f>IF(AE$3="","",IF(COUNTIFS(BD!$A$3:$A$5001,AE$3,BD!$B$3:$B$5001,$A$301,BD!$U$3:$U$5001,"&lt;&gt;")=0,"",SUMIFS(BD!$U$3:$U$5001,BD!$A$3:$A$5001,AE$3,BD!$B$3:$B$5001,$A$301)))</f>
        <v/>
      </c>
      <c r="AF319" s="205" t="str">
        <f>IF(AF$3="","",IF(COUNTIFS(BD!$A$3:$A$5001,AF$3,BD!$B$3:$B$5001,$A$301,BD!$U$3:$U$5001,"&lt;&gt;")=0,"",SUMIFS(BD!$U$3:$U$5001,BD!$A$3:$A$5001,AF$3,BD!$B$3:$B$5001,$A$301)))</f>
        <v/>
      </c>
      <c r="AG319" s="205" t="str">
        <f>IF(AG$3="","",IF(COUNTIFS(BD!$A$3:$A$5001,AG$3,BD!$B$3:$B$5001,$A$301,BD!$U$3:$U$5001,"&lt;&gt;")=0,"",SUMIFS(BD!$U$3:$U$5001,BD!$A$3:$A$5001,AG$3,BD!$B$3:$B$5001,$A$301)))</f>
        <v/>
      </c>
      <c r="AH319" s="205" t="str">
        <f>IF(AH$3="","",IF(COUNTIFS(BD!$A$3:$A$5001,AH$3,BD!$B$3:$B$5001,$A$301,BD!$U$3:$U$5001,"&lt;&gt;")=0,"",SUMIFS(BD!$U$3:$U$5001,BD!$A$3:$A$5001,AH$3,BD!$B$3:$B$5001,$A$301)))</f>
        <v/>
      </c>
      <c r="AI319" s="205" t="str">
        <f>IF(AI$3="","",IF(COUNTIFS(BD!$A$3:$A$5001,AI$3,BD!$B$3:$B$5001,$A$301,BD!$U$3:$U$5001,"&lt;&gt;")=0,"",SUMIFS(BD!$U$3:$U$5001,BD!$A$3:$A$5001,AI$3,BD!$B$3:$B$5001,$A$301)))</f>
        <v/>
      </c>
      <c r="AJ319" s="206" t="str">
        <f>IF(AJ$3="","",IF(COUNTIFS(BD!$A$3:$A$5001,AJ$3,BD!$B$3:$B$5001,$A$301,BD!$U$3:$U$5001,"&lt;&gt;")=0,"",SUMIFS(BD!$U$3:$U$5001,BD!$A$3:$A$5001,AJ$3,BD!$B$3:$B$5001,$A$301)))</f>
        <v/>
      </c>
      <c r="AK319" s="207" t="str">
        <f>IF(COUNT(F319:AJ319)=0,"",SUM(F319:AJ319))</f>
        <v/>
      </c>
    </row>
    <row r="320" ht="15.75" customHeight="1" hidden="1">
      <c r="A320" s="261"/>
      <c r="B320" s="254"/>
      <c r="C320" s="201" t="inlineStr">
        <is>
          <t xml:space="preserve">Backlog Intralog</t>
        </is>
      </c>
      <c r="D320" s="202" t="str">
        <f>IFERROR(1/(1/INDEX(BD!$AL$42:$BF$42,MATCH($A$301,BD!$AL$22:$BF$22,0))),"")</f>
        <v/>
      </c>
      <c r="E320" s="203"/>
      <c r="F320" s="204" t="str">
        <f>IF(F$3="","",IF(COUNTIFS(BD!$A$3:$A$5001,F$3,BD!$B$3:$B$5001,$A$301,BD!$V$3:$V$5001,"&lt;&gt;")=0,"",SUMIFS(BD!$V$3:$V$5001,BD!$A$3:$A$5001,F$3,BD!$B$3:$B$5001,$A$301)))</f>
        <v/>
      </c>
      <c r="G320" s="205" t="str">
        <f>IF(G$3="","",IF(COUNTIFS(BD!$A$3:$A$5001,G$3,BD!$B$3:$B$5001,$A$301,BD!$V$3:$V$5001,"&lt;&gt;")=0,"",SUMIFS(BD!$V$3:$V$5001,BD!$A$3:$A$5001,G$3,BD!$B$3:$B$5001,$A$301)))</f>
        <v/>
      </c>
      <c r="H320" s="205" t="str">
        <f>IF(H$3="","",IF(COUNTIFS(BD!$A$3:$A$5001,H$3,BD!$B$3:$B$5001,$A$301,BD!$V$3:$V$5001,"&lt;&gt;")=0,"",SUMIFS(BD!$V$3:$V$5001,BD!$A$3:$A$5001,H$3,BD!$B$3:$B$5001,$A$301)))</f>
        <v/>
      </c>
      <c r="I320" s="205" t="str">
        <f>IF(I$3="","",IF(COUNTIFS(BD!$A$3:$A$5001,I$3,BD!$B$3:$B$5001,$A$301,BD!$V$3:$V$5001,"&lt;&gt;")=0,"",SUMIFS(BD!$V$3:$V$5001,BD!$A$3:$A$5001,I$3,BD!$B$3:$B$5001,$A$301)))</f>
        <v/>
      </c>
      <c r="J320" s="205" t="str">
        <f>IF(J$3="","",IF(COUNTIFS(BD!$A$3:$A$5001,J$3,BD!$B$3:$B$5001,$A$301,BD!$V$3:$V$5001,"&lt;&gt;")=0,"",SUMIFS(BD!$V$3:$V$5001,BD!$A$3:$A$5001,J$3,BD!$B$3:$B$5001,$A$301)))</f>
        <v/>
      </c>
      <c r="K320" s="205" t="str">
        <f>IF(K$3="","",IF(COUNTIFS(BD!$A$3:$A$5001,K$3,BD!$B$3:$B$5001,$A$301,BD!$V$3:$V$5001,"&lt;&gt;")=0,"",SUMIFS(BD!$V$3:$V$5001,BD!$A$3:$A$5001,K$3,BD!$B$3:$B$5001,$A$301)))</f>
        <v/>
      </c>
      <c r="L320" s="205" t="str">
        <f>IF(L$3="","",IF(COUNTIFS(BD!$A$3:$A$5001,L$3,BD!$B$3:$B$5001,$A$301,BD!$V$3:$V$5001,"&lt;&gt;")=0,"",SUMIFS(BD!$V$3:$V$5001,BD!$A$3:$A$5001,L$3,BD!$B$3:$B$5001,$A$301)))</f>
        <v/>
      </c>
      <c r="M320" s="205" t="str">
        <f>IF(M$3="","",IF(COUNTIFS(BD!$A$3:$A$5001,M$3,BD!$B$3:$B$5001,$A$301,BD!$V$3:$V$5001,"&lt;&gt;")=0,"",SUMIFS(BD!$V$3:$V$5001,BD!$A$3:$A$5001,M$3,BD!$B$3:$B$5001,$A$301)))</f>
        <v/>
      </c>
      <c r="N320" s="205" t="str">
        <f>IF(N$3="","",IF(COUNTIFS(BD!$A$3:$A$5001,N$3,BD!$B$3:$B$5001,$A$301,BD!$V$3:$V$5001,"&lt;&gt;")=0,"",SUMIFS(BD!$V$3:$V$5001,BD!$A$3:$A$5001,N$3,BD!$B$3:$B$5001,$A$301)))</f>
        <v/>
      </c>
      <c r="O320" s="205" t="str">
        <f>IF(O$3="","",IF(COUNTIFS(BD!$A$3:$A$5001,O$3,BD!$B$3:$B$5001,$A$301,BD!$V$3:$V$5001,"&lt;&gt;")=0,"",SUMIFS(BD!$V$3:$V$5001,BD!$A$3:$A$5001,O$3,BD!$B$3:$B$5001,$A$301)))</f>
        <v/>
      </c>
      <c r="P320" s="205" t="str">
        <f>IF(P$3="","",IF(COUNTIFS(BD!$A$3:$A$5001,P$3,BD!$B$3:$B$5001,$A$301,BD!$V$3:$V$5001,"&lt;&gt;")=0,"",SUMIFS(BD!$V$3:$V$5001,BD!$A$3:$A$5001,P$3,BD!$B$3:$B$5001,$A$301)))</f>
        <v/>
      </c>
      <c r="Q320" s="205" t="str">
        <f>IF(Q$3="","",IF(COUNTIFS(BD!$A$3:$A$5001,Q$3,BD!$B$3:$B$5001,$A$301,BD!$V$3:$V$5001,"&lt;&gt;")=0,"",SUMIFS(BD!$V$3:$V$5001,BD!$A$3:$A$5001,Q$3,BD!$B$3:$B$5001,$A$301)))</f>
        <v/>
      </c>
      <c r="R320" s="205" t="str">
        <f>IF(R$3="","",IF(COUNTIFS(BD!$A$3:$A$5001,R$3,BD!$B$3:$B$5001,$A$301,BD!$V$3:$V$5001,"&lt;&gt;")=0,"",SUMIFS(BD!$V$3:$V$5001,BD!$A$3:$A$5001,R$3,BD!$B$3:$B$5001,$A$301)))</f>
        <v/>
      </c>
      <c r="S320" s="205" t="str">
        <f>IF(S$3="","",IF(COUNTIFS(BD!$A$3:$A$5001,S$3,BD!$B$3:$B$5001,$A$301,BD!$V$3:$V$5001,"&lt;&gt;")=0,"",SUMIFS(BD!$V$3:$V$5001,BD!$A$3:$A$5001,S$3,BD!$B$3:$B$5001,$A$301)))</f>
        <v/>
      </c>
      <c r="T320" s="205" t="str">
        <f>IF(T$3="","",IF(COUNTIFS(BD!$A$3:$A$5001,T$3,BD!$B$3:$B$5001,$A$301,BD!$V$3:$V$5001,"&lt;&gt;")=0,"",SUMIFS(BD!$V$3:$V$5001,BD!$A$3:$A$5001,T$3,BD!$B$3:$B$5001,$A$301)))</f>
        <v/>
      </c>
      <c r="U320" s="205" t="str">
        <f>IF(U$3="","",IF(COUNTIFS(BD!$A$3:$A$5001,U$3,BD!$B$3:$B$5001,$A$301,BD!$V$3:$V$5001,"&lt;&gt;")=0,"",SUMIFS(BD!$V$3:$V$5001,BD!$A$3:$A$5001,U$3,BD!$B$3:$B$5001,$A$301)))</f>
        <v/>
      </c>
      <c r="V320" s="205" t="str">
        <f>IF(V$3="","",IF(COUNTIFS(BD!$A$3:$A$5001,V$3,BD!$B$3:$B$5001,$A$301,BD!$V$3:$V$5001,"&lt;&gt;")=0,"",SUMIFS(BD!$V$3:$V$5001,BD!$A$3:$A$5001,V$3,BD!$B$3:$B$5001,$A$301)))</f>
        <v/>
      </c>
      <c r="W320" s="205" t="str">
        <f>IF(W$3="","",IF(COUNTIFS(BD!$A$3:$A$5001,W$3,BD!$B$3:$B$5001,$A$301,BD!$V$3:$V$5001,"&lt;&gt;")=0,"",SUMIFS(BD!$V$3:$V$5001,BD!$A$3:$A$5001,W$3,BD!$B$3:$B$5001,$A$301)))</f>
        <v/>
      </c>
      <c r="X320" s="205" t="str">
        <f>IF(X$3="","",IF(COUNTIFS(BD!$A$3:$A$5001,X$3,BD!$B$3:$B$5001,$A$301,BD!$V$3:$V$5001,"&lt;&gt;")=0,"",SUMIFS(BD!$V$3:$V$5001,BD!$A$3:$A$5001,X$3,BD!$B$3:$B$5001,$A$301)))</f>
        <v/>
      </c>
      <c r="Y320" s="205" t="str">
        <f>IF(Y$3="","",IF(COUNTIFS(BD!$A$3:$A$5001,Y$3,BD!$B$3:$B$5001,$A$301,BD!$V$3:$V$5001,"&lt;&gt;")=0,"",SUMIFS(BD!$V$3:$V$5001,BD!$A$3:$A$5001,Y$3,BD!$B$3:$B$5001,$A$301)))</f>
        <v/>
      </c>
      <c r="Z320" s="205" t="str">
        <f>IF(Z$3="","",IF(COUNTIFS(BD!$A$3:$A$5001,Z$3,BD!$B$3:$B$5001,$A$301,BD!$V$3:$V$5001,"&lt;&gt;")=0,"",SUMIFS(BD!$V$3:$V$5001,BD!$A$3:$A$5001,Z$3,BD!$B$3:$B$5001,$A$301)))</f>
        <v/>
      </c>
      <c r="AA320" s="205" t="str">
        <f>IF(AA$3="","",IF(COUNTIFS(BD!$A$3:$A$5001,AA$3,BD!$B$3:$B$5001,$A$301,BD!$V$3:$V$5001,"&lt;&gt;")=0,"",SUMIFS(BD!$V$3:$V$5001,BD!$A$3:$A$5001,AA$3,BD!$B$3:$B$5001,$A$301)))</f>
        <v/>
      </c>
      <c r="AB320" s="205" t="str">
        <f>IF(AB$3="","",IF(COUNTIFS(BD!$A$3:$A$5001,AB$3,BD!$B$3:$B$5001,$A$301,BD!$V$3:$V$5001,"&lt;&gt;")=0,"",SUMIFS(BD!$V$3:$V$5001,BD!$A$3:$A$5001,AB$3,BD!$B$3:$B$5001,$A$301)))</f>
        <v/>
      </c>
      <c r="AC320" s="205" t="str">
        <f>IF(AC$3="","",IF(COUNTIFS(BD!$A$3:$A$5001,AC$3,BD!$B$3:$B$5001,$A$301,BD!$V$3:$V$5001,"&lt;&gt;")=0,"",SUMIFS(BD!$V$3:$V$5001,BD!$A$3:$A$5001,AC$3,BD!$B$3:$B$5001,$A$301)))</f>
        <v/>
      </c>
      <c r="AD320" s="205" t="str">
        <f>IF(AD$3="","",IF(COUNTIFS(BD!$A$3:$A$5001,AD$3,BD!$B$3:$B$5001,$A$301,BD!$V$3:$V$5001,"&lt;&gt;")=0,"",SUMIFS(BD!$V$3:$V$5001,BD!$A$3:$A$5001,AD$3,BD!$B$3:$B$5001,$A$301)))</f>
        <v/>
      </c>
      <c r="AE320" s="205" t="str">
        <f>IF(AE$3="","",IF(COUNTIFS(BD!$A$3:$A$5001,AE$3,BD!$B$3:$B$5001,$A$301,BD!$V$3:$V$5001,"&lt;&gt;")=0,"",SUMIFS(BD!$V$3:$V$5001,BD!$A$3:$A$5001,AE$3,BD!$B$3:$B$5001,$A$301)))</f>
        <v/>
      </c>
      <c r="AF320" s="205" t="str">
        <f>IF(AF$3="","",IF(COUNTIFS(BD!$A$3:$A$5001,AF$3,BD!$B$3:$B$5001,$A$301,BD!$V$3:$V$5001,"&lt;&gt;")=0,"",SUMIFS(BD!$V$3:$V$5001,BD!$A$3:$A$5001,AF$3,BD!$B$3:$B$5001,$A$301)))</f>
        <v/>
      </c>
      <c r="AG320" s="205" t="str">
        <f>IF(AG$3="","",IF(COUNTIFS(BD!$A$3:$A$5001,AG$3,BD!$B$3:$B$5001,$A$301,BD!$V$3:$V$5001,"&lt;&gt;")=0,"",SUMIFS(BD!$V$3:$V$5001,BD!$A$3:$A$5001,AG$3,BD!$B$3:$B$5001,$A$301)))</f>
        <v/>
      </c>
      <c r="AH320" s="205" t="str">
        <f>IF(AH$3="","",IF(COUNTIFS(BD!$A$3:$A$5001,AH$3,BD!$B$3:$B$5001,$A$301,BD!$V$3:$V$5001,"&lt;&gt;")=0,"",SUMIFS(BD!$V$3:$V$5001,BD!$A$3:$A$5001,AH$3,BD!$B$3:$B$5001,$A$301)))</f>
        <v/>
      </c>
      <c r="AI320" s="205" t="str">
        <f>IF(AI$3="","",IF(COUNTIFS(BD!$A$3:$A$5001,AI$3,BD!$B$3:$B$5001,$A$301,BD!$V$3:$V$5001,"&lt;&gt;")=0,"",SUMIFS(BD!$V$3:$V$5001,BD!$A$3:$A$5001,AI$3,BD!$B$3:$B$5001,$A$301)))</f>
        <v/>
      </c>
      <c r="AJ320" s="206" t="str">
        <f>IF(AJ$3="","",IF(COUNTIFS(BD!$A$3:$A$5001,AJ$3,BD!$B$3:$B$5001,$A$301,BD!$V$3:$V$5001,"&lt;&gt;")=0,"",SUMIFS(BD!$V$3:$V$5001,BD!$A$3:$A$5001,AJ$3,BD!$B$3:$B$5001,$A$301)))</f>
        <v/>
      </c>
      <c r="AK320" s="207" t="str">
        <f>IFERROR(LOOKUP(9.99E+307,F320:AJ320),"")</f>
        <v/>
      </c>
    </row>
    <row r="321" ht="15.75" customHeight="1" hidden="1">
      <c r="A321" s="261"/>
      <c r="B321" s="255"/>
      <c r="C321" s="208" t="inlineStr">
        <is>
          <t xml:space="preserve">Backlog Cliente</t>
        </is>
      </c>
      <c r="D321" s="209" t="str">
        <f>IFERROR(1/(1/INDEX(BD!$AL$43:$BF$43,MATCH($A$301,BD!$AL$22:$BF$22,0))),"")</f>
        <v/>
      </c>
      <c r="E321" s="210"/>
      <c r="F321" s="211" t="str">
        <f>IF(F$3="","",IF(COUNTIFS(BD!$A$3:$A$5001,F$3,BD!$B$3:$B$5001,$A$301,BD!$W$3:$W$5001,"&lt;&gt;")=0,"",SUMIFS(BD!$W$3:$W$5001,BD!$A$3:$A$5001,F$3,BD!$B$3:$B$5001,$A$301)))</f>
        <v/>
      </c>
      <c r="G321" s="212" t="str">
        <f>IF(G$3="","",IF(COUNTIFS(BD!$A$3:$A$5001,G$3,BD!$B$3:$B$5001,$A$301,BD!$W$3:$W$5001,"&lt;&gt;")=0,"",SUMIFS(BD!$W$3:$W$5001,BD!$A$3:$A$5001,G$3,BD!$B$3:$B$5001,$A$301)))</f>
        <v/>
      </c>
      <c r="H321" s="212" t="str">
        <f>IF(H$3="","",IF(COUNTIFS(BD!$A$3:$A$5001,H$3,BD!$B$3:$B$5001,$A$301,BD!$W$3:$W$5001,"&lt;&gt;")=0,"",SUMIFS(BD!$W$3:$W$5001,BD!$A$3:$A$5001,H$3,BD!$B$3:$B$5001,$A$301)))</f>
        <v/>
      </c>
      <c r="I321" s="212" t="str">
        <f>IF(I$3="","",IF(COUNTIFS(BD!$A$3:$A$5001,I$3,BD!$B$3:$B$5001,$A$301,BD!$W$3:$W$5001,"&lt;&gt;")=0,"",SUMIFS(BD!$W$3:$W$5001,BD!$A$3:$A$5001,I$3,BD!$B$3:$B$5001,$A$301)))</f>
        <v/>
      </c>
      <c r="J321" s="212" t="str">
        <f>IF(J$3="","",IF(COUNTIFS(BD!$A$3:$A$5001,J$3,BD!$B$3:$B$5001,$A$301,BD!$W$3:$W$5001,"&lt;&gt;")=0,"",SUMIFS(BD!$W$3:$W$5001,BD!$A$3:$A$5001,J$3,BD!$B$3:$B$5001,$A$301)))</f>
        <v/>
      </c>
      <c r="K321" s="212" t="str">
        <f>IF(K$3="","",IF(COUNTIFS(BD!$A$3:$A$5001,K$3,BD!$B$3:$B$5001,$A$301,BD!$W$3:$W$5001,"&lt;&gt;")=0,"",SUMIFS(BD!$W$3:$W$5001,BD!$A$3:$A$5001,K$3,BD!$B$3:$B$5001,$A$301)))</f>
        <v/>
      </c>
      <c r="L321" s="212" t="str">
        <f>IF(L$3="","",IF(COUNTIFS(BD!$A$3:$A$5001,L$3,BD!$B$3:$B$5001,$A$301,BD!$W$3:$W$5001,"&lt;&gt;")=0,"",SUMIFS(BD!$W$3:$W$5001,BD!$A$3:$A$5001,L$3,BD!$B$3:$B$5001,$A$301)))</f>
        <v/>
      </c>
      <c r="M321" s="212" t="str">
        <f>IF(M$3="","",IF(COUNTIFS(BD!$A$3:$A$5001,M$3,BD!$B$3:$B$5001,$A$301,BD!$W$3:$W$5001,"&lt;&gt;")=0,"",SUMIFS(BD!$W$3:$W$5001,BD!$A$3:$A$5001,M$3,BD!$B$3:$B$5001,$A$301)))</f>
        <v/>
      </c>
      <c r="N321" s="212" t="str">
        <f>IF(N$3="","",IF(COUNTIFS(BD!$A$3:$A$5001,N$3,BD!$B$3:$B$5001,$A$301,BD!$W$3:$W$5001,"&lt;&gt;")=0,"",SUMIFS(BD!$W$3:$W$5001,BD!$A$3:$A$5001,N$3,BD!$B$3:$B$5001,$A$301)))</f>
        <v/>
      </c>
      <c r="O321" s="212" t="str">
        <f>IF(O$3="","",IF(COUNTIFS(BD!$A$3:$A$5001,O$3,BD!$B$3:$B$5001,$A$301,BD!$W$3:$W$5001,"&lt;&gt;")=0,"",SUMIFS(BD!$W$3:$W$5001,BD!$A$3:$A$5001,O$3,BD!$B$3:$B$5001,$A$301)))</f>
        <v/>
      </c>
      <c r="P321" s="212" t="str">
        <f>IF(P$3="","",IF(COUNTIFS(BD!$A$3:$A$5001,P$3,BD!$B$3:$B$5001,$A$301,BD!$W$3:$W$5001,"&lt;&gt;")=0,"",SUMIFS(BD!$W$3:$W$5001,BD!$A$3:$A$5001,P$3,BD!$B$3:$B$5001,$A$301)))</f>
        <v/>
      </c>
      <c r="Q321" s="212" t="str">
        <f>IF(Q$3="","",IF(COUNTIFS(BD!$A$3:$A$5001,Q$3,BD!$B$3:$B$5001,$A$301,BD!$W$3:$W$5001,"&lt;&gt;")=0,"",SUMIFS(BD!$W$3:$W$5001,BD!$A$3:$A$5001,Q$3,BD!$B$3:$B$5001,$A$301)))</f>
        <v/>
      </c>
      <c r="R321" s="212" t="str">
        <f>IF(R$3="","",IF(COUNTIFS(BD!$A$3:$A$5001,R$3,BD!$B$3:$B$5001,$A$301,BD!$W$3:$W$5001,"&lt;&gt;")=0,"",SUMIFS(BD!$W$3:$W$5001,BD!$A$3:$A$5001,R$3,BD!$B$3:$B$5001,$A$301)))</f>
        <v/>
      </c>
      <c r="S321" s="212" t="str">
        <f>IF(S$3="","",IF(COUNTIFS(BD!$A$3:$A$5001,S$3,BD!$B$3:$B$5001,$A$301,BD!$W$3:$W$5001,"&lt;&gt;")=0,"",SUMIFS(BD!$W$3:$W$5001,BD!$A$3:$A$5001,S$3,BD!$B$3:$B$5001,$A$301)))</f>
        <v/>
      </c>
      <c r="T321" s="212" t="str">
        <f>IF(T$3="","",IF(COUNTIFS(BD!$A$3:$A$5001,T$3,BD!$B$3:$B$5001,$A$301,BD!$W$3:$W$5001,"&lt;&gt;")=0,"",SUMIFS(BD!$W$3:$W$5001,BD!$A$3:$A$5001,T$3,BD!$B$3:$B$5001,$A$301)))</f>
        <v/>
      </c>
      <c r="U321" s="212" t="str">
        <f>IF(U$3="","",IF(COUNTIFS(BD!$A$3:$A$5001,U$3,BD!$B$3:$B$5001,$A$301,BD!$W$3:$W$5001,"&lt;&gt;")=0,"",SUMIFS(BD!$W$3:$W$5001,BD!$A$3:$A$5001,U$3,BD!$B$3:$B$5001,$A$301)))</f>
        <v/>
      </c>
      <c r="V321" s="212" t="str">
        <f>IF(V$3="","",IF(COUNTIFS(BD!$A$3:$A$5001,V$3,BD!$B$3:$B$5001,$A$301,BD!$W$3:$W$5001,"&lt;&gt;")=0,"",SUMIFS(BD!$W$3:$W$5001,BD!$A$3:$A$5001,V$3,BD!$B$3:$B$5001,$A$301)))</f>
        <v/>
      </c>
      <c r="W321" s="212" t="str">
        <f>IF(W$3="","",IF(COUNTIFS(BD!$A$3:$A$5001,W$3,BD!$B$3:$B$5001,$A$301,BD!$W$3:$W$5001,"&lt;&gt;")=0,"",SUMIFS(BD!$W$3:$W$5001,BD!$A$3:$A$5001,W$3,BD!$B$3:$B$5001,$A$301)))</f>
        <v/>
      </c>
      <c r="X321" s="212" t="str">
        <f>IF(X$3="","",IF(COUNTIFS(BD!$A$3:$A$5001,X$3,BD!$B$3:$B$5001,$A$301,BD!$W$3:$W$5001,"&lt;&gt;")=0,"",SUMIFS(BD!$W$3:$W$5001,BD!$A$3:$A$5001,X$3,BD!$B$3:$B$5001,$A$301)))</f>
        <v/>
      </c>
      <c r="Y321" s="212" t="str">
        <f>IF(Y$3="","",IF(COUNTIFS(BD!$A$3:$A$5001,Y$3,BD!$B$3:$B$5001,$A$301,BD!$W$3:$W$5001,"&lt;&gt;")=0,"",SUMIFS(BD!$W$3:$W$5001,BD!$A$3:$A$5001,Y$3,BD!$B$3:$B$5001,$A$301)))</f>
        <v/>
      </c>
      <c r="Z321" s="212" t="str">
        <f>IF(Z$3="","",IF(COUNTIFS(BD!$A$3:$A$5001,Z$3,BD!$B$3:$B$5001,$A$301,BD!$W$3:$W$5001,"&lt;&gt;")=0,"",SUMIFS(BD!$W$3:$W$5001,BD!$A$3:$A$5001,Z$3,BD!$B$3:$B$5001,$A$301)))</f>
        <v/>
      </c>
      <c r="AA321" s="212" t="str">
        <f>IF(AA$3="","",IF(COUNTIFS(BD!$A$3:$A$5001,AA$3,BD!$B$3:$B$5001,$A$301,BD!$W$3:$W$5001,"&lt;&gt;")=0,"",SUMIFS(BD!$W$3:$W$5001,BD!$A$3:$A$5001,AA$3,BD!$B$3:$B$5001,$A$301)))</f>
        <v/>
      </c>
      <c r="AB321" s="212" t="str">
        <f>IF(AB$3="","",IF(COUNTIFS(BD!$A$3:$A$5001,AB$3,BD!$B$3:$B$5001,$A$301,BD!$W$3:$W$5001,"&lt;&gt;")=0,"",SUMIFS(BD!$W$3:$W$5001,BD!$A$3:$A$5001,AB$3,BD!$B$3:$B$5001,$A$301)))</f>
        <v/>
      </c>
      <c r="AC321" s="212" t="str">
        <f>IF(AC$3="","",IF(COUNTIFS(BD!$A$3:$A$5001,AC$3,BD!$B$3:$B$5001,$A$301,BD!$W$3:$W$5001,"&lt;&gt;")=0,"",SUMIFS(BD!$W$3:$W$5001,BD!$A$3:$A$5001,AC$3,BD!$B$3:$B$5001,$A$301)))</f>
        <v/>
      </c>
      <c r="AD321" s="212" t="str">
        <f>IF(AD$3="","",IF(COUNTIFS(BD!$A$3:$A$5001,AD$3,BD!$B$3:$B$5001,$A$301,BD!$W$3:$W$5001,"&lt;&gt;")=0,"",SUMIFS(BD!$W$3:$W$5001,BD!$A$3:$A$5001,AD$3,BD!$B$3:$B$5001,$A$301)))</f>
        <v/>
      </c>
      <c r="AE321" s="212" t="str">
        <f>IF(AE$3="","",IF(COUNTIFS(BD!$A$3:$A$5001,AE$3,BD!$B$3:$B$5001,$A$301,BD!$W$3:$W$5001,"&lt;&gt;")=0,"",SUMIFS(BD!$W$3:$W$5001,BD!$A$3:$A$5001,AE$3,BD!$B$3:$B$5001,$A$301)))</f>
        <v/>
      </c>
      <c r="AF321" s="212" t="str">
        <f>IF(AF$3="","",IF(COUNTIFS(BD!$A$3:$A$5001,AF$3,BD!$B$3:$B$5001,$A$301,BD!$W$3:$W$5001,"&lt;&gt;")=0,"",SUMIFS(BD!$W$3:$W$5001,BD!$A$3:$A$5001,AF$3,BD!$B$3:$B$5001,$A$301)))</f>
        <v/>
      </c>
      <c r="AG321" s="212" t="str">
        <f>IF(AG$3="","",IF(COUNTIFS(BD!$A$3:$A$5001,AG$3,BD!$B$3:$B$5001,$A$301,BD!$W$3:$W$5001,"&lt;&gt;")=0,"",SUMIFS(BD!$W$3:$W$5001,BD!$A$3:$A$5001,AG$3,BD!$B$3:$B$5001,$A$301)))</f>
        <v/>
      </c>
      <c r="AH321" s="212" t="str">
        <f>IF(AH$3="","",IF(COUNTIFS(BD!$A$3:$A$5001,AH$3,BD!$B$3:$B$5001,$A$301,BD!$W$3:$W$5001,"&lt;&gt;")=0,"",SUMIFS(BD!$W$3:$W$5001,BD!$A$3:$A$5001,AH$3,BD!$B$3:$B$5001,$A$301)))</f>
        <v/>
      </c>
      <c r="AI321" s="212" t="str">
        <f>IF(AI$3="","",IF(COUNTIFS(BD!$A$3:$A$5001,AI$3,BD!$B$3:$B$5001,$A$301,BD!$W$3:$W$5001,"&lt;&gt;")=0,"",SUMIFS(BD!$W$3:$W$5001,BD!$A$3:$A$5001,AI$3,BD!$B$3:$B$5001,$A$301)))</f>
        <v/>
      </c>
      <c r="AJ321" s="213" t="str">
        <f>IF(AJ$3="","",IF(COUNTIFS(BD!$A$3:$A$5001,AJ$3,BD!$B$3:$B$5001,$A$301,BD!$W$3:$W$5001,"&lt;&gt;")=0,"",SUMIFS(BD!$W$3:$W$5001,BD!$A$3:$A$5001,AJ$3,BD!$B$3:$B$5001,$A$301)))</f>
        <v/>
      </c>
      <c r="AK321" s="209" t="str">
        <f>IFERROR(LOOKUP(9.99E+307,F321:AJ321),"")</f>
        <v/>
      </c>
    </row>
    <row r="322" ht="15.75" customHeight="1" hidden="1">
      <c r="A322" s="261"/>
      <c r="B322" s="249" t="inlineStr">
        <is>
          <t xml:space="preserve">OCUPAÇÃO (P.P)</t>
        </is>
      </c>
      <c r="C322" s="168" t="inlineStr">
        <is>
          <t xml:space="preserve">Posições Disponíveis</t>
        </is>
      </c>
      <c r="D322" s="169" t="str">
        <f>IFERROR(1/(1/INDEX(BD!$AL$44:$BF$44,MATCH($A$301,BD!$AL$22:$BF$22,0))),"")</f>
        <v/>
      </c>
      <c r="E322" s="170"/>
      <c r="F322" s="171" t="str">
        <f>IF(F$3="","",IF(COUNTIFS(BD!$A$3:$A$5001,F$3,BD!$B$3:$B$5001,$A$301,BD!$X$3:$X$5001,"&lt;&gt;")=0,"",SUMIFS(BD!$X$3:$X$5001,BD!$A$3:$A$5001,F$3,BD!$B$3:$B$5001,$A$301)))</f>
        <v/>
      </c>
      <c r="G322" s="172" t="str">
        <f>IF(G$3="","",IF(COUNTIFS(BD!$A$3:$A$5001,G$3,BD!$B$3:$B$5001,$A$301,BD!$X$3:$X$5001,"&lt;&gt;")=0,"",SUMIFS(BD!$X$3:$X$5001,BD!$A$3:$A$5001,G$3,BD!$B$3:$B$5001,$A$301)))</f>
        <v/>
      </c>
      <c r="H322" s="172" t="str">
        <f>IF(H$3="","",IF(COUNTIFS(BD!$A$3:$A$5001,H$3,BD!$B$3:$B$5001,$A$301,BD!$X$3:$X$5001,"&lt;&gt;")=0,"",SUMIFS(BD!$X$3:$X$5001,BD!$A$3:$A$5001,H$3,BD!$B$3:$B$5001,$A$301)))</f>
        <v/>
      </c>
      <c r="I322" s="172" t="str">
        <f>IF(I$3="","",IF(COUNTIFS(BD!$A$3:$A$5001,I$3,BD!$B$3:$B$5001,$A$301,BD!$X$3:$X$5001,"&lt;&gt;")=0,"",SUMIFS(BD!$X$3:$X$5001,BD!$A$3:$A$5001,I$3,BD!$B$3:$B$5001,$A$301)))</f>
        <v/>
      </c>
      <c r="J322" s="172" t="str">
        <f>IF(J$3="","",IF(COUNTIFS(BD!$A$3:$A$5001,J$3,BD!$B$3:$B$5001,$A$301,BD!$X$3:$X$5001,"&lt;&gt;")=0,"",SUMIFS(BD!$X$3:$X$5001,BD!$A$3:$A$5001,J$3,BD!$B$3:$B$5001,$A$301)))</f>
        <v/>
      </c>
      <c r="K322" s="172" t="str">
        <f>IF(K$3="","",IF(COUNTIFS(BD!$A$3:$A$5001,K$3,BD!$B$3:$B$5001,$A$301,BD!$X$3:$X$5001,"&lt;&gt;")=0,"",SUMIFS(BD!$X$3:$X$5001,BD!$A$3:$A$5001,K$3,BD!$B$3:$B$5001,$A$301)))</f>
        <v/>
      </c>
      <c r="L322" s="172" t="str">
        <f>IF(L$3="","",IF(COUNTIFS(BD!$A$3:$A$5001,L$3,BD!$B$3:$B$5001,$A$301,BD!$X$3:$X$5001,"&lt;&gt;")=0,"",SUMIFS(BD!$X$3:$X$5001,BD!$A$3:$A$5001,L$3,BD!$B$3:$B$5001,$A$301)))</f>
        <v/>
      </c>
      <c r="M322" s="172" t="str">
        <f>IF(M$3="","",IF(COUNTIFS(BD!$A$3:$A$5001,M$3,BD!$B$3:$B$5001,$A$301,BD!$X$3:$X$5001,"&lt;&gt;")=0,"",SUMIFS(BD!$X$3:$X$5001,BD!$A$3:$A$5001,M$3,BD!$B$3:$B$5001,$A$301)))</f>
        <v/>
      </c>
      <c r="N322" s="172" t="str">
        <f>IF(N$3="","",IF(COUNTIFS(BD!$A$3:$A$5001,N$3,BD!$B$3:$B$5001,$A$301,BD!$X$3:$X$5001,"&lt;&gt;")=0,"",SUMIFS(BD!$X$3:$X$5001,BD!$A$3:$A$5001,N$3,BD!$B$3:$B$5001,$A$301)))</f>
        <v/>
      </c>
      <c r="O322" s="172" t="str">
        <f>IF(O$3="","",IF(COUNTIFS(BD!$A$3:$A$5001,O$3,BD!$B$3:$B$5001,$A$301,BD!$X$3:$X$5001,"&lt;&gt;")=0,"",SUMIFS(BD!$X$3:$X$5001,BD!$A$3:$A$5001,O$3,BD!$B$3:$B$5001,$A$301)))</f>
        <v/>
      </c>
      <c r="P322" s="172" t="str">
        <f>IF(P$3="","",IF(COUNTIFS(BD!$A$3:$A$5001,P$3,BD!$B$3:$B$5001,$A$301,BD!$X$3:$X$5001,"&lt;&gt;")=0,"",SUMIFS(BD!$X$3:$X$5001,BD!$A$3:$A$5001,P$3,BD!$B$3:$B$5001,$A$301)))</f>
        <v/>
      </c>
      <c r="Q322" s="172" t="str">
        <f>IF(Q$3="","",IF(COUNTIFS(BD!$A$3:$A$5001,Q$3,BD!$B$3:$B$5001,$A$301,BD!$X$3:$X$5001,"&lt;&gt;")=0,"",SUMIFS(BD!$X$3:$X$5001,BD!$A$3:$A$5001,Q$3,BD!$B$3:$B$5001,$A$301)))</f>
        <v/>
      </c>
      <c r="R322" s="172" t="str">
        <f>IF(R$3="","",IF(COUNTIFS(BD!$A$3:$A$5001,R$3,BD!$B$3:$B$5001,$A$301,BD!$X$3:$X$5001,"&lt;&gt;")=0,"",SUMIFS(BD!$X$3:$X$5001,BD!$A$3:$A$5001,R$3,BD!$B$3:$B$5001,$A$301)))</f>
        <v/>
      </c>
      <c r="S322" s="172" t="str">
        <f>IF(S$3="","",IF(COUNTIFS(BD!$A$3:$A$5001,S$3,BD!$B$3:$B$5001,$A$301,BD!$X$3:$X$5001,"&lt;&gt;")=0,"",SUMIFS(BD!$X$3:$X$5001,BD!$A$3:$A$5001,S$3,BD!$B$3:$B$5001,$A$301)))</f>
        <v/>
      </c>
      <c r="T322" s="172" t="str">
        <f>IF(T$3="","",IF(COUNTIFS(BD!$A$3:$A$5001,T$3,BD!$B$3:$B$5001,$A$301,BD!$X$3:$X$5001,"&lt;&gt;")=0,"",SUMIFS(BD!$X$3:$X$5001,BD!$A$3:$A$5001,T$3,BD!$B$3:$B$5001,$A$301)))</f>
        <v/>
      </c>
      <c r="U322" s="172" t="str">
        <f>IF(U$3="","",IF(COUNTIFS(BD!$A$3:$A$5001,U$3,BD!$B$3:$B$5001,$A$301,BD!$X$3:$X$5001,"&lt;&gt;")=0,"",SUMIFS(BD!$X$3:$X$5001,BD!$A$3:$A$5001,U$3,BD!$B$3:$B$5001,$A$301)))</f>
        <v/>
      </c>
      <c r="V322" s="172" t="str">
        <f>IF(V$3="","",IF(COUNTIFS(BD!$A$3:$A$5001,V$3,BD!$B$3:$B$5001,$A$301,BD!$X$3:$X$5001,"&lt;&gt;")=0,"",SUMIFS(BD!$X$3:$X$5001,BD!$A$3:$A$5001,V$3,BD!$B$3:$B$5001,$A$301)))</f>
        <v/>
      </c>
      <c r="W322" s="172" t="str">
        <f>IF(W$3="","",IF(COUNTIFS(BD!$A$3:$A$5001,W$3,BD!$B$3:$B$5001,$A$301,BD!$X$3:$X$5001,"&lt;&gt;")=0,"",SUMIFS(BD!$X$3:$X$5001,BD!$A$3:$A$5001,W$3,BD!$B$3:$B$5001,$A$301)))</f>
        <v/>
      </c>
      <c r="X322" s="172" t="str">
        <f>IF(X$3="","",IF(COUNTIFS(BD!$A$3:$A$5001,X$3,BD!$B$3:$B$5001,$A$301,BD!$X$3:$X$5001,"&lt;&gt;")=0,"",SUMIFS(BD!$X$3:$X$5001,BD!$A$3:$A$5001,X$3,BD!$B$3:$B$5001,$A$301)))</f>
        <v/>
      </c>
      <c r="Y322" s="172" t="str">
        <f>IF(Y$3="","",IF(COUNTIFS(BD!$A$3:$A$5001,Y$3,BD!$B$3:$B$5001,$A$301,BD!$X$3:$X$5001,"&lt;&gt;")=0,"",SUMIFS(BD!$X$3:$X$5001,BD!$A$3:$A$5001,Y$3,BD!$B$3:$B$5001,$A$301)))</f>
        <v/>
      </c>
      <c r="Z322" s="172" t="str">
        <f>IF(Z$3="","",IF(COUNTIFS(BD!$A$3:$A$5001,Z$3,BD!$B$3:$B$5001,$A$301,BD!$X$3:$X$5001,"&lt;&gt;")=0,"",SUMIFS(BD!$X$3:$X$5001,BD!$A$3:$A$5001,Z$3,BD!$B$3:$B$5001,$A$301)))</f>
        <v/>
      </c>
      <c r="AA322" s="172" t="str">
        <f>IF(AA$3="","",IF(COUNTIFS(BD!$A$3:$A$5001,AA$3,BD!$B$3:$B$5001,$A$301,BD!$X$3:$X$5001,"&lt;&gt;")=0,"",SUMIFS(BD!$X$3:$X$5001,BD!$A$3:$A$5001,AA$3,BD!$B$3:$B$5001,$A$301)))</f>
        <v/>
      </c>
      <c r="AB322" s="172" t="str">
        <f>IF(AB$3="","",IF(COUNTIFS(BD!$A$3:$A$5001,AB$3,BD!$B$3:$B$5001,$A$301,BD!$X$3:$X$5001,"&lt;&gt;")=0,"",SUMIFS(BD!$X$3:$X$5001,BD!$A$3:$A$5001,AB$3,BD!$B$3:$B$5001,$A$301)))</f>
        <v/>
      </c>
      <c r="AC322" s="172" t="str">
        <f>IF(AC$3="","",IF(COUNTIFS(BD!$A$3:$A$5001,AC$3,BD!$B$3:$B$5001,$A$301,BD!$X$3:$X$5001,"&lt;&gt;")=0,"",SUMIFS(BD!$X$3:$X$5001,BD!$A$3:$A$5001,AC$3,BD!$B$3:$B$5001,$A$301)))</f>
        <v/>
      </c>
      <c r="AD322" s="172" t="str">
        <f>IF(AD$3="","",IF(COUNTIFS(BD!$A$3:$A$5001,AD$3,BD!$B$3:$B$5001,$A$301,BD!$X$3:$X$5001,"&lt;&gt;")=0,"",SUMIFS(BD!$X$3:$X$5001,BD!$A$3:$A$5001,AD$3,BD!$B$3:$B$5001,$A$301)))</f>
        <v/>
      </c>
      <c r="AE322" s="172" t="str">
        <f>IF(AE$3="","",IF(COUNTIFS(BD!$A$3:$A$5001,AE$3,BD!$B$3:$B$5001,$A$301,BD!$X$3:$X$5001,"&lt;&gt;")=0,"",SUMIFS(BD!$X$3:$X$5001,BD!$A$3:$A$5001,AE$3,BD!$B$3:$B$5001,$A$301)))</f>
        <v/>
      </c>
      <c r="AF322" s="172" t="str">
        <f>IF(AF$3="","",IF(COUNTIFS(BD!$A$3:$A$5001,AF$3,BD!$B$3:$B$5001,$A$301,BD!$X$3:$X$5001,"&lt;&gt;")=0,"",SUMIFS(BD!$X$3:$X$5001,BD!$A$3:$A$5001,AF$3,BD!$B$3:$B$5001,$A$301)))</f>
        <v/>
      </c>
      <c r="AG322" s="172" t="str">
        <f>IF(AG$3="","",IF(COUNTIFS(BD!$A$3:$A$5001,AG$3,BD!$B$3:$B$5001,$A$301,BD!$X$3:$X$5001,"&lt;&gt;")=0,"",SUMIFS(BD!$X$3:$X$5001,BD!$A$3:$A$5001,AG$3,BD!$B$3:$B$5001,$A$301)))</f>
        <v/>
      </c>
      <c r="AH322" s="172" t="str">
        <f>IF(AH$3="","",IF(COUNTIFS(BD!$A$3:$A$5001,AH$3,BD!$B$3:$B$5001,$A$301,BD!$X$3:$X$5001,"&lt;&gt;")=0,"",SUMIFS(BD!$X$3:$X$5001,BD!$A$3:$A$5001,AH$3,BD!$B$3:$B$5001,$A$301)))</f>
        <v/>
      </c>
      <c r="AI322" s="172" t="str">
        <f>IF(AI$3="","",IF(COUNTIFS(BD!$A$3:$A$5001,AI$3,BD!$B$3:$B$5001,$A$301,BD!$X$3:$X$5001,"&lt;&gt;")=0,"",SUMIFS(BD!$X$3:$X$5001,BD!$A$3:$A$5001,AI$3,BD!$B$3:$B$5001,$A$301)))</f>
        <v/>
      </c>
      <c r="AJ322" s="173" t="str">
        <f>IF(AJ$3="","",IF(COUNTIFS(BD!$A$3:$A$5001,AJ$3,BD!$B$3:$B$5001,$A$301,BD!$X$3:$X$5001,"&lt;&gt;")=0,"",SUMIFS(BD!$X$3:$X$5001,BD!$A$3:$A$5001,AJ$3,BD!$B$3:$B$5001,$A$301)))</f>
        <v/>
      </c>
      <c r="AK322" s="174" t="str">
        <f>IF(COUNT(F322:AJ322)&gt;0,LOOKUP(9.99E+307,F322:AJ322),IFERROR(IF(INDEX(BD!$AI$3:$AI$5001,MATCH($A$301,BD!$B$3:$B$5001,0))&amp;""="Contrato","",INDEX(BD!$AI$3:$AI$5001,MATCH($A$301,BD!$B$3:$B$5001,0))&amp;""),""))</f>
        <v/>
      </c>
    </row>
    <row r="323" ht="15.75" customHeight="1" hidden="1">
      <c r="A323" s="261"/>
      <c r="B323" s="256"/>
      <c r="C323" s="214" t="inlineStr">
        <is>
          <t xml:space="preserve">Posições Ocupadas</t>
        </is>
      </c>
      <c r="D323" s="215" t="str">
        <f>IFERROR(1/(1/INDEX(BD!$AL$45:$BF$45,MATCH($A$301,BD!$AL$22:$BF$22,0))),"")</f>
        <v/>
      </c>
      <c r="E323" s="216"/>
      <c r="F323" s="217" t="str">
        <f>IF(F$3="","",IF(COUNTIFS(BD!$A$3:$A$5001,F$3,BD!$B$3:$B$5001,$A$301,BD!$Y$3:$Y$5001,"&lt;&gt;")=0,"",SUMIFS(BD!$Y$3:$Y$5001,BD!$A$3:$A$5001,F$3,BD!$B$3:$B$5001,$A$301)))</f>
        <v/>
      </c>
      <c r="G323" s="218" t="str">
        <f>IF(G$3="","",IF(COUNTIFS(BD!$A$3:$A$5001,G$3,BD!$B$3:$B$5001,$A$301,BD!$Y$3:$Y$5001,"&lt;&gt;")=0,"",SUMIFS(BD!$Y$3:$Y$5001,BD!$A$3:$A$5001,G$3,BD!$B$3:$B$5001,$A$301)))</f>
        <v/>
      </c>
      <c r="H323" s="218" t="str">
        <f>IF(H$3="","",IF(COUNTIFS(BD!$A$3:$A$5001,H$3,BD!$B$3:$B$5001,$A$301,BD!$Y$3:$Y$5001,"&lt;&gt;")=0,"",SUMIFS(BD!$Y$3:$Y$5001,BD!$A$3:$A$5001,H$3,BD!$B$3:$B$5001,$A$301)))</f>
        <v/>
      </c>
      <c r="I323" s="218" t="str">
        <f>IF(I$3="","",IF(COUNTIFS(BD!$A$3:$A$5001,I$3,BD!$B$3:$B$5001,$A$301,BD!$Y$3:$Y$5001,"&lt;&gt;")=0,"",SUMIFS(BD!$Y$3:$Y$5001,BD!$A$3:$A$5001,I$3,BD!$B$3:$B$5001,$A$301)))</f>
        <v/>
      </c>
      <c r="J323" s="218" t="str">
        <f>IF(J$3="","",IF(COUNTIFS(BD!$A$3:$A$5001,J$3,BD!$B$3:$B$5001,$A$301,BD!$Y$3:$Y$5001,"&lt;&gt;")=0,"",SUMIFS(BD!$Y$3:$Y$5001,BD!$A$3:$A$5001,J$3,BD!$B$3:$B$5001,$A$301)))</f>
        <v/>
      </c>
      <c r="K323" s="218" t="str">
        <f>IF(K$3="","",IF(COUNTIFS(BD!$A$3:$A$5001,K$3,BD!$B$3:$B$5001,$A$301,BD!$Y$3:$Y$5001,"&lt;&gt;")=0,"",SUMIFS(BD!$Y$3:$Y$5001,BD!$A$3:$A$5001,K$3,BD!$B$3:$B$5001,$A$301)))</f>
        <v/>
      </c>
      <c r="L323" s="218" t="str">
        <f>IF(L$3="","",IF(COUNTIFS(BD!$A$3:$A$5001,L$3,BD!$B$3:$B$5001,$A$301,BD!$Y$3:$Y$5001,"&lt;&gt;")=0,"",SUMIFS(BD!$Y$3:$Y$5001,BD!$A$3:$A$5001,L$3,BD!$B$3:$B$5001,$A$301)))</f>
        <v/>
      </c>
      <c r="M323" s="218" t="str">
        <f>IF(M$3="","",IF(COUNTIFS(BD!$A$3:$A$5001,M$3,BD!$B$3:$B$5001,$A$301,BD!$Y$3:$Y$5001,"&lt;&gt;")=0,"",SUMIFS(BD!$Y$3:$Y$5001,BD!$A$3:$A$5001,M$3,BD!$B$3:$B$5001,$A$301)))</f>
        <v/>
      </c>
      <c r="N323" s="218" t="str">
        <f>IF(N$3="","",IF(COUNTIFS(BD!$A$3:$A$5001,N$3,BD!$B$3:$B$5001,$A$301,BD!$Y$3:$Y$5001,"&lt;&gt;")=0,"",SUMIFS(BD!$Y$3:$Y$5001,BD!$A$3:$A$5001,N$3,BD!$B$3:$B$5001,$A$301)))</f>
        <v/>
      </c>
      <c r="O323" s="218" t="str">
        <f>IF(O$3="","",IF(COUNTIFS(BD!$A$3:$A$5001,O$3,BD!$B$3:$B$5001,$A$301,BD!$Y$3:$Y$5001,"&lt;&gt;")=0,"",SUMIFS(BD!$Y$3:$Y$5001,BD!$A$3:$A$5001,O$3,BD!$B$3:$B$5001,$A$301)))</f>
        <v/>
      </c>
      <c r="P323" s="218" t="str">
        <f>IF(P$3="","",IF(COUNTIFS(BD!$A$3:$A$5001,P$3,BD!$B$3:$B$5001,$A$301,BD!$Y$3:$Y$5001,"&lt;&gt;")=0,"",SUMIFS(BD!$Y$3:$Y$5001,BD!$A$3:$A$5001,P$3,BD!$B$3:$B$5001,$A$301)))</f>
        <v/>
      </c>
      <c r="Q323" s="218" t="str">
        <f>IF(Q$3="","",IF(COUNTIFS(BD!$A$3:$A$5001,Q$3,BD!$B$3:$B$5001,$A$301,BD!$Y$3:$Y$5001,"&lt;&gt;")=0,"",SUMIFS(BD!$Y$3:$Y$5001,BD!$A$3:$A$5001,Q$3,BD!$B$3:$B$5001,$A$301)))</f>
        <v/>
      </c>
      <c r="R323" s="218" t="str">
        <f>IF(R$3="","",IF(COUNTIFS(BD!$A$3:$A$5001,R$3,BD!$B$3:$B$5001,$A$301,BD!$Y$3:$Y$5001,"&lt;&gt;")=0,"",SUMIFS(BD!$Y$3:$Y$5001,BD!$A$3:$A$5001,R$3,BD!$B$3:$B$5001,$A$301)))</f>
        <v/>
      </c>
      <c r="S323" s="218" t="str">
        <f>IF(S$3="","",IF(COUNTIFS(BD!$A$3:$A$5001,S$3,BD!$B$3:$B$5001,$A$301,BD!$Y$3:$Y$5001,"&lt;&gt;")=0,"",SUMIFS(BD!$Y$3:$Y$5001,BD!$A$3:$A$5001,S$3,BD!$B$3:$B$5001,$A$301)))</f>
        <v/>
      </c>
      <c r="T323" s="218" t="str">
        <f>IF(T$3="","",IF(COUNTIFS(BD!$A$3:$A$5001,T$3,BD!$B$3:$B$5001,$A$301,BD!$Y$3:$Y$5001,"&lt;&gt;")=0,"",SUMIFS(BD!$Y$3:$Y$5001,BD!$A$3:$A$5001,T$3,BD!$B$3:$B$5001,$A$301)))</f>
        <v/>
      </c>
      <c r="U323" s="218" t="str">
        <f>IF(U$3="","",IF(COUNTIFS(BD!$A$3:$A$5001,U$3,BD!$B$3:$B$5001,$A$301,BD!$Y$3:$Y$5001,"&lt;&gt;")=0,"",SUMIFS(BD!$Y$3:$Y$5001,BD!$A$3:$A$5001,U$3,BD!$B$3:$B$5001,$A$301)))</f>
        <v/>
      </c>
      <c r="V323" s="218" t="str">
        <f>IF(V$3="","",IF(COUNTIFS(BD!$A$3:$A$5001,V$3,BD!$B$3:$B$5001,$A$301,BD!$Y$3:$Y$5001,"&lt;&gt;")=0,"",SUMIFS(BD!$Y$3:$Y$5001,BD!$A$3:$A$5001,V$3,BD!$B$3:$B$5001,$A$301)))</f>
        <v/>
      </c>
      <c r="W323" s="218" t="str">
        <f>IF(W$3="","",IF(COUNTIFS(BD!$A$3:$A$5001,W$3,BD!$B$3:$B$5001,$A$301,BD!$Y$3:$Y$5001,"&lt;&gt;")=0,"",SUMIFS(BD!$Y$3:$Y$5001,BD!$A$3:$A$5001,W$3,BD!$B$3:$B$5001,$A$301)))</f>
        <v/>
      </c>
      <c r="X323" s="218" t="str">
        <f>IF(X$3="","",IF(COUNTIFS(BD!$A$3:$A$5001,X$3,BD!$B$3:$B$5001,$A$301,BD!$Y$3:$Y$5001,"&lt;&gt;")=0,"",SUMIFS(BD!$Y$3:$Y$5001,BD!$A$3:$A$5001,X$3,BD!$B$3:$B$5001,$A$301)))</f>
        <v/>
      </c>
      <c r="Y323" s="218" t="str">
        <f>IF(Y$3="","",IF(COUNTIFS(BD!$A$3:$A$5001,Y$3,BD!$B$3:$B$5001,$A$301,BD!$Y$3:$Y$5001,"&lt;&gt;")=0,"",SUMIFS(BD!$Y$3:$Y$5001,BD!$A$3:$A$5001,Y$3,BD!$B$3:$B$5001,$A$301)))</f>
        <v/>
      </c>
      <c r="Z323" s="218" t="str">
        <f>IF(Z$3="","",IF(COUNTIFS(BD!$A$3:$A$5001,Z$3,BD!$B$3:$B$5001,$A$301,BD!$Y$3:$Y$5001,"&lt;&gt;")=0,"",SUMIFS(BD!$Y$3:$Y$5001,BD!$A$3:$A$5001,Z$3,BD!$B$3:$B$5001,$A$301)))</f>
        <v/>
      </c>
      <c r="AA323" s="218" t="str">
        <f>IF(AA$3="","",IF(COUNTIFS(BD!$A$3:$A$5001,AA$3,BD!$B$3:$B$5001,$A$301,BD!$Y$3:$Y$5001,"&lt;&gt;")=0,"",SUMIFS(BD!$Y$3:$Y$5001,BD!$A$3:$A$5001,AA$3,BD!$B$3:$B$5001,$A$301)))</f>
        <v/>
      </c>
      <c r="AB323" s="218" t="str">
        <f>IF(AB$3="","",IF(COUNTIFS(BD!$A$3:$A$5001,AB$3,BD!$B$3:$B$5001,$A$301,BD!$Y$3:$Y$5001,"&lt;&gt;")=0,"",SUMIFS(BD!$Y$3:$Y$5001,BD!$A$3:$A$5001,AB$3,BD!$B$3:$B$5001,$A$301)))</f>
        <v/>
      </c>
      <c r="AC323" s="218" t="str">
        <f>IF(AC$3="","",IF(COUNTIFS(BD!$A$3:$A$5001,AC$3,BD!$B$3:$B$5001,$A$301,BD!$Y$3:$Y$5001,"&lt;&gt;")=0,"",SUMIFS(BD!$Y$3:$Y$5001,BD!$A$3:$A$5001,AC$3,BD!$B$3:$B$5001,$A$301)))</f>
        <v/>
      </c>
      <c r="AD323" s="218" t="str">
        <f>IF(AD$3="","",IF(COUNTIFS(BD!$A$3:$A$5001,AD$3,BD!$B$3:$B$5001,$A$301,BD!$Y$3:$Y$5001,"&lt;&gt;")=0,"",SUMIFS(BD!$Y$3:$Y$5001,BD!$A$3:$A$5001,AD$3,BD!$B$3:$B$5001,$A$301)))</f>
        <v/>
      </c>
      <c r="AE323" s="218" t="str">
        <f>IF(AE$3="","",IF(COUNTIFS(BD!$A$3:$A$5001,AE$3,BD!$B$3:$B$5001,$A$301,BD!$Y$3:$Y$5001,"&lt;&gt;")=0,"",SUMIFS(BD!$Y$3:$Y$5001,BD!$A$3:$A$5001,AE$3,BD!$B$3:$B$5001,$A$301)))</f>
        <v/>
      </c>
      <c r="AF323" s="218" t="str">
        <f>IF(AF$3="","",IF(COUNTIFS(BD!$A$3:$A$5001,AF$3,BD!$B$3:$B$5001,$A$301,BD!$Y$3:$Y$5001,"&lt;&gt;")=0,"",SUMIFS(BD!$Y$3:$Y$5001,BD!$A$3:$A$5001,AF$3,BD!$B$3:$B$5001,$A$301)))</f>
        <v/>
      </c>
      <c r="AG323" s="218" t="str">
        <f>IF(AG$3="","",IF(COUNTIFS(BD!$A$3:$A$5001,AG$3,BD!$B$3:$B$5001,$A$301,BD!$Y$3:$Y$5001,"&lt;&gt;")=0,"",SUMIFS(BD!$Y$3:$Y$5001,BD!$A$3:$A$5001,AG$3,BD!$B$3:$B$5001,$A$301)))</f>
        <v/>
      </c>
      <c r="AH323" s="218" t="str">
        <f>IF(AH$3="","",IF(COUNTIFS(BD!$A$3:$A$5001,AH$3,BD!$B$3:$B$5001,$A$301,BD!$Y$3:$Y$5001,"&lt;&gt;")=0,"",SUMIFS(BD!$Y$3:$Y$5001,BD!$A$3:$A$5001,AH$3,BD!$B$3:$B$5001,$A$301)))</f>
        <v/>
      </c>
      <c r="AI323" s="218" t="str">
        <f>IF(AI$3="","",IF(COUNTIFS(BD!$A$3:$A$5001,AI$3,BD!$B$3:$B$5001,$A$301,BD!$Y$3:$Y$5001,"&lt;&gt;")=0,"",SUMIFS(BD!$Y$3:$Y$5001,BD!$A$3:$A$5001,AI$3,BD!$B$3:$B$5001,$A$301)))</f>
        <v/>
      </c>
      <c r="AJ323" s="219" t="str">
        <f>IF(AJ$3="","",IF(COUNTIFS(BD!$A$3:$A$5001,AJ$3,BD!$B$3:$B$5001,$A$301,BD!$Y$3:$Y$5001,"&lt;&gt;")=0,"",SUMIFS(BD!$Y$3:$Y$5001,BD!$A$3:$A$5001,AJ$3,BD!$B$3:$B$5001,$A$301)))</f>
        <v/>
      </c>
      <c r="AK323" s="220" t="str">
        <f>IFERROR(LOOKUP(9.99E+307,F323:AJ323),"")</f>
        <v/>
      </c>
    </row>
    <row r="324" ht="15.75" customHeight="1" hidden="1">
      <c r="A324" s="261"/>
      <c r="B324" s="250"/>
      <c r="C324" s="175" t="inlineStr">
        <is>
          <t xml:space="preserve">Taxa de Ocupação</t>
        </is>
      </c>
      <c r="D324" s="221" t="str">
        <f>IFERROR(1/(1/INDEX(BD!$AL$46:$BF$46,MATCH($A$301,BD!$AL$22:$BF$22,0))),"")</f>
        <v/>
      </c>
      <c r="E324" s="177"/>
      <c r="F324" s="222" t="str">
        <f>IF(AND(ISNUMBER(F322),ISNUMBER(F323)),IF(F322&gt;0,F323/F322,""),"")</f>
        <v/>
      </c>
      <c r="G324" s="223" t="str">
        <f>IF(AND(ISNUMBER(G322),ISNUMBER(G323)),IF(G322&gt;0,G323/G322,""),"")</f>
        <v/>
      </c>
      <c r="H324" s="223" t="str">
        <f>IF(AND(ISNUMBER(H322),ISNUMBER(H323)),IF(H322&gt;0,H323/H322,""),"")</f>
        <v/>
      </c>
      <c r="I324" s="223" t="str">
        <f>IF(AND(ISNUMBER(I322),ISNUMBER(I323)),IF(I322&gt;0,I323/I322,""),"")</f>
        <v/>
      </c>
      <c r="J324" s="223" t="str">
        <f>IF(AND(ISNUMBER(J322),ISNUMBER(J323)),IF(J322&gt;0,J323/J322,""),"")</f>
        <v/>
      </c>
      <c r="K324" s="223" t="str">
        <f>IF(AND(ISNUMBER(K322),ISNUMBER(K323)),IF(K322&gt;0,K323/K322,""),"")</f>
        <v/>
      </c>
      <c r="L324" s="223" t="str">
        <f>IF(AND(ISNUMBER(L322),ISNUMBER(L323)),IF(L322&gt;0,L323/L322,""),"")</f>
        <v/>
      </c>
      <c r="M324" s="223" t="str">
        <f>IF(AND(ISNUMBER(M322),ISNUMBER(M323)),IF(M322&gt;0,M323/M322,""),"")</f>
        <v/>
      </c>
      <c r="N324" s="223" t="str">
        <f>IF(AND(ISNUMBER(N322),ISNUMBER(N323)),IF(N322&gt;0,N323/N322,""),"")</f>
        <v/>
      </c>
      <c r="O324" s="223" t="str">
        <f>IF(AND(ISNUMBER(O322),ISNUMBER(O323)),IF(O322&gt;0,O323/O322,""),"")</f>
        <v/>
      </c>
      <c r="P324" s="223" t="str">
        <f>IF(AND(ISNUMBER(P322),ISNUMBER(P323)),IF(P322&gt;0,P323/P322,""),"")</f>
        <v/>
      </c>
      <c r="Q324" s="223" t="str">
        <f>IF(AND(ISNUMBER(Q322),ISNUMBER(Q323)),IF(Q322&gt;0,Q323/Q322,""),"")</f>
        <v/>
      </c>
      <c r="R324" s="223" t="str">
        <f>IF(AND(ISNUMBER(R322),ISNUMBER(R323)),IF(R322&gt;0,R323/R322,""),"")</f>
        <v/>
      </c>
      <c r="S324" s="223" t="str">
        <f>IF(AND(ISNUMBER(S322),ISNUMBER(S323)),IF(S322&gt;0,S323/S322,""),"")</f>
        <v/>
      </c>
      <c r="T324" s="223" t="str">
        <f>IF(AND(ISNUMBER(T322),ISNUMBER(T323)),IF(T322&gt;0,T323/T322,""),"")</f>
        <v/>
      </c>
      <c r="U324" s="223" t="str">
        <f>IF(AND(ISNUMBER(U322),ISNUMBER(U323)),IF(U322&gt;0,U323/U322,""),"")</f>
        <v/>
      </c>
      <c r="V324" s="223" t="str">
        <f>IF(AND(ISNUMBER(V322),ISNUMBER(V323)),IF(V322&gt;0,V323/V322,""),"")</f>
        <v/>
      </c>
      <c r="W324" s="223" t="str">
        <f>IF(AND(ISNUMBER(W322),ISNUMBER(W323)),IF(W322&gt;0,W323/W322,""),"")</f>
        <v/>
      </c>
      <c r="X324" s="223" t="str">
        <f>IF(AND(ISNUMBER(X322),ISNUMBER(X323)),IF(X322&gt;0,X323/X322,""),"")</f>
        <v/>
      </c>
      <c r="Y324" s="223" t="str">
        <f>IF(AND(ISNUMBER(Y322),ISNUMBER(Y323)),IF(Y322&gt;0,Y323/Y322,""),"")</f>
        <v/>
      </c>
      <c r="Z324" s="223" t="str">
        <f>IF(AND(ISNUMBER(Z322),ISNUMBER(Z323)),IF(Z322&gt;0,Z323/Z322,""),"")</f>
        <v/>
      </c>
      <c r="AA324" s="223" t="str">
        <f>IF(AND(ISNUMBER(AA322),ISNUMBER(AA323)),IF(AA322&gt;0,AA323/AA322,""),"")</f>
        <v/>
      </c>
      <c r="AB324" s="223" t="str">
        <f>IF(AND(ISNUMBER(AB322),ISNUMBER(AB323)),IF(AB322&gt;0,AB323/AB322,""),"")</f>
        <v/>
      </c>
      <c r="AC324" s="223" t="str">
        <f>IF(AND(ISNUMBER(AC322),ISNUMBER(AC323)),IF(AC322&gt;0,AC323/AC322,""),"")</f>
        <v/>
      </c>
      <c r="AD324" s="223" t="str">
        <f>IF(AND(ISNUMBER(AD322),ISNUMBER(AD323)),IF(AD322&gt;0,AD323/AD322,""),"")</f>
        <v/>
      </c>
      <c r="AE324" s="223" t="str">
        <f>IF(AND(ISNUMBER(AE322),ISNUMBER(AE323)),IF(AE322&gt;0,AE323/AE322,""),"")</f>
        <v/>
      </c>
      <c r="AF324" s="223" t="str">
        <f>IF(AND(ISNUMBER(AF322),ISNUMBER(AF323)),IF(AF322&gt;0,AF323/AF322,""),"")</f>
        <v/>
      </c>
      <c r="AG324" s="223" t="str">
        <f>IF(AND(ISNUMBER(AG322),ISNUMBER(AG323)),IF(AG322&gt;0,AG323/AG322,""),"")</f>
        <v/>
      </c>
      <c r="AH324" s="223" t="str">
        <f>IF(AND(ISNUMBER(AH322),ISNUMBER(AH323)),IF(AH322&gt;0,AH323/AH322,""),"")</f>
        <v/>
      </c>
      <c r="AI324" s="223" t="str">
        <f>IF(AND(ISNUMBER(AI322),ISNUMBER(AI323)),IF(AI322&gt;0,AI323/AI322,""),"")</f>
        <v/>
      </c>
      <c r="AJ324" s="224" t="str">
        <f>IF(AND(ISNUMBER(AJ322),ISNUMBER(AJ323)),IF(AJ322&gt;0,AJ323/AJ322,""),"")</f>
        <v/>
      </c>
      <c r="AK324" s="221" t="str">
        <f>IF(AND(ISNUMBER(AK322),ISNUMBER(AK323)),IF(AK322&gt;0,AK323/AK322,""),"")</f>
        <v/>
      </c>
    </row>
    <row r="325" ht="15.75" customHeight="1" hidden="1">
      <c r="A325" s="261"/>
      <c r="B325" s="257" t="inlineStr">
        <is>
          <t xml:space="preserve">GENTE</t>
        </is>
      </c>
      <c r="C325" s="225" t="inlineStr">
        <is>
          <t xml:space="preserve">Efetivo Op.</t>
        </is>
      </c>
      <c r="D325" s="226" t="str">
        <f>IFERROR(1/(1/INDEX(BD!$AL$47:$BF$47,MATCH($A$301,BD!$AL$22:$BF$22,0))),"")</f>
        <v/>
      </c>
      <c r="E325" s="227"/>
      <c r="F325" s="228" t="str">
        <f>IF(F$3="","",IF(COUNTIFS(BD!$A$3:$A$5001,F$3,BD!$B$3:$B$5001,$A$301,BD!$Z$3:$Z$5001,"&lt;&gt;")=0,"",SUMIFS(BD!$Z$3:$Z$5001,BD!$A$3:$A$5001,F$3,BD!$B$3:$B$5001,$A$301)))</f>
        <v/>
      </c>
      <c r="G325" s="229" t="str">
        <f>IF(G$3="","",IF(COUNTIFS(BD!$A$3:$A$5001,G$3,BD!$B$3:$B$5001,$A$301,BD!$Z$3:$Z$5001,"&lt;&gt;")=0,"",SUMIFS(BD!$Z$3:$Z$5001,BD!$A$3:$A$5001,G$3,BD!$B$3:$B$5001,$A$301)))</f>
        <v/>
      </c>
      <c r="H325" s="229" t="str">
        <f>IF(H$3="","",IF(COUNTIFS(BD!$A$3:$A$5001,H$3,BD!$B$3:$B$5001,$A$301,BD!$Z$3:$Z$5001,"&lt;&gt;")=0,"",SUMIFS(BD!$Z$3:$Z$5001,BD!$A$3:$A$5001,H$3,BD!$B$3:$B$5001,$A$301)))</f>
        <v/>
      </c>
      <c r="I325" s="229" t="str">
        <f>IF(I$3="","",IF(COUNTIFS(BD!$A$3:$A$5001,I$3,BD!$B$3:$B$5001,$A$301,BD!$Z$3:$Z$5001,"&lt;&gt;")=0,"",SUMIFS(BD!$Z$3:$Z$5001,BD!$A$3:$A$5001,I$3,BD!$B$3:$B$5001,$A$301)))</f>
        <v/>
      </c>
      <c r="J325" s="229" t="str">
        <f>IF(J$3="","",IF(COUNTIFS(BD!$A$3:$A$5001,J$3,BD!$B$3:$B$5001,$A$301,BD!$Z$3:$Z$5001,"&lt;&gt;")=0,"",SUMIFS(BD!$Z$3:$Z$5001,BD!$A$3:$A$5001,J$3,BD!$B$3:$B$5001,$A$301)))</f>
        <v/>
      </c>
      <c r="K325" s="229" t="str">
        <f>IF(K$3="","",IF(COUNTIFS(BD!$A$3:$A$5001,K$3,BD!$B$3:$B$5001,$A$301,BD!$Z$3:$Z$5001,"&lt;&gt;")=0,"",SUMIFS(BD!$Z$3:$Z$5001,BD!$A$3:$A$5001,K$3,BD!$B$3:$B$5001,$A$301)))</f>
        <v/>
      </c>
      <c r="L325" s="229" t="str">
        <f>IF(L$3="","",IF(COUNTIFS(BD!$A$3:$A$5001,L$3,BD!$B$3:$B$5001,$A$301,BD!$Z$3:$Z$5001,"&lt;&gt;")=0,"",SUMIFS(BD!$Z$3:$Z$5001,BD!$A$3:$A$5001,L$3,BD!$B$3:$B$5001,$A$301)))</f>
        <v/>
      </c>
      <c r="M325" s="229" t="str">
        <f>IF(M$3="","",IF(COUNTIFS(BD!$A$3:$A$5001,M$3,BD!$B$3:$B$5001,$A$301,BD!$Z$3:$Z$5001,"&lt;&gt;")=0,"",SUMIFS(BD!$Z$3:$Z$5001,BD!$A$3:$A$5001,M$3,BD!$B$3:$B$5001,$A$301)))</f>
        <v/>
      </c>
      <c r="N325" s="229" t="str">
        <f>IF(N$3="","",IF(COUNTIFS(BD!$A$3:$A$5001,N$3,BD!$B$3:$B$5001,$A$301,BD!$Z$3:$Z$5001,"&lt;&gt;")=0,"",SUMIFS(BD!$Z$3:$Z$5001,BD!$A$3:$A$5001,N$3,BD!$B$3:$B$5001,$A$301)))</f>
        <v/>
      </c>
      <c r="O325" s="229" t="str">
        <f>IF(O$3="","",IF(COUNTIFS(BD!$A$3:$A$5001,O$3,BD!$B$3:$B$5001,$A$301,BD!$Z$3:$Z$5001,"&lt;&gt;")=0,"",SUMIFS(BD!$Z$3:$Z$5001,BD!$A$3:$A$5001,O$3,BD!$B$3:$B$5001,$A$301)))</f>
        <v/>
      </c>
      <c r="P325" s="229" t="str">
        <f>IF(P$3="","",IF(COUNTIFS(BD!$A$3:$A$5001,P$3,BD!$B$3:$B$5001,$A$301,BD!$Z$3:$Z$5001,"&lt;&gt;")=0,"",SUMIFS(BD!$Z$3:$Z$5001,BD!$A$3:$A$5001,P$3,BD!$B$3:$B$5001,$A$301)))</f>
        <v/>
      </c>
      <c r="Q325" s="229" t="str">
        <f>IF(Q$3="","",IF(COUNTIFS(BD!$A$3:$A$5001,Q$3,BD!$B$3:$B$5001,$A$301,BD!$Z$3:$Z$5001,"&lt;&gt;")=0,"",SUMIFS(BD!$Z$3:$Z$5001,BD!$A$3:$A$5001,Q$3,BD!$B$3:$B$5001,$A$301)))</f>
        <v/>
      </c>
      <c r="R325" s="229" t="str">
        <f>IF(R$3="","",IF(COUNTIFS(BD!$A$3:$A$5001,R$3,BD!$B$3:$B$5001,$A$301,BD!$Z$3:$Z$5001,"&lt;&gt;")=0,"",SUMIFS(BD!$Z$3:$Z$5001,BD!$A$3:$A$5001,R$3,BD!$B$3:$B$5001,$A$301)))</f>
        <v/>
      </c>
      <c r="S325" s="229" t="str">
        <f>IF(S$3="","",IF(COUNTIFS(BD!$A$3:$A$5001,S$3,BD!$B$3:$B$5001,$A$301,BD!$Z$3:$Z$5001,"&lt;&gt;")=0,"",SUMIFS(BD!$Z$3:$Z$5001,BD!$A$3:$A$5001,S$3,BD!$B$3:$B$5001,$A$301)))</f>
        <v/>
      </c>
      <c r="T325" s="229" t="str">
        <f>IF(T$3="","",IF(COUNTIFS(BD!$A$3:$A$5001,T$3,BD!$B$3:$B$5001,$A$301,BD!$Z$3:$Z$5001,"&lt;&gt;")=0,"",SUMIFS(BD!$Z$3:$Z$5001,BD!$A$3:$A$5001,T$3,BD!$B$3:$B$5001,$A$301)))</f>
        <v/>
      </c>
      <c r="U325" s="229" t="str">
        <f>IF(U$3="","",IF(COUNTIFS(BD!$A$3:$A$5001,U$3,BD!$B$3:$B$5001,$A$301,BD!$Z$3:$Z$5001,"&lt;&gt;")=0,"",SUMIFS(BD!$Z$3:$Z$5001,BD!$A$3:$A$5001,U$3,BD!$B$3:$B$5001,$A$301)))</f>
        <v/>
      </c>
      <c r="V325" s="229" t="str">
        <f>IF(V$3="","",IF(COUNTIFS(BD!$A$3:$A$5001,V$3,BD!$B$3:$B$5001,$A$301,BD!$Z$3:$Z$5001,"&lt;&gt;")=0,"",SUMIFS(BD!$Z$3:$Z$5001,BD!$A$3:$A$5001,V$3,BD!$B$3:$B$5001,$A$301)))</f>
        <v/>
      </c>
      <c r="W325" s="229" t="str">
        <f>IF(W$3="","",IF(COUNTIFS(BD!$A$3:$A$5001,W$3,BD!$B$3:$B$5001,$A$301,BD!$Z$3:$Z$5001,"&lt;&gt;")=0,"",SUMIFS(BD!$Z$3:$Z$5001,BD!$A$3:$A$5001,W$3,BD!$B$3:$B$5001,$A$301)))</f>
        <v/>
      </c>
      <c r="X325" s="229" t="str">
        <f>IF(X$3="","",IF(COUNTIFS(BD!$A$3:$A$5001,X$3,BD!$B$3:$B$5001,$A$301,BD!$Z$3:$Z$5001,"&lt;&gt;")=0,"",SUMIFS(BD!$Z$3:$Z$5001,BD!$A$3:$A$5001,X$3,BD!$B$3:$B$5001,$A$301)))</f>
        <v/>
      </c>
      <c r="Y325" s="229" t="str">
        <f>IF(Y$3="","",IF(COUNTIFS(BD!$A$3:$A$5001,Y$3,BD!$B$3:$B$5001,$A$301,BD!$Z$3:$Z$5001,"&lt;&gt;")=0,"",SUMIFS(BD!$Z$3:$Z$5001,BD!$A$3:$A$5001,Y$3,BD!$B$3:$B$5001,$A$301)))</f>
        <v/>
      </c>
      <c r="Z325" s="229" t="str">
        <f>IF(Z$3="","",IF(COUNTIFS(BD!$A$3:$A$5001,Z$3,BD!$B$3:$B$5001,$A$301,BD!$Z$3:$Z$5001,"&lt;&gt;")=0,"",SUMIFS(BD!$Z$3:$Z$5001,BD!$A$3:$A$5001,Z$3,BD!$B$3:$B$5001,$A$301)))</f>
        <v/>
      </c>
      <c r="AA325" s="229" t="str">
        <f>IF(AA$3="","",IF(COUNTIFS(BD!$A$3:$A$5001,AA$3,BD!$B$3:$B$5001,$A$301,BD!$Z$3:$Z$5001,"&lt;&gt;")=0,"",SUMIFS(BD!$Z$3:$Z$5001,BD!$A$3:$A$5001,AA$3,BD!$B$3:$B$5001,$A$301)))</f>
        <v/>
      </c>
      <c r="AB325" s="229" t="str">
        <f>IF(AB$3="","",IF(COUNTIFS(BD!$A$3:$A$5001,AB$3,BD!$B$3:$B$5001,$A$301,BD!$Z$3:$Z$5001,"&lt;&gt;")=0,"",SUMIFS(BD!$Z$3:$Z$5001,BD!$A$3:$A$5001,AB$3,BD!$B$3:$B$5001,$A$301)))</f>
        <v/>
      </c>
      <c r="AC325" s="229" t="str">
        <f>IF(AC$3="","",IF(COUNTIFS(BD!$A$3:$A$5001,AC$3,BD!$B$3:$B$5001,$A$301,BD!$Z$3:$Z$5001,"&lt;&gt;")=0,"",SUMIFS(BD!$Z$3:$Z$5001,BD!$A$3:$A$5001,AC$3,BD!$B$3:$B$5001,$A$301)))</f>
        <v/>
      </c>
      <c r="AD325" s="229" t="str">
        <f>IF(AD$3="","",IF(COUNTIFS(BD!$A$3:$A$5001,AD$3,BD!$B$3:$B$5001,$A$301,BD!$Z$3:$Z$5001,"&lt;&gt;")=0,"",SUMIFS(BD!$Z$3:$Z$5001,BD!$A$3:$A$5001,AD$3,BD!$B$3:$B$5001,$A$301)))</f>
        <v/>
      </c>
      <c r="AE325" s="229" t="str">
        <f>IF(AE$3="","",IF(COUNTIFS(BD!$A$3:$A$5001,AE$3,BD!$B$3:$B$5001,$A$301,BD!$Z$3:$Z$5001,"&lt;&gt;")=0,"",SUMIFS(BD!$Z$3:$Z$5001,BD!$A$3:$A$5001,AE$3,BD!$B$3:$B$5001,$A$301)))</f>
        <v/>
      </c>
      <c r="AF325" s="229" t="str">
        <f>IF(AF$3="","",IF(COUNTIFS(BD!$A$3:$A$5001,AF$3,BD!$B$3:$B$5001,$A$301,BD!$Z$3:$Z$5001,"&lt;&gt;")=0,"",SUMIFS(BD!$Z$3:$Z$5001,BD!$A$3:$A$5001,AF$3,BD!$B$3:$B$5001,$A$301)))</f>
        <v/>
      </c>
      <c r="AG325" s="229" t="str">
        <f>IF(AG$3="","",IF(COUNTIFS(BD!$A$3:$A$5001,AG$3,BD!$B$3:$B$5001,$A$301,BD!$Z$3:$Z$5001,"&lt;&gt;")=0,"",SUMIFS(BD!$Z$3:$Z$5001,BD!$A$3:$A$5001,AG$3,BD!$B$3:$B$5001,$A$301)))</f>
        <v/>
      </c>
      <c r="AH325" s="229" t="str">
        <f>IF(AH$3="","",IF(COUNTIFS(BD!$A$3:$A$5001,AH$3,BD!$B$3:$B$5001,$A$301,BD!$Z$3:$Z$5001,"&lt;&gt;")=0,"",SUMIFS(BD!$Z$3:$Z$5001,BD!$A$3:$A$5001,AH$3,BD!$B$3:$B$5001,$A$301)))</f>
        <v/>
      </c>
      <c r="AI325" s="229" t="str">
        <f>IF(AI$3="","",IF(COUNTIFS(BD!$A$3:$A$5001,AI$3,BD!$B$3:$B$5001,$A$301,BD!$Z$3:$Z$5001,"&lt;&gt;")=0,"",SUMIFS(BD!$Z$3:$Z$5001,BD!$A$3:$A$5001,AI$3,BD!$B$3:$B$5001,$A$301)))</f>
        <v/>
      </c>
      <c r="AJ325" s="230" t="str">
        <f>IF(AJ$3="","",IF(COUNTIFS(BD!$A$3:$A$5001,AJ$3,BD!$B$3:$B$5001,$A$301,BD!$Z$3:$Z$5001,"&lt;&gt;")=0,"",SUMIFS(BD!$Z$3:$Z$5001,BD!$A$3:$A$5001,AJ$3,BD!$B$3:$B$5001,$A$301)))</f>
        <v/>
      </c>
      <c r="AK325" s="231" t="str">
        <f>IFERROR(LOOKUP(9.99E+307,F325:AJ325),"")</f>
        <v/>
      </c>
    </row>
    <row r="326" ht="15.75" customHeight="1" hidden="1">
      <c r="A326" s="261"/>
      <c r="B326" s="258"/>
      <c r="C326" s="232" t="inlineStr">
        <is>
          <t xml:space="preserve">Falta</t>
        </is>
      </c>
      <c r="D326" s="233" t="str">
        <f>IFERROR(1/(1/INDEX(BD!$AL$48:$BF$48,MATCH($A$301,BD!$AL$22:$BF$22,0))),"")</f>
        <v/>
      </c>
      <c r="E326" s="234"/>
      <c r="F326" s="235" t="str">
        <f>IF(F$3="","",IF(COUNTIFS(BD!$A$3:$A$5001,F$3,BD!$B$3:$B$5001,$A$301,BD!$AA$3:$AA$5001,"&lt;&gt;")=0,"",SUMIFS(BD!$AA$3:$AA$5001,BD!$A$3:$A$5001,F$3,BD!$B$3:$B$5001,$A$301)))</f>
        <v/>
      </c>
      <c r="G326" s="236" t="str">
        <f>IF(G$3="","",IF(COUNTIFS(BD!$A$3:$A$5001,G$3,BD!$B$3:$B$5001,$A$301,BD!$AA$3:$AA$5001,"&lt;&gt;")=0,"",SUMIFS(BD!$AA$3:$AA$5001,BD!$A$3:$A$5001,G$3,BD!$B$3:$B$5001,$A$301)))</f>
        <v/>
      </c>
      <c r="H326" s="236" t="str">
        <f>IF(H$3="","",IF(COUNTIFS(BD!$A$3:$A$5001,H$3,BD!$B$3:$B$5001,$A$301,BD!$AA$3:$AA$5001,"&lt;&gt;")=0,"",SUMIFS(BD!$AA$3:$AA$5001,BD!$A$3:$A$5001,H$3,BD!$B$3:$B$5001,$A$301)))</f>
        <v/>
      </c>
      <c r="I326" s="236" t="str">
        <f>IF(I$3="","",IF(COUNTIFS(BD!$A$3:$A$5001,I$3,BD!$B$3:$B$5001,$A$301,BD!$AA$3:$AA$5001,"&lt;&gt;")=0,"",SUMIFS(BD!$AA$3:$AA$5001,BD!$A$3:$A$5001,I$3,BD!$B$3:$B$5001,$A$301)))</f>
        <v/>
      </c>
      <c r="J326" s="236" t="str">
        <f>IF(J$3="","",IF(COUNTIFS(BD!$A$3:$A$5001,J$3,BD!$B$3:$B$5001,$A$301,BD!$AA$3:$AA$5001,"&lt;&gt;")=0,"",SUMIFS(BD!$AA$3:$AA$5001,BD!$A$3:$A$5001,J$3,BD!$B$3:$B$5001,$A$301)))</f>
        <v/>
      </c>
      <c r="K326" s="236" t="str">
        <f>IF(K$3="","",IF(COUNTIFS(BD!$A$3:$A$5001,K$3,BD!$B$3:$B$5001,$A$301,BD!$AA$3:$AA$5001,"&lt;&gt;")=0,"",SUMIFS(BD!$AA$3:$AA$5001,BD!$A$3:$A$5001,K$3,BD!$B$3:$B$5001,$A$301)))</f>
        <v/>
      </c>
      <c r="L326" s="236" t="str">
        <f>IF(L$3="","",IF(COUNTIFS(BD!$A$3:$A$5001,L$3,BD!$B$3:$B$5001,$A$301,BD!$AA$3:$AA$5001,"&lt;&gt;")=0,"",SUMIFS(BD!$AA$3:$AA$5001,BD!$A$3:$A$5001,L$3,BD!$B$3:$B$5001,$A$301)))</f>
        <v/>
      </c>
      <c r="M326" s="236" t="str">
        <f>IF(M$3="","",IF(COUNTIFS(BD!$A$3:$A$5001,M$3,BD!$B$3:$B$5001,$A$301,BD!$AA$3:$AA$5001,"&lt;&gt;")=0,"",SUMIFS(BD!$AA$3:$AA$5001,BD!$A$3:$A$5001,M$3,BD!$B$3:$B$5001,$A$301)))</f>
        <v/>
      </c>
      <c r="N326" s="236" t="str">
        <f>IF(N$3="","",IF(COUNTIFS(BD!$A$3:$A$5001,N$3,BD!$B$3:$B$5001,$A$301,BD!$AA$3:$AA$5001,"&lt;&gt;")=0,"",SUMIFS(BD!$AA$3:$AA$5001,BD!$A$3:$A$5001,N$3,BD!$B$3:$B$5001,$A$301)))</f>
        <v/>
      </c>
      <c r="O326" s="236" t="str">
        <f>IF(O$3="","",IF(COUNTIFS(BD!$A$3:$A$5001,O$3,BD!$B$3:$B$5001,$A$301,BD!$AA$3:$AA$5001,"&lt;&gt;")=0,"",SUMIFS(BD!$AA$3:$AA$5001,BD!$A$3:$A$5001,O$3,BD!$B$3:$B$5001,$A$301)))</f>
        <v/>
      </c>
      <c r="P326" s="236" t="str">
        <f>IF(P$3="","",IF(COUNTIFS(BD!$A$3:$A$5001,P$3,BD!$B$3:$B$5001,$A$301,BD!$AA$3:$AA$5001,"&lt;&gt;")=0,"",SUMIFS(BD!$AA$3:$AA$5001,BD!$A$3:$A$5001,P$3,BD!$B$3:$B$5001,$A$301)))</f>
        <v/>
      </c>
      <c r="Q326" s="236" t="str">
        <f>IF(Q$3="","",IF(COUNTIFS(BD!$A$3:$A$5001,Q$3,BD!$B$3:$B$5001,$A$301,BD!$AA$3:$AA$5001,"&lt;&gt;")=0,"",SUMIFS(BD!$AA$3:$AA$5001,BD!$A$3:$A$5001,Q$3,BD!$B$3:$B$5001,$A$301)))</f>
        <v/>
      </c>
      <c r="R326" s="236" t="str">
        <f>IF(R$3="","",IF(COUNTIFS(BD!$A$3:$A$5001,R$3,BD!$B$3:$B$5001,$A$301,BD!$AA$3:$AA$5001,"&lt;&gt;")=0,"",SUMIFS(BD!$AA$3:$AA$5001,BD!$A$3:$A$5001,R$3,BD!$B$3:$B$5001,$A$301)))</f>
        <v/>
      </c>
      <c r="S326" s="236" t="str">
        <f>IF(S$3="","",IF(COUNTIFS(BD!$A$3:$A$5001,S$3,BD!$B$3:$B$5001,$A$301,BD!$AA$3:$AA$5001,"&lt;&gt;")=0,"",SUMIFS(BD!$AA$3:$AA$5001,BD!$A$3:$A$5001,S$3,BD!$B$3:$B$5001,$A$301)))</f>
        <v/>
      </c>
      <c r="T326" s="236" t="str">
        <f>IF(T$3="","",IF(COUNTIFS(BD!$A$3:$A$5001,T$3,BD!$B$3:$B$5001,$A$301,BD!$AA$3:$AA$5001,"&lt;&gt;")=0,"",SUMIFS(BD!$AA$3:$AA$5001,BD!$A$3:$A$5001,T$3,BD!$B$3:$B$5001,$A$301)))</f>
        <v/>
      </c>
      <c r="U326" s="236" t="str">
        <f>IF(U$3="","",IF(COUNTIFS(BD!$A$3:$A$5001,U$3,BD!$B$3:$B$5001,$A$301,BD!$AA$3:$AA$5001,"&lt;&gt;")=0,"",SUMIFS(BD!$AA$3:$AA$5001,BD!$A$3:$A$5001,U$3,BD!$B$3:$B$5001,$A$301)))</f>
        <v/>
      </c>
      <c r="V326" s="236" t="str">
        <f>IF(V$3="","",IF(COUNTIFS(BD!$A$3:$A$5001,V$3,BD!$B$3:$B$5001,$A$301,BD!$AA$3:$AA$5001,"&lt;&gt;")=0,"",SUMIFS(BD!$AA$3:$AA$5001,BD!$A$3:$A$5001,V$3,BD!$B$3:$B$5001,$A$301)))</f>
        <v/>
      </c>
      <c r="W326" s="236" t="str">
        <f>IF(W$3="","",IF(COUNTIFS(BD!$A$3:$A$5001,W$3,BD!$B$3:$B$5001,$A$301,BD!$AA$3:$AA$5001,"&lt;&gt;")=0,"",SUMIFS(BD!$AA$3:$AA$5001,BD!$A$3:$A$5001,W$3,BD!$B$3:$B$5001,$A$301)))</f>
        <v/>
      </c>
      <c r="X326" s="236" t="str">
        <f>IF(X$3="","",IF(COUNTIFS(BD!$A$3:$A$5001,X$3,BD!$B$3:$B$5001,$A$301,BD!$AA$3:$AA$5001,"&lt;&gt;")=0,"",SUMIFS(BD!$AA$3:$AA$5001,BD!$A$3:$A$5001,X$3,BD!$B$3:$B$5001,$A$301)))</f>
        <v/>
      </c>
      <c r="Y326" s="236" t="str">
        <f>IF(Y$3="","",IF(COUNTIFS(BD!$A$3:$A$5001,Y$3,BD!$B$3:$B$5001,$A$301,BD!$AA$3:$AA$5001,"&lt;&gt;")=0,"",SUMIFS(BD!$AA$3:$AA$5001,BD!$A$3:$A$5001,Y$3,BD!$B$3:$B$5001,$A$301)))</f>
        <v/>
      </c>
      <c r="Z326" s="236" t="str">
        <f>IF(Z$3="","",IF(COUNTIFS(BD!$A$3:$A$5001,Z$3,BD!$B$3:$B$5001,$A$301,BD!$AA$3:$AA$5001,"&lt;&gt;")=0,"",SUMIFS(BD!$AA$3:$AA$5001,BD!$A$3:$A$5001,Z$3,BD!$B$3:$B$5001,$A$301)))</f>
        <v/>
      </c>
      <c r="AA326" s="236" t="str">
        <f>IF(AA$3="","",IF(COUNTIFS(BD!$A$3:$A$5001,AA$3,BD!$B$3:$B$5001,$A$301,BD!$AA$3:$AA$5001,"&lt;&gt;")=0,"",SUMIFS(BD!$AA$3:$AA$5001,BD!$A$3:$A$5001,AA$3,BD!$B$3:$B$5001,$A$301)))</f>
        <v/>
      </c>
      <c r="AB326" s="236" t="str">
        <f>IF(AB$3="","",IF(COUNTIFS(BD!$A$3:$A$5001,AB$3,BD!$B$3:$B$5001,$A$301,BD!$AA$3:$AA$5001,"&lt;&gt;")=0,"",SUMIFS(BD!$AA$3:$AA$5001,BD!$A$3:$A$5001,AB$3,BD!$B$3:$B$5001,$A$301)))</f>
        <v/>
      </c>
      <c r="AC326" s="236" t="str">
        <f>IF(AC$3="","",IF(COUNTIFS(BD!$A$3:$A$5001,AC$3,BD!$B$3:$B$5001,$A$301,BD!$AA$3:$AA$5001,"&lt;&gt;")=0,"",SUMIFS(BD!$AA$3:$AA$5001,BD!$A$3:$A$5001,AC$3,BD!$B$3:$B$5001,$A$301)))</f>
        <v/>
      </c>
      <c r="AD326" s="236" t="str">
        <f>IF(AD$3="","",IF(COUNTIFS(BD!$A$3:$A$5001,AD$3,BD!$B$3:$B$5001,$A$301,BD!$AA$3:$AA$5001,"&lt;&gt;")=0,"",SUMIFS(BD!$AA$3:$AA$5001,BD!$A$3:$A$5001,AD$3,BD!$B$3:$B$5001,$A$301)))</f>
        <v/>
      </c>
      <c r="AE326" s="236" t="str">
        <f>IF(AE$3="","",IF(COUNTIFS(BD!$A$3:$A$5001,AE$3,BD!$B$3:$B$5001,$A$301,BD!$AA$3:$AA$5001,"&lt;&gt;")=0,"",SUMIFS(BD!$AA$3:$AA$5001,BD!$A$3:$A$5001,AE$3,BD!$B$3:$B$5001,$A$301)))</f>
        <v/>
      </c>
      <c r="AF326" s="236" t="str">
        <f>IF(AF$3="","",IF(COUNTIFS(BD!$A$3:$A$5001,AF$3,BD!$B$3:$B$5001,$A$301,BD!$AA$3:$AA$5001,"&lt;&gt;")=0,"",SUMIFS(BD!$AA$3:$AA$5001,BD!$A$3:$A$5001,AF$3,BD!$B$3:$B$5001,$A$301)))</f>
        <v/>
      </c>
      <c r="AG326" s="236" t="str">
        <f>IF(AG$3="","",IF(COUNTIFS(BD!$A$3:$A$5001,AG$3,BD!$B$3:$B$5001,$A$301,BD!$AA$3:$AA$5001,"&lt;&gt;")=0,"",SUMIFS(BD!$AA$3:$AA$5001,BD!$A$3:$A$5001,AG$3,BD!$B$3:$B$5001,$A$301)))</f>
        <v/>
      </c>
      <c r="AH326" s="236" t="str">
        <f>IF(AH$3="","",IF(COUNTIFS(BD!$A$3:$A$5001,AH$3,BD!$B$3:$B$5001,$A$301,BD!$AA$3:$AA$5001,"&lt;&gt;")=0,"",SUMIFS(BD!$AA$3:$AA$5001,BD!$A$3:$A$5001,AH$3,BD!$B$3:$B$5001,$A$301)))</f>
        <v/>
      </c>
      <c r="AI326" s="236" t="str">
        <f>IF(AI$3="","",IF(COUNTIFS(BD!$A$3:$A$5001,AI$3,BD!$B$3:$B$5001,$A$301,BD!$AA$3:$AA$5001,"&lt;&gt;")=0,"",SUMIFS(BD!$AA$3:$AA$5001,BD!$A$3:$A$5001,AI$3,BD!$B$3:$B$5001,$A$301)))</f>
        <v/>
      </c>
      <c r="AJ326" s="237" t="str">
        <f>IF(AJ$3="","",IF(COUNTIFS(BD!$A$3:$A$5001,AJ$3,BD!$B$3:$B$5001,$A$301,BD!$AA$3:$AA$5001,"&lt;&gt;")=0,"",SUMIFS(BD!$AA$3:$AA$5001,BD!$A$3:$A$5001,AJ$3,BD!$B$3:$B$5001,$A$301)))</f>
        <v/>
      </c>
      <c r="AK326" s="238" t="str">
        <f>IF(COUNT(F326:AJ326)=0,"",SUM(F326:AJ326))</f>
        <v/>
      </c>
    </row>
    <row r="327" ht="15.75" customHeight="1" hidden="1">
      <c r="A327" s="261"/>
      <c r="B327" s="258"/>
      <c r="C327" s="232" t="inlineStr">
        <is>
          <t xml:space="preserve">Absenteísmo (H/H)</t>
        </is>
      </c>
      <c r="D327" s="233" t="str">
        <f>IFERROR(1/(1/INDEX(BD!$AL$49:$BF$49,MATCH($A$301,BD!$AL$22:$BF$22,0))),"")</f>
        <v/>
      </c>
      <c r="E327" s="234"/>
      <c r="F327" s="239" t="str">
        <f>IF(F$3="","",IF(COUNTIFS(BD!$A$3:$A$5001,F$3,BD!$B$3:$B$5001,$A$301,BD!$AB$3:$AB$5001,"&lt;&gt;")=0,"",SUMIFS(BD!$AB$3:$AB$5001,BD!$A$3:$A$5001,F$3,BD!$B$3:$B$5001,$A$301)))</f>
        <v/>
      </c>
      <c r="G327" s="240" t="str">
        <f>IF(G$3="","",IF(COUNTIFS(BD!$A$3:$A$5001,G$3,BD!$B$3:$B$5001,$A$301,BD!$AB$3:$AB$5001,"&lt;&gt;")=0,"",SUMIFS(BD!$AB$3:$AB$5001,BD!$A$3:$A$5001,G$3,BD!$B$3:$B$5001,$A$301)))</f>
        <v/>
      </c>
      <c r="H327" s="240" t="str">
        <f>IF(H$3="","",IF(COUNTIFS(BD!$A$3:$A$5001,H$3,BD!$B$3:$B$5001,$A$301,BD!$AB$3:$AB$5001,"&lt;&gt;")=0,"",SUMIFS(BD!$AB$3:$AB$5001,BD!$A$3:$A$5001,H$3,BD!$B$3:$B$5001,$A$301)))</f>
        <v/>
      </c>
      <c r="I327" s="240" t="str">
        <f>IF(I$3="","",IF(COUNTIFS(BD!$A$3:$A$5001,I$3,BD!$B$3:$B$5001,$A$301,BD!$AB$3:$AB$5001,"&lt;&gt;")=0,"",SUMIFS(BD!$AB$3:$AB$5001,BD!$A$3:$A$5001,I$3,BD!$B$3:$B$5001,$A$301)))</f>
        <v/>
      </c>
      <c r="J327" s="240" t="str">
        <f>IF(J$3="","",IF(COUNTIFS(BD!$A$3:$A$5001,J$3,BD!$B$3:$B$5001,$A$301,BD!$AB$3:$AB$5001,"&lt;&gt;")=0,"",SUMIFS(BD!$AB$3:$AB$5001,BD!$A$3:$A$5001,J$3,BD!$B$3:$B$5001,$A$301)))</f>
        <v/>
      </c>
      <c r="K327" s="240" t="str">
        <f>IF(K$3="","",IF(COUNTIFS(BD!$A$3:$A$5001,K$3,BD!$B$3:$B$5001,$A$301,BD!$AB$3:$AB$5001,"&lt;&gt;")=0,"",SUMIFS(BD!$AB$3:$AB$5001,BD!$A$3:$A$5001,K$3,BD!$B$3:$B$5001,$A$301)))</f>
        <v/>
      </c>
      <c r="L327" s="240" t="str">
        <f>IF(L$3="","",IF(COUNTIFS(BD!$A$3:$A$5001,L$3,BD!$B$3:$B$5001,$A$301,BD!$AB$3:$AB$5001,"&lt;&gt;")=0,"",SUMIFS(BD!$AB$3:$AB$5001,BD!$A$3:$A$5001,L$3,BD!$B$3:$B$5001,$A$301)))</f>
        <v/>
      </c>
      <c r="M327" s="240" t="str">
        <f>IF(M$3="","",IF(COUNTIFS(BD!$A$3:$A$5001,M$3,BD!$B$3:$B$5001,$A$301,BD!$AB$3:$AB$5001,"&lt;&gt;")=0,"",SUMIFS(BD!$AB$3:$AB$5001,BD!$A$3:$A$5001,M$3,BD!$B$3:$B$5001,$A$301)))</f>
        <v/>
      </c>
      <c r="N327" s="240" t="str">
        <f>IF(N$3="","",IF(COUNTIFS(BD!$A$3:$A$5001,N$3,BD!$B$3:$B$5001,$A$301,BD!$AB$3:$AB$5001,"&lt;&gt;")=0,"",SUMIFS(BD!$AB$3:$AB$5001,BD!$A$3:$A$5001,N$3,BD!$B$3:$B$5001,$A$301)))</f>
        <v/>
      </c>
      <c r="O327" s="240" t="str">
        <f>IF(O$3="","",IF(COUNTIFS(BD!$A$3:$A$5001,O$3,BD!$B$3:$B$5001,$A$301,BD!$AB$3:$AB$5001,"&lt;&gt;")=0,"",SUMIFS(BD!$AB$3:$AB$5001,BD!$A$3:$A$5001,O$3,BD!$B$3:$B$5001,$A$301)))</f>
        <v/>
      </c>
      <c r="P327" s="240" t="str">
        <f>IF(P$3="","",IF(COUNTIFS(BD!$A$3:$A$5001,P$3,BD!$B$3:$B$5001,$A$301,BD!$AB$3:$AB$5001,"&lt;&gt;")=0,"",SUMIFS(BD!$AB$3:$AB$5001,BD!$A$3:$A$5001,P$3,BD!$B$3:$B$5001,$A$301)))</f>
        <v/>
      </c>
      <c r="Q327" s="240" t="str">
        <f>IF(Q$3="","",IF(COUNTIFS(BD!$A$3:$A$5001,Q$3,BD!$B$3:$B$5001,$A$301,BD!$AB$3:$AB$5001,"&lt;&gt;")=0,"",SUMIFS(BD!$AB$3:$AB$5001,BD!$A$3:$A$5001,Q$3,BD!$B$3:$B$5001,$A$301)))</f>
        <v/>
      </c>
      <c r="R327" s="240" t="str">
        <f>IF(R$3="","",IF(COUNTIFS(BD!$A$3:$A$5001,R$3,BD!$B$3:$B$5001,$A$301,BD!$AB$3:$AB$5001,"&lt;&gt;")=0,"",SUMIFS(BD!$AB$3:$AB$5001,BD!$A$3:$A$5001,R$3,BD!$B$3:$B$5001,$A$301)))</f>
        <v/>
      </c>
      <c r="S327" s="240" t="str">
        <f>IF(S$3="","",IF(COUNTIFS(BD!$A$3:$A$5001,S$3,BD!$B$3:$B$5001,$A$301,BD!$AB$3:$AB$5001,"&lt;&gt;")=0,"",SUMIFS(BD!$AB$3:$AB$5001,BD!$A$3:$A$5001,S$3,BD!$B$3:$B$5001,$A$301)))</f>
        <v/>
      </c>
      <c r="T327" s="240" t="str">
        <f>IF(T$3="","",IF(COUNTIFS(BD!$A$3:$A$5001,T$3,BD!$B$3:$B$5001,$A$301,BD!$AB$3:$AB$5001,"&lt;&gt;")=0,"",SUMIFS(BD!$AB$3:$AB$5001,BD!$A$3:$A$5001,T$3,BD!$B$3:$B$5001,$A$301)))</f>
        <v/>
      </c>
      <c r="U327" s="240" t="str">
        <f>IF(U$3="","",IF(COUNTIFS(BD!$A$3:$A$5001,U$3,BD!$B$3:$B$5001,$A$301,BD!$AB$3:$AB$5001,"&lt;&gt;")=0,"",SUMIFS(BD!$AB$3:$AB$5001,BD!$A$3:$A$5001,U$3,BD!$B$3:$B$5001,$A$301)))</f>
        <v/>
      </c>
      <c r="V327" s="240" t="str">
        <f>IF(V$3="","",IF(COUNTIFS(BD!$A$3:$A$5001,V$3,BD!$B$3:$B$5001,$A$301,BD!$AB$3:$AB$5001,"&lt;&gt;")=0,"",SUMIFS(BD!$AB$3:$AB$5001,BD!$A$3:$A$5001,V$3,BD!$B$3:$B$5001,$A$301)))</f>
        <v/>
      </c>
      <c r="W327" s="240" t="str">
        <f>IF(W$3="","",IF(COUNTIFS(BD!$A$3:$A$5001,W$3,BD!$B$3:$B$5001,$A$301,BD!$AB$3:$AB$5001,"&lt;&gt;")=0,"",SUMIFS(BD!$AB$3:$AB$5001,BD!$A$3:$A$5001,W$3,BD!$B$3:$B$5001,$A$301)))</f>
        <v/>
      </c>
      <c r="X327" s="240" t="str">
        <f>IF(X$3="","",IF(COUNTIFS(BD!$A$3:$A$5001,X$3,BD!$B$3:$B$5001,$A$301,BD!$AB$3:$AB$5001,"&lt;&gt;")=0,"",SUMIFS(BD!$AB$3:$AB$5001,BD!$A$3:$A$5001,X$3,BD!$B$3:$B$5001,$A$301)))</f>
        <v/>
      </c>
      <c r="Y327" s="240" t="str">
        <f>IF(Y$3="","",IF(COUNTIFS(BD!$A$3:$A$5001,Y$3,BD!$B$3:$B$5001,$A$301,BD!$AB$3:$AB$5001,"&lt;&gt;")=0,"",SUMIFS(BD!$AB$3:$AB$5001,BD!$A$3:$A$5001,Y$3,BD!$B$3:$B$5001,$A$301)))</f>
        <v/>
      </c>
      <c r="Z327" s="240" t="str">
        <f>IF(Z$3="","",IF(COUNTIFS(BD!$A$3:$A$5001,Z$3,BD!$B$3:$B$5001,$A$301,BD!$AB$3:$AB$5001,"&lt;&gt;")=0,"",SUMIFS(BD!$AB$3:$AB$5001,BD!$A$3:$A$5001,Z$3,BD!$B$3:$B$5001,$A$301)))</f>
        <v/>
      </c>
      <c r="AA327" s="240" t="str">
        <f>IF(AA$3="","",IF(COUNTIFS(BD!$A$3:$A$5001,AA$3,BD!$B$3:$B$5001,$A$301,BD!$AB$3:$AB$5001,"&lt;&gt;")=0,"",SUMIFS(BD!$AB$3:$AB$5001,BD!$A$3:$A$5001,AA$3,BD!$B$3:$B$5001,$A$301)))</f>
        <v/>
      </c>
      <c r="AB327" s="240" t="str">
        <f>IF(AB$3="","",IF(COUNTIFS(BD!$A$3:$A$5001,AB$3,BD!$B$3:$B$5001,$A$301,BD!$AB$3:$AB$5001,"&lt;&gt;")=0,"",SUMIFS(BD!$AB$3:$AB$5001,BD!$A$3:$A$5001,AB$3,BD!$B$3:$B$5001,$A$301)))</f>
        <v/>
      </c>
      <c r="AC327" s="240" t="str">
        <f>IF(AC$3="","",IF(COUNTIFS(BD!$A$3:$A$5001,AC$3,BD!$B$3:$B$5001,$A$301,BD!$AB$3:$AB$5001,"&lt;&gt;")=0,"",SUMIFS(BD!$AB$3:$AB$5001,BD!$A$3:$A$5001,AC$3,BD!$B$3:$B$5001,$A$301)))</f>
        <v/>
      </c>
      <c r="AD327" s="240" t="str">
        <f>IF(AD$3="","",IF(COUNTIFS(BD!$A$3:$A$5001,AD$3,BD!$B$3:$B$5001,$A$301,BD!$AB$3:$AB$5001,"&lt;&gt;")=0,"",SUMIFS(BD!$AB$3:$AB$5001,BD!$A$3:$A$5001,AD$3,BD!$B$3:$B$5001,$A$301)))</f>
        <v/>
      </c>
      <c r="AE327" s="240" t="str">
        <f>IF(AE$3="","",IF(COUNTIFS(BD!$A$3:$A$5001,AE$3,BD!$B$3:$B$5001,$A$301,BD!$AB$3:$AB$5001,"&lt;&gt;")=0,"",SUMIFS(BD!$AB$3:$AB$5001,BD!$A$3:$A$5001,AE$3,BD!$B$3:$B$5001,$A$301)))</f>
        <v/>
      </c>
      <c r="AF327" s="240" t="str">
        <f>IF(AF$3="","",IF(COUNTIFS(BD!$A$3:$A$5001,AF$3,BD!$B$3:$B$5001,$A$301,BD!$AB$3:$AB$5001,"&lt;&gt;")=0,"",SUMIFS(BD!$AB$3:$AB$5001,BD!$A$3:$A$5001,AF$3,BD!$B$3:$B$5001,$A$301)))</f>
        <v/>
      </c>
      <c r="AG327" s="240" t="str">
        <f>IF(AG$3="","",IF(COUNTIFS(BD!$A$3:$A$5001,AG$3,BD!$B$3:$B$5001,$A$301,BD!$AB$3:$AB$5001,"&lt;&gt;")=0,"",SUMIFS(BD!$AB$3:$AB$5001,BD!$A$3:$A$5001,AG$3,BD!$B$3:$B$5001,$A$301)))</f>
        <v/>
      </c>
      <c r="AH327" s="240" t="str">
        <f>IF(AH$3="","",IF(COUNTIFS(BD!$A$3:$A$5001,AH$3,BD!$B$3:$B$5001,$A$301,BD!$AB$3:$AB$5001,"&lt;&gt;")=0,"",SUMIFS(BD!$AB$3:$AB$5001,BD!$A$3:$A$5001,AH$3,BD!$B$3:$B$5001,$A$301)))</f>
        <v/>
      </c>
      <c r="AI327" s="240" t="str">
        <f>IF(AI$3="","",IF(COUNTIFS(BD!$A$3:$A$5001,AI$3,BD!$B$3:$B$5001,$A$301,BD!$AB$3:$AB$5001,"&lt;&gt;")=0,"",SUMIFS(BD!$AB$3:$AB$5001,BD!$A$3:$A$5001,AI$3,BD!$B$3:$B$5001,$A$301)))</f>
        <v/>
      </c>
      <c r="AJ327" s="241" t="str">
        <f>IF(AJ$3="","",IF(COUNTIFS(BD!$A$3:$A$5001,AJ$3,BD!$B$3:$B$5001,$A$301,BD!$AB$3:$AB$5001,"&lt;&gt;")=0,"",SUMIFS(BD!$AB$3:$AB$5001,BD!$A$3:$A$5001,AJ$3,BD!$B$3:$B$5001,$A$301)))</f>
        <v/>
      </c>
      <c r="AK327" s="242" t="str">
        <f>IF(COUNT(F327:AJ327)=0,"",SUM(F327:AJ327))</f>
        <v/>
      </c>
    </row>
    <row r="328" ht="15.75" customHeight="1" hidden="1">
      <c r="A328" s="261"/>
      <c r="B328" s="258"/>
      <c r="C328" s="232" t="inlineStr">
        <is>
          <t xml:space="preserve">Folga</t>
        </is>
      </c>
      <c r="D328" s="233" t="str">
        <f>IFERROR(1/(1/INDEX(BD!$AL$50:$BF$50,MATCH($A$301,BD!$AL$22:$BF$22,0))),"")</f>
        <v/>
      </c>
      <c r="E328" s="234"/>
      <c r="F328" s="235" t="str">
        <f>IF(F$3="","",IF(COUNTIFS(BD!$A$3:$A$5001,F$3,BD!$B$3:$B$5001,$A$301,BD!$AC$3:$AC$5001,"&lt;&gt;")=0,"",SUMIFS(BD!$AC$3:$AC$5001,BD!$A$3:$A$5001,F$3,BD!$B$3:$B$5001,$A$301)))</f>
        <v/>
      </c>
      <c r="G328" s="236" t="str">
        <f>IF(G$3="","",IF(COUNTIFS(BD!$A$3:$A$5001,G$3,BD!$B$3:$B$5001,$A$301,BD!$AC$3:$AC$5001,"&lt;&gt;")=0,"",SUMIFS(BD!$AC$3:$AC$5001,BD!$A$3:$A$5001,G$3,BD!$B$3:$B$5001,$A$301)))</f>
        <v/>
      </c>
      <c r="H328" s="236" t="str">
        <f>IF(H$3="","",IF(COUNTIFS(BD!$A$3:$A$5001,H$3,BD!$B$3:$B$5001,$A$301,BD!$AC$3:$AC$5001,"&lt;&gt;")=0,"",SUMIFS(BD!$AC$3:$AC$5001,BD!$A$3:$A$5001,H$3,BD!$B$3:$B$5001,$A$301)))</f>
        <v/>
      </c>
      <c r="I328" s="236" t="str">
        <f>IF(I$3="","",IF(COUNTIFS(BD!$A$3:$A$5001,I$3,BD!$B$3:$B$5001,$A$301,BD!$AC$3:$AC$5001,"&lt;&gt;")=0,"",SUMIFS(BD!$AC$3:$AC$5001,BD!$A$3:$A$5001,I$3,BD!$B$3:$B$5001,$A$301)))</f>
        <v/>
      </c>
      <c r="J328" s="236" t="str">
        <f>IF(J$3="","",IF(COUNTIFS(BD!$A$3:$A$5001,J$3,BD!$B$3:$B$5001,$A$301,BD!$AC$3:$AC$5001,"&lt;&gt;")=0,"",SUMIFS(BD!$AC$3:$AC$5001,BD!$A$3:$A$5001,J$3,BD!$B$3:$B$5001,$A$301)))</f>
        <v/>
      </c>
      <c r="K328" s="236" t="str">
        <f>IF(K$3="","",IF(COUNTIFS(BD!$A$3:$A$5001,K$3,BD!$B$3:$B$5001,$A$301,BD!$AC$3:$AC$5001,"&lt;&gt;")=0,"",SUMIFS(BD!$AC$3:$AC$5001,BD!$A$3:$A$5001,K$3,BD!$B$3:$B$5001,$A$301)))</f>
        <v/>
      </c>
      <c r="L328" s="236" t="str">
        <f>IF(L$3="","",IF(COUNTIFS(BD!$A$3:$A$5001,L$3,BD!$B$3:$B$5001,$A$301,BD!$AC$3:$AC$5001,"&lt;&gt;")=0,"",SUMIFS(BD!$AC$3:$AC$5001,BD!$A$3:$A$5001,L$3,BD!$B$3:$B$5001,$A$301)))</f>
        <v/>
      </c>
      <c r="M328" s="236" t="str">
        <f>IF(M$3="","",IF(COUNTIFS(BD!$A$3:$A$5001,M$3,BD!$B$3:$B$5001,$A$301,BD!$AC$3:$AC$5001,"&lt;&gt;")=0,"",SUMIFS(BD!$AC$3:$AC$5001,BD!$A$3:$A$5001,M$3,BD!$B$3:$B$5001,$A$301)))</f>
        <v/>
      </c>
      <c r="N328" s="236" t="str">
        <f>IF(N$3="","",IF(COUNTIFS(BD!$A$3:$A$5001,N$3,BD!$B$3:$B$5001,$A$301,BD!$AC$3:$AC$5001,"&lt;&gt;")=0,"",SUMIFS(BD!$AC$3:$AC$5001,BD!$A$3:$A$5001,N$3,BD!$B$3:$B$5001,$A$301)))</f>
        <v/>
      </c>
      <c r="O328" s="236" t="str">
        <f>IF(O$3="","",IF(COUNTIFS(BD!$A$3:$A$5001,O$3,BD!$B$3:$B$5001,$A$301,BD!$AC$3:$AC$5001,"&lt;&gt;")=0,"",SUMIFS(BD!$AC$3:$AC$5001,BD!$A$3:$A$5001,O$3,BD!$B$3:$B$5001,$A$301)))</f>
        <v/>
      </c>
      <c r="P328" s="236" t="str">
        <f>IF(P$3="","",IF(COUNTIFS(BD!$A$3:$A$5001,P$3,BD!$B$3:$B$5001,$A$301,BD!$AC$3:$AC$5001,"&lt;&gt;")=0,"",SUMIFS(BD!$AC$3:$AC$5001,BD!$A$3:$A$5001,P$3,BD!$B$3:$B$5001,$A$301)))</f>
        <v/>
      </c>
      <c r="Q328" s="236" t="str">
        <f>IF(Q$3="","",IF(COUNTIFS(BD!$A$3:$A$5001,Q$3,BD!$B$3:$B$5001,$A$301,BD!$AC$3:$AC$5001,"&lt;&gt;")=0,"",SUMIFS(BD!$AC$3:$AC$5001,BD!$A$3:$A$5001,Q$3,BD!$B$3:$B$5001,$A$301)))</f>
        <v/>
      </c>
      <c r="R328" s="236" t="str">
        <f>IF(R$3="","",IF(COUNTIFS(BD!$A$3:$A$5001,R$3,BD!$B$3:$B$5001,$A$301,BD!$AC$3:$AC$5001,"&lt;&gt;")=0,"",SUMIFS(BD!$AC$3:$AC$5001,BD!$A$3:$A$5001,R$3,BD!$B$3:$B$5001,$A$301)))</f>
        <v/>
      </c>
      <c r="S328" s="236" t="str">
        <f>IF(S$3="","",IF(COUNTIFS(BD!$A$3:$A$5001,S$3,BD!$B$3:$B$5001,$A$301,BD!$AC$3:$AC$5001,"&lt;&gt;")=0,"",SUMIFS(BD!$AC$3:$AC$5001,BD!$A$3:$A$5001,S$3,BD!$B$3:$B$5001,$A$301)))</f>
        <v/>
      </c>
      <c r="T328" s="236" t="str">
        <f>IF(T$3="","",IF(COUNTIFS(BD!$A$3:$A$5001,T$3,BD!$B$3:$B$5001,$A$301,BD!$AC$3:$AC$5001,"&lt;&gt;")=0,"",SUMIFS(BD!$AC$3:$AC$5001,BD!$A$3:$A$5001,T$3,BD!$B$3:$B$5001,$A$301)))</f>
        <v/>
      </c>
      <c r="U328" s="236" t="str">
        <f>IF(U$3="","",IF(COUNTIFS(BD!$A$3:$A$5001,U$3,BD!$B$3:$B$5001,$A$301,BD!$AC$3:$AC$5001,"&lt;&gt;")=0,"",SUMIFS(BD!$AC$3:$AC$5001,BD!$A$3:$A$5001,U$3,BD!$B$3:$B$5001,$A$301)))</f>
        <v/>
      </c>
      <c r="V328" s="236" t="str">
        <f>IF(V$3="","",IF(COUNTIFS(BD!$A$3:$A$5001,V$3,BD!$B$3:$B$5001,$A$301,BD!$AC$3:$AC$5001,"&lt;&gt;")=0,"",SUMIFS(BD!$AC$3:$AC$5001,BD!$A$3:$A$5001,V$3,BD!$B$3:$B$5001,$A$301)))</f>
        <v/>
      </c>
      <c r="W328" s="236" t="str">
        <f>IF(W$3="","",IF(COUNTIFS(BD!$A$3:$A$5001,W$3,BD!$B$3:$B$5001,$A$301,BD!$AC$3:$AC$5001,"&lt;&gt;")=0,"",SUMIFS(BD!$AC$3:$AC$5001,BD!$A$3:$A$5001,W$3,BD!$B$3:$B$5001,$A$301)))</f>
        <v/>
      </c>
      <c r="X328" s="236" t="str">
        <f>IF(X$3="","",IF(COUNTIFS(BD!$A$3:$A$5001,X$3,BD!$B$3:$B$5001,$A$301,BD!$AC$3:$AC$5001,"&lt;&gt;")=0,"",SUMIFS(BD!$AC$3:$AC$5001,BD!$A$3:$A$5001,X$3,BD!$B$3:$B$5001,$A$301)))</f>
        <v/>
      </c>
      <c r="Y328" s="236" t="str">
        <f>IF(Y$3="","",IF(COUNTIFS(BD!$A$3:$A$5001,Y$3,BD!$B$3:$B$5001,$A$301,BD!$AC$3:$AC$5001,"&lt;&gt;")=0,"",SUMIFS(BD!$AC$3:$AC$5001,BD!$A$3:$A$5001,Y$3,BD!$B$3:$B$5001,$A$301)))</f>
        <v/>
      </c>
      <c r="Z328" s="236" t="str">
        <f>IF(Z$3="","",IF(COUNTIFS(BD!$A$3:$A$5001,Z$3,BD!$B$3:$B$5001,$A$301,BD!$AC$3:$AC$5001,"&lt;&gt;")=0,"",SUMIFS(BD!$AC$3:$AC$5001,BD!$A$3:$A$5001,Z$3,BD!$B$3:$B$5001,$A$301)))</f>
        <v/>
      </c>
      <c r="AA328" s="236" t="str">
        <f>IF(AA$3="","",IF(COUNTIFS(BD!$A$3:$A$5001,AA$3,BD!$B$3:$B$5001,$A$301,BD!$AC$3:$AC$5001,"&lt;&gt;")=0,"",SUMIFS(BD!$AC$3:$AC$5001,BD!$A$3:$A$5001,AA$3,BD!$B$3:$B$5001,$A$301)))</f>
        <v/>
      </c>
      <c r="AB328" s="236" t="str">
        <f>IF(AB$3="","",IF(COUNTIFS(BD!$A$3:$A$5001,AB$3,BD!$B$3:$B$5001,$A$301,BD!$AC$3:$AC$5001,"&lt;&gt;")=0,"",SUMIFS(BD!$AC$3:$AC$5001,BD!$A$3:$A$5001,AB$3,BD!$B$3:$B$5001,$A$301)))</f>
        <v/>
      </c>
      <c r="AC328" s="236" t="str">
        <f>IF(AC$3="","",IF(COUNTIFS(BD!$A$3:$A$5001,AC$3,BD!$B$3:$B$5001,$A$301,BD!$AC$3:$AC$5001,"&lt;&gt;")=0,"",SUMIFS(BD!$AC$3:$AC$5001,BD!$A$3:$A$5001,AC$3,BD!$B$3:$B$5001,$A$301)))</f>
        <v/>
      </c>
      <c r="AD328" s="236" t="str">
        <f>IF(AD$3="","",IF(COUNTIFS(BD!$A$3:$A$5001,AD$3,BD!$B$3:$B$5001,$A$301,BD!$AC$3:$AC$5001,"&lt;&gt;")=0,"",SUMIFS(BD!$AC$3:$AC$5001,BD!$A$3:$A$5001,AD$3,BD!$B$3:$B$5001,$A$301)))</f>
        <v/>
      </c>
      <c r="AE328" s="236" t="str">
        <f>IF(AE$3="","",IF(COUNTIFS(BD!$A$3:$A$5001,AE$3,BD!$B$3:$B$5001,$A$301,BD!$AC$3:$AC$5001,"&lt;&gt;")=0,"",SUMIFS(BD!$AC$3:$AC$5001,BD!$A$3:$A$5001,AE$3,BD!$B$3:$B$5001,$A$301)))</f>
        <v/>
      </c>
      <c r="AF328" s="236" t="str">
        <f>IF(AF$3="","",IF(COUNTIFS(BD!$A$3:$A$5001,AF$3,BD!$B$3:$B$5001,$A$301,BD!$AC$3:$AC$5001,"&lt;&gt;")=0,"",SUMIFS(BD!$AC$3:$AC$5001,BD!$A$3:$A$5001,AF$3,BD!$B$3:$B$5001,$A$301)))</f>
        <v/>
      </c>
      <c r="AG328" s="236" t="str">
        <f>IF(AG$3="","",IF(COUNTIFS(BD!$A$3:$A$5001,AG$3,BD!$B$3:$B$5001,$A$301,BD!$AC$3:$AC$5001,"&lt;&gt;")=0,"",SUMIFS(BD!$AC$3:$AC$5001,BD!$A$3:$A$5001,AG$3,BD!$B$3:$B$5001,$A$301)))</f>
        <v/>
      </c>
      <c r="AH328" s="236" t="str">
        <f>IF(AH$3="","",IF(COUNTIFS(BD!$A$3:$A$5001,AH$3,BD!$B$3:$B$5001,$A$301,BD!$AC$3:$AC$5001,"&lt;&gt;")=0,"",SUMIFS(BD!$AC$3:$AC$5001,BD!$A$3:$A$5001,AH$3,BD!$B$3:$B$5001,$A$301)))</f>
        <v/>
      </c>
      <c r="AI328" s="236" t="str">
        <f>IF(AI$3="","",IF(COUNTIFS(BD!$A$3:$A$5001,AI$3,BD!$B$3:$B$5001,$A$301,BD!$AC$3:$AC$5001,"&lt;&gt;")=0,"",SUMIFS(BD!$AC$3:$AC$5001,BD!$A$3:$A$5001,AI$3,BD!$B$3:$B$5001,$A$301)))</f>
        <v/>
      </c>
      <c r="AJ328" s="237" t="str">
        <f>IF(AJ$3="","",IF(COUNTIFS(BD!$A$3:$A$5001,AJ$3,BD!$B$3:$B$5001,$A$301,BD!$AC$3:$AC$5001,"&lt;&gt;")=0,"",SUMIFS(BD!$AC$3:$AC$5001,BD!$A$3:$A$5001,AJ$3,BD!$B$3:$B$5001,$A$301)))</f>
        <v/>
      </c>
      <c r="AK328" s="238" t="str">
        <f>IF(COUNT(F328:AJ328)=0,"",SUM(F328:AJ328))</f>
        <v/>
      </c>
    </row>
    <row r="329" ht="15.75" customHeight="1" hidden="1">
      <c r="A329" s="261"/>
      <c r="B329" s="258"/>
      <c r="C329" s="232" t="inlineStr">
        <is>
          <t xml:space="preserve">Férias</t>
        </is>
      </c>
      <c r="D329" s="233" t="str">
        <f>IFERROR(1/(1/INDEX(BD!$AL$51:$BF$51,MATCH($A$301,BD!$AL$22:$BF$22,0))),"")</f>
        <v/>
      </c>
      <c r="E329" s="234"/>
      <c r="F329" s="235" t="str">
        <f>IF(F$3="","",IF(COUNTIFS(BD!$A$3:$A$5001,F$3,BD!$B$3:$B$5001,$A$301,BD!$AD$3:$AD$5001,"&lt;&gt;")=0,"",SUMIFS(BD!$AD$3:$AD$5001,BD!$A$3:$A$5001,F$3,BD!$B$3:$B$5001,$A$301)))</f>
        <v/>
      </c>
      <c r="G329" s="236" t="str">
        <f>IF(G$3="","",IF(COUNTIFS(BD!$A$3:$A$5001,G$3,BD!$B$3:$B$5001,$A$301,BD!$AD$3:$AD$5001,"&lt;&gt;")=0,"",SUMIFS(BD!$AD$3:$AD$5001,BD!$A$3:$A$5001,G$3,BD!$B$3:$B$5001,$A$301)))</f>
        <v/>
      </c>
      <c r="H329" s="236" t="str">
        <f>IF(H$3="","",IF(COUNTIFS(BD!$A$3:$A$5001,H$3,BD!$B$3:$B$5001,$A$301,BD!$AD$3:$AD$5001,"&lt;&gt;")=0,"",SUMIFS(BD!$AD$3:$AD$5001,BD!$A$3:$A$5001,H$3,BD!$B$3:$B$5001,$A$301)))</f>
        <v/>
      </c>
      <c r="I329" s="236" t="str">
        <f>IF(I$3="","",IF(COUNTIFS(BD!$A$3:$A$5001,I$3,BD!$B$3:$B$5001,$A$301,BD!$AD$3:$AD$5001,"&lt;&gt;")=0,"",SUMIFS(BD!$AD$3:$AD$5001,BD!$A$3:$A$5001,I$3,BD!$B$3:$B$5001,$A$301)))</f>
        <v/>
      </c>
      <c r="J329" s="236" t="str">
        <f>IF(J$3="","",IF(COUNTIFS(BD!$A$3:$A$5001,J$3,BD!$B$3:$B$5001,$A$301,BD!$AD$3:$AD$5001,"&lt;&gt;")=0,"",SUMIFS(BD!$AD$3:$AD$5001,BD!$A$3:$A$5001,J$3,BD!$B$3:$B$5001,$A$301)))</f>
        <v/>
      </c>
      <c r="K329" s="236" t="str">
        <f>IF(K$3="","",IF(COUNTIFS(BD!$A$3:$A$5001,K$3,BD!$B$3:$B$5001,$A$301,BD!$AD$3:$AD$5001,"&lt;&gt;")=0,"",SUMIFS(BD!$AD$3:$AD$5001,BD!$A$3:$A$5001,K$3,BD!$B$3:$B$5001,$A$301)))</f>
        <v/>
      </c>
      <c r="L329" s="236" t="str">
        <f>IF(L$3="","",IF(COUNTIFS(BD!$A$3:$A$5001,L$3,BD!$B$3:$B$5001,$A$301,BD!$AD$3:$AD$5001,"&lt;&gt;")=0,"",SUMIFS(BD!$AD$3:$AD$5001,BD!$A$3:$A$5001,L$3,BD!$B$3:$B$5001,$A$301)))</f>
        <v/>
      </c>
      <c r="M329" s="236" t="str">
        <f>IF(M$3="","",IF(COUNTIFS(BD!$A$3:$A$5001,M$3,BD!$B$3:$B$5001,$A$301,BD!$AD$3:$AD$5001,"&lt;&gt;")=0,"",SUMIFS(BD!$AD$3:$AD$5001,BD!$A$3:$A$5001,M$3,BD!$B$3:$B$5001,$A$301)))</f>
        <v/>
      </c>
      <c r="N329" s="236" t="str">
        <f>IF(N$3="","",IF(COUNTIFS(BD!$A$3:$A$5001,N$3,BD!$B$3:$B$5001,$A$301,BD!$AD$3:$AD$5001,"&lt;&gt;")=0,"",SUMIFS(BD!$AD$3:$AD$5001,BD!$A$3:$A$5001,N$3,BD!$B$3:$B$5001,$A$301)))</f>
        <v/>
      </c>
      <c r="O329" s="236" t="str">
        <f>IF(O$3="","",IF(COUNTIFS(BD!$A$3:$A$5001,O$3,BD!$B$3:$B$5001,$A$301,BD!$AD$3:$AD$5001,"&lt;&gt;")=0,"",SUMIFS(BD!$AD$3:$AD$5001,BD!$A$3:$A$5001,O$3,BD!$B$3:$B$5001,$A$301)))</f>
        <v/>
      </c>
      <c r="P329" s="236" t="str">
        <f>IF(P$3="","",IF(COUNTIFS(BD!$A$3:$A$5001,P$3,BD!$B$3:$B$5001,$A$301,BD!$AD$3:$AD$5001,"&lt;&gt;")=0,"",SUMIFS(BD!$AD$3:$AD$5001,BD!$A$3:$A$5001,P$3,BD!$B$3:$B$5001,$A$301)))</f>
        <v/>
      </c>
      <c r="Q329" s="236" t="str">
        <f>IF(Q$3="","",IF(COUNTIFS(BD!$A$3:$A$5001,Q$3,BD!$B$3:$B$5001,$A$301,BD!$AD$3:$AD$5001,"&lt;&gt;")=0,"",SUMIFS(BD!$AD$3:$AD$5001,BD!$A$3:$A$5001,Q$3,BD!$B$3:$B$5001,$A$301)))</f>
        <v/>
      </c>
      <c r="R329" s="236" t="str">
        <f>IF(R$3="","",IF(COUNTIFS(BD!$A$3:$A$5001,R$3,BD!$B$3:$B$5001,$A$301,BD!$AD$3:$AD$5001,"&lt;&gt;")=0,"",SUMIFS(BD!$AD$3:$AD$5001,BD!$A$3:$A$5001,R$3,BD!$B$3:$B$5001,$A$301)))</f>
        <v/>
      </c>
      <c r="S329" s="236" t="str">
        <f>IF(S$3="","",IF(COUNTIFS(BD!$A$3:$A$5001,S$3,BD!$B$3:$B$5001,$A$301,BD!$AD$3:$AD$5001,"&lt;&gt;")=0,"",SUMIFS(BD!$AD$3:$AD$5001,BD!$A$3:$A$5001,S$3,BD!$B$3:$B$5001,$A$301)))</f>
        <v/>
      </c>
      <c r="T329" s="236" t="str">
        <f>IF(T$3="","",IF(COUNTIFS(BD!$A$3:$A$5001,T$3,BD!$B$3:$B$5001,$A$301,BD!$AD$3:$AD$5001,"&lt;&gt;")=0,"",SUMIFS(BD!$AD$3:$AD$5001,BD!$A$3:$A$5001,T$3,BD!$B$3:$B$5001,$A$301)))</f>
        <v/>
      </c>
      <c r="U329" s="236" t="str">
        <f>IF(U$3="","",IF(COUNTIFS(BD!$A$3:$A$5001,U$3,BD!$B$3:$B$5001,$A$301,BD!$AD$3:$AD$5001,"&lt;&gt;")=0,"",SUMIFS(BD!$AD$3:$AD$5001,BD!$A$3:$A$5001,U$3,BD!$B$3:$B$5001,$A$301)))</f>
        <v/>
      </c>
      <c r="V329" s="236" t="str">
        <f>IF(V$3="","",IF(COUNTIFS(BD!$A$3:$A$5001,V$3,BD!$B$3:$B$5001,$A$301,BD!$AD$3:$AD$5001,"&lt;&gt;")=0,"",SUMIFS(BD!$AD$3:$AD$5001,BD!$A$3:$A$5001,V$3,BD!$B$3:$B$5001,$A$301)))</f>
        <v/>
      </c>
      <c r="W329" s="236" t="str">
        <f>IF(W$3="","",IF(COUNTIFS(BD!$A$3:$A$5001,W$3,BD!$B$3:$B$5001,$A$301,BD!$AD$3:$AD$5001,"&lt;&gt;")=0,"",SUMIFS(BD!$AD$3:$AD$5001,BD!$A$3:$A$5001,W$3,BD!$B$3:$B$5001,$A$301)))</f>
        <v/>
      </c>
      <c r="X329" s="236" t="str">
        <f>IF(X$3="","",IF(COUNTIFS(BD!$A$3:$A$5001,X$3,BD!$B$3:$B$5001,$A$301,BD!$AD$3:$AD$5001,"&lt;&gt;")=0,"",SUMIFS(BD!$AD$3:$AD$5001,BD!$A$3:$A$5001,X$3,BD!$B$3:$B$5001,$A$301)))</f>
        <v/>
      </c>
      <c r="Y329" s="236" t="str">
        <f>IF(Y$3="","",IF(COUNTIFS(BD!$A$3:$A$5001,Y$3,BD!$B$3:$B$5001,$A$301,BD!$AD$3:$AD$5001,"&lt;&gt;")=0,"",SUMIFS(BD!$AD$3:$AD$5001,BD!$A$3:$A$5001,Y$3,BD!$B$3:$B$5001,$A$301)))</f>
        <v/>
      </c>
      <c r="Z329" s="236" t="str">
        <f>IF(Z$3="","",IF(COUNTIFS(BD!$A$3:$A$5001,Z$3,BD!$B$3:$B$5001,$A$301,BD!$AD$3:$AD$5001,"&lt;&gt;")=0,"",SUMIFS(BD!$AD$3:$AD$5001,BD!$A$3:$A$5001,Z$3,BD!$B$3:$B$5001,$A$301)))</f>
        <v/>
      </c>
      <c r="AA329" s="236" t="str">
        <f>IF(AA$3="","",IF(COUNTIFS(BD!$A$3:$A$5001,AA$3,BD!$B$3:$B$5001,$A$301,BD!$AD$3:$AD$5001,"&lt;&gt;")=0,"",SUMIFS(BD!$AD$3:$AD$5001,BD!$A$3:$A$5001,AA$3,BD!$B$3:$B$5001,$A$301)))</f>
        <v/>
      </c>
      <c r="AB329" s="236" t="str">
        <f>IF(AB$3="","",IF(COUNTIFS(BD!$A$3:$A$5001,AB$3,BD!$B$3:$B$5001,$A$301,BD!$AD$3:$AD$5001,"&lt;&gt;")=0,"",SUMIFS(BD!$AD$3:$AD$5001,BD!$A$3:$A$5001,AB$3,BD!$B$3:$B$5001,$A$301)))</f>
        <v/>
      </c>
      <c r="AC329" s="236" t="str">
        <f>IF(AC$3="","",IF(COUNTIFS(BD!$A$3:$A$5001,AC$3,BD!$B$3:$B$5001,$A$301,BD!$AD$3:$AD$5001,"&lt;&gt;")=0,"",SUMIFS(BD!$AD$3:$AD$5001,BD!$A$3:$A$5001,AC$3,BD!$B$3:$B$5001,$A$301)))</f>
        <v/>
      </c>
      <c r="AD329" s="236" t="str">
        <f>IF(AD$3="","",IF(COUNTIFS(BD!$A$3:$A$5001,AD$3,BD!$B$3:$B$5001,$A$301,BD!$AD$3:$AD$5001,"&lt;&gt;")=0,"",SUMIFS(BD!$AD$3:$AD$5001,BD!$A$3:$A$5001,AD$3,BD!$B$3:$B$5001,$A$301)))</f>
        <v/>
      </c>
      <c r="AE329" s="236" t="str">
        <f>IF(AE$3="","",IF(COUNTIFS(BD!$A$3:$A$5001,AE$3,BD!$B$3:$B$5001,$A$301,BD!$AD$3:$AD$5001,"&lt;&gt;")=0,"",SUMIFS(BD!$AD$3:$AD$5001,BD!$A$3:$A$5001,AE$3,BD!$B$3:$B$5001,$A$301)))</f>
        <v/>
      </c>
      <c r="AF329" s="236" t="str">
        <f>IF(AF$3="","",IF(COUNTIFS(BD!$A$3:$A$5001,AF$3,BD!$B$3:$B$5001,$A$301,BD!$AD$3:$AD$5001,"&lt;&gt;")=0,"",SUMIFS(BD!$AD$3:$AD$5001,BD!$A$3:$A$5001,AF$3,BD!$B$3:$B$5001,$A$301)))</f>
        <v/>
      </c>
      <c r="AG329" s="236" t="str">
        <f>IF(AG$3="","",IF(COUNTIFS(BD!$A$3:$A$5001,AG$3,BD!$B$3:$B$5001,$A$301,BD!$AD$3:$AD$5001,"&lt;&gt;")=0,"",SUMIFS(BD!$AD$3:$AD$5001,BD!$A$3:$A$5001,AG$3,BD!$B$3:$B$5001,$A$301)))</f>
        <v/>
      </c>
      <c r="AH329" s="236" t="str">
        <f>IF(AH$3="","",IF(COUNTIFS(BD!$A$3:$A$5001,AH$3,BD!$B$3:$B$5001,$A$301,BD!$AD$3:$AD$5001,"&lt;&gt;")=0,"",SUMIFS(BD!$AD$3:$AD$5001,BD!$A$3:$A$5001,AH$3,BD!$B$3:$B$5001,$A$301)))</f>
        <v/>
      </c>
      <c r="AI329" s="236" t="str">
        <f>IF(AI$3="","",IF(COUNTIFS(BD!$A$3:$A$5001,AI$3,BD!$B$3:$B$5001,$A$301,BD!$AD$3:$AD$5001,"&lt;&gt;")=0,"",SUMIFS(BD!$AD$3:$AD$5001,BD!$A$3:$A$5001,AI$3,BD!$B$3:$B$5001,$A$301)))</f>
        <v/>
      </c>
      <c r="AJ329" s="237" t="str">
        <f>IF(AJ$3="","",IF(COUNTIFS(BD!$A$3:$A$5001,AJ$3,BD!$B$3:$B$5001,$A$301,BD!$AD$3:$AD$5001,"&lt;&gt;")=0,"",SUMIFS(BD!$AD$3:$AD$5001,BD!$A$3:$A$5001,AJ$3,BD!$B$3:$B$5001,$A$301)))</f>
        <v/>
      </c>
      <c r="AK329" s="238" t="str">
        <f>IF(COUNT(F329:AJ329)=0,"",SUM(F329:AJ329))</f>
        <v/>
      </c>
    </row>
    <row r="330" ht="15.75" customHeight="1" hidden="1">
      <c r="A330" s="261"/>
      <c r="B330" s="258"/>
      <c r="C330" s="232" t="inlineStr">
        <is>
          <t xml:space="preserve">Desligamento</t>
        </is>
      </c>
      <c r="D330" s="233" t="str">
        <f>IFERROR(1/(1/INDEX(BD!$AL$52:$BF$52,MATCH($A$301,BD!$AL$22:$BF$22,0))),"")</f>
        <v/>
      </c>
      <c r="E330" s="234"/>
      <c r="F330" s="235" t="str">
        <f>IF(F$3="","",IF(COUNTIFS(BD!$A$3:$A$5001,F$3,BD!$B$3:$B$5001,$A$301,BD!$AE$3:$AE$5001,"&lt;&gt;")=0,"",SUMIFS(BD!$AE$3:$AE$5001,BD!$A$3:$A$5001,F$3,BD!$B$3:$B$5001,$A$301)))</f>
        <v/>
      </c>
      <c r="G330" s="236" t="str">
        <f>IF(G$3="","",IF(COUNTIFS(BD!$A$3:$A$5001,G$3,BD!$B$3:$B$5001,$A$301,BD!$AE$3:$AE$5001,"&lt;&gt;")=0,"",SUMIFS(BD!$AE$3:$AE$5001,BD!$A$3:$A$5001,G$3,BD!$B$3:$B$5001,$A$301)))</f>
        <v/>
      </c>
      <c r="H330" s="236" t="str">
        <f>IF(H$3="","",IF(COUNTIFS(BD!$A$3:$A$5001,H$3,BD!$B$3:$B$5001,$A$301,BD!$AE$3:$AE$5001,"&lt;&gt;")=0,"",SUMIFS(BD!$AE$3:$AE$5001,BD!$A$3:$A$5001,H$3,BD!$B$3:$B$5001,$A$301)))</f>
        <v/>
      </c>
      <c r="I330" s="236" t="str">
        <f>IF(I$3="","",IF(COUNTIFS(BD!$A$3:$A$5001,I$3,BD!$B$3:$B$5001,$A$301,BD!$AE$3:$AE$5001,"&lt;&gt;")=0,"",SUMIFS(BD!$AE$3:$AE$5001,BD!$A$3:$A$5001,I$3,BD!$B$3:$B$5001,$A$301)))</f>
        <v/>
      </c>
      <c r="J330" s="236" t="str">
        <f>IF(J$3="","",IF(COUNTIFS(BD!$A$3:$A$5001,J$3,BD!$B$3:$B$5001,$A$301,BD!$AE$3:$AE$5001,"&lt;&gt;")=0,"",SUMIFS(BD!$AE$3:$AE$5001,BD!$A$3:$A$5001,J$3,BD!$B$3:$B$5001,$A$301)))</f>
        <v/>
      </c>
      <c r="K330" s="236" t="str">
        <f>IF(K$3="","",IF(COUNTIFS(BD!$A$3:$A$5001,K$3,BD!$B$3:$B$5001,$A$301,BD!$AE$3:$AE$5001,"&lt;&gt;")=0,"",SUMIFS(BD!$AE$3:$AE$5001,BD!$A$3:$A$5001,K$3,BD!$B$3:$B$5001,$A$301)))</f>
        <v/>
      </c>
      <c r="L330" s="236" t="str">
        <f>IF(L$3="","",IF(COUNTIFS(BD!$A$3:$A$5001,L$3,BD!$B$3:$B$5001,$A$301,BD!$AE$3:$AE$5001,"&lt;&gt;")=0,"",SUMIFS(BD!$AE$3:$AE$5001,BD!$A$3:$A$5001,L$3,BD!$B$3:$B$5001,$A$301)))</f>
        <v/>
      </c>
      <c r="M330" s="236" t="str">
        <f>IF(M$3="","",IF(COUNTIFS(BD!$A$3:$A$5001,M$3,BD!$B$3:$B$5001,$A$301,BD!$AE$3:$AE$5001,"&lt;&gt;")=0,"",SUMIFS(BD!$AE$3:$AE$5001,BD!$A$3:$A$5001,M$3,BD!$B$3:$B$5001,$A$301)))</f>
        <v/>
      </c>
      <c r="N330" s="236" t="str">
        <f>IF(N$3="","",IF(COUNTIFS(BD!$A$3:$A$5001,N$3,BD!$B$3:$B$5001,$A$301,BD!$AE$3:$AE$5001,"&lt;&gt;")=0,"",SUMIFS(BD!$AE$3:$AE$5001,BD!$A$3:$A$5001,N$3,BD!$B$3:$B$5001,$A$301)))</f>
        <v/>
      </c>
      <c r="O330" s="236" t="str">
        <f>IF(O$3="","",IF(COUNTIFS(BD!$A$3:$A$5001,O$3,BD!$B$3:$B$5001,$A$301,BD!$AE$3:$AE$5001,"&lt;&gt;")=0,"",SUMIFS(BD!$AE$3:$AE$5001,BD!$A$3:$A$5001,O$3,BD!$B$3:$B$5001,$A$301)))</f>
        <v/>
      </c>
      <c r="P330" s="236" t="str">
        <f>IF(P$3="","",IF(COUNTIFS(BD!$A$3:$A$5001,P$3,BD!$B$3:$B$5001,$A$301,BD!$AE$3:$AE$5001,"&lt;&gt;")=0,"",SUMIFS(BD!$AE$3:$AE$5001,BD!$A$3:$A$5001,P$3,BD!$B$3:$B$5001,$A$301)))</f>
        <v/>
      </c>
      <c r="Q330" s="236" t="str">
        <f>IF(Q$3="","",IF(COUNTIFS(BD!$A$3:$A$5001,Q$3,BD!$B$3:$B$5001,$A$301,BD!$AE$3:$AE$5001,"&lt;&gt;")=0,"",SUMIFS(BD!$AE$3:$AE$5001,BD!$A$3:$A$5001,Q$3,BD!$B$3:$B$5001,$A$301)))</f>
        <v/>
      </c>
      <c r="R330" s="236" t="str">
        <f>IF(R$3="","",IF(COUNTIFS(BD!$A$3:$A$5001,R$3,BD!$B$3:$B$5001,$A$301,BD!$AE$3:$AE$5001,"&lt;&gt;")=0,"",SUMIFS(BD!$AE$3:$AE$5001,BD!$A$3:$A$5001,R$3,BD!$B$3:$B$5001,$A$301)))</f>
        <v/>
      </c>
      <c r="S330" s="236" t="str">
        <f>IF(S$3="","",IF(COUNTIFS(BD!$A$3:$A$5001,S$3,BD!$B$3:$B$5001,$A$301,BD!$AE$3:$AE$5001,"&lt;&gt;")=0,"",SUMIFS(BD!$AE$3:$AE$5001,BD!$A$3:$A$5001,S$3,BD!$B$3:$B$5001,$A$301)))</f>
        <v/>
      </c>
      <c r="T330" s="236" t="str">
        <f>IF(T$3="","",IF(COUNTIFS(BD!$A$3:$A$5001,T$3,BD!$B$3:$B$5001,$A$301,BD!$AE$3:$AE$5001,"&lt;&gt;")=0,"",SUMIFS(BD!$AE$3:$AE$5001,BD!$A$3:$A$5001,T$3,BD!$B$3:$B$5001,$A$301)))</f>
        <v/>
      </c>
      <c r="U330" s="236" t="str">
        <f>IF(U$3="","",IF(COUNTIFS(BD!$A$3:$A$5001,U$3,BD!$B$3:$B$5001,$A$301,BD!$AE$3:$AE$5001,"&lt;&gt;")=0,"",SUMIFS(BD!$AE$3:$AE$5001,BD!$A$3:$A$5001,U$3,BD!$B$3:$B$5001,$A$301)))</f>
        <v/>
      </c>
      <c r="V330" s="236" t="str">
        <f>IF(V$3="","",IF(COUNTIFS(BD!$A$3:$A$5001,V$3,BD!$B$3:$B$5001,$A$301,BD!$AE$3:$AE$5001,"&lt;&gt;")=0,"",SUMIFS(BD!$AE$3:$AE$5001,BD!$A$3:$A$5001,V$3,BD!$B$3:$B$5001,$A$301)))</f>
        <v/>
      </c>
      <c r="W330" s="236" t="str">
        <f>IF(W$3="","",IF(COUNTIFS(BD!$A$3:$A$5001,W$3,BD!$B$3:$B$5001,$A$301,BD!$AE$3:$AE$5001,"&lt;&gt;")=0,"",SUMIFS(BD!$AE$3:$AE$5001,BD!$A$3:$A$5001,W$3,BD!$B$3:$B$5001,$A$301)))</f>
        <v/>
      </c>
      <c r="X330" s="236" t="str">
        <f>IF(X$3="","",IF(COUNTIFS(BD!$A$3:$A$5001,X$3,BD!$B$3:$B$5001,$A$301,BD!$AE$3:$AE$5001,"&lt;&gt;")=0,"",SUMIFS(BD!$AE$3:$AE$5001,BD!$A$3:$A$5001,X$3,BD!$B$3:$B$5001,$A$301)))</f>
        <v/>
      </c>
      <c r="Y330" s="236" t="str">
        <f>IF(Y$3="","",IF(COUNTIFS(BD!$A$3:$A$5001,Y$3,BD!$B$3:$B$5001,$A$301,BD!$AE$3:$AE$5001,"&lt;&gt;")=0,"",SUMIFS(BD!$AE$3:$AE$5001,BD!$A$3:$A$5001,Y$3,BD!$B$3:$B$5001,$A$301)))</f>
        <v/>
      </c>
      <c r="Z330" s="236" t="str">
        <f>IF(Z$3="","",IF(COUNTIFS(BD!$A$3:$A$5001,Z$3,BD!$B$3:$B$5001,$A$301,BD!$AE$3:$AE$5001,"&lt;&gt;")=0,"",SUMIFS(BD!$AE$3:$AE$5001,BD!$A$3:$A$5001,Z$3,BD!$B$3:$B$5001,$A$301)))</f>
        <v/>
      </c>
      <c r="AA330" s="236" t="str">
        <f>IF(AA$3="","",IF(COUNTIFS(BD!$A$3:$A$5001,AA$3,BD!$B$3:$B$5001,$A$301,BD!$AE$3:$AE$5001,"&lt;&gt;")=0,"",SUMIFS(BD!$AE$3:$AE$5001,BD!$A$3:$A$5001,AA$3,BD!$B$3:$B$5001,$A$301)))</f>
        <v/>
      </c>
      <c r="AB330" s="236" t="str">
        <f>IF(AB$3="","",IF(COUNTIFS(BD!$A$3:$A$5001,AB$3,BD!$B$3:$B$5001,$A$301,BD!$AE$3:$AE$5001,"&lt;&gt;")=0,"",SUMIFS(BD!$AE$3:$AE$5001,BD!$A$3:$A$5001,AB$3,BD!$B$3:$B$5001,$A$301)))</f>
        <v/>
      </c>
      <c r="AC330" s="236" t="str">
        <f>IF(AC$3="","",IF(COUNTIFS(BD!$A$3:$A$5001,AC$3,BD!$B$3:$B$5001,$A$301,BD!$AE$3:$AE$5001,"&lt;&gt;")=0,"",SUMIFS(BD!$AE$3:$AE$5001,BD!$A$3:$A$5001,AC$3,BD!$B$3:$B$5001,$A$301)))</f>
        <v/>
      </c>
      <c r="AD330" s="236" t="str">
        <f>IF(AD$3="","",IF(COUNTIFS(BD!$A$3:$A$5001,AD$3,BD!$B$3:$B$5001,$A$301,BD!$AE$3:$AE$5001,"&lt;&gt;")=0,"",SUMIFS(BD!$AE$3:$AE$5001,BD!$A$3:$A$5001,AD$3,BD!$B$3:$B$5001,$A$301)))</f>
        <v/>
      </c>
      <c r="AE330" s="236" t="str">
        <f>IF(AE$3="","",IF(COUNTIFS(BD!$A$3:$A$5001,AE$3,BD!$B$3:$B$5001,$A$301,BD!$AE$3:$AE$5001,"&lt;&gt;")=0,"",SUMIFS(BD!$AE$3:$AE$5001,BD!$A$3:$A$5001,AE$3,BD!$B$3:$B$5001,$A$301)))</f>
        <v/>
      </c>
      <c r="AF330" s="236" t="str">
        <f>IF(AF$3="","",IF(COUNTIFS(BD!$A$3:$A$5001,AF$3,BD!$B$3:$B$5001,$A$301,BD!$AE$3:$AE$5001,"&lt;&gt;")=0,"",SUMIFS(BD!$AE$3:$AE$5001,BD!$A$3:$A$5001,AF$3,BD!$B$3:$B$5001,$A$301)))</f>
        <v/>
      </c>
      <c r="AG330" s="236" t="str">
        <f>IF(AG$3="","",IF(COUNTIFS(BD!$A$3:$A$5001,AG$3,BD!$B$3:$B$5001,$A$301,BD!$AE$3:$AE$5001,"&lt;&gt;")=0,"",SUMIFS(BD!$AE$3:$AE$5001,BD!$A$3:$A$5001,AG$3,BD!$B$3:$B$5001,$A$301)))</f>
        <v/>
      </c>
      <c r="AH330" s="236" t="str">
        <f>IF(AH$3="","",IF(COUNTIFS(BD!$A$3:$A$5001,AH$3,BD!$B$3:$B$5001,$A$301,BD!$AE$3:$AE$5001,"&lt;&gt;")=0,"",SUMIFS(BD!$AE$3:$AE$5001,BD!$A$3:$A$5001,AH$3,BD!$B$3:$B$5001,$A$301)))</f>
        <v/>
      </c>
      <c r="AI330" s="236" t="str">
        <f>IF(AI$3="","",IF(COUNTIFS(BD!$A$3:$A$5001,AI$3,BD!$B$3:$B$5001,$A$301,BD!$AE$3:$AE$5001,"&lt;&gt;")=0,"",SUMIFS(BD!$AE$3:$AE$5001,BD!$A$3:$A$5001,AI$3,BD!$B$3:$B$5001,$A$301)))</f>
        <v/>
      </c>
      <c r="AJ330" s="237" t="str">
        <f>IF(AJ$3="","",IF(COUNTIFS(BD!$A$3:$A$5001,AJ$3,BD!$B$3:$B$5001,$A$301,BD!$AE$3:$AE$5001,"&lt;&gt;")=0,"",SUMIFS(BD!$AE$3:$AE$5001,BD!$A$3:$A$5001,AJ$3,BD!$B$3:$B$5001,$A$301)))</f>
        <v/>
      </c>
      <c r="AK330" s="238" t="str">
        <f>IF(COUNT(F330:AJ330)=0,"",SUM(F330:AJ330))</f>
        <v/>
      </c>
    </row>
    <row r="331" ht="15.75" customHeight="1" hidden="1">
      <c r="A331" s="261"/>
      <c r="B331" s="258"/>
      <c r="C331" s="232" t="inlineStr">
        <is>
          <t xml:space="preserve">Desvios Comportamentais</t>
        </is>
      </c>
      <c r="D331" s="233" t="str">
        <f>IFERROR(1/(1/INDEX(BD!$AL$53:$BF$53,MATCH($A$301,BD!$AL$22:$BF$22,0))),"")</f>
        <v/>
      </c>
      <c r="E331" s="234"/>
      <c r="F331" s="235" t="str">
        <f>IF(F$3="","",IF(COUNTIFS(BD!$A$3:$A$5001,F$3,BD!$B$3:$B$5001,$A$301,BD!$AF$3:$AF$5001,"&lt;&gt;")=0,"",SUMIFS(BD!$AF$3:$AF$5001,BD!$A$3:$A$5001,F$3,BD!$B$3:$B$5001,$A$301)))</f>
        <v/>
      </c>
      <c r="G331" s="236" t="str">
        <f>IF(G$3="","",IF(COUNTIFS(BD!$A$3:$A$5001,G$3,BD!$B$3:$B$5001,$A$301,BD!$AF$3:$AF$5001,"&lt;&gt;")=0,"",SUMIFS(BD!$AF$3:$AF$5001,BD!$A$3:$A$5001,G$3,BD!$B$3:$B$5001,$A$301)))</f>
        <v/>
      </c>
      <c r="H331" s="236" t="str">
        <f>IF(H$3="","",IF(COUNTIFS(BD!$A$3:$A$5001,H$3,BD!$B$3:$B$5001,$A$301,BD!$AF$3:$AF$5001,"&lt;&gt;")=0,"",SUMIFS(BD!$AF$3:$AF$5001,BD!$A$3:$A$5001,H$3,BD!$B$3:$B$5001,$A$301)))</f>
        <v/>
      </c>
      <c r="I331" s="236" t="str">
        <f>IF(I$3="","",IF(COUNTIFS(BD!$A$3:$A$5001,I$3,BD!$B$3:$B$5001,$A$301,BD!$AF$3:$AF$5001,"&lt;&gt;")=0,"",SUMIFS(BD!$AF$3:$AF$5001,BD!$A$3:$A$5001,I$3,BD!$B$3:$B$5001,$A$301)))</f>
        <v/>
      </c>
      <c r="J331" s="236" t="str">
        <f>IF(J$3="","",IF(COUNTIFS(BD!$A$3:$A$5001,J$3,BD!$B$3:$B$5001,$A$301,BD!$AF$3:$AF$5001,"&lt;&gt;")=0,"",SUMIFS(BD!$AF$3:$AF$5001,BD!$A$3:$A$5001,J$3,BD!$B$3:$B$5001,$A$301)))</f>
        <v/>
      </c>
      <c r="K331" s="236" t="str">
        <f>IF(K$3="","",IF(COUNTIFS(BD!$A$3:$A$5001,K$3,BD!$B$3:$B$5001,$A$301,BD!$AF$3:$AF$5001,"&lt;&gt;")=0,"",SUMIFS(BD!$AF$3:$AF$5001,BD!$A$3:$A$5001,K$3,BD!$B$3:$B$5001,$A$301)))</f>
        <v/>
      </c>
      <c r="L331" s="236" t="str">
        <f>IF(L$3="","",IF(COUNTIFS(BD!$A$3:$A$5001,L$3,BD!$B$3:$B$5001,$A$301,BD!$AF$3:$AF$5001,"&lt;&gt;")=0,"",SUMIFS(BD!$AF$3:$AF$5001,BD!$A$3:$A$5001,L$3,BD!$B$3:$B$5001,$A$301)))</f>
        <v/>
      </c>
      <c r="M331" s="236" t="str">
        <f>IF(M$3="","",IF(COUNTIFS(BD!$A$3:$A$5001,M$3,BD!$B$3:$B$5001,$A$301,BD!$AF$3:$AF$5001,"&lt;&gt;")=0,"",SUMIFS(BD!$AF$3:$AF$5001,BD!$A$3:$A$5001,M$3,BD!$B$3:$B$5001,$A$301)))</f>
        <v/>
      </c>
      <c r="N331" s="236" t="str">
        <f>IF(N$3="","",IF(COUNTIFS(BD!$A$3:$A$5001,N$3,BD!$B$3:$B$5001,$A$301,BD!$AF$3:$AF$5001,"&lt;&gt;")=0,"",SUMIFS(BD!$AF$3:$AF$5001,BD!$A$3:$A$5001,N$3,BD!$B$3:$B$5001,$A$301)))</f>
        <v/>
      </c>
      <c r="O331" s="236" t="str">
        <f>IF(O$3="","",IF(COUNTIFS(BD!$A$3:$A$5001,O$3,BD!$B$3:$B$5001,$A$301,BD!$AF$3:$AF$5001,"&lt;&gt;")=0,"",SUMIFS(BD!$AF$3:$AF$5001,BD!$A$3:$A$5001,O$3,BD!$B$3:$B$5001,$A$301)))</f>
        <v/>
      </c>
      <c r="P331" s="236" t="str">
        <f>IF(P$3="","",IF(COUNTIFS(BD!$A$3:$A$5001,P$3,BD!$B$3:$B$5001,$A$301,BD!$AF$3:$AF$5001,"&lt;&gt;")=0,"",SUMIFS(BD!$AF$3:$AF$5001,BD!$A$3:$A$5001,P$3,BD!$B$3:$B$5001,$A$301)))</f>
        <v/>
      </c>
      <c r="Q331" s="236" t="str">
        <f>IF(Q$3="","",IF(COUNTIFS(BD!$A$3:$A$5001,Q$3,BD!$B$3:$B$5001,$A$301,BD!$AF$3:$AF$5001,"&lt;&gt;")=0,"",SUMIFS(BD!$AF$3:$AF$5001,BD!$A$3:$A$5001,Q$3,BD!$B$3:$B$5001,$A$301)))</f>
        <v/>
      </c>
      <c r="R331" s="236" t="str">
        <f>IF(R$3="","",IF(COUNTIFS(BD!$A$3:$A$5001,R$3,BD!$B$3:$B$5001,$A$301,BD!$AF$3:$AF$5001,"&lt;&gt;")=0,"",SUMIFS(BD!$AF$3:$AF$5001,BD!$A$3:$A$5001,R$3,BD!$B$3:$B$5001,$A$301)))</f>
        <v/>
      </c>
      <c r="S331" s="236" t="str">
        <f>IF(S$3="","",IF(COUNTIFS(BD!$A$3:$A$5001,S$3,BD!$B$3:$B$5001,$A$301,BD!$AF$3:$AF$5001,"&lt;&gt;")=0,"",SUMIFS(BD!$AF$3:$AF$5001,BD!$A$3:$A$5001,S$3,BD!$B$3:$B$5001,$A$301)))</f>
        <v/>
      </c>
      <c r="T331" s="236" t="str">
        <f>IF(T$3="","",IF(COUNTIFS(BD!$A$3:$A$5001,T$3,BD!$B$3:$B$5001,$A$301,BD!$AF$3:$AF$5001,"&lt;&gt;")=0,"",SUMIFS(BD!$AF$3:$AF$5001,BD!$A$3:$A$5001,T$3,BD!$B$3:$B$5001,$A$301)))</f>
        <v/>
      </c>
      <c r="U331" s="236" t="str">
        <f>IF(U$3="","",IF(COUNTIFS(BD!$A$3:$A$5001,U$3,BD!$B$3:$B$5001,$A$301,BD!$AF$3:$AF$5001,"&lt;&gt;")=0,"",SUMIFS(BD!$AF$3:$AF$5001,BD!$A$3:$A$5001,U$3,BD!$B$3:$B$5001,$A$301)))</f>
        <v/>
      </c>
      <c r="V331" s="236" t="str">
        <f>IF(V$3="","",IF(COUNTIFS(BD!$A$3:$A$5001,V$3,BD!$B$3:$B$5001,$A$301,BD!$AF$3:$AF$5001,"&lt;&gt;")=0,"",SUMIFS(BD!$AF$3:$AF$5001,BD!$A$3:$A$5001,V$3,BD!$B$3:$B$5001,$A$301)))</f>
        <v/>
      </c>
      <c r="W331" s="236" t="str">
        <f>IF(W$3="","",IF(COUNTIFS(BD!$A$3:$A$5001,W$3,BD!$B$3:$B$5001,$A$301,BD!$AF$3:$AF$5001,"&lt;&gt;")=0,"",SUMIFS(BD!$AF$3:$AF$5001,BD!$A$3:$A$5001,W$3,BD!$B$3:$B$5001,$A$301)))</f>
        <v/>
      </c>
      <c r="X331" s="236" t="str">
        <f>IF(X$3="","",IF(COUNTIFS(BD!$A$3:$A$5001,X$3,BD!$B$3:$B$5001,$A$301,BD!$AF$3:$AF$5001,"&lt;&gt;")=0,"",SUMIFS(BD!$AF$3:$AF$5001,BD!$A$3:$A$5001,X$3,BD!$B$3:$B$5001,$A$301)))</f>
        <v/>
      </c>
      <c r="Y331" s="236" t="str">
        <f>IF(Y$3="","",IF(COUNTIFS(BD!$A$3:$A$5001,Y$3,BD!$B$3:$B$5001,$A$301,BD!$AF$3:$AF$5001,"&lt;&gt;")=0,"",SUMIFS(BD!$AF$3:$AF$5001,BD!$A$3:$A$5001,Y$3,BD!$B$3:$B$5001,$A$301)))</f>
        <v/>
      </c>
      <c r="Z331" s="236" t="str">
        <f>IF(Z$3="","",IF(COUNTIFS(BD!$A$3:$A$5001,Z$3,BD!$B$3:$B$5001,$A$301,BD!$AF$3:$AF$5001,"&lt;&gt;")=0,"",SUMIFS(BD!$AF$3:$AF$5001,BD!$A$3:$A$5001,Z$3,BD!$B$3:$B$5001,$A$301)))</f>
        <v/>
      </c>
      <c r="AA331" s="236" t="str">
        <f>IF(AA$3="","",IF(COUNTIFS(BD!$A$3:$A$5001,AA$3,BD!$B$3:$B$5001,$A$301,BD!$AF$3:$AF$5001,"&lt;&gt;")=0,"",SUMIFS(BD!$AF$3:$AF$5001,BD!$A$3:$A$5001,AA$3,BD!$B$3:$B$5001,$A$301)))</f>
        <v/>
      </c>
      <c r="AB331" s="236" t="str">
        <f>IF(AB$3="","",IF(COUNTIFS(BD!$A$3:$A$5001,AB$3,BD!$B$3:$B$5001,$A$301,BD!$AF$3:$AF$5001,"&lt;&gt;")=0,"",SUMIFS(BD!$AF$3:$AF$5001,BD!$A$3:$A$5001,AB$3,BD!$B$3:$B$5001,$A$301)))</f>
        <v/>
      </c>
      <c r="AC331" s="236" t="str">
        <f>IF(AC$3="","",IF(COUNTIFS(BD!$A$3:$A$5001,AC$3,BD!$B$3:$B$5001,$A$301,BD!$AF$3:$AF$5001,"&lt;&gt;")=0,"",SUMIFS(BD!$AF$3:$AF$5001,BD!$A$3:$A$5001,AC$3,BD!$B$3:$B$5001,$A$301)))</f>
        <v/>
      </c>
      <c r="AD331" s="236" t="str">
        <f>IF(AD$3="","",IF(COUNTIFS(BD!$A$3:$A$5001,AD$3,BD!$B$3:$B$5001,$A$301,BD!$AF$3:$AF$5001,"&lt;&gt;")=0,"",SUMIFS(BD!$AF$3:$AF$5001,BD!$A$3:$A$5001,AD$3,BD!$B$3:$B$5001,$A$301)))</f>
        <v/>
      </c>
      <c r="AE331" s="236" t="str">
        <f>IF(AE$3="","",IF(COUNTIFS(BD!$A$3:$A$5001,AE$3,BD!$B$3:$B$5001,$A$301,BD!$AF$3:$AF$5001,"&lt;&gt;")=0,"",SUMIFS(BD!$AF$3:$AF$5001,BD!$A$3:$A$5001,AE$3,BD!$B$3:$B$5001,$A$301)))</f>
        <v/>
      </c>
      <c r="AF331" s="236" t="str">
        <f>IF(AF$3="","",IF(COUNTIFS(BD!$A$3:$A$5001,AF$3,BD!$B$3:$B$5001,$A$301,BD!$AF$3:$AF$5001,"&lt;&gt;")=0,"",SUMIFS(BD!$AF$3:$AF$5001,BD!$A$3:$A$5001,AF$3,BD!$B$3:$B$5001,$A$301)))</f>
        <v/>
      </c>
      <c r="AG331" s="236" t="str">
        <f>IF(AG$3="","",IF(COUNTIFS(BD!$A$3:$A$5001,AG$3,BD!$B$3:$B$5001,$A$301,BD!$AF$3:$AF$5001,"&lt;&gt;")=0,"",SUMIFS(BD!$AF$3:$AF$5001,BD!$A$3:$A$5001,AG$3,BD!$B$3:$B$5001,$A$301)))</f>
        <v/>
      </c>
      <c r="AH331" s="236" t="str">
        <f>IF(AH$3="","",IF(COUNTIFS(BD!$A$3:$A$5001,AH$3,BD!$B$3:$B$5001,$A$301,BD!$AF$3:$AF$5001,"&lt;&gt;")=0,"",SUMIFS(BD!$AF$3:$AF$5001,BD!$A$3:$A$5001,AH$3,BD!$B$3:$B$5001,$A$301)))</f>
        <v/>
      </c>
      <c r="AI331" s="236" t="str">
        <f>IF(AI$3="","",IF(COUNTIFS(BD!$A$3:$A$5001,AI$3,BD!$B$3:$B$5001,$A$301,BD!$AF$3:$AF$5001,"&lt;&gt;")=0,"",SUMIFS(BD!$AF$3:$AF$5001,BD!$A$3:$A$5001,AI$3,BD!$B$3:$B$5001,$A$301)))</f>
        <v/>
      </c>
      <c r="AJ331" s="237" t="str">
        <f>IF(AJ$3="","",IF(COUNTIFS(BD!$A$3:$A$5001,AJ$3,BD!$B$3:$B$5001,$A$301,BD!$AF$3:$AF$5001,"&lt;&gt;")=0,"",SUMIFS(BD!$AF$3:$AF$5001,BD!$A$3:$A$5001,AJ$3,BD!$B$3:$B$5001,$A$301)))</f>
        <v/>
      </c>
      <c r="AK331" s="238" t="str">
        <f>IF(COUNT(F331:AJ331)=0,"",SUM(F331:AJ331))</f>
        <v/>
      </c>
    </row>
    <row r="332" ht="15.75" customHeight="1" hidden="1">
      <c r="A332" s="261"/>
      <c r="B332" s="258"/>
      <c r="C332" s="232" t="inlineStr">
        <is>
          <t xml:space="preserve">Acidentes CAF</t>
        </is>
      </c>
      <c r="D332" s="233" t="str">
        <f>IFERROR(1/(1/INDEX(BD!$AL$54:$BF$54,MATCH($A$301,BD!$AL$22:$BF$22,0))),"")</f>
        <v/>
      </c>
      <c r="E332" s="234"/>
      <c r="F332" s="235" t="str">
        <f>IF(F$3="","",IF(COUNTIFS(BD!$A$3:$A$5001,F$3,BD!$B$3:$B$5001,$A$301,BD!$AG$3:$AG$5001,"&lt;&gt;")=0,"",SUMIFS(BD!$AG$3:$AG$5001,BD!$A$3:$A$5001,F$3,BD!$B$3:$B$5001,$A$301)))</f>
        <v/>
      </c>
      <c r="G332" s="236" t="str">
        <f>IF(G$3="","",IF(COUNTIFS(BD!$A$3:$A$5001,G$3,BD!$B$3:$B$5001,$A$301,BD!$AG$3:$AG$5001,"&lt;&gt;")=0,"",SUMIFS(BD!$AG$3:$AG$5001,BD!$A$3:$A$5001,G$3,BD!$B$3:$B$5001,$A$301)))</f>
        <v/>
      </c>
      <c r="H332" s="236" t="str">
        <f>IF(H$3="","",IF(COUNTIFS(BD!$A$3:$A$5001,H$3,BD!$B$3:$B$5001,$A$301,BD!$AG$3:$AG$5001,"&lt;&gt;")=0,"",SUMIFS(BD!$AG$3:$AG$5001,BD!$A$3:$A$5001,H$3,BD!$B$3:$B$5001,$A$301)))</f>
        <v/>
      </c>
      <c r="I332" s="236" t="str">
        <f>IF(I$3="","",IF(COUNTIFS(BD!$A$3:$A$5001,I$3,BD!$B$3:$B$5001,$A$301,BD!$AG$3:$AG$5001,"&lt;&gt;")=0,"",SUMIFS(BD!$AG$3:$AG$5001,BD!$A$3:$A$5001,I$3,BD!$B$3:$B$5001,$A$301)))</f>
        <v/>
      </c>
      <c r="J332" s="236" t="str">
        <f>IF(J$3="","",IF(COUNTIFS(BD!$A$3:$A$5001,J$3,BD!$B$3:$B$5001,$A$301,BD!$AG$3:$AG$5001,"&lt;&gt;")=0,"",SUMIFS(BD!$AG$3:$AG$5001,BD!$A$3:$A$5001,J$3,BD!$B$3:$B$5001,$A$301)))</f>
        <v/>
      </c>
      <c r="K332" s="236" t="str">
        <f>IF(K$3="","",IF(COUNTIFS(BD!$A$3:$A$5001,K$3,BD!$B$3:$B$5001,$A$301,BD!$AG$3:$AG$5001,"&lt;&gt;")=0,"",SUMIFS(BD!$AG$3:$AG$5001,BD!$A$3:$A$5001,K$3,BD!$B$3:$B$5001,$A$301)))</f>
        <v/>
      </c>
      <c r="L332" s="236" t="str">
        <f>IF(L$3="","",IF(COUNTIFS(BD!$A$3:$A$5001,L$3,BD!$B$3:$B$5001,$A$301,BD!$AG$3:$AG$5001,"&lt;&gt;")=0,"",SUMIFS(BD!$AG$3:$AG$5001,BD!$A$3:$A$5001,L$3,BD!$B$3:$B$5001,$A$301)))</f>
        <v/>
      </c>
      <c r="M332" s="236" t="str">
        <f>IF(M$3="","",IF(COUNTIFS(BD!$A$3:$A$5001,M$3,BD!$B$3:$B$5001,$A$301,BD!$AG$3:$AG$5001,"&lt;&gt;")=0,"",SUMIFS(BD!$AG$3:$AG$5001,BD!$A$3:$A$5001,M$3,BD!$B$3:$B$5001,$A$301)))</f>
        <v/>
      </c>
      <c r="N332" s="236" t="str">
        <f>IF(N$3="","",IF(COUNTIFS(BD!$A$3:$A$5001,N$3,BD!$B$3:$B$5001,$A$301,BD!$AG$3:$AG$5001,"&lt;&gt;")=0,"",SUMIFS(BD!$AG$3:$AG$5001,BD!$A$3:$A$5001,N$3,BD!$B$3:$B$5001,$A$301)))</f>
        <v/>
      </c>
      <c r="O332" s="236" t="str">
        <f>IF(O$3="","",IF(COUNTIFS(BD!$A$3:$A$5001,O$3,BD!$B$3:$B$5001,$A$301,BD!$AG$3:$AG$5001,"&lt;&gt;")=0,"",SUMIFS(BD!$AG$3:$AG$5001,BD!$A$3:$A$5001,O$3,BD!$B$3:$B$5001,$A$301)))</f>
        <v/>
      </c>
      <c r="P332" s="236" t="str">
        <f>IF(P$3="","",IF(COUNTIFS(BD!$A$3:$A$5001,P$3,BD!$B$3:$B$5001,$A$301,BD!$AG$3:$AG$5001,"&lt;&gt;")=0,"",SUMIFS(BD!$AG$3:$AG$5001,BD!$A$3:$A$5001,P$3,BD!$B$3:$B$5001,$A$301)))</f>
        <v/>
      </c>
      <c r="Q332" s="236" t="str">
        <f>IF(Q$3="","",IF(COUNTIFS(BD!$A$3:$A$5001,Q$3,BD!$B$3:$B$5001,$A$301,BD!$AG$3:$AG$5001,"&lt;&gt;")=0,"",SUMIFS(BD!$AG$3:$AG$5001,BD!$A$3:$A$5001,Q$3,BD!$B$3:$B$5001,$A$301)))</f>
        <v/>
      </c>
      <c r="R332" s="236" t="str">
        <f>IF(R$3="","",IF(COUNTIFS(BD!$A$3:$A$5001,R$3,BD!$B$3:$B$5001,$A$301,BD!$AG$3:$AG$5001,"&lt;&gt;")=0,"",SUMIFS(BD!$AG$3:$AG$5001,BD!$A$3:$A$5001,R$3,BD!$B$3:$B$5001,$A$301)))</f>
        <v/>
      </c>
      <c r="S332" s="236" t="str">
        <f>IF(S$3="","",IF(COUNTIFS(BD!$A$3:$A$5001,S$3,BD!$B$3:$B$5001,$A$301,BD!$AG$3:$AG$5001,"&lt;&gt;")=0,"",SUMIFS(BD!$AG$3:$AG$5001,BD!$A$3:$A$5001,S$3,BD!$B$3:$B$5001,$A$301)))</f>
        <v/>
      </c>
      <c r="T332" s="236" t="str">
        <f>IF(T$3="","",IF(COUNTIFS(BD!$A$3:$A$5001,T$3,BD!$B$3:$B$5001,$A$301,BD!$AG$3:$AG$5001,"&lt;&gt;")=0,"",SUMIFS(BD!$AG$3:$AG$5001,BD!$A$3:$A$5001,T$3,BD!$B$3:$B$5001,$A$301)))</f>
        <v/>
      </c>
      <c r="U332" s="236" t="str">
        <f>IF(U$3="","",IF(COUNTIFS(BD!$A$3:$A$5001,U$3,BD!$B$3:$B$5001,$A$301,BD!$AG$3:$AG$5001,"&lt;&gt;")=0,"",SUMIFS(BD!$AG$3:$AG$5001,BD!$A$3:$A$5001,U$3,BD!$B$3:$B$5001,$A$301)))</f>
        <v/>
      </c>
      <c r="V332" s="236" t="str">
        <f>IF(V$3="","",IF(COUNTIFS(BD!$A$3:$A$5001,V$3,BD!$B$3:$B$5001,$A$301,BD!$AG$3:$AG$5001,"&lt;&gt;")=0,"",SUMIFS(BD!$AG$3:$AG$5001,BD!$A$3:$A$5001,V$3,BD!$B$3:$B$5001,$A$301)))</f>
        <v/>
      </c>
      <c r="W332" s="236" t="str">
        <f>IF(W$3="","",IF(COUNTIFS(BD!$A$3:$A$5001,W$3,BD!$B$3:$B$5001,$A$301,BD!$AG$3:$AG$5001,"&lt;&gt;")=0,"",SUMIFS(BD!$AG$3:$AG$5001,BD!$A$3:$A$5001,W$3,BD!$B$3:$B$5001,$A$301)))</f>
        <v/>
      </c>
      <c r="X332" s="236" t="str">
        <f>IF(X$3="","",IF(COUNTIFS(BD!$A$3:$A$5001,X$3,BD!$B$3:$B$5001,$A$301,BD!$AG$3:$AG$5001,"&lt;&gt;")=0,"",SUMIFS(BD!$AG$3:$AG$5001,BD!$A$3:$A$5001,X$3,BD!$B$3:$B$5001,$A$301)))</f>
        <v/>
      </c>
      <c r="Y332" s="236" t="str">
        <f>IF(Y$3="","",IF(COUNTIFS(BD!$A$3:$A$5001,Y$3,BD!$B$3:$B$5001,$A$301,BD!$AG$3:$AG$5001,"&lt;&gt;")=0,"",SUMIFS(BD!$AG$3:$AG$5001,BD!$A$3:$A$5001,Y$3,BD!$B$3:$B$5001,$A$301)))</f>
        <v/>
      </c>
      <c r="Z332" s="236" t="str">
        <f>IF(Z$3="","",IF(COUNTIFS(BD!$A$3:$A$5001,Z$3,BD!$B$3:$B$5001,$A$301,BD!$AG$3:$AG$5001,"&lt;&gt;")=0,"",SUMIFS(BD!$AG$3:$AG$5001,BD!$A$3:$A$5001,Z$3,BD!$B$3:$B$5001,$A$301)))</f>
        <v/>
      </c>
      <c r="AA332" s="236" t="str">
        <f>IF(AA$3="","",IF(COUNTIFS(BD!$A$3:$A$5001,AA$3,BD!$B$3:$B$5001,$A$301,BD!$AG$3:$AG$5001,"&lt;&gt;")=0,"",SUMIFS(BD!$AG$3:$AG$5001,BD!$A$3:$A$5001,AA$3,BD!$B$3:$B$5001,$A$301)))</f>
        <v/>
      </c>
      <c r="AB332" s="236" t="str">
        <f>IF(AB$3="","",IF(COUNTIFS(BD!$A$3:$A$5001,AB$3,BD!$B$3:$B$5001,$A$301,BD!$AG$3:$AG$5001,"&lt;&gt;")=0,"",SUMIFS(BD!$AG$3:$AG$5001,BD!$A$3:$A$5001,AB$3,BD!$B$3:$B$5001,$A$301)))</f>
        <v/>
      </c>
      <c r="AC332" s="236" t="str">
        <f>IF(AC$3="","",IF(COUNTIFS(BD!$A$3:$A$5001,AC$3,BD!$B$3:$B$5001,$A$301,BD!$AG$3:$AG$5001,"&lt;&gt;")=0,"",SUMIFS(BD!$AG$3:$AG$5001,BD!$A$3:$A$5001,AC$3,BD!$B$3:$B$5001,$A$301)))</f>
        <v/>
      </c>
      <c r="AD332" s="236" t="str">
        <f>IF(AD$3="","",IF(COUNTIFS(BD!$A$3:$A$5001,AD$3,BD!$B$3:$B$5001,$A$301,BD!$AG$3:$AG$5001,"&lt;&gt;")=0,"",SUMIFS(BD!$AG$3:$AG$5001,BD!$A$3:$A$5001,AD$3,BD!$B$3:$B$5001,$A$301)))</f>
        <v/>
      </c>
      <c r="AE332" s="236" t="str">
        <f>IF(AE$3="","",IF(COUNTIFS(BD!$A$3:$A$5001,AE$3,BD!$B$3:$B$5001,$A$301,BD!$AG$3:$AG$5001,"&lt;&gt;")=0,"",SUMIFS(BD!$AG$3:$AG$5001,BD!$A$3:$A$5001,AE$3,BD!$B$3:$B$5001,$A$301)))</f>
        <v/>
      </c>
      <c r="AF332" s="236" t="str">
        <f>IF(AF$3="","",IF(COUNTIFS(BD!$A$3:$A$5001,AF$3,BD!$B$3:$B$5001,$A$301,BD!$AG$3:$AG$5001,"&lt;&gt;")=0,"",SUMIFS(BD!$AG$3:$AG$5001,BD!$A$3:$A$5001,AF$3,BD!$B$3:$B$5001,$A$301)))</f>
        <v/>
      </c>
      <c r="AG332" s="236" t="str">
        <f>IF(AG$3="","",IF(COUNTIFS(BD!$A$3:$A$5001,AG$3,BD!$B$3:$B$5001,$A$301,BD!$AG$3:$AG$5001,"&lt;&gt;")=0,"",SUMIFS(BD!$AG$3:$AG$5001,BD!$A$3:$A$5001,AG$3,BD!$B$3:$B$5001,$A$301)))</f>
        <v/>
      </c>
      <c r="AH332" s="236" t="str">
        <f>IF(AH$3="","",IF(COUNTIFS(BD!$A$3:$A$5001,AH$3,BD!$B$3:$B$5001,$A$301,BD!$AG$3:$AG$5001,"&lt;&gt;")=0,"",SUMIFS(BD!$AG$3:$AG$5001,BD!$A$3:$A$5001,AH$3,BD!$B$3:$B$5001,$A$301)))</f>
        <v/>
      </c>
      <c r="AI332" s="236" t="str">
        <f>IF(AI$3="","",IF(COUNTIFS(BD!$A$3:$A$5001,AI$3,BD!$B$3:$B$5001,$A$301,BD!$AG$3:$AG$5001,"&lt;&gt;")=0,"",SUMIFS(BD!$AG$3:$AG$5001,BD!$A$3:$A$5001,AI$3,BD!$B$3:$B$5001,$A$301)))</f>
        <v/>
      </c>
      <c r="AJ332" s="237" t="str">
        <f>IF(AJ$3="","",IF(COUNTIFS(BD!$A$3:$A$5001,AJ$3,BD!$B$3:$B$5001,$A$301,BD!$AG$3:$AG$5001,"&lt;&gt;")=0,"",SUMIFS(BD!$AG$3:$AG$5001,BD!$A$3:$A$5001,AJ$3,BD!$B$3:$B$5001,$A$301)))</f>
        <v/>
      </c>
      <c r="AK332" s="238" t="str">
        <f>IF(COUNT(F332:AJ332)=0,"",SUM(F332:AJ332))</f>
        <v/>
      </c>
    </row>
    <row r="333" ht="15.75" customHeight="1" hidden="1">
      <c r="A333" s="262"/>
      <c r="B333" s="259"/>
      <c r="C333" s="243" t="inlineStr">
        <is>
          <t xml:space="preserve">Acidentes SAF</t>
        </is>
      </c>
      <c r="D333" s="244" t="str">
        <f>IFERROR(1/(1/INDEX(BD!$AL$55:$BF$55,MATCH($A$301,BD!$AL$22:$BF$22,0))),"")</f>
        <v/>
      </c>
      <c r="E333" s="245"/>
      <c r="F333" s="246" t="str">
        <f>IF(F$3="","",IF(COUNTIFS(BD!$A$3:$A$5001,F$3,BD!$B$3:$B$5001,$A$301,BD!$AH$3:$AH$5001,"&lt;&gt;")=0,"",SUMIFS(BD!$AH$3:$AH$5001,BD!$A$3:$A$5001,F$3,BD!$B$3:$B$5001,$A$301)))</f>
        <v/>
      </c>
      <c r="G333" s="247" t="str">
        <f>IF(G$3="","",IF(COUNTIFS(BD!$A$3:$A$5001,G$3,BD!$B$3:$B$5001,$A$301,BD!$AH$3:$AH$5001,"&lt;&gt;")=0,"",SUMIFS(BD!$AH$3:$AH$5001,BD!$A$3:$A$5001,G$3,BD!$B$3:$B$5001,$A$301)))</f>
        <v/>
      </c>
      <c r="H333" s="247" t="str">
        <f>IF(H$3="","",IF(COUNTIFS(BD!$A$3:$A$5001,H$3,BD!$B$3:$B$5001,$A$301,BD!$AH$3:$AH$5001,"&lt;&gt;")=0,"",SUMIFS(BD!$AH$3:$AH$5001,BD!$A$3:$A$5001,H$3,BD!$B$3:$B$5001,$A$301)))</f>
        <v/>
      </c>
      <c r="I333" s="247" t="str">
        <f>IF(I$3="","",IF(COUNTIFS(BD!$A$3:$A$5001,I$3,BD!$B$3:$B$5001,$A$301,BD!$AH$3:$AH$5001,"&lt;&gt;")=0,"",SUMIFS(BD!$AH$3:$AH$5001,BD!$A$3:$A$5001,I$3,BD!$B$3:$B$5001,$A$301)))</f>
        <v/>
      </c>
      <c r="J333" s="247" t="str">
        <f>IF(J$3="","",IF(COUNTIFS(BD!$A$3:$A$5001,J$3,BD!$B$3:$B$5001,$A$301,BD!$AH$3:$AH$5001,"&lt;&gt;")=0,"",SUMIFS(BD!$AH$3:$AH$5001,BD!$A$3:$A$5001,J$3,BD!$B$3:$B$5001,$A$301)))</f>
        <v/>
      </c>
      <c r="K333" s="247" t="str">
        <f>IF(K$3="","",IF(COUNTIFS(BD!$A$3:$A$5001,K$3,BD!$B$3:$B$5001,$A$301,BD!$AH$3:$AH$5001,"&lt;&gt;")=0,"",SUMIFS(BD!$AH$3:$AH$5001,BD!$A$3:$A$5001,K$3,BD!$B$3:$B$5001,$A$301)))</f>
        <v/>
      </c>
      <c r="L333" s="247" t="str">
        <f>IF(L$3="","",IF(COUNTIFS(BD!$A$3:$A$5001,L$3,BD!$B$3:$B$5001,$A$301,BD!$AH$3:$AH$5001,"&lt;&gt;")=0,"",SUMIFS(BD!$AH$3:$AH$5001,BD!$A$3:$A$5001,L$3,BD!$B$3:$B$5001,$A$301)))</f>
        <v/>
      </c>
      <c r="M333" s="247" t="str">
        <f>IF(M$3="","",IF(COUNTIFS(BD!$A$3:$A$5001,M$3,BD!$B$3:$B$5001,$A$301,BD!$AH$3:$AH$5001,"&lt;&gt;")=0,"",SUMIFS(BD!$AH$3:$AH$5001,BD!$A$3:$A$5001,M$3,BD!$B$3:$B$5001,$A$301)))</f>
        <v/>
      </c>
      <c r="N333" s="247" t="str">
        <f>IF(N$3="","",IF(COUNTIFS(BD!$A$3:$A$5001,N$3,BD!$B$3:$B$5001,$A$301,BD!$AH$3:$AH$5001,"&lt;&gt;")=0,"",SUMIFS(BD!$AH$3:$AH$5001,BD!$A$3:$A$5001,N$3,BD!$B$3:$B$5001,$A$301)))</f>
        <v/>
      </c>
      <c r="O333" s="247" t="str">
        <f>IF(O$3="","",IF(COUNTIFS(BD!$A$3:$A$5001,O$3,BD!$B$3:$B$5001,$A$301,BD!$AH$3:$AH$5001,"&lt;&gt;")=0,"",SUMIFS(BD!$AH$3:$AH$5001,BD!$A$3:$A$5001,O$3,BD!$B$3:$B$5001,$A$301)))</f>
        <v/>
      </c>
      <c r="P333" s="247" t="str">
        <f>IF(P$3="","",IF(COUNTIFS(BD!$A$3:$A$5001,P$3,BD!$B$3:$B$5001,$A$301,BD!$AH$3:$AH$5001,"&lt;&gt;")=0,"",SUMIFS(BD!$AH$3:$AH$5001,BD!$A$3:$A$5001,P$3,BD!$B$3:$B$5001,$A$301)))</f>
        <v/>
      </c>
      <c r="Q333" s="247" t="str">
        <f>IF(Q$3="","",IF(COUNTIFS(BD!$A$3:$A$5001,Q$3,BD!$B$3:$B$5001,$A$301,BD!$AH$3:$AH$5001,"&lt;&gt;")=0,"",SUMIFS(BD!$AH$3:$AH$5001,BD!$A$3:$A$5001,Q$3,BD!$B$3:$B$5001,$A$301)))</f>
        <v/>
      </c>
      <c r="R333" s="247" t="str">
        <f>IF(R$3="","",IF(COUNTIFS(BD!$A$3:$A$5001,R$3,BD!$B$3:$B$5001,$A$301,BD!$AH$3:$AH$5001,"&lt;&gt;")=0,"",SUMIFS(BD!$AH$3:$AH$5001,BD!$A$3:$A$5001,R$3,BD!$B$3:$B$5001,$A$301)))</f>
        <v/>
      </c>
      <c r="S333" s="247" t="str">
        <f>IF(S$3="","",IF(COUNTIFS(BD!$A$3:$A$5001,S$3,BD!$B$3:$B$5001,$A$301,BD!$AH$3:$AH$5001,"&lt;&gt;")=0,"",SUMIFS(BD!$AH$3:$AH$5001,BD!$A$3:$A$5001,S$3,BD!$B$3:$B$5001,$A$301)))</f>
        <v/>
      </c>
      <c r="T333" s="247" t="str">
        <f>IF(T$3="","",IF(COUNTIFS(BD!$A$3:$A$5001,T$3,BD!$B$3:$B$5001,$A$301,BD!$AH$3:$AH$5001,"&lt;&gt;")=0,"",SUMIFS(BD!$AH$3:$AH$5001,BD!$A$3:$A$5001,T$3,BD!$B$3:$B$5001,$A$301)))</f>
        <v/>
      </c>
      <c r="U333" s="247" t="str">
        <f>IF(U$3="","",IF(COUNTIFS(BD!$A$3:$A$5001,U$3,BD!$B$3:$B$5001,$A$301,BD!$AH$3:$AH$5001,"&lt;&gt;")=0,"",SUMIFS(BD!$AH$3:$AH$5001,BD!$A$3:$A$5001,U$3,BD!$B$3:$B$5001,$A$301)))</f>
        <v/>
      </c>
      <c r="V333" s="247" t="str">
        <f>IF(V$3="","",IF(COUNTIFS(BD!$A$3:$A$5001,V$3,BD!$B$3:$B$5001,$A$301,BD!$AH$3:$AH$5001,"&lt;&gt;")=0,"",SUMIFS(BD!$AH$3:$AH$5001,BD!$A$3:$A$5001,V$3,BD!$B$3:$B$5001,$A$301)))</f>
        <v/>
      </c>
      <c r="W333" s="247" t="str">
        <f>IF(W$3="","",IF(COUNTIFS(BD!$A$3:$A$5001,W$3,BD!$B$3:$B$5001,$A$301,BD!$AH$3:$AH$5001,"&lt;&gt;")=0,"",SUMIFS(BD!$AH$3:$AH$5001,BD!$A$3:$A$5001,W$3,BD!$B$3:$B$5001,$A$301)))</f>
        <v/>
      </c>
      <c r="X333" s="247" t="str">
        <f>IF(X$3="","",IF(COUNTIFS(BD!$A$3:$A$5001,X$3,BD!$B$3:$B$5001,$A$301,BD!$AH$3:$AH$5001,"&lt;&gt;")=0,"",SUMIFS(BD!$AH$3:$AH$5001,BD!$A$3:$A$5001,X$3,BD!$B$3:$B$5001,$A$301)))</f>
        <v/>
      </c>
      <c r="Y333" s="247" t="str">
        <f>IF(Y$3="","",IF(COUNTIFS(BD!$A$3:$A$5001,Y$3,BD!$B$3:$B$5001,$A$301,BD!$AH$3:$AH$5001,"&lt;&gt;")=0,"",SUMIFS(BD!$AH$3:$AH$5001,BD!$A$3:$A$5001,Y$3,BD!$B$3:$B$5001,$A$301)))</f>
        <v/>
      </c>
      <c r="Z333" s="247" t="str">
        <f>IF(Z$3="","",IF(COUNTIFS(BD!$A$3:$A$5001,Z$3,BD!$B$3:$B$5001,$A$301,BD!$AH$3:$AH$5001,"&lt;&gt;")=0,"",SUMIFS(BD!$AH$3:$AH$5001,BD!$A$3:$A$5001,Z$3,BD!$B$3:$B$5001,$A$301)))</f>
        <v/>
      </c>
      <c r="AA333" s="247" t="str">
        <f>IF(AA$3="","",IF(COUNTIFS(BD!$A$3:$A$5001,AA$3,BD!$B$3:$B$5001,$A$301,BD!$AH$3:$AH$5001,"&lt;&gt;")=0,"",SUMIFS(BD!$AH$3:$AH$5001,BD!$A$3:$A$5001,AA$3,BD!$B$3:$B$5001,$A$301)))</f>
        <v/>
      </c>
      <c r="AB333" s="247" t="str">
        <f>IF(AB$3="","",IF(COUNTIFS(BD!$A$3:$A$5001,AB$3,BD!$B$3:$B$5001,$A$301,BD!$AH$3:$AH$5001,"&lt;&gt;")=0,"",SUMIFS(BD!$AH$3:$AH$5001,BD!$A$3:$A$5001,AB$3,BD!$B$3:$B$5001,$A$301)))</f>
        <v/>
      </c>
      <c r="AC333" s="247" t="str">
        <f>IF(AC$3="","",IF(COUNTIFS(BD!$A$3:$A$5001,AC$3,BD!$B$3:$B$5001,$A$301,BD!$AH$3:$AH$5001,"&lt;&gt;")=0,"",SUMIFS(BD!$AH$3:$AH$5001,BD!$A$3:$A$5001,AC$3,BD!$B$3:$B$5001,$A$301)))</f>
        <v/>
      </c>
      <c r="AD333" s="247" t="str">
        <f>IF(AD$3="","",IF(COUNTIFS(BD!$A$3:$A$5001,AD$3,BD!$B$3:$B$5001,$A$301,BD!$AH$3:$AH$5001,"&lt;&gt;")=0,"",SUMIFS(BD!$AH$3:$AH$5001,BD!$A$3:$A$5001,AD$3,BD!$B$3:$B$5001,$A$301)))</f>
        <v/>
      </c>
      <c r="AE333" s="247" t="str">
        <f>IF(AE$3="","",IF(COUNTIFS(BD!$A$3:$A$5001,AE$3,BD!$B$3:$B$5001,$A$301,BD!$AH$3:$AH$5001,"&lt;&gt;")=0,"",SUMIFS(BD!$AH$3:$AH$5001,BD!$A$3:$A$5001,AE$3,BD!$B$3:$B$5001,$A$301)))</f>
        <v/>
      </c>
      <c r="AF333" s="247" t="str">
        <f>IF(AF$3="","",IF(COUNTIFS(BD!$A$3:$A$5001,AF$3,BD!$B$3:$B$5001,$A$301,BD!$AH$3:$AH$5001,"&lt;&gt;")=0,"",SUMIFS(BD!$AH$3:$AH$5001,BD!$A$3:$A$5001,AF$3,BD!$B$3:$B$5001,$A$301)))</f>
        <v/>
      </c>
      <c r="AG333" s="247" t="str">
        <f>IF(AG$3="","",IF(COUNTIFS(BD!$A$3:$A$5001,AG$3,BD!$B$3:$B$5001,$A$301,BD!$AH$3:$AH$5001,"&lt;&gt;")=0,"",SUMIFS(BD!$AH$3:$AH$5001,BD!$A$3:$A$5001,AG$3,BD!$B$3:$B$5001,$A$301)))</f>
        <v/>
      </c>
      <c r="AH333" s="247" t="str">
        <f>IF(AH$3="","",IF(COUNTIFS(BD!$A$3:$A$5001,AH$3,BD!$B$3:$B$5001,$A$301,BD!$AH$3:$AH$5001,"&lt;&gt;")=0,"",SUMIFS(BD!$AH$3:$AH$5001,BD!$A$3:$A$5001,AH$3,BD!$B$3:$B$5001,$A$301)))</f>
        <v/>
      </c>
      <c r="AI333" s="247" t="str">
        <f>IF(AI$3="","",IF(COUNTIFS(BD!$A$3:$A$5001,AI$3,BD!$B$3:$B$5001,$A$301,BD!$AH$3:$AH$5001,"&lt;&gt;")=0,"",SUMIFS(BD!$AH$3:$AH$5001,BD!$A$3:$A$5001,AI$3,BD!$B$3:$B$5001,$A$301)))</f>
        <v/>
      </c>
      <c r="AJ333" s="248" t="str">
        <f>IF(AJ$3="","",IF(COUNTIFS(BD!$A$3:$A$5001,AJ$3,BD!$B$3:$B$5001,$A$301,BD!$AH$3:$AH$5001,"&lt;&gt;")=0,"",SUMIFS(BD!$AH$3:$AH$5001,BD!$A$3:$A$5001,AJ$3,BD!$B$3:$B$5001,$A$301)))</f>
        <v/>
      </c>
      <c r="AK333" s="244" t="str">
        <f>IF(COUNT(F333:AJ333)=0,"",SUM(F333:AJ333))</f>
        <v/>
      </c>
    </row>
    <row r="335" ht="15.75" customHeight="1" hidden="1">
      <c r="A335" s="260"/>
      <c r="B335" s="249" t="inlineStr">
        <is>
          <t xml:space="preserve">IN</t>
        </is>
      </c>
      <c r="C335" s="168" t="inlineStr">
        <is>
          <t xml:space="preserve">Veículos Recebidos</t>
        </is>
      </c>
      <c r="D335" s="169" t="str">
        <f>IFERROR(1/(1/INDEX(BD!$AL$23:$BF$23,MATCH($A$335,BD!$AL$22:$BF$22,0))),"")</f>
        <v/>
      </c>
      <c r="E335" s="170"/>
      <c r="F335" s="171" t="str">
        <f>IF(F$3="","",IF(COUNTIFS(BD!$A$3:$A$5001,F$3,BD!$B$3:$B$5001,$A$335,BD!$C$3:$C$5001,"&lt;&gt;")=0,"",SUMIFS(BD!$C$3:$C$5001,BD!$A$3:$A$5001,F$3,BD!$B$3:$B$5001,$A$335)))</f>
        <v/>
      </c>
      <c r="G335" s="172" t="str">
        <f>IF(G$3="","",IF(COUNTIFS(BD!$A$3:$A$5001,G$3,BD!$B$3:$B$5001,$A$335,BD!$C$3:$C$5001,"&lt;&gt;")=0,"",SUMIFS(BD!$C$3:$C$5001,BD!$A$3:$A$5001,G$3,BD!$B$3:$B$5001,$A$335)))</f>
        <v/>
      </c>
      <c r="H335" s="172" t="str">
        <f>IF(H$3="","",IF(COUNTIFS(BD!$A$3:$A$5001,H$3,BD!$B$3:$B$5001,$A$335,BD!$C$3:$C$5001,"&lt;&gt;")=0,"",SUMIFS(BD!$C$3:$C$5001,BD!$A$3:$A$5001,H$3,BD!$B$3:$B$5001,$A$335)))</f>
        <v/>
      </c>
      <c r="I335" s="172" t="str">
        <f>IF(I$3="","",IF(COUNTIFS(BD!$A$3:$A$5001,I$3,BD!$B$3:$B$5001,$A$335,BD!$C$3:$C$5001,"&lt;&gt;")=0,"",SUMIFS(BD!$C$3:$C$5001,BD!$A$3:$A$5001,I$3,BD!$B$3:$B$5001,$A$335)))</f>
        <v/>
      </c>
      <c r="J335" s="172" t="str">
        <f>IF(J$3="","",IF(COUNTIFS(BD!$A$3:$A$5001,J$3,BD!$B$3:$B$5001,$A$335,BD!$C$3:$C$5001,"&lt;&gt;")=0,"",SUMIFS(BD!$C$3:$C$5001,BD!$A$3:$A$5001,J$3,BD!$B$3:$B$5001,$A$335)))</f>
        <v/>
      </c>
      <c r="K335" s="172" t="str">
        <f>IF(K$3="","",IF(COUNTIFS(BD!$A$3:$A$5001,K$3,BD!$B$3:$B$5001,$A$335,BD!$C$3:$C$5001,"&lt;&gt;")=0,"",SUMIFS(BD!$C$3:$C$5001,BD!$A$3:$A$5001,K$3,BD!$B$3:$B$5001,$A$335)))</f>
        <v/>
      </c>
      <c r="L335" s="172" t="str">
        <f>IF(L$3="","",IF(COUNTIFS(BD!$A$3:$A$5001,L$3,BD!$B$3:$B$5001,$A$335,BD!$C$3:$C$5001,"&lt;&gt;")=0,"",SUMIFS(BD!$C$3:$C$5001,BD!$A$3:$A$5001,L$3,BD!$B$3:$B$5001,$A$335)))</f>
        <v/>
      </c>
      <c r="M335" s="172" t="str">
        <f>IF(M$3="","",IF(COUNTIFS(BD!$A$3:$A$5001,M$3,BD!$B$3:$B$5001,$A$335,BD!$C$3:$C$5001,"&lt;&gt;")=0,"",SUMIFS(BD!$C$3:$C$5001,BD!$A$3:$A$5001,M$3,BD!$B$3:$B$5001,$A$335)))</f>
        <v/>
      </c>
      <c r="N335" s="172" t="str">
        <f>IF(N$3="","",IF(COUNTIFS(BD!$A$3:$A$5001,N$3,BD!$B$3:$B$5001,$A$335,BD!$C$3:$C$5001,"&lt;&gt;")=0,"",SUMIFS(BD!$C$3:$C$5001,BD!$A$3:$A$5001,N$3,BD!$B$3:$B$5001,$A$335)))</f>
        <v/>
      </c>
      <c r="O335" s="172" t="str">
        <f>IF(O$3="","",IF(COUNTIFS(BD!$A$3:$A$5001,O$3,BD!$B$3:$B$5001,$A$335,BD!$C$3:$C$5001,"&lt;&gt;")=0,"",SUMIFS(BD!$C$3:$C$5001,BD!$A$3:$A$5001,O$3,BD!$B$3:$B$5001,$A$335)))</f>
        <v/>
      </c>
      <c r="P335" s="172" t="str">
        <f>IF(P$3="","",IF(COUNTIFS(BD!$A$3:$A$5001,P$3,BD!$B$3:$B$5001,$A$335,BD!$C$3:$C$5001,"&lt;&gt;")=0,"",SUMIFS(BD!$C$3:$C$5001,BD!$A$3:$A$5001,P$3,BD!$B$3:$B$5001,$A$335)))</f>
        <v/>
      </c>
      <c r="Q335" s="172" t="str">
        <f>IF(Q$3="","",IF(COUNTIFS(BD!$A$3:$A$5001,Q$3,BD!$B$3:$B$5001,$A$335,BD!$C$3:$C$5001,"&lt;&gt;")=0,"",SUMIFS(BD!$C$3:$C$5001,BD!$A$3:$A$5001,Q$3,BD!$B$3:$B$5001,$A$335)))</f>
        <v/>
      </c>
      <c r="R335" s="172" t="str">
        <f>IF(R$3="","",IF(COUNTIFS(BD!$A$3:$A$5001,R$3,BD!$B$3:$B$5001,$A$335,BD!$C$3:$C$5001,"&lt;&gt;")=0,"",SUMIFS(BD!$C$3:$C$5001,BD!$A$3:$A$5001,R$3,BD!$B$3:$B$5001,$A$335)))</f>
        <v/>
      </c>
      <c r="S335" s="172" t="str">
        <f>IF(S$3="","",IF(COUNTIFS(BD!$A$3:$A$5001,S$3,BD!$B$3:$B$5001,$A$335,BD!$C$3:$C$5001,"&lt;&gt;")=0,"",SUMIFS(BD!$C$3:$C$5001,BD!$A$3:$A$5001,S$3,BD!$B$3:$B$5001,$A$335)))</f>
        <v/>
      </c>
      <c r="T335" s="172" t="str">
        <f>IF(T$3="","",IF(COUNTIFS(BD!$A$3:$A$5001,T$3,BD!$B$3:$B$5001,$A$335,BD!$C$3:$C$5001,"&lt;&gt;")=0,"",SUMIFS(BD!$C$3:$C$5001,BD!$A$3:$A$5001,T$3,BD!$B$3:$B$5001,$A$335)))</f>
        <v/>
      </c>
      <c r="U335" s="172" t="str">
        <f>IF(U$3="","",IF(COUNTIFS(BD!$A$3:$A$5001,U$3,BD!$B$3:$B$5001,$A$335,BD!$C$3:$C$5001,"&lt;&gt;")=0,"",SUMIFS(BD!$C$3:$C$5001,BD!$A$3:$A$5001,U$3,BD!$B$3:$B$5001,$A$335)))</f>
        <v/>
      </c>
      <c r="V335" s="172" t="str">
        <f>IF(V$3="","",IF(COUNTIFS(BD!$A$3:$A$5001,V$3,BD!$B$3:$B$5001,$A$335,BD!$C$3:$C$5001,"&lt;&gt;")=0,"",SUMIFS(BD!$C$3:$C$5001,BD!$A$3:$A$5001,V$3,BD!$B$3:$B$5001,$A$335)))</f>
        <v/>
      </c>
      <c r="W335" s="172" t="str">
        <f>IF(W$3="","",IF(COUNTIFS(BD!$A$3:$A$5001,W$3,BD!$B$3:$B$5001,$A$335,BD!$C$3:$C$5001,"&lt;&gt;")=0,"",SUMIFS(BD!$C$3:$C$5001,BD!$A$3:$A$5001,W$3,BD!$B$3:$B$5001,$A$335)))</f>
        <v/>
      </c>
      <c r="X335" s="172" t="str">
        <f>IF(X$3="","",IF(COUNTIFS(BD!$A$3:$A$5001,X$3,BD!$B$3:$B$5001,$A$335,BD!$C$3:$C$5001,"&lt;&gt;")=0,"",SUMIFS(BD!$C$3:$C$5001,BD!$A$3:$A$5001,X$3,BD!$B$3:$B$5001,$A$335)))</f>
        <v/>
      </c>
      <c r="Y335" s="172" t="str">
        <f>IF(Y$3="","",IF(COUNTIFS(BD!$A$3:$A$5001,Y$3,BD!$B$3:$B$5001,$A$335,BD!$C$3:$C$5001,"&lt;&gt;")=0,"",SUMIFS(BD!$C$3:$C$5001,BD!$A$3:$A$5001,Y$3,BD!$B$3:$B$5001,$A$335)))</f>
        <v/>
      </c>
      <c r="Z335" s="172" t="str">
        <f>IF(Z$3="","",IF(COUNTIFS(BD!$A$3:$A$5001,Z$3,BD!$B$3:$B$5001,$A$335,BD!$C$3:$C$5001,"&lt;&gt;")=0,"",SUMIFS(BD!$C$3:$C$5001,BD!$A$3:$A$5001,Z$3,BD!$B$3:$B$5001,$A$335)))</f>
        <v/>
      </c>
      <c r="AA335" s="172" t="str">
        <f>IF(AA$3="","",IF(COUNTIFS(BD!$A$3:$A$5001,AA$3,BD!$B$3:$B$5001,$A$335,BD!$C$3:$C$5001,"&lt;&gt;")=0,"",SUMIFS(BD!$C$3:$C$5001,BD!$A$3:$A$5001,AA$3,BD!$B$3:$B$5001,$A$335)))</f>
        <v/>
      </c>
      <c r="AB335" s="172" t="str">
        <f>IF(AB$3="","",IF(COUNTIFS(BD!$A$3:$A$5001,AB$3,BD!$B$3:$B$5001,$A$335,BD!$C$3:$C$5001,"&lt;&gt;")=0,"",SUMIFS(BD!$C$3:$C$5001,BD!$A$3:$A$5001,AB$3,BD!$B$3:$B$5001,$A$335)))</f>
        <v/>
      </c>
      <c r="AC335" s="172" t="str">
        <f>IF(AC$3="","",IF(COUNTIFS(BD!$A$3:$A$5001,AC$3,BD!$B$3:$B$5001,$A$335,BD!$C$3:$C$5001,"&lt;&gt;")=0,"",SUMIFS(BD!$C$3:$C$5001,BD!$A$3:$A$5001,AC$3,BD!$B$3:$B$5001,$A$335)))</f>
        <v/>
      </c>
      <c r="AD335" s="172" t="str">
        <f>IF(AD$3="","",IF(COUNTIFS(BD!$A$3:$A$5001,AD$3,BD!$B$3:$B$5001,$A$335,BD!$C$3:$C$5001,"&lt;&gt;")=0,"",SUMIFS(BD!$C$3:$C$5001,BD!$A$3:$A$5001,AD$3,BD!$B$3:$B$5001,$A$335)))</f>
        <v/>
      </c>
      <c r="AE335" s="172" t="str">
        <f>IF(AE$3="","",IF(COUNTIFS(BD!$A$3:$A$5001,AE$3,BD!$B$3:$B$5001,$A$335,BD!$C$3:$C$5001,"&lt;&gt;")=0,"",SUMIFS(BD!$C$3:$C$5001,BD!$A$3:$A$5001,AE$3,BD!$B$3:$B$5001,$A$335)))</f>
        <v/>
      </c>
      <c r="AF335" s="172" t="str">
        <f>IF(AF$3="","",IF(COUNTIFS(BD!$A$3:$A$5001,AF$3,BD!$B$3:$B$5001,$A$335,BD!$C$3:$C$5001,"&lt;&gt;")=0,"",SUMIFS(BD!$C$3:$C$5001,BD!$A$3:$A$5001,AF$3,BD!$B$3:$B$5001,$A$335)))</f>
        <v/>
      </c>
      <c r="AG335" s="172" t="str">
        <f>IF(AG$3="","",IF(COUNTIFS(BD!$A$3:$A$5001,AG$3,BD!$B$3:$B$5001,$A$335,BD!$C$3:$C$5001,"&lt;&gt;")=0,"",SUMIFS(BD!$C$3:$C$5001,BD!$A$3:$A$5001,AG$3,BD!$B$3:$B$5001,$A$335)))</f>
        <v/>
      </c>
      <c r="AH335" s="172" t="str">
        <f>IF(AH$3="","",IF(COUNTIFS(BD!$A$3:$A$5001,AH$3,BD!$B$3:$B$5001,$A$335,BD!$C$3:$C$5001,"&lt;&gt;")=0,"",SUMIFS(BD!$C$3:$C$5001,BD!$A$3:$A$5001,AH$3,BD!$B$3:$B$5001,$A$335)))</f>
        <v/>
      </c>
      <c r="AI335" s="172" t="str">
        <f>IF(AI$3="","",IF(COUNTIFS(BD!$A$3:$A$5001,AI$3,BD!$B$3:$B$5001,$A$335,BD!$C$3:$C$5001,"&lt;&gt;")=0,"",SUMIFS(BD!$C$3:$C$5001,BD!$A$3:$A$5001,AI$3,BD!$B$3:$B$5001,$A$335)))</f>
        <v/>
      </c>
      <c r="AJ335" s="173" t="str">
        <f>IF(AJ$3="","",IF(COUNTIFS(BD!$A$3:$A$5001,AJ$3,BD!$B$3:$B$5001,$A$335,BD!$C$3:$C$5001,"&lt;&gt;")=0,"",SUMIFS(BD!$C$3:$C$5001,BD!$A$3:$A$5001,AJ$3,BD!$B$3:$B$5001,$A$335)))</f>
        <v/>
      </c>
      <c r="AK335" s="174" t="str">
        <f>IF(COUNT(F335:AJ335)=0,"",SUM(F335:AJ335))</f>
        <v/>
      </c>
    </row>
    <row r="336" ht="15.75" customHeight="1" hidden="1">
      <c r="A336" s="261"/>
      <c r="B336" s="256"/>
      <c r="C336" s="214" t="inlineStr">
        <is>
          <t xml:space="preserve">Pallets Movimentados</t>
        </is>
      </c>
      <c r="D336" s="215" t="str">
        <f>IFERROR(1/(1/INDEX(BD!$AL$24:$BF$24,MATCH($A$335,BD!$AL$22:$BF$22,0))),"")</f>
        <v/>
      </c>
      <c r="E336" s="216"/>
      <c r="F336" s="217" t="str">
        <f>IF(F$3="","",IF(COUNTIFS(BD!$A$3:$A$5001,F$3,BD!$B$3:$B$5001,$A$335,BD!$D$3:$D$5001,"&lt;&gt;")=0,"",SUMIFS(BD!$D$3:$D$5001,BD!$A$3:$A$5001,F$3,BD!$B$3:$B$5001,$A$335)))</f>
        <v/>
      </c>
      <c r="G336" s="218" t="str">
        <f>IF(G$3="","",IF(COUNTIFS(BD!$A$3:$A$5001,G$3,BD!$B$3:$B$5001,$A$335,BD!$D$3:$D$5001,"&lt;&gt;")=0,"",SUMIFS(BD!$D$3:$D$5001,BD!$A$3:$A$5001,G$3,BD!$B$3:$B$5001,$A$335)))</f>
        <v/>
      </c>
      <c r="H336" s="218" t="str">
        <f>IF(H$3="","",IF(COUNTIFS(BD!$A$3:$A$5001,H$3,BD!$B$3:$B$5001,$A$335,BD!$D$3:$D$5001,"&lt;&gt;")=0,"",SUMIFS(BD!$D$3:$D$5001,BD!$A$3:$A$5001,H$3,BD!$B$3:$B$5001,$A$335)))</f>
        <v/>
      </c>
      <c r="I336" s="218" t="str">
        <f>IF(I$3="","",IF(COUNTIFS(BD!$A$3:$A$5001,I$3,BD!$B$3:$B$5001,$A$335,BD!$D$3:$D$5001,"&lt;&gt;")=0,"",SUMIFS(BD!$D$3:$D$5001,BD!$A$3:$A$5001,I$3,BD!$B$3:$B$5001,$A$335)))</f>
        <v/>
      </c>
      <c r="J336" s="218" t="str">
        <f>IF(J$3="","",IF(COUNTIFS(BD!$A$3:$A$5001,J$3,BD!$B$3:$B$5001,$A$335,BD!$D$3:$D$5001,"&lt;&gt;")=0,"",SUMIFS(BD!$D$3:$D$5001,BD!$A$3:$A$5001,J$3,BD!$B$3:$B$5001,$A$335)))</f>
        <v/>
      </c>
      <c r="K336" s="218" t="str">
        <f>IF(K$3="","",IF(COUNTIFS(BD!$A$3:$A$5001,K$3,BD!$B$3:$B$5001,$A$335,BD!$D$3:$D$5001,"&lt;&gt;")=0,"",SUMIFS(BD!$D$3:$D$5001,BD!$A$3:$A$5001,K$3,BD!$B$3:$B$5001,$A$335)))</f>
        <v/>
      </c>
      <c r="L336" s="218" t="str">
        <f>IF(L$3="","",IF(COUNTIFS(BD!$A$3:$A$5001,L$3,BD!$B$3:$B$5001,$A$335,BD!$D$3:$D$5001,"&lt;&gt;")=0,"",SUMIFS(BD!$D$3:$D$5001,BD!$A$3:$A$5001,L$3,BD!$B$3:$B$5001,$A$335)))</f>
        <v/>
      </c>
      <c r="M336" s="218" t="str">
        <f>IF(M$3="","",IF(COUNTIFS(BD!$A$3:$A$5001,M$3,BD!$B$3:$B$5001,$A$335,BD!$D$3:$D$5001,"&lt;&gt;")=0,"",SUMIFS(BD!$D$3:$D$5001,BD!$A$3:$A$5001,M$3,BD!$B$3:$B$5001,$A$335)))</f>
        <v/>
      </c>
      <c r="N336" s="218" t="str">
        <f>IF(N$3="","",IF(COUNTIFS(BD!$A$3:$A$5001,N$3,BD!$B$3:$B$5001,$A$335,BD!$D$3:$D$5001,"&lt;&gt;")=0,"",SUMIFS(BD!$D$3:$D$5001,BD!$A$3:$A$5001,N$3,BD!$B$3:$B$5001,$A$335)))</f>
        <v/>
      </c>
      <c r="O336" s="218" t="str">
        <f>IF(O$3="","",IF(COUNTIFS(BD!$A$3:$A$5001,O$3,BD!$B$3:$B$5001,$A$335,BD!$D$3:$D$5001,"&lt;&gt;")=0,"",SUMIFS(BD!$D$3:$D$5001,BD!$A$3:$A$5001,O$3,BD!$B$3:$B$5001,$A$335)))</f>
        <v/>
      </c>
      <c r="P336" s="218" t="str">
        <f>IF(P$3="","",IF(COUNTIFS(BD!$A$3:$A$5001,P$3,BD!$B$3:$B$5001,$A$335,BD!$D$3:$D$5001,"&lt;&gt;")=0,"",SUMIFS(BD!$D$3:$D$5001,BD!$A$3:$A$5001,P$3,BD!$B$3:$B$5001,$A$335)))</f>
        <v/>
      </c>
      <c r="Q336" s="218" t="str">
        <f>IF(Q$3="","",IF(COUNTIFS(BD!$A$3:$A$5001,Q$3,BD!$B$3:$B$5001,$A$335,BD!$D$3:$D$5001,"&lt;&gt;")=0,"",SUMIFS(BD!$D$3:$D$5001,BD!$A$3:$A$5001,Q$3,BD!$B$3:$B$5001,$A$335)))</f>
        <v/>
      </c>
      <c r="R336" s="218" t="str">
        <f>IF(R$3="","",IF(COUNTIFS(BD!$A$3:$A$5001,R$3,BD!$B$3:$B$5001,$A$335,BD!$D$3:$D$5001,"&lt;&gt;")=0,"",SUMIFS(BD!$D$3:$D$5001,BD!$A$3:$A$5001,R$3,BD!$B$3:$B$5001,$A$335)))</f>
        <v/>
      </c>
      <c r="S336" s="218" t="str">
        <f>IF(S$3="","",IF(COUNTIFS(BD!$A$3:$A$5001,S$3,BD!$B$3:$B$5001,$A$335,BD!$D$3:$D$5001,"&lt;&gt;")=0,"",SUMIFS(BD!$D$3:$D$5001,BD!$A$3:$A$5001,S$3,BD!$B$3:$B$5001,$A$335)))</f>
        <v/>
      </c>
      <c r="T336" s="218" t="str">
        <f>IF(T$3="","",IF(COUNTIFS(BD!$A$3:$A$5001,T$3,BD!$B$3:$B$5001,$A$335,BD!$D$3:$D$5001,"&lt;&gt;")=0,"",SUMIFS(BD!$D$3:$D$5001,BD!$A$3:$A$5001,T$3,BD!$B$3:$B$5001,$A$335)))</f>
        <v/>
      </c>
      <c r="U336" s="218" t="str">
        <f>IF(U$3="","",IF(COUNTIFS(BD!$A$3:$A$5001,U$3,BD!$B$3:$B$5001,$A$335,BD!$D$3:$D$5001,"&lt;&gt;")=0,"",SUMIFS(BD!$D$3:$D$5001,BD!$A$3:$A$5001,U$3,BD!$B$3:$B$5001,$A$335)))</f>
        <v/>
      </c>
      <c r="V336" s="218" t="str">
        <f>IF(V$3="","",IF(COUNTIFS(BD!$A$3:$A$5001,V$3,BD!$B$3:$B$5001,$A$335,BD!$D$3:$D$5001,"&lt;&gt;")=0,"",SUMIFS(BD!$D$3:$D$5001,BD!$A$3:$A$5001,V$3,BD!$B$3:$B$5001,$A$335)))</f>
        <v/>
      </c>
      <c r="W336" s="218" t="str">
        <f>IF(W$3="","",IF(COUNTIFS(BD!$A$3:$A$5001,W$3,BD!$B$3:$B$5001,$A$335,BD!$D$3:$D$5001,"&lt;&gt;")=0,"",SUMIFS(BD!$D$3:$D$5001,BD!$A$3:$A$5001,W$3,BD!$B$3:$B$5001,$A$335)))</f>
        <v/>
      </c>
      <c r="X336" s="218" t="str">
        <f>IF(X$3="","",IF(COUNTIFS(BD!$A$3:$A$5001,X$3,BD!$B$3:$B$5001,$A$335,BD!$D$3:$D$5001,"&lt;&gt;")=0,"",SUMIFS(BD!$D$3:$D$5001,BD!$A$3:$A$5001,X$3,BD!$B$3:$B$5001,$A$335)))</f>
        <v/>
      </c>
      <c r="Y336" s="218" t="str">
        <f>IF(Y$3="","",IF(COUNTIFS(BD!$A$3:$A$5001,Y$3,BD!$B$3:$B$5001,$A$335,BD!$D$3:$D$5001,"&lt;&gt;")=0,"",SUMIFS(BD!$D$3:$D$5001,BD!$A$3:$A$5001,Y$3,BD!$B$3:$B$5001,$A$335)))</f>
        <v/>
      </c>
      <c r="Z336" s="218" t="str">
        <f>IF(Z$3="","",IF(COUNTIFS(BD!$A$3:$A$5001,Z$3,BD!$B$3:$B$5001,$A$335,BD!$D$3:$D$5001,"&lt;&gt;")=0,"",SUMIFS(BD!$D$3:$D$5001,BD!$A$3:$A$5001,Z$3,BD!$B$3:$B$5001,$A$335)))</f>
        <v/>
      </c>
      <c r="AA336" s="218" t="str">
        <f>IF(AA$3="","",IF(COUNTIFS(BD!$A$3:$A$5001,AA$3,BD!$B$3:$B$5001,$A$335,BD!$D$3:$D$5001,"&lt;&gt;")=0,"",SUMIFS(BD!$D$3:$D$5001,BD!$A$3:$A$5001,AA$3,BD!$B$3:$B$5001,$A$335)))</f>
        <v/>
      </c>
      <c r="AB336" s="218" t="str">
        <f>IF(AB$3="","",IF(COUNTIFS(BD!$A$3:$A$5001,AB$3,BD!$B$3:$B$5001,$A$335,BD!$D$3:$D$5001,"&lt;&gt;")=0,"",SUMIFS(BD!$D$3:$D$5001,BD!$A$3:$A$5001,AB$3,BD!$B$3:$B$5001,$A$335)))</f>
        <v/>
      </c>
      <c r="AC336" s="218" t="str">
        <f>IF(AC$3="","",IF(COUNTIFS(BD!$A$3:$A$5001,AC$3,BD!$B$3:$B$5001,$A$335,BD!$D$3:$D$5001,"&lt;&gt;")=0,"",SUMIFS(BD!$D$3:$D$5001,BD!$A$3:$A$5001,AC$3,BD!$B$3:$B$5001,$A$335)))</f>
        <v/>
      </c>
      <c r="AD336" s="218" t="str">
        <f>IF(AD$3="","",IF(COUNTIFS(BD!$A$3:$A$5001,AD$3,BD!$B$3:$B$5001,$A$335,BD!$D$3:$D$5001,"&lt;&gt;")=0,"",SUMIFS(BD!$D$3:$D$5001,BD!$A$3:$A$5001,AD$3,BD!$B$3:$B$5001,$A$335)))</f>
        <v/>
      </c>
      <c r="AE336" s="218" t="str">
        <f>IF(AE$3="","",IF(COUNTIFS(BD!$A$3:$A$5001,AE$3,BD!$B$3:$B$5001,$A$335,BD!$D$3:$D$5001,"&lt;&gt;")=0,"",SUMIFS(BD!$D$3:$D$5001,BD!$A$3:$A$5001,AE$3,BD!$B$3:$B$5001,$A$335)))</f>
        <v/>
      </c>
      <c r="AF336" s="218" t="str">
        <f>IF(AF$3="","",IF(COUNTIFS(BD!$A$3:$A$5001,AF$3,BD!$B$3:$B$5001,$A$335,BD!$D$3:$D$5001,"&lt;&gt;")=0,"",SUMIFS(BD!$D$3:$D$5001,BD!$A$3:$A$5001,AF$3,BD!$B$3:$B$5001,$A$335)))</f>
        <v/>
      </c>
      <c r="AG336" s="218" t="str">
        <f>IF(AG$3="","",IF(COUNTIFS(BD!$A$3:$A$5001,AG$3,BD!$B$3:$B$5001,$A$335,BD!$D$3:$D$5001,"&lt;&gt;")=0,"",SUMIFS(BD!$D$3:$D$5001,BD!$A$3:$A$5001,AG$3,BD!$B$3:$B$5001,$A$335)))</f>
        <v/>
      </c>
      <c r="AH336" s="218" t="str">
        <f>IF(AH$3="","",IF(COUNTIFS(BD!$A$3:$A$5001,AH$3,BD!$B$3:$B$5001,$A$335,BD!$D$3:$D$5001,"&lt;&gt;")=0,"",SUMIFS(BD!$D$3:$D$5001,BD!$A$3:$A$5001,AH$3,BD!$B$3:$B$5001,$A$335)))</f>
        <v/>
      </c>
      <c r="AI336" s="218" t="str">
        <f>IF(AI$3="","",IF(COUNTIFS(BD!$A$3:$A$5001,AI$3,BD!$B$3:$B$5001,$A$335,BD!$D$3:$D$5001,"&lt;&gt;")=0,"",SUMIFS(BD!$D$3:$D$5001,BD!$A$3:$A$5001,AI$3,BD!$B$3:$B$5001,$A$335)))</f>
        <v/>
      </c>
      <c r="AJ336" s="219" t="str">
        <f>IF(AJ$3="","",IF(COUNTIFS(BD!$A$3:$A$5001,AJ$3,BD!$B$3:$B$5001,$A$335,BD!$D$3:$D$5001,"&lt;&gt;")=0,"",SUMIFS(BD!$D$3:$D$5001,BD!$A$3:$A$5001,AJ$3,BD!$B$3:$B$5001,$A$335)))</f>
        <v/>
      </c>
      <c r="AK336" s="220" t="str">
        <f>IF(COUNT(F336:AJ336)=0,"",SUM(F336:AJ336))</f>
        <v/>
      </c>
    </row>
    <row r="337" ht="15.75" customHeight="1" hidden="1">
      <c r="A337" s="261"/>
      <c r="B337" s="256"/>
      <c r="C337" s="214" t="inlineStr">
        <is>
          <t xml:space="preserve">Toneladas Movimentadas</t>
        </is>
      </c>
      <c r="D337" s="215" t="str">
        <f>IFERROR(1/(1/INDEX(BD!$AL$25:$BF$25,MATCH($A$335,BD!$AL$22:$BF$22,0))),"")</f>
        <v/>
      </c>
      <c r="E337" s="216"/>
      <c r="F337" s="282" t="str">
        <f>IF(F$3="","",IF(COUNTIFS(BD!$A$3:$A$5001,F$3,BD!$B$3:$B$5001,$A$335,BD!$E$3:$E$5001,"&lt;&gt;")=0,"",SUMIFS(BD!$E$3:$E$5001,BD!$A$3:$A$5001,F$3,BD!$B$3:$B$5001,$A$335)))</f>
        <v/>
      </c>
      <c r="G337" s="283" t="str">
        <f>IF(G$3="","",IF(COUNTIFS(BD!$A$3:$A$5001,G$3,BD!$B$3:$B$5001,$A$335,BD!$E$3:$E$5001,"&lt;&gt;")=0,"",SUMIFS(BD!$E$3:$E$5001,BD!$A$3:$A$5001,G$3,BD!$B$3:$B$5001,$A$335)))</f>
        <v/>
      </c>
      <c r="H337" s="283" t="str">
        <f>IF(H$3="","",IF(COUNTIFS(BD!$A$3:$A$5001,H$3,BD!$B$3:$B$5001,$A$335,BD!$E$3:$E$5001,"&lt;&gt;")=0,"",SUMIFS(BD!$E$3:$E$5001,BD!$A$3:$A$5001,H$3,BD!$B$3:$B$5001,$A$335)))</f>
        <v/>
      </c>
      <c r="I337" s="283" t="str">
        <f>IF(I$3="","",IF(COUNTIFS(BD!$A$3:$A$5001,I$3,BD!$B$3:$B$5001,$A$335,BD!$E$3:$E$5001,"&lt;&gt;")=0,"",SUMIFS(BD!$E$3:$E$5001,BD!$A$3:$A$5001,I$3,BD!$B$3:$B$5001,$A$335)))</f>
        <v/>
      </c>
      <c r="J337" s="283" t="str">
        <f>IF(J$3="","",IF(COUNTIFS(BD!$A$3:$A$5001,J$3,BD!$B$3:$B$5001,$A$335,BD!$E$3:$E$5001,"&lt;&gt;")=0,"",SUMIFS(BD!$E$3:$E$5001,BD!$A$3:$A$5001,J$3,BD!$B$3:$B$5001,$A$335)))</f>
        <v/>
      </c>
      <c r="K337" s="283" t="str">
        <f>IF(K$3="","",IF(COUNTIFS(BD!$A$3:$A$5001,K$3,BD!$B$3:$B$5001,$A$335,BD!$E$3:$E$5001,"&lt;&gt;")=0,"",SUMIFS(BD!$E$3:$E$5001,BD!$A$3:$A$5001,K$3,BD!$B$3:$B$5001,$A$335)))</f>
        <v/>
      </c>
      <c r="L337" s="283" t="str">
        <f>IF(L$3="","",IF(COUNTIFS(BD!$A$3:$A$5001,L$3,BD!$B$3:$B$5001,$A$335,BD!$E$3:$E$5001,"&lt;&gt;")=0,"",SUMIFS(BD!$E$3:$E$5001,BD!$A$3:$A$5001,L$3,BD!$B$3:$B$5001,$A$335)))</f>
        <v/>
      </c>
      <c r="M337" s="283" t="str">
        <f>IF(M$3="","",IF(COUNTIFS(BD!$A$3:$A$5001,M$3,BD!$B$3:$B$5001,$A$335,BD!$E$3:$E$5001,"&lt;&gt;")=0,"",SUMIFS(BD!$E$3:$E$5001,BD!$A$3:$A$5001,M$3,BD!$B$3:$B$5001,$A$335)))</f>
        <v/>
      </c>
      <c r="N337" s="283" t="str">
        <f>IF(N$3="","",IF(COUNTIFS(BD!$A$3:$A$5001,N$3,BD!$B$3:$B$5001,$A$335,BD!$E$3:$E$5001,"&lt;&gt;")=0,"",SUMIFS(BD!$E$3:$E$5001,BD!$A$3:$A$5001,N$3,BD!$B$3:$B$5001,$A$335)))</f>
        <v/>
      </c>
      <c r="O337" s="283" t="str">
        <f>IF(O$3="","",IF(COUNTIFS(BD!$A$3:$A$5001,O$3,BD!$B$3:$B$5001,$A$335,BD!$E$3:$E$5001,"&lt;&gt;")=0,"",SUMIFS(BD!$E$3:$E$5001,BD!$A$3:$A$5001,O$3,BD!$B$3:$B$5001,$A$335)))</f>
        <v/>
      </c>
      <c r="P337" s="283" t="str">
        <f>IF(P$3="","",IF(COUNTIFS(BD!$A$3:$A$5001,P$3,BD!$B$3:$B$5001,$A$335,BD!$E$3:$E$5001,"&lt;&gt;")=0,"",SUMIFS(BD!$E$3:$E$5001,BD!$A$3:$A$5001,P$3,BD!$B$3:$B$5001,$A$335)))</f>
        <v/>
      </c>
      <c r="Q337" s="283" t="str">
        <f>IF(Q$3="","",IF(COUNTIFS(BD!$A$3:$A$5001,Q$3,BD!$B$3:$B$5001,$A$335,BD!$E$3:$E$5001,"&lt;&gt;")=0,"",SUMIFS(BD!$E$3:$E$5001,BD!$A$3:$A$5001,Q$3,BD!$B$3:$B$5001,$A$335)))</f>
        <v/>
      </c>
      <c r="R337" s="283" t="str">
        <f>IF(R$3="","",IF(COUNTIFS(BD!$A$3:$A$5001,R$3,BD!$B$3:$B$5001,$A$335,BD!$E$3:$E$5001,"&lt;&gt;")=0,"",SUMIFS(BD!$E$3:$E$5001,BD!$A$3:$A$5001,R$3,BD!$B$3:$B$5001,$A$335)))</f>
        <v/>
      </c>
      <c r="S337" s="283" t="str">
        <f>IF(S$3="","",IF(COUNTIFS(BD!$A$3:$A$5001,S$3,BD!$B$3:$B$5001,$A$335,BD!$E$3:$E$5001,"&lt;&gt;")=0,"",SUMIFS(BD!$E$3:$E$5001,BD!$A$3:$A$5001,S$3,BD!$B$3:$B$5001,$A$335)))</f>
        <v/>
      </c>
      <c r="T337" s="283" t="str">
        <f>IF(T$3="","",IF(COUNTIFS(BD!$A$3:$A$5001,T$3,BD!$B$3:$B$5001,$A$335,BD!$E$3:$E$5001,"&lt;&gt;")=0,"",SUMIFS(BD!$E$3:$E$5001,BD!$A$3:$A$5001,T$3,BD!$B$3:$B$5001,$A$335)))</f>
        <v/>
      </c>
      <c r="U337" s="283" t="str">
        <f>IF(U$3="","",IF(COUNTIFS(BD!$A$3:$A$5001,U$3,BD!$B$3:$B$5001,$A$335,BD!$E$3:$E$5001,"&lt;&gt;")=0,"",SUMIFS(BD!$E$3:$E$5001,BD!$A$3:$A$5001,U$3,BD!$B$3:$B$5001,$A$335)))</f>
        <v/>
      </c>
      <c r="V337" s="283" t="str">
        <f>IF(V$3="","",IF(COUNTIFS(BD!$A$3:$A$5001,V$3,BD!$B$3:$B$5001,$A$335,BD!$E$3:$E$5001,"&lt;&gt;")=0,"",SUMIFS(BD!$E$3:$E$5001,BD!$A$3:$A$5001,V$3,BD!$B$3:$B$5001,$A$335)))</f>
        <v/>
      </c>
      <c r="W337" s="283" t="str">
        <f>IF(W$3="","",IF(COUNTIFS(BD!$A$3:$A$5001,W$3,BD!$B$3:$B$5001,$A$335,BD!$E$3:$E$5001,"&lt;&gt;")=0,"",SUMIFS(BD!$E$3:$E$5001,BD!$A$3:$A$5001,W$3,BD!$B$3:$B$5001,$A$335)))</f>
        <v/>
      </c>
      <c r="X337" s="283" t="str">
        <f>IF(X$3="","",IF(COUNTIFS(BD!$A$3:$A$5001,X$3,BD!$B$3:$B$5001,$A$335,BD!$E$3:$E$5001,"&lt;&gt;")=0,"",SUMIFS(BD!$E$3:$E$5001,BD!$A$3:$A$5001,X$3,BD!$B$3:$B$5001,$A$335)))</f>
        <v/>
      </c>
      <c r="Y337" s="283" t="str">
        <f>IF(Y$3="","",IF(COUNTIFS(BD!$A$3:$A$5001,Y$3,BD!$B$3:$B$5001,$A$335,BD!$E$3:$E$5001,"&lt;&gt;")=0,"",SUMIFS(BD!$E$3:$E$5001,BD!$A$3:$A$5001,Y$3,BD!$B$3:$B$5001,$A$335)))</f>
        <v/>
      </c>
      <c r="Z337" s="283" t="str">
        <f>IF(Z$3="","",IF(COUNTIFS(BD!$A$3:$A$5001,Z$3,BD!$B$3:$B$5001,$A$335,BD!$E$3:$E$5001,"&lt;&gt;")=0,"",SUMIFS(BD!$E$3:$E$5001,BD!$A$3:$A$5001,Z$3,BD!$B$3:$B$5001,$A$335)))</f>
        <v/>
      </c>
      <c r="AA337" s="283" t="str">
        <f>IF(AA$3="","",IF(COUNTIFS(BD!$A$3:$A$5001,AA$3,BD!$B$3:$B$5001,$A$335,BD!$E$3:$E$5001,"&lt;&gt;")=0,"",SUMIFS(BD!$E$3:$E$5001,BD!$A$3:$A$5001,AA$3,BD!$B$3:$B$5001,$A$335)))</f>
        <v/>
      </c>
      <c r="AB337" s="283" t="str">
        <f>IF(AB$3="","",IF(COUNTIFS(BD!$A$3:$A$5001,AB$3,BD!$B$3:$B$5001,$A$335,BD!$E$3:$E$5001,"&lt;&gt;")=0,"",SUMIFS(BD!$E$3:$E$5001,BD!$A$3:$A$5001,AB$3,BD!$B$3:$B$5001,$A$335)))</f>
        <v/>
      </c>
      <c r="AC337" s="283" t="str">
        <f>IF(AC$3="","",IF(COUNTIFS(BD!$A$3:$A$5001,AC$3,BD!$B$3:$B$5001,$A$335,BD!$E$3:$E$5001,"&lt;&gt;")=0,"",SUMIFS(BD!$E$3:$E$5001,BD!$A$3:$A$5001,AC$3,BD!$B$3:$B$5001,$A$335)))</f>
        <v/>
      </c>
      <c r="AD337" s="283" t="str">
        <f>IF(AD$3="","",IF(COUNTIFS(BD!$A$3:$A$5001,AD$3,BD!$B$3:$B$5001,$A$335,BD!$E$3:$E$5001,"&lt;&gt;")=0,"",SUMIFS(BD!$E$3:$E$5001,BD!$A$3:$A$5001,AD$3,BD!$B$3:$B$5001,$A$335)))</f>
        <v/>
      </c>
      <c r="AE337" s="283" t="str">
        <f>IF(AE$3="","",IF(COUNTIFS(BD!$A$3:$A$5001,AE$3,BD!$B$3:$B$5001,$A$335,BD!$E$3:$E$5001,"&lt;&gt;")=0,"",SUMIFS(BD!$E$3:$E$5001,BD!$A$3:$A$5001,AE$3,BD!$B$3:$B$5001,$A$335)))</f>
        <v/>
      </c>
      <c r="AF337" s="283" t="str">
        <f>IF(AF$3="","",IF(COUNTIFS(BD!$A$3:$A$5001,AF$3,BD!$B$3:$B$5001,$A$335,BD!$E$3:$E$5001,"&lt;&gt;")=0,"",SUMIFS(BD!$E$3:$E$5001,BD!$A$3:$A$5001,AF$3,BD!$B$3:$B$5001,$A$335)))</f>
        <v/>
      </c>
      <c r="AG337" s="283" t="str">
        <f>IF(AG$3="","",IF(COUNTIFS(BD!$A$3:$A$5001,AG$3,BD!$B$3:$B$5001,$A$335,BD!$E$3:$E$5001,"&lt;&gt;")=0,"",SUMIFS(BD!$E$3:$E$5001,BD!$A$3:$A$5001,AG$3,BD!$B$3:$B$5001,$A$335)))</f>
        <v/>
      </c>
      <c r="AH337" s="283" t="str">
        <f>IF(AH$3="","",IF(COUNTIFS(BD!$A$3:$A$5001,AH$3,BD!$B$3:$B$5001,$A$335,BD!$E$3:$E$5001,"&lt;&gt;")=0,"",SUMIFS(BD!$E$3:$E$5001,BD!$A$3:$A$5001,AH$3,BD!$B$3:$B$5001,$A$335)))</f>
        <v/>
      </c>
      <c r="AI337" s="283" t="str">
        <f>IF(AI$3="","",IF(COUNTIFS(BD!$A$3:$A$5001,AI$3,BD!$B$3:$B$5001,$A$335,BD!$E$3:$E$5001,"&lt;&gt;")=0,"",SUMIFS(BD!$E$3:$E$5001,BD!$A$3:$A$5001,AI$3,BD!$B$3:$B$5001,$A$335)))</f>
        <v/>
      </c>
      <c r="AJ337" s="284" t="str">
        <f>IF(AJ$3="","",IF(COUNTIFS(BD!$A$3:$A$5001,AJ$3,BD!$B$3:$B$5001,$A$335,BD!$E$3:$E$5001,"&lt;&gt;")=0,"",SUMIFS(BD!$E$3:$E$5001,BD!$A$3:$A$5001,AJ$3,BD!$B$3:$B$5001,$A$335)))</f>
        <v/>
      </c>
      <c r="AK337" s="285" t="str">
        <f>IF(COUNT(F337:AJ337)=0,"",SUM(F337:AJ337))</f>
        <v/>
      </c>
    </row>
    <row r="338" ht="15.75" customHeight="1" hidden="1">
      <c r="A338" s="261"/>
      <c r="B338" s="256"/>
      <c r="C338" s="214" t="inlineStr">
        <is>
          <t xml:space="preserve">Linhas NF</t>
        </is>
      </c>
      <c r="D338" s="215" t="str">
        <f>IFERROR(1/(1/INDEX(BD!$AL$26:$BF$26,MATCH($A$335,BD!$AL$22:$BF$22,0))),"")</f>
        <v/>
      </c>
      <c r="E338" s="216"/>
      <c r="F338" s="217" t="str">
        <f>IF(F$3="","",IF(COUNTIFS(BD!$A$3:$A$5001,F$3,BD!$B$3:$B$5001,$A$335,BD!$F$3:$F$5001,"&lt;&gt;")=0,"",SUMIFS(BD!$F$3:$F$5001,BD!$A$3:$A$5001,F$3,BD!$B$3:$B$5001,$A$335)))</f>
        <v/>
      </c>
      <c r="G338" s="218" t="str">
        <f>IF(G$3="","",IF(COUNTIFS(BD!$A$3:$A$5001,G$3,BD!$B$3:$B$5001,$A$335,BD!$F$3:$F$5001,"&lt;&gt;")=0,"",SUMIFS(BD!$F$3:$F$5001,BD!$A$3:$A$5001,G$3,BD!$B$3:$B$5001,$A$335)))</f>
        <v/>
      </c>
      <c r="H338" s="218" t="str">
        <f>IF(H$3="","",IF(COUNTIFS(BD!$A$3:$A$5001,H$3,BD!$B$3:$B$5001,$A$335,BD!$F$3:$F$5001,"&lt;&gt;")=0,"",SUMIFS(BD!$F$3:$F$5001,BD!$A$3:$A$5001,H$3,BD!$B$3:$B$5001,$A$335)))</f>
        <v/>
      </c>
      <c r="I338" s="218" t="str">
        <f>IF(I$3="","",IF(COUNTIFS(BD!$A$3:$A$5001,I$3,BD!$B$3:$B$5001,$A$335,BD!$F$3:$F$5001,"&lt;&gt;")=0,"",SUMIFS(BD!$F$3:$F$5001,BD!$A$3:$A$5001,I$3,BD!$B$3:$B$5001,$A$335)))</f>
        <v/>
      </c>
      <c r="J338" s="218" t="str">
        <f>IF(J$3="","",IF(COUNTIFS(BD!$A$3:$A$5001,J$3,BD!$B$3:$B$5001,$A$335,BD!$F$3:$F$5001,"&lt;&gt;")=0,"",SUMIFS(BD!$F$3:$F$5001,BD!$A$3:$A$5001,J$3,BD!$B$3:$B$5001,$A$335)))</f>
        <v/>
      </c>
      <c r="K338" s="218" t="str">
        <f>IF(K$3="","",IF(COUNTIFS(BD!$A$3:$A$5001,K$3,BD!$B$3:$B$5001,$A$335,BD!$F$3:$F$5001,"&lt;&gt;")=0,"",SUMIFS(BD!$F$3:$F$5001,BD!$A$3:$A$5001,K$3,BD!$B$3:$B$5001,$A$335)))</f>
        <v/>
      </c>
      <c r="L338" s="218" t="str">
        <f>IF(L$3="","",IF(COUNTIFS(BD!$A$3:$A$5001,L$3,BD!$B$3:$B$5001,$A$335,BD!$F$3:$F$5001,"&lt;&gt;")=0,"",SUMIFS(BD!$F$3:$F$5001,BD!$A$3:$A$5001,L$3,BD!$B$3:$B$5001,$A$335)))</f>
        <v/>
      </c>
      <c r="M338" s="218" t="str">
        <f>IF(M$3="","",IF(COUNTIFS(BD!$A$3:$A$5001,M$3,BD!$B$3:$B$5001,$A$335,BD!$F$3:$F$5001,"&lt;&gt;")=0,"",SUMIFS(BD!$F$3:$F$5001,BD!$A$3:$A$5001,M$3,BD!$B$3:$B$5001,$A$335)))</f>
        <v/>
      </c>
      <c r="N338" s="218" t="str">
        <f>IF(N$3="","",IF(COUNTIFS(BD!$A$3:$A$5001,N$3,BD!$B$3:$B$5001,$A$335,BD!$F$3:$F$5001,"&lt;&gt;")=0,"",SUMIFS(BD!$F$3:$F$5001,BD!$A$3:$A$5001,N$3,BD!$B$3:$B$5001,$A$335)))</f>
        <v/>
      </c>
      <c r="O338" s="218" t="str">
        <f>IF(O$3="","",IF(COUNTIFS(BD!$A$3:$A$5001,O$3,BD!$B$3:$B$5001,$A$335,BD!$F$3:$F$5001,"&lt;&gt;")=0,"",SUMIFS(BD!$F$3:$F$5001,BD!$A$3:$A$5001,O$3,BD!$B$3:$B$5001,$A$335)))</f>
        <v/>
      </c>
      <c r="P338" s="218" t="str">
        <f>IF(P$3="","",IF(COUNTIFS(BD!$A$3:$A$5001,P$3,BD!$B$3:$B$5001,$A$335,BD!$F$3:$F$5001,"&lt;&gt;")=0,"",SUMIFS(BD!$F$3:$F$5001,BD!$A$3:$A$5001,P$3,BD!$B$3:$B$5001,$A$335)))</f>
        <v/>
      </c>
      <c r="Q338" s="218" t="str">
        <f>IF(Q$3="","",IF(COUNTIFS(BD!$A$3:$A$5001,Q$3,BD!$B$3:$B$5001,$A$335,BD!$F$3:$F$5001,"&lt;&gt;")=0,"",SUMIFS(BD!$F$3:$F$5001,BD!$A$3:$A$5001,Q$3,BD!$B$3:$B$5001,$A$335)))</f>
        <v/>
      </c>
      <c r="R338" s="218" t="str">
        <f>IF(R$3="","",IF(COUNTIFS(BD!$A$3:$A$5001,R$3,BD!$B$3:$B$5001,$A$335,BD!$F$3:$F$5001,"&lt;&gt;")=0,"",SUMIFS(BD!$F$3:$F$5001,BD!$A$3:$A$5001,R$3,BD!$B$3:$B$5001,$A$335)))</f>
        <v/>
      </c>
      <c r="S338" s="218" t="str">
        <f>IF(S$3="","",IF(COUNTIFS(BD!$A$3:$A$5001,S$3,BD!$B$3:$B$5001,$A$335,BD!$F$3:$F$5001,"&lt;&gt;")=0,"",SUMIFS(BD!$F$3:$F$5001,BD!$A$3:$A$5001,S$3,BD!$B$3:$B$5001,$A$335)))</f>
        <v/>
      </c>
      <c r="T338" s="218" t="str">
        <f>IF(T$3="","",IF(COUNTIFS(BD!$A$3:$A$5001,T$3,BD!$B$3:$B$5001,$A$335,BD!$F$3:$F$5001,"&lt;&gt;")=0,"",SUMIFS(BD!$F$3:$F$5001,BD!$A$3:$A$5001,T$3,BD!$B$3:$B$5001,$A$335)))</f>
        <v/>
      </c>
      <c r="U338" s="218" t="str">
        <f>IF(U$3="","",IF(COUNTIFS(BD!$A$3:$A$5001,U$3,BD!$B$3:$B$5001,$A$335,BD!$F$3:$F$5001,"&lt;&gt;")=0,"",SUMIFS(BD!$F$3:$F$5001,BD!$A$3:$A$5001,U$3,BD!$B$3:$B$5001,$A$335)))</f>
        <v/>
      </c>
      <c r="V338" s="218" t="str">
        <f>IF(V$3="","",IF(COUNTIFS(BD!$A$3:$A$5001,V$3,BD!$B$3:$B$5001,$A$335,BD!$F$3:$F$5001,"&lt;&gt;")=0,"",SUMIFS(BD!$F$3:$F$5001,BD!$A$3:$A$5001,V$3,BD!$B$3:$B$5001,$A$335)))</f>
        <v/>
      </c>
      <c r="W338" s="218" t="str">
        <f>IF(W$3="","",IF(COUNTIFS(BD!$A$3:$A$5001,W$3,BD!$B$3:$B$5001,$A$335,BD!$F$3:$F$5001,"&lt;&gt;")=0,"",SUMIFS(BD!$F$3:$F$5001,BD!$A$3:$A$5001,W$3,BD!$B$3:$B$5001,$A$335)))</f>
        <v/>
      </c>
      <c r="X338" s="218" t="str">
        <f>IF(X$3="","",IF(COUNTIFS(BD!$A$3:$A$5001,X$3,BD!$B$3:$B$5001,$A$335,BD!$F$3:$F$5001,"&lt;&gt;")=0,"",SUMIFS(BD!$F$3:$F$5001,BD!$A$3:$A$5001,X$3,BD!$B$3:$B$5001,$A$335)))</f>
        <v/>
      </c>
      <c r="Y338" s="218" t="str">
        <f>IF(Y$3="","",IF(COUNTIFS(BD!$A$3:$A$5001,Y$3,BD!$B$3:$B$5001,$A$335,BD!$F$3:$F$5001,"&lt;&gt;")=0,"",SUMIFS(BD!$F$3:$F$5001,BD!$A$3:$A$5001,Y$3,BD!$B$3:$B$5001,$A$335)))</f>
        <v/>
      </c>
      <c r="Z338" s="218" t="str">
        <f>IF(Z$3="","",IF(COUNTIFS(BD!$A$3:$A$5001,Z$3,BD!$B$3:$B$5001,$A$335,BD!$F$3:$F$5001,"&lt;&gt;")=0,"",SUMIFS(BD!$F$3:$F$5001,BD!$A$3:$A$5001,Z$3,BD!$B$3:$B$5001,$A$335)))</f>
        <v/>
      </c>
      <c r="AA338" s="218" t="str">
        <f>IF(AA$3="","",IF(COUNTIFS(BD!$A$3:$A$5001,AA$3,BD!$B$3:$B$5001,$A$335,BD!$F$3:$F$5001,"&lt;&gt;")=0,"",SUMIFS(BD!$F$3:$F$5001,BD!$A$3:$A$5001,AA$3,BD!$B$3:$B$5001,$A$335)))</f>
        <v/>
      </c>
      <c r="AB338" s="218" t="str">
        <f>IF(AB$3="","",IF(COUNTIFS(BD!$A$3:$A$5001,AB$3,BD!$B$3:$B$5001,$A$335,BD!$F$3:$F$5001,"&lt;&gt;")=0,"",SUMIFS(BD!$F$3:$F$5001,BD!$A$3:$A$5001,AB$3,BD!$B$3:$B$5001,$A$335)))</f>
        <v/>
      </c>
      <c r="AC338" s="218" t="str">
        <f>IF(AC$3="","",IF(COUNTIFS(BD!$A$3:$A$5001,AC$3,BD!$B$3:$B$5001,$A$335,BD!$F$3:$F$5001,"&lt;&gt;")=0,"",SUMIFS(BD!$F$3:$F$5001,BD!$A$3:$A$5001,AC$3,BD!$B$3:$B$5001,$A$335)))</f>
        <v/>
      </c>
      <c r="AD338" s="218" t="str">
        <f>IF(AD$3="","",IF(COUNTIFS(BD!$A$3:$A$5001,AD$3,BD!$B$3:$B$5001,$A$335,BD!$F$3:$F$5001,"&lt;&gt;")=0,"",SUMIFS(BD!$F$3:$F$5001,BD!$A$3:$A$5001,AD$3,BD!$B$3:$B$5001,$A$335)))</f>
        <v/>
      </c>
      <c r="AE338" s="218" t="str">
        <f>IF(AE$3="","",IF(COUNTIFS(BD!$A$3:$A$5001,AE$3,BD!$B$3:$B$5001,$A$335,BD!$F$3:$F$5001,"&lt;&gt;")=0,"",SUMIFS(BD!$F$3:$F$5001,BD!$A$3:$A$5001,AE$3,BD!$B$3:$B$5001,$A$335)))</f>
        <v/>
      </c>
      <c r="AF338" s="218" t="str">
        <f>IF(AF$3="","",IF(COUNTIFS(BD!$A$3:$A$5001,AF$3,BD!$B$3:$B$5001,$A$335,BD!$F$3:$F$5001,"&lt;&gt;")=0,"",SUMIFS(BD!$F$3:$F$5001,BD!$A$3:$A$5001,AF$3,BD!$B$3:$B$5001,$A$335)))</f>
        <v/>
      </c>
      <c r="AG338" s="218" t="str">
        <f>IF(AG$3="","",IF(COUNTIFS(BD!$A$3:$A$5001,AG$3,BD!$B$3:$B$5001,$A$335,BD!$F$3:$F$5001,"&lt;&gt;")=0,"",SUMIFS(BD!$F$3:$F$5001,BD!$A$3:$A$5001,AG$3,BD!$B$3:$B$5001,$A$335)))</f>
        <v/>
      </c>
      <c r="AH338" s="218" t="str">
        <f>IF(AH$3="","",IF(COUNTIFS(BD!$A$3:$A$5001,AH$3,BD!$B$3:$B$5001,$A$335,BD!$F$3:$F$5001,"&lt;&gt;")=0,"",SUMIFS(BD!$F$3:$F$5001,BD!$A$3:$A$5001,AH$3,BD!$B$3:$B$5001,$A$335)))</f>
        <v/>
      </c>
      <c r="AI338" s="218" t="str">
        <f>IF(AI$3="","",IF(COUNTIFS(BD!$A$3:$A$5001,AI$3,BD!$B$3:$B$5001,$A$335,BD!$F$3:$F$5001,"&lt;&gt;")=0,"",SUMIFS(BD!$F$3:$F$5001,BD!$A$3:$A$5001,AI$3,BD!$B$3:$B$5001,$A$335)))</f>
        <v/>
      </c>
      <c r="AJ338" s="219" t="str">
        <f>IF(AJ$3="","",IF(COUNTIFS(BD!$A$3:$A$5001,AJ$3,BD!$B$3:$B$5001,$A$335,BD!$F$3:$F$5001,"&lt;&gt;")=0,"",SUMIFS(BD!$F$3:$F$5001,BD!$A$3:$A$5001,AJ$3,BD!$B$3:$B$5001,$A$335)))</f>
        <v/>
      </c>
      <c r="AK338" s="220" t="str">
        <f>IF(COUNT(F338:AJ338)=0,"",SUM(F338:AJ338))</f>
        <v/>
      </c>
    </row>
    <row r="339" ht="15.75" customHeight="1" hidden="1">
      <c r="A339" s="261"/>
      <c r="B339" s="256"/>
      <c r="C339" s="214" t="inlineStr">
        <is>
          <t xml:space="preserve">Caixas Movimentadas</t>
        </is>
      </c>
      <c r="D339" s="215" t="str">
        <f>IFERROR(1/(1/INDEX(BD!$AL$27:$BF$27,MATCH($A$335,BD!$AL$22:$BF$22,0))),"")</f>
        <v/>
      </c>
      <c r="E339" s="216"/>
      <c r="F339" s="217" t="str">
        <f>IF(F$3="","",IF(COUNTIFS(BD!$A$3:$A$5001,F$3,BD!$B$3:$B$5001,$A$335,BD!$G$3:$G$5001,"&lt;&gt;")=0,"",SUMIFS(BD!$G$3:$G$5001,BD!$A$3:$A$5001,F$3,BD!$B$3:$B$5001,$A$335)))</f>
        <v/>
      </c>
      <c r="G339" s="218" t="str">
        <f>IF(G$3="","",IF(COUNTIFS(BD!$A$3:$A$5001,G$3,BD!$B$3:$B$5001,$A$335,BD!$G$3:$G$5001,"&lt;&gt;")=0,"",SUMIFS(BD!$G$3:$G$5001,BD!$A$3:$A$5001,G$3,BD!$B$3:$B$5001,$A$335)))</f>
        <v/>
      </c>
      <c r="H339" s="218" t="str">
        <f>IF(H$3="","",IF(COUNTIFS(BD!$A$3:$A$5001,H$3,BD!$B$3:$B$5001,$A$335,BD!$G$3:$G$5001,"&lt;&gt;")=0,"",SUMIFS(BD!$G$3:$G$5001,BD!$A$3:$A$5001,H$3,BD!$B$3:$B$5001,$A$335)))</f>
        <v/>
      </c>
      <c r="I339" s="218" t="str">
        <f>IF(I$3="","",IF(COUNTIFS(BD!$A$3:$A$5001,I$3,BD!$B$3:$B$5001,$A$335,BD!$G$3:$G$5001,"&lt;&gt;")=0,"",SUMIFS(BD!$G$3:$G$5001,BD!$A$3:$A$5001,I$3,BD!$B$3:$B$5001,$A$335)))</f>
        <v/>
      </c>
      <c r="J339" s="218" t="str">
        <f>IF(J$3="","",IF(COUNTIFS(BD!$A$3:$A$5001,J$3,BD!$B$3:$B$5001,$A$335,BD!$G$3:$G$5001,"&lt;&gt;")=0,"",SUMIFS(BD!$G$3:$G$5001,BD!$A$3:$A$5001,J$3,BD!$B$3:$B$5001,$A$335)))</f>
        <v/>
      </c>
      <c r="K339" s="218" t="str">
        <f>IF(K$3="","",IF(COUNTIFS(BD!$A$3:$A$5001,K$3,BD!$B$3:$B$5001,$A$335,BD!$G$3:$G$5001,"&lt;&gt;")=0,"",SUMIFS(BD!$G$3:$G$5001,BD!$A$3:$A$5001,K$3,BD!$B$3:$B$5001,$A$335)))</f>
        <v/>
      </c>
      <c r="L339" s="218" t="str">
        <f>IF(L$3="","",IF(COUNTIFS(BD!$A$3:$A$5001,L$3,BD!$B$3:$B$5001,$A$335,BD!$G$3:$G$5001,"&lt;&gt;")=0,"",SUMIFS(BD!$G$3:$G$5001,BD!$A$3:$A$5001,L$3,BD!$B$3:$B$5001,$A$335)))</f>
        <v/>
      </c>
      <c r="M339" s="218" t="str">
        <f>IF(M$3="","",IF(COUNTIFS(BD!$A$3:$A$5001,M$3,BD!$B$3:$B$5001,$A$335,BD!$G$3:$G$5001,"&lt;&gt;")=0,"",SUMIFS(BD!$G$3:$G$5001,BD!$A$3:$A$5001,M$3,BD!$B$3:$B$5001,$A$335)))</f>
        <v/>
      </c>
      <c r="N339" s="218" t="str">
        <f>IF(N$3="","",IF(COUNTIFS(BD!$A$3:$A$5001,N$3,BD!$B$3:$B$5001,$A$335,BD!$G$3:$G$5001,"&lt;&gt;")=0,"",SUMIFS(BD!$G$3:$G$5001,BD!$A$3:$A$5001,N$3,BD!$B$3:$B$5001,$A$335)))</f>
        <v/>
      </c>
      <c r="O339" s="218" t="str">
        <f>IF(O$3="","",IF(COUNTIFS(BD!$A$3:$A$5001,O$3,BD!$B$3:$B$5001,$A$335,BD!$G$3:$G$5001,"&lt;&gt;")=0,"",SUMIFS(BD!$G$3:$G$5001,BD!$A$3:$A$5001,O$3,BD!$B$3:$B$5001,$A$335)))</f>
        <v/>
      </c>
      <c r="P339" s="218" t="str">
        <f>IF(P$3="","",IF(COUNTIFS(BD!$A$3:$A$5001,P$3,BD!$B$3:$B$5001,$A$335,BD!$G$3:$G$5001,"&lt;&gt;")=0,"",SUMIFS(BD!$G$3:$G$5001,BD!$A$3:$A$5001,P$3,BD!$B$3:$B$5001,$A$335)))</f>
        <v/>
      </c>
      <c r="Q339" s="218" t="str">
        <f>IF(Q$3="","",IF(COUNTIFS(BD!$A$3:$A$5001,Q$3,BD!$B$3:$B$5001,$A$335,BD!$G$3:$G$5001,"&lt;&gt;")=0,"",SUMIFS(BD!$G$3:$G$5001,BD!$A$3:$A$5001,Q$3,BD!$B$3:$B$5001,$A$335)))</f>
        <v/>
      </c>
      <c r="R339" s="218" t="str">
        <f>IF(R$3="","",IF(COUNTIFS(BD!$A$3:$A$5001,R$3,BD!$B$3:$B$5001,$A$335,BD!$G$3:$G$5001,"&lt;&gt;")=0,"",SUMIFS(BD!$G$3:$G$5001,BD!$A$3:$A$5001,R$3,BD!$B$3:$B$5001,$A$335)))</f>
        <v/>
      </c>
      <c r="S339" s="218" t="str">
        <f>IF(S$3="","",IF(COUNTIFS(BD!$A$3:$A$5001,S$3,BD!$B$3:$B$5001,$A$335,BD!$G$3:$G$5001,"&lt;&gt;")=0,"",SUMIFS(BD!$G$3:$G$5001,BD!$A$3:$A$5001,S$3,BD!$B$3:$B$5001,$A$335)))</f>
        <v/>
      </c>
      <c r="T339" s="218" t="str">
        <f>IF(T$3="","",IF(COUNTIFS(BD!$A$3:$A$5001,T$3,BD!$B$3:$B$5001,$A$335,BD!$G$3:$G$5001,"&lt;&gt;")=0,"",SUMIFS(BD!$G$3:$G$5001,BD!$A$3:$A$5001,T$3,BD!$B$3:$B$5001,$A$335)))</f>
        <v/>
      </c>
      <c r="U339" s="218" t="str">
        <f>IF(U$3="","",IF(COUNTIFS(BD!$A$3:$A$5001,U$3,BD!$B$3:$B$5001,$A$335,BD!$G$3:$G$5001,"&lt;&gt;")=0,"",SUMIFS(BD!$G$3:$G$5001,BD!$A$3:$A$5001,U$3,BD!$B$3:$B$5001,$A$335)))</f>
        <v/>
      </c>
      <c r="V339" s="218" t="str">
        <f>IF(V$3="","",IF(COUNTIFS(BD!$A$3:$A$5001,V$3,BD!$B$3:$B$5001,$A$335,BD!$G$3:$G$5001,"&lt;&gt;")=0,"",SUMIFS(BD!$G$3:$G$5001,BD!$A$3:$A$5001,V$3,BD!$B$3:$B$5001,$A$335)))</f>
        <v/>
      </c>
      <c r="W339" s="218" t="str">
        <f>IF(W$3="","",IF(COUNTIFS(BD!$A$3:$A$5001,W$3,BD!$B$3:$B$5001,$A$335,BD!$G$3:$G$5001,"&lt;&gt;")=0,"",SUMIFS(BD!$G$3:$G$5001,BD!$A$3:$A$5001,W$3,BD!$B$3:$B$5001,$A$335)))</f>
        <v/>
      </c>
      <c r="X339" s="218" t="str">
        <f>IF(X$3="","",IF(COUNTIFS(BD!$A$3:$A$5001,X$3,BD!$B$3:$B$5001,$A$335,BD!$G$3:$G$5001,"&lt;&gt;")=0,"",SUMIFS(BD!$G$3:$G$5001,BD!$A$3:$A$5001,X$3,BD!$B$3:$B$5001,$A$335)))</f>
        <v/>
      </c>
      <c r="Y339" s="218" t="str">
        <f>IF(Y$3="","",IF(COUNTIFS(BD!$A$3:$A$5001,Y$3,BD!$B$3:$B$5001,$A$335,BD!$G$3:$G$5001,"&lt;&gt;")=0,"",SUMIFS(BD!$G$3:$G$5001,BD!$A$3:$A$5001,Y$3,BD!$B$3:$B$5001,$A$335)))</f>
        <v/>
      </c>
      <c r="Z339" s="218" t="str">
        <f>IF(Z$3="","",IF(COUNTIFS(BD!$A$3:$A$5001,Z$3,BD!$B$3:$B$5001,$A$335,BD!$G$3:$G$5001,"&lt;&gt;")=0,"",SUMIFS(BD!$G$3:$G$5001,BD!$A$3:$A$5001,Z$3,BD!$B$3:$B$5001,$A$335)))</f>
        <v/>
      </c>
      <c r="AA339" s="218" t="str">
        <f>IF(AA$3="","",IF(COUNTIFS(BD!$A$3:$A$5001,AA$3,BD!$B$3:$B$5001,$A$335,BD!$G$3:$G$5001,"&lt;&gt;")=0,"",SUMIFS(BD!$G$3:$G$5001,BD!$A$3:$A$5001,AA$3,BD!$B$3:$B$5001,$A$335)))</f>
        <v/>
      </c>
      <c r="AB339" s="218" t="str">
        <f>IF(AB$3="","",IF(COUNTIFS(BD!$A$3:$A$5001,AB$3,BD!$B$3:$B$5001,$A$335,BD!$G$3:$G$5001,"&lt;&gt;")=0,"",SUMIFS(BD!$G$3:$G$5001,BD!$A$3:$A$5001,AB$3,BD!$B$3:$B$5001,$A$335)))</f>
        <v/>
      </c>
      <c r="AC339" s="218" t="str">
        <f>IF(AC$3="","",IF(COUNTIFS(BD!$A$3:$A$5001,AC$3,BD!$B$3:$B$5001,$A$335,BD!$G$3:$G$5001,"&lt;&gt;")=0,"",SUMIFS(BD!$G$3:$G$5001,BD!$A$3:$A$5001,AC$3,BD!$B$3:$B$5001,$A$335)))</f>
        <v/>
      </c>
      <c r="AD339" s="218" t="str">
        <f>IF(AD$3="","",IF(COUNTIFS(BD!$A$3:$A$5001,AD$3,BD!$B$3:$B$5001,$A$335,BD!$G$3:$G$5001,"&lt;&gt;")=0,"",SUMIFS(BD!$G$3:$G$5001,BD!$A$3:$A$5001,AD$3,BD!$B$3:$B$5001,$A$335)))</f>
        <v/>
      </c>
      <c r="AE339" s="218" t="str">
        <f>IF(AE$3="","",IF(COUNTIFS(BD!$A$3:$A$5001,AE$3,BD!$B$3:$B$5001,$A$335,BD!$G$3:$G$5001,"&lt;&gt;")=0,"",SUMIFS(BD!$G$3:$G$5001,BD!$A$3:$A$5001,AE$3,BD!$B$3:$B$5001,$A$335)))</f>
        <v/>
      </c>
      <c r="AF339" s="218" t="str">
        <f>IF(AF$3="","",IF(COUNTIFS(BD!$A$3:$A$5001,AF$3,BD!$B$3:$B$5001,$A$335,BD!$G$3:$G$5001,"&lt;&gt;")=0,"",SUMIFS(BD!$G$3:$G$5001,BD!$A$3:$A$5001,AF$3,BD!$B$3:$B$5001,$A$335)))</f>
        <v/>
      </c>
      <c r="AG339" s="218" t="str">
        <f>IF(AG$3="","",IF(COUNTIFS(BD!$A$3:$A$5001,AG$3,BD!$B$3:$B$5001,$A$335,BD!$G$3:$G$5001,"&lt;&gt;")=0,"",SUMIFS(BD!$G$3:$G$5001,BD!$A$3:$A$5001,AG$3,BD!$B$3:$B$5001,$A$335)))</f>
        <v/>
      </c>
      <c r="AH339" s="218" t="str">
        <f>IF(AH$3="","",IF(COUNTIFS(BD!$A$3:$A$5001,AH$3,BD!$B$3:$B$5001,$A$335,BD!$G$3:$G$5001,"&lt;&gt;")=0,"",SUMIFS(BD!$G$3:$G$5001,BD!$A$3:$A$5001,AH$3,BD!$B$3:$B$5001,$A$335)))</f>
        <v/>
      </c>
      <c r="AI339" s="218" t="str">
        <f>IF(AI$3="","",IF(COUNTIFS(BD!$A$3:$A$5001,AI$3,BD!$B$3:$B$5001,$A$335,BD!$G$3:$G$5001,"&lt;&gt;")=0,"",SUMIFS(BD!$G$3:$G$5001,BD!$A$3:$A$5001,AI$3,BD!$B$3:$B$5001,$A$335)))</f>
        <v/>
      </c>
      <c r="AJ339" s="219" t="str">
        <f>IF(AJ$3="","",IF(COUNTIFS(BD!$A$3:$A$5001,AJ$3,BD!$B$3:$B$5001,$A$335,BD!$G$3:$G$5001,"&lt;&gt;")=0,"",SUMIFS(BD!$G$3:$G$5001,BD!$A$3:$A$5001,AJ$3,BD!$B$3:$B$5001,$A$335)))</f>
        <v/>
      </c>
      <c r="AK339" s="220" t="str">
        <f>IF(COUNT(F339:AJ339)=0,"",SUM(F339:AJ339))</f>
        <v/>
      </c>
    </row>
    <row r="340" ht="15.75" customHeight="1" hidden="1">
      <c r="A340" s="261"/>
      <c r="B340" s="256"/>
      <c r="C340" s="214" t="inlineStr">
        <is>
          <t xml:space="preserve">Itens Recebidos</t>
        </is>
      </c>
      <c r="D340" s="215" t="str">
        <f>IFERROR(1/(1/INDEX(BD!$AL$28:$BF$28,MATCH($A$335,BD!$AL$22:$BF$22,0))),"")</f>
        <v/>
      </c>
      <c r="E340" s="216"/>
      <c r="F340" s="217" t="str">
        <f>IF(F$3="","",IF(COUNTIFS(BD!$A$3:$A$5001,F$3,BD!$B$3:$B$5001,$A$335,BD!$H$3:$H$5001,"&lt;&gt;")=0,"",SUMIFS(BD!$H$3:$H$5001,BD!$A$3:$A$5001,F$3,BD!$B$3:$B$5001,$A$335)))</f>
        <v/>
      </c>
      <c r="G340" s="218" t="str">
        <f>IF(G$3="","",IF(COUNTIFS(BD!$A$3:$A$5001,G$3,BD!$B$3:$B$5001,$A$335,BD!$H$3:$H$5001,"&lt;&gt;")=0,"",SUMIFS(BD!$H$3:$H$5001,BD!$A$3:$A$5001,G$3,BD!$B$3:$B$5001,$A$335)))</f>
        <v/>
      </c>
      <c r="H340" s="218" t="str">
        <f>IF(H$3="","",IF(COUNTIFS(BD!$A$3:$A$5001,H$3,BD!$B$3:$B$5001,$A$335,BD!$H$3:$H$5001,"&lt;&gt;")=0,"",SUMIFS(BD!$H$3:$H$5001,BD!$A$3:$A$5001,H$3,BD!$B$3:$B$5001,$A$335)))</f>
        <v/>
      </c>
      <c r="I340" s="218" t="str">
        <f>IF(I$3="","",IF(COUNTIFS(BD!$A$3:$A$5001,I$3,BD!$B$3:$B$5001,$A$335,BD!$H$3:$H$5001,"&lt;&gt;")=0,"",SUMIFS(BD!$H$3:$H$5001,BD!$A$3:$A$5001,I$3,BD!$B$3:$B$5001,$A$335)))</f>
        <v/>
      </c>
      <c r="J340" s="218" t="str">
        <f>IF(J$3="","",IF(COUNTIFS(BD!$A$3:$A$5001,J$3,BD!$B$3:$B$5001,$A$335,BD!$H$3:$H$5001,"&lt;&gt;")=0,"",SUMIFS(BD!$H$3:$H$5001,BD!$A$3:$A$5001,J$3,BD!$B$3:$B$5001,$A$335)))</f>
        <v/>
      </c>
      <c r="K340" s="218" t="str">
        <f>IF(K$3="","",IF(COUNTIFS(BD!$A$3:$A$5001,K$3,BD!$B$3:$B$5001,$A$335,BD!$H$3:$H$5001,"&lt;&gt;")=0,"",SUMIFS(BD!$H$3:$H$5001,BD!$A$3:$A$5001,K$3,BD!$B$3:$B$5001,$A$335)))</f>
        <v/>
      </c>
      <c r="L340" s="218" t="str">
        <f>IF(L$3="","",IF(COUNTIFS(BD!$A$3:$A$5001,L$3,BD!$B$3:$B$5001,$A$335,BD!$H$3:$H$5001,"&lt;&gt;")=0,"",SUMIFS(BD!$H$3:$H$5001,BD!$A$3:$A$5001,L$3,BD!$B$3:$B$5001,$A$335)))</f>
        <v/>
      </c>
      <c r="M340" s="218" t="str">
        <f>IF(M$3="","",IF(COUNTIFS(BD!$A$3:$A$5001,M$3,BD!$B$3:$B$5001,$A$335,BD!$H$3:$H$5001,"&lt;&gt;")=0,"",SUMIFS(BD!$H$3:$H$5001,BD!$A$3:$A$5001,M$3,BD!$B$3:$B$5001,$A$335)))</f>
        <v/>
      </c>
      <c r="N340" s="218" t="str">
        <f>IF(N$3="","",IF(COUNTIFS(BD!$A$3:$A$5001,N$3,BD!$B$3:$B$5001,$A$335,BD!$H$3:$H$5001,"&lt;&gt;")=0,"",SUMIFS(BD!$H$3:$H$5001,BD!$A$3:$A$5001,N$3,BD!$B$3:$B$5001,$A$335)))</f>
        <v/>
      </c>
      <c r="O340" s="218" t="str">
        <f>IF(O$3="","",IF(COUNTIFS(BD!$A$3:$A$5001,O$3,BD!$B$3:$B$5001,$A$335,BD!$H$3:$H$5001,"&lt;&gt;")=0,"",SUMIFS(BD!$H$3:$H$5001,BD!$A$3:$A$5001,O$3,BD!$B$3:$B$5001,$A$335)))</f>
        <v/>
      </c>
      <c r="P340" s="218" t="str">
        <f>IF(P$3="","",IF(COUNTIFS(BD!$A$3:$A$5001,P$3,BD!$B$3:$B$5001,$A$335,BD!$H$3:$H$5001,"&lt;&gt;")=0,"",SUMIFS(BD!$H$3:$H$5001,BD!$A$3:$A$5001,P$3,BD!$B$3:$B$5001,$A$335)))</f>
        <v/>
      </c>
      <c r="Q340" s="218" t="str">
        <f>IF(Q$3="","",IF(COUNTIFS(BD!$A$3:$A$5001,Q$3,BD!$B$3:$B$5001,$A$335,BD!$H$3:$H$5001,"&lt;&gt;")=0,"",SUMIFS(BD!$H$3:$H$5001,BD!$A$3:$A$5001,Q$3,BD!$B$3:$B$5001,$A$335)))</f>
        <v/>
      </c>
      <c r="R340" s="218" t="str">
        <f>IF(R$3="","",IF(COUNTIFS(BD!$A$3:$A$5001,R$3,BD!$B$3:$B$5001,$A$335,BD!$H$3:$H$5001,"&lt;&gt;")=0,"",SUMIFS(BD!$H$3:$H$5001,BD!$A$3:$A$5001,R$3,BD!$B$3:$B$5001,$A$335)))</f>
        <v/>
      </c>
      <c r="S340" s="218" t="str">
        <f>IF(S$3="","",IF(COUNTIFS(BD!$A$3:$A$5001,S$3,BD!$B$3:$B$5001,$A$335,BD!$H$3:$H$5001,"&lt;&gt;")=0,"",SUMIFS(BD!$H$3:$H$5001,BD!$A$3:$A$5001,S$3,BD!$B$3:$B$5001,$A$335)))</f>
        <v/>
      </c>
      <c r="T340" s="218" t="str">
        <f>IF(T$3="","",IF(COUNTIFS(BD!$A$3:$A$5001,T$3,BD!$B$3:$B$5001,$A$335,BD!$H$3:$H$5001,"&lt;&gt;")=0,"",SUMIFS(BD!$H$3:$H$5001,BD!$A$3:$A$5001,T$3,BD!$B$3:$B$5001,$A$335)))</f>
        <v/>
      </c>
      <c r="U340" s="218" t="str">
        <f>IF(U$3="","",IF(COUNTIFS(BD!$A$3:$A$5001,U$3,BD!$B$3:$B$5001,$A$335,BD!$H$3:$H$5001,"&lt;&gt;")=0,"",SUMIFS(BD!$H$3:$H$5001,BD!$A$3:$A$5001,U$3,BD!$B$3:$B$5001,$A$335)))</f>
        <v/>
      </c>
      <c r="V340" s="218" t="str">
        <f>IF(V$3="","",IF(COUNTIFS(BD!$A$3:$A$5001,V$3,BD!$B$3:$B$5001,$A$335,BD!$H$3:$H$5001,"&lt;&gt;")=0,"",SUMIFS(BD!$H$3:$H$5001,BD!$A$3:$A$5001,V$3,BD!$B$3:$B$5001,$A$335)))</f>
        <v/>
      </c>
      <c r="W340" s="218" t="str">
        <f>IF(W$3="","",IF(COUNTIFS(BD!$A$3:$A$5001,W$3,BD!$B$3:$B$5001,$A$335,BD!$H$3:$H$5001,"&lt;&gt;")=0,"",SUMIFS(BD!$H$3:$H$5001,BD!$A$3:$A$5001,W$3,BD!$B$3:$B$5001,$A$335)))</f>
        <v/>
      </c>
      <c r="X340" s="218" t="str">
        <f>IF(X$3="","",IF(COUNTIFS(BD!$A$3:$A$5001,X$3,BD!$B$3:$B$5001,$A$335,BD!$H$3:$H$5001,"&lt;&gt;")=0,"",SUMIFS(BD!$H$3:$H$5001,BD!$A$3:$A$5001,X$3,BD!$B$3:$B$5001,$A$335)))</f>
        <v/>
      </c>
      <c r="Y340" s="218" t="str">
        <f>IF(Y$3="","",IF(COUNTIFS(BD!$A$3:$A$5001,Y$3,BD!$B$3:$B$5001,$A$335,BD!$H$3:$H$5001,"&lt;&gt;")=0,"",SUMIFS(BD!$H$3:$H$5001,BD!$A$3:$A$5001,Y$3,BD!$B$3:$B$5001,$A$335)))</f>
        <v/>
      </c>
      <c r="Z340" s="218" t="str">
        <f>IF(Z$3="","",IF(COUNTIFS(BD!$A$3:$A$5001,Z$3,BD!$B$3:$B$5001,$A$335,BD!$H$3:$H$5001,"&lt;&gt;")=0,"",SUMIFS(BD!$H$3:$H$5001,BD!$A$3:$A$5001,Z$3,BD!$B$3:$B$5001,$A$335)))</f>
        <v/>
      </c>
      <c r="AA340" s="218" t="str">
        <f>IF(AA$3="","",IF(COUNTIFS(BD!$A$3:$A$5001,AA$3,BD!$B$3:$B$5001,$A$335,BD!$H$3:$H$5001,"&lt;&gt;")=0,"",SUMIFS(BD!$H$3:$H$5001,BD!$A$3:$A$5001,AA$3,BD!$B$3:$B$5001,$A$335)))</f>
        <v/>
      </c>
      <c r="AB340" s="218" t="str">
        <f>IF(AB$3="","",IF(COUNTIFS(BD!$A$3:$A$5001,AB$3,BD!$B$3:$B$5001,$A$335,BD!$H$3:$H$5001,"&lt;&gt;")=0,"",SUMIFS(BD!$H$3:$H$5001,BD!$A$3:$A$5001,AB$3,BD!$B$3:$B$5001,$A$335)))</f>
        <v/>
      </c>
      <c r="AC340" s="218" t="str">
        <f>IF(AC$3="","",IF(COUNTIFS(BD!$A$3:$A$5001,AC$3,BD!$B$3:$B$5001,$A$335,BD!$H$3:$H$5001,"&lt;&gt;")=0,"",SUMIFS(BD!$H$3:$H$5001,BD!$A$3:$A$5001,AC$3,BD!$B$3:$B$5001,$A$335)))</f>
        <v/>
      </c>
      <c r="AD340" s="218" t="str">
        <f>IF(AD$3="","",IF(COUNTIFS(BD!$A$3:$A$5001,AD$3,BD!$B$3:$B$5001,$A$335,BD!$H$3:$H$5001,"&lt;&gt;")=0,"",SUMIFS(BD!$H$3:$H$5001,BD!$A$3:$A$5001,AD$3,BD!$B$3:$B$5001,$A$335)))</f>
        <v/>
      </c>
      <c r="AE340" s="218" t="str">
        <f>IF(AE$3="","",IF(COUNTIFS(BD!$A$3:$A$5001,AE$3,BD!$B$3:$B$5001,$A$335,BD!$H$3:$H$5001,"&lt;&gt;")=0,"",SUMIFS(BD!$H$3:$H$5001,BD!$A$3:$A$5001,AE$3,BD!$B$3:$B$5001,$A$335)))</f>
        <v/>
      </c>
      <c r="AF340" s="218" t="str">
        <f>IF(AF$3="","",IF(COUNTIFS(BD!$A$3:$A$5001,AF$3,BD!$B$3:$B$5001,$A$335,BD!$H$3:$H$5001,"&lt;&gt;")=0,"",SUMIFS(BD!$H$3:$H$5001,BD!$A$3:$A$5001,AF$3,BD!$B$3:$B$5001,$A$335)))</f>
        <v/>
      </c>
      <c r="AG340" s="218" t="str">
        <f>IF(AG$3="","",IF(COUNTIFS(BD!$A$3:$A$5001,AG$3,BD!$B$3:$B$5001,$A$335,BD!$H$3:$H$5001,"&lt;&gt;")=0,"",SUMIFS(BD!$H$3:$H$5001,BD!$A$3:$A$5001,AG$3,BD!$B$3:$B$5001,$A$335)))</f>
        <v/>
      </c>
      <c r="AH340" s="218" t="str">
        <f>IF(AH$3="","",IF(COUNTIFS(BD!$A$3:$A$5001,AH$3,BD!$B$3:$B$5001,$A$335,BD!$H$3:$H$5001,"&lt;&gt;")=0,"",SUMIFS(BD!$H$3:$H$5001,BD!$A$3:$A$5001,AH$3,BD!$B$3:$B$5001,$A$335)))</f>
        <v/>
      </c>
      <c r="AI340" s="218" t="str">
        <f>IF(AI$3="","",IF(COUNTIFS(BD!$A$3:$A$5001,AI$3,BD!$B$3:$B$5001,$A$335,BD!$H$3:$H$5001,"&lt;&gt;")=0,"",SUMIFS(BD!$H$3:$H$5001,BD!$A$3:$A$5001,AI$3,BD!$B$3:$B$5001,$A$335)))</f>
        <v/>
      </c>
      <c r="AJ340" s="219" t="str">
        <f>IF(AJ$3="","",IF(COUNTIFS(BD!$A$3:$A$5001,AJ$3,BD!$B$3:$B$5001,$A$335,BD!$H$3:$H$5001,"&lt;&gt;")=0,"",SUMIFS(BD!$H$3:$H$5001,BD!$A$3:$A$5001,AJ$3,BD!$B$3:$B$5001,$A$335)))</f>
        <v/>
      </c>
      <c r="AK340" s="220" t="str">
        <f>IF(COUNT(F340:AJ340)=0,"",SUM(F340:AJ340))</f>
        <v/>
      </c>
    </row>
    <row r="341" ht="15.75" customHeight="1" hidden="1">
      <c r="A341" s="261"/>
      <c r="B341" s="256"/>
      <c r="C341" s="214" t="inlineStr">
        <is>
          <t xml:space="preserve">Itens Recebidos CX Mista</t>
        </is>
      </c>
      <c r="D341" s="215" t="str">
        <f>IFERROR(1/(1/INDEX(BD!$AL$29:$BF$29,MATCH($A$335,BD!$AL$22:$BF$22,0))),"")</f>
        <v/>
      </c>
      <c r="E341" s="216"/>
      <c r="F341" s="217" t="str">
        <f>IF(F$3="","",IF(COUNTIFS(BD!$A$3:$A$5001,F$3,BD!$B$3:$B$5001,$A$335,BD!$I$3:$I$5001,"&lt;&gt;")=0,"",SUMIFS(BD!$I$3:$I$5001,BD!$A$3:$A$5001,F$3,BD!$B$3:$B$5001,$A$335)))</f>
        <v/>
      </c>
      <c r="G341" s="218" t="str">
        <f>IF(G$3="","",IF(COUNTIFS(BD!$A$3:$A$5001,G$3,BD!$B$3:$B$5001,$A$335,BD!$I$3:$I$5001,"&lt;&gt;")=0,"",SUMIFS(BD!$I$3:$I$5001,BD!$A$3:$A$5001,G$3,BD!$B$3:$B$5001,$A$335)))</f>
        <v/>
      </c>
      <c r="H341" s="218" t="str">
        <f>IF(H$3="","",IF(COUNTIFS(BD!$A$3:$A$5001,H$3,BD!$B$3:$B$5001,$A$335,BD!$I$3:$I$5001,"&lt;&gt;")=0,"",SUMIFS(BD!$I$3:$I$5001,BD!$A$3:$A$5001,H$3,BD!$B$3:$B$5001,$A$335)))</f>
        <v/>
      </c>
      <c r="I341" s="218" t="str">
        <f>IF(I$3="","",IF(COUNTIFS(BD!$A$3:$A$5001,I$3,BD!$B$3:$B$5001,$A$335,BD!$I$3:$I$5001,"&lt;&gt;")=0,"",SUMIFS(BD!$I$3:$I$5001,BD!$A$3:$A$5001,I$3,BD!$B$3:$B$5001,$A$335)))</f>
        <v/>
      </c>
      <c r="J341" s="218" t="str">
        <f>IF(J$3="","",IF(COUNTIFS(BD!$A$3:$A$5001,J$3,BD!$B$3:$B$5001,$A$335,BD!$I$3:$I$5001,"&lt;&gt;")=0,"",SUMIFS(BD!$I$3:$I$5001,BD!$A$3:$A$5001,J$3,BD!$B$3:$B$5001,$A$335)))</f>
        <v/>
      </c>
      <c r="K341" s="218" t="str">
        <f>IF(K$3="","",IF(COUNTIFS(BD!$A$3:$A$5001,K$3,BD!$B$3:$B$5001,$A$335,BD!$I$3:$I$5001,"&lt;&gt;")=0,"",SUMIFS(BD!$I$3:$I$5001,BD!$A$3:$A$5001,K$3,BD!$B$3:$B$5001,$A$335)))</f>
        <v/>
      </c>
      <c r="L341" s="218" t="str">
        <f>IF(L$3="","",IF(COUNTIFS(BD!$A$3:$A$5001,L$3,BD!$B$3:$B$5001,$A$335,BD!$I$3:$I$5001,"&lt;&gt;")=0,"",SUMIFS(BD!$I$3:$I$5001,BD!$A$3:$A$5001,L$3,BD!$B$3:$B$5001,$A$335)))</f>
        <v/>
      </c>
      <c r="M341" s="218" t="str">
        <f>IF(M$3="","",IF(COUNTIFS(BD!$A$3:$A$5001,M$3,BD!$B$3:$B$5001,$A$335,BD!$I$3:$I$5001,"&lt;&gt;")=0,"",SUMIFS(BD!$I$3:$I$5001,BD!$A$3:$A$5001,M$3,BD!$B$3:$B$5001,$A$335)))</f>
        <v/>
      </c>
      <c r="N341" s="218" t="str">
        <f>IF(N$3="","",IF(COUNTIFS(BD!$A$3:$A$5001,N$3,BD!$B$3:$B$5001,$A$335,BD!$I$3:$I$5001,"&lt;&gt;")=0,"",SUMIFS(BD!$I$3:$I$5001,BD!$A$3:$A$5001,N$3,BD!$B$3:$B$5001,$A$335)))</f>
        <v/>
      </c>
      <c r="O341" s="218" t="str">
        <f>IF(O$3="","",IF(COUNTIFS(BD!$A$3:$A$5001,O$3,BD!$B$3:$B$5001,$A$335,BD!$I$3:$I$5001,"&lt;&gt;")=0,"",SUMIFS(BD!$I$3:$I$5001,BD!$A$3:$A$5001,O$3,BD!$B$3:$B$5001,$A$335)))</f>
        <v/>
      </c>
      <c r="P341" s="218" t="str">
        <f>IF(P$3="","",IF(COUNTIFS(BD!$A$3:$A$5001,P$3,BD!$B$3:$B$5001,$A$335,BD!$I$3:$I$5001,"&lt;&gt;")=0,"",SUMIFS(BD!$I$3:$I$5001,BD!$A$3:$A$5001,P$3,BD!$B$3:$B$5001,$A$335)))</f>
        <v/>
      </c>
      <c r="Q341" s="218" t="str">
        <f>IF(Q$3="","",IF(COUNTIFS(BD!$A$3:$A$5001,Q$3,BD!$B$3:$B$5001,$A$335,BD!$I$3:$I$5001,"&lt;&gt;")=0,"",SUMIFS(BD!$I$3:$I$5001,BD!$A$3:$A$5001,Q$3,BD!$B$3:$B$5001,$A$335)))</f>
        <v/>
      </c>
      <c r="R341" s="218" t="str">
        <f>IF(R$3="","",IF(COUNTIFS(BD!$A$3:$A$5001,R$3,BD!$B$3:$B$5001,$A$335,BD!$I$3:$I$5001,"&lt;&gt;")=0,"",SUMIFS(BD!$I$3:$I$5001,BD!$A$3:$A$5001,R$3,BD!$B$3:$B$5001,$A$335)))</f>
        <v/>
      </c>
      <c r="S341" s="218" t="str">
        <f>IF(S$3="","",IF(COUNTIFS(BD!$A$3:$A$5001,S$3,BD!$B$3:$B$5001,$A$335,BD!$I$3:$I$5001,"&lt;&gt;")=0,"",SUMIFS(BD!$I$3:$I$5001,BD!$A$3:$A$5001,S$3,BD!$B$3:$B$5001,$A$335)))</f>
        <v/>
      </c>
      <c r="T341" s="218" t="str">
        <f>IF(T$3="","",IF(COUNTIFS(BD!$A$3:$A$5001,T$3,BD!$B$3:$B$5001,$A$335,BD!$I$3:$I$5001,"&lt;&gt;")=0,"",SUMIFS(BD!$I$3:$I$5001,BD!$A$3:$A$5001,T$3,BD!$B$3:$B$5001,$A$335)))</f>
        <v/>
      </c>
      <c r="U341" s="218" t="str">
        <f>IF(U$3="","",IF(COUNTIFS(BD!$A$3:$A$5001,U$3,BD!$B$3:$B$5001,$A$335,BD!$I$3:$I$5001,"&lt;&gt;")=0,"",SUMIFS(BD!$I$3:$I$5001,BD!$A$3:$A$5001,U$3,BD!$B$3:$B$5001,$A$335)))</f>
        <v/>
      </c>
      <c r="V341" s="218" t="str">
        <f>IF(V$3="","",IF(COUNTIFS(BD!$A$3:$A$5001,V$3,BD!$B$3:$B$5001,$A$335,BD!$I$3:$I$5001,"&lt;&gt;")=0,"",SUMIFS(BD!$I$3:$I$5001,BD!$A$3:$A$5001,V$3,BD!$B$3:$B$5001,$A$335)))</f>
        <v/>
      </c>
      <c r="W341" s="218" t="str">
        <f>IF(W$3="","",IF(COUNTIFS(BD!$A$3:$A$5001,W$3,BD!$B$3:$B$5001,$A$335,BD!$I$3:$I$5001,"&lt;&gt;")=0,"",SUMIFS(BD!$I$3:$I$5001,BD!$A$3:$A$5001,W$3,BD!$B$3:$B$5001,$A$335)))</f>
        <v/>
      </c>
      <c r="X341" s="218" t="str">
        <f>IF(X$3="","",IF(COUNTIFS(BD!$A$3:$A$5001,X$3,BD!$B$3:$B$5001,$A$335,BD!$I$3:$I$5001,"&lt;&gt;")=0,"",SUMIFS(BD!$I$3:$I$5001,BD!$A$3:$A$5001,X$3,BD!$B$3:$B$5001,$A$335)))</f>
        <v/>
      </c>
      <c r="Y341" s="218" t="str">
        <f>IF(Y$3="","",IF(COUNTIFS(BD!$A$3:$A$5001,Y$3,BD!$B$3:$B$5001,$A$335,BD!$I$3:$I$5001,"&lt;&gt;")=0,"",SUMIFS(BD!$I$3:$I$5001,BD!$A$3:$A$5001,Y$3,BD!$B$3:$B$5001,$A$335)))</f>
        <v/>
      </c>
      <c r="Z341" s="218" t="str">
        <f>IF(Z$3="","",IF(COUNTIFS(BD!$A$3:$A$5001,Z$3,BD!$B$3:$B$5001,$A$335,BD!$I$3:$I$5001,"&lt;&gt;")=0,"",SUMIFS(BD!$I$3:$I$5001,BD!$A$3:$A$5001,Z$3,BD!$B$3:$B$5001,$A$335)))</f>
        <v/>
      </c>
      <c r="AA341" s="218" t="str">
        <f>IF(AA$3="","",IF(COUNTIFS(BD!$A$3:$A$5001,AA$3,BD!$B$3:$B$5001,$A$335,BD!$I$3:$I$5001,"&lt;&gt;")=0,"",SUMIFS(BD!$I$3:$I$5001,BD!$A$3:$A$5001,AA$3,BD!$B$3:$B$5001,$A$335)))</f>
        <v/>
      </c>
      <c r="AB341" s="218" t="str">
        <f>IF(AB$3="","",IF(COUNTIFS(BD!$A$3:$A$5001,AB$3,BD!$B$3:$B$5001,$A$335,BD!$I$3:$I$5001,"&lt;&gt;")=0,"",SUMIFS(BD!$I$3:$I$5001,BD!$A$3:$A$5001,AB$3,BD!$B$3:$B$5001,$A$335)))</f>
        <v/>
      </c>
      <c r="AC341" s="218" t="str">
        <f>IF(AC$3="","",IF(COUNTIFS(BD!$A$3:$A$5001,AC$3,BD!$B$3:$B$5001,$A$335,BD!$I$3:$I$5001,"&lt;&gt;")=0,"",SUMIFS(BD!$I$3:$I$5001,BD!$A$3:$A$5001,AC$3,BD!$B$3:$B$5001,$A$335)))</f>
        <v/>
      </c>
      <c r="AD341" s="218" t="str">
        <f>IF(AD$3="","",IF(COUNTIFS(BD!$A$3:$A$5001,AD$3,BD!$B$3:$B$5001,$A$335,BD!$I$3:$I$5001,"&lt;&gt;")=0,"",SUMIFS(BD!$I$3:$I$5001,BD!$A$3:$A$5001,AD$3,BD!$B$3:$B$5001,$A$335)))</f>
        <v/>
      </c>
      <c r="AE341" s="218" t="str">
        <f>IF(AE$3="","",IF(COUNTIFS(BD!$A$3:$A$5001,AE$3,BD!$B$3:$B$5001,$A$335,BD!$I$3:$I$5001,"&lt;&gt;")=0,"",SUMIFS(BD!$I$3:$I$5001,BD!$A$3:$A$5001,AE$3,BD!$B$3:$B$5001,$A$335)))</f>
        <v/>
      </c>
      <c r="AF341" s="218" t="str">
        <f>IF(AF$3="","",IF(COUNTIFS(BD!$A$3:$A$5001,AF$3,BD!$B$3:$B$5001,$A$335,BD!$I$3:$I$5001,"&lt;&gt;")=0,"",SUMIFS(BD!$I$3:$I$5001,BD!$A$3:$A$5001,AF$3,BD!$B$3:$B$5001,$A$335)))</f>
        <v/>
      </c>
      <c r="AG341" s="218" t="str">
        <f>IF(AG$3="","",IF(COUNTIFS(BD!$A$3:$A$5001,AG$3,BD!$B$3:$B$5001,$A$335,BD!$I$3:$I$5001,"&lt;&gt;")=0,"",SUMIFS(BD!$I$3:$I$5001,BD!$A$3:$A$5001,AG$3,BD!$B$3:$B$5001,$A$335)))</f>
        <v/>
      </c>
      <c r="AH341" s="218" t="str">
        <f>IF(AH$3="","",IF(COUNTIFS(BD!$A$3:$A$5001,AH$3,BD!$B$3:$B$5001,$A$335,BD!$I$3:$I$5001,"&lt;&gt;")=0,"",SUMIFS(BD!$I$3:$I$5001,BD!$A$3:$A$5001,AH$3,BD!$B$3:$B$5001,$A$335)))</f>
        <v/>
      </c>
      <c r="AI341" s="218" t="str">
        <f>IF(AI$3="","",IF(COUNTIFS(BD!$A$3:$A$5001,AI$3,BD!$B$3:$B$5001,$A$335,BD!$I$3:$I$5001,"&lt;&gt;")=0,"",SUMIFS(BD!$I$3:$I$5001,BD!$A$3:$A$5001,AI$3,BD!$B$3:$B$5001,$A$335)))</f>
        <v/>
      </c>
      <c r="AJ341" s="219" t="str">
        <f>IF(AJ$3="","",IF(COUNTIFS(BD!$A$3:$A$5001,AJ$3,BD!$B$3:$B$5001,$A$335,BD!$I$3:$I$5001,"&lt;&gt;")=0,"",SUMIFS(BD!$I$3:$I$5001,BD!$A$3:$A$5001,AJ$3,BD!$B$3:$B$5001,$A$335)))</f>
        <v/>
      </c>
      <c r="AK341" s="220" t="str">
        <f>IF(COUNT(F341:AJ341)=0,"",SUM(F341:AJ341))</f>
        <v/>
      </c>
    </row>
    <row r="342" ht="15.75" customHeight="1" hidden="1">
      <c r="A342" s="261"/>
      <c r="B342" s="256"/>
      <c r="C342" s="214" t="inlineStr">
        <is>
          <t xml:space="preserve">Caixas Fechadas</t>
        </is>
      </c>
      <c r="D342" s="215" t="str">
        <f>IFERROR(1/(1/INDEX(BD!$AL$30:$BF$30,MATCH($A$335,BD!$AL$22:$BF$22,0))),"")</f>
        <v/>
      </c>
      <c r="E342" s="216"/>
      <c r="F342" s="217" t="str">
        <f>IF(F$3="","",IF(COUNTIFS(BD!$A$3:$A$5001,F$3,BD!$B$3:$B$5001,$A$335,BD!$J$3:$J$5001,"&lt;&gt;")=0,"",SUMIFS(BD!$J$3:$J$5001,BD!$A$3:$A$5001,F$3,BD!$B$3:$B$5001,$A$335)))</f>
        <v/>
      </c>
      <c r="G342" s="218" t="str">
        <f>IF(G$3="","",IF(COUNTIFS(BD!$A$3:$A$5001,G$3,BD!$B$3:$B$5001,$A$335,BD!$J$3:$J$5001,"&lt;&gt;")=0,"",SUMIFS(BD!$J$3:$J$5001,BD!$A$3:$A$5001,G$3,BD!$B$3:$B$5001,$A$335)))</f>
        <v/>
      </c>
      <c r="H342" s="218" t="str">
        <f>IF(H$3="","",IF(COUNTIFS(BD!$A$3:$A$5001,H$3,BD!$B$3:$B$5001,$A$335,BD!$J$3:$J$5001,"&lt;&gt;")=0,"",SUMIFS(BD!$J$3:$J$5001,BD!$A$3:$A$5001,H$3,BD!$B$3:$B$5001,$A$335)))</f>
        <v/>
      </c>
      <c r="I342" s="218" t="str">
        <f>IF(I$3="","",IF(COUNTIFS(BD!$A$3:$A$5001,I$3,BD!$B$3:$B$5001,$A$335,BD!$J$3:$J$5001,"&lt;&gt;")=0,"",SUMIFS(BD!$J$3:$J$5001,BD!$A$3:$A$5001,I$3,BD!$B$3:$B$5001,$A$335)))</f>
        <v/>
      </c>
      <c r="J342" s="218" t="str">
        <f>IF(J$3="","",IF(COUNTIFS(BD!$A$3:$A$5001,J$3,BD!$B$3:$B$5001,$A$335,BD!$J$3:$J$5001,"&lt;&gt;")=0,"",SUMIFS(BD!$J$3:$J$5001,BD!$A$3:$A$5001,J$3,BD!$B$3:$B$5001,$A$335)))</f>
        <v/>
      </c>
      <c r="K342" s="218" t="str">
        <f>IF(K$3="","",IF(COUNTIFS(BD!$A$3:$A$5001,K$3,BD!$B$3:$B$5001,$A$335,BD!$J$3:$J$5001,"&lt;&gt;")=0,"",SUMIFS(BD!$J$3:$J$5001,BD!$A$3:$A$5001,K$3,BD!$B$3:$B$5001,$A$335)))</f>
        <v/>
      </c>
      <c r="L342" s="218" t="str">
        <f>IF(L$3="","",IF(COUNTIFS(BD!$A$3:$A$5001,L$3,BD!$B$3:$B$5001,$A$335,BD!$J$3:$J$5001,"&lt;&gt;")=0,"",SUMIFS(BD!$J$3:$J$5001,BD!$A$3:$A$5001,L$3,BD!$B$3:$B$5001,$A$335)))</f>
        <v/>
      </c>
      <c r="M342" s="218" t="str">
        <f>IF(M$3="","",IF(COUNTIFS(BD!$A$3:$A$5001,M$3,BD!$B$3:$B$5001,$A$335,BD!$J$3:$J$5001,"&lt;&gt;")=0,"",SUMIFS(BD!$J$3:$J$5001,BD!$A$3:$A$5001,M$3,BD!$B$3:$B$5001,$A$335)))</f>
        <v/>
      </c>
      <c r="N342" s="218" t="str">
        <f>IF(N$3="","",IF(COUNTIFS(BD!$A$3:$A$5001,N$3,BD!$B$3:$B$5001,$A$335,BD!$J$3:$J$5001,"&lt;&gt;")=0,"",SUMIFS(BD!$J$3:$J$5001,BD!$A$3:$A$5001,N$3,BD!$B$3:$B$5001,$A$335)))</f>
        <v/>
      </c>
      <c r="O342" s="218" t="str">
        <f>IF(O$3="","",IF(COUNTIFS(BD!$A$3:$A$5001,O$3,BD!$B$3:$B$5001,$A$335,BD!$J$3:$J$5001,"&lt;&gt;")=0,"",SUMIFS(BD!$J$3:$J$5001,BD!$A$3:$A$5001,O$3,BD!$B$3:$B$5001,$A$335)))</f>
        <v/>
      </c>
      <c r="P342" s="218" t="str">
        <f>IF(P$3="","",IF(COUNTIFS(BD!$A$3:$A$5001,P$3,BD!$B$3:$B$5001,$A$335,BD!$J$3:$J$5001,"&lt;&gt;")=0,"",SUMIFS(BD!$J$3:$J$5001,BD!$A$3:$A$5001,P$3,BD!$B$3:$B$5001,$A$335)))</f>
        <v/>
      </c>
      <c r="Q342" s="218" t="str">
        <f>IF(Q$3="","",IF(COUNTIFS(BD!$A$3:$A$5001,Q$3,BD!$B$3:$B$5001,$A$335,BD!$J$3:$J$5001,"&lt;&gt;")=0,"",SUMIFS(BD!$J$3:$J$5001,BD!$A$3:$A$5001,Q$3,BD!$B$3:$B$5001,$A$335)))</f>
        <v/>
      </c>
      <c r="R342" s="218" t="str">
        <f>IF(R$3="","",IF(COUNTIFS(BD!$A$3:$A$5001,R$3,BD!$B$3:$B$5001,$A$335,BD!$J$3:$J$5001,"&lt;&gt;")=0,"",SUMIFS(BD!$J$3:$J$5001,BD!$A$3:$A$5001,R$3,BD!$B$3:$B$5001,$A$335)))</f>
        <v/>
      </c>
      <c r="S342" s="218" t="str">
        <f>IF(S$3="","",IF(COUNTIFS(BD!$A$3:$A$5001,S$3,BD!$B$3:$B$5001,$A$335,BD!$J$3:$J$5001,"&lt;&gt;")=0,"",SUMIFS(BD!$J$3:$J$5001,BD!$A$3:$A$5001,S$3,BD!$B$3:$B$5001,$A$335)))</f>
        <v/>
      </c>
      <c r="T342" s="218" t="str">
        <f>IF(T$3="","",IF(COUNTIFS(BD!$A$3:$A$5001,T$3,BD!$B$3:$B$5001,$A$335,BD!$J$3:$J$5001,"&lt;&gt;")=0,"",SUMIFS(BD!$J$3:$J$5001,BD!$A$3:$A$5001,T$3,BD!$B$3:$B$5001,$A$335)))</f>
        <v/>
      </c>
      <c r="U342" s="218" t="str">
        <f>IF(U$3="","",IF(COUNTIFS(BD!$A$3:$A$5001,U$3,BD!$B$3:$B$5001,$A$335,BD!$J$3:$J$5001,"&lt;&gt;")=0,"",SUMIFS(BD!$J$3:$J$5001,BD!$A$3:$A$5001,U$3,BD!$B$3:$B$5001,$A$335)))</f>
        <v/>
      </c>
      <c r="V342" s="218" t="str">
        <f>IF(V$3="","",IF(COUNTIFS(BD!$A$3:$A$5001,V$3,BD!$B$3:$B$5001,$A$335,BD!$J$3:$J$5001,"&lt;&gt;")=0,"",SUMIFS(BD!$J$3:$J$5001,BD!$A$3:$A$5001,V$3,BD!$B$3:$B$5001,$A$335)))</f>
        <v/>
      </c>
      <c r="W342" s="218" t="str">
        <f>IF(W$3="","",IF(COUNTIFS(BD!$A$3:$A$5001,W$3,BD!$B$3:$B$5001,$A$335,BD!$J$3:$J$5001,"&lt;&gt;")=0,"",SUMIFS(BD!$J$3:$J$5001,BD!$A$3:$A$5001,W$3,BD!$B$3:$B$5001,$A$335)))</f>
        <v/>
      </c>
      <c r="X342" s="218" t="str">
        <f>IF(X$3="","",IF(COUNTIFS(BD!$A$3:$A$5001,X$3,BD!$B$3:$B$5001,$A$335,BD!$J$3:$J$5001,"&lt;&gt;")=0,"",SUMIFS(BD!$J$3:$J$5001,BD!$A$3:$A$5001,X$3,BD!$B$3:$B$5001,$A$335)))</f>
        <v/>
      </c>
      <c r="Y342" s="218" t="str">
        <f>IF(Y$3="","",IF(COUNTIFS(BD!$A$3:$A$5001,Y$3,BD!$B$3:$B$5001,$A$335,BD!$J$3:$J$5001,"&lt;&gt;")=0,"",SUMIFS(BD!$J$3:$J$5001,BD!$A$3:$A$5001,Y$3,BD!$B$3:$B$5001,$A$335)))</f>
        <v/>
      </c>
      <c r="Z342" s="218" t="str">
        <f>IF(Z$3="","",IF(COUNTIFS(BD!$A$3:$A$5001,Z$3,BD!$B$3:$B$5001,$A$335,BD!$J$3:$J$5001,"&lt;&gt;")=0,"",SUMIFS(BD!$J$3:$J$5001,BD!$A$3:$A$5001,Z$3,BD!$B$3:$B$5001,$A$335)))</f>
        <v/>
      </c>
      <c r="AA342" s="218" t="str">
        <f>IF(AA$3="","",IF(COUNTIFS(BD!$A$3:$A$5001,AA$3,BD!$B$3:$B$5001,$A$335,BD!$J$3:$J$5001,"&lt;&gt;")=0,"",SUMIFS(BD!$J$3:$J$5001,BD!$A$3:$A$5001,AA$3,BD!$B$3:$B$5001,$A$335)))</f>
        <v/>
      </c>
      <c r="AB342" s="218" t="str">
        <f>IF(AB$3="","",IF(COUNTIFS(BD!$A$3:$A$5001,AB$3,BD!$B$3:$B$5001,$A$335,BD!$J$3:$J$5001,"&lt;&gt;")=0,"",SUMIFS(BD!$J$3:$J$5001,BD!$A$3:$A$5001,AB$3,BD!$B$3:$B$5001,$A$335)))</f>
        <v/>
      </c>
      <c r="AC342" s="218" t="str">
        <f>IF(AC$3="","",IF(COUNTIFS(BD!$A$3:$A$5001,AC$3,BD!$B$3:$B$5001,$A$335,BD!$J$3:$J$5001,"&lt;&gt;")=0,"",SUMIFS(BD!$J$3:$J$5001,BD!$A$3:$A$5001,AC$3,BD!$B$3:$B$5001,$A$335)))</f>
        <v/>
      </c>
      <c r="AD342" s="218" t="str">
        <f>IF(AD$3="","",IF(COUNTIFS(BD!$A$3:$A$5001,AD$3,BD!$B$3:$B$5001,$A$335,BD!$J$3:$J$5001,"&lt;&gt;")=0,"",SUMIFS(BD!$J$3:$J$5001,BD!$A$3:$A$5001,AD$3,BD!$B$3:$B$5001,$A$335)))</f>
        <v/>
      </c>
      <c r="AE342" s="218" t="str">
        <f>IF(AE$3="","",IF(COUNTIFS(BD!$A$3:$A$5001,AE$3,BD!$B$3:$B$5001,$A$335,BD!$J$3:$J$5001,"&lt;&gt;")=0,"",SUMIFS(BD!$J$3:$J$5001,BD!$A$3:$A$5001,AE$3,BD!$B$3:$B$5001,$A$335)))</f>
        <v/>
      </c>
      <c r="AF342" s="218" t="str">
        <f>IF(AF$3="","",IF(COUNTIFS(BD!$A$3:$A$5001,AF$3,BD!$B$3:$B$5001,$A$335,BD!$J$3:$J$5001,"&lt;&gt;")=0,"",SUMIFS(BD!$J$3:$J$5001,BD!$A$3:$A$5001,AF$3,BD!$B$3:$B$5001,$A$335)))</f>
        <v/>
      </c>
      <c r="AG342" s="218" t="str">
        <f>IF(AG$3="","",IF(COUNTIFS(BD!$A$3:$A$5001,AG$3,BD!$B$3:$B$5001,$A$335,BD!$J$3:$J$5001,"&lt;&gt;")=0,"",SUMIFS(BD!$J$3:$J$5001,BD!$A$3:$A$5001,AG$3,BD!$B$3:$B$5001,$A$335)))</f>
        <v/>
      </c>
      <c r="AH342" s="218" t="str">
        <f>IF(AH$3="","",IF(COUNTIFS(BD!$A$3:$A$5001,AH$3,BD!$B$3:$B$5001,$A$335,BD!$J$3:$J$5001,"&lt;&gt;")=0,"",SUMIFS(BD!$J$3:$J$5001,BD!$A$3:$A$5001,AH$3,BD!$B$3:$B$5001,$A$335)))</f>
        <v/>
      </c>
      <c r="AI342" s="218" t="str">
        <f>IF(AI$3="","",IF(COUNTIFS(BD!$A$3:$A$5001,AI$3,BD!$B$3:$B$5001,$A$335,BD!$J$3:$J$5001,"&lt;&gt;")=0,"",SUMIFS(BD!$J$3:$J$5001,BD!$A$3:$A$5001,AI$3,BD!$B$3:$B$5001,$A$335)))</f>
        <v/>
      </c>
      <c r="AJ342" s="219" t="str">
        <f>IF(AJ$3="","",IF(COUNTIFS(BD!$A$3:$A$5001,AJ$3,BD!$B$3:$B$5001,$A$335,BD!$J$3:$J$5001,"&lt;&gt;")=0,"",SUMIFS(BD!$J$3:$J$5001,BD!$A$3:$A$5001,AJ$3,BD!$B$3:$B$5001,$A$335)))</f>
        <v/>
      </c>
      <c r="AK342" s="220" t="str">
        <f>IF(COUNT(F342:AJ342)=0,"",SUM(F342:AJ342))</f>
        <v/>
      </c>
    </row>
    <row r="343" ht="15.75" customHeight="1" hidden="1">
      <c r="A343" s="261"/>
      <c r="B343" s="250"/>
      <c r="C343" s="175" t="inlineStr">
        <is>
          <t xml:space="preserve">Caixas Mistas Recebidas</t>
        </is>
      </c>
      <c r="D343" s="176" t="str">
        <f>IFERROR(1/(1/INDEX(BD!$AL$31:$BF$31,MATCH($A$335,BD!$AL$22:$BF$22,0))),"")</f>
        <v/>
      </c>
      <c r="E343" s="177"/>
      <c r="F343" s="178" t="str">
        <f>IF(F$3="","",IF(COUNTIFS(BD!$A$3:$A$5001,F$3,BD!$B$3:$B$5001,$A$335,BD!$K$3:$K$5001,"&lt;&gt;")=0,"",SUMIFS(BD!$K$3:$K$5001,BD!$A$3:$A$5001,F$3,BD!$B$3:$B$5001,$A$335)))</f>
        <v/>
      </c>
      <c r="G343" s="179" t="str">
        <f>IF(G$3="","",IF(COUNTIFS(BD!$A$3:$A$5001,G$3,BD!$B$3:$B$5001,$A$335,BD!$K$3:$K$5001,"&lt;&gt;")=0,"",SUMIFS(BD!$K$3:$K$5001,BD!$A$3:$A$5001,G$3,BD!$B$3:$B$5001,$A$335)))</f>
        <v/>
      </c>
      <c r="H343" s="179" t="str">
        <f>IF(H$3="","",IF(COUNTIFS(BD!$A$3:$A$5001,H$3,BD!$B$3:$B$5001,$A$335,BD!$K$3:$K$5001,"&lt;&gt;")=0,"",SUMIFS(BD!$K$3:$K$5001,BD!$A$3:$A$5001,H$3,BD!$B$3:$B$5001,$A$335)))</f>
        <v/>
      </c>
      <c r="I343" s="179" t="str">
        <f>IF(I$3="","",IF(COUNTIFS(BD!$A$3:$A$5001,I$3,BD!$B$3:$B$5001,$A$335,BD!$K$3:$K$5001,"&lt;&gt;")=0,"",SUMIFS(BD!$K$3:$K$5001,BD!$A$3:$A$5001,I$3,BD!$B$3:$B$5001,$A$335)))</f>
        <v/>
      </c>
      <c r="J343" s="179" t="str">
        <f>IF(J$3="","",IF(COUNTIFS(BD!$A$3:$A$5001,J$3,BD!$B$3:$B$5001,$A$335,BD!$K$3:$K$5001,"&lt;&gt;")=0,"",SUMIFS(BD!$K$3:$K$5001,BD!$A$3:$A$5001,J$3,BD!$B$3:$B$5001,$A$335)))</f>
        <v/>
      </c>
      <c r="K343" s="179" t="str">
        <f>IF(K$3="","",IF(COUNTIFS(BD!$A$3:$A$5001,K$3,BD!$B$3:$B$5001,$A$335,BD!$K$3:$K$5001,"&lt;&gt;")=0,"",SUMIFS(BD!$K$3:$K$5001,BD!$A$3:$A$5001,K$3,BD!$B$3:$B$5001,$A$335)))</f>
        <v/>
      </c>
      <c r="L343" s="179" t="str">
        <f>IF(L$3="","",IF(COUNTIFS(BD!$A$3:$A$5001,L$3,BD!$B$3:$B$5001,$A$335,BD!$K$3:$K$5001,"&lt;&gt;")=0,"",SUMIFS(BD!$K$3:$K$5001,BD!$A$3:$A$5001,L$3,BD!$B$3:$B$5001,$A$335)))</f>
        <v/>
      </c>
      <c r="M343" s="179" t="str">
        <f>IF(M$3="","",IF(COUNTIFS(BD!$A$3:$A$5001,M$3,BD!$B$3:$B$5001,$A$335,BD!$K$3:$K$5001,"&lt;&gt;")=0,"",SUMIFS(BD!$K$3:$K$5001,BD!$A$3:$A$5001,M$3,BD!$B$3:$B$5001,$A$335)))</f>
        <v/>
      </c>
      <c r="N343" s="179" t="str">
        <f>IF(N$3="","",IF(COUNTIFS(BD!$A$3:$A$5001,N$3,BD!$B$3:$B$5001,$A$335,BD!$K$3:$K$5001,"&lt;&gt;")=0,"",SUMIFS(BD!$K$3:$K$5001,BD!$A$3:$A$5001,N$3,BD!$B$3:$B$5001,$A$335)))</f>
        <v/>
      </c>
      <c r="O343" s="179" t="str">
        <f>IF(O$3="","",IF(COUNTIFS(BD!$A$3:$A$5001,O$3,BD!$B$3:$B$5001,$A$335,BD!$K$3:$K$5001,"&lt;&gt;")=0,"",SUMIFS(BD!$K$3:$K$5001,BD!$A$3:$A$5001,O$3,BD!$B$3:$B$5001,$A$335)))</f>
        <v/>
      </c>
      <c r="P343" s="179" t="str">
        <f>IF(P$3="","",IF(COUNTIFS(BD!$A$3:$A$5001,P$3,BD!$B$3:$B$5001,$A$335,BD!$K$3:$K$5001,"&lt;&gt;")=0,"",SUMIFS(BD!$K$3:$K$5001,BD!$A$3:$A$5001,P$3,BD!$B$3:$B$5001,$A$335)))</f>
        <v/>
      </c>
      <c r="Q343" s="179" t="str">
        <f>IF(Q$3="","",IF(COUNTIFS(BD!$A$3:$A$5001,Q$3,BD!$B$3:$B$5001,$A$335,BD!$K$3:$K$5001,"&lt;&gt;")=0,"",SUMIFS(BD!$K$3:$K$5001,BD!$A$3:$A$5001,Q$3,BD!$B$3:$B$5001,$A$335)))</f>
        <v/>
      </c>
      <c r="R343" s="179" t="str">
        <f>IF(R$3="","",IF(COUNTIFS(BD!$A$3:$A$5001,R$3,BD!$B$3:$B$5001,$A$335,BD!$K$3:$K$5001,"&lt;&gt;")=0,"",SUMIFS(BD!$K$3:$K$5001,BD!$A$3:$A$5001,R$3,BD!$B$3:$B$5001,$A$335)))</f>
        <v/>
      </c>
      <c r="S343" s="179" t="str">
        <f>IF(S$3="","",IF(COUNTIFS(BD!$A$3:$A$5001,S$3,BD!$B$3:$B$5001,$A$335,BD!$K$3:$K$5001,"&lt;&gt;")=0,"",SUMIFS(BD!$K$3:$K$5001,BD!$A$3:$A$5001,S$3,BD!$B$3:$B$5001,$A$335)))</f>
        <v/>
      </c>
      <c r="T343" s="179" t="str">
        <f>IF(T$3="","",IF(COUNTIFS(BD!$A$3:$A$5001,T$3,BD!$B$3:$B$5001,$A$335,BD!$K$3:$K$5001,"&lt;&gt;")=0,"",SUMIFS(BD!$K$3:$K$5001,BD!$A$3:$A$5001,T$3,BD!$B$3:$B$5001,$A$335)))</f>
        <v/>
      </c>
      <c r="U343" s="179" t="str">
        <f>IF(U$3="","",IF(COUNTIFS(BD!$A$3:$A$5001,U$3,BD!$B$3:$B$5001,$A$335,BD!$K$3:$K$5001,"&lt;&gt;")=0,"",SUMIFS(BD!$K$3:$K$5001,BD!$A$3:$A$5001,U$3,BD!$B$3:$B$5001,$A$335)))</f>
        <v/>
      </c>
      <c r="V343" s="179" t="str">
        <f>IF(V$3="","",IF(COUNTIFS(BD!$A$3:$A$5001,V$3,BD!$B$3:$B$5001,$A$335,BD!$K$3:$K$5001,"&lt;&gt;")=0,"",SUMIFS(BD!$K$3:$K$5001,BD!$A$3:$A$5001,V$3,BD!$B$3:$B$5001,$A$335)))</f>
        <v/>
      </c>
      <c r="W343" s="179" t="str">
        <f>IF(W$3="","",IF(COUNTIFS(BD!$A$3:$A$5001,W$3,BD!$B$3:$B$5001,$A$335,BD!$K$3:$K$5001,"&lt;&gt;")=0,"",SUMIFS(BD!$K$3:$K$5001,BD!$A$3:$A$5001,W$3,BD!$B$3:$B$5001,$A$335)))</f>
        <v/>
      </c>
      <c r="X343" s="179" t="str">
        <f>IF(X$3="","",IF(COUNTIFS(BD!$A$3:$A$5001,X$3,BD!$B$3:$B$5001,$A$335,BD!$K$3:$K$5001,"&lt;&gt;")=0,"",SUMIFS(BD!$K$3:$K$5001,BD!$A$3:$A$5001,X$3,BD!$B$3:$B$5001,$A$335)))</f>
        <v/>
      </c>
      <c r="Y343" s="179" t="str">
        <f>IF(Y$3="","",IF(COUNTIFS(BD!$A$3:$A$5001,Y$3,BD!$B$3:$B$5001,$A$335,BD!$K$3:$K$5001,"&lt;&gt;")=0,"",SUMIFS(BD!$K$3:$K$5001,BD!$A$3:$A$5001,Y$3,BD!$B$3:$B$5001,$A$335)))</f>
        <v/>
      </c>
      <c r="Z343" s="179" t="str">
        <f>IF(Z$3="","",IF(COUNTIFS(BD!$A$3:$A$5001,Z$3,BD!$B$3:$B$5001,$A$335,BD!$K$3:$K$5001,"&lt;&gt;")=0,"",SUMIFS(BD!$K$3:$K$5001,BD!$A$3:$A$5001,Z$3,BD!$B$3:$B$5001,$A$335)))</f>
        <v/>
      </c>
      <c r="AA343" s="179" t="str">
        <f>IF(AA$3="","",IF(COUNTIFS(BD!$A$3:$A$5001,AA$3,BD!$B$3:$B$5001,$A$335,BD!$K$3:$K$5001,"&lt;&gt;")=0,"",SUMIFS(BD!$K$3:$K$5001,BD!$A$3:$A$5001,AA$3,BD!$B$3:$B$5001,$A$335)))</f>
        <v/>
      </c>
      <c r="AB343" s="179" t="str">
        <f>IF(AB$3="","",IF(COUNTIFS(BD!$A$3:$A$5001,AB$3,BD!$B$3:$B$5001,$A$335,BD!$K$3:$K$5001,"&lt;&gt;")=0,"",SUMIFS(BD!$K$3:$K$5001,BD!$A$3:$A$5001,AB$3,BD!$B$3:$B$5001,$A$335)))</f>
        <v/>
      </c>
      <c r="AC343" s="179" t="str">
        <f>IF(AC$3="","",IF(COUNTIFS(BD!$A$3:$A$5001,AC$3,BD!$B$3:$B$5001,$A$335,BD!$K$3:$K$5001,"&lt;&gt;")=0,"",SUMIFS(BD!$K$3:$K$5001,BD!$A$3:$A$5001,AC$3,BD!$B$3:$B$5001,$A$335)))</f>
        <v/>
      </c>
      <c r="AD343" s="179" t="str">
        <f>IF(AD$3="","",IF(COUNTIFS(BD!$A$3:$A$5001,AD$3,BD!$B$3:$B$5001,$A$335,BD!$K$3:$K$5001,"&lt;&gt;")=0,"",SUMIFS(BD!$K$3:$K$5001,BD!$A$3:$A$5001,AD$3,BD!$B$3:$B$5001,$A$335)))</f>
        <v/>
      </c>
      <c r="AE343" s="179" t="str">
        <f>IF(AE$3="","",IF(COUNTIFS(BD!$A$3:$A$5001,AE$3,BD!$B$3:$B$5001,$A$335,BD!$K$3:$K$5001,"&lt;&gt;")=0,"",SUMIFS(BD!$K$3:$K$5001,BD!$A$3:$A$5001,AE$3,BD!$B$3:$B$5001,$A$335)))</f>
        <v/>
      </c>
      <c r="AF343" s="179" t="str">
        <f>IF(AF$3="","",IF(COUNTIFS(BD!$A$3:$A$5001,AF$3,BD!$B$3:$B$5001,$A$335,BD!$K$3:$K$5001,"&lt;&gt;")=0,"",SUMIFS(BD!$K$3:$K$5001,BD!$A$3:$A$5001,AF$3,BD!$B$3:$B$5001,$A$335)))</f>
        <v/>
      </c>
      <c r="AG343" s="179" t="str">
        <f>IF(AG$3="","",IF(COUNTIFS(BD!$A$3:$A$5001,AG$3,BD!$B$3:$B$5001,$A$335,BD!$K$3:$K$5001,"&lt;&gt;")=0,"",SUMIFS(BD!$K$3:$K$5001,BD!$A$3:$A$5001,AG$3,BD!$B$3:$B$5001,$A$335)))</f>
        <v/>
      </c>
      <c r="AH343" s="179" t="str">
        <f>IF(AH$3="","",IF(COUNTIFS(BD!$A$3:$A$5001,AH$3,BD!$B$3:$B$5001,$A$335,BD!$K$3:$K$5001,"&lt;&gt;")=0,"",SUMIFS(BD!$K$3:$K$5001,BD!$A$3:$A$5001,AH$3,BD!$B$3:$B$5001,$A$335)))</f>
        <v/>
      </c>
      <c r="AI343" s="179" t="str">
        <f>IF(AI$3="","",IF(COUNTIFS(BD!$A$3:$A$5001,AI$3,BD!$B$3:$B$5001,$A$335,BD!$K$3:$K$5001,"&lt;&gt;")=0,"",SUMIFS(BD!$K$3:$K$5001,BD!$A$3:$A$5001,AI$3,BD!$B$3:$B$5001,$A$335)))</f>
        <v/>
      </c>
      <c r="AJ343" s="180" t="str">
        <f>IF(AJ$3="","",IF(COUNTIFS(BD!$A$3:$A$5001,AJ$3,BD!$B$3:$B$5001,$A$335,BD!$K$3:$K$5001,"&lt;&gt;")=0,"",SUMIFS(BD!$K$3:$K$5001,BD!$A$3:$A$5001,AJ$3,BD!$B$3:$B$5001,$A$335)))</f>
        <v/>
      </c>
      <c r="AK343" s="176" t="str">
        <f>IF(COUNT(F343:AJ343)=0,"",SUM(F343:AJ343))</f>
        <v/>
      </c>
    </row>
    <row r="344" ht="15.75" customHeight="1" hidden="1">
      <c r="A344" s="261"/>
      <c r="B344" s="251" t="inlineStr">
        <is>
          <t xml:space="preserve">OUT</t>
        </is>
      </c>
      <c r="C344" s="181" t="inlineStr">
        <is>
          <t xml:space="preserve">Veículos Expedidos</t>
        </is>
      </c>
      <c r="D344" s="182" t="str">
        <f>IFERROR(1/(1/INDEX(BD!$AL$32:$BF$32,MATCH($A$335,BD!$AL$22:$BF$22,0))),"")</f>
        <v/>
      </c>
      <c r="E344" s="183"/>
      <c r="F344" s="184" t="str">
        <f>IF(F$3="","",IF(COUNTIFS(BD!$A$3:$A$5001,F$3,BD!$B$3:$B$5001,$A$335,BD!$L$3:$L$5001,"&lt;&gt;")=0,"",SUMIFS(BD!$L$3:$L$5001,BD!$A$3:$A$5001,F$3,BD!$B$3:$B$5001,$A$335)))</f>
        <v/>
      </c>
      <c r="G344" s="185" t="str">
        <f>IF(G$3="","",IF(COUNTIFS(BD!$A$3:$A$5001,G$3,BD!$B$3:$B$5001,$A$335,BD!$L$3:$L$5001,"&lt;&gt;")=0,"",SUMIFS(BD!$L$3:$L$5001,BD!$A$3:$A$5001,G$3,BD!$B$3:$B$5001,$A$335)))</f>
        <v/>
      </c>
      <c r="H344" s="185" t="str">
        <f>IF(H$3="","",IF(COUNTIFS(BD!$A$3:$A$5001,H$3,BD!$B$3:$B$5001,$A$335,BD!$L$3:$L$5001,"&lt;&gt;")=0,"",SUMIFS(BD!$L$3:$L$5001,BD!$A$3:$A$5001,H$3,BD!$B$3:$B$5001,$A$335)))</f>
        <v/>
      </c>
      <c r="I344" s="185" t="str">
        <f>IF(I$3="","",IF(COUNTIFS(BD!$A$3:$A$5001,I$3,BD!$B$3:$B$5001,$A$335,BD!$L$3:$L$5001,"&lt;&gt;")=0,"",SUMIFS(BD!$L$3:$L$5001,BD!$A$3:$A$5001,I$3,BD!$B$3:$B$5001,$A$335)))</f>
        <v/>
      </c>
      <c r="J344" s="185" t="str">
        <f>IF(J$3="","",IF(COUNTIFS(BD!$A$3:$A$5001,J$3,BD!$B$3:$B$5001,$A$335,BD!$L$3:$L$5001,"&lt;&gt;")=0,"",SUMIFS(BD!$L$3:$L$5001,BD!$A$3:$A$5001,J$3,BD!$B$3:$B$5001,$A$335)))</f>
        <v/>
      </c>
      <c r="K344" s="185" t="str">
        <f>IF(K$3="","",IF(COUNTIFS(BD!$A$3:$A$5001,K$3,BD!$B$3:$B$5001,$A$335,BD!$L$3:$L$5001,"&lt;&gt;")=0,"",SUMIFS(BD!$L$3:$L$5001,BD!$A$3:$A$5001,K$3,BD!$B$3:$B$5001,$A$335)))</f>
        <v/>
      </c>
      <c r="L344" s="185" t="str">
        <f>IF(L$3="","",IF(COUNTIFS(BD!$A$3:$A$5001,L$3,BD!$B$3:$B$5001,$A$335,BD!$L$3:$L$5001,"&lt;&gt;")=0,"",SUMIFS(BD!$L$3:$L$5001,BD!$A$3:$A$5001,L$3,BD!$B$3:$B$5001,$A$335)))</f>
        <v/>
      </c>
      <c r="M344" s="185" t="str">
        <f>IF(M$3="","",IF(COUNTIFS(BD!$A$3:$A$5001,M$3,BD!$B$3:$B$5001,$A$335,BD!$L$3:$L$5001,"&lt;&gt;")=0,"",SUMIFS(BD!$L$3:$L$5001,BD!$A$3:$A$5001,M$3,BD!$B$3:$B$5001,$A$335)))</f>
        <v/>
      </c>
      <c r="N344" s="185" t="str">
        <f>IF(N$3="","",IF(COUNTIFS(BD!$A$3:$A$5001,N$3,BD!$B$3:$B$5001,$A$335,BD!$L$3:$L$5001,"&lt;&gt;")=0,"",SUMIFS(BD!$L$3:$L$5001,BD!$A$3:$A$5001,N$3,BD!$B$3:$B$5001,$A$335)))</f>
        <v/>
      </c>
      <c r="O344" s="185" t="str">
        <f>IF(O$3="","",IF(COUNTIFS(BD!$A$3:$A$5001,O$3,BD!$B$3:$B$5001,$A$335,BD!$L$3:$L$5001,"&lt;&gt;")=0,"",SUMIFS(BD!$L$3:$L$5001,BD!$A$3:$A$5001,O$3,BD!$B$3:$B$5001,$A$335)))</f>
        <v/>
      </c>
      <c r="P344" s="185" t="str">
        <f>IF(P$3="","",IF(COUNTIFS(BD!$A$3:$A$5001,P$3,BD!$B$3:$B$5001,$A$335,BD!$L$3:$L$5001,"&lt;&gt;")=0,"",SUMIFS(BD!$L$3:$L$5001,BD!$A$3:$A$5001,P$3,BD!$B$3:$B$5001,$A$335)))</f>
        <v/>
      </c>
      <c r="Q344" s="185" t="str">
        <f>IF(Q$3="","",IF(COUNTIFS(BD!$A$3:$A$5001,Q$3,BD!$B$3:$B$5001,$A$335,BD!$L$3:$L$5001,"&lt;&gt;")=0,"",SUMIFS(BD!$L$3:$L$5001,BD!$A$3:$A$5001,Q$3,BD!$B$3:$B$5001,$A$335)))</f>
        <v/>
      </c>
      <c r="R344" s="185" t="str">
        <f>IF(R$3="","",IF(COUNTIFS(BD!$A$3:$A$5001,R$3,BD!$B$3:$B$5001,$A$335,BD!$L$3:$L$5001,"&lt;&gt;")=0,"",SUMIFS(BD!$L$3:$L$5001,BD!$A$3:$A$5001,R$3,BD!$B$3:$B$5001,$A$335)))</f>
        <v/>
      </c>
      <c r="S344" s="185" t="str">
        <f>IF(S$3="","",IF(COUNTIFS(BD!$A$3:$A$5001,S$3,BD!$B$3:$B$5001,$A$335,BD!$L$3:$L$5001,"&lt;&gt;")=0,"",SUMIFS(BD!$L$3:$L$5001,BD!$A$3:$A$5001,S$3,BD!$B$3:$B$5001,$A$335)))</f>
        <v/>
      </c>
      <c r="T344" s="185" t="str">
        <f>IF(T$3="","",IF(COUNTIFS(BD!$A$3:$A$5001,T$3,BD!$B$3:$B$5001,$A$335,BD!$L$3:$L$5001,"&lt;&gt;")=0,"",SUMIFS(BD!$L$3:$L$5001,BD!$A$3:$A$5001,T$3,BD!$B$3:$B$5001,$A$335)))</f>
        <v/>
      </c>
      <c r="U344" s="185" t="str">
        <f>IF(U$3="","",IF(COUNTIFS(BD!$A$3:$A$5001,U$3,BD!$B$3:$B$5001,$A$335,BD!$L$3:$L$5001,"&lt;&gt;")=0,"",SUMIFS(BD!$L$3:$L$5001,BD!$A$3:$A$5001,U$3,BD!$B$3:$B$5001,$A$335)))</f>
        <v/>
      </c>
      <c r="V344" s="185" t="str">
        <f>IF(V$3="","",IF(COUNTIFS(BD!$A$3:$A$5001,V$3,BD!$B$3:$B$5001,$A$335,BD!$L$3:$L$5001,"&lt;&gt;")=0,"",SUMIFS(BD!$L$3:$L$5001,BD!$A$3:$A$5001,V$3,BD!$B$3:$B$5001,$A$335)))</f>
        <v/>
      </c>
      <c r="W344" s="185" t="str">
        <f>IF(W$3="","",IF(COUNTIFS(BD!$A$3:$A$5001,W$3,BD!$B$3:$B$5001,$A$335,BD!$L$3:$L$5001,"&lt;&gt;")=0,"",SUMIFS(BD!$L$3:$L$5001,BD!$A$3:$A$5001,W$3,BD!$B$3:$B$5001,$A$335)))</f>
        <v/>
      </c>
      <c r="X344" s="185" t="str">
        <f>IF(X$3="","",IF(COUNTIFS(BD!$A$3:$A$5001,X$3,BD!$B$3:$B$5001,$A$335,BD!$L$3:$L$5001,"&lt;&gt;")=0,"",SUMIFS(BD!$L$3:$L$5001,BD!$A$3:$A$5001,X$3,BD!$B$3:$B$5001,$A$335)))</f>
        <v/>
      </c>
      <c r="Y344" s="185" t="str">
        <f>IF(Y$3="","",IF(COUNTIFS(BD!$A$3:$A$5001,Y$3,BD!$B$3:$B$5001,$A$335,BD!$L$3:$L$5001,"&lt;&gt;")=0,"",SUMIFS(BD!$L$3:$L$5001,BD!$A$3:$A$5001,Y$3,BD!$B$3:$B$5001,$A$335)))</f>
        <v/>
      </c>
      <c r="Z344" s="185" t="str">
        <f>IF(Z$3="","",IF(COUNTIFS(BD!$A$3:$A$5001,Z$3,BD!$B$3:$B$5001,$A$335,BD!$L$3:$L$5001,"&lt;&gt;")=0,"",SUMIFS(BD!$L$3:$L$5001,BD!$A$3:$A$5001,Z$3,BD!$B$3:$B$5001,$A$335)))</f>
        <v/>
      </c>
      <c r="AA344" s="185" t="str">
        <f>IF(AA$3="","",IF(COUNTIFS(BD!$A$3:$A$5001,AA$3,BD!$B$3:$B$5001,$A$335,BD!$L$3:$L$5001,"&lt;&gt;")=0,"",SUMIFS(BD!$L$3:$L$5001,BD!$A$3:$A$5001,AA$3,BD!$B$3:$B$5001,$A$335)))</f>
        <v/>
      </c>
      <c r="AB344" s="185" t="str">
        <f>IF(AB$3="","",IF(COUNTIFS(BD!$A$3:$A$5001,AB$3,BD!$B$3:$B$5001,$A$335,BD!$L$3:$L$5001,"&lt;&gt;")=0,"",SUMIFS(BD!$L$3:$L$5001,BD!$A$3:$A$5001,AB$3,BD!$B$3:$B$5001,$A$335)))</f>
        <v/>
      </c>
      <c r="AC344" s="185" t="str">
        <f>IF(AC$3="","",IF(COUNTIFS(BD!$A$3:$A$5001,AC$3,BD!$B$3:$B$5001,$A$335,BD!$L$3:$L$5001,"&lt;&gt;")=0,"",SUMIFS(BD!$L$3:$L$5001,BD!$A$3:$A$5001,AC$3,BD!$B$3:$B$5001,$A$335)))</f>
        <v/>
      </c>
      <c r="AD344" s="185" t="str">
        <f>IF(AD$3="","",IF(COUNTIFS(BD!$A$3:$A$5001,AD$3,BD!$B$3:$B$5001,$A$335,BD!$L$3:$L$5001,"&lt;&gt;")=0,"",SUMIFS(BD!$L$3:$L$5001,BD!$A$3:$A$5001,AD$3,BD!$B$3:$B$5001,$A$335)))</f>
        <v/>
      </c>
      <c r="AE344" s="185" t="str">
        <f>IF(AE$3="","",IF(COUNTIFS(BD!$A$3:$A$5001,AE$3,BD!$B$3:$B$5001,$A$335,BD!$L$3:$L$5001,"&lt;&gt;")=0,"",SUMIFS(BD!$L$3:$L$5001,BD!$A$3:$A$5001,AE$3,BD!$B$3:$B$5001,$A$335)))</f>
        <v/>
      </c>
      <c r="AF344" s="185" t="str">
        <f>IF(AF$3="","",IF(COUNTIFS(BD!$A$3:$A$5001,AF$3,BD!$B$3:$B$5001,$A$335,BD!$L$3:$L$5001,"&lt;&gt;")=0,"",SUMIFS(BD!$L$3:$L$5001,BD!$A$3:$A$5001,AF$3,BD!$B$3:$B$5001,$A$335)))</f>
        <v/>
      </c>
      <c r="AG344" s="185" t="str">
        <f>IF(AG$3="","",IF(COUNTIFS(BD!$A$3:$A$5001,AG$3,BD!$B$3:$B$5001,$A$335,BD!$L$3:$L$5001,"&lt;&gt;")=0,"",SUMIFS(BD!$L$3:$L$5001,BD!$A$3:$A$5001,AG$3,BD!$B$3:$B$5001,$A$335)))</f>
        <v/>
      </c>
      <c r="AH344" s="185" t="str">
        <f>IF(AH$3="","",IF(COUNTIFS(BD!$A$3:$A$5001,AH$3,BD!$B$3:$B$5001,$A$335,BD!$L$3:$L$5001,"&lt;&gt;")=0,"",SUMIFS(BD!$L$3:$L$5001,BD!$A$3:$A$5001,AH$3,BD!$B$3:$B$5001,$A$335)))</f>
        <v/>
      </c>
      <c r="AI344" s="185" t="str">
        <f>IF(AI$3="","",IF(COUNTIFS(BD!$A$3:$A$5001,AI$3,BD!$B$3:$B$5001,$A$335,BD!$L$3:$L$5001,"&lt;&gt;")=0,"",SUMIFS(BD!$L$3:$L$5001,BD!$A$3:$A$5001,AI$3,BD!$B$3:$B$5001,$A$335)))</f>
        <v/>
      </c>
      <c r="AJ344" s="186" t="str">
        <f>IF(AJ$3="","",IF(COUNTIFS(BD!$A$3:$A$5001,AJ$3,BD!$B$3:$B$5001,$A$335,BD!$L$3:$L$5001,"&lt;&gt;")=0,"",SUMIFS(BD!$L$3:$L$5001,BD!$A$3:$A$5001,AJ$3,BD!$B$3:$B$5001,$A$335)))</f>
        <v/>
      </c>
      <c r="AK344" s="187" t="str">
        <f>IF(COUNT(F344:AJ344)=0,"",SUM(F344:AJ344))</f>
        <v/>
      </c>
    </row>
    <row r="345" ht="15.75" customHeight="1" hidden="1">
      <c r="A345" s="261"/>
      <c r="B345" s="278"/>
      <c r="C345" s="267" t="inlineStr">
        <is>
          <t xml:space="preserve">Pedidos Expedidos</t>
        </is>
      </c>
      <c r="D345" s="268" t="str">
        <f>IFERROR(1/(1/INDEX(BD!$AL$33:$BF$33,MATCH($A$335,BD!$AL$22:$BF$22,0))),"")</f>
        <v/>
      </c>
      <c r="E345" s="269"/>
      <c r="F345" s="270" t="str">
        <f>IF(F$3="","",IF(COUNTIFS(BD!$A$3:$A$5001,F$3,BD!$B$3:$B$5001,$A$335,BD!$M$3:$M$5001,"&lt;&gt;")=0,"",SUMIFS(BD!$M$3:$M$5001,BD!$A$3:$A$5001,F$3,BD!$B$3:$B$5001,$A$335)))</f>
        <v/>
      </c>
      <c r="G345" s="271" t="str">
        <f>IF(G$3="","",IF(COUNTIFS(BD!$A$3:$A$5001,G$3,BD!$B$3:$B$5001,$A$335,BD!$M$3:$M$5001,"&lt;&gt;")=0,"",SUMIFS(BD!$M$3:$M$5001,BD!$A$3:$A$5001,G$3,BD!$B$3:$B$5001,$A$335)))</f>
        <v/>
      </c>
      <c r="H345" s="271" t="str">
        <f>IF(H$3="","",IF(COUNTIFS(BD!$A$3:$A$5001,H$3,BD!$B$3:$B$5001,$A$335,BD!$M$3:$M$5001,"&lt;&gt;")=0,"",SUMIFS(BD!$M$3:$M$5001,BD!$A$3:$A$5001,H$3,BD!$B$3:$B$5001,$A$335)))</f>
        <v/>
      </c>
      <c r="I345" s="271" t="str">
        <f>IF(I$3="","",IF(COUNTIFS(BD!$A$3:$A$5001,I$3,BD!$B$3:$B$5001,$A$335,BD!$M$3:$M$5001,"&lt;&gt;")=0,"",SUMIFS(BD!$M$3:$M$5001,BD!$A$3:$A$5001,I$3,BD!$B$3:$B$5001,$A$335)))</f>
        <v/>
      </c>
      <c r="J345" s="271" t="str">
        <f>IF(J$3="","",IF(COUNTIFS(BD!$A$3:$A$5001,J$3,BD!$B$3:$B$5001,$A$335,BD!$M$3:$M$5001,"&lt;&gt;")=0,"",SUMIFS(BD!$M$3:$M$5001,BD!$A$3:$A$5001,J$3,BD!$B$3:$B$5001,$A$335)))</f>
        <v/>
      </c>
      <c r="K345" s="271" t="str">
        <f>IF(K$3="","",IF(COUNTIFS(BD!$A$3:$A$5001,K$3,BD!$B$3:$B$5001,$A$335,BD!$M$3:$M$5001,"&lt;&gt;")=0,"",SUMIFS(BD!$M$3:$M$5001,BD!$A$3:$A$5001,K$3,BD!$B$3:$B$5001,$A$335)))</f>
        <v/>
      </c>
      <c r="L345" s="271" t="str">
        <f>IF(L$3="","",IF(COUNTIFS(BD!$A$3:$A$5001,L$3,BD!$B$3:$B$5001,$A$335,BD!$M$3:$M$5001,"&lt;&gt;")=0,"",SUMIFS(BD!$M$3:$M$5001,BD!$A$3:$A$5001,L$3,BD!$B$3:$B$5001,$A$335)))</f>
        <v/>
      </c>
      <c r="M345" s="271" t="str">
        <f>IF(M$3="","",IF(COUNTIFS(BD!$A$3:$A$5001,M$3,BD!$B$3:$B$5001,$A$335,BD!$M$3:$M$5001,"&lt;&gt;")=0,"",SUMIFS(BD!$M$3:$M$5001,BD!$A$3:$A$5001,M$3,BD!$B$3:$B$5001,$A$335)))</f>
        <v/>
      </c>
      <c r="N345" s="271" t="str">
        <f>IF(N$3="","",IF(COUNTIFS(BD!$A$3:$A$5001,N$3,BD!$B$3:$B$5001,$A$335,BD!$M$3:$M$5001,"&lt;&gt;")=0,"",SUMIFS(BD!$M$3:$M$5001,BD!$A$3:$A$5001,N$3,BD!$B$3:$B$5001,$A$335)))</f>
        <v/>
      </c>
      <c r="O345" s="271" t="str">
        <f>IF(O$3="","",IF(COUNTIFS(BD!$A$3:$A$5001,O$3,BD!$B$3:$B$5001,$A$335,BD!$M$3:$M$5001,"&lt;&gt;")=0,"",SUMIFS(BD!$M$3:$M$5001,BD!$A$3:$A$5001,O$3,BD!$B$3:$B$5001,$A$335)))</f>
        <v/>
      </c>
      <c r="P345" s="271" t="str">
        <f>IF(P$3="","",IF(COUNTIFS(BD!$A$3:$A$5001,P$3,BD!$B$3:$B$5001,$A$335,BD!$M$3:$M$5001,"&lt;&gt;")=0,"",SUMIFS(BD!$M$3:$M$5001,BD!$A$3:$A$5001,P$3,BD!$B$3:$B$5001,$A$335)))</f>
        <v/>
      </c>
      <c r="Q345" s="271" t="str">
        <f>IF(Q$3="","",IF(COUNTIFS(BD!$A$3:$A$5001,Q$3,BD!$B$3:$B$5001,$A$335,BD!$M$3:$M$5001,"&lt;&gt;")=0,"",SUMIFS(BD!$M$3:$M$5001,BD!$A$3:$A$5001,Q$3,BD!$B$3:$B$5001,$A$335)))</f>
        <v/>
      </c>
      <c r="R345" s="271" t="str">
        <f>IF(R$3="","",IF(COUNTIFS(BD!$A$3:$A$5001,R$3,BD!$B$3:$B$5001,$A$335,BD!$M$3:$M$5001,"&lt;&gt;")=0,"",SUMIFS(BD!$M$3:$M$5001,BD!$A$3:$A$5001,R$3,BD!$B$3:$B$5001,$A$335)))</f>
        <v/>
      </c>
      <c r="S345" s="271" t="str">
        <f>IF(S$3="","",IF(COUNTIFS(BD!$A$3:$A$5001,S$3,BD!$B$3:$B$5001,$A$335,BD!$M$3:$M$5001,"&lt;&gt;")=0,"",SUMIFS(BD!$M$3:$M$5001,BD!$A$3:$A$5001,S$3,BD!$B$3:$B$5001,$A$335)))</f>
        <v/>
      </c>
      <c r="T345" s="271" t="str">
        <f>IF(T$3="","",IF(COUNTIFS(BD!$A$3:$A$5001,T$3,BD!$B$3:$B$5001,$A$335,BD!$M$3:$M$5001,"&lt;&gt;")=0,"",SUMIFS(BD!$M$3:$M$5001,BD!$A$3:$A$5001,T$3,BD!$B$3:$B$5001,$A$335)))</f>
        <v/>
      </c>
      <c r="U345" s="271" t="str">
        <f>IF(U$3="","",IF(COUNTIFS(BD!$A$3:$A$5001,U$3,BD!$B$3:$B$5001,$A$335,BD!$M$3:$M$5001,"&lt;&gt;")=0,"",SUMIFS(BD!$M$3:$M$5001,BD!$A$3:$A$5001,U$3,BD!$B$3:$B$5001,$A$335)))</f>
        <v/>
      </c>
      <c r="V345" s="271" t="str">
        <f>IF(V$3="","",IF(COUNTIFS(BD!$A$3:$A$5001,V$3,BD!$B$3:$B$5001,$A$335,BD!$M$3:$M$5001,"&lt;&gt;")=0,"",SUMIFS(BD!$M$3:$M$5001,BD!$A$3:$A$5001,V$3,BD!$B$3:$B$5001,$A$335)))</f>
        <v/>
      </c>
      <c r="W345" s="271" t="str">
        <f>IF(W$3="","",IF(COUNTIFS(BD!$A$3:$A$5001,W$3,BD!$B$3:$B$5001,$A$335,BD!$M$3:$M$5001,"&lt;&gt;")=0,"",SUMIFS(BD!$M$3:$M$5001,BD!$A$3:$A$5001,W$3,BD!$B$3:$B$5001,$A$335)))</f>
        <v/>
      </c>
      <c r="X345" s="271" t="str">
        <f>IF(X$3="","",IF(COUNTIFS(BD!$A$3:$A$5001,X$3,BD!$B$3:$B$5001,$A$335,BD!$M$3:$M$5001,"&lt;&gt;")=0,"",SUMIFS(BD!$M$3:$M$5001,BD!$A$3:$A$5001,X$3,BD!$B$3:$B$5001,$A$335)))</f>
        <v/>
      </c>
      <c r="Y345" s="271" t="str">
        <f>IF(Y$3="","",IF(COUNTIFS(BD!$A$3:$A$5001,Y$3,BD!$B$3:$B$5001,$A$335,BD!$M$3:$M$5001,"&lt;&gt;")=0,"",SUMIFS(BD!$M$3:$M$5001,BD!$A$3:$A$5001,Y$3,BD!$B$3:$B$5001,$A$335)))</f>
        <v/>
      </c>
      <c r="Z345" s="271" t="str">
        <f>IF(Z$3="","",IF(COUNTIFS(BD!$A$3:$A$5001,Z$3,BD!$B$3:$B$5001,$A$335,BD!$M$3:$M$5001,"&lt;&gt;")=0,"",SUMIFS(BD!$M$3:$M$5001,BD!$A$3:$A$5001,Z$3,BD!$B$3:$B$5001,$A$335)))</f>
        <v/>
      </c>
      <c r="AA345" s="271" t="str">
        <f>IF(AA$3="","",IF(COUNTIFS(BD!$A$3:$A$5001,AA$3,BD!$B$3:$B$5001,$A$335,BD!$M$3:$M$5001,"&lt;&gt;")=0,"",SUMIFS(BD!$M$3:$M$5001,BD!$A$3:$A$5001,AA$3,BD!$B$3:$B$5001,$A$335)))</f>
        <v/>
      </c>
      <c r="AB345" s="271" t="str">
        <f>IF(AB$3="","",IF(COUNTIFS(BD!$A$3:$A$5001,AB$3,BD!$B$3:$B$5001,$A$335,BD!$M$3:$M$5001,"&lt;&gt;")=0,"",SUMIFS(BD!$M$3:$M$5001,BD!$A$3:$A$5001,AB$3,BD!$B$3:$B$5001,$A$335)))</f>
        <v/>
      </c>
      <c r="AC345" s="271" t="str">
        <f>IF(AC$3="","",IF(COUNTIFS(BD!$A$3:$A$5001,AC$3,BD!$B$3:$B$5001,$A$335,BD!$M$3:$M$5001,"&lt;&gt;")=0,"",SUMIFS(BD!$M$3:$M$5001,BD!$A$3:$A$5001,AC$3,BD!$B$3:$B$5001,$A$335)))</f>
        <v/>
      </c>
      <c r="AD345" s="271" t="str">
        <f>IF(AD$3="","",IF(COUNTIFS(BD!$A$3:$A$5001,AD$3,BD!$B$3:$B$5001,$A$335,BD!$M$3:$M$5001,"&lt;&gt;")=0,"",SUMIFS(BD!$M$3:$M$5001,BD!$A$3:$A$5001,AD$3,BD!$B$3:$B$5001,$A$335)))</f>
        <v/>
      </c>
      <c r="AE345" s="271" t="str">
        <f>IF(AE$3="","",IF(COUNTIFS(BD!$A$3:$A$5001,AE$3,BD!$B$3:$B$5001,$A$335,BD!$M$3:$M$5001,"&lt;&gt;")=0,"",SUMIFS(BD!$M$3:$M$5001,BD!$A$3:$A$5001,AE$3,BD!$B$3:$B$5001,$A$335)))</f>
        <v/>
      </c>
      <c r="AF345" s="271" t="str">
        <f>IF(AF$3="","",IF(COUNTIFS(BD!$A$3:$A$5001,AF$3,BD!$B$3:$B$5001,$A$335,BD!$M$3:$M$5001,"&lt;&gt;")=0,"",SUMIFS(BD!$M$3:$M$5001,BD!$A$3:$A$5001,AF$3,BD!$B$3:$B$5001,$A$335)))</f>
        <v/>
      </c>
      <c r="AG345" s="271" t="str">
        <f>IF(AG$3="","",IF(COUNTIFS(BD!$A$3:$A$5001,AG$3,BD!$B$3:$B$5001,$A$335,BD!$M$3:$M$5001,"&lt;&gt;")=0,"",SUMIFS(BD!$M$3:$M$5001,BD!$A$3:$A$5001,AG$3,BD!$B$3:$B$5001,$A$335)))</f>
        <v/>
      </c>
      <c r="AH345" s="271" t="str">
        <f>IF(AH$3="","",IF(COUNTIFS(BD!$A$3:$A$5001,AH$3,BD!$B$3:$B$5001,$A$335,BD!$M$3:$M$5001,"&lt;&gt;")=0,"",SUMIFS(BD!$M$3:$M$5001,BD!$A$3:$A$5001,AH$3,BD!$B$3:$B$5001,$A$335)))</f>
        <v/>
      </c>
      <c r="AI345" s="271" t="str">
        <f>IF(AI$3="","",IF(COUNTIFS(BD!$A$3:$A$5001,AI$3,BD!$B$3:$B$5001,$A$335,BD!$M$3:$M$5001,"&lt;&gt;")=0,"",SUMIFS(BD!$M$3:$M$5001,BD!$A$3:$A$5001,AI$3,BD!$B$3:$B$5001,$A$335)))</f>
        <v/>
      </c>
      <c r="AJ345" s="272" t="str">
        <f>IF(AJ$3="","",IF(COUNTIFS(BD!$A$3:$A$5001,AJ$3,BD!$B$3:$B$5001,$A$335,BD!$M$3:$M$5001,"&lt;&gt;")=0,"",SUMIFS(BD!$M$3:$M$5001,BD!$A$3:$A$5001,AJ$3,BD!$B$3:$B$5001,$A$335)))</f>
        <v/>
      </c>
      <c r="AK345" s="273" t="str">
        <f>IF(COUNT(F345:AJ345)=0,"",SUM(F345:AJ345))</f>
        <v/>
      </c>
    </row>
    <row r="346" ht="15.75" customHeight="1" hidden="1">
      <c r="A346" s="261"/>
      <c r="B346" s="278"/>
      <c r="C346" s="267" t="inlineStr">
        <is>
          <t xml:space="preserve">Pedidos Faturados</t>
        </is>
      </c>
      <c r="D346" s="268" t="str">
        <f>IFERROR(1/(1/INDEX(BD!$AL$34:$BF$34,MATCH($A$335,BD!$AL$22:$BF$22,0))),"")</f>
        <v/>
      </c>
      <c r="E346" s="269"/>
      <c r="F346" s="270" t="str">
        <f>IF(F$3="","",IF(COUNTIFS(BD!$A$3:$A$5001,F$3,BD!$B$3:$B$5001,$A$335,BD!$N$3:$N$5001,"&lt;&gt;")=0,"",SUMIFS(BD!$N$3:$N$5001,BD!$A$3:$A$5001,F$3,BD!$B$3:$B$5001,$A$335)))</f>
        <v/>
      </c>
      <c r="G346" s="271" t="str">
        <f>IF(G$3="","",IF(COUNTIFS(BD!$A$3:$A$5001,G$3,BD!$B$3:$B$5001,$A$335,BD!$N$3:$N$5001,"&lt;&gt;")=0,"",SUMIFS(BD!$N$3:$N$5001,BD!$A$3:$A$5001,G$3,BD!$B$3:$B$5001,$A$335)))</f>
        <v/>
      </c>
      <c r="H346" s="271" t="str">
        <f>IF(H$3="","",IF(COUNTIFS(BD!$A$3:$A$5001,H$3,BD!$B$3:$B$5001,$A$335,BD!$N$3:$N$5001,"&lt;&gt;")=0,"",SUMIFS(BD!$N$3:$N$5001,BD!$A$3:$A$5001,H$3,BD!$B$3:$B$5001,$A$335)))</f>
        <v/>
      </c>
      <c r="I346" s="271" t="str">
        <f>IF(I$3="","",IF(COUNTIFS(BD!$A$3:$A$5001,I$3,BD!$B$3:$B$5001,$A$335,BD!$N$3:$N$5001,"&lt;&gt;")=0,"",SUMIFS(BD!$N$3:$N$5001,BD!$A$3:$A$5001,I$3,BD!$B$3:$B$5001,$A$335)))</f>
        <v/>
      </c>
      <c r="J346" s="271" t="str">
        <f>IF(J$3="","",IF(COUNTIFS(BD!$A$3:$A$5001,J$3,BD!$B$3:$B$5001,$A$335,BD!$N$3:$N$5001,"&lt;&gt;")=0,"",SUMIFS(BD!$N$3:$N$5001,BD!$A$3:$A$5001,J$3,BD!$B$3:$B$5001,$A$335)))</f>
        <v/>
      </c>
      <c r="K346" s="271" t="str">
        <f>IF(K$3="","",IF(COUNTIFS(BD!$A$3:$A$5001,K$3,BD!$B$3:$B$5001,$A$335,BD!$N$3:$N$5001,"&lt;&gt;")=0,"",SUMIFS(BD!$N$3:$N$5001,BD!$A$3:$A$5001,K$3,BD!$B$3:$B$5001,$A$335)))</f>
        <v/>
      </c>
      <c r="L346" s="271" t="str">
        <f>IF(L$3="","",IF(COUNTIFS(BD!$A$3:$A$5001,L$3,BD!$B$3:$B$5001,$A$335,BD!$N$3:$N$5001,"&lt;&gt;")=0,"",SUMIFS(BD!$N$3:$N$5001,BD!$A$3:$A$5001,L$3,BD!$B$3:$B$5001,$A$335)))</f>
        <v/>
      </c>
      <c r="M346" s="271" t="str">
        <f>IF(M$3="","",IF(COUNTIFS(BD!$A$3:$A$5001,M$3,BD!$B$3:$B$5001,$A$335,BD!$N$3:$N$5001,"&lt;&gt;")=0,"",SUMIFS(BD!$N$3:$N$5001,BD!$A$3:$A$5001,M$3,BD!$B$3:$B$5001,$A$335)))</f>
        <v/>
      </c>
      <c r="N346" s="271" t="str">
        <f>IF(N$3="","",IF(COUNTIFS(BD!$A$3:$A$5001,N$3,BD!$B$3:$B$5001,$A$335,BD!$N$3:$N$5001,"&lt;&gt;")=0,"",SUMIFS(BD!$N$3:$N$5001,BD!$A$3:$A$5001,N$3,BD!$B$3:$B$5001,$A$335)))</f>
        <v/>
      </c>
      <c r="O346" s="271" t="str">
        <f>IF(O$3="","",IF(COUNTIFS(BD!$A$3:$A$5001,O$3,BD!$B$3:$B$5001,$A$335,BD!$N$3:$N$5001,"&lt;&gt;")=0,"",SUMIFS(BD!$N$3:$N$5001,BD!$A$3:$A$5001,O$3,BD!$B$3:$B$5001,$A$335)))</f>
        <v/>
      </c>
      <c r="P346" s="271" t="str">
        <f>IF(P$3="","",IF(COUNTIFS(BD!$A$3:$A$5001,P$3,BD!$B$3:$B$5001,$A$335,BD!$N$3:$N$5001,"&lt;&gt;")=0,"",SUMIFS(BD!$N$3:$N$5001,BD!$A$3:$A$5001,P$3,BD!$B$3:$B$5001,$A$335)))</f>
        <v/>
      </c>
      <c r="Q346" s="271" t="str">
        <f>IF(Q$3="","",IF(COUNTIFS(BD!$A$3:$A$5001,Q$3,BD!$B$3:$B$5001,$A$335,BD!$N$3:$N$5001,"&lt;&gt;")=0,"",SUMIFS(BD!$N$3:$N$5001,BD!$A$3:$A$5001,Q$3,BD!$B$3:$B$5001,$A$335)))</f>
        <v/>
      </c>
      <c r="R346" s="271" t="str">
        <f>IF(R$3="","",IF(COUNTIFS(BD!$A$3:$A$5001,R$3,BD!$B$3:$B$5001,$A$335,BD!$N$3:$N$5001,"&lt;&gt;")=0,"",SUMIFS(BD!$N$3:$N$5001,BD!$A$3:$A$5001,R$3,BD!$B$3:$B$5001,$A$335)))</f>
        <v/>
      </c>
      <c r="S346" s="271" t="str">
        <f>IF(S$3="","",IF(COUNTIFS(BD!$A$3:$A$5001,S$3,BD!$B$3:$B$5001,$A$335,BD!$N$3:$N$5001,"&lt;&gt;")=0,"",SUMIFS(BD!$N$3:$N$5001,BD!$A$3:$A$5001,S$3,BD!$B$3:$B$5001,$A$335)))</f>
        <v/>
      </c>
      <c r="T346" s="271" t="str">
        <f>IF(T$3="","",IF(COUNTIFS(BD!$A$3:$A$5001,T$3,BD!$B$3:$B$5001,$A$335,BD!$N$3:$N$5001,"&lt;&gt;")=0,"",SUMIFS(BD!$N$3:$N$5001,BD!$A$3:$A$5001,T$3,BD!$B$3:$B$5001,$A$335)))</f>
        <v/>
      </c>
      <c r="U346" s="271" t="str">
        <f>IF(U$3="","",IF(COUNTIFS(BD!$A$3:$A$5001,U$3,BD!$B$3:$B$5001,$A$335,BD!$N$3:$N$5001,"&lt;&gt;")=0,"",SUMIFS(BD!$N$3:$N$5001,BD!$A$3:$A$5001,U$3,BD!$B$3:$B$5001,$A$335)))</f>
        <v/>
      </c>
      <c r="V346" s="271" t="str">
        <f>IF(V$3="","",IF(COUNTIFS(BD!$A$3:$A$5001,V$3,BD!$B$3:$B$5001,$A$335,BD!$N$3:$N$5001,"&lt;&gt;")=0,"",SUMIFS(BD!$N$3:$N$5001,BD!$A$3:$A$5001,V$3,BD!$B$3:$B$5001,$A$335)))</f>
        <v/>
      </c>
      <c r="W346" s="271" t="str">
        <f>IF(W$3="","",IF(COUNTIFS(BD!$A$3:$A$5001,W$3,BD!$B$3:$B$5001,$A$335,BD!$N$3:$N$5001,"&lt;&gt;")=0,"",SUMIFS(BD!$N$3:$N$5001,BD!$A$3:$A$5001,W$3,BD!$B$3:$B$5001,$A$335)))</f>
        <v/>
      </c>
      <c r="X346" s="271" t="str">
        <f>IF(X$3="","",IF(COUNTIFS(BD!$A$3:$A$5001,X$3,BD!$B$3:$B$5001,$A$335,BD!$N$3:$N$5001,"&lt;&gt;")=0,"",SUMIFS(BD!$N$3:$N$5001,BD!$A$3:$A$5001,X$3,BD!$B$3:$B$5001,$A$335)))</f>
        <v/>
      </c>
      <c r="Y346" s="271" t="str">
        <f>IF(Y$3="","",IF(COUNTIFS(BD!$A$3:$A$5001,Y$3,BD!$B$3:$B$5001,$A$335,BD!$N$3:$N$5001,"&lt;&gt;")=0,"",SUMIFS(BD!$N$3:$N$5001,BD!$A$3:$A$5001,Y$3,BD!$B$3:$B$5001,$A$335)))</f>
        <v/>
      </c>
      <c r="Z346" s="271" t="str">
        <f>IF(Z$3="","",IF(COUNTIFS(BD!$A$3:$A$5001,Z$3,BD!$B$3:$B$5001,$A$335,BD!$N$3:$N$5001,"&lt;&gt;")=0,"",SUMIFS(BD!$N$3:$N$5001,BD!$A$3:$A$5001,Z$3,BD!$B$3:$B$5001,$A$335)))</f>
        <v/>
      </c>
      <c r="AA346" s="271" t="str">
        <f>IF(AA$3="","",IF(COUNTIFS(BD!$A$3:$A$5001,AA$3,BD!$B$3:$B$5001,$A$335,BD!$N$3:$N$5001,"&lt;&gt;")=0,"",SUMIFS(BD!$N$3:$N$5001,BD!$A$3:$A$5001,AA$3,BD!$B$3:$B$5001,$A$335)))</f>
        <v/>
      </c>
      <c r="AB346" s="271" t="str">
        <f>IF(AB$3="","",IF(COUNTIFS(BD!$A$3:$A$5001,AB$3,BD!$B$3:$B$5001,$A$335,BD!$N$3:$N$5001,"&lt;&gt;")=0,"",SUMIFS(BD!$N$3:$N$5001,BD!$A$3:$A$5001,AB$3,BD!$B$3:$B$5001,$A$335)))</f>
        <v/>
      </c>
      <c r="AC346" s="271" t="str">
        <f>IF(AC$3="","",IF(COUNTIFS(BD!$A$3:$A$5001,AC$3,BD!$B$3:$B$5001,$A$335,BD!$N$3:$N$5001,"&lt;&gt;")=0,"",SUMIFS(BD!$N$3:$N$5001,BD!$A$3:$A$5001,AC$3,BD!$B$3:$B$5001,$A$335)))</f>
        <v/>
      </c>
      <c r="AD346" s="271" t="str">
        <f>IF(AD$3="","",IF(COUNTIFS(BD!$A$3:$A$5001,AD$3,BD!$B$3:$B$5001,$A$335,BD!$N$3:$N$5001,"&lt;&gt;")=0,"",SUMIFS(BD!$N$3:$N$5001,BD!$A$3:$A$5001,AD$3,BD!$B$3:$B$5001,$A$335)))</f>
        <v/>
      </c>
      <c r="AE346" s="271" t="str">
        <f>IF(AE$3="","",IF(COUNTIFS(BD!$A$3:$A$5001,AE$3,BD!$B$3:$B$5001,$A$335,BD!$N$3:$N$5001,"&lt;&gt;")=0,"",SUMIFS(BD!$N$3:$N$5001,BD!$A$3:$A$5001,AE$3,BD!$B$3:$B$5001,$A$335)))</f>
        <v/>
      </c>
      <c r="AF346" s="271" t="str">
        <f>IF(AF$3="","",IF(COUNTIFS(BD!$A$3:$A$5001,AF$3,BD!$B$3:$B$5001,$A$335,BD!$N$3:$N$5001,"&lt;&gt;")=0,"",SUMIFS(BD!$N$3:$N$5001,BD!$A$3:$A$5001,AF$3,BD!$B$3:$B$5001,$A$335)))</f>
        <v/>
      </c>
      <c r="AG346" s="271" t="str">
        <f>IF(AG$3="","",IF(COUNTIFS(BD!$A$3:$A$5001,AG$3,BD!$B$3:$B$5001,$A$335,BD!$N$3:$N$5001,"&lt;&gt;")=0,"",SUMIFS(BD!$N$3:$N$5001,BD!$A$3:$A$5001,AG$3,BD!$B$3:$B$5001,$A$335)))</f>
        <v/>
      </c>
      <c r="AH346" s="271" t="str">
        <f>IF(AH$3="","",IF(COUNTIFS(BD!$A$3:$A$5001,AH$3,BD!$B$3:$B$5001,$A$335,BD!$N$3:$N$5001,"&lt;&gt;")=0,"",SUMIFS(BD!$N$3:$N$5001,BD!$A$3:$A$5001,AH$3,BD!$B$3:$B$5001,$A$335)))</f>
        <v/>
      </c>
      <c r="AI346" s="271" t="str">
        <f>IF(AI$3="","",IF(COUNTIFS(BD!$A$3:$A$5001,AI$3,BD!$B$3:$B$5001,$A$335,BD!$N$3:$N$5001,"&lt;&gt;")=0,"",SUMIFS(BD!$N$3:$N$5001,BD!$A$3:$A$5001,AI$3,BD!$B$3:$B$5001,$A$335)))</f>
        <v/>
      </c>
      <c r="AJ346" s="272" t="str">
        <f>IF(AJ$3="","",IF(COUNTIFS(BD!$A$3:$A$5001,AJ$3,BD!$B$3:$B$5001,$A$335,BD!$N$3:$N$5001,"&lt;&gt;")=0,"",SUMIFS(BD!$N$3:$N$5001,BD!$A$3:$A$5001,AJ$3,BD!$B$3:$B$5001,$A$335)))</f>
        <v/>
      </c>
      <c r="AK346" s="273" t="str">
        <f>IF(COUNT(F346:AJ346)=0,"",SUM(F346:AJ346))</f>
        <v/>
      </c>
    </row>
    <row r="347" ht="15.75" customHeight="1" hidden="1">
      <c r="A347" s="261"/>
      <c r="B347" s="278"/>
      <c r="C347" s="267" t="inlineStr">
        <is>
          <t xml:space="preserve">Itens Expedidos</t>
        </is>
      </c>
      <c r="D347" s="268" t="str">
        <f>IFERROR(1/(1/INDEX(BD!$AL$35:$BF$35,MATCH($A$335,BD!$AL$22:$BF$22,0))),"")</f>
        <v/>
      </c>
      <c r="E347" s="269"/>
      <c r="F347" s="270" t="str">
        <f>IF(F$3="","",IF(COUNTIFS(BD!$A$3:$A$5001,F$3,BD!$B$3:$B$5001,$A$335,BD!$O$3:$O$5001,"&lt;&gt;")=0,"",SUMIFS(BD!$O$3:$O$5001,BD!$A$3:$A$5001,F$3,BD!$B$3:$B$5001,$A$335)))</f>
        <v/>
      </c>
      <c r="G347" s="271" t="str">
        <f>IF(G$3="","",IF(COUNTIFS(BD!$A$3:$A$5001,G$3,BD!$B$3:$B$5001,$A$335,BD!$O$3:$O$5001,"&lt;&gt;")=0,"",SUMIFS(BD!$O$3:$O$5001,BD!$A$3:$A$5001,G$3,BD!$B$3:$B$5001,$A$335)))</f>
        <v/>
      </c>
      <c r="H347" s="271" t="str">
        <f>IF(H$3="","",IF(COUNTIFS(BD!$A$3:$A$5001,H$3,BD!$B$3:$B$5001,$A$335,BD!$O$3:$O$5001,"&lt;&gt;")=0,"",SUMIFS(BD!$O$3:$O$5001,BD!$A$3:$A$5001,H$3,BD!$B$3:$B$5001,$A$335)))</f>
        <v/>
      </c>
      <c r="I347" s="271" t="str">
        <f>IF(I$3="","",IF(COUNTIFS(BD!$A$3:$A$5001,I$3,BD!$B$3:$B$5001,$A$335,BD!$O$3:$O$5001,"&lt;&gt;")=0,"",SUMIFS(BD!$O$3:$O$5001,BD!$A$3:$A$5001,I$3,BD!$B$3:$B$5001,$A$335)))</f>
        <v/>
      </c>
      <c r="J347" s="271" t="str">
        <f>IF(J$3="","",IF(COUNTIFS(BD!$A$3:$A$5001,J$3,BD!$B$3:$B$5001,$A$335,BD!$O$3:$O$5001,"&lt;&gt;")=0,"",SUMIFS(BD!$O$3:$O$5001,BD!$A$3:$A$5001,J$3,BD!$B$3:$B$5001,$A$335)))</f>
        <v/>
      </c>
      <c r="K347" s="271" t="str">
        <f>IF(K$3="","",IF(COUNTIFS(BD!$A$3:$A$5001,K$3,BD!$B$3:$B$5001,$A$335,BD!$O$3:$O$5001,"&lt;&gt;")=0,"",SUMIFS(BD!$O$3:$O$5001,BD!$A$3:$A$5001,K$3,BD!$B$3:$B$5001,$A$335)))</f>
        <v/>
      </c>
      <c r="L347" s="271" t="str">
        <f>IF(L$3="","",IF(COUNTIFS(BD!$A$3:$A$5001,L$3,BD!$B$3:$B$5001,$A$335,BD!$O$3:$O$5001,"&lt;&gt;")=0,"",SUMIFS(BD!$O$3:$O$5001,BD!$A$3:$A$5001,L$3,BD!$B$3:$B$5001,$A$335)))</f>
        <v/>
      </c>
      <c r="M347" s="271" t="str">
        <f>IF(M$3="","",IF(COUNTIFS(BD!$A$3:$A$5001,M$3,BD!$B$3:$B$5001,$A$335,BD!$O$3:$O$5001,"&lt;&gt;")=0,"",SUMIFS(BD!$O$3:$O$5001,BD!$A$3:$A$5001,M$3,BD!$B$3:$B$5001,$A$335)))</f>
        <v/>
      </c>
      <c r="N347" s="271" t="str">
        <f>IF(N$3="","",IF(COUNTIFS(BD!$A$3:$A$5001,N$3,BD!$B$3:$B$5001,$A$335,BD!$O$3:$O$5001,"&lt;&gt;")=0,"",SUMIFS(BD!$O$3:$O$5001,BD!$A$3:$A$5001,N$3,BD!$B$3:$B$5001,$A$335)))</f>
        <v/>
      </c>
      <c r="O347" s="271" t="str">
        <f>IF(O$3="","",IF(COUNTIFS(BD!$A$3:$A$5001,O$3,BD!$B$3:$B$5001,$A$335,BD!$O$3:$O$5001,"&lt;&gt;")=0,"",SUMIFS(BD!$O$3:$O$5001,BD!$A$3:$A$5001,O$3,BD!$B$3:$B$5001,$A$335)))</f>
        <v/>
      </c>
      <c r="P347" s="271" t="str">
        <f>IF(P$3="","",IF(COUNTIFS(BD!$A$3:$A$5001,P$3,BD!$B$3:$B$5001,$A$335,BD!$O$3:$O$5001,"&lt;&gt;")=0,"",SUMIFS(BD!$O$3:$O$5001,BD!$A$3:$A$5001,P$3,BD!$B$3:$B$5001,$A$335)))</f>
        <v/>
      </c>
      <c r="Q347" s="271" t="str">
        <f>IF(Q$3="","",IF(COUNTIFS(BD!$A$3:$A$5001,Q$3,BD!$B$3:$B$5001,$A$335,BD!$O$3:$O$5001,"&lt;&gt;")=0,"",SUMIFS(BD!$O$3:$O$5001,BD!$A$3:$A$5001,Q$3,BD!$B$3:$B$5001,$A$335)))</f>
        <v/>
      </c>
      <c r="R347" s="271" t="str">
        <f>IF(R$3="","",IF(COUNTIFS(BD!$A$3:$A$5001,R$3,BD!$B$3:$B$5001,$A$335,BD!$O$3:$O$5001,"&lt;&gt;")=0,"",SUMIFS(BD!$O$3:$O$5001,BD!$A$3:$A$5001,R$3,BD!$B$3:$B$5001,$A$335)))</f>
        <v/>
      </c>
      <c r="S347" s="271" t="str">
        <f>IF(S$3="","",IF(COUNTIFS(BD!$A$3:$A$5001,S$3,BD!$B$3:$B$5001,$A$335,BD!$O$3:$O$5001,"&lt;&gt;")=0,"",SUMIFS(BD!$O$3:$O$5001,BD!$A$3:$A$5001,S$3,BD!$B$3:$B$5001,$A$335)))</f>
        <v/>
      </c>
      <c r="T347" s="271" t="str">
        <f>IF(T$3="","",IF(COUNTIFS(BD!$A$3:$A$5001,T$3,BD!$B$3:$B$5001,$A$335,BD!$O$3:$O$5001,"&lt;&gt;")=0,"",SUMIFS(BD!$O$3:$O$5001,BD!$A$3:$A$5001,T$3,BD!$B$3:$B$5001,$A$335)))</f>
        <v/>
      </c>
      <c r="U347" s="271" t="str">
        <f>IF(U$3="","",IF(COUNTIFS(BD!$A$3:$A$5001,U$3,BD!$B$3:$B$5001,$A$335,BD!$O$3:$O$5001,"&lt;&gt;")=0,"",SUMIFS(BD!$O$3:$O$5001,BD!$A$3:$A$5001,U$3,BD!$B$3:$B$5001,$A$335)))</f>
        <v/>
      </c>
      <c r="V347" s="271" t="str">
        <f>IF(V$3="","",IF(COUNTIFS(BD!$A$3:$A$5001,V$3,BD!$B$3:$B$5001,$A$335,BD!$O$3:$O$5001,"&lt;&gt;")=0,"",SUMIFS(BD!$O$3:$O$5001,BD!$A$3:$A$5001,V$3,BD!$B$3:$B$5001,$A$335)))</f>
        <v/>
      </c>
      <c r="W347" s="271" t="str">
        <f>IF(W$3="","",IF(COUNTIFS(BD!$A$3:$A$5001,W$3,BD!$B$3:$B$5001,$A$335,BD!$O$3:$O$5001,"&lt;&gt;")=0,"",SUMIFS(BD!$O$3:$O$5001,BD!$A$3:$A$5001,W$3,BD!$B$3:$B$5001,$A$335)))</f>
        <v/>
      </c>
      <c r="X347" s="271" t="str">
        <f>IF(X$3="","",IF(COUNTIFS(BD!$A$3:$A$5001,X$3,BD!$B$3:$B$5001,$A$335,BD!$O$3:$O$5001,"&lt;&gt;")=0,"",SUMIFS(BD!$O$3:$O$5001,BD!$A$3:$A$5001,X$3,BD!$B$3:$B$5001,$A$335)))</f>
        <v/>
      </c>
      <c r="Y347" s="271" t="str">
        <f>IF(Y$3="","",IF(COUNTIFS(BD!$A$3:$A$5001,Y$3,BD!$B$3:$B$5001,$A$335,BD!$O$3:$O$5001,"&lt;&gt;")=0,"",SUMIFS(BD!$O$3:$O$5001,BD!$A$3:$A$5001,Y$3,BD!$B$3:$B$5001,$A$335)))</f>
        <v/>
      </c>
      <c r="Z347" s="271" t="str">
        <f>IF(Z$3="","",IF(COUNTIFS(BD!$A$3:$A$5001,Z$3,BD!$B$3:$B$5001,$A$335,BD!$O$3:$O$5001,"&lt;&gt;")=0,"",SUMIFS(BD!$O$3:$O$5001,BD!$A$3:$A$5001,Z$3,BD!$B$3:$B$5001,$A$335)))</f>
        <v/>
      </c>
      <c r="AA347" s="271" t="str">
        <f>IF(AA$3="","",IF(COUNTIFS(BD!$A$3:$A$5001,AA$3,BD!$B$3:$B$5001,$A$335,BD!$O$3:$O$5001,"&lt;&gt;")=0,"",SUMIFS(BD!$O$3:$O$5001,BD!$A$3:$A$5001,AA$3,BD!$B$3:$B$5001,$A$335)))</f>
        <v/>
      </c>
      <c r="AB347" s="271" t="str">
        <f>IF(AB$3="","",IF(COUNTIFS(BD!$A$3:$A$5001,AB$3,BD!$B$3:$B$5001,$A$335,BD!$O$3:$O$5001,"&lt;&gt;")=0,"",SUMIFS(BD!$O$3:$O$5001,BD!$A$3:$A$5001,AB$3,BD!$B$3:$B$5001,$A$335)))</f>
        <v/>
      </c>
      <c r="AC347" s="271" t="str">
        <f>IF(AC$3="","",IF(COUNTIFS(BD!$A$3:$A$5001,AC$3,BD!$B$3:$B$5001,$A$335,BD!$O$3:$O$5001,"&lt;&gt;")=0,"",SUMIFS(BD!$O$3:$O$5001,BD!$A$3:$A$5001,AC$3,BD!$B$3:$B$5001,$A$335)))</f>
        <v/>
      </c>
      <c r="AD347" s="271" t="str">
        <f>IF(AD$3="","",IF(COUNTIFS(BD!$A$3:$A$5001,AD$3,BD!$B$3:$B$5001,$A$335,BD!$O$3:$O$5001,"&lt;&gt;")=0,"",SUMIFS(BD!$O$3:$O$5001,BD!$A$3:$A$5001,AD$3,BD!$B$3:$B$5001,$A$335)))</f>
        <v/>
      </c>
      <c r="AE347" s="271" t="str">
        <f>IF(AE$3="","",IF(COUNTIFS(BD!$A$3:$A$5001,AE$3,BD!$B$3:$B$5001,$A$335,BD!$O$3:$O$5001,"&lt;&gt;")=0,"",SUMIFS(BD!$O$3:$O$5001,BD!$A$3:$A$5001,AE$3,BD!$B$3:$B$5001,$A$335)))</f>
        <v/>
      </c>
      <c r="AF347" s="271" t="str">
        <f>IF(AF$3="","",IF(COUNTIFS(BD!$A$3:$A$5001,AF$3,BD!$B$3:$B$5001,$A$335,BD!$O$3:$O$5001,"&lt;&gt;")=0,"",SUMIFS(BD!$O$3:$O$5001,BD!$A$3:$A$5001,AF$3,BD!$B$3:$B$5001,$A$335)))</f>
        <v/>
      </c>
      <c r="AG347" s="271" t="str">
        <f>IF(AG$3="","",IF(COUNTIFS(BD!$A$3:$A$5001,AG$3,BD!$B$3:$B$5001,$A$335,BD!$O$3:$O$5001,"&lt;&gt;")=0,"",SUMIFS(BD!$O$3:$O$5001,BD!$A$3:$A$5001,AG$3,BD!$B$3:$B$5001,$A$335)))</f>
        <v/>
      </c>
      <c r="AH347" s="271" t="str">
        <f>IF(AH$3="","",IF(COUNTIFS(BD!$A$3:$A$5001,AH$3,BD!$B$3:$B$5001,$A$335,BD!$O$3:$O$5001,"&lt;&gt;")=0,"",SUMIFS(BD!$O$3:$O$5001,BD!$A$3:$A$5001,AH$3,BD!$B$3:$B$5001,$A$335)))</f>
        <v/>
      </c>
      <c r="AI347" s="271" t="str">
        <f>IF(AI$3="","",IF(COUNTIFS(BD!$A$3:$A$5001,AI$3,BD!$B$3:$B$5001,$A$335,BD!$O$3:$O$5001,"&lt;&gt;")=0,"",SUMIFS(BD!$O$3:$O$5001,BD!$A$3:$A$5001,AI$3,BD!$B$3:$B$5001,$A$335)))</f>
        <v/>
      </c>
      <c r="AJ347" s="272" t="str">
        <f>IF(AJ$3="","",IF(COUNTIFS(BD!$A$3:$A$5001,AJ$3,BD!$B$3:$B$5001,$A$335,BD!$O$3:$O$5001,"&lt;&gt;")=0,"",SUMIFS(BD!$O$3:$O$5001,BD!$A$3:$A$5001,AJ$3,BD!$B$3:$B$5001,$A$335)))</f>
        <v/>
      </c>
      <c r="AK347" s="273" t="str">
        <f>IF(COUNT(F347:AJ347)=0,"",SUM(F347:AJ347))</f>
        <v/>
      </c>
    </row>
    <row r="348" ht="15.75" customHeight="1" hidden="1">
      <c r="A348" s="261"/>
      <c r="B348" s="278"/>
      <c r="C348" s="267" t="inlineStr">
        <is>
          <t xml:space="preserve">Linhas NF</t>
        </is>
      </c>
      <c r="D348" s="268" t="str">
        <f>IFERROR(1/(1/INDEX(BD!$AL$36:$BF$36,MATCH($A$335,BD!$AL$22:$BF$22,0))),"")</f>
        <v/>
      </c>
      <c r="E348" s="269"/>
      <c r="F348" s="270" t="str">
        <f>IF(F$3="","",IF(COUNTIFS(BD!$A$3:$A$5001,F$3,BD!$B$3:$B$5001,$A$335,BD!$P$3:$P$5001,"&lt;&gt;")=0,"",SUMIFS(BD!$P$3:$P$5001,BD!$A$3:$A$5001,F$3,BD!$B$3:$B$5001,$A$335)))</f>
        <v/>
      </c>
      <c r="G348" s="271" t="str">
        <f>IF(G$3="","",IF(COUNTIFS(BD!$A$3:$A$5001,G$3,BD!$B$3:$B$5001,$A$335,BD!$P$3:$P$5001,"&lt;&gt;")=0,"",SUMIFS(BD!$P$3:$P$5001,BD!$A$3:$A$5001,G$3,BD!$B$3:$B$5001,$A$335)))</f>
        <v/>
      </c>
      <c r="H348" s="271" t="str">
        <f>IF(H$3="","",IF(COUNTIFS(BD!$A$3:$A$5001,H$3,BD!$B$3:$B$5001,$A$335,BD!$P$3:$P$5001,"&lt;&gt;")=0,"",SUMIFS(BD!$P$3:$P$5001,BD!$A$3:$A$5001,H$3,BD!$B$3:$B$5001,$A$335)))</f>
        <v/>
      </c>
      <c r="I348" s="271" t="str">
        <f>IF(I$3="","",IF(COUNTIFS(BD!$A$3:$A$5001,I$3,BD!$B$3:$B$5001,$A$335,BD!$P$3:$P$5001,"&lt;&gt;")=0,"",SUMIFS(BD!$P$3:$P$5001,BD!$A$3:$A$5001,I$3,BD!$B$3:$B$5001,$A$335)))</f>
        <v/>
      </c>
      <c r="J348" s="271" t="str">
        <f>IF(J$3="","",IF(COUNTIFS(BD!$A$3:$A$5001,J$3,BD!$B$3:$B$5001,$A$335,BD!$P$3:$P$5001,"&lt;&gt;")=0,"",SUMIFS(BD!$P$3:$P$5001,BD!$A$3:$A$5001,J$3,BD!$B$3:$B$5001,$A$335)))</f>
        <v/>
      </c>
      <c r="K348" s="271" t="str">
        <f>IF(K$3="","",IF(COUNTIFS(BD!$A$3:$A$5001,K$3,BD!$B$3:$B$5001,$A$335,BD!$P$3:$P$5001,"&lt;&gt;")=0,"",SUMIFS(BD!$P$3:$P$5001,BD!$A$3:$A$5001,K$3,BD!$B$3:$B$5001,$A$335)))</f>
        <v/>
      </c>
      <c r="L348" s="271" t="str">
        <f>IF(L$3="","",IF(COUNTIFS(BD!$A$3:$A$5001,L$3,BD!$B$3:$B$5001,$A$335,BD!$P$3:$P$5001,"&lt;&gt;")=0,"",SUMIFS(BD!$P$3:$P$5001,BD!$A$3:$A$5001,L$3,BD!$B$3:$B$5001,$A$335)))</f>
        <v/>
      </c>
      <c r="M348" s="271" t="str">
        <f>IF(M$3="","",IF(COUNTIFS(BD!$A$3:$A$5001,M$3,BD!$B$3:$B$5001,$A$335,BD!$P$3:$P$5001,"&lt;&gt;")=0,"",SUMIFS(BD!$P$3:$P$5001,BD!$A$3:$A$5001,M$3,BD!$B$3:$B$5001,$A$335)))</f>
        <v/>
      </c>
      <c r="N348" s="271" t="str">
        <f>IF(N$3="","",IF(COUNTIFS(BD!$A$3:$A$5001,N$3,BD!$B$3:$B$5001,$A$335,BD!$P$3:$P$5001,"&lt;&gt;")=0,"",SUMIFS(BD!$P$3:$P$5001,BD!$A$3:$A$5001,N$3,BD!$B$3:$B$5001,$A$335)))</f>
        <v/>
      </c>
      <c r="O348" s="271" t="str">
        <f>IF(O$3="","",IF(COUNTIFS(BD!$A$3:$A$5001,O$3,BD!$B$3:$B$5001,$A$335,BD!$P$3:$P$5001,"&lt;&gt;")=0,"",SUMIFS(BD!$P$3:$P$5001,BD!$A$3:$A$5001,O$3,BD!$B$3:$B$5001,$A$335)))</f>
        <v/>
      </c>
      <c r="P348" s="271" t="str">
        <f>IF(P$3="","",IF(COUNTIFS(BD!$A$3:$A$5001,P$3,BD!$B$3:$B$5001,$A$335,BD!$P$3:$P$5001,"&lt;&gt;")=0,"",SUMIFS(BD!$P$3:$P$5001,BD!$A$3:$A$5001,P$3,BD!$B$3:$B$5001,$A$335)))</f>
        <v/>
      </c>
      <c r="Q348" s="271" t="str">
        <f>IF(Q$3="","",IF(COUNTIFS(BD!$A$3:$A$5001,Q$3,BD!$B$3:$B$5001,$A$335,BD!$P$3:$P$5001,"&lt;&gt;")=0,"",SUMIFS(BD!$P$3:$P$5001,BD!$A$3:$A$5001,Q$3,BD!$B$3:$B$5001,$A$335)))</f>
        <v/>
      </c>
      <c r="R348" s="271" t="str">
        <f>IF(R$3="","",IF(COUNTIFS(BD!$A$3:$A$5001,R$3,BD!$B$3:$B$5001,$A$335,BD!$P$3:$P$5001,"&lt;&gt;")=0,"",SUMIFS(BD!$P$3:$P$5001,BD!$A$3:$A$5001,R$3,BD!$B$3:$B$5001,$A$335)))</f>
        <v/>
      </c>
      <c r="S348" s="271" t="str">
        <f>IF(S$3="","",IF(COUNTIFS(BD!$A$3:$A$5001,S$3,BD!$B$3:$B$5001,$A$335,BD!$P$3:$P$5001,"&lt;&gt;")=0,"",SUMIFS(BD!$P$3:$P$5001,BD!$A$3:$A$5001,S$3,BD!$B$3:$B$5001,$A$335)))</f>
        <v/>
      </c>
      <c r="T348" s="271" t="str">
        <f>IF(T$3="","",IF(COUNTIFS(BD!$A$3:$A$5001,T$3,BD!$B$3:$B$5001,$A$335,BD!$P$3:$P$5001,"&lt;&gt;")=0,"",SUMIFS(BD!$P$3:$P$5001,BD!$A$3:$A$5001,T$3,BD!$B$3:$B$5001,$A$335)))</f>
        <v/>
      </c>
      <c r="U348" s="271" t="str">
        <f>IF(U$3="","",IF(COUNTIFS(BD!$A$3:$A$5001,U$3,BD!$B$3:$B$5001,$A$335,BD!$P$3:$P$5001,"&lt;&gt;")=0,"",SUMIFS(BD!$P$3:$P$5001,BD!$A$3:$A$5001,U$3,BD!$B$3:$B$5001,$A$335)))</f>
        <v/>
      </c>
      <c r="V348" s="271" t="str">
        <f>IF(V$3="","",IF(COUNTIFS(BD!$A$3:$A$5001,V$3,BD!$B$3:$B$5001,$A$335,BD!$P$3:$P$5001,"&lt;&gt;")=0,"",SUMIFS(BD!$P$3:$P$5001,BD!$A$3:$A$5001,V$3,BD!$B$3:$B$5001,$A$335)))</f>
        <v/>
      </c>
      <c r="W348" s="271" t="str">
        <f>IF(W$3="","",IF(COUNTIFS(BD!$A$3:$A$5001,W$3,BD!$B$3:$B$5001,$A$335,BD!$P$3:$P$5001,"&lt;&gt;")=0,"",SUMIFS(BD!$P$3:$P$5001,BD!$A$3:$A$5001,W$3,BD!$B$3:$B$5001,$A$335)))</f>
        <v/>
      </c>
      <c r="X348" s="271" t="str">
        <f>IF(X$3="","",IF(COUNTIFS(BD!$A$3:$A$5001,X$3,BD!$B$3:$B$5001,$A$335,BD!$P$3:$P$5001,"&lt;&gt;")=0,"",SUMIFS(BD!$P$3:$P$5001,BD!$A$3:$A$5001,X$3,BD!$B$3:$B$5001,$A$335)))</f>
        <v/>
      </c>
      <c r="Y348" s="271" t="str">
        <f>IF(Y$3="","",IF(COUNTIFS(BD!$A$3:$A$5001,Y$3,BD!$B$3:$B$5001,$A$335,BD!$P$3:$P$5001,"&lt;&gt;")=0,"",SUMIFS(BD!$P$3:$P$5001,BD!$A$3:$A$5001,Y$3,BD!$B$3:$B$5001,$A$335)))</f>
        <v/>
      </c>
      <c r="Z348" s="271" t="str">
        <f>IF(Z$3="","",IF(COUNTIFS(BD!$A$3:$A$5001,Z$3,BD!$B$3:$B$5001,$A$335,BD!$P$3:$P$5001,"&lt;&gt;")=0,"",SUMIFS(BD!$P$3:$P$5001,BD!$A$3:$A$5001,Z$3,BD!$B$3:$B$5001,$A$335)))</f>
        <v/>
      </c>
      <c r="AA348" s="271" t="str">
        <f>IF(AA$3="","",IF(COUNTIFS(BD!$A$3:$A$5001,AA$3,BD!$B$3:$B$5001,$A$335,BD!$P$3:$P$5001,"&lt;&gt;")=0,"",SUMIFS(BD!$P$3:$P$5001,BD!$A$3:$A$5001,AA$3,BD!$B$3:$B$5001,$A$335)))</f>
        <v/>
      </c>
      <c r="AB348" s="271" t="str">
        <f>IF(AB$3="","",IF(COUNTIFS(BD!$A$3:$A$5001,AB$3,BD!$B$3:$B$5001,$A$335,BD!$P$3:$P$5001,"&lt;&gt;")=0,"",SUMIFS(BD!$P$3:$P$5001,BD!$A$3:$A$5001,AB$3,BD!$B$3:$B$5001,$A$335)))</f>
        <v/>
      </c>
      <c r="AC348" s="271" t="str">
        <f>IF(AC$3="","",IF(COUNTIFS(BD!$A$3:$A$5001,AC$3,BD!$B$3:$B$5001,$A$335,BD!$P$3:$P$5001,"&lt;&gt;")=0,"",SUMIFS(BD!$P$3:$P$5001,BD!$A$3:$A$5001,AC$3,BD!$B$3:$B$5001,$A$335)))</f>
        <v/>
      </c>
      <c r="AD348" s="271" t="str">
        <f>IF(AD$3="","",IF(COUNTIFS(BD!$A$3:$A$5001,AD$3,BD!$B$3:$B$5001,$A$335,BD!$P$3:$P$5001,"&lt;&gt;")=0,"",SUMIFS(BD!$P$3:$P$5001,BD!$A$3:$A$5001,AD$3,BD!$B$3:$B$5001,$A$335)))</f>
        <v/>
      </c>
      <c r="AE348" s="271" t="str">
        <f>IF(AE$3="","",IF(COUNTIFS(BD!$A$3:$A$5001,AE$3,BD!$B$3:$B$5001,$A$335,BD!$P$3:$P$5001,"&lt;&gt;")=0,"",SUMIFS(BD!$P$3:$P$5001,BD!$A$3:$A$5001,AE$3,BD!$B$3:$B$5001,$A$335)))</f>
        <v/>
      </c>
      <c r="AF348" s="271" t="str">
        <f>IF(AF$3="","",IF(COUNTIFS(BD!$A$3:$A$5001,AF$3,BD!$B$3:$B$5001,$A$335,BD!$P$3:$P$5001,"&lt;&gt;")=0,"",SUMIFS(BD!$P$3:$P$5001,BD!$A$3:$A$5001,AF$3,BD!$B$3:$B$5001,$A$335)))</f>
        <v/>
      </c>
      <c r="AG348" s="271" t="str">
        <f>IF(AG$3="","",IF(COUNTIFS(BD!$A$3:$A$5001,AG$3,BD!$B$3:$B$5001,$A$335,BD!$P$3:$P$5001,"&lt;&gt;")=0,"",SUMIFS(BD!$P$3:$P$5001,BD!$A$3:$A$5001,AG$3,BD!$B$3:$B$5001,$A$335)))</f>
        <v/>
      </c>
      <c r="AH348" s="271" t="str">
        <f>IF(AH$3="","",IF(COUNTIFS(BD!$A$3:$A$5001,AH$3,BD!$B$3:$B$5001,$A$335,BD!$P$3:$P$5001,"&lt;&gt;")=0,"",SUMIFS(BD!$P$3:$P$5001,BD!$A$3:$A$5001,AH$3,BD!$B$3:$B$5001,$A$335)))</f>
        <v/>
      </c>
      <c r="AI348" s="271" t="str">
        <f>IF(AI$3="","",IF(COUNTIFS(BD!$A$3:$A$5001,AI$3,BD!$B$3:$B$5001,$A$335,BD!$P$3:$P$5001,"&lt;&gt;")=0,"",SUMIFS(BD!$P$3:$P$5001,BD!$A$3:$A$5001,AI$3,BD!$B$3:$B$5001,$A$335)))</f>
        <v/>
      </c>
      <c r="AJ348" s="272" t="str">
        <f>IF(AJ$3="","",IF(COUNTIFS(BD!$A$3:$A$5001,AJ$3,BD!$B$3:$B$5001,$A$335,BD!$P$3:$P$5001,"&lt;&gt;")=0,"",SUMIFS(BD!$P$3:$P$5001,BD!$A$3:$A$5001,AJ$3,BD!$B$3:$B$5001,$A$335)))</f>
        <v/>
      </c>
      <c r="AK348" s="273" t="str">
        <f>IF(COUNT(F348:AJ348)=0,"",SUM(F348:AJ348))</f>
        <v/>
      </c>
    </row>
    <row r="349" ht="15.75" customHeight="1" hidden="1">
      <c r="A349" s="261"/>
      <c r="B349" s="278"/>
      <c r="C349" s="267" t="inlineStr">
        <is>
          <t xml:space="preserve">Caixas Expedidas</t>
        </is>
      </c>
      <c r="D349" s="268" t="str">
        <f>IFERROR(1/(1/INDEX(BD!$AL$37:$BF$37,MATCH($A$335,BD!$AL$22:$BF$22,0))),"")</f>
        <v/>
      </c>
      <c r="E349" s="269"/>
      <c r="F349" s="270" t="str">
        <f>IF(F$3="","",IF(COUNTIFS(BD!$A$3:$A$5001,F$3,BD!$B$3:$B$5001,$A$335,BD!$Q$3:$Q$5001,"&lt;&gt;")=0,"",SUMIFS(BD!$Q$3:$Q$5001,BD!$A$3:$A$5001,F$3,BD!$B$3:$B$5001,$A$335)))</f>
        <v/>
      </c>
      <c r="G349" s="271" t="str">
        <f>IF(G$3="","",IF(COUNTIFS(BD!$A$3:$A$5001,G$3,BD!$B$3:$B$5001,$A$335,BD!$Q$3:$Q$5001,"&lt;&gt;")=0,"",SUMIFS(BD!$Q$3:$Q$5001,BD!$A$3:$A$5001,G$3,BD!$B$3:$B$5001,$A$335)))</f>
        <v/>
      </c>
      <c r="H349" s="271" t="str">
        <f>IF(H$3="","",IF(COUNTIFS(BD!$A$3:$A$5001,H$3,BD!$B$3:$B$5001,$A$335,BD!$Q$3:$Q$5001,"&lt;&gt;")=0,"",SUMIFS(BD!$Q$3:$Q$5001,BD!$A$3:$A$5001,H$3,BD!$B$3:$B$5001,$A$335)))</f>
        <v/>
      </c>
      <c r="I349" s="271" t="str">
        <f>IF(I$3="","",IF(COUNTIFS(BD!$A$3:$A$5001,I$3,BD!$B$3:$B$5001,$A$335,BD!$Q$3:$Q$5001,"&lt;&gt;")=0,"",SUMIFS(BD!$Q$3:$Q$5001,BD!$A$3:$A$5001,I$3,BD!$B$3:$B$5001,$A$335)))</f>
        <v/>
      </c>
      <c r="J349" s="271" t="str">
        <f>IF(J$3="","",IF(COUNTIFS(BD!$A$3:$A$5001,J$3,BD!$B$3:$B$5001,$A$335,BD!$Q$3:$Q$5001,"&lt;&gt;")=0,"",SUMIFS(BD!$Q$3:$Q$5001,BD!$A$3:$A$5001,J$3,BD!$B$3:$B$5001,$A$335)))</f>
        <v/>
      </c>
      <c r="K349" s="271" t="str">
        <f>IF(K$3="","",IF(COUNTIFS(BD!$A$3:$A$5001,K$3,BD!$B$3:$B$5001,$A$335,BD!$Q$3:$Q$5001,"&lt;&gt;")=0,"",SUMIFS(BD!$Q$3:$Q$5001,BD!$A$3:$A$5001,K$3,BD!$B$3:$B$5001,$A$335)))</f>
        <v/>
      </c>
      <c r="L349" s="271" t="str">
        <f>IF(L$3="","",IF(COUNTIFS(BD!$A$3:$A$5001,L$3,BD!$B$3:$B$5001,$A$335,BD!$Q$3:$Q$5001,"&lt;&gt;")=0,"",SUMIFS(BD!$Q$3:$Q$5001,BD!$A$3:$A$5001,L$3,BD!$B$3:$B$5001,$A$335)))</f>
        <v/>
      </c>
      <c r="M349" s="271" t="str">
        <f>IF(M$3="","",IF(COUNTIFS(BD!$A$3:$A$5001,M$3,BD!$B$3:$B$5001,$A$335,BD!$Q$3:$Q$5001,"&lt;&gt;")=0,"",SUMIFS(BD!$Q$3:$Q$5001,BD!$A$3:$A$5001,M$3,BD!$B$3:$B$5001,$A$335)))</f>
        <v/>
      </c>
      <c r="N349" s="271" t="str">
        <f>IF(N$3="","",IF(COUNTIFS(BD!$A$3:$A$5001,N$3,BD!$B$3:$B$5001,$A$335,BD!$Q$3:$Q$5001,"&lt;&gt;")=0,"",SUMIFS(BD!$Q$3:$Q$5001,BD!$A$3:$A$5001,N$3,BD!$B$3:$B$5001,$A$335)))</f>
        <v/>
      </c>
      <c r="O349" s="271" t="str">
        <f>IF(O$3="","",IF(COUNTIFS(BD!$A$3:$A$5001,O$3,BD!$B$3:$B$5001,$A$335,BD!$Q$3:$Q$5001,"&lt;&gt;")=0,"",SUMIFS(BD!$Q$3:$Q$5001,BD!$A$3:$A$5001,O$3,BD!$B$3:$B$5001,$A$335)))</f>
        <v/>
      </c>
      <c r="P349" s="271" t="str">
        <f>IF(P$3="","",IF(COUNTIFS(BD!$A$3:$A$5001,P$3,BD!$B$3:$B$5001,$A$335,BD!$Q$3:$Q$5001,"&lt;&gt;")=0,"",SUMIFS(BD!$Q$3:$Q$5001,BD!$A$3:$A$5001,P$3,BD!$B$3:$B$5001,$A$335)))</f>
        <v/>
      </c>
      <c r="Q349" s="271" t="str">
        <f>IF(Q$3="","",IF(COUNTIFS(BD!$A$3:$A$5001,Q$3,BD!$B$3:$B$5001,$A$335,BD!$Q$3:$Q$5001,"&lt;&gt;")=0,"",SUMIFS(BD!$Q$3:$Q$5001,BD!$A$3:$A$5001,Q$3,BD!$B$3:$B$5001,$A$335)))</f>
        <v/>
      </c>
      <c r="R349" s="271" t="str">
        <f>IF(R$3="","",IF(COUNTIFS(BD!$A$3:$A$5001,R$3,BD!$B$3:$B$5001,$A$335,BD!$Q$3:$Q$5001,"&lt;&gt;")=0,"",SUMIFS(BD!$Q$3:$Q$5001,BD!$A$3:$A$5001,R$3,BD!$B$3:$B$5001,$A$335)))</f>
        <v/>
      </c>
      <c r="S349" s="271" t="str">
        <f>IF(S$3="","",IF(COUNTIFS(BD!$A$3:$A$5001,S$3,BD!$B$3:$B$5001,$A$335,BD!$Q$3:$Q$5001,"&lt;&gt;")=0,"",SUMIFS(BD!$Q$3:$Q$5001,BD!$A$3:$A$5001,S$3,BD!$B$3:$B$5001,$A$335)))</f>
        <v/>
      </c>
      <c r="T349" s="271" t="str">
        <f>IF(T$3="","",IF(COUNTIFS(BD!$A$3:$A$5001,T$3,BD!$B$3:$B$5001,$A$335,BD!$Q$3:$Q$5001,"&lt;&gt;")=0,"",SUMIFS(BD!$Q$3:$Q$5001,BD!$A$3:$A$5001,T$3,BD!$B$3:$B$5001,$A$335)))</f>
        <v/>
      </c>
      <c r="U349" s="271" t="str">
        <f>IF(U$3="","",IF(COUNTIFS(BD!$A$3:$A$5001,U$3,BD!$B$3:$B$5001,$A$335,BD!$Q$3:$Q$5001,"&lt;&gt;")=0,"",SUMIFS(BD!$Q$3:$Q$5001,BD!$A$3:$A$5001,U$3,BD!$B$3:$B$5001,$A$335)))</f>
        <v/>
      </c>
      <c r="V349" s="271" t="str">
        <f>IF(V$3="","",IF(COUNTIFS(BD!$A$3:$A$5001,V$3,BD!$B$3:$B$5001,$A$335,BD!$Q$3:$Q$5001,"&lt;&gt;")=0,"",SUMIFS(BD!$Q$3:$Q$5001,BD!$A$3:$A$5001,V$3,BD!$B$3:$B$5001,$A$335)))</f>
        <v/>
      </c>
      <c r="W349" s="271" t="str">
        <f>IF(W$3="","",IF(COUNTIFS(BD!$A$3:$A$5001,W$3,BD!$B$3:$B$5001,$A$335,BD!$Q$3:$Q$5001,"&lt;&gt;")=0,"",SUMIFS(BD!$Q$3:$Q$5001,BD!$A$3:$A$5001,W$3,BD!$B$3:$B$5001,$A$335)))</f>
        <v/>
      </c>
      <c r="X349" s="271" t="str">
        <f>IF(X$3="","",IF(COUNTIFS(BD!$A$3:$A$5001,X$3,BD!$B$3:$B$5001,$A$335,BD!$Q$3:$Q$5001,"&lt;&gt;")=0,"",SUMIFS(BD!$Q$3:$Q$5001,BD!$A$3:$A$5001,X$3,BD!$B$3:$B$5001,$A$335)))</f>
        <v/>
      </c>
      <c r="Y349" s="271" t="str">
        <f>IF(Y$3="","",IF(COUNTIFS(BD!$A$3:$A$5001,Y$3,BD!$B$3:$B$5001,$A$335,BD!$Q$3:$Q$5001,"&lt;&gt;")=0,"",SUMIFS(BD!$Q$3:$Q$5001,BD!$A$3:$A$5001,Y$3,BD!$B$3:$B$5001,$A$335)))</f>
        <v/>
      </c>
      <c r="Z349" s="271" t="str">
        <f>IF(Z$3="","",IF(COUNTIFS(BD!$A$3:$A$5001,Z$3,BD!$B$3:$B$5001,$A$335,BD!$Q$3:$Q$5001,"&lt;&gt;")=0,"",SUMIFS(BD!$Q$3:$Q$5001,BD!$A$3:$A$5001,Z$3,BD!$B$3:$B$5001,$A$335)))</f>
        <v/>
      </c>
      <c r="AA349" s="271" t="str">
        <f>IF(AA$3="","",IF(COUNTIFS(BD!$A$3:$A$5001,AA$3,BD!$B$3:$B$5001,$A$335,BD!$Q$3:$Q$5001,"&lt;&gt;")=0,"",SUMIFS(BD!$Q$3:$Q$5001,BD!$A$3:$A$5001,AA$3,BD!$B$3:$B$5001,$A$335)))</f>
        <v/>
      </c>
      <c r="AB349" s="271" t="str">
        <f>IF(AB$3="","",IF(COUNTIFS(BD!$A$3:$A$5001,AB$3,BD!$B$3:$B$5001,$A$335,BD!$Q$3:$Q$5001,"&lt;&gt;")=0,"",SUMIFS(BD!$Q$3:$Q$5001,BD!$A$3:$A$5001,AB$3,BD!$B$3:$B$5001,$A$335)))</f>
        <v/>
      </c>
      <c r="AC349" s="271" t="str">
        <f>IF(AC$3="","",IF(COUNTIFS(BD!$A$3:$A$5001,AC$3,BD!$B$3:$B$5001,$A$335,BD!$Q$3:$Q$5001,"&lt;&gt;")=0,"",SUMIFS(BD!$Q$3:$Q$5001,BD!$A$3:$A$5001,AC$3,BD!$B$3:$B$5001,$A$335)))</f>
        <v/>
      </c>
      <c r="AD349" s="271" t="str">
        <f>IF(AD$3="","",IF(COUNTIFS(BD!$A$3:$A$5001,AD$3,BD!$B$3:$B$5001,$A$335,BD!$Q$3:$Q$5001,"&lt;&gt;")=0,"",SUMIFS(BD!$Q$3:$Q$5001,BD!$A$3:$A$5001,AD$3,BD!$B$3:$B$5001,$A$335)))</f>
        <v/>
      </c>
      <c r="AE349" s="271" t="str">
        <f>IF(AE$3="","",IF(COUNTIFS(BD!$A$3:$A$5001,AE$3,BD!$B$3:$B$5001,$A$335,BD!$Q$3:$Q$5001,"&lt;&gt;")=0,"",SUMIFS(BD!$Q$3:$Q$5001,BD!$A$3:$A$5001,AE$3,BD!$B$3:$B$5001,$A$335)))</f>
        <v/>
      </c>
      <c r="AF349" s="271" t="str">
        <f>IF(AF$3="","",IF(COUNTIFS(BD!$A$3:$A$5001,AF$3,BD!$B$3:$B$5001,$A$335,BD!$Q$3:$Q$5001,"&lt;&gt;")=0,"",SUMIFS(BD!$Q$3:$Q$5001,BD!$A$3:$A$5001,AF$3,BD!$B$3:$B$5001,$A$335)))</f>
        <v/>
      </c>
      <c r="AG349" s="271" t="str">
        <f>IF(AG$3="","",IF(COUNTIFS(BD!$A$3:$A$5001,AG$3,BD!$B$3:$B$5001,$A$335,BD!$Q$3:$Q$5001,"&lt;&gt;")=0,"",SUMIFS(BD!$Q$3:$Q$5001,BD!$A$3:$A$5001,AG$3,BD!$B$3:$B$5001,$A$335)))</f>
        <v/>
      </c>
      <c r="AH349" s="271" t="str">
        <f>IF(AH$3="","",IF(COUNTIFS(BD!$A$3:$A$5001,AH$3,BD!$B$3:$B$5001,$A$335,BD!$Q$3:$Q$5001,"&lt;&gt;")=0,"",SUMIFS(BD!$Q$3:$Q$5001,BD!$A$3:$A$5001,AH$3,BD!$B$3:$B$5001,$A$335)))</f>
        <v/>
      </c>
      <c r="AI349" s="271" t="str">
        <f>IF(AI$3="","",IF(COUNTIFS(BD!$A$3:$A$5001,AI$3,BD!$B$3:$B$5001,$A$335,BD!$Q$3:$Q$5001,"&lt;&gt;")=0,"",SUMIFS(BD!$Q$3:$Q$5001,BD!$A$3:$A$5001,AI$3,BD!$B$3:$B$5001,$A$335)))</f>
        <v/>
      </c>
      <c r="AJ349" s="272" t="str">
        <f>IF(AJ$3="","",IF(COUNTIFS(BD!$A$3:$A$5001,AJ$3,BD!$B$3:$B$5001,$A$335,BD!$Q$3:$Q$5001,"&lt;&gt;")=0,"",SUMIFS(BD!$Q$3:$Q$5001,BD!$A$3:$A$5001,AJ$3,BD!$B$3:$B$5001,$A$335)))</f>
        <v/>
      </c>
      <c r="AK349" s="273" t="str">
        <f>IF(COUNT(F349:AJ349)=0,"",SUM(F349:AJ349))</f>
        <v/>
      </c>
    </row>
    <row r="350" ht="15.75" customHeight="1" hidden="1">
      <c r="A350" s="261"/>
      <c r="B350" s="278"/>
      <c r="C350" s="267" t="inlineStr">
        <is>
          <t xml:space="preserve">Pallets Movimentados</t>
        </is>
      </c>
      <c r="D350" s="268" t="str">
        <f>IFERROR(1/(1/INDEX(BD!$AL$38:$BF$38,MATCH($A$335,BD!$AL$22:$BF$22,0))),"")</f>
        <v/>
      </c>
      <c r="E350" s="269"/>
      <c r="F350" s="270" t="str">
        <f>IF(F$3="","",IF(COUNTIFS(BD!$A$3:$A$5001,F$3,BD!$B$3:$B$5001,$A$335,BD!$R$3:$R$5001,"&lt;&gt;")=0,"",SUMIFS(BD!$R$3:$R$5001,BD!$A$3:$A$5001,F$3,BD!$B$3:$B$5001,$A$335)))</f>
        <v/>
      </c>
      <c r="G350" s="271" t="str">
        <f>IF(G$3="","",IF(COUNTIFS(BD!$A$3:$A$5001,G$3,BD!$B$3:$B$5001,$A$335,BD!$R$3:$R$5001,"&lt;&gt;")=0,"",SUMIFS(BD!$R$3:$R$5001,BD!$A$3:$A$5001,G$3,BD!$B$3:$B$5001,$A$335)))</f>
        <v/>
      </c>
      <c r="H350" s="271" t="str">
        <f>IF(H$3="","",IF(COUNTIFS(BD!$A$3:$A$5001,H$3,BD!$B$3:$B$5001,$A$335,BD!$R$3:$R$5001,"&lt;&gt;")=0,"",SUMIFS(BD!$R$3:$R$5001,BD!$A$3:$A$5001,H$3,BD!$B$3:$B$5001,$A$335)))</f>
        <v/>
      </c>
      <c r="I350" s="271" t="str">
        <f>IF(I$3="","",IF(COUNTIFS(BD!$A$3:$A$5001,I$3,BD!$B$3:$B$5001,$A$335,BD!$R$3:$R$5001,"&lt;&gt;")=0,"",SUMIFS(BD!$R$3:$R$5001,BD!$A$3:$A$5001,I$3,BD!$B$3:$B$5001,$A$335)))</f>
        <v/>
      </c>
      <c r="J350" s="271" t="str">
        <f>IF(J$3="","",IF(COUNTIFS(BD!$A$3:$A$5001,J$3,BD!$B$3:$B$5001,$A$335,BD!$R$3:$R$5001,"&lt;&gt;")=0,"",SUMIFS(BD!$R$3:$R$5001,BD!$A$3:$A$5001,J$3,BD!$B$3:$B$5001,$A$335)))</f>
        <v/>
      </c>
      <c r="K350" s="271" t="str">
        <f>IF(K$3="","",IF(COUNTIFS(BD!$A$3:$A$5001,K$3,BD!$B$3:$B$5001,$A$335,BD!$R$3:$R$5001,"&lt;&gt;")=0,"",SUMIFS(BD!$R$3:$R$5001,BD!$A$3:$A$5001,K$3,BD!$B$3:$B$5001,$A$335)))</f>
        <v/>
      </c>
      <c r="L350" s="271" t="str">
        <f>IF(L$3="","",IF(COUNTIFS(BD!$A$3:$A$5001,L$3,BD!$B$3:$B$5001,$A$335,BD!$R$3:$R$5001,"&lt;&gt;")=0,"",SUMIFS(BD!$R$3:$R$5001,BD!$A$3:$A$5001,L$3,BD!$B$3:$B$5001,$A$335)))</f>
        <v/>
      </c>
      <c r="M350" s="271" t="str">
        <f>IF(M$3="","",IF(COUNTIFS(BD!$A$3:$A$5001,M$3,BD!$B$3:$B$5001,$A$335,BD!$R$3:$R$5001,"&lt;&gt;")=0,"",SUMIFS(BD!$R$3:$R$5001,BD!$A$3:$A$5001,M$3,BD!$B$3:$B$5001,$A$335)))</f>
        <v/>
      </c>
      <c r="N350" s="271" t="str">
        <f>IF(N$3="","",IF(COUNTIFS(BD!$A$3:$A$5001,N$3,BD!$B$3:$B$5001,$A$335,BD!$R$3:$R$5001,"&lt;&gt;")=0,"",SUMIFS(BD!$R$3:$R$5001,BD!$A$3:$A$5001,N$3,BD!$B$3:$B$5001,$A$335)))</f>
        <v/>
      </c>
      <c r="O350" s="271" t="str">
        <f>IF(O$3="","",IF(COUNTIFS(BD!$A$3:$A$5001,O$3,BD!$B$3:$B$5001,$A$335,BD!$R$3:$R$5001,"&lt;&gt;")=0,"",SUMIFS(BD!$R$3:$R$5001,BD!$A$3:$A$5001,O$3,BD!$B$3:$B$5001,$A$335)))</f>
        <v/>
      </c>
      <c r="P350" s="271" t="str">
        <f>IF(P$3="","",IF(COUNTIFS(BD!$A$3:$A$5001,P$3,BD!$B$3:$B$5001,$A$335,BD!$R$3:$R$5001,"&lt;&gt;")=0,"",SUMIFS(BD!$R$3:$R$5001,BD!$A$3:$A$5001,P$3,BD!$B$3:$B$5001,$A$335)))</f>
        <v/>
      </c>
      <c r="Q350" s="271" t="str">
        <f>IF(Q$3="","",IF(COUNTIFS(BD!$A$3:$A$5001,Q$3,BD!$B$3:$B$5001,$A$335,BD!$R$3:$R$5001,"&lt;&gt;")=0,"",SUMIFS(BD!$R$3:$R$5001,BD!$A$3:$A$5001,Q$3,BD!$B$3:$B$5001,$A$335)))</f>
        <v/>
      </c>
      <c r="R350" s="271" t="str">
        <f>IF(R$3="","",IF(COUNTIFS(BD!$A$3:$A$5001,R$3,BD!$B$3:$B$5001,$A$335,BD!$R$3:$R$5001,"&lt;&gt;")=0,"",SUMIFS(BD!$R$3:$R$5001,BD!$A$3:$A$5001,R$3,BD!$B$3:$B$5001,$A$335)))</f>
        <v/>
      </c>
      <c r="S350" s="271" t="str">
        <f>IF(S$3="","",IF(COUNTIFS(BD!$A$3:$A$5001,S$3,BD!$B$3:$B$5001,$A$335,BD!$R$3:$R$5001,"&lt;&gt;")=0,"",SUMIFS(BD!$R$3:$R$5001,BD!$A$3:$A$5001,S$3,BD!$B$3:$B$5001,$A$335)))</f>
        <v/>
      </c>
      <c r="T350" s="271" t="str">
        <f>IF(T$3="","",IF(COUNTIFS(BD!$A$3:$A$5001,T$3,BD!$B$3:$B$5001,$A$335,BD!$R$3:$R$5001,"&lt;&gt;")=0,"",SUMIFS(BD!$R$3:$R$5001,BD!$A$3:$A$5001,T$3,BD!$B$3:$B$5001,$A$335)))</f>
        <v/>
      </c>
      <c r="U350" s="271" t="str">
        <f>IF(U$3="","",IF(COUNTIFS(BD!$A$3:$A$5001,U$3,BD!$B$3:$B$5001,$A$335,BD!$R$3:$R$5001,"&lt;&gt;")=0,"",SUMIFS(BD!$R$3:$R$5001,BD!$A$3:$A$5001,U$3,BD!$B$3:$B$5001,$A$335)))</f>
        <v/>
      </c>
      <c r="V350" s="271" t="str">
        <f>IF(V$3="","",IF(COUNTIFS(BD!$A$3:$A$5001,V$3,BD!$B$3:$B$5001,$A$335,BD!$R$3:$R$5001,"&lt;&gt;")=0,"",SUMIFS(BD!$R$3:$R$5001,BD!$A$3:$A$5001,V$3,BD!$B$3:$B$5001,$A$335)))</f>
        <v/>
      </c>
      <c r="W350" s="271" t="str">
        <f>IF(W$3="","",IF(COUNTIFS(BD!$A$3:$A$5001,W$3,BD!$B$3:$B$5001,$A$335,BD!$R$3:$R$5001,"&lt;&gt;")=0,"",SUMIFS(BD!$R$3:$R$5001,BD!$A$3:$A$5001,W$3,BD!$B$3:$B$5001,$A$335)))</f>
        <v/>
      </c>
      <c r="X350" s="271" t="str">
        <f>IF(X$3="","",IF(COUNTIFS(BD!$A$3:$A$5001,X$3,BD!$B$3:$B$5001,$A$335,BD!$R$3:$R$5001,"&lt;&gt;")=0,"",SUMIFS(BD!$R$3:$R$5001,BD!$A$3:$A$5001,X$3,BD!$B$3:$B$5001,$A$335)))</f>
        <v/>
      </c>
      <c r="Y350" s="271" t="str">
        <f>IF(Y$3="","",IF(COUNTIFS(BD!$A$3:$A$5001,Y$3,BD!$B$3:$B$5001,$A$335,BD!$R$3:$R$5001,"&lt;&gt;")=0,"",SUMIFS(BD!$R$3:$R$5001,BD!$A$3:$A$5001,Y$3,BD!$B$3:$B$5001,$A$335)))</f>
        <v/>
      </c>
      <c r="Z350" s="271" t="str">
        <f>IF(Z$3="","",IF(COUNTIFS(BD!$A$3:$A$5001,Z$3,BD!$B$3:$B$5001,$A$335,BD!$R$3:$R$5001,"&lt;&gt;")=0,"",SUMIFS(BD!$R$3:$R$5001,BD!$A$3:$A$5001,Z$3,BD!$B$3:$B$5001,$A$335)))</f>
        <v/>
      </c>
      <c r="AA350" s="271" t="str">
        <f>IF(AA$3="","",IF(COUNTIFS(BD!$A$3:$A$5001,AA$3,BD!$B$3:$B$5001,$A$335,BD!$R$3:$R$5001,"&lt;&gt;")=0,"",SUMIFS(BD!$R$3:$R$5001,BD!$A$3:$A$5001,AA$3,BD!$B$3:$B$5001,$A$335)))</f>
        <v/>
      </c>
      <c r="AB350" s="271" t="str">
        <f>IF(AB$3="","",IF(COUNTIFS(BD!$A$3:$A$5001,AB$3,BD!$B$3:$B$5001,$A$335,BD!$R$3:$R$5001,"&lt;&gt;")=0,"",SUMIFS(BD!$R$3:$R$5001,BD!$A$3:$A$5001,AB$3,BD!$B$3:$B$5001,$A$335)))</f>
        <v/>
      </c>
      <c r="AC350" s="271" t="str">
        <f>IF(AC$3="","",IF(COUNTIFS(BD!$A$3:$A$5001,AC$3,BD!$B$3:$B$5001,$A$335,BD!$R$3:$R$5001,"&lt;&gt;")=0,"",SUMIFS(BD!$R$3:$R$5001,BD!$A$3:$A$5001,AC$3,BD!$B$3:$B$5001,$A$335)))</f>
        <v/>
      </c>
      <c r="AD350" s="271" t="str">
        <f>IF(AD$3="","",IF(COUNTIFS(BD!$A$3:$A$5001,AD$3,BD!$B$3:$B$5001,$A$335,BD!$R$3:$R$5001,"&lt;&gt;")=0,"",SUMIFS(BD!$R$3:$R$5001,BD!$A$3:$A$5001,AD$3,BD!$B$3:$B$5001,$A$335)))</f>
        <v/>
      </c>
      <c r="AE350" s="271" t="str">
        <f>IF(AE$3="","",IF(COUNTIFS(BD!$A$3:$A$5001,AE$3,BD!$B$3:$B$5001,$A$335,BD!$R$3:$R$5001,"&lt;&gt;")=0,"",SUMIFS(BD!$R$3:$R$5001,BD!$A$3:$A$5001,AE$3,BD!$B$3:$B$5001,$A$335)))</f>
        <v/>
      </c>
      <c r="AF350" s="271" t="str">
        <f>IF(AF$3="","",IF(COUNTIFS(BD!$A$3:$A$5001,AF$3,BD!$B$3:$B$5001,$A$335,BD!$R$3:$R$5001,"&lt;&gt;")=0,"",SUMIFS(BD!$R$3:$R$5001,BD!$A$3:$A$5001,AF$3,BD!$B$3:$B$5001,$A$335)))</f>
        <v/>
      </c>
      <c r="AG350" s="271" t="str">
        <f>IF(AG$3="","",IF(COUNTIFS(BD!$A$3:$A$5001,AG$3,BD!$B$3:$B$5001,$A$335,BD!$R$3:$R$5001,"&lt;&gt;")=0,"",SUMIFS(BD!$R$3:$R$5001,BD!$A$3:$A$5001,AG$3,BD!$B$3:$B$5001,$A$335)))</f>
        <v/>
      </c>
      <c r="AH350" s="271" t="str">
        <f>IF(AH$3="","",IF(COUNTIFS(BD!$A$3:$A$5001,AH$3,BD!$B$3:$B$5001,$A$335,BD!$R$3:$R$5001,"&lt;&gt;")=0,"",SUMIFS(BD!$R$3:$R$5001,BD!$A$3:$A$5001,AH$3,BD!$B$3:$B$5001,$A$335)))</f>
        <v/>
      </c>
      <c r="AI350" s="271" t="str">
        <f>IF(AI$3="","",IF(COUNTIFS(BD!$A$3:$A$5001,AI$3,BD!$B$3:$B$5001,$A$335,BD!$R$3:$R$5001,"&lt;&gt;")=0,"",SUMIFS(BD!$R$3:$R$5001,BD!$A$3:$A$5001,AI$3,BD!$B$3:$B$5001,$A$335)))</f>
        <v/>
      </c>
      <c r="AJ350" s="272" t="str">
        <f>IF(AJ$3="","",IF(COUNTIFS(BD!$A$3:$A$5001,AJ$3,BD!$B$3:$B$5001,$A$335,BD!$R$3:$R$5001,"&lt;&gt;")=0,"",SUMIFS(BD!$R$3:$R$5001,BD!$A$3:$A$5001,AJ$3,BD!$B$3:$B$5001,$A$335)))</f>
        <v/>
      </c>
      <c r="AK350" s="273" t="str">
        <f>IF(COUNT(F350:AJ350)=0,"",SUM(F350:AJ350))</f>
        <v/>
      </c>
    </row>
    <row r="351" ht="15.75" customHeight="1" hidden="1">
      <c r="A351" s="261"/>
      <c r="B351" s="252"/>
      <c r="C351" s="188" t="inlineStr">
        <is>
          <t xml:space="preserve">Toneladas Movimentadas</t>
        </is>
      </c>
      <c r="D351" s="189" t="str">
        <f>IFERROR(1/(1/INDEX(BD!$AL$39:$BF$39,MATCH($A$335,BD!$AL$22:$BF$22,0))),"")</f>
        <v/>
      </c>
      <c r="E351" s="190"/>
      <c r="F351" s="274" t="str">
        <f>IF(F$3="","",IF(COUNTIFS(BD!$A$3:$A$5001,F$3,BD!$B$3:$B$5001,$A$335,BD!$S$3:$S$5001,"&lt;&gt;")=0,"",SUMIFS(BD!$S$3:$S$5001,BD!$A$3:$A$5001,F$3,BD!$B$3:$B$5001,$A$335)))</f>
        <v/>
      </c>
      <c r="G351" s="275" t="str">
        <f>IF(G$3="","",IF(COUNTIFS(BD!$A$3:$A$5001,G$3,BD!$B$3:$B$5001,$A$335,BD!$S$3:$S$5001,"&lt;&gt;")=0,"",SUMIFS(BD!$S$3:$S$5001,BD!$A$3:$A$5001,G$3,BD!$B$3:$B$5001,$A$335)))</f>
        <v/>
      </c>
      <c r="H351" s="275" t="str">
        <f>IF(H$3="","",IF(COUNTIFS(BD!$A$3:$A$5001,H$3,BD!$B$3:$B$5001,$A$335,BD!$S$3:$S$5001,"&lt;&gt;")=0,"",SUMIFS(BD!$S$3:$S$5001,BD!$A$3:$A$5001,H$3,BD!$B$3:$B$5001,$A$335)))</f>
        <v/>
      </c>
      <c r="I351" s="275" t="str">
        <f>IF(I$3="","",IF(COUNTIFS(BD!$A$3:$A$5001,I$3,BD!$B$3:$B$5001,$A$335,BD!$S$3:$S$5001,"&lt;&gt;")=0,"",SUMIFS(BD!$S$3:$S$5001,BD!$A$3:$A$5001,I$3,BD!$B$3:$B$5001,$A$335)))</f>
        <v/>
      </c>
      <c r="J351" s="275" t="str">
        <f>IF(J$3="","",IF(COUNTIFS(BD!$A$3:$A$5001,J$3,BD!$B$3:$B$5001,$A$335,BD!$S$3:$S$5001,"&lt;&gt;")=0,"",SUMIFS(BD!$S$3:$S$5001,BD!$A$3:$A$5001,J$3,BD!$B$3:$B$5001,$A$335)))</f>
        <v/>
      </c>
      <c r="K351" s="275" t="str">
        <f>IF(K$3="","",IF(COUNTIFS(BD!$A$3:$A$5001,K$3,BD!$B$3:$B$5001,$A$335,BD!$S$3:$S$5001,"&lt;&gt;")=0,"",SUMIFS(BD!$S$3:$S$5001,BD!$A$3:$A$5001,K$3,BD!$B$3:$B$5001,$A$335)))</f>
        <v/>
      </c>
      <c r="L351" s="275" t="str">
        <f>IF(L$3="","",IF(COUNTIFS(BD!$A$3:$A$5001,L$3,BD!$B$3:$B$5001,$A$335,BD!$S$3:$S$5001,"&lt;&gt;")=0,"",SUMIFS(BD!$S$3:$S$5001,BD!$A$3:$A$5001,L$3,BD!$B$3:$B$5001,$A$335)))</f>
        <v/>
      </c>
      <c r="M351" s="275" t="str">
        <f>IF(M$3="","",IF(COUNTIFS(BD!$A$3:$A$5001,M$3,BD!$B$3:$B$5001,$A$335,BD!$S$3:$S$5001,"&lt;&gt;")=0,"",SUMIFS(BD!$S$3:$S$5001,BD!$A$3:$A$5001,M$3,BD!$B$3:$B$5001,$A$335)))</f>
        <v/>
      </c>
      <c r="N351" s="275" t="str">
        <f>IF(N$3="","",IF(COUNTIFS(BD!$A$3:$A$5001,N$3,BD!$B$3:$B$5001,$A$335,BD!$S$3:$S$5001,"&lt;&gt;")=0,"",SUMIFS(BD!$S$3:$S$5001,BD!$A$3:$A$5001,N$3,BD!$B$3:$B$5001,$A$335)))</f>
        <v/>
      </c>
      <c r="O351" s="275" t="str">
        <f>IF(O$3="","",IF(COUNTIFS(BD!$A$3:$A$5001,O$3,BD!$B$3:$B$5001,$A$335,BD!$S$3:$S$5001,"&lt;&gt;")=0,"",SUMIFS(BD!$S$3:$S$5001,BD!$A$3:$A$5001,O$3,BD!$B$3:$B$5001,$A$335)))</f>
        <v/>
      </c>
      <c r="P351" s="275" t="str">
        <f>IF(P$3="","",IF(COUNTIFS(BD!$A$3:$A$5001,P$3,BD!$B$3:$B$5001,$A$335,BD!$S$3:$S$5001,"&lt;&gt;")=0,"",SUMIFS(BD!$S$3:$S$5001,BD!$A$3:$A$5001,P$3,BD!$B$3:$B$5001,$A$335)))</f>
        <v/>
      </c>
      <c r="Q351" s="275" t="str">
        <f>IF(Q$3="","",IF(COUNTIFS(BD!$A$3:$A$5001,Q$3,BD!$B$3:$B$5001,$A$335,BD!$S$3:$S$5001,"&lt;&gt;")=0,"",SUMIFS(BD!$S$3:$S$5001,BD!$A$3:$A$5001,Q$3,BD!$B$3:$B$5001,$A$335)))</f>
        <v/>
      </c>
      <c r="R351" s="275" t="str">
        <f>IF(R$3="","",IF(COUNTIFS(BD!$A$3:$A$5001,R$3,BD!$B$3:$B$5001,$A$335,BD!$S$3:$S$5001,"&lt;&gt;")=0,"",SUMIFS(BD!$S$3:$S$5001,BD!$A$3:$A$5001,R$3,BD!$B$3:$B$5001,$A$335)))</f>
        <v/>
      </c>
      <c r="S351" s="275" t="str">
        <f>IF(S$3="","",IF(COUNTIFS(BD!$A$3:$A$5001,S$3,BD!$B$3:$B$5001,$A$335,BD!$S$3:$S$5001,"&lt;&gt;")=0,"",SUMIFS(BD!$S$3:$S$5001,BD!$A$3:$A$5001,S$3,BD!$B$3:$B$5001,$A$335)))</f>
        <v/>
      </c>
      <c r="T351" s="275" t="str">
        <f>IF(T$3="","",IF(COUNTIFS(BD!$A$3:$A$5001,T$3,BD!$B$3:$B$5001,$A$335,BD!$S$3:$S$5001,"&lt;&gt;")=0,"",SUMIFS(BD!$S$3:$S$5001,BD!$A$3:$A$5001,T$3,BD!$B$3:$B$5001,$A$335)))</f>
        <v/>
      </c>
      <c r="U351" s="275" t="str">
        <f>IF(U$3="","",IF(COUNTIFS(BD!$A$3:$A$5001,U$3,BD!$B$3:$B$5001,$A$335,BD!$S$3:$S$5001,"&lt;&gt;")=0,"",SUMIFS(BD!$S$3:$S$5001,BD!$A$3:$A$5001,U$3,BD!$B$3:$B$5001,$A$335)))</f>
        <v/>
      </c>
      <c r="V351" s="275" t="str">
        <f>IF(V$3="","",IF(COUNTIFS(BD!$A$3:$A$5001,V$3,BD!$B$3:$B$5001,$A$335,BD!$S$3:$S$5001,"&lt;&gt;")=0,"",SUMIFS(BD!$S$3:$S$5001,BD!$A$3:$A$5001,V$3,BD!$B$3:$B$5001,$A$335)))</f>
        <v/>
      </c>
      <c r="W351" s="275" t="str">
        <f>IF(W$3="","",IF(COUNTIFS(BD!$A$3:$A$5001,W$3,BD!$B$3:$B$5001,$A$335,BD!$S$3:$S$5001,"&lt;&gt;")=0,"",SUMIFS(BD!$S$3:$S$5001,BD!$A$3:$A$5001,W$3,BD!$B$3:$B$5001,$A$335)))</f>
        <v/>
      </c>
      <c r="X351" s="275" t="str">
        <f>IF(X$3="","",IF(COUNTIFS(BD!$A$3:$A$5001,X$3,BD!$B$3:$B$5001,$A$335,BD!$S$3:$S$5001,"&lt;&gt;")=0,"",SUMIFS(BD!$S$3:$S$5001,BD!$A$3:$A$5001,X$3,BD!$B$3:$B$5001,$A$335)))</f>
        <v/>
      </c>
      <c r="Y351" s="275" t="str">
        <f>IF(Y$3="","",IF(COUNTIFS(BD!$A$3:$A$5001,Y$3,BD!$B$3:$B$5001,$A$335,BD!$S$3:$S$5001,"&lt;&gt;")=0,"",SUMIFS(BD!$S$3:$S$5001,BD!$A$3:$A$5001,Y$3,BD!$B$3:$B$5001,$A$335)))</f>
        <v/>
      </c>
      <c r="Z351" s="275" t="str">
        <f>IF(Z$3="","",IF(COUNTIFS(BD!$A$3:$A$5001,Z$3,BD!$B$3:$B$5001,$A$335,BD!$S$3:$S$5001,"&lt;&gt;")=0,"",SUMIFS(BD!$S$3:$S$5001,BD!$A$3:$A$5001,Z$3,BD!$B$3:$B$5001,$A$335)))</f>
        <v/>
      </c>
      <c r="AA351" s="275" t="str">
        <f>IF(AA$3="","",IF(COUNTIFS(BD!$A$3:$A$5001,AA$3,BD!$B$3:$B$5001,$A$335,BD!$S$3:$S$5001,"&lt;&gt;")=0,"",SUMIFS(BD!$S$3:$S$5001,BD!$A$3:$A$5001,AA$3,BD!$B$3:$B$5001,$A$335)))</f>
        <v/>
      </c>
      <c r="AB351" s="275" t="str">
        <f>IF(AB$3="","",IF(COUNTIFS(BD!$A$3:$A$5001,AB$3,BD!$B$3:$B$5001,$A$335,BD!$S$3:$S$5001,"&lt;&gt;")=0,"",SUMIFS(BD!$S$3:$S$5001,BD!$A$3:$A$5001,AB$3,BD!$B$3:$B$5001,$A$335)))</f>
        <v/>
      </c>
      <c r="AC351" s="275" t="str">
        <f>IF(AC$3="","",IF(COUNTIFS(BD!$A$3:$A$5001,AC$3,BD!$B$3:$B$5001,$A$335,BD!$S$3:$S$5001,"&lt;&gt;")=0,"",SUMIFS(BD!$S$3:$S$5001,BD!$A$3:$A$5001,AC$3,BD!$B$3:$B$5001,$A$335)))</f>
        <v/>
      </c>
      <c r="AD351" s="275" t="str">
        <f>IF(AD$3="","",IF(COUNTIFS(BD!$A$3:$A$5001,AD$3,BD!$B$3:$B$5001,$A$335,BD!$S$3:$S$5001,"&lt;&gt;")=0,"",SUMIFS(BD!$S$3:$S$5001,BD!$A$3:$A$5001,AD$3,BD!$B$3:$B$5001,$A$335)))</f>
        <v/>
      </c>
      <c r="AE351" s="275" t="str">
        <f>IF(AE$3="","",IF(COUNTIFS(BD!$A$3:$A$5001,AE$3,BD!$B$3:$B$5001,$A$335,BD!$S$3:$S$5001,"&lt;&gt;")=0,"",SUMIFS(BD!$S$3:$S$5001,BD!$A$3:$A$5001,AE$3,BD!$B$3:$B$5001,$A$335)))</f>
        <v/>
      </c>
      <c r="AF351" s="275" t="str">
        <f>IF(AF$3="","",IF(COUNTIFS(BD!$A$3:$A$5001,AF$3,BD!$B$3:$B$5001,$A$335,BD!$S$3:$S$5001,"&lt;&gt;")=0,"",SUMIFS(BD!$S$3:$S$5001,BD!$A$3:$A$5001,AF$3,BD!$B$3:$B$5001,$A$335)))</f>
        <v/>
      </c>
      <c r="AG351" s="275" t="str">
        <f>IF(AG$3="","",IF(COUNTIFS(BD!$A$3:$A$5001,AG$3,BD!$B$3:$B$5001,$A$335,BD!$S$3:$S$5001,"&lt;&gt;")=0,"",SUMIFS(BD!$S$3:$S$5001,BD!$A$3:$A$5001,AG$3,BD!$B$3:$B$5001,$A$335)))</f>
        <v/>
      </c>
      <c r="AH351" s="275" t="str">
        <f>IF(AH$3="","",IF(COUNTIFS(BD!$A$3:$A$5001,AH$3,BD!$B$3:$B$5001,$A$335,BD!$S$3:$S$5001,"&lt;&gt;")=0,"",SUMIFS(BD!$S$3:$S$5001,BD!$A$3:$A$5001,AH$3,BD!$B$3:$B$5001,$A$335)))</f>
        <v/>
      </c>
      <c r="AI351" s="275" t="str">
        <f>IF(AI$3="","",IF(COUNTIFS(BD!$A$3:$A$5001,AI$3,BD!$B$3:$B$5001,$A$335,BD!$S$3:$S$5001,"&lt;&gt;")=0,"",SUMIFS(BD!$S$3:$S$5001,BD!$A$3:$A$5001,AI$3,BD!$B$3:$B$5001,$A$335)))</f>
        <v/>
      </c>
      <c r="AJ351" s="276" t="str">
        <f>IF(AJ$3="","",IF(COUNTIFS(BD!$A$3:$A$5001,AJ$3,BD!$B$3:$B$5001,$A$335,BD!$S$3:$S$5001,"&lt;&gt;")=0,"",SUMIFS(BD!$S$3:$S$5001,BD!$A$3:$A$5001,AJ$3,BD!$B$3:$B$5001,$A$335)))</f>
        <v/>
      </c>
      <c r="AK351" s="277" t="str">
        <f>IF(COUNT(F351:AJ351)=0,"",SUM(F351:AJ351))</f>
        <v/>
      </c>
    </row>
    <row r="352" ht="15.75" customHeight="1" hidden="1">
      <c r="A352" s="261"/>
      <c r="B352" s="253" t="inlineStr">
        <is>
          <t xml:space="preserve">NC</t>
        </is>
      </c>
      <c r="C352" s="194" t="inlineStr">
        <is>
          <t xml:space="preserve">Incidentes</t>
        </is>
      </c>
      <c r="D352" s="195" t="str">
        <f>IFERROR(1/(1/INDEX(BD!$AL$40:$BF$40,MATCH($A$335,BD!$AL$22:$BF$22,0))),"")</f>
        <v/>
      </c>
      <c r="E352" s="196"/>
      <c r="F352" s="197" t="str">
        <f>IF(F$3="","",IF(COUNTIFS(BD!$A$3:$A$5001,F$3,BD!$B$3:$B$5001,$A$335,BD!$T$3:$T$5001,"&lt;&gt;")=0,"",SUMIFS(BD!$T$3:$T$5001,BD!$A$3:$A$5001,F$3,BD!$B$3:$B$5001,$A$335)))</f>
        <v/>
      </c>
      <c r="G352" s="198" t="str">
        <f>IF(G$3="","",IF(COUNTIFS(BD!$A$3:$A$5001,G$3,BD!$B$3:$B$5001,$A$335,BD!$T$3:$T$5001,"&lt;&gt;")=0,"",SUMIFS(BD!$T$3:$T$5001,BD!$A$3:$A$5001,G$3,BD!$B$3:$B$5001,$A$335)))</f>
        <v/>
      </c>
      <c r="H352" s="198" t="str">
        <f>IF(H$3="","",IF(COUNTIFS(BD!$A$3:$A$5001,H$3,BD!$B$3:$B$5001,$A$335,BD!$T$3:$T$5001,"&lt;&gt;")=0,"",SUMIFS(BD!$T$3:$T$5001,BD!$A$3:$A$5001,H$3,BD!$B$3:$B$5001,$A$335)))</f>
        <v/>
      </c>
      <c r="I352" s="198" t="str">
        <f>IF(I$3="","",IF(COUNTIFS(BD!$A$3:$A$5001,I$3,BD!$B$3:$B$5001,$A$335,BD!$T$3:$T$5001,"&lt;&gt;")=0,"",SUMIFS(BD!$T$3:$T$5001,BD!$A$3:$A$5001,I$3,BD!$B$3:$B$5001,$A$335)))</f>
        <v/>
      </c>
      <c r="J352" s="198" t="str">
        <f>IF(J$3="","",IF(COUNTIFS(BD!$A$3:$A$5001,J$3,BD!$B$3:$B$5001,$A$335,BD!$T$3:$T$5001,"&lt;&gt;")=0,"",SUMIFS(BD!$T$3:$T$5001,BD!$A$3:$A$5001,J$3,BD!$B$3:$B$5001,$A$335)))</f>
        <v/>
      </c>
      <c r="K352" s="198" t="str">
        <f>IF(K$3="","",IF(COUNTIFS(BD!$A$3:$A$5001,K$3,BD!$B$3:$B$5001,$A$335,BD!$T$3:$T$5001,"&lt;&gt;")=0,"",SUMIFS(BD!$T$3:$T$5001,BD!$A$3:$A$5001,K$3,BD!$B$3:$B$5001,$A$335)))</f>
        <v/>
      </c>
      <c r="L352" s="198" t="str">
        <f>IF(L$3="","",IF(COUNTIFS(BD!$A$3:$A$5001,L$3,BD!$B$3:$B$5001,$A$335,BD!$T$3:$T$5001,"&lt;&gt;")=0,"",SUMIFS(BD!$T$3:$T$5001,BD!$A$3:$A$5001,L$3,BD!$B$3:$B$5001,$A$335)))</f>
        <v/>
      </c>
      <c r="M352" s="198" t="str">
        <f>IF(M$3="","",IF(COUNTIFS(BD!$A$3:$A$5001,M$3,BD!$B$3:$B$5001,$A$335,BD!$T$3:$T$5001,"&lt;&gt;")=0,"",SUMIFS(BD!$T$3:$T$5001,BD!$A$3:$A$5001,M$3,BD!$B$3:$B$5001,$A$335)))</f>
        <v/>
      </c>
      <c r="N352" s="198" t="str">
        <f>IF(N$3="","",IF(COUNTIFS(BD!$A$3:$A$5001,N$3,BD!$B$3:$B$5001,$A$335,BD!$T$3:$T$5001,"&lt;&gt;")=0,"",SUMIFS(BD!$T$3:$T$5001,BD!$A$3:$A$5001,N$3,BD!$B$3:$B$5001,$A$335)))</f>
        <v/>
      </c>
      <c r="O352" s="198" t="str">
        <f>IF(O$3="","",IF(COUNTIFS(BD!$A$3:$A$5001,O$3,BD!$B$3:$B$5001,$A$335,BD!$T$3:$T$5001,"&lt;&gt;")=0,"",SUMIFS(BD!$T$3:$T$5001,BD!$A$3:$A$5001,O$3,BD!$B$3:$B$5001,$A$335)))</f>
        <v/>
      </c>
      <c r="P352" s="198" t="str">
        <f>IF(P$3="","",IF(COUNTIFS(BD!$A$3:$A$5001,P$3,BD!$B$3:$B$5001,$A$335,BD!$T$3:$T$5001,"&lt;&gt;")=0,"",SUMIFS(BD!$T$3:$T$5001,BD!$A$3:$A$5001,P$3,BD!$B$3:$B$5001,$A$335)))</f>
        <v/>
      </c>
      <c r="Q352" s="198" t="str">
        <f>IF(Q$3="","",IF(COUNTIFS(BD!$A$3:$A$5001,Q$3,BD!$B$3:$B$5001,$A$335,BD!$T$3:$T$5001,"&lt;&gt;")=0,"",SUMIFS(BD!$T$3:$T$5001,BD!$A$3:$A$5001,Q$3,BD!$B$3:$B$5001,$A$335)))</f>
        <v/>
      </c>
      <c r="R352" s="198" t="str">
        <f>IF(R$3="","",IF(COUNTIFS(BD!$A$3:$A$5001,R$3,BD!$B$3:$B$5001,$A$335,BD!$T$3:$T$5001,"&lt;&gt;")=0,"",SUMIFS(BD!$T$3:$T$5001,BD!$A$3:$A$5001,R$3,BD!$B$3:$B$5001,$A$335)))</f>
        <v/>
      </c>
      <c r="S352" s="198" t="str">
        <f>IF(S$3="","",IF(COUNTIFS(BD!$A$3:$A$5001,S$3,BD!$B$3:$B$5001,$A$335,BD!$T$3:$T$5001,"&lt;&gt;")=0,"",SUMIFS(BD!$T$3:$T$5001,BD!$A$3:$A$5001,S$3,BD!$B$3:$B$5001,$A$335)))</f>
        <v/>
      </c>
      <c r="T352" s="198" t="str">
        <f>IF(T$3="","",IF(COUNTIFS(BD!$A$3:$A$5001,T$3,BD!$B$3:$B$5001,$A$335,BD!$T$3:$T$5001,"&lt;&gt;")=0,"",SUMIFS(BD!$T$3:$T$5001,BD!$A$3:$A$5001,T$3,BD!$B$3:$B$5001,$A$335)))</f>
        <v/>
      </c>
      <c r="U352" s="198" t="str">
        <f>IF(U$3="","",IF(COUNTIFS(BD!$A$3:$A$5001,U$3,BD!$B$3:$B$5001,$A$335,BD!$T$3:$T$5001,"&lt;&gt;")=0,"",SUMIFS(BD!$T$3:$T$5001,BD!$A$3:$A$5001,U$3,BD!$B$3:$B$5001,$A$335)))</f>
        <v/>
      </c>
      <c r="V352" s="198" t="str">
        <f>IF(V$3="","",IF(COUNTIFS(BD!$A$3:$A$5001,V$3,BD!$B$3:$B$5001,$A$335,BD!$T$3:$T$5001,"&lt;&gt;")=0,"",SUMIFS(BD!$T$3:$T$5001,BD!$A$3:$A$5001,V$3,BD!$B$3:$B$5001,$A$335)))</f>
        <v/>
      </c>
      <c r="W352" s="198" t="str">
        <f>IF(W$3="","",IF(COUNTIFS(BD!$A$3:$A$5001,W$3,BD!$B$3:$B$5001,$A$335,BD!$T$3:$T$5001,"&lt;&gt;")=0,"",SUMIFS(BD!$T$3:$T$5001,BD!$A$3:$A$5001,W$3,BD!$B$3:$B$5001,$A$335)))</f>
        <v/>
      </c>
      <c r="X352" s="198" t="str">
        <f>IF(X$3="","",IF(COUNTIFS(BD!$A$3:$A$5001,X$3,BD!$B$3:$B$5001,$A$335,BD!$T$3:$T$5001,"&lt;&gt;")=0,"",SUMIFS(BD!$T$3:$T$5001,BD!$A$3:$A$5001,X$3,BD!$B$3:$B$5001,$A$335)))</f>
        <v/>
      </c>
      <c r="Y352" s="198" t="str">
        <f>IF(Y$3="","",IF(COUNTIFS(BD!$A$3:$A$5001,Y$3,BD!$B$3:$B$5001,$A$335,BD!$T$3:$T$5001,"&lt;&gt;")=0,"",SUMIFS(BD!$T$3:$T$5001,BD!$A$3:$A$5001,Y$3,BD!$B$3:$B$5001,$A$335)))</f>
        <v/>
      </c>
      <c r="Z352" s="198" t="str">
        <f>IF(Z$3="","",IF(COUNTIFS(BD!$A$3:$A$5001,Z$3,BD!$B$3:$B$5001,$A$335,BD!$T$3:$T$5001,"&lt;&gt;")=0,"",SUMIFS(BD!$T$3:$T$5001,BD!$A$3:$A$5001,Z$3,BD!$B$3:$B$5001,$A$335)))</f>
        <v/>
      </c>
      <c r="AA352" s="198" t="str">
        <f>IF(AA$3="","",IF(COUNTIFS(BD!$A$3:$A$5001,AA$3,BD!$B$3:$B$5001,$A$335,BD!$T$3:$T$5001,"&lt;&gt;")=0,"",SUMIFS(BD!$T$3:$T$5001,BD!$A$3:$A$5001,AA$3,BD!$B$3:$B$5001,$A$335)))</f>
        <v/>
      </c>
      <c r="AB352" s="198" t="str">
        <f>IF(AB$3="","",IF(COUNTIFS(BD!$A$3:$A$5001,AB$3,BD!$B$3:$B$5001,$A$335,BD!$T$3:$T$5001,"&lt;&gt;")=0,"",SUMIFS(BD!$T$3:$T$5001,BD!$A$3:$A$5001,AB$3,BD!$B$3:$B$5001,$A$335)))</f>
        <v/>
      </c>
      <c r="AC352" s="198" t="str">
        <f>IF(AC$3="","",IF(COUNTIFS(BD!$A$3:$A$5001,AC$3,BD!$B$3:$B$5001,$A$335,BD!$T$3:$T$5001,"&lt;&gt;")=0,"",SUMIFS(BD!$T$3:$T$5001,BD!$A$3:$A$5001,AC$3,BD!$B$3:$B$5001,$A$335)))</f>
        <v/>
      </c>
      <c r="AD352" s="198" t="str">
        <f>IF(AD$3="","",IF(COUNTIFS(BD!$A$3:$A$5001,AD$3,BD!$B$3:$B$5001,$A$335,BD!$T$3:$T$5001,"&lt;&gt;")=0,"",SUMIFS(BD!$T$3:$T$5001,BD!$A$3:$A$5001,AD$3,BD!$B$3:$B$5001,$A$335)))</f>
        <v/>
      </c>
      <c r="AE352" s="198" t="str">
        <f>IF(AE$3="","",IF(COUNTIFS(BD!$A$3:$A$5001,AE$3,BD!$B$3:$B$5001,$A$335,BD!$T$3:$T$5001,"&lt;&gt;")=0,"",SUMIFS(BD!$T$3:$T$5001,BD!$A$3:$A$5001,AE$3,BD!$B$3:$B$5001,$A$335)))</f>
        <v/>
      </c>
      <c r="AF352" s="198" t="str">
        <f>IF(AF$3="","",IF(COUNTIFS(BD!$A$3:$A$5001,AF$3,BD!$B$3:$B$5001,$A$335,BD!$T$3:$T$5001,"&lt;&gt;")=0,"",SUMIFS(BD!$T$3:$T$5001,BD!$A$3:$A$5001,AF$3,BD!$B$3:$B$5001,$A$335)))</f>
        <v/>
      </c>
      <c r="AG352" s="198" t="str">
        <f>IF(AG$3="","",IF(COUNTIFS(BD!$A$3:$A$5001,AG$3,BD!$B$3:$B$5001,$A$335,BD!$T$3:$T$5001,"&lt;&gt;")=0,"",SUMIFS(BD!$T$3:$T$5001,BD!$A$3:$A$5001,AG$3,BD!$B$3:$B$5001,$A$335)))</f>
        <v/>
      </c>
      <c r="AH352" s="198" t="str">
        <f>IF(AH$3="","",IF(COUNTIFS(BD!$A$3:$A$5001,AH$3,BD!$B$3:$B$5001,$A$335,BD!$T$3:$T$5001,"&lt;&gt;")=0,"",SUMIFS(BD!$T$3:$T$5001,BD!$A$3:$A$5001,AH$3,BD!$B$3:$B$5001,$A$335)))</f>
        <v/>
      </c>
      <c r="AI352" s="198" t="str">
        <f>IF(AI$3="","",IF(COUNTIFS(BD!$A$3:$A$5001,AI$3,BD!$B$3:$B$5001,$A$335,BD!$T$3:$T$5001,"&lt;&gt;")=0,"",SUMIFS(BD!$T$3:$T$5001,BD!$A$3:$A$5001,AI$3,BD!$B$3:$B$5001,$A$335)))</f>
        <v/>
      </c>
      <c r="AJ352" s="199" t="str">
        <f>IF(AJ$3="","",IF(COUNTIFS(BD!$A$3:$A$5001,AJ$3,BD!$B$3:$B$5001,$A$335,BD!$T$3:$T$5001,"&lt;&gt;")=0,"",SUMIFS(BD!$T$3:$T$5001,BD!$A$3:$A$5001,AJ$3,BD!$B$3:$B$5001,$A$335)))</f>
        <v/>
      </c>
      <c r="AK352" s="200" t="str">
        <f>IF(COUNT(F352:AJ352)=0,"",SUM(F352:AJ352))</f>
        <v/>
      </c>
    </row>
    <row r="353" ht="15.75" customHeight="1" hidden="1">
      <c r="A353" s="261"/>
      <c r="B353" s="254"/>
      <c r="C353" s="201" t="inlineStr">
        <is>
          <t xml:space="preserve">No show</t>
        </is>
      </c>
      <c r="D353" s="202" t="str">
        <f>IFERROR(1/(1/INDEX(BD!$AL$41:$BF$41,MATCH($A$335,BD!$AL$22:$BF$22,0))),"")</f>
        <v/>
      </c>
      <c r="E353" s="203"/>
      <c r="F353" s="204" t="str">
        <f>IF(F$3="","",IF(COUNTIFS(BD!$A$3:$A$5001,F$3,BD!$B$3:$B$5001,$A$335,BD!$U$3:$U$5001,"&lt;&gt;")=0,"",SUMIFS(BD!$U$3:$U$5001,BD!$A$3:$A$5001,F$3,BD!$B$3:$B$5001,$A$335)))</f>
        <v/>
      </c>
      <c r="G353" s="205" t="str">
        <f>IF(G$3="","",IF(COUNTIFS(BD!$A$3:$A$5001,G$3,BD!$B$3:$B$5001,$A$335,BD!$U$3:$U$5001,"&lt;&gt;")=0,"",SUMIFS(BD!$U$3:$U$5001,BD!$A$3:$A$5001,G$3,BD!$B$3:$B$5001,$A$335)))</f>
        <v/>
      </c>
      <c r="H353" s="205" t="str">
        <f>IF(H$3="","",IF(COUNTIFS(BD!$A$3:$A$5001,H$3,BD!$B$3:$B$5001,$A$335,BD!$U$3:$U$5001,"&lt;&gt;")=0,"",SUMIFS(BD!$U$3:$U$5001,BD!$A$3:$A$5001,H$3,BD!$B$3:$B$5001,$A$335)))</f>
        <v/>
      </c>
      <c r="I353" s="205" t="str">
        <f>IF(I$3="","",IF(COUNTIFS(BD!$A$3:$A$5001,I$3,BD!$B$3:$B$5001,$A$335,BD!$U$3:$U$5001,"&lt;&gt;")=0,"",SUMIFS(BD!$U$3:$U$5001,BD!$A$3:$A$5001,I$3,BD!$B$3:$B$5001,$A$335)))</f>
        <v/>
      </c>
      <c r="J353" s="205" t="str">
        <f>IF(J$3="","",IF(COUNTIFS(BD!$A$3:$A$5001,J$3,BD!$B$3:$B$5001,$A$335,BD!$U$3:$U$5001,"&lt;&gt;")=0,"",SUMIFS(BD!$U$3:$U$5001,BD!$A$3:$A$5001,J$3,BD!$B$3:$B$5001,$A$335)))</f>
        <v/>
      </c>
      <c r="K353" s="205" t="str">
        <f>IF(K$3="","",IF(COUNTIFS(BD!$A$3:$A$5001,K$3,BD!$B$3:$B$5001,$A$335,BD!$U$3:$U$5001,"&lt;&gt;")=0,"",SUMIFS(BD!$U$3:$U$5001,BD!$A$3:$A$5001,K$3,BD!$B$3:$B$5001,$A$335)))</f>
        <v/>
      </c>
      <c r="L353" s="205" t="str">
        <f>IF(L$3="","",IF(COUNTIFS(BD!$A$3:$A$5001,L$3,BD!$B$3:$B$5001,$A$335,BD!$U$3:$U$5001,"&lt;&gt;")=0,"",SUMIFS(BD!$U$3:$U$5001,BD!$A$3:$A$5001,L$3,BD!$B$3:$B$5001,$A$335)))</f>
        <v/>
      </c>
      <c r="M353" s="205" t="str">
        <f>IF(M$3="","",IF(COUNTIFS(BD!$A$3:$A$5001,M$3,BD!$B$3:$B$5001,$A$335,BD!$U$3:$U$5001,"&lt;&gt;")=0,"",SUMIFS(BD!$U$3:$U$5001,BD!$A$3:$A$5001,M$3,BD!$B$3:$B$5001,$A$335)))</f>
        <v/>
      </c>
      <c r="N353" s="205" t="str">
        <f>IF(N$3="","",IF(COUNTIFS(BD!$A$3:$A$5001,N$3,BD!$B$3:$B$5001,$A$335,BD!$U$3:$U$5001,"&lt;&gt;")=0,"",SUMIFS(BD!$U$3:$U$5001,BD!$A$3:$A$5001,N$3,BD!$B$3:$B$5001,$A$335)))</f>
        <v/>
      </c>
      <c r="O353" s="205" t="str">
        <f>IF(O$3="","",IF(COUNTIFS(BD!$A$3:$A$5001,O$3,BD!$B$3:$B$5001,$A$335,BD!$U$3:$U$5001,"&lt;&gt;")=0,"",SUMIFS(BD!$U$3:$U$5001,BD!$A$3:$A$5001,O$3,BD!$B$3:$B$5001,$A$335)))</f>
        <v/>
      </c>
      <c r="P353" s="205" t="str">
        <f>IF(P$3="","",IF(COUNTIFS(BD!$A$3:$A$5001,P$3,BD!$B$3:$B$5001,$A$335,BD!$U$3:$U$5001,"&lt;&gt;")=0,"",SUMIFS(BD!$U$3:$U$5001,BD!$A$3:$A$5001,P$3,BD!$B$3:$B$5001,$A$335)))</f>
        <v/>
      </c>
      <c r="Q353" s="205" t="str">
        <f>IF(Q$3="","",IF(COUNTIFS(BD!$A$3:$A$5001,Q$3,BD!$B$3:$B$5001,$A$335,BD!$U$3:$U$5001,"&lt;&gt;")=0,"",SUMIFS(BD!$U$3:$U$5001,BD!$A$3:$A$5001,Q$3,BD!$B$3:$B$5001,$A$335)))</f>
        <v/>
      </c>
      <c r="R353" s="205" t="str">
        <f>IF(R$3="","",IF(COUNTIFS(BD!$A$3:$A$5001,R$3,BD!$B$3:$B$5001,$A$335,BD!$U$3:$U$5001,"&lt;&gt;")=0,"",SUMIFS(BD!$U$3:$U$5001,BD!$A$3:$A$5001,R$3,BD!$B$3:$B$5001,$A$335)))</f>
        <v/>
      </c>
      <c r="S353" s="205" t="str">
        <f>IF(S$3="","",IF(COUNTIFS(BD!$A$3:$A$5001,S$3,BD!$B$3:$B$5001,$A$335,BD!$U$3:$U$5001,"&lt;&gt;")=0,"",SUMIFS(BD!$U$3:$U$5001,BD!$A$3:$A$5001,S$3,BD!$B$3:$B$5001,$A$335)))</f>
        <v/>
      </c>
      <c r="T353" s="205" t="str">
        <f>IF(T$3="","",IF(COUNTIFS(BD!$A$3:$A$5001,T$3,BD!$B$3:$B$5001,$A$335,BD!$U$3:$U$5001,"&lt;&gt;")=0,"",SUMIFS(BD!$U$3:$U$5001,BD!$A$3:$A$5001,T$3,BD!$B$3:$B$5001,$A$335)))</f>
        <v/>
      </c>
      <c r="U353" s="205" t="str">
        <f>IF(U$3="","",IF(COUNTIFS(BD!$A$3:$A$5001,U$3,BD!$B$3:$B$5001,$A$335,BD!$U$3:$U$5001,"&lt;&gt;")=0,"",SUMIFS(BD!$U$3:$U$5001,BD!$A$3:$A$5001,U$3,BD!$B$3:$B$5001,$A$335)))</f>
        <v/>
      </c>
      <c r="V353" s="205" t="str">
        <f>IF(V$3="","",IF(COUNTIFS(BD!$A$3:$A$5001,V$3,BD!$B$3:$B$5001,$A$335,BD!$U$3:$U$5001,"&lt;&gt;")=0,"",SUMIFS(BD!$U$3:$U$5001,BD!$A$3:$A$5001,V$3,BD!$B$3:$B$5001,$A$335)))</f>
        <v/>
      </c>
      <c r="W353" s="205" t="str">
        <f>IF(W$3="","",IF(COUNTIFS(BD!$A$3:$A$5001,W$3,BD!$B$3:$B$5001,$A$335,BD!$U$3:$U$5001,"&lt;&gt;")=0,"",SUMIFS(BD!$U$3:$U$5001,BD!$A$3:$A$5001,W$3,BD!$B$3:$B$5001,$A$335)))</f>
        <v/>
      </c>
      <c r="X353" s="205" t="str">
        <f>IF(X$3="","",IF(COUNTIFS(BD!$A$3:$A$5001,X$3,BD!$B$3:$B$5001,$A$335,BD!$U$3:$U$5001,"&lt;&gt;")=0,"",SUMIFS(BD!$U$3:$U$5001,BD!$A$3:$A$5001,X$3,BD!$B$3:$B$5001,$A$335)))</f>
        <v/>
      </c>
      <c r="Y353" s="205" t="str">
        <f>IF(Y$3="","",IF(COUNTIFS(BD!$A$3:$A$5001,Y$3,BD!$B$3:$B$5001,$A$335,BD!$U$3:$U$5001,"&lt;&gt;")=0,"",SUMIFS(BD!$U$3:$U$5001,BD!$A$3:$A$5001,Y$3,BD!$B$3:$B$5001,$A$335)))</f>
        <v/>
      </c>
      <c r="Z353" s="205" t="str">
        <f>IF(Z$3="","",IF(COUNTIFS(BD!$A$3:$A$5001,Z$3,BD!$B$3:$B$5001,$A$335,BD!$U$3:$U$5001,"&lt;&gt;")=0,"",SUMIFS(BD!$U$3:$U$5001,BD!$A$3:$A$5001,Z$3,BD!$B$3:$B$5001,$A$335)))</f>
        <v/>
      </c>
      <c r="AA353" s="205" t="str">
        <f>IF(AA$3="","",IF(COUNTIFS(BD!$A$3:$A$5001,AA$3,BD!$B$3:$B$5001,$A$335,BD!$U$3:$U$5001,"&lt;&gt;")=0,"",SUMIFS(BD!$U$3:$U$5001,BD!$A$3:$A$5001,AA$3,BD!$B$3:$B$5001,$A$335)))</f>
        <v/>
      </c>
      <c r="AB353" s="205" t="str">
        <f>IF(AB$3="","",IF(COUNTIFS(BD!$A$3:$A$5001,AB$3,BD!$B$3:$B$5001,$A$335,BD!$U$3:$U$5001,"&lt;&gt;")=0,"",SUMIFS(BD!$U$3:$U$5001,BD!$A$3:$A$5001,AB$3,BD!$B$3:$B$5001,$A$335)))</f>
        <v/>
      </c>
      <c r="AC353" s="205" t="str">
        <f>IF(AC$3="","",IF(COUNTIFS(BD!$A$3:$A$5001,AC$3,BD!$B$3:$B$5001,$A$335,BD!$U$3:$U$5001,"&lt;&gt;")=0,"",SUMIFS(BD!$U$3:$U$5001,BD!$A$3:$A$5001,AC$3,BD!$B$3:$B$5001,$A$335)))</f>
        <v/>
      </c>
      <c r="AD353" s="205" t="str">
        <f>IF(AD$3="","",IF(COUNTIFS(BD!$A$3:$A$5001,AD$3,BD!$B$3:$B$5001,$A$335,BD!$U$3:$U$5001,"&lt;&gt;")=0,"",SUMIFS(BD!$U$3:$U$5001,BD!$A$3:$A$5001,AD$3,BD!$B$3:$B$5001,$A$335)))</f>
        <v/>
      </c>
      <c r="AE353" s="205" t="str">
        <f>IF(AE$3="","",IF(COUNTIFS(BD!$A$3:$A$5001,AE$3,BD!$B$3:$B$5001,$A$335,BD!$U$3:$U$5001,"&lt;&gt;")=0,"",SUMIFS(BD!$U$3:$U$5001,BD!$A$3:$A$5001,AE$3,BD!$B$3:$B$5001,$A$335)))</f>
        <v/>
      </c>
      <c r="AF353" s="205" t="str">
        <f>IF(AF$3="","",IF(COUNTIFS(BD!$A$3:$A$5001,AF$3,BD!$B$3:$B$5001,$A$335,BD!$U$3:$U$5001,"&lt;&gt;")=0,"",SUMIFS(BD!$U$3:$U$5001,BD!$A$3:$A$5001,AF$3,BD!$B$3:$B$5001,$A$335)))</f>
        <v/>
      </c>
      <c r="AG353" s="205" t="str">
        <f>IF(AG$3="","",IF(COUNTIFS(BD!$A$3:$A$5001,AG$3,BD!$B$3:$B$5001,$A$335,BD!$U$3:$U$5001,"&lt;&gt;")=0,"",SUMIFS(BD!$U$3:$U$5001,BD!$A$3:$A$5001,AG$3,BD!$B$3:$B$5001,$A$335)))</f>
        <v/>
      </c>
      <c r="AH353" s="205" t="str">
        <f>IF(AH$3="","",IF(COUNTIFS(BD!$A$3:$A$5001,AH$3,BD!$B$3:$B$5001,$A$335,BD!$U$3:$U$5001,"&lt;&gt;")=0,"",SUMIFS(BD!$U$3:$U$5001,BD!$A$3:$A$5001,AH$3,BD!$B$3:$B$5001,$A$335)))</f>
        <v/>
      </c>
      <c r="AI353" s="205" t="str">
        <f>IF(AI$3="","",IF(COUNTIFS(BD!$A$3:$A$5001,AI$3,BD!$B$3:$B$5001,$A$335,BD!$U$3:$U$5001,"&lt;&gt;")=0,"",SUMIFS(BD!$U$3:$U$5001,BD!$A$3:$A$5001,AI$3,BD!$B$3:$B$5001,$A$335)))</f>
        <v/>
      </c>
      <c r="AJ353" s="206" t="str">
        <f>IF(AJ$3="","",IF(COUNTIFS(BD!$A$3:$A$5001,AJ$3,BD!$B$3:$B$5001,$A$335,BD!$U$3:$U$5001,"&lt;&gt;")=0,"",SUMIFS(BD!$U$3:$U$5001,BD!$A$3:$A$5001,AJ$3,BD!$B$3:$B$5001,$A$335)))</f>
        <v/>
      </c>
      <c r="AK353" s="207" t="str">
        <f>IF(COUNT(F353:AJ353)=0,"",SUM(F353:AJ353))</f>
        <v/>
      </c>
    </row>
    <row r="354" ht="15.75" customHeight="1" hidden="1">
      <c r="A354" s="261"/>
      <c r="B354" s="254"/>
      <c r="C354" s="201" t="inlineStr">
        <is>
          <t xml:space="preserve">Backlog Intralog</t>
        </is>
      </c>
      <c r="D354" s="202" t="str">
        <f>IFERROR(1/(1/INDEX(BD!$AL$42:$BF$42,MATCH($A$335,BD!$AL$22:$BF$22,0))),"")</f>
        <v/>
      </c>
      <c r="E354" s="203"/>
      <c r="F354" s="204" t="str">
        <f>IF(F$3="","",IF(COUNTIFS(BD!$A$3:$A$5001,F$3,BD!$B$3:$B$5001,$A$335,BD!$V$3:$V$5001,"&lt;&gt;")=0,"",SUMIFS(BD!$V$3:$V$5001,BD!$A$3:$A$5001,F$3,BD!$B$3:$B$5001,$A$335)))</f>
        <v/>
      </c>
      <c r="G354" s="205" t="str">
        <f>IF(G$3="","",IF(COUNTIFS(BD!$A$3:$A$5001,G$3,BD!$B$3:$B$5001,$A$335,BD!$V$3:$V$5001,"&lt;&gt;")=0,"",SUMIFS(BD!$V$3:$V$5001,BD!$A$3:$A$5001,G$3,BD!$B$3:$B$5001,$A$335)))</f>
        <v/>
      </c>
      <c r="H354" s="205" t="str">
        <f>IF(H$3="","",IF(COUNTIFS(BD!$A$3:$A$5001,H$3,BD!$B$3:$B$5001,$A$335,BD!$V$3:$V$5001,"&lt;&gt;")=0,"",SUMIFS(BD!$V$3:$V$5001,BD!$A$3:$A$5001,H$3,BD!$B$3:$B$5001,$A$335)))</f>
        <v/>
      </c>
      <c r="I354" s="205" t="str">
        <f>IF(I$3="","",IF(COUNTIFS(BD!$A$3:$A$5001,I$3,BD!$B$3:$B$5001,$A$335,BD!$V$3:$V$5001,"&lt;&gt;")=0,"",SUMIFS(BD!$V$3:$V$5001,BD!$A$3:$A$5001,I$3,BD!$B$3:$B$5001,$A$335)))</f>
        <v/>
      </c>
      <c r="J354" s="205" t="str">
        <f>IF(J$3="","",IF(COUNTIFS(BD!$A$3:$A$5001,J$3,BD!$B$3:$B$5001,$A$335,BD!$V$3:$V$5001,"&lt;&gt;")=0,"",SUMIFS(BD!$V$3:$V$5001,BD!$A$3:$A$5001,J$3,BD!$B$3:$B$5001,$A$335)))</f>
        <v/>
      </c>
      <c r="K354" s="205" t="str">
        <f>IF(K$3="","",IF(COUNTIFS(BD!$A$3:$A$5001,K$3,BD!$B$3:$B$5001,$A$335,BD!$V$3:$V$5001,"&lt;&gt;")=0,"",SUMIFS(BD!$V$3:$V$5001,BD!$A$3:$A$5001,K$3,BD!$B$3:$B$5001,$A$335)))</f>
        <v/>
      </c>
      <c r="L354" s="205" t="str">
        <f>IF(L$3="","",IF(COUNTIFS(BD!$A$3:$A$5001,L$3,BD!$B$3:$B$5001,$A$335,BD!$V$3:$V$5001,"&lt;&gt;")=0,"",SUMIFS(BD!$V$3:$V$5001,BD!$A$3:$A$5001,L$3,BD!$B$3:$B$5001,$A$335)))</f>
        <v/>
      </c>
      <c r="M354" s="205" t="str">
        <f>IF(M$3="","",IF(COUNTIFS(BD!$A$3:$A$5001,M$3,BD!$B$3:$B$5001,$A$335,BD!$V$3:$V$5001,"&lt;&gt;")=0,"",SUMIFS(BD!$V$3:$V$5001,BD!$A$3:$A$5001,M$3,BD!$B$3:$B$5001,$A$335)))</f>
        <v/>
      </c>
      <c r="N354" s="205" t="str">
        <f>IF(N$3="","",IF(COUNTIFS(BD!$A$3:$A$5001,N$3,BD!$B$3:$B$5001,$A$335,BD!$V$3:$V$5001,"&lt;&gt;")=0,"",SUMIFS(BD!$V$3:$V$5001,BD!$A$3:$A$5001,N$3,BD!$B$3:$B$5001,$A$335)))</f>
        <v/>
      </c>
      <c r="O354" s="205" t="str">
        <f>IF(O$3="","",IF(COUNTIFS(BD!$A$3:$A$5001,O$3,BD!$B$3:$B$5001,$A$335,BD!$V$3:$V$5001,"&lt;&gt;")=0,"",SUMIFS(BD!$V$3:$V$5001,BD!$A$3:$A$5001,O$3,BD!$B$3:$B$5001,$A$335)))</f>
        <v/>
      </c>
      <c r="P354" s="205" t="str">
        <f>IF(P$3="","",IF(COUNTIFS(BD!$A$3:$A$5001,P$3,BD!$B$3:$B$5001,$A$335,BD!$V$3:$V$5001,"&lt;&gt;")=0,"",SUMIFS(BD!$V$3:$V$5001,BD!$A$3:$A$5001,P$3,BD!$B$3:$B$5001,$A$335)))</f>
        <v/>
      </c>
      <c r="Q354" s="205" t="str">
        <f>IF(Q$3="","",IF(COUNTIFS(BD!$A$3:$A$5001,Q$3,BD!$B$3:$B$5001,$A$335,BD!$V$3:$V$5001,"&lt;&gt;")=0,"",SUMIFS(BD!$V$3:$V$5001,BD!$A$3:$A$5001,Q$3,BD!$B$3:$B$5001,$A$335)))</f>
        <v/>
      </c>
      <c r="R354" s="205" t="str">
        <f>IF(R$3="","",IF(COUNTIFS(BD!$A$3:$A$5001,R$3,BD!$B$3:$B$5001,$A$335,BD!$V$3:$V$5001,"&lt;&gt;")=0,"",SUMIFS(BD!$V$3:$V$5001,BD!$A$3:$A$5001,R$3,BD!$B$3:$B$5001,$A$335)))</f>
        <v/>
      </c>
      <c r="S354" s="205" t="str">
        <f>IF(S$3="","",IF(COUNTIFS(BD!$A$3:$A$5001,S$3,BD!$B$3:$B$5001,$A$335,BD!$V$3:$V$5001,"&lt;&gt;")=0,"",SUMIFS(BD!$V$3:$V$5001,BD!$A$3:$A$5001,S$3,BD!$B$3:$B$5001,$A$335)))</f>
        <v/>
      </c>
      <c r="T354" s="205" t="str">
        <f>IF(T$3="","",IF(COUNTIFS(BD!$A$3:$A$5001,T$3,BD!$B$3:$B$5001,$A$335,BD!$V$3:$V$5001,"&lt;&gt;")=0,"",SUMIFS(BD!$V$3:$V$5001,BD!$A$3:$A$5001,T$3,BD!$B$3:$B$5001,$A$335)))</f>
        <v/>
      </c>
      <c r="U354" s="205" t="str">
        <f>IF(U$3="","",IF(COUNTIFS(BD!$A$3:$A$5001,U$3,BD!$B$3:$B$5001,$A$335,BD!$V$3:$V$5001,"&lt;&gt;")=0,"",SUMIFS(BD!$V$3:$V$5001,BD!$A$3:$A$5001,U$3,BD!$B$3:$B$5001,$A$335)))</f>
        <v/>
      </c>
      <c r="V354" s="205" t="str">
        <f>IF(V$3="","",IF(COUNTIFS(BD!$A$3:$A$5001,V$3,BD!$B$3:$B$5001,$A$335,BD!$V$3:$V$5001,"&lt;&gt;")=0,"",SUMIFS(BD!$V$3:$V$5001,BD!$A$3:$A$5001,V$3,BD!$B$3:$B$5001,$A$335)))</f>
        <v/>
      </c>
      <c r="W354" s="205" t="str">
        <f>IF(W$3="","",IF(COUNTIFS(BD!$A$3:$A$5001,W$3,BD!$B$3:$B$5001,$A$335,BD!$V$3:$V$5001,"&lt;&gt;")=0,"",SUMIFS(BD!$V$3:$V$5001,BD!$A$3:$A$5001,W$3,BD!$B$3:$B$5001,$A$335)))</f>
        <v/>
      </c>
      <c r="X354" s="205" t="str">
        <f>IF(X$3="","",IF(COUNTIFS(BD!$A$3:$A$5001,X$3,BD!$B$3:$B$5001,$A$335,BD!$V$3:$V$5001,"&lt;&gt;")=0,"",SUMIFS(BD!$V$3:$V$5001,BD!$A$3:$A$5001,X$3,BD!$B$3:$B$5001,$A$335)))</f>
        <v/>
      </c>
      <c r="Y354" s="205" t="str">
        <f>IF(Y$3="","",IF(COUNTIFS(BD!$A$3:$A$5001,Y$3,BD!$B$3:$B$5001,$A$335,BD!$V$3:$V$5001,"&lt;&gt;")=0,"",SUMIFS(BD!$V$3:$V$5001,BD!$A$3:$A$5001,Y$3,BD!$B$3:$B$5001,$A$335)))</f>
        <v/>
      </c>
      <c r="Z354" s="205" t="str">
        <f>IF(Z$3="","",IF(COUNTIFS(BD!$A$3:$A$5001,Z$3,BD!$B$3:$B$5001,$A$335,BD!$V$3:$V$5001,"&lt;&gt;")=0,"",SUMIFS(BD!$V$3:$V$5001,BD!$A$3:$A$5001,Z$3,BD!$B$3:$B$5001,$A$335)))</f>
        <v/>
      </c>
      <c r="AA354" s="205" t="str">
        <f>IF(AA$3="","",IF(COUNTIFS(BD!$A$3:$A$5001,AA$3,BD!$B$3:$B$5001,$A$335,BD!$V$3:$V$5001,"&lt;&gt;")=0,"",SUMIFS(BD!$V$3:$V$5001,BD!$A$3:$A$5001,AA$3,BD!$B$3:$B$5001,$A$335)))</f>
        <v/>
      </c>
      <c r="AB354" s="205" t="str">
        <f>IF(AB$3="","",IF(COUNTIFS(BD!$A$3:$A$5001,AB$3,BD!$B$3:$B$5001,$A$335,BD!$V$3:$V$5001,"&lt;&gt;")=0,"",SUMIFS(BD!$V$3:$V$5001,BD!$A$3:$A$5001,AB$3,BD!$B$3:$B$5001,$A$335)))</f>
        <v/>
      </c>
      <c r="AC354" s="205" t="str">
        <f>IF(AC$3="","",IF(COUNTIFS(BD!$A$3:$A$5001,AC$3,BD!$B$3:$B$5001,$A$335,BD!$V$3:$V$5001,"&lt;&gt;")=0,"",SUMIFS(BD!$V$3:$V$5001,BD!$A$3:$A$5001,AC$3,BD!$B$3:$B$5001,$A$335)))</f>
        <v/>
      </c>
      <c r="AD354" s="205" t="str">
        <f>IF(AD$3="","",IF(COUNTIFS(BD!$A$3:$A$5001,AD$3,BD!$B$3:$B$5001,$A$335,BD!$V$3:$V$5001,"&lt;&gt;")=0,"",SUMIFS(BD!$V$3:$V$5001,BD!$A$3:$A$5001,AD$3,BD!$B$3:$B$5001,$A$335)))</f>
        <v/>
      </c>
      <c r="AE354" s="205" t="str">
        <f>IF(AE$3="","",IF(COUNTIFS(BD!$A$3:$A$5001,AE$3,BD!$B$3:$B$5001,$A$335,BD!$V$3:$V$5001,"&lt;&gt;")=0,"",SUMIFS(BD!$V$3:$V$5001,BD!$A$3:$A$5001,AE$3,BD!$B$3:$B$5001,$A$335)))</f>
        <v/>
      </c>
      <c r="AF354" s="205" t="str">
        <f>IF(AF$3="","",IF(COUNTIFS(BD!$A$3:$A$5001,AF$3,BD!$B$3:$B$5001,$A$335,BD!$V$3:$V$5001,"&lt;&gt;")=0,"",SUMIFS(BD!$V$3:$V$5001,BD!$A$3:$A$5001,AF$3,BD!$B$3:$B$5001,$A$335)))</f>
        <v/>
      </c>
      <c r="AG354" s="205" t="str">
        <f>IF(AG$3="","",IF(COUNTIFS(BD!$A$3:$A$5001,AG$3,BD!$B$3:$B$5001,$A$335,BD!$V$3:$V$5001,"&lt;&gt;")=0,"",SUMIFS(BD!$V$3:$V$5001,BD!$A$3:$A$5001,AG$3,BD!$B$3:$B$5001,$A$335)))</f>
        <v/>
      </c>
      <c r="AH354" s="205" t="str">
        <f>IF(AH$3="","",IF(COUNTIFS(BD!$A$3:$A$5001,AH$3,BD!$B$3:$B$5001,$A$335,BD!$V$3:$V$5001,"&lt;&gt;")=0,"",SUMIFS(BD!$V$3:$V$5001,BD!$A$3:$A$5001,AH$3,BD!$B$3:$B$5001,$A$335)))</f>
        <v/>
      </c>
      <c r="AI354" s="205" t="str">
        <f>IF(AI$3="","",IF(COUNTIFS(BD!$A$3:$A$5001,AI$3,BD!$B$3:$B$5001,$A$335,BD!$V$3:$V$5001,"&lt;&gt;")=0,"",SUMIFS(BD!$V$3:$V$5001,BD!$A$3:$A$5001,AI$3,BD!$B$3:$B$5001,$A$335)))</f>
        <v/>
      </c>
      <c r="AJ354" s="206" t="str">
        <f>IF(AJ$3="","",IF(COUNTIFS(BD!$A$3:$A$5001,AJ$3,BD!$B$3:$B$5001,$A$335,BD!$V$3:$V$5001,"&lt;&gt;")=0,"",SUMIFS(BD!$V$3:$V$5001,BD!$A$3:$A$5001,AJ$3,BD!$B$3:$B$5001,$A$335)))</f>
        <v/>
      </c>
      <c r="AK354" s="207" t="str">
        <f>IFERROR(LOOKUP(9.99E+307,F354:AJ354),"")</f>
        <v/>
      </c>
    </row>
    <row r="355" ht="15.75" customHeight="1" hidden="1">
      <c r="A355" s="261"/>
      <c r="B355" s="255"/>
      <c r="C355" s="208" t="inlineStr">
        <is>
          <t xml:space="preserve">Backlog Cliente</t>
        </is>
      </c>
      <c r="D355" s="209" t="str">
        <f>IFERROR(1/(1/INDEX(BD!$AL$43:$BF$43,MATCH($A$335,BD!$AL$22:$BF$22,0))),"")</f>
        <v/>
      </c>
      <c r="E355" s="210"/>
      <c r="F355" s="211" t="str">
        <f>IF(F$3="","",IF(COUNTIFS(BD!$A$3:$A$5001,F$3,BD!$B$3:$B$5001,$A$335,BD!$W$3:$W$5001,"&lt;&gt;")=0,"",SUMIFS(BD!$W$3:$W$5001,BD!$A$3:$A$5001,F$3,BD!$B$3:$B$5001,$A$335)))</f>
        <v/>
      </c>
      <c r="G355" s="212" t="str">
        <f>IF(G$3="","",IF(COUNTIFS(BD!$A$3:$A$5001,G$3,BD!$B$3:$B$5001,$A$335,BD!$W$3:$W$5001,"&lt;&gt;")=0,"",SUMIFS(BD!$W$3:$W$5001,BD!$A$3:$A$5001,G$3,BD!$B$3:$B$5001,$A$335)))</f>
        <v/>
      </c>
      <c r="H355" s="212" t="str">
        <f>IF(H$3="","",IF(COUNTIFS(BD!$A$3:$A$5001,H$3,BD!$B$3:$B$5001,$A$335,BD!$W$3:$W$5001,"&lt;&gt;")=0,"",SUMIFS(BD!$W$3:$W$5001,BD!$A$3:$A$5001,H$3,BD!$B$3:$B$5001,$A$335)))</f>
        <v/>
      </c>
      <c r="I355" s="212" t="str">
        <f>IF(I$3="","",IF(COUNTIFS(BD!$A$3:$A$5001,I$3,BD!$B$3:$B$5001,$A$335,BD!$W$3:$W$5001,"&lt;&gt;")=0,"",SUMIFS(BD!$W$3:$W$5001,BD!$A$3:$A$5001,I$3,BD!$B$3:$B$5001,$A$335)))</f>
        <v/>
      </c>
      <c r="J355" s="212" t="str">
        <f>IF(J$3="","",IF(COUNTIFS(BD!$A$3:$A$5001,J$3,BD!$B$3:$B$5001,$A$335,BD!$W$3:$W$5001,"&lt;&gt;")=0,"",SUMIFS(BD!$W$3:$W$5001,BD!$A$3:$A$5001,J$3,BD!$B$3:$B$5001,$A$335)))</f>
        <v/>
      </c>
      <c r="K355" s="212" t="str">
        <f>IF(K$3="","",IF(COUNTIFS(BD!$A$3:$A$5001,K$3,BD!$B$3:$B$5001,$A$335,BD!$W$3:$W$5001,"&lt;&gt;")=0,"",SUMIFS(BD!$W$3:$W$5001,BD!$A$3:$A$5001,K$3,BD!$B$3:$B$5001,$A$335)))</f>
        <v/>
      </c>
      <c r="L355" s="212" t="str">
        <f>IF(L$3="","",IF(COUNTIFS(BD!$A$3:$A$5001,L$3,BD!$B$3:$B$5001,$A$335,BD!$W$3:$W$5001,"&lt;&gt;")=0,"",SUMIFS(BD!$W$3:$W$5001,BD!$A$3:$A$5001,L$3,BD!$B$3:$B$5001,$A$335)))</f>
        <v/>
      </c>
      <c r="M355" s="212" t="str">
        <f>IF(M$3="","",IF(COUNTIFS(BD!$A$3:$A$5001,M$3,BD!$B$3:$B$5001,$A$335,BD!$W$3:$W$5001,"&lt;&gt;")=0,"",SUMIFS(BD!$W$3:$W$5001,BD!$A$3:$A$5001,M$3,BD!$B$3:$B$5001,$A$335)))</f>
        <v/>
      </c>
      <c r="N355" s="212" t="str">
        <f>IF(N$3="","",IF(COUNTIFS(BD!$A$3:$A$5001,N$3,BD!$B$3:$B$5001,$A$335,BD!$W$3:$W$5001,"&lt;&gt;")=0,"",SUMIFS(BD!$W$3:$W$5001,BD!$A$3:$A$5001,N$3,BD!$B$3:$B$5001,$A$335)))</f>
        <v/>
      </c>
      <c r="O355" s="212" t="str">
        <f>IF(O$3="","",IF(COUNTIFS(BD!$A$3:$A$5001,O$3,BD!$B$3:$B$5001,$A$335,BD!$W$3:$W$5001,"&lt;&gt;")=0,"",SUMIFS(BD!$W$3:$W$5001,BD!$A$3:$A$5001,O$3,BD!$B$3:$B$5001,$A$335)))</f>
        <v/>
      </c>
      <c r="P355" s="212" t="str">
        <f>IF(P$3="","",IF(COUNTIFS(BD!$A$3:$A$5001,P$3,BD!$B$3:$B$5001,$A$335,BD!$W$3:$W$5001,"&lt;&gt;")=0,"",SUMIFS(BD!$W$3:$W$5001,BD!$A$3:$A$5001,P$3,BD!$B$3:$B$5001,$A$335)))</f>
        <v/>
      </c>
      <c r="Q355" s="212" t="str">
        <f>IF(Q$3="","",IF(COUNTIFS(BD!$A$3:$A$5001,Q$3,BD!$B$3:$B$5001,$A$335,BD!$W$3:$W$5001,"&lt;&gt;")=0,"",SUMIFS(BD!$W$3:$W$5001,BD!$A$3:$A$5001,Q$3,BD!$B$3:$B$5001,$A$335)))</f>
        <v/>
      </c>
      <c r="R355" s="212" t="str">
        <f>IF(R$3="","",IF(COUNTIFS(BD!$A$3:$A$5001,R$3,BD!$B$3:$B$5001,$A$335,BD!$W$3:$W$5001,"&lt;&gt;")=0,"",SUMIFS(BD!$W$3:$W$5001,BD!$A$3:$A$5001,R$3,BD!$B$3:$B$5001,$A$335)))</f>
        <v/>
      </c>
      <c r="S355" s="212" t="str">
        <f>IF(S$3="","",IF(COUNTIFS(BD!$A$3:$A$5001,S$3,BD!$B$3:$B$5001,$A$335,BD!$W$3:$W$5001,"&lt;&gt;")=0,"",SUMIFS(BD!$W$3:$W$5001,BD!$A$3:$A$5001,S$3,BD!$B$3:$B$5001,$A$335)))</f>
        <v/>
      </c>
      <c r="T355" s="212" t="str">
        <f>IF(T$3="","",IF(COUNTIFS(BD!$A$3:$A$5001,T$3,BD!$B$3:$B$5001,$A$335,BD!$W$3:$W$5001,"&lt;&gt;")=0,"",SUMIFS(BD!$W$3:$W$5001,BD!$A$3:$A$5001,T$3,BD!$B$3:$B$5001,$A$335)))</f>
        <v/>
      </c>
      <c r="U355" s="212" t="str">
        <f>IF(U$3="","",IF(COUNTIFS(BD!$A$3:$A$5001,U$3,BD!$B$3:$B$5001,$A$335,BD!$W$3:$W$5001,"&lt;&gt;")=0,"",SUMIFS(BD!$W$3:$W$5001,BD!$A$3:$A$5001,U$3,BD!$B$3:$B$5001,$A$335)))</f>
        <v/>
      </c>
      <c r="V355" s="212" t="str">
        <f>IF(V$3="","",IF(COUNTIFS(BD!$A$3:$A$5001,V$3,BD!$B$3:$B$5001,$A$335,BD!$W$3:$W$5001,"&lt;&gt;")=0,"",SUMIFS(BD!$W$3:$W$5001,BD!$A$3:$A$5001,V$3,BD!$B$3:$B$5001,$A$335)))</f>
        <v/>
      </c>
      <c r="W355" s="212" t="str">
        <f>IF(W$3="","",IF(COUNTIFS(BD!$A$3:$A$5001,W$3,BD!$B$3:$B$5001,$A$335,BD!$W$3:$W$5001,"&lt;&gt;")=0,"",SUMIFS(BD!$W$3:$W$5001,BD!$A$3:$A$5001,W$3,BD!$B$3:$B$5001,$A$335)))</f>
        <v/>
      </c>
      <c r="X355" s="212" t="str">
        <f>IF(X$3="","",IF(COUNTIFS(BD!$A$3:$A$5001,X$3,BD!$B$3:$B$5001,$A$335,BD!$W$3:$W$5001,"&lt;&gt;")=0,"",SUMIFS(BD!$W$3:$W$5001,BD!$A$3:$A$5001,X$3,BD!$B$3:$B$5001,$A$335)))</f>
        <v/>
      </c>
      <c r="Y355" s="212" t="str">
        <f>IF(Y$3="","",IF(COUNTIFS(BD!$A$3:$A$5001,Y$3,BD!$B$3:$B$5001,$A$335,BD!$W$3:$W$5001,"&lt;&gt;")=0,"",SUMIFS(BD!$W$3:$W$5001,BD!$A$3:$A$5001,Y$3,BD!$B$3:$B$5001,$A$335)))</f>
        <v/>
      </c>
      <c r="Z355" s="212" t="str">
        <f>IF(Z$3="","",IF(COUNTIFS(BD!$A$3:$A$5001,Z$3,BD!$B$3:$B$5001,$A$335,BD!$W$3:$W$5001,"&lt;&gt;")=0,"",SUMIFS(BD!$W$3:$W$5001,BD!$A$3:$A$5001,Z$3,BD!$B$3:$B$5001,$A$335)))</f>
        <v/>
      </c>
      <c r="AA355" s="212" t="str">
        <f>IF(AA$3="","",IF(COUNTIFS(BD!$A$3:$A$5001,AA$3,BD!$B$3:$B$5001,$A$335,BD!$W$3:$W$5001,"&lt;&gt;")=0,"",SUMIFS(BD!$W$3:$W$5001,BD!$A$3:$A$5001,AA$3,BD!$B$3:$B$5001,$A$335)))</f>
        <v/>
      </c>
      <c r="AB355" s="212" t="str">
        <f>IF(AB$3="","",IF(COUNTIFS(BD!$A$3:$A$5001,AB$3,BD!$B$3:$B$5001,$A$335,BD!$W$3:$W$5001,"&lt;&gt;")=0,"",SUMIFS(BD!$W$3:$W$5001,BD!$A$3:$A$5001,AB$3,BD!$B$3:$B$5001,$A$335)))</f>
        <v/>
      </c>
      <c r="AC355" s="212" t="str">
        <f>IF(AC$3="","",IF(COUNTIFS(BD!$A$3:$A$5001,AC$3,BD!$B$3:$B$5001,$A$335,BD!$W$3:$W$5001,"&lt;&gt;")=0,"",SUMIFS(BD!$W$3:$W$5001,BD!$A$3:$A$5001,AC$3,BD!$B$3:$B$5001,$A$335)))</f>
        <v/>
      </c>
      <c r="AD355" s="212" t="str">
        <f>IF(AD$3="","",IF(COUNTIFS(BD!$A$3:$A$5001,AD$3,BD!$B$3:$B$5001,$A$335,BD!$W$3:$W$5001,"&lt;&gt;")=0,"",SUMIFS(BD!$W$3:$W$5001,BD!$A$3:$A$5001,AD$3,BD!$B$3:$B$5001,$A$335)))</f>
        <v/>
      </c>
      <c r="AE355" s="212" t="str">
        <f>IF(AE$3="","",IF(COUNTIFS(BD!$A$3:$A$5001,AE$3,BD!$B$3:$B$5001,$A$335,BD!$W$3:$W$5001,"&lt;&gt;")=0,"",SUMIFS(BD!$W$3:$W$5001,BD!$A$3:$A$5001,AE$3,BD!$B$3:$B$5001,$A$335)))</f>
        <v/>
      </c>
      <c r="AF355" s="212" t="str">
        <f>IF(AF$3="","",IF(COUNTIFS(BD!$A$3:$A$5001,AF$3,BD!$B$3:$B$5001,$A$335,BD!$W$3:$W$5001,"&lt;&gt;")=0,"",SUMIFS(BD!$W$3:$W$5001,BD!$A$3:$A$5001,AF$3,BD!$B$3:$B$5001,$A$335)))</f>
        <v/>
      </c>
      <c r="AG355" s="212" t="str">
        <f>IF(AG$3="","",IF(COUNTIFS(BD!$A$3:$A$5001,AG$3,BD!$B$3:$B$5001,$A$335,BD!$W$3:$W$5001,"&lt;&gt;")=0,"",SUMIFS(BD!$W$3:$W$5001,BD!$A$3:$A$5001,AG$3,BD!$B$3:$B$5001,$A$335)))</f>
        <v/>
      </c>
      <c r="AH355" s="212" t="str">
        <f>IF(AH$3="","",IF(COUNTIFS(BD!$A$3:$A$5001,AH$3,BD!$B$3:$B$5001,$A$335,BD!$W$3:$W$5001,"&lt;&gt;")=0,"",SUMIFS(BD!$W$3:$W$5001,BD!$A$3:$A$5001,AH$3,BD!$B$3:$B$5001,$A$335)))</f>
        <v/>
      </c>
      <c r="AI355" s="212" t="str">
        <f>IF(AI$3="","",IF(COUNTIFS(BD!$A$3:$A$5001,AI$3,BD!$B$3:$B$5001,$A$335,BD!$W$3:$W$5001,"&lt;&gt;")=0,"",SUMIFS(BD!$W$3:$W$5001,BD!$A$3:$A$5001,AI$3,BD!$B$3:$B$5001,$A$335)))</f>
        <v/>
      </c>
      <c r="AJ355" s="213" t="str">
        <f>IF(AJ$3="","",IF(COUNTIFS(BD!$A$3:$A$5001,AJ$3,BD!$B$3:$B$5001,$A$335,BD!$W$3:$W$5001,"&lt;&gt;")=0,"",SUMIFS(BD!$W$3:$W$5001,BD!$A$3:$A$5001,AJ$3,BD!$B$3:$B$5001,$A$335)))</f>
        <v/>
      </c>
      <c r="AK355" s="209" t="str">
        <f>IFERROR(LOOKUP(9.99E+307,F355:AJ355),"")</f>
        <v/>
      </c>
    </row>
    <row r="356" ht="15.75" customHeight="1" hidden="1">
      <c r="A356" s="261"/>
      <c r="B356" s="249" t="inlineStr">
        <is>
          <t xml:space="preserve">OCUPAÇÃO (P.P)</t>
        </is>
      </c>
      <c r="C356" s="168" t="inlineStr">
        <is>
          <t xml:space="preserve">Posições Disponíveis</t>
        </is>
      </c>
      <c r="D356" s="169" t="str">
        <f>IFERROR(1/(1/INDEX(BD!$AL$44:$BF$44,MATCH($A$335,BD!$AL$22:$BF$22,0))),"")</f>
        <v/>
      </c>
      <c r="E356" s="170"/>
      <c r="F356" s="171" t="str">
        <f>IF(F$3="","",IF(COUNTIFS(BD!$A$3:$A$5001,F$3,BD!$B$3:$B$5001,$A$335,BD!$X$3:$X$5001,"&lt;&gt;")=0,"",SUMIFS(BD!$X$3:$X$5001,BD!$A$3:$A$5001,F$3,BD!$B$3:$B$5001,$A$335)))</f>
        <v/>
      </c>
      <c r="G356" s="172" t="str">
        <f>IF(G$3="","",IF(COUNTIFS(BD!$A$3:$A$5001,G$3,BD!$B$3:$B$5001,$A$335,BD!$X$3:$X$5001,"&lt;&gt;")=0,"",SUMIFS(BD!$X$3:$X$5001,BD!$A$3:$A$5001,G$3,BD!$B$3:$B$5001,$A$335)))</f>
        <v/>
      </c>
      <c r="H356" s="172" t="str">
        <f>IF(H$3="","",IF(COUNTIFS(BD!$A$3:$A$5001,H$3,BD!$B$3:$B$5001,$A$335,BD!$X$3:$X$5001,"&lt;&gt;")=0,"",SUMIFS(BD!$X$3:$X$5001,BD!$A$3:$A$5001,H$3,BD!$B$3:$B$5001,$A$335)))</f>
        <v/>
      </c>
      <c r="I356" s="172" t="str">
        <f>IF(I$3="","",IF(COUNTIFS(BD!$A$3:$A$5001,I$3,BD!$B$3:$B$5001,$A$335,BD!$X$3:$X$5001,"&lt;&gt;")=0,"",SUMIFS(BD!$X$3:$X$5001,BD!$A$3:$A$5001,I$3,BD!$B$3:$B$5001,$A$335)))</f>
        <v/>
      </c>
      <c r="J356" s="172" t="str">
        <f>IF(J$3="","",IF(COUNTIFS(BD!$A$3:$A$5001,J$3,BD!$B$3:$B$5001,$A$335,BD!$X$3:$X$5001,"&lt;&gt;")=0,"",SUMIFS(BD!$X$3:$X$5001,BD!$A$3:$A$5001,J$3,BD!$B$3:$B$5001,$A$335)))</f>
        <v/>
      </c>
      <c r="K356" s="172" t="str">
        <f>IF(K$3="","",IF(COUNTIFS(BD!$A$3:$A$5001,K$3,BD!$B$3:$B$5001,$A$335,BD!$X$3:$X$5001,"&lt;&gt;")=0,"",SUMIFS(BD!$X$3:$X$5001,BD!$A$3:$A$5001,K$3,BD!$B$3:$B$5001,$A$335)))</f>
        <v/>
      </c>
      <c r="L356" s="172" t="str">
        <f>IF(L$3="","",IF(COUNTIFS(BD!$A$3:$A$5001,L$3,BD!$B$3:$B$5001,$A$335,BD!$X$3:$X$5001,"&lt;&gt;")=0,"",SUMIFS(BD!$X$3:$X$5001,BD!$A$3:$A$5001,L$3,BD!$B$3:$B$5001,$A$335)))</f>
        <v/>
      </c>
      <c r="M356" s="172" t="str">
        <f>IF(M$3="","",IF(COUNTIFS(BD!$A$3:$A$5001,M$3,BD!$B$3:$B$5001,$A$335,BD!$X$3:$X$5001,"&lt;&gt;")=0,"",SUMIFS(BD!$X$3:$X$5001,BD!$A$3:$A$5001,M$3,BD!$B$3:$B$5001,$A$335)))</f>
        <v/>
      </c>
      <c r="N356" s="172" t="str">
        <f>IF(N$3="","",IF(COUNTIFS(BD!$A$3:$A$5001,N$3,BD!$B$3:$B$5001,$A$335,BD!$X$3:$X$5001,"&lt;&gt;")=0,"",SUMIFS(BD!$X$3:$X$5001,BD!$A$3:$A$5001,N$3,BD!$B$3:$B$5001,$A$335)))</f>
        <v/>
      </c>
      <c r="O356" s="172" t="str">
        <f>IF(O$3="","",IF(COUNTIFS(BD!$A$3:$A$5001,O$3,BD!$B$3:$B$5001,$A$335,BD!$X$3:$X$5001,"&lt;&gt;")=0,"",SUMIFS(BD!$X$3:$X$5001,BD!$A$3:$A$5001,O$3,BD!$B$3:$B$5001,$A$335)))</f>
        <v/>
      </c>
      <c r="P356" s="172" t="str">
        <f>IF(P$3="","",IF(COUNTIFS(BD!$A$3:$A$5001,P$3,BD!$B$3:$B$5001,$A$335,BD!$X$3:$X$5001,"&lt;&gt;")=0,"",SUMIFS(BD!$X$3:$X$5001,BD!$A$3:$A$5001,P$3,BD!$B$3:$B$5001,$A$335)))</f>
        <v/>
      </c>
      <c r="Q356" s="172" t="str">
        <f>IF(Q$3="","",IF(COUNTIFS(BD!$A$3:$A$5001,Q$3,BD!$B$3:$B$5001,$A$335,BD!$X$3:$X$5001,"&lt;&gt;")=0,"",SUMIFS(BD!$X$3:$X$5001,BD!$A$3:$A$5001,Q$3,BD!$B$3:$B$5001,$A$335)))</f>
        <v/>
      </c>
      <c r="R356" s="172" t="str">
        <f>IF(R$3="","",IF(COUNTIFS(BD!$A$3:$A$5001,R$3,BD!$B$3:$B$5001,$A$335,BD!$X$3:$X$5001,"&lt;&gt;")=0,"",SUMIFS(BD!$X$3:$X$5001,BD!$A$3:$A$5001,R$3,BD!$B$3:$B$5001,$A$335)))</f>
        <v/>
      </c>
      <c r="S356" s="172" t="str">
        <f>IF(S$3="","",IF(COUNTIFS(BD!$A$3:$A$5001,S$3,BD!$B$3:$B$5001,$A$335,BD!$X$3:$X$5001,"&lt;&gt;")=0,"",SUMIFS(BD!$X$3:$X$5001,BD!$A$3:$A$5001,S$3,BD!$B$3:$B$5001,$A$335)))</f>
        <v/>
      </c>
      <c r="T356" s="172" t="str">
        <f>IF(T$3="","",IF(COUNTIFS(BD!$A$3:$A$5001,T$3,BD!$B$3:$B$5001,$A$335,BD!$X$3:$X$5001,"&lt;&gt;")=0,"",SUMIFS(BD!$X$3:$X$5001,BD!$A$3:$A$5001,T$3,BD!$B$3:$B$5001,$A$335)))</f>
        <v/>
      </c>
      <c r="U356" s="172" t="str">
        <f>IF(U$3="","",IF(COUNTIFS(BD!$A$3:$A$5001,U$3,BD!$B$3:$B$5001,$A$335,BD!$X$3:$X$5001,"&lt;&gt;")=0,"",SUMIFS(BD!$X$3:$X$5001,BD!$A$3:$A$5001,U$3,BD!$B$3:$B$5001,$A$335)))</f>
        <v/>
      </c>
      <c r="V356" s="172" t="str">
        <f>IF(V$3="","",IF(COUNTIFS(BD!$A$3:$A$5001,V$3,BD!$B$3:$B$5001,$A$335,BD!$X$3:$X$5001,"&lt;&gt;")=0,"",SUMIFS(BD!$X$3:$X$5001,BD!$A$3:$A$5001,V$3,BD!$B$3:$B$5001,$A$335)))</f>
        <v/>
      </c>
      <c r="W356" s="172" t="str">
        <f>IF(W$3="","",IF(COUNTIFS(BD!$A$3:$A$5001,W$3,BD!$B$3:$B$5001,$A$335,BD!$X$3:$X$5001,"&lt;&gt;")=0,"",SUMIFS(BD!$X$3:$X$5001,BD!$A$3:$A$5001,W$3,BD!$B$3:$B$5001,$A$335)))</f>
        <v/>
      </c>
      <c r="X356" s="172" t="str">
        <f>IF(X$3="","",IF(COUNTIFS(BD!$A$3:$A$5001,X$3,BD!$B$3:$B$5001,$A$335,BD!$X$3:$X$5001,"&lt;&gt;")=0,"",SUMIFS(BD!$X$3:$X$5001,BD!$A$3:$A$5001,X$3,BD!$B$3:$B$5001,$A$335)))</f>
        <v/>
      </c>
      <c r="Y356" s="172" t="str">
        <f>IF(Y$3="","",IF(COUNTIFS(BD!$A$3:$A$5001,Y$3,BD!$B$3:$B$5001,$A$335,BD!$X$3:$X$5001,"&lt;&gt;")=0,"",SUMIFS(BD!$X$3:$X$5001,BD!$A$3:$A$5001,Y$3,BD!$B$3:$B$5001,$A$335)))</f>
        <v/>
      </c>
      <c r="Z356" s="172" t="str">
        <f>IF(Z$3="","",IF(COUNTIFS(BD!$A$3:$A$5001,Z$3,BD!$B$3:$B$5001,$A$335,BD!$X$3:$X$5001,"&lt;&gt;")=0,"",SUMIFS(BD!$X$3:$X$5001,BD!$A$3:$A$5001,Z$3,BD!$B$3:$B$5001,$A$335)))</f>
        <v/>
      </c>
      <c r="AA356" s="172" t="str">
        <f>IF(AA$3="","",IF(COUNTIFS(BD!$A$3:$A$5001,AA$3,BD!$B$3:$B$5001,$A$335,BD!$X$3:$X$5001,"&lt;&gt;")=0,"",SUMIFS(BD!$X$3:$X$5001,BD!$A$3:$A$5001,AA$3,BD!$B$3:$B$5001,$A$335)))</f>
        <v/>
      </c>
      <c r="AB356" s="172" t="str">
        <f>IF(AB$3="","",IF(COUNTIFS(BD!$A$3:$A$5001,AB$3,BD!$B$3:$B$5001,$A$335,BD!$X$3:$X$5001,"&lt;&gt;")=0,"",SUMIFS(BD!$X$3:$X$5001,BD!$A$3:$A$5001,AB$3,BD!$B$3:$B$5001,$A$335)))</f>
        <v/>
      </c>
      <c r="AC356" s="172" t="str">
        <f>IF(AC$3="","",IF(COUNTIFS(BD!$A$3:$A$5001,AC$3,BD!$B$3:$B$5001,$A$335,BD!$X$3:$X$5001,"&lt;&gt;")=0,"",SUMIFS(BD!$X$3:$X$5001,BD!$A$3:$A$5001,AC$3,BD!$B$3:$B$5001,$A$335)))</f>
        <v/>
      </c>
      <c r="AD356" s="172" t="str">
        <f>IF(AD$3="","",IF(COUNTIFS(BD!$A$3:$A$5001,AD$3,BD!$B$3:$B$5001,$A$335,BD!$X$3:$X$5001,"&lt;&gt;")=0,"",SUMIFS(BD!$X$3:$X$5001,BD!$A$3:$A$5001,AD$3,BD!$B$3:$B$5001,$A$335)))</f>
        <v/>
      </c>
      <c r="AE356" s="172" t="str">
        <f>IF(AE$3="","",IF(COUNTIFS(BD!$A$3:$A$5001,AE$3,BD!$B$3:$B$5001,$A$335,BD!$X$3:$X$5001,"&lt;&gt;")=0,"",SUMIFS(BD!$X$3:$X$5001,BD!$A$3:$A$5001,AE$3,BD!$B$3:$B$5001,$A$335)))</f>
        <v/>
      </c>
      <c r="AF356" s="172" t="str">
        <f>IF(AF$3="","",IF(COUNTIFS(BD!$A$3:$A$5001,AF$3,BD!$B$3:$B$5001,$A$335,BD!$X$3:$X$5001,"&lt;&gt;")=0,"",SUMIFS(BD!$X$3:$X$5001,BD!$A$3:$A$5001,AF$3,BD!$B$3:$B$5001,$A$335)))</f>
        <v/>
      </c>
      <c r="AG356" s="172" t="str">
        <f>IF(AG$3="","",IF(COUNTIFS(BD!$A$3:$A$5001,AG$3,BD!$B$3:$B$5001,$A$335,BD!$X$3:$X$5001,"&lt;&gt;")=0,"",SUMIFS(BD!$X$3:$X$5001,BD!$A$3:$A$5001,AG$3,BD!$B$3:$B$5001,$A$335)))</f>
        <v/>
      </c>
      <c r="AH356" s="172" t="str">
        <f>IF(AH$3="","",IF(COUNTIFS(BD!$A$3:$A$5001,AH$3,BD!$B$3:$B$5001,$A$335,BD!$X$3:$X$5001,"&lt;&gt;")=0,"",SUMIFS(BD!$X$3:$X$5001,BD!$A$3:$A$5001,AH$3,BD!$B$3:$B$5001,$A$335)))</f>
        <v/>
      </c>
      <c r="AI356" s="172" t="str">
        <f>IF(AI$3="","",IF(COUNTIFS(BD!$A$3:$A$5001,AI$3,BD!$B$3:$B$5001,$A$335,BD!$X$3:$X$5001,"&lt;&gt;")=0,"",SUMIFS(BD!$X$3:$X$5001,BD!$A$3:$A$5001,AI$3,BD!$B$3:$B$5001,$A$335)))</f>
        <v/>
      </c>
      <c r="AJ356" s="173" t="str">
        <f>IF(AJ$3="","",IF(COUNTIFS(BD!$A$3:$A$5001,AJ$3,BD!$B$3:$B$5001,$A$335,BD!$X$3:$X$5001,"&lt;&gt;")=0,"",SUMIFS(BD!$X$3:$X$5001,BD!$A$3:$A$5001,AJ$3,BD!$B$3:$B$5001,$A$335)))</f>
        <v/>
      </c>
      <c r="AK356" s="174" t="str">
        <f>IF(COUNT(F356:AJ356)&gt;0,LOOKUP(9.99E+307,F356:AJ356),IFERROR(IF(INDEX(BD!$AI$3:$AI$5001,MATCH($A$335,BD!$B$3:$B$5001,0))&amp;""="Contrato","",INDEX(BD!$AI$3:$AI$5001,MATCH($A$335,BD!$B$3:$B$5001,0))&amp;""),""))</f>
        <v/>
      </c>
    </row>
    <row r="357" ht="15.75" customHeight="1" hidden="1">
      <c r="A357" s="261"/>
      <c r="B357" s="256"/>
      <c r="C357" s="214" t="inlineStr">
        <is>
          <t xml:space="preserve">Posições Ocupadas</t>
        </is>
      </c>
      <c r="D357" s="215" t="str">
        <f>IFERROR(1/(1/INDEX(BD!$AL$45:$BF$45,MATCH($A$335,BD!$AL$22:$BF$22,0))),"")</f>
        <v/>
      </c>
      <c r="E357" s="216"/>
      <c r="F357" s="217" t="str">
        <f>IF(F$3="","",IF(COUNTIFS(BD!$A$3:$A$5001,F$3,BD!$B$3:$B$5001,$A$335,BD!$Y$3:$Y$5001,"&lt;&gt;")=0,"",SUMIFS(BD!$Y$3:$Y$5001,BD!$A$3:$A$5001,F$3,BD!$B$3:$B$5001,$A$335)))</f>
        <v/>
      </c>
      <c r="G357" s="218" t="str">
        <f>IF(G$3="","",IF(COUNTIFS(BD!$A$3:$A$5001,G$3,BD!$B$3:$B$5001,$A$335,BD!$Y$3:$Y$5001,"&lt;&gt;")=0,"",SUMIFS(BD!$Y$3:$Y$5001,BD!$A$3:$A$5001,G$3,BD!$B$3:$B$5001,$A$335)))</f>
        <v/>
      </c>
      <c r="H357" s="218" t="str">
        <f>IF(H$3="","",IF(COUNTIFS(BD!$A$3:$A$5001,H$3,BD!$B$3:$B$5001,$A$335,BD!$Y$3:$Y$5001,"&lt;&gt;")=0,"",SUMIFS(BD!$Y$3:$Y$5001,BD!$A$3:$A$5001,H$3,BD!$B$3:$B$5001,$A$335)))</f>
        <v/>
      </c>
      <c r="I357" s="218" t="str">
        <f>IF(I$3="","",IF(COUNTIFS(BD!$A$3:$A$5001,I$3,BD!$B$3:$B$5001,$A$335,BD!$Y$3:$Y$5001,"&lt;&gt;")=0,"",SUMIFS(BD!$Y$3:$Y$5001,BD!$A$3:$A$5001,I$3,BD!$B$3:$B$5001,$A$335)))</f>
        <v/>
      </c>
      <c r="J357" s="218" t="str">
        <f>IF(J$3="","",IF(COUNTIFS(BD!$A$3:$A$5001,J$3,BD!$B$3:$B$5001,$A$335,BD!$Y$3:$Y$5001,"&lt;&gt;")=0,"",SUMIFS(BD!$Y$3:$Y$5001,BD!$A$3:$A$5001,J$3,BD!$B$3:$B$5001,$A$335)))</f>
        <v/>
      </c>
      <c r="K357" s="218" t="str">
        <f>IF(K$3="","",IF(COUNTIFS(BD!$A$3:$A$5001,K$3,BD!$B$3:$B$5001,$A$335,BD!$Y$3:$Y$5001,"&lt;&gt;")=0,"",SUMIFS(BD!$Y$3:$Y$5001,BD!$A$3:$A$5001,K$3,BD!$B$3:$B$5001,$A$335)))</f>
        <v/>
      </c>
      <c r="L357" s="218" t="str">
        <f>IF(L$3="","",IF(COUNTIFS(BD!$A$3:$A$5001,L$3,BD!$B$3:$B$5001,$A$335,BD!$Y$3:$Y$5001,"&lt;&gt;")=0,"",SUMIFS(BD!$Y$3:$Y$5001,BD!$A$3:$A$5001,L$3,BD!$B$3:$B$5001,$A$335)))</f>
        <v/>
      </c>
      <c r="M357" s="218" t="str">
        <f>IF(M$3="","",IF(COUNTIFS(BD!$A$3:$A$5001,M$3,BD!$B$3:$B$5001,$A$335,BD!$Y$3:$Y$5001,"&lt;&gt;")=0,"",SUMIFS(BD!$Y$3:$Y$5001,BD!$A$3:$A$5001,M$3,BD!$B$3:$B$5001,$A$335)))</f>
        <v/>
      </c>
      <c r="N357" s="218" t="str">
        <f>IF(N$3="","",IF(COUNTIFS(BD!$A$3:$A$5001,N$3,BD!$B$3:$B$5001,$A$335,BD!$Y$3:$Y$5001,"&lt;&gt;")=0,"",SUMIFS(BD!$Y$3:$Y$5001,BD!$A$3:$A$5001,N$3,BD!$B$3:$B$5001,$A$335)))</f>
        <v/>
      </c>
      <c r="O357" s="218" t="str">
        <f>IF(O$3="","",IF(COUNTIFS(BD!$A$3:$A$5001,O$3,BD!$B$3:$B$5001,$A$335,BD!$Y$3:$Y$5001,"&lt;&gt;")=0,"",SUMIFS(BD!$Y$3:$Y$5001,BD!$A$3:$A$5001,O$3,BD!$B$3:$B$5001,$A$335)))</f>
        <v/>
      </c>
      <c r="P357" s="218" t="str">
        <f>IF(P$3="","",IF(COUNTIFS(BD!$A$3:$A$5001,P$3,BD!$B$3:$B$5001,$A$335,BD!$Y$3:$Y$5001,"&lt;&gt;")=0,"",SUMIFS(BD!$Y$3:$Y$5001,BD!$A$3:$A$5001,P$3,BD!$B$3:$B$5001,$A$335)))</f>
        <v/>
      </c>
      <c r="Q357" s="218" t="str">
        <f>IF(Q$3="","",IF(COUNTIFS(BD!$A$3:$A$5001,Q$3,BD!$B$3:$B$5001,$A$335,BD!$Y$3:$Y$5001,"&lt;&gt;")=0,"",SUMIFS(BD!$Y$3:$Y$5001,BD!$A$3:$A$5001,Q$3,BD!$B$3:$B$5001,$A$335)))</f>
        <v/>
      </c>
      <c r="R357" s="218" t="str">
        <f>IF(R$3="","",IF(COUNTIFS(BD!$A$3:$A$5001,R$3,BD!$B$3:$B$5001,$A$335,BD!$Y$3:$Y$5001,"&lt;&gt;")=0,"",SUMIFS(BD!$Y$3:$Y$5001,BD!$A$3:$A$5001,R$3,BD!$B$3:$B$5001,$A$335)))</f>
        <v/>
      </c>
      <c r="S357" s="218" t="str">
        <f>IF(S$3="","",IF(COUNTIFS(BD!$A$3:$A$5001,S$3,BD!$B$3:$B$5001,$A$335,BD!$Y$3:$Y$5001,"&lt;&gt;")=0,"",SUMIFS(BD!$Y$3:$Y$5001,BD!$A$3:$A$5001,S$3,BD!$B$3:$B$5001,$A$335)))</f>
        <v/>
      </c>
      <c r="T357" s="218" t="str">
        <f>IF(T$3="","",IF(COUNTIFS(BD!$A$3:$A$5001,T$3,BD!$B$3:$B$5001,$A$335,BD!$Y$3:$Y$5001,"&lt;&gt;")=0,"",SUMIFS(BD!$Y$3:$Y$5001,BD!$A$3:$A$5001,T$3,BD!$B$3:$B$5001,$A$335)))</f>
        <v/>
      </c>
      <c r="U357" s="218" t="str">
        <f>IF(U$3="","",IF(COUNTIFS(BD!$A$3:$A$5001,U$3,BD!$B$3:$B$5001,$A$335,BD!$Y$3:$Y$5001,"&lt;&gt;")=0,"",SUMIFS(BD!$Y$3:$Y$5001,BD!$A$3:$A$5001,U$3,BD!$B$3:$B$5001,$A$335)))</f>
        <v/>
      </c>
      <c r="V357" s="218" t="str">
        <f>IF(V$3="","",IF(COUNTIFS(BD!$A$3:$A$5001,V$3,BD!$B$3:$B$5001,$A$335,BD!$Y$3:$Y$5001,"&lt;&gt;")=0,"",SUMIFS(BD!$Y$3:$Y$5001,BD!$A$3:$A$5001,V$3,BD!$B$3:$B$5001,$A$335)))</f>
        <v/>
      </c>
      <c r="W357" s="218" t="str">
        <f>IF(W$3="","",IF(COUNTIFS(BD!$A$3:$A$5001,W$3,BD!$B$3:$B$5001,$A$335,BD!$Y$3:$Y$5001,"&lt;&gt;")=0,"",SUMIFS(BD!$Y$3:$Y$5001,BD!$A$3:$A$5001,W$3,BD!$B$3:$B$5001,$A$335)))</f>
        <v/>
      </c>
      <c r="X357" s="218" t="str">
        <f>IF(X$3="","",IF(COUNTIFS(BD!$A$3:$A$5001,X$3,BD!$B$3:$B$5001,$A$335,BD!$Y$3:$Y$5001,"&lt;&gt;")=0,"",SUMIFS(BD!$Y$3:$Y$5001,BD!$A$3:$A$5001,X$3,BD!$B$3:$B$5001,$A$335)))</f>
        <v/>
      </c>
      <c r="Y357" s="218" t="str">
        <f>IF(Y$3="","",IF(COUNTIFS(BD!$A$3:$A$5001,Y$3,BD!$B$3:$B$5001,$A$335,BD!$Y$3:$Y$5001,"&lt;&gt;")=0,"",SUMIFS(BD!$Y$3:$Y$5001,BD!$A$3:$A$5001,Y$3,BD!$B$3:$B$5001,$A$335)))</f>
        <v/>
      </c>
      <c r="Z357" s="218" t="str">
        <f>IF(Z$3="","",IF(COUNTIFS(BD!$A$3:$A$5001,Z$3,BD!$B$3:$B$5001,$A$335,BD!$Y$3:$Y$5001,"&lt;&gt;")=0,"",SUMIFS(BD!$Y$3:$Y$5001,BD!$A$3:$A$5001,Z$3,BD!$B$3:$B$5001,$A$335)))</f>
        <v/>
      </c>
      <c r="AA357" s="218" t="str">
        <f>IF(AA$3="","",IF(COUNTIFS(BD!$A$3:$A$5001,AA$3,BD!$B$3:$B$5001,$A$335,BD!$Y$3:$Y$5001,"&lt;&gt;")=0,"",SUMIFS(BD!$Y$3:$Y$5001,BD!$A$3:$A$5001,AA$3,BD!$B$3:$B$5001,$A$335)))</f>
        <v/>
      </c>
      <c r="AB357" s="218" t="str">
        <f>IF(AB$3="","",IF(COUNTIFS(BD!$A$3:$A$5001,AB$3,BD!$B$3:$B$5001,$A$335,BD!$Y$3:$Y$5001,"&lt;&gt;")=0,"",SUMIFS(BD!$Y$3:$Y$5001,BD!$A$3:$A$5001,AB$3,BD!$B$3:$B$5001,$A$335)))</f>
        <v/>
      </c>
      <c r="AC357" s="218" t="str">
        <f>IF(AC$3="","",IF(COUNTIFS(BD!$A$3:$A$5001,AC$3,BD!$B$3:$B$5001,$A$335,BD!$Y$3:$Y$5001,"&lt;&gt;")=0,"",SUMIFS(BD!$Y$3:$Y$5001,BD!$A$3:$A$5001,AC$3,BD!$B$3:$B$5001,$A$335)))</f>
        <v/>
      </c>
      <c r="AD357" s="218" t="str">
        <f>IF(AD$3="","",IF(COUNTIFS(BD!$A$3:$A$5001,AD$3,BD!$B$3:$B$5001,$A$335,BD!$Y$3:$Y$5001,"&lt;&gt;")=0,"",SUMIFS(BD!$Y$3:$Y$5001,BD!$A$3:$A$5001,AD$3,BD!$B$3:$B$5001,$A$335)))</f>
        <v/>
      </c>
      <c r="AE357" s="218" t="str">
        <f>IF(AE$3="","",IF(COUNTIFS(BD!$A$3:$A$5001,AE$3,BD!$B$3:$B$5001,$A$335,BD!$Y$3:$Y$5001,"&lt;&gt;")=0,"",SUMIFS(BD!$Y$3:$Y$5001,BD!$A$3:$A$5001,AE$3,BD!$B$3:$B$5001,$A$335)))</f>
        <v/>
      </c>
      <c r="AF357" s="218" t="str">
        <f>IF(AF$3="","",IF(COUNTIFS(BD!$A$3:$A$5001,AF$3,BD!$B$3:$B$5001,$A$335,BD!$Y$3:$Y$5001,"&lt;&gt;")=0,"",SUMIFS(BD!$Y$3:$Y$5001,BD!$A$3:$A$5001,AF$3,BD!$B$3:$B$5001,$A$335)))</f>
        <v/>
      </c>
      <c r="AG357" s="218" t="str">
        <f>IF(AG$3="","",IF(COUNTIFS(BD!$A$3:$A$5001,AG$3,BD!$B$3:$B$5001,$A$335,BD!$Y$3:$Y$5001,"&lt;&gt;")=0,"",SUMIFS(BD!$Y$3:$Y$5001,BD!$A$3:$A$5001,AG$3,BD!$B$3:$B$5001,$A$335)))</f>
        <v/>
      </c>
      <c r="AH357" s="218" t="str">
        <f>IF(AH$3="","",IF(COUNTIFS(BD!$A$3:$A$5001,AH$3,BD!$B$3:$B$5001,$A$335,BD!$Y$3:$Y$5001,"&lt;&gt;")=0,"",SUMIFS(BD!$Y$3:$Y$5001,BD!$A$3:$A$5001,AH$3,BD!$B$3:$B$5001,$A$335)))</f>
        <v/>
      </c>
      <c r="AI357" s="218" t="str">
        <f>IF(AI$3="","",IF(COUNTIFS(BD!$A$3:$A$5001,AI$3,BD!$B$3:$B$5001,$A$335,BD!$Y$3:$Y$5001,"&lt;&gt;")=0,"",SUMIFS(BD!$Y$3:$Y$5001,BD!$A$3:$A$5001,AI$3,BD!$B$3:$B$5001,$A$335)))</f>
        <v/>
      </c>
      <c r="AJ357" s="219" t="str">
        <f>IF(AJ$3="","",IF(COUNTIFS(BD!$A$3:$A$5001,AJ$3,BD!$B$3:$B$5001,$A$335,BD!$Y$3:$Y$5001,"&lt;&gt;")=0,"",SUMIFS(BD!$Y$3:$Y$5001,BD!$A$3:$A$5001,AJ$3,BD!$B$3:$B$5001,$A$335)))</f>
        <v/>
      </c>
      <c r="AK357" s="220" t="str">
        <f>IFERROR(LOOKUP(9.99E+307,F357:AJ357),"")</f>
        <v/>
      </c>
    </row>
    <row r="358" ht="15.75" customHeight="1" hidden="1">
      <c r="A358" s="261"/>
      <c r="B358" s="250"/>
      <c r="C358" s="175" t="inlineStr">
        <is>
          <t xml:space="preserve">Taxa de Ocupação</t>
        </is>
      </c>
      <c r="D358" s="221" t="str">
        <f>IFERROR(1/(1/INDEX(BD!$AL$46:$BF$46,MATCH($A$335,BD!$AL$22:$BF$22,0))),"")</f>
        <v/>
      </c>
      <c r="E358" s="177"/>
      <c r="F358" s="222" t="str">
        <f>IF(AND(ISNUMBER(F356),ISNUMBER(F357)),IF(F356&gt;0,F357/F356,""),"")</f>
        <v/>
      </c>
      <c r="G358" s="223" t="str">
        <f>IF(AND(ISNUMBER(G356),ISNUMBER(G357)),IF(G356&gt;0,G357/G356,""),"")</f>
        <v/>
      </c>
      <c r="H358" s="223" t="str">
        <f>IF(AND(ISNUMBER(H356),ISNUMBER(H357)),IF(H356&gt;0,H357/H356,""),"")</f>
        <v/>
      </c>
      <c r="I358" s="223" t="str">
        <f>IF(AND(ISNUMBER(I356),ISNUMBER(I357)),IF(I356&gt;0,I357/I356,""),"")</f>
        <v/>
      </c>
      <c r="J358" s="223" t="str">
        <f>IF(AND(ISNUMBER(J356),ISNUMBER(J357)),IF(J356&gt;0,J357/J356,""),"")</f>
        <v/>
      </c>
      <c r="K358" s="223" t="str">
        <f>IF(AND(ISNUMBER(K356),ISNUMBER(K357)),IF(K356&gt;0,K357/K356,""),"")</f>
        <v/>
      </c>
      <c r="L358" s="223" t="str">
        <f>IF(AND(ISNUMBER(L356),ISNUMBER(L357)),IF(L356&gt;0,L357/L356,""),"")</f>
        <v/>
      </c>
      <c r="M358" s="223" t="str">
        <f>IF(AND(ISNUMBER(M356),ISNUMBER(M357)),IF(M356&gt;0,M357/M356,""),"")</f>
        <v/>
      </c>
      <c r="N358" s="223" t="str">
        <f>IF(AND(ISNUMBER(N356),ISNUMBER(N357)),IF(N356&gt;0,N357/N356,""),"")</f>
        <v/>
      </c>
      <c r="O358" s="223" t="str">
        <f>IF(AND(ISNUMBER(O356),ISNUMBER(O357)),IF(O356&gt;0,O357/O356,""),"")</f>
        <v/>
      </c>
      <c r="P358" s="223" t="str">
        <f>IF(AND(ISNUMBER(P356),ISNUMBER(P357)),IF(P356&gt;0,P357/P356,""),"")</f>
        <v/>
      </c>
      <c r="Q358" s="223" t="str">
        <f>IF(AND(ISNUMBER(Q356),ISNUMBER(Q357)),IF(Q356&gt;0,Q357/Q356,""),"")</f>
        <v/>
      </c>
      <c r="R358" s="223" t="str">
        <f>IF(AND(ISNUMBER(R356),ISNUMBER(R357)),IF(R356&gt;0,R357/R356,""),"")</f>
        <v/>
      </c>
      <c r="S358" s="223" t="str">
        <f>IF(AND(ISNUMBER(S356),ISNUMBER(S357)),IF(S356&gt;0,S357/S356,""),"")</f>
        <v/>
      </c>
      <c r="T358" s="223" t="str">
        <f>IF(AND(ISNUMBER(T356),ISNUMBER(T357)),IF(T356&gt;0,T357/T356,""),"")</f>
        <v/>
      </c>
      <c r="U358" s="223" t="str">
        <f>IF(AND(ISNUMBER(U356),ISNUMBER(U357)),IF(U356&gt;0,U357/U356,""),"")</f>
        <v/>
      </c>
      <c r="V358" s="223" t="str">
        <f>IF(AND(ISNUMBER(V356),ISNUMBER(V357)),IF(V356&gt;0,V357/V356,""),"")</f>
        <v/>
      </c>
      <c r="W358" s="223" t="str">
        <f>IF(AND(ISNUMBER(W356),ISNUMBER(W357)),IF(W356&gt;0,W357/W356,""),"")</f>
        <v/>
      </c>
      <c r="X358" s="223" t="str">
        <f>IF(AND(ISNUMBER(X356),ISNUMBER(X357)),IF(X356&gt;0,X357/X356,""),"")</f>
        <v/>
      </c>
      <c r="Y358" s="223" t="str">
        <f>IF(AND(ISNUMBER(Y356),ISNUMBER(Y357)),IF(Y356&gt;0,Y357/Y356,""),"")</f>
        <v/>
      </c>
      <c r="Z358" s="223" t="str">
        <f>IF(AND(ISNUMBER(Z356),ISNUMBER(Z357)),IF(Z356&gt;0,Z357/Z356,""),"")</f>
        <v/>
      </c>
      <c r="AA358" s="223" t="str">
        <f>IF(AND(ISNUMBER(AA356),ISNUMBER(AA357)),IF(AA356&gt;0,AA357/AA356,""),"")</f>
        <v/>
      </c>
      <c r="AB358" s="223" t="str">
        <f>IF(AND(ISNUMBER(AB356),ISNUMBER(AB357)),IF(AB356&gt;0,AB357/AB356,""),"")</f>
        <v/>
      </c>
      <c r="AC358" s="223" t="str">
        <f>IF(AND(ISNUMBER(AC356),ISNUMBER(AC357)),IF(AC356&gt;0,AC357/AC356,""),"")</f>
        <v/>
      </c>
      <c r="AD358" s="223" t="str">
        <f>IF(AND(ISNUMBER(AD356),ISNUMBER(AD357)),IF(AD356&gt;0,AD357/AD356,""),"")</f>
        <v/>
      </c>
      <c r="AE358" s="223" t="str">
        <f>IF(AND(ISNUMBER(AE356),ISNUMBER(AE357)),IF(AE356&gt;0,AE357/AE356,""),"")</f>
        <v/>
      </c>
      <c r="AF358" s="223" t="str">
        <f>IF(AND(ISNUMBER(AF356),ISNUMBER(AF357)),IF(AF356&gt;0,AF357/AF356,""),"")</f>
        <v/>
      </c>
      <c r="AG358" s="223" t="str">
        <f>IF(AND(ISNUMBER(AG356),ISNUMBER(AG357)),IF(AG356&gt;0,AG357/AG356,""),"")</f>
        <v/>
      </c>
      <c r="AH358" s="223" t="str">
        <f>IF(AND(ISNUMBER(AH356),ISNUMBER(AH357)),IF(AH356&gt;0,AH357/AH356,""),"")</f>
        <v/>
      </c>
      <c r="AI358" s="223" t="str">
        <f>IF(AND(ISNUMBER(AI356),ISNUMBER(AI357)),IF(AI356&gt;0,AI357/AI356,""),"")</f>
        <v/>
      </c>
      <c r="AJ358" s="224" t="str">
        <f>IF(AND(ISNUMBER(AJ356),ISNUMBER(AJ357)),IF(AJ356&gt;0,AJ357/AJ356,""),"")</f>
        <v/>
      </c>
      <c r="AK358" s="221" t="str">
        <f>IF(AND(ISNUMBER(AK356),ISNUMBER(AK357)),IF(AK356&gt;0,AK357/AK356,""),"")</f>
        <v/>
      </c>
    </row>
    <row r="359" ht="15.75" customHeight="1" hidden="1">
      <c r="A359" s="261"/>
      <c r="B359" s="257" t="inlineStr">
        <is>
          <t xml:space="preserve">GENTE</t>
        </is>
      </c>
      <c r="C359" s="225" t="inlineStr">
        <is>
          <t xml:space="preserve">Efetivo Op.</t>
        </is>
      </c>
      <c r="D359" s="226" t="str">
        <f>IFERROR(1/(1/INDEX(BD!$AL$47:$BF$47,MATCH($A$335,BD!$AL$22:$BF$22,0))),"")</f>
        <v/>
      </c>
      <c r="E359" s="227"/>
      <c r="F359" s="228" t="str">
        <f>IF(F$3="","",IF(COUNTIFS(BD!$A$3:$A$5001,F$3,BD!$B$3:$B$5001,$A$335,BD!$Z$3:$Z$5001,"&lt;&gt;")=0,"",SUMIFS(BD!$Z$3:$Z$5001,BD!$A$3:$A$5001,F$3,BD!$B$3:$B$5001,$A$335)))</f>
        <v/>
      </c>
      <c r="G359" s="229" t="str">
        <f>IF(G$3="","",IF(COUNTIFS(BD!$A$3:$A$5001,G$3,BD!$B$3:$B$5001,$A$335,BD!$Z$3:$Z$5001,"&lt;&gt;")=0,"",SUMIFS(BD!$Z$3:$Z$5001,BD!$A$3:$A$5001,G$3,BD!$B$3:$B$5001,$A$335)))</f>
        <v/>
      </c>
      <c r="H359" s="229" t="str">
        <f>IF(H$3="","",IF(COUNTIFS(BD!$A$3:$A$5001,H$3,BD!$B$3:$B$5001,$A$335,BD!$Z$3:$Z$5001,"&lt;&gt;")=0,"",SUMIFS(BD!$Z$3:$Z$5001,BD!$A$3:$A$5001,H$3,BD!$B$3:$B$5001,$A$335)))</f>
        <v/>
      </c>
      <c r="I359" s="229" t="str">
        <f>IF(I$3="","",IF(COUNTIFS(BD!$A$3:$A$5001,I$3,BD!$B$3:$B$5001,$A$335,BD!$Z$3:$Z$5001,"&lt;&gt;")=0,"",SUMIFS(BD!$Z$3:$Z$5001,BD!$A$3:$A$5001,I$3,BD!$B$3:$B$5001,$A$335)))</f>
        <v/>
      </c>
      <c r="J359" s="229" t="str">
        <f>IF(J$3="","",IF(COUNTIFS(BD!$A$3:$A$5001,J$3,BD!$B$3:$B$5001,$A$335,BD!$Z$3:$Z$5001,"&lt;&gt;")=0,"",SUMIFS(BD!$Z$3:$Z$5001,BD!$A$3:$A$5001,J$3,BD!$B$3:$B$5001,$A$335)))</f>
        <v/>
      </c>
      <c r="K359" s="229" t="str">
        <f>IF(K$3="","",IF(COUNTIFS(BD!$A$3:$A$5001,K$3,BD!$B$3:$B$5001,$A$335,BD!$Z$3:$Z$5001,"&lt;&gt;")=0,"",SUMIFS(BD!$Z$3:$Z$5001,BD!$A$3:$A$5001,K$3,BD!$B$3:$B$5001,$A$335)))</f>
        <v/>
      </c>
      <c r="L359" s="229" t="str">
        <f>IF(L$3="","",IF(COUNTIFS(BD!$A$3:$A$5001,L$3,BD!$B$3:$B$5001,$A$335,BD!$Z$3:$Z$5001,"&lt;&gt;")=0,"",SUMIFS(BD!$Z$3:$Z$5001,BD!$A$3:$A$5001,L$3,BD!$B$3:$B$5001,$A$335)))</f>
        <v/>
      </c>
      <c r="M359" s="229" t="str">
        <f>IF(M$3="","",IF(COUNTIFS(BD!$A$3:$A$5001,M$3,BD!$B$3:$B$5001,$A$335,BD!$Z$3:$Z$5001,"&lt;&gt;")=0,"",SUMIFS(BD!$Z$3:$Z$5001,BD!$A$3:$A$5001,M$3,BD!$B$3:$B$5001,$A$335)))</f>
        <v/>
      </c>
      <c r="N359" s="229" t="str">
        <f>IF(N$3="","",IF(COUNTIFS(BD!$A$3:$A$5001,N$3,BD!$B$3:$B$5001,$A$335,BD!$Z$3:$Z$5001,"&lt;&gt;")=0,"",SUMIFS(BD!$Z$3:$Z$5001,BD!$A$3:$A$5001,N$3,BD!$B$3:$B$5001,$A$335)))</f>
        <v/>
      </c>
      <c r="O359" s="229" t="str">
        <f>IF(O$3="","",IF(COUNTIFS(BD!$A$3:$A$5001,O$3,BD!$B$3:$B$5001,$A$335,BD!$Z$3:$Z$5001,"&lt;&gt;")=0,"",SUMIFS(BD!$Z$3:$Z$5001,BD!$A$3:$A$5001,O$3,BD!$B$3:$B$5001,$A$335)))</f>
        <v/>
      </c>
      <c r="P359" s="229" t="str">
        <f>IF(P$3="","",IF(COUNTIFS(BD!$A$3:$A$5001,P$3,BD!$B$3:$B$5001,$A$335,BD!$Z$3:$Z$5001,"&lt;&gt;")=0,"",SUMIFS(BD!$Z$3:$Z$5001,BD!$A$3:$A$5001,P$3,BD!$B$3:$B$5001,$A$335)))</f>
        <v/>
      </c>
      <c r="Q359" s="229" t="str">
        <f>IF(Q$3="","",IF(COUNTIFS(BD!$A$3:$A$5001,Q$3,BD!$B$3:$B$5001,$A$335,BD!$Z$3:$Z$5001,"&lt;&gt;")=0,"",SUMIFS(BD!$Z$3:$Z$5001,BD!$A$3:$A$5001,Q$3,BD!$B$3:$B$5001,$A$335)))</f>
        <v/>
      </c>
      <c r="R359" s="229" t="str">
        <f>IF(R$3="","",IF(COUNTIFS(BD!$A$3:$A$5001,R$3,BD!$B$3:$B$5001,$A$335,BD!$Z$3:$Z$5001,"&lt;&gt;")=0,"",SUMIFS(BD!$Z$3:$Z$5001,BD!$A$3:$A$5001,R$3,BD!$B$3:$B$5001,$A$335)))</f>
        <v/>
      </c>
      <c r="S359" s="229" t="str">
        <f>IF(S$3="","",IF(COUNTIFS(BD!$A$3:$A$5001,S$3,BD!$B$3:$B$5001,$A$335,BD!$Z$3:$Z$5001,"&lt;&gt;")=0,"",SUMIFS(BD!$Z$3:$Z$5001,BD!$A$3:$A$5001,S$3,BD!$B$3:$B$5001,$A$335)))</f>
        <v/>
      </c>
      <c r="T359" s="229" t="str">
        <f>IF(T$3="","",IF(COUNTIFS(BD!$A$3:$A$5001,T$3,BD!$B$3:$B$5001,$A$335,BD!$Z$3:$Z$5001,"&lt;&gt;")=0,"",SUMIFS(BD!$Z$3:$Z$5001,BD!$A$3:$A$5001,T$3,BD!$B$3:$B$5001,$A$335)))</f>
        <v/>
      </c>
      <c r="U359" s="229" t="str">
        <f>IF(U$3="","",IF(COUNTIFS(BD!$A$3:$A$5001,U$3,BD!$B$3:$B$5001,$A$335,BD!$Z$3:$Z$5001,"&lt;&gt;")=0,"",SUMIFS(BD!$Z$3:$Z$5001,BD!$A$3:$A$5001,U$3,BD!$B$3:$B$5001,$A$335)))</f>
        <v/>
      </c>
      <c r="V359" s="229" t="str">
        <f>IF(V$3="","",IF(COUNTIFS(BD!$A$3:$A$5001,V$3,BD!$B$3:$B$5001,$A$335,BD!$Z$3:$Z$5001,"&lt;&gt;")=0,"",SUMIFS(BD!$Z$3:$Z$5001,BD!$A$3:$A$5001,V$3,BD!$B$3:$B$5001,$A$335)))</f>
        <v/>
      </c>
      <c r="W359" s="229" t="str">
        <f>IF(W$3="","",IF(COUNTIFS(BD!$A$3:$A$5001,W$3,BD!$B$3:$B$5001,$A$335,BD!$Z$3:$Z$5001,"&lt;&gt;")=0,"",SUMIFS(BD!$Z$3:$Z$5001,BD!$A$3:$A$5001,W$3,BD!$B$3:$B$5001,$A$335)))</f>
        <v/>
      </c>
      <c r="X359" s="229" t="str">
        <f>IF(X$3="","",IF(COUNTIFS(BD!$A$3:$A$5001,X$3,BD!$B$3:$B$5001,$A$335,BD!$Z$3:$Z$5001,"&lt;&gt;")=0,"",SUMIFS(BD!$Z$3:$Z$5001,BD!$A$3:$A$5001,X$3,BD!$B$3:$B$5001,$A$335)))</f>
        <v/>
      </c>
      <c r="Y359" s="229" t="str">
        <f>IF(Y$3="","",IF(COUNTIFS(BD!$A$3:$A$5001,Y$3,BD!$B$3:$B$5001,$A$335,BD!$Z$3:$Z$5001,"&lt;&gt;")=0,"",SUMIFS(BD!$Z$3:$Z$5001,BD!$A$3:$A$5001,Y$3,BD!$B$3:$B$5001,$A$335)))</f>
        <v/>
      </c>
      <c r="Z359" s="229" t="str">
        <f>IF(Z$3="","",IF(COUNTIFS(BD!$A$3:$A$5001,Z$3,BD!$B$3:$B$5001,$A$335,BD!$Z$3:$Z$5001,"&lt;&gt;")=0,"",SUMIFS(BD!$Z$3:$Z$5001,BD!$A$3:$A$5001,Z$3,BD!$B$3:$B$5001,$A$335)))</f>
        <v/>
      </c>
      <c r="AA359" s="229" t="str">
        <f>IF(AA$3="","",IF(COUNTIFS(BD!$A$3:$A$5001,AA$3,BD!$B$3:$B$5001,$A$335,BD!$Z$3:$Z$5001,"&lt;&gt;")=0,"",SUMIFS(BD!$Z$3:$Z$5001,BD!$A$3:$A$5001,AA$3,BD!$B$3:$B$5001,$A$335)))</f>
        <v/>
      </c>
      <c r="AB359" s="229" t="str">
        <f>IF(AB$3="","",IF(COUNTIFS(BD!$A$3:$A$5001,AB$3,BD!$B$3:$B$5001,$A$335,BD!$Z$3:$Z$5001,"&lt;&gt;")=0,"",SUMIFS(BD!$Z$3:$Z$5001,BD!$A$3:$A$5001,AB$3,BD!$B$3:$B$5001,$A$335)))</f>
        <v/>
      </c>
      <c r="AC359" s="229" t="str">
        <f>IF(AC$3="","",IF(COUNTIFS(BD!$A$3:$A$5001,AC$3,BD!$B$3:$B$5001,$A$335,BD!$Z$3:$Z$5001,"&lt;&gt;")=0,"",SUMIFS(BD!$Z$3:$Z$5001,BD!$A$3:$A$5001,AC$3,BD!$B$3:$B$5001,$A$335)))</f>
        <v/>
      </c>
      <c r="AD359" s="229" t="str">
        <f>IF(AD$3="","",IF(COUNTIFS(BD!$A$3:$A$5001,AD$3,BD!$B$3:$B$5001,$A$335,BD!$Z$3:$Z$5001,"&lt;&gt;")=0,"",SUMIFS(BD!$Z$3:$Z$5001,BD!$A$3:$A$5001,AD$3,BD!$B$3:$B$5001,$A$335)))</f>
        <v/>
      </c>
      <c r="AE359" s="229" t="str">
        <f>IF(AE$3="","",IF(COUNTIFS(BD!$A$3:$A$5001,AE$3,BD!$B$3:$B$5001,$A$335,BD!$Z$3:$Z$5001,"&lt;&gt;")=0,"",SUMIFS(BD!$Z$3:$Z$5001,BD!$A$3:$A$5001,AE$3,BD!$B$3:$B$5001,$A$335)))</f>
        <v/>
      </c>
      <c r="AF359" s="229" t="str">
        <f>IF(AF$3="","",IF(COUNTIFS(BD!$A$3:$A$5001,AF$3,BD!$B$3:$B$5001,$A$335,BD!$Z$3:$Z$5001,"&lt;&gt;")=0,"",SUMIFS(BD!$Z$3:$Z$5001,BD!$A$3:$A$5001,AF$3,BD!$B$3:$B$5001,$A$335)))</f>
        <v/>
      </c>
      <c r="AG359" s="229" t="str">
        <f>IF(AG$3="","",IF(COUNTIFS(BD!$A$3:$A$5001,AG$3,BD!$B$3:$B$5001,$A$335,BD!$Z$3:$Z$5001,"&lt;&gt;")=0,"",SUMIFS(BD!$Z$3:$Z$5001,BD!$A$3:$A$5001,AG$3,BD!$B$3:$B$5001,$A$335)))</f>
        <v/>
      </c>
      <c r="AH359" s="229" t="str">
        <f>IF(AH$3="","",IF(COUNTIFS(BD!$A$3:$A$5001,AH$3,BD!$B$3:$B$5001,$A$335,BD!$Z$3:$Z$5001,"&lt;&gt;")=0,"",SUMIFS(BD!$Z$3:$Z$5001,BD!$A$3:$A$5001,AH$3,BD!$B$3:$B$5001,$A$335)))</f>
        <v/>
      </c>
      <c r="AI359" s="229" t="str">
        <f>IF(AI$3="","",IF(COUNTIFS(BD!$A$3:$A$5001,AI$3,BD!$B$3:$B$5001,$A$335,BD!$Z$3:$Z$5001,"&lt;&gt;")=0,"",SUMIFS(BD!$Z$3:$Z$5001,BD!$A$3:$A$5001,AI$3,BD!$B$3:$B$5001,$A$335)))</f>
        <v/>
      </c>
      <c r="AJ359" s="230" t="str">
        <f>IF(AJ$3="","",IF(COUNTIFS(BD!$A$3:$A$5001,AJ$3,BD!$B$3:$B$5001,$A$335,BD!$Z$3:$Z$5001,"&lt;&gt;")=0,"",SUMIFS(BD!$Z$3:$Z$5001,BD!$A$3:$A$5001,AJ$3,BD!$B$3:$B$5001,$A$335)))</f>
        <v/>
      </c>
      <c r="AK359" s="231" t="str">
        <f>IFERROR(LOOKUP(9.99E+307,F359:AJ359),"")</f>
        <v/>
      </c>
    </row>
    <row r="360" ht="15.75" customHeight="1" hidden="1">
      <c r="A360" s="261"/>
      <c r="B360" s="258"/>
      <c r="C360" s="232" t="inlineStr">
        <is>
          <t xml:space="preserve">Falta</t>
        </is>
      </c>
      <c r="D360" s="233" t="str">
        <f>IFERROR(1/(1/INDEX(BD!$AL$48:$BF$48,MATCH($A$335,BD!$AL$22:$BF$22,0))),"")</f>
        <v/>
      </c>
      <c r="E360" s="234"/>
      <c r="F360" s="235" t="str">
        <f>IF(F$3="","",IF(COUNTIFS(BD!$A$3:$A$5001,F$3,BD!$B$3:$B$5001,$A$335,BD!$AA$3:$AA$5001,"&lt;&gt;")=0,"",SUMIFS(BD!$AA$3:$AA$5001,BD!$A$3:$A$5001,F$3,BD!$B$3:$B$5001,$A$335)))</f>
        <v/>
      </c>
      <c r="G360" s="236" t="str">
        <f>IF(G$3="","",IF(COUNTIFS(BD!$A$3:$A$5001,G$3,BD!$B$3:$B$5001,$A$335,BD!$AA$3:$AA$5001,"&lt;&gt;")=0,"",SUMIFS(BD!$AA$3:$AA$5001,BD!$A$3:$A$5001,G$3,BD!$B$3:$B$5001,$A$335)))</f>
        <v/>
      </c>
      <c r="H360" s="236" t="str">
        <f>IF(H$3="","",IF(COUNTIFS(BD!$A$3:$A$5001,H$3,BD!$B$3:$B$5001,$A$335,BD!$AA$3:$AA$5001,"&lt;&gt;")=0,"",SUMIFS(BD!$AA$3:$AA$5001,BD!$A$3:$A$5001,H$3,BD!$B$3:$B$5001,$A$335)))</f>
        <v/>
      </c>
      <c r="I360" s="236" t="str">
        <f>IF(I$3="","",IF(COUNTIFS(BD!$A$3:$A$5001,I$3,BD!$B$3:$B$5001,$A$335,BD!$AA$3:$AA$5001,"&lt;&gt;")=0,"",SUMIFS(BD!$AA$3:$AA$5001,BD!$A$3:$A$5001,I$3,BD!$B$3:$B$5001,$A$335)))</f>
        <v/>
      </c>
      <c r="J360" s="236" t="str">
        <f>IF(J$3="","",IF(COUNTIFS(BD!$A$3:$A$5001,J$3,BD!$B$3:$B$5001,$A$335,BD!$AA$3:$AA$5001,"&lt;&gt;")=0,"",SUMIFS(BD!$AA$3:$AA$5001,BD!$A$3:$A$5001,J$3,BD!$B$3:$B$5001,$A$335)))</f>
        <v/>
      </c>
      <c r="K360" s="236" t="str">
        <f>IF(K$3="","",IF(COUNTIFS(BD!$A$3:$A$5001,K$3,BD!$B$3:$B$5001,$A$335,BD!$AA$3:$AA$5001,"&lt;&gt;")=0,"",SUMIFS(BD!$AA$3:$AA$5001,BD!$A$3:$A$5001,K$3,BD!$B$3:$B$5001,$A$335)))</f>
        <v/>
      </c>
      <c r="L360" s="236" t="str">
        <f>IF(L$3="","",IF(COUNTIFS(BD!$A$3:$A$5001,L$3,BD!$B$3:$B$5001,$A$335,BD!$AA$3:$AA$5001,"&lt;&gt;")=0,"",SUMIFS(BD!$AA$3:$AA$5001,BD!$A$3:$A$5001,L$3,BD!$B$3:$B$5001,$A$335)))</f>
        <v/>
      </c>
      <c r="M360" s="236" t="str">
        <f>IF(M$3="","",IF(COUNTIFS(BD!$A$3:$A$5001,M$3,BD!$B$3:$B$5001,$A$335,BD!$AA$3:$AA$5001,"&lt;&gt;")=0,"",SUMIFS(BD!$AA$3:$AA$5001,BD!$A$3:$A$5001,M$3,BD!$B$3:$B$5001,$A$335)))</f>
        <v/>
      </c>
      <c r="N360" s="236" t="str">
        <f>IF(N$3="","",IF(COUNTIFS(BD!$A$3:$A$5001,N$3,BD!$B$3:$B$5001,$A$335,BD!$AA$3:$AA$5001,"&lt;&gt;")=0,"",SUMIFS(BD!$AA$3:$AA$5001,BD!$A$3:$A$5001,N$3,BD!$B$3:$B$5001,$A$335)))</f>
        <v/>
      </c>
      <c r="O360" s="236" t="str">
        <f>IF(O$3="","",IF(COUNTIFS(BD!$A$3:$A$5001,O$3,BD!$B$3:$B$5001,$A$335,BD!$AA$3:$AA$5001,"&lt;&gt;")=0,"",SUMIFS(BD!$AA$3:$AA$5001,BD!$A$3:$A$5001,O$3,BD!$B$3:$B$5001,$A$335)))</f>
        <v/>
      </c>
      <c r="P360" s="236" t="str">
        <f>IF(P$3="","",IF(COUNTIFS(BD!$A$3:$A$5001,P$3,BD!$B$3:$B$5001,$A$335,BD!$AA$3:$AA$5001,"&lt;&gt;")=0,"",SUMIFS(BD!$AA$3:$AA$5001,BD!$A$3:$A$5001,P$3,BD!$B$3:$B$5001,$A$335)))</f>
        <v/>
      </c>
      <c r="Q360" s="236" t="str">
        <f>IF(Q$3="","",IF(COUNTIFS(BD!$A$3:$A$5001,Q$3,BD!$B$3:$B$5001,$A$335,BD!$AA$3:$AA$5001,"&lt;&gt;")=0,"",SUMIFS(BD!$AA$3:$AA$5001,BD!$A$3:$A$5001,Q$3,BD!$B$3:$B$5001,$A$335)))</f>
        <v/>
      </c>
      <c r="R360" s="236" t="str">
        <f>IF(R$3="","",IF(COUNTIFS(BD!$A$3:$A$5001,R$3,BD!$B$3:$B$5001,$A$335,BD!$AA$3:$AA$5001,"&lt;&gt;")=0,"",SUMIFS(BD!$AA$3:$AA$5001,BD!$A$3:$A$5001,R$3,BD!$B$3:$B$5001,$A$335)))</f>
        <v/>
      </c>
      <c r="S360" s="236" t="str">
        <f>IF(S$3="","",IF(COUNTIFS(BD!$A$3:$A$5001,S$3,BD!$B$3:$B$5001,$A$335,BD!$AA$3:$AA$5001,"&lt;&gt;")=0,"",SUMIFS(BD!$AA$3:$AA$5001,BD!$A$3:$A$5001,S$3,BD!$B$3:$B$5001,$A$335)))</f>
        <v/>
      </c>
      <c r="T360" s="236" t="str">
        <f>IF(T$3="","",IF(COUNTIFS(BD!$A$3:$A$5001,T$3,BD!$B$3:$B$5001,$A$335,BD!$AA$3:$AA$5001,"&lt;&gt;")=0,"",SUMIFS(BD!$AA$3:$AA$5001,BD!$A$3:$A$5001,T$3,BD!$B$3:$B$5001,$A$335)))</f>
        <v/>
      </c>
      <c r="U360" s="236" t="str">
        <f>IF(U$3="","",IF(COUNTIFS(BD!$A$3:$A$5001,U$3,BD!$B$3:$B$5001,$A$335,BD!$AA$3:$AA$5001,"&lt;&gt;")=0,"",SUMIFS(BD!$AA$3:$AA$5001,BD!$A$3:$A$5001,U$3,BD!$B$3:$B$5001,$A$335)))</f>
        <v/>
      </c>
      <c r="V360" s="236" t="str">
        <f>IF(V$3="","",IF(COUNTIFS(BD!$A$3:$A$5001,V$3,BD!$B$3:$B$5001,$A$335,BD!$AA$3:$AA$5001,"&lt;&gt;")=0,"",SUMIFS(BD!$AA$3:$AA$5001,BD!$A$3:$A$5001,V$3,BD!$B$3:$B$5001,$A$335)))</f>
        <v/>
      </c>
      <c r="W360" s="236" t="str">
        <f>IF(W$3="","",IF(COUNTIFS(BD!$A$3:$A$5001,W$3,BD!$B$3:$B$5001,$A$335,BD!$AA$3:$AA$5001,"&lt;&gt;")=0,"",SUMIFS(BD!$AA$3:$AA$5001,BD!$A$3:$A$5001,W$3,BD!$B$3:$B$5001,$A$335)))</f>
        <v/>
      </c>
      <c r="X360" s="236" t="str">
        <f>IF(X$3="","",IF(COUNTIFS(BD!$A$3:$A$5001,X$3,BD!$B$3:$B$5001,$A$335,BD!$AA$3:$AA$5001,"&lt;&gt;")=0,"",SUMIFS(BD!$AA$3:$AA$5001,BD!$A$3:$A$5001,X$3,BD!$B$3:$B$5001,$A$335)))</f>
        <v/>
      </c>
      <c r="Y360" s="236" t="str">
        <f>IF(Y$3="","",IF(COUNTIFS(BD!$A$3:$A$5001,Y$3,BD!$B$3:$B$5001,$A$335,BD!$AA$3:$AA$5001,"&lt;&gt;")=0,"",SUMIFS(BD!$AA$3:$AA$5001,BD!$A$3:$A$5001,Y$3,BD!$B$3:$B$5001,$A$335)))</f>
        <v/>
      </c>
      <c r="Z360" s="236" t="str">
        <f>IF(Z$3="","",IF(COUNTIFS(BD!$A$3:$A$5001,Z$3,BD!$B$3:$B$5001,$A$335,BD!$AA$3:$AA$5001,"&lt;&gt;")=0,"",SUMIFS(BD!$AA$3:$AA$5001,BD!$A$3:$A$5001,Z$3,BD!$B$3:$B$5001,$A$335)))</f>
        <v/>
      </c>
      <c r="AA360" s="236" t="str">
        <f>IF(AA$3="","",IF(COUNTIFS(BD!$A$3:$A$5001,AA$3,BD!$B$3:$B$5001,$A$335,BD!$AA$3:$AA$5001,"&lt;&gt;")=0,"",SUMIFS(BD!$AA$3:$AA$5001,BD!$A$3:$A$5001,AA$3,BD!$B$3:$B$5001,$A$335)))</f>
        <v/>
      </c>
      <c r="AB360" s="236" t="str">
        <f>IF(AB$3="","",IF(COUNTIFS(BD!$A$3:$A$5001,AB$3,BD!$B$3:$B$5001,$A$335,BD!$AA$3:$AA$5001,"&lt;&gt;")=0,"",SUMIFS(BD!$AA$3:$AA$5001,BD!$A$3:$A$5001,AB$3,BD!$B$3:$B$5001,$A$335)))</f>
        <v/>
      </c>
      <c r="AC360" s="236" t="str">
        <f>IF(AC$3="","",IF(COUNTIFS(BD!$A$3:$A$5001,AC$3,BD!$B$3:$B$5001,$A$335,BD!$AA$3:$AA$5001,"&lt;&gt;")=0,"",SUMIFS(BD!$AA$3:$AA$5001,BD!$A$3:$A$5001,AC$3,BD!$B$3:$B$5001,$A$335)))</f>
        <v/>
      </c>
      <c r="AD360" s="236" t="str">
        <f>IF(AD$3="","",IF(COUNTIFS(BD!$A$3:$A$5001,AD$3,BD!$B$3:$B$5001,$A$335,BD!$AA$3:$AA$5001,"&lt;&gt;")=0,"",SUMIFS(BD!$AA$3:$AA$5001,BD!$A$3:$A$5001,AD$3,BD!$B$3:$B$5001,$A$335)))</f>
        <v/>
      </c>
      <c r="AE360" s="236" t="str">
        <f>IF(AE$3="","",IF(COUNTIFS(BD!$A$3:$A$5001,AE$3,BD!$B$3:$B$5001,$A$335,BD!$AA$3:$AA$5001,"&lt;&gt;")=0,"",SUMIFS(BD!$AA$3:$AA$5001,BD!$A$3:$A$5001,AE$3,BD!$B$3:$B$5001,$A$335)))</f>
        <v/>
      </c>
      <c r="AF360" s="236" t="str">
        <f>IF(AF$3="","",IF(COUNTIFS(BD!$A$3:$A$5001,AF$3,BD!$B$3:$B$5001,$A$335,BD!$AA$3:$AA$5001,"&lt;&gt;")=0,"",SUMIFS(BD!$AA$3:$AA$5001,BD!$A$3:$A$5001,AF$3,BD!$B$3:$B$5001,$A$335)))</f>
        <v/>
      </c>
      <c r="AG360" s="236" t="str">
        <f>IF(AG$3="","",IF(COUNTIFS(BD!$A$3:$A$5001,AG$3,BD!$B$3:$B$5001,$A$335,BD!$AA$3:$AA$5001,"&lt;&gt;")=0,"",SUMIFS(BD!$AA$3:$AA$5001,BD!$A$3:$A$5001,AG$3,BD!$B$3:$B$5001,$A$335)))</f>
        <v/>
      </c>
      <c r="AH360" s="236" t="str">
        <f>IF(AH$3="","",IF(COUNTIFS(BD!$A$3:$A$5001,AH$3,BD!$B$3:$B$5001,$A$335,BD!$AA$3:$AA$5001,"&lt;&gt;")=0,"",SUMIFS(BD!$AA$3:$AA$5001,BD!$A$3:$A$5001,AH$3,BD!$B$3:$B$5001,$A$335)))</f>
        <v/>
      </c>
      <c r="AI360" s="236" t="str">
        <f>IF(AI$3="","",IF(COUNTIFS(BD!$A$3:$A$5001,AI$3,BD!$B$3:$B$5001,$A$335,BD!$AA$3:$AA$5001,"&lt;&gt;")=0,"",SUMIFS(BD!$AA$3:$AA$5001,BD!$A$3:$A$5001,AI$3,BD!$B$3:$B$5001,$A$335)))</f>
        <v/>
      </c>
      <c r="AJ360" s="237" t="str">
        <f>IF(AJ$3="","",IF(COUNTIFS(BD!$A$3:$A$5001,AJ$3,BD!$B$3:$B$5001,$A$335,BD!$AA$3:$AA$5001,"&lt;&gt;")=0,"",SUMIFS(BD!$AA$3:$AA$5001,BD!$A$3:$A$5001,AJ$3,BD!$B$3:$B$5001,$A$335)))</f>
        <v/>
      </c>
      <c r="AK360" s="238" t="str">
        <f>IF(COUNT(F360:AJ360)=0,"",SUM(F360:AJ360))</f>
        <v/>
      </c>
    </row>
    <row r="361" ht="15.75" customHeight="1" hidden="1">
      <c r="A361" s="261"/>
      <c r="B361" s="258"/>
      <c r="C361" s="232" t="inlineStr">
        <is>
          <t xml:space="preserve">Absenteísmo (H/H)</t>
        </is>
      </c>
      <c r="D361" s="233" t="str">
        <f>IFERROR(1/(1/INDEX(BD!$AL$49:$BF$49,MATCH($A$335,BD!$AL$22:$BF$22,0))),"")</f>
        <v/>
      </c>
      <c r="E361" s="234"/>
      <c r="F361" s="239" t="str">
        <f>IF(F$3="","",IF(COUNTIFS(BD!$A$3:$A$5001,F$3,BD!$B$3:$B$5001,$A$335,BD!$AB$3:$AB$5001,"&lt;&gt;")=0,"",SUMIFS(BD!$AB$3:$AB$5001,BD!$A$3:$A$5001,F$3,BD!$B$3:$B$5001,$A$335)))</f>
        <v/>
      </c>
      <c r="G361" s="240" t="str">
        <f>IF(G$3="","",IF(COUNTIFS(BD!$A$3:$A$5001,G$3,BD!$B$3:$B$5001,$A$335,BD!$AB$3:$AB$5001,"&lt;&gt;")=0,"",SUMIFS(BD!$AB$3:$AB$5001,BD!$A$3:$A$5001,G$3,BD!$B$3:$B$5001,$A$335)))</f>
        <v/>
      </c>
      <c r="H361" s="240" t="str">
        <f>IF(H$3="","",IF(COUNTIFS(BD!$A$3:$A$5001,H$3,BD!$B$3:$B$5001,$A$335,BD!$AB$3:$AB$5001,"&lt;&gt;")=0,"",SUMIFS(BD!$AB$3:$AB$5001,BD!$A$3:$A$5001,H$3,BD!$B$3:$B$5001,$A$335)))</f>
        <v/>
      </c>
      <c r="I361" s="240" t="str">
        <f>IF(I$3="","",IF(COUNTIFS(BD!$A$3:$A$5001,I$3,BD!$B$3:$B$5001,$A$335,BD!$AB$3:$AB$5001,"&lt;&gt;")=0,"",SUMIFS(BD!$AB$3:$AB$5001,BD!$A$3:$A$5001,I$3,BD!$B$3:$B$5001,$A$335)))</f>
        <v/>
      </c>
      <c r="J361" s="240" t="str">
        <f>IF(J$3="","",IF(COUNTIFS(BD!$A$3:$A$5001,J$3,BD!$B$3:$B$5001,$A$335,BD!$AB$3:$AB$5001,"&lt;&gt;")=0,"",SUMIFS(BD!$AB$3:$AB$5001,BD!$A$3:$A$5001,J$3,BD!$B$3:$B$5001,$A$335)))</f>
        <v/>
      </c>
      <c r="K361" s="240" t="str">
        <f>IF(K$3="","",IF(COUNTIFS(BD!$A$3:$A$5001,K$3,BD!$B$3:$B$5001,$A$335,BD!$AB$3:$AB$5001,"&lt;&gt;")=0,"",SUMIFS(BD!$AB$3:$AB$5001,BD!$A$3:$A$5001,K$3,BD!$B$3:$B$5001,$A$335)))</f>
        <v/>
      </c>
      <c r="L361" s="240" t="str">
        <f>IF(L$3="","",IF(COUNTIFS(BD!$A$3:$A$5001,L$3,BD!$B$3:$B$5001,$A$335,BD!$AB$3:$AB$5001,"&lt;&gt;")=0,"",SUMIFS(BD!$AB$3:$AB$5001,BD!$A$3:$A$5001,L$3,BD!$B$3:$B$5001,$A$335)))</f>
        <v/>
      </c>
      <c r="M361" s="240" t="str">
        <f>IF(M$3="","",IF(COUNTIFS(BD!$A$3:$A$5001,M$3,BD!$B$3:$B$5001,$A$335,BD!$AB$3:$AB$5001,"&lt;&gt;")=0,"",SUMIFS(BD!$AB$3:$AB$5001,BD!$A$3:$A$5001,M$3,BD!$B$3:$B$5001,$A$335)))</f>
        <v/>
      </c>
      <c r="N361" s="240" t="str">
        <f>IF(N$3="","",IF(COUNTIFS(BD!$A$3:$A$5001,N$3,BD!$B$3:$B$5001,$A$335,BD!$AB$3:$AB$5001,"&lt;&gt;")=0,"",SUMIFS(BD!$AB$3:$AB$5001,BD!$A$3:$A$5001,N$3,BD!$B$3:$B$5001,$A$335)))</f>
        <v/>
      </c>
      <c r="O361" s="240" t="str">
        <f>IF(O$3="","",IF(COUNTIFS(BD!$A$3:$A$5001,O$3,BD!$B$3:$B$5001,$A$335,BD!$AB$3:$AB$5001,"&lt;&gt;")=0,"",SUMIFS(BD!$AB$3:$AB$5001,BD!$A$3:$A$5001,O$3,BD!$B$3:$B$5001,$A$335)))</f>
        <v/>
      </c>
      <c r="P361" s="240" t="str">
        <f>IF(P$3="","",IF(COUNTIFS(BD!$A$3:$A$5001,P$3,BD!$B$3:$B$5001,$A$335,BD!$AB$3:$AB$5001,"&lt;&gt;")=0,"",SUMIFS(BD!$AB$3:$AB$5001,BD!$A$3:$A$5001,P$3,BD!$B$3:$B$5001,$A$335)))</f>
        <v/>
      </c>
      <c r="Q361" s="240" t="str">
        <f>IF(Q$3="","",IF(COUNTIFS(BD!$A$3:$A$5001,Q$3,BD!$B$3:$B$5001,$A$335,BD!$AB$3:$AB$5001,"&lt;&gt;")=0,"",SUMIFS(BD!$AB$3:$AB$5001,BD!$A$3:$A$5001,Q$3,BD!$B$3:$B$5001,$A$335)))</f>
        <v/>
      </c>
      <c r="R361" s="240" t="str">
        <f>IF(R$3="","",IF(COUNTIFS(BD!$A$3:$A$5001,R$3,BD!$B$3:$B$5001,$A$335,BD!$AB$3:$AB$5001,"&lt;&gt;")=0,"",SUMIFS(BD!$AB$3:$AB$5001,BD!$A$3:$A$5001,R$3,BD!$B$3:$B$5001,$A$335)))</f>
        <v/>
      </c>
      <c r="S361" s="240" t="str">
        <f>IF(S$3="","",IF(COUNTIFS(BD!$A$3:$A$5001,S$3,BD!$B$3:$B$5001,$A$335,BD!$AB$3:$AB$5001,"&lt;&gt;")=0,"",SUMIFS(BD!$AB$3:$AB$5001,BD!$A$3:$A$5001,S$3,BD!$B$3:$B$5001,$A$335)))</f>
        <v/>
      </c>
      <c r="T361" s="240" t="str">
        <f>IF(T$3="","",IF(COUNTIFS(BD!$A$3:$A$5001,T$3,BD!$B$3:$B$5001,$A$335,BD!$AB$3:$AB$5001,"&lt;&gt;")=0,"",SUMIFS(BD!$AB$3:$AB$5001,BD!$A$3:$A$5001,T$3,BD!$B$3:$B$5001,$A$335)))</f>
        <v/>
      </c>
      <c r="U361" s="240" t="str">
        <f>IF(U$3="","",IF(COUNTIFS(BD!$A$3:$A$5001,U$3,BD!$B$3:$B$5001,$A$335,BD!$AB$3:$AB$5001,"&lt;&gt;")=0,"",SUMIFS(BD!$AB$3:$AB$5001,BD!$A$3:$A$5001,U$3,BD!$B$3:$B$5001,$A$335)))</f>
        <v/>
      </c>
      <c r="V361" s="240" t="str">
        <f>IF(V$3="","",IF(COUNTIFS(BD!$A$3:$A$5001,V$3,BD!$B$3:$B$5001,$A$335,BD!$AB$3:$AB$5001,"&lt;&gt;")=0,"",SUMIFS(BD!$AB$3:$AB$5001,BD!$A$3:$A$5001,V$3,BD!$B$3:$B$5001,$A$335)))</f>
        <v/>
      </c>
      <c r="W361" s="240" t="str">
        <f>IF(W$3="","",IF(COUNTIFS(BD!$A$3:$A$5001,W$3,BD!$B$3:$B$5001,$A$335,BD!$AB$3:$AB$5001,"&lt;&gt;")=0,"",SUMIFS(BD!$AB$3:$AB$5001,BD!$A$3:$A$5001,W$3,BD!$B$3:$B$5001,$A$335)))</f>
        <v/>
      </c>
      <c r="X361" s="240" t="str">
        <f>IF(X$3="","",IF(COUNTIFS(BD!$A$3:$A$5001,X$3,BD!$B$3:$B$5001,$A$335,BD!$AB$3:$AB$5001,"&lt;&gt;")=0,"",SUMIFS(BD!$AB$3:$AB$5001,BD!$A$3:$A$5001,X$3,BD!$B$3:$B$5001,$A$335)))</f>
        <v/>
      </c>
      <c r="Y361" s="240" t="str">
        <f>IF(Y$3="","",IF(COUNTIFS(BD!$A$3:$A$5001,Y$3,BD!$B$3:$B$5001,$A$335,BD!$AB$3:$AB$5001,"&lt;&gt;")=0,"",SUMIFS(BD!$AB$3:$AB$5001,BD!$A$3:$A$5001,Y$3,BD!$B$3:$B$5001,$A$335)))</f>
        <v/>
      </c>
      <c r="Z361" s="240" t="str">
        <f>IF(Z$3="","",IF(COUNTIFS(BD!$A$3:$A$5001,Z$3,BD!$B$3:$B$5001,$A$335,BD!$AB$3:$AB$5001,"&lt;&gt;")=0,"",SUMIFS(BD!$AB$3:$AB$5001,BD!$A$3:$A$5001,Z$3,BD!$B$3:$B$5001,$A$335)))</f>
        <v/>
      </c>
      <c r="AA361" s="240" t="str">
        <f>IF(AA$3="","",IF(COUNTIFS(BD!$A$3:$A$5001,AA$3,BD!$B$3:$B$5001,$A$335,BD!$AB$3:$AB$5001,"&lt;&gt;")=0,"",SUMIFS(BD!$AB$3:$AB$5001,BD!$A$3:$A$5001,AA$3,BD!$B$3:$B$5001,$A$335)))</f>
        <v/>
      </c>
      <c r="AB361" s="240" t="str">
        <f>IF(AB$3="","",IF(COUNTIFS(BD!$A$3:$A$5001,AB$3,BD!$B$3:$B$5001,$A$335,BD!$AB$3:$AB$5001,"&lt;&gt;")=0,"",SUMIFS(BD!$AB$3:$AB$5001,BD!$A$3:$A$5001,AB$3,BD!$B$3:$B$5001,$A$335)))</f>
        <v/>
      </c>
      <c r="AC361" s="240" t="str">
        <f>IF(AC$3="","",IF(COUNTIFS(BD!$A$3:$A$5001,AC$3,BD!$B$3:$B$5001,$A$335,BD!$AB$3:$AB$5001,"&lt;&gt;")=0,"",SUMIFS(BD!$AB$3:$AB$5001,BD!$A$3:$A$5001,AC$3,BD!$B$3:$B$5001,$A$335)))</f>
        <v/>
      </c>
      <c r="AD361" s="240" t="str">
        <f>IF(AD$3="","",IF(COUNTIFS(BD!$A$3:$A$5001,AD$3,BD!$B$3:$B$5001,$A$335,BD!$AB$3:$AB$5001,"&lt;&gt;")=0,"",SUMIFS(BD!$AB$3:$AB$5001,BD!$A$3:$A$5001,AD$3,BD!$B$3:$B$5001,$A$335)))</f>
        <v/>
      </c>
      <c r="AE361" s="240" t="str">
        <f>IF(AE$3="","",IF(COUNTIFS(BD!$A$3:$A$5001,AE$3,BD!$B$3:$B$5001,$A$335,BD!$AB$3:$AB$5001,"&lt;&gt;")=0,"",SUMIFS(BD!$AB$3:$AB$5001,BD!$A$3:$A$5001,AE$3,BD!$B$3:$B$5001,$A$335)))</f>
        <v/>
      </c>
      <c r="AF361" s="240" t="str">
        <f>IF(AF$3="","",IF(COUNTIFS(BD!$A$3:$A$5001,AF$3,BD!$B$3:$B$5001,$A$335,BD!$AB$3:$AB$5001,"&lt;&gt;")=0,"",SUMIFS(BD!$AB$3:$AB$5001,BD!$A$3:$A$5001,AF$3,BD!$B$3:$B$5001,$A$335)))</f>
        <v/>
      </c>
      <c r="AG361" s="240" t="str">
        <f>IF(AG$3="","",IF(COUNTIFS(BD!$A$3:$A$5001,AG$3,BD!$B$3:$B$5001,$A$335,BD!$AB$3:$AB$5001,"&lt;&gt;")=0,"",SUMIFS(BD!$AB$3:$AB$5001,BD!$A$3:$A$5001,AG$3,BD!$B$3:$B$5001,$A$335)))</f>
        <v/>
      </c>
      <c r="AH361" s="240" t="str">
        <f>IF(AH$3="","",IF(COUNTIFS(BD!$A$3:$A$5001,AH$3,BD!$B$3:$B$5001,$A$335,BD!$AB$3:$AB$5001,"&lt;&gt;")=0,"",SUMIFS(BD!$AB$3:$AB$5001,BD!$A$3:$A$5001,AH$3,BD!$B$3:$B$5001,$A$335)))</f>
        <v/>
      </c>
      <c r="AI361" s="240" t="str">
        <f>IF(AI$3="","",IF(COUNTIFS(BD!$A$3:$A$5001,AI$3,BD!$B$3:$B$5001,$A$335,BD!$AB$3:$AB$5001,"&lt;&gt;")=0,"",SUMIFS(BD!$AB$3:$AB$5001,BD!$A$3:$A$5001,AI$3,BD!$B$3:$B$5001,$A$335)))</f>
        <v/>
      </c>
      <c r="AJ361" s="241" t="str">
        <f>IF(AJ$3="","",IF(COUNTIFS(BD!$A$3:$A$5001,AJ$3,BD!$B$3:$B$5001,$A$335,BD!$AB$3:$AB$5001,"&lt;&gt;")=0,"",SUMIFS(BD!$AB$3:$AB$5001,BD!$A$3:$A$5001,AJ$3,BD!$B$3:$B$5001,$A$335)))</f>
        <v/>
      </c>
      <c r="AK361" s="242" t="str">
        <f>IF(COUNT(F361:AJ361)=0,"",SUM(F361:AJ361))</f>
        <v/>
      </c>
    </row>
    <row r="362" ht="15.75" customHeight="1" hidden="1">
      <c r="A362" s="261"/>
      <c r="B362" s="258"/>
      <c r="C362" s="232" t="inlineStr">
        <is>
          <t xml:space="preserve">Folga</t>
        </is>
      </c>
      <c r="D362" s="233" t="str">
        <f>IFERROR(1/(1/INDEX(BD!$AL$50:$BF$50,MATCH($A$335,BD!$AL$22:$BF$22,0))),"")</f>
        <v/>
      </c>
      <c r="E362" s="234"/>
      <c r="F362" s="235" t="str">
        <f>IF(F$3="","",IF(COUNTIFS(BD!$A$3:$A$5001,F$3,BD!$B$3:$B$5001,$A$335,BD!$AC$3:$AC$5001,"&lt;&gt;")=0,"",SUMIFS(BD!$AC$3:$AC$5001,BD!$A$3:$A$5001,F$3,BD!$B$3:$B$5001,$A$335)))</f>
        <v/>
      </c>
      <c r="G362" s="236" t="str">
        <f>IF(G$3="","",IF(COUNTIFS(BD!$A$3:$A$5001,G$3,BD!$B$3:$B$5001,$A$335,BD!$AC$3:$AC$5001,"&lt;&gt;")=0,"",SUMIFS(BD!$AC$3:$AC$5001,BD!$A$3:$A$5001,G$3,BD!$B$3:$B$5001,$A$335)))</f>
        <v/>
      </c>
      <c r="H362" s="236" t="str">
        <f>IF(H$3="","",IF(COUNTIFS(BD!$A$3:$A$5001,H$3,BD!$B$3:$B$5001,$A$335,BD!$AC$3:$AC$5001,"&lt;&gt;")=0,"",SUMIFS(BD!$AC$3:$AC$5001,BD!$A$3:$A$5001,H$3,BD!$B$3:$B$5001,$A$335)))</f>
        <v/>
      </c>
      <c r="I362" s="236" t="str">
        <f>IF(I$3="","",IF(COUNTIFS(BD!$A$3:$A$5001,I$3,BD!$B$3:$B$5001,$A$335,BD!$AC$3:$AC$5001,"&lt;&gt;")=0,"",SUMIFS(BD!$AC$3:$AC$5001,BD!$A$3:$A$5001,I$3,BD!$B$3:$B$5001,$A$335)))</f>
        <v/>
      </c>
      <c r="J362" s="236" t="str">
        <f>IF(J$3="","",IF(COUNTIFS(BD!$A$3:$A$5001,J$3,BD!$B$3:$B$5001,$A$335,BD!$AC$3:$AC$5001,"&lt;&gt;")=0,"",SUMIFS(BD!$AC$3:$AC$5001,BD!$A$3:$A$5001,J$3,BD!$B$3:$B$5001,$A$335)))</f>
        <v/>
      </c>
      <c r="K362" s="236" t="str">
        <f>IF(K$3="","",IF(COUNTIFS(BD!$A$3:$A$5001,K$3,BD!$B$3:$B$5001,$A$335,BD!$AC$3:$AC$5001,"&lt;&gt;")=0,"",SUMIFS(BD!$AC$3:$AC$5001,BD!$A$3:$A$5001,K$3,BD!$B$3:$B$5001,$A$335)))</f>
        <v/>
      </c>
      <c r="L362" s="236" t="str">
        <f>IF(L$3="","",IF(COUNTIFS(BD!$A$3:$A$5001,L$3,BD!$B$3:$B$5001,$A$335,BD!$AC$3:$AC$5001,"&lt;&gt;")=0,"",SUMIFS(BD!$AC$3:$AC$5001,BD!$A$3:$A$5001,L$3,BD!$B$3:$B$5001,$A$335)))</f>
        <v/>
      </c>
      <c r="M362" s="236" t="str">
        <f>IF(M$3="","",IF(COUNTIFS(BD!$A$3:$A$5001,M$3,BD!$B$3:$B$5001,$A$335,BD!$AC$3:$AC$5001,"&lt;&gt;")=0,"",SUMIFS(BD!$AC$3:$AC$5001,BD!$A$3:$A$5001,M$3,BD!$B$3:$B$5001,$A$335)))</f>
        <v/>
      </c>
      <c r="N362" s="236" t="str">
        <f>IF(N$3="","",IF(COUNTIFS(BD!$A$3:$A$5001,N$3,BD!$B$3:$B$5001,$A$335,BD!$AC$3:$AC$5001,"&lt;&gt;")=0,"",SUMIFS(BD!$AC$3:$AC$5001,BD!$A$3:$A$5001,N$3,BD!$B$3:$B$5001,$A$335)))</f>
        <v/>
      </c>
      <c r="O362" s="236" t="str">
        <f>IF(O$3="","",IF(COUNTIFS(BD!$A$3:$A$5001,O$3,BD!$B$3:$B$5001,$A$335,BD!$AC$3:$AC$5001,"&lt;&gt;")=0,"",SUMIFS(BD!$AC$3:$AC$5001,BD!$A$3:$A$5001,O$3,BD!$B$3:$B$5001,$A$335)))</f>
        <v/>
      </c>
      <c r="P362" s="236" t="str">
        <f>IF(P$3="","",IF(COUNTIFS(BD!$A$3:$A$5001,P$3,BD!$B$3:$B$5001,$A$335,BD!$AC$3:$AC$5001,"&lt;&gt;")=0,"",SUMIFS(BD!$AC$3:$AC$5001,BD!$A$3:$A$5001,P$3,BD!$B$3:$B$5001,$A$335)))</f>
        <v/>
      </c>
      <c r="Q362" s="236" t="str">
        <f>IF(Q$3="","",IF(COUNTIFS(BD!$A$3:$A$5001,Q$3,BD!$B$3:$B$5001,$A$335,BD!$AC$3:$AC$5001,"&lt;&gt;")=0,"",SUMIFS(BD!$AC$3:$AC$5001,BD!$A$3:$A$5001,Q$3,BD!$B$3:$B$5001,$A$335)))</f>
        <v/>
      </c>
      <c r="R362" s="236" t="str">
        <f>IF(R$3="","",IF(COUNTIFS(BD!$A$3:$A$5001,R$3,BD!$B$3:$B$5001,$A$335,BD!$AC$3:$AC$5001,"&lt;&gt;")=0,"",SUMIFS(BD!$AC$3:$AC$5001,BD!$A$3:$A$5001,R$3,BD!$B$3:$B$5001,$A$335)))</f>
        <v/>
      </c>
      <c r="S362" s="236" t="str">
        <f>IF(S$3="","",IF(COUNTIFS(BD!$A$3:$A$5001,S$3,BD!$B$3:$B$5001,$A$335,BD!$AC$3:$AC$5001,"&lt;&gt;")=0,"",SUMIFS(BD!$AC$3:$AC$5001,BD!$A$3:$A$5001,S$3,BD!$B$3:$B$5001,$A$335)))</f>
        <v/>
      </c>
      <c r="T362" s="236" t="str">
        <f>IF(T$3="","",IF(COUNTIFS(BD!$A$3:$A$5001,T$3,BD!$B$3:$B$5001,$A$335,BD!$AC$3:$AC$5001,"&lt;&gt;")=0,"",SUMIFS(BD!$AC$3:$AC$5001,BD!$A$3:$A$5001,T$3,BD!$B$3:$B$5001,$A$335)))</f>
        <v/>
      </c>
      <c r="U362" s="236" t="str">
        <f>IF(U$3="","",IF(COUNTIFS(BD!$A$3:$A$5001,U$3,BD!$B$3:$B$5001,$A$335,BD!$AC$3:$AC$5001,"&lt;&gt;")=0,"",SUMIFS(BD!$AC$3:$AC$5001,BD!$A$3:$A$5001,U$3,BD!$B$3:$B$5001,$A$335)))</f>
        <v/>
      </c>
      <c r="V362" s="236" t="str">
        <f>IF(V$3="","",IF(COUNTIFS(BD!$A$3:$A$5001,V$3,BD!$B$3:$B$5001,$A$335,BD!$AC$3:$AC$5001,"&lt;&gt;")=0,"",SUMIFS(BD!$AC$3:$AC$5001,BD!$A$3:$A$5001,V$3,BD!$B$3:$B$5001,$A$335)))</f>
        <v/>
      </c>
      <c r="W362" s="236" t="str">
        <f>IF(W$3="","",IF(COUNTIFS(BD!$A$3:$A$5001,W$3,BD!$B$3:$B$5001,$A$335,BD!$AC$3:$AC$5001,"&lt;&gt;")=0,"",SUMIFS(BD!$AC$3:$AC$5001,BD!$A$3:$A$5001,W$3,BD!$B$3:$B$5001,$A$335)))</f>
        <v/>
      </c>
      <c r="X362" s="236" t="str">
        <f>IF(X$3="","",IF(COUNTIFS(BD!$A$3:$A$5001,X$3,BD!$B$3:$B$5001,$A$335,BD!$AC$3:$AC$5001,"&lt;&gt;")=0,"",SUMIFS(BD!$AC$3:$AC$5001,BD!$A$3:$A$5001,X$3,BD!$B$3:$B$5001,$A$335)))</f>
        <v/>
      </c>
      <c r="Y362" s="236" t="str">
        <f>IF(Y$3="","",IF(COUNTIFS(BD!$A$3:$A$5001,Y$3,BD!$B$3:$B$5001,$A$335,BD!$AC$3:$AC$5001,"&lt;&gt;")=0,"",SUMIFS(BD!$AC$3:$AC$5001,BD!$A$3:$A$5001,Y$3,BD!$B$3:$B$5001,$A$335)))</f>
        <v/>
      </c>
      <c r="Z362" s="236" t="str">
        <f>IF(Z$3="","",IF(COUNTIFS(BD!$A$3:$A$5001,Z$3,BD!$B$3:$B$5001,$A$335,BD!$AC$3:$AC$5001,"&lt;&gt;")=0,"",SUMIFS(BD!$AC$3:$AC$5001,BD!$A$3:$A$5001,Z$3,BD!$B$3:$B$5001,$A$335)))</f>
        <v/>
      </c>
      <c r="AA362" s="236" t="str">
        <f>IF(AA$3="","",IF(COUNTIFS(BD!$A$3:$A$5001,AA$3,BD!$B$3:$B$5001,$A$335,BD!$AC$3:$AC$5001,"&lt;&gt;")=0,"",SUMIFS(BD!$AC$3:$AC$5001,BD!$A$3:$A$5001,AA$3,BD!$B$3:$B$5001,$A$335)))</f>
        <v/>
      </c>
      <c r="AB362" s="236" t="str">
        <f>IF(AB$3="","",IF(COUNTIFS(BD!$A$3:$A$5001,AB$3,BD!$B$3:$B$5001,$A$335,BD!$AC$3:$AC$5001,"&lt;&gt;")=0,"",SUMIFS(BD!$AC$3:$AC$5001,BD!$A$3:$A$5001,AB$3,BD!$B$3:$B$5001,$A$335)))</f>
        <v/>
      </c>
      <c r="AC362" s="236" t="str">
        <f>IF(AC$3="","",IF(COUNTIFS(BD!$A$3:$A$5001,AC$3,BD!$B$3:$B$5001,$A$335,BD!$AC$3:$AC$5001,"&lt;&gt;")=0,"",SUMIFS(BD!$AC$3:$AC$5001,BD!$A$3:$A$5001,AC$3,BD!$B$3:$B$5001,$A$335)))</f>
        <v/>
      </c>
      <c r="AD362" s="236" t="str">
        <f>IF(AD$3="","",IF(COUNTIFS(BD!$A$3:$A$5001,AD$3,BD!$B$3:$B$5001,$A$335,BD!$AC$3:$AC$5001,"&lt;&gt;")=0,"",SUMIFS(BD!$AC$3:$AC$5001,BD!$A$3:$A$5001,AD$3,BD!$B$3:$B$5001,$A$335)))</f>
        <v/>
      </c>
      <c r="AE362" s="236" t="str">
        <f>IF(AE$3="","",IF(COUNTIFS(BD!$A$3:$A$5001,AE$3,BD!$B$3:$B$5001,$A$335,BD!$AC$3:$AC$5001,"&lt;&gt;")=0,"",SUMIFS(BD!$AC$3:$AC$5001,BD!$A$3:$A$5001,AE$3,BD!$B$3:$B$5001,$A$335)))</f>
        <v/>
      </c>
      <c r="AF362" s="236" t="str">
        <f>IF(AF$3="","",IF(COUNTIFS(BD!$A$3:$A$5001,AF$3,BD!$B$3:$B$5001,$A$335,BD!$AC$3:$AC$5001,"&lt;&gt;")=0,"",SUMIFS(BD!$AC$3:$AC$5001,BD!$A$3:$A$5001,AF$3,BD!$B$3:$B$5001,$A$335)))</f>
        <v/>
      </c>
      <c r="AG362" s="236" t="str">
        <f>IF(AG$3="","",IF(COUNTIFS(BD!$A$3:$A$5001,AG$3,BD!$B$3:$B$5001,$A$335,BD!$AC$3:$AC$5001,"&lt;&gt;")=0,"",SUMIFS(BD!$AC$3:$AC$5001,BD!$A$3:$A$5001,AG$3,BD!$B$3:$B$5001,$A$335)))</f>
        <v/>
      </c>
      <c r="AH362" s="236" t="str">
        <f>IF(AH$3="","",IF(COUNTIFS(BD!$A$3:$A$5001,AH$3,BD!$B$3:$B$5001,$A$335,BD!$AC$3:$AC$5001,"&lt;&gt;")=0,"",SUMIFS(BD!$AC$3:$AC$5001,BD!$A$3:$A$5001,AH$3,BD!$B$3:$B$5001,$A$335)))</f>
        <v/>
      </c>
      <c r="AI362" s="236" t="str">
        <f>IF(AI$3="","",IF(COUNTIFS(BD!$A$3:$A$5001,AI$3,BD!$B$3:$B$5001,$A$335,BD!$AC$3:$AC$5001,"&lt;&gt;")=0,"",SUMIFS(BD!$AC$3:$AC$5001,BD!$A$3:$A$5001,AI$3,BD!$B$3:$B$5001,$A$335)))</f>
        <v/>
      </c>
      <c r="AJ362" s="237" t="str">
        <f>IF(AJ$3="","",IF(COUNTIFS(BD!$A$3:$A$5001,AJ$3,BD!$B$3:$B$5001,$A$335,BD!$AC$3:$AC$5001,"&lt;&gt;")=0,"",SUMIFS(BD!$AC$3:$AC$5001,BD!$A$3:$A$5001,AJ$3,BD!$B$3:$B$5001,$A$335)))</f>
        <v/>
      </c>
      <c r="AK362" s="238" t="str">
        <f>IF(COUNT(F362:AJ362)=0,"",SUM(F362:AJ362))</f>
        <v/>
      </c>
    </row>
    <row r="363" ht="15.75" customHeight="1" hidden="1">
      <c r="A363" s="261"/>
      <c r="B363" s="258"/>
      <c r="C363" s="232" t="inlineStr">
        <is>
          <t xml:space="preserve">Férias</t>
        </is>
      </c>
      <c r="D363" s="233" t="str">
        <f>IFERROR(1/(1/INDEX(BD!$AL$51:$BF$51,MATCH($A$335,BD!$AL$22:$BF$22,0))),"")</f>
        <v/>
      </c>
      <c r="E363" s="234"/>
      <c r="F363" s="235" t="str">
        <f>IF(F$3="","",IF(COUNTIFS(BD!$A$3:$A$5001,F$3,BD!$B$3:$B$5001,$A$335,BD!$AD$3:$AD$5001,"&lt;&gt;")=0,"",SUMIFS(BD!$AD$3:$AD$5001,BD!$A$3:$A$5001,F$3,BD!$B$3:$B$5001,$A$335)))</f>
        <v/>
      </c>
      <c r="G363" s="236" t="str">
        <f>IF(G$3="","",IF(COUNTIFS(BD!$A$3:$A$5001,G$3,BD!$B$3:$B$5001,$A$335,BD!$AD$3:$AD$5001,"&lt;&gt;")=0,"",SUMIFS(BD!$AD$3:$AD$5001,BD!$A$3:$A$5001,G$3,BD!$B$3:$B$5001,$A$335)))</f>
        <v/>
      </c>
      <c r="H363" s="236" t="str">
        <f>IF(H$3="","",IF(COUNTIFS(BD!$A$3:$A$5001,H$3,BD!$B$3:$B$5001,$A$335,BD!$AD$3:$AD$5001,"&lt;&gt;")=0,"",SUMIFS(BD!$AD$3:$AD$5001,BD!$A$3:$A$5001,H$3,BD!$B$3:$B$5001,$A$335)))</f>
        <v/>
      </c>
      <c r="I363" s="236" t="str">
        <f>IF(I$3="","",IF(COUNTIFS(BD!$A$3:$A$5001,I$3,BD!$B$3:$B$5001,$A$335,BD!$AD$3:$AD$5001,"&lt;&gt;")=0,"",SUMIFS(BD!$AD$3:$AD$5001,BD!$A$3:$A$5001,I$3,BD!$B$3:$B$5001,$A$335)))</f>
        <v/>
      </c>
      <c r="J363" s="236" t="str">
        <f>IF(J$3="","",IF(COUNTIFS(BD!$A$3:$A$5001,J$3,BD!$B$3:$B$5001,$A$335,BD!$AD$3:$AD$5001,"&lt;&gt;")=0,"",SUMIFS(BD!$AD$3:$AD$5001,BD!$A$3:$A$5001,J$3,BD!$B$3:$B$5001,$A$335)))</f>
        <v/>
      </c>
      <c r="K363" s="236" t="str">
        <f>IF(K$3="","",IF(COUNTIFS(BD!$A$3:$A$5001,K$3,BD!$B$3:$B$5001,$A$335,BD!$AD$3:$AD$5001,"&lt;&gt;")=0,"",SUMIFS(BD!$AD$3:$AD$5001,BD!$A$3:$A$5001,K$3,BD!$B$3:$B$5001,$A$335)))</f>
        <v/>
      </c>
      <c r="L363" s="236" t="str">
        <f>IF(L$3="","",IF(COUNTIFS(BD!$A$3:$A$5001,L$3,BD!$B$3:$B$5001,$A$335,BD!$AD$3:$AD$5001,"&lt;&gt;")=0,"",SUMIFS(BD!$AD$3:$AD$5001,BD!$A$3:$A$5001,L$3,BD!$B$3:$B$5001,$A$335)))</f>
        <v/>
      </c>
      <c r="M363" s="236" t="str">
        <f>IF(M$3="","",IF(COUNTIFS(BD!$A$3:$A$5001,M$3,BD!$B$3:$B$5001,$A$335,BD!$AD$3:$AD$5001,"&lt;&gt;")=0,"",SUMIFS(BD!$AD$3:$AD$5001,BD!$A$3:$A$5001,M$3,BD!$B$3:$B$5001,$A$335)))</f>
        <v/>
      </c>
      <c r="N363" s="236" t="str">
        <f>IF(N$3="","",IF(COUNTIFS(BD!$A$3:$A$5001,N$3,BD!$B$3:$B$5001,$A$335,BD!$AD$3:$AD$5001,"&lt;&gt;")=0,"",SUMIFS(BD!$AD$3:$AD$5001,BD!$A$3:$A$5001,N$3,BD!$B$3:$B$5001,$A$335)))</f>
        <v/>
      </c>
      <c r="O363" s="236" t="str">
        <f>IF(O$3="","",IF(COUNTIFS(BD!$A$3:$A$5001,O$3,BD!$B$3:$B$5001,$A$335,BD!$AD$3:$AD$5001,"&lt;&gt;")=0,"",SUMIFS(BD!$AD$3:$AD$5001,BD!$A$3:$A$5001,O$3,BD!$B$3:$B$5001,$A$335)))</f>
        <v/>
      </c>
      <c r="P363" s="236" t="str">
        <f>IF(P$3="","",IF(COUNTIFS(BD!$A$3:$A$5001,P$3,BD!$B$3:$B$5001,$A$335,BD!$AD$3:$AD$5001,"&lt;&gt;")=0,"",SUMIFS(BD!$AD$3:$AD$5001,BD!$A$3:$A$5001,P$3,BD!$B$3:$B$5001,$A$335)))</f>
        <v/>
      </c>
      <c r="Q363" s="236" t="str">
        <f>IF(Q$3="","",IF(COUNTIFS(BD!$A$3:$A$5001,Q$3,BD!$B$3:$B$5001,$A$335,BD!$AD$3:$AD$5001,"&lt;&gt;")=0,"",SUMIFS(BD!$AD$3:$AD$5001,BD!$A$3:$A$5001,Q$3,BD!$B$3:$B$5001,$A$335)))</f>
        <v/>
      </c>
      <c r="R363" s="236" t="str">
        <f>IF(R$3="","",IF(COUNTIFS(BD!$A$3:$A$5001,R$3,BD!$B$3:$B$5001,$A$335,BD!$AD$3:$AD$5001,"&lt;&gt;")=0,"",SUMIFS(BD!$AD$3:$AD$5001,BD!$A$3:$A$5001,R$3,BD!$B$3:$B$5001,$A$335)))</f>
        <v/>
      </c>
      <c r="S363" s="236" t="str">
        <f>IF(S$3="","",IF(COUNTIFS(BD!$A$3:$A$5001,S$3,BD!$B$3:$B$5001,$A$335,BD!$AD$3:$AD$5001,"&lt;&gt;")=0,"",SUMIFS(BD!$AD$3:$AD$5001,BD!$A$3:$A$5001,S$3,BD!$B$3:$B$5001,$A$335)))</f>
        <v/>
      </c>
      <c r="T363" s="236" t="str">
        <f>IF(T$3="","",IF(COUNTIFS(BD!$A$3:$A$5001,T$3,BD!$B$3:$B$5001,$A$335,BD!$AD$3:$AD$5001,"&lt;&gt;")=0,"",SUMIFS(BD!$AD$3:$AD$5001,BD!$A$3:$A$5001,T$3,BD!$B$3:$B$5001,$A$335)))</f>
        <v/>
      </c>
      <c r="U363" s="236" t="str">
        <f>IF(U$3="","",IF(COUNTIFS(BD!$A$3:$A$5001,U$3,BD!$B$3:$B$5001,$A$335,BD!$AD$3:$AD$5001,"&lt;&gt;")=0,"",SUMIFS(BD!$AD$3:$AD$5001,BD!$A$3:$A$5001,U$3,BD!$B$3:$B$5001,$A$335)))</f>
        <v/>
      </c>
      <c r="V363" s="236" t="str">
        <f>IF(V$3="","",IF(COUNTIFS(BD!$A$3:$A$5001,V$3,BD!$B$3:$B$5001,$A$335,BD!$AD$3:$AD$5001,"&lt;&gt;")=0,"",SUMIFS(BD!$AD$3:$AD$5001,BD!$A$3:$A$5001,V$3,BD!$B$3:$B$5001,$A$335)))</f>
        <v/>
      </c>
      <c r="W363" s="236" t="str">
        <f>IF(W$3="","",IF(COUNTIFS(BD!$A$3:$A$5001,W$3,BD!$B$3:$B$5001,$A$335,BD!$AD$3:$AD$5001,"&lt;&gt;")=0,"",SUMIFS(BD!$AD$3:$AD$5001,BD!$A$3:$A$5001,W$3,BD!$B$3:$B$5001,$A$335)))</f>
        <v/>
      </c>
      <c r="X363" s="236" t="str">
        <f>IF(X$3="","",IF(COUNTIFS(BD!$A$3:$A$5001,X$3,BD!$B$3:$B$5001,$A$335,BD!$AD$3:$AD$5001,"&lt;&gt;")=0,"",SUMIFS(BD!$AD$3:$AD$5001,BD!$A$3:$A$5001,X$3,BD!$B$3:$B$5001,$A$335)))</f>
        <v/>
      </c>
      <c r="Y363" s="236" t="str">
        <f>IF(Y$3="","",IF(COUNTIFS(BD!$A$3:$A$5001,Y$3,BD!$B$3:$B$5001,$A$335,BD!$AD$3:$AD$5001,"&lt;&gt;")=0,"",SUMIFS(BD!$AD$3:$AD$5001,BD!$A$3:$A$5001,Y$3,BD!$B$3:$B$5001,$A$335)))</f>
        <v/>
      </c>
      <c r="Z363" s="236" t="str">
        <f>IF(Z$3="","",IF(COUNTIFS(BD!$A$3:$A$5001,Z$3,BD!$B$3:$B$5001,$A$335,BD!$AD$3:$AD$5001,"&lt;&gt;")=0,"",SUMIFS(BD!$AD$3:$AD$5001,BD!$A$3:$A$5001,Z$3,BD!$B$3:$B$5001,$A$335)))</f>
        <v/>
      </c>
      <c r="AA363" s="236" t="str">
        <f>IF(AA$3="","",IF(COUNTIFS(BD!$A$3:$A$5001,AA$3,BD!$B$3:$B$5001,$A$335,BD!$AD$3:$AD$5001,"&lt;&gt;")=0,"",SUMIFS(BD!$AD$3:$AD$5001,BD!$A$3:$A$5001,AA$3,BD!$B$3:$B$5001,$A$335)))</f>
        <v/>
      </c>
      <c r="AB363" s="236" t="str">
        <f>IF(AB$3="","",IF(COUNTIFS(BD!$A$3:$A$5001,AB$3,BD!$B$3:$B$5001,$A$335,BD!$AD$3:$AD$5001,"&lt;&gt;")=0,"",SUMIFS(BD!$AD$3:$AD$5001,BD!$A$3:$A$5001,AB$3,BD!$B$3:$B$5001,$A$335)))</f>
        <v/>
      </c>
      <c r="AC363" s="236" t="str">
        <f>IF(AC$3="","",IF(COUNTIFS(BD!$A$3:$A$5001,AC$3,BD!$B$3:$B$5001,$A$335,BD!$AD$3:$AD$5001,"&lt;&gt;")=0,"",SUMIFS(BD!$AD$3:$AD$5001,BD!$A$3:$A$5001,AC$3,BD!$B$3:$B$5001,$A$335)))</f>
        <v/>
      </c>
      <c r="AD363" s="236" t="str">
        <f>IF(AD$3="","",IF(COUNTIFS(BD!$A$3:$A$5001,AD$3,BD!$B$3:$B$5001,$A$335,BD!$AD$3:$AD$5001,"&lt;&gt;")=0,"",SUMIFS(BD!$AD$3:$AD$5001,BD!$A$3:$A$5001,AD$3,BD!$B$3:$B$5001,$A$335)))</f>
        <v/>
      </c>
      <c r="AE363" s="236" t="str">
        <f>IF(AE$3="","",IF(COUNTIFS(BD!$A$3:$A$5001,AE$3,BD!$B$3:$B$5001,$A$335,BD!$AD$3:$AD$5001,"&lt;&gt;")=0,"",SUMIFS(BD!$AD$3:$AD$5001,BD!$A$3:$A$5001,AE$3,BD!$B$3:$B$5001,$A$335)))</f>
        <v/>
      </c>
      <c r="AF363" s="236" t="str">
        <f>IF(AF$3="","",IF(COUNTIFS(BD!$A$3:$A$5001,AF$3,BD!$B$3:$B$5001,$A$335,BD!$AD$3:$AD$5001,"&lt;&gt;")=0,"",SUMIFS(BD!$AD$3:$AD$5001,BD!$A$3:$A$5001,AF$3,BD!$B$3:$B$5001,$A$335)))</f>
        <v/>
      </c>
      <c r="AG363" s="236" t="str">
        <f>IF(AG$3="","",IF(COUNTIFS(BD!$A$3:$A$5001,AG$3,BD!$B$3:$B$5001,$A$335,BD!$AD$3:$AD$5001,"&lt;&gt;")=0,"",SUMIFS(BD!$AD$3:$AD$5001,BD!$A$3:$A$5001,AG$3,BD!$B$3:$B$5001,$A$335)))</f>
        <v/>
      </c>
      <c r="AH363" s="236" t="str">
        <f>IF(AH$3="","",IF(COUNTIFS(BD!$A$3:$A$5001,AH$3,BD!$B$3:$B$5001,$A$335,BD!$AD$3:$AD$5001,"&lt;&gt;")=0,"",SUMIFS(BD!$AD$3:$AD$5001,BD!$A$3:$A$5001,AH$3,BD!$B$3:$B$5001,$A$335)))</f>
        <v/>
      </c>
      <c r="AI363" s="236" t="str">
        <f>IF(AI$3="","",IF(COUNTIFS(BD!$A$3:$A$5001,AI$3,BD!$B$3:$B$5001,$A$335,BD!$AD$3:$AD$5001,"&lt;&gt;")=0,"",SUMIFS(BD!$AD$3:$AD$5001,BD!$A$3:$A$5001,AI$3,BD!$B$3:$B$5001,$A$335)))</f>
        <v/>
      </c>
      <c r="AJ363" s="237" t="str">
        <f>IF(AJ$3="","",IF(COUNTIFS(BD!$A$3:$A$5001,AJ$3,BD!$B$3:$B$5001,$A$335,BD!$AD$3:$AD$5001,"&lt;&gt;")=0,"",SUMIFS(BD!$AD$3:$AD$5001,BD!$A$3:$A$5001,AJ$3,BD!$B$3:$B$5001,$A$335)))</f>
        <v/>
      </c>
      <c r="AK363" s="238" t="str">
        <f>IF(COUNT(F363:AJ363)=0,"",SUM(F363:AJ363))</f>
        <v/>
      </c>
    </row>
    <row r="364" ht="15.75" customHeight="1" hidden="1">
      <c r="A364" s="261"/>
      <c r="B364" s="258"/>
      <c r="C364" s="232" t="inlineStr">
        <is>
          <t xml:space="preserve">Desligamento</t>
        </is>
      </c>
      <c r="D364" s="233" t="str">
        <f>IFERROR(1/(1/INDEX(BD!$AL$52:$BF$52,MATCH($A$335,BD!$AL$22:$BF$22,0))),"")</f>
        <v/>
      </c>
      <c r="E364" s="234"/>
      <c r="F364" s="235" t="str">
        <f>IF(F$3="","",IF(COUNTIFS(BD!$A$3:$A$5001,F$3,BD!$B$3:$B$5001,$A$335,BD!$AE$3:$AE$5001,"&lt;&gt;")=0,"",SUMIFS(BD!$AE$3:$AE$5001,BD!$A$3:$A$5001,F$3,BD!$B$3:$B$5001,$A$335)))</f>
        <v/>
      </c>
      <c r="G364" s="236" t="str">
        <f>IF(G$3="","",IF(COUNTIFS(BD!$A$3:$A$5001,G$3,BD!$B$3:$B$5001,$A$335,BD!$AE$3:$AE$5001,"&lt;&gt;")=0,"",SUMIFS(BD!$AE$3:$AE$5001,BD!$A$3:$A$5001,G$3,BD!$B$3:$B$5001,$A$335)))</f>
        <v/>
      </c>
      <c r="H364" s="236" t="str">
        <f>IF(H$3="","",IF(COUNTIFS(BD!$A$3:$A$5001,H$3,BD!$B$3:$B$5001,$A$335,BD!$AE$3:$AE$5001,"&lt;&gt;")=0,"",SUMIFS(BD!$AE$3:$AE$5001,BD!$A$3:$A$5001,H$3,BD!$B$3:$B$5001,$A$335)))</f>
        <v/>
      </c>
      <c r="I364" s="236" t="str">
        <f>IF(I$3="","",IF(COUNTIFS(BD!$A$3:$A$5001,I$3,BD!$B$3:$B$5001,$A$335,BD!$AE$3:$AE$5001,"&lt;&gt;")=0,"",SUMIFS(BD!$AE$3:$AE$5001,BD!$A$3:$A$5001,I$3,BD!$B$3:$B$5001,$A$335)))</f>
        <v/>
      </c>
      <c r="J364" s="236" t="str">
        <f>IF(J$3="","",IF(COUNTIFS(BD!$A$3:$A$5001,J$3,BD!$B$3:$B$5001,$A$335,BD!$AE$3:$AE$5001,"&lt;&gt;")=0,"",SUMIFS(BD!$AE$3:$AE$5001,BD!$A$3:$A$5001,J$3,BD!$B$3:$B$5001,$A$335)))</f>
        <v/>
      </c>
      <c r="K364" s="236" t="str">
        <f>IF(K$3="","",IF(COUNTIFS(BD!$A$3:$A$5001,K$3,BD!$B$3:$B$5001,$A$335,BD!$AE$3:$AE$5001,"&lt;&gt;")=0,"",SUMIFS(BD!$AE$3:$AE$5001,BD!$A$3:$A$5001,K$3,BD!$B$3:$B$5001,$A$335)))</f>
        <v/>
      </c>
      <c r="L364" s="236" t="str">
        <f>IF(L$3="","",IF(COUNTIFS(BD!$A$3:$A$5001,L$3,BD!$B$3:$B$5001,$A$335,BD!$AE$3:$AE$5001,"&lt;&gt;")=0,"",SUMIFS(BD!$AE$3:$AE$5001,BD!$A$3:$A$5001,L$3,BD!$B$3:$B$5001,$A$335)))</f>
        <v/>
      </c>
      <c r="M364" s="236" t="str">
        <f>IF(M$3="","",IF(COUNTIFS(BD!$A$3:$A$5001,M$3,BD!$B$3:$B$5001,$A$335,BD!$AE$3:$AE$5001,"&lt;&gt;")=0,"",SUMIFS(BD!$AE$3:$AE$5001,BD!$A$3:$A$5001,M$3,BD!$B$3:$B$5001,$A$335)))</f>
        <v/>
      </c>
      <c r="N364" s="236" t="str">
        <f>IF(N$3="","",IF(COUNTIFS(BD!$A$3:$A$5001,N$3,BD!$B$3:$B$5001,$A$335,BD!$AE$3:$AE$5001,"&lt;&gt;")=0,"",SUMIFS(BD!$AE$3:$AE$5001,BD!$A$3:$A$5001,N$3,BD!$B$3:$B$5001,$A$335)))</f>
        <v/>
      </c>
      <c r="O364" s="236" t="str">
        <f>IF(O$3="","",IF(COUNTIFS(BD!$A$3:$A$5001,O$3,BD!$B$3:$B$5001,$A$335,BD!$AE$3:$AE$5001,"&lt;&gt;")=0,"",SUMIFS(BD!$AE$3:$AE$5001,BD!$A$3:$A$5001,O$3,BD!$B$3:$B$5001,$A$335)))</f>
        <v/>
      </c>
      <c r="P364" s="236" t="str">
        <f>IF(P$3="","",IF(COUNTIFS(BD!$A$3:$A$5001,P$3,BD!$B$3:$B$5001,$A$335,BD!$AE$3:$AE$5001,"&lt;&gt;")=0,"",SUMIFS(BD!$AE$3:$AE$5001,BD!$A$3:$A$5001,P$3,BD!$B$3:$B$5001,$A$335)))</f>
        <v/>
      </c>
      <c r="Q364" s="236" t="str">
        <f>IF(Q$3="","",IF(COUNTIFS(BD!$A$3:$A$5001,Q$3,BD!$B$3:$B$5001,$A$335,BD!$AE$3:$AE$5001,"&lt;&gt;")=0,"",SUMIFS(BD!$AE$3:$AE$5001,BD!$A$3:$A$5001,Q$3,BD!$B$3:$B$5001,$A$335)))</f>
        <v/>
      </c>
      <c r="R364" s="236" t="str">
        <f>IF(R$3="","",IF(COUNTIFS(BD!$A$3:$A$5001,R$3,BD!$B$3:$B$5001,$A$335,BD!$AE$3:$AE$5001,"&lt;&gt;")=0,"",SUMIFS(BD!$AE$3:$AE$5001,BD!$A$3:$A$5001,R$3,BD!$B$3:$B$5001,$A$335)))</f>
        <v/>
      </c>
      <c r="S364" s="236" t="str">
        <f>IF(S$3="","",IF(COUNTIFS(BD!$A$3:$A$5001,S$3,BD!$B$3:$B$5001,$A$335,BD!$AE$3:$AE$5001,"&lt;&gt;")=0,"",SUMIFS(BD!$AE$3:$AE$5001,BD!$A$3:$A$5001,S$3,BD!$B$3:$B$5001,$A$335)))</f>
        <v/>
      </c>
      <c r="T364" s="236" t="str">
        <f>IF(T$3="","",IF(COUNTIFS(BD!$A$3:$A$5001,T$3,BD!$B$3:$B$5001,$A$335,BD!$AE$3:$AE$5001,"&lt;&gt;")=0,"",SUMIFS(BD!$AE$3:$AE$5001,BD!$A$3:$A$5001,T$3,BD!$B$3:$B$5001,$A$335)))</f>
        <v/>
      </c>
      <c r="U364" s="236" t="str">
        <f>IF(U$3="","",IF(COUNTIFS(BD!$A$3:$A$5001,U$3,BD!$B$3:$B$5001,$A$335,BD!$AE$3:$AE$5001,"&lt;&gt;")=0,"",SUMIFS(BD!$AE$3:$AE$5001,BD!$A$3:$A$5001,U$3,BD!$B$3:$B$5001,$A$335)))</f>
        <v/>
      </c>
      <c r="V364" s="236" t="str">
        <f>IF(V$3="","",IF(COUNTIFS(BD!$A$3:$A$5001,V$3,BD!$B$3:$B$5001,$A$335,BD!$AE$3:$AE$5001,"&lt;&gt;")=0,"",SUMIFS(BD!$AE$3:$AE$5001,BD!$A$3:$A$5001,V$3,BD!$B$3:$B$5001,$A$335)))</f>
        <v/>
      </c>
      <c r="W364" s="236" t="str">
        <f>IF(W$3="","",IF(COUNTIFS(BD!$A$3:$A$5001,W$3,BD!$B$3:$B$5001,$A$335,BD!$AE$3:$AE$5001,"&lt;&gt;")=0,"",SUMIFS(BD!$AE$3:$AE$5001,BD!$A$3:$A$5001,W$3,BD!$B$3:$B$5001,$A$335)))</f>
        <v/>
      </c>
      <c r="X364" s="236" t="str">
        <f>IF(X$3="","",IF(COUNTIFS(BD!$A$3:$A$5001,X$3,BD!$B$3:$B$5001,$A$335,BD!$AE$3:$AE$5001,"&lt;&gt;")=0,"",SUMIFS(BD!$AE$3:$AE$5001,BD!$A$3:$A$5001,X$3,BD!$B$3:$B$5001,$A$335)))</f>
        <v/>
      </c>
      <c r="Y364" s="236" t="str">
        <f>IF(Y$3="","",IF(COUNTIFS(BD!$A$3:$A$5001,Y$3,BD!$B$3:$B$5001,$A$335,BD!$AE$3:$AE$5001,"&lt;&gt;")=0,"",SUMIFS(BD!$AE$3:$AE$5001,BD!$A$3:$A$5001,Y$3,BD!$B$3:$B$5001,$A$335)))</f>
        <v/>
      </c>
      <c r="Z364" s="236" t="str">
        <f>IF(Z$3="","",IF(COUNTIFS(BD!$A$3:$A$5001,Z$3,BD!$B$3:$B$5001,$A$335,BD!$AE$3:$AE$5001,"&lt;&gt;")=0,"",SUMIFS(BD!$AE$3:$AE$5001,BD!$A$3:$A$5001,Z$3,BD!$B$3:$B$5001,$A$335)))</f>
        <v/>
      </c>
      <c r="AA364" s="236" t="str">
        <f>IF(AA$3="","",IF(COUNTIFS(BD!$A$3:$A$5001,AA$3,BD!$B$3:$B$5001,$A$335,BD!$AE$3:$AE$5001,"&lt;&gt;")=0,"",SUMIFS(BD!$AE$3:$AE$5001,BD!$A$3:$A$5001,AA$3,BD!$B$3:$B$5001,$A$335)))</f>
        <v/>
      </c>
      <c r="AB364" s="236" t="str">
        <f>IF(AB$3="","",IF(COUNTIFS(BD!$A$3:$A$5001,AB$3,BD!$B$3:$B$5001,$A$335,BD!$AE$3:$AE$5001,"&lt;&gt;")=0,"",SUMIFS(BD!$AE$3:$AE$5001,BD!$A$3:$A$5001,AB$3,BD!$B$3:$B$5001,$A$335)))</f>
        <v/>
      </c>
      <c r="AC364" s="236" t="str">
        <f>IF(AC$3="","",IF(COUNTIFS(BD!$A$3:$A$5001,AC$3,BD!$B$3:$B$5001,$A$335,BD!$AE$3:$AE$5001,"&lt;&gt;")=0,"",SUMIFS(BD!$AE$3:$AE$5001,BD!$A$3:$A$5001,AC$3,BD!$B$3:$B$5001,$A$335)))</f>
        <v/>
      </c>
      <c r="AD364" s="236" t="str">
        <f>IF(AD$3="","",IF(COUNTIFS(BD!$A$3:$A$5001,AD$3,BD!$B$3:$B$5001,$A$335,BD!$AE$3:$AE$5001,"&lt;&gt;")=0,"",SUMIFS(BD!$AE$3:$AE$5001,BD!$A$3:$A$5001,AD$3,BD!$B$3:$B$5001,$A$335)))</f>
        <v/>
      </c>
      <c r="AE364" s="236" t="str">
        <f>IF(AE$3="","",IF(COUNTIFS(BD!$A$3:$A$5001,AE$3,BD!$B$3:$B$5001,$A$335,BD!$AE$3:$AE$5001,"&lt;&gt;")=0,"",SUMIFS(BD!$AE$3:$AE$5001,BD!$A$3:$A$5001,AE$3,BD!$B$3:$B$5001,$A$335)))</f>
        <v/>
      </c>
      <c r="AF364" s="236" t="str">
        <f>IF(AF$3="","",IF(COUNTIFS(BD!$A$3:$A$5001,AF$3,BD!$B$3:$B$5001,$A$335,BD!$AE$3:$AE$5001,"&lt;&gt;")=0,"",SUMIFS(BD!$AE$3:$AE$5001,BD!$A$3:$A$5001,AF$3,BD!$B$3:$B$5001,$A$335)))</f>
        <v/>
      </c>
      <c r="AG364" s="236" t="str">
        <f>IF(AG$3="","",IF(COUNTIFS(BD!$A$3:$A$5001,AG$3,BD!$B$3:$B$5001,$A$335,BD!$AE$3:$AE$5001,"&lt;&gt;")=0,"",SUMIFS(BD!$AE$3:$AE$5001,BD!$A$3:$A$5001,AG$3,BD!$B$3:$B$5001,$A$335)))</f>
        <v/>
      </c>
      <c r="AH364" s="236" t="str">
        <f>IF(AH$3="","",IF(COUNTIFS(BD!$A$3:$A$5001,AH$3,BD!$B$3:$B$5001,$A$335,BD!$AE$3:$AE$5001,"&lt;&gt;")=0,"",SUMIFS(BD!$AE$3:$AE$5001,BD!$A$3:$A$5001,AH$3,BD!$B$3:$B$5001,$A$335)))</f>
        <v/>
      </c>
      <c r="AI364" s="236" t="str">
        <f>IF(AI$3="","",IF(COUNTIFS(BD!$A$3:$A$5001,AI$3,BD!$B$3:$B$5001,$A$335,BD!$AE$3:$AE$5001,"&lt;&gt;")=0,"",SUMIFS(BD!$AE$3:$AE$5001,BD!$A$3:$A$5001,AI$3,BD!$B$3:$B$5001,$A$335)))</f>
        <v/>
      </c>
      <c r="AJ364" s="237" t="str">
        <f>IF(AJ$3="","",IF(COUNTIFS(BD!$A$3:$A$5001,AJ$3,BD!$B$3:$B$5001,$A$335,BD!$AE$3:$AE$5001,"&lt;&gt;")=0,"",SUMIFS(BD!$AE$3:$AE$5001,BD!$A$3:$A$5001,AJ$3,BD!$B$3:$B$5001,$A$335)))</f>
        <v/>
      </c>
      <c r="AK364" s="238" t="str">
        <f>IF(COUNT(F364:AJ364)=0,"",SUM(F364:AJ364))</f>
        <v/>
      </c>
    </row>
    <row r="365" ht="15.75" customHeight="1" hidden="1">
      <c r="A365" s="261"/>
      <c r="B365" s="258"/>
      <c r="C365" s="232" t="inlineStr">
        <is>
          <t xml:space="preserve">Desvios Comportamentais</t>
        </is>
      </c>
      <c r="D365" s="233" t="str">
        <f>IFERROR(1/(1/INDEX(BD!$AL$53:$BF$53,MATCH($A$335,BD!$AL$22:$BF$22,0))),"")</f>
        <v/>
      </c>
      <c r="E365" s="234"/>
      <c r="F365" s="235" t="str">
        <f>IF(F$3="","",IF(COUNTIFS(BD!$A$3:$A$5001,F$3,BD!$B$3:$B$5001,$A$335,BD!$AF$3:$AF$5001,"&lt;&gt;")=0,"",SUMIFS(BD!$AF$3:$AF$5001,BD!$A$3:$A$5001,F$3,BD!$B$3:$B$5001,$A$335)))</f>
        <v/>
      </c>
      <c r="G365" s="236" t="str">
        <f>IF(G$3="","",IF(COUNTIFS(BD!$A$3:$A$5001,G$3,BD!$B$3:$B$5001,$A$335,BD!$AF$3:$AF$5001,"&lt;&gt;")=0,"",SUMIFS(BD!$AF$3:$AF$5001,BD!$A$3:$A$5001,G$3,BD!$B$3:$B$5001,$A$335)))</f>
        <v/>
      </c>
      <c r="H365" s="236" t="str">
        <f>IF(H$3="","",IF(COUNTIFS(BD!$A$3:$A$5001,H$3,BD!$B$3:$B$5001,$A$335,BD!$AF$3:$AF$5001,"&lt;&gt;")=0,"",SUMIFS(BD!$AF$3:$AF$5001,BD!$A$3:$A$5001,H$3,BD!$B$3:$B$5001,$A$335)))</f>
        <v/>
      </c>
      <c r="I365" s="236" t="str">
        <f>IF(I$3="","",IF(COUNTIFS(BD!$A$3:$A$5001,I$3,BD!$B$3:$B$5001,$A$335,BD!$AF$3:$AF$5001,"&lt;&gt;")=0,"",SUMIFS(BD!$AF$3:$AF$5001,BD!$A$3:$A$5001,I$3,BD!$B$3:$B$5001,$A$335)))</f>
        <v/>
      </c>
      <c r="J365" s="236" t="str">
        <f>IF(J$3="","",IF(COUNTIFS(BD!$A$3:$A$5001,J$3,BD!$B$3:$B$5001,$A$335,BD!$AF$3:$AF$5001,"&lt;&gt;")=0,"",SUMIFS(BD!$AF$3:$AF$5001,BD!$A$3:$A$5001,J$3,BD!$B$3:$B$5001,$A$335)))</f>
        <v/>
      </c>
      <c r="K365" s="236" t="str">
        <f>IF(K$3="","",IF(COUNTIFS(BD!$A$3:$A$5001,K$3,BD!$B$3:$B$5001,$A$335,BD!$AF$3:$AF$5001,"&lt;&gt;")=0,"",SUMIFS(BD!$AF$3:$AF$5001,BD!$A$3:$A$5001,K$3,BD!$B$3:$B$5001,$A$335)))</f>
        <v/>
      </c>
      <c r="L365" s="236" t="str">
        <f>IF(L$3="","",IF(COUNTIFS(BD!$A$3:$A$5001,L$3,BD!$B$3:$B$5001,$A$335,BD!$AF$3:$AF$5001,"&lt;&gt;")=0,"",SUMIFS(BD!$AF$3:$AF$5001,BD!$A$3:$A$5001,L$3,BD!$B$3:$B$5001,$A$335)))</f>
        <v/>
      </c>
      <c r="M365" s="236" t="str">
        <f>IF(M$3="","",IF(COUNTIFS(BD!$A$3:$A$5001,M$3,BD!$B$3:$B$5001,$A$335,BD!$AF$3:$AF$5001,"&lt;&gt;")=0,"",SUMIFS(BD!$AF$3:$AF$5001,BD!$A$3:$A$5001,M$3,BD!$B$3:$B$5001,$A$335)))</f>
        <v/>
      </c>
      <c r="N365" s="236" t="str">
        <f>IF(N$3="","",IF(COUNTIFS(BD!$A$3:$A$5001,N$3,BD!$B$3:$B$5001,$A$335,BD!$AF$3:$AF$5001,"&lt;&gt;")=0,"",SUMIFS(BD!$AF$3:$AF$5001,BD!$A$3:$A$5001,N$3,BD!$B$3:$B$5001,$A$335)))</f>
        <v/>
      </c>
      <c r="O365" s="236" t="str">
        <f>IF(O$3="","",IF(COUNTIFS(BD!$A$3:$A$5001,O$3,BD!$B$3:$B$5001,$A$335,BD!$AF$3:$AF$5001,"&lt;&gt;")=0,"",SUMIFS(BD!$AF$3:$AF$5001,BD!$A$3:$A$5001,O$3,BD!$B$3:$B$5001,$A$335)))</f>
        <v/>
      </c>
      <c r="P365" s="236" t="str">
        <f>IF(P$3="","",IF(COUNTIFS(BD!$A$3:$A$5001,P$3,BD!$B$3:$B$5001,$A$335,BD!$AF$3:$AF$5001,"&lt;&gt;")=0,"",SUMIFS(BD!$AF$3:$AF$5001,BD!$A$3:$A$5001,P$3,BD!$B$3:$B$5001,$A$335)))</f>
        <v/>
      </c>
      <c r="Q365" s="236" t="str">
        <f>IF(Q$3="","",IF(COUNTIFS(BD!$A$3:$A$5001,Q$3,BD!$B$3:$B$5001,$A$335,BD!$AF$3:$AF$5001,"&lt;&gt;")=0,"",SUMIFS(BD!$AF$3:$AF$5001,BD!$A$3:$A$5001,Q$3,BD!$B$3:$B$5001,$A$335)))</f>
        <v/>
      </c>
      <c r="R365" s="236" t="str">
        <f>IF(R$3="","",IF(COUNTIFS(BD!$A$3:$A$5001,R$3,BD!$B$3:$B$5001,$A$335,BD!$AF$3:$AF$5001,"&lt;&gt;")=0,"",SUMIFS(BD!$AF$3:$AF$5001,BD!$A$3:$A$5001,R$3,BD!$B$3:$B$5001,$A$335)))</f>
        <v/>
      </c>
      <c r="S365" s="236" t="str">
        <f>IF(S$3="","",IF(COUNTIFS(BD!$A$3:$A$5001,S$3,BD!$B$3:$B$5001,$A$335,BD!$AF$3:$AF$5001,"&lt;&gt;")=0,"",SUMIFS(BD!$AF$3:$AF$5001,BD!$A$3:$A$5001,S$3,BD!$B$3:$B$5001,$A$335)))</f>
        <v/>
      </c>
      <c r="T365" s="236" t="str">
        <f>IF(T$3="","",IF(COUNTIFS(BD!$A$3:$A$5001,T$3,BD!$B$3:$B$5001,$A$335,BD!$AF$3:$AF$5001,"&lt;&gt;")=0,"",SUMIFS(BD!$AF$3:$AF$5001,BD!$A$3:$A$5001,T$3,BD!$B$3:$B$5001,$A$335)))</f>
        <v/>
      </c>
      <c r="U365" s="236" t="str">
        <f>IF(U$3="","",IF(COUNTIFS(BD!$A$3:$A$5001,U$3,BD!$B$3:$B$5001,$A$335,BD!$AF$3:$AF$5001,"&lt;&gt;")=0,"",SUMIFS(BD!$AF$3:$AF$5001,BD!$A$3:$A$5001,U$3,BD!$B$3:$B$5001,$A$335)))</f>
        <v/>
      </c>
      <c r="V365" s="236" t="str">
        <f>IF(V$3="","",IF(COUNTIFS(BD!$A$3:$A$5001,V$3,BD!$B$3:$B$5001,$A$335,BD!$AF$3:$AF$5001,"&lt;&gt;")=0,"",SUMIFS(BD!$AF$3:$AF$5001,BD!$A$3:$A$5001,V$3,BD!$B$3:$B$5001,$A$335)))</f>
        <v/>
      </c>
      <c r="W365" s="236" t="str">
        <f>IF(W$3="","",IF(COUNTIFS(BD!$A$3:$A$5001,W$3,BD!$B$3:$B$5001,$A$335,BD!$AF$3:$AF$5001,"&lt;&gt;")=0,"",SUMIFS(BD!$AF$3:$AF$5001,BD!$A$3:$A$5001,W$3,BD!$B$3:$B$5001,$A$335)))</f>
        <v/>
      </c>
      <c r="X365" s="236" t="str">
        <f>IF(X$3="","",IF(COUNTIFS(BD!$A$3:$A$5001,X$3,BD!$B$3:$B$5001,$A$335,BD!$AF$3:$AF$5001,"&lt;&gt;")=0,"",SUMIFS(BD!$AF$3:$AF$5001,BD!$A$3:$A$5001,X$3,BD!$B$3:$B$5001,$A$335)))</f>
        <v/>
      </c>
      <c r="Y365" s="236" t="str">
        <f>IF(Y$3="","",IF(COUNTIFS(BD!$A$3:$A$5001,Y$3,BD!$B$3:$B$5001,$A$335,BD!$AF$3:$AF$5001,"&lt;&gt;")=0,"",SUMIFS(BD!$AF$3:$AF$5001,BD!$A$3:$A$5001,Y$3,BD!$B$3:$B$5001,$A$335)))</f>
        <v/>
      </c>
      <c r="Z365" s="236" t="str">
        <f>IF(Z$3="","",IF(COUNTIFS(BD!$A$3:$A$5001,Z$3,BD!$B$3:$B$5001,$A$335,BD!$AF$3:$AF$5001,"&lt;&gt;")=0,"",SUMIFS(BD!$AF$3:$AF$5001,BD!$A$3:$A$5001,Z$3,BD!$B$3:$B$5001,$A$335)))</f>
        <v/>
      </c>
      <c r="AA365" s="236" t="str">
        <f>IF(AA$3="","",IF(COUNTIFS(BD!$A$3:$A$5001,AA$3,BD!$B$3:$B$5001,$A$335,BD!$AF$3:$AF$5001,"&lt;&gt;")=0,"",SUMIFS(BD!$AF$3:$AF$5001,BD!$A$3:$A$5001,AA$3,BD!$B$3:$B$5001,$A$335)))</f>
        <v/>
      </c>
      <c r="AB365" s="236" t="str">
        <f>IF(AB$3="","",IF(COUNTIFS(BD!$A$3:$A$5001,AB$3,BD!$B$3:$B$5001,$A$335,BD!$AF$3:$AF$5001,"&lt;&gt;")=0,"",SUMIFS(BD!$AF$3:$AF$5001,BD!$A$3:$A$5001,AB$3,BD!$B$3:$B$5001,$A$335)))</f>
        <v/>
      </c>
      <c r="AC365" s="236" t="str">
        <f>IF(AC$3="","",IF(COUNTIFS(BD!$A$3:$A$5001,AC$3,BD!$B$3:$B$5001,$A$335,BD!$AF$3:$AF$5001,"&lt;&gt;")=0,"",SUMIFS(BD!$AF$3:$AF$5001,BD!$A$3:$A$5001,AC$3,BD!$B$3:$B$5001,$A$335)))</f>
        <v/>
      </c>
      <c r="AD365" s="236" t="str">
        <f>IF(AD$3="","",IF(COUNTIFS(BD!$A$3:$A$5001,AD$3,BD!$B$3:$B$5001,$A$335,BD!$AF$3:$AF$5001,"&lt;&gt;")=0,"",SUMIFS(BD!$AF$3:$AF$5001,BD!$A$3:$A$5001,AD$3,BD!$B$3:$B$5001,$A$335)))</f>
        <v/>
      </c>
      <c r="AE365" s="236" t="str">
        <f>IF(AE$3="","",IF(COUNTIFS(BD!$A$3:$A$5001,AE$3,BD!$B$3:$B$5001,$A$335,BD!$AF$3:$AF$5001,"&lt;&gt;")=0,"",SUMIFS(BD!$AF$3:$AF$5001,BD!$A$3:$A$5001,AE$3,BD!$B$3:$B$5001,$A$335)))</f>
        <v/>
      </c>
      <c r="AF365" s="236" t="str">
        <f>IF(AF$3="","",IF(COUNTIFS(BD!$A$3:$A$5001,AF$3,BD!$B$3:$B$5001,$A$335,BD!$AF$3:$AF$5001,"&lt;&gt;")=0,"",SUMIFS(BD!$AF$3:$AF$5001,BD!$A$3:$A$5001,AF$3,BD!$B$3:$B$5001,$A$335)))</f>
        <v/>
      </c>
      <c r="AG365" s="236" t="str">
        <f>IF(AG$3="","",IF(COUNTIFS(BD!$A$3:$A$5001,AG$3,BD!$B$3:$B$5001,$A$335,BD!$AF$3:$AF$5001,"&lt;&gt;")=0,"",SUMIFS(BD!$AF$3:$AF$5001,BD!$A$3:$A$5001,AG$3,BD!$B$3:$B$5001,$A$335)))</f>
        <v/>
      </c>
      <c r="AH365" s="236" t="str">
        <f>IF(AH$3="","",IF(COUNTIFS(BD!$A$3:$A$5001,AH$3,BD!$B$3:$B$5001,$A$335,BD!$AF$3:$AF$5001,"&lt;&gt;")=0,"",SUMIFS(BD!$AF$3:$AF$5001,BD!$A$3:$A$5001,AH$3,BD!$B$3:$B$5001,$A$335)))</f>
        <v/>
      </c>
      <c r="AI365" s="236" t="str">
        <f>IF(AI$3="","",IF(COUNTIFS(BD!$A$3:$A$5001,AI$3,BD!$B$3:$B$5001,$A$335,BD!$AF$3:$AF$5001,"&lt;&gt;")=0,"",SUMIFS(BD!$AF$3:$AF$5001,BD!$A$3:$A$5001,AI$3,BD!$B$3:$B$5001,$A$335)))</f>
        <v/>
      </c>
      <c r="AJ365" s="237" t="str">
        <f>IF(AJ$3="","",IF(COUNTIFS(BD!$A$3:$A$5001,AJ$3,BD!$B$3:$B$5001,$A$335,BD!$AF$3:$AF$5001,"&lt;&gt;")=0,"",SUMIFS(BD!$AF$3:$AF$5001,BD!$A$3:$A$5001,AJ$3,BD!$B$3:$B$5001,$A$335)))</f>
        <v/>
      </c>
      <c r="AK365" s="238" t="str">
        <f>IF(COUNT(F365:AJ365)=0,"",SUM(F365:AJ365))</f>
        <v/>
      </c>
    </row>
    <row r="366" ht="15.75" customHeight="1" hidden="1">
      <c r="A366" s="261"/>
      <c r="B366" s="258"/>
      <c r="C366" s="232" t="inlineStr">
        <is>
          <t xml:space="preserve">Acidentes CAF</t>
        </is>
      </c>
      <c r="D366" s="233" t="str">
        <f>IFERROR(1/(1/INDEX(BD!$AL$54:$BF$54,MATCH($A$335,BD!$AL$22:$BF$22,0))),"")</f>
        <v/>
      </c>
      <c r="E366" s="234"/>
      <c r="F366" s="235" t="str">
        <f>IF(F$3="","",IF(COUNTIFS(BD!$A$3:$A$5001,F$3,BD!$B$3:$B$5001,$A$335,BD!$AG$3:$AG$5001,"&lt;&gt;")=0,"",SUMIFS(BD!$AG$3:$AG$5001,BD!$A$3:$A$5001,F$3,BD!$B$3:$B$5001,$A$335)))</f>
        <v/>
      </c>
      <c r="G366" s="236" t="str">
        <f>IF(G$3="","",IF(COUNTIFS(BD!$A$3:$A$5001,G$3,BD!$B$3:$B$5001,$A$335,BD!$AG$3:$AG$5001,"&lt;&gt;")=0,"",SUMIFS(BD!$AG$3:$AG$5001,BD!$A$3:$A$5001,G$3,BD!$B$3:$B$5001,$A$335)))</f>
        <v/>
      </c>
      <c r="H366" s="236" t="str">
        <f>IF(H$3="","",IF(COUNTIFS(BD!$A$3:$A$5001,H$3,BD!$B$3:$B$5001,$A$335,BD!$AG$3:$AG$5001,"&lt;&gt;")=0,"",SUMIFS(BD!$AG$3:$AG$5001,BD!$A$3:$A$5001,H$3,BD!$B$3:$B$5001,$A$335)))</f>
        <v/>
      </c>
      <c r="I366" s="236" t="str">
        <f>IF(I$3="","",IF(COUNTIFS(BD!$A$3:$A$5001,I$3,BD!$B$3:$B$5001,$A$335,BD!$AG$3:$AG$5001,"&lt;&gt;")=0,"",SUMIFS(BD!$AG$3:$AG$5001,BD!$A$3:$A$5001,I$3,BD!$B$3:$B$5001,$A$335)))</f>
        <v/>
      </c>
      <c r="J366" s="236" t="str">
        <f>IF(J$3="","",IF(COUNTIFS(BD!$A$3:$A$5001,J$3,BD!$B$3:$B$5001,$A$335,BD!$AG$3:$AG$5001,"&lt;&gt;")=0,"",SUMIFS(BD!$AG$3:$AG$5001,BD!$A$3:$A$5001,J$3,BD!$B$3:$B$5001,$A$335)))</f>
        <v/>
      </c>
      <c r="K366" s="236" t="str">
        <f>IF(K$3="","",IF(COUNTIFS(BD!$A$3:$A$5001,K$3,BD!$B$3:$B$5001,$A$335,BD!$AG$3:$AG$5001,"&lt;&gt;")=0,"",SUMIFS(BD!$AG$3:$AG$5001,BD!$A$3:$A$5001,K$3,BD!$B$3:$B$5001,$A$335)))</f>
        <v/>
      </c>
      <c r="L366" s="236" t="str">
        <f>IF(L$3="","",IF(COUNTIFS(BD!$A$3:$A$5001,L$3,BD!$B$3:$B$5001,$A$335,BD!$AG$3:$AG$5001,"&lt;&gt;")=0,"",SUMIFS(BD!$AG$3:$AG$5001,BD!$A$3:$A$5001,L$3,BD!$B$3:$B$5001,$A$335)))</f>
        <v/>
      </c>
      <c r="M366" s="236" t="str">
        <f>IF(M$3="","",IF(COUNTIFS(BD!$A$3:$A$5001,M$3,BD!$B$3:$B$5001,$A$335,BD!$AG$3:$AG$5001,"&lt;&gt;")=0,"",SUMIFS(BD!$AG$3:$AG$5001,BD!$A$3:$A$5001,M$3,BD!$B$3:$B$5001,$A$335)))</f>
        <v/>
      </c>
      <c r="N366" s="236" t="str">
        <f>IF(N$3="","",IF(COUNTIFS(BD!$A$3:$A$5001,N$3,BD!$B$3:$B$5001,$A$335,BD!$AG$3:$AG$5001,"&lt;&gt;")=0,"",SUMIFS(BD!$AG$3:$AG$5001,BD!$A$3:$A$5001,N$3,BD!$B$3:$B$5001,$A$335)))</f>
        <v/>
      </c>
      <c r="O366" s="236" t="str">
        <f>IF(O$3="","",IF(COUNTIFS(BD!$A$3:$A$5001,O$3,BD!$B$3:$B$5001,$A$335,BD!$AG$3:$AG$5001,"&lt;&gt;")=0,"",SUMIFS(BD!$AG$3:$AG$5001,BD!$A$3:$A$5001,O$3,BD!$B$3:$B$5001,$A$335)))</f>
        <v/>
      </c>
      <c r="P366" s="236" t="str">
        <f>IF(P$3="","",IF(COUNTIFS(BD!$A$3:$A$5001,P$3,BD!$B$3:$B$5001,$A$335,BD!$AG$3:$AG$5001,"&lt;&gt;")=0,"",SUMIFS(BD!$AG$3:$AG$5001,BD!$A$3:$A$5001,P$3,BD!$B$3:$B$5001,$A$335)))</f>
        <v/>
      </c>
      <c r="Q366" s="236" t="str">
        <f>IF(Q$3="","",IF(COUNTIFS(BD!$A$3:$A$5001,Q$3,BD!$B$3:$B$5001,$A$335,BD!$AG$3:$AG$5001,"&lt;&gt;")=0,"",SUMIFS(BD!$AG$3:$AG$5001,BD!$A$3:$A$5001,Q$3,BD!$B$3:$B$5001,$A$335)))</f>
        <v/>
      </c>
      <c r="R366" s="236" t="str">
        <f>IF(R$3="","",IF(COUNTIFS(BD!$A$3:$A$5001,R$3,BD!$B$3:$B$5001,$A$335,BD!$AG$3:$AG$5001,"&lt;&gt;")=0,"",SUMIFS(BD!$AG$3:$AG$5001,BD!$A$3:$A$5001,R$3,BD!$B$3:$B$5001,$A$335)))</f>
        <v/>
      </c>
      <c r="S366" s="236" t="str">
        <f>IF(S$3="","",IF(COUNTIFS(BD!$A$3:$A$5001,S$3,BD!$B$3:$B$5001,$A$335,BD!$AG$3:$AG$5001,"&lt;&gt;")=0,"",SUMIFS(BD!$AG$3:$AG$5001,BD!$A$3:$A$5001,S$3,BD!$B$3:$B$5001,$A$335)))</f>
        <v/>
      </c>
      <c r="T366" s="236" t="str">
        <f>IF(T$3="","",IF(COUNTIFS(BD!$A$3:$A$5001,T$3,BD!$B$3:$B$5001,$A$335,BD!$AG$3:$AG$5001,"&lt;&gt;")=0,"",SUMIFS(BD!$AG$3:$AG$5001,BD!$A$3:$A$5001,T$3,BD!$B$3:$B$5001,$A$335)))</f>
        <v/>
      </c>
      <c r="U366" s="236" t="str">
        <f>IF(U$3="","",IF(COUNTIFS(BD!$A$3:$A$5001,U$3,BD!$B$3:$B$5001,$A$335,BD!$AG$3:$AG$5001,"&lt;&gt;")=0,"",SUMIFS(BD!$AG$3:$AG$5001,BD!$A$3:$A$5001,U$3,BD!$B$3:$B$5001,$A$335)))</f>
        <v/>
      </c>
      <c r="V366" s="236" t="str">
        <f>IF(V$3="","",IF(COUNTIFS(BD!$A$3:$A$5001,V$3,BD!$B$3:$B$5001,$A$335,BD!$AG$3:$AG$5001,"&lt;&gt;")=0,"",SUMIFS(BD!$AG$3:$AG$5001,BD!$A$3:$A$5001,V$3,BD!$B$3:$B$5001,$A$335)))</f>
        <v/>
      </c>
      <c r="W366" s="236" t="str">
        <f>IF(W$3="","",IF(COUNTIFS(BD!$A$3:$A$5001,W$3,BD!$B$3:$B$5001,$A$335,BD!$AG$3:$AG$5001,"&lt;&gt;")=0,"",SUMIFS(BD!$AG$3:$AG$5001,BD!$A$3:$A$5001,W$3,BD!$B$3:$B$5001,$A$335)))</f>
        <v/>
      </c>
      <c r="X366" s="236" t="str">
        <f>IF(X$3="","",IF(COUNTIFS(BD!$A$3:$A$5001,X$3,BD!$B$3:$B$5001,$A$335,BD!$AG$3:$AG$5001,"&lt;&gt;")=0,"",SUMIFS(BD!$AG$3:$AG$5001,BD!$A$3:$A$5001,X$3,BD!$B$3:$B$5001,$A$335)))</f>
        <v/>
      </c>
      <c r="Y366" s="236" t="str">
        <f>IF(Y$3="","",IF(COUNTIFS(BD!$A$3:$A$5001,Y$3,BD!$B$3:$B$5001,$A$335,BD!$AG$3:$AG$5001,"&lt;&gt;")=0,"",SUMIFS(BD!$AG$3:$AG$5001,BD!$A$3:$A$5001,Y$3,BD!$B$3:$B$5001,$A$335)))</f>
        <v/>
      </c>
      <c r="Z366" s="236" t="str">
        <f>IF(Z$3="","",IF(COUNTIFS(BD!$A$3:$A$5001,Z$3,BD!$B$3:$B$5001,$A$335,BD!$AG$3:$AG$5001,"&lt;&gt;")=0,"",SUMIFS(BD!$AG$3:$AG$5001,BD!$A$3:$A$5001,Z$3,BD!$B$3:$B$5001,$A$335)))</f>
        <v/>
      </c>
      <c r="AA366" s="236" t="str">
        <f>IF(AA$3="","",IF(COUNTIFS(BD!$A$3:$A$5001,AA$3,BD!$B$3:$B$5001,$A$335,BD!$AG$3:$AG$5001,"&lt;&gt;")=0,"",SUMIFS(BD!$AG$3:$AG$5001,BD!$A$3:$A$5001,AA$3,BD!$B$3:$B$5001,$A$335)))</f>
        <v/>
      </c>
      <c r="AB366" s="236" t="str">
        <f>IF(AB$3="","",IF(COUNTIFS(BD!$A$3:$A$5001,AB$3,BD!$B$3:$B$5001,$A$335,BD!$AG$3:$AG$5001,"&lt;&gt;")=0,"",SUMIFS(BD!$AG$3:$AG$5001,BD!$A$3:$A$5001,AB$3,BD!$B$3:$B$5001,$A$335)))</f>
        <v/>
      </c>
      <c r="AC366" s="236" t="str">
        <f>IF(AC$3="","",IF(COUNTIFS(BD!$A$3:$A$5001,AC$3,BD!$B$3:$B$5001,$A$335,BD!$AG$3:$AG$5001,"&lt;&gt;")=0,"",SUMIFS(BD!$AG$3:$AG$5001,BD!$A$3:$A$5001,AC$3,BD!$B$3:$B$5001,$A$335)))</f>
        <v/>
      </c>
      <c r="AD366" s="236" t="str">
        <f>IF(AD$3="","",IF(COUNTIFS(BD!$A$3:$A$5001,AD$3,BD!$B$3:$B$5001,$A$335,BD!$AG$3:$AG$5001,"&lt;&gt;")=0,"",SUMIFS(BD!$AG$3:$AG$5001,BD!$A$3:$A$5001,AD$3,BD!$B$3:$B$5001,$A$335)))</f>
        <v/>
      </c>
      <c r="AE366" s="236" t="str">
        <f>IF(AE$3="","",IF(COUNTIFS(BD!$A$3:$A$5001,AE$3,BD!$B$3:$B$5001,$A$335,BD!$AG$3:$AG$5001,"&lt;&gt;")=0,"",SUMIFS(BD!$AG$3:$AG$5001,BD!$A$3:$A$5001,AE$3,BD!$B$3:$B$5001,$A$335)))</f>
        <v/>
      </c>
      <c r="AF366" s="236" t="str">
        <f>IF(AF$3="","",IF(COUNTIFS(BD!$A$3:$A$5001,AF$3,BD!$B$3:$B$5001,$A$335,BD!$AG$3:$AG$5001,"&lt;&gt;")=0,"",SUMIFS(BD!$AG$3:$AG$5001,BD!$A$3:$A$5001,AF$3,BD!$B$3:$B$5001,$A$335)))</f>
        <v/>
      </c>
      <c r="AG366" s="236" t="str">
        <f>IF(AG$3="","",IF(COUNTIFS(BD!$A$3:$A$5001,AG$3,BD!$B$3:$B$5001,$A$335,BD!$AG$3:$AG$5001,"&lt;&gt;")=0,"",SUMIFS(BD!$AG$3:$AG$5001,BD!$A$3:$A$5001,AG$3,BD!$B$3:$B$5001,$A$335)))</f>
        <v/>
      </c>
      <c r="AH366" s="236" t="str">
        <f>IF(AH$3="","",IF(COUNTIFS(BD!$A$3:$A$5001,AH$3,BD!$B$3:$B$5001,$A$335,BD!$AG$3:$AG$5001,"&lt;&gt;")=0,"",SUMIFS(BD!$AG$3:$AG$5001,BD!$A$3:$A$5001,AH$3,BD!$B$3:$B$5001,$A$335)))</f>
        <v/>
      </c>
      <c r="AI366" s="236" t="str">
        <f>IF(AI$3="","",IF(COUNTIFS(BD!$A$3:$A$5001,AI$3,BD!$B$3:$B$5001,$A$335,BD!$AG$3:$AG$5001,"&lt;&gt;")=0,"",SUMIFS(BD!$AG$3:$AG$5001,BD!$A$3:$A$5001,AI$3,BD!$B$3:$B$5001,$A$335)))</f>
        <v/>
      </c>
      <c r="AJ366" s="237" t="str">
        <f>IF(AJ$3="","",IF(COUNTIFS(BD!$A$3:$A$5001,AJ$3,BD!$B$3:$B$5001,$A$335,BD!$AG$3:$AG$5001,"&lt;&gt;")=0,"",SUMIFS(BD!$AG$3:$AG$5001,BD!$A$3:$A$5001,AJ$3,BD!$B$3:$B$5001,$A$335)))</f>
        <v/>
      </c>
      <c r="AK366" s="238" t="str">
        <f>IF(COUNT(F366:AJ366)=0,"",SUM(F366:AJ366))</f>
        <v/>
      </c>
    </row>
    <row r="367" ht="15.75" customHeight="1" hidden="1">
      <c r="A367" s="262"/>
      <c r="B367" s="259"/>
      <c r="C367" s="243" t="inlineStr">
        <is>
          <t xml:space="preserve">Acidentes SAF</t>
        </is>
      </c>
      <c r="D367" s="244" t="str">
        <f>IFERROR(1/(1/INDEX(BD!$AL$55:$BF$55,MATCH($A$335,BD!$AL$22:$BF$22,0))),"")</f>
        <v/>
      </c>
      <c r="E367" s="245"/>
      <c r="F367" s="246" t="str">
        <f>IF(F$3="","",IF(COUNTIFS(BD!$A$3:$A$5001,F$3,BD!$B$3:$B$5001,$A$335,BD!$AH$3:$AH$5001,"&lt;&gt;")=0,"",SUMIFS(BD!$AH$3:$AH$5001,BD!$A$3:$A$5001,F$3,BD!$B$3:$B$5001,$A$335)))</f>
        <v/>
      </c>
      <c r="G367" s="247" t="str">
        <f>IF(G$3="","",IF(COUNTIFS(BD!$A$3:$A$5001,G$3,BD!$B$3:$B$5001,$A$335,BD!$AH$3:$AH$5001,"&lt;&gt;")=0,"",SUMIFS(BD!$AH$3:$AH$5001,BD!$A$3:$A$5001,G$3,BD!$B$3:$B$5001,$A$335)))</f>
        <v/>
      </c>
      <c r="H367" s="247" t="str">
        <f>IF(H$3="","",IF(COUNTIFS(BD!$A$3:$A$5001,H$3,BD!$B$3:$B$5001,$A$335,BD!$AH$3:$AH$5001,"&lt;&gt;")=0,"",SUMIFS(BD!$AH$3:$AH$5001,BD!$A$3:$A$5001,H$3,BD!$B$3:$B$5001,$A$335)))</f>
        <v/>
      </c>
      <c r="I367" s="247" t="str">
        <f>IF(I$3="","",IF(COUNTIFS(BD!$A$3:$A$5001,I$3,BD!$B$3:$B$5001,$A$335,BD!$AH$3:$AH$5001,"&lt;&gt;")=0,"",SUMIFS(BD!$AH$3:$AH$5001,BD!$A$3:$A$5001,I$3,BD!$B$3:$B$5001,$A$335)))</f>
        <v/>
      </c>
      <c r="J367" s="247" t="str">
        <f>IF(J$3="","",IF(COUNTIFS(BD!$A$3:$A$5001,J$3,BD!$B$3:$B$5001,$A$335,BD!$AH$3:$AH$5001,"&lt;&gt;")=0,"",SUMIFS(BD!$AH$3:$AH$5001,BD!$A$3:$A$5001,J$3,BD!$B$3:$B$5001,$A$335)))</f>
        <v/>
      </c>
      <c r="K367" s="247" t="str">
        <f>IF(K$3="","",IF(COUNTIFS(BD!$A$3:$A$5001,K$3,BD!$B$3:$B$5001,$A$335,BD!$AH$3:$AH$5001,"&lt;&gt;")=0,"",SUMIFS(BD!$AH$3:$AH$5001,BD!$A$3:$A$5001,K$3,BD!$B$3:$B$5001,$A$335)))</f>
        <v/>
      </c>
      <c r="L367" s="247" t="str">
        <f>IF(L$3="","",IF(COUNTIFS(BD!$A$3:$A$5001,L$3,BD!$B$3:$B$5001,$A$335,BD!$AH$3:$AH$5001,"&lt;&gt;")=0,"",SUMIFS(BD!$AH$3:$AH$5001,BD!$A$3:$A$5001,L$3,BD!$B$3:$B$5001,$A$335)))</f>
        <v/>
      </c>
      <c r="M367" s="247" t="str">
        <f>IF(M$3="","",IF(COUNTIFS(BD!$A$3:$A$5001,M$3,BD!$B$3:$B$5001,$A$335,BD!$AH$3:$AH$5001,"&lt;&gt;")=0,"",SUMIFS(BD!$AH$3:$AH$5001,BD!$A$3:$A$5001,M$3,BD!$B$3:$B$5001,$A$335)))</f>
        <v/>
      </c>
      <c r="N367" s="247" t="str">
        <f>IF(N$3="","",IF(COUNTIFS(BD!$A$3:$A$5001,N$3,BD!$B$3:$B$5001,$A$335,BD!$AH$3:$AH$5001,"&lt;&gt;")=0,"",SUMIFS(BD!$AH$3:$AH$5001,BD!$A$3:$A$5001,N$3,BD!$B$3:$B$5001,$A$335)))</f>
        <v/>
      </c>
      <c r="O367" s="247" t="str">
        <f>IF(O$3="","",IF(COUNTIFS(BD!$A$3:$A$5001,O$3,BD!$B$3:$B$5001,$A$335,BD!$AH$3:$AH$5001,"&lt;&gt;")=0,"",SUMIFS(BD!$AH$3:$AH$5001,BD!$A$3:$A$5001,O$3,BD!$B$3:$B$5001,$A$335)))</f>
        <v/>
      </c>
      <c r="P367" s="247" t="str">
        <f>IF(P$3="","",IF(COUNTIFS(BD!$A$3:$A$5001,P$3,BD!$B$3:$B$5001,$A$335,BD!$AH$3:$AH$5001,"&lt;&gt;")=0,"",SUMIFS(BD!$AH$3:$AH$5001,BD!$A$3:$A$5001,P$3,BD!$B$3:$B$5001,$A$335)))</f>
        <v/>
      </c>
      <c r="Q367" s="247" t="str">
        <f>IF(Q$3="","",IF(COUNTIFS(BD!$A$3:$A$5001,Q$3,BD!$B$3:$B$5001,$A$335,BD!$AH$3:$AH$5001,"&lt;&gt;")=0,"",SUMIFS(BD!$AH$3:$AH$5001,BD!$A$3:$A$5001,Q$3,BD!$B$3:$B$5001,$A$335)))</f>
        <v/>
      </c>
      <c r="R367" s="247" t="str">
        <f>IF(R$3="","",IF(COUNTIFS(BD!$A$3:$A$5001,R$3,BD!$B$3:$B$5001,$A$335,BD!$AH$3:$AH$5001,"&lt;&gt;")=0,"",SUMIFS(BD!$AH$3:$AH$5001,BD!$A$3:$A$5001,R$3,BD!$B$3:$B$5001,$A$335)))</f>
        <v/>
      </c>
      <c r="S367" s="247" t="str">
        <f>IF(S$3="","",IF(COUNTIFS(BD!$A$3:$A$5001,S$3,BD!$B$3:$B$5001,$A$335,BD!$AH$3:$AH$5001,"&lt;&gt;")=0,"",SUMIFS(BD!$AH$3:$AH$5001,BD!$A$3:$A$5001,S$3,BD!$B$3:$B$5001,$A$335)))</f>
        <v/>
      </c>
      <c r="T367" s="247" t="str">
        <f>IF(T$3="","",IF(COUNTIFS(BD!$A$3:$A$5001,T$3,BD!$B$3:$B$5001,$A$335,BD!$AH$3:$AH$5001,"&lt;&gt;")=0,"",SUMIFS(BD!$AH$3:$AH$5001,BD!$A$3:$A$5001,T$3,BD!$B$3:$B$5001,$A$335)))</f>
        <v/>
      </c>
      <c r="U367" s="247" t="str">
        <f>IF(U$3="","",IF(COUNTIFS(BD!$A$3:$A$5001,U$3,BD!$B$3:$B$5001,$A$335,BD!$AH$3:$AH$5001,"&lt;&gt;")=0,"",SUMIFS(BD!$AH$3:$AH$5001,BD!$A$3:$A$5001,U$3,BD!$B$3:$B$5001,$A$335)))</f>
        <v/>
      </c>
      <c r="V367" s="247" t="str">
        <f>IF(V$3="","",IF(COUNTIFS(BD!$A$3:$A$5001,V$3,BD!$B$3:$B$5001,$A$335,BD!$AH$3:$AH$5001,"&lt;&gt;")=0,"",SUMIFS(BD!$AH$3:$AH$5001,BD!$A$3:$A$5001,V$3,BD!$B$3:$B$5001,$A$335)))</f>
        <v/>
      </c>
      <c r="W367" s="247" t="str">
        <f>IF(W$3="","",IF(COUNTIFS(BD!$A$3:$A$5001,W$3,BD!$B$3:$B$5001,$A$335,BD!$AH$3:$AH$5001,"&lt;&gt;")=0,"",SUMIFS(BD!$AH$3:$AH$5001,BD!$A$3:$A$5001,W$3,BD!$B$3:$B$5001,$A$335)))</f>
        <v/>
      </c>
      <c r="X367" s="247" t="str">
        <f>IF(X$3="","",IF(COUNTIFS(BD!$A$3:$A$5001,X$3,BD!$B$3:$B$5001,$A$335,BD!$AH$3:$AH$5001,"&lt;&gt;")=0,"",SUMIFS(BD!$AH$3:$AH$5001,BD!$A$3:$A$5001,X$3,BD!$B$3:$B$5001,$A$335)))</f>
        <v/>
      </c>
      <c r="Y367" s="247" t="str">
        <f>IF(Y$3="","",IF(COUNTIFS(BD!$A$3:$A$5001,Y$3,BD!$B$3:$B$5001,$A$335,BD!$AH$3:$AH$5001,"&lt;&gt;")=0,"",SUMIFS(BD!$AH$3:$AH$5001,BD!$A$3:$A$5001,Y$3,BD!$B$3:$B$5001,$A$335)))</f>
        <v/>
      </c>
      <c r="Z367" s="247" t="str">
        <f>IF(Z$3="","",IF(COUNTIFS(BD!$A$3:$A$5001,Z$3,BD!$B$3:$B$5001,$A$335,BD!$AH$3:$AH$5001,"&lt;&gt;")=0,"",SUMIFS(BD!$AH$3:$AH$5001,BD!$A$3:$A$5001,Z$3,BD!$B$3:$B$5001,$A$335)))</f>
        <v/>
      </c>
      <c r="AA367" s="247" t="str">
        <f>IF(AA$3="","",IF(COUNTIFS(BD!$A$3:$A$5001,AA$3,BD!$B$3:$B$5001,$A$335,BD!$AH$3:$AH$5001,"&lt;&gt;")=0,"",SUMIFS(BD!$AH$3:$AH$5001,BD!$A$3:$A$5001,AA$3,BD!$B$3:$B$5001,$A$335)))</f>
        <v/>
      </c>
      <c r="AB367" s="247" t="str">
        <f>IF(AB$3="","",IF(COUNTIFS(BD!$A$3:$A$5001,AB$3,BD!$B$3:$B$5001,$A$335,BD!$AH$3:$AH$5001,"&lt;&gt;")=0,"",SUMIFS(BD!$AH$3:$AH$5001,BD!$A$3:$A$5001,AB$3,BD!$B$3:$B$5001,$A$335)))</f>
        <v/>
      </c>
      <c r="AC367" s="247" t="str">
        <f>IF(AC$3="","",IF(COUNTIFS(BD!$A$3:$A$5001,AC$3,BD!$B$3:$B$5001,$A$335,BD!$AH$3:$AH$5001,"&lt;&gt;")=0,"",SUMIFS(BD!$AH$3:$AH$5001,BD!$A$3:$A$5001,AC$3,BD!$B$3:$B$5001,$A$335)))</f>
        <v/>
      </c>
      <c r="AD367" s="247" t="str">
        <f>IF(AD$3="","",IF(COUNTIFS(BD!$A$3:$A$5001,AD$3,BD!$B$3:$B$5001,$A$335,BD!$AH$3:$AH$5001,"&lt;&gt;")=0,"",SUMIFS(BD!$AH$3:$AH$5001,BD!$A$3:$A$5001,AD$3,BD!$B$3:$B$5001,$A$335)))</f>
        <v/>
      </c>
      <c r="AE367" s="247" t="str">
        <f>IF(AE$3="","",IF(COUNTIFS(BD!$A$3:$A$5001,AE$3,BD!$B$3:$B$5001,$A$335,BD!$AH$3:$AH$5001,"&lt;&gt;")=0,"",SUMIFS(BD!$AH$3:$AH$5001,BD!$A$3:$A$5001,AE$3,BD!$B$3:$B$5001,$A$335)))</f>
        <v/>
      </c>
      <c r="AF367" s="247" t="str">
        <f>IF(AF$3="","",IF(COUNTIFS(BD!$A$3:$A$5001,AF$3,BD!$B$3:$B$5001,$A$335,BD!$AH$3:$AH$5001,"&lt;&gt;")=0,"",SUMIFS(BD!$AH$3:$AH$5001,BD!$A$3:$A$5001,AF$3,BD!$B$3:$B$5001,$A$335)))</f>
        <v/>
      </c>
      <c r="AG367" s="247" t="str">
        <f>IF(AG$3="","",IF(COUNTIFS(BD!$A$3:$A$5001,AG$3,BD!$B$3:$B$5001,$A$335,BD!$AH$3:$AH$5001,"&lt;&gt;")=0,"",SUMIFS(BD!$AH$3:$AH$5001,BD!$A$3:$A$5001,AG$3,BD!$B$3:$B$5001,$A$335)))</f>
        <v/>
      </c>
      <c r="AH367" s="247" t="str">
        <f>IF(AH$3="","",IF(COUNTIFS(BD!$A$3:$A$5001,AH$3,BD!$B$3:$B$5001,$A$335,BD!$AH$3:$AH$5001,"&lt;&gt;")=0,"",SUMIFS(BD!$AH$3:$AH$5001,BD!$A$3:$A$5001,AH$3,BD!$B$3:$B$5001,$A$335)))</f>
        <v/>
      </c>
      <c r="AI367" s="247" t="str">
        <f>IF(AI$3="","",IF(COUNTIFS(BD!$A$3:$A$5001,AI$3,BD!$B$3:$B$5001,$A$335,BD!$AH$3:$AH$5001,"&lt;&gt;")=0,"",SUMIFS(BD!$AH$3:$AH$5001,BD!$A$3:$A$5001,AI$3,BD!$B$3:$B$5001,$A$335)))</f>
        <v/>
      </c>
      <c r="AJ367" s="248" t="str">
        <f>IF(AJ$3="","",IF(COUNTIFS(BD!$A$3:$A$5001,AJ$3,BD!$B$3:$B$5001,$A$335,BD!$AH$3:$AH$5001,"&lt;&gt;")=0,"",SUMIFS(BD!$AH$3:$AH$5001,BD!$A$3:$A$5001,AJ$3,BD!$B$3:$B$5001,$A$335)))</f>
        <v/>
      </c>
      <c r="AK367" s="244" t="str">
        <f>IF(COUNT(F367:AJ367)=0,"",SUM(F367:AJ367))</f>
        <v/>
      </c>
    </row>
    <row r="369" ht="15.75" customHeight="1" hidden="1">
      <c r="A369" s="260"/>
      <c r="B369" s="249" t="inlineStr">
        <is>
          <t xml:space="preserve">IN</t>
        </is>
      </c>
      <c r="C369" s="168" t="inlineStr">
        <is>
          <t xml:space="preserve">Veículos Recebidos</t>
        </is>
      </c>
      <c r="D369" s="169" t="str">
        <f>IFERROR(1/(1/INDEX(BD!$AL$23:$BF$23,MATCH($A$369,BD!$AL$22:$BF$22,0))),"")</f>
        <v/>
      </c>
      <c r="E369" s="170"/>
      <c r="F369" s="171" t="str">
        <f>IF(F$3="","",IF(COUNTIFS(BD!$A$3:$A$5001,F$3,BD!$B$3:$B$5001,$A$369,BD!$C$3:$C$5001,"&lt;&gt;")=0,"",SUMIFS(BD!$C$3:$C$5001,BD!$A$3:$A$5001,F$3,BD!$B$3:$B$5001,$A$369)))</f>
        <v/>
      </c>
      <c r="G369" s="172" t="str">
        <f>IF(G$3="","",IF(COUNTIFS(BD!$A$3:$A$5001,G$3,BD!$B$3:$B$5001,$A$369,BD!$C$3:$C$5001,"&lt;&gt;")=0,"",SUMIFS(BD!$C$3:$C$5001,BD!$A$3:$A$5001,G$3,BD!$B$3:$B$5001,$A$369)))</f>
        <v/>
      </c>
      <c r="H369" s="172" t="str">
        <f>IF(H$3="","",IF(COUNTIFS(BD!$A$3:$A$5001,H$3,BD!$B$3:$B$5001,$A$369,BD!$C$3:$C$5001,"&lt;&gt;")=0,"",SUMIFS(BD!$C$3:$C$5001,BD!$A$3:$A$5001,H$3,BD!$B$3:$B$5001,$A$369)))</f>
        <v/>
      </c>
      <c r="I369" s="172" t="str">
        <f>IF(I$3="","",IF(COUNTIFS(BD!$A$3:$A$5001,I$3,BD!$B$3:$B$5001,$A$369,BD!$C$3:$C$5001,"&lt;&gt;")=0,"",SUMIFS(BD!$C$3:$C$5001,BD!$A$3:$A$5001,I$3,BD!$B$3:$B$5001,$A$369)))</f>
        <v/>
      </c>
      <c r="J369" s="172" t="str">
        <f>IF(J$3="","",IF(COUNTIFS(BD!$A$3:$A$5001,J$3,BD!$B$3:$B$5001,$A$369,BD!$C$3:$C$5001,"&lt;&gt;")=0,"",SUMIFS(BD!$C$3:$C$5001,BD!$A$3:$A$5001,J$3,BD!$B$3:$B$5001,$A$369)))</f>
        <v/>
      </c>
      <c r="K369" s="172" t="str">
        <f>IF(K$3="","",IF(COUNTIFS(BD!$A$3:$A$5001,K$3,BD!$B$3:$B$5001,$A$369,BD!$C$3:$C$5001,"&lt;&gt;")=0,"",SUMIFS(BD!$C$3:$C$5001,BD!$A$3:$A$5001,K$3,BD!$B$3:$B$5001,$A$369)))</f>
        <v/>
      </c>
      <c r="L369" s="172" t="str">
        <f>IF(L$3="","",IF(COUNTIFS(BD!$A$3:$A$5001,L$3,BD!$B$3:$B$5001,$A$369,BD!$C$3:$C$5001,"&lt;&gt;")=0,"",SUMIFS(BD!$C$3:$C$5001,BD!$A$3:$A$5001,L$3,BD!$B$3:$B$5001,$A$369)))</f>
        <v/>
      </c>
      <c r="M369" s="172" t="str">
        <f>IF(M$3="","",IF(COUNTIFS(BD!$A$3:$A$5001,M$3,BD!$B$3:$B$5001,$A$369,BD!$C$3:$C$5001,"&lt;&gt;")=0,"",SUMIFS(BD!$C$3:$C$5001,BD!$A$3:$A$5001,M$3,BD!$B$3:$B$5001,$A$369)))</f>
        <v/>
      </c>
      <c r="N369" s="172" t="str">
        <f>IF(N$3="","",IF(COUNTIFS(BD!$A$3:$A$5001,N$3,BD!$B$3:$B$5001,$A$369,BD!$C$3:$C$5001,"&lt;&gt;")=0,"",SUMIFS(BD!$C$3:$C$5001,BD!$A$3:$A$5001,N$3,BD!$B$3:$B$5001,$A$369)))</f>
        <v/>
      </c>
      <c r="O369" s="172" t="str">
        <f>IF(O$3="","",IF(COUNTIFS(BD!$A$3:$A$5001,O$3,BD!$B$3:$B$5001,$A$369,BD!$C$3:$C$5001,"&lt;&gt;")=0,"",SUMIFS(BD!$C$3:$C$5001,BD!$A$3:$A$5001,O$3,BD!$B$3:$B$5001,$A$369)))</f>
        <v/>
      </c>
      <c r="P369" s="172" t="str">
        <f>IF(P$3="","",IF(COUNTIFS(BD!$A$3:$A$5001,P$3,BD!$B$3:$B$5001,$A$369,BD!$C$3:$C$5001,"&lt;&gt;")=0,"",SUMIFS(BD!$C$3:$C$5001,BD!$A$3:$A$5001,P$3,BD!$B$3:$B$5001,$A$369)))</f>
        <v/>
      </c>
      <c r="Q369" s="172" t="str">
        <f>IF(Q$3="","",IF(COUNTIFS(BD!$A$3:$A$5001,Q$3,BD!$B$3:$B$5001,$A$369,BD!$C$3:$C$5001,"&lt;&gt;")=0,"",SUMIFS(BD!$C$3:$C$5001,BD!$A$3:$A$5001,Q$3,BD!$B$3:$B$5001,$A$369)))</f>
        <v/>
      </c>
      <c r="R369" s="172" t="str">
        <f>IF(R$3="","",IF(COUNTIFS(BD!$A$3:$A$5001,R$3,BD!$B$3:$B$5001,$A$369,BD!$C$3:$C$5001,"&lt;&gt;")=0,"",SUMIFS(BD!$C$3:$C$5001,BD!$A$3:$A$5001,R$3,BD!$B$3:$B$5001,$A$369)))</f>
        <v/>
      </c>
      <c r="S369" s="172" t="str">
        <f>IF(S$3="","",IF(COUNTIFS(BD!$A$3:$A$5001,S$3,BD!$B$3:$B$5001,$A$369,BD!$C$3:$C$5001,"&lt;&gt;")=0,"",SUMIFS(BD!$C$3:$C$5001,BD!$A$3:$A$5001,S$3,BD!$B$3:$B$5001,$A$369)))</f>
        <v/>
      </c>
      <c r="T369" s="172" t="str">
        <f>IF(T$3="","",IF(COUNTIFS(BD!$A$3:$A$5001,T$3,BD!$B$3:$B$5001,$A$369,BD!$C$3:$C$5001,"&lt;&gt;")=0,"",SUMIFS(BD!$C$3:$C$5001,BD!$A$3:$A$5001,T$3,BD!$B$3:$B$5001,$A$369)))</f>
        <v/>
      </c>
      <c r="U369" s="172" t="str">
        <f>IF(U$3="","",IF(COUNTIFS(BD!$A$3:$A$5001,U$3,BD!$B$3:$B$5001,$A$369,BD!$C$3:$C$5001,"&lt;&gt;")=0,"",SUMIFS(BD!$C$3:$C$5001,BD!$A$3:$A$5001,U$3,BD!$B$3:$B$5001,$A$369)))</f>
        <v/>
      </c>
      <c r="V369" s="172" t="str">
        <f>IF(V$3="","",IF(COUNTIFS(BD!$A$3:$A$5001,V$3,BD!$B$3:$B$5001,$A$369,BD!$C$3:$C$5001,"&lt;&gt;")=0,"",SUMIFS(BD!$C$3:$C$5001,BD!$A$3:$A$5001,V$3,BD!$B$3:$B$5001,$A$369)))</f>
        <v/>
      </c>
      <c r="W369" s="172" t="str">
        <f>IF(W$3="","",IF(COUNTIFS(BD!$A$3:$A$5001,W$3,BD!$B$3:$B$5001,$A$369,BD!$C$3:$C$5001,"&lt;&gt;")=0,"",SUMIFS(BD!$C$3:$C$5001,BD!$A$3:$A$5001,W$3,BD!$B$3:$B$5001,$A$369)))</f>
        <v/>
      </c>
      <c r="X369" s="172" t="str">
        <f>IF(X$3="","",IF(COUNTIFS(BD!$A$3:$A$5001,X$3,BD!$B$3:$B$5001,$A$369,BD!$C$3:$C$5001,"&lt;&gt;")=0,"",SUMIFS(BD!$C$3:$C$5001,BD!$A$3:$A$5001,X$3,BD!$B$3:$B$5001,$A$369)))</f>
        <v/>
      </c>
      <c r="Y369" s="172" t="str">
        <f>IF(Y$3="","",IF(COUNTIFS(BD!$A$3:$A$5001,Y$3,BD!$B$3:$B$5001,$A$369,BD!$C$3:$C$5001,"&lt;&gt;")=0,"",SUMIFS(BD!$C$3:$C$5001,BD!$A$3:$A$5001,Y$3,BD!$B$3:$B$5001,$A$369)))</f>
        <v/>
      </c>
      <c r="Z369" s="172" t="str">
        <f>IF(Z$3="","",IF(COUNTIFS(BD!$A$3:$A$5001,Z$3,BD!$B$3:$B$5001,$A$369,BD!$C$3:$C$5001,"&lt;&gt;")=0,"",SUMIFS(BD!$C$3:$C$5001,BD!$A$3:$A$5001,Z$3,BD!$B$3:$B$5001,$A$369)))</f>
        <v/>
      </c>
      <c r="AA369" s="172" t="str">
        <f>IF(AA$3="","",IF(COUNTIFS(BD!$A$3:$A$5001,AA$3,BD!$B$3:$B$5001,$A$369,BD!$C$3:$C$5001,"&lt;&gt;")=0,"",SUMIFS(BD!$C$3:$C$5001,BD!$A$3:$A$5001,AA$3,BD!$B$3:$B$5001,$A$369)))</f>
        <v/>
      </c>
      <c r="AB369" s="172" t="str">
        <f>IF(AB$3="","",IF(COUNTIFS(BD!$A$3:$A$5001,AB$3,BD!$B$3:$B$5001,$A$369,BD!$C$3:$C$5001,"&lt;&gt;")=0,"",SUMIFS(BD!$C$3:$C$5001,BD!$A$3:$A$5001,AB$3,BD!$B$3:$B$5001,$A$369)))</f>
        <v/>
      </c>
      <c r="AC369" s="172" t="str">
        <f>IF(AC$3="","",IF(COUNTIFS(BD!$A$3:$A$5001,AC$3,BD!$B$3:$B$5001,$A$369,BD!$C$3:$C$5001,"&lt;&gt;")=0,"",SUMIFS(BD!$C$3:$C$5001,BD!$A$3:$A$5001,AC$3,BD!$B$3:$B$5001,$A$369)))</f>
        <v/>
      </c>
      <c r="AD369" s="172" t="str">
        <f>IF(AD$3="","",IF(COUNTIFS(BD!$A$3:$A$5001,AD$3,BD!$B$3:$B$5001,$A$369,BD!$C$3:$C$5001,"&lt;&gt;")=0,"",SUMIFS(BD!$C$3:$C$5001,BD!$A$3:$A$5001,AD$3,BD!$B$3:$B$5001,$A$369)))</f>
        <v/>
      </c>
      <c r="AE369" s="172" t="str">
        <f>IF(AE$3="","",IF(COUNTIFS(BD!$A$3:$A$5001,AE$3,BD!$B$3:$B$5001,$A$369,BD!$C$3:$C$5001,"&lt;&gt;")=0,"",SUMIFS(BD!$C$3:$C$5001,BD!$A$3:$A$5001,AE$3,BD!$B$3:$B$5001,$A$369)))</f>
        <v/>
      </c>
      <c r="AF369" s="172" t="str">
        <f>IF(AF$3="","",IF(COUNTIFS(BD!$A$3:$A$5001,AF$3,BD!$B$3:$B$5001,$A$369,BD!$C$3:$C$5001,"&lt;&gt;")=0,"",SUMIFS(BD!$C$3:$C$5001,BD!$A$3:$A$5001,AF$3,BD!$B$3:$B$5001,$A$369)))</f>
        <v/>
      </c>
      <c r="AG369" s="172" t="str">
        <f>IF(AG$3="","",IF(COUNTIFS(BD!$A$3:$A$5001,AG$3,BD!$B$3:$B$5001,$A$369,BD!$C$3:$C$5001,"&lt;&gt;")=0,"",SUMIFS(BD!$C$3:$C$5001,BD!$A$3:$A$5001,AG$3,BD!$B$3:$B$5001,$A$369)))</f>
        <v/>
      </c>
      <c r="AH369" s="172" t="str">
        <f>IF(AH$3="","",IF(COUNTIFS(BD!$A$3:$A$5001,AH$3,BD!$B$3:$B$5001,$A$369,BD!$C$3:$C$5001,"&lt;&gt;")=0,"",SUMIFS(BD!$C$3:$C$5001,BD!$A$3:$A$5001,AH$3,BD!$B$3:$B$5001,$A$369)))</f>
        <v/>
      </c>
      <c r="AI369" s="172" t="str">
        <f>IF(AI$3="","",IF(COUNTIFS(BD!$A$3:$A$5001,AI$3,BD!$B$3:$B$5001,$A$369,BD!$C$3:$C$5001,"&lt;&gt;")=0,"",SUMIFS(BD!$C$3:$C$5001,BD!$A$3:$A$5001,AI$3,BD!$B$3:$B$5001,$A$369)))</f>
        <v/>
      </c>
      <c r="AJ369" s="173" t="str">
        <f>IF(AJ$3="","",IF(COUNTIFS(BD!$A$3:$A$5001,AJ$3,BD!$B$3:$B$5001,$A$369,BD!$C$3:$C$5001,"&lt;&gt;")=0,"",SUMIFS(BD!$C$3:$C$5001,BD!$A$3:$A$5001,AJ$3,BD!$B$3:$B$5001,$A$369)))</f>
        <v/>
      </c>
      <c r="AK369" s="174" t="str">
        <f>IF(COUNT(F369:AJ369)=0,"",SUM(F369:AJ369))</f>
        <v/>
      </c>
    </row>
    <row r="370" ht="15.75" customHeight="1" hidden="1">
      <c r="A370" s="261"/>
      <c r="B370" s="256"/>
      <c r="C370" s="214" t="inlineStr">
        <is>
          <t xml:space="preserve">Pallets Movimentados</t>
        </is>
      </c>
      <c r="D370" s="215" t="str">
        <f>IFERROR(1/(1/INDEX(BD!$AL$24:$BF$24,MATCH($A$369,BD!$AL$22:$BF$22,0))),"")</f>
        <v/>
      </c>
      <c r="E370" s="216"/>
      <c r="F370" s="217" t="str">
        <f>IF(F$3="","",IF(COUNTIFS(BD!$A$3:$A$5001,F$3,BD!$B$3:$B$5001,$A$369,BD!$D$3:$D$5001,"&lt;&gt;")=0,"",SUMIFS(BD!$D$3:$D$5001,BD!$A$3:$A$5001,F$3,BD!$B$3:$B$5001,$A$369)))</f>
        <v/>
      </c>
      <c r="G370" s="218" t="str">
        <f>IF(G$3="","",IF(COUNTIFS(BD!$A$3:$A$5001,G$3,BD!$B$3:$B$5001,$A$369,BD!$D$3:$D$5001,"&lt;&gt;")=0,"",SUMIFS(BD!$D$3:$D$5001,BD!$A$3:$A$5001,G$3,BD!$B$3:$B$5001,$A$369)))</f>
        <v/>
      </c>
      <c r="H370" s="218" t="str">
        <f>IF(H$3="","",IF(COUNTIFS(BD!$A$3:$A$5001,H$3,BD!$B$3:$B$5001,$A$369,BD!$D$3:$D$5001,"&lt;&gt;")=0,"",SUMIFS(BD!$D$3:$D$5001,BD!$A$3:$A$5001,H$3,BD!$B$3:$B$5001,$A$369)))</f>
        <v/>
      </c>
      <c r="I370" s="218" t="str">
        <f>IF(I$3="","",IF(COUNTIFS(BD!$A$3:$A$5001,I$3,BD!$B$3:$B$5001,$A$369,BD!$D$3:$D$5001,"&lt;&gt;")=0,"",SUMIFS(BD!$D$3:$D$5001,BD!$A$3:$A$5001,I$3,BD!$B$3:$B$5001,$A$369)))</f>
        <v/>
      </c>
      <c r="J370" s="218" t="str">
        <f>IF(J$3="","",IF(COUNTIFS(BD!$A$3:$A$5001,J$3,BD!$B$3:$B$5001,$A$369,BD!$D$3:$D$5001,"&lt;&gt;")=0,"",SUMIFS(BD!$D$3:$D$5001,BD!$A$3:$A$5001,J$3,BD!$B$3:$B$5001,$A$369)))</f>
        <v/>
      </c>
      <c r="K370" s="218" t="str">
        <f>IF(K$3="","",IF(COUNTIFS(BD!$A$3:$A$5001,K$3,BD!$B$3:$B$5001,$A$369,BD!$D$3:$D$5001,"&lt;&gt;")=0,"",SUMIFS(BD!$D$3:$D$5001,BD!$A$3:$A$5001,K$3,BD!$B$3:$B$5001,$A$369)))</f>
        <v/>
      </c>
      <c r="L370" s="218" t="str">
        <f>IF(L$3="","",IF(COUNTIFS(BD!$A$3:$A$5001,L$3,BD!$B$3:$B$5001,$A$369,BD!$D$3:$D$5001,"&lt;&gt;")=0,"",SUMIFS(BD!$D$3:$D$5001,BD!$A$3:$A$5001,L$3,BD!$B$3:$B$5001,$A$369)))</f>
        <v/>
      </c>
      <c r="M370" s="218" t="str">
        <f>IF(M$3="","",IF(COUNTIFS(BD!$A$3:$A$5001,M$3,BD!$B$3:$B$5001,$A$369,BD!$D$3:$D$5001,"&lt;&gt;")=0,"",SUMIFS(BD!$D$3:$D$5001,BD!$A$3:$A$5001,M$3,BD!$B$3:$B$5001,$A$369)))</f>
        <v/>
      </c>
      <c r="N370" s="218" t="str">
        <f>IF(N$3="","",IF(COUNTIFS(BD!$A$3:$A$5001,N$3,BD!$B$3:$B$5001,$A$369,BD!$D$3:$D$5001,"&lt;&gt;")=0,"",SUMIFS(BD!$D$3:$D$5001,BD!$A$3:$A$5001,N$3,BD!$B$3:$B$5001,$A$369)))</f>
        <v/>
      </c>
      <c r="O370" s="218" t="str">
        <f>IF(O$3="","",IF(COUNTIFS(BD!$A$3:$A$5001,O$3,BD!$B$3:$B$5001,$A$369,BD!$D$3:$D$5001,"&lt;&gt;")=0,"",SUMIFS(BD!$D$3:$D$5001,BD!$A$3:$A$5001,O$3,BD!$B$3:$B$5001,$A$369)))</f>
        <v/>
      </c>
      <c r="P370" s="218" t="str">
        <f>IF(P$3="","",IF(COUNTIFS(BD!$A$3:$A$5001,P$3,BD!$B$3:$B$5001,$A$369,BD!$D$3:$D$5001,"&lt;&gt;")=0,"",SUMIFS(BD!$D$3:$D$5001,BD!$A$3:$A$5001,P$3,BD!$B$3:$B$5001,$A$369)))</f>
        <v/>
      </c>
      <c r="Q370" s="218" t="str">
        <f>IF(Q$3="","",IF(COUNTIFS(BD!$A$3:$A$5001,Q$3,BD!$B$3:$B$5001,$A$369,BD!$D$3:$D$5001,"&lt;&gt;")=0,"",SUMIFS(BD!$D$3:$D$5001,BD!$A$3:$A$5001,Q$3,BD!$B$3:$B$5001,$A$369)))</f>
        <v/>
      </c>
      <c r="R370" s="218" t="str">
        <f>IF(R$3="","",IF(COUNTIFS(BD!$A$3:$A$5001,R$3,BD!$B$3:$B$5001,$A$369,BD!$D$3:$D$5001,"&lt;&gt;")=0,"",SUMIFS(BD!$D$3:$D$5001,BD!$A$3:$A$5001,R$3,BD!$B$3:$B$5001,$A$369)))</f>
        <v/>
      </c>
      <c r="S370" s="218" t="str">
        <f>IF(S$3="","",IF(COUNTIFS(BD!$A$3:$A$5001,S$3,BD!$B$3:$B$5001,$A$369,BD!$D$3:$D$5001,"&lt;&gt;")=0,"",SUMIFS(BD!$D$3:$D$5001,BD!$A$3:$A$5001,S$3,BD!$B$3:$B$5001,$A$369)))</f>
        <v/>
      </c>
      <c r="T370" s="218" t="str">
        <f>IF(T$3="","",IF(COUNTIFS(BD!$A$3:$A$5001,T$3,BD!$B$3:$B$5001,$A$369,BD!$D$3:$D$5001,"&lt;&gt;")=0,"",SUMIFS(BD!$D$3:$D$5001,BD!$A$3:$A$5001,T$3,BD!$B$3:$B$5001,$A$369)))</f>
        <v/>
      </c>
      <c r="U370" s="218" t="str">
        <f>IF(U$3="","",IF(COUNTIFS(BD!$A$3:$A$5001,U$3,BD!$B$3:$B$5001,$A$369,BD!$D$3:$D$5001,"&lt;&gt;")=0,"",SUMIFS(BD!$D$3:$D$5001,BD!$A$3:$A$5001,U$3,BD!$B$3:$B$5001,$A$369)))</f>
        <v/>
      </c>
      <c r="V370" s="218" t="str">
        <f>IF(V$3="","",IF(COUNTIFS(BD!$A$3:$A$5001,V$3,BD!$B$3:$B$5001,$A$369,BD!$D$3:$D$5001,"&lt;&gt;")=0,"",SUMIFS(BD!$D$3:$D$5001,BD!$A$3:$A$5001,V$3,BD!$B$3:$B$5001,$A$369)))</f>
        <v/>
      </c>
      <c r="W370" s="218" t="str">
        <f>IF(W$3="","",IF(COUNTIFS(BD!$A$3:$A$5001,W$3,BD!$B$3:$B$5001,$A$369,BD!$D$3:$D$5001,"&lt;&gt;")=0,"",SUMIFS(BD!$D$3:$D$5001,BD!$A$3:$A$5001,W$3,BD!$B$3:$B$5001,$A$369)))</f>
        <v/>
      </c>
      <c r="X370" s="218" t="str">
        <f>IF(X$3="","",IF(COUNTIFS(BD!$A$3:$A$5001,X$3,BD!$B$3:$B$5001,$A$369,BD!$D$3:$D$5001,"&lt;&gt;")=0,"",SUMIFS(BD!$D$3:$D$5001,BD!$A$3:$A$5001,X$3,BD!$B$3:$B$5001,$A$369)))</f>
        <v/>
      </c>
      <c r="Y370" s="218" t="str">
        <f>IF(Y$3="","",IF(COUNTIFS(BD!$A$3:$A$5001,Y$3,BD!$B$3:$B$5001,$A$369,BD!$D$3:$D$5001,"&lt;&gt;")=0,"",SUMIFS(BD!$D$3:$D$5001,BD!$A$3:$A$5001,Y$3,BD!$B$3:$B$5001,$A$369)))</f>
        <v/>
      </c>
      <c r="Z370" s="218" t="str">
        <f>IF(Z$3="","",IF(COUNTIFS(BD!$A$3:$A$5001,Z$3,BD!$B$3:$B$5001,$A$369,BD!$D$3:$D$5001,"&lt;&gt;")=0,"",SUMIFS(BD!$D$3:$D$5001,BD!$A$3:$A$5001,Z$3,BD!$B$3:$B$5001,$A$369)))</f>
        <v/>
      </c>
      <c r="AA370" s="218" t="str">
        <f>IF(AA$3="","",IF(COUNTIFS(BD!$A$3:$A$5001,AA$3,BD!$B$3:$B$5001,$A$369,BD!$D$3:$D$5001,"&lt;&gt;")=0,"",SUMIFS(BD!$D$3:$D$5001,BD!$A$3:$A$5001,AA$3,BD!$B$3:$B$5001,$A$369)))</f>
        <v/>
      </c>
      <c r="AB370" s="218" t="str">
        <f>IF(AB$3="","",IF(COUNTIFS(BD!$A$3:$A$5001,AB$3,BD!$B$3:$B$5001,$A$369,BD!$D$3:$D$5001,"&lt;&gt;")=0,"",SUMIFS(BD!$D$3:$D$5001,BD!$A$3:$A$5001,AB$3,BD!$B$3:$B$5001,$A$369)))</f>
        <v/>
      </c>
      <c r="AC370" s="218" t="str">
        <f>IF(AC$3="","",IF(COUNTIFS(BD!$A$3:$A$5001,AC$3,BD!$B$3:$B$5001,$A$369,BD!$D$3:$D$5001,"&lt;&gt;")=0,"",SUMIFS(BD!$D$3:$D$5001,BD!$A$3:$A$5001,AC$3,BD!$B$3:$B$5001,$A$369)))</f>
        <v/>
      </c>
      <c r="AD370" s="218" t="str">
        <f>IF(AD$3="","",IF(COUNTIFS(BD!$A$3:$A$5001,AD$3,BD!$B$3:$B$5001,$A$369,BD!$D$3:$D$5001,"&lt;&gt;")=0,"",SUMIFS(BD!$D$3:$D$5001,BD!$A$3:$A$5001,AD$3,BD!$B$3:$B$5001,$A$369)))</f>
        <v/>
      </c>
      <c r="AE370" s="218" t="str">
        <f>IF(AE$3="","",IF(COUNTIFS(BD!$A$3:$A$5001,AE$3,BD!$B$3:$B$5001,$A$369,BD!$D$3:$D$5001,"&lt;&gt;")=0,"",SUMIFS(BD!$D$3:$D$5001,BD!$A$3:$A$5001,AE$3,BD!$B$3:$B$5001,$A$369)))</f>
        <v/>
      </c>
      <c r="AF370" s="218" t="str">
        <f>IF(AF$3="","",IF(COUNTIFS(BD!$A$3:$A$5001,AF$3,BD!$B$3:$B$5001,$A$369,BD!$D$3:$D$5001,"&lt;&gt;")=0,"",SUMIFS(BD!$D$3:$D$5001,BD!$A$3:$A$5001,AF$3,BD!$B$3:$B$5001,$A$369)))</f>
        <v/>
      </c>
      <c r="AG370" s="218" t="str">
        <f>IF(AG$3="","",IF(COUNTIFS(BD!$A$3:$A$5001,AG$3,BD!$B$3:$B$5001,$A$369,BD!$D$3:$D$5001,"&lt;&gt;")=0,"",SUMIFS(BD!$D$3:$D$5001,BD!$A$3:$A$5001,AG$3,BD!$B$3:$B$5001,$A$369)))</f>
        <v/>
      </c>
      <c r="AH370" s="218" t="str">
        <f>IF(AH$3="","",IF(COUNTIFS(BD!$A$3:$A$5001,AH$3,BD!$B$3:$B$5001,$A$369,BD!$D$3:$D$5001,"&lt;&gt;")=0,"",SUMIFS(BD!$D$3:$D$5001,BD!$A$3:$A$5001,AH$3,BD!$B$3:$B$5001,$A$369)))</f>
        <v/>
      </c>
      <c r="AI370" s="218" t="str">
        <f>IF(AI$3="","",IF(COUNTIFS(BD!$A$3:$A$5001,AI$3,BD!$B$3:$B$5001,$A$369,BD!$D$3:$D$5001,"&lt;&gt;")=0,"",SUMIFS(BD!$D$3:$D$5001,BD!$A$3:$A$5001,AI$3,BD!$B$3:$B$5001,$A$369)))</f>
        <v/>
      </c>
      <c r="AJ370" s="219" t="str">
        <f>IF(AJ$3="","",IF(COUNTIFS(BD!$A$3:$A$5001,AJ$3,BD!$B$3:$B$5001,$A$369,BD!$D$3:$D$5001,"&lt;&gt;")=0,"",SUMIFS(BD!$D$3:$D$5001,BD!$A$3:$A$5001,AJ$3,BD!$B$3:$B$5001,$A$369)))</f>
        <v/>
      </c>
      <c r="AK370" s="220" t="str">
        <f>IF(COUNT(F370:AJ370)=0,"",SUM(F370:AJ370))</f>
        <v/>
      </c>
    </row>
    <row r="371" ht="15.75" customHeight="1" hidden="1">
      <c r="A371" s="261"/>
      <c r="B371" s="256"/>
      <c r="C371" s="214" t="inlineStr">
        <is>
          <t xml:space="preserve">Toneladas Movimentadas</t>
        </is>
      </c>
      <c r="D371" s="215" t="str">
        <f>IFERROR(1/(1/INDEX(BD!$AL$25:$BF$25,MATCH($A$369,BD!$AL$22:$BF$22,0))),"")</f>
        <v/>
      </c>
      <c r="E371" s="216"/>
      <c r="F371" s="282" t="str">
        <f>IF(F$3="","",IF(COUNTIFS(BD!$A$3:$A$5001,F$3,BD!$B$3:$B$5001,$A$369,BD!$E$3:$E$5001,"&lt;&gt;")=0,"",SUMIFS(BD!$E$3:$E$5001,BD!$A$3:$A$5001,F$3,BD!$B$3:$B$5001,$A$369)))</f>
        <v/>
      </c>
      <c r="G371" s="283" t="str">
        <f>IF(G$3="","",IF(COUNTIFS(BD!$A$3:$A$5001,G$3,BD!$B$3:$B$5001,$A$369,BD!$E$3:$E$5001,"&lt;&gt;")=0,"",SUMIFS(BD!$E$3:$E$5001,BD!$A$3:$A$5001,G$3,BD!$B$3:$B$5001,$A$369)))</f>
        <v/>
      </c>
      <c r="H371" s="283" t="str">
        <f>IF(H$3="","",IF(COUNTIFS(BD!$A$3:$A$5001,H$3,BD!$B$3:$B$5001,$A$369,BD!$E$3:$E$5001,"&lt;&gt;")=0,"",SUMIFS(BD!$E$3:$E$5001,BD!$A$3:$A$5001,H$3,BD!$B$3:$B$5001,$A$369)))</f>
        <v/>
      </c>
      <c r="I371" s="283" t="str">
        <f>IF(I$3="","",IF(COUNTIFS(BD!$A$3:$A$5001,I$3,BD!$B$3:$B$5001,$A$369,BD!$E$3:$E$5001,"&lt;&gt;")=0,"",SUMIFS(BD!$E$3:$E$5001,BD!$A$3:$A$5001,I$3,BD!$B$3:$B$5001,$A$369)))</f>
        <v/>
      </c>
      <c r="J371" s="283" t="str">
        <f>IF(J$3="","",IF(COUNTIFS(BD!$A$3:$A$5001,J$3,BD!$B$3:$B$5001,$A$369,BD!$E$3:$E$5001,"&lt;&gt;")=0,"",SUMIFS(BD!$E$3:$E$5001,BD!$A$3:$A$5001,J$3,BD!$B$3:$B$5001,$A$369)))</f>
        <v/>
      </c>
      <c r="K371" s="283" t="str">
        <f>IF(K$3="","",IF(COUNTIFS(BD!$A$3:$A$5001,K$3,BD!$B$3:$B$5001,$A$369,BD!$E$3:$E$5001,"&lt;&gt;")=0,"",SUMIFS(BD!$E$3:$E$5001,BD!$A$3:$A$5001,K$3,BD!$B$3:$B$5001,$A$369)))</f>
        <v/>
      </c>
      <c r="L371" s="283" t="str">
        <f>IF(L$3="","",IF(COUNTIFS(BD!$A$3:$A$5001,L$3,BD!$B$3:$B$5001,$A$369,BD!$E$3:$E$5001,"&lt;&gt;")=0,"",SUMIFS(BD!$E$3:$E$5001,BD!$A$3:$A$5001,L$3,BD!$B$3:$B$5001,$A$369)))</f>
        <v/>
      </c>
      <c r="M371" s="283" t="str">
        <f>IF(M$3="","",IF(COUNTIFS(BD!$A$3:$A$5001,M$3,BD!$B$3:$B$5001,$A$369,BD!$E$3:$E$5001,"&lt;&gt;")=0,"",SUMIFS(BD!$E$3:$E$5001,BD!$A$3:$A$5001,M$3,BD!$B$3:$B$5001,$A$369)))</f>
        <v/>
      </c>
      <c r="N371" s="283" t="str">
        <f>IF(N$3="","",IF(COUNTIFS(BD!$A$3:$A$5001,N$3,BD!$B$3:$B$5001,$A$369,BD!$E$3:$E$5001,"&lt;&gt;")=0,"",SUMIFS(BD!$E$3:$E$5001,BD!$A$3:$A$5001,N$3,BD!$B$3:$B$5001,$A$369)))</f>
        <v/>
      </c>
      <c r="O371" s="283" t="str">
        <f>IF(O$3="","",IF(COUNTIFS(BD!$A$3:$A$5001,O$3,BD!$B$3:$B$5001,$A$369,BD!$E$3:$E$5001,"&lt;&gt;")=0,"",SUMIFS(BD!$E$3:$E$5001,BD!$A$3:$A$5001,O$3,BD!$B$3:$B$5001,$A$369)))</f>
        <v/>
      </c>
      <c r="P371" s="283" t="str">
        <f>IF(P$3="","",IF(COUNTIFS(BD!$A$3:$A$5001,P$3,BD!$B$3:$B$5001,$A$369,BD!$E$3:$E$5001,"&lt;&gt;")=0,"",SUMIFS(BD!$E$3:$E$5001,BD!$A$3:$A$5001,P$3,BD!$B$3:$B$5001,$A$369)))</f>
        <v/>
      </c>
      <c r="Q371" s="283" t="str">
        <f>IF(Q$3="","",IF(COUNTIFS(BD!$A$3:$A$5001,Q$3,BD!$B$3:$B$5001,$A$369,BD!$E$3:$E$5001,"&lt;&gt;")=0,"",SUMIFS(BD!$E$3:$E$5001,BD!$A$3:$A$5001,Q$3,BD!$B$3:$B$5001,$A$369)))</f>
        <v/>
      </c>
      <c r="R371" s="283" t="str">
        <f>IF(R$3="","",IF(COUNTIFS(BD!$A$3:$A$5001,R$3,BD!$B$3:$B$5001,$A$369,BD!$E$3:$E$5001,"&lt;&gt;")=0,"",SUMIFS(BD!$E$3:$E$5001,BD!$A$3:$A$5001,R$3,BD!$B$3:$B$5001,$A$369)))</f>
        <v/>
      </c>
      <c r="S371" s="283" t="str">
        <f>IF(S$3="","",IF(COUNTIFS(BD!$A$3:$A$5001,S$3,BD!$B$3:$B$5001,$A$369,BD!$E$3:$E$5001,"&lt;&gt;")=0,"",SUMIFS(BD!$E$3:$E$5001,BD!$A$3:$A$5001,S$3,BD!$B$3:$B$5001,$A$369)))</f>
        <v/>
      </c>
      <c r="T371" s="283" t="str">
        <f>IF(T$3="","",IF(COUNTIFS(BD!$A$3:$A$5001,T$3,BD!$B$3:$B$5001,$A$369,BD!$E$3:$E$5001,"&lt;&gt;")=0,"",SUMIFS(BD!$E$3:$E$5001,BD!$A$3:$A$5001,T$3,BD!$B$3:$B$5001,$A$369)))</f>
        <v/>
      </c>
      <c r="U371" s="283" t="str">
        <f>IF(U$3="","",IF(COUNTIFS(BD!$A$3:$A$5001,U$3,BD!$B$3:$B$5001,$A$369,BD!$E$3:$E$5001,"&lt;&gt;")=0,"",SUMIFS(BD!$E$3:$E$5001,BD!$A$3:$A$5001,U$3,BD!$B$3:$B$5001,$A$369)))</f>
        <v/>
      </c>
      <c r="V371" s="283" t="str">
        <f>IF(V$3="","",IF(COUNTIFS(BD!$A$3:$A$5001,V$3,BD!$B$3:$B$5001,$A$369,BD!$E$3:$E$5001,"&lt;&gt;")=0,"",SUMIFS(BD!$E$3:$E$5001,BD!$A$3:$A$5001,V$3,BD!$B$3:$B$5001,$A$369)))</f>
        <v/>
      </c>
      <c r="W371" s="283" t="str">
        <f>IF(W$3="","",IF(COUNTIFS(BD!$A$3:$A$5001,W$3,BD!$B$3:$B$5001,$A$369,BD!$E$3:$E$5001,"&lt;&gt;")=0,"",SUMIFS(BD!$E$3:$E$5001,BD!$A$3:$A$5001,W$3,BD!$B$3:$B$5001,$A$369)))</f>
        <v/>
      </c>
      <c r="X371" s="283" t="str">
        <f>IF(X$3="","",IF(COUNTIFS(BD!$A$3:$A$5001,X$3,BD!$B$3:$B$5001,$A$369,BD!$E$3:$E$5001,"&lt;&gt;")=0,"",SUMIFS(BD!$E$3:$E$5001,BD!$A$3:$A$5001,X$3,BD!$B$3:$B$5001,$A$369)))</f>
        <v/>
      </c>
      <c r="Y371" s="283" t="str">
        <f>IF(Y$3="","",IF(COUNTIFS(BD!$A$3:$A$5001,Y$3,BD!$B$3:$B$5001,$A$369,BD!$E$3:$E$5001,"&lt;&gt;")=0,"",SUMIFS(BD!$E$3:$E$5001,BD!$A$3:$A$5001,Y$3,BD!$B$3:$B$5001,$A$369)))</f>
        <v/>
      </c>
      <c r="Z371" s="283" t="str">
        <f>IF(Z$3="","",IF(COUNTIFS(BD!$A$3:$A$5001,Z$3,BD!$B$3:$B$5001,$A$369,BD!$E$3:$E$5001,"&lt;&gt;")=0,"",SUMIFS(BD!$E$3:$E$5001,BD!$A$3:$A$5001,Z$3,BD!$B$3:$B$5001,$A$369)))</f>
        <v/>
      </c>
      <c r="AA371" s="283" t="str">
        <f>IF(AA$3="","",IF(COUNTIFS(BD!$A$3:$A$5001,AA$3,BD!$B$3:$B$5001,$A$369,BD!$E$3:$E$5001,"&lt;&gt;")=0,"",SUMIFS(BD!$E$3:$E$5001,BD!$A$3:$A$5001,AA$3,BD!$B$3:$B$5001,$A$369)))</f>
        <v/>
      </c>
      <c r="AB371" s="283" t="str">
        <f>IF(AB$3="","",IF(COUNTIFS(BD!$A$3:$A$5001,AB$3,BD!$B$3:$B$5001,$A$369,BD!$E$3:$E$5001,"&lt;&gt;")=0,"",SUMIFS(BD!$E$3:$E$5001,BD!$A$3:$A$5001,AB$3,BD!$B$3:$B$5001,$A$369)))</f>
        <v/>
      </c>
      <c r="AC371" s="283" t="str">
        <f>IF(AC$3="","",IF(COUNTIFS(BD!$A$3:$A$5001,AC$3,BD!$B$3:$B$5001,$A$369,BD!$E$3:$E$5001,"&lt;&gt;")=0,"",SUMIFS(BD!$E$3:$E$5001,BD!$A$3:$A$5001,AC$3,BD!$B$3:$B$5001,$A$369)))</f>
        <v/>
      </c>
      <c r="AD371" s="283" t="str">
        <f>IF(AD$3="","",IF(COUNTIFS(BD!$A$3:$A$5001,AD$3,BD!$B$3:$B$5001,$A$369,BD!$E$3:$E$5001,"&lt;&gt;")=0,"",SUMIFS(BD!$E$3:$E$5001,BD!$A$3:$A$5001,AD$3,BD!$B$3:$B$5001,$A$369)))</f>
        <v/>
      </c>
      <c r="AE371" s="283" t="str">
        <f>IF(AE$3="","",IF(COUNTIFS(BD!$A$3:$A$5001,AE$3,BD!$B$3:$B$5001,$A$369,BD!$E$3:$E$5001,"&lt;&gt;")=0,"",SUMIFS(BD!$E$3:$E$5001,BD!$A$3:$A$5001,AE$3,BD!$B$3:$B$5001,$A$369)))</f>
        <v/>
      </c>
      <c r="AF371" s="283" t="str">
        <f>IF(AF$3="","",IF(COUNTIFS(BD!$A$3:$A$5001,AF$3,BD!$B$3:$B$5001,$A$369,BD!$E$3:$E$5001,"&lt;&gt;")=0,"",SUMIFS(BD!$E$3:$E$5001,BD!$A$3:$A$5001,AF$3,BD!$B$3:$B$5001,$A$369)))</f>
        <v/>
      </c>
      <c r="AG371" s="283" t="str">
        <f>IF(AG$3="","",IF(COUNTIFS(BD!$A$3:$A$5001,AG$3,BD!$B$3:$B$5001,$A$369,BD!$E$3:$E$5001,"&lt;&gt;")=0,"",SUMIFS(BD!$E$3:$E$5001,BD!$A$3:$A$5001,AG$3,BD!$B$3:$B$5001,$A$369)))</f>
        <v/>
      </c>
      <c r="AH371" s="283" t="str">
        <f>IF(AH$3="","",IF(COUNTIFS(BD!$A$3:$A$5001,AH$3,BD!$B$3:$B$5001,$A$369,BD!$E$3:$E$5001,"&lt;&gt;")=0,"",SUMIFS(BD!$E$3:$E$5001,BD!$A$3:$A$5001,AH$3,BD!$B$3:$B$5001,$A$369)))</f>
        <v/>
      </c>
      <c r="AI371" s="283" t="str">
        <f>IF(AI$3="","",IF(COUNTIFS(BD!$A$3:$A$5001,AI$3,BD!$B$3:$B$5001,$A$369,BD!$E$3:$E$5001,"&lt;&gt;")=0,"",SUMIFS(BD!$E$3:$E$5001,BD!$A$3:$A$5001,AI$3,BD!$B$3:$B$5001,$A$369)))</f>
        <v/>
      </c>
      <c r="AJ371" s="284" t="str">
        <f>IF(AJ$3="","",IF(COUNTIFS(BD!$A$3:$A$5001,AJ$3,BD!$B$3:$B$5001,$A$369,BD!$E$3:$E$5001,"&lt;&gt;")=0,"",SUMIFS(BD!$E$3:$E$5001,BD!$A$3:$A$5001,AJ$3,BD!$B$3:$B$5001,$A$369)))</f>
        <v/>
      </c>
      <c r="AK371" s="285" t="str">
        <f>IF(COUNT(F371:AJ371)=0,"",SUM(F371:AJ371))</f>
        <v/>
      </c>
    </row>
    <row r="372" ht="15.75" customHeight="1" hidden="1">
      <c r="A372" s="261"/>
      <c r="B372" s="256"/>
      <c r="C372" s="214" t="inlineStr">
        <is>
          <t xml:space="preserve">Linhas NF</t>
        </is>
      </c>
      <c r="D372" s="215" t="str">
        <f>IFERROR(1/(1/INDEX(BD!$AL$26:$BF$26,MATCH($A$369,BD!$AL$22:$BF$22,0))),"")</f>
        <v/>
      </c>
      <c r="E372" s="216"/>
      <c r="F372" s="217" t="str">
        <f>IF(F$3="","",IF(COUNTIFS(BD!$A$3:$A$5001,F$3,BD!$B$3:$B$5001,$A$369,BD!$F$3:$F$5001,"&lt;&gt;")=0,"",SUMIFS(BD!$F$3:$F$5001,BD!$A$3:$A$5001,F$3,BD!$B$3:$B$5001,$A$369)))</f>
        <v/>
      </c>
      <c r="G372" s="218" t="str">
        <f>IF(G$3="","",IF(COUNTIFS(BD!$A$3:$A$5001,G$3,BD!$B$3:$B$5001,$A$369,BD!$F$3:$F$5001,"&lt;&gt;")=0,"",SUMIFS(BD!$F$3:$F$5001,BD!$A$3:$A$5001,G$3,BD!$B$3:$B$5001,$A$369)))</f>
        <v/>
      </c>
      <c r="H372" s="218" t="str">
        <f>IF(H$3="","",IF(COUNTIFS(BD!$A$3:$A$5001,H$3,BD!$B$3:$B$5001,$A$369,BD!$F$3:$F$5001,"&lt;&gt;")=0,"",SUMIFS(BD!$F$3:$F$5001,BD!$A$3:$A$5001,H$3,BD!$B$3:$B$5001,$A$369)))</f>
        <v/>
      </c>
      <c r="I372" s="218" t="str">
        <f>IF(I$3="","",IF(COUNTIFS(BD!$A$3:$A$5001,I$3,BD!$B$3:$B$5001,$A$369,BD!$F$3:$F$5001,"&lt;&gt;")=0,"",SUMIFS(BD!$F$3:$F$5001,BD!$A$3:$A$5001,I$3,BD!$B$3:$B$5001,$A$369)))</f>
        <v/>
      </c>
      <c r="J372" s="218" t="str">
        <f>IF(J$3="","",IF(COUNTIFS(BD!$A$3:$A$5001,J$3,BD!$B$3:$B$5001,$A$369,BD!$F$3:$F$5001,"&lt;&gt;")=0,"",SUMIFS(BD!$F$3:$F$5001,BD!$A$3:$A$5001,J$3,BD!$B$3:$B$5001,$A$369)))</f>
        <v/>
      </c>
      <c r="K372" s="218" t="str">
        <f>IF(K$3="","",IF(COUNTIFS(BD!$A$3:$A$5001,K$3,BD!$B$3:$B$5001,$A$369,BD!$F$3:$F$5001,"&lt;&gt;")=0,"",SUMIFS(BD!$F$3:$F$5001,BD!$A$3:$A$5001,K$3,BD!$B$3:$B$5001,$A$369)))</f>
        <v/>
      </c>
      <c r="L372" s="218" t="str">
        <f>IF(L$3="","",IF(COUNTIFS(BD!$A$3:$A$5001,L$3,BD!$B$3:$B$5001,$A$369,BD!$F$3:$F$5001,"&lt;&gt;")=0,"",SUMIFS(BD!$F$3:$F$5001,BD!$A$3:$A$5001,L$3,BD!$B$3:$B$5001,$A$369)))</f>
        <v/>
      </c>
      <c r="M372" s="218" t="str">
        <f>IF(M$3="","",IF(COUNTIFS(BD!$A$3:$A$5001,M$3,BD!$B$3:$B$5001,$A$369,BD!$F$3:$F$5001,"&lt;&gt;")=0,"",SUMIFS(BD!$F$3:$F$5001,BD!$A$3:$A$5001,M$3,BD!$B$3:$B$5001,$A$369)))</f>
        <v/>
      </c>
      <c r="N372" s="218" t="str">
        <f>IF(N$3="","",IF(COUNTIFS(BD!$A$3:$A$5001,N$3,BD!$B$3:$B$5001,$A$369,BD!$F$3:$F$5001,"&lt;&gt;")=0,"",SUMIFS(BD!$F$3:$F$5001,BD!$A$3:$A$5001,N$3,BD!$B$3:$B$5001,$A$369)))</f>
        <v/>
      </c>
      <c r="O372" s="218" t="str">
        <f>IF(O$3="","",IF(COUNTIFS(BD!$A$3:$A$5001,O$3,BD!$B$3:$B$5001,$A$369,BD!$F$3:$F$5001,"&lt;&gt;")=0,"",SUMIFS(BD!$F$3:$F$5001,BD!$A$3:$A$5001,O$3,BD!$B$3:$B$5001,$A$369)))</f>
        <v/>
      </c>
      <c r="P372" s="218" t="str">
        <f>IF(P$3="","",IF(COUNTIFS(BD!$A$3:$A$5001,P$3,BD!$B$3:$B$5001,$A$369,BD!$F$3:$F$5001,"&lt;&gt;")=0,"",SUMIFS(BD!$F$3:$F$5001,BD!$A$3:$A$5001,P$3,BD!$B$3:$B$5001,$A$369)))</f>
        <v/>
      </c>
      <c r="Q372" s="218" t="str">
        <f>IF(Q$3="","",IF(COUNTIFS(BD!$A$3:$A$5001,Q$3,BD!$B$3:$B$5001,$A$369,BD!$F$3:$F$5001,"&lt;&gt;")=0,"",SUMIFS(BD!$F$3:$F$5001,BD!$A$3:$A$5001,Q$3,BD!$B$3:$B$5001,$A$369)))</f>
        <v/>
      </c>
      <c r="R372" s="218" t="str">
        <f>IF(R$3="","",IF(COUNTIFS(BD!$A$3:$A$5001,R$3,BD!$B$3:$B$5001,$A$369,BD!$F$3:$F$5001,"&lt;&gt;")=0,"",SUMIFS(BD!$F$3:$F$5001,BD!$A$3:$A$5001,R$3,BD!$B$3:$B$5001,$A$369)))</f>
        <v/>
      </c>
      <c r="S372" s="218" t="str">
        <f>IF(S$3="","",IF(COUNTIFS(BD!$A$3:$A$5001,S$3,BD!$B$3:$B$5001,$A$369,BD!$F$3:$F$5001,"&lt;&gt;")=0,"",SUMIFS(BD!$F$3:$F$5001,BD!$A$3:$A$5001,S$3,BD!$B$3:$B$5001,$A$369)))</f>
        <v/>
      </c>
      <c r="T372" s="218" t="str">
        <f>IF(T$3="","",IF(COUNTIFS(BD!$A$3:$A$5001,T$3,BD!$B$3:$B$5001,$A$369,BD!$F$3:$F$5001,"&lt;&gt;")=0,"",SUMIFS(BD!$F$3:$F$5001,BD!$A$3:$A$5001,T$3,BD!$B$3:$B$5001,$A$369)))</f>
        <v/>
      </c>
      <c r="U372" s="218" t="str">
        <f>IF(U$3="","",IF(COUNTIFS(BD!$A$3:$A$5001,U$3,BD!$B$3:$B$5001,$A$369,BD!$F$3:$F$5001,"&lt;&gt;")=0,"",SUMIFS(BD!$F$3:$F$5001,BD!$A$3:$A$5001,U$3,BD!$B$3:$B$5001,$A$369)))</f>
        <v/>
      </c>
      <c r="V372" s="218" t="str">
        <f>IF(V$3="","",IF(COUNTIFS(BD!$A$3:$A$5001,V$3,BD!$B$3:$B$5001,$A$369,BD!$F$3:$F$5001,"&lt;&gt;")=0,"",SUMIFS(BD!$F$3:$F$5001,BD!$A$3:$A$5001,V$3,BD!$B$3:$B$5001,$A$369)))</f>
        <v/>
      </c>
      <c r="W372" s="218" t="str">
        <f>IF(W$3="","",IF(COUNTIFS(BD!$A$3:$A$5001,W$3,BD!$B$3:$B$5001,$A$369,BD!$F$3:$F$5001,"&lt;&gt;")=0,"",SUMIFS(BD!$F$3:$F$5001,BD!$A$3:$A$5001,W$3,BD!$B$3:$B$5001,$A$369)))</f>
        <v/>
      </c>
      <c r="X372" s="218" t="str">
        <f>IF(X$3="","",IF(COUNTIFS(BD!$A$3:$A$5001,X$3,BD!$B$3:$B$5001,$A$369,BD!$F$3:$F$5001,"&lt;&gt;")=0,"",SUMIFS(BD!$F$3:$F$5001,BD!$A$3:$A$5001,X$3,BD!$B$3:$B$5001,$A$369)))</f>
        <v/>
      </c>
      <c r="Y372" s="218" t="str">
        <f>IF(Y$3="","",IF(COUNTIFS(BD!$A$3:$A$5001,Y$3,BD!$B$3:$B$5001,$A$369,BD!$F$3:$F$5001,"&lt;&gt;")=0,"",SUMIFS(BD!$F$3:$F$5001,BD!$A$3:$A$5001,Y$3,BD!$B$3:$B$5001,$A$369)))</f>
        <v/>
      </c>
      <c r="Z372" s="218" t="str">
        <f>IF(Z$3="","",IF(COUNTIFS(BD!$A$3:$A$5001,Z$3,BD!$B$3:$B$5001,$A$369,BD!$F$3:$F$5001,"&lt;&gt;")=0,"",SUMIFS(BD!$F$3:$F$5001,BD!$A$3:$A$5001,Z$3,BD!$B$3:$B$5001,$A$369)))</f>
        <v/>
      </c>
      <c r="AA372" s="218" t="str">
        <f>IF(AA$3="","",IF(COUNTIFS(BD!$A$3:$A$5001,AA$3,BD!$B$3:$B$5001,$A$369,BD!$F$3:$F$5001,"&lt;&gt;")=0,"",SUMIFS(BD!$F$3:$F$5001,BD!$A$3:$A$5001,AA$3,BD!$B$3:$B$5001,$A$369)))</f>
        <v/>
      </c>
      <c r="AB372" s="218" t="str">
        <f>IF(AB$3="","",IF(COUNTIFS(BD!$A$3:$A$5001,AB$3,BD!$B$3:$B$5001,$A$369,BD!$F$3:$F$5001,"&lt;&gt;")=0,"",SUMIFS(BD!$F$3:$F$5001,BD!$A$3:$A$5001,AB$3,BD!$B$3:$B$5001,$A$369)))</f>
        <v/>
      </c>
      <c r="AC372" s="218" t="str">
        <f>IF(AC$3="","",IF(COUNTIFS(BD!$A$3:$A$5001,AC$3,BD!$B$3:$B$5001,$A$369,BD!$F$3:$F$5001,"&lt;&gt;")=0,"",SUMIFS(BD!$F$3:$F$5001,BD!$A$3:$A$5001,AC$3,BD!$B$3:$B$5001,$A$369)))</f>
        <v/>
      </c>
      <c r="AD372" s="218" t="str">
        <f>IF(AD$3="","",IF(COUNTIFS(BD!$A$3:$A$5001,AD$3,BD!$B$3:$B$5001,$A$369,BD!$F$3:$F$5001,"&lt;&gt;")=0,"",SUMIFS(BD!$F$3:$F$5001,BD!$A$3:$A$5001,AD$3,BD!$B$3:$B$5001,$A$369)))</f>
        <v/>
      </c>
      <c r="AE372" s="218" t="str">
        <f>IF(AE$3="","",IF(COUNTIFS(BD!$A$3:$A$5001,AE$3,BD!$B$3:$B$5001,$A$369,BD!$F$3:$F$5001,"&lt;&gt;")=0,"",SUMIFS(BD!$F$3:$F$5001,BD!$A$3:$A$5001,AE$3,BD!$B$3:$B$5001,$A$369)))</f>
        <v/>
      </c>
      <c r="AF372" s="218" t="str">
        <f>IF(AF$3="","",IF(COUNTIFS(BD!$A$3:$A$5001,AF$3,BD!$B$3:$B$5001,$A$369,BD!$F$3:$F$5001,"&lt;&gt;")=0,"",SUMIFS(BD!$F$3:$F$5001,BD!$A$3:$A$5001,AF$3,BD!$B$3:$B$5001,$A$369)))</f>
        <v/>
      </c>
      <c r="AG372" s="218" t="str">
        <f>IF(AG$3="","",IF(COUNTIFS(BD!$A$3:$A$5001,AG$3,BD!$B$3:$B$5001,$A$369,BD!$F$3:$F$5001,"&lt;&gt;")=0,"",SUMIFS(BD!$F$3:$F$5001,BD!$A$3:$A$5001,AG$3,BD!$B$3:$B$5001,$A$369)))</f>
        <v/>
      </c>
      <c r="AH372" s="218" t="str">
        <f>IF(AH$3="","",IF(COUNTIFS(BD!$A$3:$A$5001,AH$3,BD!$B$3:$B$5001,$A$369,BD!$F$3:$F$5001,"&lt;&gt;")=0,"",SUMIFS(BD!$F$3:$F$5001,BD!$A$3:$A$5001,AH$3,BD!$B$3:$B$5001,$A$369)))</f>
        <v/>
      </c>
      <c r="AI372" s="218" t="str">
        <f>IF(AI$3="","",IF(COUNTIFS(BD!$A$3:$A$5001,AI$3,BD!$B$3:$B$5001,$A$369,BD!$F$3:$F$5001,"&lt;&gt;")=0,"",SUMIFS(BD!$F$3:$F$5001,BD!$A$3:$A$5001,AI$3,BD!$B$3:$B$5001,$A$369)))</f>
        <v/>
      </c>
      <c r="AJ372" s="219" t="str">
        <f>IF(AJ$3="","",IF(COUNTIFS(BD!$A$3:$A$5001,AJ$3,BD!$B$3:$B$5001,$A$369,BD!$F$3:$F$5001,"&lt;&gt;")=0,"",SUMIFS(BD!$F$3:$F$5001,BD!$A$3:$A$5001,AJ$3,BD!$B$3:$B$5001,$A$369)))</f>
        <v/>
      </c>
      <c r="AK372" s="220" t="str">
        <f>IF(COUNT(F372:AJ372)=0,"",SUM(F372:AJ372))</f>
        <v/>
      </c>
    </row>
    <row r="373" ht="15.75" customHeight="1" hidden="1">
      <c r="A373" s="261"/>
      <c r="B373" s="256"/>
      <c r="C373" s="214" t="inlineStr">
        <is>
          <t xml:space="preserve">Caixas Movimentadas</t>
        </is>
      </c>
      <c r="D373" s="215" t="str">
        <f>IFERROR(1/(1/INDEX(BD!$AL$27:$BF$27,MATCH($A$369,BD!$AL$22:$BF$22,0))),"")</f>
        <v/>
      </c>
      <c r="E373" s="216"/>
      <c r="F373" s="217" t="str">
        <f>IF(F$3="","",IF(COUNTIFS(BD!$A$3:$A$5001,F$3,BD!$B$3:$B$5001,$A$369,BD!$G$3:$G$5001,"&lt;&gt;")=0,"",SUMIFS(BD!$G$3:$G$5001,BD!$A$3:$A$5001,F$3,BD!$B$3:$B$5001,$A$369)))</f>
        <v/>
      </c>
      <c r="G373" s="218" t="str">
        <f>IF(G$3="","",IF(COUNTIFS(BD!$A$3:$A$5001,G$3,BD!$B$3:$B$5001,$A$369,BD!$G$3:$G$5001,"&lt;&gt;")=0,"",SUMIFS(BD!$G$3:$G$5001,BD!$A$3:$A$5001,G$3,BD!$B$3:$B$5001,$A$369)))</f>
        <v/>
      </c>
      <c r="H373" s="218" t="str">
        <f>IF(H$3="","",IF(COUNTIFS(BD!$A$3:$A$5001,H$3,BD!$B$3:$B$5001,$A$369,BD!$G$3:$G$5001,"&lt;&gt;")=0,"",SUMIFS(BD!$G$3:$G$5001,BD!$A$3:$A$5001,H$3,BD!$B$3:$B$5001,$A$369)))</f>
        <v/>
      </c>
      <c r="I373" s="218" t="str">
        <f>IF(I$3="","",IF(COUNTIFS(BD!$A$3:$A$5001,I$3,BD!$B$3:$B$5001,$A$369,BD!$G$3:$G$5001,"&lt;&gt;")=0,"",SUMIFS(BD!$G$3:$G$5001,BD!$A$3:$A$5001,I$3,BD!$B$3:$B$5001,$A$369)))</f>
        <v/>
      </c>
      <c r="J373" s="218" t="str">
        <f>IF(J$3="","",IF(COUNTIFS(BD!$A$3:$A$5001,J$3,BD!$B$3:$B$5001,$A$369,BD!$G$3:$G$5001,"&lt;&gt;")=0,"",SUMIFS(BD!$G$3:$G$5001,BD!$A$3:$A$5001,J$3,BD!$B$3:$B$5001,$A$369)))</f>
        <v/>
      </c>
      <c r="K373" s="218" t="str">
        <f>IF(K$3="","",IF(COUNTIFS(BD!$A$3:$A$5001,K$3,BD!$B$3:$B$5001,$A$369,BD!$G$3:$G$5001,"&lt;&gt;")=0,"",SUMIFS(BD!$G$3:$G$5001,BD!$A$3:$A$5001,K$3,BD!$B$3:$B$5001,$A$369)))</f>
        <v/>
      </c>
      <c r="L373" s="218" t="str">
        <f>IF(L$3="","",IF(COUNTIFS(BD!$A$3:$A$5001,L$3,BD!$B$3:$B$5001,$A$369,BD!$G$3:$G$5001,"&lt;&gt;")=0,"",SUMIFS(BD!$G$3:$G$5001,BD!$A$3:$A$5001,L$3,BD!$B$3:$B$5001,$A$369)))</f>
        <v/>
      </c>
      <c r="M373" s="218" t="str">
        <f>IF(M$3="","",IF(COUNTIFS(BD!$A$3:$A$5001,M$3,BD!$B$3:$B$5001,$A$369,BD!$G$3:$G$5001,"&lt;&gt;")=0,"",SUMIFS(BD!$G$3:$G$5001,BD!$A$3:$A$5001,M$3,BD!$B$3:$B$5001,$A$369)))</f>
        <v/>
      </c>
      <c r="N373" s="218" t="str">
        <f>IF(N$3="","",IF(COUNTIFS(BD!$A$3:$A$5001,N$3,BD!$B$3:$B$5001,$A$369,BD!$G$3:$G$5001,"&lt;&gt;")=0,"",SUMIFS(BD!$G$3:$G$5001,BD!$A$3:$A$5001,N$3,BD!$B$3:$B$5001,$A$369)))</f>
        <v/>
      </c>
      <c r="O373" s="218" t="str">
        <f>IF(O$3="","",IF(COUNTIFS(BD!$A$3:$A$5001,O$3,BD!$B$3:$B$5001,$A$369,BD!$G$3:$G$5001,"&lt;&gt;")=0,"",SUMIFS(BD!$G$3:$G$5001,BD!$A$3:$A$5001,O$3,BD!$B$3:$B$5001,$A$369)))</f>
        <v/>
      </c>
      <c r="P373" s="218" t="str">
        <f>IF(P$3="","",IF(COUNTIFS(BD!$A$3:$A$5001,P$3,BD!$B$3:$B$5001,$A$369,BD!$G$3:$G$5001,"&lt;&gt;")=0,"",SUMIFS(BD!$G$3:$G$5001,BD!$A$3:$A$5001,P$3,BD!$B$3:$B$5001,$A$369)))</f>
        <v/>
      </c>
      <c r="Q373" s="218" t="str">
        <f>IF(Q$3="","",IF(COUNTIFS(BD!$A$3:$A$5001,Q$3,BD!$B$3:$B$5001,$A$369,BD!$G$3:$G$5001,"&lt;&gt;")=0,"",SUMIFS(BD!$G$3:$G$5001,BD!$A$3:$A$5001,Q$3,BD!$B$3:$B$5001,$A$369)))</f>
        <v/>
      </c>
      <c r="R373" s="218" t="str">
        <f>IF(R$3="","",IF(COUNTIFS(BD!$A$3:$A$5001,R$3,BD!$B$3:$B$5001,$A$369,BD!$G$3:$G$5001,"&lt;&gt;")=0,"",SUMIFS(BD!$G$3:$G$5001,BD!$A$3:$A$5001,R$3,BD!$B$3:$B$5001,$A$369)))</f>
        <v/>
      </c>
      <c r="S373" s="218" t="str">
        <f>IF(S$3="","",IF(COUNTIFS(BD!$A$3:$A$5001,S$3,BD!$B$3:$B$5001,$A$369,BD!$G$3:$G$5001,"&lt;&gt;")=0,"",SUMIFS(BD!$G$3:$G$5001,BD!$A$3:$A$5001,S$3,BD!$B$3:$B$5001,$A$369)))</f>
        <v/>
      </c>
      <c r="T373" s="218" t="str">
        <f>IF(T$3="","",IF(COUNTIFS(BD!$A$3:$A$5001,T$3,BD!$B$3:$B$5001,$A$369,BD!$G$3:$G$5001,"&lt;&gt;")=0,"",SUMIFS(BD!$G$3:$G$5001,BD!$A$3:$A$5001,T$3,BD!$B$3:$B$5001,$A$369)))</f>
        <v/>
      </c>
      <c r="U373" s="218" t="str">
        <f>IF(U$3="","",IF(COUNTIFS(BD!$A$3:$A$5001,U$3,BD!$B$3:$B$5001,$A$369,BD!$G$3:$G$5001,"&lt;&gt;")=0,"",SUMIFS(BD!$G$3:$G$5001,BD!$A$3:$A$5001,U$3,BD!$B$3:$B$5001,$A$369)))</f>
        <v/>
      </c>
      <c r="V373" s="218" t="str">
        <f>IF(V$3="","",IF(COUNTIFS(BD!$A$3:$A$5001,V$3,BD!$B$3:$B$5001,$A$369,BD!$G$3:$G$5001,"&lt;&gt;")=0,"",SUMIFS(BD!$G$3:$G$5001,BD!$A$3:$A$5001,V$3,BD!$B$3:$B$5001,$A$369)))</f>
        <v/>
      </c>
      <c r="W373" s="218" t="str">
        <f>IF(W$3="","",IF(COUNTIFS(BD!$A$3:$A$5001,W$3,BD!$B$3:$B$5001,$A$369,BD!$G$3:$G$5001,"&lt;&gt;")=0,"",SUMIFS(BD!$G$3:$G$5001,BD!$A$3:$A$5001,W$3,BD!$B$3:$B$5001,$A$369)))</f>
        <v/>
      </c>
      <c r="X373" s="218" t="str">
        <f>IF(X$3="","",IF(COUNTIFS(BD!$A$3:$A$5001,X$3,BD!$B$3:$B$5001,$A$369,BD!$G$3:$G$5001,"&lt;&gt;")=0,"",SUMIFS(BD!$G$3:$G$5001,BD!$A$3:$A$5001,X$3,BD!$B$3:$B$5001,$A$369)))</f>
        <v/>
      </c>
      <c r="Y373" s="218" t="str">
        <f>IF(Y$3="","",IF(COUNTIFS(BD!$A$3:$A$5001,Y$3,BD!$B$3:$B$5001,$A$369,BD!$G$3:$G$5001,"&lt;&gt;")=0,"",SUMIFS(BD!$G$3:$G$5001,BD!$A$3:$A$5001,Y$3,BD!$B$3:$B$5001,$A$369)))</f>
        <v/>
      </c>
      <c r="Z373" s="218" t="str">
        <f>IF(Z$3="","",IF(COUNTIFS(BD!$A$3:$A$5001,Z$3,BD!$B$3:$B$5001,$A$369,BD!$G$3:$G$5001,"&lt;&gt;")=0,"",SUMIFS(BD!$G$3:$G$5001,BD!$A$3:$A$5001,Z$3,BD!$B$3:$B$5001,$A$369)))</f>
        <v/>
      </c>
      <c r="AA373" s="218" t="str">
        <f>IF(AA$3="","",IF(COUNTIFS(BD!$A$3:$A$5001,AA$3,BD!$B$3:$B$5001,$A$369,BD!$G$3:$G$5001,"&lt;&gt;")=0,"",SUMIFS(BD!$G$3:$G$5001,BD!$A$3:$A$5001,AA$3,BD!$B$3:$B$5001,$A$369)))</f>
        <v/>
      </c>
      <c r="AB373" s="218" t="str">
        <f>IF(AB$3="","",IF(COUNTIFS(BD!$A$3:$A$5001,AB$3,BD!$B$3:$B$5001,$A$369,BD!$G$3:$G$5001,"&lt;&gt;")=0,"",SUMIFS(BD!$G$3:$G$5001,BD!$A$3:$A$5001,AB$3,BD!$B$3:$B$5001,$A$369)))</f>
        <v/>
      </c>
      <c r="AC373" s="218" t="str">
        <f>IF(AC$3="","",IF(COUNTIFS(BD!$A$3:$A$5001,AC$3,BD!$B$3:$B$5001,$A$369,BD!$G$3:$G$5001,"&lt;&gt;")=0,"",SUMIFS(BD!$G$3:$G$5001,BD!$A$3:$A$5001,AC$3,BD!$B$3:$B$5001,$A$369)))</f>
        <v/>
      </c>
      <c r="AD373" s="218" t="str">
        <f>IF(AD$3="","",IF(COUNTIFS(BD!$A$3:$A$5001,AD$3,BD!$B$3:$B$5001,$A$369,BD!$G$3:$G$5001,"&lt;&gt;")=0,"",SUMIFS(BD!$G$3:$G$5001,BD!$A$3:$A$5001,AD$3,BD!$B$3:$B$5001,$A$369)))</f>
        <v/>
      </c>
      <c r="AE373" s="218" t="str">
        <f>IF(AE$3="","",IF(COUNTIFS(BD!$A$3:$A$5001,AE$3,BD!$B$3:$B$5001,$A$369,BD!$G$3:$G$5001,"&lt;&gt;")=0,"",SUMIFS(BD!$G$3:$G$5001,BD!$A$3:$A$5001,AE$3,BD!$B$3:$B$5001,$A$369)))</f>
        <v/>
      </c>
      <c r="AF373" s="218" t="str">
        <f>IF(AF$3="","",IF(COUNTIFS(BD!$A$3:$A$5001,AF$3,BD!$B$3:$B$5001,$A$369,BD!$G$3:$G$5001,"&lt;&gt;")=0,"",SUMIFS(BD!$G$3:$G$5001,BD!$A$3:$A$5001,AF$3,BD!$B$3:$B$5001,$A$369)))</f>
        <v/>
      </c>
      <c r="AG373" s="218" t="str">
        <f>IF(AG$3="","",IF(COUNTIFS(BD!$A$3:$A$5001,AG$3,BD!$B$3:$B$5001,$A$369,BD!$G$3:$G$5001,"&lt;&gt;")=0,"",SUMIFS(BD!$G$3:$G$5001,BD!$A$3:$A$5001,AG$3,BD!$B$3:$B$5001,$A$369)))</f>
        <v/>
      </c>
      <c r="AH373" s="218" t="str">
        <f>IF(AH$3="","",IF(COUNTIFS(BD!$A$3:$A$5001,AH$3,BD!$B$3:$B$5001,$A$369,BD!$G$3:$G$5001,"&lt;&gt;")=0,"",SUMIFS(BD!$G$3:$G$5001,BD!$A$3:$A$5001,AH$3,BD!$B$3:$B$5001,$A$369)))</f>
        <v/>
      </c>
      <c r="AI373" s="218" t="str">
        <f>IF(AI$3="","",IF(COUNTIFS(BD!$A$3:$A$5001,AI$3,BD!$B$3:$B$5001,$A$369,BD!$G$3:$G$5001,"&lt;&gt;")=0,"",SUMIFS(BD!$G$3:$G$5001,BD!$A$3:$A$5001,AI$3,BD!$B$3:$B$5001,$A$369)))</f>
        <v/>
      </c>
      <c r="AJ373" s="219" t="str">
        <f>IF(AJ$3="","",IF(COUNTIFS(BD!$A$3:$A$5001,AJ$3,BD!$B$3:$B$5001,$A$369,BD!$G$3:$G$5001,"&lt;&gt;")=0,"",SUMIFS(BD!$G$3:$G$5001,BD!$A$3:$A$5001,AJ$3,BD!$B$3:$B$5001,$A$369)))</f>
        <v/>
      </c>
      <c r="AK373" s="220" t="str">
        <f>IF(COUNT(F373:AJ373)=0,"",SUM(F373:AJ373))</f>
        <v/>
      </c>
    </row>
    <row r="374" ht="15.75" customHeight="1" hidden="1">
      <c r="A374" s="261"/>
      <c r="B374" s="256"/>
      <c r="C374" s="214" t="inlineStr">
        <is>
          <t xml:space="preserve">Itens Recebidos</t>
        </is>
      </c>
      <c r="D374" s="215" t="str">
        <f>IFERROR(1/(1/INDEX(BD!$AL$28:$BF$28,MATCH($A$369,BD!$AL$22:$BF$22,0))),"")</f>
        <v/>
      </c>
      <c r="E374" s="216"/>
      <c r="F374" s="217" t="str">
        <f>IF(F$3="","",IF(COUNTIFS(BD!$A$3:$A$5001,F$3,BD!$B$3:$B$5001,$A$369,BD!$H$3:$H$5001,"&lt;&gt;")=0,"",SUMIFS(BD!$H$3:$H$5001,BD!$A$3:$A$5001,F$3,BD!$B$3:$B$5001,$A$369)))</f>
        <v/>
      </c>
      <c r="G374" s="218" t="str">
        <f>IF(G$3="","",IF(COUNTIFS(BD!$A$3:$A$5001,G$3,BD!$B$3:$B$5001,$A$369,BD!$H$3:$H$5001,"&lt;&gt;")=0,"",SUMIFS(BD!$H$3:$H$5001,BD!$A$3:$A$5001,G$3,BD!$B$3:$B$5001,$A$369)))</f>
        <v/>
      </c>
      <c r="H374" s="218" t="str">
        <f>IF(H$3="","",IF(COUNTIFS(BD!$A$3:$A$5001,H$3,BD!$B$3:$B$5001,$A$369,BD!$H$3:$H$5001,"&lt;&gt;")=0,"",SUMIFS(BD!$H$3:$H$5001,BD!$A$3:$A$5001,H$3,BD!$B$3:$B$5001,$A$369)))</f>
        <v/>
      </c>
      <c r="I374" s="218" t="str">
        <f>IF(I$3="","",IF(COUNTIFS(BD!$A$3:$A$5001,I$3,BD!$B$3:$B$5001,$A$369,BD!$H$3:$H$5001,"&lt;&gt;")=0,"",SUMIFS(BD!$H$3:$H$5001,BD!$A$3:$A$5001,I$3,BD!$B$3:$B$5001,$A$369)))</f>
        <v/>
      </c>
      <c r="J374" s="218" t="str">
        <f>IF(J$3="","",IF(COUNTIFS(BD!$A$3:$A$5001,J$3,BD!$B$3:$B$5001,$A$369,BD!$H$3:$H$5001,"&lt;&gt;")=0,"",SUMIFS(BD!$H$3:$H$5001,BD!$A$3:$A$5001,J$3,BD!$B$3:$B$5001,$A$369)))</f>
        <v/>
      </c>
      <c r="K374" s="218" t="str">
        <f>IF(K$3="","",IF(COUNTIFS(BD!$A$3:$A$5001,K$3,BD!$B$3:$B$5001,$A$369,BD!$H$3:$H$5001,"&lt;&gt;")=0,"",SUMIFS(BD!$H$3:$H$5001,BD!$A$3:$A$5001,K$3,BD!$B$3:$B$5001,$A$369)))</f>
        <v/>
      </c>
      <c r="L374" s="218" t="str">
        <f>IF(L$3="","",IF(COUNTIFS(BD!$A$3:$A$5001,L$3,BD!$B$3:$B$5001,$A$369,BD!$H$3:$H$5001,"&lt;&gt;")=0,"",SUMIFS(BD!$H$3:$H$5001,BD!$A$3:$A$5001,L$3,BD!$B$3:$B$5001,$A$369)))</f>
        <v/>
      </c>
      <c r="M374" s="218" t="str">
        <f>IF(M$3="","",IF(COUNTIFS(BD!$A$3:$A$5001,M$3,BD!$B$3:$B$5001,$A$369,BD!$H$3:$H$5001,"&lt;&gt;")=0,"",SUMIFS(BD!$H$3:$H$5001,BD!$A$3:$A$5001,M$3,BD!$B$3:$B$5001,$A$369)))</f>
        <v/>
      </c>
      <c r="N374" s="218" t="str">
        <f>IF(N$3="","",IF(COUNTIFS(BD!$A$3:$A$5001,N$3,BD!$B$3:$B$5001,$A$369,BD!$H$3:$H$5001,"&lt;&gt;")=0,"",SUMIFS(BD!$H$3:$H$5001,BD!$A$3:$A$5001,N$3,BD!$B$3:$B$5001,$A$369)))</f>
        <v/>
      </c>
      <c r="O374" s="218" t="str">
        <f>IF(O$3="","",IF(COUNTIFS(BD!$A$3:$A$5001,O$3,BD!$B$3:$B$5001,$A$369,BD!$H$3:$H$5001,"&lt;&gt;")=0,"",SUMIFS(BD!$H$3:$H$5001,BD!$A$3:$A$5001,O$3,BD!$B$3:$B$5001,$A$369)))</f>
        <v/>
      </c>
      <c r="P374" s="218" t="str">
        <f>IF(P$3="","",IF(COUNTIFS(BD!$A$3:$A$5001,P$3,BD!$B$3:$B$5001,$A$369,BD!$H$3:$H$5001,"&lt;&gt;")=0,"",SUMIFS(BD!$H$3:$H$5001,BD!$A$3:$A$5001,P$3,BD!$B$3:$B$5001,$A$369)))</f>
        <v/>
      </c>
      <c r="Q374" s="218" t="str">
        <f>IF(Q$3="","",IF(COUNTIFS(BD!$A$3:$A$5001,Q$3,BD!$B$3:$B$5001,$A$369,BD!$H$3:$H$5001,"&lt;&gt;")=0,"",SUMIFS(BD!$H$3:$H$5001,BD!$A$3:$A$5001,Q$3,BD!$B$3:$B$5001,$A$369)))</f>
        <v/>
      </c>
      <c r="R374" s="218" t="str">
        <f>IF(R$3="","",IF(COUNTIFS(BD!$A$3:$A$5001,R$3,BD!$B$3:$B$5001,$A$369,BD!$H$3:$H$5001,"&lt;&gt;")=0,"",SUMIFS(BD!$H$3:$H$5001,BD!$A$3:$A$5001,R$3,BD!$B$3:$B$5001,$A$369)))</f>
        <v/>
      </c>
      <c r="S374" s="218" t="str">
        <f>IF(S$3="","",IF(COUNTIFS(BD!$A$3:$A$5001,S$3,BD!$B$3:$B$5001,$A$369,BD!$H$3:$H$5001,"&lt;&gt;")=0,"",SUMIFS(BD!$H$3:$H$5001,BD!$A$3:$A$5001,S$3,BD!$B$3:$B$5001,$A$369)))</f>
        <v/>
      </c>
      <c r="T374" s="218" t="str">
        <f>IF(T$3="","",IF(COUNTIFS(BD!$A$3:$A$5001,T$3,BD!$B$3:$B$5001,$A$369,BD!$H$3:$H$5001,"&lt;&gt;")=0,"",SUMIFS(BD!$H$3:$H$5001,BD!$A$3:$A$5001,T$3,BD!$B$3:$B$5001,$A$369)))</f>
        <v/>
      </c>
      <c r="U374" s="218" t="str">
        <f>IF(U$3="","",IF(COUNTIFS(BD!$A$3:$A$5001,U$3,BD!$B$3:$B$5001,$A$369,BD!$H$3:$H$5001,"&lt;&gt;")=0,"",SUMIFS(BD!$H$3:$H$5001,BD!$A$3:$A$5001,U$3,BD!$B$3:$B$5001,$A$369)))</f>
        <v/>
      </c>
      <c r="V374" s="218" t="str">
        <f>IF(V$3="","",IF(COUNTIFS(BD!$A$3:$A$5001,V$3,BD!$B$3:$B$5001,$A$369,BD!$H$3:$H$5001,"&lt;&gt;")=0,"",SUMIFS(BD!$H$3:$H$5001,BD!$A$3:$A$5001,V$3,BD!$B$3:$B$5001,$A$369)))</f>
        <v/>
      </c>
      <c r="W374" s="218" t="str">
        <f>IF(W$3="","",IF(COUNTIFS(BD!$A$3:$A$5001,W$3,BD!$B$3:$B$5001,$A$369,BD!$H$3:$H$5001,"&lt;&gt;")=0,"",SUMIFS(BD!$H$3:$H$5001,BD!$A$3:$A$5001,W$3,BD!$B$3:$B$5001,$A$369)))</f>
        <v/>
      </c>
      <c r="X374" s="218" t="str">
        <f>IF(X$3="","",IF(COUNTIFS(BD!$A$3:$A$5001,X$3,BD!$B$3:$B$5001,$A$369,BD!$H$3:$H$5001,"&lt;&gt;")=0,"",SUMIFS(BD!$H$3:$H$5001,BD!$A$3:$A$5001,X$3,BD!$B$3:$B$5001,$A$369)))</f>
        <v/>
      </c>
      <c r="Y374" s="218" t="str">
        <f>IF(Y$3="","",IF(COUNTIFS(BD!$A$3:$A$5001,Y$3,BD!$B$3:$B$5001,$A$369,BD!$H$3:$H$5001,"&lt;&gt;")=0,"",SUMIFS(BD!$H$3:$H$5001,BD!$A$3:$A$5001,Y$3,BD!$B$3:$B$5001,$A$369)))</f>
        <v/>
      </c>
      <c r="Z374" s="218" t="str">
        <f>IF(Z$3="","",IF(COUNTIFS(BD!$A$3:$A$5001,Z$3,BD!$B$3:$B$5001,$A$369,BD!$H$3:$H$5001,"&lt;&gt;")=0,"",SUMIFS(BD!$H$3:$H$5001,BD!$A$3:$A$5001,Z$3,BD!$B$3:$B$5001,$A$369)))</f>
        <v/>
      </c>
      <c r="AA374" s="218" t="str">
        <f>IF(AA$3="","",IF(COUNTIFS(BD!$A$3:$A$5001,AA$3,BD!$B$3:$B$5001,$A$369,BD!$H$3:$H$5001,"&lt;&gt;")=0,"",SUMIFS(BD!$H$3:$H$5001,BD!$A$3:$A$5001,AA$3,BD!$B$3:$B$5001,$A$369)))</f>
        <v/>
      </c>
      <c r="AB374" s="218" t="str">
        <f>IF(AB$3="","",IF(COUNTIFS(BD!$A$3:$A$5001,AB$3,BD!$B$3:$B$5001,$A$369,BD!$H$3:$H$5001,"&lt;&gt;")=0,"",SUMIFS(BD!$H$3:$H$5001,BD!$A$3:$A$5001,AB$3,BD!$B$3:$B$5001,$A$369)))</f>
        <v/>
      </c>
      <c r="AC374" s="218" t="str">
        <f>IF(AC$3="","",IF(COUNTIFS(BD!$A$3:$A$5001,AC$3,BD!$B$3:$B$5001,$A$369,BD!$H$3:$H$5001,"&lt;&gt;")=0,"",SUMIFS(BD!$H$3:$H$5001,BD!$A$3:$A$5001,AC$3,BD!$B$3:$B$5001,$A$369)))</f>
        <v/>
      </c>
      <c r="AD374" s="218" t="str">
        <f>IF(AD$3="","",IF(COUNTIFS(BD!$A$3:$A$5001,AD$3,BD!$B$3:$B$5001,$A$369,BD!$H$3:$H$5001,"&lt;&gt;")=0,"",SUMIFS(BD!$H$3:$H$5001,BD!$A$3:$A$5001,AD$3,BD!$B$3:$B$5001,$A$369)))</f>
        <v/>
      </c>
      <c r="AE374" s="218" t="str">
        <f>IF(AE$3="","",IF(COUNTIFS(BD!$A$3:$A$5001,AE$3,BD!$B$3:$B$5001,$A$369,BD!$H$3:$H$5001,"&lt;&gt;")=0,"",SUMIFS(BD!$H$3:$H$5001,BD!$A$3:$A$5001,AE$3,BD!$B$3:$B$5001,$A$369)))</f>
        <v/>
      </c>
      <c r="AF374" s="218" t="str">
        <f>IF(AF$3="","",IF(COUNTIFS(BD!$A$3:$A$5001,AF$3,BD!$B$3:$B$5001,$A$369,BD!$H$3:$H$5001,"&lt;&gt;")=0,"",SUMIFS(BD!$H$3:$H$5001,BD!$A$3:$A$5001,AF$3,BD!$B$3:$B$5001,$A$369)))</f>
        <v/>
      </c>
      <c r="AG374" s="218" t="str">
        <f>IF(AG$3="","",IF(COUNTIFS(BD!$A$3:$A$5001,AG$3,BD!$B$3:$B$5001,$A$369,BD!$H$3:$H$5001,"&lt;&gt;")=0,"",SUMIFS(BD!$H$3:$H$5001,BD!$A$3:$A$5001,AG$3,BD!$B$3:$B$5001,$A$369)))</f>
        <v/>
      </c>
      <c r="AH374" s="218" t="str">
        <f>IF(AH$3="","",IF(COUNTIFS(BD!$A$3:$A$5001,AH$3,BD!$B$3:$B$5001,$A$369,BD!$H$3:$H$5001,"&lt;&gt;")=0,"",SUMIFS(BD!$H$3:$H$5001,BD!$A$3:$A$5001,AH$3,BD!$B$3:$B$5001,$A$369)))</f>
        <v/>
      </c>
      <c r="AI374" s="218" t="str">
        <f>IF(AI$3="","",IF(COUNTIFS(BD!$A$3:$A$5001,AI$3,BD!$B$3:$B$5001,$A$369,BD!$H$3:$H$5001,"&lt;&gt;")=0,"",SUMIFS(BD!$H$3:$H$5001,BD!$A$3:$A$5001,AI$3,BD!$B$3:$B$5001,$A$369)))</f>
        <v/>
      </c>
      <c r="AJ374" s="219" t="str">
        <f>IF(AJ$3="","",IF(COUNTIFS(BD!$A$3:$A$5001,AJ$3,BD!$B$3:$B$5001,$A$369,BD!$H$3:$H$5001,"&lt;&gt;")=0,"",SUMIFS(BD!$H$3:$H$5001,BD!$A$3:$A$5001,AJ$3,BD!$B$3:$B$5001,$A$369)))</f>
        <v/>
      </c>
      <c r="AK374" s="220" t="str">
        <f>IF(COUNT(F374:AJ374)=0,"",SUM(F374:AJ374))</f>
        <v/>
      </c>
    </row>
    <row r="375" ht="15.75" customHeight="1" hidden="1">
      <c r="A375" s="261"/>
      <c r="B375" s="256"/>
      <c r="C375" s="214" t="inlineStr">
        <is>
          <t xml:space="preserve">Itens Recebidos CX Mista</t>
        </is>
      </c>
      <c r="D375" s="215" t="str">
        <f>IFERROR(1/(1/INDEX(BD!$AL$29:$BF$29,MATCH($A$369,BD!$AL$22:$BF$22,0))),"")</f>
        <v/>
      </c>
      <c r="E375" s="216"/>
      <c r="F375" s="217" t="str">
        <f>IF(F$3="","",IF(COUNTIFS(BD!$A$3:$A$5001,F$3,BD!$B$3:$B$5001,$A$369,BD!$I$3:$I$5001,"&lt;&gt;")=0,"",SUMIFS(BD!$I$3:$I$5001,BD!$A$3:$A$5001,F$3,BD!$B$3:$B$5001,$A$369)))</f>
        <v/>
      </c>
      <c r="G375" s="218" t="str">
        <f>IF(G$3="","",IF(COUNTIFS(BD!$A$3:$A$5001,G$3,BD!$B$3:$B$5001,$A$369,BD!$I$3:$I$5001,"&lt;&gt;")=0,"",SUMIFS(BD!$I$3:$I$5001,BD!$A$3:$A$5001,G$3,BD!$B$3:$B$5001,$A$369)))</f>
        <v/>
      </c>
      <c r="H375" s="218" t="str">
        <f>IF(H$3="","",IF(COUNTIFS(BD!$A$3:$A$5001,H$3,BD!$B$3:$B$5001,$A$369,BD!$I$3:$I$5001,"&lt;&gt;")=0,"",SUMIFS(BD!$I$3:$I$5001,BD!$A$3:$A$5001,H$3,BD!$B$3:$B$5001,$A$369)))</f>
        <v/>
      </c>
      <c r="I375" s="218" t="str">
        <f>IF(I$3="","",IF(COUNTIFS(BD!$A$3:$A$5001,I$3,BD!$B$3:$B$5001,$A$369,BD!$I$3:$I$5001,"&lt;&gt;")=0,"",SUMIFS(BD!$I$3:$I$5001,BD!$A$3:$A$5001,I$3,BD!$B$3:$B$5001,$A$369)))</f>
        <v/>
      </c>
      <c r="J375" s="218" t="str">
        <f>IF(J$3="","",IF(COUNTIFS(BD!$A$3:$A$5001,J$3,BD!$B$3:$B$5001,$A$369,BD!$I$3:$I$5001,"&lt;&gt;")=0,"",SUMIFS(BD!$I$3:$I$5001,BD!$A$3:$A$5001,J$3,BD!$B$3:$B$5001,$A$369)))</f>
        <v/>
      </c>
      <c r="K375" s="218" t="str">
        <f>IF(K$3="","",IF(COUNTIFS(BD!$A$3:$A$5001,K$3,BD!$B$3:$B$5001,$A$369,BD!$I$3:$I$5001,"&lt;&gt;")=0,"",SUMIFS(BD!$I$3:$I$5001,BD!$A$3:$A$5001,K$3,BD!$B$3:$B$5001,$A$369)))</f>
        <v/>
      </c>
      <c r="L375" s="218" t="str">
        <f>IF(L$3="","",IF(COUNTIFS(BD!$A$3:$A$5001,L$3,BD!$B$3:$B$5001,$A$369,BD!$I$3:$I$5001,"&lt;&gt;")=0,"",SUMIFS(BD!$I$3:$I$5001,BD!$A$3:$A$5001,L$3,BD!$B$3:$B$5001,$A$369)))</f>
        <v/>
      </c>
      <c r="M375" s="218" t="str">
        <f>IF(M$3="","",IF(COUNTIFS(BD!$A$3:$A$5001,M$3,BD!$B$3:$B$5001,$A$369,BD!$I$3:$I$5001,"&lt;&gt;")=0,"",SUMIFS(BD!$I$3:$I$5001,BD!$A$3:$A$5001,M$3,BD!$B$3:$B$5001,$A$369)))</f>
        <v/>
      </c>
      <c r="N375" s="218" t="str">
        <f>IF(N$3="","",IF(COUNTIFS(BD!$A$3:$A$5001,N$3,BD!$B$3:$B$5001,$A$369,BD!$I$3:$I$5001,"&lt;&gt;")=0,"",SUMIFS(BD!$I$3:$I$5001,BD!$A$3:$A$5001,N$3,BD!$B$3:$B$5001,$A$369)))</f>
        <v/>
      </c>
      <c r="O375" s="218" t="str">
        <f>IF(O$3="","",IF(COUNTIFS(BD!$A$3:$A$5001,O$3,BD!$B$3:$B$5001,$A$369,BD!$I$3:$I$5001,"&lt;&gt;")=0,"",SUMIFS(BD!$I$3:$I$5001,BD!$A$3:$A$5001,O$3,BD!$B$3:$B$5001,$A$369)))</f>
        <v/>
      </c>
      <c r="P375" s="218" t="str">
        <f>IF(P$3="","",IF(COUNTIFS(BD!$A$3:$A$5001,P$3,BD!$B$3:$B$5001,$A$369,BD!$I$3:$I$5001,"&lt;&gt;")=0,"",SUMIFS(BD!$I$3:$I$5001,BD!$A$3:$A$5001,P$3,BD!$B$3:$B$5001,$A$369)))</f>
        <v/>
      </c>
      <c r="Q375" s="218" t="str">
        <f>IF(Q$3="","",IF(COUNTIFS(BD!$A$3:$A$5001,Q$3,BD!$B$3:$B$5001,$A$369,BD!$I$3:$I$5001,"&lt;&gt;")=0,"",SUMIFS(BD!$I$3:$I$5001,BD!$A$3:$A$5001,Q$3,BD!$B$3:$B$5001,$A$369)))</f>
        <v/>
      </c>
      <c r="R375" s="218" t="str">
        <f>IF(R$3="","",IF(COUNTIFS(BD!$A$3:$A$5001,R$3,BD!$B$3:$B$5001,$A$369,BD!$I$3:$I$5001,"&lt;&gt;")=0,"",SUMIFS(BD!$I$3:$I$5001,BD!$A$3:$A$5001,R$3,BD!$B$3:$B$5001,$A$369)))</f>
        <v/>
      </c>
      <c r="S375" s="218" t="str">
        <f>IF(S$3="","",IF(COUNTIFS(BD!$A$3:$A$5001,S$3,BD!$B$3:$B$5001,$A$369,BD!$I$3:$I$5001,"&lt;&gt;")=0,"",SUMIFS(BD!$I$3:$I$5001,BD!$A$3:$A$5001,S$3,BD!$B$3:$B$5001,$A$369)))</f>
        <v/>
      </c>
      <c r="T375" s="218" t="str">
        <f>IF(T$3="","",IF(COUNTIFS(BD!$A$3:$A$5001,T$3,BD!$B$3:$B$5001,$A$369,BD!$I$3:$I$5001,"&lt;&gt;")=0,"",SUMIFS(BD!$I$3:$I$5001,BD!$A$3:$A$5001,T$3,BD!$B$3:$B$5001,$A$369)))</f>
        <v/>
      </c>
      <c r="U375" s="218" t="str">
        <f>IF(U$3="","",IF(COUNTIFS(BD!$A$3:$A$5001,U$3,BD!$B$3:$B$5001,$A$369,BD!$I$3:$I$5001,"&lt;&gt;")=0,"",SUMIFS(BD!$I$3:$I$5001,BD!$A$3:$A$5001,U$3,BD!$B$3:$B$5001,$A$369)))</f>
        <v/>
      </c>
      <c r="V375" s="218" t="str">
        <f>IF(V$3="","",IF(COUNTIFS(BD!$A$3:$A$5001,V$3,BD!$B$3:$B$5001,$A$369,BD!$I$3:$I$5001,"&lt;&gt;")=0,"",SUMIFS(BD!$I$3:$I$5001,BD!$A$3:$A$5001,V$3,BD!$B$3:$B$5001,$A$369)))</f>
        <v/>
      </c>
      <c r="W375" s="218" t="str">
        <f>IF(W$3="","",IF(COUNTIFS(BD!$A$3:$A$5001,W$3,BD!$B$3:$B$5001,$A$369,BD!$I$3:$I$5001,"&lt;&gt;")=0,"",SUMIFS(BD!$I$3:$I$5001,BD!$A$3:$A$5001,W$3,BD!$B$3:$B$5001,$A$369)))</f>
        <v/>
      </c>
      <c r="X375" s="218" t="str">
        <f>IF(X$3="","",IF(COUNTIFS(BD!$A$3:$A$5001,X$3,BD!$B$3:$B$5001,$A$369,BD!$I$3:$I$5001,"&lt;&gt;")=0,"",SUMIFS(BD!$I$3:$I$5001,BD!$A$3:$A$5001,X$3,BD!$B$3:$B$5001,$A$369)))</f>
        <v/>
      </c>
      <c r="Y375" s="218" t="str">
        <f>IF(Y$3="","",IF(COUNTIFS(BD!$A$3:$A$5001,Y$3,BD!$B$3:$B$5001,$A$369,BD!$I$3:$I$5001,"&lt;&gt;")=0,"",SUMIFS(BD!$I$3:$I$5001,BD!$A$3:$A$5001,Y$3,BD!$B$3:$B$5001,$A$369)))</f>
        <v/>
      </c>
      <c r="Z375" s="218" t="str">
        <f>IF(Z$3="","",IF(COUNTIFS(BD!$A$3:$A$5001,Z$3,BD!$B$3:$B$5001,$A$369,BD!$I$3:$I$5001,"&lt;&gt;")=0,"",SUMIFS(BD!$I$3:$I$5001,BD!$A$3:$A$5001,Z$3,BD!$B$3:$B$5001,$A$369)))</f>
        <v/>
      </c>
      <c r="AA375" s="218" t="str">
        <f>IF(AA$3="","",IF(COUNTIFS(BD!$A$3:$A$5001,AA$3,BD!$B$3:$B$5001,$A$369,BD!$I$3:$I$5001,"&lt;&gt;")=0,"",SUMIFS(BD!$I$3:$I$5001,BD!$A$3:$A$5001,AA$3,BD!$B$3:$B$5001,$A$369)))</f>
        <v/>
      </c>
      <c r="AB375" s="218" t="str">
        <f>IF(AB$3="","",IF(COUNTIFS(BD!$A$3:$A$5001,AB$3,BD!$B$3:$B$5001,$A$369,BD!$I$3:$I$5001,"&lt;&gt;")=0,"",SUMIFS(BD!$I$3:$I$5001,BD!$A$3:$A$5001,AB$3,BD!$B$3:$B$5001,$A$369)))</f>
        <v/>
      </c>
      <c r="AC375" s="218" t="str">
        <f>IF(AC$3="","",IF(COUNTIFS(BD!$A$3:$A$5001,AC$3,BD!$B$3:$B$5001,$A$369,BD!$I$3:$I$5001,"&lt;&gt;")=0,"",SUMIFS(BD!$I$3:$I$5001,BD!$A$3:$A$5001,AC$3,BD!$B$3:$B$5001,$A$369)))</f>
        <v/>
      </c>
      <c r="AD375" s="218" t="str">
        <f>IF(AD$3="","",IF(COUNTIFS(BD!$A$3:$A$5001,AD$3,BD!$B$3:$B$5001,$A$369,BD!$I$3:$I$5001,"&lt;&gt;")=0,"",SUMIFS(BD!$I$3:$I$5001,BD!$A$3:$A$5001,AD$3,BD!$B$3:$B$5001,$A$369)))</f>
        <v/>
      </c>
      <c r="AE375" s="218" t="str">
        <f>IF(AE$3="","",IF(COUNTIFS(BD!$A$3:$A$5001,AE$3,BD!$B$3:$B$5001,$A$369,BD!$I$3:$I$5001,"&lt;&gt;")=0,"",SUMIFS(BD!$I$3:$I$5001,BD!$A$3:$A$5001,AE$3,BD!$B$3:$B$5001,$A$369)))</f>
        <v/>
      </c>
      <c r="AF375" s="218" t="str">
        <f>IF(AF$3="","",IF(COUNTIFS(BD!$A$3:$A$5001,AF$3,BD!$B$3:$B$5001,$A$369,BD!$I$3:$I$5001,"&lt;&gt;")=0,"",SUMIFS(BD!$I$3:$I$5001,BD!$A$3:$A$5001,AF$3,BD!$B$3:$B$5001,$A$369)))</f>
        <v/>
      </c>
      <c r="AG375" s="218" t="str">
        <f>IF(AG$3="","",IF(COUNTIFS(BD!$A$3:$A$5001,AG$3,BD!$B$3:$B$5001,$A$369,BD!$I$3:$I$5001,"&lt;&gt;")=0,"",SUMIFS(BD!$I$3:$I$5001,BD!$A$3:$A$5001,AG$3,BD!$B$3:$B$5001,$A$369)))</f>
        <v/>
      </c>
      <c r="AH375" s="218" t="str">
        <f>IF(AH$3="","",IF(COUNTIFS(BD!$A$3:$A$5001,AH$3,BD!$B$3:$B$5001,$A$369,BD!$I$3:$I$5001,"&lt;&gt;")=0,"",SUMIFS(BD!$I$3:$I$5001,BD!$A$3:$A$5001,AH$3,BD!$B$3:$B$5001,$A$369)))</f>
        <v/>
      </c>
      <c r="AI375" s="218" t="str">
        <f>IF(AI$3="","",IF(COUNTIFS(BD!$A$3:$A$5001,AI$3,BD!$B$3:$B$5001,$A$369,BD!$I$3:$I$5001,"&lt;&gt;")=0,"",SUMIFS(BD!$I$3:$I$5001,BD!$A$3:$A$5001,AI$3,BD!$B$3:$B$5001,$A$369)))</f>
        <v/>
      </c>
      <c r="AJ375" s="219" t="str">
        <f>IF(AJ$3="","",IF(COUNTIFS(BD!$A$3:$A$5001,AJ$3,BD!$B$3:$B$5001,$A$369,BD!$I$3:$I$5001,"&lt;&gt;")=0,"",SUMIFS(BD!$I$3:$I$5001,BD!$A$3:$A$5001,AJ$3,BD!$B$3:$B$5001,$A$369)))</f>
        <v/>
      </c>
      <c r="AK375" s="220" t="str">
        <f>IF(COUNT(F375:AJ375)=0,"",SUM(F375:AJ375))</f>
        <v/>
      </c>
    </row>
    <row r="376" ht="15.75" customHeight="1" hidden="1">
      <c r="A376" s="261"/>
      <c r="B376" s="256"/>
      <c r="C376" s="214" t="inlineStr">
        <is>
          <t xml:space="preserve">Caixas Fechadas</t>
        </is>
      </c>
      <c r="D376" s="215" t="str">
        <f>IFERROR(1/(1/INDEX(BD!$AL$30:$BF$30,MATCH($A$369,BD!$AL$22:$BF$22,0))),"")</f>
        <v/>
      </c>
      <c r="E376" s="216"/>
      <c r="F376" s="217" t="str">
        <f>IF(F$3="","",IF(COUNTIFS(BD!$A$3:$A$5001,F$3,BD!$B$3:$B$5001,$A$369,BD!$J$3:$J$5001,"&lt;&gt;")=0,"",SUMIFS(BD!$J$3:$J$5001,BD!$A$3:$A$5001,F$3,BD!$B$3:$B$5001,$A$369)))</f>
        <v/>
      </c>
      <c r="G376" s="218" t="str">
        <f>IF(G$3="","",IF(COUNTIFS(BD!$A$3:$A$5001,G$3,BD!$B$3:$B$5001,$A$369,BD!$J$3:$J$5001,"&lt;&gt;")=0,"",SUMIFS(BD!$J$3:$J$5001,BD!$A$3:$A$5001,G$3,BD!$B$3:$B$5001,$A$369)))</f>
        <v/>
      </c>
      <c r="H376" s="218" t="str">
        <f>IF(H$3="","",IF(COUNTIFS(BD!$A$3:$A$5001,H$3,BD!$B$3:$B$5001,$A$369,BD!$J$3:$J$5001,"&lt;&gt;")=0,"",SUMIFS(BD!$J$3:$J$5001,BD!$A$3:$A$5001,H$3,BD!$B$3:$B$5001,$A$369)))</f>
        <v/>
      </c>
      <c r="I376" s="218" t="str">
        <f>IF(I$3="","",IF(COUNTIFS(BD!$A$3:$A$5001,I$3,BD!$B$3:$B$5001,$A$369,BD!$J$3:$J$5001,"&lt;&gt;")=0,"",SUMIFS(BD!$J$3:$J$5001,BD!$A$3:$A$5001,I$3,BD!$B$3:$B$5001,$A$369)))</f>
        <v/>
      </c>
      <c r="J376" s="218" t="str">
        <f>IF(J$3="","",IF(COUNTIFS(BD!$A$3:$A$5001,J$3,BD!$B$3:$B$5001,$A$369,BD!$J$3:$J$5001,"&lt;&gt;")=0,"",SUMIFS(BD!$J$3:$J$5001,BD!$A$3:$A$5001,J$3,BD!$B$3:$B$5001,$A$369)))</f>
        <v/>
      </c>
      <c r="K376" s="218" t="str">
        <f>IF(K$3="","",IF(COUNTIFS(BD!$A$3:$A$5001,K$3,BD!$B$3:$B$5001,$A$369,BD!$J$3:$J$5001,"&lt;&gt;")=0,"",SUMIFS(BD!$J$3:$J$5001,BD!$A$3:$A$5001,K$3,BD!$B$3:$B$5001,$A$369)))</f>
        <v/>
      </c>
      <c r="L376" s="218" t="str">
        <f>IF(L$3="","",IF(COUNTIFS(BD!$A$3:$A$5001,L$3,BD!$B$3:$B$5001,$A$369,BD!$J$3:$J$5001,"&lt;&gt;")=0,"",SUMIFS(BD!$J$3:$J$5001,BD!$A$3:$A$5001,L$3,BD!$B$3:$B$5001,$A$369)))</f>
        <v/>
      </c>
      <c r="M376" s="218" t="str">
        <f>IF(M$3="","",IF(COUNTIFS(BD!$A$3:$A$5001,M$3,BD!$B$3:$B$5001,$A$369,BD!$J$3:$J$5001,"&lt;&gt;")=0,"",SUMIFS(BD!$J$3:$J$5001,BD!$A$3:$A$5001,M$3,BD!$B$3:$B$5001,$A$369)))</f>
        <v/>
      </c>
      <c r="N376" s="218" t="str">
        <f>IF(N$3="","",IF(COUNTIFS(BD!$A$3:$A$5001,N$3,BD!$B$3:$B$5001,$A$369,BD!$J$3:$J$5001,"&lt;&gt;")=0,"",SUMIFS(BD!$J$3:$J$5001,BD!$A$3:$A$5001,N$3,BD!$B$3:$B$5001,$A$369)))</f>
        <v/>
      </c>
      <c r="O376" s="218" t="str">
        <f>IF(O$3="","",IF(COUNTIFS(BD!$A$3:$A$5001,O$3,BD!$B$3:$B$5001,$A$369,BD!$J$3:$J$5001,"&lt;&gt;")=0,"",SUMIFS(BD!$J$3:$J$5001,BD!$A$3:$A$5001,O$3,BD!$B$3:$B$5001,$A$369)))</f>
        <v/>
      </c>
      <c r="P376" s="218" t="str">
        <f>IF(P$3="","",IF(COUNTIFS(BD!$A$3:$A$5001,P$3,BD!$B$3:$B$5001,$A$369,BD!$J$3:$J$5001,"&lt;&gt;")=0,"",SUMIFS(BD!$J$3:$J$5001,BD!$A$3:$A$5001,P$3,BD!$B$3:$B$5001,$A$369)))</f>
        <v/>
      </c>
      <c r="Q376" s="218" t="str">
        <f>IF(Q$3="","",IF(COUNTIFS(BD!$A$3:$A$5001,Q$3,BD!$B$3:$B$5001,$A$369,BD!$J$3:$J$5001,"&lt;&gt;")=0,"",SUMIFS(BD!$J$3:$J$5001,BD!$A$3:$A$5001,Q$3,BD!$B$3:$B$5001,$A$369)))</f>
        <v/>
      </c>
      <c r="R376" s="218" t="str">
        <f>IF(R$3="","",IF(COUNTIFS(BD!$A$3:$A$5001,R$3,BD!$B$3:$B$5001,$A$369,BD!$J$3:$J$5001,"&lt;&gt;")=0,"",SUMIFS(BD!$J$3:$J$5001,BD!$A$3:$A$5001,R$3,BD!$B$3:$B$5001,$A$369)))</f>
        <v/>
      </c>
      <c r="S376" s="218" t="str">
        <f>IF(S$3="","",IF(COUNTIFS(BD!$A$3:$A$5001,S$3,BD!$B$3:$B$5001,$A$369,BD!$J$3:$J$5001,"&lt;&gt;")=0,"",SUMIFS(BD!$J$3:$J$5001,BD!$A$3:$A$5001,S$3,BD!$B$3:$B$5001,$A$369)))</f>
        <v/>
      </c>
      <c r="T376" s="218" t="str">
        <f>IF(T$3="","",IF(COUNTIFS(BD!$A$3:$A$5001,T$3,BD!$B$3:$B$5001,$A$369,BD!$J$3:$J$5001,"&lt;&gt;")=0,"",SUMIFS(BD!$J$3:$J$5001,BD!$A$3:$A$5001,T$3,BD!$B$3:$B$5001,$A$369)))</f>
        <v/>
      </c>
      <c r="U376" s="218" t="str">
        <f>IF(U$3="","",IF(COUNTIFS(BD!$A$3:$A$5001,U$3,BD!$B$3:$B$5001,$A$369,BD!$J$3:$J$5001,"&lt;&gt;")=0,"",SUMIFS(BD!$J$3:$J$5001,BD!$A$3:$A$5001,U$3,BD!$B$3:$B$5001,$A$369)))</f>
        <v/>
      </c>
      <c r="V376" s="218" t="str">
        <f>IF(V$3="","",IF(COUNTIFS(BD!$A$3:$A$5001,V$3,BD!$B$3:$B$5001,$A$369,BD!$J$3:$J$5001,"&lt;&gt;")=0,"",SUMIFS(BD!$J$3:$J$5001,BD!$A$3:$A$5001,V$3,BD!$B$3:$B$5001,$A$369)))</f>
        <v/>
      </c>
      <c r="W376" s="218" t="str">
        <f>IF(W$3="","",IF(COUNTIFS(BD!$A$3:$A$5001,W$3,BD!$B$3:$B$5001,$A$369,BD!$J$3:$J$5001,"&lt;&gt;")=0,"",SUMIFS(BD!$J$3:$J$5001,BD!$A$3:$A$5001,W$3,BD!$B$3:$B$5001,$A$369)))</f>
        <v/>
      </c>
      <c r="X376" s="218" t="str">
        <f>IF(X$3="","",IF(COUNTIFS(BD!$A$3:$A$5001,X$3,BD!$B$3:$B$5001,$A$369,BD!$J$3:$J$5001,"&lt;&gt;")=0,"",SUMIFS(BD!$J$3:$J$5001,BD!$A$3:$A$5001,X$3,BD!$B$3:$B$5001,$A$369)))</f>
        <v/>
      </c>
      <c r="Y376" s="218" t="str">
        <f>IF(Y$3="","",IF(COUNTIFS(BD!$A$3:$A$5001,Y$3,BD!$B$3:$B$5001,$A$369,BD!$J$3:$J$5001,"&lt;&gt;")=0,"",SUMIFS(BD!$J$3:$J$5001,BD!$A$3:$A$5001,Y$3,BD!$B$3:$B$5001,$A$369)))</f>
        <v/>
      </c>
      <c r="Z376" s="218" t="str">
        <f>IF(Z$3="","",IF(COUNTIFS(BD!$A$3:$A$5001,Z$3,BD!$B$3:$B$5001,$A$369,BD!$J$3:$J$5001,"&lt;&gt;")=0,"",SUMIFS(BD!$J$3:$J$5001,BD!$A$3:$A$5001,Z$3,BD!$B$3:$B$5001,$A$369)))</f>
        <v/>
      </c>
      <c r="AA376" s="218" t="str">
        <f>IF(AA$3="","",IF(COUNTIFS(BD!$A$3:$A$5001,AA$3,BD!$B$3:$B$5001,$A$369,BD!$J$3:$J$5001,"&lt;&gt;")=0,"",SUMIFS(BD!$J$3:$J$5001,BD!$A$3:$A$5001,AA$3,BD!$B$3:$B$5001,$A$369)))</f>
        <v/>
      </c>
      <c r="AB376" s="218" t="str">
        <f>IF(AB$3="","",IF(COUNTIFS(BD!$A$3:$A$5001,AB$3,BD!$B$3:$B$5001,$A$369,BD!$J$3:$J$5001,"&lt;&gt;")=0,"",SUMIFS(BD!$J$3:$J$5001,BD!$A$3:$A$5001,AB$3,BD!$B$3:$B$5001,$A$369)))</f>
        <v/>
      </c>
      <c r="AC376" s="218" t="str">
        <f>IF(AC$3="","",IF(COUNTIFS(BD!$A$3:$A$5001,AC$3,BD!$B$3:$B$5001,$A$369,BD!$J$3:$J$5001,"&lt;&gt;")=0,"",SUMIFS(BD!$J$3:$J$5001,BD!$A$3:$A$5001,AC$3,BD!$B$3:$B$5001,$A$369)))</f>
        <v/>
      </c>
      <c r="AD376" s="218" t="str">
        <f>IF(AD$3="","",IF(COUNTIFS(BD!$A$3:$A$5001,AD$3,BD!$B$3:$B$5001,$A$369,BD!$J$3:$J$5001,"&lt;&gt;")=0,"",SUMIFS(BD!$J$3:$J$5001,BD!$A$3:$A$5001,AD$3,BD!$B$3:$B$5001,$A$369)))</f>
        <v/>
      </c>
      <c r="AE376" s="218" t="str">
        <f>IF(AE$3="","",IF(COUNTIFS(BD!$A$3:$A$5001,AE$3,BD!$B$3:$B$5001,$A$369,BD!$J$3:$J$5001,"&lt;&gt;")=0,"",SUMIFS(BD!$J$3:$J$5001,BD!$A$3:$A$5001,AE$3,BD!$B$3:$B$5001,$A$369)))</f>
        <v/>
      </c>
      <c r="AF376" s="218" t="str">
        <f>IF(AF$3="","",IF(COUNTIFS(BD!$A$3:$A$5001,AF$3,BD!$B$3:$B$5001,$A$369,BD!$J$3:$J$5001,"&lt;&gt;")=0,"",SUMIFS(BD!$J$3:$J$5001,BD!$A$3:$A$5001,AF$3,BD!$B$3:$B$5001,$A$369)))</f>
        <v/>
      </c>
      <c r="AG376" s="218" t="str">
        <f>IF(AG$3="","",IF(COUNTIFS(BD!$A$3:$A$5001,AG$3,BD!$B$3:$B$5001,$A$369,BD!$J$3:$J$5001,"&lt;&gt;")=0,"",SUMIFS(BD!$J$3:$J$5001,BD!$A$3:$A$5001,AG$3,BD!$B$3:$B$5001,$A$369)))</f>
        <v/>
      </c>
      <c r="AH376" s="218" t="str">
        <f>IF(AH$3="","",IF(COUNTIFS(BD!$A$3:$A$5001,AH$3,BD!$B$3:$B$5001,$A$369,BD!$J$3:$J$5001,"&lt;&gt;")=0,"",SUMIFS(BD!$J$3:$J$5001,BD!$A$3:$A$5001,AH$3,BD!$B$3:$B$5001,$A$369)))</f>
        <v/>
      </c>
      <c r="AI376" s="218" t="str">
        <f>IF(AI$3="","",IF(COUNTIFS(BD!$A$3:$A$5001,AI$3,BD!$B$3:$B$5001,$A$369,BD!$J$3:$J$5001,"&lt;&gt;")=0,"",SUMIFS(BD!$J$3:$J$5001,BD!$A$3:$A$5001,AI$3,BD!$B$3:$B$5001,$A$369)))</f>
        <v/>
      </c>
      <c r="AJ376" s="219" t="str">
        <f>IF(AJ$3="","",IF(COUNTIFS(BD!$A$3:$A$5001,AJ$3,BD!$B$3:$B$5001,$A$369,BD!$J$3:$J$5001,"&lt;&gt;")=0,"",SUMIFS(BD!$J$3:$J$5001,BD!$A$3:$A$5001,AJ$3,BD!$B$3:$B$5001,$A$369)))</f>
        <v/>
      </c>
      <c r="AK376" s="220" t="str">
        <f>IF(COUNT(F376:AJ376)=0,"",SUM(F376:AJ376))</f>
        <v/>
      </c>
    </row>
    <row r="377" ht="15.75" customHeight="1" hidden="1">
      <c r="A377" s="261"/>
      <c r="B377" s="250"/>
      <c r="C377" s="175" t="inlineStr">
        <is>
          <t xml:space="preserve">Caixas Mistas Recebidas</t>
        </is>
      </c>
      <c r="D377" s="176" t="str">
        <f>IFERROR(1/(1/INDEX(BD!$AL$31:$BF$31,MATCH($A$369,BD!$AL$22:$BF$22,0))),"")</f>
        <v/>
      </c>
      <c r="E377" s="177"/>
      <c r="F377" s="178" t="str">
        <f>IF(F$3="","",IF(COUNTIFS(BD!$A$3:$A$5001,F$3,BD!$B$3:$B$5001,$A$369,BD!$K$3:$K$5001,"&lt;&gt;")=0,"",SUMIFS(BD!$K$3:$K$5001,BD!$A$3:$A$5001,F$3,BD!$B$3:$B$5001,$A$369)))</f>
        <v/>
      </c>
      <c r="G377" s="179" t="str">
        <f>IF(G$3="","",IF(COUNTIFS(BD!$A$3:$A$5001,G$3,BD!$B$3:$B$5001,$A$369,BD!$K$3:$K$5001,"&lt;&gt;")=0,"",SUMIFS(BD!$K$3:$K$5001,BD!$A$3:$A$5001,G$3,BD!$B$3:$B$5001,$A$369)))</f>
        <v/>
      </c>
      <c r="H377" s="179" t="str">
        <f>IF(H$3="","",IF(COUNTIFS(BD!$A$3:$A$5001,H$3,BD!$B$3:$B$5001,$A$369,BD!$K$3:$K$5001,"&lt;&gt;")=0,"",SUMIFS(BD!$K$3:$K$5001,BD!$A$3:$A$5001,H$3,BD!$B$3:$B$5001,$A$369)))</f>
        <v/>
      </c>
      <c r="I377" s="179" t="str">
        <f>IF(I$3="","",IF(COUNTIFS(BD!$A$3:$A$5001,I$3,BD!$B$3:$B$5001,$A$369,BD!$K$3:$K$5001,"&lt;&gt;")=0,"",SUMIFS(BD!$K$3:$K$5001,BD!$A$3:$A$5001,I$3,BD!$B$3:$B$5001,$A$369)))</f>
        <v/>
      </c>
      <c r="J377" s="179" t="str">
        <f>IF(J$3="","",IF(COUNTIFS(BD!$A$3:$A$5001,J$3,BD!$B$3:$B$5001,$A$369,BD!$K$3:$K$5001,"&lt;&gt;")=0,"",SUMIFS(BD!$K$3:$K$5001,BD!$A$3:$A$5001,J$3,BD!$B$3:$B$5001,$A$369)))</f>
        <v/>
      </c>
      <c r="K377" s="179" t="str">
        <f>IF(K$3="","",IF(COUNTIFS(BD!$A$3:$A$5001,K$3,BD!$B$3:$B$5001,$A$369,BD!$K$3:$K$5001,"&lt;&gt;")=0,"",SUMIFS(BD!$K$3:$K$5001,BD!$A$3:$A$5001,K$3,BD!$B$3:$B$5001,$A$369)))</f>
        <v/>
      </c>
      <c r="L377" s="179" t="str">
        <f>IF(L$3="","",IF(COUNTIFS(BD!$A$3:$A$5001,L$3,BD!$B$3:$B$5001,$A$369,BD!$K$3:$K$5001,"&lt;&gt;")=0,"",SUMIFS(BD!$K$3:$K$5001,BD!$A$3:$A$5001,L$3,BD!$B$3:$B$5001,$A$369)))</f>
        <v/>
      </c>
      <c r="M377" s="179" t="str">
        <f>IF(M$3="","",IF(COUNTIFS(BD!$A$3:$A$5001,M$3,BD!$B$3:$B$5001,$A$369,BD!$K$3:$K$5001,"&lt;&gt;")=0,"",SUMIFS(BD!$K$3:$K$5001,BD!$A$3:$A$5001,M$3,BD!$B$3:$B$5001,$A$369)))</f>
        <v/>
      </c>
      <c r="N377" s="179" t="str">
        <f>IF(N$3="","",IF(COUNTIFS(BD!$A$3:$A$5001,N$3,BD!$B$3:$B$5001,$A$369,BD!$K$3:$K$5001,"&lt;&gt;")=0,"",SUMIFS(BD!$K$3:$K$5001,BD!$A$3:$A$5001,N$3,BD!$B$3:$B$5001,$A$369)))</f>
        <v/>
      </c>
      <c r="O377" s="179" t="str">
        <f>IF(O$3="","",IF(COUNTIFS(BD!$A$3:$A$5001,O$3,BD!$B$3:$B$5001,$A$369,BD!$K$3:$K$5001,"&lt;&gt;")=0,"",SUMIFS(BD!$K$3:$K$5001,BD!$A$3:$A$5001,O$3,BD!$B$3:$B$5001,$A$369)))</f>
        <v/>
      </c>
      <c r="P377" s="179" t="str">
        <f>IF(P$3="","",IF(COUNTIFS(BD!$A$3:$A$5001,P$3,BD!$B$3:$B$5001,$A$369,BD!$K$3:$K$5001,"&lt;&gt;")=0,"",SUMIFS(BD!$K$3:$K$5001,BD!$A$3:$A$5001,P$3,BD!$B$3:$B$5001,$A$369)))</f>
        <v/>
      </c>
      <c r="Q377" s="179" t="str">
        <f>IF(Q$3="","",IF(COUNTIFS(BD!$A$3:$A$5001,Q$3,BD!$B$3:$B$5001,$A$369,BD!$K$3:$K$5001,"&lt;&gt;")=0,"",SUMIFS(BD!$K$3:$K$5001,BD!$A$3:$A$5001,Q$3,BD!$B$3:$B$5001,$A$369)))</f>
        <v/>
      </c>
      <c r="R377" s="179" t="str">
        <f>IF(R$3="","",IF(COUNTIFS(BD!$A$3:$A$5001,R$3,BD!$B$3:$B$5001,$A$369,BD!$K$3:$K$5001,"&lt;&gt;")=0,"",SUMIFS(BD!$K$3:$K$5001,BD!$A$3:$A$5001,R$3,BD!$B$3:$B$5001,$A$369)))</f>
        <v/>
      </c>
      <c r="S377" s="179" t="str">
        <f>IF(S$3="","",IF(COUNTIFS(BD!$A$3:$A$5001,S$3,BD!$B$3:$B$5001,$A$369,BD!$K$3:$K$5001,"&lt;&gt;")=0,"",SUMIFS(BD!$K$3:$K$5001,BD!$A$3:$A$5001,S$3,BD!$B$3:$B$5001,$A$369)))</f>
        <v/>
      </c>
      <c r="T377" s="179" t="str">
        <f>IF(T$3="","",IF(COUNTIFS(BD!$A$3:$A$5001,T$3,BD!$B$3:$B$5001,$A$369,BD!$K$3:$K$5001,"&lt;&gt;")=0,"",SUMIFS(BD!$K$3:$K$5001,BD!$A$3:$A$5001,T$3,BD!$B$3:$B$5001,$A$369)))</f>
        <v/>
      </c>
      <c r="U377" s="179" t="str">
        <f>IF(U$3="","",IF(COUNTIFS(BD!$A$3:$A$5001,U$3,BD!$B$3:$B$5001,$A$369,BD!$K$3:$K$5001,"&lt;&gt;")=0,"",SUMIFS(BD!$K$3:$K$5001,BD!$A$3:$A$5001,U$3,BD!$B$3:$B$5001,$A$369)))</f>
        <v/>
      </c>
      <c r="V377" s="179" t="str">
        <f>IF(V$3="","",IF(COUNTIFS(BD!$A$3:$A$5001,V$3,BD!$B$3:$B$5001,$A$369,BD!$K$3:$K$5001,"&lt;&gt;")=0,"",SUMIFS(BD!$K$3:$K$5001,BD!$A$3:$A$5001,V$3,BD!$B$3:$B$5001,$A$369)))</f>
        <v/>
      </c>
      <c r="W377" s="179" t="str">
        <f>IF(W$3="","",IF(COUNTIFS(BD!$A$3:$A$5001,W$3,BD!$B$3:$B$5001,$A$369,BD!$K$3:$K$5001,"&lt;&gt;")=0,"",SUMIFS(BD!$K$3:$K$5001,BD!$A$3:$A$5001,W$3,BD!$B$3:$B$5001,$A$369)))</f>
        <v/>
      </c>
      <c r="X377" s="179" t="str">
        <f>IF(X$3="","",IF(COUNTIFS(BD!$A$3:$A$5001,X$3,BD!$B$3:$B$5001,$A$369,BD!$K$3:$K$5001,"&lt;&gt;")=0,"",SUMIFS(BD!$K$3:$K$5001,BD!$A$3:$A$5001,X$3,BD!$B$3:$B$5001,$A$369)))</f>
        <v/>
      </c>
      <c r="Y377" s="179" t="str">
        <f>IF(Y$3="","",IF(COUNTIFS(BD!$A$3:$A$5001,Y$3,BD!$B$3:$B$5001,$A$369,BD!$K$3:$K$5001,"&lt;&gt;")=0,"",SUMIFS(BD!$K$3:$K$5001,BD!$A$3:$A$5001,Y$3,BD!$B$3:$B$5001,$A$369)))</f>
        <v/>
      </c>
      <c r="Z377" s="179" t="str">
        <f>IF(Z$3="","",IF(COUNTIFS(BD!$A$3:$A$5001,Z$3,BD!$B$3:$B$5001,$A$369,BD!$K$3:$K$5001,"&lt;&gt;")=0,"",SUMIFS(BD!$K$3:$K$5001,BD!$A$3:$A$5001,Z$3,BD!$B$3:$B$5001,$A$369)))</f>
        <v/>
      </c>
      <c r="AA377" s="179" t="str">
        <f>IF(AA$3="","",IF(COUNTIFS(BD!$A$3:$A$5001,AA$3,BD!$B$3:$B$5001,$A$369,BD!$K$3:$K$5001,"&lt;&gt;")=0,"",SUMIFS(BD!$K$3:$K$5001,BD!$A$3:$A$5001,AA$3,BD!$B$3:$B$5001,$A$369)))</f>
        <v/>
      </c>
      <c r="AB377" s="179" t="str">
        <f>IF(AB$3="","",IF(COUNTIFS(BD!$A$3:$A$5001,AB$3,BD!$B$3:$B$5001,$A$369,BD!$K$3:$K$5001,"&lt;&gt;")=0,"",SUMIFS(BD!$K$3:$K$5001,BD!$A$3:$A$5001,AB$3,BD!$B$3:$B$5001,$A$369)))</f>
        <v/>
      </c>
      <c r="AC377" s="179" t="str">
        <f>IF(AC$3="","",IF(COUNTIFS(BD!$A$3:$A$5001,AC$3,BD!$B$3:$B$5001,$A$369,BD!$K$3:$K$5001,"&lt;&gt;")=0,"",SUMIFS(BD!$K$3:$K$5001,BD!$A$3:$A$5001,AC$3,BD!$B$3:$B$5001,$A$369)))</f>
        <v/>
      </c>
      <c r="AD377" s="179" t="str">
        <f>IF(AD$3="","",IF(COUNTIFS(BD!$A$3:$A$5001,AD$3,BD!$B$3:$B$5001,$A$369,BD!$K$3:$K$5001,"&lt;&gt;")=0,"",SUMIFS(BD!$K$3:$K$5001,BD!$A$3:$A$5001,AD$3,BD!$B$3:$B$5001,$A$369)))</f>
        <v/>
      </c>
      <c r="AE377" s="179" t="str">
        <f>IF(AE$3="","",IF(COUNTIFS(BD!$A$3:$A$5001,AE$3,BD!$B$3:$B$5001,$A$369,BD!$K$3:$K$5001,"&lt;&gt;")=0,"",SUMIFS(BD!$K$3:$K$5001,BD!$A$3:$A$5001,AE$3,BD!$B$3:$B$5001,$A$369)))</f>
        <v/>
      </c>
      <c r="AF377" s="179" t="str">
        <f>IF(AF$3="","",IF(COUNTIFS(BD!$A$3:$A$5001,AF$3,BD!$B$3:$B$5001,$A$369,BD!$K$3:$K$5001,"&lt;&gt;")=0,"",SUMIFS(BD!$K$3:$K$5001,BD!$A$3:$A$5001,AF$3,BD!$B$3:$B$5001,$A$369)))</f>
        <v/>
      </c>
      <c r="AG377" s="179" t="str">
        <f>IF(AG$3="","",IF(COUNTIFS(BD!$A$3:$A$5001,AG$3,BD!$B$3:$B$5001,$A$369,BD!$K$3:$K$5001,"&lt;&gt;")=0,"",SUMIFS(BD!$K$3:$K$5001,BD!$A$3:$A$5001,AG$3,BD!$B$3:$B$5001,$A$369)))</f>
        <v/>
      </c>
      <c r="AH377" s="179" t="str">
        <f>IF(AH$3="","",IF(COUNTIFS(BD!$A$3:$A$5001,AH$3,BD!$B$3:$B$5001,$A$369,BD!$K$3:$K$5001,"&lt;&gt;")=0,"",SUMIFS(BD!$K$3:$K$5001,BD!$A$3:$A$5001,AH$3,BD!$B$3:$B$5001,$A$369)))</f>
        <v/>
      </c>
      <c r="AI377" s="179" t="str">
        <f>IF(AI$3="","",IF(COUNTIFS(BD!$A$3:$A$5001,AI$3,BD!$B$3:$B$5001,$A$369,BD!$K$3:$K$5001,"&lt;&gt;")=0,"",SUMIFS(BD!$K$3:$K$5001,BD!$A$3:$A$5001,AI$3,BD!$B$3:$B$5001,$A$369)))</f>
        <v/>
      </c>
      <c r="AJ377" s="180" t="str">
        <f>IF(AJ$3="","",IF(COUNTIFS(BD!$A$3:$A$5001,AJ$3,BD!$B$3:$B$5001,$A$369,BD!$K$3:$K$5001,"&lt;&gt;")=0,"",SUMIFS(BD!$K$3:$K$5001,BD!$A$3:$A$5001,AJ$3,BD!$B$3:$B$5001,$A$369)))</f>
        <v/>
      </c>
      <c r="AK377" s="176" t="str">
        <f>IF(COUNT(F377:AJ377)=0,"",SUM(F377:AJ377))</f>
        <v/>
      </c>
    </row>
    <row r="378" ht="15.75" customHeight="1" hidden="1">
      <c r="A378" s="261"/>
      <c r="B378" s="251" t="inlineStr">
        <is>
          <t xml:space="preserve">OUT</t>
        </is>
      </c>
      <c r="C378" s="181" t="inlineStr">
        <is>
          <t xml:space="preserve">Veículos Expedidos</t>
        </is>
      </c>
      <c r="D378" s="182" t="str">
        <f>IFERROR(1/(1/INDEX(BD!$AL$32:$BF$32,MATCH($A$369,BD!$AL$22:$BF$22,0))),"")</f>
        <v/>
      </c>
      <c r="E378" s="183"/>
      <c r="F378" s="184" t="str">
        <f>IF(F$3="","",IF(COUNTIFS(BD!$A$3:$A$5001,F$3,BD!$B$3:$B$5001,$A$369,BD!$L$3:$L$5001,"&lt;&gt;")=0,"",SUMIFS(BD!$L$3:$L$5001,BD!$A$3:$A$5001,F$3,BD!$B$3:$B$5001,$A$369)))</f>
        <v/>
      </c>
      <c r="G378" s="185" t="str">
        <f>IF(G$3="","",IF(COUNTIFS(BD!$A$3:$A$5001,G$3,BD!$B$3:$B$5001,$A$369,BD!$L$3:$L$5001,"&lt;&gt;")=0,"",SUMIFS(BD!$L$3:$L$5001,BD!$A$3:$A$5001,G$3,BD!$B$3:$B$5001,$A$369)))</f>
        <v/>
      </c>
      <c r="H378" s="185" t="str">
        <f>IF(H$3="","",IF(COUNTIFS(BD!$A$3:$A$5001,H$3,BD!$B$3:$B$5001,$A$369,BD!$L$3:$L$5001,"&lt;&gt;")=0,"",SUMIFS(BD!$L$3:$L$5001,BD!$A$3:$A$5001,H$3,BD!$B$3:$B$5001,$A$369)))</f>
        <v/>
      </c>
      <c r="I378" s="185" t="str">
        <f>IF(I$3="","",IF(COUNTIFS(BD!$A$3:$A$5001,I$3,BD!$B$3:$B$5001,$A$369,BD!$L$3:$L$5001,"&lt;&gt;")=0,"",SUMIFS(BD!$L$3:$L$5001,BD!$A$3:$A$5001,I$3,BD!$B$3:$B$5001,$A$369)))</f>
        <v/>
      </c>
      <c r="J378" s="185" t="str">
        <f>IF(J$3="","",IF(COUNTIFS(BD!$A$3:$A$5001,J$3,BD!$B$3:$B$5001,$A$369,BD!$L$3:$L$5001,"&lt;&gt;")=0,"",SUMIFS(BD!$L$3:$L$5001,BD!$A$3:$A$5001,J$3,BD!$B$3:$B$5001,$A$369)))</f>
        <v/>
      </c>
      <c r="K378" s="185" t="str">
        <f>IF(K$3="","",IF(COUNTIFS(BD!$A$3:$A$5001,K$3,BD!$B$3:$B$5001,$A$369,BD!$L$3:$L$5001,"&lt;&gt;")=0,"",SUMIFS(BD!$L$3:$L$5001,BD!$A$3:$A$5001,K$3,BD!$B$3:$B$5001,$A$369)))</f>
        <v/>
      </c>
      <c r="L378" s="185" t="str">
        <f>IF(L$3="","",IF(COUNTIFS(BD!$A$3:$A$5001,L$3,BD!$B$3:$B$5001,$A$369,BD!$L$3:$L$5001,"&lt;&gt;")=0,"",SUMIFS(BD!$L$3:$L$5001,BD!$A$3:$A$5001,L$3,BD!$B$3:$B$5001,$A$369)))</f>
        <v/>
      </c>
      <c r="M378" s="185" t="str">
        <f>IF(M$3="","",IF(COUNTIFS(BD!$A$3:$A$5001,M$3,BD!$B$3:$B$5001,$A$369,BD!$L$3:$L$5001,"&lt;&gt;")=0,"",SUMIFS(BD!$L$3:$L$5001,BD!$A$3:$A$5001,M$3,BD!$B$3:$B$5001,$A$369)))</f>
        <v/>
      </c>
      <c r="N378" s="185" t="str">
        <f>IF(N$3="","",IF(COUNTIFS(BD!$A$3:$A$5001,N$3,BD!$B$3:$B$5001,$A$369,BD!$L$3:$L$5001,"&lt;&gt;")=0,"",SUMIFS(BD!$L$3:$L$5001,BD!$A$3:$A$5001,N$3,BD!$B$3:$B$5001,$A$369)))</f>
        <v/>
      </c>
      <c r="O378" s="185" t="str">
        <f>IF(O$3="","",IF(COUNTIFS(BD!$A$3:$A$5001,O$3,BD!$B$3:$B$5001,$A$369,BD!$L$3:$L$5001,"&lt;&gt;")=0,"",SUMIFS(BD!$L$3:$L$5001,BD!$A$3:$A$5001,O$3,BD!$B$3:$B$5001,$A$369)))</f>
        <v/>
      </c>
      <c r="P378" s="185" t="str">
        <f>IF(P$3="","",IF(COUNTIFS(BD!$A$3:$A$5001,P$3,BD!$B$3:$B$5001,$A$369,BD!$L$3:$L$5001,"&lt;&gt;")=0,"",SUMIFS(BD!$L$3:$L$5001,BD!$A$3:$A$5001,P$3,BD!$B$3:$B$5001,$A$369)))</f>
        <v/>
      </c>
      <c r="Q378" s="185" t="str">
        <f>IF(Q$3="","",IF(COUNTIFS(BD!$A$3:$A$5001,Q$3,BD!$B$3:$B$5001,$A$369,BD!$L$3:$L$5001,"&lt;&gt;")=0,"",SUMIFS(BD!$L$3:$L$5001,BD!$A$3:$A$5001,Q$3,BD!$B$3:$B$5001,$A$369)))</f>
        <v/>
      </c>
      <c r="R378" s="185" t="str">
        <f>IF(R$3="","",IF(COUNTIFS(BD!$A$3:$A$5001,R$3,BD!$B$3:$B$5001,$A$369,BD!$L$3:$L$5001,"&lt;&gt;")=0,"",SUMIFS(BD!$L$3:$L$5001,BD!$A$3:$A$5001,R$3,BD!$B$3:$B$5001,$A$369)))</f>
        <v/>
      </c>
      <c r="S378" s="185" t="str">
        <f>IF(S$3="","",IF(COUNTIFS(BD!$A$3:$A$5001,S$3,BD!$B$3:$B$5001,$A$369,BD!$L$3:$L$5001,"&lt;&gt;")=0,"",SUMIFS(BD!$L$3:$L$5001,BD!$A$3:$A$5001,S$3,BD!$B$3:$B$5001,$A$369)))</f>
        <v/>
      </c>
      <c r="T378" s="185" t="str">
        <f>IF(T$3="","",IF(COUNTIFS(BD!$A$3:$A$5001,T$3,BD!$B$3:$B$5001,$A$369,BD!$L$3:$L$5001,"&lt;&gt;")=0,"",SUMIFS(BD!$L$3:$L$5001,BD!$A$3:$A$5001,T$3,BD!$B$3:$B$5001,$A$369)))</f>
        <v/>
      </c>
      <c r="U378" s="185" t="str">
        <f>IF(U$3="","",IF(COUNTIFS(BD!$A$3:$A$5001,U$3,BD!$B$3:$B$5001,$A$369,BD!$L$3:$L$5001,"&lt;&gt;")=0,"",SUMIFS(BD!$L$3:$L$5001,BD!$A$3:$A$5001,U$3,BD!$B$3:$B$5001,$A$369)))</f>
        <v/>
      </c>
      <c r="V378" s="185" t="str">
        <f>IF(V$3="","",IF(COUNTIFS(BD!$A$3:$A$5001,V$3,BD!$B$3:$B$5001,$A$369,BD!$L$3:$L$5001,"&lt;&gt;")=0,"",SUMIFS(BD!$L$3:$L$5001,BD!$A$3:$A$5001,V$3,BD!$B$3:$B$5001,$A$369)))</f>
        <v/>
      </c>
      <c r="W378" s="185" t="str">
        <f>IF(W$3="","",IF(COUNTIFS(BD!$A$3:$A$5001,W$3,BD!$B$3:$B$5001,$A$369,BD!$L$3:$L$5001,"&lt;&gt;")=0,"",SUMIFS(BD!$L$3:$L$5001,BD!$A$3:$A$5001,W$3,BD!$B$3:$B$5001,$A$369)))</f>
        <v/>
      </c>
      <c r="X378" s="185" t="str">
        <f>IF(X$3="","",IF(COUNTIFS(BD!$A$3:$A$5001,X$3,BD!$B$3:$B$5001,$A$369,BD!$L$3:$L$5001,"&lt;&gt;")=0,"",SUMIFS(BD!$L$3:$L$5001,BD!$A$3:$A$5001,X$3,BD!$B$3:$B$5001,$A$369)))</f>
        <v/>
      </c>
      <c r="Y378" s="185" t="str">
        <f>IF(Y$3="","",IF(COUNTIFS(BD!$A$3:$A$5001,Y$3,BD!$B$3:$B$5001,$A$369,BD!$L$3:$L$5001,"&lt;&gt;")=0,"",SUMIFS(BD!$L$3:$L$5001,BD!$A$3:$A$5001,Y$3,BD!$B$3:$B$5001,$A$369)))</f>
        <v/>
      </c>
      <c r="Z378" s="185" t="str">
        <f>IF(Z$3="","",IF(COUNTIFS(BD!$A$3:$A$5001,Z$3,BD!$B$3:$B$5001,$A$369,BD!$L$3:$L$5001,"&lt;&gt;")=0,"",SUMIFS(BD!$L$3:$L$5001,BD!$A$3:$A$5001,Z$3,BD!$B$3:$B$5001,$A$369)))</f>
        <v/>
      </c>
      <c r="AA378" s="185" t="str">
        <f>IF(AA$3="","",IF(COUNTIFS(BD!$A$3:$A$5001,AA$3,BD!$B$3:$B$5001,$A$369,BD!$L$3:$L$5001,"&lt;&gt;")=0,"",SUMIFS(BD!$L$3:$L$5001,BD!$A$3:$A$5001,AA$3,BD!$B$3:$B$5001,$A$369)))</f>
        <v/>
      </c>
      <c r="AB378" s="185" t="str">
        <f>IF(AB$3="","",IF(COUNTIFS(BD!$A$3:$A$5001,AB$3,BD!$B$3:$B$5001,$A$369,BD!$L$3:$L$5001,"&lt;&gt;")=0,"",SUMIFS(BD!$L$3:$L$5001,BD!$A$3:$A$5001,AB$3,BD!$B$3:$B$5001,$A$369)))</f>
        <v/>
      </c>
      <c r="AC378" s="185" t="str">
        <f>IF(AC$3="","",IF(COUNTIFS(BD!$A$3:$A$5001,AC$3,BD!$B$3:$B$5001,$A$369,BD!$L$3:$L$5001,"&lt;&gt;")=0,"",SUMIFS(BD!$L$3:$L$5001,BD!$A$3:$A$5001,AC$3,BD!$B$3:$B$5001,$A$369)))</f>
        <v/>
      </c>
      <c r="AD378" s="185" t="str">
        <f>IF(AD$3="","",IF(COUNTIFS(BD!$A$3:$A$5001,AD$3,BD!$B$3:$B$5001,$A$369,BD!$L$3:$L$5001,"&lt;&gt;")=0,"",SUMIFS(BD!$L$3:$L$5001,BD!$A$3:$A$5001,AD$3,BD!$B$3:$B$5001,$A$369)))</f>
        <v/>
      </c>
      <c r="AE378" s="185" t="str">
        <f>IF(AE$3="","",IF(COUNTIFS(BD!$A$3:$A$5001,AE$3,BD!$B$3:$B$5001,$A$369,BD!$L$3:$L$5001,"&lt;&gt;")=0,"",SUMIFS(BD!$L$3:$L$5001,BD!$A$3:$A$5001,AE$3,BD!$B$3:$B$5001,$A$369)))</f>
        <v/>
      </c>
      <c r="AF378" s="185" t="str">
        <f>IF(AF$3="","",IF(COUNTIFS(BD!$A$3:$A$5001,AF$3,BD!$B$3:$B$5001,$A$369,BD!$L$3:$L$5001,"&lt;&gt;")=0,"",SUMIFS(BD!$L$3:$L$5001,BD!$A$3:$A$5001,AF$3,BD!$B$3:$B$5001,$A$369)))</f>
        <v/>
      </c>
      <c r="AG378" s="185" t="str">
        <f>IF(AG$3="","",IF(COUNTIFS(BD!$A$3:$A$5001,AG$3,BD!$B$3:$B$5001,$A$369,BD!$L$3:$L$5001,"&lt;&gt;")=0,"",SUMIFS(BD!$L$3:$L$5001,BD!$A$3:$A$5001,AG$3,BD!$B$3:$B$5001,$A$369)))</f>
        <v/>
      </c>
      <c r="AH378" s="185" t="str">
        <f>IF(AH$3="","",IF(COUNTIFS(BD!$A$3:$A$5001,AH$3,BD!$B$3:$B$5001,$A$369,BD!$L$3:$L$5001,"&lt;&gt;")=0,"",SUMIFS(BD!$L$3:$L$5001,BD!$A$3:$A$5001,AH$3,BD!$B$3:$B$5001,$A$369)))</f>
        <v/>
      </c>
      <c r="AI378" s="185" t="str">
        <f>IF(AI$3="","",IF(COUNTIFS(BD!$A$3:$A$5001,AI$3,BD!$B$3:$B$5001,$A$369,BD!$L$3:$L$5001,"&lt;&gt;")=0,"",SUMIFS(BD!$L$3:$L$5001,BD!$A$3:$A$5001,AI$3,BD!$B$3:$B$5001,$A$369)))</f>
        <v/>
      </c>
      <c r="AJ378" s="186" t="str">
        <f>IF(AJ$3="","",IF(COUNTIFS(BD!$A$3:$A$5001,AJ$3,BD!$B$3:$B$5001,$A$369,BD!$L$3:$L$5001,"&lt;&gt;")=0,"",SUMIFS(BD!$L$3:$L$5001,BD!$A$3:$A$5001,AJ$3,BD!$B$3:$B$5001,$A$369)))</f>
        <v/>
      </c>
      <c r="AK378" s="187" t="str">
        <f>IF(COUNT(F378:AJ378)=0,"",SUM(F378:AJ378))</f>
        <v/>
      </c>
    </row>
    <row r="379" ht="15.75" customHeight="1" hidden="1">
      <c r="A379" s="261"/>
      <c r="B379" s="278"/>
      <c r="C379" s="267" t="inlineStr">
        <is>
          <t xml:space="preserve">Pedidos Expedidos</t>
        </is>
      </c>
      <c r="D379" s="268" t="str">
        <f>IFERROR(1/(1/INDEX(BD!$AL$33:$BF$33,MATCH($A$369,BD!$AL$22:$BF$22,0))),"")</f>
        <v/>
      </c>
      <c r="E379" s="269"/>
      <c r="F379" s="270" t="str">
        <f>IF(F$3="","",IF(COUNTIFS(BD!$A$3:$A$5001,F$3,BD!$B$3:$B$5001,$A$369,BD!$M$3:$M$5001,"&lt;&gt;")=0,"",SUMIFS(BD!$M$3:$M$5001,BD!$A$3:$A$5001,F$3,BD!$B$3:$B$5001,$A$369)))</f>
        <v/>
      </c>
      <c r="G379" s="271" t="str">
        <f>IF(G$3="","",IF(COUNTIFS(BD!$A$3:$A$5001,G$3,BD!$B$3:$B$5001,$A$369,BD!$M$3:$M$5001,"&lt;&gt;")=0,"",SUMIFS(BD!$M$3:$M$5001,BD!$A$3:$A$5001,G$3,BD!$B$3:$B$5001,$A$369)))</f>
        <v/>
      </c>
      <c r="H379" s="271" t="str">
        <f>IF(H$3="","",IF(COUNTIFS(BD!$A$3:$A$5001,H$3,BD!$B$3:$B$5001,$A$369,BD!$M$3:$M$5001,"&lt;&gt;")=0,"",SUMIFS(BD!$M$3:$M$5001,BD!$A$3:$A$5001,H$3,BD!$B$3:$B$5001,$A$369)))</f>
        <v/>
      </c>
      <c r="I379" s="271" t="str">
        <f>IF(I$3="","",IF(COUNTIFS(BD!$A$3:$A$5001,I$3,BD!$B$3:$B$5001,$A$369,BD!$M$3:$M$5001,"&lt;&gt;")=0,"",SUMIFS(BD!$M$3:$M$5001,BD!$A$3:$A$5001,I$3,BD!$B$3:$B$5001,$A$369)))</f>
        <v/>
      </c>
      <c r="J379" s="271" t="str">
        <f>IF(J$3="","",IF(COUNTIFS(BD!$A$3:$A$5001,J$3,BD!$B$3:$B$5001,$A$369,BD!$M$3:$M$5001,"&lt;&gt;")=0,"",SUMIFS(BD!$M$3:$M$5001,BD!$A$3:$A$5001,J$3,BD!$B$3:$B$5001,$A$369)))</f>
        <v/>
      </c>
      <c r="K379" s="271" t="str">
        <f>IF(K$3="","",IF(COUNTIFS(BD!$A$3:$A$5001,K$3,BD!$B$3:$B$5001,$A$369,BD!$M$3:$M$5001,"&lt;&gt;")=0,"",SUMIFS(BD!$M$3:$M$5001,BD!$A$3:$A$5001,K$3,BD!$B$3:$B$5001,$A$369)))</f>
        <v/>
      </c>
      <c r="L379" s="271" t="str">
        <f>IF(L$3="","",IF(COUNTIFS(BD!$A$3:$A$5001,L$3,BD!$B$3:$B$5001,$A$369,BD!$M$3:$M$5001,"&lt;&gt;")=0,"",SUMIFS(BD!$M$3:$M$5001,BD!$A$3:$A$5001,L$3,BD!$B$3:$B$5001,$A$369)))</f>
        <v/>
      </c>
      <c r="M379" s="271" t="str">
        <f>IF(M$3="","",IF(COUNTIFS(BD!$A$3:$A$5001,M$3,BD!$B$3:$B$5001,$A$369,BD!$M$3:$M$5001,"&lt;&gt;")=0,"",SUMIFS(BD!$M$3:$M$5001,BD!$A$3:$A$5001,M$3,BD!$B$3:$B$5001,$A$369)))</f>
        <v/>
      </c>
      <c r="N379" s="271" t="str">
        <f>IF(N$3="","",IF(COUNTIFS(BD!$A$3:$A$5001,N$3,BD!$B$3:$B$5001,$A$369,BD!$M$3:$M$5001,"&lt;&gt;")=0,"",SUMIFS(BD!$M$3:$M$5001,BD!$A$3:$A$5001,N$3,BD!$B$3:$B$5001,$A$369)))</f>
        <v/>
      </c>
      <c r="O379" s="271" t="str">
        <f>IF(O$3="","",IF(COUNTIFS(BD!$A$3:$A$5001,O$3,BD!$B$3:$B$5001,$A$369,BD!$M$3:$M$5001,"&lt;&gt;")=0,"",SUMIFS(BD!$M$3:$M$5001,BD!$A$3:$A$5001,O$3,BD!$B$3:$B$5001,$A$369)))</f>
        <v/>
      </c>
      <c r="P379" s="271" t="str">
        <f>IF(P$3="","",IF(COUNTIFS(BD!$A$3:$A$5001,P$3,BD!$B$3:$B$5001,$A$369,BD!$M$3:$M$5001,"&lt;&gt;")=0,"",SUMIFS(BD!$M$3:$M$5001,BD!$A$3:$A$5001,P$3,BD!$B$3:$B$5001,$A$369)))</f>
        <v/>
      </c>
      <c r="Q379" s="271" t="str">
        <f>IF(Q$3="","",IF(COUNTIFS(BD!$A$3:$A$5001,Q$3,BD!$B$3:$B$5001,$A$369,BD!$M$3:$M$5001,"&lt;&gt;")=0,"",SUMIFS(BD!$M$3:$M$5001,BD!$A$3:$A$5001,Q$3,BD!$B$3:$B$5001,$A$369)))</f>
        <v/>
      </c>
      <c r="R379" s="271" t="str">
        <f>IF(R$3="","",IF(COUNTIFS(BD!$A$3:$A$5001,R$3,BD!$B$3:$B$5001,$A$369,BD!$M$3:$M$5001,"&lt;&gt;")=0,"",SUMIFS(BD!$M$3:$M$5001,BD!$A$3:$A$5001,R$3,BD!$B$3:$B$5001,$A$369)))</f>
        <v/>
      </c>
      <c r="S379" s="271" t="str">
        <f>IF(S$3="","",IF(COUNTIFS(BD!$A$3:$A$5001,S$3,BD!$B$3:$B$5001,$A$369,BD!$M$3:$M$5001,"&lt;&gt;")=0,"",SUMIFS(BD!$M$3:$M$5001,BD!$A$3:$A$5001,S$3,BD!$B$3:$B$5001,$A$369)))</f>
        <v/>
      </c>
      <c r="T379" s="271" t="str">
        <f>IF(T$3="","",IF(COUNTIFS(BD!$A$3:$A$5001,T$3,BD!$B$3:$B$5001,$A$369,BD!$M$3:$M$5001,"&lt;&gt;")=0,"",SUMIFS(BD!$M$3:$M$5001,BD!$A$3:$A$5001,T$3,BD!$B$3:$B$5001,$A$369)))</f>
        <v/>
      </c>
      <c r="U379" s="271" t="str">
        <f>IF(U$3="","",IF(COUNTIFS(BD!$A$3:$A$5001,U$3,BD!$B$3:$B$5001,$A$369,BD!$M$3:$M$5001,"&lt;&gt;")=0,"",SUMIFS(BD!$M$3:$M$5001,BD!$A$3:$A$5001,U$3,BD!$B$3:$B$5001,$A$369)))</f>
        <v/>
      </c>
      <c r="V379" s="271" t="str">
        <f>IF(V$3="","",IF(COUNTIFS(BD!$A$3:$A$5001,V$3,BD!$B$3:$B$5001,$A$369,BD!$M$3:$M$5001,"&lt;&gt;")=0,"",SUMIFS(BD!$M$3:$M$5001,BD!$A$3:$A$5001,V$3,BD!$B$3:$B$5001,$A$369)))</f>
        <v/>
      </c>
      <c r="W379" s="271" t="str">
        <f>IF(W$3="","",IF(COUNTIFS(BD!$A$3:$A$5001,W$3,BD!$B$3:$B$5001,$A$369,BD!$M$3:$M$5001,"&lt;&gt;")=0,"",SUMIFS(BD!$M$3:$M$5001,BD!$A$3:$A$5001,W$3,BD!$B$3:$B$5001,$A$369)))</f>
        <v/>
      </c>
      <c r="X379" s="271" t="str">
        <f>IF(X$3="","",IF(COUNTIFS(BD!$A$3:$A$5001,X$3,BD!$B$3:$B$5001,$A$369,BD!$M$3:$M$5001,"&lt;&gt;")=0,"",SUMIFS(BD!$M$3:$M$5001,BD!$A$3:$A$5001,X$3,BD!$B$3:$B$5001,$A$369)))</f>
        <v/>
      </c>
      <c r="Y379" s="271" t="str">
        <f>IF(Y$3="","",IF(COUNTIFS(BD!$A$3:$A$5001,Y$3,BD!$B$3:$B$5001,$A$369,BD!$M$3:$M$5001,"&lt;&gt;")=0,"",SUMIFS(BD!$M$3:$M$5001,BD!$A$3:$A$5001,Y$3,BD!$B$3:$B$5001,$A$369)))</f>
        <v/>
      </c>
      <c r="Z379" s="271" t="str">
        <f>IF(Z$3="","",IF(COUNTIFS(BD!$A$3:$A$5001,Z$3,BD!$B$3:$B$5001,$A$369,BD!$M$3:$M$5001,"&lt;&gt;")=0,"",SUMIFS(BD!$M$3:$M$5001,BD!$A$3:$A$5001,Z$3,BD!$B$3:$B$5001,$A$369)))</f>
        <v/>
      </c>
      <c r="AA379" s="271" t="str">
        <f>IF(AA$3="","",IF(COUNTIFS(BD!$A$3:$A$5001,AA$3,BD!$B$3:$B$5001,$A$369,BD!$M$3:$M$5001,"&lt;&gt;")=0,"",SUMIFS(BD!$M$3:$M$5001,BD!$A$3:$A$5001,AA$3,BD!$B$3:$B$5001,$A$369)))</f>
        <v/>
      </c>
      <c r="AB379" s="271" t="str">
        <f>IF(AB$3="","",IF(COUNTIFS(BD!$A$3:$A$5001,AB$3,BD!$B$3:$B$5001,$A$369,BD!$M$3:$M$5001,"&lt;&gt;")=0,"",SUMIFS(BD!$M$3:$M$5001,BD!$A$3:$A$5001,AB$3,BD!$B$3:$B$5001,$A$369)))</f>
        <v/>
      </c>
      <c r="AC379" s="271" t="str">
        <f>IF(AC$3="","",IF(COUNTIFS(BD!$A$3:$A$5001,AC$3,BD!$B$3:$B$5001,$A$369,BD!$M$3:$M$5001,"&lt;&gt;")=0,"",SUMIFS(BD!$M$3:$M$5001,BD!$A$3:$A$5001,AC$3,BD!$B$3:$B$5001,$A$369)))</f>
        <v/>
      </c>
      <c r="AD379" s="271" t="str">
        <f>IF(AD$3="","",IF(COUNTIFS(BD!$A$3:$A$5001,AD$3,BD!$B$3:$B$5001,$A$369,BD!$M$3:$M$5001,"&lt;&gt;")=0,"",SUMIFS(BD!$M$3:$M$5001,BD!$A$3:$A$5001,AD$3,BD!$B$3:$B$5001,$A$369)))</f>
        <v/>
      </c>
      <c r="AE379" s="271" t="str">
        <f>IF(AE$3="","",IF(COUNTIFS(BD!$A$3:$A$5001,AE$3,BD!$B$3:$B$5001,$A$369,BD!$M$3:$M$5001,"&lt;&gt;")=0,"",SUMIFS(BD!$M$3:$M$5001,BD!$A$3:$A$5001,AE$3,BD!$B$3:$B$5001,$A$369)))</f>
        <v/>
      </c>
      <c r="AF379" s="271" t="str">
        <f>IF(AF$3="","",IF(COUNTIFS(BD!$A$3:$A$5001,AF$3,BD!$B$3:$B$5001,$A$369,BD!$M$3:$M$5001,"&lt;&gt;")=0,"",SUMIFS(BD!$M$3:$M$5001,BD!$A$3:$A$5001,AF$3,BD!$B$3:$B$5001,$A$369)))</f>
        <v/>
      </c>
      <c r="AG379" s="271" t="str">
        <f>IF(AG$3="","",IF(COUNTIFS(BD!$A$3:$A$5001,AG$3,BD!$B$3:$B$5001,$A$369,BD!$M$3:$M$5001,"&lt;&gt;")=0,"",SUMIFS(BD!$M$3:$M$5001,BD!$A$3:$A$5001,AG$3,BD!$B$3:$B$5001,$A$369)))</f>
        <v/>
      </c>
      <c r="AH379" s="271" t="str">
        <f>IF(AH$3="","",IF(COUNTIFS(BD!$A$3:$A$5001,AH$3,BD!$B$3:$B$5001,$A$369,BD!$M$3:$M$5001,"&lt;&gt;")=0,"",SUMIFS(BD!$M$3:$M$5001,BD!$A$3:$A$5001,AH$3,BD!$B$3:$B$5001,$A$369)))</f>
        <v/>
      </c>
      <c r="AI379" s="271" t="str">
        <f>IF(AI$3="","",IF(COUNTIFS(BD!$A$3:$A$5001,AI$3,BD!$B$3:$B$5001,$A$369,BD!$M$3:$M$5001,"&lt;&gt;")=0,"",SUMIFS(BD!$M$3:$M$5001,BD!$A$3:$A$5001,AI$3,BD!$B$3:$B$5001,$A$369)))</f>
        <v/>
      </c>
      <c r="AJ379" s="272" t="str">
        <f>IF(AJ$3="","",IF(COUNTIFS(BD!$A$3:$A$5001,AJ$3,BD!$B$3:$B$5001,$A$369,BD!$M$3:$M$5001,"&lt;&gt;")=0,"",SUMIFS(BD!$M$3:$M$5001,BD!$A$3:$A$5001,AJ$3,BD!$B$3:$B$5001,$A$369)))</f>
        <v/>
      </c>
      <c r="AK379" s="273" t="str">
        <f>IF(COUNT(F379:AJ379)=0,"",SUM(F379:AJ379))</f>
        <v/>
      </c>
    </row>
    <row r="380" ht="15.75" customHeight="1" hidden="1">
      <c r="A380" s="261"/>
      <c r="B380" s="278"/>
      <c r="C380" s="267" t="inlineStr">
        <is>
          <t xml:space="preserve">Pedidos Faturados</t>
        </is>
      </c>
      <c r="D380" s="268" t="str">
        <f>IFERROR(1/(1/INDEX(BD!$AL$34:$BF$34,MATCH($A$369,BD!$AL$22:$BF$22,0))),"")</f>
        <v/>
      </c>
      <c r="E380" s="269"/>
      <c r="F380" s="270" t="str">
        <f>IF(F$3="","",IF(COUNTIFS(BD!$A$3:$A$5001,F$3,BD!$B$3:$B$5001,$A$369,BD!$N$3:$N$5001,"&lt;&gt;")=0,"",SUMIFS(BD!$N$3:$N$5001,BD!$A$3:$A$5001,F$3,BD!$B$3:$B$5001,$A$369)))</f>
        <v/>
      </c>
      <c r="G380" s="271" t="str">
        <f>IF(G$3="","",IF(COUNTIFS(BD!$A$3:$A$5001,G$3,BD!$B$3:$B$5001,$A$369,BD!$N$3:$N$5001,"&lt;&gt;")=0,"",SUMIFS(BD!$N$3:$N$5001,BD!$A$3:$A$5001,G$3,BD!$B$3:$B$5001,$A$369)))</f>
        <v/>
      </c>
      <c r="H380" s="271" t="str">
        <f>IF(H$3="","",IF(COUNTIFS(BD!$A$3:$A$5001,H$3,BD!$B$3:$B$5001,$A$369,BD!$N$3:$N$5001,"&lt;&gt;")=0,"",SUMIFS(BD!$N$3:$N$5001,BD!$A$3:$A$5001,H$3,BD!$B$3:$B$5001,$A$369)))</f>
        <v/>
      </c>
      <c r="I380" s="271" t="str">
        <f>IF(I$3="","",IF(COUNTIFS(BD!$A$3:$A$5001,I$3,BD!$B$3:$B$5001,$A$369,BD!$N$3:$N$5001,"&lt;&gt;")=0,"",SUMIFS(BD!$N$3:$N$5001,BD!$A$3:$A$5001,I$3,BD!$B$3:$B$5001,$A$369)))</f>
        <v/>
      </c>
      <c r="J380" s="271" t="str">
        <f>IF(J$3="","",IF(COUNTIFS(BD!$A$3:$A$5001,J$3,BD!$B$3:$B$5001,$A$369,BD!$N$3:$N$5001,"&lt;&gt;")=0,"",SUMIFS(BD!$N$3:$N$5001,BD!$A$3:$A$5001,J$3,BD!$B$3:$B$5001,$A$369)))</f>
        <v/>
      </c>
      <c r="K380" s="271" t="str">
        <f>IF(K$3="","",IF(COUNTIFS(BD!$A$3:$A$5001,K$3,BD!$B$3:$B$5001,$A$369,BD!$N$3:$N$5001,"&lt;&gt;")=0,"",SUMIFS(BD!$N$3:$N$5001,BD!$A$3:$A$5001,K$3,BD!$B$3:$B$5001,$A$369)))</f>
        <v/>
      </c>
      <c r="L380" s="271" t="str">
        <f>IF(L$3="","",IF(COUNTIFS(BD!$A$3:$A$5001,L$3,BD!$B$3:$B$5001,$A$369,BD!$N$3:$N$5001,"&lt;&gt;")=0,"",SUMIFS(BD!$N$3:$N$5001,BD!$A$3:$A$5001,L$3,BD!$B$3:$B$5001,$A$369)))</f>
        <v/>
      </c>
      <c r="M380" s="271" t="str">
        <f>IF(M$3="","",IF(COUNTIFS(BD!$A$3:$A$5001,M$3,BD!$B$3:$B$5001,$A$369,BD!$N$3:$N$5001,"&lt;&gt;")=0,"",SUMIFS(BD!$N$3:$N$5001,BD!$A$3:$A$5001,M$3,BD!$B$3:$B$5001,$A$369)))</f>
        <v/>
      </c>
      <c r="N380" s="271" t="str">
        <f>IF(N$3="","",IF(COUNTIFS(BD!$A$3:$A$5001,N$3,BD!$B$3:$B$5001,$A$369,BD!$N$3:$N$5001,"&lt;&gt;")=0,"",SUMIFS(BD!$N$3:$N$5001,BD!$A$3:$A$5001,N$3,BD!$B$3:$B$5001,$A$369)))</f>
        <v/>
      </c>
      <c r="O380" s="271" t="str">
        <f>IF(O$3="","",IF(COUNTIFS(BD!$A$3:$A$5001,O$3,BD!$B$3:$B$5001,$A$369,BD!$N$3:$N$5001,"&lt;&gt;")=0,"",SUMIFS(BD!$N$3:$N$5001,BD!$A$3:$A$5001,O$3,BD!$B$3:$B$5001,$A$369)))</f>
        <v/>
      </c>
      <c r="P380" s="271" t="str">
        <f>IF(P$3="","",IF(COUNTIFS(BD!$A$3:$A$5001,P$3,BD!$B$3:$B$5001,$A$369,BD!$N$3:$N$5001,"&lt;&gt;")=0,"",SUMIFS(BD!$N$3:$N$5001,BD!$A$3:$A$5001,P$3,BD!$B$3:$B$5001,$A$369)))</f>
        <v/>
      </c>
      <c r="Q380" s="271" t="str">
        <f>IF(Q$3="","",IF(COUNTIFS(BD!$A$3:$A$5001,Q$3,BD!$B$3:$B$5001,$A$369,BD!$N$3:$N$5001,"&lt;&gt;")=0,"",SUMIFS(BD!$N$3:$N$5001,BD!$A$3:$A$5001,Q$3,BD!$B$3:$B$5001,$A$369)))</f>
        <v/>
      </c>
      <c r="R380" s="271" t="str">
        <f>IF(R$3="","",IF(COUNTIFS(BD!$A$3:$A$5001,R$3,BD!$B$3:$B$5001,$A$369,BD!$N$3:$N$5001,"&lt;&gt;")=0,"",SUMIFS(BD!$N$3:$N$5001,BD!$A$3:$A$5001,R$3,BD!$B$3:$B$5001,$A$369)))</f>
        <v/>
      </c>
      <c r="S380" s="271" t="str">
        <f>IF(S$3="","",IF(COUNTIFS(BD!$A$3:$A$5001,S$3,BD!$B$3:$B$5001,$A$369,BD!$N$3:$N$5001,"&lt;&gt;")=0,"",SUMIFS(BD!$N$3:$N$5001,BD!$A$3:$A$5001,S$3,BD!$B$3:$B$5001,$A$369)))</f>
        <v/>
      </c>
      <c r="T380" s="271" t="str">
        <f>IF(T$3="","",IF(COUNTIFS(BD!$A$3:$A$5001,T$3,BD!$B$3:$B$5001,$A$369,BD!$N$3:$N$5001,"&lt;&gt;")=0,"",SUMIFS(BD!$N$3:$N$5001,BD!$A$3:$A$5001,T$3,BD!$B$3:$B$5001,$A$369)))</f>
        <v/>
      </c>
      <c r="U380" s="271" t="str">
        <f>IF(U$3="","",IF(COUNTIFS(BD!$A$3:$A$5001,U$3,BD!$B$3:$B$5001,$A$369,BD!$N$3:$N$5001,"&lt;&gt;")=0,"",SUMIFS(BD!$N$3:$N$5001,BD!$A$3:$A$5001,U$3,BD!$B$3:$B$5001,$A$369)))</f>
        <v/>
      </c>
      <c r="V380" s="271" t="str">
        <f>IF(V$3="","",IF(COUNTIFS(BD!$A$3:$A$5001,V$3,BD!$B$3:$B$5001,$A$369,BD!$N$3:$N$5001,"&lt;&gt;")=0,"",SUMIFS(BD!$N$3:$N$5001,BD!$A$3:$A$5001,V$3,BD!$B$3:$B$5001,$A$369)))</f>
        <v/>
      </c>
      <c r="W380" s="271" t="str">
        <f>IF(W$3="","",IF(COUNTIFS(BD!$A$3:$A$5001,W$3,BD!$B$3:$B$5001,$A$369,BD!$N$3:$N$5001,"&lt;&gt;")=0,"",SUMIFS(BD!$N$3:$N$5001,BD!$A$3:$A$5001,W$3,BD!$B$3:$B$5001,$A$369)))</f>
        <v/>
      </c>
      <c r="X380" s="271" t="str">
        <f>IF(X$3="","",IF(COUNTIFS(BD!$A$3:$A$5001,X$3,BD!$B$3:$B$5001,$A$369,BD!$N$3:$N$5001,"&lt;&gt;")=0,"",SUMIFS(BD!$N$3:$N$5001,BD!$A$3:$A$5001,X$3,BD!$B$3:$B$5001,$A$369)))</f>
        <v/>
      </c>
      <c r="Y380" s="271" t="str">
        <f>IF(Y$3="","",IF(COUNTIFS(BD!$A$3:$A$5001,Y$3,BD!$B$3:$B$5001,$A$369,BD!$N$3:$N$5001,"&lt;&gt;")=0,"",SUMIFS(BD!$N$3:$N$5001,BD!$A$3:$A$5001,Y$3,BD!$B$3:$B$5001,$A$369)))</f>
        <v/>
      </c>
      <c r="Z380" s="271" t="str">
        <f>IF(Z$3="","",IF(COUNTIFS(BD!$A$3:$A$5001,Z$3,BD!$B$3:$B$5001,$A$369,BD!$N$3:$N$5001,"&lt;&gt;")=0,"",SUMIFS(BD!$N$3:$N$5001,BD!$A$3:$A$5001,Z$3,BD!$B$3:$B$5001,$A$369)))</f>
        <v/>
      </c>
      <c r="AA380" s="271" t="str">
        <f>IF(AA$3="","",IF(COUNTIFS(BD!$A$3:$A$5001,AA$3,BD!$B$3:$B$5001,$A$369,BD!$N$3:$N$5001,"&lt;&gt;")=0,"",SUMIFS(BD!$N$3:$N$5001,BD!$A$3:$A$5001,AA$3,BD!$B$3:$B$5001,$A$369)))</f>
        <v/>
      </c>
      <c r="AB380" s="271" t="str">
        <f>IF(AB$3="","",IF(COUNTIFS(BD!$A$3:$A$5001,AB$3,BD!$B$3:$B$5001,$A$369,BD!$N$3:$N$5001,"&lt;&gt;")=0,"",SUMIFS(BD!$N$3:$N$5001,BD!$A$3:$A$5001,AB$3,BD!$B$3:$B$5001,$A$369)))</f>
        <v/>
      </c>
      <c r="AC380" s="271" t="str">
        <f>IF(AC$3="","",IF(COUNTIFS(BD!$A$3:$A$5001,AC$3,BD!$B$3:$B$5001,$A$369,BD!$N$3:$N$5001,"&lt;&gt;")=0,"",SUMIFS(BD!$N$3:$N$5001,BD!$A$3:$A$5001,AC$3,BD!$B$3:$B$5001,$A$369)))</f>
        <v/>
      </c>
      <c r="AD380" s="271" t="str">
        <f>IF(AD$3="","",IF(COUNTIFS(BD!$A$3:$A$5001,AD$3,BD!$B$3:$B$5001,$A$369,BD!$N$3:$N$5001,"&lt;&gt;")=0,"",SUMIFS(BD!$N$3:$N$5001,BD!$A$3:$A$5001,AD$3,BD!$B$3:$B$5001,$A$369)))</f>
        <v/>
      </c>
      <c r="AE380" s="271" t="str">
        <f>IF(AE$3="","",IF(COUNTIFS(BD!$A$3:$A$5001,AE$3,BD!$B$3:$B$5001,$A$369,BD!$N$3:$N$5001,"&lt;&gt;")=0,"",SUMIFS(BD!$N$3:$N$5001,BD!$A$3:$A$5001,AE$3,BD!$B$3:$B$5001,$A$369)))</f>
        <v/>
      </c>
      <c r="AF380" s="271" t="str">
        <f>IF(AF$3="","",IF(COUNTIFS(BD!$A$3:$A$5001,AF$3,BD!$B$3:$B$5001,$A$369,BD!$N$3:$N$5001,"&lt;&gt;")=0,"",SUMIFS(BD!$N$3:$N$5001,BD!$A$3:$A$5001,AF$3,BD!$B$3:$B$5001,$A$369)))</f>
        <v/>
      </c>
      <c r="AG380" s="271" t="str">
        <f>IF(AG$3="","",IF(COUNTIFS(BD!$A$3:$A$5001,AG$3,BD!$B$3:$B$5001,$A$369,BD!$N$3:$N$5001,"&lt;&gt;")=0,"",SUMIFS(BD!$N$3:$N$5001,BD!$A$3:$A$5001,AG$3,BD!$B$3:$B$5001,$A$369)))</f>
        <v/>
      </c>
      <c r="AH380" s="271" t="str">
        <f>IF(AH$3="","",IF(COUNTIFS(BD!$A$3:$A$5001,AH$3,BD!$B$3:$B$5001,$A$369,BD!$N$3:$N$5001,"&lt;&gt;")=0,"",SUMIFS(BD!$N$3:$N$5001,BD!$A$3:$A$5001,AH$3,BD!$B$3:$B$5001,$A$369)))</f>
        <v/>
      </c>
      <c r="AI380" s="271" t="str">
        <f>IF(AI$3="","",IF(COUNTIFS(BD!$A$3:$A$5001,AI$3,BD!$B$3:$B$5001,$A$369,BD!$N$3:$N$5001,"&lt;&gt;")=0,"",SUMIFS(BD!$N$3:$N$5001,BD!$A$3:$A$5001,AI$3,BD!$B$3:$B$5001,$A$369)))</f>
        <v/>
      </c>
      <c r="AJ380" s="272" t="str">
        <f>IF(AJ$3="","",IF(COUNTIFS(BD!$A$3:$A$5001,AJ$3,BD!$B$3:$B$5001,$A$369,BD!$N$3:$N$5001,"&lt;&gt;")=0,"",SUMIFS(BD!$N$3:$N$5001,BD!$A$3:$A$5001,AJ$3,BD!$B$3:$B$5001,$A$369)))</f>
        <v/>
      </c>
      <c r="AK380" s="273" t="str">
        <f>IF(COUNT(F380:AJ380)=0,"",SUM(F380:AJ380))</f>
        <v/>
      </c>
    </row>
    <row r="381" ht="15.75" customHeight="1" hidden="1">
      <c r="A381" s="261"/>
      <c r="B381" s="278"/>
      <c r="C381" s="267" t="inlineStr">
        <is>
          <t xml:space="preserve">Itens Expedidos</t>
        </is>
      </c>
      <c r="D381" s="268" t="str">
        <f>IFERROR(1/(1/INDEX(BD!$AL$35:$BF$35,MATCH($A$369,BD!$AL$22:$BF$22,0))),"")</f>
        <v/>
      </c>
      <c r="E381" s="269"/>
      <c r="F381" s="270" t="str">
        <f>IF(F$3="","",IF(COUNTIFS(BD!$A$3:$A$5001,F$3,BD!$B$3:$B$5001,$A$369,BD!$O$3:$O$5001,"&lt;&gt;")=0,"",SUMIFS(BD!$O$3:$O$5001,BD!$A$3:$A$5001,F$3,BD!$B$3:$B$5001,$A$369)))</f>
        <v/>
      </c>
      <c r="G381" s="271" t="str">
        <f>IF(G$3="","",IF(COUNTIFS(BD!$A$3:$A$5001,G$3,BD!$B$3:$B$5001,$A$369,BD!$O$3:$O$5001,"&lt;&gt;")=0,"",SUMIFS(BD!$O$3:$O$5001,BD!$A$3:$A$5001,G$3,BD!$B$3:$B$5001,$A$369)))</f>
        <v/>
      </c>
      <c r="H381" s="271" t="str">
        <f>IF(H$3="","",IF(COUNTIFS(BD!$A$3:$A$5001,H$3,BD!$B$3:$B$5001,$A$369,BD!$O$3:$O$5001,"&lt;&gt;")=0,"",SUMIFS(BD!$O$3:$O$5001,BD!$A$3:$A$5001,H$3,BD!$B$3:$B$5001,$A$369)))</f>
        <v/>
      </c>
      <c r="I381" s="271" t="str">
        <f>IF(I$3="","",IF(COUNTIFS(BD!$A$3:$A$5001,I$3,BD!$B$3:$B$5001,$A$369,BD!$O$3:$O$5001,"&lt;&gt;")=0,"",SUMIFS(BD!$O$3:$O$5001,BD!$A$3:$A$5001,I$3,BD!$B$3:$B$5001,$A$369)))</f>
        <v/>
      </c>
      <c r="J381" s="271" t="str">
        <f>IF(J$3="","",IF(COUNTIFS(BD!$A$3:$A$5001,J$3,BD!$B$3:$B$5001,$A$369,BD!$O$3:$O$5001,"&lt;&gt;")=0,"",SUMIFS(BD!$O$3:$O$5001,BD!$A$3:$A$5001,J$3,BD!$B$3:$B$5001,$A$369)))</f>
        <v/>
      </c>
      <c r="K381" s="271" t="str">
        <f>IF(K$3="","",IF(COUNTIFS(BD!$A$3:$A$5001,K$3,BD!$B$3:$B$5001,$A$369,BD!$O$3:$O$5001,"&lt;&gt;")=0,"",SUMIFS(BD!$O$3:$O$5001,BD!$A$3:$A$5001,K$3,BD!$B$3:$B$5001,$A$369)))</f>
        <v/>
      </c>
      <c r="L381" s="271" t="str">
        <f>IF(L$3="","",IF(COUNTIFS(BD!$A$3:$A$5001,L$3,BD!$B$3:$B$5001,$A$369,BD!$O$3:$O$5001,"&lt;&gt;")=0,"",SUMIFS(BD!$O$3:$O$5001,BD!$A$3:$A$5001,L$3,BD!$B$3:$B$5001,$A$369)))</f>
        <v/>
      </c>
      <c r="M381" s="271" t="str">
        <f>IF(M$3="","",IF(COUNTIFS(BD!$A$3:$A$5001,M$3,BD!$B$3:$B$5001,$A$369,BD!$O$3:$O$5001,"&lt;&gt;")=0,"",SUMIFS(BD!$O$3:$O$5001,BD!$A$3:$A$5001,M$3,BD!$B$3:$B$5001,$A$369)))</f>
        <v/>
      </c>
      <c r="N381" s="271" t="str">
        <f>IF(N$3="","",IF(COUNTIFS(BD!$A$3:$A$5001,N$3,BD!$B$3:$B$5001,$A$369,BD!$O$3:$O$5001,"&lt;&gt;")=0,"",SUMIFS(BD!$O$3:$O$5001,BD!$A$3:$A$5001,N$3,BD!$B$3:$B$5001,$A$369)))</f>
        <v/>
      </c>
      <c r="O381" s="271" t="str">
        <f>IF(O$3="","",IF(COUNTIFS(BD!$A$3:$A$5001,O$3,BD!$B$3:$B$5001,$A$369,BD!$O$3:$O$5001,"&lt;&gt;")=0,"",SUMIFS(BD!$O$3:$O$5001,BD!$A$3:$A$5001,O$3,BD!$B$3:$B$5001,$A$369)))</f>
        <v/>
      </c>
      <c r="P381" s="271" t="str">
        <f>IF(P$3="","",IF(COUNTIFS(BD!$A$3:$A$5001,P$3,BD!$B$3:$B$5001,$A$369,BD!$O$3:$O$5001,"&lt;&gt;")=0,"",SUMIFS(BD!$O$3:$O$5001,BD!$A$3:$A$5001,P$3,BD!$B$3:$B$5001,$A$369)))</f>
        <v/>
      </c>
      <c r="Q381" s="271" t="str">
        <f>IF(Q$3="","",IF(COUNTIFS(BD!$A$3:$A$5001,Q$3,BD!$B$3:$B$5001,$A$369,BD!$O$3:$O$5001,"&lt;&gt;")=0,"",SUMIFS(BD!$O$3:$O$5001,BD!$A$3:$A$5001,Q$3,BD!$B$3:$B$5001,$A$369)))</f>
        <v/>
      </c>
      <c r="R381" s="271" t="str">
        <f>IF(R$3="","",IF(COUNTIFS(BD!$A$3:$A$5001,R$3,BD!$B$3:$B$5001,$A$369,BD!$O$3:$O$5001,"&lt;&gt;")=0,"",SUMIFS(BD!$O$3:$O$5001,BD!$A$3:$A$5001,R$3,BD!$B$3:$B$5001,$A$369)))</f>
        <v/>
      </c>
      <c r="S381" s="271" t="str">
        <f>IF(S$3="","",IF(COUNTIFS(BD!$A$3:$A$5001,S$3,BD!$B$3:$B$5001,$A$369,BD!$O$3:$O$5001,"&lt;&gt;")=0,"",SUMIFS(BD!$O$3:$O$5001,BD!$A$3:$A$5001,S$3,BD!$B$3:$B$5001,$A$369)))</f>
        <v/>
      </c>
      <c r="T381" s="271" t="str">
        <f>IF(T$3="","",IF(COUNTIFS(BD!$A$3:$A$5001,T$3,BD!$B$3:$B$5001,$A$369,BD!$O$3:$O$5001,"&lt;&gt;")=0,"",SUMIFS(BD!$O$3:$O$5001,BD!$A$3:$A$5001,T$3,BD!$B$3:$B$5001,$A$369)))</f>
        <v/>
      </c>
      <c r="U381" s="271" t="str">
        <f>IF(U$3="","",IF(COUNTIFS(BD!$A$3:$A$5001,U$3,BD!$B$3:$B$5001,$A$369,BD!$O$3:$O$5001,"&lt;&gt;")=0,"",SUMIFS(BD!$O$3:$O$5001,BD!$A$3:$A$5001,U$3,BD!$B$3:$B$5001,$A$369)))</f>
        <v/>
      </c>
      <c r="V381" s="271" t="str">
        <f>IF(V$3="","",IF(COUNTIFS(BD!$A$3:$A$5001,V$3,BD!$B$3:$B$5001,$A$369,BD!$O$3:$O$5001,"&lt;&gt;")=0,"",SUMIFS(BD!$O$3:$O$5001,BD!$A$3:$A$5001,V$3,BD!$B$3:$B$5001,$A$369)))</f>
        <v/>
      </c>
      <c r="W381" s="271" t="str">
        <f>IF(W$3="","",IF(COUNTIFS(BD!$A$3:$A$5001,W$3,BD!$B$3:$B$5001,$A$369,BD!$O$3:$O$5001,"&lt;&gt;")=0,"",SUMIFS(BD!$O$3:$O$5001,BD!$A$3:$A$5001,W$3,BD!$B$3:$B$5001,$A$369)))</f>
        <v/>
      </c>
      <c r="X381" s="271" t="str">
        <f>IF(X$3="","",IF(COUNTIFS(BD!$A$3:$A$5001,X$3,BD!$B$3:$B$5001,$A$369,BD!$O$3:$O$5001,"&lt;&gt;")=0,"",SUMIFS(BD!$O$3:$O$5001,BD!$A$3:$A$5001,X$3,BD!$B$3:$B$5001,$A$369)))</f>
        <v/>
      </c>
      <c r="Y381" s="271" t="str">
        <f>IF(Y$3="","",IF(COUNTIFS(BD!$A$3:$A$5001,Y$3,BD!$B$3:$B$5001,$A$369,BD!$O$3:$O$5001,"&lt;&gt;")=0,"",SUMIFS(BD!$O$3:$O$5001,BD!$A$3:$A$5001,Y$3,BD!$B$3:$B$5001,$A$369)))</f>
        <v/>
      </c>
      <c r="Z381" s="271" t="str">
        <f>IF(Z$3="","",IF(COUNTIFS(BD!$A$3:$A$5001,Z$3,BD!$B$3:$B$5001,$A$369,BD!$O$3:$O$5001,"&lt;&gt;")=0,"",SUMIFS(BD!$O$3:$O$5001,BD!$A$3:$A$5001,Z$3,BD!$B$3:$B$5001,$A$369)))</f>
        <v/>
      </c>
      <c r="AA381" s="271" t="str">
        <f>IF(AA$3="","",IF(COUNTIFS(BD!$A$3:$A$5001,AA$3,BD!$B$3:$B$5001,$A$369,BD!$O$3:$O$5001,"&lt;&gt;")=0,"",SUMIFS(BD!$O$3:$O$5001,BD!$A$3:$A$5001,AA$3,BD!$B$3:$B$5001,$A$369)))</f>
        <v/>
      </c>
      <c r="AB381" s="271" t="str">
        <f>IF(AB$3="","",IF(COUNTIFS(BD!$A$3:$A$5001,AB$3,BD!$B$3:$B$5001,$A$369,BD!$O$3:$O$5001,"&lt;&gt;")=0,"",SUMIFS(BD!$O$3:$O$5001,BD!$A$3:$A$5001,AB$3,BD!$B$3:$B$5001,$A$369)))</f>
        <v/>
      </c>
      <c r="AC381" s="271" t="str">
        <f>IF(AC$3="","",IF(COUNTIFS(BD!$A$3:$A$5001,AC$3,BD!$B$3:$B$5001,$A$369,BD!$O$3:$O$5001,"&lt;&gt;")=0,"",SUMIFS(BD!$O$3:$O$5001,BD!$A$3:$A$5001,AC$3,BD!$B$3:$B$5001,$A$369)))</f>
        <v/>
      </c>
      <c r="AD381" s="271" t="str">
        <f>IF(AD$3="","",IF(COUNTIFS(BD!$A$3:$A$5001,AD$3,BD!$B$3:$B$5001,$A$369,BD!$O$3:$O$5001,"&lt;&gt;")=0,"",SUMIFS(BD!$O$3:$O$5001,BD!$A$3:$A$5001,AD$3,BD!$B$3:$B$5001,$A$369)))</f>
        <v/>
      </c>
      <c r="AE381" s="271" t="str">
        <f>IF(AE$3="","",IF(COUNTIFS(BD!$A$3:$A$5001,AE$3,BD!$B$3:$B$5001,$A$369,BD!$O$3:$O$5001,"&lt;&gt;")=0,"",SUMIFS(BD!$O$3:$O$5001,BD!$A$3:$A$5001,AE$3,BD!$B$3:$B$5001,$A$369)))</f>
        <v/>
      </c>
      <c r="AF381" s="271" t="str">
        <f>IF(AF$3="","",IF(COUNTIFS(BD!$A$3:$A$5001,AF$3,BD!$B$3:$B$5001,$A$369,BD!$O$3:$O$5001,"&lt;&gt;")=0,"",SUMIFS(BD!$O$3:$O$5001,BD!$A$3:$A$5001,AF$3,BD!$B$3:$B$5001,$A$369)))</f>
        <v/>
      </c>
      <c r="AG381" s="271" t="str">
        <f>IF(AG$3="","",IF(COUNTIFS(BD!$A$3:$A$5001,AG$3,BD!$B$3:$B$5001,$A$369,BD!$O$3:$O$5001,"&lt;&gt;")=0,"",SUMIFS(BD!$O$3:$O$5001,BD!$A$3:$A$5001,AG$3,BD!$B$3:$B$5001,$A$369)))</f>
        <v/>
      </c>
      <c r="AH381" s="271" t="str">
        <f>IF(AH$3="","",IF(COUNTIFS(BD!$A$3:$A$5001,AH$3,BD!$B$3:$B$5001,$A$369,BD!$O$3:$O$5001,"&lt;&gt;")=0,"",SUMIFS(BD!$O$3:$O$5001,BD!$A$3:$A$5001,AH$3,BD!$B$3:$B$5001,$A$369)))</f>
        <v/>
      </c>
      <c r="AI381" s="271" t="str">
        <f>IF(AI$3="","",IF(COUNTIFS(BD!$A$3:$A$5001,AI$3,BD!$B$3:$B$5001,$A$369,BD!$O$3:$O$5001,"&lt;&gt;")=0,"",SUMIFS(BD!$O$3:$O$5001,BD!$A$3:$A$5001,AI$3,BD!$B$3:$B$5001,$A$369)))</f>
        <v/>
      </c>
      <c r="AJ381" s="272" t="str">
        <f>IF(AJ$3="","",IF(COUNTIFS(BD!$A$3:$A$5001,AJ$3,BD!$B$3:$B$5001,$A$369,BD!$O$3:$O$5001,"&lt;&gt;")=0,"",SUMIFS(BD!$O$3:$O$5001,BD!$A$3:$A$5001,AJ$3,BD!$B$3:$B$5001,$A$369)))</f>
        <v/>
      </c>
      <c r="AK381" s="273" t="str">
        <f>IF(COUNT(F381:AJ381)=0,"",SUM(F381:AJ381))</f>
        <v/>
      </c>
    </row>
    <row r="382" ht="15.75" customHeight="1" hidden="1">
      <c r="A382" s="261"/>
      <c r="B382" s="278"/>
      <c r="C382" s="267" t="inlineStr">
        <is>
          <t xml:space="preserve">Linhas NF</t>
        </is>
      </c>
      <c r="D382" s="268" t="str">
        <f>IFERROR(1/(1/INDEX(BD!$AL$36:$BF$36,MATCH($A$369,BD!$AL$22:$BF$22,0))),"")</f>
        <v/>
      </c>
      <c r="E382" s="269"/>
      <c r="F382" s="270" t="str">
        <f>IF(F$3="","",IF(COUNTIFS(BD!$A$3:$A$5001,F$3,BD!$B$3:$B$5001,$A$369,BD!$P$3:$P$5001,"&lt;&gt;")=0,"",SUMIFS(BD!$P$3:$P$5001,BD!$A$3:$A$5001,F$3,BD!$B$3:$B$5001,$A$369)))</f>
        <v/>
      </c>
      <c r="G382" s="271" t="str">
        <f>IF(G$3="","",IF(COUNTIFS(BD!$A$3:$A$5001,G$3,BD!$B$3:$B$5001,$A$369,BD!$P$3:$P$5001,"&lt;&gt;")=0,"",SUMIFS(BD!$P$3:$P$5001,BD!$A$3:$A$5001,G$3,BD!$B$3:$B$5001,$A$369)))</f>
        <v/>
      </c>
      <c r="H382" s="271" t="str">
        <f>IF(H$3="","",IF(COUNTIFS(BD!$A$3:$A$5001,H$3,BD!$B$3:$B$5001,$A$369,BD!$P$3:$P$5001,"&lt;&gt;")=0,"",SUMIFS(BD!$P$3:$P$5001,BD!$A$3:$A$5001,H$3,BD!$B$3:$B$5001,$A$369)))</f>
        <v/>
      </c>
      <c r="I382" s="271" t="str">
        <f>IF(I$3="","",IF(COUNTIFS(BD!$A$3:$A$5001,I$3,BD!$B$3:$B$5001,$A$369,BD!$P$3:$P$5001,"&lt;&gt;")=0,"",SUMIFS(BD!$P$3:$P$5001,BD!$A$3:$A$5001,I$3,BD!$B$3:$B$5001,$A$369)))</f>
        <v/>
      </c>
      <c r="J382" s="271" t="str">
        <f>IF(J$3="","",IF(COUNTIFS(BD!$A$3:$A$5001,J$3,BD!$B$3:$B$5001,$A$369,BD!$P$3:$P$5001,"&lt;&gt;")=0,"",SUMIFS(BD!$P$3:$P$5001,BD!$A$3:$A$5001,J$3,BD!$B$3:$B$5001,$A$369)))</f>
        <v/>
      </c>
      <c r="K382" s="271" t="str">
        <f>IF(K$3="","",IF(COUNTIFS(BD!$A$3:$A$5001,K$3,BD!$B$3:$B$5001,$A$369,BD!$P$3:$P$5001,"&lt;&gt;")=0,"",SUMIFS(BD!$P$3:$P$5001,BD!$A$3:$A$5001,K$3,BD!$B$3:$B$5001,$A$369)))</f>
        <v/>
      </c>
      <c r="L382" s="271" t="str">
        <f>IF(L$3="","",IF(COUNTIFS(BD!$A$3:$A$5001,L$3,BD!$B$3:$B$5001,$A$369,BD!$P$3:$P$5001,"&lt;&gt;")=0,"",SUMIFS(BD!$P$3:$P$5001,BD!$A$3:$A$5001,L$3,BD!$B$3:$B$5001,$A$369)))</f>
        <v/>
      </c>
      <c r="M382" s="271" t="str">
        <f>IF(M$3="","",IF(COUNTIFS(BD!$A$3:$A$5001,M$3,BD!$B$3:$B$5001,$A$369,BD!$P$3:$P$5001,"&lt;&gt;")=0,"",SUMIFS(BD!$P$3:$P$5001,BD!$A$3:$A$5001,M$3,BD!$B$3:$B$5001,$A$369)))</f>
        <v/>
      </c>
      <c r="N382" s="271" t="str">
        <f>IF(N$3="","",IF(COUNTIFS(BD!$A$3:$A$5001,N$3,BD!$B$3:$B$5001,$A$369,BD!$P$3:$P$5001,"&lt;&gt;")=0,"",SUMIFS(BD!$P$3:$P$5001,BD!$A$3:$A$5001,N$3,BD!$B$3:$B$5001,$A$369)))</f>
        <v/>
      </c>
      <c r="O382" s="271" t="str">
        <f>IF(O$3="","",IF(COUNTIFS(BD!$A$3:$A$5001,O$3,BD!$B$3:$B$5001,$A$369,BD!$P$3:$P$5001,"&lt;&gt;")=0,"",SUMIFS(BD!$P$3:$P$5001,BD!$A$3:$A$5001,O$3,BD!$B$3:$B$5001,$A$369)))</f>
        <v/>
      </c>
      <c r="P382" s="271" t="str">
        <f>IF(P$3="","",IF(COUNTIFS(BD!$A$3:$A$5001,P$3,BD!$B$3:$B$5001,$A$369,BD!$P$3:$P$5001,"&lt;&gt;")=0,"",SUMIFS(BD!$P$3:$P$5001,BD!$A$3:$A$5001,P$3,BD!$B$3:$B$5001,$A$369)))</f>
        <v/>
      </c>
      <c r="Q382" s="271" t="str">
        <f>IF(Q$3="","",IF(COUNTIFS(BD!$A$3:$A$5001,Q$3,BD!$B$3:$B$5001,$A$369,BD!$P$3:$P$5001,"&lt;&gt;")=0,"",SUMIFS(BD!$P$3:$P$5001,BD!$A$3:$A$5001,Q$3,BD!$B$3:$B$5001,$A$369)))</f>
        <v/>
      </c>
      <c r="R382" s="271" t="str">
        <f>IF(R$3="","",IF(COUNTIFS(BD!$A$3:$A$5001,R$3,BD!$B$3:$B$5001,$A$369,BD!$P$3:$P$5001,"&lt;&gt;")=0,"",SUMIFS(BD!$P$3:$P$5001,BD!$A$3:$A$5001,R$3,BD!$B$3:$B$5001,$A$369)))</f>
        <v/>
      </c>
      <c r="S382" s="271" t="str">
        <f>IF(S$3="","",IF(COUNTIFS(BD!$A$3:$A$5001,S$3,BD!$B$3:$B$5001,$A$369,BD!$P$3:$P$5001,"&lt;&gt;")=0,"",SUMIFS(BD!$P$3:$P$5001,BD!$A$3:$A$5001,S$3,BD!$B$3:$B$5001,$A$369)))</f>
        <v/>
      </c>
      <c r="T382" s="271" t="str">
        <f>IF(T$3="","",IF(COUNTIFS(BD!$A$3:$A$5001,T$3,BD!$B$3:$B$5001,$A$369,BD!$P$3:$P$5001,"&lt;&gt;")=0,"",SUMIFS(BD!$P$3:$P$5001,BD!$A$3:$A$5001,T$3,BD!$B$3:$B$5001,$A$369)))</f>
        <v/>
      </c>
      <c r="U382" s="271" t="str">
        <f>IF(U$3="","",IF(COUNTIFS(BD!$A$3:$A$5001,U$3,BD!$B$3:$B$5001,$A$369,BD!$P$3:$P$5001,"&lt;&gt;")=0,"",SUMIFS(BD!$P$3:$P$5001,BD!$A$3:$A$5001,U$3,BD!$B$3:$B$5001,$A$369)))</f>
        <v/>
      </c>
      <c r="V382" s="271" t="str">
        <f>IF(V$3="","",IF(COUNTIFS(BD!$A$3:$A$5001,V$3,BD!$B$3:$B$5001,$A$369,BD!$P$3:$P$5001,"&lt;&gt;")=0,"",SUMIFS(BD!$P$3:$P$5001,BD!$A$3:$A$5001,V$3,BD!$B$3:$B$5001,$A$369)))</f>
        <v/>
      </c>
      <c r="W382" s="271" t="str">
        <f>IF(W$3="","",IF(COUNTIFS(BD!$A$3:$A$5001,W$3,BD!$B$3:$B$5001,$A$369,BD!$P$3:$P$5001,"&lt;&gt;")=0,"",SUMIFS(BD!$P$3:$P$5001,BD!$A$3:$A$5001,W$3,BD!$B$3:$B$5001,$A$369)))</f>
        <v/>
      </c>
      <c r="X382" s="271" t="str">
        <f>IF(X$3="","",IF(COUNTIFS(BD!$A$3:$A$5001,X$3,BD!$B$3:$B$5001,$A$369,BD!$P$3:$P$5001,"&lt;&gt;")=0,"",SUMIFS(BD!$P$3:$P$5001,BD!$A$3:$A$5001,X$3,BD!$B$3:$B$5001,$A$369)))</f>
        <v/>
      </c>
      <c r="Y382" s="271" t="str">
        <f>IF(Y$3="","",IF(COUNTIFS(BD!$A$3:$A$5001,Y$3,BD!$B$3:$B$5001,$A$369,BD!$P$3:$P$5001,"&lt;&gt;")=0,"",SUMIFS(BD!$P$3:$P$5001,BD!$A$3:$A$5001,Y$3,BD!$B$3:$B$5001,$A$369)))</f>
        <v/>
      </c>
      <c r="Z382" s="271" t="str">
        <f>IF(Z$3="","",IF(COUNTIFS(BD!$A$3:$A$5001,Z$3,BD!$B$3:$B$5001,$A$369,BD!$P$3:$P$5001,"&lt;&gt;")=0,"",SUMIFS(BD!$P$3:$P$5001,BD!$A$3:$A$5001,Z$3,BD!$B$3:$B$5001,$A$369)))</f>
        <v/>
      </c>
      <c r="AA382" s="271" t="str">
        <f>IF(AA$3="","",IF(COUNTIFS(BD!$A$3:$A$5001,AA$3,BD!$B$3:$B$5001,$A$369,BD!$P$3:$P$5001,"&lt;&gt;")=0,"",SUMIFS(BD!$P$3:$P$5001,BD!$A$3:$A$5001,AA$3,BD!$B$3:$B$5001,$A$369)))</f>
        <v/>
      </c>
      <c r="AB382" s="271" t="str">
        <f>IF(AB$3="","",IF(COUNTIFS(BD!$A$3:$A$5001,AB$3,BD!$B$3:$B$5001,$A$369,BD!$P$3:$P$5001,"&lt;&gt;")=0,"",SUMIFS(BD!$P$3:$P$5001,BD!$A$3:$A$5001,AB$3,BD!$B$3:$B$5001,$A$369)))</f>
        <v/>
      </c>
      <c r="AC382" s="271" t="str">
        <f>IF(AC$3="","",IF(COUNTIFS(BD!$A$3:$A$5001,AC$3,BD!$B$3:$B$5001,$A$369,BD!$P$3:$P$5001,"&lt;&gt;")=0,"",SUMIFS(BD!$P$3:$P$5001,BD!$A$3:$A$5001,AC$3,BD!$B$3:$B$5001,$A$369)))</f>
        <v/>
      </c>
      <c r="AD382" s="271" t="str">
        <f>IF(AD$3="","",IF(COUNTIFS(BD!$A$3:$A$5001,AD$3,BD!$B$3:$B$5001,$A$369,BD!$P$3:$P$5001,"&lt;&gt;")=0,"",SUMIFS(BD!$P$3:$P$5001,BD!$A$3:$A$5001,AD$3,BD!$B$3:$B$5001,$A$369)))</f>
        <v/>
      </c>
      <c r="AE382" s="271" t="str">
        <f>IF(AE$3="","",IF(COUNTIFS(BD!$A$3:$A$5001,AE$3,BD!$B$3:$B$5001,$A$369,BD!$P$3:$P$5001,"&lt;&gt;")=0,"",SUMIFS(BD!$P$3:$P$5001,BD!$A$3:$A$5001,AE$3,BD!$B$3:$B$5001,$A$369)))</f>
        <v/>
      </c>
      <c r="AF382" s="271" t="str">
        <f>IF(AF$3="","",IF(COUNTIFS(BD!$A$3:$A$5001,AF$3,BD!$B$3:$B$5001,$A$369,BD!$P$3:$P$5001,"&lt;&gt;")=0,"",SUMIFS(BD!$P$3:$P$5001,BD!$A$3:$A$5001,AF$3,BD!$B$3:$B$5001,$A$369)))</f>
        <v/>
      </c>
      <c r="AG382" s="271" t="str">
        <f>IF(AG$3="","",IF(COUNTIFS(BD!$A$3:$A$5001,AG$3,BD!$B$3:$B$5001,$A$369,BD!$P$3:$P$5001,"&lt;&gt;")=0,"",SUMIFS(BD!$P$3:$P$5001,BD!$A$3:$A$5001,AG$3,BD!$B$3:$B$5001,$A$369)))</f>
        <v/>
      </c>
      <c r="AH382" s="271" t="str">
        <f>IF(AH$3="","",IF(COUNTIFS(BD!$A$3:$A$5001,AH$3,BD!$B$3:$B$5001,$A$369,BD!$P$3:$P$5001,"&lt;&gt;")=0,"",SUMIFS(BD!$P$3:$P$5001,BD!$A$3:$A$5001,AH$3,BD!$B$3:$B$5001,$A$369)))</f>
        <v/>
      </c>
      <c r="AI382" s="271" t="str">
        <f>IF(AI$3="","",IF(COUNTIFS(BD!$A$3:$A$5001,AI$3,BD!$B$3:$B$5001,$A$369,BD!$P$3:$P$5001,"&lt;&gt;")=0,"",SUMIFS(BD!$P$3:$P$5001,BD!$A$3:$A$5001,AI$3,BD!$B$3:$B$5001,$A$369)))</f>
        <v/>
      </c>
      <c r="AJ382" s="272" t="str">
        <f>IF(AJ$3="","",IF(COUNTIFS(BD!$A$3:$A$5001,AJ$3,BD!$B$3:$B$5001,$A$369,BD!$P$3:$P$5001,"&lt;&gt;")=0,"",SUMIFS(BD!$P$3:$P$5001,BD!$A$3:$A$5001,AJ$3,BD!$B$3:$B$5001,$A$369)))</f>
        <v/>
      </c>
      <c r="AK382" s="273" t="str">
        <f>IF(COUNT(F382:AJ382)=0,"",SUM(F382:AJ382))</f>
        <v/>
      </c>
    </row>
    <row r="383" ht="15.75" customHeight="1" hidden="1">
      <c r="A383" s="261"/>
      <c r="B383" s="278"/>
      <c r="C383" s="267" t="inlineStr">
        <is>
          <t xml:space="preserve">Caixas Expedidas</t>
        </is>
      </c>
      <c r="D383" s="268" t="str">
        <f>IFERROR(1/(1/INDEX(BD!$AL$37:$BF$37,MATCH($A$369,BD!$AL$22:$BF$22,0))),"")</f>
        <v/>
      </c>
      <c r="E383" s="269"/>
      <c r="F383" s="270" t="str">
        <f>IF(F$3="","",IF(COUNTIFS(BD!$A$3:$A$5001,F$3,BD!$B$3:$B$5001,$A$369,BD!$Q$3:$Q$5001,"&lt;&gt;")=0,"",SUMIFS(BD!$Q$3:$Q$5001,BD!$A$3:$A$5001,F$3,BD!$B$3:$B$5001,$A$369)))</f>
        <v/>
      </c>
      <c r="G383" s="271" t="str">
        <f>IF(G$3="","",IF(COUNTIFS(BD!$A$3:$A$5001,G$3,BD!$B$3:$B$5001,$A$369,BD!$Q$3:$Q$5001,"&lt;&gt;")=0,"",SUMIFS(BD!$Q$3:$Q$5001,BD!$A$3:$A$5001,G$3,BD!$B$3:$B$5001,$A$369)))</f>
        <v/>
      </c>
      <c r="H383" s="271" t="str">
        <f>IF(H$3="","",IF(COUNTIFS(BD!$A$3:$A$5001,H$3,BD!$B$3:$B$5001,$A$369,BD!$Q$3:$Q$5001,"&lt;&gt;")=0,"",SUMIFS(BD!$Q$3:$Q$5001,BD!$A$3:$A$5001,H$3,BD!$B$3:$B$5001,$A$369)))</f>
        <v/>
      </c>
      <c r="I383" s="271" t="str">
        <f>IF(I$3="","",IF(COUNTIFS(BD!$A$3:$A$5001,I$3,BD!$B$3:$B$5001,$A$369,BD!$Q$3:$Q$5001,"&lt;&gt;")=0,"",SUMIFS(BD!$Q$3:$Q$5001,BD!$A$3:$A$5001,I$3,BD!$B$3:$B$5001,$A$369)))</f>
        <v/>
      </c>
      <c r="J383" s="271" t="str">
        <f>IF(J$3="","",IF(COUNTIFS(BD!$A$3:$A$5001,J$3,BD!$B$3:$B$5001,$A$369,BD!$Q$3:$Q$5001,"&lt;&gt;")=0,"",SUMIFS(BD!$Q$3:$Q$5001,BD!$A$3:$A$5001,J$3,BD!$B$3:$B$5001,$A$369)))</f>
        <v/>
      </c>
      <c r="K383" s="271" t="str">
        <f>IF(K$3="","",IF(COUNTIFS(BD!$A$3:$A$5001,K$3,BD!$B$3:$B$5001,$A$369,BD!$Q$3:$Q$5001,"&lt;&gt;")=0,"",SUMIFS(BD!$Q$3:$Q$5001,BD!$A$3:$A$5001,K$3,BD!$B$3:$B$5001,$A$369)))</f>
        <v/>
      </c>
      <c r="L383" s="271" t="str">
        <f>IF(L$3="","",IF(COUNTIFS(BD!$A$3:$A$5001,L$3,BD!$B$3:$B$5001,$A$369,BD!$Q$3:$Q$5001,"&lt;&gt;")=0,"",SUMIFS(BD!$Q$3:$Q$5001,BD!$A$3:$A$5001,L$3,BD!$B$3:$B$5001,$A$369)))</f>
        <v/>
      </c>
      <c r="M383" s="271" t="str">
        <f>IF(M$3="","",IF(COUNTIFS(BD!$A$3:$A$5001,M$3,BD!$B$3:$B$5001,$A$369,BD!$Q$3:$Q$5001,"&lt;&gt;")=0,"",SUMIFS(BD!$Q$3:$Q$5001,BD!$A$3:$A$5001,M$3,BD!$B$3:$B$5001,$A$369)))</f>
        <v/>
      </c>
      <c r="N383" s="271" t="str">
        <f>IF(N$3="","",IF(COUNTIFS(BD!$A$3:$A$5001,N$3,BD!$B$3:$B$5001,$A$369,BD!$Q$3:$Q$5001,"&lt;&gt;")=0,"",SUMIFS(BD!$Q$3:$Q$5001,BD!$A$3:$A$5001,N$3,BD!$B$3:$B$5001,$A$369)))</f>
        <v/>
      </c>
      <c r="O383" s="271" t="str">
        <f>IF(O$3="","",IF(COUNTIFS(BD!$A$3:$A$5001,O$3,BD!$B$3:$B$5001,$A$369,BD!$Q$3:$Q$5001,"&lt;&gt;")=0,"",SUMIFS(BD!$Q$3:$Q$5001,BD!$A$3:$A$5001,O$3,BD!$B$3:$B$5001,$A$369)))</f>
        <v/>
      </c>
      <c r="P383" s="271" t="str">
        <f>IF(P$3="","",IF(COUNTIFS(BD!$A$3:$A$5001,P$3,BD!$B$3:$B$5001,$A$369,BD!$Q$3:$Q$5001,"&lt;&gt;")=0,"",SUMIFS(BD!$Q$3:$Q$5001,BD!$A$3:$A$5001,P$3,BD!$B$3:$B$5001,$A$369)))</f>
        <v/>
      </c>
      <c r="Q383" s="271" t="str">
        <f>IF(Q$3="","",IF(COUNTIFS(BD!$A$3:$A$5001,Q$3,BD!$B$3:$B$5001,$A$369,BD!$Q$3:$Q$5001,"&lt;&gt;")=0,"",SUMIFS(BD!$Q$3:$Q$5001,BD!$A$3:$A$5001,Q$3,BD!$B$3:$B$5001,$A$369)))</f>
        <v/>
      </c>
      <c r="R383" s="271" t="str">
        <f>IF(R$3="","",IF(COUNTIFS(BD!$A$3:$A$5001,R$3,BD!$B$3:$B$5001,$A$369,BD!$Q$3:$Q$5001,"&lt;&gt;")=0,"",SUMIFS(BD!$Q$3:$Q$5001,BD!$A$3:$A$5001,R$3,BD!$B$3:$B$5001,$A$369)))</f>
        <v/>
      </c>
      <c r="S383" s="271" t="str">
        <f>IF(S$3="","",IF(COUNTIFS(BD!$A$3:$A$5001,S$3,BD!$B$3:$B$5001,$A$369,BD!$Q$3:$Q$5001,"&lt;&gt;")=0,"",SUMIFS(BD!$Q$3:$Q$5001,BD!$A$3:$A$5001,S$3,BD!$B$3:$B$5001,$A$369)))</f>
        <v/>
      </c>
      <c r="T383" s="271" t="str">
        <f>IF(T$3="","",IF(COUNTIFS(BD!$A$3:$A$5001,T$3,BD!$B$3:$B$5001,$A$369,BD!$Q$3:$Q$5001,"&lt;&gt;")=0,"",SUMIFS(BD!$Q$3:$Q$5001,BD!$A$3:$A$5001,T$3,BD!$B$3:$B$5001,$A$369)))</f>
        <v/>
      </c>
      <c r="U383" s="271" t="str">
        <f>IF(U$3="","",IF(COUNTIFS(BD!$A$3:$A$5001,U$3,BD!$B$3:$B$5001,$A$369,BD!$Q$3:$Q$5001,"&lt;&gt;")=0,"",SUMIFS(BD!$Q$3:$Q$5001,BD!$A$3:$A$5001,U$3,BD!$B$3:$B$5001,$A$369)))</f>
        <v/>
      </c>
      <c r="V383" s="271" t="str">
        <f>IF(V$3="","",IF(COUNTIFS(BD!$A$3:$A$5001,V$3,BD!$B$3:$B$5001,$A$369,BD!$Q$3:$Q$5001,"&lt;&gt;")=0,"",SUMIFS(BD!$Q$3:$Q$5001,BD!$A$3:$A$5001,V$3,BD!$B$3:$B$5001,$A$369)))</f>
        <v/>
      </c>
      <c r="W383" s="271" t="str">
        <f>IF(W$3="","",IF(COUNTIFS(BD!$A$3:$A$5001,W$3,BD!$B$3:$B$5001,$A$369,BD!$Q$3:$Q$5001,"&lt;&gt;")=0,"",SUMIFS(BD!$Q$3:$Q$5001,BD!$A$3:$A$5001,W$3,BD!$B$3:$B$5001,$A$369)))</f>
        <v/>
      </c>
      <c r="X383" s="271" t="str">
        <f>IF(X$3="","",IF(COUNTIFS(BD!$A$3:$A$5001,X$3,BD!$B$3:$B$5001,$A$369,BD!$Q$3:$Q$5001,"&lt;&gt;")=0,"",SUMIFS(BD!$Q$3:$Q$5001,BD!$A$3:$A$5001,X$3,BD!$B$3:$B$5001,$A$369)))</f>
        <v/>
      </c>
      <c r="Y383" s="271" t="str">
        <f>IF(Y$3="","",IF(COUNTIFS(BD!$A$3:$A$5001,Y$3,BD!$B$3:$B$5001,$A$369,BD!$Q$3:$Q$5001,"&lt;&gt;")=0,"",SUMIFS(BD!$Q$3:$Q$5001,BD!$A$3:$A$5001,Y$3,BD!$B$3:$B$5001,$A$369)))</f>
        <v/>
      </c>
      <c r="Z383" s="271" t="str">
        <f>IF(Z$3="","",IF(COUNTIFS(BD!$A$3:$A$5001,Z$3,BD!$B$3:$B$5001,$A$369,BD!$Q$3:$Q$5001,"&lt;&gt;")=0,"",SUMIFS(BD!$Q$3:$Q$5001,BD!$A$3:$A$5001,Z$3,BD!$B$3:$B$5001,$A$369)))</f>
        <v/>
      </c>
      <c r="AA383" s="271" t="str">
        <f>IF(AA$3="","",IF(COUNTIFS(BD!$A$3:$A$5001,AA$3,BD!$B$3:$B$5001,$A$369,BD!$Q$3:$Q$5001,"&lt;&gt;")=0,"",SUMIFS(BD!$Q$3:$Q$5001,BD!$A$3:$A$5001,AA$3,BD!$B$3:$B$5001,$A$369)))</f>
        <v/>
      </c>
      <c r="AB383" s="271" t="str">
        <f>IF(AB$3="","",IF(COUNTIFS(BD!$A$3:$A$5001,AB$3,BD!$B$3:$B$5001,$A$369,BD!$Q$3:$Q$5001,"&lt;&gt;")=0,"",SUMIFS(BD!$Q$3:$Q$5001,BD!$A$3:$A$5001,AB$3,BD!$B$3:$B$5001,$A$369)))</f>
        <v/>
      </c>
      <c r="AC383" s="271" t="str">
        <f>IF(AC$3="","",IF(COUNTIFS(BD!$A$3:$A$5001,AC$3,BD!$B$3:$B$5001,$A$369,BD!$Q$3:$Q$5001,"&lt;&gt;")=0,"",SUMIFS(BD!$Q$3:$Q$5001,BD!$A$3:$A$5001,AC$3,BD!$B$3:$B$5001,$A$369)))</f>
        <v/>
      </c>
      <c r="AD383" s="271" t="str">
        <f>IF(AD$3="","",IF(COUNTIFS(BD!$A$3:$A$5001,AD$3,BD!$B$3:$B$5001,$A$369,BD!$Q$3:$Q$5001,"&lt;&gt;")=0,"",SUMIFS(BD!$Q$3:$Q$5001,BD!$A$3:$A$5001,AD$3,BD!$B$3:$B$5001,$A$369)))</f>
        <v/>
      </c>
      <c r="AE383" s="271" t="str">
        <f>IF(AE$3="","",IF(COUNTIFS(BD!$A$3:$A$5001,AE$3,BD!$B$3:$B$5001,$A$369,BD!$Q$3:$Q$5001,"&lt;&gt;")=0,"",SUMIFS(BD!$Q$3:$Q$5001,BD!$A$3:$A$5001,AE$3,BD!$B$3:$B$5001,$A$369)))</f>
        <v/>
      </c>
      <c r="AF383" s="271" t="str">
        <f>IF(AF$3="","",IF(COUNTIFS(BD!$A$3:$A$5001,AF$3,BD!$B$3:$B$5001,$A$369,BD!$Q$3:$Q$5001,"&lt;&gt;")=0,"",SUMIFS(BD!$Q$3:$Q$5001,BD!$A$3:$A$5001,AF$3,BD!$B$3:$B$5001,$A$369)))</f>
        <v/>
      </c>
      <c r="AG383" s="271" t="str">
        <f>IF(AG$3="","",IF(COUNTIFS(BD!$A$3:$A$5001,AG$3,BD!$B$3:$B$5001,$A$369,BD!$Q$3:$Q$5001,"&lt;&gt;")=0,"",SUMIFS(BD!$Q$3:$Q$5001,BD!$A$3:$A$5001,AG$3,BD!$B$3:$B$5001,$A$369)))</f>
        <v/>
      </c>
      <c r="AH383" s="271" t="str">
        <f>IF(AH$3="","",IF(COUNTIFS(BD!$A$3:$A$5001,AH$3,BD!$B$3:$B$5001,$A$369,BD!$Q$3:$Q$5001,"&lt;&gt;")=0,"",SUMIFS(BD!$Q$3:$Q$5001,BD!$A$3:$A$5001,AH$3,BD!$B$3:$B$5001,$A$369)))</f>
        <v/>
      </c>
      <c r="AI383" s="271" t="str">
        <f>IF(AI$3="","",IF(COUNTIFS(BD!$A$3:$A$5001,AI$3,BD!$B$3:$B$5001,$A$369,BD!$Q$3:$Q$5001,"&lt;&gt;")=0,"",SUMIFS(BD!$Q$3:$Q$5001,BD!$A$3:$A$5001,AI$3,BD!$B$3:$B$5001,$A$369)))</f>
        <v/>
      </c>
      <c r="AJ383" s="272" t="str">
        <f>IF(AJ$3="","",IF(COUNTIFS(BD!$A$3:$A$5001,AJ$3,BD!$B$3:$B$5001,$A$369,BD!$Q$3:$Q$5001,"&lt;&gt;")=0,"",SUMIFS(BD!$Q$3:$Q$5001,BD!$A$3:$A$5001,AJ$3,BD!$B$3:$B$5001,$A$369)))</f>
        <v/>
      </c>
      <c r="AK383" s="273" t="str">
        <f>IF(COUNT(F383:AJ383)=0,"",SUM(F383:AJ383))</f>
        <v/>
      </c>
    </row>
    <row r="384" ht="15.75" customHeight="1" hidden="1">
      <c r="A384" s="261"/>
      <c r="B384" s="278"/>
      <c r="C384" s="267" t="inlineStr">
        <is>
          <t xml:space="preserve">Pallets Movimentados</t>
        </is>
      </c>
      <c r="D384" s="268" t="str">
        <f>IFERROR(1/(1/INDEX(BD!$AL$38:$BF$38,MATCH($A$369,BD!$AL$22:$BF$22,0))),"")</f>
        <v/>
      </c>
      <c r="E384" s="269"/>
      <c r="F384" s="270" t="str">
        <f>IF(F$3="","",IF(COUNTIFS(BD!$A$3:$A$5001,F$3,BD!$B$3:$B$5001,$A$369,BD!$R$3:$R$5001,"&lt;&gt;")=0,"",SUMIFS(BD!$R$3:$R$5001,BD!$A$3:$A$5001,F$3,BD!$B$3:$B$5001,$A$369)))</f>
        <v/>
      </c>
      <c r="G384" s="271" t="str">
        <f>IF(G$3="","",IF(COUNTIFS(BD!$A$3:$A$5001,G$3,BD!$B$3:$B$5001,$A$369,BD!$R$3:$R$5001,"&lt;&gt;")=0,"",SUMIFS(BD!$R$3:$R$5001,BD!$A$3:$A$5001,G$3,BD!$B$3:$B$5001,$A$369)))</f>
        <v/>
      </c>
      <c r="H384" s="271" t="str">
        <f>IF(H$3="","",IF(COUNTIFS(BD!$A$3:$A$5001,H$3,BD!$B$3:$B$5001,$A$369,BD!$R$3:$R$5001,"&lt;&gt;")=0,"",SUMIFS(BD!$R$3:$R$5001,BD!$A$3:$A$5001,H$3,BD!$B$3:$B$5001,$A$369)))</f>
        <v/>
      </c>
      <c r="I384" s="271" t="str">
        <f>IF(I$3="","",IF(COUNTIFS(BD!$A$3:$A$5001,I$3,BD!$B$3:$B$5001,$A$369,BD!$R$3:$R$5001,"&lt;&gt;")=0,"",SUMIFS(BD!$R$3:$R$5001,BD!$A$3:$A$5001,I$3,BD!$B$3:$B$5001,$A$369)))</f>
        <v/>
      </c>
      <c r="J384" s="271" t="str">
        <f>IF(J$3="","",IF(COUNTIFS(BD!$A$3:$A$5001,J$3,BD!$B$3:$B$5001,$A$369,BD!$R$3:$R$5001,"&lt;&gt;")=0,"",SUMIFS(BD!$R$3:$R$5001,BD!$A$3:$A$5001,J$3,BD!$B$3:$B$5001,$A$369)))</f>
        <v/>
      </c>
      <c r="K384" s="271" t="str">
        <f>IF(K$3="","",IF(COUNTIFS(BD!$A$3:$A$5001,K$3,BD!$B$3:$B$5001,$A$369,BD!$R$3:$R$5001,"&lt;&gt;")=0,"",SUMIFS(BD!$R$3:$R$5001,BD!$A$3:$A$5001,K$3,BD!$B$3:$B$5001,$A$369)))</f>
        <v/>
      </c>
      <c r="L384" s="271" t="str">
        <f>IF(L$3="","",IF(COUNTIFS(BD!$A$3:$A$5001,L$3,BD!$B$3:$B$5001,$A$369,BD!$R$3:$R$5001,"&lt;&gt;")=0,"",SUMIFS(BD!$R$3:$R$5001,BD!$A$3:$A$5001,L$3,BD!$B$3:$B$5001,$A$369)))</f>
        <v/>
      </c>
      <c r="M384" s="271" t="str">
        <f>IF(M$3="","",IF(COUNTIFS(BD!$A$3:$A$5001,M$3,BD!$B$3:$B$5001,$A$369,BD!$R$3:$R$5001,"&lt;&gt;")=0,"",SUMIFS(BD!$R$3:$R$5001,BD!$A$3:$A$5001,M$3,BD!$B$3:$B$5001,$A$369)))</f>
        <v/>
      </c>
      <c r="N384" s="271" t="str">
        <f>IF(N$3="","",IF(COUNTIFS(BD!$A$3:$A$5001,N$3,BD!$B$3:$B$5001,$A$369,BD!$R$3:$R$5001,"&lt;&gt;")=0,"",SUMIFS(BD!$R$3:$R$5001,BD!$A$3:$A$5001,N$3,BD!$B$3:$B$5001,$A$369)))</f>
        <v/>
      </c>
      <c r="O384" s="271" t="str">
        <f>IF(O$3="","",IF(COUNTIFS(BD!$A$3:$A$5001,O$3,BD!$B$3:$B$5001,$A$369,BD!$R$3:$R$5001,"&lt;&gt;")=0,"",SUMIFS(BD!$R$3:$R$5001,BD!$A$3:$A$5001,O$3,BD!$B$3:$B$5001,$A$369)))</f>
        <v/>
      </c>
      <c r="P384" s="271" t="str">
        <f>IF(P$3="","",IF(COUNTIFS(BD!$A$3:$A$5001,P$3,BD!$B$3:$B$5001,$A$369,BD!$R$3:$R$5001,"&lt;&gt;")=0,"",SUMIFS(BD!$R$3:$R$5001,BD!$A$3:$A$5001,P$3,BD!$B$3:$B$5001,$A$369)))</f>
        <v/>
      </c>
      <c r="Q384" s="271" t="str">
        <f>IF(Q$3="","",IF(COUNTIFS(BD!$A$3:$A$5001,Q$3,BD!$B$3:$B$5001,$A$369,BD!$R$3:$R$5001,"&lt;&gt;")=0,"",SUMIFS(BD!$R$3:$R$5001,BD!$A$3:$A$5001,Q$3,BD!$B$3:$B$5001,$A$369)))</f>
        <v/>
      </c>
      <c r="R384" s="271" t="str">
        <f>IF(R$3="","",IF(COUNTIFS(BD!$A$3:$A$5001,R$3,BD!$B$3:$B$5001,$A$369,BD!$R$3:$R$5001,"&lt;&gt;")=0,"",SUMIFS(BD!$R$3:$R$5001,BD!$A$3:$A$5001,R$3,BD!$B$3:$B$5001,$A$369)))</f>
        <v/>
      </c>
      <c r="S384" s="271" t="str">
        <f>IF(S$3="","",IF(COUNTIFS(BD!$A$3:$A$5001,S$3,BD!$B$3:$B$5001,$A$369,BD!$R$3:$R$5001,"&lt;&gt;")=0,"",SUMIFS(BD!$R$3:$R$5001,BD!$A$3:$A$5001,S$3,BD!$B$3:$B$5001,$A$369)))</f>
        <v/>
      </c>
      <c r="T384" s="271" t="str">
        <f>IF(T$3="","",IF(COUNTIFS(BD!$A$3:$A$5001,T$3,BD!$B$3:$B$5001,$A$369,BD!$R$3:$R$5001,"&lt;&gt;")=0,"",SUMIFS(BD!$R$3:$R$5001,BD!$A$3:$A$5001,T$3,BD!$B$3:$B$5001,$A$369)))</f>
        <v/>
      </c>
      <c r="U384" s="271" t="str">
        <f>IF(U$3="","",IF(COUNTIFS(BD!$A$3:$A$5001,U$3,BD!$B$3:$B$5001,$A$369,BD!$R$3:$R$5001,"&lt;&gt;")=0,"",SUMIFS(BD!$R$3:$R$5001,BD!$A$3:$A$5001,U$3,BD!$B$3:$B$5001,$A$369)))</f>
        <v/>
      </c>
      <c r="V384" s="271" t="str">
        <f>IF(V$3="","",IF(COUNTIFS(BD!$A$3:$A$5001,V$3,BD!$B$3:$B$5001,$A$369,BD!$R$3:$R$5001,"&lt;&gt;")=0,"",SUMIFS(BD!$R$3:$R$5001,BD!$A$3:$A$5001,V$3,BD!$B$3:$B$5001,$A$369)))</f>
        <v/>
      </c>
      <c r="W384" s="271" t="str">
        <f>IF(W$3="","",IF(COUNTIFS(BD!$A$3:$A$5001,W$3,BD!$B$3:$B$5001,$A$369,BD!$R$3:$R$5001,"&lt;&gt;")=0,"",SUMIFS(BD!$R$3:$R$5001,BD!$A$3:$A$5001,W$3,BD!$B$3:$B$5001,$A$369)))</f>
        <v/>
      </c>
      <c r="X384" s="271" t="str">
        <f>IF(X$3="","",IF(COUNTIFS(BD!$A$3:$A$5001,X$3,BD!$B$3:$B$5001,$A$369,BD!$R$3:$R$5001,"&lt;&gt;")=0,"",SUMIFS(BD!$R$3:$R$5001,BD!$A$3:$A$5001,X$3,BD!$B$3:$B$5001,$A$369)))</f>
        <v/>
      </c>
      <c r="Y384" s="271" t="str">
        <f>IF(Y$3="","",IF(COUNTIFS(BD!$A$3:$A$5001,Y$3,BD!$B$3:$B$5001,$A$369,BD!$R$3:$R$5001,"&lt;&gt;")=0,"",SUMIFS(BD!$R$3:$R$5001,BD!$A$3:$A$5001,Y$3,BD!$B$3:$B$5001,$A$369)))</f>
        <v/>
      </c>
      <c r="Z384" s="271" t="str">
        <f>IF(Z$3="","",IF(COUNTIFS(BD!$A$3:$A$5001,Z$3,BD!$B$3:$B$5001,$A$369,BD!$R$3:$R$5001,"&lt;&gt;")=0,"",SUMIFS(BD!$R$3:$R$5001,BD!$A$3:$A$5001,Z$3,BD!$B$3:$B$5001,$A$369)))</f>
        <v/>
      </c>
      <c r="AA384" s="271" t="str">
        <f>IF(AA$3="","",IF(COUNTIFS(BD!$A$3:$A$5001,AA$3,BD!$B$3:$B$5001,$A$369,BD!$R$3:$R$5001,"&lt;&gt;")=0,"",SUMIFS(BD!$R$3:$R$5001,BD!$A$3:$A$5001,AA$3,BD!$B$3:$B$5001,$A$369)))</f>
        <v/>
      </c>
      <c r="AB384" s="271" t="str">
        <f>IF(AB$3="","",IF(COUNTIFS(BD!$A$3:$A$5001,AB$3,BD!$B$3:$B$5001,$A$369,BD!$R$3:$R$5001,"&lt;&gt;")=0,"",SUMIFS(BD!$R$3:$R$5001,BD!$A$3:$A$5001,AB$3,BD!$B$3:$B$5001,$A$369)))</f>
        <v/>
      </c>
      <c r="AC384" s="271" t="str">
        <f>IF(AC$3="","",IF(COUNTIFS(BD!$A$3:$A$5001,AC$3,BD!$B$3:$B$5001,$A$369,BD!$R$3:$R$5001,"&lt;&gt;")=0,"",SUMIFS(BD!$R$3:$R$5001,BD!$A$3:$A$5001,AC$3,BD!$B$3:$B$5001,$A$369)))</f>
        <v/>
      </c>
      <c r="AD384" s="271" t="str">
        <f>IF(AD$3="","",IF(COUNTIFS(BD!$A$3:$A$5001,AD$3,BD!$B$3:$B$5001,$A$369,BD!$R$3:$R$5001,"&lt;&gt;")=0,"",SUMIFS(BD!$R$3:$R$5001,BD!$A$3:$A$5001,AD$3,BD!$B$3:$B$5001,$A$369)))</f>
        <v/>
      </c>
      <c r="AE384" s="271" t="str">
        <f>IF(AE$3="","",IF(COUNTIFS(BD!$A$3:$A$5001,AE$3,BD!$B$3:$B$5001,$A$369,BD!$R$3:$R$5001,"&lt;&gt;")=0,"",SUMIFS(BD!$R$3:$R$5001,BD!$A$3:$A$5001,AE$3,BD!$B$3:$B$5001,$A$369)))</f>
        <v/>
      </c>
      <c r="AF384" s="271" t="str">
        <f>IF(AF$3="","",IF(COUNTIFS(BD!$A$3:$A$5001,AF$3,BD!$B$3:$B$5001,$A$369,BD!$R$3:$R$5001,"&lt;&gt;")=0,"",SUMIFS(BD!$R$3:$R$5001,BD!$A$3:$A$5001,AF$3,BD!$B$3:$B$5001,$A$369)))</f>
        <v/>
      </c>
      <c r="AG384" s="271" t="str">
        <f>IF(AG$3="","",IF(COUNTIFS(BD!$A$3:$A$5001,AG$3,BD!$B$3:$B$5001,$A$369,BD!$R$3:$R$5001,"&lt;&gt;")=0,"",SUMIFS(BD!$R$3:$R$5001,BD!$A$3:$A$5001,AG$3,BD!$B$3:$B$5001,$A$369)))</f>
        <v/>
      </c>
      <c r="AH384" s="271" t="str">
        <f>IF(AH$3="","",IF(COUNTIFS(BD!$A$3:$A$5001,AH$3,BD!$B$3:$B$5001,$A$369,BD!$R$3:$R$5001,"&lt;&gt;")=0,"",SUMIFS(BD!$R$3:$R$5001,BD!$A$3:$A$5001,AH$3,BD!$B$3:$B$5001,$A$369)))</f>
        <v/>
      </c>
      <c r="AI384" s="271" t="str">
        <f>IF(AI$3="","",IF(COUNTIFS(BD!$A$3:$A$5001,AI$3,BD!$B$3:$B$5001,$A$369,BD!$R$3:$R$5001,"&lt;&gt;")=0,"",SUMIFS(BD!$R$3:$R$5001,BD!$A$3:$A$5001,AI$3,BD!$B$3:$B$5001,$A$369)))</f>
        <v/>
      </c>
      <c r="AJ384" s="272" t="str">
        <f>IF(AJ$3="","",IF(COUNTIFS(BD!$A$3:$A$5001,AJ$3,BD!$B$3:$B$5001,$A$369,BD!$R$3:$R$5001,"&lt;&gt;")=0,"",SUMIFS(BD!$R$3:$R$5001,BD!$A$3:$A$5001,AJ$3,BD!$B$3:$B$5001,$A$369)))</f>
        <v/>
      </c>
      <c r="AK384" s="273" t="str">
        <f>IF(COUNT(F384:AJ384)=0,"",SUM(F384:AJ384))</f>
        <v/>
      </c>
    </row>
    <row r="385" ht="15.75" customHeight="1" hidden="1">
      <c r="A385" s="261"/>
      <c r="B385" s="252"/>
      <c r="C385" s="188" t="inlineStr">
        <is>
          <t xml:space="preserve">Toneladas Movimentadas</t>
        </is>
      </c>
      <c r="D385" s="189" t="str">
        <f>IFERROR(1/(1/INDEX(BD!$AL$39:$BF$39,MATCH($A$369,BD!$AL$22:$BF$22,0))),"")</f>
        <v/>
      </c>
      <c r="E385" s="190"/>
      <c r="F385" s="274" t="str">
        <f>IF(F$3="","",IF(COUNTIFS(BD!$A$3:$A$5001,F$3,BD!$B$3:$B$5001,$A$369,BD!$S$3:$S$5001,"&lt;&gt;")=0,"",SUMIFS(BD!$S$3:$S$5001,BD!$A$3:$A$5001,F$3,BD!$B$3:$B$5001,$A$369)))</f>
        <v/>
      </c>
      <c r="G385" s="275" t="str">
        <f>IF(G$3="","",IF(COUNTIFS(BD!$A$3:$A$5001,G$3,BD!$B$3:$B$5001,$A$369,BD!$S$3:$S$5001,"&lt;&gt;")=0,"",SUMIFS(BD!$S$3:$S$5001,BD!$A$3:$A$5001,G$3,BD!$B$3:$B$5001,$A$369)))</f>
        <v/>
      </c>
      <c r="H385" s="275" t="str">
        <f>IF(H$3="","",IF(COUNTIFS(BD!$A$3:$A$5001,H$3,BD!$B$3:$B$5001,$A$369,BD!$S$3:$S$5001,"&lt;&gt;")=0,"",SUMIFS(BD!$S$3:$S$5001,BD!$A$3:$A$5001,H$3,BD!$B$3:$B$5001,$A$369)))</f>
        <v/>
      </c>
      <c r="I385" s="275" t="str">
        <f>IF(I$3="","",IF(COUNTIFS(BD!$A$3:$A$5001,I$3,BD!$B$3:$B$5001,$A$369,BD!$S$3:$S$5001,"&lt;&gt;")=0,"",SUMIFS(BD!$S$3:$S$5001,BD!$A$3:$A$5001,I$3,BD!$B$3:$B$5001,$A$369)))</f>
        <v/>
      </c>
      <c r="J385" s="275" t="str">
        <f>IF(J$3="","",IF(COUNTIFS(BD!$A$3:$A$5001,J$3,BD!$B$3:$B$5001,$A$369,BD!$S$3:$S$5001,"&lt;&gt;")=0,"",SUMIFS(BD!$S$3:$S$5001,BD!$A$3:$A$5001,J$3,BD!$B$3:$B$5001,$A$369)))</f>
        <v/>
      </c>
      <c r="K385" s="275" t="str">
        <f>IF(K$3="","",IF(COUNTIFS(BD!$A$3:$A$5001,K$3,BD!$B$3:$B$5001,$A$369,BD!$S$3:$S$5001,"&lt;&gt;")=0,"",SUMIFS(BD!$S$3:$S$5001,BD!$A$3:$A$5001,K$3,BD!$B$3:$B$5001,$A$369)))</f>
        <v/>
      </c>
      <c r="L385" s="275" t="str">
        <f>IF(L$3="","",IF(COUNTIFS(BD!$A$3:$A$5001,L$3,BD!$B$3:$B$5001,$A$369,BD!$S$3:$S$5001,"&lt;&gt;")=0,"",SUMIFS(BD!$S$3:$S$5001,BD!$A$3:$A$5001,L$3,BD!$B$3:$B$5001,$A$369)))</f>
        <v/>
      </c>
      <c r="M385" s="275" t="str">
        <f>IF(M$3="","",IF(COUNTIFS(BD!$A$3:$A$5001,M$3,BD!$B$3:$B$5001,$A$369,BD!$S$3:$S$5001,"&lt;&gt;")=0,"",SUMIFS(BD!$S$3:$S$5001,BD!$A$3:$A$5001,M$3,BD!$B$3:$B$5001,$A$369)))</f>
        <v/>
      </c>
      <c r="N385" s="275" t="str">
        <f>IF(N$3="","",IF(COUNTIFS(BD!$A$3:$A$5001,N$3,BD!$B$3:$B$5001,$A$369,BD!$S$3:$S$5001,"&lt;&gt;")=0,"",SUMIFS(BD!$S$3:$S$5001,BD!$A$3:$A$5001,N$3,BD!$B$3:$B$5001,$A$369)))</f>
        <v/>
      </c>
      <c r="O385" s="275" t="str">
        <f>IF(O$3="","",IF(COUNTIFS(BD!$A$3:$A$5001,O$3,BD!$B$3:$B$5001,$A$369,BD!$S$3:$S$5001,"&lt;&gt;")=0,"",SUMIFS(BD!$S$3:$S$5001,BD!$A$3:$A$5001,O$3,BD!$B$3:$B$5001,$A$369)))</f>
        <v/>
      </c>
      <c r="P385" s="275" t="str">
        <f>IF(P$3="","",IF(COUNTIFS(BD!$A$3:$A$5001,P$3,BD!$B$3:$B$5001,$A$369,BD!$S$3:$S$5001,"&lt;&gt;")=0,"",SUMIFS(BD!$S$3:$S$5001,BD!$A$3:$A$5001,P$3,BD!$B$3:$B$5001,$A$369)))</f>
        <v/>
      </c>
      <c r="Q385" s="275" t="str">
        <f>IF(Q$3="","",IF(COUNTIFS(BD!$A$3:$A$5001,Q$3,BD!$B$3:$B$5001,$A$369,BD!$S$3:$S$5001,"&lt;&gt;")=0,"",SUMIFS(BD!$S$3:$S$5001,BD!$A$3:$A$5001,Q$3,BD!$B$3:$B$5001,$A$369)))</f>
        <v/>
      </c>
      <c r="R385" s="275" t="str">
        <f>IF(R$3="","",IF(COUNTIFS(BD!$A$3:$A$5001,R$3,BD!$B$3:$B$5001,$A$369,BD!$S$3:$S$5001,"&lt;&gt;")=0,"",SUMIFS(BD!$S$3:$S$5001,BD!$A$3:$A$5001,R$3,BD!$B$3:$B$5001,$A$369)))</f>
        <v/>
      </c>
      <c r="S385" s="275" t="str">
        <f>IF(S$3="","",IF(COUNTIFS(BD!$A$3:$A$5001,S$3,BD!$B$3:$B$5001,$A$369,BD!$S$3:$S$5001,"&lt;&gt;")=0,"",SUMIFS(BD!$S$3:$S$5001,BD!$A$3:$A$5001,S$3,BD!$B$3:$B$5001,$A$369)))</f>
        <v/>
      </c>
      <c r="T385" s="275" t="str">
        <f>IF(T$3="","",IF(COUNTIFS(BD!$A$3:$A$5001,T$3,BD!$B$3:$B$5001,$A$369,BD!$S$3:$S$5001,"&lt;&gt;")=0,"",SUMIFS(BD!$S$3:$S$5001,BD!$A$3:$A$5001,T$3,BD!$B$3:$B$5001,$A$369)))</f>
        <v/>
      </c>
      <c r="U385" s="275" t="str">
        <f>IF(U$3="","",IF(COUNTIFS(BD!$A$3:$A$5001,U$3,BD!$B$3:$B$5001,$A$369,BD!$S$3:$S$5001,"&lt;&gt;")=0,"",SUMIFS(BD!$S$3:$S$5001,BD!$A$3:$A$5001,U$3,BD!$B$3:$B$5001,$A$369)))</f>
        <v/>
      </c>
      <c r="V385" s="275" t="str">
        <f>IF(V$3="","",IF(COUNTIFS(BD!$A$3:$A$5001,V$3,BD!$B$3:$B$5001,$A$369,BD!$S$3:$S$5001,"&lt;&gt;")=0,"",SUMIFS(BD!$S$3:$S$5001,BD!$A$3:$A$5001,V$3,BD!$B$3:$B$5001,$A$369)))</f>
        <v/>
      </c>
      <c r="W385" s="275" t="str">
        <f>IF(W$3="","",IF(COUNTIFS(BD!$A$3:$A$5001,W$3,BD!$B$3:$B$5001,$A$369,BD!$S$3:$S$5001,"&lt;&gt;")=0,"",SUMIFS(BD!$S$3:$S$5001,BD!$A$3:$A$5001,W$3,BD!$B$3:$B$5001,$A$369)))</f>
        <v/>
      </c>
      <c r="X385" s="275" t="str">
        <f>IF(X$3="","",IF(COUNTIFS(BD!$A$3:$A$5001,X$3,BD!$B$3:$B$5001,$A$369,BD!$S$3:$S$5001,"&lt;&gt;")=0,"",SUMIFS(BD!$S$3:$S$5001,BD!$A$3:$A$5001,X$3,BD!$B$3:$B$5001,$A$369)))</f>
        <v/>
      </c>
      <c r="Y385" s="275" t="str">
        <f>IF(Y$3="","",IF(COUNTIFS(BD!$A$3:$A$5001,Y$3,BD!$B$3:$B$5001,$A$369,BD!$S$3:$S$5001,"&lt;&gt;")=0,"",SUMIFS(BD!$S$3:$S$5001,BD!$A$3:$A$5001,Y$3,BD!$B$3:$B$5001,$A$369)))</f>
        <v/>
      </c>
      <c r="Z385" s="275" t="str">
        <f>IF(Z$3="","",IF(COUNTIFS(BD!$A$3:$A$5001,Z$3,BD!$B$3:$B$5001,$A$369,BD!$S$3:$S$5001,"&lt;&gt;")=0,"",SUMIFS(BD!$S$3:$S$5001,BD!$A$3:$A$5001,Z$3,BD!$B$3:$B$5001,$A$369)))</f>
        <v/>
      </c>
      <c r="AA385" s="275" t="str">
        <f>IF(AA$3="","",IF(COUNTIFS(BD!$A$3:$A$5001,AA$3,BD!$B$3:$B$5001,$A$369,BD!$S$3:$S$5001,"&lt;&gt;")=0,"",SUMIFS(BD!$S$3:$S$5001,BD!$A$3:$A$5001,AA$3,BD!$B$3:$B$5001,$A$369)))</f>
        <v/>
      </c>
      <c r="AB385" s="275" t="str">
        <f>IF(AB$3="","",IF(COUNTIFS(BD!$A$3:$A$5001,AB$3,BD!$B$3:$B$5001,$A$369,BD!$S$3:$S$5001,"&lt;&gt;")=0,"",SUMIFS(BD!$S$3:$S$5001,BD!$A$3:$A$5001,AB$3,BD!$B$3:$B$5001,$A$369)))</f>
        <v/>
      </c>
      <c r="AC385" s="275" t="str">
        <f>IF(AC$3="","",IF(COUNTIFS(BD!$A$3:$A$5001,AC$3,BD!$B$3:$B$5001,$A$369,BD!$S$3:$S$5001,"&lt;&gt;")=0,"",SUMIFS(BD!$S$3:$S$5001,BD!$A$3:$A$5001,AC$3,BD!$B$3:$B$5001,$A$369)))</f>
        <v/>
      </c>
      <c r="AD385" s="275" t="str">
        <f>IF(AD$3="","",IF(COUNTIFS(BD!$A$3:$A$5001,AD$3,BD!$B$3:$B$5001,$A$369,BD!$S$3:$S$5001,"&lt;&gt;")=0,"",SUMIFS(BD!$S$3:$S$5001,BD!$A$3:$A$5001,AD$3,BD!$B$3:$B$5001,$A$369)))</f>
        <v/>
      </c>
      <c r="AE385" s="275" t="str">
        <f>IF(AE$3="","",IF(COUNTIFS(BD!$A$3:$A$5001,AE$3,BD!$B$3:$B$5001,$A$369,BD!$S$3:$S$5001,"&lt;&gt;")=0,"",SUMIFS(BD!$S$3:$S$5001,BD!$A$3:$A$5001,AE$3,BD!$B$3:$B$5001,$A$369)))</f>
        <v/>
      </c>
      <c r="AF385" s="275" t="str">
        <f>IF(AF$3="","",IF(COUNTIFS(BD!$A$3:$A$5001,AF$3,BD!$B$3:$B$5001,$A$369,BD!$S$3:$S$5001,"&lt;&gt;")=0,"",SUMIFS(BD!$S$3:$S$5001,BD!$A$3:$A$5001,AF$3,BD!$B$3:$B$5001,$A$369)))</f>
        <v/>
      </c>
      <c r="AG385" s="275" t="str">
        <f>IF(AG$3="","",IF(COUNTIFS(BD!$A$3:$A$5001,AG$3,BD!$B$3:$B$5001,$A$369,BD!$S$3:$S$5001,"&lt;&gt;")=0,"",SUMIFS(BD!$S$3:$S$5001,BD!$A$3:$A$5001,AG$3,BD!$B$3:$B$5001,$A$369)))</f>
        <v/>
      </c>
      <c r="AH385" s="275" t="str">
        <f>IF(AH$3="","",IF(COUNTIFS(BD!$A$3:$A$5001,AH$3,BD!$B$3:$B$5001,$A$369,BD!$S$3:$S$5001,"&lt;&gt;")=0,"",SUMIFS(BD!$S$3:$S$5001,BD!$A$3:$A$5001,AH$3,BD!$B$3:$B$5001,$A$369)))</f>
        <v/>
      </c>
      <c r="AI385" s="275" t="str">
        <f>IF(AI$3="","",IF(COUNTIFS(BD!$A$3:$A$5001,AI$3,BD!$B$3:$B$5001,$A$369,BD!$S$3:$S$5001,"&lt;&gt;")=0,"",SUMIFS(BD!$S$3:$S$5001,BD!$A$3:$A$5001,AI$3,BD!$B$3:$B$5001,$A$369)))</f>
        <v/>
      </c>
      <c r="AJ385" s="276" t="str">
        <f>IF(AJ$3="","",IF(COUNTIFS(BD!$A$3:$A$5001,AJ$3,BD!$B$3:$B$5001,$A$369,BD!$S$3:$S$5001,"&lt;&gt;")=0,"",SUMIFS(BD!$S$3:$S$5001,BD!$A$3:$A$5001,AJ$3,BD!$B$3:$B$5001,$A$369)))</f>
        <v/>
      </c>
      <c r="AK385" s="277" t="str">
        <f>IF(COUNT(F385:AJ385)=0,"",SUM(F385:AJ385))</f>
        <v/>
      </c>
    </row>
    <row r="386" ht="15.75" customHeight="1" hidden="1">
      <c r="A386" s="261"/>
      <c r="B386" s="253" t="inlineStr">
        <is>
          <t xml:space="preserve">NC</t>
        </is>
      </c>
      <c r="C386" s="194" t="inlineStr">
        <is>
          <t xml:space="preserve">Incidentes</t>
        </is>
      </c>
      <c r="D386" s="195" t="str">
        <f>IFERROR(1/(1/INDEX(BD!$AL$40:$BF$40,MATCH($A$369,BD!$AL$22:$BF$22,0))),"")</f>
        <v/>
      </c>
      <c r="E386" s="196"/>
      <c r="F386" s="197" t="str">
        <f>IF(F$3="","",IF(COUNTIFS(BD!$A$3:$A$5001,F$3,BD!$B$3:$B$5001,$A$369,BD!$T$3:$T$5001,"&lt;&gt;")=0,"",SUMIFS(BD!$T$3:$T$5001,BD!$A$3:$A$5001,F$3,BD!$B$3:$B$5001,$A$369)))</f>
        <v/>
      </c>
      <c r="G386" s="198" t="str">
        <f>IF(G$3="","",IF(COUNTIFS(BD!$A$3:$A$5001,G$3,BD!$B$3:$B$5001,$A$369,BD!$T$3:$T$5001,"&lt;&gt;")=0,"",SUMIFS(BD!$T$3:$T$5001,BD!$A$3:$A$5001,G$3,BD!$B$3:$B$5001,$A$369)))</f>
        <v/>
      </c>
      <c r="H386" s="198" t="str">
        <f>IF(H$3="","",IF(COUNTIFS(BD!$A$3:$A$5001,H$3,BD!$B$3:$B$5001,$A$369,BD!$T$3:$T$5001,"&lt;&gt;")=0,"",SUMIFS(BD!$T$3:$T$5001,BD!$A$3:$A$5001,H$3,BD!$B$3:$B$5001,$A$369)))</f>
        <v/>
      </c>
      <c r="I386" s="198" t="str">
        <f>IF(I$3="","",IF(COUNTIFS(BD!$A$3:$A$5001,I$3,BD!$B$3:$B$5001,$A$369,BD!$T$3:$T$5001,"&lt;&gt;")=0,"",SUMIFS(BD!$T$3:$T$5001,BD!$A$3:$A$5001,I$3,BD!$B$3:$B$5001,$A$369)))</f>
        <v/>
      </c>
      <c r="J386" s="198" t="str">
        <f>IF(J$3="","",IF(COUNTIFS(BD!$A$3:$A$5001,J$3,BD!$B$3:$B$5001,$A$369,BD!$T$3:$T$5001,"&lt;&gt;")=0,"",SUMIFS(BD!$T$3:$T$5001,BD!$A$3:$A$5001,J$3,BD!$B$3:$B$5001,$A$369)))</f>
        <v/>
      </c>
      <c r="K386" s="198" t="str">
        <f>IF(K$3="","",IF(COUNTIFS(BD!$A$3:$A$5001,K$3,BD!$B$3:$B$5001,$A$369,BD!$T$3:$T$5001,"&lt;&gt;")=0,"",SUMIFS(BD!$T$3:$T$5001,BD!$A$3:$A$5001,K$3,BD!$B$3:$B$5001,$A$369)))</f>
        <v/>
      </c>
      <c r="L386" s="198" t="str">
        <f>IF(L$3="","",IF(COUNTIFS(BD!$A$3:$A$5001,L$3,BD!$B$3:$B$5001,$A$369,BD!$T$3:$T$5001,"&lt;&gt;")=0,"",SUMIFS(BD!$T$3:$T$5001,BD!$A$3:$A$5001,L$3,BD!$B$3:$B$5001,$A$369)))</f>
        <v/>
      </c>
      <c r="M386" s="198" t="str">
        <f>IF(M$3="","",IF(COUNTIFS(BD!$A$3:$A$5001,M$3,BD!$B$3:$B$5001,$A$369,BD!$T$3:$T$5001,"&lt;&gt;")=0,"",SUMIFS(BD!$T$3:$T$5001,BD!$A$3:$A$5001,M$3,BD!$B$3:$B$5001,$A$369)))</f>
        <v/>
      </c>
      <c r="N386" s="198" t="str">
        <f>IF(N$3="","",IF(COUNTIFS(BD!$A$3:$A$5001,N$3,BD!$B$3:$B$5001,$A$369,BD!$T$3:$T$5001,"&lt;&gt;")=0,"",SUMIFS(BD!$T$3:$T$5001,BD!$A$3:$A$5001,N$3,BD!$B$3:$B$5001,$A$369)))</f>
        <v/>
      </c>
      <c r="O386" s="198" t="str">
        <f>IF(O$3="","",IF(COUNTIFS(BD!$A$3:$A$5001,O$3,BD!$B$3:$B$5001,$A$369,BD!$T$3:$T$5001,"&lt;&gt;")=0,"",SUMIFS(BD!$T$3:$T$5001,BD!$A$3:$A$5001,O$3,BD!$B$3:$B$5001,$A$369)))</f>
        <v/>
      </c>
      <c r="P386" s="198" t="str">
        <f>IF(P$3="","",IF(COUNTIFS(BD!$A$3:$A$5001,P$3,BD!$B$3:$B$5001,$A$369,BD!$T$3:$T$5001,"&lt;&gt;")=0,"",SUMIFS(BD!$T$3:$T$5001,BD!$A$3:$A$5001,P$3,BD!$B$3:$B$5001,$A$369)))</f>
        <v/>
      </c>
      <c r="Q386" s="198" t="str">
        <f>IF(Q$3="","",IF(COUNTIFS(BD!$A$3:$A$5001,Q$3,BD!$B$3:$B$5001,$A$369,BD!$T$3:$T$5001,"&lt;&gt;")=0,"",SUMIFS(BD!$T$3:$T$5001,BD!$A$3:$A$5001,Q$3,BD!$B$3:$B$5001,$A$369)))</f>
        <v/>
      </c>
      <c r="R386" s="198" t="str">
        <f>IF(R$3="","",IF(COUNTIFS(BD!$A$3:$A$5001,R$3,BD!$B$3:$B$5001,$A$369,BD!$T$3:$T$5001,"&lt;&gt;")=0,"",SUMIFS(BD!$T$3:$T$5001,BD!$A$3:$A$5001,R$3,BD!$B$3:$B$5001,$A$369)))</f>
        <v/>
      </c>
      <c r="S386" s="198" t="str">
        <f>IF(S$3="","",IF(COUNTIFS(BD!$A$3:$A$5001,S$3,BD!$B$3:$B$5001,$A$369,BD!$T$3:$T$5001,"&lt;&gt;")=0,"",SUMIFS(BD!$T$3:$T$5001,BD!$A$3:$A$5001,S$3,BD!$B$3:$B$5001,$A$369)))</f>
        <v/>
      </c>
      <c r="T386" s="198" t="str">
        <f>IF(T$3="","",IF(COUNTIFS(BD!$A$3:$A$5001,T$3,BD!$B$3:$B$5001,$A$369,BD!$T$3:$T$5001,"&lt;&gt;")=0,"",SUMIFS(BD!$T$3:$T$5001,BD!$A$3:$A$5001,T$3,BD!$B$3:$B$5001,$A$369)))</f>
        <v/>
      </c>
      <c r="U386" s="198" t="str">
        <f>IF(U$3="","",IF(COUNTIFS(BD!$A$3:$A$5001,U$3,BD!$B$3:$B$5001,$A$369,BD!$T$3:$T$5001,"&lt;&gt;")=0,"",SUMIFS(BD!$T$3:$T$5001,BD!$A$3:$A$5001,U$3,BD!$B$3:$B$5001,$A$369)))</f>
        <v/>
      </c>
      <c r="V386" s="198" t="str">
        <f>IF(V$3="","",IF(COUNTIFS(BD!$A$3:$A$5001,V$3,BD!$B$3:$B$5001,$A$369,BD!$T$3:$T$5001,"&lt;&gt;")=0,"",SUMIFS(BD!$T$3:$T$5001,BD!$A$3:$A$5001,V$3,BD!$B$3:$B$5001,$A$369)))</f>
        <v/>
      </c>
      <c r="W386" s="198" t="str">
        <f>IF(W$3="","",IF(COUNTIFS(BD!$A$3:$A$5001,W$3,BD!$B$3:$B$5001,$A$369,BD!$T$3:$T$5001,"&lt;&gt;")=0,"",SUMIFS(BD!$T$3:$T$5001,BD!$A$3:$A$5001,W$3,BD!$B$3:$B$5001,$A$369)))</f>
        <v/>
      </c>
      <c r="X386" s="198" t="str">
        <f>IF(X$3="","",IF(COUNTIFS(BD!$A$3:$A$5001,X$3,BD!$B$3:$B$5001,$A$369,BD!$T$3:$T$5001,"&lt;&gt;")=0,"",SUMIFS(BD!$T$3:$T$5001,BD!$A$3:$A$5001,X$3,BD!$B$3:$B$5001,$A$369)))</f>
        <v/>
      </c>
      <c r="Y386" s="198" t="str">
        <f>IF(Y$3="","",IF(COUNTIFS(BD!$A$3:$A$5001,Y$3,BD!$B$3:$B$5001,$A$369,BD!$T$3:$T$5001,"&lt;&gt;")=0,"",SUMIFS(BD!$T$3:$T$5001,BD!$A$3:$A$5001,Y$3,BD!$B$3:$B$5001,$A$369)))</f>
        <v/>
      </c>
      <c r="Z386" s="198" t="str">
        <f>IF(Z$3="","",IF(COUNTIFS(BD!$A$3:$A$5001,Z$3,BD!$B$3:$B$5001,$A$369,BD!$T$3:$T$5001,"&lt;&gt;")=0,"",SUMIFS(BD!$T$3:$T$5001,BD!$A$3:$A$5001,Z$3,BD!$B$3:$B$5001,$A$369)))</f>
        <v/>
      </c>
      <c r="AA386" s="198" t="str">
        <f>IF(AA$3="","",IF(COUNTIFS(BD!$A$3:$A$5001,AA$3,BD!$B$3:$B$5001,$A$369,BD!$T$3:$T$5001,"&lt;&gt;")=0,"",SUMIFS(BD!$T$3:$T$5001,BD!$A$3:$A$5001,AA$3,BD!$B$3:$B$5001,$A$369)))</f>
        <v/>
      </c>
      <c r="AB386" s="198" t="str">
        <f>IF(AB$3="","",IF(COUNTIFS(BD!$A$3:$A$5001,AB$3,BD!$B$3:$B$5001,$A$369,BD!$T$3:$T$5001,"&lt;&gt;")=0,"",SUMIFS(BD!$T$3:$T$5001,BD!$A$3:$A$5001,AB$3,BD!$B$3:$B$5001,$A$369)))</f>
        <v/>
      </c>
      <c r="AC386" s="198" t="str">
        <f>IF(AC$3="","",IF(COUNTIFS(BD!$A$3:$A$5001,AC$3,BD!$B$3:$B$5001,$A$369,BD!$T$3:$T$5001,"&lt;&gt;")=0,"",SUMIFS(BD!$T$3:$T$5001,BD!$A$3:$A$5001,AC$3,BD!$B$3:$B$5001,$A$369)))</f>
        <v/>
      </c>
      <c r="AD386" s="198" t="str">
        <f>IF(AD$3="","",IF(COUNTIFS(BD!$A$3:$A$5001,AD$3,BD!$B$3:$B$5001,$A$369,BD!$T$3:$T$5001,"&lt;&gt;")=0,"",SUMIFS(BD!$T$3:$T$5001,BD!$A$3:$A$5001,AD$3,BD!$B$3:$B$5001,$A$369)))</f>
        <v/>
      </c>
      <c r="AE386" s="198" t="str">
        <f>IF(AE$3="","",IF(COUNTIFS(BD!$A$3:$A$5001,AE$3,BD!$B$3:$B$5001,$A$369,BD!$T$3:$T$5001,"&lt;&gt;")=0,"",SUMIFS(BD!$T$3:$T$5001,BD!$A$3:$A$5001,AE$3,BD!$B$3:$B$5001,$A$369)))</f>
        <v/>
      </c>
      <c r="AF386" s="198" t="str">
        <f>IF(AF$3="","",IF(COUNTIFS(BD!$A$3:$A$5001,AF$3,BD!$B$3:$B$5001,$A$369,BD!$T$3:$T$5001,"&lt;&gt;")=0,"",SUMIFS(BD!$T$3:$T$5001,BD!$A$3:$A$5001,AF$3,BD!$B$3:$B$5001,$A$369)))</f>
        <v/>
      </c>
      <c r="AG386" s="198" t="str">
        <f>IF(AG$3="","",IF(COUNTIFS(BD!$A$3:$A$5001,AG$3,BD!$B$3:$B$5001,$A$369,BD!$T$3:$T$5001,"&lt;&gt;")=0,"",SUMIFS(BD!$T$3:$T$5001,BD!$A$3:$A$5001,AG$3,BD!$B$3:$B$5001,$A$369)))</f>
        <v/>
      </c>
      <c r="AH386" s="198" t="str">
        <f>IF(AH$3="","",IF(COUNTIFS(BD!$A$3:$A$5001,AH$3,BD!$B$3:$B$5001,$A$369,BD!$T$3:$T$5001,"&lt;&gt;")=0,"",SUMIFS(BD!$T$3:$T$5001,BD!$A$3:$A$5001,AH$3,BD!$B$3:$B$5001,$A$369)))</f>
        <v/>
      </c>
      <c r="AI386" s="198" t="str">
        <f>IF(AI$3="","",IF(COUNTIFS(BD!$A$3:$A$5001,AI$3,BD!$B$3:$B$5001,$A$369,BD!$T$3:$T$5001,"&lt;&gt;")=0,"",SUMIFS(BD!$T$3:$T$5001,BD!$A$3:$A$5001,AI$3,BD!$B$3:$B$5001,$A$369)))</f>
        <v/>
      </c>
      <c r="AJ386" s="199" t="str">
        <f>IF(AJ$3="","",IF(COUNTIFS(BD!$A$3:$A$5001,AJ$3,BD!$B$3:$B$5001,$A$369,BD!$T$3:$T$5001,"&lt;&gt;")=0,"",SUMIFS(BD!$T$3:$T$5001,BD!$A$3:$A$5001,AJ$3,BD!$B$3:$B$5001,$A$369)))</f>
        <v/>
      </c>
      <c r="AK386" s="200" t="str">
        <f>IF(COUNT(F386:AJ386)=0,"",SUM(F386:AJ386))</f>
        <v/>
      </c>
    </row>
    <row r="387" ht="15.75" customHeight="1" hidden="1">
      <c r="A387" s="261"/>
      <c r="B387" s="254"/>
      <c r="C387" s="201" t="inlineStr">
        <is>
          <t xml:space="preserve">No show</t>
        </is>
      </c>
      <c r="D387" s="202" t="str">
        <f>IFERROR(1/(1/INDEX(BD!$AL$41:$BF$41,MATCH($A$369,BD!$AL$22:$BF$22,0))),"")</f>
        <v/>
      </c>
      <c r="E387" s="203"/>
      <c r="F387" s="204" t="str">
        <f>IF(F$3="","",IF(COUNTIFS(BD!$A$3:$A$5001,F$3,BD!$B$3:$B$5001,$A$369,BD!$U$3:$U$5001,"&lt;&gt;")=0,"",SUMIFS(BD!$U$3:$U$5001,BD!$A$3:$A$5001,F$3,BD!$B$3:$B$5001,$A$369)))</f>
        <v/>
      </c>
      <c r="G387" s="205" t="str">
        <f>IF(G$3="","",IF(COUNTIFS(BD!$A$3:$A$5001,G$3,BD!$B$3:$B$5001,$A$369,BD!$U$3:$U$5001,"&lt;&gt;")=0,"",SUMIFS(BD!$U$3:$U$5001,BD!$A$3:$A$5001,G$3,BD!$B$3:$B$5001,$A$369)))</f>
        <v/>
      </c>
      <c r="H387" s="205" t="str">
        <f>IF(H$3="","",IF(COUNTIFS(BD!$A$3:$A$5001,H$3,BD!$B$3:$B$5001,$A$369,BD!$U$3:$U$5001,"&lt;&gt;")=0,"",SUMIFS(BD!$U$3:$U$5001,BD!$A$3:$A$5001,H$3,BD!$B$3:$B$5001,$A$369)))</f>
        <v/>
      </c>
      <c r="I387" s="205" t="str">
        <f>IF(I$3="","",IF(COUNTIFS(BD!$A$3:$A$5001,I$3,BD!$B$3:$B$5001,$A$369,BD!$U$3:$U$5001,"&lt;&gt;")=0,"",SUMIFS(BD!$U$3:$U$5001,BD!$A$3:$A$5001,I$3,BD!$B$3:$B$5001,$A$369)))</f>
        <v/>
      </c>
      <c r="J387" s="205" t="str">
        <f>IF(J$3="","",IF(COUNTIFS(BD!$A$3:$A$5001,J$3,BD!$B$3:$B$5001,$A$369,BD!$U$3:$U$5001,"&lt;&gt;")=0,"",SUMIFS(BD!$U$3:$U$5001,BD!$A$3:$A$5001,J$3,BD!$B$3:$B$5001,$A$369)))</f>
        <v/>
      </c>
      <c r="K387" s="205" t="str">
        <f>IF(K$3="","",IF(COUNTIFS(BD!$A$3:$A$5001,K$3,BD!$B$3:$B$5001,$A$369,BD!$U$3:$U$5001,"&lt;&gt;")=0,"",SUMIFS(BD!$U$3:$U$5001,BD!$A$3:$A$5001,K$3,BD!$B$3:$B$5001,$A$369)))</f>
        <v/>
      </c>
      <c r="L387" s="205" t="str">
        <f>IF(L$3="","",IF(COUNTIFS(BD!$A$3:$A$5001,L$3,BD!$B$3:$B$5001,$A$369,BD!$U$3:$U$5001,"&lt;&gt;")=0,"",SUMIFS(BD!$U$3:$U$5001,BD!$A$3:$A$5001,L$3,BD!$B$3:$B$5001,$A$369)))</f>
        <v/>
      </c>
      <c r="M387" s="205" t="str">
        <f>IF(M$3="","",IF(COUNTIFS(BD!$A$3:$A$5001,M$3,BD!$B$3:$B$5001,$A$369,BD!$U$3:$U$5001,"&lt;&gt;")=0,"",SUMIFS(BD!$U$3:$U$5001,BD!$A$3:$A$5001,M$3,BD!$B$3:$B$5001,$A$369)))</f>
        <v/>
      </c>
      <c r="N387" s="205" t="str">
        <f>IF(N$3="","",IF(COUNTIFS(BD!$A$3:$A$5001,N$3,BD!$B$3:$B$5001,$A$369,BD!$U$3:$U$5001,"&lt;&gt;")=0,"",SUMIFS(BD!$U$3:$U$5001,BD!$A$3:$A$5001,N$3,BD!$B$3:$B$5001,$A$369)))</f>
        <v/>
      </c>
      <c r="O387" s="205" t="str">
        <f>IF(O$3="","",IF(COUNTIFS(BD!$A$3:$A$5001,O$3,BD!$B$3:$B$5001,$A$369,BD!$U$3:$U$5001,"&lt;&gt;")=0,"",SUMIFS(BD!$U$3:$U$5001,BD!$A$3:$A$5001,O$3,BD!$B$3:$B$5001,$A$369)))</f>
        <v/>
      </c>
      <c r="P387" s="205" t="str">
        <f>IF(P$3="","",IF(COUNTIFS(BD!$A$3:$A$5001,P$3,BD!$B$3:$B$5001,$A$369,BD!$U$3:$U$5001,"&lt;&gt;")=0,"",SUMIFS(BD!$U$3:$U$5001,BD!$A$3:$A$5001,P$3,BD!$B$3:$B$5001,$A$369)))</f>
        <v/>
      </c>
      <c r="Q387" s="205" t="str">
        <f>IF(Q$3="","",IF(COUNTIFS(BD!$A$3:$A$5001,Q$3,BD!$B$3:$B$5001,$A$369,BD!$U$3:$U$5001,"&lt;&gt;")=0,"",SUMIFS(BD!$U$3:$U$5001,BD!$A$3:$A$5001,Q$3,BD!$B$3:$B$5001,$A$369)))</f>
        <v/>
      </c>
      <c r="R387" s="205" t="str">
        <f>IF(R$3="","",IF(COUNTIFS(BD!$A$3:$A$5001,R$3,BD!$B$3:$B$5001,$A$369,BD!$U$3:$U$5001,"&lt;&gt;")=0,"",SUMIFS(BD!$U$3:$U$5001,BD!$A$3:$A$5001,R$3,BD!$B$3:$B$5001,$A$369)))</f>
        <v/>
      </c>
      <c r="S387" s="205" t="str">
        <f>IF(S$3="","",IF(COUNTIFS(BD!$A$3:$A$5001,S$3,BD!$B$3:$B$5001,$A$369,BD!$U$3:$U$5001,"&lt;&gt;")=0,"",SUMIFS(BD!$U$3:$U$5001,BD!$A$3:$A$5001,S$3,BD!$B$3:$B$5001,$A$369)))</f>
        <v/>
      </c>
      <c r="T387" s="205" t="str">
        <f>IF(T$3="","",IF(COUNTIFS(BD!$A$3:$A$5001,T$3,BD!$B$3:$B$5001,$A$369,BD!$U$3:$U$5001,"&lt;&gt;")=0,"",SUMIFS(BD!$U$3:$U$5001,BD!$A$3:$A$5001,T$3,BD!$B$3:$B$5001,$A$369)))</f>
        <v/>
      </c>
      <c r="U387" s="205" t="str">
        <f>IF(U$3="","",IF(COUNTIFS(BD!$A$3:$A$5001,U$3,BD!$B$3:$B$5001,$A$369,BD!$U$3:$U$5001,"&lt;&gt;")=0,"",SUMIFS(BD!$U$3:$U$5001,BD!$A$3:$A$5001,U$3,BD!$B$3:$B$5001,$A$369)))</f>
        <v/>
      </c>
      <c r="V387" s="205" t="str">
        <f>IF(V$3="","",IF(COUNTIFS(BD!$A$3:$A$5001,V$3,BD!$B$3:$B$5001,$A$369,BD!$U$3:$U$5001,"&lt;&gt;")=0,"",SUMIFS(BD!$U$3:$U$5001,BD!$A$3:$A$5001,V$3,BD!$B$3:$B$5001,$A$369)))</f>
        <v/>
      </c>
      <c r="W387" s="205" t="str">
        <f>IF(W$3="","",IF(COUNTIFS(BD!$A$3:$A$5001,W$3,BD!$B$3:$B$5001,$A$369,BD!$U$3:$U$5001,"&lt;&gt;")=0,"",SUMIFS(BD!$U$3:$U$5001,BD!$A$3:$A$5001,W$3,BD!$B$3:$B$5001,$A$369)))</f>
        <v/>
      </c>
      <c r="X387" s="205" t="str">
        <f>IF(X$3="","",IF(COUNTIFS(BD!$A$3:$A$5001,X$3,BD!$B$3:$B$5001,$A$369,BD!$U$3:$U$5001,"&lt;&gt;")=0,"",SUMIFS(BD!$U$3:$U$5001,BD!$A$3:$A$5001,X$3,BD!$B$3:$B$5001,$A$369)))</f>
        <v/>
      </c>
      <c r="Y387" s="205" t="str">
        <f>IF(Y$3="","",IF(COUNTIFS(BD!$A$3:$A$5001,Y$3,BD!$B$3:$B$5001,$A$369,BD!$U$3:$U$5001,"&lt;&gt;")=0,"",SUMIFS(BD!$U$3:$U$5001,BD!$A$3:$A$5001,Y$3,BD!$B$3:$B$5001,$A$369)))</f>
        <v/>
      </c>
      <c r="Z387" s="205" t="str">
        <f>IF(Z$3="","",IF(COUNTIFS(BD!$A$3:$A$5001,Z$3,BD!$B$3:$B$5001,$A$369,BD!$U$3:$U$5001,"&lt;&gt;")=0,"",SUMIFS(BD!$U$3:$U$5001,BD!$A$3:$A$5001,Z$3,BD!$B$3:$B$5001,$A$369)))</f>
        <v/>
      </c>
      <c r="AA387" s="205" t="str">
        <f>IF(AA$3="","",IF(COUNTIFS(BD!$A$3:$A$5001,AA$3,BD!$B$3:$B$5001,$A$369,BD!$U$3:$U$5001,"&lt;&gt;")=0,"",SUMIFS(BD!$U$3:$U$5001,BD!$A$3:$A$5001,AA$3,BD!$B$3:$B$5001,$A$369)))</f>
        <v/>
      </c>
      <c r="AB387" s="205" t="str">
        <f>IF(AB$3="","",IF(COUNTIFS(BD!$A$3:$A$5001,AB$3,BD!$B$3:$B$5001,$A$369,BD!$U$3:$U$5001,"&lt;&gt;")=0,"",SUMIFS(BD!$U$3:$U$5001,BD!$A$3:$A$5001,AB$3,BD!$B$3:$B$5001,$A$369)))</f>
        <v/>
      </c>
      <c r="AC387" s="205" t="str">
        <f>IF(AC$3="","",IF(COUNTIFS(BD!$A$3:$A$5001,AC$3,BD!$B$3:$B$5001,$A$369,BD!$U$3:$U$5001,"&lt;&gt;")=0,"",SUMIFS(BD!$U$3:$U$5001,BD!$A$3:$A$5001,AC$3,BD!$B$3:$B$5001,$A$369)))</f>
        <v/>
      </c>
      <c r="AD387" s="205" t="str">
        <f>IF(AD$3="","",IF(COUNTIFS(BD!$A$3:$A$5001,AD$3,BD!$B$3:$B$5001,$A$369,BD!$U$3:$U$5001,"&lt;&gt;")=0,"",SUMIFS(BD!$U$3:$U$5001,BD!$A$3:$A$5001,AD$3,BD!$B$3:$B$5001,$A$369)))</f>
        <v/>
      </c>
      <c r="AE387" s="205" t="str">
        <f>IF(AE$3="","",IF(COUNTIFS(BD!$A$3:$A$5001,AE$3,BD!$B$3:$B$5001,$A$369,BD!$U$3:$U$5001,"&lt;&gt;")=0,"",SUMIFS(BD!$U$3:$U$5001,BD!$A$3:$A$5001,AE$3,BD!$B$3:$B$5001,$A$369)))</f>
        <v/>
      </c>
      <c r="AF387" s="205" t="str">
        <f>IF(AF$3="","",IF(COUNTIFS(BD!$A$3:$A$5001,AF$3,BD!$B$3:$B$5001,$A$369,BD!$U$3:$U$5001,"&lt;&gt;")=0,"",SUMIFS(BD!$U$3:$U$5001,BD!$A$3:$A$5001,AF$3,BD!$B$3:$B$5001,$A$369)))</f>
        <v/>
      </c>
      <c r="AG387" s="205" t="str">
        <f>IF(AG$3="","",IF(COUNTIFS(BD!$A$3:$A$5001,AG$3,BD!$B$3:$B$5001,$A$369,BD!$U$3:$U$5001,"&lt;&gt;")=0,"",SUMIFS(BD!$U$3:$U$5001,BD!$A$3:$A$5001,AG$3,BD!$B$3:$B$5001,$A$369)))</f>
        <v/>
      </c>
      <c r="AH387" s="205" t="str">
        <f>IF(AH$3="","",IF(COUNTIFS(BD!$A$3:$A$5001,AH$3,BD!$B$3:$B$5001,$A$369,BD!$U$3:$U$5001,"&lt;&gt;")=0,"",SUMIFS(BD!$U$3:$U$5001,BD!$A$3:$A$5001,AH$3,BD!$B$3:$B$5001,$A$369)))</f>
        <v/>
      </c>
      <c r="AI387" s="205" t="str">
        <f>IF(AI$3="","",IF(COUNTIFS(BD!$A$3:$A$5001,AI$3,BD!$B$3:$B$5001,$A$369,BD!$U$3:$U$5001,"&lt;&gt;")=0,"",SUMIFS(BD!$U$3:$U$5001,BD!$A$3:$A$5001,AI$3,BD!$B$3:$B$5001,$A$369)))</f>
        <v/>
      </c>
      <c r="AJ387" s="206" t="str">
        <f>IF(AJ$3="","",IF(COUNTIFS(BD!$A$3:$A$5001,AJ$3,BD!$B$3:$B$5001,$A$369,BD!$U$3:$U$5001,"&lt;&gt;")=0,"",SUMIFS(BD!$U$3:$U$5001,BD!$A$3:$A$5001,AJ$3,BD!$B$3:$B$5001,$A$369)))</f>
        <v/>
      </c>
      <c r="AK387" s="207" t="str">
        <f>IF(COUNT(F387:AJ387)=0,"",SUM(F387:AJ387))</f>
        <v/>
      </c>
    </row>
    <row r="388" ht="15.75" customHeight="1" hidden="1">
      <c r="A388" s="261"/>
      <c r="B388" s="254"/>
      <c r="C388" s="201" t="inlineStr">
        <is>
          <t xml:space="preserve">Backlog Intralog</t>
        </is>
      </c>
      <c r="D388" s="202" t="str">
        <f>IFERROR(1/(1/INDEX(BD!$AL$42:$BF$42,MATCH($A$369,BD!$AL$22:$BF$22,0))),"")</f>
        <v/>
      </c>
      <c r="E388" s="203"/>
      <c r="F388" s="204" t="str">
        <f>IF(F$3="","",IF(COUNTIFS(BD!$A$3:$A$5001,F$3,BD!$B$3:$B$5001,$A$369,BD!$V$3:$V$5001,"&lt;&gt;")=0,"",SUMIFS(BD!$V$3:$V$5001,BD!$A$3:$A$5001,F$3,BD!$B$3:$B$5001,$A$369)))</f>
        <v/>
      </c>
      <c r="G388" s="205" t="str">
        <f>IF(G$3="","",IF(COUNTIFS(BD!$A$3:$A$5001,G$3,BD!$B$3:$B$5001,$A$369,BD!$V$3:$V$5001,"&lt;&gt;")=0,"",SUMIFS(BD!$V$3:$V$5001,BD!$A$3:$A$5001,G$3,BD!$B$3:$B$5001,$A$369)))</f>
        <v/>
      </c>
      <c r="H388" s="205" t="str">
        <f>IF(H$3="","",IF(COUNTIFS(BD!$A$3:$A$5001,H$3,BD!$B$3:$B$5001,$A$369,BD!$V$3:$V$5001,"&lt;&gt;")=0,"",SUMIFS(BD!$V$3:$V$5001,BD!$A$3:$A$5001,H$3,BD!$B$3:$B$5001,$A$369)))</f>
        <v/>
      </c>
      <c r="I388" s="205" t="str">
        <f>IF(I$3="","",IF(COUNTIFS(BD!$A$3:$A$5001,I$3,BD!$B$3:$B$5001,$A$369,BD!$V$3:$V$5001,"&lt;&gt;")=0,"",SUMIFS(BD!$V$3:$V$5001,BD!$A$3:$A$5001,I$3,BD!$B$3:$B$5001,$A$369)))</f>
        <v/>
      </c>
      <c r="J388" s="205" t="str">
        <f>IF(J$3="","",IF(COUNTIFS(BD!$A$3:$A$5001,J$3,BD!$B$3:$B$5001,$A$369,BD!$V$3:$V$5001,"&lt;&gt;")=0,"",SUMIFS(BD!$V$3:$V$5001,BD!$A$3:$A$5001,J$3,BD!$B$3:$B$5001,$A$369)))</f>
        <v/>
      </c>
      <c r="K388" s="205" t="str">
        <f>IF(K$3="","",IF(COUNTIFS(BD!$A$3:$A$5001,K$3,BD!$B$3:$B$5001,$A$369,BD!$V$3:$V$5001,"&lt;&gt;")=0,"",SUMIFS(BD!$V$3:$V$5001,BD!$A$3:$A$5001,K$3,BD!$B$3:$B$5001,$A$369)))</f>
        <v/>
      </c>
      <c r="L388" s="205" t="str">
        <f>IF(L$3="","",IF(COUNTIFS(BD!$A$3:$A$5001,L$3,BD!$B$3:$B$5001,$A$369,BD!$V$3:$V$5001,"&lt;&gt;")=0,"",SUMIFS(BD!$V$3:$V$5001,BD!$A$3:$A$5001,L$3,BD!$B$3:$B$5001,$A$369)))</f>
        <v/>
      </c>
      <c r="M388" s="205" t="str">
        <f>IF(M$3="","",IF(COUNTIFS(BD!$A$3:$A$5001,M$3,BD!$B$3:$B$5001,$A$369,BD!$V$3:$V$5001,"&lt;&gt;")=0,"",SUMIFS(BD!$V$3:$V$5001,BD!$A$3:$A$5001,M$3,BD!$B$3:$B$5001,$A$369)))</f>
        <v/>
      </c>
      <c r="N388" s="205" t="str">
        <f>IF(N$3="","",IF(COUNTIFS(BD!$A$3:$A$5001,N$3,BD!$B$3:$B$5001,$A$369,BD!$V$3:$V$5001,"&lt;&gt;")=0,"",SUMIFS(BD!$V$3:$V$5001,BD!$A$3:$A$5001,N$3,BD!$B$3:$B$5001,$A$369)))</f>
        <v/>
      </c>
      <c r="O388" s="205" t="str">
        <f>IF(O$3="","",IF(COUNTIFS(BD!$A$3:$A$5001,O$3,BD!$B$3:$B$5001,$A$369,BD!$V$3:$V$5001,"&lt;&gt;")=0,"",SUMIFS(BD!$V$3:$V$5001,BD!$A$3:$A$5001,O$3,BD!$B$3:$B$5001,$A$369)))</f>
        <v/>
      </c>
      <c r="P388" s="205" t="str">
        <f>IF(P$3="","",IF(COUNTIFS(BD!$A$3:$A$5001,P$3,BD!$B$3:$B$5001,$A$369,BD!$V$3:$V$5001,"&lt;&gt;")=0,"",SUMIFS(BD!$V$3:$V$5001,BD!$A$3:$A$5001,P$3,BD!$B$3:$B$5001,$A$369)))</f>
        <v/>
      </c>
      <c r="Q388" s="205" t="str">
        <f>IF(Q$3="","",IF(COUNTIFS(BD!$A$3:$A$5001,Q$3,BD!$B$3:$B$5001,$A$369,BD!$V$3:$V$5001,"&lt;&gt;")=0,"",SUMIFS(BD!$V$3:$V$5001,BD!$A$3:$A$5001,Q$3,BD!$B$3:$B$5001,$A$369)))</f>
        <v/>
      </c>
      <c r="R388" s="205" t="str">
        <f>IF(R$3="","",IF(COUNTIFS(BD!$A$3:$A$5001,R$3,BD!$B$3:$B$5001,$A$369,BD!$V$3:$V$5001,"&lt;&gt;")=0,"",SUMIFS(BD!$V$3:$V$5001,BD!$A$3:$A$5001,R$3,BD!$B$3:$B$5001,$A$369)))</f>
        <v/>
      </c>
      <c r="S388" s="205" t="str">
        <f>IF(S$3="","",IF(COUNTIFS(BD!$A$3:$A$5001,S$3,BD!$B$3:$B$5001,$A$369,BD!$V$3:$V$5001,"&lt;&gt;")=0,"",SUMIFS(BD!$V$3:$V$5001,BD!$A$3:$A$5001,S$3,BD!$B$3:$B$5001,$A$369)))</f>
        <v/>
      </c>
      <c r="T388" s="205" t="str">
        <f>IF(T$3="","",IF(COUNTIFS(BD!$A$3:$A$5001,T$3,BD!$B$3:$B$5001,$A$369,BD!$V$3:$V$5001,"&lt;&gt;")=0,"",SUMIFS(BD!$V$3:$V$5001,BD!$A$3:$A$5001,T$3,BD!$B$3:$B$5001,$A$369)))</f>
        <v/>
      </c>
      <c r="U388" s="205" t="str">
        <f>IF(U$3="","",IF(COUNTIFS(BD!$A$3:$A$5001,U$3,BD!$B$3:$B$5001,$A$369,BD!$V$3:$V$5001,"&lt;&gt;")=0,"",SUMIFS(BD!$V$3:$V$5001,BD!$A$3:$A$5001,U$3,BD!$B$3:$B$5001,$A$369)))</f>
        <v/>
      </c>
      <c r="V388" s="205" t="str">
        <f>IF(V$3="","",IF(COUNTIFS(BD!$A$3:$A$5001,V$3,BD!$B$3:$B$5001,$A$369,BD!$V$3:$V$5001,"&lt;&gt;")=0,"",SUMIFS(BD!$V$3:$V$5001,BD!$A$3:$A$5001,V$3,BD!$B$3:$B$5001,$A$369)))</f>
        <v/>
      </c>
      <c r="W388" s="205" t="str">
        <f>IF(W$3="","",IF(COUNTIFS(BD!$A$3:$A$5001,W$3,BD!$B$3:$B$5001,$A$369,BD!$V$3:$V$5001,"&lt;&gt;")=0,"",SUMIFS(BD!$V$3:$V$5001,BD!$A$3:$A$5001,W$3,BD!$B$3:$B$5001,$A$369)))</f>
        <v/>
      </c>
      <c r="X388" s="205" t="str">
        <f>IF(X$3="","",IF(COUNTIFS(BD!$A$3:$A$5001,X$3,BD!$B$3:$B$5001,$A$369,BD!$V$3:$V$5001,"&lt;&gt;")=0,"",SUMIFS(BD!$V$3:$V$5001,BD!$A$3:$A$5001,X$3,BD!$B$3:$B$5001,$A$369)))</f>
        <v/>
      </c>
      <c r="Y388" s="205" t="str">
        <f>IF(Y$3="","",IF(COUNTIFS(BD!$A$3:$A$5001,Y$3,BD!$B$3:$B$5001,$A$369,BD!$V$3:$V$5001,"&lt;&gt;")=0,"",SUMIFS(BD!$V$3:$V$5001,BD!$A$3:$A$5001,Y$3,BD!$B$3:$B$5001,$A$369)))</f>
        <v/>
      </c>
      <c r="Z388" s="205" t="str">
        <f>IF(Z$3="","",IF(COUNTIFS(BD!$A$3:$A$5001,Z$3,BD!$B$3:$B$5001,$A$369,BD!$V$3:$V$5001,"&lt;&gt;")=0,"",SUMIFS(BD!$V$3:$V$5001,BD!$A$3:$A$5001,Z$3,BD!$B$3:$B$5001,$A$369)))</f>
        <v/>
      </c>
      <c r="AA388" s="205" t="str">
        <f>IF(AA$3="","",IF(COUNTIFS(BD!$A$3:$A$5001,AA$3,BD!$B$3:$B$5001,$A$369,BD!$V$3:$V$5001,"&lt;&gt;")=0,"",SUMIFS(BD!$V$3:$V$5001,BD!$A$3:$A$5001,AA$3,BD!$B$3:$B$5001,$A$369)))</f>
        <v/>
      </c>
      <c r="AB388" s="205" t="str">
        <f>IF(AB$3="","",IF(COUNTIFS(BD!$A$3:$A$5001,AB$3,BD!$B$3:$B$5001,$A$369,BD!$V$3:$V$5001,"&lt;&gt;")=0,"",SUMIFS(BD!$V$3:$V$5001,BD!$A$3:$A$5001,AB$3,BD!$B$3:$B$5001,$A$369)))</f>
        <v/>
      </c>
      <c r="AC388" s="205" t="str">
        <f>IF(AC$3="","",IF(COUNTIFS(BD!$A$3:$A$5001,AC$3,BD!$B$3:$B$5001,$A$369,BD!$V$3:$V$5001,"&lt;&gt;")=0,"",SUMIFS(BD!$V$3:$V$5001,BD!$A$3:$A$5001,AC$3,BD!$B$3:$B$5001,$A$369)))</f>
        <v/>
      </c>
      <c r="AD388" s="205" t="str">
        <f>IF(AD$3="","",IF(COUNTIFS(BD!$A$3:$A$5001,AD$3,BD!$B$3:$B$5001,$A$369,BD!$V$3:$V$5001,"&lt;&gt;")=0,"",SUMIFS(BD!$V$3:$V$5001,BD!$A$3:$A$5001,AD$3,BD!$B$3:$B$5001,$A$369)))</f>
        <v/>
      </c>
      <c r="AE388" s="205" t="str">
        <f>IF(AE$3="","",IF(COUNTIFS(BD!$A$3:$A$5001,AE$3,BD!$B$3:$B$5001,$A$369,BD!$V$3:$V$5001,"&lt;&gt;")=0,"",SUMIFS(BD!$V$3:$V$5001,BD!$A$3:$A$5001,AE$3,BD!$B$3:$B$5001,$A$369)))</f>
        <v/>
      </c>
      <c r="AF388" s="205" t="str">
        <f>IF(AF$3="","",IF(COUNTIFS(BD!$A$3:$A$5001,AF$3,BD!$B$3:$B$5001,$A$369,BD!$V$3:$V$5001,"&lt;&gt;")=0,"",SUMIFS(BD!$V$3:$V$5001,BD!$A$3:$A$5001,AF$3,BD!$B$3:$B$5001,$A$369)))</f>
        <v/>
      </c>
      <c r="AG388" s="205" t="str">
        <f>IF(AG$3="","",IF(COUNTIFS(BD!$A$3:$A$5001,AG$3,BD!$B$3:$B$5001,$A$369,BD!$V$3:$V$5001,"&lt;&gt;")=0,"",SUMIFS(BD!$V$3:$V$5001,BD!$A$3:$A$5001,AG$3,BD!$B$3:$B$5001,$A$369)))</f>
        <v/>
      </c>
      <c r="AH388" s="205" t="str">
        <f>IF(AH$3="","",IF(COUNTIFS(BD!$A$3:$A$5001,AH$3,BD!$B$3:$B$5001,$A$369,BD!$V$3:$V$5001,"&lt;&gt;")=0,"",SUMIFS(BD!$V$3:$V$5001,BD!$A$3:$A$5001,AH$3,BD!$B$3:$B$5001,$A$369)))</f>
        <v/>
      </c>
      <c r="AI388" s="205" t="str">
        <f>IF(AI$3="","",IF(COUNTIFS(BD!$A$3:$A$5001,AI$3,BD!$B$3:$B$5001,$A$369,BD!$V$3:$V$5001,"&lt;&gt;")=0,"",SUMIFS(BD!$V$3:$V$5001,BD!$A$3:$A$5001,AI$3,BD!$B$3:$B$5001,$A$369)))</f>
        <v/>
      </c>
      <c r="AJ388" s="206" t="str">
        <f>IF(AJ$3="","",IF(COUNTIFS(BD!$A$3:$A$5001,AJ$3,BD!$B$3:$B$5001,$A$369,BD!$V$3:$V$5001,"&lt;&gt;")=0,"",SUMIFS(BD!$V$3:$V$5001,BD!$A$3:$A$5001,AJ$3,BD!$B$3:$B$5001,$A$369)))</f>
        <v/>
      </c>
      <c r="AK388" s="207" t="str">
        <f>IFERROR(LOOKUP(9.99E+307,F388:AJ388),"")</f>
        <v/>
      </c>
    </row>
    <row r="389" ht="15.75" customHeight="1" hidden="1">
      <c r="A389" s="261"/>
      <c r="B389" s="255"/>
      <c r="C389" s="208" t="inlineStr">
        <is>
          <t xml:space="preserve">Backlog Cliente</t>
        </is>
      </c>
      <c r="D389" s="209" t="str">
        <f>IFERROR(1/(1/INDEX(BD!$AL$43:$BF$43,MATCH($A$369,BD!$AL$22:$BF$22,0))),"")</f>
        <v/>
      </c>
      <c r="E389" s="210"/>
      <c r="F389" s="211" t="str">
        <f>IF(F$3="","",IF(COUNTIFS(BD!$A$3:$A$5001,F$3,BD!$B$3:$B$5001,$A$369,BD!$W$3:$W$5001,"&lt;&gt;")=0,"",SUMIFS(BD!$W$3:$W$5001,BD!$A$3:$A$5001,F$3,BD!$B$3:$B$5001,$A$369)))</f>
        <v/>
      </c>
      <c r="G389" s="212" t="str">
        <f>IF(G$3="","",IF(COUNTIFS(BD!$A$3:$A$5001,G$3,BD!$B$3:$B$5001,$A$369,BD!$W$3:$W$5001,"&lt;&gt;")=0,"",SUMIFS(BD!$W$3:$W$5001,BD!$A$3:$A$5001,G$3,BD!$B$3:$B$5001,$A$369)))</f>
        <v/>
      </c>
      <c r="H389" s="212" t="str">
        <f>IF(H$3="","",IF(COUNTIFS(BD!$A$3:$A$5001,H$3,BD!$B$3:$B$5001,$A$369,BD!$W$3:$W$5001,"&lt;&gt;")=0,"",SUMIFS(BD!$W$3:$W$5001,BD!$A$3:$A$5001,H$3,BD!$B$3:$B$5001,$A$369)))</f>
        <v/>
      </c>
      <c r="I389" s="212" t="str">
        <f>IF(I$3="","",IF(COUNTIFS(BD!$A$3:$A$5001,I$3,BD!$B$3:$B$5001,$A$369,BD!$W$3:$W$5001,"&lt;&gt;")=0,"",SUMIFS(BD!$W$3:$W$5001,BD!$A$3:$A$5001,I$3,BD!$B$3:$B$5001,$A$369)))</f>
        <v/>
      </c>
      <c r="J389" s="212" t="str">
        <f>IF(J$3="","",IF(COUNTIFS(BD!$A$3:$A$5001,J$3,BD!$B$3:$B$5001,$A$369,BD!$W$3:$W$5001,"&lt;&gt;")=0,"",SUMIFS(BD!$W$3:$W$5001,BD!$A$3:$A$5001,J$3,BD!$B$3:$B$5001,$A$369)))</f>
        <v/>
      </c>
      <c r="K389" s="212" t="str">
        <f>IF(K$3="","",IF(COUNTIFS(BD!$A$3:$A$5001,K$3,BD!$B$3:$B$5001,$A$369,BD!$W$3:$W$5001,"&lt;&gt;")=0,"",SUMIFS(BD!$W$3:$W$5001,BD!$A$3:$A$5001,K$3,BD!$B$3:$B$5001,$A$369)))</f>
        <v/>
      </c>
      <c r="L389" s="212" t="str">
        <f>IF(L$3="","",IF(COUNTIFS(BD!$A$3:$A$5001,L$3,BD!$B$3:$B$5001,$A$369,BD!$W$3:$W$5001,"&lt;&gt;")=0,"",SUMIFS(BD!$W$3:$W$5001,BD!$A$3:$A$5001,L$3,BD!$B$3:$B$5001,$A$369)))</f>
        <v/>
      </c>
      <c r="M389" s="212" t="str">
        <f>IF(M$3="","",IF(COUNTIFS(BD!$A$3:$A$5001,M$3,BD!$B$3:$B$5001,$A$369,BD!$W$3:$W$5001,"&lt;&gt;")=0,"",SUMIFS(BD!$W$3:$W$5001,BD!$A$3:$A$5001,M$3,BD!$B$3:$B$5001,$A$369)))</f>
        <v/>
      </c>
      <c r="N389" s="212" t="str">
        <f>IF(N$3="","",IF(COUNTIFS(BD!$A$3:$A$5001,N$3,BD!$B$3:$B$5001,$A$369,BD!$W$3:$W$5001,"&lt;&gt;")=0,"",SUMIFS(BD!$W$3:$W$5001,BD!$A$3:$A$5001,N$3,BD!$B$3:$B$5001,$A$369)))</f>
        <v/>
      </c>
      <c r="O389" s="212" t="str">
        <f>IF(O$3="","",IF(COUNTIFS(BD!$A$3:$A$5001,O$3,BD!$B$3:$B$5001,$A$369,BD!$W$3:$W$5001,"&lt;&gt;")=0,"",SUMIFS(BD!$W$3:$W$5001,BD!$A$3:$A$5001,O$3,BD!$B$3:$B$5001,$A$369)))</f>
        <v/>
      </c>
      <c r="P389" s="212" t="str">
        <f>IF(P$3="","",IF(COUNTIFS(BD!$A$3:$A$5001,P$3,BD!$B$3:$B$5001,$A$369,BD!$W$3:$W$5001,"&lt;&gt;")=0,"",SUMIFS(BD!$W$3:$W$5001,BD!$A$3:$A$5001,P$3,BD!$B$3:$B$5001,$A$369)))</f>
        <v/>
      </c>
      <c r="Q389" s="212" t="str">
        <f>IF(Q$3="","",IF(COUNTIFS(BD!$A$3:$A$5001,Q$3,BD!$B$3:$B$5001,$A$369,BD!$W$3:$W$5001,"&lt;&gt;")=0,"",SUMIFS(BD!$W$3:$W$5001,BD!$A$3:$A$5001,Q$3,BD!$B$3:$B$5001,$A$369)))</f>
        <v/>
      </c>
      <c r="R389" s="212" t="str">
        <f>IF(R$3="","",IF(COUNTIFS(BD!$A$3:$A$5001,R$3,BD!$B$3:$B$5001,$A$369,BD!$W$3:$W$5001,"&lt;&gt;")=0,"",SUMIFS(BD!$W$3:$W$5001,BD!$A$3:$A$5001,R$3,BD!$B$3:$B$5001,$A$369)))</f>
        <v/>
      </c>
      <c r="S389" s="212" t="str">
        <f>IF(S$3="","",IF(COUNTIFS(BD!$A$3:$A$5001,S$3,BD!$B$3:$B$5001,$A$369,BD!$W$3:$W$5001,"&lt;&gt;")=0,"",SUMIFS(BD!$W$3:$W$5001,BD!$A$3:$A$5001,S$3,BD!$B$3:$B$5001,$A$369)))</f>
        <v/>
      </c>
      <c r="T389" s="212" t="str">
        <f>IF(T$3="","",IF(COUNTIFS(BD!$A$3:$A$5001,T$3,BD!$B$3:$B$5001,$A$369,BD!$W$3:$W$5001,"&lt;&gt;")=0,"",SUMIFS(BD!$W$3:$W$5001,BD!$A$3:$A$5001,T$3,BD!$B$3:$B$5001,$A$369)))</f>
        <v/>
      </c>
      <c r="U389" s="212" t="str">
        <f>IF(U$3="","",IF(COUNTIFS(BD!$A$3:$A$5001,U$3,BD!$B$3:$B$5001,$A$369,BD!$W$3:$W$5001,"&lt;&gt;")=0,"",SUMIFS(BD!$W$3:$W$5001,BD!$A$3:$A$5001,U$3,BD!$B$3:$B$5001,$A$369)))</f>
        <v/>
      </c>
      <c r="V389" s="212" t="str">
        <f>IF(V$3="","",IF(COUNTIFS(BD!$A$3:$A$5001,V$3,BD!$B$3:$B$5001,$A$369,BD!$W$3:$W$5001,"&lt;&gt;")=0,"",SUMIFS(BD!$W$3:$W$5001,BD!$A$3:$A$5001,V$3,BD!$B$3:$B$5001,$A$369)))</f>
        <v/>
      </c>
      <c r="W389" s="212" t="str">
        <f>IF(W$3="","",IF(COUNTIFS(BD!$A$3:$A$5001,W$3,BD!$B$3:$B$5001,$A$369,BD!$W$3:$W$5001,"&lt;&gt;")=0,"",SUMIFS(BD!$W$3:$W$5001,BD!$A$3:$A$5001,W$3,BD!$B$3:$B$5001,$A$369)))</f>
        <v/>
      </c>
      <c r="X389" s="212" t="str">
        <f>IF(X$3="","",IF(COUNTIFS(BD!$A$3:$A$5001,X$3,BD!$B$3:$B$5001,$A$369,BD!$W$3:$W$5001,"&lt;&gt;")=0,"",SUMIFS(BD!$W$3:$W$5001,BD!$A$3:$A$5001,X$3,BD!$B$3:$B$5001,$A$369)))</f>
        <v/>
      </c>
      <c r="Y389" s="212" t="str">
        <f>IF(Y$3="","",IF(COUNTIFS(BD!$A$3:$A$5001,Y$3,BD!$B$3:$B$5001,$A$369,BD!$W$3:$W$5001,"&lt;&gt;")=0,"",SUMIFS(BD!$W$3:$W$5001,BD!$A$3:$A$5001,Y$3,BD!$B$3:$B$5001,$A$369)))</f>
        <v/>
      </c>
      <c r="Z389" s="212" t="str">
        <f>IF(Z$3="","",IF(COUNTIFS(BD!$A$3:$A$5001,Z$3,BD!$B$3:$B$5001,$A$369,BD!$W$3:$W$5001,"&lt;&gt;")=0,"",SUMIFS(BD!$W$3:$W$5001,BD!$A$3:$A$5001,Z$3,BD!$B$3:$B$5001,$A$369)))</f>
        <v/>
      </c>
      <c r="AA389" s="212" t="str">
        <f>IF(AA$3="","",IF(COUNTIFS(BD!$A$3:$A$5001,AA$3,BD!$B$3:$B$5001,$A$369,BD!$W$3:$W$5001,"&lt;&gt;")=0,"",SUMIFS(BD!$W$3:$W$5001,BD!$A$3:$A$5001,AA$3,BD!$B$3:$B$5001,$A$369)))</f>
        <v/>
      </c>
      <c r="AB389" s="212" t="str">
        <f>IF(AB$3="","",IF(COUNTIFS(BD!$A$3:$A$5001,AB$3,BD!$B$3:$B$5001,$A$369,BD!$W$3:$W$5001,"&lt;&gt;")=0,"",SUMIFS(BD!$W$3:$W$5001,BD!$A$3:$A$5001,AB$3,BD!$B$3:$B$5001,$A$369)))</f>
        <v/>
      </c>
      <c r="AC389" s="212" t="str">
        <f>IF(AC$3="","",IF(COUNTIFS(BD!$A$3:$A$5001,AC$3,BD!$B$3:$B$5001,$A$369,BD!$W$3:$W$5001,"&lt;&gt;")=0,"",SUMIFS(BD!$W$3:$W$5001,BD!$A$3:$A$5001,AC$3,BD!$B$3:$B$5001,$A$369)))</f>
        <v/>
      </c>
      <c r="AD389" s="212" t="str">
        <f>IF(AD$3="","",IF(COUNTIFS(BD!$A$3:$A$5001,AD$3,BD!$B$3:$B$5001,$A$369,BD!$W$3:$W$5001,"&lt;&gt;")=0,"",SUMIFS(BD!$W$3:$W$5001,BD!$A$3:$A$5001,AD$3,BD!$B$3:$B$5001,$A$369)))</f>
        <v/>
      </c>
      <c r="AE389" s="212" t="str">
        <f>IF(AE$3="","",IF(COUNTIFS(BD!$A$3:$A$5001,AE$3,BD!$B$3:$B$5001,$A$369,BD!$W$3:$W$5001,"&lt;&gt;")=0,"",SUMIFS(BD!$W$3:$W$5001,BD!$A$3:$A$5001,AE$3,BD!$B$3:$B$5001,$A$369)))</f>
        <v/>
      </c>
      <c r="AF389" s="212" t="str">
        <f>IF(AF$3="","",IF(COUNTIFS(BD!$A$3:$A$5001,AF$3,BD!$B$3:$B$5001,$A$369,BD!$W$3:$W$5001,"&lt;&gt;")=0,"",SUMIFS(BD!$W$3:$W$5001,BD!$A$3:$A$5001,AF$3,BD!$B$3:$B$5001,$A$369)))</f>
        <v/>
      </c>
      <c r="AG389" s="212" t="str">
        <f>IF(AG$3="","",IF(COUNTIFS(BD!$A$3:$A$5001,AG$3,BD!$B$3:$B$5001,$A$369,BD!$W$3:$W$5001,"&lt;&gt;")=0,"",SUMIFS(BD!$W$3:$W$5001,BD!$A$3:$A$5001,AG$3,BD!$B$3:$B$5001,$A$369)))</f>
        <v/>
      </c>
      <c r="AH389" s="212" t="str">
        <f>IF(AH$3="","",IF(COUNTIFS(BD!$A$3:$A$5001,AH$3,BD!$B$3:$B$5001,$A$369,BD!$W$3:$W$5001,"&lt;&gt;")=0,"",SUMIFS(BD!$W$3:$W$5001,BD!$A$3:$A$5001,AH$3,BD!$B$3:$B$5001,$A$369)))</f>
        <v/>
      </c>
      <c r="AI389" s="212" t="str">
        <f>IF(AI$3="","",IF(COUNTIFS(BD!$A$3:$A$5001,AI$3,BD!$B$3:$B$5001,$A$369,BD!$W$3:$W$5001,"&lt;&gt;")=0,"",SUMIFS(BD!$W$3:$W$5001,BD!$A$3:$A$5001,AI$3,BD!$B$3:$B$5001,$A$369)))</f>
        <v/>
      </c>
      <c r="AJ389" s="213" t="str">
        <f>IF(AJ$3="","",IF(COUNTIFS(BD!$A$3:$A$5001,AJ$3,BD!$B$3:$B$5001,$A$369,BD!$W$3:$W$5001,"&lt;&gt;")=0,"",SUMIFS(BD!$W$3:$W$5001,BD!$A$3:$A$5001,AJ$3,BD!$B$3:$B$5001,$A$369)))</f>
        <v/>
      </c>
      <c r="AK389" s="209" t="str">
        <f>IFERROR(LOOKUP(9.99E+307,F389:AJ389),"")</f>
        <v/>
      </c>
    </row>
    <row r="390" ht="15.75" customHeight="1" hidden="1">
      <c r="A390" s="261"/>
      <c r="B390" s="249" t="inlineStr">
        <is>
          <t xml:space="preserve">OCUPAÇÃO (P.P)</t>
        </is>
      </c>
      <c r="C390" s="168" t="inlineStr">
        <is>
          <t xml:space="preserve">Posições Disponíveis</t>
        </is>
      </c>
      <c r="D390" s="169" t="str">
        <f>IFERROR(1/(1/INDEX(BD!$AL$44:$BF$44,MATCH($A$369,BD!$AL$22:$BF$22,0))),"")</f>
        <v/>
      </c>
      <c r="E390" s="170"/>
      <c r="F390" s="171" t="str">
        <f>IF(F$3="","",IF(COUNTIFS(BD!$A$3:$A$5001,F$3,BD!$B$3:$B$5001,$A$369,BD!$X$3:$X$5001,"&lt;&gt;")=0,"",SUMIFS(BD!$X$3:$X$5001,BD!$A$3:$A$5001,F$3,BD!$B$3:$B$5001,$A$369)))</f>
        <v/>
      </c>
      <c r="G390" s="172" t="str">
        <f>IF(G$3="","",IF(COUNTIFS(BD!$A$3:$A$5001,G$3,BD!$B$3:$B$5001,$A$369,BD!$X$3:$X$5001,"&lt;&gt;")=0,"",SUMIFS(BD!$X$3:$X$5001,BD!$A$3:$A$5001,G$3,BD!$B$3:$B$5001,$A$369)))</f>
        <v/>
      </c>
      <c r="H390" s="172" t="str">
        <f>IF(H$3="","",IF(COUNTIFS(BD!$A$3:$A$5001,H$3,BD!$B$3:$B$5001,$A$369,BD!$X$3:$X$5001,"&lt;&gt;")=0,"",SUMIFS(BD!$X$3:$X$5001,BD!$A$3:$A$5001,H$3,BD!$B$3:$B$5001,$A$369)))</f>
        <v/>
      </c>
      <c r="I390" s="172" t="str">
        <f>IF(I$3="","",IF(COUNTIFS(BD!$A$3:$A$5001,I$3,BD!$B$3:$B$5001,$A$369,BD!$X$3:$X$5001,"&lt;&gt;")=0,"",SUMIFS(BD!$X$3:$X$5001,BD!$A$3:$A$5001,I$3,BD!$B$3:$B$5001,$A$369)))</f>
        <v/>
      </c>
      <c r="J390" s="172" t="str">
        <f>IF(J$3="","",IF(COUNTIFS(BD!$A$3:$A$5001,J$3,BD!$B$3:$B$5001,$A$369,BD!$X$3:$X$5001,"&lt;&gt;")=0,"",SUMIFS(BD!$X$3:$X$5001,BD!$A$3:$A$5001,J$3,BD!$B$3:$B$5001,$A$369)))</f>
        <v/>
      </c>
      <c r="K390" s="172" t="str">
        <f>IF(K$3="","",IF(COUNTIFS(BD!$A$3:$A$5001,K$3,BD!$B$3:$B$5001,$A$369,BD!$X$3:$X$5001,"&lt;&gt;")=0,"",SUMIFS(BD!$X$3:$X$5001,BD!$A$3:$A$5001,K$3,BD!$B$3:$B$5001,$A$369)))</f>
        <v/>
      </c>
      <c r="L390" s="172" t="str">
        <f>IF(L$3="","",IF(COUNTIFS(BD!$A$3:$A$5001,L$3,BD!$B$3:$B$5001,$A$369,BD!$X$3:$X$5001,"&lt;&gt;")=0,"",SUMIFS(BD!$X$3:$X$5001,BD!$A$3:$A$5001,L$3,BD!$B$3:$B$5001,$A$369)))</f>
        <v/>
      </c>
      <c r="M390" s="172" t="str">
        <f>IF(M$3="","",IF(COUNTIFS(BD!$A$3:$A$5001,M$3,BD!$B$3:$B$5001,$A$369,BD!$X$3:$X$5001,"&lt;&gt;")=0,"",SUMIFS(BD!$X$3:$X$5001,BD!$A$3:$A$5001,M$3,BD!$B$3:$B$5001,$A$369)))</f>
        <v/>
      </c>
      <c r="N390" s="172" t="str">
        <f>IF(N$3="","",IF(COUNTIFS(BD!$A$3:$A$5001,N$3,BD!$B$3:$B$5001,$A$369,BD!$X$3:$X$5001,"&lt;&gt;")=0,"",SUMIFS(BD!$X$3:$X$5001,BD!$A$3:$A$5001,N$3,BD!$B$3:$B$5001,$A$369)))</f>
        <v/>
      </c>
      <c r="O390" s="172" t="str">
        <f>IF(O$3="","",IF(COUNTIFS(BD!$A$3:$A$5001,O$3,BD!$B$3:$B$5001,$A$369,BD!$X$3:$X$5001,"&lt;&gt;")=0,"",SUMIFS(BD!$X$3:$X$5001,BD!$A$3:$A$5001,O$3,BD!$B$3:$B$5001,$A$369)))</f>
        <v/>
      </c>
      <c r="P390" s="172" t="str">
        <f>IF(P$3="","",IF(COUNTIFS(BD!$A$3:$A$5001,P$3,BD!$B$3:$B$5001,$A$369,BD!$X$3:$X$5001,"&lt;&gt;")=0,"",SUMIFS(BD!$X$3:$X$5001,BD!$A$3:$A$5001,P$3,BD!$B$3:$B$5001,$A$369)))</f>
        <v/>
      </c>
      <c r="Q390" s="172" t="str">
        <f>IF(Q$3="","",IF(COUNTIFS(BD!$A$3:$A$5001,Q$3,BD!$B$3:$B$5001,$A$369,BD!$X$3:$X$5001,"&lt;&gt;")=0,"",SUMIFS(BD!$X$3:$X$5001,BD!$A$3:$A$5001,Q$3,BD!$B$3:$B$5001,$A$369)))</f>
        <v/>
      </c>
      <c r="R390" s="172" t="str">
        <f>IF(R$3="","",IF(COUNTIFS(BD!$A$3:$A$5001,R$3,BD!$B$3:$B$5001,$A$369,BD!$X$3:$X$5001,"&lt;&gt;")=0,"",SUMIFS(BD!$X$3:$X$5001,BD!$A$3:$A$5001,R$3,BD!$B$3:$B$5001,$A$369)))</f>
        <v/>
      </c>
      <c r="S390" s="172" t="str">
        <f>IF(S$3="","",IF(COUNTIFS(BD!$A$3:$A$5001,S$3,BD!$B$3:$B$5001,$A$369,BD!$X$3:$X$5001,"&lt;&gt;")=0,"",SUMIFS(BD!$X$3:$X$5001,BD!$A$3:$A$5001,S$3,BD!$B$3:$B$5001,$A$369)))</f>
        <v/>
      </c>
      <c r="T390" s="172" t="str">
        <f>IF(T$3="","",IF(COUNTIFS(BD!$A$3:$A$5001,T$3,BD!$B$3:$B$5001,$A$369,BD!$X$3:$X$5001,"&lt;&gt;")=0,"",SUMIFS(BD!$X$3:$X$5001,BD!$A$3:$A$5001,T$3,BD!$B$3:$B$5001,$A$369)))</f>
        <v/>
      </c>
      <c r="U390" s="172" t="str">
        <f>IF(U$3="","",IF(COUNTIFS(BD!$A$3:$A$5001,U$3,BD!$B$3:$B$5001,$A$369,BD!$X$3:$X$5001,"&lt;&gt;")=0,"",SUMIFS(BD!$X$3:$X$5001,BD!$A$3:$A$5001,U$3,BD!$B$3:$B$5001,$A$369)))</f>
        <v/>
      </c>
      <c r="V390" s="172" t="str">
        <f>IF(V$3="","",IF(COUNTIFS(BD!$A$3:$A$5001,V$3,BD!$B$3:$B$5001,$A$369,BD!$X$3:$X$5001,"&lt;&gt;")=0,"",SUMIFS(BD!$X$3:$X$5001,BD!$A$3:$A$5001,V$3,BD!$B$3:$B$5001,$A$369)))</f>
        <v/>
      </c>
      <c r="W390" s="172" t="str">
        <f>IF(W$3="","",IF(COUNTIFS(BD!$A$3:$A$5001,W$3,BD!$B$3:$B$5001,$A$369,BD!$X$3:$X$5001,"&lt;&gt;")=0,"",SUMIFS(BD!$X$3:$X$5001,BD!$A$3:$A$5001,W$3,BD!$B$3:$B$5001,$A$369)))</f>
        <v/>
      </c>
      <c r="X390" s="172" t="str">
        <f>IF(X$3="","",IF(COUNTIFS(BD!$A$3:$A$5001,X$3,BD!$B$3:$B$5001,$A$369,BD!$X$3:$X$5001,"&lt;&gt;")=0,"",SUMIFS(BD!$X$3:$X$5001,BD!$A$3:$A$5001,X$3,BD!$B$3:$B$5001,$A$369)))</f>
        <v/>
      </c>
      <c r="Y390" s="172" t="str">
        <f>IF(Y$3="","",IF(COUNTIFS(BD!$A$3:$A$5001,Y$3,BD!$B$3:$B$5001,$A$369,BD!$X$3:$X$5001,"&lt;&gt;")=0,"",SUMIFS(BD!$X$3:$X$5001,BD!$A$3:$A$5001,Y$3,BD!$B$3:$B$5001,$A$369)))</f>
        <v/>
      </c>
      <c r="Z390" s="172" t="str">
        <f>IF(Z$3="","",IF(COUNTIFS(BD!$A$3:$A$5001,Z$3,BD!$B$3:$B$5001,$A$369,BD!$X$3:$X$5001,"&lt;&gt;")=0,"",SUMIFS(BD!$X$3:$X$5001,BD!$A$3:$A$5001,Z$3,BD!$B$3:$B$5001,$A$369)))</f>
        <v/>
      </c>
      <c r="AA390" s="172" t="str">
        <f>IF(AA$3="","",IF(COUNTIFS(BD!$A$3:$A$5001,AA$3,BD!$B$3:$B$5001,$A$369,BD!$X$3:$X$5001,"&lt;&gt;")=0,"",SUMIFS(BD!$X$3:$X$5001,BD!$A$3:$A$5001,AA$3,BD!$B$3:$B$5001,$A$369)))</f>
        <v/>
      </c>
      <c r="AB390" s="172" t="str">
        <f>IF(AB$3="","",IF(COUNTIFS(BD!$A$3:$A$5001,AB$3,BD!$B$3:$B$5001,$A$369,BD!$X$3:$X$5001,"&lt;&gt;")=0,"",SUMIFS(BD!$X$3:$X$5001,BD!$A$3:$A$5001,AB$3,BD!$B$3:$B$5001,$A$369)))</f>
        <v/>
      </c>
      <c r="AC390" s="172" t="str">
        <f>IF(AC$3="","",IF(COUNTIFS(BD!$A$3:$A$5001,AC$3,BD!$B$3:$B$5001,$A$369,BD!$X$3:$X$5001,"&lt;&gt;")=0,"",SUMIFS(BD!$X$3:$X$5001,BD!$A$3:$A$5001,AC$3,BD!$B$3:$B$5001,$A$369)))</f>
        <v/>
      </c>
      <c r="AD390" s="172" t="str">
        <f>IF(AD$3="","",IF(COUNTIFS(BD!$A$3:$A$5001,AD$3,BD!$B$3:$B$5001,$A$369,BD!$X$3:$X$5001,"&lt;&gt;")=0,"",SUMIFS(BD!$X$3:$X$5001,BD!$A$3:$A$5001,AD$3,BD!$B$3:$B$5001,$A$369)))</f>
        <v/>
      </c>
      <c r="AE390" s="172" t="str">
        <f>IF(AE$3="","",IF(COUNTIFS(BD!$A$3:$A$5001,AE$3,BD!$B$3:$B$5001,$A$369,BD!$X$3:$X$5001,"&lt;&gt;")=0,"",SUMIFS(BD!$X$3:$X$5001,BD!$A$3:$A$5001,AE$3,BD!$B$3:$B$5001,$A$369)))</f>
        <v/>
      </c>
      <c r="AF390" s="172" t="str">
        <f>IF(AF$3="","",IF(COUNTIFS(BD!$A$3:$A$5001,AF$3,BD!$B$3:$B$5001,$A$369,BD!$X$3:$X$5001,"&lt;&gt;")=0,"",SUMIFS(BD!$X$3:$X$5001,BD!$A$3:$A$5001,AF$3,BD!$B$3:$B$5001,$A$369)))</f>
        <v/>
      </c>
      <c r="AG390" s="172" t="str">
        <f>IF(AG$3="","",IF(COUNTIFS(BD!$A$3:$A$5001,AG$3,BD!$B$3:$B$5001,$A$369,BD!$X$3:$X$5001,"&lt;&gt;")=0,"",SUMIFS(BD!$X$3:$X$5001,BD!$A$3:$A$5001,AG$3,BD!$B$3:$B$5001,$A$369)))</f>
        <v/>
      </c>
      <c r="AH390" s="172" t="str">
        <f>IF(AH$3="","",IF(COUNTIFS(BD!$A$3:$A$5001,AH$3,BD!$B$3:$B$5001,$A$369,BD!$X$3:$X$5001,"&lt;&gt;")=0,"",SUMIFS(BD!$X$3:$X$5001,BD!$A$3:$A$5001,AH$3,BD!$B$3:$B$5001,$A$369)))</f>
        <v/>
      </c>
      <c r="AI390" s="172" t="str">
        <f>IF(AI$3="","",IF(COUNTIFS(BD!$A$3:$A$5001,AI$3,BD!$B$3:$B$5001,$A$369,BD!$X$3:$X$5001,"&lt;&gt;")=0,"",SUMIFS(BD!$X$3:$X$5001,BD!$A$3:$A$5001,AI$3,BD!$B$3:$B$5001,$A$369)))</f>
        <v/>
      </c>
      <c r="AJ390" s="173" t="str">
        <f>IF(AJ$3="","",IF(COUNTIFS(BD!$A$3:$A$5001,AJ$3,BD!$B$3:$B$5001,$A$369,BD!$X$3:$X$5001,"&lt;&gt;")=0,"",SUMIFS(BD!$X$3:$X$5001,BD!$A$3:$A$5001,AJ$3,BD!$B$3:$B$5001,$A$369)))</f>
        <v/>
      </c>
      <c r="AK390" s="174" t="str">
        <f>IF(COUNT(F390:AJ390)&gt;0,LOOKUP(9.99E+307,F390:AJ390),IFERROR(IF(INDEX(BD!$AI$3:$AI$5001,MATCH($A$369,BD!$B$3:$B$5001,0))&amp;""="Contrato","",INDEX(BD!$AI$3:$AI$5001,MATCH($A$369,BD!$B$3:$B$5001,0))&amp;""),""))</f>
        <v/>
      </c>
    </row>
    <row r="391" ht="15.75" customHeight="1" hidden="1">
      <c r="A391" s="261"/>
      <c r="B391" s="256"/>
      <c r="C391" s="214" t="inlineStr">
        <is>
          <t xml:space="preserve">Posições Ocupadas</t>
        </is>
      </c>
      <c r="D391" s="215" t="str">
        <f>IFERROR(1/(1/INDEX(BD!$AL$45:$BF$45,MATCH($A$369,BD!$AL$22:$BF$22,0))),"")</f>
        <v/>
      </c>
      <c r="E391" s="216"/>
      <c r="F391" s="217" t="str">
        <f>IF(F$3="","",IF(COUNTIFS(BD!$A$3:$A$5001,F$3,BD!$B$3:$B$5001,$A$369,BD!$Y$3:$Y$5001,"&lt;&gt;")=0,"",SUMIFS(BD!$Y$3:$Y$5001,BD!$A$3:$A$5001,F$3,BD!$B$3:$B$5001,$A$369)))</f>
        <v/>
      </c>
      <c r="G391" s="218" t="str">
        <f>IF(G$3="","",IF(COUNTIFS(BD!$A$3:$A$5001,G$3,BD!$B$3:$B$5001,$A$369,BD!$Y$3:$Y$5001,"&lt;&gt;")=0,"",SUMIFS(BD!$Y$3:$Y$5001,BD!$A$3:$A$5001,G$3,BD!$B$3:$B$5001,$A$369)))</f>
        <v/>
      </c>
      <c r="H391" s="218" t="str">
        <f>IF(H$3="","",IF(COUNTIFS(BD!$A$3:$A$5001,H$3,BD!$B$3:$B$5001,$A$369,BD!$Y$3:$Y$5001,"&lt;&gt;")=0,"",SUMIFS(BD!$Y$3:$Y$5001,BD!$A$3:$A$5001,H$3,BD!$B$3:$B$5001,$A$369)))</f>
        <v/>
      </c>
      <c r="I391" s="218" t="str">
        <f>IF(I$3="","",IF(COUNTIFS(BD!$A$3:$A$5001,I$3,BD!$B$3:$B$5001,$A$369,BD!$Y$3:$Y$5001,"&lt;&gt;")=0,"",SUMIFS(BD!$Y$3:$Y$5001,BD!$A$3:$A$5001,I$3,BD!$B$3:$B$5001,$A$369)))</f>
        <v/>
      </c>
      <c r="J391" s="218" t="str">
        <f>IF(J$3="","",IF(COUNTIFS(BD!$A$3:$A$5001,J$3,BD!$B$3:$B$5001,$A$369,BD!$Y$3:$Y$5001,"&lt;&gt;")=0,"",SUMIFS(BD!$Y$3:$Y$5001,BD!$A$3:$A$5001,J$3,BD!$B$3:$B$5001,$A$369)))</f>
        <v/>
      </c>
      <c r="K391" s="218" t="str">
        <f>IF(K$3="","",IF(COUNTIFS(BD!$A$3:$A$5001,K$3,BD!$B$3:$B$5001,$A$369,BD!$Y$3:$Y$5001,"&lt;&gt;")=0,"",SUMIFS(BD!$Y$3:$Y$5001,BD!$A$3:$A$5001,K$3,BD!$B$3:$B$5001,$A$369)))</f>
        <v/>
      </c>
      <c r="L391" s="218" t="str">
        <f>IF(L$3="","",IF(COUNTIFS(BD!$A$3:$A$5001,L$3,BD!$B$3:$B$5001,$A$369,BD!$Y$3:$Y$5001,"&lt;&gt;")=0,"",SUMIFS(BD!$Y$3:$Y$5001,BD!$A$3:$A$5001,L$3,BD!$B$3:$B$5001,$A$369)))</f>
        <v/>
      </c>
      <c r="M391" s="218" t="str">
        <f>IF(M$3="","",IF(COUNTIFS(BD!$A$3:$A$5001,M$3,BD!$B$3:$B$5001,$A$369,BD!$Y$3:$Y$5001,"&lt;&gt;")=0,"",SUMIFS(BD!$Y$3:$Y$5001,BD!$A$3:$A$5001,M$3,BD!$B$3:$B$5001,$A$369)))</f>
        <v/>
      </c>
      <c r="N391" s="218" t="str">
        <f>IF(N$3="","",IF(COUNTIFS(BD!$A$3:$A$5001,N$3,BD!$B$3:$B$5001,$A$369,BD!$Y$3:$Y$5001,"&lt;&gt;")=0,"",SUMIFS(BD!$Y$3:$Y$5001,BD!$A$3:$A$5001,N$3,BD!$B$3:$B$5001,$A$369)))</f>
        <v/>
      </c>
      <c r="O391" s="218" t="str">
        <f>IF(O$3="","",IF(COUNTIFS(BD!$A$3:$A$5001,O$3,BD!$B$3:$B$5001,$A$369,BD!$Y$3:$Y$5001,"&lt;&gt;")=0,"",SUMIFS(BD!$Y$3:$Y$5001,BD!$A$3:$A$5001,O$3,BD!$B$3:$B$5001,$A$369)))</f>
        <v/>
      </c>
      <c r="P391" s="218" t="str">
        <f>IF(P$3="","",IF(COUNTIFS(BD!$A$3:$A$5001,P$3,BD!$B$3:$B$5001,$A$369,BD!$Y$3:$Y$5001,"&lt;&gt;")=0,"",SUMIFS(BD!$Y$3:$Y$5001,BD!$A$3:$A$5001,P$3,BD!$B$3:$B$5001,$A$369)))</f>
        <v/>
      </c>
      <c r="Q391" s="218" t="str">
        <f>IF(Q$3="","",IF(COUNTIFS(BD!$A$3:$A$5001,Q$3,BD!$B$3:$B$5001,$A$369,BD!$Y$3:$Y$5001,"&lt;&gt;")=0,"",SUMIFS(BD!$Y$3:$Y$5001,BD!$A$3:$A$5001,Q$3,BD!$B$3:$B$5001,$A$369)))</f>
        <v/>
      </c>
      <c r="R391" s="218" t="str">
        <f>IF(R$3="","",IF(COUNTIFS(BD!$A$3:$A$5001,R$3,BD!$B$3:$B$5001,$A$369,BD!$Y$3:$Y$5001,"&lt;&gt;")=0,"",SUMIFS(BD!$Y$3:$Y$5001,BD!$A$3:$A$5001,R$3,BD!$B$3:$B$5001,$A$369)))</f>
        <v/>
      </c>
      <c r="S391" s="218" t="str">
        <f>IF(S$3="","",IF(COUNTIFS(BD!$A$3:$A$5001,S$3,BD!$B$3:$B$5001,$A$369,BD!$Y$3:$Y$5001,"&lt;&gt;")=0,"",SUMIFS(BD!$Y$3:$Y$5001,BD!$A$3:$A$5001,S$3,BD!$B$3:$B$5001,$A$369)))</f>
        <v/>
      </c>
      <c r="T391" s="218" t="str">
        <f>IF(T$3="","",IF(COUNTIFS(BD!$A$3:$A$5001,T$3,BD!$B$3:$B$5001,$A$369,BD!$Y$3:$Y$5001,"&lt;&gt;")=0,"",SUMIFS(BD!$Y$3:$Y$5001,BD!$A$3:$A$5001,T$3,BD!$B$3:$B$5001,$A$369)))</f>
        <v/>
      </c>
      <c r="U391" s="218" t="str">
        <f>IF(U$3="","",IF(COUNTIFS(BD!$A$3:$A$5001,U$3,BD!$B$3:$B$5001,$A$369,BD!$Y$3:$Y$5001,"&lt;&gt;")=0,"",SUMIFS(BD!$Y$3:$Y$5001,BD!$A$3:$A$5001,U$3,BD!$B$3:$B$5001,$A$369)))</f>
        <v/>
      </c>
      <c r="V391" s="218" t="str">
        <f>IF(V$3="","",IF(COUNTIFS(BD!$A$3:$A$5001,V$3,BD!$B$3:$B$5001,$A$369,BD!$Y$3:$Y$5001,"&lt;&gt;")=0,"",SUMIFS(BD!$Y$3:$Y$5001,BD!$A$3:$A$5001,V$3,BD!$B$3:$B$5001,$A$369)))</f>
        <v/>
      </c>
      <c r="W391" s="218" t="str">
        <f>IF(W$3="","",IF(COUNTIFS(BD!$A$3:$A$5001,W$3,BD!$B$3:$B$5001,$A$369,BD!$Y$3:$Y$5001,"&lt;&gt;")=0,"",SUMIFS(BD!$Y$3:$Y$5001,BD!$A$3:$A$5001,W$3,BD!$B$3:$B$5001,$A$369)))</f>
        <v/>
      </c>
      <c r="X391" s="218" t="str">
        <f>IF(X$3="","",IF(COUNTIFS(BD!$A$3:$A$5001,X$3,BD!$B$3:$B$5001,$A$369,BD!$Y$3:$Y$5001,"&lt;&gt;")=0,"",SUMIFS(BD!$Y$3:$Y$5001,BD!$A$3:$A$5001,X$3,BD!$B$3:$B$5001,$A$369)))</f>
        <v/>
      </c>
      <c r="Y391" s="218" t="str">
        <f>IF(Y$3="","",IF(COUNTIFS(BD!$A$3:$A$5001,Y$3,BD!$B$3:$B$5001,$A$369,BD!$Y$3:$Y$5001,"&lt;&gt;")=0,"",SUMIFS(BD!$Y$3:$Y$5001,BD!$A$3:$A$5001,Y$3,BD!$B$3:$B$5001,$A$369)))</f>
        <v/>
      </c>
      <c r="Z391" s="218" t="str">
        <f>IF(Z$3="","",IF(COUNTIFS(BD!$A$3:$A$5001,Z$3,BD!$B$3:$B$5001,$A$369,BD!$Y$3:$Y$5001,"&lt;&gt;")=0,"",SUMIFS(BD!$Y$3:$Y$5001,BD!$A$3:$A$5001,Z$3,BD!$B$3:$B$5001,$A$369)))</f>
        <v/>
      </c>
      <c r="AA391" s="218" t="str">
        <f>IF(AA$3="","",IF(COUNTIFS(BD!$A$3:$A$5001,AA$3,BD!$B$3:$B$5001,$A$369,BD!$Y$3:$Y$5001,"&lt;&gt;")=0,"",SUMIFS(BD!$Y$3:$Y$5001,BD!$A$3:$A$5001,AA$3,BD!$B$3:$B$5001,$A$369)))</f>
        <v/>
      </c>
      <c r="AB391" s="218" t="str">
        <f>IF(AB$3="","",IF(COUNTIFS(BD!$A$3:$A$5001,AB$3,BD!$B$3:$B$5001,$A$369,BD!$Y$3:$Y$5001,"&lt;&gt;")=0,"",SUMIFS(BD!$Y$3:$Y$5001,BD!$A$3:$A$5001,AB$3,BD!$B$3:$B$5001,$A$369)))</f>
        <v/>
      </c>
      <c r="AC391" s="218" t="str">
        <f>IF(AC$3="","",IF(COUNTIFS(BD!$A$3:$A$5001,AC$3,BD!$B$3:$B$5001,$A$369,BD!$Y$3:$Y$5001,"&lt;&gt;")=0,"",SUMIFS(BD!$Y$3:$Y$5001,BD!$A$3:$A$5001,AC$3,BD!$B$3:$B$5001,$A$369)))</f>
        <v/>
      </c>
      <c r="AD391" s="218" t="str">
        <f>IF(AD$3="","",IF(COUNTIFS(BD!$A$3:$A$5001,AD$3,BD!$B$3:$B$5001,$A$369,BD!$Y$3:$Y$5001,"&lt;&gt;")=0,"",SUMIFS(BD!$Y$3:$Y$5001,BD!$A$3:$A$5001,AD$3,BD!$B$3:$B$5001,$A$369)))</f>
        <v/>
      </c>
      <c r="AE391" s="218" t="str">
        <f>IF(AE$3="","",IF(COUNTIFS(BD!$A$3:$A$5001,AE$3,BD!$B$3:$B$5001,$A$369,BD!$Y$3:$Y$5001,"&lt;&gt;")=0,"",SUMIFS(BD!$Y$3:$Y$5001,BD!$A$3:$A$5001,AE$3,BD!$B$3:$B$5001,$A$369)))</f>
        <v/>
      </c>
      <c r="AF391" s="218" t="str">
        <f>IF(AF$3="","",IF(COUNTIFS(BD!$A$3:$A$5001,AF$3,BD!$B$3:$B$5001,$A$369,BD!$Y$3:$Y$5001,"&lt;&gt;")=0,"",SUMIFS(BD!$Y$3:$Y$5001,BD!$A$3:$A$5001,AF$3,BD!$B$3:$B$5001,$A$369)))</f>
        <v/>
      </c>
      <c r="AG391" s="218" t="str">
        <f>IF(AG$3="","",IF(COUNTIFS(BD!$A$3:$A$5001,AG$3,BD!$B$3:$B$5001,$A$369,BD!$Y$3:$Y$5001,"&lt;&gt;")=0,"",SUMIFS(BD!$Y$3:$Y$5001,BD!$A$3:$A$5001,AG$3,BD!$B$3:$B$5001,$A$369)))</f>
        <v/>
      </c>
      <c r="AH391" s="218" t="str">
        <f>IF(AH$3="","",IF(COUNTIFS(BD!$A$3:$A$5001,AH$3,BD!$B$3:$B$5001,$A$369,BD!$Y$3:$Y$5001,"&lt;&gt;")=0,"",SUMIFS(BD!$Y$3:$Y$5001,BD!$A$3:$A$5001,AH$3,BD!$B$3:$B$5001,$A$369)))</f>
        <v/>
      </c>
      <c r="AI391" s="218" t="str">
        <f>IF(AI$3="","",IF(COUNTIFS(BD!$A$3:$A$5001,AI$3,BD!$B$3:$B$5001,$A$369,BD!$Y$3:$Y$5001,"&lt;&gt;")=0,"",SUMIFS(BD!$Y$3:$Y$5001,BD!$A$3:$A$5001,AI$3,BD!$B$3:$B$5001,$A$369)))</f>
        <v/>
      </c>
      <c r="AJ391" s="219" t="str">
        <f>IF(AJ$3="","",IF(COUNTIFS(BD!$A$3:$A$5001,AJ$3,BD!$B$3:$B$5001,$A$369,BD!$Y$3:$Y$5001,"&lt;&gt;")=0,"",SUMIFS(BD!$Y$3:$Y$5001,BD!$A$3:$A$5001,AJ$3,BD!$B$3:$B$5001,$A$369)))</f>
        <v/>
      </c>
      <c r="AK391" s="220" t="str">
        <f>IFERROR(LOOKUP(9.99E+307,F391:AJ391),"")</f>
        <v/>
      </c>
    </row>
    <row r="392" ht="15.75" customHeight="1" hidden="1">
      <c r="A392" s="261"/>
      <c r="B392" s="250"/>
      <c r="C392" s="175" t="inlineStr">
        <is>
          <t xml:space="preserve">Taxa de Ocupação</t>
        </is>
      </c>
      <c r="D392" s="221" t="str">
        <f>IFERROR(1/(1/INDEX(BD!$AL$46:$BF$46,MATCH($A$369,BD!$AL$22:$BF$22,0))),"")</f>
        <v/>
      </c>
      <c r="E392" s="177"/>
      <c r="F392" s="222" t="str">
        <f>IF(AND(ISNUMBER(F390),ISNUMBER(F391)),IF(F390&gt;0,F391/F390,""),"")</f>
        <v/>
      </c>
      <c r="G392" s="223" t="str">
        <f>IF(AND(ISNUMBER(G390),ISNUMBER(G391)),IF(G390&gt;0,G391/G390,""),"")</f>
        <v/>
      </c>
      <c r="H392" s="223" t="str">
        <f>IF(AND(ISNUMBER(H390),ISNUMBER(H391)),IF(H390&gt;0,H391/H390,""),"")</f>
        <v/>
      </c>
      <c r="I392" s="223" t="str">
        <f>IF(AND(ISNUMBER(I390),ISNUMBER(I391)),IF(I390&gt;0,I391/I390,""),"")</f>
        <v/>
      </c>
      <c r="J392" s="223" t="str">
        <f>IF(AND(ISNUMBER(J390),ISNUMBER(J391)),IF(J390&gt;0,J391/J390,""),"")</f>
        <v/>
      </c>
      <c r="K392" s="223" t="str">
        <f>IF(AND(ISNUMBER(K390),ISNUMBER(K391)),IF(K390&gt;0,K391/K390,""),"")</f>
        <v/>
      </c>
      <c r="L392" s="223" t="str">
        <f>IF(AND(ISNUMBER(L390),ISNUMBER(L391)),IF(L390&gt;0,L391/L390,""),"")</f>
        <v/>
      </c>
      <c r="M392" s="223" t="str">
        <f>IF(AND(ISNUMBER(M390),ISNUMBER(M391)),IF(M390&gt;0,M391/M390,""),"")</f>
        <v/>
      </c>
      <c r="N392" s="223" t="str">
        <f>IF(AND(ISNUMBER(N390),ISNUMBER(N391)),IF(N390&gt;0,N391/N390,""),"")</f>
        <v/>
      </c>
      <c r="O392" s="223" t="str">
        <f>IF(AND(ISNUMBER(O390),ISNUMBER(O391)),IF(O390&gt;0,O391/O390,""),"")</f>
        <v/>
      </c>
      <c r="P392" s="223" t="str">
        <f>IF(AND(ISNUMBER(P390),ISNUMBER(P391)),IF(P390&gt;0,P391/P390,""),"")</f>
        <v/>
      </c>
      <c r="Q392" s="223" t="str">
        <f>IF(AND(ISNUMBER(Q390),ISNUMBER(Q391)),IF(Q390&gt;0,Q391/Q390,""),"")</f>
        <v/>
      </c>
      <c r="R392" s="223" t="str">
        <f>IF(AND(ISNUMBER(R390),ISNUMBER(R391)),IF(R390&gt;0,R391/R390,""),"")</f>
        <v/>
      </c>
      <c r="S392" s="223" t="str">
        <f>IF(AND(ISNUMBER(S390),ISNUMBER(S391)),IF(S390&gt;0,S391/S390,""),"")</f>
        <v/>
      </c>
      <c r="T392" s="223" t="str">
        <f>IF(AND(ISNUMBER(T390),ISNUMBER(T391)),IF(T390&gt;0,T391/T390,""),"")</f>
        <v/>
      </c>
      <c r="U392" s="223" t="str">
        <f>IF(AND(ISNUMBER(U390),ISNUMBER(U391)),IF(U390&gt;0,U391/U390,""),"")</f>
        <v/>
      </c>
      <c r="V392" s="223" t="str">
        <f>IF(AND(ISNUMBER(V390),ISNUMBER(V391)),IF(V390&gt;0,V391/V390,""),"")</f>
        <v/>
      </c>
      <c r="W392" s="223" t="str">
        <f>IF(AND(ISNUMBER(W390),ISNUMBER(W391)),IF(W390&gt;0,W391/W390,""),"")</f>
        <v/>
      </c>
      <c r="X392" s="223" t="str">
        <f>IF(AND(ISNUMBER(X390),ISNUMBER(X391)),IF(X390&gt;0,X391/X390,""),"")</f>
        <v/>
      </c>
      <c r="Y392" s="223" t="str">
        <f>IF(AND(ISNUMBER(Y390),ISNUMBER(Y391)),IF(Y390&gt;0,Y391/Y390,""),"")</f>
        <v/>
      </c>
      <c r="Z392" s="223" t="str">
        <f>IF(AND(ISNUMBER(Z390),ISNUMBER(Z391)),IF(Z390&gt;0,Z391/Z390,""),"")</f>
        <v/>
      </c>
      <c r="AA392" s="223" t="str">
        <f>IF(AND(ISNUMBER(AA390),ISNUMBER(AA391)),IF(AA390&gt;0,AA391/AA390,""),"")</f>
        <v/>
      </c>
      <c r="AB392" s="223" t="str">
        <f>IF(AND(ISNUMBER(AB390),ISNUMBER(AB391)),IF(AB390&gt;0,AB391/AB390,""),"")</f>
        <v/>
      </c>
      <c r="AC392" s="223" t="str">
        <f>IF(AND(ISNUMBER(AC390),ISNUMBER(AC391)),IF(AC390&gt;0,AC391/AC390,""),"")</f>
        <v/>
      </c>
      <c r="AD392" s="223" t="str">
        <f>IF(AND(ISNUMBER(AD390),ISNUMBER(AD391)),IF(AD390&gt;0,AD391/AD390,""),"")</f>
        <v/>
      </c>
      <c r="AE392" s="223" t="str">
        <f>IF(AND(ISNUMBER(AE390),ISNUMBER(AE391)),IF(AE390&gt;0,AE391/AE390,""),"")</f>
        <v/>
      </c>
      <c r="AF392" s="223" t="str">
        <f>IF(AND(ISNUMBER(AF390),ISNUMBER(AF391)),IF(AF390&gt;0,AF391/AF390,""),"")</f>
        <v/>
      </c>
      <c r="AG392" s="223" t="str">
        <f>IF(AND(ISNUMBER(AG390),ISNUMBER(AG391)),IF(AG390&gt;0,AG391/AG390,""),"")</f>
        <v/>
      </c>
      <c r="AH392" s="223" t="str">
        <f>IF(AND(ISNUMBER(AH390),ISNUMBER(AH391)),IF(AH390&gt;0,AH391/AH390,""),"")</f>
        <v/>
      </c>
      <c r="AI392" s="223" t="str">
        <f>IF(AND(ISNUMBER(AI390),ISNUMBER(AI391)),IF(AI390&gt;0,AI391/AI390,""),"")</f>
        <v/>
      </c>
      <c r="AJ392" s="224" t="str">
        <f>IF(AND(ISNUMBER(AJ390),ISNUMBER(AJ391)),IF(AJ390&gt;0,AJ391/AJ390,""),"")</f>
        <v/>
      </c>
      <c r="AK392" s="221" t="str">
        <f>IF(AND(ISNUMBER(AK390),ISNUMBER(AK391)),IF(AK390&gt;0,AK391/AK390,""),"")</f>
        <v/>
      </c>
    </row>
    <row r="393" ht="15.75" customHeight="1" hidden="1">
      <c r="A393" s="261"/>
      <c r="B393" s="257" t="inlineStr">
        <is>
          <t xml:space="preserve">GENTE</t>
        </is>
      </c>
      <c r="C393" s="225" t="inlineStr">
        <is>
          <t xml:space="preserve">Efetivo Op.</t>
        </is>
      </c>
      <c r="D393" s="226" t="str">
        <f>IFERROR(1/(1/INDEX(BD!$AL$47:$BF$47,MATCH($A$369,BD!$AL$22:$BF$22,0))),"")</f>
        <v/>
      </c>
      <c r="E393" s="227"/>
      <c r="F393" s="228" t="str">
        <f>IF(F$3="","",IF(COUNTIFS(BD!$A$3:$A$5001,F$3,BD!$B$3:$B$5001,$A$369,BD!$Z$3:$Z$5001,"&lt;&gt;")=0,"",SUMIFS(BD!$Z$3:$Z$5001,BD!$A$3:$A$5001,F$3,BD!$B$3:$B$5001,$A$369)))</f>
        <v/>
      </c>
      <c r="G393" s="229" t="str">
        <f>IF(G$3="","",IF(COUNTIFS(BD!$A$3:$A$5001,G$3,BD!$B$3:$B$5001,$A$369,BD!$Z$3:$Z$5001,"&lt;&gt;")=0,"",SUMIFS(BD!$Z$3:$Z$5001,BD!$A$3:$A$5001,G$3,BD!$B$3:$B$5001,$A$369)))</f>
        <v/>
      </c>
      <c r="H393" s="229" t="str">
        <f>IF(H$3="","",IF(COUNTIFS(BD!$A$3:$A$5001,H$3,BD!$B$3:$B$5001,$A$369,BD!$Z$3:$Z$5001,"&lt;&gt;")=0,"",SUMIFS(BD!$Z$3:$Z$5001,BD!$A$3:$A$5001,H$3,BD!$B$3:$B$5001,$A$369)))</f>
        <v/>
      </c>
      <c r="I393" s="229" t="str">
        <f>IF(I$3="","",IF(COUNTIFS(BD!$A$3:$A$5001,I$3,BD!$B$3:$B$5001,$A$369,BD!$Z$3:$Z$5001,"&lt;&gt;")=0,"",SUMIFS(BD!$Z$3:$Z$5001,BD!$A$3:$A$5001,I$3,BD!$B$3:$B$5001,$A$369)))</f>
        <v/>
      </c>
      <c r="J393" s="229" t="str">
        <f>IF(J$3="","",IF(COUNTIFS(BD!$A$3:$A$5001,J$3,BD!$B$3:$B$5001,$A$369,BD!$Z$3:$Z$5001,"&lt;&gt;")=0,"",SUMIFS(BD!$Z$3:$Z$5001,BD!$A$3:$A$5001,J$3,BD!$B$3:$B$5001,$A$369)))</f>
        <v/>
      </c>
      <c r="K393" s="229" t="str">
        <f>IF(K$3="","",IF(COUNTIFS(BD!$A$3:$A$5001,K$3,BD!$B$3:$B$5001,$A$369,BD!$Z$3:$Z$5001,"&lt;&gt;")=0,"",SUMIFS(BD!$Z$3:$Z$5001,BD!$A$3:$A$5001,K$3,BD!$B$3:$B$5001,$A$369)))</f>
        <v/>
      </c>
      <c r="L393" s="229" t="str">
        <f>IF(L$3="","",IF(COUNTIFS(BD!$A$3:$A$5001,L$3,BD!$B$3:$B$5001,$A$369,BD!$Z$3:$Z$5001,"&lt;&gt;")=0,"",SUMIFS(BD!$Z$3:$Z$5001,BD!$A$3:$A$5001,L$3,BD!$B$3:$B$5001,$A$369)))</f>
        <v/>
      </c>
      <c r="M393" s="229" t="str">
        <f>IF(M$3="","",IF(COUNTIFS(BD!$A$3:$A$5001,M$3,BD!$B$3:$B$5001,$A$369,BD!$Z$3:$Z$5001,"&lt;&gt;")=0,"",SUMIFS(BD!$Z$3:$Z$5001,BD!$A$3:$A$5001,M$3,BD!$B$3:$B$5001,$A$369)))</f>
        <v/>
      </c>
      <c r="N393" s="229" t="str">
        <f>IF(N$3="","",IF(COUNTIFS(BD!$A$3:$A$5001,N$3,BD!$B$3:$B$5001,$A$369,BD!$Z$3:$Z$5001,"&lt;&gt;")=0,"",SUMIFS(BD!$Z$3:$Z$5001,BD!$A$3:$A$5001,N$3,BD!$B$3:$B$5001,$A$369)))</f>
        <v/>
      </c>
      <c r="O393" s="229" t="str">
        <f>IF(O$3="","",IF(COUNTIFS(BD!$A$3:$A$5001,O$3,BD!$B$3:$B$5001,$A$369,BD!$Z$3:$Z$5001,"&lt;&gt;")=0,"",SUMIFS(BD!$Z$3:$Z$5001,BD!$A$3:$A$5001,O$3,BD!$B$3:$B$5001,$A$369)))</f>
        <v/>
      </c>
      <c r="P393" s="229" t="str">
        <f>IF(P$3="","",IF(COUNTIFS(BD!$A$3:$A$5001,P$3,BD!$B$3:$B$5001,$A$369,BD!$Z$3:$Z$5001,"&lt;&gt;")=0,"",SUMIFS(BD!$Z$3:$Z$5001,BD!$A$3:$A$5001,P$3,BD!$B$3:$B$5001,$A$369)))</f>
        <v/>
      </c>
      <c r="Q393" s="229" t="str">
        <f>IF(Q$3="","",IF(COUNTIFS(BD!$A$3:$A$5001,Q$3,BD!$B$3:$B$5001,$A$369,BD!$Z$3:$Z$5001,"&lt;&gt;")=0,"",SUMIFS(BD!$Z$3:$Z$5001,BD!$A$3:$A$5001,Q$3,BD!$B$3:$B$5001,$A$369)))</f>
        <v/>
      </c>
      <c r="R393" s="229" t="str">
        <f>IF(R$3="","",IF(COUNTIFS(BD!$A$3:$A$5001,R$3,BD!$B$3:$B$5001,$A$369,BD!$Z$3:$Z$5001,"&lt;&gt;")=0,"",SUMIFS(BD!$Z$3:$Z$5001,BD!$A$3:$A$5001,R$3,BD!$B$3:$B$5001,$A$369)))</f>
        <v/>
      </c>
      <c r="S393" s="229" t="str">
        <f>IF(S$3="","",IF(COUNTIFS(BD!$A$3:$A$5001,S$3,BD!$B$3:$B$5001,$A$369,BD!$Z$3:$Z$5001,"&lt;&gt;")=0,"",SUMIFS(BD!$Z$3:$Z$5001,BD!$A$3:$A$5001,S$3,BD!$B$3:$B$5001,$A$369)))</f>
        <v/>
      </c>
      <c r="T393" s="229" t="str">
        <f>IF(T$3="","",IF(COUNTIFS(BD!$A$3:$A$5001,T$3,BD!$B$3:$B$5001,$A$369,BD!$Z$3:$Z$5001,"&lt;&gt;")=0,"",SUMIFS(BD!$Z$3:$Z$5001,BD!$A$3:$A$5001,T$3,BD!$B$3:$B$5001,$A$369)))</f>
        <v/>
      </c>
      <c r="U393" s="229" t="str">
        <f>IF(U$3="","",IF(COUNTIFS(BD!$A$3:$A$5001,U$3,BD!$B$3:$B$5001,$A$369,BD!$Z$3:$Z$5001,"&lt;&gt;")=0,"",SUMIFS(BD!$Z$3:$Z$5001,BD!$A$3:$A$5001,U$3,BD!$B$3:$B$5001,$A$369)))</f>
        <v/>
      </c>
      <c r="V393" s="229" t="str">
        <f>IF(V$3="","",IF(COUNTIFS(BD!$A$3:$A$5001,V$3,BD!$B$3:$B$5001,$A$369,BD!$Z$3:$Z$5001,"&lt;&gt;")=0,"",SUMIFS(BD!$Z$3:$Z$5001,BD!$A$3:$A$5001,V$3,BD!$B$3:$B$5001,$A$369)))</f>
        <v/>
      </c>
      <c r="W393" s="229" t="str">
        <f>IF(W$3="","",IF(COUNTIFS(BD!$A$3:$A$5001,W$3,BD!$B$3:$B$5001,$A$369,BD!$Z$3:$Z$5001,"&lt;&gt;")=0,"",SUMIFS(BD!$Z$3:$Z$5001,BD!$A$3:$A$5001,W$3,BD!$B$3:$B$5001,$A$369)))</f>
        <v/>
      </c>
      <c r="X393" s="229" t="str">
        <f>IF(X$3="","",IF(COUNTIFS(BD!$A$3:$A$5001,X$3,BD!$B$3:$B$5001,$A$369,BD!$Z$3:$Z$5001,"&lt;&gt;")=0,"",SUMIFS(BD!$Z$3:$Z$5001,BD!$A$3:$A$5001,X$3,BD!$B$3:$B$5001,$A$369)))</f>
        <v/>
      </c>
      <c r="Y393" s="229" t="str">
        <f>IF(Y$3="","",IF(COUNTIFS(BD!$A$3:$A$5001,Y$3,BD!$B$3:$B$5001,$A$369,BD!$Z$3:$Z$5001,"&lt;&gt;")=0,"",SUMIFS(BD!$Z$3:$Z$5001,BD!$A$3:$A$5001,Y$3,BD!$B$3:$B$5001,$A$369)))</f>
        <v/>
      </c>
      <c r="Z393" s="229" t="str">
        <f>IF(Z$3="","",IF(COUNTIFS(BD!$A$3:$A$5001,Z$3,BD!$B$3:$B$5001,$A$369,BD!$Z$3:$Z$5001,"&lt;&gt;")=0,"",SUMIFS(BD!$Z$3:$Z$5001,BD!$A$3:$A$5001,Z$3,BD!$B$3:$B$5001,$A$369)))</f>
        <v/>
      </c>
      <c r="AA393" s="229" t="str">
        <f>IF(AA$3="","",IF(COUNTIFS(BD!$A$3:$A$5001,AA$3,BD!$B$3:$B$5001,$A$369,BD!$Z$3:$Z$5001,"&lt;&gt;")=0,"",SUMIFS(BD!$Z$3:$Z$5001,BD!$A$3:$A$5001,AA$3,BD!$B$3:$B$5001,$A$369)))</f>
        <v/>
      </c>
      <c r="AB393" s="229" t="str">
        <f>IF(AB$3="","",IF(COUNTIFS(BD!$A$3:$A$5001,AB$3,BD!$B$3:$B$5001,$A$369,BD!$Z$3:$Z$5001,"&lt;&gt;")=0,"",SUMIFS(BD!$Z$3:$Z$5001,BD!$A$3:$A$5001,AB$3,BD!$B$3:$B$5001,$A$369)))</f>
        <v/>
      </c>
      <c r="AC393" s="229" t="str">
        <f>IF(AC$3="","",IF(COUNTIFS(BD!$A$3:$A$5001,AC$3,BD!$B$3:$B$5001,$A$369,BD!$Z$3:$Z$5001,"&lt;&gt;")=0,"",SUMIFS(BD!$Z$3:$Z$5001,BD!$A$3:$A$5001,AC$3,BD!$B$3:$B$5001,$A$369)))</f>
        <v/>
      </c>
      <c r="AD393" s="229" t="str">
        <f>IF(AD$3="","",IF(COUNTIFS(BD!$A$3:$A$5001,AD$3,BD!$B$3:$B$5001,$A$369,BD!$Z$3:$Z$5001,"&lt;&gt;")=0,"",SUMIFS(BD!$Z$3:$Z$5001,BD!$A$3:$A$5001,AD$3,BD!$B$3:$B$5001,$A$369)))</f>
        <v/>
      </c>
      <c r="AE393" s="229" t="str">
        <f>IF(AE$3="","",IF(COUNTIFS(BD!$A$3:$A$5001,AE$3,BD!$B$3:$B$5001,$A$369,BD!$Z$3:$Z$5001,"&lt;&gt;")=0,"",SUMIFS(BD!$Z$3:$Z$5001,BD!$A$3:$A$5001,AE$3,BD!$B$3:$B$5001,$A$369)))</f>
        <v/>
      </c>
      <c r="AF393" s="229" t="str">
        <f>IF(AF$3="","",IF(COUNTIFS(BD!$A$3:$A$5001,AF$3,BD!$B$3:$B$5001,$A$369,BD!$Z$3:$Z$5001,"&lt;&gt;")=0,"",SUMIFS(BD!$Z$3:$Z$5001,BD!$A$3:$A$5001,AF$3,BD!$B$3:$B$5001,$A$369)))</f>
        <v/>
      </c>
      <c r="AG393" s="229" t="str">
        <f>IF(AG$3="","",IF(COUNTIFS(BD!$A$3:$A$5001,AG$3,BD!$B$3:$B$5001,$A$369,BD!$Z$3:$Z$5001,"&lt;&gt;")=0,"",SUMIFS(BD!$Z$3:$Z$5001,BD!$A$3:$A$5001,AG$3,BD!$B$3:$B$5001,$A$369)))</f>
        <v/>
      </c>
      <c r="AH393" s="229" t="str">
        <f>IF(AH$3="","",IF(COUNTIFS(BD!$A$3:$A$5001,AH$3,BD!$B$3:$B$5001,$A$369,BD!$Z$3:$Z$5001,"&lt;&gt;")=0,"",SUMIFS(BD!$Z$3:$Z$5001,BD!$A$3:$A$5001,AH$3,BD!$B$3:$B$5001,$A$369)))</f>
        <v/>
      </c>
      <c r="AI393" s="229" t="str">
        <f>IF(AI$3="","",IF(COUNTIFS(BD!$A$3:$A$5001,AI$3,BD!$B$3:$B$5001,$A$369,BD!$Z$3:$Z$5001,"&lt;&gt;")=0,"",SUMIFS(BD!$Z$3:$Z$5001,BD!$A$3:$A$5001,AI$3,BD!$B$3:$B$5001,$A$369)))</f>
        <v/>
      </c>
      <c r="AJ393" s="230" t="str">
        <f>IF(AJ$3="","",IF(COUNTIFS(BD!$A$3:$A$5001,AJ$3,BD!$B$3:$B$5001,$A$369,BD!$Z$3:$Z$5001,"&lt;&gt;")=0,"",SUMIFS(BD!$Z$3:$Z$5001,BD!$A$3:$A$5001,AJ$3,BD!$B$3:$B$5001,$A$369)))</f>
        <v/>
      </c>
      <c r="AK393" s="231" t="str">
        <f>IFERROR(LOOKUP(9.99E+307,F393:AJ393),"")</f>
        <v/>
      </c>
    </row>
    <row r="394" ht="15.75" customHeight="1" hidden="1">
      <c r="A394" s="261"/>
      <c r="B394" s="258"/>
      <c r="C394" s="232" t="inlineStr">
        <is>
          <t xml:space="preserve">Falta</t>
        </is>
      </c>
      <c r="D394" s="233" t="str">
        <f>IFERROR(1/(1/INDEX(BD!$AL$48:$BF$48,MATCH($A$369,BD!$AL$22:$BF$22,0))),"")</f>
        <v/>
      </c>
      <c r="E394" s="234"/>
      <c r="F394" s="235" t="str">
        <f>IF(F$3="","",IF(COUNTIFS(BD!$A$3:$A$5001,F$3,BD!$B$3:$B$5001,$A$369,BD!$AA$3:$AA$5001,"&lt;&gt;")=0,"",SUMIFS(BD!$AA$3:$AA$5001,BD!$A$3:$A$5001,F$3,BD!$B$3:$B$5001,$A$369)))</f>
        <v/>
      </c>
      <c r="G394" s="236" t="str">
        <f>IF(G$3="","",IF(COUNTIFS(BD!$A$3:$A$5001,G$3,BD!$B$3:$B$5001,$A$369,BD!$AA$3:$AA$5001,"&lt;&gt;")=0,"",SUMIFS(BD!$AA$3:$AA$5001,BD!$A$3:$A$5001,G$3,BD!$B$3:$B$5001,$A$369)))</f>
        <v/>
      </c>
      <c r="H394" s="236" t="str">
        <f>IF(H$3="","",IF(COUNTIFS(BD!$A$3:$A$5001,H$3,BD!$B$3:$B$5001,$A$369,BD!$AA$3:$AA$5001,"&lt;&gt;")=0,"",SUMIFS(BD!$AA$3:$AA$5001,BD!$A$3:$A$5001,H$3,BD!$B$3:$B$5001,$A$369)))</f>
        <v/>
      </c>
      <c r="I394" s="236" t="str">
        <f>IF(I$3="","",IF(COUNTIFS(BD!$A$3:$A$5001,I$3,BD!$B$3:$B$5001,$A$369,BD!$AA$3:$AA$5001,"&lt;&gt;")=0,"",SUMIFS(BD!$AA$3:$AA$5001,BD!$A$3:$A$5001,I$3,BD!$B$3:$B$5001,$A$369)))</f>
        <v/>
      </c>
      <c r="J394" s="236" t="str">
        <f>IF(J$3="","",IF(COUNTIFS(BD!$A$3:$A$5001,J$3,BD!$B$3:$B$5001,$A$369,BD!$AA$3:$AA$5001,"&lt;&gt;")=0,"",SUMIFS(BD!$AA$3:$AA$5001,BD!$A$3:$A$5001,J$3,BD!$B$3:$B$5001,$A$369)))</f>
        <v/>
      </c>
      <c r="K394" s="236" t="str">
        <f>IF(K$3="","",IF(COUNTIFS(BD!$A$3:$A$5001,K$3,BD!$B$3:$B$5001,$A$369,BD!$AA$3:$AA$5001,"&lt;&gt;")=0,"",SUMIFS(BD!$AA$3:$AA$5001,BD!$A$3:$A$5001,K$3,BD!$B$3:$B$5001,$A$369)))</f>
        <v/>
      </c>
      <c r="L394" s="236" t="str">
        <f>IF(L$3="","",IF(COUNTIFS(BD!$A$3:$A$5001,L$3,BD!$B$3:$B$5001,$A$369,BD!$AA$3:$AA$5001,"&lt;&gt;")=0,"",SUMIFS(BD!$AA$3:$AA$5001,BD!$A$3:$A$5001,L$3,BD!$B$3:$B$5001,$A$369)))</f>
        <v/>
      </c>
      <c r="M394" s="236" t="str">
        <f>IF(M$3="","",IF(COUNTIFS(BD!$A$3:$A$5001,M$3,BD!$B$3:$B$5001,$A$369,BD!$AA$3:$AA$5001,"&lt;&gt;")=0,"",SUMIFS(BD!$AA$3:$AA$5001,BD!$A$3:$A$5001,M$3,BD!$B$3:$B$5001,$A$369)))</f>
        <v/>
      </c>
      <c r="N394" s="236" t="str">
        <f>IF(N$3="","",IF(COUNTIFS(BD!$A$3:$A$5001,N$3,BD!$B$3:$B$5001,$A$369,BD!$AA$3:$AA$5001,"&lt;&gt;")=0,"",SUMIFS(BD!$AA$3:$AA$5001,BD!$A$3:$A$5001,N$3,BD!$B$3:$B$5001,$A$369)))</f>
        <v/>
      </c>
      <c r="O394" s="236" t="str">
        <f>IF(O$3="","",IF(COUNTIFS(BD!$A$3:$A$5001,O$3,BD!$B$3:$B$5001,$A$369,BD!$AA$3:$AA$5001,"&lt;&gt;")=0,"",SUMIFS(BD!$AA$3:$AA$5001,BD!$A$3:$A$5001,O$3,BD!$B$3:$B$5001,$A$369)))</f>
        <v/>
      </c>
      <c r="P394" s="236" t="str">
        <f>IF(P$3="","",IF(COUNTIFS(BD!$A$3:$A$5001,P$3,BD!$B$3:$B$5001,$A$369,BD!$AA$3:$AA$5001,"&lt;&gt;")=0,"",SUMIFS(BD!$AA$3:$AA$5001,BD!$A$3:$A$5001,P$3,BD!$B$3:$B$5001,$A$369)))</f>
        <v/>
      </c>
      <c r="Q394" s="236" t="str">
        <f>IF(Q$3="","",IF(COUNTIFS(BD!$A$3:$A$5001,Q$3,BD!$B$3:$B$5001,$A$369,BD!$AA$3:$AA$5001,"&lt;&gt;")=0,"",SUMIFS(BD!$AA$3:$AA$5001,BD!$A$3:$A$5001,Q$3,BD!$B$3:$B$5001,$A$369)))</f>
        <v/>
      </c>
      <c r="R394" s="236" t="str">
        <f>IF(R$3="","",IF(COUNTIFS(BD!$A$3:$A$5001,R$3,BD!$B$3:$B$5001,$A$369,BD!$AA$3:$AA$5001,"&lt;&gt;")=0,"",SUMIFS(BD!$AA$3:$AA$5001,BD!$A$3:$A$5001,R$3,BD!$B$3:$B$5001,$A$369)))</f>
        <v/>
      </c>
      <c r="S394" s="236" t="str">
        <f>IF(S$3="","",IF(COUNTIFS(BD!$A$3:$A$5001,S$3,BD!$B$3:$B$5001,$A$369,BD!$AA$3:$AA$5001,"&lt;&gt;")=0,"",SUMIFS(BD!$AA$3:$AA$5001,BD!$A$3:$A$5001,S$3,BD!$B$3:$B$5001,$A$369)))</f>
        <v/>
      </c>
      <c r="T394" s="236" t="str">
        <f>IF(T$3="","",IF(COUNTIFS(BD!$A$3:$A$5001,T$3,BD!$B$3:$B$5001,$A$369,BD!$AA$3:$AA$5001,"&lt;&gt;")=0,"",SUMIFS(BD!$AA$3:$AA$5001,BD!$A$3:$A$5001,T$3,BD!$B$3:$B$5001,$A$369)))</f>
        <v/>
      </c>
      <c r="U394" s="236" t="str">
        <f>IF(U$3="","",IF(COUNTIFS(BD!$A$3:$A$5001,U$3,BD!$B$3:$B$5001,$A$369,BD!$AA$3:$AA$5001,"&lt;&gt;")=0,"",SUMIFS(BD!$AA$3:$AA$5001,BD!$A$3:$A$5001,U$3,BD!$B$3:$B$5001,$A$369)))</f>
        <v/>
      </c>
      <c r="V394" s="236" t="str">
        <f>IF(V$3="","",IF(COUNTIFS(BD!$A$3:$A$5001,V$3,BD!$B$3:$B$5001,$A$369,BD!$AA$3:$AA$5001,"&lt;&gt;")=0,"",SUMIFS(BD!$AA$3:$AA$5001,BD!$A$3:$A$5001,V$3,BD!$B$3:$B$5001,$A$369)))</f>
        <v/>
      </c>
      <c r="W394" s="236" t="str">
        <f>IF(W$3="","",IF(COUNTIFS(BD!$A$3:$A$5001,W$3,BD!$B$3:$B$5001,$A$369,BD!$AA$3:$AA$5001,"&lt;&gt;")=0,"",SUMIFS(BD!$AA$3:$AA$5001,BD!$A$3:$A$5001,W$3,BD!$B$3:$B$5001,$A$369)))</f>
        <v/>
      </c>
      <c r="X394" s="236" t="str">
        <f>IF(X$3="","",IF(COUNTIFS(BD!$A$3:$A$5001,X$3,BD!$B$3:$B$5001,$A$369,BD!$AA$3:$AA$5001,"&lt;&gt;")=0,"",SUMIFS(BD!$AA$3:$AA$5001,BD!$A$3:$A$5001,X$3,BD!$B$3:$B$5001,$A$369)))</f>
        <v/>
      </c>
      <c r="Y394" s="236" t="str">
        <f>IF(Y$3="","",IF(COUNTIFS(BD!$A$3:$A$5001,Y$3,BD!$B$3:$B$5001,$A$369,BD!$AA$3:$AA$5001,"&lt;&gt;")=0,"",SUMIFS(BD!$AA$3:$AA$5001,BD!$A$3:$A$5001,Y$3,BD!$B$3:$B$5001,$A$369)))</f>
        <v/>
      </c>
      <c r="Z394" s="236" t="str">
        <f>IF(Z$3="","",IF(COUNTIFS(BD!$A$3:$A$5001,Z$3,BD!$B$3:$B$5001,$A$369,BD!$AA$3:$AA$5001,"&lt;&gt;")=0,"",SUMIFS(BD!$AA$3:$AA$5001,BD!$A$3:$A$5001,Z$3,BD!$B$3:$B$5001,$A$369)))</f>
        <v/>
      </c>
      <c r="AA394" s="236" t="str">
        <f>IF(AA$3="","",IF(COUNTIFS(BD!$A$3:$A$5001,AA$3,BD!$B$3:$B$5001,$A$369,BD!$AA$3:$AA$5001,"&lt;&gt;")=0,"",SUMIFS(BD!$AA$3:$AA$5001,BD!$A$3:$A$5001,AA$3,BD!$B$3:$B$5001,$A$369)))</f>
        <v/>
      </c>
      <c r="AB394" s="236" t="str">
        <f>IF(AB$3="","",IF(COUNTIFS(BD!$A$3:$A$5001,AB$3,BD!$B$3:$B$5001,$A$369,BD!$AA$3:$AA$5001,"&lt;&gt;")=0,"",SUMIFS(BD!$AA$3:$AA$5001,BD!$A$3:$A$5001,AB$3,BD!$B$3:$B$5001,$A$369)))</f>
        <v/>
      </c>
      <c r="AC394" s="236" t="str">
        <f>IF(AC$3="","",IF(COUNTIFS(BD!$A$3:$A$5001,AC$3,BD!$B$3:$B$5001,$A$369,BD!$AA$3:$AA$5001,"&lt;&gt;")=0,"",SUMIFS(BD!$AA$3:$AA$5001,BD!$A$3:$A$5001,AC$3,BD!$B$3:$B$5001,$A$369)))</f>
        <v/>
      </c>
      <c r="AD394" s="236" t="str">
        <f>IF(AD$3="","",IF(COUNTIFS(BD!$A$3:$A$5001,AD$3,BD!$B$3:$B$5001,$A$369,BD!$AA$3:$AA$5001,"&lt;&gt;")=0,"",SUMIFS(BD!$AA$3:$AA$5001,BD!$A$3:$A$5001,AD$3,BD!$B$3:$B$5001,$A$369)))</f>
        <v/>
      </c>
      <c r="AE394" s="236" t="str">
        <f>IF(AE$3="","",IF(COUNTIFS(BD!$A$3:$A$5001,AE$3,BD!$B$3:$B$5001,$A$369,BD!$AA$3:$AA$5001,"&lt;&gt;")=0,"",SUMIFS(BD!$AA$3:$AA$5001,BD!$A$3:$A$5001,AE$3,BD!$B$3:$B$5001,$A$369)))</f>
        <v/>
      </c>
      <c r="AF394" s="236" t="str">
        <f>IF(AF$3="","",IF(COUNTIFS(BD!$A$3:$A$5001,AF$3,BD!$B$3:$B$5001,$A$369,BD!$AA$3:$AA$5001,"&lt;&gt;")=0,"",SUMIFS(BD!$AA$3:$AA$5001,BD!$A$3:$A$5001,AF$3,BD!$B$3:$B$5001,$A$369)))</f>
        <v/>
      </c>
      <c r="AG394" s="236" t="str">
        <f>IF(AG$3="","",IF(COUNTIFS(BD!$A$3:$A$5001,AG$3,BD!$B$3:$B$5001,$A$369,BD!$AA$3:$AA$5001,"&lt;&gt;")=0,"",SUMIFS(BD!$AA$3:$AA$5001,BD!$A$3:$A$5001,AG$3,BD!$B$3:$B$5001,$A$369)))</f>
        <v/>
      </c>
      <c r="AH394" s="236" t="str">
        <f>IF(AH$3="","",IF(COUNTIFS(BD!$A$3:$A$5001,AH$3,BD!$B$3:$B$5001,$A$369,BD!$AA$3:$AA$5001,"&lt;&gt;")=0,"",SUMIFS(BD!$AA$3:$AA$5001,BD!$A$3:$A$5001,AH$3,BD!$B$3:$B$5001,$A$369)))</f>
        <v/>
      </c>
      <c r="AI394" s="236" t="str">
        <f>IF(AI$3="","",IF(COUNTIFS(BD!$A$3:$A$5001,AI$3,BD!$B$3:$B$5001,$A$369,BD!$AA$3:$AA$5001,"&lt;&gt;")=0,"",SUMIFS(BD!$AA$3:$AA$5001,BD!$A$3:$A$5001,AI$3,BD!$B$3:$B$5001,$A$369)))</f>
        <v/>
      </c>
      <c r="AJ394" s="237" t="str">
        <f>IF(AJ$3="","",IF(COUNTIFS(BD!$A$3:$A$5001,AJ$3,BD!$B$3:$B$5001,$A$369,BD!$AA$3:$AA$5001,"&lt;&gt;")=0,"",SUMIFS(BD!$AA$3:$AA$5001,BD!$A$3:$A$5001,AJ$3,BD!$B$3:$B$5001,$A$369)))</f>
        <v/>
      </c>
      <c r="AK394" s="238" t="str">
        <f>IF(COUNT(F394:AJ394)=0,"",SUM(F394:AJ394))</f>
        <v/>
      </c>
    </row>
    <row r="395" ht="15.75" customHeight="1" hidden="1">
      <c r="A395" s="261"/>
      <c r="B395" s="258"/>
      <c r="C395" s="232" t="inlineStr">
        <is>
          <t xml:space="preserve">Absenteísmo (H/H)</t>
        </is>
      </c>
      <c r="D395" s="233" t="str">
        <f>IFERROR(1/(1/INDEX(BD!$AL$49:$BF$49,MATCH($A$369,BD!$AL$22:$BF$22,0))),"")</f>
        <v/>
      </c>
      <c r="E395" s="234"/>
      <c r="F395" s="239" t="str">
        <f>IF(F$3="","",IF(COUNTIFS(BD!$A$3:$A$5001,F$3,BD!$B$3:$B$5001,$A$369,BD!$AB$3:$AB$5001,"&lt;&gt;")=0,"",SUMIFS(BD!$AB$3:$AB$5001,BD!$A$3:$A$5001,F$3,BD!$B$3:$B$5001,$A$369)))</f>
        <v/>
      </c>
      <c r="G395" s="240" t="str">
        <f>IF(G$3="","",IF(COUNTIFS(BD!$A$3:$A$5001,G$3,BD!$B$3:$B$5001,$A$369,BD!$AB$3:$AB$5001,"&lt;&gt;")=0,"",SUMIFS(BD!$AB$3:$AB$5001,BD!$A$3:$A$5001,G$3,BD!$B$3:$B$5001,$A$369)))</f>
        <v/>
      </c>
      <c r="H395" s="240" t="str">
        <f>IF(H$3="","",IF(COUNTIFS(BD!$A$3:$A$5001,H$3,BD!$B$3:$B$5001,$A$369,BD!$AB$3:$AB$5001,"&lt;&gt;")=0,"",SUMIFS(BD!$AB$3:$AB$5001,BD!$A$3:$A$5001,H$3,BD!$B$3:$B$5001,$A$369)))</f>
        <v/>
      </c>
      <c r="I395" s="240" t="str">
        <f>IF(I$3="","",IF(COUNTIFS(BD!$A$3:$A$5001,I$3,BD!$B$3:$B$5001,$A$369,BD!$AB$3:$AB$5001,"&lt;&gt;")=0,"",SUMIFS(BD!$AB$3:$AB$5001,BD!$A$3:$A$5001,I$3,BD!$B$3:$B$5001,$A$369)))</f>
        <v/>
      </c>
      <c r="J395" s="240" t="str">
        <f>IF(J$3="","",IF(COUNTIFS(BD!$A$3:$A$5001,J$3,BD!$B$3:$B$5001,$A$369,BD!$AB$3:$AB$5001,"&lt;&gt;")=0,"",SUMIFS(BD!$AB$3:$AB$5001,BD!$A$3:$A$5001,J$3,BD!$B$3:$B$5001,$A$369)))</f>
        <v/>
      </c>
      <c r="K395" s="240" t="str">
        <f>IF(K$3="","",IF(COUNTIFS(BD!$A$3:$A$5001,K$3,BD!$B$3:$B$5001,$A$369,BD!$AB$3:$AB$5001,"&lt;&gt;")=0,"",SUMIFS(BD!$AB$3:$AB$5001,BD!$A$3:$A$5001,K$3,BD!$B$3:$B$5001,$A$369)))</f>
        <v/>
      </c>
      <c r="L395" s="240" t="str">
        <f>IF(L$3="","",IF(COUNTIFS(BD!$A$3:$A$5001,L$3,BD!$B$3:$B$5001,$A$369,BD!$AB$3:$AB$5001,"&lt;&gt;")=0,"",SUMIFS(BD!$AB$3:$AB$5001,BD!$A$3:$A$5001,L$3,BD!$B$3:$B$5001,$A$369)))</f>
        <v/>
      </c>
      <c r="M395" s="240" t="str">
        <f>IF(M$3="","",IF(COUNTIFS(BD!$A$3:$A$5001,M$3,BD!$B$3:$B$5001,$A$369,BD!$AB$3:$AB$5001,"&lt;&gt;")=0,"",SUMIFS(BD!$AB$3:$AB$5001,BD!$A$3:$A$5001,M$3,BD!$B$3:$B$5001,$A$369)))</f>
        <v/>
      </c>
      <c r="N395" s="240" t="str">
        <f>IF(N$3="","",IF(COUNTIFS(BD!$A$3:$A$5001,N$3,BD!$B$3:$B$5001,$A$369,BD!$AB$3:$AB$5001,"&lt;&gt;")=0,"",SUMIFS(BD!$AB$3:$AB$5001,BD!$A$3:$A$5001,N$3,BD!$B$3:$B$5001,$A$369)))</f>
        <v/>
      </c>
      <c r="O395" s="240" t="str">
        <f>IF(O$3="","",IF(COUNTIFS(BD!$A$3:$A$5001,O$3,BD!$B$3:$B$5001,$A$369,BD!$AB$3:$AB$5001,"&lt;&gt;")=0,"",SUMIFS(BD!$AB$3:$AB$5001,BD!$A$3:$A$5001,O$3,BD!$B$3:$B$5001,$A$369)))</f>
        <v/>
      </c>
      <c r="P395" s="240" t="str">
        <f>IF(P$3="","",IF(COUNTIFS(BD!$A$3:$A$5001,P$3,BD!$B$3:$B$5001,$A$369,BD!$AB$3:$AB$5001,"&lt;&gt;")=0,"",SUMIFS(BD!$AB$3:$AB$5001,BD!$A$3:$A$5001,P$3,BD!$B$3:$B$5001,$A$369)))</f>
        <v/>
      </c>
      <c r="Q395" s="240" t="str">
        <f>IF(Q$3="","",IF(COUNTIFS(BD!$A$3:$A$5001,Q$3,BD!$B$3:$B$5001,$A$369,BD!$AB$3:$AB$5001,"&lt;&gt;")=0,"",SUMIFS(BD!$AB$3:$AB$5001,BD!$A$3:$A$5001,Q$3,BD!$B$3:$B$5001,$A$369)))</f>
        <v/>
      </c>
      <c r="R395" s="240" t="str">
        <f>IF(R$3="","",IF(COUNTIFS(BD!$A$3:$A$5001,R$3,BD!$B$3:$B$5001,$A$369,BD!$AB$3:$AB$5001,"&lt;&gt;")=0,"",SUMIFS(BD!$AB$3:$AB$5001,BD!$A$3:$A$5001,R$3,BD!$B$3:$B$5001,$A$369)))</f>
        <v/>
      </c>
      <c r="S395" s="240" t="str">
        <f>IF(S$3="","",IF(COUNTIFS(BD!$A$3:$A$5001,S$3,BD!$B$3:$B$5001,$A$369,BD!$AB$3:$AB$5001,"&lt;&gt;")=0,"",SUMIFS(BD!$AB$3:$AB$5001,BD!$A$3:$A$5001,S$3,BD!$B$3:$B$5001,$A$369)))</f>
        <v/>
      </c>
      <c r="T395" s="240" t="str">
        <f>IF(T$3="","",IF(COUNTIFS(BD!$A$3:$A$5001,T$3,BD!$B$3:$B$5001,$A$369,BD!$AB$3:$AB$5001,"&lt;&gt;")=0,"",SUMIFS(BD!$AB$3:$AB$5001,BD!$A$3:$A$5001,T$3,BD!$B$3:$B$5001,$A$369)))</f>
        <v/>
      </c>
      <c r="U395" s="240" t="str">
        <f>IF(U$3="","",IF(COUNTIFS(BD!$A$3:$A$5001,U$3,BD!$B$3:$B$5001,$A$369,BD!$AB$3:$AB$5001,"&lt;&gt;")=0,"",SUMIFS(BD!$AB$3:$AB$5001,BD!$A$3:$A$5001,U$3,BD!$B$3:$B$5001,$A$369)))</f>
        <v/>
      </c>
      <c r="V395" s="240" t="str">
        <f>IF(V$3="","",IF(COUNTIFS(BD!$A$3:$A$5001,V$3,BD!$B$3:$B$5001,$A$369,BD!$AB$3:$AB$5001,"&lt;&gt;")=0,"",SUMIFS(BD!$AB$3:$AB$5001,BD!$A$3:$A$5001,V$3,BD!$B$3:$B$5001,$A$369)))</f>
        <v/>
      </c>
      <c r="W395" s="240" t="str">
        <f>IF(W$3="","",IF(COUNTIFS(BD!$A$3:$A$5001,W$3,BD!$B$3:$B$5001,$A$369,BD!$AB$3:$AB$5001,"&lt;&gt;")=0,"",SUMIFS(BD!$AB$3:$AB$5001,BD!$A$3:$A$5001,W$3,BD!$B$3:$B$5001,$A$369)))</f>
        <v/>
      </c>
      <c r="X395" s="240" t="str">
        <f>IF(X$3="","",IF(COUNTIFS(BD!$A$3:$A$5001,X$3,BD!$B$3:$B$5001,$A$369,BD!$AB$3:$AB$5001,"&lt;&gt;")=0,"",SUMIFS(BD!$AB$3:$AB$5001,BD!$A$3:$A$5001,X$3,BD!$B$3:$B$5001,$A$369)))</f>
        <v/>
      </c>
      <c r="Y395" s="240" t="str">
        <f>IF(Y$3="","",IF(COUNTIFS(BD!$A$3:$A$5001,Y$3,BD!$B$3:$B$5001,$A$369,BD!$AB$3:$AB$5001,"&lt;&gt;")=0,"",SUMIFS(BD!$AB$3:$AB$5001,BD!$A$3:$A$5001,Y$3,BD!$B$3:$B$5001,$A$369)))</f>
        <v/>
      </c>
      <c r="Z395" s="240" t="str">
        <f>IF(Z$3="","",IF(COUNTIFS(BD!$A$3:$A$5001,Z$3,BD!$B$3:$B$5001,$A$369,BD!$AB$3:$AB$5001,"&lt;&gt;")=0,"",SUMIFS(BD!$AB$3:$AB$5001,BD!$A$3:$A$5001,Z$3,BD!$B$3:$B$5001,$A$369)))</f>
        <v/>
      </c>
      <c r="AA395" s="240" t="str">
        <f>IF(AA$3="","",IF(COUNTIFS(BD!$A$3:$A$5001,AA$3,BD!$B$3:$B$5001,$A$369,BD!$AB$3:$AB$5001,"&lt;&gt;")=0,"",SUMIFS(BD!$AB$3:$AB$5001,BD!$A$3:$A$5001,AA$3,BD!$B$3:$B$5001,$A$369)))</f>
        <v/>
      </c>
      <c r="AB395" s="240" t="str">
        <f>IF(AB$3="","",IF(COUNTIFS(BD!$A$3:$A$5001,AB$3,BD!$B$3:$B$5001,$A$369,BD!$AB$3:$AB$5001,"&lt;&gt;")=0,"",SUMIFS(BD!$AB$3:$AB$5001,BD!$A$3:$A$5001,AB$3,BD!$B$3:$B$5001,$A$369)))</f>
        <v/>
      </c>
      <c r="AC395" s="240" t="str">
        <f>IF(AC$3="","",IF(COUNTIFS(BD!$A$3:$A$5001,AC$3,BD!$B$3:$B$5001,$A$369,BD!$AB$3:$AB$5001,"&lt;&gt;")=0,"",SUMIFS(BD!$AB$3:$AB$5001,BD!$A$3:$A$5001,AC$3,BD!$B$3:$B$5001,$A$369)))</f>
        <v/>
      </c>
      <c r="AD395" s="240" t="str">
        <f>IF(AD$3="","",IF(COUNTIFS(BD!$A$3:$A$5001,AD$3,BD!$B$3:$B$5001,$A$369,BD!$AB$3:$AB$5001,"&lt;&gt;")=0,"",SUMIFS(BD!$AB$3:$AB$5001,BD!$A$3:$A$5001,AD$3,BD!$B$3:$B$5001,$A$369)))</f>
        <v/>
      </c>
      <c r="AE395" s="240" t="str">
        <f>IF(AE$3="","",IF(COUNTIFS(BD!$A$3:$A$5001,AE$3,BD!$B$3:$B$5001,$A$369,BD!$AB$3:$AB$5001,"&lt;&gt;")=0,"",SUMIFS(BD!$AB$3:$AB$5001,BD!$A$3:$A$5001,AE$3,BD!$B$3:$B$5001,$A$369)))</f>
        <v/>
      </c>
      <c r="AF395" s="240" t="str">
        <f>IF(AF$3="","",IF(COUNTIFS(BD!$A$3:$A$5001,AF$3,BD!$B$3:$B$5001,$A$369,BD!$AB$3:$AB$5001,"&lt;&gt;")=0,"",SUMIFS(BD!$AB$3:$AB$5001,BD!$A$3:$A$5001,AF$3,BD!$B$3:$B$5001,$A$369)))</f>
        <v/>
      </c>
      <c r="AG395" s="240" t="str">
        <f>IF(AG$3="","",IF(COUNTIFS(BD!$A$3:$A$5001,AG$3,BD!$B$3:$B$5001,$A$369,BD!$AB$3:$AB$5001,"&lt;&gt;")=0,"",SUMIFS(BD!$AB$3:$AB$5001,BD!$A$3:$A$5001,AG$3,BD!$B$3:$B$5001,$A$369)))</f>
        <v/>
      </c>
      <c r="AH395" s="240" t="str">
        <f>IF(AH$3="","",IF(COUNTIFS(BD!$A$3:$A$5001,AH$3,BD!$B$3:$B$5001,$A$369,BD!$AB$3:$AB$5001,"&lt;&gt;")=0,"",SUMIFS(BD!$AB$3:$AB$5001,BD!$A$3:$A$5001,AH$3,BD!$B$3:$B$5001,$A$369)))</f>
        <v/>
      </c>
      <c r="AI395" s="240" t="str">
        <f>IF(AI$3="","",IF(COUNTIFS(BD!$A$3:$A$5001,AI$3,BD!$B$3:$B$5001,$A$369,BD!$AB$3:$AB$5001,"&lt;&gt;")=0,"",SUMIFS(BD!$AB$3:$AB$5001,BD!$A$3:$A$5001,AI$3,BD!$B$3:$B$5001,$A$369)))</f>
        <v/>
      </c>
      <c r="AJ395" s="241" t="str">
        <f>IF(AJ$3="","",IF(COUNTIFS(BD!$A$3:$A$5001,AJ$3,BD!$B$3:$B$5001,$A$369,BD!$AB$3:$AB$5001,"&lt;&gt;")=0,"",SUMIFS(BD!$AB$3:$AB$5001,BD!$A$3:$A$5001,AJ$3,BD!$B$3:$B$5001,$A$369)))</f>
        <v/>
      </c>
      <c r="AK395" s="242" t="str">
        <f>IF(COUNT(F395:AJ395)=0,"",SUM(F395:AJ395))</f>
        <v/>
      </c>
    </row>
    <row r="396" ht="15.75" customHeight="1" hidden="1">
      <c r="A396" s="261"/>
      <c r="B396" s="258"/>
      <c r="C396" s="232" t="inlineStr">
        <is>
          <t xml:space="preserve">Folga</t>
        </is>
      </c>
      <c r="D396" s="233" t="str">
        <f>IFERROR(1/(1/INDEX(BD!$AL$50:$BF$50,MATCH($A$369,BD!$AL$22:$BF$22,0))),"")</f>
        <v/>
      </c>
      <c r="E396" s="234"/>
      <c r="F396" s="235" t="str">
        <f>IF(F$3="","",IF(COUNTIFS(BD!$A$3:$A$5001,F$3,BD!$B$3:$B$5001,$A$369,BD!$AC$3:$AC$5001,"&lt;&gt;")=0,"",SUMIFS(BD!$AC$3:$AC$5001,BD!$A$3:$A$5001,F$3,BD!$B$3:$B$5001,$A$369)))</f>
        <v/>
      </c>
      <c r="G396" s="236" t="str">
        <f>IF(G$3="","",IF(COUNTIFS(BD!$A$3:$A$5001,G$3,BD!$B$3:$B$5001,$A$369,BD!$AC$3:$AC$5001,"&lt;&gt;")=0,"",SUMIFS(BD!$AC$3:$AC$5001,BD!$A$3:$A$5001,G$3,BD!$B$3:$B$5001,$A$369)))</f>
        <v/>
      </c>
      <c r="H396" s="236" t="str">
        <f>IF(H$3="","",IF(COUNTIFS(BD!$A$3:$A$5001,H$3,BD!$B$3:$B$5001,$A$369,BD!$AC$3:$AC$5001,"&lt;&gt;")=0,"",SUMIFS(BD!$AC$3:$AC$5001,BD!$A$3:$A$5001,H$3,BD!$B$3:$B$5001,$A$369)))</f>
        <v/>
      </c>
      <c r="I396" s="236" t="str">
        <f>IF(I$3="","",IF(COUNTIFS(BD!$A$3:$A$5001,I$3,BD!$B$3:$B$5001,$A$369,BD!$AC$3:$AC$5001,"&lt;&gt;")=0,"",SUMIFS(BD!$AC$3:$AC$5001,BD!$A$3:$A$5001,I$3,BD!$B$3:$B$5001,$A$369)))</f>
        <v/>
      </c>
      <c r="J396" s="236" t="str">
        <f>IF(J$3="","",IF(COUNTIFS(BD!$A$3:$A$5001,J$3,BD!$B$3:$B$5001,$A$369,BD!$AC$3:$AC$5001,"&lt;&gt;")=0,"",SUMIFS(BD!$AC$3:$AC$5001,BD!$A$3:$A$5001,J$3,BD!$B$3:$B$5001,$A$369)))</f>
        <v/>
      </c>
      <c r="K396" s="236" t="str">
        <f>IF(K$3="","",IF(COUNTIFS(BD!$A$3:$A$5001,K$3,BD!$B$3:$B$5001,$A$369,BD!$AC$3:$AC$5001,"&lt;&gt;")=0,"",SUMIFS(BD!$AC$3:$AC$5001,BD!$A$3:$A$5001,K$3,BD!$B$3:$B$5001,$A$369)))</f>
        <v/>
      </c>
      <c r="L396" s="236" t="str">
        <f>IF(L$3="","",IF(COUNTIFS(BD!$A$3:$A$5001,L$3,BD!$B$3:$B$5001,$A$369,BD!$AC$3:$AC$5001,"&lt;&gt;")=0,"",SUMIFS(BD!$AC$3:$AC$5001,BD!$A$3:$A$5001,L$3,BD!$B$3:$B$5001,$A$369)))</f>
        <v/>
      </c>
      <c r="M396" s="236" t="str">
        <f>IF(M$3="","",IF(COUNTIFS(BD!$A$3:$A$5001,M$3,BD!$B$3:$B$5001,$A$369,BD!$AC$3:$AC$5001,"&lt;&gt;")=0,"",SUMIFS(BD!$AC$3:$AC$5001,BD!$A$3:$A$5001,M$3,BD!$B$3:$B$5001,$A$369)))</f>
        <v/>
      </c>
      <c r="N396" s="236" t="str">
        <f>IF(N$3="","",IF(COUNTIFS(BD!$A$3:$A$5001,N$3,BD!$B$3:$B$5001,$A$369,BD!$AC$3:$AC$5001,"&lt;&gt;")=0,"",SUMIFS(BD!$AC$3:$AC$5001,BD!$A$3:$A$5001,N$3,BD!$B$3:$B$5001,$A$369)))</f>
        <v/>
      </c>
      <c r="O396" s="236" t="str">
        <f>IF(O$3="","",IF(COUNTIFS(BD!$A$3:$A$5001,O$3,BD!$B$3:$B$5001,$A$369,BD!$AC$3:$AC$5001,"&lt;&gt;")=0,"",SUMIFS(BD!$AC$3:$AC$5001,BD!$A$3:$A$5001,O$3,BD!$B$3:$B$5001,$A$369)))</f>
        <v/>
      </c>
      <c r="P396" s="236" t="str">
        <f>IF(P$3="","",IF(COUNTIFS(BD!$A$3:$A$5001,P$3,BD!$B$3:$B$5001,$A$369,BD!$AC$3:$AC$5001,"&lt;&gt;")=0,"",SUMIFS(BD!$AC$3:$AC$5001,BD!$A$3:$A$5001,P$3,BD!$B$3:$B$5001,$A$369)))</f>
        <v/>
      </c>
      <c r="Q396" s="236" t="str">
        <f>IF(Q$3="","",IF(COUNTIFS(BD!$A$3:$A$5001,Q$3,BD!$B$3:$B$5001,$A$369,BD!$AC$3:$AC$5001,"&lt;&gt;")=0,"",SUMIFS(BD!$AC$3:$AC$5001,BD!$A$3:$A$5001,Q$3,BD!$B$3:$B$5001,$A$369)))</f>
        <v/>
      </c>
      <c r="R396" s="236" t="str">
        <f>IF(R$3="","",IF(COUNTIFS(BD!$A$3:$A$5001,R$3,BD!$B$3:$B$5001,$A$369,BD!$AC$3:$AC$5001,"&lt;&gt;")=0,"",SUMIFS(BD!$AC$3:$AC$5001,BD!$A$3:$A$5001,R$3,BD!$B$3:$B$5001,$A$369)))</f>
        <v/>
      </c>
      <c r="S396" s="236" t="str">
        <f>IF(S$3="","",IF(COUNTIFS(BD!$A$3:$A$5001,S$3,BD!$B$3:$B$5001,$A$369,BD!$AC$3:$AC$5001,"&lt;&gt;")=0,"",SUMIFS(BD!$AC$3:$AC$5001,BD!$A$3:$A$5001,S$3,BD!$B$3:$B$5001,$A$369)))</f>
        <v/>
      </c>
      <c r="T396" s="236" t="str">
        <f>IF(T$3="","",IF(COUNTIFS(BD!$A$3:$A$5001,T$3,BD!$B$3:$B$5001,$A$369,BD!$AC$3:$AC$5001,"&lt;&gt;")=0,"",SUMIFS(BD!$AC$3:$AC$5001,BD!$A$3:$A$5001,T$3,BD!$B$3:$B$5001,$A$369)))</f>
        <v/>
      </c>
      <c r="U396" s="236" t="str">
        <f>IF(U$3="","",IF(COUNTIFS(BD!$A$3:$A$5001,U$3,BD!$B$3:$B$5001,$A$369,BD!$AC$3:$AC$5001,"&lt;&gt;")=0,"",SUMIFS(BD!$AC$3:$AC$5001,BD!$A$3:$A$5001,U$3,BD!$B$3:$B$5001,$A$369)))</f>
        <v/>
      </c>
      <c r="V396" s="236" t="str">
        <f>IF(V$3="","",IF(COUNTIFS(BD!$A$3:$A$5001,V$3,BD!$B$3:$B$5001,$A$369,BD!$AC$3:$AC$5001,"&lt;&gt;")=0,"",SUMIFS(BD!$AC$3:$AC$5001,BD!$A$3:$A$5001,V$3,BD!$B$3:$B$5001,$A$369)))</f>
        <v/>
      </c>
      <c r="W396" s="236" t="str">
        <f>IF(W$3="","",IF(COUNTIFS(BD!$A$3:$A$5001,W$3,BD!$B$3:$B$5001,$A$369,BD!$AC$3:$AC$5001,"&lt;&gt;")=0,"",SUMIFS(BD!$AC$3:$AC$5001,BD!$A$3:$A$5001,W$3,BD!$B$3:$B$5001,$A$369)))</f>
        <v/>
      </c>
      <c r="X396" s="236" t="str">
        <f>IF(X$3="","",IF(COUNTIFS(BD!$A$3:$A$5001,X$3,BD!$B$3:$B$5001,$A$369,BD!$AC$3:$AC$5001,"&lt;&gt;")=0,"",SUMIFS(BD!$AC$3:$AC$5001,BD!$A$3:$A$5001,X$3,BD!$B$3:$B$5001,$A$369)))</f>
        <v/>
      </c>
      <c r="Y396" s="236" t="str">
        <f>IF(Y$3="","",IF(COUNTIFS(BD!$A$3:$A$5001,Y$3,BD!$B$3:$B$5001,$A$369,BD!$AC$3:$AC$5001,"&lt;&gt;")=0,"",SUMIFS(BD!$AC$3:$AC$5001,BD!$A$3:$A$5001,Y$3,BD!$B$3:$B$5001,$A$369)))</f>
        <v/>
      </c>
      <c r="Z396" s="236" t="str">
        <f>IF(Z$3="","",IF(COUNTIFS(BD!$A$3:$A$5001,Z$3,BD!$B$3:$B$5001,$A$369,BD!$AC$3:$AC$5001,"&lt;&gt;")=0,"",SUMIFS(BD!$AC$3:$AC$5001,BD!$A$3:$A$5001,Z$3,BD!$B$3:$B$5001,$A$369)))</f>
        <v/>
      </c>
      <c r="AA396" s="236" t="str">
        <f>IF(AA$3="","",IF(COUNTIFS(BD!$A$3:$A$5001,AA$3,BD!$B$3:$B$5001,$A$369,BD!$AC$3:$AC$5001,"&lt;&gt;")=0,"",SUMIFS(BD!$AC$3:$AC$5001,BD!$A$3:$A$5001,AA$3,BD!$B$3:$B$5001,$A$369)))</f>
        <v/>
      </c>
      <c r="AB396" s="236" t="str">
        <f>IF(AB$3="","",IF(COUNTIFS(BD!$A$3:$A$5001,AB$3,BD!$B$3:$B$5001,$A$369,BD!$AC$3:$AC$5001,"&lt;&gt;")=0,"",SUMIFS(BD!$AC$3:$AC$5001,BD!$A$3:$A$5001,AB$3,BD!$B$3:$B$5001,$A$369)))</f>
        <v/>
      </c>
      <c r="AC396" s="236" t="str">
        <f>IF(AC$3="","",IF(COUNTIFS(BD!$A$3:$A$5001,AC$3,BD!$B$3:$B$5001,$A$369,BD!$AC$3:$AC$5001,"&lt;&gt;")=0,"",SUMIFS(BD!$AC$3:$AC$5001,BD!$A$3:$A$5001,AC$3,BD!$B$3:$B$5001,$A$369)))</f>
        <v/>
      </c>
      <c r="AD396" s="236" t="str">
        <f>IF(AD$3="","",IF(COUNTIFS(BD!$A$3:$A$5001,AD$3,BD!$B$3:$B$5001,$A$369,BD!$AC$3:$AC$5001,"&lt;&gt;")=0,"",SUMIFS(BD!$AC$3:$AC$5001,BD!$A$3:$A$5001,AD$3,BD!$B$3:$B$5001,$A$369)))</f>
        <v/>
      </c>
      <c r="AE396" s="236" t="str">
        <f>IF(AE$3="","",IF(COUNTIFS(BD!$A$3:$A$5001,AE$3,BD!$B$3:$B$5001,$A$369,BD!$AC$3:$AC$5001,"&lt;&gt;")=0,"",SUMIFS(BD!$AC$3:$AC$5001,BD!$A$3:$A$5001,AE$3,BD!$B$3:$B$5001,$A$369)))</f>
        <v/>
      </c>
      <c r="AF396" s="236" t="str">
        <f>IF(AF$3="","",IF(COUNTIFS(BD!$A$3:$A$5001,AF$3,BD!$B$3:$B$5001,$A$369,BD!$AC$3:$AC$5001,"&lt;&gt;")=0,"",SUMIFS(BD!$AC$3:$AC$5001,BD!$A$3:$A$5001,AF$3,BD!$B$3:$B$5001,$A$369)))</f>
        <v/>
      </c>
      <c r="AG396" s="236" t="str">
        <f>IF(AG$3="","",IF(COUNTIFS(BD!$A$3:$A$5001,AG$3,BD!$B$3:$B$5001,$A$369,BD!$AC$3:$AC$5001,"&lt;&gt;")=0,"",SUMIFS(BD!$AC$3:$AC$5001,BD!$A$3:$A$5001,AG$3,BD!$B$3:$B$5001,$A$369)))</f>
        <v/>
      </c>
      <c r="AH396" s="236" t="str">
        <f>IF(AH$3="","",IF(COUNTIFS(BD!$A$3:$A$5001,AH$3,BD!$B$3:$B$5001,$A$369,BD!$AC$3:$AC$5001,"&lt;&gt;")=0,"",SUMIFS(BD!$AC$3:$AC$5001,BD!$A$3:$A$5001,AH$3,BD!$B$3:$B$5001,$A$369)))</f>
        <v/>
      </c>
      <c r="AI396" s="236" t="str">
        <f>IF(AI$3="","",IF(COUNTIFS(BD!$A$3:$A$5001,AI$3,BD!$B$3:$B$5001,$A$369,BD!$AC$3:$AC$5001,"&lt;&gt;")=0,"",SUMIFS(BD!$AC$3:$AC$5001,BD!$A$3:$A$5001,AI$3,BD!$B$3:$B$5001,$A$369)))</f>
        <v/>
      </c>
      <c r="AJ396" s="237" t="str">
        <f>IF(AJ$3="","",IF(COUNTIFS(BD!$A$3:$A$5001,AJ$3,BD!$B$3:$B$5001,$A$369,BD!$AC$3:$AC$5001,"&lt;&gt;")=0,"",SUMIFS(BD!$AC$3:$AC$5001,BD!$A$3:$A$5001,AJ$3,BD!$B$3:$B$5001,$A$369)))</f>
        <v/>
      </c>
      <c r="AK396" s="238" t="str">
        <f>IF(COUNT(F396:AJ396)=0,"",SUM(F396:AJ396))</f>
        <v/>
      </c>
    </row>
    <row r="397" ht="15.75" customHeight="1" hidden="1">
      <c r="A397" s="261"/>
      <c r="B397" s="258"/>
      <c r="C397" s="232" t="inlineStr">
        <is>
          <t xml:space="preserve">Férias</t>
        </is>
      </c>
      <c r="D397" s="233" t="str">
        <f>IFERROR(1/(1/INDEX(BD!$AL$51:$BF$51,MATCH($A$369,BD!$AL$22:$BF$22,0))),"")</f>
        <v/>
      </c>
      <c r="E397" s="234"/>
      <c r="F397" s="235" t="str">
        <f>IF(F$3="","",IF(COUNTIFS(BD!$A$3:$A$5001,F$3,BD!$B$3:$B$5001,$A$369,BD!$AD$3:$AD$5001,"&lt;&gt;")=0,"",SUMIFS(BD!$AD$3:$AD$5001,BD!$A$3:$A$5001,F$3,BD!$B$3:$B$5001,$A$369)))</f>
        <v/>
      </c>
      <c r="G397" s="236" t="str">
        <f>IF(G$3="","",IF(COUNTIFS(BD!$A$3:$A$5001,G$3,BD!$B$3:$B$5001,$A$369,BD!$AD$3:$AD$5001,"&lt;&gt;")=0,"",SUMIFS(BD!$AD$3:$AD$5001,BD!$A$3:$A$5001,G$3,BD!$B$3:$B$5001,$A$369)))</f>
        <v/>
      </c>
      <c r="H397" s="236" t="str">
        <f>IF(H$3="","",IF(COUNTIFS(BD!$A$3:$A$5001,H$3,BD!$B$3:$B$5001,$A$369,BD!$AD$3:$AD$5001,"&lt;&gt;")=0,"",SUMIFS(BD!$AD$3:$AD$5001,BD!$A$3:$A$5001,H$3,BD!$B$3:$B$5001,$A$369)))</f>
        <v/>
      </c>
      <c r="I397" s="236" t="str">
        <f>IF(I$3="","",IF(COUNTIFS(BD!$A$3:$A$5001,I$3,BD!$B$3:$B$5001,$A$369,BD!$AD$3:$AD$5001,"&lt;&gt;")=0,"",SUMIFS(BD!$AD$3:$AD$5001,BD!$A$3:$A$5001,I$3,BD!$B$3:$B$5001,$A$369)))</f>
        <v/>
      </c>
      <c r="J397" s="236" t="str">
        <f>IF(J$3="","",IF(COUNTIFS(BD!$A$3:$A$5001,J$3,BD!$B$3:$B$5001,$A$369,BD!$AD$3:$AD$5001,"&lt;&gt;")=0,"",SUMIFS(BD!$AD$3:$AD$5001,BD!$A$3:$A$5001,J$3,BD!$B$3:$B$5001,$A$369)))</f>
        <v/>
      </c>
      <c r="K397" s="236" t="str">
        <f>IF(K$3="","",IF(COUNTIFS(BD!$A$3:$A$5001,K$3,BD!$B$3:$B$5001,$A$369,BD!$AD$3:$AD$5001,"&lt;&gt;")=0,"",SUMIFS(BD!$AD$3:$AD$5001,BD!$A$3:$A$5001,K$3,BD!$B$3:$B$5001,$A$369)))</f>
        <v/>
      </c>
      <c r="L397" s="236" t="str">
        <f>IF(L$3="","",IF(COUNTIFS(BD!$A$3:$A$5001,L$3,BD!$B$3:$B$5001,$A$369,BD!$AD$3:$AD$5001,"&lt;&gt;")=0,"",SUMIFS(BD!$AD$3:$AD$5001,BD!$A$3:$A$5001,L$3,BD!$B$3:$B$5001,$A$369)))</f>
        <v/>
      </c>
      <c r="M397" s="236" t="str">
        <f>IF(M$3="","",IF(COUNTIFS(BD!$A$3:$A$5001,M$3,BD!$B$3:$B$5001,$A$369,BD!$AD$3:$AD$5001,"&lt;&gt;")=0,"",SUMIFS(BD!$AD$3:$AD$5001,BD!$A$3:$A$5001,M$3,BD!$B$3:$B$5001,$A$369)))</f>
        <v/>
      </c>
      <c r="N397" s="236" t="str">
        <f>IF(N$3="","",IF(COUNTIFS(BD!$A$3:$A$5001,N$3,BD!$B$3:$B$5001,$A$369,BD!$AD$3:$AD$5001,"&lt;&gt;")=0,"",SUMIFS(BD!$AD$3:$AD$5001,BD!$A$3:$A$5001,N$3,BD!$B$3:$B$5001,$A$369)))</f>
        <v/>
      </c>
      <c r="O397" s="236" t="str">
        <f>IF(O$3="","",IF(COUNTIFS(BD!$A$3:$A$5001,O$3,BD!$B$3:$B$5001,$A$369,BD!$AD$3:$AD$5001,"&lt;&gt;")=0,"",SUMIFS(BD!$AD$3:$AD$5001,BD!$A$3:$A$5001,O$3,BD!$B$3:$B$5001,$A$369)))</f>
        <v/>
      </c>
      <c r="P397" s="236" t="str">
        <f>IF(P$3="","",IF(COUNTIFS(BD!$A$3:$A$5001,P$3,BD!$B$3:$B$5001,$A$369,BD!$AD$3:$AD$5001,"&lt;&gt;")=0,"",SUMIFS(BD!$AD$3:$AD$5001,BD!$A$3:$A$5001,P$3,BD!$B$3:$B$5001,$A$369)))</f>
        <v/>
      </c>
      <c r="Q397" s="236" t="str">
        <f>IF(Q$3="","",IF(COUNTIFS(BD!$A$3:$A$5001,Q$3,BD!$B$3:$B$5001,$A$369,BD!$AD$3:$AD$5001,"&lt;&gt;")=0,"",SUMIFS(BD!$AD$3:$AD$5001,BD!$A$3:$A$5001,Q$3,BD!$B$3:$B$5001,$A$369)))</f>
        <v/>
      </c>
      <c r="R397" s="236" t="str">
        <f>IF(R$3="","",IF(COUNTIFS(BD!$A$3:$A$5001,R$3,BD!$B$3:$B$5001,$A$369,BD!$AD$3:$AD$5001,"&lt;&gt;")=0,"",SUMIFS(BD!$AD$3:$AD$5001,BD!$A$3:$A$5001,R$3,BD!$B$3:$B$5001,$A$369)))</f>
        <v/>
      </c>
      <c r="S397" s="236" t="str">
        <f>IF(S$3="","",IF(COUNTIFS(BD!$A$3:$A$5001,S$3,BD!$B$3:$B$5001,$A$369,BD!$AD$3:$AD$5001,"&lt;&gt;")=0,"",SUMIFS(BD!$AD$3:$AD$5001,BD!$A$3:$A$5001,S$3,BD!$B$3:$B$5001,$A$369)))</f>
        <v/>
      </c>
      <c r="T397" s="236" t="str">
        <f>IF(T$3="","",IF(COUNTIFS(BD!$A$3:$A$5001,T$3,BD!$B$3:$B$5001,$A$369,BD!$AD$3:$AD$5001,"&lt;&gt;")=0,"",SUMIFS(BD!$AD$3:$AD$5001,BD!$A$3:$A$5001,T$3,BD!$B$3:$B$5001,$A$369)))</f>
        <v/>
      </c>
      <c r="U397" s="236" t="str">
        <f>IF(U$3="","",IF(COUNTIFS(BD!$A$3:$A$5001,U$3,BD!$B$3:$B$5001,$A$369,BD!$AD$3:$AD$5001,"&lt;&gt;")=0,"",SUMIFS(BD!$AD$3:$AD$5001,BD!$A$3:$A$5001,U$3,BD!$B$3:$B$5001,$A$369)))</f>
        <v/>
      </c>
      <c r="V397" s="236" t="str">
        <f>IF(V$3="","",IF(COUNTIFS(BD!$A$3:$A$5001,V$3,BD!$B$3:$B$5001,$A$369,BD!$AD$3:$AD$5001,"&lt;&gt;")=0,"",SUMIFS(BD!$AD$3:$AD$5001,BD!$A$3:$A$5001,V$3,BD!$B$3:$B$5001,$A$369)))</f>
        <v/>
      </c>
      <c r="W397" s="236" t="str">
        <f>IF(W$3="","",IF(COUNTIFS(BD!$A$3:$A$5001,W$3,BD!$B$3:$B$5001,$A$369,BD!$AD$3:$AD$5001,"&lt;&gt;")=0,"",SUMIFS(BD!$AD$3:$AD$5001,BD!$A$3:$A$5001,W$3,BD!$B$3:$B$5001,$A$369)))</f>
        <v/>
      </c>
      <c r="X397" s="236" t="str">
        <f>IF(X$3="","",IF(COUNTIFS(BD!$A$3:$A$5001,X$3,BD!$B$3:$B$5001,$A$369,BD!$AD$3:$AD$5001,"&lt;&gt;")=0,"",SUMIFS(BD!$AD$3:$AD$5001,BD!$A$3:$A$5001,X$3,BD!$B$3:$B$5001,$A$369)))</f>
        <v/>
      </c>
      <c r="Y397" s="236" t="str">
        <f>IF(Y$3="","",IF(COUNTIFS(BD!$A$3:$A$5001,Y$3,BD!$B$3:$B$5001,$A$369,BD!$AD$3:$AD$5001,"&lt;&gt;")=0,"",SUMIFS(BD!$AD$3:$AD$5001,BD!$A$3:$A$5001,Y$3,BD!$B$3:$B$5001,$A$369)))</f>
        <v/>
      </c>
      <c r="Z397" s="236" t="str">
        <f>IF(Z$3="","",IF(COUNTIFS(BD!$A$3:$A$5001,Z$3,BD!$B$3:$B$5001,$A$369,BD!$AD$3:$AD$5001,"&lt;&gt;")=0,"",SUMIFS(BD!$AD$3:$AD$5001,BD!$A$3:$A$5001,Z$3,BD!$B$3:$B$5001,$A$369)))</f>
        <v/>
      </c>
      <c r="AA397" s="236" t="str">
        <f>IF(AA$3="","",IF(COUNTIFS(BD!$A$3:$A$5001,AA$3,BD!$B$3:$B$5001,$A$369,BD!$AD$3:$AD$5001,"&lt;&gt;")=0,"",SUMIFS(BD!$AD$3:$AD$5001,BD!$A$3:$A$5001,AA$3,BD!$B$3:$B$5001,$A$369)))</f>
        <v/>
      </c>
      <c r="AB397" s="236" t="str">
        <f>IF(AB$3="","",IF(COUNTIFS(BD!$A$3:$A$5001,AB$3,BD!$B$3:$B$5001,$A$369,BD!$AD$3:$AD$5001,"&lt;&gt;")=0,"",SUMIFS(BD!$AD$3:$AD$5001,BD!$A$3:$A$5001,AB$3,BD!$B$3:$B$5001,$A$369)))</f>
        <v/>
      </c>
      <c r="AC397" s="236" t="str">
        <f>IF(AC$3="","",IF(COUNTIFS(BD!$A$3:$A$5001,AC$3,BD!$B$3:$B$5001,$A$369,BD!$AD$3:$AD$5001,"&lt;&gt;")=0,"",SUMIFS(BD!$AD$3:$AD$5001,BD!$A$3:$A$5001,AC$3,BD!$B$3:$B$5001,$A$369)))</f>
        <v/>
      </c>
      <c r="AD397" s="236" t="str">
        <f>IF(AD$3="","",IF(COUNTIFS(BD!$A$3:$A$5001,AD$3,BD!$B$3:$B$5001,$A$369,BD!$AD$3:$AD$5001,"&lt;&gt;")=0,"",SUMIFS(BD!$AD$3:$AD$5001,BD!$A$3:$A$5001,AD$3,BD!$B$3:$B$5001,$A$369)))</f>
        <v/>
      </c>
      <c r="AE397" s="236" t="str">
        <f>IF(AE$3="","",IF(COUNTIFS(BD!$A$3:$A$5001,AE$3,BD!$B$3:$B$5001,$A$369,BD!$AD$3:$AD$5001,"&lt;&gt;")=0,"",SUMIFS(BD!$AD$3:$AD$5001,BD!$A$3:$A$5001,AE$3,BD!$B$3:$B$5001,$A$369)))</f>
        <v/>
      </c>
      <c r="AF397" s="236" t="str">
        <f>IF(AF$3="","",IF(COUNTIFS(BD!$A$3:$A$5001,AF$3,BD!$B$3:$B$5001,$A$369,BD!$AD$3:$AD$5001,"&lt;&gt;")=0,"",SUMIFS(BD!$AD$3:$AD$5001,BD!$A$3:$A$5001,AF$3,BD!$B$3:$B$5001,$A$369)))</f>
        <v/>
      </c>
      <c r="AG397" s="236" t="str">
        <f>IF(AG$3="","",IF(COUNTIFS(BD!$A$3:$A$5001,AG$3,BD!$B$3:$B$5001,$A$369,BD!$AD$3:$AD$5001,"&lt;&gt;")=0,"",SUMIFS(BD!$AD$3:$AD$5001,BD!$A$3:$A$5001,AG$3,BD!$B$3:$B$5001,$A$369)))</f>
        <v/>
      </c>
      <c r="AH397" s="236" t="str">
        <f>IF(AH$3="","",IF(COUNTIFS(BD!$A$3:$A$5001,AH$3,BD!$B$3:$B$5001,$A$369,BD!$AD$3:$AD$5001,"&lt;&gt;")=0,"",SUMIFS(BD!$AD$3:$AD$5001,BD!$A$3:$A$5001,AH$3,BD!$B$3:$B$5001,$A$369)))</f>
        <v/>
      </c>
      <c r="AI397" s="236" t="str">
        <f>IF(AI$3="","",IF(COUNTIFS(BD!$A$3:$A$5001,AI$3,BD!$B$3:$B$5001,$A$369,BD!$AD$3:$AD$5001,"&lt;&gt;")=0,"",SUMIFS(BD!$AD$3:$AD$5001,BD!$A$3:$A$5001,AI$3,BD!$B$3:$B$5001,$A$369)))</f>
        <v/>
      </c>
      <c r="AJ397" s="237" t="str">
        <f>IF(AJ$3="","",IF(COUNTIFS(BD!$A$3:$A$5001,AJ$3,BD!$B$3:$B$5001,$A$369,BD!$AD$3:$AD$5001,"&lt;&gt;")=0,"",SUMIFS(BD!$AD$3:$AD$5001,BD!$A$3:$A$5001,AJ$3,BD!$B$3:$B$5001,$A$369)))</f>
        <v/>
      </c>
      <c r="AK397" s="238" t="str">
        <f>IF(COUNT(F397:AJ397)=0,"",SUM(F397:AJ397))</f>
        <v/>
      </c>
    </row>
    <row r="398" ht="15.75" customHeight="1" hidden="1">
      <c r="A398" s="261"/>
      <c r="B398" s="258"/>
      <c r="C398" s="232" t="inlineStr">
        <is>
          <t xml:space="preserve">Desligamento</t>
        </is>
      </c>
      <c r="D398" s="233" t="str">
        <f>IFERROR(1/(1/INDEX(BD!$AL$52:$BF$52,MATCH($A$369,BD!$AL$22:$BF$22,0))),"")</f>
        <v/>
      </c>
      <c r="E398" s="234"/>
      <c r="F398" s="235" t="str">
        <f>IF(F$3="","",IF(COUNTIFS(BD!$A$3:$A$5001,F$3,BD!$B$3:$B$5001,$A$369,BD!$AE$3:$AE$5001,"&lt;&gt;")=0,"",SUMIFS(BD!$AE$3:$AE$5001,BD!$A$3:$A$5001,F$3,BD!$B$3:$B$5001,$A$369)))</f>
        <v/>
      </c>
      <c r="G398" s="236" t="str">
        <f>IF(G$3="","",IF(COUNTIFS(BD!$A$3:$A$5001,G$3,BD!$B$3:$B$5001,$A$369,BD!$AE$3:$AE$5001,"&lt;&gt;")=0,"",SUMIFS(BD!$AE$3:$AE$5001,BD!$A$3:$A$5001,G$3,BD!$B$3:$B$5001,$A$369)))</f>
        <v/>
      </c>
      <c r="H398" s="236" t="str">
        <f>IF(H$3="","",IF(COUNTIFS(BD!$A$3:$A$5001,H$3,BD!$B$3:$B$5001,$A$369,BD!$AE$3:$AE$5001,"&lt;&gt;")=0,"",SUMIFS(BD!$AE$3:$AE$5001,BD!$A$3:$A$5001,H$3,BD!$B$3:$B$5001,$A$369)))</f>
        <v/>
      </c>
      <c r="I398" s="236" t="str">
        <f>IF(I$3="","",IF(COUNTIFS(BD!$A$3:$A$5001,I$3,BD!$B$3:$B$5001,$A$369,BD!$AE$3:$AE$5001,"&lt;&gt;")=0,"",SUMIFS(BD!$AE$3:$AE$5001,BD!$A$3:$A$5001,I$3,BD!$B$3:$B$5001,$A$369)))</f>
        <v/>
      </c>
      <c r="J398" s="236" t="str">
        <f>IF(J$3="","",IF(COUNTIFS(BD!$A$3:$A$5001,J$3,BD!$B$3:$B$5001,$A$369,BD!$AE$3:$AE$5001,"&lt;&gt;")=0,"",SUMIFS(BD!$AE$3:$AE$5001,BD!$A$3:$A$5001,J$3,BD!$B$3:$B$5001,$A$369)))</f>
        <v/>
      </c>
      <c r="K398" s="236" t="str">
        <f>IF(K$3="","",IF(COUNTIFS(BD!$A$3:$A$5001,K$3,BD!$B$3:$B$5001,$A$369,BD!$AE$3:$AE$5001,"&lt;&gt;")=0,"",SUMIFS(BD!$AE$3:$AE$5001,BD!$A$3:$A$5001,K$3,BD!$B$3:$B$5001,$A$369)))</f>
        <v/>
      </c>
      <c r="L398" s="236" t="str">
        <f>IF(L$3="","",IF(COUNTIFS(BD!$A$3:$A$5001,L$3,BD!$B$3:$B$5001,$A$369,BD!$AE$3:$AE$5001,"&lt;&gt;")=0,"",SUMIFS(BD!$AE$3:$AE$5001,BD!$A$3:$A$5001,L$3,BD!$B$3:$B$5001,$A$369)))</f>
        <v/>
      </c>
      <c r="M398" s="236" t="str">
        <f>IF(M$3="","",IF(COUNTIFS(BD!$A$3:$A$5001,M$3,BD!$B$3:$B$5001,$A$369,BD!$AE$3:$AE$5001,"&lt;&gt;")=0,"",SUMIFS(BD!$AE$3:$AE$5001,BD!$A$3:$A$5001,M$3,BD!$B$3:$B$5001,$A$369)))</f>
        <v/>
      </c>
      <c r="N398" s="236" t="str">
        <f>IF(N$3="","",IF(COUNTIFS(BD!$A$3:$A$5001,N$3,BD!$B$3:$B$5001,$A$369,BD!$AE$3:$AE$5001,"&lt;&gt;")=0,"",SUMIFS(BD!$AE$3:$AE$5001,BD!$A$3:$A$5001,N$3,BD!$B$3:$B$5001,$A$369)))</f>
        <v/>
      </c>
      <c r="O398" s="236" t="str">
        <f>IF(O$3="","",IF(COUNTIFS(BD!$A$3:$A$5001,O$3,BD!$B$3:$B$5001,$A$369,BD!$AE$3:$AE$5001,"&lt;&gt;")=0,"",SUMIFS(BD!$AE$3:$AE$5001,BD!$A$3:$A$5001,O$3,BD!$B$3:$B$5001,$A$369)))</f>
        <v/>
      </c>
      <c r="P398" s="236" t="str">
        <f>IF(P$3="","",IF(COUNTIFS(BD!$A$3:$A$5001,P$3,BD!$B$3:$B$5001,$A$369,BD!$AE$3:$AE$5001,"&lt;&gt;")=0,"",SUMIFS(BD!$AE$3:$AE$5001,BD!$A$3:$A$5001,P$3,BD!$B$3:$B$5001,$A$369)))</f>
        <v/>
      </c>
      <c r="Q398" s="236" t="str">
        <f>IF(Q$3="","",IF(COUNTIFS(BD!$A$3:$A$5001,Q$3,BD!$B$3:$B$5001,$A$369,BD!$AE$3:$AE$5001,"&lt;&gt;")=0,"",SUMIFS(BD!$AE$3:$AE$5001,BD!$A$3:$A$5001,Q$3,BD!$B$3:$B$5001,$A$369)))</f>
        <v/>
      </c>
      <c r="R398" s="236" t="str">
        <f>IF(R$3="","",IF(COUNTIFS(BD!$A$3:$A$5001,R$3,BD!$B$3:$B$5001,$A$369,BD!$AE$3:$AE$5001,"&lt;&gt;")=0,"",SUMIFS(BD!$AE$3:$AE$5001,BD!$A$3:$A$5001,R$3,BD!$B$3:$B$5001,$A$369)))</f>
        <v/>
      </c>
      <c r="S398" s="236" t="str">
        <f>IF(S$3="","",IF(COUNTIFS(BD!$A$3:$A$5001,S$3,BD!$B$3:$B$5001,$A$369,BD!$AE$3:$AE$5001,"&lt;&gt;")=0,"",SUMIFS(BD!$AE$3:$AE$5001,BD!$A$3:$A$5001,S$3,BD!$B$3:$B$5001,$A$369)))</f>
        <v/>
      </c>
      <c r="T398" s="236" t="str">
        <f>IF(T$3="","",IF(COUNTIFS(BD!$A$3:$A$5001,T$3,BD!$B$3:$B$5001,$A$369,BD!$AE$3:$AE$5001,"&lt;&gt;")=0,"",SUMIFS(BD!$AE$3:$AE$5001,BD!$A$3:$A$5001,T$3,BD!$B$3:$B$5001,$A$369)))</f>
        <v/>
      </c>
      <c r="U398" s="236" t="str">
        <f>IF(U$3="","",IF(COUNTIFS(BD!$A$3:$A$5001,U$3,BD!$B$3:$B$5001,$A$369,BD!$AE$3:$AE$5001,"&lt;&gt;")=0,"",SUMIFS(BD!$AE$3:$AE$5001,BD!$A$3:$A$5001,U$3,BD!$B$3:$B$5001,$A$369)))</f>
        <v/>
      </c>
      <c r="V398" s="236" t="str">
        <f>IF(V$3="","",IF(COUNTIFS(BD!$A$3:$A$5001,V$3,BD!$B$3:$B$5001,$A$369,BD!$AE$3:$AE$5001,"&lt;&gt;")=0,"",SUMIFS(BD!$AE$3:$AE$5001,BD!$A$3:$A$5001,V$3,BD!$B$3:$B$5001,$A$369)))</f>
        <v/>
      </c>
      <c r="W398" s="236" t="str">
        <f>IF(W$3="","",IF(COUNTIFS(BD!$A$3:$A$5001,W$3,BD!$B$3:$B$5001,$A$369,BD!$AE$3:$AE$5001,"&lt;&gt;")=0,"",SUMIFS(BD!$AE$3:$AE$5001,BD!$A$3:$A$5001,W$3,BD!$B$3:$B$5001,$A$369)))</f>
        <v/>
      </c>
      <c r="X398" s="236" t="str">
        <f>IF(X$3="","",IF(COUNTIFS(BD!$A$3:$A$5001,X$3,BD!$B$3:$B$5001,$A$369,BD!$AE$3:$AE$5001,"&lt;&gt;")=0,"",SUMIFS(BD!$AE$3:$AE$5001,BD!$A$3:$A$5001,X$3,BD!$B$3:$B$5001,$A$369)))</f>
        <v/>
      </c>
      <c r="Y398" s="236" t="str">
        <f>IF(Y$3="","",IF(COUNTIFS(BD!$A$3:$A$5001,Y$3,BD!$B$3:$B$5001,$A$369,BD!$AE$3:$AE$5001,"&lt;&gt;")=0,"",SUMIFS(BD!$AE$3:$AE$5001,BD!$A$3:$A$5001,Y$3,BD!$B$3:$B$5001,$A$369)))</f>
        <v/>
      </c>
      <c r="Z398" s="236" t="str">
        <f>IF(Z$3="","",IF(COUNTIFS(BD!$A$3:$A$5001,Z$3,BD!$B$3:$B$5001,$A$369,BD!$AE$3:$AE$5001,"&lt;&gt;")=0,"",SUMIFS(BD!$AE$3:$AE$5001,BD!$A$3:$A$5001,Z$3,BD!$B$3:$B$5001,$A$369)))</f>
        <v/>
      </c>
      <c r="AA398" s="236" t="str">
        <f>IF(AA$3="","",IF(COUNTIFS(BD!$A$3:$A$5001,AA$3,BD!$B$3:$B$5001,$A$369,BD!$AE$3:$AE$5001,"&lt;&gt;")=0,"",SUMIFS(BD!$AE$3:$AE$5001,BD!$A$3:$A$5001,AA$3,BD!$B$3:$B$5001,$A$369)))</f>
        <v/>
      </c>
      <c r="AB398" s="236" t="str">
        <f>IF(AB$3="","",IF(COUNTIFS(BD!$A$3:$A$5001,AB$3,BD!$B$3:$B$5001,$A$369,BD!$AE$3:$AE$5001,"&lt;&gt;")=0,"",SUMIFS(BD!$AE$3:$AE$5001,BD!$A$3:$A$5001,AB$3,BD!$B$3:$B$5001,$A$369)))</f>
        <v/>
      </c>
      <c r="AC398" s="236" t="str">
        <f>IF(AC$3="","",IF(COUNTIFS(BD!$A$3:$A$5001,AC$3,BD!$B$3:$B$5001,$A$369,BD!$AE$3:$AE$5001,"&lt;&gt;")=0,"",SUMIFS(BD!$AE$3:$AE$5001,BD!$A$3:$A$5001,AC$3,BD!$B$3:$B$5001,$A$369)))</f>
        <v/>
      </c>
      <c r="AD398" s="236" t="str">
        <f>IF(AD$3="","",IF(COUNTIFS(BD!$A$3:$A$5001,AD$3,BD!$B$3:$B$5001,$A$369,BD!$AE$3:$AE$5001,"&lt;&gt;")=0,"",SUMIFS(BD!$AE$3:$AE$5001,BD!$A$3:$A$5001,AD$3,BD!$B$3:$B$5001,$A$369)))</f>
        <v/>
      </c>
      <c r="AE398" s="236" t="str">
        <f>IF(AE$3="","",IF(COUNTIFS(BD!$A$3:$A$5001,AE$3,BD!$B$3:$B$5001,$A$369,BD!$AE$3:$AE$5001,"&lt;&gt;")=0,"",SUMIFS(BD!$AE$3:$AE$5001,BD!$A$3:$A$5001,AE$3,BD!$B$3:$B$5001,$A$369)))</f>
        <v/>
      </c>
      <c r="AF398" s="236" t="str">
        <f>IF(AF$3="","",IF(COUNTIFS(BD!$A$3:$A$5001,AF$3,BD!$B$3:$B$5001,$A$369,BD!$AE$3:$AE$5001,"&lt;&gt;")=0,"",SUMIFS(BD!$AE$3:$AE$5001,BD!$A$3:$A$5001,AF$3,BD!$B$3:$B$5001,$A$369)))</f>
        <v/>
      </c>
      <c r="AG398" s="236" t="str">
        <f>IF(AG$3="","",IF(COUNTIFS(BD!$A$3:$A$5001,AG$3,BD!$B$3:$B$5001,$A$369,BD!$AE$3:$AE$5001,"&lt;&gt;")=0,"",SUMIFS(BD!$AE$3:$AE$5001,BD!$A$3:$A$5001,AG$3,BD!$B$3:$B$5001,$A$369)))</f>
        <v/>
      </c>
      <c r="AH398" s="236" t="str">
        <f>IF(AH$3="","",IF(COUNTIFS(BD!$A$3:$A$5001,AH$3,BD!$B$3:$B$5001,$A$369,BD!$AE$3:$AE$5001,"&lt;&gt;")=0,"",SUMIFS(BD!$AE$3:$AE$5001,BD!$A$3:$A$5001,AH$3,BD!$B$3:$B$5001,$A$369)))</f>
        <v/>
      </c>
      <c r="AI398" s="236" t="str">
        <f>IF(AI$3="","",IF(COUNTIFS(BD!$A$3:$A$5001,AI$3,BD!$B$3:$B$5001,$A$369,BD!$AE$3:$AE$5001,"&lt;&gt;")=0,"",SUMIFS(BD!$AE$3:$AE$5001,BD!$A$3:$A$5001,AI$3,BD!$B$3:$B$5001,$A$369)))</f>
        <v/>
      </c>
      <c r="AJ398" s="237" t="str">
        <f>IF(AJ$3="","",IF(COUNTIFS(BD!$A$3:$A$5001,AJ$3,BD!$B$3:$B$5001,$A$369,BD!$AE$3:$AE$5001,"&lt;&gt;")=0,"",SUMIFS(BD!$AE$3:$AE$5001,BD!$A$3:$A$5001,AJ$3,BD!$B$3:$B$5001,$A$369)))</f>
        <v/>
      </c>
      <c r="AK398" s="238" t="str">
        <f>IF(COUNT(F398:AJ398)=0,"",SUM(F398:AJ398))</f>
        <v/>
      </c>
    </row>
    <row r="399" ht="15.75" customHeight="1" hidden="1">
      <c r="A399" s="261"/>
      <c r="B399" s="258"/>
      <c r="C399" s="232" t="inlineStr">
        <is>
          <t xml:space="preserve">Desvios Comportamentais</t>
        </is>
      </c>
      <c r="D399" s="233" t="str">
        <f>IFERROR(1/(1/INDEX(BD!$AL$53:$BF$53,MATCH($A$369,BD!$AL$22:$BF$22,0))),"")</f>
        <v/>
      </c>
      <c r="E399" s="234"/>
      <c r="F399" s="235" t="str">
        <f>IF(F$3="","",IF(COUNTIFS(BD!$A$3:$A$5001,F$3,BD!$B$3:$B$5001,$A$369,BD!$AF$3:$AF$5001,"&lt;&gt;")=0,"",SUMIFS(BD!$AF$3:$AF$5001,BD!$A$3:$A$5001,F$3,BD!$B$3:$B$5001,$A$369)))</f>
        <v/>
      </c>
      <c r="G399" s="236" t="str">
        <f>IF(G$3="","",IF(COUNTIFS(BD!$A$3:$A$5001,G$3,BD!$B$3:$B$5001,$A$369,BD!$AF$3:$AF$5001,"&lt;&gt;")=0,"",SUMIFS(BD!$AF$3:$AF$5001,BD!$A$3:$A$5001,G$3,BD!$B$3:$B$5001,$A$369)))</f>
        <v/>
      </c>
      <c r="H399" s="236" t="str">
        <f>IF(H$3="","",IF(COUNTIFS(BD!$A$3:$A$5001,H$3,BD!$B$3:$B$5001,$A$369,BD!$AF$3:$AF$5001,"&lt;&gt;")=0,"",SUMIFS(BD!$AF$3:$AF$5001,BD!$A$3:$A$5001,H$3,BD!$B$3:$B$5001,$A$369)))</f>
        <v/>
      </c>
      <c r="I399" s="236" t="str">
        <f>IF(I$3="","",IF(COUNTIFS(BD!$A$3:$A$5001,I$3,BD!$B$3:$B$5001,$A$369,BD!$AF$3:$AF$5001,"&lt;&gt;")=0,"",SUMIFS(BD!$AF$3:$AF$5001,BD!$A$3:$A$5001,I$3,BD!$B$3:$B$5001,$A$369)))</f>
        <v/>
      </c>
      <c r="J399" s="236" t="str">
        <f>IF(J$3="","",IF(COUNTIFS(BD!$A$3:$A$5001,J$3,BD!$B$3:$B$5001,$A$369,BD!$AF$3:$AF$5001,"&lt;&gt;")=0,"",SUMIFS(BD!$AF$3:$AF$5001,BD!$A$3:$A$5001,J$3,BD!$B$3:$B$5001,$A$369)))</f>
        <v/>
      </c>
      <c r="K399" s="236" t="str">
        <f>IF(K$3="","",IF(COUNTIFS(BD!$A$3:$A$5001,K$3,BD!$B$3:$B$5001,$A$369,BD!$AF$3:$AF$5001,"&lt;&gt;")=0,"",SUMIFS(BD!$AF$3:$AF$5001,BD!$A$3:$A$5001,K$3,BD!$B$3:$B$5001,$A$369)))</f>
        <v/>
      </c>
      <c r="L399" s="236" t="str">
        <f>IF(L$3="","",IF(COUNTIFS(BD!$A$3:$A$5001,L$3,BD!$B$3:$B$5001,$A$369,BD!$AF$3:$AF$5001,"&lt;&gt;")=0,"",SUMIFS(BD!$AF$3:$AF$5001,BD!$A$3:$A$5001,L$3,BD!$B$3:$B$5001,$A$369)))</f>
        <v/>
      </c>
      <c r="M399" s="236" t="str">
        <f>IF(M$3="","",IF(COUNTIFS(BD!$A$3:$A$5001,M$3,BD!$B$3:$B$5001,$A$369,BD!$AF$3:$AF$5001,"&lt;&gt;")=0,"",SUMIFS(BD!$AF$3:$AF$5001,BD!$A$3:$A$5001,M$3,BD!$B$3:$B$5001,$A$369)))</f>
        <v/>
      </c>
      <c r="N399" s="236" t="str">
        <f>IF(N$3="","",IF(COUNTIFS(BD!$A$3:$A$5001,N$3,BD!$B$3:$B$5001,$A$369,BD!$AF$3:$AF$5001,"&lt;&gt;")=0,"",SUMIFS(BD!$AF$3:$AF$5001,BD!$A$3:$A$5001,N$3,BD!$B$3:$B$5001,$A$369)))</f>
        <v/>
      </c>
      <c r="O399" s="236" t="str">
        <f>IF(O$3="","",IF(COUNTIFS(BD!$A$3:$A$5001,O$3,BD!$B$3:$B$5001,$A$369,BD!$AF$3:$AF$5001,"&lt;&gt;")=0,"",SUMIFS(BD!$AF$3:$AF$5001,BD!$A$3:$A$5001,O$3,BD!$B$3:$B$5001,$A$369)))</f>
        <v/>
      </c>
      <c r="P399" s="236" t="str">
        <f>IF(P$3="","",IF(COUNTIFS(BD!$A$3:$A$5001,P$3,BD!$B$3:$B$5001,$A$369,BD!$AF$3:$AF$5001,"&lt;&gt;")=0,"",SUMIFS(BD!$AF$3:$AF$5001,BD!$A$3:$A$5001,P$3,BD!$B$3:$B$5001,$A$369)))</f>
        <v/>
      </c>
      <c r="Q399" s="236" t="str">
        <f>IF(Q$3="","",IF(COUNTIFS(BD!$A$3:$A$5001,Q$3,BD!$B$3:$B$5001,$A$369,BD!$AF$3:$AF$5001,"&lt;&gt;")=0,"",SUMIFS(BD!$AF$3:$AF$5001,BD!$A$3:$A$5001,Q$3,BD!$B$3:$B$5001,$A$369)))</f>
        <v/>
      </c>
      <c r="R399" s="236" t="str">
        <f>IF(R$3="","",IF(COUNTIFS(BD!$A$3:$A$5001,R$3,BD!$B$3:$B$5001,$A$369,BD!$AF$3:$AF$5001,"&lt;&gt;")=0,"",SUMIFS(BD!$AF$3:$AF$5001,BD!$A$3:$A$5001,R$3,BD!$B$3:$B$5001,$A$369)))</f>
        <v/>
      </c>
      <c r="S399" s="236" t="str">
        <f>IF(S$3="","",IF(COUNTIFS(BD!$A$3:$A$5001,S$3,BD!$B$3:$B$5001,$A$369,BD!$AF$3:$AF$5001,"&lt;&gt;")=0,"",SUMIFS(BD!$AF$3:$AF$5001,BD!$A$3:$A$5001,S$3,BD!$B$3:$B$5001,$A$369)))</f>
        <v/>
      </c>
      <c r="T399" s="236" t="str">
        <f>IF(T$3="","",IF(COUNTIFS(BD!$A$3:$A$5001,T$3,BD!$B$3:$B$5001,$A$369,BD!$AF$3:$AF$5001,"&lt;&gt;")=0,"",SUMIFS(BD!$AF$3:$AF$5001,BD!$A$3:$A$5001,T$3,BD!$B$3:$B$5001,$A$369)))</f>
        <v/>
      </c>
      <c r="U399" s="236" t="str">
        <f>IF(U$3="","",IF(COUNTIFS(BD!$A$3:$A$5001,U$3,BD!$B$3:$B$5001,$A$369,BD!$AF$3:$AF$5001,"&lt;&gt;")=0,"",SUMIFS(BD!$AF$3:$AF$5001,BD!$A$3:$A$5001,U$3,BD!$B$3:$B$5001,$A$369)))</f>
        <v/>
      </c>
      <c r="V399" s="236" t="str">
        <f>IF(V$3="","",IF(COUNTIFS(BD!$A$3:$A$5001,V$3,BD!$B$3:$B$5001,$A$369,BD!$AF$3:$AF$5001,"&lt;&gt;")=0,"",SUMIFS(BD!$AF$3:$AF$5001,BD!$A$3:$A$5001,V$3,BD!$B$3:$B$5001,$A$369)))</f>
        <v/>
      </c>
      <c r="W399" s="236" t="str">
        <f>IF(W$3="","",IF(COUNTIFS(BD!$A$3:$A$5001,W$3,BD!$B$3:$B$5001,$A$369,BD!$AF$3:$AF$5001,"&lt;&gt;")=0,"",SUMIFS(BD!$AF$3:$AF$5001,BD!$A$3:$A$5001,W$3,BD!$B$3:$B$5001,$A$369)))</f>
        <v/>
      </c>
      <c r="X399" s="236" t="str">
        <f>IF(X$3="","",IF(COUNTIFS(BD!$A$3:$A$5001,X$3,BD!$B$3:$B$5001,$A$369,BD!$AF$3:$AF$5001,"&lt;&gt;")=0,"",SUMIFS(BD!$AF$3:$AF$5001,BD!$A$3:$A$5001,X$3,BD!$B$3:$B$5001,$A$369)))</f>
        <v/>
      </c>
      <c r="Y399" s="236" t="str">
        <f>IF(Y$3="","",IF(COUNTIFS(BD!$A$3:$A$5001,Y$3,BD!$B$3:$B$5001,$A$369,BD!$AF$3:$AF$5001,"&lt;&gt;")=0,"",SUMIFS(BD!$AF$3:$AF$5001,BD!$A$3:$A$5001,Y$3,BD!$B$3:$B$5001,$A$369)))</f>
        <v/>
      </c>
      <c r="Z399" s="236" t="str">
        <f>IF(Z$3="","",IF(COUNTIFS(BD!$A$3:$A$5001,Z$3,BD!$B$3:$B$5001,$A$369,BD!$AF$3:$AF$5001,"&lt;&gt;")=0,"",SUMIFS(BD!$AF$3:$AF$5001,BD!$A$3:$A$5001,Z$3,BD!$B$3:$B$5001,$A$369)))</f>
        <v/>
      </c>
      <c r="AA399" s="236" t="str">
        <f>IF(AA$3="","",IF(COUNTIFS(BD!$A$3:$A$5001,AA$3,BD!$B$3:$B$5001,$A$369,BD!$AF$3:$AF$5001,"&lt;&gt;")=0,"",SUMIFS(BD!$AF$3:$AF$5001,BD!$A$3:$A$5001,AA$3,BD!$B$3:$B$5001,$A$369)))</f>
        <v/>
      </c>
      <c r="AB399" s="236" t="str">
        <f>IF(AB$3="","",IF(COUNTIFS(BD!$A$3:$A$5001,AB$3,BD!$B$3:$B$5001,$A$369,BD!$AF$3:$AF$5001,"&lt;&gt;")=0,"",SUMIFS(BD!$AF$3:$AF$5001,BD!$A$3:$A$5001,AB$3,BD!$B$3:$B$5001,$A$369)))</f>
        <v/>
      </c>
      <c r="AC399" s="236" t="str">
        <f>IF(AC$3="","",IF(COUNTIFS(BD!$A$3:$A$5001,AC$3,BD!$B$3:$B$5001,$A$369,BD!$AF$3:$AF$5001,"&lt;&gt;")=0,"",SUMIFS(BD!$AF$3:$AF$5001,BD!$A$3:$A$5001,AC$3,BD!$B$3:$B$5001,$A$369)))</f>
        <v/>
      </c>
      <c r="AD399" s="236" t="str">
        <f>IF(AD$3="","",IF(COUNTIFS(BD!$A$3:$A$5001,AD$3,BD!$B$3:$B$5001,$A$369,BD!$AF$3:$AF$5001,"&lt;&gt;")=0,"",SUMIFS(BD!$AF$3:$AF$5001,BD!$A$3:$A$5001,AD$3,BD!$B$3:$B$5001,$A$369)))</f>
        <v/>
      </c>
      <c r="AE399" s="236" t="str">
        <f>IF(AE$3="","",IF(COUNTIFS(BD!$A$3:$A$5001,AE$3,BD!$B$3:$B$5001,$A$369,BD!$AF$3:$AF$5001,"&lt;&gt;")=0,"",SUMIFS(BD!$AF$3:$AF$5001,BD!$A$3:$A$5001,AE$3,BD!$B$3:$B$5001,$A$369)))</f>
        <v/>
      </c>
      <c r="AF399" s="236" t="str">
        <f>IF(AF$3="","",IF(COUNTIFS(BD!$A$3:$A$5001,AF$3,BD!$B$3:$B$5001,$A$369,BD!$AF$3:$AF$5001,"&lt;&gt;")=0,"",SUMIFS(BD!$AF$3:$AF$5001,BD!$A$3:$A$5001,AF$3,BD!$B$3:$B$5001,$A$369)))</f>
        <v/>
      </c>
      <c r="AG399" s="236" t="str">
        <f>IF(AG$3="","",IF(COUNTIFS(BD!$A$3:$A$5001,AG$3,BD!$B$3:$B$5001,$A$369,BD!$AF$3:$AF$5001,"&lt;&gt;")=0,"",SUMIFS(BD!$AF$3:$AF$5001,BD!$A$3:$A$5001,AG$3,BD!$B$3:$B$5001,$A$369)))</f>
        <v/>
      </c>
      <c r="AH399" s="236" t="str">
        <f>IF(AH$3="","",IF(COUNTIFS(BD!$A$3:$A$5001,AH$3,BD!$B$3:$B$5001,$A$369,BD!$AF$3:$AF$5001,"&lt;&gt;")=0,"",SUMIFS(BD!$AF$3:$AF$5001,BD!$A$3:$A$5001,AH$3,BD!$B$3:$B$5001,$A$369)))</f>
        <v/>
      </c>
      <c r="AI399" s="236" t="str">
        <f>IF(AI$3="","",IF(COUNTIFS(BD!$A$3:$A$5001,AI$3,BD!$B$3:$B$5001,$A$369,BD!$AF$3:$AF$5001,"&lt;&gt;")=0,"",SUMIFS(BD!$AF$3:$AF$5001,BD!$A$3:$A$5001,AI$3,BD!$B$3:$B$5001,$A$369)))</f>
        <v/>
      </c>
      <c r="AJ399" s="237" t="str">
        <f>IF(AJ$3="","",IF(COUNTIFS(BD!$A$3:$A$5001,AJ$3,BD!$B$3:$B$5001,$A$369,BD!$AF$3:$AF$5001,"&lt;&gt;")=0,"",SUMIFS(BD!$AF$3:$AF$5001,BD!$A$3:$A$5001,AJ$3,BD!$B$3:$B$5001,$A$369)))</f>
        <v/>
      </c>
      <c r="AK399" s="238" t="str">
        <f>IF(COUNT(F399:AJ399)=0,"",SUM(F399:AJ399))</f>
        <v/>
      </c>
    </row>
    <row r="400" ht="15.75" customHeight="1" hidden="1">
      <c r="A400" s="261"/>
      <c r="B400" s="258"/>
      <c r="C400" s="232" t="inlineStr">
        <is>
          <t xml:space="preserve">Acidentes CAF</t>
        </is>
      </c>
      <c r="D400" s="233" t="str">
        <f>IFERROR(1/(1/INDEX(BD!$AL$54:$BF$54,MATCH($A$369,BD!$AL$22:$BF$22,0))),"")</f>
        <v/>
      </c>
      <c r="E400" s="234"/>
      <c r="F400" s="235" t="str">
        <f>IF(F$3="","",IF(COUNTIFS(BD!$A$3:$A$5001,F$3,BD!$B$3:$B$5001,$A$369,BD!$AG$3:$AG$5001,"&lt;&gt;")=0,"",SUMIFS(BD!$AG$3:$AG$5001,BD!$A$3:$A$5001,F$3,BD!$B$3:$B$5001,$A$369)))</f>
        <v/>
      </c>
      <c r="G400" s="236" t="str">
        <f>IF(G$3="","",IF(COUNTIFS(BD!$A$3:$A$5001,G$3,BD!$B$3:$B$5001,$A$369,BD!$AG$3:$AG$5001,"&lt;&gt;")=0,"",SUMIFS(BD!$AG$3:$AG$5001,BD!$A$3:$A$5001,G$3,BD!$B$3:$B$5001,$A$369)))</f>
        <v/>
      </c>
      <c r="H400" s="236" t="str">
        <f>IF(H$3="","",IF(COUNTIFS(BD!$A$3:$A$5001,H$3,BD!$B$3:$B$5001,$A$369,BD!$AG$3:$AG$5001,"&lt;&gt;")=0,"",SUMIFS(BD!$AG$3:$AG$5001,BD!$A$3:$A$5001,H$3,BD!$B$3:$B$5001,$A$369)))</f>
        <v/>
      </c>
      <c r="I400" s="236" t="str">
        <f>IF(I$3="","",IF(COUNTIFS(BD!$A$3:$A$5001,I$3,BD!$B$3:$B$5001,$A$369,BD!$AG$3:$AG$5001,"&lt;&gt;")=0,"",SUMIFS(BD!$AG$3:$AG$5001,BD!$A$3:$A$5001,I$3,BD!$B$3:$B$5001,$A$369)))</f>
        <v/>
      </c>
      <c r="J400" s="236" t="str">
        <f>IF(J$3="","",IF(COUNTIFS(BD!$A$3:$A$5001,J$3,BD!$B$3:$B$5001,$A$369,BD!$AG$3:$AG$5001,"&lt;&gt;")=0,"",SUMIFS(BD!$AG$3:$AG$5001,BD!$A$3:$A$5001,J$3,BD!$B$3:$B$5001,$A$369)))</f>
        <v/>
      </c>
      <c r="K400" s="236" t="str">
        <f>IF(K$3="","",IF(COUNTIFS(BD!$A$3:$A$5001,K$3,BD!$B$3:$B$5001,$A$369,BD!$AG$3:$AG$5001,"&lt;&gt;")=0,"",SUMIFS(BD!$AG$3:$AG$5001,BD!$A$3:$A$5001,K$3,BD!$B$3:$B$5001,$A$369)))</f>
        <v/>
      </c>
      <c r="L400" s="236" t="str">
        <f>IF(L$3="","",IF(COUNTIFS(BD!$A$3:$A$5001,L$3,BD!$B$3:$B$5001,$A$369,BD!$AG$3:$AG$5001,"&lt;&gt;")=0,"",SUMIFS(BD!$AG$3:$AG$5001,BD!$A$3:$A$5001,L$3,BD!$B$3:$B$5001,$A$369)))</f>
        <v/>
      </c>
      <c r="M400" s="236" t="str">
        <f>IF(M$3="","",IF(COUNTIFS(BD!$A$3:$A$5001,M$3,BD!$B$3:$B$5001,$A$369,BD!$AG$3:$AG$5001,"&lt;&gt;")=0,"",SUMIFS(BD!$AG$3:$AG$5001,BD!$A$3:$A$5001,M$3,BD!$B$3:$B$5001,$A$369)))</f>
        <v/>
      </c>
      <c r="N400" s="236" t="str">
        <f>IF(N$3="","",IF(COUNTIFS(BD!$A$3:$A$5001,N$3,BD!$B$3:$B$5001,$A$369,BD!$AG$3:$AG$5001,"&lt;&gt;")=0,"",SUMIFS(BD!$AG$3:$AG$5001,BD!$A$3:$A$5001,N$3,BD!$B$3:$B$5001,$A$369)))</f>
        <v/>
      </c>
      <c r="O400" s="236" t="str">
        <f>IF(O$3="","",IF(COUNTIFS(BD!$A$3:$A$5001,O$3,BD!$B$3:$B$5001,$A$369,BD!$AG$3:$AG$5001,"&lt;&gt;")=0,"",SUMIFS(BD!$AG$3:$AG$5001,BD!$A$3:$A$5001,O$3,BD!$B$3:$B$5001,$A$369)))</f>
        <v/>
      </c>
      <c r="P400" s="236" t="str">
        <f>IF(P$3="","",IF(COUNTIFS(BD!$A$3:$A$5001,P$3,BD!$B$3:$B$5001,$A$369,BD!$AG$3:$AG$5001,"&lt;&gt;")=0,"",SUMIFS(BD!$AG$3:$AG$5001,BD!$A$3:$A$5001,P$3,BD!$B$3:$B$5001,$A$369)))</f>
        <v/>
      </c>
      <c r="Q400" s="236" t="str">
        <f>IF(Q$3="","",IF(COUNTIFS(BD!$A$3:$A$5001,Q$3,BD!$B$3:$B$5001,$A$369,BD!$AG$3:$AG$5001,"&lt;&gt;")=0,"",SUMIFS(BD!$AG$3:$AG$5001,BD!$A$3:$A$5001,Q$3,BD!$B$3:$B$5001,$A$369)))</f>
        <v/>
      </c>
      <c r="R400" s="236" t="str">
        <f>IF(R$3="","",IF(COUNTIFS(BD!$A$3:$A$5001,R$3,BD!$B$3:$B$5001,$A$369,BD!$AG$3:$AG$5001,"&lt;&gt;")=0,"",SUMIFS(BD!$AG$3:$AG$5001,BD!$A$3:$A$5001,R$3,BD!$B$3:$B$5001,$A$369)))</f>
        <v/>
      </c>
      <c r="S400" s="236" t="str">
        <f>IF(S$3="","",IF(COUNTIFS(BD!$A$3:$A$5001,S$3,BD!$B$3:$B$5001,$A$369,BD!$AG$3:$AG$5001,"&lt;&gt;")=0,"",SUMIFS(BD!$AG$3:$AG$5001,BD!$A$3:$A$5001,S$3,BD!$B$3:$B$5001,$A$369)))</f>
        <v/>
      </c>
      <c r="T400" s="236" t="str">
        <f>IF(T$3="","",IF(COUNTIFS(BD!$A$3:$A$5001,T$3,BD!$B$3:$B$5001,$A$369,BD!$AG$3:$AG$5001,"&lt;&gt;")=0,"",SUMIFS(BD!$AG$3:$AG$5001,BD!$A$3:$A$5001,T$3,BD!$B$3:$B$5001,$A$369)))</f>
        <v/>
      </c>
      <c r="U400" s="236" t="str">
        <f>IF(U$3="","",IF(COUNTIFS(BD!$A$3:$A$5001,U$3,BD!$B$3:$B$5001,$A$369,BD!$AG$3:$AG$5001,"&lt;&gt;")=0,"",SUMIFS(BD!$AG$3:$AG$5001,BD!$A$3:$A$5001,U$3,BD!$B$3:$B$5001,$A$369)))</f>
        <v/>
      </c>
      <c r="V400" s="236" t="str">
        <f>IF(V$3="","",IF(COUNTIFS(BD!$A$3:$A$5001,V$3,BD!$B$3:$B$5001,$A$369,BD!$AG$3:$AG$5001,"&lt;&gt;")=0,"",SUMIFS(BD!$AG$3:$AG$5001,BD!$A$3:$A$5001,V$3,BD!$B$3:$B$5001,$A$369)))</f>
        <v/>
      </c>
      <c r="W400" s="236" t="str">
        <f>IF(W$3="","",IF(COUNTIFS(BD!$A$3:$A$5001,W$3,BD!$B$3:$B$5001,$A$369,BD!$AG$3:$AG$5001,"&lt;&gt;")=0,"",SUMIFS(BD!$AG$3:$AG$5001,BD!$A$3:$A$5001,W$3,BD!$B$3:$B$5001,$A$369)))</f>
        <v/>
      </c>
      <c r="X400" s="236" t="str">
        <f>IF(X$3="","",IF(COUNTIFS(BD!$A$3:$A$5001,X$3,BD!$B$3:$B$5001,$A$369,BD!$AG$3:$AG$5001,"&lt;&gt;")=0,"",SUMIFS(BD!$AG$3:$AG$5001,BD!$A$3:$A$5001,X$3,BD!$B$3:$B$5001,$A$369)))</f>
        <v/>
      </c>
      <c r="Y400" s="236" t="str">
        <f>IF(Y$3="","",IF(COUNTIFS(BD!$A$3:$A$5001,Y$3,BD!$B$3:$B$5001,$A$369,BD!$AG$3:$AG$5001,"&lt;&gt;")=0,"",SUMIFS(BD!$AG$3:$AG$5001,BD!$A$3:$A$5001,Y$3,BD!$B$3:$B$5001,$A$369)))</f>
        <v/>
      </c>
      <c r="Z400" s="236" t="str">
        <f>IF(Z$3="","",IF(COUNTIFS(BD!$A$3:$A$5001,Z$3,BD!$B$3:$B$5001,$A$369,BD!$AG$3:$AG$5001,"&lt;&gt;")=0,"",SUMIFS(BD!$AG$3:$AG$5001,BD!$A$3:$A$5001,Z$3,BD!$B$3:$B$5001,$A$369)))</f>
        <v/>
      </c>
      <c r="AA400" s="236" t="str">
        <f>IF(AA$3="","",IF(COUNTIFS(BD!$A$3:$A$5001,AA$3,BD!$B$3:$B$5001,$A$369,BD!$AG$3:$AG$5001,"&lt;&gt;")=0,"",SUMIFS(BD!$AG$3:$AG$5001,BD!$A$3:$A$5001,AA$3,BD!$B$3:$B$5001,$A$369)))</f>
        <v/>
      </c>
      <c r="AB400" s="236" t="str">
        <f>IF(AB$3="","",IF(COUNTIFS(BD!$A$3:$A$5001,AB$3,BD!$B$3:$B$5001,$A$369,BD!$AG$3:$AG$5001,"&lt;&gt;")=0,"",SUMIFS(BD!$AG$3:$AG$5001,BD!$A$3:$A$5001,AB$3,BD!$B$3:$B$5001,$A$369)))</f>
        <v/>
      </c>
      <c r="AC400" s="236" t="str">
        <f>IF(AC$3="","",IF(COUNTIFS(BD!$A$3:$A$5001,AC$3,BD!$B$3:$B$5001,$A$369,BD!$AG$3:$AG$5001,"&lt;&gt;")=0,"",SUMIFS(BD!$AG$3:$AG$5001,BD!$A$3:$A$5001,AC$3,BD!$B$3:$B$5001,$A$369)))</f>
        <v/>
      </c>
      <c r="AD400" s="236" t="str">
        <f>IF(AD$3="","",IF(COUNTIFS(BD!$A$3:$A$5001,AD$3,BD!$B$3:$B$5001,$A$369,BD!$AG$3:$AG$5001,"&lt;&gt;")=0,"",SUMIFS(BD!$AG$3:$AG$5001,BD!$A$3:$A$5001,AD$3,BD!$B$3:$B$5001,$A$369)))</f>
        <v/>
      </c>
      <c r="AE400" s="236" t="str">
        <f>IF(AE$3="","",IF(COUNTIFS(BD!$A$3:$A$5001,AE$3,BD!$B$3:$B$5001,$A$369,BD!$AG$3:$AG$5001,"&lt;&gt;")=0,"",SUMIFS(BD!$AG$3:$AG$5001,BD!$A$3:$A$5001,AE$3,BD!$B$3:$B$5001,$A$369)))</f>
        <v/>
      </c>
      <c r="AF400" s="236" t="str">
        <f>IF(AF$3="","",IF(COUNTIFS(BD!$A$3:$A$5001,AF$3,BD!$B$3:$B$5001,$A$369,BD!$AG$3:$AG$5001,"&lt;&gt;")=0,"",SUMIFS(BD!$AG$3:$AG$5001,BD!$A$3:$A$5001,AF$3,BD!$B$3:$B$5001,$A$369)))</f>
        <v/>
      </c>
      <c r="AG400" s="236" t="str">
        <f>IF(AG$3="","",IF(COUNTIFS(BD!$A$3:$A$5001,AG$3,BD!$B$3:$B$5001,$A$369,BD!$AG$3:$AG$5001,"&lt;&gt;")=0,"",SUMIFS(BD!$AG$3:$AG$5001,BD!$A$3:$A$5001,AG$3,BD!$B$3:$B$5001,$A$369)))</f>
        <v/>
      </c>
      <c r="AH400" s="236" t="str">
        <f>IF(AH$3="","",IF(COUNTIFS(BD!$A$3:$A$5001,AH$3,BD!$B$3:$B$5001,$A$369,BD!$AG$3:$AG$5001,"&lt;&gt;")=0,"",SUMIFS(BD!$AG$3:$AG$5001,BD!$A$3:$A$5001,AH$3,BD!$B$3:$B$5001,$A$369)))</f>
        <v/>
      </c>
      <c r="AI400" s="236" t="str">
        <f>IF(AI$3="","",IF(COUNTIFS(BD!$A$3:$A$5001,AI$3,BD!$B$3:$B$5001,$A$369,BD!$AG$3:$AG$5001,"&lt;&gt;")=0,"",SUMIFS(BD!$AG$3:$AG$5001,BD!$A$3:$A$5001,AI$3,BD!$B$3:$B$5001,$A$369)))</f>
        <v/>
      </c>
      <c r="AJ400" s="237" t="str">
        <f>IF(AJ$3="","",IF(COUNTIFS(BD!$A$3:$A$5001,AJ$3,BD!$B$3:$B$5001,$A$369,BD!$AG$3:$AG$5001,"&lt;&gt;")=0,"",SUMIFS(BD!$AG$3:$AG$5001,BD!$A$3:$A$5001,AJ$3,BD!$B$3:$B$5001,$A$369)))</f>
        <v/>
      </c>
      <c r="AK400" s="238" t="str">
        <f>IF(COUNT(F400:AJ400)=0,"",SUM(F400:AJ400))</f>
        <v/>
      </c>
    </row>
    <row r="401" ht="15.75" customHeight="1" hidden="1">
      <c r="A401" s="262"/>
      <c r="B401" s="259"/>
      <c r="C401" s="243" t="inlineStr">
        <is>
          <t xml:space="preserve">Acidentes SAF</t>
        </is>
      </c>
      <c r="D401" s="244" t="str">
        <f>IFERROR(1/(1/INDEX(BD!$AL$55:$BF$55,MATCH($A$369,BD!$AL$22:$BF$22,0))),"")</f>
        <v/>
      </c>
      <c r="E401" s="245"/>
      <c r="F401" s="246" t="str">
        <f>IF(F$3="","",IF(COUNTIFS(BD!$A$3:$A$5001,F$3,BD!$B$3:$B$5001,$A$369,BD!$AH$3:$AH$5001,"&lt;&gt;")=0,"",SUMIFS(BD!$AH$3:$AH$5001,BD!$A$3:$A$5001,F$3,BD!$B$3:$B$5001,$A$369)))</f>
        <v/>
      </c>
      <c r="G401" s="247" t="str">
        <f>IF(G$3="","",IF(COUNTIFS(BD!$A$3:$A$5001,G$3,BD!$B$3:$B$5001,$A$369,BD!$AH$3:$AH$5001,"&lt;&gt;")=0,"",SUMIFS(BD!$AH$3:$AH$5001,BD!$A$3:$A$5001,G$3,BD!$B$3:$B$5001,$A$369)))</f>
        <v/>
      </c>
      <c r="H401" s="247" t="str">
        <f>IF(H$3="","",IF(COUNTIFS(BD!$A$3:$A$5001,H$3,BD!$B$3:$B$5001,$A$369,BD!$AH$3:$AH$5001,"&lt;&gt;")=0,"",SUMIFS(BD!$AH$3:$AH$5001,BD!$A$3:$A$5001,H$3,BD!$B$3:$B$5001,$A$369)))</f>
        <v/>
      </c>
      <c r="I401" s="247" t="str">
        <f>IF(I$3="","",IF(COUNTIFS(BD!$A$3:$A$5001,I$3,BD!$B$3:$B$5001,$A$369,BD!$AH$3:$AH$5001,"&lt;&gt;")=0,"",SUMIFS(BD!$AH$3:$AH$5001,BD!$A$3:$A$5001,I$3,BD!$B$3:$B$5001,$A$369)))</f>
        <v/>
      </c>
      <c r="J401" s="247" t="str">
        <f>IF(J$3="","",IF(COUNTIFS(BD!$A$3:$A$5001,J$3,BD!$B$3:$B$5001,$A$369,BD!$AH$3:$AH$5001,"&lt;&gt;")=0,"",SUMIFS(BD!$AH$3:$AH$5001,BD!$A$3:$A$5001,J$3,BD!$B$3:$B$5001,$A$369)))</f>
        <v/>
      </c>
      <c r="K401" s="247" t="str">
        <f>IF(K$3="","",IF(COUNTIFS(BD!$A$3:$A$5001,K$3,BD!$B$3:$B$5001,$A$369,BD!$AH$3:$AH$5001,"&lt;&gt;")=0,"",SUMIFS(BD!$AH$3:$AH$5001,BD!$A$3:$A$5001,K$3,BD!$B$3:$B$5001,$A$369)))</f>
        <v/>
      </c>
      <c r="L401" s="247" t="str">
        <f>IF(L$3="","",IF(COUNTIFS(BD!$A$3:$A$5001,L$3,BD!$B$3:$B$5001,$A$369,BD!$AH$3:$AH$5001,"&lt;&gt;")=0,"",SUMIFS(BD!$AH$3:$AH$5001,BD!$A$3:$A$5001,L$3,BD!$B$3:$B$5001,$A$369)))</f>
        <v/>
      </c>
      <c r="M401" s="247" t="str">
        <f>IF(M$3="","",IF(COUNTIFS(BD!$A$3:$A$5001,M$3,BD!$B$3:$B$5001,$A$369,BD!$AH$3:$AH$5001,"&lt;&gt;")=0,"",SUMIFS(BD!$AH$3:$AH$5001,BD!$A$3:$A$5001,M$3,BD!$B$3:$B$5001,$A$369)))</f>
        <v/>
      </c>
      <c r="N401" s="247" t="str">
        <f>IF(N$3="","",IF(COUNTIFS(BD!$A$3:$A$5001,N$3,BD!$B$3:$B$5001,$A$369,BD!$AH$3:$AH$5001,"&lt;&gt;")=0,"",SUMIFS(BD!$AH$3:$AH$5001,BD!$A$3:$A$5001,N$3,BD!$B$3:$B$5001,$A$369)))</f>
        <v/>
      </c>
      <c r="O401" s="247" t="str">
        <f>IF(O$3="","",IF(COUNTIFS(BD!$A$3:$A$5001,O$3,BD!$B$3:$B$5001,$A$369,BD!$AH$3:$AH$5001,"&lt;&gt;")=0,"",SUMIFS(BD!$AH$3:$AH$5001,BD!$A$3:$A$5001,O$3,BD!$B$3:$B$5001,$A$369)))</f>
        <v/>
      </c>
      <c r="P401" s="247" t="str">
        <f>IF(P$3="","",IF(COUNTIFS(BD!$A$3:$A$5001,P$3,BD!$B$3:$B$5001,$A$369,BD!$AH$3:$AH$5001,"&lt;&gt;")=0,"",SUMIFS(BD!$AH$3:$AH$5001,BD!$A$3:$A$5001,P$3,BD!$B$3:$B$5001,$A$369)))</f>
        <v/>
      </c>
      <c r="Q401" s="247" t="str">
        <f>IF(Q$3="","",IF(COUNTIFS(BD!$A$3:$A$5001,Q$3,BD!$B$3:$B$5001,$A$369,BD!$AH$3:$AH$5001,"&lt;&gt;")=0,"",SUMIFS(BD!$AH$3:$AH$5001,BD!$A$3:$A$5001,Q$3,BD!$B$3:$B$5001,$A$369)))</f>
        <v/>
      </c>
      <c r="R401" s="247" t="str">
        <f>IF(R$3="","",IF(COUNTIFS(BD!$A$3:$A$5001,R$3,BD!$B$3:$B$5001,$A$369,BD!$AH$3:$AH$5001,"&lt;&gt;")=0,"",SUMIFS(BD!$AH$3:$AH$5001,BD!$A$3:$A$5001,R$3,BD!$B$3:$B$5001,$A$369)))</f>
        <v/>
      </c>
      <c r="S401" s="247" t="str">
        <f>IF(S$3="","",IF(COUNTIFS(BD!$A$3:$A$5001,S$3,BD!$B$3:$B$5001,$A$369,BD!$AH$3:$AH$5001,"&lt;&gt;")=0,"",SUMIFS(BD!$AH$3:$AH$5001,BD!$A$3:$A$5001,S$3,BD!$B$3:$B$5001,$A$369)))</f>
        <v/>
      </c>
      <c r="T401" s="247" t="str">
        <f>IF(T$3="","",IF(COUNTIFS(BD!$A$3:$A$5001,T$3,BD!$B$3:$B$5001,$A$369,BD!$AH$3:$AH$5001,"&lt;&gt;")=0,"",SUMIFS(BD!$AH$3:$AH$5001,BD!$A$3:$A$5001,T$3,BD!$B$3:$B$5001,$A$369)))</f>
        <v/>
      </c>
      <c r="U401" s="247" t="str">
        <f>IF(U$3="","",IF(COUNTIFS(BD!$A$3:$A$5001,U$3,BD!$B$3:$B$5001,$A$369,BD!$AH$3:$AH$5001,"&lt;&gt;")=0,"",SUMIFS(BD!$AH$3:$AH$5001,BD!$A$3:$A$5001,U$3,BD!$B$3:$B$5001,$A$369)))</f>
        <v/>
      </c>
      <c r="V401" s="247" t="str">
        <f>IF(V$3="","",IF(COUNTIFS(BD!$A$3:$A$5001,V$3,BD!$B$3:$B$5001,$A$369,BD!$AH$3:$AH$5001,"&lt;&gt;")=0,"",SUMIFS(BD!$AH$3:$AH$5001,BD!$A$3:$A$5001,V$3,BD!$B$3:$B$5001,$A$369)))</f>
        <v/>
      </c>
      <c r="W401" s="247" t="str">
        <f>IF(W$3="","",IF(COUNTIFS(BD!$A$3:$A$5001,W$3,BD!$B$3:$B$5001,$A$369,BD!$AH$3:$AH$5001,"&lt;&gt;")=0,"",SUMIFS(BD!$AH$3:$AH$5001,BD!$A$3:$A$5001,W$3,BD!$B$3:$B$5001,$A$369)))</f>
        <v/>
      </c>
      <c r="X401" s="247" t="str">
        <f>IF(X$3="","",IF(COUNTIFS(BD!$A$3:$A$5001,X$3,BD!$B$3:$B$5001,$A$369,BD!$AH$3:$AH$5001,"&lt;&gt;")=0,"",SUMIFS(BD!$AH$3:$AH$5001,BD!$A$3:$A$5001,X$3,BD!$B$3:$B$5001,$A$369)))</f>
        <v/>
      </c>
      <c r="Y401" s="247" t="str">
        <f>IF(Y$3="","",IF(COUNTIFS(BD!$A$3:$A$5001,Y$3,BD!$B$3:$B$5001,$A$369,BD!$AH$3:$AH$5001,"&lt;&gt;")=0,"",SUMIFS(BD!$AH$3:$AH$5001,BD!$A$3:$A$5001,Y$3,BD!$B$3:$B$5001,$A$369)))</f>
        <v/>
      </c>
      <c r="Z401" s="247" t="str">
        <f>IF(Z$3="","",IF(COUNTIFS(BD!$A$3:$A$5001,Z$3,BD!$B$3:$B$5001,$A$369,BD!$AH$3:$AH$5001,"&lt;&gt;")=0,"",SUMIFS(BD!$AH$3:$AH$5001,BD!$A$3:$A$5001,Z$3,BD!$B$3:$B$5001,$A$369)))</f>
        <v/>
      </c>
      <c r="AA401" s="247" t="str">
        <f>IF(AA$3="","",IF(COUNTIFS(BD!$A$3:$A$5001,AA$3,BD!$B$3:$B$5001,$A$369,BD!$AH$3:$AH$5001,"&lt;&gt;")=0,"",SUMIFS(BD!$AH$3:$AH$5001,BD!$A$3:$A$5001,AA$3,BD!$B$3:$B$5001,$A$369)))</f>
        <v/>
      </c>
      <c r="AB401" s="247" t="str">
        <f>IF(AB$3="","",IF(COUNTIFS(BD!$A$3:$A$5001,AB$3,BD!$B$3:$B$5001,$A$369,BD!$AH$3:$AH$5001,"&lt;&gt;")=0,"",SUMIFS(BD!$AH$3:$AH$5001,BD!$A$3:$A$5001,AB$3,BD!$B$3:$B$5001,$A$369)))</f>
        <v/>
      </c>
      <c r="AC401" s="247" t="str">
        <f>IF(AC$3="","",IF(COUNTIFS(BD!$A$3:$A$5001,AC$3,BD!$B$3:$B$5001,$A$369,BD!$AH$3:$AH$5001,"&lt;&gt;")=0,"",SUMIFS(BD!$AH$3:$AH$5001,BD!$A$3:$A$5001,AC$3,BD!$B$3:$B$5001,$A$369)))</f>
        <v/>
      </c>
      <c r="AD401" s="247" t="str">
        <f>IF(AD$3="","",IF(COUNTIFS(BD!$A$3:$A$5001,AD$3,BD!$B$3:$B$5001,$A$369,BD!$AH$3:$AH$5001,"&lt;&gt;")=0,"",SUMIFS(BD!$AH$3:$AH$5001,BD!$A$3:$A$5001,AD$3,BD!$B$3:$B$5001,$A$369)))</f>
        <v/>
      </c>
      <c r="AE401" s="247" t="str">
        <f>IF(AE$3="","",IF(COUNTIFS(BD!$A$3:$A$5001,AE$3,BD!$B$3:$B$5001,$A$369,BD!$AH$3:$AH$5001,"&lt;&gt;")=0,"",SUMIFS(BD!$AH$3:$AH$5001,BD!$A$3:$A$5001,AE$3,BD!$B$3:$B$5001,$A$369)))</f>
        <v/>
      </c>
      <c r="AF401" s="247" t="str">
        <f>IF(AF$3="","",IF(COUNTIFS(BD!$A$3:$A$5001,AF$3,BD!$B$3:$B$5001,$A$369,BD!$AH$3:$AH$5001,"&lt;&gt;")=0,"",SUMIFS(BD!$AH$3:$AH$5001,BD!$A$3:$A$5001,AF$3,BD!$B$3:$B$5001,$A$369)))</f>
        <v/>
      </c>
      <c r="AG401" s="247" t="str">
        <f>IF(AG$3="","",IF(COUNTIFS(BD!$A$3:$A$5001,AG$3,BD!$B$3:$B$5001,$A$369,BD!$AH$3:$AH$5001,"&lt;&gt;")=0,"",SUMIFS(BD!$AH$3:$AH$5001,BD!$A$3:$A$5001,AG$3,BD!$B$3:$B$5001,$A$369)))</f>
        <v/>
      </c>
      <c r="AH401" s="247" t="str">
        <f>IF(AH$3="","",IF(COUNTIFS(BD!$A$3:$A$5001,AH$3,BD!$B$3:$B$5001,$A$369,BD!$AH$3:$AH$5001,"&lt;&gt;")=0,"",SUMIFS(BD!$AH$3:$AH$5001,BD!$A$3:$A$5001,AH$3,BD!$B$3:$B$5001,$A$369)))</f>
        <v/>
      </c>
      <c r="AI401" s="247" t="str">
        <f>IF(AI$3="","",IF(COUNTIFS(BD!$A$3:$A$5001,AI$3,BD!$B$3:$B$5001,$A$369,BD!$AH$3:$AH$5001,"&lt;&gt;")=0,"",SUMIFS(BD!$AH$3:$AH$5001,BD!$A$3:$A$5001,AI$3,BD!$B$3:$B$5001,$A$369)))</f>
        <v/>
      </c>
      <c r="AJ401" s="248" t="str">
        <f>IF(AJ$3="","",IF(COUNTIFS(BD!$A$3:$A$5001,AJ$3,BD!$B$3:$B$5001,$A$369,BD!$AH$3:$AH$5001,"&lt;&gt;")=0,"",SUMIFS(BD!$AH$3:$AH$5001,BD!$A$3:$A$5001,AJ$3,BD!$B$3:$B$5001,$A$369)))</f>
        <v/>
      </c>
      <c r="AK401" s="244" t="str">
        <f>IF(COUNT(F401:AJ401)=0,"",SUM(F401:AJ401))</f>
        <v/>
      </c>
    </row>
    <row r="403" ht="15.75" customHeight="1" hidden="1">
      <c r="A403" s="260"/>
      <c r="B403" s="249" t="inlineStr">
        <is>
          <t xml:space="preserve">IN</t>
        </is>
      </c>
      <c r="C403" s="168" t="inlineStr">
        <is>
          <t xml:space="preserve">Veículos Recebidos</t>
        </is>
      </c>
      <c r="D403" s="169" t="str">
        <f>IFERROR(1/(1/INDEX(BD!$AL$23:$BF$23,MATCH($A$403,BD!$AL$22:$BF$22,0))),"")</f>
        <v/>
      </c>
      <c r="E403" s="170"/>
      <c r="F403" s="171" t="str">
        <f>IF(F$3="","",IF(COUNTIFS(BD!$A$3:$A$5001,F$3,BD!$B$3:$B$5001,$A$403,BD!$C$3:$C$5001,"&lt;&gt;")=0,"",SUMIFS(BD!$C$3:$C$5001,BD!$A$3:$A$5001,F$3,BD!$B$3:$B$5001,$A$403)))</f>
        <v/>
      </c>
      <c r="G403" s="172" t="str">
        <f>IF(G$3="","",IF(COUNTIFS(BD!$A$3:$A$5001,G$3,BD!$B$3:$B$5001,$A$403,BD!$C$3:$C$5001,"&lt;&gt;")=0,"",SUMIFS(BD!$C$3:$C$5001,BD!$A$3:$A$5001,G$3,BD!$B$3:$B$5001,$A$403)))</f>
        <v/>
      </c>
      <c r="H403" s="172" t="str">
        <f>IF(H$3="","",IF(COUNTIFS(BD!$A$3:$A$5001,H$3,BD!$B$3:$B$5001,$A$403,BD!$C$3:$C$5001,"&lt;&gt;")=0,"",SUMIFS(BD!$C$3:$C$5001,BD!$A$3:$A$5001,H$3,BD!$B$3:$B$5001,$A$403)))</f>
        <v/>
      </c>
      <c r="I403" s="172" t="str">
        <f>IF(I$3="","",IF(COUNTIFS(BD!$A$3:$A$5001,I$3,BD!$B$3:$B$5001,$A$403,BD!$C$3:$C$5001,"&lt;&gt;")=0,"",SUMIFS(BD!$C$3:$C$5001,BD!$A$3:$A$5001,I$3,BD!$B$3:$B$5001,$A$403)))</f>
        <v/>
      </c>
      <c r="J403" s="172" t="str">
        <f>IF(J$3="","",IF(COUNTIFS(BD!$A$3:$A$5001,J$3,BD!$B$3:$B$5001,$A$403,BD!$C$3:$C$5001,"&lt;&gt;")=0,"",SUMIFS(BD!$C$3:$C$5001,BD!$A$3:$A$5001,J$3,BD!$B$3:$B$5001,$A$403)))</f>
        <v/>
      </c>
      <c r="K403" s="172" t="str">
        <f>IF(K$3="","",IF(COUNTIFS(BD!$A$3:$A$5001,K$3,BD!$B$3:$B$5001,$A$403,BD!$C$3:$C$5001,"&lt;&gt;")=0,"",SUMIFS(BD!$C$3:$C$5001,BD!$A$3:$A$5001,K$3,BD!$B$3:$B$5001,$A$403)))</f>
        <v/>
      </c>
      <c r="L403" s="172" t="str">
        <f>IF(L$3="","",IF(COUNTIFS(BD!$A$3:$A$5001,L$3,BD!$B$3:$B$5001,$A$403,BD!$C$3:$C$5001,"&lt;&gt;")=0,"",SUMIFS(BD!$C$3:$C$5001,BD!$A$3:$A$5001,L$3,BD!$B$3:$B$5001,$A$403)))</f>
        <v/>
      </c>
      <c r="M403" s="172" t="str">
        <f>IF(M$3="","",IF(COUNTIFS(BD!$A$3:$A$5001,M$3,BD!$B$3:$B$5001,$A$403,BD!$C$3:$C$5001,"&lt;&gt;")=0,"",SUMIFS(BD!$C$3:$C$5001,BD!$A$3:$A$5001,M$3,BD!$B$3:$B$5001,$A$403)))</f>
        <v/>
      </c>
      <c r="N403" s="172" t="str">
        <f>IF(N$3="","",IF(COUNTIFS(BD!$A$3:$A$5001,N$3,BD!$B$3:$B$5001,$A$403,BD!$C$3:$C$5001,"&lt;&gt;")=0,"",SUMIFS(BD!$C$3:$C$5001,BD!$A$3:$A$5001,N$3,BD!$B$3:$B$5001,$A$403)))</f>
        <v/>
      </c>
      <c r="O403" s="172" t="str">
        <f>IF(O$3="","",IF(COUNTIFS(BD!$A$3:$A$5001,O$3,BD!$B$3:$B$5001,$A$403,BD!$C$3:$C$5001,"&lt;&gt;")=0,"",SUMIFS(BD!$C$3:$C$5001,BD!$A$3:$A$5001,O$3,BD!$B$3:$B$5001,$A$403)))</f>
        <v/>
      </c>
      <c r="P403" s="172" t="str">
        <f>IF(P$3="","",IF(COUNTIFS(BD!$A$3:$A$5001,P$3,BD!$B$3:$B$5001,$A$403,BD!$C$3:$C$5001,"&lt;&gt;")=0,"",SUMIFS(BD!$C$3:$C$5001,BD!$A$3:$A$5001,P$3,BD!$B$3:$B$5001,$A$403)))</f>
        <v/>
      </c>
      <c r="Q403" s="172" t="str">
        <f>IF(Q$3="","",IF(COUNTIFS(BD!$A$3:$A$5001,Q$3,BD!$B$3:$B$5001,$A$403,BD!$C$3:$C$5001,"&lt;&gt;")=0,"",SUMIFS(BD!$C$3:$C$5001,BD!$A$3:$A$5001,Q$3,BD!$B$3:$B$5001,$A$403)))</f>
        <v/>
      </c>
      <c r="R403" s="172" t="str">
        <f>IF(R$3="","",IF(COUNTIFS(BD!$A$3:$A$5001,R$3,BD!$B$3:$B$5001,$A$403,BD!$C$3:$C$5001,"&lt;&gt;")=0,"",SUMIFS(BD!$C$3:$C$5001,BD!$A$3:$A$5001,R$3,BD!$B$3:$B$5001,$A$403)))</f>
        <v/>
      </c>
      <c r="S403" s="172" t="str">
        <f>IF(S$3="","",IF(COUNTIFS(BD!$A$3:$A$5001,S$3,BD!$B$3:$B$5001,$A$403,BD!$C$3:$C$5001,"&lt;&gt;")=0,"",SUMIFS(BD!$C$3:$C$5001,BD!$A$3:$A$5001,S$3,BD!$B$3:$B$5001,$A$403)))</f>
        <v/>
      </c>
      <c r="T403" s="172" t="str">
        <f>IF(T$3="","",IF(COUNTIFS(BD!$A$3:$A$5001,T$3,BD!$B$3:$B$5001,$A$403,BD!$C$3:$C$5001,"&lt;&gt;")=0,"",SUMIFS(BD!$C$3:$C$5001,BD!$A$3:$A$5001,T$3,BD!$B$3:$B$5001,$A$403)))</f>
        <v/>
      </c>
      <c r="U403" s="172" t="str">
        <f>IF(U$3="","",IF(COUNTIFS(BD!$A$3:$A$5001,U$3,BD!$B$3:$B$5001,$A$403,BD!$C$3:$C$5001,"&lt;&gt;")=0,"",SUMIFS(BD!$C$3:$C$5001,BD!$A$3:$A$5001,U$3,BD!$B$3:$B$5001,$A$403)))</f>
        <v/>
      </c>
      <c r="V403" s="172" t="str">
        <f>IF(V$3="","",IF(COUNTIFS(BD!$A$3:$A$5001,V$3,BD!$B$3:$B$5001,$A$403,BD!$C$3:$C$5001,"&lt;&gt;")=0,"",SUMIFS(BD!$C$3:$C$5001,BD!$A$3:$A$5001,V$3,BD!$B$3:$B$5001,$A$403)))</f>
        <v/>
      </c>
      <c r="W403" s="172" t="str">
        <f>IF(W$3="","",IF(COUNTIFS(BD!$A$3:$A$5001,W$3,BD!$B$3:$B$5001,$A$403,BD!$C$3:$C$5001,"&lt;&gt;")=0,"",SUMIFS(BD!$C$3:$C$5001,BD!$A$3:$A$5001,W$3,BD!$B$3:$B$5001,$A$403)))</f>
        <v/>
      </c>
      <c r="X403" s="172" t="str">
        <f>IF(X$3="","",IF(COUNTIFS(BD!$A$3:$A$5001,X$3,BD!$B$3:$B$5001,$A$403,BD!$C$3:$C$5001,"&lt;&gt;")=0,"",SUMIFS(BD!$C$3:$C$5001,BD!$A$3:$A$5001,X$3,BD!$B$3:$B$5001,$A$403)))</f>
        <v/>
      </c>
      <c r="Y403" s="172" t="str">
        <f>IF(Y$3="","",IF(COUNTIFS(BD!$A$3:$A$5001,Y$3,BD!$B$3:$B$5001,$A$403,BD!$C$3:$C$5001,"&lt;&gt;")=0,"",SUMIFS(BD!$C$3:$C$5001,BD!$A$3:$A$5001,Y$3,BD!$B$3:$B$5001,$A$403)))</f>
        <v/>
      </c>
      <c r="Z403" s="172" t="str">
        <f>IF(Z$3="","",IF(COUNTIFS(BD!$A$3:$A$5001,Z$3,BD!$B$3:$B$5001,$A$403,BD!$C$3:$C$5001,"&lt;&gt;")=0,"",SUMIFS(BD!$C$3:$C$5001,BD!$A$3:$A$5001,Z$3,BD!$B$3:$B$5001,$A$403)))</f>
        <v/>
      </c>
      <c r="AA403" s="172" t="str">
        <f>IF(AA$3="","",IF(COUNTIFS(BD!$A$3:$A$5001,AA$3,BD!$B$3:$B$5001,$A$403,BD!$C$3:$C$5001,"&lt;&gt;")=0,"",SUMIFS(BD!$C$3:$C$5001,BD!$A$3:$A$5001,AA$3,BD!$B$3:$B$5001,$A$403)))</f>
        <v/>
      </c>
      <c r="AB403" s="172" t="str">
        <f>IF(AB$3="","",IF(COUNTIFS(BD!$A$3:$A$5001,AB$3,BD!$B$3:$B$5001,$A$403,BD!$C$3:$C$5001,"&lt;&gt;")=0,"",SUMIFS(BD!$C$3:$C$5001,BD!$A$3:$A$5001,AB$3,BD!$B$3:$B$5001,$A$403)))</f>
        <v/>
      </c>
      <c r="AC403" s="172" t="str">
        <f>IF(AC$3="","",IF(COUNTIFS(BD!$A$3:$A$5001,AC$3,BD!$B$3:$B$5001,$A$403,BD!$C$3:$C$5001,"&lt;&gt;")=0,"",SUMIFS(BD!$C$3:$C$5001,BD!$A$3:$A$5001,AC$3,BD!$B$3:$B$5001,$A$403)))</f>
        <v/>
      </c>
      <c r="AD403" s="172" t="str">
        <f>IF(AD$3="","",IF(COUNTIFS(BD!$A$3:$A$5001,AD$3,BD!$B$3:$B$5001,$A$403,BD!$C$3:$C$5001,"&lt;&gt;")=0,"",SUMIFS(BD!$C$3:$C$5001,BD!$A$3:$A$5001,AD$3,BD!$B$3:$B$5001,$A$403)))</f>
        <v/>
      </c>
      <c r="AE403" s="172" t="str">
        <f>IF(AE$3="","",IF(COUNTIFS(BD!$A$3:$A$5001,AE$3,BD!$B$3:$B$5001,$A$403,BD!$C$3:$C$5001,"&lt;&gt;")=0,"",SUMIFS(BD!$C$3:$C$5001,BD!$A$3:$A$5001,AE$3,BD!$B$3:$B$5001,$A$403)))</f>
        <v/>
      </c>
      <c r="AF403" s="172" t="str">
        <f>IF(AF$3="","",IF(COUNTIFS(BD!$A$3:$A$5001,AF$3,BD!$B$3:$B$5001,$A$403,BD!$C$3:$C$5001,"&lt;&gt;")=0,"",SUMIFS(BD!$C$3:$C$5001,BD!$A$3:$A$5001,AF$3,BD!$B$3:$B$5001,$A$403)))</f>
        <v/>
      </c>
      <c r="AG403" s="172" t="str">
        <f>IF(AG$3="","",IF(COUNTIFS(BD!$A$3:$A$5001,AG$3,BD!$B$3:$B$5001,$A$403,BD!$C$3:$C$5001,"&lt;&gt;")=0,"",SUMIFS(BD!$C$3:$C$5001,BD!$A$3:$A$5001,AG$3,BD!$B$3:$B$5001,$A$403)))</f>
        <v/>
      </c>
      <c r="AH403" s="172" t="str">
        <f>IF(AH$3="","",IF(COUNTIFS(BD!$A$3:$A$5001,AH$3,BD!$B$3:$B$5001,$A$403,BD!$C$3:$C$5001,"&lt;&gt;")=0,"",SUMIFS(BD!$C$3:$C$5001,BD!$A$3:$A$5001,AH$3,BD!$B$3:$B$5001,$A$403)))</f>
        <v/>
      </c>
      <c r="AI403" s="172" t="str">
        <f>IF(AI$3="","",IF(COUNTIFS(BD!$A$3:$A$5001,AI$3,BD!$B$3:$B$5001,$A$403,BD!$C$3:$C$5001,"&lt;&gt;")=0,"",SUMIFS(BD!$C$3:$C$5001,BD!$A$3:$A$5001,AI$3,BD!$B$3:$B$5001,$A$403)))</f>
        <v/>
      </c>
      <c r="AJ403" s="173" t="str">
        <f>IF(AJ$3="","",IF(COUNTIFS(BD!$A$3:$A$5001,AJ$3,BD!$B$3:$B$5001,$A$403,BD!$C$3:$C$5001,"&lt;&gt;")=0,"",SUMIFS(BD!$C$3:$C$5001,BD!$A$3:$A$5001,AJ$3,BD!$B$3:$B$5001,$A$403)))</f>
        <v/>
      </c>
      <c r="AK403" s="174" t="str">
        <f>IF(COUNT(F403:AJ403)=0,"",SUM(F403:AJ403))</f>
        <v/>
      </c>
    </row>
    <row r="404" ht="15.75" customHeight="1" hidden="1">
      <c r="A404" s="261"/>
      <c r="B404" s="256"/>
      <c r="C404" s="214" t="inlineStr">
        <is>
          <t xml:space="preserve">Pallets Movimentados</t>
        </is>
      </c>
      <c r="D404" s="215" t="str">
        <f>IFERROR(1/(1/INDEX(BD!$AL$24:$BF$24,MATCH($A$403,BD!$AL$22:$BF$22,0))),"")</f>
        <v/>
      </c>
      <c r="E404" s="216"/>
      <c r="F404" s="217" t="str">
        <f>IF(F$3="","",IF(COUNTIFS(BD!$A$3:$A$5001,F$3,BD!$B$3:$B$5001,$A$403,BD!$D$3:$D$5001,"&lt;&gt;")=0,"",SUMIFS(BD!$D$3:$D$5001,BD!$A$3:$A$5001,F$3,BD!$B$3:$B$5001,$A$403)))</f>
        <v/>
      </c>
      <c r="G404" s="218" t="str">
        <f>IF(G$3="","",IF(COUNTIFS(BD!$A$3:$A$5001,G$3,BD!$B$3:$B$5001,$A$403,BD!$D$3:$D$5001,"&lt;&gt;")=0,"",SUMIFS(BD!$D$3:$D$5001,BD!$A$3:$A$5001,G$3,BD!$B$3:$B$5001,$A$403)))</f>
        <v/>
      </c>
      <c r="H404" s="218" t="str">
        <f>IF(H$3="","",IF(COUNTIFS(BD!$A$3:$A$5001,H$3,BD!$B$3:$B$5001,$A$403,BD!$D$3:$D$5001,"&lt;&gt;")=0,"",SUMIFS(BD!$D$3:$D$5001,BD!$A$3:$A$5001,H$3,BD!$B$3:$B$5001,$A$403)))</f>
        <v/>
      </c>
      <c r="I404" s="218" t="str">
        <f>IF(I$3="","",IF(COUNTIFS(BD!$A$3:$A$5001,I$3,BD!$B$3:$B$5001,$A$403,BD!$D$3:$D$5001,"&lt;&gt;")=0,"",SUMIFS(BD!$D$3:$D$5001,BD!$A$3:$A$5001,I$3,BD!$B$3:$B$5001,$A$403)))</f>
        <v/>
      </c>
      <c r="J404" s="218" t="str">
        <f>IF(J$3="","",IF(COUNTIFS(BD!$A$3:$A$5001,J$3,BD!$B$3:$B$5001,$A$403,BD!$D$3:$D$5001,"&lt;&gt;")=0,"",SUMIFS(BD!$D$3:$D$5001,BD!$A$3:$A$5001,J$3,BD!$B$3:$B$5001,$A$403)))</f>
        <v/>
      </c>
      <c r="K404" s="218" t="str">
        <f>IF(K$3="","",IF(COUNTIFS(BD!$A$3:$A$5001,K$3,BD!$B$3:$B$5001,$A$403,BD!$D$3:$D$5001,"&lt;&gt;")=0,"",SUMIFS(BD!$D$3:$D$5001,BD!$A$3:$A$5001,K$3,BD!$B$3:$B$5001,$A$403)))</f>
        <v/>
      </c>
      <c r="L404" s="218" t="str">
        <f>IF(L$3="","",IF(COUNTIFS(BD!$A$3:$A$5001,L$3,BD!$B$3:$B$5001,$A$403,BD!$D$3:$D$5001,"&lt;&gt;")=0,"",SUMIFS(BD!$D$3:$D$5001,BD!$A$3:$A$5001,L$3,BD!$B$3:$B$5001,$A$403)))</f>
        <v/>
      </c>
      <c r="M404" s="218" t="str">
        <f>IF(M$3="","",IF(COUNTIFS(BD!$A$3:$A$5001,M$3,BD!$B$3:$B$5001,$A$403,BD!$D$3:$D$5001,"&lt;&gt;")=0,"",SUMIFS(BD!$D$3:$D$5001,BD!$A$3:$A$5001,M$3,BD!$B$3:$B$5001,$A$403)))</f>
        <v/>
      </c>
      <c r="N404" s="218" t="str">
        <f>IF(N$3="","",IF(COUNTIFS(BD!$A$3:$A$5001,N$3,BD!$B$3:$B$5001,$A$403,BD!$D$3:$D$5001,"&lt;&gt;")=0,"",SUMIFS(BD!$D$3:$D$5001,BD!$A$3:$A$5001,N$3,BD!$B$3:$B$5001,$A$403)))</f>
        <v/>
      </c>
      <c r="O404" s="218" t="str">
        <f>IF(O$3="","",IF(COUNTIFS(BD!$A$3:$A$5001,O$3,BD!$B$3:$B$5001,$A$403,BD!$D$3:$D$5001,"&lt;&gt;")=0,"",SUMIFS(BD!$D$3:$D$5001,BD!$A$3:$A$5001,O$3,BD!$B$3:$B$5001,$A$403)))</f>
        <v/>
      </c>
      <c r="P404" s="218" t="str">
        <f>IF(P$3="","",IF(COUNTIFS(BD!$A$3:$A$5001,P$3,BD!$B$3:$B$5001,$A$403,BD!$D$3:$D$5001,"&lt;&gt;")=0,"",SUMIFS(BD!$D$3:$D$5001,BD!$A$3:$A$5001,P$3,BD!$B$3:$B$5001,$A$403)))</f>
        <v/>
      </c>
      <c r="Q404" s="218" t="str">
        <f>IF(Q$3="","",IF(COUNTIFS(BD!$A$3:$A$5001,Q$3,BD!$B$3:$B$5001,$A$403,BD!$D$3:$D$5001,"&lt;&gt;")=0,"",SUMIFS(BD!$D$3:$D$5001,BD!$A$3:$A$5001,Q$3,BD!$B$3:$B$5001,$A$403)))</f>
        <v/>
      </c>
      <c r="R404" s="218" t="str">
        <f>IF(R$3="","",IF(COUNTIFS(BD!$A$3:$A$5001,R$3,BD!$B$3:$B$5001,$A$403,BD!$D$3:$D$5001,"&lt;&gt;")=0,"",SUMIFS(BD!$D$3:$D$5001,BD!$A$3:$A$5001,R$3,BD!$B$3:$B$5001,$A$403)))</f>
        <v/>
      </c>
      <c r="S404" s="218" t="str">
        <f>IF(S$3="","",IF(COUNTIFS(BD!$A$3:$A$5001,S$3,BD!$B$3:$B$5001,$A$403,BD!$D$3:$D$5001,"&lt;&gt;")=0,"",SUMIFS(BD!$D$3:$D$5001,BD!$A$3:$A$5001,S$3,BD!$B$3:$B$5001,$A$403)))</f>
        <v/>
      </c>
      <c r="T404" s="218" t="str">
        <f>IF(T$3="","",IF(COUNTIFS(BD!$A$3:$A$5001,T$3,BD!$B$3:$B$5001,$A$403,BD!$D$3:$D$5001,"&lt;&gt;")=0,"",SUMIFS(BD!$D$3:$D$5001,BD!$A$3:$A$5001,T$3,BD!$B$3:$B$5001,$A$403)))</f>
        <v/>
      </c>
      <c r="U404" s="218" t="str">
        <f>IF(U$3="","",IF(COUNTIFS(BD!$A$3:$A$5001,U$3,BD!$B$3:$B$5001,$A$403,BD!$D$3:$D$5001,"&lt;&gt;")=0,"",SUMIFS(BD!$D$3:$D$5001,BD!$A$3:$A$5001,U$3,BD!$B$3:$B$5001,$A$403)))</f>
        <v/>
      </c>
      <c r="V404" s="218" t="str">
        <f>IF(V$3="","",IF(COUNTIFS(BD!$A$3:$A$5001,V$3,BD!$B$3:$B$5001,$A$403,BD!$D$3:$D$5001,"&lt;&gt;")=0,"",SUMIFS(BD!$D$3:$D$5001,BD!$A$3:$A$5001,V$3,BD!$B$3:$B$5001,$A$403)))</f>
        <v/>
      </c>
      <c r="W404" s="218" t="str">
        <f>IF(W$3="","",IF(COUNTIFS(BD!$A$3:$A$5001,W$3,BD!$B$3:$B$5001,$A$403,BD!$D$3:$D$5001,"&lt;&gt;")=0,"",SUMIFS(BD!$D$3:$D$5001,BD!$A$3:$A$5001,W$3,BD!$B$3:$B$5001,$A$403)))</f>
        <v/>
      </c>
      <c r="X404" s="218" t="str">
        <f>IF(X$3="","",IF(COUNTIFS(BD!$A$3:$A$5001,X$3,BD!$B$3:$B$5001,$A$403,BD!$D$3:$D$5001,"&lt;&gt;")=0,"",SUMIFS(BD!$D$3:$D$5001,BD!$A$3:$A$5001,X$3,BD!$B$3:$B$5001,$A$403)))</f>
        <v/>
      </c>
      <c r="Y404" s="218" t="str">
        <f>IF(Y$3="","",IF(COUNTIFS(BD!$A$3:$A$5001,Y$3,BD!$B$3:$B$5001,$A$403,BD!$D$3:$D$5001,"&lt;&gt;")=0,"",SUMIFS(BD!$D$3:$D$5001,BD!$A$3:$A$5001,Y$3,BD!$B$3:$B$5001,$A$403)))</f>
        <v/>
      </c>
      <c r="Z404" s="218" t="str">
        <f>IF(Z$3="","",IF(COUNTIFS(BD!$A$3:$A$5001,Z$3,BD!$B$3:$B$5001,$A$403,BD!$D$3:$D$5001,"&lt;&gt;")=0,"",SUMIFS(BD!$D$3:$D$5001,BD!$A$3:$A$5001,Z$3,BD!$B$3:$B$5001,$A$403)))</f>
        <v/>
      </c>
      <c r="AA404" s="218" t="str">
        <f>IF(AA$3="","",IF(COUNTIFS(BD!$A$3:$A$5001,AA$3,BD!$B$3:$B$5001,$A$403,BD!$D$3:$D$5001,"&lt;&gt;")=0,"",SUMIFS(BD!$D$3:$D$5001,BD!$A$3:$A$5001,AA$3,BD!$B$3:$B$5001,$A$403)))</f>
        <v/>
      </c>
      <c r="AB404" s="218" t="str">
        <f>IF(AB$3="","",IF(COUNTIFS(BD!$A$3:$A$5001,AB$3,BD!$B$3:$B$5001,$A$403,BD!$D$3:$D$5001,"&lt;&gt;")=0,"",SUMIFS(BD!$D$3:$D$5001,BD!$A$3:$A$5001,AB$3,BD!$B$3:$B$5001,$A$403)))</f>
        <v/>
      </c>
      <c r="AC404" s="218" t="str">
        <f>IF(AC$3="","",IF(COUNTIFS(BD!$A$3:$A$5001,AC$3,BD!$B$3:$B$5001,$A$403,BD!$D$3:$D$5001,"&lt;&gt;")=0,"",SUMIFS(BD!$D$3:$D$5001,BD!$A$3:$A$5001,AC$3,BD!$B$3:$B$5001,$A$403)))</f>
        <v/>
      </c>
      <c r="AD404" s="218" t="str">
        <f>IF(AD$3="","",IF(COUNTIFS(BD!$A$3:$A$5001,AD$3,BD!$B$3:$B$5001,$A$403,BD!$D$3:$D$5001,"&lt;&gt;")=0,"",SUMIFS(BD!$D$3:$D$5001,BD!$A$3:$A$5001,AD$3,BD!$B$3:$B$5001,$A$403)))</f>
        <v/>
      </c>
      <c r="AE404" s="218" t="str">
        <f>IF(AE$3="","",IF(COUNTIFS(BD!$A$3:$A$5001,AE$3,BD!$B$3:$B$5001,$A$403,BD!$D$3:$D$5001,"&lt;&gt;")=0,"",SUMIFS(BD!$D$3:$D$5001,BD!$A$3:$A$5001,AE$3,BD!$B$3:$B$5001,$A$403)))</f>
        <v/>
      </c>
      <c r="AF404" s="218" t="str">
        <f>IF(AF$3="","",IF(COUNTIFS(BD!$A$3:$A$5001,AF$3,BD!$B$3:$B$5001,$A$403,BD!$D$3:$D$5001,"&lt;&gt;")=0,"",SUMIFS(BD!$D$3:$D$5001,BD!$A$3:$A$5001,AF$3,BD!$B$3:$B$5001,$A$403)))</f>
        <v/>
      </c>
      <c r="AG404" s="218" t="str">
        <f>IF(AG$3="","",IF(COUNTIFS(BD!$A$3:$A$5001,AG$3,BD!$B$3:$B$5001,$A$403,BD!$D$3:$D$5001,"&lt;&gt;")=0,"",SUMIFS(BD!$D$3:$D$5001,BD!$A$3:$A$5001,AG$3,BD!$B$3:$B$5001,$A$403)))</f>
        <v/>
      </c>
      <c r="AH404" s="218" t="str">
        <f>IF(AH$3="","",IF(COUNTIFS(BD!$A$3:$A$5001,AH$3,BD!$B$3:$B$5001,$A$403,BD!$D$3:$D$5001,"&lt;&gt;")=0,"",SUMIFS(BD!$D$3:$D$5001,BD!$A$3:$A$5001,AH$3,BD!$B$3:$B$5001,$A$403)))</f>
        <v/>
      </c>
      <c r="AI404" s="218" t="str">
        <f>IF(AI$3="","",IF(COUNTIFS(BD!$A$3:$A$5001,AI$3,BD!$B$3:$B$5001,$A$403,BD!$D$3:$D$5001,"&lt;&gt;")=0,"",SUMIFS(BD!$D$3:$D$5001,BD!$A$3:$A$5001,AI$3,BD!$B$3:$B$5001,$A$403)))</f>
        <v/>
      </c>
      <c r="AJ404" s="219" t="str">
        <f>IF(AJ$3="","",IF(COUNTIFS(BD!$A$3:$A$5001,AJ$3,BD!$B$3:$B$5001,$A$403,BD!$D$3:$D$5001,"&lt;&gt;")=0,"",SUMIFS(BD!$D$3:$D$5001,BD!$A$3:$A$5001,AJ$3,BD!$B$3:$B$5001,$A$403)))</f>
        <v/>
      </c>
      <c r="AK404" s="220" t="str">
        <f>IF(COUNT(F404:AJ404)=0,"",SUM(F404:AJ404))</f>
        <v/>
      </c>
    </row>
    <row r="405" ht="15.75" customHeight="1" hidden="1">
      <c r="A405" s="261"/>
      <c r="B405" s="256"/>
      <c r="C405" s="214" t="inlineStr">
        <is>
          <t xml:space="preserve">Toneladas Movimentadas</t>
        </is>
      </c>
      <c r="D405" s="215" t="str">
        <f>IFERROR(1/(1/INDEX(BD!$AL$25:$BF$25,MATCH($A$403,BD!$AL$22:$BF$22,0))),"")</f>
        <v/>
      </c>
      <c r="E405" s="216"/>
      <c r="F405" s="282" t="str">
        <f>IF(F$3="","",IF(COUNTIFS(BD!$A$3:$A$5001,F$3,BD!$B$3:$B$5001,$A$403,BD!$E$3:$E$5001,"&lt;&gt;")=0,"",SUMIFS(BD!$E$3:$E$5001,BD!$A$3:$A$5001,F$3,BD!$B$3:$B$5001,$A$403)))</f>
        <v/>
      </c>
      <c r="G405" s="283" t="str">
        <f>IF(G$3="","",IF(COUNTIFS(BD!$A$3:$A$5001,G$3,BD!$B$3:$B$5001,$A$403,BD!$E$3:$E$5001,"&lt;&gt;")=0,"",SUMIFS(BD!$E$3:$E$5001,BD!$A$3:$A$5001,G$3,BD!$B$3:$B$5001,$A$403)))</f>
        <v/>
      </c>
      <c r="H405" s="283" t="str">
        <f>IF(H$3="","",IF(COUNTIFS(BD!$A$3:$A$5001,H$3,BD!$B$3:$B$5001,$A$403,BD!$E$3:$E$5001,"&lt;&gt;")=0,"",SUMIFS(BD!$E$3:$E$5001,BD!$A$3:$A$5001,H$3,BD!$B$3:$B$5001,$A$403)))</f>
        <v/>
      </c>
      <c r="I405" s="283" t="str">
        <f>IF(I$3="","",IF(COUNTIFS(BD!$A$3:$A$5001,I$3,BD!$B$3:$B$5001,$A$403,BD!$E$3:$E$5001,"&lt;&gt;")=0,"",SUMIFS(BD!$E$3:$E$5001,BD!$A$3:$A$5001,I$3,BD!$B$3:$B$5001,$A$403)))</f>
        <v/>
      </c>
      <c r="J405" s="283" t="str">
        <f>IF(J$3="","",IF(COUNTIFS(BD!$A$3:$A$5001,J$3,BD!$B$3:$B$5001,$A$403,BD!$E$3:$E$5001,"&lt;&gt;")=0,"",SUMIFS(BD!$E$3:$E$5001,BD!$A$3:$A$5001,J$3,BD!$B$3:$B$5001,$A$403)))</f>
        <v/>
      </c>
      <c r="K405" s="283" t="str">
        <f>IF(K$3="","",IF(COUNTIFS(BD!$A$3:$A$5001,K$3,BD!$B$3:$B$5001,$A$403,BD!$E$3:$E$5001,"&lt;&gt;")=0,"",SUMIFS(BD!$E$3:$E$5001,BD!$A$3:$A$5001,K$3,BD!$B$3:$B$5001,$A$403)))</f>
        <v/>
      </c>
      <c r="L405" s="283" t="str">
        <f>IF(L$3="","",IF(COUNTIFS(BD!$A$3:$A$5001,L$3,BD!$B$3:$B$5001,$A$403,BD!$E$3:$E$5001,"&lt;&gt;")=0,"",SUMIFS(BD!$E$3:$E$5001,BD!$A$3:$A$5001,L$3,BD!$B$3:$B$5001,$A$403)))</f>
        <v/>
      </c>
      <c r="M405" s="283" t="str">
        <f>IF(M$3="","",IF(COUNTIFS(BD!$A$3:$A$5001,M$3,BD!$B$3:$B$5001,$A$403,BD!$E$3:$E$5001,"&lt;&gt;")=0,"",SUMIFS(BD!$E$3:$E$5001,BD!$A$3:$A$5001,M$3,BD!$B$3:$B$5001,$A$403)))</f>
        <v/>
      </c>
      <c r="N405" s="283" t="str">
        <f>IF(N$3="","",IF(COUNTIFS(BD!$A$3:$A$5001,N$3,BD!$B$3:$B$5001,$A$403,BD!$E$3:$E$5001,"&lt;&gt;")=0,"",SUMIFS(BD!$E$3:$E$5001,BD!$A$3:$A$5001,N$3,BD!$B$3:$B$5001,$A$403)))</f>
        <v/>
      </c>
      <c r="O405" s="283" t="str">
        <f>IF(O$3="","",IF(COUNTIFS(BD!$A$3:$A$5001,O$3,BD!$B$3:$B$5001,$A$403,BD!$E$3:$E$5001,"&lt;&gt;")=0,"",SUMIFS(BD!$E$3:$E$5001,BD!$A$3:$A$5001,O$3,BD!$B$3:$B$5001,$A$403)))</f>
        <v/>
      </c>
      <c r="P405" s="283" t="str">
        <f>IF(P$3="","",IF(COUNTIFS(BD!$A$3:$A$5001,P$3,BD!$B$3:$B$5001,$A$403,BD!$E$3:$E$5001,"&lt;&gt;")=0,"",SUMIFS(BD!$E$3:$E$5001,BD!$A$3:$A$5001,P$3,BD!$B$3:$B$5001,$A$403)))</f>
        <v/>
      </c>
      <c r="Q405" s="283" t="str">
        <f>IF(Q$3="","",IF(COUNTIFS(BD!$A$3:$A$5001,Q$3,BD!$B$3:$B$5001,$A$403,BD!$E$3:$E$5001,"&lt;&gt;")=0,"",SUMIFS(BD!$E$3:$E$5001,BD!$A$3:$A$5001,Q$3,BD!$B$3:$B$5001,$A$403)))</f>
        <v/>
      </c>
      <c r="R405" s="283" t="str">
        <f>IF(R$3="","",IF(COUNTIFS(BD!$A$3:$A$5001,R$3,BD!$B$3:$B$5001,$A$403,BD!$E$3:$E$5001,"&lt;&gt;")=0,"",SUMIFS(BD!$E$3:$E$5001,BD!$A$3:$A$5001,R$3,BD!$B$3:$B$5001,$A$403)))</f>
        <v/>
      </c>
      <c r="S405" s="283" t="str">
        <f>IF(S$3="","",IF(COUNTIFS(BD!$A$3:$A$5001,S$3,BD!$B$3:$B$5001,$A$403,BD!$E$3:$E$5001,"&lt;&gt;")=0,"",SUMIFS(BD!$E$3:$E$5001,BD!$A$3:$A$5001,S$3,BD!$B$3:$B$5001,$A$403)))</f>
        <v/>
      </c>
      <c r="T405" s="283" t="str">
        <f>IF(T$3="","",IF(COUNTIFS(BD!$A$3:$A$5001,T$3,BD!$B$3:$B$5001,$A$403,BD!$E$3:$E$5001,"&lt;&gt;")=0,"",SUMIFS(BD!$E$3:$E$5001,BD!$A$3:$A$5001,T$3,BD!$B$3:$B$5001,$A$403)))</f>
        <v/>
      </c>
      <c r="U405" s="283" t="str">
        <f>IF(U$3="","",IF(COUNTIFS(BD!$A$3:$A$5001,U$3,BD!$B$3:$B$5001,$A$403,BD!$E$3:$E$5001,"&lt;&gt;")=0,"",SUMIFS(BD!$E$3:$E$5001,BD!$A$3:$A$5001,U$3,BD!$B$3:$B$5001,$A$403)))</f>
        <v/>
      </c>
      <c r="V405" s="283" t="str">
        <f>IF(V$3="","",IF(COUNTIFS(BD!$A$3:$A$5001,V$3,BD!$B$3:$B$5001,$A$403,BD!$E$3:$E$5001,"&lt;&gt;")=0,"",SUMIFS(BD!$E$3:$E$5001,BD!$A$3:$A$5001,V$3,BD!$B$3:$B$5001,$A$403)))</f>
        <v/>
      </c>
      <c r="W405" s="283" t="str">
        <f>IF(W$3="","",IF(COUNTIFS(BD!$A$3:$A$5001,W$3,BD!$B$3:$B$5001,$A$403,BD!$E$3:$E$5001,"&lt;&gt;")=0,"",SUMIFS(BD!$E$3:$E$5001,BD!$A$3:$A$5001,W$3,BD!$B$3:$B$5001,$A$403)))</f>
        <v/>
      </c>
      <c r="X405" s="283" t="str">
        <f>IF(X$3="","",IF(COUNTIFS(BD!$A$3:$A$5001,X$3,BD!$B$3:$B$5001,$A$403,BD!$E$3:$E$5001,"&lt;&gt;")=0,"",SUMIFS(BD!$E$3:$E$5001,BD!$A$3:$A$5001,X$3,BD!$B$3:$B$5001,$A$403)))</f>
        <v/>
      </c>
      <c r="Y405" s="283" t="str">
        <f>IF(Y$3="","",IF(COUNTIFS(BD!$A$3:$A$5001,Y$3,BD!$B$3:$B$5001,$A$403,BD!$E$3:$E$5001,"&lt;&gt;")=0,"",SUMIFS(BD!$E$3:$E$5001,BD!$A$3:$A$5001,Y$3,BD!$B$3:$B$5001,$A$403)))</f>
        <v/>
      </c>
      <c r="Z405" s="283" t="str">
        <f>IF(Z$3="","",IF(COUNTIFS(BD!$A$3:$A$5001,Z$3,BD!$B$3:$B$5001,$A$403,BD!$E$3:$E$5001,"&lt;&gt;")=0,"",SUMIFS(BD!$E$3:$E$5001,BD!$A$3:$A$5001,Z$3,BD!$B$3:$B$5001,$A$403)))</f>
        <v/>
      </c>
      <c r="AA405" s="283" t="str">
        <f>IF(AA$3="","",IF(COUNTIFS(BD!$A$3:$A$5001,AA$3,BD!$B$3:$B$5001,$A$403,BD!$E$3:$E$5001,"&lt;&gt;")=0,"",SUMIFS(BD!$E$3:$E$5001,BD!$A$3:$A$5001,AA$3,BD!$B$3:$B$5001,$A$403)))</f>
        <v/>
      </c>
      <c r="AB405" s="283" t="str">
        <f>IF(AB$3="","",IF(COUNTIFS(BD!$A$3:$A$5001,AB$3,BD!$B$3:$B$5001,$A$403,BD!$E$3:$E$5001,"&lt;&gt;")=0,"",SUMIFS(BD!$E$3:$E$5001,BD!$A$3:$A$5001,AB$3,BD!$B$3:$B$5001,$A$403)))</f>
        <v/>
      </c>
      <c r="AC405" s="283" t="str">
        <f>IF(AC$3="","",IF(COUNTIFS(BD!$A$3:$A$5001,AC$3,BD!$B$3:$B$5001,$A$403,BD!$E$3:$E$5001,"&lt;&gt;")=0,"",SUMIFS(BD!$E$3:$E$5001,BD!$A$3:$A$5001,AC$3,BD!$B$3:$B$5001,$A$403)))</f>
        <v/>
      </c>
      <c r="AD405" s="283" t="str">
        <f>IF(AD$3="","",IF(COUNTIFS(BD!$A$3:$A$5001,AD$3,BD!$B$3:$B$5001,$A$403,BD!$E$3:$E$5001,"&lt;&gt;")=0,"",SUMIFS(BD!$E$3:$E$5001,BD!$A$3:$A$5001,AD$3,BD!$B$3:$B$5001,$A$403)))</f>
        <v/>
      </c>
      <c r="AE405" s="283" t="str">
        <f>IF(AE$3="","",IF(COUNTIFS(BD!$A$3:$A$5001,AE$3,BD!$B$3:$B$5001,$A$403,BD!$E$3:$E$5001,"&lt;&gt;")=0,"",SUMIFS(BD!$E$3:$E$5001,BD!$A$3:$A$5001,AE$3,BD!$B$3:$B$5001,$A$403)))</f>
        <v/>
      </c>
      <c r="AF405" s="283" t="str">
        <f>IF(AF$3="","",IF(COUNTIFS(BD!$A$3:$A$5001,AF$3,BD!$B$3:$B$5001,$A$403,BD!$E$3:$E$5001,"&lt;&gt;")=0,"",SUMIFS(BD!$E$3:$E$5001,BD!$A$3:$A$5001,AF$3,BD!$B$3:$B$5001,$A$403)))</f>
        <v/>
      </c>
      <c r="AG405" s="283" t="str">
        <f>IF(AG$3="","",IF(COUNTIFS(BD!$A$3:$A$5001,AG$3,BD!$B$3:$B$5001,$A$403,BD!$E$3:$E$5001,"&lt;&gt;")=0,"",SUMIFS(BD!$E$3:$E$5001,BD!$A$3:$A$5001,AG$3,BD!$B$3:$B$5001,$A$403)))</f>
        <v/>
      </c>
      <c r="AH405" s="283" t="str">
        <f>IF(AH$3="","",IF(COUNTIFS(BD!$A$3:$A$5001,AH$3,BD!$B$3:$B$5001,$A$403,BD!$E$3:$E$5001,"&lt;&gt;")=0,"",SUMIFS(BD!$E$3:$E$5001,BD!$A$3:$A$5001,AH$3,BD!$B$3:$B$5001,$A$403)))</f>
        <v/>
      </c>
      <c r="AI405" s="283" t="str">
        <f>IF(AI$3="","",IF(COUNTIFS(BD!$A$3:$A$5001,AI$3,BD!$B$3:$B$5001,$A$403,BD!$E$3:$E$5001,"&lt;&gt;")=0,"",SUMIFS(BD!$E$3:$E$5001,BD!$A$3:$A$5001,AI$3,BD!$B$3:$B$5001,$A$403)))</f>
        <v/>
      </c>
      <c r="AJ405" s="284" t="str">
        <f>IF(AJ$3="","",IF(COUNTIFS(BD!$A$3:$A$5001,AJ$3,BD!$B$3:$B$5001,$A$403,BD!$E$3:$E$5001,"&lt;&gt;")=0,"",SUMIFS(BD!$E$3:$E$5001,BD!$A$3:$A$5001,AJ$3,BD!$B$3:$B$5001,$A$403)))</f>
        <v/>
      </c>
      <c r="AK405" s="285" t="str">
        <f>IF(COUNT(F405:AJ405)=0,"",SUM(F405:AJ405))</f>
        <v/>
      </c>
    </row>
    <row r="406" ht="15.75" customHeight="1" hidden="1">
      <c r="A406" s="261"/>
      <c r="B406" s="256"/>
      <c r="C406" s="214" t="inlineStr">
        <is>
          <t xml:space="preserve">Linhas NF</t>
        </is>
      </c>
      <c r="D406" s="215" t="str">
        <f>IFERROR(1/(1/INDEX(BD!$AL$26:$BF$26,MATCH($A$403,BD!$AL$22:$BF$22,0))),"")</f>
        <v/>
      </c>
      <c r="E406" s="216"/>
      <c r="F406" s="217" t="str">
        <f>IF(F$3="","",IF(COUNTIFS(BD!$A$3:$A$5001,F$3,BD!$B$3:$B$5001,$A$403,BD!$F$3:$F$5001,"&lt;&gt;")=0,"",SUMIFS(BD!$F$3:$F$5001,BD!$A$3:$A$5001,F$3,BD!$B$3:$B$5001,$A$403)))</f>
        <v/>
      </c>
      <c r="G406" s="218" t="str">
        <f>IF(G$3="","",IF(COUNTIFS(BD!$A$3:$A$5001,G$3,BD!$B$3:$B$5001,$A$403,BD!$F$3:$F$5001,"&lt;&gt;")=0,"",SUMIFS(BD!$F$3:$F$5001,BD!$A$3:$A$5001,G$3,BD!$B$3:$B$5001,$A$403)))</f>
        <v/>
      </c>
      <c r="H406" s="218" t="str">
        <f>IF(H$3="","",IF(COUNTIFS(BD!$A$3:$A$5001,H$3,BD!$B$3:$B$5001,$A$403,BD!$F$3:$F$5001,"&lt;&gt;")=0,"",SUMIFS(BD!$F$3:$F$5001,BD!$A$3:$A$5001,H$3,BD!$B$3:$B$5001,$A$403)))</f>
        <v/>
      </c>
      <c r="I406" s="218" t="str">
        <f>IF(I$3="","",IF(COUNTIFS(BD!$A$3:$A$5001,I$3,BD!$B$3:$B$5001,$A$403,BD!$F$3:$F$5001,"&lt;&gt;")=0,"",SUMIFS(BD!$F$3:$F$5001,BD!$A$3:$A$5001,I$3,BD!$B$3:$B$5001,$A$403)))</f>
        <v/>
      </c>
      <c r="J406" s="218" t="str">
        <f>IF(J$3="","",IF(COUNTIFS(BD!$A$3:$A$5001,J$3,BD!$B$3:$B$5001,$A$403,BD!$F$3:$F$5001,"&lt;&gt;")=0,"",SUMIFS(BD!$F$3:$F$5001,BD!$A$3:$A$5001,J$3,BD!$B$3:$B$5001,$A$403)))</f>
        <v/>
      </c>
      <c r="K406" s="218" t="str">
        <f>IF(K$3="","",IF(COUNTIFS(BD!$A$3:$A$5001,K$3,BD!$B$3:$B$5001,$A$403,BD!$F$3:$F$5001,"&lt;&gt;")=0,"",SUMIFS(BD!$F$3:$F$5001,BD!$A$3:$A$5001,K$3,BD!$B$3:$B$5001,$A$403)))</f>
        <v/>
      </c>
      <c r="L406" s="218" t="str">
        <f>IF(L$3="","",IF(COUNTIFS(BD!$A$3:$A$5001,L$3,BD!$B$3:$B$5001,$A$403,BD!$F$3:$F$5001,"&lt;&gt;")=0,"",SUMIFS(BD!$F$3:$F$5001,BD!$A$3:$A$5001,L$3,BD!$B$3:$B$5001,$A$403)))</f>
        <v/>
      </c>
      <c r="M406" s="218" t="str">
        <f>IF(M$3="","",IF(COUNTIFS(BD!$A$3:$A$5001,M$3,BD!$B$3:$B$5001,$A$403,BD!$F$3:$F$5001,"&lt;&gt;")=0,"",SUMIFS(BD!$F$3:$F$5001,BD!$A$3:$A$5001,M$3,BD!$B$3:$B$5001,$A$403)))</f>
        <v/>
      </c>
      <c r="N406" s="218" t="str">
        <f>IF(N$3="","",IF(COUNTIFS(BD!$A$3:$A$5001,N$3,BD!$B$3:$B$5001,$A$403,BD!$F$3:$F$5001,"&lt;&gt;")=0,"",SUMIFS(BD!$F$3:$F$5001,BD!$A$3:$A$5001,N$3,BD!$B$3:$B$5001,$A$403)))</f>
        <v/>
      </c>
      <c r="O406" s="218" t="str">
        <f>IF(O$3="","",IF(COUNTIFS(BD!$A$3:$A$5001,O$3,BD!$B$3:$B$5001,$A$403,BD!$F$3:$F$5001,"&lt;&gt;")=0,"",SUMIFS(BD!$F$3:$F$5001,BD!$A$3:$A$5001,O$3,BD!$B$3:$B$5001,$A$403)))</f>
        <v/>
      </c>
      <c r="P406" s="218" t="str">
        <f>IF(P$3="","",IF(COUNTIFS(BD!$A$3:$A$5001,P$3,BD!$B$3:$B$5001,$A$403,BD!$F$3:$F$5001,"&lt;&gt;")=0,"",SUMIFS(BD!$F$3:$F$5001,BD!$A$3:$A$5001,P$3,BD!$B$3:$B$5001,$A$403)))</f>
        <v/>
      </c>
      <c r="Q406" s="218" t="str">
        <f>IF(Q$3="","",IF(COUNTIFS(BD!$A$3:$A$5001,Q$3,BD!$B$3:$B$5001,$A$403,BD!$F$3:$F$5001,"&lt;&gt;")=0,"",SUMIFS(BD!$F$3:$F$5001,BD!$A$3:$A$5001,Q$3,BD!$B$3:$B$5001,$A$403)))</f>
        <v/>
      </c>
      <c r="R406" s="218" t="str">
        <f>IF(R$3="","",IF(COUNTIFS(BD!$A$3:$A$5001,R$3,BD!$B$3:$B$5001,$A$403,BD!$F$3:$F$5001,"&lt;&gt;")=0,"",SUMIFS(BD!$F$3:$F$5001,BD!$A$3:$A$5001,R$3,BD!$B$3:$B$5001,$A$403)))</f>
        <v/>
      </c>
      <c r="S406" s="218" t="str">
        <f>IF(S$3="","",IF(COUNTIFS(BD!$A$3:$A$5001,S$3,BD!$B$3:$B$5001,$A$403,BD!$F$3:$F$5001,"&lt;&gt;")=0,"",SUMIFS(BD!$F$3:$F$5001,BD!$A$3:$A$5001,S$3,BD!$B$3:$B$5001,$A$403)))</f>
        <v/>
      </c>
      <c r="T406" s="218" t="str">
        <f>IF(T$3="","",IF(COUNTIFS(BD!$A$3:$A$5001,T$3,BD!$B$3:$B$5001,$A$403,BD!$F$3:$F$5001,"&lt;&gt;")=0,"",SUMIFS(BD!$F$3:$F$5001,BD!$A$3:$A$5001,T$3,BD!$B$3:$B$5001,$A$403)))</f>
        <v/>
      </c>
      <c r="U406" s="218" t="str">
        <f>IF(U$3="","",IF(COUNTIFS(BD!$A$3:$A$5001,U$3,BD!$B$3:$B$5001,$A$403,BD!$F$3:$F$5001,"&lt;&gt;")=0,"",SUMIFS(BD!$F$3:$F$5001,BD!$A$3:$A$5001,U$3,BD!$B$3:$B$5001,$A$403)))</f>
        <v/>
      </c>
      <c r="V406" s="218" t="str">
        <f>IF(V$3="","",IF(COUNTIFS(BD!$A$3:$A$5001,V$3,BD!$B$3:$B$5001,$A$403,BD!$F$3:$F$5001,"&lt;&gt;")=0,"",SUMIFS(BD!$F$3:$F$5001,BD!$A$3:$A$5001,V$3,BD!$B$3:$B$5001,$A$403)))</f>
        <v/>
      </c>
      <c r="W406" s="218" t="str">
        <f>IF(W$3="","",IF(COUNTIFS(BD!$A$3:$A$5001,W$3,BD!$B$3:$B$5001,$A$403,BD!$F$3:$F$5001,"&lt;&gt;")=0,"",SUMIFS(BD!$F$3:$F$5001,BD!$A$3:$A$5001,W$3,BD!$B$3:$B$5001,$A$403)))</f>
        <v/>
      </c>
      <c r="X406" s="218" t="str">
        <f>IF(X$3="","",IF(COUNTIFS(BD!$A$3:$A$5001,X$3,BD!$B$3:$B$5001,$A$403,BD!$F$3:$F$5001,"&lt;&gt;")=0,"",SUMIFS(BD!$F$3:$F$5001,BD!$A$3:$A$5001,X$3,BD!$B$3:$B$5001,$A$403)))</f>
        <v/>
      </c>
      <c r="Y406" s="218" t="str">
        <f>IF(Y$3="","",IF(COUNTIFS(BD!$A$3:$A$5001,Y$3,BD!$B$3:$B$5001,$A$403,BD!$F$3:$F$5001,"&lt;&gt;")=0,"",SUMIFS(BD!$F$3:$F$5001,BD!$A$3:$A$5001,Y$3,BD!$B$3:$B$5001,$A$403)))</f>
        <v/>
      </c>
      <c r="Z406" s="218" t="str">
        <f>IF(Z$3="","",IF(COUNTIFS(BD!$A$3:$A$5001,Z$3,BD!$B$3:$B$5001,$A$403,BD!$F$3:$F$5001,"&lt;&gt;")=0,"",SUMIFS(BD!$F$3:$F$5001,BD!$A$3:$A$5001,Z$3,BD!$B$3:$B$5001,$A$403)))</f>
        <v/>
      </c>
      <c r="AA406" s="218" t="str">
        <f>IF(AA$3="","",IF(COUNTIFS(BD!$A$3:$A$5001,AA$3,BD!$B$3:$B$5001,$A$403,BD!$F$3:$F$5001,"&lt;&gt;")=0,"",SUMIFS(BD!$F$3:$F$5001,BD!$A$3:$A$5001,AA$3,BD!$B$3:$B$5001,$A$403)))</f>
        <v/>
      </c>
      <c r="AB406" s="218" t="str">
        <f>IF(AB$3="","",IF(COUNTIFS(BD!$A$3:$A$5001,AB$3,BD!$B$3:$B$5001,$A$403,BD!$F$3:$F$5001,"&lt;&gt;")=0,"",SUMIFS(BD!$F$3:$F$5001,BD!$A$3:$A$5001,AB$3,BD!$B$3:$B$5001,$A$403)))</f>
        <v/>
      </c>
      <c r="AC406" s="218" t="str">
        <f>IF(AC$3="","",IF(COUNTIFS(BD!$A$3:$A$5001,AC$3,BD!$B$3:$B$5001,$A$403,BD!$F$3:$F$5001,"&lt;&gt;")=0,"",SUMIFS(BD!$F$3:$F$5001,BD!$A$3:$A$5001,AC$3,BD!$B$3:$B$5001,$A$403)))</f>
        <v/>
      </c>
      <c r="AD406" s="218" t="str">
        <f>IF(AD$3="","",IF(COUNTIFS(BD!$A$3:$A$5001,AD$3,BD!$B$3:$B$5001,$A$403,BD!$F$3:$F$5001,"&lt;&gt;")=0,"",SUMIFS(BD!$F$3:$F$5001,BD!$A$3:$A$5001,AD$3,BD!$B$3:$B$5001,$A$403)))</f>
        <v/>
      </c>
      <c r="AE406" s="218" t="str">
        <f>IF(AE$3="","",IF(COUNTIFS(BD!$A$3:$A$5001,AE$3,BD!$B$3:$B$5001,$A$403,BD!$F$3:$F$5001,"&lt;&gt;")=0,"",SUMIFS(BD!$F$3:$F$5001,BD!$A$3:$A$5001,AE$3,BD!$B$3:$B$5001,$A$403)))</f>
        <v/>
      </c>
      <c r="AF406" s="218" t="str">
        <f>IF(AF$3="","",IF(COUNTIFS(BD!$A$3:$A$5001,AF$3,BD!$B$3:$B$5001,$A$403,BD!$F$3:$F$5001,"&lt;&gt;")=0,"",SUMIFS(BD!$F$3:$F$5001,BD!$A$3:$A$5001,AF$3,BD!$B$3:$B$5001,$A$403)))</f>
        <v/>
      </c>
      <c r="AG406" s="218" t="str">
        <f>IF(AG$3="","",IF(COUNTIFS(BD!$A$3:$A$5001,AG$3,BD!$B$3:$B$5001,$A$403,BD!$F$3:$F$5001,"&lt;&gt;")=0,"",SUMIFS(BD!$F$3:$F$5001,BD!$A$3:$A$5001,AG$3,BD!$B$3:$B$5001,$A$403)))</f>
        <v/>
      </c>
      <c r="AH406" s="218" t="str">
        <f>IF(AH$3="","",IF(COUNTIFS(BD!$A$3:$A$5001,AH$3,BD!$B$3:$B$5001,$A$403,BD!$F$3:$F$5001,"&lt;&gt;")=0,"",SUMIFS(BD!$F$3:$F$5001,BD!$A$3:$A$5001,AH$3,BD!$B$3:$B$5001,$A$403)))</f>
        <v/>
      </c>
      <c r="AI406" s="218" t="str">
        <f>IF(AI$3="","",IF(COUNTIFS(BD!$A$3:$A$5001,AI$3,BD!$B$3:$B$5001,$A$403,BD!$F$3:$F$5001,"&lt;&gt;")=0,"",SUMIFS(BD!$F$3:$F$5001,BD!$A$3:$A$5001,AI$3,BD!$B$3:$B$5001,$A$403)))</f>
        <v/>
      </c>
      <c r="AJ406" s="219" t="str">
        <f>IF(AJ$3="","",IF(COUNTIFS(BD!$A$3:$A$5001,AJ$3,BD!$B$3:$B$5001,$A$403,BD!$F$3:$F$5001,"&lt;&gt;")=0,"",SUMIFS(BD!$F$3:$F$5001,BD!$A$3:$A$5001,AJ$3,BD!$B$3:$B$5001,$A$403)))</f>
        <v/>
      </c>
      <c r="AK406" s="220" t="str">
        <f>IF(COUNT(F406:AJ406)=0,"",SUM(F406:AJ406))</f>
        <v/>
      </c>
    </row>
    <row r="407" ht="15.75" customHeight="1" hidden="1">
      <c r="A407" s="261"/>
      <c r="B407" s="256"/>
      <c r="C407" s="214" t="inlineStr">
        <is>
          <t xml:space="preserve">Caixas Movimentadas</t>
        </is>
      </c>
      <c r="D407" s="215" t="str">
        <f>IFERROR(1/(1/INDEX(BD!$AL$27:$BF$27,MATCH($A$403,BD!$AL$22:$BF$22,0))),"")</f>
        <v/>
      </c>
      <c r="E407" s="216"/>
      <c r="F407" s="217" t="str">
        <f>IF(F$3="","",IF(COUNTIFS(BD!$A$3:$A$5001,F$3,BD!$B$3:$B$5001,$A$403,BD!$G$3:$G$5001,"&lt;&gt;")=0,"",SUMIFS(BD!$G$3:$G$5001,BD!$A$3:$A$5001,F$3,BD!$B$3:$B$5001,$A$403)))</f>
        <v/>
      </c>
      <c r="G407" s="218" t="str">
        <f>IF(G$3="","",IF(COUNTIFS(BD!$A$3:$A$5001,G$3,BD!$B$3:$B$5001,$A$403,BD!$G$3:$G$5001,"&lt;&gt;")=0,"",SUMIFS(BD!$G$3:$G$5001,BD!$A$3:$A$5001,G$3,BD!$B$3:$B$5001,$A$403)))</f>
        <v/>
      </c>
      <c r="H407" s="218" t="str">
        <f>IF(H$3="","",IF(COUNTIFS(BD!$A$3:$A$5001,H$3,BD!$B$3:$B$5001,$A$403,BD!$G$3:$G$5001,"&lt;&gt;")=0,"",SUMIFS(BD!$G$3:$G$5001,BD!$A$3:$A$5001,H$3,BD!$B$3:$B$5001,$A$403)))</f>
        <v/>
      </c>
      <c r="I407" s="218" t="str">
        <f>IF(I$3="","",IF(COUNTIFS(BD!$A$3:$A$5001,I$3,BD!$B$3:$B$5001,$A$403,BD!$G$3:$G$5001,"&lt;&gt;")=0,"",SUMIFS(BD!$G$3:$G$5001,BD!$A$3:$A$5001,I$3,BD!$B$3:$B$5001,$A$403)))</f>
        <v/>
      </c>
      <c r="J407" s="218" t="str">
        <f>IF(J$3="","",IF(COUNTIFS(BD!$A$3:$A$5001,J$3,BD!$B$3:$B$5001,$A$403,BD!$G$3:$G$5001,"&lt;&gt;")=0,"",SUMIFS(BD!$G$3:$G$5001,BD!$A$3:$A$5001,J$3,BD!$B$3:$B$5001,$A$403)))</f>
        <v/>
      </c>
      <c r="K407" s="218" t="str">
        <f>IF(K$3="","",IF(COUNTIFS(BD!$A$3:$A$5001,K$3,BD!$B$3:$B$5001,$A$403,BD!$G$3:$G$5001,"&lt;&gt;")=0,"",SUMIFS(BD!$G$3:$G$5001,BD!$A$3:$A$5001,K$3,BD!$B$3:$B$5001,$A$403)))</f>
        <v/>
      </c>
      <c r="L407" s="218" t="str">
        <f>IF(L$3="","",IF(COUNTIFS(BD!$A$3:$A$5001,L$3,BD!$B$3:$B$5001,$A$403,BD!$G$3:$G$5001,"&lt;&gt;")=0,"",SUMIFS(BD!$G$3:$G$5001,BD!$A$3:$A$5001,L$3,BD!$B$3:$B$5001,$A$403)))</f>
        <v/>
      </c>
      <c r="M407" s="218" t="str">
        <f>IF(M$3="","",IF(COUNTIFS(BD!$A$3:$A$5001,M$3,BD!$B$3:$B$5001,$A$403,BD!$G$3:$G$5001,"&lt;&gt;")=0,"",SUMIFS(BD!$G$3:$G$5001,BD!$A$3:$A$5001,M$3,BD!$B$3:$B$5001,$A$403)))</f>
        <v/>
      </c>
      <c r="N407" s="218" t="str">
        <f>IF(N$3="","",IF(COUNTIFS(BD!$A$3:$A$5001,N$3,BD!$B$3:$B$5001,$A$403,BD!$G$3:$G$5001,"&lt;&gt;")=0,"",SUMIFS(BD!$G$3:$G$5001,BD!$A$3:$A$5001,N$3,BD!$B$3:$B$5001,$A$403)))</f>
        <v/>
      </c>
      <c r="O407" s="218" t="str">
        <f>IF(O$3="","",IF(COUNTIFS(BD!$A$3:$A$5001,O$3,BD!$B$3:$B$5001,$A$403,BD!$G$3:$G$5001,"&lt;&gt;")=0,"",SUMIFS(BD!$G$3:$G$5001,BD!$A$3:$A$5001,O$3,BD!$B$3:$B$5001,$A$403)))</f>
        <v/>
      </c>
      <c r="P407" s="218" t="str">
        <f>IF(P$3="","",IF(COUNTIFS(BD!$A$3:$A$5001,P$3,BD!$B$3:$B$5001,$A$403,BD!$G$3:$G$5001,"&lt;&gt;")=0,"",SUMIFS(BD!$G$3:$G$5001,BD!$A$3:$A$5001,P$3,BD!$B$3:$B$5001,$A$403)))</f>
        <v/>
      </c>
      <c r="Q407" s="218" t="str">
        <f>IF(Q$3="","",IF(COUNTIFS(BD!$A$3:$A$5001,Q$3,BD!$B$3:$B$5001,$A$403,BD!$G$3:$G$5001,"&lt;&gt;")=0,"",SUMIFS(BD!$G$3:$G$5001,BD!$A$3:$A$5001,Q$3,BD!$B$3:$B$5001,$A$403)))</f>
        <v/>
      </c>
      <c r="R407" s="218" t="str">
        <f>IF(R$3="","",IF(COUNTIFS(BD!$A$3:$A$5001,R$3,BD!$B$3:$B$5001,$A$403,BD!$G$3:$G$5001,"&lt;&gt;")=0,"",SUMIFS(BD!$G$3:$G$5001,BD!$A$3:$A$5001,R$3,BD!$B$3:$B$5001,$A$403)))</f>
        <v/>
      </c>
      <c r="S407" s="218" t="str">
        <f>IF(S$3="","",IF(COUNTIFS(BD!$A$3:$A$5001,S$3,BD!$B$3:$B$5001,$A$403,BD!$G$3:$G$5001,"&lt;&gt;")=0,"",SUMIFS(BD!$G$3:$G$5001,BD!$A$3:$A$5001,S$3,BD!$B$3:$B$5001,$A$403)))</f>
        <v/>
      </c>
      <c r="T407" s="218" t="str">
        <f>IF(T$3="","",IF(COUNTIFS(BD!$A$3:$A$5001,T$3,BD!$B$3:$B$5001,$A$403,BD!$G$3:$G$5001,"&lt;&gt;")=0,"",SUMIFS(BD!$G$3:$G$5001,BD!$A$3:$A$5001,T$3,BD!$B$3:$B$5001,$A$403)))</f>
        <v/>
      </c>
      <c r="U407" s="218" t="str">
        <f>IF(U$3="","",IF(COUNTIFS(BD!$A$3:$A$5001,U$3,BD!$B$3:$B$5001,$A$403,BD!$G$3:$G$5001,"&lt;&gt;")=0,"",SUMIFS(BD!$G$3:$G$5001,BD!$A$3:$A$5001,U$3,BD!$B$3:$B$5001,$A$403)))</f>
        <v/>
      </c>
      <c r="V407" s="218" t="str">
        <f>IF(V$3="","",IF(COUNTIFS(BD!$A$3:$A$5001,V$3,BD!$B$3:$B$5001,$A$403,BD!$G$3:$G$5001,"&lt;&gt;")=0,"",SUMIFS(BD!$G$3:$G$5001,BD!$A$3:$A$5001,V$3,BD!$B$3:$B$5001,$A$403)))</f>
        <v/>
      </c>
      <c r="W407" s="218" t="str">
        <f>IF(W$3="","",IF(COUNTIFS(BD!$A$3:$A$5001,W$3,BD!$B$3:$B$5001,$A$403,BD!$G$3:$G$5001,"&lt;&gt;")=0,"",SUMIFS(BD!$G$3:$G$5001,BD!$A$3:$A$5001,W$3,BD!$B$3:$B$5001,$A$403)))</f>
        <v/>
      </c>
      <c r="X407" s="218" t="str">
        <f>IF(X$3="","",IF(COUNTIFS(BD!$A$3:$A$5001,X$3,BD!$B$3:$B$5001,$A$403,BD!$G$3:$G$5001,"&lt;&gt;")=0,"",SUMIFS(BD!$G$3:$G$5001,BD!$A$3:$A$5001,X$3,BD!$B$3:$B$5001,$A$403)))</f>
        <v/>
      </c>
      <c r="Y407" s="218" t="str">
        <f>IF(Y$3="","",IF(COUNTIFS(BD!$A$3:$A$5001,Y$3,BD!$B$3:$B$5001,$A$403,BD!$G$3:$G$5001,"&lt;&gt;")=0,"",SUMIFS(BD!$G$3:$G$5001,BD!$A$3:$A$5001,Y$3,BD!$B$3:$B$5001,$A$403)))</f>
        <v/>
      </c>
      <c r="Z407" s="218" t="str">
        <f>IF(Z$3="","",IF(COUNTIFS(BD!$A$3:$A$5001,Z$3,BD!$B$3:$B$5001,$A$403,BD!$G$3:$G$5001,"&lt;&gt;")=0,"",SUMIFS(BD!$G$3:$G$5001,BD!$A$3:$A$5001,Z$3,BD!$B$3:$B$5001,$A$403)))</f>
        <v/>
      </c>
      <c r="AA407" s="218" t="str">
        <f>IF(AA$3="","",IF(COUNTIFS(BD!$A$3:$A$5001,AA$3,BD!$B$3:$B$5001,$A$403,BD!$G$3:$G$5001,"&lt;&gt;")=0,"",SUMIFS(BD!$G$3:$G$5001,BD!$A$3:$A$5001,AA$3,BD!$B$3:$B$5001,$A$403)))</f>
        <v/>
      </c>
      <c r="AB407" s="218" t="str">
        <f>IF(AB$3="","",IF(COUNTIFS(BD!$A$3:$A$5001,AB$3,BD!$B$3:$B$5001,$A$403,BD!$G$3:$G$5001,"&lt;&gt;")=0,"",SUMIFS(BD!$G$3:$G$5001,BD!$A$3:$A$5001,AB$3,BD!$B$3:$B$5001,$A$403)))</f>
        <v/>
      </c>
      <c r="AC407" s="218" t="str">
        <f>IF(AC$3="","",IF(COUNTIFS(BD!$A$3:$A$5001,AC$3,BD!$B$3:$B$5001,$A$403,BD!$G$3:$G$5001,"&lt;&gt;")=0,"",SUMIFS(BD!$G$3:$G$5001,BD!$A$3:$A$5001,AC$3,BD!$B$3:$B$5001,$A$403)))</f>
        <v/>
      </c>
      <c r="AD407" s="218" t="str">
        <f>IF(AD$3="","",IF(COUNTIFS(BD!$A$3:$A$5001,AD$3,BD!$B$3:$B$5001,$A$403,BD!$G$3:$G$5001,"&lt;&gt;")=0,"",SUMIFS(BD!$G$3:$G$5001,BD!$A$3:$A$5001,AD$3,BD!$B$3:$B$5001,$A$403)))</f>
        <v/>
      </c>
      <c r="AE407" s="218" t="str">
        <f>IF(AE$3="","",IF(COUNTIFS(BD!$A$3:$A$5001,AE$3,BD!$B$3:$B$5001,$A$403,BD!$G$3:$G$5001,"&lt;&gt;")=0,"",SUMIFS(BD!$G$3:$G$5001,BD!$A$3:$A$5001,AE$3,BD!$B$3:$B$5001,$A$403)))</f>
        <v/>
      </c>
      <c r="AF407" s="218" t="str">
        <f>IF(AF$3="","",IF(COUNTIFS(BD!$A$3:$A$5001,AF$3,BD!$B$3:$B$5001,$A$403,BD!$G$3:$G$5001,"&lt;&gt;")=0,"",SUMIFS(BD!$G$3:$G$5001,BD!$A$3:$A$5001,AF$3,BD!$B$3:$B$5001,$A$403)))</f>
        <v/>
      </c>
      <c r="AG407" s="218" t="str">
        <f>IF(AG$3="","",IF(COUNTIFS(BD!$A$3:$A$5001,AG$3,BD!$B$3:$B$5001,$A$403,BD!$G$3:$G$5001,"&lt;&gt;")=0,"",SUMIFS(BD!$G$3:$G$5001,BD!$A$3:$A$5001,AG$3,BD!$B$3:$B$5001,$A$403)))</f>
        <v/>
      </c>
      <c r="AH407" s="218" t="str">
        <f>IF(AH$3="","",IF(COUNTIFS(BD!$A$3:$A$5001,AH$3,BD!$B$3:$B$5001,$A$403,BD!$G$3:$G$5001,"&lt;&gt;")=0,"",SUMIFS(BD!$G$3:$G$5001,BD!$A$3:$A$5001,AH$3,BD!$B$3:$B$5001,$A$403)))</f>
        <v/>
      </c>
      <c r="AI407" s="218" t="str">
        <f>IF(AI$3="","",IF(COUNTIFS(BD!$A$3:$A$5001,AI$3,BD!$B$3:$B$5001,$A$403,BD!$G$3:$G$5001,"&lt;&gt;")=0,"",SUMIFS(BD!$G$3:$G$5001,BD!$A$3:$A$5001,AI$3,BD!$B$3:$B$5001,$A$403)))</f>
        <v/>
      </c>
      <c r="AJ407" s="219" t="str">
        <f>IF(AJ$3="","",IF(COUNTIFS(BD!$A$3:$A$5001,AJ$3,BD!$B$3:$B$5001,$A$403,BD!$G$3:$G$5001,"&lt;&gt;")=0,"",SUMIFS(BD!$G$3:$G$5001,BD!$A$3:$A$5001,AJ$3,BD!$B$3:$B$5001,$A$403)))</f>
        <v/>
      </c>
      <c r="AK407" s="220" t="str">
        <f>IF(COUNT(F407:AJ407)=0,"",SUM(F407:AJ407))</f>
        <v/>
      </c>
    </row>
    <row r="408" ht="15.75" customHeight="1" hidden="1">
      <c r="A408" s="261"/>
      <c r="B408" s="256"/>
      <c r="C408" s="214" t="inlineStr">
        <is>
          <t xml:space="preserve">Itens Recebidos</t>
        </is>
      </c>
      <c r="D408" s="215" t="str">
        <f>IFERROR(1/(1/INDEX(BD!$AL$28:$BF$28,MATCH($A$403,BD!$AL$22:$BF$22,0))),"")</f>
        <v/>
      </c>
      <c r="E408" s="216"/>
      <c r="F408" s="217" t="str">
        <f>IF(F$3="","",IF(COUNTIFS(BD!$A$3:$A$5001,F$3,BD!$B$3:$B$5001,$A$403,BD!$H$3:$H$5001,"&lt;&gt;")=0,"",SUMIFS(BD!$H$3:$H$5001,BD!$A$3:$A$5001,F$3,BD!$B$3:$B$5001,$A$403)))</f>
        <v/>
      </c>
      <c r="G408" s="218" t="str">
        <f>IF(G$3="","",IF(COUNTIFS(BD!$A$3:$A$5001,G$3,BD!$B$3:$B$5001,$A$403,BD!$H$3:$H$5001,"&lt;&gt;")=0,"",SUMIFS(BD!$H$3:$H$5001,BD!$A$3:$A$5001,G$3,BD!$B$3:$B$5001,$A$403)))</f>
        <v/>
      </c>
      <c r="H408" s="218" t="str">
        <f>IF(H$3="","",IF(COUNTIFS(BD!$A$3:$A$5001,H$3,BD!$B$3:$B$5001,$A$403,BD!$H$3:$H$5001,"&lt;&gt;")=0,"",SUMIFS(BD!$H$3:$H$5001,BD!$A$3:$A$5001,H$3,BD!$B$3:$B$5001,$A$403)))</f>
        <v/>
      </c>
      <c r="I408" s="218" t="str">
        <f>IF(I$3="","",IF(COUNTIFS(BD!$A$3:$A$5001,I$3,BD!$B$3:$B$5001,$A$403,BD!$H$3:$H$5001,"&lt;&gt;")=0,"",SUMIFS(BD!$H$3:$H$5001,BD!$A$3:$A$5001,I$3,BD!$B$3:$B$5001,$A$403)))</f>
        <v/>
      </c>
      <c r="J408" s="218" t="str">
        <f>IF(J$3="","",IF(COUNTIFS(BD!$A$3:$A$5001,J$3,BD!$B$3:$B$5001,$A$403,BD!$H$3:$H$5001,"&lt;&gt;")=0,"",SUMIFS(BD!$H$3:$H$5001,BD!$A$3:$A$5001,J$3,BD!$B$3:$B$5001,$A$403)))</f>
        <v/>
      </c>
      <c r="K408" s="218" t="str">
        <f>IF(K$3="","",IF(COUNTIFS(BD!$A$3:$A$5001,K$3,BD!$B$3:$B$5001,$A$403,BD!$H$3:$H$5001,"&lt;&gt;")=0,"",SUMIFS(BD!$H$3:$H$5001,BD!$A$3:$A$5001,K$3,BD!$B$3:$B$5001,$A$403)))</f>
        <v/>
      </c>
      <c r="L408" s="218" t="str">
        <f>IF(L$3="","",IF(COUNTIFS(BD!$A$3:$A$5001,L$3,BD!$B$3:$B$5001,$A$403,BD!$H$3:$H$5001,"&lt;&gt;")=0,"",SUMIFS(BD!$H$3:$H$5001,BD!$A$3:$A$5001,L$3,BD!$B$3:$B$5001,$A$403)))</f>
        <v/>
      </c>
      <c r="M408" s="218" t="str">
        <f>IF(M$3="","",IF(COUNTIFS(BD!$A$3:$A$5001,M$3,BD!$B$3:$B$5001,$A$403,BD!$H$3:$H$5001,"&lt;&gt;")=0,"",SUMIFS(BD!$H$3:$H$5001,BD!$A$3:$A$5001,M$3,BD!$B$3:$B$5001,$A$403)))</f>
        <v/>
      </c>
      <c r="N408" s="218" t="str">
        <f>IF(N$3="","",IF(COUNTIFS(BD!$A$3:$A$5001,N$3,BD!$B$3:$B$5001,$A$403,BD!$H$3:$H$5001,"&lt;&gt;")=0,"",SUMIFS(BD!$H$3:$H$5001,BD!$A$3:$A$5001,N$3,BD!$B$3:$B$5001,$A$403)))</f>
        <v/>
      </c>
      <c r="O408" s="218" t="str">
        <f>IF(O$3="","",IF(COUNTIFS(BD!$A$3:$A$5001,O$3,BD!$B$3:$B$5001,$A$403,BD!$H$3:$H$5001,"&lt;&gt;")=0,"",SUMIFS(BD!$H$3:$H$5001,BD!$A$3:$A$5001,O$3,BD!$B$3:$B$5001,$A$403)))</f>
        <v/>
      </c>
      <c r="P408" s="218" t="str">
        <f>IF(P$3="","",IF(COUNTIFS(BD!$A$3:$A$5001,P$3,BD!$B$3:$B$5001,$A$403,BD!$H$3:$H$5001,"&lt;&gt;")=0,"",SUMIFS(BD!$H$3:$H$5001,BD!$A$3:$A$5001,P$3,BD!$B$3:$B$5001,$A$403)))</f>
        <v/>
      </c>
      <c r="Q408" s="218" t="str">
        <f>IF(Q$3="","",IF(COUNTIFS(BD!$A$3:$A$5001,Q$3,BD!$B$3:$B$5001,$A$403,BD!$H$3:$H$5001,"&lt;&gt;")=0,"",SUMIFS(BD!$H$3:$H$5001,BD!$A$3:$A$5001,Q$3,BD!$B$3:$B$5001,$A$403)))</f>
        <v/>
      </c>
      <c r="R408" s="218" t="str">
        <f>IF(R$3="","",IF(COUNTIFS(BD!$A$3:$A$5001,R$3,BD!$B$3:$B$5001,$A$403,BD!$H$3:$H$5001,"&lt;&gt;")=0,"",SUMIFS(BD!$H$3:$H$5001,BD!$A$3:$A$5001,R$3,BD!$B$3:$B$5001,$A$403)))</f>
        <v/>
      </c>
      <c r="S408" s="218" t="str">
        <f>IF(S$3="","",IF(COUNTIFS(BD!$A$3:$A$5001,S$3,BD!$B$3:$B$5001,$A$403,BD!$H$3:$H$5001,"&lt;&gt;")=0,"",SUMIFS(BD!$H$3:$H$5001,BD!$A$3:$A$5001,S$3,BD!$B$3:$B$5001,$A$403)))</f>
        <v/>
      </c>
      <c r="T408" s="218" t="str">
        <f>IF(T$3="","",IF(COUNTIFS(BD!$A$3:$A$5001,T$3,BD!$B$3:$B$5001,$A$403,BD!$H$3:$H$5001,"&lt;&gt;")=0,"",SUMIFS(BD!$H$3:$H$5001,BD!$A$3:$A$5001,T$3,BD!$B$3:$B$5001,$A$403)))</f>
        <v/>
      </c>
      <c r="U408" s="218" t="str">
        <f>IF(U$3="","",IF(COUNTIFS(BD!$A$3:$A$5001,U$3,BD!$B$3:$B$5001,$A$403,BD!$H$3:$H$5001,"&lt;&gt;")=0,"",SUMIFS(BD!$H$3:$H$5001,BD!$A$3:$A$5001,U$3,BD!$B$3:$B$5001,$A$403)))</f>
        <v/>
      </c>
      <c r="V408" s="218" t="str">
        <f>IF(V$3="","",IF(COUNTIFS(BD!$A$3:$A$5001,V$3,BD!$B$3:$B$5001,$A$403,BD!$H$3:$H$5001,"&lt;&gt;")=0,"",SUMIFS(BD!$H$3:$H$5001,BD!$A$3:$A$5001,V$3,BD!$B$3:$B$5001,$A$403)))</f>
        <v/>
      </c>
      <c r="W408" s="218" t="str">
        <f>IF(W$3="","",IF(COUNTIFS(BD!$A$3:$A$5001,W$3,BD!$B$3:$B$5001,$A$403,BD!$H$3:$H$5001,"&lt;&gt;")=0,"",SUMIFS(BD!$H$3:$H$5001,BD!$A$3:$A$5001,W$3,BD!$B$3:$B$5001,$A$403)))</f>
        <v/>
      </c>
      <c r="X408" s="218" t="str">
        <f>IF(X$3="","",IF(COUNTIFS(BD!$A$3:$A$5001,X$3,BD!$B$3:$B$5001,$A$403,BD!$H$3:$H$5001,"&lt;&gt;")=0,"",SUMIFS(BD!$H$3:$H$5001,BD!$A$3:$A$5001,X$3,BD!$B$3:$B$5001,$A$403)))</f>
        <v/>
      </c>
      <c r="Y408" s="218" t="str">
        <f>IF(Y$3="","",IF(COUNTIFS(BD!$A$3:$A$5001,Y$3,BD!$B$3:$B$5001,$A$403,BD!$H$3:$H$5001,"&lt;&gt;")=0,"",SUMIFS(BD!$H$3:$H$5001,BD!$A$3:$A$5001,Y$3,BD!$B$3:$B$5001,$A$403)))</f>
        <v/>
      </c>
      <c r="Z408" s="218" t="str">
        <f>IF(Z$3="","",IF(COUNTIFS(BD!$A$3:$A$5001,Z$3,BD!$B$3:$B$5001,$A$403,BD!$H$3:$H$5001,"&lt;&gt;")=0,"",SUMIFS(BD!$H$3:$H$5001,BD!$A$3:$A$5001,Z$3,BD!$B$3:$B$5001,$A$403)))</f>
        <v/>
      </c>
      <c r="AA408" s="218" t="str">
        <f>IF(AA$3="","",IF(COUNTIFS(BD!$A$3:$A$5001,AA$3,BD!$B$3:$B$5001,$A$403,BD!$H$3:$H$5001,"&lt;&gt;")=0,"",SUMIFS(BD!$H$3:$H$5001,BD!$A$3:$A$5001,AA$3,BD!$B$3:$B$5001,$A$403)))</f>
        <v/>
      </c>
      <c r="AB408" s="218" t="str">
        <f>IF(AB$3="","",IF(COUNTIFS(BD!$A$3:$A$5001,AB$3,BD!$B$3:$B$5001,$A$403,BD!$H$3:$H$5001,"&lt;&gt;")=0,"",SUMIFS(BD!$H$3:$H$5001,BD!$A$3:$A$5001,AB$3,BD!$B$3:$B$5001,$A$403)))</f>
        <v/>
      </c>
      <c r="AC408" s="218" t="str">
        <f>IF(AC$3="","",IF(COUNTIFS(BD!$A$3:$A$5001,AC$3,BD!$B$3:$B$5001,$A$403,BD!$H$3:$H$5001,"&lt;&gt;")=0,"",SUMIFS(BD!$H$3:$H$5001,BD!$A$3:$A$5001,AC$3,BD!$B$3:$B$5001,$A$403)))</f>
        <v/>
      </c>
      <c r="AD408" s="218" t="str">
        <f>IF(AD$3="","",IF(COUNTIFS(BD!$A$3:$A$5001,AD$3,BD!$B$3:$B$5001,$A$403,BD!$H$3:$H$5001,"&lt;&gt;")=0,"",SUMIFS(BD!$H$3:$H$5001,BD!$A$3:$A$5001,AD$3,BD!$B$3:$B$5001,$A$403)))</f>
        <v/>
      </c>
      <c r="AE408" s="218" t="str">
        <f>IF(AE$3="","",IF(COUNTIFS(BD!$A$3:$A$5001,AE$3,BD!$B$3:$B$5001,$A$403,BD!$H$3:$H$5001,"&lt;&gt;")=0,"",SUMIFS(BD!$H$3:$H$5001,BD!$A$3:$A$5001,AE$3,BD!$B$3:$B$5001,$A$403)))</f>
        <v/>
      </c>
      <c r="AF408" s="218" t="str">
        <f>IF(AF$3="","",IF(COUNTIFS(BD!$A$3:$A$5001,AF$3,BD!$B$3:$B$5001,$A$403,BD!$H$3:$H$5001,"&lt;&gt;")=0,"",SUMIFS(BD!$H$3:$H$5001,BD!$A$3:$A$5001,AF$3,BD!$B$3:$B$5001,$A$403)))</f>
        <v/>
      </c>
      <c r="AG408" s="218" t="str">
        <f>IF(AG$3="","",IF(COUNTIFS(BD!$A$3:$A$5001,AG$3,BD!$B$3:$B$5001,$A$403,BD!$H$3:$H$5001,"&lt;&gt;")=0,"",SUMIFS(BD!$H$3:$H$5001,BD!$A$3:$A$5001,AG$3,BD!$B$3:$B$5001,$A$403)))</f>
        <v/>
      </c>
      <c r="AH408" s="218" t="str">
        <f>IF(AH$3="","",IF(COUNTIFS(BD!$A$3:$A$5001,AH$3,BD!$B$3:$B$5001,$A$403,BD!$H$3:$H$5001,"&lt;&gt;")=0,"",SUMIFS(BD!$H$3:$H$5001,BD!$A$3:$A$5001,AH$3,BD!$B$3:$B$5001,$A$403)))</f>
        <v/>
      </c>
      <c r="AI408" s="218" t="str">
        <f>IF(AI$3="","",IF(COUNTIFS(BD!$A$3:$A$5001,AI$3,BD!$B$3:$B$5001,$A$403,BD!$H$3:$H$5001,"&lt;&gt;")=0,"",SUMIFS(BD!$H$3:$H$5001,BD!$A$3:$A$5001,AI$3,BD!$B$3:$B$5001,$A$403)))</f>
        <v/>
      </c>
      <c r="AJ408" s="219" t="str">
        <f>IF(AJ$3="","",IF(COUNTIFS(BD!$A$3:$A$5001,AJ$3,BD!$B$3:$B$5001,$A$403,BD!$H$3:$H$5001,"&lt;&gt;")=0,"",SUMIFS(BD!$H$3:$H$5001,BD!$A$3:$A$5001,AJ$3,BD!$B$3:$B$5001,$A$403)))</f>
        <v/>
      </c>
      <c r="AK408" s="220" t="str">
        <f>IF(COUNT(F408:AJ408)=0,"",SUM(F408:AJ408))</f>
        <v/>
      </c>
    </row>
    <row r="409" ht="15.75" customHeight="1" hidden="1">
      <c r="A409" s="261"/>
      <c r="B409" s="256"/>
      <c r="C409" s="214" t="inlineStr">
        <is>
          <t xml:space="preserve">Itens Recebidos CX Mista</t>
        </is>
      </c>
      <c r="D409" s="215" t="str">
        <f>IFERROR(1/(1/INDEX(BD!$AL$29:$BF$29,MATCH($A$403,BD!$AL$22:$BF$22,0))),"")</f>
        <v/>
      </c>
      <c r="E409" s="216"/>
      <c r="F409" s="217" t="str">
        <f>IF(F$3="","",IF(COUNTIFS(BD!$A$3:$A$5001,F$3,BD!$B$3:$B$5001,$A$403,BD!$I$3:$I$5001,"&lt;&gt;")=0,"",SUMIFS(BD!$I$3:$I$5001,BD!$A$3:$A$5001,F$3,BD!$B$3:$B$5001,$A$403)))</f>
        <v/>
      </c>
      <c r="G409" s="218" t="str">
        <f>IF(G$3="","",IF(COUNTIFS(BD!$A$3:$A$5001,G$3,BD!$B$3:$B$5001,$A$403,BD!$I$3:$I$5001,"&lt;&gt;")=0,"",SUMIFS(BD!$I$3:$I$5001,BD!$A$3:$A$5001,G$3,BD!$B$3:$B$5001,$A$403)))</f>
        <v/>
      </c>
      <c r="H409" s="218" t="str">
        <f>IF(H$3="","",IF(COUNTIFS(BD!$A$3:$A$5001,H$3,BD!$B$3:$B$5001,$A$403,BD!$I$3:$I$5001,"&lt;&gt;")=0,"",SUMIFS(BD!$I$3:$I$5001,BD!$A$3:$A$5001,H$3,BD!$B$3:$B$5001,$A$403)))</f>
        <v/>
      </c>
      <c r="I409" s="218" t="str">
        <f>IF(I$3="","",IF(COUNTIFS(BD!$A$3:$A$5001,I$3,BD!$B$3:$B$5001,$A$403,BD!$I$3:$I$5001,"&lt;&gt;")=0,"",SUMIFS(BD!$I$3:$I$5001,BD!$A$3:$A$5001,I$3,BD!$B$3:$B$5001,$A$403)))</f>
        <v/>
      </c>
      <c r="J409" s="218" t="str">
        <f>IF(J$3="","",IF(COUNTIFS(BD!$A$3:$A$5001,J$3,BD!$B$3:$B$5001,$A$403,BD!$I$3:$I$5001,"&lt;&gt;")=0,"",SUMIFS(BD!$I$3:$I$5001,BD!$A$3:$A$5001,J$3,BD!$B$3:$B$5001,$A$403)))</f>
        <v/>
      </c>
      <c r="K409" s="218" t="str">
        <f>IF(K$3="","",IF(COUNTIFS(BD!$A$3:$A$5001,K$3,BD!$B$3:$B$5001,$A$403,BD!$I$3:$I$5001,"&lt;&gt;")=0,"",SUMIFS(BD!$I$3:$I$5001,BD!$A$3:$A$5001,K$3,BD!$B$3:$B$5001,$A$403)))</f>
        <v/>
      </c>
      <c r="L409" s="218" t="str">
        <f>IF(L$3="","",IF(COUNTIFS(BD!$A$3:$A$5001,L$3,BD!$B$3:$B$5001,$A$403,BD!$I$3:$I$5001,"&lt;&gt;")=0,"",SUMIFS(BD!$I$3:$I$5001,BD!$A$3:$A$5001,L$3,BD!$B$3:$B$5001,$A$403)))</f>
        <v/>
      </c>
      <c r="M409" s="218" t="str">
        <f>IF(M$3="","",IF(COUNTIFS(BD!$A$3:$A$5001,M$3,BD!$B$3:$B$5001,$A$403,BD!$I$3:$I$5001,"&lt;&gt;")=0,"",SUMIFS(BD!$I$3:$I$5001,BD!$A$3:$A$5001,M$3,BD!$B$3:$B$5001,$A$403)))</f>
        <v/>
      </c>
      <c r="N409" s="218" t="str">
        <f>IF(N$3="","",IF(COUNTIFS(BD!$A$3:$A$5001,N$3,BD!$B$3:$B$5001,$A$403,BD!$I$3:$I$5001,"&lt;&gt;")=0,"",SUMIFS(BD!$I$3:$I$5001,BD!$A$3:$A$5001,N$3,BD!$B$3:$B$5001,$A$403)))</f>
        <v/>
      </c>
      <c r="O409" s="218" t="str">
        <f>IF(O$3="","",IF(COUNTIFS(BD!$A$3:$A$5001,O$3,BD!$B$3:$B$5001,$A$403,BD!$I$3:$I$5001,"&lt;&gt;")=0,"",SUMIFS(BD!$I$3:$I$5001,BD!$A$3:$A$5001,O$3,BD!$B$3:$B$5001,$A$403)))</f>
        <v/>
      </c>
      <c r="P409" s="218" t="str">
        <f>IF(P$3="","",IF(COUNTIFS(BD!$A$3:$A$5001,P$3,BD!$B$3:$B$5001,$A$403,BD!$I$3:$I$5001,"&lt;&gt;")=0,"",SUMIFS(BD!$I$3:$I$5001,BD!$A$3:$A$5001,P$3,BD!$B$3:$B$5001,$A$403)))</f>
        <v/>
      </c>
      <c r="Q409" s="218" t="str">
        <f>IF(Q$3="","",IF(COUNTIFS(BD!$A$3:$A$5001,Q$3,BD!$B$3:$B$5001,$A$403,BD!$I$3:$I$5001,"&lt;&gt;")=0,"",SUMIFS(BD!$I$3:$I$5001,BD!$A$3:$A$5001,Q$3,BD!$B$3:$B$5001,$A$403)))</f>
        <v/>
      </c>
      <c r="R409" s="218" t="str">
        <f>IF(R$3="","",IF(COUNTIFS(BD!$A$3:$A$5001,R$3,BD!$B$3:$B$5001,$A$403,BD!$I$3:$I$5001,"&lt;&gt;")=0,"",SUMIFS(BD!$I$3:$I$5001,BD!$A$3:$A$5001,R$3,BD!$B$3:$B$5001,$A$403)))</f>
        <v/>
      </c>
      <c r="S409" s="218" t="str">
        <f>IF(S$3="","",IF(COUNTIFS(BD!$A$3:$A$5001,S$3,BD!$B$3:$B$5001,$A$403,BD!$I$3:$I$5001,"&lt;&gt;")=0,"",SUMIFS(BD!$I$3:$I$5001,BD!$A$3:$A$5001,S$3,BD!$B$3:$B$5001,$A$403)))</f>
        <v/>
      </c>
      <c r="T409" s="218" t="str">
        <f>IF(T$3="","",IF(COUNTIFS(BD!$A$3:$A$5001,T$3,BD!$B$3:$B$5001,$A$403,BD!$I$3:$I$5001,"&lt;&gt;")=0,"",SUMIFS(BD!$I$3:$I$5001,BD!$A$3:$A$5001,T$3,BD!$B$3:$B$5001,$A$403)))</f>
        <v/>
      </c>
      <c r="U409" s="218" t="str">
        <f>IF(U$3="","",IF(COUNTIFS(BD!$A$3:$A$5001,U$3,BD!$B$3:$B$5001,$A$403,BD!$I$3:$I$5001,"&lt;&gt;")=0,"",SUMIFS(BD!$I$3:$I$5001,BD!$A$3:$A$5001,U$3,BD!$B$3:$B$5001,$A$403)))</f>
        <v/>
      </c>
      <c r="V409" s="218" t="str">
        <f>IF(V$3="","",IF(COUNTIFS(BD!$A$3:$A$5001,V$3,BD!$B$3:$B$5001,$A$403,BD!$I$3:$I$5001,"&lt;&gt;")=0,"",SUMIFS(BD!$I$3:$I$5001,BD!$A$3:$A$5001,V$3,BD!$B$3:$B$5001,$A$403)))</f>
        <v/>
      </c>
      <c r="W409" s="218" t="str">
        <f>IF(W$3="","",IF(COUNTIFS(BD!$A$3:$A$5001,W$3,BD!$B$3:$B$5001,$A$403,BD!$I$3:$I$5001,"&lt;&gt;")=0,"",SUMIFS(BD!$I$3:$I$5001,BD!$A$3:$A$5001,W$3,BD!$B$3:$B$5001,$A$403)))</f>
        <v/>
      </c>
      <c r="X409" s="218" t="str">
        <f>IF(X$3="","",IF(COUNTIFS(BD!$A$3:$A$5001,X$3,BD!$B$3:$B$5001,$A$403,BD!$I$3:$I$5001,"&lt;&gt;")=0,"",SUMIFS(BD!$I$3:$I$5001,BD!$A$3:$A$5001,X$3,BD!$B$3:$B$5001,$A$403)))</f>
        <v/>
      </c>
      <c r="Y409" s="218" t="str">
        <f>IF(Y$3="","",IF(COUNTIFS(BD!$A$3:$A$5001,Y$3,BD!$B$3:$B$5001,$A$403,BD!$I$3:$I$5001,"&lt;&gt;")=0,"",SUMIFS(BD!$I$3:$I$5001,BD!$A$3:$A$5001,Y$3,BD!$B$3:$B$5001,$A$403)))</f>
        <v/>
      </c>
      <c r="Z409" s="218" t="str">
        <f>IF(Z$3="","",IF(COUNTIFS(BD!$A$3:$A$5001,Z$3,BD!$B$3:$B$5001,$A$403,BD!$I$3:$I$5001,"&lt;&gt;")=0,"",SUMIFS(BD!$I$3:$I$5001,BD!$A$3:$A$5001,Z$3,BD!$B$3:$B$5001,$A$403)))</f>
        <v/>
      </c>
      <c r="AA409" s="218" t="str">
        <f>IF(AA$3="","",IF(COUNTIFS(BD!$A$3:$A$5001,AA$3,BD!$B$3:$B$5001,$A$403,BD!$I$3:$I$5001,"&lt;&gt;")=0,"",SUMIFS(BD!$I$3:$I$5001,BD!$A$3:$A$5001,AA$3,BD!$B$3:$B$5001,$A$403)))</f>
        <v/>
      </c>
      <c r="AB409" s="218" t="str">
        <f>IF(AB$3="","",IF(COUNTIFS(BD!$A$3:$A$5001,AB$3,BD!$B$3:$B$5001,$A$403,BD!$I$3:$I$5001,"&lt;&gt;")=0,"",SUMIFS(BD!$I$3:$I$5001,BD!$A$3:$A$5001,AB$3,BD!$B$3:$B$5001,$A$403)))</f>
        <v/>
      </c>
      <c r="AC409" s="218" t="str">
        <f>IF(AC$3="","",IF(COUNTIFS(BD!$A$3:$A$5001,AC$3,BD!$B$3:$B$5001,$A$403,BD!$I$3:$I$5001,"&lt;&gt;")=0,"",SUMIFS(BD!$I$3:$I$5001,BD!$A$3:$A$5001,AC$3,BD!$B$3:$B$5001,$A$403)))</f>
        <v/>
      </c>
      <c r="AD409" s="218" t="str">
        <f>IF(AD$3="","",IF(COUNTIFS(BD!$A$3:$A$5001,AD$3,BD!$B$3:$B$5001,$A$403,BD!$I$3:$I$5001,"&lt;&gt;")=0,"",SUMIFS(BD!$I$3:$I$5001,BD!$A$3:$A$5001,AD$3,BD!$B$3:$B$5001,$A$403)))</f>
        <v/>
      </c>
      <c r="AE409" s="218" t="str">
        <f>IF(AE$3="","",IF(COUNTIFS(BD!$A$3:$A$5001,AE$3,BD!$B$3:$B$5001,$A$403,BD!$I$3:$I$5001,"&lt;&gt;")=0,"",SUMIFS(BD!$I$3:$I$5001,BD!$A$3:$A$5001,AE$3,BD!$B$3:$B$5001,$A$403)))</f>
        <v/>
      </c>
      <c r="AF409" s="218" t="str">
        <f>IF(AF$3="","",IF(COUNTIFS(BD!$A$3:$A$5001,AF$3,BD!$B$3:$B$5001,$A$403,BD!$I$3:$I$5001,"&lt;&gt;")=0,"",SUMIFS(BD!$I$3:$I$5001,BD!$A$3:$A$5001,AF$3,BD!$B$3:$B$5001,$A$403)))</f>
        <v/>
      </c>
      <c r="AG409" s="218" t="str">
        <f>IF(AG$3="","",IF(COUNTIFS(BD!$A$3:$A$5001,AG$3,BD!$B$3:$B$5001,$A$403,BD!$I$3:$I$5001,"&lt;&gt;")=0,"",SUMIFS(BD!$I$3:$I$5001,BD!$A$3:$A$5001,AG$3,BD!$B$3:$B$5001,$A$403)))</f>
        <v/>
      </c>
      <c r="AH409" s="218" t="str">
        <f>IF(AH$3="","",IF(COUNTIFS(BD!$A$3:$A$5001,AH$3,BD!$B$3:$B$5001,$A$403,BD!$I$3:$I$5001,"&lt;&gt;")=0,"",SUMIFS(BD!$I$3:$I$5001,BD!$A$3:$A$5001,AH$3,BD!$B$3:$B$5001,$A$403)))</f>
        <v/>
      </c>
      <c r="AI409" s="218" t="str">
        <f>IF(AI$3="","",IF(COUNTIFS(BD!$A$3:$A$5001,AI$3,BD!$B$3:$B$5001,$A$403,BD!$I$3:$I$5001,"&lt;&gt;")=0,"",SUMIFS(BD!$I$3:$I$5001,BD!$A$3:$A$5001,AI$3,BD!$B$3:$B$5001,$A$403)))</f>
        <v/>
      </c>
      <c r="AJ409" s="219" t="str">
        <f>IF(AJ$3="","",IF(COUNTIFS(BD!$A$3:$A$5001,AJ$3,BD!$B$3:$B$5001,$A$403,BD!$I$3:$I$5001,"&lt;&gt;")=0,"",SUMIFS(BD!$I$3:$I$5001,BD!$A$3:$A$5001,AJ$3,BD!$B$3:$B$5001,$A$403)))</f>
        <v/>
      </c>
      <c r="AK409" s="220" t="str">
        <f>IF(COUNT(F409:AJ409)=0,"",SUM(F409:AJ409))</f>
        <v/>
      </c>
    </row>
    <row r="410" ht="15.75" customHeight="1" hidden="1">
      <c r="A410" s="261"/>
      <c r="B410" s="256"/>
      <c r="C410" s="214" t="inlineStr">
        <is>
          <t xml:space="preserve">Caixas Fechadas</t>
        </is>
      </c>
      <c r="D410" s="215" t="str">
        <f>IFERROR(1/(1/INDEX(BD!$AL$30:$BF$30,MATCH($A$403,BD!$AL$22:$BF$22,0))),"")</f>
        <v/>
      </c>
      <c r="E410" s="216"/>
      <c r="F410" s="217" t="str">
        <f>IF(F$3="","",IF(COUNTIFS(BD!$A$3:$A$5001,F$3,BD!$B$3:$B$5001,$A$403,BD!$J$3:$J$5001,"&lt;&gt;")=0,"",SUMIFS(BD!$J$3:$J$5001,BD!$A$3:$A$5001,F$3,BD!$B$3:$B$5001,$A$403)))</f>
        <v/>
      </c>
      <c r="G410" s="218" t="str">
        <f>IF(G$3="","",IF(COUNTIFS(BD!$A$3:$A$5001,G$3,BD!$B$3:$B$5001,$A$403,BD!$J$3:$J$5001,"&lt;&gt;")=0,"",SUMIFS(BD!$J$3:$J$5001,BD!$A$3:$A$5001,G$3,BD!$B$3:$B$5001,$A$403)))</f>
        <v/>
      </c>
      <c r="H410" s="218" t="str">
        <f>IF(H$3="","",IF(COUNTIFS(BD!$A$3:$A$5001,H$3,BD!$B$3:$B$5001,$A$403,BD!$J$3:$J$5001,"&lt;&gt;")=0,"",SUMIFS(BD!$J$3:$J$5001,BD!$A$3:$A$5001,H$3,BD!$B$3:$B$5001,$A$403)))</f>
        <v/>
      </c>
      <c r="I410" s="218" t="str">
        <f>IF(I$3="","",IF(COUNTIFS(BD!$A$3:$A$5001,I$3,BD!$B$3:$B$5001,$A$403,BD!$J$3:$J$5001,"&lt;&gt;")=0,"",SUMIFS(BD!$J$3:$J$5001,BD!$A$3:$A$5001,I$3,BD!$B$3:$B$5001,$A$403)))</f>
        <v/>
      </c>
      <c r="J410" s="218" t="str">
        <f>IF(J$3="","",IF(COUNTIFS(BD!$A$3:$A$5001,J$3,BD!$B$3:$B$5001,$A$403,BD!$J$3:$J$5001,"&lt;&gt;")=0,"",SUMIFS(BD!$J$3:$J$5001,BD!$A$3:$A$5001,J$3,BD!$B$3:$B$5001,$A$403)))</f>
        <v/>
      </c>
      <c r="K410" s="218" t="str">
        <f>IF(K$3="","",IF(COUNTIFS(BD!$A$3:$A$5001,K$3,BD!$B$3:$B$5001,$A$403,BD!$J$3:$J$5001,"&lt;&gt;")=0,"",SUMIFS(BD!$J$3:$J$5001,BD!$A$3:$A$5001,K$3,BD!$B$3:$B$5001,$A$403)))</f>
        <v/>
      </c>
      <c r="L410" s="218" t="str">
        <f>IF(L$3="","",IF(COUNTIFS(BD!$A$3:$A$5001,L$3,BD!$B$3:$B$5001,$A$403,BD!$J$3:$J$5001,"&lt;&gt;")=0,"",SUMIFS(BD!$J$3:$J$5001,BD!$A$3:$A$5001,L$3,BD!$B$3:$B$5001,$A$403)))</f>
        <v/>
      </c>
      <c r="M410" s="218" t="str">
        <f>IF(M$3="","",IF(COUNTIFS(BD!$A$3:$A$5001,M$3,BD!$B$3:$B$5001,$A$403,BD!$J$3:$J$5001,"&lt;&gt;")=0,"",SUMIFS(BD!$J$3:$J$5001,BD!$A$3:$A$5001,M$3,BD!$B$3:$B$5001,$A$403)))</f>
        <v/>
      </c>
      <c r="N410" s="218" t="str">
        <f>IF(N$3="","",IF(COUNTIFS(BD!$A$3:$A$5001,N$3,BD!$B$3:$B$5001,$A$403,BD!$J$3:$J$5001,"&lt;&gt;")=0,"",SUMIFS(BD!$J$3:$J$5001,BD!$A$3:$A$5001,N$3,BD!$B$3:$B$5001,$A$403)))</f>
        <v/>
      </c>
      <c r="O410" s="218" t="str">
        <f>IF(O$3="","",IF(COUNTIFS(BD!$A$3:$A$5001,O$3,BD!$B$3:$B$5001,$A$403,BD!$J$3:$J$5001,"&lt;&gt;")=0,"",SUMIFS(BD!$J$3:$J$5001,BD!$A$3:$A$5001,O$3,BD!$B$3:$B$5001,$A$403)))</f>
        <v/>
      </c>
      <c r="P410" s="218" t="str">
        <f>IF(P$3="","",IF(COUNTIFS(BD!$A$3:$A$5001,P$3,BD!$B$3:$B$5001,$A$403,BD!$J$3:$J$5001,"&lt;&gt;")=0,"",SUMIFS(BD!$J$3:$J$5001,BD!$A$3:$A$5001,P$3,BD!$B$3:$B$5001,$A$403)))</f>
        <v/>
      </c>
      <c r="Q410" s="218" t="str">
        <f>IF(Q$3="","",IF(COUNTIFS(BD!$A$3:$A$5001,Q$3,BD!$B$3:$B$5001,$A$403,BD!$J$3:$J$5001,"&lt;&gt;")=0,"",SUMIFS(BD!$J$3:$J$5001,BD!$A$3:$A$5001,Q$3,BD!$B$3:$B$5001,$A$403)))</f>
        <v/>
      </c>
      <c r="R410" s="218" t="str">
        <f>IF(R$3="","",IF(COUNTIFS(BD!$A$3:$A$5001,R$3,BD!$B$3:$B$5001,$A$403,BD!$J$3:$J$5001,"&lt;&gt;")=0,"",SUMIFS(BD!$J$3:$J$5001,BD!$A$3:$A$5001,R$3,BD!$B$3:$B$5001,$A$403)))</f>
        <v/>
      </c>
      <c r="S410" s="218" t="str">
        <f>IF(S$3="","",IF(COUNTIFS(BD!$A$3:$A$5001,S$3,BD!$B$3:$B$5001,$A$403,BD!$J$3:$J$5001,"&lt;&gt;")=0,"",SUMIFS(BD!$J$3:$J$5001,BD!$A$3:$A$5001,S$3,BD!$B$3:$B$5001,$A$403)))</f>
        <v/>
      </c>
      <c r="T410" s="218" t="str">
        <f>IF(T$3="","",IF(COUNTIFS(BD!$A$3:$A$5001,T$3,BD!$B$3:$B$5001,$A$403,BD!$J$3:$J$5001,"&lt;&gt;")=0,"",SUMIFS(BD!$J$3:$J$5001,BD!$A$3:$A$5001,T$3,BD!$B$3:$B$5001,$A$403)))</f>
        <v/>
      </c>
      <c r="U410" s="218" t="str">
        <f>IF(U$3="","",IF(COUNTIFS(BD!$A$3:$A$5001,U$3,BD!$B$3:$B$5001,$A$403,BD!$J$3:$J$5001,"&lt;&gt;")=0,"",SUMIFS(BD!$J$3:$J$5001,BD!$A$3:$A$5001,U$3,BD!$B$3:$B$5001,$A$403)))</f>
        <v/>
      </c>
      <c r="V410" s="218" t="str">
        <f>IF(V$3="","",IF(COUNTIFS(BD!$A$3:$A$5001,V$3,BD!$B$3:$B$5001,$A$403,BD!$J$3:$J$5001,"&lt;&gt;")=0,"",SUMIFS(BD!$J$3:$J$5001,BD!$A$3:$A$5001,V$3,BD!$B$3:$B$5001,$A$403)))</f>
        <v/>
      </c>
      <c r="W410" s="218" t="str">
        <f>IF(W$3="","",IF(COUNTIFS(BD!$A$3:$A$5001,W$3,BD!$B$3:$B$5001,$A$403,BD!$J$3:$J$5001,"&lt;&gt;")=0,"",SUMIFS(BD!$J$3:$J$5001,BD!$A$3:$A$5001,W$3,BD!$B$3:$B$5001,$A$403)))</f>
        <v/>
      </c>
      <c r="X410" s="218" t="str">
        <f>IF(X$3="","",IF(COUNTIFS(BD!$A$3:$A$5001,X$3,BD!$B$3:$B$5001,$A$403,BD!$J$3:$J$5001,"&lt;&gt;")=0,"",SUMIFS(BD!$J$3:$J$5001,BD!$A$3:$A$5001,X$3,BD!$B$3:$B$5001,$A$403)))</f>
        <v/>
      </c>
      <c r="Y410" s="218" t="str">
        <f>IF(Y$3="","",IF(COUNTIFS(BD!$A$3:$A$5001,Y$3,BD!$B$3:$B$5001,$A$403,BD!$J$3:$J$5001,"&lt;&gt;")=0,"",SUMIFS(BD!$J$3:$J$5001,BD!$A$3:$A$5001,Y$3,BD!$B$3:$B$5001,$A$403)))</f>
        <v/>
      </c>
      <c r="Z410" s="218" t="str">
        <f>IF(Z$3="","",IF(COUNTIFS(BD!$A$3:$A$5001,Z$3,BD!$B$3:$B$5001,$A$403,BD!$J$3:$J$5001,"&lt;&gt;")=0,"",SUMIFS(BD!$J$3:$J$5001,BD!$A$3:$A$5001,Z$3,BD!$B$3:$B$5001,$A$403)))</f>
        <v/>
      </c>
      <c r="AA410" s="218" t="str">
        <f>IF(AA$3="","",IF(COUNTIFS(BD!$A$3:$A$5001,AA$3,BD!$B$3:$B$5001,$A$403,BD!$J$3:$J$5001,"&lt;&gt;")=0,"",SUMIFS(BD!$J$3:$J$5001,BD!$A$3:$A$5001,AA$3,BD!$B$3:$B$5001,$A$403)))</f>
        <v/>
      </c>
      <c r="AB410" s="218" t="str">
        <f>IF(AB$3="","",IF(COUNTIFS(BD!$A$3:$A$5001,AB$3,BD!$B$3:$B$5001,$A$403,BD!$J$3:$J$5001,"&lt;&gt;")=0,"",SUMIFS(BD!$J$3:$J$5001,BD!$A$3:$A$5001,AB$3,BD!$B$3:$B$5001,$A$403)))</f>
        <v/>
      </c>
      <c r="AC410" s="218" t="str">
        <f>IF(AC$3="","",IF(COUNTIFS(BD!$A$3:$A$5001,AC$3,BD!$B$3:$B$5001,$A$403,BD!$J$3:$J$5001,"&lt;&gt;")=0,"",SUMIFS(BD!$J$3:$J$5001,BD!$A$3:$A$5001,AC$3,BD!$B$3:$B$5001,$A$403)))</f>
        <v/>
      </c>
      <c r="AD410" s="218" t="str">
        <f>IF(AD$3="","",IF(COUNTIFS(BD!$A$3:$A$5001,AD$3,BD!$B$3:$B$5001,$A$403,BD!$J$3:$J$5001,"&lt;&gt;")=0,"",SUMIFS(BD!$J$3:$J$5001,BD!$A$3:$A$5001,AD$3,BD!$B$3:$B$5001,$A$403)))</f>
        <v/>
      </c>
      <c r="AE410" s="218" t="str">
        <f>IF(AE$3="","",IF(COUNTIFS(BD!$A$3:$A$5001,AE$3,BD!$B$3:$B$5001,$A$403,BD!$J$3:$J$5001,"&lt;&gt;")=0,"",SUMIFS(BD!$J$3:$J$5001,BD!$A$3:$A$5001,AE$3,BD!$B$3:$B$5001,$A$403)))</f>
        <v/>
      </c>
      <c r="AF410" s="218" t="str">
        <f>IF(AF$3="","",IF(COUNTIFS(BD!$A$3:$A$5001,AF$3,BD!$B$3:$B$5001,$A$403,BD!$J$3:$J$5001,"&lt;&gt;")=0,"",SUMIFS(BD!$J$3:$J$5001,BD!$A$3:$A$5001,AF$3,BD!$B$3:$B$5001,$A$403)))</f>
        <v/>
      </c>
      <c r="AG410" s="218" t="str">
        <f>IF(AG$3="","",IF(COUNTIFS(BD!$A$3:$A$5001,AG$3,BD!$B$3:$B$5001,$A$403,BD!$J$3:$J$5001,"&lt;&gt;")=0,"",SUMIFS(BD!$J$3:$J$5001,BD!$A$3:$A$5001,AG$3,BD!$B$3:$B$5001,$A$403)))</f>
        <v/>
      </c>
      <c r="AH410" s="218" t="str">
        <f>IF(AH$3="","",IF(COUNTIFS(BD!$A$3:$A$5001,AH$3,BD!$B$3:$B$5001,$A$403,BD!$J$3:$J$5001,"&lt;&gt;")=0,"",SUMIFS(BD!$J$3:$J$5001,BD!$A$3:$A$5001,AH$3,BD!$B$3:$B$5001,$A$403)))</f>
        <v/>
      </c>
      <c r="AI410" s="218" t="str">
        <f>IF(AI$3="","",IF(COUNTIFS(BD!$A$3:$A$5001,AI$3,BD!$B$3:$B$5001,$A$403,BD!$J$3:$J$5001,"&lt;&gt;")=0,"",SUMIFS(BD!$J$3:$J$5001,BD!$A$3:$A$5001,AI$3,BD!$B$3:$B$5001,$A$403)))</f>
        <v/>
      </c>
      <c r="AJ410" s="219" t="str">
        <f>IF(AJ$3="","",IF(COUNTIFS(BD!$A$3:$A$5001,AJ$3,BD!$B$3:$B$5001,$A$403,BD!$J$3:$J$5001,"&lt;&gt;")=0,"",SUMIFS(BD!$J$3:$J$5001,BD!$A$3:$A$5001,AJ$3,BD!$B$3:$B$5001,$A$403)))</f>
        <v/>
      </c>
      <c r="AK410" s="220" t="str">
        <f>IF(COUNT(F410:AJ410)=0,"",SUM(F410:AJ410))</f>
        <v/>
      </c>
    </row>
    <row r="411" ht="15.75" customHeight="1" hidden="1">
      <c r="A411" s="261"/>
      <c r="B411" s="250"/>
      <c r="C411" s="175" t="inlineStr">
        <is>
          <t xml:space="preserve">Caixas Mistas Recebidas</t>
        </is>
      </c>
      <c r="D411" s="176" t="str">
        <f>IFERROR(1/(1/INDEX(BD!$AL$31:$BF$31,MATCH($A$403,BD!$AL$22:$BF$22,0))),"")</f>
        <v/>
      </c>
      <c r="E411" s="177"/>
      <c r="F411" s="178" t="str">
        <f>IF(F$3="","",IF(COUNTIFS(BD!$A$3:$A$5001,F$3,BD!$B$3:$B$5001,$A$403,BD!$K$3:$K$5001,"&lt;&gt;")=0,"",SUMIFS(BD!$K$3:$K$5001,BD!$A$3:$A$5001,F$3,BD!$B$3:$B$5001,$A$403)))</f>
        <v/>
      </c>
      <c r="G411" s="179" t="str">
        <f>IF(G$3="","",IF(COUNTIFS(BD!$A$3:$A$5001,G$3,BD!$B$3:$B$5001,$A$403,BD!$K$3:$K$5001,"&lt;&gt;")=0,"",SUMIFS(BD!$K$3:$K$5001,BD!$A$3:$A$5001,G$3,BD!$B$3:$B$5001,$A$403)))</f>
        <v/>
      </c>
      <c r="H411" s="179" t="str">
        <f>IF(H$3="","",IF(COUNTIFS(BD!$A$3:$A$5001,H$3,BD!$B$3:$B$5001,$A$403,BD!$K$3:$K$5001,"&lt;&gt;")=0,"",SUMIFS(BD!$K$3:$K$5001,BD!$A$3:$A$5001,H$3,BD!$B$3:$B$5001,$A$403)))</f>
        <v/>
      </c>
      <c r="I411" s="179" t="str">
        <f>IF(I$3="","",IF(COUNTIFS(BD!$A$3:$A$5001,I$3,BD!$B$3:$B$5001,$A$403,BD!$K$3:$K$5001,"&lt;&gt;")=0,"",SUMIFS(BD!$K$3:$K$5001,BD!$A$3:$A$5001,I$3,BD!$B$3:$B$5001,$A$403)))</f>
        <v/>
      </c>
      <c r="J411" s="179" t="str">
        <f>IF(J$3="","",IF(COUNTIFS(BD!$A$3:$A$5001,J$3,BD!$B$3:$B$5001,$A$403,BD!$K$3:$K$5001,"&lt;&gt;")=0,"",SUMIFS(BD!$K$3:$K$5001,BD!$A$3:$A$5001,J$3,BD!$B$3:$B$5001,$A$403)))</f>
        <v/>
      </c>
      <c r="K411" s="179" t="str">
        <f>IF(K$3="","",IF(COUNTIFS(BD!$A$3:$A$5001,K$3,BD!$B$3:$B$5001,$A$403,BD!$K$3:$K$5001,"&lt;&gt;")=0,"",SUMIFS(BD!$K$3:$K$5001,BD!$A$3:$A$5001,K$3,BD!$B$3:$B$5001,$A$403)))</f>
        <v/>
      </c>
      <c r="L411" s="179" t="str">
        <f>IF(L$3="","",IF(COUNTIFS(BD!$A$3:$A$5001,L$3,BD!$B$3:$B$5001,$A$403,BD!$K$3:$K$5001,"&lt;&gt;")=0,"",SUMIFS(BD!$K$3:$K$5001,BD!$A$3:$A$5001,L$3,BD!$B$3:$B$5001,$A$403)))</f>
        <v/>
      </c>
      <c r="M411" s="179" t="str">
        <f>IF(M$3="","",IF(COUNTIFS(BD!$A$3:$A$5001,M$3,BD!$B$3:$B$5001,$A$403,BD!$K$3:$K$5001,"&lt;&gt;")=0,"",SUMIFS(BD!$K$3:$K$5001,BD!$A$3:$A$5001,M$3,BD!$B$3:$B$5001,$A$403)))</f>
        <v/>
      </c>
      <c r="N411" s="179" t="str">
        <f>IF(N$3="","",IF(COUNTIFS(BD!$A$3:$A$5001,N$3,BD!$B$3:$B$5001,$A$403,BD!$K$3:$K$5001,"&lt;&gt;")=0,"",SUMIFS(BD!$K$3:$K$5001,BD!$A$3:$A$5001,N$3,BD!$B$3:$B$5001,$A$403)))</f>
        <v/>
      </c>
      <c r="O411" s="179" t="str">
        <f>IF(O$3="","",IF(COUNTIFS(BD!$A$3:$A$5001,O$3,BD!$B$3:$B$5001,$A$403,BD!$K$3:$K$5001,"&lt;&gt;")=0,"",SUMIFS(BD!$K$3:$K$5001,BD!$A$3:$A$5001,O$3,BD!$B$3:$B$5001,$A$403)))</f>
        <v/>
      </c>
      <c r="P411" s="179" t="str">
        <f>IF(P$3="","",IF(COUNTIFS(BD!$A$3:$A$5001,P$3,BD!$B$3:$B$5001,$A$403,BD!$K$3:$K$5001,"&lt;&gt;")=0,"",SUMIFS(BD!$K$3:$K$5001,BD!$A$3:$A$5001,P$3,BD!$B$3:$B$5001,$A$403)))</f>
        <v/>
      </c>
      <c r="Q411" s="179" t="str">
        <f>IF(Q$3="","",IF(COUNTIFS(BD!$A$3:$A$5001,Q$3,BD!$B$3:$B$5001,$A$403,BD!$K$3:$K$5001,"&lt;&gt;")=0,"",SUMIFS(BD!$K$3:$K$5001,BD!$A$3:$A$5001,Q$3,BD!$B$3:$B$5001,$A$403)))</f>
        <v/>
      </c>
      <c r="R411" s="179" t="str">
        <f>IF(R$3="","",IF(COUNTIFS(BD!$A$3:$A$5001,R$3,BD!$B$3:$B$5001,$A$403,BD!$K$3:$K$5001,"&lt;&gt;")=0,"",SUMIFS(BD!$K$3:$K$5001,BD!$A$3:$A$5001,R$3,BD!$B$3:$B$5001,$A$403)))</f>
        <v/>
      </c>
      <c r="S411" s="179" t="str">
        <f>IF(S$3="","",IF(COUNTIFS(BD!$A$3:$A$5001,S$3,BD!$B$3:$B$5001,$A$403,BD!$K$3:$K$5001,"&lt;&gt;")=0,"",SUMIFS(BD!$K$3:$K$5001,BD!$A$3:$A$5001,S$3,BD!$B$3:$B$5001,$A$403)))</f>
        <v/>
      </c>
      <c r="T411" s="179" t="str">
        <f>IF(T$3="","",IF(COUNTIFS(BD!$A$3:$A$5001,T$3,BD!$B$3:$B$5001,$A$403,BD!$K$3:$K$5001,"&lt;&gt;")=0,"",SUMIFS(BD!$K$3:$K$5001,BD!$A$3:$A$5001,T$3,BD!$B$3:$B$5001,$A$403)))</f>
        <v/>
      </c>
      <c r="U411" s="179" t="str">
        <f>IF(U$3="","",IF(COUNTIFS(BD!$A$3:$A$5001,U$3,BD!$B$3:$B$5001,$A$403,BD!$K$3:$K$5001,"&lt;&gt;")=0,"",SUMIFS(BD!$K$3:$K$5001,BD!$A$3:$A$5001,U$3,BD!$B$3:$B$5001,$A$403)))</f>
        <v/>
      </c>
      <c r="V411" s="179" t="str">
        <f>IF(V$3="","",IF(COUNTIFS(BD!$A$3:$A$5001,V$3,BD!$B$3:$B$5001,$A$403,BD!$K$3:$K$5001,"&lt;&gt;")=0,"",SUMIFS(BD!$K$3:$K$5001,BD!$A$3:$A$5001,V$3,BD!$B$3:$B$5001,$A$403)))</f>
        <v/>
      </c>
      <c r="W411" s="179" t="str">
        <f>IF(W$3="","",IF(COUNTIFS(BD!$A$3:$A$5001,W$3,BD!$B$3:$B$5001,$A$403,BD!$K$3:$K$5001,"&lt;&gt;")=0,"",SUMIFS(BD!$K$3:$K$5001,BD!$A$3:$A$5001,W$3,BD!$B$3:$B$5001,$A$403)))</f>
        <v/>
      </c>
      <c r="X411" s="179" t="str">
        <f>IF(X$3="","",IF(COUNTIFS(BD!$A$3:$A$5001,X$3,BD!$B$3:$B$5001,$A$403,BD!$K$3:$K$5001,"&lt;&gt;")=0,"",SUMIFS(BD!$K$3:$K$5001,BD!$A$3:$A$5001,X$3,BD!$B$3:$B$5001,$A$403)))</f>
        <v/>
      </c>
      <c r="Y411" s="179" t="str">
        <f>IF(Y$3="","",IF(COUNTIFS(BD!$A$3:$A$5001,Y$3,BD!$B$3:$B$5001,$A$403,BD!$K$3:$K$5001,"&lt;&gt;")=0,"",SUMIFS(BD!$K$3:$K$5001,BD!$A$3:$A$5001,Y$3,BD!$B$3:$B$5001,$A$403)))</f>
        <v/>
      </c>
      <c r="Z411" s="179" t="str">
        <f>IF(Z$3="","",IF(COUNTIFS(BD!$A$3:$A$5001,Z$3,BD!$B$3:$B$5001,$A$403,BD!$K$3:$K$5001,"&lt;&gt;")=0,"",SUMIFS(BD!$K$3:$K$5001,BD!$A$3:$A$5001,Z$3,BD!$B$3:$B$5001,$A$403)))</f>
        <v/>
      </c>
      <c r="AA411" s="179" t="str">
        <f>IF(AA$3="","",IF(COUNTIFS(BD!$A$3:$A$5001,AA$3,BD!$B$3:$B$5001,$A$403,BD!$K$3:$K$5001,"&lt;&gt;")=0,"",SUMIFS(BD!$K$3:$K$5001,BD!$A$3:$A$5001,AA$3,BD!$B$3:$B$5001,$A$403)))</f>
        <v/>
      </c>
      <c r="AB411" s="179" t="str">
        <f>IF(AB$3="","",IF(COUNTIFS(BD!$A$3:$A$5001,AB$3,BD!$B$3:$B$5001,$A$403,BD!$K$3:$K$5001,"&lt;&gt;")=0,"",SUMIFS(BD!$K$3:$K$5001,BD!$A$3:$A$5001,AB$3,BD!$B$3:$B$5001,$A$403)))</f>
        <v/>
      </c>
      <c r="AC411" s="179" t="str">
        <f>IF(AC$3="","",IF(COUNTIFS(BD!$A$3:$A$5001,AC$3,BD!$B$3:$B$5001,$A$403,BD!$K$3:$K$5001,"&lt;&gt;")=0,"",SUMIFS(BD!$K$3:$K$5001,BD!$A$3:$A$5001,AC$3,BD!$B$3:$B$5001,$A$403)))</f>
        <v/>
      </c>
      <c r="AD411" s="179" t="str">
        <f>IF(AD$3="","",IF(COUNTIFS(BD!$A$3:$A$5001,AD$3,BD!$B$3:$B$5001,$A$403,BD!$K$3:$K$5001,"&lt;&gt;")=0,"",SUMIFS(BD!$K$3:$K$5001,BD!$A$3:$A$5001,AD$3,BD!$B$3:$B$5001,$A$403)))</f>
        <v/>
      </c>
      <c r="AE411" s="179" t="str">
        <f>IF(AE$3="","",IF(COUNTIFS(BD!$A$3:$A$5001,AE$3,BD!$B$3:$B$5001,$A$403,BD!$K$3:$K$5001,"&lt;&gt;")=0,"",SUMIFS(BD!$K$3:$K$5001,BD!$A$3:$A$5001,AE$3,BD!$B$3:$B$5001,$A$403)))</f>
        <v/>
      </c>
      <c r="AF411" s="179" t="str">
        <f>IF(AF$3="","",IF(COUNTIFS(BD!$A$3:$A$5001,AF$3,BD!$B$3:$B$5001,$A$403,BD!$K$3:$K$5001,"&lt;&gt;")=0,"",SUMIFS(BD!$K$3:$K$5001,BD!$A$3:$A$5001,AF$3,BD!$B$3:$B$5001,$A$403)))</f>
        <v/>
      </c>
      <c r="AG411" s="179" t="str">
        <f>IF(AG$3="","",IF(COUNTIFS(BD!$A$3:$A$5001,AG$3,BD!$B$3:$B$5001,$A$403,BD!$K$3:$K$5001,"&lt;&gt;")=0,"",SUMIFS(BD!$K$3:$K$5001,BD!$A$3:$A$5001,AG$3,BD!$B$3:$B$5001,$A$403)))</f>
        <v/>
      </c>
      <c r="AH411" s="179" t="str">
        <f>IF(AH$3="","",IF(COUNTIFS(BD!$A$3:$A$5001,AH$3,BD!$B$3:$B$5001,$A$403,BD!$K$3:$K$5001,"&lt;&gt;")=0,"",SUMIFS(BD!$K$3:$K$5001,BD!$A$3:$A$5001,AH$3,BD!$B$3:$B$5001,$A$403)))</f>
        <v/>
      </c>
      <c r="AI411" s="179" t="str">
        <f>IF(AI$3="","",IF(COUNTIFS(BD!$A$3:$A$5001,AI$3,BD!$B$3:$B$5001,$A$403,BD!$K$3:$K$5001,"&lt;&gt;")=0,"",SUMIFS(BD!$K$3:$K$5001,BD!$A$3:$A$5001,AI$3,BD!$B$3:$B$5001,$A$403)))</f>
        <v/>
      </c>
      <c r="AJ411" s="180" t="str">
        <f>IF(AJ$3="","",IF(COUNTIFS(BD!$A$3:$A$5001,AJ$3,BD!$B$3:$B$5001,$A$403,BD!$K$3:$K$5001,"&lt;&gt;")=0,"",SUMIFS(BD!$K$3:$K$5001,BD!$A$3:$A$5001,AJ$3,BD!$B$3:$B$5001,$A$403)))</f>
        <v/>
      </c>
      <c r="AK411" s="176" t="str">
        <f>IF(COUNT(F411:AJ411)=0,"",SUM(F411:AJ411))</f>
        <v/>
      </c>
    </row>
    <row r="412" ht="15.75" customHeight="1" hidden="1">
      <c r="A412" s="261"/>
      <c r="B412" s="251" t="inlineStr">
        <is>
          <t xml:space="preserve">OUT</t>
        </is>
      </c>
      <c r="C412" s="181" t="inlineStr">
        <is>
          <t xml:space="preserve">Veículos Expedidos</t>
        </is>
      </c>
      <c r="D412" s="182" t="str">
        <f>IFERROR(1/(1/INDEX(BD!$AL$32:$BF$32,MATCH($A$403,BD!$AL$22:$BF$22,0))),"")</f>
        <v/>
      </c>
      <c r="E412" s="183"/>
      <c r="F412" s="184" t="str">
        <f>IF(F$3="","",IF(COUNTIFS(BD!$A$3:$A$5001,F$3,BD!$B$3:$B$5001,$A$403,BD!$L$3:$L$5001,"&lt;&gt;")=0,"",SUMIFS(BD!$L$3:$L$5001,BD!$A$3:$A$5001,F$3,BD!$B$3:$B$5001,$A$403)))</f>
        <v/>
      </c>
      <c r="G412" s="185" t="str">
        <f>IF(G$3="","",IF(COUNTIFS(BD!$A$3:$A$5001,G$3,BD!$B$3:$B$5001,$A$403,BD!$L$3:$L$5001,"&lt;&gt;")=0,"",SUMIFS(BD!$L$3:$L$5001,BD!$A$3:$A$5001,G$3,BD!$B$3:$B$5001,$A$403)))</f>
        <v/>
      </c>
      <c r="H412" s="185" t="str">
        <f>IF(H$3="","",IF(COUNTIFS(BD!$A$3:$A$5001,H$3,BD!$B$3:$B$5001,$A$403,BD!$L$3:$L$5001,"&lt;&gt;")=0,"",SUMIFS(BD!$L$3:$L$5001,BD!$A$3:$A$5001,H$3,BD!$B$3:$B$5001,$A$403)))</f>
        <v/>
      </c>
      <c r="I412" s="185" t="str">
        <f>IF(I$3="","",IF(COUNTIFS(BD!$A$3:$A$5001,I$3,BD!$B$3:$B$5001,$A$403,BD!$L$3:$L$5001,"&lt;&gt;")=0,"",SUMIFS(BD!$L$3:$L$5001,BD!$A$3:$A$5001,I$3,BD!$B$3:$B$5001,$A$403)))</f>
        <v/>
      </c>
      <c r="J412" s="185" t="str">
        <f>IF(J$3="","",IF(COUNTIFS(BD!$A$3:$A$5001,J$3,BD!$B$3:$B$5001,$A$403,BD!$L$3:$L$5001,"&lt;&gt;")=0,"",SUMIFS(BD!$L$3:$L$5001,BD!$A$3:$A$5001,J$3,BD!$B$3:$B$5001,$A$403)))</f>
        <v/>
      </c>
      <c r="K412" s="185" t="str">
        <f>IF(K$3="","",IF(COUNTIFS(BD!$A$3:$A$5001,K$3,BD!$B$3:$B$5001,$A$403,BD!$L$3:$L$5001,"&lt;&gt;")=0,"",SUMIFS(BD!$L$3:$L$5001,BD!$A$3:$A$5001,K$3,BD!$B$3:$B$5001,$A$403)))</f>
        <v/>
      </c>
      <c r="L412" s="185" t="str">
        <f>IF(L$3="","",IF(COUNTIFS(BD!$A$3:$A$5001,L$3,BD!$B$3:$B$5001,$A$403,BD!$L$3:$L$5001,"&lt;&gt;")=0,"",SUMIFS(BD!$L$3:$L$5001,BD!$A$3:$A$5001,L$3,BD!$B$3:$B$5001,$A$403)))</f>
        <v/>
      </c>
      <c r="M412" s="185" t="str">
        <f>IF(M$3="","",IF(COUNTIFS(BD!$A$3:$A$5001,M$3,BD!$B$3:$B$5001,$A$403,BD!$L$3:$L$5001,"&lt;&gt;")=0,"",SUMIFS(BD!$L$3:$L$5001,BD!$A$3:$A$5001,M$3,BD!$B$3:$B$5001,$A$403)))</f>
        <v/>
      </c>
      <c r="N412" s="185" t="str">
        <f>IF(N$3="","",IF(COUNTIFS(BD!$A$3:$A$5001,N$3,BD!$B$3:$B$5001,$A$403,BD!$L$3:$L$5001,"&lt;&gt;")=0,"",SUMIFS(BD!$L$3:$L$5001,BD!$A$3:$A$5001,N$3,BD!$B$3:$B$5001,$A$403)))</f>
        <v/>
      </c>
      <c r="O412" s="185" t="str">
        <f>IF(O$3="","",IF(COUNTIFS(BD!$A$3:$A$5001,O$3,BD!$B$3:$B$5001,$A$403,BD!$L$3:$L$5001,"&lt;&gt;")=0,"",SUMIFS(BD!$L$3:$L$5001,BD!$A$3:$A$5001,O$3,BD!$B$3:$B$5001,$A$403)))</f>
        <v/>
      </c>
      <c r="P412" s="185" t="str">
        <f>IF(P$3="","",IF(COUNTIFS(BD!$A$3:$A$5001,P$3,BD!$B$3:$B$5001,$A$403,BD!$L$3:$L$5001,"&lt;&gt;")=0,"",SUMIFS(BD!$L$3:$L$5001,BD!$A$3:$A$5001,P$3,BD!$B$3:$B$5001,$A$403)))</f>
        <v/>
      </c>
      <c r="Q412" s="185" t="str">
        <f>IF(Q$3="","",IF(COUNTIFS(BD!$A$3:$A$5001,Q$3,BD!$B$3:$B$5001,$A$403,BD!$L$3:$L$5001,"&lt;&gt;")=0,"",SUMIFS(BD!$L$3:$L$5001,BD!$A$3:$A$5001,Q$3,BD!$B$3:$B$5001,$A$403)))</f>
        <v/>
      </c>
      <c r="R412" s="185" t="str">
        <f>IF(R$3="","",IF(COUNTIFS(BD!$A$3:$A$5001,R$3,BD!$B$3:$B$5001,$A$403,BD!$L$3:$L$5001,"&lt;&gt;")=0,"",SUMIFS(BD!$L$3:$L$5001,BD!$A$3:$A$5001,R$3,BD!$B$3:$B$5001,$A$403)))</f>
        <v/>
      </c>
      <c r="S412" s="185" t="str">
        <f>IF(S$3="","",IF(COUNTIFS(BD!$A$3:$A$5001,S$3,BD!$B$3:$B$5001,$A$403,BD!$L$3:$L$5001,"&lt;&gt;")=0,"",SUMIFS(BD!$L$3:$L$5001,BD!$A$3:$A$5001,S$3,BD!$B$3:$B$5001,$A$403)))</f>
        <v/>
      </c>
      <c r="T412" s="185" t="str">
        <f>IF(T$3="","",IF(COUNTIFS(BD!$A$3:$A$5001,T$3,BD!$B$3:$B$5001,$A$403,BD!$L$3:$L$5001,"&lt;&gt;")=0,"",SUMIFS(BD!$L$3:$L$5001,BD!$A$3:$A$5001,T$3,BD!$B$3:$B$5001,$A$403)))</f>
        <v/>
      </c>
      <c r="U412" s="185" t="str">
        <f>IF(U$3="","",IF(COUNTIFS(BD!$A$3:$A$5001,U$3,BD!$B$3:$B$5001,$A$403,BD!$L$3:$L$5001,"&lt;&gt;")=0,"",SUMIFS(BD!$L$3:$L$5001,BD!$A$3:$A$5001,U$3,BD!$B$3:$B$5001,$A$403)))</f>
        <v/>
      </c>
      <c r="V412" s="185" t="str">
        <f>IF(V$3="","",IF(COUNTIFS(BD!$A$3:$A$5001,V$3,BD!$B$3:$B$5001,$A$403,BD!$L$3:$L$5001,"&lt;&gt;")=0,"",SUMIFS(BD!$L$3:$L$5001,BD!$A$3:$A$5001,V$3,BD!$B$3:$B$5001,$A$403)))</f>
        <v/>
      </c>
      <c r="W412" s="185" t="str">
        <f>IF(W$3="","",IF(COUNTIFS(BD!$A$3:$A$5001,W$3,BD!$B$3:$B$5001,$A$403,BD!$L$3:$L$5001,"&lt;&gt;")=0,"",SUMIFS(BD!$L$3:$L$5001,BD!$A$3:$A$5001,W$3,BD!$B$3:$B$5001,$A$403)))</f>
        <v/>
      </c>
      <c r="X412" s="185" t="str">
        <f>IF(X$3="","",IF(COUNTIFS(BD!$A$3:$A$5001,X$3,BD!$B$3:$B$5001,$A$403,BD!$L$3:$L$5001,"&lt;&gt;")=0,"",SUMIFS(BD!$L$3:$L$5001,BD!$A$3:$A$5001,X$3,BD!$B$3:$B$5001,$A$403)))</f>
        <v/>
      </c>
      <c r="Y412" s="185" t="str">
        <f>IF(Y$3="","",IF(COUNTIFS(BD!$A$3:$A$5001,Y$3,BD!$B$3:$B$5001,$A$403,BD!$L$3:$L$5001,"&lt;&gt;")=0,"",SUMIFS(BD!$L$3:$L$5001,BD!$A$3:$A$5001,Y$3,BD!$B$3:$B$5001,$A$403)))</f>
        <v/>
      </c>
      <c r="Z412" s="185" t="str">
        <f>IF(Z$3="","",IF(COUNTIFS(BD!$A$3:$A$5001,Z$3,BD!$B$3:$B$5001,$A$403,BD!$L$3:$L$5001,"&lt;&gt;")=0,"",SUMIFS(BD!$L$3:$L$5001,BD!$A$3:$A$5001,Z$3,BD!$B$3:$B$5001,$A$403)))</f>
        <v/>
      </c>
      <c r="AA412" s="185" t="str">
        <f>IF(AA$3="","",IF(COUNTIFS(BD!$A$3:$A$5001,AA$3,BD!$B$3:$B$5001,$A$403,BD!$L$3:$L$5001,"&lt;&gt;")=0,"",SUMIFS(BD!$L$3:$L$5001,BD!$A$3:$A$5001,AA$3,BD!$B$3:$B$5001,$A$403)))</f>
        <v/>
      </c>
      <c r="AB412" s="185" t="str">
        <f>IF(AB$3="","",IF(COUNTIFS(BD!$A$3:$A$5001,AB$3,BD!$B$3:$B$5001,$A$403,BD!$L$3:$L$5001,"&lt;&gt;")=0,"",SUMIFS(BD!$L$3:$L$5001,BD!$A$3:$A$5001,AB$3,BD!$B$3:$B$5001,$A$403)))</f>
        <v/>
      </c>
      <c r="AC412" s="185" t="str">
        <f>IF(AC$3="","",IF(COUNTIFS(BD!$A$3:$A$5001,AC$3,BD!$B$3:$B$5001,$A$403,BD!$L$3:$L$5001,"&lt;&gt;")=0,"",SUMIFS(BD!$L$3:$L$5001,BD!$A$3:$A$5001,AC$3,BD!$B$3:$B$5001,$A$403)))</f>
        <v/>
      </c>
      <c r="AD412" s="185" t="str">
        <f>IF(AD$3="","",IF(COUNTIFS(BD!$A$3:$A$5001,AD$3,BD!$B$3:$B$5001,$A$403,BD!$L$3:$L$5001,"&lt;&gt;")=0,"",SUMIFS(BD!$L$3:$L$5001,BD!$A$3:$A$5001,AD$3,BD!$B$3:$B$5001,$A$403)))</f>
        <v/>
      </c>
      <c r="AE412" s="185" t="str">
        <f>IF(AE$3="","",IF(COUNTIFS(BD!$A$3:$A$5001,AE$3,BD!$B$3:$B$5001,$A$403,BD!$L$3:$L$5001,"&lt;&gt;")=0,"",SUMIFS(BD!$L$3:$L$5001,BD!$A$3:$A$5001,AE$3,BD!$B$3:$B$5001,$A$403)))</f>
        <v/>
      </c>
      <c r="AF412" s="185" t="str">
        <f>IF(AF$3="","",IF(COUNTIFS(BD!$A$3:$A$5001,AF$3,BD!$B$3:$B$5001,$A$403,BD!$L$3:$L$5001,"&lt;&gt;")=0,"",SUMIFS(BD!$L$3:$L$5001,BD!$A$3:$A$5001,AF$3,BD!$B$3:$B$5001,$A$403)))</f>
        <v/>
      </c>
      <c r="AG412" s="185" t="str">
        <f>IF(AG$3="","",IF(COUNTIFS(BD!$A$3:$A$5001,AG$3,BD!$B$3:$B$5001,$A$403,BD!$L$3:$L$5001,"&lt;&gt;")=0,"",SUMIFS(BD!$L$3:$L$5001,BD!$A$3:$A$5001,AG$3,BD!$B$3:$B$5001,$A$403)))</f>
        <v/>
      </c>
      <c r="AH412" s="185" t="str">
        <f>IF(AH$3="","",IF(COUNTIFS(BD!$A$3:$A$5001,AH$3,BD!$B$3:$B$5001,$A$403,BD!$L$3:$L$5001,"&lt;&gt;")=0,"",SUMIFS(BD!$L$3:$L$5001,BD!$A$3:$A$5001,AH$3,BD!$B$3:$B$5001,$A$403)))</f>
        <v/>
      </c>
      <c r="AI412" s="185" t="str">
        <f>IF(AI$3="","",IF(COUNTIFS(BD!$A$3:$A$5001,AI$3,BD!$B$3:$B$5001,$A$403,BD!$L$3:$L$5001,"&lt;&gt;")=0,"",SUMIFS(BD!$L$3:$L$5001,BD!$A$3:$A$5001,AI$3,BD!$B$3:$B$5001,$A$403)))</f>
        <v/>
      </c>
      <c r="AJ412" s="186" t="str">
        <f>IF(AJ$3="","",IF(COUNTIFS(BD!$A$3:$A$5001,AJ$3,BD!$B$3:$B$5001,$A$403,BD!$L$3:$L$5001,"&lt;&gt;")=0,"",SUMIFS(BD!$L$3:$L$5001,BD!$A$3:$A$5001,AJ$3,BD!$B$3:$B$5001,$A$403)))</f>
        <v/>
      </c>
      <c r="AK412" s="187" t="str">
        <f>IF(COUNT(F412:AJ412)=0,"",SUM(F412:AJ412))</f>
        <v/>
      </c>
    </row>
    <row r="413" ht="15.75" customHeight="1" hidden="1">
      <c r="A413" s="261"/>
      <c r="B413" s="278"/>
      <c r="C413" s="267" t="inlineStr">
        <is>
          <t xml:space="preserve">Pedidos Expedidos</t>
        </is>
      </c>
      <c r="D413" s="268" t="str">
        <f>IFERROR(1/(1/INDEX(BD!$AL$33:$BF$33,MATCH($A$403,BD!$AL$22:$BF$22,0))),"")</f>
        <v/>
      </c>
      <c r="E413" s="269"/>
      <c r="F413" s="270" t="str">
        <f>IF(F$3="","",IF(COUNTIFS(BD!$A$3:$A$5001,F$3,BD!$B$3:$B$5001,$A$403,BD!$M$3:$M$5001,"&lt;&gt;")=0,"",SUMIFS(BD!$M$3:$M$5001,BD!$A$3:$A$5001,F$3,BD!$B$3:$B$5001,$A$403)))</f>
        <v/>
      </c>
      <c r="G413" s="271" t="str">
        <f>IF(G$3="","",IF(COUNTIFS(BD!$A$3:$A$5001,G$3,BD!$B$3:$B$5001,$A$403,BD!$M$3:$M$5001,"&lt;&gt;")=0,"",SUMIFS(BD!$M$3:$M$5001,BD!$A$3:$A$5001,G$3,BD!$B$3:$B$5001,$A$403)))</f>
        <v/>
      </c>
      <c r="H413" s="271" t="str">
        <f>IF(H$3="","",IF(COUNTIFS(BD!$A$3:$A$5001,H$3,BD!$B$3:$B$5001,$A$403,BD!$M$3:$M$5001,"&lt;&gt;")=0,"",SUMIFS(BD!$M$3:$M$5001,BD!$A$3:$A$5001,H$3,BD!$B$3:$B$5001,$A$403)))</f>
        <v/>
      </c>
      <c r="I413" s="271" t="str">
        <f>IF(I$3="","",IF(COUNTIFS(BD!$A$3:$A$5001,I$3,BD!$B$3:$B$5001,$A$403,BD!$M$3:$M$5001,"&lt;&gt;")=0,"",SUMIFS(BD!$M$3:$M$5001,BD!$A$3:$A$5001,I$3,BD!$B$3:$B$5001,$A$403)))</f>
        <v/>
      </c>
      <c r="J413" s="271" t="str">
        <f>IF(J$3="","",IF(COUNTIFS(BD!$A$3:$A$5001,J$3,BD!$B$3:$B$5001,$A$403,BD!$M$3:$M$5001,"&lt;&gt;")=0,"",SUMIFS(BD!$M$3:$M$5001,BD!$A$3:$A$5001,J$3,BD!$B$3:$B$5001,$A$403)))</f>
        <v/>
      </c>
      <c r="K413" s="271" t="str">
        <f>IF(K$3="","",IF(COUNTIFS(BD!$A$3:$A$5001,K$3,BD!$B$3:$B$5001,$A$403,BD!$M$3:$M$5001,"&lt;&gt;")=0,"",SUMIFS(BD!$M$3:$M$5001,BD!$A$3:$A$5001,K$3,BD!$B$3:$B$5001,$A$403)))</f>
        <v/>
      </c>
      <c r="L413" s="271" t="str">
        <f>IF(L$3="","",IF(COUNTIFS(BD!$A$3:$A$5001,L$3,BD!$B$3:$B$5001,$A$403,BD!$M$3:$M$5001,"&lt;&gt;")=0,"",SUMIFS(BD!$M$3:$M$5001,BD!$A$3:$A$5001,L$3,BD!$B$3:$B$5001,$A$403)))</f>
        <v/>
      </c>
      <c r="M413" s="271" t="str">
        <f>IF(M$3="","",IF(COUNTIFS(BD!$A$3:$A$5001,M$3,BD!$B$3:$B$5001,$A$403,BD!$M$3:$M$5001,"&lt;&gt;")=0,"",SUMIFS(BD!$M$3:$M$5001,BD!$A$3:$A$5001,M$3,BD!$B$3:$B$5001,$A$403)))</f>
        <v/>
      </c>
      <c r="N413" s="271" t="str">
        <f>IF(N$3="","",IF(COUNTIFS(BD!$A$3:$A$5001,N$3,BD!$B$3:$B$5001,$A$403,BD!$M$3:$M$5001,"&lt;&gt;")=0,"",SUMIFS(BD!$M$3:$M$5001,BD!$A$3:$A$5001,N$3,BD!$B$3:$B$5001,$A$403)))</f>
        <v/>
      </c>
      <c r="O413" s="271" t="str">
        <f>IF(O$3="","",IF(COUNTIFS(BD!$A$3:$A$5001,O$3,BD!$B$3:$B$5001,$A$403,BD!$M$3:$M$5001,"&lt;&gt;")=0,"",SUMIFS(BD!$M$3:$M$5001,BD!$A$3:$A$5001,O$3,BD!$B$3:$B$5001,$A$403)))</f>
        <v/>
      </c>
      <c r="P413" s="271" t="str">
        <f>IF(P$3="","",IF(COUNTIFS(BD!$A$3:$A$5001,P$3,BD!$B$3:$B$5001,$A$403,BD!$M$3:$M$5001,"&lt;&gt;")=0,"",SUMIFS(BD!$M$3:$M$5001,BD!$A$3:$A$5001,P$3,BD!$B$3:$B$5001,$A$403)))</f>
        <v/>
      </c>
      <c r="Q413" s="271" t="str">
        <f>IF(Q$3="","",IF(COUNTIFS(BD!$A$3:$A$5001,Q$3,BD!$B$3:$B$5001,$A$403,BD!$M$3:$M$5001,"&lt;&gt;")=0,"",SUMIFS(BD!$M$3:$M$5001,BD!$A$3:$A$5001,Q$3,BD!$B$3:$B$5001,$A$403)))</f>
        <v/>
      </c>
      <c r="R413" s="271" t="str">
        <f>IF(R$3="","",IF(COUNTIFS(BD!$A$3:$A$5001,R$3,BD!$B$3:$B$5001,$A$403,BD!$M$3:$M$5001,"&lt;&gt;")=0,"",SUMIFS(BD!$M$3:$M$5001,BD!$A$3:$A$5001,R$3,BD!$B$3:$B$5001,$A$403)))</f>
        <v/>
      </c>
      <c r="S413" s="271" t="str">
        <f>IF(S$3="","",IF(COUNTIFS(BD!$A$3:$A$5001,S$3,BD!$B$3:$B$5001,$A$403,BD!$M$3:$M$5001,"&lt;&gt;")=0,"",SUMIFS(BD!$M$3:$M$5001,BD!$A$3:$A$5001,S$3,BD!$B$3:$B$5001,$A$403)))</f>
        <v/>
      </c>
      <c r="T413" s="271" t="str">
        <f>IF(T$3="","",IF(COUNTIFS(BD!$A$3:$A$5001,T$3,BD!$B$3:$B$5001,$A$403,BD!$M$3:$M$5001,"&lt;&gt;")=0,"",SUMIFS(BD!$M$3:$M$5001,BD!$A$3:$A$5001,T$3,BD!$B$3:$B$5001,$A$403)))</f>
        <v/>
      </c>
      <c r="U413" s="271" t="str">
        <f>IF(U$3="","",IF(COUNTIFS(BD!$A$3:$A$5001,U$3,BD!$B$3:$B$5001,$A$403,BD!$M$3:$M$5001,"&lt;&gt;")=0,"",SUMIFS(BD!$M$3:$M$5001,BD!$A$3:$A$5001,U$3,BD!$B$3:$B$5001,$A$403)))</f>
        <v/>
      </c>
      <c r="V413" s="271" t="str">
        <f>IF(V$3="","",IF(COUNTIFS(BD!$A$3:$A$5001,V$3,BD!$B$3:$B$5001,$A$403,BD!$M$3:$M$5001,"&lt;&gt;")=0,"",SUMIFS(BD!$M$3:$M$5001,BD!$A$3:$A$5001,V$3,BD!$B$3:$B$5001,$A$403)))</f>
        <v/>
      </c>
      <c r="W413" s="271" t="str">
        <f>IF(W$3="","",IF(COUNTIFS(BD!$A$3:$A$5001,W$3,BD!$B$3:$B$5001,$A$403,BD!$M$3:$M$5001,"&lt;&gt;")=0,"",SUMIFS(BD!$M$3:$M$5001,BD!$A$3:$A$5001,W$3,BD!$B$3:$B$5001,$A$403)))</f>
        <v/>
      </c>
      <c r="X413" s="271" t="str">
        <f>IF(X$3="","",IF(COUNTIFS(BD!$A$3:$A$5001,X$3,BD!$B$3:$B$5001,$A$403,BD!$M$3:$M$5001,"&lt;&gt;")=0,"",SUMIFS(BD!$M$3:$M$5001,BD!$A$3:$A$5001,X$3,BD!$B$3:$B$5001,$A$403)))</f>
        <v/>
      </c>
      <c r="Y413" s="271" t="str">
        <f>IF(Y$3="","",IF(COUNTIFS(BD!$A$3:$A$5001,Y$3,BD!$B$3:$B$5001,$A$403,BD!$M$3:$M$5001,"&lt;&gt;")=0,"",SUMIFS(BD!$M$3:$M$5001,BD!$A$3:$A$5001,Y$3,BD!$B$3:$B$5001,$A$403)))</f>
        <v/>
      </c>
      <c r="Z413" s="271" t="str">
        <f>IF(Z$3="","",IF(COUNTIFS(BD!$A$3:$A$5001,Z$3,BD!$B$3:$B$5001,$A$403,BD!$M$3:$M$5001,"&lt;&gt;")=0,"",SUMIFS(BD!$M$3:$M$5001,BD!$A$3:$A$5001,Z$3,BD!$B$3:$B$5001,$A$403)))</f>
        <v/>
      </c>
      <c r="AA413" s="271" t="str">
        <f>IF(AA$3="","",IF(COUNTIFS(BD!$A$3:$A$5001,AA$3,BD!$B$3:$B$5001,$A$403,BD!$M$3:$M$5001,"&lt;&gt;")=0,"",SUMIFS(BD!$M$3:$M$5001,BD!$A$3:$A$5001,AA$3,BD!$B$3:$B$5001,$A$403)))</f>
        <v/>
      </c>
      <c r="AB413" s="271" t="str">
        <f>IF(AB$3="","",IF(COUNTIFS(BD!$A$3:$A$5001,AB$3,BD!$B$3:$B$5001,$A$403,BD!$M$3:$M$5001,"&lt;&gt;")=0,"",SUMIFS(BD!$M$3:$M$5001,BD!$A$3:$A$5001,AB$3,BD!$B$3:$B$5001,$A$403)))</f>
        <v/>
      </c>
      <c r="AC413" s="271" t="str">
        <f>IF(AC$3="","",IF(COUNTIFS(BD!$A$3:$A$5001,AC$3,BD!$B$3:$B$5001,$A$403,BD!$M$3:$M$5001,"&lt;&gt;")=0,"",SUMIFS(BD!$M$3:$M$5001,BD!$A$3:$A$5001,AC$3,BD!$B$3:$B$5001,$A$403)))</f>
        <v/>
      </c>
      <c r="AD413" s="271" t="str">
        <f>IF(AD$3="","",IF(COUNTIFS(BD!$A$3:$A$5001,AD$3,BD!$B$3:$B$5001,$A$403,BD!$M$3:$M$5001,"&lt;&gt;")=0,"",SUMIFS(BD!$M$3:$M$5001,BD!$A$3:$A$5001,AD$3,BD!$B$3:$B$5001,$A$403)))</f>
        <v/>
      </c>
      <c r="AE413" s="271" t="str">
        <f>IF(AE$3="","",IF(COUNTIFS(BD!$A$3:$A$5001,AE$3,BD!$B$3:$B$5001,$A$403,BD!$M$3:$M$5001,"&lt;&gt;")=0,"",SUMIFS(BD!$M$3:$M$5001,BD!$A$3:$A$5001,AE$3,BD!$B$3:$B$5001,$A$403)))</f>
        <v/>
      </c>
      <c r="AF413" s="271" t="str">
        <f>IF(AF$3="","",IF(COUNTIFS(BD!$A$3:$A$5001,AF$3,BD!$B$3:$B$5001,$A$403,BD!$M$3:$M$5001,"&lt;&gt;")=0,"",SUMIFS(BD!$M$3:$M$5001,BD!$A$3:$A$5001,AF$3,BD!$B$3:$B$5001,$A$403)))</f>
        <v/>
      </c>
      <c r="AG413" s="271" t="str">
        <f>IF(AG$3="","",IF(COUNTIFS(BD!$A$3:$A$5001,AG$3,BD!$B$3:$B$5001,$A$403,BD!$M$3:$M$5001,"&lt;&gt;")=0,"",SUMIFS(BD!$M$3:$M$5001,BD!$A$3:$A$5001,AG$3,BD!$B$3:$B$5001,$A$403)))</f>
        <v/>
      </c>
      <c r="AH413" s="271" t="str">
        <f>IF(AH$3="","",IF(COUNTIFS(BD!$A$3:$A$5001,AH$3,BD!$B$3:$B$5001,$A$403,BD!$M$3:$M$5001,"&lt;&gt;")=0,"",SUMIFS(BD!$M$3:$M$5001,BD!$A$3:$A$5001,AH$3,BD!$B$3:$B$5001,$A$403)))</f>
        <v/>
      </c>
      <c r="AI413" s="271" t="str">
        <f>IF(AI$3="","",IF(COUNTIFS(BD!$A$3:$A$5001,AI$3,BD!$B$3:$B$5001,$A$403,BD!$M$3:$M$5001,"&lt;&gt;")=0,"",SUMIFS(BD!$M$3:$M$5001,BD!$A$3:$A$5001,AI$3,BD!$B$3:$B$5001,$A$403)))</f>
        <v/>
      </c>
      <c r="AJ413" s="272" t="str">
        <f>IF(AJ$3="","",IF(COUNTIFS(BD!$A$3:$A$5001,AJ$3,BD!$B$3:$B$5001,$A$403,BD!$M$3:$M$5001,"&lt;&gt;")=0,"",SUMIFS(BD!$M$3:$M$5001,BD!$A$3:$A$5001,AJ$3,BD!$B$3:$B$5001,$A$403)))</f>
        <v/>
      </c>
      <c r="AK413" s="273" t="str">
        <f>IF(COUNT(F413:AJ413)=0,"",SUM(F413:AJ413))</f>
        <v/>
      </c>
    </row>
    <row r="414" ht="15.75" customHeight="1" hidden="1">
      <c r="A414" s="261"/>
      <c r="B414" s="278"/>
      <c r="C414" s="267" t="inlineStr">
        <is>
          <t xml:space="preserve">Pedidos Faturados</t>
        </is>
      </c>
      <c r="D414" s="268" t="str">
        <f>IFERROR(1/(1/INDEX(BD!$AL$34:$BF$34,MATCH($A$403,BD!$AL$22:$BF$22,0))),"")</f>
        <v/>
      </c>
      <c r="E414" s="269"/>
      <c r="F414" s="270" t="str">
        <f>IF(F$3="","",IF(COUNTIFS(BD!$A$3:$A$5001,F$3,BD!$B$3:$B$5001,$A$403,BD!$N$3:$N$5001,"&lt;&gt;")=0,"",SUMIFS(BD!$N$3:$N$5001,BD!$A$3:$A$5001,F$3,BD!$B$3:$B$5001,$A$403)))</f>
        <v/>
      </c>
      <c r="G414" s="271" t="str">
        <f>IF(G$3="","",IF(COUNTIFS(BD!$A$3:$A$5001,G$3,BD!$B$3:$B$5001,$A$403,BD!$N$3:$N$5001,"&lt;&gt;")=0,"",SUMIFS(BD!$N$3:$N$5001,BD!$A$3:$A$5001,G$3,BD!$B$3:$B$5001,$A$403)))</f>
        <v/>
      </c>
      <c r="H414" s="271" t="str">
        <f>IF(H$3="","",IF(COUNTIFS(BD!$A$3:$A$5001,H$3,BD!$B$3:$B$5001,$A$403,BD!$N$3:$N$5001,"&lt;&gt;")=0,"",SUMIFS(BD!$N$3:$N$5001,BD!$A$3:$A$5001,H$3,BD!$B$3:$B$5001,$A$403)))</f>
        <v/>
      </c>
      <c r="I414" s="271" t="str">
        <f>IF(I$3="","",IF(COUNTIFS(BD!$A$3:$A$5001,I$3,BD!$B$3:$B$5001,$A$403,BD!$N$3:$N$5001,"&lt;&gt;")=0,"",SUMIFS(BD!$N$3:$N$5001,BD!$A$3:$A$5001,I$3,BD!$B$3:$B$5001,$A$403)))</f>
        <v/>
      </c>
      <c r="J414" s="271" t="str">
        <f>IF(J$3="","",IF(COUNTIFS(BD!$A$3:$A$5001,J$3,BD!$B$3:$B$5001,$A$403,BD!$N$3:$N$5001,"&lt;&gt;")=0,"",SUMIFS(BD!$N$3:$N$5001,BD!$A$3:$A$5001,J$3,BD!$B$3:$B$5001,$A$403)))</f>
        <v/>
      </c>
      <c r="K414" s="271" t="str">
        <f>IF(K$3="","",IF(COUNTIFS(BD!$A$3:$A$5001,K$3,BD!$B$3:$B$5001,$A$403,BD!$N$3:$N$5001,"&lt;&gt;")=0,"",SUMIFS(BD!$N$3:$N$5001,BD!$A$3:$A$5001,K$3,BD!$B$3:$B$5001,$A$403)))</f>
        <v/>
      </c>
      <c r="L414" s="271" t="str">
        <f>IF(L$3="","",IF(COUNTIFS(BD!$A$3:$A$5001,L$3,BD!$B$3:$B$5001,$A$403,BD!$N$3:$N$5001,"&lt;&gt;")=0,"",SUMIFS(BD!$N$3:$N$5001,BD!$A$3:$A$5001,L$3,BD!$B$3:$B$5001,$A$403)))</f>
        <v/>
      </c>
      <c r="M414" s="271" t="str">
        <f>IF(M$3="","",IF(COUNTIFS(BD!$A$3:$A$5001,M$3,BD!$B$3:$B$5001,$A$403,BD!$N$3:$N$5001,"&lt;&gt;")=0,"",SUMIFS(BD!$N$3:$N$5001,BD!$A$3:$A$5001,M$3,BD!$B$3:$B$5001,$A$403)))</f>
        <v/>
      </c>
      <c r="N414" s="271" t="str">
        <f>IF(N$3="","",IF(COUNTIFS(BD!$A$3:$A$5001,N$3,BD!$B$3:$B$5001,$A$403,BD!$N$3:$N$5001,"&lt;&gt;")=0,"",SUMIFS(BD!$N$3:$N$5001,BD!$A$3:$A$5001,N$3,BD!$B$3:$B$5001,$A$403)))</f>
        <v/>
      </c>
      <c r="O414" s="271" t="str">
        <f>IF(O$3="","",IF(COUNTIFS(BD!$A$3:$A$5001,O$3,BD!$B$3:$B$5001,$A$403,BD!$N$3:$N$5001,"&lt;&gt;")=0,"",SUMIFS(BD!$N$3:$N$5001,BD!$A$3:$A$5001,O$3,BD!$B$3:$B$5001,$A$403)))</f>
        <v/>
      </c>
      <c r="P414" s="271" t="str">
        <f>IF(P$3="","",IF(COUNTIFS(BD!$A$3:$A$5001,P$3,BD!$B$3:$B$5001,$A$403,BD!$N$3:$N$5001,"&lt;&gt;")=0,"",SUMIFS(BD!$N$3:$N$5001,BD!$A$3:$A$5001,P$3,BD!$B$3:$B$5001,$A$403)))</f>
        <v/>
      </c>
      <c r="Q414" s="271" t="str">
        <f>IF(Q$3="","",IF(COUNTIFS(BD!$A$3:$A$5001,Q$3,BD!$B$3:$B$5001,$A$403,BD!$N$3:$N$5001,"&lt;&gt;")=0,"",SUMIFS(BD!$N$3:$N$5001,BD!$A$3:$A$5001,Q$3,BD!$B$3:$B$5001,$A$403)))</f>
        <v/>
      </c>
      <c r="R414" s="271" t="str">
        <f>IF(R$3="","",IF(COUNTIFS(BD!$A$3:$A$5001,R$3,BD!$B$3:$B$5001,$A$403,BD!$N$3:$N$5001,"&lt;&gt;")=0,"",SUMIFS(BD!$N$3:$N$5001,BD!$A$3:$A$5001,R$3,BD!$B$3:$B$5001,$A$403)))</f>
        <v/>
      </c>
      <c r="S414" s="271" t="str">
        <f>IF(S$3="","",IF(COUNTIFS(BD!$A$3:$A$5001,S$3,BD!$B$3:$B$5001,$A$403,BD!$N$3:$N$5001,"&lt;&gt;")=0,"",SUMIFS(BD!$N$3:$N$5001,BD!$A$3:$A$5001,S$3,BD!$B$3:$B$5001,$A$403)))</f>
        <v/>
      </c>
      <c r="T414" s="271" t="str">
        <f>IF(T$3="","",IF(COUNTIFS(BD!$A$3:$A$5001,T$3,BD!$B$3:$B$5001,$A$403,BD!$N$3:$N$5001,"&lt;&gt;")=0,"",SUMIFS(BD!$N$3:$N$5001,BD!$A$3:$A$5001,T$3,BD!$B$3:$B$5001,$A$403)))</f>
        <v/>
      </c>
      <c r="U414" s="271" t="str">
        <f>IF(U$3="","",IF(COUNTIFS(BD!$A$3:$A$5001,U$3,BD!$B$3:$B$5001,$A$403,BD!$N$3:$N$5001,"&lt;&gt;")=0,"",SUMIFS(BD!$N$3:$N$5001,BD!$A$3:$A$5001,U$3,BD!$B$3:$B$5001,$A$403)))</f>
        <v/>
      </c>
      <c r="V414" s="271" t="str">
        <f>IF(V$3="","",IF(COUNTIFS(BD!$A$3:$A$5001,V$3,BD!$B$3:$B$5001,$A$403,BD!$N$3:$N$5001,"&lt;&gt;")=0,"",SUMIFS(BD!$N$3:$N$5001,BD!$A$3:$A$5001,V$3,BD!$B$3:$B$5001,$A$403)))</f>
        <v/>
      </c>
      <c r="W414" s="271" t="str">
        <f>IF(W$3="","",IF(COUNTIFS(BD!$A$3:$A$5001,W$3,BD!$B$3:$B$5001,$A$403,BD!$N$3:$N$5001,"&lt;&gt;")=0,"",SUMIFS(BD!$N$3:$N$5001,BD!$A$3:$A$5001,W$3,BD!$B$3:$B$5001,$A$403)))</f>
        <v/>
      </c>
      <c r="X414" s="271" t="str">
        <f>IF(X$3="","",IF(COUNTIFS(BD!$A$3:$A$5001,X$3,BD!$B$3:$B$5001,$A$403,BD!$N$3:$N$5001,"&lt;&gt;")=0,"",SUMIFS(BD!$N$3:$N$5001,BD!$A$3:$A$5001,X$3,BD!$B$3:$B$5001,$A$403)))</f>
        <v/>
      </c>
      <c r="Y414" s="271" t="str">
        <f>IF(Y$3="","",IF(COUNTIFS(BD!$A$3:$A$5001,Y$3,BD!$B$3:$B$5001,$A$403,BD!$N$3:$N$5001,"&lt;&gt;")=0,"",SUMIFS(BD!$N$3:$N$5001,BD!$A$3:$A$5001,Y$3,BD!$B$3:$B$5001,$A$403)))</f>
        <v/>
      </c>
      <c r="Z414" s="271" t="str">
        <f>IF(Z$3="","",IF(COUNTIFS(BD!$A$3:$A$5001,Z$3,BD!$B$3:$B$5001,$A$403,BD!$N$3:$N$5001,"&lt;&gt;")=0,"",SUMIFS(BD!$N$3:$N$5001,BD!$A$3:$A$5001,Z$3,BD!$B$3:$B$5001,$A$403)))</f>
        <v/>
      </c>
      <c r="AA414" s="271" t="str">
        <f>IF(AA$3="","",IF(COUNTIFS(BD!$A$3:$A$5001,AA$3,BD!$B$3:$B$5001,$A$403,BD!$N$3:$N$5001,"&lt;&gt;")=0,"",SUMIFS(BD!$N$3:$N$5001,BD!$A$3:$A$5001,AA$3,BD!$B$3:$B$5001,$A$403)))</f>
        <v/>
      </c>
      <c r="AB414" s="271" t="str">
        <f>IF(AB$3="","",IF(COUNTIFS(BD!$A$3:$A$5001,AB$3,BD!$B$3:$B$5001,$A$403,BD!$N$3:$N$5001,"&lt;&gt;")=0,"",SUMIFS(BD!$N$3:$N$5001,BD!$A$3:$A$5001,AB$3,BD!$B$3:$B$5001,$A$403)))</f>
        <v/>
      </c>
      <c r="AC414" s="271" t="str">
        <f>IF(AC$3="","",IF(COUNTIFS(BD!$A$3:$A$5001,AC$3,BD!$B$3:$B$5001,$A$403,BD!$N$3:$N$5001,"&lt;&gt;")=0,"",SUMIFS(BD!$N$3:$N$5001,BD!$A$3:$A$5001,AC$3,BD!$B$3:$B$5001,$A$403)))</f>
        <v/>
      </c>
      <c r="AD414" s="271" t="str">
        <f>IF(AD$3="","",IF(COUNTIFS(BD!$A$3:$A$5001,AD$3,BD!$B$3:$B$5001,$A$403,BD!$N$3:$N$5001,"&lt;&gt;")=0,"",SUMIFS(BD!$N$3:$N$5001,BD!$A$3:$A$5001,AD$3,BD!$B$3:$B$5001,$A$403)))</f>
        <v/>
      </c>
      <c r="AE414" s="271" t="str">
        <f>IF(AE$3="","",IF(COUNTIFS(BD!$A$3:$A$5001,AE$3,BD!$B$3:$B$5001,$A$403,BD!$N$3:$N$5001,"&lt;&gt;")=0,"",SUMIFS(BD!$N$3:$N$5001,BD!$A$3:$A$5001,AE$3,BD!$B$3:$B$5001,$A$403)))</f>
        <v/>
      </c>
      <c r="AF414" s="271" t="str">
        <f>IF(AF$3="","",IF(COUNTIFS(BD!$A$3:$A$5001,AF$3,BD!$B$3:$B$5001,$A$403,BD!$N$3:$N$5001,"&lt;&gt;")=0,"",SUMIFS(BD!$N$3:$N$5001,BD!$A$3:$A$5001,AF$3,BD!$B$3:$B$5001,$A$403)))</f>
        <v/>
      </c>
      <c r="AG414" s="271" t="str">
        <f>IF(AG$3="","",IF(COUNTIFS(BD!$A$3:$A$5001,AG$3,BD!$B$3:$B$5001,$A$403,BD!$N$3:$N$5001,"&lt;&gt;")=0,"",SUMIFS(BD!$N$3:$N$5001,BD!$A$3:$A$5001,AG$3,BD!$B$3:$B$5001,$A$403)))</f>
        <v/>
      </c>
      <c r="AH414" s="271" t="str">
        <f>IF(AH$3="","",IF(COUNTIFS(BD!$A$3:$A$5001,AH$3,BD!$B$3:$B$5001,$A$403,BD!$N$3:$N$5001,"&lt;&gt;")=0,"",SUMIFS(BD!$N$3:$N$5001,BD!$A$3:$A$5001,AH$3,BD!$B$3:$B$5001,$A$403)))</f>
        <v/>
      </c>
      <c r="AI414" s="271" t="str">
        <f>IF(AI$3="","",IF(COUNTIFS(BD!$A$3:$A$5001,AI$3,BD!$B$3:$B$5001,$A$403,BD!$N$3:$N$5001,"&lt;&gt;")=0,"",SUMIFS(BD!$N$3:$N$5001,BD!$A$3:$A$5001,AI$3,BD!$B$3:$B$5001,$A$403)))</f>
        <v/>
      </c>
      <c r="AJ414" s="272" t="str">
        <f>IF(AJ$3="","",IF(COUNTIFS(BD!$A$3:$A$5001,AJ$3,BD!$B$3:$B$5001,$A$403,BD!$N$3:$N$5001,"&lt;&gt;")=0,"",SUMIFS(BD!$N$3:$N$5001,BD!$A$3:$A$5001,AJ$3,BD!$B$3:$B$5001,$A$403)))</f>
        <v/>
      </c>
      <c r="AK414" s="273" t="str">
        <f>IF(COUNT(F414:AJ414)=0,"",SUM(F414:AJ414))</f>
        <v/>
      </c>
    </row>
    <row r="415" ht="15.75" customHeight="1" hidden="1">
      <c r="A415" s="261"/>
      <c r="B415" s="278"/>
      <c r="C415" s="267" t="inlineStr">
        <is>
          <t xml:space="preserve">Itens Expedidos</t>
        </is>
      </c>
      <c r="D415" s="268" t="str">
        <f>IFERROR(1/(1/INDEX(BD!$AL$35:$BF$35,MATCH($A$403,BD!$AL$22:$BF$22,0))),"")</f>
        <v/>
      </c>
      <c r="E415" s="269"/>
      <c r="F415" s="270" t="str">
        <f>IF(F$3="","",IF(COUNTIFS(BD!$A$3:$A$5001,F$3,BD!$B$3:$B$5001,$A$403,BD!$O$3:$O$5001,"&lt;&gt;")=0,"",SUMIFS(BD!$O$3:$O$5001,BD!$A$3:$A$5001,F$3,BD!$B$3:$B$5001,$A$403)))</f>
        <v/>
      </c>
      <c r="G415" s="271" t="str">
        <f>IF(G$3="","",IF(COUNTIFS(BD!$A$3:$A$5001,G$3,BD!$B$3:$B$5001,$A$403,BD!$O$3:$O$5001,"&lt;&gt;")=0,"",SUMIFS(BD!$O$3:$O$5001,BD!$A$3:$A$5001,G$3,BD!$B$3:$B$5001,$A$403)))</f>
        <v/>
      </c>
      <c r="H415" s="271" t="str">
        <f>IF(H$3="","",IF(COUNTIFS(BD!$A$3:$A$5001,H$3,BD!$B$3:$B$5001,$A$403,BD!$O$3:$O$5001,"&lt;&gt;")=0,"",SUMIFS(BD!$O$3:$O$5001,BD!$A$3:$A$5001,H$3,BD!$B$3:$B$5001,$A$403)))</f>
        <v/>
      </c>
      <c r="I415" s="271" t="str">
        <f>IF(I$3="","",IF(COUNTIFS(BD!$A$3:$A$5001,I$3,BD!$B$3:$B$5001,$A$403,BD!$O$3:$O$5001,"&lt;&gt;")=0,"",SUMIFS(BD!$O$3:$O$5001,BD!$A$3:$A$5001,I$3,BD!$B$3:$B$5001,$A$403)))</f>
        <v/>
      </c>
      <c r="J415" s="271" t="str">
        <f>IF(J$3="","",IF(COUNTIFS(BD!$A$3:$A$5001,J$3,BD!$B$3:$B$5001,$A$403,BD!$O$3:$O$5001,"&lt;&gt;")=0,"",SUMIFS(BD!$O$3:$O$5001,BD!$A$3:$A$5001,J$3,BD!$B$3:$B$5001,$A$403)))</f>
        <v/>
      </c>
      <c r="K415" s="271" t="str">
        <f>IF(K$3="","",IF(COUNTIFS(BD!$A$3:$A$5001,K$3,BD!$B$3:$B$5001,$A$403,BD!$O$3:$O$5001,"&lt;&gt;")=0,"",SUMIFS(BD!$O$3:$O$5001,BD!$A$3:$A$5001,K$3,BD!$B$3:$B$5001,$A$403)))</f>
        <v/>
      </c>
      <c r="L415" s="271" t="str">
        <f>IF(L$3="","",IF(COUNTIFS(BD!$A$3:$A$5001,L$3,BD!$B$3:$B$5001,$A$403,BD!$O$3:$O$5001,"&lt;&gt;")=0,"",SUMIFS(BD!$O$3:$O$5001,BD!$A$3:$A$5001,L$3,BD!$B$3:$B$5001,$A$403)))</f>
        <v/>
      </c>
      <c r="M415" s="271" t="str">
        <f>IF(M$3="","",IF(COUNTIFS(BD!$A$3:$A$5001,M$3,BD!$B$3:$B$5001,$A$403,BD!$O$3:$O$5001,"&lt;&gt;")=0,"",SUMIFS(BD!$O$3:$O$5001,BD!$A$3:$A$5001,M$3,BD!$B$3:$B$5001,$A$403)))</f>
        <v/>
      </c>
      <c r="N415" s="271" t="str">
        <f>IF(N$3="","",IF(COUNTIFS(BD!$A$3:$A$5001,N$3,BD!$B$3:$B$5001,$A$403,BD!$O$3:$O$5001,"&lt;&gt;")=0,"",SUMIFS(BD!$O$3:$O$5001,BD!$A$3:$A$5001,N$3,BD!$B$3:$B$5001,$A$403)))</f>
        <v/>
      </c>
      <c r="O415" s="271" t="str">
        <f>IF(O$3="","",IF(COUNTIFS(BD!$A$3:$A$5001,O$3,BD!$B$3:$B$5001,$A$403,BD!$O$3:$O$5001,"&lt;&gt;")=0,"",SUMIFS(BD!$O$3:$O$5001,BD!$A$3:$A$5001,O$3,BD!$B$3:$B$5001,$A$403)))</f>
        <v/>
      </c>
      <c r="P415" s="271" t="str">
        <f>IF(P$3="","",IF(COUNTIFS(BD!$A$3:$A$5001,P$3,BD!$B$3:$B$5001,$A$403,BD!$O$3:$O$5001,"&lt;&gt;")=0,"",SUMIFS(BD!$O$3:$O$5001,BD!$A$3:$A$5001,P$3,BD!$B$3:$B$5001,$A$403)))</f>
        <v/>
      </c>
      <c r="Q415" s="271" t="str">
        <f>IF(Q$3="","",IF(COUNTIFS(BD!$A$3:$A$5001,Q$3,BD!$B$3:$B$5001,$A$403,BD!$O$3:$O$5001,"&lt;&gt;")=0,"",SUMIFS(BD!$O$3:$O$5001,BD!$A$3:$A$5001,Q$3,BD!$B$3:$B$5001,$A$403)))</f>
        <v/>
      </c>
      <c r="R415" s="271" t="str">
        <f>IF(R$3="","",IF(COUNTIFS(BD!$A$3:$A$5001,R$3,BD!$B$3:$B$5001,$A$403,BD!$O$3:$O$5001,"&lt;&gt;")=0,"",SUMIFS(BD!$O$3:$O$5001,BD!$A$3:$A$5001,R$3,BD!$B$3:$B$5001,$A$403)))</f>
        <v/>
      </c>
      <c r="S415" s="271" t="str">
        <f>IF(S$3="","",IF(COUNTIFS(BD!$A$3:$A$5001,S$3,BD!$B$3:$B$5001,$A$403,BD!$O$3:$O$5001,"&lt;&gt;")=0,"",SUMIFS(BD!$O$3:$O$5001,BD!$A$3:$A$5001,S$3,BD!$B$3:$B$5001,$A$403)))</f>
        <v/>
      </c>
      <c r="T415" s="271" t="str">
        <f>IF(T$3="","",IF(COUNTIFS(BD!$A$3:$A$5001,T$3,BD!$B$3:$B$5001,$A$403,BD!$O$3:$O$5001,"&lt;&gt;")=0,"",SUMIFS(BD!$O$3:$O$5001,BD!$A$3:$A$5001,T$3,BD!$B$3:$B$5001,$A$403)))</f>
        <v/>
      </c>
      <c r="U415" s="271" t="str">
        <f>IF(U$3="","",IF(COUNTIFS(BD!$A$3:$A$5001,U$3,BD!$B$3:$B$5001,$A$403,BD!$O$3:$O$5001,"&lt;&gt;")=0,"",SUMIFS(BD!$O$3:$O$5001,BD!$A$3:$A$5001,U$3,BD!$B$3:$B$5001,$A$403)))</f>
        <v/>
      </c>
      <c r="V415" s="271" t="str">
        <f>IF(V$3="","",IF(COUNTIFS(BD!$A$3:$A$5001,V$3,BD!$B$3:$B$5001,$A$403,BD!$O$3:$O$5001,"&lt;&gt;")=0,"",SUMIFS(BD!$O$3:$O$5001,BD!$A$3:$A$5001,V$3,BD!$B$3:$B$5001,$A$403)))</f>
        <v/>
      </c>
      <c r="W415" s="271" t="str">
        <f>IF(W$3="","",IF(COUNTIFS(BD!$A$3:$A$5001,W$3,BD!$B$3:$B$5001,$A$403,BD!$O$3:$O$5001,"&lt;&gt;")=0,"",SUMIFS(BD!$O$3:$O$5001,BD!$A$3:$A$5001,W$3,BD!$B$3:$B$5001,$A$403)))</f>
        <v/>
      </c>
      <c r="X415" s="271" t="str">
        <f>IF(X$3="","",IF(COUNTIFS(BD!$A$3:$A$5001,X$3,BD!$B$3:$B$5001,$A$403,BD!$O$3:$O$5001,"&lt;&gt;")=0,"",SUMIFS(BD!$O$3:$O$5001,BD!$A$3:$A$5001,X$3,BD!$B$3:$B$5001,$A$403)))</f>
        <v/>
      </c>
      <c r="Y415" s="271" t="str">
        <f>IF(Y$3="","",IF(COUNTIFS(BD!$A$3:$A$5001,Y$3,BD!$B$3:$B$5001,$A$403,BD!$O$3:$O$5001,"&lt;&gt;")=0,"",SUMIFS(BD!$O$3:$O$5001,BD!$A$3:$A$5001,Y$3,BD!$B$3:$B$5001,$A$403)))</f>
        <v/>
      </c>
      <c r="Z415" s="271" t="str">
        <f>IF(Z$3="","",IF(COUNTIFS(BD!$A$3:$A$5001,Z$3,BD!$B$3:$B$5001,$A$403,BD!$O$3:$O$5001,"&lt;&gt;")=0,"",SUMIFS(BD!$O$3:$O$5001,BD!$A$3:$A$5001,Z$3,BD!$B$3:$B$5001,$A$403)))</f>
        <v/>
      </c>
      <c r="AA415" s="271" t="str">
        <f>IF(AA$3="","",IF(COUNTIFS(BD!$A$3:$A$5001,AA$3,BD!$B$3:$B$5001,$A$403,BD!$O$3:$O$5001,"&lt;&gt;")=0,"",SUMIFS(BD!$O$3:$O$5001,BD!$A$3:$A$5001,AA$3,BD!$B$3:$B$5001,$A$403)))</f>
        <v/>
      </c>
      <c r="AB415" s="271" t="str">
        <f>IF(AB$3="","",IF(COUNTIFS(BD!$A$3:$A$5001,AB$3,BD!$B$3:$B$5001,$A$403,BD!$O$3:$O$5001,"&lt;&gt;")=0,"",SUMIFS(BD!$O$3:$O$5001,BD!$A$3:$A$5001,AB$3,BD!$B$3:$B$5001,$A$403)))</f>
        <v/>
      </c>
      <c r="AC415" s="271" t="str">
        <f>IF(AC$3="","",IF(COUNTIFS(BD!$A$3:$A$5001,AC$3,BD!$B$3:$B$5001,$A$403,BD!$O$3:$O$5001,"&lt;&gt;")=0,"",SUMIFS(BD!$O$3:$O$5001,BD!$A$3:$A$5001,AC$3,BD!$B$3:$B$5001,$A$403)))</f>
        <v/>
      </c>
      <c r="AD415" s="271" t="str">
        <f>IF(AD$3="","",IF(COUNTIFS(BD!$A$3:$A$5001,AD$3,BD!$B$3:$B$5001,$A$403,BD!$O$3:$O$5001,"&lt;&gt;")=0,"",SUMIFS(BD!$O$3:$O$5001,BD!$A$3:$A$5001,AD$3,BD!$B$3:$B$5001,$A$403)))</f>
        <v/>
      </c>
      <c r="AE415" s="271" t="str">
        <f>IF(AE$3="","",IF(COUNTIFS(BD!$A$3:$A$5001,AE$3,BD!$B$3:$B$5001,$A$403,BD!$O$3:$O$5001,"&lt;&gt;")=0,"",SUMIFS(BD!$O$3:$O$5001,BD!$A$3:$A$5001,AE$3,BD!$B$3:$B$5001,$A$403)))</f>
        <v/>
      </c>
      <c r="AF415" s="271" t="str">
        <f>IF(AF$3="","",IF(COUNTIFS(BD!$A$3:$A$5001,AF$3,BD!$B$3:$B$5001,$A$403,BD!$O$3:$O$5001,"&lt;&gt;")=0,"",SUMIFS(BD!$O$3:$O$5001,BD!$A$3:$A$5001,AF$3,BD!$B$3:$B$5001,$A$403)))</f>
        <v/>
      </c>
      <c r="AG415" s="271" t="str">
        <f>IF(AG$3="","",IF(COUNTIFS(BD!$A$3:$A$5001,AG$3,BD!$B$3:$B$5001,$A$403,BD!$O$3:$O$5001,"&lt;&gt;")=0,"",SUMIFS(BD!$O$3:$O$5001,BD!$A$3:$A$5001,AG$3,BD!$B$3:$B$5001,$A$403)))</f>
        <v/>
      </c>
      <c r="AH415" s="271" t="str">
        <f>IF(AH$3="","",IF(COUNTIFS(BD!$A$3:$A$5001,AH$3,BD!$B$3:$B$5001,$A$403,BD!$O$3:$O$5001,"&lt;&gt;")=0,"",SUMIFS(BD!$O$3:$O$5001,BD!$A$3:$A$5001,AH$3,BD!$B$3:$B$5001,$A$403)))</f>
        <v/>
      </c>
      <c r="AI415" s="271" t="str">
        <f>IF(AI$3="","",IF(COUNTIFS(BD!$A$3:$A$5001,AI$3,BD!$B$3:$B$5001,$A$403,BD!$O$3:$O$5001,"&lt;&gt;")=0,"",SUMIFS(BD!$O$3:$O$5001,BD!$A$3:$A$5001,AI$3,BD!$B$3:$B$5001,$A$403)))</f>
        <v/>
      </c>
      <c r="AJ415" s="272" t="str">
        <f>IF(AJ$3="","",IF(COUNTIFS(BD!$A$3:$A$5001,AJ$3,BD!$B$3:$B$5001,$A$403,BD!$O$3:$O$5001,"&lt;&gt;")=0,"",SUMIFS(BD!$O$3:$O$5001,BD!$A$3:$A$5001,AJ$3,BD!$B$3:$B$5001,$A$403)))</f>
        <v/>
      </c>
      <c r="AK415" s="273" t="str">
        <f>IF(COUNT(F415:AJ415)=0,"",SUM(F415:AJ415))</f>
        <v/>
      </c>
    </row>
    <row r="416" ht="15.75" customHeight="1" hidden="1">
      <c r="A416" s="261"/>
      <c r="B416" s="278"/>
      <c r="C416" s="267" t="inlineStr">
        <is>
          <t xml:space="preserve">Linhas NF</t>
        </is>
      </c>
      <c r="D416" s="268" t="str">
        <f>IFERROR(1/(1/INDEX(BD!$AL$36:$BF$36,MATCH($A$403,BD!$AL$22:$BF$22,0))),"")</f>
        <v/>
      </c>
      <c r="E416" s="269"/>
      <c r="F416" s="270" t="str">
        <f>IF(F$3="","",IF(COUNTIFS(BD!$A$3:$A$5001,F$3,BD!$B$3:$B$5001,$A$403,BD!$P$3:$P$5001,"&lt;&gt;")=0,"",SUMIFS(BD!$P$3:$P$5001,BD!$A$3:$A$5001,F$3,BD!$B$3:$B$5001,$A$403)))</f>
        <v/>
      </c>
      <c r="G416" s="271" t="str">
        <f>IF(G$3="","",IF(COUNTIFS(BD!$A$3:$A$5001,G$3,BD!$B$3:$B$5001,$A$403,BD!$P$3:$P$5001,"&lt;&gt;")=0,"",SUMIFS(BD!$P$3:$P$5001,BD!$A$3:$A$5001,G$3,BD!$B$3:$B$5001,$A$403)))</f>
        <v/>
      </c>
      <c r="H416" s="271" t="str">
        <f>IF(H$3="","",IF(COUNTIFS(BD!$A$3:$A$5001,H$3,BD!$B$3:$B$5001,$A$403,BD!$P$3:$P$5001,"&lt;&gt;")=0,"",SUMIFS(BD!$P$3:$P$5001,BD!$A$3:$A$5001,H$3,BD!$B$3:$B$5001,$A$403)))</f>
        <v/>
      </c>
      <c r="I416" s="271" t="str">
        <f>IF(I$3="","",IF(COUNTIFS(BD!$A$3:$A$5001,I$3,BD!$B$3:$B$5001,$A$403,BD!$P$3:$P$5001,"&lt;&gt;")=0,"",SUMIFS(BD!$P$3:$P$5001,BD!$A$3:$A$5001,I$3,BD!$B$3:$B$5001,$A$403)))</f>
        <v/>
      </c>
      <c r="J416" s="271" t="str">
        <f>IF(J$3="","",IF(COUNTIFS(BD!$A$3:$A$5001,J$3,BD!$B$3:$B$5001,$A$403,BD!$P$3:$P$5001,"&lt;&gt;")=0,"",SUMIFS(BD!$P$3:$P$5001,BD!$A$3:$A$5001,J$3,BD!$B$3:$B$5001,$A$403)))</f>
        <v/>
      </c>
      <c r="K416" s="271" t="str">
        <f>IF(K$3="","",IF(COUNTIFS(BD!$A$3:$A$5001,K$3,BD!$B$3:$B$5001,$A$403,BD!$P$3:$P$5001,"&lt;&gt;")=0,"",SUMIFS(BD!$P$3:$P$5001,BD!$A$3:$A$5001,K$3,BD!$B$3:$B$5001,$A$403)))</f>
        <v/>
      </c>
      <c r="L416" s="271" t="str">
        <f>IF(L$3="","",IF(COUNTIFS(BD!$A$3:$A$5001,L$3,BD!$B$3:$B$5001,$A$403,BD!$P$3:$P$5001,"&lt;&gt;")=0,"",SUMIFS(BD!$P$3:$P$5001,BD!$A$3:$A$5001,L$3,BD!$B$3:$B$5001,$A$403)))</f>
        <v/>
      </c>
      <c r="M416" s="271" t="str">
        <f>IF(M$3="","",IF(COUNTIFS(BD!$A$3:$A$5001,M$3,BD!$B$3:$B$5001,$A$403,BD!$P$3:$P$5001,"&lt;&gt;")=0,"",SUMIFS(BD!$P$3:$P$5001,BD!$A$3:$A$5001,M$3,BD!$B$3:$B$5001,$A$403)))</f>
        <v/>
      </c>
      <c r="N416" s="271" t="str">
        <f>IF(N$3="","",IF(COUNTIFS(BD!$A$3:$A$5001,N$3,BD!$B$3:$B$5001,$A$403,BD!$P$3:$P$5001,"&lt;&gt;")=0,"",SUMIFS(BD!$P$3:$P$5001,BD!$A$3:$A$5001,N$3,BD!$B$3:$B$5001,$A$403)))</f>
        <v/>
      </c>
      <c r="O416" s="271" t="str">
        <f>IF(O$3="","",IF(COUNTIFS(BD!$A$3:$A$5001,O$3,BD!$B$3:$B$5001,$A$403,BD!$P$3:$P$5001,"&lt;&gt;")=0,"",SUMIFS(BD!$P$3:$P$5001,BD!$A$3:$A$5001,O$3,BD!$B$3:$B$5001,$A$403)))</f>
        <v/>
      </c>
      <c r="P416" s="271" t="str">
        <f>IF(P$3="","",IF(COUNTIFS(BD!$A$3:$A$5001,P$3,BD!$B$3:$B$5001,$A$403,BD!$P$3:$P$5001,"&lt;&gt;")=0,"",SUMIFS(BD!$P$3:$P$5001,BD!$A$3:$A$5001,P$3,BD!$B$3:$B$5001,$A$403)))</f>
        <v/>
      </c>
      <c r="Q416" s="271" t="str">
        <f>IF(Q$3="","",IF(COUNTIFS(BD!$A$3:$A$5001,Q$3,BD!$B$3:$B$5001,$A$403,BD!$P$3:$P$5001,"&lt;&gt;")=0,"",SUMIFS(BD!$P$3:$P$5001,BD!$A$3:$A$5001,Q$3,BD!$B$3:$B$5001,$A$403)))</f>
        <v/>
      </c>
      <c r="R416" s="271" t="str">
        <f>IF(R$3="","",IF(COUNTIFS(BD!$A$3:$A$5001,R$3,BD!$B$3:$B$5001,$A$403,BD!$P$3:$P$5001,"&lt;&gt;")=0,"",SUMIFS(BD!$P$3:$P$5001,BD!$A$3:$A$5001,R$3,BD!$B$3:$B$5001,$A$403)))</f>
        <v/>
      </c>
      <c r="S416" s="271" t="str">
        <f>IF(S$3="","",IF(COUNTIFS(BD!$A$3:$A$5001,S$3,BD!$B$3:$B$5001,$A$403,BD!$P$3:$P$5001,"&lt;&gt;")=0,"",SUMIFS(BD!$P$3:$P$5001,BD!$A$3:$A$5001,S$3,BD!$B$3:$B$5001,$A$403)))</f>
        <v/>
      </c>
      <c r="T416" s="271" t="str">
        <f>IF(T$3="","",IF(COUNTIFS(BD!$A$3:$A$5001,T$3,BD!$B$3:$B$5001,$A$403,BD!$P$3:$P$5001,"&lt;&gt;")=0,"",SUMIFS(BD!$P$3:$P$5001,BD!$A$3:$A$5001,T$3,BD!$B$3:$B$5001,$A$403)))</f>
        <v/>
      </c>
      <c r="U416" s="271" t="str">
        <f>IF(U$3="","",IF(COUNTIFS(BD!$A$3:$A$5001,U$3,BD!$B$3:$B$5001,$A$403,BD!$P$3:$P$5001,"&lt;&gt;")=0,"",SUMIFS(BD!$P$3:$P$5001,BD!$A$3:$A$5001,U$3,BD!$B$3:$B$5001,$A$403)))</f>
        <v/>
      </c>
      <c r="V416" s="271" t="str">
        <f>IF(V$3="","",IF(COUNTIFS(BD!$A$3:$A$5001,V$3,BD!$B$3:$B$5001,$A$403,BD!$P$3:$P$5001,"&lt;&gt;")=0,"",SUMIFS(BD!$P$3:$P$5001,BD!$A$3:$A$5001,V$3,BD!$B$3:$B$5001,$A$403)))</f>
        <v/>
      </c>
      <c r="W416" s="271" t="str">
        <f>IF(W$3="","",IF(COUNTIFS(BD!$A$3:$A$5001,W$3,BD!$B$3:$B$5001,$A$403,BD!$P$3:$P$5001,"&lt;&gt;")=0,"",SUMIFS(BD!$P$3:$P$5001,BD!$A$3:$A$5001,W$3,BD!$B$3:$B$5001,$A$403)))</f>
        <v/>
      </c>
      <c r="X416" s="271" t="str">
        <f>IF(X$3="","",IF(COUNTIFS(BD!$A$3:$A$5001,X$3,BD!$B$3:$B$5001,$A$403,BD!$P$3:$P$5001,"&lt;&gt;")=0,"",SUMIFS(BD!$P$3:$P$5001,BD!$A$3:$A$5001,X$3,BD!$B$3:$B$5001,$A$403)))</f>
        <v/>
      </c>
      <c r="Y416" s="271" t="str">
        <f>IF(Y$3="","",IF(COUNTIFS(BD!$A$3:$A$5001,Y$3,BD!$B$3:$B$5001,$A$403,BD!$P$3:$P$5001,"&lt;&gt;")=0,"",SUMIFS(BD!$P$3:$P$5001,BD!$A$3:$A$5001,Y$3,BD!$B$3:$B$5001,$A$403)))</f>
        <v/>
      </c>
      <c r="Z416" s="271" t="str">
        <f>IF(Z$3="","",IF(COUNTIFS(BD!$A$3:$A$5001,Z$3,BD!$B$3:$B$5001,$A$403,BD!$P$3:$P$5001,"&lt;&gt;")=0,"",SUMIFS(BD!$P$3:$P$5001,BD!$A$3:$A$5001,Z$3,BD!$B$3:$B$5001,$A$403)))</f>
        <v/>
      </c>
      <c r="AA416" s="271" t="str">
        <f>IF(AA$3="","",IF(COUNTIFS(BD!$A$3:$A$5001,AA$3,BD!$B$3:$B$5001,$A$403,BD!$P$3:$P$5001,"&lt;&gt;")=0,"",SUMIFS(BD!$P$3:$P$5001,BD!$A$3:$A$5001,AA$3,BD!$B$3:$B$5001,$A$403)))</f>
        <v/>
      </c>
      <c r="AB416" s="271" t="str">
        <f>IF(AB$3="","",IF(COUNTIFS(BD!$A$3:$A$5001,AB$3,BD!$B$3:$B$5001,$A$403,BD!$P$3:$P$5001,"&lt;&gt;")=0,"",SUMIFS(BD!$P$3:$P$5001,BD!$A$3:$A$5001,AB$3,BD!$B$3:$B$5001,$A$403)))</f>
        <v/>
      </c>
      <c r="AC416" s="271" t="str">
        <f>IF(AC$3="","",IF(COUNTIFS(BD!$A$3:$A$5001,AC$3,BD!$B$3:$B$5001,$A$403,BD!$P$3:$P$5001,"&lt;&gt;")=0,"",SUMIFS(BD!$P$3:$P$5001,BD!$A$3:$A$5001,AC$3,BD!$B$3:$B$5001,$A$403)))</f>
        <v/>
      </c>
      <c r="AD416" s="271" t="str">
        <f>IF(AD$3="","",IF(COUNTIFS(BD!$A$3:$A$5001,AD$3,BD!$B$3:$B$5001,$A$403,BD!$P$3:$P$5001,"&lt;&gt;")=0,"",SUMIFS(BD!$P$3:$P$5001,BD!$A$3:$A$5001,AD$3,BD!$B$3:$B$5001,$A$403)))</f>
        <v/>
      </c>
      <c r="AE416" s="271" t="str">
        <f>IF(AE$3="","",IF(COUNTIFS(BD!$A$3:$A$5001,AE$3,BD!$B$3:$B$5001,$A$403,BD!$P$3:$P$5001,"&lt;&gt;")=0,"",SUMIFS(BD!$P$3:$P$5001,BD!$A$3:$A$5001,AE$3,BD!$B$3:$B$5001,$A$403)))</f>
        <v/>
      </c>
      <c r="AF416" s="271" t="str">
        <f>IF(AF$3="","",IF(COUNTIFS(BD!$A$3:$A$5001,AF$3,BD!$B$3:$B$5001,$A$403,BD!$P$3:$P$5001,"&lt;&gt;")=0,"",SUMIFS(BD!$P$3:$P$5001,BD!$A$3:$A$5001,AF$3,BD!$B$3:$B$5001,$A$403)))</f>
        <v/>
      </c>
      <c r="AG416" s="271" t="str">
        <f>IF(AG$3="","",IF(COUNTIFS(BD!$A$3:$A$5001,AG$3,BD!$B$3:$B$5001,$A$403,BD!$P$3:$P$5001,"&lt;&gt;")=0,"",SUMIFS(BD!$P$3:$P$5001,BD!$A$3:$A$5001,AG$3,BD!$B$3:$B$5001,$A$403)))</f>
        <v/>
      </c>
      <c r="AH416" s="271" t="str">
        <f>IF(AH$3="","",IF(COUNTIFS(BD!$A$3:$A$5001,AH$3,BD!$B$3:$B$5001,$A$403,BD!$P$3:$P$5001,"&lt;&gt;")=0,"",SUMIFS(BD!$P$3:$P$5001,BD!$A$3:$A$5001,AH$3,BD!$B$3:$B$5001,$A$403)))</f>
        <v/>
      </c>
      <c r="AI416" s="271" t="str">
        <f>IF(AI$3="","",IF(COUNTIFS(BD!$A$3:$A$5001,AI$3,BD!$B$3:$B$5001,$A$403,BD!$P$3:$P$5001,"&lt;&gt;")=0,"",SUMIFS(BD!$P$3:$P$5001,BD!$A$3:$A$5001,AI$3,BD!$B$3:$B$5001,$A$403)))</f>
        <v/>
      </c>
      <c r="AJ416" s="272" t="str">
        <f>IF(AJ$3="","",IF(COUNTIFS(BD!$A$3:$A$5001,AJ$3,BD!$B$3:$B$5001,$A$403,BD!$P$3:$P$5001,"&lt;&gt;")=0,"",SUMIFS(BD!$P$3:$P$5001,BD!$A$3:$A$5001,AJ$3,BD!$B$3:$B$5001,$A$403)))</f>
        <v/>
      </c>
      <c r="AK416" s="273" t="str">
        <f>IF(COUNT(F416:AJ416)=0,"",SUM(F416:AJ416))</f>
        <v/>
      </c>
    </row>
    <row r="417" ht="15.75" customHeight="1" hidden="1">
      <c r="A417" s="261"/>
      <c r="B417" s="278"/>
      <c r="C417" s="267" t="inlineStr">
        <is>
          <t xml:space="preserve">Caixas Expedidas</t>
        </is>
      </c>
      <c r="D417" s="268" t="str">
        <f>IFERROR(1/(1/INDEX(BD!$AL$37:$BF$37,MATCH($A$403,BD!$AL$22:$BF$22,0))),"")</f>
        <v/>
      </c>
      <c r="E417" s="269"/>
      <c r="F417" s="270" t="str">
        <f>IF(F$3="","",IF(COUNTIFS(BD!$A$3:$A$5001,F$3,BD!$B$3:$B$5001,$A$403,BD!$Q$3:$Q$5001,"&lt;&gt;")=0,"",SUMIFS(BD!$Q$3:$Q$5001,BD!$A$3:$A$5001,F$3,BD!$B$3:$B$5001,$A$403)))</f>
        <v/>
      </c>
      <c r="G417" s="271" t="str">
        <f>IF(G$3="","",IF(COUNTIFS(BD!$A$3:$A$5001,G$3,BD!$B$3:$B$5001,$A$403,BD!$Q$3:$Q$5001,"&lt;&gt;")=0,"",SUMIFS(BD!$Q$3:$Q$5001,BD!$A$3:$A$5001,G$3,BD!$B$3:$B$5001,$A$403)))</f>
        <v/>
      </c>
      <c r="H417" s="271" t="str">
        <f>IF(H$3="","",IF(COUNTIFS(BD!$A$3:$A$5001,H$3,BD!$B$3:$B$5001,$A$403,BD!$Q$3:$Q$5001,"&lt;&gt;")=0,"",SUMIFS(BD!$Q$3:$Q$5001,BD!$A$3:$A$5001,H$3,BD!$B$3:$B$5001,$A$403)))</f>
        <v/>
      </c>
      <c r="I417" s="271" t="str">
        <f>IF(I$3="","",IF(COUNTIFS(BD!$A$3:$A$5001,I$3,BD!$B$3:$B$5001,$A$403,BD!$Q$3:$Q$5001,"&lt;&gt;")=0,"",SUMIFS(BD!$Q$3:$Q$5001,BD!$A$3:$A$5001,I$3,BD!$B$3:$B$5001,$A$403)))</f>
        <v/>
      </c>
      <c r="J417" s="271" t="str">
        <f>IF(J$3="","",IF(COUNTIFS(BD!$A$3:$A$5001,J$3,BD!$B$3:$B$5001,$A$403,BD!$Q$3:$Q$5001,"&lt;&gt;")=0,"",SUMIFS(BD!$Q$3:$Q$5001,BD!$A$3:$A$5001,J$3,BD!$B$3:$B$5001,$A$403)))</f>
        <v/>
      </c>
      <c r="K417" s="271" t="str">
        <f>IF(K$3="","",IF(COUNTIFS(BD!$A$3:$A$5001,K$3,BD!$B$3:$B$5001,$A$403,BD!$Q$3:$Q$5001,"&lt;&gt;")=0,"",SUMIFS(BD!$Q$3:$Q$5001,BD!$A$3:$A$5001,K$3,BD!$B$3:$B$5001,$A$403)))</f>
        <v/>
      </c>
      <c r="L417" s="271" t="str">
        <f>IF(L$3="","",IF(COUNTIFS(BD!$A$3:$A$5001,L$3,BD!$B$3:$B$5001,$A$403,BD!$Q$3:$Q$5001,"&lt;&gt;")=0,"",SUMIFS(BD!$Q$3:$Q$5001,BD!$A$3:$A$5001,L$3,BD!$B$3:$B$5001,$A$403)))</f>
        <v/>
      </c>
      <c r="M417" s="271" t="str">
        <f>IF(M$3="","",IF(COUNTIFS(BD!$A$3:$A$5001,M$3,BD!$B$3:$B$5001,$A$403,BD!$Q$3:$Q$5001,"&lt;&gt;")=0,"",SUMIFS(BD!$Q$3:$Q$5001,BD!$A$3:$A$5001,M$3,BD!$B$3:$B$5001,$A$403)))</f>
        <v/>
      </c>
      <c r="N417" s="271" t="str">
        <f>IF(N$3="","",IF(COUNTIFS(BD!$A$3:$A$5001,N$3,BD!$B$3:$B$5001,$A$403,BD!$Q$3:$Q$5001,"&lt;&gt;")=0,"",SUMIFS(BD!$Q$3:$Q$5001,BD!$A$3:$A$5001,N$3,BD!$B$3:$B$5001,$A$403)))</f>
        <v/>
      </c>
      <c r="O417" s="271" t="str">
        <f>IF(O$3="","",IF(COUNTIFS(BD!$A$3:$A$5001,O$3,BD!$B$3:$B$5001,$A$403,BD!$Q$3:$Q$5001,"&lt;&gt;")=0,"",SUMIFS(BD!$Q$3:$Q$5001,BD!$A$3:$A$5001,O$3,BD!$B$3:$B$5001,$A$403)))</f>
        <v/>
      </c>
      <c r="P417" s="271" t="str">
        <f>IF(P$3="","",IF(COUNTIFS(BD!$A$3:$A$5001,P$3,BD!$B$3:$B$5001,$A$403,BD!$Q$3:$Q$5001,"&lt;&gt;")=0,"",SUMIFS(BD!$Q$3:$Q$5001,BD!$A$3:$A$5001,P$3,BD!$B$3:$B$5001,$A$403)))</f>
        <v/>
      </c>
      <c r="Q417" s="271" t="str">
        <f>IF(Q$3="","",IF(COUNTIFS(BD!$A$3:$A$5001,Q$3,BD!$B$3:$B$5001,$A$403,BD!$Q$3:$Q$5001,"&lt;&gt;")=0,"",SUMIFS(BD!$Q$3:$Q$5001,BD!$A$3:$A$5001,Q$3,BD!$B$3:$B$5001,$A$403)))</f>
        <v/>
      </c>
      <c r="R417" s="271" t="str">
        <f>IF(R$3="","",IF(COUNTIFS(BD!$A$3:$A$5001,R$3,BD!$B$3:$B$5001,$A$403,BD!$Q$3:$Q$5001,"&lt;&gt;")=0,"",SUMIFS(BD!$Q$3:$Q$5001,BD!$A$3:$A$5001,R$3,BD!$B$3:$B$5001,$A$403)))</f>
        <v/>
      </c>
      <c r="S417" s="271" t="str">
        <f>IF(S$3="","",IF(COUNTIFS(BD!$A$3:$A$5001,S$3,BD!$B$3:$B$5001,$A$403,BD!$Q$3:$Q$5001,"&lt;&gt;")=0,"",SUMIFS(BD!$Q$3:$Q$5001,BD!$A$3:$A$5001,S$3,BD!$B$3:$B$5001,$A$403)))</f>
        <v/>
      </c>
      <c r="T417" s="271" t="str">
        <f>IF(T$3="","",IF(COUNTIFS(BD!$A$3:$A$5001,T$3,BD!$B$3:$B$5001,$A$403,BD!$Q$3:$Q$5001,"&lt;&gt;")=0,"",SUMIFS(BD!$Q$3:$Q$5001,BD!$A$3:$A$5001,T$3,BD!$B$3:$B$5001,$A$403)))</f>
        <v/>
      </c>
      <c r="U417" s="271" t="str">
        <f>IF(U$3="","",IF(COUNTIFS(BD!$A$3:$A$5001,U$3,BD!$B$3:$B$5001,$A$403,BD!$Q$3:$Q$5001,"&lt;&gt;")=0,"",SUMIFS(BD!$Q$3:$Q$5001,BD!$A$3:$A$5001,U$3,BD!$B$3:$B$5001,$A$403)))</f>
        <v/>
      </c>
      <c r="V417" s="271" t="str">
        <f>IF(V$3="","",IF(COUNTIFS(BD!$A$3:$A$5001,V$3,BD!$B$3:$B$5001,$A$403,BD!$Q$3:$Q$5001,"&lt;&gt;")=0,"",SUMIFS(BD!$Q$3:$Q$5001,BD!$A$3:$A$5001,V$3,BD!$B$3:$B$5001,$A$403)))</f>
        <v/>
      </c>
      <c r="W417" s="271" t="str">
        <f>IF(W$3="","",IF(COUNTIFS(BD!$A$3:$A$5001,W$3,BD!$B$3:$B$5001,$A$403,BD!$Q$3:$Q$5001,"&lt;&gt;")=0,"",SUMIFS(BD!$Q$3:$Q$5001,BD!$A$3:$A$5001,W$3,BD!$B$3:$B$5001,$A$403)))</f>
        <v/>
      </c>
      <c r="X417" s="271" t="str">
        <f>IF(X$3="","",IF(COUNTIFS(BD!$A$3:$A$5001,X$3,BD!$B$3:$B$5001,$A$403,BD!$Q$3:$Q$5001,"&lt;&gt;")=0,"",SUMIFS(BD!$Q$3:$Q$5001,BD!$A$3:$A$5001,X$3,BD!$B$3:$B$5001,$A$403)))</f>
        <v/>
      </c>
      <c r="Y417" s="271" t="str">
        <f>IF(Y$3="","",IF(COUNTIFS(BD!$A$3:$A$5001,Y$3,BD!$B$3:$B$5001,$A$403,BD!$Q$3:$Q$5001,"&lt;&gt;")=0,"",SUMIFS(BD!$Q$3:$Q$5001,BD!$A$3:$A$5001,Y$3,BD!$B$3:$B$5001,$A$403)))</f>
        <v/>
      </c>
      <c r="Z417" s="271" t="str">
        <f>IF(Z$3="","",IF(COUNTIFS(BD!$A$3:$A$5001,Z$3,BD!$B$3:$B$5001,$A$403,BD!$Q$3:$Q$5001,"&lt;&gt;")=0,"",SUMIFS(BD!$Q$3:$Q$5001,BD!$A$3:$A$5001,Z$3,BD!$B$3:$B$5001,$A$403)))</f>
        <v/>
      </c>
      <c r="AA417" s="271" t="str">
        <f>IF(AA$3="","",IF(COUNTIFS(BD!$A$3:$A$5001,AA$3,BD!$B$3:$B$5001,$A$403,BD!$Q$3:$Q$5001,"&lt;&gt;")=0,"",SUMIFS(BD!$Q$3:$Q$5001,BD!$A$3:$A$5001,AA$3,BD!$B$3:$B$5001,$A$403)))</f>
        <v/>
      </c>
      <c r="AB417" s="271" t="str">
        <f>IF(AB$3="","",IF(COUNTIFS(BD!$A$3:$A$5001,AB$3,BD!$B$3:$B$5001,$A$403,BD!$Q$3:$Q$5001,"&lt;&gt;")=0,"",SUMIFS(BD!$Q$3:$Q$5001,BD!$A$3:$A$5001,AB$3,BD!$B$3:$B$5001,$A$403)))</f>
        <v/>
      </c>
      <c r="AC417" s="271" t="str">
        <f>IF(AC$3="","",IF(COUNTIFS(BD!$A$3:$A$5001,AC$3,BD!$B$3:$B$5001,$A$403,BD!$Q$3:$Q$5001,"&lt;&gt;")=0,"",SUMIFS(BD!$Q$3:$Q$5001,BD!$A$3:$A$5001,AC$3,BD!$B$3:$B$5001,$A$403)))</f>
        <v/>
      </c>
      <c r="AD417" s="271" t="str">
        <f>IF(AD$3="","",IF(COUNTIFS(BD!$A$3:$A$5001,AD$3,BD!$B$3:$B$5001,$A$403,BD!$Q$3:$Q$5001,"&lt;&gt;")=0,"",SUMIFS(BD!$Q$3:$Q$5001,BD!$A$3:$A$5001,AD$3,BD!$B$3:$B$5001,$A$403)))</f>
        <v/>
      </c>
      <c r="AE417" s="271" t="str">
        <f>IF(AE$3="","",IF(COUNTIFS(BD!$A$3:$A$5001,AE$3,BD!$B$3:$B$5001,$A$403,BD!$Q$3:$Q$5001,"&lt;&gt;")=0,"",SUMIFS(BD!$Q$3:$Q$5001,BD!$A$3:$A$5001,AE$3,BD!$B$3:$B$5001,$A$403)))</f>
        <v/>
      </c>
      <c r="AF417" s="271" t="str">
        <f>IF(AF$3="","",IF(COUNTIFS(BD!$A$3:$A$5001,AF$3,BD!$B$3:$B$5001,$A$403,BD!$Q$3:$Q$5001,"&lt;&gt;")=0,"",SUMIFS(BD!$Q$3:$Q$5001,BD!$A$3:$A$5001,AF$3,BD!$B$3:$B$5001,$A$403)))</f>
        <v/>
      </c>
      <c r="AG417" s="271" t="str">
        <f>IF(AG$3="","",IF(COUNTIFS(BD!$A$3:$A$5001,AG$3,BD!$B$3:$B$5001,$A$403,BD!$Q$3:$Q$5001,"&lt;&gt;")=0,"",SUMIFS(BD!$Q$3:$Q$5001,BD!$A$3:$A$5001,AG$3,BD!$B$3:$B$5001,$A$403)))</f>
        <v/>
      </c>
      <c r="AH417" s="271" t="str">
        <f>IF(AH$3="","",IF(COUNTIFS(BD!$A$3:$A$5001,AH$3,BD!$B$3:$B$5001,$A$403,BD!$Q$3:$Q$5001,"&lt;&gt;")=0,"",SUMIFS(BD!$Q$3:$Q$5001,BD!$A$3:$A$5001,AH$3,BD!$B$3:$B$5001,$A$403)))</f>
        <v/>
      </c>
      <c r="AI417" s="271" t="str">
        <f>IF(AI$3="","",IF(COUNTIFS(BD!$A$3:$A$5001,AI$3,BD!$B$3:$B$5001,$A$403,BD!$Q$3:$Q$5001,"&lt;&gt;")=0,"",SUMIFS(BD!$Q$3:$Q$5001,BD!$A$3:$A$5001,AI$3,BD!$B$3:$B$5001,$A$403)))</f>
        <v/>
      </c>
      <c r="AJ417" s="272" t="str">
        <f>IF(AJ$3="","",IF(COUNTIFS(BD!$A$3:$A$5001,AJ$3,BD!$B$3:$B$5001,$A$403,BD!$Q$3:$Q$5001,"&lt;&gt;")=0,"",SUMIFS(BD!$Q$3:$Q$5001,BD!$A$3:$A$5001,AJ$3,BD!$B$3:$B$5001,$A$403)))</f>
        <v/>
      </c>
      <c r="AK417" s="273" t="str">
        <f>IF(COUNT(F417:AJ417)=0,"",SUM(F417:AJ417))</f>
        <v/>
      </c>
    </row>
    <row r="418" ht="15.75" customHeight="1" hidden="1">
      <c r="A418" s="261"/>
      <c r="B418" s="278"/>
      <c r="C418" s="267" t="inlineStr">
        <is>
          <t xml:space="preserve">Pallets Movimentados</t>
        </is>
      </c>
      <c r="D418" s="268" t="str">
        <f>IFERROR(1/(1/INDEX(BD!$AL$38:$BF$38,MATCH($A$403,BD!$AL$22:$BF$22,0))),"")</f>
        <v/>
      </c>
      <c r="E418" s="269"/>
      <c r="F418" s="270" t="str">
        <f>IF(F$3="","",IF(COUNTIFS(BD!$A$3:$A$5001,F$3,BD!$B$3:$B$5001,$A$403,BD!$R$3:$R$5001,"&lt;&gt;")=0,"",SUMIFS(BD!$R$3:$R$5001,BD!$A$3:$A$5001,F$3,BD!$B$3:$B$5001,$A$403)))</f>
        <v/>
      </c>
      <c r="G418" s="271" t="str">
        <f>IF(G$3="","",IF(COUNTIFS(BD!$A$3:$A$5001,G$3,BD!$B$3:$B$5001,$A$403,BD!$R$3:$R$5001,"&lt;&gt;")=0,"",SUMIFS(BD!$R$3:$R$5001,BD!$A$3:$A$5001,G$3,BD!$B$3:$B$5001,$A$403)))</f>
        <v/>
      </c>
      <c r="H418" s="271" t="str">
        <f>IF(H$3="","",IF(COUNTIFS(BD!$A$3:$A$5001,H$3,BD!$B$3:$B$5001,$A$403,BD!$R$3:$R$5001,"&lt;&gt;")=0,"",SUMIFS(BD!$R$3:$R$5001,BD!$A$3:$A$5001,H$3,BD!$B$3:$B$5001,$A$403)))</f>
        <v/>
      </c>
      <c r="I418" s="271" t="str">
        <f>IF(I$3="","",IF(COUNTIFS(BD!$A$3:$A$5001,I$3,BD!$B$3:$B$5001,$A$403,BD!$R$3:$R$5001,"&lt;&gt;")=0,"",SUMIFS(BD!$R$3:$R$5001,BD!$A$3:$A$5001,I$3,BD!$B$3:$B$5001,$A$403)))</f>
        <v/>
      </c>
      <c r="J418" s="271" t="str">
        <f>IF(J$3="","",IF(COUNTIFS(BD!$A$3:$A$5001,J$3,BD!$B$3:$B$5001,$A$403,BD!$R$3:$R$5001,"&lt;&gt;")=0,"",SUMIFS(BD!$R$3:$R$5001,BD!$A$3:$A$5001,J$3,BD!$B$3:$B$5001,$A$403)))</f>
        <v/>
      </c>
      <c r="K418" s="271" t="str">
        <f>IF(K$3="","",IF(COUNTIFS(BD!$A$3:$A$5001,K$3,BD!$B$3:$B$5001,$A$403,BD!$R$3:$R$5001,"&lt;&gt;")=0,"",SUMIFS(BD!$R$3:$R$5001,BD!$A$3:$A$5001,K$3,BD!$B$3:$B$5001,$A$403)))</f>
        <v/>
      </c>
      <c r="L418" s="271" t="str">
        <f>IF(L$3="","",IF(COUNTIFS(BD!$A$3:$A$5001,L$3,BD!$B$3:$B$5001,$A$403,BD!$R$3:$R$5001,"&lt;&gt;")=0,"",SUMIFS(BD!$R$3:$R$5001,BD!$A$3:$A$5001,L$3,BD!$B$3:$B$5001,$A$403)))</f>
        <v/>
      </c>
      <c r="M418" s="271" t="str">
        <f>IF(M$3="","",IF(COUNTIFS(BD!$A$3:$A$5001,M$3,BD!$B$3:$B$5001,$A$403,BD!$R$3:$R$5001,"&lt;&gt;")=0,"",SUMIFS(BD!$R$3:$R$5001,BD!$A$3:$A$5001,M$3,BD!$B$3:$B$5001,$A$403)))</f>
        <v/>
      </c>
      <c r="N418" s="271" t="str">
        <f>IF(N$3="","",IF(COUNTIFS(BD!$A$3:$A$5001,N$3,BD!$B$3:$B$5001,$A$403,BD!$R$3:$R$5001,"&lt;&gt;")=0,"",SUMIFS(BD!$R$3:$R$5001,BD!$A$3:$A$5001,N$3,BD!$B$3:$B$5001,$A$403)))</f>
        <v/>
      </c>
      <c r="O418" s="271" t="str">
        <f>IF(O$3="","",IF(COUNTIFS(BD!$A$3:$A$5001,O$3,BD!$B$3:$B$5001,$A$403,BD!$R$3:$R$5001,"&lt;&gt;")=0,"",SUMIFS(BD!$R$3:$R$5001,BD!$A$3:$A$5001,O$3,BD!$B$3:$B$5001,$A$403)))</f>
        <v/>
      </c>
      <c r="P418" s="271" t="str">
        <f>IF(P$3="","",IF(COUNTIFS(BD!$A$3:$A$5001,P$3,BD!$B$3:$B$5001,$A$403,BD!$R$3:$R$5001,"&lt;&gt;")=0,"",SUMIFS(BD!$R$3:$R$5001,BD!$A$3:$A$5001,P$3,BD!$B$3:$B$5001,$A$403)))</f>
        <v/>
      </c>
      <c r="Q418" s="271" t="str">
        <f>IF(Q$3="","",IF(COUNTIFS(BD!$A$3:$A$5001,Q$3,BD!$B$3:$B$5001,$A$403,BD!$R$3:$R$5001,"&lt;&gt;")=0,"",SUMIFS(BD!$R$3:$R$5001,BD!$A$3:$A$5001,Q$3,BD!$B$3:$B$5001,$A$403)))</f>
        <v/>
      </c>
      <c r="R418" s="271" t="str">
        <f>IF(R$3="","",IF(COUNTIFS(BD!$A$3:$A$5001,R$3,BD!$B$3:$B$5001,$A$403,BD!$R$3:$R$5001,"&lt;&gt;")=0,"",SUMIFS(BD!$R$3:$R$5001,BD!$A$3:$A$5001,R$3,BD!$B$3:$B$5001,$A$403)))</f>
        <v/>
      </c>
      <c r="S418" s="271" t="str">
        <f>IF(S$3="","",IF(COUNTIFS(BD!$A$3:$A$5001,S$3,BD!$B$3:$B$5001,$A$403,BD!$R$3:$R$5001,"&lt;&gt;")=0,"",SUMIFS(BD!$R$3:$R$5001,BD!$A$3:$A$5001,S$3,BD!$B$3:$B$5001,$A$403)))</f>
        <v/>
      </c>
      <c r="T418" s="271" t="str">
        <f>IF(T$3="","",IF(COUNTIFS(BD!$A$3:$A$5001,T$3,BD!$B$3:$B$5001,$A$403,BD!$R$3:$R$5001,"&lt;&gt;")=0,"",SUMIFS(BD!$R$3:$R$5001,BD!$A$3:$A$5001,T$3,BD!$B$3:$B$5001,$A$403)))</f>
        <v/>
      </c>
      <c r="U418" s="271" t="str">
        <f>IF(U$3="","",IF(COUNTIFS(BD!$A$3:$A$5001,U$3,BD!$B$3:$B$5001,$A$403,BD!$R$3:$R$5001,"&lt;&gt;")=0,"",SUMIFS(BD!$R$3:$R$5001,BD!$A$3:$A$5001,U$3,BD!$B$3:$B$5001,$A$403)))</f>
        <v/>
      </c>
      <c r="V418" s="271" t="str">
        <f>IF(V$3="","",IF(COUNTIFS(BD!$A$3:$A$5001,V$3,BD!$B$3:$B$5001,$A$403,BD!$R$3:$R$5001,"&lt;&gt;")=0,"",SUMIFS(BD!$R$3:$R$5001,BD!$A$3:$A$5001,V$3,BD!$B$3:$B$5001,$A$403)))</f>
        <v/>
      </c>
      <c r="W418" s="271" t="str">
        <f>IF(W$3="","",IF(COUNTIFS(BD!$A$3:$A$5001,W$3,BD!$B$3:$B$5001,$A$403,BD!$R$3:$R$5001,"&lt;&gt;")=0,"",SUMIFS(BD!$R$3:$R$5001,BD!$A$3:$A$5001,W$3,BD!$B$3:$B$5001,$A$403)))</f>
        <v/>
      </c>
      <c r="X418" s="271" t="str">
        <f>IF(X$3="","",IF(COUNTIFS(BD!$A$3:$A$5001,X$3,BD!$B$3:$B$5001,$A$403,BD!$R$3:$R$5001,"&lt;&gt;")=0,"",SUMIFS(BD!$R$3:$R$5001,BD!$A$3:$A$5001,X$3,BD!$B$3:$B$5001,$A$403)))</f>
        <v/>
      </c>
      <c r="Y418" s="271" t="str">
        <f>IF(Y$3="","",IF(COUNTIFS(BD!$A$3:$A$5001,Y$3,BD!$B$3:$B$5001,$A$403,BD!$R$3:$R$5001,"&lt;&gt;")=0,"",SUMIFS(BD!$R$3:$R$5001,BD!$A$3:$A$5001,Y$3,BD!$B$3:$B$5001,$A$403)))</f>
        <v/>
      </c>
      <c r="Z418" s="271" t="str">
        <f>IF(Z$3="","",IF(COUNTIFS(BD!$A$3:$A$5001,Z$3,BD!$B$3:$B$5001,$A$403,BD!$R$3:$R$5001,"&lt;&gt;")=0,"",SUMIFS(BD!$R$3:$R$5001,BD!$A$3:$A$5001,Z$3,BD!$B$3:$B$5001,$A$403)))</f>
        <v/>
      </c>
      <c r="AA418" s="271" t="str">
        <f>IF(AA$3="","",IF(COUNTIFS(BD!$A$3:$A$5001,AA$3,BD!$B$3:$B$5001,$A$403,BD!$R$3:$R$5001,"&lt;&gt;")=0,"",SUMIFS(BD!$R$3:$R$5001,BD!$A$3:$A$5001,AA$3,BD!$B$3:$B$5001,$A$403)))</f>
        <v/>
      </c>
      <c r="AB418" s="271" t="str">
        <f>IF(AB$3="","",IF(COUNTIFS(BD!$A$3:$A$5001,AB$3,BD!$B$3:$B$5001,$A$403,BD!$R$3:$R$5001,"&lt;&gt;")=0,"",SUMIFS(BD!$R$3:$R$5001,BD!$A$3:$A$5001,AB$3,BD!$B$3:$B$5001,$A$403)))</f>
        <v/>
      </c>
      <c r="AC418" s="271" t="str">
        <f>IF(AC$3="","",IF(COUNTIFS(BD!$A$3:$A$5001,AC$3,BD!$B$3:$B$5001,$A$403,BD!$R$3:$R$5001,"&lt;&gt;")=0,"",SUMIFS(BD!$R$3:$R$5001,BD!$A$3:$A$5001,AC$3,BD!$B$3:$B$5001,$A$403)))</f>
        <v/>
      </c>
      <c r="AD418" s="271" t="str">
        <f>IF(AD$3="","",IF(COUNTIFS(BD!$A$3:$A$5001,AD$3,BD!$B$3:$B$5001,$A$403,BD!$R$3:$R$5001,"&lt;&gt;")=0,"",SUMIFS(BD!$R$3:$R$5001,BD!$A$3:$A$5001,AD$3,BD!$B$3:$B$5001,$A$403)))</f>
        <v/>
      </c>
      <c r="AE418" s="271" t="str">
        <f>IF(AE$3="","",IF(COUNTIFS(BD!$A$3:$A$5001,AE$3,BD!$B$3:$B$5001,$A$403,BD!$R$3:$R$5001,"&lt;&gt;")=0,"",SUMIFS(BD!$R$3:$R$5001,BD!$A$3:$A$5001,AE$3,BD!$B$3:$B$5001,$A$403)))</f>
        <v/>
      </c>
      <c r="AF418" s="271" t="str">
        <f>IF(AF$3="","",IF(COUNTIFS(BD!$A$3:$A$5001,AF$3,BD!$B$3:$B$5001,$A$403,BD!$R$3:$R$5001,"&lt;&gt;")=0,"",SUMIFS(BD!$R$3:$R$5001,BD!$A$3:$A$5001,AF$3,BD!$B$3:$B$5001,$A$403)))</f>
        <v/>
      </c>
      <c r="AG418" s="271" t="str">
        <f>IF(AG$3="","",IF(COUNTIFS(BD!$A$3:$A$5001,AG$3,BD!$B$3:$B$5001,$A$403,BD!$R$3:$R$5001,"&lt;&gt;")=0,"",SUMIFS(BD!$R$3:$R$5001,BD!$A$3:$A$5001,AG$3,BD!$B$3:$B$5001,$A$403)))</f>
        <v/>
      </c>
      <c r="AH418" s="271" t="str">
        <f>IF(AH$3="","",IF(COUNTIFS(BD!$A$3:$A$5001,AH$3,BD!$B$3:$B$5001,$A$403,BD!$R$3:$R$5001,"&lt;&gt;")=0,"",SUMIFS(BD!$R$3:$R$5001,BD!$A$3:$A$5001,AH$3,BD!$B$3:$B$5001,$A$403)))</f>
        <v/>
      </c>
      <c r="AI418" s="271" t="str">
        <f>IF(AI$3="","",IF(COUNTIFS(BD!$A$3:$A$5001,AI$3,BD!$B$3:$B$5001,$A$403,BD!$R$3:$R$5001,"&lt;&gt;")=0,"",SUMIFS(BD!$R$3:$R$5001,BD!$A$3:$A$5001,AI$3,BD!$B$3:$B$5001,$A$403)))</f>
        <v/>
      </c>
      <c r="AJ418" s="272" t="str">
        <f>IF(AJ$3="","",IF(COUNTIFS(BD!$A$3:$A$5001,AJ$3,BD!$B$3:$B$5001,$A$403,BD!$R$3:$R$5001,"&lt;&gt;")=0,"",SUMIFS(BD!$R$3:$R$5001,BD!$A$3:$A$5001,AJ$3,BD!$B$3:$B$5001,$A$403)))</f>
        <v/>
      </c>
      <c r="AK418" s="273" t="str">
        <f>IF(COUNT(F418:AJ418)=0,"",SUM(F418:AJ418))</f>
        <v/>
      </c>
    </row>
    <row r="419" ht="15.75" customHeight="1" hidden="1">
      <c r="A419" s="261"/>
      <c r="B419" s="252"/>
      <c r="C419" s="188" t="inlineStr">
        <is>
          <t xml:space="preserve">Toneladas Movimentadas</t>
        </is>
      </c>
      <c r="D419" s="189" t="str">
        <f>IFERROR(1/(1/INDEX(BD!$AL$39:$BF$39,MATCH($A$403,BD!$AL$22:$BF$22,0))),"")</f>
        <v/>
      </c>
      <c r="E419" s="190"/>
      <c r="F419" s="274" t="str">
        <f>IF(F$3="","",IF(COUNTIFS(BD!$A$3:$A$5001,F$3,BD!$B$3:$B$5001,$A$403,BD!$S$3:$S$5001,"&lt;&gt;")=0,"",SUMIFS(BD!$S$3:$S$5001,BD!$A$3:$A$5001,F$3,BD!$B$3:$B$5001,$A$403)))</f>
        <v/>
      </c>
      <c r="G419" s="275" t="str">
        <f>IF(G$3="","",IF(COUNTIFS(BD!$A$3:$A$5001,G$3,BD!$B$3:$B$5001,$A$403,BD!$S$3:$S$5001,"&lt;&gt;")=0,"",SUMIFS(BD!$S$3:$S$5001,BD!$A$3:$A$5001,G$3,BD!$B$3:$B$5001,$A$403)))</f>
        <v/>
      </c>
      <c r="H419" s="275" t="str">
        <f>IF(H$3="","",IF(COUNTIFS(BD!$A$3:$A$5001,H$3,BD!$B$3:$B$5001,$A$403,BD!$S$3:$S$5001,"&lt;&gt;")=0,"",SUMIFS(BD!$S$3:$S$5001,BD!$A$3:$A$5001,H$3,BD!$B$3:$B$5001,$A$403)))</f>
        <v/>
      </c>
      <c r="I419" s="275" t="str">
        <f>IF(I$3="","",IF(COUNTIFS(BD!$A$3:$A$5001,I$3,BD!$B$3:$B$5001,$A$403,BD!$S$3:$S$5001,"&lt;&gt;")=0,"",SUMIFS(BD!$S$3:$S$5001,BD!$A$3:$A$5001,I$3,BD!$B$3:$B$5001,$A$403)))</f>
        <v/>
      </c>
      <c r="J419" s="275" t="str">
        <f>IF(J$3="","",IF(COUNTIFS(BD!$A$3:$A$5001,J$3,BD!$B$3:$B$5001,$A$403,BD!$S$3:$S$5001,"&lt;&gt;")=0,"",SUMIFS(BD!$S$3:$S$5001,BD!$A$3:$A$5001,J$3,BD!$B$3:$B$5001,$A$403)))</f>
        <v/>
      </c>
      <c r="K419" s="275" t="str">
        <f>IF(K$3="","",IF(COUNTIFS(BD!$A$3:$A$5001,K$3,BD!$B$3:$B$5001,$A$403,BD!$S$3:$S$5001,"&lt;&gt;")=0,"",SUMIFS(BD!$S$3:$S$5001,BD!$A$3:$A$5001,K$3,BD!$B$3:$B$5001,$A$403)))</f>
        <v/>
      </c>
      <c r="L419" s="275" t="str">
        <f>IF(L$3="","",IF(COUNTIFS(BD!$A$3:$A$5001,L$3,BD!$B$3:$B$5001,$A$403,BD!$S$3:$S$5001,"&lt;&gt;")=0,"",SUMIFS(BD!$S$3:$S$5001,BD!$A$3:$A$5001,L$3,BD!$B$3:$B$5001,$A$403)))</f>
        <v/>
      </c>
      <c r="M419" s="275" t="str">
        <f>IF(M$3="","",IF(COUNTIFS(BD!$A$3:$A$5001,M$3,BD!$B$3:$B$5001,$A$403,BD!$S$3:$S$5001,"&lt;&gt;")=0,"",SUMIFS(BD!$S$3:$S$5001,BD!$A$3:$A$5001,M$3,BD!$B$3:$B$5001,$A$403)))</f>
        <v/>
      </c>
      <c r="N419" s="275" t="str">
        <f>IF(N$3="","",IF(COUNTIFS(BD!$A$3:$A$5001,N$3,BD!$B$3:$B$5001,$A$403,BD!$S$3:$S$5001,"&lt;&gt;")=0,"",SUMIFS(BD!$S$3:$S$5001,BD!$A$3:$A$5001,N$3,BD!$B$3:$B$5001,$A$403)))</f>
        <v/>
      </c>
      <c r="O419" s="275" t="str">
        <f>IF(O$3="","",IF(COUNTIFS(BD!$A$3:$A$5001,O$3,BD!$B$3:$B$5001,$A$403,BD!$S$3:$S$5001,"&lt;&gt;")=0,"",SUMIFS(BD!$S$3:$S$5001,BD!$A$3:$A$5001,O$3,BD!$B$3:$B$5001,$A$403)))</f>
        <v/>
      </c>
      <c r="P419" s="275" t="str">
        <f>IF(P$3="","",IF(COUNTIFS(BD!$A$3:$A$5001,P$3,BD!$B$3:$B$5001,$A$403,BD!$S$3:$S$5001,"&lt;&gt;")=0,"",SUMIFS(BD!$S$3:$S$5001,BD!$A$3:$A$5001,P$3,BD!$B$3:$B$5001,$A$403)))</f>
        <v/>
      </c>
      <c r="Q419" s="275" t="str">
        <f>IF(Q$3="","",IF(COUNTIFS(BD!$A$3:$A$5001,Q$3,BD!$B$3:$B$5001,$A$403,BD!$S$3:$S$5001,"&lt;&gt;")=0,"",SUMIFS(BD!$S$3:$S$5001,BD!$A$3:$A$5001,Q$3,BD!$B$3:$B$5001,$A$403)))</f>
        <v/>
      </c>
      <c r="R419" s="275" t="str">
        <f>IF(R$3="","",IF(COUNTIFS(BD!$A$3:$A$5001,R$3,BD!$B$3:$B$5001,$A$403,BD!$S$3:$S$5001,"&lt;&gt;")=0,"",SUMIFS(BD!$S$3:$S$5001,BD!$A$3:$A$5001,R$3,BD!$B$3:$B$5001,$A$403)))</f>
        <v/>
      </c>
      <c r="S419" s="275" t="str">
        <f>IF(S$3="","",IF(COUNTIFS(BD!$A$3:$A$5001,S$3,BD!$B$3:$B$5001,$A$403,BD!$S$3:$S$5001,"&lt;&gt;")=0,"",SUMIFS(BD!$S$3:$S$5001,BD!$A$3:$A$5001,S$3,BD!$B$3:$B$5001,$A$403)))</f>
        <v/>
      </c>
      <c r="T419" s="275" t="str">
        <f>IF(T$3="","",IF(COUNTIFS(BD!$A$3:$A$5001,T$3,BD!$B$3:$B$5001,$A$403,BD!$S$3:$S$5001,"&lt;&gt;")=0,"",SUMIFS(BD!$S$3:$S$5001,BD!$A$3:$A$5001,T$3,BD!$B$3:$B$5001,$A$403)))</f>
        <v/>
      </c>
      <c r="U419" s="275" t="str">
        <f>IF(U$3="","",IF(COUNTIFS(BD!$A$3:$A$5001,U$3,BD!$B$3:$B$5001,$A$403,BD!$S$3:$S$5001,"&lt;&gt;")=0,"",SUMIFS(BD!$S$3:$S$5001,BD!$A$3:$A$5001,U$3,BD!$B$3:$B$5001,$A$403)))</f>
        <v/>
      </c>
      <c r="V419" s="275" t="str">
        <f>IF(V$3="","",IF(COUNTIFS(BD!$A$3:$A$5001,V$3,BD!$B$3:$B$5001,$A$403,BD!$S$3:$S$5001,"&lt;&gt;")=0,"",SUMIFS(BD!$S$3:$S$5001,BD!$A$3:$A$5001,V$3,BD!$B$3:$B$5001,$A$403)))</f>
        <v/>
      </c>
      <c r="W419" s="275" t="str">
        <f>IF(W$3="","",IF(COUNTIFS(BD!$A$3:$A$5001,W$3,BD!$B$3:$B$5001,$A$403,BD!$S$3:$S$5001,"&lt;&gt;")=0,"",SUMIFS(BD!$S$3:$S$5001,BD!$A$3:$A$5001,W$3,BD!$B$3:$B$5001,$A$403)))</f>
        <v/>
      </c>
      <c r="X419" s="275" t="str">
        <f>IF(X$3="","",IF(COUNTIFS(BD!$A$3:$A$5001,X$3,BD!$B$3:$B$5001,$A$403,BD!$S$3:$S$5001,"&lt;&gt;")=0,"",SUMIFS(BD!$S$3:$S$5001,BD!$A$3:$A$5001,X$3,BD!$B$3:$B$5001,$A$403)))</f>
        <v/>
      </c>
      <c r="Y419" s="275" t="str">
        <f>IF(Y$3="","",IF(COUNTIFS(BD!$A$3:$A$5001,Y$3,BD!$B$3:$B$5001,$A$403,BD!$S$3:$S$5001,"&lt;&gt;")=0,"",SUMIFS(BD!$S$3:$S$5001,BD!$A$3:$A$5001,Y$3,BD!$B$3:$B$5001,$A$403)))</f>
        <v/>
      </c>
      <c r="Z419" s="275" t="str">
        <f>IF(Z$3="","",IF(COUNTIFS(BD!$A$3:$A$5001,Z$3,BD!$B$3:$B$5001,$A$403,BD!$S$3:$S$5001,"&lt;&gt;")=0,"",SUMIFS(BD!$S$3:$S$5001,BD!$A$3:$A$5001,Z$3,BD!$B$3:$B$5001,$A$403)))</f>
        <v/>
      </c>
      <c r="AA419" s="275" t="str">
        <f>IF(AA$3="","",IF(COUNTIFS(BD!$A$3:$A$5001,AA$3,BD!$B$3:$B$5001,$A$403,BD!$S$3:$S$5001,"&lt;&gt;")=0,"",SUMIFS(BD!$S$3:$S$5001,BD!$A$3:$A$5001,AA$3,BD!$B$3:$B$5001,$A$403)))</f>
        <v/>
      </c>
      <c r="AB419" s="275" t="str">
        <f>IF(AB$3="","",IF(COUNTIFS(BD!$A$3:$A$5001,AB$3,BD!$B$3:$B$5001,$A$403,BD!$S$3:$S$5001,"&lt;&gt;")=0,"",SUMIFS(BD!$S$3:$S$5001,BD!$A$3:$A$5001,AB$3,BD!$B$3:$B$5001,$A$403)))</f>
        <v/>
      </c>
      <c r="AC419" s="275" t="str">
        <f>IF(AC$3="","",IF(COUNTIFS(BD!$A$3:$A$5001,AC$3,BD!$B$3:$B$5001,$A$403,BD!$S$3:$S$5001,"&lt;&gt;")=0,"",SUMIFS(BD!$S$3:$S$5001,BD!$A$3:$A$5001,AC$3,BD!$B$3:$B$5001,$A$403)))</f>
        <v/>
      </c>
      <c r="AD419" s="275" t="str">
        <f>IF(AD$3="","",IF(COUNTIFS(BD!$A$3:$A$5001,AD$3,BD!$B$3:$B$5001,$A$403,BD!$S$3:$S$5001,"&lt;&gt;")=0,"",SUMIFS(BD!$S$3:$S$5001,BD!$A$3:$A$5001,AD$3,BD!$B$3:$B$5001,$A$403)))</f>
        <v/>
      </c>
      <c r="AE419" s="275" t="str">
        <f>IF(AE$3="","",IF(COUNTIFS(BD!$A$3:$A$5001,AE$3,BD!$B$3:$B$5001,$A$403,BD!$S$3:$S$5001,"&lt;&gt;")=0,"",SUMIFS(BD!$S$3:$S$5001,BD!$A$3:$A$5001,AE$3,BD!$B$3:$B$5001,$A$403)))</f>
        <v/>
      </c>
      <c r="AF419" s="275" t="str">
        <f>IF(AF$3="","",IF(COUNTIFS(BD!$A$3:$A$5001,AF$3,BD!$B$3:$B$5001,$A$403,BD!$S$3:$S$5001,"&lt;&gt;")=0,"",SUMIFS(BD!$S$3:$S$5001,BD!$A$3:$A$5001,AF$3,BD!$B$3:$B$5001,$A$403)))</f>
        <v/>
      </c>
      <c r="AG419" s="275" t="str">
        <f>IF(AG$3="","",IF(COUNTIFS(BD!$A$3:$A$5001,AG$3,BD!$B$3:$B$5001,$A$403,BD!$S$3:$S$5001,"&lt;&gt;")=0,"",SUMIFS(BD!$S$3:$S$5001,BD!$A$3:$A$5001,AG$3,BD!$B$3:$B$5001,$A$403)))</f>
        <v/>
      </c>
      <c r="AH419" s="275" t="str">
        <f>IF(AH$3="","",IF(COUNTIFS(BD!$A$3:$A$5001,AH$3,BD!$B$3:$B$5001,$A$403,BD!$S$3:$S$5001,"&lt;&gt;")=0,"",SUMIFS(BD!$S$3:$S$5001,BD!$A$3:$A$5001,AH$3,BD!$B$3:$B$5001,$A$403)))</f>
        <v/>
      </c>
      <c r="AI419" s="275" t="str">
        <f>IF(AI$3="","",IF(COUNTIFS(BD!$A$3:$A$5001,AI$3,BD!$B$3:$B$5001,$A$403,BD!$S$3:$S$5001,"&lt;&gt;")=0,"",SUMIFS(BD!$S$3:$S$5001,BD!$A$3:$A$5001,AI$3,BD!$B$3:$B$5001,$A$403)))</f>
        <v/>
      </c>
      <c r="AJ419" s="276" t="str">
        <f>IF(AJ$3="","",IF(COUNTIFS(BD!$A$3:$A$5001,AJ$3,BD!$B$3:$B$5001,$A$403,BD!$S$3:$S$5001,"&lt;&gt;")=0,"",SUMIFS(BD!$S$3:$S$5001,BD!$A$3:$A$5001,AJ$3,BD!$B$3:$B$5001,$A$403)))</f>
        <v/>
      </c>
      <c r="AK419" s="277" t="str">
        <f>IF(COUNT(F419:AJ419)=0,"",SUM(F419:AJ419))</f>
        <v/>
      </c>
    </row>
    <row r="420" ht="15.75" customHeight="1" hidden="1">
      <c r="A420" s="261"/>
      <c r="B420" s="253" t="inlineStr">
        <is>
          <t xml:space="preserve">NC</t>
        </is>
      </c>
      <c r="C420" s="194" t="inlineStr">
        <is>
          <t xml:space="preserve">Incidentes</t>
        </is>
      </c>
      <c r="D420" s="195" t="str">
        <f>IFERROR(1/(1/INDEX(BD!$AL$40:$BF$40,MATCH($A$403,BD!$AL$22:$BF$22,0))),"")</f>
        <v/>
      </c>
      <c r="E420" s="196"/>
      <c r="F420" s="197" t="str">
        <f>IF(F$3="","",IF(COUNTIFS(BD!$A$3:$A$5001,F$3,BD!$B$3:$B$5001,$A$403,BD!$T$3:$T$5001,"&lt;&gt;")=0,"",SUMIFS(BD!$T$3:$T$5001,BD!$A$3:$A$5001,F$3,BD!$B$3:$B$5001,$A$403)))</f>
        <v/>
      </c>
      <c r="G420" s="198" t="str">
        <f>IF(G$3="","",IF(COUNTIFS(BD!$A$3:$A$5001,G$3,BD!$B$3:$B$5001,$A$403,BD!$T$3:$T$5001,"&lt;&gt;")=0,"",SUMIFS(BD!$T$3:$T$5001,BD!$A$3:$A$5001,G$3,BD!$B$3:$B$5001,$A$403)))</f>
        <v/>
      </c>
      <c r="H420" s="198" t="str">
        <f>IF(H$3="","",IF(COUNTIFS(BD!$A$3:$A$5001,H$3,BD!$B$3:$B$5001,$A$403,BD!$T$3:$T$5001,"&lt;&gt;")=0,"",SUMIFS(BD!$T$3:$T$5001,BD!$A$3:$A$5001,H$3,BD!$B$3:$B$5001,$A$403)))</f>
        <v/>
      </c>
      <c r="I420" s="198" t="str">
        <f>IF(I$3="","",IF(COUNTIFS(BD!$A$3:$A$5001,I$3,BD!$B$3:$B$5001,$A$403,BD!$T$3:$T$5001,"&lt;&gt;")=0,"",SUMIFS(BD!$T$3:$T$5001,BD!$A$3:$A$5001,I$3,BD!$B$3:$B$5001,$A$403)))</f>
        <v/>
      </c>
      <c r="J420" s="198" t="str">
        <f>IF(J$3="","",IF(COUNTIFS(BD!$A$3:$A$5001,J$3,BD!$B$3:$B$5001,$A$403,BD!$T$3:$T$5001,"&lt;&gt;")=0,"",SUMIFS(BD!$T$3:$T$5001,BD!$A$3:$A$5001,J$3,BD!$B$3:$B$5001,$A$403)))</f>
        <v/>
      </c>
      <c r="K420" s="198" t="str">
        <f>IF(K$3="","",IF(COUNTIFS(BD!$A$3:$A$5001,K$3,BD!$B$3:$B$5001,$A$403,BD!$T$3:$T$5001,"&lt;&gt;")=0,"",SUMIFS(BD!$T$3:$T$5001,BD!$A$3:$A$5001,K$3,BD!$B$3:$B$5001,$A$403)))</f>
        <v/>
      </c>
      <c r="L420" s="198" t="str">
        <f>IF(L$3="","",IF(COUNTIFS(BD!$A$3:$A$5001,L$3,BD!$B$3:$B$5001,$A$403,BD!$T$3:$T$5001,"&lt;&gt;")=0,"",SUMIFS(BD!$T$3:$T$5001,BD!$A$3:$A$5001,L$3,BD!$B$3:$B$5001,$A$403)))</f>
        <v/>
      </c>
      <c r="M420" s="198" t="str">
        <f>IF(M$3="","",IF(COUNTIFS(BD!$A$3:$A$5001,M$3,BD!$B$3:$B$5001,$A$403,BD!$T$3:$T$5001,"&lt;&gt;")=0,"",SUMIFS(BD!$T$3:$T$5001,BD!$A$3:$A$5001,M$3,BD!$B$3:$B$5001,$A$403)))</f>
        <v/>
      </c>
      <c r="N420" s="198" t="str">
        <f>IF(N$3="","",IF(COUNTIFS(BD!$A$3:$A$5001,N$3,BD!$B$3:$B$5001,$A$403,BD!$T$3:$T$5001,"&lt;&gt;")=0,"",SUMIFS(BD!$T$3:$T$5001,BD!$A$3:$A$5001,N$3,BD!$B$3:$B$5001,$A$403)))</f>
        <v/>
      </c>
      <c r="O420" s="198" t="str">
        <f>IF(O$3="","",IF(COUNTIFS(BD!$A$3:$A$5001,O$3,BD!$B$3:$B$5001,$A$403,BD!$T$3:$T$5001,"&lt;&gt;")=0,"",SUMIFS(BD!$T$3:$T$5001,BD!$A$3:$A$5001,O$3,BD!$B$3:$B$5001,$A$403)))</f>
        <v/>
      </c>
      <c r="P420" s="198" t="str">
        <f>IF(P$3="","",IF(COUNTIFS(BD!$A$3:$A$5001,P$3,BD!$B$3:$B$5001,$A$403,BD!$T$3:$T$5001,"&lt;&gt;")=0,"",SUMIFS(BD!$T$3:$T$5001,BD!$A$3:$A$5001,P$3,BD!$B$3:$B$5001,$A$403)))</f>
        <v/>
      </c>
      <c r="Q420" s="198" t="str">
        <f>IF(Q$3="","",IF(COUNTIFS(BD!$A$3:$A$5001,Q$3,BD!$B$3:$B$5001,$A$403,BD!$T$3:$T$5001,"&lt;&gt;")=0,"",SUMIFS(BD!$T$3:$T$5001,BD!$A$3:$A$5001,Q$3,BD!$B$3:$B$5001,$A$403)))</f>
        <v/>
      </c>
      <c r="R420" s="198" t="str">
        <f>IF(R$3="","",IF(COUNTIFS(BD!$A$3:$A$5001,R$3,BD!$B$3:$B$5001,$A$403,BD!$T$3:$T$5001,"&lt;&gt;")=0,"",SUMIFS(BD!$T$3:$T$5001,BD!$A$3:$A$5001,R$3,BD!$B$3:$B$5001,$A$403)))</f>
        <v/>
      </c>
      <c r="S420" s="198" t="str">
        <f>IF(S$3="","",IF(COUNTIFS(BD!$A$3:$A$5001,S$3,BD!$B$3:$B$5001,$A$403,BD!$T$3:$T$5001,"&lt;&gt;")=0,"",SUMIFS(BD!$T$3:$T$5001,BD!$A$3:$A$5001,S$3,BD!$B$3:$B$5001,$A$403)))</f>
        <v/>
      </c>
      <c r="T420" s="198" t="str">
        <f>IF(T$3="","",IF(COUNTIFS(BD!$A$3:$A$5001,T$3,BD!$B$3:$B$5001,$A$403,BD!$T$3:$T$5001,"&lt;&gt;")=0,"",SUMIFS(BD!$T$3:$T$5001,BD!$A$3:$A$5001,T$3,BD!$B$3:$B$5001,$A$403)))</f>
        <v/>
      </c>
      <c r="U420" s="198" t="str">
        <f>IF(U$3="","",IF(COUNTIFS(BD!$A$3:$A$5001,U$3,BD!$B$3:$B$5001,$A$403,BD!$T$3:$T$5001,"&lt;&gt;")=0,"",SUMIFS(BD!$T$3:$T$5001,BD!$A$3:$A$5001,U$3,BD!$B$3:$B$5001,$A$403)))</f>
        <v/>
      </c>
      <c r="V420" s="198" t="str">
        <f>IF(V$3="","",IF(COUNTIFS(BD!$A$3:$A$5001,V$3,BD!$B$3:$B$5001,$A$403,BD!$T$3:$T$5001,"&lt;&gt;")=0,"",SUMIFS(BD!$T$3:$T$5001,BD!$A$3:$A$5001,V$3,BD!$B$3:$B$5001,$A$403)))</f>
        <v/>
      </c>
      <c r="W420" s="198" t="str">
        <f>IF(W$3="","",IF(COUNTIFS(BD!$A$3:$A$5001,W$3,BD!$B$3:$B$5001,$A$403,BD!$T$3:$T$5001,"&lt;&gt;")=0,"",SUMIFS(BD!$T$3:$T$5001,BD!$A$3:$A$5001,W$3,BD!$B$3:$B$5001,$A$403)))</f>
        <v/>
      </c>
      <c r="X420" s="198" t="str">
        <f>IF(X$3="","",IF(COUNTIFS(BD!$A$3:$A$5001,X$3,BD!$B$3:$B$5001,$A$403,BD!$T$3:$T$5001,"&lt;&gt;")=0,"",SUMIFS(BD!$T$3:$T$5001,BD!$A$3:$A$5001,X$3,BD!$B$3:$B$5001,$A$403)))</f>
        <v/>
      </c>
      <c r="Y420" s="198" t="str">
        <f>IF(Y$3="","",IF(COUNTIFS(BD!$A$3:$A$5001,Y$3,BD!$B$3:$B$5001,$A$403,BD!$T$3:$T$5001,"&lt;&gt;")=0,"",SUMIFS(BD!$T$3:$T$5001,BD!$A$3:$A$5001,Y$3,BD!$B$3:$B$5001,$A$403)))</f>
        <v/>
      </c>
      <c r="Z420" s="198" t="str">
        <f>IF(Z$3="","",IF(COUNTIFS(BD!$A$3:$A$5001,Z$3,BD!$B$3:$B$5001,$A$403,BD!$T$3:$T$5001,"&lt;&gt;")=0,"",SUMIFS(BD!$T$3:$T$5001,BD!$A$3:$A$5001,Z$3,BD!$B$3:$B$5001,$A$403)))</f>
        <v/>
      </c>
      <c r="AA420" s="198" t="str">
        <f>IF(AA$3="","",IF(COUNTIFS(BD!$A$3:$A$5001,AA$3,BD!$B$3:$B$5001,$A$403,BD!$T$3:$T$5001,"&lt;&gt;")=0,"",SUMIFS(BD!$T$3:$T$5001,BD!$A$3:$A$5001,AA$3,BD!$B$3:$B$5001,$A$403)))</f>
        <v/>
      </c>
      <c r="AB420" s="198" t="str">
        <f>IF(AB$3="","",IF(COUNTIFS(BD!$A$3:$A$5001,AB$3,BD!$B$3:$B$5001,$A$403,BD!$T$3:$T$5001,"&lt;&gt;")=0,"",SUMIFS(BD!$T$3:$T$5001,BD!$A$3:$A$5001,AB$3,BD!$B$3:$B$5001,$A$403)))</f>
        <v/>
      </c>
      <c r="AC420" s="198" t="str">
        <f>IF(AC$3="","",IF(COUNTIFS(BD!$A$3:$A$5001,AC$3,BD!$B$3:$B$5001,$A$403,BD!$T$3:$T$5001,"&lt;&gt;")=0,"",SUMIFS(BD!$T$3:$T$5001,BD!$A$3:$A$5001,AC$3,BD!$B$3:$B$5001,$A$403)))</f>
        <v/>
      </c>
      <c r="AD420" s="198" t="str">
        <f>IF(AD$3="","",IF(COUNTIFS(BD!$A$3:$A$5001,AD$3,BD!$B$3:$B$5001,$A$403,BD!$T$3:$T$5001,"&lt;&gt;")=0,"",SUMIFS(BD!$T$3:$T$5001,BD!$A$3:$A$5001,AD$3,BD!$B$3:$B$5001,$A$403)))</f>
        <v/>
      </c>
      <c r="AE420" s="198" t="str">
        <f>IF(AE$3="","",IF(COUNTIFS(BD!$A$3:$A$5001,AE$3,BD!$B$3:$B$5001,$A$403,BD!$T$3:$T$5001,"&lt;&gt;")=0,"",SUMIFS(BD!$T$3:$T$5001,BD!$A$3:$A$5001,AE$3,BD!$B$3:$B$5001,$A$403)))</f>
        <v/>
      </c>
      <c r="AF420" s="198" t="str">
        <f>IF(AF$3="","",IF(COUNTIFS(BD!$A$3:$A$5001,AF$3,BD!$B$3:$B$5001,$A$403,BD!$T$3:$T$5001,"&lt;&gt;")=0,"",SUMIFS(BD!$T$3:$T$5001,BD!$A$3:$A$5001,AF$3,BD!$B$3:$B$5001,$A$403)))</f>
        <v/>
      </c>
      <c r="AG420" s="198" t="str">
        <f>IF(AG$3="","",IF(COUNTIFS(BD!$A$3:$A$5001,AG$3,BD!$B$3:$B$5001,$A$403,BD!$T$3:$T$5001,"&lt;&gt;")=0,"",SUMIFS(BD!$T$3:$T$5001,BD!$A$3:$A$5001,AG$3,BD!$B$3:$B$5001,$A$403)))</f>
        <v/>
      </c>
      <c r="AH420" s="198" t="str">
        <f>IF(AH$3="","",IF(COUNTIFS(BD!$A$3:$A$5001,AH$3,BD!$B$3:$B$5001,$A$403,BD!$T$3:$T$5001,"&lt;&gt;")=0,"",SUMIFS(BD!$T$3:$T$5001,BD!$A$3:$A$5001,AH$3,BD!$B$3:$B$5001,$A$403)))</f>
        <v/>
      </c>
      <c r="AI420" s="198" t="str">
        <f>IF(AI$3="","",IF(COUNTIFS(BD!$A$3:$A$5001,AI$3,BD!$B$3:$B$5001,$A$403,BD!$T$3:$T$5001,"&lt;&gt;")=0,"",SUMIFS(BD!$T$3:$T$5001,BD!$A$3:$A$5001,AI$3,BD!$B$3:$B$5001,$A$403)))</f>
        <v/>
      </c>
      <c r="AJ420" s="199" t="str">
        <f>IF(AJ$3="","",IF(COUNTIFS(BD!$A$3:$A$5001,AJ$3,BD!$B$3:$B$5001,$A$403,BD!$T$3:$T$5001,"&lt;&gt;")=0,"",SUMIFS(BD!$T$3:$T$5001,BD!$A$3:$A$5001,AJ$3,BD!$B$3:$B$5001,$A$403)))</f>
        <v/>
      </c>
      <c r="AK420" s="200" t="str">
        <f>IF(COUNT(F420:AJ420)=0,"",SUM(F420:AJ420))</f>
        <v/>
      </c>
    </row>
    <row r="421" ht="15.75" customHeight="1" hidden="1">
      <c r="A421" s="261"/>
      <c r="B421" s="254"/>
      <c r="C421" s="201" t="inlineStr">
        <is>
          <t xml:space="preserve">No show</t>
        </is>
      </c>
      <c r="D421" s="202" t="str">
        <f>IFERROR(1/(1/INDEX(BD!$AL$41:$BF$41,MATCH($A$403,BD!$AL$22:$BF$22,0))),"")</f>
        <v/>
      </c>
      <c r="E421" s="203"/>
      <c r="F421" s="204" t="str">
        <f>IF(F$3="","",IF(COUNTIFS(BD!$A$3:$A$5001,F$3,BD!$B$3:$B$5001,$A$403,BD!$U$3:$U$5001,"&lt;&gt;")=0,"",SUMIFS(BD!$U$3:$U$5001,BD!$A$3:$A$5001,F$3,BD!$B$3:$B$5001,$A$403)))</f>
        <v/>
      </c>
      <c r="G421" s="205" t="str">
        <f>IF(G$3="","",IF(COUNTIFS(BD!$A$3:$A$5001,G$3,BD!$B$3:$B$5001,$A$403,BD!$U$3:$U$5001,"&lt;&gt;")=0,"",SUMIFS(BD!$U$3:$U$5001,BD!$A$3:$A$5001,G$3,BD!$B$3:$B$5001,$A$403)))</f>
        <v/>
      </c>
      <c r="H421" s="205" t="str">
        <f>IF(H$3="","",IF(COUNTIFS(BD!$A$3:$A$5001,H$3,BD!$B$3:$B$5001,$A$403,BD!$U$3:$U$5001,"&lt;&gt;")=0,"",SUMIFS(BD!$U$3:$U$5001,BD!$A$3:$A$5001,H$3,BD!$B$3:$B$5001,$A$403)))</f>
        <v/>
      </c>
      <c r="I421" s="205" t="str">
        <f>IF(I$3="","",IF(COUNTIFS(BD!$A$3:$A$5001,I$3,BD!$B$3:$B$5001,$A$403,BD!$U$3:$U$5001,"&lt;&gt;")=0,"",SUMIFS(BD!$U$3:$U$5001,BD!$A$3:$A$5001,I$3,BD!$B$3:$B$5001,$A$403)))</f>
        <v/>
      </c>
      <c r="J421" s="205" t="str">
        <f>IF(J$3="","",IF(COUNTIFS(BD!$A$3:$A$5001,J$3,BD!$B$3:$B$5001,$A$403,BD!$U$3:$U$5001,"&lt;&gt;")=0,"",SUMIFS(BD!$U$3:$U$5001,BD!$A$3:$A$5001,J$3,BD!$B$3:$B$5001,$A$403)))</f>
        <v/>
      </c>
      <c r="K421" s="205" t="str">
        <f>IF(K$3="","",IF(COUNTIFS(BD!$A$3:$A$5001,K$3,BD!$B$3:$B$5001,$A$403,BD!$U$3:$U$5001,"&lt;&gt;")=0,"",SUMIFS(BD!$U$3:$U$5001,BD!$A$3:$A$5001,K$3,BD!$B$3:$B$5001,$A$403)))</f>
        <v/>
      </c>
      <c r="L421" s="205" t="str">
        <f>IF(L$3="","",IF(COUNTIFS(BD!$A$3:$A$5001,L$3,BD!$B$3:$B$5001,$A$403,BD!$U$3:$U$5001,"&lt;&gt;")=0,"",SUMIFS(BD!$U$3:$U$5001,BD!$A$3:$A$5001,L$3,BD!$B$3:$B$5001,$A$403)))</f>
        <v/>
      </c>
      <c r="M421" s="205" t="str">
        <f>IF(M$3="","",IF(COUNTIFS(BD!$A$3:$A$5001,M$3,BD!$B$3:$B$5001,$A$403,BD!$U$3:$U$5001,"&lt;&gt;")=0,"",SUMIFS(BD!$U$3:$U$5001,BD!$A$3:$A$5001,M$3,BD!$B$3:$B$5001,$A$403)))</f>
        <v/>
      </c>
      <c r="N421" s="205" t="str">
        <f>IF(N$3="","",IF(COUNTIFS(BD!$A$3:$A$5001,N$3,BD!$B$3:$B$5001,$A$403,BD!$U$3:$U$5001,"&lt;&gt;")=0,"",SUMIFS(BD!$U$3:$U$5001,BD!$A$3:$A$5001,N$3,BD!$B$3:$B$5001,$A$403)))</f>
        <v/>
      </c>
      <c r="O421" s="205" t="str">
        <f>IF(O$3="","",IF(COUNTIFS(BD!$A$3:$A$5001,O$3,BD!$B$3:$B$5001,$A$403,BD!$U$3:$U$5001,"&lt;&gt;")=0,"",SUMIFS(BD!$U$3:$U$5001,BD!$A$3:$A$5001,O$3,BD!$B$3:$B$5001,$A$403)))</f>
        <v/>
      </c>
      <c r="P421" s="205" t="str">
        <f>IF(P$3="","",IF(COUNTIFS(BD!$A$3:$A$5001,P$3,BD!$B$3:$B$5001,$A$403,BD!$U$3:$U$5001,"&lt;&gt;")=0,"",SUMIFS(BD!$U$3:$U$5001,BD!$A$3:$A$5001,P$3,BD!$B$3:$B$5001,$A$403)))</f>
        <v/>
      </c>
      <c r="Q421" s="205" t="str">
        <f>IF(Q$3="","",IF(COUNTIFS(BD!$A$3:$A$5001,Q$3,BD!$B$3:$B$5001,$A$403,BD!$U$3:$U$5001,"&lt;&gt;")=0,"",SUMIFS(BD!$U$3:$U$5001,BD!$A$3:$A$5001,Q$3,BD!$B$3:$B$5001,$A$403)))</f>
        <v/>
      </c>
      <c r="R421" s="205" t="str">
        <f>IF(R$3="","",IF(COUNTIFS(BD!$A$3:$A$5001,R$3,BD!$B$3:$B$5001,$A$403,BD!$U$3:$U$5001,"&lt;&gt;")=0,"",SUMIFS(BD!$U$3:$U$5001,BD!$A$3:$A$5001,R$3,BD!$B$3:$B$5001,$A$403)))</f>
        <v/>
      </c>
      <c r="S421" s="205" t="str">
        <f>IF(S$3="","",IF(COUNTIFS(BD!$A$3:$A$5001,S$3,BD!$B$3:$B$5001,$A$403,BD!$U$3:$U$5001,"&lt;&gt;")=0,"",SUMIFS(BD!$U$3:$U$5001,BD!$A$3:$A$5001,S$3,BD!$B$3:$B$5001,$A$403)))</f>
        <v/>
      </c>
      <c r="T421" s="205" t="str">
        <f>IF(T$3="","",IF(COUNTIFS(BD!$A$3:$A$5001,T$3,BD!$B$3:$B$5001,$A$403,BD!$U$3:$U$5001,"&lt;&gt;")=0,"",SUMIFS(BD!$U$3:$U$5001,BD!$A$3:$A$5001,T$3,BD!$B$3:$B$5001,$A$403)))</f>
        <v/>
      </c>
      <c r="U421" s="205" t="str">
        <f>IF(U$3="","",IF(COUNTIFS(BD!$A$3:$A$5001,U$3,BD!$B$3:$B$5001,$A$403,BD!$U$3:$U$5001,"&lt;&gt;")=0,"",SUMIFS(BD!$U$3:$U$5001,BD!$A$3:$A$5001,U$3,BD!$B$3:$B$5001,$A$403)))</f>
        <v/>
      </c>
      <c r="V421" s="205" t="str">
        <f>IF(V$3="","",IF(COUNTIFS(BD!$A$3:$A$5001,V$3,BD!$B$3:$B$5001,$A$403,BD!$U$3:$U$5001,"&lt;&gt;")=0,"",SUMIFS(BD!$U$3:$U$5001,BD!$A$3:$A$5001,V$3,BD!$B$3:$B$5001,$A$403)))</f>
        <v/>
      </c>
      <c r="W421" s="205" t="str">
        <f>IF(W$3="","",IF(COUNTIFS(BD!$A$3:$A$5001,W$3,BD!$B$3:$B$5001,$A$403,BD!$U$3:$U$5001,"&lt;&gt;")=0,"",SUMIFS(BD!$U$3:$U$5001,BD!$A$3:$A$5001,W$3,BD!$B$3:$B$5001,$A$403)))</f>
        <v/>
      </c>
      <c r="X421" s="205" t="str">
        <f>IF(X$3="","",IF(COUNTIFS(BD!$A$3:$A$5001,X$3,BD!$B$3:$B$5001,$A$403,BD!$U$3:$U$5001,"&lt;&gt;")=0,"",SUMIFS(BD!$U$3:$U$5001,BD!$A$3:$A$5001,X$3,BD!$B$3:$B$5001,$A$403)))</f>
        <v/>
      </c>
      <c r="Y421" s="205" t="str">
        <f>IF(Y$3="","",IF(COUNTIFS(BD!$A$3:$A$5001,Y$3,BD!$B$3:$B$5001,$A$403,BD!$U$3:$U$5001,"&lt;&gt;")=0,"",SUMIFS(BD!$U$3:$U$5001,BD!$A$3:$A$5001,Y$3,BD!$B$3:$B$5001,$A$403)))</f>
        <v/>
      </c>
      <c r="Z421" s="205" t="str">
        <f>IF(Z$3="","",IF(COUNTIFS(BD!$A$3:$A$5001,Z$3,BD!$B$3:$B$5001,$A$403,BD!$U$3:$U$5001,"&lt;&gt;")=0,"",SUMIFS(BD!$U$3:$U$5001,BD!$A$3:$A$5001,Z$3,BD!$B$3:$B$5001,$A$403)))</f>
        <v/>
      </c>
      <c r="AA421" s="205" t="str">
        <f>IF(AA$3="","",IF(COUNTIFS(BD!$A$3:$A$5001,AA$3,BD!$B$3:$B$5001,$A$403,BD!$U$3:$U$5001,"&lt;&gt;")=0,"",SUMIFS(BD!$U$3:$U$5001,BD!$A$3:$A$5001,AA$3,BD!$B$3:$B$5001,$A$403)))</f>
        <v/>
      </c>
      <c r="AB421" s="205" t="str">
        <f>IF(AB$3="","",IF(COUNTIFS(BD!$A$3:$A$5001,AB$3,BD!$B$3:$B$5001,$A$403,BD!$U$3:$U$5001,"&lt;&gt;")=0,"",SUMIFS(BD!$U$3:$U$5001,BD!$A$3:$A$5001,AB$3,BD!$B$3:$B$5001,$A$403)))</f>
        <v/>
      </c>
      <c r="AC421" s="205" t="str">
        <f>IF(AC$3="","",IF(COUNTIFS(BD!$A$3:$A$5001,AC$3,BD!$B$3:$B$5001,$A$403,BD!$U$3:$U$5001,"&lt;&gt;")=0,"",SUMIFS(BD!$U$3:$U$5001,BD!$A$3:$A$5001,AC$3,BD!$B$3:$B$5001,$A$403)))</f>
        <v/>
      </c>
      <c r="AD421" s="205" t="str">
        <f>IF(AD$3="","",IF(COUNTIFS(BD!$A$3:$A$5001,AD$3,BD!$B$3:$B$5001,$A$403,BD!$U$3:$U$5001,"&lt;&gt;")=0,"",SUMIFS(BD!$U$3:$U$5001,BD!$A$3:$A$5001,AD$3,BD!$B$3:$B$5001,$A$403)))</f>
        <v/>
      </c>
      <c r="AE421" s="205" t="str">
        <f>IF(AE$3="","",IF(COUNTIFS(BD!$A$3:$A$5001,AE$3,BD!$B$3:$B$5001,$A$403,BD!$U$3:$U$5001,"&lt;&gt;")=0,"",SUMIFS(BD!$U$3:$U$5001,BD!$A$3:$A$5001,AE$3,BD!$B$3:$B$5001,$A$403)))</f>
        <v/>
      </c>
      <c r="AF421" s="205" t="str">
        <f>IF(AF$3="","",IF(COUNTIFS(BD!$A$3:$A$5001,AF$3,BD!$B$3:$B$5001,$A$403,BD!$U$3:$U$5001,"&lt;&gt;")=0,"",SUMIFS(BD!$U$3:$U$5001,BD!$A$3:$A$5001,AF$3,BD!$B$3:$B$5001,$A$403)))</f>
        <v/>
      </c>
      <c r="AG421" s="205" t="str">
        <f>IF(AG$3="","",IF(COUNTIFS(BD!$A$3:$A$5001,AG$3,BD!$B$3:$B$5001,$A$403,BD!$U$3:$U$5001,"&lt;&gt;")=0,"",SUMIFS(BD!$U$3:$U$5001,BD!$A$3:$A$5001,AG$3,BD!$B$3:$B$5001,$A$403)))</f>
        <v/>
      </c>
      <c r="AH421" s="205" t="str">
        <f>IF(AH$3="","",IF(COUNTIFS(BD!$A$3:$A$5001,AH$3,BD!$B$3:$B$5001,$A$403,BD!$U$3:$U$5001,"&lt;&gt;")=0,"",SUMIFS(BD!$U$3:$U$5001,BD!$A$3:$A$5001,AH$3,BD!$B$3:$B$5001,$A$403)))</f>
        <v/>
      </c>
      <c r="AI421" s="205" t="str">
        <f>IF(AI$3="","",IF(COUNTIFS(BD!$A$3:$A$5001,AI$3,BD!$B$3:$B$5001,$A$403,BD!$U$3:$U$5001,"&lt;&gt;")=0,"",SUMIFS(BD!$U$3:$U$5001,BD!$A$3:$A$5001,AI$3,BD!$B$3:$B$5001,$A$403)))</f>
        <v/>
      </c>
      <c r="AJ421" s="206" t="str">
        <f>IF(AJ$3="","",IF(COUNTIFS(BD!$A$3:$A$5001,AJ$3,BD!$B$3:$B$5001,$A$403,BD!$U$3:$U$5001,"&lt;&gt;")=0,"",SUMIFS(BD!$U$3:$U$5001,BD!$A$3:$A$5001,AJ$3,BD!$B$3:$B$5001,$A$403)))</f>
        <v/>
      </c>
      <c r="AK421" s="207" t="str">
        <f>IF(COUNT(F421:AJ421)=0,"",SUM(F421:AJ421))</f>
        <v/>
      </c>
    </row>
    <row r="422" ht="15.75" customHeight="1" hidden="1">
      <c r="A422" s="261"/>
      <c r="B422" s="254"/>
      <c r="C422" s="201" t="inlineStr">
        <is>
          <t xml:space="preserve">Backlog Intralog</t>
        </is>
      </c>
      <c r="D422" s="202" t="str">
        <f>IFERROR(1/(1/INDEX(BD!$AL$42:$BF$42,MATCH($A$403,BD!$AL$22:$BF$22,0))),"")</f>
        <v/>
      </c>
      <c r="E422" s="203"/>
      <c r="F422" s="204" t="str">
        <f>IF(F$3="","",IF(COUNTIFS(BD!$A$3:$A$5001,F$3,BD!$B$3:$B$5001,$A$403,BD!$V$3:$V$5001,"&lt;&gt;")=0,"",SUMIFS(BD!$V$3:$V$5001,BD!$A$3:$A$5001,F$3,BD!$B$3:$B$5001,$A$403)))</f>
        <v/>
      </c>
      <c r="G422" s="205" t="str">
        <f>IF(G$3="","",IF(COUNTIFS(BD!$A$3:$A$5001,G$3,BD!$B$3:$B$5001,$A$403,BD!$V$3:$V$5001,"&lt;&gt;")=0,"",SUMIFS(BD!$V$3:$V$5001,BD!$A$3:$A$5001,G$3,BD!$B$3:$B$5001,$A$403)))</f>
        <v/>
      </c>
      <c r="H422" s="205" t="str">
        <f>IF(H$3="","",IF(COUNTIFS(BD!$A$3:$A$5001,H$3,BD!$B$3:$B$5001,$A$403,BD!$V$3:$V$5001,"&lt;&gt;")=0,"",SUMIFS(BD!$V$3:$V$5001,BD!$A$3:$A$5001,H$3,BD!$B$3:$B$5001,$A$403)))</f>
        <v/>
      </c>
      <c r="I422" s="205" t="str">
        <f>IF(I$3="","",IF(COUNTIFS(BD!$A$3:$A$5001,I$3,BD!$B$3:$B$5001,$A$403,BD!$V$3:$V$5001,"&lt;&gt;")=0,"",SUMIFS(BD!$V$3:$V$5001,BD!$A$3:$A$5001,I$3,BD!$B$3:$B$5001,$A$403)))</f>
        <v/>
      </c>
      <c r="J422" s="205" t="str">
        <f>IF(J$3="","",IF(COUNTIFS(BD!$A$3:$A$5001,J$3,BD!$B$3:$B$5001,$A$403,BD!$V$3:$V$5001,"&lt;&gt;")=0,"",SUMIFS(BD!$V$3:$V$5001,BD!$A$3:$A$5001,J$3,BD!$B$3:$B$5001,$A$403)))</f>
        <v/>
      </c>
      <c r="K422" s="205" t="str">
        <f>IF(K$3="","",IF(COUNTIFS(BD!$A$3:$A$5001,K$3,BD!$B$3:$B$5001,$A$403,BD!$V$3:$V$5001,"&lt;&gt;")=0,"",SUMIFS(BD!$V$3:$V$5001,BD!$A$3:$A$5001,K$3,BD!$B$3:$B$5001,$A$403)))</f>
        <v/>
      </c>
      <c r="L422" s="205" t="str">
        <f>IF(L$3="","",IF(COUNTIFS(BD!$A$3:$A$5001,L$3,BD!$B$3:$B$5001,$A$403,BD!$V$3:$V$5001,"&lt;&gt;")=0,"",SUMIFS(BD!$V$3:$V$5001,BD!$A$3:$A$5001,L$3,BD!$B$3:$B$5001,$A$403)))</f>
        <v/>
      </c>
      <c r="M422" s="205" t="str">
        <f>IF(M$3="","",IF(COUNTIFS(BD!$A$3:$A$5001,M$3,BD!$B$3:$B$5001,$A$403,BD!$V$3:$V$5001,"&lt;&gt;")=0,"",SUMIFS(BD!$V$3:$V$5001,BD!$A$3:$A$5001,M$3,BD!$B$3:$B$5001,$A$403)))</f>
        <v/>
      </c>
      <c r="N422" s="205" t="str">
        <f>IF(N$3="","",IF(COUNTIFS(BD!$A$3:$A$5001,N$3,BD!$B$3:$B$5001,$A$403,BD!$V$3:$V$5001,"&lt;&gt;")=0,"",SUMIFS(BD!$V$3:$V$5001,BD!$A$3:$A$5001,N$3,BD!$B$3:$B$5001,$A$403)))</f>
        <v/>
      </c>
      <c r="O422" s="205" t="str">
        <f>IF(O$3="","",IF(COUNTIFS(BD!$A$3:$A$5001,O$3,BD!$B$3:$B$5001,$A$403,BD!$V$3:$V$5001,"&lt;&gt;")=0,"",SUMIFS(BD!$V$3:$V$5001,BD!$A$3:$A$5001,O$3,BD!$B$3:$B$5001,$A$403)))</f>
        <v/>
      </c>
      <c r="P422" s="205" t="str">
        <f>IF(P$3="","",IF(COUNTIFS(BD!$A$3:$A$5001,P$3,BD!$B$3:$B$5001,$A$403,BD!$V$3:$V$5001,"&lt;&gt;")=0,"",SUMIFS(BD!$V$3:$V$5001,BD!$A$3:$A$5001,P$3,BD!$B$3:$B$5001,$A$403)))</f>
        <v/>
      </c>
      <c r="Q422" s="205" t="str">
        <f>IF(Q$3="","",IF(COUNTIFS(BD!$A$3:$A$5001,Q$3,BD!$B$3:$B$5001,$A$403,BD!$V$3:$V$5001,"&lt;&gt;")=0,"",SUMIFS(BD!$V$3:$V$5001,BD!$A$3:$A$5001,Q$3,BD!$B$3:$B$5001,$A$403)))</f>
        <v/>
      </c>
      <c r="R422" s="205" t="str">
        <f>IF(R$3="","",IF(COUNTIFS(BD!$A$3:$A$5001,R$3,BD!$B$3:$B$5001,$A$403,BD!$V$3:$V$5001,"&lt;&gt;")=0,"",SUMIFS(BD!$V$3:$V$5001,BD!$A$3:$A$5001,R$3,BD!$B$3:$B$5001,$A$403)))</f>
        <v/>
      </c>
      <c r="S422" s="205" t="str">
        <f>IF(S$3="","",IF(COUNTIFS(BD!$A$3:$A$5001,S$3,BD!$B$3:$B$5001,$A$403,BD!$V$3:$V$5001,"&lt;&gt;")=0,"",SUMIFS(BD!$V$3:$V$5001,BD!$A$3:$A$5001,S$3,BD!$B$3:$B$5001,$A$403)))</f>
        <v/>
      </c>
      <c r="T422" s="205" t="str">
        <f>IF(T$3="","",IF(COUNTIFS(BD!$A$3:$A$5001,T$3,BD!$B$3:$B$5001,$A$403,BD!$V$3:$V$5001,"&lt;&gt;")=0,"",SUMIFS(BD!$V$3:$V$5001,BD!$A$3:$A$5001,T$3,BD!$B$3:$B$5001,$A$403)))</f>
        <v/>
      </c>
      <c r="U422" s="205" t="str">
        <f>IF(U$3="","",IF(COUNTIFS(BD!$A$3:$A$5001,U$3,BD!$B$3:$B$5001,$A$403,BD!$V$3:$V$5001,"&lt;&gt;")=0,"",SUMIFS(BD!$V$3:$V$5001,BD!$A$3:$A$5001,U$3,BD!$B$3:$B$5001,$A$403)))</f>
        <v/>
      </c>
      <c r="V422" s="205" t="str">
        <f>IF(V$3="","",IF(COUNTIFS(BD!$A$3:$A$5001,V$3,BD!$B$3:$B$5001,$A$403,BD!$V$3:$V$5001,"&lt;&gt;")=0,"",SUMIFS(BD!$V$3:$V$5001,BD!$A$3:$A$5001,V$3,BD!$B$3:$B$5001,$A$403)))</f>
        <v/>
      </c>
      <c r="W422" s="205" t="str">
        <f>IF(W$3="","",IF(COUNTIFS(BD!$A$3:$A$5001,W$3,BD!$B$3:$B$5001,$A$403,BD!$V$3:$V$5001,"&lt;&gt;")=0,"",SUMIFS(BD!$V$3:$V$5001,BD!$A$3:$A$5001,W$3,BD!$B$3:$B$5001,$A$403)))</f>
        <v/>
      </c>
      <c r="X422" s="205" t="str">
        <f>IF(X$3="","",IF(COUNTIFS(BD!$A$3:$A$5001,X$3,BD!$B$3:$B$5001,$A$403,BD!$V$3:$V$5001,"&lt;&gt;")=0,"",SUMIFS(BD!$V$3:$V$5001,BD!$A$3:$A$5001,X$3,BD!$B$3:$B$5001,$A$403)))</f>
        <v/>
      </c>
      <c r="Y422" s="205" t="str">
        <f>IF(Y$3="","",IF(COUNTIFS(BD!$A$3:$A$5001,Y$3,BD!$B$3:$B$5001,$A$403,BD!$V$3:$V$5001,"&lt;&gt;")=0,"",SUMIFS(BD!$V$3:$V$5001,BD!$A$3:$A$5001,Y$3,BD!$B$3:$B$5001,$A$403)))</f>
        <v/>
      </c>
      <c r="Z422" s="205" t="str">
        <f>IF(Z$3="","",IF(COUNTIFS(BD!$A$3:$A$5001,Z$3,BD!$B$3:$B$5001,$A$403,BD!$V$3:$V$5001,"&lt;&gt;")=0,"",SUMIFS(BD!$V$3:$V$5001,BD!$A$3:$A$5001,Z$3,BD!$B$3:$B$5001,$A$403)))</f>
        <v/>
      </c>
      <c r="AA422" s="205" t="str">
        <f>IF(AA$3="","",IF(COUNTIFS(BD!$A$3:$A$5001,AA$3,BD!$B$3:$B$5001,$A$403,BD!$V$3:$V$5001,"&lt;&gt;")=0,"",SUMIFS(BD!$V$3:$V$5001,BD!$A$3:$A$5001,AA$3,BD!$B$3:$B$5001,$A$403)))</f>
        <v/>
      </c>
      <c r="AB422" s="205" t="str">
        <f>IF(AB$3="","",IF(COUNTIFS(BD!$A$3:$A$5001,AB$3,BD!$B$3:$B$5001,$A$403,BD!$V$3:$V$5001,"&lt;&gt;")=0,"",SUMIFS(BD!$V$3:$V$5001,BD!$A$3:$A$5001,AB$3,BD!$B$3:$B$5001,$A$403)))</f>
        <v/>
      </c>
      <c r="AC422" s="205" t="str">
        <f>IF(AC$3="","",IF(COUNTIFS(BD!$A$3:$A$5001,AC$3,BD!$B$3:$B$5001,$A$403,BD!$V$3:$V$5001,"&lt;&gt;")=0,"",SUMIFS(BD!$V$3:$V$5001,BD!$A$3:$A$5001,AC$3,BD!$B$3:$B$5001,$A$403)))</f>
        <v/>
      </c>
      <c r="AD422" s="205" t="str">
        <f>IF(AD$3="","",IF(COUNTIFS(BD!$A$3:$A$5001,AD$3,BD!$B$3:$B$5001,$A$403,BD!$V$3:$V$5001,"&lt;&gt;")=0,"",SUMIFS(BD!$V$3:$V$5001,BD!$A$3:$A$5001,AD$3,BD!$B$3:$B$5001,$A$403)))</f>
        <v/>
      </c>
      <c r="AE422" s="205" t="str">
        <f>IF(AE$3="","",IF(COUNTIFS(BD!$A$3:$A$5001,AE$3,BD!$B$3:$B$5001,$A$403,BD!$V$3:$V$5001,"&lt;&gt;")=0,"",SUMIFS(BD!$V$3:$V$5001,BD!$A$3:$A$5001,AE$3,BD!$B$3:$B$5001,$A$403)))</f>
        <v/>
      </c>
      <c r="AF422" s="205" t="str">
        <f>IF(AF$3="","",IF(COUNTIFS(BD!$A$3:$A$5001,AF$3,BD!$B$3:$B$5001,$A$403,BD!$V$3:$V$5001,"&lt;&gt;")=0,"",SUMIFS(BD!$V$3:$V$5001,BD!$A$3:$A$5001,AF$3,BD!$B$3:$B$5001,$A$403)))</f>
        <v/>
      </c>
      <c r="AG422" s="205" t="str">
        <f>IF(AG$3="","",IF(COUNTIFS(BD!$A$3:$A$5001,AG$3,BD!$B$3:$B$5001,$A$403,BD!$V$3:$V$5001,"&lt;&gt;")=0,"",SUMIFS(BD!$V$3:$V$5001,BD!$A$3:$A$5001,AG$3,BD!$B$3:$B$5001,$A$403)))</f>
        <v/>
      </c>
      <c r="AH422" s="205" t="str">
        <f>IF(AH$3="","",IF(COUNTIFS(BD!$A$3:$A$5001,AH$3,BD!$B$3:$B$5001,$A$403,BD!$V$3:$V$5001,"&lt;&gt;")=0,"",SUMIFS(BD!$V$3:$V$5001,BD!$A$3:$A$5001,AH$3,BD!$B$3:$B$5001,$A$403)))</f>
        <v/>
      </c>
      <c r="AI422" s="205" t="str">
        <f>IF(AI$3="","",IF(COUNTIFS(BD!$A$3:$A$5001,AI$3,BD!$B$3:$B$5001,$A$403,BD!$V$3:$V$5001,"&lt;&gt;")=0,"",SUMIFS(BD!$V$3:$V$5001,BD!$A$3:$A$5001,AI$3,BD!$B$3:$B$5001,$A$403)))</f>
        <v/>
      </c>
      <c r="AJ422" s="206" t="str">
        <f>IF(AJ$3="","",IF(COUNTIFS(BD!$A$3:$A$5001,AJ$3,BD!$B$3:$B$5001,$A$403,BD!$V$3:$V$5001,"&lt;&gt;")=0,"",SUMIFS(BD!$V$3:$V$5001,BD!$A$3:$A$5001,AJ$3,BD!$B$3:$B$5001,$A$403)))</f>
        <v/>
      </c>
      <c r="AK422" s="207" t="str">
        <f>IFERROR(LOOKUP(9.99E+307,F422:AJ422),"")</f>
        <v/>
      </c>
    </row>
    <row r="423" ht="15.75" customHeight="1" hidden="1">
      <c r="A423" s="261"/>
      <c r="B423" s="255"/>
      <c r="C423" s="208" t="inlineStr">
        <is>
          <t xml:space="preserve">Backlog Cliente</t>
        </is>
      </c>
      <c r="D423" s="209" t="str">
        <f>IFERROR(1/(1/INDEX(BD!$AL$43:$BF$43,MATCH($A$403,BD!$AL$22:$BF$22,0))),"")</f>
        <v/>
      </c>
      <c r="E423" s="210"/>
      <c r="F423" s="211" t="str">
        <f>IF(F$3="","",IF(COUNTIFS(BD!$A$3:$A$5001,F$3,BD!$B$3:$B$5001,$A$403,BD!$W$3:$W$5001,"&lt;&gt;")=0,"",SUMIFS(BD!$W$3:$W$5001,BD!$A$3:$A$5001,F$3,BD!$B$3:$B$5001,$A$403)))</f>
        <v/>
      </c>
      <c r="G423" s="212" t="str">
        <f>IF(G$3="","",IF(COUNTIFS(BD!$A$3:$A$5001,G$3,BD!$B$3:$B$5001,$A$403,BD!$W$3:$W$5001,"&lt;&gt;")=0,"",SUMIFS(BD!$W$3:$W$5001,BD!$A$3:$A$5001,G$3,BD!$B$3:$B$5001,$A$403)))</f>
        <v/>
      </c>
      <c r="H423" s="212" t="str">
        <f>IF(H$3="","",IF(COUNTIFS(BD!$A$3:$A$5001,H$3,BD!$B$3:$B$5001,$A$403,BD!$W$3:$W$5001,"&lt;&gt;")=0,"",SUMIFS(BD!$W$3:$W$5001,BD!$A$3:$A$5001,H$3,BD!$B$3:$B$5001,$A$403)))</f>
        <v/>
      </c>
      <c r="I423" s="212" t="str">
        <f>IF(I$3="","",IF(COUNTIFS(BD!$A$3:$A$5001,I$3,BD!$B$3:$B$5001,$A$403,BD!$W$3:$W$5001,"&lt;&gt;")=0,"",SUMIFS(BD!$W$3:$W$5001,BD!$A$3:$A$5001,I$3,BD!$B$3:$B$5001,$A$403)))</f>
        <v/>
      </c>
      <c r="J423" s="212" t="str">
        <f>IF(J$3="","",IF(COUNTIFS(BD!$A$3:$A$5001,J$3,BD!$B$3:$B$5001,$A$403,BD!$W$3:$W$5001,"&lt;&gt;")=0,"",SUMIFS(BD!$W$3:$W$5001,BD!$A$3:$A$5001,J$3,BD!$B$3:$B$5001,$A$403)))</f>
        <v/>
      </c>
      <c r="K423" s="212" t="str">
        <f>IF(K$3="","",IF(COUNTIFS(BD!$A$3:$A$5001,K$3,BD!$B$3:$B$5001,$A$403,BD!$W$3:$W$5001,"&lt;&gt;")=0,"",SUMIFS(BD!$W$3:$W$5001,BD!$A$3:$A$5001,K$3,BD!$B$3:$B$5001,$A$403)))</f>
        <v/>
      </c>
      <c r="L423" s="212" t="str">
        <f>IF(L$3="","",IF(COUNTIFS(BD!$A$3:$A$5001,L$3,BD!$B$3:$B$5001,$A$403,BD!$W$3:$W$5001,"&lt;&gt;")=0,"",SUMIFS(BD!$W$3:$W$5001,BD!$A$3:$A$5001,L$3,BD!$B$3:$B$5001,$A$403)))</f>
        <v/>
      </c>
      <c r="M423" s="212" t="str">
        <f>IF(M$3="","",IF(COUNTIFS(BD!$A$3:$A$5001,M$3,BD!$B$3:$B$5001,$A$403,BD!$W$3:$W$5001,"&lt;&gt;")=0,"",SUMIFS(BD!$W$3:$W$5001,BD!$A$3:$A$5001,M$3,BD!$B$3:$B$5001,$A$403)))</f>
        <v/>
      </c>
      <c r="N423" s="212" t="str">
        <f>IF(N$3="","",IF(COUNTIFS(BD!$A$3:$A$5001,N$3,BD!$B$3:$B$5001,$A$403,BD!$W$3:$W$5001,"&lt;&gt;")=0,"",SUMIFS(BD!$W$3:$W$5001,BD!$A$3:$A$5001,N$3,BD!$B$3:$B$5001,$A$403)))</f>
        <v/>
      </c>
      <c r="O423" s="212" t="str">
        <f>IF(O$3="","",IF(COUNTIFS(BD!$A$3:$A$5001,O$3,BD!$B$3:$B$5001,$A$403,BD!$W$3:$W$5001,"&lt;&gt;")=0,"",SUMIFS(BD!$W$3:$W$5001,BD!$A$3:$A$5001,O$3,BD!$B$3:$B$5001,$A$403)))</f>
        <v/>
      </c>
      <c r="P423" s="212" t="str">
        <f>IF(P$3="","",IF(COUNTIFS(BD!$A$3:$A$5001,P$3,BD!$B$3:$B$5001,$A$403,BD!$W$3:$W$5001,"&lt;&gt;")=0,"",SUMIFS(BD!$W$3:$W$5001,BD!$A$3:$A$5001,P$3,BD!$B$3:$B$5001,$A$403)))</f>
        <v/>
      </c>
      <c r="Q423" s="212" t="str">
        <f>IF(Q$3="","",IF(COUNTIFS(BD!$A$3:$A$5001,Q$3,BD!$B$3:$B$5001,$A$403,BD!$W$3:$W$5001,"&lt;&gt;")=0,"",SUMIFS(BD!$W$3:$W$5001,BD!$A$3:$A$5001,Q$3,BD!$B$3:$B$5001,$A$403)))</f>
        <v/>
      </c>
      <c r="R423" s="212" t="str">
        <f>IF(R$3="","",IF(COUNTIFS(BD!$A$3:$A$5001,R$3,BD!$B$3:$B$5001,$A$403,BD!$W$3:$W$5001,"&lt;&gt;")=0,"",SUMIFS(BD!$W$3:$W$5001,BD!$A$3:$A$5001,R$3,BD!$B$3:$B$5001,$A$403)))</f>
        <v/>
      </c>
      <c r="S423" s="212" t="str">
        <f>IF(S$3="","",IF(COUNTIFS(BD!$A$3:$A$5001,S$3,BD!$B$3:$B$5001,$A$403,BD!$W$3:$W$5001,"&lt;&gt;")=0,"",SUMIFS(BD!$W$3:$W$5001,BD!$A$3:$A$5001,S$3,BD!$B$3:$B$5001,$A$403)))</f>
        <v/>
      </c>
      <c r="T423" s="212" t="str">
        <f>IF(T$3="","",IF(COUNTIFS(BD!$A$3:$A$5001,T$3,BD!$B$3:$B$5001,$A$403,BD!$W$3:$W$5001,"&lt;&gt;")=0,"",SUMIFS(BD!$W$3:$W$5001,BD!$A$3:$A$5001,T$3,BD!$B$3:$B$5001,$A$403)))</f>
        <v/>
      </c>
      <c r="U423" s="212" t="str">
        <f>IF(U$3="","",IF(COUNTIFS(BD!$A$3:$A$5001,U$3,BD!$B$3:$B$5001,$A$403,BD!$W$3:$W$5001,"&lt;&gt;")=0,"",SUMIFS(BD!$W$3:$W$5001,BD!$A$3:$A$5001,U$3,BD!$B$3:$B$5001,$A$403)))</f>
        <v/>
      </c>
      <c r="V423" s="212" t="str">
        <f>IF(V$3="","",IF(COUNTIFS(BD!$A$3:$A$5001,V$3,BD!$B$3:$B$5001,$A$403,BD!$W$3:$W$5001,"&lt;&gt;")=0,"",SUMIFS(BD!$W$3:$W$5001,BD!$A$3:$A$5001,V$3,BD!$B$3:$B$5001,$A$403)))</f>
        <v/>
      </c>
      <c r="W423" s="212" t="str">
        <f>IF(W$3="","",IF(COUNTIFS(BD!$A$3:$A$5001,W$3,BD!$B$3:$B$5001,$A$403,BD!$W$3:$W$5001,"&lt;&gt;")=0,"",SUMIFS(BD!$W$3:$W$5001,BD!$A$3:$A$5001,W$3,BD!$B$3:$B$5001,$A$403)))</f>
        <v/>
      </c>
      <c r="X423" s="212" t="str">
        <f>IF(X$3="","",IF(COUNTIFS(BD!$A$3:$A$5001,X$3,BD!$B$3:$B$5001,$A$403,BD!$W$3:$W$5001,"&lt;&gt;")=0,"",SUMIFS(BD!$W$3:$W$5001,BD!$A$3:$A$5001,X$3,BD!$B$3:$B$5001,$A$403)))</f>
        <v/>
      </c>
      <c r="Y423" s="212" t="str">
        <f>IF(Y$3="","",IF(COUNTIFS(BD!$A$3:$A$5001,Y$3,BD!$B$3:$B$5001,$A$403,BD!$W$3:$W$5001,"&lt;&gt;")=0,"",SUMIFS(BD!$W$3:$W$5001,BD!$A$3:$A$5001,Y$3,BD!$B$3:$B$5001,$A$403)))</f>
        <v/>
      </c>
      <c r="Z423" s="212" t="str">
        <f>IF(Z$3="","",IF(COUNTIFS(BD!$A$3:$A$5001,Z$3,BD!$B$3:$B$5001,$A$403,BD!$W$3:$W$5001,"&lt;&gt;")=0,"",SUMIFS(BD!$W$3:$W$5001,BD!$A$3:$A$5001,Z$3,BD!$B$3:$B$5001,$A$403)))</f>
        <v/>
      </c>
      <c r="AA423" s="212" t="str">
        <f>IF(AA$3="","",IF(COUNTIFS(BD!$A$3:$A$5001,AA$3,BD!$B$3:$B$5001,$A$403,BD!$W$3:$W$5001,"&lt;&gt;")=0,"",SUMIFS(BD!$W$3:$W$5001,BD!$A$3:$A$5001,AA$3,BD!$B$3:$B$5001,$A$403)))</f>
        <v/>
      </c>
      <c r="AB423" s="212" t="str">
        <f>IF(AB$3="","",IF(COUNTIFS(BD!$A$3:$A$5001,AB$3,BD!$B$3:$B$5001,$A$403,BD!$W$3:$W$5001,"&lt;&gt;")=0,"",SUMIFS(BD!$W$3:$W$5001,BD!$A$3:$A$5001,AB$3,BD!$B$3:$B$5001,$A$403)))</f>
        <v/>
      </c>
      <c r="AC423" s="212" t="str">
        <f>IF(AC$3="","",IF(COUNTIFS(BD!$A$3:$A$5001,AC$3,BD!$B$3:$B$5001,$A$403,BD!$W$3:$W$5001,"&lt;&gt;")=0,"",SUMIFS(BD!$W$3:$W$5001,BD!$A$3:$A$5001,AC$3,BD!$B$3:$B$5001,$A$403)))</f>
        <v/>
      </c>
      <c r="AD423" s="212" t="str">
        <f>IF(AD$3="","",IF(COUNTIFS(BD!$A$3:$A$5001,AD$3,BD!$B$3:$B$5001,$A$403,BD!$W$3:$W$5001,"&lt;&gt;")=0,"",SUMIFS(BD!$W$3:$W$5001,BD!$A$3:$A$5001,AD$3,BD!$B$3:$B$5001,$A$403)))</f>
        <v/>
      </c>
      <c r="AE423" s="212" t="str">
        <f>IF(AE$3="","",IF(COUNTIFS(BD!$A$3:$A$5001,AE$3,BD!$B$3:$B$5001,$A$403,BD!$W$3:$W$5001,"&lt;&gt;")=0,"",SUMIFS(BD!$W$3:$W$5001,BD!$A$3:$A$5001,AE$3,BD!$B$3:$B$5001,$A$403)))</f>
        <v/>
      </c>
      <c r="AF423" s="212" t="str">
        <f>IF(AF$3="","",IF(COUNTIFS(BD!$A$3:$A$5001,AF$3,BD!$B$3:$B$5001,$A$403,BD!$W$3:$W$5001,"&lt;&gt;")=0,"",SUMIFS(BD!$W$3:$W$5001,BD!$A$3:$A$5001,AF$3,BD!$B$3:$B$5001,$A$403)))</f>
        <v/>
      </c>
      <c r="AG423" s="212" t="str">
        <f>IF(AG$3="","",IF(COUNTIFS(BD!$A$3:$A$5001,AG$3,BD!$B$3:$B$5001,$A$403,BD!$W$3:$W$5001,"&lt;&gt;")=0,"",SUMIFS(BD!$W$3:$W$5001,BD!$A$3:$A$5001,AG$3,BD!$B$3:$B$5001,$A$403)))</f>
        <v/>
      </c>
      <c r="AH423" s="212" t="str">
        <f>IF(AH$3="","",IF(COUNTIFS(BD!$A$3:$A$5001,AH$3,BD!$B$3:$B$5001,$A$403,BD!$W$3:$W$5001,"&lt;&gt;")=0,"",SUMIFS(BD!$W$3:$W$5001,BD!$A$3:$A$5001,AH$3,BD!$B$3:$B$5001,$A$403)))</f>
        <v/>
      </c>
      <c r="AI423" s="212" t="str">
        <f>IF(AI$3="","",IF(COUNTIFS(BD!$A$3:$A$5001,AI$3,BD!$B$3:$B$5001,$A$403,BD!$W$3:$W$5001,"&lt;&gt;")=0,"",SUMIFS(BD!$W$3:$W$5001,BD!$A$3:$A$5001,AI$3,BD!$B$3:$B$5001,$A$403)))</f>
        <v/>
      </c>
      <c r="AJ423" s="213" t="str">
        <f>IF(AJ$3="","",IF(COUNTIFS(BD!$A$3:$A$5001,AJ$3,BD!$B$3:$B$5001,$A$403,BD!$W$3:$W$5001,"&lt;&gt;")=0,"",SUMIFS(BD!$W$3:$W$5001,BD!$A$3:$A$5001,AJ$3,BD!$B$3:$B$5001,$A$403)))</f>
        <v/>
      </c>
      <c r="AK423" s="209" t="str">
        <f>IFERROR(LOOKUP(9.99E+307,F423:AJ423),"")</f>
        <v/>
      </c>
    </row>
    <row r="424" ht="15.75" customHeight="1" hidden="1">
      <c r="A424" s="261"/>
      <c r="B424" s="249" t="inlineStr">
        <is>
          <t xml:space="preserve">OCUPAÇÃO (P.P)</t>
        </is>
      </c>
      <c r="C424" s="168" t="inlineStr">
        <is>
          <t xml:space="preserve">Posições Disponíveis</t>
        </is>
      </c>
      <c r="D424" s="169" t="str">
        <f>IFERROR(1/(1/INDEX(BD!$AL$44:$BF$44,MATCH($A$403,BD!$AL$22:$BF$22,0))),"")</f>
        <v/>
      </c>
      <c r="E424" s="170"/>
      <c r="F424" s="171" t="str">
        <f>IF(F$3="","",IF(COUNTIFS(BD!$A$3:$A$5001,F$3,BD!$B$3:$B$5001,$A$403,BD!$X$3:$X$5001,"&lt;&gt;")=0,"",SUMIFS(BD!$X$3:$X$5001,BD!$A$3:$A$5001,F$3,BD!$B$3:$B$5001,$A$403)))</f>
        <v/>
      </c>
      <c r="G424" s="172" t="str">
        <f>IF(G$3="","",IF(COUNTIFS(BD!$A$3:$A$5001,G$3,BD!$B$3:$B$5001,$A$403,BD!$X$3:$X$5001,"&lt;&gt;")=0,"",SUMIFS(BD!$X$3:$X$5001,BD!$A$3:$A$5001,G$3,BD!$B$3:$B$5001,$A$403)))</f>
        <v/>
      </c>
      <c r="H424" s="172" t="str">
        <f>IF(H$3="","",IF(COUNTIFS(BD!$A$3:$A$5001,H$3,BD!$B$3:$B$5001,$A$403,BD!$X$3:$X$5001,"&lt;&gt;")=0,"",SUMIFS(BD!$X$3:$X$5001,BD!$A$3:$A$5001,H$3,BD!$B$3:$B$5001,$A$403)))</f>
        <v/>
      </c>
      <c r="I424" s="172" t="str">
        <f>IF(I$3="","",IF(COUNTIFS(BD!$A$3:$A$5001,I$3,BD!$B$3:$B$5001,$A$403,BD!$X$3:$X$5001,"&lt;&gt;")=0,"",SUMIFS(BD!$X$3:$X$5001,BD!$A$3:$A$5001,I$3,BD!$B$3:$B$5001,$A$403)))</f>
        <v/>
      </c>
      <c r="J424" s="172" t="str">
        <f>IF(J$3="","",IF(COUNTIFS(BD!$A$3:$A$5001,J$3,BD!$B$3:$B$5001,$A$403,BD!$X$3:$X$5001,"&lt;&gt;")=0,"",SUMIFS(BD!$X$3:$X$5001,BD!$A$3:$A$5001,J$3,BD!$B$3:$B$5001,$A$403)))</f>
        <v/>
      </c>
      <c r="K424" s="172" t="str">
        <f>IF(K$3="","",IF(COUNTIFS(BD!$A$3:$A$5001,K$3,BD!$B$3:$B$5001,$A$403,BD!$X$3:$X$5001,"&lt;&gt;")=0,"",SUMIFS(BD!$X$3:$X$5001,BD!$A$3:$A$5001,K$3,BD!$B$3:$B$5001,$A$403)))</f>
        <v/>
      </c>
      <c r="L424" s="172" t="str">
        <f>IF(L$3="","",IF(COUNTIFS(BD!$A$3:$A$5001,L$3,BD!$B$3:$B$5001,$A$403,BD!$X$3:$X$5001,"&lt;&gt;")=0,"",SUMIFS(BD!$X$3:$X$5001,BD!$A$3:$A$5001,L$3,BD!$B$3:$B$5001,$A$403)))</f>
        <v/>
      </c>
      <c r="M424" s="172" t="str">
        <f>IF(M$3="","",IF(COUNTIFS(BD!$A$3:$A$5001,M$3,BD!$B$3:$B$5001,$A$403,BD!$X$3:$X$5001,"&lt;&gt;")=0,"",SUMIFS(BD!$X$3:$X$5001,BD!$A$3:$A$5001,M$3,BD!$B$3:$B$5001,$A$403)))</f>
        <v/>
      </c>
      <c r="N424" s="172" t="str">
        <f>IF(N$3="","",IF(COUNTIFS(BD!$A$3:$A$5001,N$3,BD!$B$3:$B$5001,$A$403,BD!$X$3:$X$5001,"&lt;&gt;")=0,"",SUMIFS(BD!$X$3:$X$5001,BD!$A$3:$A$5001,N$3,BD!$B$3:$B$5001,$A$403)))</f>
        <v/>
      </c>
      <c r="O424" s="172" t="str">
        <f>IF(O$3="","",IF(COUNTIFS(BD!$A$3:$A$5001,O$3,BD!$B$3:$B$5001,$A$403,BD!$X$3:$X$5001,"&lt;&gt;")=0,"",SUMIFS(BD!$X$3:$X$5001,BD!$A$3:$A$5001,O$3,BD!$B$3:$B$5001,$A$403)))</f>
        <v/>
      </c>
      <c r="P424" s="172" t="str">
        <f>IF(P$3="","",IF(COUNTIFS(BD!$A$3:$A$5001,P$3,BD!$B$3:$B$5001,$A$403,BD!$X$3:$X$5001,"&lt;&gt;")=0,"",SUMIFS(BD!$X$3:$X$5001,BD!$A$3:$A$5001,P$3,BD!$B$3:$B$5001,$A$403)))</f>
        <v/>
      </c>
      <c r="Q424" s="172" t="str">
        <f>IF(Q$3="","",IF(COUNTIFS(BD!$A$3:$A$5001,Q$3,BD!$B$3:$B$5001,$A$403,BD!$X$3:$X$5001,"&lt;&gt;")=0,"",SUMIFS(BD!$X$3:$X$5001,BD!$A$3:$A$5001,Q$3,BD!$B$3:$B$5001,$A$403)))</f>
        <v/>
      </c>
      <c r="R424" s="172" t="str">
        <f>IF(R$3="","",IF(COUNTIFS(BD!$A$3:$A$5001,R$3,BD!$B$3:$B$5001,$A$403,BD!$X$3:$X$5001,"&lt;&gt;")=0,"",SUMIFS(BD!$X$3:$X$5001,BD!$A$3:$A$5001,R$3,BD!$B$3:$B$5001,$A$403)))</f>
        <v/>
      </c>
      <c r="S424" s="172" t="str">
        <f>IF(S$3="","",IF(COUNTIFS(BD!$A$3:$A$5001,S$3,BD!$B$3:$B$5001,$A$403,BD!$X$3:$X$5001,"&lt;&gt;")=0,"",SUMIFS(BD!$X$3:$X$5001,BD!$A$3:$A$5001,S$3,BD!$B$3:$B$5001,$A$403)))</f>
        <v/>
      </c>
      <c r="T424" s="172" t="str">
        <f>IF(T$3="","",IF(COUNTIFS(BD!$A$3:$A$5001,T$3,BD!$B$3:$B$5001,$A$403,BD!$X$3:$X$5001,"&lt;&gt;")=0,"",SUMIFS(BD!$X$3:$X$5001,BD!$A$3:$A$5001,T$3,BD!$B$3:$B$5001,$A$403)))</f>
        <v/>
      </c>
      <c r="U424" s="172" t="str">
        <f>IF(U$3="","",IF(COUNTIFS(BD!$A$3:$A$5001,U$3,BD!$B$3:$B$5001,$A$403,BD!$X$3:$X$5001,"&lt;&gt;")=0,"",SUMIFS(BD!$X$3:$X$5001,BD!$A$3:$A$5001,U$3,BD!$B$3:$B$5001,$A$403)))</f>
        <v/>
      </c>
      <c r="V424" s="172" t="str">
        <f>IF(V$3="","",IF(COUNTIFS(BD!$A$3:$A$5001,V$3,BD!$B$3:$B$5001,$A$403,BD!$X$3:$X$5001,"&lt;&gt;")=0,"",SUMIFS(BD!$X$3:$X$5001,BD!$A$3:$A$5001,V$3,BD!$B$3:$B$5001,$A$403)))</f>
        <v/>
      </c>
      <c r="W424" s="172" t="str">
        <f>IF(W$3="","",IF(COUNTIFS(BD!$A$3:$A$5001,W$3,BD!$B$3:$B$5001,$A$403,BD!$X$3:$X$5001,"&lt;&gt;")=0,"",SUMIFS(BD!$X$3:$X$5001,BD!$A$3:$A$5001,W$3,BD!$B$3:$B$5001,$A$403)))</f>
        <v/>
      </c>
      <c r="X424" s="172" t="str">
        <f>IF(X$3="","",IF(COUNTIFS(BD!$A$3:$A$5001,X$3,BD!$B$3:$B$5001,$A$403,BD!$X$3:$X$5001,"&lt;&gt;")=0,"",SUMIFS(BD!$X$3:$X$5001,BD!$A$3:$A$5001,X$3,BD!$B$3:$B$5001,$A$403)))</f>
        <v/>
      </c>
      <c r="Y424" s="172" t="str">
        <f>IF(Y$3="","",IF(COUNTIFS(BD!$A$3:$A$5001,Y$3,BD!$B$3:$B$5001,$A$403,BD!$X$3:$X$5001,"&lt;&gt;")=0,"",SUMIFS(BD!$X$3:$X$5001,BD!$A$3:$A$5001,Y$3,BD!$B$3:$B$5001,$A$403)))</f>
        <v/>
      </c>
      <c r="Z424" s="172" t="str">
        <f>IF(Z$3="","",IF(COUNTIFS(BD!$A$3:$A$5001,Z$3,BD!$B$3:$B$5001,$A$403,BD!$X$3:$X$5001,"&lt;&gt;")=0,"",SUMIFS(BD!$X$3:$X$5001,BD!$A$3:$A$5001,Z$3,BD!$B$3:$B$5001,$A$403)))</f>
        <v/>
      </c>
      <c r="AA424" s="172" t="str">
        <f>IF(AA$3="","",IF(COUNTIFS(BD!$A$3:$A$5001,AA$3,BD!$B$3:$B$5001,$A$403,BD!$X$3:$X$5001,"&lt;&gt;")=0,"",SUMIFS(BD!$X$3:$X$5001,BD!$A$3:$A$5001,AA$3,BD!$B$3:$B$5001,$A$403)))</f>
        <v/>
      </c>
      <c r="AB424" s="172" t="str">
        <f>IF(AB$3="","",IF(COUNTIFS(BD!$A$3:$A$5001,AB$3,BD!$B$3:$B$5001,$A$403,BD!$X$3:$X$5001,"&lt;&gt;")=0,"",SUMIFS(BD!$X$3:$X$5001,BD!$A$3:$A$5001,AB$3,BD!$B$3:$B$5001,$A$403)))</f>
        <v/>
      </c>
      <c r="AC424" s="172" t="str">
        <f>IF(AC$3="","",IF(COUNTIFS(BD!$A$3:$A$5001,AC$3,BD!$B$3:$B$5001,$A$403,BD!$X$3:$X$5001,"&lt;&gt;")=0,"",SUMIFS(BD!$X$3:$X$5001,BD!$A$3:$A$5001,AC$3,BD!$B$3:$B$5001,$A$403)))</f>
        <v/>
      </c>
      <c r="AD424" s="172" t="str">
        <f>IF(AD$3="","",IF(COUNTIFS(BD!$A$3:$A$5001,AD$3,BD!$B$3:$B$5001,$A$403,BD!$X$3:$X$5001,"&lt;&gt;")=0,"",SUMIFS(BD!$X$3:$X$5001,BD!$A$3:$A$5001,AD$3,BD!$B$3:$B$5001,$A$403)))</f>
        <v/>
      </c>
      <c r="AE424" s="172" t="str">
        <f>IF(AE$3="","",IF(COUNTIFS(BD!$A$3:$A$5001,AE$3,BD!$B$3:$B$5001,$A$403,BD!$X$3:$X$5001,"&lt;&gt;")=0,"",SUMIFS(BD!$X$3:$X$5001,BD!$A$3:$A$5001,AE$3,BD!$B$3:$B$5001,$A$403)))</f>
        <v/>
      </c>
      <c r="AF424" s="172" t="str">
        <f>IF(AF$3="","",IF(COUNTIFS(BD!$A$3:$A$5001,AF$3,BD!$B$3:$B$5001,$A$403,BD!$X$3:$X$5001,"&lt;&gt;")=0,"",SUMIFS(BD!$X$3:$X$5001,BD!$A$3:$A$5001,AF$3,BD!$B$3:$B$5001,$A$403)))</f>
        <v/>
      </c>
      <c r="AG424" s="172" t="str">
        <f>IF(AG$3="","",IF(COUNTIFS(BD!$A$3:$A$5001,AG$3,BD!$B$3:$B$5001,$A$403,BD!$X$3:$X$5001,"&lt;&gt;")=0,"",SUMIFS(BD!$X$3:$X$5001,BD!$A$3:$A$5001,AG$3,BD!$B$3:$B$5001,$A$403)))</f>
        <v/>
      </c>
      <c r="AH424" s="172" t="str">
        <f>IF(AH$3="","",IF(COUNTIFS(BD!$A$3:$A$5001,AH$3,BD!$B$3:$B$5001,$A$403,BD!$X$3:$X$5001,"&lt;&gt;")=0,"",SUMIFS(BD!$X$3:$X$5001,BD!$A$3:$A$5001,AH$3,BD!$B$3:$B$5001,$A$403)))</f>
        <v/>
      </c>
      <c r="AI424" s="172" t="str">
        <f>IF(AI$3="","",IF(COUNTIFS(BD!$A$3:$A$5001,AI$3,BD!$B$3:$B$5001,$A$403,BD!$X$3:$X$5001,"&lt;&gt;")=0,"",SUMIFS(BD!$X$3:$X$5001,BD!$A$3:$A$5001,AI$3,BD!$B$3:$B$5001,$A$403)))</f>
        <v/>
      </c>
      <c r="AJ424" s="173" t="str">
        <f>IF(AJ$3="","",IF(COUNTIFS(BD!$A$3:$A$5001,AJ$3,BD!$B$3:$B$5001,$A$403,BD!$X$3:$X$5001,"&lt;&gt;")=0,"",SUMIFS(BD!$X$3:$X$5001,BD!$A$3:$A$5001,AJ$3,BD!$B$3:$B$5001,$A$403)))</f>
        <v/>
      </c>
      <c r="AK424" s="174" t="str">
        <f>IF(COUNT(F424:AJ424)&gt;0,LOOKUP(9.99E+307,F424:AJ424),IFERROR(IF(INDEX(BD!$AI$3:$AI$5001,MATCH($A$403,BD!$B$3:$B$5001,0))&amp;""="Contrato","",INDEX(BD!$AI$3:$AI$5001,MATCH($A$403,BD!$B$3:$B$5001,0))&amp;""),""))</f>
        <v/>
      </c>
    </row>
    <row r="425" ht="15.75" customHeight="1" hidden="1">
      <c r="A425" s="261"/>
      <c r="B425" s="256"/>
      <c r="C425" s="214" t="inlineStr">
        <is>
          <t xml:space="preserve">Posições Ocupadas</t>
        </is>
      </c>
      <c r="D425" s="215" t="str">
        <f>IFERROR(1/(1/INDEX(BD!$AL$45:$BF$45,MATCH($A$403,BD!$AL$22:$BF$22,0))),"")</f>
        <v/>
      </c>
      <c r="E425" s="216"/>
      <c r="F425" s="217" t="str">
        <f>IF(F$3="","",IF(COUNTIFS(BD!$A$3:$A$5001,F$3,BD!$B$3:$B$5001,$A$403,BD!$Y$3:$Y$5001,"&lt;&gt;")=0,"",SUMIFS(BD!$Y$3:$Y$5001,BD!$A$3:$A$5001,F$3,BD!$B$3:$B$5001,$A$403)))</f>
        <v/>
      </c>
      <c r="G425" s="218" t="str">
        <f>IF(G$3="","",IF(COUNTIFS(BD!$A$3:$A$5001,G$3,BD!$B$3:$B$5001,$A$403,BD!$Y$3:$Y$5001,"&lt;&gt;")=0,"",SUMIFS(BD!$Y$3:$Y$5001,BD!$A$3:$A$5001,G$3,BD!$B$3:$B$5001,$A$403)))</f>
        <v/>
      </c>
      <c r="H425" s="218" t="str">
        <f>IF(H$3="","",IF(COUNTIFS(BD!$A$3:$A$5001,H$3,BD!$B$3:$B$5001,$A$403,BD!$Y$3:$Y$5001,"&lt;&gt;")=0,"",SUMIFS(BD!$Y$3:$Y$5001,BD!$A$3:$A$5001,H$3,BD!$B$3:$B$5001,$A$403)))</f>
        <v/>
      </c>
      <c r="I425" s="218" t="str">
        <f>IF(I$3="","",IF(COUNTIFS(BD!$A$3:$A$5001,I$3,BD!$B$3:$B$5001,$A$403,BD!$Y$3:$Y$5001,"&lt;&gt;")=0,"",SUMIFS(BD!$Y$3:$Y$5001,BD!$A$3:$A$5001,I$3,BD!$B$3:$B$5001,$A$403)))</f>
        <v/>
      </c>
      <c r="J425" s="218" t="str">
        <f>IF(J$3="","",IF(COUNTIFS(BD!$A$3:$A$5001,J$3,BD!$B$3:$B$5001,$A$403,BD!$Y$3:$Y$5001,"&lt;&gt;")=0,"",SUMIFS(BD!$Y$3:$Y$5001,BD!$A$3:$A$5001,J$3,BD!$B$3:$B$5001,$A$403)))</f>
        <v/>
      </c>
      <c r="K425" s="218" t="str">
        <f>IF(K$3="","",IF(COUNTIFS(BD!$A$3:$A$5001,K$3,BD!$B$3:$B$5001,$A$403,BD!$Y$3:$Y$5001,"&lt;&gt;")=0,"",SUMIFS(BD!$Y$3:$Y$5001,BD!$A$3:$A$5001,K$3,BD!$B$3:$B$5001,$A$403)))</f>
        <v/>
      </c>
      <c r="L425" s="218" t="str">
        <f>IF(L$3="","",IF(COUNTIFS(BD!$A$3:$A$5001,L$3,BD!$B$3:$B$5001,$A$403,BD!$Y$3:$Y$5001,"&lt;&gt;")=0,"",SUMIFS(BD!$Y$3:$Y$5001,BD!$A$3:$A$5001,L$3,BD!$B$3:$B$5001,$A$403)))</f>
        <v/>
      </c>
      <c r="M425" s="218" t="str">
        <f>IF(M$3="","",IF(COUNTIFS(BD!$A$3:$A$5001,M$3,BD!$B$3:$B$5001,$A$403,BD!$Y$3:$Y$5001,"&lt;&gt;")=0,"",SUMIFS(BD!$Y$3:$Y$5001,BD!$A$3:$A$5001,M$3,BD!$B$3:$B$5001,$A$403)))</f>
        <v/>
      </c>
      <c r="N425" s="218" t="str">
        <f>IF(N$3="","",IF(COUNTIFS(BD!$A$3:$A$5001,N$3,BD!$B$3:$B$5001,$A$403,BD!$Y$3:$Y$5001,"&lt;&gt;")=0,"",SUMIFS(BD!$Y$3:$Y$5001,BD!$A$3:$A$5001,N$3,BD!$B$3:$B$5001,$A$403)))</f>
        <v/>
      </c>
      <c r="O425" s="218" t="str">
        <f>IF(O$3="","",IF(COUNTIFS(BD!$A$3:$A$5001,O$3,BD!$B$3:$B$5001,$A$403,BD!$Y$3:$Y$5001,"&lt;&gt;")=0,"",SUMIFS(BD!$Y$3:$Y$5001,BD!$A$3:$A$5001,O$3,BD!$B$3:$B$5001,$A$403)))</f>
        <v/>
      </c>
      <c r="P425" s="218" t="str">
        <f>IF(P$3="","",IF(COUNTIFS(BD!$A$3:$A$5001,P$3,BD!$B$3:$B$5001,$A$403,BD!$Y$3:$Y$5001,"&lt;&gt;")=0,"",SUMIFS(BD!$Y$3:$Y$5001,BD!$A$3:$A$5001,P$3,BD!$B$3:$B$5001,$A$403)))</f>
        <v/>
      </c>
      <c r="Q425" s="218" t="str">
        <f>IF(Q$3="","",IF(COUNTIFS(BD!$A$3:$A$5001,Q$3,BD!$B$3:$B$5001,$A$403,BD!$Y$3:$Y$5001,"&lt;&gt;")=0,"",SUMIFS(BD!$Y$3:$Y$5001,BD!$A$3:$A$5001,Q$3,BD!$B$3:$B$5001,$A$403)))</f>
        <v/>
      </c>
      <c r="R425" s="218" t="str">
        <f>IF(R$3="","",IF(COUNTIFS(BD!$A$3:$A$5001,R$3,BD!$B$3:$B$5001,$A$403,BD!$Y$3:$Y$5001,"&lt;&gt;")=0,"",SUMIFS(BD!$Y$3:$Y$5001,BD!$A$3:$A$5001,R$3,BD!$B$3:$B$5001,$A$403)))</f>
        <v/>
      </c>
      <c r="S425" s="218" t="str">
        <f>IF(S$3="","",IF(COUNTIFS(BD!$A$3:$A$5001,S$3,BD!$B$3:$B$5001,$A$403,BD!$Y$3:$Y$5001,"&lt;&gt;")=0,"",SUMIFS(BD!$Y$3:$Y$5001,BD!$A$3:$A$5001,S$3,BD!$B$3:$B$5001,$A$403)))</f>
        <v/>
      </c>
      <c r="T425" s="218" t="str">
        <f>IF(T$3="","",IF(COUNTIFS(BD!$A$3:$A$5001,T$3,BD!$B$3:$B$5001,$A$403,BD!$Y$3:$Y$5001,"&lt;&gt;")=0,"",SUMIFS(BD!$Y$3:$Y$5001,BD!$A$3:$A$5001,T$3,BD!$B$3:$B$5001,$A$403)))</f>
        <v/>
      </c>
      <c r="U425" s="218" t="str">
        <f>IF(U$3="","",IF(COUNTIFS(BD!$A$3:$A$5001,U$3,BD!$B$3:$B$5001,$A$403,BD!$Y$3:$Y$5001,"&lt;&gt;")=0,"",SUMIFS(BD!$Y$3:$Y$5001,BD!$A$3:$A$5001,U$3,BD!$B$3:$B$5001,$A$403)))</f>
        <v/>
      </c>
      <c r="V425" s="218" t="str">
        <f>IF(V$3="","",IF(COUNTIFS(BD!$A$3:$A$5001,V$3,BD!$B$3:$B$5001,$A$403,BD!$Y$3:$Y$5001,"&lt;&gt;")=0,"",SUMIFS(BD!$Y$3:$Y$5001,BD!$A$3:$A$5001,V$3,BD!$B$3:$B$5001,$A$403)))</f>
        <v/>
      </c>
      <c r="W425" s="218" t="str">
        <f>IF(W$3="","",IF(COUNTIFS(BD!$A$3:$A$5001,W$3,BD!$B$3:$B$5001,$A$403,BD!$Y$3:$Y$5001,"&lt;&gt;")=0,"",SUMIFS(BD!$Y$3:$Y$5001,BD!$A$3:$A$5001,W$3,BD!$B$3:$B$5001,$A$403)))</f>
        <v/>
      </c>
      <c r="X425" s="218" t="str">
        <f>IF(X$3="","",IF(COUNTIFS(BD!$A$3:$A$5001,X$3,BD!$B$3:$B$5001,$A$403,BD!$Y$3:$Y$5001,"&lt;&gt;")=0,"",SUMIFS(BD!$Y$3:$Y$5001,BD!$A$3:$A$5001,X$3,BD!$B$3:$B$5001,$A$403)))</f>
        <v/>
      </c>
      <c r="Y425" s="218" t="str">
        <f>IF(Y$3="","",IF(COUNTIFS(BD!$A$3:$A$5001,Y$3,BD!$B$3:$B$5001,$A$403,BD!$Y$3:$Y$5001,"&lt;&gt;")=0,"",SUMIFS(BD!$Y$3:$Y$5001,BD!$A$3:$A$5001,Y$3,BD!$B$3:$B$5001,$A$403)))</f>
        <v/>
      </c>
      <c r="Z425" s="218" t="str">
        <f>IF(Z$3="","",IF(COUNTIFS(BD!$A$3:$A$5001,Z$3,BD!$B$3:$B$5001,$A$403,BD!$Y$3:$Y$5001,"&lt;&gt;")=0,"",SUMIFS(BD!$Y$3:$Y$5001,BD!$A$3:$A$5001,Z$3,BD!$B$3:$B$5001,$A$403)))</f>
        <v/>
      </c>
      <c r="AA425" s="218" t="str">
        <f>IF(AA$3="","",IF(COUNTIFS(BD!$A$3:$A$5001,AA$3,BD!$B$3:$B$5001,$A$403,BD!$Y$3:$Y$5001,"&lt;&gt;")=0,"",SUMIFS(BD!$Y$3:$Y$5001,BD!$A$3:$A$5001,AA$3,BD!$B$3:$B$5001,$A$403)))</f>
        <v/>
      </c>
      <c r="AB425" s="218" t="str">
        <f>IF(AB$3="","",IF(COUNTIFS(BD!$A$3:$A$5001,AB$3,BD!$B$3:$B$5001,$A$403,BD!$Y$3:$Y$5001,"&lt;&gt;")=0,"",SUMIFS(BD!$Y$3:$Y$5001,BD!$A$3:$A$5001,AB$3,BD!$B$3:$B$5001,$A$403)))</f>
        <v/>
      </c>
      <c r="AC425" s="218" t="str">
        <f>IF(AC$3="","",IF(COUNTIFS(BD!$A$3:$A$5001,AC$3,BD!$B$3:$B$5001,$A$403,BD!$Y$3:$Y$5001,"&lt;&gt;")=0,"",SUMIFS(BD!$Y$3:$Y$5001,BD!$A$3:$A$5001,AC$3,BD!$B$3:$B$5001,$A$403)))</f>
        <v/>
      </c>
      <c r="AD425" s="218" t="str">
        <f>IF(AD$3="","",IF(COUNTIFS(BD!$A$3:$A$5001,AD$3,BD!$B$3:$B$5001,$A$403,BD!$Y$3:$Y$5001,"&lt;&gt;")=0,"",SUMIFS(BD!$Y$3:$Y$5001,BD!$A$3:$A$5001,AD$3,BD!$B$3:$B$5001,$A$403)))</f>
        <v/>
      </c>
      <c r="AE425" s="218" t="str">
        <f>IF(AE$3="","",IF(COUNTIFS(BD!$A$3:$A$5001,AE$3,BD!$B$3:$B$5001,$A$403,BD!$Y$3:$Y$5001,"&lt;&gt;")=0,"",SUMIFS(BD!$Y$3:$Y$5001,BD!$A$3:$A$5001,AE$3,BD!$B$3:$B$5001,$A$403)))</f>
        <v/>
      </c>
      <c r="AF425" s="218" t="str">
        <f>IF(AF$3="","",IF(COUNTIFS(BD!$A$3:$A$5001,AF$3,BD!$B$3:$B$5001,$A$403,BD!$Y$3:$Y$5001,"&lt;&gt;")=0,"",SUMIFS(BD!$Y$3:$Y$5001,BD!$A$3:$A$5001,AF$3,BD!$B$3:$B$5001,$A$403)))</f>
        <v/>
      </c>
      <c r="AG425" s="218" t="str">
        <f>IF(AG$3="","",IF(COUNTIFS(BD!$A$3:$A$5001,AG$3,BD!$B$3:$B$5001,$A$403,BD!$Y$3:$Y$5001,"&lt;&gt;")=0,"",SUMIFS(BD!$Y$3:$Y$5001,BD!$A$3:$A$5001,AG$3,BD!$B$3:$B$5001,$A$403)))</f>
        <v/>
      </c>
      <c r="AH425" s="218" t="str">
        <f>IF(AH$3="","",IF(COUNTIFS(BD!$A$3:$A$5001,AH$3,BD!$B$3:$B$5001,$A$403,BD!$Y$3:$Y$5001,"&lt;&gt;")=0,"",SUMIFS(BD!$Y$3:$Y$5001,BD!$A$3:$A$5001,AH$3,BD!$B$3:$B$5001,$A$403)))</f>
        <v/>
      </c>
      <c r="AI425" s="218" t="str">
        <f>IF(AI$3="","",IF(COUNTIFS(BD!$A$3:$A$5001,AI$3,BD!$B$3:$B$5001,$A$403,BD!$Y$3:$Y$5001,"&lt;&gt;")=0,"",SUMIFS(BD!$Y$3:$Y$5001,BD!$A$3:$A$5001,AI$3,BD!$B$3:$B$5001,$A$403)))</f>
        <v/>
      </c>
      <c r="AJ425" s="219" t="str">
        <f>IF(AJ$3="","",IF(COUNTIFS(BD!$A$3:$A$5001,AJ$3,BD!$B$3:$B$5001,$A$403,BD!$Y$3:$Y$5001,"&lt;&gt;")=0,"",SUMIFS(BD!$Y$3:$Y$5001,BD!$A$3:$A$5001,AJ$3,BD!$B$3:$B$5001,$A$403)))</f>
        <v/>
      </c>
      <c r="AK425" s="220" t="str">
        <f>IFERROR(LOOKUP(9.99E+307,F425:AJ425),"")</f>
        <v/>
      </c>
    </row>
    <row r="426" ht="15.75" customHeight="1" hidden="1">
      <c r="A426" s="261"/>
      <c r="B426" s="250"/>
      <c r="C426" s="175" t="inlineStr">
        <is>
          <t xml:space="preserve">Taxa de Ocupação</t>
        </is>
      </c>
      <c r="D426" s="221" t="str">
        <f>IFERROR(1/(1/INDEX(BD!$AL$46:$BF$46,MATCH($A$403,BD!$AL$22:$BF$22,0))),"")</f>
        <v/>
      </c>
      <c r="E426" s="177"/>
      <c r="F426" s="222" t="str">
        <f>IF(AND(ISNUMBER(F424),ISNUMBER(F425)),IF(F424&gt;0,F425/F424,""),"")</f>
        <v/>
      </c>
      <c r="G426" s="223" t="str">
        <f>IF(AND(ISNUMBER(G424),ISNUMBER(G425)),IF(G424&gt;0,G425/G424,""),"")</f>
        <v/>
      </c>
      <c r="H426" s="223" t="str">
        <f>IF(AND(ISNUMBER(H424),ISNUMBER(H425)),IF(H424&gt;0,H425/H424,""),"")</f>
        <v/>
      </c>
      <c r="I426" s="223" t="str">
        <f>IF(AND(ISNUMBER(I424),ISNUMBER(I425)),IF(I424&gt;0,I425/I424,""),"")</f>
        <v/>
      </c>
      <c r="J426" s="223" t="str">
        <f>IF(AND(ISNUMBER(J424),ISNUMBER(J425)),IF(J424&gt;0,J425/J424,""),"")</f>
        <v/>
      </c>
      <c r="K426" s="223" t="str">
        <f>IF(AND(ISNUMBER(K424),ISNUMBER(K425)),IF(K424&gt;0,K425/K424,""),"")</f>
        <v/>
      </c>
      <c r="L426" s="223" t="str">
        <f>IF(AND(ISNUMBER(L424),ISNUMBER(L425)),IF(L424&gt;0,L425/L424,""),"")</f>
        <v/>
      </c>
      <c r="M426" s="223" t="str">
        <f>IF(AND(ISNUMBER(M424),ISNUMBER(M425)),IF(M424&gt;0,M425/M424,""),"")</f>
        <v/>
      </c>
      <c r="N426" s="223" t="str">
        <f>IF(AND(ISNUMBER(N424),ISNUMBER(N425)),IF(N424&gt;0,N425/N424,""),"")</f>
        <v/>
      </c>
      <c r="O426" s="223" t="str">
        <f>IF(AND(ISNUMBER(O424),ISNUMBER(O425)),IF(O424&gt;0,O425/O424,""),"")</f>
        <v/>
      </c>
      <c r="P426" s="223" t="str">
        <f>IF(AND(ISNUMBER(P424),ISNUMBER(P425)),IF(P424&gt;0,P425/P424,""),"")</f>
        <v/>
      </c>
      <c r="Q426" s="223" t="str">
        <f>IF(AND(ISNUMBER(Q424),ISNUMBER(Q425)),IF(Q424&gt;0,Q425/Q424,""),"")</f>
        <v/>
      </c>
      <c r="R426" s="223" t="str">
        <f>IF(AND(ISNUMBER(R424),ISNUMBER(R425)),IF(R424&gt;0,R425/R424,""),"")</f>
        <v/>
      </c>
      <c r="S426" s="223" t="str">
        <f>IF(AND(ISNUMBER(S424),ISNUMBER(S425)),IF(S424&gt;0,S425/S424,""),"")</f>
        <v/>
      </c>
      <c r="T426" s="223" t="str">
        <f>IF(AND(ISNUMBER(T424),ISNUMBER(T425)),IF(T424&gt;0,T425/T424,""),"")</f>
        <v/>
      </c>
      <c r="U426" s="223" t="str">
        <f>IF(AND(ISNUMBER(U424),ISNUMBER(U425)),IF(U424&gt;0,U425/U424,""),"")</f>
        <v/>
      </c>
      <c r="V426" s="223" t="str">
        <f>IF(AND(ISNUMBER(V424),ISNUMBER(V425)),IF(V424&gt;0,V425/V424,""),"")</f>
        <v/>
      </c>
      <c r="W426" s="223" t="str">
        <f>IF(AND(ISNUMBER(W424),ISNUMBER(W425)),IF(W424&gt;0,W425/W424,""),"")</f>
        <v/>
      </c>
      <c r="X426" s="223" t="str">
        <f>IF(AND(ISNUMBER(X424),ISNUMBER(X425)),IF(X424&gt;0,X425/X424,""),"")</f>
        <v/>
      </c>
      <c r="Y426" s="223" t="str">
        <f>IF(AND(ISNUMBER(Y424),ISNUMBER(Y425)),IF(Y424&gt;0,Y425/Y424,""),"")</f>
        <v/>
      </c>
      <c r="Z426" s="223" t="str">
        <f>IF(AND(ISNUMBER(Z424),ISNUMBER(Z425)),IF(Z424&gt;0,Z425/Z424,""),"")</f>
        <v/>
      </c>
      <c r="AA426" s="223" t="str">
        <f>IF(AND(ISNUMBER(AA424),ISNUMBER(AA425)),IF(AA424&gt;0,AA425/AA424,""),"")</f>
        <v/>
      </c>
      <c r="AB426" s="223" t="str">
        <f>IF(AND(ISNUMBER(AB424),ISNUMBER(AB425)),IF(AB424&gt;0,AB425/AB424,""),"")</f>
        <v/>
      </c>
      <c r="AC426" s="223" t="str">
        <f>IF(AND(ISNUMBER(AC424),ISNUMBER(AC425)),IF(AC424&gt;0,AC425/AC424,""),"")</f>
        <v/>
      </c>
      <c r="AD426" s="223" t="str">
        <f>IF(AND(ISNUMBER(AD424),ISNUMBER(AD425)),IF(AD424&gt;0,AD425/AD424,""),"")</f>
        <v/>
      </c>
      <c r="AE426" s="223" t="str">
        <f>IF(AND(ISNUMBER(AE424),ISNUMBER(AE425)),IF(AE424&gt;0,AE425/AE424,""),"")</f>
        <v/>
      </c>
      <c r="AF426" s="223" t="str">
        <f>IF(AND(ISNUMBER(AF424),ISNUMBER(AF425)),IF(AF424&gt;0,AF425/AF424,""),"")</f>
        <v/>
      </c>
      <c r="AG426" s="223" t="str">
        <f>IF(AND(ISNUMBER(AG424),ISNUMBER(AG425)),IF(AG424&gt;0,AG425/AG424,""),"")</f>
        <v/>
      </c>
      <c r="AH426" s="223" t="str">
        <f>IF(AND(ISNUMBER(AH424),ISNUMBER(AH425)),IF(AH424&gt;0,AH425/AH424,""),"")</f>
        <v/>
      </c>
      <c r="AI426" s="223" t="str">
        <f>IF(AND(ISNUMBER(AI424),ISNUMBER(AI425)),IF(AI424&gt;0,AI425/AI424,""),"")</f>
        <v/>
      </c>
      <c r="AJ426" s="224" t="str">
        <f>IF(AND(ISNUMBER(AJ424),ISNUMBER(AJ425)),IF(AJ424&gt;0,AJ425/AJ424,""),"")</f>
        <v/>
      </c>
      <c r="AK426" s="221" t="str">
        <f>IF(AND(ISNUMBER(AK424),ISNUMBER(AK425)),IF(AK424&gt;0,AK425/AK424,""),"")</f>
        <v/>
      </c>
    </row>
    <row r="427" ht="15.75" customHeight="1" hidden="1">
      <c r="A427" s="261"/>
      <c r="B427" s="257" t="inlineStr">
        <is>
          <t xml:space="preserve">GENTE</t>
        </is>
      </c>
      <c r="C427" s="225" t="inlineStr">
        <is>
          <t xml:space="preserve">Efetivo Op.</t>
        </is>
      </c>
      <c r="D427" s="226" t="str">
        <f>IFERROR(1/(1/INDEX(BD!$AL$47:$BF$47,MATCH($A$403,BD!$AL$22:$BF$22,0))),"")</f>
        <v/>
      </c>
      <c r="E427" s="227"/>
      <c r="F427" s="228" t="str">
        <f>IF(F$3="","",IF(COUNTIFS(BD!$A$3:$A$5001,F$3,BD!$B$3:$B$5001,$A$403,BD!$Z$3:$Z$5001,"&lt;&gt;")=0,"",SUMIFS(BD!$Z$3:$Z$5001,BD!$A$3:$A$5001,F$3,BD!$B$3:$B$5001,$A$403)))</f>
        <v/>
      </c>
      <c r="G427" s="229" t="str">
        <f>IF(G$3="","",IF(COUNTIFS(BD!$A$3:$A$5001,G$3,BD!$B$3:$B$5001,$A$403,BD!$Z$3:$Z$5001,"&lt;&gt;")=0,"",SUMIFS(BD!$Z$3:$Z$5001,BD!$A$3:$A$5001,G$3,BD!$B$3:$B$5001,$A$403)))</f>
        <v/>
      </c>
      <c r="H427" s="229" t="str">
        <f>IF(H$3="","",IF(COUNTIFS(BD!$A$3:$A$5001,H$3,BD!$B$3:$B$5001,$A$403,BD!$Z$3:$Z$5001,"&lt;&gt;")=0,"",SUMIFS(BD!$Z$3:$Z$5001,BD!$A$3:$A$5001,H$3,BD!$B$3:$B$5001,$A$403)))</f>
        <v/>
      </c>
      <c r="I427" s="229" t="str">
        <f>IF(I$3="","",IF(COUNTIFS(BD!$A$3:$A$5001,I$3,BD!$B$3:$B$5001,$A$403,BD!$Z$3:$Z$5001,"&lt;&gt;")=0,"",SUMIFS(BD!$Z$3:$Z$5001,BD!$A$3:$A$5001,I$3,BD!$B$3:$B$5001,$A$403)))</f>
        <v/>
      </c>
      <c r="J427" s="229" t="str">
        <f>IF(J$3="","",IF(COUNTIFS(BD!$A$3:$A$5001,J$3,BD!$B$3:$B$5001,$A$403,BD!$Z$3:$Z$5001,"&lt;&gt;")=0,"",SUMIFS(BD!$Z$3:$Z$5001,BD!$A$3:$A$5001,J$3,BD!$B$3:$B$5001,$A$403)))</f>
        <v/>
      </c>
      <c r="K427" s="229" t="str">
        <f>IF(K$3="","",IF(COUNTIFS(BD!$A$3:$A$5001,K$3,BD!$B$3:$B$5001,$A$403,BD!$Z$3:$Z$5001,"&lt;&gt;")=0,"",SUMIFS(BD!$Z$3:$Z$5001,BD!$A$3:$A$5001,K$3,BD!$B$3:$B$5001,$A$403)))</f>
        <v/>
      </c>
      <c r="L427" s="229" t="str">
        <f>IF(L$3="","",IF(COUNTIFS(BD!$A$3:$A$5001,L$3,BD!$B$3:$B$5001,$A$403,BD!$Z$3:$Z$5001,"&lt;&gt;")=0,"",SUMIFS(BD!$Z$3:$Z$5001,BD!$A$3:$A$5001,L$3,BD!$B$3:$B$5001,$A$403)))</f>
        <v/>
      </c>
      <c r="M427" s="229" t="str">
        <f>IF(M$3="","",IF(COUNTIFS(BD!$A$3:$A$5001,M$3,BD!$B$3:$B$5001,$A$403,BD!$Z$3:$Z$5001,"&lt;&gt;")=0,"",SUMIFS(BD!$Z$3:$Z$5001,BD!$A$3:$A$5001,M$3,BD!$B$3:$B$5001,$A$403)))</f>
        <v/>
      </c>
      <c r="N427" s="229" t="str">
        <f>IF(N$3="","",IF(COUNTIFS(BD!$A$3:$A$5001,N$3,BD!$B$3:$B$5001,$A$403,BD!$Z$3:$Z$5001,"&lt;&gt;")=0,"",SUMIFS(BD!$Z$3:$Z$5001,BD!$A$3:$A$5001,N$3,BD!$B$3:$B$5001,$A$403)))</f>
        <v/>
      </c>
      <c r="O427" s="229" t="str">
        <f>IF(O$3="","",IF(COUNTIFS(BD!$A$3:$A$5001,O$3,BD!$B$3:$B$5001,$A$403,BD!$Z$3:$Z$5001,"&lt;&gt;")=0,"",SUMIFS(BD!$Z$3:$Z$5001,BD!$A$3:$A$5001,O$3,BD!$B$3:$B$5001,$A$403)))</f>
        <v/>
      </c>
      <c r="P427" s="229" t="str">
        <f>IF(P$3="","",IF(COUNTIFS(BD!$A$3:$A$5001,P$3,BD!$B$3:$B$5001,$A$403,BD!$Z$3:$Z$5001,"&lt;&gt;")=0,"",SUMIFS(BD!$Z$3:$Z$5001,BD!$A$3:$A$5001,P$3,BD!$B$3:$B$5001,$A$403)))</f>
        <v/>
      </c>
      <c r="Q427" s="229" t="str">
        <f>IF(Q$3="","",IF(COUNTIFS(BD!$A$3:$A$5001,Q$3,BD!$B$3:$B$5001,$A$403,BD!$Z$3:$Z$5001,"&lt;&gt;")=0,"",SUMIFS(BD!$Z$3:$Z$5001,BD!$A$3:$A$5001,Q$3,BD!$B$3:$B$5001,$A$403)))</f>
        <v/>
      </c>
      <c r="R427" s="229" t="str">
        <f>IF(R$3="","",IF(COUNTIFS(BD!$A$3:$A$5001,R$3,BD!$B$3:$B$5001,$A$403,BD!$Z$3:$Z$5001,"&lt;&gt;")=0,"",SUMIFS(BD!$Z$3:$Z$5001,BD!$A$3:$A$5001,R$3,BD!$B$3:$B$5001,$A$403)))</f>
        <v/>
      </c>
      <c r="S427" s="229" t="str">
        <f>IF(S$3="","",IF(COUNTIFS(BD!$A$3:$A$5001,S$3,BD!$B$3:$B$5001,$A$403,BD!$Z$3:$Z$5001,"&lt;&gt;")=0,"",SUMIFS(BD!$Z$3:$Z$5001,BD!$A$3:$A$5001,S$3,BD!$B$3:$B$5001,$A$403)))</f>
        <v/>
      </c>
      <c r="T427" s="229" t="str">
        <f>IF(T$3="","",IF(COUNTIFS(BD!$A$3:$A$5001,T$3,BD!$B$3:$B$5001,$A$403,BD!$Z$3:$Z$5001,"&lt;&gt;")=0,"",SUMIFS(BD!$Z$3:$Z$5001,BD!$A$3:$A$5001,T$3,BD!$B$3:$B$5001,$A$403)))</f>
        <v/>
      </c>
      <c r="U427" s="229" t="str">
        <f>IF(U$3="","",IF(COUNTIFS(BD!$A$3:$A$5001,U$3,BD!$B$3:$B$5001,$A$403,BD!$Z$3:$Z$5001,"&lt;&gt;")=0,"",SUMIFS(BD!$Z$3:$Z$5001,BD!$A$3:$A$5001,U$3,BD!$B$3:$B$5001,$A$403)))</f>
        <v/>
      </c>
      <c r="V427" s="229" t="str">
        <f>IF(V$3="","",IF(COUNTIFS(BD!$A$3:$A$5001,V$3,BD!$B$3:$B$5001,$A$403,BD!$Z$3:$Z$5001,"&lt;&gt;")=0,"",SUMIFS(BD!$Z$3:$Z$5001,BD!$A$3:$A$5001,V$3,BD!$B$3:$B$5001,$A$403)))</f>
        <v/>
      </c>
      <c r="W427" s="229" t="str">
        <f>IF(W$3="","",IF(COUNTIFS(BD!$A$3:$A$5001,W$3,BD!$B$3:$B$5001,$A$403,BD!$Z$3:$Z$5001,"&lt;&gt;")=0,"",SUMIFS(BD!$Z$3:$Z$5001,BD!$A$3:$A$5001,W$3,BD!$B$3:$B$5001,$A$403)))</f>
        <v/>
      </c>
      <c r="X427" s="229" t="str">
        <f>IF(X$3="","",IF(COUNTIFS(BD!$A$3:$A$5001,X$3,BD!$B$3:$B$5001,$A$403,BD!$Z$3:$Z$5001,"&lt;&gt;")=0,"",SUMIFS(BD!$Z$3:$Z$5001,BD!$A$3:$A$5001,X$3,BD!$B$3:$B$5001,$A$403)))</f>
        <v/>
      </c>
      <c r="Y427" s="229" t="str">
        <f>IF(Y$3="","",IF(COUNTIFS(BD!$A$3:$A$5001,Y$3,BD!$B$3:$B$5001,$A$403,BD!$Z$3:$Z$5001,"&lt;&gt;")=0,"",SUMIFS(BD!$Z$3:$Z$5001,BD!$A$3:$A$5001,Y$3,BD!$B$3:$B$5001,$A$403)))</f>
        <v/>
      </c>
      <c r="Z427" s="229" t="str">
        <f>IF(Z$3="","",IF(COUNTIFS(BD!$A$3:$A$5001,Z$3,BD!$B$3:$B$5001,$A$403,BD!$Z$3:$Z$5001,"&lt;&gt;")=0,"",SUMIFS(BD!$Z$3:$Z$5001,BD!$A$3:$A$5001,Z$3,BD!$B$3:$B$5001,$A$403)))</f>
        <v/>
      </c>
      <c r="AA427" s="229" t="str">
        <f>IF(AA$3="","",IF(COUNTIFS(BD!$A$3:$A$5001,AA$3,BD!$B$3:$B$5001,$A$403,BD!$Z$3:$Z$5001,"&lt;&gt;")=0,"",SUMIFS(BD!$Z$3:$Z$5001,BD!$A$3:$A$5001,AA$3,BD!$B$3:$B$5001,$A$403)))</f>
        <v/>
      </c>
      <c r="AB427" s="229" t="str">
        <f>IF(AB$3="","",IF(COUNTIFS(BD!$A$3:$A$5001,AB$3,BD!$B$3:$B$5001,$A$403,BD!$Z$3:$Z$5001,"&lt;&gt;")=0,"",SUMIFS(BD!$Z$3:$Z$5001,BD!$A$3:$A$5001,AB$3,BD!$B$3:$B$5001,$A$403)))</f>
        <v/>
      </c>
      <c r="AC427" s="229" t="str">
        <f>IF(AC$3="","",IF(COUNTIFS(BD!$A$3:$A$5001,AC$3,BD!$B$3:$B$5001,$A$403,BD!$Z$3:$Z$5001,"&lt;&gt;")=0,"",SUMIFS(BD!$Z$3:$Z$5001,BD!$A$3:$A$5001,AC$3,BD!$B$3:$B$5001,$A$403)))</f>
        <v/>
      </c>
      <c r="AD427" s="229" t="str">
        <f>IF(AD$3="","",IF(COUNTIFS(BD!$A$3:$A$5001,AD$3,BD!$B$3:$B$5001,$A$403,BD!$Z$3:$Z$5001,"&lt;&gt;")=0,"",SUMIFS(BD!$Z$3:$Z$5001,BD!$A$3:$A$5001,AD$3,BD!$B$3:$B$5001,$A$403)))</f>
        <v/>
      </c>
      <c r="AE427" s="229" t="str">
        <f>IF(AE$3="","",IF(COUNTIFS(BD!$A$3:$A$5001,AE$3,BD!$B$3:$B$5001,$A$403,BD!$Z$3:$Z$5001,"&lt;&gt;")=0,"",SUMIFS(BD!$Z$3:$Z$5001,BD!$A$3:$A$5001,AE$3,BD!$B$3:$B$5001,$A$403)))</f>
        <v/>
      </c>
      <c r="AF427" s="229" t="str">
        <f>IF(AF$3="","",IF(COUNTIFS(BD!$A$3:$A$5001,AF$3,BD!$B$3:$B$5001,$A$403,BD!$Z$3:$Z$5001,"&lt;&gt;")=0,"",SUMIFS(BD!$Z$3:$Z$5001,BD!$A$3:$A$5001,AF$3,BD!$B$3:$B$5001,$A$403)))</f>
        <v/>
      </c>
      <c r="AG427" s="229" t="str">
        <f>IF(AG$3="","",IF(COUNTIFS(BD!$A$3:$A$5001,AG$3,BD!$B$3:$B$5001,$A$403,BD!$Z$3:$Z$5001,"&lt;&gt;")=0,"",SUMIFS(BD!$Z$3:$Z$5001,BD!$A$3:$A$5001,AG$3,BD!$B$3:$B$5001,$A$403)))</f>
        <v/>
      </c>
      <c r="AH427" s="229" t="str">
        <f>IF(AH$3="","",IF(COUNTIFS(BD!$A$3:$A$5001,AH$3,BD!$B$3:$B$5001,$A$403,BD!$Z$3:$Z$5001,"&lt;&gt;")=0,"",SUMIFS(BD!$Z$3:$Z$5001,BD!$A$3:$A$5001,AH$3,BD!$B$3:$B$5001,$A$403)))</f>
        <v/>
      </c>
      <c r="AI427" s="229" t="str">
        <f>IF(AI$3="","",IF(COUNTIFS(BD!$A$3:$A$5001,AI$3,BD!$B$3:$B$5001,$A$403,BD!$Z$3:$Z$5001,"&lt;&gt;")=0,"",SUMIFS(BD!$Z$3:$Z$5001,BD!$A$3:$A$5001,AI$3,BD!$B$3:$B$5001,$A$403)))</f>
        <v/>
      </c>
      <c r="AJ427" s="230" t="str">
        <f>IF(AJ$3="","",IF(COUNTIFS(BD!$A$3:$A$5001,AJ$3,BD!$B$3:$B$5001,$A$403,BD!$Z$3:$Z$5001,"&lt;&gt;")=0,"",SUMIFS(BD!$Z$3:$Z$5001,BD!$A$3:$A$5001,AJ$3,BD!$B$3:$B$5001,$A$403)))</f>
        <v/>
      </c>
      <c r="AK427" s="231" t="str">
        <f>IFERROR(LOOKUP(9.99E+307,F427:AJ427),"")</f>
        <v/>
      </c>
    </row>
    <row r="428" ht="15.75" customHeight="1" hidden="1">
      <c r="A428" s="261"/>
      <c r="B428" s="258"/>
      <c r="C428" s="232" t="inlineStr">
        <is>
          <t xml:space="preserve">Falta</t>
        </is>
      </c>
      <c r="D428" s="233" t="str">
        <f>IFERROR(1/(1/INDEX(BD!$AL$48:$BF$48,MATCH($A$403,BD!$AL$22:$BF$22,0))),"")</f>
        <v/>
      </c>
      <c r="E428" s="234"/>
      <c r="F428" s="235" t="str">
        <f>IF(F$3="","",IF(COUNTIFS(BD!$A$3:$A$5001,F$3,BD!$B$3:$B$5001,$A$403,BD!$AA$3:$AA$5001,"&lt;&gt;")=0,"",SUMIFS(BD!$AA$3:$AA$5001,BD!$A$3:$A$5001,F$3,BD!$B$3:$B$5001,$A$403)))</f>
        <v/>
      </c>
      <c r="G428" s="236" t="str">
        <f>IF(G$3="","",IF(COUNTIFS(BD!$A$3:$A$5001,G$3,BD!$B$3:$B$5001,$A$403,BD!$AA$3:$AA$5001,"&lt;&gt;")=0,"",SUMIFS(BD!$AA$3:$AA$5001,BD!$A$3:$A$5001,G$3,BD!$B$3:$B$5001,$A$403)))</f>
        <v/>
      </c>
      <c r="H428" s="236" t="str">
        <f>IF(H$3="","",IF(COUNTIFS(BD!$A$3:$A$5001,H$3,BD!$B$3:$B$5001,$A$403,BD!$AA$3:$AA$5001,"&lt;&gt;")=0,"",SUMIFS(BD!$AA$3:$AA$5001,BD!$A$3:$A$5001,H$3,BD!$B$3:$B$5001,$A$403)))</f>
        <v/>
      </c>
      <c r="I428" s="236" t="str">
        <f>IF(I$3="","",IF(COUNTIFS(BD!$A$3:$A$5001,I$3,BD!$B$3:$B$5001,$A$403,BD!$AA$3:$AA$5001,"&lt;&gt;")=0,"",SUMIFS(BD!$AA$3:$AA$5001,BD!$A$3:$A$5001,I$3,BD!$B$3:$B$5001,$A$403)))</f>
        <v/>
      </c>
      <c r="J428" s="236" t="str">
        <f>IF(J$3="","",IF(COUNTIFS(BD!$A$3:$A$5001,J$3,BD!$B$3:$B$5001,$A$403,BD!$AA$3:$AA$5001,"&lt;&gt;")=0,"",SUMIFS(BD!$AA$3:$AA$5001,BD!$A$3:$A$5001,J$3,BD!$B$3:$B$5001,$A$403)))</f>
        <v/>
      </c>
      <c r="K428" s="236" t="str">
        <f>IF(K$3="","",IF(COUNTIFS(BD!$A$3:$A$5001,K$3,BD!$B$3:$B$5001,$A$403,BD!$AA$3:$AA$5001,"&lt;&gt;")=0,"",SUMIFS(BD!$AA$3:$AA$5001,BD!$A$3:$A$5001,K$3,BD!$B$3:$B$5001,$A$403)))</f>
        <v/>
      </c>
      <c r="L428" s="236" t="str">
        <f>IF(L$3="","",IF(COUNTIFS(BD!$A$3:$A$5001,L$3,BD!$B$3:$B$5001,$A$403,BD!$AA$3:$AA$5001,"&lt;&gt;")=0,"",SUMIFS(BD!$AA$3:$AA$5001,BD!$A$3:$A$5001,L$3,BD!$B$3:$B$5001,$A$403)))</f>
        <v/>
      </c>
      <c r="M428" s="236" t="str">
        <f>IF(M$3="","",IF(COUNTIFS(BD!$A$3:$A$5001,M$3,BD!$B$3:$B$5001,$A$403,BD!$AA$3:$AA$5001,"&lt;&gt;")=0,"",SUMIFS(BD!$AA$3:$AA$5001,BD!$A$3:$A$5001,M$3,BD!$B$3:$B$5001,$A$403)))</f>
        <v/>
      </c>
      <c r="N428" s="236" t="str">
        <f>IF(N$3="","",IF(COUNTIFS(BD!$A$3:$A$5001,N$3,BD!$B$3:$B$5001,$A$403,BD!$AA$3:$AA$5001,"&lt;&gt;")=0,"",SUMIFS(BD!$AA$3:$AA$5001,BD!$A$3:$A$5001,N$3,BD!$B$3:$B$5001,$A$403)))</f>
        <v/>
      </c>
      <c r="O428" s="236" t="str">
        <f>IF(O$3="","",IF(COUNTIFS(BD!$A$3:$A$5001,O$3,BD!$B$3:$B$5001,$A$403,BD!$AA$3:$AA$5001,"&lt;&gt;")=0,"",SUMIFS(BD!$AA$3:$AA$5001,BD!$A$3:$A$5001,O$3,BD!$B$3:$B$5001,$A$403)))</f>
        <v/>
      </c>
      <c r="P428" s="236" t="str">
        <f>IF(P$3="","",IF(COUNTIFS(BD!$A$3:$A$5001,P$3,BD!$B$3:$B$5001,$A$403,BD!$AA$3:$AA$5001,"&lt;&gt;")=0,"",SUMIFS(BD!$AA$3:$AA$5001,BD!$A$3:$A$5001,P$3,BD!$B$3:$B$5001,$A$403)))</f>
        <v/>
      </c>
      <c r="Q428" s="236" t="str">
        <f>IF(Q$3="","",IF(COUNTIFS(BD!$A$3:$A$5001,Q$3,BD!$B$3:$B$5001,$A$403,BD!$AA$3:$AA$5001,"&lt;&gt;")=0,"",SUMIFS(BD!$AA$3:$AA$5001,BD!$A$3:$A$5001,Q$3,BD!$B$3:$B$5001,$A$403)))</f>
        <v/>
      </c>
      <c r="R428" s="236" t="str">
        <f>IF(R$3="","",IF(COUNTIFS(BD!$A$3:$A$5001,R$3,BD!$B$3:$B$5001,$A$403,BD!$AA$3:$AA$5001,"&lt;&gt;")=0,"",SUMIFS(BD!$AA$3:$AA$5001,BD!$A$3:$A$5001,R$3,BD!$B$3:$B$5001,$A$403)))</f>
        <v/>
      </c>
      <c r="S428" s="236" t="str">
        <f>IF(S$3="","",IF(COUNTIFS(BD!$A$3:$A$5001,S$3,BD!$B$3:$B$5001,$A$403,BD!$AA$3:$AA$5001,"&lt;&gt;")=0,"",SUMIFS(BD!$AA$3:$AA$5001,BD!$A$3:$A$5001,S$3,BD!$B$3:$B$5001,$A$403)))</f>
        <v/>
      </c>
      <c r="T428" s="236" t="str">
        <f>IF(T$3="","",IF(COUNTIFS(BD!$A$3:$A$5001,T$3,BD!$B$3:$B$5001,$A$403,BD!$AA$3:$AA$5001,"&lt;&gt;")=0,"",SUMIFS(BD!$AA$3:$AA$5001,BD!$A$3:$A$5001,T$3,BD!$B$3:$B$5001,$A$403)))</f>
        <v/>
      </c>
      <c r="U428" s="236" t="str">
        <f>IF(U$3="","",IF(COUNTIFS(BD!$A$3:$A$5001,U$3,BD!$B$3:$B$5001,$A$403,BD!$AA$3:$AA$5001,"&lt;&gt;")=0,"",SUMIFS(BD!$AA$3:$AA$5001,BD!$A$3:$A$5001,U$3,BD!$B$3:$B$5001,$A$403)))</f>
        <v/>
      </c>
      <c r="V428" s="236" t="str">
        <f>IF(V$3="","",IF(COUNTIFS(BD!$A$3:$A$5001,V$3,BD!$B$3:$B$5001,$A$403,BD!$AA$3:$AA$5001,"&lt;&gt;")=0,"",SUMIFS(BD!$AA$3:$AA$5001,BD!$A$3:$A$5001,V$3,BD!$B$3:$B$5001,$A$403)))</f>
        <v/>
      </c>
      <c r="W428" s="236" t="str">
        <f>IF(W$3="","",IF(COUNTIFS(BD!$A$3:$A$5001,W$3,BD!$B$3:$B$5001,$A$403,BD!$AA$3:$AA$5001,"&lt;&gt;")=0,"",SUMIFS(BD!$AA$3:$AA$5001,BD!$A$3:$A$5001,W$3,BD!$B$3:$B$5001,$A$403)))</f>
        <v/>
      </c>
      <c r="X428" s="236" t="str">
        <f>IF(X$3="","",IF(COUNTIFS(BD!$A$3:$A$5001,X$3,BD!$B$3:$B$5001,$A$403,BD!$AA$3:$AA$5001,"&lt;&gt;")=0,"",SUMIFS(BD!$AA$3:$AA$5001,BD!$A$3:$A$5001,X$3,BD!$B$3:$B$5001,$A$403)))</f>
        <v/>
      </c>
      <c r="Y428" s="236" t="str">
        <f>IF(Y$3="","",IF(COUNTIFS(BD!$A$3:$A$5001,Y$3,BD!$B$3:$B$5001,$A$403,BD!$AA$3:$AA$5001,"&lt;&gt;")=0,"",SUMIFS(BD!$AA$3:$AA$5001,BD!$A$3:$A$5001,Y$3,BD!$B$3:$B$5001,$A$403)))</f>
        <v/>
      </c>
      <c r="Z428" s="236" t="str">
        <f>IF(Z$3="","",IF(COUNTIFS(BD!$A$3:$A$5001,Z$3,BD!$B$3:$B$5001,$A$403,BD!$AA$3:$AA$5001,"&lt;&gt;")=0,"",SUMIFS(BD!$AA$3:$AA$5001,BD!$A$3:$A$5001,Z$3,BD!$B$3:$B$5001,$A$403)))</f>
        <v/>
      </c>
      <c r="AA428" s="236" t="str">
        <f>IF(AA$3="","",IF(COUNTIFS(BD!$A$3:$A$5001,AA$3,BD!$B$3:$B$5001,$A$403,BD!$AA$3:$AA$5001,"&lt;&gt;")=0,"",SUMIFS(BD!$AA$3:$AA$5001,BD!$A$3:$A$5001,AA$3,BD!$B$3:$B$5001,$A$403)))</f>
        <v/>
      </c>
      <c r="AB428" s="236" t="str">
        <f>IF(AB$3="","",IF(COUNTIFS(BD!$A$3:$A$5001,AB$3,BD!$B$3:$B$5001,$A$403,BD!$AA$3:$AA$5001,"&lt;&gt;")=0,"",SUMIFS(BD!$AA$3:$AA$5001,BD!$A$3:$A$5001,AB$3,BD!$B$3:$B$5001,$A$403)))</f>
        <v/>
      </c>
      <c r="AC428" s="236" t="str">
        <f>IF(AC$3="","",IF(COUNTIFS(BD!$A$3:$A$5001,AC$3,BD!$B$3:$B$5001,$A$403,BD!$AA$3:$AA$5001,"&lt;&gt;")=0,"",SUMIFS(BD!$AA$3:$AA$5001,BD!$A$3:$A$5001,AC$3,BD!$B$3:$B$5001,$A$403)))</f>
        <v/>
      </c>
      <c r="AD428" s="236" t="str">
        <f>IF(AD$3="","",IF(COUNTIFS(BD!$A$3:$A$5001,AD$3,BD!$B$3:$B$5001,$A$403,BD!$AA$3:$AA$5001,"&lt;&gt;")=0,"",SUMIFS(BD!$AA$3:$AA$5001,BD!$A$3:$A$5001,AD$3,BD!$B$3:$B$5001,$A$403)))</f>
        <v/>
      </c>
      <c r="AE428" s="236" t="str">
        <f>IF(AE$3="","",IF(COUNTIFS(BD!$A$3:$A$5001,AE$3,BD!$B$3:$B$5001,$A$403,BD!$AA$3:$AA$5001,"&lt;&gt;")=0,"",SUMIFS(BD!$AA$3:$AA$5001,BD!$A$3:$A$5001,AE$3,BD!$B$3:$B$5001,$A$403)))</f>
        <v/>
      </c>
      <c r="AF428" s="236" t="str">
        <f>IF(AF$3="","",IF(COUNTIFS(BD!$A$3:$A$5001,AF$3,BD!$B$3:$B$5001,$A$403,BD!$AA$3:$AA$5001,"&lt;&gt;")=0,"",SUMIFS(BD!$AA$3:$AA$5001,BD!$A$3:$A$5001,AF$3,BD!$B$3:$B$5001,$A$403)))</f>
        <v/>
      </c>
      <c r="AG428" s="236" t="str">
        <f>IF(AG$3="","",IF(COUNTIFS(BD!$A$3:$A$5001,AG$3,BD!$B$3:$B$5001,$A$403,BD!$AA$3:$AA$5001,"&lt;&gt;")=0,"",SUMIFS(BD!$AA$3:$AA$5001,BD!$A$3:$A$5001,AG$3,BD!$B$3:$B$5001,$A$403)))</f>
        <v/>
      </c>
      <c r="AH428" s="236" t="str">
        <f>IF(AH$3="","",IF(COUNTIFS(BD!$A$3:$A$5001,AH$3,BD!$B$3:$B$5001,$A$403,BD!$AA$3:$AA$5001,"&lt;&gt;")=0,"",SUMIFS(BD!$AA$3:$AA$5001,BD!$A$3:$A$5001,AH$3,BD!$B$3:$B$5001,$A$403)))</f>
        <v/>
      </c>
      <c r="AI428" s="236" t="str">
        <f>IF(AI$3="","",IF(COUNTIFS(BD!$A$3:$A$5001,AI$3,BD!$B$3:$B$5001,$A$403,BD!$AA$3:$AA$5001,"&lt;&gt;")=0,"",SUMIFS(BD!$AA$3:$AA$5001,BD!$A$3:$A$5001,AI$3,BD!$B$3:$B$5001,$A$403)))</f>
        <v/>
      </c>
      <c r="AJ428" s="237" t="str">
        <f>IF(AJ$3="","",IF(COUNTIFS(BD!$A$3:$A$5001,AJ$3,BD!$B$3:$B$5001,$A$403,BD!$AA$3:$AA$5001,"&lt;&gt;")=0,"",SUMIFS(BD!$AA$3:$AA$5001,BD!$A$3:$A$5001,AJ$3,BD!$B$3:$B$5001,$A$403)))</f>
        <v/>
      </c>
      <c r="AK428" s="238" t="str">
        <f>IF(COUNT(F428:AJ428)=0,"",SUM(F428:AJ428))</f>
        <v/>
      </c>
    </row>
    <row r="429" ht="15.75" customHeight="1" hidden="1">
      <c r="A429" s="261"/>
      <c r="B429" s="258"/>
      <c r="C429" s="232" t="inlineStr">
        <is>
          <t xml:space="preserve">Absenteísmo (H/H)</t>
        </is>
      </c>
      <c r="D429" s="233" t="str">
        <f>IFERROR(1/(1/INDEX(BD!$AL$49:$BF$49,MATCH($A$403,BD!$AL$22:$BF$22,0))),"")</f>
        <v/>
      </c>
      <c r="E429" s="234"/>
      <c r="F429" s="239" t="str">
        <f>IF(F$3="","",IF(COUNTIFS(BD!$A$3:$A$5001,F$3,BD!$B$3:$B$5001,$A$403,BD!$AB$3:$AB$5001,"&lt;&gt;")=0,"",SUMIFS(BD!$AB$3:$AB$5001,BD!$A$3:$A$5001,F$3,BD!$B$3:$B$5001,$A$403)))</f>
        <v/>
      </c>
      <c r="G429" s="240" t="str">
        <f>IF(G$3="","",IF(COUNTIFS(BD!$A$3:$A$5001,G$3,BD!$B$3:$B$5001,$A$403,BD!$AB$3:$AB$5001,"&lt;&gt;")=0,"",SUMIFS(BD!$AB$3:$AB$5001,BD!$A$3:$A$5001,G$3,BD!$B$3:$B$5001,$A$403)))</f>
        <v/>
      </c>
      <c r="H429" s="240" t="str">
        <f>IF(H$3="","",IF(COUNTIFS(BD!$A$3:$A$5001,H$3,BD!$B$3:$B$5001,$A$403,BD!$AB$3:$AB$5001,"&lt;&gt;")=0,"",SUMIFS(BD!$AB$3:$AB$5001,BD!$A$3:$A$5001,H$3,BD!$B$3:$B$5001,$A$403)))</f>
        <v/>
      </c>
      <c r="I429" s="240" t="str">
        <f>IF(I$3="","",IF(COUNTIFS(BD!$A$3:$A$5001,I$3,BD!$B$3:$B$5001,$A$403,BD!$AB$3:$AB$5001,"&lt;&gt;")=0,"",SUMIFS(BD!$AB$3:$AB$5001,BD!$A$3:$A$5001,I$3,BD!$B$3:$B$5001,$A$403)))</f>
        <v/>
      </c>
      <c r="J429" s="240" t="str">
        <f>IF(J$3="","",IF(COUNTIFS(BD!$A$3:$A$5001,J$3,BD!$B$3:$B$5001,$A$403,BD!$AB$3:$AB$5001,"&lt;&gt;")=0,"",SUMIFS(BD!$AB$3:$AB$5001,BD!$A$3:$A$5001,J$3,BD!$B$3:$B$5001,$A$403)))</f>
        <v/>
      </c>
      <c r="K429" s="240" t="str">
        <f>IF(K$3="","",IF(COUNTIFS(BD!$A$3:$A$5001,K$3,BD!$B$3:$B$5001,$A$403,BD!$AB$3:$AB$5001,"&lt;&gt;")=0,"",SUMIFS(BD!$AB$3:$AB$5001,BD!$A$3:$A$5001,K$3,BD!$B$3:$B$5001,$A$403)))</f>
        <v/>
      </c>
      <c r="L429" s="240" t="str">
        <f>IF(L$3="","",IF(COUNTIFS(BD!$A$3:$A$5001,L$3,BD!$B$3:$B$5001,$A$403,BD!$AB$3:$AB$5001,"&lt;&gt;")=0,"",SUMIFS(BD!$AB$3:$AB$5001,BD!$A$3:$A$5001,L$3,BD!$B$3:$B$5001,$A$403)))</f>
        <v/>
      </c>
      <c r="M429" s="240" t="str">
        <f>IF(M$3="","",IF(COUNTIFS(BD!$A$3:$A$5001,M$3,BD!$B$3:$B$5001,$A$403,BD!$AB$3:$AB$5001,"&lt;&gt;")=0,"",SUMIFS(BD!$AB$3:$AB$5001,BD!$A$3:$A$5001,M$3,BD!$B$3:$B$5001,$A$403)))</f>
        <v/>
      </c>
      <c r="N429" s="240" t="str">
        <f>IF(N$3="","",IF(COUNTIFS(BD!$A$3:$A$5001,N$3,BD!$B$3:$B$5001,$A$403,BD!$AB$3:$AB$5001,"&lt;&gt;")=0,"",SUMIFS(BD!$AB$3:$AB$5001,BD!$A$3:$A$5001,N$3,BD!$B$3:$B$5001,$A$403)))</f>
        <v/>
      </c>
      <c r="O429" s="240" t="str">
        <f>IF(O$3="","",IF(COUNTIFS(BD!$A$3:$A$5001,O$3,BD!$B$3:$B$5001,$A$403,BD!$AB$3:$AB$5001,"&lt;&gt;")=0,"",SUMIFS(BD!$AB$3:$AB$5001,BD!$A$3:$A$5001,O$3,BD!$B$3:$B$5001,$A$403)))</f>
        <v/>
      </c>
      <c r="P429" s="240" t="str">
        <f>IF(P$3="","",IF(COUNTIFS(BD!$A$3:$A$5001,P$3,BD!$B$3:$B$5001,$A$403,BD!$AB$3:$AB$5001,"&lt;&gt;")=0,"",SUMIFS(BD!$AB$3:$AB$5001,BD!$A$3:$A$5001,P$3,BD!$B$3:$B$5001,$A$403)))</f>
        <v/>
      </c>
      <c r="Q429" s="240" t="str">
        <f>IF(Q$3="","",IF(COUNTIFS(BD!$A$3:$A$5001,Q$3,BD!$B$3:$B$5001,$A$403,BD!$AB$3:$AB$5001,"&lt;&gt;")=0,"",SUMIFS(BD!$AB$3:$AB$5001,BD!$A$3:$A$5001,Q$3,BD!$B$3:$B$5001,$A$403)))</f>
        <v/>
      </c>
      <c r="R429" s="240" t="str">
        <f>IF(R$3="","",IF(COUNTIFS(BD!$A$3:$A$5001,R$3,BD!$B$3:$B$5001,$A$403,BD!$AB$3:$AB$5001,"&lt;&gt;")=0,"",SUMIFS(BD!$AB$3:$AB$5001,BD!$A$3:$A$5001,R$3,BD!$B$3:$B$5001,$A$403)))</f>
        <v/>
      </c>
      <c r="S429" s="240" t="str">
        <f>IF(S$3="","",IF(COUNTIFS(BD!$A$3:$A$5001,S$3,BD!$B$3:$B$5001,$A$403,BD!$AB$3:$AB$5001,"&lt;&gt;")=0,"",SUMIFS(BD!$AB$3:$AB$5001,BD!$A$3:$A$5001,S$3,BD!$B$3:$B$5001,$A$403)))</f>
        <v/>
      </c>
      <c r="T429" s="240" t="str">
        <f>IF(T$3="","",IF(COUNTIFS(BD!$A$3:$A$5001,T$3,BD!$B$3:$B$5001,$A$403,BD!$AB$3:$AB$5001,"&lt;&gt;")=0,"",SUMIFS(BD!$AB$3:$AB$5001,BD!$A$3:$A$5001,T$3,BD!$B$3:$B$5001,$A$403)))</f>
        <v/>
      </c>
      <c r="U429" s="240" t="str">
        <f>IF(U$3="","",IF(COUNTIFS(BD!$A$3:$A$5001,U$3,BD!$B$3:$B$5001,$A$403,BD!$AB$3:$AB$5001,"&lt;&gt;")=0,"",SUMIFS(BD!$AB$3:$AB$5001,BD!$A$3:$A$5001,U$3,BD!$B$3:$B$5001,$A$403)))</f>
        <v/>
      </c>
      <c r="V429" s="240" t="str">
        <f>IF(V$3="","",IF(COUNTIFS(BD!$A$3:$A$5001,V$3,BD!$B$3:$B$5001,$A$403,BD!$AB$3:$AB$5001,"&lt;&gt;")=0,"",SUMIFS(BD!$AB$3:$AB$5001,BD!$A$3:$A$5001,V$3,BD!$B$3:$B$5001,$A$403)))</f>
        <v/>
      </c>
      <c r="W429" s="240" t="str">
        <f>IF(W$3="","",IF(COUNTIFS(BD!$A$3:$A$5001,W$3,BD!$B$3:$B$5001,$A$403,BD!$AB$3:$AB$5001,"&lt;&gt;")=0,"",SUMIFS(BD!$AB$3:$AB$5001,BD!$A$3:$A$5001,W$3,BD!$B$3:$B$5001,$A$403)))</f>
        <v/>
      </c>
      <c r="X429" s="240" t="str">
        <f>IF(X$3="","",IF(COUNTIFS(BD!$A$3:$A$5001,X$3,BD!$B$3:$B$5001,$A$403,BD!$AB$3:$AB$5001,"&lt;&gt;")=0,"",SUMIFS(BD!$AB$3:$AB$5001,BD!$A$3:$A$5001,X$3,BD!$B$3:$B$5001,$A$403)))</f>
        <v/>
      </c>
      <c r="Y429" s="240" t="str">
        <f>IF(Y$3="","",IF(COUNTIFS(BD!$A$3:$A$5001,Y$3,BD!$B$3:$B$5001,$A$403,BD!$AB$3:$AB$5001,"&lt;&gt;")=0,"",SUMIFS(BD!$AB$3:$AB$5001,BD!$A$3:$A$5001,Y$3,BD!$B$3:$B$5001,$A$403)))</f>
        <v/>
      </c>
      <c r="Z429" s="240" t="str">
        <f>IF(Z$3="","",IF(COUNTIFS(BD!$A$3:$A$5001,Z$3,BD!$B$3:$B$5001,$A$403,BD!$AB$3:$AB$5001,"&lt;&gt;")=0,"",SUMIFS(BD!$AB$3:$AB$5001,BD!$A$3:$A$5001,Z$3,BD!$B$3:$B$5001,$A$403)))</f>
        <v/>
      </c>
      <c r="AA429" s="240" t="str">
        <f>IF(AA$3="","",IF(COUNTIFS(BD!$A$3:$A$5001,AA$3,BD!$B$3:$B$5001,$A$403,BD!$AB$3:$AB$5001,"&lt;&gt;")=0,"",SUMIFS(BD!$AB$3:$AB$5001,BD!$A$3:$A$5001,AA$3,BD!$B$3:$B$5001,$A$403)))</f>
        <v/>
      </c>
      <c r="AB429" s="240" t="str">
        <f>IF(AB$3="","",IF(COUNTIFS(BD!$A$3:$A$5001,AB$3,BD!$B$3:$B$5001,$A$403,BD!$AB$3:$AB$5001,"&lt;&gt;")=0,"",SUMIFS(BD!$AB$3:$AB$5001,BD!$A$3:$A$5001,AB$3,BD!$B$3:$B$5001,$A$403)))</f>
        <v/>
      </c>
      <c r="AC429" s="240" t="str">
        <f>IF(AC$3="","",IF(COUNTIFS(BD!$A$3:$A$5001,AC$3,BD!$B$3:$B$5001,$A$403,BD!$AB$3:$AB$5001,"&lt;&gt;")=0,"",SUMIFS(BD!$AB$3:$AB$5001,BD!$A$3:$A$5001,AC$3,BD!$B$3:$B$5001,$A$403)))</f>
        <v/>
      </c>
      <c r="AD429" s="240" t="str">
        <f>IF(AD$3="","",IF(COUNTIFS(BD!$A$3:$A$5001,AD$3,BD!$B$3:$B$5001,$A$403,BD!$AB$3:$AB$5001,"&lt;&gt;")=0,"",SUMIFS(BD!$AB$3:$AB$5001,BD!$A$3:$A$5001,AD$3,BD!$B$3:$B$5001,$A$403)))</f>
        <v/>
      </c>
      <c r="AE429" s="240" t="str">
        <f>IF(AE$3="","",IF(COUNTIFS(BD!$A$3:$A$5001,AE$3,BD!$B$3:$B$5001,$A$403,BD!$AB$3:$AB$5001,"&lt;&gt;")=0,"",SUMIFS(BD!$AB$3:$AB$5001,BD!$A$3:$A$5001,AE$3,BD!$B$3:$B$5001,$A$403)))</f>
        <v/>
      </c>
      <c r="AF429" s="240" t="str">
        <f>IF(AF$3="","",IF(COUNTIFS(BD!$A$3:$A$5001,AF$3,BD!$B$3:$B$5001,$A$403,BD!$AB$3:$AB$5001,"&lt;&gt;")=0,"",SUMIFS(BD!$AB$3:$AB$5001,BD!$A$3:$A$5001,AF$3,BD!$B$3:$B$5001,$A$403)))</f>
        <v/>
      </c>
      <c r="AG429" s="240" t="str">
        <f>IF(AG$3="","",IF(COUNTIFS(BD!$A$3:$A$5001,AG$3,BD!$B$3:$B$5001,$A$403,BD!$AB$3:$AB$5001,"&lt;&gt;")=0,"",SUMIFS(BD!$AB$3:$AB$5001,BD!$A$3:$A$5001,AG$3,BD!$B$3:$B$5001,$A$403)))</f>
        <v/>
      </c>
      <c r="AH429" s="240" t="str">
        <f>IF(AH$3="","",IF(COUNTIFS(BD!$A$3:$A$5001,AH$3,BD!$B$3:$B$5001,$A$403,BD!$AB$3:$AB$5001,"&lt;&gt;")=0,"",SUMIFS(BD!$AB$3:$AB$5001,BD!$A$3:$A$5001,AH$3,BD!$B$3:$B$5001,$A$403)))</f>
        <v/>
      </c>
      <c r="AI429" s="240" t="str">
        <f>IF(AI$3="","",IF(COUNTIFS(BD!$A$3:$A$5001,AI$3,BD!$B$3:$B$5001,$A$403,BD!$AB$3:$AB$5001,"&lt;&gt;")=0,"",SUMIFS(BD!$AB$3:$AB$5001,BD!$A$3:$A$5001,AI$3,BD!$B$3:$B$5001,$A$403)))</f>
        <v/>
      </c>
      <c r="AJ429" s="241" t="str">
        <f>IF(AJ$3="","",IF(COUNTIFS(BD!$A$3:$A$5001,AJ$3,BD!$B$3:$B$5001,$A$403,BD!$AB$3:$AB$5001,"&lt;&gt;")=0,"",SUMIFS(BD!$AB$3:$AB$5001,BD!$A$3:$A$5001,AJ$3,BD!$B$3:$B$5001,$A$403)))</f>
        <v/>
      </c>
      <c r="AK429" s="242" t="str">
        <f>IF(COUNT(F429:AJ429)=0,"",SUM(F429:AJ429))</f>
        <v/>
      </c>
    </row>
    <row r="430" ht="15.75" customHeight="1" hidden="1">
      <c r="A430" s="261"/>
      <c r="B430" s="258"/>
      <c r="C430" s="232" t="inlineStr">
        <is>
          <t xml:space="preserve">Folga</t>
        </is>
      </c>
      <c r="D430" s="233" t="str">
        <f>IFERROR(1/(1/INDEX(BD!$AL$50:$BF$50,MATCH($A$403,BD!$AL$22:$BF$22,0))),"")</f>
        <v/>
      </c>
      <c r="E430" s="234"/>
      <c r="F430" s="235" t="str">
        <f>IF(F$3="","",IF(COUNTIFS(BD!$A$3:$A$5001,F$3,BD!$B$3:$B$5001,$A$403,BD!$AC$3:$AC$5001,"&lt;&gt;")=0,"",SUMIFS(BD!$AC$3:$AC$5001,BD!$A$3:$A$5001,F$3,BD!$B$3:$B$5001,$A$403)))</f>
        <v/>
      </c>
      <c r="G430" s="236" t="str">
        <f>IF(G$3="","",IF(COUNTIFS(BD!$A$3:$A$5001,G$3,BD!$B$3:$B$5001,$A$403,BD!$AC$3:$AC$5001,"&lt;&gt;")=0,"",SUMIFS(BD!$AC$3:$AC$5001,BD!$A$3:$A$5001,G$3,BD!$B$3:$B$5001,$A$403)))</f>
        <v/>
      </c>
      <c r="H430" s="236" t="str">
        <f>IF(H$3="","",IF(COUNTIFS(BD!$A$3:$A$5001,H$3,BD!$B$3:$B$5001,$A$403,BD!$AC$3:$AC$5001,"&lt;&gt;")=0,"",SUMIFS(BD!$AC$3:$AC$5001,BD!$A$3:$A$5001,H$3,BD!$B$3:$B$5001,$A$403)))</f>
        <v/>
      </c>
      <c r="I430" s="236" t="str">
        <f>IF(I$3="","",IF(COUNTIFS(BD!$A$3:$A$5001,I$3,BD!$B$3:$B$5001,$A$403,BD!$AC$3:$AC$5001,"&lt;&gt;")=0,"",SUMIFS(BD!$AC$3:$AC$5001,BD!$A$3:$A$5001,I$3,BD!$B$3:$B$5001,$A$403)))</f>
        <v/>
      </c>
      <c r="J430" s="236" t="str">
        <f>IF(J$3="","",IF(COUNTIFS(BD!$A$3:$A$5001,J$3,BD!$B$3:$B$5001,$A$403,BD!$AC$3:$AC$5001,"&lt;&gt;")=0,"",SUMIFS(BD!$AC$3:$AC$5001,BD!$A$3:$A$5001,J$3,BD!$B$3:$B$5001,$A$403)))</f>
        <v/>
      </c>
      <c r="K430" s="236" t="str">
        <f>IF(K$3="","",IF(COUNTIFS(BD!$A$3:$A$5001,K$3,BD!$B$3:$B$5001,$A$403,BD!$AC$3:$AC$5001,"&lt;&gt;")=0,"",SUMIFS(BD!$AC$3:$AC$5001,BD!$A$3:$A$5001,K$3,BD!$B$3:$B$5001,$A$403)))</f>
        <v/>
      </c>
      <c r="L430" s="236" t="str">
        <f>IF(L$3="","",IF(COUNTIFS(BD!$A$3:$A$5001,L$3,BD!$B$3:$B$5001,$A$403,BD!$AC$3:$AC$5001,"&lt;&gt;")=0,"",SUMIFS(BD!$AC$3:$AC$5001,BD!$A$3:$A$5001,L$3,BD!$B$3:$B$5001,$A$403)))</f>
        <v/>
      </c>
      <c r="M430" s="236" t="str">
        <f>IF(M$3="","",IF(COUNTIFS(BD!$A$3:$A$5001,M$3,BD!$B$3:$B$5001,$A$403,BD!$AC$3:$AC$5001,"&lt;&gt;")=0,"",SUMIFS(BD!$AC$3:$AC$5001,BD!$A$3:$A$5001,M$3,BD!$B$3:$B$5001,$A$403)))</f>
        <v/>
      </c>
      <c r="N430" s="236" t="str">
        <f>IF(N$3="","",IF(COUNTIFS(BD!$A$3:$A$5001,N$3,BD!$B$3:$B$5001,$A$403,BD!$AC$3:$AC$5001,"&lt;&gt;")=0,"",SUMIFS(BD!$AC$3:$AC$5001,BD!$A$3:$A$5001,N$3,BD!$B$3:$B$5001,$A$403)))</f>
        <v/>
      </c>
      <c r="O430" s="236" t="str">
        <f>IF(O$3="","",IF(COUNTIFS(BD!$A$3:$A$5001,O$3,BD!$B$3:$B$5001,$A$403,BD!$AC$3:$AC$5001,"&lt;&gt;")=0,"",SUMIFS(BD!$AC$3:$AC$5001,BD!$A$3:$A$5001,O$3,BD!$B$3:$B$5001,$A$403)))</f>
        <v/>
      </c>
      <c r="P430" s="236" t="str">
        <f>IF(P$3="","",IF(COUNTIFS(BD!$A$3:$A$5001,P$3,BD!$B$3:$B$5001,$A$403,BD!$AC$3:$AC$5001,"&lt;&gt;")=0,"",SUMIFS(BD!$AC$3:$AC$5001,BD!$A$3:$A$5001,P$3,BD!$B$3:$B$5001,$A$403)))</f>
        <v/>
      </c>
      <c r="Q430" s="236" t="str">
        <f>IF(Q$3="","",IF(COUNTIFS(BD!$A$3:$A$5001,Q$3,BD!$B$3:$B$5001,$A$403,BD!$AC$3:$AC$5001,"&lt;&gt;")=0,"",SUMIFS(BD!$AC$3:$AC$5001,BD!$A$3:$A$5001,Q$3,BD!$B$3:$B$5001,$A$403)))</f>
        <v/>
      </c>
      <c r="R430" s="236" t="str">
        <f>IF(R$3="","",IF(COUNTIFS(BD!$A$3:$A$5001,R$3,BD!$B$3:$B$5001,$A$403,BD!$AC$3:$AC$5001,"&lt;&gt;")=0,"",SUMIFS(BD!$AC$3:$AC$5001,BD!$A$3:$A$5001,R$3,BD!$B$3:$B$5001,$A$403)))</f>
        <v/>
      </c>
      <c r="S430" s="236" t="str">
        <f>IF(S$3="","",IF(COUNTIFS(BD!$A$3:$A$5001,S$3,BD!$B$3:$B$5001,$A$403,BD!$AC$3:$AC$5001,"&lt;&gt;")=0,"",SUMIFS(BD!$AC$3:$AC$5001,BD!$A$3:$A$5001,S$3,BD!$B$3:$B$5001,$A$403)))</f>
        <v/>
      </c>
      <c r="T430" s="236" t="str">
        <f>IF(T$3="","",IF(COUNTIFS(BD!$A$3:$A$5001,T$3,BD!$B$3:$B$5001,$A$403,BD!$AC$3:$AC$5001,"&lt;&gt;")=0,"",SUMIFS(BD!$AC$3:$AC$5001,BD!$A$3:$A$5001,T$3,BD!$B$3:$B$5001,$A$403)))</f>
        <v/>
      </c>
      <c r="U430" s="236" t="str">
        <f>IF(U$3="","",IF(COUNTIFS(BD!$A$3:$A$5001,U$3,BD!$B$3:$B$5001,$A$403,BD!$AC$3:$AC$5001,"&lt;&gt;")=0,"",SUMIFS(BD!$AC$3:$AC$5001,BD!$A$3:$A$5001,U$3,BD!$B$3:$B$5001,$A$403)))</f>
        <v/>
      </c>
      <c r="V430" s="236" t="str">
        <f>IF(V$3="","",IF(COUNTIFS(BD!$A$3:$A$5001,V$3,BD!$B$3:$B$5001,$A$403,BD!$AC$3:$AC$5001,"&lt;&gt;")=0,"",SUMIFS(BD!$AC$3:$AC$5001,BD!$A$3:$A$5001,V$3,BD!$B$3:$B$5001,$A$403)))</f>
        <v/>
      </c>
      <c r="W430" s="236" t="str">
        <f>IF(W$3="","",IF(COUNTIFS(BD!$A$3:$A$5001,W$3,BD!$B$3:$B$5001,$A$403,BD!$AC$3:$AC$5001,"&lt;&gt;")=0,"",SUMIFS(BD!$AC$3:$AC$5001,BD!$A$3:$A$5001,W$3,BD!$B$3:$B$5001,$A$403)))</f>
        <v/>
      </c>
      <c r="X430" s="236" t="str">
        <f>IF(X$3="","",IF(COUNTIFS(BD!$A$3:$A$5001,X$3,BD!$B$3:$B$5001,$A$403,BD!$AC$3:$AC$5001,"&lt;&gt;")=0,"",SUMIFS(BD!$AC$3:$AC$5001,BD!$A$3:$A$5001,X$3,BD!$B$3:$B$5001,$A$403)))</f>
        <v/>
      </c>
      <c r="Y430" s="236" t="str">
        <f>IF(Y$3="","",IF(COUNTIFS(BD!$A$3:$A$5001,Y$3,BD!$B$3:$B$5001,$A$403,BD!$AC$3:$AC$5001,"&lt;&gt;")=0,"",SUMIFS(BD!$AC$3:$AC$5001,BD!$A$3:$A$5001,Y$3,BD!$B$3:$B$5001,$A$403)))</f>
        <v/>
      </c>
      <c r="Z430" s="236" t="str">
        <f>IF(Z$3="","",IF(COUNTIFS(BD!$A$3:$A$5001,Z$3,BD!$B$3:$B$5001,$A$403,BD!$AC$3:$AC$5001,"&lt;&gt;")=0,"",SUMIFS(BD!$AC$3:$AC$5001,BD!$A$3:$A$5001,Z$3,BD!$B$3:$B$5001,$A$403)))</f>
        <v/>
      </c>
      <c r="AA430" s="236" t="str">
        <f>IF(AA$3="","",IF(COUNTIFS(BD!$A$3:$A$5001,AA$3,BD!$B$3:$B$5001,$A$403,BD!$AC$3:$AC$5001,"&lt;&gt;")=0,"",SUMIFS(BD!$AC$3:$AC$5001,BD!$A$3:$A$5001,AA$3,BD!$B$3:$B$5001,$A$403)))</f>
        <v/>
      </c>
      <c r="AB430" s="236" t="str">
        <f>IF(AB$3="","",IF(COUNTIFS(BD!$A$3:$A$5001,AB$3,BD!$B$3:$B$5001,$A$403,BD!$AC$3:$AC$5001,"&lt;&gt;")=0,"",SUMIFS(BD!$AC$3:$AC$5001,BD!$A$3:$A$5001,AB$3,BD!$B$3:$B$5001,$A$403)))</f>
        <v/>
      </c>
      <c r="AC430" s="236" t="str">
        <f>IF(AC$3="","",IF(COUNTIFS(BD!$A$3:$A$5001,AC$3,BD!$B$3:$B$5001,$A$403,BD!$AC$3:$AC$5001,"&lt;&gt;")=0,"",SUMIFS(BD!$AC$3:$AC$5001,BD!$A$3:$A$5001,AC$3,BD!$B$3:$B$5001,$A$403)))</f>
        <v/>
      </c>
      <c r="AD430" s="236" t="str">
        <f>IF(AD$3="","",IF(COUNTIFS(BD!$A$3:$A$5001,AD$3,BD!$B$3:$B$5001,$A$403,BD!$AC$3:$AC$5001,"&lt;&gt;")=0,"",SUMIFS(BD!$AC$3:$AC$5001,BD!$A$3:$A$5001,AD$3,BD!$B$3:$B$5001,$A$403)))</f>
        <v/>
      </c>
      <c r="AE430" s="236" t="str">
        <f>IF(AE$3="","",IF(COUNTIFS(BD!$A$3:$A$5001,AE$3,BD!$B$3:$B$5001,$A$403,BD!$AC$3:$AC$5001,"&lt;&gt;")=0,"",SUMIFS(BD!$AC$3:$AC$5001,BD!$A$3:$A$5001,AE$3,BD!$B$3:$B$5001,$A$403)))</f>
        <v/>
      </c>
      <c r="AF430" s="236" t="str">
        <f>IF(AF$3="","",IF(COUNTIFS(BD!$A$3:$A$5001,AF$3,BD!$B$3:$B$5001,$A$403,BD!$AC$3:$AC$5001,"&lt;&gt;")=0,"",SUMIFS(BD!$AC$3:$AC$5001,BD!$A$3:$A$5001,AF$3,BD!$B$3:$B$5001,$A$403)))</f>
        <v/>
      </c>
      <c r="AG430" s="236" t="str">
        <f>IF(AG$3="","",IF(COUNTIFS(BD!$A$3:$A$5001,AG$3,BD!$B$3:$B$5001,$A$403,BD!$AC$3:$AC$5001,"&lt;&gt;")=0,"",SUMIFS(BD!$AC$3:$AC$5001,BD!$A$3:$A$5001,AG$3,BD!$B$3:$B$5001,$A$403)))</f>
        <v/>
      </c>
      <c r="AH430" s="236" t="str">
        <f>IF(AH$3="","",IF(COUNTIFS(BD!$A$3:$A$5001,AH$3,BD!$B$3:$B$5001,$A$403,BD!$AC$3:$AC$5001,"&lt;&gt;")=0,"",SUMIFS(BD!$AC$3:$AC$5001,BD!$A$3:$A$5001,AH$3,BD!$B$3:$B$5001,$A$403)))</f>
        <v/>
      </c>
      <c r="AI430" s="236" t="str">
        <f>IF(AI$3="","",IF(COUNTIFS(BD!$A$3:$A$5001,AI$3,BD!$B$3:$B$5001,$A$403,BD!$AC$3:$AC$5001,"&lt;&gt;")=0,"",SUMIFS(BD!$AC$3:$AC$5001,BD!$A$3:$A$5001,AI$3,BD!$B$3:$B$5001,$A$403)))</f>
        <v/>
      </c>
      <c r="AJ430" s="237" t="str">
        <f>IF(AJ$3="","",IF(COUNTIFS(BD!$A$3:$A$5001,AJ$3,BD!$B$3:$B$5001,$A$403,BD!$AC$3:$AC$5001,"&lt;&gt;")=0,"",SUMIFS(BD!$AC$3:$AC$5001,BD!$A$3:$A$5001,AJ$3,BD!$B$3:$B$5001,$A$403)))</f>
        <v/>
      </c>
      <c r="AK430" s="238" t="str">
        <f>IF(COUNT(F430:AJ430)=0,"",SUM(F430:AJ430))</f>
        <v/>
      </c>
    </row>
    <row r="431" ht="15.75" customHeight="1" hidden="1">
      <c r="A431" s="261"/>
      <c r="B431" s="258"/>
      <c r="C431" s="232" t="inlineStr">
        <is>
          <t xml:space="preserve">Férias</t>
        </is>
      </c>
      <c r="D431" s="233" t="str">
        <f>IFERROR(1/(1/INDEX(BD!$AL$51:$BF$51,MATCH($A$403,BD!$AL$22:$BF$22,0))),"")</f>
        <v/>
      </c>
      <c r="E431" s="234"/>
      <c r="F431" s="235" t="str">
        <f>IF(F$3="","",IF(COUNTIFS(BD!$A$3:$A$5001,F$3,BD!$B$3:$B$5001,$A$403,BD!$AD$3:$AD$5001,"&lt;&gt;")=0,"",SUMIFS(BD!$AD$3:$AD$5001,BD!$A$3:$A$5001,F$3,BD!$B$3:$B$5001,$A$403)))</f>
        <v/>
      </c>
      <c r="G431" s="236" t="str">
        <f>IF(G$3="","",IF(COUNTIFS(BD!$A$3:$A$5001,G$3,BD!$B$3:$B$5001,$A$403,BD!$AD$3:$AD$5001,"&lt;&gt;")=0,"",SUMIFS(BD!$AD$3:$AD$5001,BD!$A$3:$A$5001,G$3,BD!$B$3:$B$5001,$A$403)))</f>
        <v/>
      </c>
      <c r="H431" s="236" t="str">
        <f>IF(H$3="","",IF(COUNTIFS(BD!$A$3:$A$5001,H$3,BD!$B$3:$B$5001,$A$403,BD!$AD$3:$AD$5001,"&lt;&gt;")=0,"",SUMIFS(BD!$AD$3:$AD$5001,BD!$A$3:$A$5001,H$3,BD!$B$3:$B$5001,$A$403)))</f>
        <v/>
      </c>
      <c r="I431" s="236" t="str">
        <f>IF(I$3="","",IF(COUNTIFS(BD!$A$3:$A$5001,I$3,BD!$B$3:$B$5001,$A$403,BD!$AD$3:$AD$5001,"&lt;&gt;")=0,"",SUMIFS(BD!$AD$3:$AD$5001,BD!$A$3:$A$5001,I$3,BD!$B$3:$B$5001,$A$403)))</f>
        <v/>
      </c>
      <c r="J431" s="236" t="str">
        <f>IF(J$3="","",IF(COUNTIFS(BD!$A$3:$A$5001,J$3,BD!$B$3:$B$5001,$A$403,BD!$AD$3:$AD$5001,"&lt;&gt;")=0,"",SUMIFS(BD!$AD$3:$AD$5001,BD!$A$3:$A$5001,J$3,BD!$B$3:$B$5001,$A$403)))</f>
        <v/>
      </c>
      <c r="K431" s="236" t="str">
        <f>IF(K$3="","",IF(COUNTIFS(BD!$A$3:$A$5001,K$3,BD!$B$3:$B$5001,$A$403,BD!$AD$3:$AD$5001,"&lt;&gt;")=0,"",SUMIFS(BD!$AD$3:$AD$5001,BD!$A$3:$A$5001,K$3,BD!$B$3:$B$5001,$A$403)))</f>
        <v/>
      </c>
      <c r="L431" s="236" t="str">
        <f>IF(L$3="","",IF(COUNTIFS(BD!$A$3:$A$5001,L$3,BD!$B$3:$B$5001,$A$403,BD!$AD$3:$AD$5001,"&lt;&gt;")=0,"",SUMIFS(BD!$AD$3:$AD$5001,BD!$A$3:$A$5001,L$3,BD!$B$3:$B$5001,$A$403)))</f>
        <v/>
      </c>
      <c r="M431" s="236" t="str">
        <f>IF(M$3="","",IF(COUNTIFS(BD!$A$3:$A$5001,M$3,BD!$B$3:$B$5001,$A$403,BD!$AD$3:$AD$5001,"&lt;&gt;")=0,"",SUMIFS(BD!$AD$3:$AD$5001,BD!$A$3:$A$5001,M$3,BD!$B$3:$B$5001,$A$403)))</f>
        <v/>
      </c>
      <c r="N431" s="236" t="str">
        <f>IF(N$3="","",IF(COUNTIFS(BD!$A$3:$A$5001,N$3,BD!$B$3:$B$5001,$A$403,BD!$AD$3:$AD$5001,"&lt;&gt;")=0,"",SUMIFS(BD!$AD$3:$AD$5001,BD!$A$3:$A$5001,N$3,BD!$B$3:$B$5001,$A$403)))</f>
        <v/>
      </c>
      <c r="O431" s="236" t="str">
        <f>IF(O$3="","",IF(COUNTIFS(BD!$A$3:$A$5001,O$3,BD!$B$3:$B$5001,$A$403,BD!$AD$3:$AD$5001,"&lt;&gt;")=0,"",SUMIFS(BD!$AD$3:$AD$5001,BD!$A$3:$A$5001,O$3,BD!$B$3:$B$5001,$A$403)))</f>
        <v/>
      </c>
      <c r="P431" s="236" t="str">
        <f>IF(P$3="","",IF(COUNTIFS(BD!$A$3:$A$5001,P$3,BD!$B$3:$B$5001,$A$403,BD!$AD$3:$AD$5001,"&lt;&gt;")=0,"",SUMIFS(BD!$AD$3:$AD$5001,BD!$A$3:$A$5001,P$3,BD!$B$3:$B$5001,$A$403)))</f>
        <v/>
      </c>
      <c r="Q431" s="236" t="str">
        <f>IF(Q$3="","",IF(COUNTIFS(BD!$A$3:$A$5001,Q$3,BD!$B$3:$B$5001,$A$403,BD!$AD$3:$AD$5001,"&lt;&gt;")=0,"",SUMIFS(BD!$AD$3:$AD$5001,BD!$A$3:$A$5001,Q$3,BD!$B$3:$B$5001,$A$403)))</f>
        <v/>
      </c>
      <c r="R431" s="236" t="str">
        <f>IF(R$3="","",IF(COUNTIFS(BD!$A$3:$A$5001,R$3,BD!$B$3:$B$5001,$A$403,BD!$AD$3:$AD$5001,"&lt;&gt;")=0,"",SUMIFS(BD!$AD$3:$AD$5001,BD!$A$3:$A$5001,R$3,BD!$B$3:$B$5001,$A$403)))</f>
        <v/>
      </c>
      <c r="S431" s="236" t="str">
        <f>IF(S$3="","",IF(COUNTIFS(BD!$A$3:$A$5001,S$3,BD!$B$3:$B$5001,$A$403,BD!$AD$3:$AD$5001,"&lt;&gt;")=0,"",SUMIFS(BD!$AD$3:$AD$5001,BD!$A$3:$A$5001,S$3,BD!$B$3:$B$5001,$A$403)))</f>
        <v/>
      </c>
      <c r="T431" s="236" t="str">
        <f>IF(T$3="","",IF(COUNTIFS(BD!$A$3:$A$5001,T$3,BD!$B$3:$B$5001,$A$403,BD!$AD$3:$AD$5001,"&lt;&gt;")=0,"",SUMIFS(BD!$AD$3:$AD$5001,BD!$A$3:$A$5001,T$3,BD!$B$3:$B$5001,$A$403)))</f>
        <v/>
      </c>
      <c r="U431" s="236" t="str">
        <f>IF(U$3="","",IF(COUNTIFS(BD!$A$3:$A$5001,U$3,BD!$B$3:$B$5001,$A$403,BD!$AD$3:$AD$5001,"&lt;&gt;")=0,"",SUMIFS(BD!$AD$3:$AD$5001,BD!$A$3:$A$5001,U$3,BD!$B$3:$B$5001,$A$403)))</f>
        <v/>
      </c>
      <c r="V431" s="236" t="str">
        <f>IF(V$3="","",IF(COUNTIFS(BD!$A$3:$A$5001,V$3,BD!$B$3:$B$5001,$A$403,BD!$AD$3:$AD$5001,"&lt;&gt;")=0,"",SUMIFS(BD!$AD$3:$AD$5001,BD!$A$3:$A$5001,V$3,BD!$B$3:$B$5001,$A$403)))</f>
        <v/>
      </c>
      <c r="W431" s="236" t="str">
        <f>IF(W$3="","",IF(COUNTIFS(BD!$A$3:$A$5001,W$3,BD!$B$3:$B$5001,$A$403,BD!$AD$3:$AD$5001,"&lt;&gt;")=0,"",SUMIFS(BD!$AD$3:$AD$5001,BD!$A$3:$A$5001,W$3,BD!$B$3:$B$5001,$A$403)))</f>
        <v/>
      </c>
      <c r="X431" s="236" t="str">
        <f>IF(X$3="","",IF(COUNTIFS(BD!$A$3:$A$5001,X$3,BD!$B$3:$B$5001,$A$403,BD!$AD$3:$AD$5001,"&lt;&gt;")=0,"",SUMIFS(BD!$AD$3:$AD$5001,BD!$A$3:$A$5001,X$3,BD!$B$3:$B$5001,$A$403)))</f>
        <v/>
      </c>
      <c r="Y431" s="236" t="str">
        <f>IF(Y$3="","",IF(COUNTIFS(BD!$A$3:$A$5001,Y$3,BD!$B$3:$B$5001,$A$403,BD!$AD$3:$AD$5001,"&lt;&gt;")=0,"",SUMIFS(BD!$AD$3:$AD$5001,BD!$A$3:$A$5001,Y$3,BD!$B$3:$B$5001,$A$403)))</f>
        <v/>
      </c>
      <c r="Z431" s="236" t="str">
        <f>IF(Z$3="","",IF(COUNTIFS(BD!$A$3:$A$5001,Z$3,BD!$B$3:$B$5001,$A$403,BD!$AD$3:$AD$5001,"&lt;&gt;")=0,"",SUMIFS(BD!$AD$3:$AD$5001,BD!$A$3:$A$5001,Z$3,BD!$B$3:$B$5001,$A$403)))</f>
        <v/>
      </c>
      <c r="AA431" s="236" t="str">
        <f>IF(AA$3="","",IF(COUNTIFS(BD!$A$3:$A$5001,AA$3,BD!$B$3:$B$5001,$A$403,BD!$AD$3:$AD$5001,"&lt;&gt;")=0,"",SUMIFS(BD!$AD$3:$AD$5001,BD!$A$3:$A$5001,AA$3,BD!$B$3:$B$5001,$A$403)))</f>
        <v/>
      </c>
      <c r="AB431" s="236" t="str">
        <f>IF(AB$3="","",IF(COUNTIFS(BD!$A$3:$A$5001,AB$3,BD!$B$3:$B$5001,$A$403,BD!$AD$3:$AD$5001,"&lt;&gt;")=0,"",SUMIFS(BD!$AD$3:$AD$5001,BD!$A$3:$A$5001,AB$3,BD!$B$3:$B$5001,$A$403)))</f>
        <v/>
      </c>
      <c r="AC431" s="236" t="str">
        <f>IF(AC$3="","",IF(COUNTIFS(BD!$A$3:$A$5001,AC$3,BD!$B$3:$B$5001,$A$403,BD!$AD$3:$AD$5001,"&lt;&gt;")=0,"",SUMIFS(BD!$AD$3:$AD$5001,BD!$A$3:$A$5001,AC$3,BD!$B$3:$B$5001,$A$403)))</f>
        <v/>
      </c>
      <c r="AD431" s="236" t="str">
        <f>IF(AD$3="","",IF(COUNTIFS(BD!$A$3:$A$5001,AD$3,BD!$B$3:$B$5001,$A$403,BD!$AD$3:$AD$5001,"&lt;&gt;")=0,"",SUMIFS(BD!$AD$3:$AD$5001,BD!$A$3:$A$5001,AD$3,BD!$B$3:$B$5001,$A$403)))</f>
        <v/>
      </c>
      <c r="AE431" s="236" t="str">
        <f>IF(AE$3="","",IF(COUNTIFS(BD!$A$3:$A$5001,AE$3,BD!$B$3:$B$5001,$A$403,BD!$AD$3:$AD$5001,"&lt;&gt;")=0,"",SUMIFS(BD!$AD$3:$AD$5001,BD!$A$3:$A$5001,AE$3,BD!$B$3:$B$5001,$A$403)))</f>
        <v/>
      </c>
      <c r="AF431" s="236" t="str">
        <f>IF(AF$3="","",IF(COUNTIFS(BD!$A$3:$A$5001,AF$3,BD!$B$3:$B$5001,$A$403,BD!$AD$3:$AD$5001,"&lt;&gt;")=0,"",SUMIFS(BD!$AD$3:$AD$5001,BD!$A$3:$A$5001,AF$3,BD!$B$3:$B$5001,$A$403)))</f>
        <v/>
      </c>
      <c r="AG431" s="236" t="str">
        <f>IF(AG$3="","",IF(COUNTIFS(BD!$A$3:$A$5001,AG$3,BD!$B$3:$B$5001,$A$403,BD!$AD$3:$AD$5001,"&lt;&gt;")=0,"",SUMIFS(BD!$AD$3:$AD$5001,BD!$A$3:$A$5001,AG$3,BD!$B$3:$B$5001,$A$403)))</f>
        <v/>
      </c>
      <c r="AH431" s="236" t="str">
        <f>IF(AH$3="","",IF(COUNTIFS(BD!$A$3:$A$5001,AH$3,BD!$B$3:$B$5001,$A$403,BD!$AD$3:$AD$5001,"&lt;&gt;")=0,"",SUMIFS(BD!$AD$3:$AD$5001,BD!$A$3:$A$5001,AH$3,BD!$B$3:$B$5001,$A$403)))</f>
        <v/>
      </c>
      <c r="AI431" s="236" t="str">
        <f>IF(AI$3="","",IF(COUNTIFS(BD!$A$3:$A$5001,AI$3,BD!$B$3:$B$5001,$A$403,BD!$AD$3:$AD$5001,"&lt;&gt;")=0,"",SUMIFS(BD!$AD$3:$AD$5001,BD!$A$3:$A$5001,AI$3,BD!$B$3:$B$5001,$A$403)))</f>
        <v/>
      </c>
      <c r="AJ431" s="237" t="str">
        <f>IF(AJ$3="","",IF(COUNTIFS(BD!$A$3:$A$5001,AJ$3,BD!$B$3:$B$5001,$A$403,BD!$AD$3:$AD$5001,"&lt;&gt;")=0,"",SUMIFS(BD!$AD$3:$AD$5001,BD!$A$3:$A$5001,AJ$3,BD!$B$3:$B$5001,$A$403)))</f>
        <v/>
      </c>
      <c r="AK431" s="238" t="str">
        <f>IF(COUNT(F431:AJ431)=0,"",SUM(F431:AJ431))</f>
        <v/>
      </c>
    </row>
    <row r="432" ht="15.75" customHeight="1" hidden="1">
      <c r="A432" s="261"/>
      <c r="B432" s="258"/>
      <c r="C432" s="232" t="inlineStr">
        <is>
          <t xml:space="preserve">Desligamento</t>
        </is>
      </c>
      <c r="D432" s="233" t="str">
        <f>IFERROR(1/(1/INDEX(BD!$AL$52:$BF$52,MATCH($A$403,BD!$AL$22:$BF$22,0))),"")</f>
        <v/>
      </c>
      <c r="E432" s="234"/>
      <c r="F432" s="235" t="str">
        <f>IF(F$3="","",IF(COUNTIFS(BD!$A$3:$A$5001,F$3,BD!$B$3:$B$5001,$A$403,BD!$AE$3:$AE$5001,"&lt;&gt;")=0,"",SUMIFS(BD!$AE$3:$AE$5001,BD!$A$3:$A$5001,F$3,BD!$B$3:$B$5001,$A$403)))</f>
        <v/>
      </c>
      <c r="G432" s="236" t="str">
        <f>IF(G$3="","",IF(COUNTIFS(BD!$A$3:$A$5001,G$3,BD!$B$3:$B$5001,$A$403,BD!$AE$3:$AE$5001,"&lt;&gt;")=0,"",SUMIFS(BD!$AE$3:$AE$5001,BD!$A$3:$A$5001,G$3,BD!$B$3:$B$5001,$A$403)))</f>
        <v/>
      </c>
      <c r="H432" s="236" t="str">
        <f>IF(H$3="","",IF(COUNTIFS(BD!$A$3:$A$5001,H$3,BD!$B$3:$B$5001,$A$403,BD!$AE$3:$AE$5001,"&lt;&gt;")=0,"",SUMIFS(BD!$AE$3:$AE$5001,BD!$A$3:$A$5001,H$3,BD!$B$3:$B$5001,$A$403)))</f>
        <v/>
      </c>
      <c r="I432" s="236" t="str">
        <f>IF(I$3="","",IF(COUNTIFS(BD!$A$3:$A$5001,I$3,BD!$B$3:$B$5001,$A$403,BD!$AE$3:$AE$5001,"&lt;&gt;")=0,"",SUMIFS(BD!$AE$3:$AE$5001,BD!$A$3:$A$5001,I$3,BD!$B$3:$B$5001,$A$403)))</f>
        <v/>
      </c>
      <c r="J432" s="236" t="str">
        <f>IF(J$3="","",IF(COUNTIFS(BD!$A$3:$A$5001,J$3,BD!$B$3:$B$5001,$A$403,BD!$AE$3:$AE$5001,"&lt;&gt;")=0,"",SUMIFS(BD!$AE$3:$AE$5001,BD!$A$3:$A$5001,J$3,BD!$B$3:$B$5001,$A$403)))</f>
        <v/>
      </c>
      <c r="K432" s="236" t="str">
        <f>IF(K$3="","",IF(COUNTIFS(BD!$A$3:$A$5001,K$3,BD!$B$3:$B$5001,$A$403,BD!$AE$3:$AE$5001,"&lt;&gt;")=0,"",SUMIFS(BD!$AE$3:$AE$5001,BD!$A$3:$A$5001,K$3,BD!$B$3:$B$5001,$A$403)))</f>
        <v/>
      </c>
      <c r="L432" s="236" t="str">
        <f>IF(L$3="","",IF(COUNTIFS(BD!$A$3:$A$5001,L$3,BD!$B$3:$B$5001,$A$403,BD!$AE$3:$AE$5001,"&lt;&gt;")=0,"",SUMIFS(BD!$AE$3:$AE$5001,BD!$A$3:$A$5001,L$3,BD!$B$3:$B$5001,$A$403)))</f>
        <v/>
      </c>
      <c r="M432" s="236" t="str">
        <f>IF(M$3="","",IF(COUNTIFS(BD!$A$3:$A$5001,M$3,BD!$B$3:$B$5001,$A$403,BD!$AE$3:$AE$5001,"&lt;&gt;")=0,"",SUMIFS(BD!$AE$3:$AE$5001,BD!$A$3:$A$5001,M$3,BD!$B$3:$B$5001,$A$403)))</f>
        <v/>
      </c>
      <c r="N432" s="236" t="str">
        <f>IF(N$3="","",IF(COUNTIFS(BD!$A$3:$A$5001,N$3,BD!$B$3:$B$5001,$A$403,BD!$AE$3:$AE$5001,"&lt;&gt;")=0,"",SUMIFS(BD!$AE$3:$AE$5001,BD!$A$3:$A$5001,N$3,BD!$B$3:$B$5001,$A$403)))</f>
        <v/>
      </c>
      <c r="O432" s="236" t="str">
        <f>IF(O$3="","",IF(COUNTIFS(BD!$A$3:$A$5001,O$3,BD!$B$3:$B$5001,$A$403,BD!$AE$3:$AE$5001,"&lt;&gt;")=0,"",SUMIFS(BD!$AE$3:$AE$5001,BD!$A$3:$A$5001,O$3,BD!$B$3:$B$5001,$A$403)))</f>
        <v/>
      </c>
      <c r="P432" s="236" t="str">
        <f>IF(P$3="","",IF(COUNTIFS(BD!$A$3:$A$5001,P$3,BD!$B$3:$B$5001,$A$403,BD!$AE$3:$AE$5001,"&lt;&gt;")=0,"",SUMIFS(BD!$AE$3:$AE$5001,BD!$A$3:$A$5001,P$3,BD!$B$3:$B$5001,$A$403)))</f>
        <v/>
      </c>
      <c r="Q432" s="236" t="str">
        <f>IF(Q$3="","",IF(COUNTIFS(BD!$A$3:$A$5001,Q$3,BD!$B$3:$B$5001,$A$403,BD!$AE$3:$AE$5001,"&lt;&gt;")=0,"",SUMIFS(BD!$AE$3:$AE$5001,BD!$A$3:$A$5001,Q$3,BD!$B$3:$B$5001,$A$403)))</f>
        <v/>
      </c>
      <c r="R432" s="236" t="str">
        <f>IF(R$3="","",IF(COUNTIFS(BD!$A$3:$A$5001,R$3,BD!$B$3:$B$5001,$A$403,BD!$AE$3:$AE$5001,"&lt;&gt;")=0,"",SUMIFS(BD!$AE$3:$AE$5001,BD!$A$3:$A$5001,R$3,BD!$B$3:$B$5001,$A$403)))</f>
        <v/>
      </c>
      <c r="S432" s="236" t="str">
        <f>IF(S$3="","",IF(COUNTIFS(BD!$A$3:$A$5001,S$3,BD!$B$3:$B$5001,$A$403,BD!$AE$3:$AE$5001,"&lt;&gt;")=0,"",SUMIFS(BD!$AE$3:$AE$5001,BD!$A$3:$A$5001,S$3,BD!$B$3:$B$5001,$A$403)))</f>
        <v/>
      </c>
      <c r="T432" s="236" t="str">
        <f>IF(T$3="","",IF(COUNTIFS(BD!$A$3:$A$5001,T$3,BD!$B$3:$B$5001,$A$403,BD!$AE$3:$AE$5001,"&lt;&gt;")=0,"",SUMIFS(BD!$AE$3:$AE$5001,BD!$A$3:$A$5001,T$3,BD!$B$3:$B$5001,$A$403)))</f>
        <v/>
      </c>
      <c r="U432" s="236" t="str">
        <f>IF(U$3="","",IF(COUNTIFS(BD!$A$3:$A$5001,U$3,BD!$B$3:$B$5001,$A$403,BD!$AE$3:$AE$5001,"&lt;&gt;")=0,"",SUMIFS(BD!$AE$3:$AE$5001,BD!$A$3:$A$5001,U$3,BD!$B$3:$B$5001,$A$403)))</f>
        <v/>
      </c>
      <c r="V432" s="236" t="str">
        <f>IF(V$3="","",IF(COUNTIFS(BD!$A$3:$A$5001,V$3,BD!$B$3:$B$5001,$A$403,BD!$AE$3:$AE$5001,"&lt;&gt;")=0,"",SUMIFS(BD!$AE$3:$AE$5001,BD!$A$3:$A$5001,V$3,BD!$B$3:$B$5001,$A$403)))</f>
        <v/>
      </c>
      <c r="W432" s="236" t="str">
        <f>IF(W$3="","",IF(COUNTIFS(BD!$A$3:$A$5001,W$3,BD!$B$3:$B$5001,$A$403,BD!$AE$3:$AE$5001,"&lt;&gt;")=0,"",SUMIFS(BD!$AE$3:$AE$5001,BD!$A$3:$A$5001,W$3,BD!$B$3:$B$5001,$A$403)))</f>
        <v/>
      </c>
      <c r="X432" s="236" t="str">
        <f>IF(X$3="","",IF(COUNTIFS(BD!$A$3:$A$5001,X$3,BD!$B$3:$B$5001,$A$403,BD!$AE$3:$AE$5001,"&lt;&gt;")=0,"",SUMIFS(BD!$AE$3:$AE$5001,BD!$A$3:$A$5001,X$3,BD!$B$3:$B$5001,$A$403)))</f>
        <v/>
      </c>
      <c r="Y432" s="236" t="str">
        <f>IF(Y$3="","",IF(COUNTIFS(BD!$A$3:$A$5001,Y$3,BD!$B$3:$B$5001,$A$403,BD!$AE$3:$AE$5001,"&lt;&gt;")=0,"",SUMIFS(BD!$AE$3:$AE$5001,BD!$A$3:$A$5001,Y$3,BD!$B$3:$B$5001,$A$403)))</f>
        <v/>
      </c>
      <c r="Z432" s="236" t="str">
        <f>IF(Z$3="","",IF(COUNTIFS(BD!$A$3:$A$5001,Z$3,BD!$B$3:$B$5001,$A$403,BD!$AE$3:$AE$5001,"&lt;&gt;")=0,"",SUMIFS(BD!$AE$3:$AE$5001,BD!$A$3:$A$5001,Z$3,BD!$B$3:$B$5001,$A$403)))</f>
        <v/>
      </c>
      <c r="AA432" s="236" t="str">
        <f>IF(AA$3="","",IF(COUNTIFS(BD!$A$3:$A$5001,AA$3,BD!$B$3:$B$5001,$A$403,BD!$AE$3:$AE$5001,"&lt;&gt;")=0,"",SUMIFS(BD!$AE$3:$AE$5001,BD!$A$3:$A$5001,AA$3,BD!$B$3:$B$5001,$A$403)))</f>
        <v/>
      </c>
      <c r="AB432" s="236" t="str">
        <f>IF(AB$3="","",IF(COUNTIFS(BD!$A$3:$A$5001,AB$3,BD!$B$3:$B$5001,$A$403,BD!$AE$3:$AE$5001,"&lt;&gt;")=0,"",SUMIFS(BD!$AE$3:$AE$5001,BD!$A$3:$A$5001,AB$3,BD!$B$3:$B$5001,$A$403)))</f>
        <v/>
      </c>
      <c r="AC432" s="236" t="str">
        <f>IF(AC$3="","",IF(COUNTIFS(BD!$A$3:$A$5001,AC$3,BD!$B$3:$B$5001,$A$403,BD!$AE$3:$AE$5001,"&lt;&gt;")=0,"",SUMIFS(BD!$AE$3:$AE$5001,BD!$A$3:$A$5001,AC$3,BD!$B$3:$B$5001,$A$403)))</f>
        <v/>
      </c>
      <c r="AD432" s="236" t="str">
        <f>IF(AD$3="","",IF(COUNTIFS(BD!$A$3:$A$5001,AD$3,BD!$B$3:$B$5001,$A$403,BD!$AE$3:$AE$5001,"&lt;&gt;")=0,"",SUMIFS(BD!$AE$3:$AE$5001,BD!$A$3:$A$5001,AD$3,BD!$B$3:$B$5001,$A$403)))</f>
        <v/>
      </c>
      <c r="AE432" s="236" t="str">
        <f>IF(AE$3="","",IF(COUNTIFS(BD!$A$3:$A$5001,AE$3,BD!$B$3:$B$5001,$A$403,BD!$AE$3:$AE$5001,"&lt;&gt;")=0,"",SUMIFS(BD!$AE$3:$AE$5001,BD!$A$3:$A$5001,AE$3,BD!$B$3:$B$5001,$A$403)))</f>
        <v/>
      </c>
      <c r="AF432" s="236" t="str">
        <f>IF(AF$3="","",IF(COUNTIFS(BD!$A$3:$A$5001,AF$3,BD!$B$3:$B$5001,$A$403,BD!$AE$3:$AE$5001,"&lt;&gt;")=0,"",SUMIFS(BD!$AE$3:$AE$5001,BD!$A$3:$A$5001,AF$3,BD!$B$3:$B$5001,$A$403)))</f>
        <v/>
      </c>
      <c r="AG432" s="236" t="str">
        <f>IF(AG$3="","",IF(COUNTIFS(BD!$A$3:$A$5001,AG$3,BD!$B$3:$B$5001,$A$403,BD!$AE$3:$AE$5001,"&lt;&gt;")=0,"",SUMIFS(BD!$AE$3:$AE$5001,BD!$A$3:$A$5001,AG$3,BD!$B$3:$B$5001,$A$403)))</f>
        <v/>
      </c>
      <c r="AH432" s="236" t="str">
        <f>IF(AH$3="","",IF(COUNTIFS(BD!$A$3:$A$5001,AH$3,BD!$B$3:$B$5001,$A$403,BD!$AE$3:$AE$5001,"&lt;&gt;")=0,"",SUMIFS(BD!$AE$3:$AE$5001,BD!$A$3:$A$5001,AH$3,BD!$B$3:$B$5001,$A$403)))</f>
        <v/>
      </c>
      <c r="AI432" s="236" t="str">
        <f>IF(AI$3="","",IF(COUNTIFS(BD!$A$3:$A$5001,AI$3,BD!$B$3:$B$5001,$A$403,BD!$AE$3:$AE$5001,"&lt;&gt;")=0,"",SUMIFS(BD!$AE$3:$AE$5001,BD!$A$3:$A$5001,AI$3,BD!$B$3:$B$5001,$A$403)))</f>
        <v/>
      </c>
      <c r="AJ432" s="237" t="str">
        <f>IF(AJ$3="","",IF(COUNTIFS(BD!$A$3:$A$5001,AJ$3,BD!$B$3:$B$5001,$A$403,BD!$AE$3:$AE$5001,"&lt;&gt;")=0,"",SUMIFS(BD!$AE$3:$AE$5001,BD!$A$3:$A$5001,AJ$3,BD!$B$3:$B$5001,$A$403)))</f>
        <v/>
      </c>
      <c r="AK432" s="238" t="str">
        <f>IF(COUNT(F432:AJ432)=0,"",SUM(F432:AJ432))</f>
        <v/>
      </c>
    </row>
    <row r="433" ht="15.75" customHeight="1" hidden="1">
      <c r="A433" s="261"/>
      <c r="B433" s="258"/>
      <c r="C433" s="232" t="inlineStr">
        <is>
          <t xml:space="preserve">Desvios Comportamentais</t>
        </is>
      </c>
      <c r="D433" s="233" t="str">
        <f>IFERROR(1/(1/INDEX(BD!$AL$53:$BF$53,MATCH($A$403,BD!$AL$22:$BF$22,0))),"")</f>
        <v/>
      </c>
      <c r="E433" s="234"/>
      <c r="F433" s="235" t="str">
        <f>IF(F$3="","",IF(COUNTIFS(BD!$A$3:$A$5001,F$3,BD!$B$3:$B$5001,$A$403,BD!$AF$3:$AF$5001,"&lt;&gt;")=0,"",SUMIFS(BD!$AF$3:$AF$5001,BD!$A$3:$A$5001,F$3,BD!$B$3:$B$5001,$A$403)))</f>
        <v/>
      </c>
      <c r="G433" s="236" t="str">
        <f>IF(G$3="","",IF(COUNTIFS(BD!$A$3:$A$5001,G$3,BD!$B$3:$B$5001,$A$403,BD!$AF$3:$AF$5001,"&lt;&gt;")=0,"",SUMIFS(BD!$AF$3:$AF$5001,BD!$A$3:$A$5001,G$3,BD!$B$3:$B$5001,$A$403)))</f>
        <v/>
      </c>
      <c r="H433" s="236" t="str">
        <f>IF(H$3="","",IF(COUNTIFS(BD!$A$3:$A$5001,H$3,BD!$B$3:$B$5001,$A$403,BD!$AF$3:$AF$5001,"&lt;&gt;")=0,"",SUMIFS(BD!$AF$3:$AF$5001,BD!$A$3:$A$5001,H$3,BD!$B$3:$B$5001,$A$403)))</f>
        <v/>
      </c>
      <c r="I433" s="236" t="str">
        <f>IF(I$3="","",IF(COUNTIFS(BD!$A$3:$A$5001,I$3,BD!$B$3:$B$5001,$A$403,BD!$AF$3:$AF$5001,"&lt;&gt;")=0,"",SUMIFS(BD!$AF$3:$AF$5001,BD!$A$3:$A$5001,I$3,BD!$B$3:$B$5001,$A$403)))</f>
        <v/>
      </c>
      <c r="J433" s="236" t="str">
        <f>IF(J$3="","",IF(COUNTIFS(BD!$A$3:$A$5001,J$3,BD!$B$3:$B$5001,$A$403,BD!$AF$3:$AF$5001,"&lt;&gt;")=0,"",SUMIFS(BD!$AF$3:$AF$5001,BD!$A$3:$A$5001,J$3,BD!$B$3:$B$5001,$A$403)))</f>
        <v/>
      </c>
      <c r="K433" s="236" t="str">
        <f>IF(K$3="","",IF(COUNTIFS(BD!$A$3:$A$5001,K$3,BD!$B$3:$B$5001,$A$403,BD!$AF$3:$AF$5001,"&lt;&gt;")=0,"",SUMIFS(BD!$AF$3:$AF$5001,BD!$A$3:$A$5001,K$3,BD!$B$3:$B$5001,$A$403)))</f>
        <v/>
      </c>
      <c r="L433" s="236" t="str">
        <f>IF(L$3="","",IF(COUNTIFS(BD!$A$3:$A$5001,L$3,BD!$B$3:$B$5001,$A$403,BD!$AF$3:$AF$5001,"&lt;&gt;")=0,"",SUMIFS(BD!$AF$3:$AF$5001,BD!$A$3:$A$5001,L$3,BD!$B$3:$B$5001,$A$403)))</f>
        <v/>
      </c>
      <c r="M433" s="236" t="str">
        <f>IF(M$3="","",IF(COUNTIFS(BD!$A$3:$A$5001,M$3,BD!$B$3:$B$5001,$A$403,BD!$AF$3:$AF$5001,"&lt;&gt;")=0,"",SUMIFS(BD!$AF$3:$AF$5001,BD!$A$3:$A$5001,M$3,BD!$B$3:$B$5001,$A$403)))</f>
        <v/>
      </c>
      <c r="N433" s="236" t="str">
        <f>IF(N$3="","",IF(COUNTIFS(BD!$A$3:$A$5001,N$3,BD!$B$3:$B$5001,$A$403,BD!$AF$3:$AF$5001,"&lt;&gt;")=0,"",SUMIFS(BD!$AF$3:$AF$5001,BD!$A$3:$A$5001,N$3,BD!$B$3:$B$5001,$A$403)))</f>
        <v/>
      </c>
      <c r="O433" s="236" t="str">
        <f>IF(O$3="","",IF(COUNTIFS(BD!$A$3:$A$5001,O$3,BD!$B$3:$B$5001,$A$403,BD!$AF$3:$AF$5001,"&lt;&gt;")=0,"",SUMIFS(BD!$AF$3:$AF$5001,BD!$A$3:$A$5001,O$3,BD!$B$3:$B$5001,$A$403)))</f>
        <v/>
      </c>
      <c r="P433" s="236" t="str">
        <f>IF(P$3="","",IF(COUNTIFS(BD!$A$3:$A$5001,P$3,BD!$B$3:$B$5001,$A$403,BD!$AF$3:$AF$5001,"&lt;&gt;")=0,"",SUMIFS(BD!$AF$3:$AF$5001,BD!$A$3:$A$5001,P$3,BD!$B$3:$B$5001,$A$403)))</f>
        <v/>
      </c>
      <c r="Q433" s="236" t="str">
        <f>IF(Q$3="","",IF(COUNTIFS(BD!$A$3:$A$5001,Q$3,BD!$B$3:$B$5001,$A$403,BD!$AF$3:$AF$5001,"&lt;&gt;")=0,"",SUMIFS(BD!$AF$3:$AF$5001,BD!$A$3:$A$5001,Q$3,BD!$B$3:$B$5001,$A$403)))</f>
        <v/>
      </c>
      <c r="R433" s="236" t="str">
        <f>IF(R$3="","",IF(COUNTIFS(BD!$A$3:$A$5001,R$3,BD!$B$3:$B$5001,$A$403,BD!$AF$3:$AF$5001,"&lt;&gt;")=0,"",SUMIFS(BD!$AF$3:$AF$5001,BD!$A$3:$A$5001,R$3,BD!$B$3:$B$5001,$A$403)))</f>
        <v/>
      </c>
      <c r="S433" s="236" t="str">
        <f>IF(S$3="","",IF(COUNTIFS(BD!$A$3:$A$5001,S$3,BD!$B$3:$B$5001,$A$403,BD!$AF$3:$AF$5001,"&lt;&gt;")=0,"",SUMIFS(BD!$AF$3:$AF$5001,BD!$A$3:$A$5001,S$3,BD!$B$3:$B$5001,$A$403)))</f>
        <v/>
      </c>
      <c r="T433" s="236" t="str">
        <f>IF(T$3="","",IF(COUNTIFS(BD!$A$3:$A$5001,T$3,BD!$B$3:$B$5001,$A$403,BD!$AF$3:$AF$5001,"&lt;&gt;")=0,"",SUMIFS(BD!$AF$3:$AF$5001,BD!$A$3:$A$5001,T$3,BD!$B$3:$B$5001,$A$403)))</f>
        <v/>
      </c>
      <c r="U433" s="236" t="str">
        <f>IF(U$3="","",IF(COUNTIFS(BD!$A$3:$A$5001,U$3,BD!$B$3:$B$5001,$A$403,BD!$AF$3:$AF$5001,"&lt;&gt;")=0,"",SUMIFS(BD!$AF$3:$AF$5001,BD!$A$3:$A$5001,U$3,BD!$B$3:$B$5001,$A$403)))</f>
        <v/>
      </c>
      <c r="V433" s="236" t="str">
        <f>IF(V$3="","",IF(COUNTIFS(BD!$A$3:$A$5001,V$3,BD!$B$3:$B$5001,$A$403,BD!$AF$3:$AF$5001,"&lt;&gt;")=0,"",SUMIFS(BD!$AF$3:$AF$5001,BD!$A$3:$A$5001,V$3,BD!$B$3:$B$5001,$A$403)))</f>
        <v/>
      </c>
      <c r="W433" s="236" t="str">
        <f>IF(W$3="","",IF(COUNTIFS(BD!$A$3:$A$5001,W$3,BD!$B$3:$B$5001,$A$403,BD!$AF$3:$AF$5001,"&lt;&gt;")=0,"",SUMIFS(BD!$AF$3:$AF$5001,BD!$A$3:$A$5001,W$3,BD!$B$3:$B$5001,$A$403)))</f>
        <v/>
      </c>
      <c r="X433" s="236" t="str">
        <f>IF(X$3="","",IF(COUNTIFS(BD!$A$3:$A$5001,X$3,BD!$B$3:$B$5001,$A$403,BD!$AF$3:$AF$5001,"&lt;&gt;")=0,"",SUMIFS(BD!$AF$3:$AF$5001,BD!$A$3:$A$5001,X$3,BD!$B$3:$B$5001,$A$403)))</f>
        <v/>
      </c>
      <c r="Y433" s="236" t="str">
        <f>IF(Y$3="","",IF(COUNTIFS(BD!$A$3:$A$5001,Y$3,BD!$B$3:$B$5001,$A$403,BD!$AF$3:$AF$5001,"&lt;&gt;")=0,"",SUMIFS(BD!$AF$3:$AF$5001,BD!$A$3:$A$5001,Y$3,BD!$B$3:$B$5001,$A$403)))</f>
        <v/>
      </c>
      <c r="Z433" s="236" t="str">
        <f>IF(Z$3="","",IF(COUNTIFS(BD!$A$3:$A$5001,Z$3,BD!$B$3:$B$5001,$A$403,BD!$AF$3:$AF$5001,"&lt;&gt;")=0,"",SUMIFS(BD!$AF$3:$AF$5001,BD!$A$3:$A$5001,Z$3,BD!$B$3:$B$5001,$A$403)))</f>
        <v/>
      </c>
      <c r="AA433" s="236" t="str">
        <f>IF(AA$3="","",IF(COUNTIFS(BD!$A$3:$A$5001,AA$3,BD!$B$3:$B$5001,$A$403,BD!$AF$3:$AF$5001,"&lt;&gt;")=0,"",SUMIFS(BD!$AF$3:$AF$5001,BD!$A$3:$A$5001,AA$3,BD!$B$3:$B$5001,$A$403)))</f>
        <v/>
      </c>
      <c r="AB433" s="236" t="str">
        <f>IF(AB$3="","",IF(COUNTIFS(BD!$A$3:$A$5001,AB$3,BD!$B$3:$B$5001,$A$403,BD!$AF$3:$AF$5001,"&lt;&gt;")=0,"",SUMIFS(BD!$AF$3:$AF$5001,BD!$A$3:$A$5001,AB$3,BD!$B$3:$B$5001,$A$403)))</f>
        <v/>
      </c>
      <c r="AC433" s="236" t="str">
        <f>IF(AC$3="","",IF(COUNTIFS(BD!$A$3:$A$5001,AC$3,BD!$B$3:$B$5001,$A$403,BD!$AF$3:$AF$5001,"&lt;&gt;")=0,"",SUMIFS(BD!$AF$3:$AF$5001,BD!$A$3:$A$5001,AC$3,BD!$B$3:$B$5001,$A$403)))</f>
        <v/>
      </c>
      <c r="AD433" s="236" t="str">
        <f>IF(AD$3="","",IF(COUNTIFS(BD!$A$3:$A$5001,AD$3,BD!$B$3:$B$5001,$A$403,BD!$AF$3:$AF$5001,"&lt;&gt;")=0,"",SUMIFS(BD!$AF$3:$AF$5001,BD!$A$3:$A$5001,AD$3,BD!$B$3:$B$5001,$A$403)))</f>
        <v/>
      </c>
      <c r="AE433" s="236" t="str">
        <f>IF(AE$3="","",IF(COUNTIFS(BD!$A$3:$A$5001,AE$3,BD!$B$3:$B$5001,$A$403,BD!$AF$3:$AF$5001,"&lt;&gt;")=0,"",SUMIFS(BD!$AF$3:$AF$5001,BD!$A$3:$A$5001,AE$3,BD!$B$3:$B$5001,$A$403)))</f>
        <v/>
      </c>
      <c r="AF433" s="236" t="str">
        <f>IF(AF$3="","",IF(COUNTIFS(BD!$A$3:$A$5001,AF$3,BD!$B$3:$B$5001,$A$403,BD!$AF$3:$AF$5001,"&lt;&gt;")=0,"",SUMIFS(BD!$AF$3:$AF$5001,BD!$A$3:$A$5001,AF$3,BD!$B$3:$B$5001,$A$403)))</f>
        <v/>
      </c>
      <c r="AG433" s="236" t="str">
        <f>IF(AG$3="","",IF(COUNTIFS(BD!$A$3:$A$5001,AG$3,BD!$B$3:$B$5001,$A$403,BD!$AF$3:$AF$5001,"&lt;&gt;")=0,"",SUMIFS(BD!$AF$3:$AF$5001,BD!$A$3:$A$5001,AG$3,BD!$B$3:$B$5001,$A$403)))</f>
        <v/>
      </c>
      <c r="AH433" s="236" t="str">
        <f>IF(AH$3="","",IF(COUNTIFS(BD!$A$3:$A$5001,AH$3,BD!$B$3:$B$5001,$A$403,BD!$AF$3:$AF$5001,"&lt;&gt;")=0,"",SUMIFS(BD!$AF$3:$AF$5001,BD!$A$3:$A$5001,AH$3,BD!$B$3:$B$5001,$A$403)))</f>
        <v/>
      </c>
      <c r="AI433" s="236" t="str">
        <f>IF(AI$3="","",IF(COUNTIFS(BD!$A$3:$A$5001,AI$3,BD!$B$3:$B$5001,$A$403,BD!$AF$3:$AF$5001,"&lt;&gt;")=0,"",SUMIFS(BD!$AF$3:$AF$5001,BD!$A$3:$A$5001,AI$3,BD!$B$3:$B$5001,$A$403)))</f>
        <v/>
      </c>
      <c r="AJ433" s="237" t="str">
        <f>IF(AJ$3="","",IF(COUNTIFS(BD!$A$3:$A$5001,AJ$3,BD!$B$3:$B$5001,$A$403,BD!$AF$3:$AF$5001,"&lt;&gt;")=0,"",SUMIFS(BD!$AF$3:$AF$5001,BD!$A$3:$A$5001,AJ$3,BD!$B$3:$B$5001,$A$403)))</f>
        <v/>
      </c>
      <c r="AK433" s="238" t="str">
        <f>IF(COUNT(F433:AJ433)=0,"",SUM(F433:AJ433))</f>
        <v/>
      </c>
    </row>
    <row r="434" ht="15.75" customHeight="1" hidden="1">
      <c r="A434" s="261"/>
      <c r="B434" s="258"/>
      <c r="C434" s="232" t="inlineStr">
        <is>
          <t xml:space="preserve">Acidentes CAF</t>
        </is>
      </c>
      <c r="D434" s="233" t="str">
        <f>IFERROR(1/(1/INDEX(BD!$AL$54:$BF$54,MATCH($A$403,BD!$AL$22:$BF$22,0))),"")</f>
        <v/>
      </c>
      <c r="E434" s="234"/>
      <c r="F434" s="235" t="str">
        <f>IF(F$3="","",IF(COUNTIFS(BD!$A$3:$A$5001,F$3,BD!$B$3:$B$5001,$A$403,BD!$AG$3:$AG$5001,"&lt;&gt;")=0,"",SUMIFS(BD!$AG$3:$AG$5001,BD!$A$3:$A$5001,F$3,BD!$B$3:$B$5001,$A$403)))</f>
        <v/>
      </c>
      <c r="G434" s="236" t="str">
        <f>IF(G$3="","",IF(COUNTIFS(BD!$A$3:$A$5001,G$3,BD!$B$3:$B$5001,$A$403,BD!$AG$3:$AG$5001,"&lt;&gt;")=0,"",SUMIFS(BD!$AG$3:$AG$5001,BD!$A$3:$A$5001,G$3,BD!$B$3:$B$5001,$A$403)))</f>
        <v/>
      </c>
      <c r="H434" s="236" t="str">
        <f>IF(H$3="","",IF(COUNTIFS(BD!$A$3:$A$5001,H$3,BD!$B$3:$B$5001,$A$403,BD!$AG$3:$AG$5001,"&lt;&gt;")=0,"",SUMIFS(BD!$AG$3:$AG$5001,BD!$A$3:$A$5001,H$3,BD!$B$3:$B$5001,$A$403)))</f>
        <v/>
      </c>
      <c r="I434" s="236" t="str">
        <f>IF(I$3="","",IF(COUNTIFS(BD!$A$3:$A$5001,I$3,BD!$B$3:$B$5001,$A$403,BD!$AG$3:$AG$5001,"&lt;&gt;")=0,"",SUMIFS(BD!$AG$3:$AG$5001,BD!$A$3:$A$5001,I$3,BD!$B$3:$B$5001,$A$403)))</f>
        <v/>
      </c>
      <c r="J434" s="236" t="str">
        <f>IF(J$3="","",IF(COUNTIFS(BD!$A$3:$A$5001,J$3,BD!$B$3:$B$5001,$A$403,BD!$AG$3:$AG$5001,"&lt;&gt;")=0,"",SUMIFS(BD!$AG$3:$AG$5001,BD!$A$3:$A$5001,J$3,BD!$B$3:$B$5001,$A$403)))</f>
        <v/>
      </c>
      <c r="K434" s="236" t="str">
        <f>IF(K$3="","",IF(COUNTIFS(BD!$A$3:$A$5001,K$3,BD!$B$3:$B$5001,$A$403,BD!$AG$3:$AG$5001,"&lt;&gt;")=0,"",SUMIFS(BD!$AG$3:$AG$5001,BD!$A$3:$A$5001,K$3,BD!$B$3:$B$5001,$A$403)))</f>
        <v/>
      </c>
      <c r="L434" s="236" t="str">
        <f>IF(L$3="","",IF(COUNTIFS(BD!$A$3:$A$5001,L$3,BD!$B$3:$B$5001,$A$403,BD!$AG$3:$AG$5001,"&lt;&gt;")=0,"",SUMIFS(BD!$AG$3:$AG$5001,BD!$A$3:$A$5001,L$3,BD!$B$3:$B$5001,$A$403)))</f>
        <v/>
      </c>
      <c r="M434" s="236" t="str">
        <f>IF(M$3="","",IF(COUNTIFS(BD!$A$3:$A$5001,M$3,BD!$B$3:$B$5001,$A$403,BD!$AG$3:$AG$5001,"&lt;&gt;")=0,"",SUMIFS(BD!$AG$3:$AG$5001,BD!$A$3:$A$5001,M$3,BD!$B$3:$B$5001,$A$403)))</f>
        <v/>
      </c>
      <c r="N434" s="236" t="str">
        <f>IF(N$3="","",IF(COUNTIFS(BD!$A$3:$A$5001,N$3,BD!$B$3:$B$5001,$A$403,BD!$AG$3:$AG$5001,"&lt;&gt;")=0,"",SUMIFS(BD!$AG$3:$AG$5001,BD!$A$3:$A$5001,N$3,BD!$B$3:$B$5001,$A$403)))</f>
        <v/>
      </c>
      <c r="O434" s="236" t="str">
        <f>IF(O$3="","",IF(COUNTIFS(BD!$A$3:$A$5001,O$3,BD!$B$3:$B$5001,$A$403,BD!$AG$3:$AG$5001,"&lt;&gt;")=0,"",SUMIFS(BD!$AG$3:$AG$5001,BD!$A$3:$A$5001,O$3,BD!$B$3:$B$5001,$A$403)))</f>
        <v/>
      </c>
      <c r="P434" s="236" t="str">
        <f>IF(P$3="","",IF(COUNTIFS(BD!$A$3:$A$5001,P$3,BD!$B$3:$B$5001,$A$403,BD!$AG$3:$AG$5001,"&lt;&gt;")=0,"",SUMIFS(BD!$AG$3:$AG$5001,BD!$A$3:$A$5001,P$3,BD!$B$3:$B$5001,$A$403)))</f>
        <v/>
      </c>
      <c r="Q434" s="236" t="str">
        <f>IF(Q$3="","",IF(COUNTIFS(BD!$A$3:$A$5001,Q$3,BD!$B$3:$B$5001,$A$403,BD!$AG$3:$AG$5001,"&lt;&gt;")=0,"",SUMIFS(BD!$AG$3:$AG$5001,BD!$A$3:$A$5001,Q$3,BD!$B$3:$B$5001,$A$403)))</f>
        <v/>
      </c>
      <c r="R434" s="236" t="str">
        <f>IF(R$3="","",IF(COUNTIFS(BD!$A$3:$A$5001,R$3,BD!$B$3:$B$5001,$A$403,BD!$AG$3:$AG$5001,"&lt;&gt;")=0,"",SUMIFS(BD!$AG$3:$AG$5001,BD!$A$3:$A$5001,R$3,BD!$B$3:$B$5001,$A$403)))</f>
        <v/>
      </c>
      <c r="S434" s="236" t="str">
        <f>IF(S$3="","",IF(COUNTIFS(BD!$A$3:$A$5001,S$3,BD!$B$3:$B$5001,$A$403,BD!$AG$3:$AG$5001,"&lt;&gt;")=0,"",SUMIFS(BD!$AG$3:$AG$5001,BD!$A$3:$A$5001,S$3,BD!$B$3:$B$5001,$A$403)))</f>
        <v/>
      </c>
      <c r="T434" s="236" t="str">
        <f>IF(T$3="","",IF(COUNTIFS(BD!$A$3:$A$5001,T$3,BD!$B$3:$B$5001,$A$403,BD!$AG$3:$AG$5001,"&lt;&gt;")=0,"",SUMIFS(BD!$AG$3:$AG$5001,BD!$A$3:$A$5001,T$3,BD!$B$3:$B$5001,$A$403)))</f>
        <v/>
      </c>
      <c r="U434" s="236" t="str">
        <f>IF(U$3="","",IF(COUNTIFS(BD!$A$3:$A$5001,U$3,BD!$B$3:$B$5001,$A$403,BD!$AG$3:$AG$5001,"&lt;&gt;")=0,"",SUMIFS(BD!$AG$3:$AG$5001,BD!$A$3:$A$5001,U$3,BD!$B$3:$B$5001,$A$403)))</f>
        <v/>
      </c>
      <c r="V434" s="236" t="str">
        <f>IF(V$3="","",IF(COUNTIFS(BD!$A$3:$A$5001,V$3,BD!$B$3:$B$5001,$A$403,BD!$AG$3:$AG$5001,"&lt;&gt;")=0,"",SUMIFS(BD!$AG$3:$AG$5001,BD!$A$3:$A$5001,V$3,BD!$B$3:$B$5001,$A$403)))</f>
        <v/>
      </c>
      <c r="W434" s="236" t="str">
        <f>IF(W$3="","",IF(COUNTIFS(BD!$A$3:$A$5001,W$3,BD!$B$3:$B$5001,$A$403,BD!$AG$3:$AG$5001,"&lt;&gt;")=0,"",SUMIFS(BD!$AG$3:$AG$5001,BD!$A$3:$A$5001,W$3,BD!$B$3:$B$5001,$A$403)))</f>
        <v/>
      </c>
      <c r="X434" s="236" t="str">
        <f>IF(X$3="","",IF(COUNTIFS(BD!$A$3:$A$5001,X$3,BD!$B$3:$B$5001,$A$403,BD!$AG$3:$AG$5001,"&lt;&gt;")=0,"",SUMIFS(BD!$AG$3:$AG$5001,BD!$A$3:$A$5001,X$3,BD!$B$3:$B$5001,$A$403)))</f>
        <v/>
      </c>
      <c r="Y434" s="236" t="str">
        <f>IF(Y$3="","",IF(COUNTIFS(BD!$A$3:$A$5001,Y$3,BD!$B$3:$B$5001,$A$403,BD!$AG$3:$AG$5001,"&lt;&gt;")=0,"",SUMIFS(BD!$AG$3:$AG$5001,BD!$A$3:$A$5001,Y$3,BD!$B$3:$B$5001,$A$403)))</f>
        <v/>
      </c>
      <c r="Z434" s="236" t="str">
        <f>IF(Z$3="","",IF(COUNTIFS(BD!$A$3:$A$5001,Z$3,BD!$B$3:$B$5001,$A$403,BD!$AG$3:$AG$5001,"&lt;&gt;")=0,"",SUMIFS(BD!$AG$3:$AG$5001,BD!$A$3:$A$5001,Z$3,BD!$B$3:$B$5001,$A$403)))</f>
        <v/>
      </c>
      <c r="AA434" s="236" t="str">
        <f>IF(AA$3="","",IF(COUNTIFS(BD!$A$3:$A$5001,AA$3,BD!$B$3:$B$5001,$A$403,BD!$AG$3:$AG$5001,"&lt;&gt;")=0,"",SUMIFS(BD!$AG$3:$AG$5001,BD!$A$3:$A$5001,AA$3,BD!$B$3:$B$5001,$A$403)))</f>
        <v/>
      </c>
      <c r="AB434" s="236" t="str">
        <f>IF(AB$3="","",IF(COUNTIFS(BD!$A$3:$A$5001,AB$3,BD!$B$3:$B$5001,$A$403,BD!$AG$3:$AG$5001,"&lt;&gt;")=0,"",SUMIFS(BD!$AG$3:$AG$5001,BD!$A$3:$A$5001,AB$3,BD!$B$3:$B$5001,$A$403)))</f>
        <v/>
      </c>
      <c r="AC434" s="236" t="str">
        <f>IF(AC$3="","",IF(COUNTIFS(BD!$A$3:$A$5001,AC$3,BD!$B$3:$B$5001,$A$403,BD!$AG$3:$AG$5001,"&lt;&gt;")=0,"",SUMIFS(BD!$AG$3:$AG$5001,BD!$A$3:$A$5001,AC$3,BD!$B$3:$B$5001,$A$403)))</f>
        <v/>
      </c>
      <c r="AD434" s="236" t="str">
        <f>IF(AD$3="","",IF(COUNTIFS(BD!$A$3:$A$5001,AD$3,BD!$B$3:$B$5001,$A$403,BD!$AG$3:$AG$5001,"&lt;&gt;")=0,"",SUMIFS(BD!$AG$3:$AG$5001,BD!$A$3:$A$5001,AD$3,BD!$B$3:$B$5001,$A$403)))</f>
        <v/>
      </c>
      <c r="AE434" s="236" t="str">
        <f>IF(AE$3="","",IF(COUNTIFS(BD!$A$3:$A$5001,AE$3,BD!$B$3:$B$5001,$A$403,BD!$AG$3:$AG$5001,"&lt;&gt;")=0,"",SUMIFS(BD!$AG$3:$AG$5001,BD!$A$3:$A$5001,AE$3,BD!$B$3:$B$5001,$A$403)))</f>
        <v/>
      </c>
      <c r="AF434" s="236" t="str">
        <f>IF(AF$3="","",IF(COUNTIFS(BD!$A$3:$A$5001,AF$3,BD!$B$3:$B$5001,$A$403,BD!$AG$3:$AG$5001,"&lt;&gt;")=0,"",SUMIFS(BD!$AG$3:$AG$5001,BD!$A$3:$A$5001,AF$3,BD!$B$3:$B$5001,$A$403)))</f>
        <v/>
      </c>
      <c r="AG434" s="236" t="str">
        <f>IF(AG$3="","",IF(COUNTIFS(BD!$A$3:$A$5001,AG$3,BD!$B$3:$B$5001,$A$403,BD!$AG$3:$AG$5001,"&lt;&gt;")=0,"",SUMIFS(BD!$AG$3:$AG$5001,BD!$A$3:$A$5001,AG$3,BD!$B$3:$B$5001,$A$403)))</f>
        <v/>
      </c>
      <c r="AH434" s="236" t="str">
        <f>IF(AH$3="","",IF(COUNTIFS(BD!$A$3:$A$5001,AH$3,BD!$B$3:$B$5001,$A$403,BD!$AG$3:$AG$5001,"&lt;&gt;")=0,"",SUMIFS(BD!$AG$3:$AG$5001,BD!$A$3:$A$5001,AH$3,BD!$B$3:$B$5001,$A$403)))</f>
        <v/>
      </c>
      <c r="AI434" s="236" t="str">
        <f>IF(AI$3="","",IF(COUNTIFS(BD!$A$3:$A$5001,AI$3,BD!$B$3:$B$5001,$A$403,BD!$AG$3:$AG$5001,"&lt;&gt;")=0,"",SUMIFS(BD!$AG$3:$AG$5001,BD!$A$3:$A$5001,AI$3,BD!$B$3:$B$5001,$A$403)))</f>
        <v/>
      </c>
      <c r="AJ434" s="237" t="str">
        <f>IF(AJ$3="","",IF(COUNTIFS(BD!$A$3:$A$5001,AJ$3,BD!$B$3:$B$5001,$A$403,BD!$AG$3:$AG$5001,"&lt;&gt;")=0,"",SUMIFS(BD!$AG$3:$AG$5001,BD!$A$3:$A$5001,AJ$3,BD!$B$3:$B$5001,$A$403)))</f>
        <v/>
      </c>
      <c r="AK434" s="238" t="str">
        <f>IF(COUNT(F434:AJ434)=0,"",SUM(F434:AJ434))</f>
        <v/>
      </c>
    </row>
    <row r="435" ht="15.75" customHeight="1" hidden="1">
      <c r="A435" s="262"/>
      <c r="B435" s="259"/>
      <c r="C435" s="243" t="inlineStr">
        <is>
          <t xml:space="preserve">Acidentes SAF</t>
        </is>
      </c>
      <c r="D435" s="244" t="str">
        <f>IFERROR(1/(1/INDEX(BD!$AL$55:$BF$55,MATCH($A$403,BD!$AL$22:$BF$22,0))),"")</f>
        <v/>
      </c>
      <c r="E435" s="245"/>
      <c r="F435" s="246" t="str">
        <f>IF(F$3="","",IF(COUNTIFS(BD!$A$3:$A$5001,F$3,BD!$B$3:$B$5001,$A$403,BD!$AH$3:$AH$5001,"&lt;&gt;")=0,"",SUMIFS(BD!$AH$3:$AH$5001,BD!$A$3:$A$5001,F$3,BD!$B$3:$B$5001,$A$403)))</f>
        <v/>
      </c>
      <c r="G435" s="247" t="str">
        <f>IF(G$3="","",IF(COUNTIFS(BD!$A$3:$A$5001,G$3,BD!$B$3:$B$5001,$A$403,BD!$AH$3:$AH$5001,"&lt;&gt;")=0,"",SUMIFS(BD!$AH$3:$AH$5001,BD!$A$3:$A$5001,G$3,BD!$B$3:$B$5001,$A$403)))</f>
        <v/>
      </c>
      <c r="H435" s="247" t="str">
        <f>IF(H$3="","",IF(COUNTIFS(BD!$A$3:$A$5001,H$3,BD!$B$3:$B$5001,$A$403,BD!$AH$3:$AH$5001,"&lt;&gt;")=0,"",SUMIFS(BD!$AH$3:$AH$5001,BD!$A$3:$A$5001,H$3,BD!$B$3:$B$5001,$A$403)))</f>
        <v/>
      </c>
      <c r="I435" s="247" t="str">
        <f>IF(I$3="","",IF(COUNTIFS(BD!$A$3:$A$5001,I$3,BD!$B$3:$B$5001,$A$403,BD!$AH$3:$AH$5001,"&lt;&gt;")=0,"",SUMIFS(BD!$AH$3:$AH$5001,BD!$A$3:$A$5001,I$3,BD!$B$3:$B$5001,$A$403)))</f>
        <v/>
      </c>
      <c r="J435" s="247" t="str">
        <f>IF(J$3="","",IF(COUNTIFS(BD!$A$3:$A$5001,J$3,BD!$B$3:$B$5001,$A$403,BD!$AH$3:$AH$5001,"&lt;&gt;")=0,"",SUMIFS(BD!$AH$3:$AH$5001,BD!$A$3:$A$5001,J$3,BD!$B$3:$B$5001,$A$403)))</f>
        <v/>
      </c>
      <c r="K435" s="247" t="str">
        <f>IF(K$3="","",IF(COUNTIFS(BD!$A$3:$A$5001,K$3,BD!$B$3:$B$5001,$A$403,BD!$AH$3:$AH$5001,"&lt;&gt;")=0,"",SUMIFS(BD!$AH$3:$AH$5001,BD!$A$3:$A$5001,K$3,BD!$B$3:$B$5001,$A$403)))</f>
        <v/>
      </c>
      <c r="L435" s="247" t="str">
        <f>IF(L$3="","",IF(COUNTIFS(BD!$A$3:$A$5001,L$3,BD!$B$3:$B$5001,$A$403,BD!$AH$3:$AH$5001,"&lt;&gt;")=0,"",SUMIFS(BD!$AH$3:$AH$5001,BD!$A$3:$A$5001,L$3,BD!$B$3:$B$5001,$A$403)))</f>
        <v/>
      </c>
      <c r="M435" s="247" t="str">
        <f>IF(M$3="","",IF(COUNTIFS(BD!$A$3:$A$5001,M$3,BD!$B$3:$B$5001,$A$403,BD!$AH$3:$AH$5001,"&lt;&gt;")=0,"",SUMIFS(BD!$AH$3:$AH$5001,BD!$A$3:$A$5001,M$3,BD!$B$3:$B$5001,$A$403)))</f>
        <v/>
      </c>
      <c r="N435" s="247" t="str">
        <f>IF(N$3="","",IF(COUNTIFS(BD!$A$3:$A$5001,N$3,BD!$B$3:$B$5001,$A$403,BD!$AH$3:$AH$5001,"&lt;&gt;")=0,"",SUMIFS(BD!$AH$3:$AH$5001,BD!$A$3:$A$5001,N$3,BD!$B$3:$B$5001,$A$403)))</f>
        <v/>
      </c>
      <c r="O435" s="247" t="str">
        <f>IF(O$3="","",IF(COUNTIFS(BD!$A$3:$A$5001,O$3,BD!$B$3:$B$5001,$A$403,BD!$AH$3:$AH$5001,"&lt;&gt;")=0,"",SUMIFS(BD!$AH$3:$AH$5001,BD!$A$3:$A$5001,O$3,BD!$B$3:$B$5001,$A$403)))</f>
        <v/>
      </c>
      <c r="P435" s="247" t="str">
        <f>IF(P$3="","",IF(COUNTIFS(BD!$A$3:$A$5001,P$3,BD!$B$3:$B$5001,$A$403,BD!$AH$3:$AH$5001,"&lt;&gt;")=0,"",SUMIFS(BD!$AH$3:$AH$5001,BD!$A$3:$A$5001,P$3,BD!$B$3:$B$5001,$A$403)))</f>
        <v/>
      </c>
      <c r="Q435" s="247" t="str">
        <f>IF(Q$3="","",IF(COUNTIFS(BD!$A$3:$A$5001,Q$3,BD!$B$3:$B$5001,$A$403,BD!$AH$3:$AH$5001,"&lt;&gt;")=0,"",SUMIFS(BD!$AH$3:$AH$5001,BD!$A$3:$A$5001,Q$3,BD!$B$3:$B$5001,$A$403)))</f>
        <v/>
      </c>
      <c r="R435" s="247" t="str">
        <f>IF(R$3="","",IF(COUNTIFS(BD!$A$3:$A$5001,R$3,BD!$B$3:$B$5001,$A$403,BD!$AH$3:$AH$5001,"&lt;&gt;")=0,"",SUMIFS(BD!$AH$3:$AH$5001,BD!$A$3:$A$5001,R$3,BD!$B$3:$B$5001,$A$403)))</f>
        <v/>
      </c>
      <c r="S435" s="247" t="str">
        <f>IF(S$3="","",IF(COUNTIFS(BD!$A$3:$A$5001,S$3,BD!$B$3:$B$5001,$A$403,BD!$AH$3:$AH$5001,"&lt;&gt;")=0,"",SUMIFS(BD!$AH$3:$AH$5001,BD!$A$3:$A$5001,S$3,BD!$B$3:$B$5001,$A$403)))</f>
        <v/>
      </c>
      <c r="T435" s="247" t="str">
        <f>IF(T$3="","",IF(COUNTIFS(BD!$A$3:$A$5001,T$3,BD!$B$3:$B$5001,$A$403,BD!$AH$3:$AH$5001,"&lt;&gt;")=0,"",SUMIFS(BD!$AH$3:$AH$5001,BD!$A$3:$A$5001,T$3,BD!$B$3:$B$5001,$A$403)))</f>
        <v/>
      </c>
      <c r="U435" s="247" t="str">
        <f>IF(U$3="","",IF(COUNTIFS(BD!$A$3:$A$5001,U$3,BD!$B$3:$B$5001,$A$403,BD!$AH$3:$AH$5001,"&lt;&gt;")=0,"",SUMIFS(BD!$AH$3:$AH$5001,BD!$A$3:$A$5001,U$3,BD!$B$3:$B$5001,$A$403)))</f>
        <v/>
      </c>
      <c r="V435" s="247" t="str">
        <f>IF(V$3="","",IF(COUNTIFS(BD!$A$3:$A$5001,V$3,BD!$B$3:$B$5001,$A$403,BD!$AH$3:$AH$5001,"&lt;&gt;")=0,"",SUMIFS(BD!$AH$3:$AH$5001,BD!$A$3:$A$5001,V$3,BD!$B$3:$B$5001,$A$403)))</f>
        <v/>
      </c>
      <c r="W435" s="247" t="str">
        <f>IF(W$3="","",IF(COUNTIFS(BD!$A$3:$A$5001,W$3,BD!$B$3:$B$5001,$A$403,BD!$AH$3:$AH$5001,"&lt;&gt;")=0,"",SUMIFS(BD!$AH$3:$AH$5001,BD!$A$3:$A$5001,W$3,BD!$B$3:$B$5001,$A$403)))</f>
        <v/>
      </c>
      <c r="X435" s="247" t="str">
        <f>IF(X$3="","",IF(COUNTIFS(BD!$A$3:$A$5001,X$3,BD!$B$3:$B$5001,$A$403,BD!$AH$3:$AH$5001,"&lt;&gt;")=0,"",SUMIFS(BD!$AH$3:$AH$5001,BD!$A$3:$A$5001,X$3,BD!$B$3:$B$5001,$A$403)))</f>
        <v/>
      </c>
      <c r="Y435" s="247" t="str">
        <f>IF(Y$3="","",IF(COUNTIFS(BD!$A$3:$A$5001,Y$3,BD!$B$3:$B$5001,$A$403,BD!$AH$3:$AH$5001,"&lt;&gt;")=0,"",SUMIFS(BD!$AH$3:$AH$5001,BD!$A$3:$A$5001,Y$3,BD!$B$3:$B$5001,$A$403)))</f>
        <v/>
      </c>
      <c r="Z435" s="247" t="str">
        <f>IF(Z$3="","",IF(COUNTIFS(BD!$A$3:$A$5001,Z$3,BD!$B$3:$B$5001,$A$403,BD!$AH$3:$AH$5001,"&lt;&gt;")=0,"",SUMIFS(BD!$AH$3:$AH$5001,BD!$A$3:$A$5001,Z$3,BD!$B$3:$B$5001,$A$403)))</f>
        <v/>
      </c>
      <c r="AA435" s="247" t="str">
        <f>IF(AA$3="","",IF(COUNTIFS(BD!$A$3:$A$5001,AA$3,BD!$B$3:$B$5001,$A$403,BD!$AH$3:$AH$5001,"&lt;&gt;")=0,"",SUMIFS(BD!$AH$3:$AH$5001,BD!$A$3:$A$5001,AA$3,BD!$B$3:$B$5001,$A$403)))</f>
        <v/>
      </c>
      <c r="AB435" s="247" t="str">
        <f>IF(AB$3="","",IF(COUNTIFS(BD!$A$3:$A$5001,AB$3,BD!$B$3:$B$5001,$A$403,BD!$AH$3:$AH$5001,"&lt;&gt;")=0,"",SUMIFS(BD!$AH$3:$AH$5001,BD!$A$3:$A$5001,AB$3,BD!$B$3:$B$5001,$A$403)))</f>
        <v/>
      </c>
      <c r="AC435" s="247" t="str">
        <f>IF(AC$3="","",IF(COUNTIFS(BD!$A$3:$A$5001,AC$3,BD!$B$3:$B$5001,$A$403,BD!$AH$3:$AH$5001,"&lt;&gt;")=0,"",SUMIFS(BD!$AH$3:$AH$5001,BD!$A$3:$A$5001,AC$3,BD!$B$3:$B$5001,$A$403)))</f>
        <v/>
      </c>
      <c r="AD435" s="247" t="str">
        <f>IF(AD$3="","",IF(COUNTIFS(BD!$A$3:$A$5001,AD$3,BD!$B$3:$B$5001,$A$403,BD!$AH$3:$AH$5001,"&lt;&gt;")=0,"",SUMIFS(BD!$AH$3:$AH$5001,BD!$A$3:$A$5001,AD$3,BD!$B$3:$B$5001,$A$403)))</f>
        <v/>
      </c>
      <c r="AE435" s="247" t="str">
        <f>IF(AE$3="","",IF(COUNTIFS(BD!$A$3:$A$5001,AE$3,BD!$B$3:$B$5001,$A$403,BD!$AH$3:$AH$5001,"&lt;&gt;")=0,"",SUMIFS(BD!$AH$3:$AH$5001,BD!$A$3:$A$5001,AE$3,BD!$B$3:$B$5001,$A$403)))</f>
        <v/>
      </c>
      <c r="AF435" s="247" t="str">
        <f>IF(AF$3="","",IF(COUNTIFS(BD!$A$3:$A$5001,AF$3,BD!$B$3:$B$5001,$A$403,BD!$AH$3:$AH$5001,"&lt;&gt;")=0,"",SUMIFS(BD!$AH$3:$AH$5001,BD!$A$3:$A$5001,AF$3,BD!$B$3:$B$5001,$A$403)))</f>
        <v/>
      </c>
      <c r="AG435" s="247" t="str">
        <f>IF(AG$3="","",IF(COUNTIFS(BD!$A$3:$A$5001,AG$3,BD!$B$3:$B$5001,$A$403,BD!$AH$3:$AH$5001,"&lt;&gt;")=0,"",SUMIFS(BD!$AH$3:$AH$5001,BD!$A$3:$A$5001,AG$3,BD!$B$3:$B$5001,$A$403)))</f>
        <v/>
      </c>
      <c r="AH435" s="247" t="str">
        <f>IF(AH$3="","",IF(COUNTIFS(BD!$A$3:$A$5001,AH$3,BD!$B$3:$B$5001,$A$403,BD!$AH$3:$AH$5001,"&lt;&gt;")=0,"",SUMIFS(BD!$AH$3:$AH$5001,BD!$A$3:$A$5001,AH$3,BD!$B$3:$B$5001,$A$403)))</f>
        <v/>
      </c>
      <c r="AI435" s="247" t="str">
        <f>IF(AI$3="","",IF(COUNTIFS(BD!$A$3:$A$5001,AI$3,BD!$B$3:$B$5001,$A$403,BD!$AH$3:$AH$5001,"&lt;&gt;")=0,"",SUMIFS(BD!$AH$3:$AH$5001,BD!$A$3:$A$5001,AI$3,BD!$B$3:$B$5001,$A$403)))</f>
        <v/>
      </c>
      <c r="AJ435" s="248" t="str">
        <f>IF(AJ$3="","",IF(COUNTIFS(BD!$A$3:$A$5001,AJ$3,BD!$B$3:$B$5001,$A$403,BD!$AH$3:$AH$5001,"&lt;&gt;")=0,"",SUMIFS(BD!$AH$3:$AH$5001,BD!$A$3:$A$5001,AJ$3,BD!$B$3:$B$5001,$A$403)))</f>
        <v/>
      </c>
      <c r="AK435" s="244" t="str">
        <f>IF(COUNT(F435:AJ435)=0,"",SUM(F435:AJ435))</f>
        <v/>
      </c>
    </row>
    <row r="437" ht="15.75" customHeight="1" hidden="1">
      <c r="A437" s="260"/>
      <c r="B437" s="249" t="inlineStr">
        <is>
          <t xml:space="preserve">IN</t>
        </is>
      </c>
      <c r="C437" s="168" t="inlineStr">
        <is>
          <t xml:space="preserve">Veículos Recebidos</t>
        </is>
      </c>
      <c r="D437" s="169" t="str">
        <f>IFERROR(1/(1/INDEX(BD!$AL$23:$BF$23,MATCH($A$437,BD!$AL$22:$BF$22,0))),"")</f>
        <v/>
      </c>
      <c r="E437" s="170"/>
      <c r="F437" s="171" t="str">
        <f>IF(F$3="","",IF(COUNTIFS(BD!$A$3:$A$5001,F$3,BD!$B$3:$B$5001,$A$437,BD!$C$3:$C$5001,"&lt;&gt;")=0,"",SUMIFS(BD!$C$3:$C$5001,BD!$A$3:$A$5001,F$3,BD!$B$3:$B$5001,$A$437)))</f>
        <v/>
      </c>
      <c r="G437" s="172" t="str">
        <f>IF(G$3="","",IF(COUNTIFS(BD!$A$3:$A$5001,G$3,BD!$B$3:$B$5001,$A$437,BD!$C$3:$C$5001,"&lt;&gt;")=0,"",SUMIFS(BD!$C$3:$C$5001,BD!$A$3:$A$5001,G$3,BD!$B$3:$B$5001,$A$437)))</f>
        <v/>
      </c>
      <c r="H437" s="172" t="str">
        <f>IF(H$3="","",IF(COUNTIFS(BD!$A$3:$A$5001,H$3,BD!$B$3:$B$5001,$A$437,BD!$C$3:$C$5001,"&lt;&gt;")=0,"",SUMIFS(BD!$C$3:$C$5001,BD!$A$3:$A$5001,H$3,BD!$B$3:$B$5001,$A$437)))</f>
        <v/>
      </c>
      <c r="I437" s="172" t="str">
        <f>IF(I$3="","",IF(COUNTIFS(BD!$A$3:$A$5001,I$3,BD!$B$3:$B$5001,$A$437,BD!$C$3:$C$5001,"&lt;&gt;")=0,"",SUMIFS(BD!$C$3:$C$5001,BD!$A$3:$A$5001,I$3,BD!$B$3:$B$5001,$A$437)))</f>
        <v/>
      </c>
      <c r="J437" s="172" t="str">
        <f>IF(J$3="","",IF(COUNTIFS(BD!$A$3:$A$5001,J$3,BD!$B$3:$B$5001,$A$437,BD!$C$3:$C$5001,"&lt;&gt;")=0,"",SUMIFS(BD!$C$3:$C$5001,BD!$A$3:$A$5001,J$3,BD!$B$3:$B$5001,$A$437)))</f>
        <v/>
      </c>
      <c r="K437" s="172" t="str">
        <f>IF(K$3="","",IF(COUNTIFS(BD!$A$3:$A$5001,K$3,BD!$B$3:$B$5001,$A$437,BD!$C$3:$C$5001,"&lt;&gt;")=0,"",SUMIFS(BD!$C$3:$C$5001,BD!$A$3:$A$5001,K$3,BD!$B$3:$B$5001,$A$437)))</f>
        <v/>
      </c>
      <c r="L437" s="172" t="str">
        <f>IF(L$3="","",IF(COUNTIFS(BD!$A$3:$A$5001,L$3,BD!$B$3:$B$5001,$A$437,BD!$C$3:$C$5001,"&lt;&gt;")=0,"",SUMIFS(BD!$C$3:$C$5001,BD!$A$3:$A$5001,L$3,BD!$B$3:$B$5001,$A$437)))</f>
        <v/>
      </c>
      <c r="M437" s="172" t="str">
        <f>IF(M$3="","",IF(COUNTIFS(BD!$A$3:$A$5001,M$3,BD!$B$3:$B$5001,$A$437,BD!$C$3:$C$5001,"&lt;&gt;")=0,"",SUMIFS(BD!$C$3:$C$5001,BD!$A$3:$A$5001,M$3,BD!$B$3:$B$5001,$A$437)))</f>
        <v/>
      </c>
      <c r="N437" s="172" t="str">
        <f>IF(N$3="","",IF(COUNTIFS(BD!$A$3:$A$5001,N$3,BD!$B$3:$B$5001,$A$437,BD!$C$3:$C$5001,"&lt;&gt;")=0,"",SUMIFS(BD!$C$3:$C$5001,BD!$A$3:$A$5001,N$3,BD!$B$3:$B$5001,$A$437)))</f>
        <v/>
      </c>
      <c r="O437" s="172" t="str">
        <f>IF(O$3="","",IF(COUNTIFS(BD!$A$3:$A$5001,O$3,BD!$B$3:$B$5001,$A$437,BD!$C$3:$C$5001,"&lt;&gt;")=0,"",SUMIFS(BD!$C$3:$C$5001,BD!$A$3:$A$5001,O$3,BD!$B$3:$B$5001,$A$437)))</f>
        <v/>
      </c>
      <c r="P437" s="172" t="str">
        <f>IF(P$3="","",IF(COUNTIFS(BD!$A$3:$A$5001,P$3,BD!$B$3:$B$5001,$A$437,BD!$C$3:$C$5001,"&lt;&gt;")=0,"",SUMIFS(BD!$C$3:$C$5001,BD!$A$3:$A$5001,P$3,BD!$B$3:$B$5001,$A$437)))</f>
        <v/>
      </c>
      <c r="Q437" s="172" t="str">
        <f>IF(Q$3="","",IF(COUNTIFS(BD!$A$3:$A$5001,Q$3,BD!$B$3:$B$5001,$A$437,BD!$C$3:$C$5001,"&lt;&gt;")=0,"",SUMIFS(BD!$C$3:$C$5001,BD!$A$3:$A$5001,Q$3,BD!$B$3:$B$5001,$A$437)))</f>
        <v/>
      </c>
      <c r="R437" s="172" t="str">
        <f>IF(R$3="","",IF(COUNTIFS(BD!$A$3:$A$5001,R$3,BD!$B$3:$B$5001,$A$437,BD!$C$3:$C$5001,"&lt;&gt;")=0,"",SUMIFS(BD!$C$3:$C$5001,BD!$A$3:$A$5001,R$3,BD!$B$3:$B$5001,$A$437)))</f>
        <v/>
      </c>
      <c r="S437" s="172" t="str">
        <f>IF(S$3="","",IF(COUNTIFS(BD!$A$3:$A$5001,S$3,BD!$B$3:$B$5001,$A$437,BD!$C$3:$C$5001,"&lt;&gt;")=0,"",SUMIFS(BD!$C$3:$C$5001,BD!$A$3:$A$5001,S$3,BD!$B$3:$B$5001,$A$437)))</f>
        <v/>
      </c>
      <c r="T437" s="172" t="str">
        <f>IF(T$3="","",IF(COUNTIFS(BD!$A$3:$A$5001,T$3,BD!$B$3:$B$5001,$A$437,BD!$C$3:$C$5001,"&lt;&gt;")=0,"",SUMIFS(BD!$C$3:$C$5001,BD!$A$3:$A$5001,T$3,BD!$B$3:$B$5001,$A$437)))</f>
        <v/>
      </c>
      <c r="U437" s="172" t="str">
        <f>IF(U$3="","",IF(COUNTIFS(BD!$A$3:$A$5001,U$3,BD!$B$3:$B$5001,$A$437,BD!$C$3:$C$5001,"&lt;&gt;")=0,"",SUMIFS(BD!$C$3:$C$5001,BD!$A$3:$A$5001,U$3,BD!$B$3:$B$5001,$A$437)))</f>
        <v/>
      </c>
      <c r="V437" s="172" t="str">
        <f>IF(V$3="","",IF(COUNTIFS(BD!$A$3:$A$5001,V$3,BD!$B$3:$B$5001,$A$437,BD!$C$3:$C$5001,"&lt;&gt;")=0,"",SUMIFS(BD!$C$3:$C$5001,BD!$A$3:$A$5001,V$3,BD!$B$3:$B$5001,$A$437)))</f>
        <v/>
      </c>
      <c r="W437" s="172" t="str">
        <f>IF(W$3="","",IF(COUNTIFS(BD!$A$3:$A$5001,W$3,BD!$B$3:$B$5001,$A$437,BD!$C$3:$C$5001,"&lt;&gt;")=0,"",SUMIFS(BD!$C$3:$C$5001,BD!$A$3:$A$5001,W$3,BD!$B$3:$B$5001,$A$437)))</f>
        <v/>
      </c>
      <c r="X437" s="172" t="str">
        <f>IF(X$3="","",IF(COUNTIFS(BD!$A$3:$A$5001,X$3,BD!$B$3:$B$5001,$A$437,BD!$C$3:$C$5001,"&lt;&gt;")=0,"",SUMIFS(BD!$C$3:$C$5001,BD!$A$3:$A$5001,X$3,BD!$B$3:$B$5001,$A$437)))</f>
        <v/>
      </c>
      <c r="Y437" s="172" t="str">
        <f>IF(Y$3="","",IF(COUNTIFS(BD!$A$3:$A$5001,Y$3,BD!$B$3:$B$5001,$A$437,BD!$C$3:$C$5001,"&lt;&gt;")=0,"",SUMIFS(BD!$C$3:$C$5001,BD!$A$3:$A$5001,Y$3,BD!$B$3:$B$5001,$A$437)))</f>
        <v/>
      </c>
      <c r="Z437" s="172" t="str">
        <f>IF(Z$3="","",IF(COUNTIFS(BD!$A$3:$A$5001,Z$3,BD!$B$3:$B$5001,$A$437,BD!$C$3:$C$5001,"&lt;&gt;")=0,"",SUMIFS(BD!$C$3:$C$5001,BD!$A$3:$A$5001,Z$3,BD!$B$3:$B$5001,$A$437)))</f>
        <v/>
      </c>
      <c r="AA437" s="172" t="str">
        <f>IF(AA$3="","",IF(COUNTIFS(BD!$A$3:$A$5001,AA$3,BD!$B$3:$B$5001,$A$437,BD!$C$3:$C$5001,"&lt;&gt;")=0,"",SUMIFS(BD!$C$3:$C$5001,BD!$A$3:$A$5001,AA$3,BD!$B$3:$B$5001,$A$437)))</f>
        <v/>
      </c>
      <c r="AB437" s="172" t="str">
        <f>IF(AB$3="","",IF(COUNTIFS(BD!$A$3:$A$5001,AB$3,BD!$B$3:$B$5001,$A$437,BD!$C$3:$C$5001,"&lt;&gt;")=0,"",SUMIFS(BD!$C$3:$C$5001,BD!$A$3:$A$5001,AB$3,BD!$B$3:$B$5001,$A$437)))</f>
        <v/>
      </c>
      <c r="AC437" s="172" t="str">
        <f>IF(AC$3="","",IF(COUNTIFS(BD!$A$3:$A$5001,AC$3,BD!$B$3:$B$5001,$A$437,BD!$C$3:$C$5001,"&lt;&gt;")=0,"",SUMIFS(BD!$C$3:$C$5001,BD!$A$3:$A$5001,AC$3,BD!$B$3:$B$5001,$A$437)))</f>
        <v/>
      </c>
      <c r="AD437" s="172" t="str">
        <f>IF(AD$3="","",IF(COUNTIFS(BD!$A$3:$A$5001,AD$3,BD!$B$3:$B$5001,$A$437,BD!$C$3:$C$5001,"&lt;&gt;")=0,"",SUMIFS(BD!$C$3:$C$5001,BD!$A$3:$A$5001,AD$3,BD!$B$3:$B$5001,$A$437)))</f>
        <v/>
      </c>
      <c r="AE437" s="172" t="str">
        <f>IF(AE$3="","",IF(COUNTIFS(BD!$A$3:$A$5001,AE$3,BD!$B$3:$B$5001,$A$437,BD!$C$3:$C$5001,"&lt;&gt;")=0,"",SUMIFS(BD!$C$3:$C$5001,BD!$A$3:$A$5001,AE$3,BD!$B$3:$B$5001,$A$437)))</f>
        <v/>
      </c>
      <c r="AF437" s="172" t="str">
        <f>IF(AF$3="","",IF(COUNTIFS(BD!$A$3:$A$5001,AF$3,BD!$B$3:$B$5001,$A$437,BD!$C$3:$C$5001,"&lt;&gt;")=0,"",SUMIFS(BD!$C$3:$C$5001,BD!$A$3:$A$5001,AF$3,BD!$B$3:$B$5001,$A$437)))</f>
        <v/>
      </c>
      <c r="AG437" s="172" t="str">
        <f>IF(AG$3="","",IF(COUNTIFS(BD!$A$3:$A$5001,AG$3,BD!$B$3:$B$5001,$A$437,BD!$C$3:$C$5001,"&lt;&gt;")=0,"",SUMIFS(BD!$C$3:$C$5001,BD!$A$3:$A$5001,AG$3,BD!$B$3:$B$5001,$A$437)))</f>
        <v/>
      </c>
      <c r="AH437" s="172" t="str">
        <f>IF(AH$3="","",IF(COUNTIFS(BD!$A$3:$A$5001,AH$3,BD!$B$3:$B$5001,$A$437,BD!$C$3:$C$5001,"&lt;&gt;")=0,"",SUMIFS(BD!$C$3:$C$5001,BD!$A$3:$A$5001,AH$3,BD!$B$3:$B$5001,$A$437)))</f>
        <v/>
      </c>
      <c r="AI437" s="172" t="str">
        <f>IF(AI$3="","",IF(COUNTIFS(BD!$A$3:$A$5001,AI$3,BD!$B$3:$B$5001,$A$437,BD!$C$3:$C$5001,"&lt;&gt;")=0,"",SUMIFS(BD!$C$3:$C$5001,BD!$A$3:$A$5001,AI$3,BD!$B$3:$B$5001,$A$437)))</f>
        <v/>
      </c>
      <c r="AJ437" s="173" t="str">
        <f>IF(AJ$3="","",IF(COUNTIFS(BD!$A$3:$A$5001,AJ$3,BD!$B$3:$B$5001,$A$437,BD!$C$3:$C$5001,"&lt;&gt;")=0,"",SUMIFS(BD!$C$3:$C$5001,BD!$A$3:$A$5001,AJ$3,BD!$B$3:$B$5001,$A$437)))</f>
        <v/>
      </c>
      <c r="AK437" s="174" t="str">
        <f>IF(COUNT(F437:AJ437)=0,"",SUM(F437:AJ437))</f>
        <v/>
      </c>
    </row>
    <row r="438" ht="15.75" customHeight="1" hidden="1">
      <c r="A438" s="261"/>
      <c r="B438" s="256"/>
      <c r="C438" s="214" t="inlineStr">
        <is>
          <t xml:space="preserve">Pallets Movimentados</t>
        </is>
      </c>
      <c r="D438" s="215" t="str">
        <f>IFERROR(1/(1/INDEX(BD!$AL$24:$BF$24,MATCH($A$437,BD!$AL$22:$BF$22,0))),"")</f>
        <v/>
      </c>
      <c r="E438" s="216"/>
      <c r="F438" s="217" t="str">
        <f>IF(F$3="","",IF(COUNTIFS(BD!$A$3:$A$5001,F$3,BD!$B$3:$B$5001,$A$437,BD!$D$3:$D$5001,"&lt;&gt;")=0,"",SUMIFS(BD!$D$3:$D$5001,BD!$A$3:$A$5001,F$3,BD!$B$3:$B$5001,$A$437)))</f>
        <v/>
      </c>
      <c r="G438" s="218" t="str">
        <f>IF(G$3="","",IF(COUNTIFS(BD!$A$3:$A$5001,G$3,BD!$B$3:$B$5001,$A$437,BD!$D$3:$D$5001,"&lt;&gt;")=0,"",SUMIFS(BD!$D$3:$D$5001,BD!$A$3:$A$5001,G$3,BD!$B$3:$B$5001,$A$437)))</f>
        <v/>
      </c>
      <c r="H438" s="218" t="str">
        <f>IF(H$3="","",IF(COUNTIFS(BD!$A$3:$A$5001,H$3,BD!$B$3:$B$5001,$A$437,BD!$D$3:$D$5001,"&lt;&gt;")=0,"",SUMIFS(BD!$D$3:$D$5001,BD!$A$3:$A$5001,H$3,BD!$B$3:$B$5001,$A$437)))</f>
        <v/>
      </c>
      <c r="I438" s="218" t="str">
        <f>IF(I$3="","",IF(COUNTIFS(BD!$A$3:$A$5001,I$3,BD!$B$3:$B$5001,$A$437,BD!$D$3:$D$5001,"&lt;&gt;")=0,"",SUMIFS(BD!$D$3:$D$5001,BD!$A$3:$A$5001,I$3,BD!$B$3:$B$5001,$A$437)))</f>
        <v/>
      </c>
      <c r="J438" s="218" t="str">
        <f>IF(J$3="","",IF(COUNTIFS(BD!$A$3:$A$5001,J$3,BD!$B$3:$B$5001,$A$437,BD!$D$3:$D$5001,"&lt;&gt;")=0,"",SUMIFS(BD!$D$3:$D$5001,BD!$A$3:$A$5001,J$3,BD!$B$3:$B$5001,$A$437)))</f>
        <v/>
      </c>
      <c r="K438" s="218" t="str">
        <f>IF(K$3="","",IF(COUNTIFS(BD!$A$3:$A$5001,K$3,BD!$B$3:$B$5001,$A$437,BD!$D$3:$D$5001,"&lt;&gt;")=0,"",SUMIFS(BD!$D$3:$D$5001,BD!$A$3:$A$5001,K$3,BD!$B$3:$B$5001,$A$437)))</f>
        <v/>
      </c>
      <c r="L438" s="218" t="str">
        <f>IF(L$3="","",IF(COUNTIFS(BD!$A$3:$A$5001,L$3,BD!$B$3:$B$5001,$A$437,BD!$D$3:$D$5001,"&lt;&gt;")=0,"",SUMIFS(BD!$D$3:$D$5001,BD!$A$3:$A$5001,L$3,BD!$B$3:$B$5001,$A$437)))</f>
        <v/>
      </c>
      <c r="M438" s="218" t="str">
        <f>IF(M$3="","",IF(COUNTIFS(BD!$A$3:$A$5001,M$3,BD!$B$3:$B$5001,$A$437,BD!$D$3:$D$5001,"&lt;&gt;")=0,"",SUMIFS(BD!$D$3:$D$5001,BD!$A$3:$A$5001,M$3,BD!$B$3:$B$5001,$A$437)))</f>
        <v/>
      </c>
      <c r="N438" s="218" t="str">
        <f>IF(N$3="","",IF(COUNTIFS(BD!$A$3:$A$5001,N$3,BD!$B$3:$B$5001,$A$437,BD!$D$3:$D$5001,"&lt;&gt;")=0,"",SUMIFS(BD!$D$3:$D$5001,BD!$A$3:$A$5001,N$3,BD!$B$3:$B$5001,$A$437)))</f>
        <v/>
      </c>
      <c r="O438" s="218" t="str">
        <f>IF(O$3="","",IF(COUNTIFS(BD!$A$3:$A$5001,O$3,BD!$B$3:$B$5001,$A$437,BD!$D$3:$D$5001,"&lt;&gt;")=0,"",SUMIFS(BD!$D$3:$D$5001,BD!$A$3:$A$5001,O$3,BD!$B$3:$B$5001,$A$437)))</f>
        <v/>
      </c>
      <c r="P438" s="218" t="str">
        <f>IF(P$3="","",IF(COUNTIFS(BD!$A$3:$A$5001,P$3,BD!$B$3:$B$5001,$A$437,BD!$D$3:$D$5001,"&lt;&gt;")=0,"",SUMIFS(BD!$D$3:$D$5001,BD!$A$3:$A$5001,P$3,BD!$B$3:$B$5001,$A$437)))</f>
        <v/>
      </c>
      <c r="Q438" s="218" t="str">
        <f>IF(Q$3="","",IF(COUNTIFS(BD!$A$3:$A$5001,Q$3,BD!$B$3:$B$5001,$A$437,BD!$D$3:$D$5001,"&lt;&gt;")=0,"",SUMIFS(BD!$D$3:$D$5001,BD!$A$3:$A$5001,Q$3,BD!$B$3:$B$5001,$A$437)))</f>
        <v/>
      </c>
      <c r="R438" s="218" t="str">
        <f>IF(R$3="","",IF(COUNTIFS(BD!$A$3:$A$5001,R$3,BD!$B$3:$B$5001,$A$437,BD!$D$3:$D$5001,"&lt;&gt;")=0,"",SUMIFS(BD!$D$3:$D$5001,BD!$A$3:$A$5001,R$3,BD!$B$3:$B$5001,$A$437)))</f>
        <v/>
      </c>
      <c r="S438" s="218" t="str">
        <f>IF(S$3="","",IF(COUNTIFS(BD!$A$3:$A$5001,S$3,BD!$B$3:$B$5001,$A$437,BD!$D$3:$D$5001,"&lt;&gt;")=0,"",SUMIFS(BD!$D$3:$D$5001,BD!$A$3:$A$5001,S$3,BD!$B$3:$B$5001,$A$437)))</f>
        <v/>
      </c>
      <c r="T438" s="218" t="str">
        <f>IF(T$3="","",IF(COUNTIFS(BD!$A$3:$A$5001,T$3,BD!$B$3:$B$5001,$A$437,BD!$D$3:$D$5001,"&lt;&gt;")=0,"",SUMIFS(BD!$D$3:$D$5001,BD!$A$3:$A$5001,T$3,BD!$B$3:$B$5001,$A$437)))</f>
        <v/>
      </c>
      <c r="U438" s="218" t="str">
        <f>IF(U$3="","",IF(COUNTIFS(BD!$A$3:$A$5001,U$3,BD!$B$3:$B$5001,$A$437,BD!$D$3:$D$5001,"&lt;&gt;")=0,"",SUMIFS(BD!$D$3:$D$5001,BD!$A$3:$A$5001,U$3,BD!$B$3:$B$5001,$A$437)))</f>
        <v/>
      </c>
      <c r="V438" s="218" t="str">
        <f>IF(V$3="","",IF(COUNTIFS(BD!$A$3:$A$5001,V$3,BD!$B$3:$B$5001,$A$437,BD!$D$3:$D$5001,"&lt;&gt;")=0,"",SUMIFS(BD!$D$3:$D$5001,BD!$A$3:$A$5001,V$3,BD!$B$3:$B$5001,$A$437)))</f>
        <v/>
      </c>
      <c r="W438" s="218" t="str">
        <f>IF(W$3="","",IF(COUNTIFS(BD!$A$3:$A$5001,W$3,BD!$B$3:$B$5001,$A$437,BD!$D$3:$D$5001,"&lt;&gt;")=0,"",SUMIFS(BD!$D$3:$D$5001,BD!$A$3:$A$5001,W$3,BD!$B$3:$B$5001,$A$437)))</f>
        <v/>
      </c>
      <c r="X438" s="218" t="str">
        <f>IF(X$3="","",IF(COUNTIFS(BD!$A$3:$A$5001,X$3,BD!$B$3:$B$5001,$A$437,BD!$D$3:$D$5001,"&lt;&gt;")=0,"",SUMIFS(BD!$D$3:$D$5001,BD!$A$3:$A$5001,X$3,BD!$B$3:$B$5001,$A$437)))</f>
        <v/>
      </c>
      <c r="Y438" s="218" t="str">
        <f>IF(Y$3="","",IF(COUNTIFS(BD!$A$3:$A$5001,Y$3,BD!$B$3:$B$5001,$A$437,BD!$D$3:$D$5001,"&lt;&gt;")=0,"",SUMIFS(BD!$D$3:$D$5001,BD!$A$3:$A$5001,Y$3,BD!$B$3:$B$5001,$A$437)))</f>
        <v/>
      </c>
      <c r="Z438" s="218" t="str">
        <f>IF(Z$3="","",IF(COUNTIFS(BD!$A$3:$A$5001,Z$3,BD!$B$3:$B$5001,$A$437,BD!$D$3:$D$5001,"&lt;&gt;")=0,"",SUMIFS(BD!$D$3:$D$5001,BD!$A$3:$A$5001,Z$3,BD!$B$3:$B$5001,$A$437)))</f>
        <v/>
      </c>
      <c r="AA438" s="218" t="str">
        <f>IF(AA$3="","",IF(COUNTIFS(BD!$A$3:$A$5001,AA$3,BD!$B$3:$B$5001,$A$437,BD!$D$3:$D$5001,"&lt;&gt;")=0,"",SUMIFS(BD!$D$3:$D$5001,BD!$A$3:$A$5001,AA$3,BD!$B$3:$B$5001,$A$437)))</f>
        <v/>
      </c>
      <c r="AB438" s="218" t="str">
        <f>IF(AB$3="","",IF(COUNTIFS(BD!$A$3:$A$5001,AB$3,BD!$B$3:$B$5001,$A$437,BD!$D$3:$D$5001,"&lt;&gt;")=0,"",SUMIFS(BD!$D$3:$D$5001,BD!$A$3:$A$5001,AB$3,BD!$B$3:$B$5001,$A$437)))</f>
        <v/>
      </c>
      <c r="AC438" s="218" t="str">
        <f>IF(AC$3="","",IF(COUNTIFS(BD!$A$3:$A$5001,AC$3,BD!$B$3:$B$5001,$A$437,BD!$D$3:$D$5001,"&lt;&gt;")=0,"",SUMIFS(BD!$D$3:$D$5001,BD!$A$3:$A$5001,AC$3,BD!$B$3:$B$5001,$A$437)))</f>
        <v/>
      </c>
      <c r="AD438" s="218" t="str">
        <f>IF(AD$3="","",IF(COUNTIFS(BD!$A$3:$A$5001,AD$3,BD!$B$3:$B$5001,$A$437,BD!$D$3:$D$5001,"&lt;&gt;")=0,"",SUMIFS(BD!$D$3:$D$5001,BD!$A$3:$A$5001,AD$3,BD!$B$3:$B$5001,$A$437)))</f>
        <v/>
      </c>
      <c r="AE438" s="218" t="str">
        <f>IF(AE$3="","",IF(COUNTIFS(BD!$A$3:$A$5001,AE$3,BD!$B$3:$B$5001,$A$437,BD!$D$3:$D$5001,"&lt;&gt;")=0,"",SUMIFS(BD!$D$3:$D$5001,BD!$A$3:$A$5001,AE$3,BD!$B$3:$B$5001,$A$437)))</f>
        <v/>
      </c>
      <c r="AF438" s="218" t="str">
        <f>IF(AF$3="","",IF(COUNTIFS(BD!$A$3:$A$5001,AF$3,BD!$B$3:$B$5001,$A$437,BD!$D$3:$D$5001,"&lt;&gt;")=0,"",SUMIFS(BD!$D$3:$D$5001,BD!$A$3:$A$5001,AF$3,BD!$B$3:$B$5001,$A$437)))</f>
        <v/>
      </c>
      <c r="AG438" s="218" t="str">
        <f>IF(AG$3="","",IF(COUNTIFS(BD!$A$3:$A$5001,AG$3,BD!$B$3:$B$5001,$A$437,BD!$D$3:$D$5001,"&lt;&gt;")=0,"",SUMIFS(BD!$D$3:$D$5001,BD!$A$3:$A$5001,AG$3,BD!$B$3:$B$5001,$A$437)))</f>
        <v/>
      </c>
      <c r="AH438" s="218" t="str">
        <f>IF(AH$3="","",IF(COUNTIFS(BD!$A$3:$A$5001,AH$3,BD!$B$3:$B$5001,$A$437,BD!$D$3:$D$5001,"&lt;&gt;")=0,"",SUMIFS(BD!$D$3:$D$5001,BD!$A$3:$A$5001,AH$3,BD!$B$3:$B$5001,$A$437)))</f>
        <v/>
      </c>
      <c r="AI438" s="218" t="str">
        <f>IF(AI$3="","",IF(COUNTIFS(BD!$A$3:$A$5001,AI$3,BD!$B$3:$B$5001,$A$437,BD!$D$3:$D$5001,"&lt;&gt;")=0,"",SUMIFS(BD!$D$3:$D$5001,BD!$A$3:$A$5001,AI$3,BD!$B$3:$B$5001,$A$437)))</f>
        <v/>
      </c>
      <c r="AJ438" s="219" t="str">
        <f>IF(AJ$3="","",IF(COUNTIFS(BD!$A$3:$A$5001,AJ$3,BD!$B$3:$B$5001,$A$437,BD!$D$3:$D$5001,"&lt;&gt;")=0,"",SUMIFS(BD!$D$3:$D$5001,BD!$A$3:$A$5001,AJ$3,BD!$B$3:$B$5001,$A$437)))</f>
        <v/>
      </c>
      <c r="AK438" s="220" t="str">
        <f>IF(COUNT(F438:AJ438)=0,"",SUM(F438:AJ438))</f>
        <v/>
      </c>
    </row>
    <row r="439" ht="15.75" customHeight="1" hidden="1">
      <c r="A439" s="261"/>
      <c r="B439" s="256"/>
      <c r="C439" s="214" t="inlineStr">
        <is>
          <t xml:space="preserve">Toneladas Movimentadas</t>
        </is>
      </c>
      <c r="D439" s="215" t="str">
        <f>IFERROR(1/(1/INDEX(BD!$AL$25:$BF$25,MATCH($A$437,BD!$AL$22:$BF$22,0))),"")</f>
        <v/>
      </c>
      <c r="E439" s="216"/>
      <c r="F439" s="282" t="str">
        <f>IF(F$3="","",IF(COUNTIFS(BD!$A$3:$A$5001,F$3,BD!$B$3:$B$5001,$A$437,BD!$E$3:$E$5001,"&lt;&gt;")=0,"",SUMIFS(BD!$E$3:$E$5001,BD!$A$3:$A$5001,F$3,BD!$B$3:$B$5001,$A$437)))</f>
        <v/>
      </c>
      <c r="G439" s="283" t="str">
        <f>IF(G$3="","",IF(COUNTIFS(BD!$A$3:$A$5001,G$3,BD!$B$3:$B$5001,$A$437,BD!$E$3:$E$5001,"&lt;&gt;")=0,"",SUMIFS(BD!$E$3:$E$5001,BD!$A$3:$A$5001,G$3,BD!$B$3:$B$5001,$A$437)))</f>
        <v/>
      </c>
      <c r="H439" s="283" t="str">
        <f>IF(H$3="","",IF(COUNTIFS(BD!$A$3:$A$5001,H$3,BD!$B$3:$B$5001,$A$437,BD!$E$3:$E$5001,"&lt;&gt;")=0,"",SUMIFS(BD!$E$3:$E$5001,BD!$A$3:$A$5001,H$3,BD!$B$3:$B$5001,$A$437)))</f>
        <v/>
      </c>
      <c r="I439" s="283" t="str">
        <f>IF(I$3="","",IF(COUNTIFS(BD!$A$3:$A$5001,I$3,BD!$B$3:$B$5001,$A$437,BD!$E$3:$E$5001,"&lt;&gt;")=0,"",SUMIFS(BD!$E$3:$E$5001,BD!$A$3:$A$5001,I$3,BD!$B$3:$B$5001,$A$437)))</f>
        <v/>
      </c>
      <c r="J439" s="283" t="str">
        <f>IF(J$3="","",IF(COUNTIFS(BD!$A$3:$A$5001,J$3,BD!$B$3:$B$5001,$A$437,BD!$E$3:$E$5001,"&lt;&gt;")=0,"",SUMIFS(BD!$E$3:$E$5001,BD!$A$3:$A$5001,J$3,BD!$B$3:$B$5001,$A$437)))</f>
        <v/>
      </c>
      <c r="K439" s="283" t="str">
        <f>IF(K$3="","",IF(COUNTIFS(BD!$A$3:$A$5001,K$3,BD!$B$3:$B$5001,$A$437,BD!$E$3:$E$5001,"&lt;&gt;")=0,"",SUMIFS(BD!$E$3:$E$5001,BD!$A$3:$A$5001,K$3,BD!$B$3:$B$5001,$A$437)))</f>
        <v/>
      </c>
      <c r="L439" s="283" t="str">
        <f>IF(L$3="","",IF(COUNTIFS(BD!$A$3:$A$5001,L$3,BD!$B$3:$B$5001,$A$437,BD!$E$3:$E$5001,"&lt;&gt;")=0,"",SUMIFS(BD!$E$3:$E$5001,BD!$A$3:$A$5001,L$3,BD!$B$3:$B$5001,$A$437)))</f>
        <v/>
      </c>
      <c r="M439" s="283" t="str">
        <f>IF(M$3="","",IF(COUNTIFS(BD!$A$3:$A$5001,M$3,BD!$B$3:$B$5001,$A$437,BD!$E$3:$E$5001,"&lt;&gt;")=0,"",SUMIFS(BD!$E$3:$E$5001,BD!$A$3:$A$5001,M$3,BD!$B$3:$B$5001,$A$437)))</f>
        <v/>
      </c>
      <c r="N439" s="283" t="str">
        <f>IF(N$3="","",IF(COUNTIFS(BD!$A$3:$A$5001,N$3,BD!$B$3:$B$5001,$A$437,BD!$E$3:$E$5001,"&lt;&gt;")=0,"",SUMIFS(BD!$E$3:$E$5001,BD!$A$3:$A$5001,N$3,BD!$B$3:$B$5001,$A$437)))</f>
        <v/>
      </c>
      <c r="O439" s="283" t="str">
        <f>IF(O$3="","",IF(COUNTIFS(BD!$A$3:$A$5001,O$3,BD!$B$3:$B$5001,$A$437,BD!$E$3:$E$5001,"&lt;&gt;")=0,"",SUMIFS(BD!$E$3:$E$5001,BD!$A$3:$A$5001,O$3,BD!$B$3:$B$5001,$A$437)))</f>
        <v/>
      </c>
      <c r="P439" s="283" t="str">
        <f>IF(P$3="","",IF(COUNTIFS(BD!$A$3:$A$5001,P$3,BD!$B$3:$B$5001,$A$437,BD!$E$3:$E$5001,"&lt;&gt;")=0,"",SUMIFS(BD!$E$3:$E$5001,BD!$A$3:$A$5001,P$3,BD!$B$3:$B$5001,$A$437)))</f>
        <v/>
      </c>
      <c r="Q439" s="283" t="str">
        <f>IF(Q$3="","",IF(COUNTIFS(BD!$A$3:$A$5001,Q$3,BD!$B$3:$B$5001,$A$437,BD!$E$3:$E$5001,"&lt;&gt;")=0,"",SUMIFS(BD!$E$3:$E$5001,BD!$A$3:$A$5001,Q$3,BD!$B$3:$B$5001,$A$437)))</f>
        <v/>
      </c>
      <c r="R439" s="283" t="str">
        <f>IF(R$3="","",IF(COUNTIFS(BD!$A$3:$A$5001,R$3,BD!$B$3:$B$5001,$A$437,BD!$E$3:$E$5001,"&lt;&gt;")=0,"",SUMIFS(BD!$E$3:$E$5001,BD!$A$3:$A$5001,R$3,BD!$B$3:$B$5001,$A$437)))</f>
        <v/>
      </c>
      <c r="S439" s="283" t="str">
        <f>IF(S$3="","",IF(COUNTIFS(BD!$A$3:$A$5001,S$3,BD!$B$3:$B$5001,$A$437,BD!$E$3:$E$5001,"&lt;&gt;")=0,"",SUMIFS(BD!$E$3:$E$5001,BD!$A$3:$A$5001,S$3,BD!$B$3:$B$5001,$A$437)))</f>
        <v/>
      </c>
      <c r="T439" s="283" t="str">
        <f>IF(T$3="","",IF(COUNTIFS(BD!$A$3:$A$5001,T$3,BD!$B$3:$B$5001,$A$437,BD!$E$3:$E$5001,"&lt;&gt;")=0,"",SUMIFS(BD!$E$3:$E$5001,BD!$A$3:$A$5001,T$3,BD!$B$3:$B$5001,$A$437)))</f>
        <v/>
      </c>
      <c r="U439" s="283" t="str">
        <f>IF(U$3="","",IF(COUNTIFS(BD!$A$3:$A$5001,U$3,BD!$B$3:$B$5001,$A$437,BD!$E$3:$E$5001,"&lt;&gt;")=0,"",SUMIFS(BD!$E$3:$E$5001,BD!$A$3:$A$5001,U$3,BD!$B$3:$B$5001,$A$437)))</f>
        <v/>
      </c>
      <c r="V439" s="283" t="str">
        <f>IF(V$3="","",IF(COUNTIFS(BD!$A$3:$A$5001,V$3,BD!$B$3:$B$5001,$A$437,BD!$E$3:$E$5001,"&lt;&gt;")=0,"",SUMIFS(BD!$E$3:$E$5001,BD!$A$3:$A$5001,V$3,BD!$B$3:$B$5001,$A$437)))</f>
        <v/>
      </c>
      <c r="W439" s="283" t="str">
        <f>IF(W$3="","",IF(COUNTIFS(BD!$A$3:$A$5001,W$3,BD!$B$3:$B$5001,$A$437,BD!$E$3:$E$5001,"&lt;&gt;")=0,"",SUMIFS(BD!$E$3:$E$5001,BD!$A$3:$A$5001,W$3,BD!$B$3:$B$5001,$A$437)))</f>
        <v/>
      </c>
      <c r="X439" s="283" t="str">
        <f>IF(X$3="","",IF(COUNTIFS(BD!$A$3:$A$5001,X$3,BD!$B$3:$B$5001,$A$437,BD!$E$3:$E$5001,"&lt;&gt;")=0,"",SUMIFS(BD!$E$3:$E$5001,BD!$A$3:$A$5001,X$3,BD!$B$3:$B$5001,$A$437)))</f>
        <v/>
      </c>
      <c r="Y439" s="283" t="str">
        <f>IF(Y$3="","",IF(COUNTIFS(BD!$A$3:$A$5001,Y$3,BD!$B$3:$B$5001,$A$437,BD!$E$3:$E$5001,"&lt;&gt;")=0,"",SUMIFS(BD!$E$3:$E$5001,BD!$A$3:$A$5001,Y$3,BD!$B$3:$B$5001,$A$437)))</f>
        <v/>
      </c>
      <c r="Z439" s="283" t="str">
        <f>IF(Z$3="","",IF(COUNTIFS(BD!$A$3:$A$5001,Z$3,BD!$B$3:$B$5001,$A$437,BD!$E$3:$E$5001,"&lt;&gt;")=0,"",SUMIFS(BD!$E$3:$E$5001,BD!$A$3:$A$5001,Z$3,BD!$B$3:$B$5001,$A$437)))</f>
        <v/>
      </c>
      <c r="AA439" s="283" t="str">
        <f>IF(AA$3="","",IF(COUNTIFS(BD!$A$3:$A$5001,AA$3,BD!$B$3:$B$5001,$A$437,BD!$E$3:$E$5001,"&lt;&gt;")=0,"",SUMIFS(BD!$E$3:$E$5001,BD!$A$3:$A$5001,AA$3,BD!$B$3:$B$5001,$A$437)))</f>
        <v/>
      </c>
      <c r="AB439" s="283" t="str">
        <f>IF(AB$3="","",IF(COUNTIFS(BD!$A$3:$A$5001,AB$3,BD!$B$3:$B$5001,$A$437,BD!$E$3:$E$5001,"&lt;&gt;")=0,"",SUMIFS(BD!$E$3:$E$5001,BD!$A$3:$A$5001,AB$3,BD!$B$3:$B$5001,$A$437)))</f>
        <v/>
      </c>
      <c r="AC439" s="283" t="str">
        <f>IF(AC$3="","",IF(COUNTIFS(BD!$A$3:$A$5001,AC$3,BD!$B$3:$B$5001,$A$437,BD!$E$3:$E$5001,"&lt;&gt;")=0,"",SUMIFS(BD!$E$3:$E$5001,BD!$A$3:$A$5001,AC$3,BD!$B$3:$B$5001,$A$437)))</f>
        <v/>
      </c>
      <c r="AD439" s="283" t="str">
        <f>IF(AD$3="","",IF(COUNTIFS(BD!$A$3:$A$5001,AD$3,BD!$B$3:$B$5001,$A$437,BD!$E$3:$E$5001,"&lt;&gt;")=0,"",SUMIFS(BD!$E$3:$E$5001,BD!$A$3:$A$5001,AD$3,BD!$B$3:$B$5001,$A$437)))</f>
        <v/>
      </c>
      <c r="AE439" s="283" t="str">
        <f>IF(AE$3="","",IF(COUNTIFS(BD!$A$3:$A$5001,AE$3,BD!$B$3:$B$5001,$A$437,BD!$E$3:$E$5001,"&lt;&gt;")=0,"",SUMIFS(BD!$E$3:$E$5001,BD!$A$3:$A$5001,AE$3,BD!$B$3:$B$5001,$A$437)))</f>
        <v/>
      </c>
      <c r="AF439" s="283" t="str">
        <f>IF(AF$3="","",IF(COUNTIFS(BD!$A$3:$A$5001,AF$3,BD!$B$3:$B$5001,$A$437,BD!$E$3:$E$5001,"&lt;&gt;")=0,"",SUMIFS(BD!$E$3:$E$5001,BD!$A$3:$A$5001,AF$3,BD!$B$3:$B$5001,$A$437)))</f>
        <v/>
      </c>
      <c r="AG439" s="283" t="str">
        <f>IF(AG$3="","",IF(COUNTIFS(BD!$A$3:$A$5001,AG$3,BD!$B$3:$B$5001,$A$437,BD!$E$3:$E$5001,"&lt;&gt;")=0,"",SUMIFS(BD!$E$3:$E$5001,BD!$A$3:$A$5001,AG$3,BD!$B$3:$B$5001,$A$437)))</f>
        <v/>
      </c>
      <c r="AH439" s="283" t="str">
        <f>IF(AH$3="","",IF(COUNTIFS(BD!$A$3:$A$5001,AH$3,BD!$B$3:$B$5001,$A$437,BD!$E$3:$E$5001,"&lt;&gt;")=0,"",SUMIFS(BD!$E$3:$E$5001,BD!$A$3:$A$5001,AH$3,BD!$B$3:$B$5001,$A$437)))</f>
        <v/>
      </c>
      <c r="AI439" s="283" t="str">
        <f>IF(AI$3="","",IF(COUNTIFS(BD!$A$3:$A$5001,AI$3,BD!$B$3:$B$5001,$A$437,BD!$E$3:$E$5001,"&lt;&gt;")=0,"",SUMIFS(BD!$E$3:$E$5001,BD!$A$3:$A$5001,AI$3,BD!$B$3:$B$5001,$A$437)))</f>
        <v/>
      </c>
      <c r="AJ439" s="284" t="str">
        <f>IF(AJ$3="","",IF(COUNTIFS(BD!$A$3:$A$5001,AJ$3,BD!$B$3:$B$5001,$A$437,BD!$E$3:$E$5001,"&lt;&gt;")=0,"",SUMIFS(BD!$E$3:$E$5001,BD!$A$3:$A$5001,AJ$3,BD!$B$3:$B$5001,$A$437)))</f>
        <v/>
      </c>
      <c r="AK439" s="285" t="str">
        <f>IF(COUNT(F439:AJ439)=0,"",SUM(F439:AJ439))</f>
        <v/>
      </c>
    </row>
    <row r="440" ht="15.75" customHeight="1" hidden="1">
      <c r="A440" s="261"/>
      <c r="B440" s="256"/>
      <c r="C440" s="214" t="inlineStr">
        <is>
          <t xml:space="preserve">Linhas NF</t>
        </is>
      </c>
      <c r="D440" s="215" t="str">
        <f>IFERROR(1/(1/INDEX(BD!$AL$26:$BF$26,MATCH($A$437,BD!$AL$22:$BF$22,0))),"")</f>
        <v/>
      </c>
      <c r="E440" s="216"/>
      <c r="F440" s="217" t="str">
        <f>IF(F$3="","",IF(COUNTIFS(BD!$A$3:$A$5001,F$3,BD!$B$3:$B$5001,$A$437,BD!$F$3:$F$5001,"&lt;&gt;")=0,"",SUMIFS(BD!$F$3:$F$5001,BD!$A$3:$A$5001,F$3,BD!$B$3:$B$5001,$A$437)))</f>
        <v/>
      </c>
      <c r="G440" s="218" t="str">
        <f>IF(G$3="","",IF(COUNTIFS(BD!$A$3:$A$5001,G$3,BD!$B$3:$B$5001,$A$437,BD!$F$3:$F$5001,"&lt;&gt;")=0,"",SUMIFS(BD!$F$3:$F$5001,BD!$A$3:$A$5001,G$3,BD!$B$3:$B$5001,$A$437)))</f>
        <v/>
      </c>
      <c r="H440" s="218" t="str">
        <f>IF(H$3="","",IF(COUNTIFS(BD!$A$3:$A$5001,H$3,BD!$B$3:$B$5001,$A$437,BD!$F$3:$F$5001,"&lt;&gt;")=0,"",SUMIFS(BD!$F$3:$F$5001,BD!$A$3:$A$5001,H$3,BD!$B$3:$B$5001,$A$437)))</f>
        <v/>
      </c>
      <c r="I440" s="218" t="str">
        <f>IF(I$3="","",IF(COUNTIFS(BD!$A$3:$A$5001,I$3,BD!$B$3:$B$5001,$A$437,BD!$F$3:$F$5001,"&lt;&gt;")=0,"",SUMIFS(BD!$F$3:$F$5001,BD!$A$3:$A$5001,I$3,BD!$B$3:$B$5001,$A$437)))</f>
        <v/>
      </c>
      <c r="J440" s="218" t="str">
        <f>IF(J$3="","",IF(COUNTIFS(BD!$A$3:$A$5001,J$3,BD!$B$3:$B$5001,$A$437,BD!$F$3:$F$5001,"&lt;&gt;")=0,"",SUMIFS(BD!$F$3:$F$5001,BD!$A$3:$A$5001,J$3,BD!$B$3:$B$5001,$A$437)))</f>
        <v/>
      </c>
      <c r="K440" s="218" t="str">
        <f>IF(K$3="","",IF(COUNTIFS(BD!$A$3:$A$5001,K$3,BD!$B$3:$B$5001,$A$437,BD!$F$3:$F$5001,"&lt;&gt;")=0,"",SUMIFS(BD!$F$3:$F$5001,BD!$A$3:$A$5001,K$3,BD!$B$3:$B$5001,$A$437)))</f>
        <v/>
      </c>
      <c r="L440" s="218" t="str">
        <f>IF(L$3="","",IF(COUNTIFS(BD!$A$3:$A$5001,L$3,BD!$B$3:$B$5001,$A$437,BD!$F$3:$F$5001,"&lt;&gt;")=0,"",SUMIFS(BD!$F$3:$F$5001,BD!$A$3:$A$5001,L$3,BD!$B$3:$B$5001,$A$437)))</f>
        <v/>
      </c>
      <c r="M440" s="218" t="str">
        <f>IF(M$3="","",IF(COUNTIFS(BD!$A$3:$A$5001,M$3,BD!$B$3:$B$5001,$A$437,BD!$F$3:$F$5001,"&lt;&gt;")=0,"",SUMIFS(BD!$F$3:$F$5001,BD!$A$3:$A$5001,M$3,BD!$B$3:$B$5001,$A$437)))</f>
        <v/>
      </c>
      <c r="N440" s="218" t="str">
        <f>IF(N$3="","",IF(COUNTIFS(BD!$A$3:$A$5001,N$3,BD!$B$3:$B$5001,$A$437,BD!$F$3:$F$5001,"&lt;&gt;")=0,"",SUMIFS(BD!$F$3:$F$5001,BD!$A$3:$A$5001,N$3,BD!$B$3:$B$5001,$A$437)))</f>
        <v/>
      </c>
      <c r="O440" s="218" t="str">
        <f>IF(O$3="","",IF(COUNTIFS(BD!$A$3:$A$5001,O$3,BD!$B$3:$B$5001,$A$437,BD!$F$3:$F$5001,"&lt;&gt;")=0,"",SUMIFS(BD!$F$3:$F$5001,BD!$A$3:$A$5001,O$3,BD!$B$3:$B$5001,$A$437)))</f>
        <v/>
      </c>
      <c r="P440" s="218" t="str">
        <f>IF(P$3="","",IF(COUNTIFS(BD!$A$3:$A$5001,P$3,BD!$B$3:$B$5001,$A$437,BD!$F$3:$F$5001,"&lt;&gt;")=0,"",SUMIFS(BD!$F$3:$F$5001,BD!$A$3:$A$5001,P$3,BD!$B$3:$B$5001,$A$437)))</f>
        <v/>
      </c>
      <c r="Q440" s="218" t="str">
        <f>IF(Q$3="","",IF(COUNTIFS(BD!$A$3:$A$5001,Q$3,BD!$B$3:$B$5001,$A$437,BD!$F$3:$F$5001,"&lt;&gt;")=0,"",SUMIFS(BD!$F$3:$F$5001,BD!$A$3:$A$5001,Q$3,BD!$B$3:$B$5001,$A$437)))</f>
        <v/>
      </c>
      <c r="R440" s="218" t="str">
        <f>IF(R$3="","",IF(COUNTIFS(BD!$A$3:$A$5001,R$3,BD!$B$3:$B$5001,$A$437,BD!$F$3:$F$5001,"&lt;&gt;")=0,"",SUMIFS(BD!$F$3:$F$5001,BD!$A$3:$A$5001,R$3,BD!$B$3:$B$5001,$A$437)))</f>
        <v/>
      </c>
      <c r="S440" s="218" t="str">
        <f>IF(S$3="","",IF(COUNTIFS(BD!$A$3:$A$5001,S$3,BD!$B$3:$B$5001,$A$437,BD!$F$3:$F$5001,"&lt;&gt;")=0,"",SUMIFS(BD!$F$3:$F$5001,BD!$A$3:$A$5001,S$3,BD!$B$3:$B$5001,$A$437)))</f>
        <v/>
      </c>
      <c r="T440" s="218" t="str">
        <f>IF(T$3="","",IF(COUNTIFS(BD!$A$3:$A$5001,T$3,BD!$B$3:$B$5001,$A$437,BD!$F$3:$F$5001,"&lt;&gt;")=0,"",SUMIFS(BD!$F$3:$F$5001,BD!$A$3:$A$5001,T$3,BD!$B$3:$B$5001,$A$437)))</f>
        <v/>
      </c>
      <c r="U440" s="218" t="str">
        <f>IF(U$3="","",IF(COUNTIFS(BD!$A$3:$A$5001,U$3,BD!$B$3:$B$5001,$A$437,BD!$F$3:$F$5001,"&lt;&gt;")=0,"",SUMIFS(BD!$F$3:$F$5001,BD!$A$3:$A$5001,U$3,BD!$B$3:$B$5001,$A$437)))</f>
        <v/>
      </c>
      <c r="V440" s="218" t="str">
        <f>IF(V$3="","",IF(COUNTIFS(BD!$A$3:$A$5001,V$3,BD!$B$3:$B$5001,$A$437,BD!$F$3:$F$5001,"&lt;&gt;")=0,"",SUMIFS(BD!$F$3:$F$5001,BD!$A$3:$A$5001,V$3,BD!$B$3:$B$5001,$A$437)))</f>
        <v/>
      </c>
      <c r="W440" s="218" t="str">
        <f>IF(W$3="","",IF(COUNTIFS(BD!$A$3:$A$5001,W$3,BD!$B$3:$B$5001,$A$437,BD!$F$3:$F$5001,"&lt;&gt;")=0,"",SUMIFS(BD!$F$3:$F$5001,BD!$A$3:$A$5001,W$3,BD!$B$3:$B$5001,$A$437)))</f>
        <v/>
      </c>
      <c r="X440" s="218" t="str">
        <f>IF(X$3="","",IF(COUNTIFS(BD!$A$3:$A$5001,X$3,BD!$B$3:$B$5001,$A$437,BD!$F$3:$F$5001,"&lt;&gt;")=0,"",SUMIFS(BD!$F$3:$F$5001,BD!$A$3:$A$5001,X$3,BD!$B$3:$B$5001,$A$437)))</f>
        <v/>
      </c>
      <c r="Y440" s="218" t="str">
        <f>IF(Y$3="","",IF(COUNTIFS(BD!$A$3:$A$5001,Y$3,BD!$B$3:$B$5001,$A$437,BD!$F$3:$F$5001,"&lt;&gt;")=0,"",SUMIFS(BD!$F$3:$F$5001,BD!$A$3:$A$5001,Y$3,BD!$B$3:$B$5001,$A$437)))</f>
        <v/>
      </c>
      <c r="Z440" s="218" t="str">
        <f>IF(Z$3="","",IF(COUNTIFS(BD!$A$3:$A$5001,Z$3,BD!$B$3:$B$5001,$A$437,BD!$F$3:$F$5001,"&lt;&gt;")=0,"",SUMIFS(BD!$F$3:$F$5001,BD!$A$3:$A$5001,Z$3,BD!$B$3:$B$5001,$A$437)))</f>
        <v/>
      </c>
      <c r="AA440" s="218" t="str">
        <f>IF(AA$3="","",IF(COUNTIFS(BD!$A$3:$A$5001,AA$3,BD!$B$3:$B$5001,$A$437,BD!$F$3:$F$5001,"&lt;&gt;")=0,"",SUMIFS(BD!$F$3:$F$5001,BD!$A$3:$A$5001,AA$3,BD!$B$3:$B$5001,$A$437)))</f>
        <v/>
      </c>
      <c r="AB440" s="218" t="str">
        <f>IF(AB$3="","",IF(COUNTIFS(BD!$A$3:$A$5001,AB$3,BD!$B$3:$B$5001,$A$437,BD!$F$3:$F$5001,"&lt;&gt;")=0,"",SUMIFS(BD!$F$3:$F$5001,BD!$A$3:$A$5001,AB$3,BD!$B$3:$B$5001,$A$437)))</f>
        <v/>
      </c>
      <c r="AC440" s="218" t="str">
        <f>IF(AC$3="","",IF(COUNTIFS(BD!$A$3:$A$5001,AC$3,BD!$B$3:$B$5001,$A$437,BD!$F$3:$F$5001,"&lt;&gt;")=0,"",SUMIFS(BD!$F$3:$F$5001,BD!$A$3:$A$5001,AC$3,BD!$B$3:$B$5001,$A$437)))</f>
        <v/>
      </c>
      <c r="AD440" s="218" t="str">
        <f>IF(AD$3="","",IF(COUNTIFS(BD!$A$3:$A$5001,AD$3,BD!$B$3:$B$5001,$A$437,BD!$F$3:$F$5001,"&lt;&gt;")=0,"",SUMIFS(BD!$F$3:$F$5001,BD!$A$3:$A$5001,AD$3,BD!$B$3:$B$5001,$A$437)))</f>
        <v/>
      </c>
      <c r="AE440" s="218" t="str">
        <f>IF(AE$3="","",IF(COUNTIFS(BD!$A$3:$A$5001,AE$3,BD!$B$3:$B$5001,$A$437,BD!$F$3:$F$5001,"&lt;&gt;")=0,"",SUMIFS(BD!$F$3:$F$5001,BD!$A$3:$A$5001,AE$3,BD!$B$3:$B$5001,$A$437)))</f>
        <v/>
      </c>
      <c r="AF440" s="218" t="str">
        <f>IF(AF$3="","",IF(COUNTIFS(BD!$A$3:$A$5001,AF$3,BD!$B$3:$B$5001,$A$437,BD!$F$3:$F$5001,"&lt;&gt;")=0,"",SUMIFS(BD!$F$3:$F$5001,BD!$A$3:$A$5001,AF$3,BD!$B$3:$B$5001,$A$437)))</f>
        <v/>
      </c>
      <c r="AG440" s="218" t="str">
        <f>IF(AG$3="","",IF(COUNTIFS(BD!$A$3:$A$5001,AG$3,BD!$B$3:$B$5001,$A$437,BD!$F$3:$F$5001,"&lt;&gt;")=0,"",SUMIFS(BD!$F$3:$F$5001,BD!$A$3:$A$5001,AG$3,BD!$B$3:$B$5001,$A$437)))</f>
        <v/>
      </c>
      <c r="AH440" s="218" t="str">
        <f>IF(AH$3="","",IF(COUNTIFS(BD!$A$3:$A$5001,AH$3,BD!$B$3:$B$5001,$A$437,BD!$F$3:$F$5001,"&lt;&gt;")=0,"",SUMIFS(BD!$F$3:$F$5001,BD!$A$3:$A$5001,AH$3,BD!$B$3:$B$5001,$A$437)))</f>
        <v/>
      </c>
      <c r="AI440" s="218" t="str">
        <f>IF(AI$3="","",IF(COUNTIFS(BD!$A$3:$A$5001,AI$3,BD!$B$3:$B$5001,$A$437,BD!$F$3:$F$5001,"&lt;&gt;")=0,"",SUMIFS(BD!$F$3:$F$5001,BD!$A$3:$A$5001,AI$3,BD!$B$3:$B$5001,$A$437)))</f>
        <v/>
      </c>
      <c r="AJ440" s="219" t="str">
        <f>IF(AJ$3="","",IF(COUNTIFS(BD!$A$3:$A$5001,AJ$3,BD!$B$3:$B$5001,$A$437,BD!$F$3:$F$5001,"&lt;&gt;")=0,"",SUMIFS(BD!$F$3:$F$5001,BD!$A$3:$A$5001,AJ$3,BD!$B$3:$B$5001,$A$437)))</f>
        <v/>
      </c>
      <c r="AK440" s="220" t="str">
        <f>IF(COUNT(F440:AJ440)=0,"",SUM(F440:AJ440))</f>
        <v/>
      </c>
    </row>
    <row r="441" ht="15.75" customHeight="1" hidden="1">
      <c r="A441" s="261"/>
      <c r="B441" s="256"/>
      <c r="C441" s="214" t="inlineStr">
        <is>
          <t xml:space="preserve">Caixas Movimentadas</t>
        </is>
      </c>
      <c r="D441" s="215" t="str">
        <f>IFERROR(1/(1/INDEX(BD!$AL$27:$BF$27,MATCH($A$437,BD!$AL$22:$BF$22,0))),"")</f>
        <v/>
      </c>
      <c r="E441" s="216"/>
      <c r="F441" s="217" t="str">
        <f>IF(F$3="","",IF(COUNTIFS(BD!$A$3:$A$5001,F$3,BD!$B$3:$B$5001,$A$437,BD!$G$3:$G$5001,"&lt;&gt;")=0,"",SUMIFS(BD!$G$3:$G$5001,BD!$A$3:$A$5001,F$3,BD!$B$3:$B$5001,$A$437)))</f>
        <v/>
      </c>
      <c r="G441" s="218" t="str">
        <f>IF(G$3="","",IF(COUNTIFS(BD!$A$3:$A$5001,G$3,BD!$B$3:$B$5001,$A$437,BD!$G$3:$G$5001,"&lt;&gt;")=0,"",SUMIFS(BD!$G$3:$G$5001,BD!$A$3:$A$5001,G$3,BD!$B$3:$B$5001,$A$437)))</f>
        <v/>
      </c>
      <c r="H441" s="218" t="str">
        <f>IF(H$3="","",IF(COUNTIFS(BD!$A$3:$A$5001,H$3,BD!$B$3:$B$5001,$A$437,BD!$G$3:$G$5001,"&lt;&gt;")=0,"",SUMIFS(BD!$G$3:$G$5001,BD!$A$3:$A$5001,H$3,BD!$B$3:$B$5001,$A$437)))</f>
        <v/>
      </c>
      <c r="I441" s="218" t="str">
        <f>IF(I$3="","",IF(COUNTIFS(BD!$A$3:$A$5001,I$3,BD!$B$3:$B$5001,$A$437,BD!$G$3:$G$5001,"&lt;&gt;")=0,"",SUMIFS(BD!$G$3:$G$5001,BD!$A$3:$A$5001,I$3,BD!$B$3:$B$5001,$A$437)))</f>
        <v/>
      </c>
      <c r="J441" s="218" t="str">
        <f>IF(J$3="","",IF(COUNTIFS(BD!$A$3:$A$5001,J$3,BD!$B$3:$B$5001,$A$437,BD!$G$3:$G$5001,"&lt;&gt;")=0,"",SUMIFS(BD!$G$3:$G$5001,BD!$A$3:$A$5001,J$3,BD!$B$3:$B$5001,$A$437)))</f>
        <v/>
      </c>
      <c r="K441" s="218" t="str">
        <f>IF(K$3="","",IF(COUNTIFS(BD!$A$3:$A$5001,K$3,BD!$B$3:$B$5001,$A$437,BD!$G$3:$G$5001,"&lt;&gt;")=0,"",SUMIFS(BD!$G$3:$G$5001,BD!$A$3:$A$5001,K$3,BD!$B$3:$B$5001,$A$437)))</f>
        <v/>
      </c>
      <c r="L441" s="218" t="str">
        <f>IF(L$3="","",IF(COUNTIFS(BD!$A$3:$A$5001,L$3,BD!$B$3:$B$5001,$A$437,BD!$G$3:$G$5001,"&lt;&gt;")=0,"",SUMIFS(BD!$G$3:$G$5001,BD!$A$3:$A$5001,L$3,BD!$B$3:$B$5001,$A$437)))</f>
        <v/>
      </c>
      <c r="M441" s="218" t="str">
        <f>IF(M$3="","",IF(COUNTIFS(BD!$A$3:$A$5001,M$3,BD!$B$3:$B$5001,$A$437,BD!$G$3:$G$5001,"&lt;&gt;")=0,"",SUMIFS(BD!$G$3:$G$5001,BD!$A$3:$A$5001,M$3,BD!$B$3:$B$5001,$A$437)))</f>
        <v/>
      </c>
      <c r="N441" s="218" t="str">
        <f>IF(N$3="","",IF(COUNTIFS(BD!$A$3:$A$5001,N$3,BD!$B$3:$B$5001,$A$437,BD!$G$3:$G$5001,"&lt;&gt;")=0,"",SUMIFS(BD!$G$3:$G$5001,BD!$A$3:$A$5001,N$3,BD!$B$3:$B$5001,$A$437)))</f>
        <v/>
      </c>
      <c r="O441" s="218" t="str">
        <f>IF(O$3="","",IF(COUNTIFS(BD!$A$3:$A$5001,O$3,BD!$B$3:$B$5001,$A$437,BD!$G$3:$G$5001,"&lt;&gt;")=0,"",SUMIFS(BD!$G$3:$G$5001,BD!$A$3:$A$5001,O$3,BD!$B$3:$B$5001,$A$437)))</f>
        <v/>
      </c>
      <c r="P441" s="218" t="str">
        <f>IF(P$3="","",IF(COUNTIFS(BD!$A$3:$A$5001,P$3,BD!$B$3:$B$5001,$A$437,BD!$G$3:$G$5001,"&lt;&gt;")=0,"",SUMIFS(BD!$G$3:$G$5001,BD!$A$3:$A$5001,P$3,BD!$B$3:$B$5001,$A$437)))</f>
        <v/>
      </c>
      <c r="Q441" s="218" t="str">
        <f>IF(Q$3="","",IF(COUNTIFS(BD!$A$3:$A$5001,Q$3,BD!$B$3:$B$5001,$A$437,BD!$G$3:$G$5001,"&lt;&gt;")=0,"",SUMIFS(BD!$G$3:$G$5001,BD!$A$3:$A$5001,Q$3,BD!$B$3:$B$5001,$A$437)))</f>
        <v/>
      </c>
      <c r="R441" s="218" t="str">
        <f>IF(R$3="","",IF(COUNTIFS(BD!$A$3:$A$5001,R$3,BD!$B$3:$B$5001,$A$437,BD!$G$3:$G$5001,"&lt;&gt;")=0,"",SUMIFS(BD!$G$3:$G$5001,BD!$A$3:$A$5001,R$3,BD!$B$3:$B$5001,$A$437)))</f>
        <v/>
      </c>
      <c r="S441" s="218" t="str">
        <f>IF(S$3="","",IF(COUNTIFS(BD!$A$3:$A$5001,S$3,BD!$B$3:$B$5001,$A$437,BD!$G$3:$G$5001,"&lt;&gt;")=0,"",SUMIFS(BD!$G$3:$G$5001,BD!$A$3:$A$5001,S$3,BD!$B$3:$B$5001,$A$437)))</f>
        <v/>
      </c>
      <c r="T441" s="218" t="str">
        <f>IF(T$3="","",IF(COUNTIFS(BD!$A$3:$A$5001,T$3,BD!$B$3:$B$5001,$A$437,BD!$G$3:$G$5001,"&lt;&gt;")=0,"",SUMIFS(BD!$G$3:$G$5001,BD!$A$3:$A$5001,T$3,BD!$B$3:$B$5001,$A$437)))</f>
        <v/>
      </c>
      <c r="U441" s="218" t="str">
        <f>IF(U$3="","",IF(COUNTIFS(BD!$A$3:$A$5001,U$3,BD!$B$3:$B$5001,$A$437,BD!$G$3:$G$5001,"&lt;&gt;")=0,"",SUMIFS(BD!$G$3:$G$5001,BD!$A$3:$A$5001,U$3,BD!$B$3:$B$5001,$A$437)))</f>
        <v/>
      </c>
      <c r="V441" s="218" t="str">
        <f>IF(V$3="","",IF(COUNTIFS(BD!$A$3:$A$5001,V$3,BD!$B$3:$B$5001,$A$437,BD!$G$3:$G$5001,"&lt;&gt;")=0,"",SUMIFS(BD!$G$3:$G$5001,BD!$A$3:$A$5001,V$3,BD!$B$3:$B$5001,$A$437)))</f>
        <v/>
      </c>
      <c r="W441" s="218" t="str">
        <f>IF(W$3="","",IF(COUNTIFS(BD!$A$3:$A$5001,W$3,BD!$B$3:$B$5001,$A$437,BD!$G$3:$G$5001,"&lt;&gt;")=0,"",SUMIFS(BD!$G$3:$G$5001,BD!$A$3:$A$5001,W$3,BD!$B$3:$B$5001,$A$437)))</f>
        <v/>
      </c>
      <c r="X441" s="218" t="str">
        <f>IF(X$3="","",IF(COUNTIFS(BD!$A$3:$A$5001,X$3,BD!$B$3:$B$5001,$A$437,BD!$G$3:$G$5001,"&lt;&gt;")=0,"",SUMIFS(BD!$G$3:$G$5001,BD!$A$3:$A$5001,X$3,BD!$B$3:$B$5001,$A$437)))</f>
        <v/>
      </c>
      <c r="Y441" s="218" t="str">
        <f>IF(Y$3="","",IF(COUNTIFS(BD!$A$3:$A$5001,Y$3,BD!$B$3:$B$5001,$A$437,BD!$G$3:$G$5001,"&lt;&gt;")=0,"",SUMIFS(BD!$G$3:$G$5001,BD!$A$3:$A$5001,Y$3,BD!$B$3:$B$5001,$A$437)))</f>
        <v/>
      </c>
      <c r="Z441" s="218" t="str">
        <f>IF(Z$3="","",IF(COUNTIFS(BD!$A$3:$A$5001,Z$3,BD!$B$3:$B$5001,$A$437,BD!$G$3:$G$5001,"&lt;&gt;")=0,"",SUMIFS(BD!$G$3:$G$5001,BD!$A$3:$A$5001,Z$3,BD!$B$3:$B$5001,$A$437)))</f>
        <v/>
      </c>
      <c r="AA441" s="218" t="str">
        <f>IF(AA$3="","",IF(COUNTIFS(BD!$A$3:$A$5001,AA$3,BD!$B$3:$B$5001,$A$437,BD!$G$3:$G$5001,"&lt;&gt;")=0,"",SUMIFS(BD!$G$3:$G$5001,BD!$A$3:$A$5001,AA$3,BD!$B$3:$B$5001,$A$437)))</f>
        <v/>
      </c>
      <c r="AB441" s="218" t="str">
        <f>IF(AB$3="","",IF(COUNTIFS(BD!$A$3:$A$5001,AB$3,BD!$B$3:$B$5001,$A$437,BD!$G$3:$G$5001,"&lt;&gt;")=0,"",SUMIFS(BD!$G$3:$G$5001,BD!$A$3:$A$5001,AB$3,BD!$B$3:$B$5001,$A$437)))</f>
        <v/>
      </c>
      <c r="AC441" s="218" t="str">
        <f>IF(AC$3="","",IF(COUNTIFS(BD!$A$3:$A$5001,AC$3,BD!$B$3:$B$5001,$A$437,BD!$G$3:$G$5001,"&lt;&gt;")=0,"",SUMIFS(BD!$G$3:$G$5001,BD!$A$3:$A$5001,AC$3,BD!$B$3:$B$5001,$A$437)))</f>
        <v/>
      </c>
      <c r="AD441" s="218" t="str">
        <f>IF(AD$3="","",IF(COUNTIFS(BD!$A$3:$A$5001,AD$3,BD!$B$3:$B$5001,$A$437,BD!$G$3:$G$5001,"&lt;&gt;")=0,"",SUMIFS(BD!$G$3:$G$5001,BD!$A$3:$A$5001,AD$3,BD!$B$3:$B$5001,$A$437)))</f>
        <v/>
      </c>
      <c r="AE441" s="218" t="str">
        <f>IF(AE$3="","",IF(COUNTIFS(BD!$A$3:$A$5001,AE$3,BD!$B$3:$B$5001,$A$437,BD!$G$3:$G$5001,"&lt;&gt;")=0,"",SUMIFS(BD!$G$3:$G$5001,BD!$A$3:$A$5001,AE$3,BD!$B$3:$B$5001,$A$437)))</f>
        <v/>
      </c>
      <c r="AF441" s="218" t="str">
        <f>IF(AF$3="","",IF(COUNTIFS(BD!$A$3:$A$5001,AF$3,BD!$B$3:$B$5001,$A$437,BD!$G$3:$G$5001,"&lt;&gt;")=0,"",SUMIFS(BD!$G$3:$G$5001,BD!$A$3:$A$5001,AF$3,BD!$B$3:$B$5001,$A$437)))</f>
        <v/>
      </c>
      <c r="AG441" s="218" t="str">
        <f>IF(AG$3="","",IF(COUNTIFS(BD!$A$3:$A$5001,AG$3,BD!$B$3:$B$5001,$A$437,BD!$G$3:$G$5001,"&lt;&gt;")=0,"",SUMIFS(BD!$G$3:$G$5001,BD!$A$3:$A$5001,AG$3,BD!$B$3:$B$5001,$A$437)))</f>
        <v/>
      </c>
      <c r="AH441" s="218" t="str">
        <f>IF(AH$3="","",IF(COUNTIFS(BD!$A$3:$A$5001,AH$3,BD!$B$3:$B$5001,$A$437,BD!$G$3:$G$5001,"&lt;&gt;")=0,"",SUMIFS(BD!$G$3:$G$5001,BD!$A$3:$A$5001,AH$3,BD!$B$3:$B$5001,$A$437)))</f>
        <v/>
      </c>
      <c r="AI441" s="218" t="str">
        <f>IF(AI$3="","",IF(COUNTIFS(BD!$A$3:$A$5001,AI$3,BD!$B$3:$B$5001,$A$437,BD!$G$3:$G$5001,"&lt;&gt;")=0,"",SUMIFS(BD!$G$3:$G$5001,BD!$A$3:$A$5001,AI$3,BD!$B$3:$B$5001,$A$437)))</f>
        <v/>
      </c>
      <c r="AJ441" s="219" t="str">
        <f>IF(AJ$3="","",IF(COUNTIFS(BD!$A$3:$A$5001,AJ$3,BD!$B$3:$B$5001,$A$437,BD!$G$3:$G$5001,"&lt;&gt;")=0,"",SUMIFS(BD!$G$3:$G$5001,BD!$A$3:$A$5001,AJ$3,BD!$B$3:$B$5001,$A$437)))</f>
        <v/>
      </c>
      <c r="AK441" s="220" t="str">
        <f>IF(COUNT(F441:AJ441)=0,"",SUM(F441:AJ441))</f>
        <v/>
      </c>
    </row>
    <row r="442" ht="15.75" customHeight="1" hidden="1">
      <c r="A442" s="261"/>
      <c r="B442" s="256"/>
      <c r="C442" s="214" t="inlineStr">
        <is>
          <t xml:space="preserve">Itens Recebidos</t>
        </is>
      </c>
      <c r="D442" s="215" t="str">
        <f>IFERROR(1/(1/INDEX(BD!$AL$28:$BF$28,MATCH($A$437,BD!$AL$22:$BF$22,0))),"")</f>
        <v/>
      </c>
      <c r="E442" s="216"/>
      <c r="F442" s="217" t="str">
        <f>IF(F$3="","",IF(COUNTIFS(BD!$A$3:$A$5001,F$3,BD!$B$3:$B$5001,$A$437,BD!$H$3:$H$5001,"&lt;&gt;")=0,"",SUMIFS(BD!$H$3:$H$5001,BD!$A$3:$A$5001,F$3,BD!$B$3:$B$5001,$A$437)))</f>
        <v/>
      </c>
      <c r="G442" s="218" t="str">
        <f>IF(G$3="","",IF(COUNTIFS(BD!$A$3:$A$5001,G$3,BD!$B$3:$B$5001,$A$437,BD!$H$3:$H$5001,"&lt;&gt;")=0,"",SUMIFS(BD!$H$3:$H$5001,BD!$A$3:$A$5001,G$3,BD!$B$3:$B$5001,$A$437)))</f>
        <v/>
      </c>
      <c r="H442" s="218" t="str">
        <f>IF(H$3="","",IF(COUNTIFS(BD!$A$3:$A$5001,H$3,BD!$B$3:$B$5001,$A$437,BD!$H$3:$H$5001,"&lt;&gt;")=0,"",SUMIFS(BD!$H$3:$H$5001,BD!$A$3:$A$5001,H$3,BD!$B$3:$B$5001,$A$437)))</f>
        <v/>
      </c>
      <c r="I442" s="218" t="str">
        <f>IF(I$3="","",IF(COUNTIFS(BD!$A$3:$A$5001,I$3,BD!$B$3:$B$5001,$A$437,BD!$H$3:$H$5001,"&lt;&gt;")=0,"",SUMIFS(BD!$H$3:$H$5001,BD!$A$3:$A$5001,I$3,BD!$B$3:$B$5001,$A$437)))</f>
        <v/>
      </c>
      <c r="J442" s="218" t="str">
        <f>IF(J$3="","",IF(COUNTIFS(BD!$A$3:$A$5001,J$3,BD!$B$3:$B$5001,$A$437,BD!$H$3:$H$5001,"&lt;&gt;")=0,"",SUMIFS(BD!$H$3:$H$5001,BD!$A$3:$A$5001,J$3,BD!$B$3:$B$5001,$A$437)))</f>
        <v/>
      </c>
      <c r="K442" s="218" t="str">
        <f>IF(K$3="","",IF(COUNTIFS(BD!$A$3:$A$5001,K$3,BD!$B$3:$B$5001,$A$437,BD!$H$3:$H$5001,"&lt;&gt;")=0,"",SUMIFS(BD!$H$3:$H$5001,BD!$A$3:$A$5001,K$3,BD!$B$3:$B$5001,$A$437)))</f>
        <v/>
      </c>
      <c r="L442" s="218" t="str">
        <f>IF(L$3="","",IF(COUNTIFS(BD!$A$3:$A$5001,L$3,BD!$B$3:$B$5001,$A$437,BD!$H$3:$H$5001,"&lt;&gt;")=0,"",SUMIFS(BD!$H$3:$H$5001,BD!$A$3:$A$5001,L$3,BD!$B$3:$B$5001,$A$437)))</f>
        <v/>
      </c>
      <c r="M442" s="218" t="str">
        <f>IF(M$3="","",IF(COUNTIFS(BD!$A$3:$A$5001,M$3,BD!$B$3:$B$5001,$A$437,BD!$H$3:$H$5001,"&lt;&gt;")=0,"",SUMIFS(BD!$H$3:$H$5001,BD!$A$3:$A$5001,M$3,BD!$B$3:$B$5001,$A$437)))</f>
        <v/>
      </c>
      <c r="N442" s="218" t="str">
        <f>IF(N$3="","",IF(COUNTIFS(BD!$A$3:$A$5001,N$3,BD!$B$3:$B$5001,$A$437,BD!$H$3:$H$5001,"&lt;&gt;")=0,"",SUMIFS(BD!$H$3:$H$5001,BD!$A$3:$A$5001,N$3,BD!$B$3:$B$5001,$A$437)))</f>
        <v/>
      </c>
      <c r="O442" s="218" t="str">
        <f>IF(O$3="","",IF(COUNTIFS(BD!$A$3:$A$5001,O$3,BD!$B$3:$B$5001,$A$437,BD!$H$3:$H$5001,"&lt;&gt;")=0,"",SUMIFS(BD!$H$3:$H$5001,BD!$A$3:$A$5001,O$3,BD!$B$3:$B$5001,$A$437)))</f>
        <v/>
      </c>
      <c r="P442" s="218" t="str">
        <f>IF(P$3="","",IF(COUNTIFS(BD!$A$3:$A$5001,P$3,BD!$B$3:$B$5001,$A$437,BD!$H$3:$H$5001,"&lt;&gt;")=0,"",SUMIFS(BD!$H$3:$H$5001,BD!$A$3:$A$5001,P$3,BD!$B$3:$B$5001,$A$437)))</f>
        <v/>
      </c>
      <c r="Q442" s="218" t="str">
        <f>IF(Q$3="","",IF(COUNTIFS(BD!$A$3:$A$5001,Q$3,BD!$B$3:$B$5001,$A$437,BD!$H$3:$H$5001,"&lt;&gt;")=0,"",SUMIFS(BD!$H$3:$H$5001,BD!$A$3:$A$5001,Q$3,BD!$B$3:$B$5001,$A$437)))</f>
        <v/>
      </c>
      <c r="R442" s="218" t="str">
        <f>IF(R$3="","",IF(COUNTIFS(BD!$A$3:$A$5001,R$3,BD!$B$3:$B$5001,$A$437,BD!$H$3:$H$5001,"&lt;&gt;")=0,"",SUMIFS(BD!$H$3:$H$5001,BD!$A$3:$A$5001,R$3,BD!$B$3:$B$5001,$A$437)))</f>
        <v/>
      </c>
      <c r="S442" s="218" t="str">
        <f>IF(S$3="","",IF(COUNTIFS(BD!$A$3:$A$5001,S$3,BD!$B$3:$B$5001,$A$437,BD!$H$3:$H$5001,"&lt;&gt;")=0,"",SUMIFS(BD!$H$3:$H$5001,BD!$A$3:$A$5001,S$3,BD!$B$3:$B$5001,$A$437)))</f>
        <v/>
      </c>
      <c r="T442" s="218" t="str">
        <f>IF(T$3="","",IF(COUNTIFS(BD!$A$3:$A$5001,T$3,BD!$B$3:$B$5001,$A$437,BD!$H$3:$H$5001,"&lt;&gt;")=0,"",SUMIFS(BD!$H$3:$H$5001,BD!$A$3:$A$5001,T$3,BD!$B$3:$B$5001,$A$437)))</f>
        <v/>
      </c>
      <c r="U442" s="218" t="str">
        <f>IF(U$3="","",IF(COUNTIFS(BD!$A$3:$A$5001,U$3,BD!$B$3:$B$5001,$A$437,BD!$H$3:$H$5001,"&lt;&gt;")=0,"",SUMIFS(BD!$H$3:$H$5001,BD!$A$3:$A$5001,U$3,BD!$B$3:$B$5001,$A$437)))</f>
        <v/>
      </c>
      <c r="V442" s="218" t="str">
        <f>IF(V$3="","",IF(COUNTIFS(BD!$A$3:$A$5001,V$3,BD!$B$3:$B$5001,$A$437,BD!$H$3:$H$5001,"&lt;&gt;")=0,"",SUMIFS(BD!$H$3:$H$5001,BD!$A$3:$A$5001,V$3,BD!$B$3:$B$5001,$A$437)))</f>
        <v/>
      </c>
      <c r="W442" s="218" t="str">
        <f>IF(W$3="","",IF(COUNTIFS(BD!$A$3:$A$5001,W$3,BD!$B$3:$B$5001,$A$437,BD!$H$3:$H$5001,"&lt;&gt;")=0,"",SUMIFS(BD!$H$3:$H$5001,BD!$A$3:$A$5001,W$3,BD!$B$3:$B$5001,$A$437)))</f>
        <v/>
      </c>
      <c r="X442" s="218" t="str">
        <f>IF(X$3="","",IF(COUNTIFS(BD!$A$3:$A$5001,X$3,BD!$B$3:$B$5001,$A$437,BD!$H$3:$H$5001,"&lt;&gt;")=0,"",SUMIFS(BD!$H$3:$H$5001,BD!$A$3:$A$5001,X$3,BD!$B$3:$B$5001,$A$437)))</f>
        <v/>
      </c>
      <c r="Y442" s="218" t="str">
        <f>IF(Y$3="","",IF(COUNTIFS(BD!$A$3:$A$5001,Y$3,BD!$B$3:$B$5001,$A$437,BD!$H$3:$H$5001,"&lt;&gt;")=0,"",SUMIFS(BD!$H$3:$H$5001,BD!$A$3:$A$5001,Y$3,BD!$B$3:$B$5001,$A$437)))</f>
        <v/>
      </c>
      <c r="Z442" s="218" t="str">
        <f>IF(Z$3="","",IF(COUNTIFS(BD!$A$3:$A$5001,Z$3,BD!$B$3:$B$5001,$A$437,BD!$H$3:$H$5001,"&lt;&gt;")=0,"",SUMIFS(BD!$H$3:$H$5001,BD!$A$3:$A$5001,Z$3,BD!$B$3:$B$5001,$A$437)))</f>
        <v/>
      </c>
      <c r="AA442" s="218" t="str">
        <f>IF(AA$3="","",IF(COUNTIFS(BD!$A$3:$A$5001,AA$3,BD!$B$3:$B$5001,$A$437,BD!$H$3:$H$5001,"&lt;&gt;")=0,"",SUMIFS(BD!$H$3:$H$5001,BD!$A$3:$A$5001,AA$3,BD!$B$3:$B$5001,$A$437)))</f>
        <v/>
      </c>
      <c r="AB442" s="218" t="str">
        <f>IF(AB$3="","",IF(COUNTIFS(BD!$A$3:$A$5001,AB$3,BD!$B$3:$B$5001,$A$437,BD!$H$3:$H$5001,"&lt;&gt;")=0,"",SUMIFS(BD!$H$3:$H$5001,BD!$A$3:$A$5001,AB$3,BD!$B$3:$B$5001,$A$437)))</f>
        <v/>
      </c>
      <c r="AC442" s="218" t="str">
        <f>IF(AC$3="","",IF(COUNTIFS(BD!$A$3:$A$5001,AC$3,BD!$B$3:$B$5001,$A$437,BD!$H$3:$H$5001,"&lt;&gt;")=0,"",SUMIFS(BD!$H$3:$H$5001,BD!$A$3:$A$5001,AC$3,BD!$B$3:$B$5001,$A$437)))</f>
        <v/>
      </c>
      <c r="AD442" s="218" t="str">
        <f>IF(AD$3="","",IF(COUNTIFS(BD!$A$3:$A$5001,AD$3,BD!$B$3:$B$5001,$A$437,BD!$H$3:$H$5001,"&lt;&gt;")=0,"",SUMIFS(BD!$H$3:$H$5001,BD!$A$3:$A$5001,AD$3,BD!$B$3:$B$5001,$A$437)))</f>
        <v/>
      </c>
      <c r="AE442" s="218" t="str">
        <f>IF(AE$3="","",IF(COUNTIFS(BD!$A$3:$A$5001,AE$3,BD!$B$3:$B$5001,$A$437,BD!$H$3:$H$5001,"&lt;&gt;")=0,"",SUMIFS(BD!$H$3:$H$5001,BD!$A$3:$A$5001,AE$3,BD!$B$3:$B$5001,$A$437)))</f>
        <v/>
      </c>
      <c r="AF442" s="218" t="str">
        <f>IF(AF$3="","",IF(COUNTIFS(BD!$A$3:$A$5001,AF$3,BD!$B$3:$B$5001,$A$437,BD!$H$3:$H$5001,"&lt;&gt;")=0,"",SUMIFS(BD!$H$3:$H$5001,BD!$A$3:$A$5001,AF$3,BD!$B$3:$B$5001,$A$437)))</f>
        <v/>
      </c>
      <c r="AG442" s="218" t="str">
        <f>IF(AG$3="","",IF(COUNTIFS(BD!$A$3:$A$5001,AG$3,BD!$B$3:$B$5001,$A$437,BD!$H$3:$H$5001,"&lt;&gt;")=0,"",SUMIFS(BD!$H$3:$H$5001,BD!$A$3:$A$5001,AG$3,BD!$B$3:$B$5001,$A$437)))</f>
        <v/>
      </c>
      <c r="AH442" s="218" t="str">
        <f>IF(AH$3="","",IF(COUNTIFS(BD!$A$3:$A$5001,AH$3,BD!$B$3:$B$5001,$A$437,BD!$H$3:$H$5001,"&lt;&gt;")=0,"",SUMIFS(BD!$H$3:$H$5001,BD!$A$3:$A$5001,AH$3,BD!$B$3:$B$5001,$A$437)))</f>
        <v/>
      </c>
      <c r="AI442" s="218" t="str">
        <f>IF(AI$3="","",IF(COUNTIFS(BD!$A$3:$A$5001,AI$3,BD!$B$3:$B$5001,$A$437,BD!$H$3:$H$5001,"&lt;&gt;")=0,"",SUMIFS(BD!$H$3:$H$5001,BD!$A$3:$A$5001,AI$3,BD!$B$3:$B$5001,$A$437)))</f>
        <v/>
      </c>
      <c r="AJ442" s="219" t="str">
        <f>IF(AJ$3="","",IF(COUNTIFS(BD!$A$3:$A$5001,AJ$3,BD!$B$3:$B$5001,$A$437,BD!$H$3:$H$5001,"&lt;&gt;")=0,"",SUMIFS(BD!$H$3:$H$5001,BD!$A$3:$A$5001,AJ$3,BD!$B$3:$B$5001,$A$437)))</f>
        <v/>
      </c>
      <c r="AK442" s="220" t="str">
        <f>IF(COUNT(F442:AJ442)=0,"",SUM(F442:AJ442))</f>
        <v/>
      </c>
    </row>
    <row r="443" ht="15.75" customHeight="1" hidden="1">
      <c r="A443" s="261"/>
      <c r="B443" s="256"/>
      <c r="C443" s="214" t="inlineStr">
        <is>
          <t xml:space="preserve">Itens Recebidos CX Mista</t>
        </is>
      </c>
      <c r="D443" s="215" t="str">
        <f>IFERROR(1/(1/INDEX(BD!$AL$29:$BF$29,MATCH($A$437,BD!$AL$22:$BF$22,0))),"")</f>
        <v/>
      </c>
      <c r="E443" s="216"/>
      <c r="F443" s="217" t="str">
        <f>IF(F$3="","",IF(COUNTIFS(BD!$A$3:$A$5001,F$3,BD!$B$3:$B$5001,$A$437,BD!$I$3:$I$5001,"&lt;&gt;")=0,"",SUMIFS(BD!$I$3:$I$5001,BD!$A$3:$A$5001,F$3,BD!$B$3:$B$5001,$A$437)))</f>
        <v/>
      </c>
      <c r="G443" s="218" t="str">
        <f>IF(G$3="","",IF(COUNTIFS(BD!$A$3:$A$5001,G$3,BD!$B$3:$B$5001,$A$437,BD!$I$3:$I$5001,"&lt;&gt;")=0,"",SUMIFS(BD!$I$3:$I$5001,BD!$A$3:$A$5001,G$3,BD!$B$3:$B$5001,$A$437)))</f>
        <v/>
      </c>
      <c r="H443" s="218" t="str">
        <f>IF(H$3="","",IF(COUNTIFS(BD!$A$3:$A$5001,H$3,BD!$B$3:$B$5001,$A$437,BD!$I$3:$I$5001,"&lt;&gt;")=0,"",SUMIFS(BD!$I$3:$I$5001,BD!$A$3:$A$5001,H$3,BD!$B$3:$B$5001,$A$437)))</f>
        <v/>
      </c>
      <c r="I443" s="218" t="str">
        <f>IF(I$3="","",IF(COUNTIFS(BD!$A$3:$A$5001,I$3,BD!$B$3:$B$5001,$A$437,BD!$I$3:$I$5001,"&lt;&gt;")=0,"",SUMIFS(BD!$I$3:$I$5001,BD!$A$3:$A$5001,I$3,BD!$B$3:$B$5001,$A$437)))</f>
        <v/>
      </c>
      <c r="J443" s="218" t="str">
        <f>IF(J$3="","",IF(COUNTIFS(BD!$A$3:$A$5001,J$3,BD!$B$3:$B$5001,$A$437,BD!$I$3:$I$5001,"&lt;&gt;")=0,"",SUMIFS(BD!$I$3:$I$5001,BD!$A$3:$A$5001,J$3,BD!$B$3:$B$5001,$A$437)))</f>
        <v/>
      </c>
      <c r="K443" s="218" t="str">
        <f>IF(K$3="","",IF(COUNTIFS(BD!$A$3:$A$5001,K$3,BD!$B$3:$B$5001,$A$437,BD!$I$3:$I$5001,"&lt;&gt;")=0,"",SUMIFS(BD!$I$3:$I$5001,BD!$A$3:$A$5001,K$3,BD!$B$3:$B$5001,$A$437)))</f>
        <v/>
      </c>
      <c r="L443" s="218" t="str">
        <f>IF(L$3="","",IF(COUNTIFS(BD!$A$3:$A$5001,L$3,BD!$B$3:$B$5001,$A$437,BD!$I$3:$I$5001,"&lt;&gt;")=0,"",SUMIFS(BD!$I$3:$I$5001,BD!$A$3:$A$5001,L$3,BD!$B$3:$B$5001,$A$437)))</f>
        <v/>
      </c>
      <c r="M443" s="218" t="str">
        <f>IF(M$3="","",IF(COUNTIFS(BD!$A$3:$A$5001,M$3,BD!$B$3:$B$5001,$A$437,BD!$I$3:$I$5001,"&lt;&gt;")=0,"",SUMIFS(BD!$I$3:$I$5001,BD!$A$3:$A$5001,M$3,BD!$B$3:$B$5001,$A$437)))</f>
        <v/>
      </c>
      <c r="N443" s="218" t="str">
        <f>IF(N$3="","",IF(COUNTIFS(BD!$A$3:$A$5001,N$3,BD!$B$3:$B$5001,$A$437,BD!$I$3:$I$5001,"&lt;&gt;")=0,"",SUMIFS(BD!$I$3:$I$5001,BD!$A$3:$A$5001,N$3,BD!$B$3:$B$5001,$A$437)))</f>
        <v/>
      </c>
      <c r="O443" s="218" t="str">
        <f>IF(O$3="","",IF(COUNTIFS(BD!$A$3:$A$5001,O$3,BD!$B$3:$B$5001,$A$437,BD!$I$3:$I$5001,"&lt;&gt;")=0,"",SUMIFS(BD!$I$3:$I$5001,BD!$A$3:$A$5001,O$3,BD!$B$3:$B$5001,$A$437)))</f>
        <v/>
      </c>
      <c r="P443" s="218" t="str">
        <f>IF(P$3="","",IF(COUNTIFS(BD!$A$3:$A$5001,P$3,BD!$B$3:$B$5001,$A$437,BD!$I$3:$I$5001,"&lt;&gt;")=0,"",SUMIFS(BD!$I$3:$I$5001,BD!$A$3:$A$5001,P$3,BD!$B$3:$B$5001,$A$437)))</f>
        <v/>
      </c>
      <c r="Q443" s="218" t="str">
        <f>IF(Q$3="","",IF(COUNTIFS(BD!$A$3:$A$5001,Q$3,BD!$B$3:$B$5001,$A$437,BD!$I$3:$I$5001,"&lt;&gt;")=0,"",SUMIFS(BD!$I$3:$I$5001,BD!$A$3:$A$5001,Q$3,BD!$B$3:$B$5001,$A$437)))</f>
        <v/>
      </c>
      <c r="R443" s="218" t="str">
        <f>IF(R$3="","",IF(COUNTIFS(BD!$A$3:$A$5001,R$3,BD!$B$3:$B$5001,$A$437,BD!$I$3:$I$5001,"&lt;&gt;")=0,"",SUMIFS(BD!$I$3:$I$5001,BD!$A$3:$A$5001,R$3,BD!$B$3:$B$5001,$A$437)))</f>
        <v/>
      </c>
      <c r="S443" s="218" t="str">
        <f>IF(S$3="","",IF(COUNTIFS(BD!$A$3:$A$5001,S$3,BD!$B$3:$B$5001,$A$437,BD!$I$3:$I$5001,"&lt;&gt;")=0,"",SUMIFS(BD!$I$3:$I$5001,BD!$A$3:$A$5001,S$3,BD!$B$3:$B$5001,$A$437)))</f>
        <v/>
      </c>
      <c r="T443" s="218" t="str">
        <f>IF(T$3="","",IF(COUNTIFS(BD!$A$3:$A$5001,T$3,BD!$B$3:$B$5001,$A$437,BD!$I$3:$I$5001,"&lt;&gt;")=0,"",SUMIFS(BD!$I$3:$I$5001,BD!$A$3:$A$5001,T$3,BD!$B$3:$B$5001,$A$437)))</f>
        <v/>
      </c>
      <c r="U443" s="218" t="str">
        <f>IF(U$3="","",IF(COUNTIFS(BD!$A$3:$A$5001,U$3,BD!$B$3:$B$5001,$A$437,BD!$I$3:$I$5001,"&lt;&gt;")=0,"",SUMIFS(BD!$I$3:$I$5001,BD!$A$3:$A$5001,U$3,BD!$B$3:$B$5001,$A$437)))</f>
        <v/>
      </c>
      <c r="V443" s="218" t="str">
        <f>IF(V$3="","",IF(COUNTIFS(BD!$A$3:$A$5001,V$3,BD!$B$3:$B$5001,$A$437,BD!$I$3:$I$5001,"&lt;&gt;")=0,"",SUMIFS(BD!$I$3:$I$5001,BD!$A$3:$A$5001,V$3,BD!$B$3:$B$5001,$A$437)))</f>
        <v/>
      </c>
      <c r="W443" s="218" t="str">
        <f>IF(W$3="","",IF(COUNTIFS(BD!$A$3:$A$5001,W$3,BD!$B$3:$B$5001,$A$437,BD!$I$3:$I$5001,"&lt;&gt;")=0,"",SUMIFS(BD!$I$3:$I$5001,BD!$A$3:$A$5001,W$3,BD!$B$3:$B$5001,$A$437)))</f>
        <v/>
      </c>
      <c r="X443" s="218" t="str">
        <f>IF(X$3="","",IF(COUNTIFS(BD!$A$3:$A$5001,X$3,BD!$B$3:$B$5001,$A$437,BD!$I$3:$I$5001,"&lt;&gt;")=0,"",SUMIFS(BD!$I$3:$I$5001,BD!$A$3:$A$5001,X$3,BD!$B$3:$B$5001,$A$437)))</f>
        <v/>
      </c>
      <c r="Y443" s="218" t="str">
        <f>IF(Y$3="","",IF(COUNTIFS(BD!$A$3:$A$5001,Y$3,BD!$B$3:$B$5001,$A$437,BD!$I$3:$I$5001,"&lt;&gt;")=0,"",SUMIFS(BD!$I$3:$I$5001,BD!$A$3:$A$5001,Y$3,BD!$B$3:$B$5001,$A$437)))</f>
        <v/>
      </c>
      <c r="Z443" s="218" t="str">
        <f>IF(Z$3="","",IF(COUNTIFS(BD!$A$3:$A$5001,Z$3,BD!$B$3:$B$5001,$A$437,BD!$I$3:$I$5001,"&lt;&gt;")=0,"",SUMIFS(BD!$I$3:$I$5001,BD!$A$3:$A$5001,Z$3,BD!$B$3:$B$5001,$A$437)))</f>
        <v/>
      </c>
      <c r="AA443" s="218" t="str">
        <f>IF(AA$3="","",IF(COUNTIFS(BD!$A$3:$A$5001,AA$3,BD!$B$3:$B$5001,$A$437,BD!$I$3:$I$5001,"&lt;&gt;")=0,"",SUMIFS(BD!$I$3:$I$5001,BD!$A$3:$A$5001,AA$3,BD!$B$3:$B$5001,$A$437)))</f>
        <v/>
      </c>
      <c r="AB443" s="218" t="str">
        <f>IF(AB$3="","",IF(COUNTIFS(BD!$A$3:$A$5001,AB$3,BD!$B$3:$B$5001,$A$437,BD!$I$3:$I$5001,"&lt;&gt;")=0,"",SUMIFS(BD!$I$3:$I$5001,BD!$A$3:$A$5001,AB$3,BD!$B$3:$B$5001,$A$437)))</f>
        <v/>
      </c>
      <c r="AC443" s="218" t="str">
        <f>IF(AC$3="","",IF(COUNTIFS(BD!$A$3:$A$5001,AC$3,BD!$B$3:$B$5001,$A$437,BD!$I$3:$I$5001,"&lt;&gt;")=0,"",SUMIFS(BD!$I$3:$I$5001,BD!$A$3:$A$5001,AC$3,BD!$B$3:$B$5001,$A$437)))</f>
        <v/>
      </c>
      <c r="AD443" s="218" t="str">
        <f>IF(AD$3="","",IF(COUNTIFS(BD!$A$3:$A$5001,AD$3,BD!$B$3:$B$5001,$A$437,BD!$I$3:$I$5001,"&lt;&gt;")=0,"",SUMIFS(BD!$I$3:$I$5001,BD!$A$3:$A$5001,AD$3,BD!$B$3:$B$5001,$A$437)))</f>
        <v/>
      </c>
      <c r="AE443" s="218" t="str">
        <f>IF(AE$3="","",IF(COUNTIFS(BD!$A$3:$A$5001,AE$3,BD!$B$3:$B$5001,$A$437,BD!$I$3:$I$5001,"&lt;&gt;")=0,"",SUMIFS(BD!$I$3:$I$5001,BD!$A$3:$A$5001,AE$3,BD!$B$3:$B$5001,$A$437)))</f>
        <v/>
      </c>
      <c r="AF443" s="218" t="str">
        <f>IF(AF$3="","",IF(COUNTIFS(BD!$A$3:$A$5001,AF$3,BD!$B$3:$B$5001,$A$437,BD!$I$3:$I$5001,"&lt;&gt;")=0,"",SUMIFS(BD!$I$3:$I$5001,BD!$A$3:$A$5001,AF$3,BD!$B$3:$B$5001,$A$437)))</f>
        <v/>
      </c>
      <c r="AG443" s="218" t="str">
        <f>IF(AG$3="","",IF(COUNTIFS(BD!$A$3:$A$5001,AG$3,BD!$B$3:$B$5001,$A$437,BD!$I$3:$I$5001,"&lt;&gt;")=0,"",SUMIFS(BD!$I$3:$I$5001,BD!$A$3:$A$5001,AG$3,BD!$B$3:$B$5001,$A$437)))</f>
        <v/>
      </c>
      <c r="AH443" s="218" t="str">
        <f>IF(AH$3="","",IF(COUNTIFS(BD!$A$3:$A$5001,AH$3,BD!$B$3:$B$5001,$A$437,BD!$I$3:$I$5001,"&lt;&gt;")=0,"",SUMIFS(BD!$I$3:$I$5001,BD!$A$3:$A$5001,AH$3,BD!$B$3:$B$5001,$A$437)))</f>
        <v/>
      </c>
      <c r="AI443" s="218" t="str">
        <f>IF(AI$3="","",IF(COUNTIFS(BD!$A$3:$A$5001,AI$3,BD!$B$3:$B$5001,$A$437,BD!$I$3:$I$5001,"&lt;&gt;")=0,"",SUMIFS(BD!$I$3:$I$5001,BD!$A$3:$A$5001,AI$3,BD!$B$3:$B$5001,$A$437)))</f>
        <v/>
      </c>
      <c r="AJ443" s="219" t="str">
        <f>IF(AJ$3="","",IF(COUNTIFS(BD!$A$3:$A$5001,AJ$3,BD!$B$3:$B$5001,$A$437,BD!$I$3:$I$5001,"&lt;&gt;")=0,"",SUMIFS(BD!$I$3:$I$5001,BD!$A$3:$A$5001,AJ$3,BD!$B$3:$B$5001,$A$437)))</f>
        <v/>
      </c>
      <c r="AK443" s="220" t="str">
        <f>IF(COUNT(F443:AJ443)=0,"",SUM(F443:AJ443))</f>
        <v/>
      </c>
    </row>
    <row r="444" ht="15.75" customHeight="1" hidden="1">
      <c r="A444" s="261"/>
      <c r="B444" s="256"/>
      <c r="C444" s="214" t="inlineStr">
        <is>
          <t xml:space="preserve">Caixas Fechadas</t>
        </is>
      </c>
      <c r="D444" s="215" t="str">
        <f>IFERROR(1/(1/INDEX(BD!$AL$30:$BF$30,MATCH($A$437,BD!$AL$22:$BF$22,0))),"")</f>
        <v/>
      </c>
      <c r="E444" s="216"/>
      <c r="F444" s="217" t="str">
        <f>IF(F$3="","",IF(COUNTIFS(BD!$A$3:$A$5001,F$3,BD!$B$3:$B$5001,$A$437,BD!$J$3:$J$5001,"&lt;&gt;")=0,"",SUMIFS(BD!$J$3:$J$5001,BD!$A$3:$A$5001,F$3,BD!$B$3:$B$5001,$A$437)))</f>
        <v/>
      </c>
      <c r="G444" s="218" t="str">
        <f>IF(G$3="","",IF(COUNTIFS(BD!$A$3:$A$5001,G$3,BD!$B$3:$B$5001,$A$437,BD!$J$3:$J$5001,"&lt;&gt;")=0,"",SUMIFS(BD!$J$3:$J$5001,BD!$A$3:$A$5001,G$3,BD!$B$3:$B$5001,$A$437)))</f>
        <v/>
      </c>
      <c r="H444" s="218" t="str">
        <f>IF(H$3="","",IF(COUNTIFS(BD!$A$3:$A$5001,H$3,BD!$B$3:$B$5001,$A$437,BD!$J$3:$J$5001,"&lt;&gt;")=0,"",SUMIFS(BD!$J$3:$J$5001,BD!$A$3:$A$5001,H$3,BD!$B$3:$B$5001,$A$437)))</f>
        <v/>
      </c>
      <c r="I444" s="218" t="str">
        <f>IF(I$3="","",IF(COUNTIFS(BD!$A$3:$A$5001,I$3,BD!$B$3:$B$5001,$A$437,BD!$J$3:$J$5001,"&lt;&gt;")=0,"",SUMIFS(BD!$J$3:$J$5001,BD!$A$3:$A$5001,I$3,BD!$B$3:$B$5001,$A$437)))</f>
        <v/>
      </c>
      <c r="J444" s="218" t="str">
        <f>IF(J$3="","",IF(COUNTIFS(BD!$A$3:$A$5001,J$3,BD!$B$3:$B$5001,$A$437,BD!$J$3:$J$5001,"&lt;&gt;")=0,"",SUMIFS(BD!$J$3:$J$5001,BD!$A$3:$A$5001,J$3,BD!$B$3:$B$5001,$A$437)))</f>
        <v/>
      </c>
      <c r="K444" s="218" t="str">
        <f>IF(K$3="","",IF(COUNTIFS(BD!$A$3:$A$5001,K$3,BD!$B$3:$B$5001,$A$437,BD!$J$3:$J$5001,"&lt;&gt;")=0,"",SUMIFS(BD!$J$3:$J$5001,BD!$A$3:$A$5001,K$3,BD!$B$3:$B$5001,$A$437)))</f>
        <v/>
      </c>
      <c r="L444" s="218" t="str">
        <f>IF(L$3="","",IF(COUNTIFS(BD!$A$3:$A$5001,L$3,BD!$B$3:$B$5001,$A$437,BD!$J$3:$J$5001,"&lt;&gt;")=0,"",SUMIFS(BD!$J$3:$J$5001,BD!$A$3:$A$5001,L$3,BD!$B$3:$B$5001,$A$437)))</f>
        <v/>
      </c>
      <c r="M444" s="218" t="str">
        <f>IF(M$3="","",IF(COUNTIFS(BD!$A$3:$A$5001,M$3,BD!$B$3:$B$5001,$A$437,BD!$J$3:$J$5001,"&lt;&gt;")=0,"",SUMIFS(BD!$J$3:$J$5001,BD!$A$3:$A$5001,M$3,BD!$B$3:$B$5001,$A$437)))</f>
        <v/>
      </c>
      <c r="N444" s="218" t="str">
        <f>IF(N$3="","",IF(COUNTIFS(BD!$A$3:$A$5001,N$3,BD!$B$3:$B$5001,$A$437,BD!$J$3:$J$5001,"&lt;&gt;")=0,"",SUMIFS(BD!$J$3:$J$5001,BD!$A$3:$A$5001,N$3,BD!$B$3:$B$5001,$A$437)))</f>
        <v/>
      </c>
      <c r="O444" s="218" t="str">
        <f>IF(O$3="","",IF(COUNTIFS(BD!$A$3:$A$5001,O$3,BD!$B$3:$B$5001,$A$437,BD!$J$3:$J$5001,"&lt;&gt;")=0,"",SUMIFS(BD!$J$3:$J$5001,BD!$A$3:$A$5001,O$3,BD!$B$3:$B$5001,$A$437)))</f>
        <v/>
      </c>
      <c r="P444" s="218" t="str">
        <f>IF(P$3="","",IF(COUNTIFS(BD!$A$3:$A$5001,P$3,BD!$B$3:$B$5001,$A$437,BD!$J$3:$J$5001,"&lt;&gt;")=0,"",SUMIFS(BD!$J$3:$J$5001,BD!$A$3:$A$5001,P$3,BD!$B$3:$B$5001,$A$437)))</f>
        <v/>
      </c>
      <c r="Q444" s="218" t="str">
        <f>IF(Q$3="","",IF(COUNTIFS(BD!$A$3:$A$5001,Q$3,BD!$B$3:$B$5001,$A$437,BD!$J$3:$J$5001,"&lt;&gt;")=0,"",SUMIFS(BD!$J$3:$J$5001,BD!$A$3:$A$5001,Q$3,BD!$B$3:$B$5001,$A$437)))</f>
        <v/>
      </c>
      <c r="R444" s="218" t="str">
        <f>IF(R$3="","",IF(COUNTIFS(BD!$A$3:$A$5001,R$3,BD!$B$3:$B$5001,$A$437,BD!$J$3:$J$5001,"&lt;&gt;")=0,"",SUMIFS(BD!$J$3:$J$5001,BD!$A$3:$A$5001,R$3,BD!$B$3:$B$5001,$A$437)))</f>
        <v/>
      </c>
      <c r="S444" s="218" t="str">
        <f>IF(S$3="","",IF(COUNTIFS(BD!$A$3:$A$5001,S$3,BD!$B$3:$B$5001,$A$437,BD!$J$3:$J$5001,"&lt;&gt;")=0,"",SUMIFS(BD!$J$3:$J$5001,BD!$A$3:$A$5001,S$3,BD!$B$3:$B$5001,$A$437)))</f>
        <v/>
      </c>
      <c r="T444" s="218" t="str">
        <f>IF(T$3="","",IF(COUNTIFS(BD!$A$3:$A$5001,T$3,BD!$B$3:$B$5001,$A$437,BD!$J$3:$J$5001,"&lt;&gt;")=0,"",SUMIFS(BD!$J$3:$J$5001,BD!$A$3:$A$5001,T$3,BD!$B$3:$B$5001,$A$437)))</f>
        <v/>
      </c>
      <c r="U444" s="218" t="str">
        <f>IF(U$3="","",IF(COUNTIFS(BD!$A$3:$A$5001,U$3,BD!$B$3:$B$5001,$A$437,BD!$J$3:$J$5001,"&lt;&gt;")=0,"",SUMIFS(BD!$J$3:$J$5001,BD!$A$3:$A$5001,U$3,BD!$B$3:$B$5001,$A$437)))</f>
        <v/>
      </c>
      <c r="V444" s="218" t="str">
        <f>IF(V$3="","",IF(COUNTIFS(BD!$A$3:$A$5001,V$3,BD!$B$3:$B$5001,$A$437,BD!$J$3:$J$5001,"&lt;&gt;")=0,"",SUMIFS(BD!$J$3:$J$5001,BD!$A$3:$A$5001,V$3,BD!$B$3:$B$5001,$A$437)))</f>
        <v/>
      </c>
      <c r="W444" s="218" t="str">
        <f>IF(W$3="","",IF(COUNTIFS(BD!$A$3:$A$5001,W$3,BD!$B$3:$B$5001,$A$437,BD!$J$3:$J$5001,"&lt;&gt;")=0,"",SUMIFS(BD!$J$3:$J$5001,BD!$A$3:$A$5001,W$3,BD!$B$3:$B$5001,$A$437)))</f>
        <v/>
      </c>
      <c r="X444" s="218" t="str">
        <f>IF(X$3="","",IF(COUNTIFS(BD!$A$3:$A$5001,X$3,BD!$B$3:$B$5001,$A$437,BD!$J$3:$J$5001,"&lt;&gt;")=0,"",SUMIFS(BD!$J$3:$J$5001,BD!$A$3:$A$5001,X$3,BD!$B$3:$B$5001,$A$437)))</f>
        <v/>
      </c>
      <c r="Y444" s="218" t="str">
        <f>IF(Y$3="","",IF(COUNTIFS(BD!$A$3:$A$5001,Y$3,BD!$B$3:$B$5001,$A$437,BD!$J$3:$J$5001,"&lt;&gt;")=0,"",SUMIFS(BD!$J$3:$J$5001,BD!$A$3:$A$5001,Y$3,BD!$B$3:$B$5001,$A$437)))</f>
        <v/>
      </c>
      <c r="Z444" s="218" t="str">
        <f>IF(Z$3="","",IF(COUNTIFS(BD!$A$3:$A$5001,Z$3,BD!$B$3:$B$5001,$A$437,BD!$J$3:$J$5001,"&lt;&gt;")=0,"",SUMIFS(BD!$J$3:$J$5001,BD!$A$3:$A$5001,Z$3,BD!$B$3:$B$5001,$A$437)))</f>
        <v/>
      </c>
      <c r="AA444" s="218" t="str">
        <f>IF(AA$3="","",IF(COUNTIFS(BD!$A$3:$A$5001,AA$3,BD!$B$3:$B$5001,$A$437,BD!$J$3:$J$5001,"&lt;&gt;")=0,"",SUMIFS(BD!$J$3:$J$5001,BD!$A$3:$A$5001,AA$3,BD!$B$3:$B$5001,$A$437)))</f>
        <v/>
      </c>
      <c r="AB444" s="218" t="str">
        <f>IF(AB$3="","",IF(COUNTIFS(BD!$A$3:$A$5001,AB$3,BD!$B$3:$B$5001,$A$437,BD!$J$3:$J$5001,"&lt;&gt;")=0,"",SUMIFS(BD!$J$3:$J$5001,BD!$A$3:$A$5001,AB$3,BD!$B$3:$B$5001,$A$437)))</f>
        <v/>
      </c>
      <c r="AC444" s="218" t="str">
        <f>IF(AC$3="","",IF(COUNTIFS(BD!$A$3:$A$5001,AC$3,BD!$B$3:$B$5001,$A$437,BD!$J$3:$J$5001,"&lt;&gt;")=0,"",SUMIFS(BD!$J$3:$J$5001,BD!$A$3:$A$5001,AC$3,BD!$B$3:$B$5001,$A$437)))</f>
        <v/>
      </c>
      <c r="AD444" s="218" t="str">
        <f>IF(AD$3="","",IF(COUNTIFS(BD!$A$3:$A$5001,AD$3,BD!$B$3:$B$5001,$A$437,BD!$J$3:$J$5001,"&lt;&gt;")=0,"",SUMIFS(BD!$J$3:$J$5001,BD!$A$3:$A$5001,AD$3,BD!$B$3:$B$5001,$A$437)))</f>
        <v/>
      </c>
      <c r="AE444" s="218" t="str">
        <f>IF(AE$3="","",IF(COUNTIFS(BD!$A$3:$A$5001,AE$3,BD!$B$3:$B$5001,$A$437,BD!$J$3:$J$5001,"&lt;&gt;")=0,"",SUMIFS(BD!$J$3:$J$5001,BD!$A$3:$A$5001,AE$3,BD!$B$3:$B$5001,$A$437)))</f>
        <v/>
      </c>
      <c r="AF444" s="218" t="str">
        <f>IF(AF$3="","",IF(COUNTIFS(BD!$A$3:$A$5001,AF$3,BD!$B$3:$B$5001,$A$437,BD!$J$3:$J$5001,"&lt;&gt;")=0,"",SUMIFS(BD!$J$3:$J$5001,BD!$A$3:$A$5001,AF$3,BD!$B$3:$B$5001,$A$437)))</f>
        <v/>
      </c>
      <c r="AG444" s="218" t="str">
        <f>IF(AG$3="","",IF(COUNTIFS(BD!$A$3:$A$5001,AG$3,BD!$B$3:$B$5001,$A$437,BD!$J$3:$J$5001,"&lt;&gt;")=0,"",SUMIFS(BD!$J$3:$J$5001,BD!$A$3:$A$5001,AG$3,BD!$B$3:$B$5001,$A$437)))</f>
        <v/>
      </c>
      <c r="AH444" s="218" t="str">
        <f>IF(AH$3="","",IF(COUNTIFS(BD!$A$3:$A$5001,AH$3,BD!$B$3:$B$5001,$A$437,BD!$J$3:$J$5001,"&lt;&gt;")=0,"",SUMIFS(BD!$J$3:$J$5001,BD!$A$3:$A$5001,AH$3,BD!$B$3:$B$5001,$A$437)))</f>
        <v/>
      </c>
      <c r="AI444" s="218" t="str">
        <f>IF(AI$3="","",IF(COUNTIFS(BD!$A$3:$A$5001,AI$3,BD!$B$3:$B$5001,$A$437,BD!$J$3:$J$5001,"&lt;&gt;")=0,"",SUMIFS(BD!$J$3:$J$5001,BD!$A$3:$A$5001,AI$3,BD!$B$3:$B$5001,$A$437)))</f>
        <v/>
      </c>
      <c r="AJ444" s="219" t="str">
        <f>IF(AJ$3="","",IF(COUNTIFS(BD!$A$3:$A$5001,AJ$3,BD!$B$3:$B$5001,$A$437,BD!$J$3:$J$5001,"&lt;&gt;")=0,"",SUMIFS(BD!$J$3:$J$5001,BD!$A$3:$A$5001,AJ$3,BD!$B$3:$B$5001,$A$437)))</f>
        <v/>
      </c>
      <c r="AK444" s="220" t="str">
        <f>IF(COUNT(F444:AJ444)=0,"",SUM(F444:AJ444))</f>
        <v/>
      </c>
    </row>
    <row r="445" ht="15.75" customHeight="1" hidden="1">
      <c r="A445" s="261"/>
      <c r="B445" s="250"/>
      <c r="C445" s="175" t="inlineStr">
        <is>
          <t xml:space="preserve">Caixas Mistas Recebidas</t>
        </is>
      </c>
      <c r="D445" s="176" t="str">
        <f>IFERROR(1/(1/INDEX(BD!$AL$31:$BF$31,MATCH($A$437,BD!$AL$22:$BF$22,0))),"")</f>
        <v/>
      </c>
      <c r="E445" s="177"/>
      <c r="F445" s="178" t="str">
        <f>IF(F$3="","",IF(COUNTIFS(BD!$A$3:$A$5001,F$3,BD!$B$3:$B$5001,$A$437,BD!$K$3:$K$5001,"&lt;&gt;")=0,"",SUMIFS(BD!$K$3:$K$5001,BD!$A$3:$A$5001,F$3,BD!$B$3:$B$5001,$A$437)))</f>
        <v/>
      </c>
      <c r="G445" s="179" t="str">
        <f>IF(G$3="","",IF(COUNTIFS(BD!$A$3:$A$5001,G$3,BD!$B$3:$B$5001,$A$437,BD!$K$3:$K$5001,"&lt;&gt;")=0,"",SUMIFS(BD!$K$3:$K$5001,BD!$A$3:$A$5001,G$3,BD!$B$3:$B$5001,$A$437)))</f>
        <v/>
      </c>
      <c r="H445" s="179" t="str">
        <f>IF(H$3="","",IF(COUNTIFS(BD!$A$3:$A$5001,H$3,BD!$B$3:$B$5001,$A$437,BD!$K$3:$K$5001,"&lt;&gt;")=0,"",SUMIFS(BD!$K$3:$K$5001,BD!$A$3:$A$5001,H$3,BD!$B$3:$B$5001,$A$437)))</f>
        <v/>
      </c>
      <c r="I445" s="179" t="str">
        <f>IF(I$3="","",IF(COUNTIFS(BD!$A$3:$A$5001,I$3,BD!$B$3:$B$5001,$A$437,BD!$K$3:$K$5001,"&lt;&gt;")=0,"",SUMIFS(BD!$K$3:$K$5001,BD!$A$3:$A$5001,I$3,BD!$B$3:$B$5001,$A$437)))</f>
        <v/>
      </c>
      <c r="J445" s="179" t="str">
        <f>IF(J$3="","",IF(COUNTIFS(BD!$A$3:$A$5001,J$3,BD!$B$3:$B$5001,$A$437,BD!$K$3:$K$5001,"&lt;&gt;")=0,"",SUMIFS(BD!$K$3:$K$5001,BD!$A$3:$A$5001,J$3,BD!$B$3:$B$5001,$A$437)))</f>
        <v/>
      </c>
      <c r="K445" s="179" t="str">
        <f>IF(K$3="","",IF(COUNTIFS(BD!$A$3:$A$5001,K$3,BD!$B$3:$B$5001,$A$437,BD!$K$3:$K$5001,"&lt;&gt;")=0,"",SUMIFS(BD!$K$3:$K$5001,BD!$A$3:$A$5001,K$3,BD!$B$3:$B$5001,$A$437)))</f>
        <v/>
      </c>
      <c r="L445" s="179" t="str">
        <f>IF(L$3="","",IF(COUNTIFS(BD!$A$3:$A$5001,L$3,BD!$B$3:$B$5001,$A$437,BD!$K$3:$K$5001,"&lt;&gt;")=0,"",SUMIFS(BD!$K$3:$K$5001,BD!$A$3:$A$5001,L$3,BD!$B$3:$B$5001,$A$437)))</f>
        <v/>
      </c>
      <c r="M445" s="179" t="str">
        <f>IF(M$3="","",IF(COUNTIFS(BD!$A$3:$A$5001,M$3,BD!$B$3:$B$5001,$A$437,BD!$K$3:$K$5001,"&lt;&gt;")=0,"",SUMIFS(BD!$K$3:$K$5001,BD!$A$3:$A$5001,M$3,BD!$B$3:$B$5001,$A$437)))</f>
        <v/>
      </c>
      <c r="N445" s="179" t="str">
        <f>IF(N$3="","",IF(COUNTIFS(BD!$A$3:$A$5001,N$3,BD!$B$3:$B$5001,$A$437,BD!$K$3:$K$5001,"&lt;&gt;")=0,"",SUMIFS(BD!$K$3:$K$5001,BD!$A$3:$A$5001,N$3,BD!$B$3:$B$5001,$A$437)))</f>
        <v/>
      </c>
      <c r="O445" s="179" t="str">
        <f>IF(O$3="","",IF(COUNTIFS(BD!$A$3:$A$5001,O$3,BD!$B$3:$B$5001,$A$437,BD!$K$3:$K$5001,"&lt;&gt;")=0,"",SUMIFS(BD!$K$3:$K$5001,BD!$A$3:$A$5001,O$3,BD!$B$3:$B$5001,$A$437)))</f>
        <v/>
      </c>
      <c r="P445" s="179" t="str">
        <f>IF(P$3="","",IF(COUNTIFS(BD!$A$3:$A$5001,P$3,BD!$B$3:$B$5001,$A$437,BD!$K$3:$K$5001,"&lt;&gt;")=0,"",SUMIFS(BD!$K$3:$K$5001,BD!$A$3:$A$5001,P$3,BD!$B$3:$B$5001,$A$437)))</f>
        <v/>
      </c>
      <c r="Q445" s="179" t="str">
        <f>IF(Q$3="","",IF(COUNTIFS(BD!$A$3:$A$5001,Q$3,BD!$B$3:$B$5001,$A$437,BD!$K$3:$K$5001,"&lt;&gt;")=0,"",SUMIFS(BD!$K$3:$K$5001,BD!$A$3:$A$5001,Q$3,BD!$B$3:$B$5001,$A$437)))</f>
        <v/>
      </c>
      <c r="R445" s="179" t="str">
        <f>IF(R$3="","",IF(COUNTIFS(BD!$A$3:$A$5001,R$3,BD!$B$3:$B$5001,$A$437,BD!$K$3:$K$5001,"&lt;&gt;")=0,"",SUMIFS(BD!$K$3:$K$5001,BD!$A$3:$A$5001,R$3,BD!$B$3:$B$5001,$A$437)))</f>
        <v/>
      </c>
      <c r="S445" s="179" t="str">
        <f>IF(S$3="","",IF(COUNTIFS(BD!$A$3:$A$5001,S$3,BD!$B$3:$B$5001,$A$437,BD!$K$3:$K$5001,"&lt;&gt;")=0,"",SUMIFS(BD!$K$3:$K$5001,BD!$A$3:$A$5001,S$3,BD!$B$3:$B$5001,$A$437)))</f>
        <v/>
      </c>
      <c r="T445" s="179" t="str">
        <f>IF(T$3="","",IF(COUNTIFS(BD!$A$3:$A$5001,T$3,BD!$B$3:$B$5001,$A$437,BD!$K$3:$K$5001,"&lt;&gt;")=0,"",SUMIFS(BD!$K$3:$K$5001,BD!$A$3:$A$5001,T$3,BD!$B$3:$B$5001,$A$437)))</f>
        <v/>
      </c>
      <c r="U445" s="179" t="str">
        <f>IF(U$3="","",IF(COUNTIFS(BD!$A$3:$A$5001,U$3,BD!$B$3:$B$5001,$A$437,BD!$K$3:$K$5001,"&lt;&gt;")=0,"",SUMIFS(BD!$K$3:$K$5001,BD!$A$3:$A$5001,U$3,BD!$B$3:$B$5001,$A$437)))</f>
        <v/>
      </c>
      <c r="V445" s="179" t="str">
        <f>IF(V$3="","",IF(COUNTIFS(BD!$A$3:$A$5001,V$3,BD!$B$3:$B$5001,$A$437,BD!$K$3:$K$5001,"&lt;&gt;")=0,"",SUMIFS(BD!$K$3:$K$5001,BD!$A$3:$A$5001,V$3,BD!$B$3:$B$5001,$A$437)))</f>
        <v/>
      </c>
      <c r="W445" s="179" t="str">
        <f>IF(W$3="","",IF(COUNTIFS(BD!$A$3:$A$5001,W$3,BD!$B$3:$B$5001,$A$437,BD!$K$3:$K$5001,"&lt;&gt;")=0,"",SUMIFS(BD!$K$3:$K$5001,BD!$A$3:$A$5001,W$3,BD!$B$3:$B$5001,$A$437)))</f>
        <v/>
      </c>
      <c r="X445" s="179" t="str">
        <f>IF(X$3="","",IF(COUNTIFS(BD!$A$3:$A$5001,X$3,BD!$B$3:$B$5001,$A$437,BD!$K$3:$K$5001,"&lt;&gt;")=0,"",SUMIFS(BD!$K$3:$K$5001,BD!$A$3:$A$5001,X$3,BD!$B$3:$B$5001,$A$437)))</f>
        <v/>
      </c>
      <c r="Y445" s="179" t="str">
        <f>IF(Y$3="","",IF(COUNTIFS(BD!$A$3:$A$5001,Y$3,BD!$B$3:$B$5001,$A$437,BD!$K$3:$K$5001,"&lt;&gt;")=0,"",SUMIFS(BD!$K$3:$K$5001,BD!$A$3:$A$5001,Y$3,BD!$B$3:$B$5001,$A$437)))</f>
        <v/>
      </c>
      <c r="Z445" s="179" t="str">
        <f>IF(Z$3="","",IF(COUNTIFS(BD!$A$3:$A$5001,Z$3,BD!$B$3:$B$5001,$A$437,BD!$K$3:$K$5001,"&lt;&gt;")=0,"",SUMIFS(BD!$K$3:$K$5001,BD!$A$3:$A$5001,Z$3,BD!$B$3:$B$5001,$A$437)))</f>
        <v/>
      </c>
      <c r="AA445" s="179" t="str">
        <f>IF(AA$3="","",IF(COUNTIFS(BD!$A$3:$A$5001,AA$3,BD!$B$3:$B$5001,$A$437,BD!$K$3:$K$5001,"&lt;&gt;")=0,"",SUMIFS(BD!$K$3:$K$5001,BD!$A$3:$A$5001,AA$3,BD!$B$3:$B$5001,$A$437)))</f>
        <v/>
      </c>
      <c r="AB445" s="179" t="str">
        <f>IF(AB$3="","",IF(COUNTIFS(BD!$A$3:$A$5001,AB$3,BD!$B$3:$B$5001,$A$437,BD!$K$3:$K$5001,"&lt;&gt;")=0,"",SUMIFS(BD!$K$3:$K$5001,BD!$A$3:$A$5001,AB$3,BD!$B$3:$B$5001,$A$437)))</f>
        <v/>
      </c>
      <c r="AC445" s="179" t="str">
        <f>IF(AC$3="","",IF(COUNTIFS(BD!$A$3:$A$5001,AC$3,BD!$B$3:$B$5001,$A$437,BD!$K$3:$K$5001,"&lt;&gt;")=0,"",SUMIFS(BD!$K$3:$K$5001,BD!$A$3:$A$5001,AC$3,BD!$B$3:$B$5001,$A$437)))</f>
        <v/>
      </c>
      <c r="AD445" s="179" t="str">
        <f>IF(AD$3="","",IF(COUNTIFS(BD!$A$3:$A$5001,AD$3,BD!$B$3:$B$5001,$A$437,BD!$K$3:$K$5001,"&lt;&gt;")=0,"",SUMIFS(BD!$K$3:$K$5001,BD!$A$3:$A$5001,AD$3,BD!$B$3:$B$5001,$A$437)))</f>
        <v/>
      </c>
      <c r="AE445" s="179" t="str">
        <f>IF(AE$3="","",IF(COUNTIFS(BD!$A$3:$A$5001,AE$3,BD!$B$3:$B$5001,$A$437,BD!$K$3:$K$5001,"&lt;&gt;")=0,"",SUMIFS(BD!$K$3:$K$5001,BD!$A$3:$A$5001,AE$3,BD!$B$3:$B$5001,$A$437)))</f>
        <v/>
      </c>
      <c r="AF445" s="179" t="str">
        <f>IF(AF$3="","",IF(COUNTIFS(BD!$A$3:$A$5001,AF$3,BD!$B$3:$B$5001,$A$437,BD!$K$3:$K$5001,"&lt;&gt;")=0,"",SUMIFS(BD!$K$3:$K$5001,BD!$A$3:$A$5001,AF$3,BD!$B$3:$B$5001,$A$437)))</f>
        <v/>
      </c>
      <c r="AG445" s="179" t="str">
        <f>IF(AG$3="","",IF(COUNTIFS(BD!$A$3:$A$5001,AG$3,BD!$B$3:$B$5001,$A$437,BD!$K$3:$K$5001,"&lt;&gt;")=0,"",SUMIFS(BD!$K$3:$K$5001,BD!$A$3:$A$5001,AG$3,BD!$B$3:$B$5001,$A$437)))</f>
        <v/>
      </c>
      <c r="AH445" s="179" t="str">
        <f>IF(AH$3="","",IF(COUNTIFS(BD!$A$3:$A$5001,AH$3,BD!$B$3:$B$5001,$A$437,BD!$K$3:$K$5001,"&lt;&gt;")=0,"",SUMIFS(BD!$K$3:$K$5001,BD!$A$3:$A$5001,AH$3,BD!$B$3:$B$5001,$A$437)))</f>
        <v/>
      </c>
      <c r="AI445" s="179" t="str">
        <f>IF(AI$3="","",IF(COUNTIFS(BD!$A$3:$A$5001,AI$3,BD!$B$3:$B$5001,$A$437,BD!$K$3:$K$5001,"&lt;&gt;")=0,"",SUMIFS(BD!$K$3:$K$5001,BD!$A$3:$A$5001,AI$3,BD!$B$3:$B$5001,$A$437)))</f>
        <v/>
      </c>
      <c r="AJ445" s="180" t="str">
        <f>IF(AJ$3="","",IF(COUNTIFS(BD!$A$3:$A$5001,AJ$3,BD!$B$3:$B$5001,$A$437,BD!$K$3:$K$5001,"&lt;&gt;")=0,"",SUMIFS(BD!$K$3:$K$5001,BD!$A$3:$A$5001,AJ$3,BD!$B$3:$B$5001,$A$437)))</f>
        <v/>
      </c>
      <c r="AK445" s="176" t="str">
        <f>IF(COUNT(F445:AJ445)=0,"",SUM(F445:AJ445))</f>
        <v/>
      </c>
    </row>
    <row r="446" ht="15.75" customHeight="1" hidden="1">
      <c r="A446" s="261"/>
      <c r="B446" s="251" t="inlineStr">
        <is>
          <t xml:space="preserve">OUT</t>
        </is>
      </c>
      <c r="C446" s="181" t="inlineStr">
        <is>
          <t xml:space="preserve">Veículos Expedidos</t>
        </is>
      </c>
      <c r="D446" s="182" t="str">
        <f>IFERROR(1/(1/INDEX(BD!$AL$32:$BF$32,MATCH($A$437,BD!$AL$22:$BF$22,0))),"")</f>
        <v/>
      </c>
      <c r="E446" s="183"/>
      <c r="F446" s="184" t="str">
        <f>IF(F$3="","",IF(COUNTIFS(BD!$A$3:$A$5001,F$3,BD!$B$3:$B$5001,$A$437,BD!$L$3:$L$5001,"&lt;&gt;")=0,"",SUMIFS(BD!$L$3:$L$5001,BD!$A$3:$A$5001,F$3,BD!$B$3:$B$5001,$A$437)))</f>
        <v/>
      </c>
      <c r="G446" s="185" t="str">
        <f>IF(G$3="","",IF(COUNTIFS(BD!$A$3:$A$5001,G$3,BD!$B$3:$B$5001,$A$437,BD!$L$3:$L$5001,"&lt;&gt;")=0,"",SUMIFS(BD!$L$3:$L$5001,BD!$A$3:$A$5001,G$3,BD!$B$3:$B$5001,$A$437)))</f>
        <v/>
      </c>
      <c r="H446" s="185" t="str">
        <f>IF(H$3="","",IF(COUNTIFS(BD!$A$3:$A$5001,H$3,BD!$B$3:$B$5001,$A$437,BD!$L$3:$L$5001,"&lt;&gt;")=0,"",SUMIFS(BD!$L$3:$L$5001,BD!$A$3:$A$5001,H$3,BD!$B$3:$B$5001,$A$437)))</f>
        <v/>
      </c>
      <c r="I446" s="185" t="str">
        <f>IF(I$3="","",IF(COUNTIFS(BD!$A$3:$A$5001,I$3,BD!$B$3:$B$5001,$A$437,BD!$L$3:$L$5001,"&lt;&gt;")=0,"",SUMIFS(BD!$L$3:$L$5001,BD!$A$3:$A$5001,I$3,BD!$B$3:$B$5001,$A$437)))</f>
        <v/>
      </c>
      <c r="J446" s="185" t="str">
        <f>IF(J$3="","",IF(COUNTIFS(BD!$A$3:$A$5001,J$3,BD!$B$3:$B$5001,$A$437,BD!$L$3:$L$5001,"&lt;&gt;")=0,"",SUMIFS(BD!$L$3:$L$5001,BD!$A$3:$A$5001,J$3,BD!$B$3:$B$5001,$A$437)))</f>
        <v/>
      </c>
      <c r="K446" s="185" t="str">
        <f>IF(K$3="","",IF(COUNTIFS(BD!$A$3:$A$5001,K$3,BD!$B$3:$B$5001,$A$437,BD!$L$3:$L$5001,"&lt;&gt;")=0,"",SUMIFS(BD!$L$3:$L$5001,BD!$A$3:$A$5001,K$3,BD!$B$3:$B$5001,$A$437)))</f>
        <v/>
      </c>
      <c r="L446" s="185" t="str">
        <f>IF(L$3="","",IF(COUNTIFS(BD!$A$3:$A$5001,L$3,BD!$B$3:$B$5001,$A$437,BD!$L$3:$L$5001,"&lt;&gt;")=0,"",SUMIFS(BD!$L$3:$L$5001,BD!$A$3:$A$5001,L$3,BD!$B$3:$B$5001,$A$437)))</f>
        <v/>
      </c>
      <c r="M446" s="185" t="str">
        <f>IF(M$3="","",IF(COUNTIFS(BD!$A$3:$A$5001,M$3,BD!$B$3:$B$5001,$A$437,BD!$L$3:$L$5001,"&lt;&gt;")=0,"",SUMIFS(BD!$L$3:$L$5001,BD!$A$3:$A$5001,M$3,BD!$B$3:$B$5001,$A$437)))</f>
        <v/>
      </c>
      <c r="N446" s="185" t="str">
        <f>IF(N$3="","",IF(COUNTIFS(BD!$A$3:$A$5001,N$3,BD!$B$3:$B$5001,$A$437,BD!$L$3:$L$5001,"&lt;&gt;")=0,"",SUMIFS(BD!$L$3:$L$5001,BD!$A$3:$A$5001,N$3,BD!$B$3:$B$5001,$A$437)))</f>
        <v/>
      </c>
      <c r="O446" s="185" t="str">
        <f>IF(O$3="","",IF(COUNTIFS(BD!$A$3:$A$5001,O$3,BD!$B$3:$B$5001,$A$437,BD!$L$3:$L$5001,"&lt;&gt;")=0,"",SUMIFS(BD!$L$3:$L$5001,BD!$A$3:$A$5001,O$3,BD!$B$3:$B$5001,$A$437)))</f>
        <v/>
      </c>
      <c r="P446" s="185" t="str">
        <f>IF(P$3="","",IF(COUNTIFS(BD!$A$3:$A$5001,P$3,BD!$B$3:$B$5001,$A$437,BD!$L$3:$L$5001,"&lt;&gt;")=0,"",SUMIFS(BD!$L$3:$L$5001,BD!$A$3:$A$5001,P$3,BD!$B$3:$B$5001,$A$437)))</f>
        <v/>
      </c>
      <c r="Q446" s="185" t="str">
        <f>IF(Q$3="","",IF(COUNTIFS(BD!$A$3:$A$5001,Q$3,BD!$B$3:$B$5001,$A$437,BD!$L$3:$L$5001,"&lt;&gt;")=0,"",SUMIFS(BD!$L$3:$L$5001,BD!$A$3:$A$5001,Q$3,BD!$B$3:$B$5001,$A$437)))</f>
        <v/>
      </c>
      <c r="R446" s="185" t="str">
        <f>IF(R$3="","",IF(COUNTIFS(BD!$A$3:$A$5001,R$3,BD!$B$3:$B$5001,$A$437,BD!$L$3:$L$5001,"&lt;&gt;")=0,"",SUMIFS(BD!$L$3:$L$5001,BD!$A$3:$A$5001,R$3,BD!$B$3:$B$5001,$A$437)))</f>
        <v/>
      </c>
      <c r="S446" s="185" t="str">
        <f>IF(S$3="","",IF(COUNTIFS(BD!$A$3:$A$5001,S$3,BD!$B$3:$B$5001,$A$437,BD!$L$3:$L$5001,"&lt;&gt;")=0,"",SUMIFS(BD!$L$3:$L$5001,BD!$A$3:$A$5001,S$3,BD!$B$3:$B$5001,$A$437)))</f>
        <v/>
      </c>
      <c r="T446" s="185" t="str">
        <f>IF(T$3="","",IF(COUNTIFS(BD!$A$3:$A$5001,T$3,BD!$B$3:$B$5001,$A$437,BD!$L$3:$L$5001,"&lt;&gt;")=0,"",SUMIFS(BD!$L$3:$L$5001,BD!$A$3:$A$5001,T$3,BD!$B$3:$B$5001,$A$437)))</f>
        <v/>
      </c>
      <c r="U446" s="185" t="str">
        <f>IF(U$3="","",IF(COUNTIFS(BD!$A$3:$A$5001,U$3,BD!$B$3:$B$5001,$A$437,BD!$L$3:$L$5001,"&lt;&gt;")=0,"",SUMIFS(BD!$L$3:$L$5001,BD!$A$3:$A$5001,U$3,BD!$B$3:$B$5001,$A$437)))</f>
        <v/>
      </c>
      <c r="V446" s="185" t="str">
        <f>IF(V$3="","",IF(COUNTIFS(BD!$A$3:$A$5001,V$3,BD!$B$3:$B$5001,$A$437,BD!$L$3:$L$5001,"&lt;&gt;")=0,"",SUMIFS(BD!$L$3:$L$5001,BD!$A$3:$A$5001,V$3,BD!$B$3:$B$5001,$A$437)))</f>
        <v/>
      </c>
      <c r="W446" s="185" t="str">
        <f>IF(W$3="","",IF(COUNTIFS(BD!$A$3:$A$5001,W$3,BD!$B$3:$B$5001,$A$437,BD!$L$3:$L$5001,"&lt;&gt;")=0,"",SUMIFS(BD!$L$3:$L$5001,BD!$A$3:$A$5001,W$3,BD!$B$3:$B$5001,$A$437)))</f>
        <v/>
      </c>
      <c r="X446" s="185" t="str">
        <f>IF(X$3="","",IF(COUNTIFS(BD!$A$3:$A$5001,X$3,BD!$B$3:$B$5001,$A$437,BD!$L$3:$L$5001,"&lt;&gt;")=0,"",SUMIFS(BD!$L$3:$L$5001,BD!$A$3:$A$5001,X$3,BD!$B$3:$B$5001,$A$437)))</f>
        <v/>
      </c>
      <c r="Y446" s="185" t="str">
        <f>IF(Y$3="","",IF(COUNTIFS(BD!$A$3:$A$5001,Y$3,BD!$B$3:$B$5001,$A$437,BD!$L$3:$L$5001,"&lt;&gt;")=0,"",SUMIFS(BD!$L$3:$L$5001,BD!$A$3:$A$5001,Y$3,BD!$B$3:$B$5001,$A$437)))</f>
        <v/>
      </c>
      <c r="Z446" s="185" t="str">
        <f>IF(Z$3="","",IF(COUNTIFS(BD!$A$3:$A$5001,Z$3,BD!$B$3:$B$5001,$A$437,BD!$L$3:$L$5001,"&lt;&gt;")=0,"",SUMIFS(BD!$L$3:$L$5001,BD!$A$3:$A$5001,Z$3,BD!$B$3:$B$5001,$A$437)))</f>
        <v/>
      </c>
      <c r="AA446" s="185" t="str">
        <f>IF(AA$3="","",IF(COUNTIFS(BD!$A$3:$A$5001,AA$3,BD!$B$3:$B$5001,$A$437,BD!$L$3:$L$5001,"&lt;&gt;")=0,"",SUMIFS(BD!$L$3:$L$5001,BD!$A$3:$A$5001,AA$3,BD!$B$3:$B$5001,$A$437)))</f>
        <v/>
      </c>
      <c r="AB446" s="185" t="str">
        <f>IF(AB$3="","",IF(COUNTIFS(BD!$A$3:$A$5001,AB$3,BD!$B$3:$B$5001,$A$437,BD!$L$3:$L$5001,"&lt;&gt;")=0,"",SUMIFS(BD!$L$3:$L$5001,BD!$A$3:$A$5001,AB$3,BD!$B$3:$B$5001,$A$437)))</f>
        <v/>
      </c>
      <c r="AC446" s="185" t="str">
        <f>IF(AC$3="","",IF(COUNTIFS(BD!$A$3:$A$5001,AC$3,BD!$B$3:$B$5001,$A$437,BD!$L$3:$L$5001,"&lt;&gt;")=0,"",SUMIFS(BD!$L$3:$L$5001,BD!$A$3:$A$5001,AC$3,BD!$B$3:$B$5001,$A$437)))</f>
        <v/>
      </c>
      <c r="AD446" s="185" t="str">
        <f>IF(AD$3="","",IF(COUNTIFS(BD!$A$3:$A$5001,AD$3,BD!$B$3:$B$5001,$A$437,BD!$L$3:$L$5001,"&lt;&gt;")=0,"",SUMIFS(BD!$L$3:$L$5001,BD!$A$3:$A$5001,AD$3,BD!$B$3:$B$5001,$A$437)))</f>
        <v/>
      </c>
      <c r="AE446" s="185" t="str">
        <f>IF(AE$3="","",IF(COUNTIFS(BD!$A$3:$A$5001,AE$3,BD!$B$3:$B$5001,$A$437,BD!$L$3:$L$5001,"&lt;&gt;")=0,"",SUMIFS(BD!$L$3:$L$5001,BD!$A$3:$A$5001,AE$3,BD!$B$3:$B$5001,$A$437)))</f>
        <v/>
      </c>
      <c r="AF446" s="185" t="str">
        <f>IF(AF$3="","",IF(COUNTIFS(BD!$A$3:$A$5001,AF$3,BD!$B$3:$B$5001,$A$437,BD!$L$3:$L$5001,"&lt;&gt;")=0,"",SUMIFS(BD!$L$3:$L$5001,BD!$A$3:$A$5001,AF$3,BD!$B$3:$B$5001,$A$437)))</f>
        <v/>
      </c>
      <c r="AG446" s="185" t="str">
        <f>IF(AG$3="","",IF(COUNTIFS(BD!$A$3:$A$5001,AG$3,BD!$B$3:$B$5001,$A$437,BD!$L$3:$L$5001,"&lt;&gt;")=0,"",SUMIFS(BD!$L$3:$L$5001,BD!$A$3:$A$5001,AG$3,BD!$B$3:$B$5001,$A$437)))</f>
        <v/>
      </c>
      <c r="AH446" s="185" t="str">
        <f>IF(AH$3="","",IF(COUNTIFS(BD!$A$3:$A$5001,AH$3,BD!$B$3:$B$5001,$A$437,BD!$L$3:$L$5001,"&lt;&gt;")=0,"",SUMIFS(BD!$L$3:$L$5001,BD!$A$3:$A$5001,AH$3,BD!$B$3:$B$5001,$A$437)))</f>
        <v/>
      </c>
      <c r="AI446" s="185" t="str">
        <f>IF(AI$3="","",IF(COUNTIFS(BD!$A$3:$A$5001,AI$3,BD!$B$3:$B$5001,$A$437,BD!$L$3:$L$5001,"&lt;&gt;")=0,"",SUMIFS(BD!$L$3:$L$5001,BD!$A$3:$A$5001,AI$3,BD!$B$3:$B$5001,$A$437)))</f>
        <v/>
      </c>
      <c r="AJ446" s="186" t="str">
        <f>IF(AJ$3="","",IF(COUNTIFS(BD!$A$3:$A$5001,AJ$3,BD!$B$3:$B$5001,$A$437,BD!$L$3:$L$5001,"&lt;&gt;")=0,"",SUMIFS(BD!$L$3:$L$5001,BD!$A$3:$A$5001,AJ$3,BD!$B$3:$B$5001,$A$437)))</f>
        <v/>
      </c>
      <c r="AK446" s="187" t="str">
        <f>IF(COUNT(F446:AJ446)=0,"",SUM(F446:AJ446))</f>
        <v/>
      </c>
    </row>
    <row r="447" ht="15.75" customHeight="1" hidden="1">
      <c r="A447" s="261"/>
      <c r="B447" s="278"/>
      <c r="C447" s="267" t="inlineStr">
        <is>
          <t xml:space="preserve">Pedidos Expedidos</t>
        </is>
      </c>
      <c r="D447" s="268" t="str">
        <f>IFERROR(1/(1/INDEX(BD!$AL$33:$BF$33,MATCH($A$437,BD!$AL$22:$BF$22,0))),"")</f>
        <v/>
      </c>
      <c r="E447" s="269"/>
      <c r="F447" s="270" t="str">
        <f>IF(F$3="","",IF(COUNTIFS(BD!$A$3:$A$5001,F$3,BD!$B$3:$B$5001,$A$437,BD!$M$3:$M$5001,"&lt;&gt;")=0,"",SUMIFS(BD!$M$3:$M$5001,BD!$A$3:$A$5001,F$3,BD!$B$3:$B$5001,$A$437)))</f>
        <v/>
      </c>
      <c r="G447" s="271" t="str">
        <f>IF(G$3="","",IF(COUNTIFS(BD!$A$3:$A$5001,G$3,BD!$B$3:$B$5001,$A$437,BD!$M$3:$M$5001,"&lt;&gt;")=0,"",SUMIFS(BD!$M$3:$M$5001,BD!$A$3:$A$5001,G$3,BD!$B$3:$B$5001,$A$437)))</f>
        <v/>
      </c>
      <c r="H447" s="271" t="str">
        <f>IF(H$3="","",IF(COUNTIFS(BD!$A$3:$A$5001,H$3,BD!$B$3:$B$5001,$A$437,BD!$M$3:$M$5001,"&lt;&gt;")=0,"",SUMIFS(BD!$M$3:$M$5001,BD!$A$3:$A$5001,H$3,BD!$B$3:$B$5001,$A$437)))</f>
        <v/>
      </c>
      <c r="I447" s="271" t="str">
        <f>IF(I$3="","",IF(COUNTIFS(BD!$A$3:$A$5001,I$3,BD!$B$3:$B$5001,$A$437,BD!$M$3:$M$5001,"&lt;&gt;")=0,"",SUMIFS(BD!$M$3:$M$5001,BD!$A$3:$A$5001,I$3,BD!$B$3:$B$5001,$A$437)))</f>
        <v/>
      </c>
      <c r="J447" s="271" t="str">
        <f>IF(J$3="","",IF(COUNTIFS(BD!$A$3:$A$5001,J$3,BD!$B$3:$B$5001,$A$437,BD!$M$3:$M$5001,"&lt;&gt;")=0,"",SUMIFS(BD!$M$3:$M$5001,BD!$A$3:$A$5001,J$3,BD!$B$3:$B$5001,$A$437)))</f>
        <v/>
      </c>
      <c r="K447" s="271" t="str">
        <f>IF(K$3="","",IF(COUNTIFS(BD!$A$3:$A$5001,K$3,BD!$B$3:$B$5001,$A$437,BD!$M$3:$M$5001,"&lt;&gt;")=0,"",SUMIFS(BD!$M$3:$M$5001,BD!$A$3:$A$5001,K$3,BD!$B$3:$B$5001,$A$437)))</f>
        <v/>
      </c>
      <c r="L447" s="271" t="str">
        <f>IF(L$3="","",IF(COUNTIFS(BD!$A$3:$A$5001,L$3,BD!$B$3:$B$5001,$A$437,BD!$M$3:$M$5001,"&lt;&gt;")=0,"",SUMIFS(BD!$M$3:$M$5001,BD!$A$3:$A$5001,L$3,BD!$B$3:$B$5001,$A$437)))</f>
        <v/>
      </c>
      <c r="M447" s="271" t="str">
        <f>IF(M$3="","",IF(COUNTIFS(BD!$A$3:$A$5001,M$3,BD!$B$3:$B$5001,$A$437,BD!$M$3:$M$5001,"&lt;&gt;")=0,"",SUMIFS(BD!$M$3:$M$5001,BD!$A$3:$A$5001,M$3,BD!$B$3:$B$5001,$A$437)))</f>
        <v/>
      </c>
      <c r="N447" s="271" t="str">
        <f>IF(N$3="","",IF(COUNTIFS(BD!$A$3:$A$5001,N$3,BD!$B$3:$B$5001,$A$437,BD!$M$3:$M$5001,"&lt;&gt;")=0,"",SUMIFS(BD!$M$3:$M$5001,BD!$A$3:$A$5001,N$3,BD!$B$3:$B$5001,$A$437)))</f>
        <v/>
      </c>
      <c r="O447" s="271" t="str">
        <f>IF(O$3="","",IF(COUNTIFS(BD!$A$3:$A$5001,O$3,BD!$B$3:$B$5001,$A$437,BD!$M$3:$M$5001,"&lt;&gt;")=0,"",SUMIFS(BD!$M$3:$M$5001,BD!$A$3:$A$5001,O$3,BD!$B$3:$B$5001,$A$437)))</f>
        <v/>
      </c>
      <c r="P447" s="271" t="str">
        <f>IF(P$3="","",IF(COUNTIFS(BD!$A$3:$A$5001,P$3,BD!$B$3:$B$5001,$A$437,BD!$M$3:$M$5001,"&lt;&gt;")=0,"",SUMIFS(BD!$M$3:$M$5001,BD!$A$3:$A$5001,P$3,BD!$B$3:$B$5001,$A$437)))</f>
        <v/>
      </c>
      <c r="Q447" s="271" t="str">
        <f>IF(Q$3="","",IF(COUNTIFS(BD!$A$3:$A$5001,Q$3,BD!$B$3:$B$5001,$A$437,BD!$M$3:$M$5001,"&lt;&gt;")=0,"",SUMIFS(BD!$M$3:$M$5001,BD!$A$3:$A$5001,Q$3,BD!$B$3:$B$5001,$A$437)))</f>
        <v/>
      </c>
      <c r="R447" s="271" t="str">
        <f>IF(R$3="","",IF(COUNTIFS(BD!$A$3:$A$5001,R$3,BD!$B$3:$B$5001,$A$437,BD!$M$3:$M$5001,"&lt;&gt;")=0,"",SUMIFS(BD!$M$3:$M$5001,BD!$A$3:$A$5001,R$3,BD!$B$3:$B$5001,$A$437)))</f>
        <v/>
      </c>
      <c r="S447" s="271" t="str">
        <f>IF(S$3="","",IF(COUNTIFS(BD!$A$3:$A$5001,S$3,BD!$B$3:$B$5001,$A$437,BD!$M$3:$M$5001,"&lt;&gt;")=0,"",SUMIFS(BD!$M$3:$M$5001,BD!$A$3:$A$5001,S$3,BD!$B$3:$B$5001,$A$437)))</f>
        <v/>
      </c>
      <c r="T447" s="271" t="str">
        <f>IF(T$3="","",IF(COUNTIFS(BD!$A$3:$A$5001,T$3,BD!$B$3:$B$5001,$A$437,BD!$M$3:$M$5001,"&lt;&gt;")=0,"",SUMIFS(BD!$M$3:$M$5001,BD!$A$3:$A$5001,T$3,BD!$B$3:$B$5001,$A$437)))</f>
        <v/>
      </c>
      <c r="U447" s="271" t="str">
        <f>IF(U$3="","",IF(COUNTIFS(BD!$A$3:$A$5001,U$3,BD!$B$3:$B$5001,$A$437,BD!$M$3:$M$5001,"&lt;&gt;")=0,"",SUMIFS(BD!$M$3:$M$5001,BD!$A$3:$A$5001,U$3,BD!$B$3:$B$5001,$A$437)))</f>
        <v/>
      </c>
      <c r="V447" s="271" t="str">
        <f>IF(V$3="","",IF(COUNTIFS(BD!$A$3:$A$5001,V$3,BD!$B$3:$B$5001,$A$437,BD!$M$3:$M$5001,"&lt;&gt;")=0,"",SUMIFS(BD!$M$3:$M$5001,BD!$A$3:$A$5001,V$3,BD!$B$3:$B$5001,$A$437)))</f>
        <v/>
      </c>
      <c r="W447" s="271" t="str">
        <f>IF(W$3="","",IF(COUNTIFS(BD!$A$3:$A$5001,W$3,BD!$B$3:$B$5001,$A$437,BD!$M$3:$M$5001,"&lt;&gt;")=0,"",SUMIFS(BD!$M$3:$M$5001,BD!$A$3:$A$5001,W$3,BD!$B$3:$B$5001,$A$437)))</f>
        <v/>
      </c>
      <c r="X447" s="271" t="str">
        <f>IF(X$3="","",IF(COUNTIFS(BD!$A$3:$A$5001,X$3,BD!$B$3:$B$5001,$A$437,BD!$M$3:$M$5001,"&lt;&gt;")=0,"",SUMIFS(BD!$M$3:$M$5001,BD!$A$3:$A$5001,X$3,BD!$B$3:$B$5001,$A$437)))</f>
        <v/>
      </c>
      <c r="Y447" s="271" t="str">
        <f>IF(Y$3="","",IF(COUNTIFS(BD!$A$3:$A$5001,Y$3,BD!$B$3:$B$5001,$A$437,BD!$M$3:$M$5001,"&lt;&gt;")=0,"",SUMIFS(BD!$M$3:$M$5001,BD!$A$3:$A$5001,Y$3,BD!$B$3:$B$5001,$A$437)))</f>
        <v/>
      </c>
      <c r="Z447" s="271" t="str">
        <f>IF(Z$3="","",IF(COUNTIFS(BD!$A$3:$A$5001,Z$3,BD!$B$3:$B$5001,$A$437,BD!$M$3:$M$5001,"&lt;&gt;")=0,"",SUMIFS(BD!$M$3:$M$5001,BD!$A$3:$A$5001,Z$3,BD!$B$3:$B$5001,$A$437)))</f>
        <v/>
      </c>
      <c r="AA447" s="271" t="str">
        <f>IF(AA$3="","",IF(COUNTIFS(BD!$A$3:$A$5001,AA$3,BD!$B$3:$B$5001,$A$437,BD!$M$3:$M$5001,"&lt;&gt;")=0,"",SUMIFS(BD!$M$3:$M$5001,BD!$A$3:$A$5001,AA$3,BD!$B$3:$B$5001,$A$437)))</f>
        <v/>
      </c>
      <c r="AB447" s="271" t="str">
        <f>IF(AB$3="","",IF(COUNTIFS(BD!$A$3:$A$5001,AB$3,BD!$B$3:$B$5001,$A$437,BD!$M$3:$M$5001,"&lt;&gt;")=0,"",SUMIFS(BD!$M$3:$M$5001,BD!$A$3:$A$5001,AB$3,BD!$B$3:$B$5001,$A$437)))</f>
        <v/>
      </c>
      <c r="AC447" s="271" t="str">
        <f>IF(AC$3="","",IF(COUNTIFS(BD!$A$3:$A$5001,AC$3,BD!$B$3:$B$5001,$A$437,BD!$M$3:$M$5001,"&lt;&gt;")=0,"",SUMIFS(BD!$M$3:$M$5001,BD!$A$3:$A$5001,AC$3,BD!$B$3:$B$5001,$A$437)))</f>
        <v/>
      </c>
      <c r="AD447" s="271" t="str">
        <f>IF(AD$3="","",IF(COUNTIFS(BD!$A$3:$A$5001,AD$3,BD!$B$3:$B$5001,$A$437,BD!$M$3:$M$5001,"&lt;&gt;")=0,"",SUMIFS(BD!$M$3:$M$5001,BD!$A$3:$A$5001,AD$3,BD!$B$3:$B$5001,$A$437)))</f>
        <v/>
      </c>
      <c r="AE447" s="271" t="str">
        <f>IF(AE$3="","",IF(COUNTIFS(BD!$A$3:$A$5001,AE$3,BD!$B$3:$B$5001,$A$437,BD!$M$3:$M$5001,"&lt;&gt;")=0,"",SUMIFS(BD!$M$3:$M$5001,BD!$A$3:$A$5001,AE$3,BD!$B$3:$B$5001,$A$437)))</f>
        <v/>
      </c>
      <c r="AF447" s="271" t="str">
        <f>IF(AF$3="","",IF(COUNTIFS(BD!$A$3:$A$5001,AF$3,BD!$B$3:$B$5001,$A$437,BD!$M$3:$M$5001,"&lt;&gt;")=0,"",SUMIFS(BD!$M$3:$M$5001,BD!$A$3:$A$5001,AF$3,BD!$B$3:$B$5001,$A$437)))</f>
        <v/>
      </c>
      <c r="AG447" s="271" t="str">
        <f>IF(AG$3="","",IF(COUNTIFS(BD!$A$3:$A$5001,AG$3,BD!$B$3:$B$5001,$A$437,BD!$M$3:$M$5001,"&lt;&gt;")=0,"",SUMIFS(BD!$M$3:$M$5001,BD!$A$3:$A$5001,AG$3,BD!$B$3:$B$5001,$A$437)))</f>
        <v/>
      </c>
      <c r="AH447" s="271" t="str">
        <f>IF(AH$3="","",IF(COUNTIFS(BD!$A$3:$A$5001,AH$3,BD!$B$3:$B$5001,$A$437,BD!$M$3:$M$5001,"&lt;&gt;")=0,"",SUMIFS(BD!$M$3:$M$5001,BD!$A$3:$A$5001,AH$3,BD!$B$3:$B$5001,$A$437)))</f>
        <v/>
      </c>
      <c r="AI447" s="271" t="str">
        <f>IF(AI$3="","",IF(COUNTIFS(BD!$A$3:$A$5001,AI$3,BD!$B$3:$B$5001,$A$437,BD!$M$3:$M$5001,"&lt;&gt;")=0,"",SUMIFS(BD!$M$3:$M$5001,BD!$A$3:$A$5001,AI$3,BD!$B$3:$B$5001,$A$437)))</f>
        <v/>
      </c>
      <c r="AJ447" s="272" t="str">
        <f>IF(AJ$3="","",IF(COUNTIFS(BD!$A$3:$A$5001,AJ$3,BD!$B$3:$B$5001,$A$437,BD!$M$3:$M$5001,"&lt;&gt;")=0,"",SUMIFS(BD!$M$3:$M$5001,BD!$A$3:$A$5001,AJ$3,BD!$B$3:$B$5001,$A$437)))</f>
        <v/>
      </c>
      <c r="AK447" s="273" t="str">
        <f>IF(COUNT(F447:AJ447)=0,"",SUM(F447:AJ447))</f>
        <v/>
      </c>
    </row>
    <row r="448" ht="15.75" customHeight="1" hidden="1">
      <c r="A448" s="261"/>
      <c r="B448" s="278"/>
      <c r="C448" s="267" t="inlineStr">
        <is>
          <t xml:space="preserve">Pedidos Faturados</t>
        </is>
      </c>
      <c r="D448" s="268" t="str">
        <f>IFERROR(1/(1/INDEX(BD!$AL$34:$BF$34,MATCH($A$437,BD!$AL$22:$BF$22,0))),"")</f>
        <v/>
      </c>
      <c r="E448" s="269"/>
      <c r="F448" s="270" t="str">
        <f>IF(F$3="","",IF(COUNTIFS(BD!$A$3:$A$5001,F$3,BD!$B$3:$B$5001,$A$437,BD!$N$3:$N$5001,"&lt;&gt;")=0,"",SUMIFS(BD!$N$3:$N$5001,BD!$A$3:$A$5001,F$3,BD!$B$3:$B$5001,$A$437)))</f>
        <v/>
      </c>
      <c r="G448" s="271" t="str">
        <f>IF(G$3="","",IF(COUNTIFS(BD!$A$3:$A$5001,G$3,BD!$B$3:$B$5001,$A$437,BD!$N$3:$N$5001,"&lt;&gt;")=0,"",SUMIFS(BD!$N$3:$N$5001,BD!$A$3:$A$5001,G$3,BD!$B$3:$B$5001,$A$437)))</f>
        <v/>
      </c>
      <c r="H448" s="271" t="str">
        <f>IF(H$3="","",IF(COUNTIFS(BD!$A$3:$A$5001,H$3,BD!$B$3:$B$5001,$A$437,BD!$N$3:$N$5001,"&lt;&gt;")=0,"",SUMIFS(BD!$N$3:$N$5001,BD!$A$3:$A$5001,H$3,BD!$B$3:$B$5001,$A$437)))</f>
        <v/>
      </c>
      <c r="I448" s="271" t="str">
        <f>IF(I$3="","",IF(COUNTIFS(BD!$A$3:$A$5001,I$3,BD!$B$3:$B$5001,$A$437,BD!$N$3:$N$5001,"&lt;&gt;")=0,"",SUMIFS(BD!$N$3:$N$5001,BD!$A$3:$A$5001,I$3,BD!$B$3:$B$5001,$A$437)))</f>
        <v/>
      </c>
      <c r="J448" s="271" t="str">
        <f>IF(J$3="","",IF(COUNTIFS(BD!$A$3:$A$5001,J$3,BD!$B$3:$B$5001,$A$437,BD!$N$3:$N$5001,"&lt;&gt;")=0,"",SUMIFS(BD!$N$3:$N$5001,BD!$A$3:$A$5001,J$3,BD!$B$3:$B$5001,$A$437)))</f>
        <v/>
      </c>
      <c r="K448" s="271" t="str">
        <f>IF(K$3="","",IF(COUNTIFS(BD!$A$3:$A$5001,K$3,BD!$B$3:$B$5001,$A$437,BD!$N$3:$N$5001,"&lt;&gt;")=0,"",SUMIFS(BD!$N$3:$N$5001,BD!$A$3:$A$5001,K$3,BD!$B$3:$B$5001,$A$437)))</f>
        <v/>
      </c>
      <c r="L448" s="271" t="str">
        <f>IF(L$3="","",IF(COUNTIFS(BD!$A$3:$A$5001,L$3,BD!$B$3:$B$5001,$A$437,BD!$N$3:$N$5001,"&lt;&gt;")=0,"",SUMIFS(BD!$N$3:$N$5001,BD!$A$3:$A$5001,L$3,BD!$B$3:$B$5001,$A$437)))</f>
        <v/>
      </c>
      <c r="M448" s="271" t="str">
        <f>IF(M$3="","",IF(COUNTIFS(BD!$A$3:$A$5001,M$3,BD!$B$3:$B$5001,$A$437,BD!$N$3:$N$5001,"&lt;&gt;")=0,"",SUMIFS(BD!$N$3:$N$5001,BD!$A$3:$A$5001,M$3,BD!$B$3:$B$5001,$A$437)))</f>
        <v/>
      </c>
      <c r="N448" s="271" t="str">
        <f>IF(N$3="","",IF(COUNTIFS(BD!$A$3:$A$5001,N$3,BD!$B$3:$B$5001,$A$437,BD!$N$3:$N$5001,"&lt;&gt;")=0,"",SUMIFS(BD!$N$3:$N$5001,BD!$A$3:$A$5001,N$3,BD!$B$3:$B$5001,$A$437)))</f>
        <v/>
      </c>
      <c r="O448" s="271" t="str">
        <f>IF(O$3="","",IF(COUNTIFS(BD!$A$3:$A$5001,O$3,BD!$B$3:$B$5001,$A$437,BD!$N$3:$N$5001,"&lt;&gt;")=0,"",SUMIFS(BD!$N$3:$N$5001,BD!$A$3:$A$5001,O$3,BD!$B$3:$B$5001,$A$437)))</f>
        <v/>
      </c>
      <c r="P448" s="271" t="str">
        <f>IF(P$3="","",IF(COUNTIFS(BD!$A$3:$A$5001,P$3,BD!$B$3:$B$5001,$A$437,BD!$N$3:$N$5001,"&lt;&gt;")=0,"",SUMIFS(BD!$N$3:$N$5001,BD!$A$3:$A$5001,P$3,BD!$B$3:$B$5001,$A$437)))</f>
        <v/>
      </c>
      <c r="Q448" s="271" t="str">
        <f>IF(Q$3="","",IF(COUNTIFS(BD!$A$3:$A$5001,Q$3,BD!$B$3:$B$5001,$A$437,BD!$N$3:$N$5001,"&lt;&gt;")=0,"",SUMIFS(BD!$N$3:$N$5001,BD!$A$3:$A$5001,Q$3,BD!$B$3:$B$5001,$A$437)))</f>
        <v/>
      </c>
      <c r="R448" s="271" t="str">
        <f>IF(R$3="","",IF(COUNTIFS(BD!$A$3:$A$5001,R$3,BD!$B$3:$B$5001,$A$437,BD!$N$3:$N$5001,"&lt;&gt;")=0,"",SUMIFS(BD!$N$3:$N$5001,BD!$A$3:$A$5001,R$3,BD!$B$3:$B$5001,$A$437)))</f>
        <v/>
      </c>
      <c r="S448" s="271" t="str">
        <f>IF(S$3="","",IF(COUNTIFS(BD!$A$3:$A$5001,S$3,BD!$B$3:$B$5001,$A$437,BD!$N$3:$N$5001,"&lt;&gt;")=0,"",SUMIFS(BD!$N$3:$N$5001,BD!$A$3:$A$5001,S$3,BD!$B$3:$B$5001,$A$437)))</f>
        <v/>
      </c>
      <c r="T448" s="271" t="str">
        <f>IF(T$3="","",IF(COUNTIFS(BD!$A$3:$A$5001,T$3,BD!$B$3:$B$5001,$A$437,BD!$N$3:$N$5001,"&lt;&gt;")=0,"",SUMIFS(BD!$N$3:$N$5001,BD!$A$3:$A$5001,T$3,BD!$B$3:$B$5001,$A$437)))</f>
        <v/>
      </c>
      <c r="U448" s="271" t="str">
        <f>IF(U$3="","",IF(COUNTIFS(BD!$A$3:$A$5001,U$3,BD!$B$3:$B$5001,$A$437,BD!$N$3:$N$5001,"&lt;&gt;")=0,"",SUMIFS(BD!$N$3:$N$5001,BD!$A$3:$A$5001,U$3,BD!$B$3:$B$5001,$A$437)))</f>
        <v/>
      </c>
      <c r="V448" s="271" t="str">
        <f>IF(V$3="","",IF(COUNTIFS(BD!$A$3:$A$5001,V$3,BD!$B$3:$B$5001,$A$437,BD!$N$3:$N$5001,"&lt;&gt;")=0,"",SUMIFS(BD!$N$3:$N$5001,BD!$A$3:$A$5001,V$3,BD!$B$3:$B$5001,$A$437)))</f>
        <v/>
      </c>
      <c r="W448" s="271" t="str">
        <f>IF(W$3="","",IF(COUNTIFS(BD!$A$3:$A$5001,W$3,BD!$B$3:$B$5001,$A$437,BD!$N$3:$N$5001,"&lt;&gt;")=0,"",SUMIFS(BD!$N$3:$N$5001,BD!$A$3:$A$5001,W$3,BD!$B$3:$B$5001,$A$437)))</f>
        <v/>
      </c>
      <c r="X448" s="271" t="str">
        <f>IF(X$3="","",IF(COUNTIFS(BD!$A$3:$A$5001,X$3,BD!$B$3:$B$5001,$A$437,BD!$N$3:$N$5001,"&lt;&gt;")=0,"",SUMIFS(BD!$N$3:$N$5001,BD!$A$3:$A$5001,X$3,BD!$B$3:$B$5001,$A$437)))</f>
        <v/>
      </c>
      <c r="Y448" s="271" t="str">
        <f>IF(Y$3="","",IF(COUNTIFS(BD!$A$3:$A$5001,Y$3,BD!$B$3:$B$5001,$A$437,BD!$N$3:$N$5001,"&lt;&gt;")=0,"",SUMIFS(BD!$N$3:$N$5001,BD!$A$3:$A$5001,Y$3,BD!$B$3:$B$5001,$A$437)))</f>
        <v/>
      </c>
      <c r="Z448" s="271" t="str">
        <f>IF(Z$3="","",IF(COUNTIFS(BD!$A$3:$A$5001,Z$3,BD!$B$3:$B$5001,$A$437,BD!$N$3:$N$5001,"&lt;&gt;")=0,"",SUMIFS(BD!$N$3:$N$5001,BD!$A$3:$A$5001,Z$3,BD!$B$3:$B$5001,$A$437)))</f>
        <v/>
      </c>
      <c r="AA448" s="271" t="str">
        <f>IF(AA$3="","",IF(COUNTIFS(BD!$A$3:$A$5001,AA$3,BD!$B$3:$B$5001,$A$437,BD!$N$3:$N$5001,"&lt;&gt;")=0,"",SUMIFS(BD!$N$3:$N$5001,BD!$A$3:$A$5001,AA$3,BD!$B$3:$B$5001,$A$437)))</f>
        <v/>
      </c>
      <c r="AB448" s="271" t="str">
        <f>IF(AB$3="","",IF(COUNTIFS(BD!$A$3:$A$5001,AB$3,BD!$B$3:$B$5001,$A$437,BD!$N$3:$N$5001,"&lt;&gt;")=0,"",SUMIFS(BD!$N$3:$N$5001,BD!$A$3:$A$5001,AB$3,BD!$B$3:$B$5001,$A$437)))</f>
        <v/>
      </c>
      <c r="AC448" s="271" t="str">
        <f>IF(AC$3="","",IF(COUNTIFS(BD!$A$3:$A$5001,AC$3,BD!$B$3:$B$5001,$A$437,BD!$N$3:$N$5001,"&lt;&gt;")=0,"",SUMIFS(BD!$N$3:$N$5001,BD!$A$3:$A$5001,AC$3,BD!$B$3:$B$5001,$A$437)))</f>
        <v/>
      </c>
      <c r="AD448" s="271" t="str">
        <f>IF(AD$3="","",IF(COUNTIFS(BD!$A$3:$A$5001,AD$3,BD!$B$3:$B$5001,$A$437,BD!$N$3:$N$5001,"&lt;&gt;")=0,"",SUMIFS(BD!$N$3:$N$5001,BD!$A$3:$A$5001,AD$3,BD!$B$3:$B$5001,$A$437)))</f>
        <v/>
      </c>
      <c r="AE448" s="271" t="str">
        <f>IF(AE$3="","",IF(COUNTIFS(BD!$A$3:$A$5001,AE$3,BD!$B$3:$B$5001,$A$437,BD!$N$3:$N$5001,"&lt;&gt;")=0,"",SUMIFS(BD!$N$3:$N$5001,BD!$A$3:$A$5001,AE$3,BD!$B$3:$B$5001,$A$437)))</f>
        <v/>
      </c>
      <c r="AF448" s="271" t="str">
        <f>IF(AF$3="","",IF(COUNTIFS(BD!$A$3:$A$5001,AF$3,BD!$B$3:$B$5001,$A$437,BD!$N$3:$N$5001,"&lt;&gt;")=0,"",SUMIFS(BD!$N$3:$N$5001,BD!$A$3:$A$5001,AF$3,BD!$B$3:$B$5001,$A$437)))</f>
        <v/>
      </c>
      <c r="AG448" s="271" t="str">
        <f>IF(AG$3="","",IF(COUNTIFS(BD!$A$3:$A$5001,AG$3,BD!$B$3:$B$5001,$A$437,BD!$N$3:$N$5001,"&lt;&gt;")=0,"",SUMIFS(BD!$N$3:$N$5001,BD!$A$3:$A$5001,AG$3,BD!$B$3:$B$5001,$A$437)))</f>
        <v/>
      </c>
      <c r="AH448" s="271" t="str">
        <f>IF(AH$3="","",IF(COUNTIFS(BD!$A$3:$A$5001,AH$3,BD!$B$3:$B$5001,$A$437,BD!$N$3:$N$5001,"&lt;&gt;")=0,"",SUMIFS(BD!$N$3:$N$5001,BD!$A$3:$A$5001,AH$3,BD!$B$3:$B$5001,$A$437)))</f>
        <v/>
      </c>
      <c r="AI448" s="271" t="str">
        <f>IF(AI$3="","",IF(COUNTIFS(BD!$A$3:$A$5001,AI$3,BD!$B$3:$B$5001,$A$437,BD!$N$3:$N$5001,"&lt;&gt;")=0,"",SUMIFS(BD!$N$3:$N$5001,BD!$A$3:$A$5001,AI$3,BD!$B$3:$B$5001,$A$437)))</f>
        <v/>
      </c>
      <c r="AJ448" s="272" t="str">
        <f>IF(AJ$3="","",IF(COUNTIFS(BD!$A$3:$A$5001,AJ$3,BD!$B$3:$B$5001,$A$437,BD!$N$3:$N$5001,"&lt;&gt;")=0,"",SUMIFS(BD!$N$3:$N$5001,BD!$A$3:$A$5001,AJ$3,BD!$B$3:$B$5001,$A$437)))</f>
        <v/>
      </c>
      <c r="AK448" s="273" t="str">
        <f>IF(COUNT(F448:AJ448)=0,"",SUM(F448:AJ448))</f>
        <v/>
      </c>
    </row>
    <row r="449" ht="15.75" customHeight="1" hidden="1">
      <c r="A449" s="261"/>
      <c r="B449" s="278"/>
      <c r="C449" s="267" t="inlineStr">
        <is>
          <t xml:space="preserve">Itens Expedidos</t>
        </is>
      </c>
      <c r="D449" s="268" t="str">
        <f>IFERROR(1/(1/INDEX(BD!$AL$35:$BF$35,MATCH($A$437,BD!$AL$22:$BF$22,0))),"")</f>
        <v/>
      </c>
      <c r="E449" s="269"/>
      <c r="F449" s="270" t="str">
        <f>IF(F$3="","",IF(COUNTIFS(BD!$A$3:$A$5001,F$3,BD!$B$3:$B$5001,$A$437,BD!$O$3:$O$5001,"&lt;&gt;")=0,"",SUMIFS(BD!$O$3:$O$5001,BD!$A$3:$A$5001,F$3,BD!$B$3:$B$5001,$A$437)))</f>
        <v/>
      </c>
      <c r="G449" s="271" t="str">
        <f>IF(G$3="","",IF(COUNTIFS(BD!$A$3:$A$5001,G$3,BD!$B$3:$B$5001,$A$437,BD!$O$3:$O$5001,"&lt;&gt;")=0,"",SUMIFS(BD!$O$3:$O$5001,BD!$A$3:$A$5001,G$3,BD!$B$3:$B$5001,$A$437)))</f>
        <v/>
      </c>
      <c r="H449" s="271" t="str">
        <f>IF(H$3="","",IF(COUNTIFS(BD!$A$3:$A$5001,H$3,BD!$B$3:$B$5001,$A$437,BD!$O$3:$O$5001,"&lt;&gt;")=0,"",SUMIFS(BD!$O$3:$O$5001,BD!$A$3:$A$5001,H$3,BD!$B$3:$B$5001,$A$437)))</f>
        <v/>
      </c>
      <c r="I449" s="271" t="str">
        <f>IF(I$3="","",IF(COUNTIFS(BD!$A$3:$A$5001,I$3,BD!$B$3:$B$5001,$A$437,BD!$O$3:$O$5001,"&lt;&gt;")=0,"",SUMIFS(BD!$O$3:$O$5001,BD!$A$3:$A$5001,I$3,BD!$B$3:$B$5001,$A$437)))</f>
        <v/>
      </c>
      <c r="J449" s="271" t="str">
        <f>IF(J$3="","",IF(COUNTIFS(BD!$A$3:$A$5001,J$3,BD!$B$3:$B$5001,$A$437,BD!$O$3:$O$5001,"&lt;&gt;")=0,"",SUMIFS(BD!$O$3:$O$5001,BD!$A$3:$A$5001,J$3,BD!$B$3:$B$5001,$A$437)))</f>
        <v/>
      </c>
      <c r="K449" s="271" t="str">
        <f>IF(K$3="","",IF(COUNTIFS(BD!$A$3:$A$5001,K$3,BD!$B$3:$B$5001,$A$437,BD!$O$3:$O$5001,"&lt;&gt;")=0,"",SUMIFS(BD!$O$3:$O$5001,BD!$A$3:$A$5001,K$3,BD!$B$3:$B$5001,$A$437)))</f>
        <v/>
      </c>
      <c r="L449" s="271" t="str">
        <f>IF(L$3="","",IF(COUNTIFS(BD!$A$3:$A$5001,L$3,BD!$B$3:$B$5001,$A$437,BD!$O$3:$O$5001,"&lt;&gt;")=0,"",SUMIFS(BD!$O$3:$O$5001,BD!$A$3:$A$5001,L$3,BD!$B$3:$B$5001,$A$437)))</f>
        <v/>
      </c>
      <c r="M449" s="271" t="str">
        <f>IF(M$3="","",IF(COUNTIFS(BD!$A$3:$A$5001,M$3,BD!$B$3:$B$5001,$A$437,BD!$O$3:$O$5001,"&lt;&gt;")=0,"",SUMIFS(BD!$O$3:$O$5001,BD!$A$3:$A$5001,M$3,BD!$B$3:$B$5001,$A$437)))</f>
        <v/>
      </c>
      <c r="N449" s="271" t="str">
        <f>IF(N$3="","",IF(COUNTIFS(BD!$A$3:$A$5001,N$3,BD!$B$3:$B$5001,$A$437,BD!$O$3:$O$5001,"&lt;&gt;")=0,"",SUMIFS(BD!$O$3:$O$5001,BD!$A$3:$A$5001,N$3,BD!$B$3:$B$5001,$A$437)))</f>
        <v/>
      </c>
      <c r="O449" s="271" t="str">
        <f>IF(O$3="","",IF(COUNTIFS(BD!$A$3:$A$5001,O$3,BD!$B$3:$B$5001,$A$437,BD!$O$3:$O$5001,"&lt;&gt;")=0,"",SUMIFS(BD!$O$3:$O$5001,BD!$A$3:$A$5001,O$3,BD!$B$3:$B$5001,$A$437)))</f>
        <v/>
      </c>
      <c r="P449" s="271" t="str">
        <f>IF(P$3="","",IF(COUNTIFS(BD!$A$3:$A$5001,P$3,BD!$B$3:$B$5001,$A$437,BD!$O$3:$O$5001,"&lt;&gt;")=0,"",SUMIFS(BD!$O$3:$O$5001,BD!$A$3:$A$5001,P$3,BD!$B$3:$B$5001,$A$437)))</f>
        <v/>
      </c>
      <c r="Q449" s="271" t="str">
        <f>IF(Q$3="","",IF(COUNTIFS(BD!$A$3:$A$5001,Q$3,BD!$B$3:$B$5001,$A$437,BD!$O$3:$O$5001,"&lt;&gt;")=0,"",SUMIFS(BD!$O$3:$O$5001,BD!$A$3:$A$5001,Q$3,BD!$B$3:$B$5001,$A$437)))</f>
        <v/>
      </c>
      <c r="R449" s="271" t="str">
        <f>IF(R$3="","",IF(COUNTIFS(BD!$A$3:$A$5001,R$3,BD!$B$3:$B$5001,$A$437,BD!$O$3:$O$5001,"&lt;&gt;")=0,"",SUMIFS(BD!$O$3:$O$5001,BD!$A$3:$A$5001,R$3,BD!$B$3:$B$5001,$A$437)))</f>
        <v/>
      </c>
      <c r="S449" s="271" t="str">
        <f>IF(S$3="","",IF(COUNTIFS(BD!$A$3:$A$5001,S$3,BD!$B$3:$B$5001,$A$437,BD!$O$3:$O$5001,"&lt;&gt;")=0,"",SUMIFS(BD!$O$3:$O$5001,BD!$A$3:$A$5001,S$3,BD!$B$3:$B$5001,$A$437)))</f>
        <v/>
      </c>
      <c r="T449" s="271" t="str">
        <f>IF(T$3="","",IF(COUNTIFS(BD!$A$3:$A$5001,T$3,BD!$B$3:$B$5001,$A$437,BD!$O$3:$O$5001,"&lt;&gt;")=0,"",SUMIFS(BD!$O$3:$O$5001,BD!$A$3:$A$5001,T$3,BD!$B$3:$B$5001,$A$437)))</f>
        <v/>
      </c>
      <c r="U449" s="271" t="str">
        <f>IF(U$3="","",IF(COUNTIFS(BD!$A$3:$A$5001,U$3,BD!$B$3:$B$5001,$A$437,BD!$O$3:$O$5001,"&lt;&gt;")=0,"",SUMIFS(BD!$O$3:$O$5001,BD!$A$3:$A$5001,U$3,BD!$B$3:$B$5001,$A$437)))</f>
        <v/>
      </c>
      <c r="V449" s="271" t="str">
        <f>IF(V$3="","",IF(COUNTIFS(BD!$A$3:$A$5001,V$3,BD!$B$3:$B$5001,$A$437,BD!$O$3:$O$5001,"&lt;&gt;")=0,"",SUMIFS(BD!$O$3:$O$5001,BD!$A$3:$A$5001,V$3,BD!$B$3:$B$5001,$A$437)))</f>
        <v/>
      </c>
      <c r="W449" s="271" t="str">
        <f>IF(W$3="","",IF(COUNTIFS(BD!$A$3:$A$5001,W$3,BD!$B$3:$B$5001,$A$437,BD!$O$3:$O$5001,"&lt;&gt;")=0,"",SUMIFS(BD!$O$3:$O$5001,BD!$A$3:$A$5001,W$3,BD!$B$3:$B$5001,$A$437)))</f>
        <v/>
      </c>
      <c r="X449" s="271" t="str">
        <f>IF(X$3="","",IF(COUNTIFS(BD!$A$3:$A$5001,X$3,BD!$B$3:$B$5001,$A$437,BD!$O$3:$O$5001,"&lt;&gt;")=0,"",SUMIFS(BD!$O$3:$O$5001,BD!$A$3:$A$5001,X$3,BD!$B$3:$B$5001,$A$437)))</f>
        <v/>
      </c>
      <c r="Y449" s="271" t="str">
        <f>IF(Y$3="","",IF(COUNTIFS(BD!$A$3:$A$5001,Y$3,BD!$B$3:$B$5001,$A$437,BD!$O$3:$O$5001,"&lt;&gt;")=0,"",SUMIFS(BD!$O$3:$O$5001,BD!$A$3:$A$5001,Y$3,BD!$B$3:$B$5001,$A$437)))</f>
        <v/>
      </c>
      <c r="Z449" s="271" t="str">
        <f>IF(Z$3="","",IF(COUNTIFS(BD!$A$3:$A$5001,Z$3,BD!$B$3:$B$5001,$A$437,BD!$O$3:$O$5001,"&lt;&gt;")=0,"",SUMIFS(BD!$O$3:$O$5001,BD!$A$3:$A$5001,Z$3,BD!$B$3:$B$5001,$A$437)))</f>
        <v/>
      </c>
      <c r="AA449" s="271" t="str">
        <f>IF(AA$3="","",IF(COUNTIFS(BD!$A$3:$A$5001,AA$3,BD!$B$3:$B$5001,$A$437,BD!$O$3:$O$5001,"&lt;&gt;")=0,"",SUMIFS(BD!$O$3:$O$5001,BD!$A$3:$A$5001,AA$3,BD!$B$3:$B$5001,$A$437)))</f>
        <v/>
      </c>
      <c r="AB449" s="271" t="str">
        <f>IF(AB$3="","",IF(COUNTIFS(BD!$A$3:$A$5001,AB$3,BD!$B$3:$B$5001,$A$437,BD!$O$3:$O$5001,"&lt;&gt;")=0,"",SUMIFS(BD!$O$3:$O$5001,BD!$A$3:$A$5001,AB$3,BD!$B$3:$B$5001,$A$437)))</f>
        <v/>
      </c>
      <c r="AC449" s="271" t="str">
        <f>IF(AC$3="","",IF(COUNTIFS(BD!$A$3:$A$5001,AC$3,BD!$B$3:$B$5001,$A$437,BD!$O$3:$O$5001,"&lt;&gt;")=0,"",SUMIFS(BD!$O$3:$O$5001,BD!$A$3:$A$5001,AC$3,BD!$B$3:$B$5001,$A$437)))</f>
        <v/>
      </c>
      <c r="AD449" s="271" t="str">
        <f>IF(AD$3="","",IF(COUNTIFS(BD!$A$3:$A$5001,AD$3,BD!$B$3:$B$5001,$A$437,BD!$O$3:$O$5001,"&lt;&gt;")=0,"",SUMIFS(BD!$O$3:$O$5001,BD!$A$3:$A$5001,AD$3,BD!$B$3:$B$5001,$A$437)))</f>
        <v/>
      </c>
      <c r="AE449" s="271" t="str">
        <f>IF(AE$3="","",IF(COUNTIFS(BD!$A$3:$A$5001,AE$3,BD!$B$3:$B$5001,$A$437,BD!$O$3:$O$5001,"&lt;&gt;")=0,"",SUMIFS(BD!$O$3:$O$5001,BD!$A$3:$A$5001,AE$3,BD!$B$3:$B$5001,$A$437)))</f>
        <v/>
      </c>
      <c r="AF449" s="271" t="str">
        <f>IF(AF$3="","",IF(COUNTIFS(BD!$A$3:$A$5001,AF$3,BD!$B$3:$B$5001,$A$437,BD!$O$3:$O$5001,"&lt;&gt;")=0,"",SUMIFS(BD!$O$3:$O$5001,BD!$A$3:$A$5001,AF$3,BD!$B$3:$B$5001,$A$437)))</f>
        <v/>
      </c>
      <c r="AG449" s="271" t="str">
        <f>IF(AG$3="","",IF(COUNTIFS(BD!$A$3:$A$5001,AG$3,BD!$B$3:$B$5001,$A$437,BD!$O$3:$O$5001,"&lt;&gt;")=0,"",SUMIFS(BD!$O$3:$O$5001,BD!$A$3:$A$5001,AG$3,BD!$B$3:$B$5001,$A$437)))</f>
        <v/>
      </c>
      <c r="AH449" s="271" t="str">
        <f>IF(AH$3="","",IF(COUNTIFS(BD!$A$3:$A$5001,AH$3,BD!$B$3:$B$5001,$A$437,BD!$O$3:$O$5001,"&lt;&gt;")=0,"",SUMIFS(BD!$O$3:$O$5001,BD!$A$3:$A$5001,AH$3,BD!$B$3:$B$5001,$A$437)))</f>
        <v/>
      </c>
      <c r="AI449" s="271" t="str">
        <f>IF(AI$3="","",IF(COUNTIFS(BD!$A$3:$A$5001,AI$3,BD!$B$3:$B$5001,$A$437,BD!$O$3:$O$5001,"&lt;&gt;")=0,"",SUMIFS(BD!$O$3:$O$5001,BD!$A$3:$A$5001,AI$3,BD!$B$3:$B$5001,$A$437)))</f>
        <v/>
      </c>
      <c r="AJ449" s="272" t="str">
        <f>IF(AJ$3="","",IF(COUNTIFS(BD!$A$3:$A$5001,AJ$3,BD!$B$3:$B$5001,$A$437,BD!$O$3:$O$5001,"&lt;&gt;")=0,"",SUMIFS(BD!$O$3:$O$5001,BD!$A$3:$A$5001,AJ$3,BD!$B$3:$B$5001,$A$437)))</f>
        <v/>
      </c>
      <c r="AK449" s="273" t="str">
        <f>IF(COUNT(F449:AJ449)=0,"",SUM(F449:AJ449))</f>
        <v/>
      </c>
    </row>
    <row r="450" ht="15.75" customHeight="1" hidden="1">
      <c r="A450" s="261"/>
      <c r="B450" s="278"/>
      <c r="C450" s="267" t="inlineStr">
        <is>
          <t xml:space="preserve">Linhas NF</t>
        </is>
      </c>
      <c r="D450" s="268" t="str">
        <f>IFERROR(1/(1/INDEX(BD!$AL$36:$BF$36,MATCH($A$437,BD!$AL$22:$BF$22,0))),"")</f>
        <v/>
      </c>
      <c r="E450" s="269"/>
      <c r="F450" s="270" t="str">
        <f>IF(F$3="","",IF(COUNTIFS(BD!$A$3:$A$5001,F$3,BD!$B$3:$B$5001,$A$437,BD!$P$3:$P$5001,"&lt;&gt;")=0,"",SUMIFS(BD!$P$3:$P$5001,BD!$A$3:$A$5001,F$3,BD!$B$3:$B$5001,$A$437)))</f>
        <v/>
      </c>
      <c r="G450" s="271" t="str">
        <f>IF(G$3="","",IF(COUNTIFS(BD!$A$3:$A$5001,G$3,BD!$B$3:$B$5001,$A$437,BD!$P$3:$P$5001,"&lt;&gt;")=0,"",SUMIFS(BD!$P$3:$P$5001,BD!$A$3:$A$5001,G$3,BD!$B$3:$B$5001,$A$437)))</f>
        <v/>
      </c>
      <c r="H450" s="271" t="str">
        <f>IF(H$3="","",IF(COUNTIFS(BD!$A$3:$A$5001,H$3,BD!$B$3:$B$5001,$A$437,BD!$P$3:$P$5001,"&lt;&gt;")=0,"",SUMIFS(BD!$P$3:$P$5001,BD!$A$3:$A$5001,H$3,BD!$B$3:$B$5001,$A$437)))</f>
        <v/>
      </c>
      <c r="I450" s="271" t="str">
        <f>IF(I$3="","",IF(COUNTIFS(BD!$A$3:$A$5001,I$3,BD!$B$3:$B$5001,$A$437,BD!$P$3:$P$5001,"&lt;&gt;")=0,"",SUMIFS(BD!$P$3:$P$5001,BD!$A$3:$A$5001,I$3,BD!$B$3:$B$5001,$A$437)))</f>
        <v/>
      </c>
      <c r="J450" s="271" t="str">
        <f>IF(J$3="","",IF(COUNTIFS(BD!$A$3:$A$5001,J$3,BD!$B$3:$B$5001,$A$437,BD!$P$3:$P$5001,"&lt;&gt;")=0,"",SUMIFS(BD!$P$3:$P$5001,BD!$A$3:$A$5001,J$3,BD!$B$3:$B$5001,$A$437)))</f>
        <v/>
      </c>
      <c r="K450" s="271" t="str">
        <f>IF(K$3="","",IF(COUNTIFS(BD!$A$3:$A$5001,K$3,BD!$B$3:$B$5001,$A$437,BD!$P$3:$P$5001,"&lt;&gt;")=0,"",SUMIFS(BD!$P$3:$P$5001,BD!$A$3:$A$5001,K$3,BD!$B$3:$B$5001,$A$437)))</f>
        <v/>
      </c>
      <c r="L450" s="271" t="str">
        <f>IF(L$3="","",IF(COUNTIFS(BD!$A$3:$A$5001,L$3,BD!$B$3:$B$5001,$A$437,BD!$P$3:$P$5001,"&lt;&gt;")=0,"",SUMIFS(BD!$P$3:$P$5001,BD!$A$3:$A$5001,L$3,BD!$B$3:$B$5001,$A$437)))</f>
        <v/>
      </c>
      <c r="M450" s="271" t="str">
        <f>IF(M$3="","",IF(COUNTIFS(BD!$A$3:$A$5001,M$3,BD!$B$3:$B$5001,$A$437,BD!$P$3:$P$5001,"&lt;&gt;")=0,"",SUMIFS(BD!$P$3:$P$5001,BD!$A$3:$A$5001,M$3,BD!$B$3:$B$5001,$A$437)))</f>
        <v/>
      </c>
      <c r="N450" s="271" t="str">
        <f>IF(N$3="","",IF(COUNTIFS(BD!$A$3:$A$5001,N$3,BD!$B$3:$B$5001,$A$437,BD!$P$3:$P$5001,"&lt;&gt;")=0,"",SUMIFS(BD!$P$3:$P$5001,BD!$A$3:$A$5001,N$3,BD!$B$3:$B$5001,$A$437)))</f>
        <v/>
      </c>
      <c r="O450" s="271" t="str">
        <f>IF(O$3="","",IF(COUNTIFS(BD!$A$3:$A$5001,O$3,BD!$B$3:$B$5001,$A$437,BD!$P$3:$P$5001,"&lt;&gt;")=0,"",SUMIFS(BD!$P$3:$P$5001,BD!$A$3:$A$5001,O$3,BD!$B$3:$B$5001,$A$437)))</f>
        <v/>
      </c>
      <c r="P450" s="271" t="str">
        <f>IF(P$3="","",IF(COUNTIFS(BD!$A$3:$A$5001,P$3,BD!$B$3:$B$5001,$A$437,BD!$P$3:$P$5001,"&lt;&gt;")=0,"",SUMIFS(BD!$P$3:$P$5001,BD!$A$3:$A$5001,P$3,BD!$B$3:$B$5001,$A$437)))</f>
        <v/>
      </c>
      <c r="Q450" s="271" t="str">
        <f>IF(Q$3="","",IF(COUNTIFS(BD!$A$3:$A$5001,Q$3,BD!$B$3:$B$5001,$A$437,BD!$P$3:$P$5001,"&lt;&gt;")=0,"",SUMIFS(BD!$P$3:$P$5001,BD!$A$3:$A$5001,Q$3,BD!$B$3:$B$5001,$A$437)))</f>
        <v/>
      </c>
      <c r="R450" s="271" t="str">
        <f>IF(R$3="","",IF(COUNTIFS(BD!$A$3:$A$5001,R$3,BD!$B$3:$B$5001,$A$437,BD!$P$3:$P$5001,"&lt;&gt;")=0,"",SUMIFS(BD!$P$3:$P$5001,BD!$A$3:$A$5001,R$3,BD!$B$3:$B$5001,$A$437)))</f>
        <v/>
      </c>
      <c r="S450" s="271" t="str">
        <f>IF(S$3="","",IF(COUNTIFS(BD!$A$3:$A$5001,S$3,BD!$B$3:$B$5001,$A$437,BD!$P$3:$P$5001,"&lt;&gt;")=0,"",SUMIFS(BD!$P$3:$P$5001,BD!$A$3:$A$5001,S$3,BD!$B$3:$B$5001,$A$437)))</f>
        <v/>
      </c>
      <c r="T450" s="271" t="str">
        <f>IF(T$3="","",IF(COUNTIFS(BD!$A$3:$A$5001,T$3,BD!$B$3:$B$5001,$A$437,BD!$P$3:$P$5001,"&lt;&gt;")=0,"",SUMIFS(BD!$P$3:$P$5001,BD!$A$3:$A$5001,T$3,BD!$B$3:$B$5001,$A$437)))</f>
        <v/>
      </c>
      <c r="U450" s="271" t="str">
        <f>IF(U$3="","",IF(COUNTIFS(BD!$A$3:$A$5001,U$3,BD!$B$3:$B$5001,$A$437,BD!$P$3:$P$5001,"&lt;&gt;")=0,"",SUMIFS(BD!$P$3:$P$5001,BD!$A$3:$A$5001,U$3,BD!$B$3:$B$5001,$A$437)))</f>
        <v/>
      </c>
      <c r="V450" s="271" t="str">
        <f>IF(V$3="","",IF(COUNTIFS(BD!$A$3:$A$5001,V$3,BD!$B$3:$B$5001,$A$437,BD!$P$3:$P$5001,"&lt;&gt;")=0,"",SUMIFS(BD!$P$3:$P$5001,BD!$A$3:$A$5001,V$3,BD!$B$3:$B$5001,$A$437)))</f>
        <v/>
      </c>
      <c r="W450" s="271" t="str">
        <f>IF(W$3="","",IF(COUNTIFS(BD!$A$3:$A$5001,W$3,BD!$B$3:$B$5001,$A$437,BD!$P$3:$P$5001,"&lt;&gt;")=0,"",SUMIFS(BD!$P$3:$P$5001,BD!$A$3:$A$5001,W$3,BD!$B$3:$B$5001,$A$437)))</f>
        <v/>
      </c>
      <c r="X450" s="271" t="str">
        <f>IF(X$3="","",IF(COUNTIFS(BD!$A$3:$A$5001,X$3,BD!$B$3:$B$5001,$A$437,BD!$P$3:$P$5001,"&lt;&gt;")=0,"",SUMIFS(BD!$P$3:$P$5001,BD!$A$3:$A$5001,X$3,BD!$B$3:$B$5001,$A$437)))</f>
        <v/>
      </c>
      <c r="Y450" s="271" t="str">
        <f>IF(Y$3="","",IF(COUNTIFS(BD!$A$3:$A$5001,Y$3,BD!$B$3:$B$5001,$A$437,BD!$P$3:$P$5001,"&lt;&gt;")=0,"",SUMIFS(BD!$P$3:$P$5001,BD!$A$3:$A$5001,Y$3,BD!$B$3:$B$5001,$A$437)))</f>
        <v/>
      </c>
      <c r="Z450" s="271" t="str">
        <f>IF(Z$3="","",IF(COUNTIFS(BD!$A$3:$A$5001,Z$3,BD!$B$3:$B$5001,$A$437,BD!$P$3:$P$5001,"&lt;&gt;")=0,"",SUMIFS(BD!$P$3:$P$5001,BD!$A$3:$A$5001,Z$3,BD!$B$3:$B$5001,$A$437)))</f>
        <v/>
      </c>
      <c r="AA450" s="271" t="str">
        <f>IF(AA$3="","",IF(COUNTIFS(BD!$A$3:$A$5001,AA$3,BD!$B$3:$B$5001,$A$437,BD!$P$3:$P$5001,"&lt;&gt;")=0,"",SUMIFS(BD!$P$3:$P$5001,BD!$A$3:$A$5001,AA$3,BD!$B$3:$B$5001,$A$437)))</f>
        <v/>
      </c>
      <c r="AB450" s="271" t="str">
        <f>IF(AB$3="","",IF(COUNTIFS(BD!$A$3:$A$5001,AB$3,BD!$B$3:$B$5001,$A$437,BD!$P$3:$P$5001,"&lt;&gt;")=0,"",SUMIFS(BD!$P$3:$P$5001,BD!$A$3:$A$5001,AB$3,BD!$B$3:$B$5001,$A$437)))</f>
        <v/>
      </c>
      <c r="AC450" s="271" t="str">
        <f>IF(AC$3="","",IF(COUNTIFS(BD!$A$3:$A$5001,AC$3,BD!$B$3:$B$5001,$A$437,BD!$P$3:$P$5001,"&lt;&gt;")=0,"",SUMIFS(BD!$P$3:$P$5001,BD!$A$3:$A$5001,AC$3,BD!$B$3:$B$5001,$A$437)))</f>
        <v/>
      </c>
      <c r="AD450" s="271" t="str">
        <f>IF(AD$3="","",IF(COUNTIFS(BD!$A$3:$A$5001,AD$3,BD!$B$3:$B$5001,$A$437,BD!$P$3:$P$5001,"&lt;&gt;")=0,"",SUMIFS(BD!$P$3:$P$5001,BD!$A$3:$A$5001,AD$3,BD!$B$3:$B$5001,$A$437)))</f>
        <v/>
      </c>
      <c r="AE450" s="271" t="str">
        <f>IF(AE$3="","",IF(COUNTIFS(BD!$A$3:$A$5001,AE$3,BD!$B$3:$B$5001,$A$437,BD!$P$3:$P$5001,"&lt;&gt;")=0,"",SUMIFS(BD!$P$3:$P$5001,BD!$A$3:$A$5001,AE$3,BD!$B$3:$B$5001,$A$437)))</f>
        <v/>
      </c>
      <c r="AF450" s="271" t="str">
        <f>IF(AF$3="","",IF(COUNTIFS(BD!$A$3:$A$5001,AF$3,BD!$B$3:$B$5001,$A$437,BD!$P$3:$P$5001,"&lt;&gt;")=0,"",SUMIFS(BD!$P$3:$P$5001,BD!$A$3:$A$5001,AF$3,BD!$B$3:$B$5001,$A$437)))</f>
        <v/>
      </c>
      <c r="AG450" s="271" t="str">
        <f>IF(AG$3="","",IF(COUNTIFS(BD!$A$3:$A$5001,AG$3,BD!$B$3:$B$5001,$A$437,BD!$P$3:$P$5001,"&lt;&gt;")=0,"",SUMIFS(BD!$P$3:$P$5001,BD!$A$3:$A$5001,AG$3,BD!$B$3:$B$5001,$A$437)))</f>
        <v/>
      </c>
      <c r="AH450" s="271" t="str">
        <f>IF(AH$3="","",IF(COUNTIFS(BD!$A$3:$A$5001,AH$3,BD!$B$3:$B$5001,$A$437,BD!$P$3:$P$5001,"&lt;&gt;")=0,"",SUMIFS(BD!$P$3:$P$5001,BD!$A$3:$A$5001,AH$3,BD!$B$3:$B$5001,$A$437)))</f>
        <v/>
      </c>
      <c r="AI450" s="271" t="str">
        <f>IF(AI$3="","",IF(COUNTIFS(BD!$A$3:$A$5001,AI$3,BD!$B$3:$B$5001,$A$437,BD!$P$3:$P$5001,"&lt;&gt;")=0,"",SUMIFS(BD!$P$3:$P$5001,BD!$A$3:$A$5001,AI$3,BD!$B$3:$B$5001,$A$437)))</f>
        <v/>
      </c>
      <c r="AJ450" s="272" t="str">
        <f>IF(AJ$3="","",IF(COUNTIFS(BD!$A$3:$A$5001,AJ$3,BD!$B$3:$B$5001,$A$437,BD!$P$3:$P$5001,"&lt;&gt;")=0,"",SUMIFS(BD!$P$3:$P$5001,BD!$A$3:$A$5001,AJ$3,BD!$B$3:$B$5001,$A$437)))</f>
        <v/>
      </c>
      <c r="AK450" s="273" t="str">
        <f>IF(COUNT(F450:AJ450)=0,"",SUM(F450:AJ450))</f>
        <v/>
      </c>
    </row>
    <row r="451" ht="15.75" customHeight="1" hidden="1">
      <c r="A451" s="261"/>
      <c r="B451" s="278"/>
      <c r="C451" s="267" t="inlineStr">
        <is>
          <t xml:space="preserve">Caixas Expedidas</t>
        </is>
      </c>
      <c r="D451" s="268" t="str">
        <f>IFERROR(1/(1/INDEX(BD!$AL$37:$BF$37,MATCH($A$437,BD!$AL$22:$BF$22,0))),"")</f>
        <v/>
      </c>
      <c r="E451" s="269"/>
      <c r="F451" s="270" t="str">
        <f>IF(F$3="","",IF(COUNTIFS(BD!$A$3:$A$5001,F$3,BD!$B$3:$B$5001,$A$437,BD!$Q$3:$Q$5001,"&lt;&gt;")=0,"",SUMIFS(BD!$Q$3:$Q$5001,BD!$A$3:$A$5001,F$3,BD!$B$3:$B$5001,$A$437)))</f>
        <v/>
      </c>
      <c r="G451" s="271" t="str">
        <f>IF(G$3="","",IF(COUNTIFS(BD!$A$3:$A$5001,G$3,BD!$B$3:$B$5001,$A$437,BD!$Q$3:$Q$5001,"&lt;&gt;")=0,"",SUMIFS(BD!$Q$3:$Q$5001,BD!$A$3:$A$5001,G$3,BD!$B$3:$B$5001,$A$437)))</f>
        <v/>
      </c>
      <c r="H451" s="271" t="str">
        <f>IF(H$3="","",IF(COUNTIFS(BD!$A$3:$A$5001,H$3,BD!$B$3:$B$5001,$A$437,BD!$Q$3:$Q$5001,"&lt;&gt;")=0,"",SUMIFS(BD!$Q$3:$Q$5001,BD!$A$3:$A$5001,H$3,BD!$B$3:$B$5001,$A$437)))</f>
        <v/>
      </c>
      <c r="I451" s="271" t="str">
        <f>IF(I$3="","",IF(COUNTIFS(BD!$A$3:$A$5001,I$3,BD!$B$3:$B$5001,$A$437,BD!$Q$3:$Q$5001,"&lt;&gt;")=0,"",SUMIFS(BD!$Q$3:$Q$5001,BD!$A$3:$A$5001,I$3,BD!$B$3:$B$5001,$A$437)))</f>
        <v/>
      </c>
      <c r="J451" s="271" t="str">
        <f>IF(J$3="","",IF(COUNTIFS(BD!$A$3:$A$5001,J$3,BD!$B$3:$B$5001,$A$437,BD!$Q$3:$Q$5001,"&lt;&gt;")=0,"",SUMIFS(BD!$Q$3:$Q$5001,BD!$A$3:$A$5001,J$3,BD!$B$3:$B$5001,$A$437)))</f>
        <v/>
      </c>
      <c r="K451" s="271" t="str">
        <f>IF(K$3="","",IF(COUNTIFS(BD!$A$3:$A$5001,K$3,BD!$B$3:$B$5001,$A$437,BD!$Q$3:$Q$5001,"&lt;&gt;")=0,"",SUMIFS(BD!$Q$3:$Q$5001,BD!$A$3:$A$5001,K$3,BD!$B$3:$B$5001,$A$437)))</f>
        <v/>
      </c>
      <c r="L451" s="271" t="str">
        <f>IF(L$3="","",IF(COUNTIFS(BD!$A$3:$A$5001,L$3,BD!$B$3:$B$5001,$A$437,BD!$Q$3:$Q$5001,"&lt;&gt;")=0,"",SUMIFS(BD!$Q$3:$Q$5001,BD!$A$3:$A$5001,L$3,BD!$B$3:$B$5001,$A$437)))</f>
        <v/>
      </c>
      <c r="M451" s="271" t="str">
        <f>IF(M$3="","",IF(COUNTIFS(BD!$A$3:$A$5001,M$3,BD!$B$3:$B$5001,$A$437,BD!$Q$3:$Q$5001,"&lt;&gt;")=0,"",SUMIFS(BD!$Q$3:$Q$5001,BD!$A$3:$A$5001,M$3,BD!$B$3:$B$5001,$A$437)))</f>
        <v/>
      </c>
      <c r="N451" s="271" t="str">
        <f>IF(N$3="","",IF(COUNTIFS(BD!$A$3:$A$5001,N$3,BD!$B$3:$B$5001,$A$437,BD!$Q$3:$Q$5001,"&lt;&gt;")=0,"",SUMIFS(BD!$Q$3:$Q$5001,BD!$A$3:$A$5001,N$3,BD!$B$3:$B$5001,$A$437)))</f>
        <v/>
      </c>
      <c r="O451" s="271" t="str">
        <f>IF(O$3="","",IF(COUNTIFS(BD!$A$3:$A$5001,O$3,BD!$B$3:$B$5001,$A$437,BD!$Q$3:$Q$5001,"&lt;&gt;")=0,"",SUMIFS(BD!$Q$3:$Q$5001,BD!$A$3:$A$5001,O$3,BD!$B$3:$B$5001,$A$437)))</f>
        <v/>
      </c>
      <c r="P451" s="271" t="str">
        <f>IF(P$3="","",IF(COUNTIFS(BD!$A$3:$A$5001,P$3,BD!$B$3:$B$5001,$A$437,BD!$Q$3:$Q$5001,"&lt;&gt;")=0,"",SUMIFS(BD!$Q$3:$Q$5001,BD!$A$3:$A$5001,P$3,BD!$B$3:$B$5001,$A$437)))</f>
        <v/>
      </c>
      <c r="Q451" s="271" t="str">
        <f>IF(Q$3="","",IF(COUNTIFS(BD!$A$3:$A$5001,Q$3,BD!$B$3:$B$5001,$A$437,BD!$Q$3:$Q$5001,"&lt;&gt;")=0,"",SUMIFS(BD!$Q$3:$Q$5001,BD!$A$3:$A$5001,Q$3,BD!$B$3:$B$5001,$A$437)))</f>
        <v/>
      </c>
      <c r="R451" s="271" t="str">
        <f>IF(R$3="","",IF(COUNTIFS(BD!$A$3:$A$5001,R$3,BD!$B$3:$B$5001,$A$437,BD!$Q$3:$Q$5001,"&lt;&gt;")=0,"",SUMIFS(BD!$Q$3:$Q$5001,BD!$A$3:$A$5001,R$3,BD!$B$3:$B$5001,$A$437)))</f>
        <v/>
      </c>
      <c r="S451" s="271" t="str">
        <f>IF(S$3="","",IF(COUNTIFS(BD!$A$3:$A$5001,S$3,BD!$B$3:$B$5001,$A$437,BD!$Q$3:$Q$5001,"&lt;&gt;")=0,"",SUMIFS(BD!$Q$3:$Q$5001,BD!$A$3:$A$5001,S$3,BD!$B$3:$B$5001,$A$437)))</f>
        <v/>
      </c>
      <c r="T451" s="271" t="str">
        <f>IF(T$3="","",IF(COUNTIFS(BD!$A$3:$A$5001,T$3,BD!$B$3:$B$5001,$A$437,BD!$Q$3:$Q$5001,"&lt;&gt;")=0,"",SUMIFS(BD!$Q$3:$Q$5001,BD!$A$3:$A$5001,T$3,BD!$B$3:$B$5001,$A$437)))</f>
        <v/>
      </c>
      <c r="U451" s="271" t="str">
        <f>IF(U$3="","",IF(COUNTIFS(BD!$A$3:$A$5001,U$3,BD!$B$3:$B$5001,$A$437,BD!$Q$3:$Q$5001,"&lt;&gt;")=0,"",SUMIFS(BD!$Q$3:$Q$5001,BD!$A$3:$A$5001,U$3,BD!$B$3:$B$5001,$A$437)))</f>
        <v/>
      </c>
      <c r="V451" s="271" t="str">
        <f>IF(V$3="","",IF(COUNTIFS(BD!$A$3:$A$5001,V$3,BD!$B$3:$B$5001,$A$437,BD!$Q$3:$Q$5001,"&lt;&gt;")=0,"",SUMIFS(BD!$Q$3:$Q$5001,BD!$A$3:$A$5001,V$3,BD!$B$3:$B$5001,$A$437)))</f>
        <v/>
      </c>
      <c r="W451" s="271" t="str">
        <f>IF(W$3="","",IF(COUNTIFS(BD!$A$3:$A$5001,W$3,BD!$B$3:$B$5001,$A$437,BD!$Q$3:$Q$5001,"&lt;&gt;")=0,"",SUMIFS(BD!$Q$3:$Q$5001,BD!$A$3:$A$5001,W$3,BD!$B$3:$B$5001,$A$437)))</f>
        <v/>
      </c>
      <c r="X451" s="271" t="str">
        <f>IF(X$3="","",IF(COUNTIFS(BD!$A$3:$A$5001,X$3,BD!$B$3:$B$5001,$A$437,BD!$Q$3:$Q$5001,"&lt;&gt;")=0,"",SUMIFS(BD!$Q$3:$Q$5001,BD!$A$3:$A$5001,X$3,BD!$B$3:$B$5001,$A$437)))</f>
        <v/>
      </c>
      <c r="Y451" s="271" t="str">
        <f>IF(Y$3="","",IF(COUNTIFS(BD!$A$3:$A$5001,Y$3,BD!$B$3:$B$5001,$A$437,BD!$Q$3:$Q$5001,"&lt;&gt;")=0,"",SUMIFS(BD!$Q$3:$Q$5001,BD!$A$3:$A$5001,Y$3,BD!$B$3:$B$5001,$A$437)))</f>
        <v/>
      </c>
      <c r="Z451" s="271" t="str">
        <f>IF(Z$3="","",IF(COUNTIFS(BD!$A$3:$A$5001,Z$3,BD!$B$3:$B$5001,$A$437,BD!$Q$3:$Q$5001,"&lt;&gt;")=0,"",SUMIFS(BD!$Q$3:$Q$5001,BD!$A$3:$A$5001,Z$3,BD!$B$3:$B$5001,$A$437)))</f>
        <v/>
      </c>
      <c r="AA451" s="271" t="str">
        <f>IF(AA$3="","",IF(COUNTIFS(BD!$A$3:$A$5001,AA$3,BD!$B$3:$B$5001,$A$437,BD!$Q$3:$Q$5001,"&lt;&gt;")=0,"",SUMIFS(BD!$Q$3:$Q$5001,BD!$A$3:$A$5001,AA$3,BD!$B$3:$B$5001,$A$437)))</f>
        <v/>
      </c>
      <c r="AB451" s="271" t="str">
        <f>IF(AB$3="","",IF(COUNTIFS(BD!$A$3:$A$5001,AB$3,BD!$B$3:$B$5001,$A$437,BD!$Q$3:$Q$5001,"&lt;&gt;")=0,"",SUMIFS(BD!$Q$3:$Q$5001,BD!$A$3:$A$5001,AB$3,BD!$B$3:$B$5001,$A$437)))</f>
        <v/>
      </c>
      <c r="AC451" s="271" t="str">
        <f>IF(AC$3="","",IF(COUNTIFS(BD!$A$3:$A$5001,AC$3,BD!$B$3:$B$5001,$A$437,BD!$Q$3:$Q$5001,"&lt;&gt;")=0,"",SUMIFS(BD!$Q$3:$Q$5001,BD!$A$3:$A$5001,AC$3,BD!$B$3:$B$5001,$A$437)))</f>
        <v/>
      </c>
      <c r="AD451" s="271" t="str">
        <f>IF(AD$3="","",IF(COUNTIFS(BD!$A$3:$A$5001,AD$3,BD!$B$3:$B$5001,$A$437,BD!$Q$3:$Q$5001,"&lt;&gt;")=0,"",SUMIFS(BD!$Q$3:$Q$5001,BD!$A$3:$A$5001,AD$3,BD!$B$3:$B$5001,$A$437)))</f>
        <v/>
      </c>
      <c r="AE451" s="271" t="str">
        <f>IF(AE$3="","",IF(COUNTIFS(BD!$A$3:$A$5001,AE$3,BD!$B$3:$B$5001,$A$437,BD!$Q$3:$Q$5001,"&lt;&gt;")=0,"",SUMIFS(BD!$Q$3:$Q$5001,BD!$A$3:$A$5001,AE$3,BD!$B$3:$B$5001,$A$437)))</f>
        <v/>
      </c>
      <c r="AF451" s="271" t="str">
        <f>IF(AF$3="","",IF(COUNTIFS(BD!$A$3:$A$5001,AF$3,BD!$B$3:$B$5001,$A$437,BD!$Q$3:$Q$5001,"&lt;&gt;")=0,"",SUMIFS(BD!$Q$3:$Q$5001,BD!$A$3:$A$5001,AF$3,BD!$B$3:$B$5001,$A$437)))</f>
        <v/>
      </c>
      <c r="AG451" s="271" t="str">
        <f>IF(AG$3="","",IF(COUNTIFS(BD!$A$3:$A$5001,AG$3,BD!$B$3:$B$5001,$A$437,BD!$Q$3:$Q$5001,"&lt;&gt;")=0,"",SUMIFS(BD!$Q$3:$Q$5001,BD!$A$3:$A$5001,AG$3,BD!$B$3:$B$5001,$A$437)))</f>
        <v/>
      </c>
      <c r="AH451" s="271" t="str">
        <f>IF(AH$3="","",IF(COUNTIFS(BD!$A$3:$A$5001,AH$3,BD!$B$3:$B$5001,$A$437,BD!$Q$3:$Q$5001,"&lt;&gt;")=0,"",SUMIFS(BD!$Q$3:$Q$5001,BD!$A$3:$A$5001,AH$3,BD!$B$3:$B$5001,$A$437)))</f>
        <v/>
      </c>
      <c r="AI451" s="271" t="str">
        <f>IF(AI$3="","",IF(COUNTIFS(BD!$A$3:$A$5001,AI$3,BD!$B$3:$B$5001,$A$437,BD!$Q$3:$Q$5001,"&lt;&gt;")=0,"",SUMIFS(BD!$Q$3:$Q$5001,BD!$A$3:$A$5001,AI$3,BD!$B$3:$B$5001,$A$437)))</f>
        <v/>
      </c>
      <c r="AJ451" s="272" t="str">
        <f>IF(AJ$3="","",IF(COUNTIFS(BD!$A$3:$A$5001,AJ$3,BD!$B$3:$B$5001,$A$437,BD!$Q$3:$Q$5001,"&lt;&gt;")=0,"",SUMIFS(BD!$Q$3:$Q$5001,BD!$A$3:$A$5001,AJ$3,BD!$B$3:$B$5001,$A$437)))</f>
        <v/>
      </c>
      <c r="AK451" s="273" t="str">
        <f>IF(COUNT(F451:AJ451)=0,"",SUM(F451:AJ451))</f>
        <v/>
      </c>
    </row>
    <row r="452" ht="15.75" customHeight="1" hidden="1">
      <c r="A452" s="261"/>
      <c r="B452" s="278"/>
      <c r="C452" s="267" t="inlineStr">
        <is>
          <t xml:space="preserve">Pallets Movimentados</t>
        </is>
      </c>
      <c r="D452" s="268" t="str">
        <f>IFERROR(1/(1/INDEX(BD!$AL$38:$BF$38,MATCH($A$437,BD!$AL$22:$BF$22,0))),"")</f>
        <v/>
      </c>
      <c r="E452" s="269"/>
      <c r="F452" s="270" t="str">
        <f>IF(F$3="","",IF(COUNTIFS(BD!$A$3:$A$5001,F$3,BD!$B$3:$B$5001,$A$437,BD!$R$3:$R$5001,"&lt;&gt;")=0,"",SUMIFS(BD!$R$3:$R$5001,BD!$A$3:$A$5001,F$3,BD!$B$3:$B$5001,$A$437)))</f>
        <v/>
      </c>
      <c r="G452" s="271" t="str">
        <f>IF(G$3="","",IF(COUNTIFS(BD!$A$3:$A$5001,G$3,BD!$B$3:$B$5001,$A$437,BD!$R$3:$R$5001,"&lt;&gt;")=0,"",SUMIFS(BD!$R$3:$R$5001,BD!$A$3:$A$5001,G$3,BD!$B$3:$B$5001,$A$437)))</f>
        <v/>
      </c>
      <c r="H452" s="271" t="str">
        <f>IF(H$3="","",IF(COUNTIFS(BD!$A$3:$A$5001,H$3,BD!$B$3:$B$5001,$A$437,BD!$R$3:$R$5001,"&lt;&gt;")=0,"",SUMIFS(BD!$R$3:$R$5001,BD!$A$3:$A$5001,H$3,BD!$B$3:$B$5001,$A$437)))</f>
        <v/>
      </c>
      <c r="I452" s="271" t="str">
        <f>IF(I$3="","",IF(COUNTIFS(BD!$A$3:$A$5001,I$3,BD!$B$3:$B$5001,$A$437,BD!$R$3:$R$5001,"&lt;&gt;")=0,"",SUMIFS(BD!$R$3:$R$5001,BD!$A$3:$A$5001,I$3,BD!$B$3:$B$5001,$A$437)))</f>
        <v/>
      </c>
      <c r="J452" s="271" t="str">
        <f>IF(J$3="","",IF(COUNTIFS(BD!$A$3:$A$5001,J$3,BD!$B$3:$B$5001,$A$437,BD!$R$3:$R$5001,"&lt;&gt;")=0,"",SUMIFS(BD!$R$3:$R$5001,BD!$A$3:$A$5001,J$3,BD!$B$3:$B$5001,$A$437)))</f>
        <v/>
      </c>
      <c r="K452" s="271" t="str">
        <f>IF(K$3="","",IF(COUNTIFS(BD!$A$3:$A$5001,K$3,BD!$B$3:$B$5001,$A$437,BD!$R$3:$R$5001,"&lt;&gt;")=0,"",SUMIFS(BD!$R$3:$R$5001,BD!$A$3:$A$5001,K$3,BD!$B$3:$B$5001,$A$437)))</f>
        <v/>
      </c>
      <c r="L452" s="271" t="str">
        <f>IF(L$3="","",IF(COUNTIFS(BD!$A$3:$A$5001,L$3,BD!$B$3:$B$5001,$A$437,BD!$R$3:$R$5001,"&lt;&gt;")=0,"",SUMIFS(BD!$R$3:$R$5001,BD!$A$3:$A$5001,L$3,BD!$B$3:$B$5001,$A$437)))</f>
        <v/>
      </c>
      <c r="M452" s="271" t="str">
        <f>IF(M$3="","",IF(COUNTIFS(BD!$A$3:$A$5001,M$3,BD!$B$3:$B$5001,$A$437,BD!$R$3:$R$5001,"&lt;&gt;")=0,"",SUMIFS(BD!$R$3:$R$5001,BD!$A$3:$A$5001,M$3,BD!$B$3:$B$5001,$A$437)))</f>
        <v/>
      </c>
      <c r="N452" s="271" t="str">
        <f>IF(N$3="","",IF(COUNTIFS(BD!$A$3:$A$5001,N$3,BD!$B$3:$B$5001,$A$437,BD!$R$3:$R$5001,"&lt;&gt;")=0,"",SUMIFS(BD!$R$3:$R$5001,BD!$A$3:$A$5001,N$3,BD!$B$3:$B$5001,$A$437)))</f>
        <v/>
      </c>
      <c r="O452" s="271" t="str">
        <f>IF(O$3="","",IF(COUNTIFS(BD!$A$3:$A$5001,O$3,BD!$B$3:$B$5001,$A$437,BD!$R$3:$R$5001,"&lt;&gt;")=0,"",SUMIFS(BD!$R$3:$R$5001,BD!$A$3:$A$5001,O$3,BD!$B$3:$B$5001,$A$437)))</f>
        <v/>
      </c>
      <c r="P452" s="271" t="str">
        <f>IF(P$3="","",IF(COUNTIFS(BD!$A$3:$A$5001,P$3,BD!$B$3:$B$5001,$A$437,BD!$R$3:$R$5001,"&lt;&gt;")=0,"",SUMIFS(BD!$R$3:$R$5001,BD!$A$3:$A$5001,P$3,BD!$B$3:$B$5001,$A$437)))</f>
        <v/>
      </c>
      <c r="Q452" s="271" t="str">
        <f>IF(Q$3="","",IF(COUNTIFS(BD!$A$3:$A$5001,Q$3,BD!$B$3:$B$5001,$A$437,BD!$R$3:$R$5001,"&lt;&gt;")=0,"",SUMIFS(BD!$R$3:$R$5001,BD!$A$3:$A$5001,Q$3,BD!$B$3:$B$5001,$A$437)))</f>
        <v/>
      </c>
      <c r="R452" s="271" t="str">
        <f>IF(R$3="","",IF(COUNTIFS(BD!$A$3:$A$5001,R$3,BD!$B$3:$B$5001,$A$437,BD!$R$3:$R$5001,"&lt;&gt;")=0,"",SUMIFS(BD!$R$3:$R$5001,BD!$A$3:$A$5001,R$3,BD!$B$3:$B$5001,$A$437)))</f>
        <v/>
      </c>
      <c r="S452" s="271" t="str">
        <f>IF(S$3="","",IF(COUNTIFS(BD!$A$3:$A$5001,S$3,BD!$B$3:$B$5001,$A$437,BD!$R$3:$R$5001,"&lt;&gt;")=0,"",SUMIFS(BD!$R$3:$R$5001,BD!$A$3:$A$5001,S$3,BD!$B$3:$B$5001,$A$437)))</f>
        <v/>
      </c>
      <c r="T452" s="271" t="str">
        <f>IF(T$3="","",IF(COUNTIFS(BD!$A$3:$A$5001,T$3,BD!$B$3:$B$5001,$A$437,BD!$R$3:$R$5001,"&lt;&gt;")=0,"",SUMIFS(BD!$R$3:$R$5001,BD!$A$3:$A$5001,T$3,BD!$B$3:$B$5001,$A$437)))</f>
        <v/>
      </c>
      <c r="U452" s="271" t="str">
        <f>IF(U$3="","",IF(COUNTIFS(BD!$A$3:$A$5001,U$3,BD!$B$3:$B$5001,$A$437,BD!$R$3:$R$5001,"&lt;&gt;")=0,"",SUMIFS(BD!$R$3:$R$5001,BD!$A$3:$A$5001,U$3,BD!$B$3:$B$5001,$A$437)))</f>
        <v/>
      </c>
      <c r="V452" s="271" t="str">
        <f>IF(V$3="","",IF(COUNTIFS(BD!$A$3:$A$5001,V$3,BD!$B$3:$B$5001,$A$437,BD!$R$3:$R$5001,"&lt;&gt;")=0,"",SUMIFS(BD!$R$3:$R$5001,BD!$A$3:$A$5001,V$3,BD!$B$3:$B$5001,$A$437)))</f>
        <v/>
      </c>
      <c r="W452" s="271" t="str">
        <f>IF(W$3="","",IF(COUNTIFS(BD!$A$3:$A$5001,W$3,BD!$B$3:$B$5001,$A$437,BD!$R$3:$R$5001,"&lt;&gt;")=0,"",SUMIFS(BD!$R$3:$R$5001,BD!$A$3:$A$5001,W$3,BD!$B$3:$B$5001,$A$437)))</f>
        <v/>
      </c>
      <c r="X452" s="271" t="str">
        <f>IF(X$3="","",IF(COUNTIFS(BD!$A$3:$A$5001,X$3,BD!$B$3:$B$5001,$A$437,BD!$R$3:$R$5001,"&lt;&gt;")=0,"",SUMIFS(BD!$R$3:$R$5001,BD!$A$3:$A$5001,X$3,BD!$B$3:$B$5001,$A$437)))</f>
        <v/>
      </c>
      <c r="Y452" s="271" t="str">
        <f>IF(Y$3="","",IF(COUNTIFS(BD!$A$3:$A$5001,Y$3,BD!$B$3:$B$5001,$A$437,BD!$R$3:$R$5001,"&lt;&gt;")=0,"",SUMIFS(BD!$R$3:$R$5001,BD!$A$3:$A$5001,Y$3,BD!$B$3:$B$5001,$A$437)))</f>
        <v/>
      </c>
      <c r="Z452" s="271" t="str">
        <f>IF(Z$3="","",IF(COUNTIFS(BD!$A$3:$A$5001,Z$3,BD!$B$3:$B$5001,$A$437,BD!$R$3:$R$5001,"&lt;&gt;")=0,"",SUMIFS(BD!$R$3:$R$5001,BD!$A$3:$A$5001,Z$3,BD!$B$3:$B$5001,$A$437)))</f>
        <v/>
      </c>
      <c r="AA452" s="271" t="str">
        <f>IF(AA$3="","",IF(COUNTIFS(BD!$A$3:$A$5001,AA$3,BD!$B$3:$B$5001,$A$437,BD!$R$3:$R$5001,"&lt;&gt;")=0,"",SUMIFS(BD!$R$3:$R$5001,BD!$A$3:$A$5001,AA$3,BD!$B$3:$B$5001,$A$437)))</f>
        <v/>
      </c>
      <c r="AB452" s="271" t="str">
        <f>IF(AB$3="","",IF(COUNTIFS(BD!$A$3:$A$5001,AB$3,BD!$B$3:$B$5001,$A$437,BD!$R$3:$R$5001,"&lt;&gt;")=0,"",SUMIFS(BD!$R$3:$R$5001,BD!$A$3:$A$5001,AB$3,BD!$B$3:$B$5001,$A$437)))</f>
        <v/>
      </c>
      <c r="AC452" s="271" t="str">
        <f>IF(AC$3="","",IF(COUNTIFS(BD!$A$3:$A$5001,AC$3,BD!$B$3:$B$5001,$A$437,BD!$R$3:$R$5001,"&lt;&gt;")=0,"",SUMIFS(BD!$R$3:$R$5001,BD!$A$3:$A$5001,AC$3,BD!$B$3:$B$5001,$A$437)))</f>
        <v/>
      </c>
      <c r="AD452" s="271" t="str">
        <f>IF(AD$3="","",IF(COUNTIFS(BD!$A$3:$A$5001,AD$3,BD!$B$3:$B$5001,$A$437,BD!$R$3:$R$5001,"&lt;&gt;")=0,"",SUMIFS(BD!$R$3:$R$5001,BD!$A$3:$A$5001,AD$3,BD!$B$3:$B$5001,$A$437)))</f>
        <v/>
      </c>
      <c r="AE452" s="271" t="str">
        <f>IF(AE$3="","",IF(COUNTIFS(BD!$A$3:$A$5001,AE$3,BD!$B$3:$B$5001,$A$437,BD!$R$3:$R$5001,"&lt;&gt;")=0,"",SUMIFS(BD!$R$3:$R$5001,BD!$A$3:$A$5001,AE$3,BD!$B$3:$B$5001,$A$437)))</f>
        <v/>
      </c>
      <c r="AF452" s="271" t="str">
        <f>IF(AF$3="","",IF(COUNTIFS(BD!$A$3:$A$5001,AF$3,BD!$B$3:$B$5001,$A$437,BD!$R$3:$R$5001,"&lt;&gt;")=0,"",SUMIFS(BD!$R$3:$R$5001,BD!$A$3:$A$5001,AF$3,BD!$B$3:$B$5001,$A$437)))</f>
        <v/>
      </c>
      <c r="AG452" s="271" t="str">
        <f>IF(AG$3="","",IF(COUNTIFS(BD!$A$3:$A$5001,AG$3,BD!$B$3:$B$5001,$A$437,BD!$R$3:$R$5001,"&lt;&gt;")=0,"",SUMIFS(BD!$R$3:$R$5001,BD!$A$3:$A$5001,AG$3,BD!$B$3:$B$5001,$A$437)))</f>
        <v/>
      </c>
      <c r="AH452" s="271" t="str">
        <f>IF(AH$3="","",IF(COUNTIFS(BD!$A$3:$A$5001,AH$3,BD!$B$3:$B$5001,$A$437,BD!$R$3:$R$5001,"&lt;&gt;")=0,"",SUMIFS(BD!$R$3:$R$5001,BD!$A$3:$A$5001,AH$3,BD!$B$3:$B$5001,$A$437)))</f>
        <v/>
      </c>
      <c r="AI452" s="271" t="str">
        <f>IF(AI$3="","",IF(COUNTIFS(BD!$A$3:$A$5001,AI$3,BD!$B$3:$B$5001,$A$437,BD!$R$3:$R$5001,"&lt;&gt;")=0,"",SUMIFS(BD!$R$3:$R$5001,BD!$A$3:$A$5001,AI$3,BD!$B$3:$B$5001,$A$437)))</f>
        <v/>
      </c>
      <c r="AJ452" s="272" t="str">
        <f>IF(AJ$3="","",IF(COUNTIFS(BD!$A$3:$A$5001,AJ$3,BD!$B$3:$B$5001,$A$437,BD!$R$3:$R$5001,"&lt;&gt;")=0,"",SUMIFS(BD!$R$3:$R$5001,BD!$A$3:$A$5001,AJ$3,BD!$B$3:$B$5001,$A$437)))</f>
        <v/>
      </c>
      <c r="AK452" s="273" t="str">
        <f>IF(COUNT(F452:AJ452)=0,"",SUM(F452:AJ452))</f>
        <v/>
      </c>
    </row>
    <row r="453" ht="15.75" customHeight="1" hidden="1">
      <c r="A453" s="261"/>
      <c r="B453" s="252"/>
      <c r="C453" s="188" t="inlineStr">
        <is>
          <t xml:space="preserve">Toneladas Movimentadas</t>
        </is>
      </c>
      <c r="D453" s="189" t="str">
        <f>IFERROR(1/(1/INDEX(BD!$AL$39:$BF$39,MATCH($A$437,BD!$AL$22:$BF$22,0))),"")</f>
        <v/>
      </c>
      <c r="E453" s="190"/>
      <c r="F453" s="274" t="str">
        <f>IF(F$3="","",IF(COUNTIFS(BD!$A$3:$A$5001,F$3,BD!$B$3:$B$5001,$A$437,BD!$S$3:$S$5001,"&lt;&gt;")=0,"",SUMIFS(BD!$S$3:$S$5001,BD!$A$3:$A$5001,F$3,BD!$B$3:$B$5001,$A$437)))</f>
        <v/>
      </c>
      <c r="G453" s="275" t="str">
        <f>IF(G$3="","",IF(COUNTIFS(BD!$A$3:$A$5001,G$3,BD!$B$3:$B$5001,$A$437,BD!$S$3:$S$5001,"&lt;&gt;")=0,"",SUMIFS(BD!$S$3:$S$5001,BD!$A$3:$A$5001,G$3,BD!$B$3:$B$5001,$A$437)))</f>
        <v/>
      </c>
      <c r="H453" s="275" t="str">
        <f>IF(H$3="","",IF(COUNTIFS(BD!$A$3:$A$5001,H$3,BD!$B$3:$B$5001,$A$437,BD!$S$3:$S$5001,"&lt;&gt;")=0,"",SUMIFS(BD!$S$3:$S$5001,BD!$A$3:$A$5001,H$3,BD!$B$3:$B$5001,$A$437)))</f>
        <v/>
      </c>
      <c r="I453" s="275" t="str">
        <f>IF(I$3="","",IF(COUNTIFS(BD!$A$3:$A$5001,I$3,BD!$B$3:$B$5001,$A$437,BD!$S$3:$S$5001,"&lt;&gt;")=0,"",SUMIFS(BD!$S$3:$S$5001,BD!$A$3:$A$5001,I$3,BD!$B$3:$B$5001,$A$437)))</f>
        <v/>
      </c>
      <c r="J453" s="275" t="str">
        <f>IF(J$3="","",IF(COUNTIFS(BD!$A$3:$A$5001,J$3,BD!$B$3:$B$5001,$A$437,BD!$S$3:$S$5001,"&lt;&gt;")=0,"",SUMIFS(BD!$S$3:$S$5001,BD!$A$3:$A$5001,J$3,BD!$B$3:$B$5001,$A$437)))</f>
        <v/>
      </c>
      <c r="K453" s="275" t="str">
        <f>IF(K$3="","",IF(COUNTIFS(BD!$A$3:$A$5001,K$3,BD!$B$3:$B$5001,$A$437,BD!$S$3:$S$5001,"&lt;&gt;")=0,"",SUMIFS(BD!$S$3:$S$5001,BD!$A$3:$A$5001,K$3,BD!$B$3:$B$5001,$A$437)))</f>
        <v/>
      </c>
      <c r="L453" s="275" t="str">
        <f>IF(L$3="","",IF(COUNTIFS(BD!$A$3:$A$5001,L$3,BD!$B$3:$B$5001,$A$437,BD!$S$3:$S$5001,"&lt;&gt;")=0,"",SUMIFS(BD!$S$3:$S$5001,BD!$A$3:$A$5001,L$3,BD!$B$3:$B$5001,$A$437)))</f>
        <v/>
      </c>
      <c r="M453" s="275" t="str">
        <f>IF(M$3="","",IF(COUNTIFS(BD!$A$3:$A$5001,M$3,BD!$B$3:$B$5001,$A$437,BD!$S$3:$S$5001,"&lt;&gt;")=0,"",SUMIFS(BD!$S$3:$S$5001,BD!$A$3:$A$5001,M$3,BD!$B$3:$B$5001,$A$437)))</f>
        <v/>
      </c>
      <c r="N453" s="275" t="str">
        <f>IF(N$3="","",IF(COUNTIFS(BD!$A$3:$A$5001,N$3,BD!$B$3:$B$5001,$A$437,BD!$S$3:$S$5001,"&lt;&gt;")=0,"",SUMIFS(BD!$S$3:$S$5001,BD!$A$3:$A$5001,N$3,BD!$B$3:$B$5001,$A$437)))</f>
        <v/>
      </c>
      <c r="O453" s="275" t="str">
        <f>IF(O$3="","",IF(COUNTIFS(BD!$A$3:$A$5001,O$3,BD!$B$3:$B$5001,$A$437,BD!$S$3:$S$5001,"&lt;&gt;")=0,"",SUMIFS(BD!$S$3:$S$5001,BD!$A$3:$A$5001,O$3,BD!$B$3:$B$5001,$A$437)))</f>
        <v/>
      </c>
      <c r="P453" s="275" t="str">
        <f>IF(P$3="","",IF(COUNTIFS(BD!$A$3:$A$5001,P$3,BD!$B$3:$B$5001,$A$437,BD!$S$3:$S$5001,"&lt;&gt;")=0,"",SUMIFS(BD!$S$3:$S$5001,BD!$A$3:$A$5001,P$3,BD!$B$3:$B$5001,$A$437)))</f>
        <v/>
      </c>
      <c r="Q453" s="275" t="str">
        <f>IF(Q$3="","",IF(COUNTIFS(BD!$A$3:$A$5001,Q$3,BD!$B$3:$B$5001,$A$437,BD!$S$3:$S$5001,"&lt;&gt;")=0,"",SUMIFS(BD!$S$3:$S$5001,BD!$A$3:$A$5001,Q$3,BD!$B$3:$B$5001,$A$437)))</f>
        <v/>
      </c>
      <c r="R453" s="275" t="str">
        <f>IF(R$3="","",IF(COUNTIFS(BD!$A$3:$A$5001,R$3,BD!$B$3:$B$5001,$A$437,BD!$S$3:$S$5001,"&lt;&gt;")=0,"",SUMIFS(BD!$S$3:$S$5001,BD!$A$3:$A$5001,R$3,BD!$B$3:$B$5001,$A$437)))</f>
        <v/>
      </c>
      <c r="S453" s="275" t="str">
        <f>IF(S$3="","",IF(COUNTIFS(BD!$A$3:$A$5001,S$3,BD!$B$3:$B$5001,$A$437,BD!$S$3:$S$5001,"&lt;&gt;")=0,"",SUMIFS(BD!$S$3:$S$5001,BD!$A$3:$A$5001,S$3,BD!$B$3:$B$5001,$A$437)))</f>
        <v/>
      </c>
      <c r="T453" s="275" t="str">
        <f>IF(T$3="","",IF(COUNTIFS(BD!$A$3:$A$5001,T$3,BD!$B$3:$B$5001,$A$437,BD!$S$3:$S$5001,"&lt;&gt;")=0,"",SUMIFS(BD!$S$3:$S$5001,BD!$A$3:$A$5001,T$3,BD!$B$3:$B$5001,$A$437)))</f>
        <v/>
      </c>
      <c r="U453" s="275" t="str">
        <f>IF(U$3="","",IF(COUNTIFS(BD!$A$3:$A$5001,U$3,BD!$B$3:$B$5001,$A$437,BD!$S$3:$S$5001,"&lt;&gt;")=0,"",SUMIFS(BD!$S$3:$S$5001,BD!$A$3:$A$5001,U$3,BD!$B$3:$B$5001,$A$437)))</f>
        <v/>
      </c>
      <c r="V453" s="275" t="str">
        <f>IF(V$3="","",IF(COUNTIFS(BD!$A$3:$A$5001,V$3,BD!$B$3:$B$5001,$A$437,BD!$S$3:$S$5001,"&lt;&gt;")=0,"",SUMIFS(BD!$S$3:$S$5001,BD!$A$3:$A$5001,V$3,BD!$B$3:$B$5001,$A$437)))</f>
        <v/>
      </c>
      <c r="W453" s="275" t="str">
        <f>IF(W$3="","",IF(COUNTIFS(BD!$A$3:$A$5001,W$3,BD!$B$3:$B$5001,$A$437,BD!$S$3:$S$5001,"&lt;&gt;")=0,"",SUMIFS(BD!$S$3:$S$5001,BD!$A$3:$A$5001,W$3,BD!$B$3:$B$5001,$A$437)))</f>
        <v/>
      </c>
      <c r="X453" s="275" t="str">
        <f>IF(X$3="","",IF(COUNTIFS(BD!$A$3:$A$5001,X$3,BD!$B$3:$B$5001,$A$437,BD!$S$3:$S$5001,"&lt;&gt;")=0,"",SUMIFS(BD!$S$3:$S$5001,BD!$A$3:$A$5001,X$3,BD!$B$3:$B$5001,$A$437)))</f>
        <v/>
      </c>
      <c r="Y453" s="275" t="str">
        <f>IF(Y$3="","",IF(COUNTIFS(BD!$A$3:$A$5001,Y$3,BD!$B$3:$B$5001,$A$437,BD!$S$3:$S$5001,"&lt;&gt;")=0,"",SUMIFS(BD!$S$3:$S$5001,BD!$A$3:$A$5001,Y$3,BD!$B$3:$B$5001,$A$437)))</f>
        <v/>
      </c>
      <c r="Z453" s="275" t="str">
        <f>IF(Z$3="","",IF(COUNTIFS(BD!$A$3:$A$5001,Z$3,BD!$B$3:$B$5001,$A$437,BD!$S$3:$S$5001,"&lt;&gt;")=0,"",SUMIFS(BD!$S$3:$S$5001,BD!$A$3:$A$5001,Z$3,BD!$B$3:$B$5001,$A$437)))</f>
        <v/>
      </c>
      <c r="AA453" s="275" t="str">
        <f>IF(AA$3="","",IF(COUNTIFS(BD!$A$3:$A$5001,AA$3,BD!$B$3:$B$5001,$A$437,BD!$S$3:$S$5001,"&lt;&gt;")=0,"",SUMIFS(BD!$S$3:$S$5001,BD!$A$3:$A$5001,AA$3,BD!$B$3:$B$5001,$A$437)))</f>
        <v/>
      </c>
      <c r="AB453" s="275" t="str">
        <f>IF(AB$3="","",IF(COUNTIFS(BD!$A$3:$A$5001,AB$3,BD!$B$3:$B$5001,$A$437,BD!$S$3:$S$5001,"&lt;&gt;")=0,"",SUMIFS(BD!$S$3:$S$5001,BD!$A$3:$A$5001,AB$3,BD!$B$3:$B$5001,$A$437)))</f>
        <v/>
      </c>
      <c r="AC453" s="275" t="str">
        <f>IF(AC$3="","",IF(COUNTIFS(BD!$A$3:$A$5001,AC$3,BD!$B$3:$B$5001,$A$437,BD!$S$3:$S$5001,"&lt;&gt;")=0,"",SUMIFS(BD!$S$3:$S$5001,BD!$A$3:$A$5001,AC$3,BD!$B$3:$B$5001,$A$437)))</f>
        <v/>
      </c>
      <c r="AD453" s="275" t="str">
        <f>IF(AD$3="","",IF(COUNTIFS(BD!$A$3:$A$5001,AD$3,BD!$B$3:$B$5001,$A$437,BD!$S$3:$S$5001,"&lt;&gt;")=0,"",SUMIFS(BD!$S$3:$S$5001,BD!$A$3:$A$5001,AD$3,BD!$B$3:$B$5001,$A$437)))</f>
        <v/>
      </c>
      <c r="AE453" s="275" t="str">
        <f>IF(AE$3="","",IF(COUNTIFS(BD!$A$3:$A$5001,AE$3,BD!$B$3:$B$5001,$A$437,BD!$S$3:$S$5001,"&lt;&gt;")=0,"",SUMIFS(BD!$S$3:$S$5001,BD!$A$3:$A$5001,AE$3,BD!$B$3:$B$5001,$A$437)))</f>
        <v/>
      </c>
      <c r="AF453" s="275" t="str">
        <f>IF(AF$3="","",IF(COUNTIFS(BD!$A$3:$A$5001,AF$3,BD!$B$3:$B$5001,$A$437,BD!$S$3:$S$5001,"&lt;&gt;")=0,"",SUMIFS(BD!$S$3:$S$5001,BD!$A$3:$A$5001,AF$3,BD!$B$3:$B$5001,$A$437)))</f>
        <v/>
      </c>
      <c r="AG453" s="275" t="str">
        <f>IF(AG$3="","",IF(COUNTIFS(BD!$A$3:$A$5001,AG$3,BD!$B$3:$B$5001,$A$437,BD!$S$3:$S$5001,"&lt;&gt;")=0,"",SUMIFS(BD!$S$3:$S$5001,BD!$A$3:$A$5001,AG$3,BD!$B$3:$B$5001,$A$437)))</f>
        <v/>
      </c>
      <c r="AH453" s="275" t="str">
        <f>IF(AH$3="","",IF(COUNTIFS(BD!$A$3:$A$5001,AH$3,BD!$B$3:$B$5001,$A$437,BD!$S$3:$S$5001,"&lt;&gt;")=0,"",SUMIFS(BD!$S$3:$S$5001,BD!$A$3:$A$5001,AH$3,BD!$B$3:$B$5001,$A$437)))</f>
        <v/>
      </c>
      <c r="AI453" s="275" t="str">
        <f>IF(AI$3="","",IF(COUNTIFS(BD!$A$3:$A$5001,AI$3,BD!$B$3:$B$5001,$A$437,BD!$S$3:$S$5001,"&lt;&gt;")=0,"",SUMIFS(BD!$S$3:$S$5001,BD!$A$3:$A$5001,AI$3,BD!$B$3:$B$5001,$A$437)))</f>
        <v/>
      </c>
      <c r="AJ453" s="276" t="str">
        <f>IF(AJ$3="","",IF(COUNTIFS(BD!$A$3:$A$5001,AJ$3,BD!$B$3:$B$5001,$A$437,BD!$S$3:$S$5001,"&lt;&gt;")=0,"",SUMIFS(BD!$S$3:$S$5001,BD!$A$3:$A$5001,AJ$3,BD!$B$3:$B$5001,$A$437)))</f>
        <v/>
      </c>
      <c r="AK453" s="277" t="str">
        <f>IF(COUNT(F453:AJ453)=0,"",SUM(F453:AJ453))</f>
        <v/>
      </c>
    </row>
    <row r="454" ht="15.75" customHeight="1" hidden="1">
      <c r="A454" s="261"/>
      <c r="B454" s="253" t="inlineStr">
        <is>
          <t xml:space="preserve">NC</t>
        </is>
      </c>
      <c r="C454" s="194" t="inlineStr">
        <is>
          <t xml:space="preserve">Incidentes</t>
        </is>
      </c>
      <c r="D454" s="195" t="str">
        <f>IFERROR(1/(1/INDEX(BD!$AL$40:$BF$40,MATCH($A$437,BD!$AL$22:$BF$22,0))),"")</f>
        <v/>
      </c>
      <c r="E454" s="196"/>
      <c r="F454" s="197" t="str">
        <f>IF(F$3="","",IF(COUNTIFS(BD!$A$3:$A$5001,F$3,BD!$B$3:$B$5001,$A$437,BD!$T$3:$T$5001,"&lt;&gt;")=0,"",SUMIFS(BD!$T$3:$T$5001,BD!$A$3:$A$5001,F$3,BD!$B$3:$B$5001,$A$437)))</f>
        <v/>
      </c>
      <c r="G454" s="198" t="str">
        <f>IF(G$3="","",IF(COUNTIFS(BD!$A$3:$A$5001,G$3,BD!$B$3:$B$5001,$A$437,BD!$T$3:$T$5001,"&lt;&gt;")=0,"",SUMIFS(BD!$T$3:$T$5001,BD!$A$3:$A$5001,G$3,BD!$B$3:$B$5001,$A$437)))</f>
        <v/>
      </c>
      <c r="H454" s="198" t="str">
        <f>IF(H$3="","",IF(COUNTIFS(BD!$A$3:$A$5001,H$3,BD!$B$3:$B$5001,$A$437,BD!$T$3:$T$5001,"&lt;&gt;")=0,"",SUMIFS(BD!$T$3:$T$5001,BD!$A$3:$A$5001,H$3,BD!$B$3:$B$5001,$A$437)))</f>
        <v/>
      </c>
      <c r="I454" s="198" t="str">
        <f>IF(I$3="","",IF(COUNTIFS(BD!$A$3:$A$5001,I$3,BD!$B$3:$B$5001,$A$437,BD!$T$3:$T$5001,"&lt;&gt;")=0,"",SUMIFS(BD!$T$3:$T$5001,BD!$A$3:$A$5001,I$3,BD!$B$3:$B$5001,$A$437)))</f>
        <v/>
      </c>
      <c r="J454" s="198" t="str">
        <f>IF(J$3="","",IF(COUNTIFS(BD!$A$3:$A$5001,J$3,BD!$B$3:$B$5001,$A$437,BD!$T$3:$T$5001,"&lt;&gt;")=0,"",SUMIFS(BD!$T$3:$T$5001,BD!$A$3:$A$5001,J$3,BD!$B$3:$B$5001,$A$437)))</f>
        <v/>
      </c>
      <c r="K454" s="198" t="str">
        <f>IF(K$3="","",IF(COUNTIFS(BD!$A$3:$A$5001,K$3,BD!$B$3:$B$5001,$A$437,BD!$T$3:$T$5001,"&lt;&gt;")=0,"",SUMIFS(BD!$T$3:$T$5001,BD!$A$3:$A$5001,K$3,BD!$B$3:$B$5001,$A$437)))</f>
        <v/>
      </c>
      <c r="L454" s="198" t="str">
        <f>IF(L$3="","",IF(COUNTIFS(BD!$A$3:$A$5001,L$3,BD!$B$3:$B$5001,$A$437,BD!$T$3:$T$5001,"&lt;&gt;")=0,"",SUMIFS(BD!$T$3:$T$5001,BD!$A$3:$A$5001,L$3,BD!$B$3:$B$5001,$A$437)))</f>
        <v/>
      </c>
      <c r="M454" s="198" t="str">
        <f>IF(M$3="","",IF(COUNTIFS(BD!$A$3:$A$5001,M$3,BD!$B$3:$B$5001,$A$437,BD!$T$3:$T$5001,"&lt;&gt;")=0,"",SUMIFS(BD!$T$3:$T$5001,BD!$A$3:$A$5001,M$3,BD!$B$3:$B$5001,$A$437)))</f>
        <v/>
      </c>
      <c r="N454" s="198" t="str">
        <f>IF(N$3="","",IF(COUNTIFS(BD!$A$3:$A$5001,N$3,BD!$B$3:$B$5001,$A$437,BD!$T$3:$T$5001,"&lt;&gt;")=0,"",SUMIFS(BD!$T$3:$T$5001,BD!$A$3:$A$5001,N$3,BD!$B$3:$B$5001,$A$437)))</f>
        <v/>
      </c>
      <c r="O454" s="198" t="str">
        <f>IF(O$3="","",IF(COUNTIFS(BD!$A$3:$A$5001,O$3,BD!$B$3:$B$5001,$A$437,BD!$T$3:$T$5001,"&lt;&gt;")=0,"",SUMIFS(BD!$T$3:$T$5001,BD!$A$3:$A$5001,O$3,BD!$B$3:$B$5001,$A$437)))</f>
        <v/>
      </c>
      <c r="P454" s="198" t="str">
        <f>IF(P$3="","",IF(COUNTIFS(BD!$A$3:$A$5001,P$3,BD!$B$3:$B$5001,$A$437,BD!$T$3:$T$5001,"&lt;&gt;")=0,"",SUMIFS(BD!$T$3:$T$5001,BD!$A$3:$A$5001,P$3,BD!$B$3:$B$5001,$A$437)))</f>
        <v/>
      </c>
      <c r="Q454" s="198" t="str">
        <f>IF(Q$3="","",IF(COUNTIFS(BD!$A$3:$A$5001,Q$3,BD!$B$3:$B$5001,$A$437,BD!$T$3:$T$5001,"&lt;&gt;")=0,"",SUMIFS(BD!$T$3:$T$5001,BD!$A$3:$A$5001,Q$3,BD!$B$3:$B$5001,$A$437)))</f>
        <v/>
      </c>
      <c r="R454" s="198" t="str">
        <f>IF(R$3="","",IF(COUNTIFS(BD!$A$3:$A$5001,R$3,BD!$B$3:$B$5001,$A$437,BD!$T$3:$T$5001,"&lt;&gt;")=0,"",SUMIFS(BD!$T$3:$T$5001,BD!$A$3:$A$5001,R$3,BD!$B$3:$B$5001,$A$437)))</f>
        <v/>
      </c>
      <c r="S454" s="198" t="str">
        <f>IF(S$3="","",IF(COUNTIFS(BD!$A$3:$A$5001,S$3,BD!$B$3:$B$5001,$A$437,BD!$T$3:$T$5001,"&lt;&gt;")=0,"",SUMIFS(BD!$T$3:$T$5001,BD!$A$3:$A$5001,S$3,BD!$B$3:$B$5001,$A$437)))</f>
        <v/>
      </c>
      <c r="T454" s="198" t="str">
        <f>IF(T$3="","",IF(COUNTIFS(BD!$A$3:$A$5001,T$3,BD!$B$3:$B$5001,$A$437,BD!$T$3:$T$5001,"&lt;&gt;")=0,"",SUMIFS(BD!$T$3:$T$5001,BD!$A$3:$A$5001,T$3,BD!$B$3:$B$5001,$A$437)))</f>
        <v/>
      </c>
      <c r="U454" s="198" t="str">
        <f>IF(U$3="","",IF(COUNTIFS(BD!$A$3:$A$5001,U$3,BD!$B$3:$B$5001,$A$437,BD!$T$3:$T$5001,"&lt;&gt;")=0,"",SUMIFS(BD!$T$3:$T$5001,BD!$A$3:$A$5001,U$3,BD!$B$3:$B$5001,$A$437)))</f>
        <v/>
      </c>
      <c r="V454" s="198" t="str">
        <f>IF(V$3="","",IF(COUNTIFS(BD!$A$3:$A$5001,V$3,BD!$B$3:$B$5001,$A$437,BD!$T$3:$T$5001,"&lt;&gt;")=0,"",SUMIFS(BD!$T$3:$T$5001,BD!$A$3:$A$5001,V$3,BD!$B$3:$B$5001,$A$437)))</f>
        <v/>
      </c>
      <c r="W454" s="198" t="str">
        <f>IF(W$3="","",IF(COUNTIFS(BD!$A$3:$A$5001,W$3,BD!$B$3:$B$5001,$A$437,BD!$T$3:$T$5001,"&lt;&gt;")=0,"",SUMIFS(BD!$T$3:$T$5001,BD!$A$3:$A$5001,W$3,BD!$B$3:$B$5001,$A$437)))</f>
        <v/>
      </c>
      <c r="X454" s="198" t="str">
        <f>IF(X$3="","",IF(COUNTIFS(BD!$A$3:$A$5001,X$3,BD!$B$3:$B$5001,$A$437,BD!$T$3:$T$5001,"&lt;&gt;")=0,"",SUMIFS(BD!$T$3:$T$5001,BD!$A$3:$A$5001,X$3,BD!$B$3:$B$5001,$A$437)))</f>
        <v/>
      </c>
      <c r="Y454" s="198" t="str">
        <f>IF(Y$3="","",IF(COUNTIFS(BD!$A$3:$A$5001,Y$3,BD!$B$3:$B$5001,$A$437,BD!$T$3:$T$5001,"&lt;&gt;")=0,"",SUMIFS(BD!$T$3:$T$5001,BD!$A$3:$A$5001,Y$3,BD!$B$3:$B$5001,$A$437)))</f>
        <v/>
      </c>
      <c r="Z454" s="198" t="str">
        <f>IF(Z$3="","",IF(COUNTIFS(BD!$A$3:$A$5001,Z$3,BD!$B$3:$B$5001,$A$437,BD!$T$3:$T$5001,"&lt;&gt;")=0,"",SUMIFS(BD!$T$3:$T$5001,BD!$A$3:$A$5001,Z$3,BD!$B$3:$B$5001,$A$437)))</f>
        <v/>
      </c>
      <c r="AA454" s="198" t="str">
        <f>IF(AA$3="","",IF(COUNTIFS(BD!$A$3:$A$5001,AA$3,BD!$B$3:$B$5001,$A$437,BD!$T$3:$T$5001,"&lt;&gt;")=0,"",SUMIFS(BD!$T$3:$T$5001,BD!$A$3:$A$5001,AA$3,BD!$B$3:$B$5001,$A$437)))</f>
        <v/>
      </c>
      <c r="AB454" s="198" t="str">
        <f>IF(AB$3="","",IF(COUNTIFS(BD!$A$3:$A$5001,AB$3,BD!$B$3:$B$5001,$A$437,BD!$T$3:$T$5001,"&lt;&gt;")=0,"",SUMIFS(BD!$T$3:$T$5001,BD!$A$3:$A$5001,AB$3,BD!$B$3:$B$5001,$A$437)))</f>
        <v/>
      </c>
      <c r="AC454" s="198" t="str">
        <f>IF(AC$3="","",IF(COUNTIFS(BD!$A$3:$A$5001,AC$3,BD!$B$3:$B$5001,$A$437,BD!$T$3:$T$5001,"&lt;&gt;")=0,"",SUMIFS(BD!$T$3:$T$5001,BD!$A$3:$A$5001,AC$3,BD!$B$3:$B$5001,$A$437)))</f>
        <v/>
      </c>
      <c r="AD454" s="198" t="str">
        <f>IF(AD$3="","",IF(COUNTIFS(BD!$A$3:$A$5001,AD$3,BD!$B$3:$B$5001,$A$437,BD!$T$3:$T$5001,"&lt;&gt;")=0,"",SUMIFS(BD!$T$3:$T$5001,BD!$A$3:$A$5001,AD$3,BD!$B$3:$B$5001,$A$437)))</f>
        <v/>
      </c>
      <c r="AE454" s="198" t="str">
        <f>IF(AE$3="","",IF(COUNTIFS(BD!$A$3:$A$5001,AE$3,BD!$B$3:$B$5001,$A$437,BD!$T$3:$T$5001,"&lt;&gt;")=0,"",SUMIFS(BD!$T$3:$T$5001,BD!$A$3:$A$5001,AE$3,BD!$B$3:$B$5001,$A$437)))</f>
        <v/>
      </c>
      <c r="AF454" s="198" t="str">
        <f>IF(AF$3="","",IF(COUNTIFS(BD!$A$3:$A$5001,AF$3,BD!$B$3:$B$5001,$A$437,BD!$T$3:$T$5001,"&lt;&gt;")=0,"",SUMIFS(BD!$T$3:$T$5001,BD!$A$3:$A$5001,AF$3,BD!$B$3:$B$5001,$A$437)))</f>
        <v/>
      </c>
      <c r="AG454" s="198" t="str">
        <f>IF(AG$3="","",IF(COUNTIFS(BD!$A$3:$A$5001,AG$3,BD!$B$3:$B$5001,$A$437,BD!$T$3:$T$5001,"&lt;&gt;")=0,"",SUMIFS(BD!$T$3:$T$5001,BD!$A$3:$A$5001,AG$3,BD!$B$3:$B$5001,$A$437)))</f>
        <v/>
      </c>
      <c r="AH454" s="198" t="str">
        <f>IF(AH$3="","",IF(COUNTIFS(BD!$A$3:$A$5001,AH$3,BD!$B$3:$B$5001,$A$437,BD!$T$3:$T$5001,"&lt;&gt;")=0,"",SUMIFS(BD!$T$3:$T$5001,BD!$A$3:$A$5001,AH$3,BD!$B$3:$B$5001,$A$437)))</f>
        <v/>
      </c>
      <c r="AI454" s="198" t="str">
        <f>IF(AI$3="","",IF(COUNTIFS(BD!$A$3:$A$5001,AI$3,BD!$B$3:$B$5001,$A$437,BD!$T$3:$T$5001,"&lt;&gt;")=0,"",SUMIFS(BD!$T$3:$T$5001,BD!$A$3:$A$5001,AI$3,BD!$B$3:$B$5001,$A$437)))</f>
        <v/>
      </c>
      <c r="AJ454" s="199" t="str">
        <f>IF(AJ$3="","",IF(COUNTIFS(BD!$A$3:$A$5001,AJ$3,BD!$B$3:$B$5001,$A$437,BD!$T$3:$T$5001,"&lt;&gt;")=0,"",SUMIFS(BD!$T$3:$T$5001,BD!$A$3:$A$5001,AJ$3,BD!$B$3:$B$5001,$A$437)))</f>
        <v/>
      </c>
      <c r="AK454" s="200" t="str">
        <f>IF(COUNT(F454:AJ454)=0,"",SUM(F454:AJ454))</f>
        <v/>
      </c>
    </row>
    <row r="455" ht="15.75" customHeight="1" hidden="1">
      <c r="A455" s="261"/>
      <c r="B455" s="254"/>
      <c r="C455" s="201" t="inlineStr">
        <is>
          <t xml:space="preserve">No show</t>
        </is>
      </c>
      <c r="D455" s="202" t="str">
        <f>IFERROR(1/(1/INDEX(BD!$AL$41:$BF$41,MATCH($A$437,BD!$AL$22:$BF$22,0))),"")</f>
        <v/>
      </c>
      <c r="E455" s="203"/>
      <c r="F455" s="204" t="str">
        <f>IF(F$3="","",IF(COUNTIFS(BD!$A$3:$A$5001,F$3,BD!$B$3:$B$5001,$A$437,BD!$U$3:$U$5001,"&lt;&gt;")=0,"",SUMIFS(BD!$U$3:$U$5001,BD!$A$3:$A$5001,F$3,BD!$B$3:$B$5001,$A$437)))</f>
        <v/>
      </c>
      <c r="G455" s="205" t="str">
        <f>IF(G$3="","",IF(COUNTIFS(BD!$A$3:$A$5001,G$3,BD!$B$3:$B$5001,$A$437,BD!$U$3:$U$5001,"&lt;&gt;")=0,"",SUMIFS(BD!$U$3:$U$5001,BD!$A$3:$A$5001,G$3,BD!$B$3:$B$5001,$A$437)))</f>
        <v/>
      </c>
      <c r="H455" s="205" t="str">
        <f>IF(H$3="","",IF(COUNTIFS(BD!$A$3:$A$5001,H$3,BD!$B$3:$B$5001,$A$437,BD!$U$3:$U$5001,"&lt;&gt;")=0,"",SUMIFS(BD!$U$3:$U$5001,BD!$A$3:$A$5001,H$3,BD!$B$3:$B$5001,$A$437)))</f>
        <v/>
      </c>
      <c r="I455" s="205" t="str">
        <f>IF(I$3="","",IF(COUNTIFS(BD!$A$3:$A$5001,I$3,BD!$B$3:$B$5001,$A$437,BD!$U$3:$U$5001,"&lt;&gt;")=0,"",SUMIFS(BD!$U$3:$U$5001,BD!$A$3:$A$5001,I$3,BD!$B$3:$B$5001,$A$437)))</f>
        <v/>
      </c>
      <c r="J455" s="205" t="str">
        <f>IF(J$3="","",IF(COUNTIFS(BD!$A$3:$A$5001,J$3,BD!$B$3:$B$5001,$A$437,BD!$U$3:$U$5001,"&lt;&gt;")=0,"",SUMIFS(BD!$U$3:$U$5001,BD!$A$3:$A$5001,J$3,BD!$B$3:$B$5001,$A$437)))</f>
        <v/>
      </c>
      <c r="K455" s="205" t="str">
        <f>IF(K$3="","",IF(COUNTIFS(BD!$A$3:$A$5001,K$3,BD!$B$3:$B$5001,$A$437,BD!$U$3:$U$5001,"&lt;&gt;")=0,"",SUMIFS(BD!$U$3:$U$5001,BD!$A$3:$A$5001,K$3,BD!$B$3:$B$5001,$A$437)))</f>
        <v/>
      </c>
      <c r="L455" s="205" t="str">
        <f>IF(L$3="","",IF(COUNTIFS(BD!$A$3:$A$5001,L$3,BD!$B$3:$B$5001,$A$437,BD!$U$3:$U$5001,"&lt;&gt;")=0,"",SUMIFS(BD!$U$3:$U$5001,BD!$A$3:$A$5001,L$3,BD!$B$3:$B$5001,$A$437)))</f>
        <v/>
      </c>
      <c r="M455" s="205" t="str">
        <f>IF(M$3="","",IF(COUNTIFS(BD!$A$3:$A$5001,M$3,BD!$B$3:$B$5001,$A$437,BD!$U$3:$U$5001,"&lt;&gt;")=0,"",SUMIFS(BD!$U$3:$U$5001,BD!$A$3:$A$5001,M$3,BD!$B$3:$B$5001,$A$437)))</f>
        <v/>
      </c>
      <c r="N455" s="205" t="str">
        <f>IF(N$3="","",IF(COUNTIFS(BD!$A$3:$A$5001,N$3,BD!$B$3:$B$5001,$A$437,BD!$U$3:$U$5001,"&lt;&gt;")=0,"",SUMIFS(BD!$U$3:$U$5001,BD!$A$3:$A$5001,N$3,BD!$B$3:$B$5001,$A$437)))</f>
        <v/>
      </c>
      <c r="O455" s="205" t="str">
        <f>IF(O$3="","",IF(COUNTIFS(BD!$A$3:$A$5001,O$3,BD!$B$3:$B$5001,$A$437,BD!$U$3:$U$5001,"&lt;&gt;")=0,"",SUMIFS(BD!$U$3:$U$5001,BD!$A$3:$A$5001,O$3,BD!$B$3:$B$5001,$A$437)))</f>
        <v/>
      </c>
      <c r="P455" s="205" t="str">
        <f>IF(P$3="","",IF(COUNTIFS(BD!$A$3:$A$5001,P$3,BD!$B$3:$B$5001,$A$437,BD!$U$3:$U$5001,"&lt;&gt;")=0,"",SUMIFS(BD!$U$3:$U$5001,BD!$A$3:$A$5001,P$3,BD!$B$3:$B$5001,$A$437)))</f>
        <v/>
      </c>
      <c r="Q455" s="205" t="str">
        <f>IF(Q$3="","",IF(COUNTIFS(BD!$A$3:$A$5001,Q$3,BD!$B$3:$B$5001,$A$437,BD!$U$3:$U$5001,"&lt;&gt;")=0,"",SUMIFS(BD!$U$3:$U$5001,BD!$A$3:$A$5001,Q$3,BD!$B$3:$B$5001,$A$437)))</f>
        <v/>
      </c>
      <c r="R455" s="205" t="str">
        <f>IF(R$3="","",IF(COUNTIFS(BD!$A$3:$A$5001,R$3,BD!$B$3:$B$5001,$A$437,BD!$U$3:$U$5001,"&lt;&gt;")=0,"",SUMIFS(BD!$U$3:$U$5001,BD!$A$3:$A$5001,R$3,BD!$B$3:$B$5001,$A$437)))</f>
        <v/>
      </c>
      <c r="S455" s="205" t="str">
        <f>IF(S$3="","",IF(COUNTIFS(BD!$A$3:$A$5001,S$3,BD!$B$3:$B$5001,$A$437,BD!$U$3:$U$5001,"&lt;&gt;")=0,"",SUMIFS(BD!$U$3:$U$5001,BD!$A$3:$A$5001,S$3,BD!$B$3:$B$5001,$A$437)))</f>
        <v/>
      </c>
      <c r="T455" s="205" t="str">
        <f>IF(T$3="","",IF(COUNTIFS(BD!$A$3:$A$5001,T$3,BD!$B$3:$B$5001,$A$437,BD!$U$3:$U$5001,"&lt;&gt;")=0,"",SUMIFS(BD!$U$3:$U$5001,BD!$A$3:$A$5001,T$3,BD!$B$3:$B$5001,$A$437)))</f>
        <v/>
      </c>
      <c r="U455" s="205" t="str">
        <f>IF(U$3="","",IF(COUNTIFS(BD!$A$3:$A$5001,U$3,BD!$B$3:$B$5001,$A$437,BD!$U$3:$U$5001,"&lt;&gt;")=0,"",SUMIFS(BD!$U$3:$U$5001,BD!$A$3:$A$5001,U$3,BD!$B$3:$B$5001,$A$437)))</f>
        <v/>
      </c>
      <c r="V455" s="205" t="str">
        <f>IF(V$3="","",IF(COUNTIFS(BD!$A$3:$A$5001,V$3,BD!$B$3:$B$5001,$A$437,BD!$U$3:$U$5001,"&lt;&gt;")=0,"",SUMIFS(BD!$U$3:$U$5001,BD!$A$3:$A$5001,V$3,BD!$B$3:$B$5001,$A$437)))</f>
        <v/>
      </c>
      <c r="W455" s="205" t="str">
        <f>IF(W$3="","",IF(COUNTIFS(BD!$A$3:$A$5001,W$3,BD!$B$3:$B$5001,$A$437,BD!$U$3:$U$5001,"&lt;&gt;")=0,"",SUMIFS(BD!$U$3:$U$5001,BD!$A$3:$A$5001,W$3,BD!$B$3:$B$5001,$A$437)))</f>
        <v/>
      </c>
      <c r="X455" s="205" t="str">
        <f>IF(X$3="","",IF(COUNTIFS(BD!$A$3:$A$5001,X$3,BD!$B$3:$B$5001,$A$437,BD!$U$3:$U$5001,"&lt;&gt;")=0,"",SUMIFS(BD!$U$3:$U$5001,BD!$A$3:$A$5001,X$3,BD!$B$3:$B$5001,$A$437)))</f>
        <v/>
      </c>
      <c r="Y455" s="205" t="str">
        <f>IF(Y$3="","",IF(COUNTIFS(BD!$A$3:$A$5001,Y$3,BD!$B$3:$B$5001,$A$437,BD!$U$3:$U$5001,"&lt;&gt;")=0,"",SUMIFS(BD!$U$3:$U$5001,BD!$A$3:$A$5001,Y$3,BD!$B$3:$B$5001,$A$437)))</f>
        <v/>
      </c>
      <c r="Z455" s="205" t="str">
        <f>IF(Z$3="","",IF(COUNTIFS(BD!$A$3:$A$5001,Z$3,BD!$B$3:$B$5001,$A$437,BD!$U$3:$U$5001,"&lt;&gt;")=0,"",SUMIFS(BD!$U$3:$U$5001,BD!$A$3:$A$5001,Z$3,BD!$B$3:$B$5001,$A$437)))</f>
        <v/>
      </c>
      <c r="AA455" s="205" t="str">
        <f>IF(AA$3="","",IF(COUNTIFS(BD!$A$3:$A$5001,AA$3,BD!$B$3:$B$5001,$A$437,BD!$U$3:$U$5001,"&lt;&gt;")=0,"",SUMIFS(BD!$U$3:$U$5001,BD!$A$3:$A$5001,AA$3,BD!$B$3:$B$5001,$A$437)))</f>
        <v/>
      </c>
      <c r="AB455" s="205" t="str">
        <f>IF(AB$3="","",IF(COUNTIFS(BD!$A$3:$A$5001,AB$3,BD!$B$3:$B$5001,$A$437,BD!$U$3:$U$5001,"&lt;&gt;")=0,"",SUMIFS(BD!$U$3:$U$5001,BD!$A$3:$A$5001,AB$3,BD!$B$3:$B$5001,$A$437)))</f>
        <v/>
      </c>
      <c r="AC455" s="205" t="str">
        <f>IF(AC$3="","",IF(COUNTIFS(BD!$A$3:$A$5001,AC$3,BD!$B$3:$B$5001,$A$437,BD!$U$3:$U$5001,"&lt;&gt;")=0,"",SUMIFS(BD!$U$3:$U$5001,BD!$A$3:$A$5001,AC$3,BD!$B$3:$B$5001,$A$437)))</f>
        <v/>
      </c>
      <c r="AD455" s="205" t="str">
        <f>IF(AD$3="","",IF(COUNTIFS(BD!$A$3:$A$5001,AD$3,BD!$B$3:$B$5001,$A$437,BD!$U$3:$U$5001,"&lt;&gt;")=0,"",SUMIFS(BD!$U$3:$U$5001,BD!$A$3:$A$5001,AD$3,BD!$B$3:$B$5001,$A$437)))</f>
        <v/>
      </c>
      <c r="AE455" s="205" t="str">
        <f>IF(AE$3="","",IF(COUNTIFS(BD!$A$3:$A$5001,AE$3,BD!$B$3:$B$5001,$A$437,BD!$U$3:$U$5001,"&lt;&gt;")=0,"",SUMIFS(BD!$U$3:$U$5001,BD!$A$3:$A$5001,AE$3,BD!$B$3:$B$5001,$A$437)))</f>
        <v/>
      </c>
      <c r="AF455" s="205" t="str">
        <f>IF(AF$3="","",IF(COUNTIFS(BD!$A$3:$A$5001,AF$3,BD!$B$3:$B$5001,$A$437,BD!$U$3:$U$5001,"&lt;&gt;")=0,"",SUMIFS(BD!$U$3:$U$5001,BD!$A$3:$A$5001,AF$3,BD!$B$3:$B$5001,$A$437)))</f>
        <v/>
      </c>
      <c r="AG455" s="205" t="str">
        <f>IF(AG$3="","",IF(COUNTIFS(BD!$A$3:$A$5001,AG$3,BD!$B$3:$B$5001,$A$437,BD!$U$3:$U$5001,"&lt;&gt;")=0,"",SUMIFS(BD!$U$3:$U$5001,BD!$A$3:$A$5001,AG$3,BD!$B$3:$B$5001,$A$437)))</f>
        <v/>
      </c>
      <c r="AH455" s="205" t="str">
        <f>IF(AH$3="","",IF(COUNTIFS(BD!$A$3:$A$5001,AH$3,BD!$B$3:$B$5001,$A$437,BD!$U$3:$U$5001,"&lt;&gt;")=0,"",SUMIFS(BD!$U$3:$U$5001,BD!$A$3:$A$5001,AH$3,BD!$B$3:$B$5001,$A$437)))</f>
        <v/>
      </c>
      <c r="AI455" s="205" t="str">
        <f>IF(AI$3="","",IF(COUNTIFS(BD!$A$3:$A$5001,AI$3,BD!$B$3:$B$5001,$A$437,BD!$U$3:$U$5001,"&lt;&gt;")=0,"",SUMIFS(BD!$U$3:$U$5001,BD!$A$3:$A$5001,AI$3,BD!$B$3:$B$5001,$A$437)))</f>
        <v/>
      </c>
      <c r="AJ455" s="206" t="str">
        <f>IF(AJ$3="","",IF(COUNTIFS(BD!$A$3:$A$5001,AJ$3,BD!$B$3:$B$5001,$A$437,BD!$U$3:$U$5001,"&lt;&gt;")=0,"",SUMIFS(BD!$U$3:$U$5001,BD!$A$3:$A$5001,AJ$3,BD!$B$3:$B$5001,$A$437)))</f>
        <v/>
      </c>
      <c r="AK455" s="207" t="str">
        <f>IF(COUNT(F455:AJ455)=0,"",SUM(F455:AJ455))</f>
        <v/>
      </c>
    </row>
    <row r="456" ht="15.75" customHeight="1" hidden="1">
      <c r="A456" s="261"/>
      <c r="B456" s="254"/>
      <c r="C456" s="201" t="inlineStr">
        <is>
          <t xml:space="preserve">Backlog Intralog</t>
        </is>
      </c>
      <c r="D456" s="202" t="str">
        <f>IFERROR(1/(1/INDEX(BD!$AL$42:$BF$42,MATCH($A$437,BD!$AL$22:$BF$22,0))),"")</f>
        <v/>
      </c>
      <c r="E456" s="203"/>
      <c r="F456" s="204" t="str">
        <f>IF(F$3="","",IF(COUNTIFS(BD!$A$3:$A$5001,F$3,BD!$B$3:$B$5001,$A$437,BD!$V$3:$V$5001,"&lt;&gt;")=0,"",SUMIFS(BD!$V$3:$V$5001,BD!$A$3:$A$5001,F$3,BD!$B$3:$B$5001,$A$437)))</f>
        <v/>
      </c>
      <c r="G456" s="205" t="str">
        <f>IF(G$3="","",IF(COUNTIFS(BD!$A$3:$A$5001,G$3,BD!$B$3:$B$5001,$A$437,BD!$V$3:$V$5001,"&lt;&gt;")=0,"",SUMIFS(BD!$V$3:$V$5001,BD!$A$3:$A$5001,G$3,BD!$B$3:$B$5001,$A$437)))</f>
        <v/>
      </c>
      <c r="H456" s="205" t="str">
        <f>IF(H$3="","",IF(COUNTIFS(BD!$A$3:$A$5001,H$3,BD!$B$3:$B$5001,$A$437,BD!$V$3:$V$5001,"&lt;&gt;")=0,"",SUMIFS(BD!$V$3:$V$5001,BD!$A$3:$A$5001,H$3,BD!$B$3:$B$5001,$A$437)))</f>
        <v/>
      </c>
      <c r="I456" s="205" t="str">
        <f>IF(I$3="","",IF(COUNTIFS(BD!$A$3:$A$5001,I$3,BD!$B$3:$B$5001,$A$437,BD!$V$3:$V$5001,"&lt;&gt;")=0,"",SUMIFS(BD!$V$3:$V$5001,BD!$A$3:$A$5001,I$3,BD!$B$3:$B$5001,$A$437)))</f>
        <v/>
      </c>
      <c r="J456" s="205" t="str">
        <f>IF(J$3="","",IF(COUNTIFS(BD!$A$3:$A$5001,J$3,BD!$B$3:$B$5001,$A$437,BD!$V$3:$V$5001,"&lt;&gt;")=0,"",SUMIFS(BD!$V$3:$V$5001,BD!$A$3:$A$5001,J$3,BD!$B$3:$B$5001,$A$437)))</f>
        <v/>
      </c>
      <c r="K456" s="205" t="str">
        <f>IF(K$3="","",IF(COUNTIFS(BD!$A$3:$A$5001,K$3,BD!$B$3:$B$5001,$A$437,BD!$V$3:$V$5001,"&lt;&gt;")=0,"",SUMIFS(BD!$V$3:$V$5001,BD!$A$3:$A$5001,K$3,BD!$B$3:$B$5001,$A$437)))</f>
        <v/>
      </c>
      <c r="L456" s="205" t="str">
        <f>IF(L$3="","",IF(COUNTIFS(BD!$A$3:$A$5001,L$3,BD!$B$3:$B$5001,$A$437,BD!$V$3:$V$5001,"&lt;&gt;")=0,"",SUMIFS(BD!$V$3:$V$5001,BD!$A$3:$A$5001,L$3,BD!$B$3:$B$5001,$A$437)))</f>
        <v/>
      </c>
      <c r="M456" s="205" t="str">
        <f>IF(M$3="","",IF(COUNTIFS(BD!$A$3:$A$5001,M$3,BD!$B$3:$B$5001,$A$437,BD!$V$3:$V$5001,"&lt;&gt;")=0,"",SUMIFS(BD!$V$3:$V$5001,BD!$A$3:$A$5001,M$3,BD!$B$3:$B$5001,$A$437)))</f>
        <v/>
      </c>
      <c r="N456" s="205" t="str">
        <f>IF(N$3="","",IF(COUNTIFS(BD!$A$3:$A$5001,N$3,BD!$B$3:$B$5001,$A$437,BD!$V$3:$V$5001,"&lt;&gt;")=0,"",SUMIFS(BD!$V$3:$V$5001,BD!$A$3:$A$5001,N$3,BD!$B$3:$B$5001,$A$437)))</f>
        <v/>
      </c>
      <c r="O456" s="205" t="str">
        <f>IF(O$3="","",IF(COUNTIFS(BD!$A$3:$A$5001,O$3,BD!$B$3:$B$5001,$A$437,BD!$V$3:$V$5001,"&lt;&gt;")=0,"",SUMIFS(BD!$V$3:$V$5001,BD!$A$3:$A$5001,O$3,BD!$B$3:$B$5001,$A$437)))</f>
        <v/>
      </c>
      <c r="P456" s="205" t="str">
        <f>IF(P$3="","",IF(COUNTIFS(BD!$A$3:$A$5001,P$3,BD!$B$3:$B$5001,$A$437,BD!$V$3:$V$5001,"&lt;&gt;")=0,"",SUMIFS(BD!$V$3:$V$5001,BD!$A$3:$A$5001,P$3,BD!$B$3:$B$5001,$A$437)))</f>
        <v/>
      </c>
      <c r="Q456" s="205" t="str">
        <f>IF(Q$3="","",IF(COUNTIFS(BD!$A$3:$A$5001,Q$3,BD!$B$3:$B$5001,$A$437,BD!$V$3:$V$5001,"&lt;&gt;")=0,"",SUMIFS(BD!$V$3:$V$5001,BD!$A$3:$A$5001,Q$3,BD!$B$3:$B$5001,$A$437)))</f>
        <v/>
      </c>
      <c r="R456" s="205" t="str">
        <f>IF(R$3="","",IF(COUNTIFS(BD!$A$3:$A$5001,R$3,BD!$B$3:$B$5001,$A$437,BD!$V$3:$V$5001,"&lt;&gt;")=0,"",SUMIFS(BD!$V$3:$V$5001,BD!$A$3:$A$5001,R$3,BD!$B$3:$B$5001,$A$437)))</f>
        <v/>
      </c>
      <c r="S456" s="205" t="str">
        <f>IF(S$3="","",IF(COUNTIFS(BD!$A$3:$A$5001,S$3,BD!$B$3:$B$5001,$A$437,BD!$V$3:$V$5001,"&lt;&gt;")=0,"",SUMIFS(BD!$V$3:$V$5001,BD!$A$3:$A$5001,S$3,BD!$B$3:$B$5001,$A$437)))</f>
        <v/>
      </c>
      <c r="T456" s="205" t="str">
        <f>IF(T$3="","",IF(COUNTIFS(BD!$A$3:$A$5001,T$3,BD!$B$3:$B$5001,$A$437,BD!$V$3:$V$5001,"&lt;&gt;")=0,"",SUMIFS(BD!$V$3:$V$5001,BD!$A$3:$A$5001,T$3,BD!$B$3:$B$5001,$A$437)))</f>
        <v/>
      </c>
      <c r="U456" s="205" t="str">
        <f>IF(U$3="","",IF(COUNTIFS(BD!$A$3:$A$5001,U$3,BD!$B$3:$B$5001,$A$437,BD!$V$3:$V$5001,"&lt;&gt;")=0,"",SUMIFS(BD!$V$3:$V$5001,BD!$A$3:$A$5001,U$3,BD!$B$3:$B$5001,$A$437)))</f>
        <v/>
      </c>
      <c r="V456" s="205" t="str">
        <f>IF(V$3="","",IF(COUNTIFS(BD!$A$3:$A$5001,V$3,BD!$B$3:$B$5001,$A$437,BD!$V$3:$V$5001,"&lt;&gt;")=0,"",SUMIFS(BD!$V$3:$V$5001,BD!$A$3:$A$5001,V$3,BD!$B$3:$B$5001,$A$437)))</f>
        <v/>
      </c>
      <c r="W456" s="205" t="str">
        <f>IF(W$3="","",IF(COUNTIFS(BD!$A$3:$A$5001,W$3,BD!$B$3:$B$5001,$A$437,BD!$V$3:$V$5001,"&lt;&gt;")=0,"",SUMIFS(BD!$V$3:$V$5001,BD!$A$3:$A$5001,W$3,BD!$B$3:$B$5001,$A$437)))</f>
        <v/>
      </c>
      <c r="X456" s="205" t="str">
        <f>IF(X$3="","",IF(COUNTIFS(BD!$A$3:$A$5001,X$3,BD!$B$3:$B$5001,$A$437,BD!$V$3:$V$5001,"&lt;&gt;")=0,"",SUMIFS(BD!$V$3:$V$5001,BD!$A$3:$A$5001,X$3,BD!$B$3:$B$5001,$A$437)))</f>
        <v/>
      </c>
      <c r="Y456" s="205" t="str">
        <f>IF(Y$3="","",IF(COUNTIFS(BD!$A$3:$A$5001,Y$3,BD!$B$3:$B$5001,$A$437,BD!$V$3:$V$5001,"&lt;&gt;")=0,"",SUMIFS(BD!$V$3:$V$5001,BD!$A$3:$A$5001,Y$3,BD!$B$3:$B$5001,$A$437)))</f>
        <v/>
      </c>
      <c r="Z456" s="205" t="str">
        <f>IF(Z$3="","",IF(COUNTIFS(BD!$A$3:$A$5001,Z$3,BD!$B$3:$B$5001,$A$437,BD!$V$3:$V$5001,"&lt;&gt;")=0,"",SUMIFS(BD!$V$3:$V$5001,BD!$A$3:$A$5001,Z$3,BD!$B$3:$B$5001,$A$437)))</f>
        <v/>
      </c>
      <c r="AA456" s="205" t="str">
        <f>IF(AA$3="","",IF(COUNTIFS(BD!$A$3:$A$5001,AA$3,BD!$B$3:$B$5001,$A$437,BD!$V$3:$V$5001,"&lt;&gt;")=0,"",SUMIFS(BD!$V$3:$V$5001,BD!$A$3:$A$5001,AA$3,BD!$B$3:$B$5001,$A$437)))</f>
        <v/>
      </c>
      <c r="AB456" s="205" t="str">
        <f>IF(AB$3="","",IF(COUNTIFS(BD!$A$3:$A$5001,AB$3,BD!$B$3:$B$5001,$A$437,BD!$V$3:$V$5001,"&lt;&gt;")=0,"",SUMIFS(BD!$V$3:$V$5001,BD!$A$3:$A$5001,AB$3,BD!$B$3:$B$5001,$A$437)))</f>
        <v/>
      </c>
      <c r="AC456" s="205" t="str">
        <f>IF(AC$3="","",IF(COUNTIFS(BD!$A$3:$A$5001,AC$3,BD!$B$3:$B$5001,$A$437,BD!$V$3:$V$5001,"&lt;&gt;")=0,"",SUMIFS(BD!$V$3:$V$5001,BD!$A$3:$A$5001,AC$3,BD!$B$3:$B$5001,$A$437)))</f>
        <v/>
      </c>
      <c r="AD456" s="205" t="str">
        <f>IF(AD$3="","",IF(COUNTIFS(BD!$A$3:$A$5001,AD$3,BD!$B$3:$B$5001,$A$437,BD!$V$3:$V$5001,"&lt;&gt;")=0,"",SUMIFS(BD!$V$3:$V$5001,BD!$A$3:$A$5001,AD$3,BD!$B$3:$B$5001,$A$437)))</f>
        <v/>
      </c>
      <c r="AE456" s="205" t="str">
        <f>IF(AE$3="","",IF(COUNTIFS(BD!$A$3:$A$5001,AE$3,BD!$B$3:$B$5001,$A$437,BD!$V$3:$V$5001,"&lt;&gt;")=0,"",SUMIFS(BD!$V$3:$V$5001,BD!$A$3:$A$5001,AE$3,BD!$B$3:$B$5001,$A$437)))</f>
        <v/>
      </c>
      <c r="AF456" s="205" t="str">
        <f>IF(AF$3="","",IF(COUNTIFS(BD!$A$3:$A$5001,AF$3,BD!$B$3:$B$5001,$A$437,BD!$V$3:$V$5001,"&lt;&gt;")=0,"",SUMIFS(BD!$V$3:$V$5001,BD!$A$3:$A$5001,AF$3,BD!$B$3:$B$5001,$A$437)))</f>
        <v/>
      </c>
      <c r="AG456" s="205" t="str">
        <f>IF(AG$3="","",IF(COUNTIFS(BD!$A$3:$A$5001,AG$3,BD!$B$3:$B$5001,$A$437,BD!$V$3:$V$5001,"&lt;&gt;")=0,"",SUMIFS(BD!$V$3:$V$5001,BD!$A$3:$A$5001,AG$3,BD!$B$3:$B$5001,$A$437)))</f>
        <v/>
      </c>
      <c r="AH456" s="205" t="str">
        <f>IF(AH$3="","",IF(COUNTIFS(BD!$A$3:$A$5001,AH$3,BD!$B$3:$B$5001,$A$437,BD!$V$3:$V$5001,"&lt;&gt;")=0,"",SUMIFS(BD!$V$3:$V$5001,BD!$A$3:$A$5001,AH$3,BD!$B$3:$B$5001,$A$437)))</f>
        <v/>
      </c>
      <c r="AI456" s="205" t="str">
        <f>IF(AI$3="","",IF(COUNTIFS(BD!$A$3:$A$5001,AI$3,BD!$B$3:$B$5001,$A$437,BD!$V$3:$V$5001,"&lt;&gt;")=0,"",SUMIFS(BD!$V$3:$V$5001,BD!$A$3:$A$5001,AI$3,BD!$B$3:$B$5001,$A$437)))</f>
        <v/>
      </c>
      <c r="AJ456" s="206" t="str">
        <f>IF(AJ$3="","",IF(COUNTIFS(BD!$A$3:$A$5001,AJ$3,BD!$B$3:$B$5001,$A$437,BD!$V$3:$V$5001,"&lt;&gt;")=0,"",SUMIFS(BD!$V$3:$V$5001,BD!$A$3:$A$5001,AJ$3,BD!$B$3:$B$5001,$A$437)))</f>
        <v/>
      </c>
      <c r="AK456" s="207" t="str">
        <f>IFERROR(LOOKUP(9.99E+307,F456:AJ456),"")</f>
        <v/>
      </c>
    </row>
    <row r="457" ht="15.75" customHeight="1" hidden="1">
      <c r="A457" s="261"/>
      <c r="B457" s="255"/>
      <c r="C457" s="208" t="inlineStr">
        <is>
          <t xml:space="preserve">Backlog Cliente</t>
        </is>
      </c>
      <c r="D457" s="209" t="str">
        <f>IFERROR(1/(1/INDEX(BD!$AL$43:$BF$43,MATCH($A$437,BD!$AL$22:$BF$22,0))),"")</f>
        <v/>
      </c>
      <c r="E457" s="210"/>
      <c r="F457" s="211" t="str">
        <f>IF(F$3="","",IF(COUNTIFS(BD!$A$3:$A$5001,F$3,BD!$B$3:$B$5001,$A$437,BD!$W$3:$W$5001,"&lt;&gt;")=0,"",SUMIFS(BD!$W$3:$W$5001,BD!$A$3:$A$5001,F$3,BD!$B$3:$B$5001,$A$437)))</f>
        <v/>
      </c>
      <c r="G457" s="212" t="str">
        <f>IF(G$3="","",IF(COUNTIFS(BD!$A$3:$A$5001,G$3,BD!$B$3:$B$5001,$A$437,BD!$W$3:$W$5001,"&lt;&gt;")=0,"",SUMIFS(BD!$W$3:$W$5001,BD!$A$3:$A$5001,G$3,BD!$B$3:$B$5001,$A$437)))</f>
        <v/>
      </c>
      <c r="H457" s="212" t="str">
        <f>IF(H$3="","",IF(COUNTIFS(BD!$A$3:$A$5001,H$3,BD!$B$3:$B$5001,$A$437,BD!$W$3:$W$5001,"&lt;&gt;")=0,"",SUMIFS(BD!$W$3:$W$5001,BD!$A$3:$A$5001,H$3,BD!$B$3:$B$5001,$A$437)))</f>
        <v/>
      </c>
      <c r="I457" s="212" t="str">
        <f>IF(I$3="","",IF(COUNTIFS(BD!$A$3:$A$5001,I$3,BD!$B$3:$B$5001,$A$437,BD!$W$3:$W$5001,"&lt;&gt;")=0,"",SUMIFS(BD!$W$3:$W$5001,BD!$A$3:$A$5001,I$3,BD!$B$3:$B$5001,$A$437)))</f>
        <v/>
      </c>
      <c r="J457" s="212" t="str">
        <f>IF(J$3="","",IF(COUNTIFS(BD!$A$3:$A$5001,J$3,BD!$B$3:$B$5001,$A$437,BD!$W$3:$W$5001,"&lt;&gt;")=0,"",SUMIFS(BD!$W$3:$W$5001,BD!$A$3:$A$5001,J$3,BD!$B$3:$B$5001,$A$437)))</f>
        <v/>
      </c>
      <c r="K457" s="212" t="str">
        <f>IF(K$3="","",IF(COUNTIFS(BD!$A$3:$A$5001,K$3,BD!$B$3:$B$5001,$A$437,BD!$W$3:$W$5001,"&lt;&gt;")=0,"",SUMIFS(BD!$W$3:$W$5001,BD!$A$3:$A$5001,K$3,BD!$B$3:$B$5001,$A$437)))</f>
        <v/>
      </c>
      <c r="L457" s="212" t="str">
        <f>IF(L$3="","",IF(COUNTIFS(BD!$A$3:$A$5001,L$3,BD!$B$3:$B$5001,$A$437,BD!$W$3:$W$5001,"&lt;&gt;")=0,"",SUMIFS(BD!$W$3:$W$5001,BD!$A$3:$A$5001,L$3,BD!$B$3:$B$5001,$A$437)))</f>
        <v/>
      </c>
      <c r="M457" s="212" t="str">
        <f>IF(M$3="","",IF(COUNTIFS(BD!$A$3:$A$5001,M$3,BD!$B$3:$B$5001,$A$437,BD!$W$3:$W$5001,"&lt;&gt;")=0,"",SUMIFS(BD!$W$3:$W$5001,BD!$A$3:$A$5001,M$3,BD!$B$3:$B$5001,$A$437)))</f>
        <v/>
      </c>
      <c r="N457" s="212" t="str">
        <f>IF(N$3="","",IF(COUNTIFS(BD!$A$3:$A$5001,N$3,BD!$B$3:$B$5001,$A$437,BD!$W$3:$W$5001,"&lt;&gt;")=0,"",SUMIFS(BD!$W$3:$W$5001,BD!$A$3:$A$5001,N$3,BD!$B$3:$B$5001,$A$437)))</f>
        <v/>
      </c>
      <c r="O457" s="212" t="str">
        <f>IF(O$3="","",IF(COUNTIFS(BD!$A$3:$A$5001,O$3,BD!$B$3:$B$5001,$A$437,BD!$W$3:$W$5001,"&lt;&gt;")=0,"",SUMIFS(BD!$W$3:$W$5001,BD!$A$3:$A$5001,O$3,BD!$B$3:$B$5001,$A$437)))</f>
        <v/>
      </c>
      <c r="P457" s="212" t="str">
        <f>IF(P$3="","",IF(COUNTIFS(BD!$A$3:$A$5001,P$3,BD!$B$3:$B$5001,$A$437,BD!$W$3:$W$5001,"&lt;&gt;")=0,"",SUMIFS(BD!$W$3:$W$5001,BD!$A$3:$A$5001,P$3,BD!$B$3:$B$5001,$A$437)))</f>
        <v/>
      </c>
      <c r="Q457" s="212" t="str">
        <f>IF(Q$3="","",IF(COUNTIFS(BD!$A$3:$A$5001,Q$3,BD!$B$3:$B$5001,$A$437,BD!$W$3:$W$5001,"&lt;&gt;")=0,"",SUMIFS(BD!$W$3:$W$5001,BD!$A$3:$A$5001,Q$3,BD!$B$3:$B$5001,$A$437)))</f>
        <v/>
      </c>
      <c r="R457" s="212" t="str">
        <f>IF(R$3="","",IF(COUNTIFS(BD!$A$3:$A$5001,R$3,BD!$B$3:$B$5001,$A$437,BD!$W$3:$W$5001,"&lt;&gt;")=0,"",SUMIFS(BD!$W$3:$W$5001,BD!$A$3:$A$5001,R$3,BD!$B$3:$B$5001,$A$437)))</f>
        <v/>
      </c>
      <c r="S457" s="212" t="str">
        <f>IF(S$3="","",IF(COUNTIFS(BD!$A$3:$A$5001,S$3,BD!$B$3:$B$5001,$A$437,BD!$W$3:$W$5001,"&lt;&gt;")=0,"",SUMIFS(BD!$W$3:$W$5001,BD!$A$3:$A$5001,S$3,BD!$B$3:$B$5001,$A$437)))</f>
        <v/>
      </c>
      <c r="T457" s="212" t="str">
        <f>IF(T$3="","",IF(COUNTIFS(BD!$A$3:$A$5001,T$3,BD!$B$3:$B$5001,$A$437,BD!$W$3:$W$5001,"&lt;&gt;")=0,"",SUMIFS(BD!$W$3:$W$5001,BD!$A$3:$A$5001,T$3,BD!$B$3:$B$5001,$A$437)))</f>
        <v/>
      </c>
      <c r="U457" s="212" t="str">
        <f>IF(U$3="","",IF(COUNTIFS(BD!$A$3:$A$5001,U$3,BD!$B$3:$B$5001,$A$437,BD!$W$3:$W$5001,"&lt;&gt;")=0,"",SUMIFS(BD!$W$3:$W$5001,BD!$A$3:$A$5001,U$3,BD!$B$3:$B$5001,$A$437)))</f>
        <v/>
      </c>
      <c r="V457" s="212" t="str">
        <f>IF(V$3="","",IF(COUNTIFS(BD!$A$3:$A$5001,V$3,BD!$B$3:$B$5001,$A$437,BD!$W$3:$W$5001,"&lt;&gt;")=0,"",SUMIFS(BD!$W$3:$W$5001,BD!$A$3:$A$5001,V$3,BD!$B$3:$B$5001,$A$437)))</f>
        <v/>
      </c>
      <c r="W457" s="212" t="str">
        <f>IF(W$3="","",IF(COUNTIFS(BD!$A$3:$A$5001,W$3,BD!$B$3:$B$5001,$A$437,BD!$W$3:$W$5001,"&lt;&gt;")=0,"",SUMIFS(BD!$W$3:$W$5001,BD!$A$3:$A$5001,W$3,BD!$B$3:$B$5001,$A$437)))</f>
        <v/>
      </c>
      <c r="X457" s="212" t="str">
        <f>IF(X$3="","",IF(COUNTIFS(BD!$A$3:$A$5001,X$3,BD!$B$3:$B$5001,$A$437,BD!$W$3:$W$5001,"&lt;&gt;")=0,"",SUMIFS(BD!$W$3:$W$5001,BD!$A$3:$A$5001,X$3,BD!$B$3:$B$5001,$A$437)))</f>
        <v/>
      </c>
      <c r="Y457" s="212" t="str">
        <f>IF(Y$3="","",IF(COUNTIFS(BD!$A$3:$A$5001,Y$3,BD!$B$3:$B$5001,$A$437,BD!$W$3:$W$5001,"&lt;&gt;")=0,"",SUMIFS(BD!$W$3:$W$5001,BD!$A$3:$A$5001,Y$3,BD!$B$3:$B$5001,$A$437)))</f>
        <v/>
      </c>
      <c r="Z457" s="212" t="str">
        <f>IF(Z$3="","",IF(COUNTIFS(BD!$A$3:$A$5001,Z$3,BD!$B$3:$B$5001,$A$437,BD!$W$3:$W$5001,"&lt;&gt;")=0,"",SUMIFS(BD!$W$3:$W$5001,BD!$A$3:$A$5001,Z$3,BD!$B$3:$B$5001,$A$437)))</f>
        <v/>
      </c>
      <c r="AA457" s="212" t="str">
        <f>IF(AA$3="","",IF(COUNTIFS(BD!$A$3:$A$5001,AA$3,BD!$B$3:$B$5001,$A$437,BD!$W$3:$W$5001,"&lt;&gt;")=0,"",SUMIFS(BD!$W$3:$W$5001,BD!$A$3:$A$5001,AA$3,BD!$B$3:$B$5001,$A$437)))</f>
        <v/>
      </c>
      <c r="AB457" s="212" t="str">
        <f>IF(AB$3="","",IF(COUNTIFS(BD!$A$3:$A$5001,AB$3,BD!$B$3:$B$5001,$A$437,BD!$W$3:$W$5001,"&lt;&gt;")=0,"",SUMIFS(BD!$W$3:$W$5001,BD!$A$3:$A$5001,AB$3,BD!$B$3:$B$5001,$A$437)))</f>
        <v/>
      </c>
      <c r="AC457" s="212" t="str">
        <f>IF(AC$3="","",IF(COUNTIFS(BD!$A$3:$A$5001,AC$3,BD!$B$3:$B$5001,$A$437,BD!$W$3:$W$5001,"&lt;&gt;")=0,"",SUMIFS(BD!$W$3:$W$5001,BD!$A$3:$A$5001,AC$3,BD!$B$3:$B$5001,$A$437)))</f>
        <v/>
      </c>
      <c r="AD457" s="212" t="str">
        <f>IF(AD$3="","",IF(COUNTIFS(BD!$A$3:$A$5001,AD$3,BD!$B$3:$B$5001,$A$437,BD!$W$3:$W$5001,"&lt;&gt;")=0,"",SUMIFS(BD!$W$3:$W$5001,BD!$A$3:$A$5001,AD$3,BD!$B$3:$B$5001,$A$437)))</f>
        <v/>
      </c>
      <c r="AE457" s="212" t="str">
        <f>IF(AE$3="","",IF(COUNTIFS(BD!$A$3:$A$5001,AE$3,BD!$B$3:$B$5001,$A$437,BD!$W$3:$W$5001,"&lt;&gt;")=0,"",SUMIFS(BD!$W$3:$W$5001,BD!$A$3:$A$5001,AE$3,BD!$B$3:$B$5001,$A$437)))</f>
        <v/>
      </c>
      <c r="AF457" s="212" t="str">
        <f>IF(AF$3="","",IF(COUNTIFS(BD!$A$3:$A$5001,AF$3,BD!$B$3:$B$5001,$A$437,BD!$W$3:$W$5001,"&lt;&gt;")=0,"",SUMIFS(BD!$W$3:$W$5001,BD!$A$3:$A$5001,AF$3,BD!$B$3:$B$5001,$A$437)))</f>
        <v/>
      </c>
      <c r="AG457" s="212" t="str">
        <f>IF(AG$3="","",IF(COUNTIFS(BD!$A$3:$A$5001,AG$3,BD!$B$3:$B$5001,$A$437,BD!$W$3:$W$5001,"&lt;&gt;")=0,"",SUMIFS(BD!$W$3:$W$5001,BD!$A$3:$A$5001,AG$3,BD!$B$3:$B$5001,$A$437)))</f>
        <v/>
      </c>
      <c r="AH457" s="212" t="str">
        <f>IF(AH$3="","",IF(COUNTIFS(BD!$A$3:$A$5001,AH$3,BD!$B$3:$B$5001,$A$437,BD!$W$3:$W$5001,"&lt;&gt;")=0,"",SUMIFS(BD!$W$3:$W$5001,BD!$A$3:$A$5001,AH$3,BD!$B$3:$B$5001,$A$437)))</f>
        <v/>
      </c>
      <c r="AI457" s="212" t="str">
        <f>IF(AI$3="","",IF(COUNTIFS(BD!$A$3:$A$5001,AI$3,BD!$B$3:$B$5001,$A$437,BD!$W$3:$W$5001,"&lt;&gt;")=0,"",SUMIFS(BD!$W$3:$W$5001,BD!$A$3:$A$5001,AI$3,BD!$B$3:$B$5001,$A$437)))</f>
        <v/>
      </c>
      <c r="AJ457" s="213" t="str">
        <f>IF(AJ$3="","",IF(COUNTIFS(BD!$A$3:$A$5001,AJ$3,BD!$B$3:$B$5001,$A$437,BD!$W$3:$W$5001,"&lt;&gt;")=0,"",SUMIFS(BD!$W$3:$W$5001,BD!$A$3:$A$5001,AJ$3,BD!$B$3:$B$5001,$A$437)))</f>
        <v/>
      </c>
      <c r="AK457" s="209" t="str">
        <f>IFERROR(LOOKUP(9.99E+307,F457:AJ457),"")</f>
        <v/>
      </c>
    </row>
    <row r="458" ht="15.75" customHeight="1" hidden="1">
      <c r="A458" s="261"/>
      <c r="B458" s="249" t="inlineStr">
        <is>
          <t xml:space="preserve">OCUPAÇÃO (P.P)</t>
        </is>
      </c>
      <c r="C458" s="168" t="inlineStr">
        <is>
          <t xml:space="preserve">Posições Disponíveis</t>
        </is>
      </c>
      <c r="D458" s="169" t="str">
        <f>IFERROR(1/(1/INDEX(BD!$AL$44:$BF$44,MATCH($A$437,BD!$AL$22:$BF$22,0))),"")</f>
        <v/>
      </c>
      <c r="E458" s="170"/>
      <c r="F458" s="171" t="str">
        <f>IF(F$3="","",IF(COUNTIFS(BD!$A$3:$A$5001,F$3,BD!$B$3:$B$5001,$A$437,BD!$X$3:$X$5001,"&lt;&gt;")=0,"",SUMIFS(BD!$X$3:$X$5001,BD!$A$3:$A$5001,F$3,BD!$B$3:$B$5001,$A$437)))</f>
        <v/>
      </c>
      <c r="G458" s="172" t="str">
        <f>IF(G$3="","",IF(COUNTIFS(BD!$A$3:$A$5001,G$3,BD!$B$3:$B$5001,$A$437,BD!$X$3:$X$5001,"&lt;&gt;")=0,"",SUMIFS(BD!$X$3:$X$5001,BD!$A$3:$A$5001,G$3,BD!$B$3:$B$5001,$A$437)))</f>
        <v/>
      </c>
      <c r="H458" s="172" t="str">
        <f>IF(H$3="","",IF(COUNTIFS(BD!$A$3:$A$5001,H$3,BD!$B$3:$B$5001,$A$437,BD!$X$3:$X$5001,"&lt;&gt;")=0,"",SUMIFS(BD!$X$3:$X$5001,BD!$A$3:$A$5001,H$3,BD!$B$3:$B$5001,$A$437)))</f>
        <v/>
      </c>
      <c r="I458" s="172" t="str">
        <f>IF(I$3="","",IF(COUNTIFS(BD!$A$3:$A$5001,I$3,BD!$B$3:$B$5001,$A$437,BD!$X$3:$X$5001,"&lt;&gt;")=0,"",SUMIFS(BD!$X$3:$X$5001,BD!$A$3:$A$5001,I$3,BD!$B$3:$B$5001,$A$437)))</f>
        <v/>
      </c>
      <c r="J458" s="172" t="str">
        <f>IF(J$3="","",IF(COUNTIFS(BD!$A$3:$A$5001,J$3,BD!$B$3:$B$5001,$A$437,BD!$X$3:$X$5001,"&lt;&gt;")=0,"",SUMIFS(BD!$X$3:$X$5001,BD!$A$3:$A$5001,J$3,BD!$B$3:$B$5001,$A$437)))</f>
        <v/>
      </c>
      <c r="K458" s="172" t="str">
        <f>IF(K$3="","",IF(COUNTIFS(BD!$A$3:$A$5001,K$3,BD!$B$3:$B$5001,$A$437,BD!$X$3:$X$5001,"&lt;&gt;")=0,"",SUMIFS(BD!$X$3:$X$5001,BD!$A$3:$A$5001,K$3,BD!$B$3:$B$5001,$A$437)))</f>
        <v/>
      </c>
      <c r="L458" s="172" t="str">
        <f>IF(L$3="","",IF(COUNTIFS(BD!$A$3:$A$5001,L$3,BD!$B$3:$B$5001,$A$437,BD!$X$3:$X$5001,"&lt;&gt;")=0,"",SUMIFS(BD!$X$3:$X$5001,BD!$A$3:$A$5001,L$3,BD!$B$3:$B$5001,$A$437)))</f>
        <v/>
      </c>
      <c r="M458" s="172" t="str">
        <f>IF(M$3="","",IF(COUNTIFS(BD!$A$3:$A$5001,M$3,BD!$B$3:$B$5001,$A$437,BD!$X$3:$X$5001,"&lt;&gt;")=0,"",SUMIFS(BD!$X$3:$X$5001,BD!$A$3:$A$5001,M$3,BD!$B$3:$B$5001,$A$437)))</f>
        <v/>
      </c>
      <c r="N458" s="172" t="str">
        <f>IF(N$3="","",IF(COUNTIFS(BD!$A$3:$A$5001,N$3,BD!$B$3:$B$5001,$A$437,BD!$X$3:$X$5001,"&lt;&gt;")=0,"",SUMIFS(BD!$X$3:$X$5001,BD!$A$3:$A$5001,N$3,BD!$B$3:$B$5001,$A$437)))</f>
        <v/>
      </c>
      <c r="O458" s="172" t="str">
        <f>IF(O$3="","",IF(COUNTIFS(BD!$A$3:$A$5001,O$3,BD!$B$3:$B$5001,$A$437,BD!$X$3:$X$5001,"&lt;&gt;")=0,"",SUMIFS(BD!$X$3:$X$5001,BD!$A$3:$A$5001,O$3,BD!$B$3:$B$5001,$A$437)))</f>
        <v/>
      </c>
      <c r="P458" s="172" t="str">
        <f>IF(P$3="","",IF(COUNTIFS(BD!$A$3:$A$5001,P$3,BD!$B$3:$B$5001,$A$437,BD!$X$3:$X$5001,"&lt;&gt;")=0,"",SUMIFS(BD!$X$3:$X$5001,BD!$A$3:$A$5001,P$3,BD!$B$3:$B$5001,$A$437)))</f>
        <v/>
      </c>
      <c r="Q458" s="172" t="str">
        <f>IF(Q$3="","",IF(COUNTIFS(BD!$A$3:$A$5001,Q$3,BD!$B$3:$B$5001,$A$437,BD!$X$3:$X$5001,"&lt;&gt;")=0,"",SUMIFS(BD!$X$3:$X$5001,BD!$A$3:$A$5001,Q$3,BD!$B$3:$B$5001,$A$437)))</f>
        <v/>
      </c>
      <c r="R458" s="172" t="str">
        <f>IF(R$3="","",IF(COUNTIFS(BD!$A$3:$A$5001,R$3,BD!$B$3:$B$5001,$A$437,BD!$X$3:$X$5001,"&lt;&gt;")=0,"",SUMIFS(BD!$X$3:$X$5001,BD!$A$3:$A$5001,R$3,BD!$B$3:$B$5001,$A$437)))</f>
        <v/>
      </c>
      <c r="S458" s="172" t="str">
        <f>IF(S$3="","",IF(COUNTIFS(BD!$A$3:$A$5001,S$3,BD!$B$3:$B$5001,$A$437,BD!$X$3:$X$5001,"&lt;&gt;")=0,"",SUMIFS(BD!$X$3:$X$5001,BD!$A$3:$A$5001,S$3,BD!$B$3:$B$5001,$A$437)))</f>
        <v/>
      </c>
      <c r="T458" s="172" t="str">
        <f>IF(T$3="","",IF(COUNTIFS(BD!$A$3:$A$5001,T$3,BD!$B$3:$B$5001,$A$437,BD!$X$3:$X$5001,"&lt;&gt;")=0,"",SUMIFS(BD!$X$3:$X$5001,BD!$A$3:$A$5001,T$3,BD!$B$3:$B$5001,$A$437)))</f>
        <v/>
      </c>
      <c r="U458" s="172" t="str">
        <f>IF(U$3="","",IF(COUNTIFS(BD!$A$3:$A$5001,U$3,BD!$B$3:$B$5001,$A$437,BD!$X$3:$X$5001,"&lt;&gt;")=0,"",SUMIFS(BD!$X$3:$X$5001,BD!$A$3:$A$5001,U$3,BD!$B$3:$B$5001,$A$437)))</f>
        <v/>
      </c>
      <c r="V458" s="172" t="str">
        <f>IF(V$3="","",IF(COUNTIFS(BD!$A$3:$A$5001,V$3,BD!$B$3:$B$5001,$A$437,BD!$X$3:$X$5001,"&lt;&gt;")=0,"",SUMIFS(BD!$X$3:$X$5001,BD!$A$3:$A$5001,V$3,BD!$B$3:$B$5001,$A$437)))</f>
        <v/>
      </c>
      <c r="W458" s="172" t="str">
        <f>IF(W$3="","",IF(COUNTIFS(BD!$A$3:$A$5001,W$3,BD!$B$3:$B$5001,$A$437,BD!$X$3:$X$5001,"&lt;&gt;")=0,"",SUMIFS(BD!$X$3:$X$5001,BD!$A$3:$A$5001,W$3,BD!$B$3:$B$5001,$A$437)))</f>
        <v/>
      </c>
      <c r="X458" s="172" t="str">
        <f>IF(X$3="","",IF(COUNTIFS(BD!$A$3:$A$5001,X$3,BD!$B$3:$B$5001,$A$437,BD!$X$3:$X$5001,"&lt;&gt;")=0,"",SUMIFS(BD!$X$3:$X$5001,BD!$A$3:$A$5001,X$3,BD!$B$3:$B$5001,$A$437)))</f>
        <v/>
      </c>
      <c r="Y458" s="172" t="str">
        <f>IF(Y$3="","",IF(COUNTIFS(BD!$A$3:$A$5001,Y$3,BD!$B$3:$B$5001,$A$437,BD!$X$3:$X$5001,"&lt;&gt;")=0,"",SUMIFS(BD!$X$3:$X$5001,BD!$A$3:$A$5001,Y$3,BD!$B$3:$B$5001,$A$437)))</f>
        <v/>
      </c>
      <c r="Z458" s="172" t="str">
        <f>IF(Z$3="","",IF(COUNTIFS(BD!$A$3:$A$5001,Z$3,BD!$B$3:$B$5001,$A$437,BD!$X$3:$X$5001,"&lt;&gt;")=0,"",SUMIFS(BD!$X$3:$X$5001,BD!$A$3:$A$5001,Z$3,BD!$B$3:$B$5001,$A$437)))</f>
        <v/>
      </c>
      <c r="AA458" s="172" t="str">
        <f>IF(AA$3="","",IF(COUNTIFS(BD!$A$3:$A$5001,AA$3,BD!$B$3:$B$5001,$A$437,BD!$X$3:$X$5001,"&lt;&gt;")=0,"",SUMIFS(BD!$X$3:$X$5001,BD!$A$3:$A$5001,AA$3,BD!$B$3:$B$5001,$A$437)))</f>
        <v/>
      </c>
      <c r="AB458" s="172" t="str">
        <f>IF(AB$3="","",IF(COUNTIFS(BD!$A$3:$A$5001,AB$3,BD!$B$3:$B$5001,$A$437,BD!$X$3:$X$5001,"&lt;&gt;")=0,"",SUMIFS(BD!$X$3:$X$5001,BD!$A$3:$A$5001,AB$3,BD!$B$3:$B$5001,$A$437)))</f>
        <v/>
      </c>
      <c r="AC458" s="172" t="str">
        <f>IF(AC$3="","",IF(COUNTIFS(BD!$A$3:$A$5001,AC$3,BD!$B$3:$B$5001,$A$437,BD!$X$3:$X$5001,"&lt;&gt;")=0,"",SUMIFS(BD!$X$3:$X$5001,BD!$A$3:$A$5001,AC$3,BD!$B$3:$B$5001,$A$437)))</f>
        <v/>
      </c>
      <c r="AD458" s="172" t="str">
        <f>IF(AD$3="","",IF(COUNTIFS(BD!$A$3:$A$5001,AD$3,BD!$B$3:$B$5001,$A$437,BD!$X$3:$X$5001,"&lt;&gt;")=0,"",SUMIFS(BD!$X$3:$X$5001,BD!$A$3:$A$5001,AD$3,BD!$B$3:$B$5001,$A$437)))</f>
        <v/>
      </c>
      <c r="AE458" s="172" t="str">
        <f>IF(AE$3="","",IF(COUNTIFS(BD!$A$3:$A$5001,AE$3,BD!$B$3:$B$5001,$A$437,BD!$X$3:$X$5001,"&lt;&gt;")=0,"",SUMIFS(BD!$X$3:$X$5001,BD!$A$3:$A$5001,AE$3,BD!$B$3:$B$5001,$A$437)))</f>
        <v/>
      </c>
      <c r="AF458" s="172" t="str">
        <f>IF(AF$3="","",IF(COUNTIFS(BD!$A$3:$A$5001,AF$3,BD!$B$3:$B$5001,$A$437,BD!$X$3:$X$5001,"&lt;&gt;")=0,"",SUMIFS(BD!$X$3:$X$5001,BD!$A$3:$A$5001,AF$3,BD!$B$3:$B$5001,$A$437)))</f>
        <v/>
      </c>
      <c r="AG458" s="172" t="str">
        <f>IF(AG$3="","",IF(COUNTIFS(BD!$A$3:$A$5001,AG$3,BD!$B$3:$B$5001,$A$437,BD!$X$3:$X$5001,"&lt;&gt;")=0,"",SUMIFS(BD!$X$3:$X$5001,BD!$A$3:$A$5001,AG$3,BD!$B$3:$B$5001,$A$437)))</f>
        <v/>
      </c>
      <c r="AH458" s="172" t="str">
        <f>IF(AH$3="","",IF(COUNTIFS(BD!$A$3:$A$5001,AH$3,BD!$B$3:$B$5001,$A$437,BD!$X$3:$X$5001,"&lt;&gt;")=0,"",SUMIFS(BD!$X$3:$X$5001,BD!$A$3:$A$5001,AH$3,BD!$B$3:$B$5001,$A$437)))</f>
        <v/>
      </c>
      <c r="AI458" s="172" t="str">
        <f>IF(AI$3="","",IF(COUNTIFS(BD!$A$3:$A$5001,AI$3,BD!$B$3:$B$5001,$A$437,BD!$X$3:$X$5001,"&lt;&gt;")=0,"",SUMIFS(BD!$X$3:$X$5001,BD!$A$3:$A$5001,AI$3,BD!$B$3:$B$5001,$A$437)))</f>
        <v/>
      </c>
      <c r="AJ458" s="173" t="str">
        <f>IF(AJ$3="","",IF(COUNTIFS(BD!$A$3:$A$5001,AJ$3,BD!$B$3:$B$5001,$A$437,BD!$X$3:$X$5001,"&lt;&gt;")=0,"",SUMIFS(BD!$X$3:$X$5001,BD!$A$3:$A$5001,AJ$3,BD!$B$3:$B$5001,$A$437)))</f>
        <v/>
      </c>
      <c r="AK458" s="174" t="str">
        <f>IF(COUNT(F458:AJ458)&gt;0,LOOKUP(9.99E+307,F458:AJ458),IFERROR(IF(INDEX(BD!$AI$3:$AI$5001,MATCH($A$437,BD!$B$3:$B$5001,0))&amp;""="Contrato","",INDEX(BD!$AI$3:$AI$5001,MATCH($A$437,BD!$B$3:$B$5001,0))&amp;""),""))</f>
        <v/>
      </c>
    </row>
    <row r="459" ht="15.75" customHeight="1" hidden="1">
      <c r="A459" s="261"/>
      <c r="B459" s="256"/>
      <c r="C459" s="214" t="inlineStr">
        <is>
          <t xml:space="preserve">Posições Ocupadas</t>
        </is>
      </c>
      <c r="D459" s="215" t="str">
        <f>IFERROR(1/(1/INDEX(BD!$AL$45:$BF$45,MATCH($A$437,BD!$AL$22:$BF$22,0))),"")</f>
        <v/>
      </c>
      <c r="E459" s="216"/>
      <c r="F459" s="217" t="str">
        <f>IF(F$3="","",IF(COUNTIFS(BD!$A$3:$A$5001,F$3,BD!$B$3:$B$5001,$A$437,BD!$Y$3:$Y$5001,"&lt;&gt;")=0,"",SUMIFS(BD!$Y$3:$Y$5001,BD!$A$3:$A$5001,F$3,BD!$B$3:$B$5001,$A$437)))</f>
        <v/>
      </c>
      <c r="G459" s="218" t="str">
        <f>IF(G$3="","",IF(COUNTIFS(BD!$A$3:$A$5001,G$3,BD!$B$3:$B$5001,$A$437,BD!$Y$3:$Y$5001,"&lt;&gt;")=0,"",SUMIFS(BD!$Y$3:$Y$5001,BD!$A$3:$A$5001,G$3,BD!$B$3:$B$5001,$A$437)))</f>
        <v/>
      </c>
      <c r="H459" s="218" t="str">
        <f>IF(H$3="","",IF(COUNTIFS(BD!$A$3:$A$5001,H$3,BD!$B$3:$B$5001,$A$437,BD!$Y$3:$Y$5001,"&lt;&gt;")=0,"",SUMIFS(BD!$Y$3:$Y$5001,BD!$A$3:$A$5001,H$3,BD!$B$3:$B$5001,$A$437)))</f>
        <v/>
      </c>
      <c r="I459" s="218" t="str">
        <f>IF(I$3="","",IF(COUNTIFS(BD!$A$3:$A$5001,I$3,BD!$B$3:$B$5001,$A$437,BD!$Y$3:$Y$5001,"&lt;&gt;")=0,"",SUMIFS(BD!$Y$3:$Y$5001,BD!$A$3:$A$5001,I$3,BD!$B$3:$B$5001,$A$437)))</f>
        <v/>
      </c>
      <c r="J459" s="218" t="str">
        <f>IF(J$3="","",IF(COUNTIFS(BD!$A$3:$A$5001,J$3,BD!$B$3:$B$5001,$A$437,BD!$Y$3:$Y$5001,"&lt;&gt;")=0,"",SUMIFS(BD!$Y$3:$Y$5001,BD!$A$3:$A$5001,J$3,BD!$B$3:$B$5001,$A$437)))</f>
        <v/>
      </c>
      <c r="K459" s="218" t="str">
        <f>IF(K$3="","",IF(COUNTIFS(BD!$A$3:$A$5001,K$3,BD!$B$3:$B$5001,$A$437,BD!$Y$3:$Y$5001,"&lt;&gt;")=0,"",SUMIFS(BD!$Y$3:$Y$5001,BD!$A$3:$A$5001,K$3,BD!$B$3:$B$5001,$A$437)))</f>
        <v/>
      </c>
      <c r="L459" s="218" t="str">
        <f>IF(L$3="","",IF(COUNTIFS(BD!$A$3:$A$5001,L$3,BD!$B$3:$B$5001,$A$437,BD!$Y$3:$Y$5001,"&lt;&gt;")=0,"",SUMIFS(BD!$Y$3:$Y$5001,BD!$A$3:$A$5001,L$3,BD!$B$3:$B$5001,$A$437)))</f>
        <v/>
      </c>
      <c r="M459" s="218" t="str">
        <f>IF(M$3="","",IF(COUNTIFS(BD!$A$3:$A$5001,M$3,BD!$B$3:$B$5001,$A$437,BD!$Y$3:$Y$5001,"&lt;&gt;")=0,"",SUMIFS(BD!$Y$3:$Y$5001,BD!$A$3:$A$5001,M$3,BD!$B$3:$B$5001,$A$437)))</f>
        <v/>
      </c>
      <c r="N459" s="218" t="str">
        <f>IF(N$3="","",IF(COUNTIFS(BD!$A$3:$A$5001,N$3,BD!$B$3:$B$5001,$A$437,BD!$Y$3:$Y$5001,"&lt;&gt;")=0,"",SUMIFS(BD!$Y$3:$Y$5001,BD!$A$3:$A$5001,N$3,BD!$B$3:$B$5001,$A$437)))</f>
        <v/>
      </c>
      <c r="O459" s="218" t="str">
        <f>IF(O$3="","",IF(COUNTIFS(BD!$A$3:$A$5001,O$3,BD!$B$3:$B$5001,$A$437,BD!$Y$3:$Y$5001,"&lt;&gt;")=0,"",SUMIFS(BD!$Y$3:$Y$5001,BD!$A$3:$A$5001,O$3,BD!$B$3:$B$5001,$A$437)))</f>
        <v/>
      </c>
      <c r="P459" s="218" t="str">
        <f>IF(P$3="","",IF(COUNTIFS(BD!$A$3:$A$5001,P$3,BD!$B$3:$B$5001,$A$437,BD!$Y$3:$Y$5001,"&lt;&gt;")=0,"",SUMIFS(BD!$Y$3:$Y$5001,BD!$A$3:$A$5001,P$3,BD!$B$3:$B$5001,$A$437)))</f>
        <v/>
      </c>
      <c r="Q459" s="218" t="str">
        <f>IF(Q$3="","",IF(COUNTIFS(BD!$A$3:$A$5001,Q$3,BD!$B$3:$B$5001,$A$437,BD!$Y$3:$Y$5001,"&lt;&gt;")=0,"",SUMIFS(BD!$Y$3:$Y$5001,BD!$A$3:$A$5001,Q$3,BD!$B$3:$B$5001,$A$437)))</f>
        <v/>
      </c>
      <c r="R459" s="218" t="str">
        <f>IF(R$3="","",IF(COUNTIFS(BD!$A$3:$A$5001,R$3,BD!$B$3:$B$5001,$A$437,BD!$Y$3:$Y$5001,"&lt;&gt;")=0,"",SUMIFS(BD!$Y$3:$Y$5001,BD!$A$3:$A$5001,R$3,BD!$B$3:$B$5001,$A$437)))</f>
        <v/>
      </c>
      <c r="S459" s="218" t="str">
        <f>IF(S$3="","",IF(COUNTIFS(BD!$A$3:$A$5001,S$3,BD!$B$3:$B$5001,$A$437,BD!$Y$3:$Y$5001,"&lt;&gt;")=0,"",SUMIFS(BD!$Y$3:$Y$5001,BD!$A$3:$A$5001,S$3,BD!$B$3:$B$5001,$A$437)))</f>
        <v/>
      </c>
      <c r="T459" s="218" t="str">
        <f>IF(T$3="","",IF(COUNTIFS(BD!$A$3:$A$5001,T$3,BD!$B$3:$B$5001,$A$437,BD!$Y$3:$Y$5001,"&lt;&gt;")=0,"",SUMIFS(BD!$Y$3:$Y$5001,BD!$A$3:$A$5001,T$3,BD!$B$3:$B$5001,$A$437)))</f>
        <v/>
      </c>
      <c r="U459" s="218" t="str">
        <f>IF(U$3="","",IF(COUNTIFS(BD!$A$3:$A$5001,U$3,BD!$B$3:$B$5001,$A$437,BD!$Y$3:$Y$5001,"&lt;&gt;")=0,"",SUMIFS(BD!$Y$3:$Y$5001,BD!$A$3:$A$5001,U$3,BD!$B$3:$B$5001,$A$437)))</f>
        <v/>
      </c>
      <c r="V459" s="218" t="str">
        <f>IF(V$3="","",IF(COUNTIFS(BD!$A$3:$A$5001,V$3,BD!$B$3:$B$5001,$A$437,BD!$Y$3:$Y$5001,"&lt;&gt;")=0,"",SUMIFS(BD!$Y$3:$Y$5001,BD!$A$3:$A$5001,V$3,BD!$B$3:$B$5001,$A$437)))</f>
        <v/>
      </c>
      <c r="W459" s="218" t="str">
        <f>IF(W$3="","",IF(COUNTIFS(BD!$A$3:$A$5001,W$3,BD!$B$3:$B$5001,$A$437,BD!$Y$3:$Y$5001,"&lt;&gt;")=0,"",SUMIFS(BD!$Y$3:$Y$5001,BD!$A$3:$A$5001,W$3,BD!$B$3:$B$5001,$A$437)))</f>
        <v/>
      </c>
      <c r="X459" s="218" t="str">
        <f>IF(X$3="","",IF(COUNTIFS(BD!$A$3:$A$5001,X$3,BD!$B$3:$B$5001,$A$437,BD!$Y$3:$Y$5001,"&lt;&gt;")=0,"",SUMIFS(BD!$Y$3:$Y$5001,BD!$A$3:$A$5001,X$3,BD!$B$3:$B$5001,$A$437)))</f>
        <v/>
      </c>
      <c r="Y459" s="218" t="str">
        <f>IF(Y$3="","",IF(COUNTIFS(BD!$A$3:$A$5001,Y$3,BD!$B$3:$B$5001,$A$437,BD!$Y$3:$Y$5001,"&lt;&gt;")=0,"",SUMIFS(BD!$Y$3:$Y$5001,BD!$A$3:$A$5001,Y$3,BD!$B$3:$B$5001,$A$437)))</f>
        <v/>
      </c>
      <c r="Z459" s="218" t="str">
        <f>IF(Z$3="","",IF(COUNTIFS(BD!$A$3:$A$5001,Z$3,BD!$B$3:$B$5001,$A$437,BD!$Y$3:$Y$5001,"&lt;&gt;")=0,"",SUMIFS(BD!$Y$3:$Y$5001,BD!$A$3:$A$5001,Z$3,BD!$B$3:$B$5001,$A$437)))</f>
        <v/>
      </c>
      <c r="AA459" s="218" t="str">
        <f>IF(AA$3="","",IF(COUNTIFS(BD!$A$3:$A$5001,AA$3,BD!$B$3:$B$5001,$A$437,BD!$Y$3:$Y$5001,"&lt;&gt;")=0,"",SUMIFS(BD!$Y$3:$Y$5001,BD!$A$3:$A$5001,AA$3,BD!$B$3:$B$5001,$A$437)))</f>
        <v/>
      </c>
      <c r="AB459" s="218" t="str">
        <f>IF(AB$3="","",IF(COUNTIFS(BD!$A$3:$A$5001,AB$3,BD!$B$3:$B$5001,$A$437,BD!$Y$3:$Y$5001,"&lt;&gt;")=0,"",SUMIFS(BD!$Y$3:$Y$5001,BD!$A$3:$A$5001,AB$3,BD!$B$3:$B$5001,$A$437)))</f>
        <v/>
      </c>
      <c r="AC459" s="218" t="str">
        <f>IF(AC$3="","",IF(COUNTIFS(BD!$A$3:$A$5001,AC$3,BD!$B$3:$B$5001,$A$437,BD!$Y$3:$Y$5001,"&lt;&gt;")=0,"",SUMIFS(BD!$Y$3:$Y$5001,BD!$A$3:$A$5001,AC$3,BD!$B$3:$B$5001,$A$437)))</f>
        <v/>
      </c>
      <c r="AD459" s="218" t="str">
        <f>IF(AD$3="","",IF(COUNTIFS(BD!$A$3:$A$5001,AD$3,BD!$B$3:$B$5001,$A$437,BD!$Y$3:$Y$5001,"&lt;&gt;")=0,"",SUMIFS(BD!$Y$3:$Y$5001,BD!$A$3:$A$5001,AD$3,BD!$B$3:$B$5001,$A$437)))</f>
        <v/>
      </c>
      <c r="AE459" s="218" t="str">
        <f>IF(AE$3="","",IF(COUNTIFS(BD!$A$3:$A$5001,AE$3,BD!$B$3:$B$5001,$A$437,BD!$Y$3:$Y$5001,"&lt;&gt;")=0,"",SUMIFS(BD!$Y$3:$Y$5001,BD!$A$3:$A$5001,AE$3,BD!$B$3:$B$5001,$A$437)))</f>
        <v/>
      </c>
      <c r="AF459" s="218" t="str">
        <f>IF(AF$3="","",IF(COUNTIFS(BD!$A$3:$A$5001,AF$3,BD!$B$3:$B$5001,$A$437,BD!$Y$3:$Y$5001,"&lt;&gt;")=0,"",SUMIFS(BD!$Y$3:$Y$5001,BD!$A$3:$A$5001,AF$3,BD!$B$3:$B$5001,$A$437)))</f>
        <v/>
      </c>
      <c r="AG459" s="218" t="str">
        <f>IF(AG$3="","",IF(COUNTIFS(BD!$A$3:$A$5001,AG$3,BD!$B$3:$B$5001,$A$437,BD!$Y$3:$Y$5001,"&lt;&gt;")=0,"",SUMIFS(BD!$Y$3:$Y$5001,BD!$A$3:$A$5001,AG$3,BD!$B$3:$B$5001,$A$437)))</f>
        <v/>
      </c>
      <c r="AH459" s="218" t="str">
        <f>IF(AH$3="","",IF(COUNTIFS(BD!$A$3:$A$5001,AH$3,BD!$B$3:$B$5001,$A$437,BD!$Y$3:$Y$5001,"&lt;&gt;")=0,"",SUMIFS(BD!$Y$3:$Y$5001,BD!$A$3:$A$5001,AH$3,BD!$B$3:$B$5001,$A$437)))</f>
        <v/>
      </c>
      <c r="AI459" s="218" t="str">
        <f>IF(AI$3="","",IF(COUNTIFS(BD!$A$3:$A$5001,AI$3,BD!$B$3:$B$5001,$A$437,BD!$Y$3:$Y$5001,"&lt;&gt;")=0,"",SUMIFS(BD!$Y$3:$Y$5001,BD!$A$3:$A$5001,AI$3,BD!$B$3:$B$5001,$A$437)))</f>
        <v/>
      </c>
      <c r="AJ459" s="219" t="str">
        <f>IF(AJ$3="","",IF(COUNTIFS(BD!$A$3:$A$5001,AJ$3,BD!$B$3:$B$5001,$A$437,BD!$Y$3:$Y$5001,"&lt;&gt;")=0,"",SUMIFS(BD!$Y$3:$Y$5001,BD!$A$3:$A$5001,AJ$3,BD!$B$3:$B$5001,$A$437)))</f>
        <v/>
      </c>
      <c r="AK459" s="220" t="str">
        <f>IFERROR(LOOKUP(9.99E+307,F459:AJ459),"")</f>
        <v/>
      </c>
    </row>
    <row r="460" ht="15.75" customHeight="1" hidden="1">
      <c r="A460" s="261"/>
      <c r="B460" s="250"/>
      <c r="C460" s="175" t="inlineStr">
        <is>
          <t xml:space="preserve">Taxa de Ocupação</t>
        </is>
      </c>
      <c r="D460" s="221" t="str">
        <f>IFERROR(1/(1/INDEX(BD!$AL$46:$BF$46,MATCH($A$437,BD!$AL$22:$BF$22,0))),"")</f>
        <v/>
      </c>
      <c r="E460" s="177"/>
      <c r="F460" s="222" t="str">
        <f>IF(AND(ISNUMBER(F458),ISNUMBER(F459)),IF(F458&gt;0,F459/F458,""),"")</f>
        <v/>
      </c>
      <c r="G460" s="223" t="str">
        <f>IF(AND(ISNUMBER(G458),ISNUMBER(G459)),IF(G458&gt;0,G459/G458,""),"")</f>
        <v/>
      </c>
      <c r="H460" s="223" t="str">
        <f>IF(AND(ISNUMBER(H458),ISNUMBER(H459)),IF(H458&gt;0,H459/H458,""),"")</f>
        <v/>
      </c>
      <c r="I460" s="223" t="str">
        <f>IF(AND(ISNUMBER(I458),ISNUMBER(I459)),IF(I458&gt;0,I459/I458,""),"")</f>
        <v/>
      </c>
      <c r="J460" s="223" t="str">
        <f>IF(AND(ISNUMBER(J458),ISNUMBER(J459)),IF(J458&gt;0,J459/J458,""),"")</f>
        <v/>
      </c>
      <c r="K460" s="223" t="str">
        <f>IF(AND(ISNUMBER(K458),ISNUMBER(K459)),IF(K458&gt;0,K459/K458,""),"")</f>
        <v/>
      </c>
      <c r="L460" s="223" t="str">
        <f>IF(AND(ISNUMBER(L458),ISNUMBER(L459)),IF(L458&gt;0,L459/L458,""),"")</f>
        <v/>
      </c>
      <c r="M460" s="223" t="str">
        <f>IF(AND(ISNUMBER(M458),ISNUMBER(M459)),IF(M458&gt;0,M459/M458,""),"")</f>
        <v/>
      </c>
      <c r="N460" s="223" t="str">
        <f>IF(AND(ISNUMBER(N458),ISNUMBER(N459)),IF(N458&gt;0,N459/N458,""),"")</f>
        <v/>
      </c>
      <c r="O460" s="223" t="str">
        <f>IF(AND(ISNUMBER(O458),ISNUMBER(O459)),IF(O458&gt;0,O459/O458,""),"")</f>
        <v/>
      </c>
      <c r="P460" s="223" t="str">
        <f>IF(AND(ISNUMBER(P458),ISNUMBER(P459)),IF(P458&gt;0,P459/P458,""),"")</f>
        <v/>
      </c>
      <c r="Q460" s="223" t="str">
        <f>IF(AND(ISNUMBER(Q458),ISNUMBER(Q459)),IF(Q458&gt;0,Q459/Q458,""),"")</f>
        <v/>
      </c>
      <c r="R460" s="223" t="str">
        <f>IF(AND(ISNUMBER(R458),ISNUMBER(R459)),IF(R458&gt;0,R459/R458,""),"")</f>
        <v/>
      </c>
      <c r="S460" s="223" t="str">
        <f>IF(AND(ISNUMBER(S458),ISNUMBER(S459)),IF(S458&gt;0,S459/S458,""),"")</f>
        <v/>
      </c>
      <c r="T460" s="223" t="str">
        <f>IF(AND(ISNUMBER(T458),ISNUMBER(T459)),IF(T458&gt;0,T459/T458,""),"")</f>
        <v/>
      </c>
      <c r="U460" s="223" t="str">
        <f>IF(AND(ISNUMBER(U458),ISNUMBER(U459)),IF(U458&gt;0,U459/U458,""),"")</f>
        <v/>
      </c>
      <c r="V460" s="223" t="str">
        <f>IF(AND(ISNUMBER(V458),ISNUMBER(V459)),IF(V458&gt;0,V459/V458,""),"")</f>
        <v/>
      </c>
      <c r="W460" s="223" t="str">
        <f>IF(AND(ISNUMBER(W458),ISNUMBER(W459)),IF(W458&gt;0,W459/W458,""),"")</f>
        <v/>
      </c>
      <c r="X460" s="223" t="str">
        <f>IF(AND(ISNUMBER(X458),ISNUMBER(X459)),IF(X458&gt;0,X459/X458,""),"")</f>
        <v/>
      </c>
      <c r="Y460" s="223" t="str">
        <f>IF(AND(ISNUMBER(Y458),ISNUMBER(Y459)),IF(Y458&gt;0,Y459/Y458,""),"")</f>
        <v/>
      </c>
      <c r="Z460" s="223" t="str">
        <f>IF(AND(ISNUMBER(Z458),ISNUMBER(Z459)),IF(Z458&gt;0,Z459/Z458,""),"")</f>
        <v/>
      </c>
      <c r="AA460" s="223" t="str">
        <f>IF(AND(ISNUMBER(AA458),ISNUMBER(AA459)),IF(AA458&gt;0,AA459/AA458,""),"")</f>
        <v/>
      </c>
      <c r="AB460" s="223" t="str">
        <f>IF(AND(ISNUMBER(AB458),ISNUMBER(AB459)),IF(AB458&gt;0,AB459/AB458,""),"")</f>
        <v/>
      </c>
      <c r="AC460" s="223" t="str">
        <f>IF(AND(ISNUMBER(AC458),ISNUMBER(AC459)),IF(AC458&gt;0,AC459/AC458,""),"")</f>
        <v/>
      </c>
      <c r="AD460" s="223" t="str">
        <f>IF(AND(ISNUMBER(AD458),ISNUMBER(AD459)),IF(AD458&gt;0,AD459/AD458,""),"")</f>
        <v/>
      </c>
      <c r="AE460" s="223" t="str">
        <f>IF(AND(ISNUMBER(AE458),ISNUMBER(AE459)),IF(AE458&gt;0,AE459/AE458,""),"")</f>
        <v/>
      </c>
      <c r="AF460" s="223" t="str">
        <f>IF(AND(ISNUMBER(AF458),ISNUMBER(AF459)),IF(AF458&gt;0,AF459/AF458,""),"")</f>
        <v/>
      </c>
      <c r="AG460" s="223" t="str">
        <f>IF(AND(ISNUMBER(AG458),ISNUMBER(AG459)),IF(AG458&gt;0,AG459/AG458,""),"")</f>
        <v/>
      </c>
      <c r="AH460" s="223" t="str">
        <f>IF(AND(ISNUMBER(AH458),ISNUMBER(AH459)),IF(AH458&gt;0,AH459/AH458,""),"")</f>
        <v/>
      </c>
      <c r="AI460" s="223" t="str">
        <f>IF(AND(ISNUMBER(AI458),ISNUMBER(AI459)),IF(AI458&gt;0,AI459/AI458,""),"")</f>
        <v/>
      </c>
      <c r="AJ460" s="224" t="str">
        <f>IF(AND(ISNUMBER(AJ458),ISNUMBER(AJ459)),IF(AJ458&gt;0,AJ459/AJ458,""),"")</f>
        <v/>
      </c>
      <c r="AK460" s="221" t="str">
        <f>IF(AND(ISNUMBER(AK458),ISNUMBER(AK459)),IF(AK458&gt;0,AK459/AK458,""),"")</f>
        <v/>
      </c>
    </row>
    <row r="461" ht="15.75" customHeight="1" hidden="1">
      <c r="A461" s="261"/>
      <c r="B461" s="257" t="inlineStr">
        <is>
          <t xml:space="preserve">GENTE</t>
        </is>
      </c>
      <c r="C461" s="225" t="inlineStr">
        <is>
          <t xml:space="preserve">Efetivo Op.</t>
        </is>
      </c>
      <c r="D461" s="226" t="str">
        <f>IFERROR(1/(1/INDEX(BD!$AL$47:$BF$47,MATCH($A$437,BD!$AL$22:$BF$22,0))),"")</f>
        <v/>
      </c>
      <c r="E461" s="227"/>
      <c r="F461" s="228" t="str">
        <f>IF(F$3="","",IF(COUNTIFS(BD!$A$3:$A$5001,F$3,BD!$B$3:$B$5001,$A$437,BD!$Z$3:$Z$5001,"&lt;&gt;")=0,"",SUMIFS(BD!$Z$3:$Z$5001,BD!$A$3:$A$5001,F$3,BD!$B$3:$B$5001,$A$437)))</f>
        <v/>
      </c>
      <c r="G461" s="229" t="str">
        <f>IF(G$3="","",IF(COUNTIFS(BD!$A$3:$A$5001,G$3,BD!$B$3:$B$5001,$A$437,BD!$Z$3:$Z$5001,"&lt;&gt;")=0,"",SUMIFS(BD!$Z$3:$Z$5001,BD!$A$3:$A$5001,G$3,BD!$B$3:$B$5001,$A$437)))</f>
        <v/>
      </c>
      <c r="H461" s="229" t="str">
        <f>IF(H$3="","",IF(COUNTIFS(BD!$A$3:$A$5001,H$3,BD!$B$3:$B$5001,$A$437,BD!$Z$3:$Z$5001,"&lt;&gt;")=0,"",SUMIFS(BD!$Z$3:$Z$5001,BD!$A$3:$A$5001,H$3,BD!$B$3:$B$5001,$A$437)))</f>
        <v/>
      </c>
      <c r="I461" s="229" t="str">
        <f>IF(I$3="","",IF(COUNTIFS(BD!$A$3:$A$5001,I$3,BD!$B$3:$B$5001,$A$437,BD!$Z$3:$Z$5001,"&lt;&gt;")=0,"",SUMIFS(BD!$Z$3:$Z$5001,BD!$A$3:$A$5001,I$3,BD!$B$3:$B$5001,$A$437)))</f>
        <v/>
      </c>
      <c r="J461" s="229" t="str">
        <f>IF(J$3="","",IF(COUNTIFS(BD!$A$3:$A$5001,J$3,BD!$B$3:$B$5001,$A$437,BD!$Z$3:$Z$5001,"&lt;&gt;")=0,"",SUMIFS(BD!$Z$3:$Z$5001,BD!$A$3:$A$5001,J$3,BD!$B$3:$B$5001,$A$437)))</f>
        <v/>
      </c>
      <c r="K461" s="229" t="str">
        <f>IF(K$3="","",IF(COUNTIFS(BD!$A$3:$A$5001,K$3,BD!$B$3:$B$5001,$A$437,BD!$Z$3:$Z$5001,"&lt;&gt;")=0,"",SUMIFS(BD!$Z$3:$Z$5001,BD!$A$3:$A$5001,K$3,BD!$B$3:$B$5001,$A$437)))</f>
        <v/>
      </c>
      <c r="L461" s="229" t="str">
        <f>IF(L$3="","",IF(COUNTIFS(BD!$A$3:$A$5001,L$3,BD!$B$3:$B$5001,$A$437,BD!$Z$3:$Z$5001,"&lt;&gt;")=0,"",SUMIFS(BD!$Z$3:$Z$5001,BD!$A$3:$A$5001,L$3,BD!$B$3:$B$5001,$A$437)))</f>
        <v/>
      </c>
      <c r="M461" s="229" t="str">
        <f>IF(M$3="","",IF(COUNTIFS(BD!$A$3:$A$5001,M$3,BD!$B$3:$B$5001,$A$437,BD!$Z$3:$Z$5001,"&lt;&gt;")=0,"",SUMIFS(BD!$Z$3:$Z$5001,BD!$A$3:$A$5001,M$3,BD!$B$3:$B$5001,$A$437)))</f>
        <v/>
      </c>
      <c r="N461" s="229" t="str">
        <f>IF(N$3="","",IF(COUNTIFS(BD!$A$3:$A$5001,N$3,BD!$B$3:$B$5001,$A$437,BD!$Z$3:$Z$5001,"&lt;&gt;")=0,"",SUMIFS(BD!$Z$3:$Z$5001,BD!$A$3:$A$5001,N$3,BD!$B$3:$B$5001,$A$437)))</f>
        <v/>
      </c>
      <c r="O461" s="229" t="str">
        <f>IF(O$3="","",IF(COUNTIFS(BD!$A$3:$A$5001,O$3,BD!$B$3:$B$5001,$A$437,BD!$Z$3:$Z$5001,"&lt;&gt;")=0,"",SUMIFS(BD!$Z$3:$Z$5001,BD!$A$3:$A$5001,O$3,BD!$B$3:$B$5001,$A$437)))</f>
        <v/>
      </c>
      <c r="P461" s="229" t="str">
        <f>IF(P$3="","",IF(COUNTIFS(BD!$A$3:$A$5001,P$3,BD!$B$3:$B$5001,$A$437,BD!$Z$3:$Z$5001,"&lt;&gt;")=0,"",SUMIFS(BD!$Z$3:$Z$5001,BD!$A$3:$A$5001,P$3,BD!$B$3:$B$5001,$A$437)))</f>
        <v/>
      </c>
      <c r="Q461" s="229" t="str">
        <f>IF(Q$3="","",IF(COUNTIFS(BD!$A$3:$A$5001,Q$3,BD!$B$3:$B$5001,$A$437,BD!$Z$3:$Z$5001,"&lt;&gt;")=0,"",SUMIFS(BD!$Z$3:$Z$5001,BD!$A$3:$A$5001,Q$3,BD!$B$3:$B$5001,$A$437)))</f>
        <v/>
      </c>
      <c r="R461" s="229" t="str">
        <f>IF(R$3="","",IF(COUNTIFS(BD!$A$3:$A$5001,R$3,BD!$B$3:$B$5001,$A$437,BD!$Z$3:$Z$5001,"&lt;&gt;")=0,"",SUMIFS(BD!$Z$3:$Z$5001,BD!$A$3:$A$5001,R$3,BD!$B$3:$B$5001,$A$437)))</f>
        <v/>
      </c>
      <c r="S461" s="229" t="str">
        <f>IF(S$3="","",IF(COUNTIFS(BD!$A$3:$A$5001,S$3,BD!$B$3:$B$5001,$A$437,BD!$Z$3:$Z$5001,"&lt;&gt;")=0,"",SUMIFS(BD!$Z$3:$Z$5001,BD!$A$3:$A$5001,S$3,BD!$B$3:$B$5001,$A$437)))</f>
        <v/>
      </c>
      <c r="T461" s="229" t="str">
        <f>IF(T$3="","",IF(COUNTIFS(BD!$A$3:$A$5001,T$3,BD!$B$3:$B$5001,$A$437,BD!$Z$3:$Z$5001,"&lt;&gt;")=0,"",SUMIFS(BD!$Z$3:$Z$5001,BD!$A$3:$A$5001,T$3,BD!$B$3:$B$5001,$A$437)))</f>
        <v/>
      </c>
      <c r="U461" s="229" t="str">
        <f>IF(U$3="","",IF(COUNTIFS(BD!$A$3:$A$5001,U$3,BD!$B$3:$B$5001,$A$437,BD!$Z$3:$Z$5001,"&lt;&gt;")=0,"",SUMIFS(BD!$Z$3:$Z$5001,BD!$A$3:$A$5001,U$3,BD!$B$3:$B$5001,$A$437)))</f>
        <v/>
      </c>
      <c r="V461" s="229" t="str">
        <f>IF(V$3="","",IF(COUNTIFS(BD!$A$3:$A$5001,V$3,BD!$B$3:$B$5001,$A$437,BD!$Z$3:$Z$5001,"&lt;&gt;")=0,"",SUMIFS(BD!$Z$3:$Z$5001,BD!$A$3:$A$5001,V$3,BD!$B$3:$B$5001,$A$437)))</f>
        <v/>
      </c>
      <c r="W461" s="229" t="str">
        <f>IF(W$3="","",IF(COUNTIFS(BD!$A$3:$A$5001,W$3,BD!$B$3:$B$5001,$A$437,BD!$Z$3:$Z$5001,"&lt;&gt;")=0,"",SUMIFS(BD!$Z$3:$Z$5001,BD!$A$3:$A$5001,W$3,BD!$B$3:$B$5001,$A$437)))</f>
        <v/>
      </c>
      <c r="X461" s="229" t="str">
        <f>IF(X$3="","",IF(COUNTIFS(BD!$A$3:$A$5001,X$3,BD!$B$3:$B$5001,$A$437,BD!$Z$3:$Z$5001,"&lt;&gt;")=0,"",SUMIFS(BD!$Z$3:$Z$5001,BD!$A$3:$A$5001,X$3,BD!$B$3:$B$5001,$A$437)))</f>
        <v/>
      </c>
      <c r="Y461" s="229" t="str">
        <f>IF(Y$3="","",IF(COUNTIFS(BD!$A$3:$A$5001,Y$3,BD!$B$3:$B$5001,$A$437,BD!$Z$3:$Z$5001,"&lt;&gt;")=0,"",SUMIFS(BD!$Z$3:$Z$5001,BD!$A$3:$A$5001,Y$3,BD!$B$3:$B$5001,$A$437)))</f>
        <v/>
      </c>
      <c r="Z461" s="229" t="str">
        <f>IF(Z$3="","",IF(COUNTIFS(BD!$A$3:$A$5001,Z$3,BD!$B$3:$B$5001,$A$437,BD!$Z$3:$Z$5001,"&lt;&gt;")=0,"",SUMIFS(BD!$Z$3:$Z$5001,BD!$A$3:$A$5001,Z$3,BD!$B$3:$B$5001,$A$437)))</f>
        <v/>
      </c>
      <c r="AA461" s="229" t="str">
        <f>IF(AA$3="","",IF(COUNTIFS(BD!$A$3:$A$5001,AA$3,BD!$B$3:$B$5001,$A$437,BD!$Z$3:$Z$5001,"&lt;&gt;")=0,"",SUMIFS(BD!$Z$3:$Z$5001,BD!$A$3:$A$5001,AA$3,BD!$B$3:$B$5001,$A$437)))</f>
        <v/>
      </c>
      <c r="AB461" s="229" t="str">
        <f>IF(AB$3="","",IF(COUNTIFS(BD!$A$3:$A$5001,AB$3,BD!$B$3:$B$5001,$A$437,BD!$Z$3:$Z$5001,"&lt;&gt;")=0,"",SUMIFS(BD!$Z$3:$Z$5001,BD!$A$3:$A$5001,AB$3,BD!$B$3:$B$5001,$A$437)))</f>
        <v/>
      </c>
      <c r="AC461" s="229" t="str">
        <f>IF(AC$3="","",IF(COUNTIFS(BD!$A$3:$A$5001,AC$3,BD!$B$3:$B$5001,$A$437,BD!$Z$3:$Z$5001,"&lt;&gt;")=0,"",SUMIFS(BD!$Z$3:$Z$5001,BD!$A$3:$A$5001,AC$3,BD!$B$3:$B$5001,$A$437)))</f>
        <v/>
      </c>
      <c r="AD461" s="229" t="str">
        <f>IF(AD$3="","",IF(COUNTIFS(BD!$A$3:$A$5001,AD$3,BD!$B$3:$B$5001,$A$437,BD!$Z$3:$Z$5001,"&lt;&gt;")=0,"",SUMIFS(BD!$Z$3:$Z$5001,BD!$A$3:$A$5001,AD$3,BD!$B$3:$B$5001,$A$437)))</f>
        <v/>
      </c>
      <c r="AE461" s="229" t="str">
        <f>IF(AE$3="","",IF(COUNTIFS(BD!$A$3:$A$5001,AE$3,BD!$B$3:$B$5001,$A$437,BD!$Z$3:$Z$5001,"&lt;&gt;")=0,"",SUMIFS(BD!$Z$3:$Z$5001,BD!$A$3:$A$5001,AE$3,BD!$B$3:$B$5001,$A$437)))</f>
        <v/>
      </c>
      <c r="AF461" s="229" t="str">
        <f>IF(AF$3="","",IF(COUNTIFS(BD!$A$3:$A$5001,AF$3,BD!$B$3:$B$5001,$A$437,BD!$Z$3:$Z$5001,"&lt;&gt;")=0,"",SUMIFS(BD!$Z$3:$Z$5001,BD!$A$3:$A$5001,AF$3,BD!$B$3:$B$5001,$A$437)))</f>
        <v/>
      </c>
      <c r="AG461" s="229" t="str">
        <f>IF(AG$3="","",IF(COUNTIFS(BD!$A$3:$A$5001,AG$3,BD!$B$3:$B$5001,$A$437,BD!$Z$3:$Z$5001,"&lt;&gt;")=0,"",SUMIFS(BD!$Z$3:$Z$5001,BD!$A$3:$A$5001,AG$3,BD!$B$3:$B$5001,$A$437)))</f>
        <v/>
      </c>
      <c r="AH461" s="229" t="str">
        <f>IF(AH$3="","",IF(COUNTIFS(BD!$A$3:$A$5001,AH$3,BD!$B$3:$B$5001,$A$437,BD!$Z$3:$Z$5001,"&lt;&gt;")=0,"",SUMIFS(BD!$Z$3:$Z$5001,BD!$A$3:$A$5001,AH$3,BD!$B$3:$B$5001,$A$437)))</f>
        <v/>
      </c>
      <c r="AI461" s="229" t="str">
        <f>IF(AI$3="","",IF(COUNTIFS(BD!$A$3:$A$5001,AI$3,BD!$B$3:$B$5001,$A$437,BD!$Z$3:$Z$5001,"&lt;&gt;")=0,"",SUMIFS(BD!$Z$3:$Z$5001,BD!$A$3:$A$5001,AI$3,BD!$B$3:$B$5001,$A$437)))</f>
        <v/>
      </c>
      <c r="AJ461" s="230" t="str">
        <f>IF(AJ$3="","",IF(COUNTIFS(BD!$A$3:$A$5001,AJ$3,BD!$B$3:$B$5001,$A$437,BD!$Z$3:$Z$5001,"&lt;&gt;")=0,"",SUMIFS(BD!$Z$3:$Z$5001,BD!$A$3:$A$5001,AJ$3,BD!$B$3:$B$5001,$A$437)))</f>
        <v/>
      </c>
      <c r="AK461" s="231" t="str">
        <f>IFERROR(LOOKUP(9.99E+307,F461:AJ461),"")</f>
        <v/>
      </c>
    </row>
    <row r="462" ht="15.75" customHeight="1" hidden="1">
      <c r="A462" s="261"/>
      <c r="B462" s="258"/>
      <c r="C462" s="232" t="inlineStr">
        <is>
          <t xml:space="preserve">Falta</t>
        </is>
      </c>
      <c r="D462" s="233" t="str">
        <f>IFERROR(1/(1/INDEX(BD!$AL$48:$BF$48,MATCH($A$437,BD!$AL$22:$BF$22,0))),"")</f>
        <v/>
      </c>
      <c r="E462" s="234"/>
      <c r="F462" s="235" t="str">
        <f>IF(F$3="","",IF(COUNTIFS(BD!$A$3:$A$5001,F$3,BD!$B$3:$B$5001,$A$437,BD!$AA$3:$AA$5001,"&lt;&gt;")=0,"",SUMIFS(BD!$AA$3:$AA$5001,BD!$A$3:$A$5001,F$3,BD!$B$3:$B$5001,$A$437)))</f>
        <v/>
      </c>
      <c r="G462" s="236" t="str">
        <f>IF(G$3="","",IF(COUNTIFS(BD!$A$3:$A$5001,G$3,BD!$B$3:$B$5001,$A$437,BD!$AA$3:$AA$5001,"&lt;&gt;")=0,"",SUMIFS(BD!$AA$3:$AA$5001,BD!$A$3:$A$5001,G$3,BD!$B$3:$B$5001,$A$437)))</f>
        <v/>
      </c>
      <c r="H462" s="236" t="str">
        <f>IF(H$3="","",IF(COUNTIFS(BD!$A$3:$A$5001,H$3,BD!$B$3:$B$5001,$A$437,BD!$AA$3:$AA$5001,"&lt;&gt;")=0,"",SUMIFS(BD!$AA$3:$AA$5001,BD!$A$3:$A$5001,H$3,BD!$B$3:$B$5001,$A$437)))</f>
        <v/>
      </c>
      <c r="I462" s="236" t="str">
        <f>IF(I$3="","",IF(COUNTIFS(BD!$A$3:$A$5001,I$3,BD!$B$3:$B$5001,$A$437,BD!$AA$3:$AA$5001,"&lt;&gt;")=0,"",SUMIFS(BD!$AA$3:$AA$5001,BD!$A$3:$A$5001,I$3,BD!$B$3:$B$5001,$A$437)))</f>
        <v/>
      </c>
      <c r="J462" s="236" t="str">
        <f>IF(J$3="","",IF(COUNTIFS(BD!$A$3:$A$5001,J$3,BD!$B$3:$B$5001,$A$437,BD!$AA$3:$AA$5001,"&lt;&gt;")=0,"",SUMIFS(BD!$AA$3:$AA$5001,BD!$A$3:$A$5001,J$3,BD!$B$3:$B$5001,$A$437)))</f>
        <v/>
      </c>
      <c r="K462" s="236" t="str">
        <f>IF(K$3="","",IF(COUNTIFS(BD!$A$3:$A$5001,K$3,BD!$B$3:$B$5001,$A$437,BD!$AA$3:$AA$5001,"&lt;&gt;")=0,"",SUMIFS(BD!$AA$3:$AA$5001,BD!$A$3:$A$5001,K$3,BD!$B$3:$B$5001,$A$437)))</f>
        <v/>
      </c>
      <c r="L462" s="236" t="str">
        <f>IF(L$3="","",IF(COUNTIFS(BD!$A$3:$A$5001,L$3,BD!$B$3:$B$5001,$A$437,BD!$AA$3:$AA$5001,"&lt;&gt;")=0,"",SUMIFS(BD!$AA$3:$AA$5001,BD!$A$3:$A$5001,L$3,BD!$B$3:$B$5001,$A$437)))</f>
        <v/>
      </c>
      <c r="M462" s="236" t="str">
        <f>IF(M$3="","",IF(COUNTIFS(BD!$A$3:$A$5001,M$3,BD!$B$3:$B$5001,$A$437,BD!$AA$3:$AA$5001,"&lt;&gt;")=0,"",SUMIFS(BD!$AA$3:$AA$5001,BD!$A$3:$A$5001,M$3,BD!$B$3:$B$5001,$A$437)))</f>
        <v/>
      </c>
      <c r="N462" s="236" t="str">
        <f>IF(N$3="","",IF(COUNTIFS(BD!$A$3:$A$5001,N$3,BD!$B$3:$B$5001,$A$437,BD!$AA$3:$AA$5001,"&lt;&gt;")=0,"",SUMIFS(BD!$AA$3:$AA$5001,BD!$A$3:$A$5001,N$3,BD!$B$3:$B$5001,$A$437)))</f>
        <v/>
      </c>
      <c r="O462" s="236" t="str">
        <f>IF(O$3="","",IF(COUNTIFS(BD!$A$3:$A$5001,O$3,BD!$B$3:$B$5001,$A$437,BD!$AA$3:$AA$5001,"&lt;&gt;")=0,"",SUMIFS(BD!$AA$3:$AA$5001,BD!$A$3:$A$5001,O$3,BD!$B$3:$B$5001,$A$437)))</f>
        <v/>
      </c>
      <c r="P462" s="236" t="str">
        <f>IF(P$3="","",IF(COUNTIFS(BD!$A$3:$A$5001,P$3,BD!$B$3:$B$5001,$A$437,BD!$AA$3:$AA$5001,"&lt;&gt;")=0,"",SUMIFS(BD!$AA$3:$AA$5001,BD!$A$3:$A$5001,P$3,BD!$B$3:$B$5001,$A$437)))</f>
        <v/>
      </c>
      <c r="Q462" s="236" t="str">
        <f>IF(Q$3="","",IF(COUNTIFS(BD!$A$3:$A$5001,Q$3,BD!$B$3:$B$5001,$A$437,BD!$AA$3:$AA$5001,"&lt;&gt;")=0,"",SUMIFS(BD!$AA$3:$AA$5001,BD!$A$3:$A$5001,Q$3,BD!$B$3:$B$5001,$A$437)))</f>
        <v/>
      </c>
      <c r="R462" s="236" t="str">
        <f>IF(R$3="","",IF(COUNTIFS(BD!$A$3:$A$5001,R$3,BD!$B$3:$B$5001,$A$437,BD!$AA$3:$AA$5001,"&lt;&gt;")=0,"",SUMIFS(BD!$AA$3:$AA$5001,BD!$A$3:$A$5001,R$3,BD!$B$3:$B$5001,$A$437)))</f>
        <v/>
      </c>
      <c r="S462" s="236" t="str">
        <f>IF(S$3="","",IF(COUNTIFS(BD!$A$3:$A$5001,S$3,BD!$B$3:$B$5001,$A$437,BD!$AA$3:$AA$5001,"&lt;&gt;")=0,"",SUMIFS(BD!$AA$3:$AA$5001,BD!$A$3:$A$5001,S$3,BD!$B$3:$B$5001,$A$437)))</f>
        <v/>
      </c>
      <c r="T462" s="236" t="str">
        <f>IF(T$3="","",IF(COUNTIFS(BD!$A$3:$A$5001,T$3,BD!$B$3:$B$5001,$A$437,BD!$AA$3:$AA$5001,"&lt;&gt;")=0,"",SUMIFS(BD!$AA$3:$AA$5001,BD!$A$3:$A$5001,T$3,BD!$B$3:$B$5001,$A$437)))</f>
        <v/>
      </c>
      <c r="U462" s="236" t="str">
        <f>IF(U$3="","",IF(COUNTIFS(BD!$A$3:$A$5001,U$3,BD!$B$3:$B$5001,$A$437,BD!$AA$3:$AA$5001,"&lt;&gt;")=0,"",SUMIFS(BD!$AA$3:$AA$5001,BD!$A$3:$A$5001,U$3,BD!$B$3:$B$5001,$A$437)))</f>
        <v/>
      </c>
      <c r="V462" s="236" t="str">
        <f>IF(V$3="","",IF(COUNTIFS(BD!$A$3:$A$5001,V$3,BD!$B$3:$B$5001,$A$437,BD!$AA$3:$AA$5001,"&lt;&gt;")=0,"",SUMIFS(BD!$AA$3:$AA$5001,BD!$A$3:$A$5001,V$3,BD!$B$3:$B$5001,$A$437)))</f>
        <v/>
      </c>
      <c r="W462" s="236" t="str">
        <f>IF(W$3="","",IF(COUNTIFS(BD!$A$3:$A$5001,W$3,BD!$B$3:$B$5001,$A$437,BD!$AA$3:$AA$5001,"&lt;&gt;")=0,"",SUMIFS(BD!$AA$3:$AA$5001,BD!$A$3:$A$5001,W$3,BD!$B$3:$B$5001,$A$437)))</f>
        <v/>
      </c>
      <c r="X462" s="236" t="str">
        <f>IF(X$3="","",IF(COUNTIFS(BD!$A$3:$A$5001,X$3,BD!$B$3:$B$5001,$A$437,BD!$AA$3:$AA$5001,"&lt;&gt;")=0,"",SUMIFS(BD!$AA$3:$AA$5001,BD!$A$3:$A$5001,X$3,BD!$B$3:$B$5001,$A$437)))</f>
        <v/>
      </c>
      <c r="Y462" s="236" t="str">
        <f>IF(Y$3="","",IF(COUNTIFS(BD!$A$3:$A$5001,Y$3,BD!$B$3:$B$5001,$A$437,BD!$AA$3:$AA$5001,"&lt;&gt;")=0,"",SUMIFS(BD!$AA$3:$AA$5001,BD!$A$3:$A$5001,Y$3,BD!$B$3:$B$5001,$A$437)))</f>
        <v/>
      </c>
      <c r="Z462" s="236" t="str">
        <f>IF(Z$3="","",IF(COUNTIFS(BD!$A$3:$A$5001,Z$3,BD!$B$3:$B$5001,$A$437,BD!$AA$3:$AA$5001,"&lt;&gt;")=0,"",SUMIFS(BD!$AA$3:$AA$5001,BD!$A$3:$A$5001,Z$3,BD!$B$3:$B$5001,$A$437)))</f>
        <v/>
      </c>
      <c r="AA462" s="236" t="str">
        <f>IF(AA$3="","",IF(COUNTIFS(BD!$A$3:$A$5001,AA$3,BD!$B$3:$B$5001,$A$437,BD!$AA$3:$AA$5001,"&lt;&gt;")=0,"",SUMIFS(BD!$AA$3:$AA$5001,BD!$A$3:$A$5001,AA$3,BD!$B$3:$B$5001,$A$437)))</f>
        <v/>
      </c>
      <c r="AB462" s="236" t="str">
        <f>IF(AB$3="","",IF(COUNTIFS(BD!$A$3:$A$5001,AB$3,BD!$B$3:$B$5001,$A$437,BD!$AA$3:$AA$5001,"&lt;&gt;")=0,"",SUMIFS(BD!$AA$3:$AA$5001,BD!$A$3:$A$5001,AB$3,BD!$B$3:$B$5001,$A$437)))</f>
        <v/>
      </c>
      <c r="AC462" s="236" t="str">
        <f>IF(AC$3="","",IF(COUNTIFS(BD!$A$3:$A$5001,AC$3,BD!$B$3:$B$5001,$A$437,BD!$AA$3:$AA$5001,"&lt;&gt;")=0,"",SUMIFS(BD!$AA$3:$AA$5001,BD!$A$3:$A$5001,AC$3,BD!$B$3:$B$5001,$A$437)))</f>
        <v/>
      </c>
      <c r="AD462" s="236" t="str">
        <f>IF(AD$3="","",IF(COUNTIFS(BD!$A$3:$A$5001,AD$3,BD!$B$3:$B$5001,$A$437,BD!$AA$3:$AA$5001,"&lt;&gt;")=0,"",SUMIFS(BD!$AA$3:$AA$5001,BD!$A$3:$A$5001,AD$3,BD!$B$3:$B$5001,$A$437)))</f>
        <v/>
      </c>
      <c r="AE462" s="236" t="str">
        <f>IF(AE$3="","",IF(COUNTIFS(BD!$A$3:$A$5001,AE$3,BD!$B$3:$B$5001,$A$437,BD!$AA$3:$AA$5001,"&lt;&gt;")=0,"",SUMIFS(BD!$AA$3:$AA$5001,BD!$A$3:$A$5001,AE$3,BD!$B$3:$B$5001,$A$437)))</f>
        <v/>
      </c>
      <c r="AF462" s="236" t="str">
        <f>IF(AF$3="","",IF(COUNTIFS(BD!$A$3:$A$5001,AF$3,BD!$B$3:$B$5001,$A$437,BD!$AA$3:$AA$5001,"&lt;&gt;")=0,"",SUMIFS(BD!$AA$3:$AA$5001,BD!$A$3:$A$5001,AF$3,BD!$B$3:$B$5001,$A$437)))</f>
        <v/>
      </c>
      <c r="AG462" s="236" t="str">
        <f>IF(AG$3="","",IF(COUNTIFS(BD!$A$3:$A$5001,AG$3,BD!$B$3:$B$5001,$A$437,BD!$AA$3:$AA$5001,"&lt;&gt;")=0,"",SUMIFS(BD!$AA$3:$AA$5001,BD!$A$3:$A$5001,AG$3,BD!$B$3:$B$5001,$A$437)))</f>
        <v/>
      </c>
      <c r="AH462" s="236" t="str">
        <f>IF(AH$3="","",IF(COUNTIFS(BD!$A$3:$A$5001,AH$3,BD!$B$3:$B$5001,$A$437,BD!$AA$3:$AA$5001,"&lt;&gt;")=0,"",SUMIFS(BD!$AA$3:$AA$5001,BD!$A$3:$A$5001,AH$3,BD!$B$3:$B$5001,$A$437)))</f>
        <v/>
      </c>
      <c r="AI462" s="236" t="str">
        <f>IF(AI$3="","",IF(COUNTIFS(BD!$A$3:$A$5001,AI$3,BD!$B$3:$B$5001,$A$437,BD!$AA$3:$AA$5001,"&lt;&gt;")=0,"",SUMIFS(BD!$AA$3:$AA$5001,BD!$A$3:$A$5001,AI$3,BD!$B$3:$B$5001,$A$437)))</f>
        <v/>
      </c>
      <c r="AJ462" s="237" t="str">
        <f>IF(AJ$3="","",IF(COUNTIFS(BD!$A$3:$A$5001,AJ$3,BD!$B$3:$B$5001,$A$437,BD!$AA$3:$AA$5001,"&lt;&gt;")=0,"",SUMIFS(BD!$AA$3:$AA$5001,BD!$A$3:$A$5001,AJ$3,BD!$B$3:$B$5001,$A$437)))</f>
        <v/>
      </c>
      <c r="AK462" s="238" t="str">
        <f>IF(COUNT(F462:AJ462)=0,"",SUM(F462:AJ462))</f>
        <v/>
      </c>
    </row>
    <row r="463" ht="15.75" customHeight="1" hidden="1">
      <c r="A463" s="261"/>
      <c r="B463" s="258"/>
      <c r="C463" s="232" t="inlineStr">
        <is>
          <t xml:space="preserve">Absenteísmo (H/H)</t>
        </is>
      </c>
      <c r="D463" s="233" t="str">
        <f>IFERROR(1/(1/INDEX(BD!$AL$49:$BF$49,MATCH($A$437,BD!$AL$22:$BF$22,0))),"")</f>
        <v/>
      </c>
      <c r="E463" s="234"/>
      <c r="F463" s="239" t="str">
        <f>IF(F$3="","",IF(COUNTIFS(BD!$A$3:$A$5001,F$3,BD!$B$3:$B$5001,$A$437,BD!$AB$3:$AB$5001,"&lt;&gt;")=0,"",SUMIFS(BD!$AB$3:$AB$5001,BD!$A$3:$A$5001,F$3,BD!$B$3:$B$5001,$A$437)))</f>
        <v/>
      </c>
      <c r="G463" s="240" t="str">
        <f>IF(G$3="","",IF(COUNTIFS(BD!$A$3:$A$5001,G$3,BD!$B$3:$B$5001,$A$437,BD!$AB$3:$AB$5001,"&lt;&gt;")=0,"",SUMIFS(BD!$AB$3:$AB$5001,BD!$A$3:$A$5001,G$3,BD!$B$3:$B$5001,$A$437)))</f>
        <v/>
      </c>
      <c r="H463" s="240" t="str">
        <f>IF(H$3="","",IF(COUNTIFS(BD!$A$3:$A$5001,H$3,BD!$B$3:$B$5001,$A$437,BD!$AB$3:$AB$5001,"&lt;&gt;")=0,"",SUMIFS(BD!$AB$3:$AB$5001,BD!$A$3:$A$5001,H$3,BD!$B$3:$B$5001,$A$437)))</f>
        <v/>
      </c>
      <c r="I463" s="240" t="str">
        <f>IF(I$3="","",IF(COUNTIFS(BD!$A$3:$A$5001,I$3,BD!$B$3:$B$5001,$A$437,BD!$AB$3:$AB$5001,"&lt;&gt;")=0,"",SUMIFS(BD!$AB$3:$AB$5001,BD!$A$3:$A$5001,I$3,BD!$B$3:$B$5001,$A$437)))</f>
        <v/>
      </c>
      <c r="J463" s="240" t="str">
        <f>IF(J$3="","",IF(COUNTIFS(BD!$A$3:$A$5001,J$3,BD!$B$3:$B$5001,$A$437,BD!$AB$3:$AB$5001,"&lt;&gt;")=0,"",SUMIFS(BD!$AB$3:$AB$5001,BD!$A$3:$A$5001,J$3,BD!$B$3:$B$5001,$A$437)))</f>
        <v/>
      </c>
      <c r="K463" s="240" t="str">
        <f>IF(K$3="","",IF(COUNTIFS(BD!$A$3:$A$5001,K$3,BD!$B$3:$B$5001,$A$437,BD!$AB$3:$AB$5001,"&lt;&gt;")=0,"",SUMIFS(BD!$AB$3:$AB$5001,BD!$A$3:$A$5001,K$3,BD!$B$3:$B$5001,$A$437)))</f>
        <v/>
      </c>
      <c r="L463" s="240" t="str">
        <f>IF(L$3="","",IF(COUNTIFS(BD!$A$3:$A$5001,L$3,BD!$B$3:$B$5001,$A$437,BD!$AB$3:$AB$5001,"&lt;&gt;")=0,"",SUMIFS(BD!$AB$3:$AB$5001,BD!$A$3:$A$5001,L$3,BD!$B$3:$B$5001,$A$437)))</f>
        <v/>
      </c>
      <c r="M463" s="240" t="str">
        <f>IF(M$3="","",IF(COUNTIFS(BD!$A$3:$A$5001,M$3,BD!$B$3:$B$5001,$A$437,BD!$AB$3:$AB$5001,"&lt;&gt;")=0,"",SUMIFS(BD!$AB$3:$AB$5001,BD!$A$3:$A$5001,M$3,BD!$B$3:$B$5001,$A$437)))</f>
        <v/>
      </c>
      <c r="N463" s="240" t="str">
        <f>IF(N$3="","",IF(COUNTIFS(BD!$A$3:$A$5001,N$3,BD!$B$3:$B$5001,$A$437,BD!$AB$3:$AB$5001,"&lt;&gt;")=0,"",SUMIFS(BD!$AB$3:$AB$5001,BD!$A$3:$A$5001,N$3,BD!$B$3:$B$5001,$A$437)))</f>
        <v/>
      </c>
      <c r="O463" s="240" t="str">
        <f>IF(O$3="","",IF(COUNTIFS(BD!$A$3:$A$5001,O$3,BD!$B$3:$B$5001,$A$437,BD!$AB$3:$AB$5001,"&lt;&gt;")=0,"",SUMIFS(BD!$AB$3:$AB$5001,BD!$A$3:$A$5001,O$3,BD!$B$3:$B$5001,$A$437)))</f>
        <v/>
      </c>
      <c r="P463" s="240" t="str">
        <f>IF(P$3="","",IF(COUNTIFS(BD!$A$3:$A$5001,P$3,BD!$B$3:$B$5001,$A$437,BD!$AB$3:$AB$5001,"&lt;&gt;")=0,"",SUMIFS(BD!$AB$3:$AB$5001,BD!$A$3:$A$5001,P$3,BD!$B$3:$B$5001,$A$437)))</f>
        <v/>
      </c>
      <c r="Q463" s="240" t="str">
        <f>IF(Q$3="","",IF(COUNTIFS(BD!$A$3:$A$5001,Q$3,BD!$B$3:$B$5001,$A$437,BD!$AB$3:$AB$5001,"&lt;&gt;")=0,"",SUMIFS(BD!$AB$3:$AB$5001,BD!$A$3:$A$5001,Q$3,BD!$B$3:$B$5001,$A$437)))</f>
        <v/>
      </c>
      <c r="R463" s="240" t="str">
        <f>IF(R$3="","",IF(COUNTIFS(BD!$A$3:$A$5001,R$3,BD!$B$3:$B$5001,$A$437,BD!$AB$3:$AB$5001,"&lt;&gt;")=0,"",SUMIFS(BD!$AB$3:$AB$5001,BD!$A$3:$A$5001,R$3,BD!$B$3:$B$5001,$A$437)))</f>
        <v/>
      </c>
      <c r="S463" s="240" t="str">
        <f>IF(S$3="","",IF(COUNTIFS(BD!$A$3:$A$5001,S$3,BD!$B$3:$B$5001,$A$437,BD!$AB$3:$AB$5001,"&lt;&gt;")=0,"",SUMIFS(BD!$AB$3:$AB$5001,BD!$A$3:$A$5001,S$3,BD!$B$3:$B$5001,$A$437)))</f>
        <v/>
      </c>
      <c r="T463" s="240" t="str">
        <f>IF(T$3="","",IF(COUNTIFS(BD!$A$3:$A$5001,T$3,BD!$B$3:$B$5001,$A$437,BD!$AB$3:$AB$5001,"&lt;&gt;")=0,"",SUMIFS(BD!$AB$3:$AB$5001,BD!$A$3:$A$5001,T$3,BD!$B$3:$B$5001,$A$437)))</f>
        <v/>
      </c>
      <c r="U463" s="240" t="str">
        <f>IF(U$3="","",IF(COUNTIFS(BD!$A$3:$A$5001,U$3,BD!$B$3:$B$5001,$A$437,BD!$AB$3:$AB$5001,"&lt;&gt;")=0,"",SUMIFS(BD!$AB$3:$AB$5001,BD!$A$3:$A$5001,U$3,BD!$B$3:$B$5001,$A$437)))</f>
        <v/>
      </c>
      <c r="V463" s="240" t="str">
        <f>IF(V$3="","",IF(COUNTIFS(BD!$A$3:$A$5001,V$3,BD!$B$3:$B$5001,$A$437,BD!$AB$3:$AB$5001,"&lt;&gt;")=0,"",SUMIFS(BD!$AB$3:$AB$5001,BD!$A$3:$A$5001,V$3,BD!$B$3:$B$5001,$A$437)))</f>
        <v/>
      </c>
      <c r="W463" s="240" t="str">
        <f>IF(W$3="","",IF(COUNTIFS(BD!$A$3:$A$5001,W$3,BD!$B$3:$B$5001,$A$437,BD!$AB$3:$AB$5001,"&lt;&gt;")=0,"",SUMIFS(BD!$AB$3:$AB$5001,BD!$A$3:$A$5001,W$3,BD!$B$3:$B$5001,$A$437)))</f>
        <v/>
      </c>
      <c r="X463" s="240" t="str">
        <f>IF(X$3="","",IF(COUNTIFS(BD!$A$3:$A$5001,X$3,BD!$B$3:$B$5001,$A$437,BD!$AB$3:$AB$5001,"&lt;&gt;")=0,"",SUMIFS(BD!$AB$3:$AB$5001,BD!$A$3:$A$5001,X$3,BD!$B$3:$B$5001,$A$437)))</f>
        <v/>
      </c>
      <c r="Y463" s="240" t="str">
        <f>IF(Y$3="","",IF(COUNTIFS(BD!$A$3:$A$5001,Y$3,BD!$B$3:$B$5001,$A$437,BD!$AB$3:$AB$5001,"&lt;&gt;")=0,"",SUMIFS(BD!$AB$3:$AB$5001,BD!$A$3:$A$5001,Y$3,BD!$B$3:$B$5001,$A$437)))</f>
        <v/>
      </c>
      <c r="Z463" s="240" t="str">
        <f>IF(Z$3="","",IF(COUNTIFS(BD!$A$3:$A$5001,Z$3,BD!$B$3:$B$5001,$A$437,BD!$AB$3:$AB$5001,"&lt;&gt;")=0,"",SUMIFS(BD!$AB$3:$AB$5001,BD!$A$3:$A$5001,Z$3,BD!$B$3:$B$5001,$A$437)))</f>
        <v/>
      </c>
      <c r="AA463" s="240" t="str">
        <f>IF(AA$3="","",IF(COUNTIFS(BD!$A$3:$A$5001,AA$3,BD!$B$3:$B$5001,$A$437,BD!$AB$3:$AB$5001,"&lt;&gt;")=0,"",SUMIFS(BD!$AB$3:$AB$5001,BD!$A$3:$A$5001,AA$3,BD!$B$3:$B$5001,$A$437)))</f>
        <v/>
      </c>
      <c r="AB463" s="240" t="str">
        <f>IF(AB$3="","",IF(COUNTIFS(BD!$A$3:$A$5001,AB$3,BD!$B$3:$B$5001,$A$437,BD!$AB$3:$AB$5001,"&lt;&gt;")=0,"",SUMIFS(BD!$AB$3:$AB$5001,BD!$A$3:$A$5001,AB$3,BD!$B$3:$B$5001,$A$437)))</f>
        <v/>
      </c>
      <c r="AC463" s="240" t="str">
        <f>IF(AC$3="","",IF(COUNTIFS(BD!$A$3:$A$5001,AC$3,BD!$B$3:$B$5001,$A$437,BD!$AB$3:$AB$5001,"&lt;&gt;")=0,"",SUMIFS(BD!$AB$3:$AB$5001,BD!$A$3:$A$5001,AC$3,BD!$B$3:$B$5001,$A$437)))</f>
        <v/>
      </c>
      <c r="AD463" s="240" t="str">
        <f>IF(AD$3="","",IF(COUNTIFS(BD!$A$3:$A$5001,AD$3,BD!$B$3:$B$5001,$A$437,BD!$AB$3:$AB$5001,"&lt;&gt;")=0,"",SUMIFS(BD!$AB$3:$AB$5001,BD!$A$3:$A$5001,AD$3,BD!$B$3:$B$5001,$A$437)))</f>
        <v/>
      </c>
      <c r="AE463" s="240" t="str">
        <f>IF(AE$3="","",IF(COUNTIFS(BD!$A$3:$A$5001,AE$3,BD!$B$3:$B$5001,$A$437,BD!$AB$3:$AB$5001,"&lt;&gt;")=0,"",SUMIFS(BD!$AB$3:$AB$5001,BD!$A$3:$A$5001,AE$3,BD!$B$3:$B$5001,$A$437)))</f>
        <v/>
      </c>
      <c r="AF463" s="240" t="str">
        <f>IF(AF$3="","",IF(COUNTIFS(BD!$A$3:$A$5001,AF$3,BD!$B$3:$B$5001,$A$437,BD!$AB$3:$AB$5001,"&lt;&gt;")=0,"",SUMIFS(BD!$AB$3:$AB$5001,BD!$A$3:$A$5001,AF$3,BD!$B$3:$B$5001,$A$437)))</f>
        <v/>
      </c>
      <c r="AG463" s="240" t="str">
        <f>IF(AG$3="","",IF(COUNTIFS(BD!$A$3:$A$5001,AG$3,BD!$B$3:$B$5001,$A$437,BD!$AB$3:$AB$5001,"&lt;&gt;")=0,"",SUMIFS(BD!$AB$3:$AB$5001,BD!$A$3:$A$5001,AG$3,BD!$B$3:$B$5001,$A$437)))</f>
        <v/>
      </c>
      <c r="AH463" s="240" t="str">
        <f>IF(AH$3="","",IF(COUNTIFS(BD!$A$3:$A$5001,AH$3,BD!$B$3:$B$5001,$A$437,BD!$AB$3:$AB$5001,"&lt;&gt;")=0,"",SUMIFS(BD!$AB$3:$AB$5001,BD!$A$3:$A$5001,AH$3,BD!$B$3:$B$5001,$A$437)))</f>
        <v/>
      </c>
      <c r="AI463" s="240" t="str">
        <f>IF(AI$3="","",IF(COUNTIFS(BD!$A$3:$A$5001,AI$3,BD!$B$3:$B$5001,$A$437,BD!$AB$3:$AB$5001,"&lt;&gt;")=0,"",SUMIFS(BD!$AB$3:$AB$5001,BD!$A$3:$A$5001,AI$3,BD!$B$3:$B$5001,$A$437)))</f>
        <v/>
      </c>
      <c r="AJ463" s="241" t="str">
        <f>IF(AJ$3="","",IF(COUNTIFS(BD!$A$3:$A$5001,AJ$3,BD!$B$3:$B$5001,$A$437,BD!$AB$3:$AB$5001,"&lt;&gt;")=0,"",SUMIFS(BD!$AB$3:$AB$5001,BD!$A$3:$A$5001,AJ$3,BD!$B$3:$B$5001,$A$437)))</f>
        <v/>
      </c>
      <c r="AK463" s="242" t="str">
        <f>IF(COUNT(F463:AJ463)=0,"",SUM(F463:AJ463))</f>
        <v/>
      </c>
    </row>
    <row r="464" ht="15.75" customHeight="1" hidden="1">
      <c r="A464" s="261"/>
      <c r="B464" s="258"/>
      <c r="C464" s="232" t="inlineStr">
        <is>
          <t xml:space="preserve">Folga</t>
        </is>
      </c>
      <c r="D464" s="233" t="str">
        <f>IFERROR(1/(1/INDEX(BD!$AL$50:$BF$50,MATCH($A$437,BD!$AL$22:$BF$22,0))),"")</f>
        <v/>
      </c>
      <c r="E464" s="234"/>
      <c r="F464" s="235" t="str">
        <f>IF(F$3="","",IF(COUNTIFS(BD!$A$3:$A$5001,F$3,BD!$B$3:$B$5001,$A$437,BD!$AC$3:$AC$5001,"&lt;&gt;")=0,"",SUMIFS(BD!$AC$3:$AC$5001,BD!$A$3:$A$5001,F$3,BD!$B$3:$B$5001,$A$437)))</f>
        <v/>
      </c>
      <c r="G464" s="236" t="str">
        <f>IF(G$3="","",IF(COUNTIFS(BD!$A$3:$A$5001,G$3,BD!$B$3:$B$5001,$A$437,BD!$AC$3:$AC$5001,"&lt;&gt;")=0,"",SUMIFS(BD!$AC$3:$AC$5001,BD!$A$3:$A$5001,G$3,BD!$B$3:$B$5001,$A$437)))</f>
        <v/>
      </c>
      <c r="H464" s="236" t="str">
        <f>IF(H$3="","",IF(COUNTIFS(BD!$A$3:$A$5001,H$3,BD!$B$3:$B$5001,$A$437,BD!$AC$3:$AC$5001,"&lt;&gt;")=0,"",SUMIFS(BD!$AC$3:$AC$5001,BD!$A$3:$A$5001,H$3,BD!$B$3:$B$5001,$A$437)))</f>
        <v/>
      </c>
      <c r="I464" s="236" t="str">
        <f>IF(I$3="","",IF(COUNTIFS(BD!$A$3:$A$5001,I$3,BD!$B$3:$B$5001,$A$437,BD!$AC$3:$AC$5001,"&lt;&gt;")=0,"",SUMIFS(BD!$AC$3:$AC$5001,BD!$A$3:$A$5001,I$3,BD!$B$3:$B$5001,$A$437)))</f>
        <v/>
      </c>
      <c r="J464" s="236" t="str">
        <f>IF(J$3="","",IF(COUNTIFS(BD!$A$3:$A$5001,J$3,BD!$B$3:$B$5001,$A$437,BD!$AC$3:$AC$5001,"&lt;&gt;")=0,"",SUMIFS(BD!$AC$3:$AC$5001,BD!$A$3:$A$5001,J$3,BD!$B$3:$B$5001,$A$437)))</f>
        <v/>
      </c>
      <c r="K464" s="236" t="str">
        <f>IF(K$3="","",IF(COUNTIFS(BD!$A$3:$A$5001,K$3,BD!$B$3:$B$5001,$A$437,BD!$AC$3:$AC$5001,"&lt;&gt;")=0,"",SUMIFS(BD!$AC$3:$AC$5001,BD!$A$3:$A$5001,K$3,BD!$B$3:$B$5001,$A$437)))</f>
        <v/>
      </c>
      <c r="L464" s="236" t="str">
        <f>IF(L$3="","",IF(COUNTIFS(BD!$A$3:$A$5001,L$3,BD!$B$3:$B$5001,$A$437,BD!$AC$3:$AC$5001,"&lt;&gt;")=0,"",SUMIFS(BD!$AC$3:$AC$5001,BD!$A$3:$A$5001,L$3,BD!$B$3:$B$5001,$A$437)))</f>
        <v/>
      </c>
      <c r="M464" s="236" t="str">
        <f>IF(M$3="","",IF(COUNTIFS(BD!$A$3:$A$5001,M$3,BD!$B$3:$B$5001,$A$437,BD!$AC$3:$AC$5001,"&lt;&gt;")=0,"",SUMIFS(BD!$AC$3:$AC$5001,BD!$A$3:$A$5001,M$3,BD!$B$3:$B$5001,$A$437)))</f>
        <v/>
      </c>
      <c r="N464" s="236" t="str">
        <f>IF(N$3="","",IF(COUNTIFS(BD!$A$3:$A$5001,N$3,BD!$B$3:$B$5001,$A$437,BD!$AC$3:$AC$5001,"&lt;&gt;")=0,"",SUMIFS(BD!$AC$3:$AC$5001,BD!$A$3:$A$5001,N$3,BD!$B$3:$B$5001,$A$437)))</f>
        <v/>
      </c>
      <c r="O464" s="236" t="str">
        <f>IF(O$3="","",IF(COUNTIFS(BD!$A$3:$A$5001,O$3,BD!$B$3:$B$5001,$A$437,BD!$AC$3:$AC$5001,"&lt;&gt;")=0,"",SUMIFS(BD!$AC$3:$AC$5001,BD!$A$3:$A$5001,O$3,BD!$B$3:$B$5001,$A$437)))</f>
        <v/>
      </c>
      <c r="P464" s="236" t="str">
        <f>IF(P$3="","",IF(COUNTIFS(BD!$A$3:$A$5001,P$3,BD!$B$3:$B$5001,$A$437,BD!$AC$3:$AC$5001,"&lt;&gt;")=0,"",SUMIFS(BD!$AC$3:$AC$5001,BD!$A$3:$A$5001,P$3,BD!$B$3:$B$5001,$A$437)))</f>
        <v/>
      </c>
      <c r="Q464" s="236" t="str">
        <f>IF(Q$3="","",IF(COUNTIFS(BD!$A$3:$A$5001,Q$3,BD!$B$3:$B$5001,$A$437,BD!$AC$3:$AC$5001,"&lt;&gt;")=0,"",SUMIFS(BD!$AC$3:$AC$5001,BD!$A$3:$A$5001,Q$3,BD!$B$3:$B$5001,$A$437)))</f>
        <v/>
      </c>
      <c r="R464" s="236" t="str">
        <f>IF(R$3="","",IF(COUNTIFS(BD!$A$3:$A$5001,R$3,BD!$B$3:$B$5001,$A$437,BD!$AC$3:$AC$5001,"&lt;&gt;")=0,"",SUMIFS(BD!$AC$3:$AC$5001,BD!$A$3:$A$5001,R$3,BD!$B$3:$B$5001,$A$437)))</f>
        <v/>
      </c>
      <c r="S464" s="236" t="str">
        <f>IF(S$3="","",IF(COUNTIFS(BD!$A$3:$A$5001,S$3,BD!$B$3:$B$5001,$A$437,BD!$AC$3:$AC$5001,"&lt;&gt;")=0,"",SUMIFS(BD!$AC$3:$AC$5001,BD!$A$3:$A$5001,S$3,BD!$B$3:$B$5001,$A$437)))</f>
        <v/>
      </c>
      <c r="T464" s="236" t="str">
        <f>IF(T$3="","",IF(COUNTIFS(BD!$A$3:$A$5001,T$3,BD!$B$3:$B$5001,$A$437,BD!$AC$3:$AC$5001,"&lt;&gt;")=0,"",SUMIFS(BD!$AC$3:$AC$5001,BD!$A$3:$A$5001,T$3,BD!$B$3:$B$5001,$A$437)))</f>
        <v/>
      </c>
      <c r="U464" s="236" t="str">
        <f>IF(U$3="","",IF(COUNTIFS(BD!$A$3:$A$5001,U$3,BD!$B$3:$B$5001,$A$437,BD!$AC$3:$AC$5001,"&lt;&gt;")=0,"",SUMIFS(BD!$AC$3:$AC$5001,BD!$A$3:$A$5001,U$3,BD!$B$3:$B$5001,$A$437)))</f>
        <v/>
      </c>
      <c r="V464" s="236" t="str">
        <f>IF(V$3="","",IF(COUNTIFS(BD!$A$3:$A$5001,V$3,BD!$B$3:$B$5001,$A$437,BD!$AC$3:$AC$5001,"&lt;&gt;")=0,"",SUMIFS(BD!$AC$3:$AC$5001,BD!$A$3:$A$5001,V$3,BD!$B$3:$B$5001,$A$437)))</f>
        <v/>
      </c>
      <c r="W464" s="236" t="str">
        <f>IF(W$3="","",IF(COUNTIFS(BD!$A$3:$A$5001,W$3,BD!$B$3:$B$5001,$A$437,BD!$AC$3:$AC$5001,"&lt;&gt;")=0,"",SUMIFS(BD!$AC$3:$AC$5001,BD!$A$3:$A$5001,W$3,BD!$B$3:$B$5001,$A$437)))</f>
        <v/>
      </c>
      <c r="X464" s="236" t="str">
        <f>IF(X$3="","",IF(COUNTIFS(BD!$A$3:$A$5001,X$3,BD!$B$3:$B$5001,$A$437,BD!$AC$3:$AC$5001,"&lt;&gt;")=0,"",SUMIFS(BD!$AC$3:$AC$5001,BD!$A$3:$A$5001,X$3,BD!$B$3:$B$5001,$A$437)))</f>
        <v/>
      </c>
      <c r="Y464" s="236" t="str">
        <f>IF(Y$3="","",IF(COUNTIFS(BD!$A$3:$A$5001,Y$3,BD!$B$3:$B$5001,$A$437,BD!$AC$3:$AC$5001,"&lt;&gt;")=0,"",SUMIFS(BD!$AC$3:$AC$5001,BD!$A$3:$A$5001,Y$3,BD!$B$3:$B$5001,$A$437)))</f>
        <v/>
      </c>
      <c r="Z464" s="236" t="str">
        <f>IF(Z$3="","",IF(COUNTIFS(BD!$A$3:$A$5001,Z$3,BD!$B$3:$B$5001,$A$437,BD!$AC$3:$AC$5001,"&lt;&gt;")=0,"",SUMIFS(BD!$AC$3:$AC$5001,BD!$A$3:$A$5001,Z$3,BD!$B$3:$B$5001,$A$437)))</f>
        <v/>
      </c>
      <c r="AA464" s="236" t="str">
        <f>IF(AA$3="","",IF(COUNTIFS(BD!$A$3:$A$5001,AA$3,BD!$B$3:$B$5001,$A$437,BD!$AC$3:$AC$5001,"&lt;&gt;")=0,"",SUMIFS(BD!$AC$3:$AC$5001,BD!$A$3:$A$5001,AA$3,BD!$B$3:$B$5001,$A$437)))</f>
        <v/>
      </c>
      <c r="AB464" s="236" t="str">
        <f>IF(AB$3="","",IF(COUNTIFS(BD!$A$3:$A$5001,AB$3,BD!$B$3:$B$5001,$A$437,BD!$AC$3:$AC$5001,"&lt;&gt;")=0,"",SUMIFS(BD!$AC$3:$AC$5001,BD!$A$3:$A$5001,AB$3,BD!$B$3:$B$5001,$A$437)))</f>
        <v/>
      </c>
      <c r="AC464" s="236" t="str">
        <f>IF(AC$3="","",IF(COUNTIFS(BD!$A$3:$A$5001,AC$3,BD!$B$3:$B$5001,$A$437,BD!$AC$3:$AC$5001,"&lt;&gt;")=0,"",SUMIFS(BD!$AC$3:$AC$5001,BD!$A$3:$A$5001,AC$3,BD!$B$3:$B$5001,$A$437)))</f>
        <v/>
      </c>
      <c r="AD464" s="236" t="str">
        <f>IF(AD$3="","",IF(COUNTIFS(BD!$A$3:$A$5001,AD$3,BD!$B$3:$B$5001,$A$437,BD!$AC$3:$AC$5001,"&lt;&gt;")=0,"",SUMIFS(BD!$AC$3:$AC$5001,BD!$A$3:$A$5001,AD$3,BD!$B$3:$B$5001,$A$437)))</f>
        <v/>
      </c>
      <c r="AE464" s="236" t="str">
        <f>IF(AE$3="","",IF(COUNTIFS(BD!$A$3:$A$5001,AE$3,BD!$B$3:$B$5001,$A$437,BD!$AC$3:$AC$5001,"&lt;&gt;")=0,"",SUMIFS(BD!$AC$3:$AC$5001,BD!$A$3:$A$5001,AE$3,BD!$B$3:$B$5001,$A$437)))</f>
        <v/>
      </c>
      <c r="AF464" s="236" t="str">
        <f>IF(AF$3="","",IF(COUNTIFS(BD!$A$3:$A$5001,AF$3,BD!$B$3:$B$5001,$A$437,BD!$AC$3:$AC$5001,"&lt;&gt;")=0,"",SUMIFS(BD!$AC$3:$AC$5001,BD!$A$3:$A$5001,AF$3,BD!$B$3:$B$5001,$A$437)))</f>
        <v/>
      </c>
      <c r="AG464" s="236" t="str">
        <f>IF(AG$3="","",IF(COUNTIFS(BD!$A$3:$A$5001,AG$3,BD!$B$3:$B$5001,$A$437,BD!$AC$3:$AC$5001,"&lt;&gt;")=0,"",SUMIFS(BD!$AC$3:$AC$5001,BD!$A$3:$A$5001,AG$3,BD!$B$3:$B$5001,$A$437)))</f>
        <v/>
      </c>
      <c r="AH464" s="236" t="str">
        <f>IF(AH$3="","",IF(COUNTIFS(BD!$A$3:$A$5001,AH$3,BD!$B$3:$B$5001,$A$437,BD!$AC$3:$AC$5001,"&lt;&gt;")=0,"",SUMIFS(BD!$AC$3:$AC$5001,BD!$A$3:$A$5001,AH$3,BD!$B$3:$B$5001,$A$437)))</f>
        <v/>
      </c>
      <c r="AI464" s="236" t="str">
        <f>IF(AI$3="","",IF(COUNTIFS(BD!$A$3:$A$5001,AI$3,BD!$B$3:$B$5001,$A$437,BD!$AC$3:$AC$5001,"&lt;&gt;")=0,"",SUMIFS(BD!$AC$3:$AC$5001,BD!$A$3:$A$5001,AI$3,BD!$B$3:$B$5001,$A$437)))</f>
        <v/>
      </c>
      <c r="AJ464" s="237" t="str">
        <f>IF(AJ$3="","",IF(COUNTIFS(BD!$A$3:$A$5001,AJ$3,BD!$B$3:$B$5001,$A$437,BD!$AC$3:$AC$5001,"&lt;&gt;")=0,"",SUMIFS(BD!$AC$3:$AC$5001,BD!$A$3:$A$5001,AJ$3,BD!$B$3:$B$5001,$A$437)))</f>
        <v/>
      </c>
      <c r="AK464" s="238" t="str">
        <f>IF(COUNT(F464:AJ464)=0,"",SUM(F464:AJ464))</f>
        <v/>
      </c>
    </row>
    <row r="465" ht="15.75" customHeight="1" hidden="1">
      <c r="A465" s="261"/>
      <c r="B465" s="258"/>
      <c r="C465" s="232" t="inlineStr">
        <is>
          <t xml:space="preserve">Férias</t>
        </is>
      </c>
      <c r="D465" s="233" t="str">
        <f>IFERROR(1/(1/INDEX(BD!$AL$51:$BF$51,MATCH($A$437,BD!$AL$22:$BF$22,0))),"")</f>
        <v/>
      </c>
      <c r="E465" s="234"/>
      <c r="F465" s="235" t="str">
        <f>IF(F$3="","",IF(COUNTIFS(BD!$A$3:$A$5001,F$3,BD!$B$3:$B$5001,$A$437,BD!$AD$3:$AD$5001,"&lt;&gt;")=0,"",SUMIFS(BD!$AD$3:$AD$5001,BD!$A$3:$A$5001,F$3,BD!$B$3:$B$5001,$A$437)))</f>
        <v/>
      </c>
      <c r="G465" s="236" t="str">
        <f>IF(G$3="","",IF(COUNTIFS(BD!$A$3:$A$5001,G$3,BD!$B$3:$B$5001,$A$437,BD!$AD$3:$AD$5001,"&lt;&gt;")=0,"",SUMIFS(BD!$AD$3:$AD$5001,BD!$A$3:$A$5001,G$3,BD!$B$3:$B$5001,$A$437)))</f>
        <v/>
      </c>
      <c r="H465" s="236" t="str">
        <f>IF(H$3="","",IF(COUNTIFS(BD!$A$3:$A$5001,H$3,BD!$B$3:$B$5001,$A$437,BD!$AD$3:$AD$5001,"&lt;&gt;")=0,"",SUMIFS(BD!$AD$3:$AD$5001,BD!$A$3:$A$5001,H$3,BD!$B$3:$B$5001,$A$437)))</f>
        <v/>
      </c>
      <c r="I465" s="236" t="str">
        <f>IF(I$3="","",IF(COUNTIFS(BD!$A$3:$A$5001,I$3,BD!$B$3:$B$5001,$A$437,BD!$AD$3:$AD$5001,"&lt;&gt;")=0,"",SUMIFS(BD!$AD$3:$AD$5001,BD!$A$3:$A$5001,I$3,BD!$B$3:$B$5001,$A$437)))</f>
        <v/>
      </c>
      <c r="J465" s="236" t="str">
        <f>IF(J$3="","",IF(COUNTIFS(BD!$A$3:$A$5001,J$3,BD!$B$3:$B$5001,$A$437,BD!$AD$3:$AD$5001,"&lt;&gt;")=0,"",SUMIFS(BD!$AD$3:$AD$5001,BD!$A$3:$A$5001,J$3,BD!$B$3:$B$5001,$A$437)))</f>
        <v/>
      </c>
      <c r="K465" s="236" t="str">
        <f>IF(K$3="","",IF(COUNTIFS(BD!$A$3:$A$5001,K$3,BD!$B$3:$B$5001,$A$437,BD!$AD$3:$AD$5001,"&lt;&gt;")=0,"",SUMIFS(BD!$AD$3:$AD$5001,BD!$A$3:$A$5001,K$3,BD!$B$3:$B$5001,$A$437)))</f>
        <v/>
      </c>
      <c r="L465" s="236" t="str">
        <f>IF(L$3="","",IF(COUNTIFS(BD!$A$3:$A$5001,L$3,BD!$B$3:$B$5001,$A$437,BD!$AD$3:$AD$5001,"&lt;&gt;")=0,"",SUMIFS(BD!$AD$3:$AD$5001,BD!$A$3:$A$5001,L$3,BD!$B$3:$B$5001,$A$437)))</f>
        <v/>
      </c>
      <c r="M465" s="236" t="str">
        <f>IF(M$3="","",IF(COUNTIFS(BD!$A$3:$A$5001,M$3,BD!$B$3:$B$5001,$A$437,BD!$AD$3:$AD$5001,"&lt;&gt;")=0,"",SUMIFS(BD!$AD$3:$AD$5001,BD!$A$3:$A$5001,M$3,BD!$B$3:$B$5001,$A$437)))</f>
        <v/>
      </c>
      <c r="N465" s="236" t="str">
        <f>IF(N$3="","",IF(COUNTIFS(BD!$A$3:$A$5001,N$3,BD!$B$3:$B$5001,$A$437,BD!$AD$3:$AD$5001,"&lt;&gt;")=0,"",SUMIFS(BD!$AD$3:$AD$5001,BD!$A$3:$A$5001,N$3,BD!$B$3:$B$5001,$A$437)))</f>
        <v/>
      </c>
      <c r="O465" s="236" t="str">
        <f>IF(O$3="","",IF(COUNTIFS(BD!$A$3:$A$5001,O$3,BD!$B$3:$B$5001,$A$437,BD!$AD$3:$AD$5001,"&lt;&gt;")=0,"",SUMIFS(BD!$AD$3:$AD$5001,BD!$A$3:$A$5001,O$3,BD!$B$3:$B$5001,$A$437)))</f>
        <v/>
      </c>
      <c r="P465" s="236" t="str">
        <f>IF(P$3="","",IF(COUNTIFS(BD!$A$3:$A$5001,P$3,BD!$B$3:$B$5001,$A$437,BD!$AD$3:$AD$5001,"&lt;&gt;")=0,"",SUMIFS(BD!$AD$3:$AD$5001,BD!$A$3:$A$5001,P$3,BD!$B$3:$B$5001,$A$437)))</f>
        <v/>
      </c>
      <c r="Q465" s="236" t="str">
        <f>IF(Q$3="","",IF(COUNTIFS(BD!$A$3:$A$5001,Q$3,BD!$B$3:$B$5001,$A$437,BD!$AD$3:$AD$5001,"&lt;&gt;")=0,"",SUMIFS(BD!$AD$3:$AD$5001,BD!$A$3:$A$5001,Q$3,BD!$B$3:$B$5001,$A$437)))</f>
        <v/>
      </c>
      <c r="R465" s="236" t="str">
        <f>IF(R$3="","",IF(COUNTIFS(BD!$A$3:$A$5001,R$3,BD!$B$3:$B$5001,$A$437,BD!$AD$3:$AD$5001,"&lt;&gt;")=0,"",SUMIFS(BD!$AD$3:$AD$5001,BD!$A$3:$A$5001,R$3,BD!$B$3:$B$5001,$A$437)))</f>
        <v/>
      </c>
      <c r="S465" s="236" t="str">
        <f>IF(S$3="","",IF(COUNTIFS(BD!$A$3:$A$5001,S$3,BD!$B$3:$B$5001,$A$437,BD!$AD$3:$AD$5001,"&lt;&gt;")=0,"",SUMIFS(BD!$AD$3:$AD$5001,BD!$A$3:$A$5001,S$3,BD!$B$3:$B$5001,$A$437)))</f>
        <v/>
      </c>
      <c r="T465" s="236" t="str">
        <f>IF(T$3="","",IF(COUNTIFS(BD!$A$3:$A$5001,T$3,BD!$B$3:$B$5001,$A$437,BD!$AD$3:$AD$5001,"&lt;&gt;")=0,"",SUMIFS(BD!$AD$3:$AD$5001,BD!$A$3:$A$5001,T$3,BD!$B$3:$B$5001,$A$437)))</f>
        <v/>
      </c>
      <c r="U465" s="236" t="str">
        <f>IF(U$3="","",IF(COUNTIFS(BD!$A$3:$A$5001,U$3,BD!$B$3:$B$5001,$A$437,BD!$AD$3:$AD$5001,"&lt;&gt;")=0,"",SUMIFS(BD!$AD$3:$AD$5001,BD!$A$3:$A$5001,U$3,BD!$B$3:$B$5001,$A$437)))</f>
        <v/>
      </c>
      <c r="V465" s="236" t="str">
        <f>IF(V$3="","",IF(COUNTIFS(BD!$A$3:$A$5001,V$3,BD!$B$3:$B$5001,$A$437,BD!$AD$3:$AD$5001,"&lt;&gt;")=0,"",SUMIFS(BD!$AD$3:$AD$5001,BD!$A$3:$A$5001,V$3,BD!$B$3:$B$5001,$A$437)))</f>
        <v/>
      </c>
      <c r="W465" s="236" t="str">
        <f>IF(W$3="","",IF(COUNTIFS(BD!$A$3:$A$5001,W$3,BD!$B$3:$B$5001,$A$437,BD!$AD$3:$AD$5001,"&lt;&gt;")=0,"",SUMIFS(BD!$AD$3:$AD$5001,BD!$A$3:$A$5001,W$3,BD!$B$3:$B$5001,$A$437)))</f>
        <v/>
      </c>
      <c r="X465" s="236" t="str">
        <f>IF(X$3="","",IF(COUNTIFS(BD!$A$3:$A$5001,X$3,BD!$B$3:$B$5001,$A$437,BD!$AD$3:$AD$5001,"&lt;&gt;")=0,"",SUMIFS(BD!$AD$3:$AD$5001,BD!$A$3:$A$5001,X$3,BD!$B$3:$B$5001,$A$437)))</f>
        <v/>
      </c>
      <c r="Y465" s="236" t="str">
        <f>IF(Y$3="","",IF(COUNTIFS(BD!$A$3:$A$5001,Y$3,BD!$B$3:$B$5001,$A$437,BD!$AD$3:$AD$5001,"&lt;&gt;")=0,"",SUMIFS(BD!$AD$3:$AD$5001,BD!$A$3:$A$5001,Y$3,BD!$B$3:$B$5001,$A$437)))</f>
        <v/>
      </c>
      <c r="Z465" s="236" t="str">
        <f>IF(Z$3="","",IF(COUNTIFS(BD!$A$3:$A$5001,Z$3,BD!$B$3:$B$5001,$A$437,BD!$AD$3:$AD$5001,"&lt;&gt;")=0,"",SUMIFS(BD!$AD$3:$AD$5001,BD!$A$3:$A$5001,Z$3,BD!$B$3:$B$5001,$A$437)))</f>
        <v/>
      </c>
      <c r="AA465" s="236" t="str">
        <f>IF(AA$3="","",IF(COUNTIFS(BD!$A$3:$A$5001,AA$3,BD!$B$3:$B$5001,$A$437,BD!$AD$3:$AD$5001,"&lt;&gt;")=0,"",SUMIFS(BD!$AD$3:$AD$5001,BD!$A$3:$A$5001,AA$3,BD!$B$3:$B$5001,$A$437)))</f>
        <v/>
      </c>
      <c r="AB465" s="236" t="str">
        <f>IF(AB$3="","",IF(COUNTIFS(BD!$A$3:$A$5001,AB$3,BD!$B$3:$B$5001,$A$437,BD!$AD$3:$AD$5001,"&lt;&gt;")=0,"",SUMIFS(BD!$AD$3:$AD$5001,BD!$A$3:$A$5001,AB$3,BD!$B$3:$B$5001,$A$437)))</f>
        <v/>
      </c>
      <c r="AC465" s="236" t="str">
        <f>IF(AC$3="","",IF(COUNTIFS(BD!$A$3:$A$5001,AC$3,BD!$B$3:$B$5001,$A$437,BD!$AD$3:$AD$5001,"&lt;&gt;")=0,"",SUMIFS(BD!$AD$3:$AD$5001,BD!$A$3:$A$5001,AC$3,BD!$B$3:$B$5001,$A$437)))</f>
        <v/>
      </c>
      <c r="AD465" s="236" t="str">
        <f>IF(AD$3="","",IF(COUNTIFS(BD!$A$3:$A$5001,AD$3,BD!$B$3:$B$5001,$A$437,BD!$AD$3:$AD$5001,"&lt;&gt;")=0,"",SUMIFS(BD!$AD$3:$AD$5001,BD!$A$3:$A$5001,AD$3,BD!$B$3:$B$5001,$A$437)))</f>
        <v/>
      </c>
      <c r="AE465" s="236" t="str">
        <f>IF(AE$3="","",IF(COUNTIFS(BD!$A$3:$A$5001,AE$3,BD!$B$3:$B$5001,$A$437,BD!$AD$3:$AD$5001,"&lt;&gt;")=0,"",SUMIFS(BD!$AD$3:$AD$5001,BD!$A$3:$A$5001,AE$3,BD!$B$3:$B$5001,$A$437)))</f>
        <v/>
      </c>
      <c r="AF465" s="236" t="str">
        <f>IF(AF$3="","",IF(COUNTIFS(BD!$A$3:$A$5001,AF$3,BD!$B$3:$B$5001,$A$437,BD!$AD$3:$AD$5001,"&lt;&gt;")=0,"",SUMIFS(BD!$AD$3:$AD$5001,BD!$A$3:$A$5001,AF$3,BD!$B$3:$B$5001,$A$437)))</f>
        <v/>
      </c>
      <c r="AG465" s="236" t="str">
        <f>IF(AG$3="","",IF(COUNTIFS(BD!$A$3:$A$5001,AG$3,BD!$B$3:$B$5001,$A$437,BD!$AD$3:$AD$5001,"&lt;&gt;")=0,"",SUMIFS(BD!$AD$3:$AD$5001,BD!$A$3:$A$5001,AG$3,BD!$B$3:$B$5001,$A$437)))</f>
        <v/>
      </c>
      <c r="AH465" s="236" t="str">
        <f>IF(AH$3="","",IF(COUNTIFS(BD!$A$3:$A$5001,AH$3,BD!$B$3:$B$5001,$A$437,BD!$AD$3:$AD$5001,"&lt;&gt;")=0,"",SUMIFS(BD!$AD$3:$AD$5001,BD!$A$3:$A$5001,AH$3,BD!$B$3:$B$5001,$A$437)))</f>
        <v/>
      </c>
      <c r="AI465" s="236" t="str">
        <f>IF(AI$3="","",IF(COUNTIFS(BD!$A$3:$A$5001,AI$3,BD!$B$3:$B$5001,$A$437,BD!$AD$3:$AD$5001,"&lt;&gt;")=0,"",SUMIFS(BD!$AD$3:$AD$5001,BD!$A$3:$A$5001,AI$3,BD!$B$3:$B$5001,$A$437)))</f>
        <v/>
      </c>
      <c r="AJ465" s="237" t="str">
        <f>IF(AJ$3="","",IF(COUNTIFS(BD!$A$3:$A$5001,AJ$3,BD!$B$3:$B$5001,$A$437,BD!$AD$3:$AD$5001,"&lt;&gt;")=0,"",SUMIFS(BD!$AD$3:$AD$5001,BD!$A$3:$A$5001,AJ$3,BD!$B$3:$B$5001,$A$437)))</f>
        <v/>
      </c>
      <c r="AK465" s="238" t="str">
        <f>IF(COUNT(F465:AJ465)=0,"",SUM(F465:AJ465))</f>
        <v/>
      </c>
    </row>
    <row r="466" ht="15.75" customHeight="1" hidden="1">
      <c r="A466" s="261"/>
      <c r="B466" s="258"/>
      <c r="C466" s="232" t="inlineStr">
        <is>
          <t xml:space="preserve">Desligamento</t>
        </is>
      </c>
      <c r="D466" s="233" t="str">
        <f>IFERROR(1/(1/INDEX(BD!$AL$52:$BF$52,MATCH($A$437,BD!$AL$22:$BF$22,0))),"")</f>
        <v/>
      </c>
      <c r="E466" s="234"/>
      <c r="F466" s="235" t="str">
        <f>IF(F$3="","",IF(COUNTIFS(BD!$A$3:$A$5001,F$3,BD!$B$3:$B$5001,$A$437,BD!$AE$3:$AE$5001,"&lt;&gt;")=0,"",SUMIFS(BD!$AE$3:$AE$5001,BD!$A$3:$A$5001,F$3,BD!$B$3:$B$5001,$A$437)))</f>
        <v/>
      </c>
      <c r="G466" s="236" t="str">
        <f>IF(G$3="","",IF(COUNTIFS(BD!$A$3:$A$5001,G$3,BD!$B$3:$B$5001,$A$437,BD!$AE$3:$AE$5001,"&lt;&gt;")=0,"",SUMIFS(BD!$AE$3:$AE$5001,BD!$A$3:$A$5001,G$3,BD!$B$3:$B$5001,$A$437)))</f>
        <v/>
      </c>
      <c r="H466" s="236" t="str">
        <f>IF(H$3="","",IF(COUNTIFS(BD!$A$3:$A$5001,H$3,BD!$B$3:$B$5001,$A$437,BD!$AE$3:$AE$5001,"&lt;&gt;")=0,"",SUMIFS(BD!$AE$3:$AE$5001,BD!$A$3:$A$5001,H$3,BD!$B$3:$B$5001,$A$437)))</f>
        <v/>
      </c>
      <c r="I466" s="236" t="str">
        <f>IF(I$3="","",IF(COUNTIFS(BD!$A$3:$A$5001,I$3,BD!$B$3:$B$5001,$A$437,BD!$AE$3:$AE$5001,"&lt;&gt;")=0,"",SUMIFS(BD!$AE$3:$AE$5001,BD!$A$3:$A$5001,I$3,BD!$B$3:$B$5001,$A$437)))</f>
        <v/>
      </c>
      <c r="J466" s="236" t="str">
        <f>IF(J$3="","",IF(COUNTIFS(BD!$A$3:$A$5001,J$3,BD!$B$3:$B$5001,$A$437,BD!$AE$3:$AE$5001,"&lt;&gt;")=0,"",SUMIFS(BD!$AE$3:$AE$5001,BD!$A$3:$A$5001,J$3,BD!$B$3:$B$5001,$A$437)))</f>
        <v/>
      </c>
      <c r="K466" s="236" t="str">
        <f>IF(K$3="","",IF(COUNTIFS(BD!$A$3:$A$5001,K$3,BD!$B$3:$B$5001,$A$437,BD!$AE$3:$AE$5001,"&lt;&gt;")=0,"",SUMIFS(BD!$AE$3:$AE$5001,BD!$A$3:$A$5001,K$3,BD!$B$3:$B$5001,$A$437)))</f>
        <v/>
      </c>
      <c r="L466" s="236" t="str">
        <f>IF(L$3="","",IF(COUNTIFS(BD!$A$3:$A$5001,L$3,BD!$B$3:$B$5001,$A$437,BD!$AE$3:$AE$5001,"&lt;&gt;")=0,"",SUMIFS(BD!$AE$3:$AE$5001,BD!$A$3:$A$5001,L$3,BD!$B$3:$B$5001,$A$437)))</f>
        <v/>
      </c>
      <c r="M466" s="236" t="str">
        <f>IF(M$3="","",IF(COUNTIFS(BD!$A$3:$A$5001,M$3,BD!$B$3:$B$5001,$A$437,BD!$AE$3:$AE$5001,"&lt;&gt;")=0,"",SUMIFS(BD!$AE$3:$AE$5001,BD!$A$3:$A$5001,M$3,BD!$B$3:$B$5001,$A$437)))</f>
        <v/>
      </c>
      <c r="N466" s="236" t="str">
        <f>IF(N$3="","",IF(COUNTIFS(BD!$A$3:$A$5001,N$3,BD!$B$3:$B$5001,$A$437,BD!$AE$3:$AE$5001,"&lt;&gt;")=0,"",SUMIFS(BD!$AE$3:$AE$5001,BD!$A$3:$A$5001,N$3,BD!$B$3:$B$5001,$A$437)))</f>
        <v/>
      </c>
      <c r="O466" s="236" t="str">
        <f>IF(O$3="","",IF(COUNTIFS(BD!$A$3:$A$5001,O$3,BD!$B$3:$B$5001,$A$437,BD!$AE$3:$AE$5001,"&lt;&gt;")=0,"",SUMIFS(BD!$AE$3:$AE$5001,BD!$A$3:$A$5001,O$3,BD!$B$3:$B$5001,$A$437)))</f>
        <v/>
      </c>
      <c r="P466" s="236" t="str">
        <f>IF(P$3="","",IF(COUNTIFS(BD!$A$3:$A$5001,P$3,BD!$B$3:$B$5001,$A$437,BD!$AE$3:$AE$5001,"&lt;&gt;")=0,"",SUMIFS(BD!$AE$3:$AE$5001,BD!$A$3:$A$5001,P$3,BD!$B$3:$B$5001,$A$437)))</f>
        <v/>
      </c>
      <c r="Q466" s="236" t="str">
        <f>IF(Q$3="","",IF(COUNTIFS(BD!$A$3:$A$5001,Q$3,BD!$B$3:$B$5001,$A$437,BD!$AE$3:$AE$5001,"&lt;&gt;")=0,"",SUMIFS(BD!$AE$3:$AE$5001,BD!$A$3:$A$5001,Q$3,BD!$B$3:$B$5001,$A$437)))</f>
        <v/>
      </c>
      <c r="R466" s="236" t="str">
        <f>IF(R$3="","",IF(COUNTIFS(BD!$A$3:$A$5001,R$3,BD!$B$3:$B$5001,$A$437,BD!$AE$3:$AE$5001,"&lt;&gt;")=0,"",SUMIFS(BD!$AE$3:$AE$5001,BD!$A$3:$A$5001,R$3,BD!$B$3:$B$5001,$A$437)))</f>
        <v/>
      </c>
      <c r="S466" s="236" t="str">
        <f>IF(S$3="","",IF(COUNTIFS(BD!$A$3:$A$5001,S$3,BD!$B$3:$B$5001,$A$437,BD!$AE$3:$AE$5001,"&lt;&gt;")=0,"",SUMIFS(BD!$AE$3:$AE$5001,BD!$A$3:$A$5001,S$3,BD!$B$3:$B$5001,$A$437)))</f>
        <v/>
      </c>
      <c r="T466" s="236" t="str">
        <f>IF(T$3="","",IF(COUNTIFS(BD!$A$3:$A$5001,T$3,BD!$B$3:$B$5001,$A$437,BD!$AE$3:$AE$5001,"&lt;&gt;")=0,"",SUMIFS(BD!$AE$3:$AE$5001,BD!$A$3:$A$5001,T$3,BD!$B$3:$B$5001,$A$437)))</f>
        <v/>
      </c>
      <c r="U466" s="236" t="str">
        <f>IF(U$3="","",IF(COUNTIFS(BD!$A$3:$A$5001,U$3,BD!$B$3:$B$5001,$A$437,BD!$AE$3:$AE$5001,"&lt;&gt;")=0,"",SUMIFS(BD!$AE$3:$AE$5001,BD!$A$3:$A$5001,U$3,BD!$B$3:$B$5001,$A$437)))</f>
        <v/>
      </c>
      <c r="V466" s="236" t="str">
        <f>IF(V$3="","",IF(COUNTIFS(BD!$A$3:$A$5001,V$3,BD!$B$3:$B$5001,$A$437,BD!$AE$3:$AE$5001,"&lt;&gt;")=0,"",SUMIFS(BD!$AE$3:$AE$5001,BD!$A$3:$A$5001,V$3,BD!$B$3:$B$5001,$A$437)))</f>
        <v/>
      </c>
      <c r="W466" s="236" t="str">
        <f>IF(W$3="","",IF(COUNTIFS(BD!$A$3:$A$5001,W$3,BD!$B$3:$B$5001,$A$437,BD!$AE$3:$AE$5001,"&lt;&gt;")=0,"",SUMIFS(BD!$AE$3:$AE$5001,BD!$A$3:$A$5001,W$3,BD!$B$3:$B$5001,$A$437)))</f>
        <v/>
      </c>
      <c r="X466" s="236" t="str">
        <f>IF(X$3="","",IF(COUNTIFS(BD!$A$3:$A$5001,X$3,BD!$B$3:$B$5001,$A$437,BD!$AE$3:$AE$5001,"&lt;&gt;")=0,"",SUMIFS(BD!$AE$3:$AE$5001,BD!$A$3:$A$5001,X$3,BD!$B$3:$B$5001,$A$437)))</f>
        <v/>
      </c>
      <c r="Y466" s="236" t="str">
        <f>IF(Y$3="","",IF(COUNTIFS(BD!$A$3:$A$5001,Y$3,BD!$B$3:$B$5001,$A$437,BD!$AE$3:$AE$5001,"&lt;&gt;")=0,"",SUMIFS(BD!$AE$3:$AE$5001,BD!$A$3:$A$5001,Y$3,BD!$B$3:$B$5001,$A$437)))</f>
        <v/>
      </c>
      <c r="Z466" s="236" t="str">
        <f>IF(Z$3="","",IF(COUNTIFS(BD!$A$3:$A$5001,Z$3,BD!$B$3:$B$5001,$A$437,BD!$AE$3:$AE$5001,"&lt;&gt;")=0,"",SUMIFS(BD!$AE$3:$AE$5001,BD!$A$3:$A$5001,Z$3,BD!$B$3:$B$5001,$A$437)))</f>
        <v/>
      </c>
      <c r="AA466" s="236" t="str">
        <f>IF(AA$3="","",IF(COUNTIFS(BD!$A$3:$A$5001,AA$3,BD!$B$3:$B$5001,$A$437,BD!$AE$3:$AE$5001,"&lt;&gt;")=0,"",SUMIFS(BD!$AE$3:$AE$5001,BD!$A$3:$A$5001,AA$3,BD!$B$3:$B$5001,$A$437)))</f>
        <v/>
      </c>
      <c r="AB466" s="236" t="str">
        <f>IF(AB$3="","",IF(COUNTIFS(BD!$A$3:$A$5001,AB$3,BD!$B$3:$B$5001,$A$437,BD!$AE$3:$AE$5001,"&lt;&gt;")=0,"",SUMIFS(BD!$AE$3:$AE$5001,BD!$A$3:$A$5001,AB$3,BD!$B$3:$B$5001,$A$437)))</f>
        <v/>
      </c>
      <c r="AC466" s="236" t="str">
        <f>IF(AC$3="","",IF(COUNTIFS(BD!$A$3:$A$5001,AC$3,BD!$B$3:$B$5001,$A$437,BD!$AE$3:$AE$5001,"&lt;&gt;")=0,"",SUMIFS(BD!$AE$3:$AE$5001,BD!$A$3:$A$5001,AC$3,BD!$B$3:$B$5001,$A$437)))</f>
        <v/>
      </c>
      <c r="AD466" s="236" t="str">
        <f>IF(AD$3="","",IF(COUNTIFS(BD!$A$3:$A$5001,AD$3,BD!$B$3:$B$5001,$A$437,BD!$AE$3:$AE$5001,"&lt;&gt;")=0,"",SUMIFS(BD!$AE$3:$AE$5001,BD!$A$3:$A$5001,AD$3,BD!$B$3:$B$5001,$A$437)))</f>
        <v/>
      </c>
      <c r="AE466" s="236" t="str">
        <f>IF(AE$3="","",IF(COUNTIFS(BD!$A$3:$A$5001,AE$3,BD!$B$3:$B$5001,$A$437,BD!$AE$3:$AE$5001,"&lt;&gt;")=0,"",SUMIFS(BD!$AE$3:$AE$5001,BD!$A$3:$A$5001,AE$3,BD!$B$3:$B$5001,$A$437)))</f>
        <v/>
      </c>
      <c r="AF466" s="236" t="str">
        <f>IF(AF$3="","",IF(COUNTIFS(BD!$A$3:$A$5001,AF$3,BD!$B$3:$B$5001,$A$437,BD!$AE$3:$AE$5001,"&lt;&gt;")=0,"",SUMIFS(BD!$AE$3:$AE$5001,BD!$A$3:$A$5001,AF$3,BD!$B$3:$B$5001,$A$437)))</f>
        <v/>
      </c>
      <c r="AG466" s="236" t="str">
        <f>IF(AG$3="","",IF(COUNTIFS(BD!$A$3:$A$5001,AG$3,BD!$B$3:$B$5001,$A$437,BD!$AE$3:$AE$5001,"&lt;&gt;")=0,"",SUMIFS(BD!$AE$3:$AE$5001,BD!$A$3:$A$5001,AG$3,BD!$B$3:$B$5001,$A$437)))</f>
        <v/>
      </c>
      <c r="AH466" s="236" t="str">
        <f>IF(AH$3="","",IF(COUNTIFS(BD!$A$3:$A$5001,AH$3,BD!$B$3:$B$5001,$A$437,BD!$AE$3:$AE$5001,"&lt;&gt;")=0,"",SUMIFS(BD!$AE$3:$AE$5001,BD!$A$3:$A$5001,AH$3,BD!$B$3:$B$5001,$A$437)))</f>
        <v/>
      </c>
      <c r="AI466" s="236" t="str">
        <f>IF(AI$3="","",IF(COUNTIFS(BD!$A$3:$A$5001,AI$3,BD!$B$3:$B$5001,$A$437,BD!$AE$3:$AE$5001,"&lt;&gt;")=0,"",SUMIFS(BD!$AE$3:$AE$5001,BD!$A$3:$A$5001,AI$3,BD!$B$3:$B$5001,$A$437)))</f>
        <v/>
      </c>
      <c r="AJ466" s="237" t="str">
        <f>IF(AJ$3="","",IF(COUNTIFS(BD!$A$3:$A$5001,AJ$3,BD!$B$3:$B$5001,$A$437,BD!$AE$3:$AE$5001,"&lt;&gt;")=0,"",SUMIFS(BD!$AE$3:$AE$5001,BD!$A$3:$A$5001,AJ$3,BD!$B$3:$B$5001,$A$437)))</f>
        <v/>
      </c>
      <c r="AK466" s="238" t="str">
        <f>IF(COUNT(F466:AJ466)=0,"",SUM(F466:AJ466))</f>
        <v/>
      </c>
    </row>
    <row r="467" ht="15.75" customHeight="1" hidden="1">
      <c r="A467" s="261"/>
      <c r="B467" s="258"/>
      <c r="C467" s="232" t="inlineStr">
        <is>
          <t xml:space="preserve">Desvios Comportamentais</t>
        </is>
      </c>
      <c r="D467" s="233" t="str">
        <f>IFERROR(1/(1/INDEX(BD!$AL$53:$BF$53,MATCH($A$437,BD!$AL$22:$BF$22,0))),"")</f>
        <v/>
      </c>
      <c r="E467" s="234"/>
      <c r="F467" s="235" t="str">
        <f>IF(F$3="","",IF(COUNTIFS(BD!$A$3:$A$5001,F$3,BD!$B$3:$B$5001,$A$437,BD!$AF$3:$AF$5001,"&lt;&gt;")=0,"",SUMIFS(BD!$AF$3:$AF$5001,BD!$A$3:$A$5001,F$3,BD!$B$3:$B$5001,$A$437)))</f>
        <v/>
      </c>
      <c r="G467" s="236" t="str">
        <f>IF(G$3="","",IF(COUNTIFS(BD!$A$3:$A$5001,G$3,BD!$B$3:$B$5001,$A$437,BD!$AF$3:$AF$5001,"&lt;&gt;")=0,"",SUMIFS(BD!$AF$3:$AF$5001,BD!$A$3:$A$5001,G$3,BD!$B$3:$B$5001,$A$437)))</f>
        <v/>
      </c>
      <c r="H467" s="236" t="str">
        <f>IF(H$3="","",IF(COUNTIFS(BD!$A$3:$A$5001,H$3,BD!$B$3:$B$5001,$A$437,BD!$AF$3:$AF$5001,"&lt;&gt;")=0,"",SUMIFS(BD!$AF$3:$AF$5001,BD!$A$3:$A$5001,H$3,BD!$B$3:$B$5001,$A$437)))</f>
        <v/>
      </c>
      <c r="I467" s="236" t="str">
        <f>IF(I$3="","",IF(COUNTIFS(BD!$A$3:$A$5001,I$3,BD!$B$3:$B$5001,$A$437,BD!$AF$3:$AF$5001,"&lt;&gt;")=0,"",SUMIFS(BD!$AF$3:$AF$5001,BD!$A$3:$A$5001,I$3,BD!$B$3:$B$5001,$A$437)))</f>
        <v/>
      </c>
      <c r="J467" s="236" t="str">
        <f>IF(J$3="","",IF(COUNTIFS(BD!$A$3:$A$5001,J$3,BD!$B$3:$B$5001,$A$437,BD!$AF$3:$AF$5001,"&lt;&gt;")=0,"",SUMIFS(BD!$AF$3:$AF$5001,BD!$A$3:$A$5001,J$3,BD!$B$3:$B$5001,$A$437)))</f>
        <v/>
      </c>
      <c r="K467" s="236" t="str">
        <f>IF(K$3="","",IF(COUNTIFS(BD!$A$3:$A$5001,K$3,BD!$B$3:$B$5001,$A$437,BD!$AF$3:$AF$5001,"&lt;&gt;")=0,"",SUMIFS(BD!$AF$3:$AF$5001,BD!$A$3:$A$5001,K$3,BD!$B$3:$B$5001,$A$437)))</f>
        <v/>
      </c>
      <c r="L467" s="236" t="str">
        <f>IF(L$3="","",IF(COUNTIFS(BD!$A$3:$A$5001,L$3,BD!$B$3:$B$5001,$A$437,BD!$AF$3:$AF$5001,"&lt;&gt;")=0,"",SUMIFS(BD!$AF$3:$AF$5001,BD!$A$3:$A$5001,L$3,BD!$B$3:$B$5001,$A$437)))</f>
        <v/>
      </c>
      <c r="M467" s="236" t="str">
        <f>IF(M$3="","",IF(COUNTIFS(BD!$A$3:$A$5001,M$3,BD!$B$3:$B$5001,$A$437,BD!$AF$3:$AF$5001,"&lt;&gt;")=0,"",SUMIFS(BD!$AF$3:$AF$5001,BD!$A$3:$A$5001,M$3,BD!$B$3:$B$5001,$A$437)))</f>
        <v/>
      </c>
      <c r="N467" s="236" t="str">
        <f>IF(N$3="","",IF(COUNTIFS(BD!$A$3:$A$5001,N$3,BD!$B$3:$B$5001,$A$437,BD!$AF$3:$AF$5001,"&lt;&gt;")=0,"",SUMIFS(BD!$AF$3:$AF$5001,BD!$A$3:$A$5001,N$3,BD!$B$3:$B$5001,$A$437)))</f>
        <v/>
      </c>
      <c r="O467" s="236" t="str">
        <f>IF(O$3="","",IF(COUNTIFS(BD!$A$3:$A$5001,O$3,BD!$B$3:$B$5001,$A$437,BD!$AF$3:$AF$5001,"&lt;&gt;")=0,"",SUMIFS(BD!$AF$3:$AF$5001,BD!$A$3:$A$5001,O$3,BD!$B$3:$B$5001,$A$437)))</f>
        <v/>
      </c>
      <c r="P467" s="236" t="str">
        <f>IF(P$3="","",IF(COUNTIFS(BD!$A$3:$A$5001,P$3,BD!$B$3:$B$5001,$A$437,BD!$AF$3:$AF$5001,"&lt;&gt;")=0,"",SUMIFS(BD!$AF$3:$AF$5001,BD!$A$3:$A$5001,P$3,BD!$B$3:$B$5001,$A$437)))</f>
        <v/>
      </c>
      <c r="Q467" s="236" t="str">
        <f>IF(Q$3="","",IF(COUNTIFS(BD!$A$3:$A$5001,Q$3,BD!$B$3:$B$5001,$A$437,BD!$AF$3:$AF$5001,"&lt;&gt;")=0,"",SUMIFS(BD!$AF$3:$AF$5001,BD!$A$3:$A$5001,Q$3,BD!$B$3:$B$5001,$A$437)))</f>
        <v/>
      </c>
      <c r="R467" s="236" t="str">
        <f>IF(R$3="","",IF(COUNTIFS(BD!$A$3:$A$5001,R$3,BD!$B$3:$B$5001,$A$437,BD!$AF$3:$AF$5001,"&lt;&gt;")=0,"",SUMIFS(BD!$AF$3:$AF$5001,BD!$A$3:$A$5001,R$3,BD!$B$3:$B$5001,$A$437)))</f>
        <v/>
      </c>
      <c r="S467" s="236" t="str">
        <f>IF(S$3="","",IF(COUNTIFS(BD!$A$3:$A$5001,S$3,BD!$B$3:$B$5001,$A$437,BD!$AF$3:$AF$5001,"&lt;&gt;")=0,"",SUMIFS(BD!$AF$3:$AF$5001,BD!$A$3:$A$5001,S$3,BD!$B$3:$B$5001,$A$437)))</f>
        <v/>
      </c>
      <c r="T467" s="236" t="str">
        <f>IF(T$3="","",IF(COUNTIFS(BD!$A$3:$A$5001,T$3,BD!$B$3:$B$5001,$A$437,BD!$AF$3:$AF$5001,"&lt;&gt;")=0,"",SUMIFS(BD!$AF$3:$AF$5001,BD!$A$3:$A$5001,T$3,BD!$B$3:$B$5001,$A$437)))</f>
        <v/>
      </c>
      <c r="U467" s="236" t="str">
        <f>IF(U$3="","",IF(COUNTIFS(BD!$A$3:$A$5001,U$3,BD!$B$3:$B$5001,$A$437,BD!$AF$3:$AF$5001,"&lt;&gt;")=0,"",SUMIFS(BD!$AF$3:$AF$5001,BD!$A$3:$A$5001,U$3,BD!$B$3:$B$5001,$A$437)))</f>
        <v/>
      </c>
      <c r="V467" s="236" t="str">
        <f>IF(V$3="","",IF(COUNTIFS(BD!$A$3:$A$5001,V$3,BD!$B$3:$B$5001,$A$437,BD!$AF$3:$AF$5001,"&lt;&gt;")=0,"",SUMIFS(BD!$AF$3:$AF$5001,BD!$A$3:$A$5001,V$3,BD!$B$3:$B$5001,$A$437)))</f>
        <v/>
      </c>
      <c r="W467" s="236" t="str">
        <f>IF(W$3="","",IF(COUNTIFS(BD!$A$3:$A$5001,W$3,BD!$B$3:$B$5001,$A$437,BD!$AF$3:$AF$5001,"&lt;&gt;")=0,"",SUMIFS(BD!$AF$3:$AF$5001,BD!$A$3:$A$5001,W$3,BD!$B$3:$B$5001,$A$437)))</f>
        <v/>
      </c>
      <c r="X467" s="236" t="str">
        <f>IF(X$3="","",IF(COUNTIFS(BD!$A$3:$A$5001,X$3,BD!$B$3:$B$5001,$A$437,BD!$AF$3:$AF$5001,"&lt;&gt;")=0,"",SUMIFS(BD!$AF$3:$AF$5001,BD!$A$3:$A$5001,X$3,BD!$B$3:$B$5001,$A$437)))</f>
        <v/>
      </c>
      <c r="Y467" s="236" t="str">
        <f>IF(Y$3="","",IF(COUNTIFS(BD!$A$3:$A$5001,Y$3,BD!$B$3:$B$5001,$A$437,BD!$AF$3:$AF$5001,"&lt;&gt;")=0,"",SUMIFS(BD!$AF$3:$AF$5001,BD!$A$3:$A$5001,Y$3,BD!$B$3:$B$5001,$A$437)))</f>
        <v/>
      </c>
      <c r="Z467" s="236" t="str">
        <f>IF(Z$3="","",IF(COUNTIFS(BD!$A$3:$A$5001,Z$3,BD!$B$3:$B$5001,$A$437,BD!$AF$3:$AF$5001,"&lt;&gt;")=0,"",SUMIFS(BD!$AF$3:$AF$5001,BD!$A$3:$A$5001,Z$3,BD!$B$3:$B$5001,$A$437)))</f>
        <v/>
      </c>
      <c r="AA467" s="236" t="str">
        <f>IF(AA$3="","",IF(COUNTIFS(BD!$A$3:$A$5001,AA$3,BD!$B$3:$B$5001,$A$437,BD!$AF$3:$AF$5001,"&lt;&gt;")=0,"",SUMIFS(BD!$AF$3:$AF$5001,BD!$A$3:$A$5001,AA$3,BD!$B$3:$B$5001,$A$437)))</f>
        <v/>
      </c>
      <c r="AB467" s="236" t="str">
        <f>IF(AB$3="","",IF(COUNTIFS(BD!$A$3:$A$5001,AB$3,BD!$B$3:$B$5001,$A$437,BD!$AF$3:$AF$5001,"&lt;&gt;")=0,"",SUMIFS(BD!$AF$3:$AF$5001,BD!$A$3:$A$5001,AB$3,BD!$B$3:$B$5001,$A$437)))</f>
        <v/>
      </c>
      <c r="AC467" s="236" t="str">
        <f>IF(AC$3="","",IF(COUNTIFS(BD!$A$3:$A$5001,AC$3,BD!$B$3:$B$5001,$A$437,BD!$AF$3:$AF$5001,"&lt;&gt;")=0,"",SUMIFS(BD!$AF$3:$AF$5001,BD!$A$3:$A$5001,AC$3,BD!$B$3:$B$5001,$A$437)))</f>
        <v/>
      </c>
      <c r="AD467" s="236" t="str">
        <f>IF(AD$3="","",IF(COUNTIFS(BD!$A$3:$A$5001,AD$3,BD!$B$3:$B$5001,$A$437,BD!$AF$3:$AF$5001,"&lt;&gt;")=0,"",SUMIFS(BD!$AF$3:$AF$5001,BD!$A$3:$A$5001,AD$3,BD!$B$3:$B$5001,$A$437)))</f>
        <v/>
      </c>
      <c r="AE467" s="236" t="str">
        <f>IF(AE$3="","",IF(COUNTIFS(BD!$A$3:$A$5001,AE$3,BD!$B$3:$B$5001,$A$437,BD!$AF$3:$AF$5001,"&lt;&gt;")=0,"",SUMIFS(BD!$AF$3:$AF$5001,BD!$A$3:$A$5001,AE$3,BD!$B$3:$B$5001,$A$437)))</f>
        <v/>
      </c>
      <c r="AF467" s="236" t="str">
        <f>IF(AF$3="","",IF(COUNTIFS(BD!$A$3:$A$5001,AF$3,BD!$B$3:$B$5001,$A$437,BD!$AF$3:$AF$5001,"&lt;&gt;")=0,"",SUMIFS(BD!$AF$3:$AF$5001,BD!$A$3:$A$5001,AF$3,BD!$B$3:$B$5001,$A$437)))</f>
        <v/>
      </c>
      <c r="AG467" s="236" t="str">
        <f>IF(AG$3="","",IF(COUNTIFS(BD!$A$3:$A$5001,AG$3,BD!$B$3:$B$5001,$A$437,BD!$AF$3:$AF$5001,"&lt;&gt;")=0,"",SUMIFS(BD!$AF$3:$AF$5001,BD!$A$3:$A$5001,AG$3,BD!$B$3:$B$5001,$A$437)))</f>
        <v/>
      </c>
      <c r="AH467" s="236" t="str">
        <f>IF(AH$3="","",IF(COUNTIFS(BD!$A$3:$A$5001,AH$3,BD!$B$3:$B$5001,$A$437,BD!$AF$3:$AF$5001,"&lt;&gt;")=0,"",SUMIFS(BD!$AF$3:$AF$5001,BD!$A$3:$A$5001,AH$3,BD!$B$3:$B$5001,$A$437)))</f>
        <v/>
      </c>
      <c r="AI467" s="236" t="str">
        <f>IF(AI$3="","",IF(COUNTIFS(BD!$A$3:$A$5001,AI$3,BD!$B$3:$B$5001,$A$437,BD!$AF$3:$AF$5001,"&lt;&gt;")=0,"",SUMIFS(BD!$AF$3:$AF$5001,BD!$A$3:$A$5001,AI$3,BD!$B$3:$B$5001,$A$437)))</f>
        <v/>
      </c>
      <c r="AJ467" s="237" t="str">
        <f>IF(AJ$3="","",IF(COUNTIFS(BD!$A$3:$A$5001,AJ$3,BD!$B$3:$B$5001,$A$437,BD!$AF$3:$AF$5001,"&lt;&gt;")=0,"",SUMIFS(BD!$AF$3:$AF$5001,BD!$A$3:$A$5001,AJ$3,BD!$B$3:$B$5001,$A$437)))</f>
        <v/>
      </c>
      <c r="AK467" s="238" t="str">
        <f>IF(COUNT(F467:AJ467)=0,"",SUM(F467:AJ467))</f>
        <v/>
      </c>
    </row>
    <row r="468" ht="15.75" customHeight="1" hidden="1">
      <c r="A468" s="261"/>
      <c r="B468" s="258"/>
      <c r="C468" s="232" t="inlineStr">
        <is>
          <t xml:space="preserve">Acidentes CAF</t>
        </is>
      </c>
      <c r="D468" s="233" t="str">
        <f>IFERROR(1/(1/INDEX(BD!$AL$54:$BF$54,MATCH($A$437,BD!$AL$22:$BF$22,0))),"")</f>
        <v/>
      </c>
      <c r="E468" s="234"/>
      <c r="F468" s="235" t="str">
        <f>IF(F$3="","",IF(COUNTIFS(BD!$A$3:$A$5001,F$3,BD!$B$3:$B$5001,$A$437,BD!$AG$3:$AG$5001,"&lt;&gt;")=0,"",SUMIFS(BD!$AG$3:$AG$5001,BD!$A$3:$A$5001,F$3,BD!$B$3:$B$5001,$A$437)))</f>
        <v/>
      </c>
      <c r="G468" s="236" t="str">
        <f>IF(G$3="","",IF(COUNTIFS(BD!$A$3:$A$5001,G$3,BD!$B$3:$B$5001,$A$437,BD!$AG$3:$AG$5001,"&lt;&gt;")=0,"",SUMIFS(BD!$AG$3:$AG$5001,BD!$A$3:$A$5001,G$3,BD!$B$3:$B$5001,$A$437)))</f>
        <v/>
      </c>
      <c r="H468" s="236" t="str">
        <f>IF(H$3="","",IF(COUNTIFS(BD!$A$3:$A$5001,H$3,BD!$B$3:$B$5001,$A$437,BD!$AG$3:$AG$5001,"&lt;&gt;")=0,"",SUMIFS(BD!$AG$3:$AG$5001,BD!$A$3:$A$5001,H$3,BD!$B$3:$B$5001,$A$437)))</f>
        <v/>
      </c>
      <c r="I468" s="236" t="str">
        <f>IF(I$3="","",IF(COUNTIFS(BD!$A$3:$A$5001,I$3,BD!$B$3:$B$5001,$A$437,BD!$AG$3:$AG$5001,"&lt;&gt;")=0,"",SUMIFS(BD!$AG$3:$AG$5001,BD!$A$3:$A$5001,I$3,BD!$B$3:$B$5001,$A$437)))</f>
        <v/>
      </c>
      <c r="J468" s="236" t="str">
        <f>IF(J$3="","",IF(COUNTIFS(BD!$A$3:$A$5001,J$3,BD!$B$3:$B$5001,$A$437,BD!$AG$3:$AG$5001,"&lt;&gt;")=0,"",SUMIFS(BD!$AG$3:$AG$5001,BD!$A$3:$A$5001,J$3,BD!$B$3:$B$5001,$A$437)))</f>
        <v/>
      </c>
      <c r="K468" s="236" t="str">
        <f>IF(K$3="","",IF(COUNTIFS(BD!$A$3:$A$5001,K$3,BD!$B$3:$B$5001,$A$437,BD!$AG$3:$AG$5001,"&lt;&gt;")=0,"",SUMIFS(BD!$AG$3:$AG$5001,BD!$A$3:$A$5001,K$3,BD!$B$3:$B$5001,$A$437)))</f>
        <v/>
      </c>
      <c r="L468" s="236" t="str">
        <f>IF(L$3="","",IF(COUNTIFS(BD!$A$3:$A$5001,L$3,BD!$B$3:$B$5001,$A$437,BD!$AG$3:$AG$5001,"&lt;&gt;")=0,"",SUMIFS(BD!$AG$3:$AG$5001,BD!$A$3:$A$5001,L$3,BD!$B$3:$B$5001,$A$437)))</f>
        <v/>
      </c>
      <c r="M468" s="236" t="str">
        <f>IF(M$3="","",IF(COUNTIFS(BD!$A$3:$A$5001,M$3,BD!$B$3:$B$5001,$A$437,BD!$AG$3:$AG$5001,"&lt;&gt;")=0,"",SUMIFS(BD!$AG$3:$AG$5001,BD!$A$3:$A$5001,M$3,BD!$B$3:$B$5001,$A$437)))</f>
        <v/>
      </c>
      <c r="N468" s="236" t="str">
        <f>IF(N$3="","",IF(COUNTIFS(BD!$A$3:$A$5001,N$3,BD!$B$3:$B$5001,$A$437,BD!$AG$3:$AG$5001,"&lt;&gt;")=0,"",SUMIFS(BD!$AG$3:$AG$5001,BD!$A$3:$A$5001,N$3,BD!$B$3:$B$5001,$A$437)))</f>
        <v/>
      </c>
      <c r="O468" s="236" t="str">
        <f>IF(O$3="","",IF(COUNTIFS(BD!$A$3:$A$5001,O$3,BD!$B$3:$B$5001,$A$437,BD!$AG$3:$AG$5001,"&lt;&gt;")=0,"",SUMIFS(BD!$AG$3:$AG$5001,BD!$A$3:$A$5001,O$3,BD!$B$3:$B$5001,$A$437)))</f>
        <v/>
      </c>
      <c r="P468" s="236" t="str">
        <f>IF(P$3="","",IF(COUNTIFS(BD!$A$3:$A$5001,P$3,BD!$B$3:$B$5001,$A$437,BD!$AG$3:$AG$5001,"&lt;&gt;")=0,"",SUMIFS(BD!$AG$3:$AG$5001,BD!$A$3:$A$5001,P$3,BD!$B$3:$B$5001,$A$437)))</f>
        <v/>
      </c>
      <c r="Q468" s="236" t="str">
        <f>IF(Q$3="","",IF(COUNTIFS(BD!$A$3:$A$5001,Q$3,BD!$B$3:$B$5001,$A$437,BD!$AG$3:$AG$5001,"&lt;&gt;")=0,"",SUMIFS(BD!$AG$3:$AG$5001,BD!$A$3:$A$5001,Q$3,BD!$B$3:$B$5001,$A$437)))</f>
        <v/>
      </c>
      <c r="R468" s="236" t="str">
        <f>IF(R$3="","",IF(COUNTIFS(BD!$A$3:$A$5001,R$3,BD!$B$3:$B$5001,$A$437,BD!$AG$3:$AG$5001,"&lt;&gt;")=0,"",SUMIFS(BD!$AG$3:$AG$5001,BD!$A$3:$A$5001,R$3,BD!$B$3:$B$5001,$A$437)))</f>
        <v/>
      </c>
      <c r="S468" s="236" t="str">
        <f>IF(S$3="","",IF(COUNTIFS(BD!$A$3:$A$5001,S$3,BD!$B$3:$B$5001,$A$437,BD!$AG$3:$AG$5001,"&lt;&gt;")=0,"",SUMIFS(BD!$AG$3:$AG$5001,BD!$A$3:$A$5001,S$3,BD!$B$3:$B$5001,$A$437)))</f>
        <v/>
      </c>
      <c r="T468" s="236" t="str">
        <f>IF(T$3="","",IF(COUNTIFS(BD!$A$3:$A$5001,T$3,BD!$B$3:$B$5001,$A$437,BD!$AG$3:$AG$5001,"&lt;&gt;")=0,"",SUMIFS(BD!$AG$3:$AG$5001,BD!$A$3:$A$5001,T$3,BD!$B$3:$B$5001,$A$437)))</f>
        <v/>
      </c>
      <c r="U468" s="236" t="str">
        <f>IF(U$3="","",IF(COUNTIFS(BD!$A$3:$A$5001,U$3,BD!$B$3:$B$5001,$A$437,BD!$AG$3:$AG$5001,"&lt;&gt;")=0,"",SUMIFS(BD!$AG$3:$AG$5001,BD!$A$3:$A$5001,U$3,BD!$B$3:$B$5001,$A$437)))</f>
        <v/>
      </c>
      <c r="V468" s="236" t="str">
        <f>IF(V$3="","",IF(COUNTIFS(BD!$A$3:$A$5001,V$3,BD!$B$3:$B$5001,$A$437,BD!$AG$3:$AG$5001,"&lt;&gt;")=0,"",SUMIFS(BD!$AG$3:$AG$5001,BD!$A$3:$A$5001,V$3,BD!$B$3:$B$5001,$A$437)))</f>
        <v/>
      </c>
      <c r="W468" s="236" t="str">
        <f>IF(W$3="","",IF(COUNTIFS(BD!$A$3:$A$5001,W$3,BD!$B$3:$B$5001,$A$437,BD!$AG$3:$AG$5001,"&lt;&gt;")=0,"",SUMIFS(BD!$AG$3:$AG$5001,BD!$A$3:$A$5001,W$3,BD!$B$3:$B$5001,$A$437)))</f>
        <v/>
      </c>
      <c r="X468" s="236" t="str">
        <f>IF(X$3="","",IF(COUNTIFS(BD!$A$3:$A$5001,X$3,BD!$B$3:$B$5001,$A$437,BD!$AG$3:$AG$5001,"&lt;&gt;")=0,"",SUMIFS(BD!$AG$3:$AG$5001,BD!$A$3:$A$5001,X$3,BD!$B$3:$B$5001,$A$437)))</f>
        <v/>
      </c>
      <c r="Y468" s="236" t="str">
        <f>IF(Y$3="","",IF(COUNTIFS(BD!$A$3:$A$5001,Y$3,BD!$B$3:$B$5001,$A$437,BD!$AG$3:$AG$5001,"&lt;&gt;")=0,"",SUMIFS(BD!$AG$3:$AG$5001,BD!$A$3:$A$5001,Y$3,BD!$B$3:$B$5001,$A$437)))</f>
        <v/>
      </c>
      <c r="Z468" s="236" t="str">
        <f>IF(Z$3="","",IF(COUNTIFS(BD!$A$3:$A$5001,Z$3,BD!$B$3:$B$5001,$A$437,BD!$AG$3:$AG$5001,"&lt;&gt;")=0,"",SUMIFS(BD!$AG$3:$AG$5001,BD!$A$3:$A$5001,Z$3,BD!$B$3:$B$5001,$A$437)))</f>
        <v/>
      </c>
      <c r="AA468" s="236" t="str">
        <f>IF(AA$3="","",IF(COUNTIFS(BD!$A$3:$A$5001,AA$3,BD!$B$3:$B$5001,$A$437,BD!$AG$3:$AG$5001,"&lt;&gt;")=0,"",SUMIFS(BD!$AG$3:$AG$5001,BD!$A$3:$A$5001,AA$3,BD!$B$3:$B$5001,$A$437)))</f>
        <v/>
      </c>
      <c r="AB468" s="236" t="str">
        <f>IF(AB$3="","",IF(COUNTIFS(BD!$A$3:$A$5001,AB$3,BD!$B$3:$B$5001,$A$437,BD!$AG$3:$AG$5001,"&lt;&gt;")=0,"",SUMIFS(BD!$AG$3:$AG$5001,BD!$A$3:$A$5001,AB$3,BD!$B$3:$B$5001,$A$437)))</f>
        <v/>
      </c>
      <c r="AC468" s="236" t="str">
        <f>IF(AC$3="","",IF(COUNTIFS(BD!$A$3:$A$5001,AC$3,BD!$B$3:$B$5001,$A$437,BD!$AG$3:$AG$5001,"&lt;&gt;")=0,"",SUMIFS(BD!$AG$3:$AG$5001,BD!$A$3:$A$5001,AC$3,BD!$B$3:$B$5001,$A$437)))</f>
        <v/>
      </c>
      <c r="AD468" s="236" t="str">
        <f>IF(AD$3="","",IF(COUNTIFS(BD!$A$3:$A$5001,AD$3,BD!$B$3:$B$5001,$A$437,BD!$AG$3:$AG$5001,"&lt;&gt;")=0,"",SUMIFS(BD!$AG$3:$AG$5001,BD!$A$3:$A$5001,AD$3,BD!$B$3:$B$5001,$A$437)))</f>
        <v/>
      </c>
      <c r="AE468" s="236" t="str">
        <f>IF(AE$3="","",IF(COUNTIFS(BD!$A$3:$A$5001,AE$3,BD!$B$3:$B$5001,$A$437,BD!$AG$3:$AG$5001,"&lt;&gt;")=0,"",SUMIFS(BD!$AG$3:$AG$5001,BD!$A$3:$A$5001,AE$3,BD!$B$3:$B$5001,$A$437)))</f>
        <v/>
      </c>
      <c r="AF468" s="236" t="str">
        <f>IF(AF$3="","",IF(COUNTIFS(BD!$A$3:$A$5001,AF$3,BD!$B$3:$B$5001,$A$437,BD!$AG$3:$AG$5001,"&lt;&gt;")=0,"",SUMIFS(BD!$AG$3:$AG$5001,BD!$A$3:$A$5001,AF$3,BD!$B$3:$B$5001,$A$437)))</f>
        <v/>
      </c>
      <c r="AG468" s="236" t="str">
        <f>IF(AG$3="","",IF(COUNTIFS(BD!$A$3:$A$5001,AG$3,BD!$B$3:$B$5001,$A$437,BD!$AG$3:$AG$5001,"&lt;&gt;")=0,"",SUMIFS(BD!$AG$3:$AG$5001,BD!$A$3:$A$5001,AG$3,BD!$B$3:$B$5001,$A$437)))</f>
        <v/>
      </c>
      <c r="AH468" s="236" t="str">
        <f>IF(AH$3="","",IF(COUNTIFS(BD!$A$3:$A$5001,AH$3,BD!$B$3:$B$5001,$A$437,BD!$AG$3:$AG$5001,"&lt;&gt;")=0,"",SUMIFS(BD!$AG$3:$AG$5001,BD!$A$3:$A$5001,AH$3,BD!$B$3:$B$5001,$A$437)))</f>
        <v/>
      </c>
      <c r="AI468" s="236" t="str">
        <f>IF(AI$3="","",IF(COUNTIFS(BD!$A$3:$A$5001,AI$3,BD!$B$3:$B$5001,$A$437,BD!$AG$3:$AG$5001,"&lt;&gt;")=0,"",SUMIFS(BD!$AG$3:$AG$5001,BD!$A$3:$A$5001,AI$3,BD!$B$3:$B$5001,$A$437)))</f>
        <v/>
      </c>
      <c r="AJ468" s="237" t="str">
        <f>IF(AJ$3="","",IF(COUNTIFS(BD!$A$3:$A$5001,AJ$3,BD!$B$3:$B$5001,$A$437,BD!$AG$3:$AG$5001,"&lt;&gt;")=0,"",SUMIFS(BD!$AG$3:$AG$5001,BD!$A$3:$A$5001,AJ$3,BD!$B$3:$B$5001,$A$437)))</f>
        <v/>
      </c>
      <c r="AK468" s="238" t="str">
        <f>IF(COUNT(F468:AJ468)=0,"",SUM(F468:AJ468))</f>
        <v/>
      </c>
    </row>
    <row r="469" ht="15.75" customHeight="1" hidden="1">
      <c r="A469" s="262"/>
      <c r="B469" s="259"/>
      <c r="C469" s="243" t="inlineStr">
        <is>
          <t xml:space="preserve">Acidentes SAF</t>
        </is>
      </c>
      <c r="D469" s="244" t="str">
        <f>IFERROR(1/(1/INDEX(BD!$AL$55:$BF$55,MATCH($A$437,BD!$AL$22:$BF$22,0))),"")</f>
        <v/>
      </c>
      <c r="E469" s="245"/>
      <c r="F469" s="246" t="str">
        <f>IF(F$3="","",IF(COUNTIFS(BD!$A$3:$A$5001,F$3,BD!$B$3:$B$5001,$A$437,BD!$AH$3:$AH$5001,"&lt;&gt;")=0,"",SUMIFS(BD!$AH$3:$AH$5001,BD!$A$3:$A$5001,F$3,BD!$B$3:$B$5001,$A$437)))</f>
        <v/>
      </c>
      <c r="G469" s="247" t="str">
        <f>IF(G$3="","",IF(COUNTIFS(BD!$A$3:$A$5001,G$3,BD!$B$3:$B$5001,$A$437,BD!$AH$3:$AH$5001,"&lt;&gt;")=0,"",SUMIFS(BD!$AH$3:$AH$5001,BD!$A$3:$A$5001,G$3,BD!$B$3:$B$5001,$A$437)))</f>
        <v/>
      </c>
      <c r="H469" s="247" t="str">
        <f>IF(H$3="","",IF(COUNTIFS(BD!$A$3:$A$5001,H$3,BD!$B$3:$B$5001,$A$437,BD!$AH$3:$AH$5001,"&lt;&gt;")=0,"",SUMIFS(BD!$AH$3:$AH$5001,BD!$A$3:$A$5001,H$3,BD!$B$3:$B$5001,$A$437)))</f>
        <v/>
      </c>
      <c r="I469" s="247" t="str">
        <f>IF(I$3="","",IF(COUNTIFS(BD!$A$3:$A$5001,I$3,BD!$B$3:$B$5001,$A$437,BD!$AH$3:$AH$5001,"&lt;&gt;")=0,"",SUMIFS(BD!$AH$3:$AH$5001,BD!$A$3:$A$5001,I$3,BD!$B$3:$B$5001,$A$437)))</f>
        <v/>
      </c>
      <c r="J469" s="247" t="str">
        <f>IF(J$3="","",IF(COUNTIFS(BD!$A$3:$A$5001,J$3,BD!$B$3:$B$5001,$A$437,BD!$AH$3:$AH$5001,"&lt;&gt;")=0,"",SUMIFS(BD!$AH$3:$AH$5001,BD!$A$3:$A$5001,J$3,BD!$B$3:$B$5001,$A$437)))</f>
        <v/>
      </c>
      <c r="K469" s="247" t="str">
        <f>IF(K$3="","",IF(COUNTIFS(BD!$A$3:$A$5001,K$3,BD!$B$3:$B$5001,$A$437,BD!$AH$3:$AH$5001,"&lt;&gt;")=0,"",SUMIFS(BD!$AH$3:$AH$5001,BD!$A$3:$A$5001,K$3,BD!$B$3:$B$5001,$A$437)))</f>
        <v/>
      </c>
      <c r="L469" s="247" t="str">
        <f>IF(L$3="","",IF(COUNTIFS(BD!$A$3:$A$5001,L$3,BD!$B$3:$B$5001,$A$437,BD!$AH$3:$AH$5001,"&lt;&gt;")=0,"",SUMIFS(BD!$AH$3:$AH$5001,BD!$A$3:$A$5001,L$3,BD!$B$3:$B$5001,$A$437)))</f>
        <v/>
      </c>
      <c r="M469" s="247" t="str">
        <f>IF(M$3="","",IF(COUNTIFS(BD!$A$3:$A$5001,M$3,BD!$B$3:$B$5001,$A$437,BD!$AH$3:$AH$5001,"&lt;&gt;")=0,"",SUMIFS(BD!$AH$3:$AH$5001,BD!$A$3:$A$5001,M$3,BD!$B$3:$B$5001,$A$437)))</f>
        <v/>
      </c>
      <c r="N469" s="247" t="str">
        <f>IF(N$3="","",IF(COUNTIFS(BD!$A$3:$A$5001,N$3,BD!$B$3:$B$5001,$A$437,BD!$AH$3:$AH$5001,"&lt;&gt;")=0,"",SUMIFS(BD!$AH$3:$AH$5001,BD!$A$3:$A$5001,N$3,BD!$B$3:$B$5001,$A$437)))</f>
        <v/>
      </c>
      <c r="O469" s="247" t="str">
        <f>IF(O$3="","",IF(COUNTIFS(BD!$A$3:$A$5001,O$3,BD!$B$3:$B$5001,$A$437,BD!$AH$3:$AH$5001,"&lt;&gt;")=0,"",SUMIFS(BD!$AH$3:$AH$5001,BD!$A$3:$A$5001,O$3,BD!$B$3:$B$5001,$A$437)))</f>
        <v/>
      </c>
      <c r="P469" s="247" t="str">
        <f>IF(P$3="","",IF(COUNTIFS(BD!$A$3:$A$5001,P$3,BD!$B$3:$B$5001,$A$437,BD!$AH$3:$AH$5001,"&lt;&gt;")=0,"",SUMIFS(BD!$AH$3:$AH$5001,BD!$A$3:$A$5001,P$3,BD!$B$3:$B$5001,$A$437)))</f>
        <v/>
      </c>
      <c r="Q469" s="247" t="str">
        <f>IF(Q$3="","",IF(COUNTIFS(BD!$A$3:$A$5001,Q$3,BD!$B$3:$B$5001,$A$437,BD!$AH$3:$AH$5001,"&lt;&gt;")=0,"",SUMIFS(BD!$AH$3:$AH$5001,BD!$A$3:$A$5001,Q$3,BD!$B$3:$B$5001,$A$437)))</f>
        <v/>
      </c>
      <c r="R469" s="247" t="str">
        <f>IF(R$3="","",IF(COUNTIFS(BD!$A$3:$A$5001,R$3,BD!$B$3:$B$5001,$A$437,BD!$AH$3:$AH$5001,"&lt;&gt;")=0,"",SUMIFS(BD!$AH$3:$AH$5001,BD!$A$3:$A$5001,R$3,BD!$B$3:$B$5001,$A$437)))</f>
        <v/>
      </c>
      <c r="S469" s="247" t="str">
        <f>IF(S$3="","",IF(COUNTIFS(BD!$A$3:$A$5001,S$3,BD!$B$3:$B$5001,$A$437,BD!$AH$3:$AH$5001,"&lt;&gt;")=0,"",SUMIFS(BD!$AH$3:$AH$5001,BD!$A$3:$A$5001,S$3,BD!$B$3:$B$5001,$A$437)))</f>
        <v/>
      </c>
      <c r="T469" s="247" t="str">
        <f>IF(T$3="","",IF(COUNTIFS(BD!$A$3:$A$5001,T$3,BD!$B$3:$B$5001,$A$437,BD!$AH$3:$AH$5001,"&lt;&gt;")=0,"",SUMIFS(BD!$AH$3:$AH$5001,BD!$A$3:$A$5001,T$3,BD!$B$3:$B$5001,$A$437)))</f>
        <v/>
      </c>
      <c r="U469" s="247" t="str">
        <f>IF(U$3="","",IF(COUNTIFS(BD!$A$3:$A$5001,U$3,BD!$B$3:$B$5001,$A$437,BD!$AH$3:$AH$5001,"&lt;&gt;")=0,"",SUMIFS(BD!$AH$3:$AH$5001,BD!$A$3:$A$5001,U$3,BD!$B$3:$B$5001,$A$437)))</f>
        <v/>
      </c>
      <c r="V469" s="247" t="str">
        <f>IF(V$3="","",IF(COUNTIFS(BD!$A$3:$A$5001,V$3,BD!$B$3:$B$5001,$A$437,BD!$AH$3:$AH$5001,"&lt;&gt;")=0,"",SUMIFS(BD!$AH$3:$AH$5001,BD!$A$3:$A$5001,V$3,BD!$B$3:$B$5001,$A$437)))</f>
        <v/>
      </c>
      <c r="W469" s="247" t="str">
        <f>IF(W$3="","",IF(COUNTIFS(BD!$A$3:$A$5001,W$3,BD!$B$3:$B$5001,$A$437,BD!$AH$3:$AH$5001,"&lt;&gt;")=0,"",SUMIFS(BD!$AH$3:$AH$5001,BD!$A$3:$A$5001,W$3,BD!$B$3:$B$5001,$A$437)))</f>
        <v/>
      </c>
      <c r="X469" s="247" t="str">
        <f>IF(X$3="","",IF(COUNTIFS(BD!$A$3:$A$5001,X$3,BD!$B$3:$B$5001,$A$437,BD!$AH$3:$AH$5001,"&lt;&gt;")=0,"",SUMIFS(BD!$AH$3:$AH$5001,BD!$A$3:$A$5001,X$3,BD!$B$3:$B$5001,$A$437)))</f>
        <v/>
      </c>
      <c r="Y469" s="247" t="str">
        <f>IF(Y$3="","",IF(COUNTIFS(BD!$A$3:$A$5001,Y$3,BD!$B$3:$B$5001,$A$437,BD!$AH$3:$AH$5001,"&lt;&gt;")=0,"",SUMIFS(BD!$AH$3:$AH$5001,BD!$A$3:$A$5001,Y$3,BD!$B$3:$B$5001,$A$437)))</f>
        <v/>
      </c>
      <c r="Z469" s="247" t="str">
        <f>IF(Z$3="","",IF(COUNTIFS(BD!$A$3:$A$5001,Z$3,BD!$B$3:$B$5001,$A$437,BD!$AH$3:$AH$5001,"&lt;&gt;")=0,"",SUMIFS(BD!$AH$3:$AH$5001,BD!$A$3:$A$5001,Z$3,BD!$B$3:$B$5001,$A$437)))</f>
        <v/>
      </c>
      <c r="AA469" s="247" t="str">
        <f>IF(AA$3="","",IF(COUNTIFS(BD!$A$3:$A$5001,AA$3,BD!$B$3:$B$5001,$A$437,BD!$AH$3:$AH$5001,"&lt;&gt;")=0,"",SUMIFS(BD!$AH$3:$AH$5001,BD!$A$3:$A$5001,AA$3,BD!$B$3:$B$5001,$A$437)))</f>
        <v/>
      </c>
      <c r="AB469" s="247" t="str">
        <f>IF(AB$3="","",IF(COUNTIFS(BD!$A$3:$A$5001,AB$3,BD!$B$3:$B$5001,$A$437,BD!$AH$3:$AH$5001,"&lt;&gt;")=0,"",SUMIFS(BD!$AH$3:$AH$5001,BD!$A$3:$A$5001,AB$3,BD!$B$3:$B$5001,$A$437)))</f>
        <v/>
      </c>
      <c r="AC469" s="247" t="str">
        <f>IF(AC$3="","",IF(COUNTIFS(BD!$A$3:$A$5001,AC$3,BD!$B$3:$B$5001,$A$437,BD!$AH$3:$AH$5001,"&lt;&gt;")=0,"",SUMIFS(BD!$AH$3:$AH$5001,BD!$A$3:$A$5001,AC$3,BD!$B$3:$B$5001,$A$437)))</f>
        <v/>
      </c>
      <c r="AD469" s="247" t="str">
        <f>IF(AD$3="","",IF(COUNTIFS(BD!$A$3:$A$5001,AD$3,BD!$B$3:$B$5001,$A$437,BD!$AH$3:$AH$5001,"&lt;&gt;")=0,"",SUMIFS(BD!$AH$3:$AH$5001,BD!$A$3:$A$5001,AD$3,BD!$B$3:$B$5001,$A$437)))</f>
        <v/>
      </c>
      <c r="AE469" s="247" t="str">
        <f>IF(AE$3="","",IF(COUNTIFS(BD!$A$3:$A$5001,AE$3,BD!$B$3:$B$5001,$A$437,BD!$AH$3:$AH$5001,"&lt;&gt;")=0,"",SUMIFS(BD!$AH$3:$AH$5001,BD!$A$3:$A$5001,AE$3,BD!$B$3:$B$5001,$A$437)))</f>
        <v/>
      </c>
      <c r="AF469" s="247" t="str">
        <f>IF(AF$3="","",IF(COUNTIFS(BD!$A$3:$A$5001,AF$3,BD!$B$3:$B$5001,$A$437,BD!$AH$3:$AH$5001,"&lt;&gt;")=0,"",SUMIFS(BD!$AH$3:$AH$5001,BD!$A$3:$A$5001,AF$3,BD!$B$3:$B$5001,$A$437)))</f>
        <v/>
      </c>
      <c r="AG469" s="247" t="str">
        <f>IF(AG$3="","",IF(COUNTIFS(BD!$A$3:$A$5001,AG$3,BD!$B$3:$B$5001,$A$437,BD!$AH$3:$AH$5001,"&lt;&gt;")=0,"",SUMIFS(BD!$AH$3:$AH$5001,BD!$A$3:$A$5001,AG$3,BD!$B$3:$B$5001,$A$437)))</f>
        <v/>
      </c>
      <c r="AH469" s="247" t="str">
        <f>IF(AH$3="","",IF(COUNTIFS(BD!$A$3:$A$5001,AH$3,BD!$B$3:$B$5001,$A$437,BD!$AH$3:$AH$5001,"&lt;&gt;")=0,"",SUMIFS(BD!$AH$3:$AH$5001,BD!$A$3:$A$5001,AH$3,BD!$B$3:$B$5001,$A$437)))</f>
        <v/>
      </c>
      <c r="AI469" s="247" t="str">
        <f>IF(AI$3="","",IF(COUNTIFS(BD!$A$3:$A$5001,AI$3,BD!$B$3:$B$5001,$A$437,BD!$AH$3:$AH$5001,"&lt;&gt;")=0,"",SUMIFS(BD!$AH$3:$AH$5001,BD!$A$3:$A$5001,AI$3,BD!$B$3:$B$5001,$A$437)))</f>
        <v/>
      </c>
      <c r="AJ469" s="248" t="str">
        <f>IF(AJ$3="","",IF(COUNTIFS(BD!$A$3:$A$5001,AJ$3,BD!$B$3:$B$5001,$A$437,BD!$AH$3:$AH$5001,"&lt;&gt;")=0,"",SUMIFS(BD!$AH$3:$AH$5001,BD!$A$3:$A$5001,AJ$3,BD!$B$3:$B$5001,$A$437)))</f>
        <v/>
      </c>
      <c r="AK469" s="244" t="str">
        <f>IF(COUNT(F469:AJ469)=0,"",SUM(F469:AJ469))</f>
        <v/>
      </c>
    </row>
    <row r="471" ht="15.75" customHeight="1" hidden="1">
      <c r="A471" s="260"/>
      <c r="B471" s="249" t="inlineStr">
        <is>
          <t xml:space="preserve">IN</t>
        </is>
      </c>
      <c r="C471" s="168" t="inlineStr">
        <is>
          <t xml:space="preserve">Veículos Recebidos</t>
        </is>
      </c>
      <c r="D471" s="169" t="str">
        <f>IFERROR(1/(1/INDEX(BD!$AL$23:$BF$23,MATCH($A$471,BD!$AL$22:$BF$22,0))),"")</f>
        <v/>
      </c>
      <c r="E471" s="170"/>
      <c r="F471" s="171" t="str">
        <f>IF(F$3="","",IF(COUNTIFS(BD!$A$3:$A$5001,F$3,BD!$B$3:$B$5001,$A$471,BD!$C$3:$C$5001,"&lt;&gt;")=0,"",SUMIFS(BD!$C$3:$C$5001,BD!$A$3:$A$5001,F$3,BD!$B$3:$B$5001,$A$471)))</f>
        <v/>
      </c>
      <c r="G471" s="172" t="str">
        <f>IF(G$3="","",IF(COUNTIFS(BD!$A$3:$A$5001,G$3,BD!$B$3:$B$5001,$A$471,BD!$C$3:$C$5001,"&lt;&gt;")=0,"",SUMIFS(BD!$C$3:$C$5001,BD!$A$3:$A$5001,G$3,BD!$B$3:$B$5001,$A$471)))</f>
        <v/>
      </c>
      <c r="H471" s="172" t="str">
        <f>IF(H$3="","",IF(COUNTIFS(BD!$A$3:$A$5001,H$3,BD!$B$3:$B$5001,$A$471,BD!$C$3:$C$5001,"&lt;&gt;")=0,"",SUMIFS(BD!$C$3:$C$5001,BD!$A$3:$A$5001,H$3,BD!$B$3:$B$5001,$A$471)))</f>
        <v/>
      </c>
      <c r="I471" s="172" t="str">
        <f>IF(I$3="","",IF(COUNTIFS(BD!$A$3:$A$5001,I$3,BD!$B$3:$B$5001,$A$471,BD!$C$3:$C$5001,"&lt;&gt;")=0,"",SUMIFS(BD!$C$3:$C$5001,BD!$A$3:$A$5001,I$3,BD!$B$3:$B$5001,$A$471)))</f>
        <v/>
      </c>
      <c r="J471" s="172" t="str">
        <f>IF(J$3="","",IF(COUNTIFS(BD!$A$3:$A$5001,J$3,BD!$B$3:$B$5001,$A$471,BD!$C$3:$C$5001,"&lt;&gt;")=0,"",SUMIFS(BD!$C$3:$C$5001,BD!$A$3:$A$5001,J$3,BD!$B$3:$B$5001,$A$471)))</f>
        <v/>
      </c>
      <c r="K471" s="172" t="str">
        <f>IF(K$3="","",IF(COUNTIFS(BD!$A$3:$A$5001,K$3,BD!$B$3:$B$5001,$A$471,BD!$C$3:$C$5001,"&lt;&gt;")=0,"",SUMIFS(BD!$C$3:$C$5001,BD!$A$3:$A$5001,K$3,BD!$B$3:$B$5001,$A$471)))</f>
        <v/>
      </c>
      <c r="L471" s="172" t="str">
        <f>IF(L$3="","",IF(COUNTIFS(BD!$A$3:$A$5001,L$3,BD!$B$3:$B$5001,$A$471,BD!$C$3:$C$5001,"&lt;&gt;")=0,"",SUMIFS(BD!$C$3:$C$5001,BD!$A$3:$A$5001,L$3,BD!$B$3:$B$5001,$A$471)))</f>
        <v/>
      </c>
      <c r="M471" s="172" t="str">
        <f>IF(M$3="","",IF(COUNTIFS(BD!$A$3:$A$5001,M$3,BD!$B$3:$B$5001,$A$471,BD!$C$3:$C$5001,"&lt;&gt;")=0,"",SUMIFS(BD!$C$3:$C$5001,BD!$A$3:$A$5001,M$3,BD!$B$3:$B$5001,$A$471)))</f>
        <v/>
      </c>
      <c r="N471" s="172" t="str">
        <f>IF(N$3="","",IF(COUNTIFS(BD!$A$3:$A$5001,N$3,BD!$B$3:$B$5001,$A$471,BD!$C$3:$C$5001,"&lt;&gt;")=0,"",SUMIFS(BD!$C$3:$C$5001,BD!$A$3:$A$5001,N$3,BD!$B$3:$B$5001,$A$471)))</f>
        <v/>
      </c>
      <c r="O471" s="172" t="str">
        <f>IF(O$3="","",IF(COUNTIFS(BD!$A$3:$A$5001,O$3,BD!$B$3:$B$5001,$A$471,BD!$C$3:$C$5001,"&lt;&gt;")=0,"",SUMIFS(BD!$C$3:$C$5001,BD!$A$3:$A$5001,O$3,BD!$B$3:$B$5001,$A$471)))</f>
        <v/>
      </c>
      <c r="P471" s="172" t="str">
        <f>IF(P$3="","",IF(COUNTIFS(BD!$A$3:$A$5001,P$3,BD!$B$3:$B$5001,$A$471,BD!$C$3:$C$5001,"&lt;&gt;")=0,"",SUMIFS(BD!$C$3:$C$5001,BD!$A$3:$A$5001,P$3,BD!$B$3:$B$5001,$A$471)))</f>
        <v/>
      </c>
      <c r="Q471" s="172" t="str">
        <f>IF(Q$3="","",IF(COUNTIFS(BD!$A$3:$A$5001,Q$3,BD!$B$3:$B$5001,$A$471,BD!$C$3:$C$5001,"&lt;&gt;")=0,"",SUMIFS(BD!$C$3:$C$5001,BD!$A$3:$A$5001,Q$3,BD!$B$3:$B$5001,$A$471)))</f>
        <v/>
      </c>
      <c r="R471" s="172" t="str">
        <f>IF(R$3="","",IF(COUNTIFS(BD!$A$3:$A$5001,R$3,BD!$B$3:$B$5001,$A$471,BD!$C$3:$C$5001,"&lt;&gt;")=0,"",SUMIFS(BD!$C$3:$C$5001,BD!$A$3:$A$5001,R$3,BD!$B$3:$B$5001,$A$471)))</f>
        <v/>
      </c>
      <c r="S471" s="172" t="str">
        <f>IF(S$3="","",IF(COUNTIFS(BD!$A$3:$A$5001,S$3,BD!$B$3:$B$5001,$A$471,BD!$C$3:$C$5001,"&lt;&gt;")=0,"",SUMIFS(BD!$C$3:$C$5001,BD!$A$3:$A$5001,S$3,BD!$B$3:$B$5001,$A$471)))</f>
        <v/>
      </c>
      <c r="T471" s="172" t="str">
        <f>IF(T$3="","",IF(COUNTIFS(BD!$A$3:$A$5001,T$3,BD!$B$3:$B$5001,$A$471,BD!$C$3:$C$5001,"&lt;&gt;")=0,"",SUMIFS(BD!$C$3:$C$5001,BD!$A$3:$A$5001,T$3,BD!$B$3:$B$5001,$A$471)))</f>
        <v/>
      </c>
      <c r="U471" s="172" t="str">
        <f>IF(U$3="","",IF(COUNTIFS(BD!$A$3:$A$5001,U$3,BD!$B$3:$B$5001,$A$471,BD!$C$3:$C$5001,"&lt;&gt;")=0,"",SUMIFS(BD!$C$3:$C$5001,BD!$A$3:$A$5001,U$3,BD!$B$3:$B$5001,$A$471)))</f>
        <v/>
      </c>
      <c r="V471" s="172" t="str">
        <f>IF(V$3="","",IF(COUNTIFS(BD!$A$3:$A$5001,V$3,BD!$B$3:$B$5001,$A$471,BD!$C$3:$C$5001,"&lt;&gt;")=0,"",SUMIFS(BD!$C$3:$C$5001,BD!$A$3:$A$5001,V$3,BD!$B$3:$B$5001,$A$471)))</f>
        <v/>
      </c>
      <c r="W471" s="172" t="str">
        <f>IF(W$3="","",IF(COUNTIFS(BD!$A$3:$A$5001,W$3,BD!$B$3:$B$5001,$A$471,BD!$C$3:$C$5001,"&lt;&gt;")=0,"",SUMIFS(BD!$C$3:$C$5001,BD!$A$3:$A$5001,W$3,BD!$B$3:$B$5001,$A$471)))</f>
        <v/>
      </c>
      <c r="X471" s="172" t="str">
        <f>IF(X$3="","",IF(COUNTIFS(BD!$A$3:$A$5001,X$3,BD!$B$3:$B$5001,$A$471,BD!$C$3:$C$5001,"&lt;&gt;")=0,"",SUMIFS(BD!$C$3:$C$5001,BD!$A$3:$A$5001,X$3,BD!$B$3:$B$5001,$A$471)))</f>
        <v/>
      </c>
      <c r="Y471" s="172" t="str">
        <f>IF(Y$3="","",IF(COUNTIFS(BD!$A$3:$A$5001,Y$3,BD!$B$3:$B$5001,$A$471,BD!$C$3:$C$5001,"&lt;&gt;")=0,"",SUMIFS(BD!$C$3:$C$5001,BD!$A$3:$A$5001,Y$3,BD!$B$3:$B$5001,$A$471)))</f>
        <v/>
      </c>
      <c r="Z471" s="172" t="str">
        <f>IF(Z$3="","",IF(COUNTIFS(BD!$A$3:$A$5001,Z$3,BD!$B$3:$B$5001,$A$471,BD!$C$3:$C$5001,"&lt;&gt;")=0,"",SUMIFS(BD!$C$3:$C$5001,BD!$A$3:$A$5001,Z$3,BD!$B$3:$B$5001,$A$471)))</f>
        <v/>
      </c>
      <c r="AA471" s="172" t="str">
        <f>IF(AA$3="","",IF(COUNTIFS(BD!$A$3:$A$5001,AA$3,BD!$B$3:$B$5001,$A$471,BD!$C$3:$C$5001,"&lt;&gt;")=0,"",SUMIFS(BD!$C$3:$C$5001,BD!$A$3:$A$5001,AA$3,BD!$B$3:$B$5001,$A$471)))</f>
        <v/>
      </c>
      <c r="AB471" s="172" t="str">
        <f>IF(AB$3="","",IF(COUNTIFS(BD!$A$3:$A$5001,AB$3,BD!$B$3:$B$5001,$A$471,BD!$C$3:$C$5001,"&lt;&gt;")=0,"",SUMIFS(BD!$C$3:$C$5001,BD!$A$3:$A$5001,AB$3,BD!$B$3:$B$5001,$A$471)))</f>
        <v/>
      </c>
      <c r="AC471" s="172" t="str">
        <f>IF(AC$3="","",IF(COUNTIFS(BD!$A$3:$A$5001,AC$3,BD!$B$3:$B$5001,$A$471,BD!$C$3:$C$5001,"&lt;&gt;")=0,"",SUMIFS(BD!$C$3:$C$5001,BD!$A$3:$A$5001,AC$3,BD!$B$3:$B$5001,$A$471)))</f>
        <v/>
      </c>
      <c r="AD471" s="172" t="str">
        <f>IF(AD$3="","",IF(COUNTIFS(BD!$A$3:$A$5001,AD$3,BD!$B$3:$B$5001,$A$471,BD!$C$3:$C$5001,"&lt;&gt;")=0,"",SUMIFS(BD!$C$3:$C$5001,BD!$A$3:$A$5001,AD$3,BD!$B$3:$B$5001,$A$471)))</f>
        <v/>
      </c>
      <c r="AE471" s="172" t="str">
        <f>IF(AE$3="","",IF(COUNTIFS(BD!$A$3:$A$5001,AE$3,BD!$B$3:$B$5001,$A$471,BD!$C$3:$C$5001,"&lt;&gt;")=0,"",SUMIFS(BD!$C$3:$C$5001,BD!$A$3:$A$5001,AE$3,BD!$B$3:$B$5001,$A$471)))</f>
        <v/>
      </c>
      <c r="AF471" s="172" t="str">
        <f>IF(AF$3="","",IF(COUNTIFS(BD!$A$3:$A$5001,AF$3,BD!$B$3:$B$5001,$A$471,BD!$C$3:$C$5001,"&lt;&gt;")=0,"",SUMIFS(BD!$C$3:$C$5001,BD!$A$3:$A$5001,AF$3,BD!$B$3:$B$5001,$A$471)))</f>
        <v/>
      </c>
      <c r="AG471" s="172" t="str">
        <f>IF(AG$3="","",IF(COUNTIFS(BD!$A$3:$A$5001,AG$3,BD!$B$3:$B$5001,$A$471,BD!$C$3:$C$5001,"&lt;&gt;")=0,"",SUMIFS(BD!$C$3:$C$5001,BD!$A$3:$A$5001,AG$3,BD!$B$3:$B$5001,$A$471)))</f>
        <v/>
      </c>
      <c r="AH471" s="172" t="str">
        <f>IF(AH$3="","",IF(COUNTIFS(BD!$A$3:$A$5001,AH$3,BD!$B$3:$B$5001,$A$471,BD!$C$3:$C$5001,"&lt;&gt;")=0,"",SUMIFS(BD!$C$3:$C$5001,BD!$A$3:$A$5001,AH$3,BD!$B$3:$B$5001,$A$471)))</f>
        <v/>
      </c>
      <c r="AI471" s="172" t="str">
        <f>IF(AI$3="","",IF(COUNTIFS(BD!$A$3:$A$5001,AI$3,BD!$B$3:$B$5001,$A$471,BD!$C$3:$C$5001,"&lt;&gt;")=0,"",SUMIFS(BD!$C$3:$C$5001,BD!$A$3:$A$5001,AI$3,BD!$B$3:$B$5001,$A$471)))</f>
        <v/>
      </c>
      <c r="AJ471" s="173" t="str">
        <f>IF(AJ$3="","",IF(COUNTIFS(BD!$A$3:$A$5001,AJ$3,BD!$B$3:$B$5001,$A$471,BD!$C$3:$C$5001,"&lt;&gt;")=0,"",SUMIFS(BD!$C$3:$C$5001,BD!$A$3:$A$5001,AJ$3,BD!$B$3:$B$5001,$A$471)))</f>
        <v/>
      </c>
      <c r="AK471" s="174" t="str">
        <f>IF(COUNT(F471:AJ471)=0,"",SUM(F471:AJ471))</f>
        <v/>
      </c>
    </row>
    <row r="472" ht="15.75" customHeight="1" hidden="1">
      <c r="A472" s="261"/>
      <c r="B472" s="256"/>
      <c r="C472" s="214" t="inlineStr">
        <is>
          <t xml:space="preserve">Pallets Movimentados</t>
        </is>
      </c>
      <c r="D472" s="215" t="str">
        <f>IFERROR(1/(1/INDEX(BD!$AL$24:$BF$24,MATCH($A$471,BD!$AL$22:$BF$22,0))),"")</f>
        <v/>
      </c>
      <c r="E472" s="216"/>
      <c r="F472" s="217" t="str">
        <f>IF(F$3="","",IF(COUNTIFS(BD!$A$3:$A$5001,F$3,BD!$B$3:$B$5001,$A$471,BD!$D$3:$D$5001,"&lt;&gt;")=0,"",SUMIFS(BD!$D$3:$D$5001,BD!$A$3:$A$5001,F$3,BD!$B$3:$B$5001,$A$471)))</f>
        <v/>
      </c>
      <c r="G472" s="218" t="str">
        <f>IF(G$3="","",IF(COUNTIFS(BD!$A$3:$A$5001,G$3,BD!$B$3:$B$5001,$A$471,BD!$D$3:$D$5001,"&lt;&gt;")=0,"",SUMIFS(BD!$D$3:$D$5001,BD!$A$3:$A$5001,G$3,BD!$B$3:$B$5001,$A$471)))</f>
        <v/>
      </c>
      <c r="H472" s="218" t="str">
        <f>IF(H$3="","",IF(COUNTIFS(BD!$A$3:$A$5001,H$3,BD!$B$3:$B$5001,$A$471,BD!$D$3:$D$5001,"&lt;&gt;")=0,"",SUMIFS(BD!$D$3:$D$5001,BD!$A$3:$A$5001,H$3,BD!$B$3:$B$5001,$A$471)))</f>
        <v/>
      </c>
      <c r="I472" s="218" t="str">
        <f>IF(I$3="","",IF(COUNTIFS(BD!$A$3:$A$5001,I$3,BD!$B$3:$B$5001,$A$471,BD!$D$3:$D$5001,"&lt;&gt;")=0,"",SUMIFS(BD!$D$3:$D$5001,BD!$A$3:$A$5001,I$3,BD!$B$3:$B$5001,$A$471)))</f>
        <v/>
      </c>
      <c r="J472" s="218" t="str">
        <f>IF(J$3="","",IF(COUNTIFS(BD!$A$3:$A$5001,J$3,BD!$B$3:$B$5001,$A$471,BD!$D$3:$D$5001,"&lt;&gt;")=0,"",SUMIFS(BD!$D$3:$D$5001,BD!$A$3:$A$5001,J$3,BD!$B$3:$B$5001,$A$471)))</f>
        <v/>
      </c>
      <c r="K472" s="218" t="str">
        <f>IF(K$3="","",IF(COUNTIFS(BD!$A$3:$A$5001,K$3,BD!$B$3:$B$5001,$A$471,BD!$D$3:$D$5001,"&lt;&gt;")=0,"",SUMIFS(BD!$D$3:$D$5001,BD!$A$3:$A$5001,K$3,BD!$B$3:$B$5001,$A$471)))</f>
        <v/>
      </c>
      <c r="L472" s="218" t="str">
        <f>IF(L$3="","",IF(COUNTIFS(BD!$A$3:$A$5001,L$3,BD!$B$3:$B$5001,$A$471,BD!$D$3:$D$5001,"&lt;&gt;")=0,"",SUMIFS(BD!$D$3:$D$5001,BD!$A$3:$A$5001,L$3,BD!$B$3:$B$5001,$A$471)))</f>
        <v/>
      </c>
      <c r="M472" s="218" t="str">
        <f>IF(M$3="","",IF(COUNTIFS(BD!$A$3:$A$5001,M$3,BD!$B$3:$B$5001,$A$471,BD!$D$3:$D$5001,"&lt;&gt;")=0,"",SUMIFS(BD!$D$3:$D$5001,BD!$A$3:$A$5001,M$3,BD!$B$3:$B$5001,$A$471)))</f>
        <v/>
      </c>
      <c r="N472" s="218" t="str">
        <f>IF(N$3="","",IF(COUNTIFS(BD!$A$3:$A$5001,N$3,BD!$B$3:$B$5001,$A$471,BD!$D$3:$D$5001,"&lt;&gt;")=0,"",SUMIFS(BD!$D$3:$D$5001,BD!$A$3:$A$5001,N$3,BD!$B$3:$B$5001,$A$471)))</f>
        <v/>
      </c>
      <c r="O472" s="218" t="str">
        <f>IF(O$3="","",IF(COUNTIFS(BD!$A$3:$A$5001,O$3,BD!$B$3:$B$5001,$A$471,BD!$D$3:$D$5001,"&lt;&gt;")=0,"",SUMIFS(BD!$D$3:$D$5001,BD!$A$3:$A$5001,O$3,BD!$B$3:$B$5001,$A$471)))</f>
        <v/>
      </c>
      <c r="P472" s="218" t="str">
        <f>IF(P$3="","",IF(COUNTIFS(BD!$A$3:$A$5001,P$3,BD!$B$3:$B$5001,$A$471,BD!$D$3:$D$5001,"&lt;&gt;")=0,"",SUMIFS(BD!$D$3:$D$5001,BD!$A$3:$A$5001,P$3,BD!$B$3:$B$5001,$A$471)))</f>
        <v/>
      </c>
      <c r="Q472" s="218" t="str">
        <f>IF(Q$3="","",IF(COUNTIFS(BD!$A$3:$A$5001,Q$3,BD!$B$3:$B$5001,$A$471,BD!$D$3:$D$5001,"&lt;&gt;")=0,"",SUMIFS(BD!$D$3:$D$5001,BD!$A$3:$A$5001,Q$3,BD!$B$3:$B$5001,$A$471)))</f>
        <v/>
      </c>
      <c r="R472" s="218" t="str">
        <f>IF(R$3="","",IF(COUNTIFS(BD!$A$3:$A$5001,R$3,BD!$B$3:$B$5001,$A$471,BD!$D$3:$D$5001,"&lt;&gt;")=0,"",SUMIFS(BD!$D$3:$D$5001,BD!$A$3:$A$5001,R$3,BD!$B$3:$B$5001,$A$471)))</f>
        <v/>
      </c>
      <c r="S472" s="218" t="str">
        <f>IF(S$3="","",IF(COUNTIFS(BD!$A$3:$A$5001,S$3,BD!$B$3:$B$5001,$A$471,BD!$D$3:$D$5001,"&lt;&gt;")=0,"",SUMIFS(BD!$D$3:$D$5001,BD!$A$3:$A$5001,S$3,BD!$B$3:$B$5001,$A$471)))</f>
        <v/>
      </c>
      <c r="T472" s="218" t="str">
        <f>IF(T$3="","",IF(COUNTIFS(BD!$A$3:$A$5001,T$3,BD!$B$3:$B$5001,$A$471,BD!$D$3:$D$5001,"&lt;&gt;")=0,"",SUMIFS(BD!$D$3:$D$5001,BD!$A$3:$A$5001,T$3,BD!$B$3:$B$5001,$A$471)))</f>
        <v/>
      </c>
      <c r="U472" s="218" t="str">
        <f>IF(U$3="","",IF(COUNTIFS(BD!$A$3:$A$5001,U$3,BD!$B$3:$B$5001,$A$471,BD!$D$3:$D$5001,"&lt;&gt;")=0,"",SUMIFS(BD!$D$3:$D$5001,BD!$A$3:$A$5001,U$3,BD!$B$3:$B$5001,$A$471)))</f>
        <v/>
      </c>
      <c r="V472" s="218" t="str">
        <f>IF(V$3="","",IF(COUNTIFS(BD!$A$3:$A$5001,V$3,BD!$B$3:$B$5001,$A$471,BD!$D$3:$D$5001,"&lt;&gt;")=0,"",SUMIFS(BD!$D$3:$D$5001,BD!$A$3:$A$5001,V$3,BD!$B$3:$B$5001,$A$471)))</f>
        <v/>
      </c>
      <c r="W472" s="218" t="str">
        <f>IF(W$3="","",IF(COUNTIFS(BD!$A$3:$A$5001,W$3,BD!$B$3:$B$5001,$A$471,BD!$D$3:$D$5001,"&lt;&gt;")=0,"",SUMIFS(BD!$D$3:$D$5001,BD!$A$3:$A$5001,W$3,BD!$B$3:$B$5001,$A$471)))</f>
        <v/>
      </c>
      <c r="X472" s="218" t="str">
        <f>IF(X$3="","",IF(COUNTIFS(BD!$A$3:$A$5001,X$3,BD!$B$3:$B$5001,$A$471,BD!$D$3:$D$5001,"&lt;&gt;")=0,"",SUMIFS(BD!$D$3:$D$5001,BD!$A$3:$A$5001,X$3,BD!$B$3:$B$5001,$A$471)))</f>
        <v/>
      </c>
      <c r="Y472" s="218" t="str">
        <f>IF(Y$3="","",IF(COUNTIFS(BD!$A$3:$A$5001,Y$3,BD!$B$3:$B$5001,$A$471,BD!$D$3:$D$5001,"&lt;&gt;")=0,"",SUMIFS(BD!$D$3:$D$5001,BD!$A$3:$A$5001,Y$3,BD!$B$3:$B$5001,$A$471)))</f>
        <v/>
      </c>
      <c r="Z472" s="218" t="str">
        <f>IF(Z$3="","",IF(COUNTIFS(BD!$A$3:$A$5001,Z$3,BD!$B$3:$B$5001,$A$471,BD!$D$3:$D$5001,"&lt;&gt;")=0,"",SUMIFS(BD!$D$3:$D$5001,BD!$A$3:$A$5001,Z$3,BD!$B$3:$B$5001,$A$471)))</f>
        <v/>
      </c>
      <c r="AA472" s="218" t="str">
        <f>IF(AA$3="","",IF(COUNTIFS(BD!$A$3:$A$5001,AA$3,BD!$B$3:$B$5001,$A$471,BD!$D$3:$D$5001,"&lt;&gt;")=0,"",SUMIFS(BD!$D$3:$D$5001,BD!$A$3:$A$5001,AA$3,BD!$B$3:$B$5001,$A$471)))</f>
        <v/>
      </c>
      <c r="AB472" s="218" t="str">
        <f>IF(AB$3="","",IF(COUNTIFS(BD!$A$3:$A$5001,AB$3,BD!$B$3:$B$5001,$A$471,BD!$D$3:$D$5001,"&lt;&gt;")=0,"",SUMIFS(BD!$D$3:$D$5001,BD!$A$3:$A$5001,AB$3,BD!$B$3:$B$5001,$A$471)))</f>
        <v/>
      </c>
      <c r="AC472" s="218" t="str">
        <f>IF(AC$3="","",IF(COUNTIFS(BD!$A$3:$A$5001,AC$3,BD!$B$3:$B$5001,$A$471,BD!$D$3:$D$5001,"&lt;&gt;")=0,"",SUMIFS(BD!$D$3:$D$5001,BD!$A$3:$A$5001,AC$3,BD!$B$3:$B$5001,$A$471)))</f>
        <v/>
      </c>
      <c r="AD472" s="218" t="str">
        <f>IF(AD$3="","",IF(COUNTIFS(BD!$A$3:$A$5001,AD$3,BD!$B$3:$B$5001,$A$471,BD!$D$3:$D$5001,"&lt;&gt;")=0,"",SUMIFS(BD!$D$3:$D$5001,BD!$A$3:$A$5001,AD$3,BD!$B$3:$B$5001,$A$471)))</f>
        <v/>
      </c>
      <c r="AE472" s="218" t="str">
        <f>IF(AE$3="","",IF(COUNTIFS(BD!$A$3:$A$5001,AE$3,BD!$B$3:$B$5001,$A$471,BD!$D$3:$D$5001,"&lt;&gt;")=0,"",SUMIFS(BD!$D$3:$D$5001,BD!$A$3:$A$5001,AE$3,BD!$B$3:$B$5001,$A$471)))</f>
        <v/>
      </c>
      <c r="AF472" s="218" t="str">
        <f>IF(AF$3="","",IF(COUNTIFS(BD!$A$3:$A$5001,AF$3,BD!$B$3:$B$5001,$A$471,BD!$D$3:$D$5001,"&lt;&gt;")=0,"",SUMIFS(BD!$D$3:$D$5001,BD!$A$3:$A$5001,AF$3,BD!$B$3:$B$5001,$A$471)))</f>
        <v/>
      </c>
      <c r="AG472" s="218" t="str">
        <f>IF(AG$3="","",IF(COUNTIFS(BD!$A$3:$A$5001,AG$3,BD!$B$3:$B$5001,$A$471,BD!$D$3:$D$5001,"&lt;&gt;")=0,"",SUMIFS(BD!$D$3:$D$5001,BD!$A$3:$A$5001,AG$3,BD!$B$3:$B$5001,$A$471)))</f>
        <v/>
      </c>
      <c r="AH472" s="218" t="str">
        <f>IF(AH$3="","",IF(COUNTIFS(BD!$A$3:$A$5001,AH$3,BD!$B$3:$B$5001,$A$471,BD!$D$3:$D$5001,"&lt;&gt;")=0,"",SUMIFS(BD!$D$3:$D$5001,BD!$A$3:$A$5001,AH$3,BD!$B$3:$B$5001,$A$471)))</f>
        <v/>
      </c>
      <c r="AI472" s="218" t="str">
        <f>IF(AI$3="","",IF(COUNTIFS(BD!$A$3:$A$5001,AI$3,BD!$B$3:$B$5001,$A$471,BD!$D$3:$D$5001,"&lt;&gt;")=0,"",SUMIFS(BD!$D$3:$D$5001,BD!$A$3:$A$5001,AI$3,BD!$B$3:$B$5001,$A$471)))</f>
        <v/>
      </c>
      <c r="AJ472" s="219" t="str">
        <f>IF(AJ$3="","",IF(COUNTIFS(BD!$A$3:$A$5001,AJ$3,BD!$B$3:$B$5001,$A$471,BD!$D$3:$D$5001,"&lt;&gt;")=0,"",SUMIFS(BD!$D$3:$D$5001,BD!$A$3:$A$5001,AJ$3,BD!$B$3:$B$5001,$A$471)))</f>
        <v/>
      </c>
      <c r="AK472" s="220" t="str">
        <f>IF(COUNT(F472:AJ472)=0,"",SUM(F472:AJ472))</f>
        <v/>
      </c>
    </row>
    <row r="473" ht="15.75" customHeight="1" hidden="1">
      <c r="A473" s="261"/>
      <c r="B473" s="256"/>
      <c r="C473" s="214" t="inlineStr">
        <is>
          <t xml:space="preserve">Toneladas Movimentadas</t>
        </is>
      </c>
      <c r="D473" s="215" t="str">
        <f>IFERROR(1/(1/INDEX(BD!$AL$25:$BF$25,MATCH($A$471,BD!$AL$22:$BF$22,0))),"")</f>
        <v/>
      </c>
      <c r="E473" s="216"/>
      <c r="F473" s="282" t="str">
        <f>IF(F$3="","",IF(COUNTIFS(BD!$A$3:$A$5001,F$3,BD!$B$3:$B$5001,$A$471,BD!$E$3:$E$5001,"&lt;&gt;")=0,"",SUMIFS(BD!$E$3:$E$5001,BD!$A$3:$A$5001,F$3,BD!$B$3:$B$5001,$A$471)))</f>
        <v/>
      </c>
      <c r="G473" s="283" t="str">
        <f>IF(G$3="","",IF(COUNTIFS(BD!$A$3:$A$5001,G$3,BD!$B$3:$B$5001,$A$471,BD!$E$3:$E$5001,"&lt;&gt;")=0,"",SUMIFS(BD!$E$3:$E$5001,BD!$A$3:$A$5001,G$3,BD!$B$3:$B$5001,$A$471)))</f>
        <v/>
      </c>
      <c r="H473" s="283" t="str">
        <f>IF(H$3="","",IF(COUNTIFS(BD!$A$3:$A$5001,H$3,BD!$B$3:$B$5001,$A$471,BD!$E$3:$E$5001,"&lt;&gt;")=0,"",SUMIFS(BD!$E$3:$E$5001,BD!$A$3:$A$5001,H$3,BD!$B$3:$B$5001,$A$471)))</f>
        <v/>
      </c>
      <c r="I473" s="283" t="str">
        <f>IF(I$3="","",IF(COUNTIFS(BD!$A$3:$A$5001,I$3,BD!$B$3:$B$5001,$A$471,BD!$E$3:$E$5001,"&lt;&gt;")=0,"",SUMIFS(BD!$E$3:$E$5001,BD!$A$3:$A$5001,I$3,BD!$B$3:$B$5001,$A$471)))</f>
        <v/>
      </c>
      <c r="J473" s="283" t="str">
        <f>IF(J$3="","",IF(COUNTIFS(BD!$A$3:$A$5001,J$3,BD!$B$3:$B$5001,$A$471,BD!$E$3:$E$5001,"&lt;&gt;")=0,"",SUMIFS(BD!$E$3:$E$5001,BD!$A$3:$A$5001,J$3,BD!$B$3:$B$5001,$A$471)))</f>
        <v/>
      </c>
      <c r="K473" s="283" t="str">
        <f>IF(K$3="","",IF(COUNTIFS(BD!$A$3:$A$5001,K$3,BD!$B$3:$B$5001,$A$471,BD!$E$3:$E$5001,"&lt;&gt;")=0,"",SUMIFS(BD!$E$3:$E$5001,BD!$A$3:$A$5001,K$3,BD!$B$3:$B$5001,$A$471)))</f>
        <v/>
      </c>
      <c r="L473" s="283" t="str">
        <f>IF(L$3="","",IF(COUNTIFS(BD!$A$3:$A$5001,L$3,BD!$B$3:$B$5001,$A$471,BD!$E$3:$E$5001,"&lt;&gt;")=0,"",SUMIFS(BD!$E$3:$E$5001,BD!$A$3:$A$5001,L$3,BD!$B$3:$B$5001,$A$471)))</f>
        <v/>
      </c>
      <c r="M473" s="283" t="str">
        <f>IF(M$3="","",IF(COUNTIFS(BD!$A$3:$A$5001,M$3,BD!$B$3:$B$5001,$A$471,BD!$E$3:$E$5001,"&lt;&gt;")=0,"",SUMIFS(BD!$E$3:$E$5001,BD!$A$3:$A$5001,M$3,BD!$B$3:$B$5001,$A$471)))</f>
        <v/>
      </c>
      <c r="N473" s="283" t="str">
        <f>IF(N$3="","",IF(COUNTIFS(BD!$A$3:$A$5001,N$3,BD!$B$3:$B$5001,$A$471,BD!$E$3:$E$5001,"&lt;&gt;")=0,"",SUMIFS(BD!$E$3:$E$5001,BD!$A$3:$A$5001,N$3,BD!$B$3:$B$5001,$A$471)))</f>
        <v/>
      </c>
      <c r="O473" s="283" t="str">
        <f>IF(O$3="","",IF(COUNTIFS(BD!$A$3:$A$5001,O$3,BD!$B$3:$B$5001,$A$471,BD!$E$3:$E$5001,"&lt;&gt;")=0,"",SUMIFS(BD!$E$3:$E$5001,BD!$A$3:$A$5001,O$3,BD!$B$3:$B$5001,$A$471)))</f>
        <v/>
      </c>
      <c r="P473" s="283" t="str">
        <f>IF(P$3="","",IF(COUNTIFS(BD!$A$3:$A$5001,P$3,BD!$B$3:$B$5001,$A$471,BD!$E$3:$E$5001,"&lt;&gt;")=0,"",SUMIFS(BD!$E$3:$E$5001,BD!$A$3:$A$5001,P$3,BD!$B$3:$B$5001,$A$471)))</f>
        <v/>
      </c>
      <c r="Q473" s="283" t="str">
        <f>IF(Q$3="","",IF(COUNTIFS(BD!$A$3:$A$5001,Q$3,BD!$B$3:$B$5001,$A$471,BD!$E$3:$E$5001,"&lt;&gt;")=0,"",SUMIFS(BD!$E$3:$E$5001,BD!$A$3:$A$5001,Q$3,BD!$B$3:$B$5001,$A$471)))</f>
        <v/>
      </c>
      <c r="R473" s="283" t="str">
        <f>IF(R$3="","",IF(COUNTIFS(BD!$A$3:$A$5001,R$3,BD!$B$3:$B$5001,$A$471,BD!$E$3:$E$5001,"&lt;&gt;")=0,"",SUMIFS(BD!$E$3:$E$5001,BD!$A$3:$A$5001,R$3,BD!$B$3:$B$5001,$A$471)))</f>
        <v/>
      </c>
      <c r="S473" s="283" t="str">
        <f>IF(S$3="","",IF(COUNTIFS(BD!$A$3:$A$5001,S$3,BD!$B$3:$B$5001,$A$471,BD!$E$3:$E$5001,"&lt;&gt;")=0,"",SUMIFS(BD!$E$3:$E$5001,BD!$A$3:$A$5001,S$3,BD!$B$3:$B$5001,$A$471)))</f>
        <v/>
      </c>
      <c r="T473" s="283" t="str">
        <f>IF(T$3="","",IF(COUNTIFS(BD!$A$3:$A$5001,T$3,BD!$B$3:$B$5001,$A$471,BD!$E$3:$E$5001,"&lt;&gt;")=0,"",SUMIFS(BD!$E$3:$E$5001,BD!$A$3:$A$5001,T$3,BD!$B$3:$B$5001,$A$471)))</f>
        <v/>
      </c>
      <c r="U473" s="283" t="str">
        <f>IF(U$3="","",IF(COUNTIFS(BD!$A$3:$A$5001,U$3,BD!$B$3:$B$5001,$A$471,BD!$E$3:$E$5001,"&lt;&gt;")=0,"",SUMIFS(BD!$E$3:$E$5001,BD!$A$3:$A$5001,U$3,BD!$B$3:$B$5001,$A$471)))</f>
        <v/>
      </c>
      <c r="V473" s="283" t="str">
        <f>IF(V$3="","",IF(COUNTIFS(BD!$A$3:$A$5001,V$3,BD!$B$3:$B$5001,$A$471,BD!$E$3:$E$5001,"&lt;&gt;")=0,"",SUMIFS(BD!$E$3:$E$5001,BD!$A$3:$A$5001,V$3,BD!$B$3:$B$5001,$A$471)))</f>
        <v/>
      </c>
      <c r="W473" s="283" t="str">
        <f>IF(W$3="","",IF(COUNTIFS(BD!$A$3:$A$5001,W$3,BD!$B$3:$B$5001,$A$471,BD!$E$3:$E$5001,"&lt;&gt;")=0,"",SUMIFS(BD!$E$3:$E$5001,BD!$A$3:$A$5001,W$3,BD!$B$3:$B$5001,$A$471)))</f>
        <v/>
      </c>
      <c r="X473" s="283" t="str">
        <f>IF(X$3="","",IF(COUNTIFS(BD!$A$3:$A$5001,X$3,BD!$B$3:$B$5001,$A$471,BD!$E$3:$E$5001,"&lt;&gt;")=0,"",SUMIFS(BD!$E$3:$E$5001,BD!$A$3:$A$5001,X$3,BD!$B$3:$B$5001,$A$471)))</f>
        <v/>
      </c>
      <c r="Y473" s="283" t="str">
        <f>IF(Y$3="","",IF(COUNTIFS(BD!$A$3:$A$5001,Y$3,BD!$B$3:$B$5001,$A$471,BD!$E$3:$E$5001,"&lt;&gt;")=0,"",SUMIFS(BD!$E$3:$E$5001,BD!$A$3:$A$5001,Y$3,BD!$B$3:$B$5001,$A$471)))</f>
        <v/>
      </c>
      <c r="Z473" s="283" t="str">
        <f>IF(Z$3="","",IF(COUNTIFS(BD!$A$3:$A$5001,Z$3,BD!$B$3:$B$5001,$A$471,BD!$E$3:$E$5001,"&lt;&gt;")=0,"",SUMIFS(BD!$E$3:$E$5001,BD!$A$3:$A$5001,Z$3,BD!$B$3:$B$5001,$A$471)))</f>
        <v/>
      </c>
      <c r="AA473" s="283" t="str">
        <f>IF(AA$3="","",IF(COUNTIFS(BD!$A$3:$A$5001,AA$3,BD!$B$3:$B$5001,$A$471,BD!$E$3:$E$5001,"&lt;&gt;")=0,"",SUMIFS(BD!$E$3:$E$5001,BD!$A$3:$A$5001,AA$3,BD!$B$3:$B$5001,$A$471)))</f>
        <v/>
      </c>
      <c r="AB473" s="283" t="str">
        <f>IF(AB$3="","",IF(COUNTIFS(BD!$A$3:$A$5001,AB$3,BD!$B$3:$B$5001,$A$471,BD!$E$3:$E$5001,"&lt;&gt;")=0,"",SUMIFS(BD!$E$3:$E$5001,BD!$A$3:$A$5001,AB$3,BD!$B$3:$B$5001,$A$471)))</f>
        <v/>
      </c>
      <c r="AC473" s="283" t="str">
        <f>IF(AC$3="","",IF(COUNTIFS(BD!$A$3:$A$5001,AC$3,BD!$B$3:$B$5001,$A$471,BD!$E$3:$E$5001,"&lt;&gt;")=0,"",SUMIFS(BD!$E$3:$E$5001,BD!$A$3:$A$5001,AC$3,BD!$B$3:$B$5001,$A$471)))</f>
        <v/>
      </c>
      <c r="AD473" s="283" t="str">
        <f>IF(AD$3="","",IF(COUNTIFS(BD!$A$3:$A$5001,AD$3,BD!$B$3:$B$5001,$A$471,BD!$E$3:$E$5001,"&lt;&gt;")=0,"",SUMIFS(BD!$E$3:$E$5001,BD!$A$3:$A$5001,AD$3,BD!$B$3:$B$5001,$A$471)))</f>
        <v/>
      </c>
      <c r="AE473" s="283" t="str">
        <f>IF(AE$3="","",IF(COUNTIFS(BD!$A$3:$A$5001,AE$3,BD!$B$3:$B$5001,$A$471,BD!$E$3:$E$5001,"&lt;&gt;")=0,"",SUMIFS(BD!$E$3:$E$5001,BD!$A$3:$A$5001,AE$3,BD!$B$3:$B$5001,$A$471)))</f>
        <v/>
      </c>
      <c r="AF473" s="283" t="str">
        <f>IF(AF$3="","",IF(COUNTIFS(BD!$A$3:$A$5001,AF$3,BD!$B$3:$B$5001,$A$471,BD!$E$3:$E$5001,"&lt;&gt;")=0,"",SUMIFS(BD!$E$3:$E$5001,BD!$A$3:$A$5001,AF$3,BD!$B$3:$B$5001,$A$471)))</f>
        <v/>
      </c>
      <c r="AG473" s="283" t="str">
        <f>IF(AG$3="","",IF(COUNTIFS(BD!$A$3:$A$5001,AG$3,BD!$B$3:$B$5001,$A$471,BD!$E$3:$E$5001,"&lt;&gt;")=0,"",SUMIFS(BD!$E$3:$E$5001,BD!$A$3:$A$5001,AG$3,BD!$B$3:$B$5001,$A$471)))</f>
        <v/>
      </c>
      <c r="AH473" s="283" t="str">
        <f>IF(AH$3="","",IF(COUNTIFS(BD!$A$3:$A$5001,AH$3,BD!$B$3:$B$5001,$A$471,BD!$E$3:$E$5001,"&lt;&gt;")=0,"",SUMIFS(BD!$E$3:$E$5001,BD!$A$3:$A$5001,AH$3,BD!$B$3:$B$5001,$A$471)))</f>
        <v/>
      </c>
      <c r="AI473" s="283" t="str">
        <f>IF(AI$3="","",IF(COUNTIFS(BD!$A$3:$A$5001,AI$3,BD!$B$3:$B$5001,$A$471,BD!$E$3:$E$5001,"&lt;&gt;")=0,"",SUMIFS(BD!$E$3:$E$5001,BD!$A$3:$A$5001,AI$3,BD!$B$3:$B$5001,$A$471)))</f>
        <v/>
      </c>
      <c r="AJ473" s="284" t="str">
        <f>IF(AJ$3="","",IF(COUNTIFS(BD!$A$3:$A$5001,AJ$3,BD!$B$3:$B$5001,$A$471,BD!$E$3:$E$5001,"&lt;&gt;")=0,"",SUMIFS(BD!$E$3:$E$5001,BD!$A$3:$A$5001,AJ$3,BD!$B$3:$B$5001,$A$471)))</f>
        <v/>
      </c>
      <c r="AK473" s="285" t="str">
        <f>IF(COUNT(F473:AJ473)=0,"",SUM(F473:AJ473))</f>
        <v/>
      </c>
    </row>
    <row r="474" ht="15.75" customHeight="1" hidden="1">
      <c r="A474" s="261"/>
      <c r="B474" s="256"/>
      <c r="C474" s="214" t="inlineStr">
        <is>
          <t xml:space="preserve">Linhas NF</t>
        </is>
      </c>
      <c r="D474" s="215" t="str">
        <f>IFERROR(1/(1/INDEX(BD!$AL$26:$BF$26,MATCH($A$471,BD!$AL$22:$BF$22,0))),"")</f>
        <v/>
      </c>
      <c r="E474" s="216"/>
      <c r="F474" s="217" t="str">
        <f>IF(F$3="","",IF(COUNTIFS(BD!$A$3:$A$5001,F$3,BD!$B$3:$B$5001,$A$471,BD!$F$3:$F$5001,"&lt;&gt;")=0,"",SUMIFS(BD!$F$3:$F$5001,BD!$A$3:$A$5001,F$3,BD!$B$3:$B$5001,$A$471)))</f>
        <v/>
      </c>
      <c r="G474" s="218" t="str">
        <f>IF(G$3="","",IF(COUNTIFS(BD!$A$3:$A$5001,G$3,BD!$B$3:$B$5001,$A$471,BD!$F$3:$F$5001,"&lt;&gt;")=0,"",SUMIFS(BD!$F$3:$F$5001,BD!$A$3:$A$5001,G$3,BD!$B$3:$B$5001,$A$471)))</f>
        <v/>
      </c>
      <c r="H474" s="218" t="str">
        <f>IF(H$3="","",IF(COUNTIFS(BD!$A$3:$A$5001,H$3,BD!$B$3:$B$5001,$A$471,BD!$F$3:$F$5001,"&lt;&gt;")=0,"",SUMIFS(BD!$F$3:$F$5001,BD!$A$3:$A$5001,H$3,BD!$B$3:$B$5001,$A$471)))</f>
        <v/>
      </c>
      <c r="I474" s="218" t="str">
        <f>IF(I$3="","",IF(COUNTIFS(BD!$A$3:$A$5001,I$3,BD!$B$3:$B$5001,$A$471,BD!$F$3:$F$5001,"&lt;&gt;")=0,"",SUMIFS(BD!$F$3:$F$5001,BD!$A$3:$A$5001,I$3,BD!$B$3:$B$5001,$A$471)))</f>
        <v/>
      </c>
      <c r="J474" s="218" t="str">
        <f>IF(J$3="","",IF(COUNTIFS(BD!$A$3:$A$5001,J$3,BD!$B$3:$B$5001,$A$471,BD!$F$3:$F$5001,"&lt;&gt;")=0,"",SUMIFS(BD!$F$3:$F$5001,BD!$A$3:$A$5001,J$3,BD!$B$3:$B$5001,$A$471)))</f>
        <v/>
      </c>
      <c r="K474" s="218" t="str">
        <f>IF(K$3="","",IF(COUNTIFS(BD!$A$3:$A$5001,K$3,BD!$B$3:$B$5001,$A$471,BD!$F$3:$F$5001,"&lt;&gt;")=0,"",SUMIFS(BD!$F$3:$F$5001,BD!$A$3:$A$5001,K$3,BD!$B$3:$B$5001,$A$471)))</f>
        <v/>
      </c>
      <c r="L474" s="218" t="str">
        <f>IF(L$3="","",IF(COUNTIFS(BD!$A$3:$A$5001,L$3,BD!$B$3:$B$5001,$A$471,BD!$F$3:$F$5001,"&lt;&gt;")=0,"",SUMIFS(BD!$F$3:$F$5001,BD!$A$3:$A$5001,L$3,BD!$B$3:$B$5001,$A$471)))</f>
        <v/>
      </c>
      <c r="M474" s="218" t="str">
        <f>IF(M$3="","",IF(COUNTIFS(BD!$A$3:$A$5001,M$3,BD!$B$3:$B$5001,$A$471,BD!$F$3:$F$5001,"&lt;&gt;")=0,"",SUMIFS(BD!$F$3:$F$5001,BD!$A$3:$A$5001,M$3,BD!$B$3:$B$5001,$A$471)))</f>
        <v/>
      </c>
      <c r="N474" s="218" t="str">
        <f>IF(N$3="","",IF(COUNTIFS(BD!$A$3:$A$5001,N$3,BD!$B$3:$B$5001,$A$471,BD!$F$3:$F$5001,"&lt;&gt;")=0,"",SUMIFS(BD!$F$3:$F$5001,BD!$A$3:$A$5001,N$3,BD!$B$3:$B$5001,$A$471)))</f>
        <v/>
      </c>
      <c r="O474" s="218" t="str">
        <f>IF(O$3="","",IF(COUNTIFS(BD!$A$3:$A$5001,O$3,BD!$B$3:$B$5001,$A$471,BD!$F$3:$F$5001,"&lt;&gt;")=0,"",SUMIFS(BD!$F$3:$F$5001,BD!$A$3:$A$5001,O$3,BD!$B$3:$B$5001,$A$471)))</f>
        <v/>
      </c>
      <c r="P474" s="218" t="str">
        <f>IF(P$3="","",IF(COUNTIFS(BD!$A$3:$A$5001,P$3,BD!$B$3:$B$5001,$A$471,BD!$F$3:$F$5001,"&lt;&gt;")=0,"",SUMIFS(BD!$F$3:$F$5001,BD!$A$3:$A$5001,P$3,BD!$B$3:$B$5001,$A$471)))</f>
        <v/>
      </c>
      <c r="Q474" s="218" t="str">
        <f>IF(Q$3="","",IF(COUNTIFS(BD!$A$3:$A$5001,Q$3,BD!$B$3:$B$5001,$A$471,BD!$F$3:$F$5001,"&lt;&gt;")=0,"",SUMIFS(BD!$F$3:$F$5001,BD!$A$3:$A$5001,Q$3,BD!$B$3:$B$5001,$A$471)))</f>
        <v/>
      </c>
      <c r="R474" s="218" t="str">
        <f>IF(R$3="","",IF(COUNTIFS(BD!$A$3:$A$5001,R$3,BD!$B$3:$B$5001,$A$471,BD!$F$3:$F$5001,"&lt;&gt;")=0,"",SUMIFS(BD!$F$3:$F$5001,BD!$A$3:$A$5001,R$3,BD!$B$3:$B$5001,$A$471)))</f>
        <v/>
      </c>
      <c r="S474" s="218" t="str">
        <f>IF(S$3="","",IF(COUNTIFS(BD!$A$3:$A$5001,S$3,BD!$B$3:$B$5001,$A$471,BD!$F$3:$F$5001,"&lt;&gt;")=0,"",SUMIFS(BD!$F$3:$F$5001,BD!$A$3:$A$5001,S$3,BD!$B$3:$B$5001,$A$471)))</f>
        <v/>
      </c>
      <c r="T474" s="218" t="str">
        <f>IF(T$3="","",IF(COUNTIFS(BD!$A$3:$A$5001,T$3,BD!$B$3:$B$5001,$A$471,BD!$F$3:$F$5001,"&lt;&gt;")=0,"",SUMIFS(BD!$F$3:$F$5001,BD!$A$3:$A$5001,T$3,BD!$B$3:$B$5001,$A$471)))</f>
        <v/>
      </c>
      <c r="U474" s="218" t="str">
        <f>IF(U$3="","",IF(COUNTIFS(BD!$A$3:$A$5001,U$3,BD!$B$3:$B$5001,$A$471,BD!$F$3:$F$5001,"&lt;&gt;")=0,"",SUMIFS(BD!$F$3:$F$5001,BD!$A$3:$A$5001,U$3,BD!$B$3:$B$5001,$A$471)))</f>
        <v/>
      </c>
      <c r="V474" s="218" t="str">
        <f>IF(V$3="","",IF(COUNTIFS(BD!$A$3:$A$5001,V$3,BD!$B$3:$B$5001,$A$471,BD!$F$3:$F$5001,"&lt;&gt;")=0,"",SUMIFS(BD!$F$3:$F$5001,BD!$A$3:$A$5001,V$3,BD!$B$3:$B$5001,$A$471)))</f>
        <v/>
      </c>
      <c r="W474" s="218" t="str">
        <f>IF(W$3="","",IF(COUNTIFS(BD!$A$3:$A$5001,W$3,BD!$B$3:$B$5001,$A$471,BD!$F$3:$F$5001,"&lt;&gt;")=0,"",SUMIFS(BD!$F$3:$F$5001,BD!$A$3:$A$5001,W$3,BD!$B$3:$B$5001,$A$471)))</f>
        <v/>
      </c>
      <c r="X474" s="218" t="str">
        <f>IF(X$3="","",IF(COUNTIFS(BD!$A$3:$A$5001,X$3,BD!$B$3:$B$5001,$A$471,BD!$F$3:$F$5001,"&lt;&gt;")=0,"",SUMIFS(BD!$F$3:$F$5001,BD!$A$3:$A$5001,X$3,BD!$B$3:$B$5001,$A$471)))</f>
        <v/>
      </c>
      <c r="Y474" s="218" t="str">
        <f>IF(Y$3="","",IF(COUNTIFS(BD!$A$3:$A$5001,Y$3,BD!$B$3:$B$5001,$A$471,BD!$F$3:$F$5001,"&lt;&gt;")=0,"",SUMIFS(BD!$F$3:$F$5001,BD!$A$3:$A$5001,Y$3,BD!$B$3:$B$5001,$A$471)))</f>
        <v/>
      </c>
      <c r="Z474" s="218" t="str">
        <f>IF(Z$3="","",IF(COUNTIFS(BD!$A$3:$A$5001,Z$3,BD!$B$3:$B$5001,$A$471,BD!$F$3:$F$5001,"&lt;&gt;")=0,"",SUMIFS(BD!$F$3:$F$5001,BD!$A$3:$A$5001,Z$3,BD!$B$3:$B$5001,$A$471)))</f>
        <v/>
      </c>
      <c r="AA474" s="218" t="str">
        <f>IF(AA$3="","",IF(COUNTIFS(BD!$A$3:$A$5001,AA$3,BD!$B$3:$B$5001,$A$471,BD!$F$3:$F$5001,"&lt;&gt;")=0,"",SUMIFS(BD!$F$3:$F$5001,BD!$A$3:$A$5001,AA$3,BD!$B$3:$B$5001,$A$471)))</f>
        <v/>
      </c>
      <c r="AB474" s="218" t="str">
        <f>IF(AB$3="","",IF(COUNTIFS(BD!$A$3:$A$5001,AB$3,BD!$B$3:$B$5001,$A$471,BD!$F$3:$F$5001,"&lt;&gt;")=0,"",SUMIFS(BD!$F$3:$F$5001,BD!$A$3:$A$5001,AB$3,BD!$B$3:$B$5001,$A$471)))</f>
        <v/>
      </c>
      <c r="AC474" s="218" t="str">
        <f>IF(AC$3="","",IF(COUNTIFS(BD!$A$3:$A$5001,AC$3,BD!$B$3:$B$5001,$A$471,BD!$F$3:$F$5001,"&lt;&gt;")=0,"",SUMIFS(BD!$F$3:$F$5001,BD!$A$3:$A$5001,AC$3,BD!$B$3:$B$5001,$A$471)))</f>
        <v/>
      </c>
      <c r="AD474" s="218" t="str">
        <f>IF(AD$3="","",IF(COUNTIFS(BD!$A$3:$A$5001,AD$3,BD!$B$3:$B$5001,$A$471,BD!$F$3:$F$5001,"&lt;&gt;")=0,"",SUMIFS(BD!$F$3:$F$5001,BD!$A$3:$A$5001,AD$3,BD!$B$3:$B$5001,$A$471)))</f>
        <v/>
      </c>
      <c r="AE474" s="218" t="str">
        <f>IF(AE$3="","",IF(COUNTIFS(BD!$A$3:$A$5001,AE$3,BD!$B$3:$B$5001,$A$471,BD!$F$3:$F$5001,"&lt;&gt;")=0,"",SUMIFS(BD!$F$3:$F$5001,BD!$A$3:$A$5001,AE$3,BD!$B$3:$B$5001,$A$471)))</f>
        <v/>
      </c>
      <c r="AF474" s="218" t="str">
        <f>IF(AF$3="","",IF(COUNTIFS(BD!$A$3:$A$5001,AF$3,BD!$B$3:$B$5001,$A$471,BD!$F$3:$F$5001,"&lt;&gt;")=0,"",SUMIFS(BD!$F$3:$F$5001,BD!$A$3:$A$5001,AF$3,BD!$B$3:$B$5001,$A$471)))</f>
        <v/>
      </c>
      <c r="AG474" s="218" t="str">
        <f>IF(AG$3="","",IF(COUNTIFS(BD!$A$3:$A$5001,AG$3,BD!$B$3:$B$5001,$A$471,BD!$F$3:$F$5001,"&lt;&gt;")=0,"",SUMIFS(BD!$F$3:$F$5001,BD!$A$3:$A$5001,AG$3,BD!$B$3:$B$5001,$A$471)))</f>
        <v/>
      </c>
      <c r="AH474" s="218" t="str">
        <f>IF(AH$3="","",IF(COUNTIFS(BD!$A$3:$A$5001,AH$3,BD!$B$3:$B$5001,$A$471,BD!$F$3:$F$5001,"&lt;&gt;")=0,"",SUMIFS(BD!$F$3:$F$5001,BD!$A$3:$A$5001,AH$3,BD!$B$3:$B$5001,$A$471)))</f>
        <v/>
      </c>
      <c r="AI474" s="218" t="str">
        <f>IF(AI$3="","",IF(COUNTIFS(BD!$A$3:$A$5001,AI$3,BD!$B$3:$B$5001,$A$471,BD!$F$3:$F$5001,"&lt;&gt;")=0,"",SUMIFS(BD!$F$3:$F$5001,BD!$A$3:$A$5001,AI$3,BD!$B$3:$B$5001,$A$471)))</f>
        <v/>
      </c>
      <c r="AJ474" s="219" t="str">
        <f>IF(AJ$3="","",IF(COUNTIFS(BD!$A$3:$A$5001,AJ$3,BD!$B$3:$B$5001,$A$471,BD!$F$3:$F$5001,"&lt;&gt;")=0,"",SUMIFS(BD!$F$3:$F$5001,BD!$A$3:$A$5001,AJ$3,BD!$B$3:$B$5001,$A$471)))</f>
        <v/>
      </c>
      <c r="AK474" s="220" t="str">
        <f>IF(COUNT(F474:AJ474)=0,"",SUM(F474:AJ474))</f>
        <v/>
      </c>
    </row>
    <row r="475" ht="15.75" customHeight="1" hidden="1">
      <c r="A475" s="261"/>
      <c r="B475" s="256"/>
      <c r="C475" s="214" t="inlineStr">
        <is>
          <t xml:space="preserve">Caixas Movimentadas</t>
        </is>
      </c>
      <c r="D475" s="215" t="str">
        <f>IFERROR(1/(1/INDEX(BD!$AL$27:$BF$27,MATCH($A$471,BD!$AL$22:$BF$22,0))),"")</f>
        <v/>
      </c>
      <c r="E475" s="216"/>
      <c r="F475" s="217" t="str">
        <f>IF(F$3="","",IF(COUNTIFS(BD!$A$3:$A$5001,F$3,BD!$B$3:$B$5001,$A$471,BD!$G$3:$G$5001,"&lt;&gt;")=0,"",SUMIFS(BD!$G$3:$G$5001,BD!$A$3:$A$5001,F$3,BD!$B$3:$B$5001,$A$471)))</f>
        <v/>
      </c>
      <c r="G475" s="218" t="str">
        <f>IF(G$3="","",IF(COUNTIFS(BD!$A$3:$A$5001,G$3,BD!$B$3:$B$5001,$A$471,BD!$G$3:$G$5001,"&lt;&gt;")=0,"",SUMIFS(BD!$G$3:$G$5001,BD!$A$3:$A$5001,G$3,BD!$B$3:$B$5001,$A$471)))</f>
        <v/>
      </c>
      <c r="H475" s="218" t="str">
        <f>IF(H$3="","",IF(COUNTIFS(BD!$A$3:$A$5001,H$3,BD!$B$3:$B$5001,$A$471,BD!$G$3:$G$5001,"&lt;&gt;")=0,"",SUMIFS(BD!$G$3:$G$5001,BD!$A$3:$A$5001,H$3,BD!$B$3:$B$5001,$A$471)))</f>
        <v/>
      </c>
      <c r="I475" s="218" t="str">
        <f>IF(I$3="","",IF(COUNTIFS(BD!$A$3:$A$5001,I$3,BD!$B$3:$B$5001,$A$471,BD!$G$3:$G$5001,"&lt;&gt;")=0,"",SUMIFS(BD!$G$3:$G$5001,BD!$A$3:$A$5001,I$3,BD!$B$3:$B$5001,$A$471)))</f>
        <v/>
      </c>
      <c r="J475" s="218" t="str">
        <f>IF(J$3="","",IF(COUNTIFS(BD!$A$3:$A$5001,J$3,BD!$B$3:$B$5001,$A$471,BD!$G$3:$G$5001,"&lt;&gt;")=0,"",SUMIFS(BD!$G$3:$G$5001,BD!$A$3:$A$5001,J$3,BD!$B$3:$B$5001,$A$471)))</f>
        <v/>
      </c>
      <c r="K475" s="218" t="str">
        <f>IF(K$3="","",IF(COUNTIFS(BD!$A$3:$A$5001,K$3,BD!$B$3:$B$5001,$A$471,BD!$G$3:$G$5001,"&lt;&gt;")=0,"",SUMIFS(BD!$G$3:$G$5001,BD!$A$3:$A$5001,K$3,BD!$B$3:$B$5001,$A$471)))</f>
        <v/>
      </c>
      <c r="L475" s="218" t="str">
        <f>IF(L$3="","",IF(COUNTIFS(BD!$A$3:$A$5001,L$3,BD!$B$3:$B$5001,$A$471,BD!$G$3:$G$5001,"&lt;&gt;")=0,"",SUMIFS(BD!$G$3:$G$5001,BD!$A$3:$A$5001,L$3,BD!$B$3:$B$5001,$A$471)))</f>
        <v/>
      </c>
      <c r="M475" s="218" t="str">
        <f>IF(M$3="","",IF(COUNTIFS(BD!$A$3:$A$5001,M$3,BD!$B$3:$B$5001,$A$471,BD!$G$3:$G$5001,"&lt;&gt;")=0,"",SUMIFS(BD!$G$3:$G$5001,BD!$A$3:$A$5001,M$3,BD!$B$3:$B$5001,$A$471)))</f>
        <v/>
      </c>
      <c r="N475" s="218" t="str">
        <f>IF(N$3="","",IF(COUNTIFS(BD!$A$3:$A$5001,N$3,BD!$B$3:$B$5001,$A$471,BD!$G$3:$G$5001,"&lt;&gt;")=0,"",SUMIFS(BD!$G$3:$G$5001,BD!$A$3:$A$5001,N$3,BD!$B$3:$B$5001,$A$471)))</f>
        <v/>
      </c>
      <c r="O475" s="218" t="str">
        <f>IF(O$3="","",IF(COUNTIFS(BD!$A$3:$A$5001,O$3,BD!$B$3:$B$5001,$A$471,BD!$G$3:$G$5001,"&lt;&gt;")=0,"",SUMIFS(BD!$G$3:$G$5001,BD!$A$3:$A$5001,O$3,BD!$B$3:$B$5001,$A$471)))</f>
        <v/>
      </c>
      <c r="P475" s="218" t="str">
        <f>IF(P$3="","",IF(COUNTIFS(BD!$A$3:$A$5001,P$3,BD!$B$3:$B$5001,$A$471,BD!$G$3:$G$5001,"&lt;&gt;")=0,"",SUMIFS(BD!$G$3:$G$5001,BD!$A$3:$A$5001,P$3,BD!$B$3:$B$5001,$A$471)))</f>
        <v/>
      </c>
      <c r="Q475" s="218" t="str">
        <f>IF(Q$3="","",IF(COUNTIFS(BD!$A$3:$A$5001,Q$3,BD!$B$3:$B$5001,$A$471,BD!$G$3:$G$5001,"&lt;&gt;")=0,"",SUMIFS(BD!$G$3:$G$5001,BD!$A$3:$A$5001,Q$3,BD!$B$3:$B$5001,$A$471)))</f>
        <v/>
      </c>
      <c r="R475" s="218" t="str">
        <f>IF(R$3="","",IF(COUNTIFS(BD!$A$3:$A$5001,R$3,BD!$B$3:$B$5001,$A$471,BD!$G$3:$G$5001,"&lt;&gt;")=0,"",SUMIFS(BD!$G$3:$G$5001,BD!$A$3:$A$5001,R$3,BD!$B$3:$B$5001,$A$471)))</f>
        <v/>
      </c>
      <c r="S475" s="218" t="str">
        <f>IF(S$3="","",IF(COUNTIFS(BD!$A$3:$A$5001,S$3,BD!$B$3:$B$5001,$A$471,BD!$G$3:$G$5001,"&lt;&gt;")=0,"",SUMIFS(BD!$G$3:$G$5001,BD!$A$3:$A$5001,S$3,BD!$B$3:$B$5001,$A$471)))</f>
        <v/>
      </c>
      <c r="T475" s="218" t="str">
        <f>IF(T$3="","",IF(COUNTIFS(BD!$A$3:$A$5001,T$3,BD!$B$3:$B$5001,$A$471,BD!$G$3:$G$5001,"&lt;&gt;")=0,"",SUMIFS(BD!$G$3:$G$5001,BD!$A$3:$A$5001,T$3,BD!$B$3:$B$5001,$A$471)))</f>
        <v/>
      </c>
      <c r="U475" s="218" t="str">
        <f>IF(U$3="","",IF(COUNTIFS(BD!$A$3:$A$5001,U$3,BD!$B$3:$B$5001,$A$471,BD!$G$3:$G$5001,"&lt;&gt;")=0,"",SUMIFS(BD!$G$3:$G$5001,BD!$A$3:$A$5001,U$3,BD!$B$3:$B$5001,$A$471)))</f>
        <v/>
      </c>
      <c r="V475" s="218" t="str">
        <f>IF(V$3="","",IF(COUNTIFS(BD!$A$3:$A$5001,V$3,BD!$B$3:$B$5001,$A$471,BD!$G$3:$G$5001,"&lt;&gt;")=0,"",SUMIFS(BD!$G$3:$G$5001,BD!$A$3:$A$5001,V$3,BD!$B$3:$B$5001,$A$471)))</f>
        <v/>
      </c>
      <c r="W475" s="218" t="str">
        <f>IF(W$3="","",IF(COUNTIFS(BD!$A$3:$A$5001,W$3,BD!$B$3:$B$5001,$A$471,BD!$G$3:$G$5001,"&lt;&gt;")=0,"",SUMIFS(BD!$G$3:$G$5001,BD!$A$3:$A$5001,W$3,BD!$B$3:$B$5001,$A$471)))</f>
        <v/>
      </c>
      <c r="X475" s="218" t="str">
        <f>IF(X$3="","",IF(COUNTIFS(BD!$A$3:$A$5001,X$3,BD!$B$3:$B$5001,$A$471,BD!$G$3:$G$5001,"&lt;&gt;")=0,"",SUMIFS(BD!$G$3:$G$5001,BD!$A$3:$A$5001,X$3,BD!$B$3:$B$5001,$A$471)))</f>
        <v/>
      </c>
      <c r="Y475" s="218" t="str">
        <f>IF(Y$3="","",IF(COUNTIFS(BD!$A$3:$A$5001,Y$3,BD!$B$3:$B$5001,$A$471,BD!$G$3:$G$5001,"&lt;&gt;")=0,"",SUMIFS(BD!$G$3:$G$5001,BD!$A$3:$A$5001,Y$3,BD!$B$3:$B$5001,$A$471)))</f>
        <v/>
      </c>
      <c r="Z475" s="218" t="str">
        <f>IF(Z$3="","",IF(COUNTIFS(BD!$A$3:$A$5001,Z$3,BD!$B$3:$B$5001,$A$471,BD!$G$3:$G$5001,"&lt;&gt;")=0,"",SUMIFS(BD!$G$3:$G$5001,BD!$A$3:$A$5001,Z$3,BD!$B$3:$B$5001,$A$471)))</f>
        <v/>
      </c>
      <c r="AA475" s="218" t="str">
        <f>IF(AA$3="","",IF(COUNTIFS(BD!$A$3:$A$5001,AA$3,BD!$B$3:$B$5001,$A$471,BD!$G$3:$G$5001,"&lt;&gt;")=0,"",SUMIFS(BD!$G$3:$G$5001,BD!$A$3:$A$5001,AA$3,BD!$B$3:$B$5001,$A$471)))</f>
        <v/>
      </c>
      <c r="AB475" s="218" t="str">
        <f>IF(AB$3="","",IF(COUNTIFS(BD!$A$3:$A$5001,AB$3,BD!$B$3:$B$5001,$A$471,BD!$G$3:$G$5001,"&lt;&gt;")=0,"",SUMIFS(BD!$G$3:$G$5001,BD!$A$3:$A$5001,AB$3,BD!$B$3:$B$5001,$A$471)))</f>
        <v/>
      </c>
      <c r="AC475" s="218" t="str">
        <f>IF(AC$3="","",IF(COUNTIFS(BD!$A$3:$A$5001,AC$3,BD!$B$3:$B$5001,$A$471,BD!$G$3:$G$5001,"&lt;&gt;")=0,"",SUMIFS(BD!$G$3:$G$5001,BD!$A$3:$A$5001,AC$3,BD!$B$3:$B$5001,$A$471)))</f>
        <v/>
      </c>
      <c r="AD475" s="218" t="str">
        <f>IF(AD$3="","",IF(COUNTIFS(BD!$A$3:$A$5001,AD$3,BD!$B$3:$B$5001,$A$471,BD!$G$3:$G$5001,"&lt;&gt;")=0,"",SUMIFS(BD!$G$3:$G$5001,BD!$A$3:$A$5001,AD$3,BD!$B$3:$B$5001,$A$471)))</f>
        <v/>
      </c>
      <c r="AE475" s="218" t="str">
        <f>IF(AE$3="","",IF(COUNTIFS(BD!$A$3:$A$5001,AE$3,BD!$B$3:$B$5001,$A$471,BD!$G$3:$G$5001,"&lt;&gt;")=0,"",SUMIFS(BD!$G$3:$G$5001,BD!$A$3:$A$5001,AE$3,BD!$B$3:$B$5001,$A$471)))</f>
        <v/>
      </c>
      <c r="AF475" s="218" t="str">
        <f>IF(AF$3="","",IF(COUNTIFS(BD!$A$3:$A$5001,AF$3,BD!$B$3:$B$5001,$A$471,BD!$G$3:$G$5001,"&lt;&gt;")=0,"",SUMIFS(BD!$G$3:$G$5001,BD!$A$3:$A$5001,AF$3,BD!$B$3:$B$5001,$A$471)))</f>
        <v/>
      </c>
      <c r="AG475" s="218" t="str">
        <f>IF(AG$3="","",IF(COUNTIFS(BD!$A$3:$A$5001,AG$3,BD!$B$3:$B$5001,$A$471,BD!$G$3:$G$5001,"&lt;&gt;")=0,"",SUMIFS(BD!$G$3:$G$5001,BD!$A$3:$A$5001,AG$3,BD!$B$3:$B$5001,$A$471)))</f>
        <v/>
      </c>
      <c r="AH475" s="218" t="str">
        <f>IF(AH$3="","",IF(COUNTIFS(BD!$A$3:$A$5001,AH$3,BD!$B$3:$B$5001,$A$471,BD!$G$3:$G$5001,"&lt;&gt;")=0,"",SUMIFS(BD!$G$3:$G$5001,BD!$A$3:$A$5001,AH$3,BD!$B$3:$B$5001,$A$471)))</f>
        <v/>
      </c>
      <c r="AI475" s="218" t="str">
        <f>IF(AI$3="","",IF(COUNTIFS(BD!$A$3:$A$5001,AI$3,BD!$B$3:$B$5001,$A$471,BD!$G$3:$G$5001,"&lt;&gt;")=0,"",SUMIFS(BD!$G$3:$G$5001,BD!$A$3:$A$5001,AI$3,BD!$B$3:$B$5001,$A$471)))</f>
        <v/>
      </c>
      <c r="AJ475" s="219" t="str">
        <f>IF(AJ$3="","",IF(COUNTIFS(BD!$A$3:$A$5001,AJ$3,BD!$B$3:$B$5001,$A$471,BD!$G$3:$G$5001,"&lt;&gt;")=0,"",SUMIFS(BD!$G$3:$G$5001,BD!$A$3:$A$5001,AJ$3,BD!$B$3:$B$5001,$A$471)))</f>
        <v/>
      </c>
      <c r="AK475" s="220" t="str">
        <f>IF(COUNT(F475:AJ475)=0,"",SUM(F475:AJ475))</f>
        <v/>
      </c>
    </row>
    <row r="476" ht="15.75" customHeight="1" hidden="1">
      <c r="A476" s="261"/>
      <c r="B476" s="256"/>
      <c r="C476" s="214" t="inlineStr">
        <is>
          <t xml:space="preserve">Itens Recebidos</t>
        </is>
      </c>
      <c r="D476" s="215" t="str">
        <f>IFERROR(1/(1/INDEX(BD!$AL$28:$BF$28,MATCH($A$471,BD!$AL$22:$BF$22,0))),"")</f>
        <v/>
      </c>
      <c r="E476" s="216"/>
      <c r="F476" s="217" t="str">
        <f>IF(F$3="","",IF(COUNTIFS(BD!$A$3:$A$5001,F$3,BD!$B$3:$B$5001,$A$471,BD!$H$3:$H$5001,"&lt;&gt;")=0,"",SUMIFS(BD!$H$3:$H$5001,BD!$A$3:$A$5001,F$3,BD!$B$3:$B$5001,$A$471)))</f>
        <v/>
      </c>
      <c r="G476" s="218" t="str">
        <f>IF(G$3="","",IF(COUNTIFS(BD!$A$3:$A$5001,G$3,BD!$B$3:$B$5001,$A$471,BD!$H$3:$H$5001,"&lt;&gt;")=0,"",SUMIFS(BD!$H$3:$H$5001,BD!$A$3:$A$5001,G$3,BD!$B$3:$B$5001,$A$471)))</f>
        <v/>
      </c>
      <c r="H476" s="218" t="str">
        <f>IF(H$3="","",IF(COUNTIFS(BD!$A$3:$A$5001,H$3,BD!$B$3:$B$5001,$A$471,BD!$H$3:$H$5001,"&lt;&gt;")=0,"",SUMIFS(BD!$H$3:$H$5001,BD!$A$3:$A$5001,H$3,BD!$B$3:$B$5001,$A$471)))</f>
        <v/>
      </c>
      <c r="I476" s="218" t="str">
        <f>IF(I$3="","",IF(COUNTIFS(BD!$A$3:$A$5001,I$3,BD!$B$3:$B$5001,$A$471,BD!$H$3:$H$5001,"&lt;&gt;")=0,"",SUMIFS(BD!$H$3:$H$5001,BD!$A$3:$A$5001,I$3,BD!$B$3:$B$5001,$A$471)))</f>
        <v/>
      </c>
      <c r="J476" s="218" t="str">
        <f>IF(J$3="","",IF(COUNTIFS(BD!$A$3:$A$5001,J$3,BD!$B$3:$B$5001,$A$471,BD!$H$3:$H$5001,"&lt;&gt;")=0,"",SUMIFS(BD!$H$3:$H$5001,BD!$A$3:$A$5001,J$3,BD!$B$3:$B$5001,$A$471)))</f>
        <v/>
      </c>
      <c r="K476" s="218" t="str">
        <f>IF(K$3="","",IF(COUNTIFS(BD!$A$3:$A$5001,K$3,BD!$B$3:$B$5001,$A$471,BD!$H$3:$H$5001,"&lt;&gt;")=0,"",SUMIFS(BD!$H$3:$H$5001,BD!$A$3:$A$5001,K$3,BD!$B$3:$B$5001,$A$471)))</f>
        <v/>
      </c>
      <c r="L476" s="218" t="str">
        <f>IF(L$3="","",IF(COUNTIFS(BD!$A$3:$A$5001,L$3,BD!$B$3:$B$5001,$A$471,BD!$H$3:$H$5001,"&lt;&gt;")=0,"",SUMIFS(BD!$H$3:$H$5001,BD!$A$3:$A$5001,L$3,BD!$B$3:$B$5001,$A$471)))</f>
        <v/>
      </c>
      <c r="M476" s="218" t="str">
        <f>IF(M$3="","",IF(COUNTIFS(BD!$A$3:$A$5001,M$3,BD!$B$3:$B$5001,$A$471,BD!$H$3:$H$5001,"&lt;&gt;")=0,"",SUMIFS(BD!$H$3:$H$5001,BD!$A$3:$A$5001,M$3,BD!$B$3:$B$5001,$A$471)))</f>
        <v/>
      </c>
      <c r="N476" s="218" t="str">
        <f>IF(N$3="","",IF(COUNTIFS(BD!$A$3:$A$5001,N$3,BD!$B$3:$B$5001,$A$471,BD!$H$3:$H$5001,"&lt;&gt;")=0,"",SUMIFS(BD!$H$3:$H$5001,BD!$A$3:$A$5001,N$3,BD!$B$3:$B$5001,$A$471)))</f>
        <v/>
      </c>
      <c r="O476" s="218" t="str">
        <f>IF(O$3="","",IF(COUNTIFS(BD!$A$3:$A$5001,O$3,BD!$B$3:$B$5001,$A$471,BD!$H$3:$H$5001,"&lt;&gt;")=0,"",SUMIFS(BD!$H$3:$H$5001,BD!$A$3:$A$5001,O$3,BD!$B$3:$B$5001,$A$471)))</f>
        <v/>
      </c>
      <c r="P476" s="218" t="str">
        <f>IF(P$3="","",IF(COUNTIFS(BD!$A$3:$A$5001,P$3,BD!$B$3:$B$5001,$A$471,BD!$H$3:$H$5001,"&lt;&gt;")=0,"",SUMIFS(BD!$H$3:$H$5001,BD!$A$3:$A$5001,P$3,BD!$B$3:$B$5001,$A$471)))</f>
        <v/>
      </c>
      <c r="Q476" s="218" t="str">
        <f>IF(Q$3="","",IF(COUNTIFS(BD!$A$3:$A$5001,Q$3,BD!$B$3:$B$5001,$A$471,BD!$H$3:$H$5001,"&lt;&gt;")=0,"",SUMIFS(BD!$H$3:$H$5001,BD!$A$3:$A$5001,Q$3,BD!$B$3:$B$5001,$A$471)))</f>
        <v/>
      </c>
      <c r="R476" s="218" t="str">
        <f>IF(R$3="","",IF(COUNTIFS(BD!$A$3:$A$5001,R$3,BD!$B$3:$B$5001,$A$471,BD!$H$3:$H$5001,"&lt;&gt;")=0,"",SUMIFS(BD!$H$3:$H$5001,BD!$A$3:$A$5001,R$3,BD!$B$3:$B$5001,$A$471)))</f>
        <v/>
      </c>
      <c r="S476" s="218" t="str">
        <f>IF(S$3="","",IF(COUNTIFS(BD!$A$3:$A$5001,S$3,BD!$B$3:$B$5001,$A$471,BD!$H$3:$H$5001,"&lt;&gt;")=0,"",SUMIFS(BD!$H$3:$H$5001,BD!$A$3:$A$5001,S$3,BD!$B$3:$B$5001,$A$471)))</f>
        <v/>
      </c>
      <c r="T476" s="218" t="str">
        <f>IF(T$3="","",IF(COUNTIFS(BD!$A$3:$A$5001,T$3,BD!$B$3:$B$5001,$A$471,BD!$H$3:$H$5001,"&lt;&gt;")=0,"",SUMIFS(BD!$H$3:$H$5001,BD!$A$3:$A$5001,T$3,BD!$B$3:$B$5001,$A$471)))</f>
        <v/>
      </c>
      <c r="U476" s="218" t="str">
        <f>IF(U$3="","",IF(COUNTIFS(BD!$A$3:$A$5001,U$3,BD!$B$3:$B$5001,$A$471,BD!$H$3:$H$5001,"&lt;&gt;")=0,"",SUMIFS(BD!$H$3:$H$5001,BD!$A$3:$A$5001,U$3,BD!$B$3:$B$5001,$A$471)))</f>
        <v/>
      </c>
      <c r="V476" s="218" t="str">
        <f>IF(V$3="","",IF(COUNTIFS(BD!$A$3:$A$5001,V$3,BD!$B$3:$B$5001,$A$471,BD!$H$3:$H$5001,"&lt;&gt;")=0,"",SUMIFS(BD!$H$3:$H$5001,BD!$A$3:$A$5001,V$3,BD!$B$3:$B$5001,$A$471)))</f>
        <v/>
      </c>
      <c r="W476" s="218" t="str">
        <f>IF(W$3="","",IF(COUNTIFS(BD!$A$3:$A$5001,W$3,BD!$B$3:$B$5001,$A$471,BD!$H$3:$H$5001,"&lt;&gt;")=0,"",SUMIFS(BD!$H$3:$H$5001,BD!$A$3:$A$5001,W$3,BD!$B$3:$B$5001,$A$471)))</f>
        <v/>
      </c>
      <c r="X476" s="218" t="str">
        <f>IF(X$3="","",IF(COUNTIFS(BD!$A$3:$A$5001,X$3,BD!$B$3:$B$5001,$A$471,BD!$H$3:$H$5001,"&lt;&gt;")=0,"",SUMIFS(BD!$H$3:$H$5001,BD!$A$3:$A$5001,X$3,BD!$B$3:$B$5001,$A$471)))</f>
        <v/>
      </c>
      <c r="Y476" s="218" t="str">
        <f>IF(Y$3="","",IF(COUNTIFS(BD!$A$3:$A$5001,Y$3,BD!$B$3:$B$5001,$A$471,BD!$H$3:$H$5001,"&lt;&gt;")=0,"",SUMIFS(BD!$H$3:$H$5001,BD!$A$3:$A$5001,Y$3,BD!$B$3:$B$5001,$A$471)))</f>
        <v/>
      </c>
      <c r="Z476" s="218" t="str">
        <f>IF(Z$3="","",IF(COUNTIFS(BD!$A$3:$A$5001,Z$3,BD!$B$3:$B$5001,$A$471,BD!$H$3:$H$5001,"&lt;&gt;")=0,"",SUMIFS(BD!$H$3:$H$5001,BD!$A$3:$A$5001,Z$3,BD!$B$3:$B$5001,$A$471)))</f>
        <v/>
      </c>
      <c r="AA476" s="218" t="str">
        <f>IF(AA$3="","",IF(COUNTIFS(BD!$A$3:$A$5001,AA$3,BD!$B$3:$B$5001,$A$471,BD!$H$3:$H$5001,"&lt;&gt;")=0,"",SUMIFS(BD!$H$3:$H$5001,BD!$A$3:$A$5001,AA$3,BD!$B$3:$B$5001,$A$471)))</f>
        <v/>
      </c>
      <c r="AB476" s="218" t="str">
        <f>IF(AB$3="","",IF(COUNTIFS(BD!$A$3:$A$5001,AB$3,BD!$B$3:$B$5001,$A$471,BD!$H$3:$H$5001,"&lt;&gt;")=0,"",SUMIFS(BD!$H$3:$H$5001,BD!$A$3:$A$5001,AB$3,BD!$B$3:$B$5001,$A$471)))</f>
        <v/>
      </c>
      <c r="AC476" s="218" t="str">
        <f>IF(AC$3="","",IF(COUNTIFS(BD!$A$3:$A$5001,AC$3,BD!$B$3:$B$5001,$A$471,BD!$H$3:$H$5001,"&lt;&gt;")=0,"",SUMIFS(BD!$H$3:$H$5001,BD!$A$3:$A$5001,AC$3,BD!$B$3:$B$5001,$A$471)))</f>
        <v/>
      </c>
      <c r="AD476" s="218" t="str">
        <f>IF(AD$3="","",IF(COUNTIFS(BD!$A$3:$A$5001,AD$3,BD!$B$3:$B$5001,$A$471,BD!$H$3:$H$5001,"&lt;&gt;")=0,"",SUMIFS(BD!$H$3:$H$5001,BD!$A$3:$A$5001,AD$3,BD!$B$3:$B$5001,$A$471)))</f>
        <v/>
      </c>
      <c r="AE476" s="218" t="str">
        <f>IF(AE$3="","",IF(COUNTIFS(BD!$A$3:$A$5001,AE$3,BD!$B$3:$B$5001,$A$471,BD!$H$3:$H$5001,"&lt;&gt;")=0,"",SUMIFS(BD!$H$3:$H$5001,BD!$A$3:$A$5001,AE$3,BD!$B$3:$B$5001,$A$471)))</f>
        <v/>
      </c>
      <c r="AF476" s="218" t="str">
        <f>IF(AF$3="","",IF(COUNTIFS(BD!$A$3:$A$5001,AF$3,BD!$B$3:$B$5001,$A$471,BD!$H$3:$H$5001,"&lt;&gt;")=0,"",SUMIFS(BD!$H$3:$H$5001,BD!$A$3:$A$5001,AF$3,BD!$B$3:$B$5001,$A$471)))</f>
        <v/>
      </c>
      <c r="AG476" s="218" t="str">
        <f>IF(AG$3="","",IF(COUNTIFS(BD!$A$3:$A$5001,AG$3,BD!$B$3:$B$5001,$A$471,BD!$H$3:$H$5001,"&lt;&gt;")=0,"",SUMIFS(BD!$H$3:$H$5001,BD!$A$3:$A$5001,AG$3,BD!$B$3:$B$5001,$A$471)))</f>
        <v/>
      </c>
      <c r="AH476" s="218" t="str">
        <f>IF(AH$3="","",IF(COUNTIFS(BD!$A$3:$A$5001,AH$3,BD!$B$3:$B$5001,$A$471,BD!$H$3:$H$5001,"&lt;&gt;")=0,"",SUMIFS(BD!$H$3:$H$5001,BD!$A$3:$A$5001,AH$3,BD!$B$3:$B$5001,$A$471)))</f>
        <v/>
      </c>
      <c r="AI476" s="218" t="str">
        <f>IF(AI$3="","",IF(COUNTIFS(BD!$A$3:$A$5001,AI$3,BD!$B$3:$B$5001,$A$471,BD!$H$3:$H$5001,"&lt;&gt;")=0,"",SUMIFS(BD!$H$3:$H$5001,BD!$A$3:$A$5001,AI$3,BD!$B$3:$B$5001,$A$471)))</f>
        <v/>
      </c>
      <c r="AJ476" s="219" t="str">
        <f>IF(AJ$3="","",IF(COUNTIFS(BD!$A$3:$A$5001,AJ$3,BD!$B$3:$B$5001,$A$471,BD!$H$3:$H$5001,"&lt;&gt;")=0,"",SUMIFS(BD!$H$3:$H$5001,BD!$A$3:$A$5001,AJ$3,BD!$B$3:$B$5001,$A$471)))</f>
        <v/>
      </c>
      <c r="AK476" s="220" t="str">
        <f>IF(COUNT(F476:AJ476)=0,"",SUM(F476:AJ476))</f>
        <v/>
      </c>
    </row>
    <row r="477" ht="15.75" customHeight="1" hidden="1">
      <c r="A477" s="261"/>
      <c r="B477" s="256"/>
      <c r="C477" s="214" t="inlineStr">
        <is>
          <t xml:space="preserve">Itens Recebidos CX Mista</t>
        </is>
      </c>
      <c r="D477" s="215" t="str">
        <f>IFERROR(1/(1/INDEX(BD!$AL$29:$BF$29,MATCH($A$471,BD!$AL$22:$BF$22,0))),"")</f>
        <v/>
      </c>
      <c r="E477" s="216"/>
      <c r="F477" s="217" t="str">
        <f>IF(F$3="","",IF(COUNTIFS(BD!$A$3:$A$5001,F$3,BD!$B$3:$B$5001,$A$471,BD!$I$3:$I$5001,"&lt;&gt;")=0,"",SUMIFS(BD!$I$3:$I$5001,BD!$A$3:$A$5001,F$3,BD!$B$3:$B$5001,$A$471)))</f>
        <v/>
      </c>
      <c r="G477" s="218" t="str">
        <f>IF(G$3="","",IF(COUNTIFS(BD!$A$3:$A$5001,G$3,BD!$B$3:$B$5001,$A$471,BD!$I$3:$I$5001,"&lt;&gt;")=0,"",SUMIFS(BD!$I$3:$I$5001,BD!$A$3:$A$5001,G$3,BD!$B$3:$B$5001,$A$471)))</f>
        <v/>
      </c>
      <c r="H477" s="218" t="str">
        <f>IF(H$3="","",IF(COUNTIFS(BD!$A$3:$A$5001,H$3,BD!$B$3:$B$5001,$A$471,BD!$I$3:$I$5001,"&lt;&gt;")=0,"",SUMIFS(BD!$I$3:$I$5001,BD!$A$3:$A$5001,H$3,BD!$B$3:$B$5001,$A$471)))</f>
        <v/>
      </c>
      <c r="I477" s="218" t="str">
        <f>IF(I$3="","",IF(COUNTIFS(BD!$A$3:$A$5001,I$3,BD!$B$3:$B$5001,$A$471,BD!$I$3:$I$5001,"&lt;&gt;")=0,"",SUMIFS(BD!$I$3:$I$5001,BD!$A$3:$A$5001,I$3,BD!$B$3:$B$5001,$A$471)))</f>
        <v/>
      </c>
      <c r="J477" s="218" t="str">
        <f>IF(J$3="","",IF(COUNTIFS(BD!$A$3:$A$5001,J$3,BD!$B$3:$B$5001,$A$471,BD!$I$3:$I$5001,"&lt;&gt;")=0,"",SUMIFS(BD!$I$3:$I$5001,BD!$A$3:$A$5001,J$3,BD!$B$3:$B$5001,$A$471)))</f>
        <v/>
      </c>
      <c r="K477" s="218" t="str">
        <f>IF(K$3="","",IF(COUNTIFS(BD!$A$3:$A$5001,K$3,BD!$B$3:$B$5001,$A$471,BD!$I$3:$I$5001,"&lt;&gt;")=0,"",SUMIFS(BD!$I$3:$I$5001,BD!$A$3:$A$5001,K$3,BD!$B$3:$B$5001,$A$471)))</f>
        <v/>
      </c>
      <c r="L477" s="218" t="str">
        <f>IF(L$3="","",IF(COUNTIFS(BD!$A$3:$A$5001,L$3,BD!$B$3:$B$5001,$A$471,BD!$I$3:$I$5001,"&lt;&gt;")=0,"",SUMIFS(BD!$I$3:$I$5001,BD!$A$3:$A$5001,L$3,BD!$B$3:$B$5001,$A$471)))</f>
        <v/>
      </c>
      <c r="M477" s="218" t="str">
        <f>IF(M$3="","",IF(COUNTIFS(BD!$A$3:$A$5001,M$3,BD!$B$3:$B$5001,$A$471,BD!$I$3:$I$5001,"&lt;&gt;")=0,"",SUMIFS(BD!$I$3:$I$5001,BD!$A$3:$A$5001,M$3,BD!$B$3:$B$5001,$A$471)))</f>
        <v/>
      </c>
      <c r="N477" s="218" t="str">
        <f>IF(N$3="","",IF(COUNTIFS(BD!$A$3:$A$5001,N$3,BD!$B$3:$B$5001,$A$471,BD!$I$3:$I$5001,"&lt;&gt;")=0,"",SUMIFS(BD!$I$3:$I$5001,BD!$A$3:$A$5001,N$3,BD!$B$3:$B$5001,$A$471)))</f>
        <v/>
      </c>
      <c r="O477" s="218" t="str">
        <f>IF(O$3="","",IF(COUNTIFS(BD!$A$3:$A$5001,O$3,BD!$B$3:$B$5001,$A$471,BD!$I$3:$I$5001,"&lt;&gt;")=0,"",SUMIFS(BD!$I$3:$I$5001,BD!$A$3:$A$5001,O$3,BD!$B$3:$B$5001,$A$471)))</f>
        <v/>
      </c>
      <c r="P477" s="218" t="str">
        <f>IF(P$3="","",IF(COUNTIFS(BD!$A$3:$A$5001,P$3,BD!$B$3:$B$5001,$A$471,BD!$I$3:$I$5001,"&lt;&gt;")=0,"",SUMIFS(BD!$I$3:$I$5001,BD!$A$3:$A$5001,P$3,BD!$B$3:$B$5001,$A$471)))</f>
        <v/>
      </c>
      <c r="Q477" s="218" t="str">
        <f>IF(Q$3="","",IF(COUNTIFS(BD!$A$3:$A$5001,Q$3,BD!$B$3:$B$5001,$A$471,BD!$I$3:$I$5001,"&lt;&gt;")=0,"",SUMIFS(BD!$I$3:$I$5001,BD!$A$3:$A$5001,Q$3,BD!$B$3:$B$5001,$A$471)))</f>
        <v/>
      </c>
      <c r="R477" s="218" t="str">
        <f>IF(R$3="","",IF(COUNTIFS(BD!$A$3:$A$5001,R$3,BD!$B$3:$B$5001,$A$471,BD!$I$3:$I$5001,"&lt;&gt;")=0,"",SUMIFS(BD!$I$3:$I$5001,BD!$A$3:$A$5001,R$3,BD!$B$3:$B$5001,$A$471)))</f>
        <v/>
      </c>
      <c r="S477" s="218" t="str">
        <f>IF(S$3="","",IF(COUNTIFS(BD!$A$3:$A$5001,S$3,BD!$B$3:$B$5001,$A$471,BD!$I$3:$I$5001,"&lt;&gt;")=0,"",SUMIFS(BD!$I$3:$I$5001,BD!$A$3:$A$5001,S$3,BD!$B$3:$B$5001,$A$471)))</f>
        <v/>
      </c>
      <c r="T477" s="218" t="str">
        <f>IF(T$3="","",IF(COUNTIFS(BD!$A$3:$A$5001,T$3,BD!$B$3:$B$5001,$A$471,BD!$I$3:$I$5001,"&lt;&gt;")=0,"",SUMIFS(BD!$I$3:$I$5001,BD!$A$3:$A$5001,T$3,BD!$B$3:$B$5001,$A$471)))</f>
        <v/>
      </c>
      <c r="U477" s="218" t="str">
        <f>IF(U$3="","",IF(COUNTIFS(BD!$A$3:$A$5001,U$3,BD!$B$3:$B$5001,$A$471,BD!$I$3:$I$5001,"&lt;&gt;")=0,"",SUMIFS(BD!$I$3:$I$5001,BD!$A$3:$A$5001,U$3,BD!$B$3:$B$5001,$A$471)))</f>
        <v/>
      </c>
      <c r="V477" s="218" t="str">
        <f>IF(V$3="","",IF(COUNTIFS(BD!$A$3:$A$5001,V$3,BD!$B$3:$B$5001,$A$471,BD!$I$3:$I$5001,"&lt;&gt;")=0,"",SUMIFS(BD!$I$3:$I$5001,BD!$A$3:$A$5001,V$3,BD!$B$3:$B$5001,$A$471)))</f>
        <v/>
      </c>
      <c r="W477" s="218" t="str">
        <f>IF(W$3="","",IF(COUNTIFS(BD!$A$3:$A$5001,W$3,BD!$B$3:$B$5001,$A$471,BD!$I$3:$I$5001,"&lt;&gt;")=0,"",SUMIFS(BD!$I$3:$I$5001,BD!$A$3:$A$5001,W$3,BD!$B$3:$B$5001,$A$471)))</f>
        <v/>
      </c>
      <c r="X477" s="218" t="str">
        <f>IF(X$3="","",IF(COUNTIFS(BD!$A$3:$A$5001,X$3,BD!$B$3:$B$5001,$A$471,BD!$I$3:$I$5001,"&lt;&gt;")=0,"",SUMIFS(BD!$I$3:$I$5001,BD!$A$3:$A$5001,X$3,BD!$B$3:$B$5001,$A$471)))</f>
        <v/>
      </c>
      <c r="Y477" s="218" t="str">
        <f>IF(Y$3="","",IF(COUNTIFS(BD!$A$3:$A$5001,Y$3,BD!$B$3:$B$5001,$A$471,BD!$I$3:$I$5001,"&lt;&gt;")=0,"",SUMIFS(BD!$I$3:$I$5001,BD!$A$3:$A$5001,Y$3,BD!$B$3:$B$5001,$A$471)))</f>
        <v/>
      </c>
      <c r="Z477" s="218" t="str">
        <f>IF(Z$3="","",IF(COUNTIFS(BD!$A$3:$A$5001,Z$3,BD!$B$3:$B$5001,$A$471,BD!$I$3:$I$5001,"&lt;&gt;")=0,"",SUMIFS(BD!$I$3:$I$5001,BD!$A$3:$A$5001,Z$3,BD!$B$3:$B$5001,$A$471)))</f>
        <v/>
      </c>
      <c r="AA477" s="218" t="str">
        <f>IF(AA$3="","",IF(COUNTIFS(BD!$A$3:$A$5001,AA$3,BD!$B$3:$B$5001,$A$471,BD!$I$3:$I$5001,"&lt;&gt;")=0,"",SUMIFS(BD!$I$3:$I$5001,BD!$A$3:$A$5001,AA$3,BD!$B$3:$B$5001,$A$471)))</f>
        <v/>
      </c>
      <c r="AB477" s="218" t="str">
        <f>IF(AB$3="","",IF(COUNTIFS(BD!$A$3:$A$5001,AB$3,BD!$B$3:$B$5001,$A$471,BD!$I$3:$I$5001,"&lt;&gt;")=0,"",SUMIFS(BD!$I$3:$I$5001,BD!$A$3:$A$5001,AB$3,BD!$B$3:$B$5001,$A$471)))</f>
        <v/>
      </c>
      <c r="AC477" s="218" t="str">
        <f>IF(AC$3="","",IF(COUNTIFS(BD!$A$3:$A$5001,AC$3,BD!$B$3:$B$5001,$A$471,BD!$I$3:$I$5001,"&lt;&gt;")=0,"",SUMIFS(BD!$I$3:$I$5001,BD!$A$3:$A$5001,AC$3,BD!$B$3:$B$5001,$A$471)))</f>
        <v/>
      </c>
      <c r="AD477" s="218" t="str">
        <f>IF(AD$3="","",IF(COUNTIFS(BD!$A$3:$A$5001,AD$3,BD!$B$3:$B$5001,$A$471,BD!$I$3:$I$5001,"&lt;&gt;")=0,"",SUMIFS(BD!$I$3:$I$5001,BD!$A$3:$A$5001,AD$3,BD!$B$3:$B$5001,$A$471)))</f>
        <v/>
      </c>
      <c r="AE477" s="218" t="str">
        <f>IF(AE$3="","",IF(COUNTIFS(BD!$A$3:$A$5001,AE$3,BD!$B$3:$B$5001,$A$471,BD!$I$3:$I$5001,"&lt;&gt;")=0,"",SUMIFS(BD!$I$3:$I$5001,BD!$A$3:$A$5001,AE$3,BD!$B$3:$B$5001,$A$471)))</f>
        <v/>
      </c>
      <c r="AF477" s="218" t="str">
        <f>IF(AF$3="","",IF(COUNTIFS(BD!$A$3:$A$5001,AF$3,BD!$B$3:$B$5001,$A$471,BD!$I$3:$I$5001,"&lt;&gt;")=0,"",SUMIFS(BD!$I$3:$I$5001,BD!$A$3:$A$5001,AF$3,BD!$B$3:$B$5001,$A$471)))</f>
        <v/>
      </c>
      <c r="AG477" s="218" t="str">
        <f>IF(AG$3="","",IF(COUNTIFS(BD!$A$3:$A$5001,AG$3,BD!$B$3:$B$5001,$A$471,BD!$I$3:$I$5001,"&lt;&gt;")=0,"",SUMIFS(BD!$I$3:$I$5001,BD!$A$3:$A$5001,AG$3,BD!$B$3:$B$5001,$A$471)))</f>
        <v/>
      </c>
      <c r="AH477" s="218" t="str">
        <f>IF(AH$3="","",IF(COUNTIFS(BD!$A$3:$A$5001,AH$3,BD!$B$3:$B$5001,$A$471,BD!$I$3:$I$5001,"&lt;&gt;")=0,"",SUMIFS(BD!$I$3:$I$5001,BD!$A$3:$A$5001,AH$3,BD!$B$3:$B$5001,$A$471)))</f>
        <v/>
      </c>
      <c r="AI477" s="218" t="str">
        <f>IF(AI$3="","",IF(COUNTIFS(BD!$A$3:$A$5001,AI$3,BD!$B$3:$B$5001,$A$471,BD!$I$3:$I$5001,"&lt;&gt;")=0,"",SUMIFS(BD!$I$3:$I$5001,BD!$A$3:$A$5001,AI$3,BD!$B$3:$B$5001,$A$471)))</f>
        <v/>
      </c>
      <c r="AJ477" s="219" t="str">
        <f>IF(AJ$3="","",IF(COUNTIFS(BD!$A$3:$A$5001,AJ$3,BD!$B$3:$B$5001,$A$471,BD!$I$3:$I$5001,"&lt;&gt;")=0,"",SUMIFS(BD!$I$3:$I$5001,BD!$A$3:$A$5001,AJ$3,BD!$B$3:$B$5001,$A$471)))</f>
        <v/>
      </c>
      <c r="AK477" s="220" t="str">
        <f>IF(COUNT(F477:AJ477)=0,"",SUM(F477:AJ477))</f>
        <v/>
      </c>
    </row>
    <row r="478" ht="15.75" customHeight="1" hidden="1">
      <c r="A478" s="261"/>
      <c r="B478" s="256"/>
      <c r="C478" s="214" t="inlineStr">
        <is>
          <t xml:space="preserve">Caixas Fechadas</t>
        </is>
      </c>
      <c r="D478" s="215" t="str">
        <f>IFERROR(1/(1/INDEX(BD!$AL$30:$BF$30,MATCH($A$471,BD!$AL$22:$BF$22,0))),"")</f>
        <v/>
      </c>
      <c r="E478" s="216"/>
      <c r="F478" s="217" t="str">
        <f>IF(F$3="","",IF(COUNTIFS(BD!$A$3:$A$5001,F$3,BD!$B$3:$B$5001,$A$471,BD!$J$3:$J$5001,"&lt;&gt;")=0,"",SUMIFS(BD!$J$3:$J$5001,BD!$A$3:$A$5001,F$3,BD!$B$3:$B$5001,$A$471)))</f>
        <v/>
      </c>
      <c r="G478" s="218" t="str">
        <f>IF(G$3="","",IF(COUNTIFS(BD!$A$3:$A$5001,G$3,BD!$B$3:$B$5001,$A$471,BD!$J$3:$J$5001,"&lt;&gt;")=0,"",SUMIFS(BD!$J$3:$J$5001,BD!$A$3:$A$5001,G$3,BD!$B$3:$B$5001,$A$471)))</f>
        <v/>
      </c>
      <c r="H478" s="218" t="str">
        <f>IF(H$3="","",IF(COUNTIFS(BD!$A$3:$A$5001,H$3,BD!$B$3:$B$5001,$A$471,BD!$J$3:$J$5001,"&lt;&gt;")=0,"",SUMIFS(BD!$J$3:$J$5001,BD!$A$3:$A$5001,H$3,BD!$B$3:$B$5001,$A$471)))</f>
        <v/>
      </c>
      <c r="I478" s="218" t="str">
        <f>IF(I$3="","",IF(COUNTIFS(BD!$A$3:$A$5001,I$3,BD!$B$3:$B$5001,$A$471,BD!$J$3:$J$5001,"&lt;&gt;")=0,"",SUMIFS(BD!$J$3:$J$5001,BD!$A$3:$A$5001,I$3,BD!$B$3:$B$5001,$A$471)))</f>
        <v/>
      </c>
      <c r="J478" s="218" t="str">
        <f>IF(J$3="","",IF(COUNTIFS(BD!$A$3:$A$5001,J$3,BD!$B$3:$B$5001,$A$471,BD!$J$3:$J$5001,"&lt;&gt;")=0,"",SUMIFS(BD!$J$3:$J$5001,BD!$A$3:$A$5001,J$3,BD!$B$3:$B$5001,$A$471)))</f>
        <v/>
      </c>
      <c r="K478" s="218" t="str">
        <f>IF(K$3="","",IF(COUNTIFS(BD!$A$3:$A$5001,K$3,BD!$B$3:$B$5001,$A$471,BD!$J$3:$J$5001,"&lt;&gt;")=0,"",SUMIFS(BD!$J$3:$J$5001,BD!$A$3:$A$5001,K$3,BD!$B$3:$B$5001,$A$471)))</f>
        <v/>
      </c>
      <c r="L478" s="218" t="str">
        <f>IF(L$3="","",IF(COUNTIFS(BD!$A$3:$A$5001,L$3,BD!$B$3:$B$5001,$A$471,BD!$J$3:$J$5001,"&lt;&gt;")=0,"",SUMIFS(BD!$J$3:$J$5001,BD!$A$3:$A$5001,L$3,BD!$B$3:$B$5001,$A$471)))</f>
        <v/>
      </c>
      <c r="M478" s="218" t="str">
        <f>IF(M$3="","",IF(COUNTIFS(BD!$A$3:$A$5001,M$3,BD!$B$3:$B$5001,$A$471,BD!$J$3:$J$5001,"&lt;&gt;")=0,"",SUMIFS(BD!$J$3:$J$5001,BD!$A$3:$A$5001,M$3,BD!$B$3:$B$5001,$A$471)))</f>
        <v/>
      </c>
      <c r="N478" s="218" t="str">
        <f>IF(N$3="","",IF(COUNTIFS(BD!$A$3:$A$5001,N$3,BD!$B$3:$B$5001,$A$471,BD!$J$3:$J$5001,"&lt;&gt;")=0,"",SUMIFS(BD!$J$3:$J$5001,BD!$A$3:$A$5001,N$3,BD!$B$3:$B$5001,$A$471)))</f>
        <v/>
      </c>
      <c r="O478" s="218" t="str">
        <f>IF(O$3="","",IF(COUNTIFS(BD!$A$3:$A$5001,O$3,BD!$B$3:$B$5001,$A$471,BD!$J$3:$J$5001,"&lt;&gt;")=0,"",SUMIFS(BD!$J$3:$J$5001,BD!$A$3:$A$5001,O$3,BD!$B$3:$B$5001,$A$471)))</f>
        <v/>
      </c>
      <c r="P478" s="218" t="str">
        <f>IF(P$3="","",IF(COUNTIFS(BD!$A$3:$A$5001,P$3,BD!$B$3:$B$5001,$A$471,BD!$J$3:$J$5001,"&lt;&gt;")=0,"",SUMIFS(BD!$J$3:$J$5001,BD!$A$3:$A$5001,P$3,BD!$B$3:$B$5001,$A$471)))</f>
        <v/>
      </c>
      <c r="Q478" s="218" t="str">
        <f>IF(Q$3="","",IF(COUNTIFS(BD!$A$3:$A$5001,Q$3,BD!$B$3:$B$5001,$A$471,BD!$J$3:$J$5001,"&lt;&gt;")=0,"",SUMIFS(BD!$J$3:$J$5001,BD!$A$3:$A$5001,Q$3,BD!$B$3:$B$5001,$A$471)))</f>
        <v/>
      </c>
      <c r="R478" s="218" t="str">
        <f>IF(R$3="","",IF(COUNTIFS(BD!$A$3:$A$5001,R$3,BD!$B$3:$B$5001,$A$471,BD!$J$3:$J$5001,"&lt;&gt;")=0,"",SUMIFS(BD!$J$3:$J$5001,BD!$A$3:$A$5001,R$3,BD!$B$3:$B$5001,$A$471)))</f>
        <v/>
      </c>
      <c r="S478" s="218" t="str">
        <f>IF(S$3="","",IF(COUNTIFS(BD!$A$3:$A$5001,S$3,BD!$B$3:$B$5001,$A$471,BD!$J$3:$J$5001,"&lt;&gt;")=0,"",SUMIFS(BD!$J$3:$J$5001,BD!$A$3:$A$5001,S$3,BD!$B$3:$B$5001,$A$471)))</f>
        <v/>
      </c>
      <c r="T478" s="218" t="str">
        <f>IF(T$3="","",IF(COUNTIFS(BD!$A$3:$A$5001,T$3,BD!$B$3:$B$5001,$A$471,BD!$J$3:$J$5001,"&lt;&gt;")=0,"",SUMIFS(BD!$J$3:$J$5001,BD!$A$3:$A$5001,T$3,BD!$B$3:$B$5001,$A$471)))</f>
        <v/>
      </c>
      <c r="U478" s="218" t="str">
        <f>IF(U$3="","",IF(COUNTIFS(BD!$A$3:$A$5001,U$3,BD!$B$3:$B$5001,$A$471,BD!$J$3:$J$5001,"&lt;&gt;")=0,"",SUMIFS(BD!$J$3:$J$5001,BD!$A$3:$A$5001,U$3,BD!$B$3:$B$5001,$A$471)))</f>
        <v/>
      </c>
      <c r="V478" s="218" t="str">
        <f>IF(V$3="","",IF(COUNTIFS(BD!$A$3:$A$5001,V$3,BD!$B$3:$B$5001,$A$471,BD!$J$3:$J$5001,"&lt;&gt;")=0,"",SUMIFS(BD!$J$3:$J$5001,BD!$A$3:$A$5001,V$3,BD!$B$3:$B$5001,$A$471)))</f>
        <v/>
      </c>
      <c r="W478" s="218" t="str">
        <f>IF(W$3="","",IF(COUNTIFS(BD!$A$3:$A$5001,W$3,BD!$B$3:$B$5001,$A$471,BD!$J$3:$J$5001,"&lt;&gt;")=0,"",SUMIFS(BD!$J$3:$J$5001,BD!$A$3:$A$5001,W$3,BD!$B$3:$B$5001,$A$471)))</f>
        <v/>
      </c>
      <c r="X478" s="218" t="str">
        <f>IF(X$3="","",IF(COUNTIFS(BD!$A$3:$A$5001,X$3,BD!$B$3:$B$5001,$A$471,BD!$J$3:$J$5001,"&lt;&gt;")=0,"",SUMIFS(BD!$J$3:$J$5001,BD!$A$3:$A$5001,X$3,BD!$B$3:$B$5001,$A$471)))</f>
        <v/>
      </c>
      <c r="Y478" s="218" t="str">
        <f>IF(Y$3="","",IF(COUNTIFS(BD!$A$3:$A$5001,Y$3,BD!$B$3:$B$5001,$A$471,BD!$J$3:$J$5001,"&lt;&gt;")=0,"",SUMIFS(BD!$J$3:$J$5001,BD!$A$3:$A$5001,Y$3,BD!$B$3:$B$5001,$A$471)))</f>
        <v/>
      </c>
      <c r="Z478" s="218" t="str">
        <f>IF(Z$3="","",IF(COUNTIFS(BD!$A$3:$A$5001,Z$3,BD!$B$3:$B$5001,$A$471,BD!$J$3:$J$5001,"&lt;&gt;")=0,"",SUMIFS(BD!$J$3:$J$5001,BD!$A$3:$A$5001,Z$3,BD!$B$3:$B$5001,$A$471)))</f>
        <v/>
      </c>
      <c r="AA478" s="218" t="str">
        <f>IF(AA$3="","",IF(COUNTIFS(BD!$A$3:$A$5001,AA$3,BD!$B$3:$B$5001,$A$471,BD!$J$3:$J$5001,"&lt;&gt;")=0,"",SUMIFS(BD!$J$3:$J$5001,BD!$A$3:$A$5001,AA$3,BD!$B$3:$B$5001,$A$471)))</f>
        <v/>
      </c>
      <c r="AB478" s="218" t="str">
        <f>IF(AB$3="","",IF(COUNTIFS(BD!$A$3:$A$5001,AB$3,BD!$B$3:$B$5001,$A$471,BD!$J$3:$J$5001,"&lt;&gt;")=0,"",SUMIFS(BD!$J$3:$J$5001,BD!$A$3:$A$5001,AB$3,BD!$B$3:$B$5001,$A$471)))</f>
        <v/>
      </c>
      <c r="AC478" s="218" t="str">
        <f>IF(AC$3="","",IF(COUNTIFS(BD!$A$3:$A$5001,AC$3,BD!$B$3:$B$5001,$A$471,BD!$J$3:$J$5001,"&lt;&gt;")=0,"",SUMIFS(BD!$J$3:$J$5001,BD!$A$3:$A$5001,AC$3,BD!$B$3:$B$5001,$A$471)))</f>
        <v/>
      </c>
      <c r="AD478" s="218" t="str">
        <f>IF(AD$3="","",IF(COUNTIFS(BD!$A$3:$A$5001,AD$3,BD!$B$3:$B$5001,$A$471,BD!$J$3:$J$5001,"&lt;&gt;")=0,"",SUMIFS(BD!$J$3:$J$5001,BD!$A$3:$A$5001,AD$3,BD!$B$3:$B$5001,$A$471)))</f>
        <v/>
      </c>
      <c r="AE478" s="218" t="str">
        <f>IF(AE$3="","",IF(COUNTIFS(BD!$A$3:$A$5001,AE$3,BD!$B$3:$B$5001,$A$471,BD!$J$3:$J$5001,"&lt;&gt;")=0,"",SUMIFS(BD!$J$3:$J$5001,BD!$A$3:$A$5001,AE$3,BD!$B$3:$B$5001,$A$471)))</f>
        <v/>
      </c>
      <c r="AF478" s="218" t="str">
        <f>IF(AF$3="","",IF(COUNTIFS(BD!$A$3:$A$5001,AF$3,BD!$B$3:$B$5001,$A$471,BD!$J$3:$J$5001,"&lt;&gt;")=0,"",SUMIFS(BD!$J$3:$J$5001,BD!$A$3:$A$5001,AF$3,BD!$B$3:$B$5001,$A$471)))</f>
        <v/>
      </c>
      <c r="AG478" s="218" t="str">
        <f>IF(AG$3="","",IF(COUNTIFS(BD!$A$3:$A$5001,AG$3,BD!$B$3:$B$5001,$A$471,BD!$J$3:$J$5001,"&lt;&gt;")=0,"",SUMIFS(BD!$J$3:$J$5001,BD!$A$3:$A$5001,AG$3,BD!$B$3:$B$5001,$A$471)))</f>
        <v/>
      </c>
      <c r="AH478" s="218" t="str">
        <f>IF(AH$3="","",IF(COUNTIFS(BD!$A$3:$A$5001,AH$3,BD!$B$3:$B$5001,$A$471,BD!$J$3:$J$5001,"&lt;&gt;")=0,"",SUMIFS(BD!$J$3:$J$5001,BD!$A$3:$A$5001,AH$3,BD!$B$3:$B$5001,$A$471)))</f>
        <v/>
      </c>
      <c r="AI478" s="218" t="str">
        <f>IF(AI$3="","",IF(COUNTIFS(BD!$A$3:$A$5001,AI$3,BD!$B$3:$B$5001,$A$471,BD!$J$3:$J$5001,"&lt;&gt;")=0,"",SUMIFS(BD!$J$3:$J$5001,BD!$A$3:$A$5001,AI$3,BD!$B$3:$B$5001,$A$471)))</f>
        <v/>
      </c>
      <c r="AJ478" s="219" t="str">
        <f>IF(AJ$3="","",IF(COUNTIFS(BD!$A$3:$A$5001,AJ$3,BD!$B$3:$B$5001,$A$471,BD!$J$3:$J$5001,"&lt;&gt;")=0,"",SUMIFS(BD!$J$3:$J$5001,BD!$A$3:$A$5001,AJ$3,BD!$B$3:$B$5001,$A$471)))</f>
        <v/>
      </c>
      <c r="AK478" s="220" t="str">
        <f>IF(COUNT(F478:AJ478)=0,"",SUM(F478:AJ478))</f>
        <v/>
      </c>
    </row>
    <row r="479" ht="15.75" customHeight="1" hidden="1">
      <c r="A479" s="261"/>
      <c r="B479" s="250"/>
      <c r="C479" s="175" t="inlineStr">
        <is>
          <t xml:space="preserve">Caixas Mistas Recebidas</t>
        </is>
      </c>
      <c r="D479" s="176" t="str">
        <f>IFERROR(1/(1/INDEX(BD!$AL$31:$BF$31,MATCH($A$471,BD!$AL$22:$BF$22,0))),"")</f>
        <v/>
      </c>
      <c r="E479" s="177"/>
      <c r="F479" s="178" t="str">
        <f>IF(F$3="","",IF(COUNTIFS(BD!$A$3:$A$5001,F$3,BD!$B$3:$B$5001,$A$471,BD!$K$3:$K$5001,"&lt;&gt;")=0,"",SUMIFS(BD!$K$3:$K$5001,BD!$A$3:$A$5001,F$3,BD!$B$3:$B$5001,$A$471)))</f>
        <v/>
      </c>
      <c r="G479" s="179" t="str">
        <f>IF(G$3="","",IF(COUNTIFS(BD!$A$3:$A$5001,G$3,BD!$B$3:$B$5001,$A$471,BD!$K$3:$K$5001,"&lt;&gt;")=0,"",SUMIFS(BD!$K$3:$K$5001,BD!$A$3:$A$5001,G$3,BD!$B$3:$B$5001,$A$471)))</f>
        <v/>
      </c>
      <c r="H479" s="179" t="str">
        <f>IF(H$3="","",IF(COUNTIFS(BD!$A$3:$A$5001,H$3,BD!$B$3:$B$5001,$A$471,BD!$K$3:$K$5001,"&lt;&gt;")=0,"",SUMIFS(BD!$K$3:$K$5001,BD!$A$3:$A$5001,H$3,BD!$B$3:$B$5001,$A$471)))</f>
        <v/>
      </c>
      <c r="I479" s="179" t="str">
        <f>IF(I$3="","",IF(COUNTIFS(BD!$A$3:$A$5001,I$3,BD!$B$3:$B$5001,$A$471,BD!$K$3:$K$5001,"&lt;&gt;")=0,"",SUMIFS(BD!$K$3:$K$5001,BD!$A$3:$A$5001,I$3,BD!$B$3:$B$5001,$A$471)))</f>
        <v/>
      </c>
      <c r="J479" s="179" t="str">
        <f>IF(J$3="","",IF(COUNTIFS(BD!$A$3:$A$5001,J$3,BD!$B$3:$B$5001,$A$471,BD!$K$3:$K$5001,"&lt;&gt;")=0,"",SUMIFS(BD!$K$3:$K$5001,BD!$A$3:$A$5001,J$3,BD!$B$3:$B$5001,$A$471)))</f>
        <v/>
      </c>
      <c r="K479" s="179" t="str">
        <f>IF(K$3="","",IF(COUNTIFS(BD!$A$3:$A$5001,K$3,BD!$B$3:$B$5001,$A$471,BD!$K$3:$K$5001,"&lt;&gt;")=0,"",SUMIFS(BD!$K$3:$K$5001,BD!$A$3:$A$5001,K$3,BD!$B$3:$B$5001,$A$471)))</f>
        <v/>
      </c>
      <c r="L479" s="179" t="str">
        <f>IF(L$3="","",IF(COUNTIFS(BD!$A$3:$A$5001,L$3,BD!$B$3:$B$5001,$A$471,BD!$K$3:$K$5001,"&lt;&gt;")=0,"",SUMIFS(BD!$K$3:$K$5001,BD!$A$3:$A$5001,L$3,BD!$B$3:$B$5001,$A$471)))</f>
        <v/>
      </c>
      <c r="M479" s="179" t="str">
        <f>IF(M$3="","",IF(COUNTIFS(BD!$A$3:$A$5001,M$3,BD!$B$3:$B$5001,$A$471,BD!$K$3:$K$5001,"&lt;&gt;")=0,"",SUMIFS(BD!$K$3:$K$5001,BD!$A$3:$A$5001,M$3,BD!$B$3:$B$5001,$A$471)))</f>
        <v/>
      </c>
      <c r="N479" s="179" t="str">
        <f>IF(N$3="","",IF(COUNTIFS(BD!$A$3:$A$5001,N$3,BD!$B$3:$B$5001,$A$471,BD!$K$3:$K$5001,"&lt;&gt;")=0,"",SUMIFS(BD!$K$3:$K$5001,BD!$A$3:$A$5001,N$3,BD!$B$3:$B$5001,$A$471)))</f>
        <v/>
      </c>
      <c r="O479" s="179" t="str">
        <f>IF(O$3="","",IF(COUNTIFS(BD!$A$3:$A$5001,O$3,BD!$B$3:$B$5001,$A$471,BD!$K$3:$K$5001,"&lt;&gt;")=0,"",SUMIFS(BD!$K$3:$K$5001,BD!$A$3:$A$5001,O$3,BD!$B$3:$B$5001,$A$471)))</f>
        <v/>
      </c>
      <c r="P479" s="179" t="str">
        <f>IF(P$3="","",IF(COUNTIFS(BD!$A$3:$A$5001,P$3,BD!$B$3:$B$5001,$A$471,BD!$K$3:$K$5001,"&lt;&gt;")=0,"",SUMIFS(BD!$K$3:$K$5001,BD!$A$3:$A$5001,P$3,BD!$B$3:$B$5001,$A$471)))</f>
        <v/>
      </c>
      <c r="Q479" s="179" t="str">
        <f>IF(Q$3="","",IF(COUNTIFS(BD!$A$3:$A$5001,Q$3,BD!$B$3:$B$5001,$A$471,BD!$K$3:$K$5001,"&lt;&gt;")=0,"",SUMIFS(BD!$K$3:$K$5001,BD!$A$3:$A$5001,Q$3,BD!$B$3:$B$5001,$A$471)))</f>
        <v/>
      </c>
      <c r="R479" s="179" t="str">
        <f>IF(R$3="","",IF(COUNTIFS(BD!$A$3:$A$5001,R$3,BD!$B$3:$B$5001,$A$471,BD!$K$3:$K$5001,"&lt;&gt;")=0,"",SUMIFS(BD!$K$3:$K$5001,BD!$A$3:$A$5001,R$3,BD!$B$3:$B$5001,$A$471)))</f>
        <v/>
      </c>
      <c r="S479" s="179" t="str">
        <f>IF(S$3="","",IF(COUNTIFS(BD!$A$3:$A$5001,S$3,BD!$B$3:$B$5001,$A$471,BD!$K$3:$K$5001,"&lt;&gt;")=0,"",SUMIFS(BD!$K$3:$K$5001,BD!$A$3:$A$5001,S$3,BD!$B$3:$B$5001,$A$471)))</f>
        <v/>
      </c>
      <c r="T479" s="179" t="str">
        <f>IF(T$3="","",IF(COUNTIFS(BD!$A$3:$A$5001,T$3,BD!$B$3:$B$5001,$A$471,BD!$K$3:$K$5001,"&lt;&gt;")=0,"",SUMIFS(BD!$K$3:$K$5001,BD!$A$3:$A$5001,T$3,BD!$B$3:$B$5001,$A$471)))</f>
        <v/>
      </c>
      <c r="U479" s="179" t="str">
        <f>IF(U$3="","",IF(COUNTIFS(BD!$A$3:$A$5001,U$3,BD!$B$3:$B$5001,$A$471,BD!$K$3:$K$5001,"&lt;&gt;")=0,"",SUMIFS(BD!$K$3:$K$5001,BD!$A$3:$A$5001,U$3,BD!$B$3:$B$5001,$A$471)))</f>
        <v/>
      </c>
      <c r="V479" s="179" t="str">
        <f>IF(V$3="","",IF(COUNTIFS(BD!$A$3:$A$5001,V$3,BD!$B$3:$B$5001,$A$471,BD!$K$3:$K$5001,"&lt;&gt;")=0,"",SUMIFS(BD!$K$3:$K$5001,BD!$A$3:$A$5001,V$3,BD!$B$3:$B$5001,$A$471)))</f>
        <v/>
      </c>
      <c r="W479" s="179" t="str">
        <f>IF(W$3="","",IF(COUNTIFS(BD!$A$3:$A$5001,W$3,BD!$B$3:$B$5001,$A$471,BD!$K$3:$K$5001,"&lt;&gt;")=0,"",SUMIFS(BD!$K$3:$K$5001,BD!$A$3:$A$5001,W$3,BD!$B$3:$B$5001,$A$471)))</f>
        <v/>
      </c>
      <c r="X479" s="179" t="str">
        <f>IF(X$3="","",IF(COUNTIFS(BD!$A$3:$A$5001,X$3,BD!$B$3:$B$5001,$A$471,BD!$K$3:$K$5001,"&lt;&gt;")=0,"",SUMIFS(BD!$K$3:$K$5001,BD!$A$3:$A$5001,X$3,BD!$B$3:$B$5001,$A$471)))</f>
        <v/>
      </c>
      <c r="Y479" s="179" t="str">
        <f>IF(Y$3="","",IF(COUNTIFS(BD!$A$3:$A$5001,Y$3,BD!$B$3:$B$5001,$A$471,BD!$K$3:$K$5001,"&lt;&gt;")=0,"",SUMIFS(BD!$K$3:$K$5001,BD!$A$3:$A$5001,Y$3,BD!$B$3:$B$5001,$A$471)))</f>
        <v/>
      </c>
      <c r="Z479" s="179" t="str">
        <f>IF(Z$3="","",IF(COUNTIFS(BD!$A$3:$A$5001,Z$3,BD!$B$3:$B$5001,$A$471,BD!$K$3:$K$5001,"&lt;&gt;")=0,"",SUMIFS(BD!$K$3:$K$5001,BD!$A$3:$A$5001,Z$3,BD!$B$3:$B$5001,$A$471)))</f>
        <v/>
      </c>
      <c r="AA479" s="179" t="str">
        <f>IF(AA$3="","",IF(COUNTIFS(BD!$A$3:$A$5001,AA$3,BD!$B$3:$B$5001,$A$471,BD!$K$3:$K$5001,"&lt;&gt;")=0,"",SUMIFS(BD!$K$3:$K$5001,BD!$A$3:$A$5001,AA$3,BD!$B$3:$B$5001,$A$471)))</f>
        <v/>
      </c>
      <c r="AB479" s="179" t="str">
        <f>IF(AB$3="","",IF(COUNTIFS(BD!$A$3:$A$5001,AB$3,BD!$B$3:$B$5001,$A$471,BD!$K$3:$K$5001,"&lt;&gt;")=0,"",SUMIFS(BD!$K$3:$K$5001,BD!$A$3:$A$5001,AB$3,BD!$B$3:$B$5001,$A$471)))</f>
        <v/>
      </c>
      <c r="AC479" s="179" t="str">
        <f>IF(AC$3="","",IF(COUNTIFS(BD!$A$3:$A$5001,AC$3,BD!$B$3:$B$5001,$A$471,BD!$K$3:$K$5001,"&lt;&gt;")=0,"",SUMIFS(BD!$K$3:$K$5001,BD!$A$3:$A$5001,AC$3,BD!$B$3:$B$5001,$A$471)))</f>
        <v/>
      </c>
      <c r="AD479" s="179" t="str">
        <f>IF(AD$3="","",IF(COUNTIFS(BD!$A$3:$A$5001,AD$3,BD!$B$3:$B$5001,$A$471,BD!$K$3:$K$5001,"&lt;&gt;")=0,"",SUMIFS(BD!$K$3:$K$5001,BD!$A$3:$A$5001,AD$3,BD!$B$3:$B$5001,$A$471)))</f>
        <v/>
      </c>
      <c r="AE479" s="179" t="str">
        <f>IF(AE$3="","",IF(COUNTIFS(BD!$A$3:$A$5001,AE$3,BD!$B$3:$B$5001,$A$471,BD!$K$3:$K$5001,"&lt;&gt;")=0,"",SUMIFS(BD!$K$3:$K$5001,BD!$A$3:$A$5001,AE$3,BD!$B$3:$B$5001,$A$471)))</f>
        <v/>
      </c>
      <c r="AF479" s="179" t="str">
        <f>IF(AF$3="","",IF(COUNTIFS(BD!$A$3:$A$5001,AF$3,BD!$B$3:$B$5001,$A$471,BD!$K$3:$K$5001,"&lt;&gt;")=0,"",SUMIFS(BD!$K$3:$K$5001,BD!$A$3:$A$5001,AF$3,BD!$B$3:$B$5001,$A$471)))</f>
        <v/>
      </c>
      <c r="AG479" s="179" t="str">
        <f>IF(AG$3="","",IF(COUNTIFS(BD!$A$3:$A$5001,AG$3,BD!$B$3:$B$5001,$A$471,BD!$K$3:$K$5001,"&lt;&gt;")=0,"",SUMIFS(BD!$K$3:$K$5001,BD!$A$3:$A$5001,AG$3,BD!$B$3:$B$5001,$A$471)))</f>
        <v/>
      </c>
      <c r="AH479" s="179" t="str">
        <f>IF(AH$3="","",IF(COUNTIFS(BD!$A$3:$A$5001,AH$3,BD!$B$3:$B$5001,$A$471,BD!$K$3:$K$5001,"&lt;&gt;")=0,"",SUMIFS(BD!$K$3:$K$5001,BD!$A$3:$A$5001,AH$3,BD!$B$3:$B$5001,$A$471)))</f>
        <v/>
      </c>
      <c r="AI479" s="179" t="str">
        <f>IF(AI$3="","",IF(COUNTIFS(BD!$A$3:$A$5001,AI$3,BD!$B$3:$B$5001,$A$471,BD!$K$3:$K$5001,"&lt;&gt;")=0,"",SUMIFS(BD!$K$3:$K$5001,BD!$A$3:$A$5001,AI$3,BD!$B$3:$B$5001,$A$471)))</f>
        <v/>
      </c>
      <c r="AJ479" s="180" t="str">
        <f>IF(AJ$3="","",IF(COUNTIFS(BD!$A$3:$A$5001,AJ$3,BD!$B$3:$B$5001,$A$471,BD!$K$3:$K$5001,"&lt;&gt;")=0,"",SUMIFS(BD!$K$3:$K$5001,BD!$A$3:$A$5001,AJ$3,BD!$B$3:$B$5001,$A$471)))</f>
        <v/>
      </c>
      <c r="AK479" s="176" t="str">
        <f>IF(COUNT(F479:AJ479)=0,"",SUM(F479:AJ479))</f>
        <v/>
      </c>
    </row>
    <row r="480" ht="15.75" customHeight="1" hidden="1">
      <c r="A480" s="261"/>
      <c r="B480" s="251" t="inlineStr">
        <is>
          <t xml:space="preserve">OUT</t>
        </is>
      </c>
      <c r="C480" s="181" t="inlineStr">
        <is>
          <t xml:space="preserve">Veículos Expedidos</t>
        </is>
      </c>
      <c r="D480" s="182" t="str">
        <f>IFERROR(1/(1/INDEX(BD!$AL$32:$BF$32,MATCH($A$471,BD!$AL$22:$BF$22,0))),"")</f>
        <v/>
      </c>
      <c r="E480" s="183"/>
      <c r="F480" s="184" t="str">
        <f>IF(F$3="","",IF(COUNTIFS(BD!$A$3:$A$5001,F$3,BD!$B$3:$B$5001,$A$471,BD!$L$3:$L$5001,"&lt;&gt;")=0,"",SUMIFS(BD!$L$3:$L$5001,BD!$A$3:$A$5001,F$3,BD!$B$3:$B$5001,$A$471)))</f>
        <v/>
      </c>
      <c r="G480" s="185" t="str">
        <f>IF(G$3="","",IF(COUNTIFS(BD!$A$3:$A$5001,G$3,BD!$B$3:$B$5001,$A$471,BD!$L$3:$L$5001,"&lt;&gt;")=0,"",SUMIFS(BD!$L$3:$L$5001,BD!$A$3:$A$5001,G$3,BD!$B$3:$B$5001,$A$471)))</f>
        <v/>
      </c>
      <c r="H480" s="185" t="str">
        <f>IF(H$3="","",IF(COUNTIFS(BD!$A$3:$A$5001,H$3,BD!$B$3:$B$5001,$A$471,BD!$L$3:$L$5001,"&lt;&gt;")=0,"",SUMIFS(BD!$L$3:$L$5001,BD!$A$3:$A$5001,H$3,BD!$B$3:$B$5001,$A$471)))</f>
        <v/>
      </c>
      <c r="I480" s="185" t="str">
        <f>IF(I$3="","",IF(COUNTIFS(BD!$A$3:$A$5001,I$3,BD!$B$3:$B$5001,$A$471,BD!$L$3:$L$5001,"&lt;&gt;")=0,"",SUMIFS(BD!$L$3:$L$5001,BD!$A$3:$A$5001,I$3,BD!$B$3:$B$5001,$A$471)))</f>
        <v/>
      </c>
      <c r="J480" s="185" t="str">
        <f>IF(J$3="","",IF(COUNTIFS(BD!$A$3:$A$5001,J$3,BD!$B$3:$B$5001,$A$471,BD!$L$3:$L$5001,"&lt;&gt;")=0,"",SUMIFS(BD!$L$3:$L$5001,BD!$A$3:$A$5001,J$3,BD!$B$3:$B$5001,$A$471)))</f>
        <v/>
      </c>
      <c r="K480" s="185" t="str">
        <f>IF(K$3="","",IF(COUNTIFS(BD!$A$3:$A$5001,K$3,BD!$B$3:$B$5001,$A$471,BD!$L$3:$L$5001,"&lt;&gt;")=0,"",SUMIFS(BD!$L$3:$L$5001,BD!$A$3:$A$5001,K$3,BD!$B$3:$B$5001,$A$471)))</f>
        <v/>
      </c>
      <c r="L480" s="185" t="str">
        <f>IF(L$3="","",IF(COUNTIFS(BD!$A$3:$A$5001,L$3,BD!$B$3:$B$5001,$A$471,BD!$L$3:$L$5001,"&lt;&gt;")=0,"",SUMIFS(BD!$L$3:$L$5001,BD!$A$3:$A$5001,L$3,BD!$B$3:$B$5001,$A$471)))</f>
        <v/>
      </c>
      <c r="M480" s="185" t="str">
        <f>IF(M$3="","",IF(COUNTIFS(BD!$A$3:$A$5001,M$3,BD!$B$3:$B$5001,$A$471,BD!$L$3:$L$5001,"&lt;&gt;")=0,"",SUMIFS(BD!$L$3:$L$5001,BD!$A$3:$A$5001,M$3,BD!$B$3:$B$5001,$A$471)))</f>
        <v/>
      </c>
      <c r="N480" s="185" t="str">
        <f>IF(N$3="","",IF(COUNTIFS(BD!$A$3:$A$5001,N$3,BD!$B$3:$B$5001,$A$471,BD!$L$3:$L$5001,"&lt;&gt;")=0,"",SUMIFS(BD!$L$3:$L$5001,BD!$A$3:$A$5001,N$3,BD!$B$3:$B$5001,$A$471)))</f>
        <v/>
      </c>
      <c r="O480" s="185" t="str">
        <f>IF(O$3="","",IF(COUNTIFS(BD!$A$3:$A$5001,O$3,BD!$B$3:$B$5001,$A$471,BD!$L$3:$L$5001,"&lt;&gt;")=0,"",SUMIFS(BD!$L$3:$L$5001,BD!$A$3:$A$5001,O$3,BD!$B$3:$B$5001,$A$471)))</f>
        <v/>
      </c>
      <c r="P480" s="185" t="str">
        <f>IF(P$3="","",IF(COUNTIFS(BD!$A$3:$A$5001,P$3,BD!$B$3:$B$5001,$A$471,BD!$L$3:$L$5001,"&lt;&gt;")=0,"",SUMIFS(BD!$L$3:$L$5001,BD!$A$3:$A$5001,P$3,BD!$B$3:$B$5001,$A$471)))</f>
        <v/>
      </c>
      <c r="Q480" s="185" t="str">
        <f>IF(Q$3="","",IF(COUNTIFS(BD!$A$3:$A$5001,Q$3,BD!$B$3:$B$5001,$A$471,BD!$L$3:$L$5001,"&lt;&gt;")=0,"",SUMIFS(BD!$L$3:$L$5001,BD!$A$3:$A$5001,Q$3,BD!$B$3:$B$5001,$A$471)))</f>
        <v/>
      </c>
      <c r="R480" s="185" t="str">
        <f>IF(R$3="","",IF(COUNTIFS(BD!$A$3:$A$5001,R$3,BD!$B$3:$B$5001,$A$471,BD!$L$3:$L$5001,"&lt;&gt;")=0,"",SUMIFS(BD!$L$3:$L$5001,BD!$A$3:$A$5001,R$3,BD!$B$3:$B$5001,$A$471)))</f>
        <v/>
      </c>
      <c r="S480" s="185" t="str">
        <f>IF(S$3="","",IF(COUNTIFS(BD!$A$3:$A$5001,S$3,BD!$B$3:$B$5001,$A$471,BD!$L$3:$L$5001,"&lt;&gt;")=0,"",SUMIFS(BD!$L$3:$L$5001,BD!$A$3:$A$5001,S$3,BD!$B$3:$B$5001,$A$471)))</f>
        <v/>
      </c>
      <c r="T480" s="185" t="str">
        <f>IF(T$3="","",IF(COUNTIFS(BD!$A$3:$A$5001,T$3,BD!$B$3:$B$5001,$A$471,BD!$L$3:$L$5001,"&lt;&gt;")=0,"",SUMIFS(BD!$L$3:$L$5001,BD!$A$3:$A$5001,T$3,BD!$B$3:$B$5001,$A$471)))</f>
        <v/>
      </c>
      <c r="U480" s="185" t="str">
        <f>IF(U$3="","",IF(COUNTIFS(BD!$A$3:$A$5001,U$3,BD!$B$3:$B$5001,$A$471,BD!$L$3:$L$5001,"&lt;&gt;")=0,"",SUMIFS(BD!$L$3:$L$5001,BD!$A$3:$A$5001,U$3,BD!$B$3:$B$5001,$A$471)))</f>
        <v/>
      </c>
      <c r="V480" s="185" t="str">
        <f>IF(V$3="","",IF(COUNTIFS(BD!$A$3:$A$5001,V$3,BD!$B$3:$B$5001,$A$471,BD!$L$3:$L$5001,"&lt;&gt;")=0,"",SUMIFS(BD!$L$3:$L$5001,BD!$A$3:$A$5001,V$3,BD!$B$3:$B$5001,$A$471)))</f>
        <v/>
      </c>
      <c r="W480" s="185" t="str">
        <f>IF(W$3="","",IF(COUNTIFS(BD!$A$3:$A$5001,W$3,BD!$B$3:$B$5001,$A$471,BD!$L$3:$L$5001,"&lt;&gt;")=0,"",SUMIFS(BD!$L$3:$L$5001,BD!$A$3:$A$5001,W$3,BD!$B$3:$B$5001,$A$471)))</f>
        <v/>
      </c>
      <c r="X480" s="185" t="str">
        <f>IF(X$3="","",IF(COUNTIFS(BD!$A$3:$A$5001,X$3,BD!$B$3:$B$5001,$A$471,BD!$L$3:$L$5001,"&lt;&gt;")=0,"",SUMIFS(BD!$L$3:$L$5001,BD!$A$3:$A$5001,X$3,BD!$B$3:$B$5001,$A$471)))</f>
        <v/>
      </c>
      <c r="Y480" s="185" t="str">
        <f>IF(Y$3="","",IF(COUNTIFS(BD!$A$3:$A$5001,Y$3,BD!$B$3:$B$5001,$A$471,BD!$L$3:$L$5001,"&lt;&gt;")=0,"",SUMIFS(BD!$L$3:$L$5001,BD!$A$3:$A$5001,Y$3,BD!$B$3:$B$5001,$A$471)))</f>
        <v/>
      </c>
      <c r="Z480" s="185" t="str">
        <f>IF(Z$3="","",IF(COUNTIFS(BD!$A$3:$A$5001,Z$3,BD!$B$3:$B$5001,$A$471,BD!$L$3:$L$5001,"&lt;&gt;")=0,"",SUMIFS(BD!$L$3:$L$5001,BD!$A$3:$A$5001,Z$3,BD!$B$3:$B$5001,$A$471)))</f>
        <v/>
      </c>
      <c r="AA480" s="185" t="str">
        <f>IF(AA$3="","",IF(COUNTIFS(BD!$A$3:$A$5001,AA$3,BD!$B$3:$B$5001,$A$471,BD!$L$3:$L$5001,"&lt;&gt;")=0,"",SUMIFS(BD!$L$3:$L$5001,BD!$A$3:$A$5001,AA$3,BD!$B$3:$B$5001,$A$471)))</f>
        <v/>
      </c>
      <c r="AB480" s="185" t="str">
        <f>IF(AB$3="","",IF(COUNTIFS(BD!$A$3:$A$5001,AB$3,BD!$B$3:$B$5001,$A$471,BD!$L$3:$L$5001,"&lt;&gt;")=0,"",SUMIFS(BD!$L$3:$L$5001,BD!$A$3:$A$5001,AB$3,BD!$B$3:$B$5001,$A$471)))</f>
        <v/>
      </c>
      <c r="AC480" s="185" t="str">
        <f>IF(AC$3="","",IF(COUNTIFS(BD!$A$3:$A$5001,AC$3,BD!$B$3:$B$5001,$A$471,BD!$L$3:$L$5001,"&lt;&gt;")=0,"",SUMIFS(BD!$L$3:$L$5001,BD!$A$3:$A$5001,AC$3,BD!$B$3:$B$5001,$A$471)))</f>
        <v/>
      </c>
      <c r="AD480" s="185" t="str">
        <f>IF(AD$3="","",IF(COUNTIFS(BD!$A$3:$A$5001,AD$3,BD!$B$3:$B$5001,$A$471,BD!$L$3:$L$5001,"&lt;&gt;")=0,"",SUMIFS(BD!$L$3:$L$5001,BD!$A$3:$A$5001,AD$3,BD!$B$3:$B$5001,$A$471)))</f>
        <v/>
      </c>
      <c r="AE480" s="185" t="str">
        <f>IF(AE$3="","",IF(COUNTIFS(BD!$A$3:$A$5001,AE$3,BD!$B$3:$B$5001,$A$471,BD!$L$3:$L$5001,"&lt;&gt;")=0,"",SUMIFS(BD!$L$3:$L$5001,BD!$A$3:$A$5001,AE$3,BD!$B$3:$B$5001,$A$471)))</f>
        <v/>
      </c>
      <c r="AF480" s="185" t="str">
        <f>IF(AF$3="","",IF(COUNTIFS(BD!$A$3:$A$5001,AF$3,BD!$B$3:$B$5001,$A$471,BD!$L$3:$L$5001,"&lt;&gt;")=0,"",SUMIFS(BD!$L$3:$L$5001,BD!$A$3:$A$5001,AF$3,BD!$B$3:$B$5001,$A$471)))</f>
        <v/>
      </c>
      <c r="AG480" s="185" t="str">
        <f>IF(AG$3="","",IF(COUNTIFS(BD!$A$3:$A$5001,AG$3,BD!$B$3:$B$5001,$A$471,BD!$L$3:$L$5001,"&lt;&gt;")=0,"",SUMIFS(BD!$L$3:$L$5001,BD!$A$3:$A$5001,AG$3,BD!$B$3:$B$5001,$A$471)))</f>
        <v/>
      </c>
      <c r="AH480" s="185" t="str">
        <f>IF(AH$3="","",IF(COUNTIFS(BD!$A$3:$A$5001,AH$3,BD!$B$3:$B$5001,$A$471,BD!$L$3:$L$5001,"&lt;&gt;")=0,"",SUMIFS(BD!$L$3:$L$5001,BD!$A$3:$A$5001,AH$3,BD!$B$3:$B$5001,$A$471)))</f>
        <v/>
      </c>
      <c r="AI480" s="185" t="str">
        <f>IF(AI$3="","",IF(COUNTIFS(BD!$A$3:$A$5001,AI$3,BD!$B$3:$B$5001,$A$471,BD!$L$3:$L$5001,"&lt;&gt;")=0,"",SUMIFS(BD!$L$3:$L$5001,BD!$A$3:$A$5001,AI$3,BD!$B$3:$B$5001,$A$471)))</f>
        <v/>
      </c>
      <c r="AJ480" s="186" t="str">
        <f>IF(AJ$3="","",IF(COUNTIFS(BD!$A$3:$A$5001,AJ$3,BD!$B$3:$B$5001,$A$471,BD!$L$3:$L$5001,"&lt;&gt;")=0,"",SUMIFS(BD!$L$3:$L$5001,BD!$A$3:$A$5001,AJ$3,BD!$B$3:$B$5001,$A$471)))</f>
        <v/>
      </c>
      <c r="AK480" s="187" t="str">
        <f>IF(COUNT(F480:AJ480)=0,"",SUM(F480:AJ480))</f>
        <v/>
      </c>
    </row>
    <row r="481" ht="15.75" customHeight="1" hidden="1">
      <c r="A481" s="261"/>
      <c r="B481" s="278"/>
      <c r="C481" s="267" t="inlineStr">
        <is>
          <t xml:space="preserve">Pedidos Expedidos</t>
        </is>
      </c>
      <c r="D481" s="268" t="str">
        <f>IFERROR(1/(1/INDEX(BD!$AL$33:$BF$33,MATCH($A$471,BD!$AL$22:$BF$22,0))),"")</f>
        <v/>
      </c>
      <c r="E481" s="269"/>
      <c r="F481" s="270" t="str">
        <f>IF(F$3="","",IF(COUNTIFS(BD!$A$3:$A$5001,F$3,BD!$B$3:$B$5001,$A$471,BD!$M$3:$M$5001,"&lt;&gt;")=0,"",SUMIFS(BD!$M$3:$M$5001,BD!$A$3:$A$5001,F$3,BD!$B$3:$B$5001,$A$471)))</f>
        <v/>
      </c>
      <c r="G481" s="271" t="str">
        <f>IF(G$3="","",IF(COUNTIFS(BD!$A$3:$A$5001,G$3,BD!$B$3:$B$5001,$A$471,BD!$M$3:$M$5001,"&lt;&gt;")=0,"",SUMIFS(BD!$M$3:$M$5001,BD!$A$3:$A$5001,G$3,BD!$B$3:$B$5001,$A$471)))</f>
        <v/>
      </c>
      <c r="H481" s="271" t="str">
        <f>IF(H$3="","",IF(COUNTIFS(BD!$A$3:$A$5001,H$3,BD!$B$3:$B$5001,$A$471,BD!$M$3:$M$5001,"&lt;&gt;")=0,"",SUMIFS(BD!$M$3:$M$5001,BD!$A$3:$A$5001,H$3,BD!$B$3:$B$5001,$A$471)))</f>
        <v/>
      </c>
      <c r="I481" s="271" t="str">
        <f>IF(I$3="","",IF(COUNTIFS(BD!$A$3:$A$5001,I$3,BD!$B$3:$B$5001,$A$471,BD!$M$3:$M$5001,"&lt;&gt;")=0,"",SUMIFS(BD!$M$3:$M$5001,BD!$A$3:$A$5001,I$3,BD!$B$3:$B$5001,$A$471)))</f>
        <v/>
      </c>
      <c r="J481" s="271" t="str">
        <f>IF(J$3="","",IF(COUNTIFS(BD!$A$3:$A$5001,J$3,BD!$B$3:$B$5001,$A$471,BD!$M$3:$M$5001,"&lt;&gt;")=0,"",SUMIFS(BD!$M$3:$M$5001,BD!$A$3:$A$5001,J$3,BD!$B$3:$B$5001,$A$471)))</f>
        <v/>
      </c>
      <c r="K481" s="271" t="str">
        <f>IF(K$3="","",IF(COUNTIFS(BD!$A$3:$A$5001,K$3,BD!$B$3:$B$5001,$A$471,BD!$M$3:$M$5001,"&lt;&gt;")=0,"",SUMIFS(BD!$M$3:$M$5001,BD!$A$3:$A$5001,K$3,BD!$B$3:$B$5001,$A$471)))</f>
        <v/>
      </c>
      <c r="L481" s="271" t="str">
        <f>IF(L$3="","",IF(COUNTIFS(BD!$A$3:$A$5001,L$3,BD!$B$3:$B$5001,$A$471,BD!$M$3:$M$5001,"&lt;&gt;")=0,"",SUMIFS(BD!$M$3:$M$5001,BD!$A$3:$A$5001,L$3,BD!$B$3:$B$5001,$A$471)))</f>
        <v/>
      </c>
      <c r="M481" s="271" t="str">
        <f>IF(M$3="","",IF(COUNTIFS(BD!$A$3:$A$5001,M$3,BD!$B$3:$B$5001,$A$471,BD!$M$3:$M$5001,"&lt;&gt;")=0,"",SUMIFS(BD!$M$3:$M$5001,BD!$A$3:$A$5001,M$3,BD!$B$3:$B$5001,$A$471)))</f>
        <v/>
      </c>
      <c r="N481" s="271" t="str">
        <f>IF(N$3="","",IF(COUNTIFS(BD!$A$3:$A$5001,N$3,BD!$B$3:$B$5001,$A$471,BD!$M$3:$M$5001,"&lt;&gt;")=0,"",SUMIFS(BD!$M$3:$M$5001,BD!$A$3:$A$5001,N$3,BD!$B$3:$B$5001,$A$471)))</f>
        <v/>
      </c>
      <c r="O481" s="271" t="str">
        <f>IF(O$3="","",IF(COUNTIFS(BD!$A$3:$A$5001,O$3,BD!$B$3:$B$5001,$A$471,BD!$M$3:$M$5001,"&lt;&gt;")=0,"",SUMIFS(BD!$M$3:$M$5001,BD!$A$3:$A$5001,O$3,BD!$B$3:$B$5001,$A$471)))</f>
        <v/>
      </c>
      <c r="P481" s="271" t="str">
        <f>IF(P$3="","",IF(COUNTIFS(BD!$A$3:$A$5001,P$3,BD!$B$3:$B$5001,$A$471,BD!$M$3:$M$5001,"&lt;&gt;")=0,"",SUMIFS(BD!$M$3:$M$5001,BD!$A$3:$A$5001,P$3,BD!$B$3:$B$5001,$A$471)))</f>
        <v/>
      </c>
      <c r="Q481" s="271" t="str">
        <f>IF(Q$3="","",IF(COUNTIFS(BD!$A$3:$A$5001,Q$3,BD!$B$3:$B$5001,$A$471,BD!$M$3:$M$5001,"&lt;&gt;")=0,"",SUMIFS(BD!$M$3:$M$5001,BD!$A$3:$A$5001,Q$3,BD!$B$3:$B$5001,$A$471)))</f>
        <v/>
      </c>
      <c r="R481" s="271" t="str">
        <f>IF(R$3="","",IF(COUNTIFS(BD!$A$3:$A$5001,R$3,BD!$B$3:$B$5001,$A$471,BD!$M$3:$M$5001,"&lt;&gt;")=0,"",SUMIFS(BD!$M$3:$M$5001,BD!$A$3:$A$5001,R$3,BD!$B$3:$B$5001,$A$471)))</f>
        <v/>
      </c>
      <c r="S481" s="271" t="str">
        <f>IF(S$3="","",IF(COUNTIFS(BD!$A$3:$A$5001,S$3,BD!$B$3:$B$5001,$A$471,BD!$M$3:$M$5001,"&lt;&gt;")=0,"",SUMIFS(BD!$M$3:$M$5001,BD!$A$3:$A$5001,S$3,BD!$B$3:$B$5001,$A$471)))</f>
        <v/>
      </c>
      <c r="T481" s="271" t="str">
        <f>IF(T$3="","",IF(COUNTIFS(BD!$A$3:$A$5001,T$3,BD!$B$3:$B$5001,$A$471,BD!$M$3:$M$5001,"&lt;&gt;")=0,"",SUMIFS(BD!$M$3:$M$5001,BD!$A$3:$A$5001,T$3,BD!$B$3:$B$5001,$A$471)))</f>
        <v/>
      </c>
      <c r="U481" s="271" t="str">
        <f>IF(U$3="","",IF(COUNTIFS(BD!$A$3:$A$5001,U$3,BD!$B$3:$B$5001,$A$471,BD!$M$3:$M$5001,"&lt;&gt;")=0,"",SUMIFS(BD!$M$3:$M$5001,BD!$A$3:$A$5001,U$3,BD!$B$3:$B$5001,$A$471)))</f>
        <v/>
      </c>
      <c r="V481" s="271" t="str">
        <f>IF(V$3="","",IF(COUNTIFS(BD!$A$3:$A$5001,V$3,BD!$B$3:$B$5001,$A$471,BD!$M$3:$M$5001,"&lt;&gt;")=0,"",SUMIFS(BD!$M$3:$M$5001,BD!$A$3:$A$5001,V$3,BD!$B$3:$B$5001,$A$471)))</f>
        <v/>
      </c>
      <c r="W481" s="271" t="str">
        <f>IF(W$3="","",IF(COUNTIFS(BD!$A$3:$A$5001,W$3,BD!$B$3:$B$5001,$A$471,BD!$M$3:$M$5001,"&lt;&gt;")=0,"",SUMIFS(BD!$M$3:$M$5001,BD!$A$3:$A$5001,W$3,BD!$B$3:$B$5001,$A$471)))</f>
        <v/>
      </c>
      <c r="X481" s="271" t="str">
        <f>IF(X$3="","",IF(COUNTIFS(BD!$A$3:$A$5001,X$3,BD!$B$3:$B$5001,$A$471,BD!$M$3:$M$5001,"&lt;&gt;")=0,"",SUMIFS(BD!$M$3:$M$5001,BD!$A$3:$A$5001,X$3,BD!$B$3:$B$5001,$A$471)))</f>
        <v/>
      </c>
      <c r="Y481" s="271" t="str">
        <f>IF(Y$3="","",IF(COUNTIFS(BD!$A$3:$A$5001,Y$3,BD!$B$3:$B$5001,$A$471,BD!$M$3:$M$5001,"&lt;&gt;")=0,"",SUMIFS(BD!$M$3:$M$5001,BD!$A$3:$A$5001,Y$3,BD!$B$3:$B$5001,$A$471)))</f>
        <v/>
      </c>
      <c r="Z481" s="271" t="str">
        <f>IF(Z$3="","",IF(COUNTIFS(BD!$A$3:$A$5001,Z$3,BD!$B$3:$B$5001,$A$471,BD!$M$3:$M$5001,"&lt;&gt;")=0,"",SUMIFS(BD!$M$3:$M$5001,BD!$A$3:$A$5001,Z$3,BD!$B$3:$B$5001,$A$471)))</f>
        <v/>
      </c>
      <c r="AA481" s="271" t="str">
        <f>IF(AA$3="","",IF(COUNTIFS(BD!$A$3:$A$5001,AA$3,BD!$B$3:$B$5001,$A$471,BD!$M$3:$M$5001,"&lt;&gt;")=0,"",SUMIFS(BD!$M$3:$M$5001,BD!$A$3:$A$5001,AA$3,BD!$B$3:$B$5001,$A$471)))</f>
        <v/>
      </c>
      <c r="AB481" s="271" t="str">
        <f>IF(AB$3="","",IF(COUNTIFS(BD!$A$3:$A$5001,AB$3,BD!$B$3:$B$5001,$A$471,BD!$M$3:$M$5001,"&lt;&gt;")=0,"",SUMIFS(BD!$M$3:$M$5001,BD!$A$3:$A$5001,AB$3,BD!$B$3:$B$5001,$A$471)))</f>
        <v/>
      </c>
      <c r="AC481" s="271" t="str">
        <f>IF(AC$3="","",IF(COUNTIFS(BD!$A$3:$A$5001,AC$3,BD!$B$3:$B$5001,$A$471,BD!$M$3:$M$5001,"&lt;&gt;")=0,"",SUMIFS(BD!$M$3:$M$5001,BD!$A$3:$A$5001,AC$3,BD!$B$3:$B$5001,$A$471)))</f>
        <v/>
      </c>
      <c r="AD481" s="271" t="str">
        <f>IF(AD$3="","",IF(COUNTIFS(BD!$A$3:$A$5001,AD$3,BD!$B$3:$B$5001,$A$471,BD!$M$3:$M$5001,"&lt;&gt;")=0,"",SUMIFS(BD!$M$3:$M$5001,BD!$A$3:$A$5001,AD$3,BD!$B$3:$B$5001,$A$471)))</f>
        <v/>
      </c>
      <c r="AE481" s="271" t="str">
        <f>IF(AE$3="","",IF(COUNTIFS(BD!$A$3:$A$5001,AE$3,BD!$B$3:$B$5001,$A$471,BD!$M$3:$M$5001,"&lt;&gt;")=0,"",SUMIFS(BD!$M$3:$M$5001,BD!$A$3:$A$5001,AE$3,BD!$B$3:$B$5001,$A$471)))</f>
        <v/>
      </c>
      <c r="AF481" s="271" t="str">
        <f>IF(AF$3="","",IF(COUNTIFS(BD!$A$3:$A$5001,AF$3,BD!$B$3:$B$5001,$A$471,BD!$M$3:$M$5001,"&lt;&gt;")=0,"",SUMIFS(BD!$M$3:$M$5001,BD!$A$3:$A$5001,AF$3,BD!$B$3:$B$5001,$A$471)))</f>
        <v/>
      </c>
      <c r="AG481" s="271" t="str">
        <f>IF(AG$3="","",IF(COUNTIFS(BD!$A$3:$A$5001,AG$3,BD!$B$3:$B$5001,$A$471,BD!$M$3:$M$5001,"&lt;&gt;")=0,"",SUMIFS(BD!$M$3:$M$5001,BD!$A$3:$A$5001,AG$3,BD!$B$3:$B$5001,$A$471)))</f>
        <v/>
      </c>
      <c r="AH481" s="271" t="str">
        <f>IF(AH$3="","",IF(COUNTIFS(BD!$A$3:$A$5001,AH$3,BD!$B$3:$B$5001,$A$471,BD!$M$3:$M$5001,"&lt;&gt;")=0,"",SUMIFS(BD!$M$3:$M$5001,BD!$A$3:$A$5001,AH$3,BD!$B$3:$B$5001,$A$471)))</f>
        <v/>
      </c>
      <c r="AI481" s="271" t="str">
        <f>IF(AI$3="","",IF(COUNTIFS(BD!$A$3:$A$5001,AI$3,BD!$B$3:$B$5001,$A$471,BD!$M$3:$M$5001,"&lt;&gt;")=0,"",SUMIFS(BD!$M$3:$M$5001,BD!$A$3:$A$5001,AI$3,BD!$B$3:$B$5001,$A$471)))</f>
        <v/>
      </c>
      <c r="AJ481" s="272" t="str">
        <f>IF(AJ$3="","",IF(COUNTIFS(BD!$A$3:$A$5001,AJ$3,BD!$B$3:$B$5001,$A$471,BD!$M$3:$M$5001,"&lt;&gt;")=0,"",SUMIFS(BD!$M$3:$M$5001,BD!$A$3:$A$5001,AJ$3,BD!$B$3:$B$5001,$A$471)))</f>
        <v/>
      </c>
      <c r="AK481" s="273" t="str">
        <f>IF(COUNT(F481:AJ481)=0,"",SUM(F481:AJ481))</f>
        <v/>
      </c>
    </row>
    <row r="482" ht="15.75" customHeight="1" hidden="1">
      <c r="A482" s="261"/>
      <c r="B482" s="278"/>
      <c r="C482" s="267" t="inlineStr">
        <is>
          <t xml:space="preserve">Pedidos Faturados</t>
        </is>
      </c>
      <c r="D482" s="268" t="str">
        <f>IFERROR(1/(1/INDEX(BD!$AL$34:$BF$34,MATCH($A$471,BD!$AL$22:$BF$22,0))),"")</f>
        <v/>
      </c>
      <c r="E482" s="269"/>
      <c r="F482" s="270" t="str">
        <f>IF(F$3="","",IF(COUNTIFS(BD!$A$3:$A$5001,F$3,BD!$B$3:$B$5001,$A$471,BD!$N$3:$N$5001,"&lt;&gt;")=0,"",SUMIFS(BD!$N$3:$N$5001,BD!$A$3:$A$5001,F$3,BD!$B$3:$B$5001,$A$471)))</f>
        <v/>
      </c>
      <c r="G482" s="271" t="str">
        <f>IF(G$3="","",IF(COUNTIFS(BD!$A$3:$A$5001,G$3,BD!$B$3:$B$5001,$A$471,BD!$N$3:$N$5001,"&lt;&gt;")=0,"",SUMIFS(BD!$N$3:$N$5001,BD!$A$3:$A$5001,G$3,BD!$B$3:$B$5001,$A$471)))</f>
        <v/>
      </c>
      <c r="H482" s="271" t="str">
        <f>IF(H$3="","",IF(COUNTIFS(BD!$A$3:$A$5001,H$3,BD!$B$3:$B$5001,$A$471,BD!$N$3:$N$5001,"&lt;&gt;")=0,"",SUMIFS(BD!$N$3:$N$5001,BD!$A$3:$A$5001,H$3,BD!$B$3:$B$5001,$A$471)))</f>
        <v/>
      </c>
      <c r="I482" s="271" t="str">
        <f>IF(I$3="","",IF(COUNTIFS(BD!$A$3:$A$5001,I$3,BD!$B$3:$B$5001,$A$471,BD!$N$3:$N$5001,"&lt;&gt;")=0,"",SUMIFS(BD!$N$3:$N$5001,BD!$A$3:$A$5001,I$3,BD!$B$3:$B$5001,$A$471)))</f>
        <v/>
      </c>
      <c r="J482" s="271" t="str">
        <f>IF(J$3="","",IF(COUNTIFS(BD!$A$3:$A$5001,J$3,BD!$B$3:$B$5001,$A$471,BD!$N$3:$N$5001,"&lt;&gt;")=0,"",SUMIFS(BD!$N$3:$N$5001,BD!$A$3:$A$5001,J$3,BD!$B$3:$B$5001,$A$471)))</f>
        <v/>
      </c>
      <c r="K482" s="271" t="str">
        <f>IF(K$3="","",IF(COUNTIFS(BD!$A$3:$A$5001,K$3,BD!$B$3:$B$5001,$A$471,BD!$N$3:$N$5001,"&lt;&gt;")=0,"",SUMIFS(BD!$N$3:$N$5001,BD!$A$3:$A$5001,K$3,BD!$B$3:$B$5001,$A$471)))</f>
        <v/>
      </c>
      <c r="L482" s="271" t="str">
        <f>IF(L$3="","",IF(COUNTIFS(BD!$A$3:$A$5001,L$3,BD!$B$3:$B$5001,$A$471,BD!$N$3:$N$5001,"&lt;&gt;")=0,"",SUMIFS(BD!$N$3:$N$5001,BD!$A$3:$A$5001,L$3,BD!$B$3:$B$5001,$A$471)))</f>
        <v/>
      </c>
      <c r="M482" s="271" t="str">
        <f>IF(M$3="","",IF(COUNTIFS(BD!$A$3:$A$5001,M$3,BD!$B$3:$B$5001,$A$471,BD!$N$3:$N$5001,"&lt;&gt;")=0,"",SUMIFS(BD!$N$3:$N$5001,BD!$A$3:$A$5001,M$3,BD!$B$3:$B$5001,$A$471)))</f>
        <v/>
      </c>
      <c r="N482" s="271" t="str">
        <f>IF(N$3="","",IF(COUNTIFS(BD!$A$3:$A$5001,N$3,BD!$B$3:$B$5001,$A$471,BD!$N$3:$N$5001,"&lt;&gt;")=0,"",SUMIFS(BD!$N$3:$N$5001,BD!$A$3:$A$5001,N$3,BD!$B$3:$B$5001,$A$471)))</f>
        <v/>
      </c>
      <c r="O482" s="271" t="str">
        <f>IF(O$3="","",IF(COUNTIFS(BD!$A$3:$A$5001,O$3,BD!$B$3:$B$5001,$A$471,BD!$N$3:$N$5001,"&lt;&gt;")=0,"",SUMIFS(BD!$N$3:$N$5001,BD!$A$3:$A$5001,O$3,BD!$B$3:$B$5001,$A$471)))</f>
        <v/>
      </c>
      <c r="P482" s="271" t="str">
        <f>IF(P$3="","",IF(COUNTIFS(BD!$A$3:$A$5001,P$3,BD!$B$3:$B$5001,$A$471,BD!$N$3:$N$5001,"&lt;&gt;")=0,"",SUMIFS(BD!$N$3:$N$5001,BD!$A$3:$A$5001,P$3,BD!$B$3:$B$5001,$A$471)))</f>
        <v/>
      </c>
      <c r="Q482" s="271" t="str">
        <f>IF(Q$3="","",IF(COUNTIFS(BD!$A$3:$A$5001,Q$3,BD!$B$3:$B$5001,$A$471,BD!$N$3:$N$5001,"&lt;&gt;")=0,"",SUMIFS(BD!$N$3:$N$5001,BD!$A$3:$A$5001,Q$3,BD!$B$3:$B$5001,$A$471)))</f>
        <v/>
      </c>
      <c r="R482" s="271" t="str">
        <f>IF(R$3="","",IF(COUNTIFS(BD!$A$3:$A$5001,R$3,BD!$B$3:$B$5001,$A$471,BD!$N$3:$N$5001,"&lt;&gt;")=0,"",SUMIFS(BD!$N$3:$N$5001,BD!$A$3:$A$5001,R$3,BD!$B$3:$B$5001,$A$471)))</f>
        <v/>
      </c>
      <c r="S482" s="271" t="str">
        <f>IF(S$3="","",IF(COUNTIFS(BD!$A$3:$A$5001,S$3,BD!$B$3:$B$5001,$A$471,BD!$N$3:$N$5001,"&lt;&gt;")=0,"",SUMIFS(BD!$N$3:$N$5001,BD!$A$3:$A$5001,S$3,BD!$B$3:$B$5001,$A$471)))</f>
        <v/>
      </c>
      <c r="T482" s="271" t="str">
        <f>IF(T$3="","",IF(COUNTIFS(BD!$A$3:$A$5001,T$3,BD!$B$3:$B$5001,$A$471,BD!$N$3:$N$5001,"&lt;&gt;")=0,"",SUMIFS(BD!$N$3:$N$5001,BD!$A$3:$A$5001,T$3,BD!$B$3:$B$5001,$A$471)))</f>
        <v/>
      </c>
      <c r="U482" s="271" t="str">
        <f>IF(U$3="","",IF(COUNTIFS(BD!$A$3:$A$5001,U$3,BD!$B$3:$B$5001,$A$471,BD!$N$3:$N$5001,"&lt;&gt;")=0,"",SUMIFS(BD!$N$3:$N$5001,BD!$A$3:$A$5001,U$3,BD!$B$3:$B$5001,$A$471)))</f>
        <v/>
      </c>
      <c r="V482" s="271" t="str">
        <f>IF(V$3="","",IF(COUNTIFS(BD!$A$3:$A$5001,V$3,BD!$B$3:$B$5001,$A$471,BD!$N$3:$N$5001,"&lt;&gt;")=0,"",SUMIFS(BD!$N$3:$N$5001,BD!$A$3:$A$5001,V$3,BD!$B$3:$B$5001,$A$471)))</f>
        <v/>
      </c>
      <c r="W482" s="271" t="str">
        <f>IF(W$3="","",IF(COUNTIFS(BD!$A$3:$A$5001,W$3,BD!$B$3:$B$5001,$A$471,BD!$N$3:$N$5001,"&lt;&gt;")=0,"",SUMIFS(BD!$N$3:$N$5001,BD!$A$3:$A$5001,W$3,BD!$B$3:$B$5001,$A$471)))</f>
        <v/>
      </c>
      <c r="X482" s="271" t="str">
        <f>IF(X$3="","",IF(COUNTIFS(BD!$A$3:$A$5001,X$3,BD!$B$3:$B$5001,$A$471,BD!$N$3:$N$5001,"&lt;&gt;")=0,"",SUMIFS(BD!$N$3:$N$5001,BD!$A$3:$A$5001,X$3,BD!$B$3:$B$5001,$A$471)))</f>
        <v/>
      </c>
      <c r="Y482" s="271" t="str">
        <f>IF(Y$3="","",IF(COUNTIFS(BD!$A$3:$A$5001,Y$3,BD!$B$3:$B$5001,$A$471,BD!$N$3:$N$5001,"&lt;&gt;")=0,"",SUMIFS(BD!$N$3:$N$5001,BD!$A$3:$A$5001,Y$3,BD!$B$3:$B$5001,$A$471)))</f>
        <v/>
      </c>
      <c r="Z482" s="271" t="str">
        <f>IF(Z$3="","",IF(COUNTIFS(BD!$A$3:$A$5001,Z$3,BD!$B$3:$B$5001,$A$471,BD!$N$3:$N$5001,"&lt;&gt;")=0,"",SUMIFS(BD!$N$3:$N$5001,BD!$A$3:$A$5001,Z$3,BD!$B$3:$B$5001,$A$471)))</f>
        <v/>
      </c>
      <c r="AA482" s="271" t="str">
        <f>IF(AA$3="","",IF(COUNTIFS(BD!$A$3:$A$5001,AA$3,BD!$B$3:$B$5001,$A$471,BD!$N$3:$N$5001,"&lt;&gt;")=0,"",SUMIFS(BD!$N$3:$N$5001,BD!$A$3:$A$5001,AA$3,BD!$B$3:$B$5001,$A$471)))</f>
        <v/>
      </c>
      <c r="AB482" s="271" t="str">
        <f>IF(AB$3="","",IF(COUNTIFS(BD!$A$3:$A$5001,AB$3,BD!$B$3:$B$5001,$A$471,BD!$N$3:$N$5001,"&lt;&gt;")=0,"",SUMIFS(BD!$N$3:$N$5001,BD!$A$3:$A$5001,AB$3,BD!$B$3:$B$5001,$A$471)))</f>
        <v/>
      </c>
      <c r="AC482" s="271" t="str">
        <f>IF(AC$3="","",IF(COUNTIFS(BD!$A$3:$A$5001,AC$3,BD!$B$3:$B$5001,$A$471,BD!$N$3:$N$5001,"&lt;&gt;")=0,"",SUMIFS(BD!$N$3:$N$5001,BD!$A$3:$A$5001,AC$3,BD!$B$3:$B$5001,$A$471)))</f>
        <v/>
      </c>
      <c r="AD482" s="271" t="str">
        <f>IF(AD$3="","",IF(COUNTIFS(BD!$A$3:$A$5001,AD$3,BD!$B$3:$B$5001,$A$471,BD!$N$3:$N$5001,"&lt;&gt;")=0,"",SUMIFS(BD!$N$3:$N$5001,BD!$A$3:$A$5001,AD$3,BD!$B$3:$B$5001,$A$471)))</f>
        <v/>
      </c>
      <c r="AE482" s="271" t="str">
        <f>IF(AE$3="","",IF(COUNTIFS(BD!$A$3:$A$5001,AE$3,BD!$B$3:$B$5001,$A$471,BD!$N$3:$N$5001,"&lt;&gt;")=0,"",SUMIFS(BD!$N$3:$N$5001,BD!$A$3:$A$5001,AE$3,BD!$B$3:$B$5001,$A$471)))</f>
        <v/>
      </c>
      <c r="AF482" s="271" t="str">
        <f>IF(AF$3="","",IF(COUNTIFS(BD!$A$3:$A$5001,AF$3,BD!$B$3:$B$5001,$A$471,BD!$N$3:$N$5001,"&lt;&gt;")=0,"",SUMIFS(BD!$N$3:$N$5001,BD!$A$3:$A$5001,AF$3,BD!$B$3:$B$5001,$A$471)))</f>
        <v/>
      </c>
      <c r="AG482" s="271" t="str">
        <f>IF(AG$3="","",IF(COUNTIFS(BD!$A$3:$A$5001,AG$3,BD!$B$3:$B$5001,$A$471,BD!$N$3:$N$5001,"&lt;&gt;")=0,"",SUMIFS(BD!$N$3:$N$5001,BD!$A$3:$A$5001,AG$3,BD!$B$3:$B$5001,$A$471)))</f>
        <v/>
      </c>
      <c r="AH482" s="271" t="str">
        <f>IF(AH$3="","",IF(COUNTIFS(BD!$A$3:$A$5001,AH$3,BD!$B$3:$B$5001,$A$471,BD!$N$3:$N$5001,"&lt;&gt;")=0,"",SUMIFS(BD!$N$3:$N$5001,BD!$A$3:$A$5001,AH$3,BD!$B$3:$B$5001,$A$471)))</f>
        <v/>
      </c>
      <c r="AI482" s="271" t="str">
        <f>IF(AI$3="","",IF(COUNTIFS(BD!$A$3:$A$5001,AI$3,BD!$B$3:$B$5001,$A$471,BD!$N$3:$N$5001,"&lt;&gt;")=0,"",SUMIFS(BD!$N$3:$N$5001,BD!$A$3:$A$5001,AI$3,BD!$B$3:$B$5001,$A$471)))</f>
        <v/>
      </c>
      <c r="AJ482" s="272" t="str">
        <f>IF(AJ$3="","",IF(COUNTIFS(BD!$A$3:$A$5001,AJ$3,BD!$B$3:$B$5001,$A$471,BD!$N$3:$N$5001,"&lt;&gt;")=0,"",SUMIFS(BD!$N$3:$N$5001,BD!$A$3:$A$5001,AJ$3,BD!$B$3:$B$5001,$A$471)))</f>
        <v/>
      </c>
      <c r="AK482" s="273" t="str">
        <f>IF(COUNT(F482:AJ482)=0,"",SUM(F482:AJ482))</f>
        <v/>
      </c>
    </row>
    <row r="483" ht="15.75" customHeight="1" hidden="1">
      <c r="A483" s="261"/>
      <c r="B483" s="278"/>
      <c r="C483" s="267" t="inlineStr">
        <is>
          <t xml:space="preserve">Itens Expedidos</t>
        </is>
      </c>
      <c r="D483" s="268" t="str">
        <f>IFERROR(1/(1/INDEX(BD!$AL$35:$BF$35,MATCH($A$471,BD!$AL$22:$BF$22,0))),"")</f>
        <v/>
      </c>
      <c r="E483" s="269"/>
      <c r="F483" s="270" t="str">
        <f>IF(F$3="","",IF(COUNTIFS(BD!$A$3:$A$5001,F$3,BD!$B$3:$B$5001,$A$471,BD!$O$3:$O$5001,"&lt;&gt;")=0,"",SUMIFS(BD!$O$3:$O$5001,BD!$A$3:$A$5001,F$3,BD!$B$3:$B$5001,$A$471)))</f>
        <v/>
      </c>
      <c r="G483" s="271" t="str">
        <f>IF(G$3="","",IF(COUNTIFS(BD!$A$3:$A$5001,G$3,BD!$B$3:$B$5001,$A$471,BD!$O$3:$O$5001,"&lt;&gt;")=0,"",SUMIFS(BD!$O$3:$O$5001,BD!$A$3:$A$5001,G$3,BD!$B$3:$B$5001,$A$471)))</f>
        <v/>
      </c>
      <c r="H483" s="271" t="str">
        <f>IF(H$3="","",IF(COUNTIFS(BD!$A$3:$A$5001,H$3,BD!$B$3:$B$5001,$A$471,BD!$O$3:$O$5001,"&lt;&gt;")=0,"",SUMIFS(BD!$O$3:$O$5001,BD!$A$3:$A$5001,H$3,BD!$B$3:$B$5001,$A$471)))</f>
        <v/>
      </c>
      <c r="I483" s="271" t="str">
        <f>IF(I$3="","",IF(COUNTIFS(BD!$A$3:$A$5001,I$3,BD!$B$3:$B$5001,$A$471,BD!$O$3:$O$5001,"&lt;&gt;")=0,"",SUMIFS(BD!$O$3:$O$5001,BD!$A$3:$A$5001,I$3,BD!$B$3:$B$5001,$A$471)))</f>
        <v/>
      </c>
      <c r="J483" s="271" t="str">
        <f>IF(J$3="","",IF(COUNTIFS(BD!$A$3:$A$5001,J$3,BD!$B$3:$B$5001,$A$471,BD!$O$3:$O$5001,"&lt;&gt;")=0,"",SUMIFS(BD!$O$3:$O$5001,BD!$A$3:$A$5001,J$3,BD!$B$3:$B$5001,$A$471)))</f>
        <v/>
      </c>
      <c r="K483" s="271" t="str">
        <f>IF(K$3="","",IF(COUNTIFS(BD!$A$3:$A$5001,K$3,BD!$B$3:$B$5001,$A$471,BD!$O$3:$O$5001,"&lt;&gt;")=0,"",SUMIFS(BD!$O$3:$O$5001,BD!$A$3:$A$5001,K$3,BD!$B$3:$B$5001,$A$471)))</f>
        <v/>
      </c>
      <c r="L483" s="271" t="str">
        <f>IF(L$3="","",IF(COUNTIFS(BD!$A$3:$A$5001,L$3,BD!$B$3:$B$5001,$A$471,BD!$O$3:$O$5001,"&lt;&gt;")=0,"",SUMIFS(BD!$O$3:$O$5001,BD!$A$3:$A$5001,L$3,BD!$B$3:$B$5001,$A$471)))</f>
        <v/>
      </c>
      <c r="M483" s="271" t="str">
        <f>IF(M$3="","",IF(COUNTIFS(BD!$A$3:$A$5001,M$3,BD!$B$3:$B$5001,$A$471,BD!$O$3:$O$5001,"&lt;&gt;")=0,"",SUMIFS(BD!$O$3:$O$5001,BD!$A$3:$A$5001,M$3,BD!$B$3:$B$5001,$A$471)))</f>
        <v/>
      </c>
      <c r="N483" s="271" t="str">
        <f>IF(N$3="","",IF(COUNTIFS(BD!$A$3:$A$5001,N$3,BD!$B$3:$B$5001,$A$471,BD!$O$3:$O$5001,"&lt;&gt;")=0,"",SUMIFS(BD!$O$3:$O$5001,BD!$A$3:$A$5001,N$3,BD!$B$3:$B$5001,$A$471)))</f>
        <v/>
      </c>
      <c r="O483" s="271" t="str">
        <f>IF(O$3="","",IF(COUNTIFS(BD!$A$3:$A$5001,O$3,BD!$B$3:$B$5001,$A$471,BD!$O$3:$O$5001,"&lt;&gt;")=0,"",SUMIFS(BD!$O$3:$O$5001,BD!$A$3:$A$5001,O$3,BD!$B$3:$B$5001,$A$471)))</f>
        <v/>
      </c>
      <c r="P483" s="271" t="str">
        <f>IF(P$3="","",IF(COUNTIFS(BD!$A$3:$A$5001,P$3,BD!$B$3:$B$5001,$A$471,BD!$O$3:$O$5001,"&lt;&gt;")=0,"",SUMIFS(BD!$O$3:$O$5001,BD!$A$3:$A$5001,P$3,BD!$B$3:$B$5001,$A$471)))</f>
        <v/>
      </c>
      <c r="Q483" s="271" t="str">
        <f>IF(Q$3="","",IF(COUNTIFS(BD!$A$3:$A$5001,Q$3,BD!$B$3:$B$5001,$A$471,BD!$O$3:$O$5001,"&lt;&gt;")=0,"",SUMIFS(BD!$O$3:$O$5001,BD!$A$3:$A$5001,Q$3,BD!$B$3:$B$5001,$A$471)))</f>
        <v/>
      </c>
      <c r="R483" s="271" t="str">
        <f>IF(R$3="","",IF(COUNTIFS(BD!$A$3:$A$5001,R$3,BD!$B$3:$B$5001,$A$471,BD!$O$3:$O$5001,"&lt;&gt;")=0,"",SUMIFS(BD!$O$3:$O$5001,BD!$A$3:$A$5001,R$3,BD!$B$3:$B$5001,$A$471)))</f>
        <v/>
      </c>
      <c r="S483" s="271" t="str">
        <f>IF(S$3="","",IF(COUNTIFS(BD!$A$3:$A$5001,S$3,BD!$B$3:$B$5001,$A$471,BD!$O$3:$O$5001,"&lt;&gt;")=0,"",SUMIFS(BD!$O$3:$O$5001,BD!$A$3:$A$5001,S$3,BD!$B$3:$B$5001,$A$471)))</f>
        <v/>
      </c>
      <c r="T483" s="271" t="str">
        <f>IF(T$3="","",IF(COUNTIFS(BD!$A$3:$A$5001,T$3,BD!$B$3:$B$5001,$A$471,BD!$O$3:$O$5001,"&lt;&gt;")=0,"",SUMIFS(BD!$O$3:$O$5001,BD!$A$3:$A$5001,T$3,BD!$B$3:$B$5001,$A$471)))</f>
        <v/>
      </c>
      <c r="U483" s="271" t="str">
        <f>IF(U$3="","",IF(COUNTIFS(BD!$A$3:$A$5001,U$3,BD!$B$3:$B$5001,$A$471,BD!$O$3:$O$5001,"&lt;&gt;")=0,"",SUMIFS(BD!$O$3:$O$5001,BD!$A$3:$A$5001,U$3,BD!$B$3:$B$5001,$A$471)))</f>
        <v/>
      </c>
      <c r="V483" s="271" t="str">
        <f>IF(V$3="","",IF(COUNTIFS(BD!$A$3:$A$5001,V$3,BD!$B$3:$B$5001,$A$471,BD!$O$3:$O$5001,"&lt;&gt;")=0,"",SUMIFS(BD!$O$3:$O$5001,BD!$A$3:$A$5001,V$3,BD!$B$3:$B$5001,$A$471)))</f>
        <v/>
      </c>
      <c r="W483" s="271" t="str">
        <f>IF(W$3="","",IF(COUNTIFS(BD!$A$3:$A$5001,W$3,BD!$B$3:$B$5001,$A$471,BD!$O$3:$O$5001,"&lt;&gt;")=0,"",SUMIFS(BD!$O$3:$O$5001,BD!$A$3:$A$5001,W$3,BD!$B$3:$B$5001,$A$471)))</f>
        <v/>
      </c>
      <c r="X483" s="271" t="str">
        <f>IF(X$3="","",IF(COUNTIFS(BD!$A$3:$A$5001,X$3,BD!$B$3:$B$5001,$A$471,BD!$O$3:$O$5001,"&lt;&gt;")=0,"",SUMIFS(BD!$O$3:$O$5001,BD!$A$3:$A$5001,X$3,BD!$B$3:$B$5001,$A$471)))</f>
        <v/>
      </c>
      <c r="Y483" s="271" t="str">
        <f>IF(Y$3="","",IF(COUNTIFS(BD!$A$3:$A$5001,Y$3,BD!$B$3:$B$5001,$A$471,BD!$O$3:$O$5001,"&lt;&gt;")=0,"",SUMIFS(BD!$O$3:$O$5001,BD!$A$3:$A$5001,Y$3,BD!$B$3:$B$5001,$A$471)))</f>
        <v/>
      </c>
      <c r="Z483" s="271" t="str">
        <f>IF(Z$3="","",IF(COUNTIFS(BD!$A$3:$A$5001,Z$3,BD!$B$3:$B$5001,$A$471,BD!$O$3:$O$5001,"&lt;&gt;")=0,"",SUMIFS(BD!$O$3:$O$5001,BD!$A$3:$A$5001,Z$3,BD!$B$3:$B$5001,$A$471)))</f>
        <v/>
      </c>
      <c r="AA483" s="271" t="str">
        <f>IF(AA$3="","",IF(COUNTIFS(BD!$A$3:$A$5001,AA$3,BD!$B$3:$B$5001,$A$471,BD!$O$3:$O$5001,"&lt;&gt;")=0,"",SUMIFS(BD!$O$3:$O$5001,BD!$A$3:$A$5001,AA$3,BD!$B$3:$B$5001,$A$471)))</f>
        <v/>
      </c>
      <c r="AB483" s="271" t="str">
        <f>IF(AB$3="","",IF(COUNTIFS(BD!$A$3:$A$5001,AB$3,BD!$B$3:$B$5001,$A$471,BD!$O$3:$O$5001,"&lt;&gt;")=0,"",SUMIFS(BD!$O$3:$O$5001,BD!$A$3:$A$5001,AB$3,BD!$B$3:$B$5001,$A$471)))</f>
        <v/>
      </c>
      <c r="AC483" s="271" t="str">
        <f>IF(AC$3="","",IF(COUNTIFS(BD!$A$3:$A$5001,AC$3,BD!$B$3:$B$5001,$A$471,BD!$O$3:$O$5001,"&lt;&gt;")=0,"",SUMIFS(BD!$O$3:$O$5001,BD!$A$3:$A$5001,AC$3,BD!$B$3:$B$5001,$A$471)))</f>
        <v/>
      </c>
      <c r="AD483" s="271" t="str">
        <f>IF(AD$3="","",IF(COUNTIFS(BD!$A$3:$A$5001,AD$3,BD!$B$3:$B$5001,$A$471,BD!$O$3:$O$5001,"&lt;&gt;")=0,"",SUMIFS(BD!$O$3:$O$5001,BD!$A$3:$A$5001,AD$3,BD!$B$3:$B$5001,$A$471)))</f>
        <v/>
      </c>
      <c r="AE483" s="271" t="str">
        <f>IF(AE$3="","",IF(COUNTIFS(BD!$A$3:$A$5001,AE$3,BD!$B$3:$B$5001,$A$471,BD!$O$3:$O$5001,"&lt;&gt;")=0,"",SUMIFS(BD!$O$3:$O$5001,BD!$A$3:$A$5001,AE$3,BD!$B$3:$B$5001,$A$471)))</f>
        <v/>
      </c>
      <c r="AF483" s="271" t="str">
        <f>IF(AF$3="","",IF(COUNTIFS(BD!$A$3:$A$5001,AF$3,BD!$B$3:$B$5001,$A$471,BD!$O$3:$O$5001,"&lt;&gt;")=0,"",SUMIFS(BD!$O$3:$O$5001,BD!$A$3:$A$5001,AF$3,BD!$B$3:$B$5001,$A$471)))</f>
        <v/>
      </c>
      <c r="AG483" s="271" t="str">
        <f>IF(AG$3="","",IF(COUNTIFS(BD!$A$3:$A$5001,AG$3,BD!$B$3:$B$5001,$A$471,BD!$O$3:$O$5001,"&lt;&gt;")=0,"",SUMIFS(BD!$O$3:$O$5001,BD!$A$3:$A$5001,AG$3,BD!$B$3:$B$5001,$A$471)))</f>
        <v/>
      </c>
      <c r="AH483" s="271" t="str">
        <f>IF(AH$3="","",IF(COUNTIFS(BD!$A$3:$A$5001,AH$3,BD!$B$3:$B$5001,$A$471,BD!$O$3:$O$5001,"&lt;&gt;")=0,"",SUMIFS(BD!$O$3:$O$5001,BD!$A$3:$A$5001,AH$3,BD!$B$3:$B$5001,$A$471)))</f>
        <v/>
      </c>
      <c r="AI483" s="271" t="str">
        <f>IF(AI$3="","",IF(COUNTIFS(BD!$A$3:$A$5001,AI$3,BD!$B$3:$B$5001,$A$471,BD!$O$3:$O$5001,"&lt;&gt;")=0,"",SUMIFS(BD!$O$3:$O$5001,BD!$A$3:$A$5001,AI$3,BD!$B$3:$B$5001,$A$471)))</f>
        <v/>
      </c>
      <c r="AJ483" s="272" t="str">
        <f>IF(AJ$3="","",IF(COUNTIFS(BD!$A$3:$A$5001,AJ$3,BD!$B$3:$B$5001,$A$471,BD!$O$3:$O$5001,"&lt;&gt;")=0,"",SUMIFS(BD!$O$3:$O$5001,BD!$A$3:$A$5001,AJ$3,BD!$B$3:$B$5001,$A$471)))</f>
        <v/>
      </c>
      <c r="AK483" s="273" t="str">
        <f>IF(COUNT(F483:AJ483)=0,"",SUM(F483:AJ483))</f>
        <v/>
      </c>
    </row>
    <row r="484" ht="15.75" customHeight="1" hidden="1">
      <c r="A484" s="261"/>
      <c r="B484" s="278"/>
      <c r="C484" s="267" t="inlineStr">
        <is>
          <t xml:space="preserve">Linhas NF</t>
        </is>
      </c>
      <c r="D484" s="268" t="str">
        <f>IFERROR(1/(1/INDEX(BD!$AL$36:$BF$36,MATCH($A$471,BD!$AL$22:$BF$22,0))),"")</f>
        <v/>
      </c>
      <c r="E484" s="269"/>
      <c r="F484" s="270" t="str">
        <f>IF(F$3="","",IF(COUNTIFS(BD!$A$3:$A$5001,F$3,BD!$B$3:$B$5001,$A$471,BD!$P$3:$P$5001,"&lt;&gt;")=0,"",SUMIFS(BD!$P$3:$P$5001,BD!$A$3:$A$5001,F$3,BD!$B$3:$B$5001,$A$471)))</f>
        <v/>
      </c>
      <c r="G484" s="271" t="str">
        <f>IF(G$3="","",IF(COUNTIFS(BD!$A$3:$A$5001,G$3,BD!$B$3:$B$5001,$A$471,BD!$P$3:$P$5001,"&lt;&gt;")=0,"",SUMIFS(BD!$P$3:$P$5001,BD!$A$3:$A$5001,G$3,BD!$B$3:$B$5001,$A$471)))</f>
        <v/>
      </c>
      <c r="H484" s="271" t="str">
        <f>IF(H$3="","",IF(COUNTIFS(BD!$A$3:$A$5001,H$3,BD!$B$3:$B$5001,$A$471,BD!$P$3:$P$5001,"&lt;&gt;")=0,"",SUMIFS(BD!$P$3:$P$5001,BD!$A$3:$A$5001,H$3,BD!$B$3:$B$5001,$A$471)))</f>
        <v/>
      </c>
      <c r="I484" s="271" t="str">
        <f>IF(I$3="","",IF(COUNTIFS(BD!$A$3:$A$5001,I$3,BD!$B$3:$B$5001,$A$471,BD!$P$3:$P$5001,"&lt;&gt;")=0,"",SUMIFS(BD!$P$3:$P$5001,BD!$A$3:$A$5001,I$3,BD!$B$3:$B$5001,$A$471)))</f>
        <v/>
      </c>
      <c r="J484" s="271" t="str">
        <f>IF(J$3="","",IF(COUNTIFS(BD!$A$3:$A$5001,J$3,BD!$B$3:$B$5001,$A$471,BD!$P$3:$P$5001,"&lt;&gt;")=0,"",SUMIFS(BD!$P$3:$P$5001,BD!$A$3:$A$5001,J$3,BD!$B$3:$B$5001,$A$471)))</f>
        <v/>
      </c>
      <c r="K484" s="271" t="str">
        <f>IF(K$3="","",IF(COUNTIFS(BD!$A$3:$A$5001,K$3,BD!$B$3:$B$5001,$A$471,BD!$P$3:$P$5001,"&lt;&gt;")=0,"",SUMIFS(BD!$P$3:$P$5001,BD!$A$3:$A$5001,K$3,BD!$B$3:$B$5001,$A$471)))</f>
        <v/>
      </c>
      <c r="L484" s="271" t="str">
        <f>IF(L$3="","",IF(COUNTIFS(BD!$A$3:$A$5001,L$3,BD!$B$3:$B$5001,$A$471,BD!$P$3:$P$5001,"&lt;&gt;")=0,"",SUMIFS(BD!$P$3:$P$5001,BD!$A$3:$A$5001,L$3,BD!$B$3:$B$5001,$A$471)))</f>
        <v/>
      </c>
      <c r="M484" s="271" t="str">
        <f>IF(M$3="","",IF(COUNTIFS(BD!$A$3:$A$5001,M$3,BD!$B$3:$B$5001,$A$471,BD!$P$3:$P$5001,"&lt;&gt;")=0,"",SUMIFS(BD!$P$3:$P$5001,BD!$A$3:$A$5001,M$3,BD!$B$3:$B$5001,$A$471)))</f>
        <v/>
      </c>
      <c r="N484" s="271" t="str">
        <f>IF(N$3="","",IF(COUNTIFS(BD!$A$3:$A$5001,N$3,BD!$B$3:$B$5001,$A$471,BD!$P$3:$P$5001,"&lt;&gt;")=0,"",SUMIFS(BD!$P$3:$P$5001,BD!$A$3:$A$5001,N$3,BD!$B$3:$B$5001,$A$471)))</f>
        <v/>
      </c>
      <c r="O484" s="271" t="str">
        <f>IF(O$3="","",IF(COUNTIFS(BD!$A$3:$A$5001,O$3,BD!$B$3:$B$5001,$A$471,BD!$P$3:$P$5001,"&lt;&gt;")=0,"",SUMIFS(BD!$P$3:$P$5001,BD!$A$3:$A$5001,O$3,BD!$B$3:$B$5001,$A$471)))</f>
        <v/>
      </c>
      <c r="P484" s="271" t="str">
        <f>IF(P$3="","",IF(COUNTIFS(BD!$A$3:$A$5001,P$3,BD!$B$3:$B$5001,$A$471,BD!$P$3:$P$5001,"&lt;&gt;")=0,"",SUMIFS(BD!$P$3:$P$5001,BD!$A$3:$A$5001,P$3,BD!$B$3:$B$5001,$A$471)))</f>
        <v/>
      </c>
      <c r="Q484" s="271" t="str">
        <f>IF(Q$3="","",IF(COUNTIFS(BD!$A$3:$A$5001,Q$3,BD!$B$3:$B$5001,$A$471,BD!$P$3:$P$5001,"&lt;&gt;")=0,"",SUMIFS(BD!$P$3:$P$5001,BD!$A$3:$A$5001,Q$3,BD!$B$3:$B$5001,$A$471)))</f>
        <v/>
      </c>
      <c r="R484" s="271" t="str">
        <f>IF(R$3="","",IF(COUNTIFS(BD!$A$3:$A$5001,R$3,BD!$B$3:$B$5001,$A$471,BD!$P$3:$P$5001,"&lt;&gt;")=0,"",SUMIFS(BD!$P$3:$P$5001,BD!$A$3:$A$5001,R$3,BD!$B$3:$B$5001,$A$471)))</f>
        <v/>
      </c>
      <c r="S484" s="271" t="str">
        <f>IF(S$3="","",IF(COUNTIFS(BD!$A$3:$A$5001,S$3,BD!$B$3:$B$5001,$A$471,BD!$P$3:$P$5001,"&lt;&gt;")=0,"",SUMIFS(BD!$P$3:$P$5001,BD!$A$3:$A$5001,S$3,BD!$B$3:$B$5001,$A$471)))</f>
        <v/>
      </c>
      <c r="T484" s="271" t="str">
        <f>IF(T$3="","",IF(COUNTIFS(BD!$A$3:$A$5001,T$3,BD!$B$3:$B$5001,$A$471,BD!$P$3:$P$5001,"&lt;&gt;")=0,"",SUMIFS(BD!$P$3:$P$5001,BD!$A$3:$A$5001,T$3,BD!$B$3:$B$5001,$A$471)))</f>
        <v/>
      </c>
      <c r="U484" s="271" t="str">
        <f>IF(U$3="","",IF(COUNTIFS(BD!$A$3:$A$5001,U$3,BD!$B$3:$B$5001,$A$471,BD!$P$3:$P$5001,"&lt;&gt;")=0,"",SUMIFS(BD!$P$3:$P$5001,BD!$A$3:$A$5001,U$3,BD!$B$3:$B$5001,$A$471)))</f>
        <v/>
      </c>
      <c r="V484" s="271" t="str">
        <f>IF(V$3="","",IF(COUNTIFS(BD!$A$3:$A$5001,V$3,BD!$B$3:$B$5001,$A$471,BD!$P$3:$P$5001,"&lt;&gt;")=0,"",SUMIFS(BD!$P$3:$P$5001,BD!$A$3:$A$5001,V$3,BD!$B$3:$B$5001,$A$471)))</f>
        <v/>
      </c>
      <c r="W484" s="271" t="str">
        <f>IF(W$3="","",IF(COUNTIFS(BD!$A$3:$A$5001,W$3,BD!$B$3:$B$5001,$A$471,BD!$P$3:$P$5001,"&lt;&gt;")=0,"",SUMIFS(BD!$P$3:$P$5001,BD!$A$3:$A$5001,W$3,BD!$B$3:$B$5001,$A$471)))</f>
        <v/>
      </c>
      <c r="X484" s="271" t="str">
        <f>IF(X$3="","",IF(COUNTIFS(BD!$A$3:$A$5001,X$3,BD!$B$3:$B$5001,$A$471,BD!$P$3:$P$5001,"&lt;&gt;")=0,"",SUMIFS(BD!$P$3:$P$5001,BD!$A$3:$A$5001,X$3,BD!$B$3:$B$5001,$A$471)))</f>
        <v/>
      </c>
      <c r="Y484" s="271" t="str">
        <f>IF(Y$3="","",IF(COUNTIFS(BD!$A$3:$A$5001,Y$3,BD!$B$3:$B$5001,$A$471,BD!$P$3:$P$5001,"&lt;&gt;")=0,"",SUMIFS(BD!$P$3:$P$5001,BD!$A$3:$A$5001,Y$3,BD!$B$3:$B$5001,$A$471)))</f>
        <v/>
      </c>
      <c r="Z484" s="271" t="str">
        <f>IF(Z$3="","",IF(COUNTIFS(BD!$A$3:$A$5001,Z$3,BD!$B$3:$B$5001,$A$471,BD!$P$3:$P$5001,"&lt;&gt;")=0,"",SUMIFS(BD!$P$3:$P$5001,BD!$A$3:$A$5001,Z$3,BD!$B$3:$B$5001,$A$471)))</f>
        <v/>
      </c>
      <c r="AA484" s="271" t="str">
        <f>IF(AA$3="","",IF(COUNTIFS(BD!$A$3:$A$5001,AA$3,BD!$B$3:$B$5001,$A$471,BD!$P$3:$P$5001,"&lt;&gt;")=0,"",SUMIFS(BD!$P$3:$P$5001,BD!$A$3:$A$5001,AA$3,BD!$B$3:$B$5001,$A$471)))</f>
        <v/>
      </c>
      <c r="AB484" s="271" t="str">
        <f>IF(AB$3="","",IF(COUNTIFS(BD!$A$3:$A$5001,AB$3,BD!$B$3:$B$5001,$A$471,BD!$P$3:$P$5001,"&lt;&gt;")=0,"",SUMIFS(BD!$P$3:$P$5001,BD!$A$3:$A$5001,AB$3,BD!$B$3:$B$5001,$A$471)))</f>
        <v/>
      </c>
      <c r="AC484" s="271" t="str">
        <f>IF(AC$3="","",IF(COUNTIFS(BD!$A$3:$A$5001,AC$3,BD!$B$3:$B$5001,$A$471,BD!$P$3:$P$5001,"&lt;&gt;")=0,"",SUMIFS(BD!$P$3:$P$5001,BD!$A$3:$A$5001,AC$3,BD!$B$3:$B$5001,$A$471)))</f>
        <v/>
      </c>
      <c r="AD484" s="271" t="str">
        <f>IF(AD$3="","",IF(COUNTIFS(BD!$A$3:$A$5001,AD$3,BD!$B$3:$B$5001,$A$471,BD!$P$3:$P$5001,"&lt;&gt;")=0,"",SUMIFS(BD!$P$3:$P$5001,BD!$A$3:$A$5001,AD$3,BD!$B$3:$B$5001,$A$471)))</f>
        <v/>
      </c>
      <c r="AE484" s="271" t="str">
        <f>IF(AE$3="","",IF(COUNTIFS(BD!$A$3:$A$5001,AE$3,BD!$B$3:$B$5001,$A$471,BD!$P$3:$P$5001,"&lt;&gt;")=0,"",SUMIFS(BD!$P$3:$P$5001,BD!$A$3:$A$5001,AE$3,BD!$B$3:$B$5001,$A$471)))</f>
        <v/>
      </c>
      <c r="AF484" s="271" t="str">
        <f>IF(AF$3="","",IF(COUNTIFS(BD!$A$3:$A$5001,AF$3,BD!$B$3:$B$5001,$A$471,BD!$P$3:$P$5001,"&lt;&gt;")=0,"",SUMIFS(BD!$P$3:$P$5001,BD!$A$3:$A$5001,AF$3,BD!$B$3:$B$5001,$A$471)))</f>
        <v/>
      </c>
      <c r="AG484" s="271" t="str">
        <f>IF(AG$3="","",IF(COUNTIFS(BD!$A$3:$A$5001,AG$3,BD!$B$3:$B$5001,$A$471,BD!$P$3:$P$5001,"&lt;&gt;")=0,"",SUMIFS(BD!$P$3:$P$5001,BD!$A$3:$A$5001,AG$3,BD!$B$3:$B$5001,$A$471)))</f>
        <v/>
      </c>
      <c r="AH484" s="271" t="str">
        <f>IF(AH$3="","",IF(COUNTIFS(BD!$A$3:$A$5001,AH$3,BD!$B$3:$B$5001,$A$471,BD!$P$3:$P$5001,"&lt;&gt;")=0,"",SUMIFS(BD!$P$3:$P$5001,BD!$A$3:$A$5001,AH$3,BD!$B$3:$B$5001,$A$471)))</f>
        <v/>
      </c>
      <c r="AI484" s="271" t="str">
        <f>IF(AI$3="","",IF(COUNTIFS(BD!$A$3:$A$5001,AI$3,BD!$B$3:$B$5001,$A$471,BD!$P$3:$P$5001,"&lt;&gt;")=0,"",SUMIFS(BD!$P$3:$P$5001,BD!$A$3:$A$5001,AI$3,BD!$B$3:$B$5001,$A$471)))</f>
        <v/>
      </c>
      <c r="AJ484" s="272" t="str">
        <f>IF(AJ$3="","",IF(COUNTIFS(BD!$A$3:$A$5001,AJ$3,BD!$B$3:$B$5001,$A$471,BD!$P$3:$P$5001,"&lt;&gt;")=0,"",SUMIFS(BD!$P$3:$P$5001,BD!$A$3:$A$5001,AJ$3,BD!$B$3:$B$5001,$A$471)))</f>
        <v/>
      </c>
      <c r="AK484" s="273" t="str">
        <f>IF(COUNT(F484:AJ484)=0,"",SUM(F484:AJ484))</f>
        <v/>
      </c>
    </row>
    <row r="485" ht="15.75" customHeight="1" hidden="1">
      <c r="A485" s="261"/>
      <c r="B485" s="278"/>
      <c r="C485" s="267" t="inlineStr">
        <is>
          <t xml:space="preserve">Caixas Expedidas</t>
        </is>
      </c>
      <c r="D485" s="268" t="str">
        <f>IFERROR(1/(1/INDEX(BD!$AL$37:$BF$37,MATCH($A$471,BD!$AL$22:$BF$22,0))),"")</f>
        <v/>
      </c>
      <c r="E485" s="269"/>
      <c r="F485" s="270" t="str">
        <f>IF(F$3="","",IF(COUNTIFS(BD!$A$3:$A$5001,F$3,BD!$B$3:$B$5001,$A$471,BD!$Q$3:$Q$5001,"&lt;&gt;")=0,"",SUMIFS(BD!$Q$3:$Q$5001,BD!$A$3:$A$5001,F$3,BD!$B$3:$B$5001,$A$471)))</f>
        <v/>
      </c>
      <c r="G485" s="271" t="str">
        <f>IF(G$3="","",IF(COUNTIFS(BD!$A$3:$A$5001,G$3,BD!$B$3:$B$5001,$A$471,BD!$Q$3:$Q$5001,"&lt;&gt;")=0,"",SUMIFS(BD!$Q$3:$Q$5001,BD!$A$3:$A$5001,G$3,BD!$B$3:$B$5001,$A$471)))</f>
        <v/>
      </c>
      <c r="H485" s="271" t="str">
        <f>IF(H$3="","",IF(COUNTIFS(BD!$A$3:$A$5001,H$3,BD!$B$3:$B$5001,$A$471,BD!$Q$3:$Q$5001,"&lt;&gt;")=0,"",SUMIFS(BD!$Q$3:$Q$5001,BD!$A$3:$A$5001,H$3,BD!$B$3:$B$5001,$A$471)))</f>
        <v/>
      </c>
      <c r="I485" s="271" t="str">
        <f>IF(I$3="","",IF(COUNTIFS(BD!$A$3:$A$5001,I$3,BD!$B$3:$B$5001,$A$471,BD!$Q$3:$Q$5001,"&lt;&gt;")=0,"",SUMIFS(BD!$Q$3:$Q$5001,BD!$A$3:$A$5001,I$3,BD!$B$3:$B$5001,$A$471)))</f>
        <v/>
      </c>
      <c r="J485" s="271" t="str">
        <f>IF(J$3="","",IF(COUNTIFS(BD!$A$3:$A$5001,J$3,BD!$B$3:$B$5001,$A$471,BD!$Q$3:$Q$5001,"&lt;&gt;")=0,"",SUMIFS(BD!$Q$3:$Q$5001,BD!$A$3:$A$5001,J$3,BD!$B$3:$B$5001,$A$471)))</f>
        <v/>
      </c>
      <c r="K485" s="271" t="str">
        <f>IF(K$3="","",IF(COUNTIFS(BD!$A$3:$A$5001,K$3,BD!$B$3:$B$5001,$A$471,BD!$Q$3:$Q$5001,"&lt;&gt;")=0,"",SUMIFS(BD!$Q$3:$Q$5001,BD!$A$3:$A$5001,K$3,BD!$B$3:$B$5001,$A$471)))</f>
        <v/>
      </c>
      <c r="L485" s="271" t="str">
        <f>IF(L$3="","",IF(COUNTIFS(BD!$A$3:$A$5001,L$3,BD!$B$3:$B$5001,$A$471,BD!$Q$3:$Q$5001,"&lt;&gt;")=0,"",SUMIFS(BD!$Q$3:$Q$5001,BD!$A$3:$A$5001,L$3,BD!$B$3:$B$5001,$A$471)))</f>
        <v/>
      </c>
      <c r="M485" s="271" t="str">
        <f>IF(M$3="","",IF(COUNTIFS(BD!$A$3:$A$5001,M$3,BD!$B$3:$B$5001,$A$471,BD!$Q$3:$Q$5001,"&lt;&gt;")=0,"",SUMIFS(BD!$Q$3:$Q$5001,BD!$A$3:$A$5001,M$3,BD!$B$3:$B$5001,$A$471)))</f>
        <v/>
      </c>
      <c r="N485" s="271" t="str">
        <f>IF(N$3="","",IF(COUNTIFS(BD!$A$3:$A$5001,N$3,BD!$B$3:$B$5001,$A$471,BD!$Q$3:$Q$5001,"&lt;&gt;")=0,"",SUMIFS(BD!$Q$3:$Q$5001,BD!$A$3:$A$5001,N$3,BD!$B$3:$B$5001,$A$471)))</f>
        <v/>
      </c>
      <c r="O485" s="271" t="str">
        <f>IF(O$3="","",IF(COUNTIFS(BD!$A$3:$A$5001,O$3,BD!$B$3:$B$5001,$A$471,BD!$Q$3:$Q$5001,"&lt;&gt;")=0,"",SUMIFS(BD!$Q$3:$Q$5001,BD!$A$3:$A$5001,O$3,BD!$B$3:$B$5001,$A$471)))</f>
        <v/>
      </c>
      <c r="P485" s="271" t="str">
        <f>IF(P$3="","",IF(COUNTIFS(BD!$A$3:$A$5001,P$3,BD!$B$3:$B$5001,$A$471,BD!$Q$3:$Q$5001,"&lt;&gt;")=0,"",SUMIFS(BD!$Q$3:$Q$5001,BD!$A$3:$A$5001,P$3,BD!$B$3:$B$5001,$A$471)))</f>
        <v/>
      </c>
      <c r="Q485" s="271" t="str">
        <f>IF(Q$3="","",IF(COUNTIFS(BD!$A$3:$A$5001,Q$3,BD!$B$3:$B$5001,$A$471,BD!$Q$3:$Q$5001,"&lt;&gt;")=0,"",SUMIFS(BD!$Q$3:$Q$5001,BD!$A$3:$A$5001,Q$3,BD!$B$3:$B$5001,$A$471)))</f>
        <v/>
      </c>
      <c r="R485" s="271" t="str">
        <f>IF(R$3="","",IF(COUNTIFS(BD!$A$3:$A$5001,R$3,BD!$B$3:$B$5001,$A$471,BD!$Q$3:$Q$5001,"&lt;&gt;")=0,"",SUMIFS(BD!$Q$3:$Q$5001,BD!$A$3:$A$5001,R$3,BD!$B$3:$B$5001,$A$471)))</f>
        <v/>
      </c>
      <c r="S485" s="271" t="str">
        <f>IF(S$3="","",IF(COUNTIFS(BD!$A$3:$A$5001,S$3,BD!$B$3:$B$5001,$A$471,BD!$Q$3:$Q$5001,"&lt;&gt;")=0,"",SUMIFS(BD!$Q$3:$Q$5001,BD!$A$3:$A$5001,S$3,BD!$B$3:$B$5001,$A$471)))</f>
        <v/>
      </c>
      <c r="T485" s="271" t="str">
        <f>IF(T$3="","",IF(COUNTIFS(BD!$A$3:$A$5001,T$3,BD!$B$3:$B$5001,$A$471,BD!$Q$3:$Q$5001,"&lt;&gt;")=0,"",SUMIFS(BD!$Q$3:$Q$5001,BD!$A$3:$A$5001,T$3,BD!$B$3:$B$5001,$A$471)))</f>
        <v/>
      </c>
      <c r="U485" s="271" t="str">
        <f>IF(U$3="","",IF(COUNTIFS(BD!$A$3:$A$5001,U$3,BD!$B$3:$B$5001,$A$471,BD!$Q$3:$Q$5001,"&lt;&gt;")=0,"",SUMIFS(BD!$Q$3:$Q$5001,BD!$A$3:$A$5001,U$3,BD!$B$3:$B$5001,$A$471)))</f>
        <v/>
      </c>
      <c r="V485" s="271" t="str">
        <f>IF(V$3="","",IF(COUNTIFS(BD!$A$3:$A$5001,V$3,BD!$B$3:$B$5001,$A$471,BD!$Q$3:$Q$5001,"&lt;&gt;")=0,"",SUMIFS(BD!$Q$3:$Q$5001,BD!$A$3:$A$5001,V$3,BD!$B$3:$B$5001,$A$471)))</f>
        <v/>
      </c>
      <c r="W485" s="271" t="str">
        <f>IF(W$3="","",IF(COUNTIFS(BD!$A$3:$A$5001,W$3,BD!$B$3:$B$5001,$A$471,BD!$Q$3:$Q$5001,"&lt;&gt;")=0,"",SUMIFS(BD!$Q$3:$Q$5001,BD!$A$3:$A$5001,W$3,BD!$B$3:$B$5001,$A$471)))</f>
        <v/>
      </c>
      <c r="X485" s="271" t="str">
        <f>IF(X$3="","",IF(COUNTIFS(BD!$A$3:$A$5001,X$3,BD!$B$3:$B$5001,$A$471,BD!$Q$3:$Q$5001,"&lt;&gt;")=0,"",SUMIFS(BD!$Q$3:$Q$5001,BD!$A$3:$A$5001,X$3,BD!$B$3:$B$5001,$A$471)))</f>
        <v/>
      </c>
      <c r="Y485" s="271" t="str">
        <f>IF(Y$3="","",IF(COUNTIFS(BD!$A$3:$A$5001,Y$3,BD!$B$3:$B$5001,$A$471,BD!$Q$3:$Q$5001,"&lt;&gt;")=0,"",SUMIFS(BD!$Q$3:$Q$5001,BD!$A$3:$A$5001,Y$3,BD!$B$3:$B$5001,$A$471)))</f>
        <v/>
      </c>
      <c r="Z485" s="271" t="str">
        <f>IF(Z$3="","",IF(COUNTIFS(BD!$A$3:$A$5001,Z$3,BD!$B$3:$B$5001,$A$471,BD!$Q$3:$Q$5001,"&lt;&gt;")=0,"",SUMIFS(BD!$Q$3:$Q$5001,BD!$A$3:$A$5001,Z$3,BD!$B$3:$B$5001,$A$471)))</f>
        <v/>
      </c>
      <c r="AA485" s="271" t="str">
        <f>IF(AA$3="","",IF(COUNTIFS(BD!$A$3:$A$5001,AA$3,BD!$B$3:$B$5001,$A$471,BD!$Q$3:$Q$5001,"&lt;&gt;")=0,"",SUMIFS(BD!$Q$3:$Q$5001,BD!$A$3:$A$5001,AA$3,BD!$B$3:$B$5001,$A$471)))</f>
        <v/>
      </c>
      <c r="AB485" s="271" t="str">
        <f>IF(AB$3="","",IF(COUNTIFS(BD!$A$3:$A$5001,AB$3,BD!$B$3:$B$5001,$A$471,BD!$Q$3:$Q$5001,"&lt;&gt;")=0,"",SUMIFS(BD!$Q$3:$Q$5001,BD!$A$3:$A$5001,AB$3,BD!$B$3:$B$5001,$A$471)))</f>
        <v/>
      </c>
      <c r="AC485" s="271" t="str">
        <f>IF(AC$3="","",IF(COUNTIFS(BD!$A$3:$A$5001,AC$3,BD!$B$3:$B$5001,$A$471,BD!$Q$3:$Q$5001,"&lt;&gt;")=0,"",SUMIFS(BD!$Q$3:$Q$5001,BD!$A$3:$A$5001,AC$3,BD!$B$3:$B$5001,$A$471)))</f>
        <v/>
      </c>
      <c r="AD485" s="271" t="str">
        <f>IF(AD$3="","",IF(COUNTIFS(BD!$A$3:$A$5001,AD$3,BD!$B$3:$B$5001,$A$471,BD!$Q$3:$Q$5001,"&lt;&gt;")=0,"",SUMIFS(BD!$Q$3:$Q$5001,BD!$A$3:$A$5001,AD$3,BD!$B$3:$B$5001,$A$471)))</f>
        <v/>
      </c>
      <c r="AE485" s="271" t="str">
        <f>IF(AE$3="","",IF(COUNTIFS(BD!$A$3:$A$5001,AE$3,BD!$B$3:$B$5001,$A$471,BD!$Q$3:$Q$5001,"&lt;&gt;")=0,"",SUMIFS(BD!$Q$3:$Q$5001,BD!$A$3:$A$5001,AE$3,BD!$B$3:$B$5001,$A$471)))</f>
        <v/>
      </c>
      <c r="AF485" s="271" t="str">
        <f>IF(AF$3="","",IF(COUNTIFS(BD!$A$3:$A$5001,AF$3,BD!$B$3:$B$5001,$A$471,BD!$Q$3:$Q$5001,"&lt;&gt;")=0,"",SUMIFS(BD!$Q$3:$Q$5001,BD!$A$3:$A$5001,AF$3,BD!$B$3:$B$5001,$A$471)))</f>
        <v/>
      </c>
      <c r="AG485" s="271" t="str">
        <f>IF(AG$3="","",IF(COUNTIFS(BD!$A$3:$A$5001,AG$3,BD!$B$3:$B$5001,$A$471,BD!$Q$3:$Q$5001,"&lt;&gt;")=0,"",SUMIFS(BD!$Q$3:$Q$5001,BD!$A$3:$A$5001,AG$3,BD!$B$3:$B$5001,$A$471)))</f>
        <v/>
      </c>
      <c r="AH485" s="271" t="str">
        <f>IF(AH$3="","",IF(COUNTIFS(BD!$A$3:$A$5001,AH$3,BD!$B$3:$B$5001,$A$471,BD!$Q$3:$Q$5001,"&lt;&gt;")=0,"",SUMIFS(BD!$Q$3:$Q$5001,BD!$A$3:$A$5001,AH$3,BD!$B$3:$B$5001,$A$471)))</f>
        <v/>
      </c>
      <c r="AI485" s="271" t="str">
        <f>IF(AI$3="","",IF(COUNTIFS(BD!$A$3:$A$5001,AI$3,BD!$B$3:$B$5001,$A$471,BD!$Q$3:$Q$5001,"&lt;&gt;")=0,"",SUMIFS(BD!$Q$3:$Q$5001,BD!$A$3:$A$5001,AI$3,BD!$B$3:$B$5001,$A$471)))</f>
        <v/>
      </c>
      <c r="AJ485" s="272" t="str">
        <f>IF(AJ$3="","",IF(COUNTIFS(BD!$A$3:$A$5001,AJ$3,BD!$B$3:$B$5001,$A$471,BD!$Q$3:$Q$5001,"&lt;&gt;")=0,"",SUMIFS(BD!$Q$3:$Q$5001,BD!$A$3:$A$5001,AJ$3,BD!$B$3:$B$5001,$A$471)))</f>
        <v/>
      </c>
      <c r="AK485" s="273" t="str">
        <f>IF(COUNT(F485:AJ485)=0,"",SUM(F485:AJ485))</f>
        <v/>
      </c>
    </row>
    <row r="486" ht="15.75" customHeight="1" hidden="1">
      <c r="A486" s="261"/>
      <c r="B486" s="278"/>
      <c r="C486" s="267" t="inlineStr">
        <is>
          <t xml:space="preserve">Pallets Movimentados</t>
        </is>
      </c>
      <c r="D486" s="268" t="str">
        <f>IFERROR(1/(1/INDEX(BD!$AL$38:$BF$38,MATCH($A$471,BD!$AL$22:$BF$22,0))),"")</f>
        <v/>
      </c>
      <c r="E486" s="269"/>
      <c r="F486" s="270" t="str">
        <f>IF(F$3="","",IF(COUNTIFS(BD!$A$3:$A$5001,F$3,BD!$B$3:$B$5001,$A$471,BD!$R$3:$R$5001,"&lt;&gt;")=0,"",SUMIFS(BD!$R$3:$R$5001,BD!$A$3:$A$5001,F$3,BD!$B$3:$B$5001,$A$471)))</f>
        <v/>
      </c>
      <c r="G486" s="271" t="str">
        <f>IF(G$3="","",IF(COUNTIFS(BD!$A$3:$A$5001,G$3,BD!$B$3:$B$5001,$A$471,BD!$R$3:$R$5001,"&lt;&gt;")=0,"",SUMIFS(BD!$R$3:$R$5001,BD!$A$3:$A$5001,G$3,BD!$B$3:$B$5001,$A$471)))</f>
        <v/>
      </c>
      <c r="H486" s="271" t="str">
        <f>IF(H$3="","",IF(COUNTIFS(BD!$A$3:$A$5001,H$3,BD!$B$3:$B$5001,$A$471,BD!$R$3:$R$5001,"&lt;&gt;")=0,"",SUMIFS(BD!$R$3:$R$5001,BD!$A$3:$A$5001,H$3,BD!$B$3:$B$5001,$A$471)))</f>
        <v/>
      </c>
      <c r="I486" s="271" t="str">
        <f>IF(I$3="","",IF(COUNTIFS(BD!$A$3:$A$5001,I$3,BD!$B$3:$B$5001,$A$471,BD!$R$3:$R$5001,"&lt;&gt;")=0,"",SUMIFS(BD!$R$3:$R$5001,BD!$A$3:$A$5001,I$3,BD!$B$3:$B$5001,$A$471)))</f>
        <v/>
      </c>
      <c r="J486" s="271" t="str">
        <f>IF(J$3="","",IF(COUNTIFS(BD!$A$3:$A$5001,J$3,BD!$B$3:$B$5001,$A$471,BD!$R$3:$R$5001,"&lt;&gt;")=0,"",SUMIFS(BD!$R$3:$R$5001,BD!$A$3:$A$5001,J$3,BD!$B$3:$B$5001,$A$471)))</f>
        <v/>
      </c>
      <c r="K486" s="271" t="str">
        <f>IF(K$3="","",IF(COUNTIFS(BD!$A$3:$A$5001,K$3,BD!$B$3:$B$5001,$A$471,BD!$R$3:$R$5001,"&lt;&gt;")=0,"",SUMIFS(BD!$R$3:$R$5001,BD!$A$3:$A$5001,K$3,BD!$B$3:$B$5001,$A$471)))</f>
        <v/>
      </c>
      <c r="L486" s="271" t="str">
        <f>IF(L$3="","",IF(COUNTIFS(BD!$A$3:$A$5001,L$3,BD!$B$3:$B$5001,$A$471,BD!$R$3:$R$5001,"&lt;&gt;")=0,"",SUMIFS(BD!$R$3:$R$5001,BD!$A$3:$A$5001,L$3,BD!$B$3:$B$5001,$A$471)))</f>
        <v/>
      </c>
      <c r="M486" s="271" t="str">
        <f>IF(M$3="","",IF(COUNTIFS(BD!$A$3:$A$5001,M$3,BD!$B$3:$B$5001,$A$471,BD!$R$3:$R$5001,"&lt;&gt;")=0,"",SUMIFS(BD!$R$3:$R$5001,BD!$A$3:$A$5001,M$3,BD!$B$3:$B$5001,$A$471)))</f>
        <v/>
      </c>
      <c r="N486" s="271" t="str">
        <f>IF(N$3="","",IF(COUNTIFS(BD!$A$3:$A$5001,N$3,BD!$B$3:$B$5001,$A$471,BD!$R$3:$R$5001,"&lt;&gt;")=0,"",SUMIFS(BD!$R$3:$R$5001,BD!$A$3:$A$5001,N$3,BD!$B$3:$B$5001,$A$471)))</f>
        <v/>
      </c>
      <c r="O486" s="271" t="str">
        <f>IF(O$3="","",IF(COUNTIFS(BD!$A$3:$A$5001,O$3,BD!$B$3:$B$5001,$A$471,BD!$R$3:$R$5001,"&lt;&gt;")=0,"",SUMIFS(BD!$R$3:$R$5001,BD!$A$3:$A$5001,O$3,BD!$B$3:$B$5001,$A$471)))</f>
        <v/>
      </c>
      <c r="P486" s="271" t="str">
        <f>IF(P$3="","",IF(COUNTIFS(BD!$A$3:$A$5001,P$3,BD!$B$3:$B$5001,$A$471,BD!$R$3:$R$5001,"&lt;&gt;")=0,"",SUMIFS(BD!$R$3:$R$5001,BD!$A$3:$A$5001,P$3,BD!$B$3:$B$5001,$A$471)))</f>
        <v/>
      </c>
      <c r="Q486" s="271" t="str">
        <f>IF(Q$3="","",IF(COUNTIFS(BD!$A$3:$A$5001,Q$3,BD!$B$3:$B$5001,$A$471,BD!$R$3:$R$5001,"&lt;&gt;")=0,"",SUMIFS(BD!$R$3:$R$5001,BD!$A$3:$A$5001,Q$3,BD!$B$3:$B$5001,$A$471)))</f>
        <v/>
      </c>
      <c r="R486" s="271" t="str">
        <f>IF(R$3="","",IF(COUNTIFS(BD!$A$3:$A$5001,R$3,BD!$B$3:$B$5001,$A$471,BD!$R$3:$R$5001,"&lt;&gt;")=0,"",SUMIFS(BD!$R$3:$R$5001,BD!$A$3:$A$5001,R$3,BD!$B$3:$B$5001,$A$471)))</f>
        <v/>
      </c>
      <c r="S486" s="271" t="str">
        <f>IF(S$3="","",IF(COUNTIFS(BD!$A$3:$A$5001,S$3,BD!$B$3:$B$5001,$A$471,BD!$R$3:$R$5001,"&lt;&gt;")=0,"",SUMIFS(BD!$R$3:$R$5001,BD!$A$3:$A$5001,S$3,BD!$B$3:$B$5001,$A$471)))</f>
        <v/>
      </c>
      <c r="T486" s="271" t="str">
        <f>IF(T$3="","",IF(COUNTIFS(BD!$A$3:$A$5001,T$3,BD!$B$3:$B$5001,$A$471,BD!$R$3:$R$5001,"&lt;&gt;")=0,"",SUMIFS(BD!$R$3:$R$5001,BD!$A$3:$A$5001,T$3,BD!$B$3:$B$5001,$A$471)))</f>
        <v/>
      </c>
      <c r="U486" s="271" t="str">
        <f>IF(U$3="","",IF(COUNTIFS(BD!$A$3:$A$5001,U$3,BD!$B$3:$B$5001,$A$471,BD!$R$3:$R$5001,"&lt;&gt;")=0,"",SUMIFS(BD!$R$3:$R$5001,BD!$A$3:$A$5001,U$3,BD!$B$3:$B$5001,$A$471)))</f>
        <v/>
      </c>
      <c r="V486" s="271" t="str">
        <f>IF(V$3="","",IF(COUNTIFS(BD!$A$3:$A$5001,V$3,BD!$B$3:$B$5001,$A$471,BD!$R$3:$R$5001,"&lt;&gt;")=0,"",SUMIFS(BD!$R$3:$R$5001,BD!$A$3:$A$5001,V$3,BD!$B$3:$B$5001,$A$471)))</f>
        <v/>
      </c>
      <c r="W486" s="271" t="str">
        <f>IF(W$3="","",IF(COUNTIFS(BD!$A$3:$A$5001,W$3,BD!$B$3:$B$5001,$A$471,BD!$R$3:$R$5001,"&lt;&gt;")=0,"",SUMIFS(BD!$R$3:$R$5001,BD!$A$3:$A$5001,W$3,BD!$B$3:$B$5001,$A$471)))</f>
        <v/>
      </c>
      <c r="X486" s="271" t="str">
        <f>IF(X$3="","",IF(COUNTIFS(BD!$A$3:$A$5001,X$3,BD!$B$3:$B$5001,$A$471,BD!$R$3:$R$5001,"&lt;&gt;")=0,"",SUMIFS(BD!$R$3:$R$5001,BD!$A$3:$A$5001,X$3,BD!$B$3:$B$5001,$A$471)))</f>
        <v/>
      </c>
      <c r="Y486" s="271" t="str">
        <f>IF(Y$3="","",IF(COUNTIFS(BD!$A$3:$A$5001,Y$3,BD!$B$3:$B$5001,$A$471,BD!$R$3:$R$5001,"&lt;&gt;")=0,"",SUMIFS(BD!$R$3:$R$5001,BD!$A$3:$A$5001,Y$3,BD!$B$3:$B$5001,$A$471)))</f>
        <v/>
      </c>
      <c r="Z486" s="271" t="str">
        <f>IF(Z$3="","",IF(COUNTIFS(BD!$A$3:$A$5001,Z$3,BD!$B$3:$B$5001,$A$471,BD!$R$3:$R$5001,"&lt;&gt;")=0,"",SUMIFS(BD!$R$3:$R$5001,BD!$A$3:$A$5001,Z$3,BD!$B$3:$B$5001,$A$471)))</f>
        <v/>
      </c>
      <c r="AA486" s="271" t="str">
        <f>IF(AA$3="","",IF(COUNTIFS(BD!$A$3:$A$5001,AA$3,BD!$B$3:$B$5001,$A$471,BD!$R$3:$R$5001,"&lt;&gt;")=0,"",SUMIFS(BD!$R$3:$R$5001,BD!$A$3:$A$5001,AA$3,BD!$B$3:$B$5001,$A$471)))</f>
        <v/>
      </c>
      <c r="AB486" s="271" t="str">
        <f>IF(AB$3="","",IF(COUNTIFS(BD!$A$3:$A$5001,AB$3,BD!$B$3:$B$5001,$A$471,BD!$R$3:$R$5001,"&lt;&gt;")=0,"",SUMIFS(BD!$R$3:$R$5001,BD!$A$3:$A$5001,AB$3,BD!$B$3:$B$5001,$A$471)))</f>
        <v/>
      </c>
      <c r="AC486" s="271" t="str">
        <f>IF(AC$3="","",IF(COUNTIFS(BD!$A$3:$A$5001,AC$3,BD!$B$3:$B$5001,$A$471,BD!$R$3:$R$5001,"&lt;&gt;")=0,"",SUMIFS(BD!$R$3:$R$5001,BD!$A$3:$A$5001,AC$3,BD!$B$3:$B$5001,$A$471)))</f>
        <v/>
      </c>
      <c r="AD486" s="271" t="str">
        <f>IF(AD$3="","",IF(COUNTIFS(BD!$A$3:$A$5001,AD$3,BD!$B$3:$B$5001,$A$471,BD!$R$3:$R$5001,"&lt;&gt;")=0,"",SUMIFS(BD!$R$3:$R$5001,BD!$A$3:$A$5001,AD$3,BD!$B$3:$B$5001,$A$471)))</f>
        <v/>
      </c>
      <c r="AE486" s="271" t="str">
        <f>IF(AE$3="","",IF(COUNTIFS(BD!$A$3:$A$5001,AE$3,BD!$B$3:$B$5001,$A$471,BD!$R$3:$R$5001,"&lt;&gt;")=0,"",SUMIFS(BD!$R$3:$R$5001,BD!$A$3:$A$5001,AE$3,BD!$B$3:$B$5001,$A$471)))</f>
        <v/>
      </c>
      <c r="AF486" s="271" t="str">
        <f>IF(AF$3="","",IF(COUNTIFS(BD!$A$3:$A$5001,AF$3,BD!$B$3:$B$5001,$A$471,BD!$R$3:$R$5001,"&lt;&gt;")=0,"",SUMIFS(BD!$R$3:$R$5001,BD!$A$3:$A$5001,AF$3,BD!$B$3:$B$5001,$A$471)))</f>
        <v/>
      </c>
      <c r="AG486" s="271" t="str">
        <f>IF(AG$3="","",IF(COUNTIFS(BD!$A$3:$A$5001,AG$3,BD!$B$3:$B$5001,$A$471,BD!$R$3:$R$5001,"&lt;&gt;")=0,"",SUMIFS(BD!$R$3:$R$5001,BD!$A$3:$A$5001,AG$3,BD!$B$3:$B$5001,$A$471)))</f>
        <v/>
      </c>
      <c r="AH486" s="271" t="str">
        <f>IF(AH$3="","",IF(COUNTIFS(BD!$A$3:$A$5001,AH$3,BD!$B$3:$B$5001,$A$471,BD!$R$3:$R$5001,"&lt;&gt;")=0,"",SUMIFS(BD!$R$3:$R$5001,BD!$A$3:$A$5001,AH$3,BD!$B$3:$B$5001,$A$471)))</f>
        <v/>
      </c>
      <c r="AI486" s="271" t="str">
        <f>IF(AI$3="","",IF(COUNTIFS(BD!$A$3:$A$5001,AI$3,BD!$B$3:$B$5001,$A$471,BD!$R$3:$R$5001,"&lt;&gt;")=0,"",SUMIFS(BD!$R$3:$R$5001,BD!$A$3:$A$5001,AI$3,BD!$B$3:$B$5001,$A$471)))</f>
        <v/>
      </c>
      <c r="AJ486" s="272" t="str">
        <f>IF(AJ$3="","",IF(COUNTIFS(BD!$A$3:$A$5001,AJ$3,BD!$B$3:$B$5001,$A$471,BD!$R$3:$R$5001,"&lt;&gt;")=0,"",SUMIFS(BD!$R$3:$R$5001,BD!$A$3:$A$5001,AJ$3,BD!$B$3:$B$5001,$A$471)))</f>
        <v/>
      </c>
      <c r="AK486" s="273" t="str">
        <f>IF(COUNT(F486:AJ486)=0,"",SUM(F486:AJ486))</f>
        <v/>
      </c>
    </row>
    <row r="487" ht="15.75" customHeight="1" hidden="1">
      <c r="A487" s="261"/>
      <c r="B487" s="252"/>
      <c r="C487" s="188" t="inlineStr">
        <is>
          <t xml:space="preserve">Toneladas Movimentadas</t>
        </is>
      </c>
      <c r="D487" s="189" t="str">
        <f>IFERROR(1/(1/INDEX(BD!$AL$39:$BF$39,MATCH($A$471,BD!$AL$22:$BF$22,0))),"")</f>
        <v/>
      </c>
      <c r="E487" s="190"/>
      <c r="F487" s="274" t="str">
        <f>IF(F$3="","",IF(COUNTIFS(BD!$A$3:$A$5001,F$3,BD!$B$3:$B$5001,$A$471,BD!$S$3:$S$5001,"&lt;&gt;")=0,"",SUMIFS(BD!$S$3:$S$5001,BD!$A$3:$A$5001,F$3,BD!$B$3:$B$5001,$A$471)))</f>
        <v/>
      </c>
      <c r="G487" s="275" t="str">
        <f>IF(G$3="","",IF(COUNTIFS(BD!$A$3:$A$5001,G$3,BD!$B$3:$B$5001,$A$471,BD!$S$3:$S$5001,"&lt;&gt;")=0,"",SUMIFS(BD!$S$3:$S$5001,BD!$A$3:$A$5001,G$3,BD!$B$3:$B$5001,$A$471)))</f>
        <v/>
      </c>
      <c r="H487" s="275" t="str">
        <f>IF(H$3="","",IF(COUNTIFS(BD!$A$3:$A$5001,H$3,BD!$B$3:$B$5001,$A$471,BD!$S$3:$S$5001,"&lt;&gt;")=0,"",SUMIFS(BD!$S$3:$S$5001,BD!$A$3:$A$5001,H$3,BD!$B$3:$B$5001,$A$471)))</f>
        <v/>
      </c>
      <c r="I487" s="275" t="str">
        <f>IF(I$3="","",IF(COUNTIFS(BD!$A$3:$A$5001,I$3,BD!$B$3:$B$5001,$A$471,BD!$S$3:$S$5001,"&lt;&gt;")=0,"",SUMIFS(BD!$S$3:$S$5001,BD!$A$3:$A$5001,I$3,BD!$B$3:$B$5001,$A$471)))</f>
        <v/>
      </c>
      <c r="J487" s="275" t="str">
        <f>IF(J$3="","",IF(COUNTIFS(BD!$A$3:$A$5001,J$3,BD!$B$3:$B$5001,$A$471,BD!$S$3:$S$5001,"&lt;&gt;")=0,"",SUMIFS(BD!$S$3:$S$5001,BD!$A$3:$A$5001,J$3,BD!$B$3:$B$5001,$A$471)))</f>
        <v/>
      </c>
      <c r="K487" s="275" t="str">
        <f>IF(K$3="","",IF(COUNTIFS(BD!$A$3:$A$5001,K$3,BD!$B$3:$B$5001,$A$471,BD!$S$3:$S$5001,"&lt;&gt;")=0,"",SUMIFS(BD!$S$3:$S$5001,BD!$A$3:$A$5001,K$3,BD!$B$3:$B$5001,$A$471)))</f>
        <v/>
      </c>
      <c r="L487" s="275" t="str">
        <f>IF(L$3="","",IF(COUNTIFS(BD!$A$3:$A$5001,L$3,BD!$B$3:$B$5001,$A$471,BD!$S$3:$S$5001,"&lt;&gt;")=0,"",SUMIFS(BD!$S$3:$S$5001,BD!$A$3:$A$5001,L$3,BD!$B$3:$B$5001,$A$471)))</f>
        <v/>
      </c>
      <c r="M487" s="275" t="str">
        <f>IF(M$3="","",IF(COUNTIFS(BD!$A$3:$A$5001,M$3,BD!$B$3:$B$5001,$A$471,BD!$S$3:$S$5001,"&lt;&gt;")=0,"",SUMIFS(BD!$S$3:$S$5001,BD!$A$3:$A$5001,M$3,BD!$B$3:$B$5001,$A$471)))</f>
        <v/>
      </c>
      <c r="N487" s="275" t="str">
        <f>IF(N$3="","",IF(COUNTIFS(BD!$A$3:$A$5001,N$3,BD!$B$3:$B$5001,$A$471,BD!$S$3:$S$5001,"&lt;&gt;")=0,"",SUMIFS(BD!$S$3:$S$5001,BD!$A$3:$A$5001,N$3,BD!$B$3:$B$5001,$A$471)))</f>
        <v/>
      </c>
      <c r="O487" s="275" t="str">
        <f>IF(O$3="","",IF(COUNTIFS(BD!$A$3:$A$5001,O$3,BD!$B$3:$B$5001,$A$471,BD!$S$3:$S$5001,"&lt;&gt;")=0,"",SUMIFS(BD!$S$3:$S$5001,BD!$A$3:$A$5001,O$3,BD!$B$3:$B$5001,$A$471)))</f>
        <v/>
      </c>
      <c r="P487" s="275" t="str">
        <f>IF(P$3="","",IF(COUNTIFS(BD!$A$3:$A$5001,P$3,BD!$B$3:$B$5001,$A$471,BD!$S$3:$S$5001,"&lt;&gt;")=0,"",SUMIFS(BD!$S$3:$S$5001,BD!$A$3:$A$5001,P$3,BD!$B$3:$B$5001,$A$471)))</f>
        <v/>
      </c>
      <c r="Q487" s="275" t="str">
        <f>IF(Q$3="","",IF(COUNTIFS(BD!$A$3:$A$5001,Q$3,BD!$B$3:$B$5001,$A$471,BD!$S$3:$S$5001,"&lt;&gt;")=0,"",SUMIFS(BD!$S$3:$S$5001,BD!$A$3:$A$5001,Q$3,BD!$B$3:$B$5001,$A$471)))</f>
        <v/>
      </c>
      <c r="R487" s="275" t="str">
        <f>IF(R$3="","",IF(COUNTIFS(BD!$A$3:$A$5001,R$3,BD!$B$3:$B$5001,$A$471,BD!$S$3:$S$5001,"&lt;&gt;")=0,"",SUMIFS(BD!$S$3:$S$5001,BD!$A$3:$A$5001,R$3,BD!$B$3:$B$5001,$A$471)))</f>
        <v/>
      </c>
      <c r="S487" s="275" t="str">
        <f>IF(S$3="","",IF(COUNTIFS(BD!$A$3:$A$5001,S$3,BD!$B$3:$B$5001,$A$471,BD!$S$3:$S$5001,"&lt;&gt;")=0,"",SUMIFS(BD!$S$3:$S$5001,BD!$A$3:$A$5001,S$3,BD!$B$3:$B$5001,$A$471)))</f>
        <v/>
      </c>
      <c r="T487" s="275" t="str">
        <f>IF(T$3="","",IF(COUNTIFS(BD!$A$3:$A$5001,T$3,BD!$B$3:$B$5001,$A$471,BD!$S$3:$S$5001,"&lt;&gt;")=0,"",SUMIFS(BD!$S$3:$S$5001,BD!$A$3:$A$5001,T$3,BD!$B$3:$B$5001,$A$471)))</f>
        <v/>
      </c>
      <c r="U487" s="275" t="str">
        <f>IF(U$3="","",IF(COUNTIFS(BD!$A$3:$A$5001,U$3,BD!$B$3:$B$5001,$A$471,BD!$S$3:$S$5001,"&lt;&gt;")=0,"",SUMIFS(BD!$S$3:$S$5001,BD!$A$3:$A$5001,U$3,BD!$B$3:$B$5001,$A$471)))</f>
        <v/>
      </c>
      <c r="V487" s="275" t="str">
        <f>IF(V$3="","",IF(COUNTIFS(BD!$A$3:$A$5001,V$3,BD!$B$3:$B$5001,$A$471,BD!$S$3:$S$5001,"&lt;&gt;")=0,"",SUMIFS(BD!$S$3:$S$5001,BD!$A$3:$A$5001,V$3,BD!$B$3:$B$5001,$A$471)))</f>
        <v/>
      </c>
      <c r="W487" s="275" t="str">
        <f>IF(W$3="","",IF(COUNTIFS(BD!$A$3:$A$5001,W$3,BD!$B$3:$B$5001,$A$471,BD!$S$3:$S$5001,"&lt;&gt;")=0,"",SUMIFS(BD!$S$3:$S$5001,BD!$A$3:$A$5001,W$3,BD!$B$3:$B$5001,$A$471)))</f>
        <v/>
      </c>
      <c r="X487" s="275" t="str">
        <f>IF(X$3="","",IF(COUNTIFS(BD!$A$3:$A$5001,X$3,BD!$B$3:$B$5001,$A$471,BD!$S$3:$S$5001,"&lt;&gt;")=0,"",SUMIFS(BD!$S$3:$S$5001,BD!$A$3:$A$5001,X$3,BD!$B$3:$B$5001,$A$471)))</f>
        <v/>
      </c>
      <c r="Y487" s="275" t="str">
        <f>IF(Y$3="","",IF(COUNTIFS(BD!$A$3:$A$5001,Y$3,BD!$B$3:$B$5001,$A$471,BD!$S$3:$S$5001,"&lt;&gt;")=0,"",SUMIFS(BD!$S$3:$S$5001,BD!$A$3:$A$5001,Y$3,BD!$B$3:$B$5001,$A$471)))</f>
        <v/>
      </c>
      <c r="Z487" s="275" t="str">
        <f>IF(Z$3="","",IF(COUNTIFS(BD!$A$3:$A$5001,Z$3,BD!$B$3:$B$5001,$A$471,BD!$S$3:$S$5001,"&lt;&gt;")=0,"",SUMIFS(BD!$S$3:$S$5001,BD!$A$3:$A$5001,Z$3,BD!$B$3:$B$5001,$A$471)))</f>
        <v/>
      </c>
      <c r="AA487" s="275" t="str">
        <f>IF(AA$3="","",IF(COUNTIFS(BD!$A$3:$A$5001,AA$3,BD!$B$3:$B$5001,$A$471,BD!$S$3:$S$5001,"&lt;&gt;")=0,"",SUMIFS(BD!$S$3:$S$5001,BD!$A$3:$A$5001,AA$3,BD!$B$3:$B$5001,$A$471)))</f>
        <v/>
      </c>
      <c r="AB487" s="275" t="str">
        <f>IF(AB$3="","",IF(COUNTIFS(BD!$A$3:$A$5001,AB$3,BD!$B$3:$B$5001,$A$471,BD!$S$3:$S$5001,"&lt;&gt;")=0,"",SUMIFS(BD!$S$3:$S$5001,BD!$A$3:$A$5001,AB$3,BD!$B$3:$B$5001,$A$471)))</f>
        <v/>
      </c>
      <c r="AC487" s="275" t="str">
        <f>IF(AC$3="","",IF(COUNTIFS(BD!$A$3:$A$5001,AC$3,BD!$B$3:$B$5001,$A$471,BD!$S$3:$S$5001,"&lt;&gt;")=0,"",SUMIFS(BD!$S$3:$S$5001,BD!$A$3:$A$5001,AC$3,BD!$B$3:$B$5001,$A$471)))</f>
        <v/>
      </c>
      <c r="AD487" s="275" t="str">
        <f>IF(AD$3="","",IF(COUNTIFS(BD!$A$3:$A$5001,AD$3,BD!$B$3:$B$5001,$A$471,BD!$S$3:$S$5001,"&lt;&gt;")=0,"",SUMIFS(BD!$S$3:$S$5001,BD!$A$3:$A$5001,AD$3,BD!$B$3:$B$5001,$A$471)))</f>
        <v/>
      </c>
      <c r="AE487" s="275" t="str">
        <f>IF(AE$3="","",IF(COUNTIFS(BD!$A$3:$A$5001,AE$3,BD!$B$3:$B$5001,$A$471,BD!$S$3:$S$5001,"&lt;&gt;")=0,"",SUMIFS(BD!$S$3:$S$5001,BD!$A$3:$A$5001,AE$3,BD!$B$3:$B$5001,$A$471)))</f>
        <v/>
      </c>
      <c r="AF487" s="275" t="str">
        <f>IF(AF$3="","",IF(COUNTIFS(BD!$A$3:$A$5001,AF$3,BD!$B$3:$B$5001,$A$471,BD!$S$3:$S$5001,"&lt;&gt;")=0,"",SUMIFS(BD!$S$3:$S$5001,BD!$A$3:$A$5001,AF$3,BD!$B$3:$B$5001,$A$471)))</f>
        <v/>
      </c>
      <c r="AG487" s="275" t="str">
        <f>IF(AG$3="","",IF(COUNTIFS(BD!$A$3:$A$5001,AG$3,BD!$B$3:$B$5001,$A$471,BD!$S$3:$S$5001,"&lt;&gt;")=0,"",SUMIFS(BD!$S$3:$S$5001,BD!$A$3:$A$5001,AG$3,BD!$B$3:$B$5001,$A$471)))</f>
        <v/>
      </c>
      <c r="AH487" s="275" t="str">
        <f>IF(AH$3="","",IF(COUNTIFS(BD!$A$3:$A$5001,AH$3,BD!$B$3:$B$5001,$A$471,BD!$S$3:$S$5001,"&lt;&gt;")=0,"",SUMIFS(BD!$S$3:$S$5001,BD!$A$3:$A$5001,AH$3,BD!$B$3:$B$5001,$A$471)))</f>
        <v/>
      </c>
      <c r="AI487" s="275" t="str">
        <f>IF(AI$3="","",IF(COUNTIFS(BD!$A$3:$A$5001,AI$3,BD!$B$3:$B$5001,$A$471,BD!$S$3:$S$5001,"&lt;&gt;")=0,"",SUMIFS(BD!$S$3:$S$5001,BD!$A$3:$A$5001,AI$3,BD!$B$3:$B$5001,$A$471)))</f>
        <v/>
      </c>
      <c r="AJ487" s="276" t="str">
        <f>IF(AJ$3="","",IF(COUNTIFS(BD!$A$3:$A$5001,AJ$3,BD!$B$3:$B$5001,$A$471,BD!$S$3:$S$5001,"&lt;&gt;")=0,"",SUMIFS(BD!$S$3:$S$5001,BD!$A$3:$A$5001,AJ$3,BD!$B$3:$B$5001,$A$471)))</f>
        <v/>
      </c>
      <c r="AK487" s="277" t="str">
        <f>IF(COUNT(F487:AJ487)=0,"",SUM(F487:AJ487))</f>
        <v/>
      </c>
    </row>
    <row r="488" ht="15.75" customHeight="1" hidden="1">
      <c r="A488" s="261"/>
      <c r="B488" s="253" t="inlineStr">
        <is>
          <t xml:space="preserve">NC</t>
        </is>
      </c>
      <c r="C488" s="194" t="inlineStr">
        <is>
          <t xml:space="preserve">Incidentes</t>
        </is>
      </c>
      <c r="D488" s="195" t="str">
        <f>IFERROR(1/(1/INDEX(BD!$AL$40:$BF$40,MATCH($A$471,BD!$AL$22:$BF$22,0))),"")</f>
        <v/>
      </c>
      <c r="E488" s="196"/>
      <c r="F488" s="197" t="str">
        <f>IF(F$3="","",IF(COUNTIFS(BD!$A$3:$A$5001,F$3,BD!$B$3:$B$5001,$A$471,BD!$T$3:$T$5001,"&lt;&gt;")=0,"",SUMIFS(BD!$T$3:$T$5001,BD!$A$3:$A$5001,F$3,BD!$B$3:$B$5001,$A$471)))</f>
        <v/>
      </c>
      <c r="G488" s="198" t="str">
        <f>IF(G$3="","",IF(COUNTIFS(BD!$A$3:$A$5001,G$3,BD!$B$3:$B$5001,$A$471,BD!$T$3:$T$5001,"&lt;&gt;")=0,"",SUMIFS(BD!$T$3:$T$5001,BD!$A$3:$A$5001,G$3,BD!$B$3:$B$5001,$A$471)))</f>
        <v/>
      </c>
      <c r="H488" s="198" t="str">
        <f>IF(H$3="","",IF(COUNTIFS(BD!$A$3:$A$5001,H$3,BD!$B$3:$B$5001,$A$471,BD!$T$3:$T$5001,"&lt;&gt;")=0,"",SUMIFS(BD!$T$3:$T$5001,BD!$A$3:$A$5001,H$3,BD!$B$3:$B$5001,$A$471)))</f>
        <v/>
      </c>
      <c r="I488" s="198" t="str">
        <f>IF(I$3="","",IF(COUNTIFS(BD!$A$3:$A$5001,I$3,BD!$B$3:$B$5001,$A$471,BD!$T$3:$T$5001,"&lt;&gt;")=0,"",SUMIFS(BD!$T$3:$T$5001,BD!$A$3:$A$5001,I$3,BD!$B$3:$B$5001,$A$471)))</f>
        <v/>
      </c>
      <c r="J488" s="198" t="str">
        <f>IF(J$3="","",IF(COUNTIFS(BD!$A$3:$A$5001,J$3,BD!$B$3:$B$5001,$A$471,BD!$T$3:$T$5001,"&lt;&gt;")=0,"",SUMIFS(BD!$T$3:$T$5001,BD!$A$3:$A$5001,J$3,BD!$B$3:$B$5001,$A$471)))</f>
        <v/>
      </c>
      <c r="K488" s="198" t="str">
        <f>IF(K$3="","",IF(COUNTIFS(BD!$A$3:$A$5001,K$3,BD!$B$3:$B$5001,$A$471,BD!$T$3:$T$5001,"&lt;&gt;")=0,"",SUMIFS(BD!$T$3:$T$5001,BD!$A$3:$A$5001,K$3,BD!$B$3:$B$5001,$A$471)))</f>
        <v/>
      </c>
      <c r="L488" s="198" t="str">
        <f>IF(L$3="","",IF(COUNTIFS(BD!$A$3:$A$5001,L$3,BD!$B$3:$B$5001,$A$471,BD!$T$3:$T$5001,"&lt;&gt;")=0,"",SUMIFS(BD!$T$3:$T$5001,BD!$A$3:$A$5001,L$3,BD!$B$3:$B$5001,$A$471)))</f>
        <v/>
      </c>
      <c r="M488" s="198" t="str">
        <f>IF(M$3="","",IF(COUNTIFS(BD!$A$3:$A$5001,M$3,BD!$B$3:$B$5001,$A$471,BD!$T$3:$T$5001,"&lt;&gt;")=0,"",SUMIFS(BD!$T$3:$T$5001,BD!$A$3:$A$5001,M$3,BD!$B$3:$B$5001,$A$471)))</f>
        <v/>
      </c>
      <c r="N488" s="198" t="str">
        <f>IF(N$3="","",IF(COUNTIFS(BD!$A$3:$A$5001,N$3,BD!$B$3:$B$5001,$A$471,BD!$T$3:$T$5001,"&lt;&gt;")=0,"",SUMIFS(BD!$T$3:$T$5001,BD!$A$3:$A$5001,N$3,BD!$B$3:$B$5001,$A$471)))</f>
        <v/>
      </c>
      <c r="O488" s="198" t="str">
        <f>IF(O$3="","",IF(COUNTIFS(BD!$A$3:$A$5001,O$3,BD!$B$3:$B$5001,$A$471,BD!$T$3:$T$5001,"&lt;&gt;")=0,"",SUMIFS(BD!$T$3:$T$5001,BD!$A$3:$A$5001,O$3,BD!$B$3:$B$5001,$A$471)))</f>
        <v/>
      </c>
      <c r="P488" s="198" t="str">
        <f>IF(P$3="","",IF(COUNTIFS(BD!$A$3:$A$5001,P$3,BD!$B$3:$B$5001,$A$471,BD!$T$3:$T$5001,"&lt;&gt;")=0,"",SUMIFS(BD!$T$3:$T$5001,BD!$A$3:$A$5001,P$3,BD!$B$3:$B$5001,$A$471)))</f>
        <v/>
      </c>
      <c r="Q488" s="198" t="str">
        <f>IF(Q$3="","",IF(COUNTIFS(BD!$A$3:$A$5001,Q$3,BD!$B$3:$B$5001,$A$471,BD!$T$3:$T$5001,"&lt;&gt;")=0,"",SUMIFS(BD!$T$3:$T$5001,BD!$A$3:$A$5001,Q$3,BD!$B$3:$B$5001,$A$471)))</f>
        <v/>
      </c>
      <c r="R488" s="198" t="str">
        <f>IF(R$3="","",IF(COUNTIFS(BD!$A$3:$A$5001,R$3,BD!$B$3:$B$5001,$A$471,BD!$T$3:$T$5001,"&lt;&gt;")=0,"",SUMIFS(BD!$T$3:$T$5001,BD!$A$3:$A$5001,R$3,BD!$B$3:$B$5001,$A$471)))</f>
        <v/>
      </c>
      <c r="S488" s="198" t="str">
        <f>IF(S$3="","",IF(COUNTIFS(BD!$A$3:$A$5001,S$3,BD!$B$3:$B$5001,$A$471,BD!$T$3:$T$5001,"&lt;&gt;")=0,"",SUMIFS(BD!$T$3:$T$5001,BD!$A$3:$A$5001,S$3,BD!$B$3:$B$5001,$A$471)))</f>
        <v/>
      </c>
      <c r="T488" s="198" t="str">
        <f>IF(T$3="","",IF(COUNTIFS(BD!$A$3:$A$5001,T$3,BD!$B$3:$B$5001,$A$471,BD!$T$3:$T$5001,"&lt;&gt;")=0,"",SUMIFS(BD!$T$3:$T$5001,BD!$A$3:$A$5001,T$3,BD!$B$3:$B$5001,$A$471)))</f>
        <v/>
      </c>
      <c r="U488" s="198" t="str">
        <f>IF(U$3="","",IF(COUNTIFS(BD!$A$3:$A$5001,U$3,BD!$B$3:$B$5001,$A$471,BD!$T$3:$T$5001,"&lt;&gt;")=0,"",SUMIFS(BD!$T$3:$T$5001,BD!$A$3:$A$5001,U$3,BD!$B$3:$B$5001,$A$471)))</f>
        <v/>
      </c>
      <c r="V488" s="198" t="str">
        <f>IF(V$3="","",IF(COUNTIFS(BD!$A$3:$A$5001,V$3,BD!$B$3:$B$5001,$A$471,BD!$T$3:$T$5001,"&lt;&gt;")=0,"",SUMIFS(BD!$T$3:$T$5001,BD!$A$3:$A$5001,V$3,BD!$B$3:$B$5001,$A$471)))</f>
        <v/>
      </c>
      <c r="W488" s="198" t="str">
        <f>IF(W$3="","",IF(COUNTIFS(BD!$A$3:$A$5001,W$3,BD!$B$3:$B$5001,$A$471,BD!$T$3:$T$5001,"&lt;&gt;")=0,"",SUMIFS(BD!$T$3:$T$5001,BD!$A$3:$A$5001,W$3,BD!$B$3:$B$5001,$A$471)))</f>
        <v/>
      </c>
      <c r="X488" s="198" t="str">
        <f>IF(X$3="","",IF(COUNTIFS(BD!$A$3:$A$5001,X$3,BD!$B$3:$B$5001,$A$471,BD!$T$3:$T$5001,"&lt;&gt;")=0,"",SUMIFS(BD!$T$3:$T$5001,BD!$A$3:$A$5001,X$3,BD!$B$3:$B$5001,$A$471)))</f>
        <v/>
      </c>
      <c r="Y488" s="198" t="str">
        <f>IF(Y$3="","",IF(COUNTIFS(BD!$A$3:$A$5001,Y$3,BD!$B$3:$B$5001,$A$471,BD!$T$3:$T$5001,"&lt;&gt;")=0,"",SUMIFS(BD!$T$3:$T$5001,BD!$A$3:$A$5001,Y$3,BD!$B$3:$B$5001,$A$471)))</f>
        <v/>
      </c>
      <c r="Z488" s="198" t="str">
        <f>IF(Z$3="","",IF(COUNTIFS(BD!$A$3:$A$5001,Z$3,BD!$B$3:$B$5001,$A$471,BD!$T$3:$T$5001,"&lt;&gt;")=0,"",SUMIFS(BD!$T$3:$T$5001,BD!$A$3:$A$5001,Z$3,BD!$B$3:$B$5001,$A$471)))</f>
        <v/>
      </c>
      <c r="AA488" s="198" t="str">
        <f>IF(AA$3="","",IF(COUNTIFS(BD!$A$3:$A$5001,AA$3,BD!$B$3:$B$5001,$A$471,BD!$T$3:$T$5001,"&lt;&gt;")=0,"",SUMIFS(BD!$T$3:$T$5001,BD!$A$3:$A$5001,AA$3,BD!$B$3:$B$5001,$A$471)))</f>
        <v/>
      </c>
      <c r="AB488" s="198" t="str">
        <f>IF(AB$3="","",IF(COUNTIFS(BD!$A$3:$A$5001,AB$3,BD!$B$3:$B$5001,$A$471,BD!$T$3:$T$5001,"&lt;&gt;")=0,"",SUMIFS(BD!$T$3:$T$5001,BD!$A$3:$A$5001,AB$3,BD!$B$3:$B$5001,$A$471)))</f>
        <v/>
      </c>
      <c r="AC488" s="198" t="str">
        <f>IF(AC$3="","",IF(COUNTIFS(BD!$A$3:$A$5001,AC$3,BD!$B$3:$B$5001,$A$471,BD!$T$3:$T$5001,"&lt;&gt;")=0,"",SUMIFS(BD!$T$3:$T$5001,BD!$A$3:$A$5001,AC$3,BD!$B$3:$B$5001,$A$471)))</f>
        <v/>
      </c>
      <c r="AD488" s="198" t="str">
        <f>IF(AD$3="","",IF(COUNTIFS(BD!$A$3:$A$5001,AD$3,BD!$B$3:$B$5001,$A$471,BD!$T$3:$T$5001,"&lt;&gt;")=0,"",SUMIFS(BD!$T$3:$T$5001,BD!$A$3:$A$5001,AD$3,BD!$B$3:$B$5001,$A$471)))</f>
        <v/>
      </c>
      <c r="AE488" s="198" t="str">
        <f>IF(AE$3="","",IF(COUNTIFS(BD!$A$3:$A$5001,AE$3,BD!$B$3:$B$5001,$A$471,BD!$T$3:$T$5001,"&lt;&gt;")=0,"",SUMIFS(BD!$T$3:$T$5001,BD!$A$3:$A$5001,AE$3,BD!$B$3:$B$5001,$A$471)))</f>
        <v/>
      </c>
      <c r="AF488" s="198" t="str">
        <f>IF(AF$3="","",IF(COUNTIFS(BD!$A$3:$A$5001,AF$3,BD!$B$3:$B$5001,$A$471,BD!$T$3:$T$5001,"&lt;&gt;")=0,"",SUMIFS(BD!$T$3:$T$5001,BD!$A$3:$A$5001,AF$3,BD!$B$3:$B$5001,$A$471)))</f>
        <v/>
      </c>
      <c r="AG488" s="198" t="str">
        <f>IF(AG$3="","",IF(COUNTIFS(BD!$A$3:$A$5001,AG$3,BD!$B$3:$B$5001,$A$471,BD!$T$3:$T$5001,"&lt;&gt;")=0,"",SUMIFS(BD!$T$3:$T$5001,BD!$A$3:$A$5001,AG$3,BD!$B$3:$B$5001,$A$471)))</f>
        <v/>
      </c>
      <c r="AH488" s="198" t="str">
        <f>IF(AH$3="","",IF(COUNTIFS(BD!$A$3:$A$5001,AH$3,BD!$B$3:$B$5001,$A$471,BD!$T$3:$T$5001,"&lt;&gt;")=0,"",SUMIFS(BD!$T$3:$T$5001,BD!$A$3:$A$5001,AH$3,BD!$B$3:$B$5001,$A$471)))</f>
        <v/>
      </c>
      <c r="AI488" s="198" t="str">
        <f>IF(AI$3="","",IF(COUNTIFS(BD!$A$3:$A$5001,AI$3,BD!$B$3:$B$5001,$A$471,BD!$T$3:$T$5001,"&lt;&gt;")=0,"",SUMIFS(BD!$T$3:$T$5001,BD!$A$3:$A$5001,AI$3,BD!$B$3:$B$5001,$A$471)))</f>
        <v/>
      </c>
      <c r="AJ488" s="199" t="str">
        <f>IF(AJ$3="","",IF(COUNTIFS(BD!$A$3:$A$5001,AJ$3,BD!$B$3:$B$5001,$A$471,BD!$T$3:$T$5001,"&lt;&gt;")=0,"",SUMIFS(BD!$T$3:$T$5001,BD!$A$3:$A$5001,AJ$3,BD!$B$3:$B$5001,$A$471)))</f>
        <v/>
      </c>
      <c r="AK488" s="200" t="str">
        <f>IF(COUNT(F488:AJ488)=0,"",SUM(F488:AJ488))</f>
        <v/>
      </c>
    </row>
    <row r="489" ht="15.75" customHeight="1" hidden="1">
      <c r="A489" s="261"/>
      <c r="B489" s="254"/>
      <c r="C489" s="201" t="inlineStr">
        <is>
          <t xml:space="preserve">No show</t>
        </is>
      </c>
      <c r="D489" s="202" t="str">
        <f>IFERROR(1/(1/INDEX(BD!$AL$41:$BF$41,MATCH($A$471,BD!$AL$22:$BF$22,0))),"")</f>
        <v/>
      </c>
      <c r="E489" s="203"/>
      <c r="F489" s="204" t="str">
        <f>IF(F$3="","",IF(COUNTIFS(BD!$A$3:$A$5001,F$3,BD!$B$3:$B$5001,$A$471,BD!$U$3:$U$5001,"&lt;&gt;")=0,"",SUMIFS(BD!$U$3:$U$5001,BD!$A$3:$A$5001,F$3,BD!$B$3:$B$5001,$A$471)))</f>
        <v/>
      </c>
      <c r="G489" s="205" t="str">
        <f>IF(G$3="","",IF(COUNTIFS(BD!$A$3:$A$5001,G$3,BD!$B$3:$B$5001,$A$471,BD!$U$3:$U$5001,"&lt;&gt;")=0,"",SUMIFS(BD!$U$3:$U$5001,BD!$A$3:$A$5001,G$3,BD!$B$3:$B$5001,$A$471)))</f>
        <v/>
      </c>
      <c r="H489" s="205" t="str">
        <f>IF(H$3="","",IF(COUNTIFS(BD!$A$3:$A$5001,H$3,BD!$B$3:$B$5001,$A$471,BD!$U$3:$U$5001,"&lt;&gt;")=0,"",SUMIFS(BD!$U$3:$U$5001,BD!$A$3:$A$5001,H$3,BD!$B$3:$B$5001,$A$471)))</f>
        <v/>
      </c>
      <c r="I489" s="205" t="str">
        <f>IF(I$3="","",IF(COUNTIFS(BD!$A$3:$A$5001,I$3,BD!$B$3:$B$5001,$A$471,BD!$U$3:$U$5001,"&lt;&gt;")=0,"",SUMIFS(BD!$U$3:$U$5001,BD!$A$3:$A$5001,I$3,BD!$B$3:$B$5001,$A$471)))</f>
        <v/>
      </c>
      <c r="J489" s="205" t="str">
        <f>IF(J$3="","",IF(COUNTIFS(BD!$A$3:$A$5001,J$3,BD!$B$3:$B$5001,$A$471,BD!$U$3:$U$5001,"&lt;&gt;")=0,"",SUMIFS(BD!$U$3:$U$5001,BD!$A$3:$A$5001,J$3,BD!$B$3:$B$5001,$A$471)))</f>
        <v/>
      </c>
      <c r="K489" s="205" t="str">
        <f>IF(K$3="","",IF(COUNTIFS(BD!$A$3:$A$5001,K$3,BD!$B$3:$B$5001,$A$471,BD!$U$3:$U$5001,"&lt;&gt;")=0,"",SUMIFS(BD!$U$3:$U$5001,BD!$A$3:$A$5001,K$3,BD!$B$3:$B$5001,$A$471)))</f>
        <v/>
      </c>
      <c r="L489" s="205" t="str">
        <f>IF(L$3="","",IF(COUNTIFS(BD!$A$3:$A$5001,L$3,BD!$B$3:$B$5001,$A$471,BD!$U$3:$U$5001,"&lt;&gt;")=0,"",SUMIFS(BD!$U$3:$U$5001,BD!$A$3:$A$5001,L$3,BD!$B$3:$B$5001,$A$471)))</f>
        <v/>
      </c>
      <c r="M489" s="205" t="str">
        <f>IF(M$3="","",IF(COUNTIFS(BD!$A$3:$A$5001,M$3,BD!$B$3:$B$5001,$A$471,BD!$U$3:$U$5001,"&lt;&gt;")=0,"",SUMIFS(BD!$U$3:$U$5001,BD!$A$3:$A$5001,M$3,BD!$B$3:$B$5001,$A$471)))</f>
        <v/>
      </c>
      <c r="N489" s="205" t="str">
        <f>IF(N$3="","",IF(COUNTIFS(BD!$A$3:$A$5001,N$3,BD!$B$3:$B$5001,$A$471,BD!$U$3:$U$5001,"&lt;&gt;")=0,"",SUMIFS(BD!$U$3:$U$5001,BD!$A$3:$A$5001,N$3,BD!$B$3:$B$5001,$A$471)))</f>
        <v/>
      </c>
      <c r="O489" s="205" t="str">
        <f>IF(O$3="","",IF(COUNTIFS(BD!$A$3:$A$5001,O$3,BD!$B$3:$B$5001,$A$471,BD!$U$3:$U$5001,"&lt;&gt;")=0,"",SUMIFS(BD!$U$3:$U$5001,BD!$A$3:$A$5001,O$3,BD!$B$3:$B$5001,$A$471)))</f>
        <v/>
      </c>
      <c r="P489" s="205" t="str">
        <f>IF(P$3="","",IF(COUNTIFS(BD!$A$3:$A$5001,P$3,BD!$B$3:$B$5001,$A$471,BD!$U$3:$U$5001,"&lt;&gt;")=0,"",SUMIFS(BD!$U$3:$U$5001,BD!$A$3:$A$5001,P$3,BD!$B$3:$B$5001,$A$471)))</f>
        <v/>
      </c>
      <c r="Q489" s="205" t="str">
        <f>IF(Q$3="","",IF(COUNTIFS(BD!$A$3:$A$5001,Q$3,BD!$B$3:$B$5001,$A$471,BD!$U$3:$U$5001,"&lt;&gt;")=0,"",SUMIFS(BD!$U$3:$U$5001,BD!$A$3:$A$5001,Q$3,BD!$B$3:$B$5001,$A$471)))</f>
        <v/>
      </c>
      <c r="R489" s="205" t="str">
        <f>IF(R$3="","",IF(COUNTIFS(BD!$A$3:$A$5001,R$3,BD!$B$3:$B$5001,$A$471,BD!$U$3:$U$5001,"&lt;&gt;")=0,"",SUMIFS(BD!$U$3:$U$5001,BD!$A$3:$A$5001,R$3,BD!$B$3:$B$5001,$A$471)))</f>
        <v/>
      </c>
      <c r="S489" s="205" t="str">
        <f>IF(S$3="","",IF(COUNTIFS(BD!$A$3:$A$5001,S$3,BD!$B$3:$B$5001,$A$471,BD!$U$3:$U$5001,"&lt;&gt;")=0,"",SUMIFS(BD!$U$3:$U$5001,BD!$A$3:$A$5001,S$3,BD!$B$3:$B$5001,$A$471)))</f>
        <v/>
      </c>
      <c r="T489" s="205" t="str">
        <f>IF(T$3="","",IF(COUNTIFS(BD!$A$3:$A$5001,T$3,BD!$B$3:$B$5001,$A$471,BD!$U$3:$U$5001,"&lt;&gt;")=0,"",SUMIFS(BD!$U$3:$U$5001,BD!$A$3:$A$5001,T$3,BD!$B$3:$B$5001,$A$471)))</f>
        <v/>
      </c>
      <c r="U489" s="205" t="str">
        <f>IF(U$3="","",IF(COUNTIFS(BD!$A$3:$A$5001,U$3,BD!$B$3:$B$5001,$A$471,BD!$U$3:$U$5001,"&lt;&gt;")=0,"",SUMIFS(BD!$U$3:$U$5001,BD!$A$3:$A$5001,U$3,BD!$B$3:$B$5001,$A$471)))</f>
        <v/>
      </c>
      <c r="V489" s="205" t="str">
        <f>IF(V$3="","",IF(COUNTIFS(BD!$A$3:$A$5001,V$3,BD!$B$3:$B$5001,$A$471,BD!$U$3:$U$5001,"&lt;&gt;")=0,"",SUMIFS(BD!$U$3:$U$5001,BD!$A$3:$A$5001,V$3,BD!$B$3:$B$5001,$A$471)))</f>
        <v/>
      </c>
      <c r="W489" s="205" t="str">
        <f>IF(W$3="","",IF(COUNTIFS(BD!$A$3:$A$5001,W$3,BD!$B$3:$B$5001,$A$471,BD!$U$3:$U$5001,"&lt;&gt;")=0,"",SUMIFS(BD!$U$3:$U$5001,BD!$A$3:$A$5001,W$3,BD!$B$3:$B$5001,$A$471)))</f>
        <v/>
      </c>
      <c r="X489" s="205" t="str">
        <f>IF(X$3="","",IF(COUNTIFS(BD!$A$3:$A$5001,X$3,BD!$B$3:$B$5001,$A$471,BD!$U$3:$U$5001,"&lt;&gt;")=0,"",SUMIFS(BD!$U$3:$U$5001,BD!$A$3:$A$5001,X$3,BD!$B$3:$B$5001,$A$471)))</f>
        <v/>
      </c>
      <c r="Y489" s="205" t="str">
        <f>IF(Y$3="","",IF(COUNTIFS(BD!$A$3:$A$5001,Y$3,BD!$B$3:$B$5001,$A$471,BD!$U$3:$U$5001,"&lt;&gt;")=0,"",SUMIFS(BD!$U$3:$U$5001,BD!$A$3:$A$5001,Y$3,BD!$B$3:$B$5001,$A$471)))</f>
        <v/>
      </c>
      <c r="Z489" s="205" t="str">
        <f>IF(Z$3="","",IF(COUNTIFS(BD!$A$3:$A$5001,Z$3,BD!$B$3:$B$5001,$A$471,BD!$U$3:$U$5001,"&lt;&gt;")=0,"",SUMIFS(BD!$U$3:$U$5001,BD!$A$3:$A$5001,Z$3,BD!$B$3:$B$5001,$A$471)))</f>
        <v/>
      </c>
      <c r="AA489" s="205" t="str">
        <f>IF(AA$3="","",IF(COUNTIFS(BD!$A$3:$A$5001,AA$3,BD!$B$3:$B$5001,$A$471,BD!$U$3:$U$5001,"&lt;&gt;")=0,"",SUMIFS(BD!$U$3:$U$5001,BD!$A$3:$A$5001,AA$3,BD!$B$3:$B$5001,$A$471)))</f>
        <v/>
      </c>
      <c r="AB489" s="205" t="str">
        <f>IF(AB$3="","",IF(COUNTIFS(BD!$A$3:$A$5001,AB$3,BD!$B$3:$B$5001,$A$471,BD!$U$3:$U$5001,"&lt;&gt;")=0,"",SUMIFS(BD!$U$3:$U$5001,BD!$A$3:$A$5001,AB$3,BD!$B$3:$B$5001,$A$471)))</f>
        <v/>
      </c>
      <c r="AC489" s="205" t="str">
        <f>IF(AC$3="","",IF(COUNTIFS(BD!$A$3:$A$5001,AC$3,BD!$B$3:$B$5001,$A$471,BD!$U$3:$U$5001,"&lt;&gt;")=0,"",SUMIFS(BD!$U$3:$U$5001,BD!$A$3:$A$5001,AC$3,BD!$B$3:$B$5001,$A$471)))</f>
        <v/>
      </c>
      <c r="AD489" s="205" t="str">
        <f>IF(AD$3="","",IF(COUNTIFS(BD!$A$3:$A$5001,AD$3,BD!$B$3:$B$5001,$A$471,BD!$U$3:$U$5001,"&lt;&gt;")=0,"",SUMIFS(BD!$U$3:$U$5001,BD!$A$3:$A$5001,AD$3,BD!$B$3:$B$5001,$A$471)))</f>
        <v/>
      </c>
      <c r="AE489" s="205" t="str">
        <f>IF(AE$3="","",IF(COUNTIFS(BD!$A$3:$A$5001,AE$3,BD!$B$3:$B$5001,$A$471,BD!$U$3:$U$5001,"&lt;&gt;")=0,"",SUMIFS(BD!$U$3:$U$5001,BD!$A$3:$A$5001,AE$3,BD!$B$3:$B$5001,$A$471)))</f>
        <v/>
      </c>
      <c r="AF489" s="205" t="str">
        <f>IF(AF$3="","",IF(COUNTIFS(BD!$A$3:$A$5001,AF$3,BD!$B$3:$B$5001,$A$471,BD!$U$3:$U$5001,"&lt;&gt;")=0,"",SUMIFS(BD!$U$3:$U$5001,BD!$A$3:$A$5001,AF$3,BD!$B$3:$B$5001,$A$471)))</f>
        <v/>
      </c>
      <c r="AG489" s="205" t="str">
        <f>IF(AG$3="","",IF(COUNTIFS(BD!$A$3:$A$5001,AG$3,BD!$B$3:$B$5001,$A$471,BD!$U$3:$U$5001,"&lt;&gt;")=0,"",SUMIFS(BD!$U$3:$U$5001,BD!$A$3:$A$5001,AG$3,BD!$B$3:$B$5001,$A$471)))</f>
        <v/>
      </c>
      <c r="AH489" s="205" t="str">
        <f>IF(AH$3="","",IF(COUNTIFS(BD!$A$3:$A$5001,AH$3,BD!$B$3:$B$5001,$A$471,BD!$U$3:$U$5001,"&lt;&gt;")=0,"",SUMIFS(BD!$U$3:$U$5001,BD!$A$3:$A$5001,AH$3,BD!$B$3:$B$5001,$A$471)))</f>
        <v/>
      </c>
      <c r="AI489" s="205" t="str">
        <f>IF(AI$3="","",IF(COUNTIFS(BD!$A$3:$A$5001,AI$3,BD!$B$3:$B$5001,$A$471,BD!$U$3:$U$5001,"&lt;&gt;")=0,"",SUMIFS(BD!$U$3:$U$5001,BD!$A$3:$A$5001,AI$3,BD!$B$3:$B$5001,$A$471)))</f>
        <v/>
      </c>
      <c r="AJ489" s="206" t="str">
        <f>IF(AJ$3="","",IF(COUNTIFS(BD!$A$3:$A$5001,AJ$3,BD!$B$3:$B$5001,$A$471,BD!$U$3:$U$5001,"&lt;&gt;")=0,"",SUMIFS(BD!$U$3:$U$5001,BD!$A$3:$A$5001,AJ$3,BD!$B$3:$B$5001,$A$471)))</f>
        <v/>
      </c>
      <c r="AK489" s="207" t="str">
        <f>IF(COUNT(F489:AJ489)=0,"",SUM(F489:AJ489))</f>
        <v/>
      </c>
    </row>
    <row r="490" ht="15.75" customHeight="1" hidden="1">
      <c r="A490" s="261"/>
      <c r="B490" s="254"/>
      <c r="C490" s="201" t="inlineStr">
        <is>
          <t xml:space="preserve">Backlog Intralog</t>
        </is>
      </c>
      <c r="D490" s="202" t="str">
        <f>IFERROR(1/(1/INDEX(BD!$AL$42:$BF$42,MATCH($A$471,BD!$AL$22:$BF$22,0))),"")</f>
        <v/>
      </c>
      <c r="E490" s="203"/>
      <c r="F490" s="204" t="str">
        <f>IF(F$3="","",IF(COUNTIFS(BD!$A$3:$A$5001,F$3,BD!$B$3:$B$5001,$A$471,BD!$V$3:$V$5001,"&lt;&gt;")=0,"",SUMIFS(BD!$V$3:$V$5001,BD!$A$3:$A$5001,F$3,BD!$B$3:$B$5001,$A$471)))</f>
        <v/>
      </c>
      <c r="G490" s="205" t="str">
        <f>IF(G$3="","",IF(COUNTIFS(BD!$A$3:$A$5001,G$3,BD!$B$3:$B$5001,$A$471,BD!$V$3:$V$5001,"&lt;&gt;")=0,"",SUMIFS(BD!$V$3:$V$5001,BD!$A$3:$A$5001,G$3,BD!$B$3:$B$5001,$A$471)))</f>
        <v/>
      </c>
      <c r="H490" s="205" t="str">
        <f>IF(H$3="","",IF(COUNTIFS(BD!$A$3:$A$5001,H$3,BD!$B$3:$B$5001,$A$471,BD!$V$3:$V$5001,"&lt;&gt;")=0,"",SUMIFS(BD!$V$3:$V$5001,BD!$A$3:$A$5001,H$3,BD!$B$3:$B$5001,$A$471)))</f>
        <v/>
      </c>
      <c r="I490" s="205" t="str">
        <f>IF(I$3="","",IF(COUNTIFS(BD!$A$3:$A$5001,I$3,BD!$B$3:$B$5001,$A$471,BD!$V$3:$V$5001,"&lt;&gt;")=0,"",SUMIFS(BD!$V$3:$V$5001,BD!$A$3:$A$5001,I$3,BD!$B$3:$B$5001,$A$471)))</f>
        <v/>
      </c>
      <c r="J490" s="205" t="str">
        <f>IF(J$3="","",IF(COUNTIFS(BD!$A$3:$A$5001,J$3,BD!$B$3:$B$5001,$A$471,BD!$V$3:$V$5001,"&lt;&gt;")=0,"",SUMIFS(BD!$V$3:$V$5001,BD!$A$3:$A$5001,J$3,BD!$B$3:$B$5001,$A$471)))</f>
        <v/>
      </c>
      <c r="K490" s="205" t="str">
        <f>IF(K$3="","",IF(COUNTIFS(BD!$A$3:$A$5001,K$3,BD!$B$3:$B$5001,$A$471,BD!$V$3:$V$5001,"&lt;&gt;")=0,"",SUMIFS(BD!$V$3:$V$5001,BD!$A$3:$A$5001,K$3,BD!$B$3:$B$5001,$A$471)))</f>
        <v/>
      </c>
      <c r="L490" s="205" t="str">
        <f>IF(L$3="","",IF(COUNTIFS(BD!$A$3:$A$5001,L$3,BD!$B$3:$B$5001,$A$471,BD!$V$3:$V$5001,"&lt;&gt;")=0,"",SUMIFS(BD!$V$3:$V$5001,BD!$A$3:$A$5001,L$3,BD!$B$3:$B$5001,$A$471)))</f>
        <v/>
      </c>
      <c r="M490" s="205" t="str">
        <f>IF(M$3="","",IF(COUNTIFS(BD!$A$3:$A$5001,M$3,BD!$B$3:$B$5001,$A$471,BD!$V$3:$V$5001,"&lt;&gt;")=0,"",SUMIFS(BD!$V$3:$V$5001,BD!$A$3:$A$5001,M$3,BD!$B$3:$B$5001,$A$471)))</f>
        <v/>
      </c>
      <c r="N490" s="205" t="str">
        <f>IF(N$3="","",IF(COUNTIFS(BD!$A$3:$A$5001,N$3,BD!$B$3:$B$5001,$A$471,BD!$V$3:$V$5001,"&lt;&gt;")=0,"",SUMIFS(BD!$V$3:$V$5001,BD!$A$3:$A$5001,N$3,BD!$B$3:$B$5001,$A$471)))</f>
        <v/>
      </c>
      <c r="O490" s="205" t="str">
        <f>IF(O$3="","",IF(COUNTIFS(BD!$A$3:$A$5001,O$3,BD!$B$3:$B$5001,$A$471,BD!$V$3:$V$5001,"&lt;&gt;")=0,"",SUMIFS(BD!$V$3:$V$5001,BD!$A$3:$A$5001,O$3,BD!$B$3:$B$5001,$A$471)))</f>
        <v/>
      </c>
      <c r="P490" s="205" t="str">
        <f>IF(P$3="","",IF(COUNTIFS(BD!$A$3:$A$5001,P$3,BD!$B$3:$B$5001,$A$471,BD!$V$3:$V$5001,"&lt;&gt;")=0,"",SUMIFS(BD!$V$3:$V$5001,BD!$A$3:$A$5001,P$3,BD!$B$3:$B$5001,$A$471)))</f>
        <v/>
      </c>
      <c r="Q490" s="205" t="str">
        <f>IF(Q$3="","",IF(COUNTIFS(BD!$A$3:$A$5001,Q$3,BD!$B$3:$B$5001,$A$471,BD!$V$3:$V$5001,"&lt;&gt;")=0,"",SUMIFS(BD!$V$3:$V$5001,BD!$A$3:$A$5001,Q$3,BD!$B$3:$B$5001,$A$471)))</f>
        <v/>
      </c>
      <c r="R490" s="205" t="str">
        <f>IF(R$3="","",IF(COUNTIFS(BD!$A$3:$A$5001,R$3,BD!$B$3:$B$5001,$A$471,BD!$V$3:$V$5001,"&lt;&gt;")=0,"",SUMIFS(BD!$V$3:$V$5001,BD!$A$3:$A$5001,R$3,BD!$B$3:$B$5001,$A$471)))</f>
        <v/>
      </c>
      <c r="S490" s="205" t="str">
        <f>IF(S$3="","",IF(COUNTIFS(BD!$A$3:$A$5001,S$3,BD!$B$3:$B$5001,$A$471,BD!$V$3:$V$5001,"&lt;&gt;")=0,"",SUMIFS(BD!$V$3:$V$5001,BD!$A$3:$A$5001,S$3,BD!$B$3:$B$5001,$A$471)))</f>
        <v/>
      </c>
      <c r="T490" s="205" t="str">
        <f>IF(T$3="","",IF(COUNTIFS(BD!$A$3:$A$5001,T$3,BD!$B$3:$B$5001,$A$471,BD!$V$3:$V$5001,"&lt;&gt;")=0,"",SUMIFS(BD!$V$3:$V$5001,BD!$A$3:$A$5001,T$3,BD!$B$3:$B$5001,$A$471)))</f>
        <v/>
      </c>
      <c r="U490" s="205" t="str">
        <f>IF(U$3="","",IF(COUNTIFS(BD!$A$3:$A$5001,U$3,BD!$B$3:$B$5001,$A$471,BD!$V$3:$V$5001,"&lt;&gt;")=0,"",SUMIFS(BD!$V$3:$V$5001,BD!$A$3:$A$5001,U$3,BD!$B$3:$B$5001,$A$471)))</f>
        <v/>
      </c>
      <c r="V490" s="205" t="str">
        <f>IF(V$3="","",IF(COUNTIFS(BD!$A$3:$A$5001,V$3,BD!$B$3:$B$5001,$A$471,BD!$V$3:$V$5001,"&lt;&gt;")=0,"",SUMIFS(BD!$V$3:$V$5001,BD!$A$3:$A$5001,V$3,BD!$B$3:$B$5001,$A$471)))</f>
        <v/>
      </c>
      <c r="W490" s="205" t="str">
        <f>IF(W$3="","",IF(COUNTIFS(BD!$A$3:$A$5001,W$3,BD!$B$3:$B$5001,$A$471,BD!$V$3:$V$5001,"&lt;&gt;")=0,"",SUMIFS(BD!$V$3:$V$5001,BD!$A$3:$A$5001,W$3,BD!$B$3:$B$5001,$A$471)))</f>
        <v/>
      </c>
      <c r="X490" s="205" t="str">
        <f>IF(X$3="","",IF(COUNTIFS(BD!$A$3:$A$5001,X$3,BD!$B$3:$B$5001,$A$471,BD!$V$3:$V$5001,"&lt;&gt;")=0,"",SUMIFS(BD!$V$3:$V$5001,BD!$A$3:$A$5001,X$3,BD!$B$3:$B$5001,$A$471)))</f>
        <v/>
      </c>
      <c r="Y490" s="205" t="str">
        <f>IF(Y$3="","",IF(COUNTIFS(BD!$A$3:$A$5001,Y$3,BD!$B$3:$B$5001,$A$471,BD!$V$3:$V$5001,"&lt;&gt;")=0,"",SUMIFS(BD!$V$3:$V$5001,BD!$A$3:$A$5001,Y$3,BD!$B$3:$B$5001,$A$471)))</f>
        <v/>
      </c>
      <c r="Z490" s="205" t="str">
        <f>IF(Z$3="","",IF(COUNTIFS(BD!$A$3:$A$5001,Z$3,BD!$B$3:$B$5001,$A$471,BD!$V$3:$V$5001,"&lt;&gt;")=0,"",SUMIFS(BD!$V$3:$V$5001,BD!$A$3:$A$5001,Z$3,BD!$B$3:$B$5001,$A$471)))</f>
        <v/>
      </c>
      <c r="AA490" s="205" t="str">
        <f>IF(AA$3="","",IF(COUNTIFS(BD!$A$3:$A$5001,AA$3,BD!$B$3:$B$5001,$A$471,BD!$V$3:$V$5001,"&lt;&gt;")=0,"",SUMIFS(BD!$V$3:$V$5001,BD!$A$3:$A$5001,AA$3,BD!$B$3:$B$5001,$A$471)))</f>
        <v/>
      </c>
      <c r="AB490" s="205" t="str">
        <f>IF(AB$3="","",IF(COUNTIFS(BD!$A$3:$A$5001,AB$3,BD!$B$3:$B$5001,$A$471,BD!$V$3:$V$5001,"&lt;&gt;")=0,"",SUMIFS(BD!$V$3:$V$5001,BD!$A$3:$A$5001,AB$3,BD!$B$3:$B$5001,$A$471)))</f>
        <v/>
      </c>
      <c r="AC490" s="205" t="str">
        <f>IF(AC$3="","",IF(COUNTIFS(BD!$A$3:$A$5001,AC$3,BD!$B$3:$B$5001,$A$471,BD!$V$3:$V$5001,"&lt;&gt;")=0,"",SUMIFS(BD!$V$3:$V$5001,BD!$A$3:$A$5001,AC$3,BD!$B$3:$B$5001,$A$471)))</f>
        <v/>
      </c>
      <c r="AD490" s="205" t="str">
        <f>IF(AD$3="","",IF(COUNTIFS(BD!$A$3:$A$5001,AD$3,BD!$B$3:$B$5001,$A$471,BD!$V$3:$V$5001,"&lt;&gt;")=0,"",SUMIFS(BD!$V$3:$V$5001,BD!$A$3:$A$5001,AD$3,BD!$B$3:$B$5001,$A$471)))</f>
        <v/>
      </c>
      <c r="AE490" s="205" t="str">
        <f>IF(AE$3="","",IF(COUNTIFS(BD!$A$3:$A$5001,AE$3,BD!$B$3:$B$5001,$A$471,BD!$V$3:$V$5001,"&lt;&gt;")=0,"",SUMIFS(BD!$V$3:$V$5001,BD!$A$3:$A$5001,AE$3,BD!$B$3:$B$5001,$A$471)))</f>
        <v/>
      </c>
      <c r="AF490" s="205" t="str">
        <f>IF(AF$3="","",IF(COUNTIFS(BD!$A$3:$A$5001,AF$3,BD!$B$3:$B$5001,$A$471,BD!$V$3:$V$5001,"&lt;&gt;")=0,"",SUMIFS(BD!$V$3:$V$5001,BD!$A$3:$A$5001,AF$3,BD!$B$3:$B$5001,$A$471)))</f>
        <v/>
      </c>
      <c r="AG490" s="205" t="str">
        <f>IF(AG$3="","",IF(COUNTIFS(BD!$A$3:$A$5001,AG$3,BD!$B$3:$B$5001,$A$471,BD!$V$3:$V$5001,"&lt;&gt;")=0,"",SUMIFS(BD!$V$3:$V$5001,BD!$A$3:$A$5001,AG$3,BD!$B$3:$B$5001,$A$471)))</f>
        <v/>
      </c>
      <c r="AH490" s="205" t="str">
        <f>IF(AH$3="","",IF(COUNTIFS(BD!$A$3:$A$5001,AH$3,BD!$B$3:$B$5001,$A$471,BD!$V$3:$V$5001,"&lt;&gt;")=0,"",SUMIFS(BD!$V$3:$V$5001,BD!$A$3:$A$5001,AH$3,BD!$B$3:$B$5001,$A$471)))</f>
        <v/>
      </c>
      <c r="AI490" s="205" t="str">
        <f>IF(AI$3="","",IF(COUNTIFS(BD!$A$3:$A$5001,AI$3,BD!$B$3:$B$5001,$A$471,BD!$V$3:$V$5001,"&lt;&gt;")=0,"",SUMIFS(BD!$V$3:$V$5001,BD!$A$3:$A$5001,AI$3,BD!$B$3:$B$5001,$A$471)))</f>
        <v/>
      </c>
      <c r="AJ490" s="206" t="str">
        <f>IF(AJ$3="","",IF(COUNTIFS(BD!$A$3:$A$5001,AJ$3,BD!$B$3:$B$5001,$A$471,BD!$V$3:$V$5001,"&lt;&gt;")=0,"",SUMIFS(BD!$V$3:$V$5001,BD!$A$3:$A$5001,AJ$3,BD!$B$3:$B$5001,$A$471)))</f>
        <v/>
      </c>
      <c r="AK490" s="207" t="str">
        <f>IFERROR(LOOKUP(9.99E+307,F490:AJ490),"")</f>
        <v/>
      </c>
    </row>
    <row r="491" ht="15.75" customHeight="1" hidden="1">
      <c r="A491" s="261"/>
      <c r="B491" s="255"/>
      <c r="C491" s="208" t="inlineStr">
        <is>
          <t xml:space="preserve">Backlog Cliente</t>
        </is>
      </c>
      <c r="D491" s="209" t="str">
        <f>IFERROR(1/(1/INDEX(BD!$AL$43:$BF$43,MATCH($A$471,BD!$AL$22:$BF$22,0))),"")</f>
        <v/>
      </c>
      <c r="E491" s="210"/>
      <c r="F491" s="211" t="str">
        <f>IF(F$3="","",IF(COUNTIFS(BD!$A$3:$A$5001,F$3,BD!$B$3:$B$5001,$A$471,BD!$W$3:$W$5001,"&lt;&gt;")=0,"",SUMIFS(BD!$W$3:$W$5001,BD!$A$3:$A$5001,F$3,BD!$B$3:$B$5001,$A$471)))</f>
        <v/>
      </c>
      <c r="G491" s="212" t="str">
        <f>IF(G$3="","",IF(COUNTIFS(BD!$A$3:$A$5001,G$3,BD!$B$3:$B$5001,$A$471,BD!$W$3:$W$5001,"&lt;&gt;")=0,"",SUMIFS(BD!$W$3:$W$5001,BD!$A$3:$A$5001,G$3,BD!$B$3:$B$5001,$A$471)))</f>
        <v/>
      </c>
      <c r="H491" s="212" t="str">
        <f>IF(H$3="","",IF(COUNTIFS(BD!$A$3:$A$5001,H$3,BD!$B$3:$B$5001,$A$471,BD!$W$3:$W$5001,"&lt;&gt;")=0,"",SUMIFS(BD!$W$3:$W$5001,BD!$A$3:$A$5001,H$3,BD!$B$3:$B$5001,$A$471)))</f>
        <v/>
      </c>
      <c r="I491" s="212" t="str">
        <f>IF(I$3="","",IF(COUNTIFS(BD!$A$3:$A$5001,I$3,BD!$B$3:$B$5001,$A$471,BD!$W$3:$W$5001,"&lt;&gt;")=0,"",SUMIFS(BD!$W$3:$W$5001,BD!$A$3:$A$5001,I$3,BD!$B$3:$B$5001,$A$471)))</f>
        <v/>
      </c>
      <c r="J491" s="212" t="str">
        <f>IF(J$3="","",IF(COUNTIFS(BD!$A$3:$A$5001,J$3,BD!$B$3:$B$5001,$A$471,BD!$W$3:$W$5001,"&lt;&gt;")=0,"",SUMIFS(BD!$W$3:$W$5001,BD!$A$3:$A$5001,J$3,BD!$B$3:$B$5001,$A$471)))</f>
        <v/>
      </c>
      <c r="K491" s="212" t="str">
        <f>IF(K$3="","",IF(COUNTIFS(BD!$A$3:$A$5001,K$3,BD!$B$3:$B$5001,$A$471,BD!$W$3:$W$5001,"&lt;&gt;")=0,"",SUMIFS(BD!$W$3:$W$5001,BD!$A$3:$A$5001,K$3,BD!$B$3:$B$5001,$A$471)))</f>
        <v/>
      </c>
      <c r="L491" s="212" t="str">
        <f>IF(L$3="","",IF(COUNTIFS(BD!$A$3:$A$5001,L$3,BD!$B$3:$B$5001,$A$471,BD!$W$3:$W$5001,"&lt;&gt;")=0,"",SUMIFS(BD!$W$3:$W$5001,BD!$A$3:$A$5001,L$3,BD!$B$3:$B$5001,$A$471)))</f>
        <v/>
      </c>
      <c r="M491" s="212" t="str">
        <f>IF(M$3="","",IF(COUNTIFS(BD!$A$3:$A$5001,M$3,BD!$B$3:$B$5001,$A$471,BD!$W$3:$W$5001,"&lt;&gt;")=0,"",SUMIFS(BD!$W$3:$W$5001,BD!$A$3:$A$5001,M$3,BD!$B$3:$B$5001,$A$471)))</f>
        <v/>
      </c>
      <c r="N491" s="212" t="str">
        <f>IF(N$3="","",IF(COUNTIFS(BD!$A$3:$A$5001,N$3,BD!$B$3:$B$5001,$A$471,BD!$W$3:$W$5001,"&lt;&gt;")=0,"",SUMIFS(BD!$W$3:$W$5001,BD!$A$3:$A$5001,N$3,BD!$B$3:$B$5001,$A$471)))</f>
        <v/>
      </c>
      <c r="O491" s="212" t="str">
        <f>IF(O$3="","",IF(COUNTIFS(BD!$A$3:$A$5001,O$3,BD!$B$3:$B$5001,$A$471,BD!$W$3:$W$5001,"&lt;&gt;")=0,"",SUMIFS(BD!$W$3:$W$5001,BD!$A$3:$A$5001,O$3,BD!$B$3:$B$5001,$A$471)))</f>
        <v/>
      </c>
      <c r="P491" s="212" t="str">
        <f>IF(P$3="","",IF(COUNTIFS(BD!$A$3:$A$5001,P$3,BD!$B$3:$B$5001,$A$471,BD!$W$3:$W$5001,"&lt;&gt;")=0,"",SUMIFS(BD!$W$3:$W$5001,BD!$A$3:$A$5001,P$3,BD!$B$3:$B$5001,$A$471)))</f>
        <v/>
      </c>
      <c r="Q491" s="212" t="str">
        <f>IF(Q$3="","",IF(COUNTIFS(BD!$A$3:$A$5001,Q$3,BD!$B$3:$B$5001,$A$471,BD!$W$3:$W$5001,"&lt;&gt;")=0,"",SUMIFS(BD!$W$3:$W$5001,BD!$A$3:$A$5001,Q$3,BD!$B$3:$B$5001,$A$471)))</f>
        <v/>
      </c>
      <c r="R491" s="212" t="str">
        <f>IF(R$3="","",IF(COUNTIFS(BD!$A$3:$A$5001,R$3,BD!$B$3:$B$5001,$A$471,BD!$W$3:$W$5001,"&lt;&gt;")=0,"",SUMIFS(BD!$W$3:$W$5001,BD!$A$3:$A$5001,R$3,BD!$B$3:$B$5001,$A$471)))</f>
        <v/>
      </c>
      <c r="S491" s="212" t="str">
        <f>IF(S$3="","",IF(COUNTIFS(BD!$A$3:$A$5001,S$3,BD!$B$3:$B$5001,$A$471,BD!$W$3:$W$5001,"&lt;&gt;")=0,"",SUMIFS(BD!$W$3:$W$5001,BD!$A$3:$A$5001,S$3,BD!$B$3:$B$5001,$A$471)))</f>
        <v/>
      </c>
      <c r="T491" s="212" t="str">
        <f>IF(T$3="","",IF(COUNTIFS(BD!$A$3:$A$5001,T$3,BD!$B$3:$B$5001,$A$471,BD!$W$3:$W$5001,"&lt;&gt;")=0,"",SUMIFS(BD!$W$3:$W$5001,BD!$A$3:$A$5001,T$3,BD!$B$3:$B$5001,$A$471)))</f>
        <v/>
      </c>
      <c r="U491" s="212" t="str">
        <f>IF(U$3="","",IF(COUNTIFS(BD!$A$3:$A$5001,U$3,BD!$B$3:$B$5001,$A$471,BD!$W$3:$W$5001,"&lt;&gt;")=0,"",SUMIFS(BD!$W$3:$W$5001,BD!$A$3:$A$5001,U$3,BD!$B$3:$B$5001,$A$471)))</f>
        <v/>
      </c>
      <c r="V491" s="212" t="str">
        <f>IF(V$3="","",IF(COUNTIFS(BD!$A$3:$A$5001,V$3,BD!$B$3:$B$5001,$A$471,BD!$W$3:$W$5001,"&lt;&gt;")=0,"",SUMIFS(BD!$W$3:$W$5001,BD!$A$3:$A$5001,V$3,BD!$B$3:$B$5001,$A$471)))</f>
        <v/>
      </c>
      <c r="W491" s="212" t="str">
        <f>IF(W$3="","",IF(COUNTIFS(BD!$A$3:$A$5001,W$3,BD!$B$3:$B$5001,$A$471,BD!$W$3:$W$5001,"&lt;&gt;")=0,"",SUMIFS(BD!$W$3:$W$5001,BD!$A$3:$A$5001,W$3,BD!$B$3:$B$5001,$A$471)))</f>
        <v/>
      </c>
      <c r="X491" s="212" t="str">
        <f>IF(X$3="","",IF(COUNTIFS(BD!$A$3:$A$5001,X$3,BD!$B$3:$B$5001,$A$471,BD!$W$3:$W$5001,"&lt;&gt;")=0,"",SUMIFS(BD!$W$3:$W$5001,BD!$A$3:$A$5001,X$3,BD!$B$3:$B$5001,$A$471)))</f>
        <v/>
      </c>
      <c r="Y491" s="212" t="str">
        <f>IF(Y$3="","",IF(COUNTIFS(BD!$A$3:$A$5001,Y$3,BD!$B$3:$B$5001,$A$471,BD!$W$3:$W$5001,"&lt;&gt;")=0,"",SUMIFS(BD!$W$3:$W$5001,BD!$A$3:$A$5001,Y$3,BD!$B$3:$B$5001,$A$471)))</f>
        <v/>
      </c>
      <c r="Z491" s="212" t="str">
        <f>IF(Z$3="","",IF(COUNTIFS(BD!$A$3:$A$5001,Z$3,BD!$B$3:$B$5001,$A$471,BD!$W$3:$W$5001,"&lt;&gt;")=0,"",SUMIFS(BD!$W$3:$W$5001,BD!$A$3:$A$5001,Z$3,BD!$B$3:$B$5001,$A$471)))</f>
        <v/>
      </c>
      <c r="AA491" s="212" t="str">
        <f>IF(AA$3="","",IF(COUNTIFS(BD!$A$3:$A$5001,AA$3,BD!$B$3:$B$5001,$A$471,BD!$W$3:$W$5001,"&lt;&gt;")=0,"",SUMIFS(BD!$W$3:$W$5001,BD!$A$3:$A$5001,AA$3,BD!$B$3:$B$5001,$A$471)))</f>
        <v/>
      </c>
      <c r="AB491" s="212" t="str">
        <f>IF(AB$3="","",IF(COUNTIFS(BD!$A$3:$A$5001,AB$3,BD!$B$3:$B$5001,$A$471,BD!$W$3:$W$5001,"&lt;&gt;")=0,"",SUMIFS(BD!$W$3:$W$5001,BD!$A$3:$A$5001,AB$3,BD!$B$3:$B$5001,$A$471)))</f>
        <v/>
      </c>
      <c r="AC491" s="212" t="str">
        <f>IF(AC$3="","",IF(COUNTIFS(BD!$A$3:$A$5001,AC$3,BD!$B$3:$B$5001,$A$471,BD!$W$3:$W$5001,"&lt;&gt;")=0,"",SUMIFS(BD!$W$3:$W$5001,BD!$A$3:$A$5001,AC$3,BD!$B$3:$B$5001,$A$471)))</f>
        <v/>
      </c>
      <c r="AD491" s="212" t="str">
        <f>IF(AD$3="","",IF(COUNTIFS(BD!$A$3:$A$5001,AD$3,BD!$B$3:$B$5001,$A$471,BD!$W$3:$W$5001,"&lt;&gt;")=0,"",SUMIFS(BD!$W$3:$W$5001,BD!$A$3:$A$5001,AD$3,BD!$B$3:$B$5001,$A$471)))</f>
        <v/>
      </c>
      <c r="AE491" s="212" t="str">
        <f>IF(AE$3="","",IF(COUNTIFS(BD!$A$3:$A$5001,AE$3,BD!$B$3:$B$5001,$A$471,BD!$W$3:$W$5001,"&lt;&gt;")=0,"",SUMIFS(BD!$W$3:$W$5001,BD!$A$3:$A$5001,AE$3,BD!$B$3:$B$5001,$A$471)))</f>
        <v/>
      </c>
      <c r="AF491" s="212" t="str">
        <f>IF(AF$3="","",IF(COUNTIFS(BD!$A$3:$A$5001,AF$3,BD!$B$3:$B$5001,$A$471,BD!$W$3:$W$5001,"&lt;&gt;")=0,"",SUMIFS(BD!$W$3:$W$5001,BD!$A$3:$A$5001,AF$3,BD!$B$3:$B$5001,$A$471)))</f>
        <v/>
      </c>
      <c r="AG491" s="212" t="str">
        <f>IF(AG$3="","",IF(COUNTIFS(BD!$A$3:$A$5001,AG$3,BD!$B$3:$B$5001,$A$471,BD!$W$3:$W$5001,"&lt;&gt;")=0,"",SUMIFS(BD!$W$3:$W$5001,BD!$A$3:$A$5001,AG$3,BD!$B$3:$B$5001,$A$471)))</f>
        <v/>
      </c>
      <c r="AH491" s="212" t="str">
        <f>IF(AH$3="","",IF(COUNTIFS(BD!$A$3:$A$5001,AH$3,BD!$B$3:$B$5001,$A$471,BD!$W$3:$W$5001,"&lt;&gt;")=0,"",SUMIFS(BD!$W$3:$W$5001,BD!$A$3:$A$5001,AH$3,BD!$B$3:$B$5001,$A$471)))</f>
        <v/>
      </c>
      <c r="AI491" s="212" t="str">
        <f>IF(AI$3="","",IF(COUNTIFS(BD!$A$3:$A$5001,AI$3,BD!$B$3:$B$5001,$A$471,BD!$W$3:$W$5001,"&lt;&gt;")=0,"",SUMIFS(BD!$W$3:$W$5001,BD!$A$3:$A$5001,AI$3,BD!$B$3:$B$5001,$A$471)))</f>
        <v/>
      </c>
      <c r="AJ491" s="213" t="str">
        <f>IF(AJ$3="","",IF(COUNTIFS(BD!$A$3:$A$5001,AJ$3,BD!$B$3:$B$5001,$A$471,BD!$W$3:$W$5001,"&lt;&gt;")=0,"",SUMIFS(BD!$W$3:$W$5001,BD!$A$3:$A$5001,AJ$3,BD!$B$3:$B$5001,$A$471)))</f>
        <v/>
      </c>
      <c r="AK491" s="209" t="str">
        <f>IFERROR(LOOKUP(9.99E+307,F491:AJ491),"")</f>
        <v/>
      </c>
    </row>
    <row r="492" ht="15.75" customHeight="1" hidden="1">
      <c r="A492" s="261"/>
      <c r="B492" s="249" t="inlineStr">
        <is>
          <t xml:space="preserve">OCUPAÇÃO (P.P)</t>
        </is>
      </c>
      <c r="C492" s="168" t="inlineStr">
        <is>
          <t xml:space="preserve">Posições Disponíveis</t>
        </is>
      </c>
      <c r="D492" s="169" t="str">
        <f>IFERROR(1/(1/INDEX(BD!$AL$44:$BF$44,MATCH($A$471,BD!$AL$22:$BF$22,0))),"")</f>
        <v/>
      </c>
      <c r="E492" s="170"/>
      <c r="F492" s="171" t="str">
        <f>IF(F$3="","",IF(COUNTIFS(BD!$A$3:$A$5001,F$3,BD!$B$3:$B$5001,$A$471,BD!$X$3:$X$5001,"&lt;&gt;")=0,"",SUMIFS(BD!$X$3:$X$5001,BD!$A$3:$A$5001,F$3,BD!$B$3:$B$5001,$A$471)))</f>
        <v/>
      </c>
      <c r="G492" s="172" t="str">
        <f>IF(G$3="","",IF(COUNTIFS(BD!$A$3:$A$5001,G$3,BD!$B$3:$B$5001,$A$471,BD!$X$3:$X$5001,"&lt;&gt;")=0,"",SUMIFS(BD!$X$3:$X$5001,BD!$A$3:$A$5001,G$3,BD!$B$3:$B$5001,$A$471)))</f>
        <v/>
      </c>
      <c r="H492" s="172" t="str">
        <f>IF(H$3="","",IF(COUNTIFS(BD!$A$3:$A$5001,H$3,BD!$B$3:$B$5001,$A$471,BD!$X$3:$X$5001,"&lt;&gt;")=0,"",SUMIFS(BD!$X$3:$X$5001,BD!$A$3:$A$5001,H$3,BD!$B$3:$B$5001,$A$471)))</f>
        <v/>
      </c>
      <c r="I492" s="172" t="str">
        <f>IF(I$3="","",IF(COUNTIFS(BD!$A$3:$A$5001,I$3,BD!$B$3:$B$5001,$A$471,BD!$X$3:$X$5001,"&lt;&gt;")=0,"",SUMIFS(BD!$X$3:$X$5001,BD!$A$3:$A$5001,I$3,BD!$B$3:$B$5001,$A$471)))</f>
        <v/>
      </c>
      <c r="J492" s="172" t="str">
        <f>IF(J$3="","",IF(COUNTIFS(BD!$A$3:$A$5001,J$3,BD!$B$3:$B$5001,$A$471,BD!$X$3:$X$5001,"&lt;&gt;")=0,"",SUMIFS(BD!$X$3:$X$5001,BD!$A$3:$A$5001,J$3,BD!$B$3:$B$5001,$A$471)))</f>
        <v/>
      </c>
      <c r="K492" s="172" t="str">
        <f>IF(K$3="","",IF(COUNTIFS(BD!$A$3:$A$5001,K$3,BD!$B$3:$B$5001,$A$471,BD!$X$3:$X$5001,"&lt;&gt;")=0,"",SUMIFS(BD!$X$3:$X$5001,BD!$A$3:$A$5001,K$3,BD!$B$3:$B$5001,$A$471)))</f>
        <v/>
      </c>
      <c r="L492" s="172" t="str">
        <f>IF(L$3="","",IF(COUNTIFS(BD!$A$3:$A$5001,L$3,BD!$B$3:$B$5001,$A$471,BD!$X$3:$X$5001,"&lt;&gt;")=0,"",SUMIFS(BD!$X$3:$X$5001,BD!$A$3:$A$5001,L$3,BD!$B$3:$B$5001,$A$471)))</f>
        <v/>
      </c>
      <c r="M492" s="172" t="str">
        <f>IF(M$3="","",IF(COUNTIFS(BD!$A$3:$A$5001,M$3,BD!$B$3:$B$5001,$A$471,BD!$X$3:$X$5001,"&lt;&gt;")=0,"",SUMIFS(BD!$X$3:$X$5001,BD!$A$3:$A$5001,M$3,BD!$B$3:$B$5001,$A$471)))</f>
        <v/>
      </c>
      <c r="N492" s="172" t="str">
        <f>IF(N$3="","",IF(COUNTIFS(BD!$A$3:$A$5001,N$3,BD!$B$3:$B$5001,$A$471,BD!$X$3:$X$5001,"&lt;&gt;")=0,"",SUMIFS(BD!$X$3:$X$5001,BD!$A$3:$A$5001,N$3,BD!$B$3:$B$5001,$A$471)))</f>
        <v/>
      </c>
      <c r="O492" s="172" t="str">
        <f>IF(O$3="","",IF(COUNTIFS(BD!$A$3:$A$5001,O$3,BD!$B$3:$B$5001,$A$471,BD!$X$3:$X$5001,"&lt;&gt;")=0,"",SUMIFS(BD!$X$3:$X$5001,BD!$A$3:$A$5001,O$3,BD!$B$3:$B$5001,$A$471)))</f>
        <v/>
      </c>
      <c r="P492" s="172" t="str">
        <f>IF(P$3="","",IF(COUNTIFS(BD!$A$3:$A$5001,P$3,BD!$B$3:$B$5001,$A$471,BD!$X$3:$X$5001,"&lt;&gt;")=0,"",SUMIFS(BD!$X$3:$X$5001,BD!$A$3:$A$5001,P$3,BD!$B$3:$B$5001,$A$471)))</f>
        <v/>
      </c>
      <c r="Q492" s="172" t="str">
        <f>IF(Q$3="","",IF(COUNTIFS(BD!$A$3:$A$5001,Q$3,BD!$B$3:$B$5001,$A$471,BD!$X$3:$X$5001,"&lt;&gt;")=0,"",SUMIFS(BD!$X$3:$X$5001,BD!$A$3:$A$5001,Q$3,BD!$B$3:$B$5001,$A$471)))</f>
        <v/>
      </c>
      <c r="R492" s="172" t="str">
        <f>IF(R$3="","",IF(COUNTIFS(BD!$A$3:$A$5001,R$3,BD!$B$3:$B$5001,$A$471,BD!$X$3:$X$5001,"&lt;&gt;")=0,"",SUMIFS(BD!$X$3:$X$5001,BD!$A$3:$A$5001,R$3,BD!$B$3:$B$5001,$A$471)))</f>
        <v/>
      </c>
      <c r="S492" s="172" t="str">
        <f>IF(S$3="","",IF(COUNTIFS(BD!$A$3:$A$5001,S$3,BD!$B$3:$B$5001,$A$471,BD!$X$3:$X$5001,"&lt;&gt;")=0,"",SUMIFS(BD!$X$3:$X$5001,BD!$A$3:$A$5001,S$3,BD!$B$3:$B$5001,$A$471)))</f>
        <v/>
      </c>
      <c r="T492" s="172" t="str">
        <f>IF(T$3="","",IF(COUNTIFS(BD!$A$3:$A$5001,T$3,BD!$B$3:$B$5001,$A$471,BD!$X$3:$X$5001,"&lt;&gt;")=0,"",SUMIFS(BD!$X$3:$X$5001,BD!$A$3:$A$5001,T$3,BD!$B$3:$B$5001,$A$471)))</f>
        <v/>
      </c>
      <c r="U492" s="172" t="str">
        <f>IF(U$3="","",IF(COUNTIFS(BD!$A$3:$A$5001,U$3,BD!$B$3:$B$5001,$A$471,BD!$X$3:$X$5001,"&lt;&gt;")=0,"",SUMIFS(BD!$X$3:$X$5001,BD!$A$3:$A$5001,U$3,BD!$B$3:$B$5001,$A$471)))</f>
        <v/>
      </c>
      <c r="V492" s="172" t="str">
        <f>IF(V$3="","",IF(COUNTIFS(BD!$A$3:$A$5001,V$3,BD!$B$3:$B$5001,$A$471,BD!$X$3:$X$5001,"&lt;&gt;")=0,"",SUMIFS(BD!$X$3:$X$5001,BD!$A$3:$A$5001,V$3,BD!$B$3:$B$5001,$A$471)))</f>
        <v/>
      </c>
      <c r="W492" s="172" t="str">
        <f>IF(W$3="","",IF(COUNTIFS(BD!$A$3:$A$5001,W$3,BD!$B$3:$B$5001,$A$471,BD!$X$3:$X$5001,"&lt;&gt;")=0,"",SUMIFS(BD!$X$3:$X$5001,BD!$A$3:$A$5001,W$3,BD!$B$3:$B$5001,$A$471)))</f>
        <v/>
      </c>
      <c r="X492" s="172" t="str">
        <f>IF(X$3="","",IF(COUNTIFS(BD!$A$3:$A$5001,X$3,BD!$B$3:$B$5001,$A$471,BD!$X$3:$X$5001,"&lt;&gt;")=0,"",SUMIFS(BD!$X$3:$X$5001,BD!$A$3:$A$5001,X$3,BD!$B$3:$B$5001,$A$471)))</f>
        <v/>
      </c>
      <c r="Y492" s="172" t="str">
        <f>IF(Y$3="","",IF(COUNTIFS(BD!$A$3:$A$5001,Y$3,BD!$B$3:$B$5001,$A$471,BD!$X$3:$X$5001,"&lt;&gt;")=0,"",SUMIFS(BD!$X$3:$X$5001,BD!$A$3:$A$5001,Y$3,BD!$B$3:$B$5001,$A$471)))</f>
        <v/>
      </c>
      <c r="Z492" s="172" t="str">
        <f>IF(Z$3="","",IF(COUNTIFS(BD!$A$3:$A$5001,Z$3,BD!$B$3:$B$5001,$A$471,BD!$X$3:$X$5001,"&lt;&gt;")=0,"",SUMIFS(BD!$X$3:$X$5001,BD!$A$3:$A$5001,Z$3,BD!$B$3:$B$5001,$A$471)))</f>
        <v/>
      </c>
      <c r="AA492" s="172" t="str">
        <f>IF(AA$3="","",IF(COUNTIFS(BD!$A$3:$A$5001,AA$3,BD!$B$3:$B$5001,$A$471,BD!$X$3:$X$5001,"&lt;&gt;")=0,"",SUMIFS(BD!$X$3:$X$5001,BD!$A$3:$A$5001,AA$3,BD!$B$3:$B$5001,$A$471)))</f>
        <v/>
      </c>
      <c r="AB492" s="172" t="str">
        <f>IF(AB$3="","",IF(COUNTIFS(BD!$A$3:$A$5001,AB$3,BD!$B$3:$B$5001,$A$471,BD!$X$3:$X$5001,"&lt;&gt;")=0,"",SUMIFS(BD!$X$3:$X$5001,BD!$A$3:$A$5001,AB$3,BD!$B$3:$B$5001,$A$471)))</f>
        <v/>
      </c>
      <c r="AC492" s="172" t="str">
        <f>IF(AC$3="","",IF(COUNTIFS(BD!$A$3:$A$5001,AC$3,BD!$B$3:$B$5001,$A$471,BD!$X$3:$X$5001,"&lt;&gt;")=0,"",SUMIFS(BD!$X$3:$X$5001,BD!$A$3:$A$5001,AC$3,BD!$B$3:$B$5001,$A$471)))</f>
        <v/>
      </c>
      <c r="AD492" s="172" t="str">
        <f>IF(AD$3="","",IF(COUNTIFS(BD!$A$3:$A$5001,AD$3,BD!$B$3:$B$5001,$A$471,BD!$X$3:$X$5001,"&lt;&gt;")=0,"",SUMIFS(BD!$X$3:$X$5001,BD!$A$3:$A$5001,AD$3,BD!$B$3:$B$5001,$A$471)))</f>
        <v/>
      </c>
      <c r="AE492" s="172" t="str">
        <f>IF(AE$3="","",IF(COUNTIFS(BD!$A$3:$A$5001,AE$3,BD!$B$3:$B$5001,$A$471,BD!$X$3:$X$5001,"&lt;&gt;")=0,"",SUMIFS(BD!$X$3:$X$5001,BD!$A$3:$A$5001,AE$3,BD!$B$3:$B$5001,$A$471)))</f>
        <v/>
      </c>
      <c r="AF492" s="172" t="str">
        <f>IF(AF$3="","",IF(COUNTIFS(BD!$A$3:$A$5001,AF$3,BD!$B$3:$B$5001,$A$471,BD!$X$3:$X$5001,"&lt;&gt;")=0,"",SUMIFS(BD!$X$3:$X$5001,BD!$A$3:$A$5001,AF$3,BD!$B$3:$B$5001,$A$471)))</f>
        <v/>
      </c>
      <c r="AG492" s="172" t="str">
        <f>IF(AG$3="","",IF(COUNTIFS(BD!$A$3:$A$5001,AG$3,BD!$B$3:$B$5001,$A$471,BD!$X$3:$X$5001,"&lt;&gt;")=0,"",SUMIFS(BD!$X$3:$X$5001,BD!$A$3:$A$5001,AG$3,BD!$B$3:$B$5001,$A$471)))</f>
        <v/>
      </c>
      <c r="AH492" s="172" t="str">
        <f>IF(AH$3="","",IF(COUNTIFS(BD!$A$3:$A$5001,AH$3,BD!$B$3:$B$5001,$A$471,BD!$X$3:$X$5001,"&lt;&gt;")=0,"",SUMIFS(BD!$X$3:$X$5001,BD!$A$3:$A$5001,AH$3,BD!$B$3:$B$5001,$A$471)))</f>
        <v/>
      </c>
      <c r="AI492" s="172" t="str">
        <f>IF(AI$3="","",IF(COUNTIFS(BD!$A$3:$A$5001,AI$3,BD!$B$3:$B$5001,$A$471,BD!$X$3:$X$5001,"&lt;&gt;")=0,"",SUMIFS(BD!$X$3:$X$5001,BD!$A$3:$A$5001,AI$3,BD!$B$3:$B$5001,$A$471)))</f>
        <v/>
      </c>
      <c r="AJ492" s="173" t="str">
        <f>IF(AJ$3="","",IF(COUNTIFS(BD!$A$3:$A$5001,AJ$3,BD!$B$3:$B$5001,$A$471,BD!$X$3:$X$5001,"&lt;&gt;")=0,"",SUMIFS(BD!$X$3:$X$5001,BD!$A$3:$A$5001,AJ$3,BD!$B$3:$B$5001,$A$471)))</f>
        <v/>
      </c>
      <c r="AK492" s="174" t="str">
        <f>IF(COUNT(F492:AJ492)&gt;0,LOOKUP(9.99E+307,F492:AJ492),IFERROR(IF(INDEX(BD!$AI$3:$AI$5001,MATCH($A$471,BD!$B$3:$B$5001,0))&amp;""="Contrato","",INDEX(BD!$AI$3:$AI$5001,MATCH($A$471,BD!$B$3:$B$5001,0))&amp;""),""))</f>
        <v/>
      </c>
    </row>
    <row r="493" ht="15.75" customHeight="1" hidden="1">
      <c r="A493" s="261"/>
      <c r="B493" s="256"/>
      <c r="C493" s="214" t="inlineStr">
        <is>
          <t xml:space="preserve">Posições Ocupadas</t>
        </is>
      </c>
      <c r="D493" s="215" t="str">
        <f>IFERROR(1/(1/INDEX(BD!$AL$45:$BF$45,MATCH($A$471,BD!$AL$22:$BF$22,0))),"")</f>
        <v/>
      </c>
      <c r="E493" s="216"/>
      <c r="F493" s="217" t="str">
        <f>IF(F$3="","",IF(COUNTIFS(BD!$A$3:$A$5001,F$3,BD!$B$3:$B$5001,$A$471,BD!$Y$3:$Y$5001,"&lt;&gt;")=0,"",SUMIFS(BD!$Y$3:$Y$5001,BD!$A$3:$A$5001,F$3,BD!$B$3:$B$5001,$A$471)))</f>
        <v/>
      </c>
      <c r="G493" s="218" t="str">
        <f>IF(G$3="","",IF(COUNTIFS(BD!$A$3:$A$5001,G$3,BD!$B$3:$B$5001,$A$471,BD!$Y$3:$Y$5001,"&lt;&gt;")=0,"",SUMIFS(BD!$Y$3:$Y$5001,BD!$A$3:$A$5001,G$3,BD!$B$3:$B$5001,$A$471)))</f>
        <v/>
      </c>
      <c r="H493" s="218" t="str">
        <f>IF(H$3="","",IF(COUNTIFS(BD!$A$3:$A$5001,H$3,BD!$B$3:$B$5001,$A$471,BD!$Y$3:$Y$5001,"&lt;&gt;")=0,"",SUMIFS(BD!$Y$3:$Y$5001,BD!$A$3:$A$5001,H$3,BD!$B$3:$B$5001,$A$471)))</f>
        <v/>
      </c>
      <c r="I493" s="218" t="str">
        <f>IF(I$3="","",IF(COUNTIFS(BD!$A$3:$A$5001,I$3,BD!$B$3:$B$5001,$A$471,BD!$Y$3:$Y$5001,"&lt;&gt;")=0,"",SUMIFS(BD!$Y$3:$Y$5001,BD!$A$3:$A$5001,I$3,BD!$B$3:$B$5001,$A$471)))</f>
        <v/>
      </c>
      <c r="J493" s="218" t="str">
        <f>IF(J$3="","",IF(COUNTIFS(BD!$A$3:$A$5001,J$3,BD!$B$3:$B$5001,$A$471,BD!$Y$3:$Y$5001,"&lt;&gt;")=0,"",SUMIFS(BD!$Y$3:$Y$5001,BD!$A$3:$A$5001,J$3,BD!$B$3:$B$5001,$A$471)))</f>
        <v/>
      </c>
      <c r="K493" s="218" t="str">
        <f>IF(K$3="","",IF(COUNTIFS(BD!$A$3:$A$5001,K$3,BD!$B$3:$B$5001,$A$471,BD!$Y$3:$Y$5001,"&lt;&gt;")=0,"",SUMIFS(BD!$Y$3:$Y$5001,BD!$A$3:$A$5001,K$3,BD!$B$3:$B$5001,$A$471)))</f>
        <v/>
      </c>
      <c r="L493" s="218" t="str">
        <f>IF(L$3="","",IF(COUNTIFS(BD!$A$3:$A$5001,L$3,BD!$B$3:$B$5001,$A$471,BD!$Y$3:$Y$5001,"&lt;&gt;")=0,"",SUMIFS(BD!$Y$3:$Y$5001,BD!$A$3:$A$5001,L$3,BD!$B$3:$B$5001,$A$471)))</f>
        <v/>
      </c>
      <c r="M493" s="218" t="str">
        <f>IF(M$3="","",IF(COUNTIFS(BD!$A$3:$A$5001,M$3,BD!$B$3:$B$5001,$A$471,BD!$Y$3:$Y$5001,"&lt;&gt;")=0,"",SUMIFS(BD!$Y$3:$Y$5001,BD!$A$3:$A$5001,M$3,BD!$B$3:$B$5001,$A$471)))</f>
        <v/>
      </c>
      <c r="N493" s="218" t="str">
        <f>IF(N$3="","",IF(COUNTIFS(BD!$A$3:$A$5001,N$3,BD!$B$3:$B$5001,$A$471,BD!$Y$3:$Y$5001,"&lt;&gt;")=0,"",SUMIFS(BD!$Y$3:$Y$5001,BD!$A$3:$A$5001,N$3,BD!$B$3:$B$5001,$A$471)))</f>
        <v/>
      </c>
      <c r="O493" s="218" t="str">
        <f>IF(O$3="","",IF(COUNTIFS(BD!$A$3:$A$5001,O$3,BD!$B$3:$B$5001,$A$471,BD!$Y$3:$Y$5001,"&lt;&gt;")=0,"",SUMIFS(BD!$Y$3:$Y$5001,BD!$A$3:$A$5001,O$3,BD!$B$3:$B$5001,$A$471)))</f>
        <v/>
      </c>
      <c r="P493" s="218" t="str">
        <f>IF(P$3="","",IF(COUNTIFS(BD!$A$3:$A$5001,P$3,BD!$B$3:$B$5001,$A$471,BD!$Y$3:$Y$5001,"&lt;&gt;")=0,"",SUMIFS(BD!$Y$3:$Y$5001,BD!$A$3:$A$5001,P$3,BD!$B$3:$B$5001,$A$471)))</f>
        <v/>
      </c>
      <c r="Q493" s="218" t="str">
        <f>IF(Q$3="","",IF(COUNTIFS(BD!$A$3:$A$5001,Q$3,BD!$B$3:$B$5001,$A$471,BD!$Y$3:$Y$5001,"&lt;&gt;")=0,"",SUMIFS(BD!$Y$3:$Y$5001,BD!$A$3:$A$5001,Q$3,BD!$B$3:$B$5001,$A$471)))</f>
        <v/>
      </c>
      <c r="R493" s="218" t="str">
        <f>IF(R$3="","",IF(COUNTIFS(BD!$A$3:$A$5001,R$3,BD!$B$3:$B$5001,$A$471,BD!$Y$3:$Y$5001,"&lt;&gt;")=0,"",SUMIFS(BD!$Y$3:$Y$5001,BD!$A$3:$A$5001,R$3,BD!$B$3:$B$5001,$A$471)))</f>
        <v/>
      </c>
      <c r="S493" s="218" t="str">
        <f>IF(S$3="","",IF(COUNTIFS(BD!$A$3:$A$5001,S$3,BD!$B$3:$B$5001,$A$471,BD!$Y$3:$Y$5001,"&lt;&gt;")=0,"",SUMIFS(BD!$Y$3:$Y$5001,BD!$A$3:$A$5001,S$3,BD!$B$3:$B$5001,$A$471)))</f>
        <v/>
      </c>
      <c r="T493" s="218" t="str">
        <f>IF(T$3="","",IF(COUNTIFS(BD!$A$3:$A$5001,T$3,BD!$B$3:$B$5001,$A$471,BD!$Y$3:$Y$5001,"&lt;&gt;")=0,"",SUMIFS(BD!$Y$3:$Y$5001,BD!$A$3:$A$5001,T$3,BD!$B$3:$B$5001,$A$471)))</f>
        <v/>
      </c>
      <c r="U493" s="218" t="str">
        <f>IF(U$3="","",IF(COUNTIFS(BD!$A$3:$A$5001,U$3,BD!$B$3:$B$5001,$A$471,BD!$Y$3:$Y$5001,"&lt;&gt;")=0,"",SUMIFS(BD!$Y$3:$Y$5001,BD!$A$3:$A$5001,U$3,BD!$B$3:$B$5001,$A$471)))</f>
        <v/>
      </c>
      <c r="V493" s="218" t="str">
        <f>IF(V$3="","",IF(COUNTIFS(BD!$A$3:$A$5001,V$3,BD!$B$3:$B$5001,$A$471,BD!$Y$3:$Y$5001,"&lt;&gt;")=0,"",SUMIFS(BD!$Y$3:$Y$5001,BD!$A$3:$A$5001,V$3,BD!$B$3:$B$5001,$A$471)))</f>
        <v/>
      </c>
      <c r="W493" s="218" t="str">
        <f>IF(W$3="","",IF(COUNTIFS(BD!$A$3:$A$5001,W$3,BD!$B$3:$B$5001,$A$471,BD!$Y$3:$Y$5001,"&lt;&gt;")=0,"",SUMIFS(BD!$Y$3:$Y$5001,BD!$A$3:$A$5001,W$3,BD!$B$3:$B$5001,$A$471)))</f>
        <v/>
      </c>
      <c r="X493" s="218" t="str">
        <f>IF(X$3="","",IF(COUNTIFS(BD!$A$3:$A$5001,X$3,BD!$B$3:$B$5001,$A$471,BD!$Y$3:$Y$5001,"&lt;&gt;")=0,"",SUMIFS(BD!$Y$3:$Y$5001,BD!$A$3:$A$5001,X$3,BD!$B$3:$B$5001,$A$471)))</f>
        <v/>
      </c>
      <c r="Y493" s="218" t="str">
        <f>IF(Y$3="","",IF(COUNTIFS(BD!$A$3:$A$5001,Y$3,BD!$B$3:$B$5001,$A$471,BD!$Y$3:$Y$5001,"&lt;&gt;")=0,"",SUMIFS(BD!$Y$3:$Y$5001,BD!$A$3:$A$5001,Y$3,BD!$B$3:$B$5001,$A$471)))</f>
        <v/>
      </c>
      <c r="Z493" s="218" t="str">
        <f>IF(Z$3="","",IF(COUNTIFS(BD!$A$3:$A$5001,Z$3,BD!$B$3:$B$5001,$A$471,BD!$Y$3:$Y$5001,"&lt;&gt;")=0,"",SUMIFS(BD!$Y$3:$Y$5001,BD!$A$3:$A$5001,Z$3,BD!$B$3:$B$5001,$A$471)))</f>
        <v/>
      </c>
      <c r="AA493" s="218" t="str">
        <f>IF(AA$3="","",IF(COUNTIFS(BD!$A$3:$A$5001,AA$3,BD!$B$3:$B$5001,$A$471,BD!$Y$3:$Y$5001,"&lt;&gt;")=0,"",SUMIFS(BD!$Y$3:$Y$5001,BD!$A$3:$A$5001,AA$3,BD!$B$3:$B$5001,$A$471)))</f>
        <v/>
      </c>
      <c r="AB493" s="218" t="str">
        <f>IF(AB$3="","",IF(COUNTIFS(BD!$A$3:$A$5001,AB$3,BD!$B$3:$B$5001,$A$471,BD!$Y$3:$Y$5001,"&lt;&gt;")=0,"",SUMIFS(BD!$Y$3:$Y$5001,BD!$A$3:$A$5001,AB$3,BD!$B$3:$B$5001,$A$471)))</f>
        <v/>
      </c>
      <c r="AC493" s="218" t="str">
        <f>IF(AC$3="","",IF(COUNTIFS(BD!$A$3:$A$5001,AC$3,BD!$B$3:$B$5001,$A$471,BD!$Y$3:$Y$5001,"&lt;&gt;")=0,"",SUMIFS(BD!$Y$3:$Y$5001,BD!$A$3:$A$5001,AC$3,BD!$B$3:$B$5001,$A$471)))</f>
        <v/>
      </c>
      <c r="AD493" s="218" t="str">
        <f>IF(AD$3="","",IF(COUNTIFS(BD!$A$3:$A$5001,AD$3,BD!$B$3:$B$5001,$A$471,BD!$Y$3:$Y$5001,"&lt;&gt;")=0,"",SUMIFS(BD!$Y$3:$Y$5001,BD!$A$3:$A$5001,AD$3,BD!$B$3:$B$5001,$A$471)))</f>
        <v/>
      </c>
      <c r="AE493" s="218" t="str">
        <f>IF(AE$3="","",IF(COUNTIFS(BD!$A$3:$A$5001,AE$3,BD!$B$3:$B$5001,$A$471,BD!$Y$3:$Y$5001,"&lt;&gt;")=0,"",SUMIFS(BD!$Y$3:$Y$5001,BD!$A$3:$A$5001,AE$3,BD!$B$3:$B$5001,$A$471)))</f>
        <v/>
      </c>
      <c r="AF493" s="218" t="str">
        <f>IF(AF$3="","",IF(COUNTIFS(BD!$A$3:$A$5001,AF$3,BD!$B$3:$B$5001,$A$471,BD!$Y$3:$Y$5001,"&lt;&gt;")=0,"",SUMIFS(BD!$Y$3:$Y$5001,BD!$A$3:$A$5001,AF$3,BD!$B$3:$B$5001,$A$471)))</f>
        <v/>
      </c>
      <c r="AG493" s="218" t="str">
        <f>IF(AG$3="","",IF(COUNTIFS(BD!$A$3:$A$5001,AG$3,BD!$B$3:$B$5001,$A$471,BD!$Y$3:$Y$5001,"&lt;&gt;")=0,"",SUMIFS(BD!$Y$3:$Y$5001,BD!$A$3:$A$5001,AG$3,BD!$B$3:$B$5001,$A$471)))</f>
        <v/>
      </c>
      <c r="AH493" s="218" t="str">
        <f>IF(AH$3="","",IF(COUNTIFS(BD!$A$3:$A$5001,AH$3,BD!$B$3:$B$5001,$A$471,BD!$Y$3:$Y$5001,"&lt;&gt;")=0,"",SUMIFS(BD!$Y$3:$Y$5001,BD!$A$3:$A$5001,AH$3,BD!$B$3:$B$5001,$A$471)))</f>
        <v/>
      </c>
      <c r="AI493" s="218" t="str">
        <f>IF(AI$3="","",IF(COUNTIFS(BD!$A$3:$A$5001,AI$3,BD!$B$3:$B$5001,$A$471,BD!$Y$3:$Y$5001,"&lt;&gt;")=0,"",SUMIFS(BD!$Y$3:$Y$5001,BD!$A$3:$A$5001,AI$3,BD!$B$3:$B$5001,$A$471)))</f>
        <v/>
      </c>
      <c r="AJ493" s="219" t="str">
        <f>IF(AJ$3="","",IF(COUNTIFS(BD!$A$3:$A$5001,AJ$3,BD!$B$3:$B$5001,$A$471,BD!$Y$3:$Y$5001,"&lt;&gt;")=0,"",SUMIFS(BD!$Y$3:$Y$5001,BD!$A$3:$A$5001,AJ$3,BD!$B$3:$B$5001,$A$471)))</f>
        <v/>
      </c>
      <c r="AK493" s="220" t="str">
        <f>IFERROR(LOOKUP(9.99E+307,F493:AJ493),"")</f>
        <v/>
      </c>
    </row>
    <row r="494" ht="15.75" customHeight="1" hidden="1">
      <c r="A494" s="261"/>
      <c r="B494" s="250"/>
      <c r="C494" s="175" t="inlineStr">
        <is>
          <t xml:space="preserve">Taxa de Ocupação</t>
        </is>
      </c>
      <c r="D494" s="221" t="str">
        <f>IFERROR(1/(1/INDEX(BD!$AL$46:$BF$46,MATCH($A$471,BD!$AL$22:$BF$22,0))),"")</f>
        <v/>
      </c>
      <c r="E494" s="177"/>
      <c r="F494" s="222" t="str">
        <f>IF(AND(ISNUMBER(F492),ISNUMBER(F493)),IF(F492&gt;0,F493/F492,""),"")</f>
        <v/>
      </c>
      <c r="G494" s="223" t="str">
        <f>IF(AND(ISNUMBER(G492),ISNUMBER(G493)),IF(G492&gt;0,G493/G492,""),"")</f>
        <v/>
      </c>
      <c r="H494" s="223" t="str">
        <f>IF(AND(ISNUMBER(H492),ISNUMBER(H493)),IF(H492&gt;0,H493/H492,""),"")</f>
        <v/>
      </c>
      <c r="I494" s="223" t="str">
        <f>IF(AND(ISNUMBER(I492),ISNUMBER(I493)),IF(I492&gt;0,I493/I492,""),"")</f>
        <v/>
      </c>
      <c r="J494" s="223" t="str">
        <f>IF(AND(ISNUMBER(J492),ISNUMBER(J493)),IF(J492&gt;0,J493/J492,""),"")</f>
        <v/>
      </c>
      <c r="K494" s="223" t="str">
        <f>IF(AND(ISNUMBER(K492),ISNUMBER(K493)),IF(K492&gt;0,K493/K492,""),"")</f>
        <v/>
      </c>
      <c r="L494" s="223" t="str">
        <f>IF(AND(ISNUMBER(L492),ISNUMBER(L493)),IF(L492&gt;0,L493/L492,""),"")</f>
        <v/>
      </c>
      <c r="M494" s="223" t="str">
        <f>IF(AND(ISNUMBER(M492),ISNUMBER(M493)),IF(M492&gt;0,M493/M492,""),"")</f>
        <v/>
      </c>
      <c r="N494" s="223" t="str">
        <f>IF(AND(ISNUMBER(N492),ISNUMBER(N493)),IF(N492&gt;0,N493/N492,""),"")</f>
        <v/>
      </c>
      <c r="O494" s="223" t="str">
        <f>IF(AND(ISNUMBER(O492),ISNUMBER(O493)),IF(O492&gt;0,O493/O492,""),"")</f>
        <v/>
      </c>
      <c r="P494" s="223" t="str">
        <f>IF(AND(ISNUMBER(P492),ISNUMBER(P493)),IF(P492&gt;0,P493/P492,""),"")</f>
        <v/>
      </c>
      <c r="Q494" s="223" t="str">
        <f>IF(AND(ISNUMBER(Q492),ISNUMBER(Q493)),IF(Q492&gt;0,Q493/Q492,""),"")</f>
        <v/>
      </c>
      <c r="R494" s="223" t="str">
        <f>IF(AND(ISNUMBER(R492),ISNUMBER(R493)),IF(R492&gt;0,R493/R492,""),"")</f>
        <v/>
      </c>
      <c r="S494" s="223" t="str">
        <f>IF(AND(ISNUMBER(S492),ISNUMBER(S493)),IF(S492&gt;0,S493/S492,""),"")</f>
        <v/>
      </c>
      <c r="T494" s="223" t="str">
        <f>IF(AND(ISNUMBER(T492),ISNUMBER(T493)),IF(T492&gt;0,T493/T492,""),"")</f>
        <v/>
      </c>
      <c r="U494" s="223" t="str">
        <f>IF(AND(ISNUMBER(U492),ISNUMBER(U493)),IF(U492&gt;0,U493/U492,""),"")</f>
        <v/>
      </c>
      <c r="V494" s="223" t="str">
        <f>IF(AND(ISNUMBER(V492),ISNUMBER(V493)),IF(V492&gt;0,V493/V492,""),"")</f>
        <v/>
      </c>
      <c r="W494" s="223" t="str">
        <f>IF(AND(ISNUMBER(W492),ISNUMBER(W493)),IF(W492&gt;0,W493/W492,""),"")</f>
        <v/>
      </c>
      <c r="X494" s="223" t="str">
        <f>IF(AND(ISNUMBER(X492),ISNUMBER(X493)),IF(X492&gt;0,X493/X492,""),"")</f>
        <v/>
      </c>
      <c r="Y494" s="223" t="str">
        <f>IF(AND(ISNUMBER(Y492),ISNUMBER(Y493)),IF(Y492&gt;0,Y493/Y492,""),"")</f>
        <v/>
      </c>
      <c r="Z494" s="223" t="str">
        <f>IF(AND(ISNUMBER(Z492),ISNUMBER(Z493)),IF(Z492&gt;0,Z493/Z492,""),"")</f>
        <v/>
      </c>
      <c r="AA494" s="223" t="str">
        <f>IF(AND(ISNUMBER(AA492),ISNUMBER(AA493)),IF(AA492&gt;0,AA493/AA492,""),"")</f>
        <v/>
      </c>
      <c r="AB494" s="223" t="str">
        <f>IF(AND(ISNUMBER(AB492),ISNUMBER(AB493)),IF(AB492&gt;0,AB493/AB492,""),"")</f>
        <v/>
      </c>
      <c r="AC494" s="223" t="str">
        <f>IF(AND(ISNUMBER(AC492),ISNUMBER(AC493)),IF(AC492&gt;0,AC493/AC492,""),"")</f>
        <v/>
      </c>
      <c r="AD494" s="223" t="str">
        <f>IF(AND(ISNUMBER(AD492),ISNUMBER(AD493)),IF(AD492&gt;0,AD493/AD492,""),"")</f>
        <v/>
      </c>
      <c r="AE494" s="223" t="str">
        <f>IF(AND(ISNUMBER(AE492),ISNUMBER(AE493)),IF(AE492&gt;0,AE493/AE492,""),"")</f>
        <v/>
      </c>
      <c r="AF494" s="223" t="str">
        <f>IF(AND(ISNUMBER(AF492),ISNUMBER(AF493)),IF(AF492&gt;0,AF493/AF492,""),"")</f>
        <v/>
      </c>
      <c r="AG494" s="223" t="str">
        <f>IF(AND(ISNUMBER(AG492),ISNUMBER(AG493)),IF(AG492&gt;0,AG493/AG492,""),"")</f>
        <v/>
      </c>
      <c r="AH494" s="223" t="str">
        <f>IF(AND(ISNUMBER(AH492),ISNUMBER(AH493)),IF(AH492&gt;0,AH493/AH492,""),"")</f>
        <v/>
      </c>
      <c r="AI494" s="223" t="str">
        <f>IF(AND(ISNUMBER(AI492),ISNUMBER(AI493)),IF(AI492&gt;0,AI493/AI492,""),"")</f>
        <v/>
      </c>
      <c r="AJ494" s="224" t="str">
        <f>IF(AND(ISNUMBER(AJ492),ISNUMBER(AJ493)),IF(AJ492&gt;0,AJ493/AJ492,""),"")</f>
        <v/>
      </c>
      <c r="AK494" s="221" t="str">
        <f>IF(AND(ISNUMBER(AK492),ISNUMBER(AK493)),IF(AK492&gt;0,AK493/AK492,""),"")</f>
        <v/>
      </c>
    </row>
    <row r="495" ht="15.75" customHeight="1" hidden="1">
      <c r="A495" s="261"/>
      <c r="B495" s="257" t="inlineStr">
        <is>
          <t xml:space="preserve">GENTE</t>
        </is>
      </c>
      <c r="C495" s="225" t="inlineStr">
        <is>
          <t xml:space="preserve">Efetivo Op.</t>
        </is>
      </c>
      <c r="D495" s="226" t="str">
        <f>IFERROR(1/(1/INDEX(BD!$AL$47:$BF$47,MATCH($A$471,BD!$AL$22:$BF$22,0))),"")</f>
        <v/>
      </c>
      <c r="E495" s="227"/>
      <c r="F495" s="228" t="str">
        <f>IF(F$3="","",IF(COUNTIFS(BD!$A$3:$A$5001,F$3,BD!$B$3:$B$5001,$A$471,BD!$Z$3:$Z$5001,"&lt;&gt;")=0,"",SUMIFS(BD!$Z$3:$Z$5001,BD!$A$3:$A$5001,F$3,BD!$B$3:$B$5001,$A$471)))</f>
        <v/>
      </c>
      <c r="G495" s="229" t="str">
        <f>IF(G$3="","",IF(COUNTIFS(BD!$A$3:$A$5001,G$3,BD!$B$3:$B$5001,$A$471,BD!$Z$3:$Z$5001,"&lt;&gt;")=0,"",SUMIFS(BD!$Z$3:$Z$5001,BD!$A$3:$A$5001,G$3,BD!$B$3:$B$5001,$A$471)))</f>
        <v/>
      </c>
      <c r="H495" s="229" t="str">
        <f>IF(H$3="","",IF(COUNTIFS(BD!$A$3:$A$5001,H$3,BD!$B$3:$B$5001,$A$471,BD!$Z$3:$Z$5001,"&lt;&gt;")=0,"",SUMIFS(BD!$Z$3:$Z$5001,BD!$A$3:$A$5001,H$3,BD!$B$3:$B$5001,$A$471)))</f>
        <v/>
      </c>
      <c r="I495" s="229" t="str">
        <f>IF(I$3="","",IF(COUNTIFS(BD!$A$3:$A$5001,I$3,BD!$B$3:$B$5001,$A$471,BD!$Z$3:$Z$5001,"&lt;&gt;")=0,"",SUMIFS(BD!$Z$3:$Z$5001,BD!$A$3:$A$5001,I$3,BD!$B$3:$B$5001,$A$471)))</f>
        <v/>
      </c>
      <c r="J495" s="229" t="str">
        <f>IF(J$3="","",IF(COUNTIFS(BD!$A$3:$A$5001,J$3,BD!$B$3:$B$5001,$A$471,BD!$Z$3:$Z$5001,"&lt;&gt;")=0,"",SUMIFS(BD!$Z$3:$Z$5001,BD!$A$3:$A$5001,J$3,BD!$B$3:$B$5001,$A$471)))</f>
        <v/>
      </c>
      <c r="K495" s="229" t="str">
        <f>IF(K$3="","",IF(COUNTIFS(BD!$A$3:$A$5001,K$3,BD!$B$3:$B$5001,$A$471,BD!$Z$3:$Z$5001,"&lt;&gt;")=0,"",SUMIFS(BD!$Z$3:$Z$5001,BD!$A$3:$A$5001,K$3,BD!$B$3:$B$5001,$A$471)))</f>
        <v/>
      </c>
      <c r="L495" s="229" t="str">
        <f>IF(L$3="","",IF(COUNTIFS(BD!$A$3:$A$5001,L$3,BD!$B$3:$B$5001,$A$471,BD!$Z$3:$Z$5001,"&lt;&gt;")=0,"",SUMIFS(BD!$Z$3:$Z$5001,BD!$A$3:$A$5001,L$3,BD!$B$3:$B$5001,$A$471)))</f>
        <v/>
      </c>
      <c r="M495" s="229" t="str">
        <f>IF(M$3="","",IF(COUNTIFS(BD!$A$3:$A$5001,M$3,BD!$B$3:$B$5001,$A$471,BD!$Z$3:$Z$5001,"&lt;&gt;")=0,"",SUMIFS(BD!$Z$3:$Z$5001,BD!$A$3:$A$5001,M$3,BD!$B$3:$B$5001,$A$471)))</f>
        <v/>
      </c>
      <c r="N495" s="229" t="str">
        <f>IF(N$3="","",IF(COUNTIFS(BD!$A$3:$A$5001,N$3,BD!$B$3:$B$5001,$A$471,BD!$Z$3:$Z$5001,"&lt;&gt;")=0,"",SUMIFS(BD!$Z$3:$Z$5001,BD!$A$3:$A$5001,N$3,BD!$B$3:$B$5001,$A$471)))</f>
        <v/>
      </c>
      <c r="O495" s="229" t="str">
        <f>IF(O$3="","",IF(COUNTIFS(BD!$A$3:$A$5001,O$3,BD!$B$3:$B$5001,$A$471,BD!$Z$3:$Z$5001,"&lt;&gt;")=0,"",SUMIFS(BD!$Z$3:$Z$5001,BD!$A$3:$A$5001,O$3,BD!$B$3:$B$5001,$A$471)))</f>
        <v/>
      </c>
      <c r="P495" s="229" t="str">
        <f>IF(P$3="","",IF(COUNTIFS(BD!$A$3:$A$5001,P$3,BD!$B$3:$B$5001,$A$471,BD!$Z$3:$Z$5001,"&lt;&gt;")=0,"",SUMIFS(BD!$Z$3:$Z$5001,BD!$A$3:$A$5001,P$3,BD!$B$3:$B$5001,$A$471)))</f>
        <v/>
      </c>
      <c r="Q495" s="229" t="str">
        <f>IF(Q$3="","",IF(COUNTIFS(BD!$A$3:$A$5001,Q$3,BD!$B$3:$B$5001,$A$471,BD!$Z$3:$Z$5001,"&lt;&gt;")=0,"",SUMIFS(BD!$Z$3:$Z$5001,BD!$A$3:$A$5001,Q$3,BD!$B$3:$B$5001,$A$471)))</f>
        <v/>
      </c>
      <c r="R495" s="229" t="str">
        <f>IF(R$3="","",IF(COUNTIFS(BD!$A$3:$A$5001,R$3,BD!$B$3:$B$5001,$A$471,BD!$Z$3:$Z$5001,"&lt;&gt;")=0,"",SUMIFS(BD!$Z$3:$Z$5001,BD!$A$3:$A$5001,R$3,BD!$B$3:$B$5001,$A$471)))</f>
        <v/>
      </c>
      <c r="S495" s="229" t="str">
        <f>IF(S$3="","",IF(COUNTIFS(BD!$A$3:$A$5001,S$3,BD!$B$3:$B$5001,$A$471,BD!$Z$3:$Z$5001,"&lt;&gt;")=0,"",SUMIFS(BD!$Z$3:$Z$5001,BD!$A$3:$A$5001,S$3,BD!$B$3:$B$5001,$A$471)))</f>
        <v/>
      </c>
      <c r="T495" s="229" t="str">
        <f>IF(T$3="","",IF(COUNTIFS(BD!$A$3:$A$5001,T$3,BD!$B$3:$B$5001,$A$471,BD!$Z$3:$Z$5001,"&lt;&gt;")=0,"",SUMIFS(BD!$Z$3:$Z$5001,BD!$A$3:$A$5001,T$3,BD!$B$3:$B$5001,$A$471)))</f>
        <v/>
      </c>
      <c r="U495" s="229" t="str">
        <f>IF(U$3="","",IF(COUNTIFS(BD!$A$3:$A$5001,U$3,BD!$B$3:$B$5001,$A$471,BD!$Z$3:$Z$5001,"&lt;&gt;")=0,"",SUMIFS(BD!$Z$3:$Z$5001,BD!$A$3:$A$5001,U$3,BD!$B$3:$B$5001,$A$471)))</f>
        <v/>
      </c>
      <c r="V495" s="229" t="str">
        <f>IF(V$3="","",IF(COUNTIFS(BD!$A$3:$A$5001,V$3,BD!$B$3:$B$5001,$A$471,BD!$Z$3:$Z$5001,"&lt;&gt;")=0,"",SUMIFS(BD!$Z$3:$Z$5001,BD!$A$3:$A$5001,V$3,BD!$B$3:$B$5001,$A$471)))</f>
        <v/>
      </c>
      <c r="W495" s="229" t="str">
        <f>IF(W$3="","",IF(COUNTIFS(BD!$A$3:$A$5001,W$3,BD!$B$3:$B$5001,$A$471,BD!$Z$3:$Z$5001,"&lt;&gt;")=0,"",SUMIFS(BD!$Z$3:$Z$5001,BD!$A$3:$A$5001,W$3,BD!$B$3:$B$5001,$A$471)))</f>
        <v/>
      </c>
      <c r="X495" s="229" t="str">
        <f>IF(X$3="","",IF(COUNTIFS(BD!$A$3:$A$5001,X$3,BD!$B$3:$B$5001,$A$471,BD!$Z$3:$Z$5001,"&lt;&gt;")=0,"",SUMIFS(BD!$Z$3:$Z$5001,BD!$A$3:$A$5001,X$3,BD!$B$3:$B$5001,$A$471)))</f>
        <v/>
      </c>
      <c r="Y495" s="229" t="str">
        <f>IF(Y$3="","",IF(COUNTIFS(BD!$A$3:$A$5001,Y$3,BD!$B$3:$B$5001,$A$471,BD!$Z$3:$Z$5001,"&lt;&gt;")=0,"",SUMIFS(BD!$Z$3:$Z$5001,BD!$A$3:$A$5001,Y$3,BD!$B$3:$B$5001,$A$471)))</f>
        <v/>
      </c>
      <c r="Z495" s="229" t="str">
        <f>IF(Z$3="","",IF(COUNTIFS(BD!$A$3:$A$5001,Z$3,BD!$B$3:$B$5001,$A$471,BD!$Z$3:$Z$5001,"&lt;&gt;")=0,"",SUMIFS(BD!$Z$3:$Z$5001,BD!$A$3:$A$5001,Z$3,BD!$B$3:$B$5001,$A$471)))</f>
        <v/>
      </c>
      <c r="AA495" s="229" t="str">
        <f>IF(AA$3="","",IF(COUNTIFS(BD!$A$3:$A$5001,AA$3,BD!$B$3:$B$5001,$A$471,BD!$Z$3:$Z$5001,"&lt;&gt;")=0,"",SUMIFS(BD!$Z$3:$Z$5001,BD!$A$3:$A$5001,AA$3,BD!$B$3:$B$5001,$A$471)))</f>
        <v/>
      </c>
      <c r="AB495" s="229" t="str">
        <f>IF(AB$3="","",IF(COUNTIFS(BD!$A$3:$A$5001,AB$3,BD!$B$3:$B$5001,$A$471,BD!$Z$3:$Z$5001,"&lt;&gt;")=0,"",SUMIFS(BD!$Z$3:$Z$5001,BD!$A$3:$A$5001,AB$3,BD!$B$3:$B$5001,$A$471)))</f>
        <v/>
      </c>
      <c r="AC495" s="229" t="str">
        <f>IF(AC$3="","",IF(COUNTIFS(BD!$A$3:$A$5001,AC$3,BD!$B$3:$B$5001,$A$471,BD!$Z$3:$Z$5001,"&lt;&gt;")=0,"",SUMIFS(BD!$Z$3:$Z$5001,BD!$A$3:$A$5001,AC$3,BD!$B$3:$B$5001,$A$471)))</f>
        <v/>
      </c>
      <c r="AD495" s="229" t="str">
        <f>IF(AD$3="","",IF(COUNTIFS(BD!$A$3:$A$5001,AD$3,BD!$B$3:$B$5001,$A$471,BD!$Z$3:$Z$5001,"&lt;&gt;")=0,"",SUMIFS(BD!$Z$3:$Z$5001,BD!$A$3:$A$5001,AD$3,BD!$B$3:$B$5001,$A$471)))</f>
        <v/>
      </c>
      <c r="AE495" s="229" t="str">
        <f>IF(AE$3="","",IF(COUNTIFS(BD!$A$3:$A$5001,AE$3,BD!$B$3:$B$5001,$A$471,BD!$Z$3:$Z$5001,"&lt;&gt;")=0,"",SUMIFS(BD!$Z$3:$Z$5001,BD!$A$3:$A$5001,AE$3,BD!$B$3:$B$5001,$A$471)))</f>
        <v/>
      </c>
      <c r="AF495" s="229" t="str">
        <f>IF(AF$3="","",IF(COUNTIFS(BD!$A$3:$A$5001,AF$3,BD!$B$3:$B$5001,$A$471,BD!$Z$3:$Z$5001,"&lt;&gt;")=0,"",SUMIFS(BD!$Z$3:$Z$5001,BD!$A$3:$A$5001,AF$3,BD!$B$3:$B$5001,$A$471)))</f>
        <v/>
      </c>
      <c r="AG495" s="229" t="str">
        <f>IF(AG$3="","",IF(COUNTIFS(BD!$A$3:$A$5001,AG$3,BD!$B$3:$B$5001,$A$471,BD!$Z$3:$Z$5001,"&lt;&gt;")=0,"",SUMIFS(BD!$Z$3:$Z$5001,BD!$A$3:$A$5001,AG$3,BD!$B$3:$B$5001,$A$471)))</f>
        <v/>
      </c>
      <c r="AH495" s="229" t="str">
        <f>IF(AH$3="","",IF(COUNTIFS(BD!$A$3:$A$5001,AH$3,BD!$B$3:$B$5001,$A$471,BD!$Z$3:$Z$5001,"&lt;&gt;")=0,"",SUMIFS(BD!$Z$3:$Z$5001,BD!$A$3:$A$5001,AH$3,BD!$B$3:$B$5001,$A$471)))</f>
        <v/>
      </c>
      <c r="AI495" s="229" t="str">
        <f>IF(AI$3="","",IF(COUNTIFS(BD!$A$3:$A$5001,AI$3,BD!$B$3:$B$5001,$A$471,BD!$Z$3:$Z$5001,"&lt;&gt;")=0,"",SUMIFS(BD!$Z$3:$Z$5001,BD!$A$3:$A$5001,AI$3,BD!$B$3:$B$5001,$A$471)))</f>
        <v/>
      </c>
      <c r="AJ495" s="230" t="str">
        <f>IF(AJ$3="","",IF(COUNTIFS(BD!$A$3:$A$5001,AJ$3,BD!$B$3:$B$5001,$A$471,BD!$Z$3:$Z$5001,"&lt;&gt;")=0,"",SUMIFS(BD!$Z$3:$Z$5001,BD!$A$3:$A$5001,AJ$3,BD!$B$3:$B$5001,$A$471)))</f>
        <v/>
      </c>
      <c r="AK495" s="231" t="str">
        <f>IFERROR(LOOKUP(9.99E+307,F495:AJ495),"")</f>
        <v/>
      </c>
    </row>
    <row r="496" ht="15.75" customHeight="1" hidden="1">
      <c r="A496" s="261"/>
      <c r="B496" s="258"/>
      <c r="C496" s="232" t="inlineStr">
        <is>
          <t xml:space="preserve">Falta</t>
        </is>
      </c>
      <c r="D496" s="233" t="str">
        <f>IFERROR(1/(1/INDEX(BD!$AL$48:$BF$48,MATCH($A$471,BD!$AL$22:$BF$22,0))),"")</f>
        <v/>
      </c>
      <c r="E496" s="234"/>
      <c r="F496" s="235" t="str">
        <f>IF(F$3="","",IF(COUNTIFS(BD!$A$3:$A$5001,F$3,BD!$B$3:$B$5001,$A$471,BD!$AA$3:$AA$5001,"&lt;&gt;")=0,"",SUMIFS(BD!$AA$3:$AA$5001,BD!$A$3:$A$5001,F$3,BD!$B$3:$B$5001,$A$471)))</f>
        <v/>
      </c>
      <c r="G496" s="236" t="str">
        <f>IF(G$3="","",IF(COUNTIFS(BD!$A$3:$A$5001,G$3,BD!$B$3:$B$5001,$A$471,BD!$AA$3:$AA$5001,"&lt;&gt;")=0,"",SUMIFS(BD!$AA$3:$AA$5001,BD!$A$3:$A$5001,G$3,BD!$B$3:$B$5001,$A$471)))</f>
        <v/>
      </c>
      <c r="H496" s="236" t="str">
        <f>IF(H$3="","",IF(COUNTIFS(BD!$A$3:$A$5001,H$3,BD!$B$3:$B$5001,$A$471,BD!$AA$3:$AA$5001,"&lt;&gt;")=0,"",SUMIFS(BD!$AA$3:$AA$5001,BD!$A$3:$A$5001,H$3,BD!$B$3:$B$5001,$A$471)))</f>
        <v/>
      </c>
      <c r="I496" s="236" t="str">
        <f>IF(I$3="","",IF(COUNTIFS(BD!$A$3:$A$5001,I$3,BD!$B$3:$B$5001,$A$471,BD!$AA$3:$AA$5001,"&lt;&gt;")=0,"",SUMIFS(BD!$AA$3:$AA$5001,BD!$A$3:$A$5001,I$3,BD!$B$3:$B$5001,$A$471)))</f>
        <v/>
      </c>
      <c r="J496" s="236" t="str">
        <f>IF(J$3="","",IF(COUNTIFS(BD!$A$3:$A$5001,J$3,BD!$B$3:$B$5001,$A$471,BD!$AA$3:$AA$5001,"&lt;&gt;")=0,"",SUMIFS(BD!$AA$3:$AA$5001,BD!$A$3:$A$5001,J$3,BD!$B$3:$B$5001,$A$471)))</f>
        <v/>
      </c>
      <c r="K496" s="236" t="str">
        <f>IF(K$3="","",IF(COUNTIFS(BD!$A$3:$A$5001,K$3,BD!$B$3:$B$5001,$A$471,BD!$AA$3:$AA$5001,"&lt;&gt;")=0,"",SUMIFS(BD!$AA$3:$AA$5001,BD!$A$3:$A$5001,K$3,BD!$B$3:$B$5001,$A$471)))</f>
        <v/>
      </c>
      <c r="L496" s="236" t="str">
        <f>IF(L$3="","",IF(COUNTIFS(BD!$A$3:$A$5001,L$3,BD!$B$3:$B$5001,$A$471,BD!$AA$3:$AA$5001,"&lt;&gt;")=0,"",SUMIFS(BD!$AA$3:$AA$5001,BD!$A$3:$A$5001,L$3,BD!$B$3:$B$5001,$A$471)))</f>
        <v/>
      </c>
      <c r="M496" s="236" t="str">
        <f>IF(M$3="","",IF(COUNTIFS(BD!$A$3:$A$5001,M$3,BD!$B$3:$B$5001,$A$471,BD!$AA$3:$AA$5001,"&lt;&gt;")=0,"",SUMIFS(BD!$AA$3:$AA$5001,BD!$A$3:$A$5001,M$3,BD!$B$3:$B$5001,$A$471)))</f>
        <v/>
      </c>
      <c r="N496" s="236" t="str">
        <f>IF(N$3="","",IF(COUNTIFS(BD!$A$3:$A$5001,N$3,BD!$B$3:$B$5001,$A$471,BD!$AA$3:$AA$5001,"&lt;&gt;")=0,"",SUMIFS(BD!$AA$3:$AA$5001,BD!$A$3:$A$5001,N$3,BD!$B$3:$B$5001,$A$471)))</f>
        <v/>
      </c>
      <c r="O496" s="236" t="str">
        <f>IF(O$3="","",IF(COUNTIFS(BD!$A$3:$A$5001,O$3,BD!$B$3:$B$5001,$A$471,BD!$AA$3:$AA$5001,"&lt;&gt;")=0,"",SUMIFS(BD!$AA$3:$AA$5001,BD!$A$3:$A$5001,O$3,BD!$B$3:$B$5001,$A$471)))</f>
        <v/>
      </c>
      <c r="P496" s="236" t="str">
        <f>IF(P$3="","",IF(COUNTIFS(BD!$A$3:$A$5001,P$3,BD!$B$3:$B$5001,$A$471,BD!$AA$3:$AA$5001,"&lt;&gt;")=0,"",SUMIFS(BD!$AA$3:$AA$5001,BD!$A$3:$A$5001,P$3,BD!$B$3:$B$5001,$A$471)))</f>
        <v/>
      </c>
      <c r="Q496" s="236" t="str">
        <f>IF(Q$3="","",IF(COUNTIFS(BD!$A$3:$A$5001,Q$3,BD!$B$3:$B$5001,$A$471,BD!$AA$3:$AA$5001,"&lt;&gt;")=0,"",SUMIFS(BD!$AA$3:$AA$5001,BD!$A$3:$A$5001,Q$3,BD!$B$3:$B$5001,$A$471)))</f>
        <v/>
      </c>
      <c r="R496" s="236" t="str">
        <f>IF(R$3="","",IF(COUNTIFS(BD!$A$3:$A$5001,R$3,BD!$B$3:$B$5001,$A$471,BD!$AA$3:$AA$5001,"&lt;&gt;")=0,"",SUMIFS(BD!$AA$3:$AA$5001,BD!$A$3:$A$5001,R$3,BD!$B$3:$B$5001,$A$471)))</f>
        <v/>
      </c>
      <c r="S496" s="236" t="str">
        <f>IF(S$3="","",IF(COUNTIFS(BD!$A$3:$A$5001,S$3,BD!$B$3:$B$5001,$A$471,BD!$AA$3:$AA$5001,"&lt;&gt;")=0,"",SUMIFS(BD!$AA$3:$AA$5001,BD!$A$3:$A$5001,S$3,BD!$B$3:$B$5001,$A$471)))</f>
        <v/>
      </c>
      <c r="T496" s="236" t="str">
        <f>IF(T$3="","",IF(COUNTIFS(BD!$A$3:$A$5001,T$3,BD!$B$3:$B$5001,$A$471,BD!$AA$3:$AA$5001,"&lt;&gt;")=0,"",SUMIFS(BD!$AA$3:$AA$5001,BD!$A$3:$A$5001,T$3,BD!$B$3:$B$5001,$A$471)))</f>
        <v/>
      </c>
      <c r="U496" s="236" t="str">
        <f>IF(U$3="","",IF(COUNTIFS(BD!$A$3:$A$5001,U$3,BD!$B$3:$B$5001,$A$471,BD!$AA$3:$AA$5001,"&lt;&gt;")=0,"",SUMIFS(BD!$AA$3:$AA$5001,BD!$A$3:$A$5001,U$3,BD!$B$3:$B$5001,$A$471)))</f>
        <v/>
      </c>
      <c r="V496" s="236" t="str">
        <f>IF(V$3="","",IF(COUNTIFS(BD!$A$3:$A$5001,V$3,BD!$B$3:$B$5001,$A$471,BD!$AA$3:$AA$5001,"&lt;&gt;")=0,"",SUMIFS(BD!$AA$3:$AA$5001,BD!$A$3:$A$5001,V$3,BD!$B$3:$B$5001,$A$471)))</f>
        <v/>
      </c>
      <c r="W496" s="236" t="str">
        <f>IF(W$3="","",IF(COUNTIFS(BD!$A$3:$A$5001,W$3,BD!$B$3:$B$5001,$A$471,BD!$AA$3:$AA$5001,"&lt;&gt;")=0,"",SUMIFS(BD!$AA$3:$AA$5001,BD!$A$3:$A$5001,W$3,BD!$B$3:$B$5001,$A$471)))</f>
        <v/>
      </c>
      <c r="X496" s="236" t="str">
        <f>IF(X$3="","",IF(COUNTIFS(BD!$A$3:$A$5001,X$3,BD!$B$3:$B$5001,$A$471,BD!$AA$3:$AA$5001,"&lt;&gt;")=0,"",SUMIFS(BD!$AA$3:$AA$5001,BD!$A$3:$A$5001,X$3,BD!$B$3:$B$5001,$A$471)))</f>
        <v/>
      </c>
      <c r="Y496" s="236" t="str">
        <f>IF(Y$3="","",IF(COUNTIFS(BD!$A$3:$A$5001,Y$3,BD!$B$3:$B$5001,$A$471,BD!$AA$3:$AA$5001,"&lt;&gt;")=0,"",SUMIFS(BD!$AA$3:$AA$5001,BD!$A$3:$A$5001,Y$3,BD!$B$3:$B$5001,$A$471)))</f>
        <v/>
      </c>
      <c r="Z496" s="236" t="str">
        <f>IF(Z$3="","",IF(COUNTIFS(BD!$A$3:$A$5001,Z$3,BD!$B$3:$B$5001,$A$471,BD!$AA$3:$AA$5001,"&lt;&gt;")=0,"",SUMIFS(BD!$AA$3:$AA$5001,BD!$A$3:$A$5001,Z$3,BD!$B$3:$B$5001,$A$471)))</f>
        <v/>
      </c>
      <c r="AA496" s="236" t="str">
        <f>IF(AA$3="","",IF(COUNTIFS(BD!$A$3:$A$5001,AA$3,BD!$B$3:$B$5001,$A$471,BD!$AA$3:$AA$5001,"&lt;&gt;")=0,"",SUMIFS(BD!$AA$3:$AA$5001,BD!$A$3:$A$5001,AA$3,BD!$B$3:$B$5001,$A$471)))</f>
        <v/>
      </c>
      <c r="AB496" s="236" t="str">
        <f>IF(AB$3="","",IF(COUNTIFS(BD!$A$3:$A$5001,AB$3,BD!$B$3:$B$5001,$A$471,BD!$AA$3:$AA$5001,"&lt;&gt;")=0,"",SUMIFS(BD!$AA$3:$AA$5001,BD!$A$3:$A$5001,AB$3,BD!$B$3:$B$5001,$A$471)))</f>
        <v/>
      </c>
      <c r="AC496" s="236" t="str">
        <f>IF(AC$3="","",IF(COUNTIFS(BD!$A$3:$A$5001,AC$3,BD!$B$3:$B$5001,$A$471,BD!$AA$3:$AA$5001,"&lt;&gt;")=0,"",SUMIFS(BD!$AA$3:$AA$5001,BD!$A$3:$A$5001,AC$3,BD!$B$3:$B$5001,$A$471)))</f>
        <v/>
      </c>
      <c r="AD496" s="236" t="str">
        <f>IF(AD$3="","",IF(COUNTIFS(BD!$A$3:$A$5001,AD$3,BD!$B$3:$B$5001,$A$471,BD!$AA$3:$AA$5001,"&lt;&gt;")=0,"",SUMIFS(BD!$AA$3:$AA$5001,BD!$A$3:$A$5001,AD$3,BD!$B$3:$B$5001,$A$471)))</f>
        <v/>
      </c>
      <c r="AE496" s="236" t="str">
        <f>IF(AE$3="","",IF(COUNTIFS(BD!$A$3:$A$5001,AE$3,BD!$B$3:$B$5001,$A$471,BD!$AA$3:$AA$5001,"&lt;&gt;")=0,"",SUMIFS(BD!$AA$3:$AA$5001,BD!$A$3:$A$5001,AE$3,BD!$B$3:$B$5001,$A$471)))</f>
        <v/>
      </c>
      <c r="AF496" s="236" t="str">
        <f>IF(AF$3="","",IF(COUNTIFS(BD!$A$3:$A$5001,AF$3,BD!$B$3:$B$5001,$A$471,BD!$AA$3:$AA$5001,"&lt;&gt;")=0,"",SUMIFS(BD!$AA$3:$AA$5001,BD!$A$3:$A$5001,AF$3,BD!$B$3:$B$5001,$A$471)))</f>
        <v/>
      </c>
      <c r="AG496" s="236" t="str">
        <f>IF(AG$3="","",IF(COUNTIFS(BD!$A$3:$A$5001,AG$3,BD!$B$3:$B$5001,$A$471,BD!$AA$3:$AA$5001,"&lt;&gt;")=0,"",SUMIFS(BD!$AA$3:$AA$5001,BD!$A$3:$A$5001,AG$3,BD!$B$3:$B$5001,$A$471)))</f>
        <v/>
      </c>
      <c r="AH496" s="236" t="str">
        <f>IF(AH$3="","",IF(COUNTIFS(BD!$A$3:$A$5001,AH$3,BD!$B$3:$B$5001,$A$471,BD!$AA$3:$AA$5001,"&lt;&gt;")=0,"",SUMIFS(BD!$AA$3:$AA$5001,BD!$A$3:$A$5001,AH$3,BD!$B$3:$B$5001,$A$471)))</f>
        <v/>
      </c>
      <c r="AI496" s="236" t="str">
        <f>IF(AI$3="","",IF(COUNTIFS(BD!$A$3:$A$5001,AI$3,BD!$B$3:$B$5001,$A$471,BD!$AA$3:$AA$5001,"&lt;&gt;")=0,"",SUMIFS(BD!$AA$3:$AA$5001,BD!$A$3:$A$5001,AI$3,BD!$B$3:$B$5001,$A$471)))</f>
        <v/>
      </c>
      <c r="AJ496" s="237" t="str">
        <f>IF(AJ$3="","",IF(COUNTIFS(BD!$A$3:$A$5001,AJ$3,BD!$B$3:$B$5001,$A$471,BD!$AA$3:$AA$5001,"&lt;&gt;")=0,"",SUMIFS(BD!$AA$3:$AA$5001,BD!$A$3:$A$5001,AJ$3,BD!$B$3:$B$5001,$A$471)))</f>
        <v/>
      </c>
      <c r="AK496" s="238" t="str">
        <f>IF(COUNT(F496:AJ496)=0,"",SUM(F496:AJ496))</f>
        <v/>
      </c>
    </row>
    <row r="497" ht="15.75" customHeight="1" hidden="1">
      <c r="A497" s="261"/>
      <c r="B497" s="258"/>
      <c r="C497" s="232" t="inlineStr">
        <is>
          <t xml:space="preserve">Absenteísmo (H/H)</t>
        </is>
      </c>
      <c r="D497" s="233" t="str">
        <f>IFERROR(1/(1/INDEX(BD!$AL$49:$BF$49,MATCH($A$471,BD!$AL$22:$BF$22,0))),"")</f>
        <v/>
      </c>
      <c r="E497" s="234"/>
      <c r="F497" s="239" t="str">
        <f>IF(F$3="","",IF(COUNTIFS(BD!$A$3:$A$5001,F$3,BD!$B$3:$B$5001,$A$471,BD!$AB$3:$AB$5001,"&lt;&gt;")=0,"",SUMIFS(BD!$AB$3:$AB$5001,BD!$A$3:$A$5001,F$3,BD!$B$3:$B$5001,$A$471)))</f>
        <v/>
      </c>
      <c r="G497" s="240" t="str">
        <f>IF(G$3="","",IF(COUNTIFS(BD!$A$3:$A$5001,G$3,BD!$B$3:$B$5001,$A$471,BD!$AB$3:$AB$5001,"&lt;&gt;")=0,"",SUMIFS(BD!$AB$3:$AB$5001,BD!$A$3:$A$5001,G$3,BD!$B$3:$B$5001,$A$471)))</f>
        <v/>
      </c>
      <c r="H497" s="240" t="str">
        <f>IF(H$3="","",IF(COUNTIFS(BD!$A$3:$A$5001,H$3,BD!$B$3:$B$5001,$A$471,BD!$AB$3:$AB$5001,"&lt;&gt;")=0,"",SUMIFS(BD!$AB$3:$AB$5001,BD!$A$3:$A$5001,H$3,BD!$B$3:$B$5001,$A$471)))</f>
        <v/>
      </c>
      <c r="I497" s="240" t="str">
        <f>IF(I$3="","",IF(COUNTIFS(BD!$A$3:$A$5001,I$3,BD!$B$3:$B$5001,$A$471,BD!$AB$3:$AB$5001,"&lt;&gt;")=0,"",SUMIFS(BD!$AB$3:$AB$5001,BD!$A$3:$A$5001,I$3,BD!$B$3:$B$5001,$A$471)))</f>
        <v/>
      </c>
      <c r="J497" s="240" t="str">
        <f>IF(J$3="","",IF(COUNTIFS(BD!$A$3:$A$5001,J$3,BD!$B$3:$B$5001,$A$471,BD!$AB$3:$AB$5001,"&lt;&gt;")=0,"",SUMIFS(BD!$AB$3:$AB$5001,BD!$A$3:$A$5001,J$3,BD!$B$3:$B$5001,$A$471)))</f>
        <v/>
      </c>
      <c r="K497" s="240" t="str">
        <f>IF(K$3="","",IF(COUNTIFS(BD!$A$3:$A$5001,K$3,BD!$B$3:$B$5001,$A$471,BD!$AB$3:$AB$5001,"&lt;&gt;")=0,"",SUMIFS(BD!$AB$3:$AB$5001,BD!$A$3:$A$5001,K$3,BD!$B$3:$B$5001,$A$471)))</f>
        <v/>
      </c>
      <c r="L497" s="240" t="str">
        <f>IF(L$3="","",IF(COUNTIFS(BD!$A$3:$A$5001,L$3,BD!$B$3:$B$5001,$A$471,BD!$AB$3:$AB$5001,"&lt;&gt;")=0,"",SUMIFS(BD!$AB$3:$AB$5001,BD!$A$3:$A$5001,L$3,BD!$B$3:$B$5001,$A$471)))</f>
        <v/>
      </c>
      <c r="M497" s="240" t="str">
        <f>IF(M$3="","",IF(COUNTIFS(BD!$A$3:$A$5001,M$3,BD!$B$3:$B$5001,$A$471,BD!$AB$3:$AB$5001,"&lt;&gt;")=0,"",SUMIFS(BD!$AB$3:$AB$5001,BD!$A$3:$A$5001,M$3,BD!$B$3:$B$5001,$A$471)))</f>
        <v/>
      </c>
      <c r="N497" s="240" t="str">
        <f>IF(N$3="","",IF(COUNTIFS(BD!$A$3:$A$5001,N$3,BD!$B$3:$B$5001,$A$471,BD!$AB$3:$AB$5001,"&lt;&gt;")=0,"",SUMIFS(BD!$AB$3:$AB$5001,BD!$A$3:$A$5001,N$3,BD!$B$3:$B$5001,$A$471)))</f>
        <v/>
      </c>
      <c r="O497" s="240" t="str">
        <f>IF(O$3="","",IF(COUNTIFS(BD!$A$3:$A$5001,O$3,BD!$B$3:$B$5001,$A$471,BD!$AB$3:$AB$5001,"&lt;&gt;")=0,"",SUMIFS(BD!$AB$3:$AB$5001,BD!$A$3:$A$5001,O$3,BD!$B$3:$B$5001,$A$471)))</f>
        <v/>
      </c>
      <c r="P497" s="240" t="str">
        <f>IF(P$3="","",IF(COUNTIFS(BD!$A$3:$A$5001,P$3,BD!$B$3:$B$5001,$A$471,BD!$AB$3:$AB$5001,"&lt;&gt;")=0,"",SUMIFS(BD!$AB$3:$AB$5001,BD!$A$3:$A$5001,P$3,BD!$B$3:$B$5001,$A$471)))</f>
        <v/>
      </c>
      <c r="Q497" s="240" t="str">
        <f>IF(Q$3="","",IF(COUNTIFS(BD!$A$3:$A$5001,Q$3,BD!$B$3:$B$5001,$A$471,BD!$AB$3:$AB$5001,"&lt;&gt;")=0,"",SUMIFS(BD!$AB$3:$AB$5001,BD!$A$3:$A$5001,Q$3,BD!$B$3:$B$5001,$A$471)))</f>
        <v/>
      </c>
      <c r="R497" s="240" t="str">
        <f>IF(R$3="","",IF(COUNTIFS(BD!$A$3:$A$5001,R$3,BD!$B$3:$B$5001,$A$471,BD!$AB$3:$AB$5001,"&lt;&gt;")=0,"",SUMIFS(BD!$AB$3:$AB$5001,BD!$A$3:$A$5001,R$3,BD!$B$3:$B$5001,$A$471)))</f>
        <v/>
      </c>
      <c r="S497" s="240" t="str">
        <f>IF(S$3="","",IF(COUNTIFS(BD!$A$3:$A$5001,S$3,BD!$B$3:$B$5001,$A$471,BD!$AB$3:$AB$5001,"&lt;&gt;")=0,"",SUMIFS(BD!$AB$3:$AB$5001,BD!$A$3:$A$5001,S$3,BD!$B$3:$B$5001,$A$471)))</f>
        <v/>
      </c>
      <c r="T497" s="240" t="str">
        <f>IF(T$3="","",IF(COUNTIFS(BD!$A$3:$A$5001,T$3,BD!$B$3:$B$5001,$A$471,BD!$AB$3:$AB$5001,"&lt;&gt;")=0,"",SUMIFS(BD!$AB$3:$AB$5001,BD!$A$3:$A$5001,T$3,BD!$B$3:$B$5001,$A$471)))</f>
        <v/>
      </c>
      <c r="U497" s="240" t="str">
        <f>IF(U$3="","",IF(COUNTIFS(BD!$A$3:$A$5001,U$3,BD!$B$3:$B$5001,$A$471,BD!$AB$3:$AB$5001,"&lt;&gt;")=0,"",SUMIFS(BD!$AB$3:$AB$5001,BD!$A$3:$A$5001,U$3,BD!$B$3:$B$5001,$A$471)))</f>
        <v/>
      </c>
      <c r="V497" s="240" t="str">
        <f>IF(V$3="","",IF(COUNTIFS(BD!$A$3:$A$5001,V$3,BD!$B$3:$B$5001,$A$471,BD!$AB$3:$AB$5001,"&lt;&gt;")=0,"",SUMIFS(BD!$AB$3:$AB$5001,BD!$A$3:$A$5001,V$3,BD!$B$3:$B$5001,$A$471)))</f>
        <v/>
      </c>
      <c r="W497" s="240" t="str">
        <f>IF(W$3="","",IF(COUNTIFS(BD!$A$3:$A$5001,W$3,BD!$B$3:$B$5001,$A$471,BD!$AB$3:$AB$5001,"&lt;&gt;")=0,"",SUMIFS(BD!$AB$3:$AB$5001,BD!$A$3:$A$5001,W$3,BD!$B$3:$B$5001,$A$471)))</f>
        <v/>
      </c>
      <c r="X497" s="240" t="str">
        <f>IF(X$3="","",IF(COUNTIFS(BD!$A$3:$A$5001,X$3,BD!$B$3:$B$5001,$A$471,BD!$AB$3:$AB$5001,"&lt;&gt;")=0,"",SUMIFS(BD!$AB$3:$AB$5001,BD!$A$3:$A$5001,X$3,BD!$B$3:$B$5001,$A$471)))</f>
        <v/>
      </c>
      <c r="Y497" s="240" t="str">
        <f>IF(Y$3="","",IF(COUNTIFS(BD!$A$3:$A$5001,Y$3,BD!$B$3:$B$5001,$A$471,BD!$AB$3:$AB$5001,"&lt;&gt;")=0,"",SUMIFS(BD!$AB$3:$AB$5001,BD!$A$3:$A$5001,Y$3,BD!$B$3:$B$5001,$A$471)))</f>
        <v/>
      </c>
      <c r="Z497" s="240" t="str">
        <f>IF(Z$3="","",IF(COUNTIFS(BD!$A$3:$A$5001,Z$3,BD!$B$3:$B$5001,$A$471,BD!$AB$3:$AB$5001,"&lt;&gt;")=0,"",SUMIFS(BD!$AB$3:$AB$5001,BD!$A$3:$A$5001,Z$3,BD!$B$3:$B$5001,$A$471)))</f>
        <v/>
      </c>
      <c r="AA497" s="240" t="str">
        <f>IF(AA$3="","",IF(COUNTIFS(BD!$A$3:$A$5001,AA$3,BD!$B$3:$B$5001,$A$471,BD!$AB$3:$AB$5001,"&lt;&gt;")=0,"",SUMIFS(BD!$AB$3:$AB$5001,BD!$A$3:$A$5001,AA$3,BD!$B$3:$B$5001,$A$471)))</f>
        <v/>
      </c>
      <c r="AB497" s="240" t="str">
        <f>IF(AB$3="","",IF(COUNTIFS(BD!$A$3:$A$5001,AB$3,BD!$B$3:$B$5001,$A$471,BD!$AB$3:$AB$5001,"&lt;&gt;")=0,"",SUMIFS(BD!$AB$3:$AB$5001,BD!$A$3:$A$5001,AB$3,BD!$B$3:$B$5001,$A$471)))</f>
        <v/>
      </c>
      <c r="AC497" s="240" t="str">
        <f>IF(AC$3="","",IF(COUNTIFS(BD!$A$3:$A$5001,AC$3,BD!$B$3:$B$5001,$A$471,BD!$AB$3:$AB$5001,"&lt;&gt;")=0,"",SUMIFS(BD!$AB$3:$AB$5001,BD!$A$3:$A$5001,AC$3,BD!$B$3:$B$5001,$A$471)))</f>
        <v/>
      </c>
      <c r="AD497" s="240" t="str">
        <f>IF(AD$3="","",IF(COUNTIFS(BD!$A$3:$A$5001,AD$3,BD!$B$3:$B$5001,$A$471,BD!$AB$3:$AB$5001,"&lt;&gt;")=0,"",SUMIFS(BD!$AB$3:$AB$5001,BD!$A$3:$A$5001,AD$3,BD!$B$3:$B$5001,$A$471)))</f>
        <v/>
      </c>
      <c r="AE497" s="240" t="str">
        <f>IF(AE$3="","",IF(COUNTIFS(BD!$A$3:$A$5001,AE$3,BD!$B$3:$B$5001,$A$471,BD!$AB$3:$AB$5001,"&lt;&gt;")=0,"",SUMIFS(BD!$AB$3:$AB$5001,BD!$A$3:$A$5001,AE$3,BD!$B$3:$B$5001,$A$471)))</f>
        <v/>
      </c>
      <c r="AF497" s="240" t="str">
        <f>IF(AF$3="","",IF(COUNTIFS(BD!$A$3:$A$5001,AF$3,BD!$B$3:$B$5001,$A$471,BD!$AB$3:$AB$5001,"&lt;&gt;")=0,"",SUMIFS(BD!$AB$3:$AB$5001,BD!$A$3:$A$5001,AF$3,BD!$B$3:$B$5001,$A$471)))</f>
        <v/>
      </c>
      <c r="AG497" s="240" t="str">
        <f>IF(AG$3="","",IF(COUNTIFS(BD!$A$3:$A$5001,AG$3,BD!$B$3:$B$5001,$A$471,BD!$AB$3:$AB$5001,"&lt;&gt;")=0,"",SUMIFS(BD!$AB$3:$AB$5001,BD!$A$3:$A$5001,AG$3,BD!$B$3:$B$5001,$A$471)))</f>
        <v/>
      </c>
      <c r="AH497" s="240" t="str">
        <f>IF(AH$3="","",IF(COUNTIFS(BD!$A$3:$A$5001,AH$3,BD!$B$3:$B$5001,$A$471,BD!$AB$3:$AB$5001,"&lt;&gt;")=0,"",SUMIFS(BD!$AB$3:$AB$5001,BD!$A$3:$A$5001,AH$3,BD!$B$3:$B$5001,$A$471)))</f>
        <v/>
      </c>
      <c r="AI497" s="240" t="str">
        <f>IF(AI$3="","",IF(COUNTIFS(BD!$A$3:$A$5001,AI$3,BD!$B$3:$B$5001,$A$471,BD!$AB$3:$AB$5001,"&lt;&gt;")=0,"",SUMIFS(BD!$AB$3:$AB$5001,BD!$A$3:$A$5001,AI$3,BD!$B$3:$B$5001,$A$471)))</f>
        <v/>
      </c>
      <c r="AJ497" s="241" t="str">
        <f>IF(AJ$3="","",IF(COUNTIFS(BD!$A$3:$A$5001,AJ$3,BD!$B$3:$B$5001,$A$471,BD!$AB$3:$AB$5001,"&lt;&gt;")=0,"",SUMIFS(BD!$AB$3:$AB$5001,BD!$A$3:$A$5001,AJ$3,BD!$B$3:$B$5001,$A$471)))</f>
        <v/>
      </c>
      <c r="AK497" s="242" t="str">
        <f>IF(COUNT(F497:AJ497)=0,"",SUM(F497:AJ497))</f>
        <v/>
      </c>
    </row>
    <row r="498" ht="15.75" customHeight="1" hidden="1">
      <c r="A498" s="261"/>
      <c r="B498" s="258"/>
      <c r="C498" s="232" t="inlineStr">
        <is>
          <t xml:space="preserve">Folga</t>
        </is>
      </c>
      <c r="D498" s="233" t="str">
        <f>IFERROR(1/(1/INDEX(BD!$AL$50:$BF$50,MATCH($A$471,BD!$AL$22:$BF$22,0))),"")</f>
        <v/>
      </c>
      <c r="E498" s="234"/>
      <c r="F498" s="235" t="str">
        <f>IF(F$3="","",IF(COUNTIFS(BD!$A$3:$A$5001,F$3,BD!$B$3:$B$5001,$A$471,BD!$AC$3:$AC$5001,"&lt;&gt;")=0,"",SUMIFS(BD!$AC$3:$AC$5001,BD!$A$3:$A$5001,F$3,BD!$B$3:$B$5001,$A$471)))</f>
        <v/>
      </c>
      <c r="G498" s="236" t="str">
        <f>IF(G$3="","",IF(COUNTIFS(BD!$A$3:$A$5001,G$3,BD!$B$3:$B$5001,$A$471,BD!$AC$3:$AC$5001,"&lt;&gt;")=0,"",SUMIFS(BD!$AC$3:$AC$5001,BD!$A$3:$A$5001,G$3,BD!$B$3:$B$5001,$A$471)))</f>
        <v/>
      </c>
      <c r="H498" s="236" t="str">
        <f>IF(H$3="","",IF(COUNTIFS(BD!$A$3:$A$5001,H$3,BD!$B$3:$B$5001,$A$471,BD!$AC$3:$AC$5001,"&lt;&gt;")=0,"",SUMIFS(BD!$AC$3:$AC$5001,BD!$A$3:$A$5001,H$3,BD!$B$3:$B$5001,$A$471)))</f>
        <v/>
      </c>
      <c r="I498" s="236" t="str">
        <f>IF(I$3="","",IF(COUNTIFS(BD!$A$3:$A$5001,I$3,BD!$B$3:$B$5001,$A$471,BD!$AC$3:$AC$5001,"&lt;&gt;")=0,"",SUMIFS(BD!$AC$3:$AC$5001,BD!$A$3:$A$5001,I$3,BD!$B$3:$B$5001,$A$471)))</f>
        <v/>
      </c>
      <c r="J498" s="236" t="str">
        <f>IF(J$3="","",IF(COUNTIFS(BD!$A$3:$A$5001,J$3,BD!$B$3:$B$5001,$A$471,BD!$AC$3:$AC$5001,"&lt;&gt;")=0,"",SUMIFS(BD!$AC$3:$AC$5001,BD!$A$3:$A$5001,J$3,BD!$B$3:$B$5001,$A$471)))</f>
        <v/>
      </c>
      <c r="K498" s="236" t="str">
        <f>IF(K$3="","",IF(COUNTIFS(BD!$A$3:$A$5001,K$3,BD!$B$3:$B$5001,$A$471,BD!$AC$3:$AC$5001,"&lt;&gt;")=0,"",SUMIFS(BD!$AC$3:$AC$5001,BD!$A$3:$A$5001,K$3,BD!$B$3:$B$5001,$A$471)))</f>
        <v/>
      </c>
      <c r="L498" s="236" t="str">
        <f>IF(L$3="","",IF(COUNTIFS(BD!$A$3:$A$5001,L$3,BD!$B$3:$B$5001,$A$471,BD!$AC$3:$AC$5001,"&lt;&gt;")=0,"",SUMIFS(BD!$AC$3:$AC$5001,BD!$A$3:$A$5001,L$3,BD!$B$3:$B$5001,$A$471)))</f>
        <v/>
      </c>
      <c r="M498" s="236" t="str">
        <f>IF(M$3="","",IF(COUNTIFS(BD!$A$3:$A$5001,M$3,BD!$B$3:$B$5001,$A$471,BD!$AC$3:$AC$5001,"&lt;&gt;")=0,"",SUMIFS(BD!$AC$3:$AC$5001,BD!$A$3:$A$5001,M$3,BD!$B$3:$B$5001,$A$471)))</f>
        <v/>
      </c>
      <c r="N498" s="236" t="str">
        <f>IF(N$3="","",IF(COUNTIFS(BD!$A$3:$A$5001,N$3,BD!$B$3:$B$5001,$A$471,BD!$AC$3:$AC$5001,"&lt;&gt;")=0,"",SUMIFS(BD!$AC$3:$AC$5001,BD!$A$3:$A$5001,N$3,BD!$B$3:$B$5001,$A$471)))</f>
        <v/>
      </c>
      <c r="O498" s="236" t="str">
        <f>IF(O$3="","",IF(COUNTIFS(BD!$A$3:$A$5001,O$3,BD!$B$3:$B$5001,$A$471,BD!$AC$3:$AC$5001,"&lt;&gt;")=0,"",SUMIFS(BD!$AC$3:$AC$5001,BD!$A$3:$A$5001,O$3,BD!$B$3:$B$5001,$A$471)))</f>
        <v/>
      </c>
      <c r="P498" s="236" t="str">
        <f>IF(P$3="","",IF(COUNTIFS(BD!$A$3:$A$5001,P$3,BD!$B$3:$B$5001,$A$471,BD!$AC$3:$AC$5001,"&lt;&gt;")=0,"",SUMIFS(BD!$AC$3:$AC$5001,BD!$A$3:$A$5001,P$3,BD!$B$3:$B$5001,$A$471)))</f>
        <v/>
      </c>
      <c r="Q498" s="236" t="str">
        <f>IF(Q$3="","",IF(COUNTIFS(BD!$A$3:$A$5001,Q$3,BD!$B$3:$B$5001,$A$471,BD!$AC$3:$AC$5001,"&lt;&gt;")=0,"",SUMIFS(BD!$AC$3:$AC$5001,BD!$A$3:$A$5001,Q$3,BD!$B$3:$B$5001,$A$471)))</f>
        <v/>
      </c>
      <c r="R498" s="236" t="str">
        <f>IF(R$3="","",IF(COUNTIFS(BD!$A$3:$A$5001,R$3,BD!$B$3:$B$5001,$A$471,BD!$AC$3:$AC$5001,"&lt;&gt;")=0,"",SUMIFS(BD!$AC$3:$AC$5001,BD!$A$3:$A$5001,R$3,BD!$B$3:$B$5001,$A$471)))</f>
        <v/>
      </c>
      <c r="S498" s="236" t="str">
        <f>IF(S$3="","",IF(COUNTIFS(BD!$A$3:$A$5001,S$3,BD!$B$3:$B$5001,$A$471,BD!$AC$3:$AC$5001,"&lt;&gt;")=0,"",SUMIFS(BD!$AC$3:$AC$5001,BD!$A$3:$A$5001,S$3,BD!$B$3:$B$5001,$A$471)))</f>
        <v/>
      </c>
      <c r="T498" s="236" t="str">
        <f>IF(T$3="","",IF(COUNTIFS(BD!$A$3:$A$5001,T$3,BD!$B$3:$B$5001,$A$471,BD!$AC$3:$AC$5001,"&lt;&gt;")=0,"",SUMIFS(BD!$AC$3:$AC$5001,BD!$A$3:$A$5001,T$3,BD!$B$3:$B$5001,$A$471)))</f>
        <v/>
      </c>
      <c r="U498" s="236" t="str">
        <f>IF(U$3="","",IF(COUNTIFS(BD!$A$3:$A$5001,U$3,BD!$B$3:$B$5001,$A$471,BD!$AC$3:$AC$5001,"&lt;&gt;")=0,"",SUMIFS(BD!$AC$3:$AC$5001,BD!$A$3:$A$5001,U$3,BD!$B$3:$B$5001,$A$471)))</f>
        <v/>
      </c>
      <c r="V498" s="236" t="str">
        <f>IF(V$3="","",IF(COUNTIFS(BD!$A$3:$A$5001,V$3,BD!$B$3:$B$5001,$A$471,BD!$AC$3:$AC$5001,"&lt;&gt;")=0,"",SUMIFS(BD!$AC$3:$AC$5001,BD!$A$3:$A$5001,V$3,BD!$B$3:$B$5001,$A$471)))</f>
        <v/>
      </c>
      <c r="W498" s="236" t="str">
        <f>IF(W$3="","",IF(COUNTIFS(BD!$A$3:$A$5001,W$3,BD!$B$3:$B$5001,$A$471,BD!$AC$3:$AC$5001,"&lt;&gt;")=0,"",SUMIFS(BD!$AC$3:$AC$5001,BD!$A$3:$A$5001,W$3,BD!$B$3:$B$5001,$A$471)))</f>
        <v/>
      </c>
      <c r="X498" s="236" t="str">
        <f>IF(X$3="","",IF(COUNTIFS(BD!$A$3:$A$5001,X$3,BD!$B$3:$B$5001,$A$471,BD!$AC$3:$AC$5001,"&lt;&gt;")=0,"",SUMIFS(BD!$AC$3:$AC$5001,BD!$A$3:$A$5001,X$3,BD!$B$3:$B$5001,$A$471)))</f>
        <v/>
      </c>
      <c r="Y498" s="236" t="str">
        <f>IF(Y$3="","",IF(COUNTIFS(BD!$A$3:$A$5001,Y$3,BD!$B$3:$B$5001,$A$471,BD!$AC$3:$AC$5001,"&lt;&gt;")=0,"",SUMIFS(BD!$AC$3:$AC$5001,BD!$A$3:$A$5001,Y$3,BD!$B$3:$B$5001,$A$471)))</f>
        <v/>
      </c>
      <c r="Z498" s="236" t="str">
        <f>IF(Z$3="","",IF(COUNTIFS(BD!$A$3:$A$5001,Z$3,BD!$B$3:$B$5001,$A$471,BD!$AC$3:$AC$5001,"&lt;&gt;")=0,"",SUMIFS(BD!$AC$3:$AC$5001,BD!$A$3:$A$5001,Z$3,BD!$B$3:$B$5001,$A$471)))</f>
        <v/>
      </c>
      <c r="AA498" s="236" t="str">
        <f>IF(AA$3="","",IF(COUNTIFS(BD!$A$3:$A$5001,AA$3,BD!$B$3:$B$5001,$A$471,BD!$AC$3:$AC$5001,"&lt;&gt;")=0,"",SUMIFS(BD!$AC$3:$AC$5001,BD!$A$3:$A$5001,AA$3,BD!$B$3:$B$5001,$A$471)))</f>
        <v/>
      </c>
      <c r="AB498" s="236" t="str">
        <f>IF(AB$3="","",IF(COUNTIFS(BD!$A$3:$A$5001,AB$3,BD!$B$3:$B$5001,$A$471,BD!$AC$3:$AC$5001,"&lt;&gt;")=0,"",SUMIFS(BD!$AC$3:$AC$5001,BD!$A$3:$A$5001,AB$3,BD!$B$3:$B$5001,$A$471)))</f>
        <v/>
      </c>
      <c r="AC498" s="236" t="str">
        <f>IF(AC$3="","",IF(COUNTIFS(BD!$A$3:$A$5001,AC$3,BD!$B$3:$B$5001,$A$471,BD!$AC$3:$AC$5001,"&lt;&gt;")=0,"",SUMIFS(BD!$AC$3:$AC$5001,BD!$A$3:$A$5001,AC$3,BD!$B$3:$B$5001,$A$471)))</f>
        <v/>
      </c>
      <c r="AD498" s="236" t="str">
        <f>IF(AD$3="","",IF(COUNTIFS(BD!$A$3:$A$5001,AD$3,BD!$B$3:$B$5001,$A$471,BD!$AC$3:$AC$5001,"&lt;&gt;")=0,"",SUMIFS(BD!$AC$3:$AC$5001,BD!$A$3:$A$5001,AD$3,BD!$B$3:$B$5001,$A$471)))</f>
        <v/>
      </c>
      <c r="AE498" s="236" t="str">
        <f>IF(AE$3="","",IF(COUNTIFS(BD!$A$3:$A$5001,AE$3,BD!$B$3:$B$5001,$A$471,BD!$AC$3:$AC$5001,"&lt;&gt;")=0,"",SUMIFS(BD!$AC$3:$AC$5001,BD!$A$3:$A$5001,AE$3,BD!$B$3:$B$5001,$A$471)))</f>
        <v/>
      </c>
      <c r="AF498" s="236" t="str">
        <f>IF(AF$3="","",IF(COUNTIFS(BD!$A$3:$A$5001,AF$3,BD!$B$3:$B$5001,$A$471,BD!$AC$3:$AC$5001,"&lt;&gt;")=0,"",SUMIFS(BD!$AC$3:$AC$5001,BD!$A$3:$A$5001,AF$3,BD!$B$3:$B$5001,$A$471)))</f>
        <v/>
      </c>
      <c r="AG498" s="236" t="str">
        <f>IF(AG$3="","",IF(COUNTIFS(BD!$A$3:$A$5001,AG$3,BD!$B$3:$B$5001,$A$471,BD!$AC$3:$AC$5001,"&lt;&gt;")=0,"",SUMIFS(BD!$AC$3:$AC$5001,BD!$A$3:$A$5001,AG$3,BD!$B$3:$B$5001,$A$471)))</f>
        <v/>
      </c>
      <c r="AH498" s="236" t="str">
        <f>IF(AH$3="","",IF(COUNTIFS(BD!$A$3:$A$5001,AH$3,BD!$B$3:$B$5001,$A$471,BD!$AC$3:$AC$5001,"&lt;&gt;")=0,"",SUMIFS(BD!$AC$3:$AC$5001,BD!$A$3:$A$5001,AH$3,BD!$B$3:$B$5001,$A$471)))</f>
        <v/>
      </c>
      <c r="AI498" s="236" t="str">
        <f>IF(AI$3="","",IF(COUNTIFS(BD!$A$3:$A$5001,AI$3,BD!$B$3:$B$5001,$A$471,BD!$AC$3:$AC$5001,"&lt;&gt;")=0,"",SUMIFS(BD!$AC$3:$AC$5001,BD!$A$3:$A$5001,AI$3,BD!$B$3:$B$5001,$A$471)))</f>
        <v/>
      </c>
      <c r="AJ498" s="237" t="str">
        <f>IF(AJ$3="","",IF(COUNTIFS(BD!$A$3:$A$5001,AJ$3,BD!$B$3:$B$5001,$A$471,BD!$AC$3:$AC$5001,"&lt;&gt;")=0,"",SUMIFS(BD!$AC$3:$AC$5001,BD!$A$3:$A$5001,AJ$3,BD!$B$3:$B$5001,$A$471)))</f>
        <v/>
      </c>
      <c r="AK498" s="238" t="str">
        <f>IF(COUNT(F498:AJ498)=0,"",SUM(F498:AJ498))</f>
        <v/>
      </c>
    </row>
    <row r="499" ht="15.75" customHeight="1" hidden="1">
      <c r="A499" s="261"/>
      <c r="B499" s="258"/>
      <c r="C499" s="232" t="inlineStr">
        <is>
          <t xml:space="preserve">Férias</t>
        </is>
      </c>
      <c r="D499" s="233" t="str">
        <f>IFERROR(1/(1/INDEX(BD!$AL$51:$BF$51,MATCH($A$471,BD!$AL$22:$BF$22,0))),"")</f>
        <v/>
      </c>
      <c r="E499" s="234"/>
      <c r="F499" s="235" t="str">
        <f>IF(F$3="","",IF(COUNTIFS(BD!$A$3:$A$5001,F$3,BD!$B$3:$B$5001,$A$471,BD!$AD$3:$AD$5001,"&lt;&gt;")=0,"",SUMIFS(BD!$AD$3:$AD$5001,BD!$A$3:$A$5001,F$3,BD!$B$3:$B$5001,$A$471)))</f>
        <v/>
      </c>
      <c r="G499" s="236" t="str">
        <f>IF(G$3="","",IF(COUNTIFS(BD!$A$3:$A$5001,G$3,BD!$B$3:$B$5001,$A$471,BD!$AD$3:$AD$5001,"&lt;&gt;")=0,"",SUMIFS(BD!$AD$3:$AD$5001,BD!$A$3:$A$5001,G$3,BD!$B$3:$B$5001,$A$471)))</f>
        <v/>
      </c>
      <c r="H499" s="236" t="str">
        <f>IF(H$3="","",IF(COUNTIFS(BD!$A$3:$A$5001,H$3,BD!$B$3:$B$5001,$A$471,BD!$AD$3:$AD$5001,"&lt;&gt;")=0,"",SUMIFS(BD!$AD$3:$AD$5001,BD!$A$3:$A$5001,H$3,BD!$B$3:$B$5001,$A$471)))</f>
        <v/>
      </c>
      <c r="I499" s="236" t="str">
        <f>IF(I$3="","",IF(COUNTIFS(BD!$A$3:$A$5001,I$3,BD!$B$3:$B$5001,$A$471,BD!$AD$3:$AD$5001,"&lt;&gt;")=0,"",SUMIFS(BD!$AD$3:$AD$5001,BD!$A$3:$A$5001,I$3,BD!$B$3:$B$5001,$A$471)))</f>
        <v/>
      </c>
      <c r="J499" s="236" t="str">
        <f>IF(J$3="","",IF(COUNTIFS(BD!$A$3:$A$5001,J$3,BD!$B$3:$B$5001,$A$471,BD!$AD$3:$AD$5001,"&lt;&gt;")=0,"",SUMIFS(BD!$AD$3:$AD$5001,BD!$A$3:$A$5001,J$3,BD!$B$3:$B$5001,$A$471)))</f>
        <v/>
      </c>
      <c r="K499" s="236" t="str">
        <f>IF(K$3="","",IF(COUNTIFS(BD!$A$3:$A$5001,K$3,BD!$B$3:$B$5001,$A$471,BD!$AD$3:$AD$5001,"&lt;&gt;")=0,"",SUMIFS(BD!$AD$3:$AD$5001,BD!$A$3:$A$5001,K$3,BD!$B$3:$B$5001,$A$471)))</f>
        <v/>
      </c>
      <c r="L499" s="236" t="str">
        <f>IF(L$3="","",IF(COUNTIFS(BD!$A$3:$A$5001,L$3,BD!$B$3:$B$5001,$A$471,BD!$AD$3:$AD$5001,"&lt;&gt;")=0,"",SUMIFS(BD!$AD$3:$AD$5001,BD!$A$3:$A$5001,L$3,BD!$B$3:$B$5001,$A$471)))</f>
        <v/>
      </c>
      <c r="M499" s="236" t="str">
        <f>IF(M$3="","",IF(COUNTIFS(BD!$A$3:$A$5001,M$3,BD!$B$3:$B$5001,$A$471,BD!$AD$3:$AD$5001,"&lt;&gt;")=0,"",SUMIFS(BD!$AD$3:$AD$5001,BD!$A$3:$A$5001,M$3,BD!$B$3:$B$5001,$A$471)))</f>
        <v/>
      </c>
      <c r="N499" s="236" t="str">
        <f>IF(N$3="","",IF(COUNTIFS(BD!$A$3:$A$5001,N$3,BD!$B$3:$B$5001,$A$471,BD!$AD$3:$AD$5001,"&lt;&gt;")=0,"",SUMIFS(BD!$AD$3:$AD$5001,BD!$A$3:$A$5001,N$3,BD!$B$3:$B$5001,$A$471)))</f>
        <v/>
      </c>
      <c r="O499" s="236" t="str">
        <f>IF(O$3="","",IF(COUNTIFS(BD!$A$3:$A$5001,O$3,BD!$B$3:$B$5001,$A$471,BD!$AD$3:$AD$5001,"&lt;&gt;")=0,"",SUMIFS(BD!$AD$3:$AD$5001,BD!$A$3:$A$5001,O$3,BD!$B$3:$B$5001,$A$471)))</f>
        <v/>
      </c>
      <c r="P499" s="236" t="str">
        <f>IF(P$3="","",IF(COUNTIFS(BD!$A$3:$A$5001,P$3,BD!$B$3:$B$5001,$A$471,BD!$AD$3:$AD$5001,"&lt;&gt;")=0,"",SUMIFS(BD!$AD$3:$AD$5001,BD!$A$3:$A$5001,P$3,BD!$B$3:$B$5001,$A$471)))</f>
        <v/>
      </c>
      <c r="Q499" s="236" t="str">
        <f>IF(Q$3="","",IF(COUNTIFS(BD!$A$3:$A$5001,Q$3,BD!$B$3:$B$5001,$A$471,BD!$AD$3:$AD$5001,"&lt;&gt;")=0,"",SUMIFS(BD!$AD$3:$AD$5001,BD!$A$3:$A$5001,Q$3,BD!$B$3:$B$5001,$A$471)))</f>
        <v/>
      </c>
      <c r="R499" s="236" t="str">
        <f>IF(R$3="","",IF(COUNTIFS(BD!$A$3:$A$5001,R$3,BD!$B$3:$B$5001,$A$471,BD!$AD$3:$AD$5001,"&lt;&gt;")=0,"",SUMIFS(BD!$AD$3:$AD$5001,BD!$A$3:$A$5001,R$3,BD!$B$3:$B$5001,$A$471)))</f>
        <v/>
      </c>
      <c r="S499" s="236" t="str">
        <f>IF(S$3="","",IF(COUNTIFS(BD!$A$3:$A$5001,S$3,BD!$B$3:$B$5001,$A$471,BD!$AD$3:$AD$5001,"&lt;&gt;")=0,"",SUMIFS(BD!$AD$3:$AD$5001,BD!$A$3:$A$5001,S$3,BD!$B$3:$B$5001,$A$471)))</f>
        <v/>
      </c>
      <c r="T499" s="236" t="str">
        <f>IF(T$3="","",IF(COUNTIFS(BD!$A$3:$A$5001,T$3,BD!$B$3:$B$5001,$A$471,BD!$AD$3:$AD$5001,"&lt;&gt;")=0,"",SUMIFS(BD!$AD$3:$AD$5001,BD!$A$3:$A$5001,T$3,BD!$B$3:$B$5001,$A$471)))</f>
        <v/>
      </c>
      <c r="U499" s="236" t="str">
        <f>IF(U$3="","",IF(COUNTIFS(BD!$A$3:$A$5001,U$3,BD!$B$3:$B$5001,$A$471,BD!$AD$3:$AD$5001,"&lt;&gt;")=0,"",SUMIFS(BD!$AD$3:$AD$5001,BD!$A$3:$A$5001,U$3,BD!$B$3:$B$5001,$A$471)))</f>
        <v/>
      </c>
      <c r="V499" s="236" t="str">
        <f>IF(V$3="","",IF(COUNTIFS(BD!$A$3:$A$5001,V$3,BD!$B$3:$B$5001,$A$471,BD!$AD$3:$AD$5001,"&lt;&gt;")=0,"",SUMIFS(BD!$AD$3:$AD$5001,BD!$A$3:$A$5001,V$3,BD!$B$3:$B$5001,$A$471)))</f>
        <v/>
      </c>
      <c r="W499" s="236" t="str">
        <f>IF(W$3="","",IF(COUNTIFS(BD!$A$3:$A$5001,W$3,BD!$B$3:$B$5001,$A$471,BD!$AD$3:$AD$5001,"&lt;&gt;")=0,"",SUMIFS(BD!$AD$3:$AD$5001,BD!$A$3:$A$5001,W$3,BD!$B$3:$B$5001,$A$471)))</f>
        <v/>
      </c>
      <c r="X499" s="236" t="str">
        <f>IF(X$3="","",IF(COUNTIFS(BD!$A$3:$A$5001,X$3,BD!$B$3:$B$5001,$A$471,BD!$AD$3:$AD$5001,"&lt;&gt;")=0,"",SUMIFS(BD!$AD$3:$AD$5001,BD!$A$3:$A$5001,X$3,BD!$B$3:$B$5001,$A$471)))</f>
        <v/>
      </c>
      <c r="Y499" s="236" t="str">
        <f>IF(Y$3="","",IF(COUNTIFS(BD!$A$3:$A$5001,Y$3,BD!$B$3:$B$5001,$A$471,BD!$AD$3:$AD$5001,"&lt;&gt;")=0,"",SUMIFS(BD!$AD$3:$AD$5001,BD!$A$3:$A$5001,Y$3,BD!$B$3:$B$5001,$A$471)))</f>
        <v/>
      </c>
      <c r="Z499" s="236" t="str">
        <f>IF(Z$3="","",IF(COUNTIFS(BD!$A$3:$A$5001,Z$3,BD!$B$3:$B$5001,$A$471,BD!$AD$3:$AD$5001,"&lt;&gt;")=0,"",SUMIFS(BD!$AD$3:$AD$5001,BD!$A$3:$A$5001,Z$3,BD!$B$3:$B$5001,$A$471)))</f>
        <v/>
      </c>
      <c r="AA499" s="236" t="str">
        <f>IF(AA$3="","",IF(COUNTIFS(BD!$A$3:$A$5001,AA$3,BD!$B$3:$B$5001,$A$471,BD!$AD$3:$AD$5001,"&lt;&gt;")=0,"",SUMIFS(BD!$AD$3:$AD$5001,BD!$A$3:$A$5001,AA$3,BD!$B$3:$B$5001,$A$471)))</f>
        <v/>
      </c>
      <c r="AB499" s="236" t="str">
        <f>IF(AB$3="","",IF(COUNTIFS(BD!$A$3:$A$5001,AB$3,BD!$B$3:$B$5001,$A$471,BD!$AD$3:$AD$5001,"&lt;&gt;")=0,"",SUMIFS(BD!$AD$3:$AD$5001,BD!$A$3:$A$5001,AB$3,BD!$B$3:$B$5001,$A$471)))</f>
        <v/>
      </c>
      <c r="AC499" s="236" t="str">
        <f>IF(AC$3="","",IF(COUNTIFS(BD!$A$3:$A$5001,AC$3,BD!$B$3:$B$5001,$A$471,BD!$AD$3:$AD$5001,"&lt;&gt;")=0,"",SUMIFS(BD!$AD$3:$AD$5001,BD!$A$3:$A$5001,AC$3,BD!$B$3:$B$5001,$A$471)))</f>
        <v/>
      </c>
      <c r="AD499" s="236" t="str">
        <f>IF(AD$3="","",IF(COUNTIFS(BD!$A$3:$A$5001,AD$3,BD!$B$3:$B$5001,$A$471,BD!$AD$3:$AD$5001,"&lt;&gt;")=0,"",SUMIFS(BD!$AD$3:$AD$5001,BD!$A$3:$A$5001,AD$3,BD!$B$3:$B$5001,$A$471)))</f>
        <v/>
      </c>
      <c r="AE499" s="236" t="str">
        <f>IF(AE$3="","",IF(COUNTIFS(BD!$A$3:$A$5001,AE$3,BD!$B$3:$B$5001,$A$471,BD!$AD$3:$AD$5001,"&lt;&gt;")=0,"",SUMIFS(BD!$AD$3:$AD$5001,BD!$A$3:$A$5001,AE$3,BD!$B$3:$B$5001,$A$471)))</f>
        <v/>
      </c>
      <c r="AF499" s="236" t="str">
        <f>IF(AF$3="","",IF(COUNTIFS(BD!$A$3:$A$5001,AF$3,BD!$B$3:$B$5001,$A$471,BD!$AD$3:$AD$5001,"&lt;&gt;")=0,"",SUMIFS(BD!$AD$3:$AD$5001,BD!$A$3:$A$5001,AF$3,BD!$B$3:$B$5001,$A$471)))</f>
        <v/>
      </c>
      <c r="AG499" s="236" t="str">
        <f>IF(AG$3="","",IF(COUNTIFS(BD!$A$3:$A$5001,AG$3,BD!$B$3:$B$5001,$A$471,BD!$AD$3:$AD$5001,"&lt;&gt;")=0,"",SUMIFS(BD!$AD$3:$AD$5001,BD!$A$3:$A$5001,AG$3,BD!$B$3:$B$5001,$A$471)))</f>
        <v/>
      </c>
      <c r="AH499" s="236" t="str">
        <f>IF(AH$3="","",IF(COUNTIFS(BD!$A$3:$A$5001,AH$3,BD!$B$3:$B$5001,$A$471,BD!$AD$3:$AD$5001,"&lt;&gt;")=0,"",SUMIFS(BD!$AD$3:$AD$5001,BD!$A$3:$A$5001,AH$3,BD!$B$3:$B$5001,$A$471)))</f>
        <v/>
      </c>
      <c r="AI499" s="236" t="str">
        <f>IF(AI$3="","",IF(COUNTIFS(BD!$A$3:$A$5001,AI$3,BD!$B$3:$B$5001,$A$471,BD!$AD$3:$AD$5001,"&lt;&gt;")=0,"",SUMIFS(BD!$AD$3:$AD$5001,BD!$A$3:$A$5001,AI$3,BD!$B$3:$B$5001,$A$471)))</f>
        <v/>
      </c>
      <c r="AJ499" s="237" t="str">
        <f>IF(AJ$3="","",IF(COUNTIFS(BD!$A$3:$A$5001,AJ$3,BD!$B$3:$B$5001,$A$471,BD!$AD$3:$AD$5001,"&lt;&gt;")=0,"",SUMIFS(BD!$AD$3:$AD$5001,BD!$A$3:$A$5001,AJ$3,BD!$B$3:$B$5001,$A$471)))</f>
        <v/>
      </c>
      <c r="AK499" s="238" t="str">
        <f>IF(COUNT(F499:AJ499)=0,"",SUM(F499:AJ499))</f>
        <v/>
      </c>
    </row>
    <row r="500" ht="15.75" customHeight="1" hidden="1">
      <c r="A500" s="261"/>
      <c r="B500" s="258"/>
      <c r="C500" s="232" t="inlineStr">
        <is>
          <t xml:space="preserve">Desligamento</t>
        </is>
      </c>
      <c r="D500" s="233" t="str">
        <f>IFERROR(1/(1/INDEX(BD!$AL$52:$BF$52,MATCH($A$471,BD!$AL$22:$BF$22,0))),"")</f>
        <v/>
      </c>
      <c r="E500" s="234"/>
      <c r="F500" s="235" t="str">
        <f>IF(F$3="","",IF(COUNTIFS(BD!$A$3:$A$5001,F$3,BD!$B$3:$B$5001,$A$471,BD!$AE$3:$AE$5001,"&lt;&gt;")=0,"",SUMIFS(BD!$AE$3:$AE$5001,BD!$A$3:$A$5001,F$3,BD!$B$3:$B$5001,$A$471)))</f>
        <v/>
      </c>
      <c r="G500" s="236" t="str">
        <f>IF(G$3="","",IF(COUNTIFS(BD!$A$3:$A$5001,G$3,BD!$B$3:$B$5001,$A$471,BD!$AE$3:$AE$5001,"&lt;&gt;")=0,"",SUMIFS(BD!$AE$3:$AE$5001,BD!$A$3:$A$5001,G$3,BD!$B$3:$B$5001,$A$471)))</f>
        <v/>
      </c>
      <c r="H500" s="236" t="str">
        <f>IF(H$3="","",IF(COUNTIFS(BD!$A$3:$A$5001,H$3,BD!$B$3:$B$5001,$A$471,BD!$AE$3:$AE$5001,"&lt;&gt;")=0,"",SUMIFS(BD!$AE$3:$AE$5001,BD!$A$3:$A$5001,H$3,BD!$B$3:$B$5001,$A$471)))</f>
        <v/>
      </c>
      <c r="I500" s="236" t="str">
        <f>IF(I$3="","",IF(COUNTIFS(BD!$A$3:$A$5001,I$3,BD!$B$3:$B$5001,$A$471,BD!$AE$3:$AE$5001,"&lt;&gt;")=0,"",SUMIFS(BD!$AE$3:$AE$5001,BD!$A$3:$A$5001,I$3,BD!$B$3:$B$5001,$A$471)))</f>
        <v/>
      </c>
      <c r="J500" s="236" t="str">
        <f>IF(J$3="","",IF(COUNTIFS(BD!$A$3:$A$5001,J$3,BD!$B$3:$B$5001,$A$471,BD!$AE$3:$AE$5001,"&lt;&gt;")=0,"",SUMIFS(BD!$AE$3:$AE$5001,BD!$A$3:$A$5001,J$3,BD!$B$3:$B$5001,$A$471)))</f>
        <v/>
      </c>
      <c r="K500" s="236" t="str">
        <f>IF(K$3="","",IF(COUNTIFS(BD!$A$3:$A$5001,K$3,BD!$B$3:$B$5001,$A$471,BD!$AE$3:$AE$5001,"&lt;&gt;")=0,"",SUMIFS(BD!$AE$3:$AE$5001,BD!$A$3:$A$5001,K$3,BD!$B$3:$B$5001,$A$471)))</f>
        <v/>
      </c>
      <c r="L500" s="236" t="str">
        <f>IF(L$3="","",IF(COUNTIFS(BD!$A$3:$A$5001,L$3,BD!$B$3:$B$5001,$A$471,BD!$AE$3:$AE$5001,"&lt;&gt;")=0,"",SUMIFS(BD!$AE$3:$AE$5001,BD!$A$3:$A$5001,L$3,BD!$B$3:$B$5001,$A$471)))</f>
        <v/>
      </c>
      <c r="M500" s="236" t="str">
        <f>IF(M$3="","",IF(COUNTIFS(BD!$A$3:$A$5001,M$3,BD!$B$3:$B$5001,$A$471,BD!$AE$3:$AE$5001,"&lt;&gt;")=0,"",SUMIFS(BD!$AE$3:$AE$5001,BD!$A$3:$A$5001,M$3,BD!$B$3:$B$5001,$A$471)))</f>
        <v/>
      </c>
      <c r="N500" s="236" t="str">
        <f>IF(N$3="","",IF(COUNTIFS(BD!$A$3:$A$5001,N$3,BD!$B$3:$B$5001,$A$471,BD!$AE$3:$AE$5001,"&lt;&gt;")=0,"",SUMIFS(BD!$AE$3:$AE$5001,BD!$A$3:$A$5001,N$3,BD!$B$3:$B$5001,$A$471)))</f>
        <v/>
      </c>
      <c r="O500" s="236" t="str">
        <f>IF(O$3="","",IF(COUNTIFS(BD!$A$3:$A$5001,O$3,BD!$B$3:$B$5001,$A$471,BD!$AE$3:$AE$5001,"&lt;&gt;")=0,"",SUMIFS(BD!$AE$3:$AE$5001,BD!$A$3:$A$5001,O$3,BD!$B$3:$B$5001,$A$471)))</f>
        <v/>
      </c>
      <c r="P500" s="236" t="str">
        <f>IF(P$3="","",IF(COUNTIFS(BD!$A$3:$A$5001,P$3,BD!$B$3:$B$5001,$A$471,BD!$AE$3:$AE$5001,"&lt;&gt;")=0,"",SUMIFS(BD!$AE$3:$AE$5001,BD!$A$3:$A$5001,P$3,BD!$B$3:$B$5001,$A$471)))</f>
        <v/>
      </c>
      <c r="Q500" s="236" t="str">
        <f>IF(Q$3="","",IF(COUNTIFS(BD!$A$3:$A$5001,Q$3,BD!$B$3:$B$5001,$A$471,BD!$AE$3:$AE$5001,"&lt;&gt;")=0,"",SUMIFS(BD!$AE$3:$AE$5001,BD!$A$3:$A$5001,Q$3,BD!$B$3:$B$5001,$A$471)))</f>
        <v/>
      </c>
      <c r="R500" s="236" t="str">
        <f>IF(R$3="","",IF(COUNTIFS(BD!$A$3:$A$5001,R$3,BD!$B$3:$B$5001,$A$471,BD!$AE$3:$AE$5001,"&lt;&gt;")=0,"",SUMIFS(BD!$AE$3:$AE$5001,BD!$A$3:$A$5001,R$3,BD!$B$3:$B$5001,$A$471)))</f>
        <v/>
      </c>
      <c r="S500" s="236" t="str">
        <f>IF(S$3="","",IF(COUNTIFS(BD!$A$3:$A$5001,S$3,BD!$B$3:$B$5001,$A$471,BD!$AE$3:$AE$5001,"&lt;&gt;")=0,"",SUMIFS(BD!$AE$3:$AE$5001,BD!$A$3:$A$5001,S$3,BD!$B$3:$B$5001,$A$471)))</f>
        <v/>
      </c>
      <c r="T500" s="236" t="str">
        <f>IF(T$3="","",IF(COUNTIFS(BD!$A$3:$A$5001,T$3,BD!$B$3:$B$5001,$A$471,BD!$AE$3:$AE$5001,"&lt;&gt;")=0,"",SUMIFS(BD!$AE$3:$AE$5001,BD!$A$3:$A$5001,T$3,BD!$B$3:$B$5001,$A$471)))</f>
        <v/>
      </c>
      <c r="U500" s="236" t="str">
        <f>IF(U$3="","",IF(COUNTIFS(BD!$A$3:$A$5001,U$3,BD!$B$3:$B$5001,$A$471,BD!$AE$3:$AE$5001,"&lt;&gt;")=0,"",SUMIFS(BD!$AE$3:$AE$5001,BD!$A$3:$A$5001,U$3,BD!$B$3:$B$5001,$A$471)))</f>
        <v/>
      </c>
      <c r="V500" s="236" t="str">
        <f>IF(V$3="","",IF(COUNTIFS(BD!$A$3:$A$5001,V$3,BD!$B$3:$B$5001,$A$471,BD!$AE$3:$AE$5001,"&lt;&gt;")=0,"",SUMIFS(BD!$AE$3:$AE$5001,BD!$A$3:$A$5001,V$3,BD!$B$3:$B$5001,$A$471)))</f>
        <v/>
      </c>
      <c r="W500" s="236" t="str">
        <f>IF(W$3="","",IF(COUNTIFS(BD!$A$3:$A$5001,W$3,BD!$B$3:$B$5001,$A$471,BD!$AE$3:$AE$5001,"&lt;&gt;")=0,"",SUMIFS(BD!$AE$3:$AE$5001,BD!$A$3:$A$5001,W$3,BD!$B$3:$B$5001,$A$471)))</f>
        <v/>
      </c>
      <c r="X500" s="236" t="str">
        <f>IF(X$3="","",IF(COUNTIFS(BD!$A$3:$A$5001,X$3,BD!$B$3:$B$5001,$A$471,BD!$AE$3:$AE$5001,"&lt;&gt;")=0,"",SUMIFS(BD!$AE$3:$AE$5001,BD!$A$3:$A$5001,X$3,BD!$B$3:$B$5001,$A$471)))</f>
        <v/>
      </c>
      <c r="Y500" s="236" t="str">
        <f>IF(Y$3="","",IF(COUNTIFS(BD!$A$3:$A$5001,Y$3,BD!$B$3:$B$5001,$A$471,BD!$AE$3:$AE$5001,"&lt;&gt;")=0,"",SUMIFS(BD!$AE$3:$AE$5001,BD!$A$3:$A$5001,Y$3,BD!$B$3:$B$5001,$A$471)))</f>
        <v/>
      </c>
      <c r="Z500" s="236" t="str">
        <f>IF(Z$3="","",IF(COUNTIFS(BD!$A$3:$A$5001,Z$3,BD!$B$3:$B$5001,$A$471,BD!$AE$3:$AE$5001,"&lt;&gt;")=0,"",SUMIFS(BD!$AE$3:$AE$5001,BD!$A$3:$A$5001,Z$3,BD!$B$3:$B$5001,$A$471)))</f>
        <v/>
      </c>
      <c r="AA500" s="236" t="str">
        <f>IF(AA$3="","",IF(COUNTIFS(BD!$A$3:$A$5001,AA$3,BD!$B$3:$B$5001,$A$471,BD!$AE$3:$AE$5001,"&lt;&gt;")=0,"",SUMIFS(BD!$AE$3:$AE$5001,BD!$A$3:$A$5001,AA$3,BD!$B$3:$B$5001,$A$471)))</f>
        <v/>
      </c>
      <c r="AB500" s="236" t="str">
        <f>IF(AB$3="","",IF(COUNTIFS(BD!$A$3:$A$5001,AB$3,BD!$B$3:$B$5001,$A$471,BD!$AE$3:$AE$5001,"&lt;&gt;")=0,"",SUMIFS(BD!$AE$3:$AE$5001,BD!$A$3:$A$5001,AB$3,BD!$B$3:$B$5001,$A$471)))</f>
        <v/>
      </c>
      <c r="AC500" s="236" t="str">
        <f>IF(AC$3="","",IF(COUNTIFS(BD!$A$3:$A$5001,AC$3,BD!$B$3:$B$5001,$A$471,BD!$AE$3:$AE$5001,"&lt;&gt;")=0,"",SUMIFS(BD!$AE$3:$AE$5001,BD!$A$3:$A$5001,AC$3,BD!$B$3:$B$5001,$A$471)))</f>
        <v/>
      </c>
      <c r="AD500" s="236" t="str">
        <f>IF(AD$3="","",IF(COUNTIFS(BD!$A$3:$A$5001,AD$3,BD!$B$3:$B$5001,$A$471,BD!$AE$3:$AE$5001,"&lt;&gt;")=0,"",SUMIFS(BD!$AE$3:$AE$5001,BD!$A$3:$A$5001,AD$3,BD!$B$3:$B$5001,$A$471)))</f>
        <v/>
      </c>
      <c r="AE500" s="236" t="str">
        <f>IF(AE$3="","",IF(COUNTIFS(BD!$A$3:$A$5001,AE$3,BD!$B$3:$B$5001,$A$471,BD!$AE$3:$AE$5001,"&lt;&gt;")=0,"",SUMIFS(BD!$AE$3:$AE$5001,BD!$A$3:$A$5001,AE$3,BD!$B$3:$B$5001,$A$471)))</f>
        <v/>
      </c>
      <c r="AF500" s="236" t="str">
        <f>IF(AF$3="","",IF(COUNTIFS(BD!$A$3:$A$5001,AF$3,BD!$B$3:$B$5001,$A$471,BD!$AE$3:$AE$5001,"&lt;&gt;")=0,"",SUMIFS(BD!$AE$3:$AE$5001,BD!$A$3:$A$5001,AF$3,BD!$B$3:$B$5001,$A$471)))</f>
        <v/>
      </c>
      <c r="AG500" s="236" t="str">
        <f>IF(AG$3="","",IF(COUNTIFS(BD!$A$3:$A$5001,AG$3,BD!$B$3:$B$5001,$A$471,BD!$AE$3:$AE$5001,"&lt;&gt;")=0,"",SUMIFS(BD!$AE$3:$AE$5001,BD!$A$3:$A$5001,AG$3,BD!$B$3:$B$5001,$A$471)))</f>
        <v/>
      </c>
      <c r="AH500" s="236" t="str">
        <f>IF(AH$3="","",IF(COUNTIFS(BD!$A$3:$A$5001,AH$3,BD!$B$3:$B$5001,$A$471,BD!$AE$3:$AE$5001,"&lt;&gt;")=0,"",SUMIFS(BD!$AE$3:$AE$5001,BD!$A$3:$A$5001,AH$3,BD!$B$3:$B$5001,$A$471)))</f>
        <v/>
      </c>
      <c r="AI500" s="236" t="str">
        <f>IF(AI$3="","",IF(COUNTIFS(BD!$A$3:$A$5001,AI$3,BD!$B$3:$B$5001,$A$471,BD!$AE$3:$AE$5001,"&lt;&gt;")=0,"",SUMIFS(BD!$AE$3:$AE$5001,BD!$A$3:$A$5001,AI$3,BD!$B$3:$B$5001,$A$471)))</f>
        <v/>
      </c>
      <c r="AJ500" s="237" t="str">
        <f>IF(AJ$3="","",IF(COUNTIFS(BD!$A$3:$A$5001,AJ$3,BD!$B$3:$B$5001,$A$471,BD!$AE$3:$AE$5001,"&lt;&gt;")=0,"",SUMIFS(BD!$AE$3:$AE$5001,BD!$A$3:$A$5001,AJ$3,BD!$B$3:$B$5001,$A$471)))</f>
        <v/>
      </c>
      <c r="AK500" s="238" t="str">
        <f>IF(COUNT(F500:AJ500)=0,"",SUM(F500:AJ500))</f>
        <v/>
      </c>
    </row>
    <row r="501" ht="15.75" customHeight="1" hidden="1">
      <c r="A501" s="261"/>
      <c r="B501" s="258"/>
      <c r="C501" s="232" t="inlineStr">
        <is>
          <t xml:space="preserve">Desvios Comportamentais</t>
        </is>
      </c>
      <c r="D501" s="233" t="str">
        <f>IFERROR(1/(1/INDEX(BD!$AL$53:$BF$53,MATCH($A$471,BD!$AL$22:$BF$22,0))),"")</f>
        <v/>
      </c>
      <c r="E501" s="234"/>
      <c r="F501" s="235" t="str">
        <f>IF(F$3="","",IF(COUNTIFS(BD!$A$3:$A$5001,F$3,BD!$B$3:$B$5001,$A$471,BD!$AF$3:$AF$5001,"&lt;&gt;")=0,"",SUMIFS(BD!$AF$3:$AF$5001,BD!$A$3:$A$5001,F$3,BD!$B$3:$B$5001,$A$471)))</f>
        <v/>
      </c>
      <c r="G501" s="236" t="str">
        <f>IF(G$3="","",IF(COUNTIFS(BD!$A$3:$A$5001,G$3,BD!$B$3:$B$5001,$A$471,BD!$AF$3:$AF$5001,"&lt;&gt;")=0,"",SUMIFS(BD!$AF$3:$AF$5001,BD!$A$3:$A$5001,G$3,BD!$B$3:$B$5001,$A$471)))</f>
        <v/>
      </c>
      <c r="H501" s="236" t="str">
        <f>IF(H$3="","",IF(COUNTIFS(BD!$A$3:$A$5001,H$3,BD!$B$3:$B$5001,$A$471,BD!$AF$3:$AF$5001,"&lt;&gt;")=0,"",SUMIFS(BD!$AF$3:$AF$5001,BD!$A$3:$A$5001,H$3,BD!$B$3:$B$5001,$A$471)))</f>
        <v/>
      </c>
      <c r="I501" s="236" t="str">
        <f>IF(I$3="","",IF(COUNTIFS(BD!$A$3:$A$5001,I$3,BD!$B$3:$B$5001,$A$471,BD!$AF$3:$AF$5001,"&lt;&gt;")=0,"",SUMIFS(BD!$AF$3:$AF$5001,BD!$A$3:$A$5001,I$3,BD!$B$3:$B$5001,$A$471)))</f>
        <v/>
      </c>
      <c r="J501" s="236" t="str">
        <f>IF(J$3="","",IF(COUNTIFS(BD!$A$3:$A$5001,J$3,BD!$B$3:$B$5001,$A$471,BD!$AF$3:$AF$5001,"&lt;&gt;")=0,"",SUMIFS(BD!$AF$3:$AF$5001,BD!$A$3:$A$5001,J$3,BD!$B$3:$B$5001,$A$471)))</f>
        <v/>
      </c>
      <c r="K501" s="236" t="str">
        <f>IF(K$3="","",IF(COUNTIFS(BD!$A$3:$A$5001,K$3,BD!$B$3:$B$5001,$A$471,BD!$AF$3:$AF$5001,"&lt;&gt;")=0,"",SUMIFS(BD!$AF$3:$AF$5001,BD!$A$3:$A$5001,K$3,BD!$B$3:$B$5001,$A$471)))</f>
        <v/>
      </c>
      <c r="L501" s="236" t="str">
        <f>IF(L$3="","",IF(COUNTIFS(BD!$A$3:$A$5001,L$3,BD!$B$3:$B$5001,$A$471,BD!$AF$3:$AF$5001,"&lt;&gt;")=0,"",SUMIFS(BD!$AF$3:$AF$5001,BD!$A$3:$A$5001,L$3,BD!$B$3:$B$5001,$A$471)))</f>
        <v/>
      </c>
      <c r="M501" s="236" t="str">
        <f>IF(M$3="","",IF(COUNTIFS(BD!$A$3:$A$5001,M$3,BD!$B$3:$B$5001,$A$471,BD!$AF$3:$AF$5001,"&lt;&gt;")=0,"",SUMIFS(BD!$AF$3:$AF$5001,BD!$A$3:$A$5001,M$3,BD!$B$3:$B$5001,$A$471)))</f>
        <v/>
      </c>
      <c r="N501" s="236" t="str">
        <f>IF(N$3="","",IF(COUNTIFS(BD!$A$3:$A$5001,N$3,BD!$B$3:$B$5001,$A$471,BD!$AF$3:$AF$5001,"&lt;&gt;")=0,"",SUMIFS(BD!$AF$3:$AF$5001,BD!$A$3:$A$5001,N$3,BD!$B$3:$B$5001,$A$471)))</f>
        <v/>
      </c>
      <c r="O501" s="236" t="str">
        <f>IF(O$3="","",IF(COUNTIFS(BD!$A$3:$A$5001,O$3,BD!$B$3:$B$5001,$A$471,BD!$AF$3:$AF$5001,"&lt;&gt;")=0,"",SUMIFS(BD!$AF$3:$AF$5001,BD!$A$3:$A$5001,O$3,BD!$B$3:$B$5001,$A$471)))</f>
        <v/>
      </c>
      <c r="P501" s="236" t="str">
        <f>IF(P$3="","",IF(COUNTIFS(BD!$A$3:$A$5001,P$3,BD!$B$3:$B$5001,$A$471,BD!$AF$3:$AF$5001,"&lt;&gt;")=0,"",SUMIFS(BD!$AF$3:$AF$5001,BD!$A$3:$A$5001,P$3,BD!$B$3:$B$5001,$A$471)))</f>
        <v/>
      </c>
      <c r="Q501" s="236" t="str">
        <f>IF(Q$3="","",IF(COUNTIFS(BD!$A$3:$A$5001,Q$3,BD!$B$3:$B$5001,$A$471,BD!$AF$3:$AF$5001,"&lt;&gt;")=0,"",SUMIFS(BD!$AF$3:$AF$5001,BD!$A$3:$A$5001,Q$3,BD!$B$3:$B$5001,$A$471)))</f>
        <v/>
      </c>
      <c r="R501" s="236" t="str">
        <f>IF(R$3="","",IF(COUNTIFS(BD!$A$3:$A$5001,R$3,BD!$B$3:$B$5001,$A$471,BD!$AF$3:$AF$5001,"&lt;&gt;")=0,"",SUMIFS(BD!$AF$3:$AF$5001,BD!$A$3:$A$5001,R$3,BD!$B$3:$B$5001,$A$471)))</f>
        <v/>
      </c>
      <c r="S501" s="236" t="str">
        <f>IF(S$3="","",IF(COUNTIFS(BD!$A$3:$A$5001,S$3,BD!$B$3:$B$5001,$A$471,BD!$AF$3:$AF$5001,"&lt;&gt;")=0,"",SUMIFS(BD!$AF$3:$AF$5001,BD!$A$3:$A$5001,S$3,BD!$B$3:$B$5001,$A$471)))</f>
        <v/>
      </c>
      <c r="T501" s="236" t="str">
        <f>IF(T$3="","",IF(COUNTIFS(BD!$A$3:$A$5001,T$3,BD!$B$3:$B$5001,$A$471,BD!$AF$3:$AF$5001,"&lt;&gt;")=0,"",SUMIFS(BD!$AF$3:$AF$5001,BD!$A$3:$A$5001,T$3,BD!$B$3:$B$5001,$A$471)))</f>
        <v/>
      </c>
      <c r="U501" s="236" t="str">
        <f>IF(U$3="","",IF(COUNTIFS(BD!$A$3:$A$5001,U$3,BD!$B$3:$B$5001,$A$471,BD!$AF$3:$AF$5001,"&lt;&gt;")=0,"",SUMIFS(BD!$AF$3:$AF$5001,BD!$A$3:$A$5001,U$3,BD!$B$3:$B$5001,$A$471)))</f>
        <v/>
      </c>
      <c r="V501" s="236" t="str">
        <f>IF(V$3="","",IF(COUNTIFS(BD!$A$3:$A$5001,V$3,BD!$B$3:$B$5001,$A$471,BD!$AF$3:$AF$5001,"&lt;&gt;")=0,"",SUMIFS(BD!$AF$3:$AF$5001,BD!$A$3:$A$5001,V$3,BD!$B$3:$B$5001,$A$471)))</f>
        <v/>
      </c>
      <c r="W501" s="236" t="str">
        <f>IF(W$3="","",IF(COUNTIFS(BD!$A$3:$A$5001,W$3,BD!$B$3:$B$5001,$A$471,BD!$AF$3:$AF$5001,"&lt;&gt;")=0,"",SUMIFS(BD!$AF$3:$AF$5001,BD!$A$3:$A$5001,W$3,BD!$B$3:$B$5001,$A$471)))</f>
        <v/>
      </c>
      <c r="X501" s="236" t="str">
        <f>IF(X$3="","",IF(COUNTIFS(BD!$A$3:$A$5001,X$3,BD!$B$3:$B$5001,$A$471,BD!$AF$3:$AF$5001,"&lt;&gt;")=0,"",SUMIFS(BD!$AF$3:$AF$5001,BD!$A$3:$A$5001,X$3,BD!$B$3:$B$5001,$A$471)))</f>
        <v/>
      </c>
      <c r="Y501" s="236" t="str">
        <f>IF(Y$3="","",IF(COUNTIFS(BD!$A$3:$A$5001,Y$3,BD!$B$3:$B$5001,$A$471,BD!$AF$3:$AF$5001,"&lt;&gt;")=0,"",SUMIFS(BD!$AF$3:$AF$5001,BD!$A$3:$A$5001,Y$3,BD!$B$3:$B$5001,$A$471)))</f>
        <v/>
      </c>
      <c r="Z501" s="236" t="str">
        <f>IF(Z$3="","",IF(COUNTIFS(BD!$A$3:$A$5001,Z$3,BD!$B$3:$B$5001,$A$471,BD!$AF$3:$AF$5001,"&lt;&gt;")=0,"",SUMIFS(BD!$AF$3:$AF$5001,BD!$A$3:$A$5001,Z$3,BD!$B$3:$B$5001,$A$471)))</f>
        <v/>
      </c>
      <c r="AA501" s="236" t="str">
        <f>IF(AA$3="","",IF(COUNTIFS(BD!$A$3:$A$5001,AA$3,BD!$B$3:$B$5001,$A$471,BD!$AF$3:$AF$5001,"&lt;&gt;")=0,"",SUMIFS(BD!$AF$3:$AF$5001,BD!$A$3:$A$5001,AA$3,BD!$B$3:$B$5001,$A$471)))</f>
        <v/>
      </c>
      <c r="AB501" s="236" t="str">
        <f>IF(AB$3="","",IF(COUNTIFS(BD!$A$3:$A$5001,AB$3,BD!$B$3:$B$5001,$A$471,BD!$AF$3:$AF$5001,"&lt;&gt;")=0,"",SUMIFS(BD!$AF$3:$AF$5001,BD!$A$3:$A$5001,AB$3,BD!$B$3:$B$5001,$A$471)))</f>
        <v/>
      </c>
      <c r="AC501" s="236" t="str">
        <f>IF(AC$3="","",IF(COUNTIFS(BD!$A$3:$A$5001,AC$3,BD!$B$3:$B$5001,$A$471,BD!$AF$3:$AF$5001,"&lt;&gt;")=0,"",SUMIFS(BD!$AF$3:$AF$5001,BD!$A$3:$A$5001,AC$3,BD!$B$3:$B$5001,$A$471)))</f>
        <v/>
      </c>
      <c r="AD501" s="236" t="str">
        <f>IF(AD$3="","",IF(COUNTIFS(BD!$A$3:$A$5001,AD$3,BD!$B$3:$B$5001,$A$471,BD!$AF$3:$AF$5001,"&lt;&gt;")=0,"",SUMIFS(BD!$AF$3:$AF$5001,BD!$A$3:$A$5001,AD$3,BD!$B$3:$B$5001,$A$471)))</f>
        <v/>
      </c>
      <c r="AE501" s="236" t="str">
        <f>IF(AE$3="","",IF(COUNTIFS(BD!$A$3:$A$5001,AE$3,BD!$B$3:$B$5001,$A$471,BD!$AF$3:$AF$5001,"&lt;&gt;")=0,"",SUMIFS(BD!$AF$3:$AF$5001,BD!$A$3:$A$5001,AE$3,BD!$B$3:$B$5001,$A$471)))</f>
        <v/>
      </c>
      <c r="AF501" s="236" t="str">
        <f>IF(AF$3="","",IF(COUNTIFS(BD!$A$3:$A$5001,AF$3,BD!$B$3:$B$5001,$A$471,BD!$AF$3:$AF$5001,"&lt;&gt;")=0,"",SUMIFS(BD!$AF$3:$AF$5001,BD!$A$3:$A$5001,AF$3,BD!$B$3:$B$5001,$A$471)))</f>
        <v/>
      </c>
      <c r="AG501" s="236" t="str">
        <f>IF(AG$3="","",IF(COUNTIFS(BD!$A$3:$A$5001,AG$3,BD!$B$3:$B$5001,$A$471,BD!$AF$3:$AF$5001,"&lt;&gt;")=0,"",SUMIFS(BD!$AF$3:$AF$5001,BD!$A$3:$A$5001,AG$3,BD!$B$3:$B$5001,$A$471)))</f>
        <v/>
      </c>
      <c r="AH501" s="236" t="str">
        <f>IF(AH$3="","",IF(COUNTIFS(BD!$A$3:$A$5001,AH$3,BD!$B$3:$B$5001,$A$471,BD!$AF$3:$AF$5001,"&lt;&gt;")=0,"",SUMIFS(BD!$AF$3:$AF$5001,BD!$A$3:$A$5001,AH$3,BD!$B$3:$B$5001,$A$471)))</f>
        <v/>
      </c>
      <c r="AI501" s="236" t="str">
        <f>IF(AI$3="","",IF(COUNTIFS(BD!$A$3:$A$5001,AI$3,BD!$B$3:$B$5001,$A$471,BD!$AF$3:$AF$5001,"&lt;&gt;")=0,"",SUMIFS(BD!$AF$3:$AF$5001,BD!$A$3:$A$5001,AI$3,BD!$B$3:$B$5001,$A$471)))</f>
        <v/>
      </c>
      <c r="AJ501" s="237" t="str">
        <f>IF(AJ$3="","",IF(COUNTIFS(BD!$A$3:$A$5001,AJ$3,BD!$B$3:$B$5001,$A$471,BD!$AF$3:$AF$5001,"&lt;&gt;")=0,"",SUMIFS(BD!$AF$3:$AF$5001,BD!$A$3:$A$5001,AJ$3,BD!$B$3:$B$5001,$A$471)))</f>
        <v/>
      </c>
      <c r="AK501" s="238" t="str">
        <f>IF(COUNT(F501:AJ501)=0,"",SUM(F501:AJ501))</f>
        <v/>
      </c>
    </row>
    <row r="502" ht="15.75" customHeight="1" hidden="1">
      <c r="A502" s="261"/>
      <c r="B502" s="258"/>
      <c r="C502" s="232" t="inlineStr">
        <is>
          <t xml:space="preserve">Acidentes CAF</t>
        </is>
      </c>
      <c r="D502" s="233" t="str">
        <f>IFERROR(1/(1/INDEX(BD!$AL$54:$BF$54,MATCH($A$471,BD!$AL$22:$BF$22,0))),"")</f>
        <v/>
      </c>
      <c r="E502" s="234"/>
      <c r="F502" s="235" t="str">
        <f>IF(F$3="","",IF(COUNTIFS(BD!$A$3:$A$5001,F$3,BD!$B$3:$B$5001,$A$471,BD!$AG$3:$AG$5001,"&lt;&gt;")=0,"",SUMIFS(BD!$AG$3:$AG$5001,BD!$A$3:$A$5001,F$3,BD!$B$3:$B$5001,$A$471)))</f>
        <v/>
      </c>
      <c r="G502" s="236" t="str">
        <f>IF(G$3="","",IF(COUNTIFS(BD!$A$3:$A$5001,G$3,BD!$B$3:$B$5001,$A$471,BD!$AG$3:$AG$5001,"&lt;&gt;")=0,"",SUMIFS(BD!$AG$3:$AG$5001,BD!$A$3:$A$5001,G$3,BD!$B$3:$B$5001,$A$471)))</f>
        <v/>
      </c>
      <c r="H502" s="236" t="str">
        <f>IF(H$3="","",IF(COUNTIFS(BD!$A$3:$A$5001,H$3,BD!$B$3:$B$5001,$A$471,BD!$AG$3:$AG$5001,"&lt;&gt;")=0,"",SUMIFS(BD!$AG$3:$AG$5001,BD!$A$3:$A$5001,H$3,BD!$B$3:$B$5001,$A$471)))</f>
        <v/>
      </c>
      <c r="I502" s="236" t="str">
        <f>IF(I$3="","",IF(COUNTIFS(BD!$A$3:$A$5001,I$3,BD!$B$3:$B$5001,$A$471,BD!$AG$3:$AG$5001,"&lt;&gt;")=0,"",SUMIFS(BD!$AG$3:$AG$5001,BD!$A$3:$A$5001,I$3,BD!$B$3:$B$5001,$A$471)))</f>
        <v/>
      </c>
      <c r="J502" s="236" t="str">
        <f>IF(J$3="","",IF(COUNTIFS(BD!$A$3:$A$5001,J$3,BD!$B$3:$B$5001,$A$471,BD!$AG$3:$AG$5001,"&lt;&gt;")=0,"",SUMIFS(BD!$AG$3:$AG$5001,BD!$A$3:$A$5001,J$3,BD!$B$3:$B$5001,$A$471)))</f>
        <v/>
      </c>
      <c r="K502" s="236" t="str">
        <f>IF(K$3="","",IF(COUNTIFS(BD!$A$3:$A$5001,K$3,BD!$B$3:$B$5001,$A$471,BD!$AG$3:$AG$5001,"&lt;&gt;")=0,"",SUMIFS(BD!$AG$3:$AG$5001,BD!$A$3:$A$5001,K$3,BD!$B$3:$B$5001,$A$471)))</f>
        <v/>
      </c>
      <c r="L502" s="236" t="str">
        <f>IF(L$3="","",IF(COUNTIFS(BD!$A$3:$A$5001,L$3,BD!$B$3:$B$5001,$A$471,BD!$AG$3:$AG$5001,"&lt;&gt;")=0,"",SUMIFS(BD!$AG$3:$AG$5001,BD!$A$3:$A$5001,L$3,BD!$B$3:$B$5001,$A$471)))</f>
        <v/>
      </c>
      <c r="M502" s="236" t="str">
        <f>IF(M$3="","",IF(COUNTIFS(BD!$A$3:$A$5001,M$3,BD!$B$3:$B$5001,$A$471,BD!$AG$3:$AG$5001,"&lt;&gt;")=0,"",SUMIFS(BD!$AG$3:$AG$5001,BD!$A$3:$A$5001,M$3,BD!$B$3:$B$5001,$A$471)))</f>
        <v/>
      </c>
      <c r="N502" s="236" t="str">
        <f>IF(N$3="","",IF(COUNTIFS(BD!$A$3:$A$5001,N$3,BD!$B$3:$B$5001,$A$471,BD!$AG$3:$AG$5001,"&lt;&gt;")=0,"",SUMIFS(BD!$AG$3:$AG$5001,BD!$A$3:$A$5001,N$3,BD!$B$3:$B$5001,$A$471)))</f>
        <v/>
      </c>
      <c r="O502" s="236" t="str">
        <f>IF(O$3="","",IF(COUNTIFS(BD!$A$3:$A$5001,O$3,BD!$B$3:$B$5001,$A$471,BD!$AG$3:$AG$5001,"&lt;&gt;")=0,"",SUMIFS(BD!$AG$3:$AG$5001,BD!$A$3:$A$5001,O$3,BD!$B$3:$B$5001,$A$471)))</f>
        <v/>
      </c>
      <c r="P502" s="236" t="str">
        <f>IF(P$3="","",IF(COUNTIFS(BD!$A$3:$A$5001,P$3,BD!$B$3:$B$5001,$A$471,BD!$AG$3:$AG$5001,"&lt;&gt;")=0,"",SUMIFS(BD!$AG$3:$AG$5001,BD!$A$3:$A$5001,P$3,BD!$B$3:$B$5001,$A$471)))</f>
        <v/>
      </c>
      <c r="Q502" s="236" t="str">
        <f>IF(Q$3="","",IF(COUNTIFS(BD!$A$3:$A$5001,Q$3,BD!$B$3:$B$5001,$A$471,BD!$AG$3:$AG$5001,"&lt;&gt;")=0,"",SUMIFS(BD!$AG$3:$AG$5001,BD!$A$3:$A$5001,Q$3,BD!$B$3:$B$5001,$A$471)))</f>
        <v/>
      </c>
      <c r="R502" s="236" t="str">
        <f>IF(R$3="","",IF(COUNTIFS(BD!$A$3:$A$5001,R$3,BD!$B$3:$B$5001,$A$471,BD!$AG$3:$AG$5001,"&lt;&gt;")=0,"",SUMIFS(BD!$AG$3:$AG$5001,BD!$A$3:$A$5001,R$3,BD!$B$3:$B$5001,$A$471)))</f>
        <v/>
      </c>
      <c r="S502" s="236" t="str">
        <f>IF(S$3="","",IF(COUNTIFS(BD!$A$3:$A$5001,S$3,BD!$B$3:$B$5001,$A$471,BD!$AG$3:$AG$5001,"&lt;&gt;")=0,"",SUMIFS(BD!$AG$3:$AG$5001,BD!$A$3:$A$5001,S$3,BD!$B$3:$B$5001,$A$471)))</f>
        <v/>
      </c>
      <c r="T502" s="236" t="str">
        <f>IF(T$3="","",IF(COUNTIFS(BD!$A$3:$A$5001,T$3,BD!$B$3:$B$5001,$A$471,BD!$AG$3:$AG$5001,"&lt;&gt;")=0,"",SUMIFS(BD!$AG$3:$AG$5001,BD!$A$3:$A$5001,T$3,BD!$B$3:$B$5001,$A$471)))</f>
        <v/>
      </c>
      <c r="U502" s="236" t="str">
        <f>IF(U$3="","",IF(COUNTIFS(BD!$A$3:$A$5001,U$3,BD!$B$3:$B$5001,$A$471,BD!$AG$3:$AG$5001,"&lt;&gt;")=0,"",SUMIFS(BD!$AG$3:$AG$5001,BD!$A$3:$A$5001,U$3,BD!$B$3:$B$5001,$A$471)))</f>
        <v/>
      </c>
      <c r="V502" s="236" t="str">
        <f>IF(V$3="","",IF(COUNTIFS(BD!$A$3:$A$5001,V$3,BD!$B$3:$B$5001,$A$471,BD!$AG$3:$AG$5001,"&lt;&gt;")=0,"",SUMIFS(BD!$AG$3:$AG$5001,BD!$A$3:$A$5001,V$3,BD!$B$3:$B$5001,$A$471)))</f>
        <v/>
      </c>
      <c r="W502" s="236" t="str">
        <f>IF(W$3="","",IF(COUNTIFS(BD!$A$3:$A$5001,W$3,BD!$B$3:$B$5001,$A$471,BD!$AG$3:$AG$5001,"&lt;&gt;")=0,"",SUMIFS(BD!$AG$3:$AG$5001,BD!$A$3:$A$5001,W$3,BD!$B$3:$B$5001,$A$471)))</f>
        <v/>
      </c>
      <c r="X502" s="236" t="str">
        <f>IF(X$3="","",IF(COUNTIFS(BD!$A$3:$A$5001,X$3,BD!$B$3:$B$5001,$A$471,BD!$AG$3:$AG$5001,"&lt;&gt;")=0,"",SUMIFS(BD!$AG$3:$AG$5001,BD!$A$3:$A$5001,X$3,BD!$B$3:$B$5001,$A$471)))</f>
        <v/>
      </c>
      <c r="Y502" s="236" t="str">
        <f>IF(Y$3="","",IF(COUNTIFS(BD!$A$3:$A$5001,Y$3,BD!$B$3:$B$5001,$A$471,BD!$AG$3:$AG$5001,"&lt;&gt;")=0,"",SUMIFS(BD!$AG$3:$AG$5001,BD!$A$3:$A$5001,Y$3,BD!$B$3:$B$5001,$A$471)))</f>
        <v/>
      </c>
      <c r="Z502" s="236" t="str">
        <f>IF(Z$3="","",IF(COUNTIFS(BD!$A$3:$A$5001,Z$3,BD!$B$3:$B$5001,$A$471,BD!$AG$3:$AG$5001,"&lt;&gt;")=0,"",SUMIFS(BD!$AG$3:$AG$5001,BD!$A$3:$A$5001,Z$3,BD!$B$3:$B$5001,$A$471)))</f>
        <v/>
      </c>
      <c r="AA502" s="236" t="str">
        <f>IF(AA$3="","",IF(COUNTIFS(BD!$A$3:$A$5001,AA$3,BD!$B$3:$B$5001,$A$471,BD!$AG$3:$AG$5001,"&lt;&gt;")=0,"",SUMIFS(BD!$AG$3:$AG$5001,BD!$A$3:$A$5001,AA$3,BD!$B$3:$B$5001,$A$471)))</f>
        <v/>
      </c>
      <c r="AB502" s="236" t="str">
        <f>IF(AB$3="","",IF(COUNTIFS(BD!$A$3:$A$5001,AB$3,BD!$B$3:$B$5001,$A$471,BD!$AG$3:$AG$5001,"&lt;&gt;")=0,"",SUMIFS(BD!$AG$3:$AG$5001,BD!$A$3:$A$5001,AB$3,BD!$B$3:$B$5001,$A$471)))</f>
        <v/>
      </c>
      <c r="AC502" s="236" t="str">
        <f>IF(AC$3="","",IF(COUNTIFS(BD!$A$3:$A$5001,AC$3,BD!$B$3:$B$5001,$A$471,BD!$AG$3:$AG$5001,"&lt;&gt;")=0,"",SUMIFS(BD!$AG$3:$AG$5001,BD!$A$3:$A$5001,AC$3,BD!$B$3:$B$5001,$A$471)))</f>
        <v/>
      </c>
      <c r="AD502" s="236" t="str">
        <f>IF(AD$3="","",IF(COUNTIFS(BD!$A$3:$A$5001,AD$3,BD!$B$3:$B$5001,$A$471,BD!$AG$3:$AG$5001,"&lt;&gt;")=0,"",SUMIFS(BD!$AG$3:$AG$5001,BD!$A$3:$A$5001,AD$3,BD!$B$3:$B$5001,$A$471)))</f>
        <v/>
      </c>
      <c r="AE502" s="236" t="str">
        <f>IF(AE$3="","",IF(COUNTIFS(BD!$A$3:$A$5001,AE$3,BD!$B$3:$B$5001,$A$471,BD!$AG$3:$AG$5001,"&lt;&gt;")=0,"",SUMIFS(BD!$AG$3:$AG$5001,BD!$A$3:$A$5001,AE$3,BD!$B$3:$B$5001,$A$471)))</f>
        <v/>
      </c>
      <c r="AF502" s="236" t="str">
        <f>IF(AF$3="","",IF(COUNTIFS(BD!$A$3:$A$5001,AF$3,BD!$B$3:$B$5001,$A$471,BD!$AG$3:$AG$5001,"&lt;&gt;")=0,"",SUMIFS(BD!$AG$3:$AG$5001,BD!$A$3:$A$5001,AF$3,BD!$B$3:$B$5001,$A$471)))</f>
        <v/>
      </c>
      <c r="AG502" s="236" t="str">
        <f>IF(AG$3="","",IF(COUNTIFS(BD!$A$3:$A$5001,AG$3,BD!$B$3:$B$5001,$A$471,BD!$AG$3:$AG$5001,"&lt;&gt;")=0,"",SUMIFS(BD!$AG$3:$AG$5001,BD!$A$3:$A$5001,AG$3,BD!$B$3:$B$5001,$A$471)))</f>
        <v/>
      </c>
      <c r="AH502" s="236" t="str">
        <f>IF(AH$3="","",IF(COUNTIFS(BD!$A$3:$A$5001,AH$3,BD!$B$3:$B$5001,$A$471,BD!$AG$3:$AG$5001,"&lt;&gt;")=0,"",SUMIFS(BD!$AG$3:$AG$5001,BD!$A$3:$A$5001,AH$3,BD!$B$3:$B$5001,$A$471)))</f>
        <v/>
      </c>
      <c r="AI502" s="236" t="str">
        <f>IF(AI$3="","",IF(COUNTIFS(BD!$A$3:$A$5001,AI$3,BD!$B$3:$B$5001,$A$471,BD!$AG$3:$AG$5001,"&lt;&gt;")=0,"",SUMIFS(BD!$AG$3:$AG$5001,BD!$A$3:$A$5001,AI$3,BD!$B$3:$B$5001,$A$471)))</f>
        <v/>
      </c>
      <c r="AJ502" s="237" t="str">
        <f>IF(AJ$3="","",IF(COUNTIFS(BD!$A$3:$A$5001,AJ$3,BD!$B$3:$B$5001,$A$471,BD!$AG$3:$AG$5001,"&lt;&gt;")=0,"",SUMIFS(BD!$AG$3:$AG$5001,BD!$A$3:$A$5001,AJ$3,BD!$B$3:$B$5001,$A$471)))</f>
        <v/>
      </c>
      <c r="AK502" s="238" t="str">
        <f>IF(COUNT(F502:AJ502)=0,"",SUM(F502:AJ502))</f>
        <v/>
      </c>
    </row>
    <row r="503" ht="15.75" customHeight="1" hidden="1">
      <c r="A503" s="262"/>
      <c r="B503" s="259"/>
      <c r="C503" s="243" t="inlineStr">
        <is>
          <t xml:space="preserve">Acidentes SAF</t>
        </is>
      </c>
      <c r="D503" s="244" t="str">
        <f>IFERROR(1/(1/INDEX(BD!$AL$55:$BF$55,MATCH($A$471,BD!$AL$22:$BF$22,0))),"")</f>
        <v/>
      </c>
      <c r="E503" s="245"/>
      <c r="F503" s="246" t="str">
        <f>IF(F$3="","",IF(COUNTIFS(BD!$A$3:$A$5001,F$3,BD!$B$3:$B$5001,$A$471,BD!$AH$3:$AH$5001,"&lt;&gt;")=0,"",SUMIFS(BD!$AH$3:$AH$5001,BD!$A$3:$A$5001,F$3,BD!$B$3:$B$5001,$A$471)))</f>
        <v/>
      </c>
      <c r="G503" s="247" t="str">
        <f>IF(G$3="","",IF(COUNTIFS(BD!$A$3:$A$5001,G$3,BD!$B$3:$B$5001,$A$471,BD!$AH$3:$AH$5001,"&lt;&gt;")=0,"",SUMIFS(BD!$AH$3:$AH$5001,BD!$A$3:$A$5001,G$3,BD!$B$3:$B$5001,$A$471)))</f>
        <v/>
      </c>
      <c r="H503" s="247" t="str">
        <f>IF(H$3="","",IF(COUNTIFS(BD!$A$3:$A$5001,H$3,BD!$B$3:$B$5001,$A$471,BD!$AH$3:$AH$5001,"&lt;&gt;")=0,"",SUMIFS(BD!$AH$3:$AH$5001,BD!$A$3:$A$5001,H$3,BD!$B$3:$B$5001,$A$471)))</f>
        <v/>
      </c>
      <c r="I503" s="247" t="str">
        <f>IF(I$3="","",IF(COUNTIFS(BD!$A$3:$A$5001,I$3,BD!$B$3:$B$5001,$A$471,BD!$AH$3:$AH$5001,"&lt;&gt;")=0,"",SUMIFS(BD!$AH$3:$AH$5001,BD!$A$3:$A$5001,I$3,BD!$B$3:$B$5001,$A$471)))</f>
        <v/>
      </c>
      <c r="J503" s="247" t="str">
        <f>IF(J$3="","",IF(COUNTIFS(BD!$A$3:$A$5001,J$3,BD!$B$3:$B$5001,$A$471,BD!$AH$3:$AH$5001,"&lt;&gt;")=0,"",SUMIFS(BD!$AH$3:$AH$5001,BD!$A$3:$A$5001,J$3,BD!$B$3:$B$5001,$A$471)))</f>
        <v/>
      </c>
      <c r="K503" s="247" t="str">
        <f>IF(K$3="","",IF(COUNTIFS(BD!$A$3:$A$5001,K$3,BD!$B$3:$B$5001,$A$471,BD!$AH$3:$AH$5001,"&lt;&gt;")=0,"",SUMIFS(BD!$AH$3:$AH$5001,BD!$A$3:$A$5001,K$3,BD!$B$3:$B$5001,$A$471)))</f>
        <v/>
      </c>
      <c r="L503" s="247" t="str">
        <f>IF(L$3="","",IF(COUNTIFS(BD!$A$3:$A$5001,L$3,BD!$B$3:$B$5001,$A$471,BD!$AH$3:$AH$5001,"&lt;&gt;")=0,"",SUMIFS(BD!$AH$3:$AH$5001,BD!$A$3:$A$5001,L$3,BD!$B$3:$B$5001,$A$471)))</f>
        <v/>
      </c>
      <c r="M503" s="247" t="str">
        <f>IF(M$3="","",IF(COUNTIFS(BD!$A$3:$A$5001,M$3,BD!$B$3:$B$5001,$A$471,BD!$AH$3:$AH$5001,"&lt;&gt;")=0,"",SUMIFS(BD!$AH$3:$AH$5001,BD!$A$3:$A$5001,M$3,BD!$B$3:$B$5001,$A$471)))</f>
        <v/>
      </c>
      <c r="N503" s="247" t="str">
        <f>IF(N$3="","",IF(COUNTIFS(BD!$A$3:$A$5001,N$3,BD!$B$3:$B$5001,$A$471,BD!$AH$3:$AH$5001,"&lt;&gt;")=0,"",SUMIFS(BD!$AH$3:$AH$5001,BD!$A$3:$A$5001,N$3,BD!$B$3:$B$5001,$A$471)))</f>
        <v/>
      </c>
      <c r="O503" s="247" t="str">
        <f>IF(O$3="","",IF(COUNTIFS(BD!$A$3:$A$5001,O$3,BD!$B$3:$B$5001,$A$471,BD!$AH$3:$AH$5001,"&lt;&gt;")=0,"",SUMIFS(BD!$AH$3:$AH$5001,BD!$A$3:$A$5001,O$3,BD!$B$3:$B$5001,$A$471)))</f>
        <v/>
      </c>
      <c r="P503" s="247" t="str">
        <f>IF(P$3="","",IF(COUNTIFS(BD!$A$3:$A$5001,P$3,BD!$B$3:$B$5001,$A$471,BD!$AH$3:$AH$5001,"&lt;&gt;")=0,"",SUMIFS(BD!$AH$3:$AH$5001,BD!$A$3:$A$5001,P$3,BD!$B$3:$B$5001,$A$471)))</f>
        <v/>
      </c>
      <c r="Q503" s="247" t="str">
        <f>IF(Q$3="","",IF(COUNTIFS(BD!$A$3:$A$5001,Q$3,BD!$B$3:$B$5001,$A$471,BD!$AH$3:$AH$5001,"&lt;&gt;")=0,"",SUMIFS(BD!$AH$3:$AH$5001,BD!$A$3:$A$5001,Q$3,BD!$B$3:$B$5001,$A$471)))</f>
        <v/>
      </c>
      <c r="R503" s="247" t="str">
        <f>IF(R$3="","",IF(COUNTIFS(BD!$A$3:$A$5001,R$3,BD!$B$3:$B$5001,$A$471,BD!$AH$3:$AH$5001,"&lt;&gt;")=0,"",SUMIFS(BD!$AH$3:$AH$5001,BD!$A$3:$A$5001,R$3,BD!$B$3:$B$5001,$A$471)))</f>
        <v/>
      </c>
      <c r="S503" s="247" t="str">
        <f>IF(S$3="","",IF(COUNTIFS(BD!$A$3:$A$5001,S$3,BD!$B$3:$B$5001,$A$471,BD!$AH$3:$AH$5001,"&lt;&gt;")=0,"",SUMIFS(BD!$AH$3:$AH$5001,BD!$A$3:$A$5001,S$3,BD!$B$3:$B$5001,$A$471)))</f>
        <v/>
      </c>
      <c r="T503" s="247" t="str">
        <f>IF(T$3="","",IF(COUNTIFS(BD!$A$3:$A$5001,T$3,BD!$B$3:$B$5001,$A$471,BD!$AH$3:$AH$5001,"&lt;&gt;")=0,"",SUMIFS(BD!$AH$3:$AH$5001,BD!$A$3:$A$5001,T$3,BD!$B$3:$B$5001,$A$471)))</f>
        <v/>
      </c>
      <c r="U503" s="247" t="str">
        <f>IF(U$3="","",IF(COUNTIFS(BD!$A$3:$A$5001,U$3,BD!$B$3:$B$5001,$A$471,BD!$AH$3:$AH$5001,"&lt;&gt;")=0,"",SUMIFS(BD!$AH$3:$AH$5001,BD!$A$3:$A$5001,U$3,BD!$B$3:$B$5001,$A$471)))</f>
        <v/>
      </c>
      <c r="V503" s="247" t="str">
        <f>IF(V$3="","",IF(COUNTIFS(BD!$A$3:$A$5001,V$3,BD!$B$3:$B$5001,$A$471,BD!$AH$3:$AH$5001,"&lt;&gt;")=0,"",SUMIFS(BD!$AH$3:$AH$5001,BD!$A$3:$A$5001,V$3,BD!$B$3:$B$5001,$A$471)))</f>
        <v/>
      </c>
      <c r="W503" s="247" t="str">
        <f>IF(W$3="","",IF(COUNTIFS(BD!$A$3:$A$5001,W$3,BD!$B$3:$B$5001,$A$471,BD!$AH$3:$AH$5001,"&lt;&gt;")=0,"",SUMIFS(BD!$AH$3:$AH$5001,BD!$A$3:$A$5001,W$3,BD!$B$3:$B$5001,$A$471)))</f>
        <v/>
      </c>
      <c r="X503" s="247" t="str">
        <f>IF(X$3="","",IF(COUNTIFS(BD!$A$3:$A$5001,X$3,BD!$B$3:$B$5001,$A$471,BD!$AH$3:$AH$5001,"&lt;&gt;")=0,"",SUMIFS(BD!$AH$3:$AH$5001,BD!$A$3:$A$5001,X$3,BD!$B$3:$B$5001,$A$471)))</f>
        <v/>
      </c>
      <c r="Y503" s="247" t="str">
        <f>IF(Y$3="","",IF(COUNTIFS(BD!$A$3:$A$5001,Y$3,BD!$B$3:$B$5001,$A$471,BD!$AH$3:$AH$5001,"&lt;&gt;")=0,"",SUMIFS(BD!$AH$3:$AH$5001,BD!$A$3:$A$5001,Y$3,BD!$B$3:$B$5001,$A$471)))</f>
        <v/>
      </c>
      <c r="Z503" s="247" t="str">
        <f>IF(Z$3="","",IF(COUNTIFS(BD!$A$3:$A$5001,Z$3,BD!$B$3:$B$5001,$A$471,BD!$AH$3:$AH$5001,"&lt;&gt;")=0,"",SUMIFS(BD!$AH$3:$AH$5001,BD!$A$3:$A$5001,Z$3,BD!$B$3:$B$5001,$A$471)))</f>
        <v/>
      </c>
      <c r="AA503" s="247" t="str">
        <f>IF(AA$3="","",IF(COUNTIFS(BD!$A$3:$A$5001,AA$3,BD!$B$3:$B$5001,$A$471,BD!$AH$3:$AH$5001,"&lt;&gt;")=0,"",SUMIFS(BD!$AH$3:$AH$5001,BD!$A$3:$A$5001,AA$3,BD!$B$3:$B$5001,$A$471)))</f>
        <v/>
      </c>
      <c r="AB503" s="247" t="str">
        <f>IF(AB$3="","",IF(COUNTIFS(BD!$A$3:$A$5001,AB$3,BD!$B$3:$B$5001,$A$471,BD!$AH$3:$AH$5001,"&lt;&gt;")=0,"",SUMIFS(BD!$AH$3:$AH$5001,BD!$A$3:$A$5001,AB$3,BD!$B$3:$B$5001,$A$471)))</f>
        <v/>
      </c>
      <c r="AC503" s="247" t="str">
        <f>IF(AC$3="","",IF(COUNTIFS(BD!$A$3:$A$5001,AC$3,BD!$B$3:$B$5001,$A$471,BD!$AH$3:$AH$5001,"&lt;&gt;")=0,"",SUMIFS(BD!$AH$3:$AH$5001,BD!$A$3:$A$5001,AC$3,BD!$B$3:$B$5001,$A$471)))</f>
        <v/>
      </c>
      <c r="AD503" s="247" t="str">
        <f>IF(AD$3="","",IF(COUNTIFS(BD!$A$3:$A$5001,AD$3,BD!$B$3:$B$5001,$A$471,BD!$AH$3:$AH$5001,"&lt;&gt;")=0,"",SUMIFS(BD!$AH$3:$AH$5001,BD!$A$3:$A$5001,AD$3,BD!$B$3:$B$5001,$A$471)))</f>
        <v/>
      </c>
      <c r="AE503" s="247" t="str">
        <f>IF(AE$3="","",IF(COUNTIFS(BD!$A$3:$A$5001,AE$3,BD!$B$3:$B$5001,$A$471,BD!$AH$3:$AH$5001,"&lt;&gt;")=0,"",SUMIFS(BD!$AH$3:$AH$5001,BD!$A$3:$A$5001,AE$3,BD!$B$3:$B$5001,$A$471)))</f>
        <v/>
      </c>
      <c r="AF503" s="247" t="str">
        <f>IF(AF$3="","",IF(COUNTIFS(BD!$A$3:$A$5001,AF$3,BD!$B$3:$B$5001,$A$471,BD!$AH$3:$AH$5001,"&lt;&gt;")=0,"",SUMIFS(BD!$AH$3:$AH$5001,BD!$A$3:$A$5001,AF$3,BD!$B$3:$B$5001,$A$471)))</f>
        <v/>
      </c>
      <c r="AG503" s="247" t="str">
        <f>IF(AG$3="","",IF(COUNTIFS(BD!$A$3:$A$5001,AG$3,BD!$B$3:$B$5001,$A$471,BD!$AH$3:$AH$5001,"&lt;&gt;")=0,"",SUMIFS(BD!$AH$3:$AH$5001,BD!$A$3:$A$5001,AG$3,BD!$B$3:$B$5001,$A$471)))</f>
        <v/>
      </c>
      <c r="AH503" s="247" t="str">
        <f>IF(AH$3="","",IF(COUNTIFS(BD!$A$3:$A$5001,AH$3,BD!$B$3:$B$5001,$A$471,BD!$AH$3:$AH$5001,"&lt;&gt;")=0,"",SUMIFS(BD!$AH$3:$AH$5001,BD!$A$3:$A$5001,AH$3,BD!$B$3:$B$5001,$A$471)))</f>
        <v/>
      </c>
      <c r="AI503" s="247" t="str">
        <f>IF(AI$3="","",IF(COUNTIFS(BD!$A$3:$A$5001,AI$3,BD!$B$3:$B$5001,$A$471,BD!$AH$3:$AH$5001,"&lt;&gt;")=0,"",SUMIFS(BD!$AH$3:$AH$5001,BD!$A$3:$A$5001,AI$3,BD!$B$3:$B$5001,$A$471)))</f>
        <v/>
      </c>
      <c r="AJ503" s="248" t="str">
        <f>IF(AJ$3="","",IF(COUNTIFS(BD!$A$3:$A$5001,AJ$3,BD!$B$3:$B$5001,$A$471,BD!$AH$3:$AH$5001,"&lt;&gt;")=0,"",SUMIFS(BD!$AH$3:$AH$5001,BD!$A$3:$A$5001,AJ$3,BD!$B$3:$B$5001,$A$471)))</f>
        <v/>
      </c>
      <c r="AK503" s="244" t="str">
        <f>IF(COUNT(F503:AJ503)=0,"",SUM(F503:AJ503))</f>
        <v/>
      </c>
    </row>
    <row r="505" ht="15.75" customHeight="1" hidden="1">
      <c r="A505" s="260"/>
      <c r="B505" s="249" t="inlineStr">
        <is>
          <t xml:space="preserve">IN</t>
        </is>
      </c>
      <c r="C505" s="168" t="inlineStr">
        <is>
          <t xml:space="preserve">Veículos Recebidos</t>
        </is>
      </c>
      <c r="D505" s="169" t="str">
        <f>IFERROR(1/(1/INDEX(BD!$AL$23:$BF$23,MATCH($A$505,BD!$AL$22:$BF$22,0))),"")</f>
        <v/>
      </c>
      <c r="E505" s="170"/>
      <c r="F505" s="171" t="str">
        <f>IF(F$3="","",IF(COUNTIFS(BD!$A$3:$A$5001,F$3,BD!$B$3:$B$5001,$A$505,BD!$C$3:$C$5001,"&lt;&gt;")=0,"",SUMIFS(BD!$C$3:$C$5001,BD!$A$3:$A$5001,F$3,BD!$B$3:$B$5001,$A$505)))</f>
        <v/>
      </c>
      <c r="G505" s="172" t="str">
        <f>IF(G$3="","",IF(COUNTIFS(BD!$A$3:$A$5001,G$3,BD!$B$3:$B$5001,$A$505,BD!$C$3:$C$5001,"&lt;&gt;")=0,"",SUMIFS(BD!$C$3:$C$5001,BD!$A$3:$A$5001,G$3,BD!$B$3:$B$5001,$A$505)))</f>
        <v/>
      </c>
      <c r="H505" s="172" t="str">
        <f>IF(H$3="","",IF(COUNTIFS(BD!$A$3:$A$5001,H$3,BD!$B$3:$B$5001,$A$505,BD!$C$3:$C$5001,"&lt;&gt;")=0,"",SUMIFS(BD!$C$3:$C$5001,BD!$A$3:$A$5001,H$3,BD!$B$3:$B$5001,$A$505)))</f>
        <v/>
      </c>
      <c r="I505" s="172" t="str">
        <f>IF(I$3="","",IF(COUNTIFS(BD!$A$3:$A$5001,I$3,BD!$B$3:$B$5001,$A$505,BD!$C$3:$C$5001,"&lt;&gt;")=0,"",SUMIFS(BD!$C$3:$C$5001,BD!$A$3:$A$5001,I$3,BD!$B$3:$B$5001,$A$505)))</f>
        <v/>
      </c>
      <c r="J505" s="172" t="str">
        <f>IF(J$3="","",IF(COUNTIFS(BD!$A$3:$A$5001,J$3,BD!$B$3:$B$5001,$A$505,BD!$C$3:$C$5001,"&lt;&gt;")=0,"",SUMIFS(BD!$C$3:$C$5001,BD!$A$3:$A$5001,J$3,BD!$B$3:$B$5001,$A$505)))</f>
        <v/>
      </c>
      <c r="K505" s="172" t="str">
        <f>IF(K$3="","",IF(COUNTIFS(BD!$A$3:$A$5001,K$3,BD!$B$3:$B$5001,$A$505,BD!$C$3:$C$5001,"&lt;&gt;")=0,"",SUMIFS(BD!$C$3:$C$5001,BD!$A$3:$A$5001,K$3,BD!$B$3:$B$5001,$A$505)))</f>
        <v/>
      </c>
      <c r="L505" s="172" t="str">
        <f>IF(L$3="","",IF(COUNTIFS(BD!$A$3:$A$5001,L$3,BD!$B$3:$B$5001,$A$505,BD!$C$3:$C$5001,"&lt;&gt;")=0,"",SUMIFS(BD!$C$3:$C$5001,BD!$A$3:$A$5001,L$3,BD!$B$3:$B$5001,$A$505)))</f>
        <v/>
      </c>
      <c r="M505" s="172" t="str">
        <f>IF(M$3="","",IF(COUNTIFS(BD!$A$3:$A$5001,M$3,BD!$B$3:$B$5001,$A$505,BD!$C$3:$C$5001,"&lt;&gt;")=0,"",SUMIFS(BD!$C$3:$C$5001,BD!$A$3:$A$5001,M$3,BD!$B$3:$B$5001,$A$505)))</f>
        <v/>
      </c>
      <c r="N505" s="172" t="str">
        <f>IF(N$3="","",IF(COUNTIFS(BD!$A$3:$A$5001,N$3,BD!$B$3:$B$5001,$A$505,BD!$C$3:$C$5001,"&lt;&gt;")=0,"",SUMIFS(BD!$C$3:$C$5001,BD!$A$3:$A$5001,N$3,BD!$B$3:$B$5001,$A$505)))</f>
        <v/>
      </c>
      <c r="O505" s="172" t="str">
        <f>IF(O$3="","",IF(COUNTIFS(BD!$A$3:$A$5001,O$3,BD!$B$3:$B$5001,$A$505,BD!$C$3:$C$5001,"&lt;&gt;")=0,"",SUMIFS(BD!$C$3:$C$5001,BD!$A$3:$A$5001,O$3,BD!$B$3:$B$5001,$A$505)))</f>
        <v/>
      </c>
      <c r="P505" s="172" t="str">
        <f>IF(P$3="","",IF(COUNTIFS(BD!$A$3:$A$5001,P$3,BD!$B$3:$B$5001,$A$505,BD!$C$3:$C$5001,"&lt;&gt;")=0,"",SUMIFS(BD!$C$3:$C$5001,BD!$A$3:$A$5001,P$3,BD!$B$3:$B$5001,$A$505)))</f>
        <v/>
      </c>
      <c r="Q505" s="172" t="str">
        <f>IF(Q$3="","",IF(COUNTIFS(BD!$A$3:$A$5001,Q$3,BD!$B$3:$B$5001,$A$505,BD!$C$3:$C$5001,"&lt;&gt;")=0,"",SUMIFS(BD!$C$3:$C$5001,BD!$A$3:$A$5001,Q$3,BD!$B$3:$B$5001,$A$505)))</f>
        <v/>
      </c>
      <c r="R505" s="172" t="str">
        <f>IF(R$3="","",IF(COUNTIFS(BD!$A$3:$A$5001,R$3,BD!$B$3:$B$5001,$A$505,BD!$C$3:$C$5001,"&lt;&gt;")=0,"",SUMIFS(BD!$C$3:$C$5001,BD!$A$3:$A$5001,R$3,BD!$B$3:$B$5001,$A$505)))</f>
        <v/>
      </c>
      <c r="S505" s="172" t="str">
        <f>IF(S$3="","",IF(COUNTIFS(BD!$A$3:$A$5001,S$3,BD!$B$3:$B$5001,$A$505,BD!$C$3:$C$5001,"&lt;&gt;")=0,"",SUMIFS(BD!$C$3:$C$5001,BD!$A$3:$A$5001,S$3,BD!$B$3:$B$5001,$A$505)))</f>
        <v/>
      </c>
      <c r="T505" s="172" t="str">
        <f>IF(T$3="","",IF(COUNTIFS(BD!$A$3:$A$5001,T$3,BD!$B$3:$B$5001,$A$505,BD!$C$3:$C$5001,"&lt;&gt;")=0,"",SUMIFS(BD!$C$3:$C$5001,BD!$A$3:$A$5001,T$3,BD!$B$3:$B$5001,$A$505)))</f>
        <v/>
      </c>
      <c r="U505" s="172" t="str">
        <f>IF(U$3="","",IF(COUNTIFS(BD!$A$3:$A$5001,U$3,BD!$B$3:$B$5001,$A$505,BD!$C$3:$C$5001,"&lt;&gt;")=0,"",SUMIFS(BD!$C$3:$C$5001,BD!$A$3:$A$5001,U$3,BD!$B$3:$B$5001,$A$505)))</f>
        <v/>
      </c>
      <c r="V505" s="172" t="str">
        <f>IF(V$3="","",IF(COUNTIFS(BD!$A$3:$A$5001,V$3,BD!$B$3:$B$5001,$A$505,BD!$C$3:$C$5001,"&lt;&gt;")=0,"",SUMIFS(BD!$C$3:$C$5001,BD!$A$3:$A$5001,V$3,BD!$B$3:$B$5001,$A$505)))</f>
        <v/>
      </c>
      <c r="W505" s="172" t="str">
        <f>IF(W$3="","",IF(COUNTIFS(BD!$A$3:$A$5001,W$3,BD!$B$3:$B$5001,$A$505,BD!$C$3:$C$5001,"&lt;&gt;")=0,"",SUMIFS(BD!$C$3:$C$5001,BD!$A$3:$A$5001,W$3,BD!$B$3:$B$5001,$A$505)))</f>
        <v/>
      </c>
      <c r="X505" s="172" t="str">
        <f>IF(X$3="","",IF(COUNTIFS(BD!$A$3:$A$5001,X$3,BD!$B$3:$B$5001,$A$505,BD!$C$3:$C$5001,"&lt;&gt;")=0,"",SUMIFS(BD!$C$3:$C$5001,BD!$A$3:$A$5001,X$3,BD!$B$3:$B$5001,$A$505)))</f>
        <v/>
      </c>
      <c r="Y505" s="172" t="str">
        <f>IF(Y$3="","",IF(COUNTIFS(BD!$A$3:$A$5001,Y$3,BD!$B$3:$B$5001,$A$505,BD!$C$3:$C$5001,"&lt;&gt;")=0,"",SUMIFS(BD!$C$3:$C$5001,BD!$A$3:$A$5001,Y$3,BD!$B$3:$B$5001,$A$505)))</f>
        <v/>
      </c>
      <c r="Z505" s="172" t="str">
        <f>IF(Z$3="","",IF(COUNTIFS(BD!$A$3:$A$5001,Z$3,BD!$B$3:$B$5001,$A$505,BD!$C$3:$C$5001,"&lt;&gt;")=0,"",SUMIFS(BD!$C$3:$C$5001,BD!$A$3:$A$5001,Z$3,BD!$B$3:$B$5001,$A$505)))</f>
        <v/>
      </c>
      <c r="AA505" s="172" t="str">
        <f>IF(AA$3="","",IF(COUNTIFS(BD!$A$3:$A$5001,AA$3,BD!$B$3:$B$5001,$A$505,BD!$C$3:$C$5001,"&lt;&gt;")=0,"",SUMIFS(BD!$C$3:$C$5001,BD!$A$3:$A$5001,AA$3,BD!$B$3:$B$5001,$A$505)))</f>
        <v/>
      </c>
      <c r="AB505" s="172" t="str">
        <f>IF(AB$3="","",IF(COUNTIFS(BD!$A$3:$A$5001,AB$3,BD!$B$3:$B$5001,$A$505,BD!$C$3:$C$5001,"&lt;&gt;")=0,"",SUMIFS(BD!$C$3:$C$5001,BD!$A$3:$A$5001,AB$3,BD!$B$3:$B$5001,$A$505)))</f>
        <v/>
      </c>
      <c r="AC505" s="172" t="str">
        <f>IF(AC$3="","",IF(COUNTIFS(BD!$A$3:$A$5001,AC$3,BD!$B$3:$B$5001,$A$505,BD!$C$3:$C$5001,"&lt;&gt;")=0,"",SUMIFS(BD!$C$3:$C$5001,BD!$A$3:$A$5001,AC$3,BD!$B$3:$B$5001,$A$505)))</f>
        <v/>
      </c>
      <c r="AD505" s="172" t="str">
        <f>IF(AD$3="","",IF(COUNTIFS(BD!$A$3:$A$5001,AD$3,BD!$B$3:$B$5001,$A$505,BD!$C$3:$C$5001,"&lt;&gt;")=0,"",SUMIFS(BD!$C$3:$C$5001,BD!$A$3:$A$5001,AD$3,BD!$B$3:$B$5001,$A$505)))</f>
        <v/>
      </c>
      <c r="AE505" s="172" t="str">
        <f>IF(AE$3="","",IF(COUNTIFS(BD!$A$3:$A$5001,AE$3,BD!$B$3:$B$5001,$A$505,BD!$C$3:$C$5001,"&lt;&gt;")=0,"",SUMIFS(BD!$C$3:$C$5001,BD!$A$3:$A$5001,AE$3,BD!$B$3:$B$5001,$A$505)))</f>
        <v/>
      </c>
      <c r="AF505" s="172" t="str">
        <f>IF(AF$3="","",IF(COUNTIFS(BD!$A$3:$A$5001,AF$3,BD!$B$3:$B$5001,$A$505,BD!$C$3:$C$5001,"&lt;&gt;")=0,"",SUMIFS(BD!$C$3:$C$5001,BD!$A$3:$A$5001,AF$3,BD!$B$3:$B$5001,$A$505)))</f>
        <v/>
      </c>
      <c r="AG505" s="172" t="str">
        <f>IF(AG$3="","",IF(COUNTIFS(BD!$A$3:$A$5001,AG$3,BD!$B$3:$B$5001,$A$505,BD!$C$3:$C$5001,"&lt;&gt;")=0,"",SUMIFS(BD!$C$3:$C$5001,BD!$A$3:$A$5001,AG$3,BD!$B$3:$B$5001,$A$505)))</f>
        <v/>
      </c>
      <c r="AH505" s="172" t="str">
        <f>IF(AH$3="","",IF(COUNTIFS(BD!$A$3:$A$5001,AH$3,BD!$B$3:$B$5001,$A$505,BD!$C$3:$C$5001,"&lt;&gt;")=0,"",SUMIFS(BD!$C$3:$C$5001,BD!$A$3:$A$5001,AH$3,BD!$B$3:$B$5001,$A$505)))</f>
        <v/>
      </c>
      <c r="AI505" s="172" t="str">
        <f>IF(AI$3="","",IF(COUNTIFS(BD!$A$3:$A$5001,AI$3,BD!$B$3:$B$5001,$A$505,BD!$C$3:$C$5001,"&lt;&gt;")=0,"",SUMIFS(BD!$C$3:$C$5001,BD!$A$3:$A$5001,AI$3,BD!$B$3:$B$5001,$A$505)))</f>
        <v/>
      </c>
      <c r="AJ505" s="173" t="str">
        <f>IF(AJ$3="","",IF(COUNTIFS(BD!$A$3:$A$5001,AJ$3,BD!$B$3:$B$5001,$A$505,BD!$C$3:$C$5001,"&lt;&gt;")=0,"",SUMIFS(BD!$C$3:$C$5001,BD!$A$3:$A$5001,AJ$3,BD!$B$3:$B$5001,$A$505)))</f>
        <v/>
      </c>
      <c r="AK505" s="174" t="str">
        <f>IF(COUNT(F505:AJ505)=0,"",SUM(F505:AJ505))</f>
        <v/>
      </c>
    </row>
    <row r="506" ht="15.75" customHeight="1" hidden="1">
      <c r="A506" s="261"/>
      <c r="B506" s="256"/>
      <c r="C506" s="214" t="inlineStr">
        <is>
          <t xml:space="preserve">Pallets Movimentados</t>
        </is>
      </c>
      <c r="D506" s="215" t="str">
        <f>IFERROR(1/(1/INDEX(BD!$AL$24:$BF$24,MATCH($A$505,BD!$AL$22:$BF$22,0))),"")</f>
        <v/>
      </c>
      <c r="E506" s="216"/>
      <c r="F506" s="217" t="str">
        <f>IF(F$3="","",IF(COUNTIFS(BD!$A$3:$A$5001,F$3,BD!$B$3:$B$5001,$A$505,BD!$D$3:$D$5001,"&lt;&gt;")=0,"",SUMIFS(BD!$D$3:$D$5001,BD!$A$3:$A$5001,F$3,BD!$B$3:$B$5001,$A$505)))</f>
        <v/>
      </c>
      <c r="G506" s="218" t="str">
        <f>IF(G$3="","",IF(COUNTIFS(BD!$A$3:$A$5001,G$3,BD!$B$3:$B$5001,$A$505,BD!$D$3:$D$5001,"&lt;&gt;")=0,"",SUMIFS(BD!$D$3:$D$5001,BD!$A$3:$A$5001,G$3,BD!$B$3:$B$5001,$A$505)))</f>
        <v/>
      </c>
      <c r="H506" s="218" t="str">
        <f>IF(H$3="","",IF(COUNTIFS(BD!$A$3:$A$5001,H$3,BD!$B$3:$B$5001,$A$505,BD!$D$3:$D$5001,"&lt;&gt;")=0,"",SUMIFS(BD!$D$3:$D$5001,BD!$A$3:$A$5001,H$3,BD!$B$3:$B$5001,$A$505)))</f>
        <v/>
      </c>
      <c r="I506" s="218" t="str">
        <f>IF(I$3="","",IF(COUNTIFS(BD!$A$3:$A$5001,I$3,BD!$B$3:$B$5001,$A$505,BD!$D$3:$D$5001,"&lt;&gt;")=0,"",SUMIFS(BD!$D$3:$D$5001,BD!$A$3:$A$5001,I$3,BD!$B$3:$B$5001,$A$505)))</f>
        <v/>
      </c>
      <c r="J506" s="218" t="str">
        <f>IF(J$3="","",IF(COUNTIFS(BD!$A$3:$A$5001,J$3,BD!$B$3:$B$5001,$A$505,BD!$D$3:$D$5001,"&lt;&gt;")=0,"",SUMIFS(BD!$D$3:$D$5001,BD!$A$3:$A$5001,J$3,BD!$B$3:$B$5001,$A$505)))</f>
        <v/>
      </c>
      <c r="K506" s="218" t="str">
        <f>IF(K$3="","",IF(COUNTIFS(BD!$A$3:$A$5001,K$3,BD!$B$3:$B$5001,$A$505,BD!$D$3:$D$5001,"&lt;&gt;")=0,"",SUMIFS(BD!$D$3:$D$5001,BD!$A$3:$A$5001,K$3,BD!$B$3:$B$5001,$A$505)))</f>
        <v/>
      </c>
      <c r="L506" s="218" t="str">
        <f>IF(L$3="","",IF(COUNTIFS(BD!$A$3:$A$5001,L$3,BD!$B$3:$B$5001,$A$505,BD!$D$3:$D$5001,"&lt;&gt;")=0,"",SUMIFS(BD!$D$3:$D$5001,BD!$A$3:$A$5001,L$3,BD!$B$3:$B$5001,$A$505)))</f>
        <v/>
      </c>
      <c r="M506" s="218" t="str">
        <f>IF(M$3="","",IF(COUNTIFS(BD!$A$3:$A$5001,M$3,BD!$B$3:$B$5001,$A$505,BD!$D$3:$D$5001,"&lt;&gt;")=0,"",SUMIFS(BD!$D$3:$D$5001,BD!$A$3:$A$5001,M$3,BD!$B$3:$B$5001,$A$505)))</f>
        <v/>
      </c>
      <c r="N506" s="218" t="str">
        <f>IF(N$3="","",IF(COUNTIFS(BD!$A$3:$A$5001,N$3,BD!$B$3:$B$5001,$A$505,BD!$D$3:$D$5001,"&lt;&gt;")=0,"",SUMIFS(BD!$D$3:$D$5001,BD!$A$3:$A$5001,N$3,BD!$B$3:$B$5001,$A$505)))</f>
        <v/>
      </c>
      <c r="O506" s="218" t="str">
        <f>IF(O$3="","",IF(COUNTIFS(BD!$A$3:$A$5001,O$3,BD!$B$3:$B$5001,$A$505,BD!$D$3:$D$5001,"&lt;&gt;")=0,"",SUMIFS(BD!$D$3:$D$5001,BD!$A$3:$A$5001,O$3,BD!$B$3:$B$5001,$A$505)))</f>
        <v/>
      </c>
      <c r="P506" s="218" t="str">
        <f>IF(P$3="","",IF(COUNTIFS(BD!$A$3:$A$5001,P$3,BD!$B$3:$B$5001,$A$505,BD!$D$3:$D$5001,"&lt;&gt;")=0,"",SUMIFS(BD!$D$3:$D$5001,BD!$A$3:$A$5001,P$3,BD!$B$3:$B$5001,$A$505)))</f>
        <v/>
      </c>
      <c r="Q506" s="218" t="str">
        <f>IF(Q$3="","",IF(COUNTIFS(BD!$A$3:$A$5001,Q$3,BD!$B$3:$B$5001,$A$505,BD!$D$3:$D$5001,"&lt;&gt;")=0,"",SUMIFS(BD!$D$3:$D$5001,BD!$A$3:$A$5001,Q$3,BD!$B$3:$B$5001,$A$505)))</f>
        <v/>
      </c>
      <c r="R506" s="218" t="str">
        <f>IF(R$3="","",IF(COUNTIFS(BD!$A$3:$A$5001,R$3,BD!$B$3:$B$5001,$A$505,BD!$D$3:$D$5001,"&lt;&gt;")=0,"",SUMIFS(BD!$D$3:$D$5001,BD!$A$3:$A$5001,R$3,BD!$B$3:$B$5001,$A$505)))</f>
        <v/>
      </c>
      <c r="S506" s="218" t="str">
        <f>IF(S$3="","",IF(COUNTIFS(BD!$A$3:$A$5001,S$3,BD!$B$3:$B$5001,$A$505,BD!$D$3:$D$5001,"&lt;&gt;")=0,"",SUMIFS(BD!$D$3:$D$5001,BD!$A$3:$A$5001,S$3,BD!$B$3:$B$5001,$A$505)))</f>
        <v/>
      </c>
      <c r="T506" s="218" t="str">
        <f>IF(T$3="","",IF(COUNTIFS(BD!$A$3:$A$5001,T$3,BD!$B$3:$B$5001,$A$505,BD!$D$3:$D$5001,"&lt;&gt;")=0,"",SUMIFS(BD!$D$3:$D$5001,BD!$A$3:$A$5001,T$3,BD!$B$3:$B$5001,$A$505)))</f>
        <v/>
      </c>
      <c r="U506" s="218" t="str">
        <f>IF(U$3="","",IF(COUNTIFS(BD!$A$3:$A$5001,U$3,BD!$B$3:$B$5001,$A$505,BD!$D$3:$D$5001,"&lt;&gt;")=0,"",SUMIFS(BD!$D$3:$D$5001,BD!$A$3:$A$5001,U$3,BD!$B$3:$B$5001,$A$505)))</f>
        <v/>
      </c>
      <c r="V506" s="218" t="str">
        <f>IF(V$3="","",IF(COUNTIFS(BD!$A$3:$A$5001,V$3,BD!$B$3:$B$5001,$A$505,BD!$D$3:$D$5001,"&lt;&gt;")=0,"",SUMIFS(BD!$D$3:$D$5001,BD!$A$3:$A$5001,V$3,BD!$B$3:$B$5001,$A$505)))</f>
        <v/>
      </c>
      <c r="W506" s="218" t="str">
        <f>IF(W$3="","",IF(COUNTIFS(BD!$A$3:$A$5001,W$3,BD!$B$3:$B$5001,$A$505,BD!$D$3:$D$5001,"&lt;&gt;")=0,"",SUMIFS(BD!$D$3:$D$5001,BD!$A$3:$A$5001,W$3,BD!$B$3:$B$5001,$A$505)))</f>
        <v/>
      </c>
      <c r="X506" s="218" t="str">
        <f>IF(X$3="","",IF(COUNTIFS(BD!$A$3:$A$5001,X$3,BD!$B$3:$B$5001,$A$505,BD!$D$3:$D$5001,"&lt;&gt;")=0,"",SUMIFS(BD!$D$3:$D$5001,BD!$A$3:$A$5001,X$3,BD!$B$3:$B$5001,$A$505)))</f>
        <v/>
      </c>
      <c r="Y506" s="218" t="str">
        <f>IF(Y$3="","",IF(COUNTIFS(BD!$A$3:$A$5001,Y$3,BD!$B$3:$B$5001,$A$505,BD!$D$3:$D$5001,"&lt;&gt;")=0,"",SUMIFS(BD!$D$3:$D$5001,BD!$A$3:$A$5001,Y$3,BD!$B$3:$B$5001,$A$505)))</f>
        <v/>
      </c>
      <c r="Z506" s="218" t="str">
        <f>IF(Z$3="","",IF(COUNTIFS(BD!$A$3:$A$5001,Z$3,BD!$B$3:$B$5001,$A$505,BD!$D$3:$D$5001,"&lt;&gt;")=0,"",SUMIFS(BD!$D$3:$D$5001,BD!$A$3:$A$5001,Z$3,BD!$B$3:$B$5001,$A$505)))</f>
        <v/>
      </c>
      <c r="AA506" s="218" t="str">
        <f>IF(AA$3="","",IF(COUNTIFS(BD!$A$3:$A$5001,AA$3,BD!$B$3:$B$5001,$A$505,BD!$D$3:$D$5001,"&lt;&gt;")=0,"",SUMIFS(BD!$D$3:$D$5001,BD!$A$3:$A$5001,AA$3,BD!$B$3:$B$5001,$A$505)))</f>
        <v/>
      </c>
      <c r="AB506" s="218" t="str">
        <f>IF(AB$3="","",IF(COUNTIFS(BD!$A$3:$A$5001,AB$3,BD!$B$3:$B$5001,$A$505,BD!$D$3:$D$5001,"&lt;&gt;")=0,"",SUMIFS(BD!$D$3:$D$5001,BD!$A$3:$A$5001,AB$3,BD!$B$3:$B$5001,$A$505)))</f>
        <v/>
      </c>
      <c r="AC506" s="218" t="str">
        <f>IF(AC$3="","",IF(COUNTIFS(BD!$A$3:$A$5001,AC$3,BD!$B$3:$B$5001,$A$505,BD!$D$3:$D$5001,"&lt;&gt;")=0,"",SUMIFS(BD!$D$3:$D$5001,BD!$A$3:$A$5001,AC$3,BD!$B$3:$B$5001,$A$505)))</f>
        <v/>
      </c>
      <c r="AD506" s="218" t="str">
        <f>IF(AD$3="","",IF(COUNTIFS(BD!$A$3:$A$5001,AD$3,BD!$B$3:$B$5001,$A$505,BD!$D$3:$D$5001,"&lt;&gt;")=0,"",SUMIFS(BD!$D$3:$D$5001,BD!$A$3:$A$5001,AD$3,BD!$B$3:$B$5001,$A$505)))</f>
        <v/>
      </c>
      <c r="AE506" s="218" t="str">
        <f>IF(AE$3="","",IF(COUNTIFS(BD!$A$3:$A$5001,AE$3,BD!$B$3:$B$5001,$A$505,BD!$D$3:$D$5001,"&lt;&gt;")=0,"",SUMIFS(BD!$D$3:$D$5001,BD!$A$3:$A$5001,AE$3,BD!$B$3:$B$5001,$A$505)))</f>
        <v/>
      </c>
      <c r="AF506" s="218" t="str">
        <f>IF(AF$3="","",IF(COUNTIFS(BD!$A$3:$A$5001,AF$3,BD!$B$3:$B$5001,$A$505,BD!$D$3:$D$5001,"&lt;&gt;")=0,"",SUMIFS(BD!$D$3:$D$5001,BD!$A$3:$A$5001,AF$3,BD!$B$3:$B$5001,$A$505)))</f>
        <v/>
      </c>
      <c r="AG506" s="218" t="str">
        <f>IF(AG$3="","",IF(COUNTIFS(BD!$A$3:$A$5001,AG$3,BD!$B$3:$B$5001,$A$505,BD!$D$3:$D$5001,"&lt;&gt;")=0,"",SUMIFS(BD!$D$3:$D$5001,BD!$A$3:$A$5001,AG$3,BD!$B$3:$B$5001,$A$505)))</f>
        <v/>
      </c>
      <c r="AH506" s="218" t="str">
        <f>IF(AH$3="","",IF(COUNTIFS(BD!$A$3:$A$5001,AH$3,BD!$B$3:$B$5001,$A$505,BD!$D$3:$D$5001,"&lt;&gt;")=0,"",SUMIFS(BD!$D$3:$D$5001,BD!$A$3:$A$5001,AH$3,BD!$B$3:$B$5001,$A$505)))</f>
        <v/>
      </c>
      <c r="AI506" s="218" t="str">
        <f>IF(AI$3="","",IF(COUNTIFS(BD!$A$3:$A$5001,AI$3,BD!$B$3:$B$5001,$A$505,BD!$D$3:$D$5001,"&lt;&gt;")=0,"",SUMIFS(BD!$D$3:$D$5001,BD!$A$3:$A$5001,AI$3,BD!$B$3:$B$5001,$A$505)))</f>
        <v/>
      </c>
      <c r="AJ506" s="219" t="str">
        <f>IF(AJ$3="","",IF(COUNTIFS(BD!$A$3:$A$5001,AJ$3,BD!$B$3:$B$5001,$A$505,BD!$D$3:$D$5001,"&lt;&gt;")=0,"",SUMIFS(BD!$D$3:$D$5001,BD!$A$3:$A$5001,AJ$3,BD!$B$3:$B$5001,$A$505)))</f>
        <v/>
      </c>
      <c r="AK506" s="220" t="str">
        <f>IF(COUNT(F506:AJ506)=0,"",SUM(F506:AJ506))</f>
        <v/>
      </c>
    </row>
    <row r="507" ht="15.75" customHeight="1" hidden="1">
      <c r="A507" s="261"/>
      <c r="B507" s="256"/>
      <c r="C507" s="214" t="inlineStr">
        <is>
          <t xml:space="preserve">Toneladas Movimentadas</t>
        </is>
      </c>
      <c r="D507" s="215" t="str">
        <f>IFERROR(1/(1/INDEX(BD!$AL$25:$BF$25,MATCH($A$505,BD!$AL$22:$BF$22,0))),"")</f>
        <v/>
      </c>
      <c r="E507" s="216"/>
      <c r="F507" s="282" t="str">
        <f>IF(F$3="","",IF(COUNTIFS(BD!$A$3:$A$5001,F$3,BD!$B$3:$B$5001,$A$505,BD!$E$3:$E$5001,"&lt;&gt;")=0,"",SUMIFS(BD!$E$3:$E$5001,BD!$A$3:$A$5001,F$3,BD!$B$3:$B$5001,$A$505)))</f>
        <v/>
      </c>
      <c r="G507" s="283" t="str">
        <f>IF(G$3="","",IF(COUNTIFS(BD!$A$3:$A$5001,G$3,BD!$B$3:$B$5001,$A$505,BD!$E$3:$E$5001,"&lt;&gt;")=0,"",SUMIFS(BD!$E$3:$E$5001,BD!$A$3:$A$5001,G$3,BD!$B$3:$B$5001,$A$505)))</f>
        <v/>
      </c>
      <c r="H507" s="283" t="str">
        <f>IF(H$3="","",IF(COUNTIFS(BD!$A$3:$A$5001,H$3,BD!$B$3:$B$5001,$A$505,BD!$E$3:$E$5001,"&lt;&gt;")=0,"",SUMIFS(BD!$E$3:$E$5001,BD!$A$3:$A$5001,H$3,BD!$B$3:$B$5001,$A$505)))</f>
        <v/>
      </c>
      <c r="I507" s="283" t="str">
        <f>IF(I$3="","",IF(COUNTIFS(BD!$A$3:$A$5001,I$3,BD!$B$3:$B$5001,$A$505,BD!$E$3:$E$5001,"&lt;&gt;")=0,"",SUMIFS(BD!$E$3:$E$5001,BD!$A$3:$A$5001,I$3,BD!$B$3:$B$5001,$A$505)))</f>
        <v/>
      </c>
      <c r="J507" s="283" t="str">
        <f>IF(J$3="","",IF(COUNTIFS(BD!$A$3:$A$5001,J$3,BD!$B$3:$B$5001,$A$505,BD!$E$3:$E$5001,"&lt;&gt;")=0,"",SUMIFS(BD!$E$3:$E$5001,BD!$A$3:$A$5001,J$3,BD!$B$3:$B$5001,$A$505)))</f>
        <v/>
      </c>
      <c r="K507" s="283" t="str">
        <f>IF(K$3="","",IF(COUNTIFS(BD!$A$3:$A$5001,K$3,BD!$B$3:$B$5001,$A$505,BD!$E$3:$E$5001,"&lt;&gt;")=0,"",SUMIFS(BD!$E$3:$E$5001,BD!$A$3:$A$5001,K$3,BD!$B$3:$B$5001,$A$505)))</f>
        <v/>
      </c>
      <c r="L507" s="283" t="str">
        <f>IF(L$3="","",IF(COUNTIFS(BD!$A$3:$A$5001,L$3,BD!$B$3:$B$5001,$A$505,BD!$E$3:$E$5001,"&lt;&gt;")=0,"",SUMIFS(BD!$E$3:$E$5001,BD!$A$3:$A$5001,L$3,BD!$B$3:$B$5001,$A$505)))</f>
        <v/>
      </c>
      <c r="M507" s="283" t="str">
        <f>IF(M$3="","",IF(COUNTIFS(BD!$A$3:$A$5001,M$3,BD!$B$3:$B$5001,$A$505,BD!$E$3:$E$5001,"&lt;&gt;")=0,"",SUMIFS(BD!$E$3:$E$5001,BD!$A$3:$A$5001,M$3,BD!$B$3:$B$5001,$A$505)))</f>
        <v/>
      </c>
      <c r="N507" s="283" t="str">
        <f>IF(N$3="","",IF(COUNTIFS(BD!$A$3:$A$5001,N$3,BD!$B$3:$B$5001,$A$505,BD!$E$3:$E$5001,"&lt;&gt;")=0,"",SUMIFS(BD!$E$3:$E$5001,BD!$A$3:$A$5001,N$3,BD!$B$3:$B$5001,$A$505)))</f>
        <v/>
      </c>
      <c r="O507" s="283" t="str">
        <f>IF(O$3="","",IF(COUNTIFS(BD!$A$3:$A$5001,O$3,BD!$B$3:$B$5001,$A$505,BD!$E$3:$E$5001,"&lt;&gt;")=0,"",SUMIFS(BD!$E$3:$E$5001,BD!$A$3:$A$5001,O$3,BD!$B$3:$B$5001,$A$505)))</f>
        <v/>
      </c>
      <c r="P507" s="283" t="str">
        <f>IF(P$3="","",IF(COUNTIFS(BD!$A$3:$A$5001,P$3,BD!$B$3:$B$5001,$A$505,BD!$E$3:$E$5001,"&lt;&gt;")=0,"",SUMIFS(BD!$E$3:$E$5001,BD!$A$3:$A$5001,P$3,BD!$B$3:$B$5001,$A$505)))</f>
        <v/>
      </c>
      <c r="Q507" s="283" t="str">
        <f>IF(Q$3="","",IF(COUNTIFS(BD!$A$3:$A$5001,Q$3,BD!$B$3:$B$5001,$A$505,BD!$E$3:$E$5001,"&lt;&gt;")=0,"",SUMIFS(BD!$E$3:$E$5001,BD!$A$3:$A$5001,Q$3,BD!$B$3:$B$5001,$A$505)))</f>
        <v/>
      </c>
      <c r="R507" s="283" t="str">
        <f>IF(R$3="","",IF(COUNTIFS(BD!$A$3:$A$5001,R$3,BD!$B$3:$B$5001,$A$505,BD!$E$3:$E$5001,"&lt;&gt;")=0,"",SUMIFS(BD!$E$3:$E$5001,BD!$A$3:$A$5001,R$3,BD!$B$3:$B$5001,$A$505)))</f>
        <v/>
      </c>
      <c r="S507" s="283" t="str">
        <f>IF(S$3="","",IF(COUNTIFS(BD!$A$3:$A$5001,S$3,BD!$B$3:$B$5001,$A$505,BD!$E$3:$E$5001,"&lt;&gt;")=0,"",SUMIFS(BD!$E$3:$E$5001,BD!$A$3:$A$5001,S$3,BD!$B$3:$B$5001,$A$505)))</f>
        <v/>
      </c>
      <c r="T507" s="283" t="str">
        <f>IF(T$3="","",IF(COUNTIFS(BD!$A$3:$A$5001,T$3,BD!$B$3:$B$5001,$A$505,BD!$E$3:$E$5001,"&lt;&gt;")=0,"",SUMIFS(BD!$E$3:$E$5001,BD!$A$3:$A$5001,T$3,BD!$B$3:$B$5001,$A$505)))</f>
        <v/>
      </c>
      <c r="U507" s="283" t="str">
        <f>IF(U$3="","",IF(COUNTIFS(BD!$A$3:$A$5001,U$3,BD!$B$3:$B$5001,$A$505,BD!$E$3:$E$5001,"&lt;&gt;")=0,"",SUMIFS(BD!$E$3:$E$5001,BD!$A$3:$A$5001,U$3,BD!$B$3:$B$5001,$A$505)))</f>
        <v/>
      </c>
      <c r="V507" s="283" t="str">
        <f>IF(V$3="","",IF(COUNTIFS(BD!$A$3:$A$5001,V$3,BD!$B$3:$B$5001,$A$505,BD!$E$3:$E$5001,"&lt;&gt;")=0,"",SUMIFS(BD!$E$3:$E$5001,BD!$A$3:$A$5001,V$3,BD!$B$3:$B$5001,$A$505)))</f>
        <v/>
      </c>
      <c r="W507" s="283" t="str">
        <f>IF(W$3="","",IF(COUNTIFS(BD!$A$3:$A$5001,W$3,BD!$B$3:$B$5001,$A$505,BD!$E$3:$E$5001,"&lt;&gt;")=0,"",SUMIFS(BD!$E$3:$E$5001,BD!$A$3:$A$5001,W$3,BD!$B$3:$B$5001,$A$505)))</f>
        <v/>
      </c>
      <c r="X507" s="283" t="str">
        <f>IF(X$3="","",IF(COUNTIFS(BD!$A$3:$A$5001,X$3,BD!$B$3:$B$5001,$A$505,BD!$E$3:$E$5001,"&lt;&gt;")=0,"",SUMIFS(BD!$E$3:$E$5001,BD!$A$3:$A$5001,X$3,BD!$B$3:$B$5001,$A$505)))</f>
        <v/>
      </c>
      <c r="Y507" s="283" t="str">
        <f>IF(Y$3="","",IF(COUNTIFS(BD!$A$3:$A$5001,Y$3,BD!$B$3:$B$5001,$A$505,BD!$E$3:$E$5001,"&lt;&gt;")=0,"",SUMIFS(BD!$E$3:$E$5001,BD!$A$3:$A$5001,Y$3,BD!$B$3:$B$5001,$A$505)))</f>
        <v/>
      </c>
      <c r="Z507" s="283" t="str">
        <f>IF(Z$3="","",IF(COUNTIFS(BD!$A$3:$A$5001,Z$3,BD!$B$3:$B$5001,$A$505,BD!$E$3:$E$5001,"&lt;&gt;")=0,"",SUMIFS(BD!$E$3:$E$5001,BD!$A$3:$A$5001,Z$3,BD!$B$3:$B$5001,$A$505)))</f>
        <v/>
      </c>
      <c r="AA507" s="283" t="str">
        <f>IF(AA$3="","",IF(COUNTIFS(BD!$A$3:$A$5001,AA$3,BD!$B$3:$B$5001,$A$505,BD!$E$3:$E$5001,"&lt;&gt;")=0,"",SUMIFS(BD!$E$3:$E$5001,BD!$A$3:$A$5001,AA$3,BD!$B$3:$B$5001,$A$505)))</f>
        <v/>
      </c>
      <c r="AB507" s="283" t="str">
        <f>IF(AB$3="","",IF(COUNTIFS(BD!$A$3:$A$5001,AB$3,BD!$B$3:$B$5001,$A$505,BD!$E$3:$E$5001,"&lt;&gt;")=0,"",SUMIFS(BD!$E$3:$E$5001,BD!$A$3:$A$5001,AB$3,BD!$B$3:$B$5001,$A$505)))</f>
        <v/>
      </c>
      <c r="AC507" s="283" t="str">
        <f>IF(AC$3="","",IF(COUNTIFS(BD!$A$3:$A$5001,AC$3,BD!$B$3:$B$5001,$A$505,BD!$E$3:$E$5001,"&lt;&gt;")=0,"",SUMIFS(BD!$E$3:$E$5001,BD!$A$3:$A$5001,AC$3,BD!$B$3:$B$5001,$A$505)))</f>
        <v/>
      </c>
      <c r="AD507" s="283" t="str">
        <f>IF(AD$3="","",IF(COUNTIFS(BD!$A$3:$A$5001,AD$3,BD!$B$3:$B$5001,$A$505,BD!$E$3:$E$5001,"&lt;&gt;")=0,"",SUMIFS(BD!$E$3:$E$5001,BD!$A$3:$A$5001,AD$3,BD!$B$3:$B$5001,$A$505)))</f>
        <v/>
      </c>
      <c r="AE507" s="283" t="str">
        <f>IF(AE$3="","",IF(COUNTIFS(BD!$A$3:$A$5001,AE$3,BD!$B$3:$B$5001,$A$505,BD!$E$3:$E$5001,"&lt;&gt;")=0,"",SUMIFS(BD!$E$3:$E$5001,BD!$A$3:$A$5001,AE$3,BD!$B$3:$B$5001,$A$505)))</f>
        <v/>
      </c>
      <c r="AF507" s="283" t="str">
        <f>IF(AF$3="","",IF(COUNTIFS(BD!$A$3:$A$5001,AF$3,BD!$B$3:$B$5001,$A$505,BD!$E$3:$E$5001,"&lt;&gt;")=0,"",SUMIFS(BD!$E$3:$E$5001,BD!$A$3:$A$5001,AF$3,BD!$B$3:$B$5001,$A$505)))</f>
        <v/>
      </c>
      <c r="AG507" s="283" t="str">
        <f>IF(AG$3="","",IF(COUNTIFS(BD!$A$3:$A$5001,AG$3,BD!$B$3:$B$5001,$A$505,BD!$E$3:$E$5001,"&lt;&gt;")=0,"",SUMIFS(BD!$E$3:$E$5001,BD!$A$3:$A$5001,AG$3,BD!$B$3:$B$5001,$A$505)))</f>
        <v/>
      </c>
      <c r="AH507" s="283" t="str">
        <f>IF(AH$3="","",IF(COUNTIFS(BD!$A$3:$A$5001,AH$3,BD!$B$3:$B$5001,$A$505,BD!$E$3:$E$5001,"&lt;&gt;")=0,"",SUMIFS(BD!$E$3:$E$5001,BD!$A$3:$A$5001,AH$3,BD!$B$3:$B$5001,$A$505)))</f>
        <v/>
      </c>
      <c r="AI507" s="283" t="str">
        <f>IF(AI$3="","",IF(COUNTIFS(BD!$A$3:$A$5001,AI$3,BD!$B$3:$B$5001,$A$505,BD!$E$3:$E$5001,"&lt;&gt;")=0,"",SUMIFS(BD!$E$3:$E$5001,BD!$A$3:$A$5001,AI$3,BD!$B$3:$B$5001,$A$505)))</f>
        <v/>
      </c>
      <c r="AJ507" s="284" t="str">
        <f>IF(AJ$3="","",IF(COUNTIFS(BD!$A$3:$A$5001,AJ$3,BD!$B$3:$B$5001,$A$505,BD!$E$3:$E$5001,"&lt;&gt;")=0,"",SUMIFS(BD!$E$3:$E$5001,BD!$A$3:$A$5001,AJ$3,BD!$B$3:$B$5001,$A$505)))</f>
        <v/>
      </c>
      <c r="AK507" s="285" t="str">
        <f>IF(COUNT(F507:AJ507)=0,"",SUM(F507:AJ507))</f>
        <v/>
      </c>
    </row>
    <row r="508" ht="15.75" customHeight="1" hidden="1">
      <c r="A508" s="261"/>
      <c r="B508" s="256"/>
      <c r="C508" s="214" t="inlineStr">
        <is>
          <t xml:space="preserve">Linhas NF</t>
        </is>
      </c>
      <c r="D508" s="215" t="str">
        <f>IFERROR(1/(1/INDEX(BD!$AL$26:$BF$26,MATCH($A$505,BD!$AL$22:$BF$22,0))),"")</f>
        <v/>
      </c>
      <c r="E508" s="216"/>
      <c r="F508" s="217" t="str">
        <f>IF(F$3="","",IF(COUNTIFS(BD!$A$3:$A$5001,F$3,BD!$B$3:$B$5001,$A$505,BD!$F$3:$F$5001,"&lt;&gt;")=0,"",SUMIFS(BD!$F$3:$F$5001,BD!$A$3:$A$5001,F$3,BD!$B$3:$B$5001,$A$505)))</f>
        <v/>
      </c>
      <c r="G508" s="218" t="str">
        <f>IF(G$3="","",IF(COUNTIFS(BD!$A$3:$A$5001,G$3,BD!$B$3:$B$5001,$A$505,BD!$F$3:$F$5001,"&lt;&gt;")=0,"",SUMIFS(BD!$F$3:$F$5001,BD!$A$3:$A$5001,G$3,BD!$B$3:$B$5001,$A$505)))</f>
        <v/>
      </c>
      <c r="H508" s="218" t="str">
        <f>IF(H$3="","",IF(COUNTIFS(BD!$A$3:$A$5001,H$3,BD!$B$3:$B$5001,$A$505,BD!$F$3:$F$5001,"&lt;&gt;")=0,"",SUMIFS(BD!$F$3:$F$5001,BD!$A$3:$A$5001,H$3,BD!$B$3:$B$5001,$A$505)))</f>
        <v/>
      </c>
      <c r="I508" s="218" t="str">
        <f>IF(I$3="","",IF(COUNTIFS(BD!$A$3:$A$5001,I$3,BD!$B$3:$B$5001,$A$505,BD!$F$3:$F$5001,"&lt;&gt;")=0,"",SUMIFS(BD!$F$3:$F$5001,BD!$A$3:$A$5001,I$3,BD!$B$3:$B$5001,$A$505)))</f>
        <v/>
      </c>
      <c r="J508" s="218" t="str">
        <f>IF(J$3="","",IF(COUNTIFS(BD!$A$3:$A$5001,J$3,BD!$B$3:$B$5001,$A$505,BD!$F$3:$F$5001,"&lt;&gt;")=0,"",SUMIFS(BD!$F$3:$F$5001,BD!$A$3:$A$5001,J$3,BD!$B$3:$B$5001,$A$505)))</f>
        <v/>
      </c>
      <c r="K508" s="218" t="str">
        <f>IF(K$3="","",IF(COUNTIFS(BD!$A$3:$A$5001,K$3,BD!$B$3:$B$5001,$A$505,BD!$F$3:$F$5001,"&lt;&gt;")=0,"",SUMIFS(BD!$F$3:$F$5001,BD!$A$3:$A$5001,K$3,BD!$B$3:$B$5001,$A$505)))</f>
        <v/>
      </c>
      <c r="L508" s="218" t="str">
        <f>IF(L$3="","",IF(COUNTIFS(BD!$A$3:$A$5001,L$3,BD!$B$3:$B$5001,$A$505,BD!$F$3:$F$5001,"&lt;&gt;")=0,"",SUMIFS(BD!$F$3:$F$5001,BD!$A$3:$A$5001,L$3,BD!$B$3:$B$5001,$A$505)))</f>
        <v/>
      </c>
      <c r="M508" s="218" t="str">
        <f>IF(M$3="","",IF(COUNTIFS(BD!$A$3:$A$5001,M$3,BD!$B$3:$B$5001,$A$505,BD!$F$3:$F$5001,"&lt;&gt;")=0,"",SUMIFS(BD!$F$3:$F$5001,BD!$A$3:$A$5001,M$3,BD!$B$3:$B$5001,$A$505)))</f>
        <v/>
      </c>
      <c r="N508" s="218" t="str">
        <f>IF(N$3="","",IF(COUNTIFS(BD!$A$3:$A$5001,N$3,BD!$B$3:$B$5001,$A$505,BD!$F$3:$F$5001,"&lt;&gt;")=0,"",SUMIFS(BD!$F$3:$F$5001,BD!$A$3:$A$5001,N$3,BD!$B$3:$B$5001,$A$505)))</f>
        <v/>
      </c>
      <c r="O508" s="218" t="str">
        <f>IF(O$3="","",IF(COUNTIFS(BD!$A$3:$A$5001,O$3,BD!$B$3:$B$5001,$A$505,BD!$F$3:$F$5001,"&lt;&gt;")=0,"",SUMIFS(BD!$F$3:$F$5001,BD!$A$3:$A$5001,O$3,BD!$B$3:$B$5001,$A$505)))</f>
        <v/>
      </c>
      <c r="P508" s="218" t="str">
        <f>IF(P$3="","",IF(COUNTIFS(BD!$A$3:$A$5001,P$3,BD!$B$3:$B$5001,$A$505,BD!$F$3:$F$5001,"&lt;&gt;")=0,"",SUMIFS(BD!$F$3:$F$5001,BD!$A$3:$A$5001,P$3,BD!$B$3:$B$5001,$A$505)))</f>
        <v/>
      </c>
      <c r="Q508" s="218" t="str">
        <f>IF(Q$3="","",IF(COUNTIFS(BD!$A$3:$A$5001,Q$3,BD!$B$3:$B$5001,$A$505,BD!$F$3:$F$5001,"&lt;&gt;")=0,"",SUMIFS(BD!$F$3:$F$5001,BD!$A$3:$A$5001,Q$3,BD!$B$3:$B$5001,$A$505)))</f>
        <v/>
      </c>
      <c r="R508" s="218" t="str">
        <f>IF(R$3="","",IF(COUNTIFS(BD!$A$3:$A$5001,R$3,BD!$B$3:$B$5001,$A$505,BD!$F$3:$F$5001,"&lt;&gt;")=0,"",SUMIFS(BD!$F$3:$F$5001,BD!$A$3:$A$5001,R$3,BD!$B$3:$B$5001,$A$505)))</f>
        <v/>
      </c>
      <c r="S508" s="218" t="str">
        <f>IF(S$3="","",IF(COUNTIFS(BD!$A$3:$A$5001,S$3,BD!$B$3:$B$5001,$A$505,BD!$F$3:$F$5001,"&lt;&gt;")=0,"",SUMIFS(BD!$F$3:$F$5001,BD!$A$3:$A$5001,S$3,BD!$B$3:$B$5001,$A$505)))</f>
        <v/>
      </c>
      <c r="T508" s="218" t="str">
        <f>IF(T$3="","",IF(COUNTIFS(BD!$A$3:$A$5001,T$3,BD!$B$3:$B$5001,$A$505,BD!$F$3:$F$5001,"&lt;&gt;")=0,"",SUMIFS(BD!$F$3:$F$5001,BD!$A$3:$A$5001,T$3,BD!$B$3:$B$5001,$A$505)))</f>
        <v/>
      </c>
      <c r="U508" s="218" t="str">
        <f>IF(U$3="","",IF(COUNTIFS(BD!$A$3:$A$5001,U$3,BD!$B$3:$B$5001,$A$505,BD!$F$3:$F$5001,"&lt;&gt;")=0,"",SUMIFS(BD!$F$3:$F$5001,BD!$A$3:$A$5001,U$3,BD!$B$3:$B$5001,$A$505)))</f>
        <v/>
      </c>
      <c r="V508" s="218" t="str">
        <f>IF(V$3="","",IF(COUNTIFS(BD!$A$3:$A$5001,V$3,BD!$B$3:$B$5001,$A$505,BD!$F$3:$F$5001,"&lt;&gt;")=0,"",SUMIFS(BD!$F$3:$F$5001,BD!$A$3:$A$5001,V$3,BD!$B$3:$B$5001,$A$505)))</f>
        <v/>
      </c>
      <c r="W508" s="218" t="str">
        <f>IF(W$3="","",IF(COUNTIFS(BD!$A$3:$A$5001,W$3,BD!$B$3:$B$5001,$A$505,BD!$F$3:$F$5001,"&lt;&gt;")=0,"",SUMIFS(BD!$F$3:$F$5001,BD!$A$3:$A$5001,W$3,BD!$B$3:$B$5001,$A$505)))</f>
        <v/>
      </c>
      <c r="X508" s="218" t="str">
        <f>IF(X$3="","",IF(COUNTIFS(BD!$A$3:$A$5001,X$3,BD!$B$3:$B$5001,$A$505,BD!$F$3:$F$5001,"&lt;&gt;")=0,"",SUMIFS(BD!$F$3:$F$5001,BD!$A$3:$A$5001,X$3,BD!$B$3:$B$5001,$A$505)))</f>
        <v/>
      </c>
      <c r="Y508" s="218" t="str">
        <f>IF(Y$3="","",IF(COUNTIFS(BD!$A$3:$A$5001,Y$3,BD!$B$3:$B$5001,$A$505,BD!$F$3:$F$5001,"&lt;&gt;")=0,"",SUMIFS(BD!$F$3:$F$5001,BD!$A$3:$A$5001,Y$3,BD!$B$3:$B$5001,$A$505)))</f>
        <v/>
      </c>
      <c r="Z508" s="218" t="str">
        <f>IF(Z$3="","",IF(COUNTIFS(BD!$A$3:$A$5001,Z$3,BD!$B$3:$B$5001,$A$505,BD!$F$3:$F$5001,"&lt;&gt;")=0,"",SUMIFS(BD!$F$3:$F$5001,BD!$A$3:$A$5001,Z$3,BD!$B$3:$B$5001,$A$505)))</f>
        <v/>
      </c>
      <c r="AA508" s="218" t="str">
        <f>IF(AA$3="","",IF(COUNTIFS(BD!$A$3:$A$5001,AA$3,BD!$B$3:$B$5001,$A$505,BD!$F$3:$F$5001,"&lt;&gt;")=0,"",SUMIFS(BD!$F$3:$F$5001,BD!$A$3:$A$5001,AA$3,BD!$B$3:$B$5001,$A$505)))</f>
        <v/>
      </c>
      <c r="AB508" s="218" t="str">
        <f>IF(AB$3="","",IF(COUNTIFS(BD!$A$3:$A$5001,AB$3,BD!$B$3:$B$5001,$A$505,BD!$F$3:$F$5001,"&lt;&gt;")=0,"",SUMIFS(BD!$F$3:$F$5001,BD!$A$3:$A$5001,AB$3,BD!$B$3:$B$5001,$A$505)))</f>
        <v/>
      </c>
      <c r="AC508" s="218" t="str">
        <f>IF(AC$3="","",IF(COUNTIFS(BD!$A$3:$A$5001,AC$3,BD!$B$3:$B$5001,$A$505,BD!$F$3:$F$5001,"&lt;&gt;")=0,"",SUMIFS(BD!$F$3:$F$5001,BD!$A$3:$A$5001,AC$3,BD!$B$3:$B$5001,$A$505)))</f>
        <v/>
      </c>
      <c r="AD508" s="218" t="str">
        <f>IF(AD$3="","",IF(COUNTIFS(BD!$A$3:$A$5001,AD$3,BD!$B$3:$B$5001,$A$505,BD!$F$3:$F$5001,"&lt;&gt;")=0,"",SUMIFS(BD!$F$3:$F$5001,BD!$A$3:$A$5001,AD$3,BD!$B$3:$B$5001,$A$505)))</f>
        <v/>
      </c>
      <c r="AE508" s="218" t="str">
        <f>IF(AE$3="","",IF(COUNTIFS(BD!$A$3:$A$5001,AE$3,BD!$B$3:$B$5001,$A$505,BD!$F$3:$F$5001,"&lt;&gt;")=0,"",SUMIFS(BD!$F$3:$F$5001,BD!$A$3:$A$5001,AE$3,BD!$B$3:$B$5001,$A$505)))</f>
        <v/>
      </c>
      <c r="AF508" s="218" t="str">
        <f>IF(AF$3="","",IF(COUNTIFS(BD!$A$3:$A$5001,AF$3,BD!$B$3:$B$5001,$A$505,BD!$F$3:$F$5001,"&lt;&gt;")=0,"",SUMIFS(BD!$F$3:$F$5001,BD!$A$3:$A$5001,AF$3,BD!$B$3:$B$5001,$A$505)))</f>
        <v/>
      </c>
      <c r="AG508" s="218" t="str">
        <f>IF(AG$3="","",IF(COUNTIFS(BD!$A$3:$A$5001,AG$3,BD!$B$3:$B$5001,$A$505,BD!$F$3:$F$5001,"&lt;&gt;")=0,"",SUMIFS(BD!$F$3:$F$5001,BD!$A$3:$A$5001,AG$3,BD!$B$3:$B$5001,$A$505)))</f>
        <v/>
      </c>
      <c r="AH508" s="218" t="str">
        <f>IF(AH$3="","",IF(COUNTIFS(BD!$A$3:$A$5001,AH$3,BD!$B$3:$B$5001,$A$505,BD!$F$3:$F$5001,"&lt;&gt;")=0,"",SUMIFS(BD!$F$3:$F$5001,BD!$A$3:$A$5001,AH$3,BD!$B$3:$B$5001,$A$505)))</f>
        <v/>
      </c>
      <c r="AI508" s="218" t="str">
        <f>IF(AI$3="","",IF(COUNTIFS(BD!$A$3:$A$5001,AI$3,BD!$B$3:$B$5001,$A$505,BD!$F$3:$F$5001,"&lt;&gt;")=0,"",SUMIFS(BD!$F$3:$F$5001,BD!$A$3:$A$5001,AI$3,BD!$B$3:$B$5001,$A$505)))</f>
        <v/>
      </c>
      <c r="AJ508" s="219" t="str">
        <f>IF(AJ$3="","",IF(COUNTIFS(BD!$A$3:$A$5001,AJ$3,BD!$B$3:$B$5001,$A$505,BD!$F$3:$F$5001,"&lt;&gt;")=0,"",SUMIFS(BD!$F$3:$F$5001,BD!$A$3:$A$5001,AJ$3,BD!$B$3:$B$5001,$A$505)))</f>
        <v/>
      </c>
      <c r="AK508" s="220" t="str">
        <f>IF(COUNT(F508:AJ508)=0,"",SUM(F508:AJ508))</f>
        <v/>
      </c>
    </row>
    <row r="509" ht="15.75" customHeight="1" hidden="1">
      <c r="A509" s="261"/>
      <c r="B509" s="256"/>
      <c r="C509" s="214" t="inlineStr">
        <is>
          <t xml:space="preserve">Caixas Movimentadas</t>
        </is>
      </c>
      <c r="D509" s="215" t="str">
        <f>IFERROR(1/(1/INDEX(BD!$AL$27:$BF$27,MATCH($A$505,BD!$AL$22:$BF$22,0))),"")</f>
        <v/>
      </c>
      <c r="E509" s="216"/>
      <c r="F509" s="217" t="str">
        <f>IF(F$3="","",IF(COUNTIFS(BD!$A$3:$A$5001,F$3,BD!$B$3:$B$5001,$A$505,BD!$G$3:$G$5001,"&lt;&gt;")=0,"",SUMIFS(BD!$G$3:$G$5001,BD!$A$3:$A$5001,F$3,BD!$B$3:$B$5001,$A$505)))</f>
        <v/>
      </c>
      <c r="G509" s="218" t="str">
        <f>IF(G$3="","",IF(COUNTIFS(BD!$A$3:$A$5001,G$3,BD!$B$3:$B$5001,$A$505,BD!$G$3:$G$5001,"&lt;&gt;")=0,"",SUMIFS(BD!$G$3:$G$5001,BD!$A$3:$A$5001,G$3,BD!$B$3:$B$5001,$A$505)))</f>
        <v/>
      </c>
      <c r="H509" s="218" t="str">
        <f>IF(H$3="","",IF(COUNTIFS(BD!$A$3:$A$5001,H$3,BD!$B$3:$B$5001,$A$505,BD!$G$3:$G$5001,"&lt;&gt;")=0,"",SUMIFS(BD!$G$3:$G$5001,BD!$A$3:$A$5001,H$3,BD!$B$3:$B$5001,$A$505)))</f>
        <v/>
      </c>
      <c r="I509" s="218" t="str">
        <f>IF(I$3="","",IF(COUNTIFS(BD!$A$3:$A$5001,I$3,BD!$B$3:$B$5001,$A$505,BD!$G$3:$G$5001,"&lt;&gt;")=0,"",SUMIFS(BD!$G$3:$G$5001,BD!$A$3:$A$5001,I$3,BD!$B$3:$B$5001,$A$505)))</f>
        <v/>
      </c>
      <c r="J509" s="218" t="str">
        <f>IF(J$3="","",IF(COUNTIFS(BD!$A$3:$A$5001,J$3,BD!$B$3:$B$5001,$A$505,BD!$G$3:$G$5001,"&lt;&gt;")=0,"",SUMIFS(BD!$G$3:$G$5001,BD!$A$3:$A$5001,J$3,BD!$B$3:$B$5001,$A$505)))</f>
        <v/>
      </c>
      <c r="K509" s="218" t="str">
        <f>IF(K$3="","",IF(COUNTIFS(BD!$A$3:$A$5001,K$3,BD!$B$3:$B$5001,$A$505,BD!$G$3:$G$5001,"&lt;&gt;")=0,"",SUMIFS(BD!$G$3:$G$5001,BD!$A$3:$A$5001,K$3,BD!$B$3:$B$5001,$A$505)))</f>
        <v/>
      </c>
      <c r="L509" s="218" t="str">
        <f>IF(L$3="","",IF(COUNTIFS(BD!$A$3:$A$5001,L$3,BD!$B$3:$B$5001,$A$505,BD!$G$3:$G$5001,"&lt;&gt;")=0,"",SUMIFS(BD!$G$3:$G$5001,BD!$A$3:$A$5001,L$3,BD!$B$3:$B$5001,$A$505)))</f>
        <v/>
      </c>
      <c r="M509" s="218" t="str">
        <f>IF(M$3="","",IF(COUNTIFS(BD!$A$3:$A$5001,M$3,BD!$B$3:$B$5001,$A$505,BD!$G$3:$G$5001,"&lt;&gt;")=0,"",SUMIFS(BD!$G$3:$G$5001,BD!$A$3:$A$5001,M$3,BD!$B$3:$B$5001,$A$505)))</f>
        <v/>
      </c>
      <c r="N509" s="218" t="str">
        <f>IF(N$3="","",IF(COUNTIFS(BD!$A$3:$A$5001,N$3,BD!$B$3:$B$5001,$A$505,BD!$G$3:$G$5001,"&lt;&gt;")=0,"",SUMIFS(BD!$G$3:$G$5001,BD!$A$3:$A$5001,N$3,BD!$B$3:$B$5001,$A$505)))</f>
        <v/>
      </c>
      <c r="O509" s="218" t="str">
        <f>IF(O$3="","",IF(COUNTIFS(BD!$A$3:$A$5001,O$3,BD!$B$3:$B$5001,$A$505,BD!$G$3:$G$5001,"&lt;&gt;")=0,"",SUMIFS(BD!$G$3:$G$5001,BD!$A$3:$A$5001,O$3,BD!$B$3:$B$5001,$A$505)))</f>
        <v/>
      </c>
      <c r="P509" s="218" t="str">
        <f>IF(P$3="","",IF(COUNTIFS(BD!$A$3:$A$5001,P$3,BD!$B$3:$B$5001,$A$505,BD!$G$3:$G$5001,"&lt;&gt;")=0,"",SUMIFS(BD!$G$3:$G$5001,BD!$A$3:$A$5001,P$3,BD!$B$3:$B$5001,$A$505)))</f>
        <v/>
      </c>
      <c r="Q509" s="218" t="str">
        <f>IF(Q$3="","",IF(COUNTIFS(BD!$A$3:$A$5001,Q$3,BD!$B$3:$B$5001,$A$505,BD!$G$3:$G$5001,"&lt;&gt;")=0,"",SUMIFS(BD!$G$3:$G$5001,BD!$A$3:$A$5001,Q$3,BD!$B$3:$B$5001,$A$505)))</f>
        <v/>
      </c>
      <c r="R509" s="218" t="str">
        <f>IF(R$3="","",IF(COUNTIFS(BD!$A$3:$A$5001,R$3,BD!$B$3:$B$5001,$A$505,BD!$G$3:$G$5001,"&lt;&gt;")=0,"",SUMIFS(BD!$G$3:$G$5001,BD!$A$3:$A$5001,R$3,BD!$B$3:$B$5001,$A$505)))</f>
        <v/>
      </c>
      <c r="S509" s="218" t="str">
        <f>IF(S$3="","",IF(COUNTIFS(BD!$A$3:$A$5001,S$3,BD!$B$3:$B$5001,$A$505,BD!$G$3:$G$5001,"&lt;&gt;")=0,"",SUMIFS(BD!$G$3:$G$5001,BD!$A$3:$A$5001,S$3,BD!$B$3:$B$5001,$A$505)))</f>
        <v/>
      </c>
      <c r="T509" s="218" t="str">
        <f>IF(T$3="","",IF(COUNTIFS(BD!$A$3:$A$5001,T$3,BD!$B$3:$B$5001,$A$505,BD!$G$3:$G$5001,"&lt;&gt;")=0,"",SUMIFS(BD!$G$3:$G$5001,BD!$A$3:$A$5001,T$3,BD!$B$3:$B$5001,$A$505)))</f>
        <v/>
      </c>
      <c r="U509" s="218" t="str">
        <f>IF(U$3="","",IF(COUNTIFS(BD!$A$3:$A$5001,U$3,BD!$B$3:$B$5001,$A$505,BD!$G$3:$G$5001,"&lt;&gt;")=0,"",SUMIFS(BD!$G$3:$G$5001,BD!$A$3:$A$5001,U$3,BD!$B$3:$B$5001,$A$505)))</f>
        <v/>
      </c>
      <c r="V509" s="218" t="str">
        <f>IF(V$3="","",IF(COUNTIFS(BD!$A$3:$A$5001,V$3,BD!$B$3:$B$5001,$A$505,BD!$G$3:$G$5001,"&lt;&gt;")=0,"",SUMIFS(BD!$G$3:$G$5001,BD!$A$3:$A$5001,V$3,BD!$B$3:$B$5001,$A$505)))</f>
        <v/>
      </c>
      <c r="W509" s="218" t="str">
        <f>IF(W$3="","",IF(COUNTIFS(BD!$A$3:$A$5001,W$3,BD!$B$3:$B$5001,$A$505,BD!$G$3:$G$5001,"&lt;&gt;")=0,"",SUMIFS(BD!$G$3:$G$5001,BD!$A$3:$A$5001,W$3,BD!$B$3:$B$5001,$A$505)))</f>
        <v/>
      </c>
      <c r="X509" s="218" t="str">
        <f>IF(X$3="","",IF(COUNTIFS(BD!$A$3:$A$5001,X$3,BD!$B$3:$B$5001,$A$505,BD!$G$3:$G$5001,"&lt;&gt;")=0,"",SUMIFS(BD!$G$3:$G$5001,BD!$A$3:$A$5001,X$3,BD!$B$3:$B$5001,$A$505)))</f>
        <v/>
      </c>
      <c r="Y509" s="218" t="str">
        <f>IF(Y$3="","",IF(COUNTIFS(BD!$A$3:$A$5001,Y$3,BD!$B$3:$B$5001,$A$505,BD!$G$3:$G$5001,"&lt;&gt;")=0,"",SUMIFS(BD!$G$3:$G$5001,BD!$A$3:$A$5001,Y$3,BD!$B$3:$B$5001,$A$505)))</f>
        <v/>
      </c>
      <c r="Z509" s="218" t="str">
        <f>IF(Z$3="","",IF(COUNTIFS(BD!$A$3:$A$5001,Z$3,BD!$B$3:$B$5001,$A$505,BD!$G$3:$G$5001,"&lt;&gt;")=0,"",SUMIFS(BD!$G$3:$G$5001,BD!$A$3:$A$5001,Z$3,BD!$B$3:$B$5001,$A$505)))</f>
        <v/>
      </c>
      <c r="AA509" s="218" t="str">
        <f>IF(AA$3="","",IF(COUNTIFS(BD!$A$3:$A$5001,AA$3,BD!$B$3:$B$5001,$A$505,BD!$G$3:$G$5001,"&lt;&gt;")=0,"",SUMIFS(BD!$G$3:$G$5001,BD!$A$3:$A$5001,AA$3,BD!$B$3:$B$5001,$A$505)))</f>
        <v/>
      </c>
      <c r="AB509" s="218" t="str">
        <f>IF(AB$3="","",IF(COUNTIFS(BD!$A$3:$A$5001,AB$3,BD!$B$3:$B$5001,$A$505,BD!$G$3:$G$5001,"&lt;&gt;")=0,"",SUMIFS(BD!$G$3:$G$5001,BD!$A$3:$A$5001,AB$3,BD!$B$3:$B$5001,$A$505)))</f>
        <v/>
      </c>
      <c r="AC509" s="218" t="str">
        <f>IF(AC$3="","",IF(COUNTIFS(BD!$A$3:$A$5001,AC$3,BD!$B$3:$B$5001,$A$505,BD!$G$3:$G$5001,"&lt;&gt;")=0,"",SUMIFS(BD!$G$3:$G$5001,BD!$A$3:$A$5001,AC$3,BD!$B$3:$B$5001,$A$505)))</f>
        <v/>
      </c>
      <c r="AD509" s="218" t="str">
        <f>IF(AD$3="","",IF(COUNTIFS(BD!$A$3:$A$5001,AD$3,BD!$B$3:$B$5001,$A$505,BD!$G$3:$G$5001,"&lt;&gt;")=0,"",SUMIFS(BD!$G$3:$G$5001,BD!$A$3:$A$5001,AD$3,BD!$B$3:$B$5001,$A$505)))</f>
        <v/>
      </c>
      <c r="AE509" s="218" t="str">
        <f>IF(AE$3="","",IF(COUNTIFS(BD!$A$3:$A$5001,AE$3,BD!$B$3:$B$5001,$A$505,BD!$G$3:$G$5001,"&lt;&gt;")=0,"",SUMIFS(BD!$G$3:$G$5001,BD!$A$3:$A$5001,AE$3,BD!$B$3:$B$5001,$A$505)))</f>
        <v/>
      </c>
      <c r="AF509" s="218" t="str">
        <f>IF(AF$3="","",IF(COUNTIFS(BD!$A$3:$A$5001,AF$3,BD!$B$3:$B$5001,$A$505,BD!$G$3:$G$5001,"&lt;&gt;")=0,"",SUMIFS(BD!$G$3:$G$5001,BD!$A$3:$A$5001,AF$3,BD!$B$3:$B$5001,$A$505)))</f>
        <v/>
      </c>
      <c r="AG509" s="218" t="str">
        <f>IF(AG$3="","",IF(COUNTIFS(BD!$A$3:$A$5001,AG$3,BD!$B$3:$B$5001,$A$505,BD!$G$3:$G$5001,"&lt;&gt;")=0,"",SUMIFS(BD!$G$3:$G$5001,BD!$A$3:$A$5001,AG$3,BD!$B$3:$B$5001,$A$505)))</f>
        <v/>
      </c>
      <c r="AH509" s="218" t="str">
        <f>IF(AH$3="","",IF(COUNTIFS(BD!$A$3:$A$5001,AH$3,BD!$B$3:$B$5001,$A$505,BD!$G$3:$G$5001,"&lt;&gt;")=0,"",SUMIFS(BD!$G$3:$G$5001,BD!$A$3:$A$5001,AH$3,BD!$B$3:$B$5001,$A$505)))</f>
        <v/>
      </c>
      <c r="AI509" s="218" t="str">
        <f>IF(AI$3="","",IF(COUNTIFS(BD!$A$3:$A$5001,AI$3,BD!$B$3:$B$5001,$A$505,BD!$G$3:$G$5001,"&lt;&gt;")=0,"",SUMIFS(BD!$G$3:$G$5001,BD!$A$3:$A$5001,AI$3,BD!$B$3:$B$5001,$A$505)))</f>
        <v/>
      </c>
      <c r="AJ509" s="219" t="str">
        <f>IF(AJ$3="","",IF(COUNTIFS(BD!$A$3:$A$5001,AJ$3,BD!$B$3:$B$5001,$A$505,BD!$G$3:$G$5001,"&lt;&gt;")=0,"",SUMIFS(BD!$G$3:$G$5001,BD!$A$3:$A$5001,AJ$3,BD!$B$3:$B$5001,$A$505)))</f>
        <v/>
      </c>
      <c r="AK509" s="220" t="str">
        <f>IF(COUNT(F509:AJ509)=0,"",SUM(F509:AJ509))</f>
        <v/>
      </c>
    </row>
    <row r="510" ht="15.75" customHeight="1" hidden="1">
      <c r="A510" s="261"/>
      <c r="B510" s="256"/>
      <c r="C510" s="214" t="inlineStr">
        <is>
          <t xml:space="preserve">Itens Recebidos</t>
        </is>
      </c>
      <c r="D510" s="215" t="str">
        <f>IFERROR(1/(1/INDEX(BD!$AL$28:$BF$28,MATCH($A$505,BD!$AL$22:$BF$22,0))),"")</f>
        <v/>
      </c>
      <c r="E510" s="216"/>
      <c r="F510" s="217" t="str">
        <f>IF(F$3="","",IF(COUNTIFS(BD!$A$3:$A$5001,F$3,BD!$B$3:$B$5001,$A$505,BD!$H$3:$H$5001,"&lt;&gt;")=0,"",SUMIFS(BD!$H$3:$H$5001,BD!$A$3:$A$5001,F$3,BD!$B$3:$B$5001,$A$505)))</f>
        <v/>
      </c>
      <c r="G510" s="218" t="str">
        <f>IF(G$3="","",IF(COUNTIFS(BD!$A$3:$A$5001,G$3,BD!$B$3:$B$5001,$A$505,BD!$H$3:$H$5001,"&lt;&gt;")=0,"",SUMIFS(BD!$H$3:$H$5001,BD!$A$3:$A$5001,G$3,BD!$B$3:$B$5001,$A$505)))</f>
        <v/>
      </c>
      <c r="H510" s="218" t="str">
        <f>IF(H$3="","",IF(COUNTIFS(BD!$A$3:$A$5001,H$3,BD!$B$3:$B$5001,$A$505,BD!$H$3:$H$5001,"&lt;&gt;")=0,"",SUMIFS(BD!$H$3:$H$5001,BD!$A$3:$A$5001,H$3,BD!$B$3:$B$5001,$A$505)))</f>
        <v/>
      </c>
      <c r="I510" s="218" t="str">
        <f>IF(I$3="","",IF(COUNTIFS(BD!$A$3:$A$5001,I$3,BD!$B$3:$B$5001,$A$505,BD!$H$3:$H$5001,"&lt;&gt;")=0,"",SUMIFS(BD!$H$3:$H$5001,BD!$A$3:$A$5001,I$3,BD!$B$3:$B$5001,$A$505)))</f>
        <v/>
      </c>
      <c r="J510" s="218" t="str">
        <f>IF(J$3="","",IF(COUNTIFS(BD!$A$3:$A$5001,J$3,BD!$B$3:$B$5001,$A$505,BD!$H$3:$H$5001,"&lt;&gt;")=0,"",SUMIFS(BD!$H$3:$H$5001,BD!$A$3:$A$5001,J$3,BD!$B$3:$B$5001,$A$505)))</f>
        <v/>
      </c>
      <c r="K510" s="218" t="str">
        <f>IF(K$3="","",IF(COUNTIFS(BD!$A$3:$A$5001,K$3,BD!$B$3:$B$5001,$A$505,BD!$H$3:$H$5001,"&lt;&gt;")=0,"",SUMIFS(BD!$H$3:$H$5001,BD!$A$3:$A$5001,K$3,BD!$B$3:$B$5001,$A$505)))</f>
        <v/>
      </c>
      <c r="L510" s="218" t="str">
        <f>IF(L$3="","",IF(COUNTIFS(BD!$A$3:$A$5001,L$3,BD!$B$3:$B$5001,$A$505,BD!$H$3:$H$5001,"&lt;&gt;")=0,"",SUMIFS(BD!$H$3:$H$5001,BD!$A$3:$A$5001,L$3,BD!$B$3:$B$5001,$A$505)))</f>
        <v/>
      </c>
      <c r="M510" s="218" t="str">
        <f>IF(M$3="","",IF(COUNTIFS(BD!$A$3:$A$5001,M$3,BD!$B$3:$B$5001,$A$505,BD!$H$3:$H$5001,"&lt;&gt;")=0,"",SUMIFS(BD!$H$3:$H$5001,BD!$A$3:$A$5001,M$3,BD!$B$3:$B$5001,$A$505)))</f>
        <v/>
      </c>
      <c r="N510" s="218" t="str">
        <f>IF(N$3="","",IF(COUNTIFS(BD!$A$3:$A$5001,N$3,BD!$B$3:$B$5001,$A$505,BD!$H$3:$H$5001,"&lt;&gt;")=0,"",SUMIFS(BD!$H$3:$H$5001,BD!$A$3:$A$5001,N$3,BD!$B$3:$B$5001,$A$505)))</f>
        <v/>
      </c>
      <c r="O510" s="218" t="str">
        <f>IF(O$3="","",IF(COUNTIFS(BD!$A$3:$A$5001,O$3,BD!$B$3:$B$5001,$A$505,BD!$H$3:$H$5001,"&lt;&gt;")=0,"",SUMIFS(BD!$H$3:$H$5001,BD!$A$3:$A$5001,O$3,BD!$B$3:$B$5001,$A$505)))</f>
        <v/>
      </c>
      <c r="P510" s="218" t="str">
        <f>IF(P$3="","",IF(COUNTIFS(BD!$A$3:$A$5001,P$3,BD!$B$3:$B$5001,$A$505,BD!$H$3:$H$5001,"&lt;&gt;")=0,"",SUMIFS(BD!$H$3:$H$5001,BD!$A$3:$A$5001,P$3,BD!$B$3:$B$5001,$A$505)))</f>
        <v/>
      </c>
      <c r="Q510" s="218" t="str">
        <f>IF(Q$3="","",IF(COUNTIFS(BD!$A$3:$A$5001,Q$3,BD!$B$3:$B$5001,$A$505,BD!$H$3:$H$5001,"&lt;&gt;")=0,"",SUMIFS(BD!$H$3:$H$5001,BD!$A$3:$A$5001,Q$3,BD!$B$3:$B$5001,$A$505)))</f>
        <v/>
      </c>
      <c r="R510" s="218" t="str">
        <f>IF(R$3="","",IF(COUNTIFS(BD!$A$3:$A$5001,R$3,BD!$B$3:$B$5001,$A$505,BD!$H$3:$H$5001,"&lt;&gt;")=0,"",SUMIFS(BD!$H$3:$H$5001,BD!$A$3:$A$5001,R$3,BD!$B$3:$B$5001,$A$505)))</f>
        <v/>
      </c>
      <c r="S510" s="218" t="str">
        <f>IF(S$3="","",IF(COUNTIFS(BD!$A$3:$A$5001,S$3,BD!$B$3:$B$5001,$A$505,BD!$H$3:$H$5001,"&lt;&gt;")=0,"",SUMIFS(BD!$H$3:$H$5001,BD!$A$3:$A$5001,S$3,BD!$B$3:$B$5001,$A$505)))</f>
        <v/>
      </c>
      <c r="T510" s="218" t="str">
        <f>IF(T$3="","",IF(COUNTIFS(BD!$A$3:$A$5001,T$3,BD!$B$3:$B$5001,$A$505,BD!$H$3:$H$5001,"&lt;&gt;")=0,"",SUMIFS(BD!$H$3:$H$5001,BD!$A$3:$A$5001,T$3,BD!$B$3:$B$5001,$A$505)))</f>
        <v/>
      </c>
      <c r="U510" s="218" t="str">
        <f>IF(U$3="","",IF(COUNTIFS(BD!$A$3:$A$5001,U$3,BD!$B$3:$B$5001,$A$505,BD!$H$3:$H$5001,"&lt;&gt;")=0,"",SUMIFS(BD!$H$3:$H$5001,BD!$A$3:$A$5001,U$3,BD!$B$3:$B$5001,$A$505)))</f>
        <v/>
      </c>
      <c r="V510" s="218" t="str">
        <f>IF(V$3="","",IF(COUNTIFS(BD!$A$3:$A$5001,V$3,BD!$B$3:$B$5001,$A$505,BD!$H$3:$H$5001,"&lt;&gt;")=0,"",SUMIFS(BD!$H$3:$H$5001,BD!$A$3:$A$5001,V$3,BD!$B$3:$B$5001,$A$505)))</f>
        <v/>
      </c>
      <c r="W510" s="218" t="str">
        <f>IF(W$3="","",IF(COUNTIFS(BD!$A$3:$A$5001,W$3,BD!$B$3:$B$5001,$A$505,BD!$H$3:$H$5001,"&lt;&gt;")=0,"",SUMIFS(BD!$H$3:$H$5001,BD!$A$3:$A$5001,W$3,BD!$B$3:$B$5001,$A$505)))</f>
        <v/>
      </c>
      <c r="X510" s="218" t="str">
        <f>IF(X$3="","",IF(COUNTIFS(BD!$A$3:$A$5001,X$3,BD!$B$3:$B$5001,$A$505,BD!$H$3:$H$5001,"&lt;&gt;")=0,"",SUMIFS(BD!$H$3:$H$5001,BD!$A$3:$A$5001,X$3,BD!$B$3:$B$5001,$A$505)))</f>
        <v/>
      </c>
      <c r="Y510" s="218" t="str">
        <f>IF(Y$3="","",IF(COUNTIFS(BD!$A$3:$A$5001,Y$3,BD!$B$3:$B$5001,$A$505,BD!$H$3:$H$5001,"&lt;&gt;")=0,"",SUMIFS(BD!$H$3:$H$5001,BD!$A$3:$A$5001,Y$3,BD!$B$3:$B$5001,$A$505)))</f>
        <v/>
      </c>
      <c r="Z510" s="218" t="str">
        <f>IF(Z$3="","",IF(COUNTIFS(BD!$A$3:$A$5001,Z$3,BD!$B$3:$B$5001,$A$505,BD!$H$3:$H$5001,"&lt;&gt;")=0,"",SUMIFS(BD!$H$3:$H$5001,BD!$A$3:$A$5001,Z$3,BD!$B$3:$B$5001,$A$505)))</f>
        <v/>
      </c>
      <c r="AA510" s="218" t="str">
        <f>IF(AA$3="","",IF(COUNTIFS(BD!$A$3:$A$5001,AA$3,BD!$B$3:$B$5001,$A$505,BD!$H$3:$H$5001,"&lt;&gt;")=0,"",SUMIFS(BD!$H$3:$H$5001,BD!$A$3:$A$5001,AA$3,BD!$B$3:$B$5001,$A$505)))</f>
        <v/>
      </c>
      <c r="AB510" s="218" t="str">
        <f>IF(AB$3="","",IF(COUNTIFS(BD!$A$3:$A$5001,AB$3,BD!$B$3:$B$5001,$A$505,BD!$H$3:$H$5001,"&lt;&gt;")=0,"",SUMIFS(BD!$H$3:$H$5001,BD!$A$3:$A$5001,AB$3,BD!$B$3:$B$5001,$A$505)))</f>
        <v/>
      </c>
      <c r="AC510" s="218" t="str">
        <f>IF(AC$3="","",IF(COUNTIFS(BD!$A$3:$A$5001,AC$3,BD!$B$3:$B$5001,$A$505,BD!$H$3:$H$5001,"&lt;&gt;")=0,"",SUMIFS(BD!$H$3:$H$5001,BD!$A$3:$A$5001,AC$3,BD!$B$3:$B$5001,$A$505)))</f>
        <v/>
      </c>
      <c r="AD510" s="218" t="str">
        <f>IF(AD$3="","",IF(COUNTIFS(BD!$A$3:$A$5001,AD$3,BD!$B$3:$B$5001,$A$505,BD!$H$3:$H$5001,"&lt;&gt;")=0,"",SUMIFS(BD!$H$3:$H$5001,BD!$A$3:$A$5001,AD$3,BD!$B$3:$B$5001,$A$505)))</f>
        <v/>
      </c>
      <c r="AE510" s="218" t="str">
        <f>IF(AE$3="","",IF(COUNTIFS(BD!$A$3:$A$5001,AE$3,BD!$B$3:$B$5001,$A$505,BD!$H$3:$H$5001,"&lt;&gt;")=0,"",SUMIFS(BD!$H$3:$H$5001,BD!$A$3:$A$5001,AE$3,BD!$B$3:$B$5001,$A$505)))</f>
        <v/>
      </c>
      <c r="AF510" s="218" t="str">
        <f>IF(AF$3="","",IF(COUNTIFS(BD!$A$3:$A$5001,AF$3,BD!$B$3:$B$5001,$A$505,BD!$H$3:$H$5001,"&lt;&gt;")=0,"",SUMIFS(BD!$H$3:$H$5001,BD!$A$3:$A$5001,AF$3,BD!$B$3:$B$5001,$A$505)))</f>
        <v/>
      </c>
      <c r="AG510" s="218" t="str">
        <f>IF(AG$3="","",IF(COUNTIFS(BD!$A$3:$A$5001,AG$3,BD!$B$3:$B$5001,$A$505,BD!$H$3:$H$5001,"&lt;&gt;")=0,"",SUMIFS(BD!$H$3:$H$5001,BD!$A$3:$A$5001,AG$3,BD!$B$3:$B$5001,$A$505)))</f>
        <v/>
      </c>
      <c r="AH510" s="218" t="str">
        <f>IF(AH$3="","",IF(COUNTIFS(BD!$A$3:$A$5001,AH$3,BD!$B$3:$B$5001,$A$505,BD!$H$3:$H$5001,"&lt;&gt;")=0,"",SUMIFS(BD!$H$3:$H$5001,BD!$A$3:$A$5001,AH$3,BD!$B$3:$B$5001,$A$505)))</f>
        <v/>
      </c>
      <c r="AI510" s="218" t="str">
        <f>IF(AI$3="","",IF(COUNTIFS(BD!$A$3:$A$5001,AI$3,BD!$B$3:$B$5001,$A$505,BD!$H$3:$H$5001,"&lt;&gt;")=0,"",SUMIFS(BD!$H$3:$H$5001,BD!$A$3:$A$5001,AI$3,BD!$B$3:$B$5001,$A$505)))</f>
        <v/>
      </c>
      <c r="AJ510" s="219" t="str">
        <f>IF(AJ$3="","",IF(COUNTIFS(BD!$A$3:$A$5001,AJ$3,BD!$B$3:$B$5001,$A$505,BD!$H$3:$H$5001,"&lt;&gt;")=0,"",SUMIFS(BD!$H$3:$H$5001,BD!$A$3:$A$5001,AJ$3,BD!$B$3:$B$5001,$A$505)))</f>
        <v/>
      </c>
      <c r="AK510" s="220" t="str">
        <f>IF(COUNT(F510:AJ510)=0,"",SUM(F510:AJ510))</f>
        <v/>
      </c>
    </row>
    <row r="511" ht="15.75" customHeight="1" hidden="1">
      <c r="A511" s="261"/>
      <c r="B511" s="256"/>
      <c r="C511" s="214" t="inlineStr">
        <is>
          <t xml:space="preserve">Itens Recebidos CX Mista</t>
        </is>
      </c>
      <c r="D511" s="215" t="str">
        <f>IFERROR(1/(1/INDEX(BD!$AL$29:$BF$29,MATCH($A$505,BD!$AL$22:$BF$22,0))),"")</f>
        <v/>
      </c>
      <c r="E511" s="216"/>
      <c r="F511" s="217" t="str">
        <f>IF(F$3="","",IF(COUNTIFS(BD!$A$3:$A$5001,F$3,BD!$B$3:$B$5001,$A$505,BD!$I$3:$I$5001,"&lt;&gt;")=0,"",SUMIFS(BD!$I$3:$I$5001,BD!$A$3:$A$5001,F$3,BD!$B$3:$B$5001,$A$505)))</f>
        <v/>
      </c>
      <c r="G511" s="218" t="str">
        <f>IF(G$3="","",IF(COUNTIFS(BD!$A$3:$A$5001,G$3,BD!$B$3:$B$5001,$A$505,BD!$I$3:$I$5001,"&lt;&gt;")=0,"",SUMIFS(BD!$I$3:$I$5001,BD!$A$3:$A$5001,G$3,BD!$B$3:$B$5001,$A$505)))</f>
        <v/>
      </c>
      <c r="H511" s="218" t="str">
        <f>IF(H$3="","",IF(COUNTIFS(BD!$A$3:$A$5001,H$3,BD!$B$3:$B$5001,$A$505,BD!$I$3:$I$5001,"&lt;&gt;")=0,"",SUMIFS(BD!$I$3:$I$5001,BD!$A$3:$A$5001,H$3,BD!$B$3:$B$5001,$A$505)))</f>
        <v/>
      </c>
      <c r="I511" s="218" t="str">
        <f>IF(I$3="","",IF(COUNTIFS(BD!$A$3:$A$5001,I$3,BD!$B$3:$B$5001,$A$505,BD!$I$3:$I$5001,"&lt;&gt;")=0,"",SUMIFS(BD!$I$3:$I$5001,BD!$A$3:$A$5001,I$3,BD!$B$3:$B$5001,$A$505)))</f>
        <v/>
      </c>
      <c r="J511" s="218" t="str">
        <f>IF(J$3="","",IF(COUNTIFS(BD!$A$3:$A$5001,J$3,BD!$B$3:$B$5001,$A$505,BD!$I$3:$I$5001,"&lt;&gt;")=0,"",SUMIFS(BD!$I$3:$I$5001,BD!$A$3:$A$5001,J$3,BD!$B$3:$B$5001,$A$505)))</f>
        <v/>
      </c>
      <c r="K511" s="218" t="str">
        <f>IF(K$3="","",IF(COUNTIFS(BD!$A$3:$A$5001,K$3,BD!$B$3:$B$5001,$A$505,BD!$I$3:$I$5001,"&lt;&gt;")=0,"",SUMIFS(BD!$I$3:$I$5001,BD!$A$3:$A$5001,K$3,BD!$B$3:$B$5001,$A$505)))</f>
        <v/>
      </c>
      <c r="L511" s="218" t="str">
        <f>IF(L$3="","",IF(COUNTIFS(BD!$A$3:$A$5001,L$3,BD!$B$3:$B$5001,$A$505,BD!$I$3:$I$5001,"&lt;&gt;")=0,"",SUMIFS(BD!$I$3:$I$5001,BD!$A$3:$A$5001,L$3,BD!$B$3:$B$5001,$A$505)))</f>
        <v/>
      </c>
      <c r="M511" s="218" t="str">
        <f>IF(M$3="","",IF(COUNTIFS(BD!$A$3:$A$5001,M$3,BD!$B$3:$B$5001,$A$505,BD!$I$3:$I$5001,"&lt;&gt;")=0,"",SUMIFS(BD!$I$3:$I$5001,BD!$A$3:$A$5001,M$3,BD!$B$3:$B$5001,$A$505)))</f>
        <v/>
      </c>
      <c r="N511" s="218" t="str">
        <f>IF(N$3="","",IF(COUNTIFS(BD!$A$3:$A$5001,N$3,BD!$B$3:$B$5001,$A$505,BD!$I$3:$I$5001,"&lt;&gt;")=0,"",SUMIFS(BD!$I$3:$I$5001,BD!$A$3:$A$5001,N$3,BD!$B$3:$B$5001,$A$505)))</f>
        <v/>
      </c>
      <c r="O511" s="218" t="str">
        <f>IF(O$3="","",IF(COUNTIFS(BD!$A$3:$A$5001,O$3,BD!$B$3:$B$5001,$A$505,BD!$I$3:$I$5001,"&lt;&gt;")=0,"",SUMIFS(BD!$I$3:$I$5001,BD!$A$3:$A$5001,O$3,BD!$B$3:$B$5001,$A$505)))</f>
        <v/>
      </c>
      <c r="P511" s="218" t="str">
        <f>IF(P$3="","",IF(COUNTIFS(BD!$A$3:$A$5001,P$3,BD!$B$3:$B$5001,$A$505,BD!$I$3:$I$5001,"&lt;&gt;")=0,"",SUMIFS(BD!$I$3:$I$5001,BD!$A$3:$A$5001,P$3,BD!$B$3:$B$5001,$A$505)))</f>
        <v/>
      </c>
      <c r="Q511" s="218" t="str">
        <f>IF(Q$3="","",IF(COUNTIFS(BD!$A$3:$A$5001,Q$3,BD!$B$3:$B$5001,$A$505,BD!$I$3:$I$5001,"&lt;&gt;")=0,"",SUMIFS(BD!$I$3:$I$5001,BD!$A$3:$A$5001,Q$3,BD!$B$3:$B$5001,$A$505)))</f>
        <v/>
      </c>
      <c r="R511" s="218" t="str">
        <f>IF(R$3="","",IF(COUNTIFS(BD!$A$3:$A$5001,R$3,BD!$B$3:$B$5001,$A$505,BD!$I$3:$I$5001,"&lt;&gt;")=0,"",SUMIFS(BD!$I$3:$I$5001,BD!$A$3:$A$5001,R$3,BD!$B$3:$B$5001,$A$505)))</f>
        <v/>
      </c>
      <c r="S511" s="218" t="str">
        <f>IF(S$3="","",IF(COUNTIFS(BD!$A$3:$A$5001,S$3,BD!$B$3:$B$5001,$A$505,BD!$I$3:$I$5001,"&lt;&gt;")=0,"",SUMIFS(BD!$I$3:$I$5001,BD!$A$3:$A$5001,S$3,BD!$B$3:$B$5001,$A$505)))</f>
        <v/>
      </c>
      <c r="T511" s="218" t="str">
        <f>IF(T$3="","",IF(COUNTIFS(BD!$A$3:$A$5001,T$3,BD!$B$3:$B$5001,$A$505,BD!$I$3:$I$5001,"&lt;&gt;")=0,"",SUMIFS(BD!$I$3:$I$5001,BD!$A$3:$A$5001,T$3,BD!$B$3:$B$5001,$A$505)))</f>
        <v/>
      </c>
      <c r="U511" s="218" t="str">
        <f>IF(U$3="","",IF(COUNTIFS(BD!$A$3:$A$5001,U$3,BD!$B$3:$B$5001,$A$505,BD!$I$3:$I$5001,"&lt;&gt;")=0,"",SUMIFS(BD!$I$3:$I$5001,BD!$A$3:$A$5001,U$3,BD!$B$3:$B$5001,$A$505)))</f>
        <v/>
      </c>
      <c r="V511" s="218" t="str">
        <f>IF(V$3="","",IF(COUNTIFS(BD!$A$3:$A$5001,V$3,BD!$B$3:$B$5001,$A$505,BD!$I$3:$I$5001,"&lt;&gt;")=0,"",SUMIFS(BD!$I$3:$I$5001,BD!$A$3:$A$5001,V$3,BD!$B$3:$B$5001,$A$505)))</f>
        <v/>
      </c>
      <c r="W511" s="218" t="str">
        <f>IF(W$3="","",IF(COUNTIFS(BD!$A$3:$A$5001,W$3,BD!$B$3:$B$5001,$A$505,BD!$I$3:$I$5001,"&lt;&gt;")=0,"",SUMIFS(BD!$I$3:$I$5001,BD!$A$3:$A$5001,W$3,BD!$B$3:$B$5001,$A$505)))</f>
        <v/>
      </c>
      <c r="X511" s="218" t="str">
        <f>IF(X$3="","",IF(COUNTIFS(BD!$A$3:$A$5001,X$3,BD!$B$3:$B$5001,$A$505,BD!$I$3:$I$5001,"&lt;&gt;")=0,"",SUMIFS(BD!$I$3:$I$5001,BD!$A$3:$A$5001,X$3,BD!$B$3:$B$5001,$A$505)))</f>
        <v/>
      </c>
      <c r="Y511" s="218" t="str">
        <f>IF(Y$3="","",IF(COUNTIFS(BD!$A$3:$A$5001,Y$3,BD!$B$3:$B$5001,$A$505,BD!$I$3:$I$5001,"&lt;&gt;")=0,"",SUMIFS(BD!$I$3:$I$5001,BD!$A$3:$A$5001,Y$3,BD!$B$3:$B$5001,$A$505)))</f>
        <v/>
      </c>
      <c r="Z511" s="218" t="str">
        <f>IF(Z$3="","",IF(COUNTIFS(BD!$A$3:$A$5001,Z$3,BD!$B$3:$B$5001,$A$505,BD!$I$3:$I$5001,"&lt;&gt;")=0,"",SUMIFS(BD!$I$3:$I$5001,BD!$A$3:$A$5001,Z$3,BD!$B$3:$B$5001,$A$505)))</f>
        <v/>
      </c>
      <c r="AA511" s="218" t="str">
        <f>IF(AA$3="","",IF(COUNTIFS(BD!$A$3:$A$5001,AA$3,BD!$B$3:$B$5001,$A$505,BD!$I$3:$I$5001,"&lt;&gt;")=0,"",SUMIFS(BD!$I$3:$I$5001,BD!$A$3:$A$5001,AA$3,BD!$B$3:$B$5001,$A$505)))</f>
        <v/>
      </c>
      <c r="AB511" s="218" t="str">
        <f>IF(AB$3="","",IF(COUNTIFS(BD!$A$3:$A$5001,AB$3,BD!$B$3:$B$5001,$A$505,BD!$I$3:$I$5001,"&lt;&gt;")=0,"",SUMIFS(BD!$I$3:$I$5001,BD!$A$3:$A$5001,AB$3,BD!$B$3:$B$5001,$A$505)))</f>
        <v/>
      </c>
      <c r="AC511" s="218" t="str">
        <f>IF(AC$3="","",IF(COUNTIFS(BD!$A$3:$A$5001,AC$3,BD!$B$3:$B$5001,$A$505,BD!$I$3:$I$5001,"&lt;&gt;")=0,"",SUMIFS(BD!$I$3:$I$5001,BD!$A$3:$A$5001,AC$3,BD!$B$3:$B$5001,$A$505)))</f>
        <v/>
      </c>
      <c r="AD511" s="218" t="str">
        <f>IF(AD$3="","",IF(COUNTIFS(BD!$A$3:$A$5001,AD$3,BD!$B$3:$B$5001,$A$505,BD!$I$3:$I$5001,"&lt;&gt;")=0,"",SUMIFS(BD!$I$3:$I$5001,BD!$A$3:$A$5001,AD$3,BD!$B$3:$B$5001,$A$505)))</f>
        <v/>
      </c>
      <c r="AE511" s="218" t="str">
        <f>IF(AE$3="","",IF(COUNTIFS(BD!$A$3:$A$5001,AE$3,BD!$B$3:$B$5001,$A$505,BD!$I$3:$I$5001,"&lt;&gt;")=0,"",SUMIFS(BD!$I$3:$I$5001,BD!$A$3:$A$5001,AE$3,BD!$B$3:$B$5001,$A$505)))</f>
        <v/>
      </c>
      <c r="AF511" s="218" t="str">
        <f>IF(AF$3="","",IF(COUNTIFS(BD!$A$3:$A$5001,AF$3,BD!$B$3:$B$5001,$A$505,BD!$I$3:$I$5001,"&lt;&gt;")=0,"",SUMIFS(BD!$I$3:$I$5001,BD!$A$3:$A$5001,AF$3,BD!$B$3:$B$5001,$A$505)))</f>
        <v/>
      </c>
      <c r="AG511" s="218" t="str">
        <f>IF(AG$3="","",IF(COUNTIFS(BD!$A$3:$A$5001,AG$3,BD!$B$3:$B$5001,$A$505,BD!$I$3:$I$5001,"&lt;&gt;")=0,"",SUMIFS(BD!$I$3:$I$5001,BD!$A$3:$A$5001,AG$3,BD!$B$3:$B$5001,$A$505)))</f>
        <v/>
      </c>
      <c r="AH511" s="218" t="str">
        <f>IF(AH$3="","",IF(COUNTIFS(BD!$A$3:$A$5001,AH$3,BD!$B$3:$B$5001,$A$505,BD!$I$3:$I$5001,"&lt;&gt;")=0,"",SUMIFS(BD!$I$3:$I$5001,BD!$A$3:$A$5001,AH$3,BD!$B$3:$B$5001,$A$505)))</f>
        <v/>
      </c>
      <c r="AI511" s="218" t="str">
        <f>IF(AI$3="","",IF(COUNTIFS(BD!$A$3:$A$5001,AI$3,BD!$B$3:$B$5001,$A$505,BD!$I$3:$I$5001,"&lt;&gt;")=0,"",SUMIFS(BD!$I$3:$I$5001,BD!$A$3:$A$5001,AI$3,BD!$B$3:$B$5001,$A$505)))</f>
        <v/>
      </c>
      <c r="AJ511" s="219" t="str">
        <f>IF(AJ$3="","",IF(COUNTIFS(BD!$A$3:$A$5001,AJ$3,BD!$B$3:$B$5001,$A$505,BD!$I$3:$I$5001,"&lt;&gt;")=0,"",SUMIFS(BD!$I$3:$I$5001,BD!$A$3:$A$5001,AJ$3,BD!$B$3:$B$5001,$A$505)))</f>
        <v/>
      </c>
      <c r="AK511" s="220" t="str">
        <f>IF(COUNT(F511:AJ511)=0,"",SUM(F511:AJ511))</f>
        <v/>
      </c>
    </row>
    <row r="512" ht="15.75" customHeight="1" hidden="1">
      <c r="A512" s="261"/>
      <c r="B512" s="256"/>
      <c r="C512" s="214" t="inlineStr">
        <is>
          <t xml:space="preserve">Caixas Fechadas</t>
        </is>
      </c>
      <c r="D512" s="215" t="str">
        <f>IFERROR(1/(1/INDEX(BD!$AL$30:$BF$30,MATCH($A$505,BD!$AL$22:$BF$22,0))),"")</f>
        <v/>
      </c>
      <c r="E512" s="216"/>
      <c r="F512" s="217" t="str">
        <f>IF(F$3="","",IF(COUNTIFS(BD!$A$3:$A$5001,F$3,BD!$B$3:$B$5001,$A$505,BD!$J$3:$J$5001,"&lt;&gt;")=0,"",SUMIFS(BD!$J$3:$J$5001,BD!$A$3:$A$5001,F$3,BD!$B$3:$B$5001,$A$505)))</f>
        <v/>
      </c>
      <c r="G512" s="218" t="str">
        <f>IF(G$3="","",IF(COUNTIFS(BD!$A$3:$A$5001,G$3,BD!$B$3:$B$5001,$A$505,BD!$J$3:$J$5001,"&lt;&gt;")=0,"",SUMIFS(BD!$J$3:$J$5001,BD!$A$3:$A$5001,G$3,BD!$B$3:$B$5001,$A$505)))</f>
        <v/>
      </c>
      <c r="H512" s="218" t="str">
        <f>IF(H$3="","",IF(COUNTIFS(BD!$A$3:$A$5001,H$3,BD!$B$3:$B$5001,$A$505,BD!$J$3:$J$5001,"&lt;&gt;")=0,"",SUMIFS(BD!$J$3:$J$5001,BD!$A$3:$A$5001,H$3,BD!$B$3:$B$5001,$A$505)))</f>
        <v/>
      </c>
      <c r="I512" s="218" t="str">
        <f>IF(I$3="","",IF(COUNTIFS(BD!$A$3:$A$5001,I$3,BD!$B$3:$B$5001,$A$505,BD!$J$3:$J$5001,"&lt;&gt;")=0,"",SUMIFS(BD!$J$3:$J$5001,BD!$A$3:$A$5001,I$3,BD!$B$3:$B$5001,$A$505)))</f>
        <v/>
      </c>
      <c r="J512" s="218" t="str">
        <f>IF(J$3="","",IF(COUNTIFS(BD!$A$3:$A$5001,J$3,BD!$B$3:$B$5001,$A$505,BD!$J$3:$J$5001,"&lt;&gt;")=0,"",SUMIFS(BD!$J$3:$J$5001,BD!$A$3:$A$5001,J$3,BD!$B$3:$B$5001,$A$505)))</f>
        <v/>
      </c>
      <c r="K512" s="218" t="str">
        <f>IF(K$3="","",IF(COUNTIFS(BD!$A$3:$A$5001,K$3,BD!$B$3:$B$5001,$A$505,BD!$J$3:$J$5001,"&lt;&gt;")=0,"",SUMIFS(BD!$J$3:$J$5001,BD!$A$3:$A$5001,K$3,BD!$B$3:$B$5001,$A$505)))</f>
        <v/>
      </c>
      <c r="L512" s="218" t="str">
        <f>IF(L$3="","",IF(COUNTIFS(BD!$A$3:$A$5001,L$3,BD!$B$3:$B$5001,$A$505,BD!$J$3:$J$5001,"&lt;&gt;")=0,"",SUMIFS(BD!$J$3:$J$5001,BD!$A$3:$A$5001,L$3,BD!$B$3:$B$5001,$A$505)))</f>
        <v/>
      </c>
      <c r="M512" s="218" t="str">
        <f>IF(M$3="","",IF(COUNTIFS(BD!$A$3:$A$5001,M$3,BD!$B$3:$B$5001,$A$505,BD!$J$3:$J$5001,"&lt;&gt;")=0,"",SUMIFS(BD!$J$3:$J$5001,BD!$A$3:$A$5001,M$3,BD!$B$3:$B$5001,$A$505)))</f>
        <v/>
      </c>
      <c r="N512" s="218" t="str">
        <f>IF(N$3="","",IF(COUNTIFS(BD!$A$3:$A$5001,N$3,BD!$B$3:$B$5001,$A$505,BD!$J$3:$J$5001,"&lt;&gt;")=0,"",SUMIFS(BD!$J$3:$J$5001,BD!$A$3:$A$5001,N$3,BD!$B$3:$B$5001,$A$505)))</f>
        <v/>
      </c>
      <c r="O512" s="218" t="str">
        <f>IF(O$3="","",IF(COUNTIFS(BD!$A$3:$A$5001,O$3,BD!$B$3:$B$5001,$A$505,BD!$J$3:$J$5001,"&lt;&gt;")=0,"",SUMIFS(BD!$J$3:$J$5001,BD!$A$3:$A$5001,O$3,BD!$B$3:$B$5001,$A$505)))</f>
        <v/>
      </c>
      <c r="P512" s="218" t="str">
        <f>IF(P$3="","",IF(COUNTIFS(BD!$A$3:$A$5001,P$3,BD!$B$3:$B$5001,$A$505,BD!$J$3:$J$5001,"&lt;&gt;")=0,"",SUMIFS(BD!$J$3:$J$5001,BD!$A$3:$A$5001,P$3,BD!$B$3:$B$5001,$A$505)))</f>
        <v/>
      </c>
      <c r="Q512" s="218" t="str">
        <f>IF(Q$3="","",IF(COUNTIFS(BD!$A$3:$A$5001,Q$3,BD!$B$3:$B$5001,$A$505,BD!$J$3:$J$5001,"&lt;&gt;")=0,"",SUMIFS(BD!$J$3:$J$5001,BD!$A$3:$A$5001,Q$3,BD!$B$3:$B$5001,$A$505)))</f>
        <v/>
      </c>
      <c r="R512" s="218" t="str">
        <f>IF(R$3="","",IF(COUNTIFS(BD!$A$3:$A$5001,R$3,BD!$B$3:$B$5001,$A$505,BD!$J$3:$J$5001,"&lt;&gt;")=0,"",SUMIFS(BD!$J$3:$J$5001,BD!$A$3:$A$5001,R$3,BD!$B$3:$B$5001,$A$505)))</f>
        <v/>
      </c>
      <c r="S512" s="218" t="str">
        <f>IF(S$3="","",IF(COUNTIFS(BD!$A$3:$A$5001,S$3,BD!$B$3:$B$5001,$A$505,BD!$J$3:$J$5001,"&lt;&gt;")=0,"",SUMIFS(BD!$J$3:$J$5001,BD!$A$3:$A$5001,S$3,BD!$B$3:$B$5001,$A$505)))</f>
        <v/>
      </c>
      <c r="T512" s="218" t="str">
        <f>IF(T$3="","",IF(COUNTIFS(BD!$A$3:$A$5001,T$3,BD!$B$3:$B$5001,$A$505,BD!$J$3:$J$5001,"&lt;&gt;")=0,"",SUMIFS(BD!$J$3:$J$5001,BD!$A$3:$A$5001,T$3,BD!$B$3:$B$5001,$A$505)))</f>
        <v/>
      </c>
      <c r="U512" s="218" t="str">
        <f>IF(U$3="","",IF(COUNTIFS(BD!$A$3:$A$5001,U$3,BD!$B$3:$B$5001,$A$505,BD!$J$3:$J$5001,"&lt;&gt;")=0,"",SUMIFS(BD!$J$3:$J$5001,BD!$A$3:$A$5001,U$3,BD!$B$3:$B$5001,$A$505)))</f>
        <v/>
      </c>
      <c r="V512" s="218" t="str">
        <f>IF(V$3="","",IF(COUNTIFS(BD!$A$3:$A$5001,V$3,BD!$B$3:$B$5001,$A$505,BD!$J$3:$J$5001,"&lt;&gt;")=0,"",SUMIFS(BD!$J$3:$J$5001,BD!$A$3:$A$5001,V$3,BD!$B$3:$B$5001,$A$505)))</f>
        <v/>
      </c>
      <c r="W512" s="218" t="str">
        <f>IF(W$3="","",IF(COUNTIFS(BD!$A$3:$A$5001,W$3,BD!$B$3:$B$5001,$A$505,BD!$J$3:$J$5001,"&lt;&gt;")=0,"",SUMIFS(BD!$J$3:$J$5001,BD!$A$3:$A$5001,W$3,BD!$B$3:$B$5001,$A$505)))</f>
        <v/>
      </c>
      <c r="X512" s="218" t="str">
        <f>IF(X$3="","",IF(COUNTIFS(BD!$A$3:$A$5001,X$3,BD!$B$3:$B$5001,$A$505,BD!$J$3:$J$5001,"&lt;&gt;")=0,"",SUMIFS(BD!$J$3:$J$5001,BD!$A$3:$A$5001,X$3,BD!$B$3:$B$5001,$A$505)))</f>
        <v/>
      </c>
      <c r="Y512" s="218" t="str">
        <f>IF(Y$3="","",IF(COUNTIFS(BD!$A$3:$A$5001,Y$3,BD!$B$3:$B$5001,$A$505,BD!$J$3:$J$5001,"&lt;&gt;")=0,"",SUMIFS(BD!$J$3:$J$5001,BD!$A$3:$A$5001,Y$3,BD!$B$3:$B$5001,$A$505)))</f>
        <v/>
      </c>
      <c r="Z512" s="218" t="str">
        <f>IF(Z$3="","",IF(COUNTIFS(BD!$A$3:$A$5001,Z$3,BD!$B$3:$B$5001,$A$505,BD!$J$3:$J$5001,"&lt;&gt;")=0,"",SUMIFS(BD!$J$3:$J$5001,BD!$A$3:$A$5001,Z$3,BD!$B$3:$B$5001,$A$505)))</f>
        <v/>
      </c>
      <c r="AA512" s="218" t="str">
        <f>IF(AA$3="","",IF(COUNTIFS(BD!$A$3:$A$5001,AA$3,BD!$B$3:$B$5001,$A$505,BD!$J$3:$J$5001,"&lt;&gt;")=0,"",SUMIFS(BD!$J$3:$J$5001,BD!$A$3:$A$5001,AA$3,BD!$B$3:$B$5001,$A$505)))</f>
        <v/>
      </c>
      <c r="AB512" s="218" t="str">
        <f>IF(AB$3="","",IF(COUNTIFS(BD!$A$3:$A$5001,AB$3,BD!$B$3:$B$5001,$A$505,BD!$J$3:$J$5001,"&lt;&gt;")=0,"",SUMIFS(BD!$J$3:$J$5001,BD!$A$3:$A$5001,AB$3,BD!$B$3:$B$5001,$A$505)))</f>
        <v/>
      </c>
      <c r="AC512" s="218" t="str">
        <f>IF(AC$3="","",IF(COUNTIFS(BD!$A$3:$A$5001,AC$3,BD!$B$3:$B$5001,$A$505,BD!$J$3:$J$5001,"&lt;&gt;")=0,"",SUMIFS(BD!$J$3:$J$5001,BD!$A$3:$A$5001,AC$3,BD!$B$3:$B$5001,$A$505)))</f>
        <v/>
      </c>
      <c r="AD512" s="218" t="str">
        <f>IF(AD$3="","",IF(COUNTIFS(BD!$A$3:$A$5001,AD$3,BD!$B$3:$B$5001,$A$505,BD!$J$3:$J$5001,"&lt;&gt;")=0,"",SUMIFS(BD!$J$3:$J$5001,BD!$A$3:$A$5001,AD$3,BD!$B$3:$B$5001,$A$505)))</f>
        <v/>
      </c>
      <c r="AE512" s="218" t="str">
        <f>IF(AE$3="","",IF(COUNTIFS(BD!$A$3:$A$5001,AE$3,BD!$B$3:$B$5001,$A$505,BD!$J$3:$J$5001,"&lt;&gt;")=0,"",SUMIFS(BD!$J$3:$J$5001,BD!$A$3:$A$5001,AE$3,BD!$B$3:$B$5001,$A$505)))</f>
        <v/>
      </c>
      <c r="AF512" s="218" t="str">
        <f>IF(AF$3="","",IF(COUNTIFS(BD!$A$3:$A$5001,AF$3,BD!$B$3:$B$5001,$A$505,BD!$J$3:$J$5001,"&lt;&gt;")=0,"",SUMIFS(BD!$J$3:$J$5001,BD!$A$3:$A$5001,AF$3,BD!$B$3:$B$5001,$A$505)))</f>
        <v/>
      </c>
      <c r="AG512" s="218" t="str">
        <f>IF(AG$3="","",IF(COUNTIFS(BD!$A$3:$A$5001,AG$3,BD!$B$3:$B$5001,$A$505,BD!$J$3:$J$5001,"&lt;&gt;")=0,"",SUMIFS(BD!$J$3:$J$5001,BD!$A$3:$A$5001,AG$3,BD!$B$3:$B$5001,$A$505)))</f>
        <v/>
      </c>
      <c r="AH512" s="218" t="str">
        <f>IF(AH$3="","",IF(COUNTIFS(BD!$A$3:$A$5001,AH$3,BD!$B$3:$B$5001,$A$505,BD!$J$3:$J$5001,"&lt;&gt;")=0,"",SUMIFS(BD!$J$3:$J$5001,BD!$A$3:$A$5001,AH$3,BD!$B$3:$B$5001,$A$505)))</f>
        <v/>
      </c>
      <c r="AI512" s="218" t="str">
        <f>IF(AI$3="","",IF(COUNTIFS(BD!$A$3:$A$5001,AI$3,BD!$B$3:$B$5001,$A$505,BD!$J$3:$J$5001,"&lt;&gt;")=0,"",SUMIFS(BD!$J$3:$J$5001,BD!$A$3:$A$5001,AI$3,BD!$B$3:$B$5001,$A$505)))</f>
        <v/>
      </c>
      <c r="AJ512" s="219" t="str">
        <f>IF(AJ$3="","",IF(COUNTIFS(BD!$A$3:$A$5001,AJ$3,BD!$B$3:$B$5001,$A$505,BD!$J$3:$J$5001,"&lt;&gt;")=0,"",SUMIFS(BD!$J$3:$J$5001,BD!$A$3:$A$5001,AJ$3,BD!$B$3:$B$5001,$A$505)))</f>
        <v/>
      </c>
      <c r="AK512" s="220" t="str">
        <f>IF(COUNT(F512:AJ512)=0,"",SUM(F512:AJ512))</f>
        <v/>
      </c>
    </row>
    <row r="513" ht="15.75" customHeight="1" hidden="1">
      <c r="A513" s="261"/>
      <c r="B513" s="250"/>
      <c r="C513" s="175" t="inlineStr">
        <is>
          <t xml:space="preserve">Caixas Mistas Recebidas</t>
        </is>
      </c>
      <c r="D513" s="176" t="str">
        <f>IFERROR(1/(1/INDEX(BD!$AL$31:$BF$31,MATCH($A$505,BD!$AL$22:$BF$22,0))),"")</f>
        <v/>
      </c>
      <c r="E513" s="177"/>
      <c r="F513" s="178" t="str">
        <f>IF(F$3="","",IF(COUNTIFS(BD!$A$3:$A$5001,F$3,BD!$B$3:$B$5001,$A$505,BD!$K$3:$K$5001,"&lt;&gt;")=0,"",SUMIFS(BD!$K$3:$K$5001,BD!$A$3:$A$5001,F$3,BD!$B$3:$B$5001,$A$505)))</f>
        <v/>
      </c>
      <c r="G513" s="179" t="str">
        <f>IF(G$3="","",IF(COUNTIFS(BD!$A$3:$A$5001,G$3,BD!$B$3:$B$5001,$A$505,BD!$K$3:$K$5001,"&lt;&gt;")=0,"",SUMIFS(BD!$K$3:$K$5001,BD!$A$3:$A$5001,G$3,BD!$B$3:$B$5001,$A$505)))</f>
        <v/>
      </c>
      <c r="H513" s="179" t="str">
        <f>IF(H$3="","",IF(COUNTIFS(BD!$A$3:$A$5001,H$3,BD!$B$3:$B$5001,$A$505,BD!$K$3:$K$5001,"&lt;&gt;")=0,"",SUMIFS(BD!$K$3:$K$5001,BD!$A$3:$A$5001,H$3,BD!$B$3:$B$5001,$A$505)))</f>
        <v/>
      </c>
      <c r="I513" s="179" t="str">
        <f>IF(I$3="","",IF(COUNTIFS(BD!$A$3:$A$5001,I$3,BD!$B$3:$B$5001,$A$505,BD!$K$3:$K$5001,"&lt;&gt;")=0,"",SUMIFS(BD!$K$3:$K$5001,BD!$A$3:$A$5001,I$3,BD!$B$3:$B$5001,$A$505)))</f>
        <v/>
      </c>
      <c r="J513" s="179" t="str">
        <f>IF(J$3="","",IF(COUNTIFS(BD!$A$3:$A$5001,J$3,BD!$B$3:$B$5001,$A$505,BD!$K$3:$K$5001,"&lt;&gt;")=0,"",SUMIFS(BD!$K$3:$K$5001,BD!$A$3:$A$5001,J$3,BD!$B$3:$B$5001,$A$505)))</f>
        <v/>
      </c>
      <c r="K513" s="179" t="str">
        <f>IF(K$3="","",IF(COUNTIFS(BD!$A$3:$A$5001,K$3,BD!$B$3:$B$5001,$A$505,BD!$K$3:$K$5001,"&lt;&gt;")=0,"",SUMIFS(BD!$K$3:$K$5001,BD!$A$3:$A$5001,K$3,BD!$B$3:$B$5001,$A$505)))</f>
        <v/>
      </c>
      <c r="L513" s="179" t="str">
        <f>IF(L$3="","",IF(COUNTIFS(BD!$A$3:$A$5001,L$3,BD!$B$3:$B$5001,$A$505,BD!$K$3:$K$5001,"&lt;&gt;")=0,"",SUMIFS(BD!$K$3:$K$5001,BD!$A$3:$A$5001,L$3,BD!$B$3:$B$5001,$A$505)))</f>
        <v/>
      </c>
      <c r="M513" s="179" t="str">
        <f>IF(M$3="","",IF(COUNTIFS(BD!$A$3:$A$5001,M$3,BD!$B$3:$B$5001,$A$505,BD!$K$3:$K$5001,"&lt;&gt;")=0,"",SUMIFS(BD!$K$3:$K$5001,BD!$A$3:$A$5001,M$3,BD!$B$3:$B$5001,$A$505)))</f>
        <v/>
      </c>
      <c r="N513" s="179" t="str">
        <f>IF(N$3="","",IF(COUNTIFS(BD!$A$3:$A$5001,N$3,BD!$B$3:$B$5001,$A$505,BD!$K$3:$K$5001,"&lt;&gt;")=0,"",SUMIFS(BD!$K$3:$K$5001,BD!$A$3:$A$5001,N$3,BD!$B$3:$B$5001,$A$505)))</f>
        <v/>
      </c>
      <c r="O513" s="179" t="str">
        <f>IF(O$3="","",IF(COUNTIFS(BD!$A$3:$A$5001,O$3,BD!$B$3:$B$5001,$A$505,BD!$K$3:$K$5001,"&lt;&gt;")=0,"",SUMIFS(BD!$K$3:$K$5001,BD!$A$3:$A$5001,O$3,BD!$B$3:$B$5001,$A$505)))</f>
        <v/>
      </c>
      <c r="P513" s="179" t="str">
        <f>IF(P$3="","",IF(COUNTIFS(BD!$A$3:$A$5001,P$3,BD!$B$3:$B$5001,$A$505,BD!$K$3:$K$5001,"&lt;&gt;")=0,"",SUMIFS(BD!$K$3:$K$5001,BD!$A$3:$A$5001,P$3,BD!$B$3:$B$5001,$A$505)))</f>
        <v/>
      </c>
      <c r="Q513" s="179" t="str">
        <f>IF(Q$3="","",IF(COUNTIFS(BD!$A$3:$A$5001,Q$3,BD!$B$3:$B$5001,$A$505,BD!$K$3:$K$5001,"&lt;&gt;")=0,"",SUMIFS(BD!$K$3:$K$5001,BD!$A$3:$A$5001,Q$3,BD!$B$3:$B$5001,$A$505)))</f>
        <v/>
      </c>
      <c r="R513" s="179" t="str">
        <f>IF(R$3="","",IF(COUNTIFS(BD!$A$3:$A$5001,R$3,BD!$B$3:$B$5001,$A$505,BD!$K$3:$K$5001,"&lt;&gt;")=0,"",SUMIFS(BD!$K$3:$K$5001,BD!$A$3:$A$5001,R$3,BD!$B$3:$B$5001,$A$505)))</f>
        <v/>
      </c>
      <c r="S513" s="179" t="str">
        <f>IF(S$3="","",IF(COUNTIFS(BD!$A$3:$A$5001,S$3,BD!$B$3:$B$5001,$A$505,BD!$K$3:$K$5001,"&lt;&gt;")=0,"",SUMIFS(BD!$K$3:$K$5001,BD!$A$3:$A$5001,S$3,BD!$B$3:$B$5001,$A$505)))</f>
        <v/>
      </c>
      <c r="T513" s="179" t="str">
        <f>IF(T$3="","",IF(COUNTIFS(BD!$A$3:$A$5001,T$3,BD!$B$3:$B$5001,$A$505,BD!$K$3:$K$5001,"&lt;&gt;")=0,"",SUMIFS(BD!$K$3:$K$5001,BD!$A$3:$A$5001,T$3,BD!$B$3:$B$5001,$A$505)))</f>
        <v/>
      </c>
      <c r="U513" s="179" t="str">
        <f>IF(U$3="","",IF(COUNTIFS(BD!$A$3:$A$5001,U$3,BD!$B$3:$B$5001,$A$505,BD!$K$3:$K$5001,"&lt;&gt;")=0,"",SUMIFS(BD!$K$3:$K$5001,BD!$A$3:$A$5001,U$3,BD!$B$3:$B$5001,$A$505)))</f>
        <v/>
      </c>
      <c r="V513" s="179" t="str">
        <f>IF(V$3="","",IF(COUNTIFS(BD!$A$3:$A$5001,V$3,BD!$B$3:$B$5001,$A$505,BD!$K$3:$K$5001,"&lt;&gt;")=0,"",SUMIFS(BD!$K$3:$K$5001,BD!$A$3:$A$5001,V$3,BD!$B$3:$B$5001,$A$505)))</f>
        <v/>
      </c>
      <c r="W513" s="179" t="str">
        <f>IF(W$3="","",IF(COUNTIFS(BD!$A$3:$A$5001,W$3,BD!$B$3:$B$5001,$A$505,BD!$K$3:$K$5001,"&lt;&gt;")=0,"",SUMIFS(BD!$K$3:$K$5001,BD!$A$3:$A$5001,W$3,BD!$B$3:$B$5001,$A$505)))</f>
        <v/>
      </c>
      <c r="X513" s="179" t="str">
        <f>IF(X$3="","",IF(COUNTIFS(BD!$A$3:$A$5001,X$3,BD!$B$3:$B$5001,$A$505,BD!$K$3:$K$5001,"&lt;&gt;")=0,"",SUMIFS(BD!$K$3:$K$5001,BD!$A$3:$A$5001,X$3,BD!$B$3:$B$5001,$A$505)))</f>
        <v/>
      </c>
      <c r="Y513" s="179" t="str">
        <f>IF(Y$3="","",IF(COUNTIFS(BD!$A$3:$A$5001,Y$3,BD!$B$3:$B$5001,$A$505,BD!$K$3:$K$5001,"&lt;&gt;")=0,"",SUMIFS(BD!$K$3:$K$5001,BD!$A$3:$A$5001,Y$3,BD!$B$3:$B$5001,$A$505)))</f>
        <v/>
      </c>
      <c r="Z513" s="179" t="str">
        <f>IF(Z$3="","",IF(COUNTIFS(BD!$A$3:$A$5001,Z$3,BD!$B$3:$B$5001,$A$505,BD!$K$3:$K$5001,"&lt;&gt;")=0,"",SUMIFS(BD!$K$3:$K$5001,BD!$A$3:$A$5001,Z$3,BD!$B$3:$B$5001,$A$505)))</f>
        <v/>
      </c>
      <c r="AA513" s="179" t="str">
        <f>IF(AA$3="","",IF(COUNTIFS(BD!$A$3:$A$5001,AA$3,BD!$B$3:$B$5001,$A$505,BD!$K$3:$K$5001,"&lt;&gt;")=0,"",SUMIFS(BD!$K$3:$K$5001,BD!$A$3:$A$5001,AA$3,BD!$B$3:$B$5001,$A$505)))</f>
        <v/>
      </c>
      <c r="AB513" s="179" t="str">
        <f>IF(AB$3="","",IF(COUNTIFS(BD!$A$3:$A$5001,AB$3,BD!$B$3:$B$5001,$A$505,BD!$K$3:$K$5001,"&lt;&gt;")=0,"",SUMIFS(BD!$K$3:$K$5001,BD!$A$3:$A$5001,AB$3,BD!$B$3:$B$5001,$A$505)))</f>
        <v/>
      </c>
      <c r="AC513" s="179" t="str">
        <f>IF(AC$3="","",IF(COUNTIFS(BD!$A$3:$A$5001,AC$3,BD!$B$3:$B$5001,$A$505,BD!$K$3:$K$5001,"&lt;&gt;")=0,"",SUMIFS(BD!$K$3:$K$5001,BD!$A$3:$A$5001,AC$3,BD!$B$3:$B$5001,$A$505)))</f>
        <v/>
      </c>
      <c r="AD513" s="179" t="str">
        <f>IF(AD$3="","",IF(COUNTIFS(BD!$A$3:$A$5001,AD$3,BD!$B$3:$B$5001,$A$505,BD!$K$3:$K$5001,"&lt;&gt;")=0,"",SUMIFS(BD!$K$3:$K$5001,BD!$A$3:$A$5001,AD$3,BD!$B$3:$B$5001,$A$505)))</f>
        <v/>
      </c>
      <c r="AE513" s="179" t="str">
        <f>IF(AE$3="","",IF(COUNTIFS(BD!$A$3:$A$5001,AE$3,BD!$B$3:$B$5001,$A$505,BD!$K$3:$K$5001,"&lt;&gt;")=0,"",SUMIFS(BD!$K$3:$K$5001,BD!$A$3:$A$5001,AE$3,BD!$B$3:$B$5001,$A$505)))</f>
        <v/>
      </c>
      <c r="AF513" s="179" t="str">
        <f>IF(AF$3="","",IF(COUNTIFS(BD!$A$3:$A$5001,AF$3,BD!$B$3:$B$5001,$A$505,BD!$K$3:$K$5001,"&lt;&gt;")=0,"",SUMIFS(BD!$K$3:$K$5001,BD!$A$3:$A$5001,AF$3,BD!$B$3:$B$5001,$A$505)))</f>
        <v/>
      </c>
      <c r="AG513" s="179" t="str">
        <f>IF(AG$3="","",IF(COUNTIFS(BD!$A$3:$A$5001,AG$3,BD!$B$3:$B$5001,$A$505,BD!$K$3:$K$5001,"&lt;&gt;")=0,"",SUMIFS(BD!$K$3:$K$5001,BD!$A$3:$A$5001,AG$3,BD!$B$3:$B$5001,$A$505)))</f>
        <v/>
      </c>
      <c r="AH513" s="179" t="str">
        <f>IF(AH$3="","",IF(COUNTIFS(BD!$A$3:$A$5001,AH$3,BD!$B$3:$B$5001,$A$505,BD!$K$3:$K$5001,"&lt;&gt;")=0,"",SUMIFS(BD!$K$3:$K$5001,BD!$A$3:$A$5001,AH$3,BD!$B$3:$B$5001,$A$505)))</f>
        <v/>
      </c>
      <c r="AI513" s="179" t="str">
        <f>IF(AI$3="","",IF(COUNTIFS(BD!$A$3:$A$5001,AI$3,BD!$B$3:$B$5001,$A$505,BD!$K$3:$K$5001,"&lt;&gt;")=0,"",SUMIFS(BD!$K$3:$K$5001,BD!$A$3:$A$5001,AI$3,BD!$B$3:$B$5001,$A$505)))</f>
        <v/>
      </c>
      <c r="AJ513" s="180" t="str">
        <f>IF(AJ$3="","",IF(COUNTIFS(BD!$A$3:$A$5001,AJ$3,BD!$B$3:$B$5001,$A$505,BD!$K$3:$K$5001,"&lt;&gt;")=0,"",SUMIFS(BD!$K$3:$K$5001,BD!$A$3:$A$5001,AJ$3,BD!$B$3:$B$5001,$A$505)))</f>
        <v/>
      </c>
      <c r="AK513" s="176" t="str">
        <f>IF(COUNT(F513:AJ513)=0,"",SUM(F513:AJ513))</f>
        <v/>
      </c>
    </row>
    <row r="514" ht="15.75" customHeight="1" hidden="1">
      <c r="A514" s="261"/>
      <c r="B514" s="251" t="inlineStr">
        <is>
          <t xml:space="preserve">OUT</t>
        </is>
      </c>
      <c r="C514" s="181" t="inlineStr">
        <is>
          <t xml:space="preserve">Veículos Expedidos</t>
        </is>
      </c>
      <c r="D514" s="182" t="str">
        <f>IFERROR(1/(1/INDEX(BD!$AL$32:$BF$32,MATCH($A$505,BD!$AL$22:$BF$22,0))),"")</f>
        <v/>
      </c>
      <c r="E514" s="183"/>
      <c r="F514" s="184" t="str">
        <f>IF(F$3="","",IF(COUNTIFS(BD!$A$3:$A$5001,F$3,BD!$B$3:$B$5001,$A$505,BD!$L$3:$L$5001,"&lt;&gt;")=0,"",SUMIFS(BD!$L$3:$L$5001,BD!$A$3:$A$5001,F$3,BD!$B$3:$B$5001,$A$505)))</f>
        <v/>
      </c>
      <c r="G514" s="185" t="str">
        <f>IF(G$3="","",IF(COUNTIFS(BD!$A$3:$A$5001,G$3,BD!$B$3:$B$5001,$A$505,BD!$L$3:$L$5001,"&lt;&gt;")=0,"",SUMIFS(BD!$L$3:$L$5001,BD!$A$3:$A$5001,G$3,BD!$B$3:$B$5001,$A$505)))</f>
        <v/>
      </c>
      <c r="H514" s="185" t="str">
        <f>IF(H$3="","",IF(COUNTIFS(BD!$A$3:$A$5001,H$3,BD!$B$3:$B$5001,$A$505,BD!$L$3:$L$5001,"&lt;&gt;")=0,"",SUMIFS(BD!$L$3:$L$5001,BD!$A$3:$A$5001,H$3,BD!$B$3:$B$5001,$A$505)))</f>
        <v/>
      </c>
      <c r="I514" s="185" t="str">
        <f>IF(I$3="","",IF(COUNTIFS(BD!$A$3:$A$5001,I$3,BD!$B$3:$B$5001,$A$505,BD!$L$3:$L$5001,"&lt;&gt;")=0,"",SUMIFS(BD!$L$3:$L$5001,BD!$A$3:$A$5001,I$3,BD!$B$3:$B$5001,$A$505)))</f>
        <v/>
      </c>
      <c r="J514" s="185" t="str">
        <f>IF(J$3="","",IF(COUNTIFS(BD!$A$3:$A$5001,J$3,BD!$B$3:$B$5001,$A$505,BD!$L$3:$L$5001,"&lt;&gt;")=0,"",SUMIFS(BD!$L$3:$L$5001,BD!$A$3:$A$5001,J$3,BD!$B$3:$B$5001,$A$505)))</f>
        <v/>
      </c>
      <c r="K514" s="185" t="str">
        <f>IF(K$3="","",IF(COUNTIFS(BD!$A$3:$A$5001,K$3,BD!$B$3:$B$5001,$A$505,BD!$L$3:$L$5001,"&lt;&gt;")=0,"",SUMIFS(BD!$L$3:$L$5001,BD!$A$3:$A$5001,K$3,BD!$B$3:$B$5001,$A$505)))</f>
        <v/>
      </c>
      <c r="L514" s="185" t="str">
        <f>IF(L$3="","",IF(COUNTIFS(BD!$A$3:$A$5001,L$3,BD!$B$3:$B$5001,$A$505,BD!$L$3:$L$5001,"&lt;&gt;")=0,"",SUMIFS(BD!$L$3:$L$5001,BD!$A$3:$A$5001,L$3,BD!$B$3:$B$5001,$A$505)))</f>
        <v/>
      </c>
      <c r="M514" s="185" t="str">
        <f>IF(M$3="","",IF(COUNTIFS(BD!$A$3:$A$5001,M$3,BD!$B$3:$B$5001,$A$505,BD!$L$3:$L$5001,"&lt;&gt;")=0,"",SUMIFS(BD!$L$3:$L$5001,BD!$A$3:$A$5001,M$3,BD!$B$3:$B$5001,$A$505)))</f>
        <v/>
      </c>
      <c r="N514" s="185" t="str">
        <f>IF(N$3="","",IF(COUNTIFS(BD!$A$3:$A$5001,N$3,BD!$B$3:$B$5001,$A$505,BD!$L$3:$L$5001,"&lt;&gt;")=0,"",SUMIFS(BD!$L$3:$L$5001,BD!$A$3:$A$5001,N$3,BD!$B$3:$B$5001,$A$505)))</f>
        <v/>
      </c>
      <c r="O514" s="185" t="str">
        <f>IF(O$3="","",IF(COUNTIFS(BD!$A$3:$A$5001,O$3,BD!$B$3:$B$5001,$A$505,BD!$L$3:$L$5001,"&lt;&gt;")=0,"",SUMIFS(BD!$L$3:$L$5001,BD!$A$3:$A$5001,O$3,BD!$B$3:$B$5001,$A$505)))</f>
        <v/>
      </c>
      <c r="P514" s="185" t="str">
        <f>IF(P$3="","",IF(COUNTIFS(BD!$A$3:$A$5001,P$3,BD!$B$3:$B$5001,$A$505,BD!$L$3:$L$5001,"&lt;&gt;")=0,"",SUMIFS(BD!$L$3:$L$5001,BD!$A$3:$A$5001,P$3,BD!$B$3:$B$5001,$A$505)))</f>
        <v/>
      </c>
      <c r="Q514" s="185" t="str">
        <f>IF(Q$3="","",IF(COUNTIFS(BD!$A$3:$A$5001,Q$3,BD!$B$3:$B$5001,$A$505,BD!$L$3:$L$5001,"&lt;&gt;")=0,"",SUMIFS(BD!$L$3:$L$5001,BD!$A$3:$A$5001,Q$3,BD!$B$3:$B$5001,$A$505)))</f>
        <v/>
      </c>
      <c r="R514" s="185" t="str">
        <f>IF(R$3="","",IF(COUNTIFS(BD!$A$3:$A$5001,R$3,BD!$B$3:$B$5001,$A$505,BD!$L$3:$L$5001,"&lt;&gt;")=0,"",SUMIFS(BD!$L$3:$L$5001,BD!$A$3:$A$5001,R$3,BD!$B$3:$B$5001,$A$505)))</f>
        <v/>
      </c>
      <c r="S514" s="185" t="str">
        <f>IF(S$3="","",IF(COUNTIFS(BD!$A$3:$A$5001,S$3,BD!$B$3:$B$5001,$A$505,BD!$L$3:$L$5001,"&lt;&gt;")=0,"",SUMIFS(BD!$L$3:$L$5001,BD!$A$3:$A$5001,S$3,BD!$B$3:$B$5001,$A$505)))</f>
        <v/>
      </c>
      <c r="T514" s="185" t="str">
        <f>IF(T$3="","",IF(COUNTIFS(BD!$A$3:$A$5001,T$3,BD!$B$3:$B$5001,$A$505,BD!$L$3:$L$5001,"&lt;&gt;")=0,"",SUMIFS(BD!$L$3:$L$5001,BD!$A$3:$A$5001,T$3,BD!$B$3:$B$5001,$A$505)))</f>
        <v/>
      </c>
      <c r="U514" s="185" t="str">
        <f>IF(U$3="","",IF(COUNTIFS(BD!$A$3:$A$5001,U$3,BD!$B$3:$B$5001,$A$505,BD!$L$3:$L$5001,"&lt;&gt;")=0,"",SUMIFS(BD!$L$3:$L$5001,BD!$A$3:$A$5001,U$3,BD!$B$3:$B$5001,$A$505)))</f>
        <v/>
      </c>
      <c r="V514" s="185" t="str">
        <f>IF(V$3="","",IF(COUNTIFS(BD!$A$3:$A$5001,V$3,BD!$B$3:$B$5001,$A$505,BD!$L$3:$L$5001,"&lt;&gt;")=0,"",SUMIFS(BD!$L$3:$L$5001,BD!$A$3:$A$5001,V$3,BD!$B$3:$B$5001,$A$505)))</f>
        <v/>
      </c>
      <c r="W514" s="185" t="str">
        <f>IF(W$3="","",IF(COUNTIFS(BD!$A$3:$A$5001,W$3,BD!$B$3:$B$5001,$A$505,BD!$L$3:$L$5001,"&lt;&gt;")=0,"",SUMIFS(BD!$L$3:$L$5001,BD!$A$3:$A$5001,W$3,BD!$B$3:$B$5001,$A$505)))</f>
        <v/>
      </c>
      <c r="X514" s="185" t="str">
        <f>IF(X$3="","",IF(COUNTIFS(BD!$A$3:$A$5001,X$3,BD!$B$3:$B$5001,$A$505,BD!$L$3:$L$5001,"&lt;&gt;")=0,"",SUMIFS(BD!$L$3:$L$5001,BD!$A$3:$A$5001,X$3,BD!$B$3:$B$5001,$A$505)))</f>
        <v/>
      </c>
      <c r="Y514" s="185" t="str">
        <f>IF(Y$3="","",IF(COUNTIFS(BD!$A$3:$A$5001,Y$3,BD!$B$3:$B$5001,$A$505,BD!$L$3:$L$5001,"&lt;&gt;")=0,"",SUMIFS(BD!$L$3:$L$5001,BD!$A$3:$A$5001,Y$3,BD!$B$3:$B$5001,$A$505)))</f>
        <v/>
      </c>
      <c r="Z514" s="185" t="str">
        <f>IF(Z$3="","",IF(COUNTIFS(BD!$A$3:$A$5001,Z$3,BD!$B$3:$B$5001,$A$505,BD!$L$3:$L$5001,"&lt;&gt;")=0,"",SUMIFS(BD!$L$3:$L$5001,BD!$A$3:$A$5001,Z$3,BD!$B$3:$B$5001,$A$505)))</f>
        <v/>
      </c>
      <c r="AA514" s="185" t="str">
        <f>IF(AA$3="","",IF(COUNTIFS(BD!$A$3:$A$5001,AA$3,BD!$B$3:$B$5001,$A$505,BD!$L$3:$L$5001,"&lt;&gt;")=0,"",SUMIFS(BD!$L$3:$L$5001,BD!$A$3:$A$5001,AA$3,BD!$B$3:$B$5001,$A$505)))</f>
        <v/>
      </c>
      <c r="AB514" s="185" t="str">
        <f>IF(AB$3="","",IF(COUNTIFS(BD!$A$3:$A$5001,AB$3,BD!$B$3:$B$5001,$A$505,BD!$L$3:$L$5001,"&lt;&gt;")=0,"",SUMIFS(BD!$L$3:$L$5001,BD!$A$3:$A$5001,AB$3,BD!$B$3:$B$5001,$A$505)))</f>
        <v/>
      </c>
      <c r="AC514" s="185" t="str">
        <f>IF(AC$3="","",IF(COUNTIFS(BD!$A$3:$A$5001,AC$3,BD!$B$3:$B$5001,$A$505,BD!$L$3:$L$5001,"&lt;&gt;")=0,"",SUMIFS(BD!$L$3:$L$5001,BD!$A$3:$A$5001,AC$3,BD!$B$3:$B$5001,$A$505)))</f>
        <v/>
      </c>
      <c r="AD514" s="185" t="str">
        <f>IF(AD$3="","",IF(COUNTIFS(BD!$A$3:$A$5001,AD$3,BD!$B$3:$B$5001,$A$505,BD!$L$3:$L$5001,"&lt;&gt;")=0,"",SUMIFS(BD!$L$3:$L$5001,BD!$A$3:$A$5001,AD$3,BD!$B$3:$B$5001,$A$505)))</f>
        <v/>
      </c>
      <c r="AE514" s="185" t="str">
        <f>IF(AE$3="","",IF(COUNTIFS(BD!$A$3:$A$5001,AE$3,BD!$B$3:$B$5001,$A$505,BD!$L$3:$L$5001,"&lt;&gt;")=0,"",SUMIFS(BD!$L$3:$L$5001,BD!$A$3:$A$5001,AE$3,BD!$B$3:$B$5001,$A$505)))</f>
        <v/>
      </c>
      <c r="AF514" s="185" t="str">
        <f>IF(AF$3="","",IF(COUNTIFS(BD!$A$3:$A$5001,AF$3,BD!$B$3:$B$5001,$A$505,BD!$L$3:$L$5001,"&lt;&gt;")=0,"",SUMIFS(BD!$L$3:$L$5001,BD!$A$3:$A$5001,AF$3,BD!$B$3:$B$5001,$A$505)))</f>
        <v/>
      </c>
      <c r="AG514" s="185" t="str">
        <f>IF(AG$3="","",IF(COUNTIFS(BD!$A$3:$A$5001,AG$3,BD!$B$3:$B$5001,$A$505,BD!$L$3:$L$5001,"&lt;&gt;")=0,"",SUMIFS(BD!$L$3:$L$5001,BD!$A$3:$A$5001,AG$3,BD!$B$3:$B$5001,$A$505)))</f>
        <v/>
      </c>
      <c r="AH514" s="185" t="str">
        <f>IF(AH$3="","",IF(COUNTIFS(BD!$A$3:$A$5001,AH$3,BD!$B$3:$B$5001,$A$505,BD!$L$3:$L$5001,"&lt;&gt;")=0,"",SUMIFS(BD!$L$3:$L$5001,BD!$A$3:$A$5001,AH$3,BD!$B$3:$B$5001,$A$505)))</f>
        <v/>
      </c>
      <c r="AI514" s="185" t="str">
        <f>IF(AI$3="","",IF(COUNTIFS(BD!$A$3:$A$5001,AI$3,BD!$B$3:$B$5001,$A$505,BD!$L$3:$L$5001,"&lt;&gt;")=0,"",SUMIFS(BD!$L$3:$L$5001,BD!$A$3:$A$5001,AI$3,BD!$B$3:$B$5001,$A$505)))</f>
        <v/>
      </c>
      <c r="AJ514" s="186" t="str">
        <f>IF(AJ$3="","",IF(COUNTIFS(BD!$A$3:$A$5001,AJ$3,BD!$B$3:$B$5001,$A$505,BD!$L$3:$L$5001,"&lt;&gt;")=0,"",SUMIFS(BD!$L$3:$L$5001,BD!$A$3:$A$5001,AJ$3,BD!$B$3:$B$5001,$A$505)))</f>
        <v/>
      </c>
      <c r="AK514" s="187" t="str">
        <f>IF(COUNT(F514:AJ514)=0,"",SUM(F514:AJ514))</f>
        <v/>
      </c>
    </row>
    <row r="515" ht="15.75" customHeight="1" hidden="1">
      <c r="A515" s="261"/>
      <c r="B515" s="278"/>
      <c r="C515" s="267" t="inlineStr">
        <is>
          <t xml:space="preserve">Pedidos Expedidos</t>
        </is>
      </c>
      <c r="D515" s="268" t="str">
        <f>IFERROR(1/(1/INDEX(BD!$AL$33:$BF$33,MATCH($A$505,BD!$AL$22:$BF$22,0))),"")</f>
        <v/>
      </c>
      <c r="E515" s="269"/>
      <c r="F515" s="270" t="str">
        <f>IF(F$3="","",IF(COUNTIFS(BD!$A$3:$A$5001,F$3,BD!$B$3:$B$5001,$A$505,BD!$M$3:$M$5001,"&lt;&gt;")=0,"",SUMIFS(BD!$M$3:$M$5001,BD!$A$3:$A$5001,F$3,BD!$B$3:$B$5001,$A$505)))</f>
        <v/>
      </c>
      <c r="G515" s="271" t="str">
        <f>IF(G$3="","",IF(COUNTIFS(BD!$A$3:$A$5001,G$3,BD!$B$3:$B$5001,$A$505,BD!$M$3:$M$5001,"&lt;&gt;")=0,"",SUMIFS(BD!$M$3:$M$5001,BD!$A$3:$A$5001,G$3,BD!$B$3:$B$5001,$A$505)))</f>
        <v/>
      </c>
      <c r="H515" s="271" t="str">
        <f>IF(H$3="","",IF(COUNTIFS(BD!$A$3:$A$5001,H$3,BD!$B$3:$B$5001,$A$505,BD!$M$3:$M$5001,"&lt;&gt;")=0,"",SUMIFS(BD!$M$3:$M$5001,BD!$A$3:$A$5001,H$3,BD!$B$3:$B$5001,$A$505)))</f>
        <v/>
      </c>
      <c r="I515" s="271" t="str">
        <f>IF(I$3="","",IF(COUNTIFS(BD!$A$3:$A$5001,I$3,BD!$B$3:$B$5001,$A$505,BD!$M$3:$M$5001,"&lt;&gt;")=0,"",SUMIFS(BD!$M$3:$M$5001,BD!$A$3:$A$5001,I$3,BD!$B$3:$B$5001,$A$505)))</f>
        <v/>
      </c>
      <c r="J515" s="271" t="str">
        <f>IF(J$3="","",IF(COUNTIFS(BD!$A$3:$A$5001,J$3,BD!$B$3:$B$5001,$A$505,BD!$M$3:$M$5001,"&lt;&gt;")=0,"",SUMIFS(BD!$M$3:$M$5001,BD!$A$3:$A$5001,J$3,BD!$B$3:$B$5001,$A$505)))</f>
        <v/>
      </c>
      <c r="K515" s="271" t="str">
        <f>IF(K$3="","",IF(COUNTIFS(BD!$A$3:$A$5001,K$3,BD!$B$3:$B$5001,$A$505,BD!$M$3:$M$5001,"&lt;&gt;")=0,"",SUMIFS(BD!$M$3:$M$5001,BD!$A$3:$A$5001,K$3,BD!$B$3:$B$5001,$A$505)))</f>
        <v/>
      </c>
      <c r="L515" s="271" t="str">
        <f>IF(L$3="","",IF(COUNTIFS(BD!$A$3:$A$5001,L$3,BD!$B$3:$B$5001,$A$505,BD!$M$3:$M$5001,"&lt;&gt;")=0,"",SUMIFS(BD!$M$3:$M$5001,BD!$A$3:$A$5001,L$3,BD!$B$3:$B$5001,$A$505)))</f>
        <v/>
      </c>
      <c r="M515" s="271" t="str">
        <f>IF(M$3="","",IF(COUNTIFS(BD!$A$3:$A$5001,M$3,BD!$B$3:$B$5001,$A$505,BD!$M$3:$M$5001,"&lt;&gt;")=0,"",SUMIFS(BD!$M$3:$M$5001,BD!$A$3:$A$5001,M$3,BD!$B$3:$B$5001,$A$505)))</f>
        <v/>
      </c>
      <c r="N515" s="271" t="str">
        <f>IF(N$3="","",IF(COUNTIFS(BD!$A$3:$A$5001,N$3,BD!$B$3:$B$5001,$A$505,BD!$M$3:$M$5001,"&lt;&gt;")=0,"",SUMIFS(BD!$M$3:$M$5001,BD!$A$3:$A$5001,N$3,BD!$B$3:$B$5001,$A$505)))</f>
        <v/>
      </c>
      <c r="O515" s="271" t="str">
        <f>IF(O$3="","",IF(COUNTIFS(BD!$A$3:$A$5001,O$3,BD!$B$3:$B$5001,$A$505,BD!$M$3:$M$5001,"&lt;&gt;")=0,"",SUMIFS(BD!$M$3:$M$5001,BD!$A$3:$A$5001,O$3,BD!$B$3:$B$5001,$A$505)))</f>
        <v/>
      </c>
      <c r="P515" s="271" t="str">
        <f>IF(P$3="","",IF(COUNTIFS(BD!$A$3:$A$5001,P$3,BD!$B$3:$B$5001,$A$505,BD!$M$3:$M$5001,"&lt;&gt;")=0,"",SUMIFS(BD!$M$3:$M$5001,BD!$A$3:$A$5001,P$3,BD!$B$3:$B$5001,$A$505)))</f>
        <v/>
      </c>
      <c r="Q515" s="271" t="str">
        <f>IF(Q$3="","",IF(COUNTIFS(BD!$A$3:$A$5001,Q$3,BD!$B$3:$B$5001,$A$505,BD!$M$3:$M$5001,"&lt;&gt;")=0,"",SUMIFS(BD!$M$3:$M$5001,BD!$A$3:$A$5001,Q$3,BD!$B$3:$B$5001,$A$505)))</f>
        <v/>
      </c>
      <c r="R515" s="271" t="str">
        <f>IF(R$3="","",IF(COUNTIFS(BD!$A$3:$A$5001,R$3,BD!$B$3:$B$5001,$A$505,BD!$M$3:$M$5001,"&lt;&gt;")=0,"",SUMIFS(BD!$M$3:$M$5001,BD!$A$3:$A$5001,R$3,BD!$B$3:$B$5001,$A$505)))</f>
        <v/>
      </c>
      <c r="S515" s="271" t="str">
        <f>IF(S$3="","",IF(COUNTIFS(BD!$A$3:$A$5001,S$3,BD!$B$3:$B$5001,$A$505,BD!$M$3:$M$5001,"&lt;&gt;")=0,"",SUMIFS(BD!$M$3:$M$5001,BD!$A$3:$A$5001,S$3,BD!$B$3:$B$5001,$A$505)))</f>
        <v/>
      </c>
      <c r="T515" s="271" t="str">
        <f>IF(T$3="","",IF(COUNTIFS(BD!$A$3:$A$5001,T$3,BD!$B$3:$B$5001,$A$505,BD!$M$3:$M$5001,"&lt;&gt;")=0,"",SUMIFS(BD!$M$3:$M$5001,BD!$A$3:$A$5001,T$3,BD!$B$3:$B$5001,$A$505)))</f>
        <v/>
      </c>
      <c r="U515" s="271" t="str">
        <f>IF(U$3="","",IF(COUNTIFS(BD!$A$3:$A$5001,U$3,BD!$B$3:$B$5001,$A$505,BD!$M$3:$M$5001,"&lt;&gt;")=0,"",SUMIFS(BD!$M$3:$M$5001,BD!$A$3:$A$5001,U$3,BD!$B$3:$B$5001,$A$505)))</f>
        <v/>
      </c>
      <c r="V515" s="271" t="str">
        <f>IF(V$3="","",IF(COUNTIFS(BD!$A$3:$A$5001,V$3,BD!$B$3:$B$5001,$A$505,BD!$M$3:$M$5001,"&lt;&gt;")=0,"",SUMIFS(BD!$M$3:$M$5001,BD!$A$3:$A$5001,V$3,BD!$B$3:$B$5001,$A$505)))</f>
        <v/>
      </c>
      <c r="W515" s="271" t="str">
        <f>IF(W$3="","",IF(COUNTIFS(BD!$A$3:$A$5001,W$3,BD!$B$3:$B$5001,$A$505,BD!$M$3:$M$5001,"&lt;&gt;")=0,"",SUMIFS(BD!$M$3:$M$5001,BD!$A$3:$A$5001,W$3,BD!$B$3:$B$5001,$A$505)))</f>
        <v/>
      </c>
      <c r="X515" s="271" t="str">
        <f>IF(X$3="","",IF(COUNTIFS(BD!$A$3:$A$5001,X$3,BD!$B$3:$B$5001,$A$505,BD!$M$3:$M$5001,"&lt;&gt;")=0,"",SUMIFS(BD!$M$3:$M$5001,BD!$A$3:$A$5001,X$3,BD!$B$3:$B$5001,$A$505)))</f>
        <v/>
      </c>
      <c r="Y515" s="271" t="str">
        <f>IF(Y$3="","",IF(COUNTIFS(BD!$A$3:$A$5001,Y$3,BD!$B$3:$B$5001,$A$505,BD!$M$3:$M$5001,"&lt;&gt;")=0,"",SUMIFS(BD!$M$3:$M$5001,BD!$A$3:$A$5001,Y$3,BD!$B$3:$B$5001,$A$505)))</f>
        <v/>
      </c>
      <c r="Z515" s="271" t="str">
        <f>IF(Z$3="","",IF(COUNTIFS(BD!$A$3:$A$5001,Z$3,BD!$B$3:$B$5001,$A$505,BD!$M$3:$M$5001,"&lt;&gt;")=0,"",SUMIFS(BD!$M$3:$M$5001,BD!$A$3:$A$5001,Z$3,BD!$B$3:$B$5001,$A$505)))</f>
        <v/>
      </c>
      <c r="AA515" s="271" t="str">
        <f>IF(AA$3="","",IF(COUNTIFS(BD!$A$3:$A$5001,AA$3,BD!$B$3:$B$5001,$A$505,BD!$M$3:$M$5001,"&lt;&gt;")=0,"",SUMIFS(BD!$M$3:$M$5001,BD!$A$3:$A$5001,AA$3,BD!$B$3:$B$5001,$A$505)))</f>
        <v/>
      </c>
      <c r="AB515" s="271" t="str">
        <f>IF(AB$3="","",IF(COUNTIFS(BD!$A$3:$A$5001,AB$3,BD!$B$3:$B$5001,$A$505,BD!$M$3:$M$5001,"&lt;&gt;")=0,"",SUMIFS(BD!$M$3:$M$5001,BD!$A$3:$A$5001,AB$3,BD!$B$3:$B$5001,$A$505)))</f>
        <v/>
      </c>
      <c r="AC515" s="271" t="str">
        <f>IF(AC$3="","",IF(COUNTIFS(BD!$A$3:$A$5001,AC$3,BD!$B$3:$B$5001,$A$505,BD!$M$3:$M$5001,"&lt;&gt;")=0,"",SUMIFS(BD!$M$3:$M$5001,BD!$A$3:$A$5001,AC$3,BD!$B$3:$B$5001,$A$505)))</f>
        <v/>
      </c>
      <c r="AD515" s="271" t="str">
        <f>IF(AD$3="","",IF(COUNTIFS(BD!$A$3:$A$5001,AD$3,BD!$B$3:$B$5001,$A$505,BD!$M$3:$M$5001,"&lt;&gt;")=0,"",SUMIFS(BD!$M$3:$M$5001,BD!$A$3:$A$5001,AD$3,BD!$B$3:$B$5001,$A$505)))</f>
        <v/>
      </c>
      <c r="AE515" s="271" t="str">
        <f>IF(AE$3="","",IF(COUNTIFS(BD!$A$3:$A$5001,AE$3,BD!$B$3:$B$5001,$A$505,BD!$M$3:$M$5001,"&lt;&gt;")=0,"",SUMIFS(BD!$M$3:$M$5001,BD!$A$3:$A$5001,AE$3,BD!$B$3:$B$5001,$A$505)))</f>
        <v/>
      </c>
      <c r="AF515" s="271" t="str">
        <f>IF(AF$3="","",IF(COUNTIFS(BD!$A$3:$A$5001,AF$3,BD!$B$3:$B$5001,$A$505,BD!$M$3:$M$5001,"&lt;&gt;")=0,"",SUMIFS(BD!$M$3:$M$5001,BD!$A$3:$A$5001,AF$3,BD!$B$3:$B$5001,$A$505)))</f>
        <v/>
      </c>
      <c r="AG515" s="271" t="str">
        <f>IF(AG$3="","",IF(COUNTIFS(BD!$A$3:$A$5001,AG$3,BD!$B$3:$B$5001,$A$505,BD!$M$3:$M$5001,"&lt;&gt;")=0,"",SUMIFS(BD!$M$3:$M$5001,BD!$A$3:$A$5001,AG$3,BD!$B$3:$B$5001,$A$505)))</f>
        <v/>
      </c>
      <c r="AH515" s="271" t="str">
        <f>IF(AH$3="","",IF(COUNTIFS(BD!$A$3:$A$5001,AH$3,BD!$B$3:$B$5001,$A$505,BD!$M$3:$M$5001,"&lt;&gt;")=0,"",SUMIFS(BD!$M$3:$M$5001,BD!$A$3:$A$5001,AH$3,BD!$B$3:$B$5001,$A$505)))</f>
        <v/>
      </c>
      <c r="AI515" s="271" t="str">
        <f>IF(AI$3="","",IF(COUNTIFS(BD!$A$3:$A$5001,AI$3,BD!$B$3:$B$5001,$A$505,BD!$M$3:$M$5001,"&lt;&gt;")=0,"",SUMIFS(BD!$M$3:$M$5001,BD!$A$3:$A$5001,AI$3,BD!$B$3:$B$5001,$A$505)))</f>
        <v/>
      </c>
      <c r="AJ515" s="272" t="str">
        <f>IF(AJ$3="","",IF(COUNTIFS(BD!$A$3:$A$5001,AJ$3,BD!$B$3:$B$5001,$A$505,BD!$M$3:$M$5001,"&lt;&gt;")=0,"",SUMIFS(BD!$M$3:$M$5001,BD!$A$3:$A$5001,AJ$3,BD!$B$3:$B$5001,$A$505)))</f>
        <v/>
      </c>
      <c r="AK515" s="273" t="str">
        <f>IF(COUNT(F515:AJ515)=0,"",SUM(F515:AJ515))</f>
        <v/>
      </c>
    </row>
    <row r="516" ht="15.75" customHeight="1" hidden="1">
      <c r="A516" s="261"/>
      <c r="B516" s="278"/>
      <c r="C516" s="267" t="inlineStr">
        <is>
          <t xml:space="preserve">Pedidos Faturados</t>
        </is>
      </c>
      <c r="D516" s="268" t="str">
        <f>IFERROR(1/(1/INDEX(BD!$AL$34:$BF$34,MATCH($A$505,BD!$AL$22:$BF$22,0))),"")</f>
        <v/>
      </c>
      <c r="E516" s="269"/>
      <c r="F516" s="270" t="str">
        <f>IF(F$3="","",IF(COUNTIFS(BD!$A$3:$A$5001,F$3,BD!$B$3:$B$5001,$A$505,BD!$N$3:$N$5001,"&lt;&gt;")=0,"",SUMIFS(BD!$N$3:$N$5001,BD!$A$3:$A$5001,F$3,BD!$B$3:$B$5001,$A$505)))</f>
        <v/>
      </c>
      <c r="G516" s="271" t="str">
        <f>IF(G$3="","",IF(COUNTIFS(BD!$A$3:$A$5001,G$3,BD!$B$3:$B$5001,$A$505,BD!$N$3:$N$5001,"&lt;&gt;")=0,"",SUMIFS(BD!$N$3:$N$5001,BD!$A$3:$A$5001,G$3,BD!$B$3:$B$5001,$A$505)))</f>
        <v/>
      </c>
      <c r="H516" s="271" t="str">
        <f>IF(H$3="","",IF(COUNTIFS(BD!$A$3:$A$5001,H$3,BD!$B$3:$B$5001,$A$505,BD!$N$3:$N$5001,"&lt;&gt;")=0,"",SUMIFS(BD!$N$3:$N$5001,BD!$A$3:$A$5001,H$3,BD!$B$3:$B$5001,$A$505)))</f>
        <v/>
      </c>
      <c r="I516" s="271" t="str">
        <f>IF(I$3="","",IF(COUNTIFS(BD!$A$3:$A$5001,I$3,BD!$B$3:$B$5001,$A$505,BD!$N$3:$N$5001,"&lt;&gt;")=0,"",SUMIFS(BD!$N$3:$N$5001,BD!$A$3:$A$5001,I$3,BD!$B$3:$B$5001,$A$505)))</f>
        <v/>
      </c>
      <c r="J516" s="271" t="str">
        <f>IF(J$3="","",IF(COUNTIFS(BD!$A$3:$A$5001,J$3,BD!$B$3:$B$5001,$A$505,BD!$N$3:$N$5001,"&lt;&gt;")=0,"",SUMIFS(BD!$N$3:$N$5001,BD!$A$3:$A$5001,J$3,BD!$B$3:$B$5001,$A$505)))</f>
        <v/>
      </c>
      <c r="K516" s="271" t="str">
        <f>IF(K$3="","",IF(COUNTIFS(BD!$A$3:$A$5001,K$3,BD!$B$3:$B$5001,$A$505,BD!$N$3:$N$5001,"&lt;&gt;")=0,"",SUMIFS(BD!$N$3:$N$5001,BD!$A$3:$A$5001,K$3,BD!$B$3:$B$5001,$A$505)))</f>
        <v/>
      </c>
      <c r="L516" s="271" t="str">
        <f>IF(L$3="","",IF(COUNTIFS(BD!$A$3:$A$5001,L$3,BD!$B$3:$B$5001,$A$505,BD!$N$3:$N$5001,"&lt;&gt;")=0,"",SUMIFS(BD!$N$3:$N$5001,BD!$A$3:$A$5001,L$3,BD!$B$3:$B$5001,$A$505)))</f>
        <v/>
      </c>
      <c r="M516" s="271" t="str">
        <f>IF(M$3="","",IF(COUNTIFS(BD!$A$3:$A$5001,M$3,BD!$B$3:$B$5001,$A$505,BD!$N$3:$N$5001,"&lt;&gt;")=0,"",SUMIFS(BD!$N$3:$N$5001,BD!$A$3:$A$5001,M$3,BD!$B$3:$B$5001,$A$505)))</f>
        <v/>
      </c>
      <c r="N516" s="271" t="str">
        <f>IF(N$3="","",IF(COUNTIFS(BD!$A$3:$A$5001,N$3,BD!$B$3:$B$5001,$A$505,BD!$N$3:$N$5001,"&lt;&gt;")=0,"",SUMIFS(BD!$N$3:$N$5001,BD!$A$3:$A$5001,N$3,BD!$B$3:$B$5001,$A$505)))</f>
        <v/>
      </c>
      <c r="O516" s="271" t="str">
        <f>IF(O$3="","",IF(COUNTIFS(BD!$A$3:$A$5001,O$3,BD!$B$3:$B$5001,$A$505,BD!$N$3:$N$5001,"&lt;&gt;")=0,"",SUMIFS(BD!$N$3:$N$5001,BD!$A$3:$A$5001,O$3,BD!$B$3:$B$5001,$A$505)))</f>
        <v/>
      </c>
      <c r="P516" s="271" t="str">
        <f>IF(P$3="","",IF(COUNTIFS(BD!$A$3:$A$5001,P$3,BD!$B$3:$B$5001,$A$505,BD!$N$3:$N$5001,"&lt;&gt;")=0,"",SUMIFS(BD!$N$3:$N$5001,BD!$A$3:$A$5001,P$3,BD!$B$3:$B$5001,$A$505)))</f>
        <v/>
      </c>
      <c r="Q516" s="271" t="str">
        <f>IF(Q$3="","",IF(COUNTIFS(BD!$A$3:$A$5001,Q$3,BD!$B$3:$B$5001,$A$505,BD!$N$3:$N$5001,"&lt;&gt;")=0,"",SUMIFS(BD!$N$3:$N$5001,BD!$A$3:$A$5001,Q$3,BD!$B$3:$B$5001,$A$505)))</f>
        <v/>
      </c>
      <c r="R516" s="271" t="str">
        <f>IF(R$3="","",IF(COUNTIFS(BD!$A$3:$A$5001,R$3,BD!$B$3:$B$5001,$A$505,BD!$N$3:$N$5001,"&lt;&gt;")=0,"",SUMIFS(BD!$N$3:$N$5001,BD!$A$3:$A$5001,R$3,BD!$B$3:$B$5001,$A$505)))</f>
        <v/>
      </c>
      <c r="S516" s="271" t="str">
        <f>IF(S$3="","",IF(COUNTIFS(BD!$A$3:$A$5001,S$3,BD!$B$3:$B$5001,$A$505,BD!$N$3:$N$5001,"&lt;&gt;")=0,"",SUMIFS(BD!$N$3:$N$5001,BD!$A$3:$A$5001,S$3,BD!$B$3:$B$5001,$A$505)))</f>
        <v/>
      </c>
      <c r="T516" s="271" t="str">
        <f>IF(T$3="","",IF(COUNTIFS(BD!$A$3:$A$5001,T$3,BD!$B$3:$B$5001,$A$505,BD!$N$3:$N$5001,"&lt;&gt;")=0,"",SUMIFS(BD!$N$3:$N$5001,BD!$A$3:$A$5001,T$3,BD!$B$3:$B$5001,$A$505)))</f>
        <v/>
      </c>
      <c r="U516" s="271" t="str">
        <f>IF(U$3="","",IF(COUNTIFS(BD!$A$3:$A$5001,U$3,BD!$B$3:$B$5001,$A$505,BD!$N$3:$N$5001,"&lt;&gt;")=0,"",SUMIFS(BD!$N$3:$N$5001,BD!$A$3:$A$5001,U$3,BD!$B$3:$B$5001,$A$505)))</f>
        <v/>
      </c>
      <c r="V516" s="271" t="str">
        <f>IF(V$3="","",IF(COUNTIFS(BD!$A$3:$A$5001,V$3,BD!$B$3:$B$5001,$A$505,BD!$N$3:$N$5001,"&lt;&gt;")=0,"",SUMIFS(BD!$N$3:$N$5001,BD!$A$3:$A$5001,V$3,BD!$B$3:$B$5001,$A$505)))</f>
        <v/>
      </c>
      <c r="W516" s="271" t="str">
        <f>IF(W$3="","",IF(COUNTIFS(BD!$A$3:$A$5001,W$3,BD!$B$3:$B$5001,$A$505,BD!$N$3:$N$5001,"&lt;&gt;")=0,"",SUMIFS(BD!$N$3:$N$5001,BD!$A$3:$A$5001,W$3,BD!$B$3:$B$5001,$A$505)))</f>
        <v/>
      </c>
      <c r="X516" s="271" t="str">
        <f>IF(X$3="","",IF(COUNTIFS(BD!$A$3:$A$5001,X$3,BD!$B$3:$B$5001,$A$505,BD!$N$3:$N$5001,"&lt;&gt;")=0,"",SUMIFS(BD!$N$3:$N$5001,BD!$A$3:$A$5001,X$3,BD!$B$3:$B$5001,$A$505)))</f>
        <v/>
      </c>
      <c r="Y516" s="271" t="str">
        <f>IF(Y$3="","",IF(COUNTIFS(BD!$A$3:$A$5001,Y$3,BD!$B$3:$B$5001,$A$505,BD!$N$3:$N$5001,"&lt;&gt;")=0,"",SUMIFS(BD!$N$3:$N$5001,BD!$A$3:$A$5001,Y$3,BD!$B$3:$B$5001,$A$505)))</f>
        <v/>
      </c>
      <c r="Z516" s="271" t="str">
        <f>IF(Z$3="","",IF(COUNTIFS(BD!$A$3:$A$5001,Z$3,BD!$B$3:$B$5001,$A$505,BD!$N$3:$N$5001,"&lt;&gt;")=0,"",SUMIFS(BD!$N$3:$N$5001,BD!$A$3:$A$5001,Z$3,BD!$B$3:$B$5001,$A$505)))</f>
        <v/>
      </c>
      <c r="AA516" s="271" t="str">
        <f>IF(AA$3="","",IF(COUNTIFS(BD!$A$3:$A$5001,AA$3,BD!$B$3:$B$5001,$A$505,BD!$N$3:$N$5001,"&lt;&gt;")=0,"",SUMIFS(BD!$N$3:$N$5001,BD!$A$3:$A$5001,AA$3,BD!$B$3:$B$5001,$A$505)))</f>
        <v/>
      </c>
      <c r="AB516" s="271" t="str">
        <f>IF(AB$3="","",IF(COUNTIFS(BD!$A$3:$A$5001,AB$3,BD!$B$3:$B$5001,$A$505,BD!$N$3:$N$5001,"&lt;&gt;")=0,"",SUMIFS(BD!$N$3:$N$5001,BD!$A$3:$A$5001,AB$3,BD!$B$3:$B$5001,$A$505)))</f>
        <v/>
      </c>
      <c r="AC516" s="271" t="str">
        <f>IF(AC$3="","",IF(COUNTIFS(BD!$A$3:$A$5001,AC$3,BD!$B$3:$B$5001,$A$505,BD!$N$3:$N$5001,"&lt;&gt;")=0,"",SUMIFS(BD!$N$3:$N$5001,BD!$A$3:$A$5001,AC$3,BD!$B$3:$B$5001,$A$505)))</f>
        <v/>
      </c>
      <c r="AD516" s="271" t="str">
        <f>IF(AD$3="","",IF(COUNTIFS(BD!$A$3:$A$5001,AD$3,BD!$B$3:$B$5001,$A$505,BD!$N$3:$N$5001,"&lt;&gt;")=0,"",SUMIFS(BD!$N$3:$N$5001,BD!$A$3:$A$5001,AD$3,BD!$B$3:$B$5001,$A$505)))</f>
        <v/>
      </c>
      <c r="AE516" s="271" t="str">
        <f>IF(AE$3="","",IF(COUNTIFS(BD!$A$3:$A$5001,AE$3,BD!$B$3:$B$5001,$A$505,BD!$N$3:$N$5001,"&lt;&gt;")=0,"",SUMIFS(BD!$N$3:$N$5001,BD!$A$3:$A$5001,AE$3,BD!$B$3:$B$5001,$A$505)))</f>
        <v/>
      </c>
      <c r="AF516" s="271" t="str">
        <f>IF(AF$3="","",IF(COUNTIFS(BD!$A$3:$A$5001,AF$3,BD!$B$3:$B$5001,$A$505,BD!$N$3:$N$5001,"&lt;&gt;")=0,"",SUMIFS(BD!$N$3:$N$5001,BD!$A$3:$A$5001,AF$3,BD!$B$3:$B$5001,$A$505)))</f>
        <v/>
      </c>
      <c r="AG516" s="271" t="str">
        <f>IF(AG$3="","",IF(COUNTIFS(BD!$A$3:$A$5001,AG$3,BD!$B$3:$B$5001,$A$505,BD!$N$3:$N$5001,"&lt;&gt;")=0,"",SUMIFS(BD!$N$3:$N$5001,BD!$A$3:$A$5001,AG$3,BD!$B$3:$B$5001,$A$505)))</f>
        <v/>
      </c>
      <c r="AH516" s="271" t="str">
        <f>IF(AH$3="","",IF(COUNTIFS(BD!$A$3:$A$5001,AH$3,BD!$B$3:$B$5001,$A$505,BD!$N$3:$N$5001,"&lt;&gt;")=0,"",SUMIFS(BD!$N$3:$N$5001,BD!$A$3:$A$5001,AH$3,BD!$B$3:$B$5001,$A$505)))</f>
        <v/>
      </c>
      <c r="AI516" s="271" t="str">
        <f>IF(AI$3="","",IF(COUNTIFS(BD!$A$3:$A$5001,AI$3,BD!$B$3:$B$5001,$A$505,BD!$N$3:$N$5001,"&lt;&gt;")=0,"",SUMIFS(BD!$N$3:$N$5001,BD!$A$3:$A$5001,AI$3,BD!$B$3:$B$5001,$A$505)))</f>
        <v/>
      </c>
      <c r="AJ516" s="272" t="str">
        <f>IF(AJ$3="","",IF(COUNTIFS(BD!$A$3:$A$5001,AJ$3,BD!$B$3:$B$5001,$A$505,BD!$N$3:$N$5001,"&lt;&gt;")=0,"",SUMIFS(BD!$N$3:$N$5001,BD!$A$3:$A$5001,AJ$3,BD!$B$3:$B$5001,$A$505)))</f>
        <v/>
      </c>
      <c r="AK516" s="273" t="str">
        <f>IF(COUNT(F516:AJ516)=0,"",SUM(F516:AJ516))</f>
        <v/>
      </c>
    </row>
    <row r="517" ht="15.75" customHeight="1" hidden="1">
      <c r="A517" s="261"/>
      <c r="B517" s="278"/>
      <c r="C517" s="267" t="inlineStr">
        <is>
          <t xml:space="preserve">Itens Expedidos</t>
        </is>
      </c>
      <c r="D517" s="268" t="str">
        <f>IFERROR(1/(1/INDEX(BD!$AL$35:$BF$35,MATCH($A$505,BD!$AL$22:$BF$22,0))),"")</f>
        <v/>
      </c>
      <c r="E517" s="269"/>
      <c r="F517" s="270" t="str">
        <f>IF(F$3="","",IF(COUNTIFS(BD!$A$3:$A$5001,F$3,BD!$B$3:$B$5001,$A$505,BD!$O$3:$O$5001,"&lt;&gt;")=0,"",SUMIFS(BD!$O$3:$O$5001,BD!$A$3:$A$5001,F$3,BD!$B$3:$B$5001,$A$505)))</f>
        <v/>
      </c>
      <c r="G517" s="271" t="str">
        <f>IF(G$3="","",IF(COUNTIFS(BD!$A$3:$A$5001,G$3,BD!$B$3:$B$5001,$A$505,BD!$O$3:$O$5001,"&lt;&gt;")=0,"",SUMIFS(BD!$O$3:$O$5001,BD!$A$3:$A$5001,G$3,BD!$B$3:$B$5001,$A$505)))</f>
        <v/>
      </c>
      <c r="H517" s="271" t="str">
        <f>IF(H$3="","",IF(COUNTIFS(BD!$A$3:$A$5001,H$3,BD!$B$3:$B$5001,$A$505,BD!$O$3:$O$5001,"&lt;&gt;")=0,"",SUMIFS(BD!$O$3:$O$5001,BD!$A$3:$A$5001,H$3,BD!$B$3:$B$5001,$A$505)))</f>
        <v/>
      </c>
      <c r="I517" s="271" t="str">
        <f>IF(I$3="","",IF(COUNTIFS(BD!$A$3:$A$5001,I$3,BD!$B$3:$B$5001,$A$505,BD!$O$3:$O$5001,"&lt;&gt;")=0,"",SUMIFS(BD!$O$3:$O$5001,BD!$A$3:$A$5001,I$3,BD!$B$3:$B$5001,$A$505)))</f>
        <v/>
      </c>
      <c r="J517" s="271" t="str">
        <f>IF(J$3="","",IF(COUNTIFS(BD!$A$3:$A$5001,J$3,BD!$B$3:$B$5001,$A$505,BD!$O$3:$O$5001,"&lt;&gt;")=0,"",SUMIFS(BD!$O$3:$O$5001,BD!$A$3:$A$5001,J$3,BD!$B$3:$B$5001,$A$505)))</f>
        <v/>
      </c>
      <c r="K517" s="271" t="str">
        <f>IF(K$3="","",IF(COUNTIFS(BD!$A$3:$A$5001,K$3,BD!$B$3:$B$5001,$A$505,BD!$O$3:$O$5001,"&lt;&gt;")=0,"",SUMIFS(BD!$O$3:$O$5001,BD!$A$3:$A$5001,K$3,BD!$B$3:$B$5001,$A$505)))</f>
        <v/>
      </c>
      <c r="L517" s="271" t="str">
        <f>IF(L$3="","",IF(COUNTIFS(BD!$A$3:$A$5001,L$3,BD!$B$3:$B$5001,$A$505,BD!$O$3:$O$5001,"&lt;&gt;")=0,"",SUMIFS(BD!$O$3:$O$5001,BD!$A$3:$A$5001,L$3,BD!$B$3:$B$5001,$A$505)))</f>
        <v/>
      </c>
      <c r="M517" s="271" t="str">
        <f>IF(M$3="","",IF(COUNTIFS(BD!$A$3:$A$5001,M$3,BD!$B$3:$B$5001,$A$505,BD!$O$3:$O$5001,"&lt;&gt;")=0,"",SUMIFS(BD!$O$3:$O$5001,BD!$A$3:$A$5001,M$3,BD!$B$3:$B$5001,$A$505)))</f>
        <v/>
      </c>
      <c r="N517" s="271" t="str">
        <f>IF(N$3="","",IF(COUNTIFS(BD!$A$3:$A$5001,N$3,BD!$B$3:$B$5001,$A$505,BD!$O$3:$O$5001,"&lt;&gt;")=0,"",SUMIFS(BD!$O$3:$O$5001,BD!$A$3:$A$5001,N$3,BD!$B$3:$B$5001,$A$505)))</f>
        <v/>
      </c>
      <c r="O517" s="271" t="str">
        <f>IF(O$3="","",IF(COUNTIFS(BD!$A$3:$A$5001,O$3,BD!$B$3:$B$5001,$A$505,BD!$O$3:$O$5001,"&lt;&gt;")=0,"",SUMIFS(BD!$O$3:$O$5001,BD!$A$3:$A$5001,O$3,BD!$B$3:$B$5001,$A$505)))</f>
        <v/>
      </c>
      <c r="P517" s="271" t="str">
        <f>IF(P$3="","",IF(COUNTIFS(BD!$A$3:$A$5001,P$3,BD!$B$3:$B$5001,$A$505,BD!$O$3:$O$5001,"&lt;&gt;")=0,"",SUMIFS(BD!$O$3:$O$5001,BD!$A$3:$A$5001,P$3,BD!$B$3:$B$5001,$A$505)))</f>
        <v/>
      </c>
      <c r="Q517" s="271" t="str">
        <f>IF(Q$3="","",IF(COUNTIFS(BD!$A$3:$A$5001,Q$3,BD!$B$3:$B$5001,$A$505,BD!$O$3:$O$5001,"&lt;&gt;")=0,"",SUMIFS(BD!$O$3:$O$5001,BD!$A$3:$A$5001,Q$3,BD!$B$3:$B$5001,$A$505)))</f>
        <v/>
      </c>
      <c r="R517" s="271" t="str">
        <f>IF(R$3="","",IF(COUNTIFS(BD!$A$3:$A$5001,R$3,BD!$B$3:$B$5001,$A$505,BD!$O$3:$O$5001,"&lt;&gt;")=0,"",SUMIFS(BD!$O$3:$O$5001,BD!$A$3:$A$5001,R$3,BD!$B$3:$B$5001,$A$505)))</f>
        <v/>
      </c>
      <c r="S517" s="271" t="str">
        <f>IF(S$3="","",IF(COUNTIFS(BD!$A$3:$A$5001,S$3,BD!$B$3:$B$5001,$A$505,BD!$O$3:$O$5001,"&lt;&gt;")=0,"",SUMIFS(BD!$O$3:$O$5001,BD!$A$3:$A$5001,S$3,BD!$B$3:$B$5001,$A$505)))</f>
        <v/>
      </c>
      <c r="T517" s="271" t="str">
        <f>IF(T$3="","",IF(COUNTIFS(BD!$A$3:$A$5001,T$3,BD!$B$3:$B$5001,$A$505,BD!$O$3:$O$5001,"&lt;&gt;")=0,"",SUMIFS(BD!$O$3:$O$5001,BD!$A$3:$A$5001,T$3,BD!$B$3:$B$5001,$A$505)))</f>
        <v/>
      </c>
      <c r="U517" s="271" t="str">
        <f>IF(U$3="","",IF(COUNTIFS(BD!$A$3:$A$5001,U$3,BD!$B$3:$B$5001,$A$505,BD!$O$3:$O$5001,"&lt;&gt;")=0,"",SUMIFS(BD!$O$3:$O$5001,BD!$A$3:$A$5001,U$3,BD!$B$3:$B$5001,$A$505)))</f>
        <v/>
      </c>
      <c r="V517" s="271" t="str">
        <f>IF(V$3="","",IF(COUNTIFS(BD!$A$3:$A$5001,V$3,BD!$B$3:$B$5001,$A$505,BD!$O$3:$O$5001,"&lt;&gt;")=0,"",SUMIFS(BD!$O$3:$O$5001,BD!$A$3:$A$5001,V$3,BD!$B$3:$B$5001,$A$505)))</f>
        <v/>
      </c>
      <c r="W517" s="271" t="str">
        <f>IF(W$3="","",IF(COUNTIFS(BD!$A$3:$A$5001,W$3,BD!$B$3:$B$5001,$A$505,BD!$O$3:$O$5001,"&lt;&gt;")=0,"",SUMIFS(BD!$O$3:$O$5001,BD!$A$3:$A$5001,W$3,BD!$B$3:$B$5001,$A$505)))</f>
        <v/>
      </c>
      <c r="X517" s="271" t="str">
        <f>IF(X$3="","",IF(COUNTIFS(BD!$A$3:$A$5001,X$3,BD!$B$3:$B$5001,$A$505,BD!$O$3:$O$5001,"&lt;&gt;")=0,"",SUMIFS(BD!$O$3:$O$5001,BD!$A$3:$A$5001,X$3,BD!$B$3:$B$5001,$A$505)))</f>
        <v/>
      </c>
      <c r="Y517" s="271" t="str">
        <f>IF(Y$3="","",IF(COUNTIFS(BD!$A$3:$A$5001,Y$3,BD!$B$3:$B$5001,$A$505,BD!$O$3:$O$5001,"&lt;&gt;")=0,"",SUMIFS(BD!$O$3:$O$5001,BD!$A$3:$A$5001,Y$3,BD!$B$3:$B$5001,$A$505)))</f>
        <v/>
      </c>
      <c r="Z517" s="271" t="str">
        <f>IF(Z$3="","",IF(COUNTIFS(BD!$A$3:$A$5001,Z$3,BD!$B$3:$B$5001,$A$505,BD!$O$3:$O$5001,"&lt;&gt;")=0,"",SUMIFS(BD!$O$3:$O$5001,BD!$A$3:$A$5001,Z$3,BD!$B$3:$B$5001,$A$505)))</f>
        <v/>
      </c>
      <c r="AA517" s="271" t="str">
        <f>IF(AA$3="","",IF(COUNTIFS(BD!$A$3:$A$5001,AA$3,BD!$B$3:$B$5001,$A$505,BD!$O$3:$O$5001,"&lt;&gt;")=0,"",SUMIFS(BD!$O$3:$O$5001,BD!$A$3:$A$5001,AA$3,BD!$B$3:$B$5001,$A$505)))</f>
        <v/>
      </c>
      <c r="AB517" s="271" t="str">
        <f>IF(AB$3="","",IF(COUNTIFS(BD!$A$3:$A$5001,AB$3,BD!$B$3:$B$5001,$A$505,BD!$O$3:$O$5001,"&lt;&gt;")=0,"",SUMIFS(BD!$O$3:$O$5001,BD!$A$3:$A$5001,AB$3,BD!$B$3:$B$5001,$A$505)))</f>
        <v/>
      </c>
      <c r="AC517" s="271" t="str">
        <f>IF(AC$3="","",IF(COUNTIFS(BD!$A$3:$A$5001,AC$3,BD!$B$3:$B$5001,$A$505,BD!$O$3:$O$5001,"&lt;&gt;")=0,"",SUMIFS(BD!$O$3:$O$5001,BD!$A$3:$A$5001,AC$3,BD!$B$3:$B$5001,$A$505)))</f>
        <v/>
      </c>
      <c r="AD517" s="271" t="str">
        <f>IF(AD$3="","",IF(COUNTIFS(BD!$A$3:$A$5001,AD$3,BD!$B$3:$B$5001,$A$505,BD!$O$3:$O$5001,"&lt;&gt;")=0,"",SUMIFS(BD!$O$3:$O$5001,BD!$A$3:$A$5001,AD$3,BD!$B$3:$B$5001,$A$505)))</f>
        <v/>
      </c>
      <c r="AE517" s="271" t="str">
        <f>IF(AE$3="","",IF(COUNTIFS(BD!$A$3:$A$5001,AE$3,BD!$B$3:$B$5001,$A$505,BD!$O$3:$O$5001,"&lt;&gt;")=0,"",SUMIFS(BD!$O$3:$O$5001,BD!$A$3:$A$5001,AE$3,BD!$B$3:$B$5001,$A$505)))</f>
        <v/>
      </c>
      <c r="AF517" s="271" t="str">
        <f>IF(AF$3="","",IF(COUNTIFS(BD!$A$3:$A$5001,AF$3,BD!$B$3:$B$5001,$A$505,BD!$O$3:$O$5001,"&lt;&gt;")=0,"",SUMIFS(BD!$O$3:$O$5001,BD!$A$3:$A$5001,AF$3,BD!$B$3:$B$5001,$A$505)))</f>
        <v/>
      </c>
      <c r="AG517" s="271" t="str">
        <f>IF(AG$3="","",IF(COUNTIFS(BD!$A$3:$A$5001,AG$3,BD!$B$3:$B$5001,$A$505,BD!$O$3:$O$5001,"&lt;&gt;")=0,"",SUMIFS(BD!$O$3:$O$5001,BD!$A$3:$A$5001,AG$3,BD!$B$3:$B$5001,$A$505)))</f>
        <v/>
      </c>
      <c r="AH517" s="271" t="str">
        <f>IF(AH$3="","",IF(COUNTIFS(BD!$A$3:$A$5001,AH$3,BD!$B$3:$B$5001,$A$505,BD!$O$3:$O$5001,"&lt;&gt;")=0,"",SUMIFS(BD!$O$3:$O$5001,BD!$A$3:$A$5001,AH$3,BD!$B$3:$B$5001,$A$505)))</f>
        <v/>
      </c>
      <c r="AI517" s="271" t="str">
        <f>IF(AI$3="","",IF(COUNTIFS(BD!$A$3:$A$5001,AI$3,BD!$B$3:$B$5001,$A$505,BD!$O$3:$O$5001,"&lt;&gt;")=0,"",SUMIFS(BD!$O$3:$O$5001,BD!$A$3:$A$5001,AI$3,BD!$B$3:$B$5001,$A$505)))</f>
        <v/>
      </c>
      <c r="AJ517" s="272" t="str">
        <f>IF(AJ$3="","",IF(COUNTIFS(BD!$A$3:$A$5001,AJ$3,BD!$B$3:$B$5001,$A$505,BD!$O$3:$O$5001,"&lt;&gt;")=0,"",SUMIFS(BD!$O$3:$O$5001,BD!$A$3:$A$5001,AJ$3,BD!$B$3:$B$5001,$A$505)))</f>
        <v/>
      </c>
      <c r="AK517" s="273" t="str">
        <f>IF(COUNT(F517:AJ517)=0,"",SUM(F517:AJ517))</f>
        <v/>
      </c>
    </row>
    <row r="518" ht="15.75" customHeight="1" hidden="1">
      <c r="A518" s="261"/>
      <c r="B518" s="278"/>
      <c r="C518" s="267" t="inlineStr">
        <is>
          <t xml:space="preserve">Linhas NF</t>
        </is>
      </c>
      <c r="D518" s="268" t="str">
        <f>IFERROR(1/(1/INDEX(BD!$AL$36:$BF$36,MATCH($A$505,BD!$AL$22:$BF$22,0))),"")</f>
        <v/>
      </c>
      <c r="E518" s="269"/>
      <c r="F518" s="270" t="str">
        <f>IF(F$3="","",IF(COUNTIFS(BD!$A$3:$A$5001,F$3,BD!$B$3:$B$5001,$A$505,BD!$P$3:$P$5001,"&lt;&gt;")=0,"",SUMIFS(BD!$P$3:$P$5001,BD!$A$3:$A$5001,F$3,BD!$B$3:$B$5001,$A$505)))</f>
        <v/>
      </c>
      <c r="G518" s="271" t="str">
        <f>IF(G$3="","",IF(COUNTIFS(BD!$A$3:$A$5001,G$3,BD!$B$3:$B$5001,$A$505,BD!$P$3:$P$5001,"&lt;&gt;")=0,"",SUMIFS(BD!$P$3:$P$5001,BD!$A$3:$A$5001,G$3,BD!$B$3:$B$5001,$A$505)))</f>
        <v/>
      </c>
      <c r="H518" s="271" t="str">
        <f>IF(H$3="","",IF(COUNTIFS(BD!$A$3:$A$5001,H$3,BD!$B$3:$B$5001,$A$505,BD!$P$3:$P$5001,"&lt;&gt;")=0,"",SUMIFS(BD!$P$3:$P$5001,BD!$A$3:$A$5001,H$3,BD!$B$3:$B$5001,$A$505)))</f>
        <v/>
      </c>
      <c r="I518" s="271" t="str">
        <f>IF(I$3="","",IF(COUNTIFS(BD!$A$3:$A$5001,I$3,BD!$B$3:$B$5001,$A$505,BD!$P$3:$P$5001,"&lt;&gt;")=0,"",SUMIFS(BD!$P$3:$P$5001,BD!$A$3:$A$5001,I$3,BD!$B$3:$B$5001,$A$505)))</f>
        <v/>
      </c>
      <c r="J518" s="271" t="str">
        <f>IF(J$3="","",IF(COUNTIFS(BD!$A$3:$A$5001,J$3,BD!$B$3:$B$5001,$A$505,BD!$P$3:$P$5001,"&lt;&gt;")=0,"",SUMIFS(BD!$P$3:$P$5001,BD!$A$3:$A$5001,J$3,BD!$B$3:$B$5001,$A$505)))</f>
        <v/>
      </c>
      <c r="K518" s="271" t="str">
        <f>IF(K$3="","",IF(COUNTIFS(BD!$A$3:$A$5001,K$3,BD!$B$3:$B$5001,$A$505,BD!$P$3:$P$5001,"&lt;&gt;")=0,"",SUMIFS(BD!$P$3:$P$5001,BD!$A$3:$A$5001,K$3,BD!$B$3:$B$5001,$A$505)))</f>
        <v/>
      </c>
      <c r="L518" s="271" t="str">
        <f>IF(L$3="","",IF(COUNTIFS(BD!$A$3:$A$5001,L$3,BD!$B$3:$B$5001,$A$505,BD!$P$3:$P$5001,"&lt;&gt;")=0,"",SUMIFS(BD!$P$3:$P$5001,BD!$A$3:$A$5001,L$3,BD!$B$3:$B$5001,$A$505)))</f>
        <v/>
      </c>
      <c r="M518" s="271" t="str">
        <f>IF(M$3="","",IF(COUNTIFS(BD!$A$3:$A$5001,M$3,BD!$B$3:$B$5001,$A$505,BD!$P$3:$P$5001,"&lt;&gt;")=0,"",SUMIFS(BD!$P$3:$P$5001,BD!$A$3:$A$5001,M$3,BD!$B$3:$B$5001,$A$505)))</f>
        <v/>
      </c>
      <c r="N518" s="271" t="str">
        <f>IF(N$3="","",IF(COUNTIFS(BD!$A$3:$A$5001,N$3,BD!$B$3:$B$5001,$A$505,BD!$P$3:$P$5001,"&lt;&gt;")=0,"",SUMIFS(BD!$P$3:$P$5001,BD!$A$3:$A$5001,N$3,BD!$B$3:$B$5001,$A$505)))</f>
        <v/>
      </c>
      <c r="O518" s="271" t="str">
        <f>IF(O$3="","",IF(COUNTIFS(BD!$A$3:$A$5001,O$3,BD!$B$3:$B$5001,$A$505,BD!$P$3:$P$5001,"&lt;&gt;")=0,"",SUMIFS(BD!$P$3:$P$5001,BD!$A$3:$A$5001,O$3,BD!$B$3:$B$5001,$A$505)))</f>
        <v/>
      </c>
      <c r="P518" s="271" t="str">
        <f>IF(P$3="","",IF(COUNTIFS(BD!$A$3:$A$5001,P$3,BD!$B$3:$B$5001,$A$505,BD!$P$3:$P$5001,"&lt;&gt;")=0,"",SUMIFS(BD!$P$3:$P$5001,BD!$A$3:$A$5001,P$3,BD!$B$3:$B$5001,$A$505)))</f>
        <v/>
      </c>
      <c r="Q518" s="271" t="str">
        <f>IF(Q$3="","",IF(COUNTIFS(BD!$A$3:$A$5001,Q$3,BD!$B$3:$B$5001,$A$505,BD!$P$3:$P$5001,"&lt;&gt;")=0,"",SUMIFS(BD!$P$3:$P$5001,BD!$A$3:$A$5001,Q$3,BD!$B$3:$B$5001,$A$505)))</f>
        <v/>
      </c>
      <c r="R518" s="271" t="str">
        <f>IF(R$3="","",IF(COUNTIFS(BD!$A$3:$A$5001,R$3,BD!$B$3:$B$5001,$A$505,BD!$P$3:$P$5001,"&lt;&gt;")=0,"",SUMIFS(BD!$P$3:$P$5001,BD!$A$3:$A$5001,R$3,BD!$B$3:$B$5001,$A$505)))</f>
        <v/>
      </c>
      <c r="S518" s="271" t="str">
        <f>IF(S$3="","",IF(COUNTIFS(BD!$A$3:$A$5001,S$3,BD!$B$3:$B$5001,$A$505,BD!$P$3:$P$5001,"&lt;&gt;")=0,"",SUMIFS(BD!$P$3:$P$5001,BD!$A$3:$A$5001,S$3,BD!$B$3:$B$5001,$A$505)))</f>
        <v/>
      </c>
      <c r="T518" s="271" t="str">
        <f>IF(T$3="","",IF(COUNTIFS(BD!$A$3:$A$5001,T$3,BD!$B$3:$B$5001,$A$505,BD!$P$3:$P$5001,"&lt;&gt;")=0,"",SUMIFS(BD!$P$3:$P$5001,BD!$A$3:$A$5001,T$3,BD!$B$3:$B$5001,$A$505)))</f>
        <v/>
      </c>
      <c r="U518" s="271" t="str">
        <f>IF(U$3="","",IF(COUNTIFS(BD!$A$3:$A$5001,U$3,BD!$B$3:$B$5001,$A$505,BD!$P$3:$P$5001,"&lt;&gt;")=0,"",SUMIFS(BD!$P$3:$P$5001,BD!$A$3:$A$5001,U$3,BD!$B$3:$B$5001,$A$505)))</f>
        <v/>
      </c>
      <c r="V518" s="271" t="str">
        <f>IF(V$3="","",IF(COUNTIFS(BD!$A$3:$A$5001,V$3,BD!$B$3:$B$5001,$A$505,BD!$P$3:$P$5001,"&lt;&gt;")=0,"",SUMIFS(BD!$P$3:$P$5001,BD!$A$3:$A$5001,V$3,BD!$B$3:$B$5001,$A$505)))</f>
        <v/>
      </c>
      <c r="W518" s="271" t="str">
        <f>IF(W$3="","",IF(COUNTIFS(BD!$A$3:$A$5001,W$3,BD!$B$3:$B$5001,$A$505,BD!$P$3:$P$5001,"&lt;&gt;")=0,"",SUMIFS(BD!$P$3:$P$5001,BD!$A$3:$A$5001,W$3,BD!$B$3:$B$5001,$A$505)))</f>
        <v/>
      </c>
      <c r="X518" s="271" t="str">
        <f>IF(X$3="","",IF(COUNTIFS(BD!$A$3:$A$5001,X$3,BD!$B$3:$B$5001,$A$505,BD!$P$3:$P$5001,"&lt;&gt;")=0,"",SUMIFS(BD!$P$3:$P$5001,BD!$A$3:$A$5001,X$3,BD!$B$3:$B$5001,$A$505)))</f>
        <v/>
      </c>
      <c r="Y518" s="271" t="str">
        <f>IF(Y$3="","",IF(COUNTIFS(BD!$A$3:$A$5001,Y$3,BD!$B$3:$B$5001,$A$505,BD!$P$3:$P$5001,"&lt;&gt;")=0,"",SUMIFS(BD!$P$3:$P$5001,BD!$A$3:$A$5001,Y$3,BD!$B$3:$B$5001,$A$505)))</f>
        <v/>
      </c>
      <c r="Z518" s="271" t="str">
        <f>IF(Z$3="","",IF(COUNTIFS(BD!$A$3:$A$5001,Z$3,BD!$B$3:$B$5001,$A$505,BD!$P$3:$P$5001,"&lt;&gt;")=0,"",SUMIFS(BD!$P$3:$P$5001,BD!$A$3:$A$5001,Z$3,BD!$B$3:$B$5001,$A$505)))</f>
        <v/>
      </c>
      <c r="AA518" s="271" t="str">
        <f>IF(AA$3="","",IF(COUNTIFS(BD!$A$3:$A$5001,AA$3,BD!$B$3:$B$5001,$A$505,BD!$P$3:$P$5001,"&lt;&gt;")=0,"",SUMIFS(BD!$P$3:$P$5001,BD!$A$3:$A$5001,AA$3,BD!$B$3:$B$5001,$A$505)))</f>
        <v/>
      </c>
      <c r="AB518" s="271" t="str">
        <f>IF(AB$3="","",IF(COUNTIFS(BD!$A$3:$A$5001,AB$3,BD!$B$3:$B$5001,$A$505,BD!$P$3:$P$5001,"&lt;&gt;")=0,"",SUMIFS(BD!$P$3:$P$5001,BD!$A$3:$A$5001,AB$3,BD!$B$3:$B$5001,$A$505)))</f>
        <v/>
      </c>
      <c r="AC518" s="271" t="str">
        <f>IF(AC$3="","",IF(COUNTIFS(BD!$A$3:$A$5001,AC$3,BD!$B$3:$B$5001,$A$505,BD!$P$3:$P$5001,"&lt;&gt;")=0,"",SUMIFS(BD!$P$3:$P$5001,BD!$A$3:$A$5001,AC$3,BD!$B$3:$B$5001,$A$505)))</f>
        <v/>
      </c>
      <c r="AD518" s="271" t="str">
        <f>IF(AD$3="","",IF(COUNTIFS(BD!$A$3:$A$5001,AD$3,BD!$B$3:$B$5001,$A$505,BD!$P$3:$P$5001,"&lt;&gt;")=0,"",SUMIFS(BD!$P$3:$P$5001,BD!$A$3:$A$5001,AD$3,BD!$B$3:$B$5001,$A$505)))</f>
        <v/>
      </c>
      <c r="AE518" s="271" t="str">
        <f>IF(AE$3="","",IF(COUNTIFS(BD!$A$3:$A$5001,AE$3,BD!$B$3:$B$5001,$A$505,BD!$P$3:$P$5001,"&lt;&gt;")=0,"",SUMIFS(BD!$P$3:$P$5001,BD!$A$3:$A$5001,AE$3,BD!$B$3:$B$5001,$A$505)))</f>
        <v/>
      </c>
      <c r="AF518" s="271" t="str">
        <f>IF(AF$3="","",IF(COUNTIFS(BD!$A$3:$A$5001,AF$3,BD!$B$3:$B$5001,$A$505,BD!$P$3:$P$5001,"&lt;&gt;")=0,"",SUMIFS(BD!$P$3:$P$5001,BD!$A$3:$A$5001,AF$3,BD!$B$3:$B$5001,$A$505)))</f>
        <v/>
      </c>
      <c r="AG518" s="271" t="str">
        <f>IF(AG$3="","",IF(COUNTIFS(BD!$A$3:$A$5001,AG$3,BD!$B$3:$B$5001,$A$505,BD!$P$3:$P$5001,"&lt;&gt;")=0,"",SUMIFS(BD!$P$3:$P$5001,BD!$A$3:$A$5001,AG$3,BD!$B$3:$B$5001,$A$505)))</f>
        <v/>
      </c>
      <c r="AH518" s="271" t="str">
        <f>IF(AH$3="","",IF(COUNTIFS(BD!$A$3:$A$5001,AH$3,BD!$B$3:$B$5001,$A$505,BD!$P$3:$P$5001,"&lt;&gt;")=0,"",SUMIFS(BD!$P$3:$P$5001,BD!$A$3:$A$5001,AH$3,BD!$B$3:$B$5001,$A$505)))</f>
        <v/>
      </c>
      <c r="AI518" s="271" t="str">
        <f>IF(AI$3="","",IF(COUNTIFS(BD!$A$3:$A$5001,AI$3,BD!$B$3:$B$5001,$A$505,BD!$P$3:$P$5001,"&lt;&gt;")=0,"",SUMIFS(BD!$P$3:$P$5001,BD!$A$3:$A$5001,AI$3,BD!$B$3:$B$5001,$A$505)))</f>
        <v/>
      </c>
      <c r="AJ518" s="272" t="str">
        <f>IF(AJ$3="","",IF(COUNTIFS(BD!$A$3:$A$5001,AJ$3,BD!$B$3:$B$5001,$A$505,BD!$P$3:$P$5001,"&lt;&gt;")=0,"",SUMIFS(BD!$P$3:$P$5001,BD!$A$3:$A$5001,AJ$3,BD!$B$3:$B$5001,$A$505)))</f>
        <v/>
      </c>
      <c r="AK518" s="273" t="str">
        <f>IF(COUNT(F518:AJ518)=0,"",SUM(F518:AJ518))</f>
        <v/>
      </c>
    </row>
    <row r="519" ht="15.75" customHeight="1" hidden="1">
      <c r="A519" s="261"/>
      <c r="B519" s="278"/>
      <c r="C519" s="267" t="inlineStr">
        <is>
          <t xml:space="preserve">Caixas Expedidas</t>
        </is>
      </c>
      <c r="D519" s="268" t="str">
        <f>IFERROR(1/(1/INDEX(BD!$AL$37:$BF$37,MATCH($A$505,BD!$AL$22:$BF$22,0))),"")</f>
        <v/>
      </c>
      <c r="E519" s="269"/>
      <c r="F519" s="270" t="str">
        <f>IF(F$3="","",IF(COUNTIFS(BD!$A$3:$A$5001,F$3,BD!$B$3:$B$5001,$A$505,BD!$Q$3:$Q$5001,"&lt;&gt;")=0,"",SUMIFS(BD!$Q$3:$Q$5001,BD!$A$3:$A$5001,F$3,BD!$B$3:$B$5001,$A$505)))</f>
        <v/>
      </c>
      <c r="G519" s="271" t="str">
        <f>IF(G$3="","",IF(COUNTIFS(BD!$A$3:$A$5001,G$3,BD!$B$3:$B$5001,$A$505,BD!$Q$3:$Q$5001,"&lt;&gt;")=0,"",SUMIFS(BD!$Q$3:$Q$5001,BD!$A$3:$A$5001,G$3,BD!$B$3:$B$5001,$A$505)))</f>
        <v/>
      </c>
      <c r="H519" s="271" t="str">
        <f>IF(H$3="","",IF(COUNTIFS(BD!$A$3:$A$5001,H$3,BD!$B$3:$B$5001,$A$505,BD!$Q$3:$Q$5001,"&lt;&gt;")=0,"",SUMIFS(BD!$Q$3:$Q$5001,BD!$A$3:$A$5001,H$3,BD!$B$3:$B$5001,$A$505)))</f>
        <v/>
      </c>
      <c r="I519" s="271" t="str">
        <f>IF(I$3="","",IF(COUNTIFS(BD!$A$3:$A$5001,I$3,BD!$B$3:$B$5001,$A$505,BD!$Q$3:$Q$5001,"&lt;&gt;")=0,"",SUMIFS(BD!$Q$3:$Q$5001,BD!$A$3:$A$5001,I$3,BD!$B$3:$B$5001,$A$505)))</f>
        <v/>
      </c>
      <c r="J519" s="271" t="str">
        <f>IF(J$3="","",IF(COUNTIFS(BD!$A$3:$A$5001,J$3,BD!$B$3:$B$5001,$A$505,BD!$Q$3:$Q$5001,"&lt;&gt;")=0,"",SUMIFS(BD!$Q$3:$Q$5001,BD!$A$3:$A$5001,J$3,BD!$B$3:$B$5001,$A$505)))</f>
        <v/>
      </c>
      <c r="K519" s="271" t="str">
        <f>IF(K$3="","",IF(COUNTIFS(BD!$A$3:$A$5001,K$3,BD!$B$3:$B$5001,$A$505,BD!$Q$3:$Q$5001,"&lt;&gt;")=0,"",SUMIFS(BD!$Q$3:$Q$5001,BD!$A$3:$A$5001,K$3,BD!$B$3:$B$5001,$A$505)))</f>
        <v/>
      </c>
      <c r="L519" s="271" t="str">
        <f>IF(L$3="","",IF(COUNTIFS(BD!$A$3:$A$5001,L$3,BD!$B$3:$B$5001,$A$505,BD!$Q$3:$Q$5001,"&lt;&gt;")=0,"",SUMIFS(BD!$Q$3:$Q$5001,BD!$A$3:$A$5001,L$3,BD!$B$3:$B$5001,$A$505)))</f>
        <v/>
      </c>
      <c r="M519" s="271" t="str">
        <f>IF(M$3="","",IF(COUNTIFS(BD!$A$3:$A$5001,M$3,BD!$B$3:$B$5001,$A$505,BD!$Q$3:$Q$5001,"&lt;&gt;")=0,"",SUMIFS(BD!$Q$3:$Q$5001,BD!$A$3:$A$5001,M$3,BD!$B$3:$B$5001,$A$505)))</f>
        <v/>
      </c>
      <c r="N519" s="271" t="str">
        <f>IF(N$3="","",IF(COUNTIFS(BD!$A$3:$A$5001,N$3,BD!$B$3:$B$5001,$A$505,BD!$Q$3:$Q$5001,"&lt;&gt;")=0,"",SUMIFS(BD!$Q$3:$Q$5001,BD!$A$3:$A$5001,N$3,BD!$B$3:$B$5001,$A$505)))</f>
        <v/>
      </c>
      <c r="O519" s="271" t="str">
        <f>IF(O$3="","",IF(COUNTIFS(BD!$A$3:$A$5001,O$3,BD!$B$3:$B$5001,$A$505,BD!$Q$3:$Q$5001,"&lt;&gt;")=0,"",SUMIFS(BD!$Q$3:$Q$5001,BD!$A$3:$A$5001,O$3,BD!$B$3:$B$5001,$A$505)))</f>
        <v/>
      </c>
      <c r="P519" s="271" t="str">
        <f>IF(P$3="","",IF(COUNTIFS(BD!$A$3:$A$5001,P$3,BD!$B$3:$B$5001,$A$505,BD!$Q$3:$Q$5001,"&lt;&gt;")=0,"",SUMIFS(BD!$Q$3:$Q$5001,BD!$A$3:$A$5001,P$3,BD!$B$3:$B$5001,$A$505)))</f>
        <v/>
      </c>
      <c r="Q519" s="271" t="str">
        <f>IF(Q$3="","",IF(COUNTIFS(BD!$A$3:$A$5001,Q$3,BD!$B$3:$B$5001,$A$505,BD!$Q$3:$Q$5001,"&lt;&gt;")=0,"",SUMIFS(BD!$Q$3:$Q$5001,BD!$A$3:$A$5001,Q$3,BD!$B$3:$B$5001,$A$505)))</f>
        <v/>
      </c>
      <c r="R519" s="271" t="str">
        <f>IF(R$3="","",IF(COUNTIFS(BD!$A$3:$A$5001,R$3,BD!$B$3:$B$5001,$A$505,BD!$Q$3:$Q$5001,"&lt;&gt;")=0,"",SUMIFS(BD!$Q$3:$Q$5001,BD!$A$3:$A$5001,R$3,BD!$B$3:$B$5001,$A$505)))</f>
        <v/>
      </c>
      <c r="S519" s="271" t="str">
        <f>IF(S$3="","",IF(COUNTIFS(BD!$A$3:$A$5001,S$3,BD!$B$3:$B$5001,$A$505,BD!$Q$3:$Q$5001,"&lt;&gt;")=0,"",SUMIFS(BD!$Q$3:$Q$5001,BD!$A$3:$A$5001,S$3,BD!$B$3:$B$5001,$A$505)))</f>
        <v/>
      </c>
      <c r="T519" s="271" t="str">
        <f>IF(T$3="","",IF(COUNTIFS(BD!$A$3:$A$5001,T$3,BD!$B$3:$B$5001,$A$505,BD!$Q$3:$Q$5001,"&lt;&gt;")=0,"",SUMIFS(BD!$Q$3:$Q$5001,BD!$A$3:$A$5001,T$3,BD!$B$3:$B$5001,$A$505)))</f>
        <v/>
      </c>
      <c r="U519" s="271" t="str">
        <f>IF(U$3="","",IF(COUNTIFS(BD!$A$3:$A$5001,U$3,BD!$B$3:$B$5001,$A$505,BD!$Q$3:$Q$5001,"&lt;&gt;")=0,"",SUMIFS(BD!$Q$3:$Q$5001,BD!$A$3:$A$5001,U$3,BD!$B$3:$B$5001,$A$505)))</f>
        <v/>
      </c>
      <c r="V519" s="271" t="str">
        <f>IF(V$3="","",IF(COUNTIFS(BD!$A$3:$A$5001,V$3,BD!$B$3:$B$5001,$A$505,BD!$Q$3:$Q$5001,"&lt;&gt;")=0,"",SUMIFS(BD!$Q$3:$Q$5001,BD!$A$3:$A$5001,V$3,BD!$B$3:$B$5001,$A$505)))</f>
        <v/>
      </c>
      <c r="W519" s="271" t="str">
        <f>IF(W$3="","",IF(COUNTIFS(BD!$A$3:$A$5001,W$3,BD!$B$3:$B$5001,$A$505,BD!$Q$3:$Q$5001,"&lt;&gt;")=0,"",SUMIFS(BD!$Q$3:$Q$5001,BD!$A$3:$A$5001,W$3,BD!$B$3:$B$5001,$A$505)))</f>
        <v/>
      </c>
      <c r="X519" s="271" t="str">
        <f>IF(X$3="","",IF(COUNTIFS(BD!$A$3:$A$5001,X$3,BD!$B$3:$B$5001,$A$505,BD!$Q$3:$Q$5001,"&lt;&gt;")=0,"",SUMIFS(BD!$Q$3:$Q$5001,BD!$A$3:$A$5001,X$3,BD!$B$3:$B$5001,$A$505)))</f>
        <v/>
      </c>
      <c r="Y519" s="271" t="str">
        <f>IF(Y$3="","",IF(COUNTIFS(BD!$A$3:$A$5001,Y$3,BD!$B$3:$B$5001,$A$505,BD!$Q$3:$Q$5001,"&lt;&gt;")=0,"",SUMIFS(BD!$Q$3:$Q$5001,BD!$A$3:$A$5001,Y$3,BD!$B$3:$B$5001,$A$505)))</f>
        <v/>
      </c>
      <c r="Z519" s="271" t="str">
        <f>IF(Z$3="","",IF(COUNTIFS(BD!$A$3:$A$5001,Z$3,BD!$B$3:$B$5001,$A$505,BD!$Q$3:$Q$5001,"&lt;&gt;")=0,"",SUMIFS(BD!$Q$3:$Q$5001,BD!$A$3:$A$5001,Z$3,BD!$B$3:$B$5001,$A$505)))</f>
        <v/>
      </c>
      <c r="AA519" s="271" t="str">
        <f>IF(AA$3="","",IF(COUNTIFS(BD!$A$3:$A$5001,AA$3,BD!$B$3:$B$5001,$A$505,BD!$Q$3:$Q$5001,"&lt;&gt;")=0,"",SUMIFS(BD!$Q$3:$Q$5001,BD!$A$3:$A$5001,AA$3,BD!$B$3:$B$5001,$A$505)))</f>
        <v/>
      </c>
      <c r="AB519" s="271" t="str">
        <f>IF(AB$3="","",IF(COUNTIFS(BD!$A$3:$A$5001,AB$3,BD!$B$3:$B$5001,$A$505,BD!$Q$3:$Q$5001,"&lt;&gt;")=0,"",SUMIFS(BD!$Q$3:$Q$5001,BD!$A$3:$A$5001,AB$3,BD!$B$3:$B$5001,$A$505)))</f>
        <v/>
      </c>
      <c r="AC519" s="271" t="str">
        <f>IF(AC$3="","",IF(COUNTIFS(BD!$A$3:$A$5001,AC$3,BD!$B$3:$B$5001,$A$505,BD!$Q$3:$Q$5001,"&lt;&gt;")=0,"",SUMIFS(BD!$Q$3:$Q$5001,BD!$A$3:$A$5001,AC$3,BD!$B$3:$B$5001,$A$505)))</f>
        <v/>
      </c>
      <c r="AD519" s="271" t="str">
        <f>IF(AD$3="","",IF(COUNTIFS(BD!$A$3:$A$5001,AD$3,BD!$B$3:$B$5001,$A$505,BD!$Q$3:$Q$5001,"&lt;&gt;")=0,"",SUMIFS(BD!$Q$3:$Q$5001,BD!$A$3:$A$5001,AD$3,BD!$B$3:$B$5001,$A$505)))</f>
        <v/>
      </c>
      <c r="AE519" s="271" t="str">
        <f>IF(AE$3="","",IF(COUNTIFS(BD!$A$3:$A$5001,AE$3,BD!$B$3:$B$5001,$A$505,BD!$Q$3:$Q$5001,"&lt;&gt;")=0,"",SUMIFS(BD!$Q$3:$Q$5001,BD!$A$3:$A$5001,AE$3,BD!$B$3:$B$5001,$A$505)))</f>
        <v/>
      </c>
      <c r="AF519" s="271" t="str">
        <f>IF(AF$3="","",IF(COUNTIFS(BD!$A$3:$A$5001,AF$3,BD!$B$3:$B$5001,$A$505,BD!$Q$3:$Q$5001,"&lt;&gt;")=0,"",SUMIFS(BD!$Q$3:$Q$5001,BD!$A$3:$A$5001,AF$3,BD!$B$3:$B$5001,$A$505)))</f>
        <v/>
      </c>
      <c r="AG519" s="271" t="str">
        <f>IF(AG$3="","",IF(COUNTIFS(BD!$A$3:$A$5001,AG$3,BD!$B$3:$B$5001,$A$505,BD!$Q$3:$Q$5001,"&lt;&gt;")=0,"",SUMIFS(BD!$Q$3:$Q$5001,BD!$A$3:$A$5001,AG$3,BD!$B$3:$B$5001,$A$505)))</f>
        <v/>
      </c>
      <c r="AH519" s="271" t="str">
        <f>IF(AH$3="","",IF(COUNTIFS(BD!$A$3:$A$5001,AH$3,BD!$B$3:$B$5001,$A$505,BD!$Q$3:$Q$5001,"&lt;&gt;")=0,"",SUMIFS(BD!$Q$3:$Q$5001,BD!$A$3:$A$5001,AH$3,BD!$B$3:$B$5001,$A$505)))</f>
        <v/>
      </c>
      <c r="AI519" s="271" t="str">
        <f>IF(AI$3="","",IF(COUNTIFS(BD!$A$3:$A$5001,AI$3,BD!$B$3:$B$5001,$A$505,BD!$Q$3:$Q$5001,"&lt;&gt;")=0,"",SUMIFS(BD!$Q$3:$Q$5001,BD!$A$3:$A$5001,AI$3,BD!$B$3:$B$5001,$A$505)))</f>
        <v/>
      </c>
      <c r="AJ519" s="272" t="str">
        <f>IF(AJ$3="","",IF(COUNTIFS(BD!$A$3:$A$5001,AJ$3,BD!$B$3:$B$5001,$A$505,BD!$Q$3:$Q$5001,"&lt;&gt;")=0,"",SUMIFS(BD!$Q$3:$Q$5001,BD!$A$3:$A$5001,AJ$3,BD!$B$3:$B$5001,$A$505)))</f>
        <v/>
      </c>
      <c r="AK519" s="273" t="str">
        <f>IF(COUNT(F519:AJ519)=0,"",SUM(F519:AJ519))</f>
        <v/>
      </c>
    </row>
    <row r="520" ht="15.75" customHeight="1" hidden="1">
      <c r="A520" s="261"/>
      <c r="B520" s="278"/>
      <c r="C520" s="267" t="inlineStr">
        <is>
          <t xml:space="preserve">Pallets Movimentados</t>
        </is>
      </c>
      <c r="D520" s="268" t="str">
        <f>IFERROR(1/(1/INDEX(BD!$AL$38:$BF$38,MATCH($A$505,BD!$AL$22:$BF$22,0))),"")</f>
        <v/>
      </c>
      <c r="E520" s="269"/>
      <c r="F520" s="270" t="str">
        <f>IF(F$3="","",IF(COUNTIFS(BD!$A$3:$A$5001,F$3,BD!$B$3:$B$5001,$A$505,BD!$R$3:$R$5001,"&lt;&gt;")=0,"",SUMIFS(BD!$R$3:$R$5001,BD!$A$3:$A$5001,F$3,BD!$B$3:$B$5001,$A$505)))</f>
        <v/>
      </c>
      <c r="G520" s="271" t="str">
        <f>IF(G$3="","",IF(COUNTIFS(BD!$A$3:$A$5001,G$3,BD!$B$3:$B$5001,$A$505,BD!$R$3:$R$5001,"&lt;&gt;")=0,"",SUMIFS(BD!$R$3:$R$5001,BD!$A$3:$A$5001,G$3,BD!$B$3:$B$5001,$A$505)))</f>
        <v/>
      </c>
      <c r="H520" s="271" t="str">
        <f>IF(H$3="","",IF(COUNTIFS(BD!$A$3:$A$5001,H$3,BD!$B$3:$B$5001,$A$505,BD!$R$3:$R$5001,"&lt;&gt;")=0,"",SUMIFS(BD!$R$3:$R$5001,BD!$A$3:$A$5001,H$3,BD!$B$3:$B$5001,$A$505)))</f>
        <v/>
      </c>
      <c r="I520" s="271" t="str">
        <f>IF(I$3="","",IF(COUNTIFS(BD!$A$3:$A$5001,I$3,BD!$B$3:$B$5001,$A$505,BD!$R$3:$R$5001,"&lt;&gt;")=0,"",SUMIFS(BD!$R$3:$R$5001,BD!$A$3:$A$5001,I$3,BD!$B$3:$B$5001,$A$505)))</f>
        <v/>
      </c>
      <c r="J520" s="271" t="str">
        <f>IF(J$3="","",IF(COUNTIFS(BD!$A$3:$A$5001,J$3,BD!$B$3:$B$5001,$A$505,BD!$R$3:$R$5001,"&lt;&gt;")=0,"",SUMIFS(BD!$R$3:$R$5001,BD!$A$3:$A$5001,J$3,BD!$B$3:$B$5001,$A$505)))</f>
        <v/>
      </c>
      <c r="K520" s="271" t="str">
        <f>IF(K$3="","",IF(COUNTIFS(BD!$A$3:$A$5001,K$3,BD!$B$3:$B$5001,$A$505,BD!$R$3:$R$5001,"&lt;&gt;")=0,"",SUMIFS(BD!$R$3:$R$5001,BD!$A$3:$A$5001,K$3,BD!$B$3:$B$5001,$A$505)))</f>
        <v/>
      </c>
      <c r="L520" s="271" t="str">
        <f>IF(L$3="","",IF(COUNTIFS(BD!$A$3:$A$5001,L$3,BD!$B$3:$B$5001,$A$505,BD!$R$3:$R$5001,"&lt;&gt;")=0,"",SUMIFS(BD!$R$3:$R$5001,BD!$A$3:$A$5001,L$3,BD!$B$3:$B$5001,$A$505)))</f>
        <v/>
      </c>
      <c r="M520" s="271" t="str">
        <f>IF(M$3="","",IF(COUNTIFS(BD!$A$3:$A$5001,M$3,BD!$B$3:$B$5001,$A$505,BD!$R$3:$R$5001,"&lt;&gt;")=0,"",SUMIFS(BD!$R$3:$R$5001,BD!$A$3:$A$5001,M$3,BD!$B$3:$B$5001,$A$505)))</f>
        <v/>
      </c>
      <c r="N520" s="271" t="str">
        <f>IF(N$3="","",IF(COUNTIFS(BD!$A$3:$A$5001,N$3,BD!$B$3:$B$5001,$A$505,BD!$R$3:$R$5001,"&lt;&gt;")=0,"",SUMIFS(BD!$R$3:$R$5001,BD!$A$3:$A$5001,N$3,BD!$B$3:$B$5001,$A$505)))</f>
        <v/>
      </c>
      <c r="O520" s="271" t="str">
        <f>IF(O$3="","",IF(COUNTIFS(BD!$A$3:$A$5001,O$3,BD!$B$3:$B$5001,$A$505,BD!$R$3:$R$5001,"&lt;&gt;")=0,"",SUMIFS(BD!$R$3:$R$5001,BD!$A$3:$A$5001,O$3,BD!$B$3:$B$5001,$A$505)))</f>
        <v/>
      </c>
      <c r="P520" s="271" t="str">
        <f>IF(P$3="","",IF(COUNTIFS(BD!$A$3:$A$5001,P$3,BD!$B$3:$B$5001,$A$505,BD!$R$3:$R$5001,"&lt;&gt;")=0,"",SUMIFS(BD!$R$3:$R$5001,BD!$A$3:$A$5001,P$3,BD!$B$3:$B$5001,$A$505)))</f>
        <v/>
      </c>
      <c r="Q520" s="271" t="str">
        <f>IF(Q$3="","",IF(COUNTIFS(BD!$A$3:$A$5001,Q$3,BD!$B$3:$B$5001,$A$505,BD!$R$3:$R$5001,"&lt;&gt;")=0,"",SUMIFS(BD!$R$3:$R$5001,BD!$A$3:$A$5001,Q$3,BD!$B$3:$B$5001,$A$505)))</f>
        <v/>
      </c>
      <c r="R520" s="271" t="str">
        <f>IF(R$3="","",IF(COUNTIFS(BD!$A$3:$A$5001,R$3,BD!$B$3:$B$5001,$A$505,BD!$R$3:$R$5001,"&lt;&gt;")=0,"",SUMIFS(BD!$R$3:$R$5001,BD!$A$3:$A$5001,R$3,BD!$B$3:$B$5001,$A$505)))</f>
        <v/>
      </c>
      <c r="S520" s="271" t="str">
        <f>IF(S$3="","",IF(COUNTIFS(BD!$A$3:$A$5001,S$3,BD!$B$3:$B$5001,$A$505,BD!$R$3:$R$5001,"&lt;&gt;")=0,"",SUMIFS(BD!$R$3:$R$5001,BD!$A$3:$A$5001,S$3,BD!$B$3:$B$5001,$A$505)))</f>
        <v/>
      </c>
      <c r="T520" s="271" t="str">
        <f>IF(T$3="","",IF(COUNTIFS(BD!$A$3:$A$5001,T$3,BD!$B$3:$B$5001,$A$505,BD!$R$3:$R$5001,"&lt;&gt;")=0,"",SUMIFS(BD!$R$3:$R$5001,BD!$A$3:$A$5001,T$3,BD!$B$3:$B$5001,$A$505)))</f>
        <v/>
      </c>
      <c r="U520" s="271" t="str">
        <f>IF(U$3="","",IF(COUNTIFS(BD!$A$3:$A$5001,U$3,BD!$B$3:$B$5001,$A$505,BD!$R$3:$R$5001,"&lt;&gt;")=0,"",SUMIFS(BD!$R$3:$R$5001,BD!$A$3:$A$5001,U$3,BD!$B$3:$B$5001,$A$505)))</f>
        <v/>
      </c>
      <c r="V520" s="271" t="str">
        <f>IF(V$3="","",IF(COUNTIFS(BD!$A$3:$A$5001,V$3,BD!$B$3:$B$5001,$A$505,BD!$R$3:$R$5001,"&lt;&gt;")=0,"",SUMIFS(BD!$R$3:$R$5001,BD!$A$3:$A$5001,V$3,BD!$B$3:$B$5001,$A$505)))</f>
        <v/>
      </c>
      <c r="W520" s="271" t="str">
        <f>IF(W$3="","",IF(COUNTIFS(BD!$A$3:$A$5001,W$3,BD!$B$3:$B$5001,$A$505,BD!$R$3:$R$5001,"&lt;&gt;")=0,"",SUMIFS(BD!$R$3:$R$5001,BD!$A$3:$A$5001,W$3,BD!$B$3:$B$5001,$A$505)))</f>
        <v/>
      </c>
      <c r="X520" s="271" t="str">
        <f>IF(X$3="","",IF(COUNTIFS(BD!$A$3:$A$5001,X$3,BD!$B$3:$B$5001,$A$505,BD!$R$3:$R$5001,"&lt;&gt;")=0,"",SUMIFS(BD!$R$3:$R$5001,BD!$A$3:$A$5001,X$3,BD!$B$3:$B$5001,$A$505)))</f>
        <v/>
      </c>
      <c r="Y520" s="271" t="str">
        <f>IF(Y$3="","",IF(COUNTIFS(BD!$A$3:$A$5001,Y$3,BD!$B$3:$B$5001,$A$505,BD!$R$3:$R$5001,"&lt;&gt;")=0,"",SUMIFS(BD!$R$3:$R$5001,BD!$A$3:$A$5001,Y$3,BD!$B$3:$B$5001,$A$505)))</f>
        <v/>
      </c>
      <c r="Z520" s="271" t="str">
        <f>IF(Z$3="","",IF(COUNTIFS(BD!$A$3:$A$5001,Z$3,BD!$B$3:$B$5001,$A$505,BD!$R$3:$R$5001,"&lt;&gt;")=0,"",SUMIFS(BD!$R$3:$R$5001,BD!$A$3:$A$5001,Z$3,BD!$B$3:$B$5001,$A$505)))</f>
        <v/>
      </c>
      <c r="AA520" s="271" t="str">
        <f>IF(AA$3="","",IF(COUNTIFS(BD!$A$3:$A$5001,AA$3,BD!$B$3:$B$5001,$A$505,BD!$R$3:$R$5001,"&lt;&gt;")=0,"",SUMIFS(BD!$R$3:$R$5001,BD!$A$3:$A$5001,AA$3,BD!$B$3:$B$5001,$A$505)))</f>
        <v/>
      </c>
      <c r="AB520" s="271" t="str">
        <f>IF(AB$3="","",IF(COUNTIFS(BD!$A$3:$A$5001,AB$3,BD!$B$3:$B$5001,$A$505,BD!$R$3:$R$5001,"&lt;&gt;")=0,"",SUMIFS(BD!$R$3:$R$5001,BD!$A$3:$A$5001,AB$3,BD!$B$3:$B$5001,$A$505)))</f>
        <v/>
      </c>
      <c r="AC520" s="271" t="str">
        <f>IF(AC$3="","",IF(COUNTIFS(BD!$A$3:$A$5001,AC$3,BD!$B$3:$B$5001,$A$505,BD!$R$3:$R$5001,"&lt;&gt;")=0,"",SUMIFS(BD!$R$3:$R$5001,BD!$A$3:$A$5001,AC$3,BD!$B$3:$B$5001,$A$505)))</f>
        <v/>
      </c>
      <c r="AD520" s="271" t="str">
        <f>IF(AD$3="","",IF(COUNTIFS(BD!$A$3:$A$5001,AD$3,BD!$B$3:$B$5001,$A$505,BD!$R$3:$R$5001,"&lt;&gt;")=0,"",SUMIFS(BD!$R$3:$R$5001,BD!$A$3:$A$5001,AD$3,BD!$B$3:$B$5001,$A$505)))</f>
        <v/>
      </c>
      <c r="AE520" s="271" t="str">
        <f>IF(AE$3="","",IF(COUNTIFS(BD!$A$3:$A$5001,AE$3,BD!$B$3:$B$5001,$A$505,BD!$R$3:$R$5001,"&lt;&gt;")=0,"",SUMIFS(BD!$R$3:$R$5001,BD!$A$3:$A$5001,AE$3,BD!$B$3:$B$5001,$A$505)))</f>
        <v/>
      </c>
      <c r="AF520" s="271" t="str">
        <f>IF(AF$3="","",IF(COUNTIFS(BD!$A$3:$A$5001,AF$3,BD!$B$3:$B$5001,$A$505,BD!$R$3:$R$5001,"&lt;&gt;")=0,"",SUMIFS(BD!$R$3:$R$5001,BD!$A$3:$A$5001,AF$3,BD!$B$3:$B$5001,$A$505)))</f>
        <v/>
      </c>
      <c r="AG520" s="271" t="str">
        <f>IF(AG$3="","",IF(COUNTIFS(BD!$A$3:$A$5001,AG$3,BD!$B$3:$B$5001,$A$505,BD!$R$3:$R$5001,"&lt;&gt;")=0,"",SUMIFS(BD!$R$3:$R$5001,BD!$A$3:$A$5001,AG$3,BD!$B$3:$B$5001,$A$505)))</f>
        <v/>
      </c>
      <c r="AH520" s="271" t="str">
        <f>IF(AH$3="","",IF(COUNTIFS(BD!$A$3:$A$5001,AH$3,BD!$B$3:$B$5001,$A$505,BD!$R$3:$R$5001,"&lt;&gt;")=0,"",SUMIFS(BD!$R$3:$R$5001,BD!$A$3:$A$5001,AH$3,BD!$B$3:$B$5001,$A$505)))</f>
        <v/>
      </c>
      <c r="AI520" s="271" t="str">
        <f>IF(AI$3="","",IF(COUNTIFS(BD!$A$3:$A$5001,AI$3,BD!$B$3:$B$5001,$A$505,BD!$R$3:$R$5001,"&lt;&gt;")=0,"",SUMIFS(BD!$R$3:$R$5001,BD!$A$3:$A$5001,AI$3,BD!$B$3:$B$5001,$A$505)))</f>
        <v/>
      </c>
      <c r="AJ520" s="272" t="str">
        <f>IF(AJ$3="","",IF(COUNTIFS(BD!$A$3:$A$5001,AJ$3,BD!$B$3:$B$5001,$A$505,BD!$R$3:$R$5001,"&lt;&gt;")=0,"",SUMIFS(BD!$R$3:$R$5001,BD!$A$3:$A$5001,AJ$3,BD!$B$3:$B$5001,$A$505)))</f>
        <v/>
      </c>
      <c r="AK520" s="273" t="str">
        <f>IF(COUNT(F520:AJ520)=0,"",SUM(F520:AJ520))</f>
        <v/>
      </c>
    </row>
    <row r="521" ht="15.75" customHeight="1" hidden="1">
      <c r="A521" s="261"/>
      <c r="B521" s="252"/>
      <c r="C521" s="188" t="inlineStr">
        <is>
          <t xml:space="preserve">Toneladas Movimentadas</t>
        </is>
      </c>
      <c r="D521" s="189" t="str">
        <f>IFERROR(1/(1/INDEX(BD!$AL$39:$BF$39,MATCH($A$505,BD!$AL$22:$BF$22,0))),"")</f>
        <v/>
      </c>
      <c r="E521" s="190"/>
      <c r="F521" s="274" t="str">
        <f>IF(F$3="","",IF(COUNTIFS(BD!$A$3:$A$5001,F$3,BD!$B$3:$B$5001,$A$505,BD!$S$3:$S$5001,"&lt;&gt;")=0,"",SUMIFS(BD!$S$3:$S$5001,BD!$A$3:$A$5001,F$3,BD!$B$3:$B$5001,$A$505)))</f>
        <v/>
      </c>
      <c r="G521" s="275" t="str">
        <f>IF(G$3="","",IF(COUNTIFS(BD!$A$3:$A$5001,G$3,BD!$B$3:$B$5001,$A$505,BD!$S$3:$S$5001,"&lt;&gt;")=0,"",SUMIFS(BD!$S$3:$S$5001,BD!$A$3:$A$5001,G$3,BD!$B$3:$B$5001,$A$505)))</f>
        <v/>
      </c>
      <c r="H521" s="275" t="str">
        <f>IF(H$3="","",IF(COUNTIFS(BD!$A$3:$A$5001,H$3,BD!$B$3:$B$5001,$A$505,BD!$S$3:$S$5001,"&lt;&gt;")=0,"",SUMIFS(BD!$S$3:$S$5001,BD!$A$3:$A$5001,H$3,BD!$B$3:$B$5001,$A$505)))</f>
        <v/>
      </c>
      <c r="I521" s="275" t="str">
        <f>IF(I$3="","",IF(COUNTIFS(BD!$A$3:$A$5001,I$3,BD!$B$3:$B$5001,$A$505,BD!$S$3:$S$5001,"&lt;&gt;")=0,"",SUMIFS(BD!$S$3:$S$5001,BD!$A$3:$A$5001,I$3,BD!$B$3:$B$5001,$A$505)))</f>
        <v/>
      </c>
      <c r="J521" s="275" t="str">
        <f>IF(J$3="","",IF(COUNTIFS(BD!$A$3:$A$5001,J$3,BD!$B$3:$B$5001,$A$505,BD!$S$3:$S$5001,"&lt;&gt;")=0,"",SUMIFS(BD!$S$3:$S$5001,BD!$A$3:$A$5001,J$3,BD!$B$3:$B$5001,$A$505)))</f>
        <v/>
      </c>
      <c r="K521" s="275" t="str">
        <f>IF(K$3="","",IF(COUNTIFS(BD!$A$3:$A$5001,K$3,BD!$B$3:$B$5001,$A$505,BD!$S$3:$S$5001,"&lt;&gt;")=0,"",SUMIFS(BD!$S$3:$S$5001,BD!$A$3:$A$5001,K$3,BD!$B$3:$B$5001,$A$505)))</f>
        <v/>
      </c>
      <c r="L521" s="275" t="str">
        <f>IF(L$3="","",IF(COUNTIFS(BD!$A$3:$A$5001,L$3,BD!$B$3:$B$5001,$A$505,BD!$S$3:$S$5001,"&lt;&gt;")=0,"",SUMIFS(BD!$S$3:$S$5001,BD!$A$3:$A$5001,L$3,BD!$B$3:$B$5001,$A$505)))</f>
        <v/>
      </c>
      <c r="M521" s="275" t="str">
        <f>IF(M$3="","",IF(COUNTIFS(BD!$A$3:$A$5001,M$3,BD!$B$3:$B$5001,$A$505,BD!$S$3:$S$5001,"&lt;&gt;")=0,"",SUMIFS(BD!$S$3:$S$5001,BD!$A$3:$A$5001,M$3,BD!$B$3:$B$5001,$A$505)))</f>
        <v/>
      </c>
      <c r="N521" s="275" t="str">
        <f>IF(N$3="","",IF(COUNTIFS(BD!$A$3:$A$5001,N$3,BD!$B$3:$B$5001,$A$505,BD!$S$3:$S$5001,"&lt;&gt;")=0,"",SUMIFS(BD!$S$3:$S$5001,BD!$A$3:$A$5001,N$3,BD!$B$3:$B$5001,$A$505)))</f>
        <v/>
      </c>
      <c r="O521" s="275" t="str">
        <f>IF(O$3="","",IF(COUNTIFS(BD!$A$3:$A$5001,O$3,BD!$B$3:$B$5001,$A$505,BD!$S$3:$S$5001,"&lt;&gt;")=0,"",SUMIFS(BD!$S$3:$S$5001,BD!$A$3:$A$5001,O$3,BD!$B$3:$B$5001,$A$505)))</f>
        <v/>
      </c>
      <c r="P521" s="275" t="str">
        <f>IF(P$3="","",IF(COUNTIFS(BD!$A$3:$A$5001,P$3,BD!$B$3:$B$5001,$A$505,BD!$S$3:$S$5001,"&lt;&gt;")=0,"",SUMIFS(BD!$S$3:$S$5001,BD!$A$3:$A$5001,P$3,BD!$B$3:$B$5001,$A$505)))</f>
        <v/>
      </c>
      <c r="Q521" s="275" t="str">
        <f>IF(Q$3="","",IF(COUNTIFS(BD!$A$3:$A$5001,Q$3,BD!$B$3:$B$5001,$A$505,BD!$S$3:$S$5001,"&lt;&gt;")=0,"",SUMIFS(BD!$S$3:$S$5001,BD!$A$3:$A$5001,Q$3,BD!$B$3:$B$5001,$A$505)))</f>
        <v/>
      </c>
      <c r="R521" s="275" t="str">
        <f>IF(R$3="","",IF(COUNTIFS(BD!$A$3:$A$5001,R$3,BD!$B$3:$B$5001,$A$505,BD!$S$3:$S$5001,"&lt;&gt;")=0,"",SUMIFS(BD!$S$3:$S$5001,BD!$A$3:$A$5001,R$3,BD!$B$3:$B$5001,$A$505)))</f>
        <v/>
      </c>
      <c r="S521" s="275" t="str">
        <f>IF(S$3="","",IF(COUNTIFS(BD!$A$3:$A$5001,S$3,BD!$B$3:$B$5001,$A$505,BD!$S$3:$S$5001,"&lt;&gt;")=0,"",SUMIFS(BD!$S$3:$S$5001,BD!$A$3:$A$5001,S$3,BD!$B$3:$B$5001,$A$505)))</f>
        <v/>
      </c>
      <c r="T521" s="275" t="str">
        <f>IF(T$3="","",IF(COUNTIFS(BD!$A$3:$A$5001,T$3,BD!$B$3:$B$5001,$A$505,BD!$S$3:$S$5001,"&lt;&gt;")=0,"",SUMIFS(BD!$S$3:$S$5001,BD!$A$3:$A$5001,T$3,BD!$B$3:$B$5001,$A$505)))</f>
        <v/>
      </c>
      <c r="U521" s="275" t="str">
        <f>IF(U$3="","",IF(COUNTIFS(BD!$A$3:$A$5001,U$3,BD!$B$3:$B$5001,$A$505,BD!$S$3:$S$5001,"&lt;&gt;")=0,"",SUMIFS(BD!$S$3:$S$5001,BD!$A$3:$A$5001,U$3,BD!$B$3:$B$5001,$A$505)))</f>
        <v/>
      </c>
      <c r="V521" s="275" t="str">
        <f>IF(V$3="","",IF(COUNTIFS(BD!$A$3:$A$5001,V$3,BD!$B$3:$B$5001,$A$505,BD!$S$3:$S$5001,"&lt;&gt;")=0,"",SUMIFS(BD!$S$3:$S$5001,BD!$A$3:$A$5001,V$3,BD!$B$3:$B$5001,$A$505)))</f>
        <v/>
      </c>
      <c r="W521" s="275" t="str">
        <f>IF(W$3="","",IF(COUNTIFS(BD!$A$3:$A$5001,W$3,BD!$B$3:$B$5001,$A$505,BD!$S$3:$S$5001,"&lt;&gt;")=0,"",SUMIFS(BD!$S$3:$S$5001,BD!$A$3:$A$5001,W$3,BD!$B$3:$B$5001,$A$505)))</f>
        <v/>
      </c>
      <c r="X521" s="275" t="str">
        <f>IF(X$3="","",IF(COUNTIFS(BD!$A$3:$A$5001,X$3,BD!$B$3:$B$5001,$A$505,BD!$S$3:$S$5001,"&lt;&gt;")=0,"",SUMIFS(BD!$S$3:$S$5001,BD!$A$3:$A$5001,X$3,BD!$B$3:$B$5001,$A$505)))</f>
        <v/>
      </c>
      <c r="Y521" s="275" t="str">
        <f>IF(Y$3="","",IF(COUNTIFS(BD!$A$3:$A$5001,Y$3,BD!$B$3:$B$5001,$A$505,BD!$S$3:$S$5001,"&lt;&gt;")=0,"",SUMIFS(BD!$S$3:$S$5001,BD!$A$3:$A$5001,Y$3,BD!$B$3:$B$5001,$A$505)))</f>
        <v/>
      </c>
      <c r="Z521" s="275" t="str">
        <f>IF(Z$3="","",IF(COUNTIFS(BD!$A$3:$A$5001,Z$3,BD!$B$3:$B$5001,$A$505,BD!$S$3:$S$5001,"&lt;&gt;")=0,"",SUMIFS(BD!$S$3:$S$5001,BD!$A$3:$A$5001,Z$3,BD!$B$3:$B$5001,$A$505)))</f>
        <v/>
      </c>
      <c r="AA521" s="275" t="str">
        <f>IF(AA$3="","",IF(COUNTIFS(BD!$A$3:$A$5001,AA$3,BD!$B$3:$B$5001,$A$505,BD!$S$3:$S$5001,"&lt;&gt;")=0,"",SUMIFS(BD!$S$3:$S$5001,BD!$A$3:$A$5001,AA$3,BD!$B$3:$B$5001,$A$505)))</f>
        <v/>
      </c>
      <c r="AB521" s="275" t="str">
        <f>IF(AB$3="","",IF(COUNTIFS(BD!$A$3:$A$5001,AB$3,BD!$B$3:$B$5001,$A$505,BD!$S$3:$S$5001,"&lt;&gt;")=0,"",SUMIFS(BD!$S$3:$S$5001,BD!$A$3:$A$5001,AB$3,BD!$B$3:$B$5001,$A$505)))</f>
        <v/>
      </c>
      <c r="AC521" s="275" t="str">
        <f>IF(AC$3="","",IF(COUNTIFS(BD!$A$3:$A$5001,AC$3,BD!$B$3:$B$5001,$A$505,BD!$S$3:$S$5001,"&lt;&gt;")=0,"",SUMIFS(BD!$S$3:$S$5001,BD!$A$3:$A$5001,AC$3,BD!$B$3:$B$5001,$A$505)))</f>
        <v/>
      </c>
      <c r="AD521" s="275" t="str">
        <f>IF(AD$3="","",IF(COUNTIFS(BD!$A$3:$A$5001,AD$3,BD!$B$3:$B$5001,$A$505,BD!$S$3:$S$5001,"&lt;&gt;")=0,"",SUMIFS(BD!$S$3:$S$5001,BD!$A$3:$A$5001,AD$3,BD!$B$3:$B$5001,$A$505)))</f>
        <v/>
      </c>
      <c r="AE521" s="275" t="str">
        <f>IF(AE$3="","",IF(COUNTIFS(BD!$A$3:$A$5001,AE$3,BD!$B$3:$B$5001,$A$505,BD!$S$3:$S$5001,"&lt;&gt;")=0,"",SUMIFS(BD!$S$3:$S$5001,BD!$A$3:$A$5001,AE$3,BD!$B$3:$B$5001,$A$505)))</f>
        <v/>
      </c>
      <c r="AF521" s="275" t="str">
        <f>IF(AF$3="","",IF(COUNTIFS(BD!$A$3:$A$5001,AF$3,BD!$B$3:$B$5001,$A$505,BD!$S$3:$S$5001,"&lt;&gt;")=0,"",SUMIFS(BD!$S$3:$S$5001,BD!$A$3:$A$5001,AF$3,BD!$B$3:$B$5001,$A$505)))</f>
        <v/>
      </c>
      <c r="AG521" s="275" t="str">
        <f>IF(AG$3="","",IF(COUNTIFS(BD!$A$3:$A$5001,AG$3,BD!$B$3:$B$5001,$A$505,BD!$S$3:$S$5001,"&lt;&gt;")=0,"",SUMIFS(BD!$S$3:$S$5001,BD!$A$3:$A$5001,AG$3,BD!$B$3:$B$5001,$A$505)))</f>
        <v/>
      </c>
      <c r="AH521" s="275" t="str">
        <f>IF(AH$3="","",IF(COUNTIFS(BD!$A$3:$A$5001,AH$3,BD!$B$3:$B$5001,$A$505,BD!$S$3:$S$5001,"&lt;&gt;")=0,"",SUMIFS(BD!$S$3:$S$5001,BD!$A$3:$A$5001,AH$3,BD!$B$3:$B$5001,$A$505)))</f>
        <v/>
      </c>
      <c r="AI521" s="275" t="str">
        <f>IF(AI$3="","",IF(COUNTIFS(BD!$A$3:$A$5001,AI$3,BD!$B$3:$B$5001,$A$505,BD!$S$3:$S$5001,"&lt;&gt;")=0,"",SUMIFS(BD!$S$3:$S$5001,BD!$A$3:$A$5001,AI$3,BD!$B$3:$B$5001,$A$505)))</f>
        <v/>
      </c>
      <c r="AJ521" s="276" t="str">
        <f>IF(AJ$3="","",IF(COUNTIFS(BD!$A$3:$A$5001,AJ$3,BD!$B$3:$B$5001,$A$505,BD!$S$3:$S$5001,"&lt;&gt;")=0,"",SUMIFS(BD!$S$3:$S$5001,BD!$A$3:$A$5001,AJ$3,BD!$B$3:$B$5001,$A$505)))</f>
        <v/>
      </c>
      <c r="AK521" s="277" t="str">
        <f>IF(COUNT(F521:AJ521)=0,"",SUM(F521:AJ521))</f>
        <v/>
      </c>
    </row>
    <row r="522" ht="15.75" customHeight="1" hidden="1">
      <c r="A522" s="261"/>
      <c r="B522" s="253" t="inlineStr">
        <is>
          <t xml:space="preserve">NC</t>
        </is>
      </c>
      <c r="C522" s="194" t="inlineStr">
        <is>
          <t xml:space="preserve">Incidentes</t>
        </is>
      </c>
      <c r="D522" s="195" t="str">
        <f>IFERROR(1/(1/INDEX(BD!$AL$40:$BF$40,MATCH($A$505,BD!$AL$22:$BF$22,0))),"")</f>
        <v/>
      </c>
      <c r="E522" s="196"/>
      <c r="F522" s="197" t="str">
        <f>IF(F$3="","",IF(COUNTIFS(BD!$A$3:$A$5001,F$3,BD!$B$3:$B$5001,$A$505,BD!$T$3:$T$5001,"&lt;&gt;")=0,"",SUMIFS(BD!$T$3:$T$5001,BD!$A$3:$A$5001,F$3,BD!$B$3:$B$5001,$A$505)))</f>
        <v/>
      </c>
      <c r="G522" s="198" t="str">
        <f>IF(G$3="","",IF(COUNTIFS(BD!$A$3:$A$5001,G$3,BD!$B$3:$B$5001,$A$505,BD!$T$3:$T$5001,"&lt;&gt;")=0,"",SUMIFS(BD!$T$3:$T$5001,BD!$A$3:$A$5001,G$3,BD!$B$3:$B$5001,$A$505)))</f>
        <v/>
      </c>
      <c r="H522" s="198" t="str">
        <f>IF(H$3="","",IF(COUNTIFS(BD!$A$3:$A$5001,H$3,BD!$B$3:$B$5001,$A$505,BD!$T$3:$T$5001,"&lt;&gt;")=0,"",SUMIFS(BD!$T$3:$T$5001,BD!$A$3:$A$5001,H$3,BD!$B$3:$B$5001,$A$505)))</f>
        <v/>
      </c>
      <c r="I522" s="198" t="str">
        <f>IF(I$3="","",IF(COUNTIFS(BD!$A$3:$A$5001,I$3,BD!$B$3:$B$5001,$A$505,BD!$T$3:$T$5001,"&lt;&gt;")=0,"",SUMIFS(BD!$T$3:$T$5001,BD!$A$3:$A$5001,I$3,BD!$B$3:$B$5001,$A$505)))</f>
        <v/>
      </c>
      <c r="J522" s="198" t="str">
        <f>IF(J$3="","",IF(COUNTIFS(BD!$A$3:$A$5001,J$3,BD!$B$3:$B$5001,$A$505,BD!$T$3:$T$5001,"&lt;&gt;")=0,"",SUMIFS(BD!$T$3:$T$5001,BD!$A$3:$A$5001,J$3,BD!$B$3:$B$5001,$A$505)))</f>
        <v/>
      </c>
      <c r="K522" s="198" t="str">
        <f>IF(K$3="","",IF(COUNTIFS(BD!$A$3:$A$5001,K$3,BD!$B$3:$B$5001,$A$505,BD!$T$3:$T$5001,"&lt;&gt;")=0,"",SUMIFS(BD!$T$3:$T$5001,BD!$A$3:$A$5001,K$3,BD!$B$3:$B$5001,$A$505)))</f>
        <v/>
      </c>
      <c r="L522" s="198" t="str">
        <f>IF(L$3="","",IF(COUNTIFS(BD!$A$3:$A$5001,L$3,BD!$B$3:$B$5001,$A$505,BD!$T$3:$T$5001,"&lt;&gt;")=0,"",SUMIFS(BD!$T$3:$T$5001,BD!$A$3:$A$5001,L$3,BD!$B$3:$B$5001,$A$505)))</f>
        <v/>
      </c>
      <c r="M522" s="198" t="str">
        <f>IF(M$3="","",IF(COUNTIFS(BD!$A$3:$A$5001,M$3,BD!$B$3:$B$5001,$A$505,BD!$T$3:$T$5001,"&lt;&gt;")=0,"",SUMIFS(BD!$T$3:$T$5001,BD!$A$3:$A$5001,M$3,BD!$B$3:$B$5001,$A$505)))</f>
        <v/>
      </c>
      <c r="N522" s="198" t="str">
        <f>IF(N$3="","",IF(COUNTIFS(BD!$A$3:$A$5001,N$3,BD!$B$3:$B$5001,$A$505,BD!$T$3:$T$5001,"&lt;&gt;")=0,"",SUMIFS(BD!$T$3:$T$5001,BD!$A$3:$A$5001,N$3,BD!$B$3:$B$5001,$A$505)))</f>
        <v/>
      </c>
      <c r="O522" s="198" t="str">
        <f>IF(O$3="","",IF(COUNTIFS(BD!$A$3:$A$5001,O$3,BD!$B$3:$B$5001,$A$505,BD!$T$3:$T$5001,"&lt;&gt;")=0,"",SUMIFS(BD!$T$3:$T$5001,BD!$A$3:$A$5001,O$3,BD!$B$3:$B$5001,$A$505)))</f>
        <v/>
      </c>
      <c r="P522" s="198" t="str">
        <f>IF(P$3="","",IF(COUNTIFS(BD!$A$3:$A$5001,P$3,BD!$B$3:$B$5001,$A$505,BD!$T$3:$T$5001,"&lt;&gt;")=0,"",SUMIFS(BD!$T$3:$T$5001,BD!$A$3:$A$5001,P$3,BD!$B$3:$B$5001,$A$505)))</f>
        <v/>
      </c>
      <c r="Q522" s="198" t="str">
        <f>IF(Q$3="","",IF(COUNTIFS(BD!$A$3:$A$5001,Q$3,BD!$B$3:$B$5001,$A$505,BD!$T$3:$T$5001,"&lt;&gt;")=0,"",SUMIFS(BD!$T$3:$T$5001,BD!$A$3:$A$5001,Q$3,BD!$B$3:$B$5001,$A$505)))</f>
        <v/>
      </c>
      <c r="R522" s="198" t="str">
        <f>IF(R$3="","",IF(COUNTIFS(BD!$A$3:$A$5001,R$3,BD!$B$3:$B$5001,$A$505,BD!$T$3:$T$5001,"&lt;&gt;")=0,"",SUMIFS(BD!$T$3:$T$5001,BD!$A$3:$A$5001,R$3,BD!$B$3:$B$5001,$A$505)))</f>
        <v/>
      </c>
      <c r="S522" s="198" t="str">
        <f>IF(S$3="","",IF(COUNTIFS(BD!$A$3:$A$5001,S$3,BD!$B$3:$B$5001,$A$505,BD!$T$3:$T$5001,"&lt;&gt;")=0,"",SUMIFS(BD!$T$3:$T$5001,BD!$A$3:$A$5001,S$3,BD!$B$3:$B$5001,$A$505)))</f>
        <v/>
      </c>
      <c r="T522" s="198" t="str">
        <f>IF(T$3="","",IF(COUNTIFS(BD!$A$3:$A$5001,T$3,BD!$B$3:$B$5001,$A$505,BD!$T$3:$T$5001,"&lt;&gt;")=0,"",SUMIFS(BD!$T$3:$T$5001,BD!$A$3:$A$5001,T$3,BD!$B$3:$B$5001,$A$505)))</f>
        <v/>
      </c>
      <c r="U522" s="198" t="str">
        <f>IF(U$3="","",IF(COUNTIFS(BD!$A$3:$A$5001,U$3,BD!$B$3:$B$5001,$A$505,BD!$T$3:$T$5001,"&lt;&gt;")=0,"",SUMIFS(BD!$T$3:$T$5001,BD!$A$3:$A$5001,U$3,BD!$B$3:$B$5001,$A$505)))</f>
        <v/>
      </c>
      <c r="V522" s="198" t="str">
        <f>IF(V$3="","",IF(COUNTIFS(BD!$A$3:$A$5001,V$3,BD!$B$3:$B$5001,$A$505,BD!$T$3:$T$5001,"&lt;&gt;")=0,"",SUMIFS(BD!$T$3:$T$5001,BD!$A$3:$A$5001,V$3,BD!$B$3:$B$5001,$A$505)))</f>
        <v/>
      </c>
      <c r="W522" s="198" t="str">
        <f>IF(W$3="","",IF(COUNTIFS(BD!$A$3:$A$5001,W$3,BD!$B$3:$B$5001,$A$505,BD!$T$3:$T$5001,"&lt;&gt;")=0,"",SUMIFS(BD!$T$3:$T$5001,BD!$A$3:$A$5001,W$3,BD!$B$3:$B$5001,$A$505)))</f>
        <v/>
      </c>
      <c r="X522" s="198" t="str">
        <f>IF(X$3="","",IF(COUNTIFS(BD!$A$3:$A$5001,X$3,BD!$B$3:$B$5001,$A$505,BD!$T$3:$T$5001,"&lt;&gt;")=0,"",SUMIFS(BD!$T$3:$T$5001,BD!$A$3:$A$5001,X$3,BD!$B$3:$B$5001,$A$505)))</f>
        <v/>
      </c>
      <c r="Y522" s="198" t="str">
        <f>IF(Y$3="","",IF(COUNTIFS(BD!$A$3:$A$5001,Y$3,BD!$B$3:$B$5001,$A$505,BD!$T$3:$T$5001,"&lt;&gt;")=0,"",SUMIFS(BD!$T$3:$T$5001,BD!$A$3:$A$5001,Y$3,BD!$B$3:$B$5001,$A$505)))</f>
        <v/>
      </c>
      <c r="Z522" s="198" t="str">
        <f>IF(Z$3="","",IF(COUNTIFS(BD!$A$3:$A$5001,Z$3,BD!$B$3:$B$5001,$A$505,BD!$T$3:$T$5001,"&lt;&gt;")=0,"",SUMIFS(BD!$T$3:$T$5001,BD!$A$3:$A$5001,Z$3,BD!$B$3:$B$5001,$A$505)))</f>
        <v/>
      </c>
      <c r="AA522" s="198" t="str">
        <f>IF(AA$3="","",IF(COUNTIFS(BD!$A$3:$A$5001,AA$3,BD!$B$3:$B$5001,$A$505,BD!$T$3:$T$5001,"&lt;&gt;")=0,"",SUMIFS(BD!$T$3:$T$5001,BD!$A$3:$A$5001,AA$3,BD!$B$3:$B$5001,$A$505)))</f>
        <v/>
      </c>
      <c r="AB522" s="198" t="str">
        <f>IF(AB$3="","",IF(COUNTIFS(BD!$A$3:$A$5001,AB$3,BD!$B$3:$B$5001,$A$505,BD!$T$3:$T$5001,"&lt;&gt;")=0,"",SUMIFS(BD!$T$3:$T$5001,BD!$A$3:$A$5001,AB$3,BD!$B$3:$B$5001,$A$505)))</f>
        <v/>
      </c>
      <c r="AC522" s="198" t="str">
        <f>IF(AC$3="","",IF(COUNTIFS(BD!$A$3:$A$5001,AC$3,BD!$B$3:$B$5001,$A$505,BD!$T$3:$T$5001,"&lt;&gt;")=0,"",SUMIFS(BD!$T$3:$T$5001,BD!$A$3:$A$5001,AC$3,BD!$B$3:$B$5001,$A$505)))</f>
        <v/>
      </c>
      <c r="AD522" s="198" t="str">
        <f>IF(AD$3="","",IF(COUNTIFS(BD!$A$3:$A$5001,AD$3,BD!$B$3:$B$5001,$A$505,BD!$T$3:$T$5001,"&lt;&gt;")=0,"",SUMIFS(BD!$T$3:$T$5001,BD!$A$3:$A$5001,AD$3,BD!$B$3:$B$5001,$A$505)))</f>
        <v/>
      </c>
      <c r="AE522" s="198" t="str">
        <f>IF(AE$3="","",IF(COUNTIFS(BD!$A$3:$A$5001,AE$3,BD!$B$3:$B$5001,$A$505,BD!$T$3:$T$5001,"&lt;&gt;")=0,"",SUMIFS(BD!$T$3:$T$5001,BD!$A$3:$A$5001,AE$3,BD!$B$3:$B$5001,$A$505)))</f>
        <v/>
      </c>
      <c r="AF522" s="198" t="str">
        <f>IF(AF$3="","",IF(COUNTIFS(BD!$A$3:$A$5001,AF$3,BD!$B$3:$B$5001,$A$505,BD!$T$3:$T$5001,"&lt;&gt;")=0,"",SUMIFS(BD!$T$3:$T$5001,BD!$A$3:$A$5001,AF$3,BD!$B$3:$B$5001,$A$505)))</f>
        <v/>
      </c>
      <c r="AG522" s="198" t="str">
        <f>IF(AG$3="","",IF(COUNTIFS(BD!$A$3:$A$5001,AG$3,BD!$B$3:$B$5001,$A$505,BD!$T$3:$T$5001,"&lt;&gt;")=0,"",SUMIFS(BD!$T$3:$T$5001,BD!$A$3:$A$5001,AG$3,BD!$B$3:$B$5001,$A$505)))</f>
        <v/>
      </c>
      <c r="AH522" s="198" t="str">
        <f>IF(AH$3="","",IF(COUNTIFS(BD!$A$3:$A$5001,AH$3,BD!$B$3:$B$5001,$A$505,BD!$T$3:$T$5001,"&lt;&gt;")=0,"",SUMIFS(BD!$T$3:$T$5001,BD!$A$3:$A$5001,AH$3,BD!$B$3:$B$5001,$A$505)))</f>
        <v/>
      </c>
      <c r="AI522" s="198" t="str">
        <f>IF(AI$3="","",IF(COUNTIFS(BD!$A$3:$A$5001,AI$3,BD!$B$3:$B$5001,$A$505,BD!$T$3:$T$5001,"&lt;&gt;")=0,"",SUMIFS(BD!$T$3:$T$5001,BD!$A$3:$A$5001,AI$3,BD!$B$3:$B$5001,$A$505)))</f>
        <v/>
      </c>
      <c r="AJ522" s="199" t="str">
        <f>IF(AJ$3="","",IF(COUNTIFS(BD!$A$3:$A$5001,AJ$3,BD!$B$3:$B$5001,$A$505,BD!$T$3:$T$5001,"&lt;&gt;")=0,"",SUMIFS(BD!$T$3:$T$5001,BD!$A$3:$A$5001,AJ$3,BD!$B$3:$B$5001,$A$505)))</f>
        <v/>
      </c>
      <c r="AK522" s="200" t="str">
        <f>IF(COUNT(F522:AJ522)=0,"",SUM(F522:AJ522))</f>
        <v/>
      </c>
    </row>
    <row r="523" ht="15.75" customHeight="1" hidden="1">
      <c r="A523" s="261"/>
      <c r="B523" s="254"/>
      <c r="C523" s="201" t="inlineStr">
        <is>
          <t xml:space="preserve">No show</t>
        </is>
      </c>
      <c r="D523" s="202" t="str">
        <f>IFERROR(1/(1/INDEX(BD!$AL$41:$BF$41,MATCH($A$505,BD!$AL$22:$BF$22,0))),"")</f>
        <v/>
      </c>
      <c r="E523" s="203"/>
      <c r="F523" s="204" t="str">
        <f>IF(F$3="","",IF(COUNTIFS(BD!$A$3:$A$5001,F$3,BD!$B$3:$B$5001,$A$505,BD!$U$3:$U$5001,"&lt;&gt;")=0,"",SUMIFS(BD!$U$3:$U$5001,BD!$A$3:$A$5001,F$3,BD!$B$3:$B$5001,$A$505)))</f>
        <v/>
      </c>
      <c r="G523" s="205" t="str">
        <f>IF(G$3="","",IF(COUNTIFS(BD!$A$3:$A$5001,G$3,BD!$B$3:$B$5001,$A$505,BD!$U$3:$U$5001,"&lt;&gt;")=0,"",SUMIFS(BD!$U$3:$U$5001,BD!$A$3:$A$5001,G$3,BD!$B$3:$B$5001,$A$505)))</f>
        <v/>
      </c>
      <c r="H523" s="205" t="str">
        <f>IF(H$3="","",IF(COUNTIFS(BD!$A$3:$A$5001,H$3,BD!$B$3:$B$5001,$A$505,BD!$U$3:$U$5001,"&lt;&gt;")=0,"",SUMIFS(BD!$U$3:$U$5001,BD!$A$3:$A$5001,H$3,BD!$B$3:$B$5001,$A$505)))</f>
        <v/>
      </c>
      <c r="I523" s="205" t="str">
        <f>IF(I$3="","",IF(COUNTIFS(BD!$A$3:$A$5001,I$3,BD!$B$3:$B$5001,$A$505,BD!$U$3:$U$5001,"&lt;&gt;")=0,"",SUMIFS(BD!$U$3:$U$5001,BD!$A$3:$A$5001,I$3,BD!$B$3:$B$5001,$A$505)))</f>
        <v/>
      </c>
      <c r="J523" s="205" t="str">
        <f>IF(J$3="","",IF(COUNTIFS(BD!$A$3:$A$5001,J$3,BD!$B$3:$B$5001,$A$505,BD!$U$3:$U$5001,"&lt;&gt;")=0,"",SUMIFS(BD!$U$3:$U$5001,BD!$A$3:$A$5001,J$3,BD!$B$3:$B$5001,$A$505)))</f>
        <v/>
      </c>
      <c r="K523" s="205" t="str">
        <f>IF(K$3="","",IF(COUNTIFS(BD!$A$3:$A$5001,K$3,BD!$B$3:$B$5001,$A$505,BD!$U$3:$U$5001,"&lt;&gt;")=0,"",SUMIFS(BD!$U$3:$U$5001,BD!$A$3:$A$5001,K$3,BD!$B$3:$B$5001,$A$505)))</f>
        <v/>
      </c>
      <c r="L523" s="205" t="str">
        <f>IF(L$3="","",IF(COUNTIFS(BD!$A$3:$A$5001,L$3,BD!$B$3:$B$5001,$A$505,BD!$U$3:$U$5001,"&lt;&gt;")=0,"",SUMIFS(BD!$U$3:$U$5001,BD!$A$3:$A$5001,L$3,BD!$B$3:$B$5001,$A$505)))</f>
        <v/>
      </c>
      <c r="M523" s="205" t="str">
        <f>IF(M$3="","",IF(COUNTIFS(BD!$A$3:$A$5001,M$3,BD!$B$3:$B$5001,$A$505,BD!$U$3:$U$5001,"&lt;&gt;")=0,"",SUMIFS(BD!$U$3:$U$5001,BD!$A$3:$A$5001,M$3,BD!$B$3:$B$5001,$A$505)))</f>
        <v/>
      </c>
      <c r="N523" s="205" t="str">
        <f>IF(N$3="","",IF(COUNTIFS(BD!$A$3:$A$5001,N$3,BD!$B$3:$B$5001,$A$505,BD!$U$3:$U$5001,"&lt;&gt;")=0,"",SUMIFS(BD!$U$3:$U$5001,BD!$A$3:$A$5001,N$3,BD!$B$3:$B$5001,$A$505)))</f>
        <v/>
      </c>
      <c r="O523" s="205" t="str">
        <f>IF(O$3="","",IF(COUNTIFS(BD!$A$3:$A$5001,O$3,BD!$B$3:$B$5001,$A$505,BD!$U$3:$U$5001,"&lt;&gt;")=0,"",SUMIFS(BD!$U$3:$U$5001,BD!$A$3:$A$5001,O$3,BD!$B$3:$B$5001,$A$505)))</f>
        <v/>
      </c>
      <c r="P523" s="205" t="str">
        <f>IF(P$3="","",IF(COUNTIFS(BD!$A$3:$A$5001,P$3,BD!$B$3:$B$5001,$A$505,BD!$U$3:$U$5001,"&lt;&gt;")=0,"",SUMIFS(BD!$U$3:$U$5001,BD!$A$3:$A$5001,P$3,BD!$B$3:$B$5001,$A$505)))</f>
        <v/>
      </c>
      <c r="Q523" s="205" t="str">
        <f>IF(Q$3="","",IF(COUNTIFS(BD!$A$3:$A$5001,Q$3,BD!$B$3:$B$5001,$A$505,BD!$U$3:$U$5001,"&lt;&gt;")=0,"",SUMIFS(BD!$U$3:$U$5001,BD!$A$3:$A$5001,Q$3,BD!$B$3:$B$5001,$A$505)))</f>
        <v/>
      </c>
      <c r="R523" s="205" t="str">
        <f>IF(R$3="","",IF(COUNTIFS(BD!$A$3:$A$5001,R$3,BD!$B$3:$B$5001,$A$505,BD!$U$3:$U$5001,"&lt;&gt;")=0,"",SUMIFS(BD!$U$3:$U$5001,BD!$A$3:$A$5001,R$3,BD!$B$3:$B$5001,$A$505)))</f>
        <v/>
      </c>
      <c r="S523" s="205" t="str">
        <f>IF(S$3="","",IF(COUNTIFS(BD!$A$3:$A$5001,S$3,BD!$B$3:$B$5001,$A$505,BD!$U$3:$U$5001,"&lt;&gt;")=0,"",SUMIFS(BD!$U$3:$U$5001,BD!$A$3:$A$5001,S$3,BD!$B$3:$B$5001,$A$505)))</f>
        <v/>
      </c>
      <c r="T523" s="205" t="str">
        <f>IF(T$3="","",IF(COUNTIFS(BD!$A$3:$A$5001,T$3,BD!$B$3:$B$5001,$A$505,BD!$U$3:$U$5001,"&lt;&gt;")=0,"",SUMIFS(BD!$U$3:$U$5001,BD!$A$3:$A$5001,T$3,BD!$B$3:$B$5001,$A$505)))</f>
        <v/>
      </c>
      <c r="U523" s="205" t="str">
        <f>IF(U$3="","",IF(COUNTIFS(BD!$A$3:$A$5001,U$3,BD!$B$3:$B$5001,$A$505,BD!$U$3:$U$5001,"&lt;&gt;")=0,"",SUMIFS(BD!$U$3:$U$5001,BD!$A$3:$A$5001,U$3,BD!$B$3:$B$5001,$A$505)))</f>
        <v/>
      </c>
      <c r="V523" s="205" t="str">
        <f>IF(V$3="","",IF(COUNTIFS(BD!$A$3:$A$5001,V$3,BD!$B$3:$B$5001,$A$505,BD!$U$3:$U$5001,"&lt;&gt;")=0,"",SUMIFS(BD!$U$3:$U$5001,BD!$A$3:$A$5001,V$3,BD!$B$3:$B$5001,$A$505)))</f>
        <v/>
      </c>
      <c r="W523" s="205" t="str">
        <f>IF(W$3="","",IF(COUNTIFS(BD!$A$3:$A$5001,W$3,BD!$B$3:$B$5001,$A$505,BD!$U$3:$U$5001,"&lt;&gt;")=0,"",SUMIFS(BD!$U$3:$U$5001,BD!$A$3:$A$5001,W$3,BD!$B$3:$B$5001,$A$505)))</f>
        <v/>
      </c>
      <c r="X523" s="205" t="str">
        <f>IF(X$3="","",IF(COUNTIFS(BD!$A$3:$A$5001,X$3,BD!$B$3:$B$5001,$A$505,BD!$U$3:$U$5001,"&lt;&gt;")=0,"",SUMIFS(BD!$U$3:$U$5001,BD!$A$3:$A$5001,X$3,BD!$B$3:$B$5001,$A$505)))</f>
        <v/>
      </c>
      <c r="Y523" s="205" t="str">
        <f>IF(Y$3="","",IF(COUNTIFS(BD!$A$3:$A$5001,Y$3,BD!$B$3:$B$5001,$A$505,BD!$U$3:$U$5001,"&lt;&gt;")=0,"",SUMIFS(BD!$U$3:$U$5001,BD!$A$3:$A$5001,Y$3,BD!$B$3:$B$5001,$A$505)))</f>
        <v/>
      </c>
      <c r="Z523" s="205" t="str">
        <f>IF(Z$3="","",IF(COUNTIFS(BD!$A$3:$A$5001,Z$3,BD!$B$3:$B$5001,$A$505,BD!$U$3:$U$5001,"&lt;&gt;")=0,"",SUMIFS(BD!$U$3:$U$5001,BD!$A$3:$A$5001,Z$3,BD!$B$3:$B$5001,$A$505)))</f>
        <v/>
      </c>
      <c r="AA523" s="205" t="str">
        <f>IF(AA$3="","",IF(COUNTIFS(BD!$A$3:$A$5001,AA$3,BD!$B$3:$B$5001,$A$505,BD!$U$3:$U$5001,"&lt;&gt;")=0,"",SUMIFS(BD!$U$3:$U$5001,BD!$A$3:$A$5001,AA$3,BD!$B$3:$B$5001,$A$505)))</f>
        <v/>
      </c>
      <c r="AB523" s="205" t="str">
        <f>IF(AB$3="","",IF(COUNTIFS(BD!$A$3:$A$5001,AB$3,BD!$B$3:$B$5001,$A$505,BD!$U$3:$U$5001,"&lt;&gt;")=0,"",SUMIFS(BD!$U$3:$U$5001,BD!$A$3:$A$5001,AB$3,BD!$B$3:$B$5001,$A$505)))</f>
        <v/>
      </c>
      <c r="AC523" s="205" t="str">
        <f>IF(AC$3="","",IF(COUNTIFS(BD!$A$3:$A$5001,AC$3,BD!$B$3:$B$5001,$A$505,BD!$U$3:$U$5001,"&lt;&gt;")=0,"",SUMIFS(BD!$U$3:$U$5001,BD!$A$3:$A$5001,AC$3,BD!$B$3:$B$5001,$A$505)))</f>
        <v/>
      </c>
      <c r="AD523" s="205" t="str">
        <f>IF(AD$3="","",IF(COUNTIFS(BD!$A$3:$A$5001,AD$3,BD!$B$3:$B$5001,$A$505,BD!$U$3:$U$5001,"&lt;&gt;")=0,"",SUMIFS(BD!$U$3:$U$5001,BD!$A$3:$A$5001,AD$3,BD!$B$3:$B$5001,$A$505)))</f>
        <v/>
      </c>
      <c r="AE523" s="205" t="str">
        <f>IF(AE$3="","",IF(COUNTIFS(BD!$A$3:$A$5001,AE$3,BD!$B$3:$B$5001,$A$505,BD!$U$3:$U$5001,"&lt;&gt;")=0,"",SUMIFS(BD!$U$3:$U$5001,BD!$A$3:$A$5001,AE$3,BD!$B$3:$B$5001,$A$505)))</f>
        <v/>
      </c>
      <c r="AF523" s="205" t="str">
        <f>IF(AF$3="","",IF(COUNTIFS(BD!$A$3:$A$5001,AF$3,BD!$B$3:$B$5001,$A$505,BD!$U$3:$U$5001,"&lt;&gt;")=0,"",SUMIFS(BD!$U$3:$U$5001,BD!$A$3:$A$5001,AF$3,BD!$B$3:$B$5001,$A$505)))</f>
        <v/>
      </c>
      <c r="AG523" s="205" t="str">
        <f>IF(AG$3="","",IF(COUNTIFS(BD!$A$3:$A$5001,AG$3,BD!$B$3:$B$5001,$A$505,BD!$U$3:$U$5001,"&lt;&gt;")=0,"",SUMIFS(BD!$U$3:$U$5001,BD!$A$3:$A$5001,AG$3,BD!$B$3:$B$5001,$A$505)))</f>
        <v/>
      </c>
      <c r="AH523" s="205" t="str">
        <f>IF(AH$3="","",IF(COUNTIFS(BD!$A$3:$A$5001,AH$3,BD!$B$3:$B$5001,$A$505,BD!$U$3:$U$5001,"&lt;&gt;")=0,"",SUMIFS(BD!$U$3:$U$5001,BD!$A$3:$A$5001,AH$3,BD!$B$3:$B$5001,$A$505)))</f>
        <v/>
      </c>
      <c r="AI523" s="205" t="str">
        <f>IF(AI$3="","",IF(COUNTIFS(BD!$A$3:$A$5001,AI$3,BD!$B$3:$B$5001,$A$505,BD!$U$3:$U$5001,"&lt;&gt;")=0,"",SUMIFS(BD!$U$3:$U$5001,BD!$A$3:$A$5001,AI$3,BD!$B$3:$B$5001,$A$505)))</f>
        <v/>
      </c>
      <c r="AJ523" s="206" t="str">
        <f>IF(AJ$3="","",IF(COUNTIFS(BD!$A$3:$A$5001,AJ$3,BD!$B$3:$B$5001,$A$505,BD!$U$3:$U$5001,"&lt;&gt;")=0,"",SUMIFS(BD!$U$3:$U$5001,BD!$A$3:$A$5001,AJ$3,BD!$B$3:$B$5001,$A$505)))</f>
        <v/>
      </c>
      <c r="AK523" s="207" t="str">
        <f>IF(COUNT(F523:AJ523)=0,"",SUM(F523:AJ523))</f>
        <v/>
      </c>
    </row>
    <row r="524" ht="15.75" customHeight="1" hidden="1">
      <c r="A524" s="261"/>
      <c r="B524" s="254"/>
      <c r="C524" s="201" t="inlineStr">
        <is>
          <t xml:space="preserve">Backlog Intralog</t>
        </is>
      </c>
      <c r="D524" s="202" t="str">
        <f>IFERROR(1/(1/INDEX(BD!$AL$42:$BF$42,MATCH($A$505,BD!$AL$22:$BF$22,0))),"")</f>
        <v/>
      </c>
      <c r="E524" s="203"/>
      <c r="F524" s="204" t="str">
        <f>IF(F$3="","",IF(COUNTIFS(BD!$A$3:$A$5001,F$3,BD!$B$3:$B$5001,$A$505,BD!$V$3:$V$5001,"&lt;&gt;")=0,"",SUMIFS(BD!$V$3:$V$5001,BD!$A$3:$A$5001,F$3,BD!$B$3:$B$5001,$A$505)))</f>
        <v/>
      </c>
      <c r="G524" s="205" t="str">
        <f>IF(G$3="","",IF(COUNTIFS(BD!$A$3:$A$5001,G$3,BD!$B$3:$B$5001,$A$505,BD!$V$3:$V$5001,"&lt;&gt;")=0,"",SUMIFS(BD!$V$3:$V$5001,BD!$A$3:$A$5001,G$3,BD!$B$3:$B$5001,$A$505)))</f>
        <v/>
      </c>
      <c r="H524" s="205" t="str">
        <f>IF(H$3="","",IF(COUNTIFS(BD!$A$3:$A$5001,H$3,BD!$B$3:$B$5001,$A$505,BD!$V$3:$V$5001,"&lt;&gt;")=0,"",SUMIFS(BD!$V$3:$V$5001,BD!$A$3:$A$5001,H$3,BD!$B$3:$B$5001,$A$505)))</f>
        <v/>
      </c>
      <c r="I524" s="205" t="str">
        <f>IF(I$3="","",IF(COUNTIFS(BD!$A$3:$A$5001,I$3,BD!$B$3:$B$5001,$A$505,BD!$V$3:$V$5001,"&lt;&gt;")=0,"",SUMIFS(BD!$V$3:$V$5001,BD!$A$3:$A$5001,I$3,BD!$B$3:$B$5001,$A$505)))</f>
        <v/>
      </c>
      <c r="J524" s="205" t="str">
        <f>IF(J$3="","",IF(COUNTIFS(BD!$A$3:$A$5001,J$3,BD!$B$3:$B$5001,$A$505,BD!$V$3:$V$5001,"&lt;&gt;")=0,"",SUMIFS(BD!$V$3:$V$5001,BD!$A$3:$A$5001,J$3,BD!$B$3:$B$5001,$A$505)))</f>
        <v/>
      </c>
      <c r="K524" s="205" t="str">
        <f>IF(K$3="","",IF(COUNTIFS(BD!$A$3:$A$5001,K$3,BD!$B$3:$B$5001,$A$505,BD!$V$3:$V$5001,"&lt;&gt;")=0,"",SUMIFS(BD!$V$3:$V$5001,BD!$A$3:$A$5001,K$3,BD!$B$3:$B$5001,$A$505)))</f>
        <v/>
      </c>
      <c r="L524" s="205" t="str">
        <f>IF(L$3="","",IF(COUNTIFS(BD!$A$3:$A$5001,L$3,BD!$B$3:$B$5001,$A$505,BD!$V$3:$V$5001,"&lt;&gt;")=0,"",SUMIFS(BD!$V$3:$V$5001,BD!$A$3:$A$5001,L$3,BD!$B$3:$B$5001,$A$505)))</f>
        <v/>
      </c>
      <c r="M524" s="205" t="str">
        <f>IF(M$3="","",IF(COUNTIFS(BD!$A$3:$A$5001,M$3,BD!$B$3:$B$5001,$A$505,BD!$V$3:$V$5001,"&lt;&gt;")=0,"",SUMIFS(BD!$V$3:$V$5001,BD!$A$3:$A$5001,M$3,BD!$B$3:$B$5001,$A$505)))</f>
        <v/>
      </c>
      <c r="N524" s="205" t="str">
        <f>IF(N$3="","",IF(COUNTIFS(BD!$A$3:$A$5001,N$3,BD!$B$3:$B$5001,$A$505,BD!$V$3:$V$5001,"&lt;&gt;")=0,"",SUMIFS(BD!$V$3:$V$5001,BD!$A$3:$A$5001,N$3,BD!$B$3:$B$5001,$A$505)))</f>
        <v/>
      </c>
      <c r="O524" s="205" t="str">
        <f>IF(O$3="","",IF(COUNTIFS(BD!$A$3:$A$5001,O$3,BD!$B$3:$B$5001,$A$505,BD!$V$3:$V$5001,"&lt;&gt;")=0,"",SUMIFS(BD!$V$3:$V$5001,BD!$A$3:$A$5001,O$3,BD!$B$3:$B$5001,$A$505)))</f>
        <v/>
      </c>
      <c r="P524" s="205" t="str">
        <f>IF(P$3="","",IF(COUNTIFS(BD!$A$3:$A$5001,P$3,BD!$B$3:$B$5001,$A$505,BD!$V$3:$V$5001,"&lt;&gt;")=0,"",SUMIFS(BD!$V$3:$V$5001,BD!$A$3:$A$5001,P$3,BD!$B$3:$B$5001,$A$505)))</f>
        <v/>
      </c>
      <c r="Q524" s="205" t="str">
        <f>IF(Q$3="","",IF(COUNTIFS(BD!$A$3:$A$5001,Q$3,BD!$B$3:$B$5001,$A$505,BD!$V$3:$V$5001,"&lt;&gt;")=0,"",SUMIFS(BD!$V$3:$V$5001,BD!$A$3:$A$5001,Q$3,BD!$B$3:$B$5001,$A$505)))</f>
        <v/>
      </c>
      <c r="R524" s="205" t="str">
        <f>IF(R$3="","",IF(COUNTIFS(BD!$A$3:$A$5001,R$3,BD!$B$3:$B$5001,$A$505,BD!$V$3:$V$5001,"&lt;&gt;")=0,"",SUMIFS(BD!$V$3:$V$5001,BD!$A$3:$A$5001,R$3,BD!$B$3:$B$5001,$A$505)))</f>
        <v/>
      </c>
      <c r="S524" s="205" t="str">
        <f>IF(S$3="","",IF(COUNTIFS(BD!$A$3:$A$5001,S$3,BD!$B$3:$B$5001,$A$505,BD!$V$3:$V$5001,"&lt;&gt;")=0,"",SUMIFS(BD!$V$3:$V$5001,BD!$A$3:$A$5001,S$3,BD!$B$3:$B$5001,$A$505)))</f>
        <v/>
      </c>
      <c r="T524" s="205" t="str">
        <f>IF(T$3="","",IF(COUNTIFS(BD!$A$3:$A$5001,T$3,BD!$B$3:$B$5001,$A$505,BD!$V$3:$V$5001,"&lt;&gt;")=0,"",SUMIFS(BD!$V$3:$V$5001,BD!$A$3:$A$5001,T$3,BD!$B$3:$B$5001,$A$505)))</f>
        <v/>
      </c>
      <c r="U524" s="205" t="str">
        <f>IF(U$3="","",IF(COUNTIFS(BD!$A$3:$A$5001,U$3,BD!$B$3:$B$5001,$A$505,BD!$V$3:$V$5001,"&lt;&gt;")=0,"",SUMIFS(BD!$V$3:$V$5001,BD!$A$3:$A$5001,U$3,BD!$B$3:$B$5001,$A$505)))</f>
        <v/>
      </c>
      <c r="V524" s="205" t="str">
        <f>IF(V$3="","",IF(COUNTIFS(BD!$A$3:$A$5001,V$3,BD!$B$3:$B$5001,$A$505,BD!$V$3:$V$5001,"&lt;&gt;")=0,"",SUMIFS(BD!$V$3:$V$5001,BD!$A$3:$A$5001,V$3,BD!$B$3:$B$5001,$A$505)))</f>
        <v/>
      </c>
      <c r="W524" s="205" t="str">
        <f>IF(W$3="","",IF(COUNTIFS(BD!$A$3:$A$5001,W$3,BD!$B$3:$B$5001,$A$505,BD!$V$3:$V$5001,"&lt;&gt;")=0,"",SUMIFS(BD!$V$3:$V$5001,BD!$A$3:$A$5001,W$3,BD!$B$3:$B$5001,$A$505)))</f>
        <v/>
      </c>
      <c r="X524" s="205" t="str">
        <f>IF(X$3="","",IF(COUNTIFS(BD!$A$3:$A$5001,X$3,BD!$B$3:$B$5001,$A$505,BD!$V$3:$V$5001,"&lt;&gt;")=0,"",SUMIFS(BD!$V$3:$V$5001,BD!$A$3:$A$5001,X$3,BD!$B$3:$B$5001,$A$505)))</f>
        <v/>
      </c>
      <c r="Y524" s="205" t="str">
        <f>IF(Y$3="","",IF(COUNTIFS(BD!$A$3:$A$5001,Y$3,BD!$B$3:$B$5001,$A$505,BD!$V$3:$V$5001,"&lt;&gt;")=0,"",SUMIFS(BD!$V$3:$V$5001,BD!$A$3:$A$5001,Y$3,BD!$B$3:$B$5001,$A$505)))</f>
        <v/>
      </c>
      <c r="Z524" s="205" t="str">
        <f>IF(Z$3="","",IF(COUNTIFS(BD!$A$3:$A$5001,Z$3,BD!$B$3:$B$5001,$A$505,BD!$V$3:$V$5001,"&lt;&gt;")=0,"",SUMIFS(BD!$V$3:$V$5001,BD!$A$3:$A$5001,Z$3,BD!$B$3:$B$5001,$A$505)))</f>
        <v/>
      </c>
      <c r="AA524" s="205" t="str">
        <f>IF(AA$3="","",IF(COUNTIFS(BD!$A$3:$A$5001,AA$3,BD!$B$3:$B$5001,$A$505,BD!$V$3:$V$5001,"&lt;&gt;")=0,"",SUMIFS(BD!$V$3:$V$5001,BD!$A$3:$A$5001,AA$3,BD!$B$3:$B$5001,$A$505)))</f>
        <v/>
      </c>
      <c r="AB524" s="205" t="str">
        <f>IF(AB$3="","",IF(COUNTIFS(BD!$A$3:$A$5001,AB$3,BD!$B$3:$B$5001,$A$505,BD!$V$3:$V$5001,"&lt;&gt;")=0,"",SUMIFS(BD!$V$3:$V$5001,BD!$A$3:$A$5001,AB$3,BD!$B$3:$B$5001,$A$505)))</f>
        <v/>
      </c>
      <c r="AC524" s="205" t="str">
        <f>IF(AC$3="","",IF(COUNTIFS(BD!$A$3:$A$5001,AC$3,BD!$B$3:$B$5001,$A$505,BD!$V$3:$V$5001,"&lt;&gt;")=0,"",SUMIFS(BD!$V$3:$V$5001,BD!$A$3:$A$5001,AC$3,BD!$B$3:$B$5001,$A$505)))</f>
        <v/>
      </c>
      <c r="AD524" s="205" t="str">
        <f>IF(AD$3="","",IF(COUNTIFS(BD!$A$3:$A$5001,AD$3,BD!$B$3:$B$5001,$A$505,BD!$V$3:$V$5001,"&lt;&gt;")=0,"",SUMIFS(BD!$V$3:$V$5001,BD!$A$3:$A$5001,AD$3,BD!$B$3:$B$5001,$A$505)))</f>
        <v/>
      </c>
      <c r="AE524" s="205" t="str">
        <f>IF(AE$3="","",IF(COUNTIFS(BD!$A$3:$A$5001,AE$3,BD!$B$3:$B$5001,$A$505,BD!$V$3:$V$5001,"&lt;&gt;")=0,"",SUMIFS(BD!$V$3:$V$5001,BD!$A$3:$A$5001,AE$3,BD!$B$3:$B$5001,$A$505)))</f>
        <v/>
      </c>
      <c r="AF524" s="205" t="str">
        <f>IF(AF$3="","",IF(COUNTIFS(BD!$A$3:$A$5001,AF$3,BD!$B$3:$B$5001,$A$505,BD!$V$3:$V$5001,"&lt;&gt;")=0,"",SUMIFS(BD!$V$3:$V$5001,BD!$A$3:$A$5001,AF$3,BD!$B$3:$B$5001,$A$505)))</f>
        <v/>
      </c>
      <c r="AG524" s="205" t="str">
        <f>IF(AG$3="","",IF(COUNTIFS(BD!$A$3:$A$5001,AG$3,BD!$B$3:$B$5001,$A$505,BD!$V$3:$V$5001,"&lt;&gt;")=0,"",SUMIFS(BD!$V$3:$V$5001,BD!$A$3:$A$5001,AG$3,BD!$B$3:$B$5001,$A$505)))</f>
        <v/>
      </c>
      <c r="AH524" s="205" t="str">
        <f>IF(AH$3="","",IF(COUNTIFS(BD!$A$3:$A$5001,AH$3,BD!$B$3:$B$5001,$A$505,BD!$V$3:$V$5001,"&lt;&gt;")=0,"",SUMIFS(BD!$V$3:$V$5001,BD!$A$3:$A$5001,AH$3,BD!$B$3:$B$5001,$A$505)))</f>
        <v/>
      </c>
      <c r="AI524" s="205" t="str">
        <f>IF(AI$3="","",IF(COUNTIFS(BD!$A$3:$A$5001,AI$3,BD!$B$3:$B$5001,$A$505,BD!$V$3:$V$5001,"&lt;&gt;")=0,"",SUMIFS(BD!$V$3:$V$5001,BD!$A$3:$A$5001,AI$3,BD!$B$3:$B$5001,$A$505)))</f>
        <v/>
      </c>
      <c r="AJ524" s="206" t="str">
        <f>IF(AJ$3="","",IF(COUNTIFS(BD!$A$3:$A$5001,AJ$3,BD!$B$3:$B$5001,$A$505,BD!$V$3:$V$5001,"&lt;&gt;")=0,"",SUMIFS(BD!$V$3:$V$5001,BD!$A$3:$A$5001,AJ$3,BD!$B$3:$B$5001,$A$505)))</f>
        <v/>
      </c>
      <c r="AK524" s="207" t="str">
        <f>IFERROR(LOOKUP(9.99E+307,F524:AJ524),"")</f>
        <v/>
      </c>
    </row>
    <row r="525" ht="15.75" customHeight="1" hidden="1">
      <c r="A525" s="261"/>
      <c r="B525" s="255"/>
      <c r="C525" s="208" t="inlineStr">
        <is>
          <t xml:space="preserve">Backlog Cliente</t>
        </is>
      </c>
      <c r="D525" s="209" t="str">
        <f>IFERROR(1/(1/INDEX(BD!$AL$43:$BF$43,MATCH($A$505,BD!$AL$22:$BF$22,0))),"")</f>
        <v/>
      </c>
      <c r="E525" s="210"/>
      <c r="F525" s="211" t="str">
        <f>IF(F$3="","",IF(COUNTIFS(BD!$A$3:$A$5001,F$3,BD!$B$3:$B$5001,$A$505,BD!$W$3:$W$5001,"&lt;&gt;")=0,"",SUMIFS(BD!$W$3:$W$5001,BD!$A$3:$A$5001,F$3,BD!$B$3:$B$5001,$A$505)))</f>
        <v/>
      </c>
      <c r="G525" s="212" t="str">
        <f>IF(G$3="","",IF(COUNTIFS(BD!$A$3:$A$5001,G$3,BD!$B$3:$B$5001,$A$505,BD!$W$3:$W$5001,"&lt;&gt;")=0,"",SUMIFS(BD!$W$3:$W$5001,BD!$A$3:$A$5001,G$3,BD!$B$3:$B$5001,$A$505)))</f>
        <v/>
      </c>
      <c r="H525" s="212" t="str">
        <f>IF(H$3="","",IF(COUNTIFS(BD!$A$3:$A$5001,H$3,BD!$B$3:$B$5001,$A$505,BD!$W$3:$W$5001,"&lt;&gt;")=0,"",SUMIFS(BD!$W$3:$W$5001,BD!$A$3:$A$5001,H$3,BD!$B$3:$B$5001,$A$505)))</f>
        <v/>
      </c>
      <c r="I525" s="212" t="str">
        <f>IF(I$3="","",IF(COUNTIFS(BD!$A$3:$A$5001,I$3,BD!$B$3:$B$5001,$A$505,BD!$W$3:$W$5001,"&lt;&gt;")=0,"",SUMIFS(BD!$W$3:$W$5001,BD!$A$3:$A$5001,I$3,BD!$B$3:$B$5001,$A$505)))</f>
        <v/>
      </c>
      <c r="J525" s="212" t="str">
        <f>IF(J$3="","",IF(COUNTIFS(BD!$A$3:$A$5001,J$3,BD!$B$3:$B$5001,$A$505,BD!$W$3:$W$5001,"&lt;&gt;")=0,"",SUMIFS(BD!$W$3:$W$5001,BD!$A$3:$A$5001,J$3,BD!$B$3:$B$5001,$A$505)))</f>
        <v/>
      </c>
      <c r="K525" s="212" t="str">
        <f>IF(K$3="","",IF(COUNTIFS(BD!$A$3:$A$5001,K$3,BD!$B$3:$B$5001,$A$505,BD!$W$3:$W$5001,"&lt;&gt;")=0,"",SUMIFS(BD!$W$3:$W$5001,BD!$A$3:$A$5001,K$3,BD!$B$3:$B$5001,$A$505)))</f>
        <v/>
      </c>
      <c r="L525" s="212" t="str">
        <f>IF(L$3="","",IF(COUNTIFS(BD!$A$3:$A$5001,L$3,BD!$B$3:$B$5001,$A$505,BD!$W$3:$W$5001,"&lt;&gt;")=0,"",SUMIFS(BD!$W$3:$W$5001,BD!$A$3:$A$5001,L$3,BD!$B$3:$B$5001,$A$505)))</f>
        <v/>
      </c>
      <c r="M525" s="212" t="str">
        <f>IF(M$3="","",IF(COUNTIFS(BD!$A$3:$A$5001,M$3,BD!$B$3:$B$5001,$A$505,BD!$W$3:$W$5001,"&lt;&gt;")=0,"",SUMIFS(BD!$W$3:$W$5001,BD!$A$3:$A$5001,M$3,BD!$B$3:$B$5001,$A$505)))</f>
        <v/>
      </c>
      <c r="N525" s="212" t="str">
        <f>IF(N$3="","",IF(COUNTIFS(BD!$A$3:$A$5001,N$3,BD!$B$3:$B$5001,$A$505,BD!$W$3:$W$5001,"&lt;&gt;")=0,"",SUMIFS(BD!$W$3:$W$5001,BD!$A$3:$A$5001,N$3,BD!$B$3:$B$5001,$A$505)))</f>
        <v/>
      </c>
      <c r="O525" s="212" t="str">
        <f>IF(O$3="","",IF(COUNTIFS(BD!$A$3:$A$5001,O$3,BD!$B$3:$B$5001,$A$505,BD!$W$3:$W$5001,"&lt;&gt;")=0,"",SUMIFS(BD!$W$3:$W$5001,BD!$A$3:$A$5001,O$3,BD!$B$3:$B$5001,$A$505)))</f>
        <v/>
      </c>
      <c r="P525" s="212" t="str">
        <f>IF(P$3="","",IF(COUNTIFS(BD!$A$3:$A$5001,P$3,BD!$B$3:$B$5001,$A$505,BD!$W$3:$W$5001,"&lt;&gt;")=0,"",SUMIFS(BD!$W$3:$W$5001,BD!$A$3:$A$5001,P$3,BD!$B$3:$B$5001,$A$505)))</f>
        <v/>
      </c>
      <c r="Q525" s="212" t="str">
        <f>IF(Q$3="","",IF(COUNTIFS(BD!$A$3:$A$5001,Q$3,BD!$B$3:$B$5001,$A$505,BD!$W$3:$W$5001,"&lt;&gt;")=0,"",SUMIFS(BD!$W$3:$W$5001,BD!$A$3:$A$5001,Q$3,BD!$B$3:$B$5001,$A$505)))</f>
        <v/>
      </c>
      <c r="R525" s="212" t="str">
        <f>IF(R$3="","",IF(COUNTIFS(BD!$A$3:$A$5001,R$3,BD!$B$3:$B$5001,$A$505,BD!$W$3:$W$5001,"&lt;&gt;")=0,"",SUMIFS(BD!$W$3:$W$5001,BD!$A$3:$A$5001,R$3,BD!$B$3:$B$5001,$A$505)))</f>
        <v/>
      </c>
      <c r="S525" s="212" t="str">
        <f>IF(S$3="","",IF(COUNTIFS(BD!$A$3:$A$5001,S$3,BD!$B$3:$B$5001,$A$505,BD!$W$3:$W$5001,"&lt;&gt;")=0,"",SUMIFS(BD!$W$3:$W$5001,BD!$A$3:$A$5001,S$3,BD!$B$3:$B$5001,$A$505)))</f>
        <v/>
      </c>
      <c r="T525" s="212" t="str">
        <f>IF(T$3="","",IF(COUNTIFS(BD!$A$3:$A$5001,T$3,BD!$B$3:$B$5001,$A$505,BD!$W$3:$W$5001,"&lt;&gt;")=0,"",SUMIFS(BD!$W$3:$W$5001,BD!$A$3:$A$5001,T$3,BD!$B$3:$B$5001,$A$505)))</f>
        <v/>
      </c>
      <c r="U525" s="212" t="str">
        <f>IF(U$3="","",IF(COUNTIFS(BD!$A$3:$A$5001,U$3,BD!$B$3:$B$5001,$A$505,BD!$W$3:$W$5001,"&lt;&gt;")=0,"",SUMIFS(BD!$W$3:$W$5001,BD!$A$3:$A$5001,U$3,BD!$B$3:$B$5001,$A$505)))</f>
        <v/>
      </c>
      <c r="V525" s="212" t="str">
        <f>IF(V$3="","",IF(COUNTIFS(BD!$A$3:$A$5001,V$3,BD!$B$3:$B$5001,$A$505,BD!$W$3:$W$5001,"&lt;&gt;")=0,"",SUMIFS(BD!$W$3:$W$5001,BD!$A$3:$A$5001,V$3,BD!$B$3:$B$5001,$A$505)))</f>
        <v/>
      </c>
      <c r="W525" s="212" t="str">
        <f>IF(W$3="","",IF(COUNTIFS(BD!$A$3:$A$5001,W$3,BD!$B$3:$B$5001,$A$505,BD!$W$3:$W$5001,"&lt;&gt;")=0,"",SUMIFS(BD!$W$3:$W$5001,BD!$A$3:$A$5001,W$3,BD!$B$3:$B$5001,$A$505)))</f>
        <v/>
      </c>
      <c r="X525" s="212" t="str">
        <f>IF(X$3="","",IF(COUNTIFS(BD!$A$3:$A$5001,X$3,BD!$B$3:$B$5001,$A$505,BD!$W$3:$W$5001,"&lt;&gt;")=0,"",SUMIFS(BD!$W$3:$W$5001,BD!$A$3:$A$5001,X$3,BD!$B$3:$B$5001,$A$505)))</f>
        <v/>
      </c>
      <c r="Y525" s="212" t="str">
        <f>IF(Y$3="","",IF(COUNTIFS(BD!$A$3:$A$5001,Y$3,BD!$B$3:$B$5001,$A$505,BD!$W$3:$W$5001,"&lt;&gt;")=0,"",SUMIFS(BD!$W$3:$W$5001,BD!$A$3:$A$5001,Y$3,BD!$B$3:$B$5001,$A$505)))</f>
        <v/>
      </c>
      <c r="Z525" s="212" t="str">
        <f>IF(Z$3="","",IF(COUNTIFS(BD!$A$3:$A$5001,Z$3,BD!$B$3:$B$5001,$A$505,BD!$W$3:$W$5001,"&lt;&gt;")=0,"",SUMIFS(BD!$W$3:$W$5001,BD!$A$3:$A$5001,Z$3,BD!$B$3:$B$5001,$A$505)))</f>
        <v/>
      </c>
      <c r="AA525" s="212" t="str">
        <f>IF(AA$3="","",IF(COUNTIFS(BD!$A$3:$A$5001,AA$3,BD!$B$3:$B$5001,$A$505,BD!$W$3:$W$5001,"&lt;&gt;")=0,"",SUMIFS(BD!$W$3:$W$5001,BD!$A$3:$A$5001,AA$3,BD!$B$3:$B$5001,$A$505)))</f>
        <v/>
      </c>
      <c r="AB525" s="212" t="str">
        <f>IF(AB$3="","",IF(COUNTIFS(BD!$A$3:$A$5001,AB$3,BD!$B$3:$B$5001,$A$505,BD!$W$3:$W$5001,"&lt;&gt;")=0,"",SUMIFS(BD!$W$3:$W$5001,BD!$A$3:$A$5001,AB$3,BD!$B$3:$B$5001,$A$505)))</f>
        <v/>
      </c>
      <c r="AC525" s="212" t="str">
        <f>IF(AC$3="","",IF(COUNTIFS(BD!$A$3:$A$5001,AC$3,BD!$B$3:$B$5001,$A$505,BD!$W$3:$W$5001,"&lt;&gt;")=0,"",SUMIFS(BD!$W$3:$W$5001,BD!$A$3:$A$5001,AC$3,BD!$B$3:$B$5001,$A$505)))</f>
        <v/>
      </c>
      <c r="AD525" s="212" t="str">
        <f>IF(AD$3="","",IF(COUNTIFS(BD!$A$3:$A$5001,AD$3,BD!$B$3:$B$5001,$A$505,BD!$W$3:$W$5001,"&lt;&gt;")=0,"",SUMIFS(BD!$W$3:$W$5001,BD!$A$3:$A$5001,AD$3,BD!$B$3:$B$5001,$A$505)))</f>
        <v/>
      </c>
      <c r="AE525" s="212" t="str">
        <f>IF(AE$3="","",IF(COUNTIFS(BD!$A$3:$A$5001,AE$3,BD!$B$3:$B$5001,$A$505,BD!$W$3:$W$5001,"&lt;&gt;")=0,"",SUMIFS(BD!$W$3:$W$5001,BD!$A$3:$A$5001,AE$3,BD!$B$3:$B$5001,$A$505)))</f>
        <v/>
      </c>
      <c r="AF525" s="212" t="str">
        <f>IF(AF$3="","",IF(COUNTIFS(BD!$A$3:$A$5001,AF$3,BD!$B$3:$B$5001,$A$505,BD!$W$3:$W$5001,"&lt;&gt;")=0,"",SUMIFS(BD!$W$3:$W$5001,BD!$A$3:$A$5001,AF$3,BD!$B$3:$B$5001,$A$505)))</f>
        <v/>
      </c>
      <c r="AG525" s="212" t="str">
        <f>IF(AG$3="","",IF(COUNTIFS(BD!$A$3:$A$5001,AG$3,BD!$B$3:$B$5001,$A$505,BD!$W$3:$W$5001,"&lt;&gt;")=0,"",SUMIFS(BD!$W$3:$W$5001,BD!$A$3:$A$5001,AG$3,BD!$B$3:$B$5001,$A$505)))</f>
        <v/>
      </c>
      <c r="AH525" s="212" t="str">
        <f>IF(AH$3="","",IF(COUNTIFS(BD!$A$3:$A$5001,AH$3,BD!$B$3:$B$5001,$A$505,BD!$W$3:$W$5001,"&lt;&gt;")=0,"",SUMIFS(BD!$W$3:$W$5001,BD!$A$3:$A$5001,AH$3,BD!$B$3:$B$5001,$A$505)))</f>
        <v/>
      </c>
      <c r="AI525" s="212" t="str">
        <f>IF(AI$3="","",IF(COUNTIFS(BD!$A$3:$A$5001,AI$3,BD!$B$3:$B$5001,$A$505,BD!$W$3:$W$5001,"&lt;&gt;")=0,"",SUMIFS(BD!$W$3:$W$5001,BD!$A$3:$A$5001,AI$3,BD!$B$3:$B$5001,$A$505)))</f>
        <v/>
      </c>
      <c r="AJ525" s="213" t="str">
        <f>IF(AJ$3="","",IF(COUNTIFS(BD!$A$3:$A$5001,AJ$3,BD!$B$3:$B$5001,$A$505,BD!$W$3:$W$5001,"&lt;&gt;")=0,"",SUMIFS(BD!$W$3:$W$5001,BD!$A$3:$A$5001,AJ$3,BD!$B$3:$B$5001,$A$505)))</f>
        <v/>
      </c>
      <c r="AK525" s="209" t="str">
        <f>IFERROR(LOOKUP(9.99E+307,F525:AJ525),"")</f>
        <v/>
      </c>
    </row>
    <row r="526" ht="15.75" customHeight="1" hidden="1">
      <c r="A526" s="261"/>
      <c r="B526" s="249" t="inlineStr">
        <is>
          <t xml:space="preserve">OCUPAÇÃO (P.P)</t>
        </is>
      </c>
      <c r="C526" s="168" t="inlineStr">
        <is>
          <t xml:space="preserve">Posições Disponíveis</t>
        </is>
      </c>
      <c r="D526" s="169" t="str">
        <f>IFERROR(1/(1/INDEX(BD!$AL$44:$BF$44,MATCH($A$505,BD!$AL$22:$BF$22,0))),"")</f>
        <v/>
      </c>
      <c r="E526" s="170"/>
      <c r="F526" s="171" t="str">
        <f>IF(F$3="","",IF(COUNTIFS(BD!$A$3:$A$5001,F$3,BD!$B$3:$B$5001,$A$505,BD!$X$3:$X$5001,"&lt;&gt;")=0,"",SUMIFS(BD!$X$3:$X$5001,BD!$A$3:$A$5001,F$3,BD!$B$3:$B$5001,$A$505)))</f>
        <v/>
      </c>
      <c r="G526" s="172" t="str">
        <f>IF(G$3="","",IF(COUNTIFS(BD!$A$3:$A$5001,G$3,BD!$B$3:$B$5001,$A$505,BD!$X$3:$X$5001,"&lt;&gt;")=0,"",SUMIFS(BD!$X$3:$X$5001,BD!$A$3:$A$5001,G$3,BD!$B$3:$B$5001,$A$505)))</f>
        <v/>
      </c>
      <c r="H526" s="172" t="str">
        <f>IF(H$3="","",IF(COUNTIFS(BD!$A$3:$A$5001,H$3,BD!$B$3:$B$5001,$A$505,BD!$X$3:$X$5001,"&lt;&gt;")=0,"",SUMIFS(BD!$X$3:$X$5001,BD!$A$3:$A$5001,H$3,BD!$B$3:$B$5001,$A$505)))</f>
        <v/>
      </c>
      <c r="I526" s="172" t="str">
        <f>IF(I$3="","",IF(COUNTIFS(BD!$A$3:$A$5001,I$3,BD!$B$3:$B$5001,$A$505,BD!$X$3:$X$5001,"&lt;&gt;")=0,"",SUMIFS(BD!$X$3:$X$5001,BD!$A$3:$A$5001,I$3,BD!$B$3:$B$5001,$A$505)))</f>
        <v/>
      </c>
      <c r="J526" s="172" t="str">
        <f>IF(J$3="","",IF(COUNTIFS(BD!$A$3:$A$5001,J$3,BD!$B$3:$B$5001,$A$505,BD!$X$3:$X$5001,"&lt;&gt;")=0,"",SUMIFS(BD!$X$3:$X$5001,BD!$A$3:$A$5001,J$3,BD!$B$3:$B$5001,$A$505)))</f>
        <v/>
      </c>
      <c r="K526" s="172" t="str">
        <f>IF(K$3="","",IF(COUNTIFS(BD!$A$3:$A$5001,K$3,BD!$B$3:$B$5001,$A$505,BD!$X$3:$X$5001,"&lt;&gt;")=0,"",SUMIFS(BD!$X$3:$X$5001,BD!$A$3:$A$5001,K$3,BD!$B$3:$B$5001,$A$505)))</f>
        <v/>
      </c>
      <c r="L526" s="172" t="str">
        <f>IF(L$3="","",IF(COUNTIFS(BD!$A$3:$A$5001,L$3,BD!$B$3:$B$5001,$A$505,BD!$X$3:$X$5001,"&lt;&gt;")=0,"",SUMIFS(BD!$X$3:$X$5001,BD!$A$3:$A$5001,L$3,BD!$B$3:$B$5001,$A$505)))</f>
        <v/>
      </c>
      <c r="M526" s="172" t="str">
        <f>IF(M$3="","",IF(COUNTIFS(BD!$A$3:$A$5001,M$3,BD!$B$3:$B$5001,$A$505,BD!$X$3:$X$5001,"&lt;&gt;")=0,"",SUMIFS(BD!$X$3:$X$5001,BD!$A$3:$A$5001,M$3,BD!$B$3:$B$5001,$A$505)))</f>
        <v/>
      </c>
      <c r="N526" s="172" t="str">
        <f>IF(N$3="","",IF(COUNTIFS(BD!$A$3:$A$5001,N$3,BD!$B$3:$B$5001,$A$505,BD!$X$3:$X$5001,"&lt;&gt;")=0,"",SUMIFS(BD!$X$3:$X$5001,BD!$A$3:$A$5001,N$3,BD!$B$3:$B$5001,$A$505)))</f>
        <v/>
      </c>
      <c r="O526" s="172" t="str">
        <f>IF(O$3="","",IF(COUNTIFS(BD!$A$3:$A$5001,O$3,BD!$B$3:$B$5001,$A$505,BD!$X$3:$X$5001,"&lt;&gt;")=0,"",SUMIFS(BD!$X$3:$X$5001,BD!$A$3:$A$5001,O$3,BD!$B$3:$B$5001,$A$505)))</f>
        <v/>
      </c>
      <c r="P526" s="172" t="str">
        <f>IF(P$3="","",IF(COUNTIFS(BD!$A$3:$A$5001,P$3,BD!$B$3:$B$5001,$A$505,BD!$X$3:$X$5001,"&lt;&gt;")=0,"",SUMIFS(BD!$X$3:$X$5001,BD!$A$3:$A$5001,P$3,BD!$B$3:$B$5001,$A$505)))</f>
        <v/>
      </c>
      <c r="Q526" s="172" t="str">
        <f>IF(Q$3="","",IF(COUNTIFS(BD!$A$3:$A$5001,Q$3,BD!$B$3:$B$5001,$A$505,BD!$X$3:$X$5001,"&lt;&gt;")=0,"",SUMIFS(BD!$X$3:$X$5001,BD!$A$3:$A$5001,Q$3,BD!$B$3:$B$5001,$A$505)))</f>
        <v/>
      </c>
      <c r="R526" s="172" t="str">
        <f>IF(R$3="","",IF(COUNTIFS(BD!$A$3:$A$5001,R$3,BD!$B$3:$B$5001,$A$505,BD!$X$3:$X$5001,"&lt;&gt;")=0,"",SUMIFS(BD!$X$3:$X$5001,BD!$A$3:$A$5001,R$3,BD!$B$3:$B$5001,$A$505)))</f>
        <v/>
      </c>
      <c r="S526" s="172" t="str">
        <f>IF(S$3="","",IF(COUNTIFS(BD!$A$3:$A$5001,S$3,BD!$B$3:$B$5001,$A$505,BD!$X$3:$X$5001,"&lt;&gt;")=0,"",SUMIFS(BD!$X$3:$X$5001,BD!$A$3:$A$5001,S$3,BD!$B$3:$B$5001,$A$505)))</f>
        <v/>
      </c>
      <c r="T526" s="172" t="str">
        <f>IF(T$3="","",IF(COUNTIFS(BD!$A$3:$A$5001,T$3,BD!$B$3:$B$5001,$A$505,BD!$X$3:$X$5001,"&lt;&gt;")=0,"",SUMIFS(BD!$X$3:$X$5001,BD!$A$3:$A$5001,T$3,BD!$B$3:$B$5001,$A$505)))</f>
        <v/>
      </c>
      <c r="U526" s="172" t="str">
        <f>IF(U$3="","",IF(COUNTIFS(BD!$A$3:$A$5001,U$3,BD!$B$3:$B$5001,$A$505,BD!$X$3:$X$5001,"&lt;&gt;")=0,"",SUMIFS(BD!$X$3:$X$5001,BD!$A$3:$A$5001,U$3,BD!$B$3:$B$5001,$A$505)))</f>
        <v/>
      </c>
      <c r="V526" s="172" t="str">
        <f>IF(V$3="","",IF(COUNTIFS(BD!$A$3:$A$5001,V$3,BD!$B$3:$B$5001,$A$505,BD!$X$3:$X$5001,"&lt;&gt;")=0,"",SUMIFS(BD!$X$3:$X$5001,BD!$A$3:$A$5001,V$3,BD!$B$3:$B$5001,$A$505)))</f>
        <v/>
      </c>
      <c r="W526" s="172" t="str">
        <f>IF(W$3="","",IF(COUNTIFS(BD!$A$3:$A$5001,W$3,BD!$B$3:$B$5001,$A$505,BD!$X$3:$X$5001,"&lt;&gt;")=0,"",SUMIFS(BD!$X$3:$X$5001,BD!$A$3:$A$5001,W$3,BD!$B$3:$B$5001,$A$505)))</f>
        <v/>
      </c>
      <c r="X526" s="172" t="str">
        <f>IF(X$3="","",IF(COUNTIFS(BD!$A$3:$A$5001,X$3,BD!$B$3:$B$5001,$A$505,BD!$X$3:$X$5001,"&lt;&gt;")=0,"",SUMIFS(BD!$X$3:$X$5001,BD!$A$3:$A$5001,X$3,BD!$B$3:$B$5001,$A$505)))</f>
        <v/>
      </c>
      <c r="Y526" s="172" t="str">
        <f>IF(Y$3="","",IF(COUNTIFS(BD!$A$3:$A$5001,Y$3,BD!$B$3:$B$5001,$A$505,BD!$X$3:$X$5001,"&lt;&gt;")=0,"",SUMIFS(BD!$X$3:$X$5001,BD!$A$3:$A$5001,Y$3,BD!$B$3:$B$5001,$A$505)))</f>
        <v/>
      </c>
      <c r="Z526" s="172" t="str">
        <f>IF(Z$3="","",IF(COUNTIFS(BD!$A$3:$A$5001,Z$3,BD!$B$3:$B$5001,$A$505,BD!$X$3:$X$5001,"&lt;&gt;")=0,"",SUMIFS(BD!$X$3:$X$5001,BD!$A$3:$A$5001,Z$3,BD!$B$3:$B$5001,$A$505)))</f>
        <v/>
      </c>
      <c r="AA526" s="172" t="str">
        <f>IF(AA$3="","",IF(COUNTIFS(BD!$A$3:$A$5001,AA$3,BD!$B$3:$B$5001,$A$505,BD!$X$3:$X$5001,"&lt;&gt;")=0,"",SUMIFS(BD!$X$3:$X$5001,BD!$A$3:$A$5001,AA$3,BD!$B$3:$B$5001,$A$505)))</f>
        <v/>
      </c>
      <c r="AB526" s="172" t="str">
        <f>IF(AB$3="","",IF(COUNTIFS(BD!$A$3:$A$5001,AB$3,BD!$B$3:$B$5001,$A$505,BD!$X$3:$X$5001,"&lt;&gt;")=0,"",SUMIFS(BD!$X$3:$X$5001,BD!$A$3:$A$5001,AB$3,BD!$B$3:$B$5001,$A$505)))</f>
        <v/>
      </c>
      <c r="AC526" s="172" t="str">
        <f>IF(AC$3="","",IF(COUNTIFS(BD!$A$3:$A$5001,AC$3,BD!$B$3:$B$5001,$A$505,BD!$X$3:$X$5001,"&lt;&gt;")=0,"",SUMIFS(BD!$X$3:$X$5001,BD!$A$3:$A$5001,AC$3,BD!$B$3:$B$5001,$A$505)))</f>
        <v/>
      </c>
      <c r="AD526" s="172" t="str">
        <f>IF(AD$3="","",IF(COUNTIFS(BD!$A$3:$A$5001,AD$3,BD!$B$3:$B$5001,$A$505,BD!$X$3:$X$5001,"&lt;&gt;")=0,"",SUMIFS(BD!$X$3:$X$5001,BD!$A$3:$A$5001,AD$3,BD!$B$3:$B$5001,$A$505)))</f>
        <v/>
      </c>
      <c r="AE526" s="172" t="str">
        <f>IF(AE$3="","",IF(COUNTIFS(BD!$A$3:$A$5001,AE$3,BD!$B$3:$B$5001,$A$505,BD!$X$3:$X$5001,"&lt;&gt;")=0,"",SUMIFS(BD!$X$3:$X$5001,BD!$A$3:$A$5001,AE$3,BD!$B$3:$B$5001,$A$505)))</f>
        <v/>
      </c>
      <c r="AF526" s="172" t="str">
        <f>IF(AF$3="","",IF(COUNTIFS(BD!$A$3:$A$5001,AF$3,BD!$B$3:$B$5001,$A$505,BD!$X$3:$X$5001,"&lt;&gt;")=0,"",SUMIFS(BD!$X$3:$X$5001,BD!$A$3:$A$5001,AF$3,BD!$B$3:$B$5001,$A$505)))</f>
        <v/>
      </c>
      <c r="AG526" s="172" t="str">
        <f>IF(AG$3="","",IF(COUNTIFS(BD!$A$3:$A$5001,AG$3,BD!$B$3:$B$5001,$A$505,BD!$X$3:$X$5001,"&lt;&gt;")=0,"",SUMIFS(BD!$X$3:$X$5001,BD!$A$3:$A$5001,AG$3,BD!$B$3:$B$5001,$A$505)))</f>
        <v/>
      </c>
      <c r="AH526" s="172" t="str">
        <f>IF(AH$3="","",IF(COUNTIFS(BD!$A$3:$A$5001,AH$3,BD!$B$3:$B$5001,$A$505,BD!$X$3:$X$5001,"&lt;&gt;")=0,"",SUMIFS(BD!$X$3:$X$5001,BD!$A$3:$A$5001,AH$3,BD!$B$3:$B$5001,$A$505)))</f>
        <v/>
      </c>
      <c r="AI526" s="172" t="str">
        <f>IF(AI$3="","",IF(COUNTIFS(BD!$A$3:$A$5001,AI$3,BD!$B$3:$B$5001,$A$505,BD!$X$3:$X$5001,"&lt;&gt;")=0,"",SUMIFS(BD!$X$3:$X$5001,BD!$A$3:$A$5001,AI$3,BD!$B$3:$B$5001,$A$505)))</f>
        <v/>
      </c>
      <c r="AJ526" s="173" t="str">
        <f>IF(AJ$3="","",IF(COUNTIFS(BD!$A$3:$A$5001,AJ$3,BD!$B$3:$B$5001,$A$505,BD!$X$3:$X$5001,"&lt;&gt;")=0,"",SUMIFS(BD!$X$3:$X$5001,BD!$A$3:$A$5001,AJ$3,BD!$B$3:$B$5001,$A$505)))</f>
        <v/>
      </c>
      <c r="AK526" s="174" t="str">
        <f>IF(COUNT(F526:AJ526)&gt;0,LOOKUP(9.99E+307,F526:AJ526),IFERROR(IF(INDEX(BD!$AI$3:$AI$5001,MATCH($A$505,BD!$B$3:$B$5001,0))&amp;""="Contrato","",INDEX(BD!$AI$3:$AI$5001,MATCH($A$505,BD!$B$3:$B$5001,0))&amp;""),""))</f>
        <v/>
      </c>
    </row>
    <row r="527" ht="15.75" customHeight="1" hidden="1">
      <c r="A527" s="261"/>
      <c r="B527" s="256"/>
      <c r="C527" s="214" t="inlineStr">
        <is>
          <t xml:space="preserve">Posições Ocupadas</t>
        </is>
      </c>
      <c r="D527" s="215" t="str">
        <f>IFERROR(1/(1/INDEX(BD!$AL$45:$BF$45,MATCH($A$505,BD!$AL$22:$BF$22,0))),"")</f>
        <v/>
      </c>
      <c r="E527" s="216"/>
      <c r="F527" s="217" t="str">
        <f>IF(F$3="","",IF(COUNTIFS(BD!$A$3:$A$5001,F$3,BD!$B$3:$B$5001,$A$505,BD!$Y$3:$Y$5001,"&lt;&gt;")=0,"",SUMIFS(BD!$Y$3:$Y$5001,BD!$A$3:$A$5001,F$3,BD!$B$3:$B$5001,$A$505)))</f>
        <v/>
      </c>
      <c r="G527" s="218" t="str">
        <f>IF(G$3="","",IF(COUNTIFS(BD!$A$3:$A$5001,G$3,BD!$B$3:$B$5001,$A$505,BD!$Y$3:$Y$5001,"&lt;&gt;")=0,"",SUMIFS(BD!$Y$3:$Y$5001,BD!$A$3:$A$5001,G$3,BD!$B$3:$B$5001,$A$505)))</f>
        <v/>
      </c>
      <c r="H527" s="218" t="str">
        <f>IF(H$3="","",IF(COUNTIFS(BD!$A$3:$A$5001,H$3,BD!$B$3:$B$5001,$A$505,BD!$Y$3:$Y$5001,"&lt;&gt;")=0,"",SUMIFS(BD!$Y$3:$Y$5001,BD!$A$3:$A$5001,H$3,BD!$B$3:$B$5001,$A$505)))</f>
        <v/>
      </c>
      <c r="I527" s="218" t="str">
        <f>IF(I$3="","",IF(COUNTIFS(BD!$A$3:$A$5001,I$3,BD!$B$3:$B$5001,$A$505,BD!$Y$3:$Y$5001,"&lt;&gt;")=0,"",SUMIFS(BD!$Y$3:$Y$5001,BD!$A$3:$A$5001,I$3,BD!$B$3:$B$5001,$A$505)))</f>
        <v/>
      </c>
      <c r="J527" s="218" t="str">
        <f>IF(J$3="","",IF(COUNTIFS(BD!$A$3:$A$5001,J$3,BD!$B$3:$B$5001,$A$505,BD!$Y$3:$Y$5001,"&lt;&gt;")=0,"",SUMIFS(BD!$Y$3:$Y$5001,BD!$A$3:$A$5001,J$3,BD!$B$3:$B$5001,$A$505)))</f>
        <v/>
      </c>
      <c r="K527" s="218" t="str">
        <f>IF(K$3="","",IF(COUNTIFS(BD!$A$3:$A$5001,K$3,BD!$B$3:$B$5001,$A$505,BD!$Y$3:$Y$5001,"&lt;&gt;")=0,"",SUMIFS(BD!$Y$3:$Y$5001,BD!$A$3:$A$5001,K$3,BD!$B$3:$B$5001,$A$505)))</f>
        <v/>
      </c>
      <c r="L527" s="218" t="str">
        <f>IF(L$3="","",IF(COUNTIFS(BD!$A$3:$A$5001,L$3,BD!$B$3:$B$5001,$A$505,BD!$Y$3:$Y$5001,"&lt;&gt;")=0,"",SUMIFS(BD!$Y$3:$Y$5001,BD!$A$3:$A$5001,L$3,BD!$B$3:$B$5001,$A$505)))</f>
        <v/>
      </c>
      <c r="M527" s="218" t="str">
        <f>IF(M$3="","",IF(COUNTIFS(BD!$A$3:$A$5001,M$3,BD!$B$3:$B$5001,$A$505,BD!$Y$3:$Y$5001,"&lt;&gt;")=0,"",SUMIFS(BD!$Y$3:$Y$5001,BD!$A$3:$A$5001,M$3,BD!$B$3:$B$5001,$A$505)))</f>
        <v/>
      </c>
      <c r="N527" s="218" t="str">
        <f>IF(N$3="","",IF(COUNTIFS(BD!$A$3:$A$5001,N$3,BD!$B$3:$B$5001,$A$505,BD!$Y$3:$Y$5001,"&lt;&gt;")=0,"",SUMIFS(BD!$Y$3:$Y$5001,BD!$A$3:$A$5001,N$3,BD!$B$3:$B$5001,$A$505)))</f>
        <v/>
      </c>
      <c r="O527" s="218" t="str">
        <f>IF(O$3="","",IF(COUNTIFS(BD!$A$3:$A$5001,O$3,BD!$B$3:$B$5001,$A$505,BD!$Y$3:$Y$5001,"&lt;&gt;")=0,"",SUMIFS(BD!$Y$3:$Y$5001,BD!$A$3:$A$5001,O$3,BD!$B$3:$B$5001,$A$505)))</f>
        <v/>
      </c>
      <c r="P527" s="218" t="str">
        <f>IF(P$3="","",IF(COUNTIFS(BD!$A$3:$A$5001,P$3,BD!$B$3:$B$5001,$A$505,BD!$Y$3:$Y$5001,"&lt;&gt;")=0,"",SUMIFS(BD!$Y$3:$Y$5001,BD!$A$3:$A$5001,P$3,BD!$B$3:$B$5001,$A$505)))</f>
        <v/>
      </c>
      <c r="Q527" s="218" t="str">
        <f>IF(Q$3="","",IF(COUNTIFS(BD!$A$3:$A$5001,Q$3,BD!$B$3:$B$5001,$A$505,BD!$Y$3:$Y$5001,"&lt;&gt;")=0,"",SUMIFS(BD!$Y$3:$Y$5001,BD!$A$3:$A$5001,Q$3,BD!$B$3:$B$5001,$A$505)))</f>
        <v/>
      </c>
      <c r="R527" s="218" t="str">
        <f>IF(R$3="","",IF(COUNTIFS(BD!$A$3:$A$5001,R$3,BD!$B$3:$B$5001,$A$505,BD!$Y$3:$Y$5001,"&lt;&gt;")=0,"",SUMIFS(BD!$Y$3:$Y$5001,BD!$A$3:$A$5001,R$3,BD!$B$3:$B$5001,$A$505)))</f>
        <v/>
      </c>
      <c r="S527" s="218" t="str">
        <f>IF(S$3="","",IF(COUNTIFS(BD!$A$3:$A$5001,S$3,BD!$B$3:$B$5001,$A$505,BD!$Y$3:$Y$5001,"&lt;&gt;")=0,"",SUMIFS(BD!$Y$3:$Y$5001,BD!$A$3:$A$5001,S$3,BD!$B$3:$B$5001,$A$505)))</f>
        <v/>
      </c>
      <c r="T527" s="218" t="str">
        <f>IF(T$3="","",IF(COUNTIFS(BD!$A$3:$A$5001,T$3,BD!$B$3:$B$5001,$A$505,BD!$Y$3:$Y$5001,"&lt;&gt;")=0,"",SUMIFS(BD!$Y$3:$Y$5001,BD!$A$3:$A$5001,T$3,BD!$B$3:$B$5001,$A$505)))</f>
        <v/>
      </c>
      <c r="U527" s="218" t="str">
        <f>IF(U$3="","",IF(COUNTIFS(BD!$A$3:$A$5001,U$3,BD!$B$3:$B$5001,$A$505,BD!$Y$3:$Y$5001,"&lt;&gt;")=0,"",SUMIFS(BD!$Y$3:$Y$5001,BD!$A$3:$A$5001,U$3,BD!$B$3:$B$5001,$A$505)))</f>
        <v/>
      </c>
      <c r="V527" s="218" t="str">
        <f>IF(V$3="","",IF(COUNTIFS(BD!$A$3:$A$5001,V$3,BD!$B$3:$B$5001,$A$505,BD!$Y$3:$Y$5001,"&lt;&gt;")=0,"",SUMIFS(BD!$Y$3:$Y$5001,BD!$A$3:$A$5001,V$3,BD!$B$3:$B$5001,$A$505)))</f>
        <v/>
      </c>
      <c r="W527" s="218" t="str">
        <f>IF(W$3="","",IF(COUNTIFS(BD!$A$3:$A$5001,W$3,BD!$B$3:$B$5001,$A$505,BD!$Y$3:$Y$5001,"&lt;&gt;")=0,"",SUMIFS(BD!$Y$3:$Y$5001,BD!$A$3:$A$5001,W$3,BD!$B$3:$B$5001,$A$505)))</f>
        <v/>
      </c>
      <c r="X527" s="218" t="str">
        <f>IF(X$3="","",IF(COUNTIFS(BD!$A$3:$A$5001,X$3,BD!$B$3:$B$5001,$A$505,BD!$Y$3:$Y$5001,"&lt;&gt;")=0,"",SUMIFS(BD!$Y$3:$Y$5001,BD!$A$3:$A$5001,X$3,BD!$B$3:$B$5001,$A$505)))</f>
        <v/>
      </c>
      <c r="Y527" s="218" t="str">
        <f>IF(Y$3="","",IF(COUNTIFS(BD!$A$3:$A$5001,Y$3,BD!$B$3:$B$5001,$A$505,BD!$Y$3:$Y$5001,"&lt;&gt;")=0,"",SUMIFS(BD!$Y$3:$Y$5001,BD!$A$3:$A$5001,Y$3,BD!$B$3:$B$5001,$A$505)))</f>
        <v/>
      </c>
      <c r="Z527" s="218" t="str">
        <f>IF(Z$3="","",IF(COUNTIFS(BD!$A$3:$A$5001,Z$3,BD!$B$3:$B$5001,$A$505,BD!$Y$3:$Y$5001,"&lt;&gt;")=0,"",SUMIFS(BD!$Y$3:$Y$5001,BD!$A$3:$A$5001,Z$3,BD!$B$3:$B$5001,$A$505)))</f>
        <v/>
      </c>
      <c r="AA527" s="218" t="str">
        <f>IF(AA$3="","",IF(COUNTIFS(BD!$A$3:$A$5001,AA$3,BD!$B$3:$B$5001,$A$505,BD!$Y$3:$Y$5001,"&lt;&gt;")=0,"",SUMIFS(BD!$Y$3:$Y$5001,BD!$A$3:$A$5001,AA$3,BD!$B$3:$B$5001,$A$505)))</f>
        <v/>
      </c>
      <c r="AB527" s="218" t="str">
        <f>IF(AB$3="","",IF(COUNTIFS(BD!$A$3:$A$5001,AB$3,BD!$B$3:$B$5001,$A$505,BD!$Y$3:$Y$5001,"&lt;&gt;")=0,"",SUMIFS(BD!$Y$3:$Y$5001,BD!$A$3:$A$5001,AB$3,BD!$B$3:$B$5001,$A$505)))</f>
        <v/>
      </c>
      <c r="AC527" s="218" t="str">
        <f>IF(AC$3="","",IF(COUNTIFS(BD!$A$3:$A$5001,AC$3,BD!$B$3:$B$5001,$A$505,BD!$Y$3:$Y$5001,"&lt;&gt;")=0,"",SUMIFS(BD!$Y$3:$Y$5001,BD!$A$3:$A$5001,AC$3,BD!$B$3:$B$5001,$A$505)))</f>
        <v/>
      </c>
      <c r="AD527" s="218" t="str">
        <f>IF(AD$3="","",IF(COUNTIFS(BD!$A$3:$A$5001,AD$3,BD!$B$3:$B$5001,$A$505,BD!$Y$3:$Y$5001,"&lt;&gt;")=0,"",SUMIFS(BD!$Y$3:$Y$5001,BD!$A$3:$A$5001,AD$3,BD!$B$3:$B$5001,$A$505)))</f>
        <v/>
      </c>
      <c r="AE527" s="218" t="str">
        <f>IF(AE$3="","",IF(COUNTIFS(BD!$A$3:$A$5001,AE$3,BD!$B$3:$B$5001,$A$505,BD!$Y$3:$Y$5001,"&lt;&gt;")=0,"",SUMIFS(BD!$Y$3:$Y$5001,BD!$A$3:$A$5001,AE$3,BD!$B$3:$B$5001,$A$505)))</f>
        <v/>
      </c>
      <c r="AF527" s="218" t="str">
        <f>IF(AF$3="","",IF(COUNTIFS(BD!$A$3:$A$5001,AF$3,BD!$B$3:$B$5001,$A$505,BD!$Y$3:$Y$5001,"&lt;&gt;")=0,"",SUMIFS(BD!$Y$3:$Y$5001,BD!$A$3:$A$5001,AF$3,BD!$B$3:$B$5001,$A$505)))</f>
        <v/>
      </c>
      <c r="AG527" s="218" t="str">
        <f>IF(AG$3="","",IF(COUNTIFS(BD!$A$3:$A$5001,AG$3,BD!$B$3:$B$5001,$A$505,BD!$Y$3:$Y$5001,"&lt;&gt;")=0,"",SUMIFS(BD!$Y$3:$Y$5001,BD!$A$3:$A$5001,AG$3,BD!$B$3:$B$5001,$A$505)))</f>
        <v/>
      </c>
      <c r="AH527" s="218" t="str">
        <f>IF(AH$3="","",IF(COUNTIFS(BD!$A$3:$A$5001,AH$3,BD!$B$3:$B$5001,$A$505,BD!$Y$3:$Y$5001,"&lt;&gt;")=0,"",SUMIFS(BD!$Y$3:$Y$5001,BD!$A$3:$A$5001,AH$3,BD!$B$3:$B$5001,$A$505)))</f>
        <v/>
      </c>
      <c r="AI527" s="218" t="str">
        <f>IF(AI$3="","",IF(COUNTIFS(BD!$A$3:$A$5001,AI$3,BD!$B$3:$B$5001,$A$505,BD!$Y$3:$Y$5001,"&lt;&gt;")=0,"",SUMIFS(BD!$Y$3:$Y$5001,BD!$A$3:$A$5001,AI$3,BD!$B$3:$B$5001,$A$505)))</f>
        <v/>
      </c>
      <c r="AJ527" s="219" t="str">
        <f>IF(AJ$3="","",IF(COUNTIFS(BD!$A$3:$A$5001,AJ$3,BD!$B$3:$B$5001,$A$505,BD!$Y$3:$Y$5001,"&lt;&gt;")=0,"",SUMIFS(BD!$Y$3:$Y$5001,BD!$A$3:$A$5001,AJ$3,BD!$B$3:$B$5001,$A$505)))</f>
        <v/>
      </c>
      <c r="AK527" s="220" t="str">
        <f>IFERROR(LOOKUP(9.99E+307,F527:AJ527),"")</f>
        <v/>
      </c>
    </row>
    <row r="528" ht="15.75" customHeight="1" hidden="1">
      <c r="A528" s="261"/>
      <c r="B528" s="250"/>
      <c r="C528" s="175" t="inlineStr">
        <is>
          <t xml:space="preserve">Taxa de Ocupação</t>
        </is>
      </c>
      <c r="D528" s="221" t="str">
        <f>IFERROR(1/(1/INDEX(BD!$AL$46:$BF$46,MATCH($A$505,BD!$AL$22:$BF$22,0))),"")</f>
        <v/>
      </c>
      <c r="E528" s="177"/>
      <c r="F528" s="222" t="str">
        <f>IF(AND(ISNUMBER(F526),ISNUMBER(F527)),IF(F526&gt;0,F527/F526,""),"")</f>
        <v/>
      </c>
      <c r="G528" s="223" t="str">
        <f>IF(AND(ISNUMBER(G526),ISNUMBER(G527)),IF(G526&gt;0,G527/G526,""),"")</f>
        <v/>
      </c>
      <c r="H528" s="223" t="str">
        <f>IF(AND(ISNUMBER(H526),ISNUMBER(H527)),IF(H526&gt;0,H527/H526,""),"")</f>
        <v/>
      </c>
      <c r="I528" s="223" t="str">
        <f>IF(AND(ISNUMBER(I526),ISNUMBER(I527)),IF(I526&gt;0,I527/I526,""),"")</f>
        <v/>
      </c>
      <c r="J528" s="223" t="str">
        <f>IF(AND(ISNUMBER(J526),ISNUMBER(J527)),IF(J526&gt;0,J527/J526,""),"")</f>
        <v/>
      </c>
      <c r="K528" s="223" t="str">
        <f>IF(AND(ISNUMBER(K526),ISNUMBER(K527)),IF(K526&gt;0,K527/K526,""),"")</f>
        <v/>
      </c>
      <c r="L528" s="223" t="str">
        <f>IF(AND(ISNUMBER(L526),ISNUMBER(L527)),IF(L526&gt;0,L527/L526,""),"")</f>
        <v/>
      </c>
      <c r="M528" s="223" t="str">
        <f>IF(AND(ISNUMBER(M526),ISNUMBER(M527)),IF(M526&gt;0,M527/M526,""),"")</f>
        <v/>
      </c>
      <c r="N528" s="223" t="str">
        <f>IF(AND(ISNUMBER(N526),ISNUMBER(N527)),IF(N526&gt;0,N527/N526,""),"")</f>
        <v/>
      </c>
      <c r="O528" s="223" t="str">
        <f>IF(AND(ISNUMBER(O526),ISNUMBER(O527)),IF(O526&gt;0,O527/O526,""),"")</f>
        <v/>
      </c>
      <c r="P528" s="223" t="str">
        <f>IF(AND(ISNUMBER(P526),ISNUMBER(P527)),IF(P526&gt;0,P527/P526,""),"")</f>
        <v/>
      </c>
      <c r="Q528" s="223" t="str">
        <f>IF(AND(ISNUMBER(Q526),ISNUMBER(Q527)),IF(Q526&gt;0,Q527/Q526,""),"")</f>
        <v/>
      </c>
      <c r="R528" s="223" t="str">
        <f>IF(AND(ISNUMBER(R526),ISNUMBER(R527)),IF(R526&gt;0,R527/R526,""),"")</f>
        <v/>
      </c>
      <c r="S528" s="223" t="str">
        <f>IF(AND(ISNUMBER(S526),ISNUMBER(S527)),IF(S526&gt;0,S527/S526,""),"")</f>
        <v/>
      </c>
      <c r="T528" s="223" t="str">
        <f>IF(AND(ISNUMBER(T526),ISNUMBER(T527)),IF(T526&gt;0,T527/T526,""),"")</f>
        <v/>
      </c>
      <c r="U528" s="223" t="str">
        <f>IF(AND(ISNUMBER(U526),ISNUMBER(U527)),IF(U526&gt;0,U527/U526,""),"")</f>
        <v/>
      </c>
      <c r="V528" s="223" t="str">
        <f>IF(AND(ISNUMBER(V526),ISNUMBER(V527)),IF(V526&gt;0,V527/V526,""),"")</f>
        <v/>
      </c>
      <c r="W528" s="223" t="str">
        <f>IF(AND(ISNUMBER(W526),ISNUMBER(W527)),IF(W526&gt;0,W527/W526,""),"")</f>
        <v/>
      </c>
      <c r="X528" s="223" t="str">
        <f>IF(AND(ISNUMBER(X526),ISNUMBER(X527)),IF(X526&gt;0,X527/X526,""),"")</f>
        <v/>
      </c>
      <c r="Y528" s="223" t="str">
        <f>IF(AND(ISNUMBER(Y526),ISNUMBER(Y527)),IF(Y526&gt;0,Y527/Y526,""),"")</f>
        <v/>
      </c>
      <c r="Z528" s="223" t="str">
        <f>IF(AND(ISNUMBER(Z526),ISNUMBER(Z527)),IF(Z526&gt;0,Z527/Z526,""),"")</f>
        <v/>
      </c>
      <c r="AA528" s="223" t="str">
        <f>IF(AND(ISNUMBER(AA526),ISNUMBER(AA527)),IF(AA526&gt;0,AA527/AA526,""),"")</f>
        <v/>
      </c>
      <c r="AB528" s="223" t="str">
        <f>IF(AND(ISNUMBER(AB526),ISNUMBER(AB527)),IF(AB526&gt;0,AB527/AB526,""),"")</f>
        <v/>
      </c>
      <c r="AC528" s="223" t="str">
        <f>IF(AND(ISNUMBER(AC526),ISNUMBER(AC527)),IF(AC526&gt;0,AC527/AC526,""),"")</f>
        <v/>
      </c>
      <c r="AD528" s="223" t="str">
        <f>IF(AND(ISNUMBER(AD526),ISNUMBER(AD527)),IF(AD526&gt;0,AD527/AD526,""),"")</f>
        <v/>
      </c>
      <c r="AE528" s="223" t="str">
        <f>IF(AND(ISNUMBER(AE526),ISNUMBER(AE527)),IF(AE526&gt;0,AE527/AE526,""),"")</f>
        <v/>
      </c>
      <c r="AF528" s="223" t="str">
        <f>IF(AND(ISNUMBER(AF526),ISNUMBER(AF527)),IF(AF526&gt;0,AF527/AF526,""),"")</f>
        <v/>
      </c>
      <c r="AG528" s="223" t="str">
        <f>IF(AND(ISNUMBER(AG526),ISNUMBER(AG527)),IF(AG526&gt;0,AG527/AG526,""),"")</f>
        <v/>
      </c>
      <c r="AH528" s="223" t="str">
        <f>IF(AND(ISNUMBER(AH526),ISNUMBER(AH527)),IF(AH526&gt;0,AH527/AH526,""),"")</f>
        <v/>
      </c>
      <c r="AI528" s="223" t="str">
        <f>IF(AND(ISNUMBER(AI526),ISNUMBER(AI527)),IF(AI526&gt;0,AI527/AI526,""),"")</f>
        <v/>
      </c>
      <c r="AJ528" s="224" t="str">
        <f>IF(AND(ISNUMBER(AJ526),ISNUMBER(AJ527)),IF(AJ526&gt;0,AJ527/AJ526,""),"")</f>
        <v/>
      </c>
      <c r="AK528" s="221" t="str">
        <f>IF(AND(ISNUMBER(AK526),ISNUMBER(AK527)),IF(AK526&gt;0,AK527/AK526,""),"")</f>
        <v/>
      </c>
    </row>
    <row r="529" ht="15.75" customHeight="1" hidden="1">
      <c r="A529" s="261"/>
      <c r="B529" s="257" t="inlineStr">
        <is>
          <t xml:space="preserve">GENTE</t>
        </is>
      </c>
      <c r="C529" s="225" t="inlineStr">
        <is>
          <t xml:space="preserve">Efetivo Op.</t>
        </is>
      </c>
      <c r="D529" s="226" t="str">
        <f>IFERROR(1/(1/INDEX(BD!$AL$47:$BF$47,MATCH($A$505,BD!$AL$22:$BF$22,0))),"")</f>
        <v/>
      </c>
      <c r="E529" s="227"/>
      <c r="F529" s="228" t="str">
        <f>IF(F$3="","",IF(COUNTIFS(BD!$A$3:$A$5001,F$3,BD!$B$3:$B$5001,$A$505,BD!$Z$3:$Z$5001,"&lt;&gt;")=0,"",SUMIFS(BD!$Z$3:$Z$5001,BD!$A$3:$A$5001,F$3,BD!$B$3:$B$5001,$A$505)))</f>
        <v/>
      </c>
      <c r="G529" s="229" t="str">
        <f>IF(G$3="","",IF(COUNTIFS(BD!$A$3:$A$5001,G$3,BD!$B$3:$B$5001,$A$505,BD!$Z$3:$Z$5001,"&lt;&gt;")=0,"",SUMIFS(BD!$Z$3:$Z$5001,BD!$A$3:$A$5001,G$3,BD!$B$3:$B$5001,$A$505)))</f>
        <v/>
      </c>
      <c r="H529" s="229" t="str">
        <f>IF(H$3="","",IF(COUNTIFS(BD!$A$3:$A$5001,H$3,BD!$B$3:$B$5001,$A$505,BD!$Z$3:$Z$5001,"&lt;&gt;")=0,"",SUMIFS(BD!$Z$3:$Z$5001,BD!$A$3:$A$5001,H$3,BD!$B$3:$B$5001,$A$505)))</f>
        <v/>
      </c>
      <c r="I529" s="229" t="str">
        <f>IF(I$3="","",IF(COUNTIFS(BD!$A$3:$A$5001,I$3,BD!$B$3:$B$5001,$A$505,BD!$Z$3:$Z$5001,"&lt;&gt;")=0,"",SUMIFS(BD!$Z$3:$Z$5001,BD!$A$3:$A$5001,I$3,BD!$B$3:$B$5001,$A$505)))</f>
        <v/>
      </c>
      <c r="J529" s="229" t="str">
        <f>IF(J$3="","",IF(COUNTIFS(BD!$A$3:$A$5001,J$3,BD!$B$3:$B$5001,$A$505,BD!$Z$3:$Z$5001,"&lt;&gt;")=0,"",SUMIFS(BD!$Z$3:$Z$5001,BD!$A$3:$A$5001,J$3,BD!$B$3:$B$5001,$A$505)))</f>
        <v/>
      </c>
      <c r="K529" s="229" t="str">
        <f>IF(K$3="","",IF(COUNTIFS(BD!$A$3:$A$5001,K$3,BD!$B$3:$B$5001,$A$505,BD!$Z$3:$Z$5001,"&lt;&gt;")=0,"",SUMIFS(BD!$Z$3:$Z$5001,BD!$A$3:$A$5001,K$3,BD!$B$3:$B$5001,$A$505)))</f>
        <v/>
      </c>
      <c r="L529" s="229" t="str">
        <f>IF(L$3="","",IF(COUNTIFS(BD!$A$3:$A$5001,L$3,BD!$B$3:$B$5001,$A$505,BD!$Z$3:$Z$5001,"&lt;&gt;")=0,"",SUMIFS(BD!$Z$3:$Z$5001,BD!$A$3:$A$5001,L$3,BD!$B$3:$B$5001,$A$505)))</f>
        <v/>
      </c>
      <c r="M529" s="229" t="str">
        <f>IF(M$3="","",IF(COUNTIFS(BD!$A$3:$A$5001,M$3,BD!$B$3:$B$5001,$A$505,BD!$Z$3:$Z$5001,"&lt;&gt;")=0,"",SUMIFS(BD!$Z$3:$Z$5001,BD!$A$3:$A$5001,M$3,BD!$B$3:$B$5001,$A$505)))</f>
        <v/>
      </c>
      <c r="N529" s="229" t="str">
        <f>IF(N$3="","",IF(COUNTIFS(BD!$A$3:$A$5001,N$3,BD!$B$3:$B$5001,$A$505,BD!$Z$3:$Z$5001,"&lt;&gt;")=0,"",SUMIFS(BD!$Z$3:$Z$5001,BD!$A$3:$A$5001,N$3,BD!$B$3:$B$5001,$A$505)))</f>
        <v/>
      </c>
      <c r="O529" s="229" t="str">
        <f>IF(O$3="","",IF(COUNTIFS(BD!$A$3:$A$5001,O$3,BD!$B$3:$B$5001,$A$505,BD!$Z$3:$Z$5001,"&lt;&gt;")=0,"",SUMIFS(BD!$Z$3:$Z$5001,BD!$A$3:$A$5001,O$3,BD!$B$3:$B$5001,$A$505)))</f>
        <v/>
      </c>
      <c r="P529" s="229" t="str">
        <f>IF(P$3="","",IF(COUNTIFS(BD!$A$3:$A$5001,P$3,BD!$B$3:$B$5001,$A$505,BD!$Z$3:$Z$5001,"&lt;&gt;")=0,"",SUMIFS(BD!$Z$3:$Z$5001,BD!$A$3:$A$5001,P$3,BD!$B$3:$B$5001,$A$505)))</f>
        <v/>
      </c>
      <c r="Q529" s="229" t="str">
        <f>IF(Q$3="","",IF(COUNTIFS(BD!$A$3:$A$5001,Q$3,BD!$B$3:$B$5001,$A$505,BD!$Z$3:$Z$5001,"&lt;&gt;")=0,"",SUMIFS(BD!$Z$3:$Z$5001,BD!$A$3:$A$5001,Q$3,BD!$B$3:$B$5001,$A$505)))</f>
        <v/>
      </c>
      <c r="R529" s="229" t="str">
        <f>IF(R$3="","",IF(COUNTIFS(BD!$A$3:$A$5001,R$3,BD!$B$3:$B$5001,$A$505,BD!$Z$3:$Z$5001,"&lt;&gt;")=0,"",SUMIFS(BD!$Z$3:$Z$5001,BD!$A$3:$A$5001,R$3,BD!$B$3:$B$5001,$A$505)))</f>
        <v/>
      </c>
      <c r="S529" s="229" t="str">
        <f>IF(S$3="","",IF(COUNTIFS(BD!$A$3:$A$5001,S$3,BD!$B$3:$B$5001,$A$505,BD!$Z$3:$Z$5001,"&lt;&gt;")=0,"",SUMIFS(BD!$Z$3:$Z$5001,BD!$A$3:$A$5001,S$3,BD!$B$3:$B$5001,$A$505)))</f>
        <v/>
      </c>
      <c r="T529" s="229" t="str">
        <f>IF(T$3="","",IF(COUNTIFS(BD!$A$3:$A$5001,T$3,BD!$B$3:$B$5001,$A$505,BD!$Z$3:$Z$5001,"&lt;&gt;")=0,"",SUMIFS(BD!$Z$3:$Z$5001,BD!$A$3:$A$5001,T$3,BD!$B$3:$B$5001,$A$505)))</f>
        <v/>
      </c>
      <c r="U529" s="229" t="str">
        <f>IF(U$3="","",IF(COUNTIFS(BD!$A$3:$A$5001,U$3,BD!$B$3:$B$5001,$A$505,BD!$Z$3:$Z$5001,"&lt;&gt;")=0,"",SUMIFS(BD!$Z$3:$Z$5001,BD!$A$3:$A$5001,U$3,BD!$B$3:$B$5001,$A$505)))</f>
        <v/>
      </c>
      <c r="V529" s="229" t="str">
        <f>IF(V$3="","",IF(COUNTIFS(BD!$A$3:$A$5001,V$3,BD!$B$3:$B$5001,$A$505,BD!$Z$3:$Z$5001,"&lt;&gt;")=0,"",SUMIFS(BD!$Z$3:$Z$5001,BD!$A$3:$A$5001,V$3,BD!$B$3:$B$5001,$A$505)))</f>
        <v/>
      </c>
      <c r="W529" s="229" t="str">
        <f>IF(W$3="","",IF(COUNTIFS(BD!$A$3:$A$5001,W$3,BD!$B$3:$B$5001,$A$505,BD!$Z$3:$Z$5001,"&lt;&gt;")=0,"",SUMIFS(BD!$Z$3:$Z$5001,BD!$A$3:$A$5001,W$3,BD!$B$3:$B$5001,$A$505)))</f>
        <v/>
      </c>
      <c r="X529" s="229" t="str">
        <f>IF(X$3="","",IF(COUNTIFS(BD!$A$3:$A$5001,X$3,BD!$B$3:$B$5001,$A$505,BD!$Z$3:$Z$5001,"&lt;&gt;")=0,"",SUMIFS(BD!$Z$3:$Z$5001,BD!$A$3:$A$5001,X$3,BD!$B$3:$B$5001,$A$505)))</f>
        <v/>
      </c>
      <c r="Y529" s="229" t="str">
        <f>IF(Y$3="","",IF(COUNTIFS(BD!$A$3:$A$5001,Y$3,BD!$B$3:$B$5001,$A$505,BD!$Z$3:$Z$5001,"&lt;&gt;")=0,"",SUMIFS(BD!$Z$3:$Z$5001,BD!$A$3:$A$5001,Y$3,BD!$B$3:$B$5001,$A$505)))</f>
        <v/>
      </c>
      <c r="Z529" s="229" t="str">
        <f>IF(Z$3="","",IF(COUNTIFS(BD!$A$3:$A$5001,Z$3,BD!$B$3:$B$5001,$A$505,BD!$Z$3:$Z$5001,"&lt;&gt;")=0,"",SUMIFS(BD!$Z$3:$Z$5001,BD!$A$3:$A$5001,Z$3,BD!$B$3:$B$5001,$A$505)))</f>
        <v/>
      </c>
      <c r="AA529" s="229" t="str">
        <f>IF(AA$3="","",IF(COUNTIFS(BD!$A$3:$A$5001,AA$3,BD!$B$3:$B$5001,$A$505,BD!$Z$3:$Z$5001,"&lt;&gt;")=0,"",SUMIFS(BD!$Z$3:$Z$5001,BD!$A$3:$A$5001,AA$3,BD!$B$3:$B$5001,$A$505)))</f>
        <v/>
      </c>
      <c r="AB529" s="229" t="str">
        <f>IF(AB$3="","",IF(COUNTIFS(BD!$A$3:$A$5001,AB$3,BD!$B$3:$B$5001,$A$505,BD!$Z$3:$Z$5001,"&lt;&gt;")=0,"",SUMIFS(BD!$Z$3:$Z$5001,BD!$A$3:$A$5001,AB$3,BD!$B$3:$B$5001,$A$505)))</f>
        <v/>
      </c>
      <c r="AC529" s="229" t="str">
        <f>IF(AC$3="","",IF(COUNTIFS(BD!$A$3:$A$5001,AC$3,BD!$B$3:$B$5001,$A$505,BD!$Z$3:$Z$5001,"&lt;&gt;")=0,"",SUMIFS(BD!$Z$3:$Z$5001,BD!$A$3:$A$5001,AC$3,BD!$B$3:$B$5001,$A$505)))</f>
        <v/>
      </c>
      <c r="AD529" s="229" t="str">
        <f>IF(AD$3="","",IF(COUNTIFS(BD!$A$3:$A$5001,AD$3,BD!$B$3:$B$5001,$A$505,BD!$Z$3:$Z$5001,"&lt;&gt;")=0,"",SUMIFS(BD!$Z$3:$Z$5001,BD!$A$3:$A$5001,AD$3,BD!$B$3:$B$5001,$A$505)))</f>
        <v/>
      </c>
      <c r="AE529" s="229" t="str">
        <f>IF(AE$3="","",IF(COUNTIFS(BD!$A$3:$A$5001,AE$3,BD!$B$3:$B$5001,$A$505,BD!$Z$3:$Z$5001,"&lt;&gt;")=0,"",SUMIFS(BD!$Z$3:$Z$5001,BD!$A$3:$A$5001,AE$3,BD!$B$3:$B$5001,$A$505)))</f>
        <v/>
      </c>
      <c r="AF529" s="229" t="str">
        <f>IF(AF$3="","",IF(COUNTIFS(BD!$A$3:$A$5001,AF$3,BD!$B$3:$B$5001,$A$505,BD!$Z$3:$Z$5001,"&lt;&gt;")=0,"",SUMIFS(BD!$Z$3:$Z$5001,BD!$A$3:$A$5001,AF$3,BD!$B$3:$B$5001,$A$505)))</f>
        <v/>
      </c>
      <c r="AG529" s="229" t="str">
        <f>IF(AG$3="","",IF(COUNTIFS(BD!$A$3:$A$5001,AG$3,BD!$B$3:$B$5001,$A$505,BD!$Z$3:$Z$5001,"&lt;&gt;")=0,"",SUMIFS(BD!$Z$3:$Z$5001,BD!$A$3:$A$5001,AG$3,BD!$B$3:$B$5001,$A$505)))</f>
        <v/>
      </c>
      <c r="AH529" s="229" t="str">
        <f>IF(AH$3="","",IF(COUNTIFS(BD!$A$3:$A$5001,AH$3,BD!$B$3:$B$5001,$A$505,BD!$Z$3:$Z$5001,"&lt;&gt;")=0,"",SUMIFS(BD!$Z$3:$Z$5001,BD!$A$3:$A$5001,AH$3,BD!$B$3:$B$5001,$A$505)))</f>
        <v/>
      </c>
      <c r="AI529" s="229" t="str">
        <f>IF(AI$3="","",IF(COUNTIFS(BD!$A$3:$A$5001,AI$3,BD!$B$3:$B$5001,$A$505,BD!$Z$3:$Z$5001,"&lt;&gt;")=0,"",SUMIFS(BD!$Z$3:$Z$5001,BD!$A$3:$A$5001,AI$3,BD!$B$3:$B$5001,$A$505)))</f>
        <v/>
      </c>
      <c r="AJ529" s="230" t="str">
        <f>IF(AJ$3="","",IF(COUNTIFS(BD!$A$3:$A$5001,AJ$3,BD!$B$3:$B$5001,$A$505,BD!$Z$3:$Z$5001,"&lt;&gt;")=0,"",SUMIFS(BD!$Z$3:$Z$5001,BD!$A$3:$A$5001,AJ$3,BD!$B$3:$B$5001,$A$505)))</f>
        <v/>
      </c>
      <c r="AK529" s="231" t="str">
        <f>IFERROR(LOOKUP(9.99E+307,F529:AJ529),"")</f>
        <v/>
      </c>
    </row>
    <row r="530" ht="15.75" customHeight="1" hidden="1">
      <c r="A530" s="261"/>
      <c r="B530" s="258"/>
      <c r="C530" s="232" t="inlineStr">
        <is>
          <t xml:space="preserve">Falta</t>
        </is>
      </c>
      <c r="D530" s="233" t="str">
        <f>IFERROR(1/(1/INDEX(BD!$AL$48:$BF$48,MATCH($A$505,BD!$AL$22:$BF$22,0))),"")</f>
        <v/>
      </c>
      <c r="E530" s="234"/>
      <c r="F530" s="235" t="str">
        <f>IF(F$3="","",IF(COUNTIFS(BD!$A$3:$A$5001,F$3,BD!$B$3:$B$5001,$A$505,BD!$AA$3:$AA$5001,"&lt;&gt;")=0,"",SUMIFS(BD!$AA$3:$AA$5001,BD!$A$3:$A$5001,F$3,BD!$B$3:$B$5001,$A$505)))</f>
        <v/>
      </c>
      <c r="G530" s="236" t="str">
        <f>IF(G$3="","",IF(COUNTIFS(BD!$A$3:$A$5001,G$3,BD!$B$3:$B$5001,$A$505,BD!$AA$3:$AA$5001,"&lt;&gt;")=0,"",SUMIFS(BD!$AA$3:$AA$5001,BD!$A$3:$A$5001,G$3,BD!$B$3:$B$5001,$A$505)))</f>
        <v/>
      </c>
      <c r="H530" s="236" t="str">
        <f>IF(H$3="","",IF(COUNTIFS(BD!$A$3:$A$5001,H$3,BD!$B$3:$B$5001,$A$505,BD!$AA$3:$AA$5001,"&lt;&gt;")=0,"",SUMIFS(BD!$AA$3:$AA$5001,BD!$A$3:$A$5001,H$3,BD!$B$3:$B$5001,$A$505)))</f>
        <v/>
      </c>
      <c r="I530" s="236" t="str">
        <f>IF(I$3="","",IF(COUNTIFS(BD!$A$3:$A$5001,I$3,BD!$B$3:$B$5001,$A$505,BD!$AA$3:$AA$5001,"&lt;&gt;")=0,"",SUMIFS(BD!$AA$3:$AA$5001,BD!$A$3:$A$5001,I$3,BD!$B$3:$B$5001,$A$505)))</f>
        <v/>
      </c>
      <c r="J530" s="236" t="str">
        <f>IF(J$3="","",IF(COUNTIFS(BD!$A$3:$A$5001,J$3,BD!$B$3:$B$5001,$A$505,BD!$AA$3:$AA$5001,"&lt;&gt;")=0,"",SUMIFS(BD!$AA$3:$AA$5001,BD!$A$3:$A$5001,J$3,BD!$B$3:$B$5001,$A$505)))</f>
        <v/>
      </c>
      <c r="K530" s="236" t="str">
        <f>IF(K$3="","",IF(COUNTIFS(BD!$A$3:$A$5001,K$3,BD!$B$3:$B$5001,$A$505,BD!$AA$3:$AA$5001,"&lt;&gt;")=0,"",SUMIFS(BD!$AA$3:$AA$5001,BD!$A$3:$A$5001,K$3,BD!$B$3:$B$5001,$A$505)))</f>
        <v/>
      </c>
      <c r="L530" s="236" t="str">
        <f>IF(L$3="","",IF(COUNTIFS(BD!$A$3:$A$5001,L$3,BD!$B$3:$B$5001,$A$505,BD!$AA$3:$AA$5001,"&lt;&gt;")=0,"",SUMIFS(BD!$AA$3:$AA$5001,BD!$A$3:$A$5001,L$3,BD!$B$3:$B$5001,$A$505)))</f>
        <v/>
      </c>
      <c r="M530" s="236" t="str">
        <f>IF(M$3="","",IF(COUNTIFS(BD!$A$3:$A$5001,M$3,BD!$B$3:$B$5001,$A$505,BD!$AA$3:$AA$5001,"&lt;&gt;")=0,"",SUMIFS(BD!$AA$3:$AA$5001,BD!$A$3:$A$5001,M$3,BD!$B$3:$B$5001,$A$505)))</f>
        <v/>
      </c>
      <c r="N530" s="236" t="str">
        <f>IF(N$3="","",IF(COUNTIFS(BD!$A$3:$A$5001,N$3,BD!$B$3:$B$5001,$A$505,BD!$AA$3:$AA$5001,"&lt;&gt;")=0,"",SUMIFS(BD!$AA$3:$AA$5001,BD!$A$3:$A$5001,N$3,BD!$B$3:$B$5001,$A$505)))</f>
        <v/>
      </c>
      <c r="O530" s="236" t="str">
        <f>IF(O$3="","",IF(COUNTIFS(BD!$A$3:$A$5001,O$3,BD!$B$3:$B$5001,$A$505,BD!$AA$3:$AA$5001,"&lt;&gt;")=0,"",SUMIFS(BD!$AA$3:$AA$5001,BD!$A$3:$A$5001,O$3,BD!$B$3:$B$5001,$A$505)))</f>
        <v/>
      </c>
      <c r="P530" s="236" t="str">
        <f>IF(P$3="","",IF(COUNTIFS(BD!$A$3:$A$5001,P$3,BD!$B$3:$B$5001,$A$505,BD!$AA$3:$AA$5001,"&lt;&gt;")=0,"",SUMIFS(BD!$AA$3:$AA$5001,BD!$A$3:$A$5001,P$3,BD!$B$3:$B$5001,$A$505)))</f>
        <v/>
      </c>
      <c r="Q530" s="236" t="str">
        <f>IF(Q$3="","",IF(COUNTIFS(BD!$A$3:$A$5001,Q$3,BD!$B$3:$B$5001,$A$505,BD!$AA$3:$AA$5001,"&lt;&gt;")=0,"",SUMIFS(BD!$AA$3:$AA$5001,BD!$A$3:$A$5001,Q$3,BD!$B$3:$B$5001,$A$505)))</f>
        <v/>
      </c>
      <c r="R530" s="236" t="str">
        <f>IF(R$3="","",IF(COUNTIFS(BD!$A$3:$A$5001,R$3,BD!$B$3:$B$5001,$A$505,BD!$AA$3:$AA$5001,"&lt;&gt;")=0,"",SUMIFS(BD!$AA$3:$AA$5001,BD!$A$3:$A$5001,R$3,BD!$B$3:$B$5001,$A$505)))</f>
        <v/>
      </c>
      <c r="S530" s="236" t="str">
        <f>IF(S$3="","",IF(COUNTIFS(BD!$A$3:$A$5001,S$3,BD!$B$3:$B$5001,$A$505,BD!$AA$3:$AA$5001,"&lt;&gt;")=0,"",SUMIFS(BD!$AA$3:$AA$5001,BD!$A$3:$A$5001,S$3,BD!$B$3:$B$5001,$A$505)))</f>
        <v/>
      </c>
      <c r="T530" s="236" t="str">
        <f>IF(T$3="","",IF(COUNTIFS(BD!$A$3:$A$5001,T$3,BD!$B$3:$B$5001,$A$505,BD!$AA$3:$AA$5001,"&lt;&gt;")=0,"",SUMIFS(BD!$AA$3:$AA$5001,BD!$A$3:$A$5001,T$3,BD!$B$3:$B$5001,$A$505)))</f>
        <v/>
      </c>
      <c r="U530" s="236" t="str">
        <f>IF(U$3="","",IF(COUNTIFS(BD!$A$3:$A$5001,U$3,BD!$B$3:$B$5001,$A$505,BD!$AA$3:$AA$5001,"&lt;&gt;")=0,"",SUMIFS(BD!$AA$3:$AA$5001,BD!$A$3:$A$5001,U$3,BD!$B$3:$B$5001,$A$505)))</f>
        <v/>
      </c>
      <c r="V530" s="236" t="str">
        <f>IF(V$3="","",IF(COUNTIFS(BD!$A$3:$A$5001,V$3,BD!$B$3:$B$5001,$A$505,BD!$AA$3:$AA$5001,"&lt;&gt;")=0,"",SUMIFS(BD!$AA$3:$AA$5001,BD!$A$3:$A$5001,V$3,BD!$B$3:$B$5001,$A$505)))</f>
        <v/>
      </c>
      <c r="W530" s="236" t="str">
        <f>IF(W$3="","",IF(COUNTIFS(BD!$A$3:$A$5001,W$3,BD!$B$3:$B$5001,$A$505,BD!$AA$3:$AA$5001,"&lt;&gt;")=0,"",SUMIFS(BD!$AA$3:$AA$5001,BD!$A$3:$A$5001,W$3,BD!$B$3:$B$5001,$A$505)))</f>
        <v/>
      </c>
      <c r="X530" s="236" t="str">
        <f>IF(X$3="","",IF(COUNTIFS(BD!$A$3:$A$5001,X$3,BD!$B$3:$B$5001,$A$505,BD!$AA$3:$AA$5001,"&lt;&gt;")=0,"",SUMIFS(BD!$AA$3:$AA$5001,BD!$A$3:$A$5001,X$3,BD!$B$3:$B$5001,$A$505)))</f>
        <v/>
      </c>
      <c r="Y530" s="236" t="str">
        <f>IF(Y$3="","",IF(COUNTIFS(BD!$A$3:$A$5001,Y$3,BD!$B$3:$B$5001,$A$505,BD!$AA$3:$AA$5001,"&lt;&gt;")=0,"",SUMIFS(BD!$AA$3:$AA$5001,BD!$A$3:$A$5001,Y$3,BD!$B$3:$B$5001,$A$505)))</f>
        <v/>
      </c>
      <c r="Z530" s="236" t="str">
        <f>IF(Z$3="","",IF(COUNTIFS(BD!$A$3:$A$5001,Z$3,BD!$B$3:$B$5001,$A$505,BD!$AA$3:$AA$5001,"&lt;&gt;")=0,"",SUMIFS(BD!$AA$3:$AA$5001,BD!$A$3:$A$5001,Z$3,BD!$B$3:$B$5001,$A$505)))</f>
        <v/>
      </c>
      <c r="AA530" s="236" t="str">
        <f>IF(AA$3="","",IF(COUNTIFS(BD!$A$3:$A$5001,AA$3,BD!$B$3:$B$5001,$A$505,BD!$AA$3:$AA$5001,"&lt;&gt;")=0,"",SUMIFS(BD!$AA$3:$AA$5001,BD!$A$3:$A$5001,AA$3,BD!$B$3:$B$5001,$A$505)))</f>
        <v/>
      </c>
      <c r="AB530" s="236" t="str">
        <f>IF(AB$3="","",IF(COUNTIFS(BD!$A$3:$A$5001,AB$3,BD!$B$3:$B$5001,$A$505,BD!$AA$3:$AA$5001,"&lt;&gt;")=0,"",SUMIFS(BD!$AA$3:$AA$5001,BD!$A$3:$A$5001,AB$3,BD!$B$3:$B$5001,$A$505)))</f>
        <v/>
      </c>
      <c r="AC530" s="236" t="str">
        <f>IF(AC$3="","",IF(COUNTIFS(BD!$A$3:$A$5001,AC$3,BD!$B$3:$B$5001,$A$505,BD!$AA$3:$AA$5001,"&lt;&gt;")=0,"",SUMIFS(BD!$AA$3:$AA$5001,BD!$A$3:$A$5001,AC$3,BD!$B$3:$B$5001,$A$505)))</f>
        <v/>
      </c>
      <c r="AD530" s="236" t="str">
        <f>IF(AD$3="","",IF(COUNTIFS(BD!$A$3:$A$5001,AD$3,BD!$B$3:$B$5001,$A$505,BD!$AA$3:$AA$5001,"&lt;&gt;")=0,"",SUMIFS(BD!$AA$3:$AA$5001,BD!$A$3:$A$5001,AD$3,BD!$B$3:$B$5001,$A$505)))</f>
        <v/>
      </c>
      <c r="AE530" s="236" t="str">
        <f>IF(AE$3="","",IF(COUNTIFS(BD!$A$3:$A$5001,AE$3,BD!$B$3:$B$5001,$A$505,BD!$AA$3:$AA$5001,"&lt;&gt;")=0,"",SUMIFS(BD!$AA$3:$AA$5001,BD!$A$3:$A$5001,AE$3,BD!$B$3:$B$5001,$A$505)))</f>
        <v/>
      </c>
      <c r="AF530" s="236" t="str">
        <f>IF(AF$3="","",IF(COUNTIFS(BD!$A$3:$A$5001,AF$3,BD!$B$3:$B$5001,$A$505,BD!$AA$3:$AA$5001,"&lt;&gt;")=0,"",SUMIFS(BD!$AA$3:$AA$5001,BD!$A$3:$A$5001,AF$3,BD!$B$3:$B$5001,$A$505)))</f>
        <v/>
      </c>
      <c r="AG530" s="236" t="str">
        <f>IF(AG$3="","",IF(COUNTIFS(BD!$A$3:$A$5001,AG$3,BD!$B$3:$B$5001,$A$505,BD!$AA$3:$AA$5001,"&lt;&gt;")=0,"",SUMIFS(BD!$AA$3:$AA$5001,BD!$A$3:$A$5001,AG$3,BD!$B$3:$B$5001,$A$505)))</f>
        <v/>
      </c>
      <c r="AH530" s="236" t="str">
        <f>IF(AH$3="","",IF(COUNTIFS(BD!$A$3:$A$5001,AH$3,BD!$B$3:$B$5001,$A$505,BD!$AA$3:$AA$5001,"&lt;&gt;")=0,"",SUMIFS(BD!$AA$3:$AA$5001,BD!$A$3:$A$5001,AH$3,BD!$B$3:$B$5001,$A$505)))</f>
        <v/>
      </c>
      <c r="AI530" s="236" t="str">
        <f>IF(AI$3="","",IF(COUNTIFS(BD!$A$3:$A$5001,AI$3,BD!$B$3:$B$5001,$A$505,BD!$AA$3:$AA$5001,"&lt;&gt;")=0,"",SUMIFS(BD!$AA$3:$AA$5001,BD!$A$3:$A$5001,AI$3,BD!$B$3:$B$5001,$A$505)))</f>
        <v/>
      </c>
      <c r="AJ530" s="237" t="str">
        <f>IF(AJ$3="","",IF(COUNTIFS(BD!$A$3:$A$5001,AJ$3,BD!$B$3:$B$5001,$A$505,BD!$AA$3:$AA$5001,"&lt;&gt;")=0,"",SUMIFS(BD!$AA$3:$AA$5001,BD!$A$3:$A$5001,AJ$3,BD!$B$3:$B$5001,$A$505)))</f>
        <v/>
      </c>
      <c r="AK530" s="238" t="str">
        <f>IF(COUNT(F530:AJ530)=0,"",SUM(F530:AJ530))</f>
        <v/>
      </c>
    </row>
    <row r="531" ht="15.75" customHeight="1" hidden="1">
      <c r="A531" s="261"/>
      <c r="B531" s="258"/>
      <c r="C531" s="232" t="inlineStr">
        <is>
          <t xml:space="preserve">Absenteísmo (H/H)</t>
        </is>
      </c>
      <c r="D531" s="233" t="str">
        <f>IFERROR(1/(1/INDEX(BD!$AL$49:$BF$49,MATCH($A$505,BD!$AL$22:$BF$22,0))),"")</f>
        <v/>
      </c>
      <c r="E531" s="234"/>
      <c r="F531" s="239" t="str">
        <f>IF(F$3="","",IF(COUNTIFS(BD!$A$3:$A$5001,F$3,BD!$B$3:$B$5001,$A$505,BD!$AB$3:$AB$5001,"&lt;&gt;")=0,"",SUMIFS(BD!$AB$3:$AB$5001,BD!$A$3:$A$5001,F$3,BD!$B$3:$B$5001,$A$505)))</f>
        <v/>
      </c>
      <c r="G531" s="240" t="str">
        <f>IF(G$3="","",IF(COUNTIFS(BD!$A$3:$A$5001,G$3,BD!$B$3:$B$5001,$A$505,BD!$AB$3:$AB$5001,"&lt;&gt;")=0,"",SUMIFS(BD!$AB$3:$AB$5001,BD!$A$3:$A$5001,G$3,BD!$B$3:$B$5001,$A$505)))</f>
        <v/>
      </c>
      <c r="H531" s="240" t="str">
        <f>IF(H$3="","",IF(COUNTIFS(BD!$A$3:$A$5001,H$3,BD!$B$3:$B$5001,$A$505,BD!$AB$3:$AB$5001,"&lt;&gt;")=0,"",SUMIFS(BD!$AB$3:$AB$5001,BD!$A$3:$A$5001,H$3,BD!$B$3:$B$5001,$A$505)))</f>
        <v/>
      </c>
      <c r="I531" s="240" t="str">
        <f>IF(I$3="","",IF(COUNTIFS(BD!$A$3:$A$5001,I$3,BD!$B$3:$B$5001,$A$505,BD!$AB$3:$AB$5001,"&lt;&gt;")=0,"",SUMIFS(BD!$AB$3:$AB$5001,BD!$A$3:$A$5001,I$3,BD!$B$3:$B$5001,$A$505)))</f>
        <v/>
      </c>
      <c r="J531" s="240" t="str">
        <f>IF(J$3="","",IF(COUNTIFS(BD!$A$3:$A$5001,J$3,BD!$B$3:$B$5001,$A$505,BD!$AB$3:$AB$5001,"&lt;&gt;")=0,"",SUMIFS(BD!$AB$3:$AB$5001,BD!$A$3:$A$5001,J$3,BD!$B$3:$B$5001,$A$505)))</f>
        <v/>
      </c>
      <c r="K531" s="240" t="str">
        <f>IF(K$3="","",IF(COUNTIFS(BD!$A$3:$A$5001,K$3,BD!$B$3:$B$5001,$A$505,BD!$AB$3:$AB$5001,"&lt;&gt;")=0,"",SUMIFS(BD!$AB$3:$AB$5001,BD!$A$3:$A$5001,K$3,BD!$B$3:$B$5001,$A$505)))</f>
        <v/>
      </c>
      <c r="L531" s="240" t="str">
        <f>IF(L$3="","",IF(COUNTIFS(BD!$A$3:$A$5001,L$3,BD!$B$3:$B$5001,$A$505,BD!$AB$3:$AB$5001,"&lt;&gt;")=0,"",SUMIFS(BD!$AB$3:$AB$5001,BD!$A$3:$A$5001,L$3,BD!$B$3:$B$5001,$A$505)))</f>
        <v/>
      </c>
      <c r="M531" s="240" t="str">
        <f>IF(M$3="","",IF(COUNTIFS(BD!$A$3:$A$5001,M$3,BD!$B$3:$B$5001,$A$505,BD!$AB$3:$AB$5001,"&lt;&gt;")=0,"",SUMIFS(BD!$AB$3:$AB$5001,BD!$A$3:$A$5001,M$3,BD!$B$3:$B$5001,$A$505)))</f>
        <v/>
      </c>
      <c r="N531" s="240" t="str">
        <f>IF(N$3="","",IF(COUNTIFS(BD!$A$3:$A$5001,N$3,BD!$B$3:$B$5001,$A$505,BD!$AB$3:$AB$5001,"&lt;&gt;")=0,"",SUMIFS(BD!$AB$3:$AB$5001,BD!$A$3:$A$5001,N$3,BD!$B$3:$B$5001,$A$505)))</f>
        <v/>
      </c>
      <c r="O531" s="240" t="str">
        <f>IF(O$3="","",IF(COUNTIFS(BD!$A$3:$A$5001,O$3,BD!$B$3:$B$5001,$A$505,BD!$AB$3:$AB$5001,"&lt;&gt;")=0,"",SUMIFS(BD!$AB$3:$AB$5001,BD!$A$3:$A$5001,O$3,BD!$B$3:$B$5001,$A$505)))</f>
        <v/>
      </c>
      <c r="P531" s="240" t="str">
        <f>IF(P$3="","",IF(COUNTIFS(BD!$A$3:$A$5001,P$3,BD!$B$3:$B$5001,$A$505,BD!$AB$3:$AB$5001,"&lt;&gt;")=0,"",SUMIFS(BD!$AB$3:$AB$5001,BD!$A$3:$A$5001,P$3,BD!$B$3:$B$5001,$A$505)))</f>
        <v/>
      </c>
      <c r="Q531" s="240" t="str">
        <f>IF(Q$3="","",IF(COUNTIFS(BD!$A$3:$A$5001,Q$3,BD!$B$3:$B$5001,$A$505,BD!$AB$3:$AB$5001,"&lt;&gt;")=0,"",SUMIFS(BD!$AB$3:$AB$5001,BD!$A$3:$A$5001,Q$3,BD!$B$3:$B$5001,$A$505)))</f>
        <v/>
      </c>
      <c r="R531" s="240" t="str">
        <f>IF(R$3="","",IF(COUNTIFS(BD!$A$3:$A$5001,R$3,BD!$B$3:$B$5001,$A$505,BD!$AB$3:$AB$5001,"&lt;&gt;")=0,"",SUMIFS(BD!$AB$3:$AB$5001,BD!$A$3:$A$5001,R$3,BD!$B$3:$B$5001,$A$505)))</f>
        <v/>
      </c>
      <c r="S531" s="240" t="str">
        <f>IF(S$3="","",IF(COUNTIFS(BD!$A$3:$A$5001,S$3,BD!$B$3:$B$5001,$A$505,BD!$AB$3:$AB$5001,"&lt;&gt;")=0,"",SUMIFS(BD!$AB$3:$AB$5001,BD!$A$3:$A$5001,S$3,BD!$B$3:$B$5001,$A$505)))</f>
        <v/>
      </c>
      <c r="T531" s="240" t="str">
        <f>IF(T$3="","",IF(COUNTIFS(BD!$A$3:$A$5001,T$3,BD!$B$3:$B$5001,$A$505,BD!$AB$3:$AB$5001,"&lt;&gt;")=0,"",SUMIFS(BD!$AB$3:$AB$5001,BD!$A$3:$A$5001,T$3,BD!$B$3:$B$5001,$A$505)))</f>
        <v/>
      </c>
      <c r="U531" s="240" t="str">
        <f>IF(U$3="","",IF(COUNTIFS(BD!$A$3:$A$5001,U$3,BD!$B$3:$B$5001,$A$505,BD!$AB$3:$AB$5001,"&lt;&gt;")=0,"",SUMIFS(BD!$AB$3:$AB$5001,BD!$A$3:$A$5001,U$3,BD!$B$3:$B$5001,$A$505)))</f>
        <v/>
      </c>
      <c r="V531" s="240" t="str">
        <f>IF(V$3="","",IF(COUNTIFS(BD!$A$3:$A$5001,V$3,BD!$B$3:$B$5001,$A$505,BD!$AB$3:$AB$5001,"&lt;&gt;")=0,"",SUMIFS(BD!$AB$3:$AB$5001,BD!$A$3:$A$5001,V$3,BD!$B$3:$B$5001,$A$505)))</f>
        <v/>
      </c>
      <c r="W531" s="240" t="str">
        <f>IF(W$3="","",IF(COUNTIFS(BD!$A$3:$A$5001,W$3,BD!$B$3:$B$5001,$A$505,BD!$AB$3:$AB$5001,"&lt;&gt;")=0,"",SUMIFS(BD!$AB$3:$AB$5001,BD!$A$3:$A$5001,W$3,BD!$B$3:$B$5001,$A$505)))</f>
        <v/>
      </c>
      <c r="X531" s="240" t="str">
        <f>IF(X$3="","",IF(COUNTIFS(BD!$A$3:$A$5001,X$3,BD!$B$3:$B$5001,$A$505,BD!$AB$3:$AB$5001,"&lt;&gt;")=0,"",SUMIFS(BD!$AB$3:$AB$5001,BD!$A$3:$A$5001,X$3,BD!$B$3:$B$5001,$A$505)))</f>
        <v/>
      </c>
      <c r="Y531" s="240" t="str">
        <f>IF(Y$3="","",IF(COUNTIFS(BD!$A$3:$A$5001,Y$3,BD!$B$3:$B$5001,$A$505,BD!$AB$3:$AB$5001,"&lt;&gt;")=0,"",SUMIFS(BD!$AB$3:$AB$5001,BD!$A$3:$A$5001,Y$3,BD!$B$3:$B$5001,$A$505)))</f>
        <v/>
      </c>
      <c r="Z531" s="240" t="str">
        <f>IF(Z$3="","",IF(COUNTIFS(BD!$A$3:$A$5001,Z$3,BD!$B$3:$B$5001,$A$505,BD!$AB$3:$AB$5001,"&lt;&gt;")=0,"",SUMIFS(BD!$AB$3:$AB$5001,BD!$A$3:$A$5001,Z$3,BD!$B$3:$B$5001,$A$505)))</f>
        <v/>
      </c>
      <c r="AA531" s="240" t="str">
        <f>IF(AA$3="","",IF(COUNTIFS(BD!$A$3:$A$5001,AA$3,BD!$B$3:$B$5001,$A$505,BD!$AB$3:$AB$5001,"&lt;&gt;")=0,"",SUMIFS(BD!$AB$3:$AB$5001,BD!$A$3:$A$5001,AA$3,BD!$B$3:$B$5001,$A$505)))</f>
        <v/>
      </c>
      <c r="AB531" s="240" t="str">
        <f>IF(AB$3="","",IF(COUNTIFS(BD!$A$3:$A$5001,AB$3,BD!$B$3:$B$5001,$A$505,BD!$AB$3:$AB$5001,"&lt;&gt;")=0,"",SUMIFS(BD!$AB$3:$AB$5001,BD!$A$3:$A$5001,AB$3,BD!$B$3:$B$5001,$A$505)))</f>
        <v/>
      </c>
      <c r="AC531" s="240" t="str">
        <f>IF(AC$3="","",IF(COUNTIFS(BD!$A$3:$A$5001,AC$3,BD!$B$3:$B$5001,$A$505,BD!$AB$3:$AB$5001,"&lt;&gt;")=0,"",SUMIFS(BD!$AB$3:$AB$5001,BD!$A$3:$A$5001,AC$3,BD!$B$3:$B$5001,$A$505)))</f>
        <v/>
      </c>
      <c r="AD531" s="240" t="str">
        <f>IF(AD$3="","",IF(COUNTIFS(BD!$A$3:$A$5001,AD$3,BD!$B$3:$B$5001,$A$505,BD!$AB$3:$AB$5001,"&lt;&gt;")=0,"",SUMIFS(BD!$AB$3:$AB$5001,BD!$A$3:$A$5001,AD$3,BD!$B$3:$B$5001,$A$505)))</f>
        <v/>
      </c>
      <c r="AE531" s="240" t="str">
        <f>IF(AE$3="","",IF(COUNTIFS(BD!$A$3:$A$5001,AE$3,BD!$B$3:$B$5001,$A$505,BD!$AB$3:$AB$5001,"&lt;&gt;")=0,"",SUMIFS(BD!$AB$3:$AB$5001,BD!$A$3:$A$5001,AE$3,BD!$B$3:$B$5001,$A$505)))</f>
        <v/>
      </c>
      <c r="AF531" s="240" t="str">
        <f>IF(AF$3="","",IF(COUNTIFS(BD!$A$3:$A$5001,AF$3,BD!$B$3:$B$5001,$A$505,BD!$AB$3:$AB$5001,"&lt;&gt;")=0,"",SUMIFS(BD!$AB$3:$AB$5001,BD!$A$3:$A$5001,AF$3,BD!$B$3:$B$5001,$A$505)))</f>
        <v/>
      </c>
      <c r="AG531" s="240" t="str">
        <f>IF(AG$3="","",IF(COUNTIFS(BD!$A$3:$A$5001,AG$3,BD!$B$3:$B$5001,$A$505,BD!$AB$3:$AB$5001,"&lt;&gt;")=0,"",SUMIFS(BD!$AB$3:$AB$5001,BD!$A$3:$A$5001,AG$3,BD!$B$3:$B$5001,$A$505)))</f>
        <v/>
      </c>
      <c r="AH531" s="240" t="str">
        <f>IF(AH$3="","",IF(COUNTIFS(BD!$A$3:$A$5001,AH$3,BD!$B$3:$B$5001,$A$505,BD!$AB$3:$AB$5001,"&lt;&gt;")=0,"",SUMIFS(BD!$AB$3:$AB$5001,BD!$A$3:$A$5001,AH$3,BD!$B$3:$B$5001,$A$505)))</f>
        <v/>
      </c>
      <c r="AI531" s="240" t="str">
        <f>IF(AI$3="","",IF(COUNTIFS(BD!$A$3:$A$5001,AI$3,BD!$B$3:$B$5001,$A$505,BD!$AB$3:$AB$5001,"&lt;&gt;")=0,"",SUMIFS(BD!$AB$3:$AB$5001,BD!$A$3:$A$5001,AI$3,BD!$B$3:$B$5001,$A$505)))</f>
        <v/>
      </c>
      <c r="AJ531" s="241" t="str">
        <f>IF(AJ$3="","",IF(COUNTIFS(BD!$A$3:$A$5001,AJ$3,BD!$B$3:$B$5001,$A$505,BD!$AB$3:$AB$5001,"&lt;&gt;")=0,"",SUMIFS(BD!$AB$3:$AB$5001,BD!$A$3:$A$5001,AJ$3,BD!$B$3:$B$5001,$A$505)))</f>
        <v/>
      </c>
      <c r="AK531" s="242" t="str">
        <f>IF(COUNT(F531:AJ531)=0,"",SUM(F531:AJ531))</f>
        <v/>
      </c>
    </row>
    <row r="532" ht="15.75" customHeight="1" hidden="1">
      <c r="A532" s="261"/>
      <c r="B532" s="258"/>
      <c r="C532" s="232" t="inlineStr">
        <is>
          <t xml:space="preserve">Folga</t>
        </is>
      </c>
      <c r="D532" s="233" t="str">
        <f>IFERROR(1/(1/INDEX(BD!$AL$50:$BF$50,MATCH($A$505,BD!$AL$22:$BF$22,0))),"")</f>
        <v/>
      </c>
      <c r="E532" s="234"/>
      <c r="F532" s="235" t="str">
        <f>IF(F$3="","",IF(COUNTIFS(BD!$A$3:$A$5001,F$3,BD!$B$3:$B$5001,$A$505,BD!$AC$3:$AC$5001,"&lt;&gt;")=0,"",SUMIFS(BD!$AC$3:$AC$5001,BD!$A$3:$A$5001,F$3,BD!$B$3:$B$5001,$A$505)))</f>
        <v/>
      </c>
      <c r="G532" s="236" t="str">
        <f>IF(G$3="","",IF(COUNTIFS(BD!$A$3:$A$5001,G$3,BD!$B$3:$B$5001,$A$505,BD!$AC$3:$AC$5001,"&lt;&gt;")=0,"",SUMIFS(BD!$AC$3:$AC$5001,BD!$A$3:$A$5001,G$3,BD!$B$3:$B$5001,$A$505)))</f>
        <v/>
      </c>
      <c r="H532" s="236" t="str">
        <f>IF(H$3="","",IF(COUNTIFS(BD!$A$3:$A$5001,H$3,BD!$B$3:$B$5001,$A$505,BD!$AC$3:$AC$5001,"&lt;&gt;")=0,"",SUMIFS(BD!$AC$3:$AC$5001,BD!$A$3:$A$5001,H$3,BD!$B$3:$B$5001,$A$505)))</f>
        <v/>
      </c>
      <c r="I532" s="236" t="str">
        <f>IF(I$3="","",IF(COUNTIFS(BD!$A$3:$A$5001,I$3,BD!$B$3:$B$5001,$A$505,BD!$AC$3:$AC$5001,"&lt;&gt;")=0,"",SUMIFS(BD!$AC$3:$AC$5001,BD!$A$3:$A$5001,I$3,BD!$B$3:$B$5001,$A$505)))</f>
        <v/>
      </c>
      <c r="J532" s="236" t="str">
        <f>IF(J$3="","",IF(COUNTIFS(BD!$A$3:$A$5001,J$3,BD!$B$3:$B$5001,$A$505,BD!$AC$3:$AC$5001,"&lt;&gt;")=0,"",SUMIFS(BD!$AC$3:$AC$5001,BD!$A$3:$A$5001,J$3,BD!$B$3:$B$5001,$A$505)))</f>
        <v/>
      </c>
      <c r="K532" s="236" t="str">
        <f>IF(K$3="","",IF(COUNTIFS(BD!$A$3:$A$5001,K$3,BD!$B$3:$B$5001,$A$505,BD!$AC$3:$AC$5001,"&lt;&gt;")=0,"",SUMIFS(BD!$AC$3:$AC$5001,BD!$A$3:$A$5001,K$3,BD!$B$3:$B$5001,$A$505)))</f>
        <v/>
      </c>
      <c r="L532" s="236" t="str">
        <f>IF(L$3="","",IF(COUNTIFS(BD!$A$3:$A$5001,L$3,BD!$B$3:$B$5001,$A$505,BD!$AC$3:$AC$5001,"&lt;&gt;")=0,"",SUMIFS(BD!$AC$3:$AC$5001,BD!$A$3:$A$5001,L$3,BD!$B$3:$B$5001,$A$505)))</f>
        <v/>
      </c>
      <c r="M532" s="236" t="str">
        <f>IF(M$3="","",IF(COUNTIFS(BD!$A$3:$A$5001,M$3,BD!$B$3:$B$5001,$A$505,BD!$AC$3:$AC$5001,"&lt;&gt;")=0,"",SUMIFS(BD!$AC$3:$AC$5001,BD!$A$3:$A$5001,M$3,BD!$B$3:$B$5001,$A$505)))</f>
        <v/>
      </c>
      <c r="N532" s="236" t="str">
        <f>IF(N$3="","",IF(COUNTIFS(BD!$A$3:$A$5001,N$3,BD!$B$3:$B$5001,$A$505,BD!$AC$3:$AC$5001,"&lt;&gt;")=0,"",SUMIFS(BD!$AC$3:$AC$5001,BD!$A$3:$A$5001,N$3,BD!$B$3:$B$5001,$A$505)))</f>
        <v/>
      </c>
      <c r="O532" s="236" t="str">
        <f>IF(O$3="","",IF(COUNTIFS(BD!$A$3:$A$5001,O$3,BD!$B$3:$B$5001,$A$505,BD!$AC$3:$AC$5001,"&lt;&gt;")=0,"",SUMIFS(BD!$AC$3:$AC$5001,BD!$A$3:$A$5001,O$3,BD!$B$3:$B$5001,$A$505)))</f>
        <v/>
      </c>
      <c r="P532" s="236" t="str">
        <f>IF(P$3="","",IF(COUNTIFS(BD!$A$3:$A$5001,P$3,BD!$B$3:$B$5001,$A$505,BD!$AC$3:$AC$5001,"&lt;&gt;")=0,"",SUMIFS(BD!$AC$3:$AC$5001,BD!$A$3:$A$5001,P$3,BD!$B$3:$B$5001,$A$505)))</f>
        <v/>
      </c>
      <c r="Q532" s="236" t="str">
        <f>IF(Q$3="","",IF(COUNTIFS(BD!$A$3:$A$5001,Q$3,BD!$B$3:$B$5001,$A$505,BD!$AC$3:$AC$5001,"&lt;&gt;")=0,"",SUMIFS(BD!$AC$3:$AC$5001,BD!$A$3:$A$5001,Q$3,BD!$B$3:$B$5001,$A$505)))</f>
        <v/>
      </c>
      <c r="R532" s="236" t="str">
        <f>IF(R$3="","",IF(COUNTIFS(BD!$A$3:$A$5001,R$3,BD!$B$3:$B$5001,$A$505,BD!$AC$3:$AC$5001,"&lt;&gt;")=0,"",SUMIFS(BD!$AC$3:$AC$5001,BD!$A$3:$A$5001,R$3,BD!$B$3:$B$5001,$A$505)))</f>
        <v/>
      </c>
      <c r="S532" s="236" t="str">
        <f>IF(S$3="","",IF(COUNTIFS(BD!$A$3:$A$5001,S$3,BD!$B$3:$B$5001,$A$505,BD!$AC$3:$AC$5001,"&lt;&gt;")=0,"",SUMIFS(BD!$AC$3:$AC$5001,BD!$A$3:$A$5001,S$3,BD!$B$3:$B$5001,$A$505)))</f>
        <v/>
      </c>
      <c r="T532" s="236" t="str">
        <f>IF(T$3="","",IF(COUNTIFS(BD!$A$3:$A$5001,T$3,BD!$B$3:$B$5001,$A$505,BD!$AC$3:$AC$5001,"&lt;&gt;")=0,"",SUMIFS(BD!$AC$3:$AC$5001,BD!$A$3:$A$5001,T$3,BD!$B$3:$B$5001,$A$505)))</f>
        <v/>
      </c>
      <c r="U532" s="236" t="str">
        <f>IF(U$3="","",IF(COUNTIFS(BD!$A$3:$A$5001,U$3,BD!$B$3:$B$5001,$A$505,BD!$AC$3:$AC$5001,"&lt;&gt;")=0,"",SUMIFS(BD!$AC$3:$AC$5001,BD!$A$3:$A$5001,U$3,BD!$B$3:$B$5001,$A$505)))</f>
        <v/>
      </c>
      <c r="V532" s="236" t="str">
        <f>IF(V$3="","",IF(COUNTIFS(BD!$A$3:$A$5001,V$3,BD!$B$3:$B$5001,$A$505,BD!$AC$3:$AC$5001,"&lt;&gt;")=0,"",SUMIFS(BD!$AC$3:$AC$5001,BD!$A$3:$A$5001,V$3,BD!$B$3:$B$5001,$A$505)))</f>
        <v/>
      </c>
      <c r="W532" s="236" t="str">
        <f>IF(W$3="","",IF(COUNTIFS(BD!$A$3:$A$5001,W$3,BD!$B$3:$B$5001,$A$505,BD!$AC$3:$AC$5001,"&lt;&gt;")=0,"",SUMIFS(BD!$AC$3:$AC$5001,BD!$A$3:$A$5001,W$3,BD!$B$3:$B$5001,$A$505)))</f>
        <v/>
      </c>
      <c r="X532" s="236" t="str">
        <f>IF(X$3="","",IF(COUNTIFS(BD!$A$3:$A$5001,X$3,BD!$B$3:$B$5001,$A$505,BD!$AC$3:$AC$5001,"&lt;&gt;")=0,"",SUMIFS(BD!$AC$3:$AC$5001,BD!$A$3:$A$5001,X$3,BD!$B$3:$B$5001,$A$505)))</f>
        <v/>
      </c>
      <c r="Y532" s="236" t="str">
        <f>IF(Y$3="","",IF(COUNTIFS(BD!$A$3:$A$5001,Y$3,BD!$B$3:$B$5001,$A$505,BD!$AC$3:$AC$5001,"&lt;&gt;")=0,"",SUMIFS(BD!$AC$3:$AC$5001,BD!$A$3:$A$5001,Y$3,BD!$B$3:$B$5001,$A$505)))</f>
        <v/>
      </c>
      <c r="Z532" s="236" t="str">
        <f>IF(Z$3="","",IF(COUNTIFS(BD!$A$3:$A$5001,Z$3,BD!$B$3:$B$5001,$A$505,BD!$AC$3:$AC$5001,"&lt;&gt;")=0,"",SUMIFS(BD!$AC$3:$AC$5001,BD!$A$3:$A$5001,Z$3,BD!$B$3:$B$5001,$A$505)))</f>
        <v/>
      </c>
      <c r="AA532" s="236" t="str">
        <f>IF(AA$3="","",IF(COUNTIFS(BD!$A$3:$A$5001,AA$3,BD!$B$3:$B$5001,$A$505,BD!$AC$3:$AC$5001,"&lt;&gt;")=0,"",SUMIFS(BD!$AC$3:$AC$5001,BD!$A$3:$A$5001,AA$3,BD!$B$3:$B$5001,$A$505)))</f>
        <v/>
      </c>
      <c r="AB532" s="236" t="str">
        <f>IF(AB$3="","",IF(COUNTIFS(BD!$A$3:$A$5001,AB$3,BD!$B$3:$B$5001,$A$505,BD!$AC$3:$AC$5001,"&lt;&gt;")=0,"",SUMIFS(BD!$AC$3:$AC$5001,BD!$A$3:$A$5001,AB$3,BD!$B$3:$B$5001,$A$505)))</f>
        <v/>
      </c>
      <c r="AC532" s="236" t="str">
        <f>IF(AC$3="","",IF(COUNTIFS(BD!$A$3:$A$5001,AC$3,BD!$B$3:$B$5001,$A$505,BD!$AC$3:$AC$5001,"&lt;&gt;")=0,"",SUMIFS(BD!$AC$3:$AC$5001,BD!$A$3:$A$5001,AC$3,BD!$B$3:$B$5001,$A$505)))</f>
        <v/>
      </c>
      <c r="AD532" s="236" t="str">
        <f>IF(AD$3="","",IF(COUNTIFS(BD!$A$3:$A$5001,AD$3,BD!$B$3:$B$5001,$A$505,BD!$AC$3:$AC$5001,"&lt;&gt;")=0,"",SUMIFS(BD!$AC$3:$AC$5001,BD!$A$3:$A$5001,AD$3,BD!$B$3:$B$5001,$A$505)))</f>
        <v/>
      </c>
      <c r="AE532" s="236" t="str">
        <f>IF(AE$3="","",IF(COUNTIFS(BD!$A$3:$A$5001,AE$3,BD!$B$3:$B$5001,$A$505,BD!$AC$3:$AC$5001,"&lt;&gt;")=0,"",SUMIFS(BD!$AC$3:$AC$5001,BD!$A$3:$A$5001,AE$3,BD!$B$3:$B$5001,$A$505)))</f>
        <v/>
      </c>
      <c r="AF532" s="236" t="str">
        <f>IF(AF$3="","",IF(COUNTIFS(BD!$A$3:$A$5001,AF$3,BD!$B$3:$B$5001,$A$505,BD!$AC$3:$AC$5001,"&lt;&gt;")=0,"",SUMIFS(BD!$AC$3:$AC$5001,BD!$A$3:$A$5001,AF$3,BD!$B$3:$B$5001,$A$505)))</f>
        <v/>
      </c>
      <c r="AG532" s="236" t="str">
        <f>IF(AG$3="","",IF(COUNTIFS(BD!$A$3:$A$5001,AG$3,BD!$B$3:$B$5001,$A$505,BD!$AC$3:$AC$5001,"&lt;&gt;")=0,"",SUMIFS(BD!$AC$3:$AC$5001,BD!$A$3:$A$5001,AG$3,BD!$B$3:$B$5001,$A$505)))</f>
        <v/>
      </c>
      <c r="AH532" s="236" t="str">
        <f>IF(AH$3="","",IF(COUNTIFS(BD!$A$3:$A$5001,AH$3,BD!$B$3:$B$5001,$A$505,BD!$AC$3:$AC$5001,"&lt;&gt;")=0,"",SUMIFS(BD!$AC$3:$AC$5001,BD!$A$3:$A$5001,AH$3,BD!$B$3:$B$5001,$A$505)))</f>
        <v/>
      </c>
      <c r="AI532" s="236" t="str">
        <f>IF(AI$3="","",IF(COUNTIFS(BD!$A$3:$A$5001,AI$3,BD!$B$3:$B$5001,$A$505,BD!$AC$3:$AC$5001,"&lt;&gt;")=0,"",SUMIFS(BD!$AC$3:$AC$5001,BD!$A$3:$A$5001,AI$3,BD!$B$3:$B$5001,$A$505)))</f>
        <v/>
      </c>
      <c r="AJ532" s="237" t="str">
        <f>IF(AJ$3="","",IF(COUNTIFS(BD!$A$3:$A$5001,AJ$3,BD!$B$3:$B$5001,$A$505,BD!$AC$3:$AC$5001,"&lt;&gt;")=0,"",SUMIFS(BD!$AC$3:$AC$5001,BD!$A$3:$A$5001,AJ$3,BD!$B$3:$B$5001,$A$505)))</f>
        <v/>
      </c>
      <c r="AK532" s="238" t="str">
        <f>IF(COUNT(F532:AJ532)=0,"",SUM(F532:AJ532))</f>
        <v/>
      </c>
    </row>
    <row r="533" ht="15.75" customHeight="1" hidden="1">
      <c r="A533" s="261"/>
      <c r="B533" s="258"/>
      <c r="C533" s="232" t="inlineStr">
        <is>
          <t xml:space="preserve">Férias</t>
        </is>
      </c>
      <c r="D533" s="233" t="str">
        <f>IFERROR(1/(1/INDEX(BD!$AL$51:$BF$51,MATCH($A$505,BD!$AL$22:$BF$22,0))),"")</f>
        <v/>
      </c>
      <c r="E533" s="234"/>
      <c r="F533" s="235" t="str">
        <f>IF(F$3="","",IF(COUNTIFS(BD!$A$3:$A$5001,F$3,BD!$B$3:$B$5001,$A$505,BD!$AD$3:$AD$5001,"&lt;&gt;")=0,"",SUMIFS(BD!$AD$3:$AD$5001,BD!$A$3:$A$5001,F$3,BD!$B$3:$B$5001,$A$505)))</f>
        <v/>
      </c>
      <c r="G533" s="236" t="str">
        <f>IF(G$3="","",IF(COUNTIFS(BD!$A$3:$A$5001,G$3,BD!$B$3:$B$5001,$A$505,BD!$AD$3:$AD$5001,"&lt;&gt;")=0,"",SUMIFS(BD!$AD$3:$AD$5001,BD!$A$3:$A$5001,G$3,BD!$B$3:$B$5001,$A$505)))</f>
        <v/>
      </c>
      <c r="H533" s="236" t="str">
        <f>IF(H$3="","",IF(COUNTIFS(BD!$A$3:$A$5001,H$3,BD!$B$3:$B$5001,$A$505,BD!$AD$3:$AD$5001,"&lt;&gt;")=0,"",SUMIFS(BD!$AD$3:$AD$5001,BD!$A$3:$A$5001,H$3,BD!$B$3:$B$5001,$A$505)))</f>
        <v/>
      </c>
      <c r="I533" s="236" t="str">
        <f>IF(I$3="","",IF(COUNTIFS(BD!$A$3:$A$5001,I$3,BD!$B$3:$B$5001,$A$505,BD!$AD$3:$AD$5001,"&lt;&gt;")=0,"",SUMIFS(BD!$AD$3:$AD$5001,BD!$A$3:$A$5001,I$3,BD!$B$3:$B$5001,$A$505)))</f>
        <v/>
      </c>
      <c r="J533" s="236" t="str">
        <f>IF(J$3="","",IF(COUNTIFS(BD!$A$3:$A$5001,J$3,BD!$B$3:$B$5001,$A$505,BD!$AD$3:$AD$5001,"&lt;&gt;")=0,"",SUMIFS(BD!$AD$3:$AD$5001,BD!$A$3:$A$5001,J$3,BD!$B$3:$B$5001,$A$505)))</f>
        <v/>
      </c>
      <c r="K533" s="236" t="str">
        <f>IF(K$3="","",IF(COUNTIFS(BD!$A$3:$A$5001,K$3,BD!$B$3:$B$5001,$A$505,BD!$AD$3:$AD$5001,"&lt;&gt;")=0,"",SUMIFS(BD!$AD$3:$AD$5001,BD!$A$3:$A$5001,K$3,BD!$B$3:$B$5001,$A$505)))</f>
        <v/>
      </c>
      <c r="L533" s="236" t="str">
        <f>IF(L$3="","",IF(COUNTIFS(BD!$A$3:$A$5001,L$3,BD!$B$3:$B$5001,$A$505,BD!$AD$3:$AD$5001,"&lt;&gt;")=0,"",SUMIFS(BD!$AD$3:$AD$5001,BD!$A$3:$A$5001,L$3,BD!$B$3:$B$5001,$A$505)))</f>
        <v/>
      </c>
      <c r="M533" s="236" t="str">
        <f>IF(M$3="","",IF(COUNTIFS(BD!$A$3:$A$5001,M$3,BD!$B$3:$B$5001,$A$505,BD!$AD$3:$AD$5001,"&lt;&gt;")=0,"",SUMIFS(BD!$AD$3:$AD$5001,BD!$A$3:$A$5001,M$3,BD!$B$3:$B$5001,$A$505)))</f>
        <v/>
      </c>
      <c r="N533" s="236" t="str">
        <f>IF(N$3="","",IF(COUNTIFS(BD!$A$3:$A$5001,N$3,BD!$B$3:$B$5001,$A$505,BD!$AD$3:$AD$5001,"&lt;&gt;")=0,"",SUMIFS(BD!$AD$3:$AD$5001,BD!$A$3:$A$5001,N$3,BD!$B$3:$B$5001,$A$505)))</f>
        <v/>
      </c>
      <c r="O533" s="236" t="str">
        <f>IF(O$3="","",IF(COUNTIFS(BD!$A$3:$A$5001,O$3,BD!$B$3:$B$5001,$A$505,BD!$AD$3:$AD$5001,"&lt;&gt;")=0,"",SUMIFS(BD!$AD$3:$AD$5001,BD!$A$3:$A$5001,O$3,BD!$B$3:$B$5001,$A$505)))</f>
        <v/>
      </c>
      <c r="P533" s="236" t="str">
        <f>IF(P$3="","",IF(COUNTIFS(BD!$A$3:$A$5001,P$3,BD!$B$3:$B$5001,$A$505,BD!$AD$3:$AD$5001,"&lt;&gt;")=0,"",SUMIFS(BD!$AD$3:$AD$5001,BD!$A$3:$A$5001,P$3,BD!$B$3:$B$5001,$A$505)))</f>
        <v/>
      </c>
      <c r="Q533" s="236" t="str">
        <f>IF(Q$3="","",IF(COUNTIFS(BD!$A$3:$A$5001,Q$3,BD!$B$3:$B$5001,$A$505,BD!$AD$3:$AD$5001,"&lt;&gt;")=0,"",SUMIFS(BD!$AD$3:$AD$5001,BD!$A$3:$A$5001,Q$3,BD!$B$3:$B$5001,$A$505)))</f>
        <v/>
      </c>
      <c r="R533" s="236" t="str">
        <f>IF(R$3="","",IF(COUNTIFS(BD!$A$3:$A$5001,R$3,BD!$B$3:$B$5001,$A$505,BD!$AD$3:$AD$5001,"&lt;&gt;")=0,"",SUMIFS(BD!$AD$3:$AD$5001,BD!$A$3:$A$5001,R$3,BD!$B$3:$B$5001,$A$505)))</f>
        <v/>
      </c>
      <c r="S533" s="236" t="str">
        <f>IF(S$3="","",IF(COUNTIFS(BD!$A$3:$A$5001,S$3,BD!$B$3:$B$5001,$A$505,BD!$AD$3:$AD$5001,"&lt;&gt;")=0,"",SUMIFS(BD!$AD$3:$AD$5001,BD!$A$3:$A$5001,S$3,BD!$B$3:$B$5001,$A$505)))</f>
        <v/>
      </c>
      <c r="T533" s="236" t="str">
        <f>IF(T$3="","",IF(COUNTIFS(BD!$A$3:$A$5001,T$3,BD!$B$3:$B$5001,$A$505,BD!$AD$3:$AD$5001,"&lt;&gt;")=0,"",SUMIFS(BD!$AD$3:$AD$5001,BD!$A$3:$A$5001,T$3,BD!$B$3:$B$5001,$A$505)))</f>
        <v/>
      </c>
      <c r="U533" s="236" t="str">
        <f>IF(U$3="","",IF(COUNTIFS(BD!$A$3:$A$5001,U$3,BD!$B$3:$B$5001,$A$505,BD!$AD$3:$AD$5001,"&lt;&gt;")=0,"",SUMIFS(BD!$AD$3:$AD$5001,BD!$A$3:$A$5001,U$3,BD!$B$3:$B$5001,$A$505)))</f>
        <v/>
      </c>
      <c r="V533" s="236" t="str">
        <f>IF(V$3="","",IF(COUNTIFS(BD!$A$3:$A$5001,V$3,BD!$B$3:$B$5001,$A$505,BD!$AD$3:$AD$5001,"&lt;&gt;")=0,"",SUMIFS(BD!$AD$3:$AD$5001,BD!$A$3:$A$5001,V$3,BD!$B$3:$B$5001,$A$505)))</f>
        <v/>
      </c>
      <c r="W533" s="236" t="str">
        <f>IF(W$3="","",IF(COUNTIFS(BD!$A$3:$A$5001,W$3,BD!$B$3:$B$5001,$A$505,BD!$AD$3:$AD$5001,"&lt;&gt;")=0,"",SUMIFS(BD!$AD$3:$AD$5001,BD!$A$3:$A$5001,W$3,BD!$B$3:$B$5001,$A$505)))</f>
        <v/>
      </c>
      <c r="X533" s="236" t="str">
        <f>IF(X$3="","",IF(COUNTIFS(BD!$A$3:$A$5001,X$3,BD!$B$3:$B$5001,$A$505,BD!$AD$3:$AD$5001,"&lt;&gt;")=0,"",SUMIFS(BD!$AD$3:$AD$5001,BD!$A$3:$A$5001,X$3,BD!$B$3:$B$5001,$A$505)))</f>
        <v/>
      </c>
      <c r="Y533" s="236" t="str">
        <f>IF(Y$3="","",IF(COUNTIFS(BD!$A$3:$A$5001,Y$3,BD!$B$3:$B$5001,$A$505,BD!$AD$3:$AD$5001,"&lt;&gt;")=0,"",SUMIFS(BD!$AD$3:$AD$5001,BD!$A$3:$A$5001,Y$3,BD!$B$3:$B$5001,$A$505)))</f>
        <v/>
      </c>
      <c r="Z533" s="236" t="str">
        <f>IF(Z$3="","",IF(COUNTIFS(BD!$A$3:$A$5001,Z$3,BD!$B$3:$B$5001,$A$505,BD!$AD$3:$AD$5001,"&lt;&gt;")=0,"",SUMIFS(BD!$AD$3:$AD$5001,BD!$A$3:$A$5001,Z$3,BD!$B$3:$B$5001,$A$505)))</f>
        <v/>
      </c>
      <c r="AA533" s="236" t="str">
        <f>IF(AA$3="","",IF(COUNTIFS(BD!$A$3:$A$5001,AA$3,BD!$B$3:$B$5001,$A$505,BD!$AD$3:$AD$5001,"&lt;&gt;")=0,"",SUMIFS(BD!$AD$3:$AD$5001,BD!$A$3:$A$5001,AA$3,BD!$B$3:$B$5001,$A$505)))</f>
        <v/>
      </c>
      <c r="AB533" s="236" t="str">
        <f>IF(AB$3="","",IF(COUNTIFS(BD!$A$3:$A$5001,AB$3,BD!$B$3:$B$5001,$A$505,BD!$AD$3:$AD$5001,"&lt;&gt;")=0,"",SUMIFS(BD!$AD$3:$AD$5001,BD!$A$3:$A$5001,AB$3,BD!$B$3:$B$5001,$A$505)))</f>
        <v/>
      </c>
      <c r="AC533" s="236" t="str">
        <f>IF(AC$3="","",IF(COUNTIFS(BD!$A$3:$A$5001,AC$3,BD!$B$3:$B$5001,$A$505,BD!$AD$3:$AD$5001,"&lt;&gt;")=0,"",SUMIFS(BD!$AD$3:$AD$5001,BD!$A$3:$A$5001,AC$3,BD!$B$3:$B$5001,$A$505)))</f>
        <v/>
      </c>
      <c r="AD533" s="236" t="str">
        <f>IF(AD$3="","",IF(COUNTIFS(BD!$A$3:$A$5001,AD$3,BD!$B$3:$B$5001,$A$505,BD!$AD$3:$AD$5001,"&lt;&gt;")=0,"",SUMIFS(BD!$AD$3:$AD$5001,BD!$A$3:$A$5001,AD$3,BD!$B$3:$B$5001,$A$505)))</f>
        <v/>
      </c>
      <c r="AE533" s="236" t="str">
        <f>IF(AE$3="","",IF(COUNTIFS(BD!$A$3:$A$5001,AE$3,BD!$B$3:$B$5001,$A$505,BD!$AD$3:$AD$5001,"&lt;&gt;")=0,"",SUMIFS(BD!$AD$3:$AD$5001,BD!$A$3:$A$5001,AE$3,BD!$B$3:$B$5001,$A$505)))</f>
        <v/>
      </c>
      <c r="AF533" s="236" t="str">
        <f>IF(AF$3="","",IF(COUNTIFS(BD!$A$3:$A$5001,AF$3,BD!$B$3:$B$5001,$A$505,BD!$AD$3:$AD$5001,"&lt;&gt;")=0,"",SUMIFS(BD!$AD$3:$AD$5001,BD!$A$3:$A$5001,AF$3,BD!$B$3:$B$5001,$A$505)))</f>
        <v/>
      </c>
      <c r="AG533" s="236" t="str">
        <f>IF(AG$3="","",IF(COUNTIFS(BD!$A$3:$A$5001,AG$3,BD!$B$3:$B$5001,$A$505,BD!$AD$3:$AD$5001,"&lt;&gt;")=0,"",SUMIFS(BD!$AD$3:$AD$5001,BD!$A$3:$A$5001,AG$3,BD!$B$3:$B$5001,$A$505)))</f>
        <v/>
      </c>
      <c r="AH533" s="236" t="str">
        <f>IF(AH$3="","",IF(COUNTIFS(BD!$A$3:$A$5001,AH$3,BD!$B$3:$B$5001,$A$505,BD!$AD$3:$AD$5001,"&lt;&gt;")=0,"",SUMIFS(BD!$AD$3:$AD$5001,BD!$A$3:$A$5001,AH$3,BD!$B$3:$B$5001,$A$505)))</f>
        <v/>
      </c>
      <c r="AI533" s="236" t="str">
        <f>IF(AI$3="","",IF(COUNTIFS(BD!$A$3:$A$5001,AI$3,BD!$B$3:$B$5001,$A$505,BD!$AD$3:$AD$5001,"&lt;&gt;")=0,"",SUMIFS(BD!$AD$3:$AD$5001,BD!$A$3:$A$5001,AI$3,BD!$B$3:$B$5001,$A$505)))</f>
        <v/>
      </c>
      <c r="AJ533" s="237" t="str">
        <f>IF(AJ$3="","",IF(COUNTIFS(BD!$A$3:$A$5001,AJ$3,BD!$B$3:$B$5001,$A$505,BD!$AD$3:$AD$5001,"&lt;&gt;")=0,"",SUMIFS(BD!$AD$3:$AD$5001,BD!$A$3:$A$5001,AJ$3,BD!$B$3:$B$5001,$A$505)))</f>
        <v/>
      </c>
      <c r="AK533" s="238" t="str">
        <f>IF(COUNT(F533:AJ533)=0,"",SUM(F533:AJ533))</f>
        <v/>
      </c>
    </row>
    <row r="534" ht="15.75" customHeight="1" hidden="1">
      <c r="A534" s="261"/>
      <c r="B534" s="258"/>
      <c r="C534" s="232" t="inlineStr">
        <is>
          <t xml:space="preserve">Desligamento</t>
        </is>
      </c>
      <c r="D534" s="233" t="str">
        <f>IFERROR(1/(1/INDEX(BD!$AL$52:$BF$52,MATCH($A$505,BD!$AL$22:$BF$22,0))),"")</f>
        <v/>
      </c>
      <c r="E534" s="234"/>
      <c r="F534" s="235" t="str">
        <f>IF(F$3="","",IF(COUNTIFS(BD!$A$3:$A$5001,F$3,BD!$B$3:$B$5001,$A$505,BD!$AE$3:$AE$5001,"&lt;&gt;")=0,"",SUMIFS(BD!$AE$3:$AE$5001,BD!$A$3:$A$5001,F$3,BD!$B$3:$B$5001,$A$505)))</f>
        <v/>
      </c>
      <c r="G534" s="236" t="str">
        <f>IF(G$3="","",IF(COUNTIFS(BD!$A$3:$A$5001,G$3,BD!$B$3:$B$5001,$A$505,BD!$AE$3:$AE$5001,"&lt;&gt;")=0,"",SUMIFS(BD!$AE$3:$AE$5001,BD!$A$3:$A$5001,G$3,BD!$B$3:$B$5001,$A$505)))</f>
        <v/>
      </c>
      <c r="H534" s="236" t="str">
        <f>IF(H$3="","",IF(COUNTIFS(BD!$A$3:$A$5001,H$3,BD!$B$3:$B$5001,$A$505,BD!$AE$3:$AE$5001,"&lt;&gt;")=0,"",SUMIFS(BD!$AE$3:$AE$5001,BD!$A$3:$A$5001,H$3,BD!$B$3:$B$5001,$A$505)))</f>
        <v/>
      </c>
      <c r="I534" s="236" t="str">
        <f>IF(I$3="","",IF(COUNTIFS(BD!$A$3:$A$5001,I$3,BD!$B$3:$B$5001,$A$505,BD!$AE$3:$AE$5001,"&lt;&gt;")=0,"",SUMIFS(BD!$AE$3:$AE$5001,BD!$A$3:$A$5001,I$3,BD!$B$3:$B$5001,$A$505)))</f>
        <v/>
      </c>
      <c r="J534" s="236" t="str">
        <f>IF(J$3="","",IF(COUNTIFS(BD!$A$3:$A$5001,J$3,BD!$B$3:$B$5001,$A$505,BD!$AE$3:$AE$5001,"&lt;&gt;")=0,"",SUMIFS(BD!$AE$3:$AE$5001,BD!$A$3:$A$5001,J$3,BD!$B$3:$B$5001,$A$505)))</f>
        <v/>
      </c>
      <c r="K534" s="236" t="str">
        <f>IF(K$3="","",IF(COUNTIFS(BD!$A$3:$A$5001,K$3,BD!$B$3:$B$5001,$A$505,BD!$AE$3:$AE$5001,"&lt;&gt;")=0,"",SUMIFS(BD!$AE$3:$AE$5001,BD!$A$3:$A$5001,K$3,BD!$B$3:$B$5001,$A$505)))</f>
        <v/>
      </c>
      <c r="L534" s="236" t="str">
        <f>IF(L$3="","",IF(COUNTIFS(BD!$A$3:$A$5001,L$3,BD!$B$3:$B$5001,$A$505,BD!$AE$3:$AE$5001,"&lt;&gt;")=0,"",SUMIFS(BD!$AE$3:$AE$5001,BD!$A$3:$A$5001,L$3,BD!$B$3:$B$5001,$A$505)))</f>
        <v/>
      </c>
      <c r="M534" s="236" t="str">
        <f>IF(M$3="","",IF(COUNTIFS(BD!$A$3:$A$5001,M$3,BD!$B$3:$B$5001,$A$505,BD!$AE$3:$AE$5001,"&lt;&gt;")=0,"",SUMIFS(BD!$AE$3:$AE$5001,BD!$A$3:$A$5001,M$3,BD!$B$3:$B$5001,$A$505)))</f>
        <v/>
      </c>
      <c r="N534" s="236" t="str">
        <f>IF(N$3="","",IF(COUNTIFS(BD!$A$3:$A$5001,N$3,BD!$B$3:$B$5001,$A$505,BD!$AE$3:$AE$5001,"&lt;&gt;")=0,"",SUMIFS(BD!$AE$3:$AE$5001,BD!$A$3:$A$5001,N$3,BD!$B$3:$B$5001,$A$505)))</f>
        <v/>
      </c>
      <c r="O534" s="236" t="str">
        <f>IF(O$3="","",IF(COUNTIFS(BD!$A$3:$A$5001,O$3,BD!$B$3:$B$5001,$A$505,BD!$AE$3:$AE$5001,"&lt;&gt;")=0,"",SUMIFS(BD!$AE$3:$AE$5001,BD!$A$3:$A$5001,O$3,BD!$B$3:$B$5001,$A$505)))</f>
        <v/>
      </c>
      <c r="P534" s="236" t="str">
        <f>IF(P$3="","",IF(COUNTIFS(BD!$A$3:$A$5001,P$3,BD!$B$3:$B$5001,$A$505,BD!$AE$3:$AE$5001,"&lt;&gt;")=0,"",SUMIFS(BD!$AE$3:$AE$5001,BD!$A$3:$A$5001,P$3,BD!$B$3:$B$5001,$A$505)))</f>
        <v/>
      </c>
      <c r="Q534" s="236" t="str">
        <f>IF(Q$3="","",IF(COUNTIFS(BD!$A$3:$A$5001,Q$3,BD!$B$3:$B$5001,$A$505,BD!$AE$3:$AE$5001,"&lt;&gt;")=0,"",SUMIFS(BD!$AE$3:$AE$5001,BD!$A$3:$A$5001,Q$3,BD!$B$3:$B$5001,$A$505)))</f>
        <v/>
      </c>
      <c r="R534" s="236" t="str">
        <f>IF(R$3="","",IF(COUNTIFS(BD!$A$3:$A$5001,R$3,BD!$B$3:$B$5001,$A$505,BD!$AE$3:$AE$5001,"&lt;&gt;")=0,"",SUMIFS(BD!$AE$3:$AE$5001,BD!$A$3:$A$5001,R$3,BD!$B$3:$B$5001,$A$505)))</f>
        <v/>
      </c>
      <c r="S534" s="236" t="str">
        <f>IF(S$3="","",IF(COUNTIFS(BD!$A$3:$A$5001,S$3,BD!$B$3:$B$5001,$A$505,BD!$AE$3:$AE$5001,"&lt;&gt;")=0,"",SUMIFS(BD!$AE$3:$AE$5001,BD!$A$3:$A$5001,S$3,BD!$B$3:$B$5001,$A$505)))</f>
        <v/>
      </c>
      <c r="T534" s="236" t="str">
        <f>IF(T$3="","",IF(COUNTIFS(BD!$A$3:$A$5001,T$3,BD!$B$3:$B$5001,$A$505,BD!$AE$3:$AE$5001,"&lt;&gt;")=0,"",SUMIFS(BD!$AE$3:$AE$5001,BD!$A$3:$A$5001,T$3,BD!$B$3:$B$5001,$A$505)))</f>
        <v/>
      </c>
      <c r="U534" s="236" t="str">
        <f>IF(U$3="","",IF(COUNTIFS(BD!$A$3:$A$5001,U$3,BD!$B$3:$B$5001,$A$505,BD!$AE$3:$AE$5001,"&lt;&gt;")=0,"",SUMIFS(BD!$AE$3:$AE$5001,BD!$A$3:$A$5001,U$3,BD!$B$3:$B$5001,$A$505)))</f>
        <v/>
      </c>
      <c r="V534" s="236" t="str">
        <f>IF(V$3="","",IF(COUNTIFS(BD!$A$3:$A$5001,V$3,BD!$B$3:$B$5001,$A$505,BD!$AE$3:$AE$5001,"&lt;&gt;")=0,"",SUMIFS(BD!$AE$3:$AE$5001,BD!$A$3:$A$5001,V$3,BD!$B$3:$B$5001,$A$505)))</f>
        <v/>
      </c>
      <c r="W534" s="236" t="str">
        <f>IF(W$3="","",IF(COUNTIFS(BD!$A$3:$A$5001,W$3,BD!$B$3:$B$5001,$A$505,BD!$AE$3:$AE$5001,"&lt;&gt;")=0,"",SUMIFS(BD!$AE$3:$AE$5001,BD!$A$3:$A$5001,W$3,BD!$B$3:$B$5001,$A$505)))</f>
        <v/>
      </c>
      <c r="X534" s="236" t="str">
        <f>IF(X$3="","",IF(COUNTIFS(BD!$A$3:$A$5001,X$3,BD!$B$3:$B$5001,$A$505,BD!$AE$3:$AE$5001,"&lt;&gt;")=0,"",SUMIFS(BD!$AE$3:$AE$5001,BD!$A$3:$A$5001,X$3,BD!$B$3:$B$5001,$A$505)))</f>
        <v/>
      </c>
      <c r="Y534" s="236" t="str">
        <f>IF(Y$3="","",IF(COUNTIFS(BD!$A$3:$A$5001,Y$3,BD!$B$3:$B$5001,$A$505,BD!$AE$3:$AE$5001,"&lt;&gt;")=0,"",SUMIFS(BD!$AE$3:$AE$5001,BD!$A$3:$A$5001,Y$3,BD!$B$3:$B$5001,$A$505)))</f>
        <v/>
      </c>
      <c r="Z534" s="236" t="str">
        <f>IF(Z$3="","",IF(COUNTIFS(BD!$A$3:$A$5001,Z$3,BD!$B$3:$B$5001,$A$505,BD!$AE$3:$AE$5001,"&lt;&gt;")=0,"",SUMIFS(BD!$AE$3:$AE$5001,BD!$A$3:$A$5001,Z$3,BD!$B$3:$B$5001,$A$505)))</f>
        <v/>
      </c>
      <c r="AA534" s="236" t="str">
        <f>IF(AA$3="","",IF(COUNTIFS(BD!$A$3:$A$5001,AA$3,BD!$B$3:$B$5001,$A$505,BD!$AE$3:$AE$5001,"&lt;&gt;")=0,"",SUMIFS(BD!$AE$3:$AE$5001,BD!$A$3:$A$5001,AA$3,BD!$B$3:$B$5001,$A$505)))</f>
        <v/>
      </c>
      <c r="AB534" s="236" t="str">
        <f>IF(AB$3="","",IF(COUNTIFS(BD!$A$3:$A$5001,AB$3,BD!$B$3:$B$5001,$A$505,BD!$AE$3:$AE$5001,"&lt;&gt;")=0,"",SUMIFS(BD!$AE$3:$AE$5001,BD!$A$3:$A$5001,AB$3,BD!$B$3:$B$5001,$A$505)))</f>
        <v/>
      </c>
      <c r="AC534" s="236" t="str">
        <f>IF(AC$3="","",IF(COUNTIFS(BD!$A$3:$A$5001,AC$3,BD!$B$3:$B$5001,$A$505,BD!$AE$3:$AE$5001,"&lt;&gt;")=0,"",SUMIFS(BD!$AE$3:$AE$5001,BD!$A$3:$A$5001,AC$3,BD!$B$3:$B$5001,$A$505)))</f>
        <v/>
      </c>
      <c r="AD534" s="236" t="str">
        <f>IF(AD$3="","",IF(COUNTIFS(BD!$A$3:$A$5001,AD$3,BD!$B$3:$B$5001,$A$505,BD!$AE$3:$AE$5001,"&lt;&gt;")=0,"",SUMIFS(BD!$AE$3:$AE$5001,BD!$A$3:$A$5001,AD$3,BD!$B$3:$B$5001,$A$505)))</f>
        <v/>
      </c>
      <c r="AE534" s="236" t="str">
        <f>IF(AE$3="","",IF(COUNTIFS(BD!$A$3:$A$5001,AE$3,BD!$B$3:$B$5001,$A$505,BD!$AE$3:$AE$5001,"&lt;&gt;")=0,"",SUMIFS(BD!$AE$3:$AE$5001,BD!$A$3:$A$5001,AE$3,BD!$B$3:$B$5001,$A$505)))</f>
        <v/>
      </c>
      <c r="AF534" s="236" t="str">
        <f>IF(AF$3="","",IF(COUNTIFS(BD!$A$3:$A$5001,AF$3,BD!$B$3:$B$5001,$A$505,BD!$AE$3:$AE$5001,"&lt;&gt;")=0,"",SUMIFS(BD!$AE$3:$AE$5001,BD!$A$3:$A$5001,AF$3,BD!$B$3:$B$5001,$A$505)))</f>
        <v/>
      </c>
      <c r="AG534" s="236" t="str">
        <f>IF(AG$3="","",IF(COUNTIFS(BD!$A$3:$A$5001,AG$3,BD!$B$3:$B$5001,$A$505,BD!$AE$3:$AE$5001,"&lt;&gt;")=0,"",SUMIFS(BD!$AE$3:$AE$5001,BD!$A$3:$A$5001,AG$3,BD!$B$3:$B$5001,$A$505)))</f>
        <v/>
      </c>
      <c r="AH534" s="236" t="str">
        <f>IF(AH$3="","",IF(COUNTIFS(BD!$A$3:$A$5001,AH$3,BD!$B$3:$B$5001,$A$505,BD!$AE$3:$AE$5001,"&lt;&gt;")=0,"",SUMIFS(BD!$AE$3:$AE$5001,BD!$A$3:$A$5001,AH$3,BD!$B$3:$B$5001,$A$505)))</f>
        <v/>
      </c>
      <c r="AI534" s="236" t="str">
        <f>IF(AI$3="","",IF(COUNTIFS(BD!$A$3:$A$5001,AI$3,BD!$B$3:$B$5001,$A$505,BD!$AE$3:$AE$5001,"&lt;&gt;")=0,"",SUMIFS(BD!$AE$3:$AE$5001,BD!$A$3:$A$5001,AI$3,BD!$B$3:$B$5001,$A$505)))</f>
        <v/>
      </c>
      <c r="AJ534" s="237" t="str">
        <f>IF(AJ$3="","",IF(COUNTIFS(BD!$A$3:$A$5001,AJ$3,BD!$B$3:$B$5001,$A$505,BD!$AE$3:$AE$5001,"&lt;&gt;")=0,"",SUMIFS(BD!$AE$3:$AE$5001,BD!$A$3:$A$5001,AJ$3,BD!$B$3:$B$5001,$A$505)))</f>
        <v/>
      </c>
      <c r="AK534" s="238" t="str">
        <f>IF(COUNT(F534:AJ534)=0,"",SUM(F534:AJ534))</f>
        <v/>
      </c>
    </row>
    <row r="535" ht="15.75" customHeight="1" hidden="1">
      <c r="A535" s="261"/>
      <c r="B535" s="258"/>
      <c r="C535" s="232" t="inlineStr">
        <is>
          <t xml:space="preserve">Desvios Comportamentais</t>
        </is>
      </c>
      <c r="D535" s="233" t="str">
        <f>IFERROR(1/(1/INDEX(BD!$AL$53:$BF$53,MATCH($A$505,BD!$AL$22:$BF$22,0))),"")</f>
        <v/>
      </c>
      <c r="E535" s="234"/>
      <c r="F535" s="235" t="str">
        <f>IF(F$3="","",IF(COUNTIFS(BD!$A$3:$A$5001,F$3,BD!$B$3:$B$5001,$A$505,BD!$AF$3:$AF$5001,"&lt;&gt;")=0,"",SUMIFS(BD!$AF$3:$AF$5001,BD!$A$3:$A$5001,F$3,BD!$B$3:$B$5001,$A$505)))</f>
        <v/>
      </c>
      <c r="G535" s="236" t="str">
        <f>IF(G$3="","",IF(COUNTIFS(BD!$A$3:$A$5001,G$3,BD!$B$3:$B$5001,$A$505,BD!$AF$3:$AF$5001,"&lt;&gt;")=0,"",SUMIFS(BD!$AF$3:$AF$5001,BD!$A$3:$A$5001,G$3,BD!$B$3:$B$5001,$A$505)))</f>
        <v/>
      </c>
      <c r="H535" s="236" t="str">
        <f>IF(H$3="","",IF(COUNTIFS(BD!$A$3:$A$5001,H$3,BD!$B$3:$B$5001,$A$505,BD!$AF$3:$AF$5001,"&lt;&gt;")=0,"",SUMIFS(BD!$AF$3:$AF$5001,BD!$A$3:$A$5001,H$3,BD!$B$3:$B$5001,$A$505)))</f>
        <v/>
      </c>
      <c r="I535" s="236" t="str">
        <f>IF(I$3="","",IF(COUNTIFS(BD!$A$3:$A$5001,I$3,BD!$B$3:$B$5001,$A$505,BD!$AF$3:$AF$5001,"&lt;&gt;")=0,"",SUMIFS(BD!$AF$3:$AF$5001,BD!$A$3:$A$5001,I$3,BD!$B$3:$B$5001,$A$505)))</f>
        <v/>
      </c>
      <c r="J535" s="236" t="str">
        <f>IF(J$3="","",IF(COUNTIFS(BD!$A$3:$A$5001,J$3,BD!$B$3:$B$5001,$A$505,BD!$AF$3:$AF$5001,"&lt;&gt;")=0,"",SUMIFS(BD!$AF$3:$AF$5001,BD!$A$3:$A$5001,J$3,BD!$B$3:$B$5001,$A$505)))</f>
        <v/>
      </c>
      <c r="K535" s="236" t="str">
        <f>IF(K$3="","",IF(COUNTIFS(BD!$A$3:$A$5001,K$3,BD!$B$3:$B$5001,$A$505,BD!$AF$3:$AF$5001,"&lt;&gt;")=0,"",SUMIFS(BD!$AF$3:$AF$5001,BD!$A$3:$A$5001,K$3,BD!$B$3:$B$5001,$A$505)))</f>
        <v/>
      </c>
      <c r="L535" s="236" t="str">
        <f>IF(L$3="","",IF(COUNTIFS(BD!$A$3:$A$5001,L$3,BD!$B$3:$B$5001,$A$505,BD!$AF$3:$AF$5001,"&lt;&gt;")=0,"",SUMIFS(BD!$AF$3:$AF$5001,BD!$A$3:$A$5001,L$3,BD!$B$3:$B$5001,$A$505)))</f>
        <v/>
      </c>
      <c r="M535" s="236" t="str">
        <f>IF(M$3="","",IF(COUNTIFS(BD!$A$3:$A$5001,M$3,BD!$B$3:$B$5001,$A$505,BD!$AF$3:$AF$5001,"&lt;&gt;")=0,"",SUMIFS(BD!$AF$3:$AF$5001,BD!$A$3:$A$5001,M$3,BD!$B$3:$B$5001,$A$505)))</f>
        <v/>
      </c>
      <c r="N535" s="236" t="str">
        <f>IF(N$3="","",IF(COUNTIFS(BD!$A$3:$A$5001,N$3,BD!$B$3:$B$5001,$A$505,BD!$AF$3:$AF$5001,"&lt;&gt;")=0,"",SUMIFS(BD!$AF$3:$AF$5001,BD!$A$3:$A$5001,N$3,BD!$B$3:$B$5001,$A$505)))</f>
        <v/>
      </c>
      <c r="O535" s="236" t="str">
        <f>IF(O$3="","",IF(COUNTIFS(BD!$A$3:$A$5001,O$3,BD!$B$3:$B$5001,$A$505,BD!$AF$3:$AF$5001,"&lt;&gt;")=0,"",SUMIFS(BD!$AF$3:$AF$5001,BD!$A$3:$A$5001,O$3,BD!$B$3:$B$5001,$A$505)))</f>
        <v/>
      </c>
      <c r="P535" s="236" t="str">
        <f>IF(P$3="","",IF(COUNTIFS(BD!$A$3:$A$5001,P$3,BD!$B$3:$B$5001,$A$505,BD!$AF$3:$AF$5001,"&lt;&gt;")=0,"",SUMIFS(BD!$AF$3:$AF$5001,BD!$A$3:$A$5001,P$3,BD!$B$3:$B$5001,$A$505)))</f>
        <v/>
      </c>
      <c r="Q535" s="236" t="str">
        <f>IF(Q$3="","",IF(COUNTIFS(BD!$A$3:$A$5001,Q$3,BD!$B$3:$B$5001,$A$505,BD!$AF$3:$AF$5001,"&lt;&gt;")=0,"",SUMIFS(BD!$AF$3:$AF$5001,BD!$A$3:$A$5001,Q$3,BD!$B$3:$B$5001,$A$505)))</f>
        <v/>
      </c>
      <c r="R535" s="236" t="str">
        <f>IF(R$3="","",IF(COUNTIFS(BD!$A$3:$A$5001,R$3,BD!$B$3:$B$5001,$A$505,BD!$AF$3:$AF$5001,"&lt;&gt;")=0,"",SUMIFS(BD!$AF$3:$AF$5001,BD!$A$3:$A$5001,R$3,BD!$B$3:$B$5001,$A$505)))</f>
        <v/>
      </c>
      <c r="S535" s="236" t="str">
        <f>IF(S$3="","",IF(COUNTIFS(BD!$A$3:$A$5001,S$3,BD!$B$3:$B$5001,$A$505,BD!$AF$3:$AF$5001,"&lt;&gt;")=0,"",SUMIFS(BD!$AF$3:$AF$5001,BD!$A$3:$A$5001,S$3,BD!$B$3:$B$5001,$A$505)))</f>
        <v/>
      </c>
      <c r="T535" s="236" t="str">
        <f>IF(T$3="","",IF(COUNTIFS(BD!$A$3:$A$5001,T$3,BD!$B$3:$B$5001,$A$505,BD!$AF$3:$AF$5001,"&lt;&gt;")=0,"",SUMIFS(BD!$AF$3:$AF$5001,BD!$A$3:$A$5001,T$3,BD!$B$3:$B$5001,$A$505)))</f>
        <v/>
      </c>
      <c r="U535" s="236" t="str">
        <f>IF(U$3="","",IF(COUNTIFS(BD!$A$3:$A$5001,U$3,BD!$B$3:$B$5001,$A$505,BD!$AF$3:$AF$5001,"&lt;&gt;")=0,"",SUMIFS(BD!$AF$3:$AF$5001,BD!$A$3:$A$5001,U$3,BD!$B$3:$B$5001,$A$505)))</f>
        <v/>
      </c>
      <c r="V535" s="236" t="str">
        <f>IF(V$3="","",IF(COUNTIFS(BD!$A$3:$A$5001,V$3,BD!$B$3:$B$5001,$A$505,BD!$AF$3:$AF$5001,"&lt;&gt;")=0,"",SUMIFS(BD!$AF$3:$AF$5001,BD!$A$3:$A$5001,V$3,BD!$B$3:$B$5001,$A$505)))</f>
        <v/>
      </c>
      <c r="W535" s="236" t="str">
        <f>IF(W$3="","",IF(COUNTIFS(BD!$A$3:$A$5001,W$3,BD!$B$3:$B$5001,$A$505,BD!$AF$3:$AF$5001,"&lt;&gt;")=0,"",SUMIFS(BD!$AF$3:$AF$5001,BD!$A$3:$A$5001,W$3,BD!$B$3:$B$5001,$A$505)))</f>
        <v/>
      </c>
      <c r="X535" s="236" t="str">
        <f>IF(X$3="","",IF(COUNTIFS(BD!$A$3:$A$5001,X$3,BD!$B$3:$B$5001,$A$505,BD!$AF$3:$AF$5001,"&lt;&gt;")=0,"",SUMIFS(BD!$AF$3:$AF$5001,BD!$A$3:$A$5001,X$3,BD!$B$3:$B$5001,$A$505)))</f>
        <v/>
      </c>
      <c r="Y535" s="236" t="str">
        <f>IF(Y$3="","",IF(COUNTIFS(BD!$A$3:$A$5001,Y$3,BD!$B$3:$B$5001,$A$505,BD!$AF$3:$AF$5001,"&lt;&gt;")=0,"",SUMIFS(BD!$AF$3:$AF$5001,BD!$A$3:$A$5001,Y$3,BD!$B$3:$B$5001,$A$505)))</f>
        <v/>
      </c>
      <c r="Z535" s="236" t="str">
        <f>IF(Z$3="","",IF(COUNTIFS(BD!$A$3:$A$5001,Z$3,BD!$B$3:$B$5001,$A$505,BD!$AF$3:$AF$5001,"&lt;&gt;")=0,"",SUMIFS(BD!$AF$3:$AF$5001,BD!$A$3:$A$5001,Z$3,BD!$B$3:$B$5001,$A$505)))</f>
        <v/>
      </c>
      <c r="AA535" s="236" t="str">
        <f>IF(AA$3="","",IF(COUNTIFS(BD!$A$3:$A$5001,AA$3,BD!$B$3:$B$5001,$A$505,BD!$AF$3:$AF$5001,"&lt;&gt;")=0,"",SUMIFS(BD!$AF$3:$AF$5001,BD!$A$3:$A$5001,AA$3,BD!$B$3:$B$5001,$A$505)))</f>
        <v/>
      </c>
      <c r="AB535" s="236" t="str">
        <f>IF(AB$3="","",IF(COUNTIFS(BD!$A$3:$A$5001,AB$3,BD!$B$3:$B$5001,$A$505,BD!$AF$3:$AF$5001,"&lt;&gt;")=0,"",SUMIFS(BD!$AF$3:$AF$5001,BD!$A$3:$A$5001,AB$3,BD!$B$3:$B$5001,$A$505)))</f>
        <v/>
      </c>
      <c r="AC535" s="236" t="str">
        <f>IF(AC$3="","",IF(COUNTIFS(BD!$A$3:$A$5001,AC$3,BD!$B$3:$B$5001,$A$505,BD!$AF$3:$AF$5001,"&lt;&gt;")=0,"",SUMIFS(BD!$AF$3:$AF$5001,BD!$A$3:$A$5001,AC$3,BD!$B$3:$B$5001,$A$505)))</f>
        <v/>
      </c>
      <c r="AD535" s="236" t="str">
        <f>IF(AD$3="","",IF(COUNTIFS(BD!$A$3:$A$5001,AD$3,BD!$B$3:$B$5001,$A$505,BD!$AF$3:$AF$5001,"&lt;&gt;")=0,"",SUMIFS(BD!$AF$3:$AF$5001,BD!$A$3:$A$5001,AD$3,BD!$B$3:$B$5001,$A$505)))</f>
        <v/>
      </c>
      <c r="AE535" s="236" t="str">
        <f>IF(AE$3="","",IF(COUNTIFS(BD!$A$3:$A$5001,AE$3,BD!$B$3:$B$5001,$A$505,BD!$AF$3:$AF$5001,"&lt;&gt;")=0,"",SUMIFS(BD!$AF$3:$AF$5001,BD!$A$3:$A$5001,AE$3,BD!$B$3:$B$5001,$A$505)))</f>
        <v/>
      </c>
      <c r="AF535" s="236" t="str">
        <f>IF(AF$3="","",IF(COUNTIFS(BD!$A$3:$A$5001,AF$3,BD!$B$3:$B$5001,$A$505,BD!$AF$3:$AF$5001,"&lt;&gt;")=0,"",SUMIFS(BD!$AF$3:$AF$5001,BD!$A$3:$A$5001,AF$3,BD!$B$3:$B$5001,$A$505)))</f>
        <v/>
      </c>
      <c r="AG535" s="236" t="str">
        <f>IF(AG$3="","",IF(COUNTIFS(BD!$A$3:$A$5001,AG$3,BD!$B$3:$B$5001,$A$505,BD!$AF$3:$AF$5001,"&lt;&gt;")=0,"",SUMIFS(BD!$AF$3:$AF$5001,BD!$A$3:$A$5001,AG$3,BD!$B$3:$B$5001,$A$505)))</f>
        <v/>
      </c>
      <c r="AH535" s="236" t="str">
        <f>IF(AH$3="","",IF(COUNTIFS(BD!$A$3:$A$5001,AH$3,BD!$B$3:$B$5001,$A$505,BD!$AF$3:$AF$5001,"&lt;&gt;")=0,"",SUMIFS(BD!$AF$3:$AF$5001,BD!$A$3:$A$5001,AH$3,BD!$B$3:$B$5001,$A$505)))</f>
        <v/>
      </c>
      <c r="AI535" s="236" t="str">
        <f>IF(AI$3="","",IF(COUNTIFS(BD!$A$3:$A$5001,AI$3,BD!$B$3:$B$5001,$A$505,BD!$AF$3:$AF$5001,"&lt;&gt;")=0,"",SUMIFS(BD!$AF$3:$AF$5001,BD!$A$3:$A$5001,AI$3,BD!$B$3:$B$5001,$A$505)))</f>
        <v/>
      </c>
      <c r="AJ535" s="237" t="str">
        <f>IF(AJ$3="","",IF(COUNTIFS(BD!$A$3:$A$5001,AJ$3,BD!$B$3:$B$5001,$A$505,BD!$AF$3:$AF$5001,"&lt;&gt;")=0,"",SUMIFS(BD!$AF$3:$AF$5001,BD!$A$3:$A$5001,AJ$3,BD!$B$3:$B$5001,$A$505)))</f>
        <v/>
      </c>
      <c r="AK535" s="238" t="str">
        <f>IF(COUNT(F535:AJ535)=0,"",SUM(F535:AJ535))</f>
        <v/>
      </c>
    </row>
    <row r="536" ht="15.75" customHeight="1" hidden="1">
      <c r="A536" s="261"/>
      <c r="B536" s="258"/>
      <c r="C536" s="232" t="inlineStr">
        <is>
          <t xml:space="preserve">Acidentes CAF</t>
        </is>
      </c>
      <c r="D536" s="233" t="str">
        <f>IFERROR(1/(1/INDEX(BD!$AL$54:$BF$54,MATCH($A$505,BD!$AL$22:$BF$22,0))),"")</f>
        <v/>
      </c>
      <c r="E536" s="234"/>
      <c r="F536" s="235" t="str">
        <f>IF(F$3="","",IF(COUNTIFS(BD!$A$3:$A$5001,F$3,BD!$B$3:$B$5001,$A$505,BD!$AG$3:$AG$5001,"&lt;&gt;")=0,"",SUMIFS(BD!$AG$3:$AG$5001,BD!$A$3:$A$5001,F$3,BD!$B$3:$B$5001,$A$505)))</f>
        <v/>
      </c>
      <c r="G536" s="236" t="str">
        <f>IF(G$3="","",IF(COUNTIFS(BD!$A$3:$A$5001,G$3,BD!$B$3:$B$5001,$A$505,BD!$AG$3:$AG$5001,"&lt;&gt;")=0,"",SUMIFS(BD!$AG$3:$AG$5001,BD!$A$3:$A$5001,G$3,BD!$B$3:$B$5001,$A$505)))</f>
        <v/>
      </c>
      <c r="H536" s="236" t="str">
        <f>IF(H$3="","",IF(COUNTIFS(BD!$A$3:$A$5001,H$3,BD!$B$3:$B$5001,$A$505,BD!$AG$3:$AG$5001,"&lt;&gt;")=0,"",SUMIFS(BD!$AG$3:$AG$5001,BD!$A$3:$A$5001,H$3,BD!$B$3:$B$5001,$A$505)))</f>
        <v/>
      </c>
      <c r="I536" s="236" t="str">
        <f>IF(I$3="","",IF(COUNTIFS(BD!$A$3:$A$5001,I$3,BD!$B$3:$B$5001,$A$505,BD!$AG$3:$AG$5001,"&lt;&gt;")=0,"",SUMIFS(BD!$AG$3:$AG$5001,BD!$A$3:$A$5001,I$3,BD!$B$3:$B$5001,$A$505)))</f>
        <v/>
      </c>
      <c r="J536" s="236" t="str">
        <f>IF(J$3="","",IF(COUNTIFS(BD!$A$3:$A$5001,J$3,BD!$B$3:$B$5001,$A$505,BD!$AG$3:$AG$5001,"&lt;&gt;")=0,"",SUMIFS(BD!$AG$3:$AG$5001,BD!$A$3:$A$5001,J$3,BD!$B$3:$B$5001,$A$505)))</f>
        <v/>
      </c>
      <c r="K536" s="236" t="str">
        <f>IF(K$3="","",IF(COUNTIFS(BD!$A$3:$A$5001,K$3,BD!$B$3:$B$5001,$A$505,BD!$AG$3:$AG$5001,"&lt;&gt;")=0,"",SUMIFS(BD!$AG$3:$AG$5001,BD!$A$3:$A$5001,K$3,BD!$B$3:$B$5001,$A$505)))</f>
        <v/>
      </c>
      <c r="L536" s="236" t="str">
        <f>IF(L$3="","",IF(COUNTIFS(BD!$A$3:$A$5001,L$3,BD!$B$3:$B$5001,$A$505,BD!$AG$3:$AG$5001,"&lt;&gt;")=0,"",SUMIFS(BD!$AG$3:$AG$5001,BD!$A$3:$A$5001,L$3,BD!$B$3:$B$5001,$A$505)))</f>
        <v/>
      </c>
      <c r="M536" s="236" t="str">
        <f>IF(M$3="","",IF(COUNTIFS(BD!$A$3:$A$5001,M$3,BD!$B$3:$B$5001,$A$505,BD!$AG$3:$AG$5001,"&lt;&gt;")=0,"",SUMIFS(BD!$AG$3:$AG$5001,BD!$A$3:$A$5001,M$3,BD!$B$3:$B$5001,$A$505)))</f>
        <v/>
      </c>
      <c r="N536" s="236" t="str">
        <f>IF(N$3="","",IF(COUNTIFS(BD!$A$3:$A$5001,N$3,BD!$B$3:$B$5001,$A$505,BD!$AG$3:$AG$5001,"&lt;&gt;")=0,"",SUMIFS(BD!$AG$3:$AG$5001,BD!$A$3:$A$5001,N$3,BD!$B$3:$B$5001,$A$505)))</f>
        <v/>
      </c>
      <c r="O536" s="236" t="str">
        <f>IF(O$3="","",IF(COUNTIFS(BD!$A$3:$A$5001,O$3,BD!$B$3:$B$5001,$A$505,BD!$AG$3:$AG$5001,"&lt;&gt;")=0,"",SUMIFS(BD!$AG$3:$AG$5001,BD!$A$3:$A$5001,O$3,BD!$B$3:$B$5001,$A$505)))</f>
        <v/>
      </c>
      <c r="P536" s="236" t="str">
        <f>IF(P$3="","",IF(COUNTIFS(BD!$A$3:$A$5001,P$3,BD!$B$3:$B$5001,$A$505,BD!$AG$3:$AG$5001,"&lt;&gt;")=0,"",SUMIFS(BD!$AG$3:$AG$5001,BD!$A$3:$A$5001,P$3,BD!$B$3:$B$5001,$A$505)))</f>
        <v/>
      </c>
      <c r="Q536" s="236" t="str">
        <f>IF(Q$3="","",IF(COUNTIFS(BD!$A$3:$A$5001,Q$3,BD!$B$3:$B$5001,$A$505,BD!$AG$3:$AG$5001,"&lt;&gt;")=0,"",SUMIFS(BD!$AG$3:$AG$5001,BD!$A$3:$A$5001,Q$3,BD!$B$3:$B$5001,$A$505)))</f>
        <v/>
      </c>
      <c r="R536" s="236" t="str">
        <f>IF(R$3="","",IF(COUNTIFS(BD!$A$3:$A$5001,R$3,BD!$B$3:$B$5001,$A$505,BD!$AG$3:$AG$5001,"&lt;&gt;")=0,"",SUMIFS(BD!$AG$3:$AG$5001,BD!$A$3:$A$5001,R$3,BD!$B$3:$B$5001,$A$505)))</f>
        <v/>
      </c>
      <c r="S536" s="236" t="str">
        <f>IF(S$3="","",IF(COUNTIFS(BD!$A$3:$A$5001,S$3,BD!$B$3:$B$5001,$A$505,BD!$AG$3:$AG$5001,"&lt;&gt;")=0,"",SUMIFS(BD!$AG$3:$AG$5001,BD!$A$3:$A$5001,S$3,BD!$B$3:$B$5001,$A$505)))</f>
        <v/>
      </c>
      <c r="T536" s="236" t="str">
        <f>IF(T$3="","",IF(COUNTIFS(BD!$A$3:$A$5001,T$3,BD!$B$3:$B$5001,$A$505,BD!$AG$3:$AG$5001,"&lt;&gt;")=0,"",SUMIFS(BD!$AG$3:$AG$5001,BD!$A$3:$A$5001,T$3,BD!$B$3:$B$5001,$A$505)))</f>
        <v/>
      </c>
      <c r="U536" s="236" t="str">
        <f>IF(U$3="","",IF(COUNTIFS(BD!$A$3:$A$5001,U$3,BD!$B$3:$B$5001,$A$505,BD!$AG$3:$AG$5001,"&lt;&gt;")=0,"",SUMIFS(BD!$AG$3:$AG$5001,BD!$A$3:$A$5001,U$3,BD!$B$3:$B$5001,$A$505)))</f>
        <v/>
      </c>
      <c r="V536" s="236" t="str">
        <f>IF(V$3="","",IF(COUNTIFS(BD!$A$3:$A$5001,V$3,BD!$B$3:$B$5001,$A$505,BD!$AG$3:$AG$5001,"&lt;&gt;")=0,"",SUMIFS(BD!$AG$3:$AG$5001,BD!$A$3:$A$5001,V$3,BD!$B$3:$B$5001,$A$505)))</f>
        <v/>
      </c>
      <c r="W536" s="236" t="str">
        <f>IF(W$3="","",IF(COUNTIFS(BD!$A$3:$A$5001,W$3,BD!$B$3:$B$5001,$A$505,BD!$AG$3:$AG$5001,"&lt;&gt;")=0,"",SUMIFS(BD!$AG$3:$AG$5001,BD!$A$3:$A$5001,W$3,BD!$B$3:$B$5001,$A$505)))</f>
        <v/>
      </c>
      <c r="X536" s="236" t="str">
        <f>IF(X$3="","",IF(COUNTIFS(BD!$A$3:$A$5001,X$3,BD!$B$3:$B$5001,$A$505,BD!$AG$3:$AG$5001,"&lt;&gt;")=0,"",SUMIFS(BD!$AG$3:$AG$5001,BD!$A$3:$A$5001,X$3,BD!$B$3:$B$5001,$A$505)))</f>
        <v/>
      </c>
      <c r="Y536" s="236" t="str">
        <f>IF(Y$3="","",IF(COUNTIFS(BD!$A$3:$A$5001,Y$3,BD!$B$3:$B$5001,$A$505,BD!$AG$3:$AG$5001,"&lt;&gt;")=0,"",SUMIFS(BD!$AG$3:$AG$5001,BD!$A$3:$A$5001,Y$3,BD!$B$3:$B$5001,$A$505)))</f>
        <v/>
      </c>
      <c r="Z536" s="236" t="str">
        <f>IF(Z$3="","",IF(COUNTIFS(BD!$A$3:$A$5001,Z$3,BD!$B$3:$B$5001,$A$505,BD!$AG$3:$AG$5001,"&lt;&gt;")=0,"",SUMIFS(BD!$AG$3:$AG$5001,BD!$A$3:$A$5001,Z$3,BD!$B$3:$B$5001,$A$505)))</f>
        <v/>
      </c>
      <c r="AA536" s="236" t="str">
        <f>IF(AA$3="","",IF(COUNTIFS(BD!$A$3:$A$5001,AA$3,BD!$B$3:$B$5001,$A$505,BD!$AG$3:$AG$5001,"&lt;&gt;")=0,"",SUMIFS(BD!$AG$3:$AG$5001,BD!$A$3:$A$5001,AA$3,BD!$B$3:$B$5001,$A$505)))</f>
        <v/>
      </c>
      <c r="AB536" s="236" t="str">
        <f>IF(AB$3="","",IF(COUNTIFS(BD!$A$3:$A$5001,AB$3,BD!$B$3:$B$5001,$A$505,BD!$AG$3:$AG$5001,"&lt;&gt;")=0,"",SUMIFS(BD!$AG$3:$AG$5001,BD!$A$3:$A$5001,AB$3,BD!$B$3:$B$5001,$A$505)))</f>
        <v/>
      </c>
      <c r="AC536" s="236" t="str">
        <f>IF(AC$3="","",IF(COUNTIFS(BD!$A$3:$A$5001,AC$3,BD!$B$3:$B$5001,$A$505,BD!$AG$3:$AG$5001,"&lt;&gt;")=0,"",SUMIFS(BD!$AG$3:$AG$5001,BD!$A$3:$A$5001,AC$3,BD!$B$3:$B$5001,$A$505)))</f>
        <v/>
      </c>
      <c r="AD536" s="236" t="str">
        <f>IF(AD$3="","",IF(COUNTIFS(BD!$A$3:$A$5001,AD$3,BD!$B$3:$B$5001,$A$505,BD!$AG$3:$AG$5001,"&lt;&gt;")=0,"",SUMIFS(BD!$AG$3:$AG$5001,BD!$A$3:$A$5001,AD$3,BD!$B$3:$B$5001,$A$505)))</f>
        <v/>
      </c>
      <c r="AE536" s="236" t="str">
        <f>IF(AE$3="","",IF(COUNTIFS(BD!$A$3:$A$5001,AE$3,BD!$B$3:$B$5001,$A$505,BD!$AG$3:$AG$5001,"&lt;&gt;")=0,"",SUMIFS(BD!$AG$3:$AG$5001,BD!$A$3:$A$5001,AE$3,BD!$B$3:$B$5001,$A$505)))</f>
        <v/>
      </c>
      <c r="AF536" s="236" t="str">
        <f>IF(AF$3="","",IF(COUNTIFS(BD!$A$3:$A$5001,AF$3,BD!$B$3:$B$5001,$A$505,BD!$AG$3:$AG$5001,"&lt;&gt;")=0,"",SUMIFS(BD!$AG$3:$AG$5001,BD!$A$3:$A$5001,AF$3,BD!$B$3:$B$5001,$A$505)))</f>
        <v/>
      </c>
      <c r="AG536" s="236" t="str">
        <f>IF(AG$3="","",IF(COUNTIFS(BD!$A$3:$A$5001,AG$3,BD!$B$3:$B$5001,$A$505,BD!$AG$3:$AG$5001,"&lt;&gt;")=0,"",SUMIFS(BD!$AG$3:$AG$5001,BD!$A$3:$A$5001,AG$3,BD!$B$3:$B$5001,$A$505)))</f>
        <v/>
      </c>
      <c r="AH536" s="236" t="str">
        <f>IF(AH$3="","",IF(COUNTIFS(BD!$A$3:$A$5001,AH$3,BD!$B$3:$B$5001,$A$505,BD!$AG$3:$AG$5001,"&lt;&gt;")=0,"",SUMIFS(BD!$AG$3:$AG$5001,BD!$A$3:$A$5001,AH$3,BD!$B$3:$B$5001,$A$505)))</f>
        <v/>
      </c>
      <c r="AI536" s="236" t="str">
        <f>IF(AI$3="","",IF(COUNTIFS(BD!$A$3:$A$5001,AI$3,BD!$B$3:$B$5001,$A$505,BD!$AG$3:$AG$5001,"&lt;&gt;")=0,"",SUMIFS(BD!$AG$3:$AG$5001,BD!$A$3:$A$5001,AI$3,BD!$B$3:$B$5001,$A$505)))</f>
        <v/>
      </c>
      <c r="AJ536" s="237" t="str">
        <f>IF(AJ$3="","",IF(COUNTIFS(BD!$A$3:$A$5001,AJ$3,BD!$B$3:$B$5001,$A$505,BD!$AG$3:$AG$5001,"&lt;&gt;")=0,"",SUMIFS(BD!$AG$3:$AG$5001,BD!$A$3:$A$5001,AJ$3,BD!$B$3:$B$5001,$A$505)))</f>
        <v/>
      </c>
      <c r="AK536" s="238" t="str">
        <f>IF(COUNT(F536:AJ536)=0,"",SUM(F536:AJ536))</f>
        <v/>
      </c>
    </row>
    <row r="537" ht="15.75" customHeight="1" hidden="1">
      <c r="A537" s="262"/>
      <c r="B537" s="259"/>
      <c r="C537" s="243" t="inlineStr">
        <is>
          <t xml:space="preserve">Acidentes SAF</t>
        </is>
      </c>
      <c r="D537" s="244" t="str">
        <f>IFERROR(1/(1/INDEX(BD!$AL$55:$BF$55,MATCH($A$505,BD!$AL$22:$BF$22,0))),"")</f>
        <v/>
      </c>
      <c r="E537" s="245"/>
      <c r="F537" s="246" t="str">
        <f>IF(F$3="","",IF(COUNTIFS(BD!$A$3:$A$5001,F$3,BD!$B$3:$B$5001,$A$505,BD!$AH$3:$AH$5001,"&lt;&gt;")=0,"",SUMIFS(BD!$AH$3:$AH$5001,BD!$A$3:$A$5001,F$3,BD!$B$3:$B$5001,$A$505)))</f>
        <v/>
      </c>
      <c r="G537" s="247" t="str">
        <f>IF(G$3="","",IF(COUNTIFS(BD!$A$3:$A$5001,G$3,BD!$B$3:$B$5001,$A$505,BD!$AH$3:$AH$5001,"&lt;&gt;")=0,"",SUMIFS(BD!$AH$3:$AH$5001,BD!$A$3:$A$5001,G$3,BD!$B$3:$B$5001,$A$505)))</f>
        <v/>
      </c>
      <c r="H537" s="247" t="str">
        <f>IF(H$3="","",IF(COUNTIFS(BD!$A$3:$A$5001,H$3,BD!$B$3:$B$5001,$A$505,BD!$AH$3:$AH$5001,"&lt;&gt;")=0,"",SUMIFS(BD!$AH$3:$AH$5001,BD!$A$3:$A$5001,H$3,BD!$B$3:$B$5001,$A$505)))</f>
        <v/>
      </c>
      <c r="I537" s="247" t="str">
        <f>IF(I$3="","",IF(COUNTIFS(BD!$A$3:$A$5001,I$3,BD!$B$3:$B$5001,$A$505,BD!$AH$3:$AH$5001,"&lt;&gt;")=0,"",SUMIFS(BD!$AH$3:$AH$5001,BD!$A$3:$A$5001,I$3,BD!$B$3:$B$5001,$A$505)))</f>
        <v/>
      </c>
      <c r="J537" s="247" t="str">
        <f>IF(J$3="","",IF(COUNTIFS(BD!$A$3:$A$5001,J$3,BD!$B$3:$B$5001,$A$505,BD!$AH$3:$AH$5001,"&lt;&gt;")=0,"",SUMIFS(BD!$AH$3:$AH$5001,BD!$A$3:$A$5001,J$3,BD!$B$3:$B$5001,$A$505)))</f>
        <v/>
      </c>
      <c r="K537" s="247" t="str">
        <f>IF(K$3="","",IF(COUNTIFS(BD!$A$3:$A$5001,K$3,BD!$B$3:$B$5001,$A$505,BD!$AH$3:$AH$5001,"&lt;&gt;")=0,"",SUMIFS(BD!$AH$3:$AH$5001,BD!$A$3:$A$5001,K$3,BD!$B$3:$B$5001,$A$505)))</f>
        <v/>
      </c>
      <c r="L537" s="247" t="str">
        <f>IF(L$3="","",IF(COUNTIFS(BD!$A$3:$A$5001,L$3,BD!$B$3:$B$5001,$A$505,BD!$AH$3:$AH$5001,"&lt;&gt;")=0,"",SUMIFS(BD!$AH$3:$AH$5001,BD!$A$3:$A$5001,L$3,BD!$B$3:$B$5001,$A$505)))</f>
        <v/>
      </c>
      <c r="M537" s="247" t="str">
        <f>IF(M$3="","",IF(COUNTIFS(BD!$A$3:$A$5001,M$3,BD!$B$3:$B$5001,$A$505,BD!$AH$3:$AH$5001,"&lt;&gt;")=0,"",SUMIFS(BD!$AH$3:$AH$5001,BD!$A$3:$A$5001,M$3,BD!$B$3:$B$5001,$A$505)))</f>
        <v/>
      </c>
      <c r="N537" s="247" t="str">
        <f>IF(N$3="","",IF(COUNTIFS(BD!$A$3:$A$5001,N$3,BD!$B$3:$B$5001,$A$505,BD!$AH$3:$AH$5001,"&lt;&gt;")=0,"",SUMIFS(BD!$AH$3:$AH$5001,BD!$A$3:$A$5001,N$3,BD!$B$3:$B$5001,$A$505)))</f>
        <v/>
      </c>
      <c r="O537" s="247" t="str">
        <f>IF(O$3="","",IF(COUNTIFS(BD!$A$3:$A$5001,O$3,BD!$B$3:$B$5001,$A$505,BD!$AH$3:$AH$5001,"&lt;&gt;")=0,"",SUMIFS(BD!$AH$3:$AH$5001,BD!$A$3:$A$5001,O$3,BD!$B$3:$B$5001,$A$505)))</f>
        <v/>
      </c>
      <c r="P537" s="247" t="str">
        <f>IF(P$3="","",IF(COUNTIFS(BD!$A$3:$A$5001,P$3,BD!$B$3:$B$5001,$A$505,BD!$AH$3:$AH$5001,"&lt;&gt;")=0,"",SUMIFS(BD!$AH$3:$AH$5001,BD!$A$3:$A$5001,P$3,BD!$B$3:$B$5001,$A$505)))</f>
        <v/>
      </c>
      <c r="Q537" s="247" t="str">
        <f>IF(Q$3="","",IF(COUNTIFS(BD!$A$3:$A$5001,Q$3,BD!$B$3:$B$5001,$A$505,BD!$AH$3:$AH$5001,"&lt;&gt;")=0,"",SUMIFS(BD!$AH$3:$AH$5001,BD!$A$3:$A$5001,Q$3,BD!$B$3:$B$5001,$A$505)))</f>
        <v/>
      </c>
      <c r="R537" s="247" t="str">
        <f>IF(R$3="","",IF(COUNTIFS(BD!$A$3:$A$5001,R$3,BD!$B$3:$B$5001,$A$505,BD!$AH$3:$AH$5001,"&lt;&gt;")=0,"",SUMIFS(BD!$AH$3:$AH$5001,BD!$A$3:$A$5001,R$3,BD!$B$3:$B$5001,$A$505)))</f>
        <v/>
      </c>
      <c r="S537" s="247" t="str">
        <f>IF(S$3="","",IF(COUNTIFS(BD!$A$3:$A$5001,S$3,BD!$B$3:$B$5001,$A$505,BD!$AH$3:$AH$5001,"&lt;&gt;")=0,"",SUMIFS(BD!$AH$3:$AH$5001,BD!$A$3:$A$5001,S$3,BD!$B$3:$B$5001,$A$505)))</f>
        <v/>
      </c>
      <c r="T537" s="247" t="str">
        <f>IF(T$3="","",IF(COUNTIFS(BD!$A$3:$A$5001,T$3,BD!$B$3:$B$5001,$A$505,BD!$AH$3:$AH$5001,"&lt;&gt;")=0,"",SUMIFS(BD!$AH$3:$AH$5001,BD!$A$3:$A$5001,T$3,BD!$B$3:$B$5001,$A$505)))</f>
        <v/>
      </c>
      <c r="U537" s="247" t="str">
        <f>IF(U$3="","",IF(COUNTIFS(BD!$A$3:$A$5001,U$3,BD!$B$3:$B$5001,$A$505,BD!$AH$3:$AH$5001,"&lt;&gt;")=0,"",SUMIFS(BD!$AH$3:$AH$5001,BD!$A$3:$A$5001,U$3,BD!$B$3:$B$5001,$A$505)))</f>
        <v/>
      </c>
      <c r="V537" s="247" t="str">
        <f>IF(V$3="","",IF(COUNTIFS(BD!$A$3:$A$5001,V$3,BD!$B$3:$B$5001,$A$505,BD!$AH$3:$AH$5001,"&lt;&gt;")=0,"",SUMIFS(BD!$AH$3:$AH$5001,BD!$A$3:$A$5001,V$3,BD!$B$3:$B$5001,$A$505)))</f>
        <v/>
      </c>
      <c r="W537" s="247" t="str">
        <f>IF(W$3="","",IF(COUNTIFS(BD!$A$3:$A$5001,W$3,BD!$B$3:$B$5001,$A$505,BD!$AH$3:$AH$5001,"&lt;&gt;")=0,"",SUMIFS(BD!$AH$3:$AH$5001,BD!$A$3:$A$5001,W$3,BD!$B$3:$B$5001,$A$505)))</f>
        <v/>
      </c>
      <c r="X537" s="247" t="str">
        <f>IF(X$3="","",IF(COUNTIFS(BD!$A$3:$A$5001,X$3,BD!$B$3:$B$5001,$A$505,BD!$AH$3:$AH$5001,"&lt;&gt;")=0,"",SUMIFS(BD!$AH$3:$AH$5001,BD!$A$3:$A$5001,X$3,BD!$B$3:$B$5001,$A$505)))</f>
        <v/>
      </c>
      <c r="Y537" s="247" t="str">
        <f>IF(Y$3="","",IF(COUNTIFS(BD!$A$3:$A$5001,Y$3,BD!$B$3:$B$5001,$A$505,BD!$AH$3:$AH$5001,"&lt;&gt;")=0,"",SUMIFS(BD!$AH$3:$AH$5001,BD!$A$3:$A$5001,Y$3,BD!$B$3:$B$5001,$A$505)))</f>
        <v/>
      </c>
      <c r="Z537" s="247" t="str">
        <f>IF(Z$3="","",IF(COUNTIFS(BD!$A$3:$A$5001,Z$3,BD!$B$3:$B$5001,$A$505,BD!$AH$3:$AH$5001,"&lt;&gt;")=0,"",SUMIFS(BD!$AH$3:$AH$5001,BD!$A$3:$A$5001,Z$3,BD!$B$3:$B$5001,$A$505)))</f>
        <v/>
      </c>
      <c r="AA537" s="247" t="str">
        <f>IF(AA$3="","",IF(COUNTIFS(BD!$A$3:$A$5001,AA$3,BD!$B$3:$B$5001,$A$505,BD!$AH$3:$AH$5001,"&lt;&gt;")=0,"",SUMIFS(BD!$AH$3:$AH$5001,BD!$A$3:$A$5001,AA$3,BD!$B$3:$B$5001,$A$505)))</f>
        <v/>
      </c>
      <c r="AB537" s="247" t="str">
        <f>IF(AB$3="","",IF(COUNTIFS(BD!$A$3:$A$5001,AB$3,BD!$B$3:$B$5001,$A$505,BD!$AH$3:$AH$5001,"&lt;&gt;")=0,"",SUMIFS(BD!$AH$3:$AH$5001,BD!$A$3:$A$5001,AB$3,BD!$B$3:$B$5001,$A$505)))</f>
        <v/>
      </c>
      <c r="AC537" s="247" t="str">
        <f>IF(AC$3="","",IF(COUNTIFS(BD!$A$3:$A$5001,AC$3,BD!$B$3:$B$5001,$A$505,BD!$AH$3:$AH$5001,"&lt;&gt;")=0,"",SUMIFS(BD!$AH$3:$AH$5001,BD!$A$3:$A$5001,AC$3,BD!$B$3:$B$5001,$A$505)))</f>
        <v/>
      </c>
      <c r="AD537" s="247" t="str">
        <f>IF(AD$3="","",IF(COUNTIFS(BD!$A$3:$A$5001,AD$3,BD!$B$3:$B$5001,$A$505,BD!$AH$3:$AH$5001,"&lt;&gt;")=0,"",SUMIFS(BD!$AH$3:$AH$5001,BD!$A$3:$A$5001,AD$3,BD!$B$3:$B$5001,$A$505)))</f>
        <v/>
      </c>
      <c r="AE537" s="247" t="str">
        <f>IF(AE$3="","",IF(COUNTIFS(BD!$A$3:$A$5001,AE$3,BD!$B$3:$B$5001,$A$505,BD!$AH$3:$AH$5001,"&lt;&gt;")=0,"",SUMIFS(BD!$AH$3:$AH$5001,BD!$A$3:$A$5001,AE$3,BD!$B$3:$B$5001,$A$505)))</f>
        <v/>
      </c>
      <c r="AF537" s="247" t="str">
        <f>IF(AF$3="","",IF(COUNTIFS(BD!$A$3:$A$5001,AF$3,BD!$B$3:$B$5001,$A$505,BD!$AH$3:$AH$5001,"&lt;&gt;")=0,"",SUMIFS(BD!$AH$3:$AH$5001,BD!$A$3:$A$5001,AF$3,BD!$B$3:$B$5001,$A$505)))</f>
        <v/>
      </c>
      <c r="AG537" s="247" t="str">
        <f>IF(AG$3="","",IF(COUNTIFS(BD!$A$3:$A$5001,AG$3,BD!$B$3:$B$5001,$A$505,BD!$AH$3:$AH$5001,"&lt;&gt;")=0,"",SUMIFS(BD!$AH$3:$AH$5001,BD!$A$3:$A$5001,AG$3,BD!$B$3:$B$5001,$A$505)))</f>
        <v/>
      </c>
      <c r="AH537" s="247" t="str">
        <f>IF(AH$3="","",IF(COUNTIFS(BD!$A$3:$A$5001,AH$3,BD!$B$3:$B$5001,$A$505,BD!$AH$3:$AH$5001,"&lt;&gt;")=0,"",SUMIFS(BD!$AH$3:$AH$5001,BD!$A$3:$A$5001,AH$3,BD!$B$3:$B$5001,$A$505)))</f>
        <v/>
      </c>
      <c r="AI537" s="247" t="str">
        <f>IF(AI$3="","",IF(COUNTIFS(BD!$A$3:$A$5001,AI$3,BD!$B$3:$B$5001,$A$505,BD!$AH$3:$AH$5001,"&lt;&gt;")=0,"",SUMIFS(BD!$AH$3:$AH$5001,BD!$A$3:$A$5001,AI$3,BD!$B$3:$B$5001,$A$505)))</f>
        <v/>
      </c>
      <c r="AJ537" s="248" t="str">
        <f>IF(AJ$3="","",IF(COUNTIFS(BD!$A$3:$A$5001,AJ$3,BD!$B$3:$B$5001,$A$505,BD!$AH$3:$AH$5001,"&lt;&gt;")=0,"",SUMIFS(BD!$AH$3:$AH$5001,BD!$A$3:$A$5001,AJ$3,BD!$B$3:$B$5001,$A$505)))</f>
        <v/>
      </c>
      <c r="AK537" s="244" t="str">
        <f>IF(COUNT(F537:AJ537)=0,"",SUM(F537:AJ537))</f>
        <v/>
      </c>
    </row>
    <row r="539" ht="15.75" customHeight="1" hidden="1">
      <c r="A539" s="260"/>
      <c r="B539" s="249" t="inlineStr">
        <is>
          <t xml:space="preserve">IN</t>
        </is>
      </c>
      <c r="C539" s="168" t="inlineStr">
        <is>
          <t xml:space="preserve">Veículos Recebidos</t>
        </is>
      </c>
      <c r="D539" s="169" t="str">
        <f>IFERROR(1/(1/INDEX(BD!$AL$23:$BF$23,MATCH($A$539,BD!$AL$22:$BF$22,0))),"")</f>
        <v/>
      </c>
      <c r="E539" s="170"/>
      <c r="F539" s="171" t="str">
        <f>IF(F$3="","",IF(COUNTIFS(BD!$A$3:$A$5001,F$3,BD!$B$3:$B$5001,$A$539,BD!$C$3:$C$5001,"&lt;&gt;")=0,"",SUMIFS(BD!$C$3:$C$5001,BD!$A$3:$A$5001,F$3,BD!$B$3:$B$5001,$A$539)))</f>
        <v/>
      </c>
      <c r="G539" s="172" t="str">
        <f>IF(G$3="","",IF(COUNTIFS(BD!$A$3:$A$5001,G$3,BD!$B$3:$B$5001,$A$539,BD!$C$3:$C$5001,"&lt;&gt;")=0,"",SUMIFS(BD!$C$3:$C$5001,BD!$A$3:$A$5001,G$3,BD!$B$3:$B$5001,$A$539)))</f>
        <v/>
      </c>
      <c r="H539" s="172" t="str">
        <f>IF(H$3="","",IF(COUNTIFS(BD!$A$3:$A$5001,H$3,BD!$B$3:$B$5001,$A$539,BD!$C$3:$C$5001,"&lt;&gt;")=0,"",SUMIFS(BD!$C$3:$C$5001,BD!$A$3:$A$5001,H$3,BD!$B$3:$B$5001,$A$539)))</f>
        <v/>
      </c>
      <c r="I539" s="172" t="str">
        <f>IF(I$3="","",IF(COUNTIFS(BD!$A$3:$A$5001,I$3,BD!$B$3:$B$5001,$A$539,BD!$C$3:$C$5001,"&lt;&gt;")=0,"",SUMIFS(BD!$C$3:$C$5001,BD!$A$3:$A$5001,I$3,BD!$B$3:$B$5001,$A$539)))</f>
        <v/>
      </c>
      <c r="J539" s="172" t="str">
        <f>IF(J$3="","",IF(COUNTIFS(BD!$A$3:$A$5001,J$3,BD!$B$3:$B$5001,$A$539,BD!$C$3:$C$5001,"&lt;&gt;")=0,"",SUMIFS(BD!$C$3:$C$5001,BD!$A$3:$A$5001,J$3,BD!$B$3:$B$5001,$A$539)))</f>
        <v/>
      </c>
      <c r="K539" s="172" t="str">
        <f>IF(K$3="","",IF(COUNTIFS(BD!$A$3:$A$5001,K$3,BD!$B$3:$B$5001,$A$539,BD!$C$3:$C$5001,"&lt;&gt;")=0,"",SUMIFS(BD!$C$3:$C$5001,BD!$A$3:$A$5001,K$3,BD!$B$3:$B$5001,$A$539)))</f>
        <v/>
      </c>
      <c r="L539" s="172" t="str">
        <f>IF(L$3="","",IF(COUNTIFS(BD!$A$3:$A$5001,L$3,BD!$B$3:$B$5001,$A$539,BD!$C$3:$C$5001,"&lt;&gt;")=0,"",SUMIFS(BD!$C$3:$C$5001,BD!$A$3:$A$5001,L$3,BD!$B$3:$B$5001,$A$539)))</f>
        <v/>
      </c>
      <c r="M539" s="172" t="str">
        <f>IF(M$3="","",IF(COUNTIFS(BD!$A$3:$A$5001,M$3,BD!$B$3:$B$5001,$A$539,BD!$C$3:$C$5001,"&lt;&gt;")=0,"",SUMIFS(BD!$C$3:$C$5001,BD!$A$3:$A$5001,M$3,BD!$B$3:$B$5001,$A$539)))</f>
        <v/>
      </c>
      <c r="N539" s="172" t="str">
        <f>IF(N$3="","",IF(COUNTIFS(BD!$A$3:$A$5001,N$3,BD!$B$3:$B$5001,$A$539,BD!$C$3:$C$5001,"&lt;&gt;")=0,"",SUMIFS(BD!$C$3:$C$5001,BD!$A$3:$A$5001,N$3,BD!$B$3:$B$5001,$A$539)))</f>
        <v/>
      </c>
      <c r="O539" s="172" t="str">
        <f>IF(O$3="","",IF(COUNTIFS(BD!$A$3:$A$5001,O$3,BD!$B$3:$B$5001,$A$539,BD!$C$3:$C$5001,"&lt;&gt;")=0,"",SUMIFS(BD!$C$3:$C$5001,BD!$A$3:$A$5001,O$3,BD!$B$3:$B$5001,$A$539)))</f>
        <v/>
      </c>
      <c r="P539" s="172" t="str">
        <f>IF(P$3="","",IF(COUNTIFS(BD!$A$3:$A$5001,P$3,BD!$B$3:$B$5001,$A$539,BD!$C$3:$C$5001,"&lt;&gt;")=0,"",SUMIFS(BD!$C$3:$C$5001,BD!$A$3:$A$5001,P$3,BD!$B$3:$B$5001,$A$539)))</f>
        <v/>
      </c>
      <c r="Q539" s="172" t="str">
        <f>IF(Q$3="","",IF(COUNTIFS(BD!$A$3:$A$5001,Q$3,BD!$B$3:$B$5001,$A$539,BD!$C$3:$C$5001,"&lt;&gt;")=0,"",SUMIFS(BD!$C$3:$C$5001,BD!$A$3:$A$5001,Q$3,BD!$B$3:$B$5001,$A$539)))</f>
        <v/>
      </c>
      <c r="R539" s="172" t="str">
        <f>IF(R$3="","",IF(COUNTIFS(BD!$A$3:$A$5001,R$3,BD!$B$3:$B$5001,$A$539,BD!$C$3:$C$5001,"&lt;&gt;")=0,"",SUMIFS(BD!$C$3:$C$5001,BD!$A$3:$A$5001,R$3,BD!$B$3:$B$5001,$A$539)))</f>
        <v/>
      </c>
      <c r="S539" s="172" t="str">
        <f>IF(S$3="","",IF(COUNTIFS(BD!$A$3:$A$5001,S$3,BD!$B$3:$B$5001,$A$539,BD!$C$3:$C$5001,"&lt;&gt;")=0,"",SUMIFS(BD!$C$3:$C$5001,BD!$A$3:$A$5001,S$3,BD!$B$3:$B$5001,$A$539)))</f>
        <v/>
      </c>
      <c r="T539" s="172" t="str">
        <f>IF(T$3="","",IF(COUNTIFS(BD!$A$3:$A$5001,T$3,BD!$B$3:$B$5001,$A$539,BD!$C$3:$C$5001,"&lt;&gt;")=0,"",SUMIFS(BD!$C$3:$C$5001,BD!$A$3:$A$5001,T$3,BD!$B$3:$B$5001,$A$539)))</f>
        <v/>
      </c>
      <c r="U539" s="172" t="str">
        <f>IF(U$3="","",IF(COUNTIFS(BD!$A$3:$A$5001,U$3,BD!$B$3:$B$5001,$A$539,BD!$C$3:$C$5001,"&lt;&gt;")=0,"",SUMIFS(BD!$C$3:$C$5001,BD!$A$3:$A$5001,U$3,BD!$B$3:$B$5001,$A$539)))</f>
        <v/>
      </c>
      <c r="V539" s="172" t="str">
        <f>IF(V$3="","",IF(COUNTIFS(BD!$A$3:$A$5001,V$3,BD!$B$3:$B$5001,$A$539,BD!$C$3:$C$5001,"&lt;&gt;")=0,"",SUMIFS(BD!$C$3:$C$5001,BD!$A$3:$A$5001,V$3,BD!$B$3:$B$5001,$A$539)))</f>
        <v/>
      </c>
      <c r="W539" s="172" t="str">
        <f>IF(W$3="","",IF(COUNTIFS(BD!$A$3:$A$5001,W$3,BD!$B$3:$B$5001,$A$539,BD!$C$3:$C$5001,"&lt;&gt;")=0,"",SUMIFS(BD!$C$3:$C$5001,BD!$A$3:$A$5001,W$3,BD!$B$3:$B$5001,$A$539)))</f>
        <v/>
      </c>
      <c r="X539" s="172" t="str">
        <f>IF(X$3="","",IF(COUNTIFS(BD!$A$3:$A$5001,X$3,BD!$B$3:$B$5001,$A$539,BD!$C$3:$C$5001,"&lt;&gt;")=0,"",SUMIFS(BD!$C$3:$C$5001,BD!$A$3:$A$5001,X$3,BD!$B$3:$B$5001,$A$539)))</f>
        <v/>
      </c>
      <c r="Y539" s="172" t="str">
        <f>IF(Y$3="","",IF(COUNTIFS(BD!$A$3:$A$5001,Y$3,BD!$B$3:$B$5001,$A$539,BD!$C$3:$C$5001,"&lt;&gt;")=0,"",SUMIFS(BD!$C$3:$C$5001,BD!$A$3:$A$5001,Y$3,BD!$B$3:$B$5001,$A$539)))</f>
        <v/>
      </c>
      <c r="Z539" s="172" t="str">
        <f>IF(Z$3="","",IF(COUNTIFS(BD!$A$3:$A$5001,Z$3,BD!$B$3:$B$5001,$A$539,BD!$C$3:$C$5001,"&lt;&gt;")=0,"",SUMIFS(BD!$C$3:$C$5001,BD!$A$3:$A$5001,Z$3,BD!$B$3:$B$5001,$A$539)))</f>
        <v/>
      </c>
      <c r="AA539" s="172" t="str">
        <f>IF(AA$3="","",IF(COUNTIFS(BD!$A$3:$A$5001,AA$3,BD!$B$3:$B$5001,$A$539,BD!$C$3:$C$5001,"&lt;&gt;")=0,"",SUMIFS(BD!$C$3:$C$5001,BD!$A$3:$A$5001,AA$3,BD!$B$3:$B$5001,$A$539)))</f>
        <v/>
      </c>
      <c r="AB539" s="172" t="str">
        <f>IF(AB$3="","",IF(COUNTIFS(BD!$A$3:$A$5001,AB$3,BD!$B$3:$B$5001,$A$539,BD!$C$3:$C$5001,"&lt;&gt;")=0,"",SUMIFS(BD!$C$3:$C$5001,BD!$A$3:$A$5001,AB$3,BD!$B$3:$B$5001,$A$539)))</f>
        <v/>
      </c>
      <c r="AC539" s="172" t="str">
        <f>IF(AC$3="","",IF(COUNTIFS(BD!$A$3:$A$5001,AC$3,BD!$B$3:$B$5001,$A$539,BD!$C$3:$C$5001,"&lt;&gt;")=0,"",SUMIFS(BD!$C$3:$C$5001,BD!$A$3:$A$5001,AC$3,BD!$B$3:$B$5001,$A$539)))</f>
        <v/>
      </c>
      <c r="AD539" s="172" t="str">
        <f>IF(AD$3="","",IF(COUNTIFS(BD!$A$3:$A$5001,AD$3,BD!$B$3:$B$5001,$A$539,BD!$C$3:$C$5001,"&lt;&gt;")=0,"",SUMIFS(BD!$C$3:$C$5001,BD!$A$3:$A$5001,AD$3,BD!$B$3:$B$5001,$A$539)))</f>
        <v/>
      </c>
      <c r="AE539" s="172" t="str">
        <f>IF(AE$3="","",IF(COUNTIFS(BD!$A$3:$A$5001,AE$3,BD!$B$3:$B$5001,$A$539,BD!$C$3:$C$5001,"&lt;&gt;")=0,"",SUMIFS(BD!$C$3:$C$5001,BD!$A$3:$A$5001,AE$3,BD!$B$3:$B$5001,$A$539)))</f>
        <v/>
      </c>
      <c r="AF539" s="172" t="str">
        <f>IF(AF$3="","",IF(COUNTIFS(BD!$A$3:$A$5001,AF$3,BD!$B$3:$B$5001,$A$539,BD!$C$3:$C$5001,"&lt;&gt;")=0,"",SUMIFS(BD!$C$3:$C$5001,BD!$A$3:$A$5001,AF$3,BD!$B$3:$B$5001,$A$539)))</f>
        <v/>
      </c>
      <c r="AG539" s="172" t="str">
        <f>IF(AG$3="","",IF(COUNTIFS(BD!$A$3:$A$5001,AG$3,BD!$B$3:$B$5001,$A$539,BD!$C$3:$C$5001,"&lt;&gt;")=0,"",SUMIFS(BD!$C$3:$C$5001,BD!$A$3:$A$5001,AG$3,BD!$B$3:$B$5001,$A$539)))</f>
        <v/>
      </c>
      <c r="AH539" s="172" t="str">
        <f>IF(AH$3="","",IF(COUNTIFS(BD!$A$3:$A$5001,AH$3,BD!$B$3:$B$5001,$A$539,BD!$C$3:$C$5001,"&lt;&gt;")=0,"",SUMIFS(BD!$C$3:$C$5001,BD!$A$3:$A$5001,AH$3,BD!$B$3:$B$5001,$A$539)))</f>
        <v/>
      </c>
      <c r="AI539" s="172" t="str">
        <f>IF(AI$3="","",IF(COUNTIFS(BD!$A$3:$A$5001,AI$3,BD!$B$3:$B$5001,$A$539,BD!$C$3:$C$5001,"&lt;&gt;")=0,"",SUMIFS(BD!$C$3:$C$5001,BD!$A$3:$A$5001,AI$3,BD!$B$3:$B$5001,$A$539)))</f>
        <v/>
      </c>
      <c r="AJ539" s="173" t="str">
        <f>IF(AJ$3="","",IF(COUNTIFS(BD!$A$3:$A$5001,AJ$3,BD!$B$3:$B$5001,$A$539,BD!$C$3:$C$5001,"&lt;&gt;")=0,"",SUMIFS(BD!$C$3:$C$5001,BD!$A$3:$A$5001,AJ$3,BD!$B$3:$B$5001,$A$539)))</f>
        <v/>
      </c>
      <c r="AK539" s="174" t="str">
        <f>IF(COUNT(F539:AJ539)=0,"",SUM(F539:AJ539))</f>
        <v/>
      </c>
    </row>
    <row r="540" ht="15.75" customHeight="1" hidden="1">
      <c r="A540" s="261"/>
      <c r="B540" s="256"/>
      <c r="C540" s="214" t="inlineStr">
        <is>
          <t xml:space="preserve">Pallets Movimentados</t>
        </is>
      </c>
      <c r="D540" s="215" t="str">
        <f>IFERROR(1/(1/INDEX(BD!$AL$24:$BF$24,MATCH($A$539,BD!$AL$22:$BF$22,0))),"")</f>
        <v/>
      </c>
      <c r="E540" s="216"/>
      <c r="F540" s="217" t="str">
        <f>IF(F$3="","",IF(COUNTIFS(BD!$A$3:$A$5001,F$3,BD!$B$3:$B$5001,$A$539,BD!$D$3:$D$5001,"&lt;&gt;")=0,"",SUMIFS(BD!$D$3:$D$5001,BD!$A$3:$A$5001,F$3,BD!$B$3:$B$5001,$A$539)))</f>
        <v/>
      </c>
      <c r="G540" s="218" t="str">
        <f>IF(G$3="","",IF(COUNTIFS(BD!$A$3:$A$5001,G$3,BD!$B$3:$B$5001,$A$539,BD!$D$3:$D$5001,"&lt;&gt;")=0,"",SUMIFS(BD!$D$3:$D$5001,BD!$A$3:$A$5001,G$3,BD!$B$3:$B$5001,$A$539)))</f>
        <v/>
      </c>
      <c r="H540" s="218" t="str">
        <f>IF(H$3="","",IF(COUNTIFS(BD!$A$3:$A$5001,H$3,BD!$B$3:$B$5001,$A$539,BD!$D$3:$D$5001,"&lt;&gt;")=0,"",SUMIFS(BD!$D$3:$D$5001,BD!$A$3:$A$5001,H$3,BD!$B$3:$B$5001,$A$539)))</f>
        <v/>
      </c>
      <c r="I540" s="218" t="str">
        <f>IF(I$3="","",IF(COUNTIFS(BD!$A$3:$A$5001,I$3,BD!$B$3:$B$5001,$A$539,BD!$D$3:$D$5001,"&lt;&gt;")=0,"",SUMIFS(BD!$D$3:$D$5001,BD!$A$3:$A$5001,I$3,BD!$B$3:$B$5001,$A$539)))</f>
        <v/>
      </c>
      <c r="J540" s="218" t="str">
        <f>IF(J$3="","",IF(COUNTIFS(BD!$A$3:$A$5001,J$3,BD!$B$3:$B$5001,$A$539,BD!$D$3:$D$5001,"&lt;&gt;")=0,"",SUMIFS(BD!$D$3:$D$5001,BD!$A$3:$A$5001,J$3,BD!$B$3:$B$5001,$A$539)))</f>
        <v/>
      </c>
      <c r="K540" s="218" t="str">
        <f>IF(K$3="","",IF(COUNTIFS(BD!$A$3:$A$5001,K$3,BD!$B$3:$B$5001,$A$539,BD!$D$3:$D$5001,"&lt;&gt;")=0,"",SUMIFS(BD!$D$3:$D$5001,BD!$A$3:$A$5001,K$3,BD!$B$3:$B$5001,$A$539)))</f>
        <v/>
      </c>
      <c r="L540" s="218" t="str">
        <f>IF(L$3="","",IF(COUNTIFS(BD!$A$3:$A$5001,L$3,BD!$B$3:$B$5001,$A$539,BD!$D$3:$D$5001,"&lt;&gt;")=0,"",SUMIFS(BD!$D$3:$D$5001,BD!$A$3:$A$5001,L$3,BD!$B$3:$B$5001,$A$539)))</f>
        <v/>
      </c>
      <c r="M540" s="218" t="str">
        <f>IF(M$3="","",IF(COUNTIFS(BD!$A$3:$A$5001,M$3,BD!$B$3:$B$5001,$A$539,BD!$D$3:$D$5001,"&lt;&gt;")=0,"",SUMIFS(BD!$D$3:$D$5001,BD!$A$3:$A$5001,M$3,BD!$B$3:$B$5001,$A$539)))</f>
        <v/>
      </c>
      <c r="N540" s="218" t="str">
        <f>IF(N$3="","",IF(COUNTIFS(BD!$A$3:$A$5001,N$3,BD!$B$3:$B$5001,$A$539,BD!$D$3:$D$5001,"&lt;&gt;")=0,"",SUMIFS(BD!$D$3:$D$5001,BD!$A$3:$A$5001,N$3,BD!$B$3:$B$5001,$A$539)))</f>
        <v/>
      </c>
      <c r="O540" s="218" t="str">
        <f>IF(O$3="","",IF(COUNTIFS(BD!$A$3:$A$5001,O$3,BD!$B$3:$B$5001,$A$539,BD!$D$3:$D$5001,"&lt;&gt;")=0,"",SUMIFS(BD!$D$3:$D$5001,BD!$A$3:$A$5001,O$3,BD!$B$3:$B$5001,$A$539)))</f>
        <v/>
      </c>
      <c r="P540" s="218" t="str">
        <f>IF(P$3="","",IF(COUNTIFS(BD!$A$3:$A$5001,P$3,BD!$B$3:$B$5001,$A$539,BD!$D$3:$D$5001,"&lt;&gt;")=0,"",SUMIFS(BD!$D$3:$D$5001,BD!$A$3:$A$5001,P$3,BD!$B$3:$B$5001,$A$539)))</f>
        <v/>
      </c>
      <c r="Q540" s="218" t="str">
        <f>IF(Q$3="","",IF(COUNTIFS(BD!$A$3:$A$5001,Q$3,BD!$B$3:$B$5001,$A$539,BD!$D$3:$D$5001,"&lt;&gt;")=0,"",SUMIFS(BD!$D$3:$D$5001,BD!$A$3:$A$5001,Q$3,BD!$B$3:$B$5001,$A$539)))</f>
        <v/>
      </c>
      <c r="R540" s="218" t="str">
        <f>IF(R$3="","",IF(COUNTIFS(BD!$A$3:$A$5001,R$3,BD!$B$3:$B$5001,$A$539,BD!$D$3:$D$5001,"&lt;&gt;")=0,"",SUMIFS(BD!$D$3:$D$5001,BD!$A$3:$A$5001,R$3,BD!$B$3:$B$5001,$A$539)))</f>
        <v/>
      </c>
      <c r="S540" s="218" t="str">
        <f>IF(S$3="","",IF(COUNTIFS(BD!$A$3:$A$5001,S$3,BD!$B$3:$B$5001,$A$539,BD!$D$3:$D$5001,"&lt;&gt;")=0,"",SUMIFS(BD!$D$3:$D$5001,BD!$A$3:$A$5001,S$3,BD!$B$3:$B$5001,$A$539)))</f>
        <v/>
      </c>
      <c r="T540" s="218" t="str">
        <f>IF(T$3="","",IF(COUNTIFS(BD!$A$3:$A$5001,T$3,BD!$B$3:$B$5001,$A$539,BD!$D$3:$D$5001,"&lt;&gt;")=0,"",SUMIFS(BD!$D$3:$D$5001,BD!$A$3:$A$5001,T$3,BD!$B$3:$B$5001,$A$539)))</f>
        <v/>
      </c>
      <c r="U540" s="218" t="str">
        <f>IF(U$3="","",IF(COUNTIFS(BD!$A$3:$A$5001,U$3,BD!$B$3:$B$5001,$A$539,BD!$D$3:$D$5001,"&lt;&gt;")=0,"",SUMIFS(BD!$D$3:$D$5001,BD!$A$3:$A$5001,U$3,BD!$B$3:$B$5001,$A$539)))</f>
        <v/>
      </c>
      <c r="V540" s="218" t="str">
        <f>IF(V$3="","",IF(COUNTIFS(BD!$A$3:$A$5001,V$3,BD!$B$3:$B$5001,$A$539,BD!$D$3:$D$5001,"&lt;&gt;")=0,"",SUMIFS(BD!$D$3:$D$5001,BD!$A$3:$A$5001,V$3,BD!$B$3:$B$5001,$A$539)))</f>
        <v/>
      </c>
      <c r="W540" s="218" t="str">
        <f>IF(W$3="","",IF(COUNTIFS(BD!$A$3:$A$5001,W$3,BD!$B$3:$B$5001,$A$539,BD!$D$3:$D$5001,"&lt;&gt;")=0,"",SUMIFS(BD!$D$3:$D$5001,BD!$A$3:$A$5001,W$3,BD!$B$3:$B$5001,$A$539)))</f>
        <v/>
      </c>
      <c r="X540" s="218" t="str">
        <f>IF(X$3="","",IF(COUNTIFS(BD!$A$3:$A$5001,X$3,BD!$B$3:$B$5001,$A$539,BD!$D$3:$D$5001,"&lt;&gt;")=0,"",SUMIFS(BD!$D$3:$D$5001,BD!$A$3:$A$5001,X$3,BD!$B$3:$B$5001,$A$539)))</f>
        <v/>
      </c>
      <c r="Y540" s="218" t="str">
        <f>IF(Y$3="","",IF(COUNTIFS(BD!$A$3:$A$5001,Y$3,BD!$B$3:$B$5001,$A$539,BD!$D$3:$D$5001,"&lt;&gt;")=0,"",SUMIFS(BD!$D$3:$D$5001,BD!$A$3:$A$5001,Y$3,BD!$B$3:$B$5001,$A$539)))</f>
        <v/>
      </c>
      <c r="Z540" s="218" t="str">
        <f>IF(Z$3="","",IF(COUNTIFS(BD!$A$3:$A$5001,Z$3,BD!$B$3:$B$5001,$A$539,BD!$D$3:$D$5001,"&lt;&gt;")=0,"",SUMIFS(BD!$D$3:$D$5001,BD!$A$3:$A$5001,Z$3,BD!$B$3:$B$5001,$A$539)))</f>
        <v/>
      </c>
      <c r="AA540" s="218" t="str">
        <f>IF(AA$3="","",IF(COUNTIFS(BD!$A$3:$A$5001,AA$3,BD!$B$3:$B$5001,$A$539,BD!$D$3:$D$5001,"&lt;&gt;")=0,"",SUMIFS(BD!$D$3:$D$5001,BD!$A$3:$A$5001,AA$3,BD!$B$3:$B$5001,$A$539)))</f>
        <v/>
      </c>
      <c r="AB540" s="218" t="str">
        <f>IF(AB$3="","",IF(COUNTIFS(BD!$A$3:$A$5001,AB$3,BD!$B$3:$B$5001,$A$539,BD!$D$3:$D$5001,"&lt;&gt;")=0,"",SUMIFS(BD!$D$3:$D$5001,BD!$A$3:$A$5001,AB$3,BD!$B$3:$B$5001,$A$539)))</f>
        <v/>
      </c>
      <c r="AC540" s="218" t="str">
        <f>IF(AC$3="","",IF(COUNTIFS(BD!$A$3:$A$5001,AC$3,BD!$B$3:$B$5001,$A$539,BD!$D$3:$D$5001,"&lt;&gt;")=0,"",SUMIFS(BD!$D$3:$D$5001,BD!$A$3:$A$5001,AC$3,BD!$B$3:$B$5001,$A$539)))</f>
        <v/>
      </c>
      <c r="AD540" s="218" t="str">
        <f>IF(AD$3="","",IF(COUNTIFS(BD!$A$3:$A$5001,AD$3,BD!$B$3:$B$5001,$A$539,BD!$D$3:$D$5001,"&lt;&gt;")=0,"",SUMIFS(BD!$D$3:$D$5001,BD!$A$3:$A$5001,AD$3,BD!$B$3:$B$5001,$A$539)))</f>
        <v/>
      </c>
      <c r="AE540" s="218" t="str">
        <f>IF(AE$3="","",IF(COUNTIFS(BD!$A$3:$A$5001,AE$3,BD!$B$3:$B$5001,$A$539,BD!$D$3:$D$5001,"&lt;&gt;")=0,"",SUMIFS(BD!$D$3:$D$5001,BD!$A$3:$A$5001,AE$3,BD!$B$3:$B$5001,$A$539)))</f>
        <v/>
      </c>
      <c r="AF540" s="218" t="str">
        <f>IF(AF$3="","",IF(COUNTIFS(BD!$A$3:$A$5001,AF$3,BD!$B$3:$B$5001,$A$539,BD!$D$3:$D$5001,"&lt;&gt;")=0,"",SUMIFS(BD!$D$3:$D$5001,BD!$A$3:$A$5001,AF$3,BD!$B$3:$B$5001,$A$539)))</f>
        <v/>
      </c>
      <c r="AG540" s="218" t="str">
        <f>IF(AG$3="","",IF(COUNTIFS(BD!$A$3:$A$5001,AG$3,BD!$B$3:$B$5001,$A$539,BD!$D$3:$D$5001,"&lt;&gt;")=0,"",SUMIFS(BD!$D$3:$D$5001,BD!$A$3:$A$5001,AG$3,BD!$B$3:$B$5001,$A$539)))</f>
        <v/>
      </c>
      <c r="AH540" s="218" t="str">
        <f>IF(AH$3="","",IF(COUNTIFS(BD!$A$3:$A$5001,AH$3,BD!$B$3:$B$5001,$A$539,BD!$D$3:$D$5001,"&lt;&gt;")=0,"",SUMIFS(BD!$D$3:$D$5001,BD!$A$3:$A$5001,AH$3,BD!$B$3:$B$5001,$A$539)))</f>
        <v/>
      </c>
      <c r="AI540" s="218" t="str">
        <f>IF(AI$3="","",IF(COUNTIFS(BD!$A$3:$A$5001,AI$3,BD!$B$3:$B$5001,$A$539,BD!$D$3:$D$5001,"&lt;&gt;")=0,"",SUMIFS(BD!$D$3:$D$5001,BD!$A$3:$A$5001,AI$3,BD!$B$3:$B$5001,$A$539)))</f>
        <v/>
      </c>
      <c r="AJ540" s="219" t="str">
        <f>IF(AJ$3="","",IF(COUNTIFS(BD!$A$3:$A$5001,AJ$3,BD!$B$3:$B$5001,$A$539,BD!$D$3:$D$5001,"&lt;&gt;")=0,"",SUMIFS(BD!$D$3:$D$5001,BD!$A$3:$A$5001,AJ$3,BD!$B$3:$B$5001,$A$539)))</f>
        <v/>
      </c>
      <c r="AK540" s="220" t="str">
        <f>IF(COUNT(F540:AJ540)=0,"",SUM(F540:AJ540))</f>
        <v/>
      </c>
    </row>
    <row r="541" ht="15.75" customHeight="1" hidden="1">
      <c r="A541" s="261"/>
      <c r="B541" s="256"/>
      <c r="C541" s="214" t="inlineStr">
        <is>
          <t xml:space="preserve">Toneladas Movimentadas</t>
        </is>
      </c>
      <c r="D541" s="215" t="str">
        <f>IFERROR(1/(1/INDEX(BD!$AL$25:$BF$25,MATCH($A$539,BD!$AL$22:$BF$22,0))),"")</f>
        <v/>
      </c>
      <c r="E541" s="216"/>
      <c r="F541" s="282" t="str">
        <f>IF(F$3="","",IF(COUNTIFS(BD!$A$3:$A$5001,F$3,BD!$B$3:$B$5001,$A$539,BD!$E$3:$E$5001,"&lt;&gt;")=0,"",SUMIFS(BD!$E$3:$E$5001,BD!$A$3:$A$5001,F$3,BD!$B$3:$B$5001,$A$539)))</f>
        <v/>
      </c>
      <c r="G541" s="283" t="str">
        <f>IF(G$3="","",IF(COUNTIFS(BD!$A$3:$A$5001,G$3,BD!$B$3:$B$5001,$A$539,BD!$E$3:$E$5001,"&lt;&gt;")=0,"",SUMIFS(BD!$E$3:$E$5001,BD!$A$3:$A$5001,G$3,BD!$B$3:$B$5001,$A$539)))</f>
        <v/>
      </c>
      <c r="H541" s="283" t="str">
        <f>IF(H$3="","",IF(COUNTIFS(BD!$A$3:$A$5001,H$3,BD!$B$3:$B$5001,$A$539,BD!$E$3:$E$5001,"&lt;&gt;")=0,"",SUMIFS(BD!$E$3:$E$5001,BD!$A$3:$A$5001,H$3,BD!$B$3:$B$5001,$A$539)))</f>
        <v/>
      </c>
      <c r="I541" s="283" t="str">
        <f>IF(I$3="","",IF(COUNTIFS(BD!$A$3:$A$5001,I$3,BD!$B$3:$B$5001,$A$539,BD!$E$3:$E$5001,"&lt;&gt;")=0,"",SUMIFS(BD!$E$3:$E$5001,BD!$A$3:$A$5001,I$3,BD!$B$3:$B$5001,$A$539)))</f>
        <v/>
      </c>
      <c r="J541" s="283" t="str">
        <f>IF(J$3="","",IF(COUNTIFS(BD!$A$3:$A$5001,J$3,BD!$B$3:$B$5001,$A$539,BD!$E$3:$E$5001,"&lt;&gt;")=0,"",SUMIFS(BD!$E$3:$E$5001,BD!$A$3:$A$5001,J$3,BD!$B$3:$B$5001,$A$539)))</f>
        <v/>
      </c>
      <c r="K541" s="283" t="str">
        <f>IF(K$3="","",IF(COUNTIFS(BD!$A$3:$A$5001,K$3,BD!$B$3:$B$5001,$A$539,BD!$E$3:$E$5001,"&lt;&gt;")=0,"",SUMIFS(BD!$E$3:$E$5001,BD!$A$3:$A$5001,K$3,BD!$B$3:$B$5001,$A$539)))</f>
        <v/>
      </c>
      <c r="L541" s="283" t="str">
        <f>IF(L$3="","",IF(COUNTIFS(BD!$A$3:$A$5001,L$3,BD!$B$3:$B$5001,$A$539,BD!$E$3:$E$5001,"&lt;&gt;")=0,"",SUMIFS(BD!$E$3:$E$5001,BD!$A$3:$A$5001,L$3,BD!$B$3:$B$5001,$A$539)))</f>
        <v/>
      </c>
      <c r="M541" s="283" t="str">
        <f>IF(M$3="","",IF(COUNTIFS(BD!$A$3:$A$5001,M$3,BD!$B$3:$B$5001,$A$539,BD!$E$3:$E$5001,"&lt;&gt;")=0,"",SUMIFS(BD!$E$3:$E$5001,BD!$A$3:$A$5001,M$3,BD!$B$3:$B$5001,$A$539)))</f>
        <v/>
      </c>
      <c r="N541" s="283" t="str">
        <f>IF(N$3="","",IF(COUNTIFS(BD!$A$3:$A$5001,N$3,BD!$B$3:$B$5001,$A$539,BD!$E$3:$E$5001,"&lt;&gt;")=0,"",SUMIFS(BD!$E$3:$E$5001,BD!$A$3:$A$5001,N$3,BD!$B$3:$B$5001,$A$539)))</f>
        <v/>
      </c>
      <c r="O541" s="283" t="str">
        <f>IF(O$3="","",IF(COUNTIFS(BD!$A$3:$A$5001,O$3,BD!$B$3:$B$5001,$A$539,BD!$E$3:$E$5001,"&lt;&gt;")=0,"",SUMIFS(BD!$E$3:$E$5001,BD!$A$3:$A$5001,O$3,BD!$B$3:$B$5001,$A$539)))</f>
        <v/>
      </c>
      <c r="P541" s="283" t="str">
        <f>IF(P$3="","",IF(COUNTIFS(BD!$A$3:$A$5001,P$3,BD!$B$3:$B$5001,$A$539,BD!$E$3:$E$5001,"&lt;&gt;")=0,"",SUMIFS(BD!$E$3:$E$5001,BD!$A$3:$A$5001,P$3,BD!$B$3:$B$5001,$A$539)))</f>
        <v/>
      </c>
      <c r="Q541" s="283" t="str">
        <f>IF(Q$3="","",IF(COUNTIFS(BD!$A$3:$A$5001,Q$3,BD!$B$3:$B$5001,$A$539,BD!$E$3:$E$5001,"&lt;&gt;")=0,"",SUMIFS(BD!$E$3:$E$5001,BD!$A$3:$A$5001,Q$3,BD!$B$3:$B$5001,$A$539)))</f>
        <v/>
      </c>
      <c r="R541" s="283" t="str">
        <f>IF(R$3="","",IF(COUNTIFS(BD!$A$3:$A$5001,R$3,BD!$B$3:$B$5001,$A$539,BD!$E$3:$E$5001,"&lt;&gt;")=0,"",SUMIFS(BD!$E$3:$E$5001,BD!$A$3:$A$5001,R$3,BD!$B$3:$B$5001,$A$539)))</f>
        <v/>
      </c>
      <c r="S541" s="283" t="str">
        <f>IF(S$3="","",IF(COUNTIFS(BD!$A$3:$A$5001,S$3,BD!$B$3:$B$5001,$A$539,BD!$E$3:$E$5001,"&lt;&gt;")=0,"",SUMIFS(BD!$E$3:$E$5001,BD!$A$3:$A$5001,S$3,BD!$B$3:$B$5001,$A$539)))</f>
        <v/>
      </c>
      <c r="T541" s="283" t="str">
        <f>IF(T$3="","",IF(COUNTIFS(BD!$A$3:$A$5001,T$3,BD!$B$3:$B$5001,$A$539,BD!$E$3:$E$5001,"&lt;&gt;")=0,"",SUMIFS(BD!$E$3:$E$5001,BD!$A$3:$A$5001,T$3,BD!$B$3:$B$5001,$A$539)))</f>
        <v/>
      </c>
      <c r="U541" s="283" t="str">
        <f>IF(U$3="","",IF(COUNTIFS(BD!$A$3:$A$5001,U$3,BD!$B$3:$B$5001,$A$539,BD!$E$3:$E$5001,"&lt;&gt;")=0,"",SUMIFS(BD!$E$3:$E$5001,BD!$A$3:$A$5001,U$3,BD!$B$3:$B$5001,$A$539)))</f>
        <v/>
      </c>
      <c r="V541" s="283" t="str">
        <f>IF(V$3="","",IF(COUNTIFS(BD!$A$3:$A$5001,V$3,BD!$B$3:$B$5001,$A$539,BD!$E$3:$E$5001,"&lt;&gt;")=0,"",SUMIFS(BD!$E$3:$E$5001,BD!$A$3:$A$5001,V$3,BD!$B$3:$B$5001,$A$539)))</f>
        <v/>
      </c>
      <c r="W541" s="283" t="str">
        <f>IF(W$3="","",IF(COUNTIFS(BD!$A$3:$A$5001,W$3,BD!$B$3:$B$5001,$A$539,BD!$E$3:$E$5001,"&lt;&gt;")=0,"",SUMIFS(BD!$E$3:$E$5001,BD!$A$3:$A$5001,W$3,BD!$B$3:$B$5001,$A$539)))</f>
        <v/>
      </c>
      <c r="X541" s="283" t="str">
        <f>IF(X$3="","",IF(COUNTIFS(BD!$A$3:$A$5001,X$3,BD!$B$3:$B$5001,$A$539,BD!$E$3:$E$5001,"&lt;&gt;")=0,"",SUMIFS(BD!$E$3:$E$5001,BD!$A$3:$A$5001,X$3,BD!$B$3:$B$5001,$A$539)))</f>
        <v/>
      </c>
      <c r="Y541" s="283" t="str">
        <f>IF(Y$3="","",IF(COUNTIFS(BD!$A$3:$A$5001,Y$3,BD!$B$3:$B$5001,$A$539,BD!$E$3:$E$5001,"&lt;&gt;")=0,"",SUMIFS(BD!$E$3:$E$5001,BD!$A$3:$A$5001,Y$3,BD!$B$3:$B$5001,$A$539)))</f>
        <v/>
      </c>
      <c r="Z541" s="283" t="str">
        <f>IF(Z$3="","",IF(COUNTIFS(BD!$A$3:$A$5001,Z$3,BD!$B$3:$B$5001,$A$539,BD!$E$3:$E$5001,"&lt;&gt;")=0,"",SUMIFS(BD!$E$3:$E$5001,BD!$A$3:$A$5001,Z$3,BD!$B$3:$B$5001,$A$539)))</f>
        <v/>
      </c>
      <c r="AA541" s="283" t="str">
        <f>IF(AA$3="","",IF(COUNTIFS(BD!$A$3:$A$5001,AA$3,BD!$B$3:$B$5001,$A$539,BD!$E$3:$E$5001,"&lt;&gt;")=0,"",SUMIFS(BD!$E$3:$E$5001,BD!$A$3:$A$5001,AA$3,BD!$B$3:$B$5001,$A$539)))</f>
        <v/>
      </c>
      <c r="AB541" s="283" t="str">
        <f>IF(AB$3="","",IF(COUNTIFS(BD!$A$3:$A$5001,AB$3,BD!$B$3:$B$5001,$A$539,BD!$E$3:$E$5001,"&lt;&gt;")=0,"",SUMIFS(BD!$E$3:$E$5001,BD!$A$3:$A$5001,AB$3,BD!$B$3:$B$5001,$A$539)))</f>
        <v/>
      </c>
      <c r="AC541" s="283" t="str">
        <f>IF(AC$3="","",IF(COUNTIFS(BD!$A$3:$A$5001,AC$3,BD!$B$3:$B$5001,$A$539,BD!$E$3:$E$5001,"&lt;&gt;")=0,"",SUMIFS(BD!$E$3:$E$5001,BD!$A$3:$A$5001,AC$3,BD!$B$3:$B$5001,$A$539)))</f>
        <v/>
      </c>
      <c r="AD541" s="283" t="str">
        <f>IF(AD$3="","",IF(COUNTIFS(BD!$A$3:$A$5001,AD$3,BD!$B$3:$B$5001,$A$539,BD!$E$3:$E$5001,"&lt;&gt;")=0,"",SUMIFS(BD!$E$3:$E$5001,BD!$A$3:$A$5001,AD$3,BD!$B$3:$B$5001,$A$539)))</f>
        <v/>
      </c>
      <c r="AE541" s="283" t="str">
        <f>IF(AE$3="","",IF(COUNTIFS(BD!$A$3:$A$5001,AE$3,BD!$B$3:$B$5001,$A$539,BD!$E$3:$E$5001,"&lt;&gt;")=0,"",SUMIFS(BD!$E$3:$E$5001,BD!$A$3:$A$5001,AE$3,BD!$B$3:$B$5001,$A$539)))</f>
        <v/>
      </c>
      <c r="AF541" s="283" t="str">
        <f>IF(AF$3="","",IF(COUNTIFS(BD!$A$3:$A$5001,AF$3,BD!$B$3:$B$5001,$A$539,BD!$E$3:$E$5001,"&lt;&gt;")=0,"",SUMIFS(BD!$E$3:$E$5001,BD!$A$3:$A$5001,AF$3,BD!$B$3:$B$5001,$A$539)))</f>
        <v/>
      </c>
      <c r="AG541" s="283" t="str">
        <f>IF(AG$3="","",IF(COUNTIFS(BD!$A$3:$A$5001,AG$3,BD!$B$3:$B$5001,$A$539,BD!$E$3:$E$5001,"&lt;&gt;")=0,"",SUMIFS(BD!$E$3:$E$5001,BD!$A$3:$A$5001,AG$3,BD!$B$3:$B$5001,$A$539)))</f>
        <v/>
      </c>
      <c r="AH541" s="283" t="str">
        <f>IF(AH$3="","",IF(COUNTIFS(BD!$A$3:$A$5001,AH$3,BD!$B$3:$B$5001,$A$539,BD!$E$3:$E$5001,"&lt;&gt;")=0,"",SUMIFS(BD!$E$3:$E$5001,BD!$A$3:$A$5001,AH$3,BD!$B$3:$B$5001,$A$539)))</f>
        <v/>
      </c>
      <c r="AI541" s="283" t="str">
        <f>IF(AI$3="","",IF(COUNTIFS(BD!$A$3:$A$5001,AI$3,BD!$B$3:$B$5001,$A$539,BD!$E$3:$E$5001,"&lt;&gt;")=0,"",SUMIFS(BD!$E$3:$E$5001,BD!$A$3:$A$5001,AI$3,BD!$B$3:$B$5001,$A$539)))</f>
        <v/>
      </c>
      <c r="AJ541" s="284" t="str">
        <f>IF(AJ$3="","",IF(COUNTIFS(BD!$A$3:$A$5001,AJ$3,BD!$B$3:$B$5001,$A$539,BD!$E$3:$E$5001,"&lt;&gt;")=0,"",SUMIFS(BD!$E$3:$E$5001,BD!$A$3:$A$5001,AJ$3,BD!$B$3:$B$5001,$A$539)))</f>
        <v/>
      </c>
      <c r="AK541" s="285" t="str">
        <f>IF(COUNT(F541:AJ541)=0,"",SUM(F541:AJ541))</f>
        <v/>
      </c>
    </row>
    <row r="542" ht="15.75" customHeight="1" hidden="1">
      <c r="A542" s="261"/>
      <c r="B542" s="256"/>
      <c r="C542" s="214" t="inlineStr">
        <is>
          <t xml:space="preserve">Linhas NF</t>
        </is>
      </c>
      <c r="D542" s="215" t="str">
        <f>IFERROR(1/(1/INDEX(BD!$AL$26:$BF$26,MATCH($A$539,BD!$AL$22:$BF$22,0))),"")</f>
        <v/>
      </c>
      <c r="E542" s="216"/>
      <c r="F542" s="217" t="str">
        <f>IF(F$3="","",IF(COUNTIFS(BD!$A$3:$A$5001,F$3,BD!$B$3:$B$5001,$A$539,BD!$F$3:$F$5001,"&lt;&gt;")=0,"",SUMIFS(BD!$F$3:$F$5001,BD!$A$3:$A$5001,F$3,BD!$B$3:$B$5001,$A$539)))</f>
        <v/>
      </c>
      <c r="G542" s="218" t="str">
        <f>IF(G$3="","",IF(COUNTIFS(BD!$A$3:$A$5001,G$3,BD!$B$3:$B$5001,$A$539,BD!$F$3:$F$5001,"&lt;&gt;")=0,"",SUMIFS(BD!$F$3:$F$5001,BD!$A$3:$A$5001,G$3,BD!$B$3:$B$5001,$A$539)))</f>
        <v/>
      </c>
      <c r="H542" s="218" t="str">
        <f>IF(H$3="","",IF(COUNTIFS(BD!$A$3:$A$5001,H$3,BD!$B$3:$B$5001,$A$539,BD!$F$3:$F$5001,"&lt;&gt;")=0,"",SUMIFS(BD!$F$3:$F$5001,BD!$A$3:$A$5001,H$3,BD!$B$3:$B$5001,$A$539)))</f>
        <v/>
      </c>
      <c r="I542" s="218" t="str">
        <f>IF(I$3="","",IF(COUNTIFS(BD!$A$3:$A$5001,I$3,BD!$B$3:$B$5001,$A$539,BD!$F$3:$F$5001,"&lt;&gt;")=0,"",SUMIFS(BD!$F$3:$F$5001,BD!$A$3:$A$5001,I$3,BD!$B$3:$B$5001,$A$539)))</f>
        <v/>
      </c>
      <c r="J542" s="218" t="str">
        <f>IF(J$3="","",IF(COUNTIFS(BD!$A$3:$A$5001,J$3,BD!$B$3:$B$5001,$A$539,BD!$F$3:$F$5001,"&lt;&gt;")=0,"",SUMIFS(BD!$F$3:$F$5001,BD!$A$3:$A$5001,J$3,BD!$B$3:$B$5001,$A$539)))</f>
        <v/>
      </c>
      <c r="K542" s="218" t="str">
        <f>IF(K$3="","",IF(COUNTIFS(BD!$A$3:$A$5001,K$3,BD!$B$3:$B$5001,$A$539,BD!$F$3:$F$5001,"&lt;&gt;")=0,"",SUMIFS(BD!$F$3:$F$5001,BD!$A$3:$A$5001,K$3,BD!$B$3:$B$5001,$A$539)))</f>
        <v/>
      </c>
      <c r="L542" s="218" t="str">
        <f>IF(L$3="","",IF(COUNTIFS(BD!$A$3:$A$5001,L$3,BD!$B$3:$B$5001,$A$539,BD!$F$3:$F$5001,"&lt;&gt;")=0,"",SUMIFS(BD!$F$3:$F$5001,BD!$A$3:$A$5001,L$3,BD!$B$3:$B$5001,$A$539)))</f>
        <v/>
      </c>
      <c r="M542" s="218" t="str">
        <f>IF(M$3="","",IF(COUNTIFS(BD!$A$3:$A$5001,M$3,BD!$B$3:$B$5001,$A$539,BD!$F$3:$F$5001,"&lt;&gt;")=0,"",SUMIFS(BD!$F$3:$F$5001,BD!$A$3:$A$5001,M$3,BD!$B$3:$B$5001,$A$539)))</f>
        <v/>
      </c>
      <c r="N542" s="218" t="str">
        <f>IF(N$3="","",IF(COUNTIFS(BD!$A$3:$A$5001,N$3,BD!$B$3:$B$5001,$A$539,BD!$F$3:$F$5001,"&lt;&gt;")=0,"",SUMIFS(BD!$F$3:$F$5001,BD!$A$3:$A$5001,N$3,BD!$B$3:$B$5001,$A$539)))</f>
        <v/>
      </c>
      <c r="O542" s="218" t="str">
        <f>IF(O$3="","",IF(COUNTIFS(BD!$A$3:$A$5001,O$3,BD!$B$3:$B$5001,$A$539,BD!$F$3:$F$5001,"&lt;&gt;")=0,"",SUMIFS(BD!$F$3:$F$5001,BD!$A$3:$A$5001,O$3,BD!$B$3:$B$5001,$A$539)))</f>
        <v/>
      </c>
      <c r="P542" s="218" t="str">
        <f>IF(P$3="","",IF(COUNTIFS(BD!$A$3:$A$5001,P$3,BD!$B$3:$B$5001,$A$539,BD!$F$3:$F$5001,"&lt;&gt;")=0,"",SUMIFS(BD!$F$3:$F$5001,BD!$A$3:$A$5001,P$3,BD!$B$3:$B$5001,$A$539)))</f>
        <v/>
      </c>
      <c r="Q542" s="218" t="str">
        <f>IF(Q$3="","",IF(COUNTIFS(BD!$A$3:$A$5001,Q$3,BD!$B$3:$B$5001,$A$539,BD!$F$3:$F$5001,"&lt;&gt;")=0,"",SUMIFS(BD!$F$3:$F$5001,BD!$A$3:$A$5001,Q$3,BD!$B$3:$B$5001,$A$539)))</f>
        <v/>
      </c>
      <c r="R542" s="218" t="str">
        <f>IF(R$3="","",IF(COUNTIFS(BD!$A$3:$A$5001,R$3,BD!$B$3:$B$5001,$A$539,BD!$F$3:$F$5001,"&lt;&gt;")=0,"",SUMIFS(BD!$F$3:$F$5001,BD!$A$3:$A$5001,R$3,BD!$B$3:$B$5001,$A$539)))</f>
        <v/>
      </c>
      <c r="S542" s="218" t="str">
        <f>IF(S$3="","",IF(COUNTIFS(BD!$A$3:$A$5001,S$3,BD!$B$3:$B$5001,$A$539,BD!$F$3:$F$5001,"&lt;&gt;")=0,"",SUMIFS(BD!$F$3:$F$5001,BD!$A$3:$A$5001,S$3,BD!$B$3:$B$5001,$A$539)))</f>
        <v/>
      </c>
      <c r="T542" s="218" t="str">
        <f>IF(T$3="","",IF(COUNTIFS(BD!$A$3:$A$5001,T$3,BD!$B$3:$B$5001,$A$539,BD!$F$3:$F$5001,"&lt;&gt;")=0,"",SUMIFS(BD!$F$3:$F$5001,BD!$A$3:$A$5001,T$3,BD!$B$3:$B$5001,$A$539)))</f>
        <v/>
      </c>
      <c r="U542" s="218" t="str">
        <f>IF(U$3="","",IF(COUNTIFS(BD!$A$3:$A$5001,U$3,BD!$B$3:$B$5001,$A$539,BD!$F$3:$F$5001,"&lt;&gt;")=0,"",SUMIFS(BD!$F$3:$F$5001,BD!$A$3:$A$5001,U$3,BD!$B$3:$B$5001,$A$539)))</f>
        <v/>
      </c>
      <c r="V542" s="218" t="str">
        <f>IF(V$3="","",IF(COUNTIFS(BD!$A$3:$A$5001,V$3,BD!$B$3:$B$5001,$A$539,BD!$F$3:$F$5001,"&lt;&gt;")=0,"",SUMIFS(BD!$F$3:$F$5001,BD!$A$3:$A$5001,V$3,BD!$B$3:$B$5001,$A$539)))</f>
        <v/>
      </c>
      <c r="W542" s="218" t="str">
        <f>IF(W$3="","",IF(COUNTIFS(BD!$A$3:$A$5001,W$3,BD!$B$3:$B$5001,$A$539,BD!$F$3:$F$5001,"&lt;&gt;")=0,"",SUMIFS(BD!$F$3:$F$5001,BD!$A$3:$A$5001,W$3,BD!$B$3:$B$5001,$A$539)))</f>
        <v/>
      </c>
      <c r="X542" s="218" t="str">
        <f>IF(X$3="","",IF(COUNTIFS(BD!$A$3:$A$5001,X$3,BD!$B$3:$B$5001,$A$539,BD!$F$3:$F$5001,"&lt;&gt;")=0,"",SUMIFS(BD!$F$3:$F$5001,BD!$A$3:$A$5001,X$3,BD!$B$3:$B$5001,$A$539)))</f>
        <v/>
      </c>
      <c r="Y542" s="218" t="str">
        <f>IF(Y$3="","",IF(COUNTIFS(BD!$A$3:$A$5001,Y$3,BD!$B$3:$B$5001,$A$539,BD!$F$3:$F$5001,"&lt;&gt;")=0,"",SUMIFS(BD!$F$3:$F$5001,BD!$A$3:$A$5001,Y$3,BD!$B$3:$B$5001,$A$539)))</f>
        <v/>
      </c>
      <c r="Z542" s="218" t="str">
        <f>IF(Z$3="","",IF(COUNTIFS(BD!$A$3:$A$5001,Z$3,BD!$B$3:$B$5001,$A$539,BD!$F$3:$F$5001,"&lt;&gt;")=0,"",SUMIFS(BD!$F$3:$F$5001,BD!$A$3:$A$5001,Z$3,BD!$B$3:$B$5001,$A$539)))</f>
        <v/>
      </c>
      <c r="AA542" s="218" t="str">
        <f>IF(AA$3="","",IF(COUNTIFS(BD!$A$3:$A$5001,AA$3,BD!$B$3:$B$5001,$A$539,BD!$F$3:$F$5001,"&lt;&gt;")=0,"",SUMIFS(BD!$F$3:$F$5001,BD!$A$3:$A$5001,AA$3,BD!$B$3:$B$5001,$A$539)))</f>
        <v/>
      </c>
      <c r="AB542" s="218" t="str">
        <f>IF(AB$3="","",IF(COUNTIFS(BD!$A$3:$A$5001,AB$3,BD!$B$3:$B$5001,$A$539,BD!$F$3:$F$5001,"&lt;&gt;")=0,"",SUMIFS(BD!$F$3:$F$5001,BD!$A$3:$A$5001,AB$3,BD!$B$3:$B$5001,$A$539)))</f>
        <v/>
      </c>
      <c r="AC542" s="218" t="str">
        <f>IF(AC$3="","",IF(COUNTIFS(BD!$A$3:$A$5001,AC$3,BD!$B$3:$B$5001,$A$539,BD!$F$3:$F$5001,"&lt;&gt;")=0,"",SUMIFS(BD!$F$3:$F$5001,BD!$A$3:$A$5001,AC$3,BD!$B$3:$B$5001,$A$539)))</f>
        <v/>
      </c>
      <c r="AD542" s="218" t="str">
        <f>IF(AD$3="","",IF(COUNTIFS(BD!$A$3:$A$5001,AD$3,BD!$B$3:$B$5001,$A$539,BD!$F$3:$F$5001,"&lt;&gt;")=0,"",SUMIFS(BD!$F$3:$F$5001,BD!$A$3:$A$5001,AD$3,BD!$B$3:$B$5001,$A$539)))</f>
        <v/>
      </c>
      <c r="AE542" s="218" t="str">
        <f>IF(AE$3="","",IF(COUNTIFS(BD!$A$3:$A$5001,AE$3,BD!$B$3:$B$5001,$A$539,BD!$F$3:$F$5001,"&lt;&gt;")=0,"",SUMIFS(BD!$F$3:$F$5001,BD!$A$3:$A$5001,AE$3,BD!$B$3:$B$5001,$A$539)))</f>
        <v/>
      </c>
      <c r="AF542" s="218" t="str">
        <f>IF(AF$3="","",IF(COUNTIFS(BD!$A$3:$A$5001,AF$3,BD!$B$3:$B$5001,$A$539,BD!$F$3:$F$5001,"&lt;&gt;")=0,"",SUMIFS(BD!$F$3:$F$5001,BD!$A$3:$A$5001,AF$3,BD!$B$3:$B$5001,$A$539)))</f>
        <v/>
      </c>
      <c r="AG542" s="218" t="str">
        <f>IF(AG$3="","",IF(COUNTIFS(BD!$A$3:$A$5001,AG$3,BD!$B$3:$B$5001,$A$539,BD!$F$3:$F$5001,"&lt;&gt;")=0,"",SUMIFS(BD!$F$3:$F$5001,BD!$A$3:$A$5001,AG$3,BD!$B$3:$B$5001,$A$539)))</f>
        <v/>
      </c>
      <c r="AH542" s="218" t="str">
        <f>IF(AH$3="","",IF(COUNTIFS(BD!$A$3:$A$5001,AH$3,BD!$B$3:$B$5001,$A$539,BD!$F$3:$F$5001,"&lt;&gt;")=0,"",SUMIFS(BD!$F$3:$F$5001,BD!$A$3:$A$5001,AH$3,BD!$B$3:$B$5001,$A$539)))</f>
        <v/>
      </c>
      <c r="AI542" s="218" t="str">
        <f>IF(AI$3="","",IF(COUNTIFS(BD!$A$3:$A$5001,AI$3,BD!$B$3:$B$5001,$A$539,BD!$F$3:$F$5001,"&lt;&gt;")=0,"",SUMIFS(BD!$F$3:$F$5001,BD!$A$3:$A$5001,AI$3,BD!$B$3:$B$5001,$A$539)))</f>
        <v/>
      </c>
      <c r="AJ542" s="219" t="str">
        <f>IF(AJ$3="","",IF(COUNTIFS(BD!$A$3:$A$5001,AJ$3,BD!$B$3:$B$5001,$A$539,BD!$F$3:$F$5001,"&lt;&gt;")=0,"",SUMIFS(BD!$F$3:$F$5001,BD!$A$3:$A$5001,AJ$3,BD!$B$3:$B$5001,$A$539)))</f>
        <v/>
      </c>
      <c r="AK542" s="220" t="str">
        <f>IF(COUNT(F542:AJ542)=0,"",SUM(F542:AJ542))</f>
        <v/>
      </c>
    </row>
    <row r="543" ht="15.75" customHeight="1" hidden="1">
      <c r="A543" s="261"/>
      <c r="B543" s="256"/>
      <c r="C543" s="214" t="inlineStr">
        <is>
          <t xml:space="preserve">Caixas Movimentadas</t>
        </is>
      </c>
      <c r="D543" s="215" t="str">
        <f>IFERROR(1/(1/INDEX(BD!$AL$27:$BF$27,MATCH($A$539,BD!$AL$22:$BF$22,0))),"")</f>
        <v/>
      </c>
      <c r="E543" s="216"/>
      <c r="F543" s="217" t="str">
        <f>IF(F$3="","",IF(COUNTIFS(BD!$A$3:$A$5001,F$3,BD!$B$3:$B$5001,$A$539,BD!$G$3:$G$5001,"&lt;&gt;")=0,"",SUMIFS(BD!$G$3:$G$5001,BD!$A$3:$A$5001,F$3,BD!$B$3:$B$5001,$A$539)))</f>
        <v/>
      </c>
      <c r="G543" s="218" t="str">
        <f>IF(G$3="","",IF(COUNTIFS(BD!$A$3:$A$5001,G$3,BD!$B$3:$B$5001,$A$539,BD!$G$3:$G$5001,"&lt;&gt;")=0,"",SUMIFS(BD!$G$3:$G$5001,BD!$A$3:$A$5001,G$3,BD!$B$3:$B$5001,$A$539)))</f>
        <v/>
      </c>
      <c r="H543" s="218" t="str">
        <f>IF(H$3="","",IF(COUNTIFS(BD!$A$3:$A$5001,H$3,BD!$B$3:$B$5001,$A$539,BD!$G$3:$G$5001,"&lt;&gt;")=0,"",SUMIFS(BD!$G$3:$G$5001,BD!$A$3:$A$5001,H$3,BD!$B$3:$B$5001,$A$539)))</f>
        <v/>
      </c>
      <c r="I543" s="218" t="str">
        <f>IF(I$3="","",IF(COUNTIFS(BD!$A$3:$A$5001,I$3,BD!$B$3:$B$5001,$A$539,BD!$G$3:$G$5001,"&lt;&gt;")=0,"",SUMIFS(BD!$G$3:$G$5001,BD!$A$3:$A$5001,I$3,BD!$B$3:$B$5001,$A$539)))</f>
        <v/>
      </c>
      <c r="J543" s="218" t="str">
        <f>IF(J$3="","",IF(COUNTIFS(BD!$A$3:$A$5001,J$3,BD!$B$3:$B$5001,$A$539,BD!$G$3:$G$5001,"&lt;&gt;")=0,"",SUMIFS(BD!$G$3:$G$5001,BD!$A$3:$A$5001,J$3,BD!$B$3:$B$5001,$A$539)))</f>
        <v/>
      </c>
      <c r="K543" s="218" t="str">
        <f>IF(K$3="","",IF(COUNTIFS(BD!$A$3:$A$5001,K$3,BD!$B$3:$B$5001,$A$539,BD!$G$3:$G$5001,"&lt;&gt;")=0,"",SUMIFS(BD!$G$3:$G$5001,BD!$A$3:$A$5001,K$3,BD!$B$3:$B$5001,$A$539)))</f>
        <v/>
      </c>
      <c r="L543" s="218" t="str">
        <f>IF(L$3="","",IF(COUNTIFS(BD!$A$3:$A$5001,L$3,BD!$B$3:$B$5001,$A$539,BD!$G$3:$G$5001,"&lt;&gt;")=0,"",SUMIFS(BD!$G$3:$G$5001,BD!$A$3:$A$5001,L$3,BD!$B$3:$B$5001,$A$539)))</f>
        <v/>
      </c>
      <c r="M543" s="218" t="str">
        <f>IF(M$3="","",IF(COUNTIFS(BD!$A$3:$A$5001,M$3,BD!$B$3:$B$5001,$A$539,BD!$G$3:$G$5001,"&lt;&gt;")=0,"",SUMIFS(BD!$G$3:$G$5001,BD!$A$3:$A$5001,M$3,BD!$B$3:$B$5001,$A$539)))</f>
        <v/>
      </c>
      <c r="N543" s="218" t="str">
        <f>IF(N$3="","",IF(COUNTIFS(BD!$A$3:$A$5001,N$3,BD!$B$3:$B$5001,$A$539,BD!$G$3:$G$5001,"&lt;&gt;")=0,"",SUMIFS(BD!$G$3:$G$5001,BD!$A$3:$A$5001,N$3,BD!$B$3:$B$5001,$A$539)))</f>
        <v/>
      </c>
      <c r="O543" s="218" t="str">
        <f>IF(O$3="","",IF(COUNTIFS(BD!$A$3:$A$5001,O$3,BD!$B$3:$B$5001,$A$539,BD!$G$3:$G$5001,"&lt;&gt;")=0,"",SUMIFS(BD!$G$3:$G$5001,BD!$A$3:$A$5001,O$3,BD!$B$3:$B$5001,$A$539)))</f>
        <v/>
      </c>
      <c r="P543" s="218" t="str">
        <f>IF(P$3="","",IF(COUNTIFS(BD!$A$3:$A$5001,P$3,BD!$B$3:$B$5001,$A$539,BD!$G$3:$G$5001,"&lt;&gt;")=0,"",SUMIFS(BD!$G$3:$G$5001,BD!$A$3:$A$5001,P$3,BD!$B$3:$B$5001,$A$539)))</f>
        <v/>
      </c>
      <c r="Q543" s="218" t="str">
        <f>IF(Q$3="","",IF(COUNTIFS(BD!$A$3:$A$5001,Q$3,BD!$B$3:$B$5001,$A$539,BD!$G$3:$G$5001,"&lt;&gt;")=0,"",SUMIFS(BD!$G$3:$G$5001,BD!$A$3:$A$5001,Q$3,BD!$B$3:$B$5001,$A$539)))</f>
        <v/>
      </c>
      <c r="R543" s="218" t="str">
        <f>IF(R$3="","",IF(COUNTIFS(BD!$A$3:$A$5001,R$3,BD!$B$3:$B$5001,$A$539,BD!$G$3:$G$5001,"&lt;&gt;")=0,"",SUMIFS(BD!$G$3:$G$5001,BD!$A$3:$A$5001,R$3,BD!$B$3:$B$5001,$A$539)))</f>
        <v/>
      </c>
      <c r="S543" s="218" t="str">
        <f>IF(S$3="","",IF(COUNTIFS(BD!$A$3:$A$5001,S$3,BD!$B$3:$B$5001,$A$539,BD!$G$3:$G$5001,"&lt;&gt;")=0,"",SUMIFS(BD!$G$3:$G$5001,BD!$A$3:$A$5001,S$3,BD!$B$3:$B$5001,$A$539)))</f>
        <v/>
      </c>
      <c r="T543" s="218" t="str">
        <f>IF(T$3="","",IF(COUNTIFS(BD!$A$3:$A$5001,T$3,BD!$B$3:$B$5001,$A$539,BD!$G$3:$G$5001,"&lt;&gt;")=0,"",SUMIFS(BD!$G$3:$G$5001,BD!$A$3:$A$5001,T$3,BD!$B$3:$B$5001,$A$539)))</f>
        <v/>
      </c>
      <c r="U543" s="218" t="str">
        <f>IF(U$3="","",IF(COUNTIFS(BD!$A$3:$A$5001,U$3,BD!$B$3:$B$5001,$A$539,BD!$G$3:$G$5001,"&lt;&gt;")=0,"",SUMIFS(BD!$G$3:$G$5001,BD!$A$3:$A$5001,U$3,BD!$B$3:$B$5001,$A$539)))</f>
        <v/>
      </c>
      <c r="V543" s="218" t="str">
        <f>IF(V$3="","",IF(COUNTIFS(BD!$A$3:$A$5001,V$3,BD!$B$3:$B$5001,$A$539,BD!$G$3:$G$5001,"&lt;&gt;")=0,"",SUMIFS(BD!$G$3:$G$5001,BD!$A$3:$A$5001,V$3,BD!$B$3:$B$5001,$A$539)))</f>
        <v/>
      </c>
      <c r="W543" s="218" t="str">
        <f>IF(W$3="","",IF(COUNTIFS(BD!$A$3:$A$5001,W$3,BD!$B$3:$B$5001,$A$539,BD!$G$3:$G$5001,"&lt;&gt;")=0,"",SUMIFS(BD!$G$3:$G$5001,BD!$A$3:$A$5001,W$3,BD!$B$3:$B$5001,$A$539)))</f>
        <v/>
      </c>
      <c r="X543" s="218" t="str">
        <f>IF(X$3="","",IF(COUNTIFS(BD!$A$3:$A$5001,X$3,BD!$B$3:$B$5001,$A$539,BD!$G$3:$G$5001,"&lt;&gt;")=0,"",SUMIFS(BD!$G$3:$G$5001,BD!$A$3:$A$5001,X$3,BD!$B$3:$B$5001,$A$539)))</f>
        <v/>
      </c>
      <c r="Y543" s="218" t="str">
        <f>IF(Y$3="","",IF(COUNTIFS(BD!$A$3:$A$5001,Y$3,BD!$B$3:$B$5001,$A$539,BD!$G$3:$G$5001,"&lt;&gt;")=0,"",SUMIFS(BD!$G$3:$G$5001,BD!$A$3:$A$5001,Y$3,BD!$B$3:$B$5001,$A$539)))</f>
        <v/>
      </c>
      <c r="Z543" s="218" t="str">
        <f>IF(Z$3="","",IF(COUNTIFS(BD!$A$3:$A$5001,Z$3,BD!$B$3:$B$5001,$A$539,BD!$G$3:$G$5001,"&lt;&gt;")=0,"",SUMIFS(BD!$G$3:$G$5001,BD!$A$3:$A$5001,Z$3,BD!$B$3:$B$5001,$A$539)))</f>
        <v/>
      </c>
      <c r="AA543" s="218" t="str">
        <f>IF(AA$3="","",IF(COUNTIFS(BD!$A$3:$A$5001,AA$3,BD!$B$3:$B$5001,$A$539,BD!$G$3:$G$5001,"&lt;&gt;")=0,"",SUMIFS(BD!$G$3:$G$5001,BD!$A$3:$A$5001,AA$3,BD!$B$3:$B$5001,$A$539)))</f>
        <v/>
      </c>
      <c r="AB543" s="218" t="str">
        <f>IF(AB$3="","",IF(COUNTIFS(BD!$A$3:$A$5001,AB$3,BD!$B$3:$B$5001,$A$539,BD!$G$3:$G$5001,"&lt;&gt;")=0,"",SUMIFS(BD!$G$3:$G$5001,BD!$A$3:$A$5001,AB$3,BD!$B$3:$B$5001,$A$539)))</f>
        <v/>
      </c>
      <c r="AC543" s="218" t="str">
        <f>IF(AC$3="","",IF(COUNTIFS(BD!$A$3:$A$5001,AC$3,BD!$B$3:$B$5001,$A$539,BD!$G$3:$G$5001,"&lt;&gt;")=0,"",SUMIFS(BD!$G$3:$G$5001,BD!$A$3:$A$5001,AC$3,BD!$B$3:$B$5001,$A$539)))</f>
        <v/>
      </c>
      <c r="AD543" s="218" t="str">
        <f>IF(AD$3="","",IF(COUNTIFS(BD!$A$3:$A$5001,AD$3,BD!$B$3:$B$5001,$A$539,BD!$G$3:$G$5001,"&lt;&gt;")=0,"",SUMIFS(BD!$G$3:$G$5001,BD!$A$3:$A$5001,AD$3,BD!$B$3:$B$5001,$A$539)))</f>
        <v/>
      </c>
      <c r="AE543" s="218" t="str">
        <f>IF(AE$3="","",IF(COUNTIFS(BD!$A$3:$A$5001,AE$3,BD!$B$3:$B$5001,$A$539,BD!$G$3:$G$5001,"&lt;&gt;")=0,"",SUMIFS(BD!$G$3:$G$5001,BD!$A$3:$A$5001,AE$3,BD!$B$3:$B$5001,$A$539)))</f>
        <v/>
      </c>
      <c r="AF543" s="218" t="str">
        <f>IF(AF$3="","",IF(COUNTIFS(BD!$A$3:$A$5001,AF$3,BD!$B$3:$B$5001,$A$539,BD!$G$3:$G$5001,"&lt;&gt;")=0,"",SUMIFS(BD!$G$3:$G$5001,BD!$A$3:$A$5001,AF$3,BD!$B$3:$B$5001,$A$539)))</f>
        <v/>
      </c>
      <c r="AG543" s="218" t="str">
        <f>IF(AG$3="","",IF(COUNTIFS(BD!$A$3:$A$5001,AG$3,BD!$B$3:$B$5001,$A$539,BD!$G$3:$G$5001,"&lt;&gt;")=0,"",SUMIFS(BD!$G$3:$G$5001,BD!$A$3:$A$5001,AG$3,BD!$B$3:$B$5001,$A$539)))</f>
        <v/>
      </c>
      <c r="AH543" s="218" t="str">
        <f>IF(AH$3="","",IF(COUNTIFS(BD!$A$3:$A$5001,AH$3,BD!$B$3:$B$5001,$A$539,BD!$G$3:$G$5001,"&lt;&gt;")=0,"",SUMIFS(BD!$G$3:$G$5001,BD!$A$3:$A$5001,AH$3,BD!$B$3:$B$5001,$A$539)))</f>
        <v/>
      </c>
      <c r="AI543" s="218" t="str">
        <f>IF(AI$3="","",IF(COUNTIFS(BD!$A$3:$A$5001,AI$3,BD!$B$3:$B$5001,$A$539,BD!$G$3:$G$5001,"&lt;&gt;")=0,"",SUMIFS(BD!$G$3:$G$5001,BD!$A$3:$A$5001,AI$3,BD!$B$3:$B$5001,$A$539)))</f>
        <v/>
      </c>
      <c r="AJ543" s="219" t="str">
        <f>IF(AJ$3="","",IF(COUNTIFS(BD!$A$3:$A$5001,AJ$3,BD!$B$3:$B$5001,$A$539,BD!$G$3:$G$5001,"&lt;&gt;")=0,"",SUMIFS(BD!$G$3:$G$5001,BD!$A$3:$A$5001,AJ$3,BD!$B$3:$B$5001,$A$539)))</f>
        <v/>
      </c>
      <c r="AK543" s="220" t="str">
        <f>IF(COUNT(F543:AJ543)=0,"",SUM(F543:AJ543))</f>
        <v/>
      </c>
    </row>
    <row r="544" ht="15.75" customHeight="1" hidden="1">
      <c r="A544" s="261"/>
      <c r="B544" s="256"/>
      <c r="C544" s="214" t="inlineStr">
        <is>
          <t xml:space="preserve">Itens Recebidos</t>
        </is>
      </c>
      <c r="D544" s="215" t="str">
        <f>IFERROR(1/(1/INDEX(BD!$AL$28:$BF$28,MATCH($A$539,BD!$AL$22:$BF$22,0))),"")</f>
        <v/>
      </c>
      <c r="E544" s="216"/>
      <c r="F544" s="217" t="str">
        <f>IF(F$3="","",IF(COUNTIFS(BD!$A$3:$A$5001,F$3,BD!$B$3:$B$5001,$A$539,BD!$H$3:$H$5001,"&lt;&gt;")=0,"",SUMIFS(BD!$H$3:$H$5001,BD!$A$3:$A$5001,F$3,BD!$B$3:$B$5001,$A$539)))</f>
        <v/>
      </c>
      <c r="G544" s="218" t="str">
        <f>IF(G$3="","",IF(COUNTIFS(BD!$A$3:$A$5001,G$3,BD!$B$3:$B$5001,$A$539,BD!$H$3:$H$5001,"&lt;&gt;")=0,"",SUMIFS(BD!$H$3:$H$5001,BD!$A$3:$A$5001,G$3,BD!$B$3:$B$5001,$A$539)))</f>
        <v/>
      </c>
      <c r="H544" s="218" t="str">
        <f>IF(H$3="","",IF(COUNTIFS(BD!$A$3:$A$5001,H$3,BD!$B$3:$B$5001,$A$539,BD!$H$3:$H$5001,"&lt;&gt;")=0,"",SUMIFS(BD!$H$3:$H$5001,BD!$A$3:$A$5001,H$3,BD!$B$3:$B$5001,$A$539)))</f>
        <v/>
      </c>
      <c r="I544" s="218" t="str">
        <f>IF(I$3="","",IF(COUNTIFS(BD!$A$3:$A$5001,I$3,BD!$B$3:$B$5001,$A$539,BD!$H$3:$H$5001,"&lt;&gt;")=0,"",SUMIFS(BD!$H$3:$H$5001,BD!$A$3:$A$5001,I$3,BD!$B$3:$B$5001,$A$539)))</f>
        <v/>
      </c>
      <c r="J544" s="218" t="str">
        <f>IF(J$3="","",IF(COUNTIFS(BD!$A$3:$A$5001,J$3,BD!$B$3:$B$5001,$A$539,BD!$H$3:$H$5001,"&lt;&gt;")=0,"",SUMIFS(BD!$H$3:$H$5001,BD!$A$3:$A$5001,J$3,BD!$B$3:$B$5001,$A$539)))</f>
        <v/>
      </c>
      <c r="K544" s="218" t="str">
        <f>IF(K$3="","",IF(COUNTIFS(BD!$A$3:$A$5001,K$3,BD!$B$3:$B$5001,$A$539,BD!$H$3:$H$5001,"&lt;&gt;")=0,"",SUMIFS(BD!$H$3:$H$5001,BD!$A$3:$A$5001,K$3,BD!$B$3:$B$5001,$A$539)))</f>
        <v/>
      </c>
      <c r="L544" s="218" t="str">
        <f>IF(L$3="","",IF(COUNTIFS(BD!$A$3:$A$5001,L$3,BD!$B$3:$B$5001,$A$539,BD!$H$3:$H$5001,"&lt;&gt;")=0,"",SUMIFS(BD!$H$3:$H$5001,BD!$A$3:$A$5001,L$3,BD!$B$3:$B$5001,$A$539)))</f>
        <v/>
      </c>
      <c r="M544" s="218" t="str">
        <f>IF(M$3="","",IF(COUNTIFS(BD!$A$3:$A$5001,M$3,BD!$B$3:$B$5001,$A$539,BD!$H$3:$H$5001,"&lt;&gt;")=0,"",SUMIFS(BD!$H$3:$H$5001,BD!$A$3:$A$5001,M$3,BD!$B$3:$B$5001,$A$539)))</f>
        <v/>
      </c>
      <c r="N544" s="218" t="str">
        <f>IF(N$3="","",IF(COUNTIFS(BD!$A$3:$A$5001,N$3,BD!$B$3:$B$5001,$A$539,BD!$H$3:$H$5001,"&lt;&gt;")=0,"",SUMIFS(BD!$H$3:$H$5001,BD!$A$3:$A$5001,N$3,BD!$B$3:$B$5001,$A$539)))</f>
        <v/>
      </c>
      <c r="O544" s="218" t="str">
        <f>IF(O$3="","",IF(COUNTIFS(BD!$A$3:$A$5001,O$3,BD!$B$3:$B$5001,$A$539,BD!$H$3:$H$5001,"&lt;&gt;")=0,"",SUMIFS(BD!$H$3:$H$5001,BD!$A$3:$A$5001,O$3,BD!$B$3:$B$5001,$A$539)))</f>
        <v/>
      </c>
      <c r="P544" s="218" t="str">
        <f>IF(P$3="","",IF(COUNTIFS(BD!$A$3:$A$5001,P$3,BD!$B$3:$B$5001,$A$539,BD!$H$3:$H$5001,"&lt;&gt;")=0,"",SUMIFS(BD!$H$3:$H$5001,BD!$A$3:$A$5001,P$3,BD!$B$3:$B$5001,$A$539)))</f>
        <v/>
      </c>
      <c r="Q544" s="218" t="str">
        <f>IF(Q$3="","",IF(COUNTIFS(BD!$A$3:$A$5001,Q$3,BD!$B$3:$B$5001,$A$539,BD!$H$3:$H$5001,"&lt;&gt;")=0,"",SUMIFS(BD!$H$3:$H$5001,BD!$A$3:$A$5001,Q$3,BD!$B$3:$B$5001,$A$539)))</f>
        <v/>
      </c>
      <c r="R544" s="218" t="str">
        <f>IF(R$3="","",IF(COUNTIFS(BD!$A$3:$A$5001,R$3,BD!$B$3:$B$5001,$A$539,BD!$H$3:$H$5001,"&lt;&gt;")=0,"",SUMIFS(BD!$H$3:$H$5001,BD!$A$3:$A$5001,R$3,BD!$B$3:$B$5001,$A$539)))</f>
        <v/>
      </c>
      <c r="S544" s="218" t="str">
        <f>IF(S$3="","",IF(COUNTIFS(BD!$A$3:$A$5001,S$3,BD!$B$3:$B$5001,$A$539,BD!$H$3:$H$5001,"&lt;&gt;")=0,"",SUMIFS(BD!$H$3:$H$5001,BD!$A$3:$A$5001,S$3,BD!$B$3:$B$5001,$A$539)))</f>
        <v/>
      </c>
      <c r="T544" s="218" t="str">
        <f>IF(T$3="","",IF(COUNTIFS(BD!$A$3:$A$5001,T$3,BD!$B$3:$B$5001,$A$539,BD!$H$3:$H$5001,"&lt;&gt;")=0,"",SUMIFS(BD!$H$3:$H$5001,BD!$A$3:$A$5001,T$3,BD!$B$3:$B$5001,$A$539)))</f>
        <v/>
      </c>
      <c r="U544" s="218" t="str">
        <f>IF(U$3="","",IF(COUNTIFS(BD!$A$3:$A$5001,U$3,BD!$B$3:$B$5001,$A$539,BD!$H$3:$H$5001,"&lt;&gt;")=0,"",SUMIFS(BD!$H$3:$H$5001,BD!$A$3:$A$5001,U$3,BD!$B$3:$B$5001,$A$539)))</f>
        <v/>
      </c>
      <c r="V544" s="218" t="str">
        <f>IF(V$3="","",IF(COUNTIFS(BD!$A$3:$A$5001,V$3,BD!$B$3:$B$5001,$A$539,BD!$H$3:$H$5001,"&lt;&gt;")=0,"",SUMIFS(BD!$H$3:$H$5001,BD!$A$3:$A$5001,V$3,BD!$B$3:$B$5001,$A$539)))</f>
        <v/>
      </c>
      <c r="W544" s="218" t="str">
        <f>IF(W$3="","",IF(COUNTIFS(BD!$A$3:$A$5001,W$3,BD!$B$3:$B$5001,$A$539,BD!$H$3:$H$5001,"&lt;&gt;")=0,"",SUMIFS(BD!$H$3:$H$5001,BD!$A$3:$A$5001,W$3,BD!$B$3:$B$5001,$A$539)))</f>
        <v/>
      </c>
      <c r="X544" s="218" t="str">
        <f>IF(X$3="","",IF(COUNTIFS(BD!$A$3:$A$5001,X$3,BD!$B$3:$B$5001,$A$539,BD!$H$3:$H$5001,"&lt;&gt;")=0,"",SUMIFS(BD!$H$3:$H$5001,BD!$A$3:$A$5001,X$3,BD!$B$3:$B$5001,$A$539)))</f>
        <v/>
      </c>
      <c r="Y544" s="218" t="str">
        <f>IF(Y$3="","",IF(COUNTIFS(BD!$A$3:$A$5001,Y$3,BD!$B$3:$B$5001,$A$539,BD!$H$3:$H$5001,"&lt;&gt;")=0,"",SUMIFS(BD!$H$3:$H$5001,BD!$A$3:$A$5001,Y$3,BD!$B$3:$B$5001,$A$539)))</f>
        <v/>
      </c>
      <c r="Z544" s="218" t="str">
        <f>IF(Z$3="","",IF(COUNTIFS(BD!$A$3:$A$5001,Z$3,BD!$B$3:$B$5001,$A$539,BD!$H$3:$H$5001,"&lt;&gt;")=0,"",SUMIFS(BD!$H$3:$H$5001,BD!$A$3:$A$5001,Z$3,BD!$B$3:$B$5001,$A$539)))</f>
        <v/>
      </c>
      <c r="AA544" s="218" t="str">
        <f>IF(AA$3="","",IF(COUNTIFS(BD!$A$3:$A$5001,AA$3,BD!$B$3:$B$5001,$A$539,BD!$H$3:$H$5001,"&lt;&gt;")=0,"",SUMIFS(BD!$H$3:$H$5001,BD!$A$3:$A$5001,AA$3,BD!$B$3:$B$5001,$A$539)))</f>
        <v/>
      </c>
      <c r="AB544" s="218" t="str">
        <f>IF(AB$3="","",IF(COUNTIFS(BD!$A$3:$A$5001,AB$3,BD!$B$3:$B$5001,$A$539,BD!$H$3:$H$5001,"&lt;&gt;")=0,"",SUMIFS(BD!$H$3:$H$5001,BD!$A$3:$A$5001,AB$3,BD!$B$3:$B$5001,$A$539)))</f>
        <v/>
      </c>
      <c r="AC544" s="218" t="str">
        <f>IF(AC$3="","",IF(COUNTIFS(BD!$A$3:$A$5001,AC$3,BD!$B$3:$B$5001,$A$539,BD!$H$3:$H$5001,"&lt;&gt;")=0,"",SUMIFS(BD!$H$3:$H$5001,BD!$A$3:$A$5001,AC$3,BD!$B$3:$B$5001,$A$539)))</f>
        <v/>
      </c>
      <c r="AD544" s="218" t="str">
        <f>IF(AD$3="","",IF(COUNTIFS(BD!$A$3:$A$5001,AD$3,BD!$B$3:$B$5001,$A$539,BD!$H$3:$H$5001,"&lt;&gt;")=0,"",SUMIFS(BD!$H$3:$H$5001,BD!$A$3:$A$5001,AD$3,BD!$B$3:$B$5001,$A$539)))</f>
        <v/>
      </c>
      <c r="AE544" s="218" t="str">
        <f>IF(AE$3="","",IF(COUNTIFS(BD!$A$3:$A$5001,AE$3,BD!$B$3:$B$5001,$A$539,BD!$H$3:$H$5001,"&lt;&gt;")=0,"",SUMIFS(BD!$H$3:$H$5001,BD!$A$3:$A$5001,AE$3,BD!$B$3:$B$5001,$A$539)))</f>
        <v/>
      </c>
      <c r="AF544" s="218" t="str">
        <f>IF(AF$3="","",IF(COUNTIFS(BD!$A$3:$A$5001,AF$3,BD!$B$3:$B$5001,$A$539,BD!$H$3:$H$5001,"&lt;&gt;")=0,"",SUMIFS(BD!$H$3:$H$5001,BD!$A$3:$A$5001,AF$3,BD!$B$3:$B$5001,$A$539)))</f>
        <v/>
      </c>
      <c r="AG544" s="218" t="str">
        <f>IF(AG$3="","",IF(COUNTIFS(BD!$A$3:$A$5001,AG$3,BD!$B$3:$B$5001,$A$539,BD!$H$3:$H$5001,"&lt;&gt;")=0,"",SUMIFS(BD!$H$3:$H$5001,BD!$A$3:$A$5001,AG$3,BD!$B$3:$B$5001,$A$539)))</f>
        <v/>
      </c>
      <c r="AH544" s="218" t="str">
        <f>IF(AH$3="","",IF(COUNTIFS(BD!$A$3:$A$5001,AH$3,BD!$B$3:$B$5001,$A$539,BD!$H$3:$H$5001,"&lt;&gt;")=0,"",SUMIFS(BD!$H$3:$H$5001,BD!$A$3:$A$5001,AH$3,BD!$B$3:$B$5001,$A$539)))</f>
        <v/>
      </c>
      <c r="AI544" s="218" t="str">
        <f>IF(AI$3="","",IF(COUNTIFS(BD!$A$3:$A$5001,AI$3,BD!$B$3:$B$5001,$A$539,BD!$H$3:$H$5001,"&lt;&gt;")=0,"",SUMIFS(BD!$H$3:$H$5001,BD!$A$3:$A$5001,AI$3,BD!$B$3:$B$5001,$A$539)))</f>
        <v/>
      </c>
      <c r="AJ544" s="219" t="str">
        <f>IF(AJ$3="","",IF(COUNTIFS(BD!$A$3:$A$5001,AJ$3,BD!$B$3:$B$5001,$A$539,BD!$H$3:$H$5001,"&lt;&gt;")=0,"",SUMIFS(BD!$H$3:$H$5001,BD!$A$3:$A$5001,AJ$3,BD!$B$3:$B$5001,$A$539)))</f>
        <v/>
      </c>
      <c r="AK544" s="220" t="str">
        <f>IF(COUNT(F544:AJ544)=0,"",SUM(F544:AJ544))</f>
        <v/>
      </c>
    </row>
    <row r="545" ht="15.75" customHeight="1" hidden="1">
      <c r="A545" s="261"/>
      <c r="B545" s="256"/>
      <c r="C545" s="214" t="inlineStr">
        <is>
          <t xml:space="preserve">Itens Recebidos CX Mista</t>
        </is>
      </c>
      <c r="D545" s="215" t="str">
        <f>IFERROR(1/(1/INDEX(BD!$AL$29:$BF$29,MATCH($A$539,BD!$AL$22:$BF$22,0))),"")</f>
        <v/>
      </c>
      <c r="E545" s="216"/>
      <c r="F545" s="217" t="str">
        <f>IF(F$3="","",IF(COUNTIFS(BD!$A$3:$A$5001,F$3,BD!$B$3:$B$5001,$A$539,BD!$I$3:$I$5001,"&lt;&gt;")=0,"",SUMIFS(BD!$I$3:$I$5001,BD!$A$3:$A$5001,F$3,BD!$B$3:$B$5001,$A$539)))</f>
        <v/>
      </c>
      <c r="G545" s="218" t="str">
        <f>IF(G$3="","",IF(COUNTIFS(BD!$A$3:$A$5001,G$3,BD!$B$3:$B$5001,$A$539,BD!$I$3:$I$5001,"&lt;&gt;")=0,"",SUMIFS(BD!$I$3:$I$5001,BD!$A$3:$A$5001,G$3,BD!$B$3:$B$5001,$A$539)))</f>
        <v/>
      </c>
      <c r="H545" s="218" t="str">
        <f>IF(H$3="","",IF(COUNTIFS(BD!$A$3:$A$5001,H$3,BD!$B$3:$B$5001,$A$539,BD!$I$3:$I$5001,"&lt;&gt;")=0,"",SUMIFS(BD!$I$3:$I$5001,BD!$A$3:$A$5001,H$3,BD!$B$3:$B$5001,$A$539)))</f>
        <v/>
      </c>
      <c r="I545" s="218" t="str">
        <f>IF(I$3="","",IF(COUNTIFS(BD!$A$3:$A$5001,I$3,BD!$B$3:$B$5001,$A$539,BD!$I$3:$I$5001,"&lt;&gt;")=0,"",SUMIFS(BD!$I$3:$I$5001,BD!$A$3:$A$5001,I$3,BD!$B$3:$B$5001,$A$539)))</f>
        <v/>
      </c>
      <c r="J545" s="218" t="str">
        <f>IF(J$3="","",IF(COUNTIFS(BD!$A$3:$A$5001,J$3,BD!$B$3:$B$5001,$A$539,BD!$I$3:$I$5001,"&lt;&gt;")=0,"",SUMIFS(BD!$I$3:$I$5001,BD!$A$3:$A$5001,J$3,BD!$B$3:$B$5001,$A$539)))</f>
        <v/>
      </c>
      <c r="K545" s="218" t="str">
        <f>IF(K$3="","",IF(COUNTIFS(BD!$A$3:$A$5001,K$3,BD!$B$3:$B$5001,$A$539,BD!$I$3:$I$5001,"&lt;&gt;")=0,"",SUMIFS(BD!$I$3:$I$5001,BD!$A$3:$A$5001,K$3,BD!$B$3:$B$5001,$A$539)))</f>
        <v/>
      </c>
      <c r="L545" s="218" t="str">
        <f>IF(L$3="","",IF(COUNTIFS(BD!$A$3:$A$5001,L$3,BD!$B$3:$B$5001,$A$539,BD!$I$3:$I$5001,"&lt;&gt;")=0,"",SUMIFS(BD!$I$3:$I$5001,BD!$A$3:$A$5001,L$3,BD!$B$3:$B$5001,$A$539)))</f>
        <v/>
      </c>
      <c r="M545" s="218" t="str">
        <f>IF(M$3="","",IF(COUNTIFS(BD!$A$3:$A$5001,M$3,BD!$B$3:$B$5001,$A$539,BD!$I$3:$I$5001,"&lt;&gt;")=0,"",SUMIFS(BD!$I$3:$I$5001,BD!$A$3:$A$5001,M$3,BD!$B$3:$B$5001,$A$539)))</f>
        <v/>
      </c>
      <c r="N545" s="218" t="str">
        <f>IF(N$3="","",IF(COUNTIFS(BD!$A$3:$A$5001,N$3,BD!$B$3:$B$5001,$A$539,BD!$I$3:$I$5001,"&lt;&gt;")=0,"",SUMIFS(BD!$I$3:$I$5001,BD!$A$3:$A$5001,N$3,BD!$B$3:$B$5001,$A$539)))</f>
        <v/>
      </c>
      <c r="O545" s="218" t="str">
        <f>IF(O$3="","",IF(COUNTIFS(BD!$A$3:$A$5001,O$3,BD!$B$3:$B$5001,$A$539,BD!$I$3:$I$5001,"&lt;&gt;")=0,"",SUMIFS(BD!$I$3:$I$5001,BD!$A$3:$A$5001,O$3,BD!$B$3:$B$5001,$A$539)))</f>
        <v/>
      </c>
      <c r="P545" s="218" t="str">
        <f>IF(P$3="","",IF(COUNTIFS(BD!$A$3:$A$5001,P$3,BD!$B$3:$B$5001,$A$539,BD!$I$3:$I$5001,"&lt;&gt;")=0,"",SUMIFS(BD!$I$3:$I$5001,BD!$A$3:$A$5001,P$3,BD!$B$3:$B$5001,$A$539)))</f>
        <v/>
      </c>
      <c r="Q545" s="218" t="str">
        <f>IF(Q$3="","",IF(COUNTIFS(BD!$A$3:$A$5001,Q$3,BD!$B$3:$B$5001,$A$539,BD!$I$3:$I$5001,"&lt;&gt;")=0,"",SUMIFS(BD!$I$3:$I$5001,BD!$A$3:$A$5001,Q$3,BD!$B$3:$B$5001,$A$539)))</f>
        <v/>
      </c>
      <c r="R545" s="218" t="str">
        <f>IF(R$3="","",IF(COUNTIFS(BD!$A$3:$A$5001,R$3,BD!$B$3:$B$5001,$A$539,BD!$I$3:$I$5001,"&lt;&gt;")=0,"",SUMIFS(BD!$I$3:$I$5001,BD!$A$3:$A$5001,R$3,BD!$B$3:$B$5001,$A$539)))</f>
        <v/>
      </c>
      <c r="S545" s="218" t="str">
        <f>IF(S$3="","",IF(COUNTIFS(BD!$A$3:$A$5001,S$3,BD!$B$3:$B$5001,$A$539,BD!$I$3:$I$5001,"&lt;&gt;")=0,"",SUMIFS(BD!$I$3:$I$5001,BD!$A$3:$A$5001,S$3,BD!$B$3:$B$5001,$A$539)))</f>
        <v/>
      </c>
      <c r="T545" s="218" t="str">
        <f>IF(T$3="","",IF(COUNTIFS(BD!$A$3:$A$5001,T$3,BD!$B$3:$B$5001,$A$539,BD!$I$3:$I$5001,"&lt;&gt;")=0,"",SUMIFS(BD!$I$3:$I$5001,BD!$A$3:$A$5001,T$3,BD!$B$3:$B$5001,$A$539)))</f>
        <v/>
      </c>
      <c r="U545" s="218" t="str">
        <f>IF(U$3="","",IF(COUNTIFS(BD!$A$3:$A$5001,U$3,BD!$B$3:$B$5001,$A$539,BD!$I$3:$I$5001,"&lt;&gt;")=0,"",SUMIFS(BD!$I$3:$I$5001,BD!$A$3:$A$5001,U$3,BD!$B$3:$B$5001,$A$539)))</f>
        <v/>
      </c>
      <c r="V545" s="218" t="str">
        <f>IF(V$3="","",IF(COUNTIFS(BD!$A$3:$A$5001,V$3,BD!$B$3:$B$5001,$A$539,BD!$I$3:$I$5001,"&lt;&gt;")=0,"",SUMIFS(BD!$I$3:$I$5001,BD!$A$3:$A$5001,V$3,BD!$B$3:$B$5001,$A$539)))</f>
        <v/>
      </c>
      <c r="W545" s="218" t="str">
        <f>IF(W$3="","",IF(COUNTIFS(BD!$A$3:$A$5001,W$3,BD!$B$3:$B$5001,$A$539,BD!$I$3:$I$5001,"&lt;&gt;")=0,"",SUMIFS(BD!$I$3:$I$5001,BD!$A$3:$A$5001,W$3,BD!$B$3:$B$5001,$A$539)))</f>
        <v/>
      </c>
      <c r="X545" s="218" t="str">
        <f>IF(X$3="","",IF(COUNTIFS(BD!$A$3:$A$5001,X$3,BD!$B$3:$B$5001,$A$539,BD!$I$3:$I$5001,"&lt;&gt;")=0,"",SUMIFS(BD!$I$3:$I$5001,BD!$A$3:$A$5001,X$3,BD!$B$3:$B$5001,$A$539)))</f>
        <v/>
      </c>
      <c r="Y545" s="218" t="str">
        <f>IF(Y$3="","",IF(COUNTIFS(BD!$A$3:$A$5001,Y$3,BD!$B$3:$B$5001,$A$539,BD!$I$3:$I$5001,"&lt;&gt;")=0,"",SUMIFS(BD!$I$3:$I$5001,BD!$A$3:$A$5001,Y$3,BD!$B$3:$B$5001,$A$539)))</f>
        <v/>
      </c>
      <c r="Z545" s="218" t="str">
        <f>IF(Z$3="","",IF(COUNTIFS(BD!$A$3:$A$5001,Z$3,BD!$B$3:$B$5001,$A$539,BD!$I$3:$I$5001,"&lt;&gt;")=0,"",SUMIFS(BD!$I$3:$I$5001,BD!$A$3:$A$5001,Z$3,BD!$B$3:$B$5001,$A$539)))</f>
        <v/>
      </c>
      <c r="AA545" s="218" t="str">
        <f>IF(AA$3="","",IF(COUNTIFS(BD!$A$3:$A$5001,AA$3,BD!$B$3:$B$5001,$A$539,BD!$I$3:$I$5001,"&lt;&gt;")=0,"",SUMIFS(BD!$I$3:$I$5001,BD!$A$3:$A$5001,AA$3,BD!$B$3:$B$5001,$A$539)))</f>
        <v/>
      </c>
      <c r="AB545" s="218" t="str">
        <f>IF(AB$3="","",IF(COUNTIFS(BD!$A$3:$A$5001,AB$3,BD!$B$3:$B$5001,$A$539,BD!$I$3:$I$5001,"&lt;&gt;")=0,"",SUMIFS(BD!$I$3:$I$5001,BD!$A$3:$A$5001,AB$3,BD!$B$3:$B$5001,$A$539)))</f>
        <v/>
      </c>
      <c r="AC545" s="218" t="str">
        <f>IF(AC$3="","",IF(COUNTIFS(BD!$A$3:$A$5001,AC$3,BD!$B$3:$B$5001,$A$539,BD!$I$3:$I$5001,"&lt;&gt;")=0,"",SUMIFS(BD!$I$3:$I$5001,BD!$A$3:$A$5001,AC$3,BD!$B$3:$B$5001,$A$539)))</f>
        <v/>
      </c>
      <c r="AD545" s="218" t="str">
        <f>IF(AD$3="","",IF(COUNTIFS(BD!$A$3:$A$5001,AD$3,BD!$B$3:$B$5001,$A$539,BD!$I$3:$I$5001,"&lt;&gt;")=0,"",SUMIFS(BD!$I$3:$I$5001,BD!$A$3:$A$5001,AD$3,BD!$B$3:$B$5001,$A$539)))</f>
        <v/>
      </c>
      <c r="AE545" s="218" t="str">
        <f>IF(AE$3="","",IF(COUNTIFS(BD!$A$3:$A$5001,AE$3,BD!$B$3:$B$5001,$A$539,BD!$I$3:$I$5001,"&lt;&gt;")=0,"",SUMIFS(BD!$I$3:$I$5001,BD!$A$3:$A$5001,AE$3,BD!$B$3:$B$5001,$A$539)))</f>
        <v/>
      </c>
      <c r="AF545" s="218" t="str">
        <f>IF(AF$3="","",IF(COUNTIFS(BD!$A$3:$A$5001,AF$3,BD!$B$3:$B$5001,$A$539,BD!$I$3:$I$5001,"&lt;&gt;")=0,"",SUMIFS(BD!$I$3:$I$5001,BD!$A$3:$A$5001,AF$3,BD!$B$3:$B$5001,$A$539)))</f>
        <v/>
      </c>
      <c r="AG545" s="218" t="str">
        <f>IF(AG$3="","",IF(COUNTIFS(BD!$A$3:$A$5001,AG$3,BD!$B$3:$B$5001,$A$539,BD!$I$3:$I$5001,"&lt;&gt;")=0,"",SUMIFS(BD!$I$3:$I$5001,BD!$A$3:$A$5001,AG$3,BD!$B$3:$B$5001,$A$539)))</f>
        <v/>
      </c>
      <c r="AH545" s="218" t="str">
        <f>IF(AH$3="","",IF(COUNTIFS(BD!$A$3:$A$5001,AH$3,BD!$B$3:$B$5001,$A$539,BD!$I$3:$I$5001,"&lt;&gt;")=0,"",SUMIFS(BD!$I$3:$I$5001,BD!$A$3:$A$5001,AH$3,BD!$B$3:$B$5001,$A$539)))</f>
        <v/>
      </c>
      <c r="AI545" s="218" t="str">
        <f>IF(AI$3="","",IF(COUNTIFS(BD!$A$3:$A$5001,AI$3,BD!$B$3:$B$5001,$A$539,BD!$I$3:$I$5001,"&lt;&gt;")=0,"",SUMIFS(BD!$I$3:$I$5001,BD!$A$3:$A$5001,AI$3,BD!$B$3:$B$5001,$A$539)))</f>
        <v/>
      </c>
      <c r="AJ545" s="219" t="str">
        <f>IF(AJ$3="","",IF(COUNTIFS(BD!$A$3:$A$5001,AJ$3,BD!$B$3:$B$5001,$A$539,BD!$I$3:$I$5001,"&lt;&gt;")=0,"",SUMIFS(BD!$I$3:$I$5001,BD!$A$3:$A$5001,AJ$3,BD!$B$3:$B$5001,$A$539)))</f>
        <v/>
      </c>
      <c r="AK545" s="220" t="str">
        <f>IF(COUNT(F545:AJ545)=0,"",SUM(F545:AJ545))</f>
        <v/>
      </c>
    </row>
    <row r="546" ht="15.75" customHeight="1" hidden="1">
      <c r="A546" s="261"/>
      <c r="B546" s="256"/>
      <c r="C546" s="214" t="inlineStr">
        <is>
          <t xml:space="preserve">Caixas Fechadas</t>
        </is>
      </c>
      <c r="D546" s="215" t="str">
        <f>IFERROR(1/(1/INDEX(BD!$AL$30:$BF$30,MATCH($A$539,BD!$AL$22:$BF$22,0))),"")</f>
        <v/>
      </c>
      <c r="E546" s="216"/>
      <c r="F546" s="217" t="str">
        <f>IF(F$3="","",IF(COUNTIFS(BD!$A$3:$A$5001,F$3,BD!$B$3:$B$5001,$A$539,BD!$J$3:$J$5001,"&lt;&gt;")=0,"",SUMIFS(BD!$J$3:$J$5001,BD!$A$3:$A$5001,F$3,BD!$B$3:$B$5001,$A$539)))</f>
        <v/>
      </c>
      <c r="G546" s="218" t="str">
        <f>IF(G$3="","",IF(COUNTIFS(BD!$A$3:$A$5001,G$3,BD!$B$3:$B$5001,$A$539,BD!$J$3:$J$5001,"&lt;&gt;")=0,"",SUMIFS(BD!$J$3:$J$5001,BD!$A$3:$A$5001,G$3,BD!$B$3:$B$5001,$A$539)))</f>
        <v/>
      </c>
      <c r="H546" s="218" t="str">
        <f>IF(H$3="","",IF(COUNTIFS(BD!$A$3:$A$5001,H$3,BD!$B$3:$B$5001,$A$539,BD!$J$3:$J$5001,"&lt;&gt;")=0,"",SUMIFS(BD!$J$3:$J$5001,BD!$A$3:$A$5001,H$3,BD!$B$3:$B$5001,$A$539)))</f>
        <v/>
      </c>
      <c r="I546" s="218" t="str">
        <f>IF(I$3="","",IF(COUNTIFS(BD!$A$3:$A$5001,I$3,BD!$B$3:$B$5001,$A$539,BD!$J$3:$J$5001,"&lt;&gt;")=0,"",SUMIFS(BD!$J$3:$J$5001,BD!$A$3:$A$5001,I$3,BD!$B$3:$B$5001,$A$539)))</f>
        <v/>
      </c>
      <c r="J546" s="218" t="str">
        <f>IF(J$3="","",IF(COUNTIFS(BD!$A$3:$A$5001,J$3,BD!$B$3:$B$5001,$A$539,BD!$J$3:$J$5001,"&lt;&gt;")=0,"",SUMIFS(BD!$J$3:$J$5001,BD!$A$3:$A$5001,J$3,BD!$B$3:$B$5001,$A$539)))</f>
        <v/>
      </c>
      <c r="K546" s="218" t="str">
        <f>IF(K$3="","",IF(COUNTIFS(BD!$A$3:$A$5001,K$3,BD!$B$3:$B$5001,$A$539,BD!$J$3:$J$5001,"&lt;&gt;")=0,"",SUMIFS(BD!$J$3:$J$5001,BD!$A$3:$A$5001,K$3,BD!$B$3:$B$5001,$A$539)))</f>
        <v/>
      </c>
      <c r="L546" s="218" t="str">
        <f>IF(L$3="","",IF(COUNTIFS(BD!$A$3:$A$5001,L$3,BD!$B$3:$B$5001,$A$539,BD!$J$3:$J$5001,"&lt;&gt;")=0,"",SUMIFS(BD!$J$3:$J$5001,BD!$A$3:$A$5001,L$3,BD!$B$3:$B$5001,$A$539)))</f>
        <v/>
      </c>
      <c r="M546" s="218" t="str">
        <f>IF(M$3="","",IF(COUNTIFS(BD!$A$3:$A$5001,M$3,BD!$B$3:$B$5001,$A$539,BD!$J$3:$J$5001,"&lt;&gt;")=0,"",SUMIFS(BD!$J$3:$J$5001,BD!$A$3:$A$5001,M$3,BD!$B$3:$B$5001,$A$539)))</f>
        <v/>
      </c>
      <c r="N546" s="218" t="str">
        <f>IF(N$3="","",IF(COUNTIFS(BD!$A$3:$A$5001,N$3,BD!$B$3:$B$5001,$A$539,BD!$J$3:$J$5001,"&lt;&gt;")=0,"",SUMIFS(BD!$J$3:$J$5001,BD!$A$3:$A$5001,N$3,BD!$B$3:$B$5001,$A$539)))</f>
        <v/>
      </c>
      <c r="O546" s="218" t="str">
        <f>IF(O$3="","",IF(COUNTIFS(BD!$A$3:$A$5001,O$3,BD!$B$3:$B$5001,$A$539,BD!$J$3:$J$5001,"&lt;&gt;")=0,"",SUMIFS(BD!$J$3:$J$5001,BD!$A$3:$A$5001,O$3,BD!$B$3:$B$5001,$A$539)))</f>
        <v/>
      </c>
      <c r="P546" s="218" t="str">
        <f>IF(P$3="","",IF(COUNTIFS(BD!$A$3:$A$5001,P$3,BD!$B$3:$B$5001,$A$539,BD!$J$3:$J$5001,"&lt;&gt;")=0,"",SUMIFS(BD!$J$3:$J$5001,BD!$A$3:$A$5001,P$3,BD!$B$3:$B$5001,$A$539)))</f>
        <v/>
      </c>
      <c r="Q546" s="218" t="str">
        <f>IF(Q$3="","",IF(COUNTIFS(BD!$A$3:$A$5001,Q$3,BD!$B$3:$B$5001,$A$539,BD!$J$3:$J$5001,"&lt;&gt;")=0,"",SUMIFS(BD!$J$3:$J$5001,BD!$A$3:$A$5001,Q$3,BD!$B$3:$B$5001,$A$539)))</f>
        <v/>
      </c>
      <c r="R546" s="218" t="str">
        <f>IF(R$3="","",IF(COUNTIFS(BD!$A$3:$A$5001,R$3,BD!$B$3:$B$5001,$A$539,BD!$J$3:$J$5001,"&lt;&gt;")=0,"",SUMIFS(BD!$J$3:$J$5001,BD!$A$3:$A$5001,R$3,BD!$B$3:$B$5001,$A$539)))</f>
        <v/>
      </c>
      <c r="S546" s="218" t="str">
        <f>IF(S$3="","",IF(COUNTIFS(BD!$A$3:$A$5001,S$3,BD!$B$3:$B$5001,$A$539,BD!$J$3:$J$5001,"&lt;&gt;")=0,"",SUMIFS(BD!$J$3:$J$5001,BD!$A$3:$A$5001,S$3,BD!$B$3:$B$5001,$A$539)))</f>
        <v/>
      </c>
      <c r="T546" s="218" t="str">
        <f>IF(T$3="","",IF(COUNTIFS(BD!$A$3:$A$5001,T$3,BD!$B$3:$B$5001,$A$539,BD!$J$3:$J$5001,"&lt;&gt;")=0,"",SUMIFS(BD!$J$3:$J$5001,BD!$A$3:$A$5001,T$3,BD!$B$3:$B$5001,$A$539)))</f>
        <v/>
      </c>
      <c r="U546" s="218" t="str">
        <f>IF(U$3="","",IF(COUNTIFS(BD!$A$3:$A$5001,U$3,BD!$B$3:$B$5001,$A$539,BD!$J$3:$J$5001,"&lt;&gt;")=0,"",SUMIFS(BD!$J$3:$J$5001,BD!$A$3:$A$5001,U$3,BD!$B$3:$B$5001,$A$539)))</f>
        <v/>
      </c>
      <c r="V546" s="218" t="str">
        <f>IF(V$3="","",IF(COUNTIFS(BD!$A$3:$A$5001,V$3,BD!$B$3:$B$5001,$A$539,BD!$J$3:$J$5001,"&lt;&gt;")=0,"",SUMIFS(BD!$J$3:$J$5001,BD!$A$3:$A$5001,V$3,BD!$B$3:$B$5001,$A$539)))</f>
        <v/>
      </c>
      <c r="W546" s="218" t="str">
        <f>IF(W$3="","",IF(COUNTIFS(BD!$A$3:$A$5001,W$3,BD!$B$3:$B$5001,$A$539,BD!$J$3:$J$5001,"&lt;&gt;")=0,"",SUMIFS(BD!$J$3:$J$5001,BD!$A$3:$A$5001,W$3,BD!$B$3:$B$5001,$A$539)))</f>
        <v/>
      </c>
      <c r="X546" s="218" t="str">
        <f>IF(X$3="","",IF(COUNTIFS(BD!$A$3:$A$5001,X$3,BD!$B$3:$B$5001,$A$539,BD!$J$3:$J$5001,"&lt;&gt;")=0,"",SUMIFS(BD!$J$3:$J$5001,BD!$A$3:$A$5001,X$3,BD!$B$3:$B$5001,$A$539)))</f>
        <v/>
      </c>
      <c r="Y546" s="218" t="str">
        <f>IF(Y$3="","",IF(COUNTIFS(BD!$A$3:$A$5001,Y$3,BD!$B$3:$B$5001,$A$539,BD!$J$3:$J$5001,"&lt;&gt;")=0,"",SUMIFS(BD!$J$3:$J$5001,BD!$A$3:$A$5001,Y$3,BD!$B$3:$B$5001,$A$539)))</f>
        <v/>
      </c>
      <c r="Z546" s="218" t="str">
        <f>IF(Z$3="","",IF(COUNTIFS(BD!$A$3:$A$5001,Z$3,BD!$B$3:$B$5001,$A$539,BD!$J$3:$J$5001,"&lt;&gt;")=0,"",SUMIFS(BD!$J$3:$J$5001,BD!$A$3:$A$5001,Z$3,BD!$B$3:$B$5001,$A$539)))</f>
        <v/>
      </c>
      <c r="AA546" s="218" t="str">
        <f>IF(AA$3="","",IF(COUNTIFS(BD!$A$3:$A$5001,AA$3,BD!$B$3:$B$5001,$A$539,BD!$J$3:$J$5001,"&lt;&gt;")=0,"",SUMIFS(BD!$J$3:$J$5001,BD!$A$3:$A$5001,AA$3,BD!$B$3:$B$5001,$A$539)))</f>
        <v/>
      </c>
      <c r="AB546" s="218" t="str">
        <f>IF(AB$3="","",IF(COUNTIFS(BD!$A$3:$A$5001,AB$3,BD!$B$3:$B$5001,$A$539,BD!$J$3:$J$5001,"&lt;&gt;")=0,"",SUMIFS(BD!$J$3:$J$5001,BD!$A$3:$A$5001,AB$3,BD!$B$3:$B$5001,$A$539)))</f>
        <v/>
      </c>
      <c r="AC546" s="218" t="str">
        <f>IF(AC$3="","",IF(COUNTIFS(BD!$A$3:$A$5001,AC$3,BD!$B$3:$B$5001,$A$539,BD!$J$3:$J$5001,"&lt;&gt;")=0,"",SUMIFS(BD!$J$3:$J$5001,BD!$A$3:$A$5001,AC$3,BD!$B$3:$B$5001,$A$539)))</f>
        <v/>
      </c>
      <c r="AD546" s="218" t="str">
        <f>IF(AD$3="","",IF(COUNTIFS(BD!$A$3:$A$5001,AD$3,BD!$B$3:$B$5001,$A$539,BD!$J$3:$J$5001,"&lt;&gt;")=0,"",SUMIFS(BD!$J$3:$J$5001,BD!$A$3:$A$5001,AD$3,BD!$B$3:$B$5001,$A$539)))</f>
        <v/>
      </c>
      <c r="AE546" s="218" t="str">
        <f>IF(AE$3="","",IF(COUNTIFS(BD!$A$3:$A$5001,AE$3,BD!$B$3:$B$5001,$A$539,BD!$J$3:$J$5001,"&lt;&gt;")=0,"",SUMIFS(BD!$J$3:$J$5001,BD!$A$3:$A$5001,AE$3,BD!$B$3:$B$5001,$A$539)))</f>
        <v/>
      </c>
      <c r="AF546" s="218" t="str">
        <f>IF(AF$3="","",IF(COUNTIFS(BD!$A$3:$A$5001,AF$3,BD!$B$3:$B$5001,$A$539,BD!$J$3:$J$5001,"&lt;&gt;")=0,"",SUMIFS(BD!$J$3:$J$5001,BD!$A$3:$A$5001,AF$3,BD!$B$3:$B$5001,$A$539)))</f>
        <v/>
      </c>
      <c r="AG546" s="218" t="str">
        <f>IF(AG$3="","",IF(COUNTIFS(BD!$A$3:$A$5001,AG$3,BD!$B$3:$B$5001,$A$539,BD!$J$3:$J$5001,"&lt;&gt;")=0,"",SUMIFS(BD!$J$3:$J$5001,BD!$A$3:$A$5001,AG$3,BD!$B$3:$B$5001,$A$539)))</f>
        <v/>
      </c>
      <c r="AH546" s="218" t="str">
        <f>IF(AH$3="","",IF(COUNTIFS(BD!$A$3:$A$5001,AH$3,BD!$B$3:$B$5001,$A$539,BD!$J$3:$J$5001,"&lt;&gt;")=0,"",SUMIFS(BD!$J$3:$J$5001,BD!$A$3:$A$5001,AH$3,BD!$B$3:$B$5001,$A$539)))</f>
        <v/>
      </c>
      <c r="AI546" s="218" t="str">
        <f>IF(AI$3="","",IF(COUNTIFS(BD!$A$3:$A$5001,AI$3,BD!$B$3:$B$5001,$A$539,BD!$J$3:$J$5001,"&lt;&gt;")=0,"",SUMIFS(BD!$J$3:$J$5001,BD!$A$3:$A$5001,AI$3,BD!$B$3:$B$5001,$A$539)))</f>
        <v/>
      </c>
      <c r="AJ546" s="219" t="str">
        <f>IF(AJ$3="","",IF(COUNTIFS(BD!$A$3:$A$5001,AJ$3,BD!$B$3:$B$5001,$A$539,BD!$J$3:$J$5001,"&lt;&gt;")=0,"",SUMIFS(BD!$J$3:$J$5001,BD!$A$3:$A$5001,AJ$3,BD!$B$3:$B$5001,$A$539)))</f>
        <v/>
      </c>
      <c r="AK546" s="220" t="str">
        <f>IF(COUNT(F546:AJ546)=0,"",SUM(F546:AJ546))</f>
        <v/>
      </c>
    </row>
    <row r="547" ht="15.75" customHeight="1" hidden="1">
      <c r="A547" s="261"/>
      <c r="B547" s="250"/>
      <c r="C547" s="175" t="inlineStr">
        <is>
          <t xml:space="preserve">Caixas Mistas Recebidas</t>
        </is>
      </c>
      <c r="D547" s="176" t="str">
        <f>IFERROR(1/(1/INDEX(BD!$AL$31:$BF$31,MATCH($A$539,BD!$AL$22:$BF$22,0))),"")</f>
        <v/>
      </c>
      <c r="E547" s="177"/>
      <c r="F547" s="178" t="str">
        <f>IF(F$3="","",IF(COUNTIFS(BD!$A$3:$A$5001,F$3,BD!$B$3:$B$5001,$A$539,BD!$K$3:$K$5001,"&lt;&gt;")=0,"",SUMIFS(BD!$K$3:$K$5001,BD!$A$3:$A$5001,F$3,BD!$B$3:$B$5001,$A$539)))</f>
        <v/>
      </c>
      <c r="G547" s="179" t="str">
        <f>IF(G$3="","",IF(COUNTIFS(BD!$A$3:$A$5001,G$3,BD!$B$3:$B$5001,$A$539,BD!$K$3:$K$5001,"&lt;&gt;")=0,"",SUMIFS(BD!$K$3:$K$5001,BD!$A$3:$A$5001,G$3,BD!$B$3:$B$5001,$A$539)))</f>
        <v/>
      </c>
      <c r="H547" s="179" t="str">
        <f>IF(H$3="","",IF(COUNTIFS(BD!$A$3:$A$5001,H$3,BD!$B$3:$B$5001,$A$539,BD!$K$3:$K$5001,"&lt;&gt;")=0,"",SUMIFS(BD!$K$3:$K$5001,BD!$A$3:$A$5001,H$3,BD!$B$3:$B$5001,$A$539)))</f>
        <v/>
      </c>
      <c r="I547" s="179" t="str">
        <f>IF(I$3="","",IF(COUNTIFS(BD!$A$3:$A$5001,I$3,BD!$B$3:$B$5001,$A$539,BD!$K$3:$K$5001,"&lt;&gt;")=0,"",SUMIFS(BD!$K$3:$K$5001,BD!$A$3:$A$5001,I$3,BD!$B$3:$B$5001,$A$539)))</f>
        <v/>
      </c>
      <c r="J547" s="179" t="str">
        <f>IF(J$3="","",IF(COUNTIFS(BD!$A$3:$A$5001,J$3,BD!$B$3:$B$5001,$A$539,BD!$K$3:$K$5001,"&lt;&gt;")=0,"",SUMIFS(BD!$K$3:$K$5001,BD!$A$3:$A$5001,J$3,BD!$B$3:$B$5001,$A$539)))</f>
        <v/>
      </c>
      <c r="K547" s="179" t="str">
        <f>IF(K$3="","",IF(COUNTIFS(BD!$A$3:$A$5001,K$3,BD!$B$3:$B$5001,$A$539,BD!$K$3:$K$5001,"&lt;&gt;")=0,"",SUMIFS(BD!$K$3:$K$5001,BD!$A$3:$A$5001,K$3,BD!$B$3:$B$5001,$A$539)))</f>
        <v/>
      </c>
      <c r="L547" s="179" t="str">
        <f>IF(L$3="","",IF(COUNTIFS(BD!$A$3:$A$5001,L$3,BD!$B$3:$B$5001,$A$539,BD!$K$3:$K$5001,"&lt;&gt;")=0,"",SUMIFS(BD!$K$3:$K$5001,BD!$A$3:$A$5001,L$3,BD!$B$3:$B$5001,$A$539)))</f>
        <v/>
      </c>
      <c r="M547" s="179" t="str">
        <f>IF(M$3="","",IF(COUNTIFS(BD!$A$3:$A$5001,M$3,BD!$B$3:$B$5001,$A$539,BD!$K$3:$K$5001,"&lt;&gt;")=0,"",SUMIFS(BD!$K$3:$K$5001,BD!$A$3:$A$5001,M$3,BD!$B$3:$B$5001,$A$539)))</f>
        <v/>
      </c>
      <c r="N547" s="179" t="str">
        <f>IF(N$3="","",IF(COUNTIFS(BD!$A$3:$A$5001,N$3,BD!$B$3:$B$5001,$A$539,BD!$K$3:$K$5001,"&lt;&gt;")=0,"",SUMIFS(BD!$K$3:$K$5001,BD!$A$3:$A$5001,N$3,BD!$B$3:$B$5001,$A$539)))</f>
        <v/>
      </c>
      <c r="O547" s="179" t="str">
        <f>IF(O$3="","",IF(COUNTIFS(BD!$A$3:$A$5001,O$3,BD!$B$3:$B$5001,$A$539,BD!$K$3:$K$5001,"&lt;&gt;")=0,"",SUMIFS(BD!$K$3:$K$5001,BD!$A$3:$A$5001,O$3,BD!$B$3:$B$5001,$A$539)))</f>
        <v/>
      </c>
      <c r="P547" s="179" t="str">
        <f>IF(P$3="","",IF(COUNTIFS(BD!$A$3:$A$5001,P$3,BD!$B$3:$B$5001,$A$539,BD!$K$3:$K$5001,"&lt;&gt;")=0,"",SUMIFS(BD!$K$3:$K$5001,BD!$A$3:$A$5001,P$3,BD!$B$3:$B$5001,$A$539)))</f>
        <v/>
      </c>
      <c r="Q547" s="179" t="str">
        <f>IF(Q$3="","",IF(COUNTIFS(BD!$A$3:$A$5001,Q$3,BD!$B$3:$B$5001,$A$539,BD!$K$3:$K$5001,"&lt;&gt;")=0,"",SUMIFS(BD!$K$3:$K$5001,BD!$A$3:$A$5001,Q$3,BD!$B$3:$B$5001,$A$539)))</f>
        <v/>
      </c>
      <c r="R547" s="179" t="str">
        <f>IF(R$3="","",IF(COUNTIFS(BD!$A$3:$A$5001,R$3,BD!$B$3:$B$5001,$A$539,BD!$K$3:$K$5001,"&lt;&gt;")=0,"",SUMIFS(BD!$K$3:$K$5001,BD!$A$3:$A$5001,R$3,BD!$B$3:$B$5001,$A$539)))</f>
        <v/>
      </c>
      <c r="S547" s="179" t="str">
        <f>IF(S$3="","",IF(COUNTIFS(BD!$A$3:$A$5001,S$3,BD!$B$3:$B$5001,$A$539,BD!$K$3:$K$5001,"&lt;&gt;")=0,"",SUMIFS(BD!$K$3:$K$5001,BD!$A$3:$A$5001,S$3,BD!$B$3:$B$5001,$A$539)))</f>
        <v/>
      </c>
      <c r="T547" s="179" t="str">
        <f>IF(T$3="","",IF(COUNTIFS(BD!$A$3:$A$5001,T$3,BD!$B$3:$B$5001,$A$539,BD!$K$3:$K$5001,"&lt;&gt;")=0,"",SUMIFS(BD!$K$3:$K$5001,BD!$A$3:$A$5001,T$3,BD!$B$3:$B$5001,$A$539)))</f>
        <v/>
      </c>
      <c r="U547" s="179" t="str">
        <f>IF(U$3="","",IF(COUNTIFS(BD!$A$3:$A$5001,U$3,BD!$B$3:$B$5001,$A$539,BD!$K$3:$K$5001,"&lt;&gt;")=0,"",SUMIFS(BD!$K$3:$K$5001,BD!$A$3:$A$5001,U$3,BD!$B$3:$B$5001,$A$539)))</f>
        <v/>
      </c>
      <c r="V547" s="179" t="str">
        <f>IF(V$3="","",IF(COUNTIFS(BD!$A$3:$A$5001,V$3,BD!$B$3:$B$5001,$A$539,BD!$K$3:$K$5001,"&lt;&gt;")=0,"",SUMIFS(BD!$K$3:$K$5001,BD!$A$3:$A$5001,V$3,BD!$B$3:$B$5001,$A$539)))</f>
        <v/>
      </c>
      <c r="W547" s="179" t="str">
        <f>IF(W$3="","",IF(COUNTIFS(BD!$A$3:$A$5001,W$3,BD!$B$3:$B$5001,$A$539,BD!$K$3:$K$5001,"&lt;&gt;")=0,"",SUMIFS(BD!$K$3:$K$5001,BD!$A$3:$A$5001,W$3,BD!$B$3:$B$5001,$A$539)))</f>
        <v/>
      </c>
      <c r="X547" s="179" t="str">
        <f>IF(X$3="","",IF(COUNTIFS(BD!$A$3:$A$5001,X$3,BD!$B$3:$B$5001,$A$539,BD!$K$3:$K$5001,"&lt;&gt;")=0,"",SUMIFS(BD!$K$3:$K$5001,BD!$A$3:$A$5001,X$3,BD!$B$3:$B$5001,$A$539)))</f>
        <v/>
      </c>
      <c r="Y547" s="179" t="str">
        <f>IF(Y$3="","",IF(COUNTIFS(BD!$A$3:$A$5001,Y$3,BD!$B$3:$B$5001,$A$539,BD!$K$3:$K$5001,"&lt;&gt;")=0,"",SUMIFS(BD!$K$3:$K$5001,BD!$A$3:$A$5001,Y$3,BD!$B$3:$B$5001,$A$539)))</f>
        <v/>
      </c>
      <c r="Z547" s="179" t="str">
        <f>IF(Z$3="","",IF(COUNTIFS(BD!$A$3:$A$5001,Z$3,BD!$B$3:$B$5001,$A$539,BD!$K$3:$K$5001,"&lt;&gt;")=0,"",SUMIFS(BD!$K$3:$K$5001,BD!$A$3:$A$5001,Z$3,BD!$B$3:$B$5001,$A$539)))</f>
        <v/>
      </c>
      <c r="AA547" s="179" t="str">
        <f>IF(AA$3="","",IF(COUNTIFS(BD!$A$3:$A$5001,AA$3,BD!$B$3:$B$5001,$A$539,BD!$K$3:$K$5001,"&lt;&gt;")=0,"",SUMIFS(BD!$K$3:$K$5001,BD!$A$3:$A$5001,AA$3,BD!$B$3:$B$5001,$A$539)))</f>
        <v/>
      </c>
      <c r="AB547" s="179" t="str">
        <f>IF(AB$3="","",IF(COUNTIFS(BD!$A$3:$A$5001,AB$3,BD!$B$3:$B$5001,$A$539,BD!$K$3:$K$5001,"&lt;&gt;")=0,"",SUMIFS(BD!$K$3:$K$5001,BD!$A$3:$A$5001,AB$3,BD!$B$3:$B$5001,$A$539)))</f>
        <v/>
      </c>
      <c r="AC547" s="179" t="str">
        <f>IF(AC$3="","",IF(COUNTIFS(BD!$A$3:$A$5001,AC$3,BD!$B$3:$B$5001,$A$539,BD!$K$3:$K$5001,"&lt;&gt;")=0,"",SUMIFS(BD!$K$3:$K$5001,BD!$A$3:$A$5001,AC$3,BD!$B$3:$B$5001,$A$539)))</f>
        <v/>
      </c>
      <c r="AD547" s="179" t="str">
        <f>IF(AD$3="","",IF(COUNTIFS(BD!$A$3:$A$5001,AD$3,BD!$B$3:$B$5001,$A$539,BD!$K$3:$K$5001,"&lt;&gt;")=0,"",SUMIFS(BD!$K$3:$K$5001,BD!$A$3:$A$5001,AD$3,BD!$B$3:$B$5001,$A$539)))</f>
        <v/>
      </c>
      <c r="AE547" s="179" t="str">
        <f>IF(AE$3="","",IF(COUNTIFS(BD!$A$3:$A$5001,AE$3,BD!$B$3:$B$5001,$A$539,BD!$K$3:$K$5001,"&lt;&gt;")=0,"",SUMIFS(BD!$K$3:$K$5001,BD!$A$3:$A$5001,AE$3,BD!$B$3:$B$5001,$A$539)))</f>
        <v/>
      </c>
      <c r="AF547" s="179" t="str">
        <f>IF(AF$3="","",IF(COUNTIFS(BD!$A$3:$A$5001,AF$3,BD!$B$3:$B$5001,$A$539,BD!$K$3:$K$5001,"&lt;&gt;")=0,"",SUMIFS(BD!$K$3:$K$5001,BD!$A$3:$A$5001,AF$3,BD!$B$3:$B$5001,$A$539)))</f>
        <v/>
      </c>
      <c r="AG547" s="179" t="str">
        <f>IF(AG$3="","",IF(COUNTIFS(BD!$A$3:$A$5001,AG$3,BD!$B$3:$B$5001,$A$539,BD!$K$3:$K$5001,"&lt;&gt;")=0,"",SUMIFS(BD!$K$3:$K$5001,BD!$A$3:$A$5001,AG$3,BD!$B$3:$B$5001,$A$539)))</f>
        <v/>
      </c>
      <c r="AH547" s="179" t="str">
        <f>IF(AH$3="","",IF(COUNTIFS(BD!$A$3:$A$5001,AH$3,BD!$B$3:$B$5001,$A$539,BD!$K$3:$K$5001,"&lt;&gt;")=0,"",SUMIFS(BD!$K$3:$K$5001,BD!$A$3:$A$5001,AH$3,BD!$B$3:$B$5001,$A$539)))</f>
        <v/>
      </c>
      <c r="AI547" s="179" t="str">
        <f>IF(AI$3="","",IF(COUNTIFS(BD!$A$3:$A$5001,AI$3,BD!$B$3:$B$5001,$A$539,BD!$K$3:$K$5001,"&lt;&gt;")=0,"",SUMIFS(BD!$K$3:$K$5001,BD!$A$3:$A$5001,AI$3,BD!$B$3:$B$5001,$A$539)))</f>
        <v/>
      </c>
      <c r="AJ547" s="180" t="str">
        <f>IF(AJ$3="","",IF(COUNTIFS(BD!$A$3:$A$5001,AJ$3,BD!$B$3:$B$5001,$A$539,BD!$K$3:$K$5001,"&lt;&gt;")=0,"",SUMIFS(BD!$K$3:$K$5001,BD!$A$3:$A$5001,AJ$3,BD!$B$3:$B$5001,$A$539)))</f>
        <v/>
      </c>
      <c r="AK547" s="176" t="str">
        <f>IF(COUNT(F547:AJ547)=0,"",SUM(F547:AJ547))</f>
        <v/>
      </c>
    </row>
    <row r="548" ht="15.75" customHeight="1" hidden="1">
      <c r="A548" s="261"/>
      <c r="B548" s="251" t="inlineStr">
        <is>
          <t xml:space="preserve">OUT</t>
        </is>
      </c>
      <c r="C548" s="181" t="inlineStr">
        <is>
          <t xml:space="preserve">Veículos Expedidos</t>
        </is>
      </c>
      <c r="D548" s="182" t="str">
        <f>IFERROR(1/(1/INDEX(BD!$AL$32:$BF$32,MATCH($A$539,BD!$AL$22:$BF$22,0))),"")</f>
        <v/>
      </c>
      <c r="E548" s="183"/>
      <c r="F548" s="184" t="str">
        <f>IF(F$3="","",IF(COUNTIFS(BD!$A$3:$A$5001,F$3,BD!$B$3:$B$5001,$A$539,BD!$L$3:$L$5001,"&lt;&gt;")=0,"",SUMIFS(BD!$L$3:$L$5001,BD!$A$3:$A$5001,F$3,BD!$B$3:$B$5001,$A$539)))</f>
        <v/>
      </c>
      <c r="G548" s="185" t="str">
        <f>IF(G$3="","",IF(COUNTIFS(BD!$A$3:$A$5001,G$3,BD!$B$3:$B$5001,$A$539,BD!$L$3:$L$5001,"&lt;&gt;")=0,"",SUMIFS(BD!$L$3:$L$5001,BD!$A$3:$A$5001,G$3,BD!$B$3:$B$5001,$A$539)))</f>
        <v/>
      </c>
      <c r="H548" s="185" t="str">
        <f>IF(H$3="","",IF(COUNTIFS(BD!$A$3:$A$5001,H$3,BD!$B$3:$B$5001,$A$539,BD!$L$3:$L$5001,"&lt;&gt;")=0,"",SUMIFS(BD!$L$3:$L$5001,BD!$A$3:$A$5001,H$3,BD!$B$3:$B$5001,$A$539)))</f>
        <v/>
      </c>
      <c r="I548" s="185" t="str">
        <f>IF(I$3="","",IF(COUNTIFS(BD!$A$3:$A$5001,I$3,BD!$B$3:$B$5001,$A$539,BD!$L$3:$L$5001,"&lt;&gt;")=0,"",SUMIFS(BD!$L$3:$L$5001,BD!$A$3:$A$5001,I$3,BD!$B$3:$B$5001,$A$539)))</f>
        <v/>
      </c>
      <c r="J548" s="185" t="str">
        <f>IF(J$3="","",IF(COUNTIFS(BD!$A$3:$A$5001,J$3,BD!$B$3:$B$5001,$A$539,BD!$L$3:$L$5001,"&lt;&gt;")=0,"",SUMIFS(BD!$L$3:$L$5001,BD!$A$3:$A$5001,J$3,BD!$B$3:$B$5001,$A$539)))</f>
        <v/>
      </c>
      <c r="K548" s="185" t="str">
        <f>IF(K$3="","",IF(COUNTIFS(BD!$A$3:$A$5001,K$3,BD!$B$3:$B$5001,$A$539,BD!$L$3:$L$5001,"&lt;&gt;")=0,"",SUMIFS(BD!$L$3:$L$5001,BD!$A$3:$A$5001,K$3,BD!$B$3:$B$5001,$A$539)))</f>
        <v/>
      </c>
      <c r="L548" s="185" t="str">
        <f>IF(L$3="","",IF(COUNTIFS(BD!$A$3:$A$5001,L$3,BD!$B$3:$B$5001,$A$539,BD!$L$3:$L$5001,"&lt;&gt;")=0,"",SUMIFS(BD!$L$3:$L$5001,BD!$A$3:$A$5001,L$3,BD!$B$3:$B$5001,$A$539)))</f>
        <v/>
      </c>
      <c r="M548" s="185" t="str">
        <f>IF(M$3="","",IF(COUNTIFS(BD!$A$3:$A$5001,M$3,BD!$B$3:$B$5001,$A$539,BD!$L$3:$L$5001,"&lt;&gt;")=0,"",SUMIFS(BD!$L$3:$L$5001,BD!$A$3:$A$5001,M$3,BD!$B$3:$B$5001,$A$539)))</f>
        <v/>
      </c>
      <c r="N548" s="185" t="str">
        <f>IF(N$3="","",IF(COUNTIFS(BD!$A$3:$A$5001,N$3,BD!$B$3:$B$5001,$A$539,BD!$L$3:$L$5001,"&lt;&gt;")=0,"",SUMIFS(BD!$L$3:$L$5001,BD!$A$3:$A$5001,N$3,BD!$B$3:$B$5001,$A$539)))</f>
        <v/>
      </c>
      <c r="O548" s="185" t="str">
        <f>IF(O$3="","",IF(COUNTIFS(BD!$A$3:$A$5001,O$3,BD!$B$3:$B$5001,$A$539,BD!$L$3:$L$5001,"&lt;&gt;")=0,"",SUMIFS(BD!$L$3:$L$5001,BD!$A$3:$A$5001,O$3,BD!$B$3:$B$5001,$A$539)))</f>
        <v/>
      </c>
      <c r="P548" s="185" t="str">
        <f>IF(P$3="","",IF(COUNTIFS(BD!$A$3:$A$5001,P$3,BD!$B$3:$B$5001,$A$539,BD!$L$3:$L$5001,"&lt;&gt;")=0,"",SUMIFS(BD!$L$3:$L$5001,BD!$A$3:$A$5001,P$3,BD!$B$3:$B$5001,$A$539)))</f>
        <v/>
      </c>
      <c r="Q548" s="185" t="str">
        <f>IF(Q$3="","",IF(COUNTIFS(BD!$A$3:$A$5001,Q$3,BD!$B$3:$B$5001,$A$539,BD!$L$3:$L$5001,"&lt;&gt;")=0,"",SUMIFS(BD!$L$3:$L$5001,BD!$A$3:$A$5001,Q$3,BD!$B$3:$B$5001,$A$539)))</f>
        <v/>
      </c>
      <c r="R548" s="185" t="str">
        <f>IF(R$3="","",IF(COUNTIFS(BD!$A$3:$A$5001,R$3,BD!$B$3:$B$5001,$A$539,BD!$L$3:$L$5001,"&lt;&gt;")=0,"",SUMIFS(BD!$L$3:$L$5001,BD!$A$3:$A$5001,R$3,BD!$B$3:$B$5001,$A$539)))</f>
        <v/>
      </c>
      <c r="S548" s="185" t="str">
        <f>IF(S$3="","",IF(COUNTIFS(BD!$A$3:$A$5001,S$3,BD!$B$3:$B$5001,$A$539,BD!$L$3:$L$5001,"&lt;&gt;")=0,"",SUMIFS(BD!$L$3:$L$5001,BD!$A$3:$A$5001,S$3,BD!$B$3:$B$5001,$A$539)))</f>
        <v/>
      </c>
      <c r="T548" s="185" t="str">
        <f>IF(T$3="","",IF(COUNTIFS(BD!$A$3:$A$5001,T$3,BD!$B$3:$B$5001,$A$539,BD!$L$3:$L$5001,"&lt;&gt;")=0,"",SUMIFS(BD!$L$3:$L$5001,BD!$A$3:$A$5001,T$3,BD!$B$3:$B$5001,$A$539)))</f>
        <v/>
      </c>
      <c r="U548" s="185" t="str">
        <f>IF(U$3="","",IF(COUNTIFS(BD!$A$3:$A$5001,U$3,BD!$B$3:$B$5001,$A$539,BD!$L$3:$L$5001,"&lt;&gt;")=0,"",SUMIFS(BD!$L$3:$L$5001,BD!$A$3:$A$5001,U$3,BD!$B$3:$B$5001,$A$539)))</f>
        <v/>
      </c>
      <c r="V548" s="185" t="str">
        <f>IF(V$3="","",IF(COUNTIFS(BD!$A$3:$A$5001,V$3,BD!$B$3:$B$5001,$A$539,BD!$L$3:$L$5001,"&lt;&gt;")=0,"",SUMIFS(BD!$L$3:$L$5001,BD!$A$3:$A$5001,V$3,BD!$B$3:$B$5001,$A$539)))</f>
        <v/>
      </c>
      <c r="W548" s="185" t="str">
        <f>IF(W$3="","",IF(COUNTIFS(BD!$A$3:$A$5001,W$3,BD!$B$3:$B$5001,$A$539,BD!$L$3:$L$5001,"&lt;&gt;")=0,"",SUMIFS(BD!$L$3:$L$5001,BD!$A$3:$A$5001,W$3,BD!$B$3:$B$5001,$A$539)))</f>
        <v/>
      </c>
      <c r="X548" s="185" t="str">
        <f>IF(X$3="","",IF(COUNTIFS(BD!$A$3:$A$5001,X$3,BD!$B$3:$B$5001,$A$539,BD!$L$3:$L$5001,"&lt;&gt;")=0,"",SUMIFS(BD!$L$3:$L$5001,BD!$A$3:$A$5001,X$3,BD!$B$3:$B$5001,$A$539)))</f>
        <v/>
      </c>
      <c r="Y548" s="185" t="str">
        <f>IF(Y$3="","",IF(COUNTIFS(BD!$A$3:$A$5001,Y$3,BD!$B$3:$B$5001,$A$539,BD!$L$3:$L$5001,"&lt;&gt;")=0,"",SUMIFS(BD!$L$3:$L$5001,BD!$A$3:$A$5001,Y$3,BD!$B$3:$B$5001,$A$539)))</f>
        <v/>
      </c>
      <c r="Z548" s="185" t="str">
        <f>IF(Z$3="","",IF(COUNTIFS(BD!$A$3:$A$5001,Z$3,BD!$B$3:$B$5001,$A$539,BD!$L$3:$L$5001,"&lt;&gt;")=0,"",SUMIFS(BD!$L$3:$L$5001,BD!$A$3:$A$5001,Z$3,BD!$B$3:$B$5001,$A$539)))</f>
        <v/>
      </c>
      <c r="AA548" s="185" t="str">
        <f>IF(AA$3="","",IF(COUNTIFS(BD!$A$3:$A$5001,AA$3,BD!$B$3:$B$5001,$A$539,BD!$L$3:$L$5001,"&lt;&gt;")=0,"",SUMIFS(BD!$L$3:$L$5001,BD!$A$3:$A$5001,AA$3,BD!$B$3:$B$5001,$A$539)))</f>
        <v/>
      </c>
      <c r="AB548" s="185" t="str">
        <f>IF(AB$3="","",IF(COUNTIFS(BD!$A$3:$A$5001,AB$3,BD!$B$3:$B$5001,$A$539,BD!$L$3:$L$5001,"&lt;&gt;")=0,"",SUMIFS(BD!$L$3:$L$5001,BD!$A$3:$A$5001,AB$3,BD!$B$3:$B$5001,$A$539)))</f>
        <v/>
      </c>
      <c r="AC548" s="185" t="str">
        <f>IF(AC$3="","",IF(COUNTIFS(BD!$A$3:$A$5001,AC$3,BD!$B$3:$B$5001,$A$539,BD!$L$3:$L$5001,"&lt;&gt;")=0,"",SUMIFS(BD!$L$3:$L$5001,BD!$A$3:$A$5001,AC$3,BD!$B$3:$B$5001,$A$539)))</f>
        <v/>
      </c>
      <c r="AD548" s="185" t="str">
        <f>IF(AD$3="","",IF(COUNTIFS(BD!$A$3:$A$5001,AD$3,BD!$B$3:$B$5001,$A$539,BD!$L$3:$L$5001,"&lt;&gt;")=0,"",SUMIFS(BD!$L$3:$L$5001,BD!$A$3:$A$5001,AD$3,BD!$B$3:$B$5001,$A$539)))</f>
        <v/>
      </c>
      <c r="AE548" s="185" t="str">
        <f>IF(AE$3="","",IF(COUNTIFS(BD!$A$3:$A$5001,AE$3,BD!$B$3:$B$5001,$A$539,BD!$L$3:$L$5001,"&lt;&gt;")=0,"",SUMIFS(BD!$L$3:$L$5001,BD!$A$3:$A$5001,AE$3,BD!$B$3:$B$5001,$A$539)))</f>
        <v/>
      </c>
      <c r="AF548" s="185" t="str">
        <f>IF(AF$3="","",IF(COUNTIFS(BD!$A$3:$A$5001,AF$3,BD!$B$3:$B$5001,$A$539,BD!$L$3:$L$5001,"&lt;&gt;")=0,"",SUMIFS(BD!$L$3:$L$5001,BD!$A$3:$A$5001,AF$3,BD!$B$3:$B$5001,$A$539)))</f>
        <v/>
      </c>
      <c r="AG548" s="185" t="str">
        <f>IF(AG$3="","",IF(COUNTIFS(BD!$A$3:$A$5001,AG$3,BD!$B$3:$B$5001,$A$539,BD!$L$3:$L$5001,"&lt;&gt;")=0,"",SUMIFS(BD!$L$3:$L$5001,BD!$A$3:$A$5001,AG$3,BD!$B$3:$B$5001,$A$539)))</f>
        <v/>
      </c>
      <c r="AH548" s="185" t="str">
        <f>IF(AH$3="","",IF(COUNTIFS(BD!$A$3:$A$5001,AH$3,BD!$B$3:$B$5001,$A$539,BD!$L$3:$L$5001,"&lt;&gt;")=0,"",SUMIFS(BD!$L$3:$L$5001,BD!$A$3:$A$5001,AH$3,BD!$B$3:$B$5001,$A$539)))</f>
        <v/>
      </c>
      <c r="AI548" s="185" t="str">
        <f>IF(AI$3="","",IF(COUNTIFS(BD!$A$3:$A$5001,AI$3,BD!$B$3:$B$5001,$A$539,BD!$L$3:$L$5001,"&lt;&gt;")=0,"",SUMIFS(BD!$L$3:$L$5001,BD!$A$3:$A$5001,AI$3,BD!$B$3:$B$5001,$A$539)))</f>
        <v/>
      </c>
      <c r="AJ548" s="186" t="str">
        <f>IF(AJ$3="","",IF(COUNTIFS(BD!$A$3:$A$5001,AJ$3,BD!$B$3:$B$5001,$A$539,BD!$L$3:$L$5001,"&lt;&gt;")=0,"",SUMIFS(BD!$L$3:$L$5001,BD!$A$3:$A$5001,AJ$3,BD!$B$3:$B$5001,$A$539)))</f>
        <v/>
      </c>
      <c r="AK548" s="187" t="str">
        <f>IF(COUNT(F548:AJ548)=0,"",SUM(F548:AJ548))</f>
        <v/>
      </c>
    </row>
    <row r="549" ht="15.75" customHeight="1" hidden="1">
      <c r="A549" s="261"/>
      <c r="B549" s="278"/>
      <c r="C549" s="267" t="inlineStr">
        <is>
          <t xml:space="preserve">Pedidos Expedidos</t>
        </is>
      </c>
      <c r="D549" s="268" t="str">
        <f>IFERROR(1/(1/INDEX(BD!$AL$33:$BF$33,MATCH($A$539,BD!$AL$22:$BF$22,0))),"")</f>
        <v/>
      </c>
      <c r="E549" s="269"/>
      <c r="F549" s="270" t="str">
        <f>IF(F$3="","",IF(COUNTIFS(BD!$A$3:$A$5001,F$3,BD!$B$3:$B$5001,$A$539,BD!$M$3:$M$5001,"&lt;&gt;")=0,"",SUMIFS(BD!$M$3:$M$5001,BD!$A$3:$A$5001,F$3,BD!$B$3:$B$5001,$A$539)))</f>
        <v/>
      </c>
      <c r="G549" s="271" t="str">
        <f>IF(G$3="","",IF(COUNTIFS(BD!$A$3:$A$5001,G$3,BD!$B$3:$B$5001,$A$539,BD!$M$3:$M$5001,"&lt;&gt;")=0,"",SUMIFS(BD!$M$3:$M$5001,BD!$A$3:$A$5001,G$3,BD!$B$3:$B$5001,$A$539)))</f>
        <v/>
      </c>
      <c r="H549" s="271" t="str">
        <f>IF(H$3="","",IF(COUNTIFS(BD!$A$3:$A$5001,H$3,BD!$B$3:$B$5001,$A$539,BD!$M$3:$M$5001,"&lt;&gt;")=0,"",SUMIFS(BD!$M$3:$M$5001,BD!$A$3:$A$5001,H$3,BD!$B$3:$B$5001,$A$539)))</f>
        <v/>
      </c>
      <c r="I549" s="271" t="str">
        <f>IF(I$3="","",IF(COUNTIFS(BD!$A$3:$A$5001,I$3,BD!$B$3:$B$5001,$A$539,BD!$M$3:$M$5001,"&lt;&gt;")=0,"",SUMIFS(BD!$M$3:$M$5001,BD!$A$3:$A$5001,I$3,BD!$B$3:$B$5001,$A$539)))</f>
        <v/>
      </c>
      <c r="J549" s="271" t="str">
        <f>IF(J$3="","",IF(COUNTIFS(BD!$A$3:$A$5001,J$3,BD!$B$3:$B$5001,$A$539,BD!$M$3:$M$5001,"&lt;&gt;")=0,"",SUMIFS(BD!$M$3:$M$5001,BD!$A$3:$A$5001,J$3,BD!$B$3:$B$5001,$A$539)))</f>
        <v/>
      </c>
      <c r="K549" s="271" t="str">
        <f>IF(K$3="","",IF(COUNTIFS(BD!$A$3:$A$5001,K$3,BD!$B$3:$B$5001,$A$539,BD!$M$3:$M$5001,"&lt;&gt;")=0,"",SUMIFS(BD!$M$3:$M$5001,BD!$A$3:$A$5001,K$3,BD!$B$3:$B$5001,$A$539)))</f>
        <v/>
      </c>
      <c r="L549" s="271" t="str">
        <f>IF(L$3="","",IF(COUNTIFS(BD!$A$3:$A$5001,L$3,BD!$B$3:$B$5001,$A$539,BD!$M$3:$M$5001,"&lt;&gt;")=0,"",SUMIFS(BD!$M$3:$M$5001,BD!$A$3:$A$5001,L$3,BD!$B$3:$B$5001,$A$539)))</f>
        <v/>
      </c>
      <c r="M549" s="271" t="str">
        <f>IF(M$3="","",IF(COUNTIFS(BD!$A$3:$A$5001,M$3,BD!$B$3:$B$5001,$A$539,BD!$M$3:$M$5001,"&lt;&gt;")=0,"",SUMIFS(BD!$M$3:$M$5001,BD!$A$3:$A$5001,M$3,BD!$B$3:$B$5001,$A$539)))</f>
        <v/>
      </c>
      <c r="N549" s="271" t="str">
        <f>IF(N$3="","",IF(COUNTIFS(BD!$A$3:$A$5001,N$3,BD!$B$3:$B$5001,$A$539,BD!$M$3:$M$5001,"&lt;&gt;")=0,"",SUMIFS(BD!$M$3:$M$5001,BD!$A$3:$A$5001,N$3,BD!$B$3:$B$5001,$A$539)))</f>
        <v/>
      </c>
      <c r="O549" s="271" t="str">
        <f>IF(O$3="","",IF(COUNTIFS(BD!$A$3:$A$5001,O$3,BD!$B$3:$B$5001,$A$539,BD!$M$3:$M$5001,"&lt;&gt;")=0,"",SUMIFS(BD!$M$3:$M$5001,BD!$A$3:$A$5001,O$3,BD!$B$3:$B$5001,$A$539)))</f>
        <v/>
      </c>
      <c r="P549" s="271" t="str">
        <f>IF(P$3="","",IF(COUNTIFS(BD!$A$3:$A$5001,P$3,BD!$B$3:$B$5001,$A$539,BD!$M$3:$M$5001,"&lt;&gt;")=0,"",SUMIFS(BD!$M$3:$M$5001,BD!$A$3:$A$5001,P$3,BD!$B$3:$B$5001,$A$539)))</f>
        <v/>
      </c>
      <c r="Q549" s="271" t="str">
        <f>IF(Q$3="","",IF(COUNTIFS(BD!$A$3:$A$5001,Q$3,BD!$B$3:$B$5001,$A$539,BD!$M$3:$M$5001,"&lt;&gt;")=0,"",SUMIFS(BD!$M$3:$M$5001,BD!$A$3:$A$5001,Q$3,BD!$B$3:$B$5001,$A$539)))</f>
        <v/>
      </c>
      <c r="R549" s="271" t="str">
        <f>IF(R$3="","",IF(COUNTIFS(BD!$A$3:$A$5001,R$3,BD!$B$3:$B$5001,$A$539,BD!$M$3:$M$5001,"&lt;&gt;")=0,"",SUMIFS(BD!$M$3:$M$5001,BD!$A$3:$A$5001,R$3,BD!$B$3:$B$5001,$A$539)))</f>
        <v/>
      </c>
      <c r="S549" s="271" t="str">
        <f>IF(S$3="","",IF(COUNTIFS(BD!$A$3:$A$5001,S$3,BD!$B$3:$B$5001,$A$539,BD!$M$3:$M$5001,"&lt;&gt;")=0,"",SUMIFS(BD!$M$3:$M$5001,BD!$A$3:$A$5001,S$3,BD!$B$3:$B$5001,$A$539)))</f>
        <v/>
      </c>
      <c r="T549" s="271" t="str">
        <f>IF(T$3="","",IF(COUNTIFS(BD!$A$3:$A$5001,T$3,BD!$B$3:$B$5001,$A$539,BD!$M$3:$M$5001,"&lt;&gt;")=0,"",SUMIFS(BD!$M$3:$M$5001,BD!$A$3:$A$5001,T$3,BD!$B$3:$B$5001,$A$539)))</f>
        <v/>
      </c>
      <c r="U549" s="271" t="str">
        <f>IF(U$3="","",IF(COUNTIFS(BD!$A$3:$A$5001,U$3,BD!$B$3:$B$5001,$A$539,BD!$M$3:$M$5001,"&lt;&gt;")=0,"",SUMIFS(BD!$M$3:$M$5001,BD!$A$3:$A$5001,U$3,BD!$B$3:$B$5001,$A$539)))</f>
        <v/>
      </c>
      <c r="V549" s="271" t="str">
        <f>IF(V$3="","",IF(COUNTIFS(BD!$A$3:$A$5001,V$3,BD!$B$3:$B$5001,$A$539,BD!$M$3:$M$5001,"&lt;&gt;")=0,"",SUMIFS(BD!$M$3:$M$5001,BD!$A$3:$A$5001,V$3,BD!$B$3:$B$5001,$A$539)))</f>
        <v/>
      </c>
      <c r="W549" s="271" t="str">
        <f>IF(W$3="","",IF(COUNTIFS(BD!$A$3:$A$5001,W$3,BD!$B$3:$B$5001,$A$539,BD!$M$3:$M$5001,"&lt;&gt;")=0,"",SUMIFS(BD!$M$3:$M$5001,BD!$A$3:$A$5001,W$3,BD!$B$3:$B$5001,$A$539)))</f>
        <v/>
      </c>
      <c r="X549" s="271" t="str">
        <f>IF(X$3="","",IF(COUNTIFS(BD!$A$3:$A$5001,X$3,BD!$B$3:$B$5001,$A$539,BD!$M$3:$M$5001,"&lt;&gt;")=0,"",SUMIFS(BD!$M$3:$M$5001,BD!$A$3:$A$5001,X$3,BD!$B$3:$B$5001,$A$539)))</f>
        <v/>
      </c>
      <c r="Y549" s="271" t="str">
        <f>IF(Y$3="","",IF(COUNTIFS(BD!$A$3:$A$5001,Y$3,BD!$B$3:$B$5001,$A$539,BD!$M$3:$M$5001,"&lt;&gt;")=0,"",SUMIFS(BD!$M$3:$M$5001,BD!$A$3:$A$5001,Y$3,BD!$B$3:$B$5001,$A$539)))</f>
        <v/>
      </c>
      <c r="Z549" s="271" t="str">
        <f>IF(Z$3="","",IF(COUNTIFS(BD!$A$3:$A$5001,Z$3,BD!$B$3:$B$5001,$A$539,BD!$M$3:$M$5001,"&lt;&gt;")=0,"",SUMIFS(BD!$M$3:$M$5001,BD!$A$3:$A$5001,Z$3,BD!$B$3:$B$5001,$A$539)))</f>
        <v/>
      </c>
      <c r="AA549" s="271" t="str">
        <f>IF(AA$3="","",IF(COUNTIFS(BD!$A$3:$A$5001,AA$3,BD!$B$3:$B$5001,$A$539,BD!$M$3:$M$5001,"&lt;&gt;")=0,"",SUMIFS(BD!$M$3:$M$5001,BD!$A$3:$A$5001,AA$3,BD!$B$3:$B$5001,$A$539)))</f>
        <v/>
      </c>
      <c r="AB549" s="271" t="str">
        <f>IF(AB$3="","",IF(COUNTIFS(BD!$A$3:$A$5001,AB$3,BD!$B$3:$B$5001,$A$539,BD!$M$3:$M$5001,"&lt;&gt;")=0,"",SUMIFS(BD!$M$3:$M$5001,BD!$A$3:$A$5001,AB$3,BD!$B$3:$B$5001,$A$539)))</f>
        <v/>
      </c>
      <c r="AC549" s="271" t="str">
        <f>IF(AC$3="","",IF(COUNTIFS(BD!$A$3:$A$5001,AC$3,BD!$B$3:$B$5001,$A$539,BD!$M$3:$M$5001,"&lt;&gt;")=0,"",SUMIFS(BD!$M$3:$M$5001,BD!$A$3:$A$5001,AC$3,BD!$B$3:$B$5001,$A$539)))</f>
        <v/>
      </c>
      <c r="AD549" s="271" t="str">
        <f>IF(AD$3="","",IF(COUNTIFS(BD!$A$3:$A$5001,AD$3,BD!$B$3:$B$5001,$A$539,BD!$M$3:$M$5001,"&lt;&gt;")=0,"",SUMIFS(BD!$M$3:$M$5001,BD!$A$3:$A$5001,AD$3,BD!$B$3:$B$5001,$A$539)))</f>
        <v/>
      </c>
      <c r="AE549" s="271" t="str">
        <f>IF(AE$3="","",IF(COUNTIFS(BD!$A$3:$A$5001,AE$3,BD!$B$3:$B$5001,$A$539,BD!$M$3:$M$5001,"&lt;&gt;")=0,"",SUMIFS(BD!$M$3:$M$5001,BD!$A$3:$A$5001,AE$3,BD!$B$3:$B$5001,$A$539)))</f>
        <v/>
      </c>
      <c r="AF549" s="271" t="str">
        <f>IF(AF$3="","",IF(COUNTIFS(BD!$A$3:$A$5001,AF$3,BD!$B$3:$B$5001,$A$539,BD!$M$3:$M$5001,"&lt;&gt;")=0,"",SUMIFS(BD!$M$3:$M$5001,BD!$A$3:$A$5001,AF$3,BD!$B$3:$B$5001,$A$539)))</f>
        <v/>
      </c>
      <c r="AG549" s="271" t="str">
        <f>IF(AG$3="","",IF(COUNTIFS(BD!$A$3:$A$5001,AG$3,BD!$B$3:$B$5001,$A$539,BD!$M$3:$M$5001,"&lt;&gt;")=0,"",SUMIFS(BD!$M$3:$M$5001,BD!$A$3:$A$5001,AG$3,BD!$B$3:$B$5001,$A$539)))</f>
        <v/>
      </c>
      <c r="AH549" s="271" t="str">
        <f>IF(AH$3="","",IF(COUNTIFS(BD!$A$3:$A$5001,AH$3,BD!$B$3:$B$5001,$A$539,BD!$M$3:$M$5001,"&lt;&gt;")=0,"",SUMIFS(BD!$M$3:$M$5001,BD!$A$3:$A$5001,AH$3,BD!$B$3:$B$5001,$A$539)))</f>
        <v/>
      </c>
      <c r="AI549" s="271" t="str">
        <f>IF(AI$3="","",IF(COUNTIFS(BD!$A$3:$A$5001,AI$3,BD!$B$3:$B$5001,$A$539,BD!$M$3:$M$5001,"&lt;&gt;")=0,"",SUMIFS(BD!$M$3:$M$5001,BD!$A$3:$A$5001,AI$3,BD!$B$3:$B$5001,$A$539)))</f>
        <v/>
      </c>
      <c r="AJ549" s="272" t="str">
        <f>IF(AJ$3="","",IF(COUNTIFS(BD!$A$3:$A$5001,AJ$3,BD!$B$3:$B$5001,$A$539,BD!$M$3:$M$5001,"&lt;&gt;")=0,"",SUMIFS(BD!$M$3:$M$5001,BD!$A$3:$A$5001,AJ$3,BD!$B$3:$B$5001,$A$539)))</f>
        <v/>
      </c>
      <c r="AK549" s="273" t="str">
        <f>IF(COUNT(F549:AJ549)=0,"",SUM(F549:AJ549))</f>
        <v/>
      </c>
    </row>
    <row r="550" ht="15.75" customHeight="1" hidden="1">
      <c r="A550" s="261"/>
      <c r="B550" s="278"/>
      <c r="C550" s="267" t="inlineStr">
        <is>
          <t xml:space="preserve">Pedidos Faturados</t>
        </is>
      </c>
      <c r="D550" s="268" t="str">
        <f>IFERROR(1/(1/INDEX(BD!$AL$34:$BF$34,MATCH($A$539,BD!$AL$22:$BF$22,0))),"")</f>
        <v/>
      </c>
      <c r="E550" s="269"/>
      <c r="F550" s="270" t="str">
        <f>IF(F$3="","",IF(COUNTIFS(BD!$A$3:$A$5001,F$3,BD!$B$3:$B$5001,$A$539,BD!$N$3:$N$5001,"&lt;&gt;")=0,"",SUMIFS(BD!$N$3:$N$5001,BD!$A$3:$A$5001,F$3,BD!$B$3:$B$5001,$A$539)))</f>
        <v/>
      </c>
      <c r="G550" s="271" t="str">
        <f>IF(G$3="","",IF(COUNTIFS(BD!$A$3:$A$5001,G$3,BD!$B$3:$B$5001,$A$539,BD!$N$3:$N$5001,"&lt;&gt;")=0,"",SUMIFS(BD!$N$3:$N$5001,BD!$A$3:$A$5001,G$3,BD!$B$3:$B$5001,$A$539)))</f>
        <v/>
      </c>
      <c r="H550" s="271" t="str">
        <f>IF(H$3="","",IF(COUNTIFS(BD!$A$3:$A$5001,H$3,BD!$B$3:$B$5001,$A$539,BD!$N$3:$N$5001,"&lt;&gt;")=0,"",SUMIFS(BD!$N$3:$N$5001,BD!$A$3:$A$5001,H$3,BD!$B$3:$B$5001,$A$539)))</f>
        <v/>
      </c>
      <c r="I550" s="271" t="str">
        <f>IF(I$3="","",IF(COUNTIFS(BD!$A$3:$A$5001,I$3,BD!$B$3:$B$5001,$A$539,BD!$N$3:$N$5001,"&lt;&gt;")=0,"",SUMIFS(BD!$N$3:$N$5001,BD!$A$3:$A$5001,I$3,BD!$B$3:$B$5001,$A$539)))</f>
        <v/>
      </c>
      <c r="J550" s="271" t="str">
        <f>IF(J$3="","",IF(COUNTIFS(BD!$A$3:$A$5001,J$3,BD!$B$3:$B$5001,$A$539,BD!$N$3:$N$5001,"&lt;&gt;")=0,"",SUMIFS(BD!$N$3:$N$5001,BD!$A$3:$A$5001,J$3,BD!$B$3:$B$5001,$A$539)))</f>
        <v/>
      </c>
      <c r="K550" s="271" t="str">
        <f>IF(K$3="","",IF(COUNTIFS(BD!$A$3:$A$5001,K$3,BD!$B$3:$B$5001,$A$539,BD!$N$3:$N$5001,"&lt;&gt;")=0,"",SUMIFS(BD!$N$3:$N$5001,BD!$A$3:$A$5001,K$3,BD!$B$3:$B$5001,$A$539)))</f>
        <v/>
      </c>
      <c r="L550" s="271" t="str">
        <f>IF(L$3="","",IF(COUNTIFS(BD!$A$3:$A$5001,L$3,BD!$B$3:$B$5001,$A$539,BD!$N$3:$N$5001,"&lt;&gt;")=0,"",SUMIFS(BD!$N$3:$N$5001,BD!$A$3:$A$5001,L$3,BD!$B$3:$B$5001,$A$539)))</f>
        <v/>
      </c>
      <c r="M550" s="271" t="str">
        <f>IF(M$3="","",IF(COUNTIFS(BD!$A$3:$A$5001,M$3,BD!$B$3:$B$5001,$A$539,BD!$N$3:$N$5001,"&lt;&gt;")=0,"",SUMIFS(BD!$N$3:$N$5001,BD!$A$3:$A$5001,M$3,BD!$B$3:$B$5001,$A$539)))</f>
        <v/>
      </c>
      <c r="N550" s="271" t="str">
        <f>IF(N$3="","",IF(COUNTIFS(BD!$A$3:$A$5001,N$3,BD!$B$3:$B$5001,$A$539,BD!$N$3:$N$5001,"&lt;&gt;")=0,"",SUMIFS(BD!$N$3:$N$5001,BD!$A$3:$A$5001,N$3,BD!$B$3:$B$5001,$A$539)))</f>
        <v/>
      </c>
      <c r="O550" s="271" t="str">
        <f>IF(O$3="","",IF(COUNTIFS(BD!$A$3:$A$5001,O$3,BD!$B$3:$B$5001,$A$539,BD!$N$3:$N$5001,"&lt;&gt;")=0,"",SUMIFS(BD!$N$3:$N$5001,BD!$A$3:$A$5001,O$3,BD!$B$3:$B$5001,$A$539)))</f>
        <v/>
      </c>
      <c r="P550" s="271" t="str">
        <f>IF(P$3="","",IF(COUNTIFS(BD!$A$3:$A$5001,P$3,BD!$B$3:$B$5001,$A$539,BD!$N$3:$N$5001,"&lt;&gt;")=0,"",SUMIFS(BD!$N$3:$N$5001,BD!$A$3:$A$5001,P$3,BD!$B$3:$B$5001,$A$539)))</f>
        <v/>
      </c>
      <c r="Q550" s="271" t="str">
        <f>IF(Q$3="","",IF(COUNTIFS(BD!$A$3:$A$5001,Q$3,BD!$B$3:$B$5001,$A$539,BD!$N$3:$N$5001,"&lt;&gt;")=0,"",SUMIFS(BD!$N$3:$N$5001,BD!$A$3:$A$5001,Q$3,BD!$B$3:$B$5001,$A$539)))</f>
        <v/>
      </c>
      <c r="R550" s="271" t="str">
        <f>IF(R$3="","",IF(COUNTIFS(BD!$A$3:$A$5001,R$3,BD!$B$3:$B$5001,$A$539,BD!$N$3:$N$5001,"&lt;&gt;")=0,"",SUMIFS(BD!$N$3:$N$5001,BD!$A$3:$A$5001,R$3,BD!$B$3:$B$5001,$A$539)))</f>
        <v/>
      </c>
      <c r="S550" s="271" t="str">
        <f>IF(S$3="","",IF(COUNTIFS(BD!$A$3:$A$5001,S$3,BD!$B$3:$B$5001,$A$539,BD!$N$3:$N$5001,"&lt;&gt;")=0,"",SUMIFS(BD!$N$3:$N$5001,BD!$A$3:$A$5001,S$3,BD!$B$3:$B$5001,$A$539)))</f>
        <v/>
      </c>
      <c r="T550" s="271" t="str">
        <f>IF(T$3="","",IF(COUNTIFS(BD!$A$3:$A$5001,T$3,BD!$B$3:$B$5001,$A$539,BD!$N$3:$N$5001,"&lt;&gt;")=0,"",SUMIFS(BD!$N$3:$N$5001,BD!$A$3:$A$5001,T$3,BD!$B$3:$B$5001,$A$539)))</f>
        <v/>
      </c>
      <c r="U550" s="271" t="str">
        <f>IF(U$3="","",IF(COUNTIFS(BD!$A$3:$A$5001,U$3,BD!$B$3:$B$5001,$A$539,BD!$N$3:$N$5001,"&lt;&gt;")=0,"",SUMIFS(BD!$N$3:$N$5001,BD!$A$3:$A$5001,U$3,BD!$B$3:$B$5001,$A$539)))</f>
        <v/>
      </c>
      <c r="V550" s="271" t="str">
        <f>IF(V$3="","",IF(COUNTIFS(BD!$A$3:$A$5001,V$3,BD!$B$3:$B$5001,$A$539,BD!$N$3:$N$5001,"&lt;&gt;")=0,"",SUMIFS(BD!$N$3:$N$5001,BD!$A$3:$A$5001,V$3,BD!$B$3:$B$5001,$A$539)))</f>
        <v/>
      </c>
      <c r="W550" s="271" t="str">
        <f>IF(W$3="","",IF(COUNTIFS(BD!$A$3:$A$5001,W$3,BD!$B$3:$B$5001,$A$539,BD!$N$3:$N$5001,"&lt;&gt;")=0,"",SUMIFS(BD!$N$3:$N$5001,BD!$A$3:$A$5001,W$3,BD!$B$3:$B$5001,$A$539)))</f>
        <v/>
      </c>
      <c r="X550" s="271" t="str">
        <f>IF(X$3="","",IF(COUNTIFS(BD!$A$3:$A$5001,X$3,BD!$B$3:$B$5001,$A$539,BD!$N$3:$N$5001,"&lt;&gt;")=0,"",SUMIFS(BD!$N$3:$N$5001,BD!$A$3:$A$5001,X$3,BD!$B$3:$B$5001,$A$539)))</f>
        <v/>
      </c>
      <c r="Y550" s="271" t="str">
        <f>IF(Y$3="","",IF(COUNTIFS(BD!$A$3:$A$5001,Y$3,BD!$B$3:$B$5001,$A$539,BD!$N$3:$N$5001,"&lt;&gt;")=0,"",SUMIFS(BD!$N$3:$N$5001,BD!$A$3:$A$5001,Y$3,BD!$B$3:$B$5001,$A$539)))</f>
        <v/>
      </c>
      <c r="Z550" s="271" t="str">
        <f>IF(Z$3="","",IF(COUNTIFS(BD!$A$3:$A$5001,Z$3,BD!$B$3:$B$5001,$A$539,BD!$N$3:$N$5001,"&lt;&gt;")=0,"",SUMIFS(BD!$N$3:$N$5001,BD!$A$3:$A$5001,Z$3,BD!$B$3:$B$5001,$A$539)))</f>
        <v/>
      </c>
      <c r="AA550" s="271" t="str">
        <f>IF(AA$3="","",IF(COUNTIFS(BD!$A$3:$A$5001,AA$3,BD!$B$3:$B$5001,$A$539,BD!$N$3:$N$5001,"&lt;&gt;")=0,"",SUMIFS(BD!$N$3:$N$5001,BD!$A$3:$A$5001,AA$3,BD!$B$3:$B$5001,$A$539)))</f>
        <v/>
      </c>
      <c r="AB550" s="271" t="str">
        <f>IF(AB$3="","",IF(COUNTIFS(BD!$A$3:$A$5001,AB$3,BD!$B$3:$B$5001,$A$539,BD!$N$3:$N$5001,"&lt;&gt;")=0,"",SUMIFS(BD!$N$3:$N$5001,BD!$A$3:$A$5001,AB$3,BD!$B$3:$B$5001,$A$539)))</f>
        <v/>
      </c>
      <c r="AC550" s="271" t="str">
        <f>IF(AC$3="","",IF(COUNTIFS(BD!$A$3:$A$5001,AC$3,BD!$B$3:$B$5001,$A$539,BD!$N$3:$N$5001,"&lt;&gt;")=0,"",SUMIFS(BD!$N$3:$N$5001,BD!$A$3:$A$5001,AC$3,BD!$B$3:$B$5001,$A$539)))</f>
        <v/>
      </c>
      <c r="AD550" s="271" t="str">
        <f>IF(AD$3="","",IF(COUNTIFS(BD!$A$3:$A$5001,AD$3,BD!$B$3:$B$5001,$A$539,BD!$N$3:$N$5001,"&lt;&gt;")=0,"",SUMIFS(BD!$N$3:$N$5001,BD!$A$3:$A$5001,AD$3,BD!$B$3:$B$5001,$A$539)))</f>
        <v/>
      </c>
      <c r="AE550" s="271" t="str">
        <f>IF(AE$3="","",IF(COUNTIFS(BD!$A$3:$A$5001,AE$3,BD!$B$3:$B$5001,$A$539,BD!$N$3:$N$5001,"&lt;&gt;")=0,"",SUMIFS(BD!$N$3:$N$5001,BD!$A$3:$A$5001,AE$3,BD!$B$3:$B$5001,$A$539)))</f>
        <v/>
      </c>
      <c r="AF550" s="271" t="str">
        <f>IF(AF$3="","",IF(COUNTIFS(BD!$A$3:$A$5001,AF$3,BD!$B$3:$B$5001,$A$539,BD!$N$3:$N$5001,"&lt;&gt;")=0,"",SUMIFS(BD!$N$3:$N$5001,BD!$A$3:$A$5001,AF$3,BD!$B$3:$B$5001,$A$539)))</f>
        <v/>
      </c>
      <c r="AG550" s="271" t="str">
        <f>IF(AG$3="","",IF(COUNTIFS(BD!$A$3:$A$5001,AG$3,BD!$B$3:$B$5001,$A$539,BD!$N$3:$N$5001,"&lt;&gt;")=0,"",SUMIFS(BD!$N$3:$N$5001,BD!$A$3:$A$5001,AG$3,BD!$B$3:$B$5001,$A$539)))</f>
        <v/>
      </c>
      <c r="AH550" s="271" t="str">
        <f>IF(AH$3="","",IF(COUNTIFS(BD!$A$3:$A$5001,AH$3,BD!$B$3:$B$5001,$A$539,BD!$N$3:$N$5001,"&lt;&gt;")=0,"",SUMIFS(BD!$N$3:$N$5001,BD!$A$3:$A$5001,AH$3,BD!$B$3:$B$5001,$A$539)))</f>
        <v/>
      </c>
      <c r="AI550" s="271" t="str">
        <f>IF(AI$3="","",IF(COUNTIFS(BD!$A$3:$A$5001,AI$3,BD!$B$3:$B$5001,$A$539,BD!$N$3:$N$5001,"&lt;&gt;")=0,"",SUMIFS(BD!$N$3:$N$5001,BD!$A$3:$A$5001,AI$3,BD!$B$3:$B$5001,$A$539)))</f>
        <v/>
      </c>
      <c r="AJ550" s="272" t="str">
        <f>IF(AJ$3="","",IF(COUNTIFS(BD!$A$3:$A$5001,AJ$3,BD!$B$3:$B$5001,$A$539,BD!$N$3:$N$5001,"&lt;&gt;")=0,"",SUMIFS(BD!$N$3:$N$5001,BD!$A$3:$A$5001,AJ$3,BD!$B$3:$B$5001,$A$539)))</f>
        <v/>
      </c>
      <c r="AK550" s="273" t="str">
        <f>IF(COUNT(F550:AJ550)=0,"",SUM(F550:AJ550))</f>
        <v/>
      </c>
    </row>
    <row r="551" ht="15.75" customHeight="1" hidden="1">
      <c r="A551" s="261"/>
      <c r="B551" s="278"/>
      <c r="C551" s="267" t="inlineStr">
        <is>
          <t xml:space="preserve">Itens Expedidos</t>
        </is>
      </c>
      <c r="D551" s="268" t="str">
        <f>IFERROR(1/(1/INDEX(BD!$AL$35:$BF$35,MATCH($A$539,BD!$AL$22:$BF$22,0))),"")</f>
        <v/>
      </c>
      <c r="E551" s="269"/>
      <c r="F551" s="270" t="str">
        <f>IF(F$3="","",IF(COUNTIFS(BD!$A$3:$A$5001,F$3,BD!$B$3:$B$5001,$A$539,BD!$O$3:$O$5001,"&lt;&gt;")=0,"",SUMIFS(BD!$O$3:$O$5001,BD!$A$3:$A$5001,F$3,BD!$B$3:$B$5001,$A$539)))</f>
        <v/>
      </c>
      <c r="G551" s="271" t="str">
        <f>IF(G$3="","",IF(COUNTIFS(BD!$A$3:$A$5001,G$3,BD!$B$3:$B$5001,$A$539,BD!$O$3:$O$5001,"&lt;&gt;")=0,"",SUMIFS(BD!$O$3:$O$5001,BD!$A$3:$A$5001,G$3,BD!$B$3:$B$5001,$A$539)))</f>
        <v/>
      </c>
      <c r="H551" s="271" t="str">
        <f>IF(H$3="","",IF(COUNTIFS(BD!$A$3:$A$5001,H$3,BD!$B$3:$B$5001,$A$539,BD!$O$3:$O$5001,"&lt;&gt;")=0,"",SUMIFS(BD!$O$3:$O$5001,BD!$A$3:$A$5001,H$3,BD!$B$3:$B$5001,$A$539)))</f>
        <v/>
      </c>
      <c r="I551" s="271" t="str">
        <f>IF(I$3="","",IF(COUNTIFS(BD!$A$3:$A$5001,I$3,BD!$B$3:$B$5001,$A$539,BD!$O$3:$O$5001,"&lt;&gt;")=0,"",SUMIFS(BD!$O$3:$O$5001,BD!$A$3:$A$5001,I$3,BD!$B$3:$B$5001,$A$539)))</f>
        <v/>
      </c>
      <c r="J551" s="271" t="str">
        <f>IF(J$3="","",IF(COUNTIFS(BD!$A$3:$A$5001,J$3,BD!$B$3:$B$5001,$A$539,BD!$O$3:$O$5001,"&lt;&gt;")=0,"",SUMIFS(BD!$O$3:$O$5001,BD!$A$3:$A$5001,J$3,BD!$B$3:$B$5001,$A$539)))</f>
        <v/>
      </c>
      <c r="K551" s="271" t="str">
        <f>IF(K$3="","",IF(COUNTIFS(BD!$A$3:$A$5001,K$3,BD!$B$3:$B$5001,$A$539,BD!$O$3:$O$5001,"&lt;&gt;")=0,"",SUMIFS(BD!$O$3:$O$5001,BD!$A$3:$A$5001,K$3,BD!$B$3:$B$5001,$A$539)))</f>
        <v/>
      </c>
      <c r="L551" s="271" t="str">
        <f>IF(L$3="","",IF(COUNTIFS(BD!$A$3:$A$5001,L$3,BD!$B$3:$B$5001,$A$539,BD!$O$3:$O$5001,"&lt;&gt;")=0,"",SUMIFS(BD!$O$3:$O$5001,BD!$A$3:$A$5001,L$3,BD!$B$3:$B$5001,$A$539)))</f>
        <v/>
      </c>
      <c r="M551" s="271" t="str">
        <f>IF(M$3="","",IF(COUNTIFS(BD!$A$3:$A$5001,M$3,BD!$B$3:$B$5001,$A$539,BD!$O$3:$O$5001,"&lt;&gt;")=0,"",SUMIFS(BD!$O$3:$O$5001,BD!$A$3:$A$5001,M$3,BD!$B$3:$B$5001,$A$539)))</f>
        <v/>
      </c>
      <c r="N551" s="271" t="str">
        <f>IF(N$3="","",IF(COUNTIFS(BD!$A$3:$A$5001,N$3,BD!$B$3:$B$5001,$A$539,BD!$O$3:$O$5001,"&lt;&gt;")=0,"",SUMIFS(BD!$O$3:$O$5001,BD!$A$3:$A$5001,N$3,BD!$B$3:$B$5001,$A$539)))</f>
        <v/>
      </c>
      <c r="O551" s="271" t="str">
        <f>IF(O$3="","",IF(COUNTIFS(BD!$A$3:$A$5001,O$3,BD!$B$3:$B$5001,$A$539,BD!$O$3:$O$5001,"&lt;&gt;")=0,"",SUMIFS(BD!$O$3:$O$5001,BD!$A$3:$A$5001,O$3,BD!$B$3:$B$5001,$A$539)))</f>
        <v/>
      </c>
      <c r="P551" s="271" t="str">
        <f>IF(P$3="","",IF(COUNTIFS(BD!$A$3:$A$5001,P$3,BD!$B$3:$B$5001,$A$539,BD!$O$3:$O$5001,"&lt;&gt;")=0,"",SUMIFS(BD!$O$3:$O$5001,BD!$A$3:$A$5001,P$3,BD!$B$3:$B$5001,$A$539)))</f>
        <v/>
      </c>
      <c r="Q551" s="271" t="str">
        <f>IF(Q$3="","",IF(COUNTIFS(BD!$A$3:$A$5001,Q$3,BD!$B$3:$B$5001,$A$539,BD!$O$3:$O$5001,"&lt;&gt;")=0,"",SUMIFS(BD!$O$3:$O$5001,BD!$A$3:$A$5001,Q$3,BD!$B$3:$B$5001,$A$539)))</f>
        <v/>
      </c>
      <c r="R551" s="271" t="str">
        <f>IF(R$3="","",IF(COUNTIFS(BD!$A$3:$A$5001,R$3,BD!$B$3:$B$5001,$A$539,BD!$O$3:$O$5001,"&lt;&gt;")=0,"",SUMIFS(BD!$O$3:$O$5001,BD!$A$3:$A$5001,R$3,BD!$B$3:$B$5001,$A$539)))</f>
        <v/>
      </c>
      <c r="S551" s="271" t="str">
        <f>IF(S$3="","",IF(COUNTIFS(BD!$A$3:$A$5001,S$3,BD!$B$3:$B$5001,$A$539,BD!$O$3:$O$5001,"&lt;&gt;")=0,"",SUMIFS(BD!$O$3:$O$5001,BD!$A$3:$A$5001,S$3,BD!$B$3:$B$5001,$A$539)))</f>
        <v/>
      </c>
      <c r="T551" s="271" t="str">
        <f>IF(T$3="","",IF(COUNTIFS(BD!$A$3:$A$5001,T$3,BD!$B$3:$B$5001,$A$539,BD!$O$3:$O$5001,"&lt;&gt;")=0,"",SUMIFS(BD!$O$3:$O$5001,BD!$A$3:$A$5001,T$3,BD!$B$3:$B$5001,$A$539)))</f>
        <v/>
      </c>
      <c r="U551" s="271" t="str">
        <f>IF(U$3="","",IF(COUNTIFS(BD!$A$3:$A$5001,U$3,BD!$B$3:$B$5001,$A$539,BD!$O$3:$O$5001,"&lt;&gt;")=0,"",SUMIFS(BD!$O$3:$O$5001,BD!$A$3:$A$5001,U$3,BD!$B$3:$B$5001,$A$539)))</f>
        <v/>
      </c>
      <c r="V551" s="271" t="str">
        <f>IF(V$3="","",IF(COUNTIFS(BD!$A$3:$A$5001,V$3,BD!$B$3:$B$5001,$A$539,BD!$O$3:$O$5001,"&lt;&gt;")=0,"",SUMIFS(BD!$O$3:$O$5001,BD!$A$3:$A$5001,V$3,BD!$B$3:$B$5001,$A$539)))</f>
        <v/>
      </c>
      <c r="W551" s="271" t="str">
        <f>IF(W$3="","",IF(COUNTIFS(BD!$A$3:$A$5001,W$3,BD!$B$3:$B$5001,$A$539,BD!$O$3:$O$5001,"&lt;&gt;")=0,"",SUMIFS(BD!$O$3:$O$5001,BD!$A$3:$A$5001,W$3,BD!$B$3:$B$5001,$A$539)))</f>
        <v/>
      </c>
      <c r="X551" s="271" t="str">
        <f>IF(X$3="","",IF(COUNTIFS(BD!$A$3:$A$5001,X$3,BD!$B$3:$B$5001,$A$539,BD!$O$3:$O$5001,"&lt;&gt;")=0,"",SUMIFS(BD!$O$3:$O$5001,BD!$A$3:$A$5001,X$3,BD!$B$3:$B$5001,$A$539)))</f>
        <v/>
      </c>
      <c r="Y551" s="271" t="str">
        <f>IF(Y$3="","",IF(COUNTIFS(BD!$A$3:$A$5001,Y$3,BD!$B$3:$B$5001,$A$539,BD!$O$3:$O$5001,"&lt;&gt;")=0,"",SUMIFS(BD!$O$3:$O$5001,BD!$A$3:$A$5001,Y$3,BD!$B$3:$B$5001,$A$539)))</f>
        <v/>
      </c>
      <c r="Z551" s="271" t="str">
        <f>IF(Z$3="","",IF(COUNTIFS(BD!$A$3:$A$5001,Z$3,BD!$B$3:$B$5001,$A$539,BD!$O$3:$O$5001,"&lt;&gt;")=0,"",SUMIFS(BD!$O$3:$O$5001,BD!$A$3:$A$5001,Z$3,BD!$B$3:$B$5001,$A$539)))</f>
        <v/>
      </c>
      <c r="AA551" s="271" t="str">
        <f>IF(AA$3="","",IF(COUNTIFS(BD!$A$3:$A$5001,AA$3,BD!$B$3:$B$5001,$A$539,BD!$O$3:$O$5001,"&lt;&gt;")=0,"",SUMIFS(BD!$O$3:$O$5001,BD!$A$3:$A$5001,AA$3,BD!$B$3:$B$5001,$A$539)))</f>
        <v/>
      </c>
      <c r="AB551" s="271" t="str">
        <f>IF(AB$3="","",IF(COUNTIFS(BD!$A$3:$A$5001,AB$3,BD!$B$3:$B$5001,$A$539,BD!$O$3:$O$5001,"&lt;&gt;")=0,"",SUMIFS(BD!$O$3:$O$5001,BD!$A$3:$A$5001,AB$3,BD!$B$3:$B$5001,$A$539)))</f>
        <v/>
      </c>
      <c r="AC551" s="271" t="str">
        <f>IF(AC$3="","",IF(COUNTIFS(BD!$A$3:$A$5001,AC$3,BD!$B$3:$B$5001,$A$539,BD!$O$3:$O$5001,"&lt;&gt;")=0,"",SUMIFS(BD!$O$3:$O$5001,BD!$A$3:$A$5001,AC$3,BD!$B$3:$B$5001,$A$539)))</f>
        <v/>
      </c>
      <c r="AD551" s="271" t="str">
        <f>IF(AD$3="","",IF(COUNTIFS(BD!$A$3:$A$5001,AD$3,BD!$B$3:$B$5001,$A$539,BD!$O$3:$O$5001,"&lt;&gt;")=0,"",SUMIFS(BD!$O$3:$O$5001,BD!$A$3:$A$5001,AD$3,BD!$B$3:$B$5001,$A$539)))</f>
        <v/>
      </c>
      <c r="AE551" s="271" t="str">
        <f>IF(AE$3="","",IF(COUNTIFS(BD!$A$3:$A$5001,AE$3,BD!$B$3:$B$5001,$A$539,BD!$O$3:$O$5001,"&lt;&gt;")=0,"",SUMIFS(BD!$O$3:$O$5001,BD!$A$3:$A$5001,AE$3,BD!$B$3:$B$5001,$A$539)))</f>
        <v/>
      </c>
      <c r="AF551" s="271" t="str">
        <f>IF(AF$3="","",IF(COUNTIFS(BD!$A$3:$A$5001,AF$3,BD!$B$3:$B$5001,$A$539,BD!$O$3:$O$5001,"&lt;&gt;")=0,"",SUMIFS(BD!$O$3:$O$5001,BD!$A$3:$A$5001,AF$3,BD!$B$3:$B$5001,$A$539)))</f>
        <v/>
      </c>
      <c r="AG551" s="271" t="str">
        <f>IF(AG$3="","",IF(COUNTIFS(BD!$A$3:$A$5001,AG$3,BD!$B$3:$B$5001,$A$539,BD!$O$3:$O$5001,"&lt;&gt;")=0,"",SUMIFS(BD!$O$3:$O$5001,BD!$A$3:$A$5001,AG$3,BD!$B$3:$B$5001,$A$539)))</f>
        <v/>
      </c>
      <c r="AH551" s="271" t="str">
        <f>IF(AH$3="","",IF(COUNTIFS(BD!$A$3:$A$5001,AH$3,BD!$B$3:$B$5001,$A$539,BD!$O$3:$O$5001,"&lt;&gt;")=0,"",SUMIFS(BD!$O$3:$O$5001,BD!$A$3:$A$5001,AH$3,BD!$B$3:$B$5001,$A$539)))</f>
        <v/>
      </c>
      <c r="AI551" s="271" t="str">
        <f>IF(AI$3="","",IF(COUNTIFS(BD!$A$3:$A$5001,AI$3,BD!$B$3:$B$5001,$A$539,BD!$O$3:$O$5001,"&lt;&gt;")=0,"",SUMIFS(BD!$O$3:$O$5001,BD!$A$3:$A$5001,AI$3,BD!$B$3:$B$5001,$A$539)))</f>
        <v/>
      </c>
      <c r="AJ551" s="272" t="str">
        <f>IF(AJ$3="","",IF(COUNTIFS(BD!$A$3:$A$5001,AJ$3,BD!$B$3:$B$5001,$A$539,BD!$O$3:$O$5001,"&lt;&gt;")=0,"",SUMIFS(BD!$O$3:$O$5001,BD!$A$3:$A$5001,AJ$3,BD!$B$3:$B$5001,$A$539)))</f>
        <v/>
      </c>
      <c r="AK551" s="273" t="str">
        <f>IF(COUNT(F551:AJ551)=0,"",SUM(F551:AJ551))</f>
        <v/>
      </c>
    </row>
    <row r="552" ht="15.75" customHeight="1" hidden="1">
      <c r="A552" s="261"/>
      <c r="B552" s="278"/>
      <c r="C552" s="267" t="inlineStr">
        <is>
          <t xml:space="preserve">Linhas NF</t>
        </is>
      </c>
      <c r="D552" s="268" t="str">
        <f>IFERROR(1/(1/INDEX(BD!$AL$36:$BF$36,MATCH($A$539,BD!$AL$22:$BF$22,0))),"")</f>
        <v/>
      </c>
      <c r="E552" s="269"/>
      <c r="F552" s="270" t="str">
        <f>IF(F$3="","",IF(COUNTIFS(BD!$A$3:$A$5001,F$3,BD!$B$3:$B$5001,$A$539,BD!$P$3:$P$5001,"&lt;&gt;")=0,"",SUMIFS(BD!$P$3:$P$5001,BD!$A$3:$A$5001,F$3,BD!$B$3:$B$5001,$A$539)))</f>
        <v/>
      </c>
      <c r="G552" s="271" t="str">
        <f>IF(G$3="","",IF(COUNTIFS(BD!$A$3:$A$5001,G$3,BD!$B$3:$B$5001,$A$539,BD!$P$3:$P$5001,"&lt;&gt;")=0,"",SUMIFS(BD!$P$3:$P$5001,BD!$A$3:$A$5001,G$3,BD!$B$3:$B$5001,$A$539)))</f>
        <v/>
      </c>
      <c r="H552" s="271" t="str">
        <f>IF(H$3="","",IF(COUNTIFS(BD!$A$3:$A$5001,H$3,BD!$B$3:$B$5001,$A$539,BD!$P$3:$P$5001,"&lt;&gt;")=0,"",SUMIFS(BD!$P$3:$P$5001,BD!$A$3:$A$5001,H$3,BD!$B$3:$B$5001,$A$539)))</f>
        <v/>
      </c>
      <c r="I552" s="271" t="str">
        <f>IF(I$3="","",IF(COUNTIFS(BD!$A$3:$A$5001,I$3,BD!$B$3:$B$5001,$A$539,BD!$P$3:$P$5001,"&lt;&gt;")=0,"",SUMIFS(BD!$P$3:$P$5001,BD!$A$3:$A$5001,I$3,BD!$B$3:$B$5001,$A$539)))</f>
        <v/>
      </c>
      <c r="J552" s="271" t="str">
        <f>IF(J$3="","",IF(COUNTIFS(BD!$A$3:$A$5001,J$3,BD!$B$3:$B$5001,$A$539,BD!$P$3:$P$5001,"&lt;&gt;")=0,"",SUMIFS(BD!$P$3:$P$5001,BD!$A$3:$A$5001,J$3,BD!$B$3:$B$5001,$A$539)))</f>
        <v/>
      </c>
      <c r="K552" s="271" t="str">
        <f>IF(K$3="","",IF(COUNTIFS(BD!$A$3:$A$5001,K$3,BD!$B$3:$B$5001,$A$539,BD!$P$3:$P$5001,"&lt;&gt;")=0,"",SUMIFS(BD!$P$3:$P$5001,BD!$A$3:$A$5001,K$3,BD!$B$3:$B$5001,$A$539)))</f>
        <v/>
      </c>
      <c r="L552" s="271" t="str">
        <f>IF(L$3="","",IF(COUNTIFS(BD!$A$3:$A$5001,L$3,BD!$B$3:$B$5001,$A$539,BD!$P$3:$P$5001,"&lt;&gt;")=0,"",SUMIFS(BD!$P$3:$P$5001,BD!$A$3:$A$5001,L$3,BD!$B$3:$B$5001,$A$539)))</f>
        <v/>
      </c>
      <c r="M552" s="271" t="str">
        <f>IF(M$3="","",IF(COUNTIFS(BD!$A$3:$A$5001,M$3,BD!$B$3:$B$5001,$A$539,BD!$P$3:$P$5001,"&lt;&gt;")=0,"",SUMIFS(BD!$P$3:$P$5001,BD!$A$3:$A$5001,M$3,BD!$B$3:$B$5001,$A$539)))</f>
        <v/>
      </c>
      <c r="N552" s="271" t="str">
        <f>IF(N$3="","",IF(COUNTIFS(BD!$A$3:$A$5001,N$3,BD!$B$3:$B$5001,$A$539,BD!$P$3:$P$5001,"&lt;&gt;")=0,"",SUMIFS(BD!$P$3:$P$5001,BD!$A$3:$A$5001,N$3,BD!$B$3:$B$5001,$A$539)))</f>
        <v/>
      </c>
      <c r="O552" s="271" t="str">
        <f>IF(O$3="","",IF(COUNTIFS(BD!$A$3:$A$5001,O$3,BD!$B$3:$B$5001,$A$539,BD!$P$3:$P$5001,"&lt;&gt;")=0,"",SUMIFS(BD!$P$3:$P$5001,BD!$A$3:$A$5001,O$3,BD!$B$3:$B$5001,$A$539)))</f>
        <v/>
      </c>
      <c r="P552" s="271" t="str">
        <f>IF(P$3="","",IF(COUNTIFS(BD!$A$3:$A$5001,P$3,BD!$B$3:$B$5001,$A$539,BD!$P$3:$P$5001,"&lt;&gt;")=0,"",SUMIFS(BD!$P$3:$P$5001,BD!$A$3:$A$5001,P$3,BD!$B$3:$B$5001,$A$539)))</f>
        <v/>
      </c>
      <c r="Q552" s="271" t="str">
        <f>IF(Q$3="","",IF(COUNTIFS(BD!$A$3:$A$5001,Q$3,BD!$B$3:$B$5001,$A$539,BD!$P$3:$P$5001,"&lt;&gt;")=0,"",SUMIFS(BD!$P$3:$P$5001,BD!$A$3:$A$5001,Q$3,BD!$B$3:$B$5001,$A$539)))</f>
        <v/>
      </c>
      <c r="R552" s="271" t="str">
        <f>IF(R$3="","",IF(COUNTIFS(BD!$A$3:$A$5001,R$3,BD!$B$3:$B$5001,$A$539,BD!$P$3:$P$5001,"&lt;&gt;")=0,"",SUMIFS(BD!$P$3:$P$5001,BD!$A$3:$A$5001,R$3,BD!$B$3:$B$5001,$A$539)))</f>
        <v/>
      </c>
      <c r="S552" s="271" t="str">
        <f>IF(S$3="","",IF(COUNTIFS(BD!$A$3:$A$5001,S$3,BD!$B$3:$B$5001,$A$539,BD!$P$3:$P$5001,"&lt;&gt;")=0,"",SUMIFS(BD!$P$3:$P$5001,BD!$A$3:$A$5001,S$3,BD!$B$3:$B$5001,$A$539)))</f>
        <v/>
      </c>
      <c r="T552" s="271" t="str">
        <f>IF(T$3="","",IF(COUNTIFS(BD!$A$3:$A$5001,T$3,BD!$B$3:$B$5001,$A$539,BD!$P$3:$P$5001,"&lt;&gt;")=0,"",SUMIFS(BD!$P$3:$P$5001,BD!$A$3:$A$5001,T$3,BD!$B$3:$B$5001,$A$539)))</f>
        <v/>
      </c>
      <c r="U552" s="271" t="str">
        <f>IF(U$3="","",IF(COUNTIFS(BD!$A$3:$A$5001,U$3,BD!$B$3:$B$5001,$A$539,BD!$P$3:$P$5001,"&lt;&gt;")=0,"",SUMIFS(BD!$P$3:$P$5001,BD!$A$3:$A$5001,U$3,BD!$B$3:$B$5001,$A$539)))</f>
        <v/>
      </c>
      <c r="V552" s="271" t="str">
        <f>IF(V$3="","",IF(COUNTIFS(BD!$A$3:$A$5001,V$3,BD!$B$3:$B$5001,$A$539,BD!$P$3:$P$5001,"&lt;&gt;")=0,"",SUMIFS(BD!$P$3:$P$5001,BD!$A$3:$A$5001,V$3,BD!$B$3:$B$5001,$A$539)))</f>
        <v/>
      </c>
      <c r="W552" s="271" t="str">
        <f>IF(W$3="","",IF(COUNTIFS(BD!$A$3:$A$5001,W$3,BD!$B$3:$B$5001,$A$539,BD!$P$3:$P$5001,"&lt;&gt;")=0,"",SUMIFS(BD!$P$3:$P$5001,BD!$A$3:$A$5001,W$3,BD!$B$3:$B$5001,$A$539)))</f>
        <v/>
      </c>
      <c r="X552" s="271" t="str">
        <f>IF(X$3="","",IF(COUNTIFS(BD!$A$3:$A$5001,X$3,BD!$B$3:$B$5001,$A$539,BD!$P$3:$P$5001,"&lt;&gt;")=0,"",SUMIFS(BD!$P$3:$P$5001,BD!$A$3:$A$5001,X$3,BD!$B$3:$B$5001,$A$539)))</f>
        <v/>
      </c>
      <c r="Y552" s="271" t="str">
        <f>IF(Y$3="","",IF(COUNTIFS(BD!$A$3:$A$5001,Y$3,BD!$B$3:$B$5001,$A$539,BD!$P$3:$P$5001,"&lt;&gt;")=0,"",SUMIFS(BD!$P$3:$P$5001,BD!$A$3:$A$5001,Y$3,BD!$B$3:$B$5001,$A$539)))</f>
        <v/>
      </c>
      <c r="Z552" s="271" t="str">
        <f>IF(Z$3="","",IF(COUNTIFS(BD!$A$3:$A$5001,Z$3,BD!$B$3:$B$5001,$A$539,BD!$P$3:$P$5001,"&lt;&gt;")=0,"",SUMIFS(BD!$P$3:$P$5001,BD!$A$3:$A$5001,Z$3,BD!$B$3:$B$5001,$A$539)))</f>
        <v/>
      </c>
      <c r="AA552" s="271" t="str">
        <f>IF(AA$3="","",IF(COUNTIFS(BD!$A$3:$A$5001,AA$3,BD!$B$3:$B$5001,$A$539,BD!$P$3:$P$5001,"&lt;&gt;")=0,"",SUMIFS(BD!$P$3:$P$5001,BD!$A$3:$A$5001,AA$3,BD!$B$3:$B$5001,$A$539)))</f>
        <v/>
      </c>
      <c r="AB552" s="271" t="str">
        <f>IF(AB$3="","",IF(COUNTIFS(BD!$A$3:$A$5001,AB$3,BD!$B$3:$B$5001,$A$539,BD!$P$3:$P$5001,"&lt;&gt;")=0,"",SUMIFS(BD!$P$3:$P$5001,BD!$A$3:$A$5001,AB$3,BD!$B$3:$B$5001,$A$539)))</f>
        <v/>
      </c>
      <c r="AC552" s="271" t="str">
        <f>IF(AC$3="","",IF(COUNTIFS(BD!$A$3:$A$5001,AC$3,BD!$B$3:$B$5001,$A$539,BD!$P$3:$P$5001,"&lt;&gt;")=0,"",SUMIFS(BD!$P$3:$P$5001,BD!$A$3:$A$5001,AC$3,BD!$B$3:$B$5001,$A$539)))</f>
        <v/>
      </c>
      <c r="AD552" s="271" t="str">
        <f>IF(AD$3="","",IF(COUNTIFS(BD!$A$3:$A$5001,AD$3,BD!$B$3:$B$5001,$A$539,BD!$P$3:$P$5001,"&lt;&gt;")=0,"",SUMIFS(BD!$P$3:$P$5001,BD!$A$3:$A$5001,AD$3,BD!$B$3:$B$5001,$A$539)))</f>
        <v/>
      </c>
      <c r="AE552" s="271" t="str">
        <f>IF(AE$3="","",IF(COUNTIFS(BD!$A$3:$A$5001,AE$3,BD!$B$3:$B$5001,$A$539,BD!$P$3:$P$5001,"&lt;&gt;")=0,"",SUMIFS(BD!$P$3:$P$5001,BD!$A$3:$A$5001,AE$3,BD!$B$3:$B$5001,$A$539)))</f>
        <v/>
      </c>
      <c r="AF552" s="271" t="str">
        <f>IF(AF$3="","",IF(COUNTIFS(BD!$A$3:$A$5001,AF$3,BD!$B$3:$B$5001,$A$539,BD!$P$3:$P$5001,"&lt;&gt;")=0,"",SUMIFS(BD!$P$3:$P$5001,BD!$A$3:$A$5001,AF$3,BD!$B$3:$B$5001,$A$539)))</f>
        <v/>
      </c>
      <c r="AG552" s="271" t="str">
        <f>IF(AG$3="","",IF(COUNTIFS(BD!$A$3:$A$5001,AG$3,BD!$B$3:$B$5001,$A$539,BD!$P$3:$P$5001,"&lt;&gt;")=0,"",SUMIFS(BD!$P$3:$P$5001,BD!$A$3:$A$5001,AG$3,BD!$B$3:$B$5001,$A$539)))</f>
        <v/>
      </c>
      <c r="AH552" s="271" t="str">
        <f>IF(AH$3="","",IF(COUNTIFS(BD!$A$3:$A$5001,AH$3,BD!$B$3:$B$5001,$A$539,BD!$P$3:$P$5001,"&lt;&gt;")=0,"",SUMIFS(BD!$P$3:$P$5001,BD!$A$3:$A$5001,AH$3,BD!$B$3:$B$5001,$A$539)))</f>
        <v/>
      </c>
      <c r="AI552" s="271" t="str">
        <f>IF(AI$3="","",IF(COUNTIFS(BD!$A$3:$A$5001,AI$3,BD!$B$3:$B$5001,$A$539,BD!$P$3:$P$5001,"&lt;&gt;")=0,"",SUMIFS(BD!$P$3:$P$5001,BD!$A$3:$A$5001,AI$3,BD!$B$3:$B$5001,$A$539)))</f>
        <v/>
      </c>
      <c r="AJ552" s="272" t="str">
        <f>IF(AJ$3="","",IF(COUNTIFS(BD!$A$3:$A$5001,AJ$3,BD!$B$3:$B$5001,$A$539,BD!$P$3:$P$5001,"&lt;&gt;")=0,"",SUMIFS(BD!$P$3:$P$5001,BD!$A$3:$A$5001,AJ$3,BD!$B$3:$B$5001,$A$539)))</f>
        <v/>
      </c>
      <c r="AK552" s="273" t="str">
        <f>IF(COUNT(F552:AJ552)=0,"",SUM(F552:AJ552))</f>
        <v/>
      </c>
    </row>
    <row r="553" ht="15.75" customHeight="1" hidden="1">
      <c r="A553" s="261"/>
      <c r="B553" s="278"/>
      <c r="C553" s="267" t="inlineStr">
        <is>
          <t xml:space="preserve">Caixas Expedidas</t>
        </is>
      </c>
      <c r="D553" s="268" t="str">
        <f>IFERROR(1/(1/INDEX(BD!$AL$37:$BF$37,MATCH($A$539,BD!$AL$22:$BF$22,0))),"")</f>
        <v/>
      </c>
      <c r="E553" s="269"/>
      <c r="F553" s="270" t="str">
        <f>IF(F$3="","",IF(COUNTIFS(BD!$A$3:$A$5001,F$3,BD!$B$3:$B$5001,$A$539,BD!$Q$3:$Q$5001,"&lt;&gt;")=0,"",SUMIFS(BD!$Q$3:$Q$5001,BD!$A$3:$A$5001,F$3,BD!$B$3:$B$5001,$A$539)))</f>
        <v/>
      </c>
      <c r="G553" s="271" t="str">
        <f>IF(G$3="","",IF(COUNTIFS(BD!$A$3:$A$5001,G$3,BD!$B$3:$B$5001,$A$539,BD!$Q$3:$Q$5001,"&lt;&gt;")=0,"",SUMIFS(BD!$Q$3:$Q$5001,BD!$A$3:$A$5001,G$3,BD!$B$3:$B$5001,$A$539)))</f>
        <v/>
      </c>
      <c r="H553" s="271" t="str">
        <f>IF(H$3="","",IF(COUNTIFS(BD!$A$3:$A$5001,H$3,BD!$B$3:$B$5001,$A$539,BD!$Q$3:$Q$5001,"&lt;&gt;")=0,"",SUMIFS(BD!$Q$3:$Q$5001,BD!$A$3:$A$5001,H$3,BD!$B$3:$B$5001,$A$539)))</f>
        <v/>
      </c>
      <c r="I553" s="271" t="str">
        <f>IF(I$3="","",IF(COUNTIFS(BD!$A$3:$A$5001,I$3,BD!$B$3:$B$5001,$A$539,BD!$Q$3:$Q$5001,"&lt;&gt;")=0,"",SUMIFS(BD!$Q$3:$Q$5001,BD!$A$3:$A$5001,I$3,BD!$B$3:$B$5001,$A$539)))</f>
        <v/>
      </c>
      <c r="J553" s="271" t="str">
        <f>IF(J$3="","",IF(COUNTIFS(BD!$A$3:$A$5001,J$3,BD!$B$3:$B$5001,$A$539,BD!$Q$3:$Q$5001,"&lt;&gt;")=0,"",SUMIFS(BD!$Q$3:$Q$5001,BD!$A$3:$A$5001,J$3,BD!$B$3:$B$5001,$A$539)))</f>
        <v/>
      </c>
      <c r="K553" s="271" t="str">
        <f>IF(K$3="","",IF(COUNTIFS(BD!$A$3:$A$5001,K$3,BD!$B$3:$B$5001,$A$539,BD!$Q$3:$Q$5001,"&lt;&gt;")=0,"",SUMIFS(BD!$Q$3:$Q$5001,BD!$A$3:$A$5001,K$3,BD!$B$3:$B$5001,$A$539)))</f>
        <v/>
      </c>
      <c r="L553" s="271" t="str">
        <f>IF(L$3="","",IF(COUNTIFS(BD!$A$3:$A$5001,L$3,BD!$B$3:$B$5001,$A$539,BD!$Q$3:$Q$5001,"&lt;&gt;")=0,"",SUMIFS(BD!$Q$3:$Q$5001,BD!$A$3:$A$5001,L$3,BD!$B$3:$B$5001,$A$539)))</f>
        <v/>
      </c>
      <c r="M553" s="271" t="str">
        <f>IF(M$3="","",IF(COUNTIFS(BD!$A$3:$A$5001,M$3,BD!$B$3:$B$5001,$A$539,BD!$Q$3:$Q$5001,"&lt;&gt;")=0,"",SUMIFS(BD!$Q$3:$Q$5001,BD!$A$3:$A$5001,M$3,BD!$B$3:$B$5001,$A$539)))</f>
        <v/>
      </c>
      <c r="N553" s="271" t="str">
        <f>IF(N$3="","",IF(COUNTIFS(BD!$A$3:$A$5001,N$3,BD!$B$3:$B$5001,$A$539,BD!$Q$3:$Q$5001,"&lt;&gt;")=0,"",SUMIFS(BD!$Q$3:$Q$5001,BD!$A$3:$A$5001,N$3,BD!$B$3:$B$5001,$A$539)))</f>
        <v/>
      </c>
      <c r="O553" s="271" t="str">
        <f>IF(O$3="","",IF(COUNTIFS(BD!$A$3:$A$5001,O$3,BD!$B$3:$B$5001,$A$539,BD!$Q$3:$Q$5001,"&lt;&gt;")=0,"",SUMIFS(BD!$Q$3:$Q$5001,BD!$A$3:$A$5001,O$3,BD!$B$3:$B$5001,$A$539)))</f>
        <v/>
      </c>
      <c r="P553" s="271" t="str">
        <f>IF(P$3="","",IF(COUNTIFS(BD!$A$3:$A$5001,P$3,BD!$B$3:$B$5001,$A$539,BD!$Q$3:$Q$5001,"&lt;&gt;")=0,"",SUMIFS(BD!$Q$3:$Q$5001,BD!$A$3:$A$5001,P$3,BD!$B$3:$B$5001,$A$539)))</f>
        <v/>
      </c>
      <c r="Q553" s="271" t="str">
        <f>IF(Q$3="","",IF(COUNTIFS(BD!$A$3:$A$5001,Q$3,BD!$B$3:$B$5001,$A$539,BD!$Q$3:$Q$5001,"&lt;&gt;")=0,"",SUMIFS(BD!$Q$3:$Q$5001,BD!$A$3:$A$5001,Q$3,BD!$B$3:$B$5001,$A$539)))</f>
        <v/>
      </c>
      <c r="R553" s="271" t="str">
        <f>IF(R$3="","",IF(COUNTIFS(BD!$A$3:$A$5001,R$3,BD!$B$3:$B$5001,$A$539,BD!$Q$3:$Q$5001,"&lt;&gt;")=0,"",SUMIFS(BD!$Q$3:$Q$5001,BD!$A$3:$A$5001,R$3,BD!$B$3:$B$5001,$A$539)))</f>
        <v/>
      </c>
      <c r="S553" s="271" t="str">
        <f>IF(S$3="","",IF(COUNTIFS(BD!$A$3:$A$5001,S$3,BD!$B$3:$B$5001,$A$539,BD!$Q$3:$Q$5001,"&lt;&gt;")=0,"",SUMIFS(BD!$Q$3:$Q$5001,BD!$A$3:$A$5001,S$3,BD!$B$3:$B$5001,$A$539)))</f>
        <v/>
      </c>
      <c r="T553" s="271" t="str">
        <f>IF(T$3="","",IF(COUNTIFS(BD!$A$3:$A$5001,T$3,BD!$B$3:$B$5001,$A$539,BD!$Q$3:$Q$5001,"&lt;&gt;")=0,"",SUMIFS(BD!$Q$3:$Q$5001,BD!$A$3:$A$5001,T$3,BD!$B$3:$B$5001,$A$539)))</f>
        <v/>
      </c>
      <c r="U553" s="271" t="str">
        <f>IF(U$3="","",IF(COUNTIFS(BD!$A$3:$A$5001,U$3,BD!$B$3:$B$5001,$A$539,BD!$Q$3:$Q$5001,"&lt;&gt;")=0,"",SUMIFS(BD!$Q$3:$Q$5001,BD!$A$3:$A$5001,U$3,BD!$B$3:$B$5001,$A$539)))</f>
        <v/>
      </c>
      <c r="V553" s="271" t="str">
        <f>IF(V$3="","",IF(COUNTIFS(BD!$A$3:$A$5001,V$3,BD!$B$3:$B$5001,$A$539,BD!$Q$3:$Q$5001,"&lt;&gt;")=0,"",SUMIFS(BD!$Q$3:$Q$5001,BD!$A$3:$A$5001,V$3,BD!$B$3:$B$5001,$A$539)))</f>
        <v/>
      </c>
      <c r="W553" s="271" t="str">
        <f>IF(W$3="","",IF(COUNTIFS(BD!$A$3:$A$5001,W$3,BD!$B$3:$B$5001,$A$539,BD!$Q$3:$Q$5001,"&lt;&gt;")=0,"",SUMIFS(BD!$Q$3:$Q$5001,BD!$A$3:$A$5001,W$3,BD!$B$3:$B$5001,$A$539)))</f>
        <v/>
      </c>
      <c r="X553" s="271" t="str">
        <f>IF(X$3="","",IF(COUNTIFS(BD!$A$3:$A$5001,X$3,BD!$B$3:$B$5001,$A$539,BD!$Q$3:$Q$5001,"&lt;&gt;")=0,"",SUMIFS(BD!$Q$3:$Q$5001,BD!$A$3:$A$5001,X$3,BD!$B$3:$B$5001,$A$539)))</f>
        <v/>
      </c>
      <c r="Y553" s="271" t="str">
        <f>IF(Y$3="","",IF(COUNTIFS(BD!$A$3:$A$5001,Y$3,BD!$B$3:$B$5001,$A$539,BD!$Q$3:$Q$5001,"&lt;&gt;")=0,"",SUMIFS(BD!$Q$3:$Q$5001,BD!$A$3:$A$5001,Y$3,BD!$B$3:$B$5001,$A$539)))</f>
        <v/>
      </c>
      <c r="Z553" s="271" t="str">
        <f>IF(Z$3="","",IF(COUNTIFS(BD!$A$3:$A$5001,Z$3,BD!$B$3:$B$5001,$A$539,BD!$Q$3:$Q$5001,"&lt;&gt;")=0,"",SUMIFS(BD!$Q$3:$Q$5001,BD!$A$3:$A$5001,Z$3,BD!$B$3:$B$5001,$A$539)))</f>
        <v/>
      </c>
      <c r="AA553" s="271" t="str">
        <f>IF(AA$3="","",IF(COUNTIFS(BD!$A$3:$A$5001,AA$3,BD!$B$3:$B$5001,$A$539,BD!$Q$3:$Q$5001,"&lt;&gt;")=0,"",SUMIFS(BD!$Q$3:$Q$5001,BD!$A$3:$A$5001,AA$3,BD!$B$3:$B$5001,$A$539)))</f>
        <v/>
      </c>
      <c r="AB553" s="271" t="str">
        <f>IF(AB$3="","",IF(COUNTIFS(BD!$A$3:$A$5001,AB$3,BD!$B$3:$B$5001,$A$539,BD!$Q$3:$Q$5001,"&lt;&gt;")=0,"",SUMIFS(BD!$Q$3:$Q$5001,BD!$A$3:$A$5001,AB$3,BD!$B$3:$B$5001,$A$539)))</f>
        <v/>
      </c>
      <c r="AC553" s="271" t="str">
        <f>IF(AC$3="","",IF(COUNTIFS(BD!$A$3:$A$5001,AC$3,BD!$B$3:$B$5001,$A$539,BD!$Q$3:$Q$5001,"&lt;&gt;")=0,"",SUMIFS(BD!$Q$3:$Q$5001,BD!$A$3:$A$5001,AC$3,BD!$B$3:$B$5001,$A$539)))</f>
        <v/>
      </c>
      <c r="AD553" s="271" t="str">
        <f>IF(AD$3="","",IF(COUNTIFS(BD!$A$3:$A$5001,AD$3,BD!$B$3:$B$5001,$A$539,BD!$Q$3:$Q$5001,"&lt;&gt;")=0,"",SUMIFS(BD!$Q$3:$Q$5001,BD!$A$3:$A$5001,AD$3,BD!$B$3:$B$5001,$A$539)))</f>
        <v/>
      </c>
      <c r="AE553" s="271" t="str">
        <f>IF(AE$3="","",IF(COUNTIFS(BD!$A$3:$A$5001,AE$3,BD!$B$3:$B$5001,$A$539,BD!$Q$3:$Q$5001,"&lt;&gt;")=0,"",SUMIFS(BD!$Q$3:$Q$5001,BD!$A$3:$A$5001,AE$3,BD!$B$3:$B$5001,$A$539)))</f>
        <v/>
      </c>
      <c r="AF553" s="271" t="str">
        <f>IF(AF$3="","",IF(COUNTIFS(BD!$A$3:$A$5001,AF$3,BD!$B$3:$B$5001,$A$539,BD!$Q$3:$Q$5001,"&lt;&gt;")=0,"",SUMIFS(BD!$Q$3:$Q$5001,BD!$A$3:$A$5001,AF$3,BD!$B$3:$B$5001,$A$539)))</f>
        <v/>
      </c>
      <c r="AG553" s="271" t="str">
        <f>IF(AG$3="","",IF(COUNTIFS(BD!$A$3:$A$5001,AG$3,BD!$B$3:$B$5001,$A$539,BD!$Q$3:$Q$5001,"&lt;&gt;")=0,"",SUMIFS(BD!$Q$3:$Q$5001,BD!$A$3:$A$5001,AG$3,BD!$B$3:$B$5001,$A$539)))</f>
        <v/>
      </c>
      <c r="AH553" s="271" t="str">
        <f>IF(AH$3="","",IF(COUNTIFS(BD!$A$3:$A$5001,AH$3,BD!$B$3:$B$5001,$A$539,BD!$Q$3:$Q$5001,"&lt;&gt;")=0,"",SUMIFS(BD!$Q$3:$Q$5001,BD!$A$3:$A$5001,AH$3,BD!$B$3:$B$5001,$A$539)))</f>
        <v/>
      </c>
      <c r="AI553" s="271" t="str">
        <f>IF(AI$3="","",IF(COUNTIFS(BD!$A$3:$A$5001,AI$3,BD!$B$3:$B$5001,$A$539,BD!$Q$3:$Q$5001,"&lt;&gt;")=0,"",SUMIFS(BD!$Q$3:$Q$5001,BD!$A$3:$A$5001,AI$3,BD!$B$3:$B$5001,$A$539)))</f>
        <v/>
      </c>
      <c r="AJ553" s="272" t="str">
        <f>IF(AJ$3="","",IF(COUNTIFS(BD!$A$3:$A$5001,AJ$3,BD!$B$3:$B$5001,$A$539,BD!$Q$3:$Q$5001,"&lt;&gt;")=0,"",SUMIFS(BD!$Q$3:$Q$5001,BD!$A$3:$A$5001,AJ$3,BD!$B$3:$B$5001,$A$539)))</f>
        <v/>
      </c>
      <c r="AK553" s="273" t="str">
        <f>IF(COUNT(F553:AJ553)=0,"",SUM(F553:AJ553))</f>
        <v/>
      </c>
    </row>
    <row r="554" ht="15.75" customHeight="1" hidden="1">
      <c r="A554" s="261"/>
      <c r="B554" s="278"/>
      <c r="C554" s="267" t="inlineStr">
        <is>
          <t xml:space="preserve">Pallets Movimentados</t>
        </is>
      </c>
      <c r="D554" s="268" t="str">
        <f>IFERROR(1/(1/INDEX(BD!$AL$38:$BF$38,MATCH($A$539,BD!$AL$22:$BF$22,0))),"")</f>
        <v/>
      </c>
      <c r="E554" s="269"/>
      <c r="F554" s="270" t="str">
        <f>IF(F$3="","",IF(COUNTIFS(BD!$A$3:$A$5001,F$3,BD!$B$3:$B$5001,$A$539,BD!$R$3:$R$5001,"&lt;&gt;")=0,"",SUMIFS(BD!$R$3:$R$5001,BD!$A$3:$A$5001,F$3,BD!$B$3:$B$5001,$A$539)))</f>
        <v/>
      </c>
      <c r="G554" s="271" t="str">
        <f>IF(G$3="","",IF(COUNTIFS(BD!$A$3:$A$5001,G$3,BD!$B$3:$B$5001,$A$539,BD!$R$3:$R$5001,"&lt;&gt;")=0,"",SUMIFS(BD!$R$3:$R$5001,BD!$A$3:$A$5001,G$3,BD!$B$3:$B$5001,$A$539)))</f>
        <v/>
      </c>
      <c r="H554" s="271" t="str">
        <f>IF(H$3="","",IF(COUNTIFS(BD!$A$3:$A$5001,H$3,BD!$B$3:$B$5001,$A$539,BD!$R$3:$R$5001,"&lt;&gt;")=0,"",SUMIFS(BD!$R$3:$R$5001,BD!$A$3:$A$5001,H$3,BD!$B$3:$B$5001,$A$539)))</f>
        <v/>
      </c>
      <c r="I554" s="271" t="str">
        <f>IF(I$3="","",IF(COUNTIFS(BD!$A$3:$A$5001,I$3,BD!$B$3:$B$5001,$A$539,BD!$R$3:$R$5001,"&lt;&gt;")=0,"",SUMIFS(BD!$R$3:$R$5001,BD!$A$3:$A$5001,I$3,BD!$B$3:$B$5001,$A$539)))</f>
        <v/>
      </c>
      <c r="J554" s="271" t="str">
        <f>IF(J$3="","",IF(COUNTIFS(BD!$A$3:$A$5001,J$3,BD!$B$3:$B$5001,$A$539,BD!$R$3:$R$5001,"&lt;&gt;")=0,"",SUMIFS(BD!$R$3:$R$5001,BD!$A$3:$A$5001,J$3,BD!$B$3:$B$5001,$A$539)))</f>
        <v/>
      </c>
      <c r="K554" s="271" t="str">
        <f>IF(K$3="","",IF(COUNTIFS(BD!$A$3:$A$5001,K$3,BD!$B$3:$B$5001,$A$539,BD!$R$3:$R$5001,"&lt;&gt;")=0,"",SUMIFS(BD!$R$3:$R$5001,BD!$A$3:$A$5001,K$3,BD!$B$3:$B$5001,$A$539)))</f>
        <v/>
      </c>
      <c r="L554" s="271" t="str">
        <f>IF(L$3="","",IF(COUNTIFS(BD!$A$3:$A$5001,L$3,BD!$B$3:$B$5001,$A$539,BD!$R$3:$R$5001,"&lt;&gt;")=0,"",SUMIFS(BD!$R$3:$R$5001,BD!$A$3:$A$5001,L$3,BD!$B$3:$B$5001,$A$539)))</f>
        <v/>
      </c>
      <c r="M554" s="271" t="str">
        <f>IF(M$3="","",IF(COUNTIFS(BD!$A$3:$A$5001,M$3,BD!$B$3:$B$5001,$A$539,BD!$R$3:$R$5001,"&lt;&gt;")=0,"",SUMIFS(BD!$R$3:$R$5001,BD!$A$3:$A$5001,M$3,BD!$B$3:$B$5001,$A$539)))</f>
        <v/>
      </c>
      <c r="N554" s="271" t="str">
        <f>IF(N$3="","",IF(COUNTIFS(BD!$A$3:$A$5001,N$3,BD!$B$3:$B$5001,$A$539,BD!$R$3:$R$5001,"&lt;&gt;")=0,"",SUMIFS(BD!$R$3:$R$5001,BD!$A$3:$A$5001,N$3,BD!$B$3:$B$5001,$A$539)))</f>
        <v/>
      </c>
      <c r="O554" s="271" t="str">
        <f>IF(O$3="","",IF(COUNTIFS(BD!$A$3:$A$5001,O$3,BD!$B$3:$B$5001,$A$539,BD!$R$3:$R$5001,"&lt;&gt;")=0,"",SUMIFS(BD!$R$3:$R$5001,BD!$A$3:$A$5001,O$3,BD!$B$3:$B$5001,$A$539)))</f>
        <v/>
      </c>
      <c r="P554" s="271" t="str">
        <f>IF(P$3="","",IF(COUNTIFS(BD!$A$3:$A$5001,P$3,BD!$B$3:$B$5001,$A$539,BD!$R$3:$R$5001,"&lt;&gt;")=0,"",SUMIFS(BD!$R$3:$R$5001,BD!$A$3:$A$5001,P$3,BD!$B$3:$B$5001,$A$539)))</f>
        <v/>
      </c>
      <c r="Q554" s="271" t="str">
        <f>IF(Q$3="","",IF(COUNTIFS(BD!$A$3:$A$5001,Q$3,BD!$B$3:$B$5001,$A$539,BD!$R$3:$R$5001,"&lt;&gt;")=0,"",SUMIFS(BD!$R$3:$R$5001,BD!$A$3:$A$5001,Q$3,BD!$B$3:$B$5001,$A$539)))</f>
        <v/>
      </c>
      <c r="R554" s="271" t="str">
        <f>IF(R$3="","",IF(COUNTIFS(BD!$A$3:$A$5001,R$3,BD!$B$3:$B$5001,$A$539,BD!$R$3:$R$5001,"&lt;&gt;")=0,"",SUMIFS(BD!$R$3:$R$5001,BD!$A$3:$A$5001,R$3,BD!$B$3:$B$5001,$A$539)))</f>
        <v/>
      </c>
      <c r="S554" s="271" t="str">
        <f>IF(S$3="","",IF(COUNTIFS(BD!$A$3:$A$5001,S$3,BD!$B$3:$B$5001,$A$539,BD!$R$3:$R$5001,"&lt;&gt;")=0,"",SUMIFS(BD!$R$3:$R$5001,BD!$A$3:$A$5001,S$3,BD!$B$3:$B$5001,$A$539)))</f>
        <v/>
      </c>
      <c r="T554" s="271" t="str">
        <f>IF(T$3="","",IF(COUNTIFS(BD!$A$3:$A$5001,T$3,BD!$B$3:$B$5001,$A$539,BD!$R$3:$R$5001,"&lt;&gt;")=0,"",SUMIFS(BD!$R$3:$R$5001,BD!$A$3:$A$5001,T$3,BD!$B$3:$B$5001,$A$539)))</f>
        <v/>
      </c>
      <c r="U554" s="271" t="str">
        <f>IF(U$3="","",IF(COUNTIFS(BD!$A$3:$A$5001,U$3,BD!$B$3:$B$5001,$A$539,BD!$R$3:$R$5001,"&lt;&gt;")=0,"",SUMIFS(BD!$R$3:$R$5001,BD!$A$3:$A$5001,U$3,BD!$B$3:$B$5001,$A$539)))</f>
        <v/>
      </c>
      <c r="V554" s="271" t="str">
        <f>IF(V$3="","",IF(COUNTIFS(BD!$A$3:$A$5001,V$3,BD!$B$3:$B$5001,$A$539,BD!$R$3:$R$5001,"&lt;&gt;")=0,"",SUMIFS(BD!$R$3:$R$5001,BD!$A$3:$A$5001,V$3,BD!$B$3:$B$5001,$A$539)))</f>
        <v/>
      </c>
      <c r="W554" s="271" t="str">
        <f>IF(W$3="","",IF(COUNTIFS(BD!$A$3:$A$5001,W$3,BD!$B$3:$B$5001,$A$539,BD!$R$3:$R$5001,"&lt;&gt;")=0,"",SUMIFS(BD!$R$3:$R$5001,BD!$A$3:$A$5001,W$3,BD!$B$3:$B$5001,$A$539)))</f>
        <v/>
      </c>
      <c r="X554" s="271" t="str">
        <f>IF(X$3="","",IF(COUNTIFS(BD!$A$3:$A$5001,X$3,BD!$B$3:$B$5001,$A$539,BD!$R$3:$R$5001,"&lt;&gt;")=0,"",SUMIFS(BD!$R$3:$R$5001,BD!$A$3:$A$5001,X$3,BD!$B$3:$B$5001,$A$539)))</f>
        <v/>
      </c>
      <c r="Y554" s="271" t="str">
        <f>IF(Y$3="","",IF(COUNTIFS(BD!$A$3:$A$5001,Y$3,BD!$B$3:$B$5001,$A$539,BD!$R$3:$R$5001,"&lt;&gt;")=0,"",SUMIFS(BD!$R$3:$R$5001,BD!$A$3:$A$5001,Y$3,BD!$B$3:$B$5001,$A$539)))</f>
        <v/>
      </c>
      <c r="Z554" s="271" t="str">
        <f>IF(Z$3="","",IF(COUNTIFS(BD!$A$3:$A$5001,Z$3,BD!$B$3:$B$5001,$A$539,BD!$R$3:$R$5001,"&lt;&gt;")=0,"",SUMIFS(BD!$R$3:$R$5001,BD!$A$3:$A$5001,Z$3,BD!$B$3:$B$5001,$A$539)))</f>
        <v/>
      </c>
      <c r="AA554" s="271" t="str">
        <f>IF(AA$3="","",IF(COUNTIFS(BD!$A$3:$A$5001,AA$3,BD!$B$3:$B$5001,$A$539,BD!$R$3:$R$5001,"&lt;&gt;")=0,"",SUMIFS(BD!$R$3:$R$5001,BD!$A$3:$A$5001,AA$3,BD!$B$3:$B$5001,$A$539)))</f>
        <v/>
      </c>
      <c r="AB554" s="271" t="str">
        <f>IF(AB$3="","",IF(COUNTIFS(BD!$A$3:$A$5001,AB$3,BD!$B$3:$B$5001,$A$539,BD!$R$3:$R$5001,"&lt;&gt;")=0,"",SUMIFS(BD!$R$3:$R$5001,BD!$A$3:$A$5001,AB$3,BD!$B$3:$B$5001,$A$539)))</f>
        <v/>
      </c>
      <c r="AC554" s="271" t="str">
        <f>IF(AC$3="","",IF(COUNTIFS(BD!$A$3:$A$5001,AC$3,BD!$B$3:$B$5001,$A$539,BD!$R$3:$R$5001,"&lt;&gt;")=0,"",SUMIFS(BD!$R$3:$R$5001,BD!$A$3:$A$5001,AC$3,BD!$B$3:$B$5001,$A$539)))</f>
        <v/>
      </c>
      <c r="AD554" s="271" t="str">
        <f>IF(AD$3="","",IF(COUNTIFS(BD!$A$3:$A$5001,AD$3,BD!$B$3:$B$5001,$A$539,BD!$R$3:$R$5001,"&lt;&gt;")=0,"",SUMIFS(BD!$R$3:$R$5001,BD!$A$3:$A$5001,AD$3,BD!$B$3:$B$5001,$A$539)))</f>
        <v/>
      </c>
      <c r="AE554" s="271" t="str">
        <f>IF(AE$3="","",IF(COUNTIFS(BD!$A$3:$A$5001,AE$3,BD!$B$3:$B$5001,$A$539,BD!$R$3:$R$5001,"&lt;&gt;")=0,"",SUMIFS(BD!$R$3:$R$5001,BD!$A$3:$A$5001,AE$3,BD!$B$3:$B$5001,$A$539)))</f>
        <v/>
      </c>
      <c r="AF554" s="271" t="str">
        <f>IF(AF$3="","",IF(COUNTIFS(BD!$A$3:$A$5001,AF$3,BD!$B$3:$B$5001,$A$539,BD!$R$3:$R$5001,"&lt;&gt;")=0,"",SUMIFS(BD!$R$3:$R$5001,BD!$A$3:$A$5001,AF$3,BD!$B$3:$B$5001,$A$539)))</f>
        <v/>
      </c>
      <c r="AG554" s="271" t="str">
        <f>IF(AG$3="","",IF(COUNTIFS(BD!$A$3:$A$5001,AG$3,BD!$B$3:$B$5001,$A$539,BD!$R$3:$R$5001,"&lt;&gt;")=0,"",SUMIFS(BD!$R$3:$R$5001,BD!$A$3:$A$5001,AG$3,BD!$B$3:$B$5001,$A$539)))</f>
        <v/>
      </c>
      <c r="AH554" s="271" t="str">
        <f>IF(AH$3="","",IF(COUNTIFS(BD!$A$3:$A$5001,AH$3,BD!$B$3:$B$5001,$A$539,BD!$R$3:$R$5001,"&lt;&gt;")=0,"",SUMIFS(BD!$R$3:$R$5001,BD!$A$3:$A$5001,AH$3,BD!$B$3:$B$5001,$A$539)))</f>
        <v/>
      </c>
      <c r="AI554" s="271" t="str">
        <f>IF(AI$3="","",IF(COUNTIFS(BD!$A$3:$A$5001,AI$3,BD!$B$3:$B$5001,$A$539,BD!$R$3:$R$5001,"&lt;&gt;")=0,"",SUMIFS(BD!$R$3:$R$5001,BD!$A$3:$A$5001,AI$3,BD!$B$3:$B$5001,$A$539)))</f>
        <v/>
      </c>
      <c r="AJ554" s="272" t="str">
        <f>IF(AJ$3="","",IF(COUNTIFS(BD!$A$3:$A$5001,AJ$3,BD!$B$3:$B$5001,$A$539,BD!$R$3:$R$5001,"&lt;&gt;")=0,"",SUMIFS(BD!$R$3:$R$5001,BD!$A$3:$A$5001,AJ$3,BD!$B$3:$B$5001,$A$539)))</f>
        <v/>
      </c>
      <c r="AK554" s="273" t="str">
        <f>IF(COUNT(F554:AJ554)=0,"",SUM(F554:AJ554))</f>
        <v/>
      </c>
    </row>
    <row r="555" ht="15.75" customHeight="1" hidden="1">
      <c r="A555" s="261"/>
      <c r="B555" s="252"/>
      <c r="C555" s="188" t="inlineStr">
        <is>
          <t xml:space="preserve">Toneladas Movimentadas</t>
        </is>
      </c>
      <c r="D555" s="189" t="str">
        <f>IFERROR(1/(1/INDEX(BD!$AL$39:$BF$39,MATCH($A$539,BD!$AL$22:$BF$22,0))),"")</f>
        <v/>
      </c>
      <c r="E555" s="190"/>
      <c r="F555" s="274" t="str">
        <f>IF(F$3="","",IF(COUNTIFS(BD!$A$3:$A$5001,F$3,BD!$B$3:$B$5001,$A$539,BD!$S$3:$S$5001,"&lt;&gt;")=0,"",SUMIFS(BD!$S$3:$S$5001,BD!$A$3:$A$5001,F$3,BD!$B$3:$B$5001,$A$539)))</f>
        <v/>
      </c>
      <c r="G555" s="275" t="str">
        <f>IF(G$3="","",IF(COUNTIFS(BD!$A$3:$A$5001,G$3,BD!$B$3:$B$5001,$A$539,BD!$S$3:$S$5001,"&lt;&gt;")=0,"",SUMIFS(BD!$S$3:$S$5001,BD!$A$3:$A$5001,G$3,BD!$B$3:$B$5001,$A$539)))</f>
        <v/>
      </c>
      <c r="H555" s="275" t="str">
        <f>IF(H$3="","",IF(COUNTIFS(BD!$A$3:$A$5001,H$3,BD!$B$3:$B$5001,$A$539,BD!$S$3:$S$5001,"&lt;&gt;")=0,"",SUMIFS(BD!$S$3:$S$5001,BD!$A$3:$A$5001,H$3,BD!$B$3:$B$5001,$A$539)))</f>
        <v/>
      </c>
      <c r="I555" s="275" t="str">
        <f>IF(I$3="","",IF(COUNTIFS(BD!$A$3:$A$5001,I$3,BD!$B$3:$B$5001,$A$539,BD!$S$3:$S$5001,"&lt;&gt;")=0,"",SUMIFS(BD!$S$3:$S$5001,BD!$A$3:$A$5001,I$3,BD!$B$3:$B$5001,$A$539)))</f>
        <v/>
      </c>
      <c r="J555" s="275" t="str">
        <f>IF(J$3="","",IF(COUNTIFS(BD!$A$3:$A$5001,J$3,BD!$B$3:$B$5001,$A$539,BD!$S$3:$S$5001,"&lt;&gt;")=0,"",SUMIFS(BD!$S$3:$S$5001,BD!$A$3:$A$5001,J$3,BD!$B$3:$B$5001,$A$539)))</f>
        <v/>
      </c>
      <c r="K555" s="275" t="str">
        <f>IF(K$3="","",IF(COUNTIFS(BD!$A$3:$A$5001,K$3,BD!$B$3:$B$5001,$A$539,BD!$S$3:$S$5001,"&lt;&gt;")=0,"",SUMIFS(BD!$S$3:$S$5001,BD!$A$3:$A$5001,K$3,BD!$B$3:$B$5001,$A$539)))</f>
        <v/>
      </c>
      <c r="L555" s="275" t="str">
        <f>IF(L$3="","",IF(COUNTIFS(BD!$A$3:$A$5001,L$3,BD!$B$3:$B$5001,$A$539,BD!$S$3:$S$5001,"&lt;&gt;")=0,"",SUMIFS(BD!$S$3:$S$5001,BD!$A$3:$A$5001,L$3,BD!$B$3:$B$5001,$A$539)))</f>
        <v/>
      </c>
      <c r="M555" s="275" t="str">
        <f>IF(M$3="","",IF(COUNTIFS(BD!$A$3:$A$5001,M$3,BD!$B$3:$B$5001,$A$539,BD!$S$3:$S$5001,"&lt;&gt;")=0,"",SUMIFS(BD!$S$3:$S$5001,BD!$A$3:$A$5001,M$3,BD!$B$3:$B$5001,$A$539)))</f>
        <v/>
      </c>
      <c r="N555" s="275" t="str">
        <f>IF(N$3="","",IF(COUNTIFS(BD!$A$3:$A$5001,N$3,BD!$B$3:$B$5001,$A$539,BD!$S$3:$S$5001,"&lt;&gt;")=0,"",SUMIFS(BD!$S$3:$S$5001,BD!$A$3:$A$5001,N$3,BD!$B$3:$B$5001,$A$539)))</f>
        <v/>
      </c>
      <c r="O555" s="275" t="str">
        <f>IF(O$3="","",IF(COUNTIFS(BD!$A$3:$A$5001,O$3,BD!$B$3:$B$5001,$A$539,BD!$S$3:$S$5001,"&lt;&gt;")=0,"",SUMIFS(BD!$S$3:$S$5001,BD!$A$3:$A$5001,O$3,BD!$B$3:$B$5001,$A$539)))</f>
        <v/>
      </c>
      <c r="P555" s="275" t="str">
        <f>IF(P$3="","",IF(COUNTIFS(BD!$A$3:$A$5001,P$3,BD!$B$3:$B$5001,$A$539,BD!$S$3:$S$5001,"&lt;&gt;")=0,"",SUMIFS(BD!$S$3:$S$5001,BD!$A$3:$A$5001,P$3,BD!$B$3:$B$5001,$A$539)))</f>
        <v/>
      </c>
      <c r="Q555" s="275" t="str">
        <f>IF(Q$3="","",IF(COUNTIFS(BD!$A$3:$A$5001,Q$3,BD!$B$3:$B$5001,$A$539,BD!$S$3:$S$5001,"&lt;&gt;")=0,"",SUMIFS(BD!$S$3:$S$5001,BD!$A$3:$A$5001,Q$3,BD!$B$3:$B$5001,$A$539)))</f>
        <v/>
      </c>
      <c r="R555" s="275" t="str">
        <f>IF(R$3="","",IF(COUNTIFS(BD!$A$3:$A$5001,R$3,BD!$B$3:$B$5001,$A$539,BD!$S$3:$S$5001,"&lt;&gt;")=0,"",SUMIFS(BD!$S$3:$S$5001,BD!$A$3:$A$5001,R$3,BD!$B$3:$B$5001,$A$539)))</f>
        <v/>
      </c>
      <c r="S555" s="275" t="str">
        <f>IF(S$3="","",IF(COUNTIFS(BD!$A$3:$A$5001,S$3,BD!$B$3:$B$5001,$A$539,BD!$S$3:$S$5001,"&lt;&gt;")=0,"",SUMIFS(BD!$S$3:$S$5001,BD!$A$3:$A$5001,S$3,BD!$B$3:$B$5001,$A$539)))</f>
        <v/>
      </c>
      <c r="T555" s="275" t="str">
        <f>IF(T$3="","",IF(COUNTIFS(BD!$A$3:$A$5001,T$3,BD!$B$3:$B$5001,$A$539,BD!$S$3:$S$5001,"&lt;&gt;")=0,"",SUMIFS(BD!$S$3:$S$5001,BD!$A$3:$A$5001,T$3,BD!$B$3:$B$5001,$A$539)))</f>
        <v/>
      </c>
      <c r="U555" s="275" t="str">
        <f>IF(U$3="","",IF(COUNTIFS(BD!$A$3:$A$5001,U$3,BD!$B$3:$B$5001,$A$539,BD!$S$3:$S$5001,"&lt;&gt;")=0,"",SUMIFS(BD!$S$3:$S$5001,BD!$A$3:$A$5001,U$3,BD!$B$3:$B$5001,$A$539)))</f>
        <v/>
      </c>
      <c r="V555" s="275" t="str">
        <f>IF(V$3="","",IF(COUNTIFS(BD!$A$3:$A$5001,V$3,BD!$B$3:$B$5001,$A$539,BD!$S$3:$S$5001,"&lt;&gt;")=0,"",SUMIFS(BD!$S$3:$S$5001,BD!$A$3:$A$5001,V$3,BD!$B$3:$B$5001,$A$539)))</f>
        <v/>
      </c>
      <c r="W555" s="275" t="str">
        <f>IF(W$3="","",IF(COUNTIFS(BD!$A$3:$A$5001,W$3,BD!$B$3:$B$5001,$A$539,BD!$S$3:$S$5001,"&lt;&gt;")=0,"",SUMIFS(BD!$S$3:$S$5001,BD!$A$3:$A$5001,W$3,BD!$B$3:$B$5001,$A$539)))</f>
        <v/>
      </c>
      <c r="X555" s="275" t="str">
        <f>IF(X$3="","",IF(COUNTIFS(BD!$A$3:$A$5001,X$3,BD!$B$3:$B$5001,$A$539,BD!$S$3:$S$5001,"&lt;&gt;")=0,"",SUMIFS(BD!$S$3:$S$5001,BD!$A$3:$A$5001,X$3,BD!$B$3:$B$5001,$A$539)))</f>
        <v/>
      </c>
      <c r="Y555" s="275" t="str">
        <f>IF(Y$3="","",IF(COUNTIFS(BD!$A$3:$A$5001,Y$3,BD!$B$3:$B$5001,$A$539,BD!$S$3:$S$5001,"&lt;&gt;")=0,"",SUMIFS(BD!$S$3:$S$5001,BD!$A$3:$A$5001,Y$3,BD!$B$3:$B$5001,$A$539)))</f>
        <v/>
      </c>
      <c r="Z555" s="275" t="str">
        <f>IF(Z$3="","",IF(COUNTIFS(BD!$A$3:$A$5001,Z$3,BD!$B$3:$B$5001,$A$539,BD!$S$3:$S$5001,"&lt;&gt;")=0,"",SUMIFS(BD!$S$3:$S$5001,BD!$A$3:$A$5001,Z$3,BD!$B$3:$B$5001,$A$539)))</f>
        <v/>
      </c>
      <c r="AA555" s="275" t="str">
        <f>IF(AA$3="","",IF(COUNTIFS(BD!$A$3:$A$5001,AA$3,BD!$B$3:$B$5001,$A$539,BD!$S$3:$S$5001,"&lt;&gt;")=0,"",SUMIFS(BD!$S$3:$S$5001,BD!$A$3:$A$5001,AA$3,BD!$B$3:$B$5001,$A$539)))</f>
        <v/>
      </c>
      <c r="AB555" s="275" t="str">
        <f>IF(AB$3="","",IF(COUNTIFS(BD!$A$3:$A$5001,AB$3,BD!$B$3:$B$5001,$A$539,BD!$S$3:$S$5001,"&lt;&gt;")=0,"",SUMIFS(BD!$S$3:$S$5001,BD!$A$3:$A$5001,AB$3,BD!$B$3:$B$5001,$A$539)))</f>
        <v/>
      </c>
      <c r="AC555" s="275" t="str">
        <f>IF(AC$3="","",IF(COUNTIFS(BD!$A$3:$A$5001,AC$3,BD!$B$3:$B$5001,$A$539,BD!$S$3:$S$5001,"&lt;&gt;")=0,"",SUMIFS(BD!$S$3:$S$5001,BD!$A$3:$A$5001,AC$3,BD!$B$3:$B$5001,$A$539)))</f>
        <v/>
      </c>
      <c r="AD555" s="275" t="str">
        <f>IF(AD$3="","",IF(COUNTIFS(BD!$A$3:$A$5001,AD$3,BD!$B$3:$B$5001,$A$539,BD!$S$3:$S$5001,"&lt;&gt;")=0,"",SUMIFS(BD!$S$3:$S$5001,BD!$A$3:$A$5001,AD$3,BD!$B$3:$B$5001,$A$539)))</f>
        <v/>
      </c>
      <c r="AE555" s="275" t="str">
        <f>IF(AE$3="","",IF(COUNTIFS(BD!$A$3:$A$5001,AE$3,BD!$B$3:$B$5001,$A$539,BD!$S$3:$S$5001,"&lt;&gt;")=0,"",SUMIFS(BD!$S$3:$S$5001,BD!$A$3:$A$5001,AE$3,BD!$B$3:$B$5001,$A$539)))</f>
        <v/>
      </c>
      <c r="AF555" s="275" t="str">
        <f>IF(AF$3="","",IF(COUNTIFS(BD!$A$3:$A$5001,AF$3,BD!$B$3:$B$5001,$A$539,BD!$S$3:$S$5001,"&lt;&gt;")=0,"",SUMIFS(BD!$S$3:$S$5001,BD!$A$3:$A$5001,AF$3,BD!$B$3:$B$5001,$A$539)))</f>
        <v/>
      </c>
      <c r="AG555" s="275" t="str">
        <f>IF(AG$3="","",IF(COUNTIFS(BD!$A$3:$A$5001,AG$3,BD!$B$3:$B$5001,$A$539,BD!$S$3:$S$5001,"&lt;&gt;")=0,"",SUMIFS(BD!$S$3:$S$5001,BD!$A$3:$A$5001,AG$3,BD!$B$3:$B$5001,$A$539)))</f>
        <v/>
      </c>
      <c r="AH555" s="275" t="str">
        <f>IF(AH$3="","",IF(COUNTIFS(BD!$A$3:$A$5001,AH$3,BD!$B$3:$B$5001,$A$539,BD!$S$3:$S$5001,"&lt;&gt;")=0,"",SUMIFS(BD!$S$3:$S$5001,BD!$A$3:$A$5001,AH$3,BD!$B$3:$B$5001,$A$539)))</f>
        <v/>
      </c>
      <c r="AI555" s="275" t="str">
        <f>IF(AI$3="","",IF(COUNTIFS(BD!$A$3:$A$5001,AI$3,BD!$B$3:$B$5001,$A$539,BD!$S$3:$S$5001,"&lt;&gt;")=0,"",SUMIFS(BD!$S$3:$S$5001,BD!$A$3:$A$5001,AI$3,BD!$B$3:$B$5001,$A$539)))</f>
        <v/>
      </c>
      <c r="AJ555" s="276" t="str">
        <f>IF(AJ$3="","",IF(COUNTIFS(BD!$A$3:$A$5001,AJ$3,BD!$B$3:$B$5001,$A$539,BD!$S$3:$S$5001,"&lt;&gt;")=0,"",SUMIFS(BD!$S$3:$S$5001,BD!$A$3:$A$5001,AJ$3,BD!$B$3:$B$5001,$A$539)))</f>
        <v/>
      </c>
      <c r="AK555" s="277" t="str">
        <f>IF(COUNT(F555:AJ555)=0,"",SUM(F555:AJ555))</f>
        <v/>
      </c>
    </row>
    <row r="556" ht="15.75" customHeight="1" hidden="1">
      <c r="A556" s="261"/>
      <c r="B556" s="253" t="inlineStr">
        <is>
          <t xml:space="preserve">NC</t>
        </is>
      </c>
      <c r="C556" s="194" t="inlineStr">
        <is>
          <t xml:space="preserve">Incidentes</t>
        </is>
      </c>
      <c r="D556" s="195" t="str">
        <f>IFERROR(1/(1/INDEX(BD!$AL$40:$BF$40,MATCH($A$539,BD!$AL$22:$BF$22,0))),"")</f>
        <v/>
      </c>
      <c r="E556" s="196"/>
      <c r="F556" s="197" t="str">
        <f>IF(F$3="","",IF(COUNTIFS(BD!$A$3:$A$5001,F$3,BD!$B$3:$B$5001,$A$539,BD!$T$3:$T$5001,"&lt;&gt;")=0,"",SUMIFS(BD!$T$3:$T$5001,BD!$A$3:$A$5001,F$3,BD!$B$3:$B$5001,$A$539)))</f>
        <v/>
      </c>
      <c r="G556" s="198" t="str">
        <f>IF(G$3="","",IF(COUNTIFS(BD!$A$3:$A$5001,G$3,BD!$B$3:$B$5001,$A$539,BD!$T$3:$T$5001,"&lt;&gt;")=0,"",SUMIFS(BD!$T$3:$T$5001,BD!$A$3:$A$5001,G$3,BD!$B$3:$B$5001,$A$539)))</f>
        <v/>
      </c>
      <c r="H556" s="198" t="str">
        <f>IF(H$3="","",IF(COUNTIFS(BD!$A$3:$A$5001,H$3,BD!$B$3:$B$5001,$A$539,BD!$T$3:$T$5001,"&lt;&gt;")=0,"",SUMIFS(BD!$T$3:$T$5001,BD!$A$3:$A$5001,H$3,BD!$B$3:$B$5001,$A$539)))</f>
        <v/>
      </c>
      <c r="I556" s="198" t="str">
        <f>IF(I$3="","",IF(COUNTIFS(BD!$A$3:$A$5001,I$3,BD!$B$3:$B$5001,$A$539,BD!$T$3:$T$5001,"&lt;&gt;")=0,"",SUMIFS(BD!$T$3:$T$5001,BD!$A$3:$A$5001,I$3,BD!$B$3:$B$5001,$A$539)))</f>
        <v/>
      </c>
      <c r="J556" s="198" t="str">
        <f>IF(J$3="","",IF(COUNTIFS(BD!$A$3:$A$5001,J$3,BD!$B$3:$B$5001,$A$539,BD!$T$3:$T$5001,"&lt;&gt;")=0,"",SUMIFS(BD!$T$3:$T$5001,BD!$A$3:$A$5001,J$3,BD!$B$3:$B$5001,$A$539)))</f>
        <v/>
      </c>
      <c r="K556" s="198" t="str">
        <f>IF(K$3="","",IF(COUNTIFS(BD!$A$3:$A$5001,K$3,BD!$B$3:$B$5001,$A$539,BD!$T$3:$T$5001,"&lt;&gt;")=0,"",SUMIFS(BD!$T$3:$T$5001,BD!$A$3:$A$5001,K$3,BD!$B$3:$B$5001,$A$539)))</f>
        <v/>
      </c>
      <c r="L556" s="198" t="str">
        <f>IF(L$3="","",IF(COUNTIFS(BD!$A$3:$A$5001,L$3,BD!$B$3:$B$5001,$A$539,BD!$T$3:$T$5001,"&lt;&gt;")=0,"",SUMIFS(BD!$T$3:$T$5001,BD!$A$3:$A$5001,L$3,BD!$B$3:$B$5001,$A$539)))</f>
        <v/>
      </c>
      <c r="M556" s="198" t="str">
        <f>IF(M$3="","",IF(COUNTIFS(BD!$A$3:$A$5001,M$3,BD!$B$3:$B$5001,$A$539,BD!$T$3:$T$5001,"&lt;&gt;")=0,"",SUMIFS(BD!$T$3:$T$5001,BD!$A$3:$A$5001,M$3,BD!$B$3:$B$5001,$A$539)))</f>
        <v/>
      </c>
      <c r="N556" s="198" t="str">
        <f>IF(N$3="","",IF(COUNTIFS(BD!$A$3:$A$5001,N$3,BD!$B$3:$B$5001,$A$539,BD!$T$3:$T$5001,"&lt;&gt;")=0,"",SUMIFS(BD!$T$3:$T$5001,BD!$A$3:$A$5001,N$3,BD!$B$3:$B$5001,$A$539)))</f>
        <v/>
      </c>
      <c r="O556" s="198" t="str">
        <f>IF(O$3="","",IF(COUNTIFS(BD!$A$3:$A$5001,O$3,BD!$B$3:$B$5001,$A$539,BD!$T$3:$T$5001,"&lt;&gt;")=0,"",SUMIFS(BD!$T$3:$T$5001,BD!$A$3:$A$5001,O$3,BD!$B$3:$B$5001,$A$539)))</f>
        <v/>
      </c>
      <c r="P556" s="198" t="str">
        <f>IF(P$3="","",IF(COUNTIFS(BD!$A$3:$A$5001,P$3,BD!$B$3:$B$5001,$A$539,BD!$T$3:$T$5001,"&lt;&gt;")=0,"",SUMIFS(BD!$T$3:$T$5001,BD!$A$3:$A$5001,P$3,BD!$B$3:$B$5001,$A$539)))</f>
        <v/>
      </c>
      <c r="Q556" s="198" t="str">
        <f>IF(Q$3="","",IF(COUNTIFS(BD!$A$3:$A$5001,Q$3,BD!$B$3:$B$5001,$A$539,BD!$T$3:$T$5001,"&lt;&gt;")=0,"",SUMIFS(BD!$T$3:$T$5001,BD!$A$3:$A$5001,Q$3,BD!$B$3:$B$5001,$A$539)))</f>
        <v/>
      </c>
      <c r="R556" s="198" t="str">
        <f>IF(R$3="","",IF(COUNTIFS(BD!$A$3:$A$5001,R$3,BD!$B$3:$B$5001,$A$539,BD!$T$3:$T$5001,"&lt;&gt;")=0,"",SUMIFS(BD!$T$3:$T$5001,BD!$A$3:$A$5001,R$3,BD!$B$3:$B$5001,$A$539)))</f>
        <v/>
      </c>
      <c r="S556" s="198" t="str">
        <f>IF(S$3="","",IF(COUNTIFS(BD!$A$3:$A$5001,S$3,BD!$B$3:$B$5001,$A$539,BD!$T$3:$T$5001,"&lt;&gt;")=0,"",SUMIFS(BD!$T$3:$T$5001,BD!$A$3:$A$5001,S$3,BD!$B$3:$B$5001,$A$539)))</f>
        <v/>
      </c>
      <c r="T556" s="198" t="str">
        <f>IF(T$3="","",IF(COUNTIFS(BD!$A$3:$A$5001,T$3,BD!$B$3:$B$5001,$A$539,BD!$T$3:$T$5001,"&lt;&gt;")=0,"",SUMIFS(BD!$T$3:$T$5001,BD!$A$3:$A$5001,T$3,BD!$B$3:$B$5001,$A$539)))</f>
        <v/>
      </c>
      <c r="U556" s="198" t="str">
        <f>IF(U$3="","",IF(COUNTIFS(BD!$A$3:$A$5001,U$3,BD!$B$3:$B$5001,$A$539,BD!$T$3:$T$5001,"&lt;&gt;")=0,"",SUMIFS(BD!$T$3:$T$5001,BD!$A$3:$A$5001,U$3,BD!$B$3:$B$5001,$A$539)))</f>
        <v/>
      </c>
      <c r="V556" s="198" t="str">
        <f>IF(V$3="","",IF(COUNTIFS(BD!$A$3:$A$5001,V$3,BD!$B$3:$B$5001,$A$539,BD!$T$3:$T$5001,"&lt;&gt;")=0,"",SUMIFS(BD!$T$3:$T$5001,BD!$A$3:$A$5001,V$3,BD!$B$3:$B$5001,$A$539)))</f>
        <v/>
      </c>
      <c r="W556" s="198" t="str">
        <f>IF(W$3="","",IF(COUNTIFS(BD!$A$3:$A$5001,W$3,BD!$B$3:$B$5001,$A$539,BD!$T$3:$T$5001,"&lt;&gt;")=0,"",SUMIFS(BD!$T$3:$T$5001,BD!$A$3:$A$5001,W$3,BD!$B$3:$B$5001,$A$539)))</f>
        <v/>
      </c>
      <c r="X556" s="198" t="str">
        <f>IF(X$3="","",IF(COUNTIFS(BD!$A$3:$A$5001,X$3,BD!$B$3:$B$5001,$A$539,BD!$T$3:$T$5001,"&lt;&gt;")=0,"",SUMIFS(BD!$T$3:$T$5001,BD!$A$3:$A$5001,X$3,BD!$B$3:$B$5001,$A$539)))</f>
        <v/>
      </c>
      <c r="Y556" s="198" t="str">
        <f>IF(Y$3="","",IF(COUNTIFS(BD!$A$3:$A$5001,Y$3,BD!$B$3:$B$5001,$A$539,BD!$T$3:$T$5001,"&lt;&gt;")=0,"",SUMIFS(BD!$T$3:$T$5001,BD!$A$3:$A$5001,Y$3,BD!$B$3:$B$5001,$A$539)))</f>
        <v/>
      </c>
      <c r="Z556" s="198" t="str">
        <f>IF(Z$3="","",IF(COUNTIFS(BD!$A$3:$A$5001,Z$3,BD!$B$3:$B$5001,$A$539,BD!$T$3:$T$5001,"&lt;&gt;")=0,"",SUMIFS(BD!$T$3:$T$5001,BD!$A$3:$A$5001,Z$3,BD!$B$3:$B$5001,$A$539)))</f>
        <v/>
      </c>
      <c r="AA556" s="198" t="str">
        <f>IF(AA$3="","",IF(COUNTIFS(BD!$A$3:$A$5001,AA$3,BD!$B$3:$B$5001,$A$539,BD!$T$3:$T$5001,"&lt;&gt;")=0,"",SUMIFS(BD!$T$3:$T$5001,BD!$A$3:$A$5001,AA$3,BD!$B$3:$B$5001,$A$539)))</f>
        <v/>
      </c>
      <c r="AB556" s="198" t="str">
        <f>IF(AB$3="","",IF(COUNTIFS(BD!$A$3:$A$5001,AB$3,BD!$B$3:$B$5001,$A$539,BD!$T$3:$T$5001,"&lt;&gt;")=0,"",SUMIFS(BD!$T$3:$T$5001,BD!$A$3:$A$5001,AB$3,BD!$B$3:$B$5001,$A$539)))</f>
        <v/>
      </c>
      <c r="AC556" s="198" t="str">
        <f>IF(AC$3="","",IF(COUNTIFS(BD!$A$3:$A$5001,AC$3,BD!$B$3:$B$5001,$A$539,BD!$T$3:$T$5001,"&lt;&gt;")=0,"",SUMIFS(BD!$T$3:$T$5001,BD!$A$3:$A$5001,AC$3,BD!$B$3:$B$5001,$A$539)))</f>
        <v/>
      </c>
      <c r="AD556" s="198" t="str">
        <f>IF(AD$3="","",IF(COUNTIFS(BD!$A$3:$A$5001,AD$3,BD!$B$3:$B$5001,$A$539,BD!$T$3:$T$5001,"&lt;&gt;")=0,"",SUMIFS(BD!$T$3:$T$5001,BD!$A$3:$A$5001,AD$3,BD!$B$3:$B$5001,$A$539)))</f>
        <v/>
      </c>
      <c r="AE556" s="198" t="str">
        <f>IF(AE$3="","",IF(COUNTIFS(BD!$A$3:$A$5001,AE$3,BD!$B$3:$B$5001,$A$539,BD!$T$3:$T$5001,"&lt;&gt;")=0,"",SUMIFS(BD!$T$3:$T$5001,BD!$A$3:$A$5001,AE$3,BD!$B$3:$B$5001,$A$539)))</f>
        <v/>
      </c>
      <c r="AF556" s="198" t="str">
        <f>IF(AF$3="","",IF(COUNTIFS(BD!$A$3:$A$5001,AF$3,BD!$B$3:$B$5001,$A$539,BD!$T$3:$T$5001,"&lt;&gt;")=0,"",SUMIFS(BD!$T$3:$T$5001,BD!$A$3:$A$5001,AF$3,BD!$B$3:$B$5001,$A$539)))</f>
        <v/>
      </c>
      <c r="AG556" s="198" t="str">
        <f>IF(AG$3="","",IF(COUNTIFS(BD!$A$3:$A$5001,AG$3,BD!$B$3:$B$5001,$A$539,BD!$T$3:$T$5001,"&lt;&gt;")=0,"",SUMIFS(BD!$T$3:$T$5001,BD!$A$3:$A$5001,AG$3,BD!$B$3:$B$5001,$A$539)))</f>
        <v/>
      </c>
      <c r="AH556" s="198" t="str">
        <f>IF(AH$3="","",IF(COUNTIFS(BD!$A$3:$A$5001,AH$3,BD!$B$3:$B$5001,$A$539,BD!$T$3:$T$5001,"&lt;&gt;")=0,"",SUMIFS(BD!$T$3:$T$5001,BD!$A$3:$A$5001,AH$3,BD!$B$3:$B$5001,$A$539)))</f>
        <v/>
      </c>
      <c r="AI556" s="198" t="str">
        <f>IF(AI$3="","",IF(COUNTIFS(BD!$A$3:$A$5001,AI$3,BD!$B$3:$B$5001,$A$539,BD!$T$3:$T$5001,"&lt;&gt;")=0,"",SUMIFS(BD!$T$3:$T$5001,BD!$A$3:$A$5001,AI$3,BD!$B$3:$B$5001,$A$539)))</f>
        <v/>
      </c>
      <c r="AJ556" s="199" t="str">
        <f>IF(AJ$3="","",IF(COUNTIFS(BD!$A$3:$A$5001,AJ$3,BD!$B$3:$B$5001,$A$539,BD!$T$3:$T$5001,"&lt;&gt;")=0,"",SUMIFS(BD!$T$3:$T$5001,BD!$A$3:$A$5001,AJ$3,BD!$B$3:$B$5001,$A$539)))</f>
        <v/>
      </c>
      <c r="AK556" s="200" t="str">
        <f>IF(COUNT(F556:AJ556)=0,"",SUM(F556:AJ556))</f>
        <v/>
      </c>
    </row>
    <row r="557" ht="15.75" customHeight="1" hidden="1">
      <c r="A557" s="261"/>
      <c r="B557" s="254"/>
      <c r="C557" s="201" t="inlineStr">
        <is>
          <t xml:space="preserve">No show</t>
        </is>
      </c>
      <c r="D557" s="202" t="str">
        <f>IFERROR(1/(1/INDEX(BD!$AL$41:$BF$41,MATCH($A$539,BD!$AL$22:$BF$22,0))),"")</f>
        <v/>
      </c>
      <c r="E557" s="203"/>
      <c r="F557" s="204" t="str">
        <f>IF(F$3="","",IF(COUNTIFS(BD!$A$3:$A$5001,F$3,BD!$B$3:$B$5001,$A$539,BD!$U$3:$U$5001,"&lt;&gt;")=0,"",SUMIFS(BD!$U$3:$U$5001,BD!$A$3:$A$5001,F$3,BD!$B$3:$B$5001,$A$539)))</f>
        <v/>
      </c>
      <c r="G557" s="205" t="str">
        <f>IF(G$3="","",IF(COUNTIFS(BD!$A$3:$A$5001,G$3,BD!$B$3:$B$5001,$A$539,BD!$U$3:$U$5001,"&lt;&gt;")=0,"",SUMIFS(BD!$U$3:$U$5001,BD!$A$3:$A$5001,G$3,BD!$B$3:$B$5001,$A$539)))</f>
        <v/>
      </c>
      <c r="H557" s="205" t="str">
        <f>IF(H$3="","",IF(COUNTIFS(BD!$A$3:$A$5001,H$3,BD!$B$3:$B$5001,$A$539,BD!$U$3:$U$5001,"&lt;&gt;")=0,"",SUMIFS(BD!$U$3:$U$5001,BD!$A$3:$A$5001,H$3,BD!$B$3:$B$5001,$A$539)))</f>
        <v/>
      </c>
      <c r="I557" s="205" t="str">
        <f>IF(I$3="","",IF(COUNTIFS(BD!$A$3:$A$5001,I$3,BD!$B$3:$B$5001,$A$539,BD!$U$3:$U$5001,"&lt;&gt;")=0,"",SUMIFS(BD!$U$3:$U$5001,BD!$A$3:$A$5001,I$3,BD!$B$3:$B$5001,$A$539)))</f>
        <v/>
      </c>
      <c r="J557" s="205" t="str">
        <f>IF(J$3="","",IF(COUNTIFS(BD!$A$3:$A$5001,J$3,BD!$B$3:$B$5001,$A$539,BD!$U$3:$U$5001,"&lt;&gt;")=0,"",SUMIFS(BD!$U$3:$U$5001,BD!$A$3:$A$5001,J$3,BD!$B$3:$B$5001,$A$539)))</f>
        <v/>
      </c>
      <c r="K557" s="205" t="str">
        <f>IF(K$3="","",IF(COUNTIFS(BD!$A$3:$A$5001,K$3,BD!$B$3:$B$5001,$A$539,BD!$U$3:$U$5001,"&lt;&gt;")=0,"",SUMIFS(BD!$U$3:$U$5001,BD!$A$3:$A$5001,K$3,BD!$B$3:$B$5001,$A$539)))</f>
        <v/>
      </c>
      <c r="L557" s="205" t="str">
        <f>IF(L$3="","",IF(COUNTIFS(BD!$A$3:$A$5001,L$3,BD!$B$3:$B$5001,$A$539,BD!$U$3:$U$5001,"&lt;&gt;")=0,"",SUMIFS(BD!$U$3:$U$5001,BD!$A$3:$A$5001,L$3,BD!$B$3:$B$5001,$A$539)))</f>
        <v/>
      </c>
      <c r="M557" s="205" t="str">
        <f>IF(M$3="","",IF(COUNTIFS(BD!$A$3:$A$5001,M$3,BD!$B$3:$B$5001,$A$539,BD!$U$3:$U$5001,"&lt;&gt;")=0,"",SUMIFS(BD!$U$3:$U$5001,BD!$A$3:$A$5001,M$3,BD!$B$3:$B$5001,$A$539)))</f>
        <v/>
      </c>
      <c r="N557" s="205" t="str">
        <f>IF(N$3="","",IF(COUNTIFS(BD!$A$3:$A$5001,N$3,BD!$B$3:$B$5001,$A$539,BD!$U$3:$U$5001,"&lt;&gt;")=0,"",SUMIFS(BD!$U$3:$U$5001,BD!$A$3:$A$5001,N$3,BD!$B$3:$B$5001,$A$539)))</f>
        <v/>
      </c>
      <c r="O557" s="205" t="str">
        <f>IF(O$3="","",IF(COUNTIFS(BD!$A$3:$A$5001,O$3,BD!$B$3:$B$5001,$A$539,BD!$U$3:$U$5001,"&lt;&gt;")=0,"",SUMIFS(BD!$U$3:$U$5001,BD!$A$3:$A$5001,O$3,BD!$B$3:$B$5001,$A$539)))</f>
        <v/>
      </c>
      <c r="P557" s="205" t="str">
        <f>IF(P$3="","",IF(COUNTIFS(BD!$A$3:$A$5001,P$3,BD!$B$3:$B$5001,$A$539,BD!$U$3:$U$5001,"&lt;&gt;")=0,"",SUMIFS(BD!$U$3:$U$5001,BD!$A$3:$A$5001,P$3,BD!$B$3:$B$5001,$A$539)))</f>
        <v/>
      </c>
      <c r="Q557" s="205" t="str">
        <f>IF(Q$3="","",IF(COUNTIFS(BD!$A$3:$A$5001,Q$3,BD!$B$3:$B$5001,$A$539,BD!$U$3:$U$5001,"&lt;&gt;")=0,"",SUMIFS(BD!$U$3:$U$5001,BD!$A$3:$A$5001,Q$3,BD!$B$3:$B$5001,$A$539)))</f>
        <v/>
      </c>
      <c r="R557" s="205" t="str">
        <f>IF(R$3="","",IF(COUNTIFS(BD!$A$3:$A$5001,R$3,BD!$B$3:$B$5001,$A$539,BD!$U$3:$U$5001,"&lt;&gt;")=0,"",SUMIFS(BD!$U$3:$U$5001,BD!$A$3:$A$5001,R$3,BD!$B$3:$B$5001,$A$539)))</f>
        <v/>
      </c>
      <c r="S557" s="205" t="str">
        <f>IF(S$3="","",IF(COUNTIFS(BD!$A$3:$A$5001,S$3,BD!$B$3:$B$5001,$A$539,BD!$U$3:$U$5001,"&lt;&gt;")=0,"",SUMIFS(BD!$U$3:$U$5001,BD!$A$3:$A$5001,S$3,BD!$B$3:$B$5001,$A$539)))</f>
        <v/>
      </c>
      <c r="T557" s="205" t="str">
        <f>IF(T$3="","",IF(COUNTIFS(BD!$A$3:$A$5001,T$3,BD!$B$3:$B$5001,$A$539,BD!$U$3:$U$5001,"&lt;&gt;")=0,"",SUMIFS(BD!$U$3:$U$5001,BD!$A$3:$A$5001,T$3,BD!$B$3:$B$5001,$A$539)))</f>
        <v/>
      </c>
      <c r="U557" s="205" t="str">
        <f>IF(U$3="","",IF(COUNTIFS(BD!$A$3:$A$5001,U$3,BD!$B$3:$B$5001,$A$539,BD!$U$3:$U$5001,"&lt;&gt;")=0,"",SUMIFS(BD!$U$3:$U$5001,BD!$A$3:$A$5001,U$3,BD!$B$3:$B$5001,$A$539)))</f>
        <v/>
      </c>
      <c r="V557" s="205" t="str">
        <f>IF(V$3="","",IF(COUNTIFS(BD!$A$3:$A$5001,V$3,BD!$B$3:$B$5001,$A$539,BD!$U$3:$U$5001,"&lt;&gt;")=0,"",SUMIFS(BD!$U$3:$U$5001,BD!$A$3:$A$5001,V$3,BD!$B$3:$B$5001,$A$539)))</f>
        <v/>
      </c>
      <c r="W557" s="205" t="str">
        <f>IF(W$3="","",IF(COUNTIFS(BD!$A$3:$A$5001,W$3,BD!$B$3:$B$5001,$A$539,BD!$U$3:$U$5001,"&lt;&gt;")=0,"",SUMIFS(BD!$U$3:$U$5001,BD!$A$3:$A$5001,W$3,BD!$B$3:$B$5001,$A$539)))</f>
        <v/>
      </c>
      <c r="X557" s="205" t="str">
        <f>IF(X$3="","",IF(COUNTIFS(BD!$A$3:$A$5001,X$3,BD!$B$3:$B$5001,$A$539,BD!$U$3:$U$5001,"&lt;&gt;")=0,"",SUMIFS(BD!$U$3:$U$5001,BD!$A$3:$A$5001,X$3,BD!$B$3:$B$5001,$A$539)))</f>
        <v/>
      </c>
      <c r="Y557" s="205" t="str">
        <f>IF(Y$3="","",IF(COUNTIFS(BD!$A$3:$A$5001,Y$3,BD!$B$3:$B$5001,$A$539,BD!$U$3:$U$5001,"&lt;&gt;")=0,"",SUMIFS(BD!$U$3:$U$5001,BD!$A$3:$A$5001,Y$3,BD!$B$3:$B$5001,$A$539)))</f>
        <v/>
      </c>
      <c r="Z557" s="205" t="str">
        <f>IF(Z$3="","",IF(COUNTIFS(BD!$A$3:$A$5001,Z$3,BD!$B$3:$B$5001,$A$539,BD!$U$3:$U$5001,"&lt;&gt;")=0,"",SUMIFS(BD!$U$3:$U$5001,BD!$A$3:$A$5001,Z$3,BD!$B$3:$B$5001,$A$539)))</f>
        <v/>
      </c>
      <c r="AA557" s="205" t="str">
        <f>IF(AA$3="","",IF(COUNTIFS(BD!$A$3:$A$5001,AA$3,BD!$B$3:$B$5001,$A$539,BD!$U$3:$U$5001,"&lt;&gt;")=0,"",SUMIFS(BD!$U$3:$U$5001,BD!$A$3:$A$5001,AA$3,BD!$B$3:$B$5001,$A$539)))</f>
        <v/>
      </c>
      <c r="AB557" s="205" t="str">
        <f>IF(AB$3="","",IF(COUNTIFS(BD!$A$3:$A$5001,AB$3,BD!$B$3:$B$5001,$A$539,BD!$U$3:$U$5001,"&lt;&gt;")=0,"",SUMIFS(BD!$U$3:$U$5001,BD!$A$3:$A$5001,AB$3,BD!$B$3:$B$5001,$A$539)))</f>
        <v/>
      </c>
      <c r="AC557" s="205" t="str">
        <f>IF(AC$3="","",IF(COUNTIFS(BD!$A$3:$A$5001,AC$3,BD!$B$3:$B$5001,$A$539,BD!$U$3:$U$5001,"&lt;&gt;")=0,"",SUMIFS(BD!$U$3:$U$5001,BD!$A$3:$A$5001,AC$3,BD!$B$3:$B$5001,$A$539)))</f>
        <v/>
      </c>
      <c r="AD557" s="205" t="str">
        <f>IF(AD$3="","",IF(COUNTIFS(BD!$A$3:$A$5001,AD$3,BD!$B$3:$B$5001,$A$539,BD!$U$3:$U$5001,"&lt;&gt;")=0,"",SUMIFS(BD!$U$3:$U$5001,BD!$A$3:$A$5001,AD$3,BD!$B$3:$B$5001,$A$539)))</f>
        <v/>
      </c>
      <c r="AE557" s="205" t="str">
        <f>IF(AE$3="","",IF(COUNTIFS(BD!$A$3:$A$5001,AE$3,BD!$B$3:$B$5001,$A$539,BD!$U$3:$U$5001,"&lt;&gt;")=0,"",SUMIFS(BD!$U$3:$U$5001,BD!$A$3:$A$5001,AE$3,BD!$B$3:$B$5001,$A$539)))</f>
        <v/>
      </c>
      <c r="AF557" s="205" t="str">
        <f>IF(AF$3="","",IF(COUNTIFS(BD!$A$3:$A$5001,AF$3,BD!$B$3:$B$5001,$A$539,BD!$U$3:$U$5001,"&lt;&gt;")=0,"",SUMIFS(BD!$U$3:$U$5001,BD!$A$3:$A$5001,AF$3,BD!$B$3:$B$5001,$A$539)))</f>
        <v/>
      </c>
      <c r="AG557" s="205" t="str">
        <f>IF(AG$3="","",IF(COUNTIFS(BD!$A$3:$A$5001,AG$3,BD!$B$3:$B$5001,$A$539,BD!$U$3:$U$5001,"&lt;&gt;")=0,"",SUMIFS(BD!$U$3:$U$5001,BD!$A$3:$A$5001,AG$3,BD!$B$3:$B$5001,$A$539)))</f>
        <v/>
      </c>
      <c r="AH557" s="205" t="str">
        <f>IF(AH$3="","",IF(COUNTIFS(BD!$A$3:$A$5001,AH$3,BD!$B$3:$B$5001,$A$539,BD!$U$3:$U$5001,"&lt;&gt;")=0,"",SUMIFS(BD!$U$3:$U$5001,BD!$A$3:$A$5001,AH$3,BD!$B$3:$B$5001,$A$539)))</f>
        <v/>
      </c>
      <c r="AI557" s="205" t="str">
        <f>IF(AI$3="","",IF(COUNTIFS(BD!$A$3:$A$5001,AI$3,BD!$B$3:$B$5001,$A$539,BD!$U$3:$U$5001,"&lt;&gt;")=0,"",SUMIFS(BD!$U$3:$U$5001,BD!$A$3:$A$5001,AI$3,BD!$B$3:$B$5001,$A$539)))</f>
        <v/>
      </c>
      <c r="AJ557" s="206" t="str">
        <f>IF(AJ$3="","",IF(COUNTIFS(BD!$A$3:$A$5001,AJ$3,BD!$B$3:$B$5001,$A$539,BD!$U$3:$U$5001,"&lt;&gt;")=0,"",SUMIFS(BD!$U$3:$U$5001,BD!$A$3:$A$5001,AJ$3,BD!$B$3:$B$5001,$A$539)))</f>
        <v/>
      </c>
      <c r="AK557" s="207" t="str">
        <f>IF(COUNT(F557:AJ557)=0,"",SUM(F557:AJ557))</f>
        <v/>
      </c>
    </row>
    <row r="558" ht="15.75" customHeight="1" hidden="1">
      <c r="A558" s="261"/>
      <c r="B558" s="254"/>
      <c r="C558" s="201" t="inlineStr">
        <is>
          <t xml:space="preserve">Backlog Intralog</t>
        </is>
      </c>
      <c r="D558" s="202" t="str">
        <f>IFERROR(1/(1/INDEX(BD!$AL$42:$BF$42,MATCH($A$539,BD!$AL$22:$BF$22,0))),"")</f>
        <v/>
      </c>
      <c r="E558" s="203"/>
      <c r="F558" s="204" t="str">
        <f>IF(F$3="","",IF(COUNTIFS(BD!$A$3:$A$5001,F$3,BD!$B$3:$B$5001,$A$539,BD!$V$3:$V$5001,"&lt;&gt;")=0,"",SUMIFS(BD!$V$3:$V$5001,BD!$A$3:$A$5001,F$3,BD!$B$3:$B$5001,$A$539)))</f>
        <v/>
      </c>
      <c r="G558" s="205" t="str">
        <f>IF(G$3="","",IF(COUNTIFS(BD!$A$3:$A$5001,G$3,BD!$B$3:$B$5001,$A$539,BD!$V$3:$V$5001,"&lt;&gt;")=0,"",SUMIFS(BD!$V$3:$V$5001,BD!$A$3:$A$5001,G$3,BD!$B$3:$B$5001,$A$539)))</f>
        <v/>
      </c>
      <c r="H558" s="205" t="str">
        <f>IF(H$3="","",IF(COUNTIFS(BD!$A$3:$A$5001,H$3,BD!$B$3:$B$5001,$A$539,BD!$V$3:$V$5001,"&lt;&gt;")=0,"",SUMIFS(BD!$V$3:$V$5001,BD!$A$3:$A$5001,H$3,BD!$B$3:$B$5001,$A$539)))</f>
        <v/>
      </c>
      <c r="I558" s="205" t="str">
        <f>IF(I$3="","",IF(COUNTIFS(BD!$A$3:$A$5001,I$3,BD!$B$3:$B$5001,$A$539,BD!$V$3:$V$5001,"&lt;&gt;")=0,"",SUMIFS(BD!$V$3:$V$5001,BD!$A$3:$A$5001,I$3,BD!$B$3:$B$5001,$A$539)))</f>
        <v/>
      </c>
      <c r="J558" s="205" t="str">
        <f>IF(J$3="","",IF(COUNTIFS(BD!$A$3:$A$5001,J$3,BD!$B$3:$B$5001,$A$539,BD!$V$3:$V$5001,"&lt;&gt;")=0,"",SUMIFS(BD!$V$3:$V$5001,BD!$A$3:$A$5001,J$3,BD!$B$3:$B$5001,$A$539)))</f>
        <v/>
      </c>
      <c r="K558" s="205" t="str">
        <f>IF(K$3="","",IF(COUNTIFS(BD!$A$3:$A$5001,K$3,BD!$B$3:$B$5001,$A$539,BD!$V$3:$V$5001,"&lt;&gt;")=0,"",SUMIFS(BD!$V$3:$V$5001,BD!$A$3:$A$5001,K$3,BD!$B$3:$B$5001,$A$539)))</f>
        <v/>
      </c>
      <c r="L558" s="205" t="str">
        <f>IF(L$3="","",IF(COUNTIFS(BD!$A$3:$A$5001,L$3,BD!$B$3:$B$5001,$A$539,BD!$V$3:$V$5001,"&lt;&gt;")=0,"",SUMIFS(BD!$V$3:$V$5001,BD!$A$3:$A$5001,L$3,BD!$B$3:$B$5001,$A$539)))</f>
        <v/>
      </c>
      <c r="M558" s="205" t="str">
        <f>IF(M$3="","",IF(COUNTIFS(BD!$A$3:$A$5001,M$3,BD!$B$3:$B$5001,$A$539,BD!$V$3:$V$5001,"&lt;&gt;")=0,"",SUMIFS(BD!$V$3:$V$5001,BD!$A$3:$A$5001,M$3,BD!$B$3:$B$5001,$A$539)))</f>
        <v/>
      </c>
      <c r="N558" s="205" t="str">
        <f>IF(N$3="","",IF(COUNTIFS(BD!$A$3:$A$5001,N$3,BD!$B$3:$B$5001,$A$539,BD!$V$3:$V$5001,"&lt;&gt;")=0,"",SUMIFS(BD!$V$3:$V$5001,BD!$A$3:$A$5001,N$3,BD!$B$3:$B$5001,$A$539)))</f>
        <v/>
      </c>
      <c r="O558" s="205" t="str">
        <f>IF(O$3="","",IF(COUNTIFS(BD!$A$3:$A$5001,O$3,BD!$B$3:$B$5001,$A$539,BD!$V$3:$V$5001,"&lt;&gt;")=0,"",SUMIFS(BD!$V$3:$V$5001,BD!$A$3:$A$5001,O$3,BD!$B$3:$B$5001,$A$539)))</f>
        <v/>
      </c>
      <c r="P558" s="205" t="str">
        <f>IF(P$3="","",IF(COUNTIFS(BD!$A$3:$A$5001,P$3,BD!$B$3:$B$5001,$A$539,BD!$V$3:$V$5001,"&lt;&gt;")=0,"",SUMIFS(BD!$V$3:$V$5001,BD!$A$3:$A$5001,P$3,BD!$B$3:$B$5001,$A$539)))</f>
        <v/>
      </c>
      <c r="Q558" s="205" t="str">
        <f>IF(Q$3="","",IF(COUNTIFS(BD!$A$3:$A$5001,Q$3,BD!$B$3:$B$5001,$A$539,BD!$V$3:$V$5001,"&lt;&gt;")=0,"",SUMIFS(BD!$V$3:$V$5001,BD!$A$3:$A$5001,Q$3,BD!$B$3:$B$5001,$A$539)))</f>
        <v/>
      </c>
      <c r="R558" s="205" t="str">
        <f>IF(R$3="","",IF(COUNTIFS(BD!$A$3:$A$5001,R$3,BD!$B$3:$B$5001,$A$539,BD!$V$3:$V$5001,"&lt;&gt;")=0,"",SUMIFS(BD!$V$3:$V$5001,BD!$A$3:$A$5001,R$3,BD!$B$3:$B$5001,$A$539)))</f>
        <v/>
      </c>
      <c r="S558" s="205" t="str">
        <f>IF(S$3="","",IF(COUNTIFS(BD!$A$3:$A$5001,S$3,BD!$B$3:$B$5001,$A$539,BD!$V$3:$V$5001,"&lt;&gt;")=0,"",SUMIFS(BD!$V$3:$V$5001,BD!$A$3:$A$5001,S$3,BD!$B$3:$B$5001,$A$539)))</f>
        <v/>
      </c>
      <c r="T558" s="205" t="str">
        <f>IF(T$3="","",IF(COUNTIFS(BD!$A$3:$A$5001,T$3,BD!$B$3:$B$5001,$A$539,BD!$V$3:$V$5001,"&lt;&gt;")=0,"",SUMIFS(BD!$V$3:$V$5001,BD!$A$3:$A$5001,T$3,BD!$B$3:$B$5001,$A$539)))</f>
        <v/>
      </c>
      <c r="U558" s="205" t="str">
        <f>IF(U$3="","",IF(COUNTIFS(BD!$A$3:$A$5001,U$3,BD!$B$3:$B$5001,$A$539,BD!$V$3:$V$5001,"&lt;&gt;")=0,"",SUMIFS(BD!$V$3:$V$5001,BD!$A$3:$A$5001,U$3,BD!$B$3:$B$5001,$A$539)))</f>
        <v/>
      </c>
      <c r="V558" s="205" t="str">
        <f>IF(V$3="","",IF(COUNTIFS(BD!$A$3:$A$5001,V$3,BD!$B$3:$B$5001,$A$539,BD!$V$3:$V$5001,"&lt;&gt;")=0,"",SUMIFS(BD!$V$3:$V$5001,BD!$A$3:$A$5001,V$3,BD!$B$3:$B$5001,$A$539)))</f>
        <v/>
      </c>
      <c r="W558" s="205" t="str">
        <f>IF(W$3="","",IF(COUNTIFS(BD!$A$3:$A$5001,W$3,BD!$B$3:$B$5001,$A$539,BD!$V$3:$V$5001,"&lt;&gt;")=0,"",SUMIFS(BD!$V$3:$V$5001,BD!$A$3:$A$5001,W$3,BD!$B$3:$B$5001,$A$539)))</f>
        <v/>
      </c>
      <c r="X558" s="205" t="str">
        <f>IF(X$3="","",IF(COUNTIFS(BD!$A$3:$A$5001,X$3,BD!$B$3:$B$5001,$A$539,BD!$V$3:$V$5001,"&lt;&gt;")=0,"",SUMIFS(BD!$V$3:$V$5001,BD!$A$3:$A$5001,X$3,BD!$B$3:$B$5001,$A$539)))</f>
        <v/>
      </c>
      <c r="Y558" s="205" t="str">
        <f>IF(Y$3="","",IF(COUNTIFS(BD!$A$3:$A$5001,Y$3,BD!$B$3:$B$5001,$A$539,BD!$V$3:$V$5001,"&lt;&gt;")=0,"",SUMIFS(BD!$V$3:$V$5001,BD!$A$3:$A$5001,Y$3,BD!$B$3:$B$5001,$A$539)))</f>
        <v/>
      </c>
      <c r="Z558" s="205" t="str">
        <f>IF(Z$3="","",IF(COUNTIFS(BD!$A$3:$A$5001,Z$3,BD!$B$3:$B$5001,$A$539,BD!$V$3:$V$5001,"&lt;&gt;")=0,"",SUMIFS(BD!$V$3:$V$5001,BD!$A$3:$A$5001,Z$3,BD!$B$3:$B$5001,$A$539)))</f>
        <v/>
      </c>
      <c r="AA558" s="205" t="str">
        <f>IF(AA$3="","",IF(COUNTIFS(BD!$A$3:$A$5001,AA$3,BD!$B$3:$B$5001,$A$539,BD!$V$3:$V$5001,"&lt;&gt;")=0,"",SUMIFS(BD!$V$3:$V$5001,BD!$A$3:$A$5001,AA$3,BD!$B$3:$B$5001,$A$539)))</f>
        <v/>
      </c>
      <c r="AB558" s="205" t="str">
        <f>IF(AB$3="","",IF(COUNTIFS(BD!$A$3:$A$5001,AB$3,BD!$B$3:$B$5001,$A$539,BD!$V$3:$V$5001,"&lt;&gt;")=0,"",SUMIFS(BD!$V$3:$V$5001,BD!$A$3:$A$5001,AB$3,BD!$B$3:$B$5001,$A$539)))</f>
        <v/>
      </c>
      <c r="AC558" s="205" t="str">
        <f>IF(AC$3="","",IF(COUNTIFS(BD!$A$3:$A$5001,AC$3,BD!$B$3:$B$5001,$A$539,BD!$V$3:$V$5001,"&lt;&gt;")=0,"",SUMIFS(BD!$V$3:$V$5001,BD!$A$3:$A$5001,AC$3,BD!$B$3:$B$5001,$A$539)))</f>
        <v/>
      </c>
      <c r="AD558" s="205" t="str">
        <f>IF(AD$3="","",IF(COUNTIFS(BD!$A$3:$A$5001,AD$3,BD!$B$3:$B$5001,$A$539,BD!$V$3:$V$5001,"&lt;&gt;")=0,"",SUMIFS(BD!$V$3:$V$5001,BD!$A$3:$A$5001,AD$3,BD!$B$3:$B$5001,$A$539)))</f>
        <v/>
      </c>
      <c r="AE558" s="205" t="str">
        <f>IF(AE$3="","",IF(COUNTIFS(BD!$A$3:$A$5001,AE$3,BD!$B$3:$B$5001,$A$539,BD!$V$3:$V$5001,"&lt;&gt;")=0,"",SUMIFS(BD!$V$3:$V$5001,BD!$A$3:$A$5001,AE$3,BD!$B$3:$B$5001,$A$539)))</f>
        <v/>
      </c>
      <c r="AF558" s="205" t="str">
        <f>IF(AF$3="","",IF(COUNTIFS(BD!$A$3:$A$5001,AF$3,BD!$B$3:$B$5001,$A$539,BD!$V$3:$V$5001,"&lt;&gt;")=0,"",SUMIFS(BD!$V$3:$V$5001,BD!$A$3:$A$5001,AF$3,BD!$B$3:$B$5001,$A$539)))</f>
        <v/>
      </c>
      <c r="AG558" s="205" t="str">
        <f>IF(AG$3="","",IF(COUNTIFS(BD!$A$3:$A$5001,AG$3,BD!$B$3:$B$5001,$A$539,BD!$V$3:$V$5001,"&lt;&gt;")=0,"",SUMIFS(BD!$V$3:$V$5001,BD!$A$3:$A$5001,AG$3,BD!$B$3:$B$5001,$A$539)))</f>
        <v/>
      </c>
      <c r="AH558" s="205" t="str">
        <f>IF(AH$3="","",IF(COUNTIFS(BD!$A$3:$A$5001,AH$3,BD!$B$3:$B$5001,$A$539,BD!$V$3:$V$5001,"&lt;&gt;")=0,"",SUMIFS(BD!$V$3:$V$5001,BD!$A$3:$A$5001,AH$3,BD!$B$3:$B$5001,$A$539)))</f>
        <v/>
      </c>
      <c r="AI558" s="205" t="str">
        <f>IF(AI$3="","",IF(COUNTIFS(BD!$A$3:$A$5001,AI$3,BD!$B$3:$B$5001,$A$539,BD!$V$3:$V$5001,"&lt;&gt;")=0,"",SUMIFS(BD!$V$3:$V$5001,BD!$A$3:$A$5001,AI$3,BD!$B$3:$B$5001,$A$539)))</f>
        <v/>
      </c>
      <c r="AJ558" s="206" t="str">
        <f>IF(AJ$3="","",IF(COUNTIFS(BD!$A$3:$A$5001,AJ$3,BD!$B$3:$B$5001,$A$539,BD!$V$3:$V$5001,"&lt;&gt;")=0,"",SUMIFS(BD!$V$3:$V$5001,BD!$A$3:$A$5001,AJ$3,BD!$B$3:$B$5001,$A$539)))</f>
        <v/>
      </c>
      <c r="AK558" s="207" t="str">
        <f>IFERROR(LOOKUP(9.99E+307,F558:AJ558),"")</f>
        <v/>
      </c>
    </row>
    <row r="559" ht="15.75" customHeight="1" hidden="1">
      <c r="A559" s="261"/>
      <c r="B559" s="255"/>
      <c r="C559" s="208" t="inlineStr">
        <is>
          <t xml:space="preserve">Backlog Cliente</t>
        </is>
      </c>
      <c r="D559" s="209" t="str">
        <f>IFERROR(1/(1/INDEX(BD!$AL$43:$BF$43,MATCH($A$539,BD!$AL$22:$BF$22,0))),"")</f>
        <v/>
      </c>
      <c r="E559" s="210"/>
      <c r="F559" s="211" t="str">
        <f>IF(F$3="","",IF(COUNTIFS(BD!$A$3:$A$5001,F$3,BD!$B$3:$B$5001,$A$539,BD!$W$3:$W$5001,"&lt;&gt;")=0,"",SUMIFS(BD!$W$3:$W$5001,BD!$A$3:$A$5001,F$3,BD!$B$3:$B$5001,$A$539)))</f>
        <v/>
      </c>
      <c r="G559" s="212" t="str">
        <f>IF(G$3="","",IF(COUNTIFS(BD!$A$3:$A$5001,G$3,BD!$B$3:$B$5001,$A$539,BD!$W$3:$W$5001,"&lt;&gt;")=0,"",SUMIFS(BD!$W$3:$W$5001,BD!$A$3:$A$5001,G$3,BD!$B$3:$B$5001,$A$539)))</f>
        <v/>
      </c>
      <c r="H559" s="212" t="str">
        <f>IF(H$3="","",IF(COUNTIFS(BD!$A$3:$A$5001,H$3,BD!$B$3:$B$5001,$A$539,BD!$W$3:$W$5001,"&lt;&gt;")=0,"",SUMIFS(BD!$W$3:$W$5001,BD!$A$3:$A$5001,H$3,BD!$B$3:$B$5001,$A$539)))</f>
        <v/>
      </c>
      <c r="I559" s="212" t="str">
        <f>IF(I$3="","",IF(COUNTIFS(BD!$A$3:$A$5001,I$3,BD!$B$3:$B$5001,$A$539,BD!$W$3:$W$5001,"&lt;&gt;")=0,"",SUMIFS(BD!$W$3:$W$5001,BD!$A$3:$A$5001,I$3,BD!$B$3:$B$5001,$A$539)))</f>
        <v/>
      </c>
      <c r="J559" s="212" t="str">
        <f>IF(J$3="","",IF(COUNTIFS(BD!$A$3:$A$5001,J$3,BD!$B$3:$B$5001,$A$539,BD!$W$3:$W$5001,"&lt;&gt;")=0,"",SUMIFS(BD!$W$3:$W$5001,BD!$A$3:$A$5001,J$3,BD!$B$3:$B$5001,$A$539)))</f>
        <v/>
      </c>
      <c r="K559" s="212" t="str">
        <f>IF(K$3="","",IF(COUNTIFS(BD!$A$3:$A$5001,K$3,BD!$B$3:$B$5001,$A$539,BD!$W$3:$W$5001,"&lt;&gt;")=0,"",SUMIFS(BD!$W$3:$W$5001,BD!$A$3:$A$5001,K$3,BD!$B$3:$B$5001,$A$539)))</f>
        <v/>
      </c>
      <c r="L559" s="212" t="str">
        <f>IF(L$3="","",IF(COUNTIFS(BD!$A$3:$A$5001,L$3,BD!$B$3:$B$5001,$A$539,BD!$W$3:$W$5001,"&lt;&gt;")=0,"",SUMIFS(BD!$W$3:$W$5001,BD!$A$3:$A$5001,L$3,BD!$B$3:$B$5001,$A$539)))</f>
        <v/>
      </c>
      <c r="M559" s="212" t="str">
        <f>IF(M$3="","",IF(COUNTIFS(BD!$A$3:$A$5001,M$3,BD!$B$3:$B$5001,$A$539,BD!$W$3:$W$5001,"&lt;&gt;")=0,"",SUMIFS(BD!$W$3:$W$5001,BD!$A$3:$A$5001,M$3,BD!$B$3:$B$5001,$A$539)))</f>
        <v/>
      </c>
      <c r="N559" s="212" t="str">
        <f>IF(N$3="","",IF(COUNTIFS(BD!$A$3:$A$5001,N$3,BD!$B$3:$B$5001,$A$539,BD!$W$3:$W$5001,"&lt;&gt;")=0,"",SUMIFS(BD!$W$3:$W$5001,BD!$A$3:$A$5001,N$3,BD!$B$3:$B$5001,$A$539)))</f>
        <v/>
      </c>
      <c r="O559" s="212" t="str">
        <f>IF(O$3="","",IF(COUNTIFS(BD!$A$3:$A$5001,O$3,BD!$B$3:$B$5001,$A$539,BD!$W$3:$W$5001,"&lt;&gt;")=0,"",SUMIFS(BD!$W$3:$W$5001,BD!$A$3:$A$5001,O$3,BD!$B$3:$B$5001,$A$539)))</f>
        <v/>
      </c>
      <c r="P559" s="212" t="str">
        <f>IF(P$3="","",IF(COUNTIFS(BD!$A$3:$A$5001,P$3,BD!$B$3:$B$5001,$A$539,BD!$W$3:$W$5001,"&lt;&gt;")=0,"",SUMIFS(BD!$W$3:$W$5001,BD!$A$3:$A$5001,P$3,BD!$B$3:$B$5001,$A$539)))</f>
        <v/>
      </c>
      <c r="Q559" s="212" t="str">
        <f>IF(Q$3="","",IF(COUNTIFS(BD!$A$3:$A$5001,Q$3,BD!$B$3:$B$5001,$A$539,BD!$W$3:$W$5001,"&lt;&gt;")=0,"",SUMIFS(BD!$W$3:$W$5001,BD!$A$3:$A$5001,Q$3,BD!$B$3:$B$5001,$A$539)))</f>
        <v/>
      </c>
      <c r="R559" s="212" t="str">
        <f>IF(R$3="","",IF(COUNTIFS(BD!$A$3:$A$5001,R$3,BD!$B$3:$B$5001,$A$539,BD!$W$3:$W$5001,"&lt;&gt;")=0,"",SUMIFS(BD!$W$3:$W$5001,BD!$A$3:$A$5001,R$3,BD!$B$3:$B$5001,$A$539)))</f>
        <v/>
      </c>
      <c r="S559" s="212" t="str">
        <f>IF(S$3="","",IF(COUNTIFS(BD!$A$3:$A$5001,S$3,BD!$B$3:$B$5001,$A$539,BD!$W$3:$W$5001,"&lt;&gt;")=0,"",SUMIFS(BD!$W$3:$W$5001,BD!$A$3:$A$5001,S$3,BD!$B$3:$B$5001,$A$539)))</f>
        <v/>
      </c>
      <c r="T559" s="212" t="str">
        <f>IF(T$3="","",IF(COUNTIFS(BD!$A$3:$A$5001,T$3,BD!$B$3:$B$5001,$A$539,BD!$W$3:$W$5001,"&lt;&gt;")=0,"",SUMIFS(BD!$W$3:$W$5001,BD!$A$3:$A$5001,T$3,BD!$B$3:$B$5001,$A$539)))</f>
        <v/>
      </c>
      <c r="U559" s="212" t="str">
        <f>IF(U$3="","",IF(COUNTIFS(BD!$A$3:$A$5001,U$3,BD!$B$3:$B$5001,$A$539,BD!$W$3:$W$5001,"&lt;&gt;")=0,"",SUMIFS(BD!$W$3:$W$5001,BD!$A$3:$A$5001,U$3,BD!$B$3:$B$5001,$A$539)))</f>
        <v/>
      </c>
      <c r="V559" s="212" t="str">
        <f>IF(V$3="","",IF(COUNTIFS(BD!$A$3:$A$5001,V$3,BD!$B$3:$B$5001,$A$539,BD!$W$3:$W$5001,"&lt;&gt;")=0,"",SUMIFS(BD!$W$3:$W$5001,BD!$A$3:$A$5001,V$3,BD!$B$3:$B$5001,$A$539)))</f>
        <v/>
      </c>
      <c r="W559" s="212" t="str">
        <f>IF(W$3="","",IF(COUNTIFS(BD!$A$3:$A$5001,W$3,BD!$B$3:$B$5001,$A$539,BD!$W$3:$W$5001,"&lt;&gt;")=0,"",SUMIFS(BD!$W$3:$W$5001,BD!$A$3:$A$5001,W$3,BD!$B$3:$B$5001,$A$539)))</f>
        <v/>
      </c>
      <c r="X559" s="212" t="str">
        <f>IF(X$3="","",IF(COUNTIFS(BD!$A$3:$A$5001,X$3,BD!$B$3:$B$5001,$A$539,BD!$W$3:$W$5001,"&lt;&gt;")=0,"",SUMIFS(BD!$W$3:$W$5001,BD!$A$3:$A$5001,X$3,BD!$B$3:$B$5001,$A$539)))</f>
        <v/>
      </c>
      <c r="Y559" s="212" t="str">
        <f>IF(Y$3="","",IF(COUNTIFS(BD!$A$3:$A$5001,Y$3,BD!$B$3:$B$5001,$A$539,BD!$W$3:$W$5001,"&lt;&gt;")=0,"",SUMIFS(BD!$W$3:$W$5001,BD!$A$3:$A$5001,Y$3,BD!$B$3:$B$5001,$A$539)))</f>
        <v/>
      </c>
      <c r="Z559" s="212" t="str">
        <f>IF(Z$3="","",IF(COUNTIFS(BD!$A$3:$A$5001,Z$3,BD!$B$3:$B$5001,$A$539,BD!$W$3:$W$5001,"&lt;&gt;")=0,"",SUMIFS(BD!$W$3:$W$5001,BD!$A$3:$A$5001,Z$3,BD!$B$3:$B$5001,$A$539)))</f>
        <v/>
      </c>
      <c r="AA559" s="212" t="str">
        <f>IF(AA$3="","",IF(COUNTIFS(BD!$A$3:$A$5001,AA$3,BD!$B$3:$B$5001,$A$539,BD!$W$3:$W$5001,"&lt;&gt;")=0,"",SUMIFS(BD!$W$3:$W$5001,BD!$A$3:$A$5001,AA$3,BD!$B$3:$B$5001,$A$539)))</f>
        <v/>
      </c>
      <c r="AB559" s="212" t="str">
        <f>IF(AB$3="","",IF(COUNTIFS(BD!$A$3:$A$5001,AB$3,BD!$B$3:$B$5001,$A$539,BD!$W$3:$W$5001,"&lt;&gt;")=0,"",SUMIFS(BD!$W$3:$W$5001,BD!$A$3:$A$5001,AB$3,BD!$B$3:$B$5001,$A$539)))</f>
        <v/>
      </c>
      <c r="AC559" s="212" t="str">
        <f>IF(AC$3="","",IF(COUNTIFS(BD!$A$3:$A$5001,AC$3,BD!$B$3:$B$5001,$A$539,BD!$W$3:$W$5001,"&lt;&gt;")=0,"",SUMIFS(BD!$W$3:$W$5001,BD!$A$3:$A$5001,AC$3,BD!$B$3:$B$5001,$A$539)))</f>
        <v/>
      </c>
      <c r="AD559" s="212" t="str">
        <f>IF(AD$3="","",IF(COUNTIFS(BD!$A$3:$A$5001,AD$3,BD!$B$3:$B$5001,$A$539,BD!$W$3:$W$5001,"&lt;&gt;")=0,"",SUMIFS(BD!$W$3:$W$5001,BD!$A$3:$A$5001,AD$3,BD!$B$3:$B$5001,$A$539)))</f>
        <v/>
      </c>
      <c r="AE559" s="212" t="str">
        <f>IF(AE$3="","",IF(COUNTIFS(BD!$A$3:$A$5001,AE$3,BD!$B$3:$B$5001,$A$539,BD!$W$3:$W$5001,"&lt;&gt;")=0,"",SUMIFS(BD!$W$3:$W$5001,BD!$A$3:$A$5001,AE$3,BD!$B$3:$B$5001,$A$539)))</f>
        <v/>
      </c>
      <c r="AF559" s="212" t="str">
        <f>IF(AF$3="","",IF(COUNTIFS(BD!$A$3:$A$5001,AF$3,BD!$B$3:$B$5001,$A$539,BD!$W$3:$W$5001,"&lt;&gt;")=0,"",SUMIFS(BD!$W$3:$W$5001,BD!$A$3:$A$5001,AF$3,BD!$B$3:$B$5001,$A$539)))</f>
        <v/>
      </c>
      <c r="AG559" s="212" t="str">
        <f>IF(AG$3="","",IF(COUNTIFS(BD!$A$3:$A$5001,AG$3,BD!$B$3:$B$5001,$A$539,BD!$W$3:$W$5001,"&lt;&gt;")=0,"",SUMIFS(BD!$W$3:$W$5001,BD!$A$3:$A$5001,AG$3,BD!$B$3:$B$5001,$A$539)))</f>
        <v/>
      </c>
      <c r="AH559" s="212" t="str">
        <f>IF(AH$3="","",IF(COUNTIFS(BD!$A$3:$A$5001,AH$3,BD!$B$3:$B$5001,$A$539,BD!$W$3:$W$5001,"&lt;&gt;")=0,"",SUMIFS(BD!$W$3:$W$5001,BD!$A$3:$A$5001,AH$3,BD!$B$3:$B$5001,$A$539)))</f>
        <v/>
      </c>
      <c r="AI559" s="212" t="str">
        <f>IF(AI$3="","",IF(COUNTIFS(BD!$A$3:$A$5001,AI$3,BD!$B$3:$B$5001,$A$539,BD!$W$3:$W$5001,"&lt;&gt;")=0,"",SUMIFS(BD!$W$3:$W$5001,BD!$A$3:$A$5001,AI$3,BD!$B$3:$B$5001,$A$539)))</f>
        <v/>
      </c>
      <c r="AJ559" s="213" t="str">
        <f>IF(AJ$3="","",IF(COUNTIFS(BD!$A$3:$A$5001,AJ$3,BD!$B$3:$B$5001,$A$539,BD!$W$3:$W$5001,"&lt;&gt;")=0,"",SUMIFS(BD!$W$3:$W$5001,BD!$A$3:$A$5001,AJ$3,BD!$B$3:$B$5001,$A$539)))</f>
        <v/>
      </c>
      <c r="AK559" s="209" t="str">
        <f>IFERROR(LOOKUP(9.99E+307,F559:AJ559),"")</f>
        <v/>
      </c>
    </row>
    <row r="560" ht="15.75" customHeight="1" hidden="1">
      <c r="A560" s="261"/>
      <c r="B560" s="249" t="inlineStr">
        <is>
          <t xml:space="preserve">OCUPAÇÃO (P.P)</t>
        </is>
      </c>
      <c r="C560" s="168" t="inlineStr">
        <is>
          <t xml:space="preserve">Posições Disponíveis</t>
        </is>
      </c>
      <c r="D560" s="169" t="str">
        <f>IFERROR(1/(1/INDEX(BD!$AL$44:$BF$44,MATCH($A$539,BD!$AL$22:$BF$22,0))),"")</f>
        <v/>
      </c>
      <c r="E560" s="170"/>
      <c r="F560" s="171" t="str">
        <f>IF(F$3="","",IF(COUNTIFS(BD!$A$3:$A$5001,F$3,BD!$B$3:$B$5001,$A$539,BD!$X$3:$X$5001,"&lt;&gt;")=0,"",SUMIFS(BD!$X$3:$X$5001,BD!$A$3:$A$5001,F$3,BD!$B$3:$B$5001,$A$539)))</f>
        <v/>
      </c>
      <c r="G560" s="172" t="str">
        <f>IF(G$3="","",IF(COUNTIFS(BD!$A$3:$A$5001,G$3,BD!$B$3:$B$5001,$A$539,BD!$X$3:$X$5001,"&lt;&gt;")=0,"",SUMIFS(BD!$X$3:$X$5001,BD!$A$3:$A$5001,G$3,BD!$B$3:$B$5001,$A$539)))</f>
        <v/>
      </c>
      <c r="H560" s="172" t="str">
        <f>IF(H$3="","",IF(COUNTIFS(BD!$A$3:$A$5001,H$3,BD!$B$3:$B$5001,$A$539,BD!$X$3:$X$5001,"&lt;&gt;")=0,"",SUMIFS(BD!$X$3:$X$5001,BD!$A$3:$A$5001,H$3,BD!$B$3:$B$5001,$A$539)))</f>
        <v/>
      </c>
      <c r="I560" s="172" t="str">
        <f>IF(I$3="","",IF(COUNTIFS(BD!$A$3:$A$5001,I$3,BD!$B$3:$B$5001,$A$539,BD!$X$3:$X$5001,"&lt;&gt;")=0,"",SUMIFS(BD!$X$3:$X$5001,BD!$A$3:$A$5001,I$3,BD!$B$3:$B$5001,$A$539)))</f>
        <v/>
      </c>
      <c r="J560" s="172" t="str">
        <f>IF(J$3="","",IF(COUNTIFS(BD!$A$3:$A$5001,J$3,BD!$B$3:$B$5001,$A$539,BD!$X$3:$X$5001,"&lt;&gt;")=0,"",SUMIFS(BD!$X$3:$X$5001,BD!$A$3:$A$5001,J$3,BD!$B$3:$B$5001,$A$539)))</f>
        <v/>
      </c>
      <c r="K560" s="172" t="str">
        <f>IF(K$3="","",IF(COUNTIFS(BD!$A$3:$A$5001,K$3,BD!$B$3:$B$5001,$A$539,BD!$X$3:$X$5001,"&lt;&gt;")=0,"",SUMIFS(BD!$X$3:$X$5001,BD!$A$3:$A$5001,K$3,BD!$B$3:$B$5001,$A$539)))</f>
        <v/>
      </c>
      <c r="L560" s="172" t="str">
        <f>IF(L$3="","",IF(COUNTIFS(BD!$A$3:$A$5001,L$3,BD!$B$3:$B$5001,$A$539,BD!$X$3:$X$5001,"&lt;&gt;")=0,"",SUMIFS(BD!$X$3:$X$5001,BD!$A$3:$A$5001,L$3,BD!$B$3:$B$5001,$A$539)))</f>
        <v/>
      </c>
      <c r="M560" s="172" t="str">
        <f>IF(M$3="","",IF(COUNTIFS(BD!$A$3:$A$5001,M$3,BD!$B$3:$B$5001,$A$539,BD!$X$3:$X$5001,"&lt;&gt;")=0,"",SUMIFS(BD!$X$3:$X$5001,BD!$A$3:$A$5001,M$3,BD!$B$3:$B$5001,$A$539)))</f>
        <v/>
      </c>
      <c r="N560" s="172" t="str">
        <f>IF(N$3="","",IF(COUNTIFS(BD!$A$3:$A$5001,N$3,BD!$B$3:$B$5001,$A$539,BD!$X$3:$X$5001,"&lt;&gt;")=0,"",SUMIFS(BD!$X$3:$X$5001,BD!$A$3:$A$5001,N$3,BD!$B$3:$B$5001,$A$539)))</f>
        <v/>
      </c>
      <c r="O560" s="172" t="str">
        <f>IF(O$3="","",IF(COUNTIFS(BD!$A$3:$A$5001,O$3,BD!$B$3:$B$5001,$A$539,BD!$X$3:$X$5001,"&lt;&gt;")=0,"",SUMIFS(BD!$X$3:$X$5001,BD!$A$3:$A$5001,O$3,BD!$B$3:$B$5001,$A$539)))</f>
        <v/>
      </c>
      <c r="P560" s="172" t="str">
        <f>IF(P$3="","",IF(COUNTIFS(BD!$A$3:$A$5001,P$3,BD!$B$3:$B$5001,$A$539,BD!$X$3:$X$5001,"&lt;&gt;")=0,"",SUMIFS(BD!$X$3:$X$5001,BD!$A$3:$A$5001,P$3,BD!$B$3:$B$5001,$A$539)))</f>
        <v/>
      </c>
      <c r="Q560" s="172" t="str">
        <f>IF(Q$3="","",IF(COUNTIFS(BD!$A$3:$A$5001,Q$3,BD!$B$3:$B$5001,$A$539,BD!$X$3:$X$5001,"&lt;&gt;")=0,"",SUMIFS(BD!$X$3:$X$5001,BD!$A$3:$A$5001,Q$3,BD!$B$3:$B$5001,$A$539)))</f>
        <v/>
      </c>
      <c r="R560" s="172" t="str">
        <f>IF(R$3="","",IF(COUNTIFS(BD!$A$3:$A$5001,R$3,BD!$B$3:$B$5001,$A$539,BD!$X$3:$X$5001,"&lt;&gt;")=0,"",SUMIFS(BD!$X$3:$X$5001,BD!$A$3:$A$5001,R$3,BD!$B$3:$B$5001,$A$539)))</f>
        <v/>
      </c>
      <c r="S560" s="172" t="str">
        <f>IF(S$3="","",IF(COUNTIFS(BD!$A$3:$A$5001,S$3,BD!$B$3:$B$5001,$A$539,BD!$X$3:$X$5001,"&lt;&gt;")=0,"",SUMIFS(BD!$X$3:$X$5001,BD!$A$3:$A$5001,S$3,BD!$B$3:$B$5001,$A$539)))</f>
        <v/>
      </c>
      <c r="T560" s="172" t="str">
        <f>IF(T$3="","",IF(COUNTIFS(BD!$A$3:$A$5001,T$3,BD!$B$3:$B$5001,$A$539,BD!$X$3:$X$5001,"&lt;&gt;")=0,"",SUMIFS(BD!$X$3:$X$5001,BD!$A$3:$A$5001,T$3,BD!$B$3:$B$5001,$A$539)))</f>
        <v/>
      </c>
      <c r="U560" s="172" t="str">
        <f>IF(U$3="","",IF(COUNTIFS(BD!$A$3:$A$5001,U$3,BD!$B$3:$B$5001,$A$539,BD!$X$3:$X$5001,"&lt;&gt;")=0,"",SUMIFS(BD!$X$3:$X$5001,BD!$A$3:$A$5001,U$3,BD!$B$3:$B$5001,$A$539)))</f>
        <v/>
      </c>
      <c r="V560" s="172" t="str">
        <f>IF(V$3="","",IF(COUNTIFS(BD!$A$3:$A$5001,V$3,BD!$B$3:$B$5001,$A$539,BD!$X$3:$X$5001,"&lt;&gt;")=0,"",SUMIFS(BD!$X$3:$X$5001,BD!$A$3:$A$5001,V$3,BD!$B$3:$B$5001,$A$539)))</f>
        <v/>
      </c>
      <c r="W560" s="172" t="str">
        <f>IF(W$3="","",IF(COUNTIFS(BD!$A$3:$A$5001,W$3,BD!$B$3:$B$5001,$A$539,BD!$X$3:$X$5001,"&lt;&gt;")=0,"",SUMIFS(BD!$X$3:$X$5001,BD!$A$3:$A$5001,W$3,BD!$B$3:$B$5001,$A$539)))</f>
        <v/>
      </c>
      <c r="X560" s="172" t="str">
        <f>IF(X$3="","",IF(COUNTIFS(BD!$A$3:$A$5001,X$3,BD!$B$3:$B$5001,$A$539,BD!$X$3:$X$5001,"&lt;&gt;")=0,"",SUMIFS(BD!$X$3:$X$5001,BD!$A$3:$A$5001,X$3,BD!$B$3:$B$5001,$A$539)))</f>
        <v/>
      </c>
      <c r="Y560" s="172" t="str">
        <f>IF(Y$3="","",IF(COUNTIFS(BD!$A$3:$A$5001,Y$3,BD!$B$3:$B$5001,$A$539,BD!$X$3:$X$5001,"&lt;&gt;")=0,"",SUMIFS(BD!$X$3:$X$5001,BD!$A$3:$A$5001,Y$3,BD!$B$3:$B$5001,$A$539)))</f>
        <v/>
      </c>
      <c r="Z560" s="172" t="str">
        <f>IF(Z$3="","",IF(COUNTIFS(BD!$A$3:$A$5001,Z$3,BD!$B$3:$B$5001,$A$539,BD!$X$3:$X$5001,"&lt;&gt;")=0,"",SUMIFS(BD!$X$3:$X$5001,BD!$A$3:$A$5001,Z$3,BD!$B$3:$B$5001,$A$539)))</f>
        <v/>
      </c>
      <c r="AA560" s="172" t="str">
        <f>IF(AA$3="","",IF(COUNTIFS(BD!$A$3:$A$5001,AA$3,BD!$B$3:$B$5001,$A$539,BD!$X$3:$X$5001,"&lt;&gt;")=0,"",SUMIFS(BD!$X$3:$X$5001,BD!$A$3:$A$5001,AA$3,BD!$B$3:$B$5001,$A$539)))</f>
        <v/>
      </c>
      <c r="AB560" s="172" t="str">
        <f>IF(AB$3="","",IF(COUNTIFS(BD!$A$3:$A$5001,AB$3,BD!$B$3:$B$5001,$A$539,BD!$X$3:$X$5001,"&lt;&gt;")=0,"",SUMIFS(BD!$X$3:$X$5001,BD!$A$3:$A$5001,AB$3,BD!$B$3:$B$5001,$A$539)))</f>
        <v/>
      </c>
      <c r="AC560" s="172" t="str">
        <f>IF(AC$3="","",IF(COUNTIFS(BD!$A$3:$A$5001,AC$3,BD!$B$3:$B$5001,$A$539,BD!$X$3:$X$5001,"&lt;&gt;")=0,"",SUMIFS(BD!$X$3:$X$5001,BD!$A$3:$A$5001,AC$3,BD!$B$3:$B$5001,$A$539)))</f>
        <v/>
      </c>
      <c r="AD560" s="172" t="str">
        <f>IF(AD$3="","",IF(COUNTIFS(BD!$A$3:$A$5001,AD$3,BD!$B$3:$B$5001,$A$539,BD!$X$3:$X$5001,"&lt;&gt;")=0,"",SUMIFS(BD!$X$3:$X$5001,BD!$A$3:$A$5001,AD$3,BD!$B$3:$B$5001,$A$539)))</f>
        <v/>
      </c>
      <c r="AE560" s="172" t="str">
        <f>IF(AE$3="","",IF(COUNTIFS(BD!$A$3:$A$5001,AE$3,BD!$B$3:$B$5001,$A$539,BD!$X$3:$X$5001,"&lt;&gt;")=0,"",SUMIFS(BD!$X$3:$X$5001,BD!$A$3:$A$5001,AE$3,BD!$B$3:$B$5001,$A$539)))</f>
        <v/>
      </c>
      <c r="AF560" s="172" t="str">
        <f>IF(AF$3="","",IF(COUNTIFS(BD!$A$3:$A$5001,AF$3,BD!$B$3:$B$5001,$A$539,BD!$X$3:$X$5001,"&lt;&gt;")=0,"",SUMIFS(BD!$X$3:$X$5001,BD!$A$3:$A$5001,AF$3,BD!$B$3:$B$5001,$A$539)))</f>
        <v/>
      </c>
      <c r="AG560" s="172" t="str">
        <f>IF(AG$3="","",IF(COUNTIFS(BD!$A$3:$A$5001,AG$3,BD!$B$3:$B$5001,$A$539,BD!$X$3:$X$5001,"&lt;&gt;")=0,"",SUMIFS(BD!$X$3:$X$5001,BD!$A$3:$A$5001,AG$3,BD!$B$3:$B$5001,$A$539)))</f>
        <v/>
      </c>
      <c r="AH560" s="172" t="str">
        <f>IF(AH$3="","",IF(COUNTIFS(BD!$A$3:$A$5001,AH$3,BD!$B$3:$B$5001,$A$539,BD!$X$3:$X$5001,"&lt;&gt;")=0,"",SUMIFS(BD!$X$3:$X$5001,BD!$A$3:$A$5001,AH$3,BD!$B$3:$B$5001,$A$539)))</f>
        <v/>
      </c>
      <c r="AI560" s="172" t="str">
        <f>IF(AI$3="","",IF(COUNTIFS(BD!$A$3:$A$5001,AI$3,BD!$B$3:$B$5001,$A$539,BD!$X$3:$X$5001,"&lt;&gt;")=0,"",SUMIFS(BD!$X$3:$X$5001,BD!$A$3:$A$5001,AI$3,BD!$B$3:$B$5001,$A$539)))</f>
        <v/>
      </c>
      <c r="AJ560" s="173" t="str">
        <f>IF(AJ$3="","",IF(COUNTIFS(BD!$A$3:$A$5001,AJ$3,BD!$B$3:$B$5001,$A$539,BD!$X$3:$X$5001,"&lt;&gt;")=0,"",SUMIFS(BD!$X$3:$X$5001,BD!$A$3:$A$5001,AJ$3,BD!$B$3:$B$5001,$A$539)))</f>
        <v/>
      </c>
      <c r="AK560" s="174" t="str">
        <f>IF(COUNT(F560:AJ560)&gt;0,LOOKUP(9.99E+307,F560:AJ560),IFERROR(IF(INDEX(BD!$AI$3:$AI$5001,MATCH($A$539,BD!$B$3:$B$5001,0))&amp;""="Contrato","",INDEX(BD!$AI$3:$AI$5001,MATCH($A$539,BD!$B$3:$B$5001,0))&amp;""),""))</f>
        <v/>
      </c>
    </row>
    <row r="561" ht="15.75" customHeight="1" hidden="1">
      <c r="A561" s="261"/>
      <c r="B561" s="256"/>
      <c r="C561" s="214" t="inlineStr">
        <is>
          <t xml:space="preserve">Posições Ocupadas</t>
        </is>
      </c>
      <c r="D561" s="215" t="str">
        <f>IFERROR(1/(1/INDEX(BD!$AL$45:$BF$45,MATCH($A$539,BD!$AL$22:$BF$22,0))),"")</f>
        <v/>
      </c>
      <c r="E561" s="216"/>
      <c r="F561" s="217" t="str">
        <f>IF(F$3="","",IF(COUNTIFS(BD!$A$3:$A$5001,F$3,BD!$B$3:$B$5001,$A$539,BD!$Y$3:$Y$5001,"&lt;&gt;")=0,"",SUMIFS(BD!$Y$3:$Y$5001,BD!$A$3:$A$5001,F$3,BD!$B$3:$B$5001,$A$539)))</f>
        <v/>
      </c>
      <c r="G561" s="218" t="str">
        <f>IF(G$3="","",IF(COUNTIFS(BD!$A$3:$A$5001,G$3,BD!$B$3:$B$5001,$A$539,BD!$Y$3:$Y$5001,"&lt;&gt;")=0,"",SUMIFS(BD!$Y$3:$Y$5001,BD!$A$3:$A$5001,G$3,BD!$B$3:$B$5001,$A$539)))</f>
        <v/>
      </c>
      <c r="H561" s="218" t="str">
        <f>IF(H$3="","",IF(COUNTIFS(BD!$A$3:$A$5001,H$3,BD!$B$3:$B$5001,$A$539,BD!$Y$3:$Y$5001,"&lt;&gt;")=0,"",SUMIFS(BD!$Y$3:$Y$5001,BD!$A$3:$A$5001,H$3,BD!$B$3:$B$5001,$A$539)))</f>
        <v/>
      </c>
      <c r="I561" s="218" t="str">
        <f>IF(I$3="","",IF(COUNTIFS(BD!$A$3:$A$5001,I$3,BD!$B$3:$B$5001,$A$539,BD!$Y$3:$Y$5001,"&lt;&gt;")=0,"",SUMIFS(BD!$Y$3:$Y$5001,BD!$A$3:$A$5001,I$3,BD!$B$3:$B$5001,$A$539)))</f>
        <v/>
      </c>
      <c r="J561" s="218" t="str">
        <f>IF(J$3="","",IF(COUNTIFS(BD!$A$3:$A$5001,J$3,BD!$B$3:$B$5001,$A$539,BD!$Y$3:$Y$5001,"&lt;&gt;")=0,"",SUMIFS(BD!$Y$3:$Y$5001,BD!$A$3:$A$5001,J$3,BD!$B$3:$B$5001,$A$539)))</f>
        <v/>
      </c>
      <c r="K561" s="218" t="str">
        <f>IF(K$3="","",IF(COUNTIFS(BD!$A$3:$A$5001,K$3,BD!$B$3:$B$5001,$A$539,BD!$Y$3:$Y$5001,"&lt;&gt;")=0,"",SUMIFS(BD!$Y$3:$Y$5001,BD!$A$3:$A$5001,K$3,BD!$B$3:$B$5001,$A$539)))</f>
        <v/>
      </c>
      <c r="L561" s="218" t="str">
        <f>IF(L$3="","",IF(COUNTIFS(BD!$A$3:$A$5001,L$3,BD!$B$3:$B$5001,$A$539,BD!$Y$3:$Y$5001,"&lt;&gt;")=0,"",SUMIFS(BD!$Y$3:$Y$5001,BD!$A$3:$A$5001,L$3,BD!$B$3:$B$5001,$A$539)))</f>
        <v/>
      </c>
      <c r="M561" s="218" t="str">
        <f>IF(M$3="","",IF(COUNTIFS(BD!$A$3:$A$5001,M$3,BD!$B$3:$B$5001,$A$539,BD!$Y$3:$Y$5001,"&lt;&gt;")=0,"",SUMIFS(BD!$Y$3:$Y$5001,BD!$A$3:$A$5001,M$3,BD!$B$3:$B$5001,$A$539)))</f>
        <v/>
      </c>
      <c r="N561" s="218" t="str">
        <f>IF(N$3="","",IF(COUNTIFS(BD!$A$3:$A$5001,N$3,BD!$B$3:$B$5001,$A$539,BD!$Y$3:$Y$5001,"&lt;&gt;")=0,"",SUMIFS(BD!$Y$3:$Y$5001,BD!$A$3:$A$5001,N$3,BD!$B$3:$B$5001,$A$539)))</f>
        <v/>
      </c>
      <c r="O561" s="218" t="str">
        <f>IF(O$3="","",IF(COUNTIFS(BD!$A$3:$A$5001,O$3,BD!$B$3:$B$5001,$A$539,BD!$Y$3:$Y$5001,"&lt;&gt;")=0,"",SUMIFS(BD!$Y$3:$Y$5001,BD!$A$3:$A$5001,O$3,BD!$B$3:$B$5001,$A$539)))</f>
        <v/>
      </c>
      <c r="P561" s="218" t="str">
        <f>IF(P$3="","",IF(COUNTIFS(BD!$A$3:$A$5001,P$3,BD!$B$3:$B$5001,$A$539,BD!$Y$3:$Y$5001,"&lt;&gt;")=0,"",SUMIFS(BD!$Y$3:$Y$5001,BD!$A$3:$A$5001,P$3,BD!$B$3:$B$5001,$A$539)))</f>
        <v/>
      </c>
      <c r="Q561" s="218" t="str">
        <f>IF(Q$3="","",IF(COUNTIFS(BD!$A$3:$A$5001,Q$3,BD!$B$3:$B$5001,$A$539,BD!$Y$3:$Y$5001,"&lt;&gt;")=0,"",SUMIFS(BD!$Y$3:$Y$5001,BD!$A$3:$A$5001,Q$3,BD!$B$3:$B$5001,$A$539)))</f>
        <v/>
      </c>
      <c r="R561" s="218" t="str">
        <f>IF(R$3="","",IF(COUNTIFS(BD!$A$3:$A$5001,R$3,BD!$B$3:$B$5001,$A$539,BD!$Y$3:$Y$5001,"&lt;&gt;")=0,"",SUMIFS(BD!$Y$3:$Y$5001,BD!$A$3:$A$5001,R$3,BD!$B$3:$B$5001,$A$539)))</f>
        <v/>
      </c>
      <c r="S561" s="218" t="str">
        <f>IF(S$3="","",IF(COUNTIFS(BD!$A$3:$A$5001,S$3,BD!$B$3:$B$5001,$A$539,BD!$Y$3:$Y$5001,"&lt;&gt;")=0,"",SUMIFS(BD!$Y$3:$Y$5001,BD!$A$3:$A$5001,S$3,BD!$B$3:$B$5001,$A$539)))</f>
        <v/>
      </c>
      <c r="T561" s="218" t="str">
        <f>IF(T$3="","",IF(COUNTIFS(BD!$A$3:$A$5001,T$3,BD!$B$3:$B$5001,$A$539,BD!$Y$3:$Y$5001,"&lt;&gt;")=0,"",SUMIFS(BD!$Y$3:$Y$5001,BD!$A$3:$A$5001,T$3,BD!$B$3:$B$5001,$A$539)))</f>
        <v/>
      </c>
      <c r="U561" s="218" t="str">
        <f>IF(U$3="","",IF(COUNTIFS(BD!$A$3:$A$5001,U$3,BD!$B$3:$B$5001,$A$539,BD!$Y$3:$Y$5001,"&lt;&gt;")=0,"",SUMIFS(BD!$Y$3:$Y$5001,BD!$A$3:$A$5001,U$3,BD!$B$3:$B$5001,$A$539)))</f>
        <v/>
      </c>
      <c r="V561" s="218" t="str">
        <f>IF(V$3="","",IF(COUNTIFS(BD!$A$3:$A$5001,V$3,BD!$B$3:$B$5001,$A$539,BD!$Y$3:$Y$5001,"&lt;&gt;")=0,"",SUMIFS(BD!$Y$3:$Y$5001,BD!$A$3:$A$5001,V$3,BD!$B$3:$B$5001,$A$539)))</f>
        <v/>
      </c>
      <c r="W561" s="218" t="str">
        <f>IF(W$3="","",IF(COUNTIFS(BD!$A$3:$A$5001,W$3,BD!$B$3:$B$5001,$A$539,BD!$Y$3:$Y$5001,"&lt;&gt;")=0,"",SUMIFS(BD!$Y$3:$Y$5001,BD!$A$3:$A$5001,W$3,BD!$B$3:$B$5001,$A$539)))</f>
        <v/>
      </c>
      <c r="X561" s="218" t="str">
        <f>IF(X$3="","",IF(COUNTIFS(BD!$A$3:$A$5001,X$3,BD!$B$3:$B$5001,$A$539,BD!$Y$3:$Y$5001,"&lt;&gt;")=0,"",SUMIFS(BD!$Y$3:$Y$5001,BD!$A$3:$A$5001,X$3,BD!$B$3:$B$5001,$A$539)))</f>
        <v/>
      </c>
      <c r="Y561" s="218" t="str">
        <f>IF(Y$3="","",IF(COUNTIFS(BD!$A$3:$A$5001,Y$3,BD!$B$3:$B$5001,$A$539,BD!$Y$3:$Y$5001,"&lt;&gt;")=0,"",SUMIFS(BD!$Y$3:$Y$5001,BD!$A$3:$A$5001,Y$3,BD!$B$3:$B$5001,$A$539)))</f>
        <v/>
      </c>
      <c r="Z561" s="218" t="str">
        <f>IF(Z$3="","",IF(COUNTIFS(BD!$A$3:$A$5001,Z$3,BD!$B$3:$B$5001,$A$539,BD!$Y$3:$Y$5001,"&lt;&gt;")=0,"",SUMIFS(BD!$Y$3:$Y$5001,BD!$A$3:$A$5001,Z$3,BD!$B$3:$B$5001,$A$539)))</f>
        <v/>
      </c>
      <c r="AA561" s="218" t="str">
        <f>IF(AA$3="","",IF(COUNTIFS(BD!$A$3:$A$5001,AA$3,BD!$B$3:$B$5001,$A$539,BD!$Y$3:$Y$5001,"&lt;&gt;")=0,"",SUMIFS(BD!$Y$3:$Y$5001,BD!$A$3:$A$5001,AA$3,BD!$B$3:$B$5001,$A$539)))</f>
        <v/>
      </c>
      <c r="AB561" s="218" t="str">
        <f>IF(AB$3="","",IF(COUNTIFS(BD!$A$3:$A$5001,AB$3,BD!$B$3:$B$5001,$A$539,BD!$Y$3:$Y$5001,"&lt;&gt;")=0,"",SUMIFS(BD!$Y$3:$Y$5001,BD!$A$3:$A$5001,AB$3,BD!$B$3:$B$5001,$A$539)))</f>
        <v/>
      </c>
      <c r="AC561" s="218" t="str">
        <f>IF(AC$3="","",IF(COUNTIFS(BD!$A$3:$A$5001,AC$3,BD!$B$3:$B$5001,$A$539,BD!$Y$3:$Y$5001,"&lt;&gt;")=0,"",SUMIFS(BD!$Y$3:$Y$5001,BD!$A$3:$A$5001,AC$3,BD!$B$3:$B$5001,$A$539)))</f>
        <v/>
      </c>
      <c r="AD561" s="218" t="str">
        <f>IF(AD$3="","",IF(COUNTIFS(BD!$A$3:$A$5001,AD$3,BD!$B$3:$B$5001,$A$539,BD!$Y$3:$Y$5001,"&lt;&gt;")=0,"",SUMIFS(BD!$Y$3:$Y$5001,BD!$A$3:$A$5001,AD$3,BD!$B$3:$B$5001,$A$539)))</f>
        <v/>
      </c>
      <c r="AE561" s="218" t="str">
        <f>IF(AE$3="","",IF(COUNTIFS(BD!$A$3:$A$5001,AE$3,BD!$B$3:$B$5001,$A$539,BD!$Y$3:$Y$5001,"&lt;&gt;")=0,"",SUMIFS(BD!$Y$3:$Y$5001,BD!$A$3:$A$5001,AE$3,BD!$B$3:$B$5001,$A$539)))</f>
        <v/>
      </c>
      <c r="AF561" s="218" t="str">
        <f>IF(AF$3="","",IF(COUNTIFS(BD!$A$3:$A$5001,AF$3,BD!$B$3:$B$5001,$A$539,BD!$Y$3:$Y$5001,"&lt;&gt;")=0,"",SUMIFS(BD!$Y$3:$Y$5001,BD!$A$3:$A$5001,AF$3,BD!$B$3:$B$5001,$A$539)))</f>
        <v/>
      </c>
      <c r="AG561" s="218" t="str">
        <f>IF(AG$3="","",IF(COUNTIFS(BD!$A$3:$A$5001,AG$3,BD!$B$3:$B$5001,$A$539,BD!$Y$3:$Y$5001,"&lt;&gt;")=0,"",SUMIFS(BD!$Y$3:$Y$5001,BD!$A$3:$A$5001,AG$3,BD!$B$3:$B$5001,$A$539)))</f>
        <v/>
      </c>
      <c r="AH561" s="218" t="str">
        <f>IF(AH$3="","",IF(COUNTIFS(BD!$A$3:$A$5001,AH$3,BD!$B$3:$B$5001,$A$539,BD!$Y$3:$Y$5001,"&lt;&gt;")=0,"",SUMIFS(BD!$Y$3:$Y$5001,BD!$A$3:$A$5001,AH$3,BD!$B$3:$B$5001,$A$539)))</f>
        <v/>
      </c>
      <c r="AI561" s="218" t="str">
        <f>IF(AI$3="","",IF(COUNTIFS(BD!$A$3:$A$5001,AI$3,BD!$B$3:$B$5001,$A$539,BD!$Y$3:$Y$5001,"&lt;&gt;")=0,"",SUMIFS(BD!$Y$3:$Y$5001,BD!$A$3:$A$5001,AI$3,BD!$B$3:$B$5001,$A$539)))</f>
        <v/>
      </c>
      <c r="AJ561" s="219" t="str">
        <f>IF(AJ$3="","",IF(COUNTIFS(BD!$A$3:$A$5001,AJ$3,BD!$B$3:$B$5001,$A$539,BD!$Y$3:$Y$5001,"&lt;&gt;")=0,"",SUMIFS(BD!$Y$3:$Y$5001,BD!$A$3:$A$5001,AJ$3,BD!$B$3:$B$5001,$A$539)))</f>
        <v/>
      </c>
      <c r="AK561" s="220" t="str">
        <f>IFERROR(LOOKUP(9.99E+307,F561:AJ561),"")</f>
        <v/>
      </c>
    </row>
    <row r="562" ht="15.75" customHeight="1" hidden="1">
      <c r="A562" s="261"/>
      <c r="B562" s="250"/>
      <c r="C562" s="175" t="inlineStr">
        <is>
          <t xml:space="preserve">Taxa de Ocupação</t>
        </is>
      </c>
      <c r="D562" s="221" t="str">
        <f>IFERROR(1/(1/INDEX(BD!$AL$46:$BF$46,MATCH($A$539,BD!$AL$22:$BF$22,0))),"")</f>
        <v/>
      </c>
      <c r="E562" s="177"/>
      <c r="F562" s="222" t="str">
        <f>IF(AND(ISNUMBER(F560),ISNUMBER(F561)),IF(F560&gt;0,F561/F560,""),"")</f>
        <v/>
      </c>
      <c r="G562" s="223" t="str">
        <f>IF(AND(ISNUMBER(G560),ISNUMBER(G561)),IF(G560&gt;0,G561/G560,""),"")</f>
        <v/>
      </c>
      <c r="H562" s="223" t="str">
        <f>IF(AND(ISNUMBER(H560),ISNUMBER(H561)),IF(H560&gt;0,H561/H560,""),"")</f>
        <v/>
      </c>
      <c r="I562" s="223" t="str">
        <f>IF(AND(ISNUMBER(I560),ISNUMBER(I561)),IF(I560&gt;0,I561/I560,""),"")</f>
        <v/>
      </c>
      <c r="J562" s="223" t="str">
        <f>IF(AND(ISNUMBER(J560),ISNUMBER(J561)),IF(J560&gt;0,J561/J560,""),"")</f>
        <v/>
      </c>
      <c r="K562" s="223" t="str">
        <f>IF(AND(ISNUMBER(K560),ISNUMBER(K561)),IF(K560&gt;0,K561/K560,""),"")</f>
        <v/>
      </c>
      <c r="L562" s="223" t="str">
        <f>IF(AND(ISNUMBER(L560),ISNUMBER(L561)),IF(L560&gt;0,L561/L560,""),"")</f>
        <v/>
      </c>
      <c r="M562" s="223" t="str">
        <f>IF(AND(ISNUMBER(M560),ISNUMBER(M561)),IF(M560&gt;0,M561/M560,""),"")</f>
        <v/>
      </c>
      <c r="N562" s="223" t="str">
        <f>IF(AND(ISNUMBER(N560),ISNUMBER(N561)),IF(N560&gt;0,N561/N560,""),"")</f>
        <v/>
      </c>
      <c r="O562" s="223" t="str">
        <f>IF(AND(ISNUMBER(O560),ISNUMBER(O561)),IF(O560&gt;0,O561/O560,""),"")</f>
        <v/>
      </c>
      <c r="P562" s="223" t="str">
        <f>IF(AND(ISNUMBER(P560),ISNUMBER(P561)),IF(P560&gt;0,P561/P560,""),"")</f>
        <v/>
      </c>
      <c r="Q562" s="223" t="str">
        <f>IF(AND(ISNUMBER(Q560),ISNUMBER(Q561)),IF(Q560&gt;0,Q561/Q560,""),"")</f>
        <v/>
      </c>
      <c r="R562" s="223" t="str">
        <f>IF(AND(ISNUMBER(R560),ISNUMBER(R561)),IF(R560&gt;0,R561/R560,""),"")</f>
        <v/>
      </c>
      <c r="S562" s="223" t="str">
        <f>IF(AND(ISNUMBER(S560),ISNUMBER(S561)),IF(S560&gt;0,S561/S560,""),"")</f>
        <v/>
      </c>
      <c r="T562" s="223" t="str">
        <f>IF(AND(ISNUMBER(T560),ISNUMBER(T561)),IF(T560&gt;0,T561/T560,""),"")</f>
        <v/>
      </c>
      <c r="U562" s="223" t="str">
        <f>IF(AND(ISNUMBER(U560),ISNUMBER(U561)),IF(U560&gt;0,U561/U560,""),"")</f>
        <v/>
      </c>
      <c r="V562" s="223" t="str">
        <f>IF(AND(ISNUMBER(V560),ISNUMBER(V561)),IF(V560&gt;0,V561/V560,""),"")</f>
        <v/>
      </c>
      <c r="W562" s="223" t="str">
        <f>IF(AND(ISNUMBER(W560),ISNUMBER(W561)),IF(W560&gt;0,W561/W560,""),"")</f>
        <v/>
      </c>
      <c r="X562" s="223" t="str">
        <f>IF(AND(ISNUMBER(X560),ISNUMBER(X561)),IF(X560&gt;0,X561/X560,""),"")</f>
        <v/>
      </c>
      <c r="Y562" s="223" t="str">
        <f>IF(AND(ISNUMBER(Y560),ISNUMBER(Y561)),IF(Y560&gt;0,Y561/Y560,""),"")</f>
        <v/>
      </c>
      <c r="Z562" s="223" t="str">
        <f>IF(AND(ISNUMBER(Z560),ISNUMBER(Z561)),IF(Z560&gt;0,Z561/Z560,""),"")</f>
        <v/>
      </c>
      <c r="AA562" s="223" t="str">
        <f>IF(AND(ISNUMBER(AA560),ISNUMBER(AA561)),IF(AA560&gt;0,AA561/AA560,""),"")</f>
        <v/>
      </c>
      <c r="AB562" s="223" t="str">
        <f>IF(AND(ISNUMBER(AB560),ISNUMBER(AB561)),IF(AB560&gt;0,AB561/AB560,""),"")</f>
        <v/>
      </c>
      <c r="AC562" s="223" t="str">
        <f>IF(AND(ISNUMBER(AC560),ISNUMBER(AC561)),IF(AC560&gt;0,AC561/AC560,""),"")</f>
        <v/>
      </c>
      <c r="AD562" s="223" t="str">
        <f>IF(AND(ISNUMBER(AD560),ISNUMBER(AD561)),IF(AD560&gt;0,AD561/AD560,""),"")</f>
        <v/>
      </c>
      <c r="AE562" s="223" t="str">
        <f>IF(AND(ISNUMBER(AE560),ISNUMBER(AE561)),IF(AE560&gt;0,AE561/AE560,""),"")</f>
        <v/>
      </c>
      <c r="AF562" s="223" t="str">
        <f>IF(AND(ISNUMBER(AF560),ISNUMBER(AF561)),IF(AF560&gt;0,AF561/AF560,""),"")</f>
        <v/>
      </c>
      <c r="AG562" s="223" t="str">
        <f>IF(AND(ISNUMBER(AG560),ISNUMBER(AG561)),IF(AG560&gt;0,AG561/AG560,""),"")</f>
        <v/>
      </c>
      <c r="AH562" s="223" t="str">
        <f>IF(AND(ISNUMBER(AH560),ISNUMBER(AH561)),IF(AH560&gt;0,AH561/AH560,""),"")</f>
        <v/>
      </c>
      <c r="AI562" s="223" t="str">
        <f>IF(AND(ISNUMBER(AI560),ISNUMBER(AI561)),IF(AI560&gt;0,AI561/AI560,""),"")</f>
        <v/>
      </c>
      <c r="AJ562" s="224" t="str">
        <f>IF(AND(ISNUMBER(AJ560),ISNUMBER(AJ561)),IF(AJ560&gt;0,AJ561/AJ560,""),"")</f>
        <v/>
      </c>
      <c r="AK562" s="221" t="str">
        <f>IF(AND(ISNUMBER(AK560),ISNUMBER(AK561)),IF(AK560&gt;0,AK561/AK560,""),"")</f>
        <v/>
      </c>
    </row>
    <row r="563" ht="15.75" customHeight="1" hidden="1">
      <c r="A563" s="261"/>
      <c r="B563" s="257" t="inlineStr">
        <is>
          <t xml:space="preserve">GENTE</t>
        </is>
      </c>
      <c r="C563" s="225" t="inlineStr">
        <is>
          <t xml:space="preserve">Efetivo Op.</t>
        </is>
      </c>
      <c r="D563" s="226" t="str">
        <f>IFERROR(1/(1/INDEX(BD!$AL$47:$BF$47,MATCH($A$539,BD!$AL$22:$BF$22,0))),"")</f>
        <v/>
      </c>
      <c r="E563" s="227"/>
      <c r="F563" s="228" t="str">
        <f>IF(F$3="","",IF(COUNTIFS(BD!$A$3:$A$5001,F$3,BD!$B$3:$B$5001,$A$539,BD!$Z$3:$Z$5001,"&lt;&gt;")=0,"",SUMIFS(BD!$Z$3:$Z$5001,BD!$A$3:$A$5001,F$3,BD!$B$3:$B$5001,$A$539)))</f>
        <v/>
      </c>
      <c r="G563" s="229" t="str">
        <f>IF(G$3="","",IF(COUNTIFS(BD!$A$3:$A$5001,G$3,BD!$B$3:$B$5001,$A$539,BD!$Z$3:$Z$5001,"&lt;&gt;")=0,"",SUMIFS(BD!$Z$3:$Z$5001,BD!$A$3:$A$5001,G$3,BD!$B$3:$B$5001,$A$539)))</f>
        <v/>
      </c>
      <c r="H563" s="229" t="str">
        <f>IF(H$3="","",IF(COUNTIFS(BD!$A$3:$A$5001,H$3,BD!$B$3:$B$5001,$A$539,BD!$Z$3:$Z$5001,"&lt;&gt;")=0,"",SUMIFS(BD!$Z$3:$Z$5001,BD!$A$3:$A$5001,H$3,BD!$B$3:$B$5001,$A$539)))</f>
        <v/>
      </c>
      <c r="I563" s="229" t="str">
        <f>IF(I$3="","",IF(COUNTIFS(BD!$A$3:$A$5001,I$3,BD!$B$3:$B$5001,$A$539,BD!$Z$3:$Z$5001,"&lt;&gt;")=0,"",SUMIFS(BD!$Z$3:$Z$5001,BD!$A$3:$A$5001,I$3,BD!$B$3:$B$5001,$A$539)))</f>
        <v/>
      </c>
      <c r="J563" s="229" t="str">
        <f>IF(J$3="","",IF(COUNTIFS(BD!$A$3:$A$5001,J$3,BD!$B$3:$B$5001,$A$539,BD!$Z$3:$Z$5001,"&lt;&gt;")=0,"",SUMIFS(BD!$Z$3:$Z$5001,BD!$A$3:$A$5001,J$3,BD!$B$3:$B$5001,$A$539)))</f>
        <v/>
      </c>
      <c r="K563" s="229" t="str">
        <f>IF(K$3="","",IF(COUNTIFS(BD!$A$3:$A$5001,K$3,BD!$B$3:$B$5001,$A$539,BD!$Z$3:$Z$5001,"&lt;&gt;")=0,"",SUMIFS(BD!$Z$3:$Z$5001,BD!$A$3:$A$5001,K$3,BD!$B$3:$B$5001,$A$539)))</f>
        <v/>
      </c>
      <c r="L563" s="229" t="str">
        <f>IF(L$3="","",IF(COUNTIFS(BD!$A$3:$A$5001,L$3,BD!$B$3:$B$5001,$A$539,BD!$Z$3:$Z$5001,"&lt;&gt;")=0,"",SUMIFS(BD!$Z$3:$Z$5001,BD!$A$3:$A$5001,L$3,BD!$B$3:$B$5001,$A$539)))</f>
        <v/>
      </c>
      <c r="M563" s="229" t="str">
        <f>IF(M$3="","",IF(COUNTIFS(BD!$A$3:$A$5001,M$3,BD!$B$3:$B$5001,$A$539,BD!$Z$3:$Z$5001,"&lt;&gt;")=0,"",SUMIFS(BD!$Z$3:$Z$5001,BD!$A$3:$A$5001,M$3,BD!$B$3:$B$5001,$A$539)))</f>
        <v/>
      </c>
      <c r="N563" s="229" t="str">
        <f>IF(N$3="","",IF(COUNTIFS(BD!$A$3:$A$5001,N$3,BD!$B$3:$B$5001,$A$539,BD!$Z$3:$Z$5001,"&lt;&gt;")=0,"",SUMIFS(BD!$Z$3:$Z$5001,BD!$A$3:$A$5001,N$3,BD!$B$3:$B$5001,$A$539)))</f>
        <v/>
      </c>
      <c r="O563" s="229" t="str">
        <f>IF(O$3="","",IF(COUNTIFS(BD!$A$3:$A$5001,O$3,BD!$B$3:$B$5001,$A$539,BD!$Z$3:$Z$5001,"&lt;&gt;")=0,"",SUMIFS(BD!$Z$3:$Z$5001,BD!$A$3:$A$5001,O$3,BD!$B$3:$B$5001,$A$539)))</f>
        <v/>
      </c>
      <c r="P563" s="229" t="str">
        <f>IF(P$3="","",IF(COUNTIFS(BD!$A$3:$A$5001,P$3,BD!$B$3:$B$5001,$A$539,BD!$Z$3:$Z$5001,"&lt;&gt;")=0,"",SUMIFS(BD!$Z$3:$Z$5001,BD!$A$3:$A$5001,P$3,BD!$B$3:$B$5001,$A$539)))</f>
        <v/>
      </c>
      <c r="Q563" s="229" t="str">
        <f>IF(Q$3="","",IF(COUNTIFS(BD!$A$3:$A$5001,Q$3,BD!$B$3:$B$5001,$A$539,BD!$Z$3:$Z$5001,"&lt;&gt;")=0,"",SUMIFS(BD!$Z$3:$Z$5001,BD!$A$3:$A$5001,Q$3,BD!$B$3:$B$5001,$A$539)))</f>
        <v/>
      </c>
      <c r="R563" s="229" t="str">
        <f>IF(R$3="","",IF(COUNTIFS(BD!$A$3:$A$5001,R$3,BD!$B$3:$B$5001,$A$539,BD!$Z$3:$Z$5001,"&lt;&gt;")=0,"",SUMIFS(BD!$Z$3:$Z$5001,BD!$A$3:$A$5001,R$3,BD!$B$3:$B$5001,$A$539)))</f>
        <v/>
      </c>
      <c r="S563" s="229" t="str">
        <f>IF(S$3="","",IF(COUNTIFS(BD!$A$3:$A$5001,S$3,BD!$B$3:$B$5001,$A$539,BD!$Z$3:$Z$5001,"&lt;&gt;")=0,"",SUMIFS(BD!$Z$3:$Z$5001,BD!$A$3:$A$5001,S$3,BD!$B$3:$B$5001,$A$539)))</f>
        <v/>
      </c>
      <c r="T563" s="229" t="str">
        <f>IF(T$3="","",IF(COUNTIFS(BD!$A$3:$A$5001,T$3,BD!$B$3:$B$5001,$A$539,BD!$Z$3:$Z$5001,"&lt;&gt;")=0,"",SUMIFS(BD!$Z$3:$Z$5001,BD!$A$3:$A$5001,T$3,BD!$B$3:$B$5001,$A$539)))</f>
        <v/>
      </c>
      <c r="U563" s="229" t="str">
        <f>IF(U$3="","",IF(COUNTIFS(BD!$A$3:$A$5001,U$3,BD!$B$3:$B$5001,$A$539,BD!$Z$3:$Z$5001,"&lt;&gt;")=0,"",SUMIFS(BD!$Z$3:$Z$5001,BD!$A$3:$A$5001,U$3,BD!$B$3:$B$5001,$A$539)))</f>
        <v/>
      </c>
      <c r="V563" s="229" t="str">
        <f>IF(V$3="","",IF(COUNTIFS(BD!$A$3:$A$5001,V$3,BD!$B$3:$B$5001,$A$539,BD!$Z$3:$Z$5001,"&lt;&gt;")=0,"",SUMIFS(BD!$Z$3:$Z$5001,BD!$A$3:$A$5001,V$3,BD!$B$3:$B$5001,$A$539)))</f>
        <v/>
      </c>
      <c r="W563" s="229" t="str">
        <f>IF(W$3="","",IF(COUNTIFS(BD!$A$3:$A$5001,W$3,BD!$B$3:$B$5001,$A$539,BD!$Z$3:$Z$5001,"&lt;&gt;")=0,"",SUMIFS(BD!$Z$3:$Z$5001,BD!$A$3:$A$5001,W$3,BD!$B$3:$B$5001,$A$539)))</f>
        <v/>
      </c>
      <c r="X563" s="229" t="str">
        <f>IF(X$3="","",IF(COUNTIFS(BD!$A$3:$A$5001,X$3,BD!$B$3:$B$5001,$A$539,BD!$Z$3:$Z$5001,"&lt;&gt;")=0,"",SUMIFS(BD!$Z$3:$Z$5001,BD!$A$3:$A$5001,X$3,BD!$B$3:$B$5001,$A$539)))</f>
        <v/>
      </c>
      <c r="Y563" s="229" t="str">
        <f>IF(Y$3="","",IF(COUNTIFS(BD!$A$3:$A$5001,Y$3,BD!$B$3:$B$5001,$A$539,BD!$Z$3:$Z$5001,"&lt;&gt;")=0,"",SUMIFS(BD!$Z$3:$Z$5001,BD!$A$3:$A$5001,Y$3,BD!$B$3:$B$5001,$A$539)))</f>
        <v/>
      </c>
      <c r="Z563" s="229" t="str">
        <f>IF(Z$3="","",IF(COUNTIFS(BD!$A$3:$A$5001,Z$3,BD!$B$3:$B$5001,$A$539,BD!$Z$3:$Z$5001,"&lt;&gt;")=0,"",SUMIFS(BD!$Z$3:$Z$5001,BD!$A$3:$A$5001,Z$3,BD!$B$3:$B$5001,$A$539)))</f>
        <v/>
      </c>
      <c r="AA563" s="229" t="str">
        <f>IF(AA$3="","",IF(COUNTIFS(BD!$A$3:$A$5001,AA$3,BD!$B$3:$B$5001,$A$539,BD!$Z$3:$Z$5001,"&lt;&gt;")=0,"",SUMIFS(BD!$Z$3:$Z$5001,BD!$A$3:$A$5001,AA$3,BD!$B$3:$B$5001,$A$539)))</f>
        <v/>
      </c>
      <c r="AB563" s="229" t="str">
        <f>IF(AB$3="","",IF(COUNTIFS(BD!$A$3:$A$5001,AB$3,BD!$B$3:$B$5001,$A$539,BD!$Z$3:$Z$5001,"&lt;&gt;")=0,"",SUMIFS(BD!$Z$3:$Z$5001,BD!$A$3:$A$5001,AB$3,BD!$B$3:$B$5001,$A$539)))</f>
        <v/>
      </c>
      <c r="AC563" s="229" t="str">
        <f>IF(AC$3="","",IF(COUNTIFS(BD!$A$3:$A$5001,AC$3,BD!$B$3:$B$5001,$A$539,BD!$Z$3:$Z$5001,"&lt;&gt;")=0,"",SUMIFS(BD!$Z$3:$Z$5001,BD!$A$3:$A$5001,AC$3,BD!$B$3:$B$5001,$A$539)))</f>
        <v/>
      </c>
      <c r="AD563" s="229" t="str">
        <f>IF(AD$3="","",IF(COUNTIFS(BD!$A$3:$A$5001,AD$3,BD!$B$3:$B$5001,$A$539,BD!$Z$3:$Z$5001,"&lt;&gt;")=0,"",SUMIFS(BD!$Z$3:$Z$5001,BD!$A$3:$A$5001,AD$3,BD!$B$3:$B$5001,$A$539)))</f>
        <v/>
      </c>
      <c r="AE563" s="229" t="str">
        <f>IF(AE$3="","",IF(COUNTIFS(BD!$A$3:$A$5001,AE$3,BD!$B$3:$B$5001,$A$539,BD!$Z$3:$Z$5001,"&lt;&gt;")=0,"",SUMIFS(BD!$Z$3:$Z$5001,BD!$A$3:$A$5001,AE$3,BD!$B$3:$B$5001,$A$539)))</f>
        <v/>
      </c>
      <c r="AF563" s="229" t="str">
        <f>IF(AF$3="","",IF(COUNTIFS(BD!$A$3:$A$5001,AF$3,BD!$B$3:$B$5001,$A$539,BD!$Z$3:$Z$5001,"&lt;&gt;")=0,"",SUMIFS(BD!$Z$3:$Z$5001,BD!$A$3:$A$5001,AF$3,BD!$B$3:$B$5001,$A$539)))</f>
        <v/>
      </c>
      <c r="AG563" s="229" t="str">
        <f>IF(AG$3="","",IF(COUNTIFS(BD!$A$3:$A$5001,AG$3,BD!$B$3:$B$5001,$A$539,BD!$Z$3:$Z$5001,"&lt;&gt;")=0,"",SUMIFS(BD!$Z$3:$Z$5001,BD!$A$3:$A$5001,AG$3,BD!$B$3:$B$5001,$A$539)))</f>
        <v/>
      </c>
      <c r="AH563" s="229" t="str">
        <f>IF(AH$3="","",IF(COUNTIFS(BD!$A$3:$A$5001,AH$3,BD!$B$3:$B$5001,$A$539,BD!$Z$3:$Z$5001,"&lt;&gt;")=0,"",SUMIFS(BD!$Z$3:$Z$5001,BD!$A$3:$A$5001,AH$3,BD!$B$3:$B$5001,$A$539)))</f>
        <v/>
      </c>
      <c r="AI563" s="229" t="str">
        <f>IF(AI$3="","",IF(COUNTIFS(BD!$A$3:$A$5001,AI$3,BD!$B$3:$B$5001,$A$539,BD!$Z$3:$Z$5001,"&lt;&gt;")=0,"",SUMIFS(BD!$Z$3:$Z$5001,BD!$A$3:$A$5001,AI$3,BD!$B$3:$B$5001,$A$539)))</f>
        <v/>
      </c>
      <c r="AJ563" s="230" t="str">
        <f>IF(AJ$3="","",IF(COUNTIFS(BD!$A$3:$A$5001,AJ$3,BD!$B$3:$B$5001,$A$539,BD!$Z$3:$Z$5001,"&lt;&gt;")=0,"",SUMIFS(BD!$Z$3:$Z$5001,BD!$A$3:$A$5001,AJ$3,BD!$B$3:$B$5001,$A$539)))</f>
        <v/>
      </c>
      <c r="AK563" s="231" t="str">
        <f>IFERROR(LOOKUP(9.99E+307,F563:AJ563),"")</f>
        <v/>
      </c>
    </row>
    <row r="564" ht="15.75" customHeight="1" hidden="1">
      <c r="A564" s="261"/>
      <c r="B564" s="258"/>
      <c r="C564" s="232" t="inlineStr">
        <is>
          <t xml:space="preserve">Falta</t>
        </is>
      </c>
      <c r="D564" s="233" t="str">
        <f>IFERROR(1/(1/INDEX(BD!$AL$48:$BF$48,MATCH($A$539,BD!$AL$22:$BF$22,0))),"")</f>
        <v/>
      </c>
      <c r="E564" s="234"/>
      <c r="F564" s="235" t="str">
        <f>IF(F$3="","",IF(COUNTIFS(BD!$A$3:$A$5001,F$3,BD!$B$3:$B$5001,$A$539,BD!$AA$3:$AA$5001,"&lt;&gt;")=0,"",SUMIFS(BD!$AA$3:$AA$5001,BD!$A$3:$A$5001,F$3,BD!$B$3:$B$5001,$A$539)))</f>
        <v/>
      </c>
      <c r="G564" s="236" t="str">
        <f>IF(G$3="","",IF(COUNTIFS(BD!$A$3:$A$5001,G$3,BD!$B$3:$B$5001,$A$539,BD!$AA$3:$AA$5001,"&lt;&gt;")=0,"",SUMIFS(BD!$AA$3:$AA$5001,BD!$A$3:$A$5001,G$3,BD!$B$3:$B$5001,$A$539)))</f>
        <v/>
      </c>
      <c r="H564" s="236" t="str">
        <f>IF(H$3="","",IF(COUNTIFS(BD!$A$3:$A$5001,H$3,BD!$B$3:$B$5001,$A$539,BD!$AA$3:$AA$5001,"&lt;&gt;")=0,"",SUMIFS(BD!$AA$3:$AA$5001,BD!$A$3:$A$5001,H$3,BD!$B$3:$B$5001,$A$539)))</f>
        <v/>
      </c>
      <c r="I564" s="236" t="str">
        <f>IF(I$3="","",IF(COUNTIFS(BD!$A$3:$A$5001,I$3,BD!$B$3:$B$5001,$A$539,BD!$AA$3:$AA$5001,"&lt;&gt;")=0,"",SUMIFS(BD!$AA$3:$AA$5001,BD!$A$3:$A$5001,I$3,BD!$B$3:$B$5001,$A$539)))</f>
        <v/>
      </c>
      <c r="J564" s="236" t="str">
        <f>IF(J$3="","",IF(COUNTIFS(BD!$A$3:$A$5001,J$3,BD!$B$3:$B$5001,$A$539,BD!$AA$3:$AA$5001,"&lt;&gt;")=0,"",SUMIFS(BD!$AA$3:$AA$5001,BD!$A$3:$A$5001,J$3,BD!$B$3:$B$5001,$A$539)))</f>
        <v/>
      </c>
      <c r="K564" s="236" t="str">
        <f>IF(K$3="","",IF(COUNTIFS(BD!$A$3:$A$5001,K$3,BD!$B$3:$B$5001,$A$539,BD!$AA$3:$AA$5001,"&lt;&gt;")=0,"",SUMIFS(BD!$AA$3:$AA$5001,BD!$A$3:$A$5001,K$3,BD!$B$3:$B$5001,$A$539)))</f>
        <v/>
      </c>
      <c r="L564" s="236" t="str">
        <f>IF(L$3="","",IF(COUNTIFS(BD!$A$3:$A$5001,L$3,BD!$B$3:$B$5001,$A$539,BD!$AA$3:$AA$5001,"&lt;&gt;")=0,"",SUMIFS(BD!$AA$3:$AA$5001,BD!$A$3:$A$5001,L$3,BD!$B$3:$B$5001,$A$539)))</f>
        <v/>
      </c>
      <c r="M564" s="236" t="str">
        <f>IF(M$3="","",IF(COUNTIFS(BD!$A$3:$A$5001,M$3,BD!$B$3:$B$5001,$A$539,BD!$AA$3:$AA$5001,"&lt;&gt;")=0,"",SUMIFS(BD!$AA$3:$AA$5001,BD!$A$3:$A$5001,M$3,BD!$B$3:$B$5001,$A$539)))</f>
        <v/>
      </c>
      <c r="N564" s="236" t="str">
        <f>IF(N$3="","",IF(COUNTIFS(BD!$A$3:$A$5001,N$3,BD!$B$3:$B$5001,$A$539,BD!$AA$3:$AA$5001,"&lt;&gt;")=0,"",SUMIFS(BD!$AA$3:$AA$5001,BD!$A$3:$A$5001,N$3,BD!$B$3:$B$5001,$A$539)))</f>
        <v/>
      </c>
      <c r="O564" s="236" t="str">
        <f>IF(O$3="","",IF(COUNTIFS(BD!$A$3:$A$5001,O$3,BD!$B$3:$B$5001,$A$539,BD!$AA$3:$AA$5001,"&lt;&gt;")=0,"",SUMIFS(BD!$AA$3:$AA$5001,BD!$A$3:$A$5001,O$3,BD!$B$3:$B$5001,$A$539)))</f>
        <v/>
      </c>
      <c r="P564" s="236" t="str">
        <f>IF(P$3="","",IF(COUNTIFS(BD!$A$3:$A$5001,P$3,BD!$B$3:$B$5001,$A$539,BD!$AA$3:$AA$5001,"&lt;&gt;")=0,"",SUMIFS(BD!$AA$3:$AA$5001,BD!$A$3:$A$5001,P$3,BD!$B$3:$B$5001,$A$539)))</f>
        <v/>
      </c>
      <c r="Q564" s="236" t="str">
        <f>IF(Q$3="","",IF(COUNTIFS(BD!$A$3:$A$5001,Q$3,BD!$B$3:$B$5001,$A$539,BD!$AA$3:$AA$5001,"&lt;&gt;")=0,"",SUMIFS(BD!$AA$3:$AA$5001,BD!$A$3:$A$5001,Q$3,BD!$B$3:$B$5001,$A$539)))</f>
        <v/>
      </c>
      <c r="R564" s="236" t="str">
        <f>IF(R$3="","",IF(COUNTIFS(BD!$A$3:$A$5001,R$3,BD!$B$3:$B$5001,$A$539,BD!$AA$3:$AA$5001,"&lt;&gt;")=0,"",SUMIFS(BD!$AA$3:$AA$5001,BD!$A$3:$A$5001,R$3,BD!$B$3:$B$5001,$A$539)))</f>
        <v/>
      </c>
      <c r="S564" s="236" t="str">
        <f>IF(S$3="","",IF(COUNTIFS(BD!$A$3:$A$5001,S$3,BD!$B$3:$B$5001,$A$539,BD!$AA$3:$AA$5001,"&lt;&gt;")=0,"",SUMIFS(BD!$AA$3:$AA$5001,BD!$A$3:$A$5001,S$3,BD!$B$3:$B$5001,$A$539)))</f>
        <v/>
      </c>
      <c r="T564" s="236" t="str">
        <f>IF(T$3="","",IF(COUNTIFS(BD!$A$3:$A$5001,T$3,BD!$B$3:$B$5001,$A$539,BD!$AA$3:$AA$5001,"&lt;&gt;")=0,"",SUMIFS(BD!$AA$3:$AA$5001,BD!$A$3:$A$5001,T$3,BD!$B$3:$B$5001,$A$539)))</f>
        <v/>
      </c>
      <c r="U564" s="236" t="str">
        <f>IF(U$3="","",IF(COUNTIFS(BD!$A$3:$A$5001,U$3,BD!$B$3:$B$5001,$A$539,BD!$AA$3:$AA$5001,"&lt;&gt;")=0,"",SUMIFS(BD!$AA$3:$AA$5001,BD!$A$3:$A$5001,U$3,BD!$B$3:$B$5001,$A$539)))</f>
        <v/>
      </c>
      <c r="V564" s="236" t="str">
        <f>IF(V$3="","",IF(COUNTIFS(BD!$A$3:$A$5001,V$3,BD!$B$3:$B$5001,$A$539,BD!$AA$3:$AA$5001,"&lt;&gt;")=0,"",SUMIFS(BD!$AA$3:$AA$5001,BD!$A$3:$A$5001,V$3,BD!$B$3:$B$5001,$A$539)))</f>
        <v/>
      </c>
      <c r="W564" s="236" t="str">
        <f>IF(W$3="","",IF(COUNTIFS(BD!$A$3:$A$5001,W$3,BD!$B$3:$B$5001,$A$539,BD!$AA$3:$AA$5001,"&lt;&gt;")=0,"",SUMIFS(BD!$AA$3:$AA$5001,BD!$A$3:$A$5001,W$3,BD!$B$3:$B$5001,$A$539)))</f>
        <v/>
      </c>
      <c r="X564" s="236" t="str">
        <f>IF(X$3="","",IF(COUNTIFS(BD!$A$3:$A$5001,X$3,BD!$B$3:$B$5001,$A$539,BD!$AA$3:$AA$5001,"&lt;&gt;")=0,"",SUMIFS(BD!$AA$3:$AA$5001,BD!$A$3:$A$5001,X$3,BD!$B$3:$B$5001,$A$539)))</f>
        <v/>
      </c>
      <c r="Y564" s="236" t="str">
        <f>IF(Y$3="","",IF(COUNTIFS(BD!$A$3:$A$5001,Y$3,BD!$B$3:$B$5001,$A$539,BD!$AA$3:$AA$5001,"&lt;&gt;")=0,"",SUMIFS(BD!$AA$3:$AA$5001,BD!$A$3:$A$5001,Y$3,BD!$B$3:$B$5001,$A$539)))</f>
        <v/>
      </c>
      <c r="Z564" s="236" t="str">
        <f>IF(Z$3="","",IF(COUNTIFS(BD!$A$3:$A$5001,Z$3,BD!$B$3:$B$5001,$A$539,BD!$AA$3:$AA$5001,"&lt;&gt;")=0,"",SUMIFS(BD!$AA$3:$AA$5001,BD!$A$3:$A$5001,Z$3,BD!$B$3:$B$5001,$A$539)))</f>
        <v/>
      </c>
      <c r="AA564" s="236" t="str">
        <f>IF(AA$3="","",IF(COUNTIFS(BD!$A$3:$A$5001,AA$3,BD!$B$3:$B$5001,$A$539,BD!$AA$3:$AA$5001,"&lt;&gt;")=0,"",SUMIFS(BD!$AA$3:$AA$5001,BD!$A$3:$A$5001,AA$3,BD!$B$3:$B$5001,$A$539)))</f>
        <v/>
      </c>
      <c r="AB564" s="236" t="str">
        <f>IF(AB$3="","",IF(COUNTIFS(BD!$A$3:$A$5001,AB$3,BD!$B$3:$B$5001,$A$539,BD!$AA$3:$AA$5001,"&lt;&gt;")=0,"",SUMIFS(BD!$AA$3:$AA$5001,BD!$A$3:$A$5001,AB$3,BD!$B$3:$B$5001,$A$539)))</f>
        <v/>
      </c>
      <c r="AC564" s="236" t="str">
        <f>IF(AC$3="","",IF(COUNTIFS(BD!$A$3:$A$5001,AC$3,BD!$B$3:$B$5001,$A$539,BD!$AA$3:$AA$5001,"&lt;&gt;")=0,"",SUMIFS(BD!$AA$3:$AA$5001,BD!$A$3:$A$5001,AC$3,BD!$B$3:$B$5001,$A$539)))</f>
        <v/>
      </c>
      <c r="AD564" s="236" t="str">
        <f>IF(AD$3="","",IF(COUNTIFS(BD!$A$3:$A$5001,AD$3,BD!$B$3:$B$5001,$A$539,BD!$AA$3:$AA$5001,"&lt;&gt;")=0,"",SUMIFS(BD!$AA$3:$AA$5001,BD!$A$3:$A$5001,AD$3,BD!$B$3:$B$5001,$A$539)))</f>
        <v/>
      </c>
      <c r="AE564" s="236" t="str">
        <f>IF(AE$3="","",IF(COUNTIFS(BD!$A$3:$A$5001,AE$3,BD!$B$3:$B$5001,$A$539,BD!$AA$3:$AA$5001,"&lt;&gt;")=0,"",SUMIFS(BD!$AA$3:$AA$5001,BD!$A$3:$A$5001,AE$3,BD!$B$3:$B$5001,$A$539)))</f>
        <v/>
      </c>
      <c r="AF564" s="236" t="str">
        <f>IF(AF$3="","",IF(COUNTIFS(BD!$A$3:$A$5001,AF$3,BD!$B$3:$B$5001,$A$539,BD!$AA$3:$AA$5001,"&lt;&gt;")=0,"",SUMIFS(BD!$AA$3:$AA$5001,BD!$A$3:$A$5001,AF$3,BD!$B$3:$B$5001,$A$539)))</f>
        <v/>
      </c>
      <c r="AG564" s="236" t="str">
        <f>IF(AG$3="","",IF(COUNTIFS(BD!$A$3:$A$5001,AG$3,BD!$B$3:$B$5001,$A$539,BD!$AA$3:$AA$5001,"&lt;&gt;")=0,"",SUMIFS(BD!$AA$3:$AA$5001,BD!$A$3:$A$5001,AG$3,BD!$B$3:$B$5001,$A$539)))</f>
        <v/>
      </c>
      <c r="AH564" s="236" t="str">
        <f>IF(AH$3="","",IF(COUNTIFS(BD!$A$3:$A$5001,AH$3,BD!$B$3:$B$5001,$A$539,BD!$AA$3:$AA$5001,"&lt;&gt;")=0,"",SUMIFS(BD!$AA$3:$AA$5001,BD!$A$3:$A$5001,AH$3,BD!$B$3:$B$5001,$A$539)))</f>
        <v/>
      </c>
      <c r="AI564" s="236" t="str">
        <f>IF(AI$3="","",IF(COUNTIFS(BD!$A$3:$A$5001,AI$3,BD!$B$3:$B$5001,$A$539,BD!$AA$3:$AA$5001,"&lt;&gt;")=0,"",SUMIFS(BD!$AA$3:$AA$5001,BD!$A$3:$A$5001,AI$3,BD!$B$3:$B$5001,$A$539)))</f>
        <v/>
      </c>
      <c r="AJ564" s="237" t="str">
        <f>IF(AJ$3="","",IF(COUNTIFS(BD!$A$3:$A$5001,AJ$3,BD!$B$3:$B$5001,$A$539,BD!$AA$3:$AA$5001,"&lt;&gt;")=0,"",SUMIFS(BD!$AA$3:$AA$5001,BD!$A$3:$A$5001,AJ$3,BD!$B$3:$B$5001,$A$539)))</f>
        <v/>
      </c>
      <c r="AK564" s="238" t="str">
        <f>IF(COUNT(F564:AJ564)=0,"",SUM(F564:AJ564))</f>
        <v/>
      </c>
    </row>
    <row r="565" ht="15.75" customHeight="1" hidden="1">
      <c r="A565" s="261"/>
      <c r="B565" s="258"/>
      <c r="C565" s="232" t="inlineStr">
        <is>
          <t xml:space="preserve">Absenteísmo (H/H)</t>
        </is>
      </c>
      <c r="D565" s="233" t="str">
        <f>IFERROR(1/(1/INDEX(BD!$AL$49:$BF$49,MATCH($A$539,BD!$AL$22:$BF$22,0))),"")</f>
        <v/>
      </c>
      <c r="E565" s="234"/>
      <c r="F565" s="239" t="str">
        <f>IF(F$3="","",IF(COUNTIFS(BD!$A$3:$A$5001,F$3,BD!$B$3:$B$5001,$A$539,BD!$AB$3:$AB$5001,"&lt;&gt;")=0,"",SUMIFS(BD!$AB$3:$AB$5001,BD!$A$3:$A$5001,F$3,BD!$B$3:$B$5001,$A$539)))</f>
        <v/>
      </c>
      <c r="G565" s="240" t="str">
        <f>IF(G$3="","",IF(COUNTIFS(BD!$A$3:$A$5001,G$3,BD!$B$3:$B$5001,$A$539,BD!$AB$3:$AB$5001,"&lt;&gt;")=0,"",SUMIFS(BD!$AB$3:$AB$5001,BD!$A$3:$A$5001,G$3,BD!$B$3:$B$5001,$A$539)))</f>
        <v/>
      </c>
      <c r="H565" s="240" t="str">
        <f>IF(H$3="","",IF(COUNTIFS(BD!$A$3:$A$5001,H$3,BD!$B$3:$B$5001,$A$539,BD!$AB$3:$AB$5001,"&lt;&gt;")=0,"",SUMIFS(BD!$AB$3:$AB$5001,BD!$A$3:$A$5001,H$3,BD!$B$3:$B$5001,$A$539)))</f>
        <v/>
      </c>
      <c r="I565" s="240" t="str">
        <f>IF(I$3="","",IF(COUNTIFS(BD!$A$3:$A$5001,I$3,BD!$B$3:$B$5001,$A$539,BD!$AB$3:$AB$5001,"&lt;&gt;")=0,"",SUMIFS(BD!$AB$3:$AB$5001,BD!$A$3:$A$5001,I$3,BD!$B$3:$B$5001,$A$539)))</f>
        <v/>
      </c>
      <c r="J565" s="240" t="str">
        <f>IF(J$3="","",IF(COUNTIFS(BD!$A$3:$A$5001,J$3,BD!$B$3:$B$5001,$A$539,BD!$AB$3:$AB$5001,"&lt;&gt;")=0,"",SUMIFS(BD!$AB$3:$AB$5001,BD!$A$3:$A$5001,J$3,BD!$B$3:$B$5001,$A$539)))</f>
        <v/>
      </c>
      <c r="K565" s="240" t="str">
        <f>IF(K$3="","",IF(COUNTIFS(BD!$A$3:$A$5001,K$3,BD!$B$3:$B$5001,$A$539,BD!$AB$3:$AB$5001,"&lt;&gt;")=0,"",SUMIFS(BD!$AB$3:$AB$5001,BD!$A$3:$A$5001,K$3,BD!$B$3:$B$5001,$A$539)))</f>
        <v/>
      </c>
      <c r="L565" s="240" t="str">
        <f>IF(L$3="","",IF(COUNTIFS(BD!$A$3:$A$5001,L$3,BD!$B$3:$B$5001,$A$539,BD!$AB$3:$AB$5001,"&lt;&gt;")=0,"",SUMIFS(BD!$AB$3:$AB$5001,BD!$A$3:$A$5001,L$3,BD!$B$3:$B$5001,$A$539)))</f>
        <v/>
      </c>
      <c r="M565" s="240" t="str">
        <f>IF(M$3="","",IF(COUNTIFS(BD!$A$3:$A$5001,M$3,BD!$B$3:$B$5001,$A$539,BD!$AB$3:$AB$5001,"&lt;&gt;")=0,"",SUMIFS(BD!$AB$3:$AB$5001,BD!$A$3:$A$5001,M$3,BD!$B$3:$B$5001,$A$539)))</f>
        <v/>
      </c>
      <c r="N565" s="240" t="str">
        <f>IF(N$3="","",IF(COUNTIFS(BD!$A$3:$A$5001,N$3,BD!$B$3:$B$5001,$A$539,BD!$AB$3:$AB$5001,"&lt;&gt;")=0,"",SUMIFS(BD!$AB$3:$AB$5001,BD!$A$3:$A$5001,N$3,BD!$B$3:$B$5001,$A$539)))</f>
        <v/>
      </c>
      <c r="O565" s="240" t="str">
        <f>IF(O$3="","",IF(COUNTIFS(BD!$A$3:$A$5001,O$3,BD!$B$3:$B$5001,$A$539,BD!$AB$3:$AB$5001,"&lt;&gt;")=0,"",SUMIFS(BD!$AB$3:$AB$5001,BD!$A$3:$A$5001,O$3,BD!$B$3:$B$5001,$A$539)))</f>
        <v/>
      </c>
      <c r="P565" s="240" t="str">
        <f>IF(P$3="","",IF(COUNTIFS(BD!$A$3:$A$5001,P$3,BD!$B$3:$B$5001,$A$539,BD!$AB$3:$AB$5001,"&lt;&gt;")=0,"",SUMIFS(BD!$AB$3:$AB$5001,BD!$A$3:$A$5001,P$3,BD!$B$3:$B$5001,$A$539)))</f>
        <v/>
      </c>
      <c r="Q565" s="240" t="str">
        <f>IF(Q$3="","",IF(COUNTIFS(BD!$A$3:$A$5001,Q$3,BD!$B$3:$B$5001,$A$539,BD!$AB$3:$AB$5001,"&lt;&gt;")=0,"",SUMIFS(BD!$AB$3:$AB$5001,BD!$A$3:$A$5001,Q$3,BD!$B$3:$B$5001,$A$539)))</f>
        <v/>
      </c>
      <c r="R565" s="240" t="str">
        <f>IF(R$3="","",IF(COUNTIFS(BD!$A$3:$A$5001,R$3,BD!$B$3:$B$5001,$A$539,BD!$AB$3:$AB$5001,"&lt;&gt;")=0,"",SUMIFS(BD!$AB$3:$AB$5001,BD!$A$3:$A$5001,R$3,BD!$B$3:$B$5001,$A$539)))</f>
        <v/>
      </c>
      <c r="S565" s="240" t="str">
        <f>IF(S$3="","",IF(COUNTIFS(BD!$A$3:$A$5001,S$3,BD!$B$3:$B$5001,$A$539,BD!$AB$3:$AB$5001,"&lt;&gt;")=0,"",SUMIFS(BD!$AB$3:$AB$5001,BD!$A$3:$A$5001,S$3,BD!$B$3:$B$5001,$A$539)))</f>
        <v/>
      </c>
      <c r="T565" s="240" t="str">
        <f>IF(T$3="","",IF(COUNTIFS(BD!$A$3:$A$5001,T$3,BD!$B$3:$B$5001,$A$539,BD!$AB$3:$AB$5001,"&lt;&gt;")=0,"",SUMIFS(BD!$AB$3:$AB$5001,BD!$A$3:$A$5001,T$3,BD!$B$3:$B$5001,$A$539)))</f>
        <v/>
      </c>
      <c r="U565" s="240" t="str">
        <f>IF(U$3="","",IF(COUNTIFS(BD!$A$3:$A$5001,U$3,BD!$B$3:$B$5001,$A$539,BD!$AB$3:$AB$5001,"&lt;&gt;")=0,"",SUMIFS(BD!$AB$3:$AB$5001,BD!$A$3:$A$5001,U$3,BD!$B$3:$B$5001,$A$539)))</f>
        <v/>
      </c>
      <c r="V565" s="240" t="str">
        <f>IF(V$3="","",IF(COUNTIFS(BD!$A$3:$A$5001,V$3,BD!$B$3:$B$5001,$A$539,BD!$AB$3:$AB$5001,"&lt;&gt;")=0,"",SUMIFS(BD!$AB$3:$AB$5001,BD!$A$3:$A$5001,V$3,BD!$B$3:$B$5001,$A$539)))</f>
        <v/>
      </c>
      <c r="W565" s="240" t="str">
        <f>IF(W$3="","",IF(COUNTIFS(BD!$A$3:$A$5001,W$3,BD!$B$3:$B$5001,$A$539,BD!$AB$3:$AB$5001,"&lt;&gt;")=0,"",SUMIFS(BD!$AB$3:$AB$5001,BD!$A$3:$A$5001,W$3,BD!$B$3:$B$5001,$A$539)))</f>
        <v/>
      </c>
      <c r="X565" s="240" t="str">
        <f>IF(X$3="","",IF(COUNTIFS(BD!$A$3:$A$5001,X$3,BD!$B$3:$B$5001,$A$539,BD!$AB$3:$AB$5001,"&lt;&gt;")=0,"",SUMIFS(BD!$AB$3:$AB$5001,BD!$A$3:$A$5001,X$3,BD!$B$3:$B$5001,$A$539)))</f>
        <v/>
      </c>
      <c r="Y565" s="240" t="str">
        <f>IF(Y$3="","",IF(COUNTIFS(BD!$A$3:$A$5001,Y$3,BD!$B$3:$B$5001,$A$539,BD!$AB$3:$AB$5001,"&lt;&gt;")=0,"",SUMIFS(BD!$AB$3:$AB$5001,BD!$A$3:$A$5001,Y$3,BD!$B$3:$B$5001,$A$539)))</f>
        <v/>
      </c>
      <c r="Z565" s="240" t="str">
        <f>IF(Z$3="","",IF(COUNTIFS(BD!$A$3:$A$5001,Z$3,BD!$B$3:$B$5001,$A$539,BD!$AB$3:$AB$5001,"&lt;&gt;")=0,"",SUMIFS(BD!$AB$3:$AB$5001,BD!$A$3:$A$5001,Z$3,BD!$B$3:$B$5001,$A$539)))</f>
        <v/>
      </c>
      <c r="AA565" s="240" t="str">
        <f>IF(AA$3="","",IF(COUNTIFS(BD!$A$3:$A$5001,AA$3,BD!$B$3:$B$5001,$A$539,BD!$AB$3:$AB$5001,"&lt;&gt;")=0,"",SUMIFS(BD!$AB$3:$AB$5001,BD!$A$3:$A$5001,AA$3,BD!$B$3:$B$5001,$A$539)))</f>
        <v/>
      </c>
      <c r="AB565" s="240" t="str">
        <f>IF(AB$3="","",IF(COUNTIFS(BD!$A$3:$A$5001,AB$3,BD!$B$3:$B$5001,$A$539,BD!$AB$3:$AB$5001,"&lt;&gt;")=0,"",SUMIFS(BD!$AB$3:$AB$5001,BD!$A$3:$A$5001,AB$3,BD!$B$3:$B$5001,$A$539)))</f>
        <v/>
      </c>
      <c r="AC565" s="240" t="str">
        <f>IF(AC$3="","",IF(COUNTIFS(BD!$A$3:$A$5001,AC$3,BD!$B$3:$B$5001,$A$539,BD!$AB$3:$AB$5001,"&lt;&gt;")=0,"",SUMIFS(BD!$AB$3:$AB$5001,BD!$A$3:$A$5001,AC$3,BD!$B$3:$B$5001,$A$539)))</f>
        <v/>
      </c>
      <c r="AD565" s="240" t="str">
        <f>IF(AD$3="","",IF(COUNTIFS(BD!$A$3:$A$5001,AD$3,BD!$B$3:$B$5001,$A$539,BD!$AB$3:$AB$5001,"&lt;&gt;")=0,"",SUMIFS(BD!$AB$3:$AB$5001,BD!$A$3:$A$5001,AD$3,BD!$B$3:$B$5001,$A$539)))</f>
        <v/>
      </c>
      <c r="AE565" s="240" t="str">
        <f>IF(AE$3="","",IF(COUNTIFS(BD!$A$3:$A$5001,AE$3,BD!$B$3:$B$5001,$A$539,BD!$AB$3:$AB$5001,"&lt;&gt;")=0,"",SUMIFS(BD!$AB$3:$AB$5001,BD!$A$3:$A$5001,AE$3,BD!$B$3:$B$5001,$A$539)))</f>
        <v/>
      </c>
      <c r="AF565" s="240" t="str">
        <f>IF(AF$3="","",IF(COUNTIFS(BD!$A$3:$A$5001,AF$3,BD!$B$3:$B$5001,$A$539,BD!$AB$3:$AB$5001,"&lt;&gt;")=0,"",SUMIFS(BD!$AB$3:$AB$5001,BD!$A$3:$A$5001,AF$3,BD!$B$3:$B$5001,$A$539)))</f>
        <v/>
      </c>
      <c r="AG565" s="240" t="str">
        <f>IF(AG$3="","",IF(COUNTIFS(BD!$A$3:$A$5001,AG$3,BD!$B$3:$B$5001,$A$539,BD!$AB$3:$AB$5001,"&lt;&gt;")=0,"",SUMIFS(BD!$AB$3:$AB$5001,BD!$A$3:$A$5001,AG$3,BD!$B$3:$B$5001,$A$539)))</f>
        <v/>
      </c>
      <c r="AH565" s="240" t="str">
        <f>IF(AH$3="","",IF(COUNTIFS(BD!$A$3:$A$5001,AH$3,BD!$B$3:$B$5001,$A$539,BD!$AB$3:$AB$5001,"&lt;&gt;")=0,"",SUMIFS(BD!$AB$3:$AB$5001,BD!$A$3:$A$5001,AH$3,BD!$B$3:$B$5001,$A$539)))</f>
        <v/>
      </c>
      <c r="AI565" s="240" t="str">
        <f>IF(AI$3="","",IF(COUNTIFS(BD!$A$3:$A$5001,AI$3,BD!$B$3:$B$5001,$A$539,BD!$AB$3:$AB$5001,"&lt;&gt;")=0,"",SUMIFS(BD!$AB$3:$AB$5001,BD!$A$3:$A$5001,AI$3,BD!$B$3:$B$5001,$A$539)))</f>
        <v/>
      </c>
      <c r="AJ565" s="241" t="str">
        <f>IF(AJ$3="","",IF(COUNTIFS(BD!$A$3:$A$5001,AJ$3,BD!$B$3:$B$5001,$A$539,BD!$AB$3:$AB$5001,"&lt;&gt;")=0,"",SUMIFS(BD!$AB$3:$AB$5001,BD!$A$3:$A$5001,AJ$3,BD!$B$3:$B$5001,$A$539)))</f>
        <v/>
      </c>
      <c r="AK565" s="242" t="str">
        <f>IF(COUNT(F565:AJ565)=0,"",SUM(F565:AJ565))</f>
        <v/>
      </c>
    </row>
    <row r="566" ht="15.75" customHeight="1" hidden="1">
      <c r="A566" s="261"/>
      <c r="B566" s="258"/>
      <c r="C566" s="232" t="inlineStr">
        <is>
          <t xml:space="preserve">Folga</t>
        </is>
      </c>
      <c r="D566" s="233" t="str">
        <f>IFERROR(1/(1/INDEX(BD!$AL$50:$BF$50,MATCH($A$539,BD!$AL$22:$BF$22,0))),"")</f>
        <v/>
      </c>
      <c r="E566" s="234"/>
      <c r="F566" s="235" t="str">
        <f>IF(F$3="","",IF(COUNTIFS(BD!$A$3:$A$5001,F$3,BD!$B$3:$B$5001,$A$539,BD!$AC$3:$AC$5001,"&lt;&gt;")=0,"",SUMIFS(BD!$AC$3:$AC$5001,BD!$A$3:$A$5001,F$3,BD!$B$3:$B$5001,$A$539)))</f>
        <v/>
      </c>
      <c r="G566" s="236" t="str">
        <f>IF(G$3="","",IF(COUNTIFS(BD!$A$3:$A$5001,G$3,BD!$B$3:$B$5001,$A$539,BD!$AC$3:$AC$5001,"&lt;&gt;")=0,"",SUMIFS(BD!$AC$3:$AC$5001,BD!$A$3:$A$5001,G$3,BD!$B$3:$B$5001,$A$539)))</f>
        <v/>
      </c>
      <c r="H566" s="236" t="str">
        <f>IF(H$3="","",IF(COUNTIFS(BD!$A$3:$A$5001,H$3,BD!$B$3:$B$5001,$A$539,BD!$AC$3:$AC$5001,"&lt;&gt;")=0,"",SUMIFS(BD!$AC$3:$AC$5001,BD!$A$3:$A$5001,H$3,BD!$B$3:$B$5001,$A$539)))</f>
        <v/>
      </c>
      <c r="I566" s="236" t="str">
        <f>IF(I$3="","",IF(COUNTIFS(BD!$A$3:$A$5001,I$3,BD!$B$3:$B$5001,$A$539,BD!$AC$3:$AC$5001,"&lt;&gt;")=0,"",SUMIFS(BD!$AC$3:$AC$5001,BD!$A$3:$A$5001,I$3,BD!$B$3:$B$5001,$A$539)))</f>
        <v/>
      </c>
      <c r="J566" s="236" t="str">
        <f>IF(J$3="","",IF(COUNTIFS(BD!$A$3:$A$5001,J$3,BD!$B$3:$B$5001,$A$539,BD!$AC$3:$AC$5001,"&lt;&gt;")=0,"",SUMIFS(BD!$AC$3:$AC$5001,BD!$A$3:$A$5001,J$3,BD!$B$3:$B$5001,$A$539)))</f>
        <v/>
      </c>
      <c r="K566" s="236" t="str">
        <f>IF(K$3="","",IF(COUNTIFS(BD!$A$3:$A$5001,K$3,BD!$B$3:$B$5001,$A$539,BD!$AC$3:$AC$5001,"&lt;&gt;")=0,"",SUMIFS(BD!$AC$3:$AC$5001,BD!$A$3:$A$5001,K$3,BD!$B$3:$B$5001,$A$539)))</f>
        <v/>
      </c>
      <c r="L566" s="236" t="str">
        <f>IF(L$3="","",IF(COUNTIFS(BD!$A$3:$A$5001,L$3,BD!$B$3:$B$5001,$A$539,BD!$AC$3:$AC$5001,"&lt;&gt;")=0,"",SUMIFS(BD!$AC$3:$AC$5001,BD!$A$3:$A$5001,L$3,BD!$B$3:$B$5001,$A$539)))</f>
        <v/>
      </c>
      <c r="M566" s="236" t="str">
        <f>IF(M$3="","",IF(COUNTIFS(BD!$A$3:$A$5001,M$3,BD!$B$3:$B$5001,$A$539,BD!$AC$3:$AC$5001,"&lt;&gt;")=0,"",SUMIFS(BD!$AC$3:$AC$5001,BD!$A$3:$A$5001,M$3,BD!$B$3:$B$5001,$A$539)))</f>
        <v/>
      </c>
      <c r="N566" s="236" t="str">
        <f>IF(N$3="","",IF(COUNTIFS(BD!$A$3:$A$5001,N$3,BD!$B$3:$B$5001,$A$539,BD!$AC$3:$AC$5001,"&lt;&gt;")=0,"",SUMIFS(BD!$AC$3:$AC$5001,BD!$A$3:$A$5001,N$3,BD!$B$3:$B$5001,$A$539)))</f>
        <v/>
      </c>
      <c r="O566" s="236" t="str">
        <f>IF(O$3="","",IF(COUNTIFS(BD!$A$3:$A$5001,O$3,BD!$B$3:$B$5001,$A$539,BD!$AC$3:$AC$5001,"&lt;&gt;")=0,"",SUMIFS(BD!$AC$3:$AC$5001,BD!$A$3:$A$5001,O$3,BD!$B$3:$B$5001,$A$539)))</f>
        <v/>
      </c>
      <c r="P566" s="236" t="str">
        <f>IF(P$3="","",IF(COUNTIFS(BD!$A$3:$A$5001,P$3,BD!$B$3:$B$5001,$A$539,BD!$AC$3:$AC$5001,"&lt;&gt;")=0,"",SUMIFS(BD!$AC$3:$AC$5001,BD!$A$3:$A$5001,P$3,BD!$B$3:$B$5001,$A$539)))</f>
        <v/>
      </c>
      <c r="Q566" s="236" t="str">
        <f>IF(Q$3="","",IF(COUNTIFS(BD!$A$3:$A$5001,Q$3,BD!$B$3:$B$5001,$A$539,BD!$AC$3:$AC$5001,"&lt;&gt;")=0,"",SUMIFS(BD!$AC$3:$AC$5001,BD!$A$3:$A$5001,Q$3,BD!$B$3:$B$5001,$A$539)))</f>
        <v/>
      </c>
      <c r="R566" s="236" t="str">
        <f>IF(R$3="","",IF(COUNTIFS(BD!$A$3:$A$5001,R$3,BD!$B$3:$B$5001,$A$539,BD!$AC$3:$AC$5001,"&lt;&gt;")=0,"",SUMIFS(BD!$AC$3:$AC$5001,BD!$A$3:$A$5001,R$3,BD!$B$3:$B$5001,$A$539)))</f>
        <v/>
      </c>
      <c r="S566" s="236" t="str">
        <f>IF(S$3="","",IF(COUNTIFS(BD!$A$3:$A$5001,S$3,BD!$B$3:$B$5001,$A$539,BD!$AC$3:$AC$5001,"&lt;&gt;")=0,"",SUMIFS(BD!$AC$3:$AC$5001,BD!$A$3:$A$5001,S$3,BD!$B$3:$B$5001,$A$539)))</f>
        <v/>
      </c>
      <c r="T566" s="236" t="str">
        <f>IF(T$3="","",IF(COUNTIFS(BD!$A$3:$A$5001,T$3,BD!$B$3:$B$5001,$A$539,BD!$AC$3:$AC$5001,"&lt;&gt;")=0,"",SUMIFS(BD!$AC$3:$AC$5001,BD!$A$3:$A$5001,T$3,BD!$B$3:$B$5001,$A$539)))</f>
        <v/>
      </c>
      <c r="U566" s="236" t="str">
        <f>IF(U$3="","",IF(COUNTIFS(BD!$A$3:$A$5001,U$3,BD!$B$3:$B$5001,$A$539,BD!$AC$3:$AC$5001,"&lt;&gt;")=0,"",SUMIFS(BD!$AC$3:$AC$5001,BD!$A$3:$A$5001,U$3,BD!$B$3:$B$5001,$A$539)))</f>
        <v/>
      </c>
      <c r="V566" s="236" t="str">
        <f>IF(V$3="","",IF(COUNTIFS(BD!$A$3:$A$5001,V$3,BD!$B$3:$B$5001,$A$539,BD!$AC$3:$AC$5001,"&lt;&gt;")=0,"",SUMIFS(BD!$AC$3:$AC$5001,BD!$A$3:$A$5001,V$3,BD!$B$3:$B$5001,$A$539)))</f>
        <v/>
      </c>
      <c r="W566" s="236" t="str">
        <f>IF(W$3="","",IF(COUNTIFS(BD!$A$3:$A$5001,W$3,BD!$B$3:$B$5001,$A$539,BD!$AC$3:$AC$5001,"&lt;&gt;")=0,"",SUMIFS(BD!$AC$3:$AC$5001,BD!$A$3:$A$5001,W$3,BD!$B$3:$B$5001,$A$539)))</f>
        <v/>
      </c>
      <c r="X566" s="236" t="str">
        <f>IF(X$3="","",IF(COUNTIFS(BD!$A$3:$A$5001,X$3,BD!$B$3:$B$5001,$A$539,BD!$AC$3:$AC$5001,"&lt;&gt;")=0,"",SUMIFS(BD!$AC$3:$AC$5001,BD!$A$3:$A$5001,X$3,BD!$B$3:$B$5001,$A$539)))</f>
        <v/>
      </c>
      <c r="Y566" s="236" t="str">
        <f>IF(Y$3="","",IF(COUNTIFS(BD!$A$3:$A$5001,Y$3,BD!$B$3:$B$5001,$A$539,BD!$AC$3:$AC$5001,"&lt;&gt;")=0,"",SUMIFS(BD!$AC$3:$AC$5001,BD!$A$3:$A$5001,Y$3,BD!$B$3:$B$5001,$A$539)))</f>
        <v/>
      </c>
      <c r="Z566" s="236" t="str">
        <f>IF(Z$3="","",IF(COUNTIFS(BD!$A$3:$A$5001,Z$3,BD!$B$3:$B$5001,$A$539,BD!$AC$3:$AC$5001,"&lt;&gt;")=0,"",SUMIFS(BD!$AC$3:$AC$5001,BD!$A$3:$A$5001,Z$3,BD!$B$3:$B$5001,$A$539)))</f>
        <v/>
      </c>
      <c r="AA566" s="236" t="str">
        <f>IF(AA$3="","",IF(COUNTIFS(BD!$A$3:$A$5001,AA$3,BD!$B$3:$B$5001,$A$539,BD!$AC$3:$AC$5001,"&lt;&gt;")=0,"",SUMIFS(BD!$AC$3:$AC$5001,BD!$A$3:$A$5001,AA$3,BD!$B$3:$B$5001,$A$539)))</f>
        <v/>
      </c>
      <c r="AB566" s="236" t="str">
        <f>IF(AB$3="","",IF(COUNTIFS(BD!$A$3:$A$5001,AB$3,BD!$B$3:$B$5001,$A$539,BD!$AC$3:$AC$5001,"&lt;&gt;")=0,"",SUMIFS(BD!$AC$3:$AC$5001,BD!$A$3:$A$5001,AB$3,BD!$B$3:$B$5001,$A$539)))</f>
        <v/>
      </c>
      <c r="AC566" s="236" t="str">
        <f>IF(AC$3="","",IF(COUNTIFS(BD!$A$3:$A$5001,AC$3,BD!$B$3:$B$5001,$A$539,BD!$AC$3:$AC$5001,"&lt;&gt;")=0,"",SUMIFS(BD!$AC$3:$AC$5001,BD!$A$3:$A$5001,AC$3,BD!$B$3:$B$5001,$A$539)))</f>
        <v/>
      </c>
      <c r="AD566" s="236" t="str">
        <f>IF(AD$3="","",IF(COUNTIFS(BD!$A$3:$A$5001,AD$3,BD!$B$3:$B$5001,$A$539,BD!$AC$3:$AC$5001,"&lt;&gt;")=0,"",SUMIFS(BD!$AC$3:$AC$5001,BD!$A$3:$A$5001,AD$3,BD!$B$3:$B$5001,$A$539)))</f>
        <v/>
      </c>
      <c r="AE566" s="236" t="str">
        <f>IF(AE$3="","",IF(COUNTIFS(BD!$A$3:$A$5001,AE$3,BD!$B$3:$B$5001,$A$539,BD!$AC$3:$AC$5001,"&lt;&gt;")=0,"",SUMIFS(BD!$AC$3:$AC$5001,BD!$A$3:$A$5001,AE$3,BD!$B$3:$B$5001,$A$539)))</f>
        <v/>
      </c>
      <c r="AF566" s="236" t="str">
        <f>IF(AF$3="","",IF(COUNTIFS(BD!$A$3:$A$5001,AF$3,BD!$B$3:$B$5001,$A$539,BD!$AC$3:$AC$5001,"&lt;&gt;")=0,"",SUMIFS(BD!$AC$3:$AC$5001,BD!$A$3:$A$5001,AF$3,BD!$B$3:$B$5001,$A$539)))</f>
        <v/>
      </c>
      <c r="AG566" s="236" t="str">
        <f>IF(AG$3="","",IF(COUNTIFS(BD!$A$3:$A$5001,AG$3,BD!$B$3:$B$5001,$A$539,BD!$AC$3:$AC$5001,"&lt;&gt;")=0,"",SUMIFS(BD!$AC$3:$AC$5001,BD!$A$3:$A$5001,AG$3,BD!$B$3:$B$5001,$A$539)))</f>
        <v/>
      </c>
      <c r="AH566" s="236" t="str">
        <f>IF(AH$3="","",IF(COUNTIFS(BD!$A$3:$A$5001,AH$3,BD!$B$3:$B$5001,$A$539,BD!$AC$3:$AC$5001,"&lt;&gt;")=0,"",SUMIFS(BD!$AC$3:$AC$5001,BD!$A$3:$A$5001,AH$3,BD!$B$3:$B$5001,$A$539)))</f>
        <v/>
      </c>
      <c r="AI566" s="236" t="str">
        <f>IF(AI$3="","",IF(COUNTIFS(BD!$A$3:$A$5001,AI$3,BD!$B$3:$B$5001,$A$539,BD!$AC$3:$AC$5001,"&lt;&gt;")=0,"",SUMIFS(BD!$AC$3:$AC$5001,BD!$A$3:$A$5001,AI$3,BD!$B$3:$B$5001,$A$539)))</f>
        <v/>
      </c>
      <c r="AJ566" s="237" t="str">
        <f>IF(AJ$3="","",IF(COUNTIFS(BD!$A$3:$A$5001,AJ$3,BD!$B$3:$B$5001,$A$539,BD!$AC$3:$AC$5001,"&lt;&gt;")=0,"",SUMIFS(BD!$AC$3:$AC$5001,BD!$A$3:$A$5001,AJ$3,BD!$B$3:$B$5001,$A$539)))</f>
        <v/>
      </c>
      <c r="AK566" s="238" t="str">
        <f>IF(COUNT(F566:AJ566)=0,"",SUM(F566:AJ566))</f>
        <v/>
      </c>
    </row>
    <row r="567" ht="15.75" customHeight="1" hidden="1">
      <c r="A567" s="261"/>
      <c r="B567" s="258"/>
      <c r="C567" s="232" t="inlineStr">
        <is>
          <t xml:space="preserve">Férias</t>
        </is>
      </c>
      <c r="D567" s="233" t="str">
        <f>IFERROR(1/(1/INDEX(BD!$AL$51:$BF$51,MATCH($A$539,BD!$AL$22:$BF$22,0))),"")</f>
        <v/>
      </c>
      <c r="E567" s="234"/>
      <c r="F567" s="235" t="str">
        <f>IF(F$3="","",IF(COUNTIFS(BD!$A$3:$A$5001,F$3,BD!$B$3:$B$5001,$A$539,BD!$AD$3:$AD$5001,"&lt;&gt;")=0,"",SUMIFS(BD!$AD$3:$AD$5001,BD!$A$3:$A$5001,F$3,BD!$B$3:$B$5001,$A$539)))</f>
        <v/>
      </c>
      <c r="G567" s="236" t="str">
        <f>IF(G$3="","",IF(COUNTIFS(BD!$A$3:$A$5001,G$3,BD!$B$3:$B$5001,$A$539,BD!$AD$3:$AD$5001,"&lt;&gt;")=0,"",SUMIFS(BD!$AD$3:$AD$5001,BD!$A$3:$A$5001,G$3,BD!$B$3:$B$5001,$A$539)))</f>
        <v/>
      </c>
      <c r="H567" s="236" t="str">
        <f>IF(H$3="","",IF(COUNTIFS(BD!$A$3:$A$5001,H$3,BD!$B$3:$B$5001,$A$539,BD!$AD$3:$AD$5001,"&lt;&gt;")=0,"",SUMIFS(BD!$AD$3:$AD$5001,BD!$A$3:$A$5001,H$3,BD!$B$3:$B$5001,$A$539)))</f>
        <v/>
      </c>
      <c r="I567" s="236" t="str">
        <f>IF(I$3="","",IF(COUNTIFS(BD!$A$3:$A$5001,I$3,BD!$B$3:$B$5001,$A$539,BD!$AD$3:$AD$5001,"&lt;&gt;")=0,"",SUMIFS(BD!$AD$3:$AD$5001,BD!$A$3:$A$5001,I$3,BD!$B$3:$B$5001,$A$539)))</f>
        <v/>
      </c>
      <c r="J567" s="236" t="str">
        <f>IF(J$3="","",IF(COUNTIFS(BD!$A$3:$A$5001,J$3,BD!$B$3:$B$5001,$A$539,BD!$AD$3:$AD$5001,"&lt;&gt;")=0,"",SUMIFS(BD!$AD$3:$AD$5001,BD!$A$3:$A$5001,J$3,BD!$B$3:$B$5001,$A$539)))</f>
        <v/>
      </c>
      <c r="K567" s="236" t="str">
        <f>IF(K$3="","",IF(COUNTIFS(BD!$A$3:$A$5001,K$3,BD!$B$3:$B$5001,$A$539,BD!$AD$3:$AD$5001,"&lt;&gt;")=0,"",SUMIFS(BD!$AD$3:$AD$5001,BD!$A$3:$A$5001,K$3,BD!$B$3:$B$5001,$A$539)))</f>
        <v/>
      </c>
      <c r="L567" s="236" t="str">
        <f>IF(L$3="","",IF(COUNTIFS(BD!$A$3:$A$5001,L$3,BD!$B$3:$B$5001,$A$539,BD!$AD$3:$AD$5001,"&lt;&gt;")=0,"",SUMIFS(BD!$AD$3:$AD$5001,BD!$A$3:$A$5001,L$3,BD!$B$3:$B$5001,$A$539)))</f>
        <v/>
      </c>
      <c r="M567" s="236" t="str">
        <f>IF(M$3="","",IF(COUNTIFS(BD!$A$3:$A$5001,M$3,BD!$B$3:$B$5001,$A$539,BD!$AD$3:$AD$5001,"&lt;&gt;")=0,"",SUMIFS(BD!$AD$3:$AD$5001,BD!$A$3:$A$5001,M$3,BD!$B$3:$B$5001,$A$539)))</f>
        <v/>
      </c>
      <c r="N567" s="236" t="str">
        <f>IF(N$3="","",IF(COUNTIFS(BD!$A$3:$A$5001,N$3,BD!$B$3:$B$5001,$A$539,BD!$AD$3:$AD$5001,"&lt;&gt;")=0,"",SUMIFS(BD!$AD$3:$AD$5001,BD!$A$3:$A$5001,N$3,BD!$B$3:$B$5001,$A$539)))</f>
        <v/>
      </c>
      <c r="O567" s="236" t="str">
        <f>IF(O$3="","",IF(COUNTIFS(BD!$A$3:$A$5001,O$3,BD!$B$3:$B$5001,$A$539,BD!$AD$3:$AD$5001,"&lt;&gt;")=0,"",SUMIFS(BD!$AD$3:$AD$5001,BD!$A$3:$A$5001,O$3,BD!$B$3:$B$5001,$A$539)))</f>
        <v/>
      </c>
      <c r="P567" s="236" t="str">
        <f>IF(P$3="","",IF(COUNTIFS(BD!$A$3:$A$5001,P$3,BD!$B$3:$B$5001,$A$539,BD!$AD$3:$AD$5001,"&lt;&gt;")=0,"",SUMIFS(BD!$AD$3:$AD$5001,BD!$A$3:$A$5001,P$3,BD!$B$3:$B$5001,$A$539)))</f>
        <v/>
      </c>
      <c r="Q567" s="236" t="str">
        <f>IF(Q$3="","",IF(COUNTIFS(BD!$A$3:$A$5001,Q$3,BD!$B$3:$B$5001,$A$539,BD!$AD$3:$AD$5001,"&lt;&gt;")=0,"",SUMIFS(BD!$AD$3:$AD$5001,BD!$A$3:$A$5001,Q$3,BD!$B$3:$B$5001,$A$539)))</f>
        <v/>
      </c>
      <c r="R567" s="236" t="str">
        <f>IF(R$3="","",IF(COUNTIFS(BD!$A$3:$A$5001,R$3,BD!$B$3:$B$5001,$A$539,BD!$AD$3:$AD$5001,"&lt;&gt;")=0,"",SUMIFS(BD!$AD$3:$AD$5001,BD!$A$3:$A$5001,R$3,BD!$B$3:$B$5001,$A$539)))</f>
        <v/>
      </c>
      <c r="S567" s="236" t="str">
        <f>IF(S$3="","",IF(COUNTIFS(BD!$A$3:$A$5001,S$3,BD!$B$3:$B$5001,$A$539,BD!$AD$3:$AD$5001,"&lt;&gt;")=0,"",SUMIFS(BD!$AD$3:$AD$5001,BD!$A$3:$A$5001,S$3,BD!$B$3:$B$5001,$A$539)))</f>
        <v/>
      </c>
      <c r="T567" s="236" t="str">
        <f>IF(T$3="","",IF(COUNTIFS(BD!$A$3:$A$5001,T$3,BD!$B$3:$B$5001,$A$539,BD!$AD$3:$AD$5001,"&lt;&gt;")=0,"",SUMIFS(BD!$AD$3:$AD$5001,BD!$A$3:$A$5001,T$3,BD!$B$3:$B$5001,$A$539)))</f>
        <v/>
      </c>
      <c r="U567" s="236" t="str">
        <f>IF(U$3="","",IF(COUNTIFS(BD!$A$3:$A$5001,U$3,BD!$B$3:$B$5001,$A$539,BD!$AD$3:$AD$5001,"&lt;&gt;")=0,"",SUMIFS(BD!$AD$3:$AD$5001,BD!$A$3:$A$5001,U$3,BD!$B$3:$B$5001,$A$539)))</f>
        <v/>
      </c>
      <c r="V567" s="236" t="str">
        <f>IF(V$3="","",IF(COUNTIFS(BD!$A$3:$A$5001,V$3,BD!$B$3:$B$5001,$A$539,BD!$AD$3:$AD$5001,"&lt;&gt;")=0,"",SUMIFS(BD!$AD$3:$AD$5001,BD!$A$3:$A$5001,V$3,BD!$B$3:$B$5001,$A$539)))</f>
        <v/>
      </c>
      <c r="W567" s="236" t="str">
        <f>IF(W$3="","",IF(COUNTIFS(BD!$A$3:$A$5001,W$3,BD!$B$3:$B$5001,$A$539,BD!$AD$3:$AD$5001,"&lt;&gt;")=0,"",SUMIFS(BD!$AD$3:$AD$5001,BD!$A$3:$A$5001,W$3,BD!$B$3:$B$5001,$A$539)))</f>
        <v/>
      </c>
      <c r="X567" s="236" t="str">
        <f>IF(X$3="","",IF(COUNTIFS(BD!$A$3:$A$5001,X$3,BD!$B$3:$B$5001,$A$539,BD!$AD$3:$AD$5001,"&lt;&gt;")=0,"",SUMIFS(BD!$AD$3:$AD$5001,BD!$A$3:$A$5001,X$3,BD!$B$3:$B$5001,$A$539)))</f>
        <v/>
      </c>
      <c r="Y567" s="236" t="str">
        <f>IF(Y$3="","",IF(COUNTIFS(BD!$A$3:$A$5001,Y$3,BD!$B$3:$B$5001,$A$539,BD!$AD$3:$AD$5001,"&lt;&gt;")=0,"",SUMIFS(BD!$AD$3:$AD$5001,BD!$A$3:$A$5001,Y$3,BD!$B$3:$B$5001,$A$539)))</f>
        <v/>
      </c>
      <c r="Z567" s="236" t="str">
        <f>IF(Z$3="","",IF(COUNTIFS(BD!$A$3:$A$5001,Z$3,BD!$B$3:$B$5001,$A$539,BD!$AD$3:$AD$5001,"&lt;&gt;")=0,"",SUMIFS(BD!$AD$3:$AD$5001,BD!$A$3:$A$5001,Z$3,BD!$B$3:$B$5001,$A$539)))</f>
        <v/>
      </c>
      <c r="AA567" s="236" t="str">
        <f>IF(AA$3="","",IF(COUNTIFS(BD!$A$3:$A$5001,AA$3,BD!$B$3:$B$5001,$A$539,BD!$AD$3:$AD$5001,"&lt;&gt;")=0,"",SUMIFS(BD!$AD$3:$AD$5001,BD!$A$3:$A$5001,AA$3,BD!$B$3:$B$5001,$A$539)))</f>
        <v/>
      </c>
      <c r="AB567" s="236" t="str">
        <f>IF(AB$3="","",IF(COUNTIFS(BD!$A$3:$A$5001,AB$3,BD!$B$3:$B$5001,$A$539,BD!$AD$3:$AD$5001,"&lt;&gt;")=0,"",SUMIFS(BD!$AD$3:$AD$5001,BD!$A$3:$A$5001,AB$3,BD!$B$3:$B$5001,$A$539)))</f>
        <v/>
      </c>
      <c r="AC567" s="236" t="str">
        <f>IF(AC$3="","",IF(COUNTIFS(BD!$A$3:$A$5001,AC$3,BD!$B$3:$B$5001,$A$539,BD!$AD$3:$AD$5001,"&lt;&gt;")=0,"",SUMIFS(BD!$AD$3:$AD$5001,BD!$A$3:$A$5001,AC$3,BD!$B$3:$B$5001,$A$539)))</f>
        <v/>
      </c>
      <c r="AD567" s="236" t="str">
        <f>IF(AD$3="","",IF(COUNTIFS(BD!$A$3:$A$5001,AD$3,BD!$B$3:$B$5001,$A$539,BD!$AD$3:$AD$5001,"&lt;&gt;")=0,"",SUMIFS(BD!$AD$3:$AD$5001,BD!$A$3:$A$5001,AD$3,BD!$B$3:$B$5001,$A$539)))</f>
        <v/>
      </c>
      <c r="AE567" s="236" t="str">
        <f>IF(AE$3="","",IF(COUNTIFS(BD!$A$3:$A$5001,AE$3,BD!$B$3:$B$5001,$A$539,BD!$AD$3:$AD$5001,"&lt;&gt;")=0,"",SUMIFS(BD!$AD$3:$AD$5001,BD!$A$3:$A$5001,AE$3,BD!$B$3:$B$5001,$A$539)))</f>
        <v/>
      </c>
      <c r="AF567" s="236" t="str">
        <f>IF(AF$3="","",IF(COUNTIFS(BD!$A$3:$A$5001,AF$3,BD!$B$3:$B$5001,$A$539,BD!$AD$3:$AD$5001,"&lt;&gt;")=0,"",SUMIFS(BD!$AD$3:$AD$5001,BD!$A$3:$A$5001,AF$3,BD!$B$3:$B$5001,$A$539)))</f>
        <v/>
      </c>
      <c r="AG567" s="236" t="str">
        <f>IF(AG$3="","",IF(COUNTIFS(BD!$A$3:$A$5001,AG$3,BD!$B$3:$B$5001,$A$539,BD!$AD$3:$AD$5001,"&lt;&gt;")=0,"",SUMIFS(BD!$AD$3:$AD$5001,BD!$A$3:$A$5001,AG$3,BD!$B$3:$B$5001,$A$539)))</f>
        <v/>
      </c>
      <c r="AH567" s="236" t="str">
        <f>IF(AH$3="","",IF(COUNTIFS(BD!$A$3:$A$5001,AH$3,BD!$B$3:$B$5001,$A$539,BD!$AD$3:$AD$5001,"&lt;&gt;")=0,"",SUMIFS(BD!$AD$3:$AD$5001,BD!$A$3:$A$5001,AH$3,BD!$B$3:$B$5001,$A$539)))</f>
        <v/>
      </c>
      <c r="AI567" s="236" t="str">
        <f>IF(AI$3="","",IF(COUNTIFS(BD!$A$3:$A$5001,AI$3,BD!$B$3:$B$5001,$A$539,BD!$AD$3:$AD$5001,"&lt;&gt;")=0,"",SUMIFS(BD!$AD$3:$AD$5001,BD!$A$3:$A$5001,AI$3,BD!$B$3:$B$5001,$A$539)))</f>
        <v/>
      </c>
      <c r="AJ567" s="237" t="str">
        <f>IF(AJ$3="","",IF(COUNTIFS(BD!$A$3:$A$5001,AJ$3,BD!$B$3:$B$5001,$A$539,BD!$AD$3:$AD$5001,"&lt;&gt;")=0,"",SUMIFS(BD!$AD$3:$AD$5001,BD!$A$3:$A$5001,AJ$3,BD!$B$3:$B$5001,$A$539)))</f>
        <v/>
      </c>
      <c r="AK567" s="238" t="str">
        <f>IF(COUNT(F567:AJ567)=0,"",SUM(F567:AJ567))</f>
        <v/>
      </c>
    </row>
    <row r="568" ht="15.75" customHeight="1" hidden="1">
      <c r="A568" s="261"/>
      <c r="B568" s="258"/>
      <c r="C568" s="232" t="inlineStr">
        <is>
          <t xml:space="preserve">Desligamento</t>
        </is>
      </c>
      <c r="D568" s="233" t="str">
        <f>IFERROR(1/(1/INDEX(BD!$AL$52:$BF$52,MATCH($A$539,BD!$AL$22:$BF$22,0))),"")</f>
        <v/>
      </c>
      <c r="E568" s="234"/>
      <c r="F568" s="235" t="str">
        <f>IF(F$3="","",IF(COUNTIFS(BD!$A$3:$A$5001,F$3,BD!$B$3:$B$5001,$A$539,BD!$AE$3:$AE$5001,"&lt;&gt;")=0,"",SUMIFS(BD!$AE$3:$AE$5001,BD!$A$3:$A$5001,F$3,BD!$B$3:$B$5001,$A$539)))</f>
        <v/>
      </c>
      <c r="G568" s="236" t="str">
        <f>IF(G$3="","",IF(COUNTIFS(BD!$A$3:$A$5001,G$3,BD!$B$3:$B$5001,$A$539,BD!$AE$3:$AE$5001,"&lt;&gt;")=0,"",SUMIFS(BD!$AE$3:$AE$5001,BD!$A$3:$A$5001,G$3,BD!$B$3:$B$5001,$A$539)))</f>
        <v/>
      </c>
      <c r="H568" s="236" t="str">
        <f>IF(H$3="","",IF(COUNTIFS(BD!$A$3:$A$5001,H$3,BD!$B$3:$B$5001,$A$539,BD!$AE$3:$AE$5001,"&lt;&gt;")=0,"",SUMIFS(BD!$AE$3:$AE$5001,BD!$A$3:$A$5001,H$3,BD!$B$3:$B$5001,$A$539)))</f>
        <v/>
      </c>
      <c r="I568" s="236" t="str">
        <f>IF(I$3="","",IF(COUNTIFS(BD!$A$3:$A$5001,I$3,BD!$B$3:$B$5001,$A$539,BD!$AE$3:$AE$5001,"&lt;&gt;")=0,"",SUMIFS(BD!$AE$3:$AE$5001,BD!$A$3:$A$5001,I$3,BD!$B$3:$B$5001,$A$539)))</f>
        <v/>
      </c>
      <c r="J568" s="236" t="str">
        <f>IF(J$3="","",IF(COUNTIFS(BD!$A$3:$A$5001,J$3,BD!$B$3:$B$5001,$A$539,BD!$AE$3:$AE$5001,"&lt;&gt;")=0,"",SUMIFS(BD!$AE$3:$AE$5001,BD!$A$3:$A$5001,J$3,BD!$B$3:$B$5001,$A$539)))</f>
        <v/>
      </c>
      <c r="K568" s="236" t="str">
        <f>IF(K$3="","",IF(COUNTIFS(BD!$A$3:$A$5001,K$3,BD!$B$3:$B$5001,$A$539,BD!$AE$3:$AE$5001,"&lt;&gt;")=0,"",SUMIFS(BD!$AE$3:$AE$5001,BD!$A$3:$A$5001,K$3,BD!$B$3:$B$5001,$A$539)))</f>
        <v/>
      </c>
      <c r="L568" s="236" t="str">
        <f>IF(L$3="","",IF(COUNTIFS(BD!$A$3:$A$5001,L$3,BD!$B$3:$B$5001,$A$539,BD!$AE$3:$AE$5001,"&lt;&gt;")=0,"",SUMIFS(BD!$AE$3:$AE$5001,BD!$A$3:$A$5001,L$3,BD!$B$3:$B$5001,$A$539)))</f>
        <v/>
      </c>
      <c r="M568" s="236" t="str">
        <f>IF(M$3="","",IF(COUNTIFS(BD!$A$3:$A$5001,M$3,BD!$B$3:$B$5001,$A$539,BD!$AE$3:$AE$5001,"&lt;&gt;")=0,"",SUMIFS(BD!$AE$3:$AE$5001,BD!$A$3:$A$5001,M$3,BD!$B$3:$B$5001,$A$539)))</f>
        <v/>
      </c>
      <c r="N568" s="236" t="str">
        <f>IF(N$3="","",IF(COUNTIFS(BD!$A$3:$A$5001,N$3,BD!$B$3:$B$5001,$A$539,BD!$AE$3:$AE$5001,"&lt;&gt;")=0,"",SUMIFS(BD!$AE$3:$AE$5001,BD!$A$3:$A$5001,N$3,BD!$B$3:$B$5001,$A$539)))</f>
        <v/>
      </c>
      <c r="O568" s="236" t="str">
        <f>IF(O$3="","",IF(COUNTIFS(BD!$A$3:$A$5001,O$3,BD!$B$3:$B$5001,$A$539,BD!$AE$3:$AE$5001,"&lt;&gt;")=0,"",SUMIFS(BD!$AE$3:$AE$5001,BD!$A$3:$A$5001,O$3,BD!$B$3:$B$5001,$A$539)))</f>
        <v/>
      </c>
      <c r="P568" s="236" t="str">
        <f>IF(P$3="","",IF(COUNTIFS(BD!$A$3:$A$5001,P$3,BD!$B$3:$B$5001,$A$539,BD!$AE$3:$AE$5001,"&lt;&gt;")=0,"",SUMIFS(BD!$AE$3:$AE$5001,BD!$A$3:$A$5001,P$3,BD!$B$3:$B$5001,$A$539)))</f>
        <v/>
      </c>
      <c r="Q568" s="236" t="str">
        <f>IF(Q$3="","",IF(COUNTIFS(BD!$A$3:$A$5001,Q$3,BD!$B$3:$B$5001,$A$539,BD!$AE$3:$AE$5001,"&lt;&gt;")=0,"",SUMIFS(BD!$AE$3:$AE$5001,BD!$A$3:$A$5001,Q$3,BD!$B$3:$B$5001,$A$539)))</f>
        <v/>
      </c>
      <c r="R568" s="236" t="str">
        <f>IF(R$3="","",IF(COUNTIFS(BD!$A$3:$A$5001,R$3,BD!$B$3:$B$5001,$A$539,BD!$AE$3:$AE$5001,"&lt;&gt;")=0,"",SUMIFS(BD!$AE$3:$AE$5001,BD!$A$3:$A$5001,R$3,BD!$B$3:$B$5001,$A$539)))</f>
        <v/>
      </c>
      <c r="S568" s="236" t="str">
        <f>IF(S$3="","",IF(COUNTIFS(BD!$A$3:$A$5001,S$3,BD!$B$3:$B$5001,$A$539,BD!$AE$3:$AE$5001,"&lt;&gt;")=0,"",SUMIFS(BD!$AE$3:$AE$5001,BD!$A$3:$A$5001,S$3,BD!$B$3:$B$5001,$A$539)))</f>
        <v/>
      </c>
      <c r="T568" s="236" t="str">
        <f>IF(T$3="","",IF(COUNTIFS(BD!$A$3:$A$5001,T$3,BD!$B$3:$B$5001,$A$539,BD!$AE$3:$AE$5001,"&lt;&gt;")=0,"",SUMIFS(BD!$AE$3:$AE$5001,BD!$A$3:$A$5001,T$3,BD!$B$3:$B$5001,$A$539)))</f>
        <v/>
      </c>
      <c r="U568" s="236" t="str">
        <f>IF(U$3="","",IF(COUNTIFS(BD!$A$3:$A$5001,U$3,BD!$B$3:$B$5001,$A$539,BD!$AE$3:$AE$5001,"&lt;&gt;")=0,"",SUMIFS(BD!$AE$3:$AE$5001,BD!$A$3:$A$5001,U$3,BD!$B$3:$B$5001,$A$539)))</f>
        <v/>
      </c>
      <c r="V568" s="236" t="str">
        <f>IF(V$3="","",IF(COUNTIFS(BD!$A$3:$A$5001,V$3,BD!$B$3:$B$5001,$A$539,BD!$AE$3:$AE$5001,"&lt;&gt;")=0,"",SUMIFS(BD!$AE$3:$AE$5001,BD!$A$3:$A$5001,V$3,BD!$B$3:$B$5001,$A$539)))</f>
        <v/>
      </c>
      <c r="W568" s="236" t="str">
        <f>IF(W$3="","",IF(COUNTIFS(BD!$A$3:$A$5001,W$3,BD!$B$3:$B$5001,$A$539,BD!$AE$3:$AE$5001,"&lt;&gt;")=0,"",SUMIFS(BD!$AE$3:$AE$5001,BD!$A$3:$A$5001,W$3,BD!$B$3:$B$5001,$A$539)))</f>
        <v/>
      </c>
      <c r="X568" s="236" t="str">
        <f>IF(X$3="","",IF(COUNTIFS(BD!$A$3:$A$5001,X$3,BD!$B$3:$B$5001,$A$539,BD!$AE$3:$AE$5001,"&lt;&gt;")=0,"",SUMIFS(BD!$AE$3:$AE$5001,BD!$A$3:$A$5001,X$3,BD!$B$3:$B$5001,$A$539)))</f>
        <v/>
      </c>
      <c r="Y568" s="236" t="str">
        <f>IF(Y$3="","",IF(COUNTIFS(BD!$A$3:$A$5001,Y$3,BD!$B$3:$B$5001,$A$539,BD!$AE$3:$AE$5001,"&lt;&gt;")=0,"",SUMIFS(BD!$AE$3:$AE$5001,BD!$A$3:$A$5001,Y$3,BD!$B$3:$B$5001,$A$539)))</f>
        <v/>
      </c>
      <c r="Z568" s="236" t="str">
        <f>IF(Z$3="","",IF(COUNTIFS(BD!$A$3:$A$5001,Z$3,BD!$B$3:$B$5001,$A$539,BD!$AE$3:$AE$5001,"&lt;&gt;")=0,"",SUMIFS(BD!$AE$3:$AE$5001,BD!$A$3:$A$5001,Z$3,BD!$B$3:$B$5001,$A$539)))</f>
        <v/>
      </c>
      <c r="AA568" s="236" t="str">
        <f>IF(AA$3="","",IF(COUNTIFS(BD!$A$3:$A$5001,AA$3,BD!$B$3:$B$5001,$A$539,BD!$AE$3:$AE$5001,"&lt;&gt;")=0,"",SUMIFS(BD!$AE$3:$AE$5001,BD!$A$3:$A$5001,AA$3,BD!$B$3:$B$5001,$A$539)))</f>
        <v/>
      </c>
      <c r="AB568" s="236" t="str">
        <f>IF(AB$3="","",IF(COUNTIFS(BD!$A$3:$A$5001,AB$3,BD!$B$3:$B$5001,$A$539,BD!$AE$3:$AE$5001,"&lt;&gt;")=0,"",SUMIFS(BD!$AE$3:$AE$5001,BD!$A$3:$A$5001,AB$3,BD!$B$3:$B$5001,$A$539)))</f>
        <v/>
      </c>
      <c r="AC568" s="236" t="str">
        <f>IF(AC$3="","",IF(COUNTIFS(BD!$A$3:$A$5001,AC$3,BD!$B$3:$B$5001,$A$539,BD!$AE$3:$AE$5001,"&lt;&gt;")=0,"",SUMIFS(BD!$AE$3:$AE$5001,BD!$A$3:$A$5001,AC$3,BD!$B$3:$B$5001,$A$539)))</f>
        <v/>
      </c>
      <c r="AD568" s="236" t="str">
        <f>IF(AD$3="","",IF(COUNTIFS(BD!$A$3:$A$5001,AD$3,BD!$B$3:$B$5001,$A$539,BD!$AE$3:$AE$5001,"&lt;&gt;")=0,"",SUMIFS(BD!$AE$3:$AE$5001,BD!$A$3:$A$5001,AD$3,BD!$B$3:$B$5001,$A$539)))</f>
        <v/>
      </c>
      <c r="AE568" s="236" t="str">
        <f>IF(AE$3="","",IF(COUNTIFS(BD!$A$3:$A$5001,AE$3,BD!$B$3:$B$5001,$A$539,BD!$AE$3:$AE$5001,"&lt;&gt;")=0,"",SUMIFS(BD!$AE$3:$AE$5001,BD!$A$3:$A$5001,AE$3,BD!$B$3:$B$5001,$A$539)))</f>
        <v/>
      </c>
      <c r="AF568" s="236" t="str">
        <f>IF(AF$3="","",IF(COUNTIFS(BD!$A$3:$A$5001,AF$3,BD!$B$3:$B$5001,$A$539,BD!$AE$3:$AE$5001,"&lt;&gt;")=0,"",SUMIFS(BD!$AE$3:$AE$5001,BD!$A$3:$A$5001,AF$3,BD!$B$3:$B$5001,$A$539)))</f>
        <v/>
      </c>
      <c r="AG568" s="236" t="str">
        <f>IF(AG$3="","",IF(COUNTIFS(BD!$A$3:$A$5001,AG$3,BD!$B$3:$B$5001,$A$539,BD!$AE$3:$AE$5001,"&lt;&gt;")=0,"",SUMIFS(BD!$AE$3:$AE$5001,BD!$A$3:$A$5001,AG$3,BD!$B$3:$B$5001,$A$539)))</f>
        <v/>
      </c>
      <c r="AH568" s="236" t="str">
        <f>IF(AH$3="","",IF(COUNTIFS(BD!$A$3:$A$5001,AH$3,BD!$B$3:$B$5001,$A$539,BD!$AE$3:$AE$5001,"&lt;&gt;")=0,"",SUMIFS(BD!$AE$3:$AE$5001,BD!$A$3:$A$5001,AH$3,BD!$B$3:$B$5001,$A$539)))</f>
        <v/>
      </c>
      <c r="AI568" s="236" t="str">
        <f>IF(AI$3="","",IF(COUNTIFS(BD!$A$3:$A$5001,AI$3,BD!$B$3:$B$5001,$A$539,BD!$AE$3:$AE$5001,"&lt;&gt;")=0,"",SUMIFS(BD!$AE$3:$AE$5001,BD!$A$3:$A$5001,AI$3,BD!$B$3:$B$5001,$A$539)))</f>
        <v/>
      </c>
      <c r="AJ568" s="237" t="str">
        <f>IF(AJ$3="","",IF(COUNTIFS(BD!$A$3:$A$5001,AJ$3,BD!$B$3:$B$5001,$A$539,BD!$AE$3:$AE$5001,"&lt;&gt;")=0,"",SUMIFS(BD!$AE$3:$AE$5001,BD!$A$3:$A$5001,AJ$3,BD!$B$3:$B$5001,$A$539)))</f>
        <v/>
      </c>
      <c r="AK568" s="238" t="str">
        <f>IF(COUNT(F568:AJ568)=0,"",SUM(F568:AJ568))</f>
        <v/>
      </c>
    </row>
    <row r="569" ht="15.75" customHeight="1" hidden="1">
      <c r="A569" s="261"/>
      <c r="B569" s="258"/>
      <c r="C569" s="232" t="inlineStr">
        <is>
          <t xml:space="preserve">Desvios Comportamentais</t>
        </is>
      </c>
      <c r="D569" s="233" t="str">
        <f>IFERROR(1/(1/INDEX(BD!$AL$53:$BF$53,MATCH($A$539,BD!$AL$22:$BF$22,0))),"")</f>
        <v/>
      </c>
      <c r="E569" s="234"/>
      <c r="F569" s="235" t="str">
        <f>IF(F$3="","",IF(COUNTIFS(BD!$A$3:$A$5001,F$3,BD!$B$3:$B$5001,$A$539,BD!$AF$3:$AF$5001,"&lt;&gt;")=0,"",SUMIFS(BD!$AF$3:$AF$5001,BD!$A$3:$A$5001,F$3,BD!$B$3:$B$5001,$A$539)))</f>
        <v/>
      </c>
      <c r="G569" s="236" t="str">
        <f>IF(G$3="","",IF(COUNTIFS(BD!$A$3:$A$5001,G$3,BD!$B$3:$B$5001,$A$539,BD!$AF$3:$AF$5001,"&lt;&gt;")=0,"",SUMIFS(BD!$AF$3:$AF$5001,BD!$A$3:$A$5001,G$3,BD!$B$3:$B$5001,$A$539)))</f>
        <v/>
      </c>
      <c r="H569" s="236" t="str">
        <f>IF(H$3="","",IF(COUNTIFS(BD!$A$3:$A$5001,H$3,BD!$B$3:$B$5001,$A$539,BD!$AF$3:$AF$5001,"&lt;&gt;")=0,"",SUMIFS(BD!$AF$3:$AF$5001,BD!$A$3:$A$5001,H$3,BD!$B$3:$B$5001,$A$539)))</f>
        <v/>
      </c>
      <c r="I569" s="236" t="str">
        <f>IF(I$3="","",IF(COUNTIFS(BD!$A$3:$A$5001,I$3,BD!$B$3:$B$5001,$A$539,BD!$AF$3:$AF$5001,"&lt;&gt;")=0,"",SUMIFS(BD!$AF$3:$AF$5001,BD!$A$3:$A$5001,I$3,BD!$B$3:$B$5001,$A$539)))</f>
        <v/>
      </c>
      <c r="J569" s="236" t="str">
        <f>IF(J$3="","",IF(COUNTIFS(BD!$A$3:$A$5001,J$3,BD!$B$3:$B$5001,$A$539,BD!$AF$3:$AF$5001,"&lt;&gt;")=0,"",SUMIFS(BD!$AF$3:$AF$5001,BD!$A$3:$A$5001,J$3,BD!$B$3:$B$5001,$A$539)))</f>
        <v/>
      </c>
      <c r="K569" s="236" t="str">
        <f>IF(K$3="","",IF(COUNTIFS(BD!$A$3:$A$5001,K$3,BD!$B$3:$B$5001,$A$539,BD!$AF$3:$AF$5001,"&lt;&gt;")=0,"",SUMIFS(BD!$AF$3:$AF$5001,BD!$A$3:$A$5001,K$3,BD!$B$3:$B$5001,$A$539)))</f>
        <v/>
      </c>
      <c r="L569" s="236" t="str">
        <f>IF(L$3="","",IF(COUNTIFS(BD!$A$3:$A$5001,L$3,BD!$B$3:$B$5001,$A$539,BD!$AF$3:$AF$5001,"&lt;&gt;")=0,"",SUMIFS(BD!$AF$3:$AF$5001,BD!$A$3:$A$5001,L$3,BD!$B$3:$B$5001,$A$539)))</f>
        <v/>
      </c>
      <c r="M569" s="236" t="str">
        <f>IF(M$3="","",IF(COUNTIFS(BD!$A$3:$A$5001,M$3,BD!$B$3:$B$5001,$A$539,BD!$AF$3:$AF$5001,"&lt;&gt;")=0,"",SUMIFS(BD!$AF$3:$AF$5001,BD!$A$3:$A$5001,M$3,BD!$B$3:$B$5001,$A$539)))</f>
        <v/>
      </c>
      <c r="N569" s="236" t="str">
        <f>IF(N$3="","",IF(COUNTIFS(BD!$A$3:$A$5001,N$3,BD!$B$3:$B$5001,$A$539,BD!$AF$3:$AF$5001,"&lt;&gt;")=0,"",SUMIFS(BD!$AF$3:$AF$5001,BD!$A$3:$A$5001,N$3,BD!$B$3:$B$5001,$A$539)))</f>
        <v/>
      </c>
      <c r="O569" s="236" t="str">
        <f>IF(O$3="","",IF(COUNTIFS(BD!$A$3:$A$5001,O$3,BD!$B$3:$B$5001,$A$539,BD!$AF$3:$AF$5001,"&lt;&gt;")=0,"",SUMIFS(BD!$AF$3:$AF$5001,BD!$A$3:$A$5001,O$3,BD!$B$3:$B$5001,$A$539)))</f>
        <v/>
      </c>
      <c r="P569" s="236" t="str">
        <f>IF(P$3="","",IF(COUNTIFS(BD!$A$3:$A$5001,P$3,BD!$B$3:$B$5001,$A$539,BD!$AF$3:$AF$5001,"&lt;&gt;")=0,"",SUMIFS(BD!$AF$3:$AF$5001,BD!$A$3:$A$5001,P$3,BD!$B$3:$B$5001,$A$539)))</f>
        <v/>
      </c>
      <c r="Q569" s="236" t="str">
        <f>IF(Q$3="","",IF(COUNTIFS(BD!$A$3:$A$5001,Q$3,BD!$B$3:$B$5001,$A$539,BD!$AF$3:$AF$5001,"&lt;&gt;")=0,"",SUMIFS(BD!$AF$3:$AF$5001,BD!$A$3:$A$5001,Q$3,BD!$B$3:$B$5001,$A$539)))</f>
        <v/>
      </c>
      <c r="R569" s="236" t="str">
        <f>IF(R$3="","",IF(COUNTIFS(BD!$A$3:$A$5001,R$3,BD!$B$3:$B$5001,$A$539,BD!$AF$3:$AF$5001,"&lt;&gt;")=0,"",SUMIFS(BD!$AF$3:$AF$5001,BD!$A$3:$A$5001,R$3,BD!$B$3:$B$5001,$A$539)))</f>
        <v/>
      </c>
      <c r="S569" s="236" t="str">
        <f>IF(S$3="","",IF(COUNTIFS(BD!$A$3:$A$5001,S$3,BD!$B$3:$B$5001,$A$539,BD!$AF$3:$AF$5001,"&lt;&gt;")=0,"",SUMIFS(BD!$AF$3:$AF$5001,BD!$A$3:$A$5001,S$3,BD!$B$3:$B$5001,$A$539)))</f>
        <v/>
      </c>
      <c r="T569" s="236" t="str">
        <f>IF(T$3="","",IF(COUNTIFS(BD!$A$3:$A$5001,T$3,BD!$B$3:$B$5001,$A$539,BD!$AF$3:$AF$5001,"&lt;&gt;")=0,"",SUMIFS(BD!$AF$3:$AF$5001,BD!$A$3:$A$5001,T$3,BD!$B$3:$B$5001,$A$539)))</f>
        <v/>
      </c>
      <c r="U569" s="236" t="str">
        <f>IF(U$3="","",IF(COUNTIFS(BD!$A$3:$A$5001,U$3,BD!$B$3:$B$5001,$A$539,BD!$AF$3:$AF$5001,"&lt;&gt;")=0,"",SUMIFS(BD!$AF$3:$AF$5001,BD!$A$3:$A$5001,U$3,BD!$B$3:$B$5001,$A$539)))</f>
        <v/>
      </c>
      <c r="V569" s="236" t="str">
        <f>IF(V$3="","",IF(COUNTIFS(BD!$A$3:$A$5001,V$3,BD!$B$3:$B$5001,$A$539,BD!$AF$3:$AF$5001,"&lt;&gt;")=0,"",SUMIFS(BD!$AF$3:$AF$5001,BD!$A$3:$A$5001,V$3,BD!$B$3:$B$5001,$A$539)))</f>
        <v/>
      </c>
      <c r="W569" s="236" t="str">
        <f>IF(W$3="","",IF(COUNTIFS(BD!$A$3:$A$5001,W$3,BD!$B$3:$B$5001,$A$539,BD!$AF$3:$AF$5001,"&lt;&gt;")=0,"",SUMIFS(BD!$AF$3:$AF$5001,BD!$A$3:$A$5001,W$3,BD!$B$3:$B$5001,$A$539)))</f>
        <v/>
      </c>
      <c r="X569" s="236" t="str">
        <f>IF(X$3="","",IF(COUNTIFS(BD!$A$3:$A$5001,X$3,BD!$B$3:$B$5001,$A$539,BD!$AF$3:$AF$5001,"&lt;&gt;")=0,"",SUMIFS(BD!$AF$3:$AF$5001,BD!$A$3:$A$5001,X$3,BD!$B$3:$B$5001,$A$539)))</f>
        <v/>
      </c>
      <c r="Y569" s="236" t="str">
        <f>IF(Y$3="","",IF(COUNTIFS(BD!$A$3:$A$5001,Y$3,BD!$B$3:$B$5001,$A$539,BD!$AF$3:$AF$5001,"&lt;&gt;")=0,"",SUMIFS(BD!$AF$3:$AF$5001,BD!$A$3:$A$5001,Y$3,BD!$B$3:$B$5001,$A$539)))</f>
        <v/>
      </c>
      <c r="Z569" s="236" t="str">
        <f>IF(Z$3="","",IF(COUNTIFS(BD!$A$3:$A$5001,Z$3,BD!$B$3:$B$5001,$A$539,BD!$AF$3:$AF$5001,"&lt;&gt;")=0,"",SUMIFS(BD!$AF$3:$AF$5001,BD!$A$3:$A$5001,Z$3,BD!$B$3:$B$5001,$A$539)))</f>
        <v/>
      </c>
      <c r="AA569" s="236" t="str">
        <f>IF(AA$3="","",IF(COUNTIFS(BD!$A$3:$A$5001,AA$3,BD!$B$3:$B$5001,$A$539,BD!$AF$3:$AF$5001,"&lt;&gt;")=0,"",SUMIFS(BD!$AF$3:$AF$5001,BD!$A$3:$A$5001,AA$3,BD!$B$3:$B$5001,$A$539)))</f>
        <v/>
      </c>
      <c r="AB569" s="236" t="str">
        <f>IF(AB$3="","",IF(COUNTIFS(BD!$A$3:$A$5001,AB$3,BD!$B$3:$B$5001,$A$539,BD!$AF$3:$AF$5001,"&lt;&gt;")=0,"",SUMIFS(BD!$AF$3:$AF$5001,BD!$A$3:$A$5001,AB$3,BD!$B$3:$B$5001,$A$539)))</f>
        <v/>
      </c>
      <c r="AC569" s="236" t="str">
        <f>IF(AC$3="","",IF(COUNTIFS(BD!$A$3:$A$5001,AC$3,BD!$B$3:$B$5001,$A$539,BD!$AF$3:$AF$5001,"&lt;&gt;")=0,"",SUMIFS(BD!$AF$3:$AF$5001,BD!$A$3:$A$5001,AC$3,BD!$B$3:$B$5001,$A$539)))</f>
        <v/>
      </c>
      <c r="AD569" s="236" t="str">
        <f>IF(AD$3="","",IF(COUNTIFS(BD!$A$3:$A$5001,AD$3,BD!$B$3:$B$5001,$A$539,BD!$AF$3:$AF$5001,"&lt;&gt;")=0,"",SUMIFS(BD!$AF$3:$AF$5001,BD!$A$3:$A$5001,AD$3,BD!$B$3:$B$5001,$A$539)))</f>
        <v/>
      </c>
      <c r="AE569" s="236" t="str">
        <f>IF(AE$3="","",IF(COUNTIFS(BD!$A$3:$A$5001,AE$3,BD!$B$3:$B$5001,$A$539,BD!$AF$3:$AF$5001,"&lt;&gt;")=0,"",SUMIFS(BD!$AF$3:$AF$5001,BD!$A$3:$A$5001,AE$3,BD!$B$3:$B$5001,$A$539)))</f>
        <v/>
      </c>
      <c r="AF569" s="236" t="str">
        <f>IF(AF$3="","",IF(COUNTIFS(BD!$A$3:$A$5001,AF$3,BD!$B$3:$B$5001,$A$539,BD!$AF$3:$AF$5001,"&lt;&gt;")=0,"",SUMIFS(BD!$AF$3:$AF$5001,BD!$A$3:$A$5001,AF$3,BD!$B$3:$B$5001,$A$539)))</f>
        <v/>
      </c>
      <c r="AG569" s="236" t="str">
        <f>IF(AG$3="","",IF(COUNTIFS(BD!$A$3:$A$5001,AG$3,BD!$B$3:$B$5001,$A$539,BD!$AF$3:$AF$5001,"&lt;&gt;")=0,"",SUMIFS(BD!$AF$3:$AF$5001,BD!$A$3:$A$5001,AG$3,BD!$B$3:$B$5001,$A$539)))</f>
        <v/>
      </c>
      <c r="AH569" s="236" t="str">
        <f>IF(AH$3="","",IF(COUNTIFS(BD!$A$3:$A$5001,AH$3,BD!$B$3:$B$5001,$A$539,BD!$AF$3:$AF$5001,"&lt;&gt;")=0,"",SUMIFS(BD!$AF$3:$AF$5001,BD!$A$3:$A$5001,AH$3,BD!$B$3:$B$5001,$A$539)))</f>
        <v/>
      </c>
      <c r="AI569" s="236" t="str">
        <f>IF(AI$3="","",IF(COUNTIFS(BD!$A$3:$A$5001,AI$3,BD!$B$3:$B$5001,$A$539,BD!$AF$3:$AF$5001,"&lt;&gt;")=0,"",SUMIFS(BD!$AF$3:$AF$5001,BD!$A$3:$A$5001,AI$3,BD!$B$3:$B$5001,$A$539)))</f>
        <v/>
      </c>
      <c r="AJ569" s="237" t="str">
        <f>IF(AJ$3="","",IF(COUNTIFS(BD!$A$3:$A$5001,AJ$3,BD!$B$3:$B$5001,$A$539,BD!$AF$3:$AF$5001,"&lt;&gt;")=0,"",SUMIFS(BD!$AF$3:$AF$5001,BD!$A$3:$A$5001,AJ$3,BD!$B$3:$B$5001,$A$539)))</f>
        <v/>
      </c>
      <c r="AK569" s="238" t="str">
        <f>IF(COUNT(F569:AJ569)=0,"",SUM(F569:AJ569))</f>
        <v/>
      </c>
    </row>
    <row r="570" ht="15.75" customHeight="1" hidden="1">
      <c r="A570" s="261"/>
      <c r="B570" s="258"/>
      <c r="C570" s="232" t="inlineStr">
        <is>
          <t xml:space="preserve">Acidentes CAF</t>
        </is>
      </c>
      <c r="D570" s="233" t="str">
        <f>IFERROR(1/(1/INDEX(BD!$AL$54:$BF$54,MATCH($A$539,BD!$AL$22:$BF$22,0))),"")</f>
        <v/>
      </c>
      <c r="E570" s="234"/>
      <c r="F570" s="235" t="str">
        <f>IF(F$3="","",IF(COUNTIFS(BD!$A$3:$A$5001,F$3,BD!$B$3:$B$5001,$A$539,BD!$AG$3:$AG$5001,"&lt;&gt;")=0,"",SUMIFS(BD!$AG$3:$AG$5001,BD!$A$3:$A$5001,F$3,BD!$B$3:$B$5001,$A$539)))</f>
        <v/>
      </c>
      <c r="G570" s="236" t="str">
        <f>IF(G$3="","",IF(COUNTIFS(BD!$A$3:$A$5001,G$3,BD!$B$3:$B$5001,$A$539,BD!$AG$3:$AG$5001,"&lt;&gt;")=0,"",SUMIFS(BD!$AG$3:$AG$5001,BD!$A$3:$A$5001,G$3,BD!$B$3:$B$5001,$A$539)))</f>
        <v/>
      </c>
      <c r="H570" s="236" t="str">
        <f>IF(H$3="","",IF(COUNTIFS(BD!$A$3:$A$5001,H$3,BD!$B$3:$B$5001,$A$539,BD!$AG$3:$AG$5001,"&lt;&gt;")=0,"",SUMIFS(BD!$AG$3:$AG$5001,BD!$A$3:$A$5001,H$3,BD!$B$3:$B$5001,$A$539)))</f>
        <v/>
      </c>
      <c r="I570" s="236" t="str">
        <f>IF(I$3="","",IF(COUNTIFS(BD!$A$3:$A$5001,I$3,BD!$B$3:$B$5001,$A$539,BD!$AG$3:$AG$5001,"&lt;&gt;")=0,"",SUMIFS(BD!$AG$3:$AG$5001,BD!$A$3:$A$5001,I$3,BD!$B$3:$B$5001,$A$539)))</f>
        <v/>
      </c>
      <c r="J570" s="236" t="str">
        <f>IF(J$3="","",IF(COUNTIFS(BD!$A$3:$A$5001,J$3,BD!$B$3:$B$5001,$A$539,BD!$AG$3:$AG$5001,"&lt;&gt;")=0,"",SUMIFS(BD!$AG$3:$AG$5001,BD!$A$3:$A$5001,J$3,BD!$B$3:$B$5001,$A$539)))</f>
        <v/>
      </c>
      <c r="K570" s="236" t="str">
        <f>IF(K$3="","",IF(COUNTIFS(BD!$A$3:$A$5001,K$3,BD!$B$3:$B$5001,$A$539,BD!$AG$3:$AG$5001,"&lt;&gt;")=0,"",SUMIFS(BD!$AG$3:$AG$5001,BD!$A$3:$A$5001,K$3,BD!$B$3:$B$5001,$A$539)))</f>
        <v/>
      </c>
      <c r="L570" s="236" t="str">
        <f>IF(L$3="","",IF(COUNTIFS(BD!$A$3:$A$5001,L$3,BD!$B$3:$B$5001,$A$539,BD!$AG$3:$AG$5001,"&lt;&gt;")=0,"",SUMIFS(BD!$AG$3:$AG$5001,BD!$A$3:$A$5001,L$3,BD!$B$3:$B$5001,$A$539)))</f>
        <v/>
      </c>
      <c r="M570" s="236" t="str">
        <f>IF(M$3="","",IF(COUNTIFS(BD!$A$3:$A$5001,M$3,BD!$B$3:$B$5001,$A$539,BD!$AG$3:$AG$5001,"&lt;&gt;")=0,"",SUMIFS(BD!$AG$3:$AG$5001,BD!$A$3:$A$5001,M$3,BD!$B$3:$B$5001,$A$539)))</f>
        <v/>
      </c>
      <c r="N570" s="236" t="str">
        <f>IF(N$3="","",IF(COUNTIFS(BD!$A$3:$A$5001,N$3,BD!$B$3:$B$5001,$A$539,BD!$AG$3:$AG$5001,"&lt;&gt;")=0,"",SUMIFS(BD!$AG$3:$AG$5001,BD!$A$3:$A$5001,N$3,BD!$B$3:$B$5001,$A$539)))</f>
        <v/>
      </c>
      <c r="O570" s="236" t="str">
        <f>IF(O$3="","",IF(COUNTIFS(BD!$A$3:$A$5001,O$3,BD!$B$3:$B$5001,$A$539,BD!$AG$3:$AG$5001,"&lt;&gt;")=0,"",SUMIFS(BD!$AG$3:$AG$5001,BD!$A$3:$A$5001,O$3,BD!$B$3:$B$5001,$A$539)))</f>
        <v/>
      </c>
      <c r="P570" s="236" t="str">
        <f>IF(P$3="","",IF(COUNTIFS(BD!$A$3:$A$5001,P$3,BD!$B$3:$B$5001,$A$539,BD!$AG$3:$AG$5001,"&lt;&gt;")=0,"",SUMIFS(BD!$AG$3:$AG$5001,BD!$A$3:$A$5001,P$3,BD!$B$3:$B$5001,$A$539)))</f>
        <v/>
      </c>
      <c r="Q570" s="236" t="str">
        <f>IF(Q$3="","",IF(COUNTIFS(BD!$A$3:$A$5001,Q$3,BD!$B$3:$B$5001,$A$539,BD!$AG$3:$AG$5001,"&lt;&gt;")=0,"",SUMIFS(BD!$AG$3:$AG$5001,BD!$A$3:$A$5001,Q$3,BD!$B$3:$B$5001,$A$539)))</f>
        <v/>
      </c>
      <c r="R570" s="236" t="str">
        <f>IF(R$3="","",IF(COUNTIFS(BD!$A$3:$A$5001,R$3,BD!$B$3:$B$5001,$A$539,BD!$AG$3:$AG$5001,"&lt;&gt;")=0,"",SUMIFS(BD!$AG$3:$AG$5001,BD!$A$3:$A$5001,R$3,BD!$B$3:$B$5001,$A$539)))</f>
        <v/>
      </c>
      <c r="S570" s="236" t="str">
        <f>IF(S$3="","",IF(COUNTIFS(BD!$A$3:$A$5001,S$3,BD!$B$3:$B$5001,$A$539,BD!$AG$3:$AG$5001,"&lt;&gt;")=0,"",SUMIFS(BD!$AG$3:$AG$5001,BD!$A$3:$A$5001,S$3,BD!$B$3:$B$5001,$A$539)))</f>
        <v/>
      </c>
      <c r="T570" s="236" t="str">
        <f>IF(T$3="","",IF(COUNTIFS(BD!$A$3:$A$5001,T$3,BD!$B$3:$B$5001,$A$539,BD!$AG$3:$AG$5001,"&lt;&gt;")=0,"",SUMIFS(BD!$AG$3:$AG$5001,BD!$A$3:$A$5001,T$3,BD!$B$3:$B$5001,$A$539)))</f>
        <v/>
      </c>
      <c r="U570" s="236" t="str">
        <f>IF(U$3="","",IF(COUNTIFS(BD!$A$3:$A$5001,U$3,BD!$B$3:$B$5001,$A$539,BD!$AG$3:$AG$5001,"&lt;&gt;")=0,"",SUMIFS(BD!$AG$3:$AG$5001,BD!$A$3:$A$5001,U$3,BD!$B$3:$B$5001,$A$539)))</f>
        <v/>
      </c>
      <c r="V570" s="236" t="str">
        <f>IF(V$3="","",IF(COUNTIFS(BD!$A$3:$A$5001,V$3,BD!$B$3:$B$5001,$A$539,BD!$AG$3:$AG$5001,"&lt;&gt;")=0,"",SUMIFS(BD!$AG$3:$AG$5001,BD!$A$3:$A$5001,V$3,BD!$B$3:$B$5001,$A$539)))</f>
        <v/>
      </c>
      <c r="W570" s="236" t="str">
        <f>IF(W$3="","",IF(COUNTIFS(BD!$A$3:$A$5001,W$3,BD!$B$3:$B$5001,$A$539,BD!$AG$3:$AG$5001,"&lt;&gt;")=0,"",SUMIFS(BD!$AG$3:$AG$5001,BD!$A$3:$A$5001,W$3,BD!$B$3:$B$5001,$A$539)))</f>
        <v/>
      </c>
      <c r="X570" s="236" t="str">
        <f>IF(X$3="","",IF(COUNTIFS(BD!$A$3:$A$5001,X$3,BD!$B$3:$B$5001,$A$539,BD!$AG$3:$AG$5001,"&lt;&gt;")=0,"",SUMIFS(BD!$AG$3:$AG$5001,BD!$A$3:$A$5001,X$3,BD!$B$3:$B$5001,$A$539)))</f>
        <v/>
      </c>
      <c r="Y570" s="236" t="str">
        <f>IF(Y$3="","",IF(COUNTIFS(BD!$A$3:$A$5001,Y$3,BD!$B$3:$B$5001,$A$539,BD!$AG$3:$AG$5001,"&lt;&gt;")=0,"",SUMIFS(BD!$AG$3:$AG$5001,BD!$A$3:$A$5001,Y$3,BD!$B$3:$B$5001,$A$539)))</f>
        <v/>
      </c>
      <c r="Z570" s="236" t="str">
        <f>IF(Z$3="","",IF(COUNTIFS(BD!$A$3:$A$5001,Z$3,BD!$B$3:$B$5001,$A$539,BD!$AG$3:$AG$5001,"&lt;&gt;")=0,"",SUMIFS(BD!$AG$3:$AG$5001,BD!$A$3:$A$5001,Z$3,BD!$B$3:$B$5001,$A$539)))</f>
        <v/>
      </c>
      <c r="AA570" s="236" t="str">
        <f>IF(AA$3="","",IF(COUNTIFS(BD!$A$3:$A$5001,AA$3,BD!$B$3:$B$5001,$A$539,BD!$AG$3:$AG$5001,"&lt;&gt;")=0,"",SUMIFS(BD!$AG$3:$AG$5001,BD!$A$3:$A$5001,AA$3,BD!$B$3:$B$5001,$A$539)))</f>
        <v/>
      </c>
      <c r="AB570" s="236" t="str">
        <f>IF(AB$3="","",IF(COUNTIFS(BD!$A$3:$A$5001,AB$3,BD!$B$3:$B$5001,$A$539,BD!$AG$3:$AG$5001,"&lt;&gt;")=0,"",SUMIFS(BD!$AG$3:$AG$5001,BD!$A$3:$A$5001,AB$3,BD!$B$3:$B$5001,$A$539)))</f>
        <v/>
      </c>
      <c r="AC570" s="236" t="str">
        <f>IF(AC$3="","",IF(COUNTIFS(BD!$A$3:$A$5001,AC$3,BD!$B$3:$B$5001,$A$539,BD!$AG$3:$AG$5001,"&lt;&gt;")=0,"",SUMIFS(BD!$AG$3:$AG$5001,BD!$A$3:$A$5001,AC$3,BD!$B$3:$B$5001,$A$539)))</f>
        <v/>
      </c>
      <c r="AD570" s="236" t="str">
        <f>IF(AD$3="","",IF(COUNTIFS(BD!$A$3:$A$5001,AD$3,BD!$B$3:$B$5001,$A$539,BD!$AG$3:$AG$5001,"&lt;&gt;")=0,"",SUMIFS(BD!$AG$3:$AG$5001,BD!$A$3:$A$5001,AD$3,BD!$B$3:$B$5001,$A$539)))</f>
        <v/>
      </c>
      <c r="AE570" s="236" t="str">
        <f>IF(AE$3="","",IF(COUNTIFS(BD!$A$3:$A$5001,AE$3,BD!$B$3:$B$5001,$A$539,BD!$AG$3:$AG$5001,"&lt;&gt;")=0,"",SUMIFS(BD!$AG$3:$AG$5001,BD!$A$3:$A$5001,AE$3,BD!$B$3:$B$5001,$A$539)))</f>
        <v/>
      </c>
      <c r="AF570" s="236" t="str">
        <f>IF(AF$3="","",IF(COUNTIFS(BD!$A$3:$A$5001,AF$3,BD!$B$3:$B$5001,$A$539,BD!$AG$3:$AG$5001,"&lt;&gt;")=0,"",SUMIFS(BD!$AG$3:$AG$5001,BD!$A$3:$A$5001,AF$3,BD!$B$3:$B$5001,$A$539)))</f>
        <v/>
      </c>
      <c r="AG570" s="236" t="str">
        <f>IF(AG$3="","",IF(COUNTIFS(BD!$A$3:$A$5001,AG$3,BD!$B$3:$B$5001,$A$539,BD!$AG$3:$AG$5001,"&lt;&gt;")=0,"",SUMIFS(BD!$AG$3:$AG$5001,BD!$A$3:$A$5001,AG$3,BD!$B$3:$B$5001,$A$539)))</f>
        <v/>
      </c>
      <c r="AH570" s="236" t="str">
        <f>IF(AH$3="","",IF(COUNTIFS(BD!$A$3:$A$5001,AH$3,BD!$B$3:$B$5001,$A$539,BD!$AG$3:$AG$5001,"&lt;&gt;")=0,"",SUMIFS(BD!$AG$3:$AG$5001,BD!$A$3:$A$5001,AH$3,BD!$B$3:$B$5001,$A$539)))</f>
        <v/>
      </c>
      <c r="AI570" s="236" t="str">
        <f>IF(AI$3="","",IF(COUNTIFS(BD!$A$3:$A$5001,AI$3,BD!$B$3:$B$5001,$A$539,BD!$AG$3:$AG$5001,"&lt;&gt;")=0,"",SUMIFS(BD!$AG$3:$AG$5001,BD!$A$3:$A$5001,AI$3,BD!$B$3:$B$5001,$A$539)))</f>
        <v/>
      </c>
      <c r="AJ570" s="237" t="str">
        <f>IF(AJ$3="","",IF(COUNTIFS(BD!$A$3:$A$5001,AJ$3,BD!$B$3:$B$5001,$A$539,BD!$AG$3:$AG$5001,"&lt;&gt;")=0,"",SUMIFS(BD!$AG$3:$AG$5001,BD!$A$3:$A$5001,AJ$3,BD!$B$3:$B$5001,$A$539)))</f>
        <v/>
      </c>
      <c r="AK570" s="238" t="str">
        <f>IF(COUNT(F570:AJ570)=0,"",SUM(F570:AJ570))</f>
        <v/>
      </c>
    </row>
    <row r="571" ht="15.75" customHeight="1" hidden="1">
      <c r="A571" s="262"/>
      <c r="B571" s="259"/>
      <c r="C571" s="243" t="inlineStr">
        <is>
          <t xml:space="preserve">Acidentes SAF</t>
        </is>
      </c>
      <c r="D571" s="244" t="str">
        <f>IFERROR(1/(1/INDEX(BD!$AL$55:$BF$55,MATCH($A$539,BD!$AL$22:$BF$22,0))),"")</f>
        <v/>
      </c>
      <c r="E571" s="245"/>
      <c r="F571" s="246" t="str">
        <f>IF(F$3="","",IF(COUNTIFS(BD!$A$3:$A$5001,F$3,BD!$B$3:$B$5001,$A$539,BD!$AH$3:$AH$5001,"&lt;&gt;")=0,"",SUMIFS(BD!$AH$3:$AH$5001,BD!$A$3:$A$5001,F$3,BD!$B$3:$B$5001,$A$539)))</f>
        <v/>
      </c>
      <c r="G571" s="247" t="str">
        <f>IF(G$3="","",IF(COUNTIFS(BD!$A$3:$A$5001,G$3,BD!$B$3:$B$5001,$A$539,BD!$AH$3:$AH$5001,"&lt;&gt;")=0,"",SUMIFS(BD!$AH$3:$AH$5001,BD!$A$3:$A$5001,G$3,BD!$B$3:$B$5001,$A$539)))</f>
        <v/>
      </c>
      <c r="H571" s="247" t="str">
        <f>IF(H$3="","",IF(COUNTIFS(BD!$A$3:$A$5001,H$3,BD!$B$3:$B$5001,$A$539,BD!$AH$3:$AH$5001,"&lt;&gt;")=0,"",SUMIFS(BD!$AH$3:$AH$5001,BD!$A$3:$A$5001,H$3,BD!$B$3:$B$5001,$A$539)))</f>
        <v/>
      </c>
      <c r="I571" s="247" t="str">
        <f>IF(I$3="","",IF(COUNTIFS(BD!$A$3:$A$5001,I$3,BD!$B$3:$B$5001,$A$539,BD!$AH$3:$AH$5001,"&lt;&gt;")=0,"",SUMIFS(BD!$AH$3:$AH$5001,BD!$A$3:$A$5001,I$3,BD!$B$3:$B$5001,$A$539)))</f>
        <v/>
      </c>
      <c r="J571" s="247" t="str">
        <f>IF(J$3="","",IF(COUNTIFS(BD!$A$3:$A$5001,J$3,BD!$B$3:$B$5001,$A$539,BD!$AH$3:$AH$5001,"&lt;&gt;")=0,"",SUMIFS(BD!$AH$3:$AH$5001,BD!$A$3:$A$5001,J$3,BD!$B$3:$B$5001,$A$539)))</f>
        <v/>
      </c>
      <c r="K571" s="247" t="str">
        <f>IF(K$3="","",IF(COUNTIFS(BD!$A$3:$A$5001,K$3,BD!$B$3:$B$5001,$A$539,BD!$AH$3:$AH$5001,"&lt;&gt;")=0,"",SUMIFS(BD!$AH$3:$AH$5001,BD!$A$3:$A$5001,K$3,BD!$B$3:$B$5001,$A$539)))</f>
        <v/>
      </c>
      <c r="L571" s="247" t="str">
        <f>IF(L$3="","",IF(COUNTIFS(BD!$A$3:$A$5001,L$3,BD!$B$3:$B$5001,$A$539,BD!$AH$3:$AH$5001,"&lt;&gt;")=0,"",SUMIFS(BD!$AH$3:$AH$5001,BD!$A$3:$A$5001,L$3,BD!$B$3:$B$5001,$A$539)))</f>
        <v/>
      </c>
      <c r="M571" s="247" t="str">
        <f>IF(M$3="","",IF(COUNTIFS(BD!$A$3:$A$5001,M$3,BD!$B$3:$B$5001,$A$539,BD!$AH$3:$AH$5001,"&lt;&gt;")=0,"",SUMIFS(BD!$AH$3:$AH$5001,BD!$A$3:$A$5001,M$3,BD!$B$3:$B$5001,$A$539)))</f>
        <v/>
      </c>
      <c r="N571" s="247" t="str">
        <f>IF(N$3="","",IF(COUNTIFS(BD!$A$3:$A$5001,N$3,BD!$B$3:$B$5001,$A$539,BD!$AH$3:$AH$5001,"&lt;&gt;")=0,"",SUMIFS(BD!$AH$3:$AH$5001,BD!$A$3:$A$5001,N$3,BD!$B$3:$B$5001,$A$539)))</f>
        <v/>
      </c>
      <c r="O571" s="247" t="str">
        <f>IF(O$3="","",IF(COUNTIFS(BD!$A$3:$A$5001,O$3,BD!$B$3:$B$5001,$A$539,BD!$AH$3:$AH$5001,"&lt;&gt;")=0,"",SUMIFS(BD!$AH$3:$AH$5001,BD!$A$3:$A$5001,O$3,BD!$B$3:$B$5001,$A$539)))</f>
        <v/>
      </c>
      <c r="P571" s="247" t="str">
        <f>IF(P$3="","",IF(COUNTIFS(BD!$A$3:$A$5001,P$3,BD!$B$3:$B$5001,$A$539,BD!$AH$3:$AH$5001,"&lt;&gt;")=0,"",SUMIFS(BD!$AH$3:$AH$5001,BD!$A$3:$A$5001,P$3,BD!$B$3:$B$5001,$A$539)))</f>
        <v/>
      </c>
      <c r="Q571" s="247" t="str">
        <f>IF(Q$3="","",IF(COUNTIFS(BD!$A$3:$A$5001,Q$3,BD!$B$3:$B$5001,$A$539,BD!$AH$3:$AH$5001,"&lt;&gt;")=0,"",SUMIFS(BD!$AH$3:$AH$5001,BD!$A$3:$A$5001,Q$3,BD!$B$3:$B$5001,$A$539)))</f>
        <v/>
      </c>
      <c r="R571" s="247" t="str">
        <f>IF(R$3="","",IF(COUNTIFS(BD!$A$3:$A$5001,R$3,BD!$B$3:$B$5001,$A$539,BD!$AH$3:$AH$5001,"&lt;&gt;")=0,"",SUMIFS(BD!$AH$3:$AH$5001,BD!$A$3:$A$5001,R$3,BD!$B$3:$B$5001,$A$539)))</f>
        <v/>
      </c>
      <c r="S571" s="247" t="str">
        <f>IF(S$3="","",IF(COUNTIFS(BD!$A$3:$A$5001,S$3,BD!$B$3:$B$5001,$A$539,BD!$AH$3:$AH$5001,"&lt;&gt;")=0,"",SUMIFS(BD!$AH$3:$AH$5001,BD!$A$3:$A$5001,S$3,BD!$B$3:$B$5001,$A$539)))</f>
        <v/>
      </c>
      <c r="T571" s="247" t="str">
        <f>IF(T$3="","",IF(COUNTIFS(BD!$A$3:$A$5001,T$3,BD!$B$3:$B$5001,$A$539,BD!$AH$3:$AH$5001,"&lt;&gt;")=0,"",SUMIFS(BD!$AH$3:$AH$5001,BD!$A$3:$A$5001,T$3,BD!$B$3:$B$5001,$A$539)))</f>
        <v/>
      </c>
      <c r="U571" s="247" t="str">
        <f>IF(U$3="","",IF(COUNTIFS(BD!$A$3:$A$5001,U$3,BD!$B$3:$B$5001,$A$539,BD!$AH$3:$AH$5001,"&lt;&gt;")=0,"",SUMIFS(BD!$AH$3:$AH$5001,BD!$A$3:$A$5001,U$3,BD!$B$3:$B$5001,$A$539)))</f>
        <v/>
      </c>
      <c r="V571" s="247" t="str">
        <f>IF(V$3="","",IF(COUNTIFS(BD!$A$3:$A$5001,V$3,BD!$B$3:$B$5001,$A$539,BD!$AH$3:$AH$5001,"&lt;&gt;")=0,"",SUMIFS(BD!$AH$3:$AH$5001,BD!$A$3:$A$5001,V$3,BD!$B$3:$B$5001,$A$539)))</f>
        <v/>
      </c>
      <c r="W571" s="247" t="str">
        <f>IF(W$3="","",IF(COUNTIFS(BD!$A$3:$A$5001,W$3,BD!$B$3:$B$5001,$A$539,BD!$AH$3:$AH$5001,"&lt;&gt;")=0,"",SUMIFS(BD!$AH$3:$AH$5001,BD!$A$3:$A$5001,W$3,BD!$B$3:$B$5001,$A$539)))</f>
        <v/>
      </c>
      <c r="X571" s="247" t="str">
        <f>IF(X$3="","",IF(COUNTIFS(BD!$A$3:$A$5001,X$3,BD!$B$3:$B$5001,$A$539,BD!$AH$3:$AH$5001,"&lt;&gt;")=0,"",SUMIFS(BD!$AH$3:$AH$5001,BD!$A$3:$A$5001,X$3,BD!$B$3:$B$5001,$A$539)))</f>
        <v/>
      </c>
      <c r="Y571" s="247" t="str">
        <f>IF(Y$3="","",IF(COUNTIFS(BD!$A$3:$A$5001,Y$3,BD!$B$3:$B$5001,$A$539,BD!$AH$3:$AH$5001,"&lt;&gt;")=0,"",SUMIFS(BD!$AH$3:$AH$5001,BD!$A$3:$A$5001,Y$3,BD!$B$3:$B$5001,$A$539)))</f>
        <v/>
      </c>
      <c r="Z571" s="247" t="str">
        <f>IF(Z$3="","",IF(COUNTIFS(BD!$A$3:$A$5001,Z$3,BD!$B$3:$B$5001,$A$539,BD!$AH$3:$AH$5001,"&lt;&gt;")=0,"",SUMIFS(BD!$AH$3:$AH$5001,BD!$A$3:$A$5001,Z$3,BD!$B$3:$B$5001,$A$539)))</f>
        <v/>
      </c>
      <c r="AA571" s="247" t="str">
        <f>IF(AA$3="","",IF(COUNTIFS(BD!$A$3:$A$5001,AA$3,BD!$B$3:$B$5001,$A$539,BD!$AH$3:$AH$5001,"&lt;&gt;")=0,"",SUMIFS(BD!$AH$3:$AH$5001,BD!$A$3:$A$5001,AA$3,BD!$B$3:$B$5001,$A$539)))</f>
        <v/>
      </c>
      <c r="AB571" s="247" t="str">
        <f>IF(AB$3="","",IF(COUNTIFS(BD!$A$3:$A$5001,AB$3,BD!$B$3:$B$5001,$A$539,BD!$AH$3:$AH$5001,"&lt;&gt;")=0,"",SUMIFS(BD!$AH$3:$AH$5001,BD!$A$3:$A$5001,AB$3,BD!$B$3:$B$5001,$A$539)))</f>
        <v/>
      </c>
      <c r="AC571" s="247" t="str">
        <f>IF(AC$3="","",IF(COUNTIFS(BD!$A$3:$A$5001,AC$3,BD!$B$3:$B$5001,$A$539,BD!$AH$3:$AH$5001,"&lt;&gt;")=0,"",SUMIFS(BD!$AH$3:$AH$5001,BD!$A$3:$A$5001,AC$3,BD!$B$3:$B$5001,$A$539)))</f>
        <v/>
      </c>
      <c r="AD571" s="247" t="str">
        <f>IF(AD$3="","",IF(COUNTIFS(BD!$A$3:$A$5001,AD$3,BD!$B$3:$B$5001,$A$539,BD!$AH$3:$AH$5001,"&lt;&gt;")=0,"",SUMIFS(BD!$AH$3:$AH$5001,BD!$A$3:$A$5001,AD$3,BD!$B$3:$B$5001,$A$539)))</f>
        <v/>
      </c>
      <c r="AE571" s="247" t="str">
        <f>IF(AE$3="","",IF(COUNTIFS(BD!$A$3:$A$5001,AE$3,BD!$B$3:$B$5001,$A$539,BD!$AH$3:$AH$5001,"&lt;&gt;")=0,"",SUMIFS(BD!$AH$3:$AH$5001,BD!$A$3:$A$5001,AE$3,BD!$B$3:$B$5001,$A$539)))</f>
        <v/>
      </c>
      <c r="AF571" s="247" t="str">
        <f>IF(AF$3="","",IF(COUNTIFS(BD!$A$3:$A$5001,AF$3,BD!$B$3:$B$5001,$A$539,BD!$AH$3:$AH$5001,"&lt;&gt;")=0,"",SUMIFS(BD!$AH$3:$AH$5001,BD!$A$3:$A$5001,AF$3,BD!$B$3:$B$5001,$A$539)))</f>
        <v/>
      </c>
      <c r="AG571" s="247" t="str">
        <f>IF(AG$3="","",IF(COUNTIFS(BD!$A$3:$A$5001,AG$3,BD!$B$3:$B$5001,$A$539,BD!$AH$3:$AH$5001,"&lt;&gt;")=0,"",SUMIFS(BD!$AH$3:$AH$5001,BD!$A$3:$A$5001,AG$3,BD!$B$3:$B$5001,$A$539)))</f>
        <v/>
      </c>
      <c r="AH571" s="247" t="str">
        <f>IF(AH$3="","",IF(COUNTIFS(BD!$A$3:$A$5001,AH$3,BD!$B$3:$B$5001,$A$539,BD!$AH$3:$AH$5001,"&lt;&gt;")=0,"",SUMIFS(BD!$AH$3:$AH$5001,BD!$A$3:$A$5001,AH$3,BD!$B$3:$B$5001,$A$539)))</f>
        <v/>
      </c>
      <c r="AI571" s="247" t="str">
        <f>IF(AI$3="","",IF(COUNTIFS(BD!$A$3:$A$5001,AI$3,BD!$B$3:$B$5001,$A$539,BD!$AH$3:$AH$5001,"&lt;&gt;")=0,"",SUMIFS(BD!$AH$3:$AH$5001,BD!$A$3:$A$5001,AI$3,BD!$B$3:$B$5001,$A$539)))</f>
        <v/>
      </c>
      <c r="AJ571" s="248" t="str">
        <f>IF(AJ$3="","",IF(COUNTIFS(BD!$A$3:$A$5001,AJ$3,BD!$B$3:$B$5001,$A$539,BD!$AH$3:$AH$5001,"&lt;&gt;")=0,"",SUMIFS(BD!$AH$3:$AH$5001,BD!$A$3:$A$5001,AJ$3,BD!$B$3:$B$5001,$A$539)))</f>
        <v/>
      </c>
      <c r="AK571" s="244" t="str">
        <f>IF(COUNT(F571:AJ571)=0,"",SUM(F571:AJ571))</f>
        <v/>
      </c>
    </row>
    <row r="573">
      <c r="A573" s="36" t="inlineStr">
        <is>
          <t xml:space="preserve">Mês / ano: filtro na célula vermelha do canto superior direito. Célula vazia = sem registro. MÊS: soma nos fluxos e NC; último dado em ocupação e efetivo. Taxa = ocupadas ÷ disponíveis (contrato). Ocupação: verde ≥ 90% (alta, boa notícia), verde escuro &gt; 100% (excede o contratado), amarelo 70–90% (média), vermelho &lt; 70% (ociosidade). Incidente &gt; 0 em vermelho. META: aba BD (tabela de metas).</t>
        </is>
      </c>
    </row>
  </sheetData>
  <sheetProtection password="CC78" sheet="1" objects="1" scenarios="1"/>
  <mergeCells count="128">
    <mergeCell ref="G1:AD1"/>
    <mergeCell ref="AE1:AK1"/>
    <mergeCell ref="A2:A3"/>
    <mergeCell ref="B2:C3"/>
    <mergeCell ref="D2:D3"/>
    <mergeCell ref="F2:AJ2"/>
    <mergeCell ref="AK2:AK3"/>
    <mergeCell ref="B5:B6"/>
    <mergeCell ref="B7:B8"/>
    <mergeCell ref="B9:B12"/>
    <mergeCell ref="B13:B15"/>
    <mergeCell ref="B16:B24"/>
    <mergeCell ref="A5:A24"/>
    <mergeCell ref="B26:B28"/>
    <mergeCell ref="B29:B31"/>
    <mergeCell ref="B32:B35"/>
    <mergeCell ref="B36:B38"/>
    <mergeCell ref="B39:B47"/>
    <mergeCell ref="A26:A47"/>
    <mergeCell ref="B49:B51"/>
    <mergeCell ref="B52:B54"/>
    <mergeCell ref="B55:B58"/>
    <mergeCell ref="B59:B61"/>
    <mergeCell ref="B62:B70"/>
    <mergeCell ref="A49:A70"/>
    <mergeCell ref="B72:B77"/>
    <mergeCell ref="B78:B82"/>
    <mergeCell ref="B83:B86"/>
    <mergeCell ref="B87:B89"/>
    <mergeCell ref="B90:B98"/>
    <mergeCell ref="A72:A98"/>
    <mergeCell ref="B100:B102"/>
    <mergeCell ref="B103:B105"/>
    <mergeCell ref="B106:B109"/>
    <mergeCell ref="B110:B112"/>
    <mergeCell ref="B113:B121"/>
    <mergeCell ref="A100:A121"/>
    <mergeCell ref="B123:B125"/>
    <mergeCell ref="B126:B128"/>
    <mergeCell ref="B129:B132"/>
    <mergeCell ref="B133:B135"/>
    <mergeCell ref="B136:B144"/>
    <mergeCell ref="A123:A144"/>
    <mergeCell ref="B146:B147"/>
    <mergeCell ref="B148:B149"/>
    <mergeCell ref="B150:B153"/>
    <mergeCell ref="B154:B156"/>
    <mergeCell ref="B157:B165"/>
    <mergeCell ref="A146:A165"/>
    <mergeCell ref="B167:B169"/>
    <mergeCell ref="B170:B172"/>
    <mergeCell ref="B173:B176"/>
    <mergeCell ref="B177:B179"/>
    <mergeCell ref="B180:B188"/>
    <mergeCell ref="A167:A188"/>
    <mergeCell ref="B190:B191"/>
    <mergeCell ref="B192:B193"/>
    <mergeCell ref="B194:B197"/>
    <mergeCell ref="B198:B200"/>
    <mergeCell ref="B201:B209"/>
    <mergeCell ref="A190:A209"/>
    <mergeCell ref="B211:B212"/>
    <mergeCell ref="B213:B214"/>
    <mergeCell ref="B215:B218"/>
    <mergeCell ref="B219:B221"/>
    <mergeCell ref="B222:B230"/>
    <mergeCell ref="A211:A230"/>
    <mergeCell ref="A232:AK232"/>
    <mergeCell ref="B233:B241"/>
    <mergeCell ref="B242:B249"/>
    <mergeCell ref="B250:B253"/>
    <mergeCell ref="B254:B256"/>
    <mergeCell ref="B257:B265"/>
    <mergeCell ref="A233:A265"/>
    <mergeCell ref="B267:B275"/>
    <mergeCell ref="B276:B283"/>
    <mergeCell ref="B284:B287"/>
    <mergeCell ref="B288:B290"/>
    <mergeCell ref="B291:B299"/>
    <mergeCell ref="A267:A299"/>
    <mergeCell ref="B301:B309"/>
    <mergeCell ref="B310:B317"/>
    <mergeCell ref="B318:B321"/>
    <mergeCell ref="B322:B324"/>
    <mergeCell ref="B325:B333"/>
    <mergeCell ref="A301:A333"/>
    <mergeCell ref="B335:B343"/>
    <mergeCell ref="B344:B351"/>
    <mergeCell ref="B352:B355"/>
    <mergeCell ref="B356:B358"/>
    <mergeCell ref="B359:B367"/>
    <mergeCell ref="A335:A367"/>
    <mergeCell ref="B369:B377"/>
    <mergeCell ref="B378:B385"/>
    <mergeCell ref="B386:B389"/>
    <mergeCell ref="B390:B392"/>
    <mergeCell ref="B393:B401"/>
    <mergeCell ref="A369:A401"/>
    <mergeCell ref="B403:B411"/>
    <mergeCell ref="B412:B419"/>
    <mergeCell ref="B420:B423"/>
    <mergeCell ref="B424:B426"/>
    <mergeCell ref="B427:B435"/>
    <mergeCell ref="A403:A435"/>
    <mergeCell ref="B437:B445"/>
    <mergeCell ref="B446:B453"/>
    <mergeCell ref="B454:B457"/>
    <mergeCell ref="B458:B460"/>
    <mergeCell ref="B461:B469"/>
    <mergeCell ref="A437:A469"/>
    <mergeCell ref="B471:B479"/>
    <mergeCell ref="B480:B487"/>
    <mergeCell ref="B488:B491"/>
    <mergeCell ref="B492:B494"/>
    <mergeCell ref="B495:B503"/>
    <mergeCell ref="A471:A503"/>
    <mergeCell ref="B505:B513"/>
    <mergeCell ref="B514:B521"/>
    <mergeCell ref="B522:B525"/>
    <mergeCell ref="B526:B528"/>
    <mergeCell ref="B529:B537"/>
    <mergeCell ref="A505:A537"/>
    <mergeCell ref="B539:B547"/>
    <mergeCell ref="B548:B555"/>
    <mergeCell ref="B556:B559"/>
    <mergeCell ref="B560:B562"/>
    <mergeCell ref="B563:B571"/>
    <mergeCell ref="A539:A571"/>
  </mergeCells>
  <conditionalFormatting sqref="F3:AJ3">
    <cfRule type="expression" dxfId="13" priority="1">
      <formula>AND(ISNUMBER(F3),WEEKDAY(F3,2)&gt;5)</formula>
    </cfRule>
  </conditionalFormatting>
  <conditionalFormatting sqref="F9:AJ9">
    <cfRule type="expression" dxfId="14" priority="2">
      <formula>AND(ISNUMBER(F9),F9&gt;0)</formula>
    </cfRule>
  </conditionalFormatting>
  <conditionalFormatting sqref="F15:AJ15 AK15">
    <cfRule type="expression" dxfId="15" priority="3" stopIfTrue="1">
      <formula>AND(ISNUMBER(F15),F15&gt;1)</formula>
    </cfRule>
  </conditionalFormatting>
  <conditionalFormatting sqref="F15:AJ15 AK15">
    <cfRule type="expression" dxfId="16" priority="4" stopIfTrue="1">
      <formula>AND(ISNUMBER(F15),F15&gt;=calculos!$B$6)</formula>
    </cfRule>
  </conditionalFormatting>
  <conditionalFormatting sqref="F15:AJ15 AK15">
    <cfRule type="expression" dxfId="17" priority="5" stopIfTrue="1">
      <formula>AND(ISNUMBER(F15),F15&gt;=calculos!$B$5)</formula>
    </cfRule>
  </conditionalFormatting>
  <conditionalFormatting sqref="F15:AJ15 AK15">
    <cfRule type="expression" dxfId="18" priority="6">
      <formula>ISNUMBER(F15)</formula>
    </cfRule>
  </conditionalFormatting>
  <conditionalFormatting sqref="F32:AJ32">
    <cfRule type="expression" dxfId="14" priority="7">
      <formula>AND(ISNUMBER(F32),F32&gt;0)</formula>
    </cfRule>
  </conditionalFormatting>
  <conditionalFormatting sqref="F38:AJ38 AK38">
    <cfRule type="expression" dxfId="15" priority="8" stopIfTrue="1">
      <formula>AND(ISNUMBER(F38),F38&gt;1)</formula>
    </cfRule>
  </conditionalFormatting>
  <conditionalFormatting sqref="F38:AJ38 AK38">
    <cfRule type="expression" dxfId="16" priority="9" stopIfTrue="1">
      <formula>AND(ISNUMBER(F38),F38&gt;=calculos!$B$6)</formula>
    </cfRule>
  </conditionalFormatting>
  <conditionalFormatting sqref="F38:AJ38 AK38">
    <cfRule type="expression" dxfId="17" priority="10" stopIfTrue="1">
      <formula>AND(ISNUMBER(F38),F38&gt;=calculos!$B$5)</formula>
    </cfRule>
  </conditionalFormatting>
  <conditionalFormatting sqref="F38:AJ38 AK38">
    <cfRule type="expression" dxfId="18" priority="11">
      <formula>ISNUMBER(F38)</formula>
    </cfRule>
  </conditionalFormatting>
  <conditionalFormatting sqref="F55:AJ55">
    <cfRule type="expression" dxfId="14" priority="12">
      <formula>AND(ISNUMBER(F55),F55&gt;0)</formula>
    </cfRule>
  </conditionalFormatting>
  <conditionalFormatting sqref="F61:AJ61 AK61">
    <cfRule type="expression" dxfId="15" priority="13" stopIfTrue="1">
      <formula>AND(ISNUMBER(F61),F61&gt;1)</formula>
    </cfRule>
  </conditionalFormatting>
  <conditionalFormatting sqref="F61:AJ61 AK61">
    <cfRule type="expression" dxfId="16" priority="14" stopIfTrue="1">
      <formula>AND(ISNUMBER(F61),F61&gt;=calculos!$B$6)</formula>
    </cfRule>
  </conditionalFormatting>
  <conditionalFormatting sqref="F61:AJ61 AK61">
    <cfRule type="expression" dxfId="17" priority="15" stopIfTrue="1">
      <formula>AND(ISNUMBER(F61),F61&gt;=calculos!$B$5)</formula>
    </cfRule>
  </conditionalFormatting>
  <conditionalFormatting sqref="F61:AJ61 AK61">
    <cfRule type="expression" dxfId="18" priority="16">
      <formula>ISNUMBER(F61)</formula>
    </cfRule>
  </conditionalFormatting>
  <conditionalFormatting sqref="F83:AJ83">
    <cfRule type="expression" dxfId="14" priority="17">
      <formula>AND(ISNUMBER(F83),F83&gt;0)</formula>
    </cfRule>
  </conditionalFormatting>
  <conditionalFormatting sqref="F89:AJ89 AK89">
    <cfRule type="expression" dxfId="15" priority="18" stopIfTrue="1">
      <formula>AND(ISNUMBER(F89),F89&gt;1)</formula>
    </cfRule>
  </conditionalFormatting>
  <conditionalFormatting sqref="F89:AJ89 AK89">
    <cfRule type="expression" dxfId="16" priority="19" stopIfTrue="1">
      <formula>AND(ISNUMBER(F89),F89&gt;=calculos!$B$6)</formula>
    </cfRule>
  </conditionalFormatting>
  <conditionalFormatting sqref="F89:AJ89 AK89">
    <cfRule type="expression" dxfId="17" priority="20" stopIfTrue="1">
      <formula>AND(ISNUMBER(F89),F89&gt;=calculos!$B$5)</formula>
    </cfRule>
  </conditionalFormatting>
  <conditionalFormatting sqref="F89:AJ89 AK89">
    <cfRule type="expression" dxfId="18" priority="21">
      <formula>ISNUMBER(F89)</formula>
    </cfRule>
  </conditionalFormatting>
  <conditionalFormatting sqref="F106:AJ106">
    <cfRule type="expression" dxfId="14" priority="22">
      <formula>AND(ISNUMBER(F106),F106&gt;0)</formula>
    </cfRule>
  </conditionalFormatting>
  <conditionalFormatting sqref="F112:AJ112 AK112">
    <cfRule type="expression" dxfId="15" priority="23" stopIfTrue="1">
      <formula>AND(ISNUMBER(F112),F112&gt;1)</formula>
    </cfRule>
  </conditionalFormatting>
  <conditionalFormatting sqref="F112:AJ112 AK112">
    <cfRule type="expression" dxfId="16" priority="24" stopIfTrue="1">
      <formula>AND(ISNUMBER(F112),F112&gt;=calculos!$B$6)</formula>
    </cfRule>
  </conditionalFormatting>
  <conditionalFormatting sqref="F112:AJ112 AK112">
    <cfRule type="expression" dxfId="17" priority="25" stopIfTrue="1">
      <formula>AND(ISNUMBER(F112),F112&gt;=calculos!$B$5)</formula>
    </cfRule>
  </conditionalFormatting>
  <conditionalFormatting sqref="F112:AJ112 AK112">
    <cfRule type="expression" dxfId="18" priority="26">
      <formula>ISNUMBER(F112)</formula>
    </cfRule>
  </conditionalFormatting>
  <conditionalFormatting sqref="F129:AJ129">
    <cfRule type="expression" dxfId="14" priority="27">
      <formula>AND(ISNUMBER(F129),F129&gt;0)</formula>
    </cfRule>
  </conditionalFormatting>
  <conditionalFormatting sqref="F135:AJ135 AK135">
    <cfRule type="expression" dxfId="15" priority="28" stopIfTrue="1">
      <formula>AND(ISNUMBER(F135),F135&gt;1)</formula>
    </cfRule>
  </conditionalFormatting>
  <conditionalFormatting sqref="F135:AJ135 AK135">
    <cfRule type="expression" dxfId="16" priority="29" stopIfTrue="1">
      <formula>AND(ISNUMBER(F135),F135&gt;=calculos!$B$6)</formula>
    </cfRule>
  </conditionalFormatting>
  <conditionalFormatting sqref="F135:AJ135 AK135">
    <cfRule type="expression" dxfId="17" priority="30" stopIfTrue="1">
      <formula>AND(ISNUMBER(F135),F135&gt;=calculos!$B$5)</formula>
    </cfRule>
  </conditionalFormatting>
  <conditionalFormatting sqref="F135:AJ135 AK135">
    <cfRule type="expression" dxfId="18" priority="31">
      <formula>ISNUMBER(F135)</formula>
    </cfRule>
  </conditionalFormatting>
  <conditionalFormatting sqref="F150:AJ150">
    <cfRule type="expression" dxfId="14" priority="32">
      <formula>AND(ISNUMBER(F150),F150&gt;0)</formula>
    </cfRule>
  </conditionalFormatting>
  <conditionalFormatting sqref="F156:AJ156 AK156">
    <cfRule type="expression" dxfId="15" priority="33" stopIfTrue="1">
      <formula>AND(ISNUMBER(F156),F156&gt;1)</formula>
    </cfRule>
  </conditionalFormatting>
  <conditionalFormatting sqref="F156:AJ156 AK156">
    <cfRule type="expression" dxfId="16" priority="34" stopIfTrue="1">
      <formula>AND(ISNUMBER(F156),F156&gt;=calculos!$B$6)</formula>
    </cfRule>
  </conditionalFormatting>
  <conditionalFormatting sqref="F156:AJ156 AK156">
    <cfRule type="expression" dxfId="17" priority="35" stopIfTrue="1">
      <formula>AND(ISNUMBER(F156),F156&gt;=calculos!$B$5)</formula>
    </cfRule>
  </conditionalFormatting>
  <conditionalFormatting sqref="F156:AJ156 AK156">
    <cfRule type="expression" dxfId="18" priority="36">
      <formula>ISNUMBER(F156)</formula>
    </cfRule>
  </conditionalFormatting>
  <conditionalFormatting sqref="F173:AJ173">
    <cfRule type="expression" dxfId="14" priority="37">
      <formula>AND(ISNUMBER(F173),F173&gt;0)</formula>
    </cfRule>
  </conditionalFormatting>
  <conditionalFormatting sqref="F179:AJ179 AK179">
    <cfRule type="expression" dxfId="15" priority="38" stopIfTrue="1">
      <formula>AND(ISNUMBER(F179),F179&gt;1)</formula>
    </cfRule>
  </conditionalFormatting>
  <conditionalFormatting sqref="F179:AJ179 AK179">
    <cfRule type="expression" dxfId="16" priority="39" stopIfTrue="1">
      <formula>AND(ISNUMBER(F179),F179&gt;=calculos!$B$6)</formula>
    </cfRule>
  </conditionalFormatting>
  <conditionalFormatting sqref="F179:AJ179 AK179">
    <cfRule type="expression" dxfId="17" priority="40" stopIfTrue="1">
      <formula>AND(ISNUMBER(F179),F179&gt;=calculos!$B$5)</formula>
    </cfRule>
  </conditionalFormatting>
  <conditionalFormatting sqref="F179:AJ179 AK179">
    <cfRule type="expression" dxfId="18" priority="41">
      <formula>ISNUMBER(F179)</formula>
    </cfRule>
  </conditionalFormatting>
  <conditionalFormatting sqref="F194:AJ194">
    <cfRule type="expression" dxfId="14" priority="42">
      <formula>AND(ISNUMBER(F194),F194&gt;0)</formula>
    </cfRule>
  </conditionalFormatting>
  <conditionalFormatting sqref="F200:AJ200 AK200">
    <cfRule type="expression" dxfId="15" priority="43" stopIfTrue="1">
      <formula>AND(ISNUMBER(F200),F200&gt;1)</formula>
    </cfRule>
  </conditionalFormatting>
  <conditionalFormatting sqref="F200:AJ200 AK200">
    <cfRule type="expression" dxfId="16" priority="44" stopIfTrue="1">
      <formula>AND(ISNUMBER(F200),F200&gt;=calculos!$B$6)</formula>
    </cfRule>
  </conditionalFormatting>
  <conditionalFormatting sqref="F200:AJ200 AK200">
    <cfRule type="expression" dxfId="17" priority="45" stopIfTrue="1">
      <formula>AND(ISNUMBER(F200),F200&gt;=calculos!$B$5)</formula>
    </cfRule>
  </conditionalFormatting>
  <conditionalFormatting sqref="F200:AJ200 AK200">
    <cfRule type="expression" dxfId="18" priority="46">
      <formula>ISNUMBER(F200)</formula>
    </cfRule>
  </conditionalFormatting>
  <conditionalFormatting sqref="F215:AJ215">
    <cfRule type="expression" dxfId="14" priority="47">
      <formula>AND(ISNUMBER(F215),F215&gt;0)</formula>
    </cfRule>
  </conditionalFormatting>
  <conditionalFormatting sqref="F221:AJ221 AK221">
    <cfRule type="expression" dxfId="15" priority="48" stopIfTrue="1">
      <formula>AND(ISNUMBER(F221),F221&gt;1)</formula>
    </cfRule>
  </conditionalFormatting>
  <conditionalFormatting sqref="F221:AJ221 AK221">
    <cfRule type="expression" dxfId="16" priority="49" stopIfTrue="1">
      <formula>AND(ISNUMBER(F221),F221&gt;=calculos!$B$6)</formula>
    </cfRule>
  </conditionalFormatting>
  <conditionalFormatting sqref="F221:AJ221 AK221">
    <cfRule type="expression" dxfId="17" priority="50" stopIfTrue="1">
      <formula>AND(ISNUMBER(F221),F221&gt;=calculos!$B$5)</formula>
    </cfRule>
  </conditionalFormatting>
  <conditionalFormatting sqref="F221:AJ221 AK221">
    <cfRule type="expression" dxfId="18" priority="51">
      <formula>ISNUMBER(F221)</formula>
    </cfRule>
  </conditionalFormatting>
  <conditionalFormatting sqref="F250:AJ250">
    <cfRule type="expression" dxfId="14" priority="52">
      <formula>AND(ISNUMBER(F250),F250&gt;0)</formula>
    </cfRule>
  </conditionalFormatting>
  <conditionalFormatting sqref="F256:AJ256 AK256">
    <cfRule type="expression" dxfId="15" priority="53" stopIfTrue="1">
      <formula>AND(ISNUMBER(F256),F256&gt;1)</formula>
    </cfRule>
  </conditionalFormatting>
  <conditionalFormatting sqref="F256:AJ256 AK256">
    <cfRule type="expression" dxfId="16" priority="54" stopIfTrue="1">
      <formula>AND(ISNUMBER(F256),F256&gt;=calculos!$B$6)</formula>
    </cfRule>
  </conditionalFormatting>
  <conditionalFormatting sqref="F256:AJ256 AK256">
    <cfRule type="expression" dxfId="17" priority="55" stopIfTrue="1">
      <formula>AND(ISNUMBER(F256),F256&gt;=calculos!$B$5)</formula>
    </cfRule>
  </conditionalFormatting>
  <conditionalFormatting sqref="F256:AJ256 AK256">
    <cfRule type="expression" dxfId="18" priority="56">
      <formula>ISNUMBER(F256)</formula>
    </cfRule>
  </conditionalFormatting>
  <conditionalFormatting sqref="F284:AJ284">
    <cfRule type="expression" dxfId="14" priority="57">
      <formula>AND(ISNUMBER(F284),F284&gt;0)</formula>
    </cfRule>
  </conditionalFormatting>
  <conditionalFormatting sqref="F290:AJ290 AK290">
    <cfRule type="expression" dxfId="15" priority="58" stopIfTrue="1">
      <formula>AND(ISNUMBER(F290),F290&gt;1)</formula>
    </cfRule>
  </conditionalFormatting>
  <conditionalFormatting sqref="F290:AJ290 AK290">
    <cfRule type="expression" dxfId="16" priority="59" stopIfTrue="1">
      <formula>AND(ISNUMBER(F290),F290&gt;=calculos!$B$6)</formula>
    </cfRule>
  </conditionalFormatting>
  <conditionalFormatting sqref="F290:AJ290 AK290">
    <cfRule type="expression" dxfId="17" priority="60" stopIfTrue="1">
      <formula>AND(ISNUMBER(F290),F290&gt;=calculos!$B$5)</formula>
    </cfRule>
  </conditionalFormatting>
  <conditionalFormatting sqref="F290:AJ290 AK290">
    <cfRule type="expression" dxfId="18" priority="61">
      <formula>ISNUMBER(F290)</formula>
    </cfRule>
  </conditionalFormatting>
  <conditionalFormatting sqref="F318:AJ318">
    <cfRule type="expression" dxfId="14" priority="62">
      <formula>AND(ISNUMBER(F318),F318&gt;0)</formula>
    </cfRule>
  </conditionalFormatting>
  <conditionalFormatting sqref="F324:AJ324 AK324">
    <cfRule type="expression" dxfId="15" priority="63" stopIfTrue="1">
      <formula>AND(ISNUMBER(F324),F324&gt;1)</formula>
    </cfRule>
  </conditionalFormatting>
  <conditionalFormatting sqref="F324:AJ324 AK324">
    <cfRule type="expression" dxfId="16" priority="64" stopIfTrue="1">
      <formula>AND(ISNUMBER(F324),F324&gt;=calculos!$B$6)</formula>
    </cfRule>
  </conditionalFormatting>
  <conditionalFormatting sqref="F324:AJ324 AK324">
    <cfRule type="expression" dxfId="17" priority="65" stopIfTrue="1">
      <formula>AND(ISNUMBER(F324),F324&gt;=calculos!$B$5)</formula>
    </cfRule>
  </conditionalFormatting>
  <conditionalFormatting sqref="F324:AJ324 AK324">
    <cfRule type="expression" dxfId="18" priority="66">
      <formula>ISNUMBER(F324)</formula>
    </cfRule>
  </conditionalFormatting>
  <conditionalFormatting sqref="F352:AJ352">
    <cfRule type="expression" dxfId="14" priority="67">
      <formula>AND(ISNUMBER(F352),F352&gt;0)</formula>
    </cfRule>
  </conditionalFormatting>
  <conditionalFormatting sqref="F358:AJ358 AK358">
    <cfRule type="expression" dxfId="15" priority="68" stopIfTrue="1">
      <formula>AND(ISNUMBER(F358),F358&gt;1)</formula>
    </cfRule>
  </conditionalFormatting>
  <conditionalFormatting sqref="F358:AJ358 AK358">
    <cfRule type="expression" dxfId="16" priority="69" stopIfTrue="1">
      <formula>AND(ISNUMBER(F358),F358&gt;=calculos!$B$6)</formula>
    </cfRule>
  </conditionalFormatting>
  <conditionalFormatting sqref="F358:AJ358 AK358">
    <cfRule type="expression" dxfId="17" priority="70" stopIfTrue="1">
      <formula>AND(ISNUMBER(F358),F358&gt;=calculos!$B$5)</formula>
    </cfRule>
  </conditionalFormatting>
  <conditionalFormatting sqref="F358:AJ358 AK358">
    <cfRule type="expression" dxfId="18" priority="71">
      <formula>ISNUMBER(F358)</formula>
    </cfRule>
  </conditionalFormatting>
  <conditionalFormatting sqref="F386:AJ386">
    <cfRule type="expression" dxfId="14" priority="72">
      <formula>AND(ISNUMBER(F386),F386&gt;0)</formula>
    </cfRule>
  </conditionalFormatting>
  <conditionalFormatting sqref="F392:AJ392 AK392">
    <cfRule type="expression" dxfId="15" priority="73" stopIfTrue="1">
      <formula>AND(ISNUMBER(F392),F392&gt;1)</formula>
    </cfRule>
  </conditionalFormatting>
  <conditionalFormatting sqref="F392:AJ392 AK392">
    <cfRule type="expression" dxfId="16" priority="74" stopIfTrue="1">
      <formula>AND(ISNUMBER(F392),F392&gt;=calculos!$B$6)</formula>
    </cfRule>
  </conditionalFormatting>
  <conditionalFormatting sqref="F392:AJ392 AK392">
    <cfRule type="expression" dxfId="17" priority="75" stopIfTrue="1">
      <formula>AND(ISNUMBER(F392),F392&gt;=calculos!$B$5)</formula>
    </cfRule>
  </conditionalFormatting>
  <conditionalFormatting sqref="F392:AJ392 AK392">
    <cfRule type="expression" dxfId="18" priority="76">
      <formula>ISNUMBER(F392)</formula>
    </cfRule>
  </conditionalFormatting>
  <conditionalFormatting sqref="F420:AJ420">
    <cfRule type="expression" dxfId="14" priority="77">
      <formula>AND(ISNUMBER(F420),F420&gt;0)</formula>
    </cfRule>
  </conditionalFormatting>
  <conditionalFormatting sqref="F426:AJ426 AK426">
    <cfRule type="expression" dxfId="15" priority="78" stopIfTrue="1">
      <formula>AND(ISNUMBER(F426),F426&gt;1)</formula>
    </cfRule>
  </conditionalFormatting>
  <conditionalFormatting sqref="F426:AJ426 AK426">
    <cfRule type="expression" dxfId="16" priority="79" stopIfTrue="1">
      <formula>AND(ISNUMBER(F426),F426&gt;=calculos!$B$6)</formula>
    </cfRule>
  </conditionalFormatting>
  <conditionalFormatting sqref="F426:AJ426 AK426">
    <cfRule type="expression" dxfId="17" priority="80" stopIfTrue="1">
      <formula>AND(ISNUMBER(F426),F426&gt;=calculos!$B$5)</formula>
    </cfRule>
  </conditionalFormatting>
  <conditionalFormatting sqref="F426:AJ426 AK426">
    <cfRule type="expression" dxfId="18" priority="81">
      <formula>ISNUMBER(F426)</formula>
    </cfRule>
  </conditionalFormatting>
  <conditionalFormatting sqref="F454:AJ454">
    <cfRule type="expression" dxfId="14" priority="82">
      <formula>AND(ISNUMBER(F454),F454&gt;0)</formula>
    </cfRule>
  </conditionalFormatting>
  <conditionalFormatting sqref="F460:AJ460 AK460">
    <cfRule type="expression" dxfId="15" priority="83" stopIfTrue="1">
      <formula>AND(ISNUMBER(F460),F460&gt;1)</formula>
    </cfRule>
  </conditionalFormatting>
  <conditionalFormatting sqref="F460:AJ460 AK460">
    <cfRule type="expression" dxfId="16" priority="84" stopIfTrue="1">
      <formula>AND(ISNUMBER(F460),F460&gt;=calculos!$B$6)</formula>
    </cfRule>
  </conditionalFormatting>
  <conditionalFormatting sqref="F460:AJ460 AK460">
    <cfRule type="expression" dxfId="17" priority="85" stopIfTrue="1">
      <formula>AND(ISNUMBER(F460),F460&gt;=calculos!$B$5)</formula>
    </cfRule>
  </conditionalFormatting>
  <conditionalFormatting sqref="F460:AJ460 AK460">
    <cfRule type="expression" dxfId="18" priority="86">
      <formula>ISNUMBER(F460)</formula>
    </cfRule>
  </conditionalFormatting>
  <conditionalFormatting sqref="F488:AJ488">
    <cfRule type="expression" dxfId="14" priority="87">
      <formula>AND(ISNUMBER(F488),F488&gt;0)</formula>
    </cfRule>
  </conditionalFormatting>
  <conditionalFormatting sqref="F494:AJ494 AK494">
    <cfRule type="expression" dxfId="15" priority="88" stopIfTrue="1">
      <formula>AND(ISNUMBER(F494),F494&gt;1)</formula>
    </cfRule>
  </conditionalFormatting>
  <conditionalFormatting sqref="F494:AJ494 AK494">
    <cfRule type="expression" dxfId="16" priority="89" stopIfTrue="1">
      <formula>AND(ISNUMBER(F494),F494&gt;=calculos!$B$6)</formula>
    </cfRule>
  </conditionalFormatting>
  <conditionalFormatting sqref="F494:AJ494 AK494">
    <cfRule type="expression" dxfId="17" priority="90" stopIfTrue="1">
      <formula>AND(ISNUMBER(F494),F494&gt;=calculos!$B$5)</formula>
    </cfRule>
  </conditionalFormatting>
  <conditionalFormatting sqref="F494:AJ494 AK494">
    <cfRule type="expression" dxfId="18" priority="91">
      <formula>ISNUMBER(F494)</formula>
    </cfRule>
  </conditionalFormatting>
  <conditionalFormatting sqref="F522:AJ522">
    <cfRule type="expression" dxfId="14" priority="92">
      <formula>AND(ISNUMBER(F522),F522&gt;0)</formula>
    </cfRule>
  </conditionalFormatting>
  <conditionalFormatting sqref="F528:AJ528 AK528">
    <cfRule type="expression" dxfId="15" priority="93" stopIfTrue="1">
      <formula>AND(ISNUMBER(F528),F528&gt;1)</formula>
    </cfRule>
  </conditionalFormatting>
  <conditionalFormatting sqref="F528:AJ528 AK528">
    <cfRule type="expression" dxfId="16" priority="94" stopIfTrue="1">
      <formula>AND(ISNUMBER(F528),F528&gt;=calculos!$B$6)</formula>
    </cfRule>
  </conditionalFormatting>
  <conditionalFormatting sqref="F528:AJ528 AK528">
    <cfRule type="expression" dxfId="17" priority="95" stopIfTrue="1">
      <formula>AND(ISNUMBER(F528),F528&gt;=calculos!$B$5)</formula>
    </cfRule>
  </conditionalFormatting>
  <conditionalFormatting sqref="F528:AJ528 AK528">
    <cfRule type="expression" dxfId="18" priority="96">
      <formula>ISNUMBER(F528)</formula>
    </cfRule>
  </conditionalFormatting>
  <conditionalFormatting sqref="F556:AJ556">
    <cfRule type="expression" dxfId="14" priority="97">
      <formula>AND(ISNUMBER(F556),F556&gt;0)</formula>
    </cfRule>
  </conditionalFormatting>
  <conditionalFormatting sqref="F562:AJ562 AK562">
    <cfRule type="expression" dxfId="15" priority="98" stopIfTrue="1">
      <formula>AND(ISNUMBER(F562),F562&gt;1)</formula>
    </cfRule>
  </conditionalFormatting>
  <conditionalFormatting sqref="F562:AJ562 AK562">
    <cfRule type="expression" dxfId="16" priority="99" stopIfTrue="1">
      <formula>AND(ISNUMBER(F562),F562&gt;=calculos!$B$6)</formula>
    </cfRule>
  </conditionalFormatting>
  <conditionalFormatting sqref="F562:AJ562 AK562">
    <cfRule type="expression" dxfId="17" priority="100" stopIfTrue="1">
      <formula>AND(ISNUMBER(F562),F562&gt;=calculos!$B$5)</formula>
    </cfRule>
  </conditionalFormatting>
  <conditionalFormatting sqref="F562:AJ562 AK562">
    <cfRule type="expression" dxfId="18" priority="101">
      <formula>ISNUMBER(F562)</formula>
    </cfRule>
  </conditionalFormatting>
  <dataValidations count="1">
    <dataValidation type="list" allowBlank="1" showInputMessage="1" showErrorMessage="1" promptTitle="Mês" prompt="Escolha o mês do ano. Toda a aba se atualiza." errorTitle="Valor inválido" error="Escolha um mês da lista." sqref="AE1">
      <formula1>calculos!$AN$12:$AN$23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AA77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" customWidth="1"/>
    <col min="2" max="2" width="10" customWidth="1"/>
    <col min="3" max="3" width="10" customWidth="1"/>
    <col min="4" max="4" width="10" customWidth="1"/>
    <col min="5" max="5" width="10" customWidth="1"/>
    <col min="6" max="6" width="2.5" customWidth="1"/>
    <col min="7" max="7" width="10" customWidth="1"/>
    <col min="8" max="8" width="10" customWidth="1"/>
    <col min="9" max="9" width="10" customWidth="1"/>
    <col min="10" max="10" width="10" customWidth="1"/>
    <col min="11" max="11" width="2.5" customWidth="1"/>
    <col min="12" max="12" width="10" customWidth="1"/>
    <col min="13" max="13" width="10" customWidth="1"/>
    <col min="14" max="14" width="10" customWidth="1"/>
    <col min="15" max="15" width="10" customWidth="1"/>
    <col min="16" max="16" width="2.5" customWidth="1"/>
    <col min="17" max="17" width="10" customWidth="1"/>
    <col min="18" max="18" width="10" customWidth="1"/>
    <col min="19" max="19" width="10" customWidth="1"/>
    <col min="20" max="20" width="10" customWidth="1"/>
    <col min="21" max="21" width="2.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</cols>
  <sheetData>
    <row r="1" ht="34.5" customHeight="1">
      <c r="A1" s="108"/>
      <c r="B1" s="108"/>
      <c r="C1" s="108"/>
      <c r="D1" s="108"/>
      <c r="E1" s="108"/>
      <c r="F1" s="108"/>
      <c r="G1" s="150" t="str">
        <f>"CONSOL MENSAL · QUADRO DE INDICADORES"&amp;IF(calculos_quadro!$E$2="",""," · "&amp;calculos_quadro!$E$2)</f>
        <v>CONSOL MENSAL · QUADRO DE INDICADORES · TPC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inlineStr">
        <is>
          <t xml:space="preserve">OUTUBRO · 2026</t>
        </is>
      </c>
      <c r="W1" s="151"/>
      <c r="X1" s="151"/>
      <c r="Y1" s="151"/>
      <c r="Z1" s="151"/>
      <c r="AA1" s="151"/>
    </row>
    <row r="3" ht="24" customHeight="1">
      <c r="B3" s="111" t="inlineStr">
        <is>
          <t xml:space="preserve">CLIENTE  ▸</t>
        </is>
      </c>
      <c r="C3" s="111"/>
      <c r="D3" s="112" t="inlineStr">
        <is>
          <t xml:space="preserve">Todos</t>
        </is>
      </c>
      <c r="E3" s="113"/>
      <c r="F3" s="113"/>
      <c r="G3" s="113"/>
      <c r="H3" s="113"/>
      <c r="I3" s="114"/>
      <c r="Q3" s="286" t="str">
        <f>IF(calculos_quadro!$B$9=0,"Sem dados na Base para o mês escolhido","Dados até "&amp;TEXT(calculos_quadro!$C$7+calculos_quadro!$B$9-1,"dd/mm")&amp;"/"&amp;YEAR(calculos_quadro!$C$7)&amp;" · comparação: "&amp;calculos_quadro!$B$8&amp;", dias 1 a "&amp;calculos_quadro!$B$9)</f>
        <v>Sem dados na Base para o mês escolhido</v>
      </c>
      <c r="R3" s="286"/>
      <c r="S3" s="286"/>
      <c r="T3" s="286"/>
      <c r="U3" s="286"/>
      <c r="V3" s="286"/>
      <c r="W3" s="286"/>
      <c r="X3" s="286"/>
      <c r="Y3" s="286"/>
      <c r="Z3" s="286"/>
    </row>
    <row r="5" ht="20" customHeight="1">
      <c r="B5" s="287" t="inlineStr">
        <is>
          <t xml:space="preserve">QUADRO DE INDICADORES · cliente e mês selecionados</t>
        </is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ht="28" customHeight="1">
      <c r="B6" s="288" t="inlineStr">
        <is>
          <t xml:space="preserve">GRUPO</t>
        </is>
      </c>
      <c r="C6" s="289"/>
      <c r="D6" s="288" t="inlineStr">
        <is>
          <t xml:space="preserve">INDICADOR</t>
        </is>
      </c>
      <c r="E6" s="290"/>
      <c r="F6" s="290"/>
      <c r="G6" s="289"/>
      <c r="H6" s="291" t="inlineStr">
        <is>
          <t xml:space="preserve">META</t>
        </is>
      </c>
      <c r="I6" s="292"/>
      <c r="J6" s="291" t="inlineStr">
        <is>
          <t xml:space="preserve">REALIZADO</t>
        </is>
      </c>
      <c r="K6" s="293"/>
      <c r="L6" s="292"/>
      <c r="M6" s="291" t="inlineStr">
        <is>
          <t xml:space="preserve">MÉDIA / DIA</t>
        </is>
      </c>
      <c r="N6" s="292"/>
      <c r="O6" s="291" t="inlineStr">
        <is>
          <t xml:space="preserve">MÁXIMO NO DIA</t>
        </is>
      </c>
      <c r="P6" s="293"/>
      <c r="Q6" s="292"/>
      <c r="R6" s="291" t="inlineStr">
        <is>
          <t xml:space="preserve">MÊS ANTERIOR</t>
        </is>
      </c>
      <c r="S6" s="292"/>
      <c r="T6" s="291" t="inlineStr">
        <is>
          <t xml:space="preserve">VARIAÇÃO</t>
        </is>
      </c>
      <c r="U6" s="293"/>
      <c r="V6" s="292"/>
      <c r="W6" s="291" t="inlineStr">
        <is>
          <t xml:space="preserve">% DA META</t>
        </is>
      </c>
      <c r="X6" s="292"/>
      <c r="Y6" s="291" t="inlineStr">
        <is>
          <t xml:space="preserve">STATUS</t>
        </is>
      </c>
      <c r="Z6" s="292"/>
    </row>
    <row r="7" ht="16" customHeight="1">
      <c r="B7" s="510" t="inlineStr">
        <is>
          <t xml:space="preserve">IN</t>
        </is>
      </c>
      <c r="C7" s="168"/>
      <c r="D7" s="295" t="inlineStr">
        <is>
          <t xml:space="preserve">Veículos Recebidos</t>
        </is>
      </c>
      <c r="E7" s="294"/>
      <c r="F7" s="294"/>
      <c r="G7" s="294"/>
      <c r="H7" s="297" t="str">
        <f>IF(calculos_quadro!$B$342=0,"—",calculos_quadro!$C$48)</f>
        <v/>
      </c>
      <c r="I7" s="296"/>
      <c r="J7" s="299">
        <f>IF(calculos_quadro!$B$342=0,"—",calculos_quadro!$C$43)</f>
        <v>0</v>
      </c>
      <c r="K7" s="298"/>
      <c r="L7" s="298"/>
      <c r="M7" s="301" t="str">
        <f>IF(calculos_quadro!$B$342=0,"—",calculos_quadro!$C$44)</f>
        <v/>
      </c>
      <c r="N7" s="300"/>
      <c r="O7" s="303">
        <f>IF(calculos_quadro!$B$342=0,"—",calculos_quadro!$C$45)</f>
        <v>0</v>
      </c>
      <c r="P7" s="302"/>
      <c r="Q7" s="302"/>
      <c r="R7" s="303" t="str">
        <f>IF(calculos_quadro!$B$342=0,"—",calculos_quadro!$C$46)</f>
        <v/>
      </c>
      <c r="S7" s="302"/>
      <c r="T7" s="305" t="str">
        <f>IF(calculos_quadro!$B$342=0,"—",calculos_quadro!$C$47)</f>
        <v/>
      </c>
      <c r="U7" s="304"/>
      <c r="V7" s="304"/>
      <c r="W7" s="307" t="str">
        <f>IF(calculos_quadro!$B$342=0,"—",calculos_quadro!$C$49)</f>
        <v/>
      </c>
      <c r="X7" s="306"/>
      <c r="Y7" s="309" t="str">
        <f>IF(calculos_quadro!$B$342=0,"—",calculos_quadro!$C$50)</f>
        <v/>
      </c>
      <c r="Z7" s="310"/>
    </row>
    <row r="8" ht="16" customHeight="1">
      <c r="B8" s="511"/>
      <c r="C8" s="214"/>
      <c r="D8" s="312" t="inlineStr">
        <is>
          <t xml:space="preserve">Pallets Movimentados</t>
        </is>
      </c>
      <c r="E8" s="311"/>
      <c r="F8" s="311"/>
      <c r="G8" s="311"/>
      <c r="H8" s="314" t="str">
        <f>IF(calculos_quadro!$B$343=0,"—",calculos_quadro!$D$48)</f>
        <v/>
      </c>
      <c r="I8" s="313"/>
      <c r="J8" s="316">
        <f>IF(calculos_quadro!$B$343=0,"—",calculos_quadro!$D$43)</f>
        <v>0</v>
      </c>
      <c r="K8" s="315"/>
      <c r="L8" s="315"/>
      <c r="M8" s="318" t="str">
        <f>IF(calculos_quadro!$B$343=0,"—",calculos_quadro!$D$44)</f>
        <v/>
      </c>
      <c r="N8" s="317"/>
      <c r="O8" s="320">
        <f>IF(calculos_quadro!$B$343=0,"—",calculos_quadro!$D$45)</f>
        <v>0</v>
      </c>
      <c r="P8" s="319"/>
      <c r="Q8" s="319"/>
      <c r="R8" s="320" t="str">
        <f>IF(calculos_quadro!$B$343=0,"—",calculos_quadro!$D$46)</f>
        <v/>
      </c>
      <c r="S8" s="319"/>
      <c r="T8" s="322" t="str">
        <f>IF(calculos_quadro!$B$343=0,"—",calculos_quadro!$D$47)</f>
        <v/>
      </c>
      <c r="U8" s="321"/>
      <c r="V8" s="321"/>
      <c r="W8" s="324" t="str">
        <f>IF(calculos_quadro!$B$343=0,"—",calculos_quadro!$D$49)</f>
        <v/>
      </c>
      <c r="X8" s="323"/>
      <c r="Y8" s="326" t="str">
        <f>IF(calculos_quadro!$B$343=0,"—",calculos_quadro!$D$50)</f>
        <v/>
      </c>
      <c r="Z8" s="327"/>
    </row>
    <row r="9" ht="16" customHeight="1">
      <c r="B9" s="511"/>
      <c r="C9" s="214"/>
      <c r="D9" s="312" t="inlineStr">
        <is>
          <t xml:space="preserve">Toneladas Movimentadas</t>
        </is>
      </c>
      <c r="E9" s="311"/>
      <c r="F9" s="311"/>
      <c r="G9" s="311"/>
      <c r="H9" s="314" t="str">
        <f>IF(calculos_quadro!$B$344=0,"—",calculos_quadro!$E$48)</f>
        <v/>
      </c>
      <c r="I9" s="313"/>
      <c r="J9" s="329">
        <f>IF(calculos_quadro!$B$344=0,"—",calculos_quadro!$E$43)</f>
        <v>0</v>
      </c>
      <c r="K9" s="328"/>
      <c r="L9" s="328"/>
      <c r="M9" s="318" t="str">
        <f>IF(calculos_quadro!$B$344=0,"—",calculos_quadro!$E$44)</f>
        <v/>
      </c>
      <c r="N9" s="317"/>
      <c r="O9" s="318">
        <f>IF(calculos_quadro!$B$344=0,"—",calculos_quadro!$E$45)</f>
        <v>0</v>
      </c>
      <c r="P9" s="317"/>
      <c r="Q9" s="317"/>
      <c r="R9" s="318" t="str">
        <f>IF(calculos_quadro!$B$344=0,"—",calculos_quadro!$E$46)</f>
        <v/>
      </c>
      <c r="S9" s="317"/>
      <c r="T9" s="322" t="str">
        <f>IF(calculos_quadro!$B$344=0,"—",calculos_quadro!$E$47)</f>
        <v/>
      </c>
      <c r="U9" s="321"/>
      <c r="V9" s="321"/>
      <c r="W9" s="324" t="str">
        <f>IF(calculos_quadro!$B$344=0,"—",calculos_quadro!$E$49)</f>
        <v/>
      </c>
      <c r="X9" s="323"/>
      <c r="Y9" s="326" t="str">
        <f>IF(calculos_quadro!$B$344=0,"—",calculos_quadro!$E$50)</f>
        <v/>
      </c>
      <c r="Z9" s="327"/>
    </row>
    <row r="10" ht="16" customHeight="1">
      <c r="B10" s="511"/>
      <c r="C10" s="214"/>
      <c r="D10" s="312" t="inlineStr">
        <is>
          <t xml:space="preserve">Linhas NF</t>
        </is>
      </c>
      <c r="E10" s="311"/>
      <c r="F10" s="311"/>
      <c r="G10" s="311"/>
      <c r="H10" s="314" t="str">
        <f>IF(calculos_quadro!$B$345=0,"—",calculos_quadro!$F$48)</f>
        <v/>
      </c>
      <c r="I10" s="313"/>
      <c r="J10" s="316">
        <f>IF(calculos_quadro!$B$345=0,"—",calculos_quadro!$F$43)</f>
        <v>0</v>
      </c>
      <c r="K10" s="315"/>
      <c r="L10" s="315"/>
      <c r="M10" s="318" t="str">
        <f>IF(calculos_quadro!$B$345=0,"—",calculos_quadro!$F$44)</f>
        <v/>
      </c>
      <c r="N10" s="317"/>
      <c r="O10" s="320">
        <f>IF(calculos_quadro!$B$345=0,"—",calculos_quadro!$F$45)</f>
        <v>0</v>
      </c>
      <c r="P10" s="319"/>
      <c r="Q10" s="319"/>
      <c r="R10" s="320" t="str">
        <f>IF(calculos_quadro!$B$345=0,"—",calculos_quadro!$F$46)</f>
        <v/>
      </c>
      <c r="S10" s="319"/>
      <c r="T10" s="322" t="str">
        <f>IF(calculos_quadro!$B$345=0,"—",calculos_quadro!$F$47)</f>
        <v/>
      </c>
      <c r="U10" s="321"/>
      <c r="V10" s="321"/>
      <c r="W10" s="324" t="str">
        <f>IF(calculos_quadro!$B$345=0,"—",calculos_quadro!$F$49)</f>
        <v/>
      </c>
      <c r="X10" s="323"/>
      <c r="Y10" s="326" t="str">
        <f>IF(calculos_quadro!$B$345=0,"—",calculos_quadro!$F$50)</f>
        <v/>
      </c>
      <c r="Z10" s="327"/>
    </row>
    <row r="11" ht="16" customHeight="1">
      <c r="B11" s="511"/>
      <c r="C11" s="214"/>
      <c r="D11" s="312" t="inlineStr">
        <is>
          <t xml:space="preserve">Caixas Movimentadas</t>
        </is>
      </c>
      <c r="E11" s="311"/>
      <c r="F11" s="311"/>
      <c r="G11" s="311"/>
      <c r="H11" s="314" t="str">
        <f>IF(calculos_quadro!$B$346=0,"—",calculos_quadro!$G$48)</f>
        <v/>
      </c>
      <c r="I11" s="313"/>
      <c r="J11" s="316">
        <f>IF(calculos_quadro!$B$346=0,"—",calculos_quadro!$G$43)</f>
        <v>0</v>
      </c>
      <c r="K11" s="315"/>
      <c r="L11" s="315"/>
      <c r="M11" s="318" t="str">
        <f>IF(calculos_quadro!$B$346=0,"—",calculos_quadro!$G$44)</f>
        <v/>
      </c>
      <c r="N11" s="317"/>
      <c r="O11" s="320">
        <f>IF(calculos_quadro!$B$346=0,"—",calculos_quadro!$G$45)</f>
        <v>0</v>
      </c>
      <c r="P11" s="319"/>
      <c r="Q11" s="319"/>
      <c r="R11" s="320" t="str">
        <f>IF(calculos_quadro!$B$346=0,"—",calculos_quadro!$G$46)</f>
        <v/>
      </c>
      <c r="S11" s="319"/>
      <c r="T11" s="322" t="str">
        <f>IF(calculos_quadro!$B$346=0,"—",calculos_quadro!$G$47)</f>
        <v/>
      </c>
      <c r="U11" s="321"/>
      <c r="V11" s="321"/>
      <c r="W11" s="324" t="str">
        <f>IF(calculos_quadro!$B$346=0,"—",calculos_quadro!$G$49)</f>
        <v/>
      </c>
      <c r="X11" s="323"/>
      <c r="Y11" s="326" t="str">
        <f>IF(calculos_quadro!$B$346=0,"—",calculos_quadro!$G$50)</f>
        <v/>
      </c>
      <c r="Z11" s="327"/>
    </row>
    <row r="12" ht="16" customHeight="1">
      <c r="B12" s="511"/>
      <c r="C12" s="214"/>
      <c r="D12" s="312" t="inlineStr">
        <is>
          <t xml:space="preserve">Itens Recebidos</t>
        </is>
      </c>
      <c r="E12" s="311"/>
      <c r="F12" s="311"/>
      <c r="G12" s="311"/>
      <c r="H12" s="314" t="str">
        <f>IF(calculos_quadro!$B$347=0,"—",calculos_quadro!$H$48)</f>
        <v/>
      </c>
      <c r="I12" s="313"/>
      <c r="J12" s="316">
        <f>IF(calculos_quadro!$B$347=0,"—",calculos_quadro!$H$43)</f>
        <v>0</v>
      </c>
      <c r="K12" s="315"/>
      <c r="L12" s="315"/>
      <c r="M12" s="318" t="str">
        <f>IF(calculos_quadro!$B$347=0,"—",calculos_quadro!$H$44)</f>
        <v/>
      </c>
      <c r="N12" s="317"/>
      <c r="O12" s="320">
        <f>IF(calculos_quadro!$B$347=0,"—",calculos_quadro!$H$45)</f>
        <v>0</v>
      </c>
      <c r="P12" s="319"/>
      <c r="Q12" s="319"/>
      <c r="R12" s="320" t="str">
        <f>IF(calculos_quadro!$B$347=0,"—",calculos_quadro!$H$46)</f>
        <v/>
      </c>
      <c r="S12" s="319"/>
      <c r="T12" s="322" t="str">
        <f>IF(calculos_quadro!$B$347=0,"—",calculos_quadro!$H$47)</f>
        <v/>
      </c>
      <c r="U12" s="321"/>
      <c r="V12" s="321"/>
      <c r="W12" s="324" t="str">
        <f>IF(calculos_quadro!$B$347=0,"—",calculos_quadro!$H$49)</f>
        <v/>
      </c>
      <c r="X12" s="323"/>
      <c r="Y12" s="326" t="str">
        <f>IF(calculos_quadro!$B$347=0,"—",calculos_quadro!$H$50)</f>
        <v/>
      </c>
      <c r="Z12" s="327"/>
    </row>
    <row r="13" ht="16" customHeight="1">
      <c r="B13" s="511"/>
      <c r="C13" s="214"/>
      <c r="D13" s="312" t="inlineStr">
        <is>
          <t xml:space="preserve">Itens Recebidos CX Mista</t>
        </is>
      </c>
      <c r="E13" s="311"/>
      <c r="F13" s="311"/>
      <c r="G13" s="311"/>
      <c r="H13" s="314" t="str">
        <f>IF(calculos_quadro!$B$348=0,"—",calculos_quadro!$I$48)</f>
        <v/>
      </c>
      <c r="I13" s="313"/>
      <c r="J13" s="316">
        <f>IF(calculos_quadro!$B$348=0,"—",calculos_quadro!$I$43)</f>
        <v>0</v>
      </c>
      <c r="K13" s="315"/>
      <c r="L13" s="315"/>
      <c r="M13" s="318" t="str">
        <f>IF(calculos_quadro!$B$348=0,"—",calculos_quadro!$I$44)</f>
        <v/>
      </c>
      <c r="N13" s="317"/>
      <c r="O13" s="320">
        <f>IF(calculos_quadro!$B$348=0,"—",calculos_quadro!$I$45)</f>
        <v>0</v>
      </c>
      <c r="P13" s="319"/>
      <c r="Q13" s="319"/>
      <c r="R13" s="320" t="str">
        <f>IF(calculos_quadro!$B$348=0,"—",calculos_quadro!$I$46)</f>
        <v/>
      </c>
      <c r="S13" s="319"/>
      <c r="T13" s="322" t="str">
        <f>IF(calculos_quadro!$B$348=0,"—",calculos_quadro!$I$47)</f>
        <v/>
      </c>
      <c r="U13" s="321"/>
      <c r="V13" s="321"/>
      <c r="W13" s="324" t="str">
        <f>IF(calculos_quadro!$B$348=0,"—",calculos_quadro!$I$49)</f>
        <v/>
      </c>
      <c r="X13" s="323"/>
      <c r="Y13" s="326" t="str">
        <f>IF(calculos_quadro!$B$348=0,"—",calculos_quadro!$I$50)</f>
        <v/>
      </c>
      <c r="Z13" s="327"/>
    </row>
    <row r="14" ht="16" customHeight="1">
      <c r="B14" s="511"/>
      <c r="C14" s="214"/>
      <c r="D14" s="312" t="inlineStr">
        <is>
          <t xml:space="preserve">Caixas Fechadas</t>
        </is>
      </c>
      <c r="E14" s="311"/>
      <c r="F14" s="311"/>
      <c r="G14" s="311"/>
      <c r="H14" s="314" t="str">
        <f>IF(calculos_quadro!$B$349=0,"—",calculos_quadro!$J$48)</f>
        <v/>
      </c>
      <c r="I14" s="313"/>
      <c r="J14" s="316">
        <f>IF(calculos_quadro!$B$349=0,"—",calculos_quadro!$J$43)</f>
        <v>0</v>
      </c>
      <c r="K14" s="315"/>
      <c r="L14" s="315"/>
      <c r="M14" s="318" t="str">
        <f>IF(calculos_quadro!$B$349=0,"—",calculos_quadro!$J$44)</f>
        <v/>
      </c>
      <c r="N14" s="317"/>
      <c r="O14" s="320">
        <f>IF(calculos_quadro!$B$349=0,"—",calculos_quadro!$J$45)</f>
        <v>0</v>
      </c>
      <c r="P14" s="319"/>
      <c r="Q14" s="319"/>
      <c r="R14" s="320" t="str">
        <f>IF(calculos_quadro!$B$349=0,"—",calculos_quadro!$J$46)</f>
        <v/>
      </c>
      <c r="S14" s="319"/>
      <c r="T14" s="322" t="str">
        <f>IF(calculos_quadro!$B$349=0,"—",calculos_quadro!$J$47)</f>
        <v/>
      </c>
      <c r="U14" s="321"/>
      <c r="V14" s="321"/>
      <c r="W14" s="324" t="str">
        <f>IF(calculos_quadro!$B$349=0,"—",calculos_quadro!$J$49)</f>
        <v/>
      </c>
      <c r="X14" s="323"/>
      <c r="Y14" s="326" t="str">
        <f>IF(calculos_quadro!$B$349=0,"—",calculos_quadro!$J$50)</f>
        <v/>
      </c>
      <c r="Z14" s="327"/>
    </row>
    <row r="15" ht="16" customHeight="1">
      <c r="B15" s="512"/>
      <c r="C15" s="175"/>
      <c r="D15" s="331" t="inlineStr">
        <is>
          <t xml:space="preserve">Caixas Mistas Recebidas</t>
        </is>
      </c>
      <c r="E15" s="330"/>
      <c r="F15" s="330"/>
      <c r="G15" s="330"/>
      <c r="H15" s="333" t="str">
        <f>IF(calculos_quadro!$B$350=0,"—",calculos_quadro!$K$48)</f>
        <v/>
      </c>
      <c r="I15" s="332"/>
      <c r="J15" s="335">
        <f>IF(calculos_quadro!$B$350=0,"—",calculos_quadro!$K$43)</f>
        <v>0</v>
      </c>
      <c r="K15" s="334"/>
      <c r="L15" s="334"/>
      <c r="M15" s="337" t="str">
        <f>IF(calculos_quadro!$B$350=0,"—",calculos_quadro!$K$44)</f>
        <v/>
      </c>
      <c r="N15" s="336"/>
      <c r="O15" s="339">
        <f>IF(calculos_quadro!$B$350=0,"—",calculos_quadro!$K$45)</f>
        <v>0</v>
      </c>
      <c r="P15" s="338"/>
      <c r="Q15" s="338"/>
      <c r="R15" s="339" t="str">
        <f>IF(calculos_quadro!$B$350=0,"—",calculos_quadro!$K$46)</f>
        <v/>
      </c>
      <c r="S15" s="338"/>
      <c r="T15" s="341" t="str">
        <f>IF(calculos_quadro!$B$350=0,"—",calculos_quadro!$K$47)</f>
        <v/>
      </c>
      <c r="U15" s="340"/>
      <c r="V15" s="340"/>
      <c r="W15" s="343" t="str">
        <f>IF(calculos_quadro!$B$350=0,"—",calculos_quadro!$K$49)</f>
        <v/>
      </c>
      <c r="X15" s="342"/>
      <c r="Y15" s="345" t="str">
        <f>IF(calculos_quadro!$B$350=0,"—",calculos_quadro!$K$50)</f>
        <v/>
      </c>
      <c r="Z15" s="346"/>
    </row>
    <row r="16" ht="16" customHeight="1">
      <c r="B16" s="513" t="inlineStr">
        <is>
          <t xml:space="preserve">OUT</t>
        </is>
      </c>
      <c r="C16" s="181"/>
      <c r="D16" s="348" t="inlineStr">
        <is>
          <t xml:space="preserve">Veículos Expedidos</t>
        </is>
      </c>
      <c r="E16" s="347"/>
      <c r="F16" s="347"/>
      <c r="G16" s="347"/>
      <c r="H16" s="350" t="str">
        <f>IF(calculos_quadro!$B$351=0,"—",calculos_quadro!$L$48)</f>
        <v/>
      </c>
      <c r="I16" s="349"/>
      <c r="J16" s="352">
        <f>IF(calculos_quadro!$B$351=0,"—",calculos_quadro!$L$43)</f>
        <v>0</v>
      </c>
      <c r="K16" s="351"/>
      <c r="L16" s="351"/>
      <c r="M16" s="354" t="str">
        <f>IF(calculos_quadro!$B$351=0,"—",calculos_quadro!$L$44)</f>
        <v/>
      </c>
      <c r="N16" s="353"/>
      <c r="O16" s="356">
        <f>IF(calculos_quadro!$B$351=0,"—",calculos_quadro!$L$45)</f>
        <v>0</v>
      </c>
      <c r="P16" s="355"/>
      <c r="Q16" s="355"/>
      <c r="R16" s="356" t="str">
        <f>IF(calculos_quadro!$B$351=0,"—",calculos_quadro!$L$46)</f>
        <v/>
      </c>
      <c r="S16" s="355"/>
      <c r="T16" s="358" t="str">
        <f>IF(calculos_quadro!$B$351=0,"—",calculos_quadro!$L$47)</f>
        <v/>
      </c>
      <c r="U16" s="357"/>
      <c r="V16" s="357"/>
      <c r="W16" s="360" t="str">
        <f>IF(calculos_quadro!$B$351=0,"—",calculos_quadro!$L$49)</f>
        <v/>
      </c>
      <c r="X16" s="359"/>
      <c r="Y16" s="362" t="str">
        <f>IF(calculos_quadro!$B$351=0,"—",calculos_quadro!$L$50)</f>
        <v/>
      </c>
      <c r="Z16" s="363"/>
    </row>
    <row r="17" ht="16" customHeight="1">
      <c r="B17" s="514"/>
      <c r="C17" s="267"/>
      <c r="D17" s="365" t="inlineStr">
        <is>
          <t xml:space="preserve">Pedidos Expedidos</t>
        </is>
      </c>
      <c r="E17" s="364"/>
      <c r="F17" s="364"/>
      <c r="G17" s="364"/>
      <c r="H17" s="367" t="str">
        <f>IF(calculos_quadro!$B$352=0,"—",calculos_quadro!$M$48)</f>
        <v/>
      </c>
      <c r="I17" s="366"/>
      <c r="J17" s="369">
        <f>IF(calculos_quadro!$B$352=0,"—",calculos_quadro!$M$43)</f>
        <v>0</v>
      </c>
      <c r="K17" s="368"/>
      <c r="L17" s="368"/>
      <c r="M17" s="371" t="str">
        <f>IF(calculos_quadro!$B$352=0,"—",calculos_quadro!$M$44)</f>
        <v/>
      </c>
      <c r="N17" s="370"/>
      <c r="O17" s="373">
        <f>IF(calculos_quadro!$B$352=0,"—",calculos_quadro!$M$45)</f>
        <v>0</v>
      </c>
      <c r="P17" s="372"/>
      <c r="Q17" s="372"/>
      <c r="R17" s="373" t="str">
        <f>IF(calculos_quadro!$B$352=0,"—",calculos_quadro!$M$46)</f>
        <v/>
      </c>
      <c r="S17" s="372"/>
      <c r="T17" s="375" t="str">
        <f>IF(calculos_quadro!$B$352=0,"—",calculos_quadro!$M$47)</f>
        <v/>
      </c>
      <c r="U17" s="374"/>
      <c r="V17" s="374"/>
      <c r="W17" s="377" t="str">
        <f>IF(calculos_quadro!$B$352=0,"—",calculos_quadro!$M$49)</f>
        <v/>
      </c>
      <c r="X17" s="376"/>
      <c r="Y17" s="379" t="str">
        <f>IF(calculos_quadro!$B$352=0,"—",calculos_quadro!$M$50)</f>
        <v/>
      </c>
      <c r="Z17" s="380"/>
    </row>
    <row r="18" ht="16" customHeight="1">
      <c r="B18" s="514"/>
      <c r="C18" s="267"/>
      <c r="D18" s="365" t="inlineStr">
        <is>
          <t xml:space="preserve">Pedidos Faturados</t>
        </is>
      </c>
      <c r="E18" s="364"/>
      <c r="F18" s="364"/>
      <c r="G18" s="364"/>
      <c r="H18" s="367" t="str">
        <f>IF(calculos_quadro!$B$353=0,"—",calculos_quadro!$N$48)</f>
        <v/>
      </c>
      <c r="I18" s="366"/>
      <c r="J18" s="369">
        <f>IF(calculos_quadro!$B$353=0,"—",calculos_quadro!$N$43)</f>
        <v>0</v>
      </c>
      <c r="K18" s="368"/>
      <c r="L18" s="368"/>
      <c r="M18" s="371" t="str">
        <f>IF(calculos_quadro!$B$353=0,"—",calculos_quadro!$N$44)</f>
        <v/>
      </c>
      <c r="N18" s="370"/>
      <c r="O18" s="373">
        <f>IF(calculos_quadro!$B$353=0,"—",calculos_quadro!$N$45)</f>
        <v>0</v>
      </c>
      <c r="P18" s="372"/>
      <c r="Q18" s="372"/>
      <c r="R18" s="373" t="str">
        <f>IF(calculos_quadro!$B$353=0,"—",calculos_quadro!$N$46)</f>
        <v/>
      </c>
      <c r="S18" s="372"/>
      <c r="T18" s="375" t="str">
        <f>IF(calculos_quadro!$B$353=0,"—",calculos_quadro!$N$47)</f>
        <v/>
      </c>
      <c r="U18" s="374"/>
      <c r="V18" s="374"/>
      <c r="W18" s="377" t="str">
        <f>IF(calculos_quadro!$B$353=0,"—",calculos_quadro!$N$49)</f>
        <v/>
      </c>
      <c r="X18" s="376"/>
      <c r="Y18" s="379" t="str">
        <f>IF(calculos_quadro!$B$353=0,"—",calculos_quadro!$N$50)</f>
        <v/>
      </c>
      <c r="Z18" s="380"/>
    </row>
    <row r="19" ht="16" customHeight="1">
      <c r="B19" s="514"/>
      <c r="C19" s="267"/>
      <c r="D19" s="365" t="inlineStr">
        <is>
          <t xml:space="preserve">Itens Expedidos</t>
        </is>
      </c>
      <c r="E19" s="364"/>
      <c r="F19" s="364"/>
      <c r="G19" s="364"/>
      <c r="H19" s="367" t="str">
        <f>IF(calculos_quadro!$B$354=0,"—",calculos_quadro!$O$48)</f>
        <v/>
      </c>
      <c r="I19" s="366"/>
      <c r="J19" s="369">
        <f>IF(calculos_quadro!$B$354=0,"—",calculos_quadro!$O$43)</f>
        <v>0</v>
      </c>
      <c r="K19" s="368"/>
      <c r="L19" s="368"/>
      <c r="M19" s="371" t="str">
        <f>IF(calculos_quadro!$B$354=0,"—",calculos_quadro!$O$44)</f>
        <v/>
      </c>
      <c r="N19" s="370"/>
      <c r="O19" s="373">
        <f>IF(calculos_quadro!$B$354=0,"—",calculos_quadro!$O$45)</f>
        <v>0</v>
      </c>
      <c r="P19" s="372"/>
      <c r="Q19" s="372"/>
      <c r="R19" s="373" t="str">
        <f>IF(calculos_quadro!$B$354=0,"—",calculos_quadro!$O$46)</f>
        <v/>
      </c>
      <c r="S19" s="372"/>
      <c r="T19" s="375" t="str">
        <f>IF(calculos_quadro!$B$354=0,"—",calculos_quadro!$O$47)</f>
        <v/>
      </c>
      <c r="U19" s="374"/>
      <c r="V19" s="374"/>
      <c r="W19" s="377" t="str">
        <f>IF(calculos_quadro!$B$354=0,"—",calculos_quadro!$O$49)</f>
        <v/>
      </c>
      <c r="X19" s="376"/>
      <c r="Y19" s="379" t="str">
        <f>IF(calculos_quadro!$B$354=0,"—",calculos_quadro!$O$50)</f>
        <v/>
      </c>
      <c r="Z19" s="380"/>
    </row>
    <row r="20" ht="16" customHeight="1">
      <c r="B20" s="514"/>
      <c r="C20" s="267"/>
      <c r="D20" s="365" t="inlineStr">
        <is>
          <t xml:space="preserve">Linhas NF</t>
        </is>
      </c>
      <c r="E20" s="364"/>
      <c r="F20" s="364"/>
      <c r="G20" s="364"/>
      <c r="H20" s="367" t="str">
        <f>IF(calculos_quadro!$B$355=0,"—",calculos_quadro!$P$48)</f>
        <v/>
      </c>
      <c r="I20" s="366"/>
      <c r="J20" s="369">
        <f>IF(calculos_quadro!$B$355=0,"—",calculos_quadro!$P$43)</f>
        <v>0</v>
      </c>
      <c r="K20" s="368"/>
      <c r="L20" s="368"/>
      <c r="M20" s="371" t="str">
        <f>IF(calculos_quadro!$B$355=0,"—",calculos_quadro!$P$44)</f>
        <v/>
      </c>
      <c r="N20" s="370"/>
      <c r="O20" s="373">
        <f>IF(calculos_quadro!$B$355=0,"—",calculos_quadro!$P$45)</f>
        <v>0</v>
      </c>
      <c r="P20" s="372"/>
      <c r="Q20" s="372"/>
      <c r="R20" s="373" t="str">
        <f>IF(calculos_quadro!$B$355=0,"—",calculos_quadro!$P$46)</f>
        <v/>
      </c>
      <c r="S20" s="372"/>
      <c r="T20" s="375" t="str">
        <f>IF(calculos_quadro!$B$355=0,"—",calculos_quadro!$P$47)</f>
        <v/>
      </c>
      <c r="U20" s="374"/>
      <c r="V20" s="374"/>
      <c r="W20" s="377" t="str">
        <f>IF(calculos_quadro!$B$355=0,"—",calculos_quadro!$P$49)</f>
        <v/>
      </c>
      <c r="X20" s="376"/>
      <c r="Y20" s="379" t="str">
        <f>IF(calculos_quadro!$B$355=0,"—",calculos_quadro!$P$50)</f>
        <v/>
      </c>
      <c r="Z20" s="380"/>
    </row>
    <row r="21" ht="16" customHeight="1">
      <c r="B21" s="514"/>
      <c r="C21" s="267"/>
      <c r="D21" s="365" t="inlineStr">
        <is>
          <t xml:space="preserve">Caixas Expedidas</t>
        </is>
      </c>
      <c r="E21" s="364"/>
      <c r="F21" s="364"/>
      <c r="G21" s="364"/>
      <c r="H21" s="367" t="str">
        <f>IF(calculos_quadro!$B$356=0,"—",calculos_quadro!$Q$48)</f>
        <v/>
      </c>
      <c r="I21" s="366"/>
      <c r="J21" s="369">
        <f>IF(calculos_quadro!$B$356=0,"—",calculos_quadro!$Q$43)</f>
        <v>0</v>
      </c>
      <c r="K21" s="368"/>
      <c r="L21" s="368"/>
      <c r="M21" s="371" t="str">
        <f>IF(calculos_quadro!$B$356=0,"—",calculos_quadro!$Q$44)</f>
        <v/>
      </c>
      <c r="N21" s="370"/>
      <c r="O21" s="373">
        <f>IF(calculos_quadro!$B$356=0,"—",calculos_quadro!$Q$45)</f>
        <v>0</v>
      </c>
      <c r="P21" s="372"/>
      <c r="Q21" s="372"/>
      <c r="R21" s="373" t="str">
        <f>IF(calculos_quadro!$B$356=0,"—",calculos_quadro!$Q$46)</f>
        <v/>
      </c>
      <c r="S21" s="372"/>
      <c r="T21" s="375" t="str">
        <f>IF(calculos_quadro!$B$356=0,"—",calculos_quadro!$Q$47)</f>
        <v/>
      </c>
      <c r="U21" s="374"/>
      <c r="V21" s="374"/>
      <c r="W21" s="377" t="str">
        <f>IF(calculos_quadro!$B$356=0,"—",calculos_quadro!$Q$49)</f>
        <v/>
      </c>
      <c r="X21" s="376"/>
      <c r="Y21" s="379" t="str">
        <f>IF(calculos_quadro!$B$356=0,"—",calculos_quadro!$Q$50)</f>
        <v/>
      </c>
      <c r="Z21" s="380"/>
    </row>
    <row r="22" ht="16" customHeight="1">
      <c r="B22" s="514"/>
      <c r="C22" s="267"/>
      <c r="D22" s="365" t="inlineStr">
        <is>
          <t xml:space="preserve">Pallets Movimentados</t>
        </is>
      </c>
      <c r="E22" s="364"/>
      <c r="F22" s="364"/>
      <c r="G22" s="364"/>
      <c r="H22" s="367" t="str">
        <f>IF(calculos_quadro!$B$357=0,"—",calculos_quadro!$R$48)</f>
        <v/>
      </c>
      <c r="I22" s="366"/>
      <c r="J22" s="369">
        <f>IF(calculos_quadro!$B$357=0,"—",calculos_quadro!$R$43)</f>
        <v>0</v>
      </c>
      <c r="K22" s="368"/>
      <c r="L22" s="368"/>
      <c r="M22" s="371" t="str">
        <f>IF(calculos_quadro!$B$357=0,"—",calculos_quadro!$R$44)</f>
        <v/>
      </c>
      <c r="N22" s="370"/>
      <c r="O22" s="373">
        <f>IF(calculos_quadro!$B$357=0,"—",calculos_quadro!$R$45)</f>
        <v>0</v>
      </c>
      <c r="P22" s="372"/>
      <c r="Q22" s="372"/>
      <c r="R22" s="373" t="str">
        <f>IF(calculos_quadro!$B$357=0,"—",calculos_quadro!$R$46)</f>
        <v/>
      </c>
      <c r="S22" s="372"/>
      <c r="T22" s="375" t="str">
        <f>IF(calculos_quadro!$B$357=0,"—",calculos_quadro!$R$47)</f>
        <v/>
      </c>
      <c r="U22" s="374"/>
      <c r="V22" s="374"/>
      <c r="W22" s="377" t="str">
        <f>IF(calculos_quadro!$B$357=0,"—",calculos_quadro!$R$49)</f>
        <v/>
      </c>
      <c r="X22" s="376"/>
      <c r="Y22" s="379" t="str">
        <f>IF(calculos_quadro!$B$357=0,"—",calculos_quadro!$R$50)</f>
        <v/>
      </c>
      <c r="Z22" s="380"/>
    </row>
    <row r="23" ht="16" customHeight="1">
      <c r="B23" s="515"/>
      <c r="C23" s="188"/>
      <c r="D23" s="382" t="inlineStr">
        <is>
          <t xml:space="preserve">Toneladas Movimentadas</t>
        </is>
      </c>
      <c r="E23" s="381"/>
      <c r="F23" s="381"/>
      <c r="G23" s="381"/>
      <c r="H23" s="384" t="str">
        <f>IF(calculos_quadro!$B$358=0,"—",calculos_quadro!$S$48)</f>
        <v/>
      </c>
      <c r="I23" s="383"/>
      <c r="J23" s="386">
        <f>IF(calculos_quadro!$B$358=0,"—",calculos_quadro!$S$43)</f>
        <v>0</v>
      </c>
      <c r="K23" s="385"/>
      <c r="L23" s="385"/>
      <c r="M23" s="388" t="str">
        <f>IF(calculos_quadro!$B$358=0,"—",calculos_quadro!$S$44)</f>
        <v/>
      </c>
      <c r="N23" s="387"/>
      <c r="O23" s="388">
        <f>IF(calculos_quadro!$B$358=0,"—",calculos_quadro!$S$45)</f>
        <v>0</v>
      </c>
      <c r="P23" s="387"/>
      <c r="Q23" s="387"/>
      <c r="R23" s="388" t="str">
        <f>IF(calculos_quadro!$B$358=0,"—",calculos_quadro!$S$46)</f>
        <v/>
      </c>
      <c r="S23" s="387"/>
      <c r="T23" s="390" t="str">
        <f>IF(calculos_quadro!$B$358=0,"—",calculos_quadro!$S$47)</f>
        <v/>
      </c>
      <c r="U23" s="389"/>
      <c r="V23" s="389"/>
      <c r="W23" s="392" t="str">
        <f>IF(calculos_quadro!$B$358=0,"—",calculos_quadro!$S$49)</f>
        <v/>
      </c>
      <c r="X23" s="391"/>
      <c r="Y23" s="394" t="str">
        <f>IF(calculos_quadro!$B$358=0,"—",calculos_quadro!$S$50)</f>
        <v/>
      </c>
      <c r="Z23" s="395"/>
    </row>
    <row r="24" ht="16" customHeight="1">
      <c r="B24" s="516" t="inlineStr">
        <is>
          <t xml:space="preserve">NC</t>
        </is>
      </c>
      <c r="C24" s="194"/>
      <c r="D24" s="397" t="inlineStr">
        <is>
          <t xml:space="preserve">Incidentes</t>
        </is>
      </c>
      <c r="E24" s="396"/>
      <c r="F24" s="396"/>
      <c r="G24" s="396"/>
      <c r="H24" s="399" t="str">
        <f>IF(calculos_quadro!$B$359=0,"—",calculos_quadro!$T$48)</f>
        <v/>
      </c>
      <c r="I24" s="398"/>
      <c r="J24" s="401">
        <f>IF(calculos_quadro!$B$359=0,"—",calculos_quadro!$T$43)</f>
        <v>0</v>
      </c>
      <c r="K24" s="400"/>
      <c r="L24" s="400"/>
      <c r="M24" s="403" t="str">
        <f>IF(calculos_quadro!$B$359=0,"—",calculos_quadro!$T$44)</f>
        <v/>
      </c>
      <c r="N24" s="402"/>
      <c r="O24" s="405">
        <f>IF(calculos_quadro!$B$359=0,"—",calculos_quadro!$T$45)</f>
        <v>0</v>
      </c>
      <c r="P24" s="404"/>
      <c r="Q24" s="404"/>
      <c r="R24" s="405" t="str">
        <f>IF(calculos_quadro!$B$359=0,"—",calculos_quadro!$T$46)</f>
        <v/>
      </c>
      <c r="S24" s="404"/>
      <c r="T24" s="407" t="str">
        <f>IF(calculos_quadro!$B$359=0,"—",calculos_quadro!$T$47)</f>
        <v/>
      </c>
      <c r="U24" s="406"/>
      <c r="V24" s="406"/>
      <c r="W24" s="409" t="str">
        <f>IF(calculos_quadro!$B$359=0,"—",calculos_quadro!$T$49)</f>
        <v/>
      </c>
      <c r="X24" s="408"/>
      <c r="Y24" s="411" t="str">
        <f>IF(calculos_quadro!$B$359=0,"—",calculos_quadro!$T$50)</f>
        <v/>
      </c>
      <c r="Z24" s="412"/>
    </row>
    <row r="25" ht="16" customHeight="1">
      <c r="B25" s="517"/>
      <c r="C25" s="201"/>
      <c r="D25" s="414" t="inlineStr">
        <is>
          <t xml:space="preserve">No show</t>
        </is>
      </c>
      <c r="E25" s="413"/>
      <c r="F25" s="413"/>
      <c r="G25" s="413"/>
      <c r="H25" s="416" t="str">
        <f>IF(calculos_quadro!$B$360=0,"—",calculos_quadro!$U$48)</f>
        <v/>
      </c>
      <c r="I25" s="415"/>
      <c r="J25" s="418">
        <f>IF(calculos_quadro!$B$360=0,"—",calculos_quadro!$U$43)</f>
        <v>0</v>
      </c>
      <c r="K25" s="417"/>
      <c r="L25" s="417"/>
      <c r="M25" s="420" t="str">
        <f>IF(calculos_quadro!$B$360=0,"—",calculos_quadro!$U$44)</f>
        <v/>
      </c>
      <c r="N25" s="419"/>
      <c r="O25" s="422">
        <f>IF(calculos_quadro!$B$360=0,"—",calculos_quadro!$U$45)</f>
        <v>0</v>
      </c>
      <c r="P25" s="421"/>
      <c r="Q25" s="421"/>
      <c r="R25" s="422" t="str">
        <f>IF(calculos_quadro!$B$360=0,"—",calculos_quadro!$U$46)</f>
        <v/>
      </c>
      <c r="S25" s="421"/>
      <c r="T25" s="424" t="str">
        <f>IF(calculos_quadro!$B$360=0,"—",calculos_quadro!$U$47)</f>
        <v/>
      </c>
      <c r="U25" s="423"/>
      <c r="V25" s="423"/>
      <c r="W25" s="426" t="str">
        <f>IF(calculos_quadro!$B$360=0,"—",calculos_quadro!$U$49)</f>
        <v/>
      </c>
      <c r="X25" s="425"/>
      <c r="Y25" s="428" t="str">
        <f>IF(calculos_quadro!$B$360=0,"—",calculos_quadro!$U$50)</f>
        <v/>
      </c>
      <c r="Z25" s="429"/>
    </row>
    <row r="26" ht="16" customHeight="1">
      <c r="B26" s="517"/>
      <c r="C26" s="201"/>
      <c r="D26" s="414" t="inlineStr">
        <is>
          <t xml:space="preserve">Backlog Intralog</t>
        </is>
      </c>
      <c r="E26" s="413"/>
      <c r="F26" s="413"/>
      <c r="G26" s="413"/>
      <c r="H26" s="416" t="str">
        <f>IF(calculos_quadro!$B$361=0,"—",calculos_quadro!$V$48)</f>
        <v/>
      </c>
      <c r="I26" s="415"/>
      <c r="J26" s="418" t="str">
        <f>IF(calculos_quadro!$B$361=0,"—",calculos_quadro!$V$43)</f>
        <v/>
      </c>
      <c r="K26" s="417"/>
      <c r="L26" s="417"/>
      <c r="M26" s="420" t="str">
        <f>IF(calculos_quadro!$B$361=0,"—",calculos_quadro!$V$44)</f>
        <v/>
      </c>
      <c r="N26" s="419"/>
      <c r="O26" s="422" t="str">
        <f>IF(calculos_quadro!$B$361=0,"—",calculos_quadro!$V$45)</f>
        <v/>
      </c>
      <c r="P26" s="421"/>
      <c r="Q26" s="421"/>
      <c r="R26" s="422" t="str">
        <f>IF(calculos_quadro!$B$361=0,"—",calculos_quadro!$V$46)</f>
        <v/>
      </c>
      <c r="S26" s="421"/>
      <c r="T26" s="424" t="str">
        <f>IF(calculos_quadro!$B$361=0,"—",calculos_quadro!$V$47)</f>
        <v/>
      </c>
      <c r="U26" s="423"/>
      <c r="V26" s="423"/>
      <c r="W26" s="426" t="str">
        <f>IF(calculos_quadro!$B$361=0,"—",calculos_quadro!$V$49)</f>
        <v/>
      </c>
      <c r="X26" s="425"/>
      <c r="Y26" s="428" t="str">
        <f>IF(calculos_quadro!$B$361=0,"—",calculos_quadro!$V$50)</f>
        <v/>
      </c>
      <c r="Z26" s="429"/>
    </row>
    <row r="27" ht="16" customHeight="1">
      <c r="B27" s="518"/>
      <c r="C27" s="208"/>
      <c r="D27" s="431" t="inlineStr">
        <is>
          <t xml:space="preserve">Backlog Cliente</t>
        </is>
      </c>
      <c r="E27" s="430"/>
      <c r="F27" s="430"/>
      <c r="G27" s="430"/>
      <c r="H27" s="433" t="str">
        <f>IF(calculos_quadro!$B$362=0,"—",calculos_quadro!$W$48)</f>
        <v/>
      </c>
      <c r="I27" s="432"/>
      <c r="J27" s="435" t="str">
        <f>IF(calculos_quadro!$B$362=0,"—",calculos_quadro!$W$43)</f>
        <v/>
      </c>
      <c r="K27" s="434"/>
      <c r="L27" s="434"/>
      <c r="M27" s="437" t="str">
        <f>IF(calculos_quadro!$B$362=0,"—",calculos_quadro!$W$44)</f>
        <v/>
      </c>
      <c r="N27" s="436"/>
      <c r="O27" s="439" t="str">
        <f>IF(calculos_quadro!$B$362=0,"—",calculos_quadro!$W$45)</f>
        <v/>
      </c>
      <c r="P27" s="438"/>
      <c r="Q27" s="438"/>
      <c r="R27" s="439" t="str">
        <f>IF(calculos_quadro!$B$362=0,"—",calculos_quadro!$W$46)</f>
        <v/>
      </c>
      <c r="S27" s="438"/>
      <c r="T27" s="441" t="str">
        <f>IF(calculos_quadro!$B$362=0,"—",calculos_quadro!$W$47)</f>
        <v/>
      </c>
      <c r="U27" s="440"/>
      <c r="V27" s="440"/>
      <c r="W27" s="443" t="str">
        <f>IF(calculos_quadro!$B$362=0,"—",calculos_quadro!$W$49)</f>
        <v/>
      </c>
      <c r="X27" s="442"/>
      <c r="Y27" s="445" t="str">
        <f>IF(calculos_quadro!$B$362=0,"—",calculos_quadro!$W$50)</f>
        <v/>
      </c>
      <c r="Z27" s="446"/>
    </row>
    <row r="28" ht="16" customHeight="1">
      <c r="B28" s="510" t="inlineStr">
        <is>
          <t xml:space="preserve">OCUPAÇÃO (P.P)</t>
        </is>
      </c>
      <c r="C28" s="168"/>
      <c r="D28" s="295" t="inlineStr">
        <is>
          <t xml:space="preserve">Posições Disponíveis</t>
        </is>
      </c>
      <c r="E28" s="294"/>
      <c r="F28" s="294"/>
      <c r="G28" s="294"/>
      <c r="H28" s="297" t="str">
        <f>IF(calculos_quadro!$B$363=0,"—",calculos_quadro!$X$48)</f>
        <v/>
      </c>
      <c r="I28" s="296"/>
      <c r="J28" s="448" t="str">
        <f>IF(calculos_quadro!$B$363=0,"—",calculos_quadro!$X$43)</f>
        <v/>
      </c>
      <c r="K28" s="447"/>
      <c r="L28" s="447"/>
      <c r="M28" s="301"/>
      <c r="N28" s="300"/>
      <c r="O28" s="450" t="str">
        <f>IF(calculos_quadro!$B$363=0,"—",calculos_quadro!$X$45)</f>
        <v/>
      </c>
      <c r="P28" s="449"/>
      <c r="Q28" s="449"/>
      <c r="R28" s="450" t="str">
        <f>IF(calculos_quadro!$B$363=0,"—",calculos_quadro!$X$46)</f>
        <v/>
      </c>
      <c r="S28" s="449"/>
      <c r="T28" s="305" t="str">
        <f>IF(calculos_quadro!$B$363=0,"—",calculos_quadro!$X$47)</f>
        <v/>
      </c>
      <c r="U28" s="304"/>
      <c r="V28" s="304"/>
      <c r="W28" s="307" t="str">
        <f>IF(calculos_quadro!$B$363=0,"—",calculos_quadro!$X$49)</f>
        <v/>
      </c>
      <c r="X28" s="306"/>
      <c r="Y28" s="309" t="str">
        <f>IF(calculos_quadro!$B$363=0,"—",calculos_quadro!$X$50)</f>
        <v/>
      </c>
      <c r="Z28" s="310"/>
    </row>
    <row r="29" ht="16" customHeight="1">
      <c r="B29" s="511"/>
      <c r="C29" s="214"/>
      <c r="D29" s="312" t="inlineStr">
        <is>
          <t xml:space="preserve">Posições Ocupadas</t>
        </is>
      </c>
      <c r="E29" s="311"/>
      <c r="F29" s="311"/>
      <c r="G29" s="311"/>
      <c r="H29" s="314" t="str">
        <f>IF(calculos_quadro!$B$364=0,"—",calculos_quadro!$Y$48)</f>
        <v/>
      </c>
      <c r="I29" s="313"/>
      <c r="J29" s="316" t="str">
        <f>IF(calculos_quadro!$B$364=0,"—",calculos_quadro!$Y$43)</f>
        <v/>
      </c>
      <c r="K29" s="315"/>
      <c r="L29" s="315"/>
      <c r="M29" s="318" t="str">
        <f>IF(calculos_quadro!$B$364=0,"—",calculos_quadro!$Y$44)</f>
        <v/>
      </c>
      <c r="N29" s="317"/>
      <c r="O29" s="320" t="str">
        <f>IF(calculos_quadro!$B$364=0,"—",calculos_quadro!$Y$45)</f>
        <v/>
      </c>
      <c r="P29" s="319"/>
      <c r="Q29" s="319"/>
      <c r="R29" s="320" t="str">
        <f>IF(calculos_quadro!$B$364=0,"—",calculos_quadro!$Y$46)</f>
        <v/>
      </c>
      <c r="S29" s="319"/>
      <c r="T29" s="322" t="str">
        <f>IF(calculos_quadro!$B$364=0,"—",calculos_quadro!$Y$47)</f>
        <v/>
      </c>
      <c r="U29" s="321"/>
      <c r="V29" s="321"/>
      <c r="W29" s="324" t="str">
        <f>IF(calculos_quadro!$B$364=0,"—",calculos_quadro!$Y$49)</f>
        <v/>
      </c>
      <c r="X29" s="323"/>
      <c r="Y29" s="326" t="str">
        <f>IF(calculos_quadro!$B$364=0,"—",calculos_quadro!$Y$50)</f>
        <v/>
      </c>
      <c r="Z29" s="327"/>
    </row>
    <row r="30" ht="16" customHeight="1">
      <c r="B30" s="512"/>
      <c r="C30" s="175"/>
      <c r="D30" s="331" t="inlineStr">
        <is>
          <t xml:space="preserve">Taxa de Ocupação</t>
        </is>
      </c>
      <c r="E30" s="330"/>
      <c r="F30" s="330"/>
      <c r="G30" s="330"/>
      <c r="H30" s="452" t="str">
        <f>IF(calculos_quadro!$B$365=0,"—",calculos_quadro!$Z$48)</f>
        <v/>
      </c>
      <c r="I30" s="451"/>
      <c r="J30" s="454" t="str">
        <f>IF(calculos_quadro!$B$365=0,"—",calculos_quadro!$Z$43)</f>
        <v/>
      </c>
      <c r="K30" s="453"/>
      <c r="L30" s="453"/>
      <c r="M30" s="456" t="str">
        <f>IF(calculos_quadro!$B$365=0,"—",calculos_quadro!$Z$44)</f>
        <v/>
      </c>
      <c r="N30" s="455"/>
      <c r="O30" s="456" t="str">
        <f>IF(calculos_quadro!$B$365=0,"—",calculos_quadro!$Z$45)</f>
        <v/>
      </c>
      <c r="P30" s="455"/>
      <c r="Q30" s="455"/>
      <c r="R30" s="456" t="str">
        <f>IF(calculos_quadro!$B$365=0,"—",calculos_quadro!$Z$46)</f>
        <v/>
      </c>
      <c r="S30" s="455"/>
      <c r="T30" s="341" t="str">
        <f>IF(calculos_quadro!$B$365=0,"—",calculos_quadro!$Z$47)</f>
        <v/>
      </c>
      <c r="U30" s="340"/>
      <c r="V30" s="340"/>
      <c r="W30" s="343" t="str">
        <f>IF(calculos_quadro!$B$365=0,"—",calculos_quadro!$Z$49)</f>
        <v/>
      </c>
      <c r="X30" s="342"/>
      <c r="Y30" s="345" t="str">
        <f>IF(calculos_quadro!$B$365=0,"—",calculos_quadro!$Z$50)</f>
        <v/>
      </c>
      <c r="Z30" s="346"/>
    </row>
    <row r="31" ht="16" customHeight="1">
      <c r="B31" s="519" t="inlineStr">
        <is>
          <t xml:space="preserve">GENTE</t>
        </is>
      </c>
      <c r="C31" s="225"/>
      <c r="D31" s="458" t="inlineStr">
        <is>
          <t xml:space="preserve">Efetivo Op.</t>
        </is>
      </c>
      <c r="E31" s="457"/>
      <c r="F31" s="457"/>
      <c r="G31" s="457"/>
      <c r="H31" s="460" t="str">
        <f>IF(calculos_quadro!$B$366=0,"—",calculos_quadro!$AA$48)</f>
        <v/>
      </c>
      <c r="I31" s="459"/>
      <c r="J31" s="462" t="str">
        <f>IF(calculos_quadro!$B$366=0,"—",calculos_quadro!$AA$43)</f>
        <v/>
      </c>
      <c r="K31" s="461"/>
      <c r="L31" s="461"/>
      <c r="M31" s="464" t="str">
        <f>IF(calculos_quadro!$B$366=0,"—",calculos_quadro!$AA$44)</f>
        <v/>
      </c>
      <c r="N31" s="463"/>
      <c r="O31" s="466" t="str">
        <f>IF(calculos_quadro!$B$366=0,"—",calculos_quadro!$AA$45)</f>
        <v/>
      </c>
      <c r="P31" s="465"/>
      <c r="Q31" s="465"/>
      <c r="R31" s="466" t="str">
        <f>IF(calculos_quadro!$B$366=0,"—",calculos_quadro!$AA$46)</f>
        <v/>
      </c>
      <c r="S31" s="465"/>
      <c r="T31" s="468" t="str">
        <f>IF(calculos_quadro!$B$366=0,"—",calculos_quadro!$AA$47)</f>
        <v/>
      </c>
      <c r="U31" s="467"/>
      <c r="V31" s="467"/>
      <c r="W31" s="470" t="str">
        <f>IF(calculos_quadro!$B$366=0,"—",calculos_quadro!$AA$49)</f>
        <v/>
      </c>
      <c r="X31" s="469"/>
      <c r="Y31" s="472" t="str">
        <f>IF(calculos_quadro!$B$366=0,"—",calculos_quadro!$AA$50)</f>
        <v/>
      </c>
      <c r="Z31" s="473"/>
    </row>
    <row r="32" ht="16" customHeight="1">
      <c r="B32" s="520"/>
      <c r="C32" s="232"/>
      <c r="D32" s="475" t="inlineStr">
        <is>
          <t xml:space="preserve">Falta</t>
        </is>
      </c>
      <c r="E32" s="474"/>
      <c r="F32" s="474"/>
      <c r="G32" s="474"/>
      <c r="H32" s="477" t="str">
        <f>IF(calculos_quadro!$B$367=0,"—",calculos_quadro!$AB$48)</f>
        <v/>
      </c>
      <c r="I32" s="476"/>
      <c r="J32" s="479">
        <f>IF(calculos_quadro!$B$367=0,"—",calculos_quadro!$AB$43)</f>
        <v>0</v>
      </c>
      <c r="K32" s="478"/>
      <c r="L32" s="478"/>
      <c r="M32" s="481" t="str">
        <f>IF(calculos_quadro!$B$367=0,"—",calculos_quadro!$AB$44)</f>
        <v/>
      </c>
      <c r="N32" s="480"/>
      <c r="O32" s="483">
        <f>IF(calculos_quadro!$B$367=0,"—",calculos_quadro!$AB$45)</f>
        <v>0</v>
      </c>
      <c r="P32" s="482"/>
      <c r="Q32" s="482"/>
      <c r="R32" s="483" t="str">
        <f>IF(calculos_quadro!$B$367=0,"—",calculos_quadro!$AB$46)</f>
        <v/>
      </c>
      <c r="S32" s="482"/>
      <c r="T32" s="485" t="str">
        <f>IF(calculos_quadro!$B$367=0,"—",calculos_quadro!$AB$47)</f>
        <v/>
      </c>
      <c r="U32" s="484"/>
      <c r="V32" s="484"/>
      <c r="W32" s="487" t="str">
        <f>IF(calculos_quadro!$B$367=0,"—",calculos_quadro!$AB$49)</f>
        <v/>
      </c>
      <c r="X32" s="486"/>
      <c r="Y32" s="489" t="str">
        <f>IF(calculos_quadro!$B$367=0,"—",calculos_quadro!$AB$50)</f>
        <v/>
      </c>
      <c r="Z32" s="490"/>
    </row>
    <row r="33" ht="16" customHeight="1">
      <c r="B33" s="520"/>
      <c r="C33" s="232"/>
      <c r="D33" s="475" t="inlineStr">
        <is>
          <t xml:space="preserve">Absenteísmo (H/H)</t>
        </is>
      </c>
      <c r="E33" s="474"/>
      <c r="F33" s="474"/>
      <c r="G33" s="474"/>
      <c r="H33" s="477" t="str">
        <f>IF(calculos_quadro!$B$368=0,"—",calculos_quadro!$AC$48)</f>
        <v/>
      </c>
      <c r="I33" s="476"/>
      <c r="J33" s="492">
        <f>IF(calculos_quadro!$B$368=0,"—",calculos_quadro!$AC$43)</f>
        <v>0</v>
      </c>
      <c r="K33" s="491"/>
      <c r="L33" s="491"/>
      <c r="M33" s="481" t="str">
        <f>IF(calculos_quadro!$B$368=0,"—",calculos_quadro!$AC$44)</f>
        <v/>
      </c>
      <c r="N33" s="480"/>
      <c r="O33" s="481">
        <f>IF(calculos_quadro!$B$368=0,"—",calculos_quadro!$AC$45)</f>
        <v>0</v>
      </c>
      <c r="P33" s="480"/>
      <c r="Q33" s="480"/>
      <c r="R33" s="481" t="str">
        <f>IF(calculos_quadro!$B$368=0,"—",calculos_quadro!$AC$46)</f>
        <v/>
      </c>
      <c r="S33" s="480"/>
      <c r="T33" s="485" t="str">
        <f>IF(calculos_quadro!$B$368=0,"—",calculos_quadro!$AC$47)</f>
        <v/>
      </c>
      <c r="U33" s="484"/>
      <c r="V33" s="484"/>
      <c r="W33" s="487" t="str">
        <f>IF(calculos_quadro!$B$368=0,"—",calculos_quadro!$AC$49)</f>
        <v/>
      </c>
      <c r="X33" s="486"/>
      <c r="Y33" s="489" t="str">
        <f>IF(calculos_quadro!$B$368=0,"—",calculos_quadro!$AC$50)</f>
        <v/>
      </c>
      <c r="Z33" s="490"/>
    </row>
    <row r="34" ht="16" customHeight="1">
      <c r="B34" s="520"/>
      <c r="C34" s="232"/>
      <c r="D34" s="475" t="inlineStr">
        <is>
          <t xml:space="preserve">Folga</t>
        </is>
      </c>
      <c r="E34" s="474"/>
      <c r="F34" s="474"/>
      <c r="G34" s="474"/>
      <c r="H34" s="477" t="str">
        <f>IF(calculos_quadro!$B$369=0,"—",calculos_quadro!$AD$48)</f>
        <v/>
      </c>
      <c r="I34" s="476"/>
      <c r="J34" s="479">
        <f>IF(calculos_quadro!$B$369=0,"—",calculos_quadro!$AD$43)</f>
        <v>0</v>
      </c>
      <c r="K34" s="478"/>
      <c r="L34" s="478"/>
      <c r="M34" s="481" t="str">
        <f>IF(calculos_quadro!$B$369=0,"—",calculos_quadro!$AD$44)</f>
        <v/>
      </c>
      <c r="N34" s="480"/>
      <c r="O34" s="483">
        <f>IF(calculos_quadro!$B$369=0,"—",calculos_quadro!$AD$45)</f>
        <v>0</v>
      </c>
      <c r="P34" s="482"/>
      <c r="Q34" s="482"/>
      <c r="R34" s="483" t="str">
        <f>IF(calculos_quadro!$B$369=0,"—",calculos_quadro!$AD$46)</f>
        <v/>
      </c>
      <c r="S34" s="482"/>
      <c r="T34" s="485" t="str">
        <f>IF(calculos_quadro!$B$369=0,"—",calculos_quadro!$AD$47)</f>
        <v/>
      </c>
      <c r="U34" s="484"/>
      <c r="V34" s="484"/>
      <c r="W34" s="487" t="str">
        <f>IF(calculos_quadro!$B$369=0,"—",calculos_quadro!$AD$49)</f>
        <v/>
      </c>
      <c r="X34" s="486"/>
      <c r="Y34" s="489" t="str">
        <f>IF(calculos_quadro!$B$369=0,"—",calculos_quadro!$AD$50)</f>
        <v/>
      </c>
      <c r="Z34" s="490"/>
    </row>
    <row r="35" ht="16" customHeight="1">
      <c r="B35" s="520"/>
      <c r="C35" s="232"/>
      <c r="D35" s="475" t="inlineStr">
        <is>
          <t xml:space="preserve">Férias</t>
        </is>
      </c>
      <c r="E35" s="474"/>
      <c r="F35" s="474"/>
      <c r="G35" s="474"/>
      <c r="H35" s="477" t="str">
        <f>IF(calculos_quadro!$B$370=0,"—",calculos_quadro!$AE$48)</f>
        <v/>
      </c>
      <c r="I35" s="476"/>
      <c r="J35" s="479">
        <f>IF(calculos_quadro!$B$370=0,"—",calculos_quadro!$AE$43)</f>
        <v>0</v>
      </c>
      <c r="K35" s="478"/>
      <c r="L35" s="478"/>
      <c r="M35" s="481" t="str">
        <f>IF(calculos_quadro!$B$370=0,"—",calculos_quadro!$AE$44)</f>
        <v/>
      </c>
      <c r="N35" s="480"/>
      <c r="O35" s="483">
        <f>IF(calculos_quadro!$B$370=0,"—",calculos_quadro!$AE$45)</f>
        <v>0</v>
      </c>
      <c r="P35" s="482"/>
      <c r="Q35" s="482"/>
      <c r="R35" s="483" t="str">
        <f>IF(calculos_quadro!$B$370=0,"—",calculos_quadro!$AE$46)</f>
        <v/>
      </c>
      <c r="S35" s="482"/>
      <c r="T35" s="485" t="str">
        <f>IF(calculos_quadro!$B$370=0,"—",calculos_quadro!$AE$47)</f>
        <v/>
      </c>
      <c r="U35" s="484"/>
      <c r="V35" s="484"/>
      <c r="W35" s="487" t="str">
        <f>IF(calculos_quadro!$B$370=0,"—",calculos_quadro!$AE$49)</f>
        <v/>
      </c>
      <c r="X35" s="486"/>
      <c r="Y35" s="489" t="str">
        <f>IF(calculos_quadro!$B$370=0,"—",calculos_quadro!$AE$50)</f>
        <v/>
      </c>
      <c r="Z35" s="490"/>
    </row>
    <row r="36" ht="16" customHeight="1">
      <c r="B36" s="520"/>
      <c r="C36" s="232"/>
      <c r="D36" s="475" t="inlineStr">
        <is>
          <t xml:space="preserve">Desligamento</t>
        </is>
      </c>
      <c r="E36" s="474"/>
      <c r="F36" s="474"/>
      <c r="G36" s="474"/>
      <c r="H36" s="477" t="str">
        <f>IF(calculos_quadro!$B$371=0,"—",calculos_quadro!$AF$48)</f>
        <v/>
      </c>
      <c r="I36" s="476"/>
      <c r="J36" s="479">
        <f>IF(calculos_quadro!$B$371=0,"—",calculos_quadro!$AF$43)</f>
        <v>0</v>
      </c>
      <c r="K36" s="478"/>
      <c r="L36" s="478"/>
      <c r="M36" s="481" t="str">
        <f>IF(calculos_quadro!$B$371=0,"—",calculos_quadro!$AF$44)</f>
        <v/>
      </c>
      <c r="N36" s="480"/>
      <c r="O36" s="483">
        <f>IF(calculos_quadro!$B$371=0,"—",calculos_quadro!$AF$45)</f>
        <v>0</v>
      </c>
      <c r="P36" s="482"/>
      <c r="Q36" s="482"/>
      <c r="R36" s="483" t="str">
        <f>IF(calculos_quadro!$B$371=0,"—",calculos_quadro!$AF$46)</f>
        <v/>
      </c>
      <c r="S36" s="482"/>
      <c r="T36" s="485" t="str">
        <f>IF(calculos_quadro!$B$371=0,"—",calculos_quadro!$AF$47)</f>
        <v/>
      </c>
      <c r="U36" s="484"/>
      <c r="V36" s="484"/>
      <c r="W36" s="487" t="str">
        <f>IF(calculos_quadro!$B$371=0,"—",calculos_quadro!$AF$49)</f>
        <v/>
      </c>
      <c r="X36" s="486"/>
      <c r="Y36" s="489" t="str">
        <f>IF(calculos_quadro!$B$371=0,"—",calculos_quadro!$AF$50)</f>
        <v/>
      </c>
      <c r="Z36" s="490"/>
    </row>
    <row r="37" ht="16" customHeight="1">
      <c r="B37" s="520"/>
      <c r="C37" s="232"/>
      <c r="D37" s="475" t="inlineStr">
        <is>
          <t xml:space="preserve">Desvios Comportamentais</t>
        </is>
      </c>
      <c r="E37" s="474"/>
      <c r="F37" s="474"/>
      <c r="G37" s="474"/>
      <c r="H37" s="477" t="str">
        <f>IF(calculos_quadro!$B$372=0,"—",calculos_quadro!$AG$48)</f>
        <v/>
      </c>
      <c r="I37" s="476"/>
      <c r="J37" s="479">
        <f>IF(calculos_quadro!$B$372=0,"—",calculos_quadro!$AG$43)</f>
        <v>0</v>
      </c>
      <c r="K37" s="478"/>
      <c r="L37" s="478"/>
      <c r="M37" s="481" t="str">
        <f>IF(calculos_quadro!$B$372=0,"—",calculos_quadro!$AG$44)</f>
        <v/>
      </c>
      <c r="N37" s="480"/>
      <c r="O37" s="483">
        <f>IF(calculos_quadro!$B$372=0,"—",calculos_quadro!$AG$45)</f>
        <v>0</v>
      </c>
      <c r="P37" s="482"/>
      <c r="Q37" s="482"/>
      <c r="R37" s="483" t="str">
        <f>IF(calculos_quadro!$B$372=0,"—",calculos_quadro!$AG$46)</f>
        <v/>
      </c>
      <c r="S37" s="482"/>
      <c r="T37" s="485" t="str">
        <f>IF(calculos_quadro!$B$372=0,"—",calculos_quadro!$AG$47)</f>
        <v/>
      </c>
      <c r="U37" s="484"/>
      <c r="V37" s="484"/>
      <c r="W37" s="487" t="str">
        <f>IF(calculos_quadro!$B$372=0,"—",calculos_quadro!$AG$49)</f>
        <v/>
      </c>
      <c r="X37" s="486"/>
      <c r="Y37" s="489" t="str">
        <f>IF(calculos_quadro!$B$372=0,"—",calculos_quadro!$AG$50)</f>
        <v/>
      </c>
      <c r="Z37" s="490"/>
    </row>
    <row r="38" ht="16" customHeight="1">
      <c r="B38" s="520"/>
      <c r="C38" s="232"/>
      <c r="D38" s="475" t="inlineStr">
        <is>
          <t xml:space="preserve">Acidentes CAF</t>
        </is>
      </c>
      <c r="E38" s="474"/>
      <c r="F38" s="474"/>
      <c r="G38" s="474"/>
      <c r="H38" s="477" t="str">
        <f>IF(calculos_quadro!$B$373=0,"—",calculos_quadro!$AH$48)</f>
        <v/>
      </c>
      <c r="I38" s="476"/>
      <c r="J38" s="479">
        <f>IF(calculos_quadro!$B$373=0,"—",calculos_quadro!$AH$43)</f>
        <v>0</v>
      </c>
      <c r="K38" s="478"/>
      <c r="L38" s="478"/>
      <c r="M38" s="481" t="str">
        <f>IF(calculos_quadro!$B$373=0,"—",calculos_quadro!$AH$44)</f>
        <v/>
      </c>
      <c r="N38" s="480"/>
      <c r="O38" s="483">
        <f>IF(calculos_quadro!$B$373=0,"—",calculos_quadro!$AH$45)</f>
        <v>0</v>
      </c>
      <c r="P38" s="482"/>
      <c r="Q38" s="482"/>
      <c r="R38" s="483" t="str">
        <f>IF(calculos_quadro!$B$373=0,"—",calculos_quadro!$AH$46)</f>
        <v/>
      </c>
      <c r="S38" s="482"/>
      <c r="T38" s="485" t="str">
        <f>IF(calculos_quadro!$B$373=0,"—",calculos_quadro!$AH$47)</f>
        <v/>
      </c>
      <c r="U38" s="484"/>
      <c r="V38" s="484"/>
      <c r="W38" s="487" t="str">
        <f>IF(calculos_quadro!$B$373=0,"—",calculos_quadro!$AH$49)</f>
        <v/>
      </c>
      <c r="X38" s="486"/>
      <c r="Y38" s="489" t="str">
        <f>IF(calculos_quadro!$B$373=0,"—",calculos_quadro!$AH$50)</f>
        <v/>
      </c>
      <c r="Z38" s="490"/>
    </row>
    <row r="39" ht="16" customHeight="1">
      <c r="B39" s="521"/>
      <c r="C39" s="243"/>
      <c r="D39" s="494" t="inlineStr">
        <is>
          <t xml:space="preserve">Acidentes SAF</t>
        </is>
      </c>
      <c r="E39" s="493"/>
      <c r="F39" s="493"/>
      <c r="G39" s="493"/>
      <c r="H39" s="496" t="str">
        <f>IF(calculos_quadro!$B$374=0,"—",calculos_quadro!$AI$48)</f>
        <v/>
      </c>
      <c r="I39" s="495"/>
      <c r="J39" s="498">
        <f>IF(calculos_quadro!$B$374=0,"—",calculos_quadro!$AI$43)</f>
        <v>0</v>
      </c>
      <c r="K39" s="497"/>
      <c r="L39" s="497"/>
      <c r="M39" s="500" t="str">
        <f>IF(calculos_quadro!$B$374=0,"—",calculos_quadro!$AI$44)</f>
        <v/>
      </c>
      <c r="N39" s="499"/>
      <c r="O39" s="502">
        <f>IF(calculos_quadro!$B$374=0,"—",calculos_quadro!$AI$45)</f>
        <v>0</v>
      </c>
      <c r="P39" s="501"/>
      <c r="Q39" s="501"/>
      <c r="R39" s="502" t="str">
        <f>IF(calculos_quadro!$B$374=0,"—",calculos_quadro!$AI$46)</f>
        <v/>
      </c>
      <c r="S39" s="501"/>
      <c r="T39" s="504" t="str">
        <f>IF(calculos_quadro!$B$374=0,"—",calculos_quadro!$AI$47)</f>
        <v/>
      </c>
      <c r="U39" s="503"/>
      <c r="V39" s="503"/>
      <c r="W39" s="506" t="str">
        <f>IF(calculos_quadro!$B$374=0,"—",calculos_quadro!$AI$49)</f>
        <v/>
      </c>
      <c r="X39" s="505"/>
      <c r="Y39" s="508" t="str">
        <f>IF(calculos_quadro!$B$374=0,"—",calculos_quadro!$AI$50)</f>
        <v/>
      </c>
      <c r="Z39" s="509"/>
    </row>
    <row r="40">
      <c r="B40" s="36" t="inlineStr">
        <is>
          <t xml:space="preserve">Realizado: soma do mês nos fluxos (IN, OUT, incidentes, no show, falta, folga, férias, desligamento); último valor informado por cliente em backlog, posições, taxa e efetivo (dia sem lançamento mantém o valor anterior). Média/dia: dias com movimento. Metas e faixas: aba calculos (células amarelas). Vazio = sem registro.</t>
        </is>
      </c>
    </row>
    <row r="42" ht="20" customHeight="1">
      <c r="B42" s="287" t="inlineStr">
        <is>
          <t xml:space="preserve">RESUMO POR CLIENTE · mês inteiro · segue o filtro desta aba</t>
        </is>
      </c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</row>
    <row r="43" ht="30" customHeight="1">
      <c r="B43" s="522" t="inlineStr">
        <is>
          <t xml:space="preserve">GRUPO</t>
        </is>
      </c>
      <c r="C43" s="523"/>
      <c r="D43" s="522" t="inlineStr">
        <is>
          <t xml:space="preserve">INDICADOR</t>
        </is>
      </c>
      <c r="E43" s="524"/>
      <c r="F43" s="524"/>
      <c r="G43" s="523"/>
      <c r="H43" s="525" t="str">
        <f>calculos_quadro!$G$319&amp;""</f>
        <v>Alpargatas</v>
      </c>
      <c r="I43" s="525" t="str">
        <f>calculos_quadro!$G$320&amp;""</f>
        <v>Basf</v>
      </c>
      <c r="J43" s="526" t="str">
        <f>calculos_quadro!$G$321&amp;""</f>
        <v>Beautybiz</v>
      </c>
      <c r="K43" s="527"/>
      <c r="L43" s="525" t="str">
        <f>calculos_quadro!$G$322&amp;""</f>
        <v>Boticário</v>
      </c>
      <c r="M43" s="525" t="str">
        <f>calculos_quadro!$G$323&amp;""</f>
        <v>Confiance</v>
      </c>
      <c r="N43" s="525" t="str">
        <f>calculos_quadro!$G$324&amp;""</f>
        <v>GE Vernova</v>
      </c>
      <c r="O43" s="526" t="str">
        <f>calculos_quadro!$G$325&amp;""</f>
        <v>Omnilife</v>
      </c>
      <c r="P43" s="527"/>
      <c r="Q43" s="525" t="str">
        <f>calculos_quadro!$G$326&amp;""</f>
        <v>Supply</v>
      </c>
      <c r="R43" s="525" t="str">
        <f>calculos_quadro!$G$327&amp;""</f>
        <v>Vedacit</v>
      </c>
      <c r="S43" s="525" t="str">
        <f>calculos_quadro!$G$328&amp;""</f>
        <v>Vestas</v>
      </c>
      <c r="T43" s="526" t="str">
        <f>calculos_quadro!$G$329&amp;""</f>
        <v/>
      </c>
      <c r="U43" s="527"/>
      <c r="V43" s="525" t="str">
        <f>calculos_quadro!$G$330&amp;""</f>
        <v/>
      </c>
      <c r="W43" s="525" t="str">
        <f>calculos_quadro!$G$331&amp;""</f>
        <v/>
      </c>
      <c r="X43" s="525" t="str">
        <f>calculos_quadro!$G$332&amp;""</f>
        <v/>
      </c>
      <c r="Y43" s="525" t="str">
        <f>calculos_quadro!$G$333&amp;""</f>
        <v/>
      </c>
      <c r="Z43" s="525" t="str">
        <f>calculos_quadro!$G$334&amp;""</f>
        <v/>
      </c>
    </row>
    <row r="44" ht="15.75" customHeight="1">
      <c r="B44" s="510" t="inlineStr">
        <is>
          <t xml:space="preserve">IN</t>
        </is>
      </c>
      <c r="C44" s="168"/>
      <c r="D44" s="295" t="inlineStr">
        <is>
          <t xml:space="preserve">Veículos Recebidos</t>
        </is>
      </c>
      <c r="E44" s="294"/>
      <c r="F44" s="294"/>
      <c r="G44" s="294"/>
      <c r="H44" s="303">
        <f>IF(calculos_quadro!$G$319="","",IFERROR(INDEX(calculos_quadro!$B$103:$U$103,MATCH(calculos_quadro!$G$319,calculos_quadro!$B$102:$U$102,0)),""))</f>
        <v>0</v>
      </c>
      <c r="I44" s="303">
        <f>IF(calculos_quadro!$G$320="","",IFERROR(INDEX(calculos_quadro!$B$103:$U$103,MATCH(calculos_quadro!$G$320,calculos_quadro!$B$102:$U$102,0)),""))</f>
        <v>0</v>
      </c>
      <c r="J44" s="303">
        <f>IF(calculos_quadro!$G$321="","",IFERROR(INDEX(calculos_quadro!$B$103:$U$103,MATCH(calculos_quadro!$G$321,calculos_quadro!$B$102:$U$102,0)),""))</f>
        <v>0</v>
      </c>
      <c r="K44" s="302"/>
      <c r="L44" s="303">
        <f>IF(calculos_quadro!$G$322="","",IFERROR(INDEX(calculos_quadro!$B$103:$U$103,MATCH(calculos_quadro!$G$322,calculos_quadro!$B$102:$U$102,0)),""))</f>
        <v>0</v>
      </c>
      <c r="M44" s="303">
        <f>IF(calculos_quadro!$G$323="","",IFERROR(INDEX(calculos_quadro!$B$103:$U$103,MATCH(calculos_quadro!$G$323,calculos_quadro!$B$102:$U$102,0)),""))</f>
        <v>0</v>
      </c>
      <c r="N44" s="303">
        <f>IF(calculos_quadro!$G$324="","",IFERROR(INDEX(calculos_quadro!$B$103:$U$103,MATCH(calculos_quadro!$G$324,calculos_quadro!$B$102:$U$102,0)),""))</f>
        <v>0</v>
      </c>
      <c r="O44" s="303">
        <f>IF(calculos_quadro!$G$325="","",IFERROR(INDEX(calculos_quadro!$B$103:$U$103,MATCH(calculos_quadro!$G$325,calculos_quadro!$B$102:$U$102,0)),""))</f>
        <v>0</v>
      </c>
      <c r="P44" s="302"/>
      <c r="Q44" s="303">
        <f>IF(calculos_quadro!$G$326="","",IFERROR(INDEX(calculos_quadro!$B$103:$U$103,MATCH(calculos_quadro!$G$326,calculos_quadro!$B$102:$U$102,0)),""))</f>
        <v>0</v>
      </c>
      <c r="R44" s="303">
        <f>IF(calculos_quadro!$G$327="","",IFERROR(INDEX(calculos_quadro!$B$103:$U$103,MATCH(calculos_quadro!$G$327,calculos_quadro!$B$102:$U$102,0)),""))</f>
        <v>0</v>
      </c>
      <c r="S44" s="303">
        <f>IF(calculos_quadro!$G$328="","",IFERROR(INDEX(calculos_quadro!$B$103:$U$103,MATCH(calculos_quadro!$G$328,calculos_quadro!$B$102:$U$102,0)),""))</f>
        <v>0</v>
      </c>
      <c r="T44" s="303" t="str">
        <f>IF(calculos_quadro!$G$329="","",IFERROR(INDEX(calculos_quadro!$B$103:$U$103,MATCH(calculos_quadro!$G$329,calculos_quadro!$B$102:$U$102,0)),""))</f>
        <v/>
      </c>
      <c r="U44" s="302"/>
      <c r="V44" s="303" t="str">
        <f>IF(calculos_quadro!$G$330="","",IFERROR(INDEX(calculos_quadro!$B$103:$U$103,MATCH(calculos_quadro!$G$330,calculos_quadro!$B$102:$U$102,0)),""))</f>
        <v/>
      </c>
      <c r="W44" s="303" t="str">
        <f>IF(calculos_quadro!$G$331="","",IFERROR(INDEX(calculos_quadro!$B$103:$U$103,MATCH(calculos_quadro!$G$331,calculos_quadro!$B$102:$U$102,0)),""))</f>
        <v/>
      </c>
      <c r="X44" s="303" t="str">
        <f>IF(calculos_quadro!$G$332="","",IFERROR(INDEX(calculos_quadro!$B$103:$U$103,MATCH(calculos_quadro!$G$332,calculos_quadro!$B$102:$U$102,0)),""))</f>
        <v/>
      </c>
      <c r="Y44" s="303" t="str">
        <f>IF(calculos_quadro!$G$333="","",IFERROR(INDEX(calculos_quadro!$B$103:$U$103,MATCH(calculos_quadro!$G$333,calculos_quadro!$B$102:$U$102,0)),""))</f>
        <v/>
      </c>
      <c r="Z44" s="303" t="str">
        <f>IF(calculos_quadro!$G$334="","",IFERROR(INDEX(calculos_quadro!$B$103:$U$103,MATCH(calculos_quadro!$G$334,calculos_quadro!$B$102:$U$102,0)),""))</f>
        <v/>
      </c>
    </row>
    <row r="45" ht="15.75" customHeight="1">
      <c r="B45" s="511"/>
      <c r="C45" s="214"/>
      <c r="D45" s="312" t="inlineStr">
        <is>
          <t xml:space="preserve">Pallets Movimentados</t>
        </is>
      </c>
      <c r="E45" s="311"/>
      <c r="F45" s="311"/>
      <c r="G45" s="311"/>
      <c r="H45" s="320" t="str">
        <f>IF(calculos_quadro!$G$319="","",IFERROR(INDEX(calculos_quadro!$B$104:$U$104,MATCH(calculos_quadro!$G$319,calculos_quadro!$B$102:$U$102,0)),""))</f>
        <v>—</v>
      </c>
      <c r="I45" s="320">
        <f>IF(calculos_quadro!$G$320="","",IFERROR(INDEX(calculos_quadro!$B$104:$U$104,MATCH(calculos_quadro!$G$320,calculos_quadro!$B$102:$U$102,0)),""))</f>
        <v>0</v>
      </c>
      <c r="J45" s="320">
        <f>IF(calculos_quadro!$G$321="","",IFERROR(INDEX(calculos_quadro!$B$104:$U$104,MATCH(calculos_quadro!$G$321,calculos_quadro!$B$102:$U$102,0)),""))</f>
        <v>0</v>
      </c>
      <c r="K45" s="319"/>
      <c r="L45" s="320">
        <f>IF(calculos_quadro!$G$322="","",IFERROR(INDEX(calculos_quadro!$B$104:$U$104,MATCH(calculos_quadro!$G$322,calculos_quadro!$B$102:$U$102,0)),""))</f>
        <v>0</v>
      </c>
      <c r="M45" s="320">
        <f>IF(calculos_quadro!$G$323="","",IFERROR(INDEX(calculos_quadro!$B$104:$U$104,MATCH(calculos_quadro!$G$323,calculos_quadro!$B$102:$U$102,0)),""))</f>
        <v>0</v>
      </c>
      <c r="N45" s="320">
        <f>IF(calculos_quadro!$G$324="","",IFERROR(INDEX(calculos_quadro!$B$104:$U$104,MATCH(calculos_quadro!$G$324,calculos_quadro!$B$102:$U$102,0)),""))</f>
        <v>0</v>
      </c>
      <c r="O45" s="320">
        <f>IF(calculos_quadro!$G$325="","",IFERROR(INDEX(calculos_quadro!$B$104:$U$104,MATCH(calculos_quadro!$G$325,calculos_quadro!$B$102:$U$102,0)),""))</f>
        <v>0</v>
      </c>
      <c r="P45" s="319"/>
      <c r="Q45" s="320">
        <f>IF(calculos_quadro!$G$326="","",IFERROR(INDEX(calculos_quadro!$B$104:$U$104,MATCH(calculos_quadro!$G$326,calculos_quadro!$B$102:$U$102,0)),""))</f>
        <v>0</v>
      </c>
      <c r="R45" s="320">
        <f>IF(calculos_quadro!$G$327="","",IFERROR(INDEX(calculos_quadro!$B$104:$U$104,MATCH(calculos_quadro!$G$327,calculos_quadro!$B$102:$U$102,0)),""))</f>
        <v>0</v>
      </c>
      <c r="S45" s="320" t="str">
        <f>IF(calculos_quadro!$G$328="","",IFERROR(INDEX(calculos_quadro!$B$104:$U$104,MATCH(calculos_quadro!$G$328,calculos_quadro!$B$102:$U$102,0)),""))</f>
        <v>—</v>
      </c>
      <c r="T45" s="320" t="str">
        <f>IF(calculos_quadro!$G$329="","",IFERROR(INDEX(calculos_quadro!$B$104:$U$104,MATCH(calculos_quadro!$G$329,calculos_quadro!$B$102:$U$102,0)),""))</f>
        <v/>
      </c>
      <c r="U45" s="319"/>
      <c r="V45" s="320" t="str">
        <f>IF(calculos_quadro!$G$330="","",IFERROR(INDEX(calculos_quadro!$B$104:$U$104,MATCH(calculos_quadro!$G$330,calculos_quadro!$B$102:$U$102,0)),""))</f>
        <v/>
      </c>
      <c r="W45" s="320" t="str">
        <f>IF(calculos_quadro!$G$331="","",IFERROR(INDEX(calculos_quadro!$B$104:$U$104,MATCH(calculos_quadro!$G$331,calculos_quadro!$B$102:$U$102,0)),""))</f>
        <v/>
      </c>
      <c r="X45" s="320" t="str">
        <f>IF(calculos_quadro!$G$332="","",IFERROR(INDEX(calculos_quadro!$B$104:$U$104,MATCH(calculos_quadro!$G$332,calculos_quadro!$B$102:$U$102,0)),""))</f>
        <v/>
      </c>
      <c r="Y45" s="320" t="str">
        <f>IF(calculos_quadro!$G$333="","",IFERROR(INDEX(calculos_quadro!$B$104:$U$104,MATCH(calculos_quadro!$G$333,calculos_quadro!$B$102:$U$102,0)),""))</f>
        <v/>
      </c>
      <c r="Z45" s="320" t="str">
        <f>IF(calculos_quadro!$G$334="","",IFERROR(INDEX(calculos_quadro!$B$104:$U$104,MATCH(calculos_quadro!$G$334,calculos_quadro!$B$102:$U$102,0)),""))</f>
        <v/>
      </c>
    </row>
    <row r="46" ht="15.75" customHeight="1">
      <c r="B46" s="511"/>
      <c r="C46" s="214"/>
      <c r="D46" s="312" t="inlineStr">
        <is>
          <t xml:space="preserve">Toneladas Movimentadas</t>
        </is>
      </c>
      <c r="E46" s="311"/>
      <c r="F46" s="311"/>
      <c r="G46" s="311"/>
      <c r="H46" s="318" t="str">
        <f>IF(calculos_quadro!$G$319="","",IFERROR(INDEX(calculos_quadro!$B$105:$U$105,MATCH(calculos_quadro!$G$319,calculos_quadro!$B$102:$U$102,0)),""))</f>
        <v>—</v>
      </c>
      <c r="I46" s="318">
        <f>IF(calculos_quadro!$G$320="","",IFERROR(INDEX(calculos_quadro!$B$105:$U$105,MATCH(calculos_quadro!$G$320,calculos_quadro!$B$102:$U$102,0)),""))</f>
        <v>0</v>
      </c>
      <c r="J46" s="318" t="str">
        <f>IF(calculos_quadro!$G$321="","",IFERROR(INDEX(calculos_quadro!$B$105:$U$105,MATCH(calculos_quadro!$G$321,calculos_quadro!$B$102:$U$102,0)),""))</f>
        <v>—</v>
      </c>
      <c r="K46" s="317"/>
      <c r="L46" s="318" t="str">
        <f>IF(calculos_quadro!$G$322="","",IFERROR(INDEX(calculos_quadro!$B$105:$U$105,MATCH(calculos_quadro!$G$322,calculos_quadro!$B$102:$U$102,0)),""))</f>
        <v>—</v>
      </c>
      <c r="M46" s="318">
        <f>IF(calculos_quadro!$G$323="","",IFERROR(INDEX(calculos_quadro!$B$105:$U$105,MATCH(calculos_quadro!$G$323,calculos_quadro!$B$102:$U$102,0)),""))</f>
        <v>0</v>
      </c>
      <c r="N46" s="318" t="str">
        <f>IF(calculos_quadro!$G$324="","",IFERROR(INDEX(calculos_quadro!$B$105:$U$105,MATCH(calculos_quadro!$G$324,calculos_quadro!$B$102:$U$102,0)),""))</f>
        <v>—</v>
      </c>
      <c r="O46" s="318" t="str">
        <f>IF(calculos_quadro!$G$325="","",IFERROR(INDEX(calculos_quadro!$B$105:$U$105,MATCH(calculos_quadro!$G$325,calculos_quadro!$B$102:$U$102,0)),""))</f>
        <v>—</v>
      </c>
      <c r="P46" s="317"/>
      <c r="Q46" s="318">
        <f>IF(calculos_quadro!$G$326="","",IFERROR(INDEX(calculos_quadro!$B$105:$U$105,MATCH(calculos_quadro!$G$326,calculos_quadro!$B$102:$U$102,0)),""))</f>
        <v>0</v>
      </c>
      <c r="R46" s="318" t="str">
        <f>IF(calculos_quadro!$G$327="","",IFERROR(INDEX(calculos_quadro!$B$105:$U$105,MATCH(calculos_quadro!$G$327,calculos_quadro!$B$102:$U$102,0)),""))</f>
        <v>—</v>
      </c>
      <c r="S46" s="318" t="str">
        <f>IF(calculos_quadro!$G$328="","",IFERROR(INDEX(calculos_quadro!$B$105:$U$105,MATCH(calculos_quadro!$G$328,calculos_quadro!$B$102:$U$102,0)),""))</f>
        <v>—</v>
      </c>
      <c r="T46" s="318" t="str">
        <f>IF(calculos_quadro!$G$329="","",IFERROR(INDEX(calculos_quadro!$B$105:$U$105,MATCH(calculos_quadro!$G$329,calculos_quadro!$B$102:$U$102,0)),""))</f>
        <v/>
      </c>
      <c r="U46" s="317"/>
      <c r="V46" s="318" t="str">
        <f>IF(calculos_quadro!$G$330="","",IFERROR(INDEX(calculos_quadro!$B$105:$U$105,MATCH(calculos_quadro!$G$330,calculos_quadro!$B$102:$U$102,0)),""))</f>
        <v/>
      </c>
      <c r="W46" s="318" t="str">
        <f>IF(calculos_quadro!$G$331="","",IFERROR(INDEX(calculos_quadro!$B$105:$U$105,MATCH(calculos_quadro!$G$331,calculos_quadro!$B$102:$U$102,0)),""))</f>
        <v/>
      </c>
      <c r="X46" s="318" t="str">
        <f>IF(calculos_quadro!$G$332="","",IFERROR(INDEX(calculos_quadro!$B$105:$U$105,MATCH(calculos_quadro!$G$332,calculos_quadro!$B$102:$U$102,0)),""))</f>
        <v/>
      </c>
      <c r="Y46" s="318" t="str">
        <f>IF(calculos_quadro!$G$333="","",IFERROR(INDEX(calculos_quadro!$B$105:$U$105,MATCH(calculos_quadro!$G$333,calculos_quadro!$B$102:$U$102,0)),""))</f>
        <v/>
      </c>
      <c r="Z46" s="318" t="str">
        <f>IF(calculos_quadro!$G$334="","",IFERROR(INDEX(calculos_quadro!$B$105:$U$105,MATCH(calculos_quadro!$G$334,calculos_quadro!$B$102:$U$102,0)),""))</f>
        <v/>
      </c>
    </row>
    <row r="47" ht="15.75" customHeight="1">
      <c r="B47" s="511"/>
      <c r="C47" s="214"/>
      <c r="D47" s="312" t="inlineStr">
        <is>
          <t xml:space="preserve">Linhas NF</t>
        </is>
      </c>
      <c r="E47" s="311"/>
      <c r="F47" s="311"/>
      <c r="G47" s="311"/>
      <c r="H47" s="320" t="str">
        <f>IF(calculos_quadro!$G$319="","",IFERROR(INDEX(calculos_quadro!$B$106:$U$106,MATCH(calculos_quadro!$G$319,calculos_quadro!$B$102:$U$102,0)),""))</f>
        <v>—</v>
      </c>
      <c r="I47" s="320" t="str">
        <f>IF(calculos_quadro!$G$320="","",IFERROR(INDEX(calculos_quadro!$B$106:$U$106,MATCH(calculos_quadro!$G$320,calculos_quadro!$B$102:$U$102,0)),""))</f>
        <v>—</v>
      </c>
      <c r="J47" s="320" t="str">
        <f>IF(calculos_quadro!$G$321="","",IFERROR(INDEX(calculos_quadro!$B$106:$U$106,MATCH(calculos_quadro!$G$321,calculos_quadro!$B$102:$U$102,0)),""))</f>
        <v>—</v>
      </c>
      <c r="K47" s="319"/>
      <c r="L47" s="320" t="str">
        <f>IF(calculos_quadro!$G$322="","",IFERROR(INDEX(calculos_quadro!$B$106:$U$106,MATCH(calculos_quadro!$G$322,calculos_quadro!$B$102:$U$102,0)),""))</f>
        <v>—</v>
      </c>
      <c r="M47" s="320" t="str">
        <f>IF(calculos_quadro!$G$323="","",IFERROR(INDEX(calculos_quadro!$B$106:$U$106,MATCH(calculos_quadro!$G$323,calculos_quadro!$B$102:$U$102,0)),""))</f>
        <v>—</v>
      </c>
      <c r="N47" s="320">
        <f>IF(calculos_quadro!$G$324="","",IFERROR(INDEX(calculos_quadro!$B$106:$U$106,MATCH(calculos_quadro!$G$324,calculos_quadro!$B$102:$U$102,0)),""))</f>
        <v>0</v>
      </c>
      <c r="O47" s="320" t="str">
        <f>IF(calculos_quadro!$G$325="","",IFERROR(INDEX(calculos_quadro!$B$106:$U$106,MATCH(calculos_quadro!$G$325,calculos_quadro!$B$102:$U$102,0)),""))</f>
        <v>—</v>
      </c>
      <c r="P47" s="319"/>
      <c r="Q47" s="320" t="str">
        <f>IF(calculos_quadro!$G$326="","",IFERROR(INDEX(calculos_quadro!$B$106:$U$106,MATCH(calculos_quadro!$G$326,calculos_quadro!$B$102:$U$102,0)),""))</f>
        <v>—</v>
      </c>
      <c r="R47" s="320" t="str">
        <f>IF(calculos_quadro!$G$327="","",IFERROR(INDEX(calculos_quadro!$B$106:$U$106,MATCH(calculos_quadro!$G$327,calculos_quadro!$B$102:$U$102,0)),""))</f>
        <v>—</v>
      </c>
      <c r="S47" s="320">
        <f>IF(calculos_quadro!$G$328="","",IFERROR(INDEX(calculos_quadro!$B$106:$U$106,MATCH(calculos_quadro!$G$328,calculos_quadro!$B$102:$U$102,0)),""))</f>
        <v>0</v>
      </c>
      <c r="T47" s="320" t="str">
        <f>IF(calculos_quadro!$G$329="","",IFERROR(INDEX(calculos_quadro!$B$106:$U$106,MATCH(calculos_quadro!$G$329,calculos_quadro!$B$102:$U$102,0)),""))</f>
        <v/>
      </c>
      <c r="U47" s="319"/>
      <c r="V47" s="320" t="str">
        <f>IF(calculos_quadro!$G$330="","",IFERROR(INDEX(calculos_quadro!$B$106:$U$106,MATCH(calculos_quadro!$G$330,calculos_quadro!$B$102:$U$102,0)),""))</f>
        <v/>
      </c>
      <c r="W47" s="320" t="str">
        <f>IF(calculos_quadro!$G$331="","",IFERROR(INDEX(calculos_quadro!$B$106:$U$106,MATCH(calculos_quadro!$G$331,calculos_quadro!$B$102:$U$102,0)),""))</f>
        <v/>
      </c>
      <c r="X47" s="320" t="str">
        <f>IF(calculos_quadro!$G$332="","",IFERROR(INDEX(calculos_quadro!$B$106:$U$106,MATCH(calculos_quadro!$G$332,calculos_quadro!$B$102:$U$102,0)),""))</f>
        <v/>
      </c>
      <c r="Y47" s="320" t="str">
        <f>IF(calculos_quadro!$G$333="","",IFERROR(INDEX(calculos_quadro!$B$106:$U$106,MATCH(calculos_quadro!$G$333,calculos_quadro!$B$102:$U$102,0)),""))</f>
        <v/>
      </c>
      <c r="Z47" s="320" t="str">
        <f>IF(calculos_quadro!$G$334="","",IFERROR(INDEX(calculos_quadro!$B$106:$U$106,MATCH(calculos_quadro!$G$334,calculos_quadro!$B$102:$U$102,0)),""))</f>
        <v/>
      </c>
    </row>
    <row r="48" ht="15.75" customHeight="1">
      <c r="B48" s="511"/>
      <c r="C48" s="214"/>
      <c r="D48" s="312" t="inlineStr">
        <is>
          <t xml:space="preserve">Caixas Movimentadas</t>
        </is>
      </c>
      <c r="E48" s="311"/>
      <c r="F48" s="311"/>
      <c r="G48" s="311"/>
      <c r="H48" s="320">
        <f>IF(calculos_quadro!$G$319="","",IFERROR(INDEX(calculos_quadro!$B$107:$U$107,MATCH(calculos_quadro!$G$319,calculos_quadro!$B$102:$U$102,0)),""))</f>
        <v>0</v>
      </c>
      <c r="I48" s="320" t="str">
        <f>IF(calculos_quadro!$G$320="","",IFERROR(INDEX(calculos_quadro!$B$107:$U$107,MATCH(calculos_quadro!$G$320,calculos_quadro!$B$102:$U$102,0)),""))</f>
        <v>—</v>
      </c>
      <c r="J48" s="320">
        <f>IF(calculos_quadro!$G$321="","",IFERROR(INDEX(calculos_quadro!$B$107:$U$107,MATCH(calculos_quadro!$G$321,calculos_quadro!$B$102:$U$102,0)),""))</f>
        <v>0</v>
      </c>
      <c r="K48" s="319"/>
      <c r="L48" s="320">
        <f>IF(calculos_quadro!$G$322="","",IFERROR(INDEX(calculos_quadro!$B$107:$U$107,MATCH(calculos_quadro!$G$322,calculos_quadro!$B$102:$U$102,0)),""))</f>
        <v>0</v>
      </c>
      <c r="M48" s="320" t="str">
        <f>IF(calculos_quadro!$G$323="","",IFERROR(INDEX(calculos_quadro!$B$107:$U$107,MATCH(calculos_quadro!$G$323,calculos_quadro!$B$102:$U$102,0)),""))</f>
        <v>—</v>
      </c>
      <c r="N48" s="320" t="str">
        <f>IF(calculos_quadro!$G$324="","",IFERROR(INDEX(calculos_quadro!$B$107:$U$107,MATCH(calculos_quadro!$G$324,calculos_quadro!$B$102:$U$102,0)),""))</f>
        <v>—</v>
      </c>
      <c r="O48" s="320" t="str">
        <f>IF(calculos_quadro!$G$325="","",IFERROR(INDEX(calculos_quadro!$B$107:$U$107,MATCH(calculos_quadro!$G$325,calculos_quadro!$B$102:$U$102,0)),""))</f>
        <v>—</v>
      </c>
      <c r="P48" s="319"/>
      <c r="Q48" s="320" t="str">
        <f>IF(calculos_quadro!$G$326="","",IFERROR(INDEX(calculos_quadro!$B$107:$U$107,MATCH(calculos_quadro!$G$326,calculos_quadro!$B$102:$U$102,0)),""))</f>
        <v>—</v>
      </c>
      <c r="R48" s="320" t="str">
        <f>IF(calculos_quadro!$G$327="","",IFERROR(INDEX(calculos_quadro!$B$107:$U$107,MATCH(calculos_quadro!$G$327,calculos_quadro!$B$102:$U$102,0)),""))</f>
        <v>—</v>
      </c>
      <c r="S48" s="320" t="str">
        <f>IF(calculos_quadro!$G$328="","",IFERROR(INDEX(calculos_quadro!$B$107:$U$107,MATCH(calculos_quadro!$G$328,calculos_quadro!$B$102:$U$102,0)),""))</f>
        <v>—</v>
      </c>
      <c r="T48" s="320" t="str">
        <f>IF(calculos_quadro!$G$329="","",IFERROR(INDEX(calculos_quadro!$B$107:$U$107,MATCH(calculos_quadro!$G$329,calculos_quadro!$B$102:$U$102,0)),""))</f>
        <v/>
      </c>
      <c r="U48" s="319"/>
      <c r="V48" s="320" t="str">
        <f>IF(calculos_quadro!$G$330="","",IFERROR(INDEX(calculos_quadro!$B$107:$U$107,MATCH(calculos_quadro!$G$330,calculos_quadro!$B$102:$U$102,0)),""))</f>
        <v/>
      </c>
      <c r="W48" s="320" t="str">
        <f>IF(calculos_quadro!$G$331="","",IFERROR(INDEX(calculos_quadro!$B$107:$U$107,MATCH(calculos_quadro!$G$331,calculos_quadro!$B$102:$U$102,0)),""))</f>
        <v/>
      </c>
      <c r="X48" s="320" t="str">
        <f>IF(calculos_quadro!$G$332="","",IFERROR(INDEX(calculos_quadro!$B$107:$U$107,MATCH(calculos_quadro!$G$332,calculos_quadro!$B$102:$U$102,0)),""))</f>
        <v/>
      </c>
      <c r="Y48" s="320" t="str">
        <f>IF(calculos_quadro!$G$333="","",IFERROR(INDEX(calculos_quadro!$B$107:$U$107,MATCH(calculos_quadro!$G$333,calculos_quadro!$B$102:$U$102,0)),""))</f>
        <v/>
      </c>
      <c r="Z48" s="320" t="str">
        <f>IF(calculos_quadro!$G$334="","",IFERROR(INDEX(calculos_quadro!$B$107:$U$107,MATCH(calculos_quadro!$G$334,calculos_quadro!$B$102:$U$102,0)),""))</f>
        <v/>
      </c>
    </row>
    <row r="49" ht="15.75" customHeight="1">
      <c r="B49" s="511"/>
      <c r="C49" s="214"/>
      <c r="D49" s="312" t="inlineStr">
        <is>
          <t xml:space="preserve">Itens Recebidos</t>
        </is>
      </c>
      <c r="E49" s="311"/>
      <c r="F49" s="311"/>
      <c r="G49" s="311"/>
      <c r="H49" s="320" t="str">
        <f>IF(calculos_quadro!$G$319="","",IFERROR(INDEX(calculos_quadro!$B$108:$U$108,MATCH(calculos_quadro!$G$319,calculos_quadro!$B$102:$U$102,0)),""))</f>
        <v>—</v>
      </c>
      <c r="I49" s="320" t="str">
        <f>IF(calculos_quadro!$G$320="","",IFERROR(INDEX(calculos_quadro!$B$108:$U$108,MATCH(calculos_quadro!$G$320,calculos_quadro!$B$102:$U$102,0)),""))</f>
        <v>—</v>
      </c>
      <c r="J49" s="320" t="str">
        <f>IF(calculos_quadro!$G$321="","",IFERROR(INDEX(calculos_quadro!$B$108:$U$108,MATCH(calculos_quadro!$G$321,calculos_quadro!$B$102:$U$102,0)),""))</f>
        <v>—</v>
      </c>
      <c r="K49" s="319"/>
      <c r="L49" s="320" t="str">
        <f>IF(calculos_quadro!$G$322="","",IFERROR(INDEX(calculos_quadro!$B$108:$U$108,MATCH(calculos_quadro!$G$322,calculos_quadro!$B$102:$U$102,0)),""))</f>
        <v>—</v>
      </c>
      <c r="M49" s="320" t="str">
        <f>IF(calculos_quadro!$G$323="","",IFERROR(INDEX(calculos_quadro!$B$108:$U$108,MATCH(calculos_quadro!$G$323,calculos_quadro!$B$102:$U$102,0)),""))</f>
        <v>—</v>
      </c>
      <c r="N49" s="320" t="str">
        <f>IF(calculos_quadro!$G$324="","",IFERROR(INDEX(calculos_quadro!$B$108:$U$108,MATCH(calculos_quadro!$G$324,calculos_quadro!$B$102:$U$102,0)),""))</f>
        <v>—</v>
      </c>
      <c r="O49" s="320" t="str">
        <f>IF(calculos_quadro!$G$325="","",IFERROR(INDEX(calculos_quadro!$B$108:$U$108,MATCH(calculos_quadro!$G$325,calculos_quadro!$B$102:$U$102,0)),""))</f>
        <v>—</v>
      </c>
      <c r="P49" s="319"/>
      <c r="Q49" s="320" t="str">
        <f>IF(calculos_quadro!$G$326="","",IFERROR(INDEX(calculos_quadro!$B$108:$U$108,MATCH(calculos_quadro!$G$326,calculos_quadro!$B$102:$U$102,0)),""))</f>
        <v>—</v>
      </c>
      <c r="R49" s="320" t="str">
        <f>IF(calculos_quadro!$G$327="","",IFERROR(INDEX(calculos_quadro!$B$108:$U$108,MATCH(calculos_quadro!$G$327,calculos_quadro!$B$102:$U$102,0)),""))</f>
        <v>—</v>
      </c>
      <c r="S49" s="320" t="str">
        <f>IF(calculos_quadro!$G$328="","",IFERROR(INDEX(calculos_quadro!$B$108:$U$108,MATCH(calculos_quadro!$G$328,calculos_quadro!$B$102:$U$102,0)),""))</f>
        <v>—</v>
      </c>
      <c r="T49" s="320" t="str">
        <f>IF(calculos_quadro!$G$329="","",IFERROR(INDEX(calculos_quadro!$B$108:$U$108,MATCH(calculos_quadro!$G$329,calculos_quadro!$B$102:$U$102,0)),""))</f>
        <v/>
      </c>
      <c r="U49" s="319"/>
      <c r="V49" s="320" t="str">
        <f>IF(calculos_quadro!$G$330="","",IFERROR(INDEX(calculos_quadro!$B$108:$U$108,MATCH(calculos_quadro!$G$330,calculos_quadro!$B$102:$U$102,0)),""))</f>
        <v/>
      </c>
      <c r="W49" s="320" t="str">
        <f>IF(calculos_quadro!$G$331="","",IFERROR(INDEX(calculos_quadro!$B$108:$U$108,MATCH(calculos_quadro!$G$331,calculos_quadro!$B$102:$U$102,0)),""))</f>
        <v/>
      </c>
      <c r="X49" s="320" t="str">
        <f>IF(calculos_quadro!$G$332="","",IFERROR(INDEX(calculos_quadro!$B$108:$U$108,MATCH(calculos_quadro!$G$332,calculos_quadro!$B$102:$U$102,0)),""))</f>
        <v/>
      </c>
      <c r="Y49" s="320" t="str">
        <f>IF(calculos_quadro!$G$333="","",IFERROR(INDEX(calculos_quadro!$B$108:$U$108,MATCH(calculos_quadro!$G$333,calculos_quadro!$B$102:$U$102,0)),""))</f>
        <v/>
      </c>
      <c r="Z49" s="320" t="str">
        <f>IF(calculos_quadro!$G$334="","",IFERROR(INDEX(calculos_quadro!$B$108:$U$108,MATCH(calculos_quadro!$G$334,calculos_quadro!$B$102:$U$102,0)),""))</f>
        <v/>
      </c>
    </row>
    <row r="50" ht="15.75" customHeight="1">
      <c r="B50" s="511"/>
      <c r="C50" s="214"/>
      <c r="D50" s="312" t="inlineStr">
        <is>
          <t xml:space="preserve">Itens Recebidos CX Mista</t>
        </is>
      </c>
      <c r="E50" s="311"/>
      <c r="F50" s="311"/>
      <c r="G50" s="311"/>
      <c r="H50" s="320" t="str">
        <f>IF(calculos_quadro!$G$319="","",IFERROR(INDEX(calculos_quadro!$B$109:$U$109,MATCH(calculos_quadro!$G$319,calculos_quadro!$B$102:$U$102,0)),""))</f>
        <v>—</v>
      </c>
      <c r="I50" s="320" t="str">
        <f>IF(calculos_quadro!$G$320="","",IFERROR(INDEX(calculos_quadro!$B$109:$U$109,MATCH(calculos_quadro!$G$320,calculos_quadro!$B$102:$U$102,0)),""))</f>
        <v>—</v>
      </c>
      <c r="J50" s="320" t="str">
        <f>IF(calculos_quadro!$G$321="","",IFERROR(INDEX(calculos_quadro!$B$109:$U$109,MATCH(calculos_quadro!$G$321,calculos_quadro!$B$102:$U$102,0)),""))</f>
        <v>—</v>
      </c>
      <c r="K50" s="319"/>
      <c r="L50" s="320">
        <f>IF(calculos_quadro!$G$322="","",IFERROR(INDEX(calculos_quadro!$B$109:$U$109,MATCH(calculos_quadro!$G$322,calculos_quadro!$B$102:$U$102,0)),""))</f>
        <v>0</v>
      </c>
      <c r="M50" s="320" t="str">
        <f>IF(calculos_quadro!$G$323="","",IFERROR(INDEX(calculos_quadro!$B$109:$U$109,MATCH(calculos_quadro!$G$323,calculos_quadro!$B$102:$U$102,0)),""))</f>
        <v>—</v>
      </c>
      <c r="N50" s="320" t="str">
        <f>IF(calculos_quadro!$G$324="","",IFERROR(INDEX(calculos_quadro!$B$109:$U$109,MATCH(calculos_quadro!$G$324,calculos_quadro!$B$102:$U$102,0)),""))</f>
        <v>—</v>
      </c>
      <c r="O50" s="320" t="str">
        <f>IF(calculos_quadro!$G$325="","",IFERROR(INDEX(calculos_quadro!$B$109:$U$109,MATCH(calculos_quadro!$G$325,calculos_quadro!$B$102:$U$102,0)),""))</f>
        <v>—</v>
      </c>
      <c r="P50" s="319"/>
      <c r="Q50" s="320" t="str">
        <f>IF(calculos_quadro!$G$326="","",IFERROR(INDEX(calculos_quadro!$B$109:$U$109,MATCH(calculos_quadro!$G$326,calculos_quadro!$B$102:$U$102,0)),""))</f>
        <v>—</v>
      </c>
      <c r="R50" s="320" t="str">
        <f>IF(calculos_quadro!$G$327="","",IFERROR(INDEX(calculos_quadro!$B$109:$U$109,MATCH(calculos_quadro!$G$327,calculos_quadro!$B$102:$U$102,0)),""))</f>
        <v>—</v>
      </c>
      <c r="S50" s="320" t="str">
        <f>IF(calculos_quadro!$G$328="","",IFERROR(INDEX(calculos_quadro!$B$109:$U$109,MATCH(calculos_quadro!$G$328,calculos_quadro!$B$102:$U$102,0)),""))</f>
        <v>—</v>
      </c>
      <c r="T50" s="320" t="str">
        <f>IF(calculos_quadro!$G$329="","",IFERROR(INDEX(calculos_quadro!$B$109:$U$109,MATCH(calculos_quadro!$G$329,calculos_quadro!$B$102:$U$102,0)),""))</f>
        <v/>
      </c>
      <c r="U50" s="319"/>
      <c r="V50" s="320" t="str">
        <f>IF(calculos_quadro!$G$330="","",IFERROR(INDEX(calculos_quadro!$B$109:$U$109,MATCH(calculos_quadro!$G$330,calculos_quadro!$B$102:$U$102,0)),""))</f>
        <v/>
      </c>
      <c r="W50" s="320" t="str">
        <f>IF(calculos_quadro!$G$331="","",IFERROR(INDEX(calculos_quadro!$B$109:$U$109,MATCH(calculos_quadro!$G$331,calculos_quadro!$B$102:$U$102,0)),""))</f>
        <v/>
      </c>
      <c r="X50" s="320" t="str">
        <f>IF(calculos_quadro!$G$332="","",IFERROR(INDEX(calculos_quadro!$B$109:$U$109,MATCH(calculos_quadro!$G$332,calculos_quadro!$B$102:$U$102,0)),""))</f>
        <v/>
      </c>
      <c r="Y50" s="320" t="str">
        <f>IF(calculos_quadro!$G$333="","",IFERROR(INDEX(calculos_quadro!$B$109:$U$109,MATCH(calculos_quadro!$G$333,calculos_quadro!$B$102:$U$102,0)),""))</f>
        <v/>
      </c>
      <c r="Z50" s="320" t="str">
        <f>IF(calculos_quadro!$G$334="","",IFERROR(INDEX(calculos_quadro!$B$109:$U$109,MATCH(calculos_quadro!$G$334,calculos_quadro!$B$102:$U$102,0)),""))</f>
        <v/>
      </c>
    </row>
    <row r="51" ht="15.75" customHeight="1">
      <c r="B51" s="511"/>
      <c r="C51" s="214"/>
      <c r="D51" s="312" t="inlineStr">
        <is>
          <t xml:space="preserve">Caixas Fechadas</t>
        </is>
      </c>
      <c r="E51" s="311"/>
      <c r="F51" s="311"/>
      <c r="G51" s="311"/>
      <c r="H51" s="320" t="str">
        <f>IF(calculos_quadro!$G$319="","",IFERROR(INDEX(calculos_quadro!$B$110:$U$110,MATCH(calculos_quadro!$G$319,calculos_quadro!$B$102:$U$102,0)),""))</f>
        <v>—</v>
      </c>
      <c r="I51" s="320" t="str">
        <f>IF(calculos_quadro!$G$320="","",IFERROR(INDEX(calculos_quadro!$B$110:$U$110,MATCH(calculos_quadro!$G$320,calculos_quadro!$B$102:$U$102,0)),""))</f>
        <v>—</v>
      </c>
      <c r="J51" s="320" t="str">
        <f>IF(calculos_quadro!$G$321="","",IFERROR(INDEX(calculos_quadro!$B$110:$U$110,MATCH(calculos_quadro!$G$321,calculos_quadro!$B$102:$U$102,0)),""))</f>
        <v>—</v>
      </c>
      <c r="K51" s="319"/>
      <c r="L51" s="320">
        <f>IF(calculos_quadro!$G$322="","",IFERROR(INDEX(calculos_quadro!$B$110:$U$110,MATCH(calculos_quadro!$G$322,calculos_quadro!$B$102:$U$102,0)),""))</f>
        <v>0</v>
      </c>
      <c r="M51" s="320" t="str">
        <f>IF(calculos_quadro!$G$323="","",IFERROR(INDEX(calculos_quadro!$B$110:$U$110,MATCH(calculos_quadro!$G$323,calculos_quadro!$B$102:$U$102,0)),""))</f>
        <v>—</v>
      </c>
      <c r="N51" s="320" t="str">
        <f>IF(calculos_quadro!$G$324="","",IFERROR(INDEX(calculos_quadro!$B$110:$U$110,MATCH(calculos_quadro!$G$324,calculos_quadro!$B$102:$U$102,0)),""))</f>
        <v>—</v>
      </c>
      <c r="O51" s="320" t="str">
        <f>IF(calculos_quadro!$G$325="","",IFERROR(INDEX(calculos_quadro!$B$110:$U$110,MATCH(calculos_quadro!$G$325,calculos_quadro!$B$102:$U$102,0)),""))</f>
        <v>—</v>
      </c>
      <c r="P51" s="319"/>
      <c r="Q51" s="320" t="str">
        <f>IF(calculos_quadro!$G$326="","",IFERROR(INDEX(calculos_quadro!$B$110:$U$110,MATCH(calculos_quadro!$G$326,calculos_quadro!$B$102:$U$102,0)),""))</f>
        <v>—</v>
      </c>
      <c r="R51" s="320" t="str">
        <f>IF(calculos_quadro!$G$327="","",IFERROR(INDEX(calculos_quadro!$B$110:$U$110,MATCH(calculos_quadro!$G$327,calculos_quadro!$B$102:$U$102,0)),""))</f>
        <v>—</v>
      </c>
      <c r="S51" s="320" t="str">
        <f>IF(calculos_quadro!$G$328="","",IFERROR(INDEX(calculos_quadro!$B$110:$U$110,MATCH(calculos_quadro!$G$328,calculos_quadro!$B$102:$U$102,0)),""))</f>
        <v>—</v>
      </c>
      <c r="T51" s="320" t="str">
        <f>IF(calculos_quadro!$G$329="","",IFERROR(INDEX(calculos_quadro!$B$110:$U$110,MATCH(calculos_quadro!$G$329,calculos_quadro!$B$102:$U$102,0)),""))</f>
        <v/>
      </c>
      <c r="U51" s="319"/>
      <c r="V51" s="320" t="str">
        <f>IF(calculos_quadro!$G$330="","",IFERROR(INDEX(calculos_quadro!$B$110:$U$110,MATCH(calculos_quadro!$G$330,calculos_quadro!$B$102:$U$102,0)),""))</f>
        <v/>
      </c>
      <c r="W51" s="320" t="str">
        <f>IF(calculos_quadro!$G$331="","",IFERROR(INDEX(calculos_quadro!$B$110:$U$110,MATCH(calculos_quadro!$G$331,calculos_quadro!$B$102:$U$102,0)),""))</f>
        <v/>
      </c>
      <c r="X51" s="320" t="str">
        <f>IF(calculos_quadro!$G$332="","",IFERROR(INDEX(calculos_quadro!$B$110:$U$110,MATCH(calculos_quadro!$G$332,calculos_quadro!$B$102:$U$102,0)),""))</f>
        <v/>
      </c>
      <c r="Y51" s="320" t="str">
        <f>IF(calculos_quadro!$G$333="","",IFERROR(INDEX(calculos_quadro!$B$110:$U$110,MATCH(calculos_quadro!$G$333,calculos_quadro!$B$102:$U$102,0)),""))</f>
        <v/>
      </c>
      <c r="Z51" s="320" t="str">
        <f>IF(calculos_quadro!$G$334="","",IFERROR(INDEX(calculos_quadro!$B$110:$U$110,MATCH(calculos_quadro!$G$334,calculos_quadro!$B$102:$U$102,0)),""))</f>
        <v/>
      </c>
    </row>
    <row r="52" ht="15.75" customHeight="1">
      <c r="B52" s="512"/>
      <c r="C52" s="175"/>
      <c r="D52" s="331" t="inlineStr">
        <is>
          <t xml:space="preserve">Caixas Mistas Recebidas</t>
        </is>
      </c>
      <c r="E52" s="330"/>
      <c r="F52" s="330"/>
      <c r="G52" s="330"/>
      <c r="H52" s="339" t="str">
        <f>IF(calculos_quadro!$G$319="","",IFERROR(INDEX(calculos_quadro!$B$111:$U$111,MATCH(calculos_quadro!$G$319,calculos_quadro!$B$102:$U$102,0)),""))</f>
        <v>—</v>
      </c>
      <c r="I52" s="339" t="str">
        <f>IF(calculos_quadro!$G$320="","",IFERROR(INDEX(calculos_quadro!$B$111:$U$111,MATCH(calculos_quadro!$G$320,calculos_quadro!$B$102:$U$102,0)),""))</f>
        <v>—</v>
      </c>
      <c r="J52" s="339" t="str">
        <f>IF(calculos_quadro!$G$321="","",IFERROR(INDEX(calculos_quadro!$B$111:$U$111,MATCH(calculos_quadro!$G$321,calculos_quadro!$B$102:$U$102,0)),""))</f>
        <v>—</v>
      </c>
      <c r="K52" s="338"/>
      <c r="L52" s="339">
        <f>IF(calculos_quadro!$G$322="","",IFERROR(INDEX(calculos_quadro!$B$111:$U$111,MATCH(calculos_quadro!$G$322,calculos_quadro!$B$102:$U$102,0)),""))</f>
        <v>0</v>
      </c>
      <c r="M52" s="339" t="str">
        <f>IF(calculos_quadro!$G$323="","",IFERROR(INDEX(calculos_quadro!$B$111:$U$111,MATCH(calculos_quadro!$G$323,calculos_quadro!$B$102:$U$102,0)),""))</f>
        <v>—</v>
      </c>
      <c r="N52" s="339" t="str">
        <f>IF(calculos_quadro!$G$324="","",IFERROR(INDEX(calculos_quadro!$B$111:$U$111,MATCH(calculos_quadro!$G$324,calculos_quadro!$B$102:$U$102,0)),""))</f>
        <v>—</v>
      </c>
      <c r="O52" s="339" t="str">
        <f>IF(calculos_quadro!$G$325="","",IFERROR(INDEX(calculos_quadro!$B$111:$U$111,MATCH(calculos_quadro!$G$325,calculos_quadro!$B$102:$U$102,0)),""))</f>
        <v>—</v>
      </c>
      <c r="P52" s="338"/>
      <c r="Q52" s="339" t="str">
        <f>IF(calculos_quadro!$G$326="","",IFERROR(INDEX(calculos_quadro!$B$111:$U$111,MATCH(calculos_quadro!$G$326,calculos_quadro!$B$102:$U$102,0)),""))</f>
        <v>—</v>
      </c>
      <c r="R52" s="339" t="str">
        <f>IF(calculos_quadro!$G$327="","",IFERROR(INDEX(calculos_quadro!$B$111:$U$111,MATCH(calculos_quadro!$G$327,calculos_quadro!$B$102:$U$102,0)),""))</f>
        <v>—</v>
      </c>
      <c r="S52" s="339" t="str">
        <f>IF(calculos_quadro!$G$328="","",IFERROR(INDEX(calculos_quadro!$B$111:$U$111,MATCH(calculos_quadro!$G$328,calculos_quadro!$B$102:$U$102,0)),""))</f>
        <v>—</v>
      </c>
      <c r="T52" s="339" t="str">
        <f>IF(calculos_quadro!$G$329="","",IFERROR(INDEX(calculos_quadro!$B$111:$U$111,MATCH(calculos_quadro!$G$329,calculos_quadro!$B$102:$U$102,0)),""))</f>
        <v/>
      </c>
      <c r="U52" s="338"/>
      <c r="V52" s="339" t="str">
        <f>IF(calculos_quadro!$G$330="","",IFERROR(INDEX(calculos_quadro!$B$111:$U$111,MATCH(calculos_quadro!$G$330,calculos_quadro!$B$102:$U$102,0)),""))</f>
        <v/>
      </c>
      <c r="W52" s="339" t="str">
        <f>IF(calculos_quadro!$G$331="","",IFERROR(INDEX(calculos_quadro!$B$111:$U$111,MATCH(calculos_quadro!$G$331,calculos_quadro!$B$102:$U$102,0)),""))</f>
        <v/>
      </c>
      <c r="X52" s="339" t="str">
        <f>IF(calculos_quadro!$G$332="","",IFERROR(INDEX(calculos_quadro!$B$111:$U$111,MATCH(calculos_quadro!$G$332,calculos_quadro!$B$102:$U$102,0)),""))</f>
        <v/>
      </c>
      <c r="Y52" s="339" t="str">
        <f>IF(calculos_quadro!$G$333="","",IFERROR(INDEX(calculos_quadro!$B$111:$U$111,MATCH(calculos_quadro!$G$333,calculos_quadro!$B$102:$U$102,0)),""))</f>
        <v/>
      </c>
      <c r="Z52" s="339" t="str">
        <f>IF(calculos_quadro!$G$334="","",IFERROR(INDEX(calculos_quadro!$B$111:$U$111,MATCH(calculos_quadro!$G$334,calculos_quadro!$B$102:$U$102,0)),""))</f>
        <v/>
      </c>
    </row>
    <row r="53" ht="15.75" customHeight="1">
      <c r="B53" s="513" t="inlineStr">
        <is>
          <t xml:space="preserve">OUT</t>
        </is>
      </c>
      <c r="C53" s="181"/>
      <c r="D53" s="348" t="inlineStr">
        <is>
          <t xml:space="preserve">Veículos Expedidos</t>
        </is>
      </c>
      <c r="E53" s="347"/>
      <c r="F53" s="347"/>
      <c r="G53" s="347"/>
      <c r="H53" s="356">
        <f>IF(calculos_quadro!$G$319="","",IFERROR(INDEX(calculos_quadro!$B$112:$U$112,MATCH(calculos_quadro!$G$319,calculos_quadro!$B$102:$U$102,0)),""))</f>
        <v>0</v>
      </c>
      <c r="I53" s="356">
        <f>IF(calculos_quadro!$G$320="","",IFERROR(INDEX(calculos_quadro!$B$112:$U$112,MATCH(calculos_quadro!$G$320,calculos_quadro!$B$102:$U$102,0)),""))</f>
        <v>0</v>
      </c>
      <c r="J53" s="356">
        <f>IF(calculos_quadro!$G$321="","",IFERROR(INDEX(calculos_quadro!$B$112:$U$112,MATCH(calculos_quadro!$G$321,calculos_quadro!$B$102:$U$102,0)),""))</f>
        <v>0</v>
      </c>
      <c r="K53" s="355"/>
      <c r="L53" s="356">
        <f>IF(calculos_quadro!$G$322="","",IFERROR(INDEX(calculos_quadro!$B$112:$U$112,MATCH(calculos_quadro!$G$322,calculos_quadro!$B$102:$U$102,0)),""))</f>
        <v>0</v>
      </c>
      <c r="M53" s="356">
        <f>IF(calculos_quadro!$G$323="","",IFERROR(INDEX(calculos_quadro!$B$112:$U$112,MATCH(calculos_quadro!$G$323,calculos_quadro!$B$102:$U$102,0)),""))</f>
        <v>0</v>
      </c>
      <c r="N53" s="356">
        <f>IF(calculos_quadro!$G$324="","",IFERROR(INDEX(calculos_quadro!$B$112:$U$112,MATCH(calculos_quadro!$G$324,calculos_quadro!$B$102:$U$102,0)),""))</f>
        <v>0</v>
      </c>
      <c r="O53" s="356">
        <f>IF(calculos_quadro!$G$325="","",IFERROR(INDEX(calculos_quadro!$B$112:$U$112,MATCH(calculos_quadro!$G$325,calculos_quadro!$B$102:$U$102,0)),""))</f>
        <v>0</v>
      </c>
      <c r="P53" s="355"/>
      <c r="Q53" s="356">
        <f>IF(calculos_quadro!$G$326="","",IFERROR(INDEX(calculos_quadro!$B$112:$U$112,MATCH(calculos_quadro!$G$326,calculos_quadro!$B$102:$U$102,0)),""))</f>
        <v>0</v>
      </c>
      <c r="R53" s="356">
        <f>IF(calculos_quadro!$G$327="","",IFERROR(INDEX(calculos_quadro!$B$112:$U$112,MATCH(calculos_quadro!$G$327,calculos_quadro!$B$102:$U$102,0)),""))</f>
        <v>0</v>
      </c>
      <c r="S53" s="356">
        <f>IF(calculos_quadro!$G$328="","",IFERROR(INDEX(calculos_quadro!$B$112:$U$112,MATCH(calculos_quadro!$G$328,calculos_quadro!$B$102:$U$102,0)),""))</f>
        <v>0</v>
      </c>
      <c r="T53" s="356" t="str">
        <f>IF(calculos_quadro!$G$329="","",IFERROR(INDEX(calculos_quadro!$B$112:$U$112,MATCH(calculos_quadro!$G$329,calculos_quadro!$B$102:$U$102,0)),""))</f>
        <v/>
      </c>
      <c r="U53" s="355"/>
      <c r="V53" s="356" t="str">
        <f>IF(calculos_quadro!$G$330="","",IFERROR(INDEX(calculos_quadro!$B$112:$U$112,MATCH(calculos_quadro!$G$330,calculos_quadro!$B$102:$U$102,0)),""))</f>
        <v/>
      </c>
      <c r="W53" s="356" t="str">
        <f>IF(calculos_quadro!$G$331="","",IFERROR(INDEX(calculos_quadro!$B$112:$U$112,MATCH(calculos_quadro!$G$331,calculos_quadro!$B$102:$U$102,0)),""))</f>
        <v/>
      </c>
      <c r="X53" s="356" t="str">
        <f>IF(calculos_quadro!$G$332="","",IFERROR(INDEX(calculos_quadro!$B$112:$U$112,MATCH(calculos_quadro!$G$332,calculos_quadro!$B$102:$U$102,0)),""))</f>
        <v/>
      </c>
      <c r="Y53" s="356" t="str">
        <f>IF(calculos_quadro!$G$333="","",IFERROR(INDEX(calculos_quadro!$B$112:$U$112,MATCH(calculos_quadro!$G$333,calculos_quadro!$B$102:$U$102,0)),""))</f>
        <v/>
      </c>
      <c r="Z53" s="356" t="str">
        <f>IF(calculos_quadro!$G$334="","",IFERROR(INDEX(calculos_quadro!$B$112:$U$112,MATCH(calculos_quadro!$G$334,calculos_quadro!$B$102:$U$102,0)),""))</f>
        <v/>
      </c>
    </row>
    <row r="54" ht="15.75" customHeight="1">
      <c r="B54" s="514"/>
      <c r="C54" s="267"/>
      <c r="D54" s="365" t="inlineStr">
        <is>
          <t xml:space="preserve">Pedidos Expedidos</t>
        </is>
      </c>
      <c r="E54" s="364"/>
      <c r="F54" s="364"/>
      <c r="G54" s="364"/>
      <c r="H54" s="373" t="str">
        <f>IF(calculos_quadro!$G$319="","",IFERROR(INDEX(calculos_quadro!$B$113:$U$113,MATCH(calculos_quadro!$G$319,calculos_quadro!$B$102:$U$102,0)),""))</f>
        <v>—</v>
      </c>
      <c r="I54" s="373" t="str">
        <f>IF(calculos_quadro!$G$320="","",IFERROR(INDEX(calculos_quadro!$B$113:$U$113,MATCH(calculos_quadro!$G$320,calculos_quadro!$B$102:$U$102,0)),""))</f>
        <v>—</v>
      </c>
      <c r="J54" s="373">
        <f>IF(calculos_quadro!$G$321="","",IFERROR(INDEX(calculos_quadro!$B$113:$U$113,MATCH(calculos_quadro!$G$321,calculos_quadro!$B$102:$U$102,0)),""))</f>
        <v>0</v>
      </c>
      <c r="K54" s="372"/>
      <c r="L54" s="373" t="str">
        <f>IF(calculos_quadro!$G$322="","",IFERROR(INDEX(calculos_quadro!$B$113:$U$113,MATCH(calculos_quadro!$G$322,calculos_quadro!$B$102:$U$102,0)),""))</f>
        <v>—</v>
      </c>
      <c r="M54" s="373" t="str">
        <f>IF(calculos_quadro!$G$323="","",IFERROR(INDEX(calculos_quadro!$B$113:$U$113,MATCH(calculos_quadro!$G$323,calculos_quadro!$B$102:$U$102,0)),""))</f>
        <v>—</v>
      </c>
      <c r="N54" s="373" t="str">
        <f>IF(calculos_quadro!$G$324="","",IFERROR(INDEX(calculos_quadro!$B$113:$U$113,MATCH(calculos_quadro!$G$324,calculos_quadro!$B$102:$U$102,0)),""))</f>
        <v>—</v>
      </c>
      <c r="O54" s="373" t="str">
        <f>IF(calculos_quadro!$G$325="","",IFERROR(INDEX(calculos_quadro!$B$113:$U$113,MATCH(calculos_quadro!$G$325,calculos_quadro!$B$102:$U$102,0)),""))</f>
        <v>—</v>
      </c>
      <c r="P54" s="372"/>
      <c r="Q54" s="373" t="str">
        <f>IF(calculos_quadro!$G$326="","",IFERROR(INDEX(calculos_quadro!$B$113:$U$113,MATCH(calculos_quadro!$G$326,calculos_quadro!$B$102:$U$102,0)),""))</f>
        <v>—</v>
      </c>
      <c r="R54" s="373" t="str">
        <f>IF(calculos_quadro!$G$327="","",IFERROR(INDEX(calculos_quadro!$B$113:$U$113,MATCH(calculos_quadro!$G$327,calculos_quadro!$B$102:$U$102,0)),""))</f>
        <v>—</v>
      </c>
      <c r="S54" s="373" t="str">
        <f>IF(calculos_quadro!$G$328="","",IFERROR(INDEX(calculos_quadro!$B$113:$U$113,MATCH(calculos_quadro!$G$328,calculos_quadro!$B$102:$U$102,0)),""))</f>
        <v>—</v>
      </c>
      <c r="T54" s="373" t="str">
        <f>IF(calculos_quadro!$G$329="","",IFERROR(INDEX(calculos_quadro!$B$113:$U$113,MATCH(calculos_quadro!$G$329,calculos_quadro!$B$102:$U$102,0)),""))</f>
        <v/>
      </c>
      <c r="U54" s="372"/>
      <c r="V54" s="373" t="str">
        <f>IF(calculos_quadro!$G$330="","",IFERROR(INDEX(calculos_quadro!$B$113:$U$113,MATCH(calculos_quadro!$G$330,calculos_quadro!$B$102:$U$102,0)),""))</f>
        <v/>
      </c>
      <c r="W54" s="373" t="str">
        <f>IF(calculos_quadro!$G$331="","",IFERROR(INDEX(calculos_quadro!$B$113:$U$113,MATCH(calculos_quadro!$G$331,calculos_quadro!$B$102:$U$102,0)),""))</f>
        <v/>
      </c>
      <c r="X54" s="373" t="str">
        <f>IF(calculos_quadro!$G$332="","",IFERROR(INDEX(calculos_quadro!$B$113:$U$113,MATCH(calculos_quadro!$G$332,calculos_quadro!$B$102:$U$102,0)),""))</f>
        <v/>
      </c>
      <c r="Y54" s="373" t="str">
        <f>IF(calculos_quadro!$G$333="","",IFERROR(INDEX(calculos_quadro!$B$113:$U$113,MATCH(calculos_quadro!$G$333,calculos_quadro!$B$102:$U$102,0)),""))</f>
        <v/>
      </c>
      <c r="Z54" s="373" t="str">
        <f>IF(calculos_quadro!$G$334="","",IFERROR(INDEX(calculos_quadro!$B$113:$U$113,MATCH(calculos_quadro!$G$334,calculos_quadro!$B$102:$U$102,0)),""))</f>
        <v/>
      </c>
    </row>
    <row r="55" ht="15.75" customHeight="1">
      <c r="B55" s="514"/>
      <c r="C55" s="267"/>
      <c r="D55" s="365" t="inlineStr">
        <is>
          <t xml:space="preserve">Pedidos Faturados</t>
        </is>
      </c>
      <c r="E55" s="364"/>
      <c r="F55" s="364"/>
      <c r="G55" s="364"/>
      <c r="H55" s="373" t="str">
        <f>IF(calculos_quadro!$G$319="","",IFERROR(INDEX(calculos_quadro!$B$114:$U$114,MATCH(calculos_quadro!$G$319,calculos_quadro!$B$102:$U$102,0)),""))</f>
        <v>—</v>
      </c>
      <c r="I55" s="373" t="str">
        <f>IF(calculos_quadro!$G$320="","",IFERROR(INDEX(calculos_quadro!$B$114:$U$114,MATCH(calculos_quadro!$G$320,calculos_quadro!$B$102:$U$102,0)),""))</f>
        <v>—</v>
      </c>
      <c r="J55" s="373" t="str">
        <f>IF(calculos_quadro!$G$321="","",IFERROR(INDEX(calculos_quadro!$B$114:$U$114,MATCH(calculos_quadro!$G$321,calculos_quadro!$B$102:$U$102,0)),""))</f>
        <v>—</v>
      </c>
      <c r="K55" s="372"/>
      <c r="L55" s="373">
        <f>IF(calculos_quadro!$G$322="","",IFERROR(INDEX(calculos_quadro!$B$114:$U$114,MATCH(calculos_quadro!$G$322,calculos_quadro!$B$102:$U$102,0)),""))</f>
        <v>0</v>
      </c>
      <c r="M55" s="373" t="str">
        <f>IF(calculos_quadro!$G$323="","",IFERROR(INDEX(calculos_quadro!$B$114:$U$114,MATCH(calculos_quadro!$G$323,calculos_quadro!$B$102:$U$102,0)),""))</f>
        <v>—</v>
      </c>
      <c r="N55" s="373" t="str">
        <f>IF(calculos_quadro!$G$324="","",IFERROR(INDEX(calculos_quadro!$B$114:$U$114,MATCH(calculos_quadro!$G$324,calculos_quadro!$B$102:$U$102,0)),""))</f>
        <v>—</v>
      </c>
      <c r="O55" s="373" t="str">
        <f>IF(calculos_quadro!$G$325="","",IFERROR(INDEX(calculos_quadro!$B$114:$U$114,MATCH(calculos_quadro!$G$325,calculos_quadro!$B$102:$U$102,0)),""))</f>
        <v>—</v>
      </c>
      <c r="P55" s="372"/>
      <c r="Q55" s="373" t="str">
        <f>IF(calculos_quadro!$G$326="","",IFERROR(INDEX(calculos_quadro!$B$114:$U$114,MATCH(calculos_quadro!$G$326,calculos_quadro!$B$102:$U$102,0)),""))</f>
        <v>—</v>
      </c>
      <c r="R55" s="373" t="str">
        <f>IF(calculos_quadro!$G$327="","",IFERROR(INDEX(calculos_quadro!$B$114:$U$114,MATCH(calculos_quadro!$G$327,calculos_quadro!$B$102:$U$102,0)),""))</f>
        <v>—</v>
      </c>
      <c r="S55" s="373" t="str">
        <f>IF(calculos_quadro!$G$328="","",IFERROR(INDEX(calculos_quadro!$B$114:$U$114,MATCH(calculos_quadro!$G$328,calculos_quadro!$B$102:$U$102,0)),""))</f>
        <v>—</v>
      </c>
      <c r="T55" s="373" t="str">
        <f>IF(calculos_quadro!$G$329="","",IFERROR(INDEX(calculos_quadro!$B$114:$U$114,MATCH(calculos_quadro!$G$329,calculos_quadro!$B$102:$U$102,0)),""))</f>
        <v/>
      </c>
      <c r="U55" s="372"/>
      <c r="V55" s="373" t="str">
        <f>IF(calculos_quadro!$G$330="","",IFERROR(INDEX(calculos_quadro!$B$114:$U$114,MATCH(calculos_quadro!$G$330,calculos_quadro!$B$102:$U$102,0)),""))</f>
        <v/>
      </c>
      <c r="W55" s="373" t="str">
        <f>IF(calculos_quadro!$G$331="","",IFERROR(INDEX(calculos_quadro!$B$114:$U$114,MATCH(calculos_quadro!$G$331,calculos_quadro!$B$102:$U$102,0)),""))</f>
        <v/>
      </c>
      <c r="X55" s="373" t="str">
        <f>IF(calculos_quadro!$G$332="","",IFERROR(INDEX(calculos_quadro!$B$114:$U$114,MATCH(calculos_quadro!$G$332,calculos_quadro!$B$102:$U$102,0)),""))</f>
        <v/>
      </c>
      <c r="Y55" s="373" t="str">
        <f>IF(calculos_quadro!$G$333="","",IFERROR(INDEX(calculos_quadro!$B$114:$U$114,MATCH(calculos_quadro!$G$333,calculos_quadro!$B$102:$U$102,0)),""))</f>
        <v/>
      </c>
      <c r="Z55" s="373" t="str">
        <f>IF(calculos_quadro!$G$334="","",IFERROR(INDEX(calculos_quadro!$B$114:$U$114,MATCH(calculos_quadro!$G$334,calculos_quadro!$B$102:$U$102,0)),""))</f>
        <v/>
      </c>
    </row>
    <row r="56" ht="15.75" customHeight="1">
      <c r="B56" s="514"/>
      <c r="C56" s="267"/>
      <c r="D56" s="365" t="inlineStr">
        <is>
          <t xml:space="preserve">Itens Expedidos</t>
        </is>
      </c>
      <c r="E56" s="364"/>
      <c r="F56" s="364"/>
      <c r="G56" s="364"/>
      <c r="H56" s="373" t="str">
        <f>IF(calculos_quadro!$G$319="","",IFERROR(INDEX(calculos_quadro!$B$115:$U$115,MATCH(calculos_quadro!$G$319,calculos_quadro!$B$102:$U$102,0)),""))</f>
        <v>—</v>
      </c>
      <c r="I56" s="373" t="str">
        <f>IF(calculos_quadro!$G$320="","",IFERROR(INDEX(calculos_quadro!$B$115:$U$115,MATCH(calculos_quadro!$G$320,calculos_quadro!$B$102:$U$102,0)),""))</f>
        <v>—</v>
      </c>
      <c r="J56" s="373" t="str">
        <f>IF(calculos_quadro!$G$321="","",IFERROR(INDEX(calculos_quadro!$B$115:$U$115,MATCH(calculos_quadro!$G$321,calculos_quadro!$B$102:$U$102,0)),""))</f>
        <v>—</v>
      </c>
      <c r="K56" s="372"/>
      <c r="L56" s="373">
        <f>IF(calculos_quadro!$G$322="","",IFERROR(INDEX(calculos_quadro!$B$115:$U$115,MATCH(calculos_quadro!$G$322,calculos_quadro!$B$102:$U$102,0)),""))</f>
        <v>0</v>
      </c>
      <c r="M56" s="373" t="str">
        <f>IF(calculos_quadro!$G$323="","",IFERROR(INDEX(calculos_quadro!$B$115:$U$115,MATCH(calculos_quadro!$G$323,calculos_quadro!$B$102:$U$102,0)),""))</f>
        <v>—</v>
      </c>
      <c r="N56" s="373" t="str">
        <f>IF(calculos_quadro!$G$324="","",IFERROR(INDEX(calculos_quadro!$B$115:$U$115,MATCH(calculos_quadro!$G$324,calculos_quadro!$B$102:$U$102,0)),""))</f>
        <v>—</v>
      </c>
      <c r="O56" s="373" t="str">
        <f>IF(calculos_quadro!$G$325="","",IFERROR(INDEX(calculos_quadro!$B$115:$U$115,MATCH(calculos_quadro!$G$325,calculos_quadro!$B$102:$U$102,0)),""))</f>
        <v>—</v>
      </c>
      <c r="P56" s="372"/>
      <c r="Q56" s="373" t="str">
        <f>IF(calculos_quadro!$G$326="","",IFERROR(INDEX(calculos_quadro!$B$115:$U$115,MATCH(calculos_quadro!$G$326,calculos_quadro!$B$102:$U$102,0)),""))</f>
        <v>—</v>
      </c>
      <c r="R56" s="373" t="str">
        <f>IF(calculos_quadro!$G$327="","",IFERROR(INDEX(calculos_quadro!$B$115:$U$115,MATCH(calculos_quadro!$G$327,calculos_quadro!$B$102:$U$102,0)),""))</f>
        <v>—</v>
      </c>
      <c r="S56" s="373" t="str">
        <f>IF(calculos_quadro!$G$328="","",IFERROR(INDEX(calculos_quadro!$B$115:$U$115,MATCH(calculos_quadro!$G$328,calculos_quadro!$B$102:$U$102,0)),""))</f>
        <v>—</v>
      </c>
      <c r="T56" s="373" t="str">
        <f>IF(calculos_quadro!$G$329="","",IFERROR(INDEX(calculos_quadro!$B$115:$U$115,MATCH(calculos_quadro!$G$329,calculos_quadro!$B$102:$U$102,0)),""))</f>
        <v/>
      </c>
      <c r="U56" s="372"/>
      <c r="V56" s="373" t="str">
        <f>IF(calculos_quadro!$G$330="","",IFERROR(INDEX(calculos_quadro!$B$115:$U$115,MATCH(calculos_quadro!$G$330,calculos_quadro!$B$102:$U$102,0)),""))</f>
        <v/>
      </c>
      <c r="W56" s="373" t="str">
        <f>IF(calculos_quadro!$G$331="","",IFERROR(INDEX(calculos_quadro!$B$115:$U$115,MATCH(calculos_quadro!$G$331,calculos_quadro!$B$102:$U$102,0)),""))</f>
        <v/>
      </c>
      <c r="X56" s="373" t="str">
        <f>IF(calculos_quadro!$G$332="","",IFERROR(INDEX(calculos_quadro!$B$115:$U$115,MATCH(calculos_quadro!$G$332,calculos_quadro!$B$102:$U$102,0)),""))</f>
        <v/>
      </c>
      <c r="Y56" s="373" t="str">
        <f>IF(calculos_quadro!$G$333="","",IFERROR(INDEX(calculos_quadro!$B$115:$U$115,MATCH(calculos_quadro!$G$333,calculos_quadro!$B$102:$U$102,0)),""))</f>
        <v/>
      </c>
      <c r="Z56" s="373" t="str">
        <f>IF(calculos_quadro!$G$334="","",IFERROR(INDEX(calculos_quadro!$B$115:$U$115,MATCH(calculos_quadro!$G$334,calculos_quadro!$B$102:$U$102,0)),""))</f>
        <v/>
      </c>
    </row>
    <row r="57" ht="15.75" customHeight="1">
      <c r="B57" s="514"/>
      <c r="C57" s="267"/>
      <c r="D57" s="365" t="inlineStr">
        <is>
          <t xml:space="preserve">Linhas NF</t>
        </is>
      </c>
      <c r="E57" s="364"/>
      <c r="F57" s="364"/>
      <c r="G57" s="364"/>
      <c r="H57" s="373" t="str">
        <f>IF(calculos_quadro!$G$319="","",IFERROR(INDEX(calculos_quadro!$B$116:$U$116,MATCH(calculos_quadro!$G$319,calculos_quadro!$B$102:$U$102,0)),""))</f>
        <v>—</v>
      </c>
      <c r="I57" s="373" t="str">
        <f>IF(calculos_quadro!$G$320="","",IFERROR(INDEX(calculos_quadro!$B$116:$U$116,MATCH(calculos_quadro!$G$320,calculos_quadro!$B$102:$U$102,0)),""))</f>
        <v>—</v>
      </c>
      <c r="J57" s="373" t="str">
        <f>IF(calculos_quadro!$G$321="","",IFERROR(INDEX(calculos_quadro!$B$116:$U$116,MATCH(calculos_quadro!$G$321,calculos_quadro!$B$102:$U$102,0)),""))</f>
        <v>—</v>
      </c>
      <c r="K57" s="372"/>
      <c r="L57" s="373" t="str">
        <f>IF(calculos_quadro!$G$322="","",IFERROR(INDEX(calculos_quadro!$B$116:$U$116,MATCH(calculos_quadro!$G$322,calculos_quadro!$B$102:$U$102,0)),""))</f>
        <v>—</v>
      </c>
      <c r="M57" s="373" t="str">
        <f>IF(calculos_quadro!$G$323="","",IFERROR(INDEX(calculos_quadro!$B$116:$U$116,MATCH(calculos_quadro!$G$323,calculos_quadro!$B$102:$U$102,0)),""))</f>
        <v>—</v>
      </c>
      <c r="N57" s="373">
        <f>IF(calculos_quadro!$G$324="","",IFERROR(INDEX(calculos_quadro!$B$116:$U$116,MATCH(calculos_quadro!$G$324,calculos_quadro!$B$102:$U$102,0)),""))</f>
        <v>0</v>
      </c>
      <c r="O57" s="373" t="str">
        <f>IF(calculos_quadro!$G$325="","",IFERROR(INDEX(calculos_quadro!$B$116:$U$116,MATCH(calculos_quadro!$G$325,calculos_quadro!$B$102:$U$102,0)),""))</f>
        <v>—</v>
      </c>
      <c r="P57" s="372"/>
      <c r="Q57" s="373" t="str">
        <f>IF(calculos_quadro!$G$326="","",IFERROR(INDEX(calculos_quadro!$B$116:$U$116,MATCH(calculos_quadro!$G$326,calculos_quadro!$B$102:$U$102,0)),""))</f>
        <v>—</v>
      </c>
      <c r="R57" s="373" t="str">
        <f>IF(calculos_quadro!$G$327="","",IFERROR(INDEX(calculos_quadro!$B$116:$U$116,MATCH(calculos_quadro!$G$327,calculos_quadro!$B$102:$U$102,0)),""))</f>
        <v>—</v>
      </c>
      <c r="S57" s="373">
        <f>IF(calculos_quadro!$G$328="","",IFERROR(INDEX(calculos_quadro!$B$116:$U$116,MATCH(calculos_quadro!$G$328,calculos_quadro!$B$102:$U$102,0)),""))</f>
        <v>0</v>
      </c>
      <c r="T57" s="373" t="str">
        <f>IF(calculos_quadro!$G$329="","",IFERROR(INDEX(calculos_quadro!$B$116:$U$116,MATCH(calculos_quadro!$G$329,calculos_quadro!$B$102:$U$102,0)),""))</f>
        <v/>
      </c>
      <c r="U57" s="372"/>
      <c r="V57" s="373" t="str">
        <f>IF(calculos_quadro!$G$330="","",IFERROR(INDEX(calculos_quadro!$B$116:$U$116,MATCH(calculos_quadro!$G$330,calculos_quadro!$B$102:$U$102,0)),""))</f>
        <v/>
      </c>
      <c r="W57" s="373" t="str">
        <f>IF(calculos_quadro!$G$331="","",IFERROR(INDEX(calculos_quadro!$B$116:$U$116,MATCH(calculos_quadro!$G$331,calculos_quadro!$B$102:$U$102,0)),""))</f>
        <v/>
      </c>
      <c r="X57" s="373" t="str">
        <f>IF(calculos_quadro!$G$332="","",IFERROR(INDEX(calculos_quadro!$B$116:$U$116,MATCH(calculos_quadro!$G$332,calculos_quadro!$B$102:$U$102,0)),""))</f>
        <v/>
      </c>
      <c r="Y57" s="373" t="str">
        <f>IF(calculos_quadro!$G$333="","",IFERROR(INDEX(calculos_quadro!$B$116:$U$116,MATCH(calculos_quadro!$G$333,calculos_quadro!$B$102:$U$102,0)),""))</f>
        <v/>
      </c>
      <c r="Z57" s="373" t="str">
        <f>IF(calculos_quadro!$G$334="","",IFERROR(INDEX(calculos_quadro!$B$116:$U$116,MATCH(calculos_quadro!$G$334,calculos_quadro!$B$102:$U$102,0)),""))</f>
        <v/>
      </c>
    </row>
    <row r="58" ht="15.75" customHeight="1">
      <c r="B58" s="514"/>
      <c r="C58" s="267"/>
      <c r="D58" s="365" t="inlineStr">
        <is>
          <t xml:space="preserve">Caixas Expedidas</t>
        </is>
      </c>
      <c r="E58" s="364"/>
      <c r="F58" s="364"/>
      <c r="G58" s="364"/>
      <c r="H58" s="373">
        <f>IF(calculos_quadro!$G$319="","",IFERROR(INDEX(calculos_quadro!$B$117:$U$117,MATCH(calculos_quadro!$G$319,calculos_quadro!$B$102:$U$102,0)),""))</f>
        <v>0</v>
      </c>
      <c r="I58" s="373" t="str">
        <f>IF(calculos_quadro!$G$320="","",IFERROR(INDEX(calculos_quadro!$B$117:$U$117,MATCH(calculos_quadro!$G$320,calculos_quadro!$B$102:$U$102,0)),""))</f>
        <v>—</v>
      </c>
      <c r="J58" s="373" t="str">
        <f>IF(calculos_quadro!$G$321="","",IFERROR(INDEX(calculos_quadro!$B$117:$U$117,MATCH(calculos_quadro!$G$321,calculos_quadro!$B$102:$U$102,0)),""))</f>
        <v>—</v>
      </c>
      <c r="K58" s="372"/>
      <c r="L58" s="373">
        <f>IF(calculos_quadro!$G$322="","",IFERROR(INDEX(calculos_quadro!$B$117:$U$117,MATCH(calculos_quadro!$G$322,calculos_quadro!$B$102:$U$102,0)),""))</f>
        <v>0</v>
      </c>
      <c r="M58" s="373" t="str">
        <f>IF(calculos_quadro!$G$323="","",IFERROR(INDEX(calculos_quadro!$B$117:$U$117,MATCH(calculos_quadro!$G$323,calculos_quadro!$B$102:$U$102,0)),""))</f>
        <v>—</v>
      </c>
      <c r="N58" s="373" t="str">
        <f>IF(calculos_quadro!$G$324="","",IFERROR(INDEX(calculos_quadro!$B$117:$U$117,MATCH(calculos_quadro!$G$324,calculos_quadro!$B$102:$U$102,0)),""))</f>
        <v>—</v>
      </c>
      <c r="O58" s="373" t="str">
        <f>IF(calculos_quadro!$G$325="","",IFERROR(INDEX(calculos_quadro!$B$117:$U$117,MATCH(calculos_quadro!$G$325,calculos_quadro!$B$102:$U$102,0)),""))</f>
        <v>—</v>
      </c>
      <c r="P58" s="372"/>
      <c r="Q58" s="373" t="str">
        <f>IF(calculos_quadro!$G$326="","",IFERROR(INDEX(calculos_quadro!$B$117:$U$117,MATCH(calculos_quadro!$G$326,calculos_quadro!$B$102:$U$102,0)),""))</f>
        <v>—</v>
      </c>
      <c r="R58" s="373" t="str">
        <f>IF(calculos_quadro!$G$327="","",IFERROR(INDEX(calculos_quadro!$B$117:$U$117,MATCH(calculos_quadro!$G$327,calculos_quadro!$B$102:$U$102,0)),""))</f>
        <v>—</v>
      </c>
      <c r="S58" s="373" t="str">
        <f>IF(calculos_quadro!$G$328="","",IFERROR(INDEX(calculos_quadro!$B$117:$U$117,MATCH(calculos_quadro!$G$328,calculos_quadro!$B$102:$U$102,0)),""))</f>
        <v>—</v>
      </c>
      <c r="T58" s="373" t="str">
        <f>IF(calculos_quadro!$G$329="","",IFERROR(INDEX(calculos_quadro!$B$117:$U$117,MATCH(calculos_quadro!$G$329,calculos_quadro!$B$102:$U$102,0)),""))</f>
        <v/>
      </c>
      <c r="U58" s="372"/>
      <c r="V58" s="373" t="str">
        <f>IF(calculos_quadro!$G$330="","",IFERROR(INDEX(calculos_quadro!$B$117:$U$117,MATCH(calculos_quadro!$G$330,calculos_quadro!$B$102:$U$102,0)),""))</f>
        <v/>
      </c>
      <c r="W58" s="373" t="str">
        <f>IF(calculos_quadro!$G$331="","",IFERROR(INDEX(calculos_quadro!$B$117:$U$117,MATCH(calculos_quadro!$G$331,calculos_quadro!$B$102:$U$102,0)),""))</f>
        <v/>
      </c>
      <c r="X58" s="373" t="str">
        <f>IF(calculos_quadro!$G$332="","",IFERROR(INDEX(calculos_quadro!$B$117:$U$117,MATCH(calculos_quadro!$G$332,calculos_quadro!$B$102:$U$102,0)),""))</f>
        <v/>
      </c>
      <c r="Y58" s="373" t="str">
        <f>IF(calculos_quadro!$G$333="","",IFERROR(INDEX(calculos_quadro!$B$117:$U$117,MATCH(calculos_quadro!$G$333,calculos_quadro!$B$102:$U$102,0)),""))</f>
        <v/>
      </c>
      <c r="Z58" s="373" t="str">
        <f>IF(calculos_quadro!$G$334="","",IFERROR(INDEX(calculos_quadro!$B$117:$U$117,MATCH(calculos_quadro!$G$334,calculos_quadro!$B$102:$U$102,0)),""))</f>
        <v/>
      </c>
    </row>
    <row r="59" ht="15.75" customHeight="1">
      <c r="B59" s="514"/>
      <c r="C59" s="267"/>
      <c r="D59" s="365" t="inlineStr">
        <is>
          <t xml:space="preserve">Pallets Movimentados</t>
        </is>
      </c>
      <c r="E59" s="364"/>
      <c r="F59" s="364"/>
      <c r="G59" s="364"/>
      <c r="H59" s="373" t="str">
        <f>IF(calculos_quadro!$G$319="","",IFERROR(INDEX(calculos_quadro!$B$118:$U$118,MATCH(calculos_quadro!$G$319,calculos_quadro!$B$102:$U$102,0)),""))</f>
        <v>—</v>
      </c>
      <c r="I59" s="373">
        <f>IF(calculos_quadro!$G$320="","",IFERROR(INDEX(calculos_quadro!$B$118:$U$118,MATCH(calculos_quadro!$G$320,calculos_quadro!$B$102:$U$102,0)),""))</f>
        <v>0</v>
      </c>
      <c r="J59" s="373">
        <f>IF(calculos_quadro!$G$321="","",IFERROR(INDEX(calculos_quadro!$B$118:$U$118,MATCH(calculos_quadro!$G$321,calculos_quadro!$B$102:$U$102,0)),""))</f>
        <v>0</v>
      </c>
      <c r="K59" s="372"/>
      <c r="L59" s="373">
        <f>IF(calculos_quadro!$G$322="","",IFERROR(INDEX(calculos_quadro!$B$118:$U$118,MATCH(calculos_quadro!$G$322,calculos_quadro!$B$102:$U$102,0)),""))</f>
        <v>0</v>
      </c>
      <c r="M59" s="373">
        <f>IF(calculos_quadro!$G$323="","",IFERROR(INDEX(calculos_quadro!$B$118:$U$118,MATCH(calculos_quadro!$G$323,calculos_quadro!$B$102:$U$102,0)),""))</f>
        <v>0</v>
      </c>
      <c r="N59" s="373">
        <f>IF(calculos_quadro!$G$324="","",IFERROR(INDEX(calculos_quadro!$B$118:$U$118,MATCH(calculos_quadro!$G$324,calculos_quadro!$B$102:$U$102,0)),""))</f>
        <v>0</v>
      </c>
      <c r="O59" s="373">
        <f>IF(calculos_quadro!$G$325="","",IFERROR(INDEX(calculos_quadro!$B$118:$U$118,MATCH(calculos_quadro!$G$325,calculos_quadro!$B$102:$U$102,0)),""))</f>
        <v>0</v>
      </c>
      <c r="P59" s="372"/>
      <c r="Q59" s="373">
        <f>IF(calculos_quadro!$G$326="","",IFERROR(INDEX(calculos_quadro!$B$118:$U$118,MATCH(calculos_quadro!$G$326,calculos_quadro!$B$102:$U$102,0)),""))</f>
        <v>0</v>
      </c>
      <c r="R59" s="373">
        <f>IF(calculos_quadro!$G$327="","",IFERROR(INDEX(calculos_quadro!$B$118:$U$118,MATCH(calculos_quadro!$G$327,calculos_quadro!$B$102:$U$102,0)),""))</f>
        <v>0</v>
      </c>
      <c r="S59" s="373" t="str">
        <f>IF(calculos_quadro!$G$328="","",IFERROR(INDEX(calculos_quadro!$B$118:$U$118,MATCH(calculos_quadro!$G$328,calculos_quadro!$B$102:$U$102,0)),""))</f>
        <v>—</v>
      </c>
      <c r="T59" s="373" t="str">
        <f>IF(calculos_quadro!$G$329="","",IFERROR(INDEX(calculos_quadro!$B$118:$U$118,MATCH(calculos_quadro!$G$329,calculos_quadro!$B$102:$U$102,0)),""))</f>
        <v/>
      </c>
      <c r="U59" s="372"/>
      <c r="V59" s="373" t="str">
        <f>IF(calculos_quadro!$G$330="","",IFERROR(INDEX(calculos_quadro!$B$118:$U$118,MATCH(calculos_quadro!$G$330,calculos_quadro!$B$102:$U$102,0)),""))</f>
        <v/>
      </c>
      <c r="W59" s="373" t="str">
        <f>IF(calculos_quadro!$G$331="","",IFERROR(INDEX(calculos_quadro!$B$118:$U$118,MATCH(calculos_quadro!$G$331,calculos_quadro!$B$102:$U$102,0)),""))</f>
        <v/>
      </c>
      <c r="X59" s="373" t="str">
        <f>IF(calculos_quadro!$G$332="","",IFERROR(INDEX(calculos_quadro!$B$118:$U$118,MATCH(calculos_quadro!$G$332,calculos_quadro!$B$102:$U$102,0)),""))</f>
        <v/>
      </c>
      <c r="Y59" s="373" t="str">
        <f>IF(calculos_quadro!$G$333="","",IFERROR(INDEX(calculos_quadro!$B$118:$U$118,MATCH(calculos_quadro!$G$333,calculos_quadro!$B$102:$U$102,0)),""))</f>
        <v/>
      </c>
      <c r="Z59" s="373" t="str">
        <f>IF(calculos_quadro!$G$334="","",IFERROR(INDEX(calculos_quadro!$B$118:$U$118,MATCH(calculos_quadro!$G$334,calculos_quadro!$B$102:$U$102,0)),""))</f>
        <v/>
      </c>
    </row>
    <row r="60" ht="15.75" customHeight="1">
      <c r="B60" s="515"/>
      <c r="C60" s="188"/>
      <c r="D60" s="382" t="inlineStr">
        <is>
          <t xml:space="preserve">Toneladas Movimentadas</t>
        </is>
      </c>
      <c r="E60" s="381"/>
      <c r="F60" s="381"/>
      <c r="G60" s="381"/>
      <c r="H60" s="388" t="str">
        <f>IF(calculos_quadro!$G$319="","",IFERROR(INDEX(calculos_quadro!$B$119:$U$119,MATCH(calculos_quadro!$G$319,calculos_quadro!$B$102:$U$102,0)),""))</f>
        <v>—</v>
      </c>
      <c r="I60" s="388">
        <f>IF(calculos_quadro!$G$320="","",IFERROR(INDEX(calculos_quadro!$B$119:$U$119,MATCH(calculos_quadro!$G$320,calculos_quadro!$B$102:$U$102,0)),""))</f>
        <v>0</v>
      </c>
      <c r="J60" s="388" t="str">
        <f>IF(calculos_quadro!$G$321="","",IFERROR(INDEX(calculos_quadro!$B$119:$U$119,MATCH(calculos_quadro!$G$321,calculos_quadro!$B$102:$U$102,0)),""))</f>
        <v>—</v>
      </c>
      <c r="K60" s="387"/>
      <c r="L60" s="388" t="str">
        <f>IF(calculos_quadro!$G$322="","",IFERROR(INDEX(calculos_quadro!$B$119:$U$119,MATCH(calculos_quadro!$G$322,calculos_quadro!$B$102:$U$102,0)),""))</f>
        <v>—</v>
      </c>
      <c r="M60" s="388">
        <f>IF(calculos_quadro!$G$323="","",IFERROR(INDEX(calculos_quadro!$B$119:$U$119,MATCH(calculos_quadro!$G$323,calculos_quadro!$B$102:$U$102,0)),""))</f>
        <v>0</v>
      </c>
      <c r="N60" s="388" t="str">
        <f>IF(calculos_quadro!$G$324="","",IFERROR(INDEX(calculos_quadro!$B$119:$U$119,MATCH(calculos_quadro!$G$324,calculos_quadro!$B$102:$U$102,0)),""))</f>
        <v>—</v>
      </c>
      <c r="O60" s="388" t="str">
        <f>IF(calculos_quadro!$G$325="","",IFERROR(INDEX(calculos_quadro!$B$119:$U$119,MATCH(calculos_quadro!$G$325,calculos_quadro!$B$102:$U$102,0)),""))</f>
        <v>—</v>
      </c>
      <c r="P60" s="387"/>
      <c r="Q60" s="388">
        <f>IF(calculos_quadro!$G$326="","",IFERROR(INDEX(calculos_quadro!$B$119:$U$119,MATCH(calculos_quadro!$G$326,calculos_quadro!$B$102:$U$102,0)),""))</f>
        <v>0</v>
      </c>
      <c r="R60" s="388" t="str">
        <f>IF(calculos_quadro!$G$327="","",IFERROR(INDEX(calculos_quadro!$B$119:$U$119,MATCH(calculos_quadro!$G$327,calculos_quadro!$B$102:$U$102,0)),""))</f>
        <v>—</v>
      </c>
      <c r="S60" s="388" t="str">
        <f>IF(calculos_quadro!$G$328="","",IFERROR(INDEX(calculos_quadro!$B$119:$U$119,MATCH(calculos_quadro!$G$328,calculos_quadro!$B$102:$U$102,0)),""))</f>
        <v>—</v>
      </c>
      <c r="T60" s="388" t="str">
        <f>IF(calculos_quadro!$G$329="","",IFERROR(INDEX(calculos_quadro!$B$119:$U$119,MATCH(calculos_quadro!$G$329,calculos_quadro!$B$102:$U$102,0)),""))</f>
        <v/>
      </c>
      <c r="U60" s="387"/>
      <c r="V60" s="388" t="str">
        <f>IF(calculos_quadro!$G$330="","",IFERROR(INDEX(calculos_quadro!$B$119:$U$119,MATCH(calculos_quadro!$G$330,calculos_quadro!$B$102:$U$102,0)),""))</f>
        <v/>
      </c>
      <c r="W60" s="388" t="str">
        <f>IF(calculos_quadro!$G$331="","",IFERROR(INDEX(calculos_quadro!$B$119:$U$119,MATCH(calculos_quadro!$G$331,calculos_quadro!$B$102:$U$102,0)),""))</f>
        <v/>
      </c>
      <c r="X60" s="388" t="str">
        <f>IF(calculos_quadro!$G$332="","",IFERROR(INDEX(calculos_quadro!$B$119:$U$119,MATCH(calculos_quadro!$G$332,calculos_quadro!$B$102:$U$102,0)),""))</f>
        <v/>
      </c>
      <c r="Y60" s="388" t="str">
        <f>IF(calculos_quadro!$G$333="","",IFERROR(INDEX(calculos_quadro!$B$119:$U$119,MATCH(calculos_quadro!$G$333,calculos_quadro!$B$102:$U$102,0)),""))</f>
        <v/>
      </c>
      <c r="Z60" s="388" t="str">
        <f>IF(calculos_quadro!$G$334="","",IFERROR(INDEX(calculos_quadro!$B$119:$U$119,MATCH(calculos_quadro!$G$334,calculos_quadro!$B$102:$U$102,0)),""))</f>
        <v/>
      </c>
    </row>
    <row r="61" ht="15.75" customHeight="1">
      <c r="B61" s="516" t="inlineStr">
        <is>
          <t xml:space="preserve">NC</t>
        </is>
      </c>
      <c r="C61" s="194"/>
      <c r="D61" s="397" t="inlineStr">
        <is>
          <t xml:space="preserve">Incidentes</t>
        </is>
      </c>
      <c r="E61" s="396"/>
      <c r="F61" s="396"/>
      <c r="G61" s="396"/>
      <c r="H61" s="405">
        <f>IF(calculos_quadro!$G$319="","",IFERROR(INDEX(calculos_quadro!$B$120:$U$120,MATCH(calculos_quadro!$G$319,calculos_quadro!$B$102:$U$102,0)),""))</f>
        <v>0</v>
      </c>
      <c r="I61" s="405">
        <f>IF(calculos_quadro!$G$320="","",IFERROR(INDEX(calculos_quadro!$B$120:$U$120,MATCH(calculos_quadro!$G$320,calculos_quadro!$B$102:$U$102,0)),""))</f>
        <v>0</v>
      </c>
      <c r="J61" s="405">
        <f>IF(calculos_quadro!$G$321="","",IFERROR(INDEX(calculos_quadro!$B$120:$U$120,MATCH(calculos_quadro!$G$321,calculos_quadro!$B$102:$U$102,0)),""))</f>
        <v>0</v>
      </c>
      <c r="K61" s="404"/>
      <c r="L61" s="405">
        <f>IF(calculos_quadro!$G$322="","",IFERROR(INDEX(calculos_quadro!$B$120:$U$120,MATCH(calculos_quadro!$G$322,calculos_quadro!$B$102:$U$102,0)),""))</f>
        <v>0</v>
      </c>
      <c r="M61" s="405">
        <f>IF(calculos_quadro!$G$323="","",IFERROR(INDEX(calculos_quadro!$B$120:$U$120,MATCH(calculos_quadro!$G$323,calculos_quadro!$B$102:$U$102,0)),""))</f>
        <v>0</v>
      </c>
      <c r="N61" s="405">
        <f>IF(calculos_quadro!$G$324="","",IFERROR(INDEX(calculos_quadro!$B$120:$U$120,MATCH(calculos_quadro!$G$324,calculos_quadro!$B$102:$U$102,0)),""))</f>
        <v>0</v>
      </c>
      <c r="O61" s="405">
        <f>IF(calculos_quadro!$G$325="","",IFERROR(INDEX(calculos_quadro!$B$120:$U$120,MATCH(calculos_quadro!$G$325,calculos_quadro!$B$102:$U$102,0)),""))</f>
        <v>0</v>
      </c>
      <c r="P61" s="404"/>
      <c r="Q61" s="405">
        <f>IF(calculos_quadro!$G$326="","",IFERROR(INDEX(calculos_quadro!$B$120:$U$120,MATCH(calculos_quadro!$G$326,calculos_quadro!$B$102:$U$102,0)),""))</f>
        <v>0</v>
      </c>
      <c r="R61" s="405">
        <f>IF(calculos_quadro!$G$327="","",IFERROR(INDEX(calculos_quadro!$B$120:$U$120,MATCH(calculos_quadro!$G$327,calculos_quadro!$B$102:$U$102,0)),""))</f>
        <v>0</v>
      </c>
      <c r="S61" s="405">
        <f>IF(calculos_quadro!$G$328="","",IFERROR(INDEX(calculos_quadro!$B$120:$U$120,MATCH(calculos_quadro!$G$328,calculos_quadro!$B$102:$U$102,0)),""))</f>
        <v>0</v>
      </c>
      <c r="T61" s="405" t="str">
        <f>IF(calculos_quadro!$G$329="","",IFERROR(INDEX(calculos_quadro!$B$120:$U$120,MATCH(calculos_quadro!$G$329,calculos_quadro!$B$102:$U$102,0)),""))</f>
        <v/>
      </c>
      <c r="U61" s="404"/>
      <c r="V61" s="405" t="str">
        <f>IF(calculos_quadro!$G$330="","",IFERROR(INDEX(calculos_quadro!$B$120:$U$120,MATCH(calculos_quadro!$G$330,calculos_quadro!$B$102:$U$102,0)),""))</f>
        <v/>
      </c>
      <c r="W61" s="405" t="str">
        <f>IF(calculos_quadro!$G$331="","",IFERROR(INDEX(calculos_quadro!$B$120:$U$120,MATCH(calculos_quadro!$G$331,calculos_quadro!$B$102:$U$102,0)),""))</f>
        <v/>
      </c>
      <c r="X61" s="405" t="str">
        <f>IF(calculos_quadro!$G$332="","",IFERROR(INDEX(calculos_quadro!$B$120:$U$120,MATCH(calculos_quadro!$G$332,calculos_quadro!$B$102:$U$102,0)),""))</f>
        <v/>
      </c>
      <c r="Y61" s="405" t="str">
        <f>IF(calculos_quadro!$G$333="","",IFERROR(INDEX(calculos_quadro!$B$120:$U$120,MATCH(calculos_quadro!$G$333,calculos_quadro!$B$102:$U$102,0)),""))</f>
        <v/>
      </c>
      <c r="Z61" s="405" t="str">
        <f>IF(calculos_quadro!$G$334="","",IFERROR(INDEX(calculos_quadro!$B$120:$U$120,MATCH(calculos_quadro!$G$334,calculos_quadro!$B$102:$U$102,0)),""))</f>
        <v/>
      </c>
    </row>
    <row r="62" ht="15.75" customHeight="1">
      <c r="B62" s="517"/>
      <c r="C62" s="201"/>
      <c r="D62" s="414" t="inlineStr">
        <is>
          <t xml:space="preserve">No show</t>
        </is>
      </c>
      <c r="E62" s="413"/>
      <c r="F62" s="413"/>
      <c r="G62" s="413"/>
      <c r="H62" s="422">
        <f>IF(calculos_quadro!$G$319="","",IFERROR(INDEX(calculos_quadro!$B$121:$U$121,MATCH(calculos_quadro!$G$319,calculos_quadro!$B$102:$U$102,0)),""))</f>
        <v>0</v>
      </c>
      <c r="I62" s="422">
        <f>IF(calculos_quadro!$G$320="","",IFERROR(INDEX(calculos_quadro!$B$121:$U$121,MATCH(calculos_quadro!$G$320,calculos_quadro!$B$102:$U$102,0)),""))</f>
        <v>0</v>
      </c>
      <c r="J62" s="422">
        <f>IF(calculos_quadro!$G$321="","",IFERROR(INDEX(calculos_quadro!$B$121:$U$121,MATCH(calculos_quadro!$G$321,calculos_quadro!$B$102:$U$102,0)),""))</f>
        <v>0</v>
      </c>
      <c r="K62" s="421"/>
      <c r="L62" s="422">
        <f>IF(calculos_quadro!$G$322="","",IFERROR(INDEX(calculos_quadro!$B$121:$U$121,MATCH(calculos_quadro!$G$322,calculos_quadro!$B$102:$U$102,0)),""))</f>
        <v>0</v>
      </c>
      <c r="M62" s="422">
        <f>IF(calculos_quadro!$G$323="","",IFERROR(INDEX(calculos_quadro!$B$121:$U$121,MATCH(calculos_quadro!$G$323,calculos_quadro!$B$102:$U$102,0)),""))</f>
        <v>0</v>
      </c>
      <c r="N62" s="422">
        <f>IF(calculos_quadro!$G$324="","",IFERROR(INDEX(calculos_quadro!$B$121:$U$121,MATCH(calculos_quadro!$G$324,calculos_quadro!$B$102:$U$102,0)),""))</f>
        <v>0</v>
      </c>
      <c r="O62" s="422">
        <f>IF(calculos_quadro!$G$325="","",IFERROR(INDEX(calculos_quadro!$B$121:$U$121,MATCH(calculos_quadro!$G$325,calculos_quadro!$B$102:$U$102,0)),""))</f>
        <v>0</v>
      </c>
      <c r="P62" s="421"/>
      <c r="Q62" s="422">
        <f>IF(calculos_quadro!$G$326="","",IFERROR(INDEX(calculos_quadro!$B$121:$U$121,MATCH(calculos_quadro!$G$326,calculos_quadro!$B$102:$U$102,0)),""))</f>
        <v>0</v>
      </c>
      <c r="R62" s="422">
        <f>IF(calculos_quadro!$G$327="","",IFERROR(INDEX(calculos_quadro!$B$121:$U$121,MATCH(calculos_quadro!$G$327,calculos_quadro!$B$102:$U$102,0)),""))</f>
        <v>0</v>
      </c>
      <c r="S62" s="422">
        <f>IF(calculos_quadro!$G$328="","",IFERROR(INDEX(calculos_quadro!$B$121:$U$121,MATCH(calculos_quadro!$G$328,calculos_quadro!$B$102:$U$102,0)),""))</f>
        <v>0</v>
      </c>
      <c r="T62" s="422" t="str">
        <f>IF(calculos_quadro!$G$329="","",IFERROR(INDEX(calculos_quadro!$B$121:$U$121,MATCH(calculos_quadro!$G$329,calculos_quadro!$B$102:$U$102,0)),""))</f>
        <v/>
      </c>
      <c r="U62" s="421"/>
      <c r="V62" s="422" t="str">
        <f>IF(calculos_quadro!$G$330="","",IFERROR(INDEX(calculos_quadro!$B$121:$U$121,MATCH(calculos_quadro!$G$330,calculos_quadro!$B$102:$U$102,0)),""))</f>
        <v/>
      </c>
      <c r="W62" s="422" t="str">
        <f>IF(calculos_quadro!$G$331="","",IFERROR(INDEX(calculos_quadro!$B$121:$U$121,MATCH(calculos_quadro!$G$331,calculos_quadro!$B$102:$U$102,0)),""))</f>
        <v/>
      </c>
      <c r="X62" s="422" t="str">
        <f>IF(calculos_quadro!$G$332="","",IFERROR(INDEX(calculos_quadro!$B$121:$U$121,MATCH(calculos_quadro!$G$332,calculos_quadro!$B$102:$U$102,0)),""))</f>
        <v/>
      </c>
      <c r="Y62" s="422" t="str">
        <f>IF(calculos_quadro!$G$333="","",IFERROR(INDEX(calculos_quadro!$B$121:$U$121,MATCH(calculos_quadro!$G$333,calculos_quadro!$B$102:$U$102,0)),""))</f>
        <v/>
      </c>
      <c r="Z62" s="422" t="str">
        <f>IF(calculos_quadro!$G$334="","",IFERROR(INDEX(calculos_quadro!$B$121:$U$121,MATCH(calculos_quadro!$G$334,calculos_quadro!$B$102:$U$102,0)),""))</f>
        <v/>
      </c>
    </row>
    <row r="63" ht="15.75" customHeight="1">
      <c r="B63" s="517"/>
      <c r="C63" s="201"/>
      <c r="D63" s="414" t="inlineStr">
        <is>
          <t xml:space="preserve">Backlog Intralog</t>
        </is>
      </c>
      <c r="E63" s="413"/>
      <c r="F63" s="413"/>
      <c r="G63" s="413"/>
      <c r="H63" s="422" t="str">
        <f>IF(calculos_quadro!$G$319="","",IFERROR(INDEX(calculos_quadro!$B$122:$U$122,MATCH(calculos_quadro!$G$319,calculos_quadro!$B$102:$U$102,0)),""))</f>
        <v/>
      </c>
      <c r="I63" s="422" t="str">
        <f>IF(calculos_quadro!$G$320="","",IFERROR(INDEX(calculos_quadro!$B$122:$U$122,MATCH(calculos_quadro!$G$320,calculos_quadro!$B$102:$U$102,0)),""))</f>
        <v/>
      </c>
      <c r="J63" s="422" t="str">
        <f>IF(calculos_quadro!$G$321="","",IFERROR(INDEX(calculos_quadro!$B$122:$U$122,MATCH(calculos_quadro!$G$321,calculos_quadro!$B$102:$U$102,0)),""))</f>
        <v/>
      </c>
      <c r="K63" s="421"/>
      <c r="L63" s="422" t="str">
        <f>IF(calculos_quadro!$G$322="","",IFERROR(INDEX(calculos_quadro!$B$122:$U$122,MATCH(calculos_quadro!$G$322,calculos_quadro!$B$102:$U$102,0)),""))</f>
        <v/>
      </c>
      <c r="M63" s="422" t="str">
        <f>IF(calculos_quadro!$G$323="","",IFERROR(INDEX(calculos_quadro!$B$122:$U$122,MATCH(calculos_quadro!$G$323,calculos_quadro!$B$102:$U$102,0)),""))</f>
        <v/>
      </c>
      <c r="N63" s="422" t="str">
        <f>IF(calculos_quadro!$G$324="","",IFERROR(INDEX(calculos_quadro!$B$122:$U$122,MATCH(calculos_quadro!$G$324,calculos_quadro!$B$102:$U$102,0)),""))</f>
        <v/>
      </c>
      <c r="O63" s="422" t="str">
        <f>IF(calculos_quadro!$G$325="","",IFERROR(INDEX(calculos_quadro!$B$122:$U$122,MATCH(calculos_quadro!$G$325,calculos_quadro!$B$102:$U$102,0)),""))</f>
        <v/>
      </c>
      <c r="P63" s="421"/>
      <c r="Q63" s="422" t="str">
        <f>IF(calculos_quadro!$G$326="","",IFERROR(INDEX(calculos_quadro!$B$122:$U$122,MATCH(calculos_quadro!$G$326,calculos_quadro!$B$102:$U$102,0)),""))</f>
        <v/>
      </c>
      <c r="R63" s="422" t="str">
        <f>IF(calculos_quadro!$G$327="","",IFERROR(INDEX(calculos_quadro!$B$122:$U$122,MATCH(calculos_quadro!$G$327,calculos_quadro!$B$102:$U$102,0)),""))</f>
        <v/>
      </c>
      <c r="S63" s="422" t="str">
        <f>IF(calculos_quadro!$G$328="","",IFERROR(INDEX(calculos_quadro!$B$122:$U$122,MATCH(calculos_quadro!$G$328,calculos_quadro!$B$102:$U$102,0)),""))</f>
        <v/>
      </c>
      <c r="T63" s="422" t="str">
        <f>IF(calculos_quadro!$G$329="","",IFERROR(INDEX(calculos_quadro!$B$122:$U$122,MATCH(calculos_quadro!$G$329,calculos_quadro!$B$102:$U$102,0)),""))</f>
        <v/>
      </c>
      <c r="U63" s="421"/>
      <c r="V63" s="422" t="str">
        <f>IF(calculos_quadro!$G$330="","",IFERROR(INDEX(calculos_quadro!$B$122:$U$122,MATCH(calculos_quadro!$G$330,calculos_quadro!$B$102:$U$102,0)),""))</f>
        <v/>
      </c>
      <c r="W63" s="422" t="str">
        <f>IF(calculos_quadro!$G$331="","",IFERROR(INDEX(calculos_quadro!$B$122:$U$122,MATCH(calculos_quadro!$G$331,calculos_quadro!$B$102:$U$102,0)),""))</f>
        <v/>
      </c>
      <c r="X63" s="422" t="str">
        <f>IF(calculos_quadro!$G$332="","",IFERROR(INDEX(calculos_quadro!$B$122:$U$122,MATCH(calculos_quadro!$G$332,calculos_quadro!$B$102:$U$102,0)),""))</f>
        <v/>
      </c>
      <c r="Y63" s="422" t="str">
        <f>IF(calculos_quadro!$G$333="","",IFERROR(INDEX(calculos_quadro!$B$122:$U$122,MATCH(calculos_quadro!$G$333,calculos_quadro!$B$102:$U$102,0)),""))</f>
        <v/>
      </c>
      <c r="Z63" s="422" t="str">
        <f>IF(calculos_quadro!$G$334="","",IFERROR(INDEX(calculos_quadro!$B$122:$U$122,MATCH(calculos_quadro!$G$334,calculos_quadro!$B$102:$U$102,0)),""))</f>
        <v/>
      </c>
    </row>
    <row r="64" ht="15.75" customHeight="1">
      <c r="B64" s="518"/>
      <c r="C64" s="208"/>
      <c r="D64" s="431" t="inlineStr">
        <is>
          <t xml:space="preserve">Backlog Cliente</t>
        </is>
      </c>
      <c r="E64" s="430"/>
      <c r="F64" s="430"/>
      <c r="G64" s="430"/>
      <c r="H64" s="439" t="str">
        <f>IF(calculos_quadro!$G$319="","",IFERROR(INDEX(calculos_quadro!$B$123:$U$123,MATCH(calculos_quadro!$G$319,calculos_quadro!$B$102:$U$102,0)),""))</f>
        <v/>
      </c>
      <c r="I64" s="439" t="str">
        <f>IF(calculos_quadro!$G$320="","",IFERROR(INDEX(calculos_quadro!$B$123:$U$123,MATCH(calculos_quadro!$G$320,calculos_quadro!$B$102:$U$102,0)),""))</f>
        <v/>
      </c>
      <c r="J64" s="439" t="str">
        <f>IF(calculos_quadro!$G$321="","",IFERROR(INDEX(calculos_quadro!$B$123:$U$123,MATCH(calculos_quadro!$G$321,calculos_quadro!$B$102:$U$102,0)),""))</f>
        <v/>
      </c>
      <c r="K64" s="438"/>
      <c r="L64" s="439" t="str">
        <f>IF(calculos_quadro!$G$322="","",IFERROR(INDEX(calculos_quadro!$B$123:$U$123,MATCH(calculos_quadro!$G$322,calculos_quadro!$B$102:$U$102,0)),""))</f>
        <v/>
      </c>
      <c r="M64" s="439" t="str">
        <f>IF(calculos_quadro!$G$323="","",IFERROR(INDEX(calculos_quadro!$B$123:$U$123,MATCH(calculos_quadro!$G$323,calculos_quadro!$B$102:$U$102,0)),""))</f>
        <v/>
      </c>
      <c r="N64" s="439" t="str">
        <f>IF(calculos_quadro!$G$324="","",IFERROR(INDEX(calculos_quadro!$B$123:$U$123,MATCH(calculos_quadro!$G$324,calculos_quadro!$B$102:$U$102,0)),""))</f>
        <v/>
      </c>
      <c r="O64" s="439" t="str">
        <f>IF(calculos_quadro!$G$325="","",IFERROR(INDEX(calculos_quadro!$B$123:$U$123,MATCH(calculos_quadro!$G$325,calculos_quadro!$B$102:$U$102,0)),""))</f>
        <v/>
      </c>
      <c r="P64" s="438"/>
      <c r="Q64" s="439" t="str">
        <f>IF(calculos_quadro!$G$326="","",IFERROR(INDEX(calculos_quadro!$B$123:$U$123,MATCH(calculos_quadro!$G$326,calculos_quadro!$B$102:$U$102,0)),""))</f>
        <v/>
      </c>
      <c r="R64" s="439" t="str">
        <f>IF(calculos_quadro!$G$327="","",IFERROR(INDEX(calculos_quadro!$B$123:$U$123,MATCH(calculos_quadro!$G$327,calculos_quadro!$B$102:$U$102,0)),""))</f>
        <v/>
      </c>
      <c r="S64" s="439" t="str">
        <f>IF(calculos_quadro!$G$328="","",IFERROR(INDEX(calculos_quadro!$B$123:$U$123,MATCH(calculos_quadro!$G$328,calculos_quadro!$B$102:$U$102,0)),""))</f>
        <v/>
      </c>
      <c r="T64" s="439" t="str">
        <f>IF(calculos_quadro!$G$329="","",IFERROR(INDEX(calculos_quadro!$B$123:$U$123,MATCH(calculos_quadro!$G$329,calculos_quadro!$B$102:$U$102,0)),""))</f>
        <v/>
      </c>
      <c r="U64" s="438"/>
      <c r="V64" s="439" t="str">
        <f>IF(calculos_quadro!$G$330="","",IFERROR(INDEX(calculos_quadro!$B$123:$U$123,MATCH(calculos_quadro!$G$330,calculos_quadro!$B$102:$U$102,0)),""))</f>
        <v/>
      </c>
      <c r="W64" s="439" t="str">
        <f>IF(calculos_quadro!$G$331="","",IFERROR(INDEX(calculos_quadro!$B$123:$U$123,MATCH(calculos_quadro!$G$331,calculos_quadro!$B$102:$U$102,0)),""))</f>
        <v/>
      </c>
      <c r="X64" s="439" t="str">
        <f>IF(calculos_quadro!$G$332="","",IFERROR(INDEX(calculos_quadro!$B$123:$U$123,MATCH(calculos_quadro!$G$332,calculos_quadro!$B$102:$U$102,0)),""))</f>
        <v/>
      </c>
      <c r="Y64" s="439" t="str">
        <f>IF(calculos_quadro!$G$333="","",IFERROR(INDEX(calculos_quadro!$B$123:$U$123,MATCH(calculos_quadro!$G$333,calculos_quadro!$B$102:$U$102,0)),""))</f>
        <v/>
      </c>
      <c r="Z64" s="439" t="str">
        <f>IF(calculos_quadro!$G$334="","",IFERROR(INDEX(calculos_quadro!$B$123:$U$123,MATCH(calculos_quadro!$G$334,calculos_quadro!$B$102:$U$102,0)),""))</f>
        <v/>
      </c>
    </row>
    <row r="65" ht="15.75" customHeight="1">
      <c r="B65" s="510" t="inlineStr">
        <is>
          <t xml:space="preserve">OCUPAÇÃO (P.P)</t>
        </is>
      </c>
      <c r="C65" s="168"/>
      <c r="D65" s="295" t="inlineStr">
        <is>
          <t xml:space="preserve">Posições Disponíveis</t>
        </is>
      </c>
      <c r="E65" s="294"/>
      <c r="F65" s="294"/>
      <c r="G65" s="294"/>
      <c r="H65" s="303" t="str">
        <f>IF(calculos_quadro!$G$319="","",IFERROR(INDEX(calculos_quadro!$B$124:$U$124,MATCH(calculos_quadro!$G$319,calculos_quadro!$B$102:$U$102,0)),""))</f>
        <v/>
      </c>
      <c r="I65" s="303" t="str">
        <f>IF(calculos_quadro!$G$320="","",IFERROR(INDEX(calculos_quadro!$B$124:$U$124,MATCH(calculos_quadro!$G$320,calculos_quadro!$B$102:$U$102,0)),""))</f>
        <v/>
      </c>
      <c r="J65" s="303" t="str">
        <f>IF(calculos_quadro!$G$321="","",IFERROR(INDEX(calculos_quadro!$B$124:$U$124,MATCH(calculos_quadro!$G$321,calculos_quadro!$B$102:$U$102,0)),""))</f>
        <v/>
      </c>
      <c r="K65" s="302"/>
      <c r="L65" s="303" t="str">
        <f>IF(calculos_quadro!$G$322="","",IFERROR(INDEX(calculos_quadro!$B$124:$U$124,MATCH(calculos_quadro!$G$322,calculos_quadro!$B$102:$U$102,0)),""))</f>
        <v/>
      </c>
      <c r="M65" s="303" t="str">
        <f>IF(calculos_quadro!$G$323="","",IFERROR(INDEX(calculos_quadro!$B$124:$U$124,MATCH(calculos_quadro!$G$323,calculos_quadro!$B$102:$U$102,0)),""))</f>
        <v/>
      </c>
      <c r="N65" s="303" t="str">
        <f>IF(calculos_quadro!$G$324="","",IFERROR(INDEX(calculos_quadro!$B$124:$U$124,MATCH(calculos_quadro!$G$324,calculos_quadro!$B$102:$U$102,0)),""))</f>
        <v/>
      </c>
      <c r="O65" s="303" t="str">
        <f>IF(calculos_quadro!$G$325="","",IFERROR(INDEX(calculos_quadro!$B$124:$U$124,MATCH(calculos_quadro!$G$325,calculos_quadro!$B$102:$U$102,0)),""))</f>
        <v/>
      </c>
      <c r="P65" s="302"/>
      <c r="Q65" s="303" t="str">
        <f>IF(calculos_quadro!$G$326="","",IFERROR(INDEX(calculos_quadro!$B$124:$U$124,MATCH(calculos_quadro!$G$326,calculos_quadro!$B$102:$U$102,0)),""))</f>
        <v/>
      </c>
      <c r="R65" s="303" t="str">
        <f>IF(calculos_quadro!$G$327="","",IFERROR(INDEX(calculos_quadro!$B$124:$U$124,MATCH(calculos_quadro!$G$327,calculos_quadro!$B$102:$U$102,0)),""))</f>
        <v/>
      </c>
      <c r="S65" s="303" t="str">
        <f>IF(calculos_quadro!$G$328="","",IFERROR(INDEX(calculos_quadro!$B$124:$U$124,MATCH(calculos_quadro!$G$328,calculos_quadro!$B$102:$U$102,0)),""))</f>
        <v/>
      </c>
      <c r="T65" s="303" t="str">
        <f>IF(calculos_quadro!$G$329="","",IFERROR(INDEX(calculos_quadro!$B$124:$U$124,MATCH(calculos_quadro!$G$329,calculos_quadro!$B$102:$U$102,0)),""))</f>
        <v/>
      </c>
      <c r="U65" s="302"/>
      <c r="V65" s="303" t="str">
        <f>IF(calculos_quadro!$G$330="","",IFERROR(INDEX(calculos_quadro!$B$124:$U$124,MATCH(calculos_quadro!$G$330,calculos_quadro!$B$102:$U$102,0)),""))</f>
        <v/>
      </c>
      <c r="W65" s="303" t="str">
        <f>IF(calculos_quadro!$G$331="","",IFERROR(INDEX(calculos_quadro!$B$124:$U$124,MATCH(calculos_quadro!$G$331,calculos_quadro!$B$102:$U$102,0)),""))</f>
        <v/>
      </c>
      <c r="X65" s="303" t="str">
        <f>IF(calculos_quadro!$G$332="","",IFERROR(INDEX(calculos_quadro!$B$124:$U$124,MATCH(calculos_quadro!$G$332,calculos_quadro!$B$102:$U$102,0)),""))</f>
        <v/>
      </c>
      <c r="Y65" s="303" t="str">
        <f>IF(calculos_quadro!$G$333="","",IFERROR(INDEX(calculos_quadro!$B$124:$U$124,MATCH(calculos_quadro!$G$333,calculos_quadro!$B$102:$U$102,0)),""))</f>
        <v/>
      </c>
      <c r="Z65" s="303" t="str">
        <f>IF(calculos_quadro!$G$334="","",IFERROR(INDEX(calculos_quadro!$B$124:$U$124,MATCH(calculos_quadro!$G$334,calculos_quadro!$B$102:$U$102,0)),""))</f>
        <v/>
      </c>
    </row>
    <row r="66" ht="15.75" customHeight="1">
      <c r="B66" s="511"/>
      <c r="C66" s="214"/>
      <c r="D66" s="312" t="inlineStr">
        <is>
          <t xml:space="preserve">Posições Ocupadas</t>
        </is>
      </c>
      <c r="E66" s="311"/>
      <c r="F66" s="311"/>
      <c r="G66" s="311"/>
      <c r="H66" s="320" t="str">
        <f>IF(calculos_quadro!$G$319="","",IFERROR(INDEX(calculos_quadro!$B$125:$U$125,MATCH(calculos_quadro!$G$319,calculos_quadro!$B$102:$U$102,0)),""))</f>
        <v/>
      </c>
      <c r="I66" s="320" t="str">
        <f>IF(calculos_quadro!$G$320="","",IFERROR(INDEX(calculos_quadro!$B$125:$U$125,MATCH(calculos_quadro!$G$320,calculos_quadro!$B$102:$U$102,0)),""))</f>
        <v/>
      </c>
      <c r="J66" s="320" t="str">
        <f>IF(calculos_quadro!$G$321="","",IFERROR(INDEX(calculos_quadro!$B$125:$U$125,MATCH(calculos_quadro!$G$321,calculos_quadro!$B$102:$U$102,0)),""))</f>
        <v/>
      </c>
      <c r="K66" s="319"/>
      <c r="L66" s="320" t="str">
        <f>IF(calculos_quadro!$G$322="","",IFERROR(INDEX(calculos_quadro!$B$125:$U$125,MATCH(calculos_quadro!$G$322,calculos_quadro!$B$102:$U$102,0)),""))</f>
        <v/>
      </c>
      <c r="M66" s="320" t="str">
        <f>IF(calculos_quadro!$G$323="","",IFERROR(INDEX(calculos_quadro!$B$125:$U$125,MATCH(calculos_quadro!$G$323,calculos_quadro!$B$102:$U$102,0)),""))</f>
        <v/>
      </c>
      <c r="N66" s="320" t="str">
        <f>IF(calculos_quadro!$G$324="","",IFERROR(INDEX(calculos_quadro!$B$125:$U$125,MATCH(calculos_quadro!$G$324,calculos_quadro!$B$102:$U$102,0)),""))</f>
        <v/>
      </c>
      <c r="O66" s="320" t="str">
        <f>IF(calculos_quadro!$G$325="","",IFERROR(INDEX(calculos_quadro!$B$125:$U$125,MATCH(calculos_quadro!$G$325,calculos_quadro!$B$102:$U$102,0)),""))</f>
        <v/>
      </c>
      <c r="P66" s="319"/>
      <c r="Q66" s="320" t="str">
        <f>IF(calculos_quadro!$G$326="","",IFERROR(INDEX(calculos_quadro!$B$125:$U$125,MATCH(calculos_quadro!$G$326,calculos_quadro!$B$102:$U$102,0)),""))</f>
        <v/>
      </c>
      <c r="R66" s="320" t="str">
        <f>IF(calculos_quadro!$G$327="","",IFERROR(INDEX(calculos_quadro!$B$125:$U$125,MATCH(calculos_quadro!$G$327,calculos_quadro!$B$102:$U$102,0)),""))</f>
        <v/>
      </c>
      <c r="S66" s="320" t="str">
        <f>IF(calculos_quadro!$G$328="","",IFERROR(INDEX(calculos_quadro!$B$125:$U$125,MATCH(calculos_quadro!$G$328,calculos_quadro!$B$102:$U$102,0)),""))</f>
        <v/>
      </c>
      <c r="T66" s="320" t="str">
        <f>IF(calculos_quadro!$G$329="","",IFERROR(INDEX(calculos_quadro!$B$125:$U$125,MATCH(calculos_quadro!$G$329,calculos_quadro!$B$102:$U$102,0)),""))</f>
        <v/>
      </c>
      <c r="U66" s="319"/>
      <c r="V66" s="320" t="str">
        <f>IF(calculos_quadro!$G$330="","",IFERROR(INDEX(calculos_quadro!$B$125:$U$125,MATCH(calculos_quadro!$G$330,calculos_quadro!$B$102:$U$102,0)),""))</f>
        <v/>
      </c>
      <c r="W66" s="320" t="str">
        <f>IF(calculos_quadro!$G$331="","",IFERROR(INDEX(calculos_quadro!$B$125:$U$125,MATCH(calculos_quadro!$G$331,calculos_quadro!$B$102:$U$102,0)),""))</f>
        <v/>
      </c>
      <c r="X66" s="320" t="str">
        <f>IF(calculos_quadro!$G$332="","",IFERROR(INDEX(calculos_quadro!$B$125:$U$125,MATCH(calculos_quadro!$G$332,calculos_quadro!$B$102:$U$102,0)),""))</f>
        <v/>
      </c>
      <c r="Y66" s="320" t="str">
        <f>IF(calculos_quadro!$G$333="","",IFERROR(INDEX(calculos_quadro!$B$125:$U$125,MATCH(calculos_quadro!$G$333,calculos_quadro!$B$102:$U$102,0)),""))</f>
        <v/>
      </c>
      <c r="Z66" s="320" t="str">
        <f>IF(calculos_quadro!$G$334="","",IFERROR(INDEX(calculos_quadro!$B$125:$U$125,MATCH(calculos_quadro!$G$334,calculos_quadro!$B$102:$U$102,0)),""))</f>
        <v/>
      </c>
    </row>
    <row r="67" ht="15.75" customHeight="1">
      <c r="B67" s="512"/>
      <c r="C67" s="175"/>
      <c r="D67" s="331" t="inlineStr">
        <is>
          <t xml:space="preserve">Taxa de Ocupação</t>
        </is>
      </c>
      <c r="E67" s="330"/>
      <c r="F67" s="330"/>
      <c r="G67" s="330"/>
      <c r="H67" s="343" t="str">
        <f>IF(calculos_quadro!$G$319="","",IFERROR(INDEX(calculos_quadro!$B$126:$U$126,MATCH(calculos_quadro!$G$319,calculos_quadro!$B$102:$U$102,0)),""))</f>
        <v/>
      </c>
      <c r="I67" s="343" t="str">
        <f>IF(calculos_quadro!$G$320="","",IFERROR(INDEX(calculos_quadro!$B$126:$U$126,MATCH(calculos_quadro!$G$320,calculos_quadro!$B$102:$U$102,0)),""))</f>
        <v/>
      </c>
      <c r="J67" s="343" t="str">
        <f>IF(calculos_quadro!$G$321="","",IFERROR(INDEX(calculos_quadro!$B$126:$U$126,MATCH(calculos_quadro!$G$321,calculos_quadro!$B$102:$U$102,0)),""))</f>
        <v/>
      </c>
      <c r="K67" s="342"/>
      <c r="L67" s="343" t="str">
        <f>IF(calculos_quadro!$G$322="","",IFERROR(INDEX(calculos_quadro!$B$126:$U$126,MATCH(calculos_quadro!$G$322,calculos_quadro!$B$102:$U$102,0)),""))</f>
        <v/>
      </c>
      <c r="M67" s="343" t="str">
        <f>IF(calculos_quadro!$G$323="","",IFERROR(INDEX(calculos_quadro!$B$126:$U$126,MATCH(calculos_quadro!$G$323,calculos_quadro!$B$102:$U$102,0)),""))</f>
        <v/>
      </c>
      <c r="N67" s="343" t="str">
        <f>IF(calculos_quadro!$G$324="","",IFERROR(INDEX(calculos_quadro!$B$126:$U$126,MATCH(calculos_quadro!$G$324,calculos_quadro!$B$102:$U$102,0)),""))</f>
        <v/>
      </c>
      <c r="O67" s="343" t="str">
        <f>IF(calculos_quadro!$G$325="","",IFERROR(INDEX(calculos_quadro!$B$126:$U$126,MATCH(calculos_quadro!$G$325,calculos_quadro!$B$102:$U$102,0)),""))</f>
        <v/>
      </c>
      <c r="P67" s="342"/>
      <c r="Q67" s="343" t="str">
        <f>IF(calculos_quadro!$G$326="","",IFERROR(INDEX(calculos_quadro!$B$126:$U$126,MATCH(calculos_quadro!$G$326,calculos_quadro!$B$102:$U$102,0)),""))</f>
        <v/>
      </c>
      <c r="R67" s="343" t="str">
        <f>IF(calculos_quadro!$G$327="","",IFERROR(INDEX(calculos_quadro!$B$126:$U$126,MATCH(calculos_quadro!$G$327,calculos_quadro!$B$102:$U$102,0)),""))</f>
        <v/>
      </c>
      <c r="S67" s="343" t="str">
        <f>IF(calculos_quadro!$G$328="","",IFERROR(INDEX(calculos_quadro!$B$126:$U$126,MATCH(calculos_quadro!$G$328,calculos_quadro!$B$102:$U$102,0)),""))</f>
        <v/>
      </c>
      <c r="T67" s="343" t="str">
        <f>IF(calculos_quadro!$G$329="","",IFERROR(INDEX(calculos_quadro!$B$126:$U$126,MATCH(calculos_quadro!$G$329,calculos_quadro!$B$102:$U$102,0)),""))</f>
        <v/>
      </c>
      <c r="U67" s="342"/>
      <c r="V67" s="343" t="str">
        <f>IF(calculos_quadro!$G$330="","",IFERROR(INDEX(calculos_quadro!$B$126:$U$126,MATCH(calculos_quadro!$G$330,calculos_quadro!$B$102:$U$102,0)),""))</f>
        <v/>
      </c>
      <c r="W67" s="343" t="str">
        <f>IF(calculos_quadro!$G$331="","",IFERROR(INDEX(calculos_quadro!$B$126:$U$126,MATCH(calculos_quadro!$G$331,calculos_quadro!$B$102:$U$102,0)),""))</f>
        <v/>
      </c>
      <c r="X67" s="343" t="str">
        <f>IF(calculos_quadro!$G$332="","",IFERROR(INDEX(calculos_quadro!$B$126:$U$126,MATCH(calculos_quadro!$G$332,calculos_quadro!$B$102:$U$102,0)),""))</f>
        <v/>
      </c>
      <c r="Y67" s="343" t="str">
        <f>IF(calculos_quadro!$G$333="","",IFERROR(INDEX(calculos_quadro!$B$126:$U$126,MATCH(calculos_quadro!$G$333,calculos_quadro!$B$102:$U$102,0)),""))</f>
        <v/>
      </c>
      <c r="Z67" s="343" t="str">
        <f>IF(calculos_quadro!$G$334="","",IFERROR(INDEX(calculos_quadro!$B$126:$U$126,MATCH(calculos_quadro!$G$334,calculos_quadro!$B$102:$U$102,0)),""))</f>
        <v/>
      </c>
    </row>
    <row r="68" ht="15.75" customHeight="1">
      <c r="B68" s="519" t="inlineStr">
        <is>
          <t xml:space="preserve">GENTE</t>
        </is>
      </c>
      <c r="C68" s="225"/>
      <c r="D68" s="458" t="inlineStr">
        <is>
          <t xml:space="preserve">Efetivo Op.</t>
        </is>
      </c>
      <c r="E68" s="457"/>
      <c r="F68" s="457"/>
      <c r="G68" s="457"/>
      <c r="H68" s="466" t="str">
        <f>IF(calculos_quadro!$G$319="","",IFERROR(INDEX(calculos_quadro!$B$127:$U$127,MATCH(calculos_quadro!$G$319,calculos_quadro!$B$102:$U$102,0)),""))</f>
        <v/>
      </c>
      <c r="I68" s="466" t="str">
        <f>IF(calculos_quadro!$G$320="","",IFERROR(INDEX(calculos_quadro!$B$127:$U$127,MATCH(calculos_quadro!$G$320,calculos_quadro!$B$102:$U$102,0)),""))</f>
        <v/>
      </c>
      <c r="J68" s="466" t="str">
        <f>IF(calculos_quadro!$G$321="","",IFERROR(INDEX(calculos_quadro!$B$127:$U$127,MATCH(calculos_quadro!$G$321,calculos_quadro!$B$102:$U$102,0)),""))</f>
        <v/>
      </c>
      <c r="K68" s="465"/>
      <c r="L68" s="466" t="str">
        <f>IF(calculos_quadro!$G$322="","",IFERROR(INDEX(calculos_quadro!$B$127:$U$127,MATCH(calculos_quadro!$G$322,calculos_quadro!$B$102:$U$102,0)),""))</f>
        <v/>
      </c>
      <c r="M68" s="466" t="str">
        <f>IF(calculos_quadro!$G$323="","",IFERROR(INDEX(calculos_quadro!$B$127:$U$127,MATCH(calculos_quadro!$G$323,calculos_quadro!$B$102:$U$102,0)),""))</f>
        <v/>
      </c>
      <c r="N68" s="466" t="str">
        <f>IF(calculos_quadro!$G$324="","",IFERROR(INDEX(calculos_quadro!$B$127:$U$127,MATCH(calculos_quadro!$G$324,calculos_quadro!$B$102:$U$102,0)),""))</f>
        <v/>
      </c>
      <c r="O68" s="466" t="str">
        <f>IF(calculos_quadro!$G$325="","",IFERROR(INDEX(calculos_quadro!$B$127:$U$127,MATCH(calculos_quadro!$G$325,calculos_quadro!$B$102:$U$102,0)),""))</f>
        <v/>
      </c>
      <c r="P68" s="465"/>
      <c r="Q68" s="466" t="str">
        <f>IF(calculos_quadro!$G$326="","",IFERROR(INDEX(calculos_quadro!$B$127:$U$127,MATCH(calculos_quadro!$G$326,calculos_quadro!$B$102:$U$102,0)),""))</f>
        <v/>
      </c>
      <c r="R68" s="466" t="str">
        <f>IF(calculos_quadro!$G$327="","",IFERROR(INDEX(calculos_quadro!$B$127:$U$127,MATCH(calculos_quadro!$G$327,calculos_quadro!$B$102:$U$102,0)),""))</f>
        <v/>
      </c>
      <c r="S68" s="466" t="str">
        <f>IF(calculos_quadro!$G$328="","",IFERROR(INDEX(calculos_quadro!$B$127:$U$127,MATCH(calculos_quadro!$G$328,calculos_quadro!$B$102:$U$102,0)),""))</f>
        <v/>
      </c>
      <c r="T68" s="466" t="str">
        <f>IF(calculos_quadro!$G$329="","",IFERROR(INDEX(calculos_quadro!$B$127:$U$127,MATCH(calculos_quadro!$G$329,calculos_quadro!$B$102:$U$102,0)),""))</f>
        <v/>
      </c>
      <c r="U68" s="465"/>
      <c r="V68" s="466" t="str">
        <f>IF(calculos_quadro!$G$330="","",IFERROR(INDEX(calculos_quadro!$B$127:$U$127,MATCH(calculos_quadro!$G$330,calculos_quadro!$B$102:$U$102,0)),""))</f>
        <v/>
      </c>
      <c r="W68" s="466" t="str">
        <f>IF(calculos_quadro!$G$331="","",IFERROR(INDEX(calculos_quadro!$B$127:$U$127,MATCH(calculos_quadro!$G$331,calculos_quadro!$B$102:$U$102,0)),""))</f>
        <v/>
      </c>
      <c r="X68" s="466" t="str">
        <f>IF(calculos_quadro!$G$332="","",IFERROR(INDEX(calculos_quadro!$B$127:$U$127,MATCH(calculos_quadro!$G$332,calculos_quadro!$B$102:$U$102,0)),""))</f>
        <v/>
      </c>
      <c r="Y68" s="466" t="str">
        <f>IF(calculos_quadro!$G$333="","",IFERROR(INDEX(calculos_quadro!$B$127:$U$127,MATCH(calculos_quadro!$G$333,calculos_quadro!$B$102:$U$102,0)),""))</f>
        <v/>
      </c>
      <c r="Z68" s="466" t="str">
        <f>IF(calculos_quadro!$G$334="","",IFERROR(INDEX(calculos_quadro!$B$127:$U$127,MATCH(calculos_quadro!$G$334,calculos_quadro!$B$102:$U$102,0)),""))</f>
        <v/>
      </c>
    </row>
    <row r="69" ht="15.75" customHeight="1">
      <c r="B69" s="520"/>
      <c r="C69" s="232"/>
      <c r="D69" s="475" t="inlineStr">
        <is>
          <t xml:space="preserve">Falta</t>
        </is>
      </c>
      <c r="E69" s="474"/>
      <c r="F69" s="474"/>
      <c r="G69" s="474"/>
      <c r="H69" s="483">
        <f>IF(calculos_quadro!$G$319="","",IFERROR(INDEX(calculos_quadro!$B$128:$U$128,MATCH(calculos_quadro!$G$319,calculos_quadro!$B$102:$U$102,0)),""))</f>
        <v>0</v>
      </c>
      <c r="I69" s="483">
        <f>IF(calculos_quadro!$G$320="","",IFERROR(INDEX(calculos_quadro!$B$128:$U$128,MATCH(calculos_quadro!$G$320,calculos_quadro!$B$102:$U$102,0)),""))</f>
        <v>0</v>
      </c>
      <c r="J69" s="483">
        <f>IF(calculos_quadro!$G$321="","",IFERROR(INDEX(calculos_quadro!$B$128:$U$128,MATCH(calculos_quadro!$G$321,calculos_quadro!$B$102:$U$102,0)),""))</f>
        <v>0</v>
      </c>
      <c r="K69" s="482"/>
      <c r="L69" s="483">
        <f>IF(calculos_quadro!$G$322="","",IFERROR(INDEX(calculos_quadro!$B$128:$U$128,MATCH(calculos_quadro!$G$322,calculos_quadro!$B$102:$U$102,0)),""))</f>
        <v>0</v>
      </c>
      <c r="M69" s="483">
        <f>IF(calculos_quadro!$G$323="","",IFERROR(INDEX(calculos_quadro!$B$128:$U$128,MATCH(calculos_quadro!$G$323,calculos_quadro!$B$102:$U$102,0)),""))</f>
        <v>0</v>
      </c>
      <c r="N69" s="483">
        <f>IF(calculos_quadro!$G$324="","",IFERROR(INDEX(calculos_quadro!$B$128:$U$128,MATCH(calculos_quadro!$G$324,calculos_quadro!$B$102:$U$102,0)),""))</f>
        <v>0</v>
      </c>
      <c r="O69" s="483">
        <f>IF(calculos_quadro!$G$325="","",IFERROR(INDEX(calculos_quadro!$B$128:$U$128,MATCH(calculos_quadro!$G$325,calculos_quadro!$B$102:$U$102,0)),""))</f>
        <v>0</v>
      </c>
      <c r="P69" s="482"/>
      <c r="Q69" s="483">
        <f>IF(calculos_quadro!$G$326="","",IFERROR(INDEX(calculos_quadro!$B$128:$U$128,MATCH(calculos_quadro!$G$326,calculos_quadro!$B$102:$U$102,0)),""))</f>
        <v>0</v>
      </c>
      <c r="R69" s="483">
        <f>IF(calculos_quadro!$G$327="","",IFERROR(INDEX(calculos_quadro!$B$128:$U$128,MATCH(calculos_quadro!$G$327,calculos_quadro!$B$102:$U$102,0)),""))</f>
        <v>0</v>
      </c>
      <c r="S69" s="483">
        <f>IF(calculos_quadro!$G$328="","",IFERROR(INDEX(calculos_quadro!$B$128:$U$128,MATCH(calculos_quadro!$G$328,calculos_quadro!$B$102:$U$102,0)),""))</f>
        <v>0</v>
      </c>
      <c r="T69" s="483" t="str">
        <f>IF(calculos_quadro!$G$329="","",IFERROR(INDEX(calculos_quadro!$B$128:$U$128,MATCH(calculos_quadro!$G$329,calculos_quadro!$B$102:$U$102,0)),""))</f>
        <v/>
      </c>
      <c r="U69" s="482"/>
      <c r="V69" s="483" t="str">
        <f>IF(calculos_quadro!$G$330="","",IFERROR(INDEX(calculos_quadro!$B$128:$U$128,MATCH(calculos_quadro!$G$330,calculos_quadro!$B$102:$U$102,0)),""))</f>
        <v/>
      </c>
      <c r="W69" s="483" t="str">
        <f>IF(calculos_quadro!$G$331="","",IFERROR(INDEX(calculos_quadro!$B$128:$U$128,MATCH(calculos_quadro!$G$331,calculos_quadro!$B$102:$U$102,0)),""))</f>
        <v/>
      </c>
      <c r="X69" s="483" t="str">
        <f>IF(calculos_quadro!$G$332="","",IFERROR(INDEX(calculos_quadro!$B$128:$U$128,MATCH(calculos_quadro!$G$332,calculos_quadro!$B$102:$U$102,0)),""))</f>
        <v/>
      </c>
      <c r="Y69" s="483" t="str">
        <f>IF(calculos_quadro!$G$333="","",IFERROR(INDEX(calculos_quadro!$B$128:$U$128,MATCH(calculos_quadro!$G$333,calculos_quadro!$B$102:$U$102,0)),""))</f>
        <v/>
      </c>
      <c r="Z69" s="483" t="str">
        <f>IF(calculos_quadro!$G$334="","",IFERROR(INDEX(calculos_quadro!$B$128:$U$128,MATCH(calculos_quadro!$G$334,calculos_quadro!$B$102:$U$102,0)),""))</f>
        <v/>
      </c>
    </row>
    <row r="70" ht="15.75" customHeight="1">
      <c r="B70" s="520"/>
      <c r="C70" s="232"/>
      <c r="D70" s="475" t="inlineStr">
        <is>
          <t xml:space="preserve">Absenteísmo (H/H)</t>
        </is>
      </c>
      <c r="E70" s="474"/>
      <c r="F70" s="474"/>
      <c r="G70" s="474"/>
      <c r="H70" s="481">
        <f>IF(calculos_quadro!$G$319="","",IFERROR(INDEX(calculos_quadro!$B$129:$U$129,MATCH(calculos_quadro!$G$319,calculos_quadro!$B$102:$U$102,0)),""))</f>
        <v>0</v>
      </c>
      <c r="I70" s="481">
        <f>IF(calculos_quadro!$G$320="","",IFERROR(INDEX(calculos_quadro!$B$129:$U$129,MATCH(calculos_quadro!$G$320,calculos_quadro!$B$102:$U$102,0)),""))</f>
        <v>0</v>
      </c>
      <c r="J70" s="481">
        <f>IF(calculos_quadro!$G$321="","",IFERROR(INDEX(calculos_quadro!$B$129:$U$129,MATCH(calculos_quadro!$G$321,calculos_quadro!$B$102:$U$102,0)),""))</f>
        <v>0</v>
      </c>
      <c r="K70" s="480"/>
      <c r="L70" s="481">
        <f>IF(calculos_quadro!$G$322="","",IFERROR(INDEX(calculos_quadro!$B$129:$U$129,MATCH(calculos_quadro!$G$322,calculos_quadro!$B$102:$U$102,0)),""))</f>
        <v>0</v>
      </c>
      <c r="M70" s="481">
        <f>IF(calculos_quadro!$G$323="","",IFERROR(INDEX(calculos_quadro!$B$129:$U$129,MATCH(calculos_quadro!$G$323,calculos_quadro!$B$102:$U$102,0)),""))</f>
        <v>0</v>
      </c>
      <c r="N70" s="481">
        <f>IF(calculos_quadro!$G$324="","",IFERROR(INDEX(calculos_quadro!$B$129:$U$129,MATCH(calculos_quadro!$G$324,calculos_quadro!$B$102:$U$102,0)),""))</f>
        <v>0</v>
      </c>
      <c r="O70" s="481">
        <f>IF(calculos_quadro!$G$325="","",IFERROR(INDEX(calculos_quadro!$B$129:$U$129,MATCH(calculos_quadro!$G$325,calculos_quadro!$B$102:$U$102,0)),""))</f>
        <v>0</v>
      </c>
      <c r="P70" s="480"/>
      <c r="Q70" s="481">
        <f>IF(calculos_quadro!$G$326="","",IFERROR(INDEX(calculos_quadro!$B$129:$U$129,MATCH(calculos_quadro!$G$326,calculos_quadro!$B$102:$U$102,0)),""))</f>
        <v>0</v>
      </c>
      <c r="R70" s="481">
        <f>IF(calculos_quadro!$G$327="","",IFERROR(INDEX(calculos_quadro!$B$129:$U$129,MATCH(calculos_quadro!$G$327,calculos_quadro!$B$102:$U$102,0)),""))</f>
        <v>0</v>
      </c>
      <c r="S70" s="481">
        <f>IF(calculos_quadro!$G$328="","",IFERROR(INDEX(calculos_quadro!$B$129:$U$129,MATCH(calculos_quadro!$G$328,calculos_quadro!$B$102:$U$102,0)),""))</f>
        <v>0</v>
      </c>
      <c r="T70" s="481" t="str">
        <f>IF(calculos_quadro!$G$329="","",IFERROR(INDEX(calculos_quadro!$B$129:$U$129,MATCH(calculos_quadro!$G$329,calculos_quadro!$B$102:$U$102,0)),""))</f>
        <v/>
      </c>
      <c r="U70" s="480"/>
      <c r="V70" s="481" t="str">
        <f>IF(calculos_quadro!$G$330="","",IFERROR(INDEX(calculos_quadro!$B$129:$U$129,MATCH(calculos_quadro!$G$330,calculos_quadro!$B$102:$U$102,0)),""))</f>
        <v/>
      </c>
      <c r="W70" s="481" t="str">
        <f>IF(calculos_quadro!$G$331="","",IFERROR(INDEX(calculos_quadro!$B$129:$U$129,MATCH(calculos_quadro!$G$331,calculos_quadro!$B$102:$U$102,0)),""))</f>
        <v/>
      </c>
      <c r="X70" s="481" t="str">
        <f>IF(calculos_quadro!$G$332="","",IFERROR(INDEX(calculos_quadro!$B$129:$U$129,MATCH(calculos_quadro!$G$332,calculos_quadro!$B$102:$U$102,0)),""))</f>
        <v/>
      </c>
      <c r="Y70" s="481" t="str">
        <f>IF(calculos_quadro!$G$333="","",IFERROR(INDEX(calculos_quadro!$B$129:$U$129,MATCH(calculos_quadro!$G$333,calculos_quadro!$B$102:$U$102,0)),""))</f>
        <v/>
      </c>
      <c r="Z70" s="481" t="str">
        <f>IF(calculos_quadro!$G$334="","",IFERROR(INDEX(calculos_quadro!$B$129:$U$129,MATCH(calculos_quadro!$G$334,calculos_quadro!$B$102:$U$102,0)),""))</f>
        <v/>
      </c>
    </row>
    <row r="71" ht="15.75" customHeight="1">
      <c r="B71" s="520"/>
      <c r="C71" s="232"/>
      <c r="D71" s="475" t="inlineStr">
        <is>
          <t xml:space="preserve">Folga</t>
        </is>
      </c>
      <c r="E71" s="474"/>
      <c r="F71" s="474"/>
      <c r="G71" s="474"/>
      <c r="H71" s="483">
        <f>IF(calculos_quadro!$G$319="","",IFERROR(INDEX(calculos_quadro!$B$130:$U$130,MATCH(calculos_quadro!$G$319,calculos_quadro!$B$102:$U$102,0)),""))</f>
        <v>0</v>
      </c>
      <c r="I71" s="483">
        <f>IF(calculos_quadro!$G$320="","",IFERROR(INDEX(calculos_quadro!$B$130:$U$130,MATCH(calculos_quadro!$G$320,calculos_quadro!$B$102:$U$102,0)),""))</f>
        <v>0</v>
      </c>
      <c r="J71" s="483">
        <f>IF(calculos_quadro!$G$321="","",IFERROR(INDEX(calculos_quadro!$B$130:$U$130,MATCH(calculos_quadro!$G$321,calculos_quadro!$B$102:$U$102,0)),""))</f>
        <v>0</v>
      </c>
      <c r="K71" s="482"/>
      <c r="L71" s="483">
        <f>IF(calculos_quadro!$G$322="","",IFERROR(INDEX(calculos_quadro!$B$130:$U$130,MATCH(calculos_quadro!$G$322,calculos_quadro!$B$102:$U$102,0)),""))</f>
        <v>0</v>
      </c>
      <c r="M71" s="483">
        <f>IF(calculos_quadro!$G$323="","",IFERROR(INDEX(calculos_quadro!$B$130:$U$130,MATCH(calculos_quadro!$G$323,calculos_quadro!$B$102:$U$102,0)),""))</f>
        <v>0</v>
      </c>
      <c r="N71" s="483">
        <f>IF(calculos_quadro!$G$324="","",IFERROR(INDEX(calculos_quadro!$B$130:$U$130,MATCH(calculos_quadro!$G$324,calculos_quadro!$B$102:$U$102,0)),""))</f>
        <v>0</v>
      </c>
      <c r="O71" s="483">
        <f>IF(calculos_quadro!$G$325="","",IFERROR(INDEX(calculos_quadro!$B$130:$U$130,MATCH(calculos_quadro!$G$325,calculos_quadro!$B$102:$U$102,0)),""))</f>
        <v>0</v>
      </c>
      <c r="P71" s="482"/>
      <c r="Q71" s="483">
        <f>IF(calculos_quadro!$G$326="","",IFERROR(INDEX(calculos_quadro!$B$130:$U$130,MATCH(calculos_quadro!$G$326,calculos_quadro!$B$102:$U$102,0)),""))</f>
        <v>0</v>
      </c>
      <c r="R71" s="483">
        <f>IF(calculos_quadro!$G$327="","",IFERROR(INDEX(calculos_quadro!$B$130:$U$130,MATCH(calculos_quadro!$G$327,calculos_quadro!$B$102:$U$102,0)),""))</f>
        <v>0</v>
      </c>
      <c r="S71" s="483">
        <f>IF(calculos_quadro!$G$328="","",IFERROR(INDEX(calculos_quadro!$B$130:$U$130,MATCH(calculos_quadro!$G$328,calculos_quadro!$B$102:$U$102,0)),""))</f>
        <v>0</v>
      </c>
      <c r="T71" s="483" t="str">
        <f>IF(calculos_quadro!$G$329="","",IFERROR(INDEX(calculos_quadro!$B$130:$U$130,MATCH(calculos_quadro!$G$329,calculos_quadro!$B$102:$U$102,0)),""))</f>
        <v/>
      </c>
      <c r="U71" s="482"/>
      <c r="V71" s="483" t="str">
        <f>IF(calculos_quadro!$G$330="","",IFERROR(INDEX(calculos_quadro!$B$130:$U$130,MATCH(calculos_quadro!$G$330,calculos_quadro!$B$102:$U$102,0)),""))</f>
        <v/>
      </c>
      <c r="W71" s="483" t="str">
        <f>IF(calculos_quadro!$G$331="","",IFERROR(INDEX(calculos_quadro!$B$130:$U$130,MATCH(calculos_quadro!$G$331,calculos_quadro!$B$102:$U$102,0)),""))</f>
        <v/>
      </c>
      <c r="X71" s="483" t="str">
        <f>IF(calculos_quadro!$G$332="","",IFERROR(INDEX(calculos_quadro!$B$130:$U$130,MATCH(calculos_quadro!$G$332,calculos_quadro!$B$102:$U$102,0)),""))</f>
        <v/>
      </c>
      <c r="Y71" s="483" t="str">
        <f>IF(calculos_quadro!$G$333="","",IFERROR(INDEX(calculos_quadro!$B$130:$U$130,MATCH(calculos_quadro!$G$333,calculos_quadro!$B$102:$U$102,0)),""))</f>
        <v/>
      </c>
      <c r="Z71" s="483" t="str">
        <f>IF(calculos_quadro!$G$334="","",IFERROR(INDEX(calculos_quadro!$B$130:$U$130,MATCH(calculos_quadro!$G$334,calculos_quadro!$B$102:$U$102,0)),""))</f>
        <v/>
      </c>
    </row>
    <row r="72" ht="15.75" customHeight="1">
      <c r="B72" s="520"/>
      <c r="C72" s="232"/>
      <c r="D72" s="475" t="inlineStr">
        <is>
          <t xml:space="preserve">Férias</t>
        </is>
      </c>
      <c r="E72" s="474"/>
      <c r="F72" s="474"/>
      <c r="G72" s="474"/>
      <c r="H72" s="483">
        <f>IF(calculos_quadro!$G$319="","",IFERROR(INDEX(calculos_quadro!$B$131:$U$131,MATCH(calculos_quadro!$G$319,calculos_quadro!$B$102:$U$102,0)),""))</f>
        <v>0</v>
      </c>
      <c r="I72" s="483">
        <f>IF(calculos_quadro!$G$320="","",IFERROR(INDEX(calculos_quadro!$B$131:$U$131,MATCH(calculos_quadro!$G$320,calculos_quadro!$B$102:$U$102,0)),""))</f>
        <v>0</v>
      </c>
      <c r="J72" s="483">
        <f>IF(calculos_quadro!$G$321="","",IFERROR(INDEX(calculos_quadro!$B$131:$U$131,MATCH(calculos_quadro!$G$321,calculos_quadro!$B$102:$U$102,0)),""))</f>
        <v>0</v>
      </c>
      <c r="K72" s="482"/>
      <c r="L72" s="483">
        <f>IF(calculos_quadro!$G$322="","",IFERROR(INDEX(calculos_quadro!$B$131:$U$131,MATCH(calculos_quadro!$G$322,calculos_quadro!$B$102:$U$102,0)),""))</f>
        <v>0</v>
      </c>
      <c r="M72" s="483">
        <f>IF(calculos_quadro!$G$323="","",IFERROR(INDEX(calculos_quadro!$B$131:$U$131,MATCH(calculos_quadro!$G$323,calculos_quadro!$B$102:$U$102,0)),""))</f>
        <v>0</v>
      </c>
      <c r="N72" s="483">
        <f>IF(calculos_quadro!$G$324="","",IFERROR(INDEX(calculos_quadro!$B$131:$U$131,MATCH(calculos_quadro!$G$324,calculos_quadro!$B$102:$U$102,0)),""))</f>
        <v>0</v>
      </c>
      <c r="O72" s="483">
        <f>IF(calculos_quadro!$G$325="","",IFERROR(INDEX(calculos_quadro!$B$131:$U$131,MATCH(calculos_quadro!$G$325,calculos_quadro!$B$102:$U$102,0)),""))</f>
        <v>0</v>
      </c>
      <c r="P72" s="482"/>
      <c r="Q72" s="483">
        <f>IF(calculos_quadro!$G$326="","",IFERROR(INDEX(calculos_quadro!$B$131:$U$131,MATCH(calculos_quadro!$G$326,calculos_quadro!$B$102:$U$102,0)),""))</f>
        <v>0</v>
      </c>
      <c r="R72" s="483">
        <f>IF(calculos_quadro!$G$327="","",IFERROR(INDEX(calculos_quadro!$B$131:$U$131,MATCH(calculos_quadro!$G$327,calculos_quadro!$B$102:$U$102,0)),""))</f>
        <v>0</v>
      </c>
      <c r="S72" s="483">
        <f>IF(calculos_quadro!$G$328="","",IFERROR(INDEX(calculos_quadro!$B$131:$U$131,MATCH(calculos_quadro!$G$328,calculos_quadro!$B$102:$U$102,0)),""))</f>
        <v>0</v>
      </c>
      <c r="T72" s="483" t="str">
        <f>IF(calculos_quadro!$G$329="","",IFERROR(INDEX(calculos_quadro!$B$131:$U$131,MATCH(calculos_quadro!$G$329,calculos_quadro!$B$102:$U$102,0)),""))</f>
        <v/>
      </c>
      <c r="U72" s="482"/>
      <c r="V72" s="483" t="str">
        <f>IF(calculos_quadro!$G$330="","",IFERROR(INDEX(calculos_quadro!$B$131:$U$131,MATCH(calculos_quadro!$G$330,calculos_quadro!$B$102:$U$102,0)),""))</f>
        <v/>
      </c>
      <c r="W72" s="483" t="str">
        <f>IF(calculos_quadro!$G$331="","",IFERROR(INDEX(calculos_quadro!$B$131:$U$131,MATCH(calculos_quadro!$G$331,calculos_quadro!$B$102:$U$102,0)),""))</f>
        <v/>
      </c>
      <c r="X72" s="483" t="str">
        <f>IF(calculos_quadro!$G$332="","",IFERROR(INDEX(calculos_quadro!$B$131:$U$131,MATCH(calculos_quadro!$G$332,calculos_quadro!$B$102:$U$102,0)),""))</f>
        <v/>
      </c>
      <c r="Y72" s="483" t="str">
        <f>IF(calculos_quadro!$G$333="","",IFERROR(INDEX(calculos_quadro!$B$131:$U$131,MATCH(calculos_quadro!$G$333,calculos_quadro!$B$102:$U$102,0)),""))</f>
        <v/>
      </c>
      <c r="Z72" s="483" t="str">
        <f>IF(calculos_quadro!$G$334="","",IFERROR(INDEX(calculos_quadro!$B$131:$U$131,MATCH(calculos_quadro!$G$334,calculos_quadro!$B$102:$U$102,0)),""))</f>
        <v/>
      </c>
    </row>
    <row r="73" ht="15.75" customHeight="1">
      <c r="B73" s="520"/>
      <c r="C73" s="232"/>
      <c r="D73" s="475" t="inlineStr">
        <is>
          <t xml:space="preserve">Desligamento</t>
        </is>
      </c>
      <c r="E73" s="474"/>
      <c r="F73" s="474"/>
      <c r="G73" s="474"/>
      <c r="H73" s="483">
        <f>IF(calculos_quadro!$G$319="","",IFERROR(INDEX(calculos_quadro!$B$132:$U$132,MATCH(calculos_quadro!$G$319,calculos_quadro!$B$102:$U$102,0)),""))</f>
        <v>0</v>
      </c>
      <c r="I73" s="483">
        <f>IF(calculos_quadro!$G$320="","",IFERROR(INDEX(calculos_quadro!$B$132:$U$132,MATCH(calculos_quadro!$G$320,calculos_quadro!$B$102:$U$102,0)),""))</f>
        <v>0</v>
      </c>
      <c r="J73" s="483">
        <f>IF(calculos_quadro!$G$321="","",IFERROR(INDEX(calculos_quadro!$B$132:$U$132,MATCH(calculos_quadro!$G$321,calculos_quadro!$B$102:$U$102,0)),""))</f>
        <v>0</v>
      </c>
      <c r="K73" s="482"/>
      <c r="L73" s="483">
        <f>IF(calculos_quadro!$G$322="","",IFERROR(INDEX(calculos_quadro!$B$132:$U$132,MATCH(calculos_quadro!$G$322,calculos_quadro!$B$102:$U$102,0)),""))</f>
        <v>0</v>
      </c>
      <c r="M73" s="483">
        <f>IF(calculos_quadro!$G$323="","",IFERROR(INDEX(calculos_quadro!$B$132:$U$132,MATCH(calculos_quadro!$G$323,calculos_quadro!$B$102:$U$102,0)),""))</f>
        <v>0</v>
      </c>
      <c r="N73" s="483">
        <f>IF(calculos_quadro!$G$324="","",IFERROR(INDEX(calculos_quadro!$B$132:$U$132,MATCH(calculos_quadro!$G$324,calculos_quadro!$B$102:$U$102,0)),""))</f>
        <v>0</v>
      </c>
      <c r="O73" s="483">
        <f>IF(calculos_quadro!$G$325="","",IFERROR(INDEX(calculos_quadro!$B$132:$U$132,MATCH(calculos_quadro!$G$325,calculos_quadro!$B$102:$U$102,0)),""))</f>
        <v>0</v>
      </c>
      <c r="P73" s="482"/>
      <c r="Q73" s="483">
        <f>IF(calculos_quadro!$G$326="","",IFERROR(INDEX(calculos_quadro!$B$132:$U$132,MATCH(calculos_quadro!$G$326,calculos_quadro!$B$102:$U$102,0)),""))</f>
        <v>0</v>
      </c>
      <c r="R73" s="483">
        <f>IF(calculos_quadro!$G$327="","",IFERROR(INDEX(calculos_quadro!$B$132:$U$132,MATCH(calculos_quadro!$G$327,calculos_quadro!$B$102:$U$102,0)),""))</f>
        <v>0</v>
      </c>
      <c r="S73" s="483">
        <f>IF(calculos_quadro!$G$328="","",IFERROR(INDEX(calculos_quadro!$B$132:$U$132,MATCH(calculos_quadro!$G$328,calculos_quadro!$B$102:$U$102,0)),""))</f>
        <v>0</v>
      </c>
      <c r="T73" s="483" t="str">
        <f>IF(calculos_quadro!$G$329="","",IFERROR(INDEX(calculos_quadro!$B$132:$U$132,MATCH(calculos_quadro!$G$329,calculos_quadro!$B$102:$U$102,0)),""))</f>
        <v/>
      </c>
      <c r="U73" s="482"/>
      <c r="V73" s="483" t="str">
        <f>IF(calculos_quadro!$G$330="","",IFERROR(INDEX(calculos_quadro!$B$132:$U$132,MATCH(calculos_quadro!$G$330,calculos_quadro!$B$102:$U$102,0)),""))</f>
        <v/>
      </c>
      <c r="W73" s="483" t="str">
        <f>IF(calculos_quadro!$G$331="","",IFERROR(INDEX(calculos_quadro!$B$132:$U$132,MATCH(calculos_quadro!$G$331,calculos_quadro!$B$102:$U$102,0)),""))</f>
        <v/>
      </c>
      <c r="X73" s="483" t="str">
        <f>IF(calculos_quadro!$G$332="","",IFERROR(INDEX(calculos_quadro!$B$132:$U$132,MATCH(calculos_quadro!$G$332,calculos_quadro!$B$102:$U$102,0)),""))</f>
        <v/>
      </c>
      <c r="Y73" s="483" t="str">
        <f>IF(calculos_quadro!$G$333="","",IFERROR(INDEX(calculos_quadro!$B$132:$U$132,MATCH(calculos_quadro!$G$333,calculos_quadro!$B$102:$U$102,0)),""))</f>
        <v/>
      </c>
      <c r="Z73" s="483" t="str">
        <f>IF(calculos_quadro!$G$334="","",IFERROR(INDEX(calculos_quadro!$B$132:$U$132,MATCH(calculos_quadro!$G$334,calculos_quadro!$B$102:$U$102,0)),""))</f>
        <v/>
      </c>
    </row>
    <row r="74" ht="15.75" customHeight="1">
      <c r="B74" s="520"/>
      <c r="C74" s="232"/>
      <c r="D74" s="475" t="inlineStr">
        <is>
          <t xml:space="preserve">Desvios Comportamentais</t>
        </is>
      </c>
      <c r="E74" s="474"/>
      <c r="F74" s="474"/>
      <c r="G74" s="474"/>
      <c r="H74" s="483">
        <f>IF(calculos_quadro!$G$319="","",IFERROR(INDEX(calculos_quadro!$B$133:$U$133,MATCH(calculos_quadro!$G$319,calculos_quadro!$B$102:$U$102,0)),""))</f>
        <v>0</v>
      </c>
      <c r="I74" s="483">
        <f>IF(calculos_quadro!$G$320="","",IFERROR(INDEX(calculos_quadro!$B$133:$U$133,MATCH(calculos_quadro!$G$320,calculos_quadro!$B$102:$U$102,0)),""))</f>
        <v>0</v>
      </c>
      <c r="J74" s="483">
        <f>IF(calculos_quadro!$G$321="","",IFERROR(INDEX(calculos_quadro!$B$133:$U$133,MATCH(calculos_quadro!$G$321,calculos_quadro!$B$102:$U$102,0)),""))</f>
        <v>0</v>
      </c>
      <c r="K74" s="482"/>
      <c r="L74" s="483">
        <f>IF(calculos_quadro!$G$322="","",IFERROR(INDEX(calculos_quadro!$B$133:$U$133,MATCH(calculos_quadro!$G$322,calculos_quadro!$B$102:$U$102,0)),""))</f>
        <v>0</v>
      </c>
      <c r="M74" s="483">
        <f>IF(calculos_quadro!$G$323="","",IFERROR(INDEX(calculos_quadro!$B$133:$U$133,MATCH(calculos_quadro!$G$323,calculos_quadro!$B$102:$U$102,0)),""))</f>
        <v>0</v>
      </c>
      <c r="N74" s="483">
        <f>IF(calculos_quadro!$G$324="","",IFERROR(INDEX(calculos_quadro!$B$133:$U$133,MATCH(calculos_quadro!$G$324,calculos_quadro!$B$102:$U$102,0)),""))</f>
        <v>0</v>
      </c>
      <c r="O74" s="483">
        <f>IF(calculos_quadro!$G$325="","",IFERROR(INDEX(calculos_quadro!$B$133:$U$133,MATCH(calculos_quadro!$G$325,calculos_quadro!$B$102:$U$102,0)),""))</f>
        <v>0</v>
      </c>
      <c r="P74" s="482"/>
      <c r="Q74" s="483">
        <f>IF(calculos_quadro!$G$326="","",IFERROR(INDEX(calculos_quadro!$B$133:$U$133,MATCH(calculos_quadro!$G$326,calculos_quadro!$B$102:$U$102,0)),""))</f>
        <v>0</v>
      </c>
      <c r="R74" s="483">
        <f>IF(calculos_quadro!$G$327="","",IFERROR(INDEX(calculos_quadro!$B$133:$U$133,MATCH(calculos_quadro!$G$327,calculos_quadro!$B$102:$U$102,0)),""))</f>
        <v>0</v>
      </c>
      <c r="S74" s="483">
        <f>IF(calculos_quadro!$G$328="","",IFERROR(INDEX(calculos_quadro!$B$133:$U$133,MATCH(calculos_quadro!$G$328,calculos_quadro!$B$102:$U$102,0)),""))</f>
        <v>0</v>
      </c>
      <c r="T74" s="483" t="str">
        <f>IF(calculos_quadro!$G$329="","",IFERROR(INDEX(calculos_quadro!$B$133:$U$133,MATCH(calculos_quadro!$G$329,calculos_quadro!$B$102:$U$102,0)),""))</f>
        <v/>
      </c>
      <c r="U74" s="482"/>
      <c r="V74" s="483" t="str">
        <f>IF(calculos_quadro!$G$330="","",IFERROR(INDEX(calculos_quadro!$B$133:$U$133,MATCH(calculos_quadro!$G$330,calculos_quadro!$B$102:$U$102,0)),""))</f>
        <v/>
      </c>
      <c r="W74" s="483" t="str">
        <f>IF(calculos_quadro!$G$331="","",IFERROR(INDEX(calculos_quadro!$B$133:$U$133,MATCH(calculos_quadro!$G$331,calculos_quadro!$B$102:$U$102,0)),""))</f>
        <v/>
      </c>
      <c r="X74" s="483" t="str">
        <f>IF(calculos_quadro!$G$332="","",IFERROR(INDEX(calculos_quadro!$B$133:$U$133,MATCH(calculos_quadro!$G$332,calculos_quadro!$B$102:$U$102,0)),""))</f>
        <v/>
      </c>
      <c r="Y74" s="483" t="str">
        <f>IF(calculos_quadro!$G$333="","",IFERROR(INDEX(calculos_quadro!$B$133:$U$133,MATCH(calculos_quadro!$G$333,calculos_quadro!$B$102:$U$102,0)),""))</f>
        <v/>
      </c>
      <c r="Z74" s="483" t="str">
        <f>IF(calculos_quadro!$G$334="","",IFERROR(INDEX(calculos_quadro!$B$133:$U$133,MATCH(calculos_quadro!$G$334,calculos_quadro!$B$102:$U$102,0)),""))</f>
        <v/>
      </c>
    </row>
    <row r="75" ht="15.75" customHeight="1">
      <c r="B75" s="520"/>
      <c r="C75" s="232"/>
      <c r="D75" s="475" t="inlineStr">
        <is>
          <t xml:space="preserve">Acidentes CAF</t>
        </is>
      </c>
      <c r="E75" s="474"/>
      <c r="F75" s="474"/>
      <c r="G75" s="474"/>
      <c r="H75" s="483">
        <f>IF(calculos_quadro!$G$319="","",IFERROR(INDEX(calculos_quadro!$B$134:$U$134,MATCH(calculos_quadro!$G$319,calculos_quadro!$B$102:$U$102,0)),""))</f>
        <v>0</v>
      </c>
      <c r="I75" s="483">
        <f>IF(calculos_quadro!$G$320="","",IFERROR(INDEX(calculos_quadro!$B$134:$U$134,MATCH(calculos_quadro!$G$320,calculos_quadro!$B$102:$U$102,0)),""))</f>
        <v>0</v>
      </c>
      <c r="J75" s="483">
        <f>IF(calculos_quadro!$G$321="","",IFERROR(INDEX(calculos_quadro!$B$134:$U$134,MATCH(calculos_quadro!$G$321,calculos_quadro!$B$102:$U$102,0)),""))</f>
        <v>0</v>
      </c>
      <c r="K75" s="482"/>
      <c r="L75" s="483">
        <f>IF(calculos_quadro!$G$322="","",IFERROR(INDEX(calculos_quadro!$B$134:$U$134,MATCH(calculos_quadro!$G$322,calculos_quadro!$B$102:$U$102,0)),""))</f>
        <v>0</v>
      </c>
      <c r="M75" s="483">
        <f>IF(calculos_quadro!$G$323="","",IFERROR(INDEX(calculos_quadro!$B$134:$U$134,MATCH(calculos_quadro!$G$323,calculos_quadro!$B$102:$U$102,0)),""))</f>
        <v>0</v>
      </c>
      <c r="N75" s="483">
        <f>IF(calculos_quadro!$G$324="","",IFERROR(INDEX(calculos_quadro!$B$134:$U$134,MATCH(calculos_quadro!$G$324,calculos_quadro!$B$102:$U$102,0)),""))</f>
        <v>0</v>
      </c>
      <c r="O75" s="483">
        <f>IF(calculos_quadro!$G$325="","",IFERROR(INDEX(calculos_quadro!$B$134:$U$134,MATCH(calculos_quadro!$G$325,calculos_quadro!$B$102:$U$102,0)),""))</f>
        <v>0</v>
      </c>
      <c r="P75" s="482"/>
      <c r="Q75" s="483">
        <f>IF(calculos_quadro!$G$326="","",IFERROR(INDEX(calculos_quadro!$B$134:$U$134,MATCH(calculos_quadro!$G$326,calculos_quadro!$B$102:$U$102,0)),""))</f>
        <v>0</v>
      </c>
      <c r="R75" s="483">
        <f>IF(calculos_quadro!$G$327="","",IFERROR(INDEX(calculos_quadro!$B$134:$U$134,MATCH(calculos_quadro!$G$327,calculos_quadro!$B$102:$U$102,0)),""))</f>
        <v>0</v>
      </c>
      <c r="S75" s="483">
        <f>IF(calculos_quadro!$G$328="","",IFERROR(INDEX(calculos_quadro!$B$134:$U$134,MATCH(calculos_quadro!$G$328,calculos_quadro!$B$102:$U$102,0)),""))</f>
        <v>0</v>
      </c>
      <c r="T75" s="483" t="str">
        <f>IF(calculos_quadro!$G$329="","",IFERROR(INDEX(calculos_quadro!$B$134:$U$134,MATCH(calculos_quadro!$G$329,calculos_quadro!$B$102:$U$102,0)),""))</f>
        <v/>
      </c>
      <c r="U75" s="482"/>
      <c r="V75" s="483" t="str">
        <f>IF(calculos_quadro!$G$330="","",IFERROR(INDEX(calculos_quadro!$B$134:$U$134,MATCH(calculos_quadro!$G$330,calculos_quadro!$B$102:$U$102,0)),""))</f>
        <v/>
      </c>
      <c r="W75" s="483" t="str">
        <f>IF(calculos_quadro!$G$331="","",IFERROR(INDEX(calculos_quadro!$B$134:$U$134,MATCH(calculos_quadro!$G$331,calculos_quadro!$B$102:$U$102,0)),""))</f>
        <v/>
      </c>
      <c r="X75" s="483" t="str">
        <f>IF(calculos_quadro!$G$332="","",IFERROR(INDEX(calculos_quadro!$B$134:$U$134,MATCH(calculos_quadro!$G$332,calculos_quadro!$B$102:$U$102,0)),""))</f>
        <v/>
      </c>
      <c r="Y75" s="483" t="str">
        <f>IF(calculos_quadro!$G$333="","",IFERROR(INDEX(calculos_quadro!$B$134:$U$134,MATCH(calculos_quadro!$G$333,calculos_quadro!$B$102:$U$102,0)),""))</f>
        <v/>
      </c>
      <c r="Z75" s="483" t="str">
        <f>IF(calculos_quadro!$G$334="","",IFERROR(INDEX(calculos_quadro!$B$134:$U$134,MATCH(calculos_quadro!$G$334,calculos_quadro!$B$102:$U$102,0)),""))</f>
        <v/>
      </c>
    </row>
    <row r="76" ht="15.75" customHeight="1">
      <c r="B76" s="521"/>
      <c r="C76" s="243"/>
      <c r="D76" s="494" t="inlineStr">
        <is>
          <t xml:space="preserve">Acidentes SAF</t>
        </is>
      </c>
      <c r="E76" s="493"/>
      <c r="F76" s="493"/>
      <c r="G76" s="493"/>
      <c r="H76" s="502">
        <f>IF(calculos_quadro!$G$319="","",IFERROR(INDEX(calculos_quadro!$B$135:$U$135,MATCH(calculos_quadro!$G$319,calculos_quadro!$B$102:$U$102,0)),""))</f>
        <v>0</v>
      </c>
      <c r="I76" s="502">
        <f>IF(calculos_quadro!$G$320="","",IFERROR(INDEX(calculos_quadro!$B$135:$U$135,MATCH(calculos_quadro!$G$320,calculos_quadro!$B$102:$U$102,0)),""))</f>
        <v>0</v>
      </c>
      <c r="J76" s="502">
        <f>IF(calculos_quadro!$G$321="","",IFERROR(INDEX(calculos_quadro!$B$135:$U$135,MATCH(calculos_quadro!$G$321,calculos_quadro!$B$102:$U$102,0)),""))</f>
        <v>0</v>
      </c>
      <c r="K76" s="501"/>
      <c r="L76" s="502">
        <f>IF(calculos_quadro!$G$322="","",IFERROR(INDEX(calculos_quadro!$B$135:$U$135,MATCH(calculos_quadro!$G$322,calculos_quadro!$B$102:$U$102,0)),""))</f>
        <v>0</v>
      </c>
      <c r="M76" s="502">
        <f>IF(calculos_quadro!$G$323="","",IFERROR(INDEX(calculos_quadro!$B$135:$U$135,MATCH(calculos_quadro!$G$323,calculos_quadro!$B$102:$U$102,0)),""))</f>
        <v>0</v>
      </c>
      <c r="N76" s="502">
        <f>IF(calculos_quadro!$G$324="","",IFERROR(INDEX(calculos_quadro!$B$135:$U$135,MATCH(calculos_quadro!$G$324,calculos_quadro!$B$102:$U$102,0)),""))</f>
        <v>0</v>
      </c>
      <c r="O76" s="502">
        <f>IF(calculos_quadro!$G$325="","",IFERROR(INDEX(calculos_quadro!$B$135:$U$135,MATCH(calculos_quadro!$G$325,calculos_quadro!$B$102:$U$102,0)),""))</f>
        <v>0</v>
      </c>
      <c r="P76" s="501"/>
      <c r="Q76" s="502">
        <f>IF(calculos_quadro!$G$326="","",IFERROR(INDEX(calculos_quadro!$B$135:$U$135,MATCH(calculos_quadro!$G$326,calculos_quadro!$B$102:$U$102,0)),""))</f>
        <v>0</v>
      </c>
      <c r="R76" s="502">
        <f>IF(calculos_quadro!$G$327="","",IFERROR(INDEX(calculos_quadro!$B$135:$U$135,MATCH(calculos_quadro!$G$327,calculos_quadro!$B$102:$U$102,0)),""))</f>
        <v>0</v>
      </c>
      <c r="S76" s="502">
        <f>IF(calculos_quadro!$G$328="","",IFERROR(INDEX(calculos_quadro!$B$135:$U$135,MATCH(calculos_quadro!$G$328,calculos_quadro!$B$102:$U$102,0)),""))</f>
        <v>0</v>
      </c>
      <c r="T76" s="502" t="str">
        <f>IF(calculos_quadro!$G$329="","",IFERROR(INDEX(calculos_quadro!$B$135:$U$135,MATCH(calculos_quadro!$G$329,calculos_quadro!$B$102:$U$102,0)),""))</f>
        <v/>
      </c>
      <c r="U76" s="501"/>
      <c r="V76" s="502" t="str">
        <f>IF(calculos_quadro!$G$330="","",IFERROR(INDEX(calculos_quadro!$B$135:$U$135,MATCH(calculos_quadro!$G$330,calculos_quadro!$B$102:$U$102,0)),""))</f>
        <v/>
      </c>
      <c r="W76" s="502" t="str">
        <f>IF(calculos_quadro!$G$331="","",IFERROR(INDEX(calculos_quadro!$B$135:$U$135,MATCH(calculos_quadro!$G$331,calculos_quadro!$B$102:$U$102,0)),""))</f>
        <v/>
      </c>
      <c r="X76" s="502" t="str">
        <f>IF(calculos_quadro!$G$332="","",IFERROR(INDEX(calculos_quadro!$B$135:$U$135,MATCH(calculos_quadro!$G$332,calculos_quadro!$B$102:$U$102,0)),""))</f>
        <v/>
      </c>
      <c r="Y76" s="502" t="str">
        <f>IF(calculos_quadro!$G$333="","",IFERROR(INDEX(calculos_quadro!$B$135:$U$135,MATCH(calculos_quadro!$G$333,calculos_quadro!$B$102:$U$102,0)),""))</f>
        <v/>
      </c>
      <c r="Z76" s="502" t="str">
        <f>IF(calculos_quadro!$G$334="","",IFERROR(INDEX(calculos_quadro!$B$135:$U$135,MATCH(calculos_quadro!$G$334,calculos_quadro!$B$102:$U$102,0)),""))</f>
        <v/>
      </c>
    </row>
    <row r="77">
      <c r="B77" s="36" t="inlineStr">
        <is>
          <t xml:space="preserve">Fluxos: soma do mês · Estoques (backlog, posições, efetivo): último dado do mês · TOTAL CD: posições disponíveis = capacidade física do CD; taxa = ocupadas ÷ capacidade.</t>
        </is>
      </c>
    </row>
  </sheetData>
  <sheetProtection password="CC78" sheet="1" objects="1" scenarios="1"/>
  <mergeCells count="461">
    <mergeCell ref="G1:U1"/>
    <mergeCell ref="V1:AA1"/>
    <mergeCell ref="B3:C3"/>
    <mergeCell ref="D3:I3"/>
    <mergeCell ref="Q3:Z3"/>
    <mergeCell ref="B5:Z5"/>
    <mergeCell ref="B6:C6"/>
    <mergeCell ref="D6:G6"/>
    <mergeCell ref="H6:I6"/>
    <mergeCell ref="J6:L6"/>
    <mergeCell ref="M6:N6"/>
    <mergeCell ref="O6:Q6"/>
    <mergeCell ref="R6:S6"/>
    <mergeCell ref="T6:V6"/>
    <mergeCell ref="W6:X6"/>
    <mergeCell ref="Y6:Z6"/>
    <mergeCell ref="D7:G7"/>
    <mergeCell ref="H7:I7"/>
    <mergeCell ref="J7:L7"/>
    <mergeCell ref="M7:N7"/>
    <mergeCell ref="O7:Q7"/>
    <mergeCell ref="R7:S7"/>
    <mergeCell ref="T7:V7"/>
    <mergeCell ref="W7:X7"/>
    <mergeCell ref="Y7:Z7"/>
    <mergeCell ref="D8:G8"/>
    <mergeCell ref="H8:I8"/>
    <mergeCell ref="J8:L8"/>
    <mergeCell ref="M8:N8"/>
    <mergeCell ref="O8:Q8"/>
    <mergeCell ref="R8:S8"/>
    <mergeCell ref="T8:V8"/>
    <mergeCell ref="W8:X8"/>
    <mergeCell ref="Y8:Z8"/>
    <mergeCell ref="D9:G9"/>
    <mergeCell ref="H9:I9"/>
    <mergeCell ref="J9:L9"/>
    <mergeCell ref="M9:N9"/>
    <mergeCell ref="O9:Q9"/>
    <mergeCell ref="R9:S9"/>
    <mergeCell ref="T9:V9"/>
    <mergeCell ref="W9:X9"/>
    <mergeCell ref="Y9:Z9"/>
    <mergeCell ref="D10:G10"/>
    <mergeCell ref="H10:I10"/>
    <mergeCell ref="J10:L10"/>
    <mergeCell ref="M10:N10"/>
    <mergeCell ref="O10:Q10"/>
    <mergeCell ref="R10:S10"/>
    <mergeCell ref="T10:V10"/>
    <mergeCell ref="W10:X10"/>
    <mergeCell ref="Y10:Z10"/>
    <mergeCell ref="D11:G11"/>
    <mergeCell ref="H11:I11"/>
    <mergeCell ref="J11:L11"/>
    <mergeCell ref="M11:N11"/>
    <mergeCell ref="O11:Q11"/>
    <mergeCell ref="R11:S11"/>
    <mergeCell ref="T11:V11"/>
    <mergeCell ref="W11:X11"/>
    <mergeCell ref="Y11:Z11"/>
    <mergeCell ref="D12:G12"/>
    <mergeCell ref="H12:I12"/>
    <mergeCell ref="J12:L12"/>
    <mergeCell ref="M12:N12"/>
    <mergeCell ref="O12:Q12"/>
    <mergeCell ref="R12:S12"/>
    <mergeCell ref="T12:V12"/>
    <mergeCell ref="W12:X12"/>
    <mergeCell ref="Y12:Z12"/>
    <mergeCell ref="D13:G13"/>
    <mergeCell ref="H13:I13"/>
    <mergeCell ref="J13:L13"/>
    <mergeCell ref="M13:N13"/>
    <mergeCell ref="O13:Q13"/>
    <mergeCell ref="R13:S13"/>
    <mergeCell ref="T13:V13"/>
    <mergeCell ref="W13:X13"/>
    <mergeCell ref="Y13:Z13"/>
    <mergeCell ref="D14:G14"/>
    <mergeCell ref="H14:I14"/>
    <mergeCell ref="J14:L14"/>
    <mergeCell ref="M14:N14"/>
    <mergeCell ref="O14:Q14"/>
    <mergeCell ref="R14:S14"/>
    <mergeCell ref="T14:V14"/>
    <mergeCell ref="W14:X14"/>
    <mergeCell ref="Y14:Z14"/>
    <mergeCell ref="D15:G15"/>
    <mergeCell ref="H15:I15"/>
    <mergeCell ref="J15:L15"/>
    <mergeCell ref="M15:N15"/>
    <mergeCell ref="O15:Q15"/>
    <mergeCell ref="R15:S15"/>
    <mergeCell ref="T15:V15"/>
    <mergeCell ref="W15:X15"/>
    <mergeCell ref="Y15:Z15"/>
    <mergeCell ref="D16:G16"/>
    <mergeCell ref="H16:I16"/>
    <mergeCell ref="J16:L16"/>
    <mergeCell ref="M16:N16"/>
    <mergeCell ref="O16:Q16"/>
    <mergeCell ref="R16:S16"/>
    <mergeCell ref="T16:V16"/>
    <mergeCell ref="W16:X16"/>
    <mergeCell ref="Y16:Z16"/>
    <mergeCell ref="D17:G17"/>
    <mergeCell ref="H17:I17"/>
    <mergeCell ref="J17:L17"/>
    <mergeCell ref="M17:N17"/>
    <mergeCell ref="O17:Q17"/>
    <mergeCell ref="R17:S17"/>
    <mergeCell ref="T17:V17"/>
    <mergeCell ref="W17:X17"/>
    <mergeCell ref="Y17:Z17"/>
    <mergeCell ref="D18:G18"/>
    <mergeCell ref="H18:I18"/>
    <mergeCell ref="J18:L18"/>
    <mergeCell ref="M18:N18"/>
    <mergeCell ref="O18:Q18"/>
    <mergeCell ref="R18:S18"/>
    <mergeCell ref="T18:V18"/>
    <mergeCell ref="W18:X18"/>
    <mergeCell ref="Y18:Z18"/>
    <mergeCell ref="D19:G19"/>
    <mergeCell ref="H19:I19"/>
    <mergeCell ref="J19:L19"/>
    <mergeCell ref="M19:N19"/>
    <mergeCell ref="O19:Q19"/>
    <mergeCell ref="R19:S19"/>
    <mergeCell ref="T19:V19"/>
    <mergeCell ref="W19:X19"/>
    <mergeCell ref="Y19:Z19"/>
    <mergeCell ref="D20:G20"/>
    <mergeCell ref="H20:I20"/>
    <mergeCell ref="J20:L20"/>
    <mergeCell ref="M20:N20"/>
    <mergeCell ref="O20:Q20"/>
    <mergeCell ref="R20:S20"/>
    <mergeCell ref="T20:V20"/>
    <mergeCell ref="W20:X20"/>
    <mergeCell ref="Y20:Z20"/>
    <mergeCell ref="D21:G21"/>
    <mergeCell ref="H21:I21"/>
    <mergeCell ref="J21:L21"/>
    <mergeCell ref="M21:N21"/>
    <mergeCell ref="O21:Q21"/>
    <mergeCell ref="R21:S21"/>
    <mergeCell ref="T21:V21"/>
    <mergeCell ref="W21:X21"/>
    <mergeCell ref="Y21:Z21"/>
    <mergeCell ref="D22:G22"/>
    <mergeCell ref="H22:I22"/>
    <mergeCell ref="J22:L22"/>
    <mergeCell ref="M22:N22"/>
    <mergeCell ref="O22:Q22"/>
    <mergeCell ref="R22:S22"/>
    <mergeCell ref="T22:V22"/>
    <mergeCell ref="W22:X22"/>
    <mergeCell ref="Y22:Z22"/>
    <mergeCell ref="D23:G23"/>
    <mergeCell ref="H23:I23"/>
    <mergeCell ref="J23:L23"/>
    <mergeCell ref="M23:N23"/>
    <mergeCell ref="O23:Q23"/>
    <mergeCell ref="R23:S23"/>
    <mergeCell ref="T23:V23"/>
    <mergeCell ref="W23:X23"/>
    <mergeCell ref="Y23:Z23"/>
    <mergeCell ref="D24:G24"/>
    <mergeCell ref="H24:I24"/>
    <mergeCell ref="J24:L24"/>
    <mergeCell ref="M24:N24"/>
    <mergeCell ref="O24:Q24"/>
    <mergeCell ref="R24:S24"/>
    <mergeCell ref="T24:V24"/>
    <mergeCell ref="W24:X24"/>
    <mergeCell ref="Y24:Z24"/>
    <mergeCell ref="D25:G25"/>
    <mergeCell ref="H25:I25"/>
    <mergeCell ref="J25:L25"/>
    <mergeCell ref="M25:N25"/>
    <mergeCell ref="O25:Q25"/>
    <mergeCell ref="R25:S25"/>
    <mergeCell ref="T25:V25"/>
    <mergeCell ref="W25:X25"/>
    <mergeCell ref="Y25:Z25"/>
    <mergeCell ref="D26:G26"/>
    <mergeCell ref="H26:I26"/>
    <mergeCell ref="J26:L26"/>
    <mergeCell ref="M26:N26"/>
    <mergeCell ref="O26:Q26"/>
    <mergeCell ref="R26:S26"/>
    <mergeCell ref="T26:V26"/>
    <mergeCell ref="W26:X26"/>
    <mergeCell ref="Y26:Z26"/>
    <mergeCell ref="D27:G27"/>
    <mergeCell ref="H27:I27"/>
    <mergeCell ref="J27:L27"/>
    <mergeCell ref="M27:N27"/>
    <mergeCell ref="O27:Q27"/>
    <mergeCell ref="R27:S27"/>
    <mergeCell ref="T27:V27"/>
    <mergeCell ref="W27:X27"/>
    <mergeCell ref="Y27:Z27"/>
    <mergeCell ref="D28:G28"/>
    <mergeCell ref="H28:I28"/>
    <mergeCell ref="J28:L28"/>
    <mergeCell ref="M28:N28"/>
    <mergeCell ref="O28:Q28"/>
    <mergeCell ref="R28:S28"/>
    <mergeCell ref="T28:V28"/>
    <mergeCell ref="W28:X28"/>
    <mergeCell ref="Y28:Z28"/>
    <mergeCell ref="D29:G29"/>
    <mergeCell ref="H29:I29"/>
    <mergeCell ref="J29:L29"/>
    <mergeCell ref="M29:N29"/>
    <mergeCell ref="O29:Q29"/>
    <mergeCell ref="R29:S29"/>
    <mergeCell ref="T29:V29"/>
    <mergeCell ref="W29:X29"/>
    <mergeCell ref="Y29:Z29"/>
    <mergeCell ref="D30:G30"/>
    <mergeCell ref="H30:I30"/>
    <mergeCell ref="J30:L30"/>
    <mergeCell ref="M30:N30"/>
    <mergeCell ref="O30:Q30"/>
    <mergeCell ref="R30:S30"/>
    <mergeCell ref="T30:V30"/>
    <mergeCell ref="W30:X30"/>
    <mergeCell ref="Y30:Z30"/>
    <mergeCell ref="D31:G31"/>
    <mergeCell ref="H31:I31"/>
    <mergeCell ref="J31:L31"/>
    <mergeCell ref="M31:N31"/>
    <mergeCell ref="O31:Q31"/>
    <mergeCell ref="R31:S31"/>
    <mergeCell ref="T31:V31"/>
    <mergeCell ref="W31:X31"/>
    <mergeCell ref="Y31:Z31"/>
    <mergeCell ref="D32:G32"/>
    <mergeCell ref="H32:I32"/>
    <mergeCell ref="J32:L32"/>
    <mergeCell ref="M32:N32"/>
    <mergeCell ref="O32:Q32"/>
    <mergeCell ref="R32:S32"/>
    <mergeCell ref="T32:V32"/>
    <mergeCell ref="W32:X32"/>
    <mergeCell ref="Y32:Z32"/>
    <mergeCell ref="D33:G33"/>
    <mergeCell ref="H33:I33"/>
    <mergeCell ref="J33:L33"/>
    <mergeCell ref="M33:N33"/>
    <mergeCell ref="O33:Q33"/>
    <mergeCell ref="R33:S33"/>
    <mergeCell ref="T33:V33"/>
    <mergeCell ref="W33:X33"/>
    <mergeCell ref="Y33:Z33"/>
    <mergeCell ref="D34:G34"/>
    <mergeCell ref="H34:I34"/>
    <mergeCell ref="J34:L34"/>
    <mergeCell ref="M34:N34"/>
    <mergeCell ref="O34:Q34"/>
    <mergeCell ref="R34:S34"/>
    <mergeCell ref="T34:V34"/>
    <mergeCell ref="W34:X34"/>
    <mergeCell ref="Y34:Z34"/>
    <mergeCell ref="D35:G35"/>
    <mergeCell ref="H35:I35"/>
    <mergeCell ref="J35:L35"/>
    <mergeCell ref="M35:N35"/>
    <mergeCell ref="O35:Q35"/>
    <mergeCell ref="R35:S35"/>
    <mergeCell ref="T35:V35"/>
    <mergeCell ref="W35:X35"/>
    <mergeCell ref="Y35:Z35"/>
    <mergeCell ref="D36:G36"/>
    <mergeCell ref="H36:I36"/>
    <mergeCell ref="J36:L36"/>
    <mergeCell ref="M36:N36"/>
    <mergeCell ref="O36:Q36"/>
    <mergeCell ref="R36:S36"/>
    <mergeCell ref="T36:V36"/>
    <mergeCell ref="W36:X36"/>
    <mergeCell ref="Y36:Z36"/>
    <mergeCell ref="D37:G37"/>
    <mergeCell ref="H37:I37"/>
    <mergeCell ref="J37:L37"/>
    <mergeCell ref="M37:N37"/>
    <mergeCell ref="O37:Q37"/>
    <mergeCell ref="R37:S37"/>
    <mergeCell ref="T37:V37"/>
    <mergeCell ref="W37:X37"/>
    <mergeCell ref="Y37:Z37"/>
    <mergeCell ref="D38:G38"/>
    <mergeCell ref="H38:I38"/>
    <mergeCell ref="J38:L38"/>
    <mergeCell ref="M38:N38"/>
    <mergeCell ref="O38:Q38"/>
    <mergeCell ref="R38:S38"/>
    <mergeCell ref="T38:V38"/>
    <mergeCell ref="W38:X38"/>
    <mergeCell ref="Y38:Z38"/>
    <mergeCell ref="D39:G39"/>
    <mergeCell ref="H39:I39"/>
    <mergeCell ref="J39:L39"/>
    <mergeCell ref="M39:N39"/>
    <mergeCell ref="O39:Q39"/>
    <mergeCell ref="R39:S39"/>
    <mergeCell ref="T39:V39"/>
    <mergeCell ref="W39:X39"/>
    <mergeCell ref="Y39:Z39"/>
    <mergeCell ref="B7:C15"/>
    <mergeCell ref="B16:C23"/>
    <mergeCell ref="B24:C27"/>
    <mergeCell ref="B28:C30"/>
    <mergeCell ref="B31:C39"/>
    <mergeCell ref="B42:Z42"/>
    <mergeCell ref="B43:C43"/>
    <mergeCell ref="D43:G43"/>
    <mergeCell ref="J43:K43"/>
    <mergeCell ref="O43:P43"/>
    <mergeCell ref="T43:U43"/>
    <mergeCell ref="D44:G44"/>
    <mergeCell ref="J44:K44"/>
    <mergeCell ref="O44:P44"/>
    <mergeCell ref="T44:U44"/>
    <mergeCell ref="D45:G45"/>
    <mergeCell ref="J45:K45"/>
    <mergeCell ref="O45:P45"/>
    <mergeCell ref="T45:U45"/>
    <mergeCell ref="D46:G46"/>
    <mergeCell ref="J46:K46"/>
    <mergeCell ref="O46:P46"/>
    <mergeCell ref="T46:U46"/>
    <mergeCell ref="D47:G47"/>
    <mergeCell ref="J47:K47"/>
    <mergeCell ref="O47:P47"/>
    <mergeCell ref="T47:U47"/>
    <mergeCell ref="D48:G48"/>
    <mergeCell ref="J48:K48"/>
    <mergeCell ref="O48:P48"/>
    <mergeCell ref="T48:U48"/>
    <mergeCell ref="D49:G49"/>
    <mergeCell ref="J49:K49"/>
    <mergeCell ref="O49:P49"/>
    <mergeCell ref="T49:U49"/>
    <mergeCell ref="D50:G50"/>
    <mergeCell ref="J50:K50"/>
    <mergeCell ref="O50:P50"/>
    <mergeCell ref="T50:U50"/>
    <mergeCell ref="D51:G51"/>
    <mergeCell ref="J51:K51"/>
    <mergeCell ref="O51:P51"/>
    <mergeCell ref="T51:U51"/>
    <mergeCell ref="D52:G52"/>
    <mergeCell ref="J52:K52"/>
    <mergeCell ref="O52:P52"/>
    <mergeCell ref="T52:U52"/>
    <mergeCell ref="D53:G53"/>
    <mergeCell ref="J53:K53"/>
    <mergeCell ref="O53:P53"/>
    <mergeCell ref="T53:U53"/>
    <mergeCell ref="D54:G54"/>
    <mergeCell ref="J54:K54"/>
    <mergeCell ref="O54:P54"/>
    <mergeCell ref="T54:U54"/>
    <mergeCell ref="D55:G55"/>
    <mergeCell ref="J55:K55"/>
    <mergeCell ref="O55:P55"/>
    <mergeCell ref="T55:U55"/>
    <mergeCell ref="D56:G56"/>
    <mergeCell ref="J56:K56"/>
    <mergeCell ref="O56:P56"/>
    <mergeCell ref="T56:U56"/>
    <mergeCell ref="D57:G57"/>
    <mergeCell ref="J57:K57"/>
    <mergeCell ref="O57:P57"/>
    <mergeCell ref="T57:U57"/>
    <mergeCell ref="D58:G58"/>
    <mergeCell ref="J58:K58"/>
    <mergeCell ref="O58:P58"/>
    <mergeCell ref="T58:U58"/>
    <mergeCell ref="D59:G59"/>
    <mergeCell ref="J59:K59"/>
    <mergeCell ref="O59:P59"/>
    <mergeCell ref="T59:U59"/>
    <mergeCell ref="D60:G60"/>
    <mergeCell ref="J60:K60"/>
    <mergeCell ref="O60:P60"/>
    <mergeCell ref="T60:U60"/>
    <mergeCell ref="D61:G61"/>
    <mergeCell ref="J61:K61"/>
    <mergeCell ref="O61:P61"/>
    <mergeCell ref="T61:U61"/>
    <mergeCell ref="D62:G62"/>
    <mergeCell ref="J62:K62"/>
    <mergeCell ref="O62:P62"/>
    <mergeCell ref="T62:U62"/>
    <mergeCell ref="D63:G63"/>
    <mergeCell ref="J63:K63"/>
    <mergeCell ref="O63:P63"/>
    <mergeCell ref="T63:U63"/>
    <mergeCell ref="D64:G64"/>
    <mergeCell ref="J64:K64"/>
    <mergeCell ref="O64:P64"/>
    <mergeCell ref="T64:U64"/>
    <mergeCell ref="D65:G65"/>
    <mergeCell ref="J65:K65"/>
    <mergeCell ref="O65:P65"/>
    <mergeCell ref="T65:U65"/>
    <mergeCell ref="D66:G66"/>
    <mergeCell ref="J66:K66"/>
    <mergeCell ref="O66:P66"/>
    <mergeCell ref="T66:U66"/>
    <mergeCell ref="D67:G67"/>
    <mergeCell ref="J67:K67"/>
    <mergeCell ref="O67:P67"/>
    <mergeCell ref="T67:U67"/>
    <mergeCell ref="D68:G68"/>
    <mergeCell ref="J68:K68"/>
    <mergeCell ref="O68:P68"/>
    <mergeCell ref="T68:U68"/>
    <mergeCell ref="D69:G69"/>
    <mergeCell ref="J69:K69"/>
    <mergeCell ref="O69:P69"/>
    <mergeCell ref="T69:U69"/>
    <mergeCell ref="D70:G70"/>
    <mergeCell ref="J70:K70"/>
    <mergeCell ref="O70:P70"/>
    <mergeCell ref="T70:U70"/>
    <mergeCell ref="D71:G71"/>
    <mergeCell ref="J71:K71"/>
    <mergeCell ref="O71:P71"/>
    <mergeCell ref="T71:U71"/>
    <mergeCell ref="D72:G72"/>
    <mergeCell ref="J72:K72"/>
    <mergeCell ref="O72:P72"/>
    <mergeCell ref="T72:U72"/>
    <mergeCell ref="D73:G73"/>
    <mergeCell ref="J73:K73"/>
    <mergeCell ref="O73:P73"/>
    <mergeCell ref="T73:U73"/>
    <mergeCell ref="D74:G74"/>
    <mergeCell ref="J74:K74"/>
    <mergeCell ref="O74:P74"/>
    <mergeCell ref="T74:U74"/>
    <mergeCell ref="D75:G75"/>
    <mergeCell ref="J75:K75"/>
    <mergeCell ref="O75:P75"/>
    <mergeCell ref="T75:U75"/>
    <mergeCell ref="D76:G76"/>
    <mergeCell ref="J76:K76"/>
    <mergeCell ref="O76:P76"/>
    <mergeCell ref="T76:U76"/>
    <mergeCell ref="B44:C52"/>
    <mergeCell ref="B53:C60"/>
    <mergeCell ref="B61:C64"/>
    <mergeCell ref="B65:C67"/>
    <mergeCell ref="B68:C76"/>
  </mergeCells>
  <conditionalFormatting sqref="T7">
    <cfRule type="expression" dxfId="10" priority="1">
      <formula>AND(ISNUMBER(T7),T7&gt;0)</formula>
    </cfRule>
  </conditionalFormatting>
  <conditionalFormatting sqref="T7">
    <cfRule type="expression" dxfId="11" priority="2">
      <formula>AND(ISNUMBER(T7),T7&lt;0)</formula>
    </cfRule>
  </conditionalFormatting>
  <conditionalFormatting sqref="Y7">
    <cfRule type="expression" dxfId="10" priority="3">
      <formula>OR(Y7="meta atingida",Y7="dentro do limite",Y7="ocupação alta",Y7="excede o contratado")</formula>
    </cfRule>
  </conditionalFormatting>
  <conditionalFormatting sqref="Y7">
    <cfRule type="expression" dxfId="12" priority="4">
      <formula>OR(Y7="ocupação média",Y7="abaixo da meta")</formula>
    </cfRule>
  </conditionalFormatting>
  <conditionalFormatting sqref="Y7">
    <cfRule type="expression" dxfId="11" priority="5">
      <formula>OR(Y7="ociosidade alta",Y7="acima do limite")</formula>
    </cfRule>
  </conditionalFormatting>
  <conditionalFormatting sqref="T8">
    <cfRule type="expression" dxfId="10" priority="6">
      <formula>AND(ISNUMBER(T8),T8&gt;0)</formula>
    </cfRule>
  </conditionalFormatting>
  <conditionalFormatting sqref="T8">
    <cfRule type="expression" dxfId="11" priority="7">
      <formula>AND(ISNUMBER(T8),T8&lt;0)</formula>
    </cfRule>
  </conditionalFormatting>
  <conditionalFormatting sqref="Y8">
    <cfRule type="expression" dxfId="10" priority="8">
      <formula>OR(Y8="meta atingida",Y8="dentro do limite",Y8="ocupação alta",Y8="excede o contratado")</formula>
    </cfRule>
  </conditionalFormatting>
  <conditionalFormatting sqref="Y8">
    <cfRule type="expression" dxfId="12" priority="9">
      <formula>OR(Y8="ocupação média",Y8="abaixo da meta")</formula>
    </cfRule>
  </conditionalFormatting>
  <conditionalFormatting sqref="Y8">
    <cfRule type="expression" dxfId="11" priority="10">
      <formula>OR(Y8="ociosidade alta",Y8="acima do limite")</formula>
    </cfRule>
  </conditionalFormatting>
  <conditionalFormatting sqref="T9">
    <cfRule type="expression" dxfId="10" priority="11">
      <formula>AND(ISNUMBER(T9),T9&gt;0)</formula>
    </cfRule>
  </conditionalFormatting>
  <conditionalFormatting sqref="T9">
    <cfRule type="expression" dxfId="11" priority="12">
      <formula>AND(ISNUMBER(T9),T9&lt;0)</formula>
    </cfRule>
  </conditionalFormatting>
  <conditionalFormatting sqref="Y9">
    <cfRule type="expression" dxfId="10" priority="13">
      <formula>OR(Y9="meta atingida",Y9="dentro do limite",Y9="ocupação alta",Y9="excede o contratado")</formula>
    </cfRule>
  </conditionalFormatting>
  <conditionalFormatting sqref="Y9">
    <cfRule type="expression" dxfId="12" priority="14">
      <formula>OR(Y9="ocupação média",Y9="abaixo da meta")</formula>
    </cfRule>
  </conditionalFormatting>
  <conditionalFormatting sqref="Y9">
    <cfRule type="expression" dxfId="11" priority="15">
      <formula>OR(Y9="ociosidade alta",Y9="acima do limite")</formula>
    </cfRule>
  </conditionalFormatting>
  <conditionalFormatting sqref="T10">
    <cfRule type="expression" dxfId="10" priority="16">
      <formula>AND(ISNUMBER(T10),T10&gt;0)</formula>
    </cfRule>
  </conditionalFormatting>
  <conditionalFormatting sqref="T10">
    <cfRule type="expression" dxfId="11" priority="17">
      <formula>AND(ISNUMBER(T10),T10&lt;0)</formula>
    </cfRule>
  </conditionalFormatting>
  <conditionalFormatting sqref="Y10">
    <cfRule type="expression" dxfId="10" priority="18">
      <formula>OR(Y10="meta atingida",Y10="dentro do limite",Y10="ocupação alta",Y10="excede o contratado")</formula>
    </cfRule>
  </conditionalFormatting>
  <conditionalFormatting sqref="Y10">
    <cfRule type="expression" dxfId="12" priority="19">
      <formula>OR(Y10="ocupação média",Y10="abaixo da meta")</formula>
    </cfRule>
  </conditionalFormatting>
  <conditionalFormatting sqref="Y10">
    <cfRule type="expression" dxfId="11" priority="20">
      <formula>OR(Y10="ociosidade alta",Y10="acima do limite")</formula>
    </cfRule>
  </conditionalFormatting>
  <conditionalFormatting sqref="T11">
    <cfRule type="expression" dxfId="10" priority="21">
      <formula>AND(ISNUMBER(T11),T11&gt;0)</formula>
    </cfRule>
  </conditionalFormatting>
  <conditionalFormatting sqref="T11">
    <cfRule type="expression" dxfId="11" priority="22">
      <formula>AND(ISNUMBER(T11),T11&lt;0)</formula>
    </cfRule>
  </conditionalFormatting>
  <conditionalFormatting sqref="Y11">
    <cfRule type="expression" dxfId="10" priority="23">
      <formula>OR(Y11="meta atingida",Y11="dentro do limite",Y11="ocupação alta",Y11="excede o contratado")</formula>
    </cfRule>
  </conditionalFormatting>
  <conditionalFormatting sqref="Y11">
    <cfRule type="expression" dxfId="12" priority="24">
      <formula>OR(Y11="ocupação média",Y11="abaixo da meta")</formula>
    </cfRule>
  </conditionalFormatting>
  <conditionalFormatting sqref="Y11">
    <cfRule type="expression" dxfId="11" priority="25">
      <formula>OR(Y11="ociosidade alta",Y11="acima do limite")</formula>
    </cfRule>
  </conditionalFormatting>
  <conditionalFormatting sqref="T12">
    <cfRule type="expression" dxfId="10" priority="26">
      <formula>AND(ISNUMBER(T12),T12&gt;0)</formula>
    </cfRule>
  </conditionalFormatting>
  <conditionalFormatting sqref="T12">
    <cfRule type="expression" dxfId="11" priority="27">
      <formula>AND(ISNUMBER(T12),T12&lt;0)</formula>
    </cfRule>
  </conditionalFormatting>
  <conditionalFormatting sqref="Y12">
    <cfRule type="expression" dxfId="10" priority="28">
      <formula>OR(Y12="meta atingida",Y12="dentro do limite",Y12="ocupação alta",Y12="excede o contratado")</formula>
    </cfRule>
  </conditionalFormatting>
  <conditionalFormatting sqref="Y12">
    <cfRule type="expression" dxfId="12" priority="29">
      <formula>OR(Y12="ocupação média",Y12="abaixo da meta")</formula>
    </cfRule>
  </conditionalFormatting>
  <conditionalFormatting sqref="Y12">
    <cfRule type="expression" dxfId="11" priority="30">
      <formula>OR(Y12="ociosidade alta",Y12="acima do limite")</formula>
    </cfRule>
  </conditionalFormatting>
  <conditionalFormatting sqref="T13">
    <cfRule type="expression" dxfId="10" priority="31">
      <formula>AND(ISNUMBER(T13),T13&gt;0)</formula>
    </cfRule>
  </conditionalFormatting>
  <conditionalFormatting sqref="T13">
    <cfRule type="expression" dxfId="11" priority="32">
      <formula>AND(ISNUMBER(T13),T13&lt;0)</formula>
    </cfRule>
  </conditionalFormatting>
  <conditionalFormatting sqref="Y13">
    <cfRule type="expression" dxfId="10" priority="33">
      <formula>OR(Y13="meta atingida",Y13="dentro do limite",Y13="ocupação alta",Y13="excede o contratado")</formula>
    </cfRule>
  </conditionalFormatting>
  <conditionalFormatting sqref="Y13">
    <cfRule type="expression" dxfId="12" priority="34">
      <formula>OR(Y13="ocupação média",Y13="abaixo da meta")</formula>
    </cfRule>
  </conditionalFormatting>
  <conditionalFormatting sqref="Y13">
    <cfRule type="expression" dxfId="11" priority="35">
      <formula>OR(Y13="ociosidade alta",Y13="acima do limite")</formula>
    </cfRule>
  </conditionalFormatting>
  <conditionalFormatting sqref="T14">
    <cfRule type="expression" dxfId="10" priority="36">
      <formula>AND(ISNUMBER(T14),T14&gt;0)</formula>
    </cfRule>
  </conditionalFormatting>
  <conditionalFormatting sqref="T14">
    <cfRule type="expression" dxfId="11" priority="37">
      <formula>AND(ISNUMBER(T14),T14&lt;0)</formula>
    </cfRule>
  </conditionalFormatting>
  <conditionalFormatting sqref="Y14">
    <cfRule type="expression" dxfId="10" priority="38">
      <formula>OR(Y14="meta atingida",Y14="dentro do limite",Y14="ocupação alta",Y14="excede o contratado")</formula>
    </cfRule>
  </conditionalFormatting>
  <conditionalFormatting sqref="Y14">
    <cfRule type="expression" dxfId="12" priority="39">
      <formula>OR(Y14="ocupação média",Y14="abaixo da meta")</formula>
    </cfRule>
  </conditionalFormatting>
  <conditionalFormatting sqref="Y14">
    <cfRule type="expression" dxfId="11" priority="40">
      <formula>OR(Y14="ociosidade alta",Y14="acima do limite")</formula>
    </cfRule>
  </conditionalFormatting>
  <conditionalFormatting sqref="T15">
    <cfRule type="expression" dxfId="10" priority="41">
      <formula>AND(ISNUMBER(T15),T15&gt;0)</formula>
    </cfRule>
  </conditionalFormatting>
  <conditionalFormatting sqref="T15">
    <cfRule type="expression" dxfId="11" priority="42">
      <formula>AND(ISNUMBER(T15),T15&lt;0)</formula>
    </cfRule>
  </conditionalFormatting>
  <conditionalFormatting sqref="Y15">
    <cfRule type="expression" dxfId="10" priority="43">
      <formula>OR(Y15="meta atingida",Y15="dentro do limite",Y15="ocupação alta",Y15="excede o contratado")</formula>
    </cfRule>
  </conditionalFormatting>
  <conditionalFormatting sqref="Y15">
    <cfRule type="expression" dxfId="12" priority="44">
      <formula>OR(Y15="ocupação média",Y15="abaixo da meta")</formula>
    </cfRule>
  </conditionalFormatting>
  <conditionalFormatting sqref="Y15">
    <cfRule type="expression" dxfId="11" priority="45">
      <formula>OR(Y15="ociosidade alta",Y15="acima do limite")</formula>
    </cfRule>
  </conditionalFormatting>
  <conditionalFormatting sqref="T16">
    <cfRule type="expression" dxfId="10" priority="46">
      <formula>AND(ISNUMBER(T16),T16&gt;0)</formula>
    </cfRule>
  </conditionalFormatting>
  <conditionalFormatting sqref="T16">
    <cfRule type="expression" dxfId="11" priority="47">
      <formula>AND(ISNUMBER(T16),T16&lt;0)</formula>
    </cfRule>
  </conditionalFormatting>
  <conditionalFormatting sqref="Y16">
    <cfRule type="expression" dxfId="10" priority="48">
      <formula>OR(Y16="meta atingida",Y16="dentro do limite",Y16="ocupação alta",Y16="excede o contratado")</formula>
    </cfRule>
  </conditionalFormatting>
  <conditionalFormatting sqref="Y16">
    <cfRule type="expression" dxfId="12" priority="49">
      <formula>OR(Y16="ocupação média",Y16="abaixo da meta")</formula>
    </cfRule>
  </conditionalFormatting>
  <conditionalFormatting sqref="Y16">
    <cfRule type="expression" dxfId="11" priority="50">
      <formula>OR(Y16="ociosidade alta",Y16="acima do limite")</formula>
    </cfRule>
  </conditionalFormatting>
  <conditionalFormatting sqref="T17">
    <cfRule type="expression" dxfId="10" priority="51">
      <formula>AND(ISNUMBER(T17),T17&gt;0)</formula>
    </cfRule>
  </conditionalFormatting>
  <conditionalFormatting sqref="T17">
    <cfRule type="expression" dxfId="11" priority="52">
      <formula>AND(ISNUMBER(T17),T17&lt;0)</formula>
    </cfRule>
  </conditionalFormatting>
  <conditionalFormatting sqref="Y17">
    <cfRule type="expression" dxfId="10" priority="53">
      <formula>OR(Y17="meta atingida",Y17="dentro do limite",Y17="ocupação alta",Y17="excede o contratado")</formula>
    </cfRule>
  </conditionalFormatting>
  <conditionalFormatting sqref="Y17">
    <cfRule type="expression" dxfId="12" priority="54">
      <formula>OR(Y17="ocupação média",Y17="abaixo da meta")</formula>
    </cfRule>
  </conditionalFormatting>
  <conditionalFormatting sqref="Y17">
    <cfRule type="expression" dxfId="11" priority="55">
      <formula>OR(Y17="ociosidade alta",Y17="acima do limite")</formula>
    </cfRule>
  </conditionalFormatting>
  <conditionalFormatting sqref="T18">
    <cfRule type="expression" dxfId="10" priority="56">
      <formula>AND(ISNUMBER(T18),T18&gt;0)</formula>
    </cfRule>
  </conditionalFormatting>
  <conditionalFormatting sqref="T18">
    <cfRule type="expression" dxfId="11" priority="57">
      <formula>AND(ISNUMBER(T18),T18&lt;0)</formula>
    </cfRule>
  </conditionalFormatting>
  <conditionalFormatting sqref="Y18">
    <cfRule type="expression" dxfId="10" priority="58">
      <formula>OR(Y18="meta atingida",Y18="dentro do limite",Y18="ocupação alta",Y18="excede o contratado")</formula>
    </cfRule>
  </conditionalFormatting>
  <conditionalFormatting sqref="Y18">
    <cfRule type="expression" dxfId="12" priority="59">
      <formula>OR(Y18="ocupação média",Y18="abaixo da meta")</formula>
    </cfRule>
  </conditionalFormatting>
  <conditionalFormatting sqref="Y18">
    <cfRule type="expression" dxfId="11" priority="60">
      <formula>OR(Y18="ociosidade alta",Y18="acima do limite")</formula>
    </cfRule>
  </conditionalFormatting>
  <conditionalFormatting sqref="T19">
    <cfRule type="expression" dxfId="10" priority="61">
      <formula>AND(ISNUMBER(T19),T19&gt;0)</formula>
    </cfRule>
  </conditionalFormatting>
  <conditionalFormatting sqref="T19">
    <cfRule type="expression" dxfId="11" priority="62">
      <formula>AND(ISNUMBER(T19),T19&lt;0)</formula>
    </cfRule>
  </conditionalFormatting>
  <conditionalFormatting sqref="Y19">
    <cfRule type="expression" dxfId="10" priority="63">
      <formula>OR(Y19="meta atingida",Y19="dentro do limite",Y19="ocupação alta",Y19="excede o contratado")</formula>
    </cfRule>
  </conditionalFormatting>
  <conditionalFormatting sqref="Y19">
    <cfRule type="expression" dxfId="12" priority="64">
      <formula>OR(Y19="ocupação média",Y19="abaixo da meta")</formula>
    </cfRule>
  </conditionalFormatting>
  <conditionalFormatting sqref="Y19">
    <cfRule type="expression" dxfId="11" priority="65">
      <formula>OR(Y19="ociosidade alta",Y19="acima do limite")</formula>
    </cfRule>
  </conditionalFormatting>
  <conditionalFormatting sqref="T20">
    <cfRule type="expression" dxfId="10" priority="66">
      <formula>AND(ISNUMBER(T20),T20&gt;0)</formula>
    </cfRule>
  </conditionalFormatting>
  <conditionalFormatting sqref="T20">
    <cfRule type="expression" dxfId="11" priority="67">
      <formula>AND(ISNUMBER(T20),T20&lt;0)</formula>
    </cfRule>
  </conditionalFormatting>
  <conditionalFormatting sqref="Y20">
    <cfRule type="expression" dxfId="10" priority="68">
      <formula>OR(Y20="meta atingida",Y20="dentro do limite",Y20="ocupação alta",Y20="excede o contratado")</formula>
    </cfRule>
  </conditionalFormatting>
  <conditionalFormatting sqref="Y20">
    <cfRule type="expression" dxfId="12" priority="69">
      <formula>OR(Y20="ocupação média",Y20="abaixo da meta")</formula>
    </cfRule>
  </conditionalFormatting>
  <conditionalFormatting sqref="Y20">
    <cfRule type="expression" dxfId="11" priority="70">
      <formula>OR(Y20="ociosidade alta",Y20="acima do limite")</formula>
    </cfRule>
  </conditionalFormatting>
  <conditionalFormatting sqref="T21">
    <cfRule type="expression" dxfId="10" priority="71">
      <formula>AND(ISNUMBER(T21),T21&gt;0)</formula>
    </cfRule>
  </conditionalFormatting>
  <conditionalFormatting sqref="T21">
    <cfRule type="expression" dxfId="11" priority="72">
      <formula>AND(ISNUMBER(T21),T21&lt;0)</formula>
    </cfRule>
  </conditionalFormatting>
  <conditionalFormatting sqref="Y21">
    <cfRule type="expression" dxfId="10" priority="73">
      <formula>OR(Y21="meta atingida",Y21="dentro do limite",Y21="ocupação alta",Y21="excede o contratado")</formula>
    </cfRule>
  </conditionalFormatting>
  <conditionalFormatting sqref="Y21">
    <cfRule type="expression" dxfId="12" priority="74">
      <formula>OR(Y21="ocupação média",Y21="abaixo da meta")</formula>
    </cfRule>
  </conditionalFormatting>
  <conditionalFormatting sqref="Y21">
    <cfRule type="expression" dxfId="11" priority="75">
      <formula>OR(Y21="ociosidade alta",Y21="acima do limite")</formula>
    </cfRule>
  </conditionalFormatting>
  <conditionalFormatting sqref="T22">
    <cfRule type="expression" dxfId="10" priority="76">
      <formula>AND(ISNUMBER(T22),T22&gt;0)</formula>
    </cfRule>
  </conditionalFormatting>
  <conditionalFormatting sqref="T22">
    <cfRule type="expression" dxfId="11" priority="77">
      <formula>AND(ISNUMBER(T22),T22&lt;0)</formula>
    </cfRule>
  </conditionalFormatting>
  <conditionalFormatting sqref="Y22">
    <cfRule type="expression" dxfId="10" priority="78">
      <formula>OR(Y22="meta atingida",Y22="dentro do limite",Y22="ocupação alta",Y22="excede o contratado")</formula>
    </cfRule>
  </conditionalFormatting>
  <conditionalFormatting sqref="Y22">
    <cfRule type="expression" dxfId="12" priority="79">
      <formula>OR(Y22="ocupação média",Y22="abaixo da meta")</formula>
    </cfRule>
  </conditionalFormatting>
  <conditionalFormatting sqref="Y22">
    <cfRule type="expression" dxfId="11" priority="80">
      <formula>OR(Y22="ociosidade alta",Y22="acima do limite")</formula>
    </cfRule>
  </conditionalFormatting>
  <conditionalFormatting sqref="T23">
    <cfRule type="expression" dxfId="10" priority="81">
      <formula>AND(ISNUMBER(T23),T23&gt;0)</formula>
    </cfRule>
  </conditionalFormatting>
  <conditionalFormatting sqref="T23">
    <cfRule type="expression" dxfId="11" priority="82">
      <formula>AND(ISNUMBER(T23),T23&lt;0)</formula>
    </cfRule>
  </conditionalFormatting>
  <conditionalFormatting sqref="Y23">
    <cfRule type="expression" dxfId="10" priority="83">
      <formula>OR(Y23="meta atingida",Y23="dentro do limite",Y23="ocupação alta",Y23="excede o contratado")</formula>
    </cfRule>
  </conditionalFormatting>
  <conditionalFormatting sqref="Y23">
    <cfRule type="expression" dxfId="12" priority="84">
      <formula>OR(Y23="ocupação média",Y23="abaixo da meta")</formula>
    </cfRule>
  </conditionalFormatting>
  <conditionalFormatting sqref="Y23">
    <cfRule type="expression" dxfId="11" priority="85">
      <formula>OR(Y23="ociosidade alta",Y23="acima do limite")</formula>
    </cfRule>
  </conditionalFormatting>
  <conditionalFormatting sqref="T24">
    <cfRule type="expression" dxfId="10" priority="86">
      <formula>AND(ISNUMBER(T24),T24&lt;0)</formula>
    </cfRule>
  </conditionalFormatting>
  <conditionalFormatting sqref="T24">
    <cfRule type="expression" dxfId="11" priority="87">
      <formula>AND(ISNUMBER(T24),T24&gt;0)</formula>
    </cfRule>
  </conditionalFormatting>
  <conditionalFormatting sqref="Y24">
    <cfRule type="expression" dxfId="10" priority="88">
      <formula>OR(Y24="meta atingida",Y24="dentro do limite",Y24="ocupação alta",Y24="excede o contratado")</formula>
    </cfRule>
  </conditionalFormatting>
  <conditionalFormatting sqref="Y24">
    <cfRule type="expression" dxfId="12" priority="89">
      <formula>OR(Y24="ocupação média",Y24="abaixo da meta")</formula>
    </cfRule>
  </conditionalFormatting>
  <conditionalFormatting sqref="Y24">
    <cfRule type="expression" dxfId="11" priority="90">
      <formula>OR(Y24="ociosidade alta",Y24="acima do limite")</formula>
    </cfRule>
  </conditionalFormatting>
  <conditionalFormatting sqref="T25">
    <cfRule type="expression" dxfId="10" priority="91">
      <formula>AND(ISNUMBER(T25),T25&lt;0)</formula>
    </cfRule>
  </conditionalFormatting>
  <conditionalFormatting sqref="T25">
    <cfRule type="expression" dxfId="11" priority="92">
      <formula>AND(ISNUMBER(T25),T25&gt;0)</formula>
    </cfRule>
  </conditionalFormatting>
  <conditionalFormatting sqref="Y25">
    <cfRule type="expression" dxfId="10" priority="93">
      <formula>OR(Y25="meta atingida",Y25="dentro do limite",Y25="ocupação alta",Y25="excede o contratado")</formula>
    </cfRule>
  </conditionalFormatting>
  <conditionalFormatting sqref="Y25">
    <cfRule type="expression" dxfId="12" priority="94">
      <formula>OR(Y25="ocupação média",Y25="abaixo da meta")</formula>
    </cfRule>
  </conditionalFormatting>
  <conditionalFormatting sqref="Y25">
    <cfRule type="expression" dxfId="11" priority="95">
      <formula>OR(Y25="ociosidade alta",Y25="acima do limite")</formula>
    </cfRule>
  </conditionalFormatting>
  <conditionalFormatting sqref="T26">
    <cfRule type="expression" dxfId="10" priority="96">
      <formula>AND(ISNUMBER(T26),T26&lt;0)</formula>
    </cfRule>
  </conditionalFormatting>
  <conditionalFormatting sqref="T26">
    <cfRule type="expression" dxfId="11" priority="97">
      <formula>AND(ISNUMBER(T26),T26&gt;0)</formula>
    </cfRule>
  </conditionalFormatting>
  <conditionalFormatting sqref="Y26">
    <cfRule type="expression" dxfId="10" priority="98">
      <formula>OR(Y26="meta atingida",Y26="dentro do limite",Y26="ocupação alta",Y26="excede o contratado")</formula>
    </cfRule>
  </conditionalFormatting>
  <conditionalFormatting sqref="Y26">
    <cfRule type="expression" dxfId="12" priority="99">
      <formula>OR(Y26="ocupação média",Y26="abaixo da meta")</formula>
    </cfRule>
  </conditionalFormatting>
  <conditionalFormatting sqref="Y26">
    <cfRule type="expression" dxfId="11" priority="100">
      <formula>OR(Y26="ociosidade alta",Y26="acima do limite")</formula>
    </cfRule>
  </conditionalFormatting>
  <conditionalFormatting sqref="T27">
    <cfRule type="expression" dxfId="10" priority="101">
      <formula>AND(ISNUMBER(T27),T27&lt;0)</formula>
    </cfRule>
  </conditionalFormatting>
  <conditionalFormatting sqref="T27">
    <cfRule type="expression" dxfId="11" priority="102">
      <formula>AND(ISNUMBER(T27),T27&gt;0)</formula>
    </cfRule>
  </conditionalFormatting>
  <conditionalFormatting sqref="Y27">
    <cfRule type="expression" dxfId="10" priority="103">
      <formula>OR(Y27="meta atingida",Y27="dentro do limite",Y27="ocupação alta",Y27="excede o contratado")</formula>
    </cfRule>
  </conditionalFormatting>
  <conditionalFormatting sqref="Y27">
    <cfRule type="expression" dxfId="12" priority="104">
      <formula>OR(Y27="ocupação média",Y27="abaixo da meta")</formula>
    </cfRule>
  </conditionalFormatting>
  <conditionalFormatting sqref="Y27">
    <cfRule type="expression" dxfId="11" priority="105">
      <formula>OR(Y27="ociosidade alta",Y27="acima do limite")</formula>
    </cfRule>
  </conditionalFormatting>
  <conditionalFormatting sqref="Y28">
    <cfRule type="expression" dxfId="10" priority="106">
      <formula>OR(Y28="meta atingida",Y28="dentro do limite",Y28="ocupação alta",Y28="excede o contratado")</formula>
    </cfRule>
  </conditionalFormatting>
  <conditionalFormatting sqref="Y28">
    <cfRule type="expression" dxfId="12" priority="107">
      <formula>OR(Y28="ocupação média",Y28="abaixo da meta")</formula>
    </cfRule>
  </conditionalFormatting>
  <conditionalFormatting sqref="Y28">
    <cfRule type="expression" dxfId="11" priority="108">
      <formula>OR(Y28="ociosidade alta",Y28="acima do limite")</formula>
    </cfRule>
  </conditionalFormatting>
  <conditionalFormatting sqref="Y29">
    <cfRule type="expression" dxfId="10" priority="109">
      <formula>OR(Y29="meta atingida",Y29="dentro do limite",Y29="ocupação alta",Y29="excede o contratado")</formula>
    </cfRule>
  </conditionalFormatting>
  <conditionalFormatting sqref="Y29">
    <cfRule type="expression" dxfId="12" priority="110">
      <formula>OR(Y29="ocupação média",Y29="abaixo da meta")</formula>
    </cfRule>
  </conditionalFormatting>
  <conditionalFormatting sqref="Y29">
    <cfRule type="expression" dxfId="11" priority="111">
      <formula>OR(Y29="ociosidade alta",Y29="acima do limite")</formula>
    </cfRule>
  </conditionalFormatting>
  <conditionalFormatting sqref="Y30">
    <cfRule type="expression" dxfId="10" priority="112">
      <formula>OR(Y30="meta atingida",Y30="dentro do limite",Y30="ocupação alta",Y30="excede o contratado")</formula>
    </cfRule>
  </conditionalFormatting>
  <conditionalFormatting sqref="Y30">
    <cfRule type="expression" dxfId="12" priority="113">
      <formula>OR(Y30="ocupação média",Y30="abaixo da meta")</formula>
    </cfRule>
  </conditionalFormatting>
  <conditionalFormatting sqref="Y30">
    <cfRule type="expression" dxfId="11" priority="114">
      <formula>OR(Y30="ociosidade alta",Y30="acima do limite")</formula>
    </cfRule>
  </conditionalFormatting>
  <conditionalFormatting sqref="T31">
    <cfRule type="expression" dxfId="10" priority="115">
      <formula>AND(ISNUMBER(T31),T31&gt;0)</formula>
    </cfRule>
  </conditionalFormatting>
  <conditionalFormatting sqref="T31">
    <cfRule type="expression" dxfId="11" priority="116">
      <formula>AND(ISNUMBER(T31),T31&lt;0)</formula>
    </cfRule>
  </conditionalFormatting>
  <conditionalFormatting sqref="Y31">
    <cfRule type="expression" dxfId="10" priority="117">
      <formula>OR(Y31="meta atingida",Y31="dentro do limite",Y31="ocupação alta",Y31="excede o contratado")</formula>
    </cfRule>
  </conditionalFormatting>
  <conditionalFormatting sqref="Y31">
    <cfRule type="expression" dxfId="12" priority="118">
      <formula>OR(Y31="ocupação média",Y31="abaixo da meta")</formula>
    </cfRule>
  </conditionalFormatting>
  <conditionalFormatting sqref="Y31">
    <cfRule type="expression" dxfId="11" priority="119">
      <formula>OR(Y31="ociosidade alta",Y31="acima do limite")</formula>
    </cfRule>
  </conditionalFormatting>
  <conditionalFormatting sqref="T32">
    <cfRule type="expression" dxfId="10" priority="120">
      <formula>AND(ISNUMBER(T32),T32&lt;0)</formula>
    </cfRule>
  </conditionalFormatting>
  <conditionalFormatting sqref="T32">
    <cfRule type="expression" dxfId="11" priority="121">
      <formula>AND(ISNUMBER(T32),T32&gt;0)</formula>
    </cfRule>
  </conditionalFormatting>
  <conditionalFormatting sqref="Y32">
    <cfRule type="expression" dxfId="10" priority="122">
      <formula>OR(Y32="meta atingida",Y32="dentro do limite",Y32="ocupação alta",Y32="excede o contratado")</formula>
    </cfRule>
  </conditionalFormatting>
  <conditionalFormatting sqref="Y32">
    <cfRule type="expression" dxfId="12" priority="123">
      <formula>OR(Y32="ocupação média",Y32="abaixo da meta")</formula>
    </cfRule>
  </conditionalFormatting>
  <conditionalFormatting sqref="Y32">
    <cfRule type="expression" dxfId="11" priority="124">
      <formula>OR(Y32="ociosidade alta",Y32="acima do limite")</formula>
    </cfRule>
  </conditionalFormatting>
  <conditionalFormatting sqref="T33">
    <cfRule type="expression" dxfId="10" priority="125">
      <formula>AND(ISNUMBER(T33),T33&lt;0)</formula>
    </cfRule>
  </conditionalFormatting>
  <conditionalFormatting sqref="T33">
    <cfRule type="expression" dxfId="11" priority="126">
      <formula>AND(ISNUMBER(T33),T33&gt;0)</formula>
    </cfRule>
  </conditionalFormatting>
  <conditionalFormatting sqref="Y33">
    <cfRule type="expression" dxfId="10" priority="127">
      <formula>OR(Y33="meta atingida",Y33="dentro do limite",Y33="ocupação alta",Y33="excede o contratado")</formula>
    </cfRule>
  </conditionalFormatting>
  <conditionalFormatting sqref="Y33">
    <cfRule type="expression" dxfId="12" priority="128">
      <formula>OR(Y33="ocupação média",Y33="abaixo da meta")</formula>
    </cfRule>
  </conditionalFormatting>
  <conditionalFormatting sqref="Y33">
    <cfRule type="expression" dxfId="11" priority="129">
      <formula>OR(Y33="ociosidade alta",Y33="acima do limite")</formula>
    </cfRule>
  </conditionalFormatting>
  <conditionalFormatting sqref="Y34">
    <cfRule type="expression" dxfId="10" priority="130">
      <formula>OR(Y34="meta atingida",Y34="dentro do limite",Y34="ocupação alta",Y34="excede o contratado")</formula>
    </cfRule>
  </conditionalFormatting>
  <conditionalFormatting sqref="Y34">
    <cfRule type="expression" dxfId="12" priority="131">
      <formula>OR(Y34="ocupação média",Y34="abaixo da meta")</formula>
    </cfRule>
  </conditionalFormatting>
  <conditionalFormatting sqref="Y34">
    <cfRule type="expression" dxfId="11" priority="132">
      <formula>OR(Y34="ociosidade alta",Y34="acima do limite")</formula>
    </cfRule>
  </conditionalFormatting>
  <conditionalFormatting sqref="Y35">
    <cfRule type="expression" dxfId="10" priority="133">
      <formula>OR(Y35="meta atingida",Y35="dentro do limite",Y35="ocupação alta",Y35="excede o contratado")</formula>
    </cfRule>
  </conditionalFormatting>
  <conditionalFormatting sqref="Y35">
    <cfRule type="expression" dxfId="12" priority="134">
      <formula>OR(Y35="ocupação média",Y35="abaixo da meta")</formula>
    </cfRule>
  </conditionalFormatting>
  <conditionalFormatting sqref="Y35">
    <cfRule type="expression" dxfId="11" priority="135">
      <formula>OR(Y35="ociosidade alta",Y35="acima do limite")</formula>
    </cfRule>
  </conditionalFormatting>
  <conditionalFormatting sqref="T36">
    <cfRule type="expression" dxfId="10" priority="136">
      <formula>AND(ISNUMBER(T36),T36&lt;0)</formula>
    </cfRule>
  </conditionalFormatting>
  <conditionalFormatting sqref="T36">
    <cfRule type="expression" dxfId="11" priority="137">
      <formula>AND(ISNUMBER(T36),T36&gt;0)</formula>
    </cfRule>
  </conditionalFormatting>
  <conditionalFormatting sqref="Y36">
    <cfRule type="expression" dxfId="10" priority="138">
      <formula>OR(Y36="meta atingida",Y36="dentro do limite",Y36="ocupação alta",Y36="excede o contratado")</formula>
    </cfRule>
  </conditionalFormatting>
  <conditionalFormatting sqref="Y36">
    <cfRule type="expression" dxfId="12" priority="139">
      <formula>OR(Y36="ocupação média",Y36="abaixo da meta")</formula>
    </cfRule>
  </conditionalFormatting>
  <conditionalFormatting sqref="Y36">
    <cfRule type="expression" dxfId="11" priority="140">
      <formula>OR(Y36="ociosidade alta",Y36="acima do limite")</formula>
    </cfRule>
  </conditionalFormatting>
  <conditionalFormatting sqref="T37">
    <cfRule type="expression" dxfId="10" priority="141">
      <formula>AND(ISNUMBER(T37),T37&lt;0)</formula>
    </cfRule>
  </conditionalFormatting>
  <conditionalFormatting sqref="T37">
    <cfRule type="expression" dxfId="11" priority="142">
      <formula>AND(ISNUMBER(T37),T37&gt;0)</formula>
    </cfRule>
  </conditionalFormatting>
  <conditionalFormatting sqref="Y37">
    <cfRule type="expression" dxfId="10" priority="143">
      <formula>OR(Y37="meta atingida",Y37="dentro do limite",Y37="ocupação alta",Y37="excede o contratado")</formula>
    </cfRule>
  </conditionalFormatting>
  <conditionalFormatting sqref="Y37">
    <cfRule type="expression" dxfId="12" priority="144">
      <formula>OR(Y37="ocupação média",Y37="abaixo da meta")</formula>
    </cfRule>
  </conditionalFormatting>
  <conditionalFormatting sqref="Y37">
    <cfRule type="expression" dxfId="11" priority="145">
      <formula>OR(Y37="ociosidade alta",Y37="acima do limite")</formula>
    </cfRule>
  </conditionalFormatting>
  <conditionalFormatting sqref="T38">
    <cfRule type="expression" dxfId="10" priority="146">
      <formula>AND(ISNUMBER(T38),T38&lt;0)</formula>
    </cfRule>
  </conditionalFormatting>
  <conditionalFormatting sqref="T38">
    <cfRule type="expression" dxfId="11" priority="147">
      <formula>AND(ISNUMBER(T38),T38&gt;0)</formula>
    </cfRule>
  </conditionalFormatting>
  <conditionalFormatting sqref="Y38">
    <cfRule type="expression" dxfId="10" priority="148">
      <formula>OR(Y38="meta atingida",Y38="dentro do limite",Y38="ocupação alta",Y38="excede o contratado")</formula>
    </cfRule>
  </conditionalFormatting>
  <conditionalFormatting sqref="Y38">
    <cfRule type="expression" dxfId="12" priority="149">
      <formula>OR(Y38="ocupação média",Y38="abaixo da meta")</formula>
    </cfRule>
  </conditionalFormatting>
  <conditionalFormatting sqref="Y38">
    <cfRule type="expression" dxfId="11" priority="150">
      <formula>OR(Y38="ociosidade alta",Y38="acima do limite")</formula>
    </cfRule>
  </conditionalFormatting>
  <conditionalFormatting sqref="T39">
    <cfRule type="expression" dxfId="10" priority="151">
      <formula>AND(ISNUMBER(T39),T39&lt;0)</formula>
    </cfRule>
  </conditionalFormatting>
  <conditionalFormatting sqref="T39">
    <cfRule type="expression" dxfId="11" priority="152">
      <formula>AND(ISNUMBER(T39),T39&gt;0)</formula>
    </cfRule>
  </conditionalFormatting>
  <conditionalFormatting sqref="Y39">
    <cfRule type="expression" dxfId="10" priority="153">
      <formula>OR(Y39="meta atingida",Y39="dentro do limite",Y39="ocupação alta",Y39="excede o contratado")</formula>
    </cfRule>
  </conditionalFormatting>
  <conditionalFormatting sqref="Y39">
    <cfRule type="expression" dxfId="12" priority="154">
      <formula>OR(Y39="ocupação média",Y39="abaixo da meta")</formula>
    </cfRule>
  </conditionalFormatting>
  <conditionalFormatting sqref="Y39">
    <cfRule type="expression" dxfId="11" priority="155">
      <formula>OR(Y39="ociosidade alta",Y39="acima do limite")</formula>
    </cfRule>
  </conditionalFormatting>
  <dataValidations count="2">
    <dataValidation type="list" allowBlank="1" showInputMessage="1" showErrorMessage="1" promptTitle="Mês" prompt="Escolha o mês do ano. Toda a aba se atualiza." errorTitle="Valor inválido" error="Escolha um mês da lista." sqref="V1">
      <formula1>calculos!$AN$12:$AN$23</formula1>
    </dataValidation>
    <dataValidation type="list" allowBlank="1" showInputMessage="1" showErrorMessage="1" promptTitle="Cliente" prompt="Filtro próprio do Consol Mensal (quadro e resumo por cliente)." errorTitle="Valor inválido" error="Escolha um valor da lista." sqref="D3">
      <formula1>OFFSET(calculos!$AP$12,0,0,1+calculos!$AP$10,1)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BE384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40" max="40" width="20" customWidth="1"/>
    <col min="42" max="42" width="22" customWidth="1"/>
    <col min="43" max="43" width="12" customWidth="1"/>
    <col min="45" max="45" width="52" customWidth="1"/>
    <col min="48" max="48" width="14" customWidth="1"/>
    <col min="50" max="50" width="20" customWidth="1"/>
    <col min="52" max="52" width="11" customWidth="1"/>
    <col min="53" max="53" width="11" customWidth="1"/>
    <col min="54" max="54" width="11" customWidth="1"/>
    <col min="55" max="55" width="11" customWidth="1"/>
    <col min="57" max="57" width="11" customWidth="1"/>
  </cols>
  <sheetData>
    <row r="1">
      <c r="A1" s="37" t="inlineStr">
        <is>
          <t xml:space="preserve">CÁLCULOS — base da aba Dashboard (período digitado; gráficos no mês do dia inicial) · gerado automaticamente</t>
        </is>
      </c>
    </row>
    <row r="2">
      <c r="A2" s="38" t="inlineStr">
        <is>
          <t xml:space="preserve">Cliente selecionado</t>
        </is>
      </c>
      <c r="B2" s="38" t="str">
        <f>IF(OR(Dashboard!$D$3="",Dashboard!$D$3="Todos"),"Todos",Dashboard!$D$3)</f>
        <v>Todos</v>
      </c>
      <c r="C2" s="39">
        <f>IF(LEFT($B$2,9)="Depósito ",2,1)</f>
        <v>1</v>
      </c>
      <c r="D2" s="40" t="str">
        <f>IF($C$2=2,MID($B$2,10,60),$B$2)</f>
        <v>Todos</v>
      </c>
      <c r="E2" s="40" t="str">
        <f>IFERROR(INDEX($AQ$12:$AQ$32,MATCH($B$2,$AP$12:$AP$32,0)),"")</f>
        <v>TPC</v>
      </c>
    </row>
    <row r="3">
      <c r="A3" s="38" t="inlineStr">
        <is>
          <t xml:space="preserve">Capacidade (posições)</t>
        </is>
      </c>
      <c r="B3" s="41">
        <f>SUM($AW$13:$AW$13)</f>
        <v>23040</v>
      </c>
      <c r="C3" s="36" t="inlineStr">
        <is>
          <t xml:space="preserve">soma dos depósitos (tabela de capacidade à direita, células amarelas)</t>
        </is>
      </c>
    </row>
    <row r="4">
      <c r="A4" s="36" t="inlineStr">
        <is>
          <t xml:space="preserve">Capacidade (repetida p/ fórmulas)</t>
        </is>
      </c>
      <c r="B4" s="42">
        <f>$B$3</f>
        <v>23040</v>
      </c>
    </row>
    <row r="5">
      <c r="A5" s="38" t="inlineStr">
        <is>
          <t xml:space="preserve">Faixa de atenção (ocupação)</t>
        </is>
      </c>
      <c r="B5" s="43">
        <f>N(Config!$C$97)</f>
        <v>0.7</v>
      </c>
      <c r="C5" s="36" t="inlineStr">
        <is>
          <t xml:space="preserve">parâmetros na aba Config</t>
        </is>
      </c>
    </row>
    <row r="6">
      <c r="A6" s="38" t="inlineStr">
        <is>
          <t xml:space="preserve">Faixa crítica (ocupação)</t>
        </is>
      </c>
      <c r="B6" s="43">
        <f>N(Config!$C$98)</f>
        <v>0.9</v>
      </c>
    </row>
    <row r="7">
      <c r="A7" s="38" t="inlineStr">
        <is>
          <t xml:space="preserve">Competência</t>
        </is>
      </c>
      <c r="B7" s="45" t="str">
        <f>INDEX({"Janeiro","Fevereiro","Março","Abril","Maio","Junho","Julho","Agosto","Setembro","Outubro","Novembro","Dezembro"},MONTH($C$7))&amp;"/"&amp;YEAR($C$7)</f>
        <v>Outubro/2026</v>
      </c>
      <c r="C7" s="44">
        <f>IF(ISNUMBER(Dashboard!$Q$3),DATE(YEAR(Dashboard!$Q$3),MONTH(Dashboard!$Q$3),1),IFERROR(DATE(VALUE(RIGHT(TRIM(Dashboard!$Q$3),4)),MATCH(TRIM(LEFT(Dashboard!$Q$3,FIND("·",Dashboard!$Q$3)-1)),{"JANEIRO","FEVEREIRO","MARÇO","ABRIL","MAIO","JUNHO","JULHO","AGOSTO","SETEMBRO","OUTUBRO","NOVEMBRO","DEZEMBRO"},0),1),DATE(2026,10,1)))</f>
        <v>46296</v>
      </c>
      <c r="D7" s="44">
        <f>DATE(YEAR($C$7),MONTH($C$7)+1,0)</f>
        <v>46326</v>
      </c>
      <c r="E7" s="38" t="inlineStr">
        <is>
          <t xml:space="preserve">Período (cards)</t>
        </is>
      </c>
      <c r="F7" s="44">
        <f>IF(ISNUMBER(Dashboard!$Q$3),Dashboard!$Q$3,$C$7)</f>
        <v>46296</v>
      </c>
      <c r="G7" s="44">
        <f>IF(ISNUMBER(Dashboard!$V$3),MAX(Dashboard!$V$3,$F$7),$D$7)</f>
        <v>46326</v>
      </c>
    </row>
    <row r="8">
      <c r="A8" s="38" t="inlineStr">
        <is>
          <t xml:space="preserve">Mês anterior (comparação)</t>
        </is>
      </c>
      <c r="B8" s="45" t="str">
        <f>INDEX({"Janeiro","Fevereiro","Março","Abril","Maio","Junho","Julho","Agosto","Setembro","Outubro","Novembro","Dezembro"},MONTH($C$8))&amp;"/"&amp;YEAR($C$8)</f>
        <v>Setembro/2026</v>
      </c>
      <c r="C8" s="44">
        <f>DATE(YEAR($C$7),MONTH($C$7)-1,1)</f>
        <v>46266</v>
      </c>
      <c r="D8" s="44">
        <f>IF($B$9=0,$C$8-1,$C$8+MIN($B$9,DAY($C$7-1))-1)</f>
        <v>46265</v>
      </c>
      <c r="E8" s="38" t="inlineStr">
        <is>
          <t xml:space="preserve">Período anterior</t>
        </is>
      </c>
      <c r="F8" s="44">
        <f>$F$7-($G$7-$F$7+1)</f>
        <v>46265</v>
      </c>
      <c r="G8" s="44">
        <f>$F$7-1</f>
        <v>46295</v>
      </c>
    </row>
    <row r="9">
      <c r="A9" s="38" t="inlineStr">
        <is>
          <t xml:space="preserve">Último dia com dado no mês</t>
        </is>
      </c>
      <c r="B9" s="46">
        <f>IF(COUNTIFS(BD!$A$3:$A$5001,"&gt;="&amp;$C$7,BD!$A$3:$A$5001,"&lt;="&amp;$D$7)=0,0,DAY(_xlfn.MAXIFS(BD!$A$3:$A$5001,BD!$A$3:$A$5001,"&gt;="&amp;$C$7,BD!$A$3:$A$5001,"&lt;="&amp;$D$7)))</f>
        <v>0</v>
      </c>
      <c r="C9" s="36" t="inlineStr">
        <is>
          <t xml:space="preserve">o mês anterior é comparado do dia 1 até este dia</t>
        </is>
      </c>
    </row>
    <row r="10">
      <c r="AO10" s="48" t="inlineStr">
        <is>
          <t xml:space="preserve">clientes</t>
        </is>
      </c>
      <c r="AP10" s="49">
        <f>MAX(1,$AR$32)</f>
        <v>10</v>
      </c>
    </row>
    <row r="11" ht="40" customHeight="1">
      <c r="A11" s="47" t="inlineStr">
        <is>
          <t xml:space="preserve">Dia</t>
        </is>
      </c>
      <c r="B11" s="47" t="inlineStr">
        <is>
          <t xml:space="preserve">Data</t>
        </is>
      </c>
      <c r="C11" s="47" t="inlineStr">
        <is>
          <t xml:space="preserve">IN Veículos Recebidos</t>
        </is>
      </c>
      <c r="D11" s="47" t="inlineStr">
        <is>
          <t xml:space="preserve">IN Pallets Movimentados</t>
        </is>
      </c>
      <c r="E11" s="47" t="inlineStr">
        <is>
          <t xml:space="preserve">IN Toneladas Movimentadas</t>
        </is>
      </c>
      <c r="F11" s="47" t="inlineStr">
        <is>
          <t xml:space="preserve">IN Linhas NF</t>
        </is>
      </c>
      <c r="G11" s="47" t="inlineStr">
        <is>
          <t xml:space="preserve">IN Caixas Movimentadas</t>
        </is>
      </c>
      <c r="H11" s="47" t="inlineStr">
        <is>
          <t xml:space="preserve">IN Itens Recebidos</t>
        </is>
      </c>
      <c r="I11" s="47" t="inlineStr">
        <is>
          <t xml:space="preserve">IN Itens Recebidos CX Mista</t>
        </is>
      </c>
      <c r="J11" s="47" t="inlineStr">
        <is>
          <t xml:space="preserve">IN Caixas Fechadas</t>
        </is>
      </c>
      <c r="K11" s="47" t="inlineStr">
        <is>
          <t xml:space="preserve">IN Caixas Mistas Recebidas</t>
        </is>
      </c>
      <c r="L11" s="47" t="inlineStr">
        <is>
          <t xml:space="preserve">OUT Veículos Expedidos</t>
        </is>
      </c>
      <c r="M11" s="47" t="inlineStr">
        <is>
          <t xml:space="preserve">OUT Pedidos Expedidos</t>
        </is>
      </c>
      <c r="N11" s="47" t="inlineStr">
        <is>
          <t xml:space="preserve">OUT Pedidos Faturados</t>
        </is>
      </c>
      <c r="O11" s="47" t="inlineStr">
        <is>
          <t xml:space="preserve">OUT Itens Expedidos</t>
        </is>
      </c>
      <c r="P11" s="47" t="inlineStr">
        <is>
          <t xml:space="preserve">OUT Linhas NF</t>
        </is>
      </c>
      <c r="Q11" s="47" t="inlineStr">
        <is>
          <t xml:space="preserve">OUT Caixas Expedidas</t>
        </is>
      </c>
      <c r="R11" s="47" t="inlineStr">
        <is>
          <t xml:space="preserve">OUT Pallets Movimentados</t>
        </is>
      </c>
      <c r="S11" s="47" t="inlineStr">
        <is>
          <t xml:space="preserve">OUT Toneladas Movimentadas</t>
        </is>
      </c>
      <c r="T11" s="47" t="inlineStr">
        <is>
          <t xml:space="preserve">NC Incidentes</t>
        </is>
      </c>
      <c r="U11" s="47" t="inlineStr">
        <is>
          <t xml:space="preserve">NC No show</t>
        </is>
      </c>
      <c r="V11" s="47" t="inlineStr">
        <is>
          <t xml:space="preserve">NC Backlog Intralog</t>
        </is>
      </c>
      <c r="W11" s="47" t="inlineStr">
        <is>
          <t xml:space="preserve">NC Backlog Cliente</t>
        </is>
      </c>
      <c r="X11" s="47" t="inlineStr">
        <is>
          <t xml:space="preserve">OCUPAÇÃO (P.P) Posições Disponíveis</t>
        </is>
      </c>
      <c r="Y11" s="47" t="inlineStr">
        <is>
          <t xml:space="preserve">OCUPAÇÃO (P.P) Posições Ocupadas</t>
        </is>
      </c>
      <c r="Z11" s="47" t="inlineStr">
        <is>
          <t xml:space="preserve">OCUPAÇÃO (P.P) Taxa de Ocupação</t>
        </is>
      </c>
      <c r="AA11" s="47" t="inlineStr">
        <is>
          <t xml:space="preserve">GENTE Efetivo Op.</t>
        </is>
      </c>
      <c r="AB11" s="47" t="inlineStr">
        <is>
          <t xml:space="preserve">GENTE Falta</t>
        </is>
      </c>
      <c r="AC11" s="47" t="inlineStr">
        <is>
          <t xml:space="preserve">GENTE Absenteísmo (H/H)</t>
        </is>
      </c>
      <c r="AD11" s="47" t="inlineStr">
        <is>
          <t xml:space="preserve">GENTE Folga</t>
        </is>
      </c>
      <c r="AE11" s="47" t="inlineStr">
        <is>
          <t xml:space="preserve">GENTE Férias</t>
        </is>
      </c>
      <c r="AF11" s="47" t="inlineStr">
        <is>
          <t xml:space="preserve">GENTE Desligamento</t>
        </is>
      </c>
      <c r="AG11" s="47" t="inlineStr">
        <is>
          <t xml:space="preserve">GENTE Desvios Comportamentais</t>
        </is>
      </c>
      <c r="AH11" s="47" t="inlineStr">
        <is>
          <t xml:space="preserve">GENTE Acidentes CAF</t>
        </is>
      </c>
      <c r="AI11" s="47" t="inlineStr">
        <is>
          <t xml:space="preserve">GENTE Acidentes SAF</t>
        </is>
      </c>
      <c r="AJ11" s="47" t="inlineStr">
        <is>
          <t xml:space="preserve">Faixa atenção</t>
        </is>
      </c>
      <c r="AK11" s="47" t="inlineStr">
        <is>
          <t xml:space="preserve">Faixa crítica</t>
        </is>
      </c>
      <c r="AN11" s="47" t="inlineStr">
        <is>
          <t xml:space="preserve">Meses (filtros das abas)</t>
        </is>
      </c>
      <c r="AP11" s="47" t="inlineStr">
        <is>
          <t xml:space="preserve">Filtro: depósito / cliente</t>
        </is>
      </c>
      <c r="AQ11" s="47" t="inlineStr">
        <is>
          <t xml:space="preserve">Depósito</t>
        </is>
      </c>
      <c r="AR11" s="47" t="inlineStr">
        <is>
          <t xml:space="preserve">Nº (vagas)</t>
        </is>
      </c>
      <c r="AS11" s="47" t="inlineStr">
        <is>
          <t xml:space="preserve">Títulos dos gráficos (seguem os filtros)</t>
        </is>
      </c>
      <c r="AZ11" s="47" t="inlineStr">
        <is>
          <t xml:space="preserve">Gráf A IN (diário)</t>
        </is>
      </c>
      <c r="BA11" s="47" t="inlineStr">
        <is>
          <t xml:space="preserve">Gráf A OUT (diário)</t>
        </is>
      </c>
      <c r="BB11" s="47" t="inlineStr">
        <is>
          <t xml:space="preserve">Gráf B IN (diário)</t>
        </is>
      </c>
      <c r="BC11" s="47" t="inlineStr">
        <is>
          <t xml:space="preserve">Gráf B OUT (diário)</t>
        </is>
      </c>
      <c r="BE11" s="47" t="inlineStr">
        <is>
          <t xml:space="preserve">Rótulo contrato (último dia)</t>
        </is>
      </c>
    </row>
    <row r="12">
      <c r="A12" s="39">
        <v>1</v>
      </c>
      <c r="B12" s="57">
        <f>IF($A12&lt;=DAY($D$7),$C$7+$A12-1,"")</f>
        <v>46296</v>
      </c>
      <c r="C12" s="42">
        <f>IF($B12="","",IF($B$2="Todos",SUMIFS(BD!$C$3:$C$5001,BD!$A$3:$A$5001,$B12),SUMIFS(BD!$C$3:$C$5001,BD!$A$3:$A$5001,$B12,BD!$B$3:$B$5001,$D$2)))</f>
        <v>0</v>
      </c>
      <c r="D12" s="42">
        <f>IF($B12="","",IF($B$2="Todos",SUMIFS(BD!$D$3:$D$5001,BD!$A$3:$A$5001,$B12),SUMIFS(BD!$D$3:$D$5001,BD!$A$3:$A$5001,$B12,BD!$B$3:$B$5001,$D$2)))</f>
        <v>0</v>
      </c>
      <c r="E12" s="58">
        <f>IF($B12="","",IF($B$2="Todos",SUMIFS(BD!$E$3:$E$5001,BD!$A$3:$A$5001,$B12),SUMIFS(BD!$E$3:$E$5001,BD!$A$3:$A$5001,$B12,BD!$B$3:$B$5001,$D$2)))</f>
        <v>0</v>
      </c>
      <c r="F12" s="42">
        <f>IF($B12="","",IF($B$2="Todos",SUMIFS(BD!$F$3:$F$5001,BD!$A$3:$A$5001,$B12),SUMIFS(BD!$F$3:$F$5001,BD!$A$3:$A$5001,$B12,BD!$B$3:$B$5001,$D$2)))</f>
        <v>0</v>
      </c>
      <c r="G12" s="42">
        <f>IF($B12="","",IF($B$2="Todos",SUMIFS(BD!$G$3:$G$5001,BD!$A$3:$A$5001,$B12),SUMIFS(BD!$G$3:$G$5001,BD!$A$3:$A$5001,$B12,BD!$B$3:$B$5001,$D$2)))</f>
        <v>0</v>
      </c>
      <c r="H12" s="42">
        <f>IF($B12="","",IF($B$2="Todos",SUMIFS(BD!$H$3:$H$5001,BD!$A$3:$A$5001,$B12),SUMIFS(BD!$H$3:$H$5001,BD!$A$3:$A$5001,$B12,BD!$B$3:$B$5001,$D$2)))</f>
        <v>0</v>
      </c>
      <c r="I12" s="42">
        <f>IF($B12="","",IF($B$2="Todos",SUMIFS(BD!$I$3:$I$5001,BD!$A$3:$A$5001,$B12),SUMIFS(BD!$I$3:$I$5001,BD!$A$3:$A$5001,$B12,BD!$B$3:$B$5001,$D$2)))</f>
        <v>0</v>
      </c>
      <c r="J12" s="42">
        <f>IF($B12="","",IF($B$2="Todos",SUMIFS(BD!$J$3:$J$5001,BD!$A$3:$A$5001,$B12),SUMIFS(BD!$J$3:$J$5001,BD!$A$3:$A$5001,$B12,BD!$B$3:$B$5001,$D$2)))</f>
        <v>0</v>
      </c>
      <c r="K12" s="42">
        <f>IF($B12="","",IF($B$2="Todos",SUMIFS(BD!$K$3:$K$5001,BD!$A$3:$A$5001,$B12),SUMIFS(BD!$K$3:$K$5001,BD!$A$3:$A$5001,$B12,BD!$B$3:$B$5001,$D$2)))</f>
        <v>0</v>
      </c>
      <c r="L12" s="42">
        <f>IF($B12="","",IF($B$2="Todos",SUMIFS(BD!$L$3:$L$5001,BD!$A$3:$A$5001,$B12),SUMIFS(BD!$L$3:$L$5001,BD!$A$3:$A$5001,$B12,BD!$B$3:$B$5001,$D$2)))</f>
        <v>0</v>
      </c>
      <c r="M12" s="42">
        <f>IF($B12="","",IF($B$2="Todos",SUMIFS(BD!$M$3:$M$5001,BD!$A$3:$A$5001,$B12),SUMIFS(BD!$M$3:$M$5001,BD!$A$3:$A$5001,$B12,BD!$B$3:$B$5001,$D$2)))</f>
        <v>0</v>
      </c>
      <c r="N12" s="42">
        <f>IF($B12="","",IF($B$2="Todos",SUMIFS(BD!$N$3:$N$5001,BD!$A$3:$A$5001,$B12),SUMIFS(BD!$N$3:$N$5001,BD!$A$3:$A$5001,$B12,BD!$B$3:$B$5001,$D$2)))</f>
        <v>0</v>
      </c>
      <c r="O12" s="42">
        <f>IF($B12="","",IF($B$2="Todos",SUMIFS(BD!$O$3:$O$5001,BD!$A$3:$A$5001,$B12),SUMIFS(BD!$O$3:$O$5001,BD!$A$3:$A$5001,$B12,BD!$B$3:$B$5001,$D$2)))</f>
        <v>0</v>
      </c>
      <c r="P12" s="42">
        <f>IF($B12="","",IF($B$2="Todos",SUMIFS(BD!$P$3:$P$5001,BD!$A$3:$A$5001,$B12),SUMIFS(BD!$P$3:$P$5001,BD!$A$3:$A$5001,$B12,BD!$B$3:$B$5001,$D$2)))</f>
        <v>0</v>
      </c>
      <c r="Q12" s="42">
        <f>IF($B12="","",IF($B$2="Todos",SUMIFS(BD!$Q$3:$Q$5001,BD!$A$3:$A$5001,$B12),SUMIFS(BD!$Q$3:$Q$5001,BD!$A$3:$A$5001,$B12,BD!$B$3:$B$5001,$D$2)))</f>
        <v>0</v>
      </c>
      <c r="R12" s="42">
        <f>IF($B12="","",IF($B$2="Todos",SUMIFS(BD!$R$3:$R$5001,BD!$A$3:$A$5001,$B12),SUMIFS(BD!$R$3:$R$5001,BD!$A$3:$A$5001,$B12,BD!$B$3:$B$5001,$D$2)))</f>
        <v>0</v>
      </c>
      <c r="S12" s="58">
        <f>IF($B12="","",IF($B$2="Todos",SUMIFS(BD!$S$3:$S$5001,BD!$A$3:$A$5001,$B12),SUMIFS(BD!$S$3:$S$5001,BD!$A$3:$A$5001,$B12,BD!$B$3:$B$5001,$D$2)))</f>
        <v>0</v>
      </c>
      <c r="T12" s="42">
        <f>IF($B12="","",IF($B$2="Todos",SUMIFS(BD!$T$3:$T$5001,BD!$A$3:$A$5001,$B12),SUMIFS(BD!$T$3:$T$5001,BD!$A$3:$A$5001,$B12,BD!$B$3:$B$5001,$D$2)))</f>
        <v>0</v>
      </c>
      <c r="U12" s="42">
        <f>IF($B12="","",IF($B$2="Todos",SUMIFS(BD!$U$3:$U$5001,BD!$A$3:$A$5001,$B12),SUMIFS(BD!$U$3:$U$5001,BD!$A$3:$A$5001,$B12,BD!$B$3:$B$5001,$D$2)))</f>
        <v>0</v>
      </c>
      <c r="V12" s="42" t="str">
        <f>IF($B$2="Todos",IF(COUNT($C$141:$V$141)=0,"",SUM($C$141:$V$141)),IFERROR(INDEX($C$141:$V$141,MATCH($D$2,$C$140:$V$140,0)),""))</f>
        <v/>
      </c>
      <c r="W12" s="42" t="str">
        <f>IF($B$2="Todos",IF(COUNT($C$176:$V$176)=0,"",SUM($C$176:$V$176)),IFERROR(INDEX($C$176:$V$176,MATCH($D$2,$C$175:$V$175,0)),""))</f>
        <v/>
      </c>
      <c r="X12" s="59" t="str">
        <f>IF(Y12="","",IF($B$2="Todos",IF($B$4&gt;0,$B$4,IF($B$2="Todos",IF(COUNT($C$246:$V$246)=0,"",SUM($C$246:$V$246)),IFERROR(INDEX($C$246:$V$246,MATCH($D$2,$C$245:$V$245,0)),""))),IFERROR(INDEX($C$246:$V$246,MATCH($D$2,$C$245:$V$245,0)),"")))</f>
        <v/>
      </c>
      <c r="Y12" s="42" t="str">
        <f>IF($B$2="Todos",IF(COUNT($C$211:$V$211)=0,"",SUM($C$211:$V$211)),IFERROR(INDEX($C$211:$V$211,MATCH($D$2,$C$210:$V$210,0)),""))</f>
        <v/>
      </c>
      <c r="Z12" s="60" t="str">
        <f>IF(AND(ISNUMBER(Y12),ISNUMBER(X12)),IF(X12&gt;0,Y12/X12,""),"")</f>
        <v/>
      </c>
      <c r="AA12" s="42" t="str">
        <f>IF($B$2="Todos",IF(COUNT($C$281:$V$281)=0,"",SUM($C$281:$V$281)),IFERROR(INDEX($C$281:$V$281,MATCH($D$2,$C$280:$V$280,0)),""))</f>
        <v/>
      </c>
      <c r="AB12" s="42">
        <f>IF($B12="","",IF($B$2="Todos",SUMIFS(BD!$AA$3:$AA$5001,BD!$A$3:$A$5001,$B12),SUMIFS(BD!$AA$3:$AA$5001,BD!$A$3:$A$5001,$B12,BD!$B$3:$B$5001,$D$2)))</f>
        <v>0</v>
      </c>
      <c r="AC12" s="58">
        <f>IF($B12="","",IF($B$2="Todos",SUMIFS(BD!$AB$3:$AB$5001,BD!$A$3:$A$5001,$B12),SUMIFS(BD!$AB$3:$AB$5001,BD!$A$3:$A$5001,$B12,BD!$B$3:$B$5001,$D$2)))</f>
        <v>0</v>
      </c>
      <c r="AD12" s="42">
        <f>IF($B12="","",IF($B$2="Todos",SUMIFS(BD!$AC$3:$AC$5001,BD!$A$3:$A$5001,$B12),SUMIFS(BD!$AC$3:$AC$5001,BD!$A$3:$A$5001,$B12,BD!$B$3:$B$5001,$D$2)))</f>
        <v>0</v>
      </c>
      <c r="AE12" s="42">
        <f>IF($B12="","",IF($B$2="Todos",SUMIFS(BD!$AD$3:$AD$5001,BD!$A$3:$A$5001,$B12),SUMIFS(BD!$AD$3:$AD$5001,BD!$A$3:$A$5001,$B12,BD!$B$3:$B$5001,$D$2)))</f>
        <v>0</v>
      </c>
      <c r="AF12" s="42">
        <f>IF($B12="","",IF($B$2="Todos",SUMIFS(BD!$AE$3:$AE$5001,BD!$A$3:$A$5001,$B12),SUMIFS(BD!$AE$3:$AE$5001,BD!$A$3:$A$5001,$B12,BD!$B$3:$B$5001,$D$2)))</f>
        <v>0</v>
      </c>
      <c r="AG12" s="42">
        <f>IF($B12="","",IF($B$2="Todos",SUMIFS(BD!$AF$3:$AF$5001,BD!$A$3:$A$5001,$B12),SUMIFS(BD!$AF$3:$AF$5001,BD!$A$3:$A$5001,$B12,BD!$B$3:$B$5001,$D$2)))</f>
        <v>0</v>
      </c>
      <c r="AH12" s="42">
        <f>IF($B12="","",IF($B$2="Todos",SUMIFS(BD!$AG$3:$AG$5001,BD!$A$3:$A$5001,$B12),SUMIFS(BD!$AG$3:$AG$5001,BD!$A$3:$A$5001,$B12,BD!$B$3:$B$5001,$D$2)))</f>
        <v>0</v>
      </c>
      <c r="AI12" s="42">
        <f>IF($B12="","",IF($B$2="Todos",SUMIFS(BD!$AH$3:$AH$5001,BD!$A$3:$A$5001,$B12),SUMIFS(BD!$AH$3:$AH$5001,BD!$A$3:$A$5001,$B12,BD!$B$3:$B$5001,$D$2)))</f>
        <v>0</v>
      </c>
      <c r="AJ12" s="61">
        <f>$B$5</f>
        <v>0.7</v>
      </c>
      <c r="AK12" s="61">
        <f>$B$6</f>
        <v>0.9</v>
      </c>
      <c r="AN12" s="40" t="inlineStr">
        <is>
          <t xml:space="preserve">JANEIRO · 2026</t>
        </is>
      </c>
      <c r="AP12" s="40" t="inlineStr">
        <is>
          <t xml:space="preserve">Todos</t>
        </is>
      </c>
      <c r="AQ12" s="39" t="inlineStr">
        <is>
          <t xml:space="preserve">TPC</t>
        </is>
      </c>
      <c r="AS12" s="40" t="str">
        <f>Config!$D$82&amp;" — "&amp;IF($B$2="Todos","TODOS OS CLIENTES",UPPER($B$2))</f>
        <v>MOVIMENTAÇÃO VEÍCULO/DIA — TODOS OS CLIENTES</v>
      </c>
      <c r="AV12" s="47" t="inlineStr">
        <is>
          <t xml:space="preserve">Capacidade por depósito</t>
        </is>
      </c>
      <c r="AW12" s="47" t="inlineStr">
        <is>
          <t xml:space="preserve">Posições</t>
        </is>
      </c>
      <c r="AZ12" s="72">
        <f>IF(OR($B12="",N(VALUE($AH$384))=0),"",IF(INDEX($C12:$AI12,VALUE($AH$384))="","",IF(N(VALUE($AJ$384))=0,INDEX($C12:$AI12,VALUE($AH$384)),IF(N(INDEX($C12:$AI12,N(VALUE($AJ$384))))&gt;0,INDEX($C12:$AI12,VALUE($AH$384))/INDEX($C12:$AI12,N(VALUE($AJ$384))),""))))</f>
        <v>0</v>
      </c>
      <c r="BA12" s="72">
        <f>IF(OR($B12="",N(VALUE($AI$384))=0),"",IF(INDEX($C12:$AI12,VALUE($AI$384))="","",IF(N(VALUE($AK$384))=0,INDEX($C12:$AI12,VALUE($AI$384)),IF(N(INDEX($C12:$AI12,N(VALUE($AK$384))))&gt;0,INDEX($C12:$AI12,VALUE($AI$384))/INDEX($C12:$AI12,N(VALUE($AK$384))),""))))</f>
        <v>0</v>
      </c>
      <c r="BB12" s="72">
        <f>IF(OR($B12="",N(VALUE($AP$384))=0),"",IF(INDEX($C12:$AI12,VALUE($AP$384))="","",IF(N(VALUE($AR$384))=0,INDEX($C12:$AI12,VALUE($AP$384)),IF(N(INDEX($C12:$AI12,N(VALUE($AR$384))))&gt;0,INDEX($C12:$AI12,VALUE($AP$384))/INDEX($C12:$AI12,N(VALUE($AR$384))),""))))</f>
        <v>0</v>
      </c>
      <c r="BC12" s="72">
        <f>IF(OR($B12="",N(VALUE($AQ$384))=0),"",IF(INDEX($C12:$AI12,VALUE($AQ$384))="","",IF(N(VALUE($AS$384))=0,INDEX($C12:$AI12,VALUE($AQ$384)),IF(N(INDEX($C12:$AI12,N(VALUE($AS$384))))&gt;0,INDEX($C12:$AI12,VALUE($AQ$384))/INDEX($C12:$AI12,N(VALUE($AS$384))),""))))</f>
        <v>0</v>
      </c>
      <c r="BE12" s="42" t="str">
        <f>IF(AND($A12=$B$9,ISNUMBER(X12)),X12,NA())</f>
        <v/>
      </c>
    </row>
    <row r="13">
      <c r="A13" s="39">
        <v>2</v>
      </c>
      <c r="B13" s="57">
        <f>IF($A13&lt;=DAY($D$7),$C$7+$A13-1,"")</f>
        <v>46297</v>
      </c>
      <c r="C13" s="42">
        <f>IF($B13="","",IF($B$2="Todos",SUMIFS(BD!$C$3:$C$5001,BD!$A$3:$A$5001,$B13),SUMIFS(BD!$C$3:$C$5001,BD!$A$3:$A$5001,$B13,BD!$B$3:$B$5001,$D$2)))</f>
        <v>0</v>
      </c>
      <c r="D13" s="42">
        <f>IF($B13="","",IF($B$2="Todos",SUMIFS(BD!$D$3:$D$5001,BD!$A$3:$A$5001,$B13),SUMIFS(BD!$D$3:$D$5001,BD!$A$3:$A$5001,$B13,BD!$B$3:$B$5001,$D$2)))</f>
        <v>0</v>
      </c>
      <c r="E13" s="58">
        <f>IF($B13="","",IF($B$2="Todos",SUMIFS(BD!$E$3:$E$5001,BD!$A$3:$A$5001,$B13),SUMIFS(BD!$E$3:$E$5001,BD!$A$3:$A$5001,$B13,BD!$B$3:$B$5001,$D$2)))</f>
        <v>0</v>
      </c>
      <c r="F13" s="42">
        <f>IF($B13="","",IF($B$2="Todos",SUMIFS(BD!$F$3:$F$5001,BD!$A$3:$A$5001,$B13),SUMIFS(BD!$F$3:$F$5001,BD!$A$3:$A$5001,$B13,BD!$B$3:$B$5001,$D$2)))</f>
        <v>0</v>
      </c>
      <c r="G13" s="42">
        <f>IF($B13="","",IF($B$2="Todos",SUMIFS(BD!$G$3:$G$5001,BD!$A$3:$A$5001,$B13),SUMIFS(BD!$G$3:$G$5001,BD!$A$3:$A$5001,$B13,BD!$B$3:$B$5001,$D$2)))</f>
        <v>0</v>
      </c>
      <c r="H13" s="42">
        <f>IF($B13="","",IF($B$2="Todos",SUMIFS(BD!$H$3:$H$5001,BD!$A$3:$A$5001,$B13),SUMIFS(BD!$H$3:$H$5001,BD!$A$3:$A$5001,$B13,BD!$B$3:$B$5001,$D$2)))</f>
        <v>0</v>
      </c>
      <c r="I13" s="42">
        <f>IF($B13="","",IF($B$2="Todos",SUMIFS(BD!$I$3:$I$5001,BD!$A$3:$A$5001,$B13),SUMIFS(BD!$I$3:$I$5001,BD!$A$3:$A$5001,$B13,BD!$B$3:$B$5001,$D$2)))</f>
        <v>0</v>
      </c>
      <c r="J13" s="42">
        <f>IF($B13="","",IF($B$2="Todos",SUMIFS(BD!$J$3:$J$5001,BD!$A$3:$A$5001,$B13),SUMIFS(BD!$J$3:$J$5001,BD!$A$3:$A$5001,$B13,BD!$B$3:$B$5001,$D$2)))</f>
        <v>0</v>
      </c>
      <c r="K13" s="42">
        <f>IF($B13="","",IF($B$2="Todos",SUMIFS(BD!$K$3:$K$5001,BD!$A$3:$A$5001,$B13),SUMIFS(BD!$K$3:$K$5001,BD!$A$3:$A$5001,$B13,BD!$B$3:$B$5001,$D$2)))</f>
        <v>0</v>
      </c>
      <c r="L13" s="42">
        <f>IF($B13="","",IF($B$2="Todos",SUMIFS(BD!$L$3:$L$5001,BD!$A$3:$A$5001,$B13),SUMIFS(BD!$L$3:$L$5001,BD!$A$3:$A$5001,$B13,BD!$B$3:$B$5001,$D$2)))</f>
        <v>0</v>
      </c>
      <c r="M13" s="42">
        <f>IF($B13="","",IF($B$2="Todos",SUMIFS(BD!$M$3:$M$5001,BD!$A$3:$A$5001,$B13),SUMIFS(BD!$M$3:$M$5001,BD!$A$3:$A$5001,$B13,BD!$B$3:$B$5001,$D$2)))</f>
        <v>0</v>
      </c>
      <c r="N13" s="42">
        <f>IF($B13="","",IF($B$2="Todos",SUMIFS(BD!$N$3:$N$5001,BD!$A$3:$A$5001,$B13),SUMIFS(BD!$N$3:$N$5001,BD!$A$3:$A$5001,$B13,BD!$B$3:$B$5001,$D$2)))</f>
        <v>0</v>
      </c>
      <c r="O13" s="42">
        <f>IF($B13="","",IF($B$2="Todos",SUMIFS(BD!$O$3:$O$5001,BD!$A$3:$A$5001,$B13),SUMIFS(BD!$O$3:$O$5001,BD!$A$3:$A$5001,$B13,BD!$B$3:$B$5001,$D$2)))</f>
        <v>0</v>
      </c>
      <c r="P13" s="42">
        <f>IF($B13="","",IF($B$2="Todos",SUMIFS(BD!$P$3:$P$5001,BD!$A$3:$A$5001,$B13),SUMIFS(BD!$P$3:$P$5001,BD!$A$3:$A$5001,$B13,BD!$B$3:$B$5001,$D$2)))</f>
        <v>0</v>
      </c>
      <c r="Q13" s="42">
        <f>IF($B13="","",IF($B$2="Todos",SUMIFS(BD!$Q$3:$Q$5001,BD!$A$3:$A$5001,$B13),SUMIFS(BD!$Q$3:$Q$5001,BD!$A$3:$A$5001,$B13,BD!$B$3:$B$5001,$D$2)))</f>
        <v>0</v>
      </c>
      <c r="R13" s="42">
        <f>IF($B13="","",IF($B$2="Todos",SUMIFS(BD!$R$3:$R$5001,BD!$A$3:$A$5001,$B13),SUMIFS(BD!$R$3:$R$5001,BD!$A$3:$A$5001,$B13,BD!$B$3:$B$5001,$D$2)))</f>
        <v>0</v>
      </c>
      <c r="S13" s="58">
        <f>IF($B13="","",IF($B$2="Todos",SUMIFS(BD!$S$3:$S$5001,BD!$A$3:$A$5001,$B13),SUMIFS(BD!$S$3:$S$5001,BD!$A$3:$A$5001,$B13,BD!$B$3:$B$5001,$D$2)))</f>
        <v>0</v>
      </c>
      <c r="T13" s="42">
        <f>IF($B13="","",IF($B$2="Todos",SUMIFS(BD!$T$3:$T$5001,BD!$A$3:$A$5001,$B13),SUMIFS(BD!$T$3:$T$5001,BD!$A$3:$A$5001,$B13,BD!$B$3:$B$5001,$D$2)))</f>
        <v>0</v>
      </c>
      <c r="U13" s="42">
        <f>IF($B13="","",IF($B$2="Todos",SUMIFS(BD!$U$3:$U$5001,BD!$A$3:$A$5001,$B13),SUMIFS(BD!$U$3:$U$5001,BD!$A$3:$A$5001,$B13,BD!$B$3:$B$5001,$D$2)))</f>
        <v>0</v>
      </c>
      <c r="V13" s="42" t="str">
        <f>IF($B$2="Todos",IF(COUNT($C$142:$V$142)=0,"",SUM($C$142:$V$142)),IFERROR(INDEX($C$142:$V$142,MATCH($D$2,$C$140:$V$140,0)),""))</f>
        <v/>
      </c>
      <c r="W13" s="42" t="str">
        <f>IF($B$2="Todos",IF(COUNT($C$177:$V$177)=0,"",SUM($C$177:$V$177)),IFERROR(INDEX($C$177:$V$177,MATCH($D$2,$C$175:$V$175,0)),""))</f>
        <v/>
      </c>
      <c r="X13" s="59" t="str">
        <f>IF(Y13="","",IF($B$2="Todos",IF($B$4&gt;0,$B$4,IF($B$2="Todos",IF(COUNT($C$247:$V$247)=0,"",SUM($C$247:$V$247)),IFERROR(INDEX($C$247:$V$247,MATCH($D$2,$C$245:$V$245,0)),""))),IFERROR(INDEX($C$247:$V$247,MATCH($D$2,$C$245:$V$245,0)),"")))</f>
        <v/>
      </c>
      <c r="Y13" s="42" t="str">
        <f>IF($B$2="Todos",IF(COUNT($C$212:$V$212)=0,"",SUM($C$212:$V$212)),IFERROR(INDEX($C$212:$V$212,MATCH($D$2,$C$210:$V$210,0)),""))</f>
        <v/>
      </c>
      <c r="Z13" s="60" t="str">
        <f>IF(AND(ISNUMBER(Y13),ISNUMBER(X13)),IF(X13&gt;0,Y13/X13,""),"")</f>
        <v/>
      </c>
      <c r="AA13" s="42" t="str">
        <f>IF($B$2="Todos",IF(COUNT($C$282:$V$282)=0,"",SUM($C$282:$V$282)),IFERROR(INDEX($C$282:$V$282,MATCH($D$2,$C$280:$V$280,0)),""))</f>
        <v/>
      </c>
      <c r="AB13" s="42">
        <f>IF($B13="","",IF($B$2="Todos",SUMIFS(BD!$AA$3:$AA$5001,BD!$A$3:$A$5001,$B13),SUMIFS(BD!$AA$3:$AA$5001,BD!$A$3:$A$5001,$B13,BD!$B$3:$B$5001,$D$2)))</f>
        <v>0</v>
      </c>
      <c r="AC13" s="58">
        <f>IF($B13="","",IF($B$2="Todos",SUMIFS(BD!$AB$3:$AB$5001,BD!$A$3:$A$5001,$B13),SUMIFS(BD!$AB$3:$AB$5001,BD!$A$3:$A$5001,$B13,BD!$B$3:$B$5001,$D$2)))</f>
        <v>0</v>
      </c>
      <c r="AD13" s="42">
        <f>IF($B13="","",IF($B$2="Todos",SUMIFS(BD!$AC$3:$AC$5001,BD!$A$3:$A$5001,$B13),SUMIFS(BD!$AC$3:$AC$5001,BD!$A$3:$A$5001,$B13,BD!$B$3:$B$5001,$D$2)))</f>
        <v>0</v>
      </c>
      <c r="AE13" s="42">
        <f>IF($B13="","",IF($B$2="Todos",SUMIFS(BD!$AD$3:$AD$5001,BD!$A$3:$A$5001,$B13),SUMIFS(BD!$AD$3:$AD$5001,BD!$A$3:$A$5001,$B13,BD!$B$3:$B$5001,$D$2)))</f>
        <v>0</v>
      </c>
      <c r="AF13" s="42">
        <f>IF($B13="","",IF($B$2="Todos",SUMIFS(BD!$AE$3:$AE$5001,BD!$A$3:$A$5001,$B13),SUMIFS(BD!$AE$3:$AE$5001,BD!$A$3:$A$5001,$B13,BD!$B$3:$B$5001,$D$2)))</f>
        <v>0</v>
      </c>
      <c r="AG13" s="42">
        <f>IF($B13="","",IF($B$2="Todos",SUMIFS(BD!$AF$3:$AF$5001,BD!$A$3:$A$5001,$B13),SUMIFS(BD!$AF$3:$AF$5001,BD!$A$3:$A$5001,$B13,BD!$B$3:$B$5001,$D$2)))</f>
        <v>0</v>
      </c>
      <c r="AH13" s="42">
        <f>IF($B13="","",IF($B$2="Todos",SUMIFS(BD!$AG$3:$AG$5001,BD!$A$3:$A$5001,$B13),SUMIFS(BD!$AG$3:$AG$5001,BD!$A$3:$A$5001,$B13,BD!$B$3:$B$5001,$D$2)))</f>
        <v>0</v>
      </c>
      <c r="AI13" s="42">
        <f>IF($B13="","",IF($B$2="Todos",SUMIFS(BD!$AH$3:$AH$5001,BD!$A$3:$A$5001,$B13),SUMIFS(BD!$AH$3:$AH$5001,BD!$A$3:$A$5001,$B13,BD!$B$3:$B$5001,$D$2)))</f>
        <v>0</v>
      </c>
      <c r="AJ13" s="61">
        <f>$B$5</f>
        <v>0.7</v>
      </c>
      <c r="AK13" s="61">
        <f>$B$6</f>
        <v>0.9</v>
      </c>
      <c r="AN13" s="40" t="inlineStr">
        <is>
          <t xml:space="preserve">FEVEREIRO · 2026</t>
        </is>
      </c>
      <c r="AP13" s="40" t="str">
        <f>IFERROR(INDEX(Config!$B$10:$B$29,MATCH(1,$AR$13:$AR$32,0))&amp;"","")</f>
        <v>Alpargatas</v>
      </c>
      <c r="AQ13" s="39" t="str">
        <f>IF(AP13="","",IF(INDEX(Config!$C$10:$C$29,MATCH(1,$AR$13:$AR$32,0))&amp;""="","TPC",INDEX(Config!$C$10:$C$29,MATCH(1,$AR$13:$AR$32,0))&amp;""))</f>
        <v>TPC</v>
      </c>
      <c r="AR13" s="48">
        <f>IF(Config!$B$10&amp;""="",0,0+1)</f>
        <v>1</v>
      </c>
      <c r="AS13" s="40" t="str">
        <f>IF($AZ$384="Não se aplica",Config!$D$87,IF($AZ$384="Só ocupadas",Config!$D$86,Config!$D$85))&amp;" — "&amp;IF($B$2="Todos","TODOS OS CLIENTES",UPPER($B$2))</f>
        <v>OCUPAÇÃO DIÁRIA — TODOS OS CLIENTES</v>
      </c>
      <c r="AV13" s="50" t="inlineStr">
        <is>
          <t xml:space="preserve">TPC</t>
        </is>
      </c>
      <c r="AW13" s="51">
        <f>N(Config!$C$96)</f>
        <v>23040</v>
      </c>
      <c r="AX13" s="36" t="inlineStr">
        <is>
          <t xml:space="preserve">aba Config</t>
        </is>
      </c>
      <c r="AZ13" s="72">
        <f>IF(OR($B13="",N(VALUE($AH$384))=0),"",IF(INDEX($C13:$AI13,VALUE($AH$384))="","",IF(N(VALUE($AJ$384))=0,INDEX($C13:$AI13,VALUE($AH$384)),IF(N(INDEX($C13:$AI13,N(VALUE($AJ$384))))&gt;0,INDEX($C13:$AI13,VALUE($AH$384))/INDEX($C13:$AI13,N(VALUE($AJ$384))),""))))</f>
        <v>0</v>
      </c>
      <c r="BA13" s="72">
        <f>IF(OR($B13="",N(VALUE($AI$384))=0),"",IF(INDEX($C13:$AI13,VALUE($AI$384))="","",IF(N(VALUE($AK$384))=0,INDEX($C13:$AI13,VALUE($AI$384)),IF(N(INDEX($C13:$AI13,N(VALUE($AK$384))))&gt;0,INDEX($C13:$AI13,VALUE($AI$384))/INDEX($C13:$AI13,N(VALUE($AK$384))),""))))</f>
        <v>0</v>
      </c>
      <c r="BB13" s="72">
        <f>IF(OR($B13="",N(VALUE($AP$384))=0),"",IF(INDEX($C13:$AI13,VALUE($AP$384))="","",IF(N(VALUE($AR$384))=0,INDEX($C13:$AI13,VALUE($AP$384)),IF(N(INDEX($C13:$AI13,N(VALUE($AR$384))))&gt;0,INDEX($C13:$AI13,VALUE($AP$384))/INDEX($C13:$AI13,N(VALUE($AR$384))),""))))</f>
        <v>0</v>
      </c>
      <c r="BC13" s="72">
        <f>IF(OR($B13="",N(VALUE($AQ$384))=0),"",IF(INDEX($C13:$AI13,VALUE($AQ$384))="","",IF(N(VALUE($AS$384))=0,INDEX($C13:$AI13,VALUE($AQ$384)),IF(N(INDEX($C13:$AI13,N(VALUE($AS$384))))&gt;0,INDEX($C13:$AI13,VALUE($AQ$384))/INDEX($C13:$AI13,N(VALUE($AS$384))),""))))</f>
        <v>0</v>
      </c>
      <c r="BE13" s="42" t="str">
        <f>IF(AND($A13=$B$9,ISNUMBER(X13)),X13,NA())</f>
        <v/>
      </c>
    </row>
    <row r="14">
      <c r="A14" s="39">
        <v>3</v>
      </c>
      <c r="B14" s="57">
        <f>IF($A14&lt;=DAY($D$7),$C$7+$A14-1,"")</f>
        <v>46298</v>
      </c>
      <c r="C14" s="42">
        <f>IF($B14="","",IF($B$2="Todos",SUMIFS(BD!$C$3:$C$5001,BD!$A$3:$A$5001,$B14),SUMIFS(BD!$C$3:$C$5001,BD!$A$3:$A$5001,$B14,BD!$B$3:$B$5001,$D$2)))</f>
        <v>0</v>
      </c>
      <c r="D14" s="42">
        <f>IF($B14="","",IF($B$2="Todos",SUMIFS(BD!$D$3:$D$5001,BD!$A$3:$A$5001,$B14),SUMIFS(BD!$D$3:$D$5001,BD!$A$3:$A$5001,$B14,BD!$B$3:$B$5001,$D$2)))</f>
        <v>0</v>
      </c>
      <c r="E14" s="58">
        <f>IF($B14="","",IF($B$2="Todos",SUMIFS(BD!$E$3:$E$5001,BD!$A$3:$A$5001,$B14),SUMIFS(BD!$E$3:$E$5001,BD!$A$3:$A$5001,$B14,BD!$B$3:$B$5001,$D$2)))</f>
        <v>0</v>
      </c>
      <c r="F14" s="42">
        <f>IF($B14="","",IF($B$2="Todos",SUMIFS(BD!$F$3:$F$5001,BD!$A$3:$A$5001,$B14),SUMIFS(BD!$F$3:$F$5001,BD!$A$3:$A$5001,$B14,BD!$B$3:$B$5001,$D$2)))</f>
        <v>0</v>
      </c>
      <c r="G14" s="42">
        <f>IF($B14="","",IF($B$2="Todos",SUMIFS(BD!$G$3:$G$5001,BD!$A$3:$A$5001,$B14),SUMIFS(BD!$G$3:$G$5001,BD!$A$3:$A$5001,$B14,BD!$B$3:$B$5001,$D$2)))</f>
        <v>0</v>
      </c>
      <c r="H14" s="42">
        <f>IF($B14="","",IF($B$2="Todos",SUMIFS(BD!$H$3:$H$5001,BD!$A$3:$A$5001,$B14),SUMIFS(BD!$H$3:$H$5001,BD!$A$3:$A$5001,$B14,BD!$B$3:$B$5001,$D$2)))</f>
        <v>0</v>
      </c>
      <c r="I14" s="42">
        <f>IF($B14="","",IF($B$2="Todos",SUMIFS(BD!$I$3:$I$5001,BD!$A$3:$A$5001,$B14),SUMIFS(BD!$I$3:$I$5001,BD!$A$3:$A$5001,$B14,BD!$B$3:$B$5001,$D$2)))</f>
        <v>0</v>
      </c>
      <c r="J14" s="42">
        <f>IF($B14="","",IF($B$2="Todos",SUMIFS(BD!$J$3:$J$5001,BD!$A$3:$A$5001,$B14),SUMIFS(BD!$J$3:$J$5001,BD!$A$3:$A$5001,$B14,BD!$B$3:$B$5001,$D$2)))</f>
        <v>0</v>
      </c>
      <c r="K14" s="42">
        <f>IF($B14="","",IF($B$2="Todos",SUMIFS(BD!$K$3:$K$5001,BD!$A$3:$A$5001,$B14),SUMIFS(BD!$K$3:$K$5001,BD!$A$3:$A$5001,$B14,BD!$B$3:$B$5001,$D$2)))</f>
        <v>0</v>
      </c>
      <c r="L14" s="42">
        <f>IF($B14="","",IF($B$2="Todos",SUMIFS(BD!$L$3:$L$5001,BD!$A$3:$A$5001,$B14),SUMIFS(BD!$L$3:$L$5001,BD!$A$3:$A$5001,$B14,BD!$B$3:$B$5001,$D$2)))</f>
        <v>0</v>
      </c>
      <c r="M14" s="42">
        <f>IF($B14="","",IF($B$2="Todos",SUMIFS(BD!$M$3:$M$5001,BD!$A$3:$A$5001,$B14),SUMIFS(BD!$M$3:$M$5001,BD!$A$3:$A$5001,$B14,BD!$B$3:$B$5001,$D$2)))</f>
        <v>0</v>
      </c>
      <c r="N14" s="42">
        <f>IF($B14="","",IF($B$2="Todos",SUMIFS(BD!$N$3:$N$5001,BD!$A$3:$A$5001,$B14),SUMIFS(BD!$N$3:$N$5001,BD!$A$3:$A$5001,$B14,BD!$B$3:$B$5001,$D$2)))</f>
        <v>0</v>
      </c>
      <c r="O14" s="42">
        <f>IF($B14="","",IF($B$2="Todos",SUMIFS(BD!$O$3:$O$5001,BD!$A$3:$A$5001,$B14),SUMIFS(BD!$O$3:$O$5001,BD!$A$3:$A$5001,$B14,BD!$B$3:$B$5001,$D$2)))</f>
        <v>0</v>
      </c>
      <c r="P14" s="42">
        <f>IF($B14="","",IF($B$2="Todos",SUMIFS(BD!$P$3:$P$5001,BD!$A$3:$A$5001,$B14),SUMIFS(BD!$P$3:$P$5001,BD!$A$3:$A$5001,$B14,BD!$B$3:$B$5001,$D$2)))</f>
        <v>0</v>
      </c>
      <c r="Q14" s="42">
        <f>IF($B14="","",IF($B$2="Todos",SUMIFS(BD!$Q$3:$Q$5001,BD!$A$3:$A$5001,$B14),SUMIFS(BD!$Q$3:$Q$5001,BD!$A$3:$A$5001,$B14,BD!$B$3:$B$5001,$D$2)))</f>
        <v>0</v>
      </c>
      <c r="R14" s="42">
        <f>IF($B14="","",IF($B$2="Todos",SUMIFS(BD!$R$3:$R$5001,BD!$A$3:$A$5001,$B14),SUMIFS(BD!$R$3:$R$5001,BD!$A$3:$A$5001,$B14,BD!$B$3:$B$5001,$D$2)))</f>
        <v>0</v>
      </c>
      <c r="S14" s="58">
        <f>IF($B14="","",IF($B$2="Todos",SUMIFS(BD!$S$3:$S$5001,BD!$A$3:$A$5001,$B14),SUMIFS(BD!$S$3:$S$5001,BD!$A$3:$A$5001,$B14,BD!$B$3:$B$5001,$D$2)))</f>
        <v>0</v>
      </c>
      <c r="T14" s="42">
        <f>IF($B14="","",IF($B$2="Todos",SUMIFS(BD!$T$3:$T$5001,BD!$A$3:$A$5001,$B14),SUMIFS(BD!$T$3:$T$5001,BD!$A$3:$A$5001,$B14,BD!$B$3:$B$5001,$D$2)))</f>
        <v>0</v>
      </c>
      <c r="U14" s="42">
        <f>IF($B14="","",IF($B$2="Todos",SUMIFS(BD!$U$3:$U$5001,BD!$A$3:$A$5001,$B14),SUMIFS(BD!$U$3:$U$5001,BD!$A$3:$A$5001,$B14,BD!$B$3:$B$5001,$D$2)))</f>
        <v>0</v>
      </c>
      <c r="V14" s="42" t="str">
        <f>IF($B$2="Todos",IF(COUNT($C$143:$V$143)=0,"",SUM($C$143:$V$143)),IFERROR(INDEX($C$143:$V$143,MATCH($D$2,$C$140:$V$140,0)),""))</f>
        <v/>
      </c>
      <c r="W14" s="42" t="str">
        <f>IF($B$2="Todos",IF(COUNT($C$178:$V$178)=0,"",SUM($C$178:$V$178)),IFERROR(INDEX($C$178:$V$178,MATCH($D$2,$C$175:$V$175,0)),""))</f>
        <v/>
      </c>
      <c r="X14" s="59" t="str">
        <f>IF(Y14="","",IF($B$2="Todos",IF($B$4&gt;0,$B$4,IF($B$2="Todos",IF(COUNT($C$248:$V$248)=0,"",SUM($C$248:$V$248)),IFERROR(INDEX($C$248:$V$248,MATCH($D$2,$C$245:$V$245,0)),""))),IFERROR(INDEX($C$248:$V$248,MATCH($D$2,$C$245:$V$245,0)),"")))</f>
        <v/>
      </c>
      <c r="Y14" s="42" t="str">
        <f>IF($B$2="Todos",IF(COUNT($C$213:$V$213)=0,"",SUM($C$213:$V$213)),IFERROR(INDEX($C$213:$V$213,MATCH($D$2,$C$210:$V$210,0)),""))</f>
        <v/>
      </c>
      <c r="Z14" s="60" t="str">
        <f>IF(AND(ISNUMBER(Y14),ISNUMBER(X14)),IF(X14&gt;0,Y14/X14,""),"")</f>
        <v/>
      </c>
      <c r="AA14" s="42" t="str">
        <f>IF($B$2="Todos",IF(COUNT($C$283:$V$283)=0,"",SUM($C$283:$V$283)),IFERROR(INDEX($C$283:$V$283,MATCH($D$2,$C$280:$V$280,0)),""))</f>
        <v/>
      </c>
      <c r="AB14" s="42">
        <f>IF($B14="","",IF($B$2="Todos",SUMIFS(BD!$AA$3:$AA$5001,BD!$A$3:$A$5001,$B14),SUMIFS(BD!$AA$3:$AA$5001,BD!$A$3:$A$5001,$B14,BD!$B$3:$B$5001,$D$2)))</f>
        <v>0</v>
      </c>
      <c r="AC14" s="58">
        <f>IF($B14="","",IF($B$2="Todos",SUMIFS(BD!$AB$3:$AB$5001,BD!$A$3:$A$5001,$B14),SUMIFS(BD!$AB$3:$AB$5001,BD!$A$3:$A$5001,$B14,BD!$B$3:$B$5001,$D$2)))</f>
        <v>0</v>
      </c>
      <c r="AD14" s="42">
        <f>IF($B14="","",IF($B$2="Todos",SUMIFS(BD!$AC$3:$AC$5001,BD!$A$3:$A$5001,$B14),SUMIFS(BD!$AC$3:$AC$5001,BD!$A$3:$A$5001,$B14,BD!$B$3:$B$5001,$D$2)))</f>
        <v>0</v>
      </c>
      <c r="AE14" s="42">
        <f>IF($B14="","",IF($B$2="Todos",SUMIFS(BD!$AD$3:$AD$5001,BD!$A$3:$A$5001,$B14),SUMIFS(BD!$AD$3:$AD$5001,BD!$A$3:$A$5001,$B14,BD!$B$3:$B$5001,$D$2)))</f>
        <v>0</v>
      </c>
      <c r="AF14" s="42">
        <f>IF($B14="","",IF($B$2="Todos",SUMIFS(BD!$AE$3:$AE$5001,BD!$A$3:$A$5001,$B14),SUMIFS(BD!$AE$3:$AE$5001,BD!$A$3:$A$5001,$B14,BD!$B$3:$B$5001,$D$2)))</f>
        <v>0</v>
      </c>
      <c r="AG14" s="42">
        <f>IF($B14="","",IF($B$2="Todos",SUMIFS(BD!$AF$3:$AF$5001,BD!$A$3:$A$5001,$B14),SUMIFS(BD!$AF$3:$AF$5001,BD!$A$3:$A$5001,$B14,BD!$B$3:$B$5001,$D$2)))</f>
        <v>0</v>
      </c>
      <c r="AH14" s="42">
        <f>IF($B14="","",IF($B$2="Todos",SUMIFS(BD!$AG$3:$AG$5001,BD!$A$3:$A$5001,$B14),SUMIFS(BD!$AG$3:$AG$5001,BD!$A$3:$A$5001,$B14,BD!$B$3:$B$5001,$D$2)))</f>
        <v>0</v>
      </c>
      <c r="AI14" s="42">
        <f>IF($B14="","",IF($B$2="Todos",SUMIFS(BD!$AH$3:$AH$5001,BD!$A$3:$A$5001,$B14),SUMIFS(BD!$AH$3:$AH$5001,BD!$A$3:$A$5001,$B14,BD!$B$3:$B$5001,$D$2)))</f>
        <v>0</v>
      </c>
      <c r="AJ14" s="61">
        <f>$B$5</f>
        <v>0.7</v>
      </c>
      <c r="AK14" s="61">
        <f>$B$6</f>
        <v>0.9</v>
      </c>
      <c r="AN14" s="40" t="inlineStr">
        <is>
          <t xml:space="preserve">MARÇO · 2026</t>
        </is>
      </c>
      <c r="AP14" s="40" t="str">
        <f>IFERROR(INDEX(Config!$B$10:$B$29,MATCH(2,$AR$13:$AR$32,0))&amp;"","")</f>
        <v>Basf</v>
      </c>
      <c r="AQ14" s="39" t="str">
        <f>IF(AP14="","",IF(INDEX(Config!$C$10:$C$29,MATCH(2,$AR$13:$AR$32,0))&amp;""="","TPC",INDEX(Config!$C$10:$C$29,MATCH(2,$AR$13:$AR$32,0))&amp;""))</f>
        <v>TPC</v>
      </c>
      <c r="AR14" s="48">
        <f>IF(Config!$B$11&amp;""="",AR13,AR13+1)</f>
        <v>2</v>
      </c>
      <c r="AS14" s="40" t="str">
        <f>$AL$384&amp;" — "&amp;IF($B$2="Todos","TODOS OS CLIENTES",UPPER($B$2))</f>
        <v>MOVIMENTAÇÃO PALETES/DIA — TODOS OS CLIENTES</v>
      </c>
      <c r="AZ14" s="72">
        <f>IF(OR($B14="",N(VALUE($AH$384))=0),"",IF(INDEX($C14:$AI14,VALUE($AH$384))="","",IF(N(VALUE($AJ$384))=0,INDEX($C14:$AI14,VALUE($AH$384)),IF(N(INDEX($C14:$AI14,N(VALUE($AJ$384))))&gt;0,INDEX($C14:$AI14,VALUE($AH$384))/INDEX($C14:$AI14,N(VALUE($AJ$384))),""))))</f>
        <v>0</v>
      </c>
      <c r="BA14" s="72">
        <f>IF(OR($B14="",N(VALUE($AI$384))=0),"",IF(INDEX($C14:$AI14,VALUE($AI$384))="","",IF(N(VALUE($AK$384))=0,INDEX($C14:$AI14,VALUE($AI$384)),IF(N(INDEX($C14:$AI14,N(VALUE($AK$384))))&gt;0,INDEX($C14:$AI14,VALUE($AI$384))/INDEX($C14:$AI14,N(VALUE($AK$384))),""))))</f>
        <v>0</v>
      </c>
      <c r="BB14" s="72">
        <f>IF(OR($B14="",N(VALUE($AP$384))=0),"",IF(INDEX($C14:$AI14,VALUE($AP$384))="","",IF(N(VALUE($AR$384))=0,INDEX($C14:$AI14,VALUE($AP$384)),IF(N(INDEX($C14:$AI14,N(VALUE($AR$384))))&gt;0,INDEX($C14:$AI14,VALUE($AP$384))/INDEX($C14:$AI14,N(VALUE($AR$384))),""))))</f>
        <v>0</v>
      </c>
      <c r="BC14" s="72">
        <f>IF(OR($B14="",N(VALUE($AQ$384))=0),"",IF(INDEX($C14:$AI14,VALUE($AQ$384))="","",IF(N(VALUE($AS$384))=0,INDEX($C14:$AI14,VALUE($AQ$384)),IF(N(INDEX($C14:$AI14,N(VALUE($AS$384))))&gt;0,INDEX($C14:$AI14,VALUE($AQ$384))/INDEX($C14:$AI14,N(VALUE($AS$384))),""))))</f>
        <v>0</v>
      </c>
      <c r="BE14" s="42" t="str">
        <f>IF(AND($A14=$B$9,ISNUMBER(X14)),X14,NA())</f>
        <v/>
      </c>
    </row>
    <row r="15">
      <c r="A15" s="39">
        <v>4</v>
      </c>
      <c r="B15" s="57">
        <f>IF($A15&lt;=DAY($D$7),$C$7+$A15-1,"")</f>
        <v>46299</v>
      </c>
      <c r="C15" s="42">
        <f>IF($B15="","",IF($B$2="Todos",SUMIFS(BD!$C$3:$C$5001,BD!$A$3:$A$5001,$B15),SUMIFS(BD!$C$3:$C$5001,BD!$A$3:$A$5001,$B15,BD!$B$3:$B$5001,$D$2)))</f>
        <v>0</v>
      </c>
      <c r="D15" s="42">
        <f>IF($B15="","",IF($B$2="Todos",SUMIFS(BD!$D$3:$D$5001,BD!$A$3:$A$5001,$B15),SUMIFS(BD!$D$3:$D$5001,BD!$A$3:$A$5001,$B15,BD!$B$3:$B$5001,$D$2)))</f>
        <v>0</v>
      </c>
      <c r="E15" s="58">
        <f>IF($B15="","",IF($B$2="Todos",SUMIFS(BD!$E$3:$E$5001,BD!$A$3:$A$5001,$B15),SUMIFS(BD!$E$3:$E$5001,BD!$A$3:$A$5001,$B15,BD!$B$3:$B$5001,$D$2)))</f>
        <v>0</v>
      </c>
      <c r="F15" s="42">
        <f>IF($B15="","",IF($B$2="Todos",SUMIFS(BD!$F$3:$F$5001,BD!$A$3:$A$5001,$B15),SUMIFS(BD!$F$3:$F$5001,BD!$A$3:$A$5001,$B15,BD!$B$3:$B$5001,$D$2)))</f>
        <v>0</v>
      </c>
      <c r="G15" s="42">
        <f>IF($B15="","",IF($B$2="Todos",SUMIFS(BD!$G$3:$G$5001,BD!$A$3:$A$5001,$B15),SUMIFS(BD!$G$3:$G$5001,BD!$A$3:$A$5001,$B15,BD!$B$3:$B$5001,$D$2)))</f>
        <v>0</v>
      </c>
      <c r="H15" s="42">
        <f>IF($B15="","",IF($B$2="Todos",SUMIFS(BD!$H$3:$H$5001,BD!$A$3:$A$5001,$B15),SUMIFS(BD!$H$3:$H$5001,BD!$A$3:$A$5001,$B15,BD!$B$3:$B$5001,$D$2)))</f>
        <v>0</v>
      </c>
      <c r="I15" s="42">
        <f>IF($B15="","",IF($B$2="Todos",SUMIFS(BD!$I$3:$I$5001,BD!$A$3:$A$5001,$B15),SUMIFS(BD!$I$3:$I$5001,BD!$A$3:$A$5001,$B15,BD!$B$3:$B$5001,$D$2)))</f>
        <v>0</v>
      </c>
      <c r="J15" s="42">
        <f>IF($B15="","",IF($B$2="Todos",SUMIFS(BD!$J$3:$J$5001,BD!$A$3:$A$5001,$B15),SUMIFS(BD!$J$3:$J$5001,BD!$A$3:$A$5001,$B15,BD!$B$3:$B$5001,$D$2)))</f>
        <v>0</v>
      </c>
      <c r="K15" s="42">
        <f>IF($B15="","",IF($B$2="Todos",SUMIFS(BD!$K$3:$K$5001,BD!$A$3:$A$5001,$B15),SUMIFS(BD!$K$3:$K$5001,BD!$A$3:$A$5001,$B15,BD!$B$3:$B$5001,$D$2)))</f>
        <v>0</v>
      </c>
      <c r="L15" s="42">
        <f>IF($B15="","",IF($B$2="Todos",SUMIFS(BD!$L$3:$L$5001,BD!$A$3:$A$5001,$B15),SUMIFS(BD!$L$3:$L$5001,BD!$A$3:$A$5001,$B15,BD!$B$3:$B$5001,$D$2)))</f>
        <v>0</v>
      </c>
      <c r="M15" s="42">
        <f>IF($B15="","",IF($B$2="Todos",SUMIFS(BD!$M$3:$M$5001,BD!$A$3:$A$5001,$B15),SUMIFS(BD!$M$3:$M$5001,BD!$A$3:$A$5001,$B15,BD!$B$3:$B$5001,$D$2)))</f>
        <v>0</v>
      </c>
      <c r="N15" s="42">
        <f>IF($B15="","",IF($B$2="Todos",SUMIFS(BD!$N$3:$N$5001,BD!$A$3:$A$5001,$B15),SUMIFS(BD!$N$3:$N$5001,BD!$A$3:$A$5001,$B15,BD!$B$3:$B$5001,$D$2)))</f>
        <v>0</v>
      </c>
      <c r="O15" s="42">
        <f>IF($B15="","",IF($B$2="Todos",SUMIFS(BD!$O$3:$O$5001,BD!$A$3:$A$5001,$B15),SUMIFS(BD!$O$3:$O$5001,BD!$A$3:$A$5001,$B15,BD!$B$3:$B$5001,$D$2)))</f>
        <v>0</v>
      </c>
      <c r="P15" s="42">
        <f>IF($B15="","",IF($B$2="Todos",SUMIFS(BD!$P$3:$P$5001,BD!$A$3:$A$5001,$B15),SUMIFS(BD!$P$3:$P$5001,BD!$A$3:$A$5001,$B15,BD!$B$3:$B$5001,$D$2)))</f>
        <v>0</v>
      </c>
      <c r="Q15" s="42">
        <f>IF($B15="","",IF($B$2="Todos",SUMIFS(BD!$Q$3:$Q$5001,BD!$A$3:$A$5001,$B15),SUMIFS(BD!$Q$3:$Q$5001,BD!$A$3:$A$5001,$B15,BD!$B$3:$B$5001,$D$2)))</f>
        <v>0</v>
      </c>
      <c r="R15" s="42">
        <f>IF($B15="","",IF($B$2="Todos",SUMIFS(BD!$R$3:$R$5001,BD!$A$3:$A$5001,$B15),SUMIFS(BD!$R$3:$R$5001,BD!$A$3:$A$5001,$B15,BD!$B$3:$B$5001,$D$2)))</f>
        <v>0</v>
      </c>
      <c r="S15" s="58">
        <f>IF($B15="","",IF($B$2="Todos",SUMIFS(BD!$S$3:$S$5001,BD!$A$3:$A$5001,$B15),SUMIFS(BD!$S$3:$S$5001,BD!$A$3:$A$5001,$B15,BD!$B$3:$B$5001,$D$2)))</f>
        <v>0</v>
      </c>
      <c r="T15" s="42">
        <f>IF($B15="","",IF($B$2="Todos",SUMIFS(BD!$T$3:$T$5001,BD!$A$3:$A$5001,$B15),SUMIFS(BD!$T$3:$T$5001,BD!$A$3:$A$5001,$B15,BD!$B$3:$B$5001,$D$2)))</f>
        <v>0</v>
      </c>
      <c r="U15" s="42">
        <f>IF($B15="","",IF($B$2="Todos",SUMIFS(BD!$U$3:$U$5001,BD!$A$3:$A$5001,$B15),SUMIFS(BD!$U$3:$U$5001,BD!$A$3:$A$5001,$B15,BD!$B$3:$B$5001,$D$2)))</f>
        <v>0</v>
      </c>
      <c r="V15" s="42" t="str">
        <f>IF($B$2="Todos",IF(COUNT($C$144:$V$144)=0,"",SUM($C$144:$V$144)),IFERROR(INDEX($C$144:$V$144,MATCH($D$2,$C$140:$V$140,0)),""))</f>
        <v/>
      </c>
      <c r="W15" s="42" t="str">
        <f>IF($B$2="Todos",IF(COUNT($C$179:$V$179)=0,"",SUM($C$179:$V$179)),IFERROR(INDEX($C$179:$V$179,MATCH($D$2,$C$175:$V$175,0)),""))</f>
        <v/>
      </c>
      <c r="X15" s="59" t="str">
        <f>IF(Y15="","",IF($B$2="Todos",IF($B$4&gt;0,$B$4,IF($B$2="Todos",IF(COUNT($C$249:$V$249)=0,"",SUM($C$249:$V$249)),IFERROR(INDEX($C$249:$V$249,MATCH($D$2,$C$245:$V$245,0)),""))),IFERROR(INDEX($C$249:$V$249,MATCH($D$2,$C$245:$V$245,0)),"")))</f>
        <v/>
      </c>
      <c r="Y15" s="42" t="str">
        <f>IF($B$2="Todos",IF(COUNT($C$214:$V$214)=0,"",SUM($C$214:$V$214)),IFERROR(INDEX($C$214:$V$214,MATCH($D$2,$C$210:$V$210,0)),""))</f>
        <v/>
      </c>
      <c r="Z15" s="60" t="str">
        <f>IF(AND(ISNUMBER(Y15),ISNUMBER(X15)),IF(X15&gt;0,Y15/X15,""),"")</f>
        <v/>
      </c>
      <c r="AA15" s="42" t="str">
        <f>IF($B$2="Todos",IF(COUNT($C$284:$V$284)=0,"",SUM($C$284:$V$284)),IFERROR(INDEX($C$284:$V$284,MATCH($D$2,$C$280:$V$280,0)),""))</f>
        <v/>
      </c>
      <c r="AB15" s="42">
        <f>IF($B15="","",IF($B$2="Todos",SUMIFS(BD!$AA$3:$AA$5001,BD!$A$3:$A$5001,$B15),SUMIFS(BD!$AA$3:$AA$5001,BD!$A$3:$A$5001,$B15,BD!$B$3:$B$5001,$D$2)))</f>
        <v>0</v>
      </c>
      <c r="AC15" s="58">
        <f>IF($B15="","",IF($B$2="Todos",SUMIFS(BD!$AB$3:$AB$5001,BD!$A$3:$A$5001,$B15),SUMIFS(BD!$AB$3:$AB$5001,BD!$A$3:$A$5001,$B15,BD!$B$3:$B$5001,$D$2)))</f>
        <v>0</v>
      </c>
      <c r="AD15" s="42">
        <f>IF($B15="","",IF($B$2="Todos",SUMIFS(BD!$AC$3:$AC$5001,BD!$A$3:$A$5001,$B15),SUMIFS(BD!$AC$3:$AC$5001,BD!$A$3:$A$5001,$B15,BD!$B$3:$B$5001,$D$2)))</f>
        <v>0</v>
      </c>
      <c r="AE15" s="42">
        <f>IF($B15="","",IF($B$2="Todos",SUMIFS(BD!$AD$3:$AD$5001,BD!$A$3:$A$5001,$B15),SUMIFS(BD!$AD$3:$AD$5001,BD!$A$3:$A$5001,$B15,BD!$B$3:$B$5001,$D$2)))</f>
        <v>0</v>
      </c>
      <c r="AF15" s="42">
        <f>IF($B15="","",IF($B$2="Todos",SUMIFS(BD!$AE$3:$AE$5001,BD!$A$3:$A$5001,$B15),SUMIFS(BD!$AE$3:$AE$5001,BD!$A$3:$A$5001,$B15,BD!$B$3:$B$5001,$D$2)))</f>
        <v>0</v>
      </c>
      <c r="AG15" s="42">
        <f>IF($B15="","",IF($B$2="Todos",SUMIFS(BD!$AF$3:$AF$5001,BD!$A$3:$A$5001,$B15),SUMIFS(BD!$AF$3:$AF$5001,BD!$A$3:$A$5001,$B15,BD!$B$3:$B$5001,$D$2)))</f>
        <v>0</v>
      </c>
      <c r="AH15" s="42">
        <f>IF($B15="","",IF($B$2="Todos",SUMIFS(BD!$AG$3:$AG$5001,BD!$A$3:$A$5001,$B15),SUMIFS(BD!$AG$3:$AG$5001,BD!$A$3:$A$5001,$B15,BD!$B$3:$B$5001,$D$2)))</f>
        <v>0</v>
      </c>
      <c r="AI15" s="42">
        <f>IF($B15="","",IF($B$2="Todos",SUMIFS(BD!$AH$3:$AH$5001,BD!$A$3:$A$5001,$B15),SUMIFS(BD!$AH$3:$AH$5001,BD!$A$3:$A$5001,$B15,BD!$B$3:$B$5001,$D$2)))</f>
        <v>0</v>
      </c>
      <c r="AJ15" s="61">
        <f>$B$5</f>
        <v>0.7</v>
      </c>
      <c r="AK15" s="61">
        <f>$B$6</f>
        <v>0.9</v>
      </c>
      <c r="AN15" s="40" t="inlineStr">
        <is>
          <t xml:space="preserve">ABRIL · 2026</t>
        </is>
      </c>
      <c r="AP15" s="40" t="str">
        <f>IFERROR(INDEX(Config!$B$10:$B$29,MATCH(3,$AR$13:$AR$32,0))&amp;"","")</f>
        <v>Beautybiz</v>
      </c>
      <c r="AQ15" s="39" t="str">
        <f>IF(AP15="","",IF(INDEX(Config!$C$10:$C$29,MATCH(3,$AR$13:$AR$32,0))&amp;""="","TPC",INDEX(Config!$C$10:$C$29,MATCH(3,$AR$13:$AR$32,0))&amp;""))</f>
        <v>TPC</v>
      </c>
      <c r="AR15" s="48">
        <f>IF(Config!$B$12&amp;""="",AR14,AR14+1)</f>
        <v>3</v>
      </c>
      <c r="AS15" s="40" t="str">
        <f>$AT$384&amp;" — "&amp;IF($B$2="Todos","TODOS OS CLIENTES",UPPER($B$2))</f>
        <v>MOVIMENTAÇÃO TONS/DIA — TODOS OS CLIENTES</v>
      </c>
      <c r="AZ15" s="72">
        <f>IF(OR($B15="",N(VALUE($AH$384))=0),"",IF(INDEX($C15:$AI15,VALUE($AH$384))="","",IF(N(VALUE($AJ$384))=0,INDEX($C15:$AI15,VALUE($AH$384)),IF(N(INDEX($C15:$AI15,N(VALUE($AJ$384))))&gt;0,INDEX($C15:$AI15,VALUE($AH$384))/INDEX($C15:$AI15,N(VALUE($AJ$384))),""))))</f>
        <v>0</v>
      </c>
      <c r="BA15" s="72">
        <f>IF(OR($B15="",N(VALUE($AI$384))=0),"",IF(INDEX($C15:$AI15,VALUE($AI$384))="","",IF(N(VALUE($AK$384))=0,INDEX($C15:$AI15,VALUE($AI$384)),IF(N(INDEX($C15:$AI15,N(VALUE($AK$384))))&gt;0,INDEX($C15:$AI15,VALUE($AI$384))/INDEX($C15:$AI15,N(VALUE($AK$384))),""))))</f>
        <v>0</v>
      </c>
      <c r="BB15" s="72">
        <f>IF(OR($B15="",N(VALUE($AP$384))=0),"",IF(INDEX($C15:$AI15,VALUE($AP$384))="","",IF(N(VALUE($AR$384))=0,INDEX($C15:$AI15,VALUE($AP$384)),IF(N(INDEX($C15:$AI15,N(VALUE($AR$384))))&gt;0,INDEX($C15:$AI15,VALUE($AP$384))/INDEX($C15:$AI15,N(VALUE($AR$384))),""))))</f>
        <v>0</v>
      </c>
      <c r="BC15" s="72">
        <f>IF(OR($B15="",N(VALUE($AQ$384))=0),"",IF(INDEX($C15:$AI15,VALUE($AQ$384))="","",IF(N(VALUE($AS$384))=0,INDEX($C15:$AI15,VALUE($AQ$384)),IF(N(INDEX($C15:$AI15,N(VALUE($AS$384))))&gt;0,INDEX($C15:$AI15,VALUE($AQ$384))/INDEX($C15:$AI15,N(VALUE($AS$384))),""))))</f>
        <v>0</v>
      </c>
      <c r="BE15" s="42" t="str">
        <f>IF(AND($A15=$B$9,ISNUMBER(X15)),X15,NA())</f>
        <v/>
      </c>
    </row>
    <row r="16">
      <c r="A16" s="39">
        <v>5</v>
      </c>
      <c r="B16" s="57">
        <f>IF($A16&lt;=DAY($D$7),$C$7+$A16-1,"")</f>
        <v>46300</v>
      </c>
      <c r="C16" s="42">
        <f>IF($B16="","",IF($B$2="Todos",SUMIFS(BD!$C$3:$C$5001,BD!$A$3:$A$5001,$B16),SUMIFS(BD!$C$3:$C$5001,BD!$A$3:$A$5001,$B16,BD!$B$3:$B$5001,$D$2)))</f>
        <v>0</v>
      </c>
      <c r="D16" s="42">
        <f>IF($B16="","",IF($B$2="Todos",SUMIFS(BD!$D$3:$D$5001,BD!$A$3:$A$5001,$B16),SUMIFS(BD!$D$3:$D$5001,BD!$A$3:$A$5001,$B16,BD!$B$3:$B$5001,$D$2)))</f>
        <v>0</v>
      </c>
      <c r="E16" s="58">
        <f>IF($B16="","",IF($B$2="Todos",SUMIFS(BD!$E$3:$E$5001,BD!$A$3:$A$5001,$B16),SUMIFS(BD!$E$3:$E$5001,BD!$A$3:$A$5001,$B16,BD!$B$3:$B$5001,$D$2)))</f>
        <v>0</v>
      </c>
      <c r="F16" s="42">
        <f>IF($B16="","",IF($B$2="Todos",SUMIFS(BD!$F$3:$F$5001,BD!$A$3:$A$5001,$B16),SUMIFS(BD!$F$3:$F$5001,BD!$A$3:$A$5001,$B16,BD!$B$3:$B$5001,$D$2)))</f>
        <v>0</v>
      </c>
      <c r="G16" s="42">
        <f>IF($B16="","",IF($B$2="Todos",SUMIFS(BD!$G$3:$G$5001,BD!$A$3:$A$5001,$B16),SUMIFS(BD!$G$3:$G$5001,BD!$A$3:$A$5001,$B16,BD!$B$3:$B$5001,$D$2)))</f>
        <v>0</v>
      </c>
      <c r="H16" s="42">
        <f>IF($B16="","",IF($B$2="Todos",SUMIFS(BD!$H$3:$H$5001,BD!$A$3:$A$5001,$B16),SUMIFS(BD!$H$3:$H$5001,BD!$A$3:$A$5001,$B16,BD!$B$3:$B$5001,$D$2)))</f>
        <v>0</v>
      </c>
      <c r="I16" s="42">
        <f>IF($B16="","",IF($B$2="Todos",SUMIFS(BD!$I$3:$I$5001,BD!$A$3:$A$5001,$B16),SUMIFS(BD!$I$3:$I$5001,BD!$A$3:$A$5001,$B16,BD!$B$3:$B$5001,$D$2)))</f>
        <v>0</v>
      </c>
      <c r="J16" s="42">
        <f>IF($B16="","",IF($B$2="Todos",SUMIFS(BD!$J$3:$J$5001,BD!$A$3:$A$5001,$B16),SUMIFS(BD!$J$3:$J$5001,BD!$A$3:$A$5001,$B16,BD!$B$3:$B$5001,$D$2)))</f>
        <v>0</v>
      </c>
      <c r="K16" s="42">
        <f>IF($B16="","",IF($B$2="Todos",SUMIFS(BD!$K$3:$K$5001,BD!$A$3:$A$5001,$B16),SUMIFS(BD!$K$3:$K$5001,BD!$A$3:$A$5001,$B16,BD!$B$3:$B$5001,$D$2)))</f>
        <v>0</v>
      </c>
      <c r="L16" s="42">
        <f>IF($B16="","",IF($B$2="Todos",SUMIFS(BD!$L$3:$L$5001,BD!$A$3:$A$5001,$B16),SUMIFS(BD!$L$3:$L$5001,BD!$A$3:$A$5001,$B16,BD!$B$3:$B$5001,$D$2)))</f>
        <v>0</v>
      </c>
      <c r="M16" s="42">
        <f>IF($B16="","",IF($B$2="Todos",SUMIFS(BD!$M$3:$M$5001,BD!$A$3:$A$5001,$B16),SUMIFS(BD!$M$3:$M$5001,BD!$A$3:$A$5001,$B16,BD!$B$3:$B$5001,$D$2)))</f>
        <v>0</v>
      </c>
      <c r="N16" s="42">
        <f>IF($B16="","",IF($B$2="Todos",SUMIFS(BD!$N$3:$N$5001,BD!$A$3:$A$5001,$B16),SUMIFS(BD!$N$3:$N$5001,BD!$A$3:$A$5001,$B16,BD!$B$3:$B$5001,$D$2)))</f>
        <v>0</v>
      </c>
      <c r="O16" s="42">
        <f>IF($B16="","",IF($B$2="Todos",SUMIFS(BD!$O$3:$O$5001,BD!$A$3:$A$5001,$B16),SUMIFS(BD!$O$3:$O$5001,BD!$A$3:$A$5001,$B16,BD!$B$3:$B$5001,$D$2)))</f>
        <v>0</v>
      </c>
      <c r="P16" s="42">
        <f>IF($B16="","",IF($B$2="Todos",SUMIFS(BD!$P$3:$P$5001,BD!$A$3:$A$5001,$B16),SUMIFS(BD!$P$3:$P$5001,BD!$A$3:$A$5001,$B16,BD!$B$3:$B$5001,$D$2)))</f>
        <v>0</v>
      </c>
      <c r="Q16" s="42">
        <f>IF($B16="","",IF($B$2="Todos",SUMIFS(BD!$Q$3:$Q$5001,BD!$A$3:$A$5001,$B16),SUMIFS(BD!$Q$3:$Q$5001,BD!$A$3:$A$5001,$B16,BD!$B$3:$B$5001,$D$2)))</f>
        <v>0</v>
      </c>
      <c r="R16" s="42">
        <f>IF($B16="","",IF($B$2="Todos",SUMIFS(BD!$R$3:$R$5001,BD!$A$3:$A$5001,$B16),SUMIFS(BD!$R$3:$R$5001,BD!$A$3:$A$5001,$B16,BD!$B$3:$B$5001,$D$2)))</f>
        <v>0</v>
      </c>
      <c r="S16" s="58">
        <f>IF($B16="","",IF($B$2="Todos",SUMIFS(BD!$S$3:$S$5001,BD!$A$3:$A$5001,$B16),SUMIFS(BD!$S$3:$S$5001,BD!$A$3:$A$5001,$B16,BD!$B$3:$B$5001,$D$2)))</f>
        <v>0</v>
      </c>
      <c r="T16" s="42">
        <f>IF($B16="","",IF($B$2="Todos",SUMIFS(BD!$T$3:$T$5001,BD!$A$3:$A$5001,$B16),SUMIFS(BD!$T$3:$T$5001,BD!$A$3:$A$5001,$B16,BD!$B$3:$B$5001,$D$2)))</f>
        <v>0</v>
      </c>
      <c r="U16" s="42">
        <f>IF($B16="","",IF($B$2="Todos",SUMIFS(BD!$U$3:$U$5001,BD!$A$3:$A$5001,$B16),SUMIFS(BD!$U$3:$U$5001,BD!$A$3:$A$5001,$B16,BD!$B$3:$B$5001,$D$2)))</f>
        <v>0</v>
      </c>
      <c r="V16" s="42" t="str">
        <f>IF($B$2="Todos",IF(COUNT($C$145:$V$145)=0,"",SUM($C$145:$V$145)),IFERROR(INDEX($C$145:$V$145,MATCH($D$2,$C$140:$V$140,0)),""))</f>
        <v/>
      </c>
      <c r="W16" s="42" t="str">
        <f>IF($B$2="Todos",IF(COUNT($C$180:$V$180)=0,"",SUM($C$180:$V$180)),IFERROR(INDEX($C$180:$V$180,MATCH($D$2,$C$175:$V$175,0)),""))</f>
        <v/>
      </c>
      <c r="X16" s="59" t="str">
        <f>IF(Y16="","",IF($B$2="Todos",IF($B$4&gt;0,$B$4,IF($B$2="Todos",IF(COUNT($C$250:$V$250)=0,"",SUM($C$250:$V$250)),IFERROR(INDEX($C$250:$V$250,MATCH($D$2,$C$245:$V$245,0)),""))),IFERROR(INDEX($C$250:$V$250,MATCH($D$2,$C$245:$V$245,0)),"")))</f>
        <v/>
      </c>
      <c r="Y16" s="42" t="str">
        <f>IF($B$2="Todos",IF(COUNT($C$215:$V$215)=0,"",SUM($C$215:$V$215)),IFERROR(INDEX($C$215:$V$215,MATCH($D$2,$C$210:$V$210,0)),""))</f>
        <v/>
      </c>
      <c r="Z16" s="60" t="str">
        <f>IF(AND(ISNUMBER(Y16),ISNUMBER(X16)),IF(X16&gt;0,Y16/X16,""),"")</f>
        <v/>
      </c>
      <c r="AA16" s="42" t="str">
        <f>IF($B$2="Todos",IF(COUNT($C$285:$V$285)=0,"",SUM($C$285:$V$285)),IFERROR(INDEX($C$285:$V$285,MATCH($D$2,$C$280:$V$280,0)),""))</f>
        <v/>
      </c>
      <c r="AB16" s="42">
        <f>IF($B16="","",IF($B$2="Todos",SUMIFS(BD!$AA$3:$AA$5001,BD!$A$3:$A$5001,$B16),SUMIFS(BD!$AA$3:$AA$5001,BD!$A$3:$A$5001,$B16,BD!$B$3:$B$5001,$D$2)))</f>
        <v>0</v>
      </c>
      <c r="AC16" s="58">
        <f>IF($B16="","",IF($B$2="Todos",SUMIFS(BD!$AB$3:$AB$5001,BD!$A$3:$A$5001,$B16),SUMIFS(BD!$AB$3:$AB$5001,BD!$A$3:$A$5001,$B16,BD!$B$3:$B$5001,$D$2)))</f>
        <v>0</v>
      </c>
      <c r="AD16" s="42">
        <f>IF($B16="","",IF($B$2="Todos",SUMIFS(BD!$AC$3:$AC$5001,BD!$A$3:$A$5001,$B16),SUMIFS(BD!$AC$3:$AC$5001,BD!$A$3:$A$5001,$B16,BD!$B$3:$B$5001,$D$2)))</f>
        <v>0</v>
      </c>
      <c r="AE16" s="42">
        <f>IF($B16="","",IF($B$2="Todos",SUMIFS(BD!$AD$3:$AD$5001,BD!$A$3:$A$5001,$B16),SUMIFS(BD!$AD$3:$AD$5001,BD!$A$3:$A$5001,$B16,BD!$B$3:$B$5001,$D$2)))</f>
        <v>0</v>
      </c>
      <c r="AF16" s="42">
        <f>IF($B16="","",IF($B$2="Todos",SUMIFS(BD!$AE$3:$AE$5001,BD!$A$3:$A$5001,$B16),SUMIFS(BD!$AE$3:$AE$5001,BD!$A$3:$A$5001,$B16,BD!$B$3:$B$5001,$D$2)))</f>
        <v>0</v>
      </c>
      <c r="AG16" s="42">
        <f>IF($B16="","",IF($B$2="Todos",SUMIFS(BD!$AF$3:$AF$5001,BD!$A$3:$A$5001,$B16),SUMIFS(BD!$AF$3:$AF$5001,BD!$A$3:$A$5001,$B16,BD!$B$3:$B$5001,$D$2)))</f>
        <v>0</v>
      </c>
      <c r="AH16" s="42">
        <f>IF($B16="","",IF($B$2="Todos",SUMIFS(BD!$AG$3:$AG$5001,BD!$A$3:$A$5001,$B16),SUMIFS(BD!$AG$3:$AG$5001,BD!$A$3:$A$5001,$B16,BD!$B$3:$B$5001,$D$2)))</f>
        <v>0</v>
      </c>
      <c r="AI16" s="42">
        <f>IF($B16="","",IF($B$2="Todos",SUMIFS(BD!$AH$3:$AH$5001,BD!$A$3:$A$5001,$B16),SUMIFS(BD!$AH$3:$AH$5001,BD!$A$3:$A$5001,$B16,BD!$B$3:$B$5001,$D$2)))</f>
        <v>0</v>
      </c>
      <c r="AJ16" s="61">
        <f>$B$5</f>
        <v>0.7</v>
      </c>
      <c r="AK16" s="61">
        <f>$B$6</f>
        <v>0.9</v>
      </c>
      <c r="AN16" s="40" t="inlineStr">
        <is>
          <t xml:space="preserve">MAIO · 2026</t>
        </is>
      </c>
      <c r="AP16" s="40" t="str">
        <f>IFERROR(INDEX(Config!$B$10:$B$29,MATCH(4,$AR$13:$AR$32,0))&amp;"","")</f>
        <v>Boticário</v>
      </c>
      <c r="AQ16" s="39" t="str">
        <f>IF(AP16="","",IF(INDEX(Config!$C$10:$C$29,MATCH(4,$AR$13:$AR$32,0))&amp;""="","TPC",INDEX(Config!$C$10:$C$29,MATCH(4,$AR$13:$AR$32,0))&amp;""))</f>
        <v>TPC</v>
      </c>
      <c r="AR16" s="48">
        <f>IF(Config!$B$13&amp;""="",AR15,AR15+1)</f>
        <v>4</v>
      </c>
      <c r="AS16" s="40" t="str">
        <f>$AM$384&amp;" — "&amp;IF($B$2="Todos","TODOS OS CLIENTES",UPPER($B$2))</f>
        <v>ACUMULADO SEMANAL PALETES — TODOS OS CLIENTES</v>
      </c>
      <c r="AZ16" s="72">
        <f>IF(OR($B16="",N(VALUE($AH$384))=0),"",IF(INDEX($C16:$AI16,VALUE($AH$384))="","",IF(N(VALUE($AJ$384))=0,INDEX($C16:$AI16,VALUE($AH$384)),IF(N(INDEX($C16:$AI16,N(VALUE($AJ$384))))&gt;0,INDEX($C16:$AI16,VALUE($AH$384))/INDEX($C16:$AI16,N(VALUE($AJ$384))),""))))</f>
        <v>0</v>
      </c>
      <c r="BA16" s="72">
        <f>IF(OR($B16="",N(VALUE($AI$384))=0),"",IF(INDEX($C16:$AI16,VALUE($AI$384))="","",IF(N(VALUE($AK$384))=0,INDEX($C16:$AI16,VALUE($AI$384)),IF(N(INDEX($C16:$AI16,N(VALUE($AK$384))))&gt;0,INDEX($C16:$AI16,VALUE($AI$384))/INDEX($C16:$AI16,N(VALUE($AK$384))),""))))</f>
        <v>0</v>
      </c>
      <c r="BB16" s="72">
        <f>IF(OR($B16="",N(VALUE($AP$384))=0),"",IF(INDEX($C16:$AI16,VALUE($AP$384))="","",IF(N(VALUE($AR$384))=0,INDEX($C16:$AI16,VALUE($AP$384)),IF(N(INDEX($C16:$AI16,N(VALUE($AR$384))))&gt;0,INDEX($C16:$AI16,VALUE($AP$384))/INDEX($C16:$AI16,N(VALUE($AR$384))),""))))</f>
        <v>0</v>
      </c>
      <c r="BC16" s="72">
        <f>IF(OR($B16="",N(VALUE($AQ$384))=0),"",IF(INDEX($C16:$AI16,VALUE($AQ$384))="","",IF(N(VALUE($AS$384))=0,INDEX($C16:$AI16,VALUE($AQ$384)),IF(N(INDEX($C16:$AI16,N(VALUE($AS$384))))&gt;0,INDEX($C16:$AI16,VALUE($AQ$384))/INDEX($C16:$AI16,N(VALUE($AS$384))),""))))</f>
        <v>0</v>
      </c>
      <c r="BE16" s="42" t="str">
        <f>IF(AND($A16=$B$9,ISNUMBER(X16)),X16,NA())</f>
        <v/>
      </c>
    </row>
    <row r="17">
      <c r="A17" s="39">
        <v>6</v>
      </c>
      <c r="B17" s="57">
        <f>IF($A17&lt;=DAY($D$7),$C$7+$A17-1,"")</f>
        <v>46301</v>
      </c>
      <c r="C17" s="42">
        <f>IF($B17="","",IF($B$2="Todos",SUMIFS(BD!$C$3:$C$5001,BD!$A$3:$A$5001,$B17),SUMIFS(BD!$C$3:$C$5001,BD!$A$3:$A$5001,$B17,BD!$B$3:$B$5001,$D$2)))</f>
        <v>0</v>
      </c>
      <c r="D17" s="42">
        <f>IF($B17="","",IF($B$2="Todos",SUMIFS(BD!$D$3:$D$5001,BD!$A$3:$A$5001,$B17),SUMIFS(BD!$D$3:$D$5001,BD!$A$3:$A$5001,$B17,BD!$B$3:$B$5001,$D$2)))</f>
        <v>0</v>
      </c>
      <c r="E17" s="58">
        <f>IF($B17="","",IF($B$2="Todos",SUMIFS(BD!$E$3:$E$5001,BD!$A$3:$A$5001,$B17),SUMIFS(BD!$E$3:$E$5001,BD!$A$3:$A$5001,$B17,BD!$B$3:$B$5001,$D$2)))</f>
        <v>0</v>
      </c>
      <c r="F17" s="42">
        <f>IF($B17="","",IF($B$2="Todos",SUMIFS(BD!$F$3:$F$5001,BD!$A$3:$A$5001,$B17),SUMIFS(BD!$F$3:$F$5001,BD!$A$3:$A$5001,$B17,BD!$B$3:$B$5001,$D$2)))</f>
        <v>0</v>
      </c>
      <c r="G17" s="42">
        <f>IF($B17="","",IF($B$2="Todos",SUMIFS(BD!$G$3:$G$5001,BD!$A$3:$A$5001,$B17),SUMIFS(BD!$G$3:$G$5001,BD!$A$3:$A$5001,$B17,BD!$B$3:$B$5001,$D$2)))</f>
        <v>0</v>
      </c>
      <c r="H17" s="42">
        <f>IF($B17="","",IF($B$2="Todos",SUMIFS(BD!$H$3:$H$5001,BD!$A$3:$A$5001,$B17),SUMIFS(BD!$H$3:$H$5001,BD!$A$3:$A$5001,$B17,BD!$B$3:$B$5001,$D$2)))</f>
        <v>0</v>
      </c>
      <c r="I17" s="42">
        <f>IF($B17="","",IF($B$2="Todos",SUMIFS(BD!$I$3:$I$5001,BD!$A$3:$A$5001,$B17),SUMIFS(BD!$I$3:$I$5001,BD!$A$3:$A$5001,$B17,BD!$B$3:$B$5001,$D$2)))</f>
        <v>0</v>
      </c>
      <c r="J17" s="42">
        <f>IF($B17="","",IF($B$2="Todos",SUMIFS(BD!$J$3:$J$5001,BD!$A$3:$A$5001,$B17),SUMIFS(BD!$J$3:$J$5001,BD!$A$3:$A$5001,$B17,BD!$B$3:$B$5001,$D$2)))</f>
        <v>0</v>
      </c>
      <c r="K17" s="42">
        <f>IF($B17="","",IF($B$2="Todos",SUMIFS(BD!$K$3:$K$5001,BD!$A$3:$A$5001,$B17),SUMIFS(BD!$K$3:$K$5001,BD!$A$3:$A$5001,$B17,BD!$B$3:$B$5001,$D$2)))</f>
        <v>0</v>
      </c>
      <c r="L17" s="42">
        <f>IF($B17="","",IF($B$2="Todos",SUMIFS(BD!$L$3:$L$5001,BD!$A$3:$A$5001,$B17),SUMIFS(BD!$L$3:$L$5001,BD!$A$3:$A$5001,$B17,BD!$B$3:$B$5001,$D$2)))</f>
        <v>0</v>
      </c>
      <c r="M17" s="42">
        <f>IF($B17="","",IF($B$2="Todos",SUMIFS(BD!$M$3:$M$5001,BD!$A$3:$A$5001,$B17),SUMIFS(BD!$M$3:$M$5001,BD!$A$3:$A$5001,$B17,BD!$B$3:$B$5001,$D$2)))</f>
        <v>0</v>
      </c>
      <c r="N17" s="42">
        <f>IF($B17="","",IF($B$2="Todos",SUMIFS(BD!$N$3:$N$5001,BD!$A$3:$A$5001,$B17),SUMIFS(BD!$N$3:$N$5001,BD!$A$3:$A$5001,$B17,BD!$B$3:$B$5001,$D$2)))</f>
        <v>0</v>
      </c>
      <c r="O17" s="42">
        <f>IF($B17="","",IF($B$2="Todos",SUMIFS(BD!$O$3:$O$5001,BD!$A$3:$A$5001,$B17),SUMIFS(BD!$O$3:$O$5001,BD!$A$3:$A$5001,$B17,BD!$B$3:$B$5001,$D$2)))</f>
        <v>0</v>
      </c>
      <c r="P17" s="42">
        <f>IF($B17="","",IF($B$2="Todos",SUMIFS(BD!$P$3:$P$5001,BD!$A$3:$A$5001,$B17),SUMIFS(BD!$P$3:$P$5001,BD!$A$3:$A$5001,$B17,BD!$B$3:$B$5001,$D$2)))</f>
        <v>0</v>
      </c>
      <c r="Q17" s="42">
        <f>IF($B17="","",IF($B$2="Todos",SUMIFS(BD!$Q$3:$Q$5001,BD!$A$3:$A$5001,$B17),SUMIFS(BD!$Q$3:$Q$5001,BD!$A$3:$A$5001,$B17,BD!$B$3:$B$5001,$D$2)))</f>
        <v>0</v>
      </c>
      <c r="R17" s="42">
        <f>IF($B17="","",IF($B$2="Todos",SUMIFS(BD!$R$3:$R$5001,BD!$A$3:$A$5001,$B17),SUMIFS(BD!$R$3:$R$5001,BD!$A$3:$A$5001,$B17,BD!$B$3:$B$5001,$D$2)))</f>
        <v>0</v>
      </c>
      <c r="S17" s="58">
        <f>IF($B17="","",IF($B$2="Todos",SUMIFS(BD!$S$3:$S$5001,BD!$A$3:$A$5001,$B17),SUMIFS(BD!$S$3:$S$5001,BD!$A$3:$A$5001,$B17,BD!$B$3:$B$5001,$D$2)))</f>
        <v>0</v>
      </c>
      <c r="T17" s="42">
        <f>IF($B17="","",IF($B$2="Todos",SUMIFS(BD!$T$3:$T$5001,BD!$A$3:$A$5001,$B17),SUMIFS(BD!$T$3:$T$5001,BD!$A$3:$A$5001,$B17,BD!$B$3:$B$5001,$D$2)))</f>
        <v>0</v>
      </c>
      <c r="U17" s="42">
        <f>IF($B17="","",IF($B$2="Todos",SUMIFS(BD!$U$3:$U$5001,BD!$A$3:$A$5001,$B17),SUMIFS(BD!$U$3:$U$5001,BD!$A$3:$A$5001,$B17,BD!$B$3:$B$5001,$D$2)))</f>
        <v>0</v>
      </c>
      <c r="V17" s="42" t="str">
        <f>IF($B$2="Todos",IF(COUNT($C$146:$V$146)=0,"",SUM($C$146:$V$146)),IFERROR(INDEX($C$146:$V$146,MATCH($D$2,$C$140:$V$140,0)),""))</f>
        <v/>
      </c>
      <c r="W17" s="42" t="str">
        <f>IF($B$2="Todos",IF(COUNT($C$181:$V$181)=0,"",SUM($C$181:$V$181)),IFERROR(INDEX($C$181:$V$181,MATCH($D$2,$C$175:$V$175,0)),""))</f>
        <v/>
      </c>
      <c r="X17" s="59" t="str">
        <f>IF(Y17="","",IF($B$2="Todos",IF($B$4&gt;0,$B$4,IF($B$2="Todos",IF(COUNT($C$251:$V$251)=0,"",SUM($C$251:$V$251)),IFERROR(INDEX($C$251:$V$251,MATCH($D$2,$C$245:$V$245,0)),""))),IFERROR(INDEX($C$251:$V$251,MATCH($D$2,$C$245:$V$245,0)),"")))</f>
        <v/>
      </c>
      <c r="Y17" s="42" t="str">
        <f>IF($B$2="Todos",IF(COUNT($C$216:$V$216)=0,"",SUM($C$216:$V$216)),IFERROR(INDEX($C$216:$V$216,MATCH($D$2,$C$210:$V$210,0)),""))</f>
        <v/>
      </c>
      <c r="Z17" s="60" t="str">
        <f>IF(AND(ISNUMBER(Y17),ISNUMBER(X17)),IF(X17&gt;0,Y17/X17,""),"")</f>
        <v/>
      </c>
      <c r="AA17" s="42" t="str">
        <f>IF($B$2="Todos",IF(COUNT($C$286:$V$286)=0,"",SUM($C$286:$V$286)),IFERROR(INDEX($C$286:$V$286,MATCH($D$2,$C$280:$V$280,0)),""))</f>
        <v/>
      </c>
      <c r="AB17" s="42">
        <f>IF($B17="","",IF($B$2="Todos",SUMIFS(BD!$AA$3:$AA$5001,BD!$A$3:$A$5001,$B17),SUMIFS(BD!$AA$3:$AA$5001,BD!$A$3:$A$5001,$B17,BD!$B$3:$B$5001,$D$2)))</f>
        <v>0</v>
      </c>
      <c r="AC17" s="58">
        <f>IF($B17="","",IF($B$2="Todos",SUMIFS(BD!$AB$3:$AB$5001,BD!$A$3:$A$5001,$B17),SUMIFS(BD!$AB$3:$AB$5001,BD!$A$3:$A$5001,$B17,BD!$B$3:$B$5001,$D$2)))</f>
        <v>0</v>
      </c>
      <c r="AD17" s="42">
        <f>IF($B17="","",IF($B$2="Todos",SUMIFS(BD!$AC$3:$AC$5001,BD!$A$3:$A$5001,$B17),SUMIFS(BD!$AC$3:$AC$5001,BD!$A$3:$A$5001,$B17,BD!$B$3:$B$5001,$D$2)))</f>
        <v>0</v>
      </c>
      <c r="AE17" s="42">
        <f>IF($B17="","",IF($B$2="Todos",SUMIFS(BD!$AD$3:$AD$5001,BD!$A$3:$A$5001,$B17),SUMIFS(BD!$AD$3:$AD$5001,BD!$A$3:$A$5001,$B17,BD!$B$3:$B$5001,$D$2)))</f>
        <v>0</v>
      </c>
      <c r="AF17" s="42">
        <f>IF($B17="","",IF($B$2="Todos",SUMIFS(BD!$AE$3:$AE$5001,BD!$A$3:$A$5001,$B17),SUMIFS(BD!$AE$3:$AE$5001,BD!$A$3:$A$5001,$B17,BD!$B$3:$B$5001,$D$2)))</f>
        <v>0</v>
      </c>
      <c r="AG17" s="42">
        <f>IF($B17="","",IF($B$2="Todos",SUMIFS(BD!$AF$3:$AF$5001,BD!$A$3:$A$5001,$B17),SUMIFS(BD!$AF$3:$AF$5001,BD!$A$3:$A$5001,$B17,BD!$B$3:$B$5001,$D$2)))</f>
        <v>0</v>
      </c>
      <c r="AH17" s="42">
        <f>IF($B17="","",IF($B$2="Todos",SUMIFS(BD!$AG$3:$AG$5001,BD!$A$3:$A$5001,$B17),SUMIFS(BD!$AG$3:$AG$5001,BD!$A$3:$A$5001,$B17,BD!$B$3:$B$5001,$D$2)))</f>
        <v>0</v>
      </c>
      <c r="AI17" s="42">
        <f>IF($B17="","",IF($B$2="Todos",SUMIFS(BD!$AH$3:$AH$5001,BD!$A$3:$A$5001,$B17),SUMIFS(BD!$AH$3:$AH$5001,BD!$A$3:$A$5001,$B17,BD!$B$3:$B$5001,$D$2)))</f>
        <v>0</v>
      </c>
      <c r="AJ17" s="61">
        <f>$B$5</f>
        <v>0.7</v>
      </c>
      <c r="AK17" s="61">
        <f>$B$6</f>
        <v>0.9</v>
      </c>
      <c r="AN17" s="40" t="inlineStr">
        <is>
          <t xml:space="preserve">JUNHO · 2026</t>
        </is>
      </c>
      <c r="AP17" s="40" t="str">
        <f>IFERROR(INDEX(Config!$B$10:$B$29,MATCH(5,$AR$13:$AR$32,0))&amp;"","")</f>
        <v>Confiance</v>
      </c>
      <c r="AQ17" s="39" t="str">
        <f>IF(AP17="","",IF(INDEX(Config!$C$10:$C$29,MATCH(5,$AR$13:$AR$32,0))&amp;""="","TPC",INDEX(Config!$C$10:$C$29,MATCH(5,$AR$13:$AR$32,0))&amp;""))</f>
        <v>TPC</v>
      </c>
      <c r="AR17" s="48">
        <f>IF(Config!$B$14&amp;""="",AR16,AR16+1)</f>
        <v>5</v>
      </c>
      <c r="AS17" s="40" t="str">
        <f>$AU$384&amp;" — "&amp;IF($B$2="Todos","TODOS OS CLIENTES",UPPER($B$2))</f>
        <v>ACUMULADO SEMANAL TONS — TODOS OS CLIENTES</v>
      </c>
      <c r="AZ17" s="72">
        <f>IF(OR($B17="",N(VALUE($AH$384))=0),"",IF(INDEX($C17:$AI17,VALUE($AH$384))="","",IF(N(VALUE($AJ$384))=0,INDEX($C17:$AI17,VALUE($AH$384)),IF(N(INDEX($C17:$AI17,N(VALUE($AJ$384))))&gt;0,INDEX($C17:$AI17,VALUE($AH$384))/INDEX($C17:$AI17,N(VALUE($AJ$384))),""))))</f>
        <v>0</v>
      </c>
      <c r="BA17" s="72">
        <f>IF(OR($B17="",N(VALUE($AI$384))=0),"",IF(INDEX($C17:$AI17,VALUE($AI$384))="","",IF(N(VALUE($AK$384))=0,INDEX($C17:$AI17,VALUE($AI$384)),IF(N(INDEX($C17:$AI17,N(VALUE($AK$384))))&gt;0,INDEX($C17:$AI17,VALUE($AI$384))/INDEX($C17:$AI17,N(VALUE($AK$384))),""))))</f>
        <v>0</v>
      </c>
      <c r="BB17" s="72">
        <f>IF(OR($B17="",N(VALUE($AP$384))=0),"",IF(INDEX($C17:$AI17,VALUE($AP$384))="","",IF(N(VALUE($AR$384))=0,INDEX($C17:$AI17,VALUE($AP$384)),IF(N(INDEX($C17:$AI17,N(VALUE($AR$384))))&gt;0,INDEX($C17:$AI17,VALUE($AP$384))/INDEX($C17:$AI17,N(VALUE($AR$384))),""))))</f>
        <v>0</v>
      </c>
      <c r="BC17" s="72">
        <f>IF(OR($B17="",N(VALUE($AQ$384))=0),"",IF(INDEX($C17:$AI17,VALUE($AQ$384))="","",IF(N(VALUE($AS$384))=0,INDEX($C17:$AI17,VALUE($AQ$384)),IF(N(INDEX($C17:$AI17,N(VALUE($AS$384))))&gt;0,INDEX($C17:$AI17,VALUE($AQ$384))/INDEX($C17:$AI17,N(VALUE($AS$384))),""))))</f>
        <v>0</v>
      </c>
      <c r="BE17" s="42" t="str">
        <f>IF(AND($A17=$B$9,ISNUMBER(X17)),X17,NA())</f>
        <v/>
      </c>
    </row>
    <row r="18">
      <c r="A18" s="39">
        <v>7</v>
      </c>
      <c r="B18" s="57">
        <f>IF($A18&lt;=DAY($D$7),$C$7+$A18-1,"")</f>
        <v>46302</v>
      </c>
      <c r="C18" s="42">
        <f>IF($B18="","",IF($B$2="Todos",SUMIFS(BD!$C$3:$C$5001,BD!$A$3:$A$5001,$B18),SUMIFS(BD!$C$3:$C$5001,BD!$A$3:$A$5001,$B18,BD!$B$3:$B$5001,$D$2)))</f>
        <v>0</v>
      </c>
      <c r="D18" s="42">
        <f>IF($B18="","",IF($B$2="Todos",SUMIFS(BD!$D$3:$D$5001,BD!$A$3:$A$5001,$B18),SUMIFS(BD!$D$3:$D$5001,BD!$A$3:$A$5001,$B18,BD!$B$3:$B$5001,$D$2)))</f>
        <v>0</v>
      </c>
      <c r="E18" s="58">
        <f>IF($B18="","",IF($B$2="Todos",SUMIFS(BD!$E$3:$E$5001,BD!$A$3:$A$5001,$B18),SUMIFS(BD!$E$3:$E$5001,BD!$A$3:$A$5001,$B18,BD!$B$3:$B$5001,$D$2)))</f>
        <v>0</v>
      </c>
      <c r="F18" s="42">
        <f>IF($B18="","",IF($B$2="Todos",SUMIFS(BD!$F$3:$F$5001,BD!$A$3:$A$5001,$B18),SUMIFS(BD!$F$3:$F$5001,BD!$A$3:$A$5001,$B18,BD!$B$3:$B$5001,$D$2)))</f>
        <v>0</v>
      </c>
      <c r="G18" s="42">
        <f>IF($B18="","",IF($B$2="Todos",SUMIFS(BD!$G$3:$G$5001,BD!$A$3:$A$5001,$B18),SUMIFS(BD!$G$3:$G$5001,BD!$A$3:$A$5001,$B18,BD!$B$3:$B$5001,$D$2)))</f>
        <v>0</v>
      </c>
      <c r="H18" s="42">
        <f>IF($B18="","",IF($B$2="Todos",SUMIFS(BD!$H$3:$H$5001,BD!$A$3:$A$5001,$B18),SUMIFS(BD!$H$3:$H$5001,BD!$A$3:$A$5001,$B18,BD!$B$3:$B$5001,$D$2)))</f>
        <v>0</v>
      </c>
      <c r="I18" s="42">
        <f>IF($B18="","",IF($B$2="Todos",SUMIFS(BD!$I$3:$I$5001,BD!$A$3:$A$5001,$B18),SUMIFS(BD!$I$3:$I$5001,BD!$A$3:$A$5001,$B18,BD!$B$3:$B$5001,$D$2)))</f>
        <v>0</v>
      </c>
      <c r="J18" s="42">
        <f>IF($B18="","",IF($B$2="Todos",SUMIFS(BD!$J$3:$J$5001,BD!$A$3:$A$5001,$B18),SUMIFS(BD!$J$3:$J$5001,BD!$A$3:$A$5001,$B18,BD!$B$3:$B$5001,$D$2)))</f>
        <v>0</v>
      </c>
      <c r="K18" s="42">
        <f>IF($B18="","",IF($B$2="Todos",SUMIFS(BD!$K$3:$K$5001,BD!$A$3:$A$5001,$B18),SUMIFS(BD!$K$3:$K$5001,BD!$A$3:$A$5001,$B18,BD!$B$3:$B$5001,$D$2)))</f>
        <v>0</v>
      </c>
      <c r="L18" s="42">
        <f>IF($B18="","",IF($B$2="Todos",SUMIFS(BD!$L$3:$L$5001,BD!$A$3:$A$5001,$B18),SUMIFS(BD!$L$3:$L$5001,BD!$A$3:$A$5001,$B18,BD!$B$3:$B$5001,$D$2)))</f>
        <v>0</v>
      </c>
      <c r="M18" s="42">
        <f>IF($B18="","",IF($B$2="Todos",SUMIFS(BD!$M$3:$M$5001,BD!$A$3:$A$5001,$B18),SUMIFS(BD!$M$3:$M$5001,BD!$A$3:$A$5001,$B18,BD!$B$3:$B$5001,$D$2)))</f>
        <v>0</v>
      </c>
      <c r="N18" s="42">
        <f>IF($B18="","",IF($B$2="Todos",SUMIFS(BD!$N$3:$N$5001,BD!$A$3:$A$5001,$B18),SUMIFS(BD!$N$3:$N$5001,BD!$A$3:$A$5001,$B18,BD!$B$3:$B$5001,$D$2)))</f>
        <v>0</v>
      </c>
      <c r="O18" s="42">
        <f>IF($B18="","",IF($B$2="Todos",SUMIFS(BD!$O$3:$O$5001,BD!$A$3:$A$5001,$B18),SUMIFS(BD!$O$3:$O$5001,BD!$A$3:$A$5001,$B18,BD!$B$3:$B$5001,$D$2)))</f>
        <v>0</v>
      </c>
      <c r="P18" s="42">
        <f>IF($B18="","",IF($B$2="Todos",SUMIFS(BD!$P$3:$P$5001,BD!$A$3:$A$5001,$B18),SUMIFS(BD!$P$3:$P$5001,BD!$A$3:$A$5001,$B18,BD!$B$3:$B$5001,$D$2)))</f>
        <v>0</v>
      </c>
      <c r="Q18" s="42">
        <f>IF($B18="","",IF($B$2="Todos",SUMIFS(BD!$Q$3:$Q$5001,BD!$A$3:$A$5001,$B18),SUMIFS(BD!$Q$3:$Q$5001,BD!$A$3:$A$5001,$B18,BD!$B$3:$B$5001,$D$2)))</f>
        <v>0</v>
      </c>
      <c r="R18" s="42">
        <f>IF($B18="","",IF($B$2="Todos",SUMIFS(BD!$R$3:$R$5001,BD!$A$3:$A$5001,$B18),SUMIFS(BD!$R$3:$R$5001,BD!$A$3:$A$5001,$B18,BD!$B$3:$B$5001,$D$2)))</f>
        <v>0</v>
      </c>
      <c r="S18" s="58">
        <f>IF($B18="","",IF($B$2="Todos",SUMIFS(BD!$S$3:$S$5001,BD!$A$3:$A$5001,$B18),SUMIFS(BD!$S$3:$S$5001,BD!$A$3:$A$5001,$B18,BD!$B$3:$B$5001,$D$2)))</f>
        <v>0</v>
      </c>
      <c r="T18" s="42">
        <f>IF($B18="","",IF($B$2="Todos",SUMIFS(BD!$T$3:$T$5001,BD!$A$3:$A$5001,$B18),SUMIFS(BD!$T$3:$T$5001,BD!$A$3:$A$5001,$B18,BD!$B$3:$B$5001,$D$2)))</f>
        <v>0</v>
      </c>
      <c r="U18" s="42">
        <f>IF($B18="","",IF($B$2="Todos",SUMIFS(BD!$U$3:$U$5001,BD!$A$3:$A$5001,$B18),SUMIFS(BD!$U$3:$U$5001,BD!$A$3:$A$5001,$B18,BD!$B$3:$B$5001,$D$2)))</f>
        <v>0</v>
      </c>
      <c r="V18" s="42" t="str">
        <f>IF($B$2="Todos",IF(COUNT($C$147:$V$147)=0,"",SUM($C$147:$V$147)),IFERROR(INDEX($C$147:$V$147,MATCH($D$2,$C$140:$V$140,0)),""))</f>
        <v/>
      </c>
      <c r="W18" s="42" t="str">
        <f>IF($B$2="Todos",IF(COUNT($C$182:$V$182)=0,"",SUM($C$182:$V$182)),IFERROR(INDEX($C$182:$V$182,MATCH($D$2,$C$175:$V$175,0)),""))</f>
        <v/>
      </c>
      <c r="X18" s="59" t="str">
        <f>IF(Y18="","",IF($B$2="Todos",IF($B$4&gt;0,$B$4,IF($B$2="Todos",IF(COUNT($C$252:$V$252)=0,"",SUM($C$252:$V$252)),IFERROR(INDEX($C$252:$V$252,MATCH($D$2,$C$245:$V$245,0)),""))),IFERROR(INDEX($C$252:$V$252,MATCH($D$2,$C$245:$V$245,0)),"")))</f>
        <v/>
      </c>
      <c r="Y18" s="42" t="str">
        <f>IF($B$2="Todos",IF(COUNT($C$217:$V$217)=0,"",SUM($C$217:$V$217)),IFERROR(INDEX($C$217:$V$217,MATCH($D$2,$C$210:$V$210,0)),""))</f>
        <v/>
      </c>
      <c r="Z18" s="60" t="str">
        <f>IF(AND(ISNUMBER(Y18),ISNUMBER(X18)),IF(X18&gt;0,Y18/X18,""),"")</f>
        <v/>
      </c>
      <c r="AA18" s="42" t="str">
        <f>IF($B$2="Todos",IF(COUNT($C$287:$V$287)=0,"",SUM($C$287:$V$287)),IFERROR(INDEX($C$287:$V$287,MATCH($D$2,$C$280:$V$280,0)),""))</f>
        <v/>
      </c>
      <c r="AB18" s="42">
        <f>IF($B18="","",IF($B$2="Todos",SUMIFS(BD!$AA$3:$AA$5001,BD!$A$3:$A$5001,$B18),SUMIFS(BD!$AA$3:$AA$5001,BD!$A$3:$A$5001,$B18,BD!$B$3:$B$5001,$D$2)))</f>
        <v>0</v>
      </c>
      <c r="AC18" s="58">
        <f>IF($B18="","",IF($B$2="Todos",SUMIFS(BD!$AB$3:$AB$5001,BD!$A$3:$A$5001,$B18),SUMIFS(BD!$AB$3:$AB$5001,BD!$A$3:$A$5001,$B18,BD!$B$3:$B$5001,$D$2)))</f>
        <v>0</v>
      </c>
      <c r="AD18" s="42">
        <f>IF($B18="","",IF($B$2="Todos",SUMIFS(BD!$AC$3:$AC$5001,BD!$A$3:$A$5001,$B18),SUMIFS(BD!$AC$3:$AC$5001,BD!$A$3:$A$5001,$B18,BD!$B$3:$B$5001,$D$2)))</f>
        <v>0</v>
      </c>
      <c r="AE18" s="42">
        <f>IF($B18="","",IF($B$2="Todos",SUMIFS(BD!$AD$3:$AD$5001,BD!$A$3:$A$5001,$B18),SUMIFS(BD!$AD$3:$AD$5001,BD!$A$3:$A$5001,$B18,BD!$B$3:$B$5001,$D$2)))</f>
        <v>0</v>
      </c>
      <c r="AF18" s="42">
        <f>IF($B18="","",IF($B$2="Todos",SUMIFS(BD!$AE$3:$AE$5001,BD!$A$3:$A$5001,$B18),SUMIFS(BD!$AE$3:$AE$5001,BD!$A$3:$A$5001,$B18,BD!$B$3:$B$5001,$D$2)))</f>
        <v>0</v>
      </c>
      <c r="AG18" s="42">
        <f>IF($B18="","",IF($B$2="Todos",SUMIFS(BD!$AF$3:$AF$5001,BD!$A$3:$A$5001,$B18),SUMIFS(BD!$AF$3:$AF$5001,BD!$A$3:$A$5001,$B18,BD!$B$3:$B$5001,$D$2)))</f>
        <v>0</v>
      </c>
      <c r="AH18" s="42">
        <f>IF($B18="","",IF($B$2="Todos",SUMIFS(BD!$AG$3:$AG$5001,BD!$A$3:$A$5001,$B18),SUMIFS(BD!$AG$3:$AG$5001,BD!$A$3:$A$5001,$B18,BD!$B$3:$B$5001,$D$2)))</f>
        <v>0</v>
      </c>
      <c r="AI18" s="42">
        <f>IF($B18="","",IF($B$2="Todos",SUMIFS(BD!$AH$3:$AH$5001,BD!$A$3:$A$5001,$B18),SUMIFS(BD!$AH$3:$AH$5001,BD!$A$3:$A$5001,$B18,BD!$B$3:$B$5001,$D$2)))</f>
        <v>0</v>
      </c>
      <c r="AJ18" s="61">
        <f>$B$5</f>
        <v>0.7</v>
      </c>
      <c r="AK18" s="61">
        <f>$B$6</f>
        <v>0.9</v>
      </c>
      <c r="AN18" s="40" t="inlineStr">
        <is>
          <t xml:space="preserve">JULHO · 2026</t>
        </is>
      </c>
      <c r="AP18" s="40" t="str">
        <f>IFERROR(INDEX(Config!$B$10:$B$29,MATCH(6,$AR$13:$AR$32,0))&amp;"","")</f>
        <v>GE Vernova</v>
      </c>
      <c r="AQ18" s="39" t="str">
        <f>IF(AP18="","",IF(INDEX(Config!$C$10:$C$29,MATCH(6,$AR$13:$AR$32,0))&amp;""="","TPC",INDEX(Config!$C$10:$C$29,MATCH(6,$AR$13:$AR$32,0))&amp;""))</f>
        <v>TPC</v>
      </c>
      <c r="AR18" s="48">
        <f>IF(Config!$B$15&amp;""="",AR17,AR17+1)</f>
        <v>6</v>
      </c>
      <c r="AZ18" s="72">
        <f>IF(OR($B18="",N(VALUE($AH$384))=0),"",IF(INDEX($C18:$AI18,VALUE($AH$384))="","",IF(N(VALUE($AJ$384))=0,INDEX($C18:$AI18,VALUE($AH$384)),IF(N(INDEX($C18:$AI18,N(VALUE($AJ$384))))&gt;0,INDEX($C18:$AI18,VALUE($AH$384))/INDEX($C18:$AI18,N(VALUE($AJ$384))),""))))</f>
        <v>0</v>
      </c>
      <c r="BA18" s="72">
        <f>IF(OR($B18="",N(VALUE($AI$384))=0),"",IF(INDEX($C18:$AI18,VALUE($AI$384))="","",IF(N(VALUE($AK$384))=0,INDEX($C18:$AI18,VALUE($AI$384)),IF(N(INDEX($C18:$AI18,N(VALUE($AK$384))))&gt;0,INDEX($C18:$AI18,VALUE($AI$384))/INDEX($C18:$AI18,N(VALUE($AK$384))),""))))</f>
        <v>0</v>
      </c>
      <c r="BB18" s="72">
        <f>IF(OR($B18="",N(VALUE($AP$384))=0),"",IF(INDEX($C18:$AI18,VALUE($AP$384))="","",IF(N(VALUE($AR$384))=0,INDEX($C18:$AI18,VALUE($AP$384)),IF(N(INDEX($C18:$AI18,N(VALUE($AR$384))))&gt;0,INDEX($C18:$AI18,VALUE($AP$384))/INDEX($C18:$AI18,N(VALUE($AR$384))),""))))</f>
        <v>0</v>
      </c>
      <c r="BC18" s="72">
        <f>IF(OR($B18="",N(VALUE($AQ$384))=0),"",IF(INDEX($C18:$AI18,VALUE($AQ$384))="","",IF(N(VALUE($AS$384))=0,INDEX($C18:$AI18,VALUE($AQ$384)),IF(N(INDEX($C18:$AI18,N(VALUE($AS$384))))&gt;0,INDEX($C18:$AI18,VALUE($AQ$384))/INDEX($C18:$AI18,N(VALUE($AS$384))),""))))</f>
        <v>0</v>
      </c>
      <c r="BE18" s="42" t="str">
        <f>IF(AND($A18=$B$9,ISNUMBER(X18)),X18,NA())</f>
        <v/>
      </c>
    </row>
    <row r="19">
      <c r="A19" s="39">
        <v>8</v>
      </c>
      <c r="B19" s="57">
        <f>IF($A19&lt;=DAY($D$7),$C$7+$A19-1,"")</f>
        <v>46303</v>
      </c>
      <c r="C19" s="42">
        <f>IF($B19="","",IF($B$2="Todos",SUMIFS(BD!$C$3:$C$5001,BD!$A$3:$A$5001,$B19),SUMIFS(BD!$C$3:$C$5001,BD!$A$3:$A$5001,$B19,BD!$B$3:$B$5001,$D$2)))</f>
        <v>0</v>
      </c>
      <c r="D19" s="42">
        <f>IF($B19="","",IF($B$2="Todos",SUMIFS(BD!$D$3:$D$5001,BD!$A$3:$A$5001,$B19),SUMIFS(BD!$D$3:$D$5001,BD!$A$3:$A$5001,$B19,BD!$B$3:$B$5001,$D$2)))</f>
        <v>0</v>
      </c>
      <c r="E19" s="58">
        <f>IF($B19="","",IF($B$2="Todos",SUMIFS(BD!$E$3:$E$5001,BD!$A$3:$A$5001,$B19),SUMIFS(BD!$E$3:$E$5001,BD!$A$3:$A$5001,$B19,BD!$B$3:$B$5001,$D$2)))</f>
        <v>0</v>
      </c>
      <c r="F19" s="42">
        <f>IF($B19="","",IF($B$2="Todos",SUMIFS(BD!$F$3:$F$5001,BD!$A$3:$A$5001,$B19),SUMIFS(BD!$F$3:$F$5001,BD!$A$3:$A$5001,$B19,BD!$B$3:$B$5001,$D$2)))</f>
        <v>0</v>
      </c>
      <c r="G19" s="42">
        <f>IF($B19="","",IF($B$2="Todos",SUMIFS(BD!$G$3:$G$5001,BD!$A$3:$A$5001,$B19),SUMIFS(BD!$G$3:$G$5001,BD!$A$3:$A$5001,$B19,BD!$B$3:$B$5001,$D$2)))</f>
        <v>0</v>
      </c>
      <c r="H19" s="42">
        <f>IF($B19="","",IF($B$2="Todos",SUMIFS(BD!$H$3:$H$5001,BD!$A$3:$A$5001,$B19),SUMIFS(BD!$H$3:$H$5001,BD!$A$3:$A$5001,$B19,BD!$B$3:$B$5001,$D$2)))</f>
        <v>0</v>
      </c>
      <c r="I19" s="42">
        <f>IF($B19="","",IF($B$2="Todos",SUMIFS(BD!$I$3:$I$5001,BD!$A$3:$A$5001,$B19),SUMIFS(BD!$I$3:$I$5001,BD!$A$3:$A$5001,$B19,BD!$B$3:$B$5001,$D$2)))</f>
        <v>0</v>
      </c>
      <c r="J19" s="42">
        <f>IF($B19="","",IF($B$2="Todos",SUMIFS(BD!$J$3:$J$5001,BD!$A$3:$A$5001,$B19),SUMIFS(BD!$J$3:$J$5001,BD!$A$3:$A$5001,$B19,BD!$B$3:$B$5001,$D$2)))</f>
        <v>0</v>
      </c>
      <c r="K19" s="42">
        <f>IF($B19="","",IF($B$2="Todos",SUMIFS(BD!$K$3:$K$5001,BD!$A$3:$A$5001,$B19),SUMIFS(BD!$K$3:$K$5001,BD!$A$3:$A$5001,$B19,BD!$B$3:$B$5001,$D$2)))</f>
        <v>0</v>
      </c>
      <c r="L19" s="42">
        <f>IF($B19="","",IF($B$2="Todos",SUMIFS(BD!$L$3:$L$5001,BD!$A$3:$A$5001,$B19),SUMIFS(BD!$L$3:$L$5001,BD!$A$3:$A$5001,$B19,BD!$B$3:$B$5001,$D$2)))</f>
        <v>0</v>
      </c>
      <c r="M19" s="42">
        <f>IF($B19="","",IF($B$2="Todos",SUMIFS(BD!$M$3:$M$5001,BD!$A$3:$A$5001,$B19),SUMIFS(BD!$M$3:$M$5001,BD!$A$3:$A$5001,$B19,BD!$B$3:$B$5001,$D$2)))</f>
        <v>0</v>
      </c>
      <c r="N19" s="42">
        <f>IF($B19="","",IF($B$2="Todos",SUMIFS(BD!$N$3:$N$5001,BD!$A$3:$A$5001,$B19),SUMIFS(BD!$N$3:$N$5001,BD!$A$3:$A$5001,$B19,BD!$B$3:$B$5001,$D$2)))</f>
        <v>0</v>
      </c>
      <c r="O19" s="42">
        <f>IF($B19="","",IF($B$2="Todos",SUMIFS(BD!$O$3:$O$5001,BD!$A$3:$A$5001,$B19),SUMIFS(BD!$O$3:$O$5001,BD!$A$3:$A$5001,$B19,BD!$B$3:$B$5001,$D$2)))</f>
        <v>0</v>
      </c>
      <c r="P19" s="42">
        <f>IF($B19="","",IF($B$2="Todos",SUMIFS(BD!$P$3:$P$5001,BD!$A$3:$A$5001,$B19),SUMIFS(BD!$P$3:$P$5001,BD!$A$3:$A$5001,$B19,BD!$B$3:$B$5001,$D$2)))</f>
        <v>0</v>
      </c>
      <c r="Q19" s="42">
        <f>IF($B19="","",IF($B$2="Todos",SUMIFS(BD!$Q$3:$Q$5001,BD!$A$3:$A$5001,$B19),SUMIFS(BD!$Q$3:$Q$5001,BD!$A$3:$A$5001,$B19,BD!$B$3:$B$5001,$D$2)))</f>
        <v>0</v>
      </c>
      <c r="R19" s="42">
        <f>IF($B19="","",IF($B$2="Todos",SUMIFS(BD!$R$3:$R$5001,BD!$A$3:$A$5001,$B19),SUMIFS(BD!$R$3:$R$5001,BD!$A$3:$A$5001,$B19,BD!$B$3:$B$5001,$D$2)))</f>
        <v>0</v>
      </c>
      <c r="S19" s="58">
        <f>IF($B19="","",IF($B$2="Todos",SUMIFS(BD!$S$3:$S$5001,BD!$A$3:$A$5001,$B19),SUMIFS(BD!$S$3:$S$5001,BD!$A$3:$A$5001,$B19,BD!$B$3:$B$5001,$D$2)))</f>
        <v>0</v>
      </c>
      <c r="T19" s="42">
        <f>IF($B19="","",IF($B$2="Todos",SUMIFS(BD!$T$3:$T$5001,BD!$A$3:$A$5001,$B19),SUMIFS(BD!$T$3:$T$5001,BD!$A$3:$A$5001,$B19,BD!$B$3:$B$5001,$D$2)))</f>
        <v>0</v>
      </c>
      <c r="U19" s="42">
        <f>IF($B19="","",IF($B$2="Todos",SUMIFS(BD!$U$3:$U$5001,BD!$A$3:$A$5001,$B19),SUMIFS(BD!$U$3:$U$5001,BD!$A$3:$A$5001,$B19,BD!$B$3:$B$5001,$D$2)))</f>
        <v>0</v>
      </c>
      <c r="V19" s="42" t="str">
        <f>IF($B$2="Todos",IF(COUNT($C$148:$V$148)=0,"",SUM($C$148:$V$148)),IFERROR(INDEX($C$148:$V$148,MATCH($D$2,$C$140:$V$140,0)),""))</f>
        <v/>
      </c>
      <c r="W19" s="42" t="str">
        <f>IF($B$2="Todos",IF(COUNT($C$183:$V$183)=0,"",SUM($C$183:$V$183)),IFERROR(INDEX($C$183:$V$183,MATCH($D$2,$C$175:$V$175,0)),""))</f>
        <v/>
      </c>
      <c r="X19" s="59" t="str">
        <f>IF(Y19="","",IF($B$2="Todos",IF($B$4&gt;0,$B$4,IF($B$2="Todos",IF(COUNT($C$253:$V$253)=0,"",SUM($C$253:$V$253)),IFERROR(INDEX($C$253:$V$253,MATCH($D$2,$C$245:$V$245,0)),""))),IFERROR(INDEX($C$253:$V$253,MATCH($D$2,$C$245:$V$245,0)),"")))</f>
        <v/>
      </c>
      <c r="Y19" s="42" t="str">
        <f>IF($B$2="Todos",IF(COUNT($C$218:$V$218)=0,"",SUM($C$218:$V$218)),IFERROR(INDEX($C$218:$V$218,MATCH($D$2,$C$210:$V$210,0)),""))</f>
        <v/>
      </c>
      <c r="Z19" s="60" t="str">
        <f>IF(AND(ISNUMBER(Y19),ISNUMBER(X19)),IF(X19&gt;0,Y19/X19,""),"")</f>
        <v/>
      </c>
      <c r="AA19" s="42" t="str">
        <f>IF($B$2="Todos",IF(COUNT($C$288:$V$288)=0,"",SUM($C$288:$V$288)),IFERROR(INDEX($C$288:$V$288,MATCH($D$2,$C$280:$V$280,0)),""))</f>
        <v/>
      </c>
      <c r="AB19" s="42">
        <f>IF($B19="","",IF($B$2="Todos",SUMIFS(BD!$AA$3:$AA$5001,BD!$A$3:$A$5001,$B19),SUMIFS(BD!$AA$3:$AA$5001,BD!$A$3:$A$5001,$B19,BD!$B$3:$B$5001,$D$2)))</f>
        <v>0</v>
      </c>
      <c r="AC19" s="58">
        <f>IF($B19="","",IF($B$2="Todos",SUMIFS(BD!$AB$3:$AB$5001,BD!$A$3:$A$5001,$B19),SUMIFS(BD!$AB$3:$AB$5001,BD!$A$3:$A$5001,$B19,BD!$B$3:$B$5001,$D$2)))</f>
        <v>0</v>
      </c>
      <c r="AD19" s="42">
        <f>IF($B19="","",IF($B$2="Todos",SUMIFS(BD!$AC$3:$AC$5001,BD!$A$3:$A$5001,$B19),SUMIFS(BD!$AC$3:$AC$5001,BD!$A$3:$A$5001,$B19,BD!$B$3:$B$5001,$D$2)))</f>
        <v>0</v>
      </c>
      <c r="AE19" s="42">
        <f>IF($B19="","",IF($B$2="Todos",SUMIFS(BD!$AD$3:$AD$5001,BD!$A$3:$A$5001,$B19),SUMIFS(BD!$AD$3:$AD$5001,BD!$A$3:$A$5001,$B19,BD!$B$3:$B$5001,$D$2)))</f>
        <v>0</v>
      </c>
      <c r="AF19" s="42">
        <f>IF($B19="","",IF($B$2="Todos",SUMIFS(BD!$AE$3:$AE$5001,BD!$A$3:$A$5001,$B19),SUMIFS(BD!$AE$3:$AE$5001,BD!$A$3:$A$5001,$B19,BD!$B$3:$B$5001,$D$2)))</f>
        <v>0</v>
      </c>
      <c r="AG19" s="42">
        <f>IF($B19="","",IF($B$2="Todos",SUMIFS(BD!$AF$3:$AF$5001,BD!$A$3:$A$5001,$B19),SUMIFS(BD!$AF$3:$AF$5001,BD!$A$3:$A$5001,$B19,BD!$B$3:$B$5001,$D$2)))</f>
        <v>0</v>
      </c>
      <c r="AH19" s="42">
        <f>IF($B19="","",IF($B$2="Todos",SUMIFS(BD!$AG$3:$AG$5001,BD!$A$3:$A$5001,$B19),SUMIFS(BD!$AG$3:$AG$5001,BD!$A$3:$A$5001,$B19,BD!$B$3:$B$5001,$D$2)))</f>
        <v>0</v>
      </c>
      <c r="AI19" s="42">
        <f>IF($B19="","",IF($B$2="Todos",SUMIFS(BD!$AH$3:$AH$5001,BD!$A$3:$A$5001,$B19),SUMIFS(BD!$AH$3:$AH$5001,BD!$A$3:$A$5001,$B19,BD!$B$3:$B$5001,$D$2)))</f>
        <v>0</v>
      </c>
      <c r="AJ19" s="61">
        <f>$B$5</f>
        <v>0.7</v>
      </c>
      <c r="AK19" s="61">
        <f>$B$6</f>
        <v>0.9</v>
      </c>
      <c r="AN19" s="40" t="inlineStr">
        <is>
          <t xml:space="preserve">AGOSTO · 2026</t>
        </is>
      </c>
      <c r="AP19" s="40" t="str">
        <f>IFERROR(INDEX(Config!$B$10:$B$29,MATCH(7,$AR$13:$AR$32,0))&amp;"","")</f>
        <v>Omnilife</v>
      </c>
      <c r="AQ19" s="39" t="str">
        <f>IF(AP19="","",IF(INDEX(Config!$C$10:$C$29,MATCH(7,$AR$13:$AR$32,0))&amp;""="","TPC",INDEX(Config!$C$10:$C$29,MATCH(7,$AR$13:$AR$32,0))&amp;""))</f>
        <v>TPC</v>
      </c>
      <c r="AR19" s="48">
        <f>IF(Config!$B$16&amp;""="",AR18,AR18+1)</f>
        <v>7</v>
      </c>
      <c r="AZ19" s="72">
        <f>IF(OR($B19="",N(VALUE($AH$384))=0),"",IF(INDEX($C19:$AI19,VALUE($AH$384))="","",IF(N(VALUE($AJ$384))=0,INDEX($C19:$AI19,VALUE($AH$384)),IF(N(INDEX($C19:$AI19,N(VALUE($AJ$384))))&gt;0,INDEX($C19:$AI19,VALUE($AH$384))/INDEX($C19:$AI19,N(VALUE($AJ$384))),""))))</f>
        <v>0</v>
      </c>
      <c r="BA19" s="72">
        <f>IF(OR($B19="",N(VALUE($AI$384))=0),"",IF(INDEX($C19:$AI19,VALUE($AI$384))="","",IF(N(VALUE($AK$384))=0,INDEX($C19:$AI19,VALUE($AI$384)),IF(N(INDEX($C19:$AI19,N(VALUE($AK$384))))&gt;0,INDEX($C19:$AI19,VALUE($AI$384))/INDEX($C19:$AI19,N(VALUE($AK$384))),""))))</f>
        <v>0</v>
      </c>
      <c r="BB19" s="72">
        <f>IF(OR($B19="",N(VALUE($AP$384))=0),"",IF(INDEX($C19:$AI19,VALUE($AP$384))="","",IF(N(VALUE($AR$384))=0,INDEX($C19:$AI19,VALUE($AP$384)),IF(N(INDEX($C19:$AI19,N(VALUE($AR$384))))&gt;0,INDEX($C19:$AI19,VALUE($AP$384))/INDEX($C19:$AI19,N(VALUE($AR$384))),""))))</f>
        <v>0</v>
      </c>
      <c r="BC19" s="72">
        <f>IF(OR($B19="",N(VALUE($AQ$384))=0),"",IF(INDEX($C19:$AI19,VALUE($AQ$384))="","",IF(N(VALUE($AS$384))=0,INDEX($C19:$AI19,VALUE($AQ$384)),IF(N(INDEX($C19:$AI19,N(VALUE($AS$384))))&gt;0,INDEX($C19:$AI19,VALUE($AQ$384))/INDEX($C19:$AI19,N(VALUE($AS$384))),""))))</f>
        <v>0</v>
      </c>
      <c r="BE19" s="42" t="str">
        <f>IF(AND($A19=$B$9,ISNUMBER(X19)),X19,NA())</f>
        <v/>
      </c>
    </row>
    <row r="20">
      <c r="A20" s="39">
        <v>9</v>
      </c>
      <c r="B20" s="57">
        <f>IF($A20&lt;=DAY($D$7),$C$7+$A20-1,"")</f>
        <v>46304</v>
      </c>
      <c r="C20" s="42">
        <f>IF($B20="","",IF($B$2="Todos",SUMIFS(BD!$C$3:$C$5001,BD!$A$3:$A$5001,$B20),SUMIFS(BD!$C$3:$C$5001,BD!$A$3:$A$5001,$B20,BD!$B$3:$B$5001,$D$2)))</f>
        <v>0</v>
      </c>
      <c r="D20" s="42">
        <f>IF($B20="","",IF($B$2="Todos",SUMIFS(BD!$D$3:$D$5001,BD!$A$3:$A$5001,$B20),SUMIFS(BD!$D$3:$D$5001,BD!$A$3:$A$5001,$B20,BD!$B$3:$B$5001,$D$2)))</f>
        <v>0</v>
      </c>
      <c r="E20" s="58">
        <f>IF($B20="","",IF($B$2="Todos",SUMIFS(BD!$E$3:$E$5001,BD!$A$3:$A$5001,$B20),SUMIFS(BD!$E$3:$E$5001,BD!$A$3:$A$5001,$B20,BD!$B$3:$B$5001,$D$2)))</f>
        <v>0</v>
      </c>
      <c r="F20" s="42">
        <f>IF($B20="","",IF($B$2="Todos",SUMIFS(BD!$F$3:$F$5001,BD!$A$3:$A$5001,$B20),SUMIFS(BD!$F$3:$F$5001,BD!$A$3:$A$5001,$B20,BD!$B$3:$B$5001,$D$2)))</f>
        <v>0</v>
      </c>
      <c r="G20" s="42">
        <f>IF($B20="","",IF($B$2="Todos",SUMIFS(BD!$G$3:$G$5001,BD!$A$3:$A$5001,$B20),SUMIFS(BD!$G$3:$G$5001,BD!$A$3:$A$5001,$B20,BD!$B$3:$B$5001,$D$2)))</f>
        <v>0</v>
      </c>
      <c r="H20" s="42">
        <f>IF($B20="","",IF($B$2="Todos",SUMIFS(BD!$H$3:$H$5001,BD!$A$3:$A$5001,$B20),SUMIFS(BD!$H$3:$H$5001,BD!$A$3:$A$5001,$B20,BD!$B$3:$B$5001,$D$2)))</f>
        <v>0</v>
      </c>
      <c r="I20" s="42">
        <f>IF($B20="","",IF($B$2="Todos",SUMIFS(BD!$I$3:$I$5001,BD!$A$3:$A$5001,$B20),SUMIFS(BD!$I$3:$I$5001,BD!$A$3:$A$5001,$B20,BD!$B$3:$B$5001,$D$2)))</f>
        <v>0</v>
      </c>
      <c r="J20" s="42">
        <f>IF($B20="","",IF($B$2="Todos",SUMIFS(BD!$J$3:$J$5001,BD!$A$3:$A$5001,$B20),SUMIFS(BD!$J$3:$J$5001,BD!$A$3:$A$5001,$B20,BD!$B$3:$B$5001,$D$2)))</f>
        <v>0</v>
      </c>
      <c r="K20" s="42">
        <f>IF($B20="","",IF($B$2="Todos",SUMIFS(BD!$K$3:$K$5001,BD!$A$3:$A$5001,$B20),SUMIFS(BD!$K$3:$K$5001,BD!$A$3:$A$5001,$B20,BD!$B$3:$B$5001,$D$2)))</f>
        <v>0</v>
      </c>
      <c r="L20" s="42">
        <f>IF($B20="","",IF($B$2="Todos",SUMIFS(BD!$L$3:$L$5001,BD!$A$3:$A$5001,$B20),SUMIFS(BD!$L$3:$L$5001,BD!$A$3:$A$5001,$B20,BD!$B$3:$B$5001,$D$2)))</f>
        <v>0</v>
      </c>
      <c r="M20" s="42">
        <f>IF($B20="","",IF($B$2="Todos",SUMIFS(BD!$M$3:$M$5001,BD!$A$3:$A$5001,$B20),SUMIFS(BD!$M$3:$M$5001,BD!$A$3:$A$5001,$B20,BD!$B$3:$B$5001,$D$2)))</f>
        <v>0</v>
      </c>
      <c r="N20" s="42">
        <f>IF($B20="","",IF($B$2="Todos",SUMIFS(BD!$N$3:$N$5001,BD!$A$3:$A$5001,$B20),SUMIFS(BD!$N$3:$N$5001,BD!$A$3:$A$5001,$B20,BD!$B$3:$B$5001,$D$2)))</f>
        <v>0</v>
      </c>
      <c r="O20" s="42">
        <f>IF($B20="","",IF($B$2="Todos",SUMIFS(BD!$O$3:$O$5001,BD!$A$3:$A$5001,$B20),SUMIFS(BD!$O$3:$O$5001,BD!$A$3:$A$5001,$B20,BD!$B$3:$B$5001,$D$2)))</f>
        <v>0</v>
      </c>
      <c r="P20" s="42">
        <f>IF($B20="","",IF($B$2="Todos",SUMIFS(BD!$P$3:$P$5001,BD!$A$3:$A$5001,$B20),SUMIFS(BD!$P$3:$P$5001,BD!$A$3:$A$5001,$B20,BD!$B$3:$B$5001,$D$2)))</f>
        <v>0</v>
      </c>
      <c r="Q20" s="42">
        <f>IF($B20="","",IF($B$2="Todos",SUMIFS(BD!$Q$3:$Q$5001,BD!$A$3:$A$5001,$B20),SUMIFS(BD!$Q$3:$Q$5001,BD!$A$3:$A$5001,$B20,BD!$B$3:$B$5001,$D$2)))</f>
        <v>0</v>
      </c>
      <c r="R20" s="42">
        <f>IF($B20="","",IF($B$2="Todos",SUMIFS(BD!$R$3:$R$5001,BD!$A$3:$A$5001,$B20),SUMIFS(BD!$R$3:$R$5001,BD!$A$3:$A$5001,$B20,BD!$B$3:$B$5001,$D$2)))</f>
        <v>0</v>
      </c>
      <c r="S20" s="58">
        <f>IF($B20="","",IF($B$2="Todos",SUMIFS(BD!$S$3:$S$5001,BD!$A$3:$A$5001,$B20),SUMIFS(BD!$S$3:$S$5001,BD!$A$3:$A$5001,$B20,BD!$B$3:$B$5001,$D$2)))</f>
        <v>0</v>
      </c>
      <c r="T20" s="42">
        <f>IF($B20="","",IF($B$2="Todos",SUMIFS(BD!$T$3:$T$5001,BD!$A$3:$A$5001,$B20),SUMIFS(BD!$T$3:$T$5001,BD!$A$3:$A$5001,$B20,BD!$B$3:$B$5001,$D$2)))</f>
        <v>0</v>
      </c>
      <c r="U20" s="42">
        <f>IF($B20="","",IF($B$2="Todos",SUMIFS(BD!$U$3:$U$5001,BD!$A$3:$A$5001,$B20),SUMIFS(BD!$U$3:$U$5001,BD!$A$3:$A$5001,$B20,BD!$B$3:$B$5001,$D$2)))</f>
        <v>0</v>
      </c>
      <c r="V20" s="42" t="str">
        <f>IF($B$2="Todos",IF(COUNT($C$149:$V$149)=0,"",SUM($C$149:$V$149)),IFERROR(INDEX($C$149:$V$149,MATCH($D$2,$C$140:$V$140,0)),""))</f>
        <v/>
      </c>
      <c r="W20" s="42" t="str">
        <f>IF($B$2="Todos",IF(COUNT($C$184:$V$184)=0,"",SUM($C$184:$V$184)),IFERROR(INDEX($C$184:$V$184,MATCH($D$2,$C$175:$V$175,0)),""))</f>
        <v/>
      </c>
      <c r="X20" s="59" t="str">
        <f>IF(Y20="","",IF($B$2="Todos",IF($B$4&gt;0,$B$4,IF($B$2="Todos",IF(COUNT($C$254:$V$254)=0,"",SUM($C$254:$V$254)),IFERROR(INDEX($C$254:$V$254,MATCH($D$2,$C$245:$V$245,0)),""))),IFERROR(INDEX($C$254:$V$254,MATCH($D$2,$C$245:$V$245,0)),"")))</f>
        <v/>
      </c>
      <c r="Y20" s="42" t="str">
        <f>IF($B$2="Todos",IF(COUNT($C$219:$V$219)=0,"",SUM($C$219:$V$219)),IFERROR(INDEX($C$219:$V$219,MATCH($D$2,$C$210:$V$210,0)),""))</f>
        <v/>
      </c>
      <c r="Z20" s="60" t="str">
        <f>IF(AND(ISNUMBER(Y20),ISNUMBER(X20)),IF(X20&gt;0,Y20/X20,""),"")</f>
        <v/>
      </c>
      <c r="AA20" s="42" t="str">
        <f>IF($B$2="Todos",IF(COUNT($C$289:$V$289)=0,"",SUM($C$289:$V$289)),IFERROR(INDEX($C$289:$V$289,MATCH($D$2,$C$280:$V$280,0)),""))</f>
        <v/>
      </c>
      <c r="AB20" s="42">
        <f>IF($B20="","",IF($B$2="Todos",SUMIFS(BD!$AA$3:$AA$5001,BD!$A$3:$A$5001,$B20),SUMIFS(BD!$AA$3:$AA$5001,BD!$A$3:$A$5001,$B20,BD!$B$3:$B$5001,$D$2)))</f>
        <v>0</v>
      </c>
      <c r="AC20" s="58">
        <f>IF($B20="","",IF($B$2="Todos",SUMIFS(BD!$AB$3:$AB$5001,BD!$A$3:$A$5001,$B20),SUMIFS(BD!$AB$3:$AB$5001,BD!$A$3:$A$5001,$B20,BD!$B$3:$B$5001,$D$2)))</f>
        <v>0</v>
      </c>
      <c r="AD20" s="42">
        <f>IF($B20="","",IF($B$2="Todos",SUMIFS(BD!$AC$3:$AC$5001,BD!$A$3:$A$5001,$B20),SUMIFS(BD!$AC$3:$AC$5001,BD!$A$3:$A$5001,$B20,BD!$B$3:$B$5001,$D$2)))</f>
        <v>0</v>
      </c>
      <c r="AE20" s="42">
        <f>IF($B20="","",IF($B$2="Todos",SUMIFS(BD!$AD$3:$AD$5001,BD!$A$3:$A$5001,$B20),SUMIFS(BD!$AD$3:$AD$5001,BD!$A$3:$A$5001,$B20,BD!$B$3:$B$5001,$D$2)))</f>
        <v>0</v>
      </c>
      <c r="AF20" s="42">
        <f>IF($B20="","",IF($B$2="Todos",SUMIFS(BD!$AE$3:$AE$5001,BD!$A$3:$A$5001,$B20),SUMIFS(BD!$AE$3:$AE$5001,BD!$A$3:$A$5001,$B20,BD!$B$3:$B$5001,$D$2)))</f>
        <v>0</v>
      </c>
      <c r="AG20" s="42">
        <f>IF($B20="","",IF($B$2="Todos",SUMIFS(BD!$AF$3:$AF$5001,BD!$A$3:$A$5001,$B20),SUMIFS(BD!$AF$3:$AF$5001,BD!$A$3:$A$5001,$B20,BD!$B$3:$B$5001,$D$2)))</f>
        <v>0</v>
      </c>
      <c r="AH20" s="42">
        <f>IF($B20="","",IF($B$2="Todos",SUMIFS(BD!$AG$3:$AG$5001,BD!$A$3:$A$5001,$B20),SUMIFS(BD!$AG$3:$AG$5001,BD!$A$3:$A$5001,$B20,BD!$B$3:$B$5001,$D$2)))</f>
        <v>0</v>
      </c>
      <c r="AI20" s="42">
        <f>IF($B20="","",IF($B$2="Todos",SUMIFS(BD!$AH$3:$AH$5001,BD!$A$3:$A$5001,$B20),SUMIFS(BD!$AH$3:$AH$5001,BD!$A$3:$A$5001,$B20,BD!$B$3:$B$5001,$D$2)))</f>
        <v>0</v>
      </c>
      <c r="AJ20" s="61">
        <f>$B$5</f>
        <v>0.7</v>
      </c>
      <c r="AK20" s="61">
        <f>$B$6</f>
        <v>0.9</v>
      </c>
      <c r="AN20" s="40" t="inlineStr">
        <is>
          <t xml:space="preserve">SETEMBRO · 2026</t>
        </is>
      </c>
      <c r="AP20" s="40" t="str">
        <f>IFERROR(INDEX(Config!$B$10:$B$29,MATCH(8,$AR$13:$AR$32,0))&amp;"","")</f>
        <v>Supply</v>
      </c>
      <c r="AQ20" s="39" t="str">
        <f>IF(AP20="","",IF(INDEX(Config!$C$10:$C$29,MATCH(8,$AR$13:$AR$32,0))&amp;""="","TPC",INDEX(Config!$C$10:$C$29,MATCH(8,$AR$13:$AR$32,0))&amp;""))</f>
        <v>TPC</v>
      </c>
      <c r="AR20" s="48">
        <f>IF(Config!$B$17&amp;""="",AR19,AR19+1)</f>
        <v>8</v>
      </c>
      <c r="AZ20" s="72">
        <f>IF(OR($B20="",N(VALUE($AH$384))=0),"",IF(INDEX($C20:$AI20,VALUE($AH$384))="","",IF(N(VALUE($AJ$384))=0,INDEX($C20:$AI20,VALUE($AH$384)),IF(N(INDEX($C20:$AI20,N(VALUE($AJ$384))))&gt;0,INDEX($C20:$AI20,VALUE($AH$384))/INDEX($C20:$AI20,N(VALUE($AJ$384))),""))))</f>
        <v>0</v>
      </c>
      <c r="BA20" s="72">
        <f>IF(OR($B20="",N(VALUE($AI$384))=0),"",IF(INDEX($C20:$AI20,VALUE($AI$384))="","",IF(N(VALUE($AK$384))=0,INDEX($C20:$AI20,VALUE($AI$384)),IF(N(INDEX($C20:$AI20,N(VALUE($AK$384))))&gt;0,INDEX($C20:$AI20,VALUE($AI$384))/INDEX($C20:$AI20,N(VALUE($AK$384))),""))))</f>
        <v>0</v>
      </c>
      <c r="BB20" s="72">
        <f>IF(OR($B20="",N(VALUE($AP$384))=0),"",IF(INDEX($C20:$AI20,VALUE($AP$384))="","",IF(N(VALUE($AR$384))=0,INDEX($C20:$AI20,VALUE($AP$384)),IF(N(INDEX($C20:$AI20,N(VALUE($AR$384))))&gt;0,INDEX($C20:$AI20,VALUE($AP$384))/INDEX($C20:$AI20,N(VALUE($AR$384))),""))))</f>
        <v>0</v>
      </c>
      <c r="BC20" s="72">
        <f>IF(OR($B20="",N(VALUE($AQ$384))=0),"",IF(INDEX($C20:$AI20,VALUE($AQ$384))="","",IF(N(VALUE($AS$384))=0,INDEX($C20:$AI20,VALUE($AQ$384)),IF(N(INDEX($C20:$AI20,N(VALUE($AS$384))))&gt;0,INDEX($C20:$AI20,VALUE($AQ$384))/INDEX($C20:$AI20,N(VALUE($AS$384))),""))))</f>
        <v>0</v>
      </c>
      <c r="BE20" s="42" t="str">
        <f>IF(AND($A20=$B$9,ISNUMBER(X20)),X20,NA())</f>
        <v/>
      </c>
    </row>
    <row r="21">
      <c r="A21" s="39">
        <v>10</v>
      </c>
      <c r="B21" s="57">
        <f>IF($A21&lt;=DAY($D$7),$C$7+$A21-1,"")</f>
        <v>46305</v>
      </c>
      <c r="C21" s="42">
        <f>IF($B21="","",IF($B$2="Todos",SUMIFS(BD!$C$3:$C$5001,BD!$A$3:$A$5001,$B21),SUMIFS(BD!$C$3:$C$5001,BD!$A$3:$A$5001,$B21,BD!$B$3:$B$5001,$D$2)))</f>
        <v>0</v>
      </c>
      <c r="D21" s="42">
        <f>IF($B21="","",IF($B$2="Todos",SUMIFS(BD!$D$3:$D$5001,BD!$A$3:$A$5001,$B21),SUMIFS(BD!$D$3:$D$5001,BD!$A$3:$A$5001,$B21,BD!$B$3:$B$5001,$D$2)))</f>
        <v>0</v>
      </c>
      <c r="E21" s="58">
        <f>IF($B21="","",IF($B$2="Todos",SUMIFS(BD!$E$3:$E$5001,BD!$A$3:$A$5001,$B21),SUMIFS(BD!$E$3:$E$5001,BD!$A$3:$A$5001,$B21,BD!$B$3:$B$5001,$D$2)))</f>
        <v>0</v>
      </c>
      <c r="F21" s="42">
        <f>IF($B21="","",IF($B$2="Todos",SUMIFS(BD!$F$3:$F$5001,BD!$A$3:$A$5001,$B21),SUMIFS(BD!$F$3:$F$5001,BD!$A$3:$A$5001,$B21,BD!$B$3:$B$5001,$D$2)))</f>
        <v>0</v>
      </c>
      <c r="G21" s="42">
        <f>IF($B21="","",IF($B$2="Todos",SUMIFS(BD!$G$3:$G$5001,BD!$A$3:$A$5001,$B21),SUMIFS(BD!$G$3:$G$5001,BD!$A$3:$A$5001,$B21,BD!$B$3:$B$5001,$D$2)))</f>
        <v>0</v>
      </c>
      <c r="H21" s="42">
        <f>IF($B21="","",IF($B$2="Todos",SUMIFS(BD!$H$3:$H$5001,BD!$A$3:$A$5001,$B21),SUMIFS(BD!$H$3:$H$5001,BD!$A$3:$A$5001,$B21,BD!$B$3:$B$5001,$D$2)))</f>
        <v>0</v>
      </c>
      <c r="I21" s="42">
        <f>IF($B21="","",IF($B$2="Todos",SUMIFS(BD!$I$3:$I$5001,BD!$A$3:$A$5001,$B21),SUMIFS(BD!$I$3:$I$5001,BD!$A$3:$A$5001,$B21,BD!$B$3:$B$5001,$D$2)))</f>
        <v>0</v>
      </c>
      <c r="J21" s="42">
        <f>IF($B21="","",IF($B$2="Todos",SUMIFS(BD!$J$3:$J$5001,BD!$A$3:$A$5001,$B21),SUMIFS(BD!$J$3:$J$5001,BD!$A$3:$A$5001,$B21,BD!$B$3:$B$5001,$D$2)))</f>
        <v>0</v>
      </c>
      <c r="K21" s="42">
        <f>IF($B21="","",IF($B$2="Todos",SUMIFS(BD!$K$3:$K$5001,BD!$A$3:$A$5001,$B21),SUMIFS(BD!$K$3:$K$5001,BD!$A$3:$A$5001,$B21,BD!$B$3:$B$5001,$D$2)))</f>
        <v>0</v>
      </c>
      <c r="L21" s="42">
        <f>IF($B21="","",IF($B$2="Todos",SUMIFS(BD!$L$3:$L$5001,BD!$A$3:$A$5001,$B21),SUMIFS(BD!$L$3:$L$5001,BD!$A$3:$A$5001,$B21,BD!$B$3:$B$5001,$D$2)))</f>
        <v>0</v>
      </c>
      <c r="M21" s="42">
        <f>IF($B21="","",IF($B$2="Todos",SUMIFS(BD!$M$3:$M$5001,BD!$A$3:$A$5001,$B21),SUMIFS(BD!$M$3:$M$5001,BD!$A$3:$A$5001,$B21,BD!$B$3:$B$5001,$D$2)))</f>
        <v>0</v>
      </c>
      <c r="N21" s="42">
        <f>IF($B21="","",IF($B$2="Todos",SUMIFS(BD!$N$3:$N$5001,BD!$A$3:$A$5001,$B21),SUMIFS(BD!$N$3:$N$5001,BD!$A$3:$A$5001,$B21,BD!$B$3:$B$5001,$D$2)))</f>
        <v>0</v>
      </c>
      <c r="O21" s="42">
        <f>IF($B21="","",IF($B$2="Todos",SUMIFS(BD!$O$3:$O$5001,BD!$A$3:$A$5001,$B21),SUMIFS(BD!$O$3:$O$5001,BD!$A$3:$A$5001,$B21,BD!$B$3:$B$5001,$D$2)))</f>
        <v>0</v>
      </c>
      <c r="P21" s="42">
        <f>IF($B21="","",IF($B$2="Todos",SUMIFS(BD!$P$3:$P$5001,BD!$A$3:$A$5001,$B21),SUMIFS(BD!$P$3:$P$5001,BD!$A$3:$A$5001,$B21,BD!$B$3:$B$5001,$D$2)))</f>
        <v>0</v>
      </c>
      <c r="Q21" s="42">
        <f>IF($B21="","",IF($B$2="Todos",SUMIFS(BD!$Q$3:$Q$5001,BD!$A$3:$A$5001,$B21),SUMIFS(BD!$Q$3:$Q$5001,BD!$A$3:$A$5001,$B21,BD!$B$3:$B$5001,$D$2)))</f>
        <v>0</v>
      </c>
      <c r="R21" s="42">
        <f>IF($B21="","",IF($B$2="Todos",SUMIFS(BD!$R$3:$R$5001,BD!$A$3:$A$5001,$B21),SUMIFS(BD!$R$3:$R$5001,BD!$A$3:$A$5001,$B21,BD!$B$3:$B$5001,$D$2)))</f>
        <v>0</v>
      </c>
      <c r="S21" s="58">
        <f>IF($B21="","",IF($B$2="Todos",SUMIFS(BD!$S$3:$S$5001,BD!$A$3:$A$5001,$B21),SUMIFS(BD!$S$3:$S$5001,BD!$A$3:$A$5001,$B21,BD!$B$3:$B$5001,$D$2)))</f>
        <v>0</v>
      </c>
      <c r="T21" s="42">
        <f>IF($B21="","",IF($B$2="Todos",SUMIFS(BD!$T$3:$T$5001,BD!$A$3:$A$5001,$B21),SUMIFS(BD!$T$3:$T$5001,BD!$A$3:$A$5001,$B21,BD!$B$3:$B$5001,$D$2)))</f>
        <v>0</v>
      </c>
      <c r="U21" s="42">
        <f>IF($B21="","",IF($B$2="Todos",SUMIFS(BD!$U$3:$U$5001,BD!$A$3:$A$5001,$B21),SUMIFS(BD!$U$3:$U$5001,BD!$A$3:$A$5001,$B21,BD!$B$3:$B$5001,$D$2)))</f>
        <v>0</v>
      </c>
      <c r="V21" s="42" t="str">
        <f>IF($B$2="Todos",IF(COUNT($C$150:$V$150)=0,"",SUM($C$150:$V$150)),IFERROR(INDEX($C$150:$V$150,MATCH($D$2,$C$140:$V$140,0)),""))</f>
        <v/>
      </c>
      <c r="W21" s="42" t="str">
        <f>IF($B$2="Todos",IF(COUNT($C$185:$V$185)=0,"",SUM($C$185:$V$185)),IFERROR(INDEX($C$185:$V$185,MATCH($D$2,$C$175:$V$175,0)),""))</f>
        <v/>
      </c>
      <c r="X21" s="59" t="str">
        <f>IF(Y21="","",IF($B$2="Todos",IF($B$4&gt;0,$B$4,IF($B$2="Todos",IF(COUNT($C$255:$V$255)=0,"",SUM($C$255:$V$255)),IFERROR(INDEX($C$255:$V$255,MATCH($D$2,$C$245:$V$245,0)),""))),IFERROR(INDEX($C$255:$V$255,MATCH($D$2,$C$245:$V$245,0)),"")))</f>
        <v/>
      </c>
      <c r="Y21" s="42" t="str">
        <f>IF($B$2="Todos",IF(COUNT($C$220:$V$220)=0,"",SUM($C$220:$V$220)),IFERROR(INDEX($C$220:$V$220,MATCH($D$2,$C$210:$V$210,0)),""))</f>
        <v/>
      </c>
      <c r="Z21" s="60" t="str">
        <f>IF(AND(ISNUMBER(Y21),ISNUMBER(X21)),IF(X21&gt;0,Y21/X21,""),"")</f>
        <v/>
      </c>
      <c r="AA21" s="42" t="str">
        <f>IF($B$2="Todos",IF(COUNT($C$290:$V$290)=0,"",SUM($C$290:$V$290)),IFERROR(INDEX($C$290:$V$290,MATCH($D$2,$C$280:$V$280,0)),""))</f>
        <v/>
      </c>
      <c r="AB21" s="42">
        <f>IF($B21="","",IF($B$2="Todos",SUMIFS(BD!$AA$3:$AA$5001,BD!$A$3:$A$5001,$B21),SUMIFS(BD!$AA$3:$AA$5001,BD!$A$3:$A$5001,$B21,BD!$B$3:$B$5001,$D$2)))</f>
        <v>0</v>
      </c>
      <c r="AC21" s="58">
        <f>IF($B21="","",IF($B$2="Todos",SUMIFS(BD!$AB$3:$AB$5001,BD!$A$3:$A$5001,$B21),SUMIFS(BD!$AB$3:$AB$5001,BD!$A$3:$A$5001,$B21,BD!$B$3:$B$5001,$D$2)))</f>
        <v>0</v>
      </c>
      <c r="AD21" s="42">
        <f>IF($B21="","",IF($B$2="Todos",SUMIFS(BD!$AC$3:$AC$5001,BD!$A$3:$A$5001,$B21),SUMIFS(BD!$AC$3:$AC$5001,BD!$A$3:$A$5001,$B21,BD!$B$3:$B$5001,$D$2)))</f>
        <v>0</v>
      </c>
      <c r="AE21" s="42">
        <f>IF($B21="","",IF($B$2="Todos",SUMIFS(BD!$AD$3:$AD$5001,BD!$A$3:$A$5001,$B21),SUMIFS(BD!$AD$3:$AD$5001,BD!$A$3:$A$5001,$B21,BD!$B$3:$B$5001,$D$2)))</f>
        <v>0</v>
      </c>
      <c r="AF21" s="42">
        <f>IF($B21="","",IF($B$2="Todos",SUMIFS(BD!$AE$3:$AE$5001,BD!$A$3:$A$5001,$B21),SUMIFS(BD!$AE$3:$AE$5001,BD!$A$3:$A$5001,$B21,BD!$B$3:$B$5001,$D$2)))</f>
        <v>0</v>
      </c>
      <c r="AG21" s="42">
        <f>IF($B21="","",IF($B$2="Todos",SUMIFS(BD!$AF$3:$AF$5001,BD!$A$3:$A$5001,$B21),SUMIFS(BD!$AF$3:$AF$5001,BD!$A$3:$A$5001,$B21,BD!$B$3:$B$5001,$D$2)))</f>
        <v>0</v>
      </c>
      <c r="AH21" s="42">
        <f>IF($B21="","",IF($B$2="Todos",SUMIFS(BD!$AG$3:$AG$5001,BD!$A$3:$A$5001,$B21),SUMIFS(BD!$AG$3:$AG$5001,BD!$A$3:$A$5001,$B21,BD!$B$3:$B$5001,$D$2)))</f>
        <v>0</v>
      </c>
      <c r="AI21" s="42">
        <f>IF($B21="","",IF($B$2="Todos",SUMIFS(BD!$AH$3:$AH$5001,BD!$A$3:$A$5001,$B21),SUMIFS(BD!$AH$3:$AH$5001,BD!$A$3:$A$5001,$B21,BD!$B$3:$B$5001,$D$2)))</f>
        <v>0</v>
      </c>
      <c r="AJ21" s="61">
        <f>$B$5</f>
        <v>0.7</v>
      </c>
      <c r="AK21" s="61">
        <f>$B$6</f>
        <v>0.9</v>
      </c>
      <c r="AN21" s="40" t="inlineStr">
        <is>
          <t xml:space="preserve">OUTUBRO · 2026</t>
        </is>
      </c>
      <c r="AP21" s="40" t="str">
        <f>IFERROR(INDEX(Config!$B$10:$B$29,MATCH(9,$AR$13:$AR$32,0))&amp;"","")</f>
        <v>Vedacit</v>
      </c>
      <c r="AQ21" s="39" t="str">
        <f>IF(AP21="","",IF(INDEX(Config!$C$10:$C$29,MATCH(9,$AR$13:$AR$32,0))&amp;""="","TPC",INDEX(Config!$C$10:$C$29,MATCH(9,$AR$13:$AR$32,0))&amp;""))</f>
        <v>TPC</v>
      </c>
      <c r="AR21" s="48">
        <f>IF(Config!$B$18&amp;""="",AR20,AR20+1)</f>
        <v>9</v>
      </c>
      <c r="AZ21" s="72">
        <f>IF(OR($B21="",N(VALUE($AH$384))=0),"",IF(INDEX($C21:$AI21,VALUE($AH$384))="","",IF(N(VALUE($AJ$384))=0,INDEX($C21:$AI21,VALUE($AH$384)),IF(N(INDEX($C21:$AI21,N(VALUE($AJ$384))))&gt;0,INDEX($C21:$AI21,VALUE($AH$384))/INDEX($C21:$AI21,N(VALUE($AJ$384))),""))))</f>
        <v>0</v>
      </c>
      <c r="BA21" s="72">
        <f>IF(OR($B21="",N(VALUE($AI$384))=0),"",IF(INDEX($C21:$AI21,VALUE($AI$384))="","",IF(N(VALUE($AK$384))=0,INDEX($C21:$AI21,VALUE($AI$384)),IF(N(INDEX($C21:$AI21,N(VALUE($AK$384))))&gt;0,INDEX($C21:$AI21,VALUE($AI$384))/INDEX($C21:$AI21,N(VALUE($AK$384))),""))))</f>
        <v>0</v>
      </c>
      <c r="BB21" s="72">
        <f>IF(OR($B21="",N(VALUE($AP$384))=0),"",IF(INDEX($C21:$AI21,VALUE($AP$384))="","",IF(N(VALUE($AR$384))=0,INDEX($C21:$AI21,VALUE($AP$384)),IF(N(INDEX($C21:$AI21,N(VALUE($AR$384))))&gt;0,INDEX($C21:$AI21,VALUE($AP$384))/INDEX($C21:$AI21,N(VALUE($AR$384))),""))))</f>
        <v>0</v>
      </c>
      <c r="BC21" s="72">
        <f>IF(OR($B21="",N(VALUE($AQ$384))=0),"",IF(INDEX($C21:$AI21,VALUE($AQ$384))="","",IF(N(VALUE($AS$384))=0,INDEX($C21:$AI21,VALUE($AQ$384)),IF(N(INDEX($C21:$AI21,N(VALUE($AS$384))))&gt;0,INDEX($C21:$AI21,VALUE($AQ$384))/INDEX($C21:$AI21,N(VALUE($AS$384))),""))))</f>
        <v>0</v>
      </c>
      <c r="BE21" s="42" t="str">
        <f>IF(AND($A21=$B$9,ISNUMBER(X21)),X21,NA())</f>
        <v/>
      </c>
    </row>
    <row r="22">
      <c r="A22" s="39">
        <v>11</v>
      </c>
      <c r="B22" s="57">
        <f>IF($A22&lt;=DAY($D$7),$C$7+$A22-1,"")</f>
        <v>46306</v>
      </c>
      <c r="C22" s="42">
        <f>IF($B22="","",IF($B$2="Todos",SUMIFS(BD!$C$3:$C$5001,BD!$A$3:$A$5001,$B22),SUMIFS(BD!$C$3:$C$5001,BD!$A$3:$A$5001,$B22,BD!$B$3:$B$5001,$D$2)))</f>
        <v>0</v>
      </c>
      <c r="D22" s="42">
        <f>IF($B22="","",IF($B$2="Todos",SUMIFS(BD!$D$3:$D$5001,BD!$A$3:$A$5001,$B22),SUMIFS(BD!$D$3:$D$5001,BD!$A$3:$A$5001,$B22,BD!$B$3:$B$5001,$D$2)))</f>
        <v>0</v>
      </c>
      <c r="E22" s="58">
        <f>IF($B22="","",IF($B$2="Todos",SUMIFS(BD!$E$3:$E$5001,BD!$A$3:$A$5001,$B22),SUMIFS(BD!$E$3:$E$5001,BD!$A$3:$A$5001,$B22,BD!$B$3:$B$5001,$D$2)))</f>
        <v>0</v>
      </c>
      <c r="F22" s="42">
        <f>IF($B22="","",IF($B$2="Todos",SUMIFS(BD!$F$3:$F$5001,BD!$A$3:$A$5001,$B22),SUMIFS(BD!$F$3:$F$5001,BD!$A$3:$A$5001,$B22,BD!$B$3:$B$5001,$D$2)))</f>
        <v>0</v>
      </c>
      <c r="G22" s="42">
        <f>IF($B22="","",IF($B$2="Todos",SUMIFS(BD!$G$3:$G$5001,BD!$A$3:$A$5001,$B22),SUMIFS(BD!$G$3:$G$5001,BD!$A$3:$A$5001,$B22,BD!$B$3:$B$5001,$D$2)))</f>
        <v>0</v>
      </c>
      <c r="H22" s="42">
        <f>IF($B22="","",IF($B$2="Todos",SUMIFS(BD!$H$3:$H$5001,BD!$A$3:$A$5001,$B22),SUMIFS(BD!$H$3:$H$5001,BD!$A$3:$A$5001,$B22,BD!$B$3:$B$5001,$D$2)))</f>
        <v>0</v>
      </c>
      <c r="I22" s="42">
        <f>IF($B22="","",IF($B$2="Todos",SUMIFS(BD!$I$3:$I$5001,BD!$A$3:$A$5001,$B22),SUMIFS(BD!$I$3:$I$5001,BD!$A$3:$A$5001,$B22,BD!$B$3:$B$5001,$D$2)))</f>
        <v>0</v>
      </c>
      <c r="J22" s="42">
        <f>IF($B22="","",IF($B$2="Todos",SUMIFS(BD!$J$3:$J$5001,BD!$A$3:$A$5001,$B22),SUMIFS(BD!$J$3:$J$5001,BD!$A$3:$A$5001,$B22,BD!$B$3:$B$5001,$D$2)))</f>
        <v>0</v>
      </c>
      <c r="K22" s="42">
        <f>IF($B22="","",IF($B$2="Todos",SUMIFS(BD!$K$3:$K$5001,BD!$A$3:$A$5001,$B22),SUMIFS(BD!$K$3:$K$5001,BD!$A$3:$A$5001,$B22,BD!$B$3:$B$5001,$D$2)))</f>
        <v>0</v>
      </c>
      <c r="L22" s="42">
        <f>IF($B22="","",IF($B$2="Todos",SUMIFS(BD!$L$3:$L$5001,BD!$A$3:$A$5001,$B22),SUMIFS(BD!$L$3:$L$5001,BD!$A$3:$A$5001,$B22,BD!$B$3:$B$5001,$D$2)))</f>
        <v>0</v>
      </c>
      <c r="M22" s="42">
        <f>IF($B22="","",IF($B$2="Todos",SUMIFS(BD!$M$3:$M$5001,BD!$A$3:$A$5001,$B22),SUMIFS(BD!$M$3:$M$5001,BD!$A$3:$A$5001,$B22,BD!$B$3:$B$5001,$D$2)))</f>
        <v>0</v>
      </c>
      <c r="N22" s="42">
        <f>IF($B22="","",IF($B$2="Todos",SUMIFS(BD!$N$3:$N$5001,BD!$A$3:$A$5001,$B22),SUMIFS(BD!$N$3:$N$5001,BD!$A$3:$A$5001,$B22,BD!$B$3:$B$5001,$D$2)))</f>
        <v>0</v>
      </c>
      <c r="O22" s="42">
        <f>IF($B22="","",IF($B$2="Todos",SUMIFS(BD!$O$3:$O$5001,BD!$A$3:$A$5001,$B22),SUMIFS(BD!$O$3:$O$5001,BD!$A$3:$A$5001,$B22,BD!$B$3:$B$5001,$D$2)))</f>
        <v>0</v>
      </c>
      <c r="P22" s="42">
        <f>IF($B22="","",IF($B$2="Todos",SUMIFS(BD!$P$3:$P$5001,BD!$A$3:$A$5001,$B22),SUMIFS(BD!$P$3:$P$5001,BD!$A$3:$A$5001,$B22,BD!$B$3:$B$5001,$D$2)))</f>
        <v>0</v>
      </c>
      <c r="Q22" s="42">
        <f>IF($B22="","",IF($B$2="Todos",SUMIFS(BD!$Q$3:$Q$5001,BD!$A$3:$A$5001,$B22),SUMIFS(BD!$Q$3:$Q$5001,BD!$A$3:$A$5001,$B22,BD!$B$3:$B$5001,$D$2)))</f>
        <v>0</v>
      </c>
      <c r="R22" s="42">
        <f>IF($B22="","",IF($B$2="Todos",SUMIFS(BD!$R$3:$R$5001,BD!$A$3:$A$5001,$B22),SUMIFS(BD!$R$3:$R$5001,BD!$A$3:$A$5001,$B22,BD!$B$3:$B$5001,$D$2)))</f>
        <v>0</v>
      </c>
      <c r="S22" s="58">
        <f>IF($B22="","",IF($B$2="Todos",SUMIFS(BD!$S$3:$S$5001,BD!$A$3:$A$5001,$B22),SUMIFS(BD!$S$3:$S$5001,BD!$A$3:$A$5001,$B22,BD!$B$3:$B$5001,$D$2)))</f>
        <v>0</v>
      </c>
      <c r="T22" s="42">
        <f>IF($B22="","",IF($B$2="Todos",SUMIFS(BD!$T$3:$T$5001,BD!$A$3:$A$5001,$B22),SUMIFS(BD!$T$3:$T$5001,BD!$A$3:$A$5001,$B22,BD!$B$3:$B$5001,$D$2)))</f>
        <v>0</v>
      </c>
      <c r="U22" s="42">
        <f>IF($B22="","",IF($B$2="Todos",SUMIFS(BD!$U$3:$U$5001,BD!$A$3:$A$5001,$B22),SUMIFS(BD!$U$3:$U$5001,BD!$A$3:$A$5001,$B22,BD!$B$3:$B$5001,$D$2)))</f>
        <v>0</v>
      </c>
      <c r="V22" s="42" t="str">
        <f>IF($B$2="Todos",IF(COUNT($C$151:$V$151)=0,"",SUM($C$151:$V$151)),IFERROR(INDEX($C$151:$V$151,MATCH($D$2,$C$140:$V$140,0)),""))</f>
        <v/>
      </c>
      <c r="W22" s="42" t="str">
        <f>IF($B$2="Todos",IF(COUNT($C$186:$V$186)=0,"",SUM($C$186:$V$186)),IFERROR(INDEX($C$186:$V$186,MATCH($D$2,$C$175:$V$175,0)),""))</f>
        <v/>
      </c>
      <c r="X22" s="59" t="str">
        <f>IF(Y22="","",IF($B$2="Todos",IF($B$4&gt;0,$B$4,IF($B$2="Todos",IF(COUNT($C$256:$V$256)=0,"",SUM($C$256:$V$256)),IFERROR(INDEX($C$256:$V$256,MATCH($D$2,$C$245:$V$245,0)),""))),IFERROR(INDEX($C$256:$V$256,MATCH($D$2,$C$245:$V$245,0)),"")))</f>
        <v/>
      </c>
      <c r="Y22" s="42" t="str">
        <f>IF($B$2="Todos",IF(COUNT($C$221:$V$221)=0,"",SUM($C$221:$V$221)),IFERROR(INDEX($C$221:$V$221,MATCH($D$2,$C$210:$V$210,0)),""))</f>
        <v/>
      </c>
      <c r="Z22" s="60" t="str">
        <f>IF(AND(ISNUMBER(Y22),ISNUMBER(X22)),IF(X22&gt;0,Y22/X22,""),"")</f>
        <v/>
      </c>
      <c r="AA22" s="42" t="str">
        <f>IF($B$2="Todos",IF(COUNT($C$291:$V$291)=0,"",SUM($C$291:$V$291)),IFERROR(INDEX($C$291:$V$291,MATCH($D$2,$C$280:$V$280,0)),""))</f>
        <v/>
      </c>
      <c r="AB22" s="42">
        <f>IF($B22="","",IF($B$2="Todos",SUMIFS(BD!$AA$3:$AA$5001,BD!$A$3:$A$5001,$B22),SUMIFS(BD!$AA$3:$AA$5001,BD!$A$3:$A$5001,$B22,BD!$B$3:$B$5001,$D$2)))</f>
        <v>0</v>
      </c>
      <c r="AC22" s="58">
        <f>IF($B22="","",IF($B$2="Todos",SUMIFS(BD!$AB$3:$AB$5001,BD!$A$3:$A$5001,$B22),SUMIFS(BD!$AB$3:$AB$5001,BD!$A$3:$A$5001,$B22,BD!$B$3:$B$5001,$D$2)))</f>
        <v>0</v>
      </c>
      <c r="AD22" s="42">
        <f>IF($B22="","",IF($B$2="Todos",SUMIFS(BD!$AC$3:$AC$5001,BD!$A$3:$A$5001,$B22),SUMIFS(BD!$AC$3:$AC$5001,BD!$A$3:$A$5001,$B22,BD!$B$3:$B$5001,$D$2)))</f>
        <v>0</v>
      </c>
      <c r="AE22" s="42">
        <f>IF($B22="","",IF($B$2="Todos",SUMIFS(BD!$AD$3:$AD$5001,BD!$A$3:$A$5001,$B22),SUMIFS(BD!$AD$3:$AD$5001,BD!$A$3:$A$5001,$B22,BD!$B$3:$B$5001,$D$2)))</f>
        <v>0</v>
      </c>
      <c r="AF22" s="42">
        <f>IF($B22="","",IF($B$2="Todos",SUMIFS(BD!$AE$3:$AE$5001,BD!$A$3:$A$5001,$B22),SUMIFS(BD!$AE$3:$AE$5001,BD!$A$3:$A$5001,$B22,BD!$B$3:$B$5001,$D$2)))</f>
        <v>0</v>
      </c>
      <c r="AG22" s="42">
        <f>IF($B22="","",IF($B$2="Todos",SUMIFS(BD!$AF$3:$AF$5001,BD!$A$3:$A$5001,$B22),SUMIFS(BD!$AF$3:$AF$5001,BD!$A$3:$A$5001,$B22,BD!$B$3:$B$5001,$D$2)))</f>
        <v>0</v>
      </c>
      <c r="AH22" s="42">
        <f>IF($B22="","",IF($B$2="Todos",SUMIFS(BD!$AG$3:$AG$5001,BD!$A$3:$A$5001,$B22),SUMIFS(BD!$AG$3:$AG$5001,BD!$A$3:$A$5001,$B22,BD!$B$3:$B$5001,$D$2)))</f>
        <v>0</v>
      </c>
      <c r="AI22" s="42">
        <f>IF($B22="","",IF($B$2="Todos",SUMIFS(BD!$AH$3:$AH$5001,BD!$A$3:$A$5001,$B22),SUMIFS(BD!$AH$3:$AH$5001,BD!$A$3:$A$5001,$B22,BD!$B$3:$B$5001,$D$2)))</f>
        <v>0</v>
      </c>
      <c r="AJ22" s="61">
        <f>$B$5</f>
        <v>0.7</v>
      </c>
      <c r="AK22" s="61">
        <f>$B$6</f>
        <v>0.9</v>
      </c>
      <c r="AN22" s="40" t="inlineStr">
        <is>
          <t xml:space="preserve">NOVEMBRO · 2026</t>
        </is>
      </c>
      <c r="AP22" s="40" t="str">
        <f>IFERROR(INDEX(Config!$B$10:$B$29,MATCH(10,$AR$13:$AR$32,0))&amp;"","")</f>
        <v>Vestas</v>
      </c>
      <c r="AQ22" s="39" t="str">
        <f>IF(AP22="","",IF(INDEX(Config!$C$10:$C$29,MATCH(10,$AR$13:$AR$32,0))&amp;""="","TPC",INDEX(Config!$C$10:$C$29,MATCH(10,$AR$13:$AR$32,0))&amp;""))</f>
        <v>TPC</v>
      </c>
      <c r="AR22" s="48">
        <f>IF(Config!$B$19&amp;""="",AR21,AR21+1)</f>
        <v>10</v>
      </c>
      <c r="AZ22" s="72">
        <f>IF(OR($B22="",N(VALUE($AH$384))=0),"",IF(INDEX($C22:$AI22,VALUE($AH$384))="","",IF(N(VALUE($AJ$384))=0,INDEX($C22:$AI22,VALUE($AH$384)),IF(N(INDEX($C22:$AI22,N(VALUE($AJ$384))))&gt;0,INDEX($C22:$AI22,VALUE($AH$384))/INDEX($C22:$AI22,N(VALUE($AJ$384))),""))))</f>
        <v>0</v>
      </c>
      <c r="BA22" s="72">
        <f>IF(OR($B22="",N(VALUE($AI$384))=0),"",IF(INDEX($C22:$AI22,VALUE($AI$384))="","",IF(N(VALUE($AK$384))=0,INDEX($C22:$AI22,VALUE($AI$384)),IF(N(INDEX($C22:$AI22,N(VALUE($AK$384))))&gt;0,INDEX($C22:$AI22,VALUE($AI$384))/INDEX($C22:$AI22,N(VALUE($AK$384))),""))))</f>
        <v>0</v>
      </c>
      <c r="BB22" s="72">
        <f>IF(OR($B22="",N(VALUE($AP$384))=0),"",IF(INDEX($C22:$AI22,VALUE($AP$384))="","",IF(N(VALUE($AR$384))=0,INDEX($C22:$AI22,VALUE($AP$384)),IF(N(INDEX($C22:$AI22,N(VALUE($AR$384))))&gt;0,INDEX($C22:$AI22,VALUE($AP$384))/INDEX($C22:$AI22,N(VALUE($AR$384))),""))))</f>
        <v>0</v>
      </c>
      <c r="BC22" s="72">
        <f>IF(OR($B22="",N(VALUE($AQ$384))=0),"",IF(INDEX($C22:$AI22,VALUE($AQ$384))="","",IF(N(VALUE($AS$384))=0,INDEX($C22:$AI22,VALUE($AQ$384)),IF(N(INDEX($C22:$AI22,N(VALUE($AS$384))))&gt;0,INDEX($C22:$AI22,VALUE($AQ$384))/INDEX($C22:$AI22,N(VALUE($AS$384))),""))))</f>
        <v>0</v>
      </c>
      <c r="BE22" s="42" t="str">
        <f>IF(AND($A22=$B$9,ISNUMBER(X22)),X22,NA())</f>
        <v/>
      </c>
    </row>
    <row r="23">
      <c r="A23" s="39">
        <v>12</v>
      </c>
      <c r="B23" s="57">
        <f>IF($A23&lt;=DAY($D$7),$C$7+$A23-1,"")</f>
        <v>46307</v>
      </c>
      <c r="C23" s="42">
        <f>IF($B23="","",IF($B$2="Todos",SUMIFS(BD!$C$3:$C$5001,BD!$A$3:$A$5001,$B23),SUMIFS(BD!$C$3:$C$5001,BD!$A$3:$A$5001,$B23,BD!$B$3:$B$5001,$D$2)))</f>
        <v>0</v>
      </c>
      <c r="D23" s="42">
        <f>IF($B23="","",IF($B$2="Todos",SUMIFS(BD!$D$3:$D$5001,BD!$A$3:$A$5001,$B23),SUMIFS(BD!$D$3:$D$5001,BD!$A$3:$A$5001,$B23,BD!$B$3:$B$5001,$D$2)))</f>
        <v>0</v>
      </c>
      <c r="E23" s="58">
        <f>IF($B23="","",IF($B$2="Todos",SUMIFS(BD!$E$3:$E$5001,BD!$A$3:$A$5001,$B23),SUMIFS(BD!$E$3:$E$5001,BD!$A$3:$A$5001,$B23,BD!$B$3:$B$5001,$D$2)))</f>
        <v>0</v>
      </c>
      <c r="F23" s="42">
        <f>IF($B23="","",IF($B$2="Todos",SUMIFS(BD!$F$3:$F$5001,BD!$A$3:$A$5001,$B23),SUMIFS(BD!$F$3:$F$5001,BD!$A$3:$A$5001,$B23,BD!$B$3:$B$5001,$D$2)))</f>
        <v>0</v>
      </c>
      <c r="G23" s="42">
        <f>IF($B23="","",IF($B$2="Todos",SUMIFS(BD!$G$3:$G$5001,BD!$A$3:$A$5001,$B23),SUMIFS(BD!$G$3:$G$5001,BD!$A$3:$A$5001,$B23,BD!$B$3:$B$5001,$D$2)))</f>
        <v>0</v>
      </c>
      <c r="H23" s="42">
        <f>IF($B23="","",IF($B$2="Todos",SUMIFS(BD!$H$3:$H$5001,BD!$A$3:$A$5001,$B23),SUMIFS(BD!$H$3:$H$5001,BD!$A$3:$A$5001,$B23,BD!$B$3:$B$5001,$D$2)))</f>
        <v>0</v>
      </c>
      <c r="I23" s="42">
        <f>IF($B23="","",IF($B$2="Todos",SUMIFS(BD!$I$3:$I$5001,BD!$A$3:$A$5001,$B23),SUMIFS(BD!$I$3:$I$5001,BD!$A$3:$A$5001,$B23,BD!$B$3:$B$5001,$D$2)))</f>
        <v>0</v>
      </c>
      <c r="J23" s="42">
        <f>IF($B23="","",IF($B$2="Todos",SUMIFS(BD!$J$3:$J$5001,BD!$A$3:$A$5001,$B23),SUMIFS(BD!$J$3:$J$5001,BD!$A$3:$A$5001,$B23,BD!$B$3:$B$5001,$D$2)))</f>
        <v>0</v>
      </c>
      <c r="K23" s="42">
        <f>IF($B23="","",IF($B$2="Todos",SUMIFS(BD!$K$3:$K$5001,BD!$A$3:$A$5001,$B23),SUMIFS(BD!$K$3:$K$5001,BD!$A$3:$A$5001,$B23,BD!$B$3:$B$5001,$D$2)))</f>
        <v>0</v>
      </c>
      <c r="L23" s="42">
        <f>IF($B23="","",IF($B$2="Todos",SUMIFS(BD!$L$3:$L$5001,BD!$A$3:$A$5001,$B23),SUMIFS(BD!$L$3:$L$5001,BD!$A$3:$A$5001,$B23,BD!$B$3:$B$5001,$D$2)))</f>
        <v>0</v>
      </c>
      <c r="M23" s="42">
        <f>IF($B23="","",IF($B$2="Todos",SUMIFS(BD!$M$3:$M$5001,BD!$A$3:$A$5001,$B23),SUMIFS(BD!$M$3:$M$5001,BD!$A$3:$A$5001,$B23,BD!$B$3:$B$5001,$D$2)))</f>
        <v>0</v>
      </c>
      <c r="N23" s="42">
        <f>IF($B23="","",IF($B$2="Todos",SUMIFS(BD!$N$3:$N$5001,BD!$A$3:$A$5001,$B23),SUMIFS(BD!$N$3:$N$5001,BD!$A$3:$A$5001,$B23,BD!$B$3:$B$5001,$D$2)))</f>
        <v>0</v>
      </c>
      <c r="O23" s="42">
        <f>IF($B23="","",IF($B$2="Todos",SUMIFS(BD!$O$3:$O$5001,BD!$A$3:$A$5001,$B23),SUMIFS(BD!$O$3:$O$5001,BD!$A$3:$A$5001,$B23,BD!$B$3:$B$5001,$D$2)))</f>
        <v>0</v>
      </c>
      <c r="P23" s="42">
        <f>IF($B23="","",IF($B$2="Todos",SUMIFS(BD!$P$3:$P$5001,BD!$A$3:$A$5001,$B23),SUMIFS(BD!$P$3:$P$5001,BD!$A$3:$A$5001,$B23,BD!$B$3:$B$5001,$D$2)))</f>
        <v>0</v>
      </c>
      <c r="Q23" s="42">
        <f>IF($B23="","",IF($B$2="Todos",SUMIFS(BD!$Q$3:$Q$5001,BD!$A$3:$A$5001,$B23),SUMIFS(BD!$Q$3:$Q$5001,BD!$A$3:$A$5001,$B23,BD!$B$3:$B$5001,$D$2)))</f>
        <v>0</v>
      </c>
      <c r="R23" s="42">
        <f>IF($B23="","",IF($B$2="Todos",SUMIFS(BD!$R$3:$R$5001,BD!$A$3:$A$5001,$B23),SUMIFS(BD!$R$3:$R$5001,BD!$A$3:$A$5001,$B23,BD!$B$3:$B$5001,$D$2)))</f>
        <v>0</v>
      </c>
      <c r="S23" s="58">
        <f>IF($B23="","",IF($B$2="Todos",SUMIFS(BD!$S$3:$S$5001,BD!$A$3:$A$5001,$B23),SUMIFS(BD!$S$3:$S$5001,BD!$A$3:$A$5001,$B23,BD!$B$3:$B$5001,$D$2)))</f>
        <v>0</v>
      </c>
      <c r="T23" s="42">
        <f>IF($B23="","",IF($B$2="Todos",SUMIFS(BD!$T$3:$T$5001,BD!$A$3:$A$5001,$B23),SUMIFS(BD!$T$3:$T$5001,BD!$A$3:$A$5001,$B23,BD!$B$3:$B$5001,$D$2)))</f>
        <v>0</v>
      </c>
      <c r="U23" s="42">
        <f>IF($B23="","",IF($B$2="Todos",SUMIFS(BD!$U$3:$U$5001,BD!$A$3:$A$5001,$B23),SUMIFS(BD!$U$3:$U$5001,BD!$A$3:$A$5001,$B23,BD!$B$3:$B$5001,$D$2)))</f>
        <v>0</v>
      </c>
      <c r="V23" s="42" t="str">
        <f>IF($B$2="Todos",IF(COUNT($C$152:$V$152)=0,"",SUM($C$152:$V$152)),IFERROR(INDEX($C$152:$V$152,MATCH($D$2,$C$140:$V$140,0)),""))</f>
        <v/>
      </c>
      <c r="W23" s="42" t="str">
        <f>IF($B$2="Todos",IF(COUNT($C$187:$V$187)=0,"",SUM($C$187:$V$187)),IFERROR(INDEX($C$187:$V$187,MATCH($D$2,$C$175:$V$175,0)),""))</f>
        <v/>
      </c>
      <c r="X23" s="59" t="str">
        <f>IF(Y23="","",IF($B$2="Todos",IF($B$4&gt;0,$B$4,IF($B$2="Todos",IF(COUNT($C$257:$V$257)=0,"",SUM($C$257:$V$257)),IFERROR(INDEX($C$257:$V$257,MATCH($D$2,$C$245:$V$245,0)),""))),IFERROR(INDEX($C$257:$V$257,MATCH($D$2,$C$245:$V$245,0)),"")))</f>
        <v/>
      </c>
      <c r="Y23" s="42" t="str">
        <f>IF($B$2="Todos",IF(COUNT($C$222:$V$222)=0,"",SUM($C$222:$V$222)),IFERROR(INDEX($C$222:$V$222,MATCH($D$2,$C$210:$V$210,0)),""))</f>
        <v/>
      </c>
      <c r="Z23" s="60" t="str">
        <f>IF(AND(ISNUMBER(Y23),ISNUMBER(X23)),IF(X23&gt;0,Y23/X23,""),"")</f>
        <v/>
      </c>
      <c r="AA23" s="42" t="str">
        <f>IF($B$2="Todos",IF(COUNT($C$292:$V$292)=0,"",SUM($C$292:$V$292)),IFERROR(INDEX($C$292:$V$292,MATCH($D$2,$C$280:$V$280,0)),""))</f>
        <v/>
      </c>
      <c r="AB23" s="42">
        <f>IF($B23="","",IF($B$2="Todos",SUMIFS(BD!$AA$3:$AA$5001,BD!$A$3:$A$5001,$B23),SUMIFS(BD!$AA$3:$AA$5001,BD!$A$3:$A$5001,$B23,BD!$B$3:$B$5001,$D$2)))</f>
        <v>0</v>
      </c>
      <c r="AC23" s="58">
        <f>IF($B23="","",IF($B$2="Todos",SUMIFS(BD!$AB$3:$AB$5001,BD!$A$3:$A$5001,$B23),SUMIFS(BD!$AB$3:$AB$5001,BD!$A$3:$A$5001,$B23,BD!$B$3:$B$5001,$D$2)))</f>
        <v>0</v>
      </c>
      <c r="AD23" s="42">
        <f>IF($B23="","",IF($B$2="Todos",SUMIFS(BD!$AC$3:$AC$5001,BD!$A$3:$A$5001,$B23),SUMIFS(BD!$AC$3:$AC$5001,BD!$A$3:$A$5001,$B23,BD!$B$3:$B$5001,$D$2)))</f>
        <v>0</v>
      </c>
      <c r="AE23" s="42">
        <f>IF($B23="","",IF($B$2="Todos",SUMIFS(BD!$AD$3:$AD$5001,BD!$A$3:$A$5001,$B23),SUMIFS(BD!$AD$3:$AD$5001,BD!$A$3:$A$5001,$B23,BD!$B$3:$B$5001,$D$2)))</f>
        <v>0</v>
      </c>
      <c r="AF23" s="42">
        <f>IF($B23="","",IF($B$2="Todos",SUMIFS(BD!$AE$3:$AE$5001,BD!$A$3:$A$5001,$B23),SUMIFS(BD!$AE$3:$AE$5001,BD!$A$3:$A$5001,$B23,BD!$B$3:$B$5001,$D$2)))</f>
        <v>0</v>
      </c>
      <c r="AG23" s="42">
        <f>IF($B23="","",IF($B$2="Todos",SUMIFS(BD!$AF$3:$AF$5001,BD!$A$3:$A$5001,$B23),SUMIFS(BD!$AF$3:$AF$5001,BD!$A$3:$A$5001,$B23,BD!$B$3:$B$5001,$D$2)))</f>
        <v>0</v>
      </c>
      <c r="AH23" s="42">
        <f>IF($B23="","",IF($B$2="Todos",SUMIFS(BD!$AG$3:$AG$5001,BD!$A$3:$A$5001,$B23),SUMIFS(BD!$AG$3:$AG$5001,BD!$A$3:$A$5001,$B23,BD!$B$3:$B$5001,$D$2)))</f>
        <v>0</v>
      </c>
      <c r="AI23" s="42">
        <f>IF($B23="","",IF($B$2="Todos",SUMIFS(BD!$AH$3:$AH$5001,BD!$A$3:$A$5001,$B23),SUMIFS(BD!$AH$3:$AH$5001,BD!$A$3:$A$5001,$B23,BD!$B$3:$B$5001,$D$2)))</f>
        <v>0</v>
      </c>
      <c r="AJ23" s="61">
        <f>$B$5</f>
        <v>0.7</v>
      </c>
      <c r="AK23" s="61">
        <f>$B$6</f>
        <v>0.9</v>
      </c>
      <c r="AN23" s="40" t="inlineStr">
        <is>
          <t xml:space="preserve">DEZEMBRO · 2026</t>
        </is>
      </c>
      <c r="AP23" s="40" t="str">
        <f>IFERROR(INDEX(Config!$B$10:$B$29,MATCH(11,$AR$13:$AR$32,0))&amp;"","")</f>
        <v/>
      </c>
      <c r="AQ23" s="39" t="str">
        <f>IF(AP23="","",IF(INDEX(Config!$C$10:$C$29,MATCH(11,$AR$13:$AR$32,0))&amp;""="","TPC",INDEX(Config!$C$10:$C$29,MATCH(11,$AR$13:$AR$32,0))&amp;""))</f>
        <v/>
      </c>
      <c r="AR23" s="48">
        <f>IF(Config!$B$20&amp;""="",AR22,AR22+1)</f>
        <v>10</v>
      </c>
      <c r="AZ23" s="72">
        <f>IF(OR($B23="",N(VALUE($AH$384))=0),"",IF(INDEX($C23:$AI23,VALUE($AH$384))="","",IF(N(VALUE($AJ$384))=0,INDEX($C23:$AI23,VALUE($AH$384)),IF(N(INDEX($C23:$AI23,N(VALUE($AJ$384))))&gt;0,INDEX($C23:$AI23,VALUE($AH$384))/INDEX($C23:$AI23,N(VALUE($AJ$384))),""))))</f>
        <v>0</v>
      </c>
      <c r="BA23" s="72">
        <f>IF(OR($B23="",N(VALUE($AI$384))=0),"",IF(INDEX($C23:$AI23,VALUE($AI$384))="","",IF(N(VALUE($AK$384))=0,INDEX($C23:$AI23,VALUE($AI$384)),IF(N(INDEX($C23:$AI23,N(VALUE($AK$384))))&gt;0,INDEX($C23:$AI23,VALUE($AI$384))/INDEX($C23:$AI23,N(VALUE($AK$384))),""))))</f>
        <v>0</v>
      </c>
      <c r="BB23" s="72">
        <f>IF(OR($B23="",N(VALUE($AP$384))=0),"",IF(INDEX($C23:$AI23,VALUE($AP$384))="","",IF(N(VALUE($AR$384))=0,INDEX($C23:$AI23,VALUE($AP$384)),IF(N(INDEX($C23:$AI23,N(VALUE($AR$384))))&gt;0,INDEX($C23:$AI23,VALUE($AP$384))/INDEX($C23:$AI23,N(VALUE($AR$384))),""))))</f>
        <v>0</v>
      </c>
      <c r="BC23" s="72">
        <f>IF(OR($B23="",N(VALUE($AQ$384))=0),"",IF(INDEX($C23:$AI23,VALUE($AQ$384))="","",IF(N(VALUE($AS$384))=0,INDEX($C23:$AI23,VALUE($AQ$384)),IF(N(INDEX($C23:$AI23,N(VALUE($AS$384))))&gt;0,INDEX($C23:$AI23,VALUE($AQ$384))/INDEX($C23:$AI23,N(VALUE($AS$384))),""))))</f>
        <v>0</v>
      </c>
      <c r="BE23" s="42" t="str">
        <f>IF(AND($A23=$B$9,ISNUMBER(X23)),X23,NA())</f>
        <v/>
      </c>
    </row>
    <row r="24">
      <c r="A24" s="39">
        <v>13</v>
      </c>
      <c r="B24" s="57">
        <f>IF($A24&lt;=DAY($D$7),$C$7+$A24-1,"")</f>
        <v>46308</v>
      </c>
      <c r="C24" s="42">
        <f>IF($B24="","",IF($B$2="Todos",SUMIFS(BD!$C$3:$C$5001,BD!$A$3:$A$5001,$B24),SUMIFS(BD!$C$3:$C$5001,BD!$A$3:$A$5001,$B24,BD!$B$3:$B$5001,$D$2)))</f>
        <v>0</v>
      </c>
      <c r="D24" s="42">
        <f>IF($B24="","",IF($B$2="Todos",SUMIFS(BD!$D$3:$D$5001,BD!$A$3:$A$5001,$B24),SUMIFS(BD!$D$3:$D$5001,BD!$A$3:$A$5001,$B24,BD!$B$3:$B$5001,$D$2)))</f>
        <v>0</v>
      </c>
      <c r="E24" s="58">
        <f>IF($B24="","",IF($B$2="Todos",SUMIFS(BD!$E$3:$E$5001,BD!$A$3:$A$5001,$B24),SUMIFS(BD!$E$3:$E$5001,BD!$A$3:$A$5001,$B24,BD!$B$3:$B$5001,$D$2)))</f>
        <v>0</v>
      </c>
      <c r="F24" s="42">
        <f>IF($B24="","",IF($B$2="Todos",SUMIFS(BD!$F$3:$F$5001,BD!$A$3:$A$5001,$B24),SUMIFS(BD!$F$3:$F$5001,BD!$A$3:$A$5001,$B24,BD!$B$3:$B$5001,$D$2)))</f>
        <v>0</v>
      </c>
      <c r="G24" s="42">
        <f>IF($B24="","",IF($B$2="Todos",SUMIFS(BD!$G$3:$G$5001,BD!$A$3:$A$5001,$B24),SUMIFS(BD!$G$3:$G$5001,BD!$A$3:$A$5001,$B24,BD!$B$3:$B$5001,$D$2)))</f>
        <v>0</v>
      </c>
      <c r="H24" s="42">
        <f>IF($B24="","",IF($B$2="Todos",SUMIFS(BD!$H$3:$H$5001,BD!$A$3:$A$5001,$B24),SUMIFS(BD!$H$3:$H$5001,BD!$A$3:$A$5001,$B24,BD!$B$3:$B$5001,$D$2)))</f>
        <v>0</v>
      </c>
      <c r="I24" s="42">
        <f>IF($B24="","",IF($B$2="Todos",SUMIFS(BD!$I$3:$I$5001,BD!$A$3:$A$5001,$B24),SUMIFS(BD!$I$3:$I$5001,BD!$A$3:$A$5001,$B24,BD!$B$3:$B$5001,$D$2)))</f>
        <v>0</v>
      </c>
      <c r="J24" s="42">
        <f>IF($B24="","",IF($B$2="Todos",SUMIFS(BD!$J$3:$J$5001,BD!$A$3:$A$5001,$B24),SUMIFS(BD!$J$3:$J$5001,BD!$A$3:$A$5001,$B24,BD!$B$3:$B$5001,$D$2)))</f>
        <v>0</v>
      </c>
      <c r="K24" s="42">
        <f>IF($B24="","",IF($B$2="Todos",SUMIFS(BD!$K$3:$K$5001,BD!$A$3:$A$5001,$B24),SUMIFS(BD!$K$3:$K$5001,BD!$A$3:$A$5001,$B24,BD!$B$3:$B$5001,$D$2)))</f>
        <v>0</v>
      </c>
      <c r="L24" s="42">
        <f>IF($B24="","",IF($B$2="Todos",SUMIFS(BD!$L$3:$L$5001,BD!$A$3:$A$5001,$B24),SUMIFS(BD!$L$3:$L$5001,BD!$A$3:$A$5001,$B24,BD!$B$3:$B$5001,$D$2)))</f>
        <v>0</v>
      </c>
      <c r="M24" s="42">
        <f>IF($B24="","",IF($B$2="Todos",SUMIFS(BD!$M$3:$M$5001,BD!$A$3:$A$5001,$B24),SUMIFS(BD!$M$3:$M$5001,BD!$A$3:$A$5001,$B24,BD!$B$3:$B$5001,$D$2)))</f>
        <v>0</v>
      </c>
      <c r="N24" s="42">
        <f>IF($B24="","",IF($B$2="Todos",SUMIFS(BD!$N$3:$N$5001,BD!$A$3:$A$5001,$B24),SUMIFS(BD!$N$3:$N$5001,BD!$A$3:$A$5001,$B24,BD!$B$3:$B$5001,$D$2)))</f>
        <v>0</v>
      </c>
      <c r="O24" s="42">
        <f>IF($B24="","",IF($B$2="Todos",SUMIFS(BD!$O$3:$O$5001,BD!$A$3:$A$5001,$B24),SUMIFS(BD!$O$3:$O$5001,BD!$A$3:$A$5001,$B24,BD!$B$3:$B$5001,$D$2)))</f>
        <v>0</v>
      </c>
      <c r="P24" s="42">
        <f>IF($B24="","",IF($B$2="Todos",SUMIFS(BD!$P$3:$P$5001,BD!$A$3:$A$5001,$B24),SUMIFS(BD!$P$3:$P$5001,BD!$A$3:$A$5001,$B24,BD!$B$3:$B$5001,$D$2)))</f>
        <v>0</v>
      </c>
      <c r="Q24" s="42">
        <f>IF($B24="","",IF($B$2="Todos",SUMIFS(BD!$Q$3:$Q$5001,BD!$A$3:$A$5001,$B24),SUMIFS(BD!$Q$3:$Q$5001,BD!$A$3:$A$5001,$B24,BD!$B$3:$B$5001,$D$2)))</f>
        <v>0</v>
      </c>
      <c r="R24" s="42">
        <f>IF($B24="","",IF($B$2="Todos",SUMIFS(BD!$R$3:$R$5001,BD!$A$3:$A$5001,$B24),SUMIFS(BD!$R$3:$R$5001,BD!$A$3:$A$5001,$B24,BD!$B$3:$B$5001,$D$2)))</f>
        <v>0</v>
      </c>
      <c r="S24" s="58">
        <f>IF($B24="","",IF($B$2="Todos",SUMIFS(BD!$S$3:$S$5001,BD!$A$3:$A$5001,$B24),SUMIFS(BD!$S$3:$S$5001,BD!$A$3:$A$5001,$B24,BD!$B$3:$B$5001,$D$2)))</f>
        <v>0</v>
      </c>
      <c r="T24" s="42">
        <f>IF($B24="","",IF($B$2="Todos",SUMIFS(BD!$T$3:$T$5001,BD!$A$3:$A$5001,$B24),SUMIFS(BD!$T$3:$T$5001,BD!$A$3:$A$5001,$B24,BD!$B$3:$B$5001,$D$2)))</f>
        <v>0</v>
      </c>
      <c r="U24" s="42">
        <f>IF($B24="","",IF($B$2="Todos",SUMIFS(BD!$U$3:$U$5001,BD!$A$3:$A$5001,$B24),SUMIFS(BD!$U$3:$U$5001,BD!$A$3:$A$5001,$B24,BD!$B$3:$B$5001,$D$2)))</f>
        <v>0</v>
      </c>
      <c r="V24" s="42" t="str">
        <f>IF($B$2="Todos",IF(COUNT($C$153:$V$153)=0,"",SUM($C$153:$V$153)),IFERROR(INDEX($C$153:$V$153,MATCH($D$2,$C$140:$V$140,0)),""))</f>
        <v/>
      </c>
      <c r="W24" s="42" t="str">
        <f>IF($B$2="Todos",IF(COUNT($C$188:$V$188)=0,"",SUM($C$188:$V$188)),IFERROR(INDEX($C$188:$V$188,MATCH($D$2,$C$175:$V$175,0)),""))</f>
        <v/>
      </c>
      <c r="X24" s="59" t="str">
        <f>IF(Y24="","",IF($B$2="Todos",IF($B$4&gt;0,$B$4,IF($B$2="Todos",IF(COUNT($C$258:$V$258)=0,"",SUM($C$258:$V$258)),IFERROR(INDEX($C$258:$V$258,MATCH($D$2,$C$245:$V$245,0)),""))),IFERROR(INDEX($C$258:$V$258,MATCH($D$2,$C$245:$V$245,0)),"")))</f>
        <v/>
      </c>
      <c r="Y24" s="42" t="str">
        <f>IF($B$2="Todos",IF(COUNT($C$223:$V$223)=0,"",SUM($C$223:$V$223)),IFERROR(INDEX($C$223:$V$223,MATCH($D$2,$C$210:$V$210,0)),""))</f>
        <v/>
      </c>
      <c r="Z24" s="60" t="str">
        <f>IF(AND(ISNUMBER(Y24),ISNUMBER(X24)),IF(X24&gt;0,Y24/X24,""),"")</f>
        <v/>
      </c>
      <c r="AA24" s="42" t="str">
        <f>IF($B$2="Todos",IF(COUNT($C$293:$V$293)=0,"",SUM($C$293:$V$293)),IFERROR(INDEX($C$293:$V$293,MATCH($D$2,$C$280:$V$280,0)),""))</f>
        <v/>
      </c>
      <c r="AB24" s="42">
        <f>IF($B24="","",IF($B$2="Todos",SUMIFS(BD!$AA$3:$AA$5001,BD!$A$3:$A$5001,$B24),SUMIFS(BD!$AA$3:$AA$5001,BD!$A$3:$A$5001,$B24,BD!$B$3:$B$5001,$D$2)))</f>
        <v>0</v>
      </c>
      <c r="AC24" s="58">
        <f>IF($B24="","",IF($B$2="Todos",SUMIFS(BD!$AB$3:$AB$5001,BD!$A$3:$A$5001,$B24),SUMIFS(BD!$AB$3:$AB$5001,BD!$A$3:$A$5001,$B24,BD!$B$3:$B$5001,$D$2)))</f>
        <v>0</v>
      </c>
      <c r="AD24" s="42">
        <f>IF($B24="","",IF($B$2="Todos",SUMIFS(BD!$AC$3:$AC$5001,BD!$A$3:$A$5001,$B24),SUMIFS(BD!$AC$3:$AC$5001,BD!$A$3:$A$5001,$B24,BD!$B$3:$B$5001,$D$2)))</f>
        <v>0</v>
      </c>
      <c r="AE24" s="42">
        <f>IF($B24="","",IF($B$2="Todos",SUMIFS(BD!$AD$3:$AD$5001,BD!$A$3:$A$5001,$B24),SUMIFS(BD!$AD$3:$AD$5001,BD!$A$3:$A$5001,$B24,BD!$B$3:$B$5001,$D$2)))</f>
        <v>0</v>
      </c>
      <c r="AF24" s="42">
        <f>IF($B24="","",IF($B$2="Todos",SUMIFS(BD!$AE$3:$AE$5001,BD!$A$3:$A$5001,$B24),SUMIFS(BD!$AE$3:$AE$5001,BD!$A$3:$A$5001,$B24,BD!$B$3:$B$5001,$D$2)))</f>
        <v>0</v>
      </c>
      <c r="AG24" s="42">
        <f>IF($B24="","",IF($B$2="Todos",SUMIFS(BD!$AF$3:$AF$5001,BD!$A$3:$A$5001,$B24),SUMIFS(BD!$AF$3:$AF$5001,BD!$A$3:$A$5001,$B24,BD!$B$3:$B$5001,$D$2)))</f>
        <v>0</v>
      </c>
      <c r="AH24" s="42">
        <f>IF($B24="","",IF($B$2="Todos",SUMIFS(BD!$AG$3:$AG$5001,BD!$A$3:$A$5001,$B24),SUMIFS(BD!$AG$3:$AG$5001,BD!$A$3:$A$5001,$B24,BD!$B$3:$B$5001,$D$2)))</f>
        <v>0</v>
      </c>
      <c r="AI24" s="42">
        <f>IF($B24="","",IF($B$2="Todos",SUMIFS(BD!$AH$3:$AH$5001,BD!$A$3:$A$5001,$B24),SUMIFS(BD!$AH$3:$AH$5001,BD!$A$3:$A$5001,$B24,BD!$B$3:$B$5001,$D$2)))</f>
        <v>0</v>
      </c>
      <c r="AJ24" s="61">
        <f>$B$5</f>
        <v>0.7</v>
      </c>
      <c r="AK24" s="61">
        <f>$B$6</f>
        <v>0.9</v>
      </c>
      <c r="AP24" s="40" t="str">
        <f>IFERROR(INDEX(Config!$B$10:$B$29,MATCH(12,$AR$13:$AR$32,0))&amp;"","")</f>
        <v/>
      </c>
      <c r="AQ24" s="39" t="str">
        <f>IF(AP24="","",IF(INDEX(Config!$C$10:$C$29,MATCH(12,$AR$13:$AR$32,0))&amp;""="","TPC",INDEX(Config!$C$10:$C$29,MATCH(12,$AR$13:$AR$32,0))&amp;""))</f>
        <v/>
      </c>
      <c r="AR24" s="48">
        <f>IF(Config!$B$21&amp;""="",AR23,AR23+1)</f>
        <v>10</v>
      </c>
      <c r="AZ24" s="72">
        <f>IF(OR($B24="",N(VALUE($AH$384))=0),"",IF(INDEX($C24:$AI24,VALUE($AH$384))="","",IF(N(VALUE($AJ$384))=0,INDEX($C24:$AI24,VALUE($AH$384)),IF(N(INDEX($C24:$AI24,N(VALUE($AJ$384))))&gt;0,INDEX($C24:$AI24,VALUE($AH$384))/INDEX($C24:$AI24,N(VALUE($AJ$384))),""))))</f>
        <v>0</v>
      </c>
      <c r="BA24" s="72">
        <f>IF(OR($B24="",N(VALUE($AI$384))=0),"",IF(INDEX($C24:$AI24,VALUE($AI$384))="","",IF(N(VALUE($AK$384))=0,INDEX($C24:$AI24,VALUE($AI$384)),IF(N(INDEX($C24:$AI24,N(VALUE($AK$384))))&gt;0,INDEX($C24:$AI24,VALUE($AI$384))/INDEX($C24:$AI24,N(VALUE($AK$384))),""))))</f>
        <v>0</v>
      </c>
      <c r="BB24" s="72">
        <f>IF(OR($B24="",N(VALUE($AP$384))=0),"",IF(INDEX($C24:$AI24,VALUE($AP$384))="","",IF(N(VALUE($AR$384))=0,INDEX($C24:$AI24,VALUE($AP$384)),IF(N(INDEX($C24:$AI24,N(VALUE($AR$384))))&gt;0,INDEX($C24:$AI24,VALUE($AP$384))/INDEX($C24:$AI24,N(VALUE($AR$384))),""))))</f>
        <v>0</v>
      </c>
      <c r="BC24" s="72">
        <f>IF(OR($B24="",N(VALUE($AQ$384))=0),"",IF(INDEX($C24:$AI24,VALUE($AQ$384))="","",IF(N(VALUE($AS$384))=0,INDEX($C24:$AI24,VALUE($AQ$384)),IF(N(INDEX($C24:$AI24,N(VALUE($AS$384))))&gt;0,INDEX($C24:$AI24,VALUE($AQ$384))/INDEX($C24:$AI24,N(VALUE($AS$384))),""))))</f>
        <v>0</v>
      </c>
      <c r="BE24" s="42" t="str">
        <f>IF(AND($A24=$B$9,ISNUMBER(X24)),X24,NA())</f>
        <v/>
      </c>
    </row>
    <row r="25">
      <c r="A25" s="39">
        <v>14</v>
      </c>
      <c r="B25" s="57">
        <f>IF($A25&lt;=DAY($D$7),$C$7+$A25-1,"")</f>
        <v>46309</v>
      </c>
      <c r="C25" s="42">
        <f>IF($B25="","",IF($B$2="Todos",SUMIFS(BD!$C$3:$C$5001,BD!$A$3:$A$5001,$B25),SUMIFS(BD!$C$3:$C$5001,BD!$A$3:$A$5001,$B25,BD!$B$3:$B$5001,$D$2)))</f>
        <v>0</v>
      </c>
      <c r="D25" s="42">
        <f>IF($B25="","",IF($B$2="Todos",SUMIFS(BD!$D$3:$D$5001,BD!$A$3:$A$5001,$B25),SUMIFS(BD!$D$3:$D$5001,BD!$A$3:$A$5001,$B25,BD!$B$3:$B$5001,$D$2)))</f>
        <v>0</v>
      </c>
      <c r="E25" s="58">
        <f>IF($B25="","",IF($B$2="Todos",SUMIFS(BD!$E$3:$E$5001,BD!$A$3:$A$5001,$B25),SUMIFS(BD!$E$3:$E$5001,BD!$A$3:$A$5001,$B25,BD!$B$3:$B$5001,$D$2)))</f>
        <v>0</v>
      </c>
      <c r="F25" s="42">
        <f>IF($B25="","",IF($B$2="Todos",SUMIFS(BD!$F$3:$F$5001,BD!$A$3:$A$5001,$B25),SUMIFS(BD!$F$3:$F$5001,BD!$A$3:$A$5001,$B25,BD!$B$3:$B$5001,$D$2)))</f>
        <v>0</v>
      </c>
      <c r="G25" s="42">
        <f>IF($B25="","",IF($B$2="Todos",SUMIFS(BD!$G$3:$G$5001,BD!$A$3:$A$5001,$B25),SUMIFS(BD!$G$3:$G$5001,BD!$A$3:$A$5001,$B25,BD!$B$3:$B$5001,$D$2)))</f>
        <v>0</v>
      </c>
      <c r="H25" s="42">
        <f>IF($B25="","",IF($B$2="Todos",SUMIFS(BD!$H$3:$H$5001,BD!$A$3:$A$5001,$B25),SUMIFS(BD!$H$3:$H$5001,BD!$A$3:$A$5001,$B25,BD!$B$3:$B$5001,$D$2)))</f>
        <v>0</v>
      </c>
      <c r="I25" s="42">
        <f>IF($B25="","",IF($B$2="Todos",SUMIFS(BD!$I$3:$I$5001,BD!$A$3:$A$5001,$B25),SUMIFS(BD!$I$3:$I$5001,BD!$A$3:$A$5001,$B25,BD!$B$3:$B$5001,$D$2)))</f>
        <v>0</v>
      </c>
      <c r="J25" s="42">
        <f>IF($B25="","",IF($B$2="Todos",SUMIFS(BD!$J$3:$J$5001,BD!$A$3:$A$5001,$B25),SUMIFS(BD!$J$3:$J$5001,BD!$A$3:$A$5001,$B25,BD!$B$3:$B$5001,$D$2)))</f>
        <v>0</v>
      </c>
      <c r="K25" s="42">
        <f>IF($B25="","",IF($B$2="Todos",SUMIFS(BD!$K$3:$K$5001,BD!$A$3:$A$5001,$B25),SUMIFS(BD!$K$3:$K$5001,BD!$A$3:$A$5001,$B25,BD!$B$3:$B$5001,$D$2)))</f>
        <v>0</v>
      </c>
      <c r="L25" s="42">
        <f>IF($B25="","",IF($B$2="Todos",SUMIFS(BD!$L$3:$L$5001,BD!$A$3:$A$5001,$B25),SUMIFS(BD!$L$3:$L$5001,BD!$A$3:$A$5001,$B25,BD!$B$3:$B$5001,$D$2)))</f>
        <v>0</v>
      </c>
      <c r="M25" s="42">
        <f>IF($B25="","",IF($B$2="Todos",SUMIFS(BD!$M$3:$M$5001,BD!$A$3:$A$5001,$B25),SUMIFS(BD!$M$3:$M$5001,BD!$A$3:$A$5001,$B25,BD!$B$3:$B$5001,$D$2)))</f>
        <v>0</v>
      </c>
      <c r="N25" s="42">
        <f>IF($B25="","",IF($B$2="Todos",SUMIFS(BD!$N$3:$N$5001,BD!$A$3:$A$5001,$B25),SUMIFS(BD!$N$3:$N$5001,BD!$A$3:$A$5001,$B25,BD!$B$3:$B$5001,$D$2)))</f>
        <v>0</v>
      </c>
      <c r="O25" s="42">
        <f>IF($B25="","",IF($B$2="Todos",SUMIFS(BD!$O$3:$O$5001,BD!$A$3:$A$5001,$B25),SUMIFS(BD!$O$3:$O$5001,BD!$A$3:$A$5001,$B25,BD!$B$3:$B$5001,$D$2)))</f>
        <v>0</v>
      </c>
      <c r="P25" s="42">
        <f>IF($B25="","",IF($B$2="Todos",SUMIFS(BD!$P$3:$P$5001,BD!$A$3:$A$5001,$B25),SUMIFS(BD!$P$3:$P$5001,BD!$A$3:$A$5001,$B25,BD!$B$3:$B$5001,$D$2)))</f>
        <v>0</v>
      </c>
      <c r="Q25" s="42">
        <f>IF($B25="","",IF($B$2="Todos",SUMIFS(BD!$Q$3:$Q$5001,BD!$A$3:$A$5001,$B25),SUMIFS(BD!$Q$3:$Q$5001,BD!$A$3:$A$5001,$B25,BD!$B$3:$B$5001,$D$2)))</f>
        <v>0</v>
      </c>
      <c r="R25" s="42">
        <f>IF($B25="","",IF($B$2="Todos",SUMIFS(BD!$R$3:$R$5001,BD!$A$3:$A$5001,$B25),SUMIFS(BD!$R$3:$R$5001,BD!$A$3:$A$5001,$B25,BD!$B$3:$B$5001,$D$2)))</f>
        <v>0</v>
      </c>
      <c r="S25" s="58">
        <f>IF($B25="","",IF($B$2="Todos",SUMIFS(BD!$S$3:$S$5001,BD!$A$3:$A$5001,$B25),SUMIFS(BD!$S$3:$S$5001,BD!$A$3:$A$5001,$B25,BD!$B$3:$B$5001,$D$2)))</f>
        <v>0</v>
      </c>
      <c r="T25" s="42">
        <f>IF($B25="","",IF($B$2="Todos",SUMIFS(BD!$T$3:$T$5001,BD!$A$3:$A$5001,$B25),SUMIFS(BD!$T$3:$T$5001,BD!$A$3:$A$5001,$B25,BD!$B$3:$B$5001,$D$2)))</f>
        <v>0</v>
      </c>
      <c r="U25" s="42">
        <f>IF($B25="","",IF($B$2="Todos",SUMIFS(BD!$U$3:$U$5001,BD!$A$3:$A$5001,$B25),SUMIFS(BD!$U$3:$U$5001,BD!$A$3:$A$5001,$B25,BD!$B$3:$B$5001,$D$2)))</f>
        <v>0</v>
      </c>
      <c r="V25" s="42" t="str">
        <f>IF($B$2="Todos",IF(COUNT($C$154:$V$154)=0,"",SUM($C$154:$V$154)),IFERROR(INDEX($C$154:$V$154,MATCH($D$2,$C$140:$V$140,0)),""))</f>
        <v/>
      </c>
      <c r="W25" s="42" t="str">
        <f>IF($B$2="Todos",IF(COUNT($C$189:$V$189)=0,"",SUM($C$189:$V$189)),IFERROR(INDEX($C$189:$V$189,MATCH($D$2,$C$175:$V$175,0)),""))</f>
        <v/>
      </c>
      <c r="X25" s="59" t="str">
        <f>IF(Y25="","",IF($B$2="Todos",IF($B$4&gt;0,$B$4,IF($B$2="Todos",IF(COUNT($C$259:$V$259)=0,"",SUM($C$259:$V$259)),IFERROR(INDEX($C$259:$V$259,MATCH($D$2,$C$245:$V$245,0)),""))),IFERROR(INDEX($C$259:$V$259,MATCH($D$2,$C$245:$V$245,0)),"")))</f>
        <v/>
      </c>
      <c r="Y25" s="42" t="str">
        <f>IF($B$2="Todos",IF(COUNT($C$224:$V$224)=0,"",SUM($C$224:$V$224)),IFERROR(INDEX($C$224:$V$224,MATCH($D$2,$C$210:$V$210,0)),""))</f>
        <v/>
      </c>
      <c r="Z25" s="60" t="str">
        <f>IF(AND(ISNUMBER(Y25),ISNUMBER(X25)),IF(X25&gt;0,Y25/X25,""),"")</f>
        <v/>
      </c>
      <c r="AA25" s="42" t="str">
        <f>IF($B$2="Todos",IF(COUNT($C$294:$V$294)=0,"",SUM($C$294:$V$294)),IFERROR(INDEX($C$294:$V$294,MATCH($D$2,$C$280:$V$280,0)),""))</f>
        <v/>
      </c>
      <c r="AB25" s="42">
        <f>IF($B25="","",IF($B$2="Todos",SUMIFS(BD!$AA$3:$AA$5001,BD!$A$3:$A$5001,$B25),SUMIFS(BD!$AA$3:$AA$5001,BD!$A$3:$A$5001,$B25,BD!$B$3:$B$5001,$D$2)))</f>
        <v>0</v>
      </c>
      <c r="AC25" s="58">
        <f>IF($B25="","",IF($B$2="Todos",SUMIFS(BD!$AB$3:$AB$5001,BD!$A$3:$A$5001,$B25),SUMIFS(BD!$AB$3:$AB$5001,BD!$A$3:$A$5001,$B25,BD!$B$3:$B$5001,$D$2)))</f>
        <v>0</v>
      </c>
      <c r="AD25" s="42">
        <f>IF($B25="","",IF($B$2="Todos",SUMIFS(BD!$AC$3:$AC$5001,BD!$A$3:$A$5001,$B25),SUMIFS(BD!$AC$3:$AC$5001,BD!$A$3:$A$5001,$B25,BD!$B$3:$B$5001,$D$2)))</f>
        <v>0</v>
      </c>
      <c r="AE25" s="42">
        <f>IF($B25="","",IF($B$2="Todos",SUMIFS(BD!$AD$3:$AD$5001,BD!$A$3:$A$5001,$B25),SUMIFS(BD!$AD$3:$AD$5001,BD!$A$3:$A$5001,$B25,BD!$B$3:$B$5001,$D$2)))</f>
        <v>0</v>
      </c>
      <c r="AF25" s="42">
        <f>IF($B25="","",IF($B$2="Todos",SUMIFS(BD!$AE$3:$AE$5001,BD!$A$3:$A$5001,$B25),SUMIFS(BD!$AE$3:$AE$5001,BD!$A$3:$A$5001,$B25,BD!$B$3:$B$5001,$D$2)))</f>
        <v>0</v>
      </c>
      <c r="AG25" s="42">
        <f>IF($B25="","",IF($B$2="Todos",SUMIFS(BD!$AF$3:$AF$5001,BD!$A$3:$A$5001,$B25),SUMIFS(BD!$AF$3:$AF$5001,BD!$A$3:$A$5001,$B25,BD!$B$3:$B$5001,$D$2)))</f>
        <v>0</v>
      </c>
      <c r="AH25" s="42">
        <f>IF($B25="","",IF($B$2="Todos",SUMIFS(BD!$AG$3:$AG$5001,BD!$A$3:$A$5001,$B25),SUMIFS(BD!$AG$3:$AG$5001,BD!$A$3:$A$5001,$B25,BD!$B$3:$B$5001,$D$2)))</f>
        <v>0</v>
      </c>
      <c r="AI25" s="42">
        <f>IF($B25="","",IF($B$2="Todos",SUMIFS(BD!$AH$3:$AH$5001,BD!$A$3:$A$5001,$B25),SUMIFS(BD!$AH$3:$AH$5001,BD!$A$3:$A$5001,$B25,BD!$B$3:$B$5001,$D$2)))</f>
        <v>0</v>
      </c>
      <c r="AJ25" s="61">
        <f>$B$5</f>
        <v>0.7</v>
      </c>
      <c r="AK25" s="61">
        <f>$B$6</f>
        <v>0.9</v>
      </c>
      <c r="AP25" s="40" t="str">
        <f>IFERROR(INDEX(Config!$B$10:$B$29,MATCH(13,$AR$13:$AR$32,0))&amp;"","")</f>
        <v/>
      </c>
      <c r="AQ25" s="39" t="str">
        <f>IF(AP25="","",IF(INDEX(Config!$C$10:$C$29,MATCH(13,$AR$13:$AR$32,0))&amp;""="","TPC",INDEX(Config!$C$10:$C$29,MATCH(13,$AR$13:$AR$32,0))&amp;""))</f>
        <v/>
      </c>
      <c r="AR25" s="48">
        <f>IF(Config!$B$22&amp;""="",AR24,AR24+1)</f>
        <v>10</v>
      </c>
      <c r="AZ25" s="72">
        <f>IF(OR($B25="",N(VALUE($AH$384))=0),"",IF(INDEX($C25:$AI25,VALUE($AH$384))="","",IF(N(VALUE($AJ$384))=0,INDEX($C25:$AI25,VALUE($AH$384)),IF(N(INDEX($C25:$AI25,N(VALUE($AJ$384))))&gt;0,INDEX($C25:$AI25,VALUE($AH$384))/INDEX($C25:$AI25,N(VALUE($AJ$384))),""))))</f>
        <v>0</v>
      </c>
      <c r="BA25" s="72">
        <f>IF(OR($B25="",N(VALUE($AI$384))=0),"",IF(INDEX($C25:$AI25,VALUE($AI$384))="","",IF(N(VALUE($AK$384))=0,INDEX($C25:$AI25,VALUE($AI$384)),IF(N(INDEX($C25:$AI25,N(VALUE($AK$384))))&gt;0,INDEX($C25:$AI25,VALUE($AI$384))/INDEX($C25:$AI25,N(VALUE($AK$384))),""))))</f>
        <v>0</v>
      </c>
      <c r="BB25" s="72">
        <f>IF(OR($B25="",N(VALUE($AP$384))=0),"",IF(INDEX($C25:$AI25,VALUE($AP$384))="","",IF(N(VALUE($AR$384))=0,INDEX($C25:$AI25,VALUE($AP$384)),IF(N(INDEX($C25:$AI25,N(VALUE($AR$384))))&gt;0,INDEX($C25:$AI25,VALUE($AP$384))/INDEX($C25:$AI25,N(VALUE($AR$384))),""))))</f>
        <v>0</v>
      </c>
      <c r="BC25" s="72">
        <f>IF(OR($B25="",N(VALUE($AQ$384))=0),"",IF(INDEX($C25:$AI25,VALUE($AQ$384))="","",IF(N(VALUE($AS$384))=0,INDEX($C25:$AI25,VALUE($AQ$384)),IF(N(INDEX($C25:$AI25,N(VALUE($AS$384))))&gt;0,INDEX($C25:$AI25,VALUE($AQ$384))/INDEX($C25:$AI25,N(VALUE($AS$384))),""))))</f>
        <v>0</v>
      </c>
      <c r="BE25" s="42" t="str">
        <f>IF(AND($A25=$B$9,ISNUMBER(X25)),X25,NA())</f>
        <v/>
      </c>
    </row>
    <row r="26">
      <c r="A26" s="39">
        <v>15</v>
      </c>
      <c r="B26" s="57">
        <f>IF($A26&lt;=DAY($D$7),$C$7+$A26-1,"")</f>
        <v>46310</v>
      </c>
      <c r="C26" s="42">
        <f>IF($B26="","",IF($B$2="Todos",SUMIFS(BD!$C$3:$C$5001,BD!$A$3:$A$5001,$B26),SUMIFS(BD!$C$3:$C$5001,BD!$A$3:$A$5001,$B26,BD!$B$3:$B$5001,$D$2)))</f>
        <v>0</v>
      </c>
      <c r="D26" s="42">
        <f>IF($B26="","",IF($B$2="Todos",SUMIFS(BD!$D$3:$D$5001,BD!$A$3:$A$5001,$B26),SUMIFS(BD!$D$3:$D$5001,BD!$A$3:$A$5001,$B26,BD!$B$3:$B$5001,$D$2)))</f>
        <v>0</v>
      </c>
      <c r="E26" s="58">
        <f>IF($B26="","",IF($B$2="Todos",SUMIFS(BD!$E$3:$E$5001,BD!$A$3:$A$5001,$B26),SUMIFS(BD!$E$3:$E$5001,BD!$A$3:$A$5001,$B26,BD!$B$3:$B$5001,$D$2)))</f>
        <v>0</v>
      </c>
      <c r="F26" s="42">
        <f>IF($B26="","",IF($B$2="Todos",SUMIFS(BD!$F$3:$F$5001,BD!$A$3:$A$5001,$B26),SUMIFS(BD!$F$3:$F$5001,BD!$A$3:$A$5001,$B26,BD!$B$3:$B$5001,$D$2)))</f>
        <v>0</v>
      </c>
      <c r="G26" s="42">
        <f>IF($B26="","",IF($B$2="Todos",SUMIFS(BD!$G$3:$G$5001,BD!$A$3:$A$5001,$B26),SUMIFS(BD!$G$3:$G$5001,BD!$A$3:$A$5001,$B26,BD!$B$3:$B$5001,$D$2)))</f>
        <v>0</v>
      </c>
      <c r="H26" s="42">
        <f>IF($B26="","",IF($B$2="Todos",SUMIFS(BD!$H$3:$H$5001,BD!$A$3:$A$5001,$B26),SUMIFS(BD!$H$3:$H$5001,BD!$A$3:$A$5001,$B26,BD!$B$3:$B$5001,$D$2)))</f>
        <v>0</v>
      </c>
      <c r="I26" s="42">
        <f>IF($B26="","",IF($B$2="Todos",SUMIFS(BD!$I$3:$I$5001,BD!$A$3:$A$5001,$B26),SUMIFS(BD!$I$3:$I$5001,BD!$A$3:$A$5001,$B26,BD!$B$3:$B$5001,$D$2)))</f>
        <v>0</v>
      </c>
      <c r="J26" s="42">
        <f>IF($B26="","",IF($B$2="Todos",SUMIFS(BD!$J$3:$J$5001,BD!$A$3:$A$5001,$B26),SUMIFS(BD!$J$3:$J$5001,BD!$A$3:$A$5001,$B26,BD!$B$3:$B$5001,$D$2)))</f>
        <v>0</v>
      </c>
      <c r="K26" s="42">
        <f>IF($B26="","",IF($B$2="Todos",SUMIFS(BD!$K$3:$K$5001,BD!$A$3:$A$5001,$B26),SUMIFS(BD!$K$3:$K$5001,BD!$A$3:$A$5001,$B26,BD!$B$3:$B$5001,$D$2)))</f>
        <v>0</v>
      </c>
      <c r="L26" s="42">
        <f>IF($B26="","",IF($B$2="Todos",SUMIFS(BD!$L$3:$L$5001,BD!$A$3:$A$5001,$B26),SUMIFS(BD!$L$3:$L$5001,BD!$A$3:$A$5001,$B26,BD!$B$3:$B$5001,$D$2)))</f>
        <v>0</v>
      </c>
      <c r="M26" s="42">
        <f>IF($B26="","",IF($B$2="Todos",SUMIFS(BD!$M$3:$M$5001,BD!$A$3:$A$5001,$B26),SUMIFS(BD!$M$3:$M$5001,BD!$A$3:$A$5001,$B26,BD!$B$3:$B$5001,$D$2)))</f>
        <v>0</v>
      </c>
      <c r="N26" s="42">
        <f>IF($B26="","",IF($B$2="Todos",SUMIFS(BD!$N$3:$N$5001,BD!$A$3:$A$5001,$B26),SUMIFS(BD!$N$3:$N$5001,BD!$A$3:$A$5001,$B26,BD!$B$3:$B$5001,$D$2)))</f>
        <v>0</v>
      </c>
      <c r="O26" s="42">
        <f>IF($B26="","",IF($B$2="Todos",SUMIFS(BD!$O$3:$O$5001,BD!$A$3:$A$5001,$B26),SUMIFS(BD!$O$3:$O$5001,BD!$A$3:$A$5001,$B26,BD!$B$3:$B$5001,$D$2)))</f>
        <v>0</v>
      </c>
      <c r="P26" s="42">
        <f>IF($B26="","",IF($B$2="Todos",SUMIFS(BD!$P$3:$P$5001,BD!$A$3:$A$5001,$B26),SUMIFS(BD!$P$3:$P$5001,BD!$A$3:$A$5001,$B26,BD!$B$3:$B$5001,$D$2)))</f>
        <v>0</v>
      </c>
      <c r="Q26" s="42">
        <f>IF($B26="","",IF($B$2="Todos",SUMIFS(BD!$Q$3:$Q$5001,BD!$A$3:$A$5001,$B26),SUMIFS(BD!$Q$3:$Q$5001,BD!$A$3:$A$5001,$B26,BD!$B$3:$B$5001,$D$2)))</f>
        <v>0</v>
      </c>
      <c r="R26" s="42">
        <f>IF($B26="","",IF($B$2="Todos",SUMIFS(BD!$R$3:$R$5001,BD!$A$3:$A$5001,$B26),SUMIFS(BD!$R$3:$R$5001,BD!$A$3:$A$5001,$B26,BD!$B$3:$B$5001,$D$2)))</f>
        <v>0</v>
      </c>
      <c r="S26" s="58">
        <f>IF($B26="","",IF($B$2="Todos",SUMIFS(BD!$S$3:$S$5001,BD!$A$3:$A$5001,$B26),SUMIFS(BD!$S$3:$S$5001,BD!$A$3:$A$5001,$B26,BD!$B$3:$B$5001,$D$2)))</f>
        <v>0</v>
      </c>
      <c r="T26" s="42">
        <f>IF($B26="","",IF($B$2="Todos",SUMIFS(BD!$T$3:$T$5001,BD!$A$3:$A$5001,$B26),SUMIFS(BD!$T$3:$T$5001,BD!$A$3:$A$5001,$B26,BD!$B$3:$B$5001,$D$2)))</f>
        <v>0</v>
      </c>
      <c r="U26" s="42">
        <f>IF($B26="","",IF($B$2="Todos",SUMIFS(BD!$U$3:$U$5001,BD!$A$3:$A$5001,$B26),SUMIFS(BD!$U$3:$U$5001,BD!$A$3:$A$5001,$B26,BD!$B$3:$B$5001,$D$2)))</f>
        <v>0</v>
      </c>
      <c r="V26" s="42" t="str">
        <f>IF($B$2="Todos",IF(COUNT($C$155:$V$155)=0,"",SUM($C$155:$V$155)),IFERROR(INDEX($C$155:$V$155,MATCH($D$2,$C$140:$V$140,0)),""))</f>
        <v/>
      </c>
      <c r="W26" s="42" t="str">
        <f>IF($B$2="Todos",IF(COUNT($C$190:$V$190)=0,"",SUM($C$190:$V$190)),IFERROR(INDEX($C$190:$V$190,MATCH($D$2,$C$175:$V$175,0)),""))</f>
        <v/>
      </c>
      <c r="X26" s="59" t="str">
        <f>IF(Y26="","",IF($B$2="Todos",IF($B$4&gt;0,$B$4,IF($B$2="Todos",IF(COUNT($C$260:$V$260)=0,"",SUM($C$260:$V$260)),IFERROR(INDEX($C$260:$V$260,MATCH($D$2,$C$245:$V$245,0)),""))),IFERROR(INDEX($C$260:$V$260,MATCH($D$2,$C$245:$V$245,0)),"")))</f>
        <v/>
      </c>
      <c r="Y26" s="42" t="str">
        <f>IF($B$2="Todos",IF(COUNT($C$225:$V$225)=0,"",SUM($C$225:$V$225)),IFERROR(INDEX($C$225:$V$225,MATCH($D$2,$C$210:$V$210,0)),""))</f>
        <v/>
      </c>
      <c r="Z26" s="60" t="str">
        <f>IF(AND(ISNUMBER(Y26),ISNUMBER(X26)),IF(X26&gt;0,Y26/X26,""),"")</f>
        <v/>
      </c>
      <c r="AA26" s="42" t="str">
        <f>IF($B$2="Todos",IF(COUNT($C$295:$V$295)=0,"",SUM($C$295:$V$295)),IFERROR(INDEX($C$295:$V$295,MATCH($D$2,$C$280:$V$280,0)),""))</f>
        <v/>
      </c>
      <c r="AB26" s="42">
        <f>IF($B26="","",IF($B$2="Todos",SUMIFS(BD!$AA$3:$AA$5001,BD!$A$3:$A$5001,$B26),SUMIFS(BD!$AA$3:$AA$5001,BD!$A$3:$A$5001,$B26,BD!$B$3:$B$5001,$D$2)))</f>
        <v>0</v>
      </c>
      <c r="AC26" s="58">
        <f>IF($B26="","",IF($B$2="Todos",SUMIFS(BD!$AB$3:$AB$5001,BD!$A$3:$A$5001,$B26),SUMIFS(BD!$AB$3:$AB$5001,BD!$A$3:$A$5001,$B26,BD!$B$3:$B$5001,$D$2)))</f>
        <v>0</v>
      </c>
      <c r="AD26" s="42">
        <f>IF($B26="","",IF($B$2="Todos",SUMIFS(BD!$AC$3:$AC$5001,BD!$A$3:$A$5001,$B26),SUMIFS(BD!$AC$3:$AC$5001,BD!$A$3:$A$5001,$B26,BD!$B$3:$B$5001,$D$2)))</f>
        <v>0</v>
      </c>
      <c r="AE26" s="42">
        <f>IF($B26="","",IF($B$2="Todos",SUMIFS(BD!$AD$3:$AD$5001,BD!$A$3:$A$5001,$B26),SUMIFS(BD!$AD$3:$AD$5001,BD!$A$3:$A$5001,$B26,BD!$B$3:$B$5001,$D$2)))</f>
        <v>0</v>
      </c>
      <c r="AF26" s="42">
        <f>IF($B26="","",IF($B$2="Todos",SUMIFS(BD!$AE$3:$AE$5001,BD!$A$3:$A$5001,$B26),SUMIFS(BD!$AE$3:$AE$5001,BD!$A$3:$A$5001,$B26,BD!$B$3:$B$5001,$D$2)))</f>
        <v>0</v>
      </c>
      <c r="AG26" s="42">
        <f>IF($B26="","",IF($B$2="Todos",SUMIFS(BD!$AF$3:$AF$5001,BD!$A$3:$A$5001,$B26),SUMIFS(BD!$AF$3:$AF$5001,BD!$A$3:$A$5001,$B26,BD!$B$3:$B$5001,$D$2)))</f>
        <v>0</v>
      </c>
      <c r="AH26" s="42">
        <f>IF($B26="","",IF($B$2="Todos",SUMIFS(BD!$AG$3:$AG$5001,BD!$A$3:$A$5001,$B26),SUMIFS(BD!$AG$3:$AG$5001,BD!$A$3:$A$5001,$B26,BD!$B$3:$B$5001,$D$2)))</f>
        <v>0</v>
      </c>
      <c r="AI26" s="42">
        <f>IF($B26="","",IF($B$2="Todos",SUMIFS(BD!$AH$3:$AH$5001,BD!$A$3:$A$5001,$B26),SUMIFS(BD!$AH$3:$AH$5001,BD!$A$3:$A$5001,$B26,BD!$B$3:$B$5001,$D$2)))</f>
        <v>0</v>
      </c>
      <c r="AJ26" s="61">
        <f>$B$5</f>
        <v>0.7</v>
      </c>
      <c r="AK26" s="61">
        <f>$B$6</f>
        <v>0.9</v>
      </c>
      <c r="AP26" s="40" t="str">
        <f>IFERROR(INDEX(Config!$B$10:$B$29,MATCH(14,$AR$13:$AR$32,0))&amp;"","")</f>
        <v/>
      </c>
      <c r="AQ26" s="39" t="str">
        <f>IF(AP26="","",IF(INDEX(Config!$C$10:$C$29,MATCH(14,$AR$13:$AR$32,0))&amp;""="","TPC",INDEX(Config!$C$10:$C$29,MATCH(14,$AR$13:$AR$32,0))&amp;""))</f>
        <v/>
      </c>
      <c r="AR26" s="48">
        <f>IF(Config!$B$23&amp;""="",AR25,AR25+1)</f>
        <v>10</v>
      </c>
      <c r="AZ26" s="72">
        <f>IF(OR($B26="",N(VALUE($AH$384))=0),"",IF(INDEX($C26:$AI26,VALUE($AH$384))="","",IF(N(VALUE($AJ$384))=0,INDEX($C26:$AI26,VALUE($AH$384)),IF(N(INDEX($C26:$AI26,N(VALUE($AJ$384))))&gt;0,INDEX($C26:$AI26,VALUE($AH$384))/INDEX($C26:$AI26,N(VALUE($AJ$384))),""))))</f>
        <v>0</v>
      </c>
      <c r="BA26" s="72">
        <f>IF(OR($B26="",N(VALUE($AI$384))=0),"",IF(INDEX($C26:$AI26,VALUE($AI$384))="","",IF(N(VALUE($AK$384))=0,INDEX($C26:$AI26,VALUE($AI$384)),IF(N(INDEX($C26:$AI26,N(VALUE($AK$384))))&gt;0,INDEX($C26:$AI26,VALUE($AI$384))/INDEX($C26:$AI26,N(VALUE($AK$384))),""))))</f>
        <v>0</v>
      </c>
      <c r="BB26" s="72">
        <f>IF(OR($B26="",N(VALUE($AP$384))=0),"",IF(INDEX($C26:$AI26,VALUE($AP$384))="","",IF(N(VALUE($AR$384))=0,INDEX($C26:$AI26,VALUE($AP$384)),IF(N(INDEX($C26:$AI26,N(VALUE($AR$384))))&gt;0,INDEX($C26:$AI26,VALUE($AP$384))/INDEX($C26:$AI26,N(VALUE($AR$384))),""))))</f>
        <v>0</v>
      </c>
      <c r="BC26" s="72">
        <f>IF(OR($B26="",N(VALUE($AQ$384))=0),"",IF(INDEX($C26:$AI26,VALUE($AQ$384))="","",IF(N(VALUE($AS$384))=0,INDEX($C26:$AI26,VALUE($AQ$384)),IF(N(INDEX($C26:$AI26,N(VALUE($AS$384))))&gt;0,INDEX($C26:$AI26,VALUE($AQ$384))/INDEX($C26:$AI26,N(VALUE($AS$384))),""))))</f>
        <v>0</v>
      </c>
      <c r="BE26" s="42" t="str">
        <f>IF(AND($A26=$B$9,ISNUMBER(X26)),X26,NA())</f>
        <v/>
      </c>
    </row>
    <row r="27">
      <c r="A27" s="39">
        <v>16</v>
      </c>
      <c r="B27" s="57">
        <f>IF($A27&lt;=DAY($D$7),$C$7+$A27-1,"")</f>
        <v>46311</v>
      </c>
      <c r="C27" s="42">
        <f>IF($B27="","",IF($B$2="Todos",SUMIFS(BD!$C$3:$C$5001,BD!$A$3:$A$5001,$B27),SUMIFS(BD!$C$3:$C$5001,BD!$A$3:$A$5001,$B27,BD!$B$3:$B$5001,$D$2)))</f>
        <v>0</v>
      </c>
      <c r="D27" s="42">
        <f>IF($B27="","",IF($B$2="Todos",SUMIFS(BD!$D$3:$D$5001,BD!$A$3:$A$5001,$B27),SUMIFS(BD!$D$3:$D$5001,BD!$A$3:$A$5001,$B27,BD!$B$3:$B$5001,$D$2)))</f>
        <v>0</v>
      </c>
      <c r="E27" s="58">
        <f>IF($B27="","",IF($B$2="Todos",SUMIFS(BD!$E$3:$E$5001,BD!$A$3:$A$5001,$B27),SUMIFS(BD!$E$3:$E$5001,BD!$A$3:$A$5001,$B27,BD!$B$3:$B$5001,$D$2)))</f>
        <v>0</v>
      </c>
      <c r="F27" s="42">
        <f>IF($B27="","",IF($B$2="Todos",SUMIFS(BD!$F$3:$F$5001,BD!$A$3:$A$5001,$B27),SUMIFS(BD!$F$3:$F$5001,BD!$A$3:$A$5001,$B27,BD!$B$3:$B$5001,$D$2)))</f>
        <v>0</v>
      </c>
      <c r="G27" s="42">
        <f>IF($B27="","",IF($B$2="Todos",SUMIFS(BD!$G$3:$G$5001,BD!$A$3:$A$5001,$B27),SUMIFS(BD!$G$3:$G$5001,BD!$A$3:$A$5001,$B27,BD!$B$3:$B$5001,$D$2)))</f>
        <v>0</v>
      </c>
      <c r="H27" s="42">
        <f>IF($B27="","",IF($B$2="Todos",SUMIFS(BD!$H$3:$H$5001,BD!$A$3:$A$5001,$B27),SUMIFS(BD!$H$3:$H$5001,BD!$A$3:$A$5001,$B27,BD!$B$3:$B$5001,$D$2)))</f>
        <v>0</v>
      </c>
      <c r="I27" s="42">
        <f>IF($B27="","",IF($B$2="Todos",SUMIFS(BD!$I$3:$I$5001,BD!$A$3:$A$5001,$B27),SUMIFS(BD!$I$3:$I$5001,BD!$A$3:$A$5001,$B27,BD!$B$3:$B$5001,$D$2)))</f>
        <v>0</v>
      </c>
      <c r="J27" s="42">
        <f>IF($B27="","",IF($B$2="Todos",SUMIFS(BD!$J$3:$J$5001,BD!$A$3:$A$5001,$B27),SUMIFS(BD!$J$3:$J$5001,BD!$A$3:$A$5001,$B27,BD!$B$3:$B$5001,$D$2)))</f>
        <v>0</v>
      </c>
      <c r="K27" s="42">
        <f>IF($B27="","",IF($B$2="Todos",SUMIFS(BD!$K$3:$K$5001,BD!$A$3:$A$5001,$B27),SUMIFS(BD!$K$3:$K$5001,BD!$A$3:$A$5001,$B27,BD!$B$3:$B$5001,$D$2)))</f>
        <v>0</v>
      </c>
      <c r="L27" s="42">
        <f>IF($B27="","",IF($B$2="Todos",SUMIFS(BD!$L$3:$L$5001,BD!$A$3:$A$5001,$B27),SUMIFS(BD!$L$3:$L$5001,BD!$A$3:$A$5001,$B27,BD!$B$3:$B$5001,$D$2)))</f>
        <v>0</v>
      </c>
      <c r="M27" s="42">
        <f>IF($B27="","",IF($B$2="Todos",SUMIFS(BD!$M$3:$M$5001,BD!$A$3:$A$5001,$B27),SUMIFS(BD!$M$3:$M$5001,BD!$A$3:$A$5001,$B27,BD!$B$3:$B$5001,$D$2)))</f>
        <v>0</v>
      </c>
      <c r="N27" s="42">
        <f>IF($B27="","",IF($B$2="Todos",SUMIFS(BD!$N$3:$N$5001,BD!$A$3:$A$5001,$B27),SUMIFS(BD!$N$3:$N$5001,BD!$A$3:$A$5001,$B27,BD!$B$3:$B$5001,$D$2)))</f>
        <v>0</v>
      </c>
      <c r="O27" s="42">
        <f>IF($B27="","",IF($B$2="Todos",SUMIFS(BD!$O$3:$O$5001,BD!$A$3:$A$5001,$B27),SUMIFS(BD!$O$3:$O$5001,BD!$A$3:$A$5001,$B27,BD!$B$3:$B$5001,$D$2)))</f>
        <v>0</v>
      </c>
      <c r="P27" s="42">
        <f>IF($B27="","",IF($B$2="Todos",SUMIFS(BD!$P$3:$P$5001,BD!$A$3:$A$5001,$B27),SUMIFS(BD!$P$3:$P$5001,BD!$A$3:$A$5001,$B27,BD!$B$3:$B$5001,$D$2)))</f>
        <v>0</v>
      </c>
      <c r="Q27" s="42">
        <f>IF($B27="","",IF($B$2="Todos",SUMIFS(BD!$Q$3:$Q$5001,BD!$A$3:$A$5001,$B27),SUMIFS(BD!$Q$3:$Q$5001,BD!$A$3:$A$5001,$B27,BD!$B$3:$B$5001,$D$2)))</f>
        <v>0</v>
      </c>
      <c r="R27" s="42">
        <f>IF($B27="","",IF($B$2="Todos",SUMIFS(BD!$R$3:$R$5001,BD!$A$3:$A$5001,$B27),SUMIFS(BD!$R$3:$R$5001,BD!$A$3:$A$5001,$B27,BD!$B$3:$B$5001,$D$2)))</f>
        <v>0</v>
      </c>
      <c r="S27" s="58">
        <f>IF($B27="","",IF($B$2="Todos",SUMIFS(BD!$S$3:$S$5001,BD!$A$3:$A$5001,$B27),SUMIFS(BD!$S$3:$S$5001,BD!$A$3:$A$5001,$B27,BD!$B$3:$B$5001,$D$2)))</f>
        <v>0</v>
      </c>
      <c r="T27" s="42">
        <f>IF($B27="","",IF($B$2="Todos",SUMIFS(BD!$T$3:$T$5001,BD!$A$3:$A$5001,$B27),SUMIFS(BD!$T$3:$T$5001,BD!$A$3:$A$5001,$B27,BD!$B$3:$B$5001,$D$2)))</f>
        <v>0</v>
      </c>
      <c r="U27" s="42">
        <f>IF($B27="","",IF($B$2="Todos",SUMIFS(BD!$U$3:$U$5001,BD!$A$3:$A$5001,$B27),SUMIFS(BD!$U$3:$U$5001,BD!$A$3:$A$5001,$B27,BD!$B$3:$B$5001,$D$2)))</f>
        <v>0</v>
      </c>
      <c r="V27" s="42" t="str">
        <f>IF($B$2="Todos",IF(COUNT($C$156:$V$156)=0,"",SUM($C$156:$V$156)),IFERROR(INDEX($C$156:$V$156,MATCH($D$2,$C$140:$V$140,0)),""))</f>
        <v/>
      </c>
      <c r="W27" s="42" t="str">
        <f>IF($B$2="Todos",IF(COUNT($C$191:$V$191)=0,"",SUM($C$191:$V$191)),IFERROR(INDEX($C$191:$V$191,MATCH($D$2,$C$175:$V$175,0)),""))</f>
        <v/>
      </c>
      <c r="X27" s="59" t="str">
        <f>IF(Y27="","",IF($B$2="Todos",IF($B$4&gt;0,$B$4,IF($B$2="Todos",IF(COUNT($C$261:$V$261)=0,"",SUM($C$261:$V$261)),IFERROR(INDEX($C$261:$V$261,MATCH($D$2,$C$245:$V$245,0)),""))),IFERROR(INDEX($C$261:$V$261,MATCH($D$2,$C$245:$V$245,0)),"")))</f>
        <v/>
      </c>
      <c r="Y27" s="42" t="str">
        <f>IF($B$2="Todos",IF(COUNT($C$226:$V$226)=0,"",SUM($C$226:$V$226)),IFERROR(INDEX($C$226:$V$226,MATCH($D$2,$C$210:$V$210,0)),""))</f>
        <v/>
      </c>
      <c r="Z27" s="60" t="str">
        <f>IF(AND(ISNUMBER(Y27),ISNUMBER(X27)),IF(X27&gt;0,Y27/X27,""),"")</f>
        <v/>
      </c>
      <c r="AA27" s="42" t="str">
        <f>IF($B$2="Todos",IF(COUNT($C$296:$V$296)=0,"",SUM($C$296:$V$296)),IFERROR(INDEX($C$296:$V$296,MATCH($D$2,$C$280:$V$280,0)),""))</f>
        <v/>
      </c>
      <c r="AB27" s="42">
        <f>IF($B27="","",IF($B$2="Todos",SUMIFS(BD!$AA$3:$AA$5001,BD!$A$3:$A$5001,$B27),SUMIFS(BD!$AA$3:$AA$5001,BD!$A$3:$A$5001,$B27,BD!$B$3:$B$5001,$D$2)))</f>
        <v>0</v>
      </c>
      <c r="AC27" s="58">
        <f>IF($B27="","",IF($B$2="Todos",SUMIFS(BD!$AB$3:$AB$5001,BD!$A$3:$A$5001,$B27),SUMIFS(BD!$AB$3:$AB$5001,BD!$A$3:$A$5001,$B27,BD!$B$3:$B$5001,$D$2)))</f>
        <v>0</v>
      </c>
      <c r="AD27" s="42">
        <f>IF($B27="","",IF($B$2="Todos",SUMIFS(BD!$AC$3:$AC$5001,BD!$A$3:$A$5001,$B27),SUMIFS(BD!$AC$3:$AC$5001,BD!$A$3:$A$5001,$B27,BD!$B$3:$B$5001,$D$2)))</f>
        <v>0</v>
      </c>
      <c r="AE27" s="42">
        <f>IF($B27="","",IF($B$2="Todos",SUMIFS(BD!$AD$3:$AD$5001,BD!$A$3:$A$5001,$B27),SUMIFS(BD!$AD$3:$AD$5001,BD!$A$3:$A$5001,$B27,BD!$B$3:$B$5001,$D$2)))</f>
        <v>0</v>
      </c>
      <c r="AF27" s="42">
        <f>IF($B27="","",IF($B$2="Todos",SUMIFS(BD!$AE$3:$AE$5001,BD!$A$3:$A$5001,$B27),SUMIFS(BD!$AE$3:$AE$5001,BD!$A$3:$A$5001,$B27,BD!$B$3:$B$5001,$D$2)))</f>
        <v>0</v>
      </c>
      <c r="AG27" s="42">
        <f>IF($B27="","",IF($B$2="Todos",SUMIFS(BD!$AF$3:$AF$5001,BD!$A$3:$A$5001,$B27),SUMIFS(BD!$AF$3:$AF$5001,BD!$A$3:$A$5001,$B27,BD!$B$3:$B$5001,$D$2)))</f>
        <v>0</v>
      </c>
      <c r="AH27" s="42">
        <f>IF($B27="","",IF($B$2="Todos",SUMIFS(BD!$AG$3:$AG$5001,BD!$A$3:$A$5001,$B27),SUMIFS(BD!$AG$3:$AG$5001,BD!$A$3:$A$5001,$B27,BD!$B$3:$B$5001,$D$2)))</f>
        <v>0</v>
      </c>
      <c r="AI27" s="42">
        <f>IF($B27="","",IF($B$2="Todos",SUMIFS(BD!$AH$3:$AH$5001,BD!$A$3:$A$5001,$B27),SUMIFS(BD!$AH$3:$AH$5001,BD!$A$3:$A$5001,$B27,BD!$B$3:$B$5001,$D$2)))</f>
        <v>0</v>
      </c>
      <c r="AJ27" s="61">
        <f>$B$5</f>
        <v>0.7</v>
      </c>
      <c r="AK27" s="61">
        <f>$B$6</f>
        <v>0.9</v>
      </c>
      <c r="AP27" s="40" t="str">
        <f>IFERROR(INDEX(Config!$B$10:$B$29,MATCH(15,$AR$13:$AR$32,0))&amp;"","")</f>
        <v/>
      </c>
      <c r="AQ27" s="39" t="str">
        <f>IF(AP27="","",IF(INDEX(Config!$C$10:$C$29,MATCH(15,$AR$13:$AR$32,0))&amp;""="","TPC",INDEX(Config!$C$10:$C$29,MATCH(15,$AR$13:$AR$32,0))&amp;""))</f>
        <v/>
      </c>
      <c r="AR27" s="48">
        <f>IF(Config!$B$24&amp;""="",AR26,AR26+1)</f>
        <v>10</v>
      </c>
      <c r="AZ27" s="72">
        <f>IF(OR($B27="",N(VALUE($AH$384))=0),"",IF(INDEX($C27:$AI27,VALUE($AH$384))="","",IF(N(VALUE($AJ$384))=0,INDEX($C27:$AI27,VALUE($AH$384)),IF(N(INDEX($C27:$AI27,N(VALUE($AJ$384))))&gt;0,INDEX($C27:$AI27,VALUE($AH$384))/INDEX($C27:$AI27,N(VALUE($AJ$384))),""))))</f>
        <v>0</v>
      </c>
      <c r="BA27" s="72">
        <f>IF(OR($B27="",N(VALUE($AI$384))=0),"",IF(INDEX($C27:$AI27,VALUE($AI$384))="","",IF(N(VALUE($AK$384))=0,INDEX($C27:$AI27,VALUE($AI$384)),IF(N(INDEX($C27:$AI27,N(VALUE($AK$384))))&gt;0,INDEX($C27:$AI27,VALUE($AI$384))/INDEX($C27:$AI27,N(VALUE($AK$384))),""))))</f>
        <v>0</v>
      </c>
      <c r="BB27" s="72">
        <f>IF(OR($B27="",N(VALUE($AP$384))=0),"",IF(INDEX($C27:$AI27,VALUE($AP$384))="","",IF(N(VALUE($AR$384))=0,INDEX($C27:$AI27,VALUE($AP$384)),IF(N(INDEX($C27:$AI27,N(VALUE($AR$384))))&gt;0,INDEX($C27:$AI27,VALUE($AP$384))/INDEX($C27:$AI27,N(VALUE($AR$384))),""))))</f>
        <v>0</v>
      </c>
      <c r="BC27" s="72">
        <f>IF(OR($B27="",N(VALUE($AQ$384))=0),"",IF(INDEX($C27:$AI27,VALUE($AQ$384))="","",IF(N(VALUE($AS$384))=0,INDEX($C27:$AI27,VALUE($AQ$384)),IF(N(INDEX($C27:$AI27,N(VALUE($AS$384))))&gt;0,INDEX($C27:$AI27,VALUE($AQ$384))/INDEX($C27:$AI27,N(VALUE($AS$384))),""))))</f>
        <v>0</v>
      </c>
      <c r="BE27" s="42" t="str">
        <f>IF(AND($A27=$B$9,ISNUMBER(X27)),X27,NA())</f>
        <v/>
      </c>
    </row>
    <row r="28">
      <c r="A28" s="39">
        <v>17</v>
      </c>
      <c r="B28" s="57">
        <f>IF($A28&lt;=DAY($D$7),$C$7+$A28-1,"")</f>
        <v>46312</v>
      </c>
      <c r="C28" s="42">
        <f>IF($B28="","",IF($B$2="Todos",SUMIFS(BD!$C$3:$C$5001,BD!$A$3:$A$5001,$B28),SUMIFS(BD!$C$3:$C$5001,BD!$A$3:$A$5001,$B28,BD!$B$3:$B$5001,$D$2)))</f>
        <v>0</v>
      </c>
      <c r="D28" s="42">
        <f>IF($B28="","",IF($B$2="Todos",SUMIFS(BD!$D$3:$D$5001,BD!$A$3:$A$5001,$B28),SUMIFS(BD!$D$3:$D$5001,BD!$A$3:$A$5001,$B28,BD!$B$3:$B$5001,$D$2)))</f>
        <v>0</v>
      </c>
      <c r="E28" s="58">
        <f>IF($B28="","",IF($B$2="Todos",SUMIFS(BD!$E$3:$E$5001,BD!$A$3:$A$5001,$B28),SUMIFS(BD!$E$3:$E$5001,BD!$A$3:$A$5001,$B28,BD!$B$3:$B$5001,$D$2)))</f>
        <v>0</v>
      </c>
      <c r="F28" s="42">
        <f>IF($B28="","",IF($B$2="Todos",SUMIFS(BD!$F$3:$F$5001,BD!$A$3:$A$5001,$B28),SUMIFS(BD!$F$3:$F$5001,BD!$A$3:$A$5001,$B28,BD!$B$3:$B$5001,$D$2)))</f>
        <v>0</v>
      </c>
      <c r="G28" s="42">
        <f>IF($B28="","",IF($B$2="Todos",SUMIFS(BD!$G$3:$G$5001,BD!$A$3:$A$5001,$B28),SUMIFS(BD!$G$3:$G$5001,BD!$A$3:$A$5001,$B28,BD!$B$3:$B$5001,$D$2)))</f>
        <v>0</v>
      </c>
      <c r="H28" s="42">
        <f>IF($B28="","",IF($B$2="Todos",SUMIFS(BD!$H$3:$H$5001,BD!$A$3:$A$5001,$B28),SUMIFS(BD!$H$3:$H$5001,BD!$A$3:$A$5001,$B28,BD!$B$3:$B$5001,$D$2)))</f>
        <v>0</v>
      </c>
      <c r="I28" s="42">
        <f>IF($B28="","",IF($B$2="Todos",SUMIFS(BD!$I$3:$I$5001,BD!$A$3:$A$5001,$B28),SUMIFS(BD!$I$3:$I$5001,BD!$A$3:$A$5001,$B28,BD!$B$3:$B$5001,$D$2)))</f>
        <v>0</v>
      </c>
      <c r="J28" s="42">
        <f>IF($B28="","",IF($B$2="Todos",SUMIFS(BD!$J$3:$J$5001,BD!$A$3:$A$5001,$B28),SUMIFS(BD!$J$3:$J$5001,BD!$A$3:$A$5001,$B28,BD!$B$3:$B$5001,$D$2)))</f>
        <v>0</v>
      </c>
      <c r="K28" s="42">
        <f>IF($B28="","",IF($B$2="Todos",SUMIFS(BD!$K$3:$K$5001,BD!$A$3:$A$5001,$B28),SUMIFS(BD!$K$3:$K$5001,BD!$A$3:$A$5001,$B28,BD!$B$3:$B$5001,$D$2)))</f>
        <v>0</v>
      </c>
      <c r="L28" s="42">
        <f>IF($B28="","",IF($B$2="Todos",SUMIFS(BD!$L$3:$L$5001,BD!$A$3:$A$5001,$B28),SUMIFS(BD!$L$3:$L$5001,BD!$A$3:$A$5001,$B28,BD!$B$3:$B$5001,$D$2)))</f>
        <v>0</v>
      </c>
      <c r="M28" s="42">
        <f>IF($B28="","",IF($B$2="Todos",SUMIFS(BD!$M$3:$M$5001,BD!$A$3:$A$5001,$B28),SUMIFS(BD!$M$3:$M$5001,BD!$A$3:$A$5001,$B28,BD!$B$3:$B$5001,$D$2)))</f>
        <v>0</v>
      </c>
      <c r="N28" s="42">
        <f>IF($B28="","",IF($B$2="Todos",SUMIFS(BD!$N$3:$N$5001,BD!$A$3:$A$5001,$B28),SUMIFS(BD!$N$3:$N$5001,BD!$A$3:$A$5001,$B28,BD!$B$3:$B$5001,$D$2)))</f>
        <v>0</v>
      </c>
      <c r="O28" s="42">
        <f>IF($B28="","",IF($B$2="Todos",SUMIFS(BD!$O$3:$O$5001,BD!$A$3:$A$5001,$B28),SUMIFS(BD!$O$3:$O$5001,BD!$A$3:$A$5001,$B28,BD!$B$3:$B$5001,$D$2)))</f>
        <v>0</v>
      </c>
      <c r="P28" s="42">
        <f>IF($B28="","",IF($B$2="Todos",SUMIFS(BD!$P$3:$P$5001,BD!$A$3:$A$5001,$B28),SUMIFS(BD!$P$3:$P$5001,BD!$A$3:$A$5001,$B28,BD!$B$3:$B$5001,$D$2)))</f>
        <v>0</v>
      </c>
      <c r="Q28" s="42">
        <f>IF($B28="","",IF($B$2="Todos",SUMIFS(BD!$Q$3:$Q$5001,BD!$A$3:$A$5001,$B28),SUMIFS(BD!$Q$3:$Q$5001,BD!$A$3:$A$5001,$B28,BD!$B$3:$B$5001,$D$2)))</f>
        <v>0</v>
      </c>
      <c r="R28" s="42">
        <f>IF($B28="","",IF($B$2="Todos",SUMIFS(BD!$R$3:$R$5001,BD!$A$3:$A$5001,$B28),SUMIFS(BD!$R$3:$R$5001,BD!$A$3:$A$5001,$B28,BD!$B$3:$B$5001,$D$2)))</f>
        <v>0</v>
      </c>
      <c r="S28" s="58">
        <f>IF($B28="","",IF($B$2="Todos",SUMIFS(BD!$S$3:$S$5001,BD!$A$3:$A$5001,$B28),SUMIFS(BD!$S$3:$S$5001,BD!$A$3:$A$5001,$B28,BD!$B$3:$B$5001,$D$2)))</f>
        <v>0</v>
      </c>
      <c r="T28" s="42">
        <f>IF($B28="","",IF($B$2="Todos",SUMIFS(BD!$T$3:$T$5001,BD!$A$3:$A$5001,$B28),SUMIFS(BD!$T$3:$T$5001,BD!$A$3:$A$5001,$B28,BD!$B$3:$B$5001,$D$2)))</f>
        <v>0</v>
      </c>
      <c r="U28" s="42">
        <f>IF($B28="","",IF($B$2="Todos",SUMIFS(BD!$U$3:$U$5001,BD!$A$3:$A$5001,$B28),SUMIFS(BD!$U$3:$U$5001,BD!$A$3:$A$5001,$B28,BD!$B$3:$B$5001,$D$2)))</f>
        <v>0</v>
      </c>
      <c r="V28" s="42" t="str">
        <f>IF($B$2="Todos",IF(COUNT($C$157:$V$157)=0,"",SUM($C$157:$V$157)),IFERROR(INDEX($C$157:$V$157,MATCH($D$2,$C$140:$V$140,0)),""))</f>
        <v/>
      </c>
      <c r="W28" s="42" t="str">
        <f>IF($B$2="Todos",IF(COUNT($C$192:$V$192)=0,"",SUM($C$192:$V$192)),IFERROR(INDEX($C$192:$V$192,MATCH($D$2,$C$175:$V$175,0)),""))</f>
        <v/>
      </c>
      <c r="X28" s="59" t="str">
        <f>IF(Y28="","",IF($B$2="Todos",IF($B$4&gt;0,$B$4,IF($B$2="Todos",IF(COUNT($C$262:$V$262)=0,"",SUM($C$262:$V$262)),IFERROR(INDEX($C$262:$V$262,MATCH($D$2,$C$245:$V$245,0)),""))),IFERROR(INDEX($C$262:$V$262,MATCH($D$2,$C$245:$V$245,0)),"")))</f>
        <v/>
      </c>
      <c r="Y28" s="42" t="str">
        <f>IF($B$2="Todos",IF(COUNT($C$227:$V$227)=0,"",SUM($C$227:$V$227)),IFERROR(INDEX($C$227:$V$227,MATCH($D$2,$C$210:$V$210,0)),""))</f>
        <v/>
      </c>
      <c r="Z28" s="60" t="str">
        <f>IF(AND(ISNUMBER(Y28),ISNUMBER(X28)),IF(X28&gt;0,Y28/X28,""),"")</f>
        <v/>
      </c>
      <c r="AA28" s="42" t="str">
        <f>IF($B$2="Todos",IF(COUNT($C$297:$V$297)=0,"",SUM($C$297:$V$297)),IFERROR(INDEX($C$297:$V$297,MATCH($D$2,$C$280:$V$280,0)),""))</f>
        <v/>
      </c>
      <c r="AB28" s="42">
        <f>IF($B28="","",IF($B$2="Todos",SUMIFS(BD!$AA$3:$AA$5001,BD!$A$3:$A$5001,$B28),SUMIFS(BD!$AA$3:$AA$5001,BD!$A$3:$A$5001,$B28,BD!$B$3:$B$5001,$D$2)))</f>
        <v>0</v>
      </c>
      <c r="AC28" s="58">
        <f>IF($B28="","",IF($B$2="Todos",SUMIFS(BD!$AB$3:$AB$5001,BD!$A$3:$A$5001,$B28),SUMIFS(BD!$AB$3:$AB$5001,BD!$A$3:$A$5001,$B28,BD!$B$3:$B$5001,$D$2)))</f>
        <v>0</v>
      </c>
      <c r="AD28" s="42">
        <f>IF($B28="","",IF($B$2="Todos",SUMIFS(BD!$AC$3:$AC$5001,BD!$A$3:$A$5001,$B28),SUMIFS(BD!$AC$3:$AC$5001,BD!$A$3:$A$5001,$B28,BD!$B$3:$B$5001,$D$2)))</f>
        <v>0</v>
      </c>
      <c r="AE28" s="42">
        <f>IF($B28="","",IF($B$2="Todos",SUMIFS(BD!$AD$3:$AD$5001,BD!$A$3:$A$5001,$B28),SUMIFS(BD!$AD$3:$AD$5001,BD!$A$3:$A$5001,$B28,BD!$B$3:$B$5001,$D$2)))</f>
        <v>0</v>
      </c>
      <c r="AF28" s="42">
        <f>IF($B28="","",IF($B$2="Todos",SUMIFS(BD!$AE$3:$AE$5001,BD!$A$3:$A$5001,$B28),SUMIFS(BD!$AE$3:$AE$5001,BD!$A$3:$A$5001,$B28,BD!$B$3:$B$5001,$D$2)))</f>
        <v>0</v>
      </c>
      <c r="AG28" s="42">
        <f>IF($B28="","",IF($B$2="Todos",SUMIFS(BD!$AF$3:$AF$5001,BD!$A$3:$A$5001,$B28),SUMIFS(BD!$AF$3:$AF$5001,BD!$A$3:$A$5001,$B28,BD!$B$3:$B$5001,$D$2)))</f>
        <v>0</v>
      </c>
      <c r="AH28" s="42">
        <f>IF($B28="","",IF($B$2="Todos",SUMIFS(BD!$AG$3:$AG$5001,BD!$A$3:$A$5001,$B28),SUMIFS(BD!$AG$3:$AG$5001,BD!$A$3:$A$5001,$B28,BD!$B$3:$B$5001,$D$2)))</f>
        <v>0</v>
      </c>
      <c r="AI28" s="42">
        <f>IF($B28="","",IF($B$2="Todos",SUMIFS(BD!$AH$3:$AH$5001,BD!$A$3:$A$5001,$B28),SUMIFS(BD!$AH$3:$AH$5001,BD!$A$3:$A$5001,$B28,BD!$B$3:$B$5001,$D$2)))</f>
        <v>0</v>
      </c>
      <c r="AJ28" s="61">
        <f>$B$5</f>
        <v>0.7</v>
      </c>
      <c r="AK28" s="61">
        <f>$B$6</f>
        <v>0.9</v>
      </c>
      <c r="AP28" s="40" t="str">
        <f>IFERROR(INDEX(Config!$B$10:$B$29,MATCH(16,$AR$13:$AR$32,0))&amp;"","")</f>
        <v/>
      </c>
      <c r="AQ28" s="39" t="str">
        <f>IF(AP28="","",IF(INDEX(Config!$C$10:$C$29,MATCH(16,$AR$13:$AR$32,0))&amp;""="","TPC",INDEX(Config!$C$10:$C$29,MATCH(16,$AR$13:$AR$32,0))&amp;""))</f>
        <v/>
      </c>
      <c r="AR28" s="48">
        <f>IF(Config!$B$25&amp;""="",AR27,AR27+1)</f>
        <v>10</v>
      </c>
      <c r="AZ28" s="72">
        <f>IF(OR($B28="",N(VALUE($AH$384))=0),"",IF(INDEX($C28:$AI28,VALUE($AH$384))="","",IF(N(VALUE($AJ$384))=0,INDEX($C28:$AI28,VALUE($AH$384)),IF(N(INDEX($C28:$AI28,N(VALUE($AJ$384))))&gt;0,INDEX($C28:$AI28,VALUE($AH$384))/INDEX($C28:$AI28,N(VALUE($AJ$384))),""))))</f>
        <v>0</v>
      </c>
      <c r="BA28" s="72">
        <f>IF(OR($B28="",N(VALUE($AI$384))=0),"",IF(INDEX($C28:$AI28,VALUE($AI$384))="","",IF(N(VALUE($AK$384))=0,INDEX($C28:$AI28,VALUE($AI$384)),IF(N(INDEX($C28:$AI28,N(VALUE($AK$384))))&gt;0,INDEX($C28:$AI28,VALUE($AI$384))/INDEX($C28:$AI28,N(VALUE($AK$384))),""))))</f>
        <v>0</v>
      </c>
      <c r="BB28" s="72">
        <f>IF(OR($B28="",N(VALUE($AP$384))=0),"",IF(INDEX($C28:$AI28,VALUE($AP$384))="","",IF(N(VALUE($AR$384))=0,INDEX($C28:$AI28,VALUE($AP$384)),IF(N(INDEX($C28:$AI28,N(VALUE($AR$384))))&gt;0,INDEX($C28:$AI28,VALUE($AP$384))/INDEX($C28:$AI28,N(VALUE($AR$384))),""))))</f>
        <v>0</v>
      </c>
      <c r="BC28" s="72">
        <f>IF(OR($B28="",N(VALUE($AQ$384))=0),"",IF(INDEX($C28:$AI28,VALUE($AQ$384))="","",IF(N(VALUE($AS$384))=0,INDEX($C28:$AI28,VALUE($AQ$384)),IF(N(INDEX($C28:$AI28,N(VALUE($AS$384))))&gt;0,INDEX($C28:$AI28,VALUE($AQ$384))/INDEX($C28:$AI28,N(VALUE($AS$384))),""))))</f>
        <v>0</v>
      </c>
      <c r="BE28" s="42" t="str">
        <f>IF(AND($A28=$B$9,ISNUMBER(X28)),X28,NA())</f>
        <v/>
      </c>
    </row>
    <row r="29">
      <c r="A29" s="39">
        <v>18</v>
      </c>
      <c r="B29" s="57">
        <f>IF($A29&lt;=DAY($D$7),$C$7+$A29-1,"")</f>
        <v>46313</v>
      </c>
      <c r="C29" s="42">
        <f>IF($B29="","",IF($B$2="Todos",SUMIFS(BD!$C$3:$C$5001,BD!$A$3:$A$5001,$B29),SUMIFS(BD!$C$3:$C$5001,BD!$A$3:$A$5001,$B29,BD!$B$3:$B$5001,$D$2)))</f>
        <v>0</v>
      </c>
      <c r="D29" s="42">
        <f>IF($B29="","",IF($B$2="Todos",SUMIFS(BD!$D$3:$D$5001,BD!$A$3:$A$5001,$B29),SUMIFS(BD!$D$3:$D$5001,BD!$A$3:$A$5001,$B29,BD!$B$3:$B$5001,$D$2)))</f>
        <v>0</v>
      </c>
      <c r="E29" s="58">
        <f>IF($B29="","",IF($B$2="Todos",SUMIFS(BD!$E$3:$E$5001,BD!$A$3:$A$5001,$B29),SUMIFS(BD!$E$3:$E$5001,BD!$A$3:$A$5001,$B29,BD!$B$3:$B$5001,$D$2)))</f>
        <v>0</v>
      </c>
      <c r="F29" s="42">
        <f>IF($B29="","",IF($B$2="Todos",SUMIFS(BD!$F$3:$F$5001,BD!$A$3:$A$5001,$B29),SUMIFS(BD!$F$3:$F$5001,BD!$A$3:$A$5001,$B29,BD!$B$3:$B$5001,$D$2)))</f>
        <v>0</v>
      </c>
      <c r="G29" s="42">
        <f>IF($B29="","",IF($B$2="Todos",SUMIFS(BD!$G$3:$G$5001,BD!$A$3:$A$5001,$B29),SUMIFS(BD!$G$3:$G$5001,BD!$A$3:$A$5001,$B29,BD!$B$3:$B$5001,$D$2)))</f>
        <v>0</v>
      </c>
      <c r="H29" s="42">
        <f>IF($B29="","",IF($B$2="Todos",SUMIFS(BD!$H$3:$H$5001,BD!$A$3:$A$5001,$B29),SUMIFS(BD!$H$3:$H$5001,BD!$A$3:$A$5001,$B29,BD!$B$3:$B$5001,$D$2)))</f>
        <v>0</v>
      </c>
      <c r="I29" s="42">
        <f>IF($B29="","",IF($B$2="Todos",SUMIFS(BD!$I$3:$I$5001,BD!$A$3:$A$5001,$B29),SUMIFS(BD!$I$3:$I$5001,BD!$A$3:$A$5001,$B29,BD!$B$3:$B$5001,$D$2)))</f>
        <v>0</v>
      </c>
      <c r="J29" s="42">
        <f>IF($B29="","",IF($B$2="Todos",SUMIFS(BD!$J$3:$J$5001,BD!$A$3:$A$5001,$B29),SUMIFS(BD!$J$3:$J$5001,BD!$A$3:$A$5001,$B29,BD!$B$3:$B$5001,$D$2)))</f>
        <v>0</v>
      </c>
      <c r="K29" s="42">
        <f>IF($B29="","",IF($B$2="Todos",SUMIFS(BD!$K$3:$K$5001,BD!$A$3:$A$5001,$B29),SUMIFS(BD!$K$3:$K$5001,BD!$A$3:$A$5001,$B29,BD!$B$3:$B$5001,$D$2)))</f>
        <v>0</v>
      </c>
      <c r="L29" s="42">
        <f>IF($B29="","",IF($B$2="Todos",SUMIFS(BD!$L$3:$L$5001,BD!$A$3:$A$5001,$B29),SUMIFS(BD!$L$3:$L$5001,BD!$A$3:$A$5001,$B29,BD!$B$3:$B$5001,$D$2)))</f>
        <v>0</v>
      </c>
      <c r="M29" s="42">
        <f>IF($B29="","",IF($B$2="Todos",SUMIFS(BD!$M$3:$M$5001,BD!$A$3:$A$5001,$B29),SUMIFS(BD!$M$3:$M$5001,BD!$A$3:$A$5001,$B29,BD!$B$3:$B$5001,$D$2)))</f>
        <v>0</v>
      </c>
      <c r="N29" s="42">
        <f>IF($B29="","",IF($B$2="Todos",SUMIFS(BD!$N$3:$N$5001,BD!$A$3:$A$5001,$B29),SUMIFS(BD!$N$3:$N$5001,BD!$A$3:$A$5001,$B29,BD!$B$3:$B$5001,$D$2)))</f>
        <v>0</v>
      </c>
      <c r="O29" s="42">
        <f>IF($B29="","",IF($B$2="Todos",SUMIFS(BD!$O$3:$O$5001,BD!$A$3:$A$5001,$B29),SUMIFS(BD!$O$3:$O$5001,BD!$A$3:$A$5001,$B29,BD!$B$3:$B$5001,$D$2)))</f>
        <v>0</v>
      </c>
      <c r="P29" s="42">
        <f>IF($B29="","",IF($B$2="Todos",SUMIFS(BD!$P$3:$P$5001,BD!$A$3:$A$5001,$B29),SUMIFS(BD!$P$3:$P$5001,BD!$A$3:$A$5001,$B29,BD!$B$3:$B$5001,$D$2)))</f>
        <v>0</v>
      </c>
      <c r="Q29" s="42">
        <f>IF($B29="","",IF($B$2="Todos",SUMIFS(BD!$Q$3:$Q$5001,BD!$A$3:$A$5001,$B29),SUMIFS(BD!$Q$3:$Q$5001,BD!$A$3:$A$5001,$B29,BD!$B$3:$B$5001,$D$2)))</f>
        <v>0</v>
      </c>
      <c r="R29" s="42">
        <f>IF($B29="","",IF($B$2="Todos",SUMIFS(BD!$R$3:$R$5001,BD!$A$3:$A$5001,$B29),SUMIFS(BD!$R$3:$R$5001,BD!$A$3:$A$5001,$B29,BD!$B$3:$B$5001,$D$2)))</f>
        <v>0</v>
      </c>
      <c r="S29" s="58">
        <f>IF($B29="","",IF($B$2="Todos",SUMIFS(BD!$S$3:$S$5001,BD!$A$3:$A$5001,$B29),SUMIFS(BD!$S$3:$S$5001,BD!$A$3:$A$5001,$B29,BD!$B$3:$B$5001,$D$2)))</f>
        <v>0</v>
      </c>
      <c r="T29" s="42">
        <f>IF($B29="","",IF($B$2="Todos",SUMIFS(BD!$T$3:$T$5001,BD!$A$3:$A$5001,$B29),SUMIFS(BD!$T$3:$T$5001,BD!$A$3:$A$5001,$B29,BD!$B$3:$B$5001,$D$2)))</f>
        <v>0</v>
      </c>
      <c r="U29" s="42">
        <f>IF($B29="","",IF($B$2="Todos",SUMIFS(BD!$U$3:$U$5001,BD!$A$3:$A$5001,$B29),SUMIFS(BD!$U$3:$U$5001,BD!$A$3:$A$5001,$B29,BD!$B$3:$B$5001,$D$2)))</f>
        <v>0</v>
      </c>
      <c r="V29" s="42" t="str">
        <f>IF($B$2="Todos",IF(COUNT($C$158:$V$158)=0,"",SUM($C$158:$V$158)),IFERROR(INDEX($C$158:$V$158,MATCH($D$2,$C$140:$V$140,0)),""))</f>
        <v/>
      </c>
      <c r="W29" s="42" t="str">
        <f>IF($B$2="Todos",IF(COUNT($C$193:$V$193)=0,"",SUM($C$193:$V$193)),IFERROR(INDEX($C$193:$V$193,MATCH($D$2,$C$175:$V$175,0)),""))</f>
        <v/>
      </c>
      <c r="X29" s="59" t="str">
        <f>IF(Y29="","",IF($B$2="Todos",IF($B$4&gt;0,$B$4,IF($B$2="Todos",IF(COUNT($C$263:$V$263)=0,"",SUM($C$263:$V$263)),IFERROR(INDEX($C$263:$V$263,MATCH($D$2,$C$245:$V$245,0)),""))),IFERROR(INDEX($C$263:$V$263,MATCH($D$2,$C$245:$V$245,0)),"")))</f>
        <v/>
      </c>
      <c r="Y29" s="42" t="str">
        <f>IF($B$2="Todos",IF(COUNT($C$228:$V$228)=0,"",SUM($C$228:$V$228)),IFERROR(INDEX($C$228:$V$228,MATCH($D$2,$C$210:$V$210,0)),""))</f>
        <v/>
      </c>
      <c r="Z29" s="60" t="str">
        <f>IF(AND(ISNUMBER(Y29),ISNUMBER(X29)),IF(X29&gt;0,Y29/X29,""),"")</f>
        <v/>
      </c>
      <c r="AA29" s="42" t="str">
        <f>IF($B$2="Todos",IF(COUNT($C$298:$V$298)=0,"",SUM($C$298:$V$298)),IFERROR(INDEX($C$298:$V$298,MATCH($D$2,$C$280:$V$280,0)),""))</f>
        <v/>
      </c>
      <c r="AB29" s="42">
        <f>IF($B29="","",IF($B$2="Todos",SUMIFS(BD!$AA$3:$AA$5001,BD!$A$3:$A$5001,$B29),SUMIFS(BD!$AA$3:$AA$5001,BD!$A$3:$A$5001,$B29,BD!$B$3:$B$5001,$D$2)))</f>
        <v>0</v>
      </c>
      <c r="AC29" s="58">
        <f>IF($B29="","",IF($B$2="Todos",SUMIFS(BD!$AB$3:$AB$5001,BD!$A$3:$A$5001,$B29),SUMIFS(BD!$AB$3:$AB$5001,BD!$A$3:$A$5001,$B29,BD!$B$3:$B$5001,$D$2)))</f>
        <v>0</v>
      </c>
      <c r="AD29" s="42">
        <f>IF($B29="","",IF($B$2="Todos",SUMIFS(BD!$AC$3:$AC$5001,BD!$A$3:$A$5001,$B29),SUMIFS(BD!$AC$3:$AC$5001,BD!$A$3:$A$5001,$B29,BD!$B$3:$B$5001,$D$2)))</f>
        <v>0</v>
      </c>
      <c r="AE29" s="42">
        <f>IF($B29="","",IF($B$2="Todos",SUMIFS(BD!$AD$3:$AD$5001,BD!$A$3:$A$5001,$B29),SUMIFS(BD!$AD$3:$AD$5001,BD!$A$3:$A$5001,$B29,BD!$B$3:$B$5001,$D$2)))</f>
        <v>0</v>
      </c>
      <c r="AF29" s="42">
        <f>IF($B29="","",IF($B$2="Todos",SUMIFS(BD!$AE$3:$AE$5001,BD!$A$3:$A$5001,$B29),SUMIFS(BD!$AE$3:$AE$5001,BD!$A$3:$A$5001,$B29,BD!$B$3:$B$5001,$D$2)))</f>
        <v>0</v>
      </c>
      <c r="AG29" s="42">
        <f>IF($B29="","",IF($B$2="Todos",SUMIFS(BD!$AF$3:$AF$5001,BD!$A$3:$A$5001,$B29),SUMIFS(BD!$AF$3:$AF$5001,BD!$A$3:$A$5001,$B29,BD!$B$3:$B$5001,$D$2)))</f>
        <v>0</v>
      </c>
      <c r="AH29" s="42">
        <f>IF($B29="","",IF($B$2="Todos",SUMIFS(BD!$AG$3:$AG$5001,BD!$A$3:$A$5001,$B29),SUMIFS(BD!$AG$3:$AG$5001,BD!$A$3:$A$5001,$B29,BD!$B$3:$B$5001,$D$2)))</f>
        <v>0</v>
      </c>
      <c r="AI29" s="42">
        <f>IF($B29="","",IF($B$2="Todos",SUMIFS(BD!$AH$3:$AH$5001,BD!$A$3:$A$5001,$B29),SUMIFS(BD!$AH$3:$AH$5001,BD!$A$3:$A$5001,$B29,BD!$B$3:$B$5001,$D$2)))</f>
        <v>0</v>
      </c>
      <c r="AJ29" s="61">
        <f>$B$5</f>
        <v>0.7</v>
      </c>
      <c r="AK29" s="61">
        <f>$B$6</f>
        <v>0.9</v>
      </c>
      <c r="AP29" s="40" t="str">
        <f>IFERROR(INDEX(Config!$B$10:$B$29,MATCH(17,$AR$13:$AR$32,0))&amp;"","")</f>
        <v/>
      </c>
      <c r="AQ29" s="39" t="str">
        <f>IF(AP29="","",IF(INDEX(Config!$C$10:$C$29,MATCH(17,$AR$13:$AR$32,0))&amp;""="","TPC",INDEX(Config!$C$10:$C$29,MATCH(17,$AR$13:$AR$32,0))&amp;""))</f>
        <v/>
      </c>
      <c r="AR29" s="48">
        <f>IF(Config!$B$26&amp;""="",AR28,AR28+1)</f>
        <v>10</v>
      </c>
      <c r="AZ29" s="72">
        <f>IF(OR($B29="",N(VALUE($AH$384))=0),"",IF(INDEX($C29:$AI29,VALUE($AH$384))="","",IF(N(VALUE($AJ$384))=0,INDEX($C29:$AI29,VALUE($AH$384)),IF(N(INDEX($C29:$AI29,N(VALUE($AJ$384))))&gt;0,INDEX($C29:$AI29,VALUE($AH$384))/INDEX($C29:$AI29,N(VALUE($AJ$384))),""))))</f>
        <v>0</v>
      </c>
      <c r="BA29" s="72">
        <f>IF(OR($B29="",N(VALUE($AI$384))=0),"",IF(INDEX($C29:$AI29,VALUE($AI$384))="","",IF(N(VALUE($AK$384))=0,INDEX($C29:$AI29,VALUE($AI$384)),IF(N(INDEX($C29:$AI29,N(VALUE($AK$384))))&gt;0,INDEX($C29:$AI29,VALUE($AI$384))/INDEX($C29:$AI29,N(VALUE($AK$384))),""))))</f>
        <v>0</v>
      </c>
      <c r="BB29" s="72">
        <f>IF(OR($B29="",N(VALUE($AP$384))=0),"",IF(INDEX($C29:$AI29,VALUE($AP$384))="","",IF(N(VALUE($AR$384))=0,INDEX($C29:$AI29,VALUE($AP$384)),IF(N(INDEX($C29:$AI29,N(VALUE($AR$384))))&gt;0,INDEX($C29:$AI29,VALUE($AP$384))/INDEX($C29:$AI29,N(VALUE($AR$384))),""))))</f>
        <v>0</v>
      </c>
      <c r="BC29" s="72">
        <f>IF(OR($B29="",N(VALUE($AQ$384))=0),"",IF(INDEX($C29:$AI29,VALUE($AQ$384))="","",IF(N(VALUE($AS$384))=0,INDEX($C29:$AI29,VALUE($AQ$384)),IF(N(INDEX($C29:$AI29,N(VALUE($AS$384))))&gt;0,INDEX($C29:$AI29,VALUE($AQ$384))/INDEX($C29:$AI29,N(VALUE($AS$384))),""))))</f>
        <v>0</v>
      </c>
      <c r="BE29" s="42" t="str">
        <f>IF(AND($A29=$B$9,ISNUMBER(X29)),X29,NA())</f>
        <v/>
      </c>
    </row>
    <row r="30">
      <c r="A30" s="39">
        <v>19</v>
      </c>
      <c r="B30" s="57">
        <f>IF($A30&lt;=DAY($D$7),$C$7+$A30-1,"")</f>
        <v>46314</v>
      </c>
      <c r="C30" s="42">
        <f>IF($B30="","",IF($B$2="Todos",SUMIFS(BD!$C$3:$C$5001,BD!$A$3:$A$5001,$B30),SUMIFS(BD!$C$3:$C$5001,BD!$A$3:$A$5001,$B30,BD!$B$3:$B$5001,$D$2)))</f>
        <v>0</v>
      </c>
      <c r="D30" s="42">
        <f>IF($B30="","",IF($B$2="Todos",SUMIFS(BD!$D$3:$D$5001,BD!$A$3:$A$5001,$B30),SUMIFS(BD!$D$3:$D$5001,BD!$A$3:$A$5001,$B30,BD!$B$3:$B$5001,$D$2)))</f>
        <v>0</v>
      </c>
      <c r="E30" s="58">
        <f>IF($B30="","",IF($B$2="Todos",SUMIFS(BD!$E$3:$E$5001,BD!$A$3:$A$5001,$B30),SUMIFS(BD!$E$3:$E$5001,BD!$A$3:$A$5001,$B30,BD!$B$3:$B$5001,$D$2)))</f>
        <v>0</v>
      </c>
      <c r="F30" s="42">
        <f>IF($B30="","",IF($B$2="Todos",SUMIFS(BD!$F$3:$F$5001,BD!$A$3:$A$5001,$B30),SUMIFS(BD!$F$3:$F$5001,BD!$A$3:$A$5001,$B30,BD!$B$3:$B$5001,$D$2)))</f>
        <v>0</v>
      </c>
      <c r="G30" s="42">
        <f>IF($B30="","",IF($B$2="Todos",SUMIFS(BD!$G$3:$G$5001,BD!$A$3:$A$5001,$B30),SUMIFS(BD!$G$3:$G$5001,BD!$A$3:$A$5001,$B30,BD!$B$3:$B$5001,$D$2)))</f>
        <v>0</v>
      </c>
      <c r="H30" s="42">
        <f>IF($B30="","",IF($B$2="Todos",SUMIFS(BD!$H$3:$H$5001,BD!$A$3:$A$5001,$B30),SUMIFS(BD!$H$3:$H$5001,BD!$A$3:$A$5001,$B30,BD!$B$3:$B$5001,$D$2)))</f>
        <v>0</v>
      </c>
      <c r="I30" s="42">
        <f>IF($B30="","",IF($B$2="Todos",SUMIFS(BD!$I$3:$I$5001,BD!$A$3:$A$5001,$B30),SUMIFS(BD!$I$3:$I$5001,BD!$A$3:$A$5001,$B30,BD!$B$3:$B$5001,$D$2)))</f>
        <v>0</v>
      </c>
      <c r="J30" s="42">
        <f>IF($B30="","",IF($B$2="Todos",SUMIFS(BD!$J$3:$J$5001,BD!$A$3:$A$5001,$B30),SUMIFS(BD!$J$3:$J$5001,BD!$A$3:$A$5001,$B30,BD!$B$3:$B$5001,$D$2)))</f>
        <v>0</v>
      </c>
      <c r="K30" s="42">
        <f>IF($B30="","",IF($B$2="Todos",SUMIFS(BD!$K$3:$K$5001,BD!$A$3:$A$5001,$B30),SUMIFS(BD!$K$3:$K$5001,BD!$A$3:$A$5001,$B30,BD!$B$3:$B$5001,$D$2)))</f>
        <v>0</v>
      </c>
      <c r="L30" s="42">
        <f>IF($B30="","",IF($B$2="Todos",SUMIFS(BD!$L$3:$L$5001,BD!$A$3:$A$5001,$B30),SUMIFS(BD!$L$3:$L$5001,BD!$A$3:$A$5001,$B30,BD!$B$3:$B$5001,$D$2)))</f>
        <v>0</v>
      </c>
      <c r="M30" s="42">
        <f>IF($B30="","",IF($B$2="Todos",SUMIFS(BD!$M$3:$M$5001,BD!$A$3:$A$5001,$B30),SUMIFS(BD!$M$3:$M$5001,BD!$A$3:$A$5001,$B30,BD!$B$3:$B$5001,$D$2)))</f>
        <v>0</v>
      </c>
      <c r="N30" s="42">
        <f>IF($B30="","",IF($B$2="Todos",SUMIFS(BD!$N$3:$N$5001,BD!$A$3:$A$5001,$B30),SUMIFS(BD!$N$3:$N$5001,BD!$A$3:$A$5001,$B30,BD!$B$3:$B$5001,$D$2)))</f>
        <v>0</v>
      </c>
      <c r="O30" s="42">
        <f>IF($B30="","",IF($B$2="Todos",SUMIFS(BD!$O$3:$O$5001,BD!$A$3:$A$5001,$B30),SUMIFS(BD!$O$3:$O$5001,BD!$A$3:$A$5001,$B30,BD!$B$3:$B$5001,$D$2)))</f>
        <v>0</v>
      </c>
      <c r="P30" s="42">
        <f>IF($B30="","",IF($B$2="Todos",SUMIFS(BD!$P$3:$P$5001,BD!$A$3:$A$5001,$B30),SUMIFS(BD!$P$3:$P$5001,BD!$A$3:$A$5001,$B30,BD!$B$3:$B$5001,$D$2)))</f>
        <v>0</v>
      </c>
      <c r="Q30" s="42">
        <f>IF($B30="","",IF($B$2="Todos",SUMIFS(BD!$Q$3:$Q$5001,BD!$A$3:$A$5001,$B30),SUMIFS(BD!$Q$3:$Q$5001,BD!$A$3:$A$5001,$B30,BD!$B$3:$B$5001,$D$2)))</f>
        <v>0</v>
      </c>
      <c r="R30" s="42">
        <f>IF($B30="","",IF($B$2="Todos",SUMIFS(BD!$R$3:$R$5001,BD!$A$3:$A$5001,$B30),SUMIFS(BD!$R$3:$R$5001,BD!$A$3:$A$5001,$B30,BD!$B$3:$B$5001,$D$2)))</f>
        <v>0</v>
      </c>
      <c r="S30" s="58">
        <f>IF($B30="","",IF($B$2="Todos",SUMIFS(BD!$S$3:$S$5001,BD!$A$3:$A$5001,$B30),SUMIFS(BD!$S$3:$S$5001,BD!$A$3:$A$5001,$B30,BD!$B$3:$B$5001,$D$2)))</f>
        <v>0</v>
      </c>
      <c r="T30" s="42">
        <f>IF($B30="","",IF($B$2="Todos",SUMIFS(BD!$T$3:$T$5001,BD!$A$3:$A$5001,$B30),SUMIFS(BD!$T$3:$T$5001,BD!$A$3:$A$5001,$B30,BD!$B$3:$B$5001,$D$2)))</f>
        <v>0</v>
      </c>
      <c r="U30" s="42">
        <f>IF($B30="","",IF($B$2="Todos",SUMIFS(BD!$U$3:$U$5001,BD!$A$3:$A$5001,$B30),SUMIFS(BD!$U$3:$U$5001,BD!$A$3:$A$5001,$B30,BD!$B$3:$B$5001,$D$2)))</f>
        <v>0</v>
      </c>
      <c r="V30" s="42" t="str">
        <f>IF($B$2="Todos",IF(COUNT($C$159:$V$159)=0,"",SUM($C$159:$V$159)),IFERROR(INDEX($C$159:$V$159,MATCH($D$2,$C$140:$V$140,0)),""))</f>
        <v/>
      </c>
      <c r="W30" s="42" t="str">
        <f>IF($B$2="Todos",IF(COUNT($C$194:$V$194)=0,"",SUM($C$194:$V$194)),IFERROR(INDEX($C$194:$V$194,MATCH($D$2,$C$175:$V$175,0)),""))</f>
        <v/>
      </c>
      <c r="X30" s="59" t="str">
        <f>IF(Y30="","",IF($B$2="Todos",IF($B$4&gt;0,$B$4,IF($B$2="Todos",IF(COUNT($C$264:$V$264)=0,"",SUM($C$264:$V$264)),IFERROR(INDEX($C$264:$V$264,MATCH($D$2,$C$245:$V$245,0)),""))),IFERROR(INDEX($C$264:$V$264,MATCH($D$2,$C$245:$V$245,0)),"")))</f>
        <v/>
      </c>
      <c r="Y30" s="42" t="str">
        <f>IF($B$2="Todos",IF(COUNT($C$229:$V$229)=0,"",SUM($C$229:$V$229)),IFERROR(INDEX($C$229:$V$229,MATCH($D$2,$C$210:$V$210,0)),""))</f>
        <v/>
      </c>
      <c r="Z30" s="60" t="str">
        <f>IF(AND(ISNUMBER(Y30),ISNUMBER(X30)),IF(X30&gt;0,Y30/X30,""),"")</f>
        <v/>
      </c>
      <c r="AA30" s="42" t="str">
        <f>IF($B$2="Todos",IF(COUNT($C$299:$V$299)=0,"",SUM($C$299:$V$299)),IFERROR(INDEX($C$299:$V$299,MATCH($D$2,$C$280:$V$280,0)),""))</f>
        <v/>
      </c>
      <c r="AB30" s="42">
        <f>IF($B30="","",IF($B$2="Todos",SUMIFS(BD!$AA$3:$AA$5001,BD!$A$3:$A$5001,$B30),SUMIFS(BD!$AA$3:$AA$5001,BD!$A$3:$A$5001,$B30,BD!$B$3:$B$5001,$D$2)))</f>
        <v>0</v>
      </c>
      <c r="AC30" s="58">
        <f>IF($B30="","",IF($B$2="Todos",SUMIFS(BD!$AB$3:$AB$5001,BD!$A$3:$A$5001,$B30),SUMIFS(BD!$AB$3:$AB$5001,BD!$A$3:$A$5001,$B30,BD!$B$3:$B$5001,$D$2)))</f>
        <v>0</v>
      </c>
      <c r="AD30" s="42">
        <f>IF($B30="","",IF($B$2="Todos",SUMIFS(BD!$AC$3:$AC$5001,BD!$A$3:$A$5001,$B30),SUMIFS(BD!$AC$3:$AC$5001,BD!$A$3:$A$5001,$B30,BD!$B$3:$B$5001,$D$2)))</f>
        <v>0</v>
      </c>
      <c r="AE30" s="42">
        <f>IF($B30="","",IF($B$2="Todos",SUMIFS(BD!$AD$3:$AD$5001,BD!$A$3:$A$5001,$B30),SUMIFS(BD!$AD$3:$AD$5001,BD!$A$3:$A$5001,$B30,BD!$B$3:$B$5001,$D$2)))</f>
        <v>0</v>
      </c>
      <c r="AF30" s="42">
        <f>IF($B30="","",IF($B$2="Todos",SUMIFS(BD!$AE$3:$AE$5001,BD!$A$3:$A$5001,$B30),SUMIFS(BD!$AE$3:$AE$5001,BD!$A$3:$A$5001,$B30,BD!$B$3:$B$5001,$D$2)))</f>
        <v>0</v>
      </c>
      <c r="AG30" s="42">
        <f>IF($B30="","",IF($B$2="Todos",SUMIFS(BD!$AF$3:$AF$5001,BD!$A$3:$A$5001,$B30),SUMIFS(BD!$AF$3:$AF$5001,BD!$A$3:$A$5001,$B30,BD!$B$3:$B$5001,$D$2)))</f>
        <v>0</v>
      </c>
      <c r="AH30" s="42">
        <f>IF($B30="","",IF($B$2="Todos",SUMIFS(BD!$AG$3:$AG$5001,BD!$A$3:$A$5001,$B30),SUMIFS(BD!$AG$3:$AG$5001,BD!$A$3:$A$5001,$B30,BD!$B$3:$B$5001,$D$2)))</f>
        <v>0</v>
      </c>
      <c r="AI30" s="42">
        <f>IF($B30="","",IF($B$2="Todos",SUMIFS(BD!$AH$3:$AH$5001,BD!$A$3:$A$5001,$B30),SUMIFS(BD!$AH$3:$AH$5001,BD!$A$3:$A$5001,$B30,BD!$B$3:$B$5001,$D$2)))</f>
        <v>0</v>
      </c>
      <c r="AJ30" s="61">
        <f>$B$5</f>
        <v>0.7</v>
      </c>
      <c r="AK30" s="61">
        <f>$B$6</f>
        <v>0.9</v>
      </c>
      <c r="AP30" s="40" t="str">
        <f>IFERROR(INDEX(Config!$B$10:$B$29,MATCH(18,$AR$13:$AR$32,0))&amp;"","")</f>
        <v/>
      </c>
      <c r="AQ30" s="39" t="str">
        <f>IF(AP30="","",IF(INDEX(Config!$C$10:$C$29,MATCH(18,$AR$13:$AR$32,0))&amp;""="","TPC",INDEX(Config!$C$10:$C$29,MATCH(18,$AR$13:$AR$32,0))&amp;""))</f>
        <v/>
      </c>
      <c r="AR30" s="48">
        <f>IF(Config!$B$27&amp;""="",AR29,AR29+1)</f>
        <v>10</v>
      </c>
      <c r="AZ30" s="72">
        <f>IF(OR($B30="",N(VALUE($AH$384))=0),"",IF(INDEX($C30:$AI30,VALUE($AH$384))="","",IF(N(VALUE($AJ$384))=0,INDEX($C30:$AI30,VALUE($AH$384)),IF(N(INDEX($C30:$AI30,N(VALUE($AJ$384))))&gt;0,INDEX($C30:$AI30,VALUE($AH$384))/INDEX($C30:$AI30,N(VALUE($AJ$384))),""))))</f>
        <v>0</v>
      </c>
      <c r="BA30" s="72">
        <f>IF(OR($B30="",N(VALUE($AI$384))=0),"",IF(INDEX($C30:$AI30,VALUE($AI$384))="","",IF(N(VALUE($AK$384))=0,INDEX($C30:$AI30,VALUE($AI$384)),IF(N(INDEX($C30:$AI30,N(VALUE($AK$384))))&gt;0,INDEX($C30:$AI30,VALUE($AI$384))/INDEX($C30:$AI30,N(VALUE($AK$384))),""))))</f>
        <v>0</v>
      </c>
      <c r="BB30" s="72">
        <f>IF(OR($B30="",N(VALUE($AP$384))=0),"",IF(INDEX($C30:$AI30,VALUE($AP$384))="","",IF(N(VALUE($AR$384))=0,INDEX($C30:$AI30,VALUE($AP$384)),IF(N(INDEX($C30:$AI30,N(VALUE($AR$384))))&gt;0,INDEX($C30:$AI30,VALUE($AP$384))/INDEX($C30:$AI30,N(VALUE($AR$384))),""))))</f>
        <v>0</v>
      </c>
      <c r="BC30" s="72">
        <f>IF(OR($B30="",N(VALUE($AQ$384))=0),"",IF(INDEX($C30:$AI30,VALUE($AQ$384))="","",IF(N(VALUE($AS$384))=0,INDEX($C30:$AI30,VALUE($AQ$384)),IF(N(INDEX($C30:$AI30,N(VALUE($AS$384))))&gt;0,INDEX($C30:$AI30,VALUE($AQ$384))/INDEX($C30:$AI30,N(VALUE($AS$384))),""))))</f>
        <v>0</v>
      </c>
      <c r="BE30" s="42" t="str">
        <f>IF(AND($A30=$B$9,ISNUMBER(X30)),X30,NA())</f>
        <v/>
      </c>
    </row>
    <row r="31">
      <c r="A31" s="39">
        <v>20</v>
      </c>
      <c r="B31" s="57">
        <f>IF($A31&lt;=DAY($D$7),$C$7+$A31-1,"")</f>
        <v>46315</v>
      </c>
      <c r="C31" s="42">
        <f>IF($B31="","",IF($B$2="Todos",SUMIFS(BD!$C$3:$C$5001,BD!$A$3:$A$5001,$B31),SUMIFS(BD!$C$3:$C$5001,BD!$A$3:$A$5001,$B31,BD!$B$3:$B$5001,$D$2)))</f>
        <v>0</v>
      </c>
      <c r="D31" s="42">
        <f>IF($B31="","",IF($B$2="Todos",SUMIFS(BD!$D$3:$D$5001,BD!$A$3:$A$5001,$B31),SUMIFS(BD!$D$3:$D$5001,BD!$A$3:$A$5001,$B31,BD!$B$3:$B$5001,$D$2)))</f>
        <v>0</v>
      </c>
      <c r="E31" s="58">
        <f>IF($B31="","",IF($B$2="Todos",SUMIFS(BD!$E$3:$E$5001,BD!$A$3:$A$5001,$B31),SUMIFS(BD!$E$3:$E$5001,BD!$A$3:$A$5001,$B31,BD!$B$3:$B$5001,$D$2)))</f>
        <v>0</v>
      </c>
      <c r="F31" s="42">
        <f>IF($B31="","",IF($B$2="Todos",SUMIFS(BD!$F$3:$F$5001,BD!$A$3:$A$5001,$B31),SUMIFS(BD!$F$3:$F$5001,BD!$A$3:$A$5001,$B31,BD!$B$3:$B$5001,$D$2)))</f>
        <v>0</v>
      </c>
      <c r="G31" s="42">
        <f>IF($B31="","",IF($B$2="Todos",SUMIFS(BD!$G$3:$G$5001,BD!$A$3:$A$5001,$B31),SUMIFS(BD!$G$3:$G$5001,BD!$A$3:$A$5001,$B31,BD!$B$3:$B$5001,$D$2)))</f>
        <v>0</v>
      </c>
      <c r="H31" s="42">
        <f>IF($B31="","",IF($B$2="Todos",SUMIFS(BD!$H$3:$H$5001,BD!$A$3:$A$5001,$B31),SUMIFS(BD!$H$3:$H$5001,BD!$A$3:$A$5001,$B31,BD!$B$3:$B$5001,$D$2)))</f>
        <v>0</v>
      </c>
      <c r="I31" s="42">
        <f>IF($B31="","",IF($B$2="Todos",SUMIFS(BD!$I$3:$I$5001,BD!$A$3:$A$5001,$B31),SUMIFS(BD!$I$3:$I$5001,BD!$A$3:$A$5001,$B31,BD!$B$3:$B$5001,$D$2)))</f>
        <v>0</v>
      </c>
      <c r="J31" s="42">
        <f>IF($B31="","",IF($B$2="Todos",SUMIFS(BD!$J$3:$J$5001,BD!$A$3:$A$5001,$B31),SUMIFS(BD!$J$3:$J$5001,BD!$A$3:$A$5001,$B31,BD!$B$3:$B$5001,$D$2)))</f>
        <v>0</v>
      </c>
      <c r="K31" s="42">
        <f>IF($B31="","",IF($B$2="Todos",SUMIFS(BD!$K$3:$K$5001,BD!$A$3:$A$5001,$B31),SUMIFS(BD!$K$3:$K$5001,BD!$A$3:$A$5001,$B31,BD!$B$3:$B$5001,$D$2)))</f>
        <v>0</v>
      </c>
      <c r="L31" s="42">
        <f>IF($B31="","",IF($B$2="Todos",SUMIFS(BD!$L$3:$L$5001,BD!$A$3:$A$5001,$B31),SUMIFS(BD!$L$3:$L$5001,BD!$A$3:$A$5001,$B31,BD!$B$3:$B$5001,$D$2)))</f>
        <v>0</v>
      </c>
      <c r="M31" s="42">
        <f>IF($B31="","",IF($B$2="Todos",SUMIFS(BD!$M$3:$M$5001,BD!$A$3:$A$5001,$B31),SUMIFS(BD!$M$3:$M$5001,BD!$A$3:$A$5001,$B31,BD!$B$3:$B$5001,$D$2)))</f>
        <v>0</v>
      </c>
      <c r="N31" s="42">
        <f>IF($B31="","",IF($B$2="Todos",SUMIFS(BD!$N$3:$N$5001,BD!$A$3:$A$5001,$B31),SUMIFS(BD!$N$3:$N$5001,BD!$A$3:$A$5001,$B31,BD!$B$3:$B$5001,$D$2)))</f>
        <v>0</v>
      </c>
      <c r="O31" s="42">
        <f>IF($B31="","",IF($B$2="Todos",SUMIFS(BD!$O$3:$O$5001,BD!$A$3:$A$5001,$B31),SUMIFS(BD!$O$3:$O$5001,BD!$A$3:$A$5001,$B31,BD!$B$3:$B$5001,$D$2)))</f>
        <v>0</v>
      </c>
      <c r="P31" s="42">
        <f>IF($B31="","",IF($B$2="Todos",SUMIFS(BD!$P$3:$P$5001,BD!$A$3:$A$5001,$B31),SUMIFS(BD!$P$3:$P$5001,BD!$A$3:$A$5001,$B31,BD!$B$3:$B$5001,$D$2)))</f>
        <v>0</v>
      </c>
      <c r="Q31" s="42">
        <f>IF($B31="","",IF($B$2="Todos",SUMIFS(BD!$Q$3:$Q$5001,BD!$A$3:$A$5001,$B31),SUMIFS(BD!$Q$3:$Q$5001,BD!$A$3:$A$5001,$B31,BD!$B$3:$B$5001,$D$2)))</f>
        <v>0</v>
      </c>
      <c r="R31" s="42">
        <f>IF($B31="","",IF($B$2="Todos",SUMIFS(BD!$R$3:$R$5001,BD!$A$3:$A$5001,$B31),SUMIFS(BD!$R$3:$R$5001,BD!$A$3:$A$5001,$B31,BD!$B$3:$B$5001,$D$2)))</f>
        <v>0</v>
      </c>
      <c r="S31" s="58">
        <f>IF($B31="","",IF($B$2="Todos",SUMIFS(BD!$S$3:$S$5001,BD!$A$3:$A$5001,$B31),SUMIFS(BD!$S$3:$S$5001,BD!$A$3:$A$5001,$B31,BD!$B$3:$B$5001,$D$2)))</f>
        <v>0</v>
      </c>
      <c r="T31" s="42">
        <f>IF($B31="","",IF($B$2="Todos",SUMIFS(BD!$T$3:$T$5001,BD!$A$3:$A$5001,$B31),SUMIFS(BD!$T$3:$T$5001,BD!$A$3:$A$5001,$B31,BD!$B$3:$B$5001,$D$2)))</f>
        <v>0</v>
      </c>
      <c r="U31" s="42">
        <f>IF($B31="","",IF($B$2="Todos",SUMIFS(BD!$U$3:$U$5001,BD!$A$3:$A$5001,$B31),SUMIFS(BD!$U$3:$U$5001,BD!$A$3:$A$5001,$B31,BD!$B$3:$B$5001,$D$2)))</f>
        <v>0</v>
      </c>
      <c r="V31" s="42" t="str">
        <f>IF($B$2="Todos",IF(COUNT($C$160:$V$160)=0,"",SUM($C$160:$V$160)),IFERROR(INDEX($C$160:$V$160,MATCH($D$2,$C$140:$V$140,0)),""))</f>
        <v/>
      </c>
      <c r="W31" s="42" t="str">
        <f>IF($B$2="Todos",IF(COUNT($C$195:$V$195)=0,"",SUM($C$195:$V$195)),IFERROR(INDEX($C$195:$V$195,MATCH($D$2,$C$175:$V$175,0)),""))</f>
        <v/>
      </c>
      <c r="X31" s="59" t="str">
        <f>IF(Y31="","",IF($B$2="Todos",IF($B$4&gt;0,$B$4,IF($B$2="Todos",IF(COUNT($C$265:$V$265)=0,"",SUM($C$265:$V$265)),IFERROR(INDEX($C$265:$V$265,MATCH($D$2,$C$245:$V$245,0)),""))),IFERROR(INDEX($C$265:$V$265,MATCH($D$2,$C$245:$V$245,0)),"")))</f>
        <v/>
      </c>
      <c r="Y31" s="42" t="str">
        <f>IF($B$2="Todos",IF(COUNT($C$230:$V$230)=0,"",SUM($C$230:$V$230)),IFERROR(INDEX($C$230:$V$230,MATCH($D$2,$C$210:$V$210,0)),""))</f>
        <v/>
      </c>
      <c r="Z31" s="60" t="str">
        <f>IF(AND(ISNUMBER(Y31),ISNUMBER(X31)),IF(X31&gt;0,Y31/X31,""),"")</f>
        <v/>
      </c>
      <c r="AA31" s="42" t="str">
        <f>IF($B$2="Todos",IF(COUNT($C$300:$V$300)=0,"",SUM($C$300:$V$300)),IFERROR(INDEX($C$300:$V$300,MATCH($D$2,$C$280:$V$280,0)),""))</f>
        <v/>
      </c>
      <c r="AB31" s="42">
        <f>IF($B31="","",IF($B$2="Todos",SUMIFS(BD!$AA$3:$AA$5001,BD!$A$3:$A$5001,$B31),SUMIFS(BD!$AA$3:$AA$5001,BD!$A$3:$A$5001,$B31,BD!$B$3:$B$5001,$D$2)))</f>
        <v>0</v>
      </c>
      <c r="AC31" s="58">
        <f>IF($B31="","",IF($B$2="Todos",SUMIFS(BD!$AB$3:$AB$5001,BD!$A$3:$A$5001,$B31),SUMIFS(BD!$AB$3:$AB$5001,BD!$A$3:$A$5001,$B31,BD!$B$3:$B$5001,$D$2)))</f>
        <v>0</v>
      </c>
      <c r="AD31" s="42">
        <f>IF($B31="","",IF($B$2="Todos",SUMIFS(BD!$AC$3:$AC$5001,BD!$A$3:$A$5001,$B31),SUMIFS(BD!$AC$3:$AC$5001,BD!$A$3:$A$5001,$B31,BD!$B$3:$B$5001,$D$2)))</f>
        <v>0</v>
      </c>
      <c r="AE31" s="42">
        <f>IF($B31="","",IF($B$2="Todos",SUMIFS(BD!$AD$3:$AD$5001,BD!$A$3:$A$5001,$B31),SUMIFS(BD!$AD$3:$AD$5001,BD!$A$3:$A$5001,$B31,BD!$B$3:$B$5001,$D$2)))</f>
        <v>0</v>
      </c>
      <c r="AF31" s="42">
        <f>IF($B31="","",IF($B$2="Todos",SUMIFS(BD!$AE$3:$AE$5001,BD!$A$3:$A$5001,$B31),SUMIFS(BD!$AE$3:$AE$5001,BD!$A$3:$A$5001,$B31,BD!$B$3:$B$5001,$D$2)))</f>
        <v>0</v>
      </c>
      <c r="AG31" s="42">
        <f>IF($B31="","",IF($B$2="Todos",SUMIFS(BD!$AF$3:$AF$5001,BD!$A$3:$A$5001,$B31),SUMIFS(BD!$AF$3:$AF$5001,BD!$A$3:$A$5001,$B31,BD!$B$3:$B$5001,$D$2)))</f>
        <v>0</v>
      </c>
      <c r="AH31" s="42">
        <f>IF($B31="","",IF($B$2="Todos",SUMIFS(BD!$AG$3:$AG$5001,BD!$A$3:$A$5001,$B31),SUMIFS(BD!$AG$3:$AG$5001,BD!$A$3:$A$5001,$B31,BD!$B$3:$B$5001,$D$2)))</f>
        <v>0</v>
      </c>
      <c r="AI31" s="42">
        <f>IF($B31="","",IF($B$2="Todos",SUMIFS(BD!$AH$3:$AH$5001,BD!$A$3:$A$5001,$B31),SUMIFS(BD!$AH$3:$AH$5001,BD!$A$3:$A$5001,$B31,BD!$B$3:$B$5001,$D$2)))</f>
        <v>0</v>
      </c>
      <c r="AJ31" s="61">
        <f>$B$5</f>
        <v>0.7</v>
      </c>
      <c r="AK31" s="61">
        <f>$B$6</f>
        <v>0.9</v>
      </c>
      <c r="AP31" s="40" t="str">
        <f>IFERROR(INDEX(Config!$B$10:$B$29,MATCH(19,$AR$13:$AR$32,0))&amp;"","")</f>
        <v/>
      </c>
      <c r="AQ31" s="39" t="str">
        <f>IF(AP31="","",IF(INDEX(Config!$C$10:$C$29,MATCH(19,$AR$13:$AR$32,0))&amp;""="","TPC",INDEX(Config!$C$10:$C$29,MATCH(19,$AR$13:$AR$32,0))&amp;""))</f>
        <v/>
      </c>
      <c r="AR31" s="48">
        <f>IF(Config!$B$28&amp;""="",AR30,AR30+1)</f>
        <v>10</v>
      </c>
      <c r="AZ31" s="72">
        <f>IF(OR($B31="",N(VALUE($AH$384))=0),"",IF(INDEX($C31:$AI31,VALUE($AH$384))="","",IF(N(VALUE($AJ$384))=0,INDEX($C31:$AI31,VALUE($AH$384)),IF(N(INDEX($C31:$AI31,N(VALUE($AJ$384))))&gt;0,INDEX($C31:$AI31,VALUE($AH$384))/INDEX($C31:$AI31,N(VALUE($AJ$384))),""))))</f>
        <v>0</v>
      </c>
      <c r="BA31" s="72">
        <f>IF(OR($B31="",N(VALUE($AI$384))=0),"",IF(INDEX($C31:$AI31,VALUE($AI$384))="","",IF(N(VALUE($AK$384))=0,INDEX($C31:$AI31,VALUE($AI$384)),IF(N(INDEX($C31:$AI31,N(VALUE($AK$384))))&gt;0,INDEX($C31:$AI31,VALUE($AI$384))/INDEX($C31:$AI31,N(VALUE($AK$384))),""))))</f>
        <v>0</v>
      </c>
      <c r="BB31" s="72">
        <f>IF(OR($B31="",N(VALUE($AP$384))=0),"",IF(INDEX($C31:$AI31,VALUE($AP$384))="","",IF(N(VALUE($AR$384))=0,INDEX($C31:$AI31,VALUE($AP$384)),IF(N(INDEX($C31:$AI31,N(VALUE($AR$384))))&gt;0,INDEX($C31:$AI31,VALUE($AP$384))/INDEX($C31:$AI31,N(VALUE($AR$384))),""))))</f>
        <v>0</v>
      </c>
      <c r="BC31" s="72">
        <f>IF(OR($B31="",N(VALUE($AQ$384))=0),"",IF(INDEX($C31:$AI31,VALUE($AQ$384))="","",IF(N(VALUE($AS$384))=0,INDEX($C31:$AI31,VALUE($AQ$384)),IF(N(INDEX($C31:$AI31,N(VALUE($AS$384))))&gt;0,INDEX($C31:$AI31,VALUE($AQ$384))/INDEX($C31:$AI31,N(VALUE($AS$384))),""))))</f>
        <v>0</v>
      </c>
      <c r="BE31" s="42" t="str">
        <f>IF(AND($A31=$B$9,ISNUMBER(X31)),X31,NA())</f>
        <v/>
      </c>
    </row>
    <row r="32">
      <c r="A32" s="39">
        <v>21</v>
      </c>
      <c r="B32" s="57">
        <f>IF($A32&lt;=DAY($D$7),$C$7+$A32-1,"")</f>
        <v>46316</v>
      </c>
      <c r="C32" s="42">
        <f>IF($B32="","",IF($B$2="Todos",SUMIFS(BD!$C$3:$C$5001,BD!$A$3:$A$5001,$B32),SUMIFS(BD!$C$3:$C$5001,BD!$A$3:$A$5001,$B32,BD!$B$3:$B$5001,$D$2)))</f>
        <v>0</v>
      </c>
      <c r="D32" s="42">
        <f>IF($B32="","",IF($B$2="Todos",SUMIFS(BD!$D$3:$D$5001,BD!$A$3:$A$5001,$B32),SUMIFS(BD!$D$3:$D$5001,BD!$A$3:$A$5001,$B32,BD!$B$3:$B$5001,$D$2)))</f>
        <v>0</v>
      </c>
      <c r="E32" s="58">
        <f>IF($B32="","",IF($B$2="Todos",SUMIFS(BD!$E$3:$E$5001,BD!$A$3:$A$5001,$B32),SUMIFS(BD!$E$3:$E$5001,BD!$A$3:$A$5001,$B32,BD!$B$3:$B$5001,$D$2)))</f>
        <v>0</v>
      </c>
      <c r="F32" s="42">
        <f>IF($B32="","",IF($B$2="Todos",SUMIFS(BD!$F$3:$F$5001,BD!$A$3:$A$5001,$B32),SUMIFS(BD!$F$3:$F$5001,BD!$A$3:$A$5001,$B32,BD!$B$3:$B$5001,$D$2)))</f>
        <v>0</v>
      </c>
      <c r="G32" s="42">
        <f>IF($B32="","",IF($B$2="Todos",SUMIFS(BD!$G$3:$G$5001,BD!$A$3:$A$5001,$B32),SUMIFS(BD!$G$3:$G$5001,BD!$A$3:$A$5001,$B32,BD!$B$3:$B$5001,$D$2)))</f>
        <v>0</v>
      </c>
      <c r="H32" s="42">
        <f>IF($B32="","",IF($B$2="Todos",SUMIFS(BD!$H$3:$H$5001,BD!$A$3:$A$5001,$B32),SUMIFS(BD!$H$3:$H$5001,BD!$A$3:$A$5001,$B32,BD!$B$3:$B$5001,$D$2)))</f>
        <v>0</v>
      </c>
      <c r="I32" s="42">
        <f>IF($B32="","",IF($B$2="Todos",SUMIFS(BD!$I$3:$I$5001,BD!$A$3:$A$5001,$B32),SUMIFS(BD!$I$3:$I$5001,BD!$A$3:$A$5001,$B32,BD!$B$3:$B$5001,$D$2)))</f>
        <v>0</v>
      </c>
      <c r="J32" s="42">
        <f>IF($B32="","",IF($B$2="Todos",SUMIFS(BD!$J$3:$J$5001,BD!$A$3:$A$5001,$B32),SUMIFS(BD!$J$3:$J$5001,BD!$A$3:$A$5001,$B32,BD!$B$3:$B$5001,$D$2)))</f>
        <v>0</v>
      </c>
      <c r="K32" s="42">
        <f>IF($B32="","",IF($B$2="Todos",SUMIFS(BD!$K$3:$K$5001,BD!$A$3:$A$5001,$B32),SUMIFS(BD!$K$3:$K$5001,BD!$A$3:$A$5001,$B32,BD!$B$3:$B$5001,$D$2)))</f>
        <v>0</v>
      </c>
      <c r="L32" s="42">
        <f>IF($B32="","",IF($B$2="Todos",SUMIFS(BD!$L$3:$L$5001,BD!$A$3:$A$5001,$B32),SUMIFS(BD!$L$3:$L$5001,BD!$A$3:$A$5001,$B32,BD!$B$3:$B$5001,$D$2)))</f>
        <v>0</v>
      </c>
      <c r="M32" s="42">
        <f>IF($B32="","",IF($B$2="Todos",SUMIFS(BD!$M$3:$M$5001,BD!$A$3:$A$5001,$B32),SUMIFS(BD!$M$3:$M$5001,BD!$A$3:$A$5001,$B32,BD!$B$3:$B$5001,$D$2)))</f>
        <v>0</v>
      </c>
      <c r="N32" s="42">
        <f>IF($B32="","",IF($B$2="Todos",SUMIFS(BD!$N$3:$N$5001,BD!$A$3:$A$5001,$B32),SUMIFS(BD!$N$3:$N$5001,BD!$A$3:$A$5001,$B32,BD!$B$3:$B$5001,$D$2)))</f>
        <v>0</v>
      </c>
      <c r="O32" s="42">
        <f>IF($B32="","",IF($B$2="Todos",SUMIFS(BD!$O$3:$O$5001,BD!$A$3:$A$5001,$B32),SUMIFS(BD!$O$3:$O$5001,BD!$A$3:$A$5001,$B32,BD!$B$3:$B$5001,$D$2)))</f>
        <v>0</v>
      </c>
      <c r="P32" s="42">
        <f>IF($B32="","",IF($B$2="Todos",SUMIFS(BD!$P$3:$P$5001,BD!$A$3:$A$5001,$B32),SUMIFS(BD!$P$3:$P$5001,BD!$A$3:$A$5001,$B32,BD!$B$3:$B$5001,$D$2)))</f>
        <v>0</v>
      </c>
      <c r="Q32" s="42">
        <f>IF($B32="","",IF($B$2="Todos",SUMIFS(BD!$Q$3:$Q$5001,BD!$A$3:$A$5001,$B32),SUMIFS(BD!$Q$3:$Q$5001,BD!$A$3:$A$5001,$B32,BD!$B$3:$B$5001,$D$2)))</f>
        <v>0</v>
      </c>
      <c r="R32" s="42">
        <f>IF($B32="","",IF($B$2="Todos",SUMIFS(BD!$R$3:$R$5001,BD!$A$3:$A$5001,$B32),SUMIFS(BD!$R$3:$R$5001,BD!$A$3:$A$5001,$B32,BD!$B$3:$B$5001,$D$2)))</f>
        <v>0</v>
      </c>
      <c r="S32" s="58">
        <f>IF($B32="","",IF($B$2="Todos",SUMIFS(BD!$S$3:$S$5001,BD!$A$3:$A$5001,$B32),SUMIFS(BD!$S$3:$S$5001,BD!$A$3:$A$5001,$B32,BD!$B$3:$B$5001,$D$2)))</f>
        <v>0</v>
      </c>
      <c r="T32" s="42">
        <f>IF($B32="","",IF($B$2="Todos",SUMIFS(BD!$T$3:$T$5001,BD!$A$3:$A$5001,$B32),SUMIFS(BD!$T$3:$T$5001,BD!$A$3:$A$5001,$B32,BD!$B$3:$B$5001,$D$2)))</f>
        <v>0</v>
      </c>
      <c r="U32" s="42">
        <f>IF($B32="","",IF($B$2="Todos",SUMIFS(BD!$U$3:$U$5001,BD!$A$3:$A$5001,$B32),SUMIFS(BD!$U$3:$U$5001,BD!$A$3:$A$5001,$B32,BD!$B$3:$B$5001,$D$2)))</f>
        <v>0</v>
      </c>
      <c r="V32" s="42" t="str">
        <f>IF($B$2="Todos",IF(COUNT($C$161:$V$161)=0,"",SUM($C$161:$V$161)),IFERROR(INDEX($C$161:$V$161,MATCH($D$2,$C$140:$V$140,0)),""))</f>
        <v/>
      </c>
      <c r="W32" s="42" t="str">
        <f>IF($B$2="Todos",IF(COUNT($C$196:$V$196)=0,"",SUM($C$196:$V$196)),IFERROR(INDEX($C$196:$V$196,MATCH($D$2,$C$175:$V$175,0)),""))</f>
        <v/>
      </c>
      <c r="X32" s="59" t="str">
        <f>IF(Y32="","",IF($B$2="Todos",IF($B$4&gt;0,$B$4,IF($B$2="Todos",IF(COUNT($C$266:$V$266)=0,"",SUM($C$266:$V$266)),IFERROR(INDEX($C$266:$V$266,MATCH($D$2,$C$245:$V$245,0)),""))),IFERROR(INDEX($C$266:$V$266,MATCH($D$2,$C$245:$V$245,0)),"")))</f>
        <v/>
      </c>
      <c r="Y32" s="42" t="str">
        <f>IF($B$2="Todos",IF(COUNT($C$231:$V$231)=0,"",SUM($C$231:$V$231)),IFERROR(INDEX($C$231:$V$231,MATCH($D$2,$C$210:$V$210,0)),""))</f>
        <v/>
      </c>
      <c r="Z32" s="60" t="str">
        <f>IF(AND(ISNUMBER(Y32),ISNUMBER(X32)),IF(X32&gt;0,Y32/X32,""),"")</f>
        <v/>
      </c>
      <c r="AA32" s="42" t="str">
        <f>IF($B$2="Todos",IF(COUNT($C$301:$V$301)=0,"",SUM($C$301:$V$301)),IFERROR(INDEX($C$301:$V$301,MATCH($D$2,$C$280:$V$280,0)),""))</f>
        <v/>
      </c>
      <c r="AB32" s="42">
        <f>IF($B32="","",IF($B$2="Todos",SUMIFS(BD!$AA$3:$AA$5001,BD!$A$3:$A$5001,$B32),SUMIFS(BD!$AA$3:$AA$5001,BD!$A$3:$A$5001,$B32,BD!$B$3:$B$5001,$D$2)))</f>
        <v>0</v>
      </c>
      <c r="AC32" s="58">
        <f>IF($B32="","",IF($B$2="Todos",SUMIFS(BD!$AB$3:$AB$5001,BD!$A$3:$A$5001,$B32),SUMIFS(BD!$AB$3:$AB$5001,BD!$A$3:$A$5001,$B32,BD!$B$3:$B$5001,$D$2)))</f>
        <v>0</v>
      </c>
      <c r="AD32" s="42">
        <f>IF($B32="","",IF($B$2="Todos",SUMIFS(BD!$AC$3:$AC$5001,BD!$A$3:$A$5001,$B32),SUMIFS(BD!$AC$3:$AC$5001,BD!$A$3:$A$5001,$B32,BD!$B$3:$B$5001,$D$2)))</f>
        <v>0</v>
      </c>
      <c r="AE32" s="42">
        <f>IF($B32="","",IF($B$2="Todos",SUMIFS(BD!$AD$3:$AD$5001,BD!$A$3:$A$5001,$B32),SUMIFS(BD!$AD$3:$AD$5001,BD!$A$3:$A$5001,$B32,BD!$B$3:$B$5001,$D$2)))</f>
        <v>0</v>
      </c>
      <c r="AF32" s="42">
        <f>IF($B32="","",IF($B$2="Todos",SUMIFS(BD!$AE$3:$AE$5001,BD!$A$3:$A$5001,$B32),SUMIFS(BD!$AE$3:$AE$5001,BD!$A$3:$A$5001,$B32,BD!$B$3:$B$5001,$D$2)))</f>
        <v>0</v>
      </c>
      <c r="AG32" s="42">
        <f>IF($B32="","",IF($B$2="Todos",SUMIFS(BD!$AF$3:$AF$5001,BD!$A$3:$A$5001,$B32),SUMIFS(BD!$AF$3:$AF$5001,BD!$A$3:$A$5001,$B32,BD!$B$3:$B$5001,$D$2)))</f>
        <v>0</v>
      </c>
      <c r="AH32" s="42">
        <f>IF($B32="","",IF($B$2="Todos",SUMIFS(BD!$AG$3:$AG$5001,BD!$A$3:$A$5001,$B32),SUMIFS(BD!$AG$3:$AG$5001,BD!$A$3:$A$5001,$B32,BD!$B$3:$B$5001,$D$2)))</f>
        <v>0</v>
      </c>
      <c r="AI32" s="42">
        <f>IF($B32="","",IF($B$2="Todos",SUMIFS(BD!$AH$3:$AH$5001,BD!$A$3:$A$5001,$B32),SUMIFS(BD!$AH$3:$AH$5001,BD!$A$3:$A$5001,$B32,BD!$B$3:$B$5001,$D$2)))</f>
        <v>0</v>
      </c>
      <c r="AJ32" s="61">
        <f>$B$5</f>
        <v>0.7</v>
      </c>
      <c r="AK32" s="61">
        <f>$B$6</f>
        <v>0.9</v>
      </c>
      <c r="AP32" s="40" t="str">
        <f>IFERROR(INDEX(Config!$B$10:$B$29,MATCH(20,$AR$13:$AR$32,0))&amp;"","")</f>
        <v/>
      </c>
      <c r="AQ32" s="39" t="str">
        <f>IF(AP32="","",IF(INDEX(Config!$C$10:$C$29,MATCH(20,$AR$13:$AR$32,0))&amp;""="","TPC",INDEX(Config!$C$10:$C$29,MATCH(20,$AR$13:$AR$32,0))&amp;""))</f>
        <v/>
      </c>
      <c r="AR32" s="48">
        <f>IF(Config!$B$29&amp;""="",AR31,AR31+1)</f>
        <v>10</v>
      </c>
      <c r="AZ32" s="72">
        <f>IF(OR($B32="",N(VALUE($AH$384))=0),"",IF(INDEX($C32:$AI32,VALUE($AH$384))="","",IF(N(VALUE($AJ$384))=0,INDEX($C32:$AI32,VALUE($AH$384)),IF(N(INDEX($C32:$AI32,N(VALUE($AJ$384))))&gt;0,INDEX($C32:$AI32,VALUE($AH$384))/INDEX($C32:$AI32,N(VALUE($AJ$384))),""))))</f>
        <v>0</v>
      </c>
      <c r="BA32" s="72">
        <f>IF(OR($B32="",N(VALUE($AI$384))=0),"",IF(INDEX($C32:$AI32,VALUE($AI$384))="","",IF(N(VALUE($AK$384))=0,INDEX($C32:$AI32,VALUE($AI$384)),IF(N(INDEX($C32:$AI32,N(VALUE($AK$384))))&gt;0,INDEX($C32:$AI32,VALUE($AI$384))/INDEX($C32:$AI32,N(VALUE($AK$384))),""))))</f>
        <v>0</v>
      </c>
      <c r="BB32" s="72">
        <f>IF(OR($B32="",N(VALUE($AP$384))=0),"",IF(INDEX($C32:$AI32,VALUE($AP$384))="","",IF(N(VALUE($AR$384))=0,INDEX($C32:$AI32,VALUE($AP$384)),IF(N(INDEX($C32:$AI32,N(VALUE($AR$384))))&gt;0,INDEX($C32:$AI32,VALUE($AP$384))/INDEX($C32:$AI32,N(VALUE($AR$384))),""))))</f>
        <v>0</v>
      </c>
      <c r="BC32" s="72">
        <f>IF(OR($B32="",N(VALUE($AQ$384))=0),"",IF(INDEX($C32:$AI32,VALUE($AQ$384))="","",IF(N(VALUE($AS$384))=0,INDEX($C32:$AI32,VALUE($AQ$384)),IF(N(INDEX($C32:$AI32,N(VALUE($AS$384))))&gt;0,INDEX($C32:$AI32,VALUE($AQ$384))/INDEX($C32:$AI32,N(VALUE($AS$384))),""))))</f>
        <v>0</v>
      </c>
      <c r="BE32" s="42" t="str">
        <f>IF(AND($A32=$B$9,ISNUMBER(X32)),X32,NA())</f>
        <v/>
      </c>
    </row>
    <row r="33">
      <c r="A33" s="39">
        <v>22</v>
      </c>
      <c r="B33" s="57">
        <f>IF($A33&lt;=DAY($D$7),$C$7+$A33-1,"")</f>
        <v>46317</v>
      </c>
      <c r="C33" s="42">
        <f>IF($B33="","",IF($B$2="Todos",SUMIFS(BD!$C$3:$C$5001,BD!$A$3:$A$5001,$B33),SUMIFS(BD!$C$3:$C$5001,BD!$A$3:$A$5001,$B33,BD!$B$3:$B$5001,$D$2)))</f>
        <v>0</v>
      </c>
      <c r="D33" s="42">
        <f>IF($B33="","",IF($B$2="Todos",SUMIFS(BD!$D$3:$D$5001,BD!$A$3:$A$5001,$B33),SUMIFS(BD!$D$3:$D$5001,BD!$A$3:$A$5001,$B33,BD!$B$3:$B$5001,$D$2)))</f>
        <v>0</v>
      </c>
      <c r="E33" s="58">
        <f>IF($B33="","",IF($B$2="Todos",SUMIFS(BD!$E$3:$E$5001,BD!$A$3:$A$5001,$B33),SUMIFS(BD!$E$3:$E$5001,BD!$A$3:$A$5001,$B33,BD!$B$3:$B$5001,$D$2)))</f>
        <v>0</v>
      </c>
      <c r="F33" s="42">
        <f>IF($B33="","",IF($B$2="Todos",SUMIFS(BD!$F$3:$F$5001,BD!$A$3:$A$5001,$B33),SUMIFS(BD!$F$3:$F$5001,BD!$A$3:$A$5001,$B33,BD!$B$3:$B$5001,$D$2)))</f>
        <v>0</v>
      </c>
      <c r="G33" s="42">
        <f>IF($B33="","",IF($B$2="Todos",SUMIFS(BD!$G$3:$G$5001,BD!$A$3:$A$5001,$B33),SUMIFS(BD!$G$3:$G$5001,BD!$A$3:$A$5001,$B33,BD!$B$3:$B$5001,$D$2)))</f>
        <v>0</v>
      </c>
      <c r="H33" s="42">
        <f>IF($B33="","",IF($B$2="Todos",SUMIFS(BD!$H$3:$H$5001,BD!$A$3:$A$5001,$B33),SUMIFS(BD!$H$3:$H$5001,BD!$A$3:$A$5001,$B33,BD!$B$3:$B$5001,$D$2)))</f>
        <v>0</v>
      </c>
      <c r="I33" s="42">
        <f>IF($B33="","",IF($B$2="Todos",SUMIFS(BD!$I$3:$I$5001,BD!$A$3:$A$5001,$B33),SUMIFS(BD!$I$3:$I$5001,BD!$A$3:$A$5001,$B33,BD!$B$3:$B$5001,$D$2)))</f>
        <v>0</v>
      </c>
      <c r="J33" s="42">
        <f>IF($B33="","",IF($B$2="Todos",SUMIFS(BD!$J$3:$J$5001,BD!$A$3:$A$5001,$B33),SUMIFS(BD!$J$3:$J$5001,BD!$A$3:$A$5001,$B33,BD!$B$3:$B$5001,$D$2)))</f>
        <v>0</v>
      </c>
      <c r="K33" s="42">
        <f>IF($B33="","",IF($B$2="Todos",SUMIFS(BD!$K$3:$K$5001,BD!$A$3:$A$5001,$B33),SUMIFS(BD!$K$3:$K$5001,BD!$A$3:$A$5001,$B33,BD!$B$3:$B$5001,$D$2)))</f>
        <v>0</v>
      </c>
      <c r="L33" s="42">
        <f>IF($B33="","",IF($B$2="Todos",SUMIFS(BD!$L$3:$L$5001,BD!$A$3:$A$5001,$B33),SUMIFS(BD!$L$3:$L$5001,BD!$A$3:$A$5001,$B33,BD!$B$3:$B$5001,$D$2)))</f>
        <v>0</v>
      </c>
      <c r="M33" s="42">
        <f>IF($B33="","",IF($B$2="Todos",SUMIFS(BD!$M$3:$M$5001,BD!$A$3:$A$5001,$B33),SUMIFS(BD!$M$3:$M$5001,BD!$A$3:$A$5001,$B33,BD!$B$3:$B$5001,$D$2)))</f>
        <v>0</v>
      </c>
      <c r="N33" s="42">
        <f>IF($B33="","",IF($B$2="Todos",SUMIFS(BD!$N$3:$N$5001,BD!$A$3:$A$5001,$B33),SUMIFS(BD!$N$3:$N$5001,BD!$A$3:$A$5001,$B33,BD!$B$3:$B$5001,$D$2)))</f>
        <v>0</v>
      </c>
      <c r="O33" s="42">
        <f>IF($B33="","",IF($B$2="Todos",SUMIFS(BD!$O$3:$O$5001,BD!$A$3:$A$5001,$B33),SUMIFS(BD!$O$3:$O$5001,BD!$A$3:$A$5001,$B33,BD!$B$3:$B$5001,$D$2)))</f>
        <v>0</v>
      </c>
      <c r="P33" s="42">
        <f>IF($B33="","",IF($B$2="Todos",SUMIFS(BD!$P$3:$P$5001,BD!$A$3:$A$5001,$B33),SUMIFS(BD!$P$3:$P$5001,BD!$A$3:$A$5001,$B33,BD!$B$3:$B$5001,$D$2)))</f>
        <v>0</v>
      </c>
      <c r="Q33" s="42">
        <f>IF($B33="","",IF($B$2="Todos",SUMIFS(BD!$Q$3:$Q$5001,BD!$A$3:$A$5001,$B33),SUMIFS(BD!$Q$3:$Q$5001,BD!$A$3:$A$5001,$B33,BD!$B$3:$B$5001,$D$2)))</f>
        <v>0</v>
      </c>
      <c r="R33" s="42">
        <f>IF($B33="","",IF($B$2="Todos",SUMIFS(BD!$R$3:$R$5001,BD!$A$3:$A$5001,$B33),SUMIFS(BD!$R$3:$R$5001,BD!$A$3:$A$5001,$B33,BD!$B$3:$B$5001,$D$2)))</f>
        <v>0</v>
      </c>
      <c r="S33" s="58">
        <f>IF($B33="","",IF($B$2="Todos",SUMIFS(BD!$S$3:$S$5001,BD!$A$3:$A$5001,$B33),SUMIFS(BD!$S$3:$S$5001,BD!$A$3:$A$5001,$B33,BD!$B$3:$B$5001,$D$2)))</f>
        <v>0</v>
      </c>
      <c r="T33" s="42">
        <f>IF($B33="","",IF($B$2="Todos",SUMIFS(BD!$T$3:$T$5001,BD!$A$3:$A$5001,$B33),SUMIFS(BD!$T$3:$T$5001,BD!$A$3:$A$5001,$B33,BD!$B$3:$B$5001,$D$2)))</f>
        <v>0</v>
      </c>
      <c r="U33" s="42">
        <f>IF($B33="","",IF($B$2="Todos",SUMIFS(BD!$U$3:$U$5001,BD!$A$3:$A$5001,$B33),SUMIFS(BD!$U$3:$U$5001,BD!$A$3:$A$5001,$B33,BD!$B$3:$B$5001,$D$2)))</f>
        <v>0</v>
      </c>
      <c r="V33" s="42" t="str">
        <f>IF($B$2="Todos",IF(COUNT($C$162:$V$162)=0,"",SUM($C$162:$V$162)),IFERROR(INDEX($C$162:$V$162,MATCH($D$2,$C$140:$V$140,0)),""))</f>
        <v/>
      </c>
      <c r="W33" s="42" t="str">
        <f>IF($B$2="Todos",IF(COUNT($C$197:$V$197)=0,"",SUM($C$197:$V$197)),IFERROR(INDEX($C$197:$V$197,MATCH($D$2,$C$175:$V$175,0)),""))</f>
        <v/>
      </c>
      <c r="X33" s="59" t="str">
        <f>IF(Y33="","",IF($B$2="Todos",IF($B$4&gt;0,$B$4,IF($B$2="Todos",IF(COUNT($C$267:$V$267)=0,"",SUM($C$267:$V$267)),IFERROR(INDEX($C$267:$V$267,MATCH($D$2,$C$245:$V$245,0)),""))),IFERROR(INDEX($C$267:$V$267,MATCH($D$2,$C$245:$V$245,0)),"")))</f>
        <v/>
      </c>
      <c r="Y33" s="42" t="str">
        <f>IF($B$2="Todos",IF(COUNT($C$232:$V$232)=0,"",SUM($C$232:$V$232)),IFERROR(INDEX($C$232:$V$232,MATCH($D$2,$C$210:$V$210,0)),""))</f>
        <v/>
      </c>
      <c r="Z33" s="60" t="str">
        <f>IF(AND(ISNUMBER(Y33),ISNUMBER(X33)),IF(X33&gt;0,Y33/X33,""),"")</f>
        <v/>
      </c>
      <c r="AA33" s="42" t="str">
        <f>IF($B$2="Todos",IF(COUNT($C$302:$V$302)=0,"",SUM($C$302:$V$302)),IFERROR(INDEX($C$302:$V$302,MATCH($D$2,$C$280:$V$280,0)),""))</f>
        <v/>
      </c>
      <c r="AB33" s="42">
        <f>IF($B33="","",IF($B$2="Todos",SUMIFS(BD!$AA$3:$AA$5001,BD!$A$3:$A$5001,$B33),SUMIFS(BD!$AA$3:$AA$5001,BD!$A$3:$A$5001,$B33,BD!$B$3:$B$5001,$D$2)))</f>
        <v>0</v>
      </c>
      <c r="AC33" s="58">
        <f>IF($B33="","",IF($B$2="Todos",SUMIFS(BD!$AB$3:$AB$5001,BD!$A$3:$A$5001,$B33),SUMIFS(BD!$AB$3:$AB$5001,BD!$A$3:$A$5001,$B33,BD!$B$3:$B$5001,$D$2)))</f>
        <v>0</v>
      </c>
      <c r="AD33" s="42">
        <f>IF($B33="","",IF($B$2="Todos",SUMIFS(BD!$AC$3:$AC$5001,BD!$A$3:$A$5001,$B33),SUMIFS(BD!$AC$3:$AC$5001,BD!$A$3:$A$5001,$B33,BD!$B$3:$B$5001,$D$2)))</f>
        <v>0</v>
      </c>
      <c r="AE33" s="42">
        <f>IF($B33="","",IF($B$2="Todos",SUMIFS(BD!$AD$3:$AD$5001,BD!$A$3:$A$5001,$B33),SUMIFS(BD!$AD$3:$AD$5001,BD!$A$3:$A$5001,$B33,BD!$B$3:$B$5001,$D$2)))</f>
        <v>0</v>
      </c>
      <c r="AF33" s="42">
        <f>IF($B33="","",IF($B$2="Todos",SUMIFS(BD!$AE$3:$AE$5001,BD!$A$3:$A$5001,$B33),SUMIFS(BD!$AE$3:$AE$5001,BD!$A$3:$A$5001,$B33,BD!$B$3:$B$5001,$D$2)))</f>
        <v>0</v>
      </c>
      <c r="AG33" s="42">
        <f>IF($B33="","",IF($B$2="Todos",SUMIFS(BD!$AF$3:$AF$5001,BD!$A$3:$A$5001,$B33),SUMIFS(BD!$AF$3:$AF$5001,BD!$A$3:$A$5001,$B33,BD!$B$3:$B$5001,$D$2)))</f>
        <v>0</v>
      </c>
      <c r="AH33" s="42">
        <f>IF($B33="","",IF($B$2="Todos",SUMIFS(BD!$AG$3:$AG$5001,BD!$A$3:$A$5001,$B33),SUMIFS(BD!$AG$3:$AG$5001,BD!$A$3:$A$5001,$B33,BD!$B$3:$B$5001,$D$2)))</f>
        <v>0</v>
      </c>
      <c r="AI33" s="42">
        <f>IF($B33="","",IF($B$2="Todos",SUMIFS(BD!$AH$3:$AH$5001,BD!$A$3:$A$5001,$B33),SUMIFS(BD!$AH$3:$AH$5001,BD!$A$3:$A$5001,$B33,BD!$B$3:$B$5001,$D$2)))</f>
        <v>0</v>
      </c>
      <c r="AJ33" s="61">
        <f>$B$5</f>
        <v>0.7</v>
      </c>
      <c r="AK33" s="61">
        <f>$B$6</f>
        <v>0.9</v>
      </c>
      <c r="AZ33" s="72">
        <f>IF(OR($B33="",N(VALUE($AH$384))=0),"",IF(INDEX($C33:$AI33,VALUE($AH$384))="","",IF(N(VALUE($AJ$384))=0,INDEX($C33:$AI33,VALUE($AH$384)),IF(N(INDEX($C33:$AI33,N(VALUE($AJ$384))))&gt;0,INDEX($C33:$AI33,VALUE($AH$384))/INDEX($C33:$AI33,N(VALUE($AJ$384))),""))))</f>
        <v>0</v>
      </c>
      <c r="BA33" s="72">
        <f>IF(OR($B33="",N(VALUE($AI$384))=0),"",IF(INDEX($C33:$AI33,VALUE($AI$384))="","",IF(N(VALUE($AK$384))=0,INDEX($C33:$AI33,VALUE($AI$384)),IF(N(INDEX($C33:$AI33,N(VALUE($AK$384))))&gt;0,INDEX($C33:$AI33,VALUE($AI$384))/INDEX($C33:$AI33,N(VALUE($AK$384))),""))))</f>
        <v>0</v>
      </c>
      <c r="BB33" s="72">
        <f>IF(OR($B33="",N(VALUE($AP$384))=0),"",IF(INDEX($C33:$AI33,VALUE($AP$384))="","",IF(N(VALUE($AR$384))=0,INDEX($C33:$AI33,VALUE($AP$384)),IF(N(INDEX($C33:$AI33,N(VALUE($AR$384))))&gt;0,INDEX($C33:$AI33,VALUE($AP$384))/INDEX($C33:$AI33,N(VALUE($AR$384))),""))))</f>
        <v>0</v>
      </c>
      <c r="BC33" s="72">
        <f>IF(OR($B33="",N(VALUE($AQ$384))=0),"",IF(INDEX($C33:$AI33,VALUE($AQ$384))="","",IF(N(VALUE($AS$384))=0,INDEX($C33:$AI33,VALUE($AQ$384)),IF(N(INDEX($C33:$AI33,N(VALUE($AS$384))))&gt;0,INDEX($C33:$AI33,VALUE($AQ$384))/INDEX($C33:$AI33,N(VALUE($AS$384))),""))))</f>
        <v>0</v>
      </c>
      <c r="BE33" s="42" t="str">
        <f>IF(AND($A33=$B$9,ISNUMBER(X33)),X33,NA())</f>
        <v/>
      </c>
    </row>
    <row r="34">
      <c r="A34" s="39">
        <v>23</v>
      </c>
      <c r="B34" s="57">
        <f>IF($A34&lt;=DAY($D$7),$C$7+$A34-1,"")</f>
        <v>46318</v>
      </c>
      <c r="C34" s="42">
        <f>IF($B34="","",IF($B$2="Todos",SUMIFS(BD!$C$3:$C$5001,BD!$A$3:$A$5001,$B34),SUMIFS(BD!$C$3:$C$5001,BD!$A$3:$A$5001,$B34,BD!$B$3:$B$5001,$D$2)))</f>
        <v>0</v>
      </c>
      <c r="D34" s="42">
        <f>IF($B34="","",IF($B$2="Todos",SUMIFS(BD!$D$3:$D$5001,BD!$A$3:$A$5001,$B34),SUMIFS(BD!$D$3:$D$5001,BD!$A$3:$A$5001,$B34,BD!$B$3:$B$5001,$D$2)))</f>
        <v>0</v>
      </c>
      <c r="E34" s="58">
        <f>IF($B34="","",IF($B$2="Todos",SUMIFS(BD!$E$3:$E$5001,BD!$A$3:$A$5001,$B34),SUMIFS(BD!$E$3:$E$5001,BD!$A$3:$A$5001,$B34,BD!$B$3:$B$5001,$D$2)))</f>
        <v>0</v>
      </c>
      <c r="F34" s="42">
        <f>IF($B34="","",IF($B$2="Todos",SUMIFS(BD!$F$3:$F$5001,BD!$A$3:$A$5001,$B34),SUMIFS(BD!$F$3:$F$5001,BD!$A$3:$A$5001,$B34,BD!$B$3:$B$5001,$D$2)))</f>
        <v>0</v>
      </c>
      <c r="G34" s="42">
        <f>IF($B34="","",IF($B$2="Todos",SUMIFS(BD!$G$3:$G$5001,BD!$A$3:$A$5001,$B34),SUMIFS(BD!$G$3:$G$5001,BD!$A$3:$A$5001,$B34,BD!$B$3:$B$5001,$D$2)))</f>
        <v>0</v>
      </c>
      <c r="H34" s="42">
        <f>IF($B34="","",IF($B$2="Todos",SUMIFS(BD!$H$3:$H$5001,BD!$A$3:$A$5001,$B34),SUMIFS(BD!$H$3:$H$5001,BD!$A$3:$A$5001,$B34,BD!$B$3:$B$5001,$D$2)))</f>
        <v>0</v>
      </c>
      <c r="I34" s="42">
        <f>IF($B34="","",IF($B$2="Todos",SUMIFS(BD!$I$3:$I$5001,BD!$A$3:$A$5001,$B34),SUMIFS(BD!$I$3:$I$5001,BD!$A$3:$A$5001,$B34,BD!$B$3:$B$5001,$D$2)))</f>
        <v>0</v>
      </c>
      <c r="J34" s="42">
        <f>IF($B34="","",IF($B$2="Todos",SUMIFS(BD!$J$3:$J$5001,BD!$A$3:$A$5001,$B34),SUMIFS(BD!$J$3:$J$5001,BD!$A$3:$A$5001,$B34,BD!$B$3:$B$5001,$D$2)))</f>
        <v>0</v>
      </c>
      <c r="K34" s="42">
        <f>IF($B34="","",IF($B$2="Todos",SUMIFS(BD!$K$3:$K$5001,BD!$A$3:$A$5001,$B34),SUMIFS(BD!$K$3:$K$5001,BD!$A$3:$A$5001,$B34,BD!$B$3:$B$5001,$D$2)))</f>
        <v>0</v>
      </c>
      <c r="L34" s="42">
        <f>IF($B34="","",IF($B$2="Todos",SUMIFS(BD!$L$3:$L$5001,BD!$A$3:$A$5001,$B34),SUMIFS(BD!$L$3:$L$5001,BD!$A$3:$A$5001,$B34,BD!$B$3:$B$5001,$D$2)))</f>
        <v>0</v>
      </c>
      <c r="M34" s="42">
        <f>IF($B34="","",IF($B$2="Todos",SUMIFS(BD!$M$3:$M$5001,BD!$A$3:$A$5001,$B34),SUMIFS(BD!$M$3:$M$5001,BD!$A$3:$A$5001,$B34,BD!$B$3:$B$5001,$D$2)))</f>
        <v>0</v>
      </c>
      <c r="N34" s="42">
        <f>IF($B34="","",IF($B$2="Todos",SUMIFS(BD!$N$3:$N$5001,BD!$A$3:$A$5001,$B34),SUMIFS(BD!$N$3:$N$5001,BD!$A$3:$A$5001,$B34,BD!$B$3:$B$5001,$D$2)))</f>
        <v>0</v>
      </c>
      <c r="O34" s="42">
        <f>IF($B34="","",IF($B$2="Todos",SUMIFS(BD!$O$3:$O$5001,BD!$A$3:$A$5001,$B34),SUMIFS(BD!$O$3:$O$5001,BD!$A$3:$A$5001,$B34,BD!$B$3:$B$5001,$D$2)))</f>
        <v>0</v>
      </c>
      <c r="P34" s="42">
        <f>IF($B34="","",IF($B$2="Todos",SUMIFS(BD!$P$3:$P$5001,BD!$A$3:$A$5001,$B34),SUMIFS(BD!$P$3:$P$5001,BD!$A$3:$A$5001,$B34,BD!$B$3:$B$5001,$D$2)))</f>
        <v>0</v>
      </c>
      <c r="Q34" s="42">
        <f>IF($B34="","",IF($B$2="Todos",SUMIFS(BD!$Q$3:$Q$5001,BD!$A$3:$A$5001,$B34),SUMIFS(BD!$Q$3:$Q$5001,BD!$A$3:$A$5001,$B34,BD!$B$3:$B$5001,$D$2)))</f>
        <v>0</v>
      </c>
      <c r="R34" s="42">
        <f>IF($B34="","",IF($B$2="Todos",SUMIFS(BD!$R$3:$R$5001,BD!$A$3:$A$5001,$B34),SUMIFS(BD!$R$3:$R$5001,BD!$A$3:$A$5001,$B34,BD!$B$3:$B$5001,$D$2)))</f>
        <v>0</v>
      </c>
      <c r="S34" s="58">
        <f>IF($B34="","",IF($B$2="Todos",SUMIFS(BD!$S$3:$S$5001,BD!$A$3:$A$5001,$B34),SUMIFS(BD!$S$3:$S$5001,BD!$A$3:$A$5001,$B34,BD!$B$3:$B$5001,$D$2)))</f>
        <v>0</v>
      </c>
      <c r="T34" s="42">
        <f>IF($B34="","",IF($B$2="Todos",SUMIFS(BD!$T$3:$T$5001,BD!$A$3:$A$5001,$B34),SUMIFS(BD!$T$3:$T$5001,BD!$A$3:$A$5001,$B34,BD!$B$3:$B$5001,$D$2)))</f>
        <v>0</v>
      </c>
      <c r="U34" s="42">
        <f>IF($B34="","",IF($B$2="Todos",SUMIFS(BD!$U$3:$U$5001,BD!$A$3:$A$5001,$B34),SUMIFS(BD!$U$3:$U$5001,BD!$A$3:$A$5001,$B34,BD!$B$3:$B$5001,$D$2)))</f>
        <v>0</v>
      </c>
      <c r="V34" s="42" t="str">
        <f>IF($B$2="Todos",IF(COUNT($C$163:$V$163)=0,"",SUM($C$163:$V$163)),IFERROR(INDEX($C$163:$V$163,MATCH($D$2,$C$140:$V$140,0)),""))</f>
        <v/>
      </c>
      <c r="W34" s="42" t="str">
        <f>IF($B$2="Todos",IF(COUNT($C$198:$V$198)=0,"",SUM($C$198:$V$198)),IFERROR(INDEX($C$198:$V$198,MATCH($D$2,$C$175:$V$175,0)),""))</f>
        <v/>
      </c>
      <c r="X34" s="59" t="str">
        <f>IF(Y34="","",IF($B$2="Todos",IF($B$4&gt;0,$B$4,IF($B$2="Todos",IF(COUNT($C$268:$V$268)=0,"",SUM($C$268:$V$268)),IFERROR(INDEX($C$268:$V$268,MATCH($D$2,$C$245:$V$245,0)),""))),IFERROR(INDEX($C$268:$V$268,MATCH($D$2,$C$245:$V$245,0)),"")))</f>
        <v/>
      </c>
      <c r="Y34" s="42" t="str">
        <f>IF($B$2="Todos",IF(COUNT($C$233:$V$233)=0,"",SUM($C$233:$V$233)),IFERROR(INDEX($C$233:$V$233,MATCH($D$2,$C$210:$V$210,0)),""))</f>
        <v/>
      </c>
      <c r="Z34" s="60" t="str">
        <f>IF(AND(ISNUMBER(Y34),ISNUMBER(X34)),IF(X34&gt;0,Y34/X34,""),"")</f>
        <v/>
      </c>
      <c r="AA34" s="42" t="str">
        <f>IF($B$2="Todos",IF(COUNT($C$303:$V$303)=0,"",SUM($C$303:$V$303)),IFERROR(INDEX($C$303:$V$303,MATCH($D$2,$C$280:$V$280,0)),""))</f>
        <v/>
      </c>
      <c r="AB34" s="42">
        <f>IF($B34="","",IF($B$2="Todos",SUMIFS(BD!$AA$3:$AA$5001,BD!$A$3:$A$5001,$B34),SUMIFS(BD!$AA$3:$AA$5001,BD!$A$3:$A$5001,$B34,BD!$B$3:$B$5001,$D$2)))</f>
        <v>0</v>
      </c>
      <c r="AC34" s="58">
        <f>IF($B34="","",IF($B$2="Todos",SUMIFS(BD!$AB$3:$AB$5001,BD!$A$3:$A$5001,$B34),SUMIFS(BD!$AB$3:$AB$5001,BD!$A$3:$A$5001,$B34,BD!$B$3:$B$5001,$D$2)))</f>
        <v>0</v>
      </c>
      <c r="AD34" s="42">
        <f>IF($B34="","",IF($B$2="Todos",SUMIFS(BD!$AC$3:$AC$5001,BD!$A$3:$A$5001,$B34),SUMIFS(BD!$AC$3:$AC$5001,BD!$A$3:$A$5001,$B34,BD!$B$3:$B$5001,$D$2)))</f>
        <v>0</v>
      </c>
      <c r="AE34" s="42">
        <f>IF($B34="","",IF($B$2="Todos",SUMIFS(BD!$AD$3:$AD$5001,BD!$A$3:$A$5001,$B34),SUMIFS(BD!$AD$3:$AD$5001,BD!$A$3:$A$5001,$B34,BD!$B$3:$B$5001,$D$2)))</f>
        <v>0</v>
      </c>
      <c r="AF34" s="42">
        <f>IF($B34="","",IF($B$2="Todos",SUMIFS(BD!$AE$3:$AE$5001,BD!$A$3:$A$5001,$B34),SUMIFS(BD!$AE$3:$AE$5001,BD!$A$3:$A$5001,$B34,BD!$B$3:$B$5001,$D$2)))</f>
        <v>0</v>
      </c>
      <c r="AG34" s="42">
        <f>IF($B34="","",IF($B$2="Todos",SUMIFS(BD!$AF$3:$AF$5001,BD!$A$3:$A$5001,$B34),SUMIFS(BD!$AF$3:$AF$5001,BD!$A$3:$A$5001,$B34,BD!$B$3:$B$5001,$D$2)))</f>
        <v>0</v>
      </c>
      <c r="AH34" s="42">
        <f>IF($B34="","",IF($B$2="Todos",SUMIFS(BD!$AG$3:$AG$5001,BD!$A$3:$A$5001,$B34),SUMIFS(BD!$AG$3:$AG$5001,BD!$A$3:$A$5001,$B34,BD!$B$3:$B$5001,$D$2)))</f>
        <v>0</v>
      </c>
      <c r="AI34" s="42">
        <f>IF($B34="","",IF($B$2="Todos",SUMIFS(BD!$AH$3:$AH$5001,BD!$A$3:$A$5001,$B34),SUMIFS(BD!$AH$3:$AH$5001,BD!$A$3:$A$5001,$B34,BD!$B$3:$B$5001,$D$2)))</f>
        <v>0</v>
      </c>
      <c r="AJ34" s="61">
        <f>$B$5</f>
        <v>0.7</v>
      </c>
      <c r="AK34" s="61">
        <f>$B$6</f>
        <v>0.9</v>
      </c>
      <c r="AZ34" s="72">
        <f>IF(OR($B34="",N(VALUE($AH$384))=0),"",IF(INDEX($C34:$AI34,VALUE($AH$384))="","",IF(N(VALUE($AJ$384))=0,INDEX($C34:$AI34,VALUE($AH$384)),IF(N(INDEX($C34:$AI34,N(VALUE($AJ$384))))&gt;0,INDEX($C34:$AI34,VALUE($AH$384))/INDEX($C34:$AI34,N(VALUE($AJ$384))),""))))</f>
        <v>0</v>
      </c>
      <c r="BA34" s="72">
        <f>IF(OR($B34="",N(VALUE($AI$384))=0),"",IF(INDEX($C34:$AI34,VALUE($AI$384))="","",IF(N(VALUE($AK$384))=0,INDEX($C34:$AI34,VALUE($AI$384)),IF(N(INDEX($C34:$AI34,N(VALUE($AK$384))))&gt;0,INDEX($C34:$AI34,VALUE($AI$384))/INDEX($C34:$AI34,N(VALUE($AK$384))),""))))</f>
        <v>0</v>
      </c>
      <c r="BB34" s="72">
        <f>IF(OR($B34="",N(VALUE($AP$384))=0),"",IF(INDEX($C34:$AI34,VALUE($AP$384))="","",IF(N(VALUE($AR$384))=0,INDEX($C34:$AI34,VALUE($AP$384)),IF(N(INDEX($C34:$AI34,N(VALUE($AR$384))))&gt;0,INDEX($C34:$AI34,VALUE($AP$384))/INDEX($C34:$AI34,N(VALUE($AR$384))),""))))</f>
        <v>0</v>
      </c>
      <c r="BC34" s="72">
        <f>IF(OR($B34="",N(VALUE($AQ$384))=0),"",IF(INDEX($C34:$AI34,VALUE($AQ$384))="","",IF(N(VALUE($AS$384))=0,INDEX($C34:$AI34,VALUE($AQ$384)),IF(N(INDEX($C34:$AI34,N(VALUE($AS$384))))&gt;0,INDEX($C34:$AI34,VALUE($AQ$384))/INDEX($C34:$AI34,N(VALUE($AS$384))),""))))</f>
        <v>0</v>
      </c>
      <c r="BE34" s="42" t="str">
        <f>IF(AND($A34=$B$9,ISNUMBER(X34)),X34,NA())</f>
        <v/>
      </c>
    </row>
    <row r="35">
      <c r="A35" s="39">
        <v>24</v>
      </c>
      <c r="B35" s="57">
        <f>IF($A35&lt;=DAY($D$7),$C$7+$A35-1,"")</f>
        <v>46319</v>
      </c>
      <c r="C35" s="42">
        <f>IF($B35="","",IF($B$2="Todos",SUMIFS(BD!$C$3:$C$5001,BD!$A$3:$A$5001,$B35),SUMIFS(BD!$C$3:$C$5001,BD!$A$3:$A$5001,$B35,BD!$B$3:$B$5001,$D$2)))</f>
        <v>0</v>
      </c>
      <c r="D35" s="42">
        <f>IF($B35="","",IF($B$2="Todos",SUMIFS(BD!$D$3:$D$5001,BD!$A$3:$A$5001,$B35),SUMIFS(BD!$D$3:$D$5001,BD!$A$3:$A$5001,$B35,BD!$B$3:$B$5001,$D$2)))</f>
        <v>0</v>
      </c>
      <c r="E35" s="58">
        <f>IF($B35="","",IF($B$2="Todos",SUMIFS(BD!$E$3:$E$5001,BD!$A$3:$A$5001,$B35),SUMIFS(BD!$E$3:$E$5001,BD!$A$3:$A$5001,$B35,BD!$B$3:$B$5001,$D$2)))</f>
        <v>0</v>
      </c>
      <c r="F35" s="42">
        <f>IF($B35="","",IF($B$2="Todos",SUMIFS(BD!$F$3:$F$5001,BD!$A$3:$A$5001,$B35),SUMIFS(BD!$F$3:$F$5001,BD!$A$3:$A$5001,$B35,BD!$B$3:$B$5001,$D$2)))</f>
        <v>0</v>
      </c>
      <c r="G35" s="42">
        <f>IF($B35="","",IF($B$2="Todos",SUMIFS(BD!$G$3:$G$5001,BD!$A$3:$A$5001,$B35),SUMIFS(BD!$G$3:$G$5001,BD!$A$3:$A$5001,$B35,BD!$B$3:$B$5001,$D$2)))</f>
        <v>0</v>
      </c>
      <c r="H35" s="42">
        <f>IF($B35="","",IF($B$2="Todos",SUMIFS(BD!$H$3:$H$5001,BD!$A$3:$A$5001,$B35),SUMIFS(BD!$H$3:$H$5001,BD!$A$3:$A$5001,$B35,BD!$B$3:$B$5001,$D$2)))</f>
        <v>0</v>
      </c>
      <c r="I35" s="42">
        <f>IF($B35="","",IF($B$2="Todos",SUMIFS(BD!$I$3:$I$5001,BD!$A$3:$A$5001,$B35),SUMIFS(BD!$I$3:$I$5001,BD!$A$3:$A$5001,$B35,BD!$B$3:$B$5001,$D$2)))</f>
        <v>0</v>
      </c>
      <c r="J35" s="42">
        <f>IF($B35="","",IF($B$2="Todos",SUMIFS(BD!$J$3:$J$5001,BD!$A$3:$A$5001,$B35),SUMIFS(BD!$J$3:$J$5001,BD!$A$3:$A$5001,$B35,BD!$B$3:$B$5001,$D$2)))</f>
        <v>0</v>
      </c>
      <c r="K35" s="42">
        <f>IF($B35="","",IF($B$2="Todos",SUMIFS(BD!$K$3:$K$5001,BD!$A$3:$A$5001,$B35),SUMIFS(BD!$K$3:$K$5001,BD!$A$3:$A$5001,$B35,BD!$B$3:$B$5001,$D$2)))</f>
        <v>0</v>
      </c>
      <c r="L35" s="42">
        <f>IF($B35="","",IF($B$2="Todos",SUMIFS(BD!$L$3:$L$5001,BD!$A$3:$A$5001,$B35),SUMIFS(BD!$L$3:$L$5001,BD!$A$3:$A$5001,$B35,BD!$B$3:$B$5001,$D$2)))</f>
        <v>0</v>
      </c>
      <c r="M35" s="42">
        <f>IF($B35="","",IF($B$2="Todos",SUMIFS(BD!$M$3:$M$5001,BD!$A$3:$A$5001,$B35),SUMIFS(BD!$M$3:$M$5001,BD!$A$3:$A$5001,$B35,BD!$B$3:$B$5001,$D$2)))</f>
        <v>0</v>
      </c>
      <c r="N35" s="42">
        <f>IF($B35="","",IF($B$2="Todos",SUMIFS(BD!$N$3:$N$5001,BD!$A$3:$A$5001,$B35),SUMIFS(BD!$N$3:$N$5001,BD!$A$3:$A$5001,$B35,BD!$B$3:$B$5001,$D$2)))</f>
        <v>0</v>
      </c>
      <c r="O35" s="42">
        <f>IF($B35="","",IF($B$2="Todos",SUMIFS(BD!$O$3:$O$5001,BD!$A$3:$A$5001,$B35),SUMIFS(BD!$O$3:$O$5001,BD!$A$3:$A$5001,$B35,BD!$B$3:$B$5001,$D$2)))</f>
        <v>0</v>
      </c>
      <c r="P35" s="42">
        <f>IF($B35="","",IF($B$2="Todos",SUMIFS(BD!$P$3:$P$5001,BD!$A$3:$A$5001,$B35),SUMIFS(BD!$P$3:$P$5001,BD!$A$3:$A$5001,$B35,BD!$B$3:$B$5001,$D$2)))</f>
        <v>0</v>
      </c>
      <c r="Q35" s="42">
        <f>IF($B35="","",IF($B$2="Todos",SUMIFS(BD!$Q$3:$Q$5001,BD!$A$3:$A$5001,$B35),SUMIFS(BD!$Q$3:$Q$5001,BD!$A$3:$A$5001,$B35,BD!$B$3:$B$5001,$D$2)))</f>
        <v>0</v>
      </c>
      <c r="R35" s="42">
        <f>IF($B35="","",IF($B$2="Todos",SUMIFS(BD!$R$3:$R$5001,BD!$A$3:$A$5001,$B35),SUMIFS(BD!$R$3:$R$5001,BD!$A$3:$A$5001,$B35,BD!$B$3:$B$5001,$D$2)))</f>
        <v>0</v>
      </c>
      <c r="S35" s="58">
        <f>IF($B35="","",IF($B$2="Todos",SUMIFS(BD!$S$3:$S$5001,BD!$A$3:$A$5001,$B35),SUMIFS(BD!$S$3:$S$5001,BD!$A$3:$A$5001,$B35,BD!$B$3:$B$5001,$D$2)))</f>
        <v>0</v>
      </c>
      <c r="T35" s="42">
        <f>IF($B35="","",IF($B$2="Todos",SUMIFS(BD!$T$3:$T$5001,BD!$A$3:$A$5001,$B35),SUMIFS(BD!$T$3:$T$5001,BD!$A$3:$A$5001,$B35,BD!$B$3:$B$5001,$D$2)))</f>
        <v>0</v>
      </c>
      <c r="U35" s="42">
        <f>IF($B35="","",IF($B$2="Todos",SUMIFS(BD!$U$3:$U$5001,BD!$A$3:$A$5001,$B35),SUMIFS(BD!$U$3:$U$5001,BD!$A$3:$A$5001,$B35,BD!$B$3:$B$5001,$D$2)))</f>
        <v>0</v>
      </c>
      <c r="V35" s="42" t="str">
        <f>IF($B$2="Todos",IF(COUNT($C$164:$V$164)=0,"",SUM($C$164:$V$164)),IFERROR(INDEX($C$164:$V$164,MATCH($D$2,$C$140:$V$140,0)),""))</f>
        <v/>
      </c>
      <c r="W35" s="42" t="str">
        <f>IF($B$2="Todos",IF(COUNT($C$199:$V$199)=0,"",SUM($C$199:$V$199)),IFERROR(INDEX($C$199:$V$199,MATCH($D$2,$C$175:$V$175,0)),""))</f>
        <v/>
      </c>
      <c r="X35" s="59" t="str">
        <f>IF(Y35="","",IF($B$2="Todos",IF($B$4&gt;0,$B$4,IF($B$2="Todos",IF(COUNT($C$269:$V$269)=0,"",SUM($C$269:$V$269)),IFERROR(INDEX($C$269:$V$269,MATCH($D$2,$C$245:$V$245,0)),""))),IFERROR(INDEX($C$269:$V$269,MATCH($D$2,$C$245:$V$245,0)),"")))</f>
        <v/>
      </c>
      <c r="Y35" s="42" t="str">
        <f>IF($B$2="Todos",IF(COUNT($C$234:$V$234)=0,"",SUM($C$234:$V$234)),IFERROR(INDEX($C$234:$V$234,MATCH($D$2,$C$210:$V$210,0)),""))</f>
        <v/>
      </c>
      <c r="Z35" s="60" t="str">
        <f>IF(AND(ISNUMBER(Y35),ISNUMBER(X35)),IF(X35&gt;0,Y35/X35,""),"")</f>
        <v/>
      </c>
      <c r="AA35" s="42" t="str">
        <f>IF($B$2="Todos",IF(COUNT($C$304:$V$304)=0,"",SUM($C$304:$V$304)),IFERROR(INDEX($C$304:$V$304,MATCH($D$2,$C$280:$V$280,0)),""))</f>
        <v/>
      </c>
      <c r="AB35" s="42">
        <f>IF($B35="","",IF($B$2="Todos",SUMIFS(BD!$AA$3:$AA$5001,BD!$A$3:$A$5001,$B35),SUMIFS(BD!$AA$3:$AA$5001,BD!$A$3:$A$5001,$B35,BD!$B$3:$B$5001,$D$2)))</f>
        <v>0</v>
      </c>
      <c r="AC35" s="58">
        <f>IF($B35="","",IF($B$2="Todos",SUMIFS(BD!$AB$3:$AB$5001,BD!$A$3:$A$5001,$B35),SUMIFS(BD!$AB$3:$AB$5001,BD!$A$3:$A$5001,$B35,BD!$B$3:$B$5001,$D$2)))</f>
        <v>0</v>
      </c>
      <c r="AD35" s="42">
        <f>IF($B35="","",IF($B$2="Todos",SUMIFS(BD!$AC$3:$AC$5001,BD!$A$3:$A$5001,$B35),SUMIFS(BD!$AC$3:$AC$5001,BD!$A$3:$A$5001,$B35,BD!$B$3:$B$5001,$D$2)))</f>
        <v>0</v>
      </c>
      <c r="AE35" s="42">
        <f>IF($B35="","",IF($B$2="Todos",SUMIFS(BD!$AD$3:$AD$5001,BD!$A$3:$A$5001,$B35),SUMIFS(BD!$AD$3:$AD$5001,BD!$A$3:$A$5001,$B35,BD!$B$3:$B$5001,$D$2)))</f>
        <v>0</v>
      </c>
      <c r="AF35" s="42">
        <f>IF($B35="","",IF($B$2="Todos",SUMIFS(BD!$AE$3:$AE$5001,BD!$A$3:$A$5001,$B35),SUMIFS(BD!$AE$3:$AE$5001,BD!$A$3:$A$5001,$B35,BD!$B$3:$B$5001,$D$2)))</f>
        <v>0</v>
      </c>
      <c r="AG35" s="42">
        <f>IF($B35="","",IF($B$2="Todos",SUMIFS(BD!$AF$3:$AF$5001,BD!$A$3:$A$5001,$B35),SUMIFS(BD!$AF$3:$AF$5001,BD!$A$3:$A$5001,$B35,BD!$B$3:$B$5001,$D$2)))</f>
        <v>0</v>
      </c>
      <c r="AH35" s="42">
        <f>IF($B35="","",IF($B$2="Todos",SUMIFS(BD!$AG$3:$AG$5001,BD!$A$3:$A$5001,$B35),SUMIFS(BD!$AG$3:$AG$5001,BD!$A$3:$A$5001,$B35,BD!$B$3:$B$5001,$D$2)))</f>
        <v>0</v>
      </c>
      <c r="AI35" s="42">
        <f>IF($B35="","",IF($B$2="Todos",SUMIFS(BD!$AH$3:$AH$5001,BD!$A$3:$A$5001,$B35),SUMIFS(BD!$AH$3:$AH$5001,BD!$A$3:$A$5001,$B35,BD!$B$3:$B$5001,$D$2)))</f>
        <v>0</v>
      </c>
      <c r="AJ35" s="61">
        <f>$B$5</f>
        <v>0.7</v>
      </c>
      <c r="AK35" s="61">
        <f>$B$6</f>
        <v>0.9</v>
      </c>
      <c r="AZ35" s="72">
        <f>IF(OR($B35="",N(VALUE($AH$384))=0),"",IF(INDEX($C35:$AI35,VALUE($AH$384))="","",IF(N(VALUE($AJ$384))=0,INDEX($C35:$AI35,VALUE($AH$384)),IF(N(INDEX($C35:$AI35,N(VALUE($AJ$384))))&gt;0,INDEX($C35:$AI35,VALUE($AH$384))/INDEX($C35:$AI35,N(VALUE($AJ$384))),""))))</f>
        <v>0</v>
      </c>
      <c r="BA35" s="72">
        <f>IF(OR($B35="",N(VALUE($AI$384))=0),"",IF(INDEX($C35:$AI35,VALUE($AI$384))="","",IF(N(VALUE($AK$384))=0,INDEX($C35:$AI35,VALUE($AI$384)),IF(N(INDEX($C35:$AI35,N(VALUE($AK$384))))&gt;0,INDEX($C35:$AI35,VALUE($AI$384))/INDEX($C35:$AI35,N(VALUE($AK$384))),""))))</f>
        <v>0</v>
      </c>
      <c r="BB35" s="72">
        <f>IF(OR($B35="",N(VALUE($AP$384))=0),"",IF(INDEX($C35:$AI35,VALUE($AP$384))="","",IF(N(VALUE($AR$384))=0,INDEX($C35:$AI35,VALUE($AP$384)),IF(N(INDEX($C35:$AI35,N(VALUE($AR$384))))&gt;0,INDEX($C35:$AI35,VALUE($AP$384))/INDEX($C35:$AI35,N(VALUE($AR$384))),""))))</f>
        <v>0</v>
      </c>
      <c r="BC35" s="72">
        <f>IF(OR($B35="",N(VALUE($AQ$384))=0),"",IF(INDEX($C35:$AI35,VALUE($AQ$384))="","",IF(N(VALUE($AS$384))=0,INDEX($C35:$AI35,VALUE($AQ$384)),IF(N(INDEX($C35:$AI35,N(VALUE($AS$384))))&gt;0,INDEX($C35:$AI35,VALUE($AQ$384))/INDEX($C35:$AI35,N(VALUE($AS$384))),""))))</f>
        <v>0</v>
      </c>
      <c r="BE35" s="42" t="str">
        <f>IF(AND($A35=$B$9,ISNUMBER(X35)),X35,NA())</f>
        <v/>
      </c>
    </row>
    <row r="36">
      <c r="A36" s="39">
        <v>25</v>
      </c>
      <c r="B36" s="57">
        <f>IF($A36&lt;=DAY($D$7),$C$7+$A36-1,"")</f>
        <v>46320</v>
      </c>
      <c r="C36" s="42">
        <f>IF($B36="","",IF($B$2="Todos",SUMIFS(BD!$C$3:$C$5001,BD!$A$3:$A$5001,$B36),SUMIFS(BD!$C$3:$C$5001,BD!$A$3:$A$5001,$B36,BD!$B$3:$B$5001,$D$2)))</f>
        <v>0</v>
      </c>
      <c r="D36" s="42">
        <f>IF($B36="","",IF($B$2="Todos",SUMIFS(BD!$D$3:$D$5001,BD!$A$3:$A$5001,$B36),SUMIFS(BD!$D$3:$D$5001,BD!$A$3:$A$5001,$B36,BD!$B$3:$B$5001,$D$2)))</f>
        <v>0</v>
      </c>
      <c r="E36" s="58">
        <f>IF($B36="","",IF($B$2="Todos",SUMIFS(BD!$E$3:$E$5001,BD!$A$3:$A$5001,$B36),SUMIFS(BD!$E$3:$E$5001,BD!$A$3:$A$5001,$B36,BD!$B$3:$B$5001,$D$2)))</f>
        <v>0</v>
      </c>
      <c r="F36" s="42">
        <f>IF($B36="","",IF($B$2="Todos",SUMIFS(BD!$F$3:$F$5001,BD!$A$3:$A$5001,$B36),SUMIFS(BD!$F$3:$F$5001,BD!$A$3:$A$5001,$B36,BD!$B$3:$B$5001,$D$2)))</f>
        <v>0</v>
      </c>
      <c r="G36" s="42">
        <f>IF($B36="","",IF($B$2="Todos",SUMIFS(BD!$G$3:$G$5001,BD!$A$3:$A$5001,$B36),SUMIFS(BD!$G$3:$G$5001,BD!$A$3:$A$5001,$B36,BD!$B$3:$B$5001,$D$2)))</f>
        <v>0</v>
      </c>
      <c r="H36" s="42">
        <f>IF($B36="","",IF($B$2="Todos",SUMIFS(BD!$H$3:$H$5001,BD!$A$3:$A$5001,$B36),SUMIFS(BD!$H$3:$H$5001,BD!$A$3:$A$5001,$B36,BD!$B$3:$B$5001,$D$2)))</f>
        <v>0</v>
      </c>
      <c r="I36" s="42">
        <f>IF($B36="","",IF($B$2="Todos",SUMIFS(BD!$I$3:$I$5001,BD!$A$3:$A$5001,$B36),SUMIFS(BD!$I$3:$I$5001,BD!$A$3:$A$5001,$B36,BD!$B$3:$B$5001,$D$2)))</f>
        <v>0</v>
      </c>
      <c r="J36" s="42">
        <f>IF($B36="","",IF($B$2="Todos",SUMIFS(BD!$J$3:$J$5001,BD!$A$3:$A$5001,$B36),SUMIFS(BD!$J$3:$J$5001,BD!$A$3:$A$5001,$B36,BD!$B$3:$B$5001,$D$2)))</f>
        <v>0</v>
      </c>
      <c r="K36" s="42">
        <f>IF($B36="","",IF($B$2="Todos",SUMIFS(BD!$K$3:$K$5001,BD!$A$3:$A$5001,$B36),SUMIFS(BD!$K$3:$K$5001,BD!$A$3:$A$5001,$B36,BD!$B$3:$B$5001,$D$2)))</f>
        <v>0</v>
      </c>
      <c r="L36" s="42">
        <f>IF($B36="","",IF($B$2="Todos",SUMIFS(BD!$L$3:$L$5001,BD!$A$3:$A$5001,$B36),SUMIFS(BD!$L$3:$L$5001,BD!$A$3:$A$5001,$B36,BD!$B$3:$B$5001,$D$2)))</f>
        <v>0</v>
      </c>
      <c r="M36" s="42">
        <f>IF($B36="","",IF($B$2="Todos",SUMIFS(BD!$M$3:$M$5001,BD!$A$3:$A$5001,$B36),SUMIFS(BD!$M$3:$M$5001,BD!$A$3:$A$5001,$B36,BD!$B$3:$B$5001,$D$2)))</f>
        <v>0</v>
      </c>
      <c r="N36" s="42">
        <f>IF($B36="","",IF($B$2="Todos",SUMIFS(BD!$N$3:$N$5001,BD!$A$3:$A$5001,$B36),SUMIFS(BD!$N$3:$N$5001,BD!$A$3:$A$5001,$B36,BD!$B$3:$B$5001,$D$2)))</f>
        <v>0</v>
      </c>
      <c r="O36" s="42">
        <f>IF($B36="","",IF($B$2="Todos",SUMIFS(BD!$O$3:$O$5001,BD!$A$3:$A$5001,$B36),SUMIFS(BD!$O$3:$O$5001,BD!$A$3:$A$5001,$B36,BD!$B$3:$B$5001,$D$2)))</f>
        <v>0</v>
      </c>
      <c r="P36" s="42">
        <f>IF($B36="","",IF($B$2="Todos",SUMIFS(BD!$P$3:$P$5001,BD!$A$3:$A$5001,$B36),SUMIFS(BD!$P$3:$P$5001,BD!$A$3:$A$5001,$B36,BD!$B$3:$B$5001,$D$2)))</f>
        <v>0</v>
      </c>
      <c r="Q36" s="42">
        <f>IF($B36="","",IF($B$2="Todos",SUMIFS(BD!$Q$3:$Q$5001,BD!$A$3:$A$5001,$B36),SUMIFS(BD!$Q$3:$Q$5001,BD!$A$3:$A$5001,$B36,BD!$B$3:$B$5001,$D$2)))</f>
        <v>0</v>
      </c>
      <c r="R36" s="42">
        <f>IF($B36="","",IF($B$2="Todos",SUMIFS(BD!$R$3:$R$5001,BD!$A$3:$A$5001,$B36),SUMIFS(BD!$R$3:$R$5001,BD!$A$3:$A$5001,$B36,BD!$B$3:$B$5001,$D$2)))</f>
        <v>0</v>
      </c>
      <c r="S36" s="58">
        <f>IF($B36="","",IF($B$2="Todos",SUMIFS(BD!$S$3:$S$5001,BD!$A$3:$A$5001,$B36),SUMIFS(BD!$S$3:$S$5001,BD!$A$3:$A$5001,$B36,BD!$B$3:$B$5001,$D$2)))</f>
        <v>0</v>
      </c>
      <c r="T36" s="42">
        <f>IF($B36="","",IF($B$2="Todos",SUMIFS(BD!$T$3:$T$5001,BD!$A$3:$A$5001,$B36),SUMIFS(BD!$T$3:$T$5001,BD!$A$3:$A$5001,$B36,BD!$B$3:$B$5001,$D$2)))</f>
        <v>0</v>
      </c>
      <c r="U36" s="42">
        <f>IF($B36="","",IF($B$2="Todos",SUMIFS(BD!$U$3:$U$5001,BD!$A$3:$A$5001,$B36),SUMIFS(BD!$U$3:$U$5001,BD!$A$3:$A$5001,$B36,BD!$B$3:$B$5001,$D$2)))</f>
        <v>0</v>
      </c>
      <c r="V36" s="42" t="str">
        <f>IF($B$2="Todos",IF(COUNT($C$165:$V$165)=0,"",SUM($C$165:$V$165)),IFERROR(INDEX($C$165:$V$165,MATCH($D$2,$C$140:$V$140,0)),""))</f>
        <v/>
      </c>
      <c r="W36" s="42" t="str">
        <f>IF($B$2="Todos",IF(COUNT($C$200:$V$200)=0,"",SUM($C$200:$V$200)),IFERROR(INDEX($C$200:$V$200,MATCH($D$2,$C$175:$V$175,0)),""))</f>
        <v/>
      </c>
      <c r="X36" s="59" t="str">
        <f>IF(Y36="","",IF($B$2="Todos",IF($B$4&gt;0,$B$4,IF($B$2="Todos",IF(COUNT($C$270:$V$270)=0,"",SUM($C$270:$V$270)),IFERROR(INDEX($C$270:$V$270,MATCH($D$2,$C$245:$V$245,0)),""))),IFERROR(INDEX($C$270:$V$270,MATCH($D$2,$C$245:$V$245,0)),"")))</f>
        <v/>
      </c>
      <c r="Y36" s="42" t="str">
        <f>IF($B$2="Todos",IF(COUNT($C$235:$V$235)=0,"",SUM($C$235:$V$235)),IFERROR(INDEX($C$235:$V$235,MATCH($D$2,$C$210:$V$210,0)),""))</f>
        <v/>
      </c>
      <c r="Z36" s="60" t="str">
        <f>IF(AND(ISNUMBER(Y36),ISNUMBER(X36)),IF(X36&gt;0,Y36/X36,""),"")</f>
        <v/>
      </c>
      <c r="AA36" s="42" t="str">
        <f>IF($B$2="Todos",IF(COUNT($C$305:$V$305)=0,"",SUM($C$305:$V$305)),IFERROR(INDEX($C$305:$V$305,MATCH($D$2,$C$280:$V$280,0)),""))</f>
        <v/>
      </c>
      <c r="AB36" s="42">
        <f>IF($B36="","",IF($B$2="Todos",SUMIFS(BD!$AA$3:$AA$5001,BD!$A$3:$A$5001,$B36),SUMIFS(BD!$AA$3:$AA$5001,BD!$A$3:$A$5001,$B36,BD!$B$3:$B$5001,$D$2)))</f>
        <v>0</v>
      </c>
      <c r="AC36" s="58">
        <f>IF($B36="","",IF($B$2="Todos",SUMIFS(BD!$AB$3:$AB$5001,BD!$A$3:$A$5001,$B36),SUMIFS(BD!$AB$3:$AB$5001,BD!$A$3:$A$5001,$B36,BD!$B$3:$B$5001,$D$2)))</f>
        <v>0</v>
      </c>
      <c r="AD36" s="42">
        <f>IF($B36="","",IF($B$2="Todos",SUMIFS(BD!$AC$3:$AC$5001,BD!$A$3:$A$5001,$B36),SUMIFS(BD!$AC$3:$AC$5001,BD!$A$3:$A$5001,$B36,BD!$B$3:$B$5001,$D$2)))</f>
        <v>0</v>
      </c>
      <c r="AE36" s="42">
        <f>IF($B36="","",IF($B$2="Todos",SUMIFS(BD!$AD$3:$AD$5001,BD!$A$3:$A$5001,$B36),SUMIFS(BD!$AD$3:$AD$5001,BD!$A$3:$A$5001,$B36,BD!$B$3:$B$5001,$D$2)))</f>
        <v>0</v>
      </c>
      <c r="AF36" s="42">
        <f>IF($B36="","",IF($B$2="Todos",SUMIFS(BD!$AE$3:$AE$5001,BD!$A$3:$A$5001,$B36),SUMIFS(BD!$AE$3:$AE$5001,BD!$A$3:$A$5001,$B36,BD!$B$3:$B$5001,$D$2)))</f>
        <v>0</v>
      </c>
      <c r="AG36" s="42">
        <f>IF($B36="","",IF($B$2="Todos",SUMIFS(BD!$AF$3:$AF$5001,BD!$A$3:$A$5001,$B36),SUMIFS(BD!$AF$3:$AF$5001,BD!$A$3:$A$5001,$B36,BD!$B$3:$B$5001,$D$2)))</f>
        <v>0</v>
      </c>
      <c r="AH36" s="42">
        <f>IF($B36="","",IF($B$2="Todos",SUMIFS(BD!$AG$3:$AG$5001,BD!$A$3:$A$5001,$B36),SUMIFS(BD!$AG$3:$AG$5001,BD!$A$3:$A$5001,$B36,BD!$B$3:$B$5001,$D$2)))</f>
        <v>0</v>
      </c>
      <c r="AI36" s="42">
        <f>IF($B36="","",IF($B$2="Todos",SUMIFS(BD!$AH$3:$AH$5001,BD!$A$3:$A$5001,$B36),SUMIFS(BD!$AH$3:$AH$5001,BD!$A$3:$A$5001,$B36,BD!$B$3:$B$5001,$D$2)))</f>
        <v>0</v>
      </c>
      <c r="AJ36" s="61">
        <f>$B$5</f>
        <v>0.7</v>
      </c>
      <c r="AK36" s="61">
        <f>$B$6</f>
        <v>0.9</v>
      </c>
      <c r="AZ36" s="72">
        <f>IF(OR($B36="",N(VALUE($AH$384))=0),"",IF(INDEX($C36:$AI36,VALUE($AH$384))="","",IF(N(VALUE($AJ$384))=0,INDEX($C36:$AI36,VALUE($AH$384)),IF(N(INDEX($C36:$AI36,N(VALUE($AJ$384))))&gt;0,INDEX($C36:$AI36,VALUE($AH$384))/INDEX($C36:$AI36,N(VALUE($AJ$384))),""))))</f>
        <v>0</v>
      </c>
      <c r="BA36" s="72">
        <f>IF(OR($B36="",N(VALUE($AI$384))=0),"",IF(INDEX($C36:$AI36,VALUE($AI$384))="","",IF(N(VALUE($AK$384))=0,INDEX($C36:$AI36,VALUE($AI$384)),IF(N(INDEX($C36:$AI36,N(VALUE($AK$384))))&gt;0,INDEX($C36:$AI36,VALUE($AI$384))/INDEX($C36:$AI36,N(VALUE($AK$384))),""))))</f>
        <v>0</v>
      </c>
      <c r="BB36" s="72">
        <f>IF(OR($B36="",N(VALUE($AP$384))=0),"",IF(INDEX($C36:$AI36,VALUE($AP$384))="","",IF(N(VALUE($AR$384))=0,INDEX($C36:$AI36,VALUE($AP$384)),IF(N(INDEX($C36:$AI36,N(VALUE($AR$384))))&gt;0,INDEX($C36:$AI36,VALUE($AP$384))/INDEX($C36:$AI36,N(VALUE($AR$384))),""))))</f>
        <v>0</v>
      </c>
      <c r="BC36" s="72">
        <f>IF(OR($B36="",N(VALUE($AQ$384))=0),"",IF(INDEX($C36:$AI36,VALUE($AQ$384))="","",IF(N(VALUE($AS$384))=0,INDEX($C36:$AI36,VALUE($AQ$384)),IF(N(INDEX($C36:$AI36,N(VALUE($AS$384))))&gt;0,INDEX($C36:$AI36,VALUE($AQ$384))/INDEX($C36:$AI36,N(VALUE($AS$384))),""))))</f>
        <v>0</v>
      </c>
      <c r="BE36" s="42" t="str">
        <f>IF(AND($A36=$B$9,ISNUMBER(X36)),X36,NA())</f>
        <v/>
      </c>
    </row>
    <row r="37">
      <c r="A37" s="39">
        <v>26</v>
      </c>
      <c r="B37" s="57">
        <f>IF($A37&lt;=DAY($D$7),$C$7+$A37-1,"")</f>
        <v>46321</v>
      </c>
      <c r="C37" s="42">
        <f>IF($B37="","",IF($B$2="Todos",SUMIFS(BD!$C$3:$C$5001,BD!$A$3:$A$5001,$B37),SUMIFS(BD!$C$3:$C$5001,BD!$A$3:$A$5001,$B37,BD!$B$3:$B$5001,$D$2)))</f>
        <v>0</v>
      </c>
      <c r="D37" s="42">
        <f>IF($B37="","",IF($B$2="Todos",SUMIFS(BD!$D$3:$D$5001,BD!$A$3:$A$5001,$B37),SUMIFS(BD!$D$3:$D$5001,BD!$A$3:$A$5001,$B37,BD!$B$3:$B$5001,$D$2)))</f>
        <v>0</v>
      </c>
      <c r="E37" s="58">
        <f>IF($B37="","",IF($B$2="Todos",SUMIFS(BD!$E$3:$E$5001,BD!$A$3:$A$5001,$B37),SUMIFS(BD!$E$3:$E$5001,BD!$A$3:$A$5001,$B37,BD!$B$3:$B$5001,$D$2)))</f>
        <v>0</v>
      </c>
      <c r="F37" s="42">
        <f>IF($B37="","",IF($B$2="Todos",SUMIFS(BD!$F$3:$F$5001,BD!$A$3:$A$5001,$B37),SUMIFS(BD!$F$3:$F$5001,BD!$A$3:$A$5001,$B37,BD!$B$3:$B$5001,$D$2)))</f>
        <v>0</v>
      </c>
      <c r="G37" s="42">
        <f>IF($B37="","",IF($B$2="Todos",SUMIFS(BD!$G$3:$G$5001,BD!$A$3:$A$5001,$B37),SUMIFS(BD!$G$3:$G$5001,BD!$A$3:$A$5001,$B37,BD!$B$3:$B$5001,$D$2)))</f>
        <v>0</v>
      </c>
      <c r="H37" s="42">
        <f>IF($B37="","",IF($B$2="Todos",SUMIFS(BD!$H$3:$H$5001,BD!$A$3:$A$5001,$B37),SUMIFS(BD!$H$3:$H$5001,BD!$A$3:$A$5001,$B37,BD!$B$3:$B$5001,$D$2)))</f>
        <v>0</v>
      </c>
      <c r="I37" s="42">
        <f>IF($B37="","",IF($B$2="Todos",SUMIFS(BD!$I$3:$I$5001,BD!$A$3:$A$5001,$B37),SUMIFS(BD!$I$3:$I$5001,BD!$A$3:$A$5001,$B37,BD!$B$3:$B$5001,$D$2)))</f>
        <v>0</v>
      </c>
      <c r="J37" s="42">
        <f>IF($B37="","",IF($B$2="Todos",SUMIFS(BD!$J$3:$J$5001,BD!$A$3:$A$5001,$B37),SUMIFS(BD!$J$3:$J$5001,BD!$A$3:$A$5001,$B37,BD!$B$3:$B$5001,$D$2)))</f>
        <v>0</v>
      </c>
      <c r="K37" s="42">
        <f>IF($B37="","",IF($B$2="Todos",SUMIFS(BD!$K$3:$K$5001,BD!$A$3:$A$5001,$B37),SUMIFS(BD!$K$3:$K$5001,BD!$A$3:$A$5001,$B37,BD!$B$3:$B$5001,$D$2)))</f>
        <v>0</v>
      </c>
      <c r="L37" s="42">
        <f>IF($B37="","",IF($B$2="Todos",SUMIFS(BD!$L$3:$L$5001,BD!$A$3:$A$5001,$B37),SUMIFS(BD!$L$3:$L$5001,BD!$A$3:$A$5001,$B37,BD!$B$3:$B$5001,$D$2)))</f>
        <v>0</v>
      </c>
      <c r="M37" s="42">
        <f>IF($B37="","",IF($B$2="Todos",SUMIFS(BD!$M$3:$M$5001,BD!$A$3:$A$5001,$B37),SUMIFS(BD!$M$3:$M$5001,BD!$A$3:$A$5001,$B37,BD!$B$3:$B$5001,$D$2)))</f>
        <v>0</v>
      </c>
      <c r="N37" s="42">
        <f>IF($B37="","",IF($B$2="Todos",SUMIFS(BD!$N$3:$N$5001,BD!$A$3:$A$5001,$B37),SUMIFS(BD!$N$3:$N$5001,BD!$A$3:$A$5001,$B37,BD!$B$3:$B$5001,$D$2)))</f>
        <v>0</v>
      </c>
      <c r="O37" s="42">
        <f>IF($B37="","",IF($B$2="Todos",SUMIFS(BD!$O$3:$O$5001,BD!$A$3:$A$5001,$B37),SUMIFS(BD!$O$3:$O$5001,BD!$A$3:$A$5001,$B37,BD!$B$3:$B$5001,$D$2)))</f>
        <v>0</v>
      </c>
      <c r="P37" s="42">
        <f>IF($B37="","",IF($B$2="Todos",SUMIFS(BD!$P$3:$P$5001,BD!$A$3:$A$5001,$B37),SUMIFS(BD!$P$3:$P$5001,BD!$A$3:$A$5001,$B37,BD!$B$3:$B$5001,$D$2)))</f>
        <v>0</v>
      </c>
      <c r="Q37" s="42">
        <f>IF($B37="","",IF($B$2="Todos",SUMIFS(BD!$Q$3:$Q$5001,BD!$A$3:$A$5001,$B37),SUMIFS(BD!$Q$3:$Q$5001,BD!$A$3:$A$5001,$B37,BD!$B$3:$B$5001,$D$2)))</f>
        <v>0</v>
      </c>
      <c r="R37" s="42">
        <f>IF($B37="","",IF($B$2="Todos",SUMIFS(BD!$R$3:$R$5001,BD!$A$3:$A$5001,$B37),SUMIFS(BD!$R$3:$R$5001,BD!$A$3:$A$5001,$B37,BD!$B$3:$B$5001,$D$2)))</f>
        <v>0</v>
      </c>
      <c r="S37" s="58">
        <f>IF($B37="","",IF($B$2="Todos",SUMIFS(BD!$S$3:$S$5001,BD!$A$3:$A$5001,$B37),SUMIFS(BD!$S$3:$S$5001,BD!$A$3:$A$5001,$B37,BD!$B$3:$B$5001,$D$2)))</f>
        <v>0</v>
      </c>
      <c r="T37" s="42">
        <f>IF($B37="","",IF($B$2="Todos",SUMIFS(BD!$T$3:$T$5001,BD!$A$3:$A$5001,$B37),SUMIFS(BD!$T$3:$T$5001,BD!$A$3:$A$5001,$B37,BD!$B$3:$B$5001,$D$2)))</f>
        <v>0</v>
      </c>
      <c r="U37" s="42">
        <f>IF($B37="","",IF($B$2="Todos",SUMIFS(BD!$U$3:$U$5001,BD!$A$3:$A$5001,$B37),SUMIFS(BD!$U$3:$U$5001,BD!$A$3:$A$5001,$B37,BD!$B$3:$B$5001,$D$2)))</f>
        <v>0</v>
      </c>
      <c r="V37" s="42" t="str">
        <f>IF($B$2="Todos",IF(COUNT($C$166:$V$166)=0,"",SUM($C$166:$V$166)),IFERROR(INDEX($C$166:$V$166,MATCH($D$2,$C$140:$V$140,0)),""))</f>
        <v/>
      </c>
      <c r="W37" s="42" t="str">
        <f>IF($B$2="Todos",IF(COUNT($C$201:$V$201)=0,"",SUM($C$201:$V$201)),IFERROR(INDEX($C$201:$V$201,MATCH($D$2,$C$175:$V$175,0)),""))</f>
        <v/>
      </c>
      <c r="X37" s="59" t="str">
        <f>IF(Y37="","",IF($B$2="Todos",IF($B$4&gt;0,$B$4,IF($B$2="Todos",IF(COUNT($C$271:$V$271)=0,"",SUM($C$271:$V$271)),IFERROR(INDEX($C$271:$V$271,MATCH($D$2,$C$245:$V$245,0)),""))),IFERROR(INDEX($C$271:$V$271,MATCH($D$2,$C$245:$V$245,0)),"")))</f>
        <v/>
      </c>
      <c r="Y37" s="42" t="str">
        <f>IF($B$2="Todos",IF(COUNT($C$236:$V$236)=0,"",SUM($C$236:$V$236)),IFERROR(INDEX($C$236:$V$236,MATCH($D$2,$C$210:$V$210,0)),""))</f>
        <v/>
      </c>
      <c r="Z37" s="60" t="str">
        <f>IF(AND(ISNUMBER(Y37),ISNUMBER(X37)),IF(X37&gt;0,Y37/X37,""),"")</f>
        <v/>
      </c>
      <c r="AA37" s="42" t="str">
        <f>IF($B$2="Todos",IF(COUNT($C$306:$V$306)=0,"",SUM($C$306:$V$306)),IFERROR(INDEX($C$306:$V$306,MATCH($D$2,$C$280:$V$280,0)),""))</f>
        <v/>
      </c>
      <c r="AB37" s="42">
        <f>IF($B37="","",IF($B$2="Todos",SUMIFS(BD!$AA$3:$AA$5001,BD!$A$3:$A$5001,$B37),SUMIFS(BD!$AA$3:$AA$5001,BD!$A$3:$A$5001,$B37,BD!$B$3:$B$5001,$D$2)))</f>
        <v>0</v>
      </c>
      <c r="AC37" s="58">
        <f>IF($B37="","",IF($B$2="Todos",SUMIFS(BD!$AB$3:$AB$5001,BD!$A$3:$A$5001,$B37),SUMIFS(BD!$AB$3:$AB$5001,BD!$A$3:$A$5001,$B37,BD!$B$3:$B$5001,$D$2)))</f>
        <v>0</v>
      </c>
      <c r="AD37" s="42">
        <f>IF($B37="","",IF($B$2="Todos",SUMIFS(BD!$AC$3:$AC$5001,BD!$A$3:$A$5001,$B37),SUMIFS(BD!$AC$3:$AC$5001,BD!$A$3:$A$5001,$B37,BD!$B$3:$B$5001,$D$2)))</f>
        <v>0</v>
      </c>
      <c r="AE37" s="42">
        <f>IF($B37="","",IF($B$2="Todos",SUMIFS(BD!$AD$3:$AD$5001,BD!$A$3:$A$5001,$B37),SUMIFS(BD!$AD$3:$AD$5001,BD!$A$3:$A$5001,$B37,BD!$B$3:$B$5001,$D$2)))</f>
        <v>0</v>
      </c>
      <c r="AF37" s="42">
        <f>IF($B37="","",IF($B$2="Todos",SUMIFS(BD!$AE$3:$AE$5001,BD!$A$3:$A$5001,$B37),SUMIFS(BD!$AE$3:$AE$5001,BD!$A$3:$A$5001,$B37,BD!$B$3:$B$5001,$D$2)))</f>
        <v>0</v>
      </c>
      <c r="AG37" s="42">
        <f>IF($B37="","",IF($B$2="Todos",SUMIFS(BD!$AF$3:$AF$5001,BD!$A$3:$A$5001,$B37),SUMIFS(BD!$AF$3:$AF$5001,BD!$A$3:$A$5001,$B37,BD!$B$3:$B$5001,$D$2)))</f>
        <v>0</v>
      </c>
      <c r="AH37" s="42">
        <f>IF($B37="","",IF($B$2="Todos",SUMIFS(BD!$AG$3:$AG$5001,BD!$A$3:$A$5001,$B37),SUMIFS(BD!$AG$3:$AG$5001,BD!$A$3:$A$5001,$B37,BD!$B$3:$B$5001,$D$2)))</f>
        <v>0</v>
      </c>
      <c r="AI37" s="42">
        <f>IF($B37="","",IF($B$2="Todos",SUMIFS(BD!$AH$3:$AH$5001,BD!$A$3:$A$5001,$B37),SUMIFS(BD!$AH$3:$AH$5001,BD!$A$3:$A$5001,$B37,BD!$B$3:$B$5001,$D$2)))</f>
        <v>0</v>
      </c>
      <c r="AJ37" s="61">
        <f>$B$5</f>
        <v>0.7</v>
      </c>
      <c r="AK37" s="61">
        <f>$B$6</f>
        <v>0.9</v>
      </c>
      <c r="AZ37" s="72">
        <f>IF(OR($B37="",N(VALUE($AH$384))=0),"",IF(INDEX($C37:$AI37,VALUE($AH$384))="","",IF(N(VALUE($AJ$384))=0,INDEX($C37:$AI37,VALUE($AH$384)),IF(N(INDEX($C37:$AI37,N(VALUE($AJ$384))))&gt;0,INDEX($C37:$AI37,VALUE($AH$384))/INDEX($C37:$AI37,N(VALUE($AJ$384))),""))))</f>
        <v>0</v>
      </c>
      <c r="BA37" s="72">
        <f>IF(OR($B37="",N(VALUE($AI$384))=0),"",IF(INDEX($C37:$AI37,VALUE($AI$384))="","",IF(N(VALUE($AK$384))=0,INDEX($C37:$AI37,VALUE($AI$384)),IF(N(INDEX($C37:$AI37,N(VALUE($AK$384))))&gt;0,INDEX($C37:$AI37,VALUE($AI$384))/INDEX($C37:$AI37,N(VALUE($AK$384))),""))))</f>
        <v>0</v>
      </c>
      <c r="BB37" s="72">
        <f>IF(OR($B37="",N(VALUE($AP$384))=0),"",IF(INDEX($C37:$AI37,VALUE($AP$384))="","",IF(N(VALUE($AR$384))=0,INDEX($C37:$AI37,VALUE($AP$384)),IF(N(INDEX($C37:$AI37,N(VALUE($AR$384))))&gt;0,INDEX($C37:$AI37,VALUE($AP$384))/INDEX($C37:$AI37,N(VALUE($AR$384))),""))))</f>
        <v>0</v>
      </c>
      <c r="BC37" s="72">
        <f>IF(OR($B37="",N(VALUE($AQ$384))=0),"",IF(INDEX($C37:$AI37,VALUE($AQ$384))="","",IF(N(VALUE($AS$384))=0,INDEX($C37:$AI37,VALUE($AQ$384)),IF(N(INDEX($C37:$AI37,N(VALUE($AS$384))))&gt;0,INDEX($C37:$AI37,VALUE($AQ$384))/INDEX($C37:$AI37,N(VALUE($AS$384))),""))))</f>
        <v>0</v>
      </c>
      <c r="BE37" s="42" t="str">
        <f>IF(AND($A37=$B$9,ISNUMBER(X37)),X37,NA())</f>
        <v/>
      </c>
    </row>
    <row r="38">
      <c r="A38" s="39">
        <v>27</v>
      </c>
      <c r="B38" s="57">
        <f>IF($A38&lt;=DAY($D$7),$C$7+$A38-1,"")</f>
        <v>46322</v>
      </c>
      <c r="C38" s="42">
        <f>IF($B38="","",IF($B$2="Todos",SUMIFS(BD!$C$3:$C$5001,BD!$A$3:$A$5001,$B38),SUMIFS(BD!$C$3:$C$5001,BD!$A$3:$A$5001,$B38,BD!$B$3:$B$5001,$D$2)))</f>
        <v>0</v>
      </c>
      <c r="D38" s="42">
        <f>IF($B38="","",IF($B$2="Todos",SUMIFS(BD!$D$3:$D$5001,BD!$A$3:$A$5001,$B38),SUMIFS(BD!$D$3:$D$5001,BD!$A$3:$A$5001,$B38,BD!$B$3:$B$5001,$D$2)))</f>
        <v>0</v>
      </c>
      <c r="E38" s="58">
        <f>IF($B38="","",IF($B$2="Todos",SUMIFS(BD!$E$3:$E$5001,BD!$A$3:$A$5001,$B38),SUMIFS(BD!$E$3:$E$5001,BD!$A$3:$A$5001,$B38,BD!$B$3:$B$5001,$D$2)))</f>
        <v>0</v>
      </c>
      <c r="F38" s="42">
        <f>IF($B38="","",IF($B$2="Todos",SUMIFS(BD!$F$3:$F$5001,BD!$A$3:$A$5001,$B38),SUMIFS(BD!$F$3:$F$5001,BD!$A$3:$A$5001,$B38,BD!$B$3:$B$5001,$D$2)))</f>
        <v>0</v>
      </c>
      <c r="G38" s="42">
        <f>IF($B38="","",IF($B$2="Todos",SUMIFS(BD!$G$3:$G$5001,BD!$A$3:$A$5001,$B38),SUMIFS(BD!$G$3:$G$5001,BD!$A$3:$A$5001,$B38,BD!$B$3:$B$5001,$D$2)))</f>
        <v>0</v>
      </c>
      <c r="H38" s="42">
        <f>IF($B38="","",IF($B$2="Todos",SUMIFS(BD!$H$3:$H$5001,BD!$A$3:$A$5001,$B38),SUMIFS(BD!$H$3:$H$5001,BD!$A$3:$A$5001,$B38,BD!$B$3:$B$5001,$D$2)))</f>
        <v>0</v>
      </c>
      <c r="I38" s="42">
        <f>IF($B38="","",IF($B$2="Todos",SUMIFS(BD!$I$3:$I$5001,BD!$A$3:$A$5001,$B38),SUMIFS(BD!$I$3:$I$5001,BD!$A$3:$A$5001,$B38,BD!$B$3:$B$5001,$D$2)))</f>
        <v>0</v>
      </c>
      <c r="J38" s="42">
        <f>IF($B38="","",IF($B$2="Todos",SUMIFS(BD!$J$3:$J$5001,BD!$A$3:$A$5001,$B38),SUMIFS(BD!$J$3:$J$5001,BD!$A$3:$A$5001,$B38,BD!$B$3:$B$5001,$D$2)))</f>
        <v>0</v>
      </c>
      <c r="K38" s="42">
        <f>IF($B38="","",IF($B$2="Todos",SUMIFS(BD!$K$3:$K$5001,BD!$A$3:$A$5001,$B38),SUMIFS(BD!$K$3:$K$5001,BD!$A$3:$A$5001,$B38,BD!$B$3:$B$5001,$D$2)))</f>
        <v>0</v>
      </c>
      <c r="L38" s="42">
        <f>IF($B38="","",IF($B$2="Todos",SUMIFS(BD!$L$3:$L$5001,BD!$A$3:$A$5001,$B38),SUMIFS(BD!$L$3:$L$5001,BD!$A$3:$A$5001,$B38,BD!$B$3:$B$5001,$D$2)))</f>
        <v>0</v>
      </c>
      <c r="M38" s="42">
        <f>IF($B38="","",IF($B$2="Todos",SUMIFS(BD!$M$3:$M$5001,BD!$A$3:$A$5001,$B38),SUMIFS(BD!$M$3:$M$5001,BD!$A$3:$A$5001,$B38,BD!$B$3:$B$5001,$D$2)))</f>
        <v>0</v>
      </c>
      <c r="N38" s="42">
        <f>IF($B38="","",IF($B$2="Todos",SUMIFS(BD!$N$3:$N$5001,BD!$A$3:$A$5001,$B38),SUMIFS(BD!$N$3:$N$5001,BD!$A$3:$A$5001,$B38,BD!$B$3:$B$5001,$D$2)))</f>
        <v>0</v>
      </c>
      <c r="O38" s="42">
        <f>IF($B38="","",IF($B$2="Todos",SUMIFS(BD!$O$3:$O$5001,BD!$A$3:$A$5001,$B38),SUMIFS(BD!$O$3:$O$5001,BD!$A$3:$A$5001,$B38,BD!$B$3:$B$5001,$D$2)))</f>
        <v>0</v>
      </c>
      <c r="P38" s="42">
        <f>IF($B38="","",IF($B$2="Todos",SUMIFS(BD!$P$3:$P$5001,BD!$A$3:$A$5001,$B38),SUMIFS(BD!$P$3:$P$5001,BD!$A$3:$A$5001,$B38,BD!$B$3:$B$5001,$D$2)))</f>
        <v>0</v>
      </c>
      <c r="Q38" s="42">
        <f>IF($B38="","",IF($B$2="Todos",SUMIFS(BD!$Q$3:$Q$5001,BD!$A$3:$A$5001,$B38),SUMIFS(BD!$Q$3:$Q$5001,BD!$A$3:$A$5001,$B38,BD!$B$3:$B$5001,$D$2)))</f>
        <v>0</v>
      </c>
      <c r="R38" s="42">
        <f>IF($B38="","",IF($B$2="Todos",SUMIFS(BD!$R$3:$R$5001,BD!$A$3:$A$5001,$B38),SUMIFS(BD!$R$3:$R$5001,BD!$A$3:$A$5001,$B38,BD!$B$3:$B$5001,$D$2)))</f>
        <v>0</v>
      </c>
      <c r="S38" s="58">
        <f>IF($B38="","",IF($B$2="Todos",SUMIFS(BD!$S$3:$S$5001,BD!$A$3:$A$5001,$B38),SUMIFS(BD!$S$3:$S$5001,BD!$A$3:$A$5001,$B38,BD!$B$3:$B$5001,$D$2)))</f>
        <v>0</v>
      </c>
      <c r="T38" s="42">
        <f>IF($B38="","",IF($B$2="Todos",SUMIFS(BD!$T$3:$T$5001,BD!$A$3:$A$5001,$B38),SUMIFS(BD!$T$3:$T$5001,BD!$A$3:$A$5001,$B38,BD!$B$3:$B$5001,$D$2)))</f>
        <v>0</v>
      </c>
      <c r="U38" s="42">
        <f>IF($B38="","",IF($B$2="Todos",SUMIFS(BD!$U$3:$U$5001,BD!$A$3:$A$5001,$B38),SUMIFS(BD!$U$3:$U$5001,BD!$A$3:$A$5001,$B38,BD!$B$3:$B$5001,$D$2)))</f>
        <v>0</v>
      </c>
      <c r="V38" s="42" t="str">
        <f>IF($B$2="Todos",IF(COUNT($C$167:$V$167)=0,"",SUM($C$167:$V$167)),IFERROR(INDEX($C$167:$V$167,MATCH($D$2,$C$140:$V$140,0)),""))</f>
        <v/>
      </c>
      <c r="W38" s="42" t="str">
        <f>IF($B$2="Todos",IF(COUNT($C$202:$V$202)=0,"",SUM($C$202:$V$202)),IFERROR(INDEX($C$202:$V$202,MATCH($D$2,$C$175:$V$175,0)),""))</f>
        <v/>
      </c>
      <c r="X38" s="59" t="str">
        <f>IF(Y38="","",IF($B$2="Todos",IF($B$4&gt;0,$B$4,IF($B$2="Todos",IF(COUNT($C$272:$V$272)=0,"",SUM($C$272:$V$272)),IFERROR(INDEX($C$272:$V$272,MATCH($D$2,$C$245:$V$245,0)),""))),IFERROR(INDEX($C$272:$V$272,MATCH($D$2,$C$245:$V$245,0)),"")))</f>
        <v/>
      </c>
      <c r="Y38" s="42" t="str">
        <f>IF($B$2="Todos",IF(COUNT($C$237:$V$237)=0,"",SUM($C$237:$V$237)),IFERROR(INDEX($C$237:$V$237,MATCH($D$2,$C$210:$V$210,0)),""))</f>
        <v/>
      </c>
      <c r="Z38" s="60" t="str">
        <f>IF(AND(ISNUMBER(Y38),ISNUMBER(X38)),IF(X38&gt;0,Y38/X38,""),"")</f>
        <v/>
      </c>
      <c r="AA38" s="42" t="str">
        <f>IF($B$2="Todos",IF(COUNT($C$307:$V$307)=0,"",SUM($C$307:$V$307)),IFERROR(INDEX($C$307:$V$307,MATCH($D$2,$C$280:$V$280,0)),""))</f>
        <v/>
      </c>
      <c r="AB38" s="42">
        <f>IF($B38="","",IF($B$2="Todos",SUMIFS(BD!$AA$3:$AA$5001,BD!$A$3:$A$5001,$B38),SUMIFS(BD!$AA$3:$AA$5001,BD!$A$3:$A$5001,$B38,BD!$B$3:$B$5001,$D$2)))</f>
        <v>0</v>
      </c>
      <c r="AC38" s="58">
        <f>IF($B38="","",IF($B$2="Todos",SUMIFS(BD!$AB$3:$AB$5001,BD!$A$3:$A$5001,$B38),SUMIFS(BD!$AB$3:$AB$5001,BD!$A$3:$A$5001,$B38,BD!$B$3:$B$5001,$D$2)))</f>
        <v>0</v>
      </c>
      <c r="AD38" s="42">
        <f>IF($B38="","",IF($B$2="Todos",SUMIFS(BD!$AC$3:$AC$5001,BD!$A$3:$A$5001,$B38),SUMIFS(BD!$AC$3:$AC$5001,BD!$A$3:$A$5001,$B38,BD!$B$3:$B$5001,$D$2)))</f>
        <v>0</v>
      </c>
      <c r="AE38" s="42">
        <f>IF($B38="","",IF($B$2="Todos",SUMIFS(BD!$AD$3:$AD$5001,BD!$A$3:$A$5001,$B38),SUMIFS(BD!$AD$3:$AD$5001,BD!$A$3:$A$5001,$B38,BD!$B$3:$B$5001,$D$2)))</f>
        <v>0</v>
      </c>
      <c r="AF38" s="42">
        <f>IF($B38="","",IF($B$2="Todos",SUMIFS(BD!$AE$3:$AE$5001,BD!$A$3:$A$5001,$B38),SUMIFS(BD!$AE$3:$AE$5001,BD!$A$3:$A$5001,$B38,BD!$B$3:$B$5001,$D$2)))</f>
        <v>0</v>
      </c>
      <c r="AG38" s="42">
        <f>IF($B38="","",IF($B$2="Todos",SUMIFS(BD!$AF$3:$AF$5001,BD!$A$3:$A$5001,$B38),SUMIFS(BD!$AF$3:$AF$5001,BD!$A$3:$A$5001,$B38,BD!$B$3:$B$5001,$D$2)))</f>
        <v>0</v>
      </c>
      <c r="AH38" s="42">
        <f>IF($B38="","",IF($B$2="Todos",SUMIFS(BD!$AG$3:$AG$5001,BD!$A$3:$A$5001,$B38),SUMIFS(BD!$AG$3:$AG$5001,BD!$A$3:$A$5001,$B38,BD!$B$3:$B$5001,$D$2)))</f>
        <v>0</v>
      </c>
      <c r="AI38" s="42">
        <f>IF($B38="","",IF($B$2="Todos",SUMIFS(BD!$AH$3:$AH$5001,BD!$A$3:$A$5001,$B38),SUMIFS(BD!$AH$3:$AH$5001,BD!$A$3:$A$5001,$B38,BD!$B$3:$B$5001,$D$2)))</f>
        <v>0</v>
      </c>
      <c r="AJ38" s="61">
        <f>$B$5</f>
        <v>0.7</v>
      </c>
      <c r="AK38" s="61">
        <f>$B$6</f>
        <v>0.9</v>
      </c>
      <c r="AZ38" s="72">
        <f>IF(OR($B38="",N(VALUE($AH$384))=0),"",IF(INDEX($C38:$AI38,VALUE($AH$384))="","",IF(N(VALUE($AJ$384))=0,INDEX($C38:$AI38,VALUE($AH$384)),IF(N(INDEX($C38:$AI38,N(VALUE($AJ$384))))&gt;0,INDEX($C38:$AI38,VALUE($AH$384))/INDEX($C38:$AI38,N(VALUE($AJ$384))),""))))</f>
        <v>0</v>
      </c>
      <c r="BA38" s="72">
        <f>IF(OR($B38="",N(VALUE($AI$384))=0),"",IF(INDEX($C38:$AI38,VALUE($AI$384))="","",IF(N(VALUE($AK$384))=0,INDEX($C38:$AI38,VALUE($AI$384)),IF(N(INDEX($C38:$AI38,N(VALUE($AK$384))))&gt;0,INDEX($C38:$AI38,VALUE($AI$384))/INDEX($C38:$AI38,N(VALUE($AK$384))),""))))</f>
        <v>0</v>
      </c>
      <c r="BB38" s="72">
        <f>IF(OR($B38="",N(VALUE($AP$384))=0),"",IF(INDEX($C38:$AI38,VALUE($AP$384))="","",IF(N(VALUE($AR$384))=0,INDEX($C38:$AI38,VALUE($AP$384)),IF(N(INDEX($C38:$AI38,N(VALUE($AR$384))))&gt;0,INDEX($C38:$AI38,VALUE($AP$384))/INDEX($C38:$AI38,N(VALUE($AR$384))),""))))</f>
        <v>0</v>
      </c>
      <c r="BC38" s="72">
        <f>IF(OR($B38="",N(VALUE($AQ$384))=0),"",IF(INDEX($C38:$AI38,VALUE($AQ$384))="","",IF(N(VALUE($AS$384))=0,INDEX($C38:$AI38,VALUE($AQ$384)),IF(N(INDEX($C38:$AI38,N(VALUE($AS$384))))&gt;0,INDEX($C38:$AI38,VALUE($AQ$384))/INDEX($C38:$AI38,N(VALUE($AS$384))),""))))</f>
        <v>0</v>
      </c>
      <c r="BE38" s="42" t="str">
        <f>IF(AND($A38=$B$9,ISNUMBER(X38)),X38,NA())</f>
        <v/>
      </c>
    </row>
    <row r="39">
      <c r="A39" s="39">
        <v>28</v>
      </c>
      <c r="B39" s="57">
        <f>IF($A39&lt;=DAY($D$7),$C$7+$A39-1,"")</f>
        <v>46323</v>
      </c>
      <c r="C39" s="42">
        <f>IF($B39="","",IF($B$2="Todos",SUMIFS(BD!$C$3:$C$5001,BD!$A$3:$A$5001,$B39),SUMIFS(BD!$C$3:$C$5001,BD!$A$3:$A$5001,$B39,BD!$B$3:$B$5001,$D$2)))</f>
        <v>0</v>
      </c>
      <c r="D39" s="42">
        <f>IF($B39="","",IF($B$2="Todos",SUMIFS(BD!$D$3:$D$5001,BD!$A$3:$A$5001,$B39),SUMIFS(BD!$D$3:$D$5001,BD!$A$3:$A$5001,$B39,BD!$B$3:$B$5001,$D$2)))</f>
        <v>0</v>
      </c>
      <c r="E39" s="58">
        <f>IF($B39="","",IF($B$2="Todos",SUMIFS(BD!$E$3:$E$5001,BD!$A$3:$A$5001,$B39),SUMIFS(BD!$E$3:$E$5001,BD!$A$3:$A$5001,$B39,BD!$B$3:$B$5001,$D$2)))</f>
        <v>0</v>
      </c>
      <c r="F39" s="42">
        <f>IF($B39="","",IF($B$2="Todos",SUMIFS(BD!$F$3:$F$5001,BD!$A$3:$A$5001,$B39),SUMIFS(BD!$F$3:$F$5001,BD!$A$3:$A$5001,$B39,BD!$B$3:$B$5001,$D$2)))</f>
        <v>0</v>
      </c>
      <c r="G39" s="42">
        <f>IF($B39="","",IF($B$2="Todos",SUMIFS(BD!$G$3:$G$5001,BD!$A$3:$A$5001,$B39),SUMIFS(BD!$G$3:$G$5001,BD!$A$3:$A$5001,$B39,BD!$B$3:$B$5001,$D$2)))</f>
        <v>0</v>
      </c>
      <c r="H39" s="42">
        <f>IF($B39="","",IF($B$2="Todos",SUMIFS(BD!$H$3:$H$5001,BD!$A$3:$A$5001,$B39),SUMIFS(BD!$H$3:$H$5001,BD!$A$3:$A$5001,$B39,BD!$B$3:$B$5001,$D$2)))</f>
        <v>0</v>
      </c>
      <c r="I39" s="42">
        <f>IF($B39="","",IF($B$2="Todos",SUMIFS(BD!$I$3:$I$5001,BD!$A$3:$A$5001,$B39),SUMIFS(BD!$I$3:$I$5001,BD!$A$3:$A$5001,$B39,BD!$B$3:$B$5001,$D$2)))</f>
        <v>0</v>
      </c>
      <c r="J39" s="42">
        <f>IF($B39="","",IF($B$2="Todos",SUMIFS(BD!$J$3:$J$5001,BD!$A$3:$A$5001,$B39),SUMIFS(BD!$J$3:$J$5001,BD!$A$3:$A$5001,$B39,BD!$B$3:$B$5001,$D$2)))</f>
        <v>0</v>
      </c>
      <c r="K39" s="42">
        <f>IF($B39="","",IF($B$2="Todos",SUMIFS(BD!$K$3:$K$5001,BD!$A$3:$A$5001,$B39),SUMIFS(BD!$K$3:$K$5001,BD!$A$3:$A$5001,$B39,BD!$B$3:$B$5001,$D$2)))</f>
        <v>0</v>
      </c>
      <c r="L39" s="42">
        <f>IF($B39="","",IF($B$2="Todos",SUMIFS(BD!$L$3:$L$5001,BD!$A$3:$A$5001,$B39),SUMIFS(BD!$L$3:$L$5001,BD!$A$3:$A$5001,$B39,BD!$B$3:$B$5001,$D$2)))</f>
        <v>0</v>
      </c>
      <c r="M39" s="42">
        <f>IF($B39="","",IF($B$2="Todos",SUMIFS(BD!$M$3:$M$5001,BD!$A$3:$A$5001,$B39),SUMIFS(BD!$M$3:$M$5001,BD!$A$3:$A$5001,$B39,BD!$B$3:$B$5001,$D$2)))</f>
        <v>0</v>
      </c>
      <c r="N39" s="42">
        <f>IF($B39="","",IF($B$2="Todos",SUMIFS(BD!$N$3:$N$5001,BD!$A$3:$A$5001,$B39),SUMIFS(BD!$N$3:$N$5001,BD!$A$3:$A$5001,$B39,BD!$B$3:$B$5001,$D$2)))</f>
        <v>0</v>
      </c>
      <c r="O39" s="42">
        <f>IF($B39="","",IF($B$2="Todos",SUMIFS(BD!$O$3:$O$5001,BD!$A$3:$A$5001,$B39),SUMIFS(BD!$O$3:$O$5001,BD!$A$3:$A$5001,$B39,BD!$B$3:$B$5001,$D$2)))</f>
        <v>0</v>
      </c>
      <c r="P39" s="42">
        <f>IF($B39="","",IF($B$2="Todos",SUMIFS(BD!$P$3:$P$5001,BD!$A$3:$A$5001,$B39),SUMIFS(BD!$P$3:$P$5001,BD!$A$3:$A$5001,$B39,BD!$B$3:$B$5001,$D$2)))</f>
        <v>0</v>
      </c>
      <c r="Q39" s="42">
        <f>IF($B39="","",IF($B$2="Todos",SUMIFS(BD!$Q$3:$Q$5001,BD!$A$3:$A$5001,$B39),SUMIFS(BD!$Q$3:$Q$5001,BD!$A$3:$A$5001,$B39,BD!$B$3:$B$5001,$D$2)))</f>
        <v>0</v>
      </c>
      <c r="R39" s="42">
        <f>IF($B39="","",IF($B$2="Todos",SUMIFS(BD!$R$3:$R$5001,BD!$A$3:$A$5001,$B39),SUMIFS(BD!$R$3:$R$5001,BD!$A$3:$A$5001,$B39,BD!$B$3:$B$5001,$D$2)))</f>
        <v>0</v>
      </c>
      <c r="S39" s="58">
        <f>IF($B39="","",IF($B$2="Todos",SUMIFS(BD!$S$3:$S$5001,BD!$A$3:$A$5001,$B39),SUMIFS(BD!$S$3:$S$5001,BD!$A$3:$A$5001,$B39,BD!$B$3:$B$5001,$D$2)))</f>
        <v>0</v>
      </c>
      <c r="T39" s="42">
        <f>IF($B39="","",IF($B$2="Todos",SUMIFS(BD!$T$3:$T$5001,BD!$A$3:$A$5001,$B39),SUMIFS(BD!$T$3:$T$5001,BD!$A$3:$A$5001,$B39,BD!$B$3:$B$5001,$D$2)))</f>
        <v>0</v>
      </c>
      <c r="U39" s="42">
        <f>IF($B39="","",IF($B$2="Todos",SUMIFS(BD!$U$3:$U$5001,BD!$A$3:$A$5001,$B39),SUMIFS(BD!$U$3:$U$5001,BD!$A$3:$A$5001,$B39,BD!$B$3:$B$5001,$D$2)))</f>
        <v>0</v>
      </c>
      <c r="V39" s="42" t="str">
        <f>IF($B$2="Todos",IF(COUNT($C$168:$V$168)=0,"",SUM($C$168:$V$168)),IFERROR(INDEX($C$168:$V$168,MATCH($D$2,$C$140:$V$140,0)),""))</f>
        <v/>
      </c>
      <c r="W39" s="42" t="str">
        <f>IF($B$2="Todos",IF(COUNT($C$203:$V$203)=0,"",SUM($C$203:$V$203)),IFERROR(INDEX($C$203:$V$203,MATCH($D$2,$C$175:$V$175,0)),""))</f>
        <v/>
      </c>
      <c r="X39" s="59" t="str">
        <f>IF(Y39="","",IF($B$2="Todos",IF($B$4&gt;0,$B$4,IF($B$2="Todos",IF(COUNT($C$273:$V$273)=0,"",SUM($C$273:$V$273)),IFERROR(INDEX($C$273:$V$273,MATCH($D$2,$C$245:$V$245,0)),""))),IFERROR(INDEX($C$273:$V$273,MATCH($D$2,$C$245:$V$245,0)),"")))</f>
        <v/>
      </c>
      <c r="Y39" s="42" t="str">
        <f>IF($B$2="Todos",IF(COUNT($C$238:$V$238)=0,"",SUM($C$238:$V$238)),IFERROR(INDEX($C$238:$V$238,MATCH($D$2,$C$210:$V$210,0)),""))</f>
        <v/>
      </c>
      <c r="Z39" s="60" t="str">
        <f>IF(AND(ISNUMBER(Y39),ISNUMBER(X39)),IF(X39&gt;0,Y39/X39,""),"")</f>
        <v/>
      </c>
      <c r="AA39" s="42" t="str">
        <f>IF($B$2="Todos",IF(COUNT($C$308:$V$308)=0,"",SUM($C$308:$V$308)),IFERROR(INDEX($C$308:$V$308,MATCH($D$2,$C$280:$V$280,0)),""))</f>
        <v/>
      </c>
      <c r="AB39" s="42">
        <f>IF($B39="","",IF($B$2="Todos",SUMIFS(BD!$AA$3:$AA$5001,BD!$A$3:$A$5001,$B39),SUMIFS(BD!$AA$3:$AA$5001,BD!$A$3:$A$5001,$B39,BD!$B$3:$B$5001,$D$2)))</f>
        <v>0</v>
      </c>
      <c r="AC39" s="58">
        <f>IF($B39="","",IF($B$2="Todos",SUMIFS(BD!$AB$3:$AB$5001,BD!$A$3:$A$5001,$B39),SUMIFS(BD!$AB$3:$AB$5001,BD!$A$3:$A$5001,$B39,BD!$B$3:$B$5001,$D$2)))</f>
        <v>0</v>
      </c>
      <c r="AD39" s="42">
        <f>IF($B39="","",IF($B$2="Todos",SUMIFS(BD!$AC$3:$AC$5001,BD!$A$3:$A$5001,$B39),SUMIFS(BD!$AC$3:$AC$5001,BD!$A$3:$A$5001,$B39,BD!$B$3:$B$5001,$D$2)))</f>
        <v>0</v>
      </c>
      <c r="AE39" s="42">
        <f>IF($B39="","",IF($B$2="Todos",SUMIFS(BD!$AD$3:$AD$5001,BD!$A$3:$A$5001,$B39),SUMIFS(BD!$AD$3:$AD$5001,BD!$A$3:$A$5001,$B39,BD!$B$3:$B$5001,$D$2)))</f>
        <v>0</v>
      </c>
      <c r="AF39" s="42">
        <f>IF($B39="","",IF($B$2="Todos",SUMIFS(BD!$AE$3:$AE$5001,BD!$A$3:$A$5001,$B39),SUMIFS(BD!$AE$3:$AE$5001,BD!$A$3:$A$5001,$B39,BD!$B$3:$B$5001,$D$2)))</f>
        <v>0</v>
      </c>
      <c r="AG39" s="42">
        <f>IF($B39="","",IF($B$2="Todos",SUMIFS(BD!$AF$3:$AF$5001,BD!$A$3:$A$5001,$B39),SUMIFS(BD!$AF$3:$AF$5001,BD!$A$3:$A$5001,$B39,BD!$B$3:$B$5001,$D$2)))</f>
        <v>0</v>
      </c>
      <c r="AH39" s="42">
        <f>IF($B39="","",IF($B$2="Todos",SUMIFS(BD!$AG$3:$AG$5001,BD!$A$3:$A$5001,$B39),SUMIFS(BD!$AG$3:$AG$5001,BD!$A$3:$A$5001,$B39,BD!$B$3:$B$5001,$D$2)))</f>
        <v>0</v>
      </c>
      <c r="AI39" s="42">
        <f>IF($B39="","",IF($B$2="Todos",SUMIFS(BD!$AH$3:$AH$5001,BD!$A$3:$A$5001,$B39),SUMIFS(BD!$AH$3:$AH$5001,BD!$A$3:$A$5001,$B39,BD!$B$3:$B$5001,$D$2)))</f>
        <v>0</v>
      </c>
      <c r="AJ39" s="61">
        <f>$B$5</f>
        <v>0.7</v>
      </c>
      <c r="AK39" s="61">
        <f>$B$6</f>
        <v>0.9</v>
      </c>
      <c r="AZ39" s="72">
        <f>IF(OR($B39="",N(VALUE($AH$384))=0),"",IF(INDEX($C39:$AI39,VALUE($AH$384))="","",IF(N(VALUE($AJ$384))=0,INDEX($C39:$AI39,VALUE($AH$384)),IF(N(INDEX($C39:$AI39,N(VALUE($AJ$384))))&gt;0,INDEX($C39:$AI39,VALUE($AH$384))/INDEX($C39:$AI39,N(VALUE($AJ$384))),""))))</f>
        <v>0</v>
      </c>
      <c r="BA39" s="72">
        <f>IF(OR($B39="",N(VALUE($AI$384))=0),"",IF(INDEX($C39:$AI39,VALUE($AI$384))="","",IF(N(VALUE($AK$384))=0,INDEX($C39:$AI39,VALUE($AI$384)),IF(N(INDEX($C39:$AI39,N(VALUE($AK$384))))&gt;0,INDEX($C39:$AI39,VALUE($AI$384))/INDEX($C39:$AI39,N(VALUE($AK$384))),""))))</f>
        <v>0</v>
      </c>
      <c r="BB39" s="72">
        <f>IF(OR($B39="",N(VALUE($AP$384))=0),"",IF(INDEX($C39:$AI39,VALUE($AP$384))="","",IF(N(VALUE($AR$384))=0,INDEX($C39:$AI39,VALUE($AP$384)),IF(N(INDEX($C39:$AI39,N(VALUE($AR$384))))&gt;0,INDEX($C39:$AI39,VALUE($AP$384))/INDEX($C39:$AI39,N(VALUE($AR$384))),""))))</f>
        <v>0</v>
      </c>
      <c r="BC39" s="72">
        <f>IF(OR($B39="",N(VALUE($AQ$384))=0),"",IF(INDEX($C39:$AI39,VALUE($AQ$384))="","",IF(N(VALUE($AS$384))=0,INDEX($C39:$AI39,VALUE($AQ$384)),IF(N(INDEX($C39:$AI39,N(VALUE($AS$384))))&gt;0,INDEX($C39:$AI39,VALUE($AQ$384))/INDEX($C39:$AI39,N(VALUE($AS$384))),""))))</f>
        <v>0</v>
      </c>
      <c r="BE39" s="42" t="str">
        <f>IF(AND($A39=$B$9,ISNUMBER(X39)),X39,NA())</f>
        <v/>
      </c>
    </row>
    <row r="40">
      <c r="A40" s="39">
        <v>29</v>
      </c>
      <c r="B40" s="57">
        <f>IF($A40&lt;=DAY($D$7),$C$7+$A40-1,"")</f>
        <v>46324</v>
      </c>
      <c r="C40" s="42">
        <f>IF($B40="","",IF($B$2="Todos",SUMIFS(BD!$C$3:$C$5001,BD!$A$3:$A$5001,$B40),SUMIFS(BD!$C$3:$C$5001,BD!$A$3:$A$5001,$B40,BD!$B$3:$B$5001,$D$2)))</f>
        <v>0</v>
      </c>
      <c r="D40" s="42">
        <f>IF($B40="","",IF($B$2="Todos",SUMIFS(BD!$D$3:$D$5001,BD!$A$3:$A$5001,$B40),SUMIFS(BD!$D$3:$D$5001,BD!$A$3:$A$5001,$B40,BD!$B$3:$B$5001,$D$2)))</f>
        <v>0</v>
      </c>
      <c r="E40" s="58">
        <f>IF($B40="","",IF($B$2="Todos",SUMIFS(BD!$E$3:$E$5001,BD!$A$3:$A$5001,$B40),SUMIFS(BD!$E$3:$E$5001,BD!$A$3:$A$5001,$B40,BD!$B$3:$B$5001,$D$2)))</f>
        <v>0</v>
      </c>
      <c r="F40" s="42">
        <f>IF($B40="","",IF($B$2="Todos",SUMIFS(BD!$F$3:$F$5001,BD!$A$3:$A$5001,$B40),SUMIFS(BD!$F$3:$F$5001,BD!$A$3:$A$5001,$B40,BD!$B$3:$B$5001,$D$2)))</f>
        <v>0</v>
      </c>
      <c r="G40" s="42">
        <f>IF($B40="","",IF($B$2="Todos",SUMIFS(BD!$G$3:$G$5001,BD!$A$3:$A$5001,$B40),SUMIFS(BD!$G$3:$G$5001,BD!$A$3:$A$5001,$B40,BD!$B$3:$B$5001,$D$2)))</f>
        <v>0</v>
      </c>
      <c r="H40" s="42">
        <f>IF($B40="","",IF($B$2="Todos",SUMIFS(BD!$H$3:$H$5001,BD!$A$3:$A$5001,$B40),SUMIFS(BD!$H$3:$H$5001,BD!$A$3:$A$5001,$B40,BD!$B$3:$B$5001,$D$2)))</f>
        <v>0</v>
      </c>
      <c r="I40" s="42">
        <f>IF($B40="","",IF($B$2="Todos",SUMIFS(BD!$I$3:$I$5001,BD!$A$3:$A$5001,$B40),SUMIFS(BD!$I$3:$I$5001,BD!$A$3:$A$5001,$B40,BD!$B$3:$B$5001,$D$2)))</f>
        <v>0</v>
      </c>
      <c r="J40" s="42">
        <f>IF($B40="","",IF($B$2="Todos",SUMIFS(BD!$J$3:$J$5001,BD!$A$3:$A$5001,$B40),SUMIFS(BD!$J$3:$J$5001,BD!$A$3:$A$5001,$B40,BD!$B$3:$B$5001,$D$2)))</f>
        <v>0</v>
      </c>
      <c r="K40" s="42">
        <f>IF($B40="","",IF($B$2="Todos",SUMIFS(BD!$K$3:$K$5001,BD!$A$3:$A$5001,$B40),SUMIFS(BD!$K$3:$K$5001,BD!$A$3:$A$5001,$B40,BD!$B$3:$B$5001,$D$2)))</f>
        <v>0</v>
      </c>
      <c r="L40" s="42">
        <f>IF($B40="","",IF($B$2="Todos",SUMIFS(BD!$L$3:$L$5001,BD!$A$3:$A$5001,$B40),SUMIFS(BD!$L$3:$L$5001,BD!$A$3:$A$5001,$B40,BD!$B$3:$B$5001,$D$2)))</f>
        <v>0</v>
      </c>
      <c r="M40" s="42">
        <f>IF($B40="","",IF($B$2="Todos",SUMIFS(BD!$M$3:$M$5001,BD!$A$3:$A$5001,$B40),SUMIFS(BD!$M$3:$M$5001,BD!$A$3:$A$5001,$B40,BD!$B$3:$B$5001,$D$2)))</f>
        <v>0</v>
      </c>
      <c r="N40" s="42">
        <f>IF($B40="","",IF($B$2="Todos",SUMIFS(BD!$N$3:$N$5001,BD!$A$3:$A$5001,$B40),SUMIFS(BD!$N$3:$N$5001,BD!$A$3:$A$5001,$B40,BD!$B$3:$B$5001,$D$2)))</f>
        <v>0</v>
      </c>
      <c r="O40" s="42">
        <f>IF($B40="","",IF($B$2="Todos",SUMIFS(BD!$O$3:$O$5001,BD!$A$3:$A$5001,$B40),SUMIFS(BD!$O$3:$O$5001,BD!$A$3:$A$5001,$B40,BD!$B$3:$B$5001,$D$2)))</f>
        <v>0</v>
      </c>
      <c r="P40" s="42">
        <f>IF($B40="","",IF($B$2="Todos",SUMIFS(BD!$P$3:$P$5001,BD!$A$3:$A$5001,$B40),SUMIFS(BD!$P$3:$P$5001,BD!$A$3:$A$5001,$B40,BD!$B$3:$B$5001,$D$2)))</f>
        <v>0</v>
      </c>
      <c r="Q40" s="42">
        <f>IF($B40="","",IF($B$2="Todos",SUMIFS(BD!$Q$3:$Q$5001,BD!$A$3:$A$5001,$B40),SUMIFS(BD!$Q$3:$Q$5001,BD!$A$3:$A$5001,$B40,BD!$B$3:$B$5001,$D$2)))</f>
        <v>0</v>
      </c>
      <c r="R40" s="42">
        <f>IF($B40="","",IF($B$2="Todos",SUMIFS(BD!$R$3:$R$5001,BD!$A$3:$A$5001,$B40),SUMIFS(BD!$R$3:$R$5001,BD!$A$3:$A$5001,$B40,BD!$B$3:$B$5001,$D$2)))</f>
        <v>0</v>
      </c>
      <c r="S40" s="58">
        <f>IF($B40="","",IF($B$2="Todos",SUMIFS(BD!$S$3:$S$5001,BD!$A$3:$A$5001,$B40),SUMIFS(BD!$S$3:$S$5001,BD!$A$3:$A$5001,$B40,BD!$B$3:$B$5001,$D$2)))</f>
        <v>0</v>
      </c>
      <c r="T40" s="42">
        <f>IF($B40="","",IF($B$2="Todos",SUMIFS(BD!$T$3:$T$5001,BD!$A$3:$A$5001,$B40),SUMIFS(BD!$T$3:$T$5001,BD!$A$3:$A$5001,$B40,BD!$B$3:$B$5001,$D$2)))</f>
        <v>0</v>
      </c>
      <c r="U40" s="42">
        <f>IF($B40="","",IF($B$2="Todos",SUMIFS(BD!$U$3:$U$5001,BD!$A$3:$A$5001,$B40),SUMIFS(BD!$U$3:$U$5001,BD!$A$3:$A$5001,$B40,BD!$B$3:$B$5001,$D$2)))</f>
        <v>0</v>
      </c>
      <c r="V40" s="42" t="str">
        <f>IF($B$2="Todos",IF(COUNT($C$169:$V$169)=0,"",SUM($C$169:$V$169)),IFERROR(INDEX($C$169:$V$169,MATCH($D$2,$C$140:$V$140,0)),""))</f>
        <v/>
      </c>
      <c r="W40" s="42" t="str">
        <f>IF($B$2="Todos",IF(COUNT($C$204:$V$204)=0,"",SUM($C$204:$V$204)),IFERROR(INDEX($C$204:$V$204,MATCH($D$2,$C$175:$V$175,0)),""))</f>
        <v/>
      </c>
      <c r="X40" s="59" t="str">
        <f>IF(Y40="","",IF($B$2="Todos",IF($B$4&gt;0,$B$4,IF($B$2="Todos",IF(COUNT($C$274:$V$274)=0,"",SUM($C$274:$V$274)),IFERROR(INDEX($C$274:$V$274,MATCH($D$2,$C$245:$V$245,0)),""))),IFERROR(INDEX($C$274:$V$274,MATCH($D$2,$C$245:$V$245,0)),"")))</f>
        <v/>
      </c>
      <c r="Y40" s="42" t="str">
        <f>IF($B$2="Todos",IF(COUNT($C$239:$V$239)=0,"",SUM($C$239:$V$239)),IFERROR(INDEX($C$239:$V$239,MATCH($D$2,$C$210:$V$210,0)),""))</f>
        <v/>
      </c>
      <c r="Z40" s="60" t="str">
        <f>IF(AND(ISNUMBER(Y40),ISNUMBER(X40)),IF(X40&gt;0,Y40/X40,""),"")</f>
        <v/>
      </c>
      <c r="AA40" s="42" t="str">
        <f>IF($B$2="Todos",IF(COUNT($C$309:$V$309)=0,"",SUM($C$309:$V$309)),IFERROR(INDEX($C$309:$V$309,MATCH($D$2,$C$280:$V$280,0)),""))</f>
        <v/>
      </c>
      <c r="AB40" s="42">
        <f>IF($B40="","",IF($B$2="Todos",SUMIFS(BD!$AA$3:$AA$5001,BD!$A$3:$A$5001,$B40),SUMIFS(BD!$AA$3:$AA$5001,BD!$A$3:$A$5001,$B40,BD!$B$3:$B$5001,$D$2)))</f>
        <v>0</v>
      </c>
      <c r="AC40" s="58">
        <f>IF($B40="","",IF($B$2="Todos",SUMIFS(BD!$AB$3:$AB$5001,BD!$A$3:$A$5001,$B40),SUMIFS(BD!$AB$3:$AB$5001,BD!$A$3:$A$5001,$B40,BD!$B$3:$B$5001,$D$2)))</f>
        <v>0</v>
      </c>
      <c r="AD40" s="42">
        <f>IF($B40="","",IF($B$2="Todos",SUMIFS(BD!$AC$3:$AC$5001,BD!$A$3:$A$5001,$B40),SUMIFS(BD!$AC$3:$AC$5001,BD!$A$3:$A$5001,$B40,BD!$B$3:$B$5001,$D$2)))</f>
        <v>0</v>
      </c>
      <c r="AE40" s="42">
        <f>IF($B40="","",IF($B$2="Todos",SUMIFS(BD!$AD$3:$AD$5001,BD!$A$3:$A$5001,$B40),SUMIFS(BD!$AD$3:$AD$5001,BD!$A$3:$A$5001,$B40,BD!$B$3:$B$5001,$D$2)))</f>
        <v>0</v>
      </c>
      <c r="AF40" s="42">
        <f>IF($B40="","",IF($B$2="Todos",SUMIFS(BD!$AE$3:$AE$5001,BD!$A$3:$A$5001,$B40),SUMIFS(BD!$AE$3:$AE$5001,BD!$A$3:$A$5001,$B40,BD!$B$3:$B$5001,$D$2)))</f>
        <v>0</v>
      </c>
      <c r="AG40" s="42">
        <f>IF($B40="","",IF($B$2="Todos",SUMIFS(BD!$AF$3:$AF$5001,BD!$A$3:$A$5001,$B40),SUMIFS(BD!$AF$3:$AF$5001,BD!$A$3:$A$5001,$B40,BD!$B$3:$B$5001,$D$2)))</f>
        <v>0</v>
      </c>
      <c r="AH40" s="42">
        <f>IF($B40="","",IF($B$2="Todos",SUMIFS(BD!$AG$3:$AG$5001,BD!$A$3:$A$5001,$B40),SUMIFS(BD!$AG$3:$AG$5001,BD!$A$3:$A$5001,$B40,BD!$B$3:$B$5001,$D$2)))</f>
        <v>0</v>
      </c>
      <c r="AI40" s="42">
        <f>IF($B40="","",IF($B$2="Todos",SUMIFS(BD!$AH$3:$AH$5001,BD!$A$3:$A$5001,$B40),SUMIFS(BD!$AH$3:$AH$5001,BD!$A$3:$A$5001,$B40,BD!$B$3:$B$5001,$D$2)))</f>
        <v>0</v>
      </c>
      <c r="AJ40" s="61">
        <f>$B$5</f>
        <v>0.7</v>
      </c>
      <c r="AK40" s="61">
        <f>$B$6</f>
        <v>0.9</v>
      </c>
      <c r="AZ40" s="72">
        <f>IF(OR($B40="",N(VALUE($AH$384))=0),"",IF(INDEX($C40:$AI40,VALUE($AH$384))="","",IF(N(VALUE($AJ$384))=0,INDEX($C40:$AI40,VALUE($AH$384)),IF(N(INDEX($C40:$AI40,N(VALUE($AJ$384))))&gt;0,INDEX($C40:$AI40,VALUE($AH$384))/INDEX($C40:$AI40,N(VALUE($AJ$384))),""))))</f>
        <v>0</v>
      </c>
      <c r="BA40" s="72">
        <f>IF(OR($B40="",N(VALUE($AI$384))=0),"",IF(INDEX($C40:$AI40,VALUE($AI$384))="","",IF(N(VALUE($AK$384))=0,INDEX($C40:$AI40,VALUE($AI$384)),IF(N(INDEX($C40:$AI40,N(VALUE($AK$384))))&gt;0,INDEX($C40:$AI40,VALUE($AI$384))/INDEX($C40:$AI40,N(VALUE($AK$384))),""))))</f>
        <v>0</v>
      </c>
      <c r="BB40" s="72">
        <f>IF(OR($B40="",N(VALUE($AP$384))=0),"",IF(INDEX($C40:$AI40,VALUE($AP$384))="","",IF(N(VALUE($AR$384))=0,INDEX($C40:$AI40,VALUE($AP$384)),IF(N(INDEX($C40:$AI40,N(VALUE($AR$384))))&gt;0,INDEX($C40:$AI40,VALUE($AP$384))/INDEX($C40:$AI40,N(VALUE($AR$384))),""))))</f>
        <v>0</v>
      </c>
      <c r="BC40" s="72">
        <f>IF(OR($B40="",N(VALUE($AQ$384))=0),"",IF(INDEX($C40:$AI40,VALUE($AQ$384))="","",IF(N(VALUE($AS$384))=0,INDEX($C40:$AI40,VALUE($AQ$384)),IF(N(INDEX($C40:$AI40,N(VALUE($AS$384))))&gt;0,INDEX($C40:$AI40,VALUE($AQ$384))/INDEX($C40:$AI40,N(VALUE($AS$384))),""))))</f>
        <v>0</v>
      </c>
      <c r="BE40" s="42" t="str">
        <f>IF(AND($A40=$B$9,ISNUMBER(X40)),X40,NA())</f>
        <v/>
      </c>
    </row>
    <row r="41">
      <c r="A41" s="39">
        <v>30</v>
      </c>
      <c r="B41" s="57">
        <f>IF($A41&lt;=DAY($D$7),$C$7+$A41-1,"")</f>
        <v>46325</v>
      </c>
      <c r="C41" s="42">
        <f>IF($B41="","",IF($B$2="Todos",SUMIFS(BD!$C$3:$C$5001,BD!$A$3:$A$5001,$B41),SUMIFS(BD!$C$3:$C$5001,BD!$A$3:$A$5001,$B41,BD!$B$3:$B$5001,$D$2)))</f>
        <v>0</v>
      </c>
      <c r="D41" s="42">
        <f>IF($B41="","",IF($B$2="Todos",SUMIFS(BD!$D$3:$D$5001,BD!$A$3:$A$5001,$B41),SUMIFS(BD!$D$3:$D$5001,BD!$A$3:$A$5001,$B41,BD!$B$3:$B$5001,$D$2)))</f>
        <v>0</v>
      </c>
      <c r="E41" s="58">
        <f>IF($B41="","",IF($B$2="Todos",SUMIFS(BD!$E$3:$E$5001,BD!$A$3:$A$5001,$B41),SUMIFS(BD!$E$3:$E$5001,BD!$A$3:$A$5001,$B41,BD!$B$3:$B$5001,$D$2)))</f>
        <v>0</v>
      </c>
      <c r="F41" s="42">
        <f>IF($B41="","",IF($B$2="Todos",SUMIFS(BD!$F$3:$F$5001,BD!$A$3:$A$5001,$B41),SUMIFS(BD!$F$3:$F$5001,BD!$A$3:$A$5001,$B41,BD!$B$3:$B$5001,$D$2)))</f>
        <v>0</v>
      </c>
      <c r="G41" s="42">
        <f>IF($B41="","",IF($B$2="Todos",SUMIFS(BD!$G$3:$G$5001,BD!$A$3:$A$5001,$B41),SUMIFS(BD!$G$3:$G$5001,BD!$A$3:$A$5001,$B41,BD!$B$3:$B$5001,$D$2)))</f>
        <v>0</v>
      </c>
      <c r="H41" s="42">
        <f>IF($B41="","",IF($B$2="Todos",SUMIFS(BD!$H$3:$H$5001,BD!$A$3:$A$5001,$B41),SUMIFS(BD!$H$3:$H$5001,BD!$A$3:$A$5001,$B41,BD!$B$3:$B$5001,$D$2)))</f>
        <v>0</v>
      </c>
      <c r="I41" s="42">
        <f>IF($B41="","",IF($B$2="Todos",SUMIFS(BD!$I$3:$I$5001,BD!$A$3:$A$5001,$B41),SUMIFS(BD!$I$3:$I$5001,BD!$A$3:$A$5001,$B41,BD!$B$3:$B$5001,$D$2)))</f>
        <v>0</v>
      </c>
      <c r="J41" s="42">
        <f>IF($B41="","",IF($B$2="Todos",SUMIFS(BD!$J$3:$J$5001,BD!$A$3:$A$5001,$B41),SUMIFS(BD!$J$3:$J$5001,BD!$A$3:$A$5001,$B41,BD!$B$3:$B$5001,$D$2)))</f>
        <v>0</v>
      </c>
      <c r="K41" s="42">
        <f>IF($B41="","",IF($B$2="Todos",SUMIFS(BD!$K$3:$K$5001,BD!$A$3:$A$5001,$B41),SUMIFS(BD!$K$3:$K$5001,BD!$A$3:$A$5001,$B41,BD!$B$3:$B$5001,$D$2)))</f>
        <v>0</v>
      </c>
      <c r="L41" s="42">
        <f>IF($B41="","",IF($B$2="Todos",SUMIFS(BD!$L$3:$L$5001,BD!$A$3:$A$5001,$B41),SUMIFS(BD!$L$3:$L$5001,BD!$A$3:$A$5001,$B41,BD!$B$3:$B$5001,$D$2)))</f>
        <v>0</v>
      </c>
      <c r="M41" s="42">
        <f>IF($B41="","",IF($B$2="Todos",SUMIFS(BD!$M$3:$M$5001,BD!$A$3:$A$5001,$B41),SUMIFS(BD!$M$3:$M$5001,BD!$A$3:$A$5001,$B41,BD!$B$3:$B$5001,$D$2)))</f>
        <v>0</v>
      </c>
      <c r="N41" s="42">
        <f>IF($B41="","",IF($B$2="Todos",SUMIFS(BD!$N$3:$N$5001,BD!$A$3:$A$5001,$B41),SUMIFS(BD!$N$3:$N$5001,BD!$A$3:$A$5001,$B41,BD!$B$3:$B$5001,$D$2)))</f>
        <v>0</v>
      </c>
      <c r="O41" s="42">
        <f>IF($B41="","",IF($B$2="Todos",SUMIFS(BD!$O$3:$O$5001,BD!$A$3:$A$5001,$B41),SUMIFS(BD!$O$3:$O$5001,BD!$A$3:$A$5001,$B41,BD!$B$3:$B$5001,$D$2)))</f>
        <v>0</v>
      </c>
      <c r="P41" s="42">
        <f>IF($B41="","",IF($B$2="Todos",SUMIFS(BD!$P$3:$P$5001,BD!$A$3:$A$5001,$B41),SUMIFS(BD!$P$3:$P$5001,BD!$A$3:$A$5001,$B41,BD!$B$3:$B$5001,$D$2)))</f>
        <v>0</v>
      </c>
      <c r="Q41" s="42">
        <f>IF($B41="","",IF($B$2="Todos",SUMIFS(BD!$Q$3:$Q$5001,BD!$A$3:$A$5001,$B41),SUMIFS(BD!$Q$3:$Q$5001,BD!$A$3:$A$5001,$B41,BD!$B$3:$B$5001,$D$2)))</f>
        <v>0</v>
      </c>
      <c r="R41" s="42">
        <f>IF($B41="","",IF($B$2="Todos",SUMIFS(BD!$R$3:$R$5001,BD!$A$3:$A$5001,$B41),SUMIFS(BD!$R$3:$R$5001,BD!$A$3:$A$5001,$B41,BD!$B$3:$B$5001,$D$2)))</f>
        <v>0</v>
      </c>
      <c r="S41" s="58">
        <f>IF($B41="","",IF($B$2="Todos",SUMIFS(BD!$S$3:$S$5001,BD!$A$3:$A$5001,$B41),SUMIFS(BD!$S$3:$S$5001,BD!$A$3:$A$5001,$B41,BD!$B$3:$B$5001,$D$2)))</f>
        <v>0</v>
      </c>
      <c r="T41" s="42">
        <f>IF($B41="","",IF($B$2="Todos",SUMIFS(BD!$T$3:$T$5001,BD!$A$3:$A$5001,$B41),SUMIFS(BD!$T$3:$T$5001,BD!$A$3:$A$5001,$B41,BD!$B$3:$B$5001,$D$2)))</f>
        <v>0</v>
      </c>
      <c r="U41" s="42">
        <f>IF($B41="","",IF($B$2="Todos",SUMIFS(BD!$U$3:$U$5001,BD!$A$3:$A$5001,$B41),SUMIFS(BD!$U$3:$U$5001,BD!$A$3:$A$5001,$B41,BD!$B$3:$B$5001,$D$2)))</f>
        <v>0</v>
      </c>
      <c r="V41" s="42" t="str">
        <f>IF($B$2="Todos",IF(COUNT($C$170:$V$170)=0,"",SUM($C$170:$V$170)),IFERROR(INDEX($C$170:$V$170,MATCH($D$2,$C$140:$V$140,0)),""))</f>
        <v/>
      </c>
      <c r="W41" s="42" t="str">
        <f>IF($B$2="Todos",IF(COUNT($C$205:$V$205)=0,"",SUM($C$205:$V$205)),IFERROR(INDEX($C$205:$V$205,MATCH($D$2,$C$175:$V$175,0)),""))</f>
        <v/>
      </c>
      <c r="X41" s="59" t="str">
        <f>IF(Y41="","",IF($B$2="Todos",IF($B$4&gt;0,$B$4,IF($B$2="Todos",IF(COUNT($C$275:$V$275)=0,"",SUM($C$275:$V$275)),IFERROR(INDEX($C$275:$V$275,MATCH($D$2,$C$245:$V$245,0)),""))),IFERROR(INDEX($C$275:$V$275,MATCH($D$2,$C$245:$V$245,0)),"")))</f>
        <v/>
      </c>
      <c r="Y41" s="42" t="str">
        <f>IF($B$2="Todos",IF(COUNT($C$240:$V$240)=0,"",SUM($C$240:$V$240)),IFERROR(INDEX($C$240:$V$240,MATCH($D$2,$C$210:$V$210,0)),""))</f>
        <v/>
      </c>
      <c r="Z41" s="60" t="str">
        <f>IF(AND(ISNUMBER(Y41),ISNUMBER(X41)),IF(X41&gt;0,Y41/X41,""),"")</f>
        <v/>
      </c>
      <c r="AA41" s="42" t="str">
        <f>IF($B$2="Todos",IF(COUNT($C$310:$V$310)=0,"",SUM($C$310:$V$310)),IFERROR(INDEX($C$310:$V$310,MATCH($D$2,$C$280:$V$280,0)),""))</f>
        <v/>
      </c>
      <c r="AB41" s="42">
        <f>IF($B41="","",IF($B$2="Todos",SUMIFS(BD!$AA$3:$AA$5001,BD!$A$3:$A$5001,$B41),SUMIFS(BD!$AA$3:$AA$5001,BD!$A$3:$A$5001,$B41,BD!$B$3:$B$5001,$D$2)))</f>
        <v>0</v>
      </c>
      <c r="AC41" s="58">
        <f>IF($B41="","",IF($B$2="Todos",SUMIFS(BD!$AB$3:$AB$5001,BD!$A$3:$A$5001,$B41),SUMIFS(BD!$AB$3:$AB$5001,BD!$A$3:$A$5001,$B41,BD!$B$3:$B$5001,$D$2)))</f>
        <v>0</v>
      </c>
      <c r="AD41" s="42">
        <f>IF($B41="","",IF($B$2="Todos",SUMIFS(BD!$AC$3:$AC$5001,BD!$A$3:$A$5001,$B41),SUMIFS(BD!$AC$3:$AC$5001,BD!$A$3:$A$5001,$B41,BD!$B$3:$B$5001,$D$2)))</f>
        <v>0</v>
      </c>
      <c r="AE41" s="42">
        <f>IF($B41="","",IF($B$2="Todos",SUMIFS(BD!$AD$3:$AD$5001,BD!$A$3:$A$5001,$B41),SUMIFS(BD!$AD$3:$AD$5001,BD!$A$3:$A$5001,$B41,BD!$B$3:$B$5001,$D$2)))</f>
        <v>0</v>
      </c>
      <c r="AF41" s="42">
        <f>IF($B41="","",IF($B$2="Todos",SUMIFS(BD!$AE$3:$AE$5001,BD!$A$3:$A$5001,$B41),SUMIFS(BD!$AE$3:$AE$5001,BD!$A$3:$A$5001,$B41,BD!$B$3:$B$5001,$D$2)))</f>
        <v>0</v>
      </c>
      <c r="AG41" s="42">
        <f>IF($B41="","",IF($B$2="Todos",SUMIFS(BD!$AF$3:$AF$5001,BD!$A$3:$A$5001,$B41),SUMIFS(BD!$AF$3:$AF$5001,BD!$A$3:$A$5001,$B41,BD!$B$3:$B$5001,$D$2)))</f>
        <v>0</v>
      </c>
      <c r="AH41" s="42">
        <f>IF($B41="","",IF($B$2="Todos",SUMIFS(BD!$AG$3:$AG$5001,BD!$A$3:$A$5001,$B41),SUMIFS(BD!$AG$3:$AG$5001,BD!$A$3:$A$5001,$B41,BD!$B$3:$B$5001,$D$2)))</f>
        <v>0</v>
      </c>
      <c r="AI41" s="42">
        <f>IF($B41="","",IF($B$2="Todos",SUMIFS(BD!$AH$3:$AH$5001,BD!$A$3:$A$5001,$B41),SUMIFS(BD!$AH$3:$AH$5001,BD!$A$3:$A$5001,$B41,BD!$B$3:$B$5001,$D$2)))</f>
        <v>0</v>
      </c>
      <c r="AJ41" s="61">
        <f>$B$5</f>
        <v>0.7</v>
      </c>
      <c r="AK41" s="61">
        <f>$B$6</f>
        <v>0.9</v>
      </c>
      <c r="AZ41" s="72">
        <f>IF(OR($B41="",N(VALUE($AH$384))=0),"",IF(INDEX($C41:$AI41,VALUE($AH$384))="","",IF(N(VALUE($AJ$384))=0,INDEX($C41:$AI41,VALUE($AH$384)),IF(N(INDEX($C41:$AI41,N(VALUE($AJ$384))))&gt;0,INDEX($C41:$AI41,VALUE($AH$384))/INDEX($C41:$AI41,N(VALUE($AJ$384))),""))))</f>
        <v>0</v>
      </c>
      <c r="BA41" s="72">
        <f>IF(OR($B41="",N(VALUE($AI$384))=0),"",IF(INDEX($C41:$AI41,VALUE($AI$384))="","",IF(N(VALUE($AK$384))=0,INDEX($C41:$AI41,VALUE($AI$384)),IF(N(INDEX($C41:$AI41,N(VALUE($AK$384))))&gt;0,INDEX($C41:$AI41,VALUE($AI$384))/INDEX($C41:$AI41,N(VALUE($AK$384))),""))))</f>
        <v>0</v>
      </c>
      <c r="BB41" s="72">
        <f>IF(OR($B41="",N(VALUE($AP$384))=0),"",IF(INDEX($C41:$AI41,VALUE($AP$384))="","",IF(N(VALUE($AR$384))=0,INDEX($C41:$AI41,VALUE($AP$384)),IF(N(INDEX($C41:$AI41,N(VALUE($AR$384))))&gt;0,INDEX($C41:$AI41,VALUE($AP$384))/INDEX($C41:$AI41,N(VALUE($AR$384))),""))))</f>
        <v>0</v>
      </c>
      <c r="BC41" s="72">
        <f>IF(OR($B41="",N(VALUE($AQ$384))=0),"",IF(INDEX($C41:$AI41,VALUE($AQ$384))="","",IF(N(VALUE($AS$384))=0,INDEX($C41:$AI41,VALUE($AQ$384)),IF(N(INDEX($C41:$AI41,N(VALUE($AS$384))))&gt;0,INDEX($C41:$AI41,VALUE($AQ$384))/INDEX($C41:$AI41,N(VALUE($AS$384))),""))))</f>
        <v>0</v>
      </c>
      <c r="BE41" s="42" t="str">
        <f>IF(AND($A41=$B$9,ISNUMBER(X41)),X41,NA())</f>
        <v/>
      </c>
    </row>
    <row r="42">
      <c r="A42" s="39">
        <v>31</v>
      </c>
      <c r="B42" s="57">
        <f>IF($A42&lt;=DAY($D$7),$C$7+$A42-1,"")</f>
        <v>46326</v>
      </c>
      <c r="C42" s="42">
        <f>IF($B42="","",IF($B$2="Todos",SUMIFS(BD!$C$3:$C$5001,BD!$A$3:$A$5001,$B42),SUMIFS(BD!$C$3:$C$5001,BD!$A$3:$A$5001,$B42,BD!$B$3:$B$5001,$D$2)))</f>
        <v>0</v>
      </c>
      <c r="D42" s="42">
        <f>IF($B42="","",IF($B$2="Todos",SUMIFS(BD!$D$3:$D$5001,BD!$A$3:$A$5001,$B42),SUMIFS(BD!$D$3:$D$5001,BD!$A$3:$A$5001,$B42,BD!$B$3:$B$5001,$D$2)))</f>
        <v>0</v>
      </c>
      <c r="E42" s="58">
        <f>IF($B42="","",IF($B$2="Todos",SUMIFS(BD!$E$3:$E$5001,BD!$A$3:$A$5001,$B42),SUMIFS(BD!$E$3:$E$5001,BD!$A$3:$A$5001,$B42,BD!$B$3:$B$5001,$D$2)))</f>
        <v>0</v>
      </c>
      <c r="F42" s="42">
        <f>IF($B42="","",IF($B$2="Todos",SUMIFS(BD!$F$3:$F$5001,BD!$A$3:$A$5001,$B42),SUMIFS(BD!$F$3:$F$5001,BD!$A$3:$A$5001,$B42,BD!$B$3:$B$5001,$D$2)))</f>
        <v>0</v>
      </c>
      <c r="G42" s="42">
        <f>IF($B42="","",IF($B$2="Todos",SUMIFS(BD!$G$3:$G$5001,BD!$A$3:$A$5001,$B42),SUMIFS(BD!$G$3:$G$5001,BD!$A$3:$A$5001,$B42,BD!$B$3:$B$5001,$D$2)))</f>
        <v>0</v>
      </c>
      <c r="H42" s="42">
        <f>IF($B42="","",IF($B$2="Todos",SUMIFS(BD!$H$3:$H$5001,BD!$A$3:$A$5001,$B42),SUMIFS(BD!$H$3:$H$5001,BD!$A$3:$A$5001,$B42,BD!$B$3:$B$5001,$D$2)))</f>
        <v>0</v>
      </c>
      <c r="I42" s="42">
        <f>IF($B42="","",IF($B$2="Todos",SUMIFS(BD!$I$3:$I$5001,BD!$A$3:$A$5001,$B42),SUMIFS(BD!$I$3:$I$5001,BD!$A$3:$A$5001,$B42,BD!$B$3:$B$5001,$D$2)))</f>
        <v>0</v>
      </c>
      <c r="J42" s="42">
        <f>IF($B42="","",IF($B$2="Todos",SUMIFS(BD!$J$3:$J$5001,BD!$A$3:$A$5001,$B42),SUMIFS(BD!$J$3:$J$5001,BD!$A$3:$A$5001,$B42,BD!$B$3:$B$5001,$D$2)))</f>
        <v>0</v>
      </c>
      <c r="K42" s="42">
        <f>IF($B42="","",IF($B$2="Todos",SUMIFS(BD!$K$3:$K$5001,BD!$A$3:$A$5001,$B42),SUMIFS(BD!$K$3:$K$5001,BD!$A$3:$A$5001,$B42,BD!$B$3:$B$5001,$D$2)))</f>
        <v>0</v>
      </c>
      <c r="L42" s="42">
        <f>IF($B42="","",IF($B$2="Todos",SUMIFS(BD!$L$3:$L$5001,BD!$A$3:$A$5001,$B42),SUMIFS(BD!$L$3:$L$5001,BD!$A$3:$A$5001,$B42,BD!$B$3:$B$5001,$D$2)))</f>
        <v>0</v>
      </c>
      <c r="M42" s="42">
        <f>IF($B42="","",IF($B$2="Todos",SUMIFS(BD!$M$3:$M$5001,BD!$A$3:$A$5001,$B42),SUMIFS(BD!$M$3:$M$5001,BD!$A$3:$A$5001,$B42,BD!$B$3:$B$5001,$D$2)))</f>
        <v>0</v>
      </c>
      <c r="N42" s="42">
        <f>IF($B42="","",IF($B$2="Todos",SUMIFS(BD!$N$3:$N$5001,BD!$A$3:$A$5001,$B42),SUMIFS(BD!$N$3:$N$5001,BD!$A$3:$A$5001,$B42,BD!$B$3:$B$5001,$D$2)))</f>
        <v>0</v>
      </c>
      <c r="O42" s="42">
        <f>IF($B42="","",IF($B$2="Todos",SUMIFS(BD!$O$3:$O$5001,BD!$A$3:$A$5001,$B42),SUMIFS(BD!$O$3:$O$5001,BD!$A$3:$A$5001,$B42,BD!$B$3:$B$5001,$D$2)))</f>
        <v>0</v>
      </c>
      <c r="P42" s="42">
        <f>IF($B42="","",IF($B$2="Todos",SUMIFS(BD!$P$3:$P$5001,BD!$A$3:$A$5001,$B42),SUMIFS(BD!$P$3:$P$5001,BD!$A$3:$A$5001,$B42,BD!$B$3:$B$5001,$D$2)))</f>
        <v>0</v>
      </c>
      <c r="Q42" s="42">
        <f>IF($B42="","",IF($B$2="Todos",SUMIFS(BD!$Q$3:$Q$5001,BD!$A$3:$A$5001,$B42),SUMIFS(BD!$Q$3:$Q$5001,BD!$A$3:$A$5001,$B42,BD!$B$3:$B$5001,$D$2)))</f>
        <v>0</v>
      </c>
      <c r="R42" s="42">
        <f>IF($B42="","",IF($B$2="Todos",SUMIFS(BD!$R$3:$R$5001,BD!$A$3:$A$5001,$B42),SUMIFS(BD!$R$3:$R$5001,BD!$A$3:$A$5001,$B42,BD!$B$3:$B$5001,$D$2)))</f>
        <v>0</v>
      </c>
      <c r="S42" s="58">
        <f>IF($B42="","",IF($B$2="Todos",SUMIFS(BD!$S$3:$S$5001,BD!$A$3:$A$5001,$B42),SUMIFS(BD!$S$3:$S$5001,BD!$A$3:$A$5001,$B42,BD!$B$3:$B$5001,$D$2)))</f>
        <v>0</v>
      </c>
      <c r="T42" s="42">
        <f>IF($B42="","",IF($B$2="Todos",SUMIFS(BD!$T$3:$T$5001,BD!$A$3:$A$5001,$B42),SUMIFS(BD!$T$3:$T$5001,BD!$A$3:$A$5001,$B42,BD!$B$3:$B$5001,$D$2)))</f>
        <v>0</v>
      </c>
      <c r="U42" s="42">
        <f>IF($B42="","",IF($B$2="Todos",SUMIFS(BD!$U$3:$U$5001,BD!$A$3:$A$5001,$B42),SUMIFS(BD!$U$3:$U$5001,BD!$A$3:$A$5001,$B42,BD!$B$3:$B$5001,$D$2)))</f>
        <v>0</v>
      </c>
      <c r="V42" s="42" t="str">
        <f>IF($B$2="Todos",IF(COUNT($C$171:$V$171)=0,"",SUM($C$171:$V$171)),IFERROR(INDEX($C$171:$V$171,MATCH($D$2,$C$140:$V$140,0)),""))</f>
        <v/>
      </c>
      <c r="W42" s="42" t="str">
        <f>IF($B$2="Todos",IF(COUNT($C$206:$V$206)=0,"",SUM($C$206:$V$206)),IFERROR(INDEX($C$206:$V$206,MATCH($D$2,$C$175:$V$175,0)),""))</f>
        <v/>
      </c>
      <c r="X42" s="59" t="str">
        <f>IF(Y42="","",IF($B$2="Todos",IF($B$4&gt;0,$B$4,IF($B$2="Todos",IF(COUNT($C$276:$V$276)=0,"",SUM($C$276:$V$276)),IFERROR(INDEX($C$276:$V$276,MATCH($D$2,$C$245:$V$245,0)),""))),IFERROR(INDEX($C$276:$V$276,MATCH($D$2,$C$245:$V$245,0)),"")))</f>
        <v/>
      </c>
      <c r="Y42" s="42" t="str">
        <f>IF($B$2="Todos",IF(COUNT($C$241:$V$241)=0,"",SUM($C$241:$V$241)),IFERROR(INDEX($C$241:$V$241,MATCH($D$2,$C$210:$V$210,0)),""))</f>
        <v/>
      </c>
      <c r="Z42" s="60" t="str">
        <f>IF(AND(ISNUMBER(Y42),ISNUMBER(X42)),IF(X42&gt;0,Y42/X42,""),"")</f>
        <v/>
      </c>
      <c r="AA42" s="42" t="str">
        <f>IF($B$2="Todos",IF(COUNT($C$311:$V$311)=0,"",SUM($C$311:$V$311)),IFERROR(INDEX($C$311:$V$311,MATCH($D$2,$C$280:$V$280,0)),""))</f>
        <v/>
      </c>
      <c r="AB42" s="42">
        <f>IF($B42="","",IF($B$2="Todos",SUMIFS(BD!$AA$3:$AA$5001,BD!$A$3:$A$5001,$B42),SUMIFS(BD!$AA$3:$AA$5001,BD!$A$3:$A$5001,$B42,BD!$B$3:$B$5001,$D$2)))</f>
        <v>0</v>
      </c>
      <c r="AC42" s="58">
        <f>IF($B42="","",IF($B$2="Todos",SUMIFS(BD!$AB$3:$AB$5001,BD!$A$3:$A$5001,$B42),SUMIFS(BD!$AB$3:$AB$5001,BD!$A$3:$A$5001,$B42,BD!$B$3:$B$5001,$D$2)))</f>
        <v>0</v>
      </c>
      <c r="AD42" s="42">
        <f>IF($B42="","",IF($B$2="Todos",SUMIFS(BD!$AC$3:$AC$5001,BD!$A$3:$A$5001,$B42),SUMIFS(BD!$AC$3:$AC$5001,BD!$A$3:$A$5001,$B42,BD!$B$3:$B$5001,$D$2)))</f>
        <v>0</v>
      </c>
      <c r="AE42" s="42">
        <f>IF($B42="","",IF($B$2="Todos",SUMIFS(BD!$AD$3:$AD$5001,BD!$A$3:$A$5001,$B42),SUMIFS(BD!$AD$3:$AD$5001,BD!$A$3:$A$5001,$B42,BD!$B$3:$B$5001,$D$2)))</f>
        <v>0</v>
      </c>
      <c r="AF42" s="42">
        <f>IF($B42="","",IF($B$2="Todos",SUMIFS(BD!$AE$3:$AE$5001,BD!$A$3:$A$5001,$B42),SUMIFS(BD!$AE$3:$AE$5001,BD!$A$3:$A$5001,$B42,BD!$B$3:$B$5001,$D$2)))</f>
        <v>0</v>
      </c>
      <c r="AG42" s="42">
        <f>IF($B42="","",IF($B$2="Todos",SUMIFS(BD!$AF$3:$AF$5001,BD!$A$3:$A$5001,$B42),SUMIFS(BD!$AF$3:$AF$5001,BD!$A$3:$A$5001,$B42,BD!$B$3:$B$5001,$D$2)))</f>
        <v>0</v>
      </c>
      <c r="AH42" s="42">
        <f>IF($B42="","",IF($B$2="Todos",SUMIFS(BD!$AG$3:$AG$5001,BD!$A$3:$A$5001,$B42),SUMIFS(BD!$AG$3:$AG$5001,BD!$A$3:$A$5001,$B42,BD!$B$3:$B$5001,$D$2)))</f>
        <v>0</v>
      </c>
      <c r="AI42" s="42">
        <f>IF($B42="","",IF($B$2="Todos",SUMIFS(BD!$AH$3:$AH$5001,BD!$A$3:$A$5001,$B42),SUMIFS(BD!$AH$3:$AH$5001,BD!$A$3:$A$5001,$B42,BD!$B$3:$B$5001,$D$2)))</f>
        <v>0</v>
      </c>
      <c r="AJ42" s="61">
        <f>$B$5</f>
        <v>0.7</v>
      </c>
      <c r="AK42" s="61">
        <f>$B$6</f>
        <v>0.9</v>
      </c>
      <c r="AZ42" s="72">
        <f>IF(OR($B42="",N(VALUE($AH$384))=0),"",IF(INDEX($C42:$AI42,VALUE($AH$384))="","",IF(N(VALUE($AJ$384))=0,INDEX($C42:$AI42,VALUE($AH$384)),IF(N(INDEX($C42:$AI42,N(VALUE($AJ$384))))&gt;0,INDEX($C42:$AI42,VALUE($AH$384))/INDEX($C42:$AI42,N(VALUE($AJ$384))),""))))</f>
        <v>0</v>
      </c>
      <c r="BA42" s="72">
        <f>IF(OR($B42="",N(VALUE($AI$384))=0),"",IF(INDEX($C42:$AI42,VALUE($AI$384))="","",IF(N(VALUE($AK$384))=0,INDEX($C42:$AI42,VALUE($AI$384)),IF(N(INDEX($C42:$AI42,N(VALUE($AK$384))))&gt;0,INDEX($C42:$AI42,VALUE($AI$384))/INDEX($C42:$AI42,N(VALUE($AK$384))),""))))</f>
        <v>0</v>
      </c>
      <c r="BB42" s="72">
        <f>IF(OR($B42="",N(VALUE($AP$384))=0),"",IF(INDEX($C42:$AI42,VALUE($AP$384))="","",IF(N(VALUE($AR$384))=0,INDEX($C42:$AI42,VALUE($AP$384)),IF(N(INDEX($C42:$AI42,N(VALUE($AR$384))))&gt;0,INDEX($C42:$AI42,VALUE($AP$384))/INDEX($C42:$AI42,N(VALUE($AR$384))),""))))</f>
        <v>0</v>
      </c>
      <c r="BC42" s="72">
        <f>IF(OR($B42="",N(VALUE($AQ$384))=0),"",IF(INDEX($C42:$AI42,VALUE($AQ$384))="","",IF(N(VALUE($AS$384))=0,INDEX($C42:$AI42,VALUE($AQ$384)),IF(N(INDEX($C42:$AI42,N(VALUE($AS$384))))&gt;0,INDEX($C42:$AI42,VALUE($AQ$384))/INDEX($C42:$AI42,N(VALUE($AS$384))),""))))</f>
        <v>0</v>
      </c>
      <c r="BE42" s="42" t="str">
        <f>IF(AND($A42=$B$9,ISNUMBER(X42)),X42,NA())</f>
        <v/>
      </c>
    </row>
    <row r="43">
      <c r="A43" s="62" t="inlineStr">
        <is>
          <t xml:space="preserve">Realizado no mês (soma · último valor em estoque)</t>
        </is>
      </c>
      <c r="C43" s="64">
        <f>SUM(C12:C42)</f>
        <v>0</v>
      </c>
      <c r="D43" s="64">
        <f>SUM(D12:D42)</f>
        <v>0</v>
      </c>
      <c r="E43" s="70">
        <f>SUM(E12:E42)</f>
        <v>0</v>
      </c>
      <c r="F43" s="64">
        <f>SUM(F12:F42)</f>
        <v>0</v>
      </c>
      <c r="G43" s="64">
        <f>SUM(G12:G42)</f>
        <v>0</v>
      </c>
      <c r="H43" s="64">
        <f>SUM(H12:H42)</f>
        <v>0</v>
      </c>
      <c r="I43" s="64">
        <f>SUM(I12:I42)</f>
        <v>0</v>
      </c>
      <c r="J43" s="64">
        <f>SUM(J12:J42)</f>
        <v>0</v>
      </c>
      <c r="K43" s="64">
        <f>SUM(K12:K42)</f>
        <v>0</v>
      </c>
      <c r="L43" s="64">
        <f>SUM(L12:L42)</f>
        <v>0</v>
      </c>
      <c r="M43" s="64">
        <f>SUM(M12:M42)</f>
        <v>0</v>
      </c>
      <c r="N43" s="64">
        <f>SUM(N12:N42)</f>
        <v>0</v>
      </c>
      <c r="O43" s="64">
        <f>SUM(O12:O42)</f>
        <v>0</v>
      </c>
      <c r="P43" s="64">
        <f>SUM(P12:P42)</f>
        <v>0</v>
      </c>
      <c r="Q43" s="64">
        <f>SUM(Q12:Q42)</f>
        <v>0</v>
      </c>
      <c r="R43" s="64">
        <f>SUM(R12:R42)</f>
        <v>0</v>
      </c>
      <c r="S43" s="70">
        <f>SUM(S12:S42)</f>
        <v>0</v>
      </c>
      <c r="T43" s="64">
        <f>SUM(T12:T42)</f>
        <v>0</v>
      </c>
      <c r="U43" s="64">
        <f>SUM(U12:U42)</f>
        <v>0</v>
      </c>
      <c r="V43" s="64" t="str">
        <f>IFERROR(LOOKUP(9.99E+307,V12:V42),"")</f>
        <v/>
      </c>
      <c r="W43" s="64" t="str">
        <f>IFERROR(LOOKUP(9.99E+307,W12:W42),"")</f>
        <v/>
      </c>
      <c r="X43" s="64" t="str">
        <f>IFERROR(LOOKUP(9.99E+307,X12:X42),"")</f>
        <v/>
      </c>
      <c r="Y43" s="64" t="str">
        <f>IFERROR(LOOKUP(9.99E+307,Y12:Y42),"")</f>
        <v/>
      </c>
      <c r="Z43" s="71" t="str">
        <f>IFERROR(LOOKUP(9.99E+307,Z12:Z42),"")</f>
        <v/>
      </c>
      <c r="AA43" s="64" t="str">
        <f>IFERROR(LOOKUP(9.99E+307,AA12:AA42),"")</f>
        <v/>
      </c>
      <c r="AB43" s="64">
        <f>SUM(AB12:AB42)</f>
        <v>0</v>
      </c>
      <c r="AC43" s="70">
        <f>SUM(AC12:AC42)</f>
        <v>0</v>
      </c>
      <c r="AD43" s="64">
        <f>SUM(AD12:AD42)</f>
        <v>0</v>
      </c>
      <c r="AE43" s="64">
        <f>SUM(AE12:AE42)</f>
        <v>0</v>
      </c>
      <c r="AF43" s="64">
        <f>SUM(AF12:AF42)</f>
        <v>0</v>
      </c>
      <c r="AG43" s="64">
        <f>SUM(AG12:AG42)</f>
        <v>0</v>
      </c>
      <c r="AH43" s="64">
        <f>SUM(AH12:AH42)</f>
        <v>0</v>
      </c>
      <c r="AI43" s="64">
        <f>SUM(AI12:AI42)</f>
        <v>0</v>
      </c>
    </row>
    <row r="44">
      <c r="A44" s="63" t="inlineStr">
        <is>
          <t xml:space="preserve">Média por dia</t>
        </is>
      </c>
      <c r="C44" s="65" t="str">
        <f>IFERROR(AVERAGEIF(C12:C42,"&gt;0"),"")</f>
        <v/>
      </c>
      <c r="D44" s="65" t="str">
        <f>IFERROR(AVERAGEIF(D12:D42,"&gt;0"),"")</f>
        <v/>
      </c>
      <c r="E44" s="65" t="str">
        <f>IFERROR(AVERAGEIF(E12:E42,"&gt;0"),"")</f>
        <v/>
      </c>
      <c r="F44" s="65" t="str">
        <f>IFERROR(AVERAGEIF(F12:F42,"&gt;0"),"")</f>
        <v/>
      </c>
      <c r="G44" s="65" t="str">
        <f>IFERROR(AVERAGEIF(G12:G42,"&gt;0"),"")</f>
        <v/>
      </c>
      <c r="H44" s="65" t="str">
        <f>IFERROR(AVERAGEIF(H12:H42,"&gt;0"),"")</f>
        <v/>
      </c>
      <c r="I44" s="65" t="str">
        <f>IFERROR(AVERAGEIF(I12:I42,"&gt;0"),"")</f>
        <v/>
      </c>
      <c r="J44" s="65" t="str">
        <f>IFERROR(AVERAGEIF(J12:J42,"&gt;0"),"")</f>
        <v/>
      </c>
      <c r="K44" s="65" t="str">
        <f>IFERROR(AVERAGEIF(K12:K42,"&gt;0"),"")</f>
        <v/>
      </c>
      <c r="L44" s="65" t="str">
        <f>IFERROR(AVERAGEIF(L12:L42,"&gt;0"),"")</f>
        <v/>
      </c>
      <c r="M44" s="65" t="str">
        <f>IFERROR(AVERAGEIF(M12:M42,"&gt;0"),"")</f>
        <v/>
      </c>
      <c r="N44" s="65" t="str">
        <f>IFERROR(AVERAGEIF(N12:N42,"&gt;0"),"")</f>
        <v/>
      </c>
      <c r="O44" s="65" t="str">
        <f>IFERROR(AVERAGEIF(O12:O42,"&gt;0"),"")</f>
        <v/>
      </c>
      <c r="P44" s="65" t="str">
        <f>IFERROR(AVERAGEIF(P12:P42,"&gt;0"),"")</f>
        <v/>
      </c>
      <c r="Q44" s="65" t="str">
        <f>IFERROR(AVERAGEIF(Q12:Q42,"&gt;0"),"")</f>
        <v/>
      </c>
      <c r="R44" s="65" t="str">
        <f>IFERROR(AVERAGEIF(R12:R42,"&gt;0"),"")</f>
        <v/>
      </c>
      <c r="S44" s="65" t="str">
        <f>IFERROR(AVERAGEIF(S12:S42,"&gt;0"),"")</f>
        <v/>
      </c>
      <c r="T44" s="65" t="str">
        <f>IFERROR(AVERAGEIF(T12:T42,"&gt;0"),"")</f>
        <v/>
      </c>
      <c r="U44" s="65" t="str">
        <f>IFERROR(AVERAGEIF(U12:U42,"&gt;0"),"")</f>
        <v/>
      </c>
      <c r="V44" s="65" t="str">
        <f>IFERROR(AVERAGE(V12:V42),"")</f>
        <v/>
      </c>
      <c r="W44" s="65" t="str">
        <f>IFERROR(AVERAGE(W12:W42),"")</f>
        <v/>
      </c>
      <c r="X44" s="65" t="str">
        <f>IFERROR(AVERAGE(X12:X42),"")</f>
        <v/>
      </c>
      <c r="Y44" s="65" t="str">
        <f>IFERROR(AVERAGE(Y12:Y42),"")</f>
        <v/>
      </c>
      <c r="Z44" s="67" t="str">
        <f>IFERROR(AVERAGE(Z12:Z42),"")</f>
        <v/>
      </c>
      <c r="AA44" s="65" t="str">
        <f>IFERROR(AVERAGE(AA12:AA42),"")</f>
        <v/>
      </c>
      <c r="AB44" s="65" t="str">
        <f>IFERROR(AVERAGEIF(AB12:AB42,"&gt;0"),"")</f>
        <v/>
      </c>
      <c r="AC44" s="65" t="str">
        <f>IFERROR(AVERAGEIF(AC12:AC42,"&gt;0"),"")</f>
        <v/>
      </c>
      <c r="AD44" s="65" t="str">
        <f>IFERROR(AVERAGEIF(AD12:AD42,"&gt;0"),"")</f>
        <v/>
      </c>
      <c r="AE44" s="65" t="str">
        <f>IFERROR(AVERAGEIF(AE12:AE42,"&gt;0"),"")</f>
        <v/>
      </c>
      <c r="AF44" s="65" t="str">
        <f>IFERROR(AVERAGEIF(AF12:AF42,"&gt;0"),"")</f>
        <v/>
      </c>
      <c r="AG44" s="65" t="str">
        <f>IFERROR(AVERAGEIF(AG12:AG42,"&gt;0"),"")</f>
        <v/>
      </c>
      <c r="AH44" s="65" t="str">
        <f>IFERROR(AVERAGEIF(AH12:AH42,"&gt;0"),"")</f>
        <v/>
      </c>
      <c r="AI44" s="65" t="str">
        <f>IFERROR(AVERAGEIF(AI12:AI42,"&gt;0"),"")</f>
        <v/>
      </c>
    </row>
    <row r="45">
      <c r="A45" s="63" t="inlineStr">
        <is>
          <t xml:space="preserve">Máximo em um dia</t>
        </is>
      </c>
      <c r="C45" s="66">
        <f>IF(COUNT(C12:C42)=0,"",MAX(C12:C42))</f>
        <v>0</v>
      </c>
      <c r="D45" s="66">
        <f>IF(COUNT(D12:D42)=0,"",MAX(D12:D42))</f>
        <v>0</v>
      </c>
      <c r="E45" s="65">
        <f>IF(COUNT(E12:E42)=0,"",MAX(E12:E42))</f>
        <v>0</v>
      </c>
      <c r="F45" s="66">
        <f>IF(COUNT(F12:F42)=0,"",MAX(F12:F42))</f>
        <v>0</v>
      </c>
      <c r="G45" s="66">
        <f>IF(COUNT(G12:G42)=0,"",MAX(G12:G42))</f>
        <v>0</v>
      </c>
      <c r="H45" s="66">
        <f>IF(COUNT(H12:H42)=0,"",MAX(H12:H42))</f>
        <v>0</v>
      </c>
      <c r="I45" s="66">
        <f>IF(COUNT(I12:I42)=0,"",MAX(I12:I42))</f>
        <v>0</v>
      </c>
      <c r="J45" s="66">
        <f>IF(COUNT(J12:J42)=0,"",MAX(J12:J42))</f>
        <v>0</v>
      </c>
      <c r="K45" s="66">
        <f>IF(COUNT(K12:K42)=0,"",MAX(K12:K42))</f>
        <v>0</v>
      </c>
      <c r="L45" s="66">
        <f>IF(COUNT(L12:L42)=0,"",MAX(L12:L42))</f>
        <v>0</v>
      </c>
      <c r="M45" s="66">
        <f>IF(COUNT(M12:M42)=0,"",MAX(M12:M42))</f>
        <v>0</v>
      </c>
      <c r="N45" s="66">
        <f>IF(COUNT(N12:N42)=0,"",MAX(N12:N42))</f>
        <v>0</v>
      </c>
      <c r="O45" s="66">
        <f>IF(COUNT(O12:O42)=0,"",MAX(O12:O42))</f>
        <v>0</v>
      </c>
      <c r="P45" s="66">
        <f>IF(COUNT(P12:P42)=0,"",MAX(P12:P42))</f>
        <v>0</v>
      </c>
      <c r="Q45" s="66">
        <f>IF(COUNT(Q12:Q42)=0,"",MAX(Q12:Q42))</f>
        <v>0</v>
      </c>
      <c r="R45" s="66">
        <f>IF(COUNT(R12:R42)=0,"",MAX(R12:R42))</f>
        <v>0</v>
      </c>
      <c r="S45" s="65">
        <f>IF(COUNT(S12:S42)=0,"",MAX(S12:S42))</f>
        <v>0</v>
      </c>
      <c r="T45" s="66">
        <f>IF(COUNT(T12:T42)=0,"",MAX(T12:T42))</f>
        <v>0</v>
      </c>
      <c r="U45" s="66">
        <f>IF(COUNT(U12:U42)=0,"",MAX(U12:U42))</f>
        <v>0</v>
      </c>
      <c r="V45" s="66" t="str">
        <f>IF(COUNT(V12:V42)=0,"",MAX(V12:V42))</f>
        <v/>
      </c>
      <c r="W45" s="66" t="str">
        <f>IF(COUNT(W12:W42)=0,"",MAX(W12:W42))</f>
        <v/>
      </c>
      <c r="X45" s="66" t="str">
        <f>IF(COUNT(X12:X42)=0,"",MAX(X12:X42))</f>
        <v/>
      </c>
      <c r="Y45" s="66" t="str">
        <f>IF(COUNT(Y12:Y42)=0,"",MAX(Y12:Y42))</f>
        <v/>
      </c>
      <c r="Z45" s="67" t="str">
        <f>IF(COUNT(Z12:Z42)=0,"",MAX(Z12:Z42))</f>
        <v/>
      </c>
      <c r="AA45" s="66" t="str">
        <f>IF(COUNT(AA12:AA42)=0,"",MAX(AA12:AA42))</f>
        <v/>
      </c>
      <c r="AB45" s="66">
        <f>IF(COUNT(AB12:AB42)=0,"",MAX(AB12:AB42))</f>
        <v>0</v>
      </c>
      <c r="AC45" s="65">
        <f>IF(COUNT(AC12:AC42)=0,"",MAX(AC12:AC42))</f>
        <v>0</v>
      </c>
      <c r="AD45" s="66">
        <f>IF(COUNT(AD12:AD42)=0,"",MAX(AD12:AD42))</f>
        <v>0</v>
      </c>
      <c r="AE45" s="66">
        <f>IF(COUNT(AE12:AE42)=0,"",MAX(AE12:AE42))</f>
        <v>0</v>
      </c>
      <c r="AF45" s="66">
        <f>IF(COUNT(AF12:AF42)=0,"",MAX(AF12:AF42))</f>
        <v>0</v>
      </c>
      <c r="AG45" s="66">
        <f>IF(COUNT(AG12:AG42)=0,"",MAX(AG12:AG42))</f>
        <v>0</v>
      </c>
      <c r="AH45" s="66">
        <f>IF(COUNT(AH12:AH42)=0,"",MAX(AH12:AH42))</f>
        <v>0</v>
      </c>
      <c r="AI45" s="66">
        <f>IF(COUNT(AI12:AI42)=0,"",MAX(AI12:AI42))</f>
        <v>0</v>
      </c>
    </row>
    <row r="46">
      <c r="A46" s="63" t="inlineStr">
        <is>
          <t xml:space="preserve">Mês anterior (mesmo intervalo)</t>
        </is>
      </c>
      <c r="C46" s="66" t="str">
        <f>IF($B$9=0,"",IF($B$2="Todos",SUMIFS(BD!$C$3:$C$5001,BD!$A$3:$A$5001,"&gt;="&amp;$C$8,BD!$A$3:$A$5001,"&lt;="&amp;$D$8),SUMIFS(BD!$C$3:$C$5001,BD!$A$3:$A$5001,"&gt;="&amp;$C$8,BD!$A$3:$A$5001,"&lt;="&amp;$D$8,BD!$B$3:$B$5001,$D$2)))</f>
        <v/>
      </c>
      <c r="D46" s="66" t="str">
        <f>IF($B$9=0,"",IF($B$2="Todos",SUMIFS(BD!$D$3:$D$5001,BD!$A$3:$A$5001,"&gt;="&amp;$C$8,BD!$A$3:$A$5001,"&lt;="&amp;$D$8),SUMIFS(BD!$D$3:$D$5001,BD!$A$3:$A$5001,"&gt;="&amp;$C$8,BD!$A$3:$A$5001,"&lt;="&amp;$D$8,BD!$B$3:$B$5001,$D$2)))</f>
        <v/>
      </c>
      <c r="E46" s="65" t="str">
        <f>IF($B$9=0,"",IF($B$2="Todos",SUMIFS(BD!$E$3:$E$5001,BD!$A$3:$A$5001,"&gt;="&amp;$C$8,BD!$A$3:$A$5001,"&lt;="&amp;$D$8),SUMIFS(BD!$E$3:$E$5001,BD!$A$3:$A$5001,"&gt;="&amp;$C$8,BD!$A$3:$A$5001,"&lt;="&amp;$D$8,BD!$B$3:$B$5001,$D$2)))</f>
        <v/>
      </c>
      <c r="F46" s="66" t="str">
        <f>IF($B$9=0,"",IF($B$2="Todos",SUMIFS(BD!$F$3:$F$5001,BD!$A$3:$A$5001,"&gt;="&amp;$C$8,BD!$A$3:$A$5001,"&lt;="&amp;$D$8),SUMIFS(BD!$F$3:$F$5001,BD!$A$3:$A$5001,"&gt;="&amp;$C$8,BD!$A$3:$A$5001,"&lt;="&amp;$D$8,BD!$B$3:$B$5001,$D$2)))</f>
        <v/>
      </c>
      <c r="G46" s="66" t="str">
        <f>IF($B$9=0,"",IF($B$2="Todos",SUMIFS(BD!$G$3:$G$5001,BD!$A$3:$A$5001,"&gt;="&amp;$C$8,BD!$A$3:$A$5001,"&lt;="&amp;$D$8),SUMIFS(BD!$G$3:$G$5001,BD!$A$3:$A$5001,"&gt;="&amp;$C$8,BD!$A$3:$A$5001,"&lt;="&amp;$D$8,BD!$B$3:$B$5001,$D$2)))</f>
        <v/>
      </c>
      <c r="H46" s="66" t="str">
        <f>IF($B$9=0,"",IF($B$2="Todos",SUMIFS(BD!$H$3:$H$5001,BD!$A$3:$A$5001,"&gt;="&amp;$C$8,BD!$A$3:$A$5001,"&lt;="&amp;$D$8),SUMIFS(BD!$H$3:$H$5001,BD!$A$3:$A$5001,"&gt;="&amp;$C$8,BD!$A$3:$A$5001,"&lt;="&amp;$D$8,BD!$B$3:$B$5001,$D$2)))</f>
        <v/>
      </c>
      <c r="I46" s="66" t="str">
        <f>IF($B$9=0,"",IF($B$2="Todos",SUMIFS(BD!$I$3:$I$5001,BD!$A$3:$A$5001,"&gt;="&amp;$C$8,BD!$A$3:$A$5001,"&lt;="&amp;$D$8),SUMIFS(BD!$I$3:$I$5001,BD!$A$3:$A$5001,"&gt;="&amp;$C$8,BD!$A$3:$A$5001,"&lt;="&amp;$D$8,BD!$B$3:$B$5001,$D$2)))</f>
        <v/>
      </c>
      <c r="J46" s="66" t="str">
        <f>IF($B$9=0,"",IF($B$2="Todos",SUMIFS(BD!$J$3:$J$5001,BD!$A$3:$A$5001,"&gt;="&amp;$C$8,BD!$A$3:$A$5001,"&lt;="&amp;$D$8),SUMIFS(BD!$J$3:$J$5001,BD!$A$3:$A$5001,"&gt;="&amp;$C$8,BD!$A$3:$A$5001,"&lt;="&amp;$D$8,BD!$B$3:$B$5001,$D$2)))</f>
        <v/>
      </c>
      <c r="K46" s="66" t="str">
        <f>IF($B$9=0,"",IF($B$2="Todos",SUMIFS(BD!$K$3:$K$5001,BD!$A$3:$A$5001,"&gt;="&amp;$C$8,BD!$A$3:$A$5001,"&lt;="&amp;$D$8),SUMIFS(BD!$K$3:$K$5001,BD!$A$3:$A$5001,"&gt;="&amp;$C$8,BD!$A$3:$A$5001,"&lt;="&amp;$D$8,BD!$B$3:$B$5001,$D$2)))</f>
        <v/>
      </c>
      <c r="L46" s="66" t="str">
        <f>IF($B$9=0,"",IF($B$2="Todos",SUMIFS(BD!$L$3:$L$5001,BD!$A$3:$A$5001,"&gt;="&amp;$C$8,BD!$A$3:$A$5001,"&lt;="&amp;$D$8),SUMIFS(BD!$L$3:$L$5001,BD!$A$3:$A$5001,"&gt;="&amp;$C$8,BD!$A$3:$A$5001,"&lt;="&amp;$D$8,BD!$B$3:$B$5001,$D$2)))</f>
        <v/>
      </c>
      <c r="M46" s="66" t="str">
        <f>IF($B$9=0,"",IF($B$2="Todos",SUMIFS(BD!$M$3:$M$5001,BD!$A$3:$A$5001,"&gt;="&amp;$C$8,BD!$A$3:$A$5001,"&lt;="&amp;$D$8),SUMIFS(BD!$M$3:$M$5001,BD!$A$3:$A$5001,"&gt;="&amp;$C$8,BD!$A$3:$A$5001,"&lt;="&amp;$D$8,BD!$B$3:$B$5001,$D$2)))</f>
        <v/>
      </c>
      <c r="N46" s="66" t="str">
        <f>IF($B$9=0,"",IF($B$2="Todos",SUMIFS(BD!$N$3:$N$5001,BD!$A$3:$A$5001,"&gt;="&amp;$C$8,BD!$A$3:$A$5001,"&lt;="&amp;$D$8),SUMIFS(BD!$N$3:$N$5001,BD!$A$3:$A$5001,"&gt;="&amp;$C$8,BD!$A$3:$A$5001,"&lt;="&amp;$D$8,BD!$B$3:$B$5001,$D$2)))</f>
        <v/>
      </c>
      <c r="O46" s="66" t="str">
        <f>IF($B$9=0,"",IF($B$2="Todos",SUMIFS(BD!$O$3:$O$5001,BD!$A$3:$A$5001,"&gt;="&amp;$C$8,BD!$A$3:$A$5001,"&lt;="&amp;$D$8),SUMIFS(BD!$O$3:$O$5001,BD!$A$3:$A$5001,"&gt;="&amp;$C$8,BD!$A$3:$A$5001,"&lt;="&amp;$D$8,BD!$B$3:$B$5001,$D$2)))</f>
        <v/>
      </c>
      <c r="P46" s="66" t="str">
        <f>IF($B$9=0,"",IF($B$2="Todos",SUMIFS(BD!$P$3:$P$5001,BD!$A$3:$A$5001,"&gt;="&amp;$C$8,BD!$A$3:$A$5001,"&lt;="&amp;$D$8),SUMIFS(BD!$P$3:$P$5001,BD!$A$3:$A$5001,"&gt;="&amp;$C$8,BD!$A$3:$A$5001,"&lt;="&amp;$D$8,BD!$B$3:$B$5001,$D$2)))</f>
        <v/>
      </c>
      <c r="Q46" s="66" t="str">
        <f>IF($B$9=0,"",IF($B$2="Todos",SUMIFS(BD!$Q$3:$Q$5001,BD!$A$3:$A$5001,"&gt;="&amp;$C$8,BD!$A$3:$A$5001,"&lt;="&amp;$D$8),SUMIFS(BD!$Q$3:$Q$5001,BD!$A$3:$A$5001,"&gt;="&amp;$C$8,BD!$A$3:$A$5001,"&lt;="&amp;$D$8,BD!$B$3:$B$5001,$D$2)))</f>
        <v/>
      </c>
      <c r="R46" s="66" t="str">
        <f>IF($B$9=0,"",IF($B$2="Todos",SUMIFS(BD!$R$3:$R$5001,BD!$A$3:$A$5001,"&gt;="&amp;$C$8,BD!$A$3:$A$5001,"&lt;="&amp;$D$8),SUMIFS(BD!$R$3:$R$5001,BD!$A$3:$A$5001,"&gt;="&amp;$C$8,BD!$A$3:$A$5001,"&lt;="&amp;$D$8,BD!$B$3:$B$5001,$D$2)))</f>
        <v/>
      </c>
      <c r="S46" s="65" t="str">
        <f>IF($B$9=0,"",IF($B$2="Todos",SUMIFS(BD!$S$3:$S$5001,BD!$A$3:$A$5001,"&gt;="&amp;$C$8,BD!$A$3:$A$5001,"&lt;="&amp;$D$8),SUMIFS(BD!$S$3:$S$5001,BD!$A$3:$A$5001,"&gt;="&amp;$C$8,BD!$A$3:$A$5001,"&lt;="&amp;$D$8,BD!$B$3:$B$5001,$D$2)))</f>
        <v/>
      </c>
      <c r="T46" s="66" t="str">
        <f>IF($B$9=0,"",IF($B$2="Todos",SUMIFS(BD!$T$3:$T$5001,BD!$A$3:$A$5001,"&gt;="&amp;$C$8,BD!$A$3:$A$5001,"&lt;="&amp;$D$8),SUMIFS(BD!$T$3:$T$5001,BD!$A$3:$A$5001,"&gt;="&amp;$C$8,BD!$A$3:$A$5001,"&lt;="&amp;$D$8,BD!$B$3:$B$5001,$D$2)))</f>
        <v/>
      </c>
      <c r="U46" s="66" t="str">
        <f>IF($B$9=0,"",IF($B$2="Todos",SUMIFS(BD!$U$3:$U$5001,BD!$A$3:$A$5001,"&gt;="&amp;$C$8,BD!$A$3:$A$5001,"&lt;="&amp;$D$8),SUMIFS(BD!$U$3:$U$5001,BD!$A$3:$A$5001,"&gt;="&amp;$C$8,BD!$A$3:$A$5001,"&lt;="&amp;$D$8,BD!$B$3:$B$5001,$D$2)))</f>
        <v/>
      </c>
      <c r="V46" s="66" t="str">
        <f>IF($B$9=0,"",IF($B$2="Todos",IF(COUNT($C$172:$V$172)=0,"",SUM($C$172:$V$172)),IFERROR(INDEX($C$172:$V$172,MATCH($D$2,$C$140:$V$140,0)),"")))</f>
        <v/>
      </c>
      <c r="W46" s="66" t="str">
        <f>IF($B$9=0,"",IF($B$2="Todos",IF(COUNT($C$207:$V$207)=0,"",SUM($C$207:$V$207)),IFERROR(INDEX($C$207:$V$207,MATCH($D$2,$C$175:$V$175,0)),"")))</f>
        <v/>
      </c>
      <c r="X46" s="66" t="str">
        <f>IF(Y46="","",IF($B$2="Todos",IF($B$4&gt;0,$B$4,IF($B$2="Todos",IF(COUNT($C$277:$V$277)=0,"",SUM($C$277:$V$277)),IFERROR(INDEX($C$277:$V$277,MATCH($D$2,$C$245:$V$245,0)),""))),IFERROR(INDEX($C$277:$V$277,MATCH($D$2,$C$245:$V$245,0)),"")))</f>
        <v/>
      </c>
      <c r="Y46" s="66" t="str">
        <f>IF($B$9=0,"",IF($B$2="Todos",IF(COUNT($C$242:$V$242)=0,"",SUM($C$242:$V$242)),IFERROR(INDEX($C$242:$V$242,MATCH($D$2,$C$210:$V$210,0)),"")))</f>
        <v/>
      </c>
      <c r="Z46" s="67" t="str">
        <f>IF(AND(ISNUMBER(Y46),ISNUMBER(X46)),IF(X46&gt;0,Y46/X46,""),"")</f>
        <v/>
      </c>
      <c r="AA46" s="66" t="str">
        <f>IF($B$9=0,"",IF($B$2="Todos",IF(COUNT($C$312:$V$312)=0,"",SUM($C$312:$V$312)),IFERROR(INDEX($C$312:$V$312,MATCH($D$2,$C$280:$V$280,0)),"")))</f>
        <v/>
      </c>
      <c r="AB46" s="66" t="str">
        <f>IF($B$9=0,"",IF($B$2="Todos",SUMIFS(BD!$AA$3:$AA$5001,BD!$A$3:$A$5001,"&gt;="&amp;$C$8,BD!$A$3:$A$5001,"&lt;="&amp;$D$8),SUMIFS(BD!$AA$3:$AA$5001,BD!$A$3:$A$5001,"&gt;="&amp;$C$8,BD!$A$3:$A$5001,"&lt;="&amp;$D$8,BD!$B$3:$B$5001,$D$2)))</f>
        <v/>
      </c>
      <c r="AC46" s="65" t="str">
        <f>IF($B$9=0,"",IF($B$2="Todos",SUMIFS(BD!$AB$3:$AB$5001,BD!$A$3:$A$5001,"&gt;="&amp;$C$8,BD!$A$3:$A$5001,"&lt;="&amp;$D$8),SUMIFS(BD!$AB$3:$AB$5001,BD!$A$3:$A$5001,"&gt;="&amp;$C$8,BD!$A$3:$A$5001,"&lt;="&amp;$D$8,BD!$B$3:$B$5001,$D$2)))</f>
        <v/>
      </c>
      <c r="AD46" s="66" t="str">
        <f>IF($B$9=0,"",IF($B$2="Todos",SUMIFS(BD!$AC$3:$AC$5001,BD!$A$3:$A$5001,"&gt;="&amp;$C$8,BD!$A$3:$A$5001,"&lt;="&amp;$D$8),SUMIFS(BD!$AC$3:$AC$5001,BD!$A$3:$A$5001,"&gt;="&amp;$C$8,BD!$A$3:$A$5001,"&lt;="&amp;$D$8,BD!$B$3:$B$5001,$D$2)))</f>
        <v/>
      </c>
      <c r="AE46" s="66" t="str">
        <f>IF($B$9=0,"",IF($B$2="Todos",SUMIFS(BD!$AD$3:$AD$5001,BD!$A$3:$A$5001,"&gt;="&amp;$C$8,BD!$A$3:$A$5001,"&lt;="&amp;$D$8),SUMIFS(BD!$AD$3:$AD$5001,BD!$A$3:$A$5001,"&gt;="&amp;$C$8,BD!$A$3:$A$5001,"&lt;="&amp;$D$8,BD!$B$3:$B$5001,$D$2)))</f>
        <v/>
      </c>
      <c r="AF46" s="66" t="str">
        <f>IF($B$9=0,"",IF($B$2="Todos",SUMIFS(BD!$AE$3:$AE$5001,BD!$A$3:$A$5001,"&gt;="&amp;$C$8,BD!$A$3:$A$5001,"&lt;="&amp;$D$8),SUMIFS(BD!$AE$3:$AE$5001,BD!$A$3:$A$5001,"&gt;="&amp;$C$8,BD!$A$3:$A$5001,"&lt;="&amp;$D$8,BD!$B$3:$B$5001,$D$2)))</f>
        <v/>
      </c>
      <c r="AG46" s="66" t="str">
        <f>IF($B$9=0,"",IF($B$2="Todos",SUMIFS(BD!$AF$3:$AF$5001,BD!$A$3:$A$5001,"&gt;="&amp;$C$8,BD!$A$3:$A$5001,"&lt;="&amp;$D$8),SUMIFS(BD!$AF$3:$AF$5001,BD!$A$3:$A$5001,"&gt;="&amp;$C$8,BD!$A$3:$A$5001,"&lt;="&amp;$D$8,BD!$B$3:$B$5001,$D$2)))</f>
        <v/>
      </c>
      <c r="AH46" s="66" t="str">
        <f>IF($B$9=0,"",IF($B$2="Todos",SUMIFS(BD!$AG$3:$AG$5001,BD!$A$3:$A$5001,"&gt;="&amp;$C$8,BD!$A$3:$A$5001,"&lt;="&amp;$D$8),SUMIFS(BD!$AG$3:$AG$5001,BD!$A$3:$A$5001,"&gt;="&amp;$C$8,BD!$A$3:$A$5001,"&lt;="&amp;$D$8,BD!$B$3:$B$5001,$D$2)))</f>
        <v/>
      </c>
      <c r="AI46" s="66" t="str">
        <f>IF($B$9=0,"",IF($B$2="Todos",SUMIFS(BD!$AH$3:$AH$5001,BD!$A$3:$A$5001,"&gt;="&amp;$C$8,BD!$A$3:$A$5001,"&lt;="&amp;$D$8),SUMIFS(BD!$AH$3:$AH$5001,BD!$A$3:$A$5001,"&gt;="&amp;$C$8,BD!$A$3:$A$5001,"&lt;="&amp;$D$8,BD!$B$3:$B$5001,$D$2)))</f>
        <v/>
      </c>
    </row>
    <row r="47">
      <c r="A47" s="63" t="inlineStr">
        <is>
          <t xml:space="preserve">Variação vs mês anterior</t>
        </is>
      </c>
      <c r="C47" s="67" t="str">
        <f>IF(AND(ISNUMBER(C43),ISNUMBER(C46)),IF(C46&lt;&gt;0,C43/C46-1,""),"")</f>
        <v/>
      </c>
      <c r="D47" s="67" t="str">
        <f>IF(AND(ISNUMBER(D43),ISNUMBER(D46)),IF(D46&lt;&gt;0,D43/D46-1,""),"")</f>
        <v/>
      </c>
      <c r="E47" s="67" t="str">
        <f>IF(AND(ISNUMBER(E43),ISNUMBER(E46)),IF(E46&lt;&gt;0,E43/E46-1,""),"")</f>
        <v/>
      </c>
      <c r="F47" s="67" t="str">
        <f>IF(AND(ISNUMBER(F43),ISNUMBER(F46)),IF(F46&lt;&gt;0,F43/F46-1,""),"")</f>
        <v/>
      </c>
      <c r="G47" s="67" t="str">
        <f>IF(AND(ISNUMBER(G43),ISNUMBER(G46)),IF(G46&lt;&gt;0,G43/G46-1,""),"")</f>
        <v/>
      </c>
      <c r="H47" s="67" t="str">
        <f>IF(AND(ISNUMBER(H43),ISNUMBER(H46)),IF(H46&lt;&gt;0,H43/H46-1,""),"")</f>
        <v/>
      </c>
      <c r="I47" s="67" t="str">
        <f>IF(AND(ISNUMBER(I43),ISNUMBER(I46)),IF(I46&lt;&gt;0,I43/I46-1,""),"")</f>
        <v/>
      </c>
      <c r="J47" s="67" t="str">
        <f>IF(AND(ISNUMBER(J43),ISNUMBER(J46)),IF(J46&lt;&gt;0,J43/J46-1,""),"")</f>
        <v/>
      </c>
      <c r="K47" s="67" t="str">
        <f>IF(AND(ISNUMBER(K43),ISNUMBER(K46)),IF(K46&lt;&gt;0,K43/K46-1,""),"")</f>
        <v/>
      </c>
      <c r="L47" s="67" t="str">
        <f>IF(AND(ISNUMBER(L43),ISNUMBER(L46)),IF(L46&lt;&gt;0,L43/L46-1,""),"")</f>
        <v/>
      </c>
      <c r="M47" s="67" t="str">
        <f>IF(AND(ISNUMBER(M43),ISNUMBER(M46)),IF(M46&lt;&gt;0,M43/M46-1,""),"")</f>
        <v/>
      </c>
      <c r="N47" s="67" t="str">
        <f>IF(AND(ISNUMBER(N43),ISNUMBER(N46)),IF(N46&lt;&gt;0,N43/N46-1,""),"")</f>
        <v/>
      </c>
      <c r="O47" s="67" t="str">
        <f>IF(AND(ISNUMBER(O43),ISNUMBER(O46)),IF(O46&lt;&gt;0,O43/O46-1,""),"")</f>
        <v/>
      </c>
      <c r="P47" s="67" t="str">
        <f>IF(AND(ISNUMBER(P43),ISNUMBER(P46)),IF(P46&lt;&gt;0,P43/P46-1,""),"")</f>
        <v/>
      </c>
      <c r="Q47" s="67" t="str">
        <f>IF(AND(ISNUMBER(Q43),ISNUMBER(Q46)),IF(Q46&lt;&gt;0,Q43/Q46-1,""),"")</f>
        <v/>
      </c>
      <c r="R47" s="67" t="str">
        <f>IF(AND(ISNUMBER(R43),ISNUMBER(R46)),IF(R46&lt;&gt;0,R43/R46-1,""),"")</f>
        <v/>
      </c>
      <c r="S47" s="67" t="str">
        <f>IF(AND(ISNUMBER(S43),ISNUMBER(S46)),IF(S46&lt;&gt;0,S43/S46-1,""),"")</f>
        <v/>
      </c>
      <c r="T47" s="67" t="str">
        <f>IF(AND(ISNUMBER(T43),ISNUMBER(T46)),IF(T46&lt;&gt;0,T43/T46-1,""),"")</f>
        <v/>
      </c>
      <c r="U47" s="67" t="str">
        <f>IF(AND(ISNUMBER(U43),ISNUMBER(U46)),IF(U46&lt;&gt;0,U43/U46-1,""),"")</f>
        <v/>
      </c>
      <c r="V47" s="67" t="str">
        <f>IF(AND(ISNUMBER(V43),ISNUMBER(V46)),IF(V46&lt;&gt;0,V43/V46-1,""),"")</f>
        <v/>
      </c>
      <c r="W47" s="67" t="str">
        <f>IF(AND(ISNUMBER(W43),ISNUMBER(W46)),IF(W46&lt;&gt;0,W43/W46-1,""),"")</f>
        <v/>
      </c>
      <c r="X47" s="67" t="str">
        <f>IF(AND(ISNUMBER(X43),ISNUMBER(X46)),IF(X46&lt;&gt;0,X43/X46-1,""),"")</f>
        <v/>
      </c>
      <c r="Y47" s="67" t="str">
        <f>IF(AND(ISNUMBER(Y43),ISNUMBER(Y46)),IF(Y46&lt;&gt;0,Y43/Y46-1,""),"")</f>
        <v/>
      </c>
      <c r="Z47" s="67" t="str">
        <f>IF(AND(ISNUMBER(Z43),ISNUMBER(Z46)),IF(Z46&lt;&gt;0,Z43/Z46-1,""),"")</f>
        <v/>
      </c>
      <c r="AA47" s="67" t="str">
        <f>IF(AND(ISNUMBER(AA43),ISNUMBER(AA46)),IF(AA46&lt;&gt;0,AA43/AA46-1,""),"")</f>
        <v/>
      </c>
      <c r="AB47" s="67" t="str">
        <f>IF(AND(ISNUMBER(AB43),ISNUMBER(AB46)),IF(AB46&lt;&gt;0,AB43/AB46-1,""),"")</f>
        <v/>
      </c>
      <c r="AC47" s="67" t="str">
        <f>IF(AND(ISNUMBER(AC43),ISNUMBER(AC46)),IF(AC46&lt;&gt;0,AC43/AC46-1,""),"")</f>
        <v/>
      </c>
      <c r="AD47" s="67" t="str">
        <f>IF(AND(ISNUMBER(AD43),ISNUMBER(AD46)),IF(AD46&lt;&gt;0,AD43/AD46-1,""),"")</f>
        <v/>
      </c>
      <c r="AE47" s="67" t="str">
        <f>IF(AND(ISNUMBER(AE43),ISNUMBER(AE46)),IF(AE46&lt;&gt;0,AE43/AE46-1,""),"")</f>
        <v/>
      </c>
      <c r="AF47" s="67" t="str">
        <f>IF(AND(ISNUMBER(AF43),ISNUMBER(AF46)),IF(AF46&lt;&gt;0,AF43/AF46-1,""),"")</f>
        <v/>
      </c>
      <c r="AG47" s="67" t="str">
        <f>IF(AND(ISNUMBER(AG43),ISNUMBER(AG46)),IF(AG46&lt;&gt;0,AG43/AG46-1,""),"")</f>
        <v/>
      </c>
      <c r="AH47" s="67" t="str">
        <f>IF(AND(ISNUMBER(AH43),ISNUMBER(AH46)),IF(AH46&lt;&gt;0,AH43/AH46-1,""),"")</f>
        <v/>
      </c>
      <c r="AI47" s="67" t="str">
        <f>IF(AND(ISNUMBER(AI43),ISNUMBER(AI46)),IF(AI46&lt;&gt;0,AI43/AI46-1,""),"")</f>
        <v/>
      </c>
    </row>
    <row r="48">
      <c r="A48" s="63" t="inlineStr">
        <is>
          <t xml:space="preserve">Meta (seleção)</t>
        </is>
      </c>
      <c r="C48" s="66" t="str">
        <f>IFERROR(1/(1/INDEX(BD!$AL$23:$BF$23,MATCH($B$2,BD!$AL$22:$BF$22,0))),"")</f>
        <v/>
      </c>
      <c r="D48" s="66" t="str">
        <f>IFERROR(1/(1/INDEX(BD!$AL$24:$BF$24,MATCH($B$2,BD!$AL$22:$BF$22,0))),"")</f>
        <v/>
      </c>
      <c r="E48" s="66" t="str">
        <f>IFERROR(1/(1/INDEX(BD!$AL$25:$BF$25,MATCH($B$2,BD!$AL$22:$BF$22,0))),"")</f>
        <v/>
      </c>
      <c r="F48" s="66" t="str">
        <f>IFERROR(1/(1/INDEX(BD!$AL$26:$BF$26,MATCH($B$2,BD!$AL$22:$BF$22,0))),"")</f>
        <v/>
      </c>
      <c r="G48" s="66" t="str">
        <f>IFERROR(1/(1/INDEX(BD!$AL$27:$BF$27,MATCH($B$2,BD!$AL$22:$BF$22,0))),"")</f>
        <v/>
      </c>
      <c r="H48" s="66" t="str">
        <f>IFERROR(1/(1/INDEX(BD!$AL$28:$BF$28,MATCH($B$2,BD!$AL$22:$BF$22,0))),"")</f>
        <v/>
      </c>
      <c r="I48" s="66" t="str">
        <f>IFERROR(1/(1/INDEX(BD!$AL$29:$BF$29,MATCH($B$2,BD!$AL$22:$BF$22,0))),"")</f>
        <v/>
      </c>
      <c r="J48" s="66" t="str">
        <f>IFERROR(1/(1/INDEX(BD!$AL$30:$BF$30,MATCH($B$2,BD!$AL$22:$BF$22,0))),"")</f>
        <v/>
      </c>
      <c r="K48" s="66" t="str">
        <f>IFERROR(1/(1/INDEX(BD!$AL$31:$BF$31,MATCH($B$2,BD!$AL$22:$BF$22,0))),"")</f>
        <v/>
      </c>
      <c r="L48" s="66" t="str">
        <f>IFERROR(1/(1/INDEX(BD!$AL$32:$BF$32,MATCH($B$2,BD!$AL$22:$BF$22,0))),"")</f>
        <v/>
      </c>
      <c r="M48" s="66" t="str">
        <f>IFERROR(1/(1/INDEX(BD!$AL$33:$BF$33,MATCH($B$2,BD!$AL$22:$BF$22,0))),"")</f>
        <v/>
      </c>
      <c r="N48" s="66" t="str">
        <f>IFERROR(1/(1/INDEX(BD!$AL$34:$BF$34,MATCH($B$2,BD!$AL$22:$BF$22,0))),"")</f>
        <v/>
      </c>
      <c r="O48" s="66" t="str">
        <f>IFERROR(1/(1/INDEX(BD!$AL$35:$BF$35,MATCH($B$2,BD!$AL$22:$BF$22,0))),"")</f>
        <v/>
      </c>
      <c r="P48" s="66" t="str">
        <f>IFERROR(1/(1/INDEX(BD!$AL$36:$BF$36,MATCH($B$2,BD!$AL$22:$BF$22,0))),"")</f>
        <v/>
      </c>
      <c r="Q48" s="66" t="str">
        <f>IFERROR(1/(1/INDEX(BD!$AL$37:$BF$37,MATCH($B$2,BD!$AL$22:$BF$22,0))),"")</f>
        <v/>
      </c>
      <c r="R48" s="66" t="str">
        <f>IFERROR(1/(1/INDEX(BD!$AL$38:$BF$38,MATCH($B$2,BD!$AL$22:$BF$22,0))),"")</f>
        <v/>
      </c>
      <c r="S48" s="66" t="str">
        <f>IFERROR(1/(1/INDEX(BD!$AL$39:$BF$39,MATCH($B$2,BD!$AL$22:$BF$22,0))),"")</f>
        <v/>
      </c>
      <c r="T48" s="66" t="str">
        <f>IFERROR(1/(1/INDEX(BD!$AL$40:$BF$40,MATCH($B$2,BD!$AL$22:$BF$22,0))),"")</f>
        <v/>
      </c>
      <c r="U48" s="66" t="str">
        <f>IFERROR(1/(1/INDEX(BD!$AL$41:$BF$41,MATCH($B$2,BD!$AL$22:$BF$22,0))),"")</f>
        <v/>
      </c>
      <c r="V48" s="66" t="str">
        <f>IFERROR(1/(1/INDEX(BD!$AL$42:$BF$42,MATCH($B$2,BD!$AL$22:$BF$22,0))),"")</f>
        <v/>
      </c>
      <c r="W48" s="66" t="str">
        <f>IFERROR(1/(1/INDEX(BD!$AL$43:$BF$43,MATCH($B$2,BD!$AL$22:$BF$22,0))),"")</f>
        <v/>
      </c>
      <c r="X48" s="66" t="str">
        <f>IFERROR(1/(1/INDEX(BD!$AL$44:$BF$44,MATCH($B$2,BD!$AL$22:$BF$22,0))),"")</f>
        <v/>
      </c>
      <c r="Y48" s="66" t="str">
        <f>IFERROR(1/(1/INDEX(BD!$AL$45:$BF$45,MATCH($B$2,BD!$AL$22:$BF$22,0))),"")</f>
        <v/>
      </c>
      <c r="Z48" s="68" t="str">
        <f>IFERROR(1/(1/INDEX(BD!$AL$46:$BF$46,MATCH($B$2,BD!$AL$22:$BF$22,0))),"")</f>
        <v/>
      </c>
      <c r="AA48" s="66" t="str">
        <f>IFERROR(1/(1/INDEX(BD!$AL$47:$BF$47,MATCH($B$2,BD!$AL$22:$BF$22,0))),"")</f>
        <v/>
      </c>
      <c r="AB48" s="66" t="str">
        <f>IFERROR(1/(1/INDEX(BD!$AL$48:$BF$48,MATCH($B$2,BD!$AL$22:$BF$22,0))),"")</f>
        <v/>
      </c>
      <c r="AC48" s="66" t="str">
        <f>IFERROR(1/(1/INDEX(BD!$AL$49:$BF$49,MATCH($B$2,BD!$AL$22:$BF$22,0))),"")</f>
        <v/>
      </c>
      <c r="AD48" s="66" t="str">
        <f>IFERROR(1/(1/INDEX(BD!$AL$50:$BF$50,MATCH($B$2,BD!$AL$22:$BF$22,0))),"")</f>
        <v/>
      </c>
      <c r="AE48" s="66" t="str">
        <f>IFERROR(1/(1/INDEX(BD!$AL$51:$BF$51,MATCH($B$2,BD!$AL$22:$BF$22,0))),"")</f>
        <v/>
      </c>
      <c r="AF48" s="66" t="str">
        <f>IFERROR(1/(1/INDEX(BD!$AL$52:$BF$52,MATCH($B$2,BD!$AL$22:$BF$22,0))),"")</f>
        <v/>
      </c>
      <c r="AG48" s="66" t="str">
        <f>IFERROR(1/(1/INDEX(BD!$AL$53:$BF$53,MATCH($B$2,BD!$AL$22:$BF$22,0))),"")</f>
        <v/>
      </c>
      <c r="AH48" s="66" t="str">
        <f>IFERROR(1/(1/INDEX(BD!$AL$54:$BF$54,MATCH($B$2,BD!$AL$22:$BF$22,0))),"")</f>
        <v/>
      </c>
      <c r="AI48" s="66" t="str">
        <f>IFERROR(1/(1/INDEX(BD!$AL$55:$BF$55,MATCH($B$2,BD!$AL$22:$BF$22,0))),"")</f>
        <v/>
      </c>
    </row>
    <row r="49">
      <c r="A49" s="63" t="inlineStr">
        <is>
          <t xml:space="preserve">% da meta</t>
        </is>
      </c>
      <c r="C49" s="68" t="str">
        <f>IF(AND(ISNUMBER(C48),ISNUMBER(C43)),IF(C48&gt;0,C43/C48,""),"")</f>
        <v/>
      </c>
      <c r="D49" s="68" t="str">
        <f>IF(AND(ISNUMBER(D48),ISNUMBER(D43)),IF(D48&gt;0,D43/D48,""),"")</f>
        <v/>
      </c>
      <c r="E49" s="68" t="str">
        <f>IF(AND(ISNUMBER(E48),ISNUMBER(E43)),IF(E48&gt;0,E43/E48,""),"")</f>
        <v/>
      </c>
      <c r="F49" s="68" t="str">
        <f>IF(AND(ISNUMBER(F48),ISNUMBER(F43)),IF(F48&gt;0,F43/F48,""),"")</f>
        <v/>
      </c>
      <c r="G49" s="68" t="str">
        <f>IF(AND(ISNUMBER(G48),ISNUMBER(G43)),IF(G48&gt;0,G43/G48,""),"")</f>
        <v/>
      </c>
      <c r="H49" s="68" t="str">
        <f>IF(AND(ISNUMBER(H48),ISNUMBER(H43)),IF(H48&gt;0,H43/H48,""),"")</f>
        <v/>
      </c>
      <c r="I49" s="68" t="str">
        <f>IF(AND(ISNUMBER(I48),ISNUMBER(I43)),IF(I48&gt;0,I43/I48,""),"")</f>
        <v/>
      </c>
      <c r="J49" s="68" t="str">
        <f>IF(AND(ISNUMBER(J48),ISNUMBER(J43)),IF(J48&gt;0,J43/J48,""),"")</f>
        <v/>
      </c>
      <c r="K49" s="68" t="str">
        <f>IF(AND(ISNUMBER(K48),ISNUMBER(K43)),IF(K48&gt;0,K43/K48,""),"")</f>
        <v/>
      </c>
      <c r="L49" s="68" t="str">
        <f>IF(AND(ISNUMBER(L48),ISNUMBER(L43)),IF(L48&gt;0,L43/L48,""),"")</f>
        <v/>
      </c>
      <c r="M49" s="68" t="str">
        <f>IF(AND(ISNUMBER(M48),ISNUMBER(M43)),IF(M48&gt;0,M43/M48,""),"")</f>
        <v/>
      </c>
      <c r="N49" s="68" t="str">
        <f>IF(AND(ISNUMBER(N48),ISNUMBER(N43)),IF(N48&gt;0,N43/N48,""),"")</f>
        <v/>
      </c>
      <c r="O49" s="68" t="str">
        <f>IF(AND(ISNUMBER(O48),ISNUMBER(O43)),IF(O48&gt;0,O43/O48,""),"")</f>
        <v/>
      </c>
      <c r="P49" s="68" t="str">
        <f>IF(AND(ISNUMBER(P48),ISNUMBER(P43)),IF(P48&gt;0,P43/P48,""),"")</f>
        <v/>
      </c>
      <c r="Q49" s="68" t="str">
        <f>IF(AND(ISNUMBER(Q48),ISNUMBER(Q43)),IF(Q48&gt;0,Q43/Q48,""),"")</f>
        <v/>
      </c>
      <c r="R49" s="68" t="str">
        <f>IF(AND(ISNUMBER(R48),ISNUMBER(R43)),IF(R48&gt;0,R43/R48,""),"")</f>
        <v/>
      </c>
      <c r="S49" s="68" t="str">
        <f>IF(AND(ISNUMBER(S48),ISNUMBER(S43)),IF(S48&gt;0,S43/S48,""),"")</f>
        <v/>
      </c>
      <c r="T49" s="68" t="str">
        <f>IF(AND(ISNUMBER(T48),ISNUMBER(T43)),IF(T48&gt;0,T43/T48,""),"")</f>
        <v/>
      </c>
      <c r="U49" s="68" t="str">
        <f>IF(AND(ISNUMBER(U48),ISNUMBER(U43)),IF(U48&gt;0,U43/U48,""),"")</f>
        <v/>
      </c>
      <c r="V49" s="68" t="str">
        <f>IF(AND(ISNUMBER(V48),ISNUMBER(V43)),IF(V48&gt;0,V43/V48,""),"")</f>
        <v/>
      </c>
      <c r="W49" s="68" t="str">
        <f>IF(AND(ISNUMBER(W48),ISNUMBER(W43)),IF(W48&gt;0,W43/W48,""),"")</f>
        <v/>
      </c>
      <c r="X49" s="68" t="str">
        <f>IF(AND(ISNUMBER(X48),ISNUMBER(X43)),IF(X48&gt;0,X43/X48,""),"")</f>
        <v/>
      </c>
      <c r="Y49" s="68" t="str">
        <f>IF(AND(ISNUMBER(Y48),ISNUMBER(Y43)),IF(Y48&gt;0,Y43/Y48,""),"")</f>
        <v/>
      </c>
      <c r="Z49" s="68" t="str">
        <f>IF(AND(ISNUMBER(Z48),ISNUMBER(Z43)),IF(Z48&gt;0,Z43/Z48,""),"")</f>
        <v/>
      </c>
      <c r="AA49" s="68" t="str">
        <f>IF(AND(ISNUMBER(AA48),ISNUMBER(AA43)),IF(AA48&gt;0,AA43/AA48,""),"")</f>
        <v/>
      </c>
      <c r="AB49" s="68" t="str">
        <f>IF(AND(ISNUMBER(AB48),ISNUMBER(AB43)),IF(AB48&gt;0,AB43/AB48,""),"")</f>
        <v/>
      </c>
      <c r="AC49" s="68" t="str">
        <f>IF(AND(ISNUMBER(AC48),ISNUMBER(AC43)),IF(AC48&gt;0,AC43/AC48,""),"")</f>
        <v/>
      </c>
      <c r="AD49" s="68" t="str">
        <f>IF(AND(ISNUMBER(AD48),ISNUMBER(AD43)),IF(AD48&gt;0,AD43/AD48,""),"")</f>
        <v/>
      </c>
      <c r="AE49" s="68" t="str">
        <f>IF(AND(ISNUMBER(AE48),ISNUMBER(AE43)),IF(AE48&gt;0,AE43/AE48,""),"")</f>
        <v/>
      </c>
      <c r="AF49" s="68" t="str">
        <f>IF(AND(ISNUMBER(AF48),ISNUMBER(AF43)),IF(AF48&gt;0,AF43/AF48,""),"")</f>
        <v/>
      </c>
      <c r="AG49" s="68" t="str">
        <f>IF(AND(ISNUMBER(AG48),ISNUMBER(AG43)),IF(AG48&gt;0,AG43/AG48,""),"")</f>
        <v/>
      </c>
      <c r="AH49" s="68" t="str">
        <f>IF(AND(ISNUMBER(AH48),ISNUMBER(AH43)),IF(AH48&gt;0,AH43/AH48,""),"")</f>
        <v/>
      </c>
      <c r="AI49" s="68" t="str">
        <f>IF(AND(ISNUMBER(AI48),ISNUMBER(AI43)),IF(AI48&gt;0,AI43/AI48,""),"")</f>
        <v/>
      </c>
    </row>
    <row r="50">
      <c r="A50" s="63" t="inlineStr">
        <is>
          <t xml:space="preserve">Status</t>
        </is>
      </c>
      <c r="C50" s="69" t="str">
        <f>IF(ISNUMBER(C49),IF(C49&gt;=1,"meta atingida","abaixo da meta"),"")</f>
        <v/>
      </c>
      <c r="D50" s="69" t="str">
        <f>IF(ISNUMBER(D49),IF(D49&gt;=1,"meta atingida","abaixo da meta"),"")</f>
        <v/>
      </c>
      <c r="E50" s="69" t="str">
        <f>IF(ISNUMBER(E49),IF(E49&gt;=1,"meta atingida","abaixo da meta"),"")</f>
        <v/>
      </c>
      <c r="F50" s="69" t="str">
        <f>IF(ISNUMBER(F49),IF(F49&gt;=1,"meta atingida","abaixo da meta"),"")</f>
        <v/>
      </c>
      <c r="G50" s="69" t="str">
        <f>IF(ISNUMBER(G49),IF(G49&gt;=1,"meta atingida","abaixo da meta"),"")</f>
        <v/>
      </c>
      <c r="H50" s="69" t="str">
        <f>IF(ISNUMBER(H49),IF(H49&gt;=1,"meta atingida","abaixo da meta"),"")</f>
        <v/>
      </c>
      <c r="I50" s="69" t="str">
        <f>IF(ISNUMBER(I49),IF(I49&gt;=1,"meta atingida","abaixo da meta"),"")</f>
        <v/>
      </c>
      <c r="J50" s="69" t="str">
        <f>IF(ISNUMBER(J49),IF(J49&gt;=1,"meta atingida","abaixo da meta"),"")</f>
        <v/>
      </c>
      <c r="K50" s="69" t="str">
        <f>IF(ISNUMBER(K49),IF(K49&gt;=1,"meta atingida","abaixo da meta"),"")</f>
        <v/>
      </c>
      <c r="L50" s="69" t="str">
        <f>IF(ISNUMBER(L49),IF(L49&gt;=1,"meta atingida","abaixo da meta"),"")</f>
        <v/>
      </c>
      <c r="M50" s="69" t="str">
        <f>IF(ISNUMBER(M49),IF(M49&gt;=1,"meta atingida","abaixo da meta"),"")</f>
        <v/>
      </c>
      <c r="N50" s="69" t="str">
        <f>IF(ISNUMBER(N49),IF(N49&gt;=1,"meta atingida","abaixo da meta"),"")</f>
        <v/>
      </c>
      <c r="O50" s="69" t="str">
        <f>IF(ISNUMBER(O49),IF(O49&gt;=1,"meta atingida","abaixo da meta"),"")</f>
        <v/>
      </c>
      <c r="P50" s="69" t="str">
        <f>IF(ISNUMBER(P49),IF(P49&gt;=1,"meta atingida","abaixo da meta"),"")</f>
        <v/>
      </c>
      <c r="Q50" s="69" t="str">
        <f>IF(ISNUMBER(Q49),IF(Q49&gt;=1,"meta atingida","abaixo da meta"),"")</f>
        <v/>
      </c>
      <c r="R50" s="69" t="str">
        <f>IF(ISNUMBER(R49),IF(R49&gt;=1,"meta atingida","abaixo da meta"),"")</f>
        <v/>
      </c>
      <c r="S50" s="69" t="str">
        <f>IF(ISNUMBER(S49),IF(S49&gt;=1,"meta atingida","abaixo da meta"),"")</f>
        <v/>
      </c>
      <c r="T50" s="69" t="str">
        <f>IF(AND(ISNUMBER(T48),ISNUMBER(T43)),IF(T43&lt;=T48,"dentro do limite","acima do limite"),"")</f>
        <v/>
      </c>
      <c r="U50" s="69" t="str">
        <f>IF(AND(ISNUMBER(U48),ISNUMBER(U43)),IF(U43&lt;=U48,"dentro do limite","acima do limite"),"")</f>
        <v/>
      </c>
      <c r="V50" s="69" t="str">
        <f>IF(AND(ISNUMBER(V48),ISNUMBER(V43)),IF(V43&lt;=V48,"dentro do limite","acima do limite"),"")</f>
        <v/>
      </c>
      <c r="W50" s="69" t="str">
        <f>IF(AND(ISNUMBER(W48),ISNUMBER(W43)),IF(W43&lt;=W48,"dentro do limite","acima do limite"),"")</f>
        <v/>
      </c>
      <c r="X50" s="69" t="str">
        <f>IF(ISNUMBER(X49),IF(X49&gt;=1,"meta atingida","abaixo da meta"),"")</f>
        <v/>
      </c>
      <c r="Y50" s="69" t="str">
        <f>IF(ISNUMBER(Y49),IF(Y49&gt;=1,"meta atingida","abaixo da meta"),"")</f>
        <v/>
      </c>
      <c r="Z50" s="69" t="str">
        <f>IF(ISNUMBER(Z43),IF(Z43&gt;1,"excede o contratado",IF(Z43&gt;=$B$6,"ocupação alta",IF(Z43&gt;=$B$5,"ocupação média","ociosidade alta"))),"")</f>
        <v/>
      </c>
      <c r="AA50" s="69" t="str">
        <f>IF(ISNUMBER(AA49),IF(AA49&gt;=1,"meta atingida","abaixo da meta"),"")</f>
        <v/>
      </c>
      <c r="AB50" s="69" t="str">
        <f>IF(AND(ISNUMBER(AB48),ISNUMBER(AB43)),IF(AB43&lt;=AB48,"dentro do limite","acima do limite"),"")</f>
        <v/>
      </c>
      <c r="AC50" s="69" t="str">
        <f>IF(AND(ISNUMBER(AC48),ISNUMBER(AC43)),IF(AC43&lt;=AC48,"dentro do limite","acima do limite"),"")</f>
        <v/>
      </c>
      <c r="AD50" s="69" t="str">
        <f>IF(ISNUMBER(AD49),IF(AD49&gt;=1,"meta atingida","abaixo da meta"),"")</f>
        <v/>
      </c>
      <c r="AE50" s="69" t="str">
        <f>IF(ISNUMBER(AE49),IF(AE49&gt;=1,"meta atingida","abaixo da meta"),"")</f>
        <v/>
      </c>
      <c r="AF50" s="69" t="str">
        <f>IF(AND(ISNUMBER(AF48),ISNUMBER(AF43)),IF(AF43&lt;=AF48,"dentro do limite","acima do limite"),"")</f>
        <v/>
      </c>
      <c r="AG50" s="69" t="str">
        <f>IF(AND(ISNUMBER(AG48),ISNUMBER(AG43)),IF(AG43&lt;=AG48,"dentro do limite","acima do limite"),"")</f>
        <v/>
      </c>
      <c r="AH50" s="69" t="str">
        <f>IF(AND(ISNUMBER(AH48),ISNUMBER(AH43)),IF(AH43&lt;=AH48,"dentro do limite","acima do limite"),"")</f>
        <v/>
      </c>
      <c r="AI50" s="69" t="str">
        <f>IF(AND(ISNUMBER(AI48),ISNUMBER(AI43)),IF(AI43&lt;=AI48,"dentro do limite","acima do limite"),"")</f>
        <v/>
      </c>
    </row>
    <row r="91">
      <c r="A91" s="52" t="inlineStr">
        <is>
          <t xml:space="preserve">ACUMULADO SEMANAL — toneladas e pallets (seguem o filtro; mês do gráfico)</t>
        </is>
      </c>
    </row>
    <row r="92">
      <c r="A92" s="47" t="inlineStr">
        <is>
          <t xml:space="preserve">Semana</t>
        </is>
      </c>
      <c r="B92" s="47" t="inlineStr">
        <is>
          <t xml:space="preserve">Do dia</t>
        </is>
      </c>
      <c r="C92" s="47" t="inlineStr">
        <is>
          <t xml:space="preserve">Ao dia</t>
        </is>
      </c>
      <c r="D92" s="47" t="inlineStr">
        <is>
          <t xml:space="preserve">IN tons</t>
        </is>
      </c>
      <c r="E92" s="47" t="inlineStr">
        <is>
          <t xml:space="preserve">OUT tons</t>
        </is>
      </c>
      <c r="F92" s="47" t="inlineStr">
        <is>
          <t xml:space="preserve">IN pallets</t>
        </is>
      </c>
      <c r="G92" s="47" t="inlineStr">
        <is>
          <t xml:space="preserve">OUT pallets</t>
        </is>
      </c>
      <c r="AZ92" s="47" t="inlineStr">
        <is>
          <t xml:space="preserve">Gráf A IN (semanal)</t>
        </is>
      </c>
      <c r="BA92" s="47" t="inlineStr">
        <is>
          <t xml:space="preserve">Gráf A OUT (semanal)</t>
        </is>
      </c>
      <c r="BB92" s="47" t="inlineStr">
        <is>
          <t xml:space="preserve">Gráf B IN (semanal)</t>
        </is>
      </c>
      <c r="BC92" s="47" t="inlineStr">
        <is>
          <t xml:space="preserve">Gráf B OUT (semanal)</t>
        </is>
      </c>
    </row>
    <row r="93">
      <c r="A93" s="40" t="inlineStr">
        <is>
          <t xml:space="preserve">Sem 1 (01–07)</t>
        </is>
      </c>
      <c r="B93" s="39">
        <v>1</v>
      </c>
      <c r="C93" s="39">
        <v>7</v>
      </c>
      <c r="D93" s="72">
        <f>SUMIFS(E12:E42,A12:A42,"&gt;="&amp;$B93,A12:A42,"&lt;="&amp;$C93)</f>
        <v>0</v>
      </c>
      <c r="E93" s="72">
        <f>SUMIFS(S12:S42,A12:A42,"&gt;="&amp;$B93,A12:A42,"&lt;="&amp;$C93)</f>
        <v>0</v>
      </c>
      <c r="F93" s="42">
        <f>SUMIFS(D12:D42,A12:A42,"&gt;="&amp;$B93,A12:A42,"&lt;="&amp;$C93)</f>
        <v>0</v>
      </c>
      <c r="G93" s="42">
        <f>SUMIFS(R12:R42,A12:A42,"&gt;="&amp;$B93,A12:A42,"&lt;="&amp;$C93)</f>
        <v>0</v>
      </c>
      <c r="AZ93" s="72">
        <f>IF(N(VALUE($AH$384))=0,"",IF(N(VALUE($AJ$384))=0,SUMIFS(AZ$12:AZ$42,$A$12:$A$42,"&gt;="&amp;$B93,$A$12:$A$42,"&lt;="&amp;$C93),IF(SUMIFS(INDEX($C$12:$AI$42,0,N(VALUE($AJ$384))),$A$12:$A$42,"&gt;="&amp;$B93,$A$12:$A$42,"&lt;="&amp;$C93)&gt;0,SUMIFS(INDEX($C$12:$AI$42,0,VALUE($AH$384)),$A$12:$A$42,"&gt;="&amp;$B93,$A$12:$A$42,"&lt;="&amp;$C93)/SUMIFS(INDEX($C$12:$AI$42,0,N(VALUE($AJ$384))),$A$12:$A$42,"&gt;="&amp;$B93,$A$12:$A$42,"&lt;="&amp;$C93),"")))</f>
        <v>0</v>
      </c>
      <c r="BA93" s="72">
        <f>IF(N(VALUE($AI$384))=0,"",IF(N(VALUE($AK$384))=0,SUMIFS(BA$12:BA$42,$A$12:$A$42,"&gt;="&amp;$B93,$A$12:$A$42,"&lt;="&amp;$C93),IF(SUMIFS(INDEX($C$12:$AI$42,0,N(VALUE($AK$384))),$A$12:$A$42,"&gt;="&amp;$B93,$A$12:$A$42,"&lt;="&amp;$C93)&gt;0,SUMIFS(INDEX($C$12:$AI$42,0,VALUE($AI$384)),$A$12:$A$42,"&gt;="&amp;$B93,$A$12:$A$42,"&lt;="&amp;$C93)/SUMIFS(INDEX($C$12:$AI$42,0,N(VALUE($AK$384))),$A$12:$A$42,"&gt;="&amp;$B93,$A$12:$A$42,"&lt;="&amp;$C93),"")))</f>
        <v>0</v>
      </c>
      <c r="BB93" s="72">
        <f>IF(N(VALUE($AP$384))=0,"",IF(N(VALUE($AR$384))=0,SUMIFS(BB$12:BB$42,$A$12:$A$42,"&gt;="&amp;$B93,$A$12:$A$42,"&lt;="&amp;$C93),IF(SUMIFS(INDEX($C$12:$AI$42,0,N(VALUE($AR$384))),$A$12:$A$42,"&gt;="&amp;$B93,$A$12:$A$42,"&lt;="&amp;$C93)&gt;0,SUMIFS(INDEX($C$12:$AI$42,0,VALUE($AP$384)),$A$12:$A$42,"&gt;="&amp;$B93,$A$12:$A$42,"&lt;="&amp;$C93)/SUMIFS(INDEX($C$12:$AI$42,0,N(VALUE($AR$384))),$A$12:$A$42,"&gt;="&amp;$B93,$A$12:$A$42,"&lt;="&amp;$C93),"")))</f>
        <v>0</v>
      </c>
      <c r="BC93" s="72">
        <f>IF(N(VALUE($AQ$384))=0,"",IF(N(VALUE($AS$384))=0,SUMIFS(BC$12:BC$42,$A$12:$A$42,"&gt;="&amp;$B93,$A$12:$A$42,"&lt;="&amp;$C93),IF(SUMIFS(INDEX($C$12:$AI$42,0,N(VALUE($AS$384))),$A$12:$A$42,"&gt;="&amp;$B93,$A$12:$A$42,"&lt;="&amp;$C93)&gt;0,SUMIFS(INDEX($C$12:$AI$42,0,VALUE($AQ$384)),$A$12:$A$42,"&gt;="&amp;$B93,$A$12:$A$42,"&lt;="&amp;$C93)/SUMIFS(INDEX($C$12:$AI$42,0,N(VALUE($AS$384))),$A$12:$A$42,"&gt;="&amp;$B93,$A$12:$A$42,"&lt;="&amp;$C93),"")))</f>
        <v>0</v>
      </c>
    </row>
    <row r="94">
      <c r="A94" s="40" t="inlineStr">
        <is>
          <t xml:space="preserve">Sem 2 (08–14)</t>
        </is>
      </c>
      <c r="B94" s="39">
        <v>8</v>
      </c>
      <c r="C94" s="39">
        <v>14</v>
      </c>
      <c r="D94" s="72">
        <f>SUMIFS(E12:E42,A12:A42,"&gt;="&amp;$B94,A12:A42,"&lt;="&amp;$C94)</f>
        <v>0</v>
      </c>
      <c r="E94" s="72">
        <f>SUMIFS(S12:S42,A12:A42,"&gt;="&amp;$B94,A12:A42,"&lt;="&amp;$C94)</f>
        <v>0</v>
      </c>
      <c r="F94" s="42">
        <f>SUMIFS(D12:D42,A12:A42,"&gt;="&amp;$B94,A12:A42,"&lt;="&amp;$C94)</f>
        <v>0</v>
      </c>
      <c r="G94" s="42">
        <f>SUMIFS(R12:R42,A12:A42,"&gt;="&amp;$B94,A12:A42,"&lt;="&amp;$C94)</f>
        <v>0</v>
      </c>
      <c r="AZ94" s="72">
        <f>IF(N(VALUE($AH$384))=0,"",IF(N(VALUE($AJ$384))=0,SUMIFS(AZ$12:AZ$42,$A$12:$A$42,"&gt;="&amp;$B94,$A$12:$A$42,"&lt;="&amp;$C94),IF(SUMIFS(INDEX($C$12:$AI$42,0,N(VALUE($AJ$384))),$A$12:$A$42,"&gt;="&amp;$B94,$A$12:$A$42,"&lt;="&amp;$C94)&gt;0,SUMIFS(INDEX($C$12:$AI$42,0,VALUE($AH$384)),$A$12:$A$42,"&gt;="&amp;$B94,$A$12:$A$42,"&lt;="&amp;$C94)/SUMIFS(INDEX($C$12:$AI$42,0,N(VALUE($AJ$384))),$A$12:$A$42,"&gt;="&amp;$B94,$A$12:$A$42,"&lt;="&amp;$C94),"")))</f>
        <v>0</v>
      </c>
      <c r="BA94" s="72">
        <f>IF(N(VALUE($AI$384))=0,"",IF(N(VALUE($AK$384))=0,SUMIFS(BA$12:BA$42,$A$12:$A$42,"&gt;="&amp;$B94,$A$12:$A$42,"&lt;="&amp;$C94),IF(SUMIFS(INDEX($C$12:$AI$42,0,N(VALUE($AK$384))),$A$12:$A$42,"&gt;="&amp;$B94,$A$12:$A$42,"&lt;="&amp;$C94)&gt;0,SUMIFS(INDEX($C$12:$AI$42,0,VALUE($AI$384)),$A$12:$A$42,"&gt;="&amp;$B94,$A$12:$A$42,"&lt;="&amp;$C94)/SUMIFS(INDEX($C$12:$AI$42,0,N(VALUE($AK$384))),$A$12:$A$42,"&gt;="&amp;$B94,$A$12:$A$42,"&lt;="&amp;$C94),"")))</f>
        <v>0</v>
      </c>
      <c r="BB94" s="72">
        <f>IF(N(VALUE($AP$384))=0,"",IF(N(VALUE($AR$384))=0,SUMIFS(BB$12:BB$42,$A$12:$A$42,"&gt;="&amp;$B94,$A$12:$A$42,"&lt;="&amp;$C94),IF(SUMIFS(INDEX($C$12:$AI$42,0,N(VALUE($AR$384))),$A$12:$A$42,"&gt;="&amp;$B94,$A$12:$A$42,"&lt;="&amp;$C94)&gt;0,SUMIFS(INDEX($C$12:$AI$42,0,VALUE($AP$384)),$A$12:$A$42,"&gt;="&amp;$B94,$A$12:$A$42,"&lt;="&amp;$C94)/SUMIFS(INDEX($C$12:$AI$42,0,N(VALUE($AR$384))),$A$12:$A$42,"&gt;="&amp;$B94,$A$12:$A$42,"&lt;="&amp;$C94),"")))</f>
        <v>0</v>
      </c>
      <c r="BC94" s="72">
        <f>IF(N(VALUE($AQ$384))=0,"",IF(N(VALUE($AS$384))=0,SUMIFS(BC$12:BC$42,$A$12:$A$42,"&gt;="&amp;$B94,$A$12:$A$42,"&lt;="&amp;$C94),IF(SUMIFS(INDEX($C$12:$AI$42,0,N(VALUE($AS$384))),$A$12:$A$42,"&gt;="&amp;$B94,$A$12:$A$42,"&lt;="&amp;$C94)&gt;0,SUMIFS(INDEX($C$12:$AI$42,0,VALUE($AQ$384)),$A$12:$A$42,"&gt;="&amp;$B94,$A$12:$A$42,"&lt;="&amp;$C94)/SUMIFS(INDEX($C$12:$AI$42,0,N(VALUE($AS$384))),$A$12:$A$42,"&gt;="&amp;$B94,$A$12:$A$42,"&lt;="&amp;$C94),"")))</f>
        <v>0</v>
      </c>
    </row>
    <row r="95">
      <c r="A95" s="40" t="inlineStr">
        <is>
          <t xml:space="preserve">Sem 3 (15–21)</t>
        </is>
      </c>
      <c r="B95" s="39">
        <v>15</v>
      </c>
      <c r="C95" s="39">
        <v>21</v>
      </c>
      <c r="D95" s="72">
        <f>SUMIFS(E12:E42,A12:A42,"&gt;="&amp;$B95,A12:A42,"&lt;="&amp;$C95)</f>
        <v>0</v>
      </c>
      <c r="E95" s="72">
        <f>SUMIFS(S12:S42,A12:A42,"&gt;="&amp;$B95,A12:A42,"&lt;="&amp;$C95)</f>
        <v>0</v>
      </c>
      <c r="F95" s="42">
        <f>SUMIFS(D12:D42,A12:A42,"&gt;="&amp;$B95,A12:A42,"&lt;="&amp;$C95)</f>
        <v>0</v>
      </c>
      <c r="G95" s="42">
        <f>SUMIFS(R12:R42,A12:A42,"&gt;="&amp;$B95,A12:A42,"&lt;="&amp;$C95)</f>
        <v>0</v>
      </c>
      <c r="AZ95" s="72">
        <f>IF(N(VALUE($AH$384))=0,"",IF(N(VALUE($AJ$384))=0,SUMIFS(AZ$12:AZ$42,$A$12:$A$42,"&gt;="&amp;$B95,$A$12:$A$42,"&lt;="&amp;$C95),IF(SUMIFS(INDEX($C$12:$AI$42,0,N(VALUE($AJ$384))),$A$12:$A$42,"&gt;="&amp;$B95,$A$12:$A$42,"&lt;="&amp;$C95)&gt;0,SUMIFS(INDEX($C$12:$AI$42,0,VALUE($AH$384)),$A$12:$A$42,"&gt;="&amp;$B95,$A$12:$A$42,"&lt;="&amp;$C95)/SUMIFS(INDEX($C$12:$AI$42,0,N(VALUE($AJ$384))),$A$12:$A$42,"&gt;="&amp;$B95,$A$12:$A$42,"&lt;="&amp;$C95),"")))</f>
        <v>0</v>
      </c>
      <c r="BA95" s="72">
        <f>IF(N(VALUE($AI$384))=0,"",IF(N(VALUE($AK$384))=0,SUMIFS(BA$12:BA$42,$A$12:$A$42,"&gt;="&amp;$B95,$A$12:$A$42,"&lt;="&amp;$C95),IF(SUMIFS(INDEX($C$12:$AI$42,0,N(VALUE($AK$384))),$A$12:$A$42,"&gt;="&amp;$B95,$A$12:$A$42,"&lt;="&amp;$C95)&gt;0,SUMIFS(INDEX($C$12:$AI$42,0,VALUE($AI$384)),$A$12:$A$42,"&gt;="&amp;$B95,$A$12:$A$42,"&lt;="&amp;$C95)/SUMIFS(INDEX($C$12:$AI$42,0,N(VALUE($AK$384))),$A$12:$A$42,"&gt;="&amp;$B95,$A$12:$A$42,"&lt;="&amp;$C95),"")))</f>
        <v>0</v>
      </c>
      <c r="BB95" s="72">
        <f>IF(N(VALUE($AP$384))=0,"",IF(N(VALUE($AR$384))=0,SUMIFS(BB$12:BB$42,$A$12:$A$42,"&gt;="&amp;$B95,$A$12:$A$42,"&lt;="&amp;$C95),IF(SUMIFS(INDEX($C$12:$AI$42,0,N(VALUE($AR$384))),$A$12:$A$42,"&gt;="&amp;$B95,$A$12:$A$42,"&lt;="&amp;$C95)&gt;0,SUMIFS(INDEX($C$12:$AI$42,0,VALUE($AP$384)),$A$12:$A$42,"&gt;="&amp;$B95,$A$12:$A$42,"&lt;="&amp;$C95)/SUMIFS(INDEX($C$12:$AI$42,0,N(VALUE($AR$384))),$A$12:$A$42,"&gt;="&amp;$B95,$A$12:$A$42,"&lt;="&amp;$C95),"")))</f>
        <v>0</v>
      </c>
      <c r="BC95" s="72">
        <f>IF(N(VALUE($AQ$384))=0,"",IF(N(VALUE($AS$384))=0,SUMIFS(BC$12:BC$42,$A$12:$A$42,"&gt;="&amp;$B95,$A$12:$A$42,"&lt;="&amp;$C95),IF(SUMIFS(INDEX($C$12:$AI$42,0,N(VALUE($AS$384))),$A$12:$A$42,"&gt;="&amp;$B95,$A$12:$A$42,"&lt;="&amp;$C95)&gt;0,SUMIFS(INDEX($C$12:$AI$42,0,VALUE($AQ$384)),$A$12:$A$42,"&gt;="&amp;$B95,$A$12:$A$42,"&lt;="&amp;$C95)/SUMIFS(INDEX($C$12:$AI$42,0,N(VALUE($AS$384))),$A$12:$A$42,"&gt;="&amp;$B95,$A$12:$A$42,"&lt;="&amp;$C95),"")))</f>
        <v>0</v>
      </c>
    </row>
    <row r="96">
      <c r="A96" s="40" t="inlineStr">
        <is>
          <t xml:space="preserve">Sem 4 (22–28)</t>
        </is>
      </c>
      <c r="B96" s="39">
        <v>22</v>
      </c>
      <c r="C96" s="39">
        <v>28</v>
      </c>
      <c r="D96" s="72">
        <f>SUMIFS(E12:E42,A12:A42,"&gt;="&amp;$B96,A12:A42,"&lt;="&amp;$C96)</f>
        <v>0</v>
      </c>
      <c r="E96" s="72">
        <f>SUMIFS(S12:S42,A12:A42,"&gt;="&amp;$B96,A12:A42,"&lt;="&amp;$C96)</f>
        <v>0</v>
      </c>
      <c r="F96" s="42">
        <f>SUMIFS(D12:D42,A12:A42,"&gt;="&amp;$B96,A12:A42,"&lt;="&amp;$C96)</f>
        <v>0</v>
      </c>
      <c r="G96" s="42">
        <f>SUMIFS(R12:R42,A12:A42,"&gt;="&amp;$B96,A12:A42,"&lt;="&amp;$C96)</f>
        <v>0</v>
      </c>
      <c r="AZ96" s="72">
        <f>IF(N(VALUE($AH$384))=0,"",IF(N(VALUE($AJ$384))=0,SUMIFS(AZ$12:AZ$42,$A$12:$A$42,"&gt;="&amp;$B96,$A$12:$A$42,"&lt;="&amp;$C96),IF(SUMIFS(INDEX($C$12:$AI$42,0,N(VALUE($AJ$384))),$A$12:$A$42,"&gt;="&amp;$B96,$A$12:$A$42,"&lt;="&amp;$C96)&gt;0,SUMIFS(INDEX($C$12:$AI$42,0,VALUE($AH$384)),$A$12:$A$42,"&gt;="&amp;$B96,$A$12:$A$42,"&lt;="&amp;$C96)/SUMIFS(INDEX($C$12:$AI$42,0,N(VALUE($AJ$384))),$A$12:$A$42,"&gt;="&amp;$B96,$A$12:$A$42,"&lt;="&amp;$C96),"")))</f>
        <v>0</v>
      </c>
      <c r="BA96" s="72">
        <f>IF(N(VALUE($AI$384))=0,"",IF(N(VALUE($AK$384))=0,SUMIFS(BA$12:BA$42,$A$12:$A$42,"&gt;="&amp;$B96,$A$12:$A$42,"&lt;="&amp;$C96),IF(SUMIFS(INDEX($C$12:$AI$42,0,N(VALUE($AK$384))),$A$12:$A$42,"&gt;="&amp;$B96,$A$12:$A$42,"&lt;="&amp;$C96)&gt;0,SUMIFS(INDEX($C$12:$AI$42,0,VALUE($AI$384)),$A$12:$A$42,"&gt;="&amp;$B96,$A$12:$A$42,"&lt;="&amp;$C96)/SUMIFS(INDEX($C$12:$AI$42,0,N(VALUE($AK$384))),$A$12:$A$42,"&gt;="&amp;$B96,$A$12:$A$42,"&lt;="&amp;$C96),"")))</f>
        <v>0</v>
      </c>
      <c r="BB96" s="72">
        <f>IF(N(VALUE($AP$384))=0,"",IF(N(VALUE($AR$384))=0,SUMIFS(BB$12:BB$42,$A$12:$A$42,"&gt;="&amp;$B96,$A$12:$A$42,"&lt;="&amp;$C96),IF(SUMIFS(INDEX($C$12:$AI$42,0,N(VALUE($AR$384))),$A$12:$A$42,"&gt;="&amp;$B96,$A$12:$A$42,"&lt;="&amp;$C96)&gt;0,SUMIFS(INDEX($C$12:$AI$42,0,VALUE($AP$384)),$A$12:$A$42,"&gt;="&amp;$B96,$A$12:$A$42,"&lt;="&amp;$C96)/SUMIFS(INDEX($C$12:$AI$42,0,N(VALUE($AR$384))),$A$12:$A$42,"&gt;="&amp;$B96,$A$12:$A$42,"&lt;="&amp;$C96),"")))</f>
        <v>0</v>
      </c>
      <c r="BC96" s="72">
        <f>IF(N(VALUE($AQ$384))=0,"",IF(N(VALUE($AS$384))=0,SUMIFS(BC$12:BC$42,$A$12:$A$42,"&gt;="&amp;$B96,$A$12:$A$42,"&lt;="&amp;$C96),IF(SUMIFS(INDEX($C$12:$AI$42,0,N(VALUE($AS$384))),$A$12:$A$42,"&gt;="&amp;$B96,$A$12:$A$42,"&lt;="&amp;$C96)&gt;0,SUMIFS(INDEX($C$12:$AI$42,0,VALUE($AQ$384)),$A$12:$A$42,"&gt;="&amp;$B96,$A$12:$A$42,"&lt;="&amp;$C96)/SUMIFS(INDEX($C$12:$AI$42,0,N(VALUE($AS$384))),$A$12:$A$42,"&gt;="&amp;$B96,$A$12:$A$42,"&lt;="&amp;$C96),"")))</f>
        <v>0</v>
      </c>
    </row>
    <row r="97">
      <c r="A97" s="40" t="inlineStr">
        <is>
          <t xml:space="preserve">Sem 5 (29–fim)</t>
        </is>
      </c>
      <c r="B97" s="39">
        <v>29</v>
      </c>
      <c r="C97" s="39">
        <v>31</v>
      </c>
      <c r="D97" s="72">
        <f>SUMIFS(E12:E42,A12:A42,"&gt;="&amp;$B97,A12:A42,"&lt;="&amp;$C97)</f>
        <v>0</v>
      </c>
      <c r="E97" s="72">
        <f>SUMIFS(S12:S42,A12:A42,"&gt;="&amp;$B97,A12:A42,"&lt;="&amp;$C97)</f>
        <v>0</v>
      </c>
      <c r="F97" s="42">
        <f>SUMIFS(D12:D42,A12:A42,"&gt;="&amp;$B97,A12:A42,"&lt;="&amp;$C97)</f>
        <v>0</v>
      </c>
      <c r="G97" s="42">
        <f>SUMIFS(R12:R42,A12:A42,"&gt;="&amp;$B97,A12:A42,"&lt;="&amp;$C97)</f>
        <v>0</v>
      </c>
      <c r="AZ97" s="72">
        <f>IF(N(VALUE($AH$384))=0,"",IF(N(VALUE($AJ$384))=0,SUMIFS(AZ$12:AZ$42,$A$12:$A$42,"&gt;="&amp;$B97,$A$12:$A$42,"&lt;="&amp;$C97),IF(SUMIFS(INDEX($C$12:$AI$42,0,N(VALUE($AJ$384))),$A$12:$A$42,"&gt;="&amp;$B97,$A$12:$A$42,"&lt;="&amp;$C97)&gt;0,SUMIFS(INDEX($C$12:$AI$42,0,VALUE($AH$384)),$A$12:$A$42,"&gt;="&amp;$B97,$A$12:$A$42,"&lt;="&amp;$C97)/SUMIFS(INDEX($C$12:$AI$42,0,N(VALUE($AJ$384))),$A$12:$A$42,"&gt;="&amp;$B97,$A$12:$A$42,"&lt;="&amp;$C97),"")))</f>
        <v>0</v>
      </c>
      <c r="BA97" s="72">
        <f>IF(N(VALUE($AI$384))=0,"",IF(N(VALUE($AK$384))=0,SUMIFS(BA$12:BA$42,$A$12:$A$42,"&gt;="&amp;$B97,$A$12:$A$42,"&lt;="&amp;$C97),IF(SUMIFS(INDEX($C$12:$AI$42,0,N(VALUE($AK$384))),$A$12:$A$42,"&gt;="&amp;$B97,$A$12:$A$42,"&lt;="&amp;$C97)&gt;0,SUMIFS(INDEX($C$12:$AI$42,0,VALUE($AI$384)),$A$12:$A$42,"&gt;="&amp;$B97,$A$12:$A$42,"&lt;="&amp;$C97)/SUMIFS(INDEX($C$12:$AI$42,0,N(VALUE($AK$384))),$A$12:$A$42,"&gt;="&amp;$B97,$A$12:$A$42,"&lt;="&amp;$C97),"")))</f>
        <v>0</v>
      </c>
      <c r="BB97" s="72">
        <f>IF(N(VALUE($AP$384))=0,"",IF(N(VALUE($AR$384))=0,SUMIFS(BB$12:BB$42,$A$12:$A$42,"&gt;="&amp;$B97,$A$12:$A$42,"&lt;="&amp;$C97),IF(SUMIFS(INDEX($C$12:$AI$42,0,N(VALUE($AR$384))),$A$12:$A$42,"&gt;="&amp;$B97,$A$12:$A$42,"&lt;="&amp;$C97)&gt;0,SUMIFS(INDEX($C$12:$AI$42,0,VALUE($AP$384)),$A$12:$A$42,"&gt;="&amp;$B97,$A$12:$A$42,"&lt;="&amp;$C97)/SUMIFS(INDEX($C$12:$AI$42,0,N(VALUE($AR$384))),$A$12:$A$42,"&gt;="&amp;$B97,$A$12:$A$42,"&lt;="&amp;$C97),"")))</f>
        <v>0</v>
      </c>
      <c r="BC97" s="72">
        <f>IF(N(VALUE($AQ$384))=0,"",IF(N(VALUE($AS$384))=0,SUMIFS(BC$12:BC$42,$A$12:$A$42,"&gt;="&amp;$B97,$A$12:$A$42,"&lt;="&amp;$C97),IF(SUMIFS(INDEX($C$12:$AI$42,0,N(VALUE($AS$384))),$A$12:$A$42,"&gt;="&amp;$B97,$A$12:$A$42,"&lt;="&amp;$C97)&gt;0,SUMIFS(INDEX($C$12:$AI$42,0,VALUE($AQ$384)),$A$12:$A$42,"&gt;="&amp;$B97,$A$12:$A$42,"&lt;="&amp;$C97)/SUMIFS(INDEX($C$12:$AI$42,0,N(VALUE($AS$384))),$A$12:$A$42,"&gt;="&amp;$B97,$A$12:$A$42,"&lt;="&amp;$C97),"")))</f>
        <v>0</v>
      </c>
    </row>
    <row r="101">
      <c r="A101" s="52" t="inlineStr">
        <is>
          <t xml:space="preserve">POR CLIENTE — mês inteiro (todos os clientes). Estoque = último valor do mês.</t>
        </is>
      </c>
    </row>
    <row r="102" ht="30" customHeight="1">
      <c r="A102" s="47" t="inlineStr">
        <is>
          <t xml:space="preserve">Indicador</t>
        </is>
      </c>
      <c r="B102" s="47" t="str">
        <f>Config!$B$10&amp;""</f>
        <v>Alpargatas</v>
      </c>
      <c r="C102" s="47" t="str">
        <f>Config!$B$11&amp;""</f>
        <v>Basf</v>
      </c>
      <c r="D102" s="47" t="str">
        <f>Config!$B$12&amp;""</f>
        <v>Beautybiz</v>
      </c>
      <c r="E102" s="47" t="str">
        <f>Config!$B$13&amp;""</f>
        <v>Boticário</v>
      </c>
      <c r="F102" s="47" t="str">
        <f>Config!$B$14&amp;""</f>
        <v>Confiance</v>
      </c>
      <c r="G102" s="47" t="str">
        <f>Config!$B$15&amp;""</f>
        <v>GE Vernova</v>
      </c>
      <c r="H102" s="47" t="str">
        <f>Config!$B$16&amp;""</f>
        <v>Omnilife</v>
      </c>
      <c r="I102" s="47" t="str">
        <f>Config!$B$17&amp;""</f>
        <v>Supply</v>
      </c>
      <c r="J102" s="47" t="str">
        <f>Config!$B$18&amp;""</f>
        <v>Vedacit</v>
      </c>
      <c r="K102" s="47" t="str">
        <f>Config!$B$19&amp;""</f>
        <v>Vestas</v>
      </c>
      <c r="L102" s="47" t="str">
        <f>Config!$B$20&amp;""</f>
        <v/>
      </c>
      <c r="M102" s="47" t="str">
        <f>Config!$B$21&amp;""</f>
        <v/>
      </c>
      <c r="N102" s="47" t="str">
        <f>Config!$B$22&amp;""</f>
        <v/>
      </c>
      <c r="O102" s="47" t="str">
        <f>Config!$B$23&amp;""</f>
        <v/>
      </c>
      <c r="P102" s="47" t="str">
        <f>Config!$B$24&amp;""</f>
        <v/>
      </c>
      <c r="Q102" s="47" t="str">
        <f>Config!$B$25&amp;""</f>
        <v/>
      </c>
      <c r="R102" s="47" t="str">
        <f>Config!$B$26&amp;""</f>
        <v/>
      </c>
      <c r="S102" s="47" t="str">
        <f>Config!$B$27&amp;""</f>
        <v/>
      </c>
      <c r="T102" s="47" t="str">
        <f>Config!$B$28&amp;""</f>
        <v/>
      </c>
      <c r="U102" s="47" t="str">
        <f>Config!$B$29&amp;""</f>
        <v/>
      </c>
      <c r="V102" s="47" t="inlineStr">
        <is>
          <t xml:space="preserve">TOTAL</t>
        </is>
      </c>
    </row>
    <row r="103">
      <c r="A103" s="40" t="inlineStr">
        <is>
          <t xml:space="preserve">IN · Veículos Recebidos</t>
        </is>
      </c>
      <c r="B103" s="42">
        <f>IF(B$102="","",IF(Config!$D$35&lt;&gt;"Não",SUMIFS(BD!$C$3:$C$5001,BD!$B$3:$B$5001,B$102,BD!$A$3:$A$5001,"&gt;="&amp;$C$7,BD!$A$3:$A$5001,"&lt;="&amp;$D$7),"—"))</f>
        <v>0</v>
      </c>
      <c r="C103" s="42">
        <f>IF(C$102="","",IF(Config!$D$36&lt;&gt;"Não",SUMIFS(BD!$C$3:$C$5001,BD!$B$3:$B$5001,C$102,BD!$A$3:$A$5001,"&gt;="&amp;$C$7,BD!$A$3:$A$5001,"&lt;="&amp;$D$7),"—"))</f>
        <v>0</v>
      </c>
      <c r="D103" s="42">
        <f>IF(D$102="","",IF(Config!$D$37&lt;&gt;"Não",SUMIFS(BD!$C$3:$C$5001,BD!$B$3:$B$5001,D$102,BD!$A$3:$A$5001,"&gt;="&amp;$C$7,BD!$A$3:$A$5001,"&lt;="&amp;$D$7),"—"))</f>
        <v>0</v>
      </c>
      <c r="E103" s="42">
        <f>IF(E$102="","",IF(Config!$D$38&lt;&gt;"Não",SUMIFS(BD!$C$3:$C$5001,BD!$B$3:$B$5001,E$102,BD!$A$3:$A$5001,"&gt;="&amp;$C$7,BD!$A$3:$A$5001,"&lt;="&amp;$D$7),"—"))</f>
        <v>0</v>
      </c>
      <c r="F103" s="42">
        <f>IF(F$102="","",IF(Config!$D$39&lt;&gt;"Não",SUMIFS(BD!$C$3:$C$5001,BD!$B$3:$B$5001,F$102,BD!$A$3:$A$5001,"&gt;="&amp;$C$7,BD!$A$3:$A$5001,"&lt;="&amp;$D$7),"—"))</f>
        <v>0</v>
      </c>
      <c r="G103" s="42">
        <f>IF(G$102="","",IF(Config!$D$40&lt;&gt;"Não",SUMIFS(BD!$C$3:$C$5001,BD!$B$3:$B$5001,G$102,BD!$A$3:$A$5001,"&gt;="&amp;$C$7,BD!$A$3:$A$5001,"&lt;="&amp;$D$7),"—"))</f>
        <v>0</v>
      </c>
      <c r="H103" s="42">
        <f>IF(H$102="","",IF(Config!$D$41&lt;&gt;"Não",SUMIFS(BD!$C$3:$C$5001,BD!$B$3:$B$5001,H$102,BD!$A$3:$A$5001,"&gt;="&amp;$C$7,BD!$A$3:$A$5001,"&lt;="&amp;$D$7),"—"))</f>
        <v>0</v>
      </c>
      <c r="I103" s="42">
        <f>IF(I$102="","",IF(Config!$D$42&lt;&gt;"Não",SUMIFS(BD!$C$3:$C$5001,BD!$B$3:$B$5001,I$102,BD!$A$3:$A$5001,"&gt;="&amp;$C$7,BD!$A$3:$A$5001,"&lt;="&amp;$D$7),"—"))</f>
        <v>0</v>
      </c>
      <c r="J103" s="42">
        <f>IF(J$102="","",IF(Config!$D$43&lt;&gt;"Não",SUMIFS(BD!$C$3:$C$5001,BD!$B$3:$B$5001,J$102,BD!$A$3:$A$5001,"&gt;="&amp;$C$7,BD!$A$3:$A$5001,"&lt;="&amp;$D$7),"—"))</f>
        <v>0</v>
      </c>
      <c r="K103" s="42">
        <f>IF(K$102="","",IF(Config!$D$44&lt;&gt;"Não",SUMIFS(BD!$C$3:$C$5001,BD!$B$3:$B$5001,K$102,BD!$A$3:$A$5001,"&gt;="&amp;$C$7,BD!$A$3:$A$5001,"&lt;="&amp;$D$7),"—"))</f>
        <v>0</v>
      </c>
      <c r="L103" s="42" t="str">
        <f>IF(L$102="","",IF(Config!$D$45&lt;&gt;"Não",SUMIFS(BD!$C$3:$C$5001,BD!$B$3:$B$5001,L$102,BD!$A$3:$A$5001,"&gt;="&amp;$C$7,BD!$A$3:$A$5001,"&lt;="&amp;$D$7),"—"))</f>
        <v/>
      </c>
      <c r="M103" s="42" t="str">
        <f>IF(M$102="","",IF(Config!$D$46&lt;&gt;"Não",SUMIFS(BD!$C$3:$C$5001,BD!$B$3:$B$5001,M$102,BD!$A$3:$A$5001,"&gt;="&amp;$C$7,BD!$A$3:$A$5001,"&lt;="&amp;$D$7),"—"))</f>
        <v/>
      </c>
      <c r="N103" s="42" t="str">
        <f>IF(N$102="","",IF(Config!$D$47&lt;&gt;"Não",SUMIFS(BD!$C$3:$C$5001,BD!$B$3:$B$5001,N$102,BD!$A$3:$A$5001,"&gt;="&amp;$C$7,BD!$A$3:$A$5001,"&lt;="&amp;$D$7),"—"))</f>
        <v/>
      </c>
      <c r="O103" s="42" t="str">
        <f>IF(O$102="","",IF(Config!$D$48&lt;&gt;"Não",SUMIFS(BD!$C$3:$C$5001,BD!$B$3:$B$5001,O$102,BD!$A$3:$A$5001,"&gt;="&amp;$C$7,BD!$A$3:$A$5001,"&lt;="&amp;$D$7),"—"))</f>
        <v/>
      </c>
      <c r="P103" s="42" t="str">
        <f>IF(P$102="","",IF(Config!$D$49&lt;&gt;"Não",SUMIFS(BD!$C$3:$C$5001,BD!$B$3:$B$5001,P$102,BD!$A$3:$A$5001,"&gt;="&amp;$C$7,BD!$A$3:$A$5001,"&lt;="&amp;$D$7),"—"))</f>
        <v/>
      </c>
      <c r="Q103" s="42" t="str">
        <f>IF(Q$102="","",IF(Config!$D$50&lt;&gt;"Não",SUMIFS(BD!$C$3:$C$5001,BD!$B$3:$B$5001,Q$102,BD!$A$3:$A$5001,"&gt;="&amp;$C$7,BD!$A$3:$A$5001,"&lt;="&amp;$D$7),"—"))</f>
        <v/>
      </c>
      <c r="R103" s="42" t="str">
        <f>IF(R$102="","",IF(Config!$D$51&lt;&gt;"Não",SUMIFS(BD!$C$3:$C$5001,BD!$B$3:$B$5001,R$102,BD!$A$3:$A$5001,"&gt;="&amp;$C$7,BD!$A$3:$A$5001,"&lt;="&amp;$D$7),"—"))</f>
        <v/>
      </c>
      <c r="S103" s="42" t="str">
        <f>IF(S$102="","",IF(Config!$D$52&lt;&gt;"Não",SUMIFS(BD!$C$3:$C$5001,BD!$B$3:$B$5001,S$102,BD!$A$3:$A$5001,"&gt;="&amp;$C$7,BD!$A$3:$A$5001,"&lt;="&amp;$D$7),"—"))</f>
        <v/>
      </c>
      <c r="T103" s="42" t="str">
        <f>IF(T$102="","",IF(Config!$D$53&lt;&gt;"Não",SUMIFS(BD!$C$3:$C$5001,BD!$B$3:$B$5001,T$102,BD!$A$3:$A$5001,"&gt;="&amp;$C$7,BD!$A$3:$A$5001,"&lt;="&amp;$D$7),"—"))</f>
        <v/>
      </c>
      <c r="U103" s="42" t="str">
        <f>IF(U$102="","",IF(Config!$D$54&lt;&gt;"Não",SUMIFS(BD!$C$3:$C$5001,BD!$B$3:$B$5001,U$102,BD!$A$3:$A$5001,"&gt;="&amp;$C$7,BD!$A$3:$A$5001,"&lt;="&amp;$D$7),"—"))</f>
        <v/>
      </c>
      <c r="V103" s="73">
        <f>SUM(B103:U103)</f>
        <v>0</v>
      </c>
    </row>
    <row r="104">
      <c r="A104" s="40" t="inlineStr">
        <is>
          <t xml:space="preserve">IN · Pallets Movimentados</t>
        </is>
      </c>
      <c r="B104" s="42" t="str">
        <f>IF(B$102="","",IF(Config!$E$35&lt;&gt;"Não",SUMIFS(BD!$D$3:$D$5001,BD!$B$3:$B$5001,B$102,BD!$A$3:$A$5001,"&gt;="&amp;$C$7,BD!$A$3:$A$5001,"&lt;="&amp;$D$7),"—"))</f>
        <v>—</v>
      </c>
      <c r="C104" s="42">
        <f>IF(C$102="","",IF(Config!$E$36&lt;&gt;"Não",SUMIFS(BD!$D$3:$D$5001,BD!$B$3:$B$5001,C$102,BD!$A$3:$A$5001,"&gt;="&amp;$C$7,BD!$A$3:$A$5001,"&lt;="&amp;$D$7),"—"))</f>
        <v>0</v>
      </c>
      <c r="D104" s="42">
        <f>IF(D$102="","",IF(Config!$E$37&lt;&gt;"Não",SUMIFS(BD!$D$3:$D$5001,BD!$B$3:$B$5001,D$102,BD!$A$3:$A$5001,"&gt;="&amp;$C$7,BD!$A$3:$A$5001,"&lt;="&amp;$D$7),"—"))</f>
        <v>0</v>
      </c>
      <c r="E104" s="42">
        <f>IF(E$102="","",IF(Config!$E$38&lt;&gt;"Não",SUMIFS(BD!$D$3:$D$5001,BD!$B$3:$B$5001,E$102,BD!$A$3:$A$5001,"&gt;="&amp;$C$7,BD!$A$3:$A$5001,"&lt;="&amp;$D$7),"—"))</f>
        <v>0</v>
      </c>
      <c r="F104" s="42">
        <f>IF(F$102="","",IF(Config!$E$39&lt;&gt;"Não",SUMIFS(BD!$D$3:$D$5001,BD!$B$3:$B$5001,F$102,BD!$A$3:$A$5001,"&gt;="&amp;$C$7,BD!$A$3:$A$5001,"&lt;="&amp;$D$7),"—"))</f>
        <v>0</v>
      </c>
      <c r="G104" s="42">
        <f>IF(G$102="","",IF(Config!$E$40&lt;&gt;"Não",SUMIFS(BD!$D$3:$D$5001,BD!$B$3:$B$5001,G$102,BD!$A$3:$A$5001,"&gt;="&amp;$C$7,BD!$A$3:$A$5001,"&lt;="&amp;$D$7),"—"))</f>
        <v>0</v>
      </c>
      <c r="H104" s="42">
        <f>IF(H$102="","",IF(Config!$E$41&lt;&gt;"Não",SUMIFS(BD!$D$3:$D$5001,BD!$B$3:$B$5001,H$102,BD!$A$3:$A$5001,"&gt;="&amp;$C$7,BD!$A$3:$A$5001,"&lt;="&amp;$D$7),"—"))</f>
        <v>0</v>
      </c>
      <c r="I104" s="42">
        <f>IF(I$102="","",IF(Config!$E$42&lt;&gt;"Não",SUMIFS(BD!$D$3:$D$5001,BD!$B$3:$B$5001,I$102,BD!$A$3:$A$5001,"&gt;="&amp;$C$7,BD!$A$3:$A$5001,"&lt;="&amp;$D$7),"—"))</f>
        <v>0</v>
      </c>
      <c r="J104" s="42">
        <f>IF(J$102="","",IF(Config!$E$43&lt;&gt;"Não",SUMIFS(BD!$D$3:$D$5001,BD!$B$3:$B$5001,J$102,BD!$A$3:$A$5001,"&gt;="&amp;$C$7,BD!$A$3:$A$5001,"&lt;="&amp;$D$7),"—"))</f>
        <v>0</v>
      </c>
      <c r="K104" s="42" t="str">
        <f>IF(K$102="","",IF(Config!$E$44&lt;&gt;"Não",SUMIFS(BD!$D$3:$D$5001,BD!$B$3:$B$5001,K$102,BD!$A$3:$A$5001,"&gt;="&amp;$C$7,BD!$A$3:$A$5001,"&lt;="&amp;$D$7),"—"))</f>
        <v>—</v>
      </c>
      <c r="L104" s="42" t="str">
        <f>IF(L$102="","",IF(Config!$E$45&lt;&gt;"Não",SUMIFS(BD!$D$3:$D$5001,BD!$B$3:$B$5001,L$102,BD!$A$3:$A$5001,"&gt;="&amp;$C$7,BD!$A$3:$A$5001,"&lt;="&amp;$D$7),"—"))</f>
        <v/>
      </c>
      <c r="M104" s="42" t="str">
        <f>IF(M$102="","",IF(Config!$E$46&lt;&gt;"Não",SUMIFS(BD!$D$3:$D$5001,BD!$B$3:$B$5001,M$102,BD!$A$3:$A$5001,"&gt;="&amp;$C$7,BD!$A$3:$A$5001,"&lt;="&amp;$D$7),"—"))</f>
        <v/>
      </c>
      <c r="N104" s="42" t="str">
        <f>IF(N$102="","",IF(Config!$E$47&lt;&gt;"Não",SUMIFS(BD!$D$3:$D$5001,BD!$B$3:$B$5001,N$102,BD!$A$3:$A$5001,"&gt;="&amp;$C$7,BD!$A$3:$A$5001,"&lt;="&amp;$D$7),"—"))</f>
        <v/>
      </c>
      <c r="O104" s="42" t="str">
        <f>IF(O$102="","",IF(Config!$E$48&lt;&gt;"Não",SUMIFS(BD!$D$3:$D$5001,BD!$B$3:$B$5001,O$102,BD!$A$3:$A$5001,"&gt;="&amp;$C$7,BD!$A$3:$A$5001,"&lt;="&amp;$D$7),"—"))</f>
        <v/>
      </c>
      <c r="P104" s="42" t="str">
        <f>IF(P$102="","",IF(Config!$E$49&lt;&gt;"Não",SUMIFS(BD!$D$3:$D$5001,BD!$B$3:$B$5001,P$102,BD!$A$3:$A$5001,"&gt;="&amp;$C$7,BD!$A$3:$A$5001,"&lt;="&amp;$D$7),"—"))</f>
        <v/>
      </c>
      <c r="Q104" s="42" t="str">
        <f>IF(Q$102="","",IF(Config!$E$50&lt;&gt;"Não",SUMIFS(BD!$D$3:$D$5001,BD!$B$3:$B$5001,Q$102,BD!$A$3:$A$5001,"&gt;="&amp;$C$7,BD!$A$3:$A$5001,"&lt;="&amp;$D$7),"—"))</f>
        <v/>
      </c>
      <c r="R104" s="42" t="str">
        <f>IF(R$102="","",IF(Config!$E$51&lt;&gt;"Não",SUMIFS(BD!$D$3:$D$5001,BD!$B$3:$B$5001,R$102,BD!$A$3:$A$5001,"&gt;="&amp;$C$7,BD!$A$3:$A$5001,"&lt;="&amp;$D$7),"—"))</f>
        <v/>
      </c>
      <c r="S104" s="42" t="str">
        <f>IF(S$102="","",IF(Config!$E$52&lt;&gt;"Não",SUMIFS(BD!$D$3:$D$5001,BD!$B$3:$B$5001,S$102,BD!$A$3:$A$5001,"&gt;="&amp;$C$7,BD!$A$3:$A$5001,"&lt;="&amp;$D$7),"—"))</f>
        <v/>
      </c>
      <c r="T104" s="42" t="str">
        <f>IF(T$102="","",IF(Config!$E$53&lt;&gt;"Não",SUMIFS(BD!$D$3:$D$5001,BD!$B$3:$B$5001,T$102,BD!$A$3:$A$5001,"&gt;="&amp;$C$7,BD!$A$3:$A$5001,"&lt;="&amp;$D$7),"—"))</f>
        <v/>
      </c>
      <c r="U104" s="42" t="str">
        <f>IF(U$102="","",IF(Config!$E$54&lt;&gt;"Não",SUMIFS(BD!$D$3:$D$5001,BD!$B$3:$B$5001,U$102,BD!$A$3:$A$5001,"&gt;="&amp;$C$7,BD!$A$3:$A$5001,"&lt;="&amp;$D$7),"—"))</f>
        <v/>
      </c>
      <c r="V104" s="73">
        <f>SUM(B104:U104)</f>
        <v>0</v>
      </c>
    </row>
    <row r="105">
      <c r="A105" s="40" t="inlineStr">
        <is>
          <t xml:space="preserve">IN · Toneladas Movimentadas</t>
        </is>
      </c>
      <c r="B105" s="72" t="str">
        <f>IF(B$102="","",IF(Config!$F$35&lt;&gt;"Não",SUMIFS(BD!$E$3:$E$5001,BD!$B$3:$B$5001,B$102,BD!$A$3:$A$5001,"&gt;="&amp;$C$7,BD!$A$3:$A$5001,"&lt;="&amp;$D$7),"—"))</f>
        <v>—</v>
      </c>
      <c r="C105" s="72">
        <f>IF(C$102="","",IF(Config!$F$36&lt;&gt;"Não",SUMIFS(BD!$E$3:$E$5001,BD!$B$3:$B$5001,C$102,BD!$A$3:$A$5001,"&gt;="&amp;$C$7,BD!$A$3:$A$5001,"&lt;="&amp;$D$7),"—"))</f>
        <v>0</v>
      </c>
      <c r="D105" s="72" t="str">
        <f>IF(D$102="","",IF(Config!$F$37&lt;&gt;"Não",SUMIFS(BD!$E$3:$E$5001,BD!$B$3:$B$5001,D$102,BD!$A$3:$A$5001,"&gt;="&amp;$C$7,BD!$A$3:$A$5001,"&lt;="&amp;$D$7),"—"))</f>
        <v>—</v>
      </c>
      <c r="E105" s="72" t="str">
        <f>IF(E$102="","",IF(Config!$F$38&lt;&gt;"Não",SUMIFS(BD!$E$3:$E$5001,BD!$B$3:$B$5001,E$102,BD!$A$3:$A$5001,"&gt;="&amp;$C$7,BD!$A$3:$A$5001,"&lt;="&amp;$D$7),"—"))</f>
        <v>—</v>
      </c>
      <c r="F105" s="72">
        <f>IF(F$102="","",IF(Config!$F$39&lt;&gt;"Não",SUMIFS(BD!$E$3:$E$5001,BD!$B$3:$B$5001,F$102,BD!$A$3:$A$5001,"&gt;="&amp;$C$7,BD!$A$3:$A$5001,"&lt;="&amp;$D$7),"—"))</f>
        <v>0</v>
      </c>
      <c r="G105" s="72" t="str">
        <f>IF(G$102="","",IF(Config!$F$40&lt;&gt;"Não",SUMIFS(BD!$E$3:$E$5001,BD!$B$3:$B$5001,G$102,BD!$A$3:$A$5001,"&gt;="&amp;$C$7,BD!$A$3:$A$5001,"&lt;="&amp;$D$7),"—"))</f>
        <v>—</v>
      </c>
      <c r="H105" s="72" t="str">
        <f>IF(H$102="","",IF(Config!$F$41&lt;&gt;"Não",SUMIFS(BD!$E$3:$E$5001,BD!$B$3:$B$5001,H$102,BD!$A$3:$A$5001,"&gt;="&amp;$C$7,BD!$A$3:$A$5001,"&lt;="&amp;$D$7),"—"))</f>
        <v>—</v>
      </c>
      <c r="I105" s="72">
        <f>IF(I$102="","",IF(Config!$F$42&lt;&gt;"Não",SUMIFS(BD!$E$3:$E$5001,BD!$B$3:$B$5001,I$102,BD!$A$3:$A$5001,"&gt;="&amp;$C$7,BD!$A$3:$A$5001,"&lt;="&amp;$D$7),"—"))</f>
        <v>0</v>
      </c>
      <c r="J105" s="72" t="str">
        <f>IF(J$102="","",IF(Config!$F$43&lt;&gt;"Não",SUMIFS(BD!$E$3:$E$5001,BD!$B$3:$B$5001,J$102,BD!$A$3:$A$5001,"&gt;="&amp;$C$7,BD!$A$3:$A$5001,"&lt;="&amp;$D$7),"—"))</f>
        <v>—</v>
      </c>
      <c r="K105" s="72" t="str">
        <f>IF(K$102="","",IF(Config!$F$44&lt;&gt;"Não",SUMIFS(BD!$E$3:$E$5001,BD!$B$3:$B$5001,K$102,BD!$A$3:$A$5001,"&gt;="&amp;$C$7,BD!$A$3:$A$5001,"&lt;="&amp;$D$7),"—"))</f>
        <v>—</v>
      </c>
      <c r="L105" s="72" t="str">
        <f>IF(L$102="","",IF(Config!$F$45&lt;&gt;"Não",SUMIFS(BD!$E$3:$E$5001,BD!$B$3:$B$5001,L$102,BD!$A$3:$A$5001,"&gt;="&amp;$C$7,BD!$A$3:$A$5001,"&lt;="&amp;$D$7),"—"))</f>
        <v/>
      </c>
      <c r="M105" s="72" t="str">
        <f>IF(M$102="","",IF(Config!$F$46&lt;&gt;"Não",SUMIFS(BD!$E$3:$E$5001,BD!$B$3:$B$5001,M$102,BD!$A$3:$A$5001,"&gt;="&amp;$C$7,BD!$A$3:$A$5001,"&lt;="&amp;$D$7),"—"))</f>
        <v/>
      </c>
      <c r="N105" s="72" t="str">
        <f>IF(N$102="","",IF(Config!$F$47&lt;&gt;"Não",SUMIFS(BD!$E$3:$E$5001,BD!$B$3:$B$5001,N$102,BD!$A$3:$A$5001,"&gt;="&amp;$C$7,BD!$A$3:$A$5001,"&lt;="&amp;$D$7),"—"))</f>
        <v/>
      </c>
      <c r="O105" s="72" t="str">
        <f>IF(O$102="","",IF(Config!$F$48&lt;&gt;"Não",SUMIFS(BD!$E$3:$E$5001,BD!$B$3:$B$5001,O$102,BD!$A$3:$A$5001,"&gt;="&amp;$C$7,BD!$A$3:$A$5001,"&lt;="&amp;$D$7),"—"))</f>
        <v/>
      </c>
      <c r="P105" s="72" t="str">
        <f>IF(P$102="","",IF(Config!$F$49&lt;&gt;"Não",SUMIFS(BD!$E$3:$E$5001,BD!$B$3:$B$5001,P$102,BD!$A$3:$A$5001,"&gt;="&amp;$C$7,BD!$A$3:$A$5001,"&lt;="&amp;$D$7),"—"))</f>
        <v/>
      </c>
      <c r="Q105" s="72" t="str">
        <f>IF(Q$102="","",IF(Config!$F$50&lt;&gt;"Não",SUMIFS(BD!$E$3:$E$5001,BD!$B$3:$B$5001,Q$102,BD!$A$3:$A$5001,"&gt;="&amp;$C$7,BD!$A$3:$A$5001,"&lt;="&amp;$D$7),"—"))</f>
        <v/>
      </c>
      <c r="R105" s="72" t="str">
        <f>IF(R$102="","",IF(Config!$F$51&lt;&gt;"Não",SUMIFS(BD!$E$3:$E$5001,BD!$B$3:$B$5001,R$102,BD!$A$3:$A$5001,"&gt;="&amp;$C$7,BD!$A$3:$A$5001,"&lt;="&amp;$D$7),"—"))</f>
        <v/>
      </c>
      <c r="S105" s="72" t="str">
        <f>IF(S$102="","",IF(Config!$F$52&lt;&gt;"Não",SUMIFS(BD!$E$3:$E$5001,BD!$B$3:$B$5001,S$102,BD!$A$3:$A$5001,"&gt;="&amp;$C$7,BD!$A$3:$A$5001,"&lt;="&amp;$D$7),"—"))</f>
        <v/>
      </c>
      <c r="T105" s="72" t="str">
        <f>IF(T$102="","",IF(Config!$F$53&lt;&gt;"Não",SUMIFS(BD!$E$3:$E$5001,BD!$B$3:$B$5001,T$102,BD!$A$3:$A$5001,"&gt;="&amp;$C$7,BD!$A$3:$A$5001,"&lt;="&amp;$D$7),"—"))</f>
        <v/>
      </c>
      <c r="U105" s="72" t="str">
        <f>IF(U$102="","",IF(Config!$F$54&lt;&gt;"Não",SUMIFS(BD!$E$3:$E$5001,BD!$B$3:$B$5001,U$102,BD!$A$3:$A$5001,"&gt;="&amp;$C$7,BD!$A$3:$A$5001,"&lt;="&amp;$D$7),"—"))</f>
        <v/>
      </c>
      <c r="V105" s="74">
        <f>SUM(B105:U105)</f>
        <v>0</v>
      </c>
    </row>
    <row r="106">
      <c r="A106" s="40" t="inlineStr">
        <is>
          <t xml:space="preserve">IN · Linhas NF</t>
        </is>
      </c>
      <c r="B106" s="42" t="str">
        <f>IF(B$102="","",IF(Config!$G$35&lt;&gt;"Não",SUMIFS(BD!$F$3:$F$5001,BD!$B$3:$B$5001,B$102,BD!$A$3:$A$5001,"&gt;="&amp;$C$7,BD!$A$3:$A$5001,"&lt;="&amp;$D$7),"—"))</f>
        <v>—</v>
      </c>
      <c r="C106" s="42" t="str">
        <f>IF(C$102="","",IF(Config!$G$36&lt;&gt;"Não",SUMIFS(BD!$F$3:$F$5001,BD!$B$3:$B$5001,C$102,BD!$A$3:$A$5001,"&gt;="&amp;$C$7,BD!$A$3:$A$5001,"&lt;="&amp;$D$7),"—"))</f>
        <v>—</v>
      </c>
      <c r="D106" s="42" t="str">
        <f>IF(D$102="","",IF(Config!$G$37&lt;&gt;"Não",SUMIFS(BD!$F$3:$F$5001,BD!$B$3:$B$5001,D$102,BD!$A$3:$A$5001,"&gt;="&amp;$C$7,BD!$A$3:$A$5001,"&lt;="&amp;$D$7),"—"))</f>
        <v>—</v>
      </c>
      <c r="E106" s="42" t="str">
        <f>IF(E$102="","",IF(Config!$G$38&lt;&gt;"Não",SUMIFS(BD!$F$3:$F$5001,BD!$B$3:$B$5001,E$102,BD!$A$3:$A$5001,"&gt;="&amp;$C$7,BD!$A$3:$A$5001,"&lt;="&amp;$D$7),"—"))</f>
        <v>—</v>
      </c>
      <c r="F106" s="42" t="str">
        <f>IF(F$102="","",IF(Config!$G$39&lt;&gt;"Não",SUMIFS(BD!$F$3:$F$5001,BD!$B$3:$B$5001,F$102,BD!$A$3:$A$5001,"&gt;="&amp;$C$7,BD!$A$3:$A$5001,"&lt;="&amp;$D$7),"—"))</f>
        <v>—</v>
      </c>
      <c r="G106" s="42">
        <f>IF(G$102="","",IF(Config!$G$40&lt;&gt;"Não",SUMIFS(BD!$F$3:$F$5001,BD!$B$3:$B$5001,G$102,BD!$A$3:$A$5001,"&gt;="&amp;$C$7,BD!$A$3:$A$5001,"&lt;="&amp;$D$7),"—"))</f>
        <v>0</v>
      </c>
      <c r="H106" s="42" t="str">
        <f>IF(H$102="","",IF(Config!$G$41&lt;&gt;"Não",SUMIFS(BD!$F$3:$F$5001,BD!$B$3:$B$5001,H$102,BD!$A$3:$A$5001,"&gt;="&amp;$C$7,BD!$A$3:$A$5001,"&lt;="&amp;$D$7),"—"))</f>
        <v>—</v>
      </c>
      <c r="I106" s="42" t="str">
        <f>IF(I$102="","",IF(Config!$G$42&lt;&gt;"Não",SUMIFS(BD!$F$3:$F$5001,BD!$B$3:$B$5001,I$102,BD!$A$3:$A$5001,"&gt;="&amp;$C$7,BD!$A$3:$A$5001,"&lt;="&amp;$D$7),"—"))</f>
        <v>—</v>
      </c>
      <c r="J106" s="42" t="str">
        <f>IF(J$102="","",IF(Config!$G$43&lt;&gt;"Não",SUMIFS(BD!$F$3:$F$5001,BD!$B$3:$B$5001,J$102,BD!$A$3:$A$5001,"&gt;="&amp;$C$7,BD!$A$3:$A$5001,"&lt;="&amp;$D$7),"—"))</f>
        <v>—</v>
      </c>
      <c r="K106" s="42">
        <f>IF(K$102="","",IF(Config!$G$44&lt;&gt;"Não",SUMIFS(BD!$F$3:$F$5001,BD!$B$3:$B$5001,K$102,BD!$A$3:$A$5001,"&gt;="&amp;$C$7,BD!$A$3:$A$5001,"&lt;="&amp;$D$7),"—"))</f>
        <v>0</v>
      </c>
      <c r="L106" s="42" t="str">
        <f>IF(L$102="","",IF(Config!$G$45&lt;&gt;"Não",SUMIFS(BD!$F$3:$F$5001,BD!$B$3:$B$5001,L$102,BD!$A$3:$A$5001,"&gt;="&amp;$C$7,BD!$A$3:$A$5001,"&lt;="&amp;$D$7),"—"))</f>
        <v/>
      </c>
      <c r="M106" s="42" t="str">
        <f>IF(M$102="","",IF(Config!$G$46&lt;&gt;"Não",SUMIFS(BD!$F$3:$F$5001,BD!$B$3:$B$5001,M$102,BD!$A$3:$A$5001,"&gt;="&amp;$C$7,BD!$A$3:$A$5001,"&lt;="&amp;$D$7),"—"))</f>
        <v/>
      </c>
      <c r="N106" s="42" t="str">
        <f>IF(N$102="","",IF(Config!$G$47&lt;&gt;"Não",SUMIFS(BD!$F$3:$F$5001,BD!$B$3:$B$5001,N$102,BD!$A$3:$A$5001,"&gt;="&amp;$C$7,BD!$A$3:$A$5001,"&lt;="&amp;$D$7),"—"))</f>
        <v/>
      </c>
      <c r="O106" s="42" t="str">
        <f>IF(O$102="","",IF(Config!$G$48&lt;&gt;"Não",SUMIFS(BD!$F$3:$F$5001,BD!$B$3:$B$5001,O$102,BD!$A$3:$A$5001,"&gt;="&amp;$C$7,BD!$A$3:$A$5001,"&lt;="&amp;$D$7),"—"))</f>
        <v/>
      </c>
      <c r="P106" s="42" t="str">
        <f>IF(P$102="","",IF(Config!$G$49&lt;&gt;"Não",SUMIFS(BD!$F$3:$F$5001,BD!$B$3:$B$5001,P$102,BD!$A$3:$A$5001,"&gt;="&amp;$C$7,BD!$A$3:$A$5001,"&lt;="&amp;$D$7),"—"))</f>
        <v/>
      </c>
      <c r="Q106" s="42" t="str">
        <f>IF(Q$102="","",IF(Config!$G$50&lt;&gt;"Não",SUMIFS(BD!$F$3:$F$5001,BD!$B$3:$B$5001,Q$102,BD!$A$3:$A$5001,"&gt;="&amp;$C$7,BD!$A$3:$A$5001,"&lt;="&amp;$D$7),"—"))</f>
        <v/>
      </c>
      <c r="R106" s="42" t="str">
        <f>IF(R$102="","",IF(Config!$G$51&lt;&gt;"Não",SUMIFS(BD!$F$3:$F$5001,BD!$B$3:$B$5001,R$102,BD!$A$3:$A$5001,"&gt;="&amp;$C$7,BD!$A$3:$A$5001,"&lt;="&amp;$D$7),"—"))</f>
        <v/>
      </c>
      <c r="S106" s="42" t="str">
        <f>IF(S$102="","",IF(Config!$G$52&lt;&gt;"Não",SUMIFS(BD!$F$3:$F$5001,BD!$B$3:$B$5001,S$102,BD!$A$3:$A$5001,"&gt;="&amp;$C$7,BD!$A$3:$A$5001,"&lt;="&amp;$D$7),"—"))</f>
        <v/>
      </c>
      <c r="T106" s="42" t="str">
        <f>IF(T$102="","",IF(Config!$G$53&lt;&gt;"Não",SUMIFS(BD!$F$3:$F$5001,BD!$B$3:$B$5001,T$102,BD!$A$3:$A$5001,"&gt;="&amp;$C$7,BD!$A$3:$A$5001,"&lt;="&amp;$D$7),"—"))</f>
        <v/>
      </c>
      <c r="U106" s="42" t="str">
        <f>IF(U$102="","",IF(Config!$G$54&lt;&gt;"Não",SUMIFS(BD!$F$3:$F$5001,BD!$B$3:$B$5001,U$102,BD!$A$3:$A$5001,"&gt;="&amp;$C$7,BD!$A$3:$A$5001,"&lt;="&amp;$D$7),"—"))</f>
        <v/>
      </c>
      <c r="V106" s="73">
        <f>SUM(B106:U106)</f>
        <v>0</v>
      </c>
    </row>
    <row r="107">
      <c r="A107" s="40" t="inlineStr">
        <is>
          <t xml:space="preserve">IN · Caixas Movimentadas</t>
        </is>
      </c>
      <c r="B107" s="42">
        <f>IF(B$102="","",IF(Config!$H$35&lt;&gt;"Não",SUMIFS(BD!$G$3:$G$5001,BD!$B$3:$B$5001,B$102,BD!$A$3:$A$5001,"&gt;="&amp;$C$7,BD!$A$3:$A$5001,"&lt;="&amp;$D$7),"—"))</f>
        <v>0</v>
      </c>
      <c r="C107" s="42" t="str">
        <f>IF(C$102="","",IF(Config!$H$36&lt;&gt;"Não",SUMIFS(BD!$G$3:$G$5001,BD!$B$3:$B$5001,C$102,BD!$A$3:$A$5001,"&gt;="&amp;$C$7,BD!$A$3:$A$5001,"&lt;="&amp;$D$7),"—"))</f>
        <v>—</v>
      </c>
      <c r="D107" s="42">
        <f>IF(D$102="","",IF(Config!$H$37&lt;&gt;"Não",SUMIFS(BD!$G$3:$G$5001,BD!$B$3:$B$5001,D$102,BD!$A$3:$A$5001,"&gt;="&amp;$C$7,BD!$A$3:$A$5001,"&lt;="&amp;$D$7),"—"))</f>
        <v>0</v>
      </c>
      <c r="E107" s="42">
        <f>IF(E$102="","",IF(Config!$H$38&lt;&gt;"Não",SUMIFS(BD!$G$3:$G$5001,BD!$B$3:$B$5001,E$102,BD!$A$3:$A$5001,"&gt;="&amp;$C$7,BD!$A$3:$A$5001,"&lt;="&amp;$D$7),"—"))</f>
        <v>0</v>
      </c>
      <c r="F107" s="42" t="str">
        <f>IF(F$102="","",IF(Config!$H$39&lt;&gt;"Não",SUMIFS(BD!$G$3:$G$5001,BD!$B$3:$B$5001,F$102,BD!$A$3:$A$5001,"&gt;="&amp;$C$7,BD!$A$3:$A$5001,"&lt;="&amp;$D$7),"—"))</f>
        <v>—</v>
      </c>
      <c r="G107" s="42" t="str">
        <f>IF(G$102="","",IF(Config!$H$40&lt;&gt;"Não",SUMIFS(BD!$G$3:$G$5001,BD!$B$3:$B$5001,G$102,BD!$A$3:$A$5001,"&gt;="&amp;$C$7,BD!$A$3:$A$5001,"&lt;="&amp;$D$7),"—"))</f>
        <v>—</v>
      </c>
      <c r="H107" s="42" t="str">
        <f>IF(H$102="","",IF(Config!$H$41&lt;&gt;"Não",SUMIFS(BD!$G$3:$G$5001,BD!$B$3:$B$5001,H$102,BD!$A$3:$A$5001,"&gt;="&amp;$C$7,BD!$A$3:$A$5001,"&lt;="&amp;$D$7),"—"))</f>
        <v>—</v>
      </c>
      <c r="I107" s="42" t="str">
        <f>IF(I$102="","",IF(Config!$H$42&lt;&gt;"Não",SUMIFS(BD!$G$3:$G$5001,BD!$B$3:$B$5001,I$102,BD!$A$3:$A$5001,"&gt;="&amp;$C$7,BD!$A$3:$A$5001,"&lt;="&amp;$D$7),"—"))</f>
        <v>—</v>
      </c>
      <c r="J107" s="42" t="str">
        <f>IF(J$102="","",IF(Config!$H$43&lt;&gt;"Não",SUMIFS(BD!$G$3:$G$5001,BD!$B$3:$B$5001,J$102,BD!$A$3:$A$5001,"&gt;="&amp;$C$7,BD!$A$3:$A$5001,"&lt;="&amp;$D$7),"—"))</f>
        <v>—</v>
      </c>
      <c r="K107" s="42" t="str">
        <f>IF(K$102="","",IF(Config!$H$44&lt;&gt;"Não",SUMIFS(BD!$G$3:$G$5001,BD!$B$3:$B$5001,K$102,BD!$A$3:$A$5001,"&gt;="&amp;$C$7,BD!$A$3:$A$5001,"&lt;="&amp;$D$7),"—"))</f>
        <v>—</v>
      </c>
      <c r="L107" s="42" t="str">
        <f>IF(L$102="","",IF(Config!$H$45&lt;&gt;"Não",SUMIFS(BD!$G$3:$G$5001,BD!$B$3:$B$5001,L$102,BD!$A$3:$A$5001,"&gt;="&amp;$C$7,BD!$A$3:$A$5001,"&lt;="&amp;$D$7),"—"))</f>
        <v/>
      </c>
      <c r="M107" s="42" t="str">
        <f>IF(M$102="","",IF(Config!$H$46&lt;&gt;"Não",SUMIFS(BD!$G$3:$G$5001,BD!$B$3:$B$5001,M$102,BD!$A$3:$A$5001,"&gt;="&amp;$C$7,BD!$A$3:$A$5001,"&lt;="&amp;$D$7),"—"))</f>
        <v/>
      </c>
      <c r="N107" s="42" t="str">
        <f>IF(N$102="","",IF(Config!$H$47&lt;&gt;"Não",SUMIFS(BD!$G$3:$G$5001,BD!$B$3:$B$5001,N$102,BD!$A$3:$A$5001,"&gt;="&amp;$C$7,BD!$A$3:$A$5001,"&lt;="&amp;$D$7),"—"))</f>
        <v/>
      </c>
      <c r="O107" s="42" t="str">
        <f>IF(O$102="","",IF(Config!$H$48&lt;&gt;"Não",SUMIFS(BD!$G$3:$G$5001,BD!$B$3:$B$5001,O$102,BD!$A$3:$A$5001,"&gt;="&amp;$C$7,BD!$A$3:$A$5001,"&lt;="&amp;$D$7),"—"))</f>
        <v/>
      </c>
      <c r="P107" s="42" t="str">
        <f>IF(P$102="","",IF(Config!$H$49&lt;&gt;"Não",SUMIFS(BD!$G$3:$G$5001,BD!$B$3:$B$5001,P$102,BD!$A$3:$A$5001,"&gt;="&amp;$C$7,BD!$A$3:$A$5001,"&lt;="&amp;$D$7),"—"))</f>
        <v/>
      </c>
      <c r="Q107" s="42" t="str">
        <f>IF(Q$102="","",IF(Config!$H$50&lt;&gt;"Não",SUMIFS(BD!$G$3:$G$5001,BD!$B$3:$B$5001,Q$102,BD!$A$3:$A$5001,"&gt;="&amp;$C$7,BD!$A$3:$A$5001,"&lt;="&amp;$D$7),"—"))</f>
        <v/>
      </c>
      <c r="R107" s="42" t="str">
        <f>IF(R$102="","",IF(Config!$H$51&lt;&gt;"Não",SUMIFS(BD!$G$3:$G$5001,BD!$B$3:$B$5001,R$102,BD!$A$3:$A$5001,"&gt;="&amp;$C$7,BD!$A$3:$A$5001,"&lt;="&amp;$D$7),"—"))</f>
        <v/>
      </c>
      <c r="S107" s="42" t="str">
        <f>IF(S$102="","",IF(Config!$H$52&lt;&gt;"Não",SUMIFS(BD!$G$3:$G$5001,BD!$B$3:$B$5001,S$102,BD!$A$3:$A$5001,"&gt;="&amp;$C$7,BD!$A$3:$A$5001,"&lt;="&amp;$D$7),"—"))</f>
        <v/>
      </c>
      <c r="T107" s="42" t="str">
        <f>IF(T$102="","",IF(Config!$H$53&lt;&gt;"Não",SUMIFS(BD!$G$3:$G$5001,BD!$B$3:$B$5001,T$102,BD!$A$3:$A$5001,"&gt;="&amp;$C$7,BD!$A$3:$A$5001,"&lt;="&amp;$D$7),"—"))</f>
        <v/>
      </c>
      <c r="U107" s="42" t="str">
        <f>IF(U$102="","",IF(Config!$H$54&lt;&gt;"Não",SUMIFS(BD!$G$3:$G$5001,BD!$B$3:$B$5001,U$102,BD!$A$3:$A$5001,"&gt;="&amp;$C$7,BD!$A$3:$A$5001,"&lt;="&amp;$D$7),"—"))</f>
        <v/>
      </c>
      <c r="V107" s="73">
        <f>SUM(B107:U107)</f>
        <v>0</v>
      </c>
    </row>
    <row r="108">
      <c r="A108" s="40" t="inlineStr">
        <is>
          <t xml:space="preserve">IN · Itens Recebidos</t>
        </is>
      </c>
      <c r="B108" s="42" t="str">
        <f>IF(B$102="","",IF(Config!$I$35&lt;&gt;"Não",SUMIFS(BD!$H$3:$H$5001,BD!$B$3:$B$5001,B$102,BD!$A$3:$A$5001,"&gt;="&amp;$C$7,BD!$A$3:$A$5001,"&lt;="&amp;$D$7),"—"))</f>
        <v>—</v>
      </c>
      <c r="C108" s="42" t="str">
        <f>IF(C$102="","",IF(Config!$I$36&lt;&gt;"Não",SUMIFS(BD!$H$3:$H$5001,BD!$B$3:$B$5001,C$102,BD!$A$3:$A$5001,"&gt;="&amp;$C$7,BD!$A$3:$A$5001,"&lt;="&amp;$D$7),"—"))</f>
        <v>—</v>
      </c>
      <c r="D108" s="42" t="str">
        <f>IF(D$102="","",IF(Config!$I$37&lt;&gt;"Não",SUMIFS(BD!$H$3:$H$5001,BD!$B$3:$B$5001,D$102,BD!$A$3:$A$5001,"&gt;="&amp;$C$7,BD!$A$3:$A$5001,"&lt;="&amp;$D$7),"—"))</f>
        <v>—</v>
      </c>
      <c r="E108" s="42" t="str">
        <f>IF(E$102="","",IF(Config!$I$38&lt;&gt;"Não",SUMIFS(BD!$H$3:$H$5001,BD!$B$3:$B$5001,E$102,BD!$A$3:$A$5001,"&gt;="&amp;$C$7,BD!$A$3:$A$5001,"&lt;="&amp;$D$7),"—"))</f>
        <v>—</v>
      </c>
      <c r="F108" s="42" t="str">
        <f>IF(F$102="","",IF(Config!$I$39&lt;&gt;"Não",SUMIFS(BD!$H$3:$H$5001,BD!$B$3:$B$5001,F$102,BD!$A$3:$A$5001,"&gt;="&amp;$C$7,BD!$A$3:$A$5001,"&lt;="&amp;$D$7),"—"))</f>
        <v>—</v>
      </c>
      <c r="G108" s="42" t="str">
        <f>IF(G$102="","",IF(Config!$I$40&lt;&gt;"Não",SUMIFS(BD!$H$3:$H$5001,BD!$B$3:$B$5001,G$102,BD!$A$3:$A$5001,"&gt;="&amp;$C$7,BD!$A$3:$A$5001,"&lt;="&amp;$D$7),"—"))</f>
        <v>—</v>
      </c>
      <c r="H108" s="42" t="str">
        <f>IF(H$102="","",IF(Config!$I$41&lt;&gt;"Não",SUMIFS(BD!$H$3:$H$5001,BD!$B$3:$B$5001,H$102,BD!$A$3:$A$5001,"&gt;="&amp;$C$7,BD!$A$3:$A$5001,"&lt;="&amp;$D$7),"—"))</f>
        <v>—</v>
      </c>
      <c r="I108" s="42" t="str">
        <f>IF(I$102="","",IF(Config!$I$42&lt;&gt;"Não",SUMIFS(BD!$H$3:$H$5001,BD!$B$3:$B$5001,I$102,BD!$A$3:$A$5001,"&gt;="&amp;$C$7,BD!$A$3:$A$5001,"&lt;="&amp;$D$7),"—"))</f>
        <v>—</v>
      </c>
      <c r="J108" s="42" t="str">
        <f>IF(J$102="","",IF(Config!$I$43&lt;&gt;"Não",SUMIFS(BD!$H$3:$H$5001,BD!$B$3:$B$5001,J$102,BD!$A$3:$A$5001,"&gt;="&amp;$C$7,BD!$A$3:$A$5001,"&lt;="&amp;$D$7),"—"))</f>
        <v>—</v>
      </c>
      <c r="K108" s="42" t="str">
        <f>IF(K$102="","",IF(Config!$I$44&lt;&gt;"Não",SUMIFS(BD!$H$3:$H$5001,BD!$B$3:$B$5001,K$102,BD!$A$3:$A$5001,"&gt;="&amp;$C$7,BD!$A$3:$A$5001,"&lt;="&amp;$D$7),"—"))</f>
        <v>—</v>
      </c>
      <c r="L108" s="42" t="str">
        <f>IF(L$102="","",IF(Config!$I$45&lt;&gt;"Não",SUMIFS(BD!$H$3:$H$5001,BD!$B$3:$B$5001,L$102,BD!$A$3:$A$5001,"&gt;="&amp;$C$7,BD!$A$3:$A$5001,"&lt;="&amp;$D$7),"—"))</f>
        <v/>
      </c>
      <c r="M108" s="42" t="str">
        <f>IF(M$102="","",IF(Config!$I$46&lt;&gt;"Não",SUMIFS(BD!$H$3:$H$5001,BD!$B$3:$B$5001,M$102,BD!$A$3:$A$5001,"&gt;="&amp;$C$7,BD!$A$3:$A$5001,"&lt;="&amp;$D$7),"—"))</f>
        <v/>
      </c>
      <c r="N108" s="42" t="str">
        <f>IF(N$102="","",IF(Config!$I$47&lt;&gt;"Não",SUMIFS(BD!$H$3:$H$5001,BD!$B$3:$B$5001,N$102,BD!$A$3:$A$5001,"&gt;="&amp;$C$7,BD!$A$3:$A$5001,"&lt;="&amp;$D$7),"—"))</f>
        <v/>
      </c>
      <c r="O108" s="42" t="str">
        <f>IF(O$102="","",IF(Config!$I$48&lt;&gt;"Não",SUMIFS(BD!$H$3:$H$5001,BD!$B$3:$B$5001,O$102,BD!$A$3:$A$5001,"&gt;="&amp;$C$7,BD!$A$3:$A$5001,"&lt;="&amp;$D$7),"—"))</f>
        <v/>
      </c>
      <c r="P108" s="42" t="str">
        <f>IF(P$102="","",IF(Config!$I$49&lt;&gt;"Não",SUMIFS(BD!$H$3:$H$5001,BD!$B$3:$B$5001,P$102,BD!$A$3:$A$5001,"&gt;="&amp;$C$7,BD!$A$3:$A$5001,"&lt;="&amp;$D$7),"—"))</f>
        <v/>
      </c>
      <c r="Q108" s="42" t="str">
        <f>IF(Q$102="","",IF(Config!$I$50&lt;&gt;"Não",SUMIFS(BD!$H$3:$H$5001,BD!$B$3:$B$5001,Q$102,BD!$A$3:$A$5001,"&gt;="&amp;$C$7,BD!$A$3:$A$5001,"&lt;="&amp;$D$7),"—"))</f>
        <v/>
      </c>
      <c r="R108" s="42" t="str">
        <f>IF(R$102="","",IF(Config!$I$51&lt;&gt;"Não",SUMIFS(BD!$H$3:$H$5001,BD!$B$3:$B$5001,R$102,BD!$A$3:$A$5001,"&gt;="&amp;$C$7,BD!$A$3:$A$5001,"&lt;="&amp;$D$7),"—"))</f>
        <v/>
      </c>
      <c r="S108" s="42" t="str">
        <f>IF(S$102="","",IF(Config!$I$52&lt;&gt;"Não",SUMIFS(BD!$H$3:$H$5001,BD!$B$3:$B$5001,S$102,BD!$A$3:$A$5001,"&gt;="&amp;$C$7,BD!$A$3:$A$5001,"&lt;="&amp;$D$7),"—"))</f>
        <v/>
      </c>
      <c r="T108" s="42" t="str">
        <f>IF(T$102="","",IF(Config!$I$53&lt;&gt;"Não",SUMIFS(BD!$H$3:$H$5001,BD!$B$3:$B$5001,T$102,BD!$A$3:$A$5001,"&gt;="&amp;$C$7,BD!$A$3:$A$5001,"&lt;="&amp;$D$7),"—"))</f>
        <v/>
      </c>
      <c r="U108" s="42" t="str">
        <f>IF(U$102="","",IF(Config!$I$54&lt;&gt;"Não",SUMIFS(BD!$H$3:$H$5001,BD!$B$3:$B$5001,U$102,BD!$A$3:$A$5001,"&gt;="&amp;$C$7,BD!$A$3:$A$5001,"&lt;="&amp;$D$7),"—"))</f>
        <v/>
      </c>
      <c r="V108" s="73">
        <f>SUM(B108:U108)</f>
        <v>0</v>
      </c>
    </row>
    <row r="109">
      <c r="A109" s="40" t="inlineStr">
        <is>
          <t xml:space="preserve">IN · Itens Recebidos CX Mista</t>
        </is>
      </c>
      <c r="B109" s="42" t="str">
        <f>IF(B$102="","",IF(Config!$J$35&lt;&gt;"Não",SUMIFS(BD!$I$3:$I$5001,BD!$B$3:$B$5001,B$102,BD!$A$3:$A$5001,"&gt;="&amp;$C$7,BD!$A$3:$A$5001,"&lt;="&amp;$D$7),"—"))</f>
        <v>—</v>
      </c>
      <c r="C109" s="42" t="str">
        <f>IF(C$102="","",IF(Config!$J$36&lt;&gt;"Não",SUMIFS(BD!$I$3:$I$5001,BD!$B$3:$B$5001,C$102,BD!$A$3:$A$5001,"&gt;="&amp;$C$7,BD!$A$3:$A$5001,"&lt;="&amp;$D$7),"—"))</f>
        <v>—</v>
      </c>
      <c r="D109" s="42" t="str">
        <f>IF(D$102="","",IF(Config!$J$37&lt;&gt;"Não",SUMIFS(BD!$I$3:$I$5001,BD!$B$3:$B$5001,D$102,BD!$A$3:$A$5001,"&gt;="&amp;$C$7,BD!$A$3:$A$5001,"&lt;="&amp;$D$7),"—"))</f>
        <v>—</v>
      </c>
      <c r="E109" s="42">
        <f>IF(E$102="","",IF(Config!$J$38&lt;&gt;"Não",SUMIFS(BD!$I$3:$I$5001,BD!$B$3:$B$5001,E$102,BD!$A$3:$A$5001,"&gt;="&amp;$C$7,BD!$A$3:$A$5001,"&lt;="&amp;$D$7),"—"))</f>
        <v>0</v>
      </c>
      <c r="F109" s="42" t="str">
        <f>IF(F$102="","",IF(Config!$J$39&lt;&gt;"Não",SUMIFS(BD!$I$3:$I$5001,BD!$B$3:$B$5001,F$102,BD!$A$3:$A$5001,"&gt;="&amp;$C$7,BD!$A$3:$A$5001,"&lt;="&amp;$D$7),"—"))</f>
        <v>—</v>
      </c>
      <c r="G109" s="42" t="str">
        <f>IF(G$102="","",IF(Config!$J$40&lt;&gt;"Não",SUMIFS(BD!$I$3:$I$5001,BD!$B$3:$B$5001,G$102,BD!$A$3:$A$5001,"&gt;="&amp;$C$7,BD!$A$3:$A$5001,"&lt;="&amp;$D$7),"—"))</f>
        <v>—</v>
      </c>
      <c r="H109" s="42" t="str">
        <f>IF(H$102="","",IF(Config!$J$41&lt;&gt;"Não",SUMIFS(BD!$I$3:$I$5001,BD!$B$3:$B$5001,H$102,BD!$A$3:$A$5001,"&gt;="&amp;$C$7,BD!$A$3:$A$5001,"&lt;="&amp;$D$7),"—"))</f>
        <v>—</v>
      </c>
      <c r="I109" s="42" t="str">
        <f>IF(I$102="","",IF(Config!$J$42&lt;&gt;"Não",SUMIFS(BD!$I$3:$I$5001,BD!$B$3:$B$5001,I$102,BD!$A$3:$A$5001,"&gt;="&amp;$C$7,BD!$A$3:$A$5001,"&lt;="&amp;$D$7),"—"))</f>
        <v>—</v>
      </c>
      <c r="J109" s="42" t="str">
        <f>IF(J$102="","",IF(Config!$J$43&lt;&gt;"Não",SUMIFS(BD!$I$3:$I$5001,BD!$B$3:$B$5001,J$102,BD!$A$3:$A$5001,"&gt;="&amp;$C$7,BD!$A$3:$A$5001,"&lt;="&amp;$D$7),"—"))</f>
        <v>—</v>
      </c>
      <c r="K109" s="42" t="str">
        <f>IF(K$102="","",IF(Config!$J$44&lt;&gt;"Não",SUMIFS(BD!$I$3:$I$5001,BD!$B$3:$B$5001,K$102,BD!$A$3:$A$5001,"&gt;="&amp;$C$7,BD!$A$3:$A$5001,"&lt;="&amp;$D$7),"—"))</f>
        <v>—</v>
      </c>
      <c r="L109" s="42" t="str">
        <f>IF(L$102="","",IF(Config!$J$45&lt;&gt;"Não",SUMIFS(BD!$I$3:$I$5001,BD!$B$3:$B$5001,L$102,BD!$A$3:$A$5001,"&gt;="&amp;$C$7,BD!$A$3:$A$5001,"&lt;="&amp;$D$7),"—"))</f>
        <v/>
      </c>
      <c r="M109" s="42" t="str">
        <f>IF(M$102="","",IF(Config!$J$46&lt;&gt;"Não",SUMIFS(BD!$I$3:$I$5001,BD!$B$3:$B$5001,M$102,BD!$A$3:$A$5001,"&gt;="&amp;$C$7,BD!$A$3:$A$5001,"&lt;="&amp;$D$7),"—"))</f>
        <v/>
      </c>
      <c r="N109" s="42" t="str">
        <f>IF(N$102="","",IF(Config!$J$47&lt;&gt;"Não",SUMIFS(BD!$I$3:$I$5001,BD!$B$3:$B$5001,N$102,BD!$A$3:$A$5001,"&gt;="&amp;$C$7,BD!$A$3:$A$5001,"&lt;="&amp;$D$7),"—"))</f>
        <v/>
      </c>
      <c r="O109" s="42" t="str">
        <f>IF(O$102="","",IF(Config!$J$48&lt;&gt;"Não",SUMIFS(BD!$I$3:$I$5001,BD!$B$3:$B$5001,O$102,BD!$A$3:$A$5001,"&gt;="&amp;$C$7,BD!$A$3:$A$5001,"&lt;="&amp;$D$7),"—"))</f>
        <v/>
      </c>
      <c r="P109" s="42" t="str">
        <f>IF(P$102="","",IF(Config!$J$49&lt;&gt;"Não",SUMIFS(BD!$I$3:$I$5001,BD!$B$3:$B$5001,P$102,BD!$A$3:$A$5001,"&gt;="&amp;$C$7,BD!$A$3:$A$5001,"&lt;="&amp;$D$7),"—"))</f>
        <v/>
      </c>
      <c r="Q109" s="42" t="str">
        <f>IF(Q$102="","",IF(Config!$J$50&lt;&gt;"Não",SUMIFS(BD!$I$3:$I$5001,BD!$B$3:$B$5001,Q$102,BD!$A$3:$A$5001,"&gt;="&amp;$C$7,BD!$A$3:$A$5001,"&lt;="&amp;$D$7),"—"))</f>
        <v/>
      </c>
      <c r="R109" s="42" t="str">
        <f>IF(R$102="","",IF(Config!$J$51&lt;&gt;"Não",SUMIFS(BD!$I$3:$I$5001,BD!$B$3:$B$5001,R$102,BD!$A$3:$A$5001,"&gt;="&amp;$C$7,BD!$A$3:$A$5001,"&lt;="&amp;$D$7),"—"))</f>
        <v/>
      </c>
      <c r="S109" s="42" t="str">
        <f>IF(S$102="","",IF(Config!$J$52&lt;&gt;"Não",SUMIFS(BD!$I$3:$I$5001,BD!$B$3:$B$5001,S$102,BD!$A$3:$A$5001,"&gt;="&amp;$C$7,BD!$A$3:$A$5001,"&lt;="&amp;$D$7),"—"))</f>
        <v/>
      </c>
      <c r="T109" s="42" t="str">
        <f>IF(T$102="","",IF(Config!$J$53&lt;&gt;"Não",SUMIFS(BD!$I$3:$I$5001,BD!$B$3:$B$5001,T$102,BD!$A$3:$A$5001,"&gt;="&amp;$C$7,BD!$A$3:$A$5001,"&lt;="&amp;$D$7),"—"))</f>
        <v/>
      </c>
      <c r="U109" s="42" t="str">
        <f>IF(U$102="","",IF(Config!$J$54&lt;&gt;"Não",SUMIFS(BD!$I$3:$I$5001,BD!$B$3:$B$5001,U$102,BD!$A$3:$A$5001,"&gt;="&amp;$C$7,BD!$A$3:$A$5001,"&lt;="&amp;$D$7),"—"))</f>
        <v/>
      </c>
      <c r="V109" s="73">
        <f>SUM(B109:U109)</f>
        <v>0</v>
      </c>
    </row>
    <row r="110">
      <c r="A110" s="40" t="inlineStr">
        <is>
          <t xml:space="preserve">IN · Caixas Fechadas</t>
        </is>
      </c>
      <c r="B110" s="42" t="str">
        <f>IF(B$102="","",IF(Config!$K$35&lt;&gt;"Não",SUMIFS(BD!$J$3:$J$5001,BD!$B$3:$B$5001,B$102,BD!$A$3:$A$5001,"&gt;="&amp;$C$7,BD!$A$3:$A$5001,"&lt;="&amp;$D$7),"—"))</f>
        <v>—</v>
      </c>
      <c r="C110" s="42" t="str">
        <f>IF(C$102="","",IF(Config!$K$36&lt;&gt;"Não",SUMIFS(BD!$J$3:$J$5001,BD!$B$3:$B$5001,C$102,BD!$A$3:$A$5001,"&gt;="&amp;$C$7,BD!$A$3:$A$5001,"&lt;="&amp;$D$7),"—"))</f>
        <v>—</v>
      </c>
      <c r="D110" s="42" t="str">
        <f>IF(D$102="","",IF(Config!$K$37&lt;&gt;"Não",SUMIFS(BD!$J$3:$J$5001,BD!$B$3:$B$5001,D$102,BD!$A$3:$A$5001,"&gt;="&amp;$C$7,BD!$A$3:$A$5001,"&lt;="&amp;$D$7),"—"))</f>
        <v>—</v>
      </c>
      <c r="E110" s="42">
        <f>IF(E$102="","",IF(Config!$K$38&lt;&gt;"Não",SUMIFS(BD!$J$3:$J$5001,BD!$B$3:$B$5001,E$102,BD!$A$3:$A$5001,"&gt;="&amp;$C$7,BD!$A$3:$A$5001,"&lt;="&amp;$D$7),"—"))</f>
        <v>0</v>
      </c>
      <c r="F110" s="42" t="str">
        <f>IF(F$102="","",IF(Config!$K$39&lt;&gt;"Não",SUMIFS(BD!$J$3:$J$5001,BD!$B$3:$B$5001,F$102,BD!$A$3:$A$5001,"&gt;="&amp;$C$7,BD!$A$3:$A$5001,"&lt;="&amp;$D$7),"—"))</f>
        <v>—</v>
      </c>
      <c r="G110" s="42" t="str">
        <f>IF(G$102="","",IF(Config!$K$40&lt;&gt;"Não",SUMIFS(BD!$J$3:$J$5001,BD!$B$3:$B$5001,G$102,BD!$A$3:$A$5001,"&gt;="&amp;$C$7,BD!$A$3:$A$5001,"&lt;="&amp;$D$7),"—"))</f>
        <v>—</v>
      </c>
      <c r="H110" s="42" t="str">
        <f>IF(H$102="","",IF(Config!$K$41&lt;&gt;"Não",SUMIFS(BD!$J$3:$J$5001,BD!$B$3:$B$5001,H$102,BD!$A$3:$A$5001,"&gt;="&amp;$C$7,BD!$A$3:$A$5001,"&lt;="&amp;$D$7),"—"))</f>
        <v>—</v>
      </c>
      <c r="I110" s="42" t="str">
        <f>IF(I$102="","",IF(Config!$K$42&lt;&gt;"Não",SUMIFS(BD!$J$3:$J$5001,BD!$B$3:$B$5001,I$102,BD!$A$3:$A$5001,"&gt;="&amp;$C$7,BD!$A$3:$A$5001,"&lt;="&amp;$D$7),"—"))</f>
        <v>—</v>
      </c>
      <c r="J110" s="42" t="str">
        <f>IF(J$102="","",IF(Config!$K$43&lt;&gt;"Não",SUMIFS(BD!$J$3:$J$5001,BD!$B$3:$B$5001,J$102,BD!$A$3:$A$5001,"&gt;="&amp;$C$7,BD!$A$3:$A$5001,"&lt;="&amp;$D$7),"—"))</f>
        <v>—</v>
      </c>
      <c r="K110" s="42" t="str">
        <f>IF(K$102="","",IF(Config!$K$44&lt;&gt;"Não",SUMIFS(BD!$J$3:$J$5001,BD!$B$3:$B$5001,K$102,BD!$A$3:$A$5001,"&gt;="&amp;$C$7,BD!$A$3:$A$5001,"&lt;="&amp;$D$7),"—"))</f>
        <v>—</v>
      </c>
      <c r="L110" s="42" t="str">
        <f>IF(L$102="","",IF(Config!$K$45&lt;&gt;"Não",SUMIFS(BD!$J$3:$J$5001,BD!$B$3:$B$5001,L$102,BD!$A$3:$A$5001,"&gt;="&amp;$C$7,BD!$A$3:$A$5001,"&lt;="&amp;$D$7),"—"))</f>
        <v/>
      </c>
      <c r="M110" s="42" t="str">
        <f>IF(M$102="","",IF(Config!$K$46&lt;&gt;"Não",SUMIFS(BD!$J$3:$J$5001,BD!$B$3:$B$5001,M$102,BD!$A$3:$A$5001,"&gt;="&amp;$C$7,BD!$A$3:$A$5001,"&lt;="&amp;$D$7),"—"))</f>
        <v/>
      </c>
      <c r="N110" s="42" t="str">
        <f>IF(N$102="","",IF(Config!$K$47&lt;&gt;"Não",SUMIFS(BD!$J$3:$J$5001,BD!$B$3:$B$5001,N$102,BD!$A$3:$A$5001,"&gt;="&amp;$C$7,BD!$A$3:$A$5001,"&lt;="&amp;$D$7),"—"))</f>
        <v/>
      </c>
      <c r="O110" s="42" t="str">
        <f>IF(O$102="","",IF(Config!$K$48&lt;&gt;"Não",SUMIFS(BD!$J$3:$J$5001,BD!$B$3:$B$5001,O$102,BD!$A$3:$A$5001,"&gt;="&amp;$C$7,BD!$A$3:$A$5001,"&lt;="&amp;$D$7),"—"))</f>
        <v/>
      </c>
      <c r="P110" s="42" t="str">
        <f>IF(P$102="","",IF(Config!$K$49&lt;&gt;"Não",SUMIFS(BD!$J$3:$J$5001,BD!$B$3:$B$5001,P$102,BD!$A$3:$A$5001,"&gt;="&amp;$C$7,BD!$A$3:$A$5001,"&lt;="&amp;$D$7),"—"))</f>
        <v/>
      </c>
      <c r="Q110" s="42" t="str">
        <f>IF(Q$102="","",IF(Config!$K$50&lt;&gt;"Não",SUMIFS(BD!$J$3:$J$5001,BD!$B$3:$B$5001,Q$102,BD!$A$3:$A$5001,"&gt;="&amp;$C$7,BD!$A$3:$A$5001,"&lt;="&amp;$D$7),"—"))</f>
        <v/>
      </c>
      <c r="R110" s="42" t="str">
        <f>IF(R$102="","",IF(Config!$K$51&lt;&gt;"Não",SUMIFS(BD!$J$3:$J$5001,BD!$B$3:$B$5001,R$102,BD!$A$3:$A$5001,"&gt;="&amp;$C$7,BD!$A$3:$A$5001,"&lt;="&amp;$D$7),"—"))</f>
        <v/>
      </c>
      <c r="S110" s="42" t="str">
        <f>IF(S$102="","",IF(Config!$K$52&lt;&gt;"Não",SUMIFS(BD!$J$3:$J$5001,BD!$B$3:$B$5001,S$102,BD!$A$3:$A$5001,"&gt;="&amp;$C$7,BD!$A$3:$A$5001,"&lt;="&amp;$D$7),"—"))</f>
        <v/>
      </c>
      <c r="T110" s="42" t="str">
        <f>IF(T$102="","",IF(Config!$K$53&lt;&gt;"Não",SUMIFS(BD!$J$3:$J$5001,BD!$B$3:$B$5001,T$102,BD!$A$3:$A$5001,"&gt;="&amp;$C$7,BD!$A$3:$A$5001,"&lt;="&amp;$D$7),"—"))</f>
        <v/>
      </c>
      <c r="U110" s="42" t="str">
        <f>IF(U$102="","",IF(Config!$K$54&lt;&gt;"Não",SUMIFS(BD!$J$3:$J$5001,BD!$B$3:$B$5001,U$102,BD!$A$3:$A$5001,"&gt;="&amp;$C$7,BD!$A$3:$A$5001,"&lt;="&amp;$D$7),"—"))</f>
        <v/>
      </c>
      <c r="V110" s="73">
        <f>SUM(B110:U110)</f>
        <v>0</v>
      </c>
    </row>
    <row r="111">
      <c r="A111" s="40" t="inlineStr">
        <is>
          <t xml:space="preserve">IN · Caixas Mistas Recebidas</t>
        </is>
      </c>
      <c r="B111" s="42" t="str">
        <f>IF(B$102="","",IF(Config!$L$35&lt;&gt;"Não",SUMIFS(BD!$K$3:$K$5001,BD!$B$3:$B$5001,B$102,BD!$A$3:$A$5001,"&gt;="&amp;$C$7,BD!$A$3:$A$5001,"&lt;="&amp;$D$7),"—"))</f>
        <v>—</v>
      </c>
      <c r="C111" s="42" t="str">
        <f>IF(C$102="","",IF(Config!$L$36&lt;&gt;"Não",SUMIFS(BD!$K$3:$K$5001,BD!$B$3:$B$5001,C$102,BD!$A$3:$A$5001,"&gt;="&amp;$C$7,BD!$A$3:$A$5001,"&lt;="&amp;$D$7),"—"))</f>
        <v>—</v>
      </c>
      <c r="D111" s="42" t="str">
        <f>IF(D$102="","",IF(Config!$L$37&lt;&gt;"Não",SUMIFS(BD!$K$3:$K$5001,BD!$B$3:$B$5001,D$102,BD!$A$3:$A$5001,"&gt;="&amp;$C$7,BD!$A$3:$A$5001,"&lt;="&amp;$D$7),"—"))</f>
        <v>—</v>
      </c>
      <c r="E111" s="42">
        <f>IF(E$102="","",IF(Config!$L$38&lt;&gt;"Não",SUMIFS(BD!$K$3:$K$5001,BD!$B$3:$B$5001,E$102,BD!$A$3:$A$5001,"&gt;="&amp;$C$7,BD!$A$3:$A$5001,"&lt;="&amp;$D$7),"—"))</f>
        <v>0</v>
      </c>
      <c r="F111" s="42" t="str">
        <f>IF(F$102="","",IF(Config!$L$39&lt;&gt;"Não",SUMIFS(BD!$K$3:$K$5001,BD!$B$3:$B$5001,F$102,BD!$A$3:$A$5001,"&gt;="&amp;$C$7,BD!$A$3:$A$5001,"&lt;="&amp;$D$7),"—"))</f>
        <v>—</v>
      </c>
      <c r="G111" s="42" t="str">
        <f>IF(G$102="","",IF(Config!$L$40&lt;&gt;"Não",SUMIFS(BD!$K$3:$K$5001,BD!$B$3:$B$5001,G$102,BD!$A$3:$A$5001,"&gt;="&amp;$C$7,BD!$A$3:$A$5001,"&lt;="&amp;$D$7),"—"))</f>
        <v>—</v>
      </c>
      <c r="H111" s="42" t="str">
        <f>IF(H$102="","",IF(Config!$L$41&lt;&gt;"Não",SUMIFS(BD!$K$3:$K$5001,BD!$B$3:$B$5001,H$102,BD!$A$3:$A$5001,"&gt;="&amp;$C$7,BD!$A$3:$A$5001,"&lt;="&amp;$D$7),"—"))</f>
        <v>—</v>
      </c>
      <c r="I111" s="42" t="str">
        <f>IF(I$102="","",IF(Config!$L$42&lt;&gt;"Não",SUMIFS(BD!$K$3:$K$5001,BD!$B$3:$B$5001,I$102,BD!$A$3:$A$5001,"&gt;="&amp;$C$7,BD!$A$3:$A$5001,"&lt;="&amp;$D$7),"—"))</f>
        <v>—</v>
      </c>
      <c r="J111" s="42" t="str">
        <f>IF(J$102="","",IF(Config!$L$43&lt;&gt;"Não",SUMIFS(BD!$K$3:$K$5001,BD!$B$3:$B$5001,J$102,BD!$A$3:$A$5001,"&gt;="&amp;$C$7,BD!$A$3:$A$5001,"&lt;="&amp;$D$7),"—"))</f>
        <v>—</v>
      </c>
      <c r="K111" s="42" t="str">
        <f>IF(K$102="","",IF(Config!$L$44&lt;&gt;"Não",SUMIFS(BD!$K$3:$K$5001,BD!$B$3:$B$5001,K$102,BD!$A$3:$A$5001,"&gt;="&amp;$C$7,BD!$A$3:$A$5001,"&lt;="&amp;$D$7),"—"))</f>
        <v>—</v>
      </c>
      <c r="L111" s="42" t="str">
        <f>IF(L$102="","",IF(Config!$L$45&lt;&gt;"Não",SUMIFS(BD!$K$3:$K$5001,BD!$B$3:$B$5001,L$102,BD!$A$3:$A$5001,"&gt;="&amp;$C$7,BD!$A$3:$A$5001,"&lt;="&amp;$D$7),"—"))</f>
        <v/>
      </c>
      <c r="M111" s="42" t="str">
        <f>IF(M$102="","",IF(Config!$L$46&lt;&gt;"Não",SUMIFS(BD!$K$3:$K$5001,BD!$B$3:$B$5001,M$102,BD!$A$3:$A$5001,"&gt;="&amp;$C$7,BD!$A$3:$A$5001,"&lt;="&amp;$D$7),"—"))</f>
        <v/>
      </c>
      <c r="N111" s="42" t="str">
        <f>IF(N$102="","",IF(Config!$L$47&lt;&gt;"Não",SUMIFS(BD!$K$3:$K$5001,BD!$B$3:$B$5001,N$102,BD!$A$3:$A$5001,"&gt;="&amp;$C$7,BD!$A$3:$A$5001,"&lt;="&amp;$D$7),"—"))</f>
        <v/>
      </c>
      <c r="O111" s="42" t="str">
        <f>IF(O$102="","",IF(Config!$L$48&lt;&gt;"Não",SUMIFS(BD!$K$3:$K$5001,BD!$B$3:$B$5001,O$102,BD!$A$3:$A$5001,"&gt;="&amp;$C$7,BD!$A$3:$A$5001,"&lt;="&amp;$D$7),"—"))</f>
        <v/>
      </c>
      <c r="P111" s="42" t="str">
        <f>IF(P$102="","",IF(Config!$L$49&lt;&gt;"Não",SUMIFS(BD!$K$3:$K$5001,BD!$B$3:$B$5001,P$102,BD!$A$3:$A$5001,"&gt;="&amp;$C$7,BD!$A$3:$A$5001,"&lt;="&amp;$D$7),"—"))</f>
        <v/>
      </c>
      <c r="Q111" s="42" t="str">
        <f>IF(Q$102="","",IF(Config!$L$50&lt;&gt;"Não",SUMIFS(BD!$K$3:$K$5001,BD!$B$3:$B$5001,Q$102,BD!$A$3:$A$5001,"&gt;="&amp;$C$7,BD!$A$3:$A$5001,"&lt;="&amp;$D$7),"—"))</f>
        <v/>
      </c>
      <c r="R111" s="42" t="str">
        <f>IF(R$102="","",IF(Config!$L$51&lt;&gt;"Não",SUMIFS(BD!$K$3:$K$5001,BD!$B$3:$B$5001,R$102,BD!$A$3:$A$5001,"&gt;="&amp;$C$7,BD!$A$3:$A$5001,"&lt;="&amp;$D$7),"—"))</f>
        <v/>
      </c>
      <c r="S111" s="42" t="str">
        <f>IF(S$102="","",IF(Config!$L$52&lt;&gt;"Não",SUMIFS(BD!$K$3:$K$5001,BD!$B$3:$B$5001,S$102,BD!$A$3:$A$5001,"&gt;="&amp;$C$7,BD!$A$3:$A$5001,"&lt;="&amp;$D$7),"—"))</f>
        <v/>
      </c>
      <c r="T111" s="42" t="str">
        <f>IF(T$102="","",IF(Config!$L$53&lt;&gt;"Não",SUMIFS(BD!$K$3:$K$5001,BD!$B$3:$B$5001,T$102,BD!$A$3:$A$5001,"&gt;="&amp;$C$7,BD!$A$3:$A$5001,"&lt;="&amp;$D$7),"—"))</f>
        <v/>
      </c>
      <c r="U111" s="42" t="str">
        <f>IF(U$102="","",IF(Config!$L$54&lt;&gt;"Não",SUMIFS(BD!$K$3:$K$5001,BD!$B$3:$B$5001,U$102,BD!$A$3:$A$5001,"&gt;="&amp;$C$7,BD!$A$3:$A$5001,"&lt;="&amp;$D$7),"—"))</f>
        <v/>
      </c>
      <c r="V111" s="73">
        <f>SUM(B111:U111)</f>
        <v>0</v>
      </c>
    </row>
    <row r="112">
      <c r="A112" s="40" t="inlineStr">
        <is>
          <t xml:space="preserve">OUT · Veículos Expedidos</t>
        </is>
      </c>
      <c r="B112" s="42">
        <f>IF(B$102="","",IF(Config!$M$35&lt;&gt;"Não",SUMIFS(BD!$L$3:$L$5001,BD!$B$3:$B$5001,B$102,BD!$A$3:$A$5001,"&gt;="&amp;$C$7,BD!$A$3:$A$5001,"&lt;="&amp;$D$7),"—"))</f>
        <v>0</v>
      </c>
      <c r="C112" s="42">
        <f>IF(C$102="","",IF(Config!$M$36&lt;&gt;"Não",SUMIFS(BD!$L$3:$L$5001,BD!$B$3:$B$5001,C$102,BD!$A$3:$A$5001,"&gt;="&amp;$C$7,BD!$A$3:$A$5001,"&lt;="&amp;$D$7),"—"))</f>
        <v>0</v>
      </c>
      <c r="D112" s="42">
        <f>IF(D$102="","",IF(Config!$M$37&lt;&gt;"Não",SUMIFS(BD!$L$3:$L$5001,BD!$B$3:$B$5001,D$102,BD!$A$3:$A$5001,"&gt;="&amp;$C$7,BD!$A$3:$A$5001,"&lt;="&amp;$D$7),"—"))</f>
        <v>0</v>
      </c>
      <c r="E112" s="42">
        <f>IF(E$102="","",IF(Config!$M$38&lt;&gt;"Não",SUMIFS(BD!$L$3:$L$5001,BD!$B$3:$B$5001,E$102,BD!$A$3:$A$5001,"&gt;="&amp;$C$7,BD!$A$3:$A$5001,"&lt;="&amp;$D$7),"—"))</f>
        <v>0</v>
      </c>
      <c r="F112" s="42">
        <f>IF(F$102="","",IF(Config!$M$39&lt;&gt;"Não",SUMIFS(BD!$L$3:$L$5001,BD!$B$3:$B$5001,F$102,BD!$A$3:$A$5001,"&gt;="&amp;$C$7,BD!$A$3:$A$5001,"&lt;="&amp;$D$7),"—"))</f>
        <v>0</v>
      </c>
      <c r="G112" s="42">
        <f>IF(G$102="","",IF(Config!$M$40&lt;&gt;"Não",SUMIFS(BD!$L$3:$L$5001,BD!$B$3:$B$5001,G$102,BD!$A$3:$A$5001,"&gt;="&amp;$C$7,BD!$A$3:$A$5001,"&lt;="&amp;$D$7),"—"))</f>
        <v>0</v>
      </c>
      <c r="H112" s="42">
        <f>IF(H$102="","",IF(Config!$M$41&lt;&gt;"Não",SUMIFS(BD!$L$3:$L$5001,BD!$B$3:$B$5001,H$102,BD!$A$3:$A$5001,"&gt;="&amp;$C$7,BD!$A$3:$A$5001,"&lt;="&amp;$D$7),"—"))</f>
        <v>0</v>
      </c>
      <c r="I112" s="42">
        <f>IF(I$102="","",IF(Config!$M$42&lt;&gt;"Não",SUMIFS(BD!$L$3:$L$5001,BD!$B$3:$B$5001,I$102,BD!$A$3:$A$5001,"&gt;="&amp;$C$7,BD!$A$3:$A$5001,"&lt;="&amp;$D$7),"—"))</f>
        <v>0</v>
      </c>
      <c r="J112" s="42">
        <f>IF(J$102="","",IF(Config!$M$43&lt;&gt;"Não",SUMIFS(BD!$L$3:$L$5001,BD!$B$3:$B$5001,J$102,BD!$A$3:$A$5001,"&gt;="&amp;$C$7,BD!$A$3:$A$5001,"&lt;="&amp;$D$7),"—"))</f>
        <v>0</v>
      </c>
      <c r="K112" s="42">
        <f>IF(K$102="","",IF(Config!$M$44&lt;&gt;"Não",SUMIFS(BD!$L$3:$L$5001,BD!$B$3:$B$5001,K$102,BD!$A$3:$A$5001,"&gt;="&amp;$C$7,BD!$A$3:$A$5001,"&lt;="&amp;$D$7),"—"))</f>
        <v>0</v>
      </c>
      <c r="L112" s="42" t="str">
        <f>IF(L$102="","",IF(Config!$M$45&lt;&gt;"Não",SUMIFS(BD!$L$3:$L$5001,BD!$B$3:$B$5001,L$102,BD!$A$3:$A$5001,"&gt;="&amp;$C$7,BD!$A$3:$A$5001,"&lt;="&amp;$D$7),"—"))</f>
        <v/>
      </c>
      <c r="M112" s="42" t="str">
        <f>IF(M$102="","",IF(Config!$M$46&lt;&gt;"Não",SUMIFS(BD!$L$3:$L$5001,BD!$B$3:$B$5001,M$102,BD!$A$3:$A$5001,"&gt;="&amp;$C$7,BD!$A$3:$A$5001,"&lt;="&amp;$D$7),"—"))</f>
        <v/>
      </c>
      <c r="N112" s="42" t="str">
        <f>IF(N$102="","",IF(Config!$M$47&lt;&gt;"Não",SUMIFS(BD!$L$3:$L$5001,BD!$B$3:$B$5001,N$102,BD!$A$3:$A$5001,"&gt;="&amp;$C$7,BD!$A$3:$A$5001,"&lt;="&amp;$D$7),"—"))</f>
        <v/>
      </c>
      <c r="O112" s="42" t="str">
        <f>IF(O$102="","",IF(Config!$M$48&lt;&gt;"Não",SUMIFS(BD!$L$3:$L$5001,BD!$B$3:$B$5001,O$102,BD!$A$3:$A$5001,"&gt;="&amp;$C$7,BD!$A$3:$A$5001,"&lt;="&amp;$D$7),"—"))</f>
        <v/>
      </c>
      <c r="P112" s="42" t="str">
        <f>IF(P$102="","",IF(Config!$M$49&lt;&gt;"Não",SUMIFS(BD!$L$3:$L$5001,BD!$B$3:$B$5001,P$102,BD!$A$3:$A$5001,"&gt;="&amp;$C$7,BD!$A$3:$A$5001,"&lt;="&amp;$D$7),"—"))</f>
        <v/>
      </c>
      <c r="Q112" s="42" t="str">
        <f>IF(Q$102="","",IF(Config!$M$50&lt;&gt;"Não",SUMIFS(BD!$L$3:$L$5001,BD!$B$3:$B$5001,Q$102,BD!$A$3:$A$5001,"&gt;="&amp;$C$7,BD!$A$3:$A$5001,"&lt;="&amp;$D$7),"—"))</f>
        <v/>
      </c>
      <c r="R112" s="42" t="str">
        <f>IF(R$102="","",IF(Config!$M$51&lt;&gt;"Não",SUMIFS(BD!$L$3:$L$5001,BD!$B$3:$B$5001,R$102,BD!$A$3:$A$5001,"&gt;="&amp;$C$7,BD!$A$3:$A$5001,"&lt;="&amp;$D$7),"—"))</f>
        <v/>
      </c>
      <c r="S112" s="42" t="str">
        <f>IF(S$102="","",IF(Config!$M$52&lt;&gt;"Não",SUMIFS(BD!$L$3:$L$5001,BD!$B$3:$B$5001,S$102,BD!$A$3:$A$5001,"&gt;="&amp;$C$7,BD!$A$3:$A$5001,"&lt;="&amp;$D$7),"—"))</f>
        <v/>
      </c>
      <c r="T112" s="42" t="str">
        <f>IF(T$102="","",IF(Config!$M$53&lt;&gt;"Não",SUMIFS(BD!$L$3:$L$5001,BD!$B$3:$B$5001,T$102,BD!$A$3:$A$5001,"&gt;="&amp;$C$7,BD!$A$3:$A$5001,"&lt;="&amp;$D$7),"—"))</f>
        <v/>
      </c>
      <c r="U112" s="42" t="str">
        <f>IF(U$102="","",IF(Config!$M$54&lt;&gt;"Não",SUMIFS(BD!$L$3:$L$5001,BD!$B$3:$B$5001,U$102,BD!$A$3:$A$5001,"&gt;="&amp;$C$7,BD!$A$3:$A$5001,"&lt;="&amp;$D$7),"—"))</f>
        <v/>
      </c>
      <c r="V112" s="73">
        <f>SUM(B112:U112)</f>
        <v>0</v>
      </c>
    </row>
    <row r="113">
      <c r="A113" s="40" t="inlineStr">
        <is>
          <t xml:space="preserve">OUT · Pedidos Expedidos</t>
        </is>
      </c>
      <c r="B113" s="42" t="str">
        <f>IF(B$102="","",IF(Config!$N$35&lt;&gt;"Não",SUMIFS(BD!$M$3:$M$5001,BD!$B$3:$B$5001,B$102,BD!$A$3:$A$5001,"&gt;="&amp;$C$7,BD!$A$3:$A$5001,"&lt;="&amp;$D$7),"—"))</f>
        <v>—</v>
      </c>
      <c r="C113" s="42" t="str">
        <f>IF(C$102="","",IF(Config!$N$36&lt;&gt;"Não",SUMIFS(BD!$M$3:$M$5001,BD!$B$3:$B$5001,C$102,BD!$A$3:$A$5001,"&gt;="&amp;$C$7,BD!$A$3:$A$5001,"&lt;="&amp;$D$7),"—"))</f>
        <v>—</v>
      </c>
      <c r="D113" s="42">
        <f>IF(D$102="","",IF(Config!$N$37&lt;&gt;"Não",SUMIFS(BD!$M$3:$M$5001,BD!$B$3:$B$5001,D$102,BD!$A$3:$A$5001,"&gt;="&amp;$C$7,BD!$A$3:$A$5001,"&lt;="&amp;$D$7),"—"))</f>
        <v>0</v>
      </c>
      <c r="E113" s="42" t="str">
        <f>IF(E$102="","",IF(Config!$N$38&lt;&gt;"Não",SUMIFS(BD!$M$3:$M$5001,BD!$B$3:$B$5001,E$102,BD!$A$3:$A$5001,"&gt;="&amp;$C$7,BD!$A$3:$A$5001,"&lt;="&amp;$D$7),"—"))</f>
        <v>—</v>
      </c>
      <c r="F113" s="42" t="str">
        <f>IF(F$102="","",IF(Config!$N$39&lt;&gt;"Não",SUMIFS(BD!$M$3:$M$5001,BD!$B$3:$B$5001,F$102,BD!$A$3:$A$5001,"&gt;="&amp;$C$7,BD!$A$3:$A$5001,"&lt;="&amp;$D$7),"—"))</f>
        <v>—</v>
      </c>
      <c r="G113" s="42" t="str">
        <f>IF(G$102="","",IF(Config!$N$40&lt;&gt;"Não",SUMIFS(BD!$M$3:$M$5001,BD!$B$3:$B$5001,G$102,BD!$A$3:$A$5001,"&gt;="&amp;$C$7,BD!$A$3:$A$5001,"&lt;="&amp;$D$7),"—"))</f>
        <v>—</v>
      </c>
      <c r="H113" s="42" t="str">
        <f>IF(H$102="","",IF(Config!$N$41&lt;&gt;"Não",SUMIFS(BD!$M$3:$M$5001,BD!$B$3:$B$5001,H$102,BD!$A$3:$A$5001,"&gt;="&amp;$C$7,BD!$A$3:$A$5001,"&lt;="&amp;$D$7),"—"))</f>
        <v>—</v>
      </c>
      <c r="I113" s="42" t="str">
        <f>IF(I$102="","",IF(Config!$N$42&lt;&gt;"Não",SUMIFS(BD!$M$3:$M$5001,BD!$B$3:$B$5001,I$102,BD!$A$3:$A$5001,"&gt;="&amp;$C$7,BD!$A$3:$A$5001,"&lt;="&amp;$D$7),"—"))</f>
        <v>—</v>
      </c>
      <c r="J113" s="42" t="str">
        <f>IF(J$102="","",IF(Config!$N$43&lt;&gt;"Não",SUMIFS(BD!$M$3:$M$5001,BD!$B$3:$B$5001,J$102,BD!$A$3:$A$5001,"&gt;="&amp;$C$7,BD!$A$3:$A$5001,"&lt;="&amp;$D$7),"—"))</f>
        <v>—</v>
      </c>
      <c r="K113" s="42" t="str">
        <f>IF(K$102="","",IF(Config!$N$44&lt;&gt;"Não",SUMIFS(BD!$M$3:$M$5001,BD!$B$3:$B$5001,K$102,BD!$A$3:$A$5001,"&gt;="&amp;$C$7,BD!$A$3:$A$5001,"&lt;="&amp;$D$7),"—"))</f>
        <v>—</v>
      </c>
      <c r="L113" s="42" t="str">
        <f>IF(L$102="","",IF(Config!$N$45&lt;&gt;"Não",SUMIFS(BD!$M$3:$M$5001,BD!$B$3:$B$5001,L$102,BD!$A$3:$A$5001,"&gt;="&amp;$C$7,BD!$A$3:$A$5001,"&lt;="&amp;$D$7),"—"))</f>
        <v/>
      </c>
      <c r="M113" s="42" t="str">
        <f>IF(M$102="","",IF(Config!$N$46&lt;&gt;"Não",SUMIFS(BD!$M$3:$M$5001,BD!$B$3:$B$5001,M$102,BD!$A$3:$A$5001,"&gt;="&amp;$C$7,BD!$A$3:$A$5001,"&lt;="&amp;$D$7),"—"))</f>
        <v/>
      </c>
      <c r="N113" s="42" t="str">
        <f>IF(N$102="","",IF(Config!$N$47&lt;&gt;"Não",SUMIFS(BD!$M$3:$M$5001,BD!$B$3:$B$5001,N$102,BD!$A$3:$A$5001,"&gt;="&amp;$C$7,BD!$A$3:$A$5001,"&lt;="&amp;$D$7),"—"))</f>
        <v/>
      </c>
      <c r="O113" s="42" t="str">
        <f>IF(O$102="","",IF(Config!$N$48&lt;&gt;"Não",SUMIFS(BD!$M$3:$M$5001,BD!$B$3:$B$5001,O$102,BD!$A$3:$A$5001,"&gt;="&amp;$C$7,BD!$A$3:$A$5001,"&lt;="&amp;$D$7),"—"))</f>
        <v/>
      </c>
      <c r="P113" s="42" t="str">
        <f>IF(P$102="","",IF(Config!$N$49&lt;&gt;"Não",SUMIFS(BD!$M$3:$M$5001,BD!$B$3:$B$5001,P$102,BD!$A$3:$A$5001,"&gt;="&amp;$C$7,BD!$A$3:$A$5001,"&lt;="&amp;$D$7),"—"))</f>
        <v/>
      </c>
      <c r="Q113" s="42" t="str">
        <f>IF(Q$102="","",IF(Config!$N$50&lt;&gt;"Não",SUMIFS(BD!$M$3:$M$5001,BD!$B$3:$B$5001,Q$102,BD!$A$3:$A$5001,"&gt;="&amp;$C$7,BD!$A$3:$A$5001,"&lt;="&amp;$D$7),"—"))</f>
        <v/>
      </c>
      <c r="R113" s="42" t="str">
        <f>IF(R$102="","",IF(Config!$N$51&lt;&gt;"Não",SUMIFS(BD!$M$3:$M$5001,BD!$B$3:$B$5001,R$102,BD!$A$3:$A$5001,"&gt;="&amp;$C$7,BD!$A$3:$A$5001,"&lt;="&amp;$D$7),"—"))</f>
        <v/>
      </c>
      <c r="S113" s="42" t="str">
        <f>IF(S$102="","",IF(Config!$N$52&lt;&gt;"Não",SUMIFS(BD!$M$3:$M$5001,BD!$B$3:$B$5001,S$102,BD!$A$3:$A$5001,"&gt;="&amp;$C$7,BD!$A$3:$A$5001,"&lt;="&amp;$D$7),"—"))</f>
        <v/>
      </c>
      <c r="T113" s="42" t="str">
        <f>IF(T$102="","",IF(Config!$N$53&lt;&gt;"Não",SUMIFS(BD!$M$3:$M$5001,BD!$B$3:$B$5001,T$102,BD!$A$3:$A$5001,"&gt;="&amp;$C$7,BD!$A$3:$A$5001,"&lt;="&amp;$D$7),"—"))</f>
        <v/>
      </c>
      <c r="U113" s="42" t="str">
        <f>IF(U$102="","",IF(Config!$N$54&lt;&gt;"Não",SUMIFS(BD!$M$3:$M$5001,BD!$B$3:$B$5001,U$102,BD!$A$3:$A$5001,"&gt;="&amp;$C$7,BD!$A$3:$A$5001,"&lt;="&amp;$D$7),"—"))</f>
        <v/>
      </c>
      <c r="V113" s="73">
        <f>SUM(B113:U113)</f>
        <v>0</v>
      </c>
    </row>
    <row r="114">
      <c r="A114" s="40" t="inlineStr">
        <is>
          <t xml:space="preserve">OUT · Pedidos Faturados</t>
        </is>
      </c>
      <c r="B114" s="42" t="str">
        <f>IF(B$102="","",IF(Config!$O$35&lt;&gt;"Não",SUMIFS(BD!$N$3:$N$5001,BD!$B$3:$B$5001,B$102,BD!$A$3:$A$5001,"&gt;="&amp;$C$7,BD!$A$3:$A$5001,"&lt;="&amp;$D$7),"—"))</f>
        <v>—</v>
      </c>
      <c r="C114" s="42" t="str">
        <f>IF(C$102="","",IF(Config!$O$36&lt;&gt;"Não",SUMIFS(BD!$N$3:$N$5001,BD!$B$3:$B$5001,C$102,BD!$A$3:$A$5001,"&gt;="&amp;$C$7,BD!$A$3:$A$5001,"&lt;="&amp;$D$7),"—"))</f>
        <v>—</v>
      </c>
      <c r="D114" s="42" t="str">
        <f>IF(D$102="","",IF(Config!$O$37&lt;&gt;"Não",SUMIFS(BD!$N$3:$N$5001,BD!$B$3:$B$5001,D$102,BD!$A$3:$A$5001,"&gt;="&amp;$C$7,BD!$A$3:$A$5001,"&lt;="&amp;$D$7),"—"))</f>
        <v>—</v>
      </c>
      <c r="E114" s="42">
        <f>IF(E$102="","",IF(Config!$O$38&lt;&gt;"Não",SUMIFS(BD!$N$3:$N$5001,BD!$B$3:$B$5001,E$102,BD!$A$3:$A$5001,"&gt;="&amp;$C$7,BD!$A$3:$A$5001,"&lt;="&amp;$D$7),"—"))</f>
        <v>0</v>
      </c>
      <c r="F114" s="42" t="str">
        <f>IF(F$102="","",IF(Config!$O$39&lt;&gt;"Não",SUMIFS(BD!$N$3:$N$5001,BD!$B$3:$B$5001,F$102,BD!$A$3:$A$5001,"&gt;="&amp;$C$7,BD!$A$3:$A$5001,"&lt;="&amp;$D$7),"—"))</f>
        <v>—</v>
      </c>
      <c r="G114" s="42" t="str">
        <f>IF(G$102="","",IF(Config!$O$40&lt;&gt;"Não",SUMIFS(BD!$N$3:$N$5001,BD!$B$3:$B$5001,G$102,BD!$A$3:$A$5001,"&gt;="&amp;$C$7,BD!$A$3:$A$5001,"&lt;="&amp;$D$7),"—"))</f>
        <v>—</v>
      </c>
      <c r="H114" s="42" t="str">
        <f>IF(H$102="","",IF(Config!$O$41&lt;&gt;"Não",SUMIFS(BD!$N$3:$N$5001,BD!$B$3:$B$5001,H$102,BD!$A$3:$A$5001,"&gt;="&amp;$C$7,BD!$A$3:$A$5001,"&lt;="&amp;$D$7),"—"))</f>
        <v>—</v>
      </c>
      <c r="I114" s="42" t="str">
        <f>IF(I$102="","",IF(Config!$O$42&lt;&gt;"Não",SUMIFS(BD!$N$3:$N$5001,BD!$B$3:$B$5001,I$102,BD!$A$3:$A$5001,"&gt;="&amp;$C$7,BD!$A$3:$A$5001,"&lt;="&amp;$D$7),"—"))</f>
        <v>—</v>
      </c>
      <c r="J114" s="42" t="str">
        <f>IF(J$102="","",IF(Config!$O$43&lt;&gt;"Não",SUMIFS(BD!$N$3:$N$5001,BD!$B$3:$B$5001,J$102,BD!$A$3:$A$5001,"&gt;="&amp;$C$7,BD!$A$3:$A$5001,"&lt;="&amp;$D$7),"—"))</f>
        <v>—</v>
      </c>
      <c r="K114" s="42" t="str">
        <f>IF(K$102="","",IF(Config!$O$44&lt;&gt;"Não",SUMIFS(BD!$N$3:$N$5001,BD!$B$3:$B$5001,K$102,BD!$A$3:$A$5001,"&gt;="&amp;$C$7,BD!$A$3:$A$5001,"&lt;="&amp;$D$7),"—"))</f>
        <v>—</v>
      </c>
      <c r="L114" s="42" t="str">
        <f>IF(L$102="","",IF(Config!$O$45&lt;&gt;"Não",SUMIFS(BD!$N$3:$N$5001,BD!$B$3:$B$5001,L$102,BD!$A$3:$A$5001,"&gt;="&amp;$C$7,BD!$A$3:$A$5001,"&lt;="&amp;$D$7),"—"))</f>
        <v/>
      </c>
      <c r="M114" s="42" t="str">
        <f>IF(M$102="","",IF(Config!$O$46&lt;&gt;"Não",SUMIFS(BD!$N$3:$N$5001,BD!$B$3:$B$5001,M$102,BD!$A$3:$A$5001,"&gt;="&amp;$C$7,BD!$A$3:$A$5001,"&lt;="&amp;$D$7),"—"))</f>
        <v/>
      </c>
      <c r="N114" s="42" t="str">
        <f>IF(N$102="","",IF(Config!$O$47&lt;&gt;"Não",SUMIFS(BD!$N$3:$N$5001,BD!$B$3:$B$5001,N$102,BD!$A$3:$A$5001,"&gt;="&amp;$C$7,BD!$A$3:$A$5001,"&lt;="&amp;$D$7),"—"))</f>
        <v/>
      </c>
      <c r="O114" s="42" t="str">
        <f>IF(O$102="","",IF(Config!$O$48&lt;&gt;"Não",SUMIFS(BD!$N$3:$N$5001,BD!$B$3:$B$5001,O$102,BD!$A$3:$A$5001,"&gt;="&amp;$C$7,BD!$A$3:$A$5001,"&lt;="&amp;$D$7),"—"))</f>
        <v/>
      </c>
      <c r="P114" s="42" t="str">
        <f>IF(P$102="","",IF(Config!$O$49&lt;&gt;"Não",SUMIFS(BD!$N$3:$N$5001,BD!$B$3:$B$5001,P$102,BD!$A$3:$A$5001,"&gt;="&amp;$C$7,BD!$A$3:$A$5001,"&lt;="&amp;$D$7),"—"))</f>
        <v/>
      </c>
      <c r="Q114" s="42" t="str">
        <f>IF(Q$102="","",IF(Config!$O$50&lt;&gt;"Não",SUMIFS(BD!$N$3:$N$5001,BD!$B$3:$B$5001,Q$102,BD!$A$3:$A$5001,"&gt;="&amp;$C$7,BD!$A$3:$A$5001,"&lt;="&amp;$D$7),"—"))</f>
        <v/>
      </c>
      <c r="R114" s="42" t="str">
        <f>IF(R$102="","",IF(Config!$O$51&lt;&gt;"Não",SUMIFS(BD!$N$3:$N$5001,BD!$B$3:$B$5001,R$102,BD!$A$3:$A$5001,"&gt;="&amp;$C$7,BD!$A$3:$A$5001,"&lt;="&amp;$D$7),"—"))</f>
        <v/>
      </c>
      <c r="S114" s="42" t="str">
        <f>IF(S$102="","",IF(Config!$O$52&lt;&gt;"Não",SUMIFS(BD!$N$3:$N$5001,BD!$B$3:$B$5001,S$102,BD!$A$3:$A$5001,"&gt;="&amp;$C$7,BD!$A$3:$A$5001,"&lt;="&amp;$D$7),"—"))</f>
        <v/>
      </c>
      <c r="T114" s="42" t="str">
        <f>IF(T$102="","",IF(Config!$O$53&lt;&gt;"Não",SUMIFS(BD!$N$3:$N$5001,BD!$B$3:$B$5001,T$102,BD!$A$3:$A$5001,"&gt;="&amp;$C$7,BD!$A$3:$A$5001,"&lt;="&amp;$D$7),"—"))</f>
        <v/>
      </c>
      <c r="U114" s="42" t="str">
        <f>IF(U$102="","",IF(Config!$O$54&lt;&gt;"Não",SUMIFS(BD!$N$3:$N$5001,BD!$B$3:$B$5001,U$102,BD!$A$3:$A$5001,"&gt;="&amp;$C$7,BD!$A$3:$A$5001,"&lt;="&amp;$D$7),"—"))</f>
        <v/>
      </c>
      <c r="V114" s="73">
        <f>SUM(B114:U114)</f>
        <v>0</v>
      </c>
    </row>
    <row r="115">
      <c r="A115" s="40" t="inlineStr">
        <is>
          <t xml:space="preserve">OUT · Itens Expedidos</t>
        </is>
      </c>
      <c r="B115" s="42" t="str">
        <f>IF(B$102="","",IF(Config!$P$35&lt;&gt;"Não",SUMIFS(BD!$O$3:$O$5001,BD!$B$3:$B$5001,B$102,BD!$A$3:$A$5001,"&gt;="&amp;$C$7,BD!$A$3:$A$5001,"&lt;="&amp;$D$7),"—"))</f>
        <v>—</v>
      </c>
      <c r="C115" s="42" t="str">
        <f>IF(C$102="","",IF(Config!$P$36&lt;&gt;"Não",SUMIFS(BD!$O$3:$O$5001,BD!$B$3:$B$5001,C$102,BD!$A$3:$A$5001,"&gt;="&amp;$C$7,BD!$A$3:$A$5001,"&lt;="&amp;$D$7),"—"))</f>
        <v>—</v>
      </c>
      <c r="D115" s="42" t="str">
        <f>IF(D$102="","",IF(Config!$P$37&lt;&gt;"Não",SUMIFS(BD!$O$3:$O$5001,BD!$B$3:$B$5001,D$102,BD!$A$3:$A$5001,"&gt;="&amp;$C$7,BD!$A$3:$A$5001,"&lt;="&amp;$D$7),"—"))</f>
        <v>—</v>
      </c>
      <c r="E115" s="42">
        <f>IF(E$102="","",IF(Config!$P$38&lt;&gt;"Não",SUMIFS(BD!$O$3:$O$5001,BD!$B$3:$B$5001,E$102,BD!$A$3:$A$5001,"&gt;="&amp;$C$7,BD!$A$3:$A$5001,"&lt;="&amp;$D$7),"—"))</f>
        <v>0</v>
      </c>
      <c r="F115" s="42" t="str">
        <f>IF(F$102="","",IF(Config!$P$39&lt;&gt;"Não",SUMIFS(BD!$O$3:$O$5001,BD!$B$3:$B$5001,F$102,BD!$A$3:$A$5001,"&gt;="&amp;$C$7,BD!$A$3:$A$5001,"&lt;="&amp;$D$7),"—"))</f>
        <v>—</v>
      </c>
      <c r="G115" s="42" t="str">
        <f>IF(G$102="","",IF(Config!$P$40&lt;&gt;"Não",SUMIFS(BD!$O$3:$O$5001,BD!$B$3:$B$5001,G$102,BD!$A$3:$A$5001,"&gt;="&amp;$C$7,BD!$A$3:$A$5001,"&lt;="&amp;$D$7),"—"))</f>
        <v>—</v>
      </c>
      <c r="H115" s="42" t="str">
        <f>IF(H$102="","",IF(Config!$P$41&lt;&gt;"Não",SUMIFS(BD!$O$3:$O$5001,BD!$B$3:$B$5001,H$102,BD!$A$3:$A$5001,"&gt;="&amp;$C$7,BD!$A$3:$A$5001,"&lt;="&amp;$D$7),"—"))</f>
        <v>—</v>
      </c>
      <c r="I115" s="42" t="str">
        <f>IF(I$102="","",IF(Config!$P$42&lt;&gt;"Não",SUMIFS(BD!$O$3:$O$5001,BD!$B$3:$B$5001,I$102,BD!$A$3:$A$5001,"&gt;="&amp;$C$7,BD!$A$3:$A$5001,"&lt;="&amp;$D$7),"—"))</f>
        <v>—</v>
      </c>
      <c r="J115" s="42" t="str">
        <f>IF(J$102="","",IF(Config!$P$43&lt;&gt;"Não",SUMIFS(BD!$O$3:$O$5001,BD!$B$3:$B$5001,J$102,BD!$A$3:$A$5001,"&gt;="&amp;$C$7,BD!$A$3:$A$5001,"&lt;="&amp;$D$7),"—"))</f>
        <v>—</v>
      </c>
      <c r="K115" s="42" t="str">
        <f>IF(K$102="","",IF(Config!$P$44&lt;&gt;"Não",SUMIFS(BD!$O$3:$O$5001,BD!$B$3:$B$5001,K$102,BD!$A$3:$A$5001,"&gt;="&amp;$C$7,BD!$A$3:$A$5001,"&lt;="&amp;$D$7),"—"))</f>
        <v>—</v>
      </c>
      <c r="L115" s="42" t="str">
        <f>IF(L$102="","",IF(Config!$P$45&lt;&gt;"Não",SUMIFS(BD!$O$3:$O$5001,BD!$B$3:$B$5001,L$102,BD!$A$3:$A$5001,"&gt;="&amp;$C$7,BD!$A$3:$A$5001,"&lt;="&amp;$D$7),"—"))</f>
        <v/>
      </c>
      <c r="M115" s="42" t="str">
        <f>IF(M$102="","",IF(Config!$P$46&lt;&gt;"Não",SUMIFS(BD!$O$3:$O$5001,BD!$B$3:$B$5001,M$102,BD!$A$3:$A$5001,"&gt;="&amp;$C$7,BD!$A$3:$A$5001,"&lt;="&amp;$D$7),"—"))</f>
        <v/>
      </c>
      <c r="N115" s="42" t="str">
        <f>IF(N$102="","",IF(Config!$P$47&lt;&gt;"Não",SUMIFS(BD!$O$3:$O$5001,BD!$B$3:$B$5001,N$102,BD!$A$3:$A$5001,"&gt;="&amp;$C$7,BD!$A$3:$A$5001,"&lt;="&amp;$D$7),"—"))</f>
        <v/>
      </c>
      <c r="O115" s="42" t="str">
        <f>IF(O$102="","",IF(Config!$P$48&lt;&gt;"Não",SUMIFS(BD!$O$3:$O$5001,BD!$B$3:$B$5001,O$102,BD!$A$3:$A$5001,"&gt;="&amp;$C$7,BD!$A$3:$A$5001,"&lt;="&amp;$D$7),"—"))</f>
        <v/>
      </c>
      <c r="P115" s="42" t="str">
        <f>IF(P$102="","",IF(Config!$P$49&lt;&gt;"Não",SUMIFS(BD!$O$3:$O$5001,BD!$B$3:$B$5001,P$102,BD!$A$3:$A$5001,"&gt;="&amp;$C$7,BD!$A$3:$A$5001,"&lt;="&amp;$D$7),"—"))</f>
        <v/>
      </c>
      <c r="Q115" s="42" t="str">
        <f>IF(Q$102="","",IF(Config!$P$50&lt;&gt;"Não",SUMIFS(BD!$O$3:$O$5001,BD!$B$3:$B$5001,Q$102,BD!$A$3:$A$5001,"&gt;="&amp;$C$7,BD!$A$3:$A$5001,"&lt;="&amp;$D$7),"—"))</f>
        <v/>
      </c>
      <c r="R115" s="42" t="str">
        <f>IF(R$102="","",IF(Config!$P$51&lt;&gt;"Não",SUMIFS(BD!$O$3:$O$5001,BD!$B$3:$B$5001,R$102,BD!$A$3:$A$5001,"&gt;="&amp;$C$7,BD!$A$3:$A$5001,"&lt;="&amp;$D$7),"—"))</f>
        <v/>
      </c>
      <c r="S115" s="42" t="str">
        <f>IF(S$102="","",IF(Config!$P$52&lt;&gt;"Não",SUMIFS(BD!$O$3:$O$5001,BD!$B$3:$B$5001,S$102,BD!$A$3:$A$5001,"&gt;="&amp;$C$7,BD!$A$3:$A$5001,"&lt;="&amp;$D$7),"—"))</f>
        <v/>
      </c>
      <c r="T115" s="42" t="str">
        <f>IF(T$102="","",IF(Config!$P$53&lt;&gt;"Não",SUMIFS(BD!$O$3:$O$5001,BD!$B$3:$B$5001,T$102,BD!$A$3:$A$5001,"&gt;="&amp;$C$7,BD!$A$3:$A$5001,"&lt;="&amp;$D$7),"—"))</f>
        <v/>
      </c>
      <c r="U115" s="42" t="str">
        <f>IF(U$102="","",IF(Config!$P$54&lt;&gt;"Não",SUMIFS(BD!$O$3:$O$5001,BD!$B$3:$B$5001,U$102,BD!$A$3:$A$5001,"&gt;="&amp;$C$7,BD!$A$3:$A$5001,"&lt;="&amp;$D$7),"—"))</f>
        <v/>
      </c>
      <c r="V115" s="73">
        <f>SUM(B115:U115)</f>
        <v>0</v>
      </c>
    </row>
    <row r="116">
      <c r="A116" s="40" t="inlineStr">
        <is>
          <t xml:space="preserve">OUT · Linhas NF</t>
        </is>
      </c>
      <c r="B116" s="42" t="str">
        <f>IF(B$102="","",IF(Config!$Q$35&lt;&gt;"Não",SUMIFS(BD!$P$3:$P$5001,BD!$B$3:$B$5001,B$102,BD!$A$3:$A$5001,"&gt;="&amp;$C$7,BD!$A$3:$A$5001,"&lt;="&amp;$D$7),"—"))</f>
        <v>—</v>
      </c>
      <c r="C116" s="42" t="str">
        <f>IF(C$102="","",IF(Config!$Q$36&lt;&gt;"Não",SUMIFS(BD!$P$3:$P$5001,BD!$B$3:$B$5001,C$102,BD!$A$3:$A$5001,"&gt;="&amp;$C$7,BD!$A$3:$A$5001,"&lt;="&amp;$D$7),"—"))</f>
        <v>—</v>
      </c>
      <c r="D116" s="42" t="str">
        <f>IF(D$102="","",IF(Config!$Q$37&lt;&gt;"Não",SUMIFS(BD!$P$3:$P$5001,BD!$B$3:$B$5001,D$102,BD!$A$3:$A$5001,"&gt;="&amp;$C$7,BD!$A$3:$A$5001,"&lt;="&amp;$D$7),"—"))</f>
        <v>—</v>
      </c>
      <c r="E116" s="42" t="str">
        <f>IF(E$102="","",IF(Config!$Q$38&lt;&gt;"Não",SUMIFS(BD!$P$3:$P$5001,BD!$B$3:$B$5001,E$102,BD!$A$3:$A$5001,"&gt;="&amp;$C$7,BD!$A$3:$A$5001,"&lt;="&amp;$D$7),"—"))</f>
        <v>—</v>
      </c>
      <c r="F116" s="42" t="str">
        <f>IF(F$102="","",IF(Config!$Q$39&lt;&gt;"Não",SUMIFS(BD!$P$3:$P$5001,BD!$B$3:$B$5001,F$102,BD!$A$3:$A$5001,"&gt;="&amp;$C$7,BD!$A$3:$A$5001,"&lt;="&amp;$D$7),"—"))</f>
        <v>—</v>
      </c>
      <c r="G116" s="42">
        <f>IF(G$102="","",IF(Config!$Q$40&lt;&gt;"Não",SUMIFS(BD!$P$3:$P$5001,BD!$B$3:$B$5001,G$102,BD!$A$3:$A$5001,"&gt;="&amp;$C$7,BD!$A$3:$A$5001,"&lt;="&amp;$D$7),"—"))</f>
        <v>0</v>
      </c>
      <c r="H116" s="42" t="str">
        <f>IF(H$102="","",IF(Config!$Q$41&lt;&gt;"Não",SUMIFS(BD!$P$3:$P$5001,BD!$B$3:$B$5001,H$102,BD!$A$3:$A$5001,"&gt;="&amp;$C$7,BD!$A$3:$A$5001,"&lt;="&amp;$D$7),"—"))</f>
        <v>—</v>
      </c>
      <c r="I116" s="42" t="str">
        <f>IF(I$102="","",IF(Config!$Q$42&lt;&gt;"Não",SUMIFS(BD!$P$3:$P$5001,BD!$B$3:$B$5001,I$102,BD!$A$3:$A$5001,"&gt;="&amp;$C$7,BD!$A$3:$A$5001,"&lt;="&amp;$D$7),"—"))</f>
        <v>—</v>
      </c>
      <c r="J116" s="42" t="str">
        <f>IF(J$102="","",IF(Config!$Q$43&lt;&gt;"Não",SUMIFS(BD!$P$3:$P$5001,BD!$B$3:$B$5001,J$102,BD!$A$3:$A$5001,"&gt;="&amp;$C$7,BD!$A$3:$A$5001,"&lt;="&amp;$D$7),"—"))</f>
        <v>—</v>
      </c>
      <c r="K116" s="42">
        <f>IF(K$102="","",IF(Config!$Q$44&lt;&gt;"Não",SUMIFS(BD!$P$3:$P$5001,BD!$B$3:$B$5001,K$102,BD!$A$3:$A$5001,"&gt;="&amp;$C$7,BD!$A$3:$A$5001,"&lt;="&amp;$D$7),"—"))</f>
        <v>0</v>
      </c>
      <c r="L116" s="42" t="str">
        <f>IF(L$102="","",IF(Config!$Q$45&lt;&gt;"Não",SUMIFS(BD!$P$3:$P$5001,BD!$B$3:$B$5001,L$102,BD!$A$3:$A$5001,"&gt;="&amp;$C$7,BD!$A$3:$A$5001,"&lt;="&amp;$D$7),"—"))</f>
        <v/>
      </c>
      <c r="M116" s="42" t="str">
        <f>IF(M$102="","",IF(Config!$Q$46&lt;&gt;"Não",SUMIFS(BD!$P$3:$P$5001,BD!$B$3:$B$5001,M$102,BD!$A$3:$A$5001,"&gt;="&amp;$C$7,BD!$A$3:$A$5001,"&lt;="&amp;$D$7),"—"))</f>
        <v/>
      </c>
      <c r="N116" s="42" t="str">
        <f>IF(N$102="","",IF(Config!$Q$47&lt;&gt;"Não",SUMIFS(BD!$P$3:$P$5001,BD!$B$3:$B$5001,N$102,BD!$A$3:$A$5001,"&gt;="&amp;$C$7,BD!$A$3:$A$5001,"&lt;="&amp;$D$7),"—"))</f>
        <v/>
      </c>
      <c r="O116" s="42" t="str">
        <f>IF(O$102="","",IF(Config!$Q$48&lt;&gt;"Não",SUMIFS(BD!$P$3:$P$5001,BD!$B$3:$B$5001,O$102,BD!$A$3:$A$5001,"&gt;="&amp;$C$7,BD!$A$3:$A$5001,"&lt;="&amp;$D$7),"—"))</f>
        <v/>
      </c>
      <c r="P116" s="42" t="str">
        <f>IF(P$102="","",IF(Config!$Q$49&lt;&gt;"Não",SUMIFS(BD!$P$3:$P$5001,BD!$B$3:$B$5001,P$102,BD!$A$3:$A$5001,"&gt;="&amp;$C$7,BD!$A$3:$A$5001,"&lt;="&amp;$D$7),"—"))</f>
        <v/>
      </c>
      <c r="Q116" s="42" t="str">
        <f>IF(Q$102="","",IF(Config!$Q$50&lt;&gt;"Não",SUMIFS(BD!$P$3:$P$5001,BD!$B$3:$B$5001,Q$102,BD!$A$3:$A$5001,"&gt;="&amp;$C$7,BD!$A$3:$A$5001,"&lt;="&amp;$D$7),"—"))</f>
        <v/>
      </c>
      <c r="R116" s="42" t="str">
        <f>IF(R$102="","",IF(Config!$Q$51&lt;&gt;"Não",SUMIFS(BD!$P$3:$P$5001,BD!$B$3:$B$5001,R$102,BD!$A$3:$A$5001,"&gt;="&amp;$C$7,BD!$A$3:$A$5001,"&lt;="&amp;$D$7),"—"))</f>
        <v/>
      </c>
      <c r="S116" s="42" t="str">
        <f>IF(S$102="","",IF(Config!$Q$52&lt;&gt;"Não",SUMIFS(BD!$P$3:$P$5001,BD!$B$3:$B$5001,S$102,BD!$A$3:$A$5001,"&gt;="&amp;$C$7,BD!$A$3:$A$5001,"&lt;="&amp;$D$7),"—"))</f>
        <v/>
      </c>
      <c r="T116" s="42" t="str">
        <f>IF(T$102="","",IF(Config!$Q$53&lt;&gt;"Não",SUMIFS(BD!$P$3:$P$5001,BD!$B$3:$B$5001,T$102,BD!$A$3:$A$5001,"&gt;="&amp;$C$7,BD!$A$3:$A$5001,"&lt;="&amp;$D$7),"—"))</f>
        <v/>
      </c>
      <c r="U116" s="42" t="str">
        <f>IF(U$102="","",IF(Config!$Q$54&lt;&gt;"Não",SUMIFS(BD!$P$3:$P$5001,BD!$B$3:$B$5001,U$102,BD!$A$3:$A$5001,"&gt;="&amp;$C$7,BD!$A$3:$A$5001,"&lt;="&amp;$D$7),"—"))</f>
        <v/>
      </c>
      <c r="V116" s="73">
        <f>SUM(B116:U116)</f>
        <v>0</v>
      </c>
    </row>
    <row r="117">
      <c r="A117" s="40" t="inlineStr">
        <is>
          <t xml:space="preserve">OUT · Caixas Expedidas</t>
        </is>
      </c>
      <c r="B117" s="42">
        <f>IF(B$102="","",IF(Config!$R$35&lt;&gt;"Não",SUMIFS(BD!$Q$3:$Q$5001,BD!$B$3:$B$5001,B$102,BD!$A$3:$A$5001,"&gt;="&amp;$C$7,BD!$A$3:$A$5001,"&lt;="&amp;$D$7),"—"))</f>
        <v>0</v>
      </c>
      <c r="C117" s="42" t="str">
        <f>IF(C$102="","",IF(Config!$R$36&lt;&gt;"Não",SUMIFS(BD!$Q$3:$Q$5001,BD!$B$3:$B$5001,C$102,BD!$A$3:$A$5001,"&gt;="&amp;$C$7,BD!$A$3:$A$5001,"&lt;="&amp;$D$7),"—"))</f>
        <v>—</v>
      </c>
      <c r="D117" s="42" t="str">
        <f>IF(D$102="","",IF(Config!$R$37&lt;&gt;"Não",SUMIFS(BD!$Q$3:$Q$5001,BD!$B$3:$B$5001,D$102,BD!$A$3:$A$5001,"&gt;="&amp;$C$7,BD!$A$3:$A$5001,"&lt;="&amp;$D$7),"—"))</f>
        <v>—</v>
      </c>
      <c r="E117" s="42">
        <f>IF(E$102="","",IF(Config!$R$38&lt;&gt;"Não",SUMIFS(BD!$Q$3:$Q$5001,BD!$B$3:$B$5001,E$102,BD!$A$3:$A$5001,"&gt;="&amp;$C$7,BD!$A$3:$A$5001,"&lt;="&amp;$D$7),"—"))</f>
        <v>0</v>
      </c>
      <c r="F117" s="42" t="str">
        <f>IF(F$102="","",IF(Config!$R$39&lt;&gt;"Não",SUMIFS(BD!$Q$3:$Q$5001,BD!$B$3:$B$5001,F$102,BD!$A$3:$A$5001,"&gt;="&amp;$C$7,BD!$A$3:$A$5001,"&lt;="&amp;$D$7),"—"))</f>
        <v>—</v>
      </c>
      <c r="G117" s="42" t="str">
        <f>IF(G$102="","",IF(Config!$R$40&lt;&gt;"Não",SUMIFS(BD!$Q$3:$Q$5001,BD!$B$3:$B$5001,G$102,BD!$A$3:$A$5001,"&gt;="&amp;$C$7,BD!$A$3:$A$5001,"&lt;="&amp;$D$7),"—"))</f>
        <v>—</v>
      </c>
      <c r="H117" s="42" t="str">
        <f>IF(H$102="","",IF(Config!$R$41&lt;&gt;"Não",SUMIFS(BD!$Q$3:$Q$5001,BD!$B$3:$B$5001,H$102,BD!$A$3:$A$5001,"&gt;="&amp;$C$7,BD!$A$3:$A$5001,"&lt;="&amp;$D$7),"—"))</f>
        <v>—</v>
      </c>
      <c r="I117" s="42" t="str">
        <f>IF(I$102="","",IF(Config!$R$42&lt;&gt;"Não",SUMIFS(BD!$Q$3:$Q$5001,BD!$B$3:$B$5001,I$102,BD!$A$3:$A$5001,"&gt;="&amp;$C$7,BD!$A$3:$A$5001,"&lt;="&amp;$D$7),"—"))</f>
        <v>—</v>
      </c>
      <c r="J117" s="42" t="str">
        <f>IF(J$102="","",IF(Config!$R$43&lt;&gt;"Não",SUMIFS(BD!$Q$3:$Q$5001,BD!$B$3:$B$5001,J$102,BD!$A$3:$A$5001,"&gt;="&amp;$C$7,BD!$A$3:$A$5001,"&lt;="&amp;$D$7),"—"))</f>
        <v>—</v>
      </c>
      <c r="K117" s="42" t="str">
        <f>IF(K$102="","",IF(Config!$R$44&lt;&gt;"Não",SUMIFS(BD!$Q$3:$Q$5001,BD!$B$3:$B$5001,K$102,BD!$A$3:$A$5001,"&gt;="&amp;$C$7,BD!$A$3:$A$5001,"&lt;="&amp;$D$7),"—"))</f>
        <v>—</v>
      </c>
      <c r="L117" s="42" t="str">
        <f>IF(L$102="","",IF(Config!$R$45&lt;&gt;"Não",SUMIFS(BD!$Q$3:$Q$5001,BD!$B$3:$B$5001,L$102,BD!$A$3:$A$5001,"&gt;="&amp;$C$7,BD!$A$3:$A$5001,"&lt;="&amp;$D$7),"—"))</f>
        <v/>
      </c>
      <c r="M117" s="42" t="str">
        <f>IF(M$102="","",IF(Config!$R$46&lt;&gt;"Não",SUMIFS(BD!$Q$3:$Q$5001,BD!$B$3:$B$5001,M$102,BD!$A$3:$A$5001,"&gt;="&amp;$C$7,BD!$A$3:$A$5001,"&lt;="&amp;$D$7),"—"))</f>
        <v/>
      </c>
      <c r="N117" s="42" t="str">
        <f>IF(N$102="","",IF(Config!$R$47&lt;&gt;"Não",SUMIFS(BD!$Q$3:$Q$5001,BD!$B$3:$B$5001,N$102,BD!$A$3:$A$5001,"&gt;="&amp;$C$7,BD!$A$3:$A$5001,"&lt;="&amp;$D$7),"—"))</f>
        <v/>
      </c>
      <c r="O117" s="42" t="str">
        <f>IF(O$102="","",IF(Config!$R$48&lt;&gt;"Não",SUMIFS(BD!$Q$3:$Q$5001,BD!$B$3:$B$5001,O$102,BD!$A$3:$A$5001,"&gt;="&amp;$C$7,BD!$A$3:$A$5001,"&lt;="&amp;$D$7),"—"))</f>
        <v/>
      </c>
      <c r="P117" s="42" t="str">
        <f>IF(P$102="","",IF(Config!$R$49&lt;&gt;"Não",SUMIFS(BD!$Q$3:$Q$5001,BD!$B$3:$B$5001,P$102,BD!$A$3:$A$5001,"&gt;="&amp;$C$7,BD!$A$3:$A$5001,"&lt;="&amp;$D$7),"—"))</f>
        <v/>
      </c>
      <c r="Q117" s="42" t="str">
        <f>IF(Q$102="","",IF(Config!$R$50&lt;&gt;"Não",SUMIFS(BD!$Q$3:$Q$5001,BD!$B$3:$B$5001,Q$102,BD!$A$3:$A$5001,"&gt;="&amp;$C$7,BD!$A$3:$A$5001,"&lt;="&amp;$D$7),"—"))</f>
        <v/>
      </c>
      <c r="R117" s="42" t="str">
        <f>IF(R$102="","",IF(Config!$R$51&lt;&gt;"Não",SUMIFS(BD!$Q$3:$Q$5001,BD!$B$3:$B$5001,R$102,BD!$A$3:$A$5001,"&gt;="&amp;$C$7,BD!$A$3:$A$5001,"&lt;="&amp;$D$7),"—"))</f>
        <v/>
      </c>
      <c r="S117" s="42" t="str">
        <f>IF(S$102="","",IF(Config!$R$52&lt;&gt;"Não",SUMIFS(BD!$Q$3:$Q$5001,BD!$B$3:$B$5001,S$102,BD!$A$3:$A$5001,"&gt;="&amp;$C$7,BD!$A$3:$A$5001,"&lt;="&amp;$D$7),"—"))</f>
        <v/>
      </c>
      <c r="T117" s="42" t="str">
        <f>IF(T$102="","",IF(Config!$R$53&lt;&gt;"Não",SUMIFS(BD!$Q$3:$Q$5001,BD!$B$3:$B$5001,T$102,BD!$A$3:$A$5001,"&gt;="&amp;$C$7,BD!$A$3:$A$5001,"&lt;="&amp;$D$7),"—"))</f>
        <v/>
      </c>
      <c r="U117" s="42" t="str">
        <f>IF(U$102="","",IF(Config!$R$54&lt;&gt;"Não",SUMIFS(BD!$Q$3:$Q$5001,BD!$B$3:$B$5001,U$102,BD!$A$3:$A$5001,"&gt;="&amp;$C$7,BD!$A$3:$A$5001,"&lt;="&amp;$D$7),"—"))</f>
        <v/>
      </c>
      <c r="V117" s="73">
        <f>SUM(B117:U117)</f>
        <v>0</v>
      </c>
    </row>
    <row r="118">
      <c r="A118" s="40" t="inlineStr">
        <is>
          <t xml:space="preserve">OUT · Pallets Movimentados</t>
        </is>
      </c>
      <c r="B118" s="42" t="str">
        <f>IF(B$102="","",IF(Config!$S$35&lt;&gt;"Não",SUMIFS(BD!$R$3:$R$5001,BD!$B$3:$B$5001,B$102,BD!$A$3:$A$5001,"&gt;="&amp;$C$7,BD!$A$3:$A$5001,"&lt;="&amp;$D$7),"—"))</f>
        <v>—</v>
      </c>
      <c r="C118" s="42">
        <f>IF(C$102="","",IF(Config!$S$36&lt;&gt;"Não",SUMIFS(BD!$R$3:$R$5001,BD!$B$3:$B$5001,C$102,BD!$A$3:$A$5001,"&gt;="&amp;$C$7,BD!$A$3:$A$5001,"&lt;="&amp;$D$7),"—"))</f>
        <v>0</v>
      </c>
      <c r="D118" s="42">
        <f>IF(D$102="","",IF(Config!$S$37&lt;&gt;"Não",SUMIFS(BD!$R$3:$R$5001,BD!$B$3:$B$5001,D$102,BD!$A$3:$A$5001,"&gt;="&amp;$C$7,BD!$A$3:$A$5001,"&lt;="&amp;$D$7),"—"))</f>
        <v>0</v>
      </c>
      <c r="E118" s="42">
        <f>IF(E$102="","",IF(Config!$S$38&lt;&gt;"Não",SUMIFS(BD!$R$3:$R$5001,BD!$B$3:$B$5001,E$102,BD!$A$3:$A$5001,"&gt;="&amp;$C$7,BD!$A$3:$A$5001,"&lt;="&amp;$D$7),"—"))</f>
        <v>0</v>
      </c>
      <c r="F118" s="42">
        <f>IF(F$102="","",IF(Config!$S$39&lt;&gt;"Não",SUMIFS(BD!$R$3:$R$5001,BD!$B$3:$B$5001,F$102,BD!$A$3:$A$5001,"&gt;="&amp;$C$7,BD!$A$3:$A$5001,"&lt;="&amp;$D$7),"—"))</f>
        <v>0</v>
      </c>
      <c r="G118" s="42">
        <f>IF(G$102="","",IF(Config!$S$40&lt;&gt;"Não",SUMIFS(BD!$R$3:$R$5001,BD!$B$3:$B$5001,G$102,BD!$A$3:$A$5001,"&gt;="&amp;$C$7,BD!$A$3:$A$5001,"&lt;="&amp;$D$7),"—"))</f>
        <v>0</v>
      </c>
      <c r="H118" s="42">
        <f>IF(H$102="","",IF(Config!$S$41&lt;&gt;"Não",SUMIFS(BD!$R$3:$R$5001,BD!$B$3:$B$5001,H$102,BD!$A$3:$A$5001,"&gt;="&amp;$C$7,BD!$A$3:$A$5001,"&lt;="&amp;$D$7),"—"))</f>
        <v>0</v>
      </c>
      <c r="I118" s="42">
        <f>IF(I$102="","",IF(Config!$S$42&lt;&gt;"Não",SUMIFS(BD!$R$3:$R$5001,BD!$B$3:$B$5001,I$102,BD!$A$3:$A$5001,"&gt;="&amp;$C$7,BD!$A$3:$A$5001,"&lt;="&amp;$D$7),"—"))</f>
        <v>0</v>
      </c>
      <c r="J118" s="42">
        <f>IF(J$102="","",IF(Config!$S$43&lt;&gt;"Não",SUMIFS(BD!$R$3:$R$5001,BD!$B$3:$B$5001,J$102,BD!$A$3:$A$5001,"&gt;="&amp;$C$7,BD!$A$3:$A$5001,"&lt;="&amp;$D$7),"—"))</f>
        <v>0</v>
      </c>
      <c r="K118" s="42" t="str">
        <f>IF(K$102="","",IF(Config!$S$44&lt;&gt;"Não",SUMIFS(BD!$R$3:$R$5001,BD!$B$3:$B$5001,K$102,BD!$A$3:$A$5001,"&gt;="&amp;$C$7,BD!$A$3:$A$5001,"&lt;="&amp;$D$7),"—"))</f>
        <v>—</v>
      </c>
      <c r="L118" s="42" t="str">
        <f>IF(L$102="","",IF(Config!$S$45&lt;&gt;"Não",SUMIFS(BD!$R$3:$R$5001,BD!$B$3:$B$5001,L$102,BD!$A$3:$A$5001,"&gt;="&amp;$C$7,BD!$A$3:$A$5001,"&lt;="&amp;$D$7),"—"))</f>
        <v/>
      </c>
      <c r="M118" s="42" t="str">
        <f>IF(M$102="","",IF(Config!$S$46&lt;&gt;"Não",SUMIFS(BD!$R$3:$R$5001,BD!$B$3:$B$5001,M$102,BD!$A$3:$A$5001,"&gt;="&amp;$C$7,BD!$A$3:$A$5001,"&lt;="&amp;$D$7),"—"))</f>
        <v/>
      </c>
      <c r="N118" s="42" t="str">
        <f>IF(N$102="","",IF(Config!$S$47&lt;&gt;"Não",SUMIFS(BD!$R$3:$R$5001,BD!$B$3:$B$5001,N$102,BD!$A$3:$A$5001,"&gt;="&amp;$C$7,BD!$A$3:$A$5001,"&lt;="&amp;$D$7),"—"))</f>
        <v/>
      </c>
      <c r="O118" s="42" t="str">
        <f>IF(O$102="","",IF(Config!$S$48&lt;&gt;"Não",SUMIFS(BD!$R$3:$R$5001,BD!$B$3:$B$5001,O$102,BD!$A$3:$A$5001,"&gt;="&amp;$C$7,BD!$A$3:$A$5001,"&lt;="&amp;$D$7),"—"))</f>
        <v/>
      </c>
      <c r="P118" s="42" t="str">
        <f>IF(P$102="","",IF(Config!$S$49&lt;&gt;"Não",SUMIFS(BD!$R$3:$R$5001,BD!$B$3:$B$5001,P$102,BD!$A$3:$A$5001,"&gt;="&amp;$C$7,BD!$A$3:$A$5001,"&lt;="&amp;$D$7),"—"))</f>
        <v/>
      </c>
      <c r="Q118" s="42" t="str">
        <f>IF(Q$102="","",IF(Config!$S$50&lt;&gt;"Não",SUMIFS(BD!$R$3:$R$5001,BD!$B$3:$B$5001,Q$102,BD!$A$3:$A$5001,"&gt;="&amp;$C$7,BD!$A$3:$A$5001,"&lt;="&amp;$D$7),"—"))</f>
        <v/>
      </c>
      <c r="R118" s="42" t="str">
        <f>IF(R$102="","",IF(Config!$S$51&lt;&gt;"Não",SUMIFS(BD!$R$3:$R$5001,BD!$B$3:$B$5001,R$102,BD!$A$3:$A$5001,"&gt;="&amp;$C$7,BD!$A$3:$A$5001,"&lt;="&amp;$D$7),"—"))</f>
        <v/>
      </c>
      <c r="S118" s="42" t="str">
        <f>IF(S$102="","",IF(Config!$S$52&lt;&gt;"Não",SUMIFS(BD!$R$3:$R$5001,BD!$B$3:$B$5001,S$102,BD!$A$3:$A$5001,"&gt;="&amp;$C$7,BD!$A$3:$A$5001,"&lt;="&amp;$D$7),"—"))</f>
        <v/>
      </c>
      <c r="T118" s="42" t="str">
        <f>IF(T$102="","",IF(Config!$S$53&lt;&gt;"Não",SUMIFS(BD!$R$3:$R$5001,BD!$B$3:$B$5001,T$102,BD!$A$3:$A$5001,"&gt;="&amp;$C$7,BD!$A$3:$A$5001,"&lt;="&amp;$D$7),"—"))</f>
        <v/>
      </c>
      <c r="U118" s="42" t="str">
        <f>IF(U$102="","",IF(Config!$S$54&lt;&gt;"Não",SUMIFS(BD!$R$3:$R$5001,BD!$B$3:$B$5001,U$102,BD!$A$3:$A$5001,"&gt;="&amp;$C$7,BD!$A$3:$A$5001,"&lt;="&amp;$D$7),"—"))</f>
        <v/>
      </c>
      <c r="V118" s="73">
        <f>SUM(B118:U118)</f>
        <v>0</v>
      </c>
    </row>
    <row r="119">
      <c r="A119" s="40" t="inlineStr">
        <is>
          <t xml:space="preserve">OUT · Toneladas Movimentadas</t>
        </is>
      </c>
      <c r="B119" s="72" t="str">
        <f>IF(B$102="","",IF(Config!$T$35&lt;&gt;"Não",SUMIFS(BD!$S$3:$S$5001,BD!$B$3:$B$5001,B$102,BD!$A$3:$A$5001,"&gt;="&amp;$C$7,BD!$A$3:$A$5001,"&lt;="&amp;$D$7),"—"))</f>
        <v>—</v>
      </c>
      <c r="C119" s="72">
        <f>IF(C$102="","",IF(Config!$T$36&lt;&gt;"Não",SUMIFS(BD!$S$3:$S$5001,BD!$B$3:$B$5001,C$102,BD!$A$3:$A$5001,"&gt;="&amp;$C$7,BD!$A$3:$A$5001,"&lt;="&amp;$D$7),"—"))</f>
        <v>0</v>
      </c>
      <c r="D119" s="72" t="str">
        <f>IF(D$102="","",IF(Config!$T$37&lt;&gt;"Não",SUMIFS(BD!$S$3:$S$5001,BD!$B$3:$B$5001,D$102,BD!$A$3:$A$5001,"&gt;="&amp;$C$7,BD!$A$3:$A$5001,"&lt;="&amp;$D$7),"—"))</f>
        <v>—</v>
      </c>
      <c r="E119" s="72" t="str">
        <f>IF(E$102="","",IF(Config!$T$38&lt;&gt;"Não",SUMIFS(BD!$S$3:$S$5001,BD!$B$3:$B$5001,E$102,BD!$A$3:$A$5001,"&gt;="&amp;$C$7,BD!$A$3:$A$5001,"&lt;="&amp;$D$7),"—"))</f>
        <v>—</v>
      </c>
      <c r="F119" s="72">
        <f>IF(F$102="","",IF(Config!$T$39&lt;&gt;"Não",SUMIFS(BD!$S$3:$S$5001,BD!$B$3:$B$5001,F$102,BD!$A$3:$A$5001,"&gt;="&amp;$C$7,BD!$A$3:$A$5001,"&lt;="&amp;$D$7),"—"))</f>
        <v>0</v>
      </c>
      <c r="G119" s="72" t="str">
        <f>IF(G$102="","",IF(Config!$T$40&lt;&gt;"Não",SUMIFS(BD!$S$3:$S$5001,BD!$B$3:$B$5001,G$102,BD!$A$3:$A$5001,"&gt;="&amp;$C$7,BD!$A$3:$A$5001,"&lt;="&amp;$D$7),"—"))</f>
        <v>—</v>
      </c>
      <c r="H119" s="72" t="str">
        <f>IF(H$102="","",IF(Config!$T$41&lt;&gt;"Não",SUMIFS(BD!$S$3:$S$5001,BD!$B$3:$B$5001,H$102,BD!$A$3:$A$5001,"&gt;="&amp;$C$7,BD!$A$3:$A$5001,"&lt;="&amp;$D$7),"—"))</f>
        <v>—</v>
      </c>
      <c r="I119" s="72">
        <f>IF(I$102="","",IF(Config!$T$42&lt;&gt;"Não",SUMIFS(BD!$S$3:$S$5001,BD!$B$3:$B$5001,I$102,BD!$A$3:$A$5001,"&gt;="&amp;$C$7,BD!$A$3:$A$5001,"&lt;="&amp;$D$7),"—"))</f>
        <v>0</v>
      </c>
      <c r="J119" s="72" t="str">
        <f>IF(J$102="","",IF(Config!$T$43&lt;&gt;"Não",SUMIFS(BD!$S$3:$S$5001,BD!$B$3:$B$5001,J$102,BD!$A$3:$A$5001,"&gt;="&amp;$C$7,BD!$A$3:$A$5001,"&lt;="&amp;$D$7),"—"))</f>
        <v>—</v>
      </c>
      <c r="K119" s="72" t="str">
        <f>IF(K$102="","",IF(Config!$T$44&lt;&gt;"Não",SUMIFS(BD!$S$3:$S$5001,BD!$B$3:$B$5001,K$102,BD!$A$3:$A$5001,"&gt;="&amp;$C$7,BD!$A$3:$A$5001,"&lt;="&amp;$D$7),"—"))</f>
        <v>—</v>
      </c>
      <c r="L119" s="72" t="str">
        <f>IF(L$102="","",IF(Config!$T$45&lt;&gt;"Não",SUMIFS(BD!$S$3:$S$5001,BD!$B$3:$B$5001,L$102,BD!$A$3:$A$5001,"&gt;="&amp;$C$7,BD!$A$3:$A$5001,"&lt;="&amp;$D$7),"—"))</f>
        <v/>
      </c>
      <c r="M119" s="72" t="str">
        <f>IF(M$102="","",IF(Config!$T$46&lt;&gt;"Não",SUMIFS(BD!$S$3:$S$5001,BD!$B$3:$B$5001,M$102,BD!$A$3:$A$5001,"&gt;="&amp;$C$7,BD!$A$3:$A$5001,"&lt;="&amp;$D$7),"—"))</f>
        <v/>
      </c>
      <c r="N119" s="72" t="str">
        <f>IF(N$102="","",IF(Config!$T$47&lt;&gt;"Não",SUMIFS(BD!$S$3:$S$5001,BD!$B$3:$B$5001,N$102,BD!$A$3:$A$5001,"&gt;="&amp;$C$7,BD!$A$3:$A$5001,"&lt;="&amp;$D$7),"—"))</f>
        <v/>
      </c>
      <c r="O119" s="72" t="str">
        <f>IF(O$102="","",IF(Config!$T$48&lt;&gt;"Não",SUMIFS(BD!$S$3:$S$5001,BD!$B$3:$B$5001,O$102,BD!$A$3:$A$5001,"&gt;="&amp;$C$7,BD!$A$3:$A$5001,"&lt;="&amp;$D$7),"—"))</f>
        <v/>
      </c>
      <c r="P119" s="72" t="str">
        <f>IF(P$102="","",IF(Config!$T$49&lt;&gt;"Não",SUMIFS(BD!$S$3:$S$5001,BD!$B$3:$B$5001,P$102,BD!$A$3:$A$5001,"&gt;="&amp;$C$7,BD!$A$3:$A$5001,"&lt;="&amp;$D$7),"—"))</f>
        <v/>
      </c>
      <c r="Q119" s="72" t="str">
        <f>IF(Q$102="","",IF(Config!$T$50&lt;&gt;"Não",SUMIFS(BD!$S$3:$S$5001,BD!$B$3:$B$5001,Q$102,BD!$A$3:$A$5001,"&gt;="&amp;$C$7,BD!$A$3:$A$5001,"&lt;="&amp;$D$7),"—"))</f>
        <v/>
      </c>
      <c r="R119" s="72" t="str">
        <f>IF(R$102="","",IF(Config!$T$51&lt;&gt;"Não",SUMIFS(BD!$S$3:$S$5001,BD!$B$3:$B$5001,R$102,BD!$A$3:$A$5001,"&gt;="&amp;$C$7,BD!$A$3:$A$5001,"&lt;="&amp;$D$7),"—"))</f>
        <v/>
      </c>
      <c r="S119" s="72" t="str">
        <f>IF(S$102="","",IF(Config!$T$52&lt;&gt;"Não",SUMIFS(BD!$S$3:$S$5001,BD!$B$3:$B$5001,S$102,BD!$A$3:$A$5001,"&gt;="&amp;$C$7,BD!$A$3:$A$5001,"&lt;="&amp;$D$7),"—"))</f>
        <v/>
      </c>
      <c r="T119" s="72" t="str">
        <f>IF(T$102="","",IF(Config!$T$53&lt;&gt;"Não",SUMIFS(BD!$S$3:$S$5001,BD!$B$3:$B$5001,T$102,BD!$A$3:$A$5001,"&gt;="&amp;$C$7,BD!$A$3:$A$5001,"&lt;="&amp;$D$7),"—"))</f>
        <v/>
      </c>
      <c r="U119" s="72" t="str">
        <f>IF(U$102="","",IF(Config!$T$54&lt;&gt;"Não",SUMIFS(BD!$S$3:$S$5001,BD!$B$3:$B$5001,U$102,BD!$A$3:$A$5001,"&gt;="&amp;$C$7,BD!$A$3:$A$5001,"&lt;="&amp;$D$7),"—"))</f>
        <v/>
      </c>
      <c r="V119" s="74">
        <f>SUM(B119:U119)</f>
        <v>0</v>
      </c>
    </row>
    <row r="120">
      <c r="A120" s="40" t="inlineStr">
        <is>
          <t xml:space="preserve">NC · Incidentes</t>
        </is>
      </c>
      <c r="B120" s="42">
        <f>IF(B$102="","",IF(Config!$U$35&lt;&gt;"Não",SUMIFS(BD!$T$3:$T$5001,BD!$B$3:$B$5001,B$102,BD!$A$3:$A$5001,"&gt;="&amp;$C$7,BD!$A$3:$A$5001,"&lt;="&amp;$D$7),"—"))</f>
        <v>0</v>
      </c>
      <c r="C120" s="42">
        <f>IF(C$102="","",IF(Config!$U$36&lt;&gt;"Não",SUMIFS(BD!$T$3:$T$5001,BD!$B$3:$B$5001,C$102,BD!$A$3:$A$5001,"&gt;="&amp;$C$7,BD!$A$3:$A$5001,"&lt;="&amp;$D$7),"—"))</f>
        <v>0</v>
      </c>
      <c r="D120" s="42">
        <f>IF(D$102="","",IF(Config!$U$37&lt;&gt;"Não",SUMIFS(BD!$T$3:$T$5001,BD!$B$3:$B$5001,D$102,BD!$A$3:$A$5001,"&gt;="&amp;$C$7,BD!$A$3:$A$5001,"&lt;="&amp;$D$7),"—"))</f>
        <v>0</v>
      </c>
      <c r="E120" s="42">
        <f>IF(E$102="","",IF(Config!$U$38&lt;&gt;"Não",SUMIFS(BD!$T$3:$T$5001,BD!$B$3:$B$5001,E$102,BD!$A$3:$A$5001,"&gt;="&amp;$C$7,BD!$A$3:$A$5001,"&lt;="&amp;$D$7),"—"))</f>
        <v>0</v>
      </c>
      <c r="F120" s="42">
        <f>IF(F$102="","",IF(Config!$U$39&lt;&gt;"Não",SUMIFS(BD!$T$3:$T$5001,BD!$B$3:$B$5001,F$102,BD!$A$3:$A$5001,"&gt;="&amp;$C$7,BD!$A$3:$A$5001,"&lt;="&amp;$D$7),"—"))</f>
        <v>0</v>
      </c>
      <c r="G120" s="42">
        <f>IF(G$102="","",IF(Config!$U$40&lt;&gt;"Não",SUMIFS(BD!$T$3:$T$5001,BD!$B$3:$B$5001,G$102,BD!$A$3:$A$5001,"&gt;="&amp;$C$7,BD!$A$3:$A$5001,"&lt;="&amp;$D$7),"—"))</f>
        <v>0</v>
      </c>
      <c r="H120" s="42">
        <f>IF(H$102="","",IF(Config!$U$41&lt;&gt;"Não",SUMIFS(BD!$T$3:$T$5001,BD!$B$3:$B$5001,H$102,BD!$A$3:$A$5001,"&gt;="&amp;$C$7,BD!$A$3:$A$5001,"&lt;="&amp;$D$7),"—"))</f>
        <v>0</v>
      </c>
      <c r="I120" s="42">
        <f>IF(I$102="","",IF(Config!$U$42&lt;&gt;"Não",SUMIFS(BD!$T$3:$T$5001,BD!$B$3:$B$5001,I$102,BD!$A$3:$A$5001,"&gt;="&amp;$C$7,BD!$A$3:$A$5001,"&lt;="&amp;$D$7),"—"))</f>
        <v>0</v>
      </c>
      <c r="J120" s="42">
        <f>IF(J$102="","",IF(Config!$U$43&lt;&gt;"Não",SUMIFS(BD!$T$3:$T$5001,BD!$B$3:$B$5001,J$102,BD!$A$3:$A$5001,"&gt;="&amp;$C$7,BD!$A$3:$A$5001,"&lt;="&amp;$D$7),"—"))</f>
        <v>0</v>
      </c>
      <c r="K120" s="42">
        <f>IF(K$102="","",IF(Config!$U$44&lt;&gt;"Não",SUMIFS(BD!$T$3:$T$5001,BD!$B$3:$B$5001,K$102,BD!$A$3:$A$5001,"&gt;="&amp;$C$7,BD!$A$3:$A$5001,"&lt;="&amp;$D$7),"—"))</f>
        <v>0</v>
      </c>
      <c r="L120" s="42" t="str">
        <f>IF(L$102="","",IF(Config!$U$45&lt;&gt;"Não",SUMIFS(BD!$T$3:$T$5001,BD!$B$3:$B$5001,L$102,BD!$A$3:$A$5001,"&gt;="&amp;$C$7,BD!$A$3:$A$5001,"&lt;="&amp;$D$7),"—"))</f>
        <v/>
      </c>
      <c r="M120" s="42" t="str">
        <f>IF(M$102="","",IF(Config!$U$46&lt;&gt;"Não",SUMIFS(BD!$T$3:$T$5001,BD!$B$3:$B$5001,M$102,BD!$A$3:$A$5001,"&gt;="&amp;$C$7,BD!$A$3:$A$5001,"&lt;="&amp;$D$7),"—"))</f>
        <v/>
      </c>
      <c r="N120" s="42" t="str">
        <f>IF(N$102="","",IF(Config!$U$47&lt;&gt;"Não",SUMIFS(BD!$T$3:$T$5001,BD!$B$3:$B$5001,N$102,BD!$A$3:$A$5001,"&gt;="&amp;$C$7,BD!$A$3:$A$5001,"&lt;="&amp;$D$7),"—"))</f>
        <v/>
      </c>
      <c r="O120" s="42" t="str">
        <f>IF(O$102="","",IF(Config!$U$48&lt;&gt;"Não",SUMIFS(BD!$T$3:$T$5001,BD!$B$3:$B$5001,O$102,BD!$A$3:$A$5001,"&gt;="&amp;$C$7,BD!$A$3:$A$5001,"&lt;="&amp;$D$7),"—"))</f>
        <v/>
      </c>
      <c r="P120" s="42" t="str">
        <f>IF(P$102="","",IF(Config!$U$49&lt;&gt;"Não",SUMIFS(BD!$T$3:$T$5001,BD!$B$3:$B$5001,P$102,BD!$A$3:$A$5001,"&gt;="&amp;$C$7,BD!$A$3:$A$5001,"&lt;="&amp;$D$7),"—"))</f>
        <v/>
      </c>
      <c r="Q120" s="42" t="str">
        <f>IF(Q$102="","",IF(Config!$U$50&lt;&gt;"Não",SUMIFS(BD!$T$3:$T$5001,BD!$B$3:$B$5001,Q$102,BD!$A$3:$A$5001,"&gt;="&amp;$C$7,BD!$A$3:$A$5001,"&lt;="&amp;$D$7),"—"))</f>
        <v/>
      </c>
      <c r="R120" s="42" t="str">
        <f>IF(R$102="","",IF(Config!$U$51&lt;&gt;"Não",SUMIFS(BD!$T$3:$T$5001,BD!$B$3:$B$5001,R$102,BD!$A$3:$A$5001,"&gt;="&amp;$C$7,BD!$A$3:$A$5001,"&lt;="&amp;$D$7),"—"))</f>
        <v/>
      </c>
      <c r="S120" s="42" t="str">
        <f>IF(S$102="","",IF(Config!$U$52&lt;&gt;"Não",SUMIFS(BD!$T$3:$T$5001,BD!$B$3:$B$5001,S$102,BD!$A$3:$A$5001,"&gt;="&amp;$C$7,BD!$A$3:$A$5001,"&lt;="&amp;$D$7),"—"))</f>
        <v/>
      </c>
      <c r="T120" s="42" t="str">
        <f>IF(T$102="","",IF(Config!$U$53&lt;&gt;"Não",SUMIFS(BD!$T$3:$T$5001,BD!$B$3:$B$5001,T$102,BD!$A$3:$A$5001,"&gt;="&amp;$C$7,BD!$A$3:$A$5001,"&lt;="&amp;$D$7),"—"))</f>
        <v/>
      </c>
      <c r="U120" s="42" t="str">
        <f>IF(U$102="","",IF(Config!$U$54&lt;&gt;"Não",SUMIFS(BD!$T$3:$T$5001,BD!$B$3:$B$5001,U$102,BD!$A$3:$A$5001,"&gt;="&amp;$C$7,BD!$A$3:$A$5001,"&lt;="&amp;$D$7),"—"))</f>
        <v/>
      </c>
      <c r="V120" s="73">
        <f>SUM(B120:U120)</f>
        <v>0</v>
      </c>
    </row>
    <row r="121">
      <c r="A121" s="40" t="inlineStr">
        <is>
          <t xml:space="preserve">NC · No show</t>
        </is>
      </c>
      <c r="B121" s="42">
        <f>IF(B$102="","",IF(Config!$V$35&lt;&gt;"Não",SUMIFS(BD!$U$3:$U$5001,BD!$B$3:$B$5001,B$102,BD!$A$3:$A$5001,"&gt;="&amp;$C$7,BD!$A$3:$A$5001,"&lt;="&amp;$D$7),"—"))</f>
        <v>0</v>
      </c>
      <c r="C121" s="42">
        <f>IF(C$102="","",IF(Config!$V$36&lt;&gt;"Não",SUMIFS(BD!$U$3:$U$5001,BD!$B$3:$B$5001,C$102,BD!$A$3:$A$5001,"&gt;="&amp;$C$7,BD!$A$3:$A$5001,"&lt;="&amp;$D$7),"—"))</f>
        <v>0</v>
      </c>
      <c r="D121" s="42">
        <f>IF(D$102="","",IF(Config!$V$37&lt;&gt;"Não",SUMIFS(BD!$U$3:$U$5001,BD!$B$3:$B$5001,D$102,BD!$A$3:$A$5001,"&gt;="&amp;$C$7,BD!$A$3:$A$5001,"&lt;="&amp;$D$7),"—"))</f>
        <v>0</v>
      </c>
      <c r="E121" s="42">
        <f>IF(E$102="","",IF(Config!$V$38&lt;&gt;"Não",SUMIFS(BD!$U$3:$U$5001,BD!$B$3:$B$5001,E$102,BD!$A$3:$A$5001,"&gt;="&amp;$C$7,BD!$A$3:$A$5001,"&lt;="&amp;$D$7),"—"))</f>
        <v>0</v>
      </c>
      <c r="F121" s="42">
        <f>IF(F$102="","",IF(Config!$V$39&lt;&gt;"Não",SUMIFS(BD!$U$3:$U$5001,BD!$B$3:$B$5001,F$102,BD!$A$3:$A$5001,"&gt;="&amp;$C$7,BD!$A$3:$A$5001,"&lt;="&amp;$D$7),"—"))</f>
        <v>0</v>
      </c>
      <c r="G121" s="42">
        <f>IF(G$102="","",IF(Config!$V$40&lt;&gt;"Não",SUMIFS(BD!$U$3:$U$5001,BD!$B$3:$B$5001,G$102,BD!$A$3:$A$5001,"&gt;="&amp;$C$7,BD!$A$3:$A$5001,"&lt;="&amp;$D$7),"—"))</f>
        <v>0</v>
      </c>
      <c r="H121" s="42">
        <f>IF(H$102="","",IF(Config!$V$41&lt;&gt;"Não",SUMIFS(BD!$U$3:$U$5001,BD!$B$3:$B$5001,H$102,BD!$A$3:$A$5001,"&gt;="&amp;$C$7,BD!$A$3:$A$5001,"&lt;="&amp;$D$7),"—"))</f>
        <v>0</v>
      </c>
      <c r="I121" s="42">
        <f>IF(I$102="","",IF(Config!$V$42&lt;&gt;"Não",SUMIFS(BD!$U$3:$U$5001,BD!$B$3:$B$5001,I$102,BD!$A$3:$A$5001,"&gt;="&amp;$C$7,BD!$A$3:$A$5001,"&lt;="&amp;$D$7),"—"))</f>
        <v>0</v>
      </c>
      <c r="J121" s="42">
        <f>IF(J$102="","",IF(Config!$V$43&lt;&gt;"Não",SUMIFS(BD!$U$3:$U$5001,BD!$B$3:$B$5001,J$102,BD!$A$3:$A$5001,"&gt;="&amp;$C$7,BD!$A$3:$A$5001,"&lt;="&amp;$D$7),"—"))</f>
        <v>0</v>
      </c>
      <c r="K121" s="42">
        <f>IF(K$102="","",IF(Config!$V$44&lt;&gt;"Não",SUMIFS(BD!$U$3:$U$5001,BD!$B$3:$B$5001,K$102,BD!$A$3:$A$5001,"&gt;="&amp;$C$7,BD!$A$3:$A$5001,"&lt;="&amp;$D$7),"—"))</f>
        <v>0</v>
      </c>
      <c r="L121" s="42" t="str">
        <f>IF(L$102="","",IF(Config!$V$45&lt;&gt;"Não",SUMIFS(BD!$U$3:$U$5001,BD!$B$3:$B$5001,L$102,BD!$A$3:$A$5001,"&gt;="&amp;$C$7,BD!$A$3:$A$5001,"&lt;="&amp;$D$7),"—"))</f>
        <v/>
      </c>
      <c r="M121" s="42" t="str">
        <f>IF(M$102="","",IF(Config!$V$46&lt;&gt;"Não",SUMIFS(BD!$U$3:$U$5001,BD!$B$3:$B$5001,M$102,BD!$A$3:$A$5001,"&gt;="&amp;$C$7,BD!$A$3:$A$5001,"&lt;="&amp;$D$7),"—"))</f>
        <v/>
      </c>
      <c r="N121" s="42" t="str">
        <f>IF(N$102="","",IF(Config!$V$47&lt;&gt;"Não",SUMIFS(BD!$U$3:$U$5001,BD!$B$3:$B$5001,N$102,BD!$A$3:$A$5001,"&gt;="&amp;$C$7,BD!$A$3:$A$5001,"&lt;="&amp;$D$7),"—"))</f>
        <v/>
      </c>
      <c r="O121" s="42" t="str">
        <f>IF(O$102="","",IF(Config!$V$48&lt;&gt;"Não",SUMIFS(BD!$U$3:$U$5001,BD!$B$3:$B$5001,O$102,BD!$A$3:$A$5001,"&gt;="&amp;$C$7,BD!$A$3:$A$5001,"&lt;="&amp;$D$7),"—"))</f>
        <v/>
      </c>
      <c r="P121" s="42" t="str">
        <f>IF(P$102="","",IF(Config!$V$49&lt;&gt;"Não",SUMIFS(BD!$U$3:$U$5001,BD!$B$3:$B$5001,P$102,BD!$A$3:$A$5001,"&gt;="&amp;$C$7,BD!$A$3:$A$5001,"&lt;="&amp;$D$7),"—"))</f>
        <v/>
      </c>
      <c r="Q121" s="42" t="str">
        <f>IF(Q$102="","",IF(Config!$V$50&lt;&gt;"Não",SUMIFS(BD!$U$3:$U$5001,BD!$B$3:$B$5001,Q$102,BD!$A$3:$A$5001,"&gt;="&amp;$C$7,BD!$A$3:$A$5001,"&lt;="&amp;$D$7),"—"))</f>
        <v/>
      </c>
      <c r="R121" s="42" t="str">
        <f>IF(R$102="","",IF(Config!$V$51&lt;&gt;"Não",SUMIFS(BD!$U$3:$U$5001,BD!$B$3:$B$5001,R$102,BD!$A$3:$A$5001,"&gt;="&amp;$C$7,BD!$A$3:$A$5001,"&lt;="&amp;$D$7),"—"))</f>
        <v/>
      </c>
      <c r="S121" s="42" t="str">
        <f>IF(S$102="","",IF(Config!$V$52&lt;&gt;"Não",SUMIFS(BD!$U$3:$U$5001,BD!$B$3:$B$5001,S$102,BD!$A$3:$A$5001,"&gt;="&amp;$C$7,BD!$A$3:$A$5001,"&lt;="&amp;$D$7),"—"))</f>
        <v/>
      </c>
      <c r="T121" s="42" t="str">
        <f>IF(T$102="","",IF(Config!$V$53&lt;&gt;"Não",SUMIFS(BD!$U$3:$U$5001,BD!$B$3:$B$5001,T$102,BD!$A$3:$A$5001,"&gt;="&amp;$C$7,BD!$A$3:$A$5001,"&lt;="&amp;$D$7),"—"))</f>
        <v/>
      </c>
      <c r="U121" s="42" t="str">
        <f>IF(U$102="","",IF(Config!$V$54&lt;&gt;"Não",SUMIFS(BD!$U$3:$U$5001,BD!$B$3:$B$5001,U$102,BD!$A$3:$A$5001,"&gt;="&amp;$C$7,BD!$A$3:$A$5001,"&lt;="&amp;$D$7),"—"))</f>
        <v/>
      </c>
      <c r="V121" s="73">
        <f>SUM(B121:U121)</f>
        <v>0</v>
      </c>
    </row>
    <row r="122">
      <c r="A122" s="40" t="inlineStr">
        <is>
          <t xml:space="preserve">NC · Backlog Intralog</t>
        </is>
      </c>
      <c r="B122" s="42" t="str">
        <f>IF(B$102="","",IF(Config!$W$35&lt;&gt;"Não",IF(COUNTIFS(BD!$B$3:$B$5001,B$102,BD!$A$3:$A$5001,"&gt;="&amp;$C$7,BD!$A$3:$A$5001,"&lt;="&amp;$D$7,BD!$V$3:$V$5001,"&lt;&gt;")=0,"",SUMIFS(BD!$V$3:$V$5001,BD!$B$3:$B$5001,B$102,BD!$A$3:$A$5001,_xlfn.MAXIFS(BD!$A$3:$A$5001,BD!$B$3:$B$5001,B$102,BD!$A$3:$A$5001,"&gt;="&amp;$C$7,BD!$A$3:$A$5001,"&lt;="&amp;$D$7,BD!$V$3:$V$5001,"&lt;&gt;"))),"—"))</f>
        <v/>
      </c>
      <c r="C122" s="42" t="str">
        <f>IF(C$102="","",IF(Config!$W$36&lt;&gt;"Não",IF(COUNTIFS(BD!$B$3:$B$5001,C$102,BD!$A$3:$A$5001,"&gt;="&amp;$C$7,BD!$A$3:$A$5001,"&lt;="&amp;$D$7,BD!$V$3:$V$5001,"&lt;&gt;")=0,"",SUMIFS(BD!$V$3:$V$5001,BD!$B$3:$B$5001,C$102,BD!$A$3:$A$5001,_xlfn.MAXIFS(BD!$A$3:$A$5001,BD!$B$3:$B$5001,C$102,BD!$A$3:$A$5001,"&gt;="&amp;$C$7,BD!$A$3:$A$5001,"&lt;="&amp;$D$7,BD!$V$3:$V$5001,"&lt;&gt;"))),"—"))</f>
        <v/>
      </c>
      <c r="D122" s="42" t="str">
        <f>IF(D$102="","",IF(Config!$W$37&lt;&gt;"Não",IF(COUNTIFS(BD!$B$3:$B$5001,D$102,BD!$A$3:$A$5001,"&gt;="&amp;$C$7,BD!$A$3:$A$5001,"&lt;="&amp;$D$7,BD!$V$3:$V$5001,"&lt;&gt;")=0,"",SUMIFS(BD!$V$3:$V$5001,BD!$B$3:$B$5001,D$102,BD!$A$3:$A$5001,_xlfn.MAXIFS(BD!$A$3:$A$5001,BD!$B$3:$B$5001,D$102,BD!$A$3:$A$5001,"&gt;="&amp;$C$7,BD!$A$3:$A$5001,"&lt;="&amp;$D$7,BD!$V$3:$V$5001,"&lt;&gt;"))),"—"))</f>
        <v/>
      </c>
      <c r="E122" s="42" t="str">
        <f>IF(E$102="","",IF(Config!$W$38&lt;&gt;"Não",IF(COUNTIFS(BD!$B$3:$B$5001,E$102,BD!$A$3:$A$5001,"&gt;="&amp;$C$7,BD!$A$3:$A$5001,"&lt;="&amp;$D$7,BD!$V$3:$V$5001,"&lt;&gt;")=0,"",SUMIFS(BD!$V$3:$V$5001,BD!$B$3:$B$5001,E$102,BD!$A$3:$A$5001,_xlfn.MAXIFS(BD!$A$3:$A$5001,BD!$B$3:$B$5001,E$102,BD!$A$3:$A$5001,"&gt;="&amp;$C$7,BD!$A$3:$A$5001,"&lt;="&amp;$D$7,BD!$V$3:$V$5001,"&lt;&gt;"))),"—"))</f>
        <v/>
      </c>
      <c r="F122" s="42" t="str">
        <f>IF(F$102="","",IF(Config!$W$39&lt;&gt;"Não",IF(COUNTIFS(BD!$B$3:$B$5001,F$102,BD!$A$3:$A$5001,"&gt;="&amp;$C$7,BD!$A$3:$A$5001,"&lt;="&amp;$D$7,BD!$V$3:$V$5001,"&lt;&gt;")=0,"",SUMIFS(BD!$V$3:$V$5001,BD!$B$3:$B$5001,F$102,BD!$A$3:$A$5001,_xlfn.MAXIFS(BD!$A$3:$A$5001,BD!$B$3:$B$5001,F$102,BD!$A$3:$A$5001,"&gt;="&amp;$C$7,BD!$A$3:$A$5001,"&lt;="&amp;$D$7,BD!$V$3:$V$5001,"&lt;&gt;"))),"—"))</f>
        <v/>
      </c>
      <c r="G122" s="42" t="str">
        <f>IF(G$102="","",IF(Config!$W$40&lt;&gt;"Não",IF(COUNTIFS(BD!$B$3:$B$5001,G$102,BD!$A$3:$A$5001,"&gt;="&amp;$C$7,BD!$A$3:$A$5001,"&lt;="&amp;$D$7,BD!$V$3:$V$5001,"&lt;&gt;")=0,"",SUMIFS(BD!$V$3:$V$5001,BD!$B$3:$B$5001,G$102,BD!$A$3:$A$5001,_xlfn.MAXIFS(BD!$A$3:$A$5001,BD!$B$3:$B$5001,G$102,BD!$A$3:$A$5001,"&gt;="&amp;$C$7,BD!$A$3:$A$5001,"&lt;="&amp;$D$7,BD!$V$3:$V$5001,"&lt;&gt;"))),"—"))</f>
        <v/>
      </c>
      <c r="H122" s="42" t="str">
        <f>IF(H$102="","",IF(Config!$W$41&lt;&gt;"Não",IF(COUNTIFS(BD!$B$3:$B$5001,H$102,BD!$A$3:$A$5001,"&gt;="&amp;$C$7,BD!$A$3:$A$5001,"&lt;="&amp;$D$7,BD!$V$3:$V$5001,"&lt;&gt;")=0,"",SUMIFS(BD!$V$3:$V$5001,BD!$B$3:$B$5001,H$102,BD!$A$3:$A$5001,_xlfn.MAXIFS(BD!$A$3:$A$5001,BD!$B$3:$B$5001,H$102,BD!$A$3:$A$5001,"&gt;="&amp;$C$7,BD!$A$3:$A$5001,"&lt;="&amp;$D$7,BD!$V$3:$V$5001,"&lt;&gt;"))),"—"))</f>
        <v/>
      </c>
      <c r="I122" s="42" t="str">
        <f>IF(I$102="","",IF(Config!$W$42&lt;&gt;"Não",IF(COUNTIFS(BD!$B$3:$B$5001,I$102,BD!$A$3:$A$5001,"&gt;="&amp;$C$7,BD!$A$3:$A$5001,"&lt;="&amp;$D$7,BD!$V$3:$V$5001,"&lt;&gt;")=0,"",SUMIFS(BD!$V$3:$V$5001,BD!$B$3:$B$5001,I$102,BD!$A$3:$A$5001,_xlfn.MAXIFS(BD!$A$3:$A$5001,BD!$B$3:$B$5001,I$102,BD!$A$3:$A$5001,"&gt;="&amp;$C$7,BD!$A$3:$A$5001,"&lt;="&amp;$D$7,BD!$V$3:$V$5001,"&lt;&gt;"))),"—"))</f>
        <v/>
      </c>
      <c r="J122" s="42" t="str">
        <f>IF(J$102="","",IF(Config!$W$43&lt;&gt;"Não",IF(COUNTIFS(BD!$B$3:$B$5001,J$102,BD!$A$3:$A$5001,"&gt;="&amp;$C$7,BD!$A$3:$A$5001,"&lt;="&amp;$D$7,BD!$V$3:$V$5001,"&lt;&gt;")=0,"",SUMIFS(BD!$V$3:$V$5001,BD!$B$3:$B$5001,J$102,BD!$A$3:$A$5001,_xlfn.MAXIFS(BD!$A$3:$A$5001,BD!$B$3:$B$5001,J$102,BD!$A$3:$A$5001,"&gt;="&amp;$C$7,BD!$A$3:$A$5001,"&lt;="&amp;$D$7,BD!$V$3:$V$5001,"&lt;&gt;"))),"—"))</f>
        <v/>
      </c>
      <c r="K122" s="42" t="str">
        <f>IF(K$102="","",IF(Config!$W$44&lt;&gt;"Não",IF(COUNTIFS(BD!$B$3:$B$5001,K$102,BD!$A$3:$A$5001,"&gt;="&amp;$C$7,BD!$A$3:$A$5001,"&lt;="&amp;$D$7,BD!$V$3:$V$5001,"&lt;&gt;")=0,"",SUMIFS(BD!$V$3:$V$5001,BD!$B$3:$B$5001,K$102,BD!$A$3:$A$5001,_xlfn.MAXIFS(BD!$A$3:$A$5001,BD!$B$3:$B$5001,K$102,BD!$A$3:$A$5001,"&gt;="&amp;$C$7,BD!$A$3:$A$5001,"&lt;="&amp;$D$7,BD!$V$3:$V$5001,"&lt;&gt;"))),"—"))</f>
        <v/>
      </c>
      <c r="L122" s="42" t="str">
        <f>IF(L$102="","",IF(Config!$W$45&lt;&gt;"Não",IF(COUNTIFS(BD!$B$3:$B$5001,L$102,BD!$A$3:$A$5001,"&gt;="&amp;$C$7,BD!$A$3:$A$5001,"&lt;="&amp;$D$7,BD!$V$3:$V$5001,"&lt;&gt;")=0,"",SUMIFS(BD!$V$3:$V$5001,BD!$B$3:$B$5001,L$102,BD!$A$3:$A$5001,_xlfn.MAXIFS(BD!$A$3:$A$5001,BD!$B$3:$B$5001,L$102,BD!$A$3:$A$5001,"&gt;="&amp;$C$7,BD!$A$3:$A$5001,"&lt;="&amp;$D$7,BD!$V$3:$V$5001,"&lt;&gt;"))),"—"))</f>
        <v/>
      </c>
      <c r="M122" s="42" t="str">
        <f>IF(M$102="","",IF(Config!$W$46&lt;&gt;"Não",IF(COUNTIFS(BD!$B$3:$B$5001,M$102,BD!$A$3:$A$5001,"&gt;="&amp;$C$7,BD!$A$3:$A$5001,"&lt;="&amp;$D$7,BD!$V$3:$V$5001,"&lt;&gt;")=0,"",SUMIFS(BD!$V$3:$V$5001,BD!$B$3:$B$5001,M$102,BD!$A$3:$A$5001,_xlfn.MAXIFS(BD!$A$3:$A$5001,BD!$B$3:$B$5001,M$102,BD!$A$3:$A$5001,"&gt;="&amp;$C$7,BD!$A$3:$A$5001,"&lt;="&amp;$D$7,BD!$V$3:$V$5001,"&lt;&gt;"))),"—"))</f>
        <v/>
      </c>
      <c r="N122" s="42" t="str">
        <f>IF(N$102="","",IF(Config!$W$47&lt;&gt;"Não",IF(COUNTIFS(BD!$B$3:$B$5001,N$102,BD!$A$3:$A$5001,"&gt;="&amp;$C$7,BD!$A$3:$A$5001,"&lt;="&amp;$D$7,BD!$V$3:$V$5001,"&lt;&gt;")=0,"",SUMIFS(BD!$V$3:$V$5001,BD!$B$3:$B$5001,N$102,BD!$A$3:$A$5001,_xlfn.MAXIFS(BD!$A$3:$A$5001,BD!$B$3:$B$5001,N$102,BD!$A$3:$A$5001,"&gt;="&amp;$C$7,BD!$A$3:$A$5001,"&lt;="&amp;$D$7,BD!$V$3:$V$5001,"&lt;&gt;"))),"—"))</f>
        <v/>
      </c>
      <c r="O122" s="42" t="str">
        <f>IF(O$102="","",IF(Config!$W$48&lt;&gt;"Não",IF(COUNTIFS(BD!$B$3:$B$5001,O$102,BD!$A$3:$A$5001,"&gt;="&amp;$C$7,BD!$A$3:$A$5001,"&lt;="&amp;$D$7,BD!$V$3:$V$5001,"&lt;&gt;")=0,"",SUMIFS(BD!$V$3:$V$5001,BD!$B$3:$B$5001,O$102,BD!$A$3:$A$5001,_xlfn.MAXIFS(BD!$A$3:$A$5001,BD!$B$3:$B$5001,O$102,BD!$A$3:$A$5001,"&gt;="&amp;$C$7,BD!$A$3:$A$5001,"&lt;="&amp;$D$7,BD!$V$3:$V$5001,"&lt;&gt;"))),"—"))</f>
        <v/>
      </c>
      <c r="P122" s="42" t="str">
        <f>IF(P$102="","",IF(Config!$W$49&lt;&gt;"Não",IF(COUNTIFS(BD!$B$3:$B$5001,P$102,BD!$A$3:$A$5001,"&gt;="&amp;$C$7,BD!$A$3:$A$5001,"&lt;="&amp;$D$7,BD!$V$3:$V$5001,"&lt;&gt;")=0,"",SUMIFS(BD!$V$3:$V$5001,BD!$B$3:$B$5001,P$102,BD!$A$3:$A$5001,_xlfn.MAXIFS(BD!$A$3:$A$5001,BD!$B$3:$B$5001,P$102,BD!$A$3:$A$5001,"&gt;="&amp;$C$7,BD!$A$3:$A$5001,"&lt;="&amp;$D$7,BD!$V$3:$V$5001,"&lt;&gt;"))),"—"))</f>
        <v/>
      </c>
      <c r="Q122" s="42" t="str">
        <f>IF(Q$102="","",IF(Config!$W$50&lt;&gt;"Não",IF(COUNTIFS(BD!$B$3:$B$5001,Q$102,BD!$A$3:$A$5001,"&gt;="&amp;$C$7,BD!$A$3:$A$5001,"&lt;="&amp;$D$7,BD!$V$3:$V$5001,"&lt;&gt;")=0,"",SUMIFS(BD!$V$3:$V$5001,BD!$B$3:$B$5001,Q$102,BD!$A$3:$A$5001,_xlfn.MAXIFS(BD!$A$3:$A$5001,BD!$B$3:$B$5001,Q$102,BD!$A$3:$A$5001,"&gt;="&amp;$C$7,BD!$A$3:$A$5001,"&lt;="&amp;$D$7,BD!$V$3:$V$5001,"&lt;&gt;"))),"—"))</f>
        <v/>
      </c>
      <c r="R122" s="42" t="str">
        <f>IF(R$102="","",IF(Config!$W$51&lt;&gt;"Não",IF(COUNTIFS(BD!$B$3:$B$5001,R$102,BD!$A$3:$A$5001,"&gt;="&amp;$C$7,BD!$A$3:$A$5001,"&lt;="&amp;$D$7,BD!$V$3:$V$5001,"&lt;&gt;")=0,"",SUMIFS(BD!$V$3:$V$5001,BD!$B$3:$B$5001,R$102,BD!$A$3:$A$5001,_xlfn.MAXIFS(BD!$A$3:$A$5001,BD!$B$3:$B$5001,R$102,BD!$A$3:$A$5001,"&gt;="&amp;$C$7,BD!$A$3:$A$5001,"&lt;="&amp;$D$7,BD!$V$3:$V$5001,"&lt;&gt;"))),"—"))</f>
        <v/>
      </c>
      <c r="S122" s="42" t="str">
        <f>IF(S$102="","",IF(Config!$W$52&lt;&gt;"Não",IF(COUNTIFS(BD!$B$3:$B$5001,S$102,BD!$A$3:$A$5001,"&gt;="&amp;$C$7,BD!$A$3:$A$5001,"&lt;="&amp;$D$7,BD!$V$3:$V$5001,"&lt;&gt;")=0,"",SUMIFS(BD!$V$3:$V$5001,BD!$B$3:$B$5001,S$102,BD!$A$3:$A$5001,_xlfn.MAXIFS(BD!$A$3:$A$5001,BD!$B$3:$B$5001,S$102,BD!$A$3:$A$5001,"&gt;="&amp;$C$7,BD!$A$3:$A$5001,"&lt;="&amp;$D$7,BD!$V$3:$V$5001,"&lt;&gt;"))),"—"))</f>
        <v/>
      </c>
      <c r="T122" s="42" t="str">
        <f>IF(T$102="","",IF(Config!$W$53&lt;&gt;"Não",IF(COUNTIFS(BD!$B$3:$B$5001,T$102,BD!$A$3:$A$5001,"&gt;="&amp;$C$7,BD!$A$3:$A$5001,"&lt;="&amp;$D$7,BD!$V$3:$V$5001,"&lt;&gt;")=0,"",SUMIFS(BD!$V$3:$V$5001,BD!$B$3:$B$5001,T$102,BD!$A$3:$A$5001,_xlfn.MAXIFS(BD!$A$3:$A$5001,BD!$B$3:$B$5001,T$102,BD!$A$3:$A$5001,"&gt;="&amp;$C$7,BD!$A$3:$A$5001,"&lt;="&amp;$D$7,BD!$V$3:$V$5001,"&lt;&gt;"))),"—"))</f>
        <v/>
      </c>
      <c r="U122" s="42" t="str">
        <f>IF(U$102="","",IF(Config!$W$54&lt;&gt;"Não",IF(COUNTIFS(BD!$B$3:$B$5001,U$102,BD!$A$3:$A$5001,"&gt;="&amp;$C$7,BD!$A$3:$A$5001,"&lt;="&amp;$D$7,BD!$V$3:$V$5001,"&lt;&gt;")=0,"",SUMIFS(BD!$V$3:$V$5001,BD!$B$3:$B$5001,U$102,BD!$A$3:$A$5001,_xlfn.MAXIFS(BD!$A$3:$A$5001,BD!$B$3:$B$5001,U$102,BD!$A$3:$A$5001,"&gt;="&amp;$C$7,BD!$A$3:$A$5001,"&lt;="&amp;$D$7,BD!$V$3:$V$5001,"&lt;&gt;"))),"—"))</f>
        <v/>
      </c>
      <c r="V122" s="73">
        <f>SUM(B122:U122)</f>
        <v>0</v>
      </c>
    </row>
    <row r="123">
      <c r="A123" s="40" t="inlineStr">
        <is>
          <t xml:space="preserve">NC · Backlog Cliente</t>
        </is>
      </c>
      <c r="B123" s="42" t="str">
        <f>IF(B$102="","",IF(Config!$X$35&lt;&gt;"Não",IF(COUNTIFS(BD!$B$3:$B$5001,B$102,BD!$A$3:$A$5001,"&gt;="&amp;$C$7,BD!$A$3:$A$5001,"&lt;="&amp;$D$7,BD!$W$3:$W$5001,"&lt;&gt;")=0,"",SUMIFS(BD!$W$3:$W$5001,BD!$B$3:$B$5001,B$102,BD!$A$3:$A$5001,_xlfn.MAXIFS(BD!$A$3:$A$5001,BD!$B$3:$B$5001,B$102,BD!$A$3:$A$5001,"&gt;="&amp;$C$7,BD!$A$3:$A$5001,"&lt;="&amp;$D$7,BD!$W$3:$W$5001,"&lt;&gt;"))),"—"))</f>
        <v/>
      </c>
      <c r="C123" s="42" t="str">
        <f>IF(C$102="","",IF(Config!$X$36&lt;&gt;"Não",IF(COUNTIFS(BD!$B$3:$B$5001,C$102,BD!$A$3:$A$5001,"&gt;="&amp;$C$7,BD!$A$3:$A$5001,"&lt;="&amp;$D$7,BD!$W$3:$W$5001,"&lt;&gt;")=0,"",SUMIFS(BD!$W$3:$W$5001,BD!$B$3:$B$5001,C$102,BD!$A$3:$A$5001,_xlfn.MAXIFS(BD!$A$3:$A$5001,BD!$B$3:$B$5001,C$102,BD!$A$3:$A$5001,"&gt;="&amp;$C$7,BD!$A$3:$A$5001,"&lt;="&amp;$D$7,BD!$W$3:$W$5001,"&lt;&gt;"))),"—"))</f>
        <v/>
      </c>
      <c r="D123" s="42" t="str">
        <f>IF(D$102="","",IF(Config!$X$37&lt;&gt;"Não",IF(COUNTIFS(BD!$B$3:$B$5001,D$102,BD!$A$3:$A$5001,"&gt;="&amp;$C$7,BD!$A$3:$A$5001,"&lt;="&amp;$D$7,BD!$W$3:$W$5001,"&lt;&gt;")=0,"",SUMIFS(BD!$W$3:$W$5001,BD!$B$3:$B$5001,D$102,BD!$A$3:$A$5001,_xlfn.MAXIFS(BD!$A$3:$A$5001,BD!$B$3:$B$5001,D$102,BD!$A$3:$A$5001,"&gt;="&amp;$C$7,BD!$A$3:$A$5001,"&lt;="&amp;$D$7,BD!$W$3:$W$5001,"&lt;&gt;"))),"—"))</f>
        <v/>
      </c>
      <c r="E123" s="42" t="str">
        <f>IF(E$102="","",IF(Config!$X$38&lt;&gt;"Não",IF(COUNTIFS(BD!$B$3:$B$5001,E$102,BD!$A$3:$A$5001,"&gt;="&amp;$C$7,BD!$A$3:$A$5001,"&lt;="&amp;$D$7,BD!$W$3:$W$5001,"&lt;&gt;")=0,"",SUMIFS(BD!$W$3:$W$5001,BD!$B$3:$B$5001,E$102,BD!$A$3:$A$5001,_xlfn.MAXIFS(BD!$A$3:$A$5001,BD!$B$3:$B$5001,E$102,BD!$A$3:$A$5001,"&gt;="&amp;$C$7,BD!$A$3:$A$5001,"&lt;="&amp;$D$7,BD!$W$3:$W$5001,"&lt;&gt;"))),"—"))</f>
        <v/>
      </c>
      <c r="F123" s="42" t="str">
        <f>IF(F$102="","",IF(Config!$X$39&lt;&gt;"Não",IF(COUNTIFS(BD!$B$3:$B$5001,F$102,BD!$A$3:$A$5001,"&gt;="&amp;$C$7,BD!$A$3:$A$5001,"&lt;="&amp;$D$7,BD!$W$3:$W$5001,"&lt;&gt;")=0,"",SUMIFS(BD!$W$3:$W$5001,BD!$B$3:$B$5001,F$102,BD!$A$3:$A$5001,_xlfn.MAXIFS(BD!$A$3:$A$5001,BD!$B$3:$B$5001,F$102,BD!$A$3:$A$5001,"&gt;="&amp;$C$7,BD!$A$3:$A$5001,"&lt;="&amp;$D$7,BD!$W$3:$W$5001,"&lt;&gt;"))),"—"))</f>
        <v/>
      </c>
      <c r="G123" s="42" t="str">
        <f>IF(G$102="","",IF(Config!$X$40&lt;&gt;"Não",IF(COUNTIFS(BD!$B$3:$B$5001,G$102,BD!$A$3:$A$5001,"&gt;="&amp;$C$7,BD!$A$3:$A$5001,"&lt;="&amp;$D$7,BD!$W$3:$W$5001,"&lt;&gt;")=0,"",SUMIFS(BD!$W$3:$W$5001,BD!$B$3:$B$5001,G$102,BD!$A$3:$A$5001,_xlfn.MAXIFS(BD!$A$3:$A$5001,BD!$B$3:$B$5001,G$102,BD!$A$3:$A$5001,"&gt;="&amp;$C$7,BD!$A$3:$A$5001,"&lt;="&amp;$D$7,BD!$W$3:$W$5001,"&lt;&gt;"))),"—"))</f>
        <v/>
      </c>
      <c r="H123" s="42" t="str">
        <f>IF(H$102="","",IF(Config!$X$41&lt;&gt;"Não",IF(COUNTIFS(BD!$B$3:$B$5001,H$102,BD!$A$3:$A$5001,"&gt;="&amp;$C$7,BD!$A$3:$A$5001,"&lt;="&amp;$D$7,BD!$W$3:$W$5001,"&lt;&gt;")=0,"",SUMIFS(BD!$W$3:$W$5001,BD!$B$3:$B$5001,H$102,BD!$A$3:$A$5001,_xlfn.MAXIFS(BD!$A$3:$A$5001,BD!$B$3:$B$5001,H$102,BD!$A$3:$A$5001,"&gt;="&amp;$C$7,BD!$A$3:$A$5001,"&lt;="&amp;$D$7,BD!$W$3:$W$5001,"&lt;&gt;"))),"—"))</f>
        <v/>
      </c>
      <c r="I123" s="42" t="str">
        <f>IF(I$102="","",IF(Config!$X$42&lt;&gt;"Não",IF(COUNTIFS(BD!$B$3:$B$5001,I$102,BD!$A$3:$A$5001,"&gt;="&amp;$C$7,BD!$A$3:$A$5001,"&lt;="&amp;$D$7,BD!$W$3:$W$5001,"&lt;&gt;")=0,"",SUMIFS(BD!$W$3:$W$5001,BD!$B$3:$B$5001,I$102,BD!$A$3:$A$5001,_xlfn.MAXIFS(BD!$A$3:$A$5001,BD!$B$3:$B$5001,I$102,BD!$A$3:$A$5001,"&gt;="&amp;$C$7,BD!$A$3:$A$5001,"&lt;="&amp;$D$7,BD!$W$3:$W$5001,"&lt;&gt;"))),"—"))</f>
        <v/>
      </c>
      <c r="J123" s="42" t="str">
        <f>IF(J$102="","",IF(Config!$X$43&lt;&gt;"Não",IF(COUNTIFS(BD!$B$3:$B$5001,J$102,BD!$A$3:$A$5001,"&gt;="&amp;$C$7,BD!$A$3:$A$5001,"&lt;="&amp;$D$7,BD!$W$3:$W$5001,"&lt;&gt;")=0,"",SUMIFS(BD!$W$3:$W$5001,BD!$B$3:$B$5001,J$102,BD!$A$3:$A$5001,_xlfn.MAXIFS(BD!$A$3:$A$5001,BD!$B$3:$B$5001,J$102,BD!$A$3:$A$5001,"&gt;="&amp;$C$7,BD!$A$3:$A$5001,"&lt;="&amp;$D$7,BD!$W$3:$W$5001,"&lt;&gt;"))),"—"))</f>
        <v/>
      </c>
      <c r="K123" s="42" t="str">
        <f>IF(K$102="","",IF(Config!$X$44&lt;&gt;"Não",IF(COUNTIFS(BD!$B$3:$B$5001,K$102,BD!$A$3:$A$5001,"&gt;="&amp;$C$7,BD!$A$3:$A$5001,"&lt;="&amp;$D$7,BD!$W$3:$W$5001,"&lt;&gt;")=0,"",SUMIFS(BD!$W$3:$W$5001,BD!$B$3:$B$5001,K$102,BD!$A$3:$A$5001,_xlfn.MAXIFS(BD!$A$3:$A$5001,BD!$B$3:$B$5001,K$102,BD!$A$3:$A$5001,"&gt;="&amp;$C$7,BD!$A$3:$A$5001,"&lt;="&amp;$D$7,BD!$W$3:$W$5001,"&lt;&gt;"))),"—"))</f>
        <v/>
      </c>
      <c r="L123" s="42" t="str">
        <f>IF(L$102="","",IF(Config!$X$45&lt;&gt;"Não",IF(COUNTIFS(BD!$B$3:$B$5001,L$102,BD!$A$3:$A$5001,"&gt;="&amp;$C$7,BD!$A$3:$A$5001,"&lt;="&amp;$D$7,BD!$W$3:$W$5001,"&lt;&gt;")=0,"",SUMIFS(BD!$W$3:$W$5001,BD!$B$3:$B$5001,L$102,BD!$A$3:$A$5001,_xlfn.MAXIFS(BD!$A$3:$A$5001,BD!$B$3:$B$5001,L$102,BD!$A$3:$A$5001,"&gt;="&amp;$C$7,BD!$A$3:$A$5001,"&lt;="&amp;$D$7,BD!$W$3:$W$5001,"&lt;&gt;"))),"—"))</f>
        <v/>
      </c>
      <c r="M123" s="42" t="str">
        <f>IF(M$102="","",IF(Config!$X$46&lt;&gt;"Não",IF(COUNTIFS(BD!$B$3:$B$5001,M$102,BD!$A$3:$A$5001,"&gt;="&amp;$C$7,BD!$A$3:$A$5001,"&lt;="&amp;$D$7,BD!$W$3:$W$5001,"&lt;&gt;")=0,"",SUMIFS(BD!$W$3:$W$5001,BD!$B$3:$B$5001,M$102,BD!$A$3:$A$5001,_xlfn.MAXIFS(BD!$A$3:$A$5001,BD!$B$3:$B$5001,M$102,BD!$A$3:$A$5001,"&gt;="&amp;$C$7,BD!$A$3:$A$5001,"&lt;="&amp;$D$7,BD!$W$3:$W$5001,"&lt;&gt;"))),"—"))</f>
        <v/>
      </c>
      <c r="N123" s="42" t="str">
        <f>IF(N$102="","",IF(Config!$X$47&lt;&gt;"Não",IF(COUNTIFS(BD!$B$3:$B$5001,N$102,BD!$A$3:$A$5001,"&gt;="&amp;$C$7,BD!$A$3:$A$5001,"&lt;="&amp;$D$7,BD!$W$3:$W$5001,"&lt;&gt;")=0,"",SUMIFS(BD!$W$3:$W$5001,BD!$B$3:$B$5001,N$102,BD!$A$3:$A$5001,_xlfn.MAXIFS(BD!$A$3:$A$5001,BD!$B$3:$B$5001,N$102,BD!$A$3:$A$5001,"&gt;="&amp;$C$7,BD!$A$3:$A$5001,"&lt;="&amp;$D$7,BD!$W$3:$W$5001,"&lt;&gt;"))),"—"))</f>
        <v/>
      </c>
      <c r="O123" s="42" t="str">
        <f>IF(O$102="","",IF(Config!$X$48&lt;&gt;"Não",IF(COUNTIFS(BD!$B$3:$B$5001,O$102,BD!$A$3:$A$5001,"&gt;="&amp;$C$7,BD!$A$3:$A$5001,"&lt;="&amp;$D$7,BD!$W$3:$W$5001,"&lt;&gt;")=0,"",SUMIFS(BD!$W$3:$W$5001,BD!$B$3:$B$5001,O$102,BD!$A$3:$A$5001,_xlfn.MAXIFS(BD!$A$3:$A$5001,BD!$B$3:$B$5001,O$102,BD!$A$3:$A$5001,"&gt;="&amp;$C$7,BD!$A$3:$A$5001,"&lt;="&amp;$D$7,BD!$W$3:$W$5001,"&lt;&gt;"))),"—"))</f>
        <v/>
      </c>
      <c r="P123" s="42" t="str">
        <f>IF(P$102="","",IF(Config!$X$49&lt;&gt;"Não",IF(COUNTIFS(BD!$B$3:$B$5001,P$102,BD!$A$3:$A$5001,"&gt;="&amp;$C$7,BD!$A$3:$A$5001,"&lt;="&amp;$D$7,BD!$W$3:$W$5001,"&lt;&gt;")=0,"",SUMIFS(BD!$W$3:$W$5001,BD!$B$3:$B$5001,P$102,BD!$A$3:$A$5001,_xlfn.MAXIFS(BD!$A$3:$A$5001,BD!$B$3:$B$5001,P$102,BD!$A$3:$A$5001,"&gt;="&amp;$C$7,BD!$A$3:$A$5001,"&lt;="&amp;$D$7,BD!$W$3:$W$5001,"&lt;&gt;"))),"—"))</f>
        <v/>
      </c>
      <c r="Q123" s="42" t="str">
        <f>IF(Q$102="","",IF(Config!$X$50&lt;&gt;"Não",IF(COUNTIFS(BD!$B$3:$B$5001,Q$102,BD!$A$3:$A$5001,"&gt;="&amp;$C$7,BD!$A$3:$A$5001,"&lt;="&amp;$D$7,BD!$W$3:$W$5001,"&lt;&gt;")=0,"",SUMIFS(BD!$W$3:$W$5001,BD!$B$3:$B$5001,Q$102,BD!$A$3:$A$5001,_xlfn.MAXIFS(BD!$A$3:$A$5001,BD!$B$3:$B$5001,Q$102,BD!$A$3:$A$5001,"&gt;="&amp;$C$7,BD!$A$3:$A$5001,"&lt;="&amp;$D$7,BD!$W$3:$W$5001,"&lt;&gt;"))),"—"))</f>
        <v/>
      </c>
      <c r="R123" s="42" t="str">
        <f>IF(R$102="","",IF(Config!$X$51&lt;&gt;"Não",IF(COUNTIFS(BD!$B$3:$B$5001,R$102,BD!$A$3:$A$5001,"&gt;="&amp;$C$7,BD!$A$3:$A$5001,"&lt;="&amp;$D$7,BD!$W$3:$W$5001,"&lt;&gt;")=0,"",SUMIFS(BD!$W$3:$W$5001,BD!$B$3:$B$5001,R$102,BD!$A$3:$A$5001,_xlfn.MAXIFS(BD!$A$3:$A$5001,BD!$B$3:$B$5001,R$102,BD!$A$3:$A$5001,"&gt;="&amp;$C$7,BD!$A$3:$A$5001,"&lt;="&amp;$D$7,BD!$W$3:$W$5001,"&lt;&gt;"))),"—"))</f>
        <v/>
      </c>
      <c r="S123" s="42" t="str">
        <f>IF(S$102="","",IF(Config!$X$52&lt;&gt;"Não",IF(COUNTIFS(BD!$B$3:$B$5001,S$102,BD!$A$3:$A$5001,"&gt;="&amp;$C$7,BD!$A$3:$A$5001,"&lt;="&amp;$D$7,BD!$W$3:$W$5001,"&lt;&gt;")=0,"",SUMIFS(BD!$W$3:$W$5001,BD!$B$3:$B$5001,S$102,BD!$A$3:$A$5001,_xlfn.MAXIFS(BD!$A$3:$A$5001,BD!$B$3:$B$5001,S$102,BD!$A$3:$A$5001,"&gt;="&amp;$C$7,BD!$A$3:$A$5001,"&lt;="&amp;$D$7,BD!$W$3:$W$5001,"&lt;&gt;"))),"—"))</f>
        <v/>
      </c>
      <c r="T123" s="42" t="str">
        <f>IF(T$102="","",IF(Config!$X$53&lt;&gt;"Não",IF(COUNTIFS(BD!$B$3:$B$5001,T$102,BD!$A$3:$A$5001,"&gt;="&amp;$C$7,BD!$A$3:$A$5001,"&lt;="&amp;$D$7,BD!$W$3:$W$5001,"&lt;&gt;")=0,"",SUMIFS(BD!$W$3:$W$5001,BD!$B$3:$B$5001,T$102,BD!$A$3:$A$5001,_xlfn.MAXIFS(BD!$A$3:$A$5001,BD!$B$3:$B$5001,T$102,BD!$A$3:$A$5001,"&gt;="&amp;$C$7,BD!$A$3:$A$5001,"&lt;="&amp;$D$7,BD!$W$3:$W$5001,"&lt;&gt;"))),"—"))</f>
        <v/>
      </c>
      <c r="U123" s="42" t="str">
        <f>IF(U$102="","",IF(Config!$X$54&lt;&gt;"Não",IF(COUNTIFS(BD!$B$3:$B$5001,U$102,BD!$A$3:$A$5001,"&gt;="&amp;$C$7,BD!$A$3:$A$5001,"&lt;="&amp;$D$7,BD!$W$3:$W$5001,"&lt;&gt;")=0,"",SUMIFS(BD!$W$3:$W$5001,BD!$B$3:$B$5001,U$102,BD!$A$3:$A$5001,_xlfn.MAXIFS(BD!$A$3:$A$5001,BD!$B$3:$B$5001,U$102,BD!$A$3:$A$5001,"&gt;="&amp;$C$7,BD!$A$3:$A$5001,"&lt;="&amp;$D$7,BD!$W$3:$W$5001,"&lt;&gt;"))),"—"))</f>
        <v/>
      </c>
      <c r="V123" s="73">
        <f>SUM(B123:U123)</f>
        <v>0</v>
      </c>
    </row>
    <row r="124">
      <c r="A124" s="40" t="inlineStr">
        <is>
          <t xml:space="preserve">OCUPAÇÃO (P.P) · Posições Disponíveis</t>
        </is>
      </c>
      <c r="B124" s="42" t="str">
        <f>IF(B$102="","",IF(Config!$Y$35&lt;&gt;"Não",IF(N(IF(COUNTIFS(BD!$B$3:$B$5001,B$102,BD!$A$3:$A$5001,"&gt;="&amp;$C$7,BD!$A$3:$A$5001,"&lt;="&amp;$D$7,BD!$Y$3:$Y$5001,"&lt;&gt;")=0,"",SUMIFS(BD!$X$3:$X$5001,BD!$B$3:$B$5001,B$102,BD!$A$3:$A$5001,_xlfn.MAXIFS(BD!$A$3:$A$5001,BD!$B$3:$B$5001,B$102,BD!$A$3:$A$5001,"&gt;="&amp;$C$7,BD!$A$3:$A$5001,"&lt;="&amp;$D$7,BD!$Y$3:$Y$5001,"&lt;&gt;"))))=0,"",IF(COUNTIFS(BD!$B$3:$B$5001,B$102,BD!$A$3:$A$5001,"&gt;="&amp;$C$7,BD!$A$3:$A$5001,"&lt;="&amp;$D$7,BD!$Y$3:$Y$5001,"&lt;&gt;")=0,"",SUMIFS(BD!$X$3:$X$5001,BD!$B$3:$B$5001,B$102,BD!$A$3:$A$5001,_xlfn.MAXIFS(BD!$A$3:$A$5001,BD!$B$3:$B$5001,B$102,BD!$A$3:$A$5001,"&gt;="&amp;$C$7,BD!$A$3:$A$5001,"&lt;="&amp;$D$7,BD!$Y$3:$Y$5001,"&lt;&gt;")))),"—"))</f>
        <v/>
      </c>
      <c r="C124" s="42" t="str">
        <f>IF(C$102="","",IF(Config!$Y$36&lt;&gt;"Não",IF(N(IF(COUNTIFS(BD!$B$3:$B$5001,C$102,BD!$A$3:$A$5001,"&gt;="&amp;$C$7,BD!$A$3:$A$5001,"&lt;="&amp;$D$7,BD!$Y$3:$Y$5001,"&lt;&gt;")=0,"",SUMIFS(BD!$X$3:$X$5001,BD!$B$3:$B$5001,C$102,BD!$A$3:$A$5001,_xlfn.MAXIFS(BD!$A$3:$A$5001,BD!$B$3:$B$5001,C$102,BD!$A$3:$A$5001,"&gt;="&amp;$C$7,BD!$A$3:$A$5001,"&lt;="&amp;$D$7,BD!$Y$3:$Y$5001,"&lt;&gt;"))))=0,"",IF(COUNTIFS(BD!$B$3:$B$5001,C$102,BD!$A$3:$A$5001,"&gt;="&amp;$C$7,BD!$A$3:$A$5001,"&lt;="&amp;$D$7,BD!$Y$3:$Y$5001,"&lt;&gt;")=0,"",SUMIFS(BD!$X$3:$X$5001,BD!$B$3:$B$5001,C$102,BD!$A$3:$A$5001,_xlfn.MAXIFS(BD!$A$3:$A$5001,BD!$B$3:$B$5001,C$102,BD!$A$3:$A$5001,"&gt;="&amp;$C$7,BD!$A$3:$A$5001,"&lt;="&amp;$D$7,BD!$Y$3:$Y$5001,"&lt;&gt;")))),"—"))</f>
        <v/>
      </c>
      <c r="D124" s="42" t="str">
        <f>IF(D$102="","",IF(Config!$Y$37&lt;&gt;"Não",IF(N(IF(COUNTIFS(BD!$B$3:$B$5001,D$102,BD!$A$3:$A$5001,"&gt;="&amp;$C$7,BD!$A$3:$A$5001,"&lt;="&amp;$D$7,BD!$Y$3:$Y$5001,"&lt;&gt;")=0,"",SUMIFS(BD!$X$3:$X$5001,BD!$B$3:$B$5001,D$102,BD!$A$3:$A$5001,_xlfn.MAXIFS(BD!$A$3:$A$5001,BD!$B$3:$B$5001,D$102,BD!$A$3:$A$5001,"&gt;="&amp;$C$7,BD!$A$3:$A$5001,"&lt;="&amp;$D$7,BD!$Y$3:$Y$5001,"&lt;&gt;"))))=0,"",IF(COUNTIFS(BD!$B$3:$B$5001,D$102,BD!$A$3:$A$5001,"&gt;="&amp;$C$7,BD!$A$3:$A$5001,"&lt;="&amp;$D$7,BD!$Y$3:$Y$5001,"&lt;&gt;")=0,"",SUMIFS(BD!$X$3:$X$5001,BD!$B$3:$B$5001,D$102,BD!$A$3:$A$5001,_xlfn.MAXIFS(BD!$A$3:$A$5001,BD!$B$3:$B$5001,D$102,BD!$A$3:$A$5001,"&gt;="&amp;$C$7,BD!$A$3:$A$5001,"&lt;="&amp;$D$7,BD!$Y$3:$Y$5001,"&lt;&gt;")))),"—"))</f>
        <v/>
      </c>
      <c r="E124" s="42" t="str">
        <f>IF(E$102="","",IF(Config!$Y$38&lt;&gt;"Não",IF(N(IF(COUNTIFS(BD!$B$3:$B$5001,E$102,BD!$A$3:$A$5001,"&gt;="&amp;$C$7,BD!$A$3:$A$5001,"&lt;="&amp;$D$7,BD!$Y$3:$Y$5001,"&lt;&gt;")=0,"",SUMIFS(BD!$X$3:$X$5001,BD!$B$3:$B$5001,E$102,BD!$A$3:$A$5001,_xlfn.MAXIFS(BD!$A$3:$A$5001,BD!$B$3:$B$5001,E$102,BD!$A$3:$A$5001,"&gt;="&amp;$C$7,BD!$A$3:$A$5001,"&lt;="&amp;$D$7,BD!$Y$3:$Y$5001,"&lt;&gt;"))))=0,"",IF(COUNTIFS(BD!$B$3:$B$5001,E$102,BD!$A$3:$A$5001,"&gt;="&amp;$C$7,BD!$A$3:$A$5001,"&lt;="&amp;$D$7,BD!$Y$3:$Y$5001,"&lt;&gt;")=0,"",SUMIFS(BD!$X$3:$X$5001,BD!$B$3:$B$5001,E$102,BD!$A$3:$A$5001,_xlfn.MAXIFS(BD!$A$3:$A$5001,BD!$B$3:$B$5001,E$102,BD!$A$3:$A$5001,"&gt;="&amp;$C$7,BD!$A$3:$A$5001,"&lt;="&amp;$D$7,BD!$Y$3:$Y$5001,"&lt;&gt;")))),"—"))</f>
        <v/>
      </c>
      <c r="F124" s="42" t="str">
        <f>IF(F$102="","",IF(Config!$Y$39&lt;&gt;"Não",IF(N(IF(COUNTIFS(BD!$B$3:$B$5001,F$102,BD!$A$3:$A$5001,"&gt;="&amp;$C$7,BD!$A$3:$A$5001,"&lt;="&amp;$D$7,BD!$Y$3:$Y$5001,"&lt;&gt;")=0,"",SUMIFS(BD!$X$3:$X$5001,BD!$B$3:$B$5001,F$102,BD!$A$3:$A$5001,_xlfn.MAXIFS(BD!$A$3:$A$5001,BD!$B$3:$B$5001,F$102,BD!$A$3:$A$5001,"&gt;="&amp;$C$7,BD!$A$3:$A$5001,"&lt;="&amp;$D$7,BD!$Y$3:$Y$5001,"&lt;&gt;"))))=0,"",IF(COUNTIFS(BD!$B$3:$B$5001,F$102,BD!$A$3:$A$5001,"&gt;="&amp;$C$7,BD!$A$3:$A$5001,"&lt;="&amp;$D$7,BD!$Y$3:$Y$5001,"&lt;&gt;")=0,"",SUMIFS(BD!$X$3:$X$5001,BD!$B$3:$B$5001,F$102,BD!$A$3:$A$5001,_xlfn.MAXIFS(BD!$A$3:$A$5001,BD!$B$3:$B$5001,F$102,BD!$A$3:$A$5001,"&gt;="&amp;$C$7,BD!$A$3:$A$5001,"&lt;="&amp;$D$7,BD!$Y$3:$Y$5001,"&lt;&gt;")))),"—"))</f>
        <v/>
      </c>
      <c r="G124" s="42" t="str">
        <f>IF(G$102="","",IF(Config!$Y$40&lt;&gt;"Não",IF(N(IF(COUNTIFS(BD!$B$3:$B$5001,G$102,BD!$A$3:$A$5001,"&gt;="&amp;$C$7,BD!$A$3:$A$5001,"&lt;="&amp;$D$7,BD!$Y$3:$Y$5001,"&lt;&gt;")=0,"",SUMIFS(BD!$X$3:$X$5001,BD!$B$3:$B$5001,G$102,BD!$A$3:$A$5001,_xlfn.MAXIFS(BD!$A$3:$A$5001,BD!$B$3:$B$5001,G$102,BD!$A$3:$A$5001,"&gt;="&amp;$C$7,BD!$A$3:$A$5001,"&lt;="&amp;$D$7,BD!$Y$3:$Y$5001,"&lt;&gt;"))))=0,"",IF(COUNTIFS(BD!$B$3:$B$5001,G$102,BD!$A$3:$A$5001,"&gt;="&amp;$C$7,BD!$A$3:$A$5001,"&lt;="&amp;$D$7,BD!$Y$3:$Y$5001,"&lt;&gt;")=0,"",SUMIFS(BD!$X$3:$X$5001,BD!$B$3:$B$5001,G$102,BD!$A$3:$A$5001,_xlfn.MAXIFS(BD!$A$3:$A$5001,BD!$B$3:$B$5001,G$102,BD!$A$3:$A$5001,"&gt;="&amp;$C$7,BD!$A$3:$A$5001,"&lt;="&amp;$D$7,BD!$Y$3:$Y$5001,"&lt;&gt;")))),"—"))</f>
        <v/>
      </c>
      <c r="H124" s="42" t="str">
        <f>IF(H$102="","",IF(Config!$Y$41&lt;&gt;"Não",IF(N(IF(COUNTIFS(BD!$B$3:$B$5001,H$102,BD!$A$3:$A$5001,"&gt;="&amp;$C$7,BD!$A$3:$A$5001,"&lt;="&amp;$D$7,BD!$Y$3:$Y$5001,"&lt;&gt;")=0,"",SUMIFS(BD!$X$3:$X$5001,BD!$B$3:$B$5001,H$102,BD!$A$3:$A$5001,_xlfn.MAXIFS(BD!$A$3:$A$5001,BD!$B$3:$B$5001,H$102,BD!$A$3:$A$5001,"&gt;="&amp;$C$7,BD!$A$3:$A$5001,"&lt;="&amp;$D$7,BD!$Y$3:$Y$5001,"&lt;&gt;"))))=0,"",IF(COUNTIFS(BD!$B$3:$B$5001,H$102,BD!$A$3:$A$5001,"&gt;="&amp;$C$7,BD!$A$3:$A$5001,"&lt;="&amp;$D$7,BD!$Y$3:$Y$5001,"&lt;&gt;")=0,"",SUMIFS(BD!$X$3:$X$5001,BD!$B$3:$B$5001,H$102,BD!$A$3:$A$5001,_xlfn.MAXIFS(BD!$A$3:$A$5001,BD!$B$3:$B$5001,H$102,BD!$A$3:$A$5001,"&gt;="&amp;$C$7,BD!$A$3:$A$5001,"&lt;="&amp;$D$7,BD!$Y$3:$Y$5001,"&lt;&gt;")))),"—"))</f>
        <v/>
      </c>
      <c r="I124" s="42" t="str">
        <f>IF(I$102="","",IF(Config!$Y$42&lt;&gt;"Não",IF(N(IF(COUNTIFS(BD!$B$3:$B$5001,I$102,BD!$A$3:$A$5001,"&gt;="&amp;$C$7,BD!$A$3:$A$5001,"&lt;="&amp;$D$7,BD!$Y$3:$Y$5001,"&lt;&gt;")=0,"",SUMIFS(BD!$X$3:$X$5001,BD!$B$3:$B$5001,I$102,BD!$A$3:$A$5001,_xlfn.MAXIFS(BD!$A$3:$A$5001,BD!$B$3:$B$5001,I$102,BD!$A$3:$A$5001,"&gt;="&amp;$C$7,BD!$A$3:$A$5001,"&lt;="&amp;$D$7,BD!$Y$3:$Y$5001,"&lt;&gt;"))))=0,"",IF(COUNTIFS(BD!$B$3:$B$5001,I$102,BD!$A$3:$A$5001,"&gt;="&amp;$C$7,BD!$A$3:$A$5001,"&lt;="&amp;$D$7,BD!$Y$3:$Y$5001,"&lt;&gt;")=0,"",SUMIFS(BD!$X$3:$X$5001,BD!$B$3:$B$5001,I$102,BD!$A$3:$A$5001,_xlfn.MAXIFS(BD!$A$3:$A$5001,BD!$B$3:$B$5001,I$102,BD!$A$3:$A$5001,"&gt;="&amp;$C$7,BD!$A$3:$A$5001,"&lt;="&amp;$D$7,BD!$Y$3:$Y$5001,"&lt;&gt;")))),"—"))</f>
        <v/>
      </c>
      <c r="J124" s="42" t="str">
        <f>IF(J$102="","",IF(Config!$Y$43&lt;&gt;"Não",IF(N(IF(COUNTIFS(BD!$B$3:$B$5001,J$102,BD!$A$3:$A$5001,"&gt;="&amp;$C$7,BD!$A$3:$A$5001,"&lt;="&amp;$D$7,BD!$Y$3:$Y$5001,"&lt;&gt;")=0,"",SUMIFS(BD!$X$3:$X$5001,BD!$B$3:$B$5001,J$102,BD!$A$3:$A$5001,_xlfn.MAXIFS(BD!$A$3:$A$5001,BD!$B$3:$B$5001,J$102,BD!$A$3:$A$5001,"&gt;="&amp;$C$7,BD!$A$3:$A$5001,"&lt;="&amp;$D$7,BD!$Y$3:$Y$5001,"&lt;&gt;"))))=0,"",IF(COUNTIFS(BD!$B$3:$B$5001,J$102,BD!$A$3:$A$5001,"&gt;="&amp;$C$7,BD!$A$3:$A$5001,"&lt;="&amp;$D$7,BD!$Y$3:$Y$5001,"&lt;&gt;")=0,"",SUMIFS(BD!$X$3:$X$5001,BD!$B$3:$B$5001,J$102,BD!$A$3:$A$5001,_xlfn.MAXIFS(BD!$A$3:$A$5001,BD!$B$3:$B$5001,J$102,BD!$A$3:$A$5001,"&gt;="&amp;$C$7,BD!$A$3:$A$5001,"&lt;="&amp;$D$7,BD!$Y$3:$Y$5001,"&lt;&gt;")))),"—"))</f>
        <v/>
      </c>
      <c r="K124" s="42" t="str">
        <f>IF(K$102="","",IF(Config!$Y$44&lt;&gt;"Não",IF(N(IF(COUNTIFS(BD!$B$3:$B$5001,K$102,BD!$A$3:$A$5001,"&gt;="&amp;$C$7,BD!$A$3:$A$5001,"&lt;="&amp;$D$7,BD!$Y$3:$Y$5001,"&lt;&gt;")=0,"",SUMIFS(BD!$X$3:$X$5001,BD!$B$3:$B$5001,K$102,BD!$A$3:$A$5001,_xlfn.MAXIFS(BD!$A$3:$A$5001,BD!$B$3:$B$5001,K$102,BD!$A$3:$A$5001,"&gt;="&amp;$C$7,BD!$A$3:$A$5001,"&lt;="&amp;$D$7,BD!$Y$3:$Y$5001,"&lt;&gt;"))))=0,"",IF(COUNTIFS(BD!$B$3:$B$5001,K$102,BD!$A$3:$A$5001,"&gt;="&amp;$C$7,BD!$A$3:$A$5001,"&lt;="&amp;$D$7,BD!$Y$3:$Y$5001,"&lt;&gt;")=0,"",SUMIFS(BD!$X$3:$X$5001,BD!$B$3:$B$5001,K$102,BD!$A$3:$A$5001,_xlfn.MAXIFS(BD!$A$3:$A$5001,BD!$B$3:$B$5001,K$102,BD!$A$3:$A$5001,"&gt;="&amp;$C$7,BD!$A$3:$A$5001,"&lt;="&amp;$D$7,BD!$Y$3:$Y$5001,"&lt;&gt;")))),"—"))</f>
        <v/>
      </c>
      <c r="L124" s="42" t="str">
        <f>IF(L$102="","",IF(Config!$Y$45&lt;&gt;"Não",IF(N(IF(COUNTIFS(BD!$B$3:$B$5001,L$102,BD!$A$3:$A$5001,"&gt;="&amp;$C$7,BD!$A$3:$A$5001,"&lt;="&amp;$D$7,BD!$Y$3:$Y$5001,"&lt;&gt;")=0,"",SUMIFS(BD!$X$3:$X$5001,BD!$B$3:$B$5001,L$102,BD!$A$3:$A$5001,_xlfn.MAXIFS(BD!$A$3:$A$5001,BD!$B$3:$B$5001,L$102,BD!$A$3:$A$5001,"&gt;="&amp;$C$7,BD!$A$3:$A$5001,"&lt;="&amp;$D$7,BD!$Y$3:$Y$5001,"&lt;&gt;"))))=0,"",IF(COUNTIFS(BD!$B$3:$B$5001,L$102,BD!$A$3:$A$5001,"&gt;="&amp;$C$7,BD!$A$3:$A$5001,"&lt;="&amp;$D$7,BD!$Y$3:$Y$5001,"&lt;&gt;")=0,"",SUMIFS(BD!$X$3:$X$5001,BD!$B$3:$B$5001,L$102,BD!$A$3:$A$5001,_xlfn.MAXIFS(BD!$A$3:$A$5001,BD!$B$3:$B$5001,L$102,BD!$A$3:$A$5001,"&gt;="&amp;$C$7,BD!$A$3:$A$5001,"&lt;="&amp;$D$7,BD!$Y$3:$Y$5001,"&lt;&gt;")))),"—"))</f>
        <v/>
      </c>
      <c r="M124" s="42" t="str">
        <f>IF(M$102="","",IF(Config!$Y$46&lt;&gt;"Não",IF(N(IF(COUNTIFS(BD!$B$3:$B$5001,M$102,BD!$A$3:$A$5001,"&gt;="&amp;$C$7,BD!$A$3:$A$5001,"&lt;="&amp;$D$7,BD!$Y$3:$Y$5001,"&lt;&gt;")=0,"",SUMIFS(BD!$X$3:$X$5001,BD!$B$3:$B$5001,M$102,BD!$A$3:$A$5001,_xlfn.MAXIFS(BD!$A$3:$A$5001,BD!$B$3:$B$5001,M$102,BD!$A$3:$A$5001,"&gt;="&amp;$C$7,BD!$A$3:$A$5001,"&lt;="&amp;$D$7,BD!$Y$3:$Y$5001,"&lt;&gt;"))))=0,"",IF(COUNTIFS(BD!$B$3:$B$5001,M$102,BD!$A$3:$A$5001,"&gt;="&amp;$C$7,BD!$A$3:$A$5001,"&lt;="&amp;$D$7,BD!$Y$3:$Y$5001,"&lt;&gt;")=0,"",SUMIFS(BD!$X$3:$X$5001,BD!$B$3:$B$5001,M$102,BD!$A$3:$A$5001,_xlfn.MAXIFS(BD!$A$3:$A$5001,BD!$B$3:$B$5001,M$102,BD!$A$3:$A$5001,"&gt;="&amp;$C$7,BD!$A$3:$A$5001,"&lt;="&amp;$D$7,BD!$Y$3:$Y$5001,"&lt;&gt;")))),"—"))</f>
        <v/>
      </c>
      <c r="N124" s="42" t="str">
        <f>IF(N$102="","",IF(Config!$Y$47&lt;&gt;"Não",IF(N(IF(COUNTIFS(BD!$B$3:$B$5001,N$102,BD!$A$3:$A$5001,"&gt;="&amp;$C$7,BD!$A$3:$A$5001,"&lt;="&amp;$D$7,BD!$Y$3:$Y$5001,"&lt;&gt;")=0,"",SUMIFS(BD!$X$3:$X$5001,BD!$B$3:$B$5001,N$102,BD!$A$3:$A$5001,_xlfn.MAXIFS(BD!$A$3:$A$5001,BD!$B$3:$B$5001,N$102,BD!$A$3:$A$5001,"&gt;="&amp;$C$7,BD!$A$3:$A$5001,"&lt;="&amp;$D$7,BD!$Y$3:$Y$5001,"&lt;&gt;"))))=0,"",IF(COUNTIFS(BD!$B$3:$B$5001,N$102,BD!$A$3:$A$5001,"&gt;="&amp;$C$7,BD!$A$3:$A$5001,"&lt;="&amp;$D$7,BD!$Y$3:$Y$5001,"&lt;&gt;")=0,"",SUMIFS(BD!$X$3:$X$5001,BD!$B$3:$B$5001,N$102,BD!$A$3:$A$5001,_xlfn.MAXIFS(BD!$A$3:$A$5001,BD!$B$3:$B$5001,N$102,BD!$A$3:$A$5001,"&gt;="&amp;$C$7,BD!$A$3:$A$5001,"&lt;="&amp;$D$7,BD!$Y$3:$Y$5001,"&lt;&gt;")))),"—"))</f>
        <v/>
      </c>
      <c r="O124" s="42" t="str">
        <f>IF(O$102="","",IF(Config!$Y$48&lt;&gt;"Não",IF(N(IF(COUNTIFS(BD!$B$3:$B$5001,O$102,BD!$A$3:$A$5001,"&gt;="&amp;$C$7,BD!$A$3:$A$5001,"&lt;="&amp;$D$7,BD!$Y$3:$Y$5001,"&lt;&gt;")=0,"",SUMIFS(BD!$X$3:$X$5001,BD!$B$3:$B$5001,O$102,BD!$A$3:$A$5001,_xlfn.MAXIFS(BD!$A$3:$A$5001,BD!$B$3:$B$5001,O$102,BD!$A$3:$A$5001,"&gt;="&amp;$C$7,BD!$A$3:$A$5001,"&lt;="&amp;$D$7,BD!$Y$3:$Y$5001,"&lt;&gt;"))))=0,"",IF(COUNTIFS(BD!$B$3:$B$5001,O$102,BD!$A$3:$A$5001,"&gt;="&amp;$C$7,BD!$A$3:$A$5001,"&lt;="&amp;$D$7,BD!$Y$3:$Y$5001,"&lt;&gt;")=0,"",SUMIFS(BD!$X$3:$X$5001,BD!$B$3:$B$5001,O$102,BD!$A$3:$A$5001,_xlfn.MAXIFS(BD!$A$3:$A$5001,BD!$B$3:$B$5001,O$102,BD!$A$3:$A$5001,"&gt;="&amp;$C$7,BD!$A$3:$A$5001,"&lt;="&amp;$D$7,BD!$Y$3:$Y$5001,"&lt;&gt;")))),"—"))</f>
        <v/>
      </c>
      <c r="P124" s="42" t="str">
        <f>IF(P$102="","",IF(Config!$Y$49&lt;&gt;"Não",IF(N(IF(COUNTIFS(BD!$B$3:$B$5001,P$102,BD!$A$3:$A$5001,"&gt;="&amp;$C$7,BD!$A$3:$A$5001,"&lt;="&amp;$D$7,BD!$Y$3:$Y$5001,"&lt;&gt;")=0,"",SUMIFS(BD!$X$3:$X$5001,BD!$B$3:$B$5001,P$102,BD!$A$3:$A$5001,_xlfn.MAXIFS(BD!$A$3:$A$5001,BD!$B$3:$B$5001,P$102,BD!$A$3:$A$5001,"&gt;="&amp;$C$7,BD!$A$3:$A$5001,"&lt;="&amp;$D$7,BD!$Y$3:$Y$5001,"&lt;&gt;"))))=0,"",IF(COUNTIFS(BD!$B$3:$B$5001,P$102,BD!$A$3:$A$5001,"&gt;="&amp;$C$7,BD!$A$3:$A$5001,"&lt;="&amp;$D$7,BD!$Y$3:$Y$5001,"&lt;&gt;")=0,"",SUMIFS(BD!$X$3:$X$5001,BD!$B$3:$B$5001,P$102,BD!$A$3:$A$5001,_xlfn.MAXIFS(BD!$A$3:$A$5001,BD!$B$3:$B$5001,P$102,BD!$A$3:$A$5001,"&gt;="&amp;$C$7,BD!$A$3:$A$5001,"&lt;="&amp;$D$7,BD!$Y$3:$Y$5001,"&lt;&gt;")))),"—"))</f>
        <v/>
      </c>
      <c r="Q124" s="42" t="str">
        <f>IF(Q$102="","",IF(Config!$Y$50&lt;&gt;"Não",IF(N(IF(COUNTIFS(BD!$B$3:$B$5001,Q$102,BD!$A$3:$A$5001,"&gt;="&amp;$C$7,BD!$A$3:$A$5001,"&lt;="&amp;$D$7,BD!$Y$3:$Y$5001,"&lt;&gt;")=0,"",SUMIFS(BD!$X$3:$X$5001,BD!$B$3:$B$5001,Q$102,BD!$A$3:$A$5001,_xlfn.MAXIFS(BD!$A$3:$A$5001,BD!$B$3:$B$5001,Q$102,BD!$A$3:$A$5001,"&gt;="&amp;$C$7,BD!$A$3:$A$5001,"&lt;="&amp;$D$7,BD!$Y$3:$Y$5001,"&lt;&gt;"))))=0,"",IF(COUNTIFS(BD!$B$3:$B$5001,Q$102,BD!$A$3:$A$5001,"&gt;="&amp;$C$7,BD!$A$3:$A$5001,"&lt;="&amp;$D$7,BD!$Y$3:$Y$5001,"&lt;&gt;")=0,"",SUMIFS(BD!$X$3:$X$5001,BD!$B$3:$B$5001,Q$102,BD!$A$3:$A$5001,_xlfn.MAXIFS(BD!$A$3:$A$5001,BD!$B$3:$B$5001,Q$102,BD!$A$3:$A$5001,"&gt;="&amp;$C$7,BD!$A$3:$A$5001,"&lt;="&amp;$D$7,BD!$Y$3:$Y$5001,"&lt;&gt;")))),"—"))</f>
        <v/>
      </c>
      <c r="R124" s="42" t="str">
        <f>IF(R$102="","",IF(Config!$Y$51&lt;&gt;"Não",IF(N(IF(COUNTIFS(BD!$B$3:$B$5001,R$102,BD!$A$3:$A$5001,"&gt;="&amp;$C$7,BD!$A$3:$A$5001,"&lt;="&amp;$D$7,BD!$Y$3:$Y$5001,"&lt;&gt;")=0,"",SUMIFS(BD!$X$3:$X$5001,BD!$B$3:$B$5001,R$102,BD!$A$3:$A$5001,_xlfn.MAXIFS(BD!$A$3:$A$5001,BD!$B$3:$B$5001,R$102,BD!$A$3:$A$5001,"&gt;="&amp;$C$7,BD!$A$3:$A$5001,"&lt;="&amp;$D$7,BD!$Y$3:$Y$5001,"&lt;&gt;"))))=0,"",IF(COUNTIFS(BD!$B$3:$B$5001,R$102,BD!$A$3:$A$5001,"&gt;="&amp;$C$7,BD!$A$3:$A$5001,"&lt;="&amp;$D$7,BD!$Y$3:$Y$5001,"&lt;&gt;")=0,"",SUMIFS(BD!$X$3:$X$5001,BD!$B$3:$B$5001,R$102,BD!$A$3:$A$5001,_xlfn.MAXIFS(BD!$A$3:$A$5001,BD!$B$3:$B$5001,R$102,BD!$A$3:$A$5001,"&gt;="&amp;$C$7,BD!$A$3:$A$5001,"&lt;="&amp;$D$7,BD!$Y$3:$Y$5001,"&lt;&gt;")))),"—"))</f>
        <v/>
      </c>
      <c r="S124" s="42" t="str">
        <f>IF(S$102="","",IF(Config!$Y$52&lt;&gt;"Não",IF(N(IF(COUNTIFS(BD!$B$3:$B$5001,S$102,BD!$A$3:$A$5001,"&gt;="&amp;$C$7,BD!$A$3:$A$5001,"&lt;="&amp;$D$7,BD!$Y$3:$Y$5001,"&lt;&gt;")=0,"",SUMIFS(BD!$X$3:$X$5001,BD!$B$3:$B$5001,S$102,BD!$A$3:$A$5001,_xlfn.MAXIFS(BD!$A$3:$A$5001,BD!$B$3:$B$5001,S$102,BD!$A$3:$A$5001,"&gt;="&amp;$C$7,BD!$A$3:$A$5001,"&lt;="&amp;$D$7,BD!$Y$3:$Y$5001,"&lt;&gt;"))))=0,"",IF(COUNTIFS(BD!$B$3:$B$5001,S$102,BD!$A$3:$A$5001,"&gt;="&amp;$C$7,BD!$A$3:$A$5001,"&lt;="&amp;$D$7,BD!$Y$3:$Y$5001,"&lt;&gt;")=0,"",SUMIFS(BD!$X$3:$X$5001,BD!$B$3:$B$5001,S$102,BD!$A$3:$A$5001,_xlfn.MAXIFS(BD!$A$3:$A$5001,BD!$B$3:$B$5001,S$102,BD!$A$3:$A$5001,"&gt;="&amp;$C$7,BD!$A$3:$A$5001,"&lt;="&amp;$D$7,BD!$Y$3:$Y$5001,"&lt;&gt;")))),"—"))</f>
        <v/>
      </c>
      <c r="T124" s="42" t="str">
        <f>IF(T$102="","",IF(Config!$Y$53&lt;&gt;"Não",IF(N(IF(COUNTIFS(BD!$B$3:$B$5001,T$102,BD!$A$3:$A$5001,"&gt;="&amp;$C$7,BD!$A$3:$A$5001,"&lt;="&amp;$D$7,BD!$Y$3:$Y$5001,"&lt;&gt;")=0,"",SUMIFS(BD!$X$3:$X$5001,BD!$B$3:$B$5001,T$102,BD!$A$3:$A$5001,_xlfn.MAXIFS(BD!$A$3:$A$5001,BD!$B$3:$B$5001,T$102,BD!$A$3:$A$5001,"&gt;="&amp;$C$7,BD!$A$3:$A$5001,"&lt;="&amp;$D$7,BD!$Y$3:$Y$5001,"&lt;&gt;"))))=0,"",IF(COUNTIFS(BD!$B$3:$B$5001,T$102,BD!$A$3:$A$5001,"&gt;="&amp;$C$7,BD!$A$3:$A$5001,"&lt;="&amp;$D$7,BD!$Y$3:$Y$5001,"&lt;&gt;")=0,"",SUMIFS(BD!$X$3:$X$5001,BD!$B$3:$B$5001,T$102,BD!$A$3:$A$5001,_xlfn.MAXIFS(BD!$A$3:$A$5001,BD!$B$3:$B$5001,T$102,BD!$A$3:$A$5001,"&gt;="&amp;$C$7,BD!$A$3:$A$5001,"&lt;="&amp;$D$7,BD!$Y$3:$Y$5001,"&lt;&gt;")))),"—"))</f>
        <v/>
      </c>
      <c r="U124" s="42" t="str">
        <f>IF(U$102="","",IF(Config!$Y$54&lt;&gt;"Não",IF(N(IF(COUNTIFS(BD!$B$3:$B$5001,U$102,BD!$A$3:$A$5001,"&gt;="&amp;$C$7,BD!$A$3:$A$5001,"&lt;="&amp;$D$7,BD!$Y$3:$Y$5001,"&lt;&gt;")=0,"",SUMIFS(BD!$X$3:$X$5001,BD!$B$3:$B$5001,U$102,BD!$A$3:$A$5001,_xlfn.MAXIFS(BD!$A$3:$A$5001,BD!$B$3:$B$5001,U$102,BD!$A$3:$A$5001,"&gt;="&amp;$C$7,BD!$A$3:$A$5001,"&lt;="&amp;$D$7,BD!$Y$3:$Y$5001,"&lt;&gt;"))))=0,"",IF(COUNTIFS(BD!$B$3:$B$5001,U$102,BD!$A$3:$A$5001,"&gt;="&amp;$C$7,BD!$A$3:$A$5001,"&lt;="&amp;$D$7,BD!$Y$3:$Y$5001,"&lt;&gt;")=0,"",SUMIFS(BD!$X$3:$X$5001,BD!$B$3:$B$5001,U$102,BD!$A$3:$A$5001,_xlfn.MAXIFS(BD!$A$3:$A$5001,BD!$B$3:$B$5001,U$102,BD!$A$3:$A$5001,"&gt;="&amp;$C$7,BD!$A$3:$A$5001,"&lt;="&amp;$D$7,BD!$Y$3:$Y$5001,"&lt;&gt;")))),"—"))</f>
        <v/>
      </c>
      <c r="V124" s="73">
        <f>IF($B$4&gt;0,$B$4,SUM(B124:U124))</f>
        <v>23040</v>
      </c>
    </row>
    <row r="125">
      <c r="A125" s="40" t="inlineStr">
        <is>
          <t xml:space="preserve">OCUPAÇÃO (P.P) · Posições Ocupadas</t>
        </is>
      </c>
      <c r="B125" s="42" t="str">
        <f>IF(B$102="","",IF(Config!$Z$35&lt;&gt;"Não",IF(COUNTIFS(BD!$B$3:$B$5001,B$102,BD!$A$3:$A$5001,"&gt;="&amp;$C$7,BD!$A$3:$A$5001,"&lt;="&amp;$D$7,BD!$Y$3:$Y$5001,"&lt;&gt;")=0,"",SUMIFS(BD!$Y$3:$Y$5001,BD!$B$3:$B$5001,B$102,BD!$A$3:$A$5001,_xlfn.MAXIFS(BD!$A$3:$A$5001,BD!$B$3:$B$5001,B$102,BD!$A$3:$A$5001,"&gt;="&amp;$C$7,BD!$A$3:$A$5001,"&lt;="&amp;$D$7,BD!$Y$3:$Y$5001,"&lt;&gt;"))),"—"))</f>
        <v/>
      </c>
      <c r="C125" s="42" t="str">
        <f>IF(C$102="","",IF(Config!$Z$36&lt;&gt;"Não",IF(COUNTIFS(BD!$B$3:$B$5001,C$102,BD!$A$3:$A$5001,"&gt;="&amp;$C$7,BD!$A$3:$A$5001,"&lt;="&amp;$D$7,BD!$Y$3:$Y$5001,"&lt;&gt;")=0,"",SUMIFS(BD!$Y$3:$Y$5001,BD!$B$3:$B$5001,C$102,BD!$A$3:$A$5001,_xlfn.MAXIFS(BD!$A$3:$A$5001,BD!$B$3:$B$5001,C$102,BD!$A$3:$A$5001,"&gt;="&amp;$C$7,BD!$A$3:$A$5001,"&lt;="&amp;$D$7,BD!$Y$3:$Y$5001,"&lt;&gt;"))),"—"))</f>
        <v/>
      </c>
      <c r="D125" s="42" t="str">
        <f>IF(D$102="","",IF(Config!$Z$37&lt;&gt;"Não",IF(COUNTIFS(BD!$B$3:$B$5001,D$102,BD!$A$3:$A$5001,"&gt;="&amp;$C$7,BD!$A$3:$A$5001,"&lt;="&amp;$D$7,BD!$Y$3:$Y$5001,"&lt;&gt;")=0,"",SUMIFS(BD!$Y$3:$Y$5001,BD!$B$3:$B$5001,D$102,BD!$A$3:$A$5001,_xlfn.MAXIFS(BD!$A$3:$A$5001,BD!$B$3:$B$5001,D$102,BD!$A$3:$A$5001,"&gt;="&amp;$C$7,BD!$A$3:$A$5001,"&lt;="&amp;$D$7,BD!$Y$3:$Y$5001,"&lt;&gt;"))),"—"))</f>
        <v/>
      </c>
      <c r="E125" s="42" t="str">
        <f>IF(E$102="","",IF(Config!$Z$38&lt;&gt;"Não",IF(COUNTIFS(BD!$B$3:$B$5001,E$102,BD!$A$3:$A$5001,"&gt;="&amp;$C$7,BD!$A$3:$A$5001,"&lt;="&amp;$D$7,BD!$Y$3:$Y$5001,"&lt;&gt;")=0,"",SUMIFS(BD!$Y$3:$Y$5001,BD!$B$3:$B$5001,E$102,BD!$A$3:$A$5001,_xlfn.MAXIFS(BD!$A$3:$A$5001,BD!$B$3:$B$5001,E$102,BD!$A$3:$A$5001,"&gt;="&amp;$C$7,BD!$A$3:$A$5001,"&lt;="&amp;$D$7,BD!$Y$3:$Y$5001,"&lt;&gt;"))),"—"))</f>
        <v/>
      </c>
      <c r="F125" s="42" t="str">
        <f>IF(F$102="","",IF(Config!$Z$39&lt;&gt;"Não",IF(COUNTIFS(BD!$B$3:$B$5001,F$102,BD!$A$3:$A$5001,"&gt;="&amp;$C$7,BD!$A$3:$A$5001,"&lt;="&amp;$D$7,BD!$Y$3:$Y$5001,"&lt;&gt;")=0,"",SUMIFS(BD!$Y$3:$Y$5001,BD!$B$3:$B$5001,F$102,BD!$A$3:$A$5001,_xlfn.MAXIFS(BD!$A$3:$A$5001,BD!$B$3:$B$5001,F$102,BD!$A$3:$A$5001,"&gt;="&amp;$C$7,BD!$A$3:$A$5001,"&lt;="&amp;$D$7,BD!$Y$3:$Y$5001,"&lt;&gt;"))),"—"))</f>
        <v/>
      </c>
      <c r="G125" s="42" t="str">
        <f>IF(G$102="","",IF(Config!$Z$40&lt;&gt;"Não",IF(COUNTIFS(BD!$B$3:$B$5001,G$102,BD!$A$3:$A$5001,"&gt;="&amp;$C$7,BD!$A$3:$A$5001,"&lt;="&amp;$D$7,BD!$Y$3:$Y$5001,"&lt;&gt;")=0,"",SUMIFS(BD!$Y$3:$Y$5001,BD!$B$3:$B$5001,G$102,BD!$A$3:$A$5001,_xlfn.MAXIFS(BD!$A$3:$A$5001,BD!$B$3:$B$5001,G$102,BD!$A$3:$A$5001,"&gt;="&amp;$C$7,BD!$A$3:$A$5001,"&lt;="&amp;$D$7,BD!$Y$3:$Y$5001,"&lt;&gt;"))),"—"))</f>
        <v/>
      </c>
      <c r="H125" s="42" t="str">
        <f>IF(H$102="","",IF(Config!$Z$41&lt;&gt;"Não",IF(COUNTIFS(BD!$B$3:$B$5001,H$102,BD!$A$3:$A$5001,"&gt;="&amp;$C$7,BD!$A$3:$A$5001,"&lt;="&amp;$D$7,BD!$Y$3:$Y$5001,"&lt;&gt;")=0,"",SUMIFS(BD!$Y$3:$Y$5001,BD!$B$3:$B$5001,H$102,BD!$A$3:$A$5001,_xlfn.MAXIFS(BD!$A$3:$A$5001,BD!$B$3:$B$5001,H$102,BD!$A$3:$A$5001,"&gt;="&amp;$C$7,BD!$A$3:$A$5001,"&lt;="&amp;$D$7,BD!$Y$3:$Y$5001,"&lt;&gt;"))),"—"))</f>
        <v/>
      </c>
      <c r="I125" s="42" t="str">
        <f>IF(I$102="","",IF(Config!$Z$42&lt;&gt;"Não",IF(COUNTIFS(BD!$B$3:$B$5001,I$102,BD!$A$3:$A$5001,"&gt;="&amp;$C$7,BD!$A$3:$A$5001,"&lt;="&amp;$D$7,BD!$Y$3:$Y$5001,"&lt;&gt;")=0,"",SUMIFS(BD!$Y$3:$Y$5001,BD!$B$3:$B$5001,I$102,BD!$A$3:$A$5001,_xlfn.MAXIFS(BD!$A$3:$A$5001,BD!$B$3:$B$5001,I$102,BD!$A$3:$A$5001,"&gt;="&amp;$C$7,BD!$A$3:$A$5001,"&lt;="&amp;$D$7,BD!$Y$3:$Y$5001,"&lt;&gt;"))),"—"))</f>
        <v/>
      </c>
      <c r="J125" s="42" t="str">
        <f>IF(J$102="","",IF(Config!$Z$43&lt;&gt;"Não",IF(COUNTIFS(BD!$B$3:$B$5001,J$102,BD!$A$3:$A$5001,"&gt;="&amp;$C$7,BD!$A$3:$A$5001,"&lt;="&amp;$D$7,BD!$Y$3:$Y$5001,"&lt;&gt;")=0,"",SUMIFS(BD!$Y$3:$Y$5001,BD!$B$3:$B$5001,J$102,BD!$A$3:$A$5001,_xlfn.MAXIFS(BD!$A$3:$A$5001,BD!$B$3:$B$5001,J$102,BD!$A$3:$A$5001,"&gt;="&amp;$C$7,BD!$A$3:$A$5001,"&lt;="&amp;$D$7,BD!$Y$3:$Y$5001,"&lt;&gt;"))),"—"))</f>
        <v/>
      </c>
      <c r="K125" s="42" t="str">
        <f>IF(K$102="","",IF(Config!$Z$44&lt;&gt;"Não",IF(COUNTIFS(BD!$B$3:$B$5001,K$102,BD!$A$3:$A$5001,"&gt;="&amp;$C$7,BD!$A$3:$A$5001,"&lt;="&amp;$D$7,BD!$Y$3:$Y$5001,"&lt;&gt;")=0,"",SUMIFS(BD!$Y$3:$Y$5001,BD!$B$3:$B$5001,K$102,BD!$A$3:$A$5001,_xlfn.MAXIFS(BD!$A$3:$A$5001,BD!$B$3:$B$5001,K$102,BD!$A$3:$A$5001,"&gt;="&amp;$C$7,BD!$A$3:$A$5001,"&lt;="&amp;$D$7,BD!$Y$3:$Y$5001,"&lt;&gt;"))),"—"))</f>
        <v/>
      </c>
      <c r="L125" s="42" t="str">
        <f>IF(L$102="","",IF(Config!$Z$45&lt;&gt;"Não",IF(COUNTIFS(BD!$B$3:$B$5001,L$102,BD!$A$3:$A$5001,"&gt;="&amp;$C$7,BD!$A$3:$A$5001,"&lt;="&amp;$D$7,BD!$Y$3:$Y$5001,"&lt;&gt;")=0,"",SUMIFS(BD!$Y$3:$Y$5001,BD!$B$3:$B$5001,L$102,BD!$A$3:$A$5001,_xlfn.MAXIFS(BD!$A$3:$A$5001,BD!$B$3:$B$5001,L$102,BD!$A$3:$A$5001,"&gt;="&amp;$C$7,BD!$A$3:$A$5001,"&lt;="&amp;$D$7,BD!$Y$3:$Y$5001,"&lt;&gt;"))),"—"))</f>
        <v/>
      </c>
      <c r="M125" s="42" t="str">
        <f>IF(M$102="","",IF(Config!$Z$46&lt;&gt;"Não",IF(COUNTIFS(BD!$B$3:$B$5001,M$102,BD!$A$3:$A$5001,"&gt;="&amp;$C$7,BD!$A$3:$A$5001,"&lt;="&amp;$D$7,BD!$Y$3:$Y$5001,"&lt;&gt;")=0,"",SUMIFS(BD!$Y$3:$Y$5001,BD!$B$3:$B$5001,M$102,BD!$A$3:$A$5001,_xlfn.MAXIFS(BD!$A$3:$A$5001,BD!$B$3:$B$5001,M$102,BD!$A$3:$A$5001,"&gt;="&amp;$C$7,BD!$A$3:$A$5001,"&lt;="&amp;$D$7,BD!$Y$3:$Y$5001,"&lt;&gt;"))),"—"))</f>
        <v/>
      </c>
      <c r="N125" s="42" t="str">
        <f>IF(N$102="","",IF(Config!$Z$47&lt;&gt;"Não",IF(COUNTIFS(BD!$B$3:$B$5001,N$102,BD!$A$3:$A$5001,"&gt;="&amp;$C$7,BD!$A$3:$A$5001,"&lt;="&amp;$D$7,BD!$Y$3:$Y$5001,"&lt;&gt;")=0,"",SUMIFS(BD!$Y$3:$Y$5001,BD!$B$3:$B$5001,N$102,BD!$A$3:$A$5001,_xlfn.MAXIFS(BD!$A$3:$A$5001,BD!$B$3:$B$5001,N$102,BD!$A$3:$A$5001,"&gt;="&amp;$C$7,BD!$A$3:$A$5001,"&lt;="&amp;$D$7,BD!$Y$3:$Y$5001,"&lt;&gt;"))),"—"))</f>
        <v/>
      </c>
      <c r="O125" s="42" t="str">
        <f>IF(O$102="","",IF(Config!$Z$48&lt;&gt;"Não",IF(COUNTIFS(BD!$B$3:$B$5001,O$102,BD!$A$3:$A$5001,"&gt;="&amp;$C$7,BD!$A$3:$A$5001,"&lt;="&amp;$D$7,BD!$Y$3:$Y$5001,"&lt;&gt;")=0,"",SUMIFS(BD!$Y$3:$Y$5001,BD!$B$3:$B$5001,O$102,BD!$A$3:$A$5001,_xlfn.MAXIFS(BD!$A$3:$A$5001,BD!$B$3:$B$5001,O$102,BD!$A$3:$A$5001,"&gt;="&amp;$C$7,BD!$A$3:$A$5001,"&lt;="&amp;$D$7,BD!$Y$3:$Y$5001,"&lt;&gt;"))),"—"))</f>
        <v/>
      </c>
      <c r="P125" s="42" t="str">
        <f>IF(P$102="","",IF(Config!$Z$49&lt;&gt;"Não",IF(COUNTIFS(BD!$B$3:$B$5001,P$102,BD!$A$3:$A$5001,"&gt;="&amp;$C$7,BD!$A$3:$A$5001,"&lt;="&amp;$D$7,BD!$Y$3:$Y$5001,"&lt;&gt;")=0,"",SUMIFS(BD!$Y$3:$Y$5001,BD!$B$3:$B$5001,P$102,BD!$A$3:$A$5001,_xlfn.MAXIFS(BD!$A$3:$A$5001,BD!$B$3:$B$5001,P$102,BD!$A$3:$A$5001,"&gt;="&amp;$C$7,BD!$A$3:$A$5001,"&lt;="&amp;$D$7,BD!$Y$3:$Y$5001,"&lt;&gt;"))),"—"))</f>
        <v/>
      </c>
      <c r="Q125" s="42" t="str">
        <f>IF(Q$102="","",IF(Config!$Z$50&lt;&gt;"Não",IF(COUNTIFS(BD!$B$3:$B$5001,Q$102,BD!$A$3:$A$5001,"&gt;="&amp;$C$7,BD!$A$3:$A$5001,"&lt;="&amp;$D$7,BD!$Y$3:$Y$5001,"&lt;&gt;")=0,"",SUMIFS(BD!$Y$3:$Y$5001,BD!$B$3:$B$5001,Q$102,BD!$A$3:$A$5001,_xlfn.MAXIFS(BD!$A$3:$A$5001,BD!$B$3:$B$5001,Q$102,BD!$A$3:$A$5001,"&gt;="&amp;$C$7,BD!$A$3:$A$5001,"&lt;="&amp;$D$7,BD!$Y$3:$Y$5001,"&lt;&gt;"))),"—"))</f>
        <v/>
      </c>
      <c r="R125" s="42" t="str">
        <f>IF(R$102="","",IF(Config!$Z$51&lt;&gt;"Não",IF(COUNTIFS(BD!$B$3:$B$5001,R$102,BD!$A$3:$A$5001,"&gt;="&amp;$C$7,BD!$A$3:$A$5001,"&lt;="&amp;$D$7,BD!$Y$3:$Y$5001,"&lt;&gt;")=0,"",SUMIFS(BD!$Y$3:$Y$5001,BD!$B$3:$B$5001,R$102,BD!$A$3:$A$5001,_xlfn.MAXIFS(BD!$A$3:$A$5001,BD!$B$3:$B$5001,R$102,BD!$A$3:$A$5001,"&gt;="&amp;$C$7,BD!$A$3:$A$5001,"&lt;="&amp;$D$7,BD!$Y$3:$Y$5001,"&lt;&gt;"))),"—"))</f>
        <v/>
      </c>
      <c r="S125" s="42" t="str">
        <f>IF(S$102="","",IF(Config!$Z$52&lt;&gt;"Não",IF(COUNTIFS(BD!$B$3:$B$5001,S$102,BD!$A$3:$A$5001,"&gt;="&amp;$C$7,BD!$A$3:$A$5001,"&lt;="&amp;$D$7,BD!$Y$3:$Y$5001,"&lt;&gt;")=0,"",SUMIFS(BD!$Y$3:$Y$5001,BD!$B$3:$B$5001,S$102,BD!$A$3:$A$5001,_xlfn.MAXIFS(BD!$A$3:$A$5001,BD!$B$3:$B$5001,S$102,BD!$A$3:$A$5001,"&gt;="&amp;$C$7,BD!$A$3:$A$5001,"&lt;="&amp;$D$7,BD!$Y$3:$Y$5001,"&lt;&gt;"))),"—"))</f>
        <v/>
      </c>
      <c r="T125" s="42" t="str">
        <f>IF(T$102="","",IF(Config!$Z$53&lt;&gt;"Não",IF(COUNTIFS(BD!$B$3:$B$5001,T$102,BD!$A$3:$A$5001,"&gt;="&amp;$C$7,BD!$A$3:$A$5001,"&lt;="&amp;$D$7,BD!$Y$3:$Y$5001,"&lt;&gt;")=0,"",SUMIFS(BD!$Y$3:$Y$5001,BD!$B$3:$B$5001,T$102,BD!$A$3:$A$5001,_xlfn.MAXIFS(BD!$A$3:$A$5001,BD!$B$3:$B$5001,T$102,BD!$A$3:$A$5001,"&gt;="&amp;$C$7,BD!$A$3:$A$5001,"&lt;="&amp;$D$7,BD!$Y$3:$Y$5001,"&lt;&gt;"))),"—"))</f>
        <v/>
      </c>
      <c r="U125" s="42" t="str">
        <f>IF(U$102="","",IF(Config!$Z$54&lt;&gt;"Não",IF(COUNTIFS(BD!$B$3:$B$5001,U$102,BD!$A$3:$A$5001,"&gt;="&amp;$C$7,BD!$A$3:$A$5001,"&lt;="&amp;$D$7,BD!$Y$3:$Y$5001,"&lt;&gt;")=0,"",SUMIFS(BD!$Y$3:$Y$5001,BD!$B$3:$B$5001,U$102,BD!$A$3:$A$5001,_xlfn.MAXIFS(BD!$A$3:$A$5001,BD!$B$3:$B$5001,U$102,BD!$A$3:$A$5001,"&gt;="&amp;$C$7,BD!$A$3:$A$5001,"&lt;="&amp;$D$7,BD!$Y$3:$Y$5001,"&lt;&gt;"))),"—"))</f>
        <v/>
      </c>
      <c r="V125" s="73">
        <f>SUM(B125:U125)</f>
        <v>0</v>
      </c>
    </row>
    <row r="126">
      <c r="A126" s="40" t="inlineStr">
        <is>
          <t xml:space="preserve">OCUPAÇÃO (P.P) · Taxa de Ocupação</t>
        </is>
      </c>
      <c r="B126" s="61" t="str">
        <f>IF(B$102="","",IF(AND(Config!$Y$35&lt;&gt;"Não",Config!$Z$35&lt;&gt;"Não"),IF(AND(ISNUMBER(B125),ISNUMBER(B124)),IF(B124&gt;0,B125/B124,""),""),"—"))</f>
        <v/>
      </c>
      <c r="C126" s="61" t="str">
        <f>IF(C$102="","",IF(AND(Config!$Y$36&lt;&gt;"Não",Config!$Z$36&lt;&gt;"Não"),IF(AND(ISNUMBER(C125),ISNUMBER(C124)),IF(C124&gt;0,C125/C124,""),""),"—"))</f>
        <v/>
      </c>
      <c r="D126" s="61" t="str">
        <f>IF(D$102="","",IF(AND(Config!$Y$37&lt;&gt;"Não",Config!$Z$37&lt;&gt;"Não"),IF(AND(ISNUMBER(D125),ISNUMBER(D124)),IF(D124&gt;0,D125/D124,""),""),"—"))</f>
        <v/>
      </c>
      <c r="E126" s="61" t="str">
        <f>IF(E$102="","",IF(AND(Config!$Y$38&lt;&gt;"Não",Config!$Z$38&lt;&gt;"Não"),IF(AND(ISNUMBER(E125),ISNUMBER(E124)),IF(E124&gt;0,E125/E124,""),""),"—"))</f>
        <v/>
      </c>
      <c r="F126" s="61" t="str">
        <f>IF(F$102="","",IF(AND(Config!$Y$39&lt;&gt;"Não",Config!$Z$39&lt;&gt;"Não"),IF(AND(ISNUMBER(F125),ISNUMBER(F124)),IF(F124&gt;0,F125/F124,""),""),"—"))</f>
        <v/>
      </c>
      <c r="G126" s="61" t="str">
        <f>IF(G$102="","",IF(AND(Config!$Y$40&lt;&gt;"Não",Config!$Z$40&lt;&gt;"Não"),IF(AND(ISNUMBER(G125),ISNUMBER(G124)),IF(G124&gt;0,G125/G124,""),""),"—"))</f>
        <v/>
      </c>
      <c r="H126" s="61" t="str">
        <f>IF(H$102="","",IF(AND(Config!$Y$41&lt;&gt;"Não",Config!$Z$41&lt;&gt;"Não"),IF(AND(ISNUMBER(H125),ISNUMBER(H124)),IF(H124&gt;0,H125/H124,""),""),"—"))</f>
        <v/>
      </c>
      <c r="I126" s="61" t="str">
        <f>IF(I$102="","",IF(AND(Config!$Y$42&lt;&gt;"Não",Config!$Z$42&lt;&gt;"Não"),IF(AND(ISNUMBER(I125),ISNUMBER(I124)),IF(I124&gt;0,I125/I124,""),""),"—"))</f>
        <v/>
      </c>
      <c r="J126" s="61" t="str">
        <f>IF(J$102="","",IF(AND(Config!$Y$43&lt;&gt;"Não",Config!$Z$43&lt;&gt;"Não"),IF(AND(ISNUMBER(J125),ISNUMBER(J124)),IF(J124&gt;0,J125/J124,""),""),"—"))</f>
        <v/>
      </c>
      <c r="K126" s="61" t="str">
        <f>IF(K$102="","",IF(AND(Config!$Y$44&lt;&gt;"Não",Config!$Z$44&lt;&gt;"Não"),IF(AND(ISNUMBER(K125),ISNUMBER(K124)),IF(K124&gt;0,K125/K124,""),""),"—"))</f>
        <v/>
      </c>
      <c r="L126" s="61" t="str">
        <f>IF(L$102="","",IF(AND(Config!$Y$45&lt;&gt;"Não",Config!$Z$45&lt;&gt;"Não"),IF(AND(ISNUMBER(L125),ISNUMBER(L124)),IF(L124&gt;0,L125/L124,""),""),"—"))</f>
        <v/>
      </c>
      <c r="M126" s="61" t="str">
        <f>IF(M$102="","",IF(AND(Config!$Y$46&lt;&gt;"Não",Config!$Z$46&lt;&gt;"Não"),IF(AND(ISNUMBER(M125),ISNUMBER(M124)),IF(M124&gt;0,M125/M124,""),""),"—"))</f>
        <v/>
      </c>
      <c r="N126" s="61" t="str">
        <f>IF(N$102="","",IF(AND(Config!$Y$47&lt;&gt;"Não",Config!$Z$47&lt;&gt;"Não"),IF(AND(ISNUMBER(N125),ISNUMBER(N124)),IF(N124&gt;0,N125/N124,""),""),"—"))</f>
        <v/>
      </c>
      <c r="O126" s="61" t="str">
        <f>IF(O$102="","",IF(AND(Config!$Y$48&lt;&gt;"Não",Config!$Z$48&lt;&gt;"Não"),IF(AND(ISNUMBER(O125),ISNUMBER(O124)),IF(O124&gt;0,O125/O124,""),""),"—"))</f>
        <v/>
      </c>
      <c r="P126" s="61" t="str">
        <f>IF(P$102="","",IF(AND(Config!$Y$49&lt;&gt;"Não",Config!$Z$49&lt;&gt;"Não"),IF(AND(ISNUMBER(P125),ISNUMBER(P124)),IF(P124&gt;0,P125/P124,""),""),"—"))</f>
        <v/>
      </c>
      <c r="Q126" s="61" t="str">
        <f>IF(Q$102="","",IF(AND(Config!$Y$50&lt;&gt;"Não",Config!$Z$50&lt;&gt;"Não"),IF(AND(ISNUMBER(Q125),ISNUMBER(Q124)),IF(Q124&gt;0,Q125/Q124,""),""),"—"))</f>
        <v/>
      </c>
      <c r="R126" s="61" t="str">
        <f>IF(R$102="","",IF(AND(Config!$Y$51&lt;&gt;"Não",Config!$Z$51&lt;&gt;"Não"),IF(AND(ISNUMBER(R125),ISNUMBER(R124)),IF(R124&gt;0,R125/R124,""),""),"—"))</f>
        <v/>
      </c>
      <c r="S126" s="61" t="str">
        <f>IF(S$102="","",IF(AND(Config!$Y$52&lt;&gt;"Não",Config!$Z$52&lt;&gt;"Não"),IF(AND(ISNUMBER(S125),ISNUMBER(S124)),IF(S124&gt;0,S125/S124,""),""),"—"))</f>
        <v/>
      </c>
      <c r="T126" s="61" t="str">
        <f>IF(T$102="","",IF(AND(Config!$Y$53&lt;&gt;"Não",Config!$Z$53&lt;&gt;"Não"),IF(AND(ISNUMBER(T125),ISNUMBER(T124)),IF(T124&gt;0,T125/T124,""),""),"—"))</f>
        <v/>
      </c>
      <c r="U126" s="61" t="str">
        <f>IF(U$102="","",IF(AND(Config!$Y$54&lt;&gt;"Não",Config!$Z$54&lt;&gt;"Não"),IF(AND(ISNUMBER(U125),ISNUMBER(U124)),IF(U124&gt;0,U125/U124,""),""),"—"))</f>
        <v/>
      </c>
      <c r="V126" s="75">
        <f>IFERROR(V125/V124,"")</f>
        <v>0</v>
      </c>
    </row>
    <row r="127">
      <c r="A127" s="40" t="inlineStr">
        <is>
          <t xml:space="preserve">GENTE · Efetivo Op.</t>
        </is>
      </c>
      <c r="B127" s="42" t="str">
        <f>IF(B$102="","",IF(Config!$AA$35&lt;&gt;"Não",IF(COUNTIFS(BD!$B$3:$B$5001,B$102,BD!$A$3:$A$5001,"&gt;="&amp;$C$7,BD!$A$3:$A$5001,"&lt;="&amp;$D$7,BD!$Z$3:$Z$5001,"&lt;&gt;")=0,"",SUMIFS(BD!$Z$3:$Z$5001,BD!$B$3:$B$5001,B$102,BD!$A$3:$A$5001,_xlfn.MAXIFS(BD!$A$3:$A$5001,BD!$B$3:$B$5001,B$102,BD!$A$3:$A$5001,"&gt;="&amp;$C$7,BD!$A$3:$A$5001,"&lt;="&amp;$D$7,BD!$Z$3:$Z$5001,"&lt;&gt;"))),"—"))</f>
        <v/>
      </c>
      <c r="C127" s="42" t="str">
        <f>IF(C$102="","",IF(Config!$AA$36&lt;&gt;"Não",IF(COUNTIFS(BD!$B$3:$B$5001,C$102,BD!$A$3:$A$5001,"&gt;="&amp;$C$7,BD!$A$3:$A$5001,"&lt;="&amp;$D$7,BD!$Z$3:$Z$5001,"&lt;&gt;")=0,"",SUMIFS(BD!$Z$3:$Z$5001,BD!$B$3:$B$5001,C$102,BD!$A$3:$A$5001,_xlfn.MAXIFS(BD!$A$3:$A$5001,BD!$B$3:$B$5001,C$102,BD!$A$3:$A$5001,"&gt;="&amp;$C$7,BD!$A$3:$A$5001,"&lt;="&amp;$D$7,BD!$Z$3:$Z$5001,"&lt;&gt;"))),"—"))</f>
        <v/>
      </c>
      <c r="D127" s="42" t="str">
        <f>IF(D$102="","",IF(Config!$AA$37&lt;&gt;"Não",IF(COUNTIFS(BD!$B$3:$B$5001,D$102,BD!$A$3:$A$5001,"&gt;="&amp;$C$7,BD!$A$3:$A$5001,"&lt;="&amp;$D$7,BD!$Z$3:$Z$5001,"&lt;&gt;")=0,"",SUMIFS(BD!$Z$3:$Z$5001,BD!$B$3:$B$5001,D$102,BD!$A$3:$A$5001,_xlfn.MAXIFS(BD!$A$3:$A$5001,BD!$B$3:$B$5001,D$102,BD!$A$3:$A$5001,"&gt;="&amp;$C$7,BD!$A$3:$A$5001,"&lt;="&amp;$D$7,BD!$Z$3:$Z$5001,"&lt;&gt;"))),"—"))</f>
        <v/>
      </c>
      <c r="E127" s="42" t="str">
        <f>IF(E$102="","",IF(Config!$AA$38&lt;&gt;"Não",IF(COUNTIFS(BD!$B$3:$B$5001,E$102,BD!$A$3:$A$5001,"&gt;="&amp;$C$7,BD!$A$3:$A$5001,"&lt;="&amp;$D$7,BD!$Z$3:$Z$5001,"&lt;&gt;")=0,"",SUMIFS(BD!$Z$3:$Z$5001,BD!$B$3:$B$5001,E$102,BD!$A$3:$A$5001,_xlfn.MAXIFS(BD!$A$3:$A$5001,BD!$B$3:$B$5001,E$102,BD!$A$3:$A$5001,"&gt;="&amp;$C$7,BD!$A$3:$A$5001,"&lt;="&amp;$D$7,BD!$Z$3:$Z$5001,"&lt;&gt;"))),"—"))</f>
        <v/>
      </c>
      <c r="F127" s="42" t="str">
        <f>IF(F$102="","",IF(Config!$AA$39&lt;&gt;"Não",IF(COUNTIFS(BD!$B$3:$B$5001,F$102,BD!$A$3:$A$5001,"&gt;="&amp;$C$7,BD!$A$3:$A$5001,"&lt;="&amp;$D$7,BD!$Z$3:$Z$5001,"&lt;&gt;")=0,"",SUMIFS(BD!$Z$3:$Z$5001,BD!$B$3:$B$5001,F$102,BD!$A$3:$A$5001,_xlfn.MAXIFS(BD!$A$3:$A$5001,BD!$B$3:$B$5001,F$102,BD!$A$3:$A$5001,"&gt;="&amp;$C$7,BD!$A$3:$A$5001,"&lt;="&amp;$D$7,BD!$Z$3:$Z$5001,"&lt;&gt;"))),"—"))</f>
        <v/>
      </c>
      <c r="G127" s="42" t="str">
        <f>IF(G$102="","",IF(Config!$AA$40&lt;&gt;"Não",IF(COUNTIFS(BD!$B$3:$B$5001,G$102,BD!$A$3:$A$5001,"&gt;="&amp;$C$7,BD!$A$3:$A$5001,"&lt;="&amp;$D$7,BD!$Z$3:$Z$5001,"&lt;&gt;")=0,"",SUMIFS(BD!$Z$3:$Z$5001,BD!$B$3:$B$5001,G$102,BD!$A$3:$A$5001,_xlfn.MAXIFS(BD!$A$3:$A$5001,BD!$B$3:$B$5001,G$102,BD!$A$3:$A$5001,"&gt;="&amp;$C$7,BD!$A$3:$A$5001,"&lt;="&amp;$D$7,BD!$Z$3:$Z$5001,"&lt;&gt;"))),"—"))</f>
        <v/>
      </c>
      <c r="H127" s="42" t="str">
        <f>IF(H$102="","",IF(Config!$AA$41&lt;&gt;"Não",IF(COUNTIFS(BD!$B$3:$B$5001,H$102,BD!$A$3:$A$5001,"&gt;="&amp;$C$7,BD!$A$3:$A$5001,"&lt;="&amp;$D$7,BD!$Z$3:$Z$5001,"&lt;&gt;")=0,"",SUMIFS(BD!$Z$3:$Z$5001,BD!$B$3:$B$5001,H$102,BD!$A$3:$A$5001,_xlfn.MAXIFS(BD!$A$3:$A$5001,BD!$B$3:$B$5001,H$102,BD!$A$3:$A$5001,"&gt;="&amp;$C$7,BD!$A$3:$A$5001,"&lt;="&amp;$D$7,BD!$Z$3:$Z$5001,"&lt;&gt;"))),"—"))</f>
        <v/>
      </c>
      <c r="I127" s="42" t="str">
        <f>IF(I$102="","",IF(Config!$AA$42&lt;&gt;"Não",IF(COUNTIFS(BD!$B$3:$B$5001,I$102,BD!$A$3:$A$5001,"&gt;="&amp;$C$7,BD!$A$3:$A$5001,"&lt;="&amp;$D$7,BD!$Z$3:$Z$5001,"&lt;&gt;")=0,"",SUMIFS(BD!$Z$3:$Z$5001,BD!$B$3:$B$5001,I$102,BD!$A$3:$A$5001,_xlfn.MAXIFS(BD!$A$3:$A$5001,BD!$B$3:$B$5001,I$102,BD!$A$3:$A$5001,"&gt;="&amp;$C$7,BD!$A$3:$A$5001,"&lt;="&amp;$D$7,BD!$Z$3:$Z$5001,"&lt;&gt;"))),"—"))</f>
        <v/>
      </c>
      <c r="J127" s="42" t="str">
        <f>IF(J$102="","",IF(Config!$AA$43&lt;&gt;"Não",IF(COUNTIFS(BD!$B$3:$B$5001,J$102,BD!$A$3:$A$5001,"&gt;="&amp;$C$7,BD!$A$3:$A$5001,"&lt;="&amp;$D$7,BD!$Z$3:$Z$5001,"&lt;&gt;")=0,"",SUMIFS(BD!$Z$3:$Z$5001,BD!$B$3:$B$5001,J$102,BD!$A$3:$A$5001,_xlfn.MAXIFS(BD!$A$3:$A$5001,BD!$B$3:$B$5001,J$102,BD!$A$3:$A$5001,"&gt;="&amp;$C$7,BD!$A$3:$A$5001,"&lt;="&amp;$D$7,BD!$Z$3:$Z$5001,"&lt;&gt;"))),"—"))</f>
        <v/>
      </c>
      <c r="K127" s="42" t="str">
        <f>IF(K$102="","",IF(Config!$AA$44&lt;&gt;"Não",IF(COUNTIFS(BD!$B$3:$B$5001,K$102,BD!$A$3:$A$5001,"&gt;="&amp;$C$7,BD!$A$3:$A$5001,"&lt;="&amp;$D$7,BD!$Z$3:$Z$5001,"&lt;&gt;")=0,"",SUMIFS(BD!$Z$3:$Z$5001,BD!$B$3:$B$5001,K$102,BD!$A$3:$A$5001,_xlfn.MAXIFS(BD!$A$3:$A$5001,BD!$B$3:$B$5001,K$102,BD!$A$3:$A$5001,"&gt;="&amp;$C$7,BD!$A$3:$A$5001,"&lt;="&amp;$D$7,BD!$Z$3:$Z$5001,"&lt;&gt;"))),"—"))</f>
        <v/>
      </c>
      <c r="L127" s="42" t="str">
        <f>IF(L$102="","",IF(Config!$AA$45&lt;&gt;"Não",IF(COUNTIFS(BD!$B$3:$B$5001,L$102,BD!$A$3:$A$5001,"&gt;="&amp;$C$7,BD!$A$3:$A$5001,"&lt;="&amp;$D$7,BD!$Z$3:$Z$5001,"&lt;&gt;")=0,"",SUMIFS(BD!$Z$3:$Z$5001,BD!$B$3:$B$5001,L$102,BD!$A$3:$A$5001,_xlfn.MAXIFS(BD!$A$3:$A$5001,BD!$B$3:$B$5001,L$102,BD!$A$3:$A$5001,"&gt;="&amp;$C$7,BD!$A$3:$A$5001,"&lt;="&amp;$D$7,BD!$Z$3:$Z$5001,"&lt;&gt;"))),"—"))</f>
        <v/>
      </c>
      <c r="M127" s="42" t="str">
        <f>IF(M$102="","",IF(Config!$AA$46&lt;&gt;"Não",IF(COUNTIFS(BD!$B$3:$B$5001,M$102,BD!$A$3:$A$5001,"&gt;="&amp;$C$7,BD!$A$3:$A$5001,"&lt;="&amp;$D$7,BD!$Z$3:$Z$5001,"&lt;&gt;")=0,"",SUMIFS(BD!$Z$3:$Z$5001,BD!$B$3:$B$5001,M$102,BD!$A$3:$A$5001,_xlfn.MAXIFS(BD!$A$3:$A$5001,BD!$B$3:$B$5001,M$102,BD!$A$3:$A$5001,"&gt;="&amp;$C$7,BD!$A$3:$A$5001,"&lt;="&amp;$D$7,BD!$Z$3:$Z$5001,"&lt;&gt;"))),"—"))</f>
        <v/>
      </c>
      <c r="N127" s="42" t="str">
        <f>IF(N$102="","",IF(Config!$AA$47&lt;&gt;"Não",IF(COUNTIFS(BD!$B$3:$B$5001,N$102,BD!$A$3:$A$5001,"&gt;="&amp;$C$7,BD!$A$3:$A$5001,"&lt;="&amp;$D$7,BD!$Z$3:$Z$5001,"&lt;&gt;")=0,"",SUMIFS(BD!$Z$3:$Z$5001,BD!$B$3:$B$5001,N$102,BD!$A$3:$A$5001,_xlfn.MAXIFS(BD!$A$3:$A$5001,BD!$B$3:$B$5001,N$102,BD!$A$3:$A$5001,"&gt;="&amp;$C$7,BD!$A$3:$A$5001,"&lt;="&amp;$D$7,BD!$Z$3:$Z$5001,"&lt;&gt;"))),"—"))</f>
        <v/>
      </c>
      <c r="O127" s="42" t="str">
        <f>IF(O$102="","",IF(Config!$AA$48&lt;&gt;"Não",IF(COUNTIFS(BD!$B$3:$B$5001,O$102,BD!$A$3:$A$5001,"&gt;="&amp;$C$7,BD!$A$3:$A$5001,"&lt;="&amp;$D$7,BD!$Z$3:$Z$5001,"&lt;&gt;")=0,"",SUMIFS(BD!$Z$3:$Z$5001,BD!$B$3:$B$5001,O$102,BD!$A$3:$A$5001,_xlfn.MAXIFS(BD!$A$3:$A$5001,BD!$B$3:$B$5001,O$102,BD!$A$3:$A$5001,"&gt;="&amp;$C$7,BD!$A$3:$A$5001,"&lt;="&amp;$D$7,BD!$Z$3:$Z$5001,"&lt;&gt;"))),"—"))</f>
        <v/>
      </c>
      <c r="P127" s="42" t="str">
        <f>IF(P$102="","",IF(Config!$AA$49&lt;&gt;"Não",IF(COUNTIFS(BD!$B$3:$B$5001,P$102,BD!$A$3:$A$5001,"&gt;="&amp;$C$7,BD!$A$3:$A$5001,"&lt;="&amp;$D$7,BD!$Z$3:$Z$5001,"&lt;&gt;")=0,"",SUMIFS(BD!$Z$3:$Z$5001,BD!$B$3:$B$5001,P$102,BD!$A$3:$A$5001,_xlfn.MAXIFS(BD!$A$3:$A$5001,BD!$B$3:$B$5001,P$102,BD!$A$3:$A$5001,"&gt;="&amp;$C$7,BD!$A$3:$A$5001,"&lt;="&amp;$D$7,BD!$Z$3:$Z$5001,"&lt;&gt;"))),"—"))</f>
        <v/>
      </c>
      <c r="Q127" s="42" t="str">
        <f>IF(Q$102="","",IF(Config!$AA$50&lt;&gt;"Não",IF(COUNTIFS(BD!$B$3:$B$5001,Q$102,BD!$A$3:$A$5001,"&gt;="&amp;$C$7,BD!$A$3:$A$5001,"&lt;="&amp;$D$7,BD!$Z$3:$Z$5001,"&lt;&gt;")=0,"",SUMIFS(BD!$Z$3:$Z$5001,BD!$B$3:$B$5001,Q$102,BD!$A$3:$A$5001,_xlfn.MAXIFS(BD!$A$3:$A$5001,BD!$B$3:$B$5001,Q$102,BD!$A$3:$A$5001,"&gt;="&amp;$C$7,BD!$A$3:$A$5001,"&lt;="&amp;$D$7,BD!$Z$3:$Z$5001,"&lt;&gt;"))),"—"))</f>
        <v/>
      </c>
      <c r="R127" s="42" t="str">
        <f>IF(R$102="","",IF(Config!$AA$51&lt;&gt;"Não",IF(COUNTIFS(BD!$B$3:$B$5001,R$102,BD!$A$3:$A$5001,"&gt;="&amp;$C$7,BD!$A$3:$A$5001,"&lt;="&amp;$D$7,BD!$Z$3:$Z$5001,"&lt;&gt;")=0,"",SUMIFS(BD!$Z$3:$Z$5001,BD!$B$3:$B$5001,R$102,BD!$A$3:$A$5001,_xlfn.MAXIFS(BD!$A$3:$A$5001,BD!$B$3:$B$5001,R$102,BD!$A$3:$A$5001,"&gt;="&amp;$C$7,BD!$A$3:$A$5001,"&lt;="&amp;$D$7,BD!$Z$3:$Z$5001,"&lt;&gt;"))),"—"))</f>
        <v/>
      </c>
      <c r="S127" s="42" t="str">
        <f>IF(S$102="","",IF(Config!$AA$52&lt;&gt;"Não",IF(COUNTIFS(BD!$B$3:$B$5001,S$102,BD!$A$3:$A$5001,"&gt;="&amp;$C$7,BD!$A$3:$A$5001,"&lt;="&amp;$D$7,BD!$Z$3:$Z$5001,"&lt;&gt;")=0,"",SUMIFS(BD!$Z$3:$Z$5001,BD!$B$3:$B$5001,S$102,BD!$A$3:$A$5001,_xlfn.MAXIFS(BD!$A$3:$A$5001,BD!$B$3:$B$5001,S$102,BD!$A$3:$A$5001,"&gt;="&amp;$C$7,BD!$A$3:$A$5001,"&lt;="&amp;$D$7,BD!$Z$3:$Z$5001,"&lt;&gt;"))),"—"))</f>
        <v/>
      </c>
      <c r="T127" s="42" t="str">
        <f>IF(T$102="","",IF(Config!$AA$53&lt;&gt;"Não",IF(COUNTIFS(BD!$B$3:$B$5001,T$102,BD!$A$3:$A$5001,"&gt;="&amp;$C$7,BD!$A$3:$A$5001,"&lt;="&amp;$D$7,BD!$Z$3:$Z$5001,"&lt;&gt;")=0,"",SUMIFS(BD!$Z$3:$Z$5001,BD!$B$3:$B$5001,T$102,BD!$A$3:$A$5001,_xlfn.MAXIFS(BD!$A$3:$A$5001,BD!$B$3:$B$5001,T$102,BD!$A$3:$A$5001,"&gt;="&amp;$C$7,BD!$A$3:$A$5001,"&lt;="&amp;$D$7,BD!$Z$3:$Z$5001,"&lt;&gt;"))),"—"))</f>
        <v/>
      </c>
      <c r="U127" s="42" t="str">
        <f>IF(U$102="","",IF(Config!$AA$54&lt;&gt;"Não",IF(COUNTIFS(BD!$B$3:$B$5001,U$102,BD!$A$3:$A$5001,"&gt;="&amp;$C$7,BD!$A$3:$A$5001,"&lt;="&amp;$D$7,BD!$Z$3:$Z$5001,"&lt;&gt;")=0,"",SUMIFS(BD!$Z$3:$Z$5001,BD!$B$3:$B$5001,U$102,BD!$A$3:$A$5001,_xlfn.MAXIFS(BD!$A$3:$A$5001,BD!$B$3:$B$5001,U$102,BD!$A$3:$A$5001,"&gt;="&amp;$C$7,BD!$A$3:$A$5001,"&lt;="&amp;$D$7,BD!$Z$3:$Z$5001,"&lt;&gt;"))),"—"))</f>
        <v/>
      </c>
      <c r="V127" s="73">
        <f>SUM(B127:U127)</f>
        <v>0</v>
      </c>
    </row>
    <row r="128">
      <c r="A128" s="40" t="inlineStr">
        <is>
          <t xml:space="preserve">GENTE · Falta</t>
        </is>
      </c>
      <c r="B128" s="42">
        <f>IF(B$102="","",IF(Config!$AB$35&lt;&gt;"Não",SUMIFS(BD!$AA$3:$AA$5001,BD!$B$3:$B$5001,B$102,BD!$A$3:$A$5001,"&gt;="&amp;$C$7,BD!$A$3:$A$5001,"&lt;="&amp;$D$7),"—"))</f>
        <v>0</v>
      </c>
      <c r="C128" s="42">
        <f>IF(C$102="","",IF(Config!$AB$36&lt;&gt;"Não",SUMIFS(BD!$AA$3:$AA$5001,BD!$B$3:$B$5001,C$102,BD!$A$3:$A$5001,"&gt;="&amp;$C$7,BD!$A$3:$A$5001,"&lt;="&amp;$D$7),"—"))</f>
        <v>0</v>
      </c>
      <c r="D128" s="42">
        <f>IF(D$102="","",IF(Config!$AB$37&lt;&gt;"Não",SUMIFS(BD!$AA$3:$AA$5001,BD!$B$3:$B$5001,D$102,BD!$A$3:$A$5001,"&gt;="&amp;$C$7,BD!$A$3:$A$5001,"&lt;="&amp;$D$7),"—"))</f>
        <v>0</v>
      </c>
      <c r="E128" s="42">
        <f>IF(E$102="","",IF(Config!$AB$38&lt;&gt;"Não",SUMIFS(BD!$AA$3:$AA$5001,BD!$B$3:$B$5001,E$102,BD!$A$3:$A$5001,"&gt;="&amp;$C$7,BD!$A$3:$A$5001,"&lt;="&amp;$D$7),"—"))</f>
        <v>0</v>
      </c>
      <c r="F128" s="42">
        <f>IF(F$102="","",IF(Config!$AB$39&lt;&gt;"Não",SUMIFS(BD!$AA$3:$AA$5001,BD!$B$3:$B$5001,F$102,BD!$A$3:$A$5001,"&gt;="&amp;$C$7,BD!$A$3:$A$5001,"&lt;="&amp;$D$7),"—"))</f>
        <v>0</v>
      </c>
      <c r="G128" s="42">
        <f>IF(G$102="","",IF(Config!$AB$40&lt;&gt;"Não",SUMIFS(BD!$AA$3:$AA$5001,BD!$B$3:$B$5001,G$102,BD!$A$3:$A$5001,"&gt;="&amp;$C$7,BD!$A$3:$A$5001,"&lt;="&amp;$D$7),"—"))</f>
        <v>0</v>
      </c>
      <c r="H128" s="42">
        <f>IF(H$102="","",IF(Config!$AB$41&lt;&gt;"Não",SUMIFS(BD!$AA$3:$AA$5001,BD!$B$3:$B$5001,H$102,BD!$A$3:$A$5001,"&gt;="&amp;$C$7,BD!$A$3:$A$5001,"&lt;="&amp;$D$7),"—"))</f>
        <v>0</v>
      </c>
      <c r="I128" s="42">
        <f>IF(I$102="","",IF(Config!$AB$42&lt;&gt;"Não",SUMIFS(BD!$AA$3:$AA$5001,BD!$B$3:$B$5001,I$102,BD!$A$3:$A$5001,"&gt;="&amp;$C$7,BD!$A$3:$A$5001,"&lt;="&amp;$D$7),"—"))</f>
        <v>0</v>
      </c>
      <c r="J128" s="42">
        <f>IF(J$102="","",IF(Config!$AB$43&lt;&gt;"Não",SUMIFS(BD!$AA$3:$AA$5001,BD!$B$3:$B$5001,J$102,BD!$A$3:$A$5001,"&gt;="&amp;$C$7,BD!$A$3:$A$5001,"&lt;="&amp;$D$7),"—"))</f>
        <v>0</v>
      </c>
      <c r="K128" s="42">
        <f>IF(K$102="","",IF(Config!$AB$44&lt;&gt;"Não",SUMIFS(BD!$AA$3:$AA$5001,BD!$B$3:$B$5001,K$102,BD!$A$3:$A$5001,"&gt;="&amp;$C$7,BD!$A$3:$A$5001,"&lt;="&amp;$D$7),"—"))</f>
        <v>0</v>
      </c>
      <c r="L128" s="42" t="str">
        <f>IF(L$102="","",IF(Config!$AB$45&lt;&gt;"Não",SUMIFS(BD!$AA$3:$AA$5001,BD!$B$3:$B$5001,L$102,BD!$A$3:$A$5001,"&gt;="&amp;$C$7,BD!$A$3:$A$5001,"&lt;="&amp;$D$7),"—"))</f>
        <v/>
      </c>
      <c r="M128" s="42" t="str">
        <f>IF(M$102="","",IF(Config!$AB$46&lt;&gt;"Não",SUMIFS(BD!$AA$3:$AA$5001,BD!$B$3:$B$5001,M$102,BD!$A$3:$A$5001,"&gt;="&amp;$C$7,BD!$A$3:$A$5001,"&lt;="&amp;$D$7),"—"))</f>
        <v/>
      </c>
      <c r="N128" s="42" t="str">
        <f>IF(N$102="","",IF(Config!$AB$47&lt;&gt;"Não",SUMIFS(BD!$AA$3:$AA$5001,BD!$B$3:$B$5001,N$102,BD!$A$3:$A$5001,"&gt;="&amp;$C$7,BD!$A$3:$A$5001,"&lt;="&amp;$D$7),"—"))</f>
        <v/>
      </c>
      <c r="O128" s="42" t="str">
        <f>IF(O$102="","",IF(Config!$AB$48&lt;&gt;"Não",SUMIFS(BD!$AA$3:$AA$5001,BD!$B$3:$B$5001,O$102,BD!$A$3:$A$5001,"&gt;="&amp;$C$7,BD!$A$3:$A$5001,"&lt;="&amp;$D$7),"—"))</f>
        <v/>
      </c>
      <c r="P128" s="42" t="str">
        <f>IF(P$102="","",IF(Config!$AB$49&lt;&gt;"Não",SUMIFS(BD!$AA$3:$AA$5001,BD!$B$3:$B$5001,P$102,BD!$A$3:$A$5001,"&gt;="&amp;$C$7,BD!$A$3:$A$5001,"&lt;="&amp;$D$7),"—"))</f>
        <v/>
      </c>
      <c r="Q128" s="42" t="str">
        <f>IF(Q$102="","",IF(Config!$AB$50&lt;&gt;"Não",SUMIFS(BD!$AA$3:$AA$5001,BD!$B$3:$B$5001,Q$102,BD!$A$3:$A$5001,"&gt;="&amp;$C$7,BD!$A$3:$A$5001,"&lt;="&amp;$D$7),"—"))</f>
        <v/>
      </c>
      <c r="R128" s="42" t="str">
        <f>IF(R$102="","",IF(Config!$AB$51&lt;&gt;"Não",SUMIFS(BD!$AA$3:$AA$5001,BD!$B$3:$B$5001,R$102,BD!$A$3:$A$5001,"&gt;="&amp;$C$7,BD!$A$3:$A$5001,"&lt;="&amp;$D$7),"—"))</f>
        <v/>
      </c>
      <c r="S128" s="42" t="str">
        <f>IF(S$102="","",IF(Config!$AB$52&lt;&gt;"Não",SUMIFS(BD!$AA$3:$AA$5001,BD!$B$3:$B$5001,S$102,BD!$A$3:$A$5001,"&gt;="&amp;$C$7,BD!$A$3:$A$5001,"&lt;="&amp;$D$7),"—"))</f>
        <v/>
      </c>
      <c r="T128" s="42" t="str">
        <f>IF(T$102="","",IF(Config!$AB$53&lt;&gt;"Não",SUMIFS(BD!$AA$3:$AA$5001,BD!$B$3:$B$5001,T$102,BD!$A$3:$A$5001,"&gt;="&amp;$C$7,BD!$A$3:$A$5001,"&lt;="&amp;$D$7),"—"))</f>
        <v/>
      </c>
      <c r="U128" s="42" t="str">
        <f>IF(U$102="","",IF(Config!$AB$54&lt;&gt;"Não",SUMIFS(BD!$AA$3:$AA$5001,BD!$B$3:$B$5001,U$102,BD!$A$3:$A$5001,"&gt;="&amp;$C$7,BD!$A$3:$A$5001,"&lt;="&amp;$D$7),"—"))</f>
        <v/>
      </c>
      <c r="V128" s="73">
        <f>SUM(B128:U128)</f>
        <v>0</v>
      </c>
    </row>
    <row r="129">
      <c r="A129" s="40" t="inlineStr">
        <is>
          <t xml:space="preserve">GENTE · Absenteísmo (H/H)</t>
        </is>
      </c>
      <c r="B129" s="72">
        <f>IF(B$102="","",IF(Config!$AC$35&lt;&gt;"Não",SUMIFS(BD!$AB$3:$AB$5001,BD!$B$3:$B$5001,B$102,BD!$A$3:$A$5001,"&gt;="&amp;$C$7,BD!$A$3:$A$5001,"&lt;="&amp;$D$7),"—"))</f>
        <v>0</v>
      </c>
      <c r="C129" s="72">
        <f>IF(C$102="","",IF(Config!$AC$36&lt;&gt;"Não",SUMIFS(BD!$AB$3:$AB$5001,BD!$B$3:$B$5001,C$102,BD!$A$3:$A$5001,"&gt;="&amp;$C$7,BD!$A$3:$A$5001,"&lt;="&amp;$D$7),"—"))</f>
        <v>0</v>
      </c>
      <c r="D129" s="72">
        <f>IF(D$102="","",IF(Config!$AC$37&lt;&gt;"Não",SUMIFS(BD!$AB$3:$AB$5001,BD!$B$3:$B$5001,D$102,BD!$A$3:$A$5001,"&gt;="&amp;$C$7,BD!$A$3:$A$5001,"&lt;="&amp;$D$7),"—"))</f>
        <v>0</v>
      </c>
      <c r="E129" s="72">
        <f>IF(E$102="","",IF(Config!$AC$38&lt;&gt;"Não",SUMIFS(BD!$AB$3:$AB$5001,BD!$B$3:$B$5001,E$102,BD!$A$3:$A$5001,"&gt;="&amp;$C$7,BD!$A$3:$A$5001,"&lt;="&amp;$D$7),"—"))</f>
        <v>0</v>
      </c>
      <c r="F129" s="72">
        <f>IF(F$102="","",IF(Config!$AC$39&lt;&gt;"Não",SUMIFS(BD!$AB$3:$AB$5001,BD!$B$3:$B$5001,F$102,BD!$A$3:$A$5001,"&gt;="&amp;$C$7,BD!$A$3:$A$5001,"&lt;="&amp;$D$7),"—"))</f>
        <v>0</v>
      </c>
      <c r="G129" s="72">
        <f>IF(G$102="","",IF(Config!$AC$40&lt;&gt;"Não",SUMIFS(BD!$AB$3:$AB$5001,BD!$B$3:$B$5001,G$102,BD!$A$3:$A$5001,"&gt;="&amp;$C$7,BD!$A$3:$A$5001,"&lt;="&amp;$D$7),"—"))</f>
        <v>0</v>
      </c>
      <c r="H129" s="72">
        <f>IF(H$102="","",IF(Config!$AC$41&lt;&gt;"Não",SUMIFS(BD!$AB$3:$AB$5001,BD!$B$3:$B$5001,H$102,BD!$A$3:$A$5001,"&gt;="&amp;$C$7,BD!$A$3:$A$5001,"&lt;="&amp;$D$7),"—"))</f>
        <v>0</v>
      </c>
      <c r="I129" s="72">
        <f>IF(I$102="","",IF(Config!$AC$42&lt;&gt;"Não",SUMIFS(BD!$AB$3:$AB$5001,BD!$B$3:$B$5001,I$102,BD!$A$3:$A$5001,"&gt;="&amp;$C$7,BD!$A$3:$A$5001,"&lt;="&amp;$D$7),"—"))</f>
        <v>0</v>
      </c>
      <c r="J129" s="72">
        <f>IF(J$102="","",IF(Config!$AC$43&lt;&gt;"Não",SUMIFS(BD!$AB$3:$AB$5001,BD!$B$3:$B$5001,J$102,BD!$A$3:$A$5001,"&gt;="&amp;$C$7,BD!$A$3:$A$5001,"&lt;="&amp;$D$7),"—"))</f>
        <v>0</v>
      </c>
      <c r="K129" s="72">
        <f>IF(K$102="","",IF(Config!$AC$44&lt;&gt;"Não",SUMIFS(BD!$AB$3:$AB$5001,BD!$B$3:$B$5001,K$102,BD!$A$3:$A$5001,"&gt;="&amp;$C$7,BD!$A$3:$A$5001,"&lt;="&amp;$D$7),"—"))</f>
        <v>0</v>
      </c>
      <c r="L129" s="72" t="str">
        <f>IF(L$102="","",IF(Config!$AC$45&lt;&gt;"Não",SUMIFS(BD!$AB$3:$AB$5001,BD!$B$3:$B$5001,L$102,BD!$A$3:$A$5001,"&gt;="&amp;$C$7,BD!$A$3:$A$5001,"&lt;="&amp;$D$7),"—"))</f>
        <v/>
      </c>
      <c r="M129" s="72" t="str">
        <f>IF(M$102="","",IF(Config!$AC$46&lt;&gt;"Não",SUMIFS(BD!$AB$3:$AB$5001,BD!$B$3:$B$5001,M$102,BD!$A$3:$A$5001,"&gt;="&amp;$C$7,BD!$A$3:$A$5001,"&lt;="&amp;$D$7),"—"))</f>
        <v/>
      </c>
      <c r="N129" s="72" t="str">
        <f>IF(N$102="","",IF(Config!$AC$47&lt;&gt;"Não",SUMIFS(BD!$AB$3:$AB$5001,BD!$B$3:$B$5001,N$102,BD!$A$3:$A$5001,"&gt;="&amp;$C$7,BD!$A$3:$A$5001,"&lt;="&amp;$D$7),"—"))</f>
        <v/>
      </c>
      <c r="O129" s="72" t="str">
        <f>IF(O$102="","",IF(Config!$AC$48&lt;&gt;"Não",SUMIFS(BD!$AB$3:$AB$5001,BD!$B$3:$B$5001,O$102,BD!$A$3:$A$5001,"&gt;="&amp;$C$7,BD!$A$3:$A$5001,"&lt;="&amp;$D$7),"—"))</f>
        <v/>
      </c>
      <c r="P129" s="72" t="str">
        <f>IF(P$102="","",IF(Config!$AC$49&lt;&gt;"Não",SUMIFS(BD!$AB$3:$AB$5001,BD!$B$3:$B$5001,P$102,BD!$A$3:$A$5001,"&gt;="&amp;$C$7,BD!$A$3:$A$5001,"&lt;="&amp;$D$7),"—"))</f>
        <v/>
      </c>
      <c r="Q129" s="72" t="str">
        <f>IF(Q$102="","",IF(Config!$AC$50&lt;&gt;"Não",SUMIFS(BD!$AB$3:$AB$5001,BD!$B$3:$B$5001,Q$102,BD!$A$3:$A$5001,"&gt;="&amp;$C$7,BD!$A$3:$A$5001,"&lt;="&amp;$D$7),"—"))</f>
        <v/>
      </c>
      <c r="R129" s="72" t="str">
        <f>IF(R$102="","",IF(Config!$AC$51&lt;&gt;"Não",SUMIFS(BD!$AB$3:$AB$5001,BD!$B$3:$B$5001,R$102,BD!$A$3:$A$5001,"&gt;="&amp;$C$7,BD!$A$3:$A$5001,"&lt;="&amp;$D$7),"—"))</f>
        <v/>
      </c>
      <c r="S129" s="72" t="str">
        <f>IF(S$102="","",IF(Config!$AC$52&lt;&gt;"Não",SUMIFS(BD!$AB$3:$AB$5001,BD!$B$3:$B$5001,S$102,BD!$A$3:$A$5001,"&gt;="&amp;$C$7,BD!$A$3:$A$5001,"&lt;="&amp;$D$7),"—"))</f>
        <v/>
      </c>
      <c r="T129" s="72" t="str">
        <f>IF(T$102="","",IF(Config!$AC$53&lt;&gt;"Não",SUMIFS(BD!$AB$3:$AB$5001,BD!$B$3:$B$5001,T$102,BD!$A$3:$A$5001,"&gt;="&amp;$C$7,BD!$A$3:$A$5001,"&lt;="&amp;$D$7),"—"))</f>
        <v/>
      </c>
      <c r="U129" s="72" t="str">
        <f>IF(U$102="","",IF(Config!$AC$54&lt;&gt;"Não",SUMIFS(BD!$AB$3:$AB$5001,BD!$B$3:$B$5001,U$102,BD!$A$3:$A$5001,"&gt;="&amp;$C$7,BD!$A$3:$A$5001,"&lt;="&amp;$D$7),"—"))</f>
        <v/>
      </c>
      <c r="V129" s="74">
        <f>SUM(B129:U129)</f>
        <v>0</v>
      </c>
    </row>
    <row r="130">
      <c r="A130" s="40" t="inlineStr">
        <is>
          <t xml:space="preserve">GENTE · Folga</t>
        </is>
      </c>
      <c r="B130" s="42">
        <f>IF(B$102="","",IF(Config!$AD$35&lt;&gt;"Não",SUMIFS(BD!$AC$3:$AC$5001,BD!$B$3:$B$5001,B$102,BD!$A$3:$A$5001,"&gt;="&amp;$C$7,BD!$A$3:$A$5001,"&lt;="&amp;$D$7),"—"))</f>
        <v>0</v>
      </c>
      <c r="C130" s="42">
        <f>IF(C$102="","",IF(Config!$AD$36&lt;&gt;"Não",SUMIFS(BD!$AC$3:$AC$5001,BD!$B$3:$B$5001,C$102,BD!$A$3:$A$5001,"&gt;="&amp;$C$7,BD!$A$3:$A$5001,"&lt;="&amp;$D$7),"—"))</f>
        <v>0</v>
      </c>
      <c r="D130" s="42">
        <f>IF(D$102="","",IF(Config!$AD$37&lt;&gt;"Não",SUMIFS(BD!$AC$3:$AC$5001,BD!$B$3:$B$5001,D$102,BD!$A$3:$A$5001,"&gt;="&amp;$C$7,BD!$A$3:$A$5001,"&lt;="&amp;$D$7),"—"))</f>
        <v>0</v>
      </c>
      <c r="E130" s="42">
        <f>IF(E$102="","",IF(Config!$AD$38&lt;&gt;"Não",SUMIFS(BD!$AC$3:$AC$5001,BD!$B$3:$B$5001,E$102,BD!$A$3:$A$5001,"&gt;="&amp;$C$7,BD!$A$3:$A$5001,"&lt;="&amp;$D$7),"—"))</f>
        <v>0</v>
      </c>
      <c r="F130" s="42">
        <f>IF(F$102="","",IF(Config!$AD$39&lt;&gt;"Não",SUMIFS(BD!$AC$3:$AC$5001,BD!$B$3:$B$5001,F$102,BD!$A$3:$A$5001,"&gt;="&amp;$C$7,BD!$A$3:$A$5001,"&lt;="&amp;$D$7),"—"))</f>
        <v>0</v>
      </c>
      <c r="G130" s="42">
        <f>IF(G$102="","",IF(Config!$AD$40&lt;&gt;"Não",SUMIFS(BD!$AC$3:$AC$5001,BD!$B$3:$B$5001,G$102,BD!$A$3:$A$5001,"&gt;="&amp;$C$7,BD!$A$3:$A$5001,"&lt;="&amp;$D$7),"—"))</f>
        <v>0</v>
      </c>
      <c r="H130" s="42">
        <f>IF(H$102="","",IF(Config!$AD$41&lt;&gt;"Não",SUMIFS(BD!$AC$3:$AC$5001,BD!$B$3:$B$5001,H$102,BD!$A$3:$A$5001,"&gt;="&amp;$C$7,BD!$A$3:$A$5001,"&lt;="&amp;$D$7),"—"))</f>
        <v>0</v>
      </c>
      <c r="I130" s="42">
        <f>IF(I$102="","",IF(Config!$AD$42&lt;&gt;"Não",SUMIFS(BD!$AC$3:$AC$5001,BD!$B$3:$B$5001,I$102,BD!$A$3:$A$5001,"&gt;="&amp;$C$7,BD!$A$3:$A$5001,"&lt;="&amp;$D$7),"—"))</f>
        <v>0</v>
      </c>
      <c r="J130" s="42">
        <f>IF(J$102="","",IF(Config!$AD$43&lt;&gt;"Não",SUMIFS(BD!$AC$3:$AC$5001,BD!$B$3:$B$5001,J$102,BD!$A$3:$A$5001,"&gt;="&amp;$C$7,BD!$A$3:$A$5001,"&lt;="&amp;$D$7),"—"))</f>
        <v>0</v>
      </c>
      <c r="K130" s="42">
        <f>IF(K$102="","",IF(Config!$AD$44&lt;&gt;"Não",SUMIFS(BD!$AC$3:$AC$5001,BD!$B$3:$B$5001,K$102,BD!$A$3:$A$5001,"&gt;="&amp;$C$7,BD!$A$3:$A$5001,"&lt;="&amp;$D$7),"—"))</f>
        <v>0</v>
      </c>
      <c r="L130" s="42" t="str">
        <f>IF(L$102="","",IF(Config!$AD$45&lt;&gt;"Não",SUMIFS(BD!$AC$3:$AC$5001,BD!$B$3:$B$5001,L$102,BD!$A$3:$A$5001,"&gt;="&amp;$C$7,BD!$A$3:$A$5001,"&lt;="&amp;$D$7),"—"))</f>
        <v/>
      </c>
      <c r="M130" s="42" t="str">
        <f>IF(M$102="","",IF(Config!$AD$46&lt;&gt;"Não",SUMIFS(BD!$AC$3:$AC$5001,BD!$B$3:$B$5001,M$102,BD!$A$3:$A$5001,"&gt;="&amp;$C$7,BD!$A$3:$A$5001,"&lt;="&amp;$D$7),"—"))</f>
        <v/>
      </c>
      <c r="N130" s="42" t="str">
        <f>IF(N$102="","",IF(Config!$AD$47&lt;&gt;"Não",SUMIFS(BD!$AC$3:$AC$5001,BD!$B$3:$B$5001,N$102,BD!$A$3:$A$5001,"&gt;="&amp;$C$7,BD!$A$3:$A$5001,"&lt;="&amp;$D$7),"—"))</f>
        <v/>
      </c>
      <c r="O130" s="42" t="str">
        <f>IF(O$102="","",IF(Config!$AD$48&lt;&gt;"Não",SUMIFS(BD!$AC$3:$AC$5001,BD!$B$3:$B$5001,O$102,BD!$A$3:$A$5001,"&gt;="&amp;$C$7,BD!$A$3:$A$5001,"&lt;="&amp;$D$7),"—"))</f>
        <v/>
      </c>
      <c r="P130" s="42" t="str">
        <f>IF(P$102="","",IF(Config!$AD$49&lt;&gt;"Não",SUMIFS(BD!$AC$3:$AC$5001,BD!$B$3:$B$5001,P$102,BD!$A$3:$A$5001,"&gt;="&amp;$C$7,BD!$A$3:$A$5001,"&lt;="&amp;$D$7),"—"))</f>
        <v/>
      </c>
      <c r="Q130" s="42" t="str">
        <f>IF(Q$102="","",IF(Config!$AD$50&lt;&gt;"Não",SUMIFS(BD!$AC$3:$AC$5001,BD!$B$3:$B$5001,Q$102,BD!$A$3:$A$5001,"&gt;="&amp;$C$7,BD!$A$3:$A$5001,"&lt;="&amp;$D$7),"—"))</f>
        <v/>
      </c>
      <c r="R130" s="42" t="str">
        <f>IF(R$102="","",IF(Config!$AD$51&lt;&gt;"Não",SUMIFS(BD!$AC$3:$AC$5001,BD!$B$3:$B$5001,R$102,BD!$A$3:$A$5001,"&gt;="&amp;$C$7,BD!$A$3:$A$5001,"&lt;="&amp;$D$7),"—"))</f>
        <v/>
      </c>
      <c r="S130" s="42" t="str">
        <f>IF(S$102="","",IF(Config!$AD$52&lt;&gt;"Não",SUMIFS(BD!$AC$3:$AC$5001,BD!$B$3:$B$5001,S$102,BD!$A$3:$A$5001,"&gt;="&amp;$C$7,BD!$A$3:$A$5001,"&lt;="&amp;$D$7),"—"))</f>
        <v/>
      </c>
      <c r="T130" s="42" t="str">
        <f>IF(T$102="","",IF(Config!$AD$53&lt;&gt;"Não",SUMIFS(BD!$AC$3:$AC$5001,BD!$B$3:$B$5001,T$102,BD!$A$3:$A$5001,"&gt;="&amp;$C$7,BD!$A$3:$A$5001,"&lt;="&amp;$D$7),"—"))</f>
        <v/>
      </c>
      <c r="U130" s="42" t="str">
        <f>IF(U$102="","",IF(Config!$AD$54&lt;&gt;"Não",SUMIFS(BD!$AC$3:$AC$5001,BD!$B$3:$B$5001,U$102,BD!$A$3:$A$5001,"&gt;="&amp;$C$7,BD!$A$3:$A$5001,"&lt;="&amp;$D$7),"—"))</f>
        <v/>
      </c>
      <c r="V130" s="73">
        <f>SUM(B130:U130)</f>
        <v>0</v>
      </c>
    </row>
    <row r="131">
      <c r="A131" s="40" t="inlineStr">
        <is>
          <t xml:space="preserve">GENTE · Férias</t>
        </is>
      </c>
      <c r="B131" s="42">
        <f>IF(B$102="","",IF(Config!$AE$35&lt;&gt;"Não",SUMIFS(BD!$AD$3:$AD$5001,BD!$B$3:$B$5001,B$102,BD!$A$3:$A$5001,"&gt;="&amp;$C$7,BD!$A$3:$A$5001,"&lt;="&amp;$D$7),"—"))</f>
        <v>0</v>
      </c>
      <c r="C131" s="42">
        <f>IF(C$102="","",IF(Config!$AE$36&lt;&gt;"Não",SUMIFS(BD!$AD$3:$AD$5001,BD!$B$3:$B$5001,C$102,BD!$A$3:$A$5001,"&gt;="&amp;$C$7,BD!$A$3:$A$5001,"&lt;="&amp;$D$7),"—"))</f>
        <v>0</v>
      </c>
      <c r="D131" s="42">
        <f>IF(D$102="","",IF(Config!$AE$37&lt;&gt;"Não",SUMIFS(BD!$AD$3:$AD$5001,BD!$B$3:$B$5001,D$102,BD!$A$3:$A$5001,"&gt;="&amp;$C$7,BD!$A$3:$A$5001,"&lt;="&amp;$D$7),"—"))</f>
        <v>0</v>
      </c>
      <c r="E131" s="42">
        <f>IF(E$102="","",IF(Config!$AE$38&lt;&gt;"Não",SUMIFS(BD!$AD$3:$AD$5001,BD!$B$3:$B$5001,E$102,BD!$A$3:$A$5001,"&gt;="&amp;$C$7,BD!$A$3:$A$5001,"&lt;="&amp;$D$7),"—"))</f>
        <v>0</v>
      </c>
      <c r="F131" s="42">
        <f>IF(F$102="","",IF(Config!$AE$39&lt;&gt;"Não",SUMIFS(BD!$AD$3:$AD$5001,BD!$B$3:$B$5001,F$102,BD!$A$3:$A$5001,"&gt;="&amp;$C$7,BD!$A$3:$A$5001,"&lt;="&amp;$D$7),"—"))</f>
        <v>0</v>
      </c>
      <c r="G131" s="42">
        <f>IF(G$102="","",IF(Config!$AE$40&lt;&gt;"Não",SUMIFS(BD!$AD$3:$AD$5001,BD!$B$3:$B$5001,G$102,BD!$A$3:$A$5001,"&gt;="&amp;$C$7,BD!$A$3:$A$5001,"&lt;="&amp;$D$7),"—"))</f>
        <v>0</v>
      </c>
      <c r="H131" s="42">
        <f>IF(H$102="","",IF(Config!$AE$41&lt;&gt;"Não",SUMIFS(BD!$AD$3:$AD$5001,BD!$B$3:$B$5001,H$102,BD!$A$3:$A$5001,"&gt;="&amp;$C$7,BD!$A$3:$A$5001,"&lt;="&amp;$D$7),"—"))</f>
        <v>0</v>
      </c>
      <c r="I131" s="42">
        <f>IF(I$102="","",IF(Config!$AE$42&lt;&gt;"Não",SUMIFS(BD!$AD$3:$AD$5001,BD!$B$3:$B$5001,I$102,BD!$A$3:$A$5001,"&gt;="&amp;$C$7,BD!$A$3:$A$5001,"&lt;="&amp;$D$7),"—"))</f>
        <v>0</v>
      </c>
      <c r="J131" s="42">
        <f>IF(J$102="","",IF(Config!$AE$43&lt;&gt;"Não",SUMIFS(BD!$AD$3:$AD$5001,BD!$B$3:$B$5001,J$102,BD!$A$3:$A$5001,"&gt;="&amp;$C$7,BD!$A$3:$A$5001,"&lt;="&amp;$D$7),"—"))</f>
        <v>0</v>
      </c>
      <c r="K131" s="42">
        <f>IF(K$102="","",IF(Config!$AE$44&lt;&gt;"Não",SUMIFS(BD!$AD$3:$AD$5001,BD!$B$3:$B$5001,K$102,BD!$A$3:$A$5001,"&gt;="&amp;$C$7,BD!$A$3:$A$5001,"&lt;="&amp;$D$7),"—"))</f>
        <v>0</v>
      </c>
      <c r="L131" s="42" t="str">
        <f>IF(L$102="","",IF(Config!$AE$45&lt;&gt;"Não",SUMIFS(BD!$AD$3:$AD$5001,BD!$B$3:$B$5001,L$102,BD!$A$3:$A$5001,"&gt;="&amp;$C$7,BD!$A$3:$A$5001,"&lt;="&amp;$D$7),"—"))</f>
        <v/>
      </c>
      <c r="M131" s="42" t="str">
        <f>IF(M$102="","",IF(Config!$AE$46&lt;&gt;"Não",SUMIFS(BD!$AD$3:$AD$5001,BD!$B$3:$B$5001,M$102,BD!$A$3:$A$5001,"&gt;="&amp;$C$7,BD!$A$3:$A$5001,"&lt;="&amp;$D$7),"—"))</f>
        <v/>
      </c>
      <c r="N131" s="42" t="str">
        <f>IF(N$102="","",IF(Config!$AE$47&lt;&gt;"Não",SUMIFS(BD!$AD$3:$AD$5001,BD!$B$3:$B$5001,N$102,BD!$A$3:$A$5001,"&gt;="&amp;$C$7,BD!$A$3:$A$5001,"&lt;="&amp;$D$7),"—"))</f>
        <v/>
      </c>
      <c r="O131" s="42" t="str">
        <f>IF(O$102="","",IF(Config!$AE$48&lt;&gt;"Não",SUMIFS(BD!$AD$3:$AD$5001,BD!$B$3:$B$5001,O$102,BD!$A$3:$A$5001,"&gt;="&amp;$C$7,BD!$A$3:$A$5001,"&lt;="&amp;$D$7),"—"))</f>
        <v/>
      </c>
      <c r="P131" s="42" t="str">
        <f>IF(P$102="","",IF(Config!$AE$49&lt;&gt;"Não",SUMIFS(BD!$AD$3:$AD$5001,BD!$B$3:$B$5001,P$102,BD!$A$3:$A$5001,"&gt;="&amp;$C$7,BD!$A$3:$A$5001,"&lt;="&amp;$D$7),"—"))</f>
        <v/>
      </c>
      <c r="Q131" s="42" t="str">
        <f>IF(Q$102="","",IF(Config!$AE$50&lt;&gt;"Não",SUMIFS(BD!$AD$3:$AD$5001,BD!$B$3:$B$5001,Q$102,BD!$A$3:$A$5001,"&gt;="&amp;$C$7,BD!$A$3:$A$5001,"&lt;="&amp;$D$7),"—"))</f>
        <v/>
      </c>
      <c r="R131" s="42" t="str">
        <f>IF(R$102="","",IF(Config!$AE$51&lt;&gt;"Não",SUMIFS(BD!$AD$3:$AD$5001,BD!$B$3:$B$5001,R$102,BD!$A$3:$A$5001,"&gt;="&amp;$C$7,BD!$A$3:$A$5001,"&lt;="&amp;$D$7),"—"))</f>
        <v/>
      </c>
      <c r="S131" s="42" t="str">
        <f>IF(S$102="","",IF(Config!$AE$52&lt;&gt;"Não",SUMIFS(BD!$AD$3:$AD$5001,BD!$B$3:$B$5001,S$102,BD!$A$3:$A$5001,"&gt;="&amp;$C$7,BD!$A$3:$A$5001,"&lt;="&amp;$D$7),"—"))</f>
        <v/>
      </c>
      <c r="T131" s="42" t="str">
        <f>IF(T$102="","",IF(Config!$AE$53&lt;&gt;"Não",SUMIFS(BD!$AD$3:$AD$5001,BD!$B$3:$B$5001,T$102,BD!$A$3:$A$5001,"&gt;="&amp;$C$7,BD!$A$3:$A$5001,"&lt;="&amp;$D$7),"—"))</f>
        <v/>
      </c>
      <c r="U131" s="42" t="str">
        <f>IF(U$102="","",IF(Config!$AE$54&lt;&gt;"Não",SUMIFS(BD!$AD$3:$AD$5001,BD!$B$3:$B$5001,U$102,BD!$A$3:$A$5001,"&gt;="&amp;$C$7,BD!$A$3:$A$5001,"&lt;="&amp;$D$7),"—"))</f>
        <v/>
      </c>
      <c r="V131" s="73">
        <f>SUM(B131:U131)</f>
        <v>0</v>
      </c>
    </row>
    <row r="132">
      <c r="A132" s="40" t="inlineStr">
        <is>
          <t xml:space="preserve">GENTE · Desligamento</t>
        </is>
      </c>
      <c r="B132" s="42">
        <f>IF(B$102="","",IF(Config!$AF$35&lt;&gt;"Não",SUMIFS(BD!$AE$3:$AE$5001,BD!$B$3:$B$5001,B$102,BD!$A$3:$A$5001,"&gt;="&amp;$C$7,BD!$A$3:$A$5001,"&lt;="&amp;$D$7),"—"))</f>
        <v>0</v>
      </c>
      <c r="C132" s="42">
        <f>IF(C$102="","",IF(Config!$AF$36&lt;&gt;"Não",SUMIFS(BD!$AE$3:$AE$5001,BD!$B$3:$B$5001,C$102,BD!$A$3:$A$5001,"&gt;="&amp;$C$7,BD!$A$3:$A$5001,"&lt;="&amp;$D$7),"—"))</f>
        <v>0</v>
      </c>
      <c r="D132" s="42">
        <f>IF(D$102="","",IF(Config!$AF$37&lt;&gt;"Não",SUMIFS(BD!$AE$3:$AE$5001,BD!$B$3:$B$5001,D$102,BD!$A$3:$A$5001,"&gt;="&amp;$C$7,BD!$A$3:$A$5001,"&lt;="&amp;$D$7),"—"))</f>
        <v>0</v>
      </c>
      <c r="E132" s="42">
        <f>IF(E$102="","",IF(Config!$AF$38&lt;&gt;"Não",SUMIFS(BD!$AE$3:$AE$5001,BD!$B$3:$B$5001,E$102,BD!$A$3:$A$5001,"&gt;="&amp;$C$7,BD!$A$3:$A$5001,"&lt;="&amp;$D$7),"—"))</f>
        <v>0</v>
      </c>
      <c r="F132" s="42">
        <f>IF(F$102="","",IF(Config!$AF$39&lt;&gt;"Não",SUMIFS(BD!$AE$3:$AE$5001,BD!$B$3:$B$5001,F$102,BD!$A$3:$A$5001,"&gt;="&amp;$C$7,BD!$A$3:$A$5001,"&lt;="&amp;$D$7),"—"))</f>
        <v>0</v>
      </c>
      <c r="G132" s="42">
        <f>IF(G$102="","",IF(Config!$AF$40&lt;&gt;"Não",SUMIFS(BD!$AE$3:$AE$5001,BD!$B$3:$B$5001,G$102,BD!$A$3:$A$5001,"&gt;="&amp;$C$7,BD!$A$3:$A$5001,"&lt;="&amp;$D$7),"—"))</f>
        <v>0</v>
      </c>
      <c r="H132" s="42">
        <f>IF(H$102="","",IF(Config!$AF$41&lt;&gt;"Não",SUMIFS(BD!$AE$3:$AE$5001,BD!$B$3:$B$5001,H$102,BD!$A$3:$A$5001,"&gt;="&amp;$C$7,BD!$A$3:$A$5001,"&lt;="&amp;$D$7),"—"))</f>
        <v>0</v>
      </c>
      <c r="I132" s="42">
        <f>IF(I$102="","",IF(Config!$AF$42&lt;&gt;"Não",SUMIFS(BD!$AE$3:$AE$5001,BD!$B$3:$B$5001,I$102,BD!$A$3:$A$5001,"&gt;="&amp;$C$7,BD!$A$3:$A$5001,"&lt;="&amp;$D$7),"—"))</f>
        <v>0</v>
      </c>
      <c r="J132" s="42">
        <f>IF(J$102="","",IF(Config!$AF$43&lt;&gt;"Não",SUMIFS(BD!$AE$3:$AE$5001,BD!$B$3:$B$5001,J$102,BD!$A$3:$A$5001,"&gt;="&amp;$C$7,BD!$A$3:$A$5001,"&lt;="&amp;$D$7),"—"))</f>
        <v>0</v>
      </c>
      <c r="K132" s="42">
        <f>IF(K$102="","",IF(Config!$AF$44&lt;&gt;"Não",SUMIFS(BD!$AE$3:$AE$5001,BD!$B$3:$B$5001,K$102,BD!$A$3:$A$5001,"&gt;="&amp;$C$7,BD!$A$3:$A$5001,"&lt;="&amp;$D$7),"—"))</f>
        <v>0</v>
      </c>
      <c r="L132" s="42" t="str">
        <f>IF(L$102="","",IF(Config!$AF$45&lt;&gt;"Não",SUMIFS(BD!$AE$3:$AE$5001,BD!$B$3:$B$5001,L$102,BD!$A$3:$A$5001,"&gt;="&amp;$C$7,BD!$A$3:$A$5001,"&lt;="&amp;$D$7),"—"))</f>
        <v/>
      </c>
      <c r="M132" s="42" t="str">
        <f>IF(M$102="","",IF(Config!$AF$46&lt;&gt;"Não",SUMIFS(BD!$AE$3:$AE$5001,BD!$B$3:$B$5001,M$102,BD!$A$3:$A$5001,"&gt;="&amp;$C$7,BD!$A$3:$A$5001,"&lt;="&amp;$D$7),"—"))</f>
        <v/>
      </c>
      <c r="N132" s="42" t="str">
        <f>IF(N$102="","",IF(Config!$AF$47&lt;&gt;"Não",SUMIFS(BD!$AE$3:$AE$5001,BD!$B$3:$B$5001,N$102,BD!$A$3:$A$5001,"&gt;="&amp;$C$7,BD!$A$3:$A$5001,"&lt;="&amp;$D$7),"—"))</f>
        <v/>
      </c>
      <c r="O132" s="42" t="str">
        <f>IF(O$102="","",IF(Config!$AF$48&lt;&gt;"Não",SUMIFS(BD!$AE$3:$AE$5001,BD!$B$3:$B$5001,O$102,BD!$A$3:$A$5001,"&gt;="&amp;$C$7,BD!$A$3:$A$5001,"&lt;="&amp;$D$7),"—"))</f>
        <v/>
      </c>
      <c r="P132" s="42" t="str">
        <f>IF(P$102="","",IF(Config!$AF$49&lt;&gt;"Não",SUMIFS(BD!$AE$3:$AE$5001,BD!$B$3:$B$5001,P$102,BD!$A$3:$A$5001,"&gt;="&amp;$C$7,BD!$A$3:$A$5001,"&lt;="&amp;$D$7),"—"))</f>
        <v/>
      </c>
      <c r="Q132" s="42" t="str">
        <f>IF(Q$102="","",IF(Config!$AF$50&lt;&gt;"Não",SUMIFS(BD!$AE$3:$AE$5001,BD!$B$3:$B$5001,Q$102,BD!$A$3:$A$5001,"&gt;="&amp;$C$7,BD!$A$3:$A$5001,"&lt;="&amp;$D$7),"—"))</f>
        <v/>
      </c>
      <c r="R132" s="42" t="str">
        <f>IF(R$102="","",IF(Config!$AF$51&lt;&gt;"Não",SUMIFS(BD!$AE$3:$AE$5001,BD!$B$3:$B$5001,R$102,BD!$A$3:$A$5001,"&gt;="&amp;$C$7,BD!$A$3:$A$5001,"&lt;="&amp;$D$7),"—"))</f>
        <v/>
      </c>
      <c r="S132" s="42" t="str">
        <f>IF(S$102="","",IF(Config!$AF$52&lt;&gt;"Não",SUMIFS(BD!$AE$3:$AE$5001,BD!$B$3:$B$5001,S$102,BD!$A$3:$A$5001,"&gt;="&amp;$C$7,BD!$A$3:$A$5001,"&lt;="&amp;$D$7),"—"))</f>
        <v/>
      </c>
      <c r="T132" s="42" t="str">
        <f>IF(T$102="","",IF(Config!$AF$53&lt;&gt;"Não",SUMIFS(BD!$AE$3:$AE$5001,BD!$B$3:$B$5001,T$102,BD!$A$3:$A$5001,"&gt;="&amp;$C$7,BD!$A$3:$A$5001,"&lt;="&amp;$D$7),"—"))</f>
        <v/>
      </c>
      <c r="U132" s="42" t="str">
        <f>IF(U$102="","",IF(Config!$AF$54&lt;&gt;"Não",SUMIFS(BD!$AE$3:$AE$5001,BD!$B$3:$B$5001,U$102,BD!$A$3:$A$5001,"&gt;="&amp;$C$7,BD!$A$3:$A$5001,"&lt;="&amp;$D$7),"—"))</f>
        <v/>
      </c>
      <c r="V132" s="73">
        <f>SUM(B132:U132)</f>
        <v>0</v>
      </c>
    </row>
    <row r="133">
      <c r="A133" s="40" t="inlineStr">
        <is>
          <t xml:space="preserve">GENTE · Desvios Comportamentais</t>
        </is>
      </c>
      <c r="B133" s="42">
        <f>IF(B$102="","",IF(Config!$AG$35&lt;&gt;"Não",SUMIFS(BD!$AF$3:$AF$5001,BD!$B$3:$B$5001,B$102,BD!$A$3:$A$5001,"&gt;="&amp;$C$7,BD!$A$3:$A$5001,"&lt;="&amp;$D$7),"—"))</f>
        <v>0</v>
      </c>
      <c r="C133" s="42">
        <f>IF(C$102="","",IF(Config!$AG$36&lt;&gt;"Não",SUMIFS(BD!$AF$3:$AF$5001,BD!$B$3:$B$5001,C$102,BD!$A$3:$A$5001,"&gt;="&amp;$C$7,BD!$A$3:$A$5001,"&lt;="&amp;$D$7),"—"))</f>
        <v>0</v>
      </c>
      <c r="D133" s="42">
        <f>IF(D$102="","",IF(Config!$AG$37&lt;&gt;"Não",SUMIFS(BD!$AF$3:$AF$5001,BD!$B$3:$B$5001,D$102,BD!$A$3:$A$5001,"&gt;="&amp;$C$7,BD!$A$3:$A$5001,"&lt;="&amp;$D$7),"—"))</f>
        <v>0</v>
      </c>
      <c r="E133" s="42">
        <f>IF(E$102="","",IF(Config!$AG$38&lt;&gt;"Não",SUMIFS(BD!$AF$3:$AF$5001,BD!$B$3:$B$5001,E$102,BD!$A$3:$A$5001,"&gt;="&amp;$C$7,BD!$A$3:$A$5001,"&lt;="&amp;$D$7),"—"))</f>
        <v>0</v>
      </c>
      <c r="F133" s="42">
        <f>IF(F$102="","",IF(Config!$AG$39&lt;&gt;"Não",SUMIFS(BD!$AF$3:$AF$5001,BD!$B$3:$B$5001,F$102,BD!$A$3:$A$5001,"&gt;="&amp;$C$7,BD!$A$3:$A$5001,"&lt;="&amp;$D$7),"—"))</f>
        <v>0</v>
      </c>
      <c r="G133" s="42">
        <f>IF(G$102="","",IF(Config!$AG$40&lt;&gt;"Não",SUMIFS(BD!$AF$3:$AF$5001,BD!$B$3:$B$5001,G$102,BD!$A$3:$A$5001,"&gt;="&amp;$C$7,BD!$A$3:$A$5001,"&lt;="&amp;$D$7),"—"))</f>
        <v>0</v>
      </c>
      <c r="H133" s="42">
        <f>IF(H$102="","",IF(Config!$AG$41&lt;&gt;"Não",SUMIFS(BD!$AF$3:$AF$5001,BD!$B$3:$B$5001,H$102,BD!$A$3:$A$5001,"&gt;="&amp;$C$7,BD!$A$3:$A$5001,"&lt;="&amp;$D$7),"—"))</f>
        <v>0</v>
      </c>
      <c r="I133" s="42">
        <f>IF(I$102="","",IF(Config!$AG$42&lt;&gt;"Não",SUMIFS(BD!$AF$3:$AF$5001,BD!$B$3:$B$5001,I$102,BD!$A$3:$A$5001,"&gt;="&amp;$C$7,BD!$A$3:$A$5001,"&lt;="&amp;$D$7),"—"))</f>
        <v>0</v>
      </c>
      <c r="J133" s="42">
        <f>IF(J$102="","",IF(Config!$AG$43&lt;&gt;"Não",SUMIFS(BD!$AF$3:$AF$5001,BD!$B$3:$B$5001,J$102,BD!$A$3:$A$5001,"&gt;="&amp;$C$7,BD!$A$3:$A$5001,"&lt;="&amp;$D$7),"—"))</f>
        <v>0</v>
      </c>
      <c r="K133" s="42">
        <f>IF(K$102="","",IF(Config!$AG$44&lt;&gt;"Não",SUMIFS(BD!$AF$3:$AF$5001,BD!$B$3:$B$5001,K$102,BD!$A$3:$A$5001,"&gt;="&amp;$C$7,BD!$A$3:$A$5001,"&lt;="&amp;$D$7),"—"))</f>
        <v>0</v>
      </c>
      <c r="L133" s="42" t="str">
        <f>IF(L$102="","",IF(Config!$AG$45&lt;&gt;"Não",SUMIFS(BD!$AF$3:$AF$5001,BD!$B$3:$B$5001,L$102,BD!$A$3:$A$5001,"&gt;="&amp;$C$7,BD!$A$3:$A$5001,"&lt;="&amp;$D$7),"—"))</f>
        <v/>
      </c>
      <c r="M133" s="42" t="str">
        <f>IF(M$102="","",IF(Config!$AG$46&lt;&gt;"Não",SUMIFS(BD!$AF$3:$AF$5001,BD!$B$3:$B$5001,M$102,BD!$A$3:$A$5001,"&gt;="&amp;$C$7,BD!$A$3:$A$5001,"&lt;="&amp;$D$7),"—"))</f>
        <v/>
      </c>
      <c r="N133" s="42" t="str">
        <f>IF(N$102="","",IF(Config!$AG$47&lt;&gt;"Não",SUMIFS(BD!$AF$3:$AF$5001,BD!$B$3:$B$5001,N$102,BD!$A$3:$A$5001,"&gt;="&amp;$C$7,BD!$A$3:$A$5001,"&lt;="&amp;$D$7),"—"))</f>
        <v/>
      </c>
      <c r="O133" s="42" t="str">
        <f>IF(O$102="","",IF(Config!$AG$48&lt;&gt;"Não",SUMIFS(BD!$AF$3:$AF$5001,BD!$B$3:$B$5001,O$102,BD!$A$3:$A$5001,"&gt;="&amp;$C$7,BD!$A$3:$A$5001,"&lt;="&amp;$D$7),"—"))</f>
        <v/>
      </c>
      <c r="P133" s="42" t="str">
        <f>IF(P$102="","",IF(Config!$AG$49&lt;&gt;"Não",SUMIFS(BD!$AF$3:$AF$5001,BD!$B$3:$B$5001,P$102,BD!$A$3:$A$5001,"&gt;="&amp;$C$7,BD!$A$3:$A$5001,"&lt;="&amp;$D$7),"—"))</f>
        <v/>
      </c>
      <c r="Q133" s="42" t="str">
        <f>IF(Q$102="","",IF(Config!$AG$50&lt;&gt;"Não",SUMIFS(BD!$AF$3:$AF$5001,BD!$B$3:$B$5001,Q$102,BD!$A$3:$A$5001,"&gt;="&amp;$C$7,BD!$A$3:$A$5001,"&lt;="&amp;$D$7),"—"))</f>
        <v/>
      </c>
      <c r="R133" s="42" t="str">
        <f>IF(R$102="","",IF(Config!$AG$51&lt;&gt;"Não",SUMIFS(BD!$AF$3:$AF$5001,BD!$B$3:$B$5001,R$102,BD!$A$3:$A$5001,"&gt;="&amp;$C$7,BD!$A$3:$A$5001,"&lt;="&amp;$D$7),"—"))</f>
        <v/>
      </c>
      <c r="S133" s="42" t="str">
        <f>IF(S$102="","",IF(Config!$AG$52&lt;&gt;"Não",SUMIFS(BD!$AF$3:$AF$5001,BD!$B$3:$B$5001,S$102,BD!$A$3:$A$5001,"&gt;="&amp;$C$7,BD!$A$3:$A$5001,"&lt;="&amp;$D$7),"—"))</f>
        <v/>
      </c>
      <c r="T133" s="42" t="str">
        <f>IF(T$102="","",IF(Config!$AG$53&lt;&gt;"Não",SUMIFS(BD!$AF$3:$AF$5001,BD!$B$3:$B$5001,T$102,BD!$A$3:$A$5001,"&gt;="&amp;$C$7,BD!$A$3:$A$5001,"&lt;="&amp;$D$7),"—"))</f>
        <v/>
      </c>
      <c r="U133" s="42" t="str">
        <f>IF(U$102="","",IF(Config!$AG$54&lt;&gt;"Não",SUMIFS(BD!$AF$3:$AF$5001,BD!$B$3:$B$5001,U$102,BD!$A$3:$A$5001,"&gt;="&amp;$C$7,BD!$A$3:$A$5001,"&lt;="&amp;$D$7),"—"))</f>
        <v/>
      </c>
      <c r="V133" s="73">
        <f>SUM(B133:U133)</f>
        <v>0</v>
      </c>
    </row>
    <row r="134">
      <c r="A134" s="40" t="inlineStr">
        <is>
          <t xml:space="preserve">GENTE · Acidentes CAF</t>
        </is>
      </c>
      <c r="B134" s="42">
        <f>IF(B$102="","",IF(Config!$AH$35&lt;&gt;"Não",SUMIFS(BD!$AG$3:$AG$5001,BD!$B$3:$B$5001,B$102,BD!$A$3:$A$5001,"&gt;="&amp;$C$7,BD!$A$3:$A$5001,"&lt;="&amp;$D$7),"—"))</f>
        <v>0</v>
      </c>
      <c r="C134" s="42">
        <f>IF(C$102="","",IF(Config!$AH$36&lt;&gt;"Não",SUMIFS(BD!$AG$3:$AG$5001,BD!$B$3:$B$5001,C$102,BD!$A$3:$A$5001,"&gt;="&amp;$C$7,BD!$A$3:$A$5001,"&lt;="&amp;$D$7),"—"))</f>
        <v>0</v>
      </c>
      <c r="D134" s="42">
        <f>IF(D$102="","",IF(Config!$AH$37&lt;&gt;"Não",SUMIFS(BD!$AG$3:$AG$5001,BD!$B$3:$B$5001,D$102,BD!$A$3:$A$5001,"&gt;="&amp;$C$7,BD!$A$3:$A$5001,"&lt;="&amp;$D$7),"—"))</f>
        <v>0</v>
      </c>
      <c r="E134" s="42">
        <f>IF(E$102="","",IF(Config!$AH$38&lt;&gt;"Não",SUMIFS(BD!$AG$3:$AG$5001,BD!$B$3:$B$5001,E$102,BD!$A$3:$A$5001,"&gt;="&amp;$C$7,BD!$A$3:$A$5001,"&lt;="&amp;$D$7),"—"))</f>
        <v>0</v>
      </c>
      <c r="F134" s="42">
        <f>IF(F$102="","",IF(Config!$AH$39&lt;&gt;"Não",SUMIFS(BD!$AG$3:$AG$5001,BD!$B$3:$B$5001,F$102,BD!$A$3:$A$5001,"&gt;="&amp;$C$7,BD!$A$3:$A$5001,"&lt;="&amp;$D$7),"—"))</f>
        <v>0</v>
      </c>
      <c r="G134" s="42">
        <f>IF(G$102="","",IF(Config!$AH$40&lt;&gt;"Não",SUMIFS(BD!$AG$3:$AG$5001,BD!$B$3:$B$5001,G$102,BD!$A$3:$A$5001,"&gt;="&amp;$C$7,BD!$A$3:$A$5001,"&lt;="&amp;$D$7),"—"))</f>
        <v>0</v>
      </c>
      <c r="H134" s="42">
        <f>IF(H$102="","",IF(Config!$AH$41&lt;&gt;"Não",SUMIFS(BD!$AG$3:$AG$5001,BD!$B$3:$B$5001,H$102,BD!$A$3:$A$5001,"&gt;="&amp;$C$7,BD!$A$3:$A$5001,"&lt;="&amp;$D$7),"—"))</f>
        <v>0</v>
      </c>
      <c r="I134" s="42">
        <f>IF(I$102="","",IF(Config!$AH$42&lt;&gt;"Não",SUMIFS(BD!$AG$3:$AG$5001,BD!$B$3:$B$5001,I$102,BD!$A$3:$A$5001,"&gt;="&amp;$C$7,BD!$A$3:$A$5001,"&lt;="&amp;$D$7),"—"))</f>
        <v>0</v>
      </c>
      <c r="J134" s="42">
        <f>IF(J$102="","",IF(Config!$AH$43&lt;&gt;"Não",SUMIFS(BD!$AG$3:$AG$5001,BD!$B$3:$B$5001,J$102,BD!$A$3:$A$5001,"&gt;="&amp;$C$7,BD!$A$3:$A$5001,"&lt;="&amp;$D$7),"—"))</f>
        <v>0</v>
      </c>
      <c r="K134" s="42">
        <f>IF(K$102="","",IF(Config!$AH$44&lt;&gt;"Não",SUMIFS(BD!$AG$3:$AG$5001,BD!$B$3:$B$5001,K$102,BD!$A$3:$A$5001,"&gt;="&amp;$C$7,BD!$A$3:$A$5001,"&lt;="&amp;$D$7),"—"))</f>
        <v>0</v>
      </c>
      <c r="L134" s="42" t="str">
        <f>IF(L$102="","",IF(Config!$AH$45&lt;&gt;"Não",SUMIFS(BD!$AG$3:$AG$5001,BD!$B$3:$B$5001,L$102,BD!$A$3:$A$5001,"&gt;="&amp;$C$7,BD!$A$3:$A$5001,"&lt;="&amp;$D$7),"—"))</f>
        <v/>
      </c>
      <c r="M134" s="42" t="str">
        <f>IF(M$102="","",IF(Config!$AH$46&lt;&gt;"Não",SUMIFS(BD!$AG$3:$AG$5001,BD!$B$3:$B$5001,M$102,BD!$A$3:$A$5001,"&gt;="&amp;$C$7,BD!$A$3:$A$5001,"&lt;="&amp;$D$7),"—"))</f>
        <v/>
      </c>
      <c r="N134" s="42" t="str">
        <f>IF(N$102="","",IF(Config!$AH$47&lt;&gt;"Não",SUMIFS(BD!$AG$3:$AG$5001,BD!$B$3:$B$5001,N$102,BD!$A$3:$A$5001,"&gt;="&amp;$C$7,BD!$A$3:$A$5001,"&lt;="&amp;$D$7),"—"))</f>
        <v/>
      </c>
      <c r="O134" s="42" t="str">
        <f>IF(O$102="","",IF(Config!$AH$48&lt;&gt;"Não",SUMIFS(BD!$AG$3:$AG$5001,BD!$B$3:$B$5001,O$102,BD!$A$3:$A$5001,"&gt;="&amp;$C$7,BD!$A$3:$A$5001,"&lt;="&amp;$D$7),"—"))</f>
        <v/>
      </c>
      <c r="P134" s="42" t="str">
        <f>IF(P$102="","",IF(Config!$AH$49&lt;&gt;"Não",SUMIFS(BD!$AG$3:$AG$5001,BD!$B$3:$B$5001,P$102,BD!$A$3:$A$5001,"&gt;="&amp;$C$7,BD!$A$3:$A$5001,"&lt;="&amp;$D$7),"—"))</f>
        <v/>
      </c>
      <c r="Q134" s="42" t="str">
        <f>IF(Q$102="","",IF(Config!$AH$50&lt;&gt;"Não",SUMIFS(BD!$AG$3:$AG$5001,BD!$B$3:$B$5001,Q$102,BD!$A$3:$A$5001,"&gt;="&amp;$C$7,BD!$A$3:$A$5001,"&lt;="&amp;$D$7),"—"))</f>
        <v/>
      </c>
      <c r="R134" s="42" t="str">
        <f>IF(R$102="","",IF(Config!$AH$51&lt;&gt;"Não",SUMIFS(BD!$AG$3:$AG$5001,BD!$B$3:$B$5001,R$102,BD!$A$3:$A$5001,"&gt;="&amp;$C$7,BD!$A$3:$A$5001,"&lt;="&amp;$D$7),"—"))</f>
        <v/>
      </c>
      <c r="S134" s="42" t="str">
        <f>IF(S$102="","",IF(Config!$AH$52&lt;&gt;"Não",SUMIFS(BD!$AG$3:$AG$5001,BD!$B$3:$B$5001,S$102,BD!$A$3:$A$5001,"&gt;="&amp;$C$7,BD!$A$3:$A$5001,"&lt;="&amp;$D$7),"—"))</f>
        <v/>
      </c>
      <c r="T134" s="42" t="str">
        <f>IF(T$102="","",IF(Config!$AH$53&lt;&gt;"Não",SUMIFS(BD!$AG$3:$AG$5001,BD!$B$3:$B$5001,T$102,BD!$A$3:$A$5001,"&gt;="&amp;$C$7,BD!$A$3:$A$5001,"&lt;="&amp;$D$7),"—"))</f>
        <v/>
      </c>
      <c r="U134" s="42" t="str">
        <f>IF(U$102="","",IF(Config!$AH$54&lt;&gt;"Não",SUMIFS(BD!$AG$3:$AG$5001,BD!$B$3:$B$5001,U$102,BD!$A$3:$A$5001,"&gt;="&amp;$C$7,BD!$A$3:$A$5001,"&lt;="&amp;$D$7),"—"))</f>
        <v/>
      </c>
      <c r="V134" s="73">
        <f>SUM(B134:U134)</f>
        <v>0</v>
      </c>
    </row>
    <row r="135">
      <c r="A135" s="40" t="inlineStr">
        <is>
          <t xml:space="preserve">GENTE · Acidentes SAF</t>
        </is>
      </c>
      <c r="B135" s="42">
        <f>IF(B$102="","",IF(Config!$AI$35&lt;&gt;"Não",SUMIFS(BD!$AH$3:$AH$5001,BD!$B$3:$B$5001,B$102,BD!$A$3:$A$5001,"&gt;="&amp;$C$7,BD!$A$3:$A$5001,"&lt;="&amp;$D$7),"—"))</f>
        <v>0</v>
      </c>
      <c r="C135" s="42">
        <f>IF(C$102="","",IF(Config!$AI$36&lt;&gt;"Não",SUMIFS(BD!$AH$3:$AH$5001,BD!$B$3:$B$5001,C$102,BD!$A$3:$A$5001,"&gt;="&amp;$C$7,BD!$A$3:$A$5001,"&lt;="&amp;$D$7),"—"))</f>
        <v>0</v>
      </c>
      <c r="D135" s="42">
        <f>IF(D$102="","",IF(Config!$AI$37&lt;&gt;"Não",SUMIFS(BD!$AH$3:$AH$5001,BD!$B$3:$B$5001,D$102,BD!$A$3:$A$5001,"&gt;="&amp;$C$7,BD!$A$3:$A$5001,"&lt;="&amp;$D$7),"—"))</f>
        <v>0</v>
      </c>
      <c r="E135" s="42">
        <f>IF(E$102="","",IF(Config!$AI$38&lt;&gt;"Não",SUMIFS(BD!$AH$3:$AH$5001,BD!$B$3:$B$5001,E$102,BD!$A$3:$A$5001,"&gt;="&amp;$C$7,BD!$A$3:$A$5001,"&lt;="&amp;$D$7),"—"))</f>
        <v>0</v>
      </c>
      <c r="F135" s="42">
        <f>IF(F$102="","",IF(Config!$AI$39&lt;&gt;"Não",SUMIFS(BD!$AH$3:$AH$5001,BD!$B$3:$B$5001,F$102,BD!$A$3:$A$5001,"&gt;="&amp;$C$7,BD!$A$3:$A$5001,"&lt;="&amp;$D$7),"—"))</f>
        <v>0</v>
      </c>
      <c r="G135" s="42">
        <f>IF(G$102="","",IF(Config!$AI$40&lt;&gt;"Não",SUMIFS(BD!$AH$3:$AH$5001,BD!$B$3:$B$5001,G$102,BD!$A$3:$A$5001,"&gt;="&amp;$C$7,BD!$A$3:$A$5001,"&lt;="&amp;$D$7),"—"))</f>
        <v>0</v>
      </c>
      <c r="H135" s="42">
        <f>IF(H$102="","",IF(Config!$AI$41&lt;&gt;"Não",SUMIFS(BD!$AH$3:$AH$5001,BD!$B$3:$B$5001,H$102,BD!$A$3:$A$5001,"&gt;="&amp;$C$7,BD!$A$3:$A$5001,"&lt;="&amp;$D$7),"—"))</f>
        <v>0</v>
      </c>
      <c r="I135" s="42">
        <f>IF(I$102="","",IF(Config!$AI$42&lt;&gt;"Não",SUMIFS(BD!$AH$3:$AH$5001,BD!$B$3:$B$5001,I$102,BD!$A$3:$A$5001,"&gt;="&amp;$C$7,BD!$A$3:$A$5001,"&lt;="&amp;$D$7),"—"))</f>
        <v>0</v>
      </c>
      <c r="J135" s="42">
        <f>IF(J$102="","",IF(Config!$AI$43&lt;&gt;"Não",SUMIFS(BD!$AH$3:$AH$5001,BD!$B$3:$B$5001,J$102,BD!$A$3:$A$5001,"&gt;="&amp;$C$7,BD!$A$3:$A$5001,"&lt;="&amp;$D$7),"—"))</f>
        <v>0</v>
      </c>
      <c r="K135" s="42">
        <f>IF(K$102="","",IF(Config!$AI$44&lt;&gt;"Não",SUMIFS(BD!$AH$3:$AH$5001,BD!$B$3:$B$5001,K$102,BD!$A$3:$A$5001,"&gt;="&amp;$C$7,BD!$A$3:$A$5001,"&lt;="&amp;$D$7),"—"))</f>
        <v>0</v>
      </c>
      <c r="L135" s="42" t="str">
        <f>IF(L$102="","",IF(Config!$AI$45&lt;&gt;"Não",SUMIFS(BD!$AH$3:$AH$5001,BD!$B$3:$B$5001,L$102,BD!$A$3:$A$5001,"&gt;="&amp;$C$7,BD!$A$3:$A$5001,"&lt;="&amp;$D$7),"—"))</f>
        <v/>
      </c>
      <c r="M135" s="42" t="str">
        <f>IF(M$102="","",IF(Config!$AI$46&lt;&gt;"Não",SUMIFS(BD!$AH$3:$AH$5001,BD!$B$3:$B$5001,M$102,BD!$A$3:$A$5001,"&gt;="&amp;$C$7,BD!$A$3:$A$5001,"&lt;="&amp;$D$7),"—"))</f>
        <v/>
      </c>
      <c r="N135" s="42" t="str">
        <f>IF(N$102="","",IF(Config!$AI$47&lt;&gt;"Não",SUMIFS(BD!$AH$3:$AH$5001,BD!$B$3:$B$5001,N$102,BD!$A$3:$A$5001,"&gt;="&amp;$C$7,BD!$A$3:$A$5001,"&lt;="&amp;$D$7),"—"))</f>
        <v/>
      </c>
      <c r="O135" s="42" t="str">
        <f>IF(O$102="","",IF(Config!$AI$48&lt;&gt;"Não",SUMIFS(BD!$AH$3:$AH$5001,BD!$B$3:$B$5001,O$102,BD!$A$3:$A$5001,"&gt;="&amp;$C$7,BD!$A$3:$A$5001,"&lt;="&amp;$D$7),"—"))</f>
        <v/>
      </c>
      <c r="P135" s="42" t="str">
        <f>IF(P$102="","",IF(Config!$AI$49&lt;&gt;"Não",SUMIFS(BD!$AH$3:$AH$5001,BD!$B$3:$B$5001,P$102,BD!$A$3:$A$5001,"&gt;="&amp;$C$7,BD!$A$3:$A$5001,"&lt;="&amp;$D$7),"—"))</f>
        <v/>
      </c>
      <c r="Q135" s="42" t="str">
        <f>IF(Q$102="","",IF(Config!$AI$50&lt;&gt;"Não",SUMIFS(BD!$AH$3:$AH$5001,BD!$B$3:$B$5001,Q$102,BD!$A$3:$A$5001,"&gt;="&amp;$C$7,BD!$A$3:$A$5001,"&lt;="&amp;$D$7),"—"))</f>
        <v/>
      </c>
      <c r="R135" s="42" t="str">
        <f>IF(R$102="","",IF(Config!$AI$51&lt;&gt;"Não",SUMIFS(BD!$AH$3:$AH$5001,BD!$B$3:$B$5001,R$102,BD!$A$3:$A$5001,"&gt;="&amp;$C$7,BD!$A$3:$A$5001,"&lt;="&amp;$D$7),"—"))</f>
        <v/>
      </c>
      <c r="S135" s="42" t="str">
        <f>IF(S$102="","",IF(Config!$AI$52&lt;&gt;"Não",SUMIFS(BD!$AH$3:$AH$5001,BD!$B$3:$B$5001,S$102,BD!$A$3:$A$5001,"&gt;="&amp;$C$7,BD!$A$3:$A$5001,"&lt;="&amp;$D$7),"—"))</f>
        <v/>
      </c>
      <c r="T135" s="42" t="str">
        <f>IF(T$102="","",IF(Config!$AI$53&lt;&gt;"Não",SUMIFS(BD!$AH$3:$AH$5001,BD!$B$3:$B$5001,T$102,BD!$A$3:$A$5001,"&gt;="&amp;$C$7,BD!$A$3:$A$5001,"&lt;="&amp;$D$7),"—"))</f>
        <v/>
      </c>
      <c r="U135" s="42" t="str">
        <f>IF(U$102="","",IF(Config!$AI$54&lt;&gt;"Não",SUMIFS(BD!$AH$3:$AH$5001,BD!$B$3:$B$5001,U$102,BD!$A$3:$A$5001,"&gt;="&amp;$C$7,BD!$A$3:$A$5001,"&lt;="&amp;$D$7),"—"))</f>
        <v/>
      </c>
      <c r="V135" s="73">
        <f>SUM(B135:U135)</f>
        <v>0</v>
      </c>
    </row>
    <row r="139">
      <c r="A139" s="52" t="inlineStr">
        <is>
          <t xml:space="preserve">ESTOQUES POR CLIENTE — último valor informado até cada dia (Backlog, Posições e Efetivo)</t>
        </is>
      </c>
    </row>
    <row r="140">
      <c r="A140" s="47" t="inlineStr">
        <is>
          <t xml:space="preserve">Backlog Intralog</t>
        </is>
      </c>
      <c r="B140" s="47" t="inlineStr">
        <is>
          <t xml:space="preserve">Data</t>
        </is>
      </c>
      <c r="C140" s="47" t="str">
        <f>Config!$B$10&amp;""</f>
        <v>Alpargatas</v>
      </c>
      <c r="D140" s="47" t="str">
        <f>Config!$B$11&amp;""</f>
        <v>Basf</v>
      </c>
      <c r="E140" s="47" t="str">
        <f>Config!$B$12&amp;""</f>
        <v>Beautybiz</v>
      </c>
      <c r="F140" s="47" t="str">
        <f>Config!$B$13&amp;""</f>
        <v>Boticário</v>
      </c>
      <c r="G140" s="47" t="str">
        <f>Config!$B$14&amp;""</f>
        <v>Confiance</v>
      </c>
      <c r="H140" s="47" t="str">
        <f>Config!$B$15&amp;""</f>
        <v>GE Vernova</v>
      </c>
      <c r="I140" s="47" t="str">
        <f>Config!$B$16&amp;""</f>
        <v>Omnilife</v>
      </c>
      <c r="J140" s="47" t="str">
        <f>Config!$B$17&amp;""</f>
        <v>Supply</v>
      </c>
      <c r="K140" s="47" t="str">
        <f>Config!$B$18&amp;""</f>
        <v>Vedacit</v>
      </c>
      <c r="L140" s="47" t="str">
        <f>Config!$B$19&amp;""</f>
        <v>Vestas</v>
      </c>
      <c r="M140" s="47" t="str">
        <f>Config!$B$20&amp;""</f>
        <v/>
      </c>
      <c r="N140" s="47" t="str">
        <f>Config!$B$21&amp;""</f>
        <v/>
      </c>
      <c r="O140" s="47" t="str">
        <f>Config!$B$22&amp;""</f>
        <v/>
      </c>
      <c r="P140" s="47" t="str">
        <f>Config!$B$23&amp;""</f>
        <v/>
      </c>
      <c r="Q140" s="47" t="str">
        <f>Config!$B$24&amp;""</f>
        <v/>
      </c>
      <c r="R140" s="47" t="str">
        <f>Config!$B$25&amp;""</f>
        <v/>
      </c>
      <c r="S140" s="47" t="str">
        <f>Config!$B$26&amp;""</f>
        <v/>
      </c>
      <c r="T140" s="47" t="str">
        <f>Config!$B$27&amp;""</f>
        <v/>
      </c>
      <c r="U140" s="47" t="str">
        <f>Config!$B$28&amp;""</f>
        <v/>
      </c>
      <c r="V140" s="47" t="str">
        <f>Config!$B$29&amp;""</f>
        <v/>
      </c>
    </row>
    <row r="141">
      <c r="A141" s="48">
        <v>1</v>
      </c>
      <c r="B141" s="53">
        <f>$B$12</f>
        <v>46296</v>
      </c>
      <c r="C141" s="54" t="str">
        <f>IF(OR($B141="",$A141&gt;$B$9,C$140=""),"",IF(COUNTIFS(BD!$B$3:$B$5001,C$140,BD!$A$3:$A$5001,"&gt;="&amp;$C$7,BD!$A$3:$A$5001,"&lt;="&amp;$B141,BD!$V$3:$V$5001,"&lt;&gt;")=0,"",SUMIFS(BD!$V$3:$V$5001,BD!$B$3:$B$5001,C$140,BD!$A$3:$A$5001,_xlfn.MAXIFS(BD!$A$3:$A$5001,BD!$B$3:$B$5001,C$140,BD!$A$3:$A$5001,"&gt;="&amp;$C$7,BD!$A$3:$A$5001,"&lt;="&amp;$B141,BD!$V$3:$V$5001,"&lt;&gt;"))))</f>
        <v/>
      </c>
      <c r="D141" s="54" t="str">
        <f>IF(OR($B141="",$A141&gt;$B$9,D$140=""),"",IF(COUNTIFS(BD!$B$3:$B$5001,D$140,BD!$A$3:$A$5001,"&gt;="&amp;$C$7,BD!$A$3:$A$5001,"&lt;="&amp;$B141,BD!$V$3:$V$5001,"&lt;&gt;")=0,"",SUMIFS(BD!$V$3:$V$5001,BD!$B$3:$B$5001,D$140,BD!$A$3:$A$5001,_xlfn.MAXIFS(BD!$A$3:$A$5001,BD!$B$3:$B$5001,D$140,BD!$A$3:$A$5001,"&gt;="&amp;$C$7,BD!$A$3:$A$5001,"&lt;="&amp;$B141,BD!$V$3:$V$5001,"&lt;&gt;"))))</f>
        <v/>
      </c>
      <c r="E141" s="54" t="str">
        <f>IF(OR($B141="",$A141&gt;$B$9,E$140=""),"",IF(COUNTIFS(BD!$B$3:$B$5001,E$140,BD!$A$3:$A$5001,"&gt;="&amp;$C$7,BD!$A$3:$A$5001,"&lt;="&amp;$B141,BD!$V$3:$V$5001,"&lt;&gt;")=0,"",SUMIFS(BD!$V$3:$V$5001,BD!$B$3:$B$5001,E$140,BD!$A$3:$A$5001,_xlfn.MAXIFS(BD!$A$3:$A$5001,BD!$B$3:$B$5001,E$140,BD!$A$3:$A$5001,"&gt;="&amp;$C$7,BD!$A$3:$A$5001,"&lt;="&amp;$B141,BD!$V$3:$V$5001,"&lt;&gt;"))))</f>
        <v/>
      </c>
      <c r="F141" s="54" t="str">
        <f>IF(OR($B141="",$A141&gt;$B$9,F$140=""),"",IF(COUNTIFS(BD!$B$3:$B$5001,F$140,BD!$A$3:$A$5001,"&gt;="&amp;$C$7,BD!$A$3:$A$5001,"&lt;="&amp;$B141,BD!$V$3:$V$5001,"&lt;&gt;")=0,"",SUMIFS(BD!$V$3:$V$5001,BD!$B$3:$B$5001,F$140,BD!$A$3:$A$5001,_xlfn.MAXIFS(BD!$A$3:$A$5001,BD!$B$3:$B$5001,F$140,BD!$A$3:$A$5001,"&gt;="&amp;$C$7,BD!$A$3:$A$5001,"&lt;="&amp;$B141,BD!$V$3:$V$5001,"&lt;&gt;"))))</f>
        <v/>
      </c>
      <c r="G141" s="54" t="str">
        <f>IF(OR($B141="",$A141&gt;$B$9,G$140=""),"",IF(COUNTIFS(BD!$B$3:$B$5001,G$140,BD!$A$3:$A$5001,"&gt;="&amp;$C$7,BD!$A$3:$A$5001,"&lt;="&amp;$B141,BD!$V$3:$V$5001,"&lt;&gt;")=0,"",SUMIFS(BD!$V$3:$V$5001,BD!$B$3:$B$5001,G$140,BD!$A$3:$A$5001,_xlfn.MAXIFS(BD!$A$3:$A$5001,BD!$B$3:$B$5001,G$140,BD!$A$3:$A$5001,"&gt;="&amp;$C$7,BD!$A$3:$A$5001,"&lt;="&amp;$B141,BD!$V$3:$V$5001,"&lt;&gt;"))))</f>
        <v/>
      </c>
      <c r="H141" s="54" t="str">
        <f>IF(OR($B141="",$A141&gt;$B$9,H$140=""),"",IF(COUNTIFS(BD!$B$3:$B$5001,H$140,BD!$A$3:$A$5001,"&gt;="&amp;$C$7,BD!$A$3:$A$5001,"&lt;="&amp;$B141,BD!$V$3:$V$5001,"&lt;&gt;")=0,"",SUMIFS(BD!$V$3:$V$5001,BD!$B$3:$B$5001,H$140,BD!$A$3:$A$5001,_xlfn.MAXIFS(BD!$A$3:$A$5001,BD!$B$3:$B$5001,H$140,BD!$A$3:$A$5001,"&gt;="&amp;$C$7,BD!$A$3:$A$5001,"&lt;="&amp;$B141,BD!$V$3:$V$5001,"&lt;&gt;"))))</f>
        <v/>
      </c>
      <c r="I141" s="54" t="str">
        <f>IF(OR($B141="",$A141&gt;$B$9,I$140=""),"",IF(COUNTIFS(BD!$B$3:$B$5001,I$140,BD!$A$3:$A$5001,"&gt;="&amp;$C$7,BD!$A$3:$A$5001,"&lt;="&amp;$B141,BD!$V$3:$V$5001,"&lt;&gt;")=0,"",SUMIFS(BD!$V$3:$V$5001,BD!$B$3:$B$5001,I$140,BD!$A$3:$A$5001,_xlfn.MAXIFS(BD!$A$3:$A$5001,BD!$B$3:$B$5001,I$140,BD!$A$3:$A$5001,"&gt;="&amp;$C$7,BD!$A$3:$A$5001,"&lt;="&amp;$B141,BD!$V$3:$V$5001,"&lt;&gt;"))))</f>
        <v/>
      </c>
      <c r="J141" s="54" t="str">
        <f>IF(OR($B141="",$A141&gt;$B$9,J$140=""),"",IF(COUNTIFS(BD!$B$3:$B$5001,J$140,BD!$A$3:$A$5001,"&gt;="&amp;$C$7,BD!$A$3:$A$5001,"&lt;="&amp;$B141,BD!$V$3:$V$5001,"&lt;&gt;")=0,"",SUMIFS(BD!$V$3:$V$5001,BD!$B$3:$B$5001,J$140,BD!$A$3:$A$5001,_xlfn.MAXIFS(BD!$A$3:$A$5001,BD!$B$3:$B$5001,J$140,BD!$A$3:$A$5001,"&gt;="&amp;$C$7,BD!$A$3:$A$5001,"&lt;="&amp;$B141,BD!$V$3:$V$5001,"&lt;&gt;"))))</f>
        <v/>
      </c>
      <c r="K141" s="54" t="str">
        <f>IF(OR($B141="",$A141&gt;$B$9,K$140=""),"",IF(COUNTIFS(BD!$B$3:$B$5001,K$140,BD!$A$3:$A$5001,"&gt;="&amp;$C$7,BD!$A$3:$A$5001,"&lt;="&amp;$B141,BD!$V$3:$V$5001,"&lt;&gt;")=0,"",SUMIFS(BD!$V$3:$V$5001,BD!$B$3:$B$5001,K$140,BD!$A$3:$A$5001,_xlfn.MAXIFS(BD!$A$3:$A$5001,BD!$B$3:$B$5001,K$140,BD!$A$3:$A$5001,"&gt;="&amp;$C$7,BD!$A$3:$A$5001,"&lt;="&amp;$B141,BD!$V$3:$V$5001,"&lt;&gt;"))))</f>
        <v/>
      </c>
      <c r="L141" s="54" t="str">
        <f>IF(OR($B141="",$A141&gt;$B$9,L$140=""),"",IF(COUNTIFS(BD!$B$3:$B$5001,L$140,BD!$A$3:$A$5001,"&gt;="&amp;$C$7,BD!$A$3:$A$5001,"&lt;="&amp;$B141,BD!$V$3:$V$5001,"&lt;&gt;")=0,"",SUMIFS(BD!$V$3:$V$5001,BD!$B$3:$B$5001,L$140,BD!$A$3:$A$5001,_xlfn.MAXIFS(BD!$A$3:$A$5001,BD!$B$3:$B$5001,L$140,BD!$A$3:$A$5001,"&gt;="&amp;$C$7,BD!$A$3:$A$5001,"&lt;="&amp;$B141,BD!$V$3:$V$5001,"&lt;&gt;"))))</f>
        <v/>
      </c>
      <c r="M141" s="54" t="str">
        <f>IF(OR($B141="",$A141&gt;$B$9,M$140=""),"",IF(COUNTIFS(BD!$B$3:$B$5001,M$140,BD!$A$3:$A$5001,"&gt;="&amp;$C$7,BD!$A$3:$A$5001,"&lt;="&amp;$B141,BD!$V$3:$V$5001,"&lt;&gt;")=0,"",SUMIFS(BD!$V$3:$V$5001,BD!$B$3:$B$5001,M$140,BD!$A$3:$A$5001,_xlfn.MAXIFS(BD!$A$3:$A$5001,BD!$B$3:$B$5001,M$140,BD!$A$3:$A$5001,"&gt;="&amp;$C$7,BD!$A$3:$A$5001,"&lt;="&amp;$B141,BD!$V$3:$V$5001,"&lt;&gt;"))))</f>
        <v/>
      </c>
      <c r="N141" s="54" t="str">
        <f>IF(OR($B141="",$A141&gt;$B$9,N$140=""),"",IF(COUNTIFS(BD!$B$3:$B$5001,N$140,BD!$A$3:$A$5001,"&gt;="&amp;$C$7,BD!$A$3:$A$5001,"&lt;="&amp;$B141,BD!$V$3:$V$5001,"&lt;&gt;")=0,"",SUMIFS(BD!$V$3:$V$5001,BD!$B$3:$B$5001,N$140,BD!$A$3:$A$5001,_xlfn.MAXIFS(BD!$A$3:$A$5001,BD!$B$3:$B$5001,N$140,BD!$A$3:$A$5001,"&gt;="&amp;$C$7,BD!$A$3:$A$5001,"&lt;="&amp;$B141,BD!$V$3:$V$5001,"&lt;&gt;"))))</f>
        <v/>
      </c>
      <c r="O141" s="54" t="str">
        <f>IF(OR($B141="",$A141&gt;$B$9,O$140=""),"",IF(COUNTIFS(BD!$B$3:$B$5001,O$140,BD!$A$3:$A$5001,"&gt;="&amp;$C$7,BD!$A$3:$A$5001,"&lt;="&amp;$B141,BD!$V$3:$V$5001,"&lt;&gt;")=0,"",SUMIFS(BD!$V$3:$V$5001,BD!$B$3:$B$5001,O$140,BD!$A$3:$A$5001,_xlfn.MAXIFS(BD!$A$3:$A$5001,BD!$B$3:$B$5001,O$140,BD!$A$3:$A$5001,"&gt;="&amp;$C$7,BD!$A$3:$A$5001,"&lt;="&amp;$B141,BD!$V$3:$V$5001,"&lt;&gt;"))))</f>
        <v/>
      </c>
      <c r="P141" s="54" t="str">
        <f>IF(OR($B141="",$A141&gt;$B$9,P$140=""),"",IF(COUNTIFS(BD!$B$3:$B$5001,P$140,BD!$A$3:$A$5001,"&gt;="&amp;$C$7,BD!$A$3:$A$5001,"&lt;="&amp;$B141,BD!$V$3:$V$5001,"&lt;&gt;")=0,"",SUMIFS(BD!$V$3:$V$5001,BD!$B$3:$B$5001,P$140,BD!$A$3:$A$5001,_xlfn.MAXIFS(BD!$A$3:$A$5001,BD!$B$3:$B$5001,P$140,BD!$A$3:$A$5001,"&gt;="&amp;$C$7,BD!$A$3:$A$5001,"&lt;="&amp;$B141,BD!$V$3:$V$5001,"&lt;&gt;"))))</f>
        <v/>
      </c>
      <c r="Q141" s="54" t="str">
        <f>IF(OR($B141="",$A141&gt;$B$9,Q$140=""),"",IF(COUNTIFS(BD!$B$3:$B$5001,Q$140,BD!$A$3:$A$5001,"&gt;="&amp;$C$7,BD!$A$3:$A$5001,"&lt;="&amp;$B141,BD!$V$3:$V$5001,"&lt;&gt;")=0,"",SUMIFS(BD!$V$3:$V$5001,BD!$B$3:$B$5001,Q$140,BD!$A$3:$A$5001,_xlfn.MAXIFS(BD!$A$3:$A$5001,BD!$B$3:$B$5001,Q$140,BD!$A$3:$A$5001,"&gt;="&amp;$C$7,BD!$A$3:$A$5001,"&lt;="&amp;$B141,BD!$V$3:$V$5001,"&lt;&gt;"))))</f>
        <v/>
      </c>
      <c r="R141" s="54" t="str">
        <f>IF(OR($B141="",$A141&gt;$B$9,R$140=""),"",IF(COUNTIFS(BD!$B$3:$B$5001,R$140,BD!$A$3:$A$5001,"&gt;="&amp;$C$7,BD!$A$3:$A$5001,"&lt;="&amp;$B141,BD!$V$3:$V$5001,"&lt;&gt;")=0,"",SUMIFS(BD!$V$3:$V$5001,BD!$B$3:$B$5001,R$140,BD!$A$3:$A$5001,_xlfn.MAXIFS(BD!$A$3:$A$5001,BD!$B$3:$B$5001,R$140,BD!$A$3:$A$5001,"&gt;="&amp;$C$7,BD!$A$3:$A$5001,"&lt;="&amp;$B141,BD!$V$3:$V$5001,"&lt;&gt;"))))</f>
        <v/>
      </c>
      <c r="S141" s="54" t="str">
        <f>IF(OR($B141="",$A141&gt;$B$9,S$140=""),"",IF(COUNTIFS(BD!$B$3:$B$5001,S$140,BD!$A$3:$A$5001,"&gt;="&amp;$C$7,BD!$A$3:$A$5001,"&lt;="&amp;$B141,BD!$V$3:$V$5001,"&lt;&gt;")=0,"",SUMIFS(BD!$V$3:$V$5001,BD!$B$3:$B$5001,S$140,BD!$A$3:$A$5001,_xlfn.MAXIFS(BD!$A$3:$A$5001,BD!$B$3:$B$5001,S$140,BD!$A$3:$A$5001,"&gt;="&amp;$C$7,BD!$A$3:$A$5001,"&lt;="&amp;$B141,BD!$V$3:$V$5001,"&lt;&gt;"))))</f>
        <v/>
      </c>
      <c r="T141" s="54" t="str">
        <f>IF(OR($B141="",$A141&gt;$B$9,T$140=""),"",IF(COUNTIFS(BD!$B$3:$B$5001,T$140,BD!$A$3:$A$5001,"&gt;="&amp;$C$7,BD!$A$3:$A$5001,"&lt;="&amp;$B141,BD!$V$3:$V$5001,"&lt;&gt;")=0,"",SUMIFS(BD!$V$3:$V$5001,BD!$B$3:$B$5001,T$140,BD!$A$3:$A$5001,_xlfn.MAXIFS(BD!$A$3:$A$5001,BD!$B$3:$B$5001,T$140,BD!$A$3:$A$5001,"&gt;="&amp;$C$7,BD!$A$3:$A$5001,"&lt;="&amp;$B141,BD!$V$3:$V$5001,"&lt;&gt;"))))</f>
        <v/>
      </c>
      <c r="U141" s="54" t="str">
        <f>IF(OR($B141="",$A141&gt;$B$9,U$140=""),"",IF(COUNTIFS(BD!$B$3:$B$5001,U$140,BD!$A$3:$A$5001,"&gt;="&amp;$C$7,BD!$A$3:$A$5001,"&lt;="&amp;$B141,BD!$V$3:$V$5001,"&lt;&gt;")=0,"",SUMIFS(BD!$V$3:$V$5001,BD!$B$3:$B$5001,U$140,BD!$A$3:$A$5001,_xlfn.MAXIFS(BD!$A$3:$A$5001,BD!$B$3:$B$5001,U$140,BD!$A$3:$A$5001,"&gt;="&amp;$C$7,BD!$A$3:$A$5001,"&lt;="&amp;$B141,BD!$V$3:$V$5001,"&lt;&gt;"))))</f>
        <v/>
      </c>
      <c r="V141" s="54" t="str">
        <f>IF(OR($B141="",$A141&gt;$B$9,V$140=""),"",IF(COUNTIFS(BD!$B$3:$B$5001,V$140,BD!$A$3:$A$5001,"&gt;="&amp;$C$7,BD!$A$3:$A$5001,"&lt;="&amp;$B141,BD!$V$3:$V$5001,"&lt;&gt;")=0,"",SUMIFS(BD!$V$3:$V$5001,BD!$B$3:$B$5001,V$140,BD!$A$3:$A$5001,_xlfn.MAXIFS(BD!$A$3:$A$5001,BD!$B$3:$B$5001,V$140,BD!$A$3:$A$5001,"&gt;="&amp;$C$7,BD!$A$3:$A$5001,"&lt;="&amp;$B141,BD!$V$3:$V$5001,"&lt;&gt;"))))</f>
        <v/>
      </c>
    </row>
    <row r="142">
      <c r="A142" s="48">
        <v>2</v>
      </c>
      <c r="B142" s="53">
        <f>$B$13</f>
        <v>46297</v>
      </c>
      <c r="C142" s="54" t="str">
        <f>IF(OR($B142="",$A142&gt;$B$9,C$140=""),"",IF(COUNTIFS(BD!$B$3:$B$5001,C$140,BD!$A$3:$A$5001,"&gt;="&amp;$C$7,BD!$A$3:$A$5001,"&lt;="&amp;$B142,BD!$V$3:$V$5001,"&lt;&gt;")=0,"",SUMIFS(BD!$V$3:$V$5001,BD!$B$3:$B$5001,C$140,BD!$A$3:$A$5001,_xlfn.MAXIFS(BD!$A$3:$A$5001,BD!$B$3:$B$5001,C$140,BD!$A$3:$A$5001,"&gt;="&amp;$C$7,BD!$A$3:$A$5001,"&lt;="&amp;$B142,BD!$V$3:$V$5001,"&lt;&gt;"))))</f>
        <v/>
      </c>
      <c r="D142" s="54" t="str">
        <f>IF(OR($B142="",$A142&gt;$B$9,D$140=""),"",IF(COUNTIFS(BD!$B$3:$B$5001,D$140,BD!$A$3:$A$5001,"&gt;="&amp;$C$7,BD!$A$3:$A$5001,"&lt;="&amp;$B142,BD!$V$3:$V$5001,"&lt;&gt;")=0,"",SUMIFS(BD!$V$3:$V$5001,BD!$B$3:$B$5001,D$140,BD!$A$3:$A$5001,_xlfn.MAXIFS(BD!$A$3:$A$5001,BD!$B$3:$B$5001,D$140,BD!$A$3:$A$5001,"&gt;="&amp;$C$7,BD!$A$3:$A$5001,"&lt;="&amp;$B142,BD!$V$3:$V$5001,"&lt;&gt;"))))</f>
        <v/>
      </c>
      <c r="E142" s="54" t="str">
        <f>IF(OR($B142="",$A142&gt;$B$9,E$140=""),"",IF(COUNTIFS(BD!$B$3:$B$5001,E$140,BD!$A$3:$A$5001,"&gt;="&amp;$C$7,BD!$A$3:$A$5001,"&lt;="&amp;$B142,BD!$V$3:$V$5001,"&lt;&gt;")=0,"",SUMIFS(BD!$V$3:$V$5001,BD!$B$3:$B$5001,E$140,BD!$A$3:$A$5001,_xlfn.MAXIFS(BD!$A$3:$A$5001,BD!$B$3:$B$5001,E$140,BD!$A$3:$A$5001,"&gt;="&amp;$C$7,BD!$A$3:$A$5001,"&lt;="&amp;$B142,BD!$V$3:$V$5001,"&lt;&gt;"))))</f>
        <v/>
      </c>
      <c r="F142" s="54" t="str">
        <f>IF(OR($B142="",$A142&gt;$B$9,F$140=""),"",IF(COUNTIFS(BD!$B$3:$B$5001,F$140,BD!$A$3:$A$5001,"&gt;="&amp;$C$7,BD!$A$3:$A$5001,"&lt;="&amp;$B142,BD!$V$3:$V$5001,"&lt;&gt;")=0,"",SUMIFS(BD!$V$3:$V$5001,BD!$B$3:$B$5001,F$140,BD!$A$3:$A$5001,_xlfn.MAXIFS(BD!$A$3:$A$5001,BD!$B$3:$B$5001,F$140,BD!$A$3:$A$5001,"&gt;="&amp;$C$7,BD!$A$3:$A$5001,"&lt;="&amp;$B142,BD!$V$3:$V$5001,"&lt;&gt;"))))</f>
        <v/>
      </c>
      <c r="G142" s="54" t="str">
        <f>IF(OR($B142="",$A142&gt;$B$9,G$140=""),"",IF(COUNTIFS(BD!$B$3:$B$5001,G$140,BD!$A$3:$A$5001,"&gt;="&amp;$C$7,BD!$A$3:$A$5001,"&lt;="&amp;$B142,BD!$V$3:$V$5001,"&lt;&gt;")=0,"",SUMIFS(BD!$V$3:$V$5001,BD!$B$3:$B$5001,G$140,BD!$A$3:$A$5001,_xlfn.MAXIFS(BD!$A$3:$A$5001,BD!$B$3:$B$5001,G$140,BD!$A$3:$A$5001,"&gt;="&amp;$C$7,BD!$A$3:$A$5001,"&lt;="&amp;$B142,BD!$V$3:$V$5001,"&lt;&gt;"))))</f>
        <v/>
      </c>
      <c r="H142" s="54" t="str">
        <f>IF(OR($B142="",$A142&gt;$B$9,H$140=""),"",IF(COUNTIFS(BD!$B$3:$B$5001,H$140,BD!$A$3:$A$5001,"&gt;="&amp;$C$7,BD!$A$3:$A$5001,"&lt;="&amp;$B142,BD!$V$3:$V$5001,"&lt;&gt;")=0,"",SUMIFS(BD!$V$3:$V$5001,BD!$B$3:$B$5001,H$140,BD!$A$3:$A$5001,_xlfn.MAXIFS(BD!$A$3:$A$5001,BD!$B$3:$B$5001,H$140,BD!$A$3:$A$5001,"&gt;="&amp;$C$7,BD!$A$3:$A$5001,"&lt;="&amp;$B142,BD!$V$3:$V$5001,"&lt;&gt;"))))</f>
        <v/>
      </c>
      <c r="I142" s="54" t="str">
        <f>IF(OR($B142="",$A142&gt;$B$9,I$140=""),"",IF(COUNTIFS(BD!$B$3:$B$5001,I$140,BD!$A$3:$A$5001,"&gt;="&amp;$C$7,BD!$A$3:$A$5001,"&lt;="&amp;$B142,BD!$V$3:$V$5001,"&lt;&gt;")=0,"",SUMIFS(BD!$V$3:$V$5001,BD!$B$3:$B$5001,I$140,BD!$A$3:$A$5001,_xlfn.MAXIFS(BD!$A$3:$A$5001,BD!$B$3:$B$5001,I$140,BD!$A$3:$A$5001,"&gt;="&amp;$C$7,BD!$A$3:$A$5001,"&lt;="&amp;$B142,BD!$V$3:$V$5001,"&lt;&gt;"))))</f>
        <v/>
      </c>
      <c r="J142" s="54" t="str">
        <f>IF(OR($B142="",$A142&gt;$B$9,J$140=""),"",IF(COUNTIFS(BD!$B$3:$B$5001,J$140,BD!$A$3:$A$5001,"&gt;="&amp;$C$7,BD!$A$3:$A$5001,"&lt;="&amp;$B142,BD!$V$3:$V$5001,"&lt;&gt;")=0,"",SUMIFS(BD!$V$3:$V$5001,BD!$B$3:$B$5001,J$140,BD!$A$3:$A$5001,_xlfn.MAXIFS(BD!$A$3:$A$5001,BD!$B$3:$B$5001,J$140,BD!$A$3:$A$5001,"&gt;="&amp;$C$7,BD!$A$3:$A$5001,"&lt;="&amp;$B142,BD!$V$3:$V$5001,"&lt;&gt;"))))</f>
        <v/>
      </c>
      <c r="K142" s="54" t="str">
        <f>IF(OR($B142="",$A142&gt;$B$9,K$140=""),"",IF(COUNTIFS(BD!$B$3:$B$5001,K$140,BD!$A$3:$A$5001,"&gt;="&amp;$C$7,BD!$A$3:$A$5001,"&lt;="&amp;$B142,BD!$V$3:$V$5001,"&lt;&gt;")=0,"",SUMIFS(BD!$V$3:$V$5001,BD!$B$3:$B$5001,K$140,BD!$A$3:$A$5001,_xlfn.MAXIFS(BD!$A$3:$A$5001,BD!$B$3:$B$5001,K$140,BD!$A$3:$A$5001,"&gt;="&amp;$C$7,BD!$A$3:$A$5001,"&lt;="&amp;$B142,BD!$V$3:$V$5001,"&lt;&gt;"))))</f>
        <v/>
      </c>
      <c r="L142" s="54" t="str">
        <f>IF(OR($B142="",$A142&gt;$B$9,L$140=""),"",IF(COUNTIFS(BD!$B$3:$B$5001,L$140,BD!$A$3:$A$5001,"&gt;="&amp;$C$7,BD!$A$3:$A$5001,"&lt;="&amp;$B142,BD!$V$3:$V$5001,"&lt;&gt;")=0,"",SUMIFS(BD!$V$3:$V$5001,BD!$B$3:$B$5001,L$140,BD!$A$3:$A$5001,_xlfn.MAXIFS(BD!$A$3:$A$5001,BD!$B$3:$B$5001,L$140,BD!$A$3:$A$5001,"&gt;="&amp;$C$7,BD!$A$3:$A$5001,"&lt;="&amp;$B142,BD!$V$3:$V$5001,"&lt;&gt;"))))</f>
        <v/>
      </c>
      <c r="M142" s="54" t="str">
        <f>IF(OR($B142="",$A142&gt;$B$9,M$140=""),"",IF(COUNTIFS(BD!$B$3:$B$5001,M$140,BD!$A$3:$A$5001,"&gt;="&amp;$C$7,BD!$A$3:$A$5001,"&lt;="&amp;$B142,BD!$V$3:$V$5001,"&lt;&gt;")=0,"",SUMIFS(BD!$V$3:$V$5001,BD!$B$3:$B$5001,M$140,BD!$A$3:$A$5001,_xlfn.MAXIFS(BD!$A$3:$A$5001,BD!$B$3:$B$5001,M$140,BD!$A$3:$A$5001,"&gt;="&amp;$C$7,BD!$A$3:$A$5001,"&lt;="&amp;$B142,BD!$V$3:$V$5001,"&lt;&gt;"))))</f>
        <v/>
      </c>
      <c r="N142" s="54" t="str">
        <f>IF(OR($B142="",$A142&gt;$B$9,N$140=""),"",IF(COUNTIFS(BD!$B$3:$B$5001,N$140,BD!$A$3:$A$5001,"&gt;="&amp;$C$7,BD!$A$3:$A$5001,"&lt;="&amp;$B142,BD!$V$3:$V$5001,"&lt;&gt;")=0,"",SUMIFS(BD!$V$3:$V$5001,BD!$B$3:$B$5001,N$140,BD!$A$3:$A$5001,_xlfn.MAXIFS(BD!$A$3:$A$5001,BD!$B$3:$B$5001,N$140,BD!$A$3:$A$5001,"&gt;="&amp;$C$7,BD!$A$3:$A$5001,"&lt;="&amp;$B142,BD!$V$3:$V$5001,"&lt;&gt;"))))</f>
        <v/>
      </c>
      <c r="O142" s="54" t="str">
        <f>IF(OR($B142="",$A142&gt;$B$9,O$140=""),"",IF(COUNTIFS(BD!$B$3:$B$5001,O$140,BD!$A$3:$A$5001,"&gt;="&amp;$C$7,BD!$A$3:$A$5001,"&lt;="&amp;$B142,BD!$V$3:$V$5001,"&lt;&gt;")=0,"",SUMIFS(BD!$V$3:$V$5001,BD!$B$3:$B$5001,O$140,BD!$A$3:$A$5001,_xlfn.MAXIFS(BD!$A$3:$A$5001,BD!$B$3:$B$5001,O$140,BD!$A$3:$A$5001,"&gt;="&amp;$C$7,BD!$A$3:$A$5001,"&lt;="&amp;$B142,BD!$V$3:$V$5001,"&lt;&gt;"))))</f>
        <v/>
      </c>
      <c r="P142" s="54" t="str">
        <f>IF(OR($B142="",$A142&gt;$B$9,P$140=""),"",IF(COUNTIFS(BD!$B$3:$B$5001,P$140,BD!$A$3:$A$5001,"&gt;="&amp;$C$7,BD!$A$3:$A$5001,"&lt;="&amp;$B142,BD!$V$3:$V$5001,"&lt;&gt;")=0,"",SUMIFS(BD!$V$3:$V$5001,BD!$B$3:$B$5001,P$140,BD!$A$3:$A$5001,_xlfn.MAXIFS(BD!$A$3:$A$5001,BD!$B$3:$B$5001,P$140,BD!$A$3:$A$5001,"&gt;="&amp;$C$7,BD!$A$3:$A$5001,"&lt;="&amp;$B142,BD!$V$3:$V$5001,"&lt;&gt;"))))</f>
        <v/>
      </c>
      <c r="Q142" s="54" t="str">
        <f>IF(OR($B142="",$A142&gt;$B$9,Q$140=""),"",IF(COUNTIFS(BD!$B$3:$B$5001,Q$140,BD!$A$3:$A$5001,"&gt;="&amp;$C$7,BD!$A$3:$A$5001,"&lt;="&amp;$B142,BD!$V$3:$V$5001,"&lt;&gt;")=0,"",SUMIFS(BD!$V$3:$V$5001,BD!$B$3:$B$5001,Q$140,BD!$A$3:$A$5001,_xlfn.MAXIFS(BD!$A$3:$A$5001,BD!$B$3:$B$5001,Q$140,BD!$A$3:$A$5001,"&gt;="&amp;$C$7,BD!$A$3:$A$5001,"&lt;="&amp;$B142,BD!$V$3:$V$5001,"&lt;&gt;"))))</f>
        <v/>
      </c>
      <c r="R142" s="54" t="str">
        <f>IF(OR($B142="",$A142&gt;$B$9,R$140=""),"",IF(COUNTIFS(BD!$B$3:$B$5001,R$140,BD!$A$3:$A$5001,"&gt;="&amp;$C$7,BD!$A$3:$A$5001,"&lt;="&amp;$B142,BD!$V$3:$V$5001,"&lt;&gt;")=0,"",SUMIFS(BD!$V$3:$V$5001,BD!$B$3:$B$5001,R$140,BD!$A$3:$A$5001,_xlfn.MAXIFS(BD!$A$3:$A$5001,BD!$B$3:$B$5001,R$140,BD!$A$3:$A$5001,"&gt;="&amp;$C$7,BD!$A$3:$A$5001,"&lt;="&amp;$B142,BD!$V$3:$V$5001,"&lt;&gt;"))))</f>
        <v/>
      </c>
      <c r="S142" s="54" t="str">
        <f>IF(OR($B142="",$A142&gt;$B$9,S$140=""),"",IF(COUNTIFS(BD!$B$3:$B$5001,S$140,BD!$A$3:$A$5001,"&gt;="&amp;$C$7,BD!$A$3:$A$5001,"&lt;="&amp;$B142,BD!$V$3:$V$5001,"&lt;&gt;")=0,"",SUMIFS(BD!$V$3:$V$5001,BD!$B$3:$B$5001,S$140,BD!$A$3:$A$5001,_xlfn.MAXIFS(BD!$A$3:$A$5001,BD!$B$3:$B$5001,S$140,BD!$A$3:$A$5001,"&gt;="&amp;$C$7,BD!$A$3:$A$5001,"&lt;="&amp;$B142,BD!$V$3:$V$5001,"&lt;&gt;"))))</f>
        <v/>
      </c>
      <c r="T142" s="54" t="str">
        <f>IF(OR($B142="",$A142&gt;$B$9,T$140=""),"",IF(COUNTIFS(BD!$B$3:$B$5001,T$140,BD!$A$3:$A$5001,"&gt;="&amp;$C$7,BD!$A$3:$A$5001,"&lt;="&amp;$B142,BD!$V$3:$V$5001,"&lt;&gt;")=0,"",SUMIFS(BD!$V$3:$V$5001,BD!$B$3:$B$5001,T$140,BD!$A$3:$A$5001,_xlfn.MAXIFS(BD!$A$3:$A$5001,BD!$B$3:$B$5001,T$140,BD!$A$3:$A$5001,"&gt;="&amp;$C$7,BD!$A$3:$A$5001,"&lt;="&amp;$B142,BD!$V$3:$V$5001,"&lt;&gt;"))))</f>
        <v/>
      </c>
      <c r="U142" s="54" t="str">
        <f>IF(OR($B142="",$A142&gt;$B$9,U$140=""),"",IF(COUNTIFS(BD!$B$3:$B$5001,U$140,BD!$A$3:$A$5001,"&gt;="&amp;$C$7,BD!$A$3:$A$5001,"&lt;="&amp;$B142,BD!$V$3:$V$5001,"&lt;&gt;")=0,"",SUMIFS(BD!$V$3:$V$5001,BD!$B$3:$B$5001,U$140,BD!$A$3:$A$5001,_xlfn.MAXIFS(BD!$A$3:$A$5001,BD!$B$3:$B$5001,U$140,BD!$A$3:$A$5001,"&gt;="&amp;$C$7,BD!$A$3:$A$5001,"&lt;="&amp;$B142,BD!$V$3:$V$5001,"&lt;&gt;"))))</f>
        <v/>
      </c>
      <c r="V142" s="54" t="str">
        <f>IF(OR($B142="",$A142&gt;$B$9,V$140=""),"",IF(COUNTIFS(BD!$B$3:$B$5001,V$140,BD!$A$3:$A$5001,"&gt;="&amp;$C$7,BD!$A$3:$A$5001,"&lt;="&amp;$B142,BD!$V$3:$V$5001,"&lt;&gt;")=0,"",SUMIFS(BD!$V$3:$V$5001,BD!$B$3:$B$5001,V$140,BD!$A$3:$A$5001,_xlfn.MAXIFS(BD!$A$3:$A$5001,BD!$B$3:$B$5001,V$140,BD!$A$3:$A$5001,"&gt;="&amp;$C$7,BD!$A$3:$A$5001,"&lt;="&amp;$B142,BD!$V$3:$V$5001,"&lt;&gt;"))))</f>
        <v/>
      </c>
    </row>
    <row r="143">
      <c r="A143" s="48">
        <v>3</v>
      </c>
      <c r="B143" s="53">
        <f>$B$14</f>
        <v>46298</v>
      </c>
      <c r="C143" s="54" t="str">
        <f>IF(OR($B143="",$A143&gt;$B$9,C$140=""),"",IF(COUNTIFS(BD!$B$3:$B$5001,C$140,BD!$A$3:$A$5001,"&gt;="&amp;$C$7,BD!$A$3:$A$5001,"&lt;="&amp;$B143,BD!$V$3:$V$5001,"&lt;&gt;")=0,"",SUMIFS(BD!$V$3:$V$5001,BD!$B$3:$B$5001,C$140,BD!$A$3:$A$5001,_xlfn.MAXIFS(BD!$A$3:$A$5001,BD!$B$3:$B$5001,C$140,BD!$A$3:$A$5001,"&gt;="&amp;$C$7,BD!$A$3:$A$5001,"&lt;="&amp;$B143,BD!$V$3:$V$5001,"&lt;&gt;"))))</f>
        <v/>
      </c>
      <c r="D143" s="54" t="str">
        <f>IF(OR($B143="",$A143&gt;$B$9,D$140=""),"",IF(COUNTIFS(BD!$B$3:$B$5001,D$140,BD!$A$3:$A$5001,"&gt;="&amp;$C$7,BD!$A$3:$A$5001,"&lt;="&amp;$B143,BD!$V$3:$V$5001,"&lt;&gt;")=0,"",SUMIFS(BD!$V$3:$V$5001,BD!$B$3:$B$5001,D$140,BD!$A$3:$A$5001,_xlfn.MAXIFS(BD!$A$3:$A$5001,BD!$B$3:$B$5001,D$140,BD!$A$3:$A$5001,"&gt;="&amp;$C$7,BD!$A$3:$A$5001,"&lt;="&amp;$B143,BD!$V$3:$V$5001,"&lt;&gt;"))))</f>
        <v/>
      </c>
      <c r="E143" s="54" t="str">
        <f>IF(OR($B143="",$A143&gt;$B$9,E$140=""),"",IF(COUNTIFS(BD!$B$3:$B$5001,E$140,BD!$A$3:$A$5001,"&gt;="&amp;$C$7,BD!$A$3:$A$5001,"&lt;="&amp;$B143,BD!$V$3:$V$5001,"&lt;&gt;")=0,"",SUMIFS(BD!$V$3:$V$5001,BD!$B$3:$B$5001,E$140,BD!$A$3:$A$5001,_xlfn.MAXIFS(BD!$A$3:$A$5001,BD!$B$3:$B$5001,E$140,BD!$A$3:$A$5001,"&gt;="&amp;$C$7,BD!$A$3:$A$5001,"&lt;="&amp;$B143,BD!$V$3:$V$5001,"&lt;&gt;"))))</f>
        <v/>
      </c>
      <c r="F143" s="54" t="str">
        <f>IF(OR($B143="",$A143&gt;$B$9,F$140=""),"",IF(COUNTIFS(BD!$B$3:$B$5001,F$140,BD!$A$3:$A$5001,"&gt;="&amp;$C$7,BD!$A$3:$A$5001,"&lt;="&amp;$B143,BD!$V$3:$V$5001,"&lt;&gt;")=0,"",SUMIFS(BD!$V$3:$V$5001,BD!$B$3:$B$5001,F$140,BD!$A$3:$A$5001,_xlfn.MAXIFS(BD!$A$3:$A$5001,BD!$B$3:$B$5001,F$140,BD!$A$3:$A$5001,"&gt;="&amp;$C$7,BD!$A$3:$A$5001,"&lt;="&amp;$B143,BD!$V$3:$V$5001,"&lt;&gt;"))))</f>
        <v/>
      </c>
      <c r="G143" s="54" t="str">
        <f>IF(OR($B143="",$A143&gt;$B$9,G$140=""),"",IF(COUNTIFS(BD!$B$3:$B$5001,G$140,BD!$A$3:$A$5001,"&gt;="&amp;$C$7,BD!$A$3:$A$5001,"&lt;="&amp;$B143,BD!$V$3:$V$5001,"&lt;&gt;")=0,"",SUMIFS(BD!$V$3:$V$5001,BD!$B$3:$B$5001,G$140,BD!$A$3:$A$5001,_xlfn.MAXIFS(BD!$A$3:$A$5001,BD!$B$3:$B$5001,G$140,BD!$A$3:$A$5001,"&gt;="&amp;$C$7,BD!$A$3:$A$5001,"&lt;="&amp;$B143,BD!$V$3:$V$5001,"&lt;&gt;"))))</f>
        <v/>
      </c>
      <c r="H143" s="54" t="str">
        <f>IF(OR($B143="",$A143&gt;$B$9,H$140=""),"",IF(COUNTIFS(BD!$B$3:$B$5001,H$140,BD!$A$3:$A$5001,"&gt;="&amp;$C$7,BD!$A$3:$A$5001,"&lt;="&amp;$B143,BD!$V$3:$V$5001,"&lt;&gt;")=0,"",SUMIFS(BD!$V$3:$V$5001,BD!$B$3:$B$5001,H$140,BD!$A$3:$A$5001,_xlfn.MAXIFS(BD!$A$3:$A$5001,BD!$B$3:$B$5001,H$140,BD!$A$3:$A$5001,"&gt;="&amp;$C$7,BD!$A$3:$A$5001,"&lt;="&amp;$B143,BD!$V$3:$V$5001,"&lt;&gt;"))))</f>
        <v/>
      </c>
      <c r="I143" s="54" t="str">
        <f>IF(OR($B143="",$A143&gt;$B$9,I$140=""),"",IF(COUNTIFS(BD!$B$3:$B$5001,I$140,BD!$A$3:$A$5001,"&gt;="&amp;$C$7,BD!$A$3:$A$5001,"&lt;="&amp;$B143,BD!$V$3:$V$5001,"&lt;&gt;")=0,"",SUMIFS(BD!$V$3:$V$5001,BD!$B$3:$B$5001,I$140,BD!$A$3:$A$5001,_xlfn.MAXIFS(BD!$A$3:$A$5001,BD!$B$3:$B$5001,I$140,BD!$A$3:$A$5001,"&gt;="&amp;$C$7,BD!$A$3:$A$5001,"&lt;="&amp;$B143,BD!$V$3:$V$5001,"&lt;&gt;"))))</f>
        <v/>
      </c>
      <c r="J143" s="54" t="str">
        <f>IF(OR($B143="",$A143&gt;$B$9,J$140=""),"",IF(COUNTIFS(BD!$B$3:$B$5001,J$140,BD!$A$3:$A$5001,"&gt;="&amp;$C$7,BD!$A$3:$A$5001,"&lt;="&amp;$B143,BD!$V$3:$V$5001,"&lt;&gt;")=0,"",SUMIFS(BD!$V$3:$V$5001,BD!$B$3:$B$5001,J$140,BD!$A$3:$A$5001,_xlfn.MAXIFS(BD!$A$3:$A$5001,BD!$B$3:$B$5001,J$140,BD!$A$3:$A$5001,"&gt;="&amp;$C$7,BD!$A$3:$A$5001,"&lt;="&amp;$B143,BD!$V$3:$V$5001,"&lt;&gt;"))))</f>
        <v/>
      </c>
      <c r="K143" s="54" t="str">
        <f>IF(OR($B143="",$A143&gt;$B$9,K$140=""),"",IF(COUNTIFS(BD!$B$3:$B$5001,K$140,BD!$A$3:$A$5001,"&gt;="&amp;$C$7,BD!$A$3:$A$5001,"&lt;="&amp;$B143,BD!$V$3:$V$5001,"&lt;&gt;")=0,"",SUMIFS(BD!$V$3:$V$5001,BD!$B$3:$B$5001,K$140,BD!$A$3:$A$5001,_xlfn.MAXIFS(BD!$A$3:$A$5001,BD!$B$3:$B$5001,K$140,BD!$A$3:$A$5001,"&gt;="&amp;$C$7,BD!$A$3:$A$5001,"&lt;="&amp;$B143,BD!$V$3:$V$5001,"&lt;&gt;"))))</f>
        <v/>
      </c>
      <c r="L143" s="54" t="str">
        <f>IF(OR($B143="",$A143&gt;$B$9,L$140=""),"",IF(COUNTIFS(BD!$B$3:$B$5001,L$140,BD!$A$3:$A$5001,"&gt;="&amp;$C$7,BD!$A$3:$A$5001,"&lt;="&amp;$B143,BD!$V$3:$V$5001,"&lt;&gt;")=0,"",SUMIFS(BD!$V$3:$V$5001,BD!$B$3:$B$5001,L$140,BD!$A$3:$A$5001,_xlfn.MAXIFS(BD!$A$3:$A$5001,BD!$B$3:$B$5001,L$140,BD!$A$3:$A$5001,"&gt;="&amp;$C$7,BD!$A$3:$A$5001,"&lt;="&amp;$B143,BD!$V$3:$V$5001,"&lt;&gt;"))))</f>
        <v/>
      </c>
      <c r="M143" s="54" t="str">
        <f>IF(OR($B143="",$A143&gt;$B$9,M$140=""),"",IF(COUNTIFS(BD!$B$3:$B$5001,M$140,BD!$A$3:$A$5001,"&gt;="&amp;$C$7,BD!$A$3:$A$5001,"&lt;="&amp;$B143,BD!$V$3:$V$5001,"&lt;&gt;")=0,"",SUMIFS(BD!$V$3:$V$5001,BD!$B$3:$B$5001,M$140,BD!$A$3:$A$5001,_xlfn.MAXIFS(BD!$A$3:$A$5001,BD!$B$3:$B$5001,M$140,BD!$A$3:$A$5001,"&gt;="&amp;$C$7,BD!$A$3:$A$5001,"&lt;="&amp;$B143,BD!$V$3:$V$5001,"&lt;&gt;"))))</f>
        <v/>
      </c>
      <c r="N143" s="54" t="str">
        <f>IF(OR($B143="",$A143&gt;$B$9,N$140=""),"",IF(COUNTIFS(BD!$B$3:$B$5001,N$140,BD!$A$3:$A$5001,"&gt;="&amp;$C$7,BD!$A$3:$A$5001,"&lt;="&amp;$B143,BD!$V$3:$V$5001,"&lt;&gt;")=0,"",SUMIFS(BD!$V$3:$V$5001,BD!$B$3:$B$5001,N$140,BD!$A$3:$A$5001,_xlfn.MAXIFS(BD!$A$3:$A$5001,BD!$B$3:$B$5001,N$140,BD!$A$3:$A$5001,"&gt;="&amp;$C$7,BD!$A$3:$A$5001,"&lt;="&amp;$B143,BD!$V$3:$V$5001,"&lt;&gt;"))))</f>
        <v/>
      </c>
      <c r="O143" s="54" t="str">
        <f>IF(OR($B143="",$A143&gt;$B$9,O$140=""),"",IF(COUNTIFS(BD!$B$3:$B$5001,O$140,BD!$A$3:$A$5001,"&gt;="&amp;$C$7,BD!$A$3:$A$5001,"&lt;="&amp;$B143,BD!$V$3:$V$5001,"&lt;&gt;")=0,"",SUMIFS(BD!$V$3:$V$5001,BD!$B$3:$B$5001,O$140,BD!$A$3:$A$5001,_xlfn.MAXIFS(BD!$A$3:$A$5001,BD!$B$3:$B$5001,O$140,BD!$A$3:$A$5001,"&gt;="&amp;$C$7,BD!$A$3:$A$5001,"&lt;="&amp;$B143,BD!$V$3:$V$5001,"&lt;&gt;"))))</f>
        <v/>
      </c>
      <c r="P143" s="54" t="str">
        <f>IF(OR($B143="",$A143&gt;$B$9,P$140=""),"",IF(COUNTIFS(BD!$B$3:$B$5001,P$140,BD!$A$3:$A$5001,"&gt;="&amp;$C$7,BD!$A$3:$A$5001,"&lt;="&amp;$B143,BD!$V$3:$V$5001,"&lt;&gt;")=0,"",SUMIFS(BD!$V$3:$V$5001,BD!$B$3:$B$5001,P$140,BD!$A$3:$A$5001,_xlfn.MAXIFS(BD!$A$3:$A$5001,BD!$B$3:$B$5001,P$140,BD!$A$3:$A$5001,"&gt;="&amp;$C$7,BD!$A$3:$A$5001,"&lt;="&amp;$B143,BD!$V$3:$V$5001,"&lt;&gt;"))))</f>
        <v/>
      </c>
      <c r="Q143" s="54" t="str">
        <f>IF(OR($B143="",$A143&gt;$B$9,Q$140=""),"",IF(COUNTIFS(BD!$B$3:$B$5001,Q$140,BD!$A$3:$A$5001,"&gt;="&amp;$C$7,BD!$A$3:$A$5001,"&lt;="&amp;$B143,BD!$V$3:$V$5001,"&lt;&gt;")=0,"",SUMIFS(BD!$V$3:$V$5001,BD!$B$3:$B$5001,Q$140,BD!$A$3:$A$5001,_xlfn.MAXIFS(BD!$A$3:$A$5001,BD!$B$3:$B$5001,Q$140,BD!$A$3:$A$5001,"&gt;="&amp;$C$7,BD!$A$3:$A$5001,"&lt;="&amp;$B143,BD!$V$3:$V$5001,"&lt;&gt;"))))</f>
        <v/>
      </c>
      <c r="R143" s="54" t="str">
        <f>IF(OR($B143="",$A143&gt;$B$9,R$140=""),"",IF(COUNTIFS(BD!$B$3:$B$5001,R$140,BD!$A$3:$A$5001,"&gt;="&amp;$C$7,BD!$A$3:$A$5001,"&lt;="&amp;$B143,BD!$V$3:$V$5001,"&lt;&gt;")=0,"",SUMIFS(BD!$V$3:$V$5001,BD!$B$3:$B$5001,R$140,BD!$A$3:$A$5001,_xlfn.MAXIFS(BD!$A$3:$A$5001,BD!$B$3:$B$5001,R$140,BD!$A$3:$A$5001,"&gt;="&amp;$C$7,BD!$A$3:$A$5001,"&lt;="&amp;$B143,BD!$V$3:$V$5001,"&lt;&gt;"))))</f>
        <v/>
      </c>
      <c r="S143" s="54" t="str">
        <f>IF(OR($B143="",$A143&gt;$B$9,S$140=""),"",IF(COUNTIFS(BD!$B$3:$B$5001,S$140,BD!$A$3:$A$5001,"&gt;="&amp;$C$7,BD!$A$3:$A$5001,"&lt;="&amp;$B143,BD!$V$3:$V$5001,"&lt;&gt;")=0,"",SUMIFS(BD!$V$3:$V$5001,BD!$B$3:$B$5001,S$140,BD!$A$3:$A$5001,_xlfn.MAXIFS(BD!$A$3:$A$5001,BD!$B$3:$B$5001,S$140,BD!$A$3:$A$5001,"&gt;="&amp;$C$7,BD!$A$3:$A$5001,"&lt;="&amp;$B143,BD!$V$3:$V$5001,"&lt;&gt;"))))</f>
        <v/>
      </c>
      <c r="T143" s="54" t="str">
        <f>IF(OR($B143="",$A143&gt;$B$9,T$140=""),"",IF(COUNTIFS(BD!$B$3:$B$5001,T$140,BD!$A$3:$A$5001,"&gt;="&amp;$C$7,BD!$A$3:$A$5001,"&lt;="&amp;$B143,BD!$V$3:$V$5001,"&lt;&gt;")=0,"",SUMIFS(BD!$V$3:$V$5001,BD!$B$3:$B$5001,T$140,BD!$A$3:$A$5001,_xlfn.MAXIFS(BD!$A$3:$A$5001,BD!$B$3:$B$5001,T$140,BD!$A$3:$A$5001,"&gt;="&amp;$C$7,BD!$A$3:$A$5001,"&lt;="&amp;$B143,BD!$V$3:$V$5001,"&lt;&gt;"))))</f>
        <v/>
      </c>
      <c r="U143" s="54" t="str">
        <f>IF(OR($B143="",$A143&gt;$B$9,U$140=""),"",IF(COUNTIFS(BD!$B$3:$B$5001,U$140,BD!$A$3:$A$5001,"&gt;="&amp;$C$7,BD!$A$3:$A$5001,"&lt;="&amp;$B143,BD!$V$3:$V$5001,"&lt;&gt;")=0,"",SUMIFS(BD!$V$3:$V$5001,BD!$B$3:$B$5001,U$140,BD!$A$3:$A$5001,_xlfn.MAXIFS(BD!$A$3:$A$5001,BD!$B$3:$B$5001,U$140,BD!$A$3:$A$5001,"&gt;="&amp;$C$7,BD!$A$3:$A$5001,"&lt;="&amp;$B143,BD!$V$3:$V$5001,"&lt;&gt;"))))</f>
        <v/>
      </c>
      <c r="V143" s="54" t="str">
        <f>IF(OR($B143="",$A143&gt;$B$9,V$140=""),"",IF(COUNTIFS(BD!$B$3:$B$5001,V$140,BD!$A$3:$A$5001,"&gt;="&amp;$C$7,BD!$A$3:$A$5001,"&lt;="&amp;$B143,BD!$V$3:$V$5001,"&lt;&gt;")=0,"",SUMIFS(BD!$V$3:$V$5001,BD!$B$3:$B$5001,V$140,BD!$A$3:$A$5001,_xlfn.MAXIFS(BD!$A$3:$A$5001,BD!$B$3:$B$5001,V$140,BD!$A$3:$A$5001,"&gt;="&amp;$C$7,BD!$A$3:$A$5001,"&lt;="&amp;$B143,BD!$V$3:$V$5001,"&lt;&gt;"))))</f>
        <v/>
      </c>
    </row>
    <row r="144">
      <c r="A144" s="48">
        <v>4</v>
      </c>
      <c r="B144" s="53">
        <f>$B$15</f>
        <v>46299</v>
      </c>
      <c r="C144" s="54" t="str">
        <f>IF(OR($B144="",$A144&gt;$B$9,C$140=""),"",IF(COUNTIFS(BD!$B$3:$B$5001,C$140,BD!$A$3:$A$5001,"&gt;="&amp;$C$7,BD!$A$3:$A$5001,"&lt;="&amp;$B144,BD!$V$3:$V$5001,"&lt;&gt;")=0,"",SUMIFS(BD!$V$3:$V$5001,BD!$B$3:$B$5001,C$140,BD!$A$3:$A$5001,_xlfn.MAXIFS(BD!$A$3:$A$5001,BD!$B$3:$B$5001,C$140,BD!$A$3:$A$5001,"&gt;="&amp;$C$7,BD!$A$3:$A$5001,"&lt;="&amp;$B144,BD!$V$3:$V$5001,"&lt;&gt;"))))</f>
        <v/>
      </c>
      <c r="D144" s="54" t="str">
        <f>IF(OR($B144="",$A144&gt;$B$9,D$140=""),"",IF(COUNTIFS(BD!$B$3:$B$5001,D$140,BD!$A$3:$A$5001,"&gt;="&amp;$C$7,BD!$A$3:$A$5001,"&lt;="&amp;$B144,BD!$V$3:$V$5001,"&lt;&gt;")=0,"",SUMIFS(BD!$V$3:$V$5001,BD!$B$3:$B$5001,D$140,BD!$A$3:$A$5001,_xlfn.MAXIFS(BD!$A$3:$A$5001,BD!$B$3:$B$5001,D$140,BD!$A$3:$A$5001,"&gt;="&amp;$C$7,BD!$A$3:$A$5001,"&lt;="&amp;$B144,BD!$V$3:$V$5001,"&lt;&gt;"))))</f>
        <v/>
      </c>
      <c r="E144" s="54" t="str">
        <f>IF(OR($B144="",$A144&gt;$B$9,E$140=""),"",IF(COUNTIFS(BD!$B$3:$B$5001,E$140,BD!$A$3:$A$5001,"&gt;="&amp;$C$7,BD!$A$3:$A$5001,"&lt;="&amp;$B144,BD!$V$3:$V$5001,"&lt;&gt;")=0,"",SUMIFS(BD!$V$3:$V$5001,BD!$B$3:$B$5001,E$140,BD!$A$3:$A$5001,_xlfn.MAXIFS(BD!$A$3:$A$5001,BD!$B$3:$B$5001,E$140,BD!$A$3:$A$5001,"&gt;="&amp;$C$7,BD!$A$3:$A$5001,"&lt;="&amp;$B144,BD!$V$3:$V$5001,"&lt;&gt;"))))</f>
        <v/>
      </c>
      <c r="F144" s="54" t="str">
        <f>IF(OR($B144="",$A144&gt;$B$9,F$140=""),"",IF(COUNTIFS(BD!$B$3:$B$5001,F$140,BD!$A$3:$A$5001,"&gt;="&amp;$C$7,BD!$A$3:$A$5001,"&lt;="&amp;$B144,BD!$V$3:$V$5001,"&lt;&gt;")=0,"",SUMIFS(BD!$V$3:$V$5001,BD!$B$3:$B$5001,F$140,BD!$A$3:$A$5001,_xlfn.MAXIFS(BD!$A$3:$A$5001,BD!$B$3:$B$5001,F$140,BD!$A$3:$A$5001,"&gt;="&amp;$C$7,BD!$A$3:$A$5001,"&lt;="&amp;$B144,BD!$V$3:$V$5001,"&lt;&gt;"))))</f>
        <v/>
      </c>
      <c r="G144" s="54" t="str">
        <f>IF(OR($B144="",$A144&gt;$B$9,G$140=""),"",IF(COUNTIFS(BD!$B$3:$B$5001,G$140,BD!$A$3:$A$5001,"&gt;="&amp;$C$7,BD!$A$3:$A$5001,"&lt;="&amp;$B144,BD!$V$3:$V$5001,"&lt;&gt;")=0,"",SUMIFS(BD!$V$3:$V$5001,BD!$B$3:$B$5001,G$140,BD!$A$3:$A$5001,_xlfn.MAXIFS(BD!$A$3:$A$5001,BD!$B$3:$B$5001,G$140,BD!$A$3:$A$5001,"&gt;="&amp;$C$7,BD!$A$3:$A$5001,"&lt;="&amp;$B144,BD!$V$3:$V$5001,"&lt;&gt;"))))</f>
        <v/>
      </c>
      <c r="H144" s="54" t="str">
        <f>IF(OR($B144="",$A144&gt;$B$9,H$140=""),"",IF(COUNTIFS(BD!$B$3:$B$5001,H$140,BD!$A$3:$A$5001,"&gt;="&amp;$C$7,BD!$A$3:$A$5001,"&lt;="&amp;$B144,BD!$V$3:$V$5001,"&lt;&gt;")=0,"",SUMIFS(BD!$V$3:$V$5001,BD!$B$3:$B$5001,H$140,BD!$A$3:$A$5001,_xlfn.MAXIFS(BD!$A$3:$A$5001,BD!$B$3:$B$5001,H$140,BD!$A$3:$A$5001,"&gt;="&amp;$C$7,BD!$A$3:$A$5001,"&lt;="&amp;$B144,BD!$V$3:$V$5001,"&lt;&gt;"))))</f>
        <v/>
      </c>
      <c r="I144" s="54" t="str">
        <f>IF(OR($B144="",$A144&gt;$B$9,I$140=""),"",IF(COUNTIFS(BD!$B$3:$B$5001,I$140,BD!$A$3:$A$5001,"&gt;="&amp;$C$7,BD!$A$3:$A$5001,"&lt;="&amp;$B144,BD!$V$3:$V$5001,"&lt;&gt;")=0,"",SUMIFS(BD!$V$3:$V$5001,BD!$B$3:$B$5001,I$140,BD!$A$3:$A$5001,_xlfn.MAXIFS(BD!$A$3:$A$5001,BD!$B$3:$B$5001,I$140,BD!$A$3:$A$5001,"&gt;="&amp;$C$7,BD!$A$3:$A$5001,"&lt;="&amp;$B144,BD!$V$3:$V$5001,"&lt;&gt;"))))</f>
        <v/>
      </c>
      <c r="J144" s="54" t="str">
        <f>IF(OR($B144="",$A144&gt;$B$9,J$140=""),"",IF(COUNTIFS(BD!$B$3:$B$5001,J$140,BD!$A$3:$A$5001,"&gt;="&amp;$C$7,BD!$A$3:$A$5001,"&lt;="&amp;$B144,BD!$V$3:$V$5001,"&lt;&gt;")=0,"",SUMIFS(BD!$V$3:$V$5001,BD!$B$3:$B$5001,J$140,BD!$A$3:$A$5001,_xlfn.MAXIFS(BD!$A$3:$A$5001,BD!$B$3:$B$5001,J$140,BD!$A$3:$A$5001,"&gt;="&amp;$C$7,BD!$A$3:$A$5001,"&lt;="&amp;$B144,BD!$V$3:$V$5001,"&lt;&gt;"))))</f>
        <v/>
      </c>
      <c r="K144" s="54" t="str">
        <f>IF(OR($B144="",$A144&gt;$B$9,K$140=""),"",IF(COUNTIFS(BD!$B$3:$B$5001,K$140,BD!$A$3:$A$5001,"&gt;="&amp;$C$7,BD!$A$3:$A$5001,"&lt;="&amp;$B144,BD!$V$3:$V$5001,"&lt;&gt;")=0,"",SUMIFS(BD!$V$3:$V$5001,BD!$B$3:$B$5001,K$140,BD!$A$3:$A$5001,_xlfn.MAXIFS(BD!$A$3:$A$5001,BD!$B$3:$B$5001,K$140,BD!$A$3:$A$5001,"&gt;="&amp;$C$7,BD!$A$3:$A$5001,"&lt;="&amp;$B144,BD!$V$3:$V$5001,"&lt;&gt;"))))</f>
        <v/>
      </c>
      <c r="L144" s="54" t="str">
        <f>IF(OR($B144="",$A144&gt;$B$9,L$140=""),"",IF(COUNTIFS(BD!$B$3:$B$5001,L$140,BD!$A$3:$A$5001,"&gt;="&amp;$C$7,BD!$A$3:$A$5001,"&lt;="&amp;$B144,BD!$V$3:$V$5001,"&lt;&gt;")=0,"",SUMIFS(BD!$V$3:$V$5001,BD!$B$3:$B$5001,L$140,BD!$A$3:$A$5001,_xlfn.MAXIFS(BD!$A$3:$A$5001,BD!$B$3:$B$5001,L$140,BD!$A$3:$A$5001,"&gt;="&amp;$C$7,BD!$A$3:$A$5001,"&lt;="&amp;$B144,BD!$V$3:$V$5001,"&lt;&gt;"))))</f>
        <v/>
      </c>
      <c r="M144" s="54" t="str">
        <f>IF(OR($B144="",$A144&gt;$B$9,M$140=""),"",IF(COUNTIFS(BD!$B$3:$B$5001,M$140,BD!$A$3:$A$5001,"&gt;="&amp;$C$7,BD!$A$3:$A$5001,"&lt;="&amp;$B144,BD!$V$3:$V$5001,"&lt;&gt;")=0,"",SUMIFS(BD!$V$3:$V$5001,BD!$B$3:$B$5001,M$140,BD!$A$3:$A$5001,_xlfn.MAXIFS(BD!$A$3:$A$5001,BD!$B$3:$B$5001,M$140,BD!$A$3:$A$5001,"&gt;="&amp;$C$7,BD!$A$3:$A$5001,"&lt;="&amp;$B144,BD!$V$3:$V$5001,"&lt;&gt;"))))</f>
        <v/>
      </c>
      <c r="N144" s="54" t="str">
        <f>IF(OR($B144="",$A144&gt;$B$9,N$140=""),"",IF(COUNTIFS(BD!$B$3:$B$5001,N$140,BD!$A$3:$A$5001,"&gt;="&amp;$C$7,BD!$A$3:$A$5001,"&lt;="&amp;$B144,BD!$V$3:$V$5001,"&lt;&gt;")=0,"",SUMIFS(BD!$V$3:$V$5001,BD!$B$3:$B$5001,N$140,BD!$A$3:$A$5001,_xlfn.MAXIFS(BD!$A$3:$A$5001,BD!$B$3:$B$5001,N$140,BD!$A$3:$A$5001,"&gt;="&amp;$C$7,BD!$A$3:$A$5001,"&lt;="&amp;$B144,BD!$V$3:$V$5001,"&lt;&gt;"))))</f>
        <v/>
      </c>
      <c r="O144" s="54" t="str">
        <f>IF(OR($B144="",$A144&gt;$B$9,O$140=""),"",IF(COUNTIFS(BD!$B$3:$B$5001,O$140,BD!$A$3:$A$5001,"&gt;="&amp;$C$7,BD!$A$3:$A$5001,"&lt;="&amp;$B144,BD!$V$3:$V$5001,"&lt;&gt;")=0,"",SUMIFS(BD!$V$3:$V$5001,BD!$B$3:$B$5001,O$140,BD!$A$3:$A$5001,_xlfn.MAXIFS(BD!$A$3:$A$5001,BD!$B$3:$B$5001,O$140,BD!$A$3:$A$5001,"&gt;="&amp;$C$7,BD!$A$3:$A$5001,"&lt;="&amp;$B144,BD!$V$3:$V$5001,"&lt;&gt;"))))</f>
        <v/>
      </c>
      <c r="P144" s="54" t="str">
        <f>IF(OR($B144="",$A144&gt;$B$9,P$140=""),"",IF(COUNTIFS(BD!$B$3:$B$5001,P$140,BD!$A$3:$A$5001,"&gt;="&amp;$C$7,BD!$A$3:$A$5001,"&lt;="&amp;$B144,BD!$V$3:$V$5001,"&lt;&gt;")=0,"",SUMIFS(BD!$V$3:$V$5001,BD!$B$3:$B$5001,P$140,BD!$A$3:$A$5001,_xlfn.MAXIFS(BD!$A$3:$A$5001,BD!$B$3:$B$5001,P$140,BD!$A$3:$A$5001,"&gt;="&amp;$C$7,BD!$A$3:$A$5001,"&lt;="&amp;$B144,BD!$V$3:$V$5001,"&lt;&gt;"))))</f>
        <v/>
      </c>
      <c r="Q144" s="54" t="str">
        <f>IF(OR($B144="",$A144&gt;$B$9,Q$140=""),"",IF(COUNTIFS(BD!$B$3:$B$5001,Q$140,BD!$A$3:$A$5001,"&gt;="&amp;$C$7,BD!$A$3:$A$5001,"&lt;="&amp;$B144,BD!$V$3:$V$5001,"&lt;&gt;")=0,"",SUMIFS(BD!$V$3:$V$5001,BD!$B$3:$B$5001,Q$140,BD!$A$3:$A$5001,_xlfn.MAXIFS(BD!$A$3:$A$5001,BD!$B$3:$B$5001,Q$140,BD!$A$3:$A$5001,"&gt;="&amp;$C$7,BD!$A$3:$A$5001,"&lt;="&amp;$B144,BD!$V$3:$V$5001,"&lt;&gt;"))))</f>
        <v/>
      </c>
      <c r="R144" s="54" t="str">
        <f>IF(OR($B144="",$A144&gt;$B$9,R$140=""),"",IF(COUNTIFS(BD!$B$3:$B$5001,R$140,BD!$A$3:$A$5001,"&gt;="&amp;$C$7,BD!$A$3:$A$5001,"&lt;="&amp;$B144,BD!$V$3:$V$5001,"&lt;&gt;")=0,"",SUMIFS(BD!$V$3:$V$5001,BD!$B$3:$B$5001,R$140,BD!$A$3:$A$5001,_xlfn.MAXIFS(BD!$A$3:$A$5001,BD!$B$3:$B$5001,R$140,BD!$A$3:$A$5001,"&gt;="&amp;$C$7,BD!$A$3:$A$5001,"&lt;="&amp;$B144,BD!$V$3:$V$5001,"&lt;&gt;"))))</f>
        <v/>
      </c>
      <c r="S144" s="54" t="str">
        <f>IF(OR($B144="",$A144&gt;$B$9,S$140=""),"",IF(COUNTIFS(BD!$B$3:$B$5001,S$140,BD!$A$3:$A$5001,"&gt;="&amp;$C$7,BD!$A$3:$A$5001,"&lt;="&amp;$B144,BD!$V$3:$V$5001,"&lt;&gt;")=0,"",SUMIFS(BD!$V$3:$V$5001,BD!$B$3:$B$5001,S$140,BD!$A$3:$A$5001,_xlfn.MAXIFS(BD!$A$3:$A$5001,BD!$B$3:$B$5001,S$140,BD!$A$3:$A$5001,"&gt;="&amp;$C$7,BD!$A$3:$A$5001,"&lt;="&amp;$B144,BD!$V$3:$V$5001,"&lt;&gt;"))))</f>
        <v/>
      </c>
      <c r="T144" s="54" t="str">
        <f>IF(OR($B144="",$A144&gt;$B$9,T$140=""),"",IF(COUNTIFS(BD!$B$3:$B$5001,T$140,BD!$A$3:$A$5001,"&gt;="&amp;$C$7,BD!$A$3:$A$5001,"&lt;="&amp;$B144,BD!$V$3:$V$5001,"&lt;&gt;")=0,"",SUMIFS(BD!$V$3:$V$5001,BD!$B$3:$B$5001,T$140,BD!$A$3:$A$5001,_xlfn.MAXIFS(BD!$A$3:$A$5001,BD!$B$3:$B$5001,T$140,BD!$A$3:$A$5001,"&gt;="&amp;$C$7,BD!$A$3:$A$5001,"&lt;="&amp;$B144,BD!$V$3:$V$5001,"&lt;&gt;"))))</f>
        <v/>
      </c>
      <c r="U144" s="54" t="str">
        <f>IF(OR($B144="",$A144&gt;$B$9,U$140=""),"",IF(COUNTIFS(BD!$B$3:$B$5001,U$140,BD!$A$3:$A$5001,"&gt;="&amp;$C$7,BD!$A$3:$A$5001,"&lt;="&amp;$B144,BD!$V$3:$V$5001,"&lt;&gt;")=0,"",SUMIFS(BD!$V$3:$V$5001,BD!$B$3:$B$5001,U$140,BD!$A$3:$A$5001,_xlfn.MAXIFS(BD!$A$3:$A$5001,BD!$B$3:$B$5001,U$140,BD!$A$3:$A$5001,"&gt;="&amp;$C$7,BD!$A$3:$A$5001,"&lt;="&amp;$B144,BD!$V$3:$V$5001,"&lt;&gt;"))))</f>
        <v/>
      </c>
      <c r="V144" s="54" t="str">
        <f>IF(OR($B144="",$A144&gt;$B$9,V$140=""),"",IF(COUNTIFS(BD!$B$3:$B$5001,V$140,BD!$A$3:$A$5001,"&gt;="&amp;$C$7,BD!$A$3:$A$5001,"&lt;="&amp;$B144,BD!$V$3:$V$5001,"&lt;&gt;")=0,"",SUMIFS(BD!$V$3:$V$5001,BD!$B$3:$B$5001,V$140,BD!$A$3:$A$5001,_xlfn.MAXIFS(BD!$A$3:$A$5001,BD!$B$3:$B$5001,V$140,BD!$A$3:$A$5001,"&gt;="&amp;$C$7,BD!$A$3:$A$5001,"&lt;="&amp;$B144,BD!$V$3:$V$5001,"&lt;&gt;"))))</f>
        <v/>
      </c>
    </row>
    <row r="145">
      <c r="A145" s="48">
        <v>5</v>
      </c>
      <c r="B145" s="53">
        <f>$B$16</f>
        <v>46300</v>
      </c>
      <c r="C145" s="54" t="str">
        <f>IF(OR($B145="",$A145&gt;$B$9,C$140=""),"",IF(COUNTIFS(BD!$B$3:$B$5001,C$140,BD!$A$3:$A$5001,"&gt;="&amp;$C$7,BD!$A$3:$A$5001,"&lt;="&amp;$B145,BD!$V$3:$V$5001,"&lt;&gt;")=0,"",SUMIFS(BD!$V$3:$V$5001,BD!$B$3:$B$5001,C$140,BD!$A$3:$A$5001,_xlfn.MAXIFS(BD!$A$3:$A$5001,BD!$B$3:$B$5001,C$140,BD!$A$3:$A$5001,"&gt;="&amp;$C$7,BD!$A$3:$A$5001,"&lt;="&amp;$B145,BD!$V$3:$V$5001,"&lt;&gt;"))))</f>
        <v/>
      </c>
      <c r="D145" s="54" t="str">
        <f>IF(OR($B145="",$A145&gt;$B$9,D$140=""),"",IF(COUNTIFS(BD!$B$3:$B$5001,D$140,BD!$A$3:$A$5001,"&gt;="&amp;$C$7,BD!$A$3:$A$5001,"&lt;="&amp;$B145,BD!$V$3:$V$5001,"&lt;&gt;")=0,"",SUMIFS(BD!$V$3:$V$5001,BD!$B$3:$B$5001,D$140,BD!$A$3:$A$5001,_xlfn.MAXIFS(BD!$A$3:$A$5001,BD!$B$3:$B$5001,D$140,BD!$A$3:$A$5001,"&gt;="&amp;$C$7,BD!$A$3:$A$5001,"&lt;="&amp;$B145,BD!$V$3:$V$5001,"&lt;&gt;"))))</f>
        <v/>
      </c>
      <c r="E145" s="54" t="str">
        <f>IF(OR($B145="",$A145&gt;$B$9,E$140=""),"",IF(COUNTIFS(BD!$B$3:$B$5001,E$140,BD!$A$3:$A$5001,"&gt;="&amp;$C$7,BD!$A$3:$A$5001,"&lt;="&amp;$B145,BD!$V$3:$V$5001,"&lt;&gt;")=0,"",SUMIFS(BD!$V$3:$V$5001,BD!$B$3:$B$5001,E$140,BD!$A$3:$A$5001,_xlfn.MAXIFS(BD!$A$3:$A$5001,BD!$B$3:$B$5001,E$140,BD!$A$3:$A$5001,"&gt;="&amp;$C$7,BD!$A$3:$A$5001,"&lt;="&amp;$B145,BD!$V$3:$V$5001,"&lt;&gt;"))))</f>
        <v/>
      </c>
      <c r="F145" s="54" t="str">
        <f>IF(OR($B145="",$A145&gt;$B$9,F$140=""),"",IF(COUNTIFS(BD!$B$3:$B$5001,F$140,BD!$A$3:$A$5001,"&gt;="&amp;$C$7,BD!$A$3:$A$5001,"&lt;="&amp;$B145,BD!$V$3:$V$5001,"&lt;&gt;")=0,"",SUMIFS(BD!$V$3:$V$5001,BD!$B$3:$B$5001,F$140,BD!$A$3:$A$5001,_xlfn.MAXIFS(BD!$A$3:$A$5001,BD!$B$3:$B$5001,F$140,BD!$A$3:$A$5001,"&gt;="&amp;$C$7,BD!$A$3:$A$5001,"&lt;="&amp;$B145,BD!$V$3:$V$5001,"&lt;&gt;"))))</f>
        <v/>
      </c>
      <c r="G145" s="54" t="str">
        <f>IF(OR($B145="",$A145&gt;$B$9,G$140=""),"",IF(COUNTIFS(BD!$B$3:$B$5001,G$140,BD!$A$3:$A$5001,"&gt;="&amp;$C$7,BD!$A$3:$A$5001,"&lt;="&amp;$B145,BD!$V$3:$V$5001,"&lt;&gt;")=0,"",SUMIFS(BD!$V$3:$V$5001,BD!$B$3:$B$5001,G$140,BD!$A$3:$A$5001,_xlfn.MAXIFS(BD!$A$3:$A$5001,BD!$B$3:$B$5001,G$140,BD!$A$3:$A$5001,"&gt;="&amp;$C$7,BD!$A$3:$A$5001,"&lt;="&amp;$B145,BD!$V$3:$V$5001,"&lt;&gt;"))))</f>
        <v/>
      </c>
      <c r="H145" s="54" t="str">
        <f>IF(OR($B145="",$A145&gt;$B$9,H$140=""),"",IF(COUNTIFS(BD!$B$3:$B$5001,H$140,BD!$A$3:$A$5001,"&gt;="&amp;$C$7,BD!$A$3:$A$5001,"&lt;="&amp;$B145,BD!$V$3:$V$5001,"&lt;&gt;")=0,"",SUMIFS(BD!$V$3:$V$5001,BD!$B$3:$B$5001,H$140,BD!$A$3:$A$5001,_xlfn.MAXIFS(BD!$A$3:$A$5001,BD!$B$3:$B$5001,H$140,BD!$A$3:$A$5001,"&gt;="&amp;$C$7,BD!$A$3:$A$5001,"&lt;="&amp;$B145,BD!$V$3:$V$5001,"&lt;&gt;"))))</f>
        <v/>
      </c>
      <c r="I145" s="54" t="str">
        <f>IF(OR($B145="",$A145&gt;$B$9,I$140=""),"",IF(COUNTIFS(BD!$B$3:$B$5001,I$140,BD!$A$3:$A$5001,"&gt;="&amp;$C$7,BD!$A$3:$A$5001,"&lt;="&amp;$B145,BD!$V$3:$V$5001,"&lt;&gt;")=0,"",SUMIFS(BD!$V$3:$V$5001,BD!$B$3:$B$5001,I$140,BD!$A$3:$A$5001,_xlfn.MAXIFS(BD!$A$3:$A$5001,BD!$B$3:$B$5001,I$140,BD!$A$3:$A$5001,"&gt;="&amp;$C$7,BD!$A$3:$A$5001,"&lt;="&amp;$B145,BD!$V$3:$V$5001,"&lt;&gt;"))))</f>
        <v/>
      </c>
      <c r="J145" s="54" t="str">
        <f>IF(OR($B145="",$A145&gt;$B$9,J$140=""),"",IF(COUNTIFS(BD!$B$3:$B$5001,J$140,BD!$A$3:$A$5001,"&gt;="&amp;$C$7,BD!$A$3:$A$5001,"&lt;="&amp;$B145,BD!$V$3:$V$5001,"&lt;&gt;")=0,"",SUMIFS(BD!$V$3:$V$5001,BD!$B$3:$B$5001,J$140,BD!$A$3:$A$5001,_xlfn.MAXIFS(BD!$A$3:$A$5001,BD!$B$3:$B$5001,J$140,BD!$A$3:$A$5001,"&gt;="&amp;$C$7,BD!$A$3:$A$5001,"&lt;="&amp;$B145,BD!$V$3:$V$5001,"&lt;&gt;"))))</f>
        <v/>
      </c>
      <c r="K145" s="54" t="str">
        <f>IF(OR($B145="",$A145&gt;$B$9,K$140=""),"",IF(COUNTIFS(BD!$B$3:$B$5001,K$140,BD!$A$3:$A$5001,"&gt;="&amp;$C$7,BD!$A$3:$A$5001,"&lt;="&amp;$B145,BD!$V$3:$V$5001,"&lt;&gt;")=0,"",SUMIFS(BD!$V$3:$V$5001,BD!$B$3:$B$5001,K$140,BD!$A$3:$A$5001,_xlfn.MAXIFS(BD!$A$3:$A$5001,BD!$B$3:$B$5001,K$140,BD!$A$3:$A$5001,"&gt;="&amp;$C$7,BD!$A$3:$A$5001,"&lt;="&amp;$B145,BD!$V$3:$V$5001,"&lt;&gt;"))))</f>
        <v/>
      </c>
      <c r="L145" s="54" t="str">
        <f>IF(OR($B145="",$A145&gt;$B$9,L$140=""),"",IF(COUNTIFS(BD!$B$3:$B$5001,L$140,BD!$A$3:$A$5001,"&gt;="&amp;$C$7,BD!$A$3:$A$5001,"&lt;="&amp;$B145,BD!$V$3:$V$5001,"&lt;&gt;")=0,"",SUMIFS(BD!$V$3:$V$5001,BD!$B$3:$B$5001,L$140,BD!$A$3:$A$5001,_xlfn.MAXIFS(BD!$A$3:$A$5001,BD!$B$3:$B$5001,L$140,BD!$A$3:$A$5001,"&gt;="&amp;$C$7,BD!$A$3:$A$5001,"&lt;="&amp;$B145,BD!$V$3:$V$5001,"&lt;&gt;"))))</f>
        <v/>
      </c>
      <c r="M145" s="54" t="str">
        <f>IF(OR($B145="",$A145&gt;$B$9,M$140=""),"",IF(COUNTIFS(BD!$B$3:$B$5001,M$140,BD!$A$3:$A$5001,"&gt;="&amp;$C$7,BD!$A$3:$A$5001,"&lt;="&amp;$B145,BD!$V$3:$V$5001,"&lt;&gt;")=0,"",SUMIFS(BD!$V$3:$V$5001,BD!$B$3:$B$5001,M$140,BD!$A$3:$A$5001,_xlfn.MAXIFS(BD!$A$3:$A$5001,BD!$B$3:$B$5001,M$140,BD!$A$3:$A$5001,"&gt;="&amp;$C$7,BD!$A$3:$A$5001,"&lt;="&amp;$B145,BD!$V$3:$V$5001,"&lt;&gt;"))))</f>
        <v/>
      </c>
      <c r="N145" s="54" t="str">
        <f>IF(OR($B145="",$A145&gt;$B$9,N$140=""),"",IF(COUNTIFS(BD!$B$3:$B$5001,N$140,BD!$A$3:$A$5001,"&gt;="&amp;$C$7,BD!$A$3:$A$5001,"&lt;="&amp;$B145,BD!$V$3:$V$5001,"&lt;&gt;")=0,"",SUMIFS(BD!$V$3:$V$5001,BD!$B$3:$B$5001,N$140,BD!$A$3:$A$5001,_xlfn.MAXIFS(BD!$A$3:$A$5001,BD!$B$3:$B$5001,N$140,BD!$A$3:$A$5001,"&gt;="&amp;$C$7,BD!$A$3:$A$5001,"&lt;="&amp;$B145,BD!$V$3:$V$5001,"&lt;&gt;"))))</f>
        <v/>
      </c>
      <c r="O145" s="54" t="str">
        <f>IF(OR($B145="",$A145&gt;$B$9,O$140=""),"",IF(COUNTIFS(BD!$B$3:$B$5001,O$140,BD!$A$3:$A$5001,"&gt;="&amp;$C$7,BD!$A$3:$A$5001,"&lt;="&amp;$B145,BD!$V$3:$V$5001,"&lt;&gt;")=0,"",SUMIFS(BD!$V$3:$V$5001,BD!$B$3:$B$5001,O$140,BD!$A$3:$A$5001,_xlfn.MAXIFS(BD!$A$3:$A$5001,BD!$B$3:$B$5001,O$140,BD!$A$3:$A$5001,"&gt;="&amp;$C$7,BD!$A$3:$A$5001,"&lt;="&amp;$B145,BD!$V$3:$V$5001,"&lt;&gt;"))))</f>
        <v/>
      </c>
      <c r="P145" s="54" t="str">
        <f>IF(OR($B145="",$A145&gt;$B$9,P$140=""),"",IF(COUNTIFS(BD!$B$3:$B$5001,P$140,BD!$A$3:$A$5001,"&gt;="&amp;$C$7,BD!$A$3:$A$5001,"&lt;="&amp;$B145,BD!$V$3:$V$5001,"&lt;&gt;")=0,"",SUMIFS(BD!$V$3:$V$5001,BD!$B$3:$B$5001,P$140,BD!$A$3:$A$5001,_xlfn.MAXIFS(BD!$A$3:$A$5001,BD!$B$3:$B$5001,P$140,BD!$A$3:$A$5001,"&gt;="&amp;$C$7,BD!$A$3:$A$5001,"&lt;="&amp;$B145,BD!$V$3:$V$5001,"&lt;&gt;"))))</f>
        <v/>
      </c>
      <c r="Q145" s="54" t="str">
        <f>IF(OR($B145="",$A145&gt;$B$9,Q$140=""),"",IF(COUNTIFS(BD!$B$3:$B$5001,Q$140,BD!$A$3:$A$5001,"&gt;="&amp;$C$7,BD!$A$3:$A$5001,"&lt;="&amp;$B145,BD!$V$3:$V$5001,"&lt;&gt;")=0,"",SUMIFS(BD!$V$3:$V$5001,BD!$B$3:$B$5001,Q$140,BD!$A$3:$A$5001,_xlfn.MAXIFS(BD!$A$3:$A$5001,BD!$B$3:$B$5001,Q$140,BD!$A$3:$A$5001,"&gt;="&amp;$C$7,BD!$A$3:$A$5001,"&lt;="&amp;$B145,BD!$V$3:$V$5001,"&lt;&gt;"))))</f>
        <v/>
      </c>
      <c r="R145" s="54" t="str">
        <f>IF(OR($B145="",$A145&gt;$B$9,R$140=""),"",IF(COUNTIFS(BD!$B$3:$B$5001,R$140,BD!$A$3:$A$5001,"&gt;="&amp;$C$7,BD!$A$3:$A$5001,"&lt;="&amp;$B145,BD!$V$3:$V$5001,"&lt;&gt;")=0,"",SUMIFS(BD!$V$3:$V$5001,BD!$B$3:$B$5001,R$140,BD!$A$3:$A$5001,_xlfn.MAXIFS(BD!$A$3:$A$5001,BD!$B$3:$B$5001,R$140,BD!$A$3:$A$5001,"&gt;="&amp;$C$7,BD!$A$3:$A$5001,"&lt;="&amp;$B145,BD!$V$3:$V$5001,"&lt;&gt;"))))</f>
        <v/>
      </c>
      <c r="S145" s="54" t="str">
        <f>IF(OR($B145="",$A145&gt;$B$9,S$140=""),"",IF(COUNTIFS(BD!$B$3:$B$5001,S$140,BD!$A$3:$A$5001,"&gt;="&amp;$C$7,BD!$A$3:$A$5001,"&lt;="&amp;$B145,BD!$V$3:$V$5001,"&lt;&gt;")=0,"",SUMIFS(BD!$V$3:$V$5001,BD!$B$3:$B$5001,S$140,BD!$A$3:$A$5001,_xlfn.MAXIFS(BD!$A$3:$A$5001,BD!$B$3:$B$5001,S$140,BD!$A$3:$A$5001,"&gt;="&amp;$C$7,BD!$A$3:$A$5001,"&lt;="&amp;$B145,BD!$V$3:$V$5001,"&lt;&gt;"))))</f>
        <v/>
      </c>
      <c r="T145" s="54" t="str">
        <f>IF(OR($B145="",$A145&gt;$B$9,T$140=""),"",IF(COUNTIFS(BD!$B$3:$B$5001,T$140,BD!$A$3:$A$5001,"&gt;="&amp;$C$7,BD!$A$3:$A$5001,"&lt;="&amp;$B145,BD!$V$3:$V$5001,"&lt;&gt;")=0,"",SUMIFS(BD!$V$3:$V$5001,BD!$B$3:$B$5001,T$140,BD!$A$3:$A$5001,_xlfn.MAXIFS(BD!$A$3:$A$5001,BD!$B$3:$B$5001,T$140,BD!$A$3:$A$5001,"&gt;="&amp;$C$7,BD!$A$3:$A$5001,"&lt;="&amp;$B145,BD!$V$3:$V$5001,"&lt;&gt;"))))</f>
        <v/>
      </c>
      <c r="U145" s="54" t="str">
        <f>IF(OR($B145="",$A145&gt;$B$9,U$140=""),"",IF(COUNTIFS(BD!$B$3:$B$5001,U$140,BD!$A$3:$A$5001,"&gt;="&amp;$C$7,BD!$A$3:$A$5001,"&lt;="&amp;$B145,BD!$V$3:$V$5001,"&lt;&gt;")=0,"",SUMIFS(BD!$V$3:$V$5001,BD!$B$3:$B$5001,U$140,BD!$A$3:$A$5001,_xlfn.MAXIFS(BD!$A$3:$A$5001,BD!$B$3:$B$5001,U$140,BD!$A$3:$A$5001,"&gt;="&amp;$C$7,BD!$A$3:$A$5001,"&lt;="&amp;$B145,BD!$V$3:$V$5001,"&lt;&gt;"))))</f>
        <v/>
      </c>
      <c r="V145" s="54" t="str">
        <f>IF(OR($B145="",$A145&gt;$B$9,V$140=""),"",IF(COUNTIFS(BD!$B$3:$B$5001,V$140,BD!$A$3:$A$5001,"&gt;="&amp;$C$7,BD!$A$3:$A$5001,"&lt;="&amp;$B145,BD!$V$3:$V$5001,"&lt;&gt;")=0,"",SUMIFS(BD!$V$3:$V$5001,BD!$B$3:$B$5001,V$140,BD!$A$3:$A$5001,_xlfn.MAXIFS(BD!$A$3:$A$5001,BD!$B$3:$B$5001,V$140,BD!$A$3:$A$5001,"&gt;="&amp;$C$7,BD!$A$3:$A$5001,"&lt;="&amp;$B145,BD!$V$3:$V$5001,"&lt;&gt;"))))</f>
        <v/>
      </c>
    </row>
    <row r="146">
      <c r="A146" s="48">
        <v>6</v>
      </c>
      <c r="B146" s="53">
        <f>$B$17</f>
        <v>46301</v>
      </c>
      <c r="C146" s="54" t="str">
        <f>IF(OR($B146="",$A146&gt;$B$9,C$140=""),"",IF(COUNTIFS(BD!$B$3:$B$5001,C$140,BD!$A$3:$A$5001,"&gt;="&amp;$C$7,BD!$A$3:$A$5001,"&lt;="&amp;$B146,BD!$V$3:$V$5001,"&lt;&gt;")=0,"",SUMIFS(BD!$V$3:$V$5001,BD!$B$3:$B$5001,C$140,BD!$A$3:$A$5001,_xlfn.MAXIFS(BD!$A$3:$A$5001,BD!$B$3:$B$5001,C$140,BD!$A$3:$A$5001,"&gt;="&amp;$C$7,BD!$A$3:$A$5001,"&lt;="&amp;$B146,BD!$V$3:$V$5001,"&lt;&gt;"))))</f>
        <v/>
      </c>
      <c r="D146" s="54" t="str">
        <f>IF(OR($B146="",$A146&gt;$B$9,D$140=""),"",IF(COUNTIFS(BD!$B$3:$B$5001,D$140,BD!$A$3:$A$5001,"&gt;="&amp;$C$7,BD!$A$3:$A$5001,"&lt;="&amp;$B146,BD!$V$3:$V$5001,"&lt;&gt;")=0,"",SUMIFS(BD!$V$3:$V$5001,BD!$B$3:$B$5001,D$140,BD!$A$3:$A$5001,_xlfn.MAXIFS(BD!$A$3:$A$5001,BD!$B$3:$B$5001,D$140,BD!$A$3:$A$5001,"&gt;="&amp;$C$7,BD!$A$3:$A$5001,"&lt;="&amp;$B146,BD!$V$3:$V$5001,"&lt;&gt;"))))</f>
        <v/>
      </c>
      <c r="E146" s="54" t="str">
        <f>IF(OR($B146="",$A146&gt;$B$9,E$140=""),"",IF(COUNTIFS(BD!$B$3:$B$5001,E$140,BD!$A$3:$A$5001,"&gt;="&amp;$C$7,BD!$A$3:$A$5001,"&lt;="&amp;$B146,BD!$V$3:$V$5001,"&lt;&gt;")=0,"",SUMIFS(BD!$V$3:$V$5001,BD!$B$3:$B$5001,E$140,BD!$A$3:$A$5001,_xlfn.MAXIFS(BD!$A$3:$A$5001,BD!$B$3:$B$5001,E$140,BD!$A$3:$A$5001,"&gt;="&amp;$C$7,BD!$A$3:$A$5001,"&lt;="&amp;$B146,BD!$V$3:$V$5001,"&lt;&gt;"))))</f>
        <v/>
      </c>
      <c r="F146" s="54" t="str">
        <f>IF(OR($B146="",$A146&gt;$B$9,F$140=""),"",IF(COUNTIFS(BD!$B$3:$B$5001,F$140,BD!$A$3:$A$5001,"&gt;="&amp;$C$7,BD!$A$3:$A$5001,"&lt;="&amp;$B146,BD!$V$3:$V$5001,"&lt;&gt;")=0,"",SUMIFS(BD!$V$3:$V$5001,BD!$B$3:$B$5001,F$140,BD!$A$3:$A$5001,_xlfn.MAXIFS(BD!$A$3:$A$5001,BD!$B$3:$B$5001,F$140,BD!$A$3:$A$5001,"&gt;="&amp;$C$7,BD!$A$3:$A$5001,"&lt;="&amp;$B146,BD!$V$3:$V$5001,"&lt;&gt;"))))</f>
        <v/>
      </c>
      <c r="G146" s="54" t="str">
        <f>IF(OR($B146="",$A146&gt;$B$9,G$140=""),"",IF(COUNTIFS(BD!$B$3:$B$5001,G$140,BD!$A$3:$A$5001,"&gt;="&amp;$C$7,BD!$A$3:$A$5001,"&lt;="&amp;$B146,BD!$V$3:$V$5001,"&lt;&gt;")=0,"",SUMIFS(BD!$V$3:$V$5001,BD!$B$3:$B$5001,G$140,BD!$A$3:$A$5001,_xlfn.MAXIFS(BD!$A$3:$A$5001,BD!$B$3:$B$5001,G$140,BD!$A$3:$A$5001,"&gt;="&amp;$C$7,BD!$A$3:$A$5001,"&lt;="&amp;$B146,BD!$V$3:$V$5001,"&lt;&gt;"))))</f>
        <v/>
      </c>
      <c r="H146" s="54" t="str">
        <f>IF(OR($B146="",$A146&gt;$B$9,H$140=""),"",IF(COUNTIFS(BD!$B$3:$B$5001,H$140,BD!$A$3:$A$5001,"&gt;="&amp;$C$7,BD!$A$3:$A$5001,"&lt;="&amp;$B146,BD!$V$3:$V$5001,"&lt;&gt;")=0,"",SUMIFS(BD!$V$3:$V$5001,BD!$B$3:$B$5001,H$140,BD!$A$3:$A$5001,_xlfn.MAXIFS(BD!$A$3:$A$5001,BD!$B$3:$B$5001,H$140,BD!$A$3:$A$5001,"&gt;="&amp;$C$7,BD!$A$3:$A$5001,"&lt;="&amp;$B146,BD!$V$3:$V$5001,"&lt;&gt;"))))</f>
        <v/>
      </c>
      <c r="I146" s="54" t="str">
        <f>IF(OR($B146="",$A146&gt;$B$9,I$140=""),"",IF(COUNTIFS(BD!$B$3:$B$5001,I$140,BD!$A$3:$A$5001,"&gt;="&amp;$C$7,BD!$A$3:$A$5001,"&lt;="&amp;$B146,BD!$V$3:$V$5001,"&lt;&gt;")=0,"",SUMIFS(BD!$V$3:$V$5001,BD!$B$3:$B$5001,I$140,BD!$A$3:$A$5001,_xlfn.MAXIFS(BD!$A$3:$A$5001,BD!$B$3:$B$5001,I$140,BD!$A$3:$A$5001,"&gt;="&amp;$C$7,BD!$A$3:$A$5001,"&lt;="&amp;$B146,BD!$V$3:$V$5001,"&lt;&gt;"))))</f>
        <v/>
      </c>
      <c r="J146" s="54" t="str">
        <f>IF(OR($B146="",$A146&gt;$B$9,J$140=""),"",IF(COUNTIFS(BD!$B$3:$B$5001,J$140,BD!$A$3:$A$5001,"&gt;="&amp;$C$7,BD!$A$3:$A$5001,"&lt;="&amp;$B146,BD!$V$3:$V$5001,"&lt;&gt;")=0,"",SUMIFS(BD!$V$3:$V$5001,BD!$B$3:$B$5001,J$140,BD!$A$3:$A$5001,_xlfn.MAXIFS(BD!$A$3:$A$5001,BD!$B$3:$B$5001,J$140,BD!$A$3:$A$5001,"&gt;="&amp;$C$7,BD!$A$3:$A$5001,"&lt;="&amp;$B146,BD!$V$3:$V$5001,"&lt;&gt;"))))</f>
        <v/>
      </c>
      <c r="K146" s="54" t="str">
        <f>IF(OR($B146="",$A146&gt;$B$9,K$140=""),"",IF(COUNTIFS(BD!$B$3:$B$5001,K$140,BD!$A$3:$A$5001,"&gt;="&amp;$C$7,BD!$A$3:$A$5001,"&lt;="&amp;$B146,BD!$V$3:$V$5001,"&lt;&gt;")=0,"",SUMIFS(BD!$V$3:$V$5001,BD!$B$3:$B$5001,K$140,BD!$A$3:$A$5001,_xlfn.MAXIFS(BD!$A$3:$A$5001,BD!$B$3:$B$5001,K$140,BD!$A$3:$A$5001,"&gt;="&amp;$C$7,BD!$A$3:$A$5001,"&lt;="&amp;$B146,BD!$V$3:$V$5001,"&lt;&gt;"))))</f>
        <v/>
      </c>
      <c r="L146" s="54" t="str">
        <f>IF(OR($B146="",$A146&gt;$B$9,L$140=""),"",IF(COUNTIFS(BD!$B$3:$B$5001,L$140,BD!$A$3:$A$5001,"&gt;="&amp;$C$7,BD!$A$3:$A$5001,"&lt;="&amp;$B146,BD!$V$3:$V$5001,"&lt;&gt;")=0,"",SUMIFS(BD!$V$3:$V$5001,BD!$B$3:$B$5001,L$140,BD!$A$3:$A$5001,_xlfn.MAXIFS(BD!$A$3:$A$5001,BD!$B$3:$B$5001,L$140,BD!$A$3:$A$5001,"&gt;="&amp;$C$7,BD!$A$3:$A$5001,"&lt;="&amp;$B146,BD!$V$3:$V$5001,"&lt;&gt;"))))</f>
        <v/>
      </c>
      <c r="M146" s="54" t="str">
        <f>IF(OR($B146="",$A146&gt;$B$9,M$140=""),"",IF(COUNTIFS(BD!$B$3:$B$5001,M$140,BD!$A$3:$A$5001,"&gt;="&amp;$C$7,BD!$A$3:$A$5001,"&lt;="&amp;$B146,BD!$V$3:$V$5001,"&lt;&gt;")=0,"",SUMIFS(BD!$V$3:$V$5001,BD!$B$3:$B$5001,M$140,BD!$A$3:$A$5001,_xlfn.MAXIFS(BD!$A$3:$A$5001,BD!$B$3:$B$5001,M$140,BD!$A$3:$A$5001,"&gt;="&amp;$C$7,BD!$A$3:$A$5001,"&lt;="&amp;$B146,BD!$V$3:$V$5001,"&lt;&gt;"))))</f>
        <v/>
      </c>
      <c r="N146" s="54" t="str">
        <f>IF(OR($B146="",$A146&gt;$B$9,N$140=""),"",IF(COUNTIFS(BD!$B$3:$B$5001,N$140,BD!$A$3:$A$5001,"&gt;="&amp;$C$7,BD!$A$3:$A$5001,"&lt;="&amp;$B146,BD!$V$3:$V$5001,"&lt;&gt;")=0,"",SUMIFS(BD!$V$3:$V$5001,BD!$B$3:$B$5001,N$140,BD!$A$3:$A$5001,_xlfn.MAXIFS(BD!$A$3:$A$5001,BD!$B$3:$B$5001,N$140,BD!$A$3:$A$5001,"&gt;="&amp;$C$7,BD!$A$3:$A$5001,"&lt;="&amp;$B146,BD!$V$3:$V$5001,"&lt;&gt;"))))</f>
        <v/>
      </c>
      <c r="O146" s="54" t="str">
        <f>IF(OR($B146="",$A146&gt;$B$9,O$140=""),"",IF(COUNTIFS(BD!$B$3:$B$5001,O$140,BD!$A$3:$A$5001,"&gt;="&amp;$C$7,BD!$A$3:$A$5001,"&lt;="&amp;$B146,BD!$V$3:$V$5001,"&lt;&gt;")=0,"",SUMIFS(BD!$V$3:$V$5001,BD!$B$3:$B$5001,O$140,BD!$A$3:$A$5001,_xlfn.MAXIFS(BD!$A$3:$A$5001,BD!$B$3:$B$5001,O$140,BD!$A$3:$A$5001,"&gt;="&amp;$C$7,BD!$A$3:$A$5001,"&lt;="&amp;$B146,BD!$V$3:$V$5001,"&lt;&gt;"))))</f>
        <v/>
      </c>
      <c r="P146" s="54" t="str">
        <f>IF(OR($B146="",$A146&gt;$B$9,P$140=""),"",IF(COUNTIFS(BD!$B$3:$B$5001,P$140,BD!$A$3:$A$5001,"&gt;="&amp;$C$7,BD!$A$3:$A$5001,"&lt;="&amp;$B146,BD!$V$3:$V$5001,"&lt;&gt;")=0,"",SUMIFS(BD!$V$3:$V$5001,BD!$B$3:$B$5001,P$140,BD!$A$3:$A$5001,_xlfn.MAXIFS(BD!$A$3:$A$5001,BD!$B$3:$B$5001,P$140,BD!$A$3:$A$5001,"&gt;="&amp;$C$7,BD!$A$3:$A$5001,"&lt;="&amp;$B146,BD!$V$3:$V$5001,"&lt;&gt;"))))</f>
        <v/>
      </c>
      <c r="Q146" s="54" t="str">
        <f>IF(OR($B146="",$A146&gt;$B$9,Q$140=""),"",IF(COUNTIFS(BD!$B$3:$B$5001,Q$140,BD!$A$3:$A$5001,"&gt;="&amp;$C$7,BD!$A$3:$A$5001,"&lt;="&amp;$B146,BD!$V$3:$V$5001,"&lt;&gt;")=0,"",SUMIFS(BD!$V$3:$V$5001,BD!$B$3:$B$5001,Q$140,BD!$A$3:$A$5001,_xlfn.MAXIFS(BD!$A$3:$A$5001,BD!$B$3:$B$5001,Q$140,BD!$A$3:$A$5001,"&gt;="&amp;$C$7,BD!$A$3:$A$5001,"&lt;="&amp;$B146,BD!$V$3:$V$5001,"&lt;&gt;"))))</f>
        <v/>
      </c>
      <c r="R146" s="54" t="str">
        <f>IF(OR($B146="",$A146&gt;$B$9,R$140=""),"",IF(COUNTIFS(BD!$B$3:$B$5001,R$140,BD!$A$3:$A$5001,"&gt;="&amp;$C$7,BD!$A$3:$A$5001,"&lt;="&amp;$B146,BD!$V$3:$V$5001,"&lt;&gt;")=0,"",SUMIFS(BD!$V$3:$V$5001,BD!$B$3:$B$5001,R$140,BD!$A$3:$A$5001,_xlfn.MAXIFS(BD!$A$3:$A$5001,BD!$B$3:$B$5001,R$140,BD!$A$3:$A$5001,"&gt;="&amp;$C$7,BD!$A$3:$A$5001,"&lt;="&amp;$B146,BD!$V$3:$V$5001,"&lt;&gt;"))))</f>
        <v/>
      </c>
      <c r="S146" s="54" t="str">
        <f>IF(OR($B146="",$A146&gt;$B$9,S$140=""),"",IF(COUNTIFS(BD!$B$3:$B$5001,S$140,BD!$A$3:$A$5001,"&gt;="&amp;$C$7,BD!$A$3:$A$5001,"&lt;="&amp;$B146,BD!$V$3:$V$5001,"&lt;&gt;")=0,"",SUMIFS(BD!$V$3:$V$5001,BD!$B$3:$B$5001,S$140,BD!$A$3:$A$5001,_xlfn.MAXIFS(BD!$A$3:$A$5001,BD!$B$3:$B$5001,S$140,BD!$A$3:$A$5001,"&gt;="&amp;$C$7,BD!$A$3:$A$5001,"&lt;="&amp;$B146,BD!$V$3:$V$5001,"&lt;&gt;"))))</f>
        <v/>
      </c>
      <c r="T146" s="54" t="str">
        <f>IF(OR($B146="",$A146&gt;$B$9,T$140=""),"",IF(COUNTIFS(BD!$B$3:$B$5001,T$140,BD!$A$3:$A$5001,"&gt;="&amp;$C$7,BD!$A$3:$A$5001,"&lt;="&amp;$B146,BD!$V$3:$V$5001,"&lt;&gt;")=0,"",SUMIFS(BD!$V$3:$V$5001,BD!$B$3:$B$5001,T$140,BD!$A$3:$A$5001,_xlfn.MAXIFS(BD!$A$3:$A$5001,BD!$B$3:$B$5001,T$140,BD!$A$3:$A$5001,"&gt;="&amp;$C$7,BD!$A$3:$A$5001,"&lt;="&amp;$B146,BD!$V$3:$V$5001,"&lt;&gt;"))))</f>
        <v/>
      </c>
      <c r="U146" s="54" t="str">
        <f>IF(OR($B146="",$A146&gt;$B$9,U$140=""),"",IF(COUNTIFS(BD!$B$3:$B$5001,U$140,BD!$A$3:$A$5001,"&gt;="&amp;$C$7,BD!$A$3:$A$5001,"&lt;="&amp;$B146,BD!$V$3:$V$5001,"&lt;&gt;")=0,"",SUMIFS(BD!$V$3:$V$5001,BD!$B$3:$B$5001,U$140,BD!$A$3:$A$5001,_xlfn.MAXIFS(BD!$A$3:$A$5001,BD!$B$3:$B$5001,U$140,BD!$A$3:$A$5001,"&gt;="&amp;$C$7,BD!$A$3:$A$5001,"&lt;="&amp;$B146,BD!$V$3:$V$5001,"&lt;&gt;"))))</f>
        <v/>
      </c>
      <c r="V146" s="54" t="str">
        <f>IF(OR($B146="",$A146&gt;$B$9,V$140=""),"",IF(COUNTIFS(BD!$B$3:$B$5001,V$140,BD!$A$3:$A$5001,"&gt;="&amp;$C$7,BD!$A$3:$A$5001,"&lt;="&amp;$B146,BD!$V$3:$V$5001,"&lt;&gt;")=0,"",SUMIFS(BD!$V$3:$V$5001,BD!$B$3:$B$5001,V$140,BD!$A$3:$A$5001,_xlfn.MAXIFS(BD!$A$3:$A$5001,BD!$B$3:$B$5001,V$140,BD!$A$3:$A$5001,"&gt;="&amp;$C$7,BD!$A$3:$A$5001,"&lt;="&amp;$B146,BD!$V$3:$V$5001,"&lt;&gt;"))))</f>
        <v/>
      </c>
    </row>
    <row r="147">
      <c r="A147" s="48">
        <v>7</v>
      </c>
      <c r="B147" s="53">
        <f>$B$18</f>
        <v>46302</v>
      </c>
      <c r="C147" s="54" t="str">
        <f>IF(OR($B147="",$A147&gt;$B$9,C$140=""),"",IF(COUNTIFS(BD!$B$3:$B$5001,C$140,BD!$A$3:$A$5001,"&gt;="&amp;$C$7,BD!$A$3:$A$5001,"&lt;="&amp;$B147,BD!$V$3:$V$5001,"&lt;&gt;")=0,"",SUMIFS(BD!$V$3:$V$5001,BD!$B$3:$B$5001,C$140,BD!$A$3:$A$5001,_xlfn.MAXIFS(BD!$A$3:$A$5001,BD!$B$3:$B$5001,C$140,BD!$A$3:$A$5001,"&gt;="&amp;$C$7,BD!$A$3:$A$5001,"&lt;="&amp;$B147,BD!$V$3:$V$5001,"&lt;&gt;"))))</f>
        <v/>
      </c>
      <c r="D147" s="54" t="str">
        <f>IF(OR($B147="",$A147&gt;$B$9,D$140=""),"",IF(COUNTIFS(BD!$B$3:$B$5001,D$140,BD!$A$3:$A$5001,"&gt;="&amp;$C$7,BD!$A$3:$A$5001,"&lt;="&amp;$B147,BD!$V$3:$V$5001,"&lt;&gt;")=0,"",SUMIFS(BD!$V$3:$V$5001,BD!$B$3:$B$5001,D$140,BD!$A$3:$A$5001,_xlfn.MAXIFS(BD!$A$3:$A$5001,BD!$B$3:$B$5001,D$140,BD!$A$3:$A$5001,"&gt;="&amp;$C$7,BD!$A$3:$A$5001,"&lt;="&amp;$B147,BD!$V$3:$V$5001,"&lt;&gt;"))))</f>
        <v/>
      </c>
      <c r="E147" s="54" t="str">
        <f>IF(OR($B147="",$A147&gt;$B$9,E$140=""),"",IF(COUNTIFS(BD!$B$3:$B$5001,E$140,BD!$A$3:$A$5001,"&gt;="&amp;$C$7,BD!$A$3:$A$5001,"&lt;="&amp;$B147,BD!$V$3:$V$5001,"&lt;&gt;")=0,"",SUMIFS(BD!$V$3:$V$5001,BD!$B$3:$B$5001,E$140,BD!$A$3:$A$5001,_xlfn.MAXIFS(BD!$A$3:$A$5001,BD!$B$3:$B$5001,E$140,BD!$A$3:$A$5001,"&gt;="&amp;$C$7,BD!$A$3:$A$5001,"&lt;="&amp;$B147,BD!$V$3:$V$5001,"&lt;&gt;"))))</f>
        <v/>
      </c>
      <c r="F147" s="54" t="str">
        <f>IF(OR($B147="",$A147&gt;$B$9,F$140=""),"",IF(COUNTIFS(BD!$B$3:$B$5001,F$140,BD!$A$3:$A$5001,"&gt;="&amp;$C$7,BD!$A$3:$A$5001,"&lt;="&amp;$B147,BD!$V$3:$V$5001,"&lt;&gt;")=0,"",SUMIFS(BD!$V$3:$V$5001,BD!$B$3:$B$5001,F$140,BD!$A$3:$A$5001,_xlfn.MAXIFS(BD!$A$3:$A$5001,BD!$B$3:$B$5001,F$140,BD!$A$3:$A$5001,"&gt;="&amp;$C$7,BD!$A$3:$A$5001,"&lt;="&amp;$B147,BD!$V$3:$V$5001,"&lt;&gt;"))))</f>
        <v/>
      </c>
      <c r="G147" s="54" t="str">
        <f>IF(OR($B147="",$A147&gt;$B$9,G$140=""),"",IF(COUNTIFS(BD!$B$3:$B$5001,G$140,BD!$A$3:$A$5001,"&gt;="&amp;$C$7,BD!$A$3:$A$5001,"&lt;="&amp;$B147,BD!$V$3:$V$5001,"&lt;&gt;")=0,"",SUMIFS(BD!$V$3:$V$5001,BD!$B$3:$B$5001,G$140,BD!$A$3:$A$5001,_xlfn.MAXIFS(BD!$A$3:$A$5001,BD!$B$3:$B$5001,G$140,BD!$A$3:$A$5001,"&gt;="&amp;$C$7,BD!$A$3:$A$5001,"&lt;="&amp;$B147,BD!$V$3:$V$5001,"&lt;&gt;"))))</f>
        <v/>
      </c>
      <c r="H147" s="54" t="str">
        <f>IF(OR($B147="",$A147&gt;$B$9,H$140=""),"",IF(COUNTIFS(BD!$B$3:$B$5001,H$140,BD!$A$3:$A$5001,"&gt;="&amp;$C$7,BD!$A$3:$A$5001,"&lt;="&amp;$B147,BD!$V$3:$V$5001,"&lt;&gt;")=0,"",SUMIFS(BD!$V$3:$V$5001,BD!$B$3:$B$5001,H$140,BD!$A$3:$A$5001,_xlfn.MAXIFS(BD!$A$3:$A$5001,BD!$B$3:$B$5001,H$140,BD!$A$3:$A$5001,"&gt;="&amp;$C$7,BD!$A$3:$A$5001,"&lt;="&amp;$B147,BD!$V$3:$V$5001,"&lt;&gt;"))))</f>
        <v/>
      </c>
      <c r="I147" s="54" t="str">
        <f>IF(OR($B147="",$A147&gt;$B$9,I$140=""),"",IF(COUNTIFS(BD!$B$3:$B$5001,I$140,BD!$A$3:$A$5001,"&gt;="&amp;$C$7,BD!$A$3:$A$5001,"&lt;="&amp;$B147,BD!$V$3:$V$5001,"&lt;&gt;")=0,"",SUMIFS(BD!$V$3:$V$5001,BD!$B$3:$B$5001,I$140,BD!$A$3:$A$5001,_xlfn.MAXIFS(BD!$A$3:$A$5001,BD!$B$3:$B$5001,I$140,BD!$A$3:$A$5001,"&gt;="&amp;$C$7,BD!$A$3:$A$5001,"&lt;="&amp;$B147,BD!$V$3:$V$5001,"&lt;&gt;"))))</f>
        <v/>
      </c>
      <c r="J147" s="54" t="str">
        <f>IF(OR($B147="",$A147&gt;$B$9,J$140=""),"",IF(COUNTIFS(BD!$B$3:$B$5001,J$140,BD!$A$3:$A$5001,"&gt;="&amp;$C$7,BD!$A$3:$A$5001,"&lt;="&amp;$B147,BD!$V$3:$V$5001,"&lt;&gt;")=0,"",SUMIFS(BD!$V$3:$V$5001,BD!$B$3:$B$5001,J$140,BD!$A$3:$A$5001,_xlfn.MAXIFS(BD!$A$3:$A$5001,BD!$B$3:$B$5001,J$140,BD!$A$3:$A$5001,"&gt;="&amp;$C$7,BD!$A$3:$A$5001,"&lt;="&amp;$B147,BD!$V$3:$V$5001,"&lt;&gt;"))))</f>
        <v/>
      </c>
      <c r="K147" s="54" t="str">
        <f>IF(OR($B147="",$A147&gt;$B$9,K$140=""),"",IF(COUNTIFS(BD!$B$3:$B$5001,K$140,BD!$A$3:$A$5001,"&gt;="&amp;$C$7,BD!$A$3:$A$5001,"&lt;="&amp;$B147,BD!$V$3:$V$5001,"&lt;&gt;")=0,"",SUMIFS(BD!$V$3:$V$5001,BD!$B$3:$B$5001,K$140,BD!$A$3:$A$5001,_xlfn.MAXIFS(BD!$A$3:$A$5001,BD!$B$3:$B$5001,K$140,BD!$A$3:$A$5001,"&gt;="&amp;$C$7,BD!$A$3:$A$5001,"&lt;="&amp;$B147,BD!$V$3:$V$5001,"&lt;&gt;"))))</f>
        <v/>
      </c>
      <c r="L147" s="54" t="str">
        <f>IF(OR($B147="",$A147&gt;$B$9,L$140=""),"",IF(COUNTIFS(BD!$B$3:$B$5001,L$140,BD!$A$3:$A$5001,"&gt;="&amp;$C$7,BD!$A$3:$A$5001,"&lt;="&amp;$B147,BD!$V$3:$V$5001,"&lt;&gt;")=0,"",SUMIFS(BD!$V$3:$V$5001,BD!$B$3:$B$5001,L$140,BD!$A$3:$A$5001,_xlfn.MAXIFS(BD!$A$3:$A$5001,BD!$B$3:$B$5001,L$140,BD!$A$3:$A$5001,"&gt;="&amp;$C$7,BD!$A$3:$A$5001,"&lt;="&amp;$B147,BD!$V$3:$V$5001,"&lt;&gt;"))))</f>
        <v/>
      </c>
      <c r="M147" s="54" t="str">
        <f>IF(OR($B147="",$A147&gt;$B$9,M$140=""),"",IF(COUNTIFS(BD!$B$3:$B$5001,M$140,BD!$A$3:$A$5001,"&gt;="&amp;$C$7,BD!$A$3:$A$5001,"&lt;="&amp;$B147,BD!$V$3:$V$5001,"&lt;&gt;")=0,"",SUMIFS(BD!$V$3:$V$5001,BD!$B$3:$B$5001,M$140,BD!$A$3:$A$5001,_xlfn.MAXIFS(BD!$A$3:$A$5001,BD!$B$3:$B$5001,M$140,BD!$A$3:$A$5001,"&gt;="&amp;$C$7,BD!$A$3:$A$5001,"&lt;="&amp;$B147,BD!$V$3:$V$5001,"&lt;&gt;"))))</f>
        <v/>
      </c>
      <c r="N147" s="54" t="str">
        <f>IF(OR($B147="",$A147&gt;$B$9,N$140=""),"",IF(COUNTIFS(BD!$B$3:$B$5001,N$140,BD!$A$3:$A$5001,"&gt;="&amp;$C$7,BD!$A$3:$A$5001,"&lt;="&amp;$B147,BD!$V$3:$V$5001,"&lt;&gt;")=0,"",SUMIFS(BD!$V$3:$V$5001,BD!$B$3:$B$5001,N$140,BD!$A$3:$A$5001,_xlfn.MAXIFS(BD!$A$3:$A$5001,BD!$B$3:$B$5001,N$140,BD!$A$3:$A$5001,"&gt;="&amp;$C$7,BD!$A$3:$A$5001,"&lt;="&amp;$B147,BD!$V$3:$V$5001,"&lt;&gt;"))))</f>
        <v/>
      </c>
      <c r="O147" s="54" t="str">
        <f>IF(OR($B147="",$A147&gt;$B$9,O$140=""),"",IF(COUNTIFS(BD!$B$3:$B$5001,O$140,BD!$A$3:$A$5001,"&gt;="&amp;$C$7,BD!$A$3:$A$5001,"&lt;="&amp;$B147,BD!$V$3:$V$5001,"&lt;&gt;")=0,"",SUMIFS(BD!$V$3:$V$5001,BD!$B$3:$B$5001,O$140,BD!$A$3:$A$5001,_xlfn.MAXIFS(BD!$A$3:$A$5001,BD!$B$3:$B$5001,O$140,BD!$A$3:$A$5001,"&gt;="&amp;$C$7,BD!$A$3:$A$5001,"&lt;="&amp;$B147,BD!$V$3:$V$5001,"&lt;&gt;"))))</f>
        <v/>
      </c>
      <c r="P147" s="54" t="str">
        <f>IF(OR($B147="",$A147&gt;$B$9,P$140=""),"",IF(COUNTIFS(BD!$B$3:$B$5001,P$140,BD!$A$3:$A$5001,"&gt;="&amp;$C$7,BD!$A$3:$A$5001,"&lt;="&amp;$B147,BD!$V$3:$V$5001,"&lt;&gt;")=0,"",SUMIFS(BD!$V$3:$V$5001,BD!$B$3:$B$5001,P$140,BD!$A$3:$A$5001,_xlfn.MAXIFS(BD!$A$3:$A$5001,BD!$B$3:$B$5001,P$140,BD!$A$3:$A$5001,"&gt;="&amp;$C$7,BD!$A$3:$A$5001,"&lt;="&amp;$B147,BD!$V$3:$V$5001,"&lt;&gt;"))))</f>
        <v/>
      </c>
      <c r="Q147" s="54" t="str">
        <f>IF(OR($B147="",$A147&gt;$B$9,Q$140=""),"",IF(COUNTIFS(BD!$B$3:$B$5001,Q$140,BD!$A$3:$A$5001,"&gt;="&amp;$C$7,BD!$A$3:$A$5001,"&lt;="&amp;$B147,BD!$V$3:$V$5001,"&lt;&gt;")=0,"",SUMIFS(BD!$V$3:$V$5001,BD!$B$3:$B$5001,Q$140,BD!$A$3:$A$5001,_xlfn.MAXIFS(BD!$A$3:$A$5001,BD!$B$3:$B$5001,Q$140,BD!$A$3:$A$5001,"&gt;="&amp;$C$7,BD!$A$3:$A$5001,"&lt;="&amp;$B147,BD!$V$3:$V$5001,"&lt;&gt;"))))</f>
        <v/>
      </c>
      <c r="R147" s="54" t="str">
        <f>IF(OR($B147="",$A147&gt;$B$9,R$140=""),"",IF(COUNTIFS(BD!$B$3:$B$5001,R$140,BD!$A$3:$A$5001,"&gt;="&amp;$C$7,BD!$A$3:$A$5001,"&lt;="&amp;$B147,BD!$V$3:$V$5001,"&lt;&gt;")=0,"",SUMIFS(BD!$V$3:$V$5001,BD!$B$3:$B$5001,R$140,BD!$A$3:$A$5001,_xlfn.MAXIFS(BD!$A$3:$A$5001,BD!$B$3:$B$5001,R$140,BD!$A$3:$A$5001,"&gt;="&amp;$C$7,BD!$A$3:$A$5001,"&lt;="&amp;$B147,BD!$V$3:$V$5001,"&lt;&gt;"))))</f>
        <v/>
      </c>
      <c r="S147" s="54" t="str">
        <f>IF(OR($B147="",$A147&gt;$B$9,S$140=""),"",IF(COUNTIFS(BD!$B$3:$B$5001,S$140,BD!$A$3:$A$5001,"&gt;="&amp;$C$7,BD!$A$3:$A$5001,"&lt;="&amp;$B147,BD!$V$3:$V$5001,"&lt;&gt;")=0,"",SUMIFS(BD!$V$3:$V$5001,BD!$B$3:$B$5001,S$140,BD!$A$3:$A$5001,_xlfn.MAXIFS(BD!$A$3:$A$5001,BD!$B$3:$B$5001,S$140,BD!$A$3:$A$5001,"&gt;="&amp;$C$7,BD!$A$3:$A$5001,"&lt;="&amp;$B147,BD!$V$3:$V$5001,"&lt;&gt;"))))</f>
        <v/>
      </c>
      <c r="T147" s="54" t="str">
        <f>IF(OR($B147="",$A147&gt;$B$9,T$140=""),"",IF(COUNTIFS(BD!$B$3:$B$5001,T$140,BD!$A$3:$A$5001,"&gt;="&amp;$C$7,BD!$A$3:$A$5001,"&lt;="&amp;$B147,BD!$V$3:$V$5001,"&lt;&gt;")=0,"",SUMIFS(BD!$V$3:$V$5001,BD!$B$3:$B$5001,T$140,BD!$A$3:$A$5001,_xlfn.MAXIFS(BD!$A$3:$A$5001,BD!$B$3:$B$5001,T$140,BD!$A$3:$A$5001,"&gt;="&amp;$C$7,BD!$A$3:$A$5001,"&lt;="&amp;$B147,BD!$V$3:$V$5001,"&lt;&gt;"))))</f>
        <v/>
      </c>
      <c r="U147" s="54" t="str">
        <f>IF(OR($B147="",$A147&gt;$B$9,U$140=""),"",IF(COUNTIFS(BD!$B$3:$B$5001,U$140,BD!$A$3:$A$5001,"&gt;="&amp;$C$7,BD!$A$3:$A$5001,"&lt;="&amp;$B147,BD!$V$3:$V$5001,"&lt;&gt;")=0,"",SUMIFS(BD!$V$3:$V$5001,BD!$B$3:$B$5001,U$140,BD!$A$3:$A$5001,_xlfn.MAXIFS(BD!$A$3:$A$5001,BD!$B$3:$B$5001,U$140,BD!$A$3:$A$5001,"&gt;="&amp;$C$7,BD!$A$3:$A$5001,"&lt;="&amp;$B147,BD!$V$3:$V$5001,"&lt;&gt;"))))</f>
        <v/>
      </c>
      <c r="V147" s="54" t="str">
        <f>IF(OR($B147="",$A147&gt;$B$9,V$140=""),"",IF(COUNTIFS(BD!$B$3:$B$5001,V$140,BD!$A$3:$A$5001,"&gt;="&amp;$C$7,BD!$A$3:$A$5001,"&lt;="&amp;$B147,BD!$V$3:$V$5001,"&lt;&gt;")=0,"",SUMIFS(BD!$V$3:$V$5001,BD!$B$3:$B$5001,V$140,BD!$A$3:$A$5001,_xlfn.MAXIFS(BD!$A$3:$A$5001,BD!$B$3:$B$5001,V$140,BD!$A$3:$A$5001,"&gt;="&amp;$C$7,BD!$A$3:$A$5001,"&lt;="&amp;$B147,BD!$V$3:$V$5001,"&lt;&gt;"))))</f>
        <v/>
      </c>
    </row>
    <row r="148">
      <c r="A148" s="48">
        <v>8</v>
      </c>
      <c r="B148" s="53">
        <f>$B$19</f>
        <v>46303</v>
      </c>
      <c r="C148" s="54" t="str">
        <f>IF(OR($B148="",$A148&gt;$B$9,C$140=""),"",IF(COUNTIFS(BD!$B$3:$B$5001,C$140,BD!$A$3:$A$5001,"&gt;="&amp;$C$7,BD!$A$3:$A$5001,"&lt;="&amp;$B148,BD!$V$3:$V$5001,"&lt;&gt;")=0,"",SUMIFS(BD!$V$3:$V$5001,BD!$B$3:$B$5001,C$140,BD!$A$3:$A$5001,_xlfn.MAXIFS(BD!$A$3:$A$5001,BD!$B$3:$B$5001,C$140,BD!$A$3:$A$5001,"&gt;="&amp;$C$7,BD!$A$3:$A$5001,"&lt;="&amp;$B148,BD!$V$3:$V$5001,"&lt;&gt;"))))</f>
        <v/>
      </c>
      <c r="D148" s="54" t="str">
        <f>IF(OR($B148="",$A148&gt;$B$9,D$140=""),"",IF(COUNTIFS(BD!$B$3:$B$5001,D$140,BD!$A$3:$A$5001,"&gt;="&amp;$C$7,BD!$A$3:$A$5001,"&lt;="&amp;$B148,BD!$V$3:$V$5001,"&lt;&gt;")=0,"",SUMIFS(BD!$V$3:$V$5001,BD!$B$3:$B$5001,D$140,BD!$A$3:$A$5001,_xlfn.MAXIFS(BD!$A$3:$A$5001,BD!$B$3:$B$5001,D$140,BD!$A$3:$A$5001,"&gt;="&amp;$C$7,BD!$A$3:$A$5001,"&lt;="&amp;$B148,BD!$V$3:$V$5001,"&lt;&gt;"))))</f>
        <v/>
      </c>
      <c r="E148" s="54" t="str">
        <f>IF(OR($B148="",$A148&gt;$B$9,E$140=""),"",IF(COUNTIFS(BD!$B$3:$B$5001,E$140,BD!$A$3:$A$5001,"&gt;="&amp;$C$7,BD!$A$3:$A$5001,"&lt;="&amp;$B148,BD!$V$3:$V$5001,"&lt;&gt;")=0,"",SUMIFS(BD!$V$3:$V$5001,BD!$B$3:$B$5001,E$140,BD!$A$3:$A$5001,_xlfn.MAXIFS(BD!$A$3:$A$5001,BD!$B$3:$B$5001,E$140,BD!$A$3:$A$5001,"&gt;="&amp;$C$7,BD!$A$3:$A$5001,"&lt;="&amp;$B148,BD!$V$3:$V$5001,"&lt;&gt;"))))</f>
        <v/>
      </c>
      <c r="F148" s="54" t="str">
        <f>IF(OR($B148="",$A148&gt;$B$9,F$140=""),"",IF(COUNTIFS(BD!$B$3:$B$5001,F$140,BD!$A$3:$A$5001,"&gt;="&amp;$C$7,BD!$A$3:$A$5001,"&lt;="&amp;$B148,BD!$V$3:$V$5001,"&lt;&gt;")=0,"",SUMIFS(BD!$V$3:$V$5001,BD!$B$3:$B$5001,F$140,BD!$A$3:$A$5001,_xlfn.MAXIFS(BD!$A$3:$A$5001,BD!$B$3:$B$5001,F$140,BD!$A$3:$A$5001,"&gt;="&amp;$C$7,BD!$A$3:$A$5001,"&lt;="&amp;$B148,BD!$V$3:$V$5001,"&lt;&gt;"))))</f>
        <v/>
      </c>
      <c r="G148" s="54" t="str">
        <f>IF(OR($B148="",$A148&gt;$B$9,G$140=""),"",IF(COUNTIFS(BD!$B$3:$B$5001,G$140,BD!$A$3:$A$5001,"&gt;="&amp;$C$7,BD!$A$3:$A$5001,"&lt;="&amp;$B148,BD!$V$3:$V$5001,"&lt;&gt;")=0,"",SUMIFS(BD!$V$3:$V$5001,BD!$B$3:$B$5001,G$140,BD!$A$3:$A$5001,_xlfn.MAXIFS(BD!$A$3:$A$5001,BD!$B$3:$B$5001,G$140,BD!$A$3:$A$5001,"&gt;="&amp;$C$7,BD!$A$3:$A$5001,"&lt;="&amp;$B148,BD!$V$3:$V$5001,"&lt;&gt;"))))</f>
        <v/>
      </c>
      <c r="H148" s="54" t="str">
        <f>IF(OR($B148="",$A148&gt;$B$9,H$140=""),"",IF(COUNTIFS(BD!$B$3:$B$5001,H$140,BD!$A$3:$A$5001,"&gt;="&amp;$C$7,BD!$A$3:$A$5001,"&lt;="&amp;$B148,BD!$V$3:$V$5001,"&lt;&gt;")=0,"",SUMIFS(BD!$V$3:$V$5001,BD!$B$3:$B$5001,H$140,BD!$A$3:$A$5001,_xlfn.MAXIFS(BD!$A$3:$A$5001,BD!$B$3:$B$5001,H$140,BD!$A$3:$A$5001,"&gt;="&amp;$C$7,BD!$A$3:$A$5001,"&lt;="&amp;$B148,BD!$V$3:$V$5001,"&lt;&gt;"))))</f>
        <v/>
      </c>
      <c r="I148" s="54" t="str">
        <f>IF(OR($B148="",$A148&gt;$B$9,I$140=""),"",IF(COUNTIFS(BD!$B$3:$B$5001,I$140,BD!$A$3:$A$5001,"&gt;="&amp;$C$7,BD!$A$3:$A$5001,"&lt;="&amp;$B148,BD!$V$3:$V$5001,"&lt;&gt;")=0,"",SUMIFS(BD!$V$3:$V$5001,BD!$B$3:$B$5001,I$140,BD!$A$3:$A$5001,_xlfn.MAXIFS(BD!$A$3:$A$5001,BD!$B$3:$B$5001,I$140,BD!$A$3:$A$5001,"&gt;="&amp;$C$7,BD!$A$3:$A$5001,"&lt;="&amp;$B148,BD!$V$3:$V$5001,"&lt;&gt;"))))</f>
        <v/>
      </c>
      <c r="J148" s="54" t="str">
        <f>IF(OR($B148="",$A148&gt;$B$9,J$140=""),"",IF(COUNTIFS(BD!$B$3:$B$5001,J$140,BD!$A$3:$A$5001,"&gt;="&amp;$C$7,BD!$A$3:$A$5001,"&lt;="&amp;$B148,BD!$V$3:$V$5001,"&lt;&gt;")=0,"",SUMIFS(BD!$V$3:$V$5001,BD!$B$3:$B$5001,J$140,BD!$A$3:$A$5001,_xlfn.MAXIFS(BD!$A$3:$A$5001,BD!$B$3:$B$5001,J$140,BD!$A$3:$A$5001,"&gt;="&amp;$C$7,BD!$A$3:$A$5001,"&lt;="&amp;$B148,BD!$V$3:$V$5001,"&lt;&gt;"))))</f>
        <v/>
      </c>
      <c r="K148" s="54" t="str">
        <f>IF(OR($B148="",$A148&gt;$B$9,K$140=""),"",IF(COUNTIFS(BD!$B$3:$B$5001,K$140,BD!$A$3:$A$5001,"&gt;="&amp;$C$7,BD!$A$3:$A$5001,"&lt;="&amp;$B148,BD!$V$3:$V$5001,"&lt;&gt;")=0,"",SUMIFS(BD!$V$3:$V$5001,BD!$B$3:$B$5001,K$140,BD!$A$3:$A$5001,_xlfn.MAXIFS(BD!$A$3:$A$5001,BD!$B$3:$B$5001,K$140,BD!$A$3:$A$5001,"&gt;="&amp;$C$7,BD!$A$3:$A$5001,"&lt;="&amp;$B148,BD!$V$3:$V$5001,"&lt;&gt;"))))</f>
        <v/>
      </c>
      <c r="L148" s="54" t="str">
        <f>IF(OR($B148="",$A148&gt;$B$9,L$140=""),"",IF(COUNTIFS(BD!$B$3:$B$5001,L$140,BD!$A$3:$A$5001,"&gt;="&amp;$C$7,BD!$A$3:$A$5001,"&lt;="&amp;$B148,BD!$V$3:$V$5001,"&lt;&gt;")=0,"",SUMIFS(BD!$V$3:$V$5001,BD!$B$3:$B$5001,L$140,BD!$A$3:$A$5001,_xlfn.MAXIFS(BD!$A$3:$A$5001,BD!$B$3:$B$5001,L$140,BD!$A$3:$A$5001,"&gt;="&amp;$C$7,BD!$A$3:$A$5001,"&lt;="&amp;$B148,BD!$V$3:$V$5001,"&lt;&gt;"))))</f>
        <v/>
      </c>
      <c r="M148" s="54" t="str">
        <f>IF(OR($B148="",$A148&gt;$B$9,M$140=""),"",IF(COUNTIFS(BD!$B$3:$B$5001,M$140,BD!$A$3:$A$5001,"&gt;="&amp;$C$7,BD!$A$3:$A$5001,"&lt;="&amp;$B148,BD!$V$3:$V$5001,"&lt;&gt;")=0,"",SUMIFS(BD!$V$3:$V$5001,BD!$B$3:$B$5001,M$140,BD!$A$3:$A$5001,_xlfn.MAXIFS(BD!$A$3:$A$5001,BD!$B$3:$B$5001,M$140,BD!$A$3:$A$5001,"&gt;="&amp;$C$7,BD!$A$3:$A$5001,"&lt;="&amp;$B148,BD!$V$3:$V$5001,"&lt;&gt;"))))</f>
        <v/>
      </c>
      <c r="N148" s="54" t="str">
        <f>IF(OR($B148="",$A148&gt;$B$9,N$140=""),"",IF(COUNTIFS(BD!$B$3:$B$5001,N$140,BD!$A$3:$A$5001,"&gt;="&amp;$C$7,BD!$A$3:$A$5001,"&lt;="&amp;$B148,BD!$V$3:$V$5001,"&lt;&gt;")=0,"",SUMIFS(BD!$V$3:$V$5001,BD!$B$3:$B$5001,N$140,BD!$A$3:$A$5001,_xlfn.MAXIFS(BD!$A$3:$A$5001,BD!$B$3:$B$5001,N$140,BD!$A$3:$A$5001,"&gt;="&amp;$C$7,BD!$A$3:$A$5001,"&lt;="&amp;$B148,BD!$V$3:$V$5001,"&lt;&gt;"))))</f>
        <v/>
      </c>
      <c r="O148" s="54" t="str">
        <f>IF(OR($B148="",$A148&gt;$B$9,O$140=""),"",IF(COUNTIFS(BD!$B$3:$B$5001,O$140,BD!$A$3:$A$5001,"&gt;="&amp;$C$7,BD!$A$3:$A$5001,"&lt;="&amp;$B148,BD!$V$3:$V$5001,"&lt;&gt;")=0,"",SUMIFS(BD!$V$3:$V$5001,BD!$B$3:$B$5001,O$140,BD!$A$3:$A$5001,_xlfn.MAXIFS(BD!$A$3:$A$5001,BD!$B$3:$B$5001,O$140,BD!$A$3:$A$5001,"&gt;="&amp;$C$7,BD!$A$3:$A$5001,"&lt;="&amp;$B148,BD!$V$3:$V$5001,"&lt;&gt;"))))</f>
        <v/>
      </c>
      <c r="P148" s="54" t="str">
        <f>IF(OR($B148="",$A148&gt;$B$9,P$140=""),"",IF(COUNTIFS(BD!$B$3:$B$5001,P$140,BD!$A$3:$A$5001,"&gt;="&amp;$C$7,BD!$A$3:$A$5001,"&lt;="&amp;$B148,BD!$V$3:$V$5001,"&lt;&gt;")=0,"",SUMIFS(BD!$V$3:$V$5001,BD!$B$3:$B$5001,P$140,BD!$A$3:$A$5001,_xlfn.MAXIFS(BD!$A$3:$A$5001,BD!$B$3:$B$5001,P$140,BD!$A$3:$A$5001,"&gt;="&amp;$C$7,BD!$A$3:$A$5001,"&lt;="&amp;$B148,BD!$V$3:$V$5001,"&lt;&gt;"))))</f>
        <v/>
      </c>
      <c r="Q148" s="54" t="str">
        <f>IF(OR($B148="",$A148&gt;$B$9,Q$140=""),"",IF(COUNTIFS(BD!$B$3:$B$5001,Q$140,BD!$A$3:$A$5001,"&gt;="&amp;$C$7,BD!$A$3:$A$5001,"&lt;="&amp;$B148,BD!$V$3:$V$5001,"&lt;&gt;")=0,"",SUMIFS(BD!$V$3:$V$5001,BD!$B$3:$B$5001,Q$140,BD!$A$3:$A$5001,_xlfn.MAXIFS(BD!$A$3:$A$5001,BD!$B$3:$B$5001,Q$140,BD!$A$3:$A$5001,"&gt;="&amp;$C$7,BD!$A$3:$A$5001,"&lt;="&amp;$B148,BD!$V$3:$V$5001,"&lt;&gt;"))))</f>
        <v/>
      </c>
      <c r="R148" s="54" t="str">
        <f>IF(OR($B148="",$A148&gt;$B$9,R$140=""),"",IF(COUNTIFS(BD!$B$3:$B$5001,R$140,BD!$A$3:$A$5001,"&gt;="&amp;$C$7,BD!$A$3:$A$5001,"&lt;="&amp;$B148,BD!$V$3:$V$5001,"&lt;&gt;")=0,"",SUMIFS(BD!$V$3:$V$5001,BD!$B$3:$B$5001,R$140,BD!$A$3:$A$5001,_xlfn.MAXIFS(BD!$A$3:$A$5001,BD!$B$3:$B$5001,R$140,BD!$A$3:$A$5001,"&gt;="&amp;$C$7,BD!$A$3:$A$5001,"&lt;="&amp;$B148,BD!$V$3:$V$5001,"&lt;&gt;"))))</f>
        <v/>
      </c>
      <c r="S148" s="54" t="str">
        <f>IF(OR($B148="",$A148&gt;$B$9,S$140=""),"",IF(COUNTIFS(BD!$B$3:$B$5001,S$140,BD!$A$3:$A$5001,"&gt;="&amp;$C$7,BD!$A$3:$A$5001,"&lt;="&amp;$B148,BD!$V$3:$V$5001,"&lt;&gt;")=0,"",SUMIFS(BD!$V$3:$V$5001,BD!$B$3:$B$5001,S$140,BD!$A$3:$A$5001,_xlfn.MAXIFS(BD!$A$3:$A$5001,BD!$B$3:$B$5001,S$140,BD!$A$3:$A$5001,"&gt;="&amp;$C$7,BD!$A$3:$A$5001,"&lt;="&amp;$B148,BD!$V$3:$V$5001,"&lt;&gt;"))))</f>
        <v/>
      </c>
      <c r="T148" s="54" t="str">
        <f>IF(OR($B148="",$A148&gt;$B$9,T$140=""),"",IF(COUNTIFS(BD!$B$3:$B$5001,T$140,BD!$A$3:$A$5001,"&gt;="&amp;$C$7,BD!$A$3:$A$5001,"&lt;="&amp;$B148,BD!$V$3:$V$5001,"&lt;&gt;")=0,"",SUMIFS(BD!$V$3:$V$5001,BD!$B$3:$B$5001,T$140,BD!$A$3:$A$5001,_xlfn.MAXIFS(BD!$A$3:$A$5001,BD!$B$3:$B$5001,T$140,BD!$A$3:$A$5001,"&gt;="&amp;$C$7,BD!$A$3:$A$5001,"&lt;="&amp;$B148,BD!$V$3:$V$5001,"&lt;&gt;"))))</f>
        <v/>
      </c>
      <c r="U148" s="54" t="str">
        <f>IF(OR($B148="",$A148&gt;$B$9,U$140=""),"",IF(COUNTIFS(BD!$B$3:$B$5001,U$140,BD!$A$3:$A$5001,"&gt;="&amp;$C$7,BD!$A$3:$A$5001,"&lt;="&amp;$B148,BD!$V$3:$V$5001,"&lt;&gt;")=0,"",SUMIFS(BD!$V$3:$V$5001,BD!$B$3:$B$5001,U$140,BD!$A$3:$A$5001,_xlfn.MAXIFS(BD!$A$3:$A$5001,BD!$B$3:$B$5001,U$140,BD!$A$3:$A$5001,"&gt;="&amp;$C$7,BD!$A$3:$A$5001,"&lt;="&amp;$B148,BD!$V$3:$V$5001,"&lt;&gt;"))))</f>
        <v/>
      </c>
      <c r="V148" s="54" t="str">
        <f>IF(OR($B148="",$A148&gt;$B$9,V$140=""),"",IF(COUNTIFS(BD!$B$3:$B$5001,V$140,BD!$A$3:$A$5001,"&gt;="&amp;$C$7,BD!$A$3:$A$5001,"&lt;="&amp;$B148,BD!$V$3:$V$5001,"&lt;&gt;")=0,"",SUMIFS(BD!$V$3:$V$5001,BD!$B$3:$B$5001,V$140,BD!$A$3:$A$5001,_xlfn.MAXIFS(BD!$A$3:$A$5001,BD!$B$3:$B$5001,V$140,BD!$A$3:$A$5001,"&gt;="&amp;$C$7,BD!$A$3:$A$5001,"&lt;="&amp;$B148,BD!$V$3:$V$5001,"&lt;&gt;"))))</f>
        <v/>
      </c>
    </row>
    <row r="149">
      <c r="A149" s="48">
        <v>9</v>
      </c>
      <c r="B149" s="53">
        <f>$B$20</f>
        <v>46304</v>
      </c>
      <c r="C149" s="54" t="str">
        <f>IF(OR($B149="",$A149&gt;$B$9,C$140=""),"",IF(COUNTIFS(BD!$B$3:$B$5001,C$140,BD!$A$3:$A$5001,"&gt;="&amp;$C$7,BD!$A$3:$A$5001,"&lt;="&amp;$B149,BD!$V$3:$V$5001,"&lt;&gt;")=0,"",SUMIFS(BD!$V$3:$V$5001,BD!$B$3:$B$5001,C$140,BD!$A$3:$A$5001,_xlfn.MAXIFS(BD!$A$3:$A$5001,BD!$B$3:$B$5001,C$140,BD!$A$3:$A$5001,"&gt;="&amp;$C$7,BD!$A$3:$A$5001,"&lt;="&amp;$B149,BD!$V$3:$V$5001,"&lt;&gt;"))))</f>
        <v/>
      </c>
      <c r="D149" s="54" t="str">
        <f>IF(OR($B149="",$A149&gt;$B$9,D$140=""),"",IF(COUNTIFS(BD!$B$3:$B$5001,D$140,BD!$A$3:$A$5001,"&gt;="&amp;$C$7,BD!$A$3:$A$5001,"&lt;="&amp;$B149,BD!$V$3:$V$5001,"&lt;&gt;")=0,"",SUMIFS(BD!$V$3:$V$5001,BD!$B$3:$B$5001,D$140,BD!$A$3:$A$5001,_xlfn.MAXIFS(BD!$A$3:$A$5001,BD!$B$3:$B$5001,D$140,BD!$A$3:$A$5001,"&gt;="&amp;$C$7,BD!$A$3:$A$5001,"&lt;="&amp;$B149,BD!$V$3:$V$5001,"&lt;&gt;"))))</f>
        <v/>
      </c>
      <c r="E149" s="54" t="str">
        <f>IF(OR($B149="",$A149&gt;$B$9,E$140=""),"",IF(COUNTIFS(BD!$B$3:$B$5001,E$140,BD!$A$3:$A$5001,"&gt;="&amp;$C$7,BD!$A$3:$A$5001,"&lt;="&amp;$B149,BD!$V$3:$V$5001,"&lt;&gt;")=0,"",SUMIFS(BD!$V$3:$V$5001,BD!$B$3:$B$5001,E$140,BD!$A$3:$A$5001,_xlfn.MAXIFS(BD!$A$3:$A$5001,BD!$B$3:$B$5001,E$140,BD!$A$3:$A$5001,"&gt;="&amp;$C$7,BD!$A$3:$A$5001,"&lt;="&amp;$B149,BD!$V$3:$V$5001,"&lt;&gt;"))))</f>
        <v/>
      </c>
      <c r="F149" s="54" t="str">
        <f>IF(OR($B149="",$A149&gt;$B$9,F$140=""),"",IF(COUNTIFS(BD!$B$3:$B$5001,F$140,BD!$A$3:$A$5001,"&gt;="&amp;$C$7,BD!$A$3:$A$5001,"&lt;="&amp;$B149,BD!$V$3:$V$5001,"&lt;&gt;")=0,"",SUMIFS(BD!$V$3:$V$5001,BD!$B$3:$B$5001,F$140,BD!$A$3:$A$5001,_xlfn.MAXIFS(BD!$A$3:$A$5001,BD!$B$3:$B$5001,F$140,BD!$A$3:$A$5001,"&gt;="&amp;$C$7,BD!$A$3:$A$5001,"&lt;="&amp;$B149,BD!$V$3:$V$5001,"&lt;&gt;"))))</f>
        <v/>
      </c>
      <c r="G149" s="54" t="str">
        <f>IF(OR($B149="",$A149&gt;$B$9,G$140=""),"",IF(COUNTIFS(BD!$B$3:$B$5001,G$140,BD!$A$3:$A$5001,"&gt;="&amp;$C$7,BD!$A$3:$A$5001,"&lt;="&amp;$B149,BD!$V$3:$V$5001,"&lt;&gt;")=0,"",SUMIFS(BD!$V$3:$V$5001,BD!$B$3:$B$5001,G$140,BD!$A$3:$A$5001,_xlfn.MAXIFS(BD!$A$3:$A$5001,BD!$B$3:$B$5001,G$140,BD!$A$3:$A$5001,"&gt;="&amp;$C$7,BD!$A$3:$A$5001,"&lt;="&amp;$B149,BD!$V$3:$V$5001,"&lt;&gt;"))))</f>
        <v/>
      </c>
      <c r="H149" s="54" t="str">
        <f>IF(OR($B149="",$A149&gt;$B$9,H$140=""),"",IF(COUNTIFS(BD!$B$3:$B$5001,H$140,BD!$A$3:$A$5001,"&gt;="&amp;$C$7,BD!$A$3:$A$5001,"&lt;="&amp;$B149,BD!$V$3:$V$5001,"&lt;&gt;")=0,"",SUMIFS(BD!$V$3:$V$5001,BD!$B$3:$B$5001,H$140,BD!$A$3:$A$5001,_xlfn.MAXIFS(BD!$A$3:$A$5001,BD!$B$3:$B$5001,H$140,BD!$A$3:$A$5001,"&gt;="&amp;$C$7,BD!$A$3:$A$5001,"&lt;="&amp;$B149,BD!$V$3:$V$5001,"&lt;&gt;"))))</f>
        <v/>
      </c>
      <c r="I149" s="54" t="str">
        <f>IF(OR($B149="",$A149&gt;$B$9,I$140=""),"",IF(COUNTIFS(BD!$B$3:$B$5001,I$140,BD!$A$3:$A$5001,"&gt;="&amp;$C$7,BD!$A$3:$A$5001,"&lt;="&amp;$B149,BD!$V$3:$V$5001,"&lt;&gt;")=0,"",SUMIFS(BD!$V$3:$V$5001,BD!$B$3:$B$5001,I$140,BD!$A$3:$A$5001,_xlfn.MAXIFS(BD!$A$3:$A$5001,BD!$B$3:$B$5001,I$140,BD!$A$3:$A$5001,"&gt;="&amp;$C$7,BD!$A$3:$A$5001,"&lt;="&amp;$B149,BD!$V$3:$V$5001,"&lt;&gt;"))))</f>
        <v/>
      </c>
      <c r="J149" s="54" t="str">
        <f>IF(OR($B149="",$A149&gt;$B$9,J$140=""),"",IF(COUNTIFS(BD!$B$3:$B$5001,J$140,BD!$A$3:$A$5001,"&gt;="&amp;$C$7,BD!$A$3:$A$5001,"&lt;="&amp;$B149,BD!$V$3:$V$5001,"&lt;&gt;")=0,"",SUMIFS(BD!$V$3:$V$5001,BD!$B$3:$B$5001,J$140,BD!$A$3:$A$5001,_xlfn.MAXIFS(BD!$A$3:$A$5001,BD!$B$3:$B$5001,J$140,BD!$A$3:$A$5001,"&gt;="&amp;$C$7,BD!$A$3:$A$5001,"&lt;="&amp;$B149,BD!$V$3:$V$5001,"&lt;&gt;"))))</f>
        <v/>
      </c>
      <c r="K149" s="54" t="str">
        <f>IF(OR($B149="",$A149&gt;$B$9,K$140=""),"",IF(COUNTIFS(BD!$B$3:$B$5001,K$140,BD!$A$3:$A$5001,"&gt;="&amp;$C$7,BD!$A$3:$A$5001,"&lt;="&amp;$B149,BD!$V$3:$V$5001,"&lt;&gt;")=0,"",SUMIFS(BD!$V$3:$V$5001,BD!$B$3:$B$5001,K$140,BD!$A$3:$A$5001,_xlfn.MAXIFS(BD!$A$3:$A$5001,BD!$B$3:$B$5001,K$140,BD!$A$3:$A$5001,"&gt;="&amp;$C$7,BD!$A$3:$A$5001,"&lt;="&amp;$B149,BD!$V$3:$V$5001,"&lt;&gt;"))))</f>
        <v/>
      </c>
      <c r="L149" s="54" t="str">
        <f>IF(OR($B149="",$A149&gt;$B$9,L$140=""),"",IF(COUNTIFS(BD!$B$3:$B$5001,L$140,BD!$A$3:$A$5001,"&gt;="&amp;$C$7,BD!$A$3:$A$5001,"&lt;="&amp;$B149,BD!$V$3:$V$5001,"&lt;&gt;")=0,"",SUMIFS(BD!$V$3:$V$5001,BD!$B$3:$B$5001,L$140,BD!$A$3:$A$5001,_xlfn.MAXIFS(BD!$A$3:$A$5001,BD!$B$3:$B$5001,L$140,BD!$A$3:$A$5001,"&gt;="&amp;$C$7,BD!$A$3:$A$5001,"&lt;="&amp;$B149,BD!$V$3:$V$5001,"&lt;&gt;"))))</f>
        <v/>
      </c>
      <c r="M149" s="54" t="str">
        <f>IF(OR($B149="",$A149&gt;$B$9,M$140=""),"",IF(COUNTIFS(BD!$B$3:$B$5001,M$140,BD!$A$3:$A$5001,"&gt;="&amp;$C$7,BD!$A$3:$A$5001,"&lt;="&amp;$B149,BD!$V$3:$V$5001,"&lt;&gt;")=0,"",SUMIFS(BD!$V$3:$V$5001,BD!$B$3:$B$5001,M$140,BD!$A$3:$A$5001,_xlfn.MAXIFS(BD!$A$3:$A$5001,BD!$B$3:$B$5001,M$140,BD!$A$3:$A$5001,"&gt;="&amp;$C$7,BD!$A$3:$A$5001,"&lt;="&amp;$B149,BD!$V$3:$V$5001,"&lt;&gt;"))))</f>
        <v/>
      </c>
      <c r="N149" s="54" t="str">
        <f>IF(OR($B149="",$A149&gt;$B$9,N$140=""),"",IF(COUNTIFS(BD!$B$3:$B$5001,N$140,BD!$A$3:$A$5001,"&gt;="&amp;$C$7,BD!$A$3:$A$5001,"&lt;="&amp;$B149,BD!$V$3:$V$5001,"&lt;&gt;")=0,"",SUMIFS(BD!$V$3:$V$5001,BD!$B$3:$B$5001,N$140,BD!$A$3:$A$5001,_xlfn.MAXIFS(BD!$A$3:$A$5001,BD!$B$3:$B$5001,N$140,BD!$A$3:$A$5001,"&gt;="&amp;$C$7,BD!$A$3:$A$5001,"&lt;="&amp;$B149,BD!$V$3:$V$5001,"&lt;&gt;"))))</f>
        <v/>
      </c>
      <c r="O149" s="54" t="str">
        <f>IF(OR($B149="",$A149&gt;$B$9,O$140=""),"",IF(COUNTIFS(BD!$B$3:$B$5001,O$140,BD!$A$3:$A$5001,"&gt;="&amp;$C$7,BD!$A$3:$A$5001,"&lt;="&amp;$B149,BD!$V$3:$V$5001,"&lt;&gt;")=0,"",SUMIFS(BD!$V$3:$V$5001,BD!$B$3:$B$5001,O$140,BD!$A$3:$A$5001,_xlfn.MAXIFS(BD!$A$3:$A$5001,BD!$B$3:$B$5001,O$140,BD!$A$3:$A$5001,"&gt;="&amp;$C$7,BD!$A$3:$A$5001,"&lt;="&amp;$B149,BD!$V$3:$V$5001,"&lt;&gt;"))))</f>
        <v/>
      </c>
      <c r="P149" s="54" t="str">
        <f>IF(OR($B149="",$A149&gt;$B$9,P$140=""),"",IF(COUNTIFS(BD!$B$3:$B$5001,P$140,BD!$A$3:$A$5001,"&gt;="&amp;$C$7,BD!$A$3:$A$5001,"&lt;="&amp;$B149,BD!$V$3:$V$5001,"&lt;&gt;")=0,"",SUMIFS(BD!$V$3:$V$5001,BD!$B$3:$B$5001,P$140,BD!$A$3:$A$5001,_xlfn.MAXIFS(BD!$A$3:$A$5001,BD!$B$3:$B$5001,P$140,BD!$A$3:$A$5001,"&gt;="&amp;$C$7,BD!$A$3:$A$5001,"&lt;="&amp;$B149,BD!$V$3:$V$5001,"&lt;&gt;"))))</f>
        <v/>
      </c>
      <c r="Q149" s="54" t="str">
        <f>IF(OR($B149="",$A149&gt;$B$9,Q$140=""),"",IF(COUNTIFS(BD!$B$3:$B$5001,Q$140,BD!$A$3:$A$5001,"&gt;="&amp;$C$7,BD!$A$3:$A$5001,"&lt;="&amp;$B149,BD!$V$3:$V$5001,"&lt;&gt;")=0,"",SUMIFS(BD!$V$3:$V$5001,BD!$B$3:$B$5001,Q$140,BD!$A$3:$A$5001,_xlfn.MAXIFS(BD!$A$3:$A$5001,BD!$B$3:$B$5001,Q$140,BD!$A$3:$A$5001,"&gt;="&amp;$C$7,BD!$A$3:$A$5001,"&lt;="&amp;$B149,BD!$V$3:$V$5001,"&lt;&gt;"))))</f>
        <v/>
      </c>
      <c r="R149" s="54" t="str">
        <f>IF(OR($B149="",$A149&gt;$B$9,R$140=""),"",IF(COUNTIFS(BD!$B$3:$B$5001,R$140,BD!$A$3:$A$5001,"&gt;="&amp;$C$7,BD!$A$3:$A$5001,"&lt;="&amp;$B149,BD!$V$3:$V$5001,"&lt;&gt;")=0,"",SUMIFS(BD!$V$3:$V$5001,BD!$B$3:$B$5001,R$140,BD!$A$3:$A$5001,_xlfn.MAXIFS(BD!$A$3:$A$5001,BD!$B$3:$B$5001,R$140,BD!$A$3:$A$5001,"&gt;="&amp;$C$7,BD!$A$3:$A$5001,"&lt;="&amp;$B149,BD!$V$3:$V$5001,"&lt;&gt;"))))</f>
        <v/>
      </c>
      <c r="S149" s="54" t="str">
        <f>IF(OR($B149="",$A149&gt;$B$9,S$140=""),"",IF(COUNTIFS(BD!$B$3:$B$5001,S$140,BD!$A$3:$A$5001,"&gt;="&amp;$C$7,BD!$A$3:$A$5001,"&lt;="&amp;$B149,BD!$V$3:$V$5001,"&lt;&gt;")=0,"",SUMIFS(BD!$V$3:$V$5001,BD!$B$3:$B$5001,S$140,BD!$A$3:$A$5001,_xlfn.MAXIFS(BD!$A$3:$A$5001,BD!$B$3:$B$5001,S$140,BD!$A$3:$A$5001,"&gt;="&amp;$C$7,BD!$A$3:$A$5001,"&lt;="&amp;$B149,BD!$V$3:$V$5001,"&lt;&gt;"))))</f>
        <v/>
      </c>
      <c r="T149" s="54" t="str">
        <f>IF(OR($B149="",$A149&gt;$B$9,T$140=""),"",IF(COUNTIFS(BD!$B$3:$B$5001,T$140,BD!$A$3:$A$5001,"&gt;="&amp;$C$7,BD!$A$3:$A$5001,"&lt;="&amp;$B149,BD!$V$3:$V$5001,"&lt;&gt;")=0,"",SUMIFS(BD!$V$3:$V$5001,BD!$B$3:$B$5001,T$140,BD!$A$3:$A$5001,_xlfn.MAXIFS(BD!$A$3:$A$5001,BD!$B$3:$B$5001,T$140,BD!$A$3:$A$5001,"&gt;="&amp;$C$7,BD!$A$3:$A$5001,"&lt;="&amp;$B149,BD!$V$3:$V$5001,"&lt;&gt;"))))</f>
        <v/>
      </c>
      <c r="U149" s="54" t="str">
        <f>IF(OR($B149="",$A149&gt;$B$9,U$140=""),"",IF(COUNTIFS(BD!$B$3:$B$5001,U$140,BD!$A$3:$A$5001,"&gt;="&amp;$C$7,BD!$A$3:$A$5001,"&lt;="&amp;$B149,BD!$V$3:$V$5001,"&lt;&gt;")=0,"",SUMIFS(BD!$V$3:$V$5001,BD!$B$3:$B$5001,U$140,BD!$A$3:$A$5001,_xlfn.MAXIFS(BD!$A$3:$A$5001,BD!$B$3:$B$5001,U$140,BD!$A$3:$A$5001,"&gt;="&amp;$C$7,BD!$A$3:$A$5001,"&lt;="&amp;$B149,BD!$V$3:$V$5001,"&lt;&gt;"))))</f>
        <v/>
      </c>
      <c r="V149" s="54" t="str">
        <f>IF(OR($B149="",$A149&gt;$B$9,V$140=""),"",IF(COUNTIFS(BD!$B$3:$B$5001,V$140,BD!$A$3:$A$5001,"&gt;="&amp;$C$7,BD!$A$3:$A$5001,"&lt;="&amp;$B149,BD!$V$3:$V$5001,"&lt;&gt;")=0,"",SUMIFS(BD!$V$3:$V$5001,BD!$B$3:$B$5001,V$140,BD!$A$3:$A$5001,_xlfn.MAXIFS(BD!$A$3:$A$5001,BD!$B$3:$B$5001,V$140,BD!$A$3:$A$5001,"&gt;="&amp;$C$7,BD!$A$3:$A$5001,"&lt;="&amp;$B149,BD!$V$3:$V$5001,"&lt;&gt;"))))</f>
        <v/>
      </c>
    </row>
    <row r="150">
      <c r="A150" s="48">
        <v>10</v>
      </c>
      <c r="B150" s="53">
        <f>$B$21</f>
        <v>46305</v>
      </c>
      <c r="C150" s="54" t="str">
        <f>IF(OR($B150="",$A150&gt;$B$9,C$140=""),"",IF(COUNTIFS(BD!$B$3:$B$5001,C$140,BD!$A$3:$A$5001,"&gt;="&amp;$C$7,BD!$A$3:$A$5001,"&lt;="&amp;$B150,BD!$V$3:$V$5001,"&lt;&gt;")=0,"",SUMIFS(BD!$V$3:$V$5001,BD!$B$3:$B$5001,C$140,BD!$A$3:$A$5001,_xlfn.MAXIFS(BD!$A$3:$A$5001,BD!$B$3:$B$5001,C$140,BD!$A$3:$A$5001,"&gt;="&amp;$C$7,BD!$A$3:$A$5001,"&lt;="&amp;$B150,BD!$V$3:$V$5001,"&lt;&gt;"))))</f>
        <v/>
      </c>
      <c r="D150" s="54" t="str">
        <f>IF(OR($B150="",$A150&gt;$B$9,D$140=""),"",IF(COUNTIFS(BD!$B$3:$B$5001,D$140,BD!$A$3:$A$5001,"&gt;="&amp;$C$7,BD!$A$3:$A$5001,"&lt;="&amp;$B150,BD!$V$3:$V$5001,"&lt;&gt;")=0,"",SUMIFS(BD!$V$3:$V$5001,BD!$B$3:$B$5001,D$140,BD!$A$3:$A$5001,_xlfn.MAXIFS(BD!$A$3:$A$5001,BD!$B$3:$B$5001,D$140,BD!$A$3:$A$5001,"&gt;="&amp;$C$7,BD!$A$3:$A$5001,"&lt;="&amp;$B150,BD!$V$3:$V$5001,"&lt;&gt;"))))</f>
        <v/>
      </c>
      <c r="E150" s="54" t="str">
        <f>IF(OR($B150="",$A150&gt;$B$9,E$140=""),"",IF(COUNTIFS(BD!$B$3:$B$5001,E$140,BD!$A$3:$A$5001,"&gt;="&amp;$C$7,BD!$A$3:$A$5001,"&lt;="&amp;$B150,BD!$V$3:$V$5001,"&lt;&gt;")=0,"",SUMIFS(BD!$V$3:$V$5001,BD!$B$3:$B$5001,E$140,BD!$A$3:$A$5001,_xlfn.MAXIFS(BD!$A$3:$A$5001,BD!$B$3:$B$5001,E$140,BD!$A$3:$A$5001,"&gt;="&amp;$C$7,BD!$A$3:$A$5001,"&lt;="&amp;$B150,BD!$V$3:$V$5001,"&lt;&gt;"))))</f>
        <v/>
      </c>
      <c r="F150" s="54" t="str">
        <f>IF(OR($B150="",$A150&gt;$B$9,F$140=""),"",IF(COUNTIFS(BD!$B$3:$B$5001,F$140,BD!$A$3:$A$5001,"&gt;="&amp;$C$7,BD!$A$3:$A$5001,"&lt;="&amp;$B150,BD!$V$3:$V$5001,"&lt;&gt;")=0,"",SUMIFS(BD!$V$3:$V$5001,BD!$B$3:$B$5001,F$140,BD!$A$3:$A$5001,_xlfn.MAXIFS(BD!$A$3:$A$5001,BD!$B$3:$B$5001,F$140,BD!$A$3:$A$5001,"&gt;="&amp;$C$7,BD!$A$3:$A$5001,"&lt;="&amp;$B150,BD!$V$3:$V$5001,"&lt;&gt;"))))</f>
        <v/>
      </c>
      <c r="G150" s="54" t="str">
        <f>IF(OR($B150="",$A150&gt;$B$9,G$140=""),"",IF(COUNTIFS(BD!$B$3:$B$5001,G$140,BD!$A$3:$A$5001,"&gt;="&amp;$C$7,BD!$A$3:$A$5001,"&lt;="&amp;$B150,BD!$V$3:$V$5001,"&lt;&gt;")=0,"",SUMIFS(BD!$V$3:$V$5001,BD!$B$3:$B$5001,G$140,BD!$A$3:$A$5001,_xlfn.MAXIFS(BD!$A$3:$A$5001,BD!$B$3:$B$5001,G$140,BD!$A$3:$A$5001,"&gt;="&amp;$C$7,BD!$A$3:$A$5001,"&lt;="&amp;$B150,BD!$V$3:$V$5001,"&lt;&gt;"))))</f>
        <v/>
      </c>
      <c r="H150" s="54" t="str">
        <f>IF(OR($B150="",$A150&gt;$B$9,H$140=""),"",IF(COUNTIFS(BD!$B$3:$B$5001,H$140,BD!$A$3:$A$5001,"&gt;="&amp;$C$7,BD!$A$3:$A$5001,"&lt;="&amp;$B150,BD!$V$3:$V$5001,"&lt;&gt;")=0,"",SUMIFS(BD!$V$3:$V$5001,BD!$B$3:$B$5001,H$140,BD!$A$3:$A$5001,_xlfn.MAXIFS(BD!$A$3:$A$5001,BD!$B$3:$B$5001,H$140,BD!$A$3:$A$5001,"&gt;="&amp;$C$7,BD!$A$3:$A$5001,"&lt;="&amp;$B150,BD!$V$3:$V$5001,"&lt;&gt;"))))</f>
        <v/>
      </c>
      <c r="I150" s="54" t="str">
        <f>IF(OR($B150="",$A150&gt;$B$9,I$140=""),"",IF(COUNTIFS(BD!$B$3:$B$5001,I$140,BD!$A$3:$A$5001,"&gt;="&amp;$C$7,BD!$A$3:$A$5001,"&lt;="&amp;$B150,BD!$V$3:$V$5001,"&lt;&gt;")=0,"",SUMIFS(BD!$V$3:$V$5001,BD!$B$3:$B$5001,I$140,BD!$A$3:$A$5001,_xlfn.MAXIFS(BD!$A$3:$A$5001,BD!$B$3:$B$5001,I$140,BD!$A$3:$A$5001,"&gt;="&amp;$C$7,BD!$A$3:$A$5001,"&lt;="&amp;$B150,BD!$V$3:$V$5001,"&lt;&gt;"))))</f>
        <v/>
      </c>
      <c r="J150" s="54" t="str">
        <f>IF(OR($B150="",$A150&gt;$B$9,J$140=""),"",IF(COUNTIFS(BD!$B$3:$B$5001,J$140,BD!$A$3:$A$5001,"&gt;="&amp;$C$7,BD!$A$3:$A$5001,"&lt;="&amp;$B150,BD!$V$3:$V$5001,"&lt;&gt;")=0,"",SUMIFS(BD!$V$3:$V$5001,BD!$B$3:$B$5001,J$140,BD!$A$3:$A$5001,_xlfn.MAXIFS(BD!$A$3:$A$5001,BD!$B$3:$B$5001,J$140,BD!$A$3:$A$5001,"&gt;="&amp;$C$7,BD!$A$3:$A$5001,"&lt;="&amp;$B150,BD!$V$3:$V$5001,"&lt;&gt;"))))</f>
        <v/>
      </c>
      <c r="K150" s="54" t="str">
        <f>IF(OR($B150="",$A150&gt;$B$9,K$140=""),"",IF(COUNTIFS(BD!$B$3:$B$5001,K$140,BD!$A$3:$A$5001,"&gt;="&amp;$C$7,BD!$A$3:$A$5001,"&lt;="&amp;$B150,BD!$V$3:$V$5001,"&lt;&gt;")=0,"",SUMIFS(BD!$V$3:$V$5001,BD!$B$3:$B$5001,K$140,BD!$A$3:$A$5001,_xlfn.MAXIFS(BD!$A$3:$A$5001,BD!$B$3:$B$5001,K$140,BD!$A$3:$A$5001,"&gt;="&amp;$C$7,BD!$A$3:$A$5001,"&lt;="&amp;$B150,BD!$V$3:$V$5001,"&lt;&gt;"))))</f>
        <v/>
      </c>
      <c r="L150" s="54" t="str">
        <f>IF(OR($B150="",$A150&gt;$B$9,L$140=""),"",IF(COUNTIFS(BD!$B$3:$B$5001,L$140,BD!$A$3:$A$5001,"&gt;="&amp;$C$7,BD!$A$3:$A$5001,"&lt;="&amp;$B150,BD!$V$3:$V$5001,"&lt;&gt;")=0,"",SUMIFS(BD!$V$3:$V$5001,BD!$B$3:$B$5001,L$140,BD!$A$3:$A$5001,_xlfn.MAXIFS(BD!$A$3:$A$5001,BD!$B$3:$B$5001,L$140,BD!$A$3:$A$5001,"&gt;="&amp;$C$7,BD!$A$3:$A$5001,"&lt;="&amp;$B150,BD!$V$3:$V$5001,"&lt;&gt;"))))</f>
        <v/>
      </c>
      <c r="M150" s="54" t="str">
        <f>IF(OR($B150="",$A150&gt;$B$9,M$140=""),"",IF(COUNTIFS(BD!$B$3:$B$5001,M$140,BD!$A$3:$A$5001,"&gt;="&amp;$C$7,BD!$A$3:$A$5001,"&lt;="&amp;$B150,BD!$V$3:$V$5001,"&lt;&gt;")=0,"",SUMIFS(BD!$V$3:$V$5001,BD!$B$3:$B$5001,M$140,BD!$A$3:$A$5001,_xlfn.MAXIFS(BD!$A$3:$A$5001,BD!$B$3:$B$5001,M$140,BD!$A$3:$A$5001,"&gt;="&amp;$C$7,BD!$A$3:$A$5001,"&lt;="&amp;$B150,BD!$V$3:$V$5001,"&lt;&gt;"))))</f>
        <v/>
      </c>
      <c r="N150" s="54" t="str">
        <f>IF(OR($B150="",$A150&gt;$B$9,N$140=""),"",IF(COUNTIFS(BD!$B$3:$B$5001,N$140,BD!$A$3:$A$5001,"&gt;="&amp;$C$7,BD!$A$3:$A$5001,"&lt;="&amp;$B150,BD!$V$3:$V$5001,"&lt;&gt;")=0,"",SUMIFS(BD!$V$3:$V$5001,BD!$B$3:$B$5001,N$140,BD!$A$3:$A$5001,_xlfn.MAXIFS(BD!$A$3:$A$5001,BD!$B$3:$B$5001,N$140,BD!$A$3:$A$5001,"&gt;="&amp;$C$7,BD!$A$3:$A$5001,"&lt;="&amp;$B150,BD!$V$3:$V$5001,"&lt;&gt;"))))</f>
        <v/>
      </c>
      <c r="O150" s="54" t="str">
        <f>IF(OR($B150="",$A150&gt;$B$9,O$140=""),"",IF(COUNTIFS(BD!$B$3:$B$5001,O$140,BD!$A$3:$A$5001,"&gt;="&amp;$C$7,BD!$A$3:$A$5001,"&lt;="&amp;$B150,BD!$V$3:$V$5001,"&lt;&gt;")=0,"",SUMIFS(BD!$V$3:$V$5001,BD!$B$3:$B$5001,O$140,BD!$A$3:$A$5001,_xlfn.MAXIFS(BD!$A$3:$A$5001,BD!$B$3:$B$5001,O$140,BD!$A$3:$A$5001,"&gt;="&amp;$C$7,BD!$A$3:$A$5001,"&lt;="&amp;$B150,BD!$V$3:$V$5001,"&lt;&gt;"))))</f>
        <v/>
      </c>
      <c r="P150" s="54" t="str">
        <f>IF(OR($B150="",$A150&gt;$B$9,P$140=""),"",IF(COUNTIFS(BD!$B$3:$B$5001,P$140,BD!$A$3:$A$5001,"&gt;="&amp;$C$7,BD!$A$3:$A$5001,"&lt;="&amp;$B150,BD!$V$3:$V$5001,"&lt;&gt;")=0,"",SUMIFS(BD!$V$3:$V$5001,BD!$B$3:$B$5001,P$140,BD!$A$3:$A$5001,_xlfn.MAXIFS(BD!$A$3:$A$5001,BD!$B$3:$B$5001,P$140,BD!$A$3:$A$5001,"&gt;="&amp;$C$7,BD!$A$3:$A$5001,"&lt;="&amp;$B150,BD!$V$3:$V$5001,"&lt;&gt;"))))</f>
        <v/>
      </c>
      <c r="Q150" s="54" t="str">
        <f>IF(OR($B150="",$A150&gt;$B$9,Q$140=""),"",IF(COUNTIFS(BD!$B$3:$B$5001,Q$140,BD!$A$3:$A$5001,"&gt;="&amp;$C$7,BD!$A$3:$A$5001,"&lt;="&amp;$B150,BD!$V$3:$V$5001,"&lt;&gt;")=0,"",SUMIFS(BD!$V$3:$V$5001,BD!$B$3:$B$5001,Q$140,BD!$A$3:$A$5001,_xlfn.MAXIFS(BD!$A$3:$A$5001,BD!$B$3:$B$5001,Q$140,BD!$A$3:$A$5001,"&gt;="&amp;$C$7,BD!$A$3:$A$5001,"&lt;="&amp;$B150,BD!$V$3:$V$5001,"&lt;&gt;"))))</f>
        <v/>
      </c>
      <c r="R150" s="54" t="str">
        <f>IF(OR($B150="",$A150&gt;$B$9,R$140=""),"",IF(COUNTIFS(BD!$B$3:$B$5001,R$140,BD!$A$3:$A$5001,"&gt;="&amp;$C$7,BD!$A$3:$A$5001,"&lt;="&amp;$B150,BD!$V$3:$V$5001,"&lt;&gt;")=0,"",SUMIFS(BD!$V$3:$V$5001,BD!$B$3:$B$5001,R$140,BD!$A$3:$A$5001,_xlfn.MAXIFS(BD!$A$3:$A$5001,BD!$B$3:$B$5001,R$140,BD!$A$3:$A$5001,"&gt;="&amp;$C$7,BD!$A$3:$A$5001,"&lt;="&amp;$B150,BD!$V$3:$V$5001,"&lt;&gt;"))))</f>
        <v/>
      </c>
      <c r="S150" s="54" t="str">
        <f>IF(OR($B150="",$A150&gt;$B$9,S$140=""),"",IF(COUNTIFS(BD!$B$3:$B$5001,S$140,BD!$A$3:$A$5001,"&gt;="&amp;$C$7,BD!$A$3:$A$5001,"&lt;="&amp;$B150,BD!$V$3:$V$5001,"&lt;&gt;")=0,"",SUMIFS(BD!$V$3:$V$5001,BD!$B$3:$B$5001,S$140,BD!$A$3:$A$5001,_xlfn.MAXIFS(BD!$A$3:$A$5001,BD!$B$3:$B$5001,S$140,BD!$A$3:$A$5001,"&gt;="&amp;$C$7,BD!$A$3:$A$5001,"&lt;="&amp;$B150,BD!$V$3:$V$5001,"&lt;&gt;"))))</f>
        <v/>
      </c>
      <c r="T150" s="54" t="str">
        <f>IF(OR($B150="",$A150&gt;$B$9,T$140=""),"",IF(COUNTIFS(BD!$B$3:$B$5001,T$140,BD!$A$3:$A$5001,"&gt;="&amp;$C$7,BD!$A$3:$A$5001,"&lt;="&amp;$B150,BD!$V$3:$V$5001,"&lt;&gt;")=0,"",SUMIFS(BD!$V$3:$V$5001,BD!$B$3:$B$5001,T$140,BD!$A$3:$A$5001,_xlfn.MAXIFS(BD!$A$3:$A$5001,BD!$B$3:$B$5001,T$140,BD!$A$3:$A$5001,"&gt;="&amp;$C$7,BD!$A$3:$A$5001,"&lt;="&amp;$B150,BD!$V$3:$V$5001,"&lt;&gt;"))))</f>
        <v/>
      </c>
      <c r="U150" s="54" t="str">
        <f>IF(OR($B150="",$A150&gt;$B$9,U$140=""),"",IF(COUNTIFS(BD!$B$3:$B$5001,U$140,BD!$A$3:$A$5001,"&gt;="&amp;$C$7,BD!$A$3:$A$5001,"&lt;="&amp;$B150,BD!$V$3:$V$5001,"&lt;&gt;")=0,"",SUMIFS(BD!$V$3:$V$5001,BD!$B$3:$B$5001,U$140,BD!$A$3:$A$5001,_xlfn.MAXIFS(BD!$A$3:$A$5001,BD!$B$3:$B$5001,U$140,BD!$A$3:$A$5001,"&gt;="&amp;$C$7,BD!$A$3:$A$5001,"&lt;="&amp;$B150,BD!$V$3:$V$5001,"&lt;&gt;"))))</f>
        <v/>
      </c>
      <c r="V150" s="54" t="str">
        <f>IF(OR($B150="",$A150&gt;$B$9,V$140=""),"",IF(COUNTIFS(BD!$B$3:$B$5001,V$140,BD!$A$3:$A$5001,"&gt;="&amp;$C$7,BD!$A$3:$A$5001,"&lt;="&amp;$B150,BD!$V$3:$V$5001,"&lt;&gt;")=0,"",SUMIFS(BD!$V$3:$V$5001,BD!$B$3:$B$5001,V$140,BD!$A$3:$A$5001,_xlfn.MAXIFS(BD!$A$3:$A$5001,BD!$B$3:$B$5001,V$140,BD!$A$3:$A$5001,"&gt;="&amp;$C$7,BD!$A$3:$A$5001,"&lt;="&amp;$B150,BD!$V$3:$V$5001,"&lt;&gt;"))))</f>
        <v/>
      </c>
    </row>
    <row r="151">
      <c r="A151" s="48">
        <v>11</v>
      </c>
      <c r="B151" s="53">
        <f>$B$22</f>
        <v>46306</v>
      </c>
      <c r="C151" s="54" t="str">
        <f>IF(OR($B151="",$A151&gt;$B$9,C$140=""),"",IF(COUNTIFS(BD!$B$3:$B$5001,C$140,BD!$A$3:$A$5001,"&gt;="&amp;$C$7,BD!$A$3:$A$5001,"&lt;="&amp;$B151,BD!$V$3:$V$5001,"&lt;&gt;")=0,"",SUMIFS(BD!$V$3:$V$5001,BD!$B$3:$B$5001,C$140,BD!$A$3:$A$5001,_xlfn.MAXIFS(BD!$A$3:$A$5001,BD!$B$3:$B$5001,C$140,BD!$A$3:$A$5001,"&gt;="&amp;$C$7,BD!$A$3:$A$5001,"&lt;="&amp;$B151,BD!$V$3:$V$5001,"&lt;&gt;"))))</f>
        <v/>
      </c>
      <c r="D151" s="54" t="str">
        <f>IF(OR($B151="",$A151&gt;$B$9,D$140=""),"",IF(COUNTIFS(BD!$B$3:$B$5001,D$140,BD!$A$3:$A$5001,"&gt;="&amp;$C$7,BD!$A$3:$A$5001,"&lt;="&amp;$B151,BD!$V$3:$V$5001,"&lt;&gt;")=0,"",SUMIFS(BD!$V$3:$V$5001,BD!$B$3:$B$5001,D$140,BD!$A$3:$A$5001,_xlfn.MAXIFS(BD!$A$3:$A$5001,BD!$B$3:$B$5001,D$140,BD!$A$3:$A$5001,"&gt;="&amp;$C$7,BD!$A$3:$A$5001,"&lt;="&amp;$B151,BD!$V$3:$V$5001,"&lt;&gt;"))))</f>
        <v/>
      </c>
      <c r="E151" s="54" t="str">
        <f>IF(OR($B151="",$A151&gt;$B$9,E$140=""),"",IF(COUNTIFS(BD!$B$3:$B$5001,E$140,BD!$A$3:$A$5001,"&gt;="&amp;$C$7,BD!$A$3:$A$5001,"&lt;="&amp;$B151,BD!$V$3:$V$5001,"&lt;&gt;")=0,"",SUMIFS(BD!$V$3:$V$5001,BD!$B$3:$B$5001,E$140,BD!$A$3:$A$5001,_xlfn.MAXIFS(BD!$A$3:$A$5001,BD!$B$3:$B$5001,E$140,BD!$A$3:$A$5001,"&gt;="&amp;$C$7,BD!$A$3:$A$5001,"&lt;="&amp;$B151,BD!$V$3:$V$5001,"&lt;&gt;"))))</f>
        <v/>
      </c>
      <c r="F151" s="54" t="str">
        <f>IF(OR($B151="",$A151&gt;$B$9,F$140=""),"",IF(COUNTIFS(BD!$B$3:$B$5001,F$140,BD!$A$3:$A$5001,"&gt;="&amp;$C$7,BD!$A$3:$A$5001,"&lt;="&amp;$B151,BD!$V$3:$V$5001,"&lt;&gt;")=0,"",SUMIFS(BD!$V$3:$V$5001,BD!$B$3:$B$5001,F$140,BD!$A$3:$A$5001,_xlfn.MAXIFS(BD!$A$3:$A$5001,BD!$B$3:$B$5001,F$140,BD!$A$3:$A$5001,"&gt;="&amp;$C$7,BD!$A$3:$A$5001,"&lt;="&amp;$B151,BD!$V$3:$V$5001,"&lt;&gt;"))))</f>
        <v/>
      </c>
      <c r="G151" s="54" t="str">
        <f>IF(OR($B151="",$A151&gt;$B$9,G$140=""),"",IF(COUNTIFS(BD!$B$3:$B$5001,G$140,BD!$A$3:$A$5001,"&gt;="&amp;$C$7,BD!$A$3:$A$5001,"&lt;="&amp;$B151,BD!$V$3:$V$5001,"&lt;&gt;")=0,"",SUMIFS(BD!$V$3:$V$5001,BD!$B$3:$B$5001,G$140,BD!$A$3:$A$5001,_xlfn.MAXIFS(BD!$A$3:$A$5001,BD!$B$3:$B$5001,G$140,BD!$A$3:$A$5001,"&gt;="&amp;$C$7,BD!$A$3:$A$5001,"&lt;="&amp;$B151,BD!$V$3:$V$5001,"&lt;&gt;"))))</f>
        <v/>
      </c>
      <c r="H151" s="54" t="str">
        <f>IF(OR($B151="",$A151&gt;$B$9,H$140=""),"",IF(COUNTIFS(BD!$B$3:$B$5001,H$140,BD!$A$3:$A$5001,"&gt;="&amp;$C$7,BD!$A$3:$A$5001,"&lt;="&amp;$B151,BD!$V$3:$V$5001,"&lt;&gt;")=0,"",SUMIFS(BD!$V$3:$V$5001,BD!$B$3:$B$5001,H$140,BD!$A$3:$A$5001,_xlfn.MAXIFS(BD!$A$3:$A$5001,BD!$B$3:$B$5001,H$140,BD!$A$3:$A$5001,"&gt;="&amp;$C$7,BD!$A$3:$A$5001,"&lt;="&amp;$B151,BD!$V$3:$V$5001,"&lt;&gt;"))))</f>
        <v/>
      </c>
      <c r="I151" s="54" t="str">
        <f>IF(OR($B151="",$A151&gt;$B$9,I$140=""),"",IF(COUNTIFS(BD!$B$3:$B$5001,I$140,BD!$A$3:$A$5001,"&gt;="&amp;$C$7,BD!$A$3:$A$5001,"&lt;="&amp;$B151,BD!$V$3:$V$5001,"&lt;&gt;")=0,"",SUMIFS(BD!$V$3:$V$5001,BD!$B$3:$B$5001,I$140,BD!$A$3:$A$5001,_xlfn.MAXIFS(BD!$A$3:$A$5001,BD!$B$3:$B$5001,I$140,BD!$A$3:$A$5001,"&gt;="&amp;$C$7,BD!$A$3:$A$5001,"&lt;="&amp;$B151,BD!$V$3:$V$5001,"&lt;&gt;"))))</f>
        <v/>
      </c>
      <c r="J151" s="54" t="str">
        <f>IF(OR($B151="",$A151&gt;$B$9,J$140=""),"",IF(COUNTIFS(BD!$B$3:$B$5001,J$140,BD!$A$3:$A$5001,"&gt;="&amp;$C$7,BD!$A$3:$A$5001,"&lt;="&amp;$B151,BD!$V$3:$V$5001,"&lt;&gt;")=0,"",SUMIFS(BD!$V$3:$V$5001,BD!$B$3:$B$5001,J$140,BD!$A$3:$A$5001,_xlfn.MAXIFS(BD!$A$3:$A$5001,BD!$B$3:$B$5001,J$140,BD!$A$3:$A$5001,"&gt;="&amp;$C$7,BD!$A$3:$A$5001,"&lt;="&amp;$B151,BD!$V$3:$V$5001,"&lt;&gt;"))))</f>
        <v/>
      </c>
      <c r="K151" s="54" t="str">
        <f>IF(OR($B151="",$A151&gt;$B$9,K$140=""),"",IF(COUNTIFS(BD!$B$3:$B$5001,K$140,BD!$A$3:$A$5001,"&gt;="&amp;$C$7,BD!$A$3:$A$5001,"&lt;="&amp;$B151,BD!$V$3:$V$5001,"&lt;&gt;")=0,"",SUMIFS(BD!$V$3:$V$5001,BD!$B$3:$B$5001,K$140,BD!$A$3:$A$5001,_xlfn.MAXIFS(BD!$A$3:$A$5001,BD!$B$3:$B$5001,K$140,BD!$A$3:$A$5001,"&gt;="&amp;$C$7,BD!$A$3:$A$5001,"&lt;="&amp;$B151,BD!$V$3:$V$5001,"&lt;&gt;"))))</f>
        <v/>
      </c>
      <c r="L151" s="54" t="str">
        <f>IF(OR($B151="",$A151&gt;$B$9,L$140=""),"",IF(COUNTIFS(BD!$B$3:$B$5001,L$140,BD!$A$3:$A$5001,"&gt;="&amp;$C$7,BD!$A$3:$A$5001,"&lt;="&amp;$B151,BD!$V$3:$V$5001,"&lt;&gt;")=0,"",SUMIFS(BD!$V$3:$V$5001,BD!$B$3:$B$5001,L$140,BD!$A$3:$A$5001,_xlfn.MAXIFS(BD!$A$3:$A$5001,BD!$B$3:$B$5001,L$140,BD!$A$3:$A$5001,"&gt;="&amp;$C$7,BD!$A$3:$A$5001,"&lt;="&amp;$B151,BD!$V$3:$V$5001,"&lt;&gt;"))))</f>
        <v/>
      </c>
      <c r="M151" s="54" t="str">
        <f>IF(OR($B151="",$A151&gt;$B$9,M$140=""),"",IF(COUNTIFS(BD!$B$3:$B$5001,M$140,BD!$A$3:$A$5001,"&gt;="&amp;$C$7,BD!$A$3:$A$5001,"&lt;="&amp;$B151,BD!$V$3:$V$5001,"&lt;&gt;")=0,"",SUMIFS(BD!$V$3:$V$5001,BD!$B$3:$B$5001,M$140,BD!$A$3:$A$5001,_xlfn.MAXIFS(BD!$A$3:$A$5001,BD!$B$3:$B$5001,M$140,BD!$A$3:$A$5001,"&gt;="&amp;$C$7,BD!$A$3:$A$5001,"&lt;="&amp;$B151,BD!$V$3:$V$5001,"&lt;&gt;"))))</f>
        <v/>
      </c>
      <c r="N151" s="54" t="str">
        <f>IF(OR($B151="",$A151&gt;$B$9,N$140=""),"",IF(COUNTIFS(BD!$B$3:$B$5001,N$140,BD!$A$3:$A$5001,"&gt;="&amp;$C$7,BD!$A$3:$A$5001,"&lt;="&amp;$B151,BD!$V$3:$V$5001,"&lt;&gt;")=0,"",SUMIFS(BD!$V$3:$V$5001,BD!$B$3:$B$5001,N$140,BD!$A$3:$A$5001,_xlfn.MAXIFS(BD!$A$3:$A$5001,BD!$B$3:$B$5001,N$140,BD!$A$3:$A$5001,"&gt;="&amp;$C$7,BD!$A$3:$A$5001,"&lt;="&amp;$B151,BD!$V$3:$V$5001,"&lt;&gt;"))))</f>
        <v/>
      </c>
      <c r="O151" s="54" t="str">
        <f>IF(OR($B151="",$A151&gt;$B$9,O$140=""),"",IF(COUNTIFS(BD!$B$3:$B$5001,O$140,BD!$A$3:$A$5001,"&gt;="&amp;$C$7,BD!$A$3:$A$5001,"&lt;="&amp;$B151,BD!$V$3:$V$5001,"&lt;&gt;")=0,"",SUMIFS(BD!$V$3:$V$5001,BD!$B$3:$B$5001,O$140,BD!$A$3:$A$5001,_xlfn.MAXIFS(BD!$A$3:$A$5001,BD!$B$3:$B$5001,O$140,BD!$A$3:$A$5001,"&gt;="&amp;$C$7,BD!$A$3:$A$5001,"&lt;="&amp;$B151,BD!$V$3:$V$5001,"&lt;&gt;"))))</f>
        <v/>
      </c>
      <c r="P151" s="54" t="str">
        <f>IF(OR($B151="",$A151&gt;$B$9,P$140=""),"",IF(COUNTIFS(BD!$B$3:$B$5001,P$140,BD!$A$3:$A$5001,"&gt;="&amp;$C$7,BD!$A$3:$A$5001,"&lt;="&amp;$B151,BD!$V$3:$V$5001,"&lt;&gt;")=0,"",SUMIFS(BD!$V$3:$V$5001,BD!$B$3:$B$5001,P$140,BD!$A$3:$A$5001,_xlfn.MAXIFS(BD!$A$3:$A$5001,BD!$B$3:$B$5001,P$140,BD!$A$3:$A$5001,"&gt;="&amp;$C$7,BD!$A$3:$A$5001,"&lt;="&amp;$B151,BD!$V$3:$V$5001,"&lt;&gt;"))))</f>
        <v/>
      </c>
      <c r="Q151" s="54" t="str">
        <f>IF(OR($B151="",$A151&gt;$B$9,Q$140=""),"",IF(COUNTIFS(BD!$B$3:$B$5001,Q$140,BD!$A$3:$A$5001,"&gt;="&amp;$C$7,BD!$A$3:$A$5001,"&lt;="&amp;$B151,BD!$V$3:$V$5001,"&lt;&gt;")=0,"",SUMIFS(BD!$V$3:$V$5001,BD!$B$3:$B$5001,Q$140,BD!$A$3:$A$5001,_xlfn.MAXIFS(BD!$A$3:$A$5001,BD!$B$3:$B$5001,Q$140,BD!$A$3:$A$5001,"&gt;="&amp;$C$7,BD!$A$3:$A$5001,"&lt;="&amp;$B151,BD!$V$3:$V$5001,"&lt;&gt;"))))</f>
        <v/>
      </c>
      <c r="R151" s="54" t="str">
        <f>IF(OR($B151="",$A151&gt;$B$9,R$140=""),"",IF(COUNTIFS(BD!$B$3:$B$5001,R$140,BD!$A$3:$A$5001,"&gt;="&amp;$C$7,BD!$A$3:$A$5001,"&lt;="&amp;$B151,BD!$V$3:$V$5001,"&lt;&gt;")=0,"",SUMIFS(BD!$V$3:$V$5001,BD!$B$3:$B$5001,R$140,BD!$A$3:$A$5001,_xlfn.MAXIFS(BD!$A$3:$A$5001,BD!$B$3:$B$5001,R$140,BD!$A$3:$A$5001,"&gt;="&amp;$C$7,BD!$A$3:$A$5001,"&lt;="&amp;$B151,BD!$V$3:$V$5001,"&lt;&gt;"))))</f>
        <v/>
      </c>
      <c r="S151" s="54" t="str">
        <f>IF(OR($B151="",$A151&gt;$B$9,S$140=""),"",IF(COUNTIFS(BD!$B$3:$B$5001,S$140,BD!$A$3:$A$5001,"&gt;="&amp;$C$7,BD!$A$3:$A$5001,"&lt;="&amp;$B151,BD!$V$3:$V$5001,"&lt;&gt;")=0,"",SUMIFS(BD!$V$3:$V$5001,BD!$B$3:$B$5001,S$140,BD!$A$3:$A$5001,_xlfn.MAXIFS(BD!$A$3:$A$5001,BD!$B$3:$B$5001,S$140,BD!$A$3:$A$5001,"&gt;="&amp;$C$7,BD!$A$3:$A$5001,"&lt;="&amp;$B151,BD!$V$3:$V$5001,"&lt;&gt;"))))</f>
        <v/>
      </c>
      <c r="T151" s="54" t="str">
        <f>IF(OR($B151="",$A151&gt;$B$9,T$140=""),"",IF(COUNTIFS(BD!$B$3:$B$5001,T$140,BD!$A$3:$A$5001,"&gt;="&amp;$C$7,BD!$A$3:$A$5001,"&lt;="&amp;$B151,BD!$V$3:$V$5001,"&lt;&gt;")=0,"",SUMIFS(BD!$V$3:$V$5001,BD!$B$3:$B$5001,T$140,BD!$A$3:$A$5001,_xlfn.MAXIFS(BD!$A$3:$A$5001,BD!$B$3:$B$5001,T$140,BD!$A$3:$A$5001,"&gt;="&amp;$C$7,BD!$A$3:$A$5001,"&lt;="&amp;$B151,BD!$V$3:$V$5001,"&lt;&gt;"))))</f>
        <v/>
      </c>
      <c r="U151" s="54" t="str">
        <f>IF(OR($B151="",$A151&gt;$B$9,U$140=""),"",IF(COUNTIFS(BD!$B$3:$B$5001,U$140,BD!$A$3:$A$5001,"&gt;="&amp;$C$7,BD!$A$3:$A$5001,"&lt;="&amp;$B151,BD!$V$3:$V$5001,"&lt;&gt;")=0,"",SUMIFS(BD!$V$3:$V$5001,BD!$B$3:$B$5001,U$140,BD!$A$3:$A$5001,_xlfn.MAXIFS(BD!$A$3:$A$5001,BD!$B$3:$B$5001,U$140,BD!$A$3:$A$5001,"&gt;="&amp;$C$7,BD!$A$3:$A$5001,"&lt;="&amp;$B151,BD!$V$3:$V$5001,"&lt;&gt;"))))</f>
        <v/>
      </c>
      <c r="V151" s="54" t="str">
        <f>IF(OR($B151="",$A151&gt;$B$9,V$140=""),"",IF(COUNTIFS(BD!$B$3:$B$5001,V$140,BD!$A$3:$A$5001,"&gt;="&amp;$C$7,BD!$A$3:$A$5001,"&lt;="&amp;$B151,BD!$V$3:$V$5001,"&lt;&gt;")=0,"",SUMIFS(BD!$V$3:$V$5001,BD!$B$3:$B$5001,V$140,BD!$A$3:$A$5001,_xlfn.MAXIFS(BD!$A$3:$A$5001,BD!$B$3:$B$5001,V$140,BD!$A$3:$A$5001,"&gt;="&amp;$C$7,BD!$A$3:$A$5001,"&lt;="&amp;$B151,BD!$V$3:$V$5001,"&lt;&gt;"))))</f>
        <v/>
      </c>
    </row>
    <row r="152">
      <c r="A152" s="48">
        <v>12</v>
      </c>
      <c r="B152" s="53">
        <f>$B$23</f>
        <v>46307</v>
      </c>
      <c r="C152" s="54" t="str">
        <f>IF(OR($B152="",$A152&gt;$B$9,C$140=""),"",IF(COUNTIFS(BD!$B$3:$B$5001,C$140,BD!$A$3:$A$5001,"&gt;="&amp;$C$7,BD!$A$3:$A$5001,"&lt;="&amp;$B152,BD!$V$3:$V$5001,"&lt;&gt;")=0,"",SUMIFS(BD!$V$3:$V$5001,BD!$B$3:$B$5001,C$140,BD!$A$3:$A$5001,_xlfn.MAXIFS(BD!$A$3:$A$5001,BD!$B$3:$B$5001,C$140,BD!$A$3:$A$5001,"&gt;="&amp;$C$7,BD!$A$3:$A$5001,"&lt;="&amp;$B152,BD!$V$3:$V$5001,"&lt;&gt;"))))</f>
        <v/>
      </c>
      <c r="D152" s="54" t="str">
        <f>IF(OR($B152="",$A152&gt;$B$9,D$140=""),"",IF(COUNTIFS(BD!$B$3:$B$5001,D$140,BD!$A$3:$A$5001,"&gt;="&amp;$C$7,BD!$A$3:$A$5001,"&lt;="&amp;$B152,BD!$V$3:$V$5001,"&lt;&gt;")=0,"",SUMIFS(BD!$V$3:$V$5001,BD!$B$3:$B$5001,D$140,BD!$A$3:$A$5001,_xlfn.MAXIFS(BD!$A$3:$A$5001,BD!$B$3:$B$5001,D$140,BD!$A$3:$A$5001,"&gt;="&amp;$C$7,BD!$A$3:$A$5001,"&lt;="&amp;$B152,BD!$V$3:$V$5001,"&lt;&gt;"))))</f>
        <v/>
      </c>
      <c r="E152" s="54" t="str">
        <f>IF(OR($B152="",$A152&gt;$B$9,E$140=""),"",IF(COUNTIFS(BD!$B$3:$B$5001,E$140,BD!$A$3:$A$5001,"&gt;="&amp;$C$7,BD!$A$3:$A$5001,"&lt;="&amp;$B152,BD!$V$3:$V$5001,"&lt;&gt;")=0,"",SUMIFS(BD!$V$3:$V$5001,BD!$B$3:$B$5001,E$140,BD!$A$3:$A$5001,_xlfn.MAXIFS(BD!$A$3:$A$5001,BD!$B$3:$B$5001,E$140,BD!$A$3:$A$5001,"&gt;="&amp;$C$7,BD!$A$3:$A$5001,"&lt;="&amp;$B152,BD!$V$3:$V$5001,"&lt;&gt;"))))</f>
        <v/>
      </c>
      <c r="F152" s="54" t="str">
        <f>IF(OR($B152="",$A152&gt;$B$9,F$140=""),"",IF(COUNTIFS(BD!$B$3:$B$5001,F$140,BD!$A$3:$A$5001,"&gt;="&amp;$C$7,BD!$A$3:$A$5001,"&lt;="&amp;$B152,BD!$V$3:$V$5001,"&lt;&gt;")=0,"",SUMIFS(BD!$V$3:$V$5001,BD!$B$3:$B$5001,F$140,BD!$A$3:$A$5001,_xlfn.MAXIFS(BD!$A$3:$A$5001,BD!$B$3:$B$5001,F$140,BD!$A$3:$A$5001,"&gt;="&amp;$C$7,BD!$A$3:$A$5001,"&lt;="&amp;$B152,BD!$V$3:$V$5001,"&lt;&gt;"))))</f>
        <v/>
      </c>
      <c r="G152" s="54" t="str">
        <f>IF(OR($B152="",$A152&gt;$B$9,G$140=""),"",IF(COUNTIFS(BD!$B$3:$B$5001,G$140,BD!$A$3:$A$5001,"&gt;="&amp;$C$7,BD!$A$3:$A$5001,"&lt;="&amp;$B152,BD!$V$3:$V$5001,"&lt;&gt;")=0,"",SUMIFS(BD!$V$3:$V$5001,BD!$B$3:$B$5001,G$140,BD!$A$3:$A$5001,_xlfn.MAXIFS(BD!$A$3:$A$5001,BD!$B$3:$B$5001,G$140,BD!$A$3:$A$5001,"&gt;="&amp;$C$7,BD!$A$3:$A$5001,"&lt;="&amp;$B152,BD!$V$3:$V$5001,"&lt;&gt;"))))</f>
        <v/>
      </c>
      <c r="H152" s="54" t="str">
        <f>IF(OR($B152="",$A152&gt;$B$9,H$140=""),"",IF(COUNTIFS(BD!$B$3:$B$5001,H$140,BD!$A$3:$A$5001,"&gt;="&amp;$C$7,BD!$A$3:$A$5001,"&lt;="&amp;$B152,BD!$V$3:$V$5001,"&lt;&gt;")=0,"",SUMIFS(BD!$V$3:$V$5001,BD!$B$3:$B$5001,H$140,BD!$A$3:$A$5001,_xlfn.MAXIFS(BD!$A$3:$A$5001,BD!$B$3:$B$5001,H$140,BD!$A$3:$A$5001,"&gt;="&amp;$C$7,BD!$A$3:$A$5001,"&lt;="&amp;$B152,BD!$V$3:$V$5001,"&lt;&gt;"))))</f>
        <v/>
      </c>
      <c r="I152" s="54" t="str">
        <f>IF(OR($B152="",$A152&gt;$B$9,I$140=""),"",IF(COUNTIFS(BD!$B$3:$B$5001,I$140,BD!$A$3:$A$5001,"&gt;="&amp;$C$7,BD!$A$3:$A$5001,"&lt;="&amp;$B152,BD!$V$3:$V$5001,"&lt;&gt;")=0,"",SUMIFS(BD!$V$3:$V$5001,BD!$B$3:$B$5001,I$140,BD!$A$3:$A$5001,_xlfn.MAXIFS(BD!$A$3:$A$5001,BD!$B$3:$B$5001,I$140,BD!$A$3:$A$5001,"&gt;="&amp;$C$7,BD!$A$3:$A$5001,"&lt;="&amp;$B152,BD!$V$3:$V$5001,"&lt;&gt;"))))</f>
        <v/>
      </c>
      <c r="J152" s="54" t="str">
        <f>IF(OR($B152="",$A152&gt;$B$9,J$140=""),"",IF(COUNTIFS(BD!$B$3:$B$5001,J$140,BD!$A$3:$A$5001,"&gt;="&amp;$C$7,BD!$A$3:$A$5001,"&lt;="&amp;$B152,BD!$V$3:$V$5001,"&lt;&gt;")=0,"",SUMIFS(BD!$V$3:$V$5001,BD!$B$3:$B$5001,J$140,BD!$A$3:$A$5001,_xlfn.MAXIFS(BD!$A$3:$A$5001,BD!$B$3:$B$5001,J$140,BD!$A$3:$A$5001,"&gt;="&amp;$C$7,BD!$A$3:$A$5001,"&lt;="&amp;$B152,BD!$V$3:$V$5001,"&lt;&gt;"))))</f>
        <v/>
      </c>
      <c r="K152" s="54" t="str">
        <f>IF(OR($B152="",$A152&gt;$B$9,K$140=""),"",IF(COUNTIFS(BD!$B$3:$B$5001,K$140,BD!$A$3:$A$5001,"&gt;="&amp;$C$7,BD!$A$3:$A$5001,"&lt;="&amp;$B152,BD!$V$3:$V$5001,"&lt;&gt;")=0,"",SUMIFS(BD!$V$3:$V$5001,BD!$B$3:$B$5001,K$140,BD!$A$3:$A$5001,_xlfn.MAXIFS(BD!$A$3:$A$5001,BD!$B$3:$B$5001,K$140,BD!$A$3:$A$5001,"&gt;="&amp;$C$7,BD!$A$3:$A$5001,"&lt;="&amp;$B152,BD!$V$3:$V$5001,"&lt;&gt;"))))</f>
        <v/>
      </c>
      <c r="L152" s="54" t="str">
        <f>IF(OR($B152="",$A152&gt;$B$9,L$140=""),"",IF(COUNTIFS(BD!$B$3:$B$5001,L$140,BD!$A$3:$A$5001,"&gt;="&amp;$C$7,BD!$A$3:$A$5001,"&lt;="&amp;$B152,BD!$V$3:$V$5001,"&lt;&gt;")=0,"",SUMIFS(BD!$V$3:$V$5001,BD!$B$3:$B$5001,L$140,BD!$A$3:$A$5001,_xlfn.MAXIFS(BD!$A$3:$A$5001,BD!$B$3:$B$5001,L$140,BD!$A$3:$A$5001,"&gt;="&amp;$C$7,BD!$A$3:$A$5001,"&lt;="&amp;$B152,BD!$V$3:$V$5001,"&lt;&gt;"))))</f>
        <v/>
      </c>
      <c r="M152" s="54" t="str">
        <f>IF(OR($B152="",$A152&gt;$B$9,M$140=""),"",IF(COUNTIFS(BD!$B$3:$B$5001,M$140,BD!$A$3:$A$5001,"&gt;="&amp;$C$7,BD!$A$3:$A$5001,"&lt;="&amp;$B152,BD!$V$3:$V$5001,"&lt;&gt;")=0,"",SUMIFS(BD!$V$3:$V$5001,BD!$B$3:$B$5001,M$140,BD!$A$3:$A$5001,_xlfn.MAXIFS(BD!$A$3:$A$5001,BD!$B$3:$B$5001,M$140,BD!$A$3:$A$5001,"&gt;="&amp;$C$7,BD!$A$3:$A$5001,"&lt;="&amp;$B152,BD!$V$3:$V$5001,"&lt;&gt;"))))</f>
        <v/>
      </c>
      <c r="N152" s="54" t="str">
        <f>IF(OR($B152="",$A152&gt;$B$9,N$140=""),"",IF(COUNTIFS(BD!$B$3:$B$5001,N$140,BD!$A$3:$A$5001,"&gt;="&amp;$C$7,BD!$A$3:$A$5001,"&lt;="&amp;$B152,BD!$V$3:$V$5001,"&lt;&gt;")=0,"",SUMIFS(BD!$V$3:$V$5001,BD!$B$3:$B$5001,N$140,BD!$A$3:$A$5001,_xlfn.MAXIFS(BD!$A$3:$A$5001,BD!$B$3:$B$5001,N$140,BD!$A$3:$A$5001,"&gt;="&amp;$C$7,BD!$A$3:$A$5001,"&lt;="&amp;$B152,BD!$V$3:$V$5001,"&lt;&gt;"))))</f>
        <v/>
      </c>
      <c r="O152" s="54" t="str">
        <f>IF(OR($B152="",$A152&gt;$B$9,O$140=""),"",IF(COUNTIFS(BD!$B$3:$B$5001,O$140,BD!$A$3:$A$5001,"&gt;="&amp;$C$7,BD!$A$3:$A$5001,"&lt;="&amp;$B152,BD!$V$3:$V$5001,"&lt;&gt;")=0,"",SUMIFS(BD!$V$3:$V$5001,BD!$B$3:$B$5001,O$140,BD!$A$3:$A$5001,_xlfn.MAXIFS(BD!$A$3:$A$5001,BD!$B$3:$B$5001,O$140,BD!$A$3:$A$5001,"&gt;="&amp;$C$7,BD!$A$3:$A$5001,"&lt;="&amp;$B152,BD!$V$3:$V$5001,"&lt;&gt;"))))</f>
        <v/>
      </c>
      <c r="P152" s="54" t="str">
        <f>IF(OR($B152="",$A152&gt;$B$9,P$140=""),"",IF(COUNTIFS(BD!$B$3:$B$5001,P$140,BD!$A$3:$A$5001,"&gt;="&amp;$C$7,BD!$A$3:$A$5001,"&lt;="&amp;$B152,BD!$V$3:$V$5001,"&lt;&gt;")=0,"",SUMIFS(BD!$V$3:$V$5001,BD!$B$3:$B$5001,P$140,BD!$A$3:$A$5001,_xlfn.MAXIFS(BD!$A$3:$A$5001,BD!$B$3:$B$5001,P$140,BD!$A$3:$A$5001,"&gt;="&amp;$C$7,BD!$A$3:$A$5001,"&lt;="&amp;$B152,BD!$V$3:$V$5001,"&lt;&gt;"))))</f>
        <v/>
      </c>
      <c r="Q152" s="54" t="str">
        <f>IF(OR($B152="",$A152&gt;$B$9,Q$140=""),"",IF(COUNTIFS(BD!$B$3:$B$5001,Q$140,BD!$A$3:$A$5001,"&gt;="&amp;$C$7,BD!$A$3:$A$5001,"&lt;="&amp;$B152,BD!$V$3:$V$5001,"&lt;&gt;")=0,"",SUMIFS(BD!$V$3:$V$5001,BD!$B$3:$B$5001,Q$140,BD!$A$3:$A$5001,_xlfn.MAXIFS(BD!$A$3:$A$5001,BD!$B$3:$B$5001,Q$140,BD!$A$3:$A$5001,"&gt;="&amp;$C$7,BD!$A$3:$A$5001,"&lt;="&amp;$B152,BD!$V$3:$V$5001,"&lt;&gt;"))))</f>
        <v/>
      </c>
      <c r="R152" s="54" t="str">
        <f>IF(OR($B152="",$A152&gt;$B$9,R$140=""),"",IF(COUNTIFS(BD!$B$3:$B$5001,R$140,BD!$A$3:$A$5001,"&gt;="&amp;$C$7,BD!$A$3:$A$5001,"&lt;="&amp;$B152,BD!$V$3:$V$5001,"&lt;&gt;")=0,"",SUMIFS(BD!$V$3:$V$5001,BD!$B$3:$B$5001,R$140,BD!$A$3:$A$5001,_xlfn.MAXIFS(BD!$A$3:$A$5001,BD!$B$3:$B$5001,R$140,BD!$A$3:$A$5001,"&gt;="&amp;$C$7,BD!$A$3:$A$5001,"&lt;="&amp;$B152,BD!$V$3:$V$5001,"&lt;&gt;"))))</f>
        <v/>
      </c>
      <c r="S152" s="54" t="str">
        <f>IF(OR($B152="",$A152&gt;$B$9,S$140=""),"",IF(COUNTIFS(BD!$B$3:$B$5001,S$140,BD!$A$3:$A$5001,"&gt;="&amp;$C$7,BD!$A$3:$A$5001,"&lt;="&amp;$B152,BD!$V$3:$V$5001,"&lt;&gt;")=0,"",SUMIFS(BD!$V$3:$V$5001,BD!$B$3:$B$5001,S$140,BD!$A$3:$A$5001,_xlfn.MAXIFS(BD!$A$3:$A$5001,BD!$B$3:$B$5001,S$140,BD!$A$3:$A$5001,"&gt;="&amp;$C$7,BD!$A$3:$A$5001,"&lt;="&amp;$B152,BD!$V$3:$V$5001,"&lt;&gt;"))))</f>
        <v/>
      </c>
      <c r="T152" s="54" t="str">
        <f>IF(OR($B152="",$A152&gt;$B$9,T$140=""),"",IF(COUNTIFS(BD!$B$3:$B$5001,T$140,BD!$A$3:$A$5001,"&gt;="&amp;$C$7,BD!$A$3:$A$5001,"&lt;="&amp;$B152,BD!$V$3:$V$5001,"&lt;&gt;")=0,"",SUMIFS(BD!$V$3:$V$5001,BD!$B$3:$B$5001,T$140,BD!$A$3:$A$5001,_xlfn.MAXIFS(BD!$A$3:$A$5001,BD!$B$3:$B$5001,T$140,BD!$A$3:$A$5001,"&gt;="&amp;$C$7,BD!$A$3:$A$5001,"&lt;="&amp;$B152,BD!$V$3:$V$5001,"&lt;&gt;"))))</f>
        <v/>
      </c>
      <c r="U152" s="54" t="str">
        <f>IF(OR($B152="",$A152&gt;$B$9,U$140=""),"",IF(COUNTIFS(BD!$B$3:$B$5001,U$140,BD!$A$3:$A$5001,"&gt;="&amp;$C$7,BD!$A$3:$A$5001,"&lt;="&amp;$B152,BD!$V$3:$V$5001,"&lt;&gt;")=0,"",SUMIFS(BD!$V$3:$V$5001,BD!$B$3:$B$5001,U$140,BD!$A$3:$A$5001,_xlfn.MAXIFS(BD!$A$3:$A$5001,BD!$B$3:$B$5001,U$140,BD!$A$3:$A$5001,"&gt;="&amp;$C$7,BD!$A$3:$A$5001,"&lt;="&amp;$B152,BD!$V$3:$V$5001,"&lt;&gt;"))))</f>
        <v/>
      </c>
      <c r="V152" s="54" t="str">
        <f>IF(OR($B152="",$A152&gt;$B$9,V$140=""),"",IF(COUNTIFS(BD!$B$3:$B$5001,V$140,BD!$A$3:$A$5001,"&gt;="&amp;$C$7,BD!$A$3:$A$5001,"&lt;="&amp;$B152,BD!$V$3:$V$5001,"&lt;&gt;")=0,"",SUMIFS(BD!$V$3:$V$5001,BD!$B$3:$B$5001,V$140,BD!$A$3:$A$5001,_xlfn.MAXIFS(BD!$A$3:$A$5001,BD!$B$3:$B$5001,V$140,BD!$A$3:$A$5001,"&gt;="&amp;$C$7,BD!$A$3:$A$5001,"&lt;="&amp;$B152,BD!$V$3:$V$5001,"&lt;&gt;"))))</f>
        <v/>
      </c>
    </row>
    <row r="153">
      <c r="A153" s="48">
        <v>13</v>
      </c>
      <c r="B153" s="53">
        <f>$B$24</f>
        <v>46308</v>
      </c>
      <c r="C153" s="54" t="str">
        <f>IF(OR($B153="",$A153&gt;$B$9,C$140=""),"",IF(COUNTIFS(BD!$B$3:$B$5001,C$140,BD!$A$3:$A$5001,"&gt;="&amp;$C$7,BD!$A$3:$A$5001,"&lt;="&amp;$B153,BD!$V$3:$V$5001,"&lt;&gt;")=0,"",SUMIFS(BD!$V$3:$V$5001,BD!$B$3:$B$5001,C$140,BD!$A$3:$A$5001,_xlfn.MAXIFS(BD!$A$3:$A$5001,BD!$B$3:$B$5001,C$140,BD!$A$3:$A$5001,"&gt;="&amp;$C$7,BD!$A$3:$A$5001,"&lt;="&amp;$B153,BD!$V$3:$V$5001,"&lt;&gt;"))))</f>
        <v/>
      </c>
      <c r="D153" s="54" t="str">
        <f>IF(OR($B153="",$A153&gt;$B$9,D$140=""),"",IF(COUNTIFS(BD!$B$3:$B$5001,D$140,BD!$A$3:$A$5001,"&gt;="&amp;$C$7,BD!$A$3:$A$5001,"&lt;="&amp;$B153,BD!$V$3:$V$5001,"&lt;&gt;")=0,"",SUMIFS(BD!$V$3:$V$5001,BD!$B$3:$B$5001,D$140,BD!$A$3:$A$5001,_xlfn.MAXIFS(BD!$A$3:$A$5001,BD!$B$3:$B$5001,D$140,BD!$A$3:$A$5001,"&gt;="&amp;$C$7,BD!$A$3:$A$5001,"&lt;="&amp;$B153,BD!$V$3:$V$5001,"&lt;&gt;"))))</f>
        <v/>
      </c>
      <c r="E153" s="54" t="str">
        <f>IF(OR($B153="",$A153&gt;$B$9,E$140=""),"",IF(COUNTIFS(BD!$B$3:$B$5001,E$140,BD!$A$3:$A$5001,"&gt;="&amp;$C$7,BD!$A$3:$A$5001,"&lt;="&amp;$B153,BD!$V$3:$V$5001,"&lt;&gt;")=0,"",SUMIFS(BD!$V$3:$V$5001,BD!$B$3:$B$5001,E$140,BD!$A$3:$A$5001,_xlfn.MAXIFS(BD!$A$3:$A$5001,BD!$B$3:$B$5001,E$140,BD!$A$3:$A$5001,"&gt;="&amp;$C$7,BD!$A$3:$A$5001,"&lt;="&amp;$B153,BD!$V$3:$V$5001,"&lt;&gt;"))))</f>
        <v/>
      </c>
      <c r="F153" s="54" t="str">
        <f>IF(OR($B153="",$A153&gt;$B$9,F$140=""),"",IF(COUNTIFS(BD!$B$3:$B$5001,F$140,BD!$A$3:$A$5001,"&gt;="&amp;$C$7,BD!$A$3:$A$5001,"&lt;="&amp;$B153,BD!$V$3:$V$5001,"&lt;&gt;")=0,"",SUMIFS(BD!$V$3:$V$5001,BD!$B$3:$B$5001,F$140,BD!$A$3:$A$5001,_xlfn.MAXIFS(BD!$A$3:$A$5001,BD!$B$3:$B$5001,F$140,BD!$A$3:$A$5001,"&gt;="&amp;$C$7,BD!$A$3:$A$5001,"&lt;="&amp;$B153,BD!$V$3:$V$5001,"&lt;&gt;"))))</f>
        <v/>
      </c>
      <c r="G153" s="54" t="str">
        <f>IF(OR($B153="",$A153&gt;$B$9,G$140=""),"",IF(COUNTIFS(BD!$B$3:$B$5001,G$140,BD!$A$3:$A$5001,"&gt;="&amp;$C$7,BD!$A$3:$A$5001,"&lt;="&amp;$B153,BD!$V$3:$V$5001,"&lt;&gt;")=0,"",SUMIFS(BD!$V$3:$V$5001,BD!$B$3:$B$5001,G$140,BD!$A$3:$A$5001,_xlfn.MAXIFS(BD!$A$3:$A$5001,BD!$B$3:$B$5001,G$140,BD!$A$3:$A$5001,"&gt;="&amp;$C$7,BD!$A$3:$A$5001,"&lt;="&amp;$B153,BD!$V$3:$V$5001,"&lt;&gt;"))))</f>
        <v/>
      </c>
      <c r="H153" s="54" t="str">
        <f>IF(OR($B153="",$A153&gt;$B$9,H$140=""),"",IF(COUNTIFS(BD!$B$3:$B$5001,H$140,BD!$A$3:$A$5001,"&gt;="&amp;$C$7,BD!$A$3:$A$5001,"&lt;="&amp;$B153,BD!$V$3:$V$5001,"&lt;&gt;")=0,"",SUMIFS(BD!$V$3:$V$5001,BD!$B$3:$B$5001,H$140,BD!$A$3:$A$5001,_xlfn.MAXIFS(BD!$A$3:$A$5001,BD!$B$3:$B$5001,H$140,BD!$A$3:$A$5001,"&gt;="&amp;$C$7,BD!$A$3:$A$5001,"&lt;="&amp;$B153,BD!$V$3:$V$5001,"&lt;&gt;"))))</f>
        <v/>
      </c>
      <c r="I153" s="54" t="str">
        <f>IF(OR($B153="",$A153&gt;$B$9,I$140=""),"",IF(COUNTIFS(BD!$B$3:$B$5001,I$140,BD!$A$3:$A$5001,"&gt;="&amp;$C$7,BD!$A$3:$A$5001,"&lt;="&amp;$B153,BD!$V$3:$V$5001,"&lt;&gt;")=0,"",SUMIFS(BD!$V$3:$V$5001,BD!$B$3:$B$5001,I$140,BD!$A$3:$A$5001,_xlfn.MAXIFS(BD!$A$3:$A$5001,BD!$B$3:$B$5001,I$140,BD!$A$3:$A$5001,"&gt;="&amp;$C$7,BD!$A$3:$A$5001,"&lt;="&amp;$B153,BD!$V$3:$V$5001,"&lt;&gt;"))))</f>
        <v/>
      </c>
      <c r="J153" s="54" t="str">
        <f>IF(OR($B153="",$A153&gt;$B$9,J$140=""),"",IF(COUNTIFS(BD!$B$3:$B$5001,J$140,BD!$A$3:$A$5001,"&gt;="&amp;$C$7,BD!$A$3:$A$5001,"&lt;="&amp;$B153,BD!$V$3:$V$5001,"&lt;&gt;")=0,"",SUMIFS(BD!$V$3:$V$5001,BD!$B$3:$B$5001,J$140,BD!$A$3:$A$5001,_xlfn.MAXIFS(BD!$A$3:$A$5001,BD!$B$3:$B$5001,J$140,BD!$A$3:$A$5001,"&gt;="&amp;$C$7,BD!$A$3:$A$5001,"&lt;="&amp;$B153,BD!$V$3:$V$5001,"&lt;&gt;"))))</f>
        <v/>
      </c>
      <c r="K153" s="54" t="str">
        <f>IF(OR($B153="",$A153&gt;$B$9,K$140=""),"",IF(COUNTIFS(BD!$B$3:$B$5001,K$140,BD!$A$3:$A$5001,"&gt;="&amp;$C$7,BD!$A$3:$A$5001,"&lt;="&amp;$B153,BD!$V$3:$V$5001,"&lt;&gt;")=0,"",SUMIFS(BD!$V$3:$V$5001,BD!$B$3:$B$5001,K$140,BD!$A$3:$A$5001,_xlfn.MAXIFS(BD!$A$3:$A$5001,BD!$B$3:$B$5001,K$140,BD!$A$3:$A$5001,"&gt;="&amp;$C$7,BD!$A$3:$A$5001,"&lt;="&amp;$B153,BD!$V$3:$V$5001,"&lt;&gt;"))))</f>
        <v/>
      </c>
      <c r="L153" s="54" t="str">
        <f>IF(OR($B153="",$A153&gt;$B$9,L$140=""),"",IF(COUNTIFS(BD!$B$3:$B$5001,L$140,BD!$A$3:$A$5001,"&gt;="&amp;$C$7,BD!$A$3:$A$5001,"&lt;="&amp;$B153,BD!$V$3:$V$5001,"&lt;&gt;")=0,"",SUMIFS(BD!$V$3:$V$5001,BD!$B$3:$B$5001,L$140,BD!$A$3:$A$5001,_xlfn.MAXIFS(BD!$A$3:$A$5001,BD!$B$3:$B$5001,L$140,BD!$A$3:$A$5001,"&gt;="&amp;$C$7,BD!$A$3:$A$5001,"&lt;="&amp;$B153,BD!$V$3:$V$5001,"&lt;&gt;"))))</f>
        <v/>
      </c>
      <c r="M153" s="54" t="str">
        <f>IF(OR($B153="",$A153&gt;$B$9,M$140=""),"",IF(COUNTIFS(BD!$B$3:$B$5001,M$140,BD!$A$3:$A$5001,"&gt;="&amp;$C$7,BD!$A$3:$A$5001,"&lt;="&amp;$B153,BD!$V$3:$V$5001,"&lt;&gt;")=0,"",SUMIFS(BD!$V$3:$V$5001,BD!$B$3:$B$5001,M$140,BD!$A$3:$A$5001,_xlfn.MAXIFS(BD!$A$3:$A$5001,BD!$B$3:$B$5001,M$140,BD!$A$3:$A$5001,"&gt;="&amp;$C$7,BD!$A$3:$A$5001,"&lt;="&amp;$B153,BD!$V$3:$V$5001,"&lt;&gt;"))))</f>
        <v/>
      </c>
      <c r="N153" s="54" t="str">
        <f>IF(OR($B153="",$A153&gt;$B$9,N$140=""),"",IF(COUNTIFS(BD!$B$3:$B$5001,N$140,BD!$A$3:$A$5001,"&gt;="&amp;$C$7,BD!$A$3:$A$5001,"&lt;="&amp;$B153,BD!$V$3:$V$5001,"&lt;&gt;")=0,"",SUMIFS(BD!$V$3:$V$5001,BD!$B$3:$B$5001,N$140,BD!$A$3:$A$5001,_xlfn.MAXIFS(BD!$A$3:$A$5001,BD!$B$3:$B$5001,N$140,BD!$A$3:$A$5001,"&gt;="&amp;$C$7,BD!$A$3:$A$5001,"&lt;="&amp;$B153,BD!$V$3:$V$5001,"&lt;&gt;"))))</f>
        <v/>
      </c>
      <c r="O153" s="54" t="str">
        <f>IF(OR($B153="",$A153&gt;$B$9,O$140=""),"",IF(COUNTIFS(BD!$B$3:$B$5001,O$140,BD!$A$3:$A$5001,"&gt;="&amp;$C$7,BD!$A$3:$A$5001,"&lt;="&amp;$B153,BD!$V$3:$V$5001,"&lt;&gt;")=0,"",SUMIFS(BD!$V$3:$V$5001,BD!$B$3:$B$5001,O$140,BD!$A$3:$A$5001,_xlfn.MAXIFS(BD!$A$3:$A$5001,BD!$B$3:$B$5001,O$140,BD!$A$3:$A$5001,"&gt;="&amp;$C$7,BD!$A$3:$A$5001,"&lt;="&amp;$B153,BD!$V$3:$V$5001,"&lt;&gt;"))))</f>
        <v/>
      </c>
      <c r="P153" s="54" t="str">
        <f>IF(OR($B153="",$A153&gt;$B$9,P$140=""),"",IF(COUNTIFS(BD!$B$3:$B$5001,P$140,BD!$A$3:$A$5001,"&gt;="&amp;$C$7,BD!$A$3:$A$5001,"&lt;="&amp;$B153,BD!$V$3:$V$5001,"&lt;&gt;")=0,"",SUMIFS(BD!$V$3:$V$5001,BD!$B$3:$B$5001,P$140,BD!$A$3:$A$5001,_xlfn.MAXIFS(BD!$A$3:$A$5001,BD!$B$3:$B$5001,P$140,BD!$A$3:$A$5001,"&gt;="&amp;$C$7,BD!$A$3:$A$5001,"&lt;="&amp;$B153,BD!$V$3:$V$5001,"&lt;&gt;"))))</f>
        <v/>
      </c>
      <c r="Q153" s="54" t="str">
        <f>IF(OR($B153="",$A153&gt;$B$9,Q$140=""),"",IF(COUNTIFS(BD!$B$3:$B$5001,Q$140,BD!$A$3:$A$5001,"&gt;="&amp;$C$7,BD!$A$3:$A$5001,"&lt;="&amp;$B153,BD!$V$3:$V$5001,"&lt;&gt;")=0,"",SUMIFS(BD!$V$3:$V$5001,BD!$B$3:$B$5001,Q$140,BD!$A$3:$A$5001,_xlfn.MAXIFS(BD!$A$3:$A$5001,BD!$B$3:$B$5001,Q$140,BD!$A$3:$A$5001,"&gt;="&amp;$C$7,BD!$A$3:$A$5001,"&lt;="&amp;$B153,BD!$V$3:$V$5001,"&lt;&gt;"))))</f>
        <v/>
      </c>
      <c r="R153" s="54" t="str">
        <f>IF(OR($B153="",$A153&gt;$B$9,R$140=""),"",IF(COUNTIFS(BD!$B$3:$B$5001,R$140,BD!$A$3:$A$5001,"&gt;="&amp;$C$7,BD!$A$3:$A$5001,"&lt;="&amp;$B153,BD!$V$3:$V$5001,"&lt;&gt;")=0,"",SUMIFS(BD!$V$3:$V$5001,BD!$B$3:$B$5001,R$140,BD!$A$3:$A$5001,_xlfn.MAXIFS(BD!$A$3:$A$5001,BD!$B$3:$B$5001,R$140,BD!$A$3:$A$5001,"&gt;="&amp;$C$7,BD!$A$3:$A$5001,"&lt;="&amp;$B153,BD!$V$3:$V$5001,"&lt;&gt;"))))</f>
        <v/>
      </c>
      <c r="S153" s="54" t="str">
        <f>IF(OR($B153="",$A153&gt;$B$9,S$140=""),"",IF(COUNTIFS(BD!$B$3:$B$5001,S$140,BD!$A$3:$A$5001,"&gt;="&amp;$C$7,BD!$A$3:$A$5001,"&lt;="&amp;$B153,BD!$V$3:$V$5001,"&lt;&gt;")=0,"",SUMIFS(BD!$V$3:$V$5001,BD!$B$3:$B$5001,S$140,BD!$A$3:$A$5001,_xlfn.MAXIFS(BD!$A$3:$A$5001,BD!$B$3:$B$5001,S$140,BD!$A$3:$A$5001,"&gt;="&amp;$C$7,BD!$A$3:$A$5001,"&lt;="&amp;$B153,BD!$V$3:$V$5001,"&lt;&gt;"))))</f>
        <v/>
      </c>
      <c r="T153" s="54" t="str">
        <f>IF(OR($B153="",$A153&gt;$B$9,T$140=""),"",IF(COUNTIFS(BD!$B$3:$B$5001,T$140,BD!$A$3:$A$5001,"&gt;="&amp;$C$7,BD!$A$3:$A$5001,"&lt;="&amp;$B153,BD!$V$3:$V$5001,"&lt;&gt;")=0,"",SUMIFS(BD!$V$3:$V$5001,BD!$B$3:$B$5001,T$140,BD!$A$3:$A$5001,_xlfn.MAXIFS(BD!$A$3:$A$5001,BD!$B$3:$B$5001,T$140,BD!$A$3:$A$5001,"&gt;="&amp;$C$7,BD!$A$3:$A$5001,"&lt;="&amp;$B153,BD!$V$3:$V$5001,"&lt;&gt;"))))</f>
        <v/>
      </c>
      <c r="U153" s="54" t="str">
        <f>IF(OR($B153="",$A153&gt;$B$9,U$140=""),"",IF(COUNTIFS(BD!$B$3:$B$5001,U$140,BD!$A$3:$A$5001,"&gt;="&amp;$C$7,BD!$A$3:$A$5001,"&lt;="&amp;$B153,BD!$V$3:$V$5001,"&lt;&gt;")=0,"",SUMIFS(BD!$V$3:$V$5001,BD!$B$3:$B$5001,U$140,BD!$A$3:$A$5001,_xlfn.MAXIFS(BD!$A$3:$A$5001,BD!$B$3:$B$5001,U$140,BD!$A$3:$A$5001,"&gt;="&amp;$C$7,BD!$A$3:$A$5001,"&lt;="&amp;$B153,BD!$V$3:$V$5001,"&lt;&gt;"))))</f>
        <v/>
      </c>
      <c r="V153" s="54" t="str">
        <f>IF(OR($B153="",$A153&gt;$B$9,V$140=""),"",IF(COUNTIFS(BD!$B$3:$B$5001,V$140,BD!$A$3:$A$5001,"&gt;="&amp;$C$7,BD!$A$3:$A$5001,"&lt;="&amp;$B153,BD!$V$3:$V$5001,"&lt;&gt;")=0,"",SUMIFS(BD!$V$3:$V$5001,BD!$B$3:$B$5001,V$140,BD!$A$3:$A$5001,_xlfn.MAXIFS(BD!$A$3:$A$5001,BD!$B$3:$B$5001,V$140,BD!$A$3:$A$5001,"&gt;="&amp;$C$7,BD!$A$3:$A$5001,"&lt;="&amp;$B153,BD!$V$3:$V$5001,"&lt;&gt;"))))</f>
        <v/>
      </c>
    </row>
    <row r="154">
      <c r="A154" s="48">
        <v>14</v>
      </c>
      <c r="B154" s="53">
        <f>$B$25</f>
        <v>46309</v>
      </c>
      <c r="C154" s="54" t="str">
        <f>IF(OR($B154="",$A154&gt;$B$9,C$140=""),"",IF(COUNTIFS(BD!$B$3:$B$5001,C$140,BD!$A$3:$A$5001,"&gt;="&amp;$C$7,BD!$A$3:$A$5001,"&lt;="&amp;$B154,BD!$V$3:$V$5001,"&lt;&gt;")=0,"",SUMIFS(BD!$V$3:$V$5001,BD!$B$3:$B$5001,C$140,BD!$A$3:$A$5001,_xlfn.MAXIFS(BD!$A$3:$A$5001,BD!$B$3:$B$5001,C$140,BD!$A$3:$A$5001,"&gt;="&amp;$C$7,BD!$A$3:$A$5001,"&lt;="&amp;$B154,BD!$V$3:$V$5001,"&lt;&gt;"))))</f>
        <v/>
      </c>
      <c r="D154" s="54" t="str">
        <f>IF(OR($B154="",$A154&gt;$B$9,D$140=""),"",IF(COUNTIFS(BD!$B$3:$B$5001,D$140,BD!$A$3:$A$5001,"&gt;="&amp;$C$7,BD!$A$3:$A$5001,"&lt;="&amp;$B154,BD!$V$3:$V$5001,"&lt;&gt;")=0,"",SUMIFS(BD!$V$3:$V$5001,BD!$B$3:$B$5001,D$140,BD!$A$3:$A$5001,_xlfn.MAXIFS(BD!$A$3:$A$5001,BD!$B$3:$B$5001,D$140,BD!$A$3:$A$5001,"&gt;="&amp;$C$7,BD!$A$3:$A$5001,"&lt;="&amp;$B154,BD!$V$3:$V$5001,"&lt;&gt;"))))</f>
        <v/>
      </c>
      <c r="E154" s="54" t="str">
        <f>IF(OR($B154="",$A154&gt;$B$9,E$140=""),"",IF(COUNTIFS(BD!$B$3:$B$5001,E$140,BD!$A$3:$A$5001,"&gt;="&amp;$C$7,BD!$A$3:$A$5001,"&lt;="&amp;$B154,BD!$V$3:$V$5001,"&lt;&gt;")=0,"",SUMIFS(BD!$V$3:$V$5001,BD!$B$3:$B$5001,E$140,BD!$A$3:$A$5001,_xlfn.MAXIFS(BD!$A$3:$A$5001,BD!$B$3:$B$5001,E$140,BD!$A$3:$A$5001,"&gt;="&amp;$C$7,BD!$A$3:$A$5001,"&lt;="&amp;$B154,BD!$V$3:$V$5001,"&lt;&gt;"))))</f>
        <v/>
      </c>
      <c r="F154" s="54" t="str">
        <f>IF(OR($B154="",$A154&gt;$B$9,F$140=""),"",IF(COUNTIFS(BD!$B$3:$B$5001,F$140,BD!$A$3:$A$5001,"&gt;="&amp;$C$7,BD!$A$3:$A$5001,"&lt;="&amp;$B154,BD!$V$3:$V$5001,"&lt;&gt;")=0,"",SUMIFS(BD!$V$3:$V$5001,BD!$B$3:$B$5001,F$140,BD!$A$3:$A$5001,_xlfn.MAXIFS(BD!$A$3:$A$5001,BD!$B$3:$B$5001,F$140,BD!$A$3:$A$5001,"&gt;="&amp;$C$7,BD!$A$3:$A$5001,"&lt;="&amp;$B154,BD!$V$3:$V$5001,"&lt;&gt;"))))</f>
        <v/>
      </c>
      <c r="G154" s="54" t="str">
        <f>IF(OR($B154="",$A154&gt;$B$9,G$140=""),"",IF(COUNTIFS(BD!$B$3:$B$5001,G$140,BD!$A$3:$A$5001,"&gt;="&amp;$C$7,BD!$A$3:$A$5001,"&lt;="&amp;$B154,BD!$V$3:$V$5001,"&lt;&gt;")=0,"",SUMIFS(BD!$V$3:$V$5001,BD!$B$3:$B$5001,G$140,BD!$A$3:$A$5001,_xlfn.MAXIFS(BD!$A$3:$A$5001,BD!$B$3:$B$5001,G$140,BD!$A$3:$A$5001,"&gt;="&amp;$C$7,BD!$A$3:$A$5001,"&lt;="&amp;$B154,BD!$V$3:$V$5001,"&lt;&gt;"))))</f>
        <v/>
      </c>
      <c r="H154" s="54" t="str">
        <f>IF(OR($B154="",$A154&gt;$B$9,H$140=""),"",IF(COUNTIFS(BD!$B$3:$B$5001,H$140,BD!$A$3:$A$5001,"&gt;="&amp;$C$7,BD!$A$3:$A$5001,"&lt;="&amp;$B154,BD!$V$3:$V$5001,"&lt;&gt;")=0,"",SUMIFS(BD!$V$3:$V$5001,BD!$B$3:$B$5001,H$140,BD!$A$3:$A$5001,_xlfn.MAXIFS(BD!$A$3:$A$5001,BD!$B$3:$B$5001,H$140,BD!$A$3:$A$5001,"&gt;="&amp;$C$7,BD!$A$3:$A$5001,"&lt;="&amp;$B154,BD!$V$3:$V$5001,"&lt;&gt;"))))</f>
        <v/>
      </c>
      <c r="I154" s="54" t="str">
        <f>IF(OR($B154="",$A154&gt;$B$9,I$140=""),"",IF(COUNTIFS(BD!$B$3:$B$5001,I$140,BD!$A$3:$A$5001,"&gt;="&amp;$C$7,BD!$A$3:$A$5001,"&lt;="&amp;$B154,BD!$V$3:$V$5001,"&lt;&gt;")=0,"",SUMIFS(BD!$V$3:$V$5001,BD!$B$3:$B$5001,I$140,BD!$A$3:$A$5001,_xlfn.MAXIFS(BD!$A$3:$A$5001,BD!$B$3:$B$5001,I$140,BD!$A$3:$A$5001,"&gt;="&amp;$C$7,BD!$A$3:$A$5001,"&lt;="&amp;$B154,BD!$V$3:$V$5001,"&lt;&gt;"))))</f>
        <v/>
      </c>
      <c r="J154" s="54" t="str">
        <f>IF(OR($B154="",$A154&gt;$B$9,J$140=""),"",IF(COUNTIFS(BD!$B$3:$B$5001,J$140,BD!$A$3:$A$5001,"&gt;="&amp;$C$7,BD!$A$3:$A$5001,"&lt;="&amp;$B154,BD!$V$3:$V$5001,"&lt;&gt;")=0,"",SUMIFS(BD!$V$3:$V$5001,BD!$B$3:$B$5001,J$140,BD!$A$3:$A$5001,_xlfn.MAXIFS(BD!$A$3:$A$5001,BD!$B$3:$B$5001,J$140,BD!$A$3:$A$5001,"&gt;="&amp;$C$7,BD!$A$3:$A$5001,"&lt;="&amp;$B154,BD!$V$3:$V$5001,"&lt;&gt;"))))</f>
        <v/>
      </c>
      <c r="K154" s="54" t="str">
        <f>IF(OR($B154="",$A154&gt;$B$9,K$140=""),"",IF(COUNTIFS(BD!$B$3:$B$5001,K$140,BD!$A$3:$A$5001,"&gt;="&amp;$C$7,BD!$A$3:$A$5001,"&lt;="&amp;$B154,BD!$V$3:$V$5001,"&lt;&gt;")=0,"",SUMIFS(BD!$V$3:$V$5001,BD!$B$3:$B$5001,K$140,BD!$A$3:$A$5001,_xlfn.MAXIFS(BD!$A$3:$A$5001,BD!$B$3:$B$5001,K$140,BD!$A$3:$A$5001,"&gt;="&amp;$C$7,BD!$A$3:$A$5001,"&lt;="&amp;$B154,BD!$V$3:$V$5001,"&lt;&gt;"))))</f>
        <v/>
      </c>
      <c r="L154" s="54" t="str">
        <f>IF(OR($B154="",$A154&gt;$B$9,L$140=""),"",IF(COUNTIFS(BD!$B$3:$B$5001,L$140,BD!$A$3:$A$5001,"&gt;="&amp;$C$7,BD!$A$3:$A$5001,"&lt;="&amp;$B154,BD!$V$3:$V$5001,"&lt;&gt;")=0,"",SUMIFS(BD!$V$3:$V$5001,BD!$B$3:$B$5001,L$140,BD!$A$3:$A$5001,_xlfn.MAXIFS(BD!$A$3:$A$5001,BD!$B$3:$B$5001,L$140,BD!$A$3:$A$5001,"&gt;="&amp;$C$7,BD!$A$3:$A$5001,"&lt;="&amp;$B154,BD!$V$3:$V$5001,"&lt;&gt;"))))</f>
        <v/>
      </c>
      <c r="M154" s="54" t="str">
        <f>IF(OR($B154="",$A154&gt;$B$9,M$140=""),"",IF(COUNTIFS(BD!$B$3:$B$5001,M$140,BD!$A$3:$A$5001,"&gt;="&amp;$C$7,BD!$A$3:$A$5001,"&lt;="&amp;$B154,BD!$V$3:$V$5001,"&lt;&gt;")=0,"",SUMIFS(BD!$V$3:$V$5001,BD!$B$3:$B$5001,M$140,BD!$A$3:$A$5001,_xlfn.MAXIFS(BD!$A$3:$A$5001,BD!$B$3:$B$5001,M$140,BD!$A$3:$A$5001,"&gt;="&amp;$C$7,BD!$A$3:$A$5001,"&lt;="&amp;$B154,BD!$V$3:$V$5001,"&lt;&gt;"))))</f>
        <v/>
      </c>
      <c r="N154" s="54" t="str">
        <f>IF(OR($B154="",$A154&gt;$B$9,N$140=""),"",IF(COUNTIFS(BD!$B$3:$B$5001,N$140,BD!$A$3:$A$5001,"&gt;="&amp;$C$7,BD!$A$3:$A$5001,"&lt;="&amp;$B154,BD!$V$3:$V$5001,"&lt;&gt;")=0,"",SUMIFS(BD!$V$3:$V$5001,BD!$B$3:$B$5001,N$140,BD!$A$3:$A$5001,_xlfn.MAXIFS(BD!$A$3:$A$5001,BD!$B$3:$B$5001,N$140,BD!$A$3:$A$5001,"&gt;="&amp;$C$7,BD!$A$3:$A$5001,"&lt;="&amp;$B154,BD!$V$3:$V$5001,"&lt;&gt;"))))</f>
        <v/>
      </c>
      <c r="O154" s="54" t="str">
        <f>IF(OR($B154="",$A154&gt;$B$9,O$140=""),"",IF(COUNTIFS(BD!$B$3:$B$5001,O$140,BD!$A$3:$A$5001,"&gt;="&amp;$C$7,BD!$A$3:$A$5001,"&lt;="&amp;$B154,BD!$V$3:$V$5001,"&lt;&gt;")=0,"",SUMIFS(BD!$V$3:$V$5001,BD!$B$3:$B$5001,O$140,BD!$A$3:$A$5001,_xlfn.MAXIFS(BD!$A$3:$A$5001,BD!$B$3:$B$5001,O$140,BD!$A$3:$A$5001,"&gt;="&amp;$C$7,BD!$A$3:$A$5001,"&lt;="&amp;$B154,BD!$V$3:$V$5001,"&lt;&gt;"))))</f>
        <v/>
      </c>
      <c r="P154" s="54" t="str">
        <f>IF(OR($B154="",$A154&gt;$B$9,P$140=""),"",IF(COUNTIFS(BD!$B$3:$B$5001,P$140,BD!$A$3:$A$5001,"&gt;="&amp;$C$7,BD!$A$3:$A$5001,"&lt;="&amp;$B154,BD!$V$3:$V$5001,"&lt;&gt;")=0,"",SUMIFS(BD!$V$3:$V$5001,BD!$B$3:$B$5001,P$140,BD!$A$3:$A$5001,_xlfn.MAXIFS(BD!$A$3:$A$5001,BD!$B$3:$B$5001,P$140,BD!$A$3:$A$5001,"&gt;="&amp;$C$7,BD!$A$3:$A$5001,"&lt;="&amp;$B154,BD!$V$3:$V$5001,"&lt;&gt;"))))</f>
        <v/>
      </c>
      <c r="Q154" s="54" t="str">
        <f>IF(OR($B154="",$A154&gt;$B$9,Q$140=""),"",IF(COUNTIFS(BD!$B$3:$B$5001,Q$140,BD!$A$3:$A$5001,"&gt;="&amp;$C$7,BD!$A$3:$A$5001,"&lt;="&amp;$B154,BD!$V$3:$V$5001,"&lt;&gt;")=0,"",SUMIFS(BD!$V$3:$V$5001,BD!$B$3:$B$5001,Q$140,BD!$A$3:$A$5001,_xlfn.MAXIFS(BD!$A$3:$A$5001,BD!$B$3:$B$5001,Q$140,BD!$A$3:$A$5001,"&gt;="&amp;$C$7,BD!$A$3:$A$5001,"&lt;="&amp;$B154,BD!$V$3:$V$5001,"&lt;&gt;"))))</f>
        <v/>
      </c>
      <c r="R154" s="54" t="str">
        <f>IF(OR($B154="",$A154&gt;$B$9,R$140=""),"",IF(COUNTIFS(BD!$B$3:$B$5001,R$140,BD!$A$3:$A$5001,"&gt;="&amp;$C$7,BD!$A$3:$A$5001,"&lt;="&amp;$B154,BD!$V$3:$V$5001,"&lt;&gt;")=0,"",SUMIFS(BD!$V$3:$V$5001,BD!$B$3:$B$5001,R$140,BD!$A$3:$A$5001,_xlfn.MAXIFS(BD!$A$3:$A$5001,BD!$B$3:$B$5001,R$140,BD!$A$3:$A$5001,"&gt;="&amp;$C$7,BD!$A$3:$A$5001,"&lt;="&amp;$B154,BD!$V$3:$V$5001,"&lt;&gt;"))))</f>
        <v/>
      </c>
      <c r="S154" s="54" t="str">
        <f>IF(OR($B154="",$A154&gt;$B$9,S$140=""),"",IF(COUNTIFS(BD!$B$3:$B$5001,S$140,BD!$A$3:$A$5001,"&gt;="&amp;$C$7,BD!$A$3:$A$5001,"&lt;="&amp;$B154,BD!$V$3:$V$5001,"&lt;&gt;")=0,"",SUMIFS(BD!$V$3:$V$5001,BD!$B$3:$B$5001,S$140,BD!$A$3:$A$5001,_xlfn.MAXIFS(BD!$A$3:$A$5001,BD!$B$3:$B$5001,S$140,BD!$A$3:$A$5001,"&gt;="&amp;$C$7,BD!$A$3:$A$5001,"&lt;="&amp;$B154,BD!$V$3:$V$5001,"&lt;&gt;"))))</f>
        <v/>
      </c>
      <c r="T154" s="54" t="str">
        <f>IF(OR($B154="",$A154&gt;$B$9,T$140=""),"",IF(COUNTIFS(BD!$B$3:$B$5001,T$140,BD!$A$3:$A$5001,"&gt;="&amp;$C$7,BD!$A$3:$A$5001,"&lt;="&amp;$B154,BD!$V$3:$V$5001,"&lt;&gt;")=0,"",SUMIFS(BD!$V$3:$V$5001,BD!$B$3:$B$5001,T$140,BD!$A$3:$A$5001,_xlfn.MAXIFS(BD!$A$3:$A$5001,BD!$B$3:$B$5001,T$140,BD!$A$3:$A$5001,"&gt;="&amp;$C$7,BD!$A$3:$A$5001,"&lt;="&amp;$B154,BD!$V$3:$V$5001,"&lt;&gt;"))))</f>
        <v/>
      </c>
      <c r="U154" s="54" t="str">
        <f>IF(OR($B154="",$A154&gt;$B$9,U$140=""),"",IF(COUNTIFS(BD!$B$3:$B$5001,U$140,BD!$A$3:$A$5001,"&gt;="&amp;$C$7,BD!$A$3:$A$5001,"&lt;="&amp;$B154,BD!$V$3:$V$5001,"&lt;&gt;")=0,"",SUMIFS(BD!$V$3:$V$5001,BD!$B$3:$B$5001,U$140,BD!$A$3:$A$5001,_xlfn.MAXIFS(BD!$A$3:$A$5001,BD!$B$3:$B$5001,U$140,BD!$A$3:$A$5001,"&gt;="&amp;$C$7,BD!$A$3:$A$5001,"&lt;="&amp;$B154,BD!$V$3:$V$5001,"&lt;&gt;"))))</f>
        <v/>
      </c>
      <c r="V154" s="54" t="str">
        <f>IF(OR($B154="",$A154&gt;$B$9,V$140=""),"",IF(COUNTIFS(BD!$B$3:$B$5001,V$140,BD!$A$3:$A$5001,"&gt;="&amp;$C$7,BD!$A$3:$A$5001,"&lt;="&amp;$B154,BD!$V$3:$V$5001,"&lt;&gt;")=0,"",SUMIFS(BD!$V$3:$V$5001,BD!$B$3:$B$5001,V$140,BD!$A$3:$A$5001,_xlfn.MAXIFS(BD!$A$3:$A$5001,BD!$B$3:$B$5001,V$140,BD!$A$3:$A$5001,"&gt;="&amp;$C$7,BD!$A$3:$A$5001,"&lt;="&amp;$B154,BD!$V$3:$V$5001,"&lt;&gt;"))))</f>
        <v/>
      </c>
    </row>
    <row r="155">
      <c r="A155" s="48">
        <v>15</v>
      </c>
      <c r="B155" s="53">
        <f>$B$26</f>
        <v>46310</v>
      </c>
      <c r="C155" s="54" t="str">
        <f>IF(OR($B155="",$A155&gt;$B$9,C$140=""),"",IF(COUNTIFS(BD!$B$3:$B$5001,C$140,BD!$A$3:$A$5001,"&gt;="&amp;$C$7,BD!$A$3:$A$5001,"&lt;="&amp;$B155,BD!$V$3:$V$5001,"&lt;&gt;")=0,"",SUMIFS(BD!$V$3:$V$5001,BD!$B$3:$B$5001,C$140,BD!$A$3:$A$5001,_xlfn.MAXIFS(BD!$A$3:$A$5001,BD!$B$3:$B$5001,C$140,BD!$A$3:$A$5001,"&gt;="&amp;$C$7,BD!$A$3:$A$5001,"&lt;="&amp;$B155,BD!$V$3:$V$5001,"&lt;&gt;"))))</f>
        <v/>
      </c>
      <c r="D155" s="54" t="str">
        <f>IF(OR($B155="",$A155&gt;$B$9,D$140=""),"",IF(COUNTIFS(BD!$B$3:$B$5001,D$140,BD!$A$3:$A$5001,"&gt;="&amp;$C$7,BD!$A$3:$A$5001,"&lt;="&amp;$B155,BD!$V$3:$V$5001,"&lt;&gt;")=0,"",SUMIFS(BD!$V$3:$V$5001,BD!$B$3:$B$5001,D$140,BD!$A$3:$A$5001,_xlfn.MAXIFS(BD!$A$3:$A$5001,BD!$B$3:$B$5001,D$140,BD!$A$3:$A$5001,"&gt;="&amp;$C$7,BD!$A$3:$A$5001,"&lt;="&amp;$B155,BD!$V$3:$V$5001,"&lt;&gt;"))))</f>
        <v/>
      </c>
      <c r="E155" s="54" t="str">
        <f>IF(OR($B155="",$A155&gt;$B$9,E$140=""),"",IF(COUNTIFS(BD!$B$3:$B$5001,E$140,BD!$A$3:$A$5001,"&gt;="&amp;$C$7,BD!$A$3:$A$5001,"&lt;="&amp;$B155,BD!$V$3:$V$5001,"&lt;&gt;")=0,"",SUMIFS(BD!$V$3:$V$5001,BD!$B$3:$B$5001,E$140,BD!$A$3:$A$5001,_xlfn.MAXIFS(BD!$A$3:$A$5001,BD!$B$3:$B$5001,E$140,BD!$A$3:$A$5001,"&gt;="&amp;$C$7,BD!$A$3:$A$5001,"&lt;="&amp;$B155,BD!$V$3:$V$5001,"&lt;&gt;"))))</f>
        <v/>
      </c>
      <c r="F155" s="54" t="str">
        <f>IF(OR($B155="",$A155&gt;$B$9,F$140=""),"",IF(COUNTIFS(BD!$B$3:$B$5001,F$140,BD!$A$3:$A$5001,"&gt;="&amp;$C$7,BD!$A$3:$A$5001,"&lt;="&amp;$B155,BD!$V$3:$V$5001,"&lt;&gt;")=0,"",SUMIFS(BD!$V$3:$V$5001,BD!$B$3:$B$5001,F$140,BD!$A$3:$A$5001,_xlfn.MAXIFS(BD!$A$3:$A$5001,BD!$B$3:$B$5001,F$140,BD!$A$3:$A$5001,"&gt;="&amp;$C$7,BD!$A$3:$A$5001,"&lt;="&amp;$B155,BD!$V$3:$V$5001,"&lt;&gt;"))))</f>
        <v/>
      </c>
      <c r="G155" s="54" t="str">
        <f>IF(OR($B155="",$A155&gt;$B$9,G$140=""),"",IF(COUNTIFS(BD!$B$3:$B$5001,G$140,BD!$A$3:$A$5001,"&gt;="&amp;$C$7,BD!$A$3:$A$5001,"&lt;="&amp;$B155,BD!$V$3:$V$5001,"&lt;&gt;")=0,"",SUMIFS(BD!$V$3:$V$5001,BD!$B$3:$B$5001,G$140,BD!$A$3:$A$5001,_xlfn.MAXIFS(BD!$A$3:$A$5001,BD!$B$3:$B$5001,G$140,BD!$A$3:$A$5001,"&gt;="&amp;$C$7,BD!$A$3:$A$5001,"&lt;="&amp;$B155,BD!$V$3:$V$5001,"&lt;&gt;"))))</f>
        <v/>
      </c>
      <c r="H155" s="54" t="str">
        <f>IF(OR($B155="",$A155&gt;$B$9,H$140=""),"",IF(COUNTIFS(BD!$B$3:$B$5001,H$140,BD!$A$3:$A$5001,"&gt;="&amp;$C$7,BD!$A$3:$A$5001,"&lt;="&amp;$B155,BD!$V$3:$V$5001,"&lt;&gt;")=0,"",SUMIFS(BD!$V$3:$V$5001,BD!$B$3:$B$5001,H$140,BD!$A$3:$A$5001,_xlfn.MAXIFS(BD!$A$3:$A$5001,BD!$B$3:$B$5001,H$140,BD!$A$3:$A$5001,"&gt;="&amp;$C$7,BD!$A$3:$A$5001,"&lt;="&amp;$B155,BD!$V$3:$V$5001,"&lt;&gt;"))))</f>
        <v/>
      </c>
      <c r="I155" s="54" t="str">
        <f>IF(OR($B155="",$A155&gt;$B$9,I$140=""),"",IF(COUNTIFS(BD!$B$3:$B$5001,I$140,BD!$A$3:$A$5001,"&gt;="&amp;$C$7,BD!$A$3:$A$5001,"&lt;="&amp;$B155,BD!$V$3:$V$5001,"&lt;&gt;")=0,"",SUMIFS(BD!$V$3:$V$5001,BD!$B$3:$B$5001,I$140,BD!$A$3:$A$5001,_xlfn.MAXIFS(BD!$A$3:$A$5001,BD!$B$3:$B$5001,I$140,BD!$A$3:$A$5001,"&gt;="&amp;$C$7,BD!$A$3:$A$5001,"&lt;="&amp;$B155,BD!$V$3:$V$5001,"&lt;&gt;"))))</f>
        <v/>
      </c>
      <c r="J155" s="54" t="str">
        <f>IF(OR($B155="",$A155&gt;$B$9,J$140=""),"",IF(COUNTIFS(BD!$B$3:$B$5001,J$140,BD!$A$3:$A$5001,"&gt;="&amp;$C$7,BD!$A$3:$A$5001,"&lt;="&amp;$B155,BD!$V$3:$V$5001,"&lt;&gt;")=0,"",SUMIFS(BD!$V$3:$V$5001,BD!$B$3:$B$5001,J$140,BD!$A$3:$A$5001,_xlfn.MAXIFS(BD!$A$3:$A$5001,BD!$B$3:$B$5001,J$140,BD!$A$3:$A$5001,"&gt;="&amp;$C$7,BD!$A$3:$A$5001,"&lt;="&amp;$B155,BD!$V$3:$V$5001,"&lt;&gt;"))))</f>
        <v/>
      </c>
      <c r="K155" s="54" t="str">
        <f>IF(OR($B155="",$A155&gt;$B$9,K$140=""),"",IF(COUNTIFS(BD!$B$3:$B$5001,K$140,BD!$A$3:$A$5001,"&gt;="&amp;$C$7,BD!$A$3:$A$5001,"&lt;="&amp;$B155,BD!$V$3:$V$5001,"&lt;&gt;")=0,"",SUMIFS(BD!$V$3:$V$5001,BD!$B$3:$B$5001,K$140,BD!$A$3:$A$5001,_xlfn.MAXIFS(BD!$A$3:$A$5001,BD!$B$3:$B$5001,K$140,BD!$A$3:$A$5001,"&gt;="&amp;$C$7,BD!$A$3:$A$5001,"&lt;="&amp;$B155,BD!$V$3:$V$5001,"&lt;&gt;"))))</f>
        <v/>
      </c>
      <c r="L155" s="54" t="str">
        <f>IF(OR($B155="",$A155&gt;$B$9,L$140=""),"",IF(COUNTIFS(BD!$B$3:$B$5001,L$140,BD!$A$3:$A$5001,"&gt;="&amp;$C$7,BD!$A$3:$A$5001,"&lt;="&amp;$B155,BD!$V$3:$V$5001,"&lt;&gt;")=0,"",SUMIFS(BD!$V$3:$V$5001,BD!$B$3:$B$5001,L$140,BD!$A$3:$A$5001,_xlfn.MAXIFS(BD!$A$3:$A$5001,BD!$B$3:$B$5001,L$140,BD!$A$3:$A$5001,"&gt;="&amp;$C$7,BD!$A$3:$A$5001,"&lt;="&amp;$B155,BD!$V$3:$V$5001,"&lt;&gt;"))))</f>
        <v/>
      </c>
      <c r="M155" s="54" t="str">
        <f>IF(OR($B155="",$A155&gt;$B$9,M$140=""),"",IF(COUNTIFS(BD!$B$3:$B$5001,M$140,BD!$A$3:$A$5001,"&gt;="&amp;$C$7,BD!$A$3:$A$5001,"&lt;="&amp;$B155,BD!$V$3:$V$5001,"&lt;&gt;")=0,"",SUMIFS(BD!$V$3:$V$5001,BD!$B$3:$B$5001,M$140,BD!$A$3:$A$5001,_xlfn.MAXIFS(BD!$A$3:$A$5001,BD!$B$3:$B$5001,M$140,BD!$A$3:$A$5001,"&gt;="&amp;$C$7,BD!$A$3:$A$5001,"&lt;="&amp;$B155,BD!$V$3:$V$5001,"&lt;&gt;"))))</f>
        <v/>
      </c>
      <c r="N155" s="54" t="str">
        <f>IF(OR($B155="",$A155&gt;$B$9,N$140=""),"",IF(COUNTIFS(BD!$B$3:$B$5001,N$140,BD!$A$3:$A$5001,"&gt;="&amp;$C$7,BD!$A$3:$A$5001,"&lt;="&amp;$B155,BD!$V$3:$V$5001,"&lt;&gt;")=0,"",SUMIFS(BD!$V$3:$V$5001,BD!$B$3:$B$5001,N$140,BD!$A$3:$A$5001,_xlfn.MAXIFS(BD!$A$3:$A$5001,BD!$B$3:$B$5001,N$140,BD!$A$3:$A$5001,"&gt;="&amp;$C$7,BD!$A$3:$A$5001,"&lt;="&amp;$B155,BD!$V$3:$V$5001,"&lt;&gt;"))))</f>
        <v/>
      </c>
      <c r="O155" s="54" t="str">
        <f>IF(OR($B155="",$A155&gt;$B$9,O$140=""),"",IF(COUNTIFS(BD!$B$3:$B$5001,O$140,BD!$A$3:$A$5001,"&gt;="&amp;$C$7,BD!$A$3:$A$5001,"&lt;="&amp;$B155,BD!$V$3:$V$5001,"&lt;&gt;")=0,"",SUMIFS(BD!$V$3:$V$5001,BD!$B$3:$B$5001,O$140,BD!$A$3:$A$5001,_xlfn.MAXIFS(BD!$A$3:$A$5001,BD!$B$3:$B$5001,O$140,BD!$A$3:$A$5001,"&gt;="&amp;$C$7,BD!$A$3:$A$5001,"&lt;="&amp;$B155,BD!$V$3:$V$5001,"&lt;&gt;"))))</f>
        <v/>
      </c>
      <c r="P155" s="54" t="str">
        <f>IF(OR($B155="",$A155&gt;$B$9,P$140=""),"",IF(COUNTIFS(BD!$B$3:$B$5001,P$140,BD!$A$3:$A$5001,"&gt;="&amp;$C$7,BD!$A$3:$A$5001,"&lt;="&amp;$B155,BD!$V$3:$V$5001,"&lt;&gt;")=0,"",SUMIFS(BD!$V$3:$V$5001,BD!$B$3:$B$5001,P$140,BD!$A$3:$A$5001,_xlfn.MAXIFS(BD!$A$3:$A$5001,BD!$B$3:$B$5001,P$140,BD!$A$3:$A$5001,"&gt;="&amp;$C$7,BD!$A$3:$A$5001,"&lt;="&amp;$B155,BD!$V$3:$V$5001,"&lt;&gt;"))))</f>
        <v/>
      </c>
      <c r="Q155" s="54" t="str">
        <f>IF(OR($B155="",$A155&gt;$B$9,Q$140=""),"",IF(COUNTIFS(BD!$B$3:$B$5001,Q$140,BD!$A$3:$A$5001,"&gt;="&amp;$C$7,BD!$A$3:$A$5001,"&lt;="&amp;$B155,BD!$V$3:$V$5001,"&lt;&gt;")=0,"",SUMIFS(BD!$V$3:$V$5001,BD!$B$3:$B$5001,Q$140,BD!$A$3:$A$5001,_xlfn.MAXIFS(BD!$A$3:$A$5001,BD!$B$3:$B$5001,Q$140,BD!$A$3:$A$5001,"&gt;="&amp;$C$7,BD!$A$3:$A$5001,"&lt;="&amp;$B155,BD!$V$3:$V$5001,"&lt;&gt;"))))</f>
        <v/>
      </c>
      <c r="R155" s="54" t="str">
        <f>IF(OR($B155="",$A155&gt;$B$9,R$140=""),"",IF(COUNTIFS(BD!$B$3:$B$5001,R$140,BD!$A$3:$A$5001,"&gt;="&amp;$C$7,BD!$A$3:$A$5001,"&lt;="&amp;$B155,BD!$V$3:$V$5001,"&lt;&gt;")=0,"",SUMIFS(BD!$V$3:$V$5001,BD!$B$3:$B$5001,R$140,BD!$A$3:$A$5001,_xlfn.MAXIFS(BD!$A$3:$A$5001,BD!$B$3:$B$5001,R$140,BD!$A$3:$A$5001,"&gt;="&amp;$C$7,BD!$A$3:$A$5001,"&lt;="&amp;$B155,BD!$V$3:$V$5001,"&lt;&gt;"))))</f>
        <v/>
      </c>
      <c r="S155" s="54" t="str">
        <f>IF(OR($B155="",$A155&gt;$B$9,S$140=""),"",IF(COUNTIFS(BD!$B$3:$B$5001,S$140,BD!$A$3:$A$5001,"&gt;="&amp;$C$7,BD!$A$3:$A$5001,"&lt;="&amp;$B155,BD!$V$3:$V$5001,"&lt;&gt;")=0,"",SUMIFS(BD!$V$3:$V$5001,BD!$B$3:$B$5001,S$140,BD!$A$3:$A$5001,_xlfn.MAXIFS(BD!$A$3:$A$5001,BD!$B$3:$B$5001,S$140,BD!$A$3:$A$5001,"&gt;="&amp;$C$7,BD!$A$3:$A$5001,"&lt;="&amp;$B155,BD!$V$3:$V$5001,"&lt;&gt;"))))</f>
        <v/>
      </c>
      <c r="T155" s="54" t="str">
        <f>IF(OR($B155="",$A155&gt;$B$9,T$140=""),"",IF(COUNTIFS(BD!$B$3:$B$5001,T$140,BD!$A$3:$A$5001,"&gt;="&amp;$C$7,BD!$A$3:$A$5001,"&lt;="&amp;$B155,BD!$V$3:$V$5001,"&lt;&gt;")=0,"",SUMIFS(BD!$V$3:$V$5001,BD!$B$3:$B$5001,T$140,BD!$A$3:$A$5001,_xlfn.MAXIFS(BD!$A$3:$A$5001,BD!$B$3:$B$5001,T$140,BD!$A$3:$A$5001,"&gt;="&amp;$C$7,BD!$A$3:$A$5001,"&lt;="&amp;$B155,BD!$V$3:$V$5001,"&lt;&gt;"))))</f>
        <v/>
      </c>
      <c r="U155" s="54" t="str">
        <f>IF(OR($B155="",$A155&gt;$B$9,U$140=""),"",IF(COUNTIFS(BD!$B$3:$B$5001,U$140,BD!$A$3:$A$5001,"&gt;="&amp;$C$7,BD!$A$3:$A$5001,"&lt;="&amp;$B155,BD!$V$3:$V$5001,"&lt;&gt;")=0,"",SUMIFS(BD!$V$3:$V$5001,BD!$B$3:$B$5001,U$140,BD!$A$3:$A$5001,_xlfn.MAXIFS(BD!$A$3:$A$5001,BD!$B$3:$B$5001,U$140,BD!$A$3:$A$5001,"&gt;="&amp;$C$7,BD!$A$3:$A$5001,"&lt;="&amp;$B155,BD!$V$3:$V$5001,"&lt;&gt;"))))</f>
        <v/>
      </c>
      <c r="V155" s="54" t="str">
        <f>IF(OR($B155="",$A155&gt;$B$9,V$140=""),"",IF(COUNTIFS(BD!$B$3:$B$5001,V$140,BD!$A$3:$A$5001,"&gt;="&amp;$C$7,BD!$A$3:$A$5001,"&lt;="&amp;$B155,BD!$V$3:$V$5001,"&lt;&gt;")=0,"",SUMIFS(BD!$V$3:$V$5001,BD!$B$3:$B$5001,V$140,BD!$A$3:$A$5001,_xlfn.MAXIFS(BD!$A$3:$A$5001,BD!$B$3:$B$5001,V$140,BD!$A$3:$A$5001,"&gt;="&amp;$C$7,BD!$A$3:$A$5001,"&lt;="&amp;$B155,BD!$V$3:$V$5001,"&lt;&gt;"))))</f>
        <v/>
      </c>
    </row>
    <row r="156">
      <c r="A156" s="48">
        <v>16</v>
      </c>
      <c r="B156" s="53">
        <f>$B$27</f>
        <v>46311</v>
      </c>
      <c r="C156" s="54" t="str">
        <f>IF(OR($B156="",$A156&gt;$B$9,C$140=""),"",IF(COUNTIFS(BD!$B$3:$B$5001,C$140,BD!$A$3:$A$5001,"&gt;="&amp;$C$7,BD!$A$3:$A$5001,"&lt;="&amp;$B156,BD!$V$3:$V$5001,"&lt;&gt;")=0,"",SUMIFS(BD!$V$3:$V$5001,BD!$B$3:$B$5001,C$140,BD!$A$3:$A$5001,_xlfn.MAXIFS(BD!$A$3:$A$5001,BD!$B$3:$B$5001,C$140,BD!$A$3:$A$5001,"&gt;="&amp;$C$7,BD!$A$3:$A$5001,"&lt;="&amp;$B156,BD!$V$3:$V$5001,"&lt;&gt;"))))</f>
        <v/>
      </c>
      <c r="D156" s="54" t="str">
        <f>IF(OR($B156="",$A156&gt;$B$9,D$140=""),"",IF(COUNTIFS(BD!$B$3:$B$5001,D$140,BD!$A$3:$A$5001,"&gt;="&amp;$C$7,BD!$A$3:$A$5001,"&lt;="&amp;$B156,BD!$V$3:$V$5001,"&lt;&gt;")=0,"",SUMIFS(BD!$V$3:$V$5001,BD!$B$3:$B$5001,D$140,BD!$A$3:$A$5001,_xlfn.MAXIFS(BD!$A$3:$A$5001,BD!$B$3:$B$5001,D$140,BD!$A$3:$A$5001,"&gt;="&amp;$C$7,BD!$A$3:$A$5001,"&lt;="&amp;$B156,BD!$V$3:$V$5001,"&lt;&gt;"))))</f>
        <v/>
      </c>
      <c r="E156" s="54" t="str">
        <f>IF(OR($B156="",$A156&gt;$B$9,E$140=""),"",IF(COUNTIFS(BD!$B$3:$B$5001,E$140,BD!$A$3:$A$5001,"&gt;="&amp;$C$7,BD!$A$3:$A$5001,"&lt;="&amp;$B156,BD!$V$3:$V$5001,"&lt;&gt;")=0,"",SUMIFS(BD!$V$3:$V$5001,BD!$B$3:$B$5001,E$140,BD!$A$3:$A$5001,_xlfn.MAXIFS(BD!$A$3:$A$5001,BD!$B$3:$B$5001,E$140,BD!$A$3:$A$5001,"&gt;="&amp;$C$7,BD!$A$3:$A$5001,"&lt;="&amp;$B156,BD!$V$3:$V$5001,"&lt;&gt;"))))</f>
        <v/>
      </c>
      <c r="F156" s="54" t="str">
        <f>IF(OR($B156="",$A156&gt;$B$9,F$140=""),"",IF(COUNTIFS(BD!$B$3:$B$5001,F$140,BD!$A$3:$A$5001,"&gt;="&amp;$C$7,BD!$A$3:$A$5001,"&lt;="&amp;$B156,BD!$V$3:$V$5001,"&lt;&gt;")=0,"",SUMIFS(BD!$V$3:$V$5001,BD!$B$3:$B$5001,F$140,BD!$A$3:$A$5001,_xlfn.MAXIFS(BD!$A$3:$A$5001,BD!$B$3:$B$5001,F$140,BD!$A$3:$A$5001,"&gt;="&amp;$C$7,BD!$A$3:$A$5001,"&lt;="&amp;$B156,BD!$V$3:$V$5001,"&lt;&gt;"))))</f>
        <v/>
      </c>
      <c r="G156" s="54" t="str">
        <f>IF(OR($B156="",$A156&gt;$B$9,G$140=""),"",IF(COUNTIFS(BD!$B$3:$B$5001,G$140,BD!$A$3:$A$5001,"&gt;="&amp;$C$7,BD!$A$3:$A$5001,"&lt;="&amp;$B156,BD!$V$3:$V$5001,"&lt;&gt;")=0,"",SUMIFS(BD!$V$3:$V$5001,BD!$B$3:$B$5001,G$140,BD!$A$3:$A$5001,_xlfn.MAXIFS(BD!$A$3:$A$5001,BD!$B$3:$B$5001,G$140,BD!$A$3:$A$5001,"&gt;="&amp;$C$7,BD!$A$3:$A$5001,"&lt;="&amp;$B156,BD!$V$3:$V$5001,"&lt;&gt;"))))</f>
        <v/>
      </c>
      <c r="H156" s="54" t="str">
        <f>IF(OR($B156="",$A156&gt;$B$9,H$140=""),"",IF(COUNTIFS(BD!$B$3:$B$5001,H$140,BD!$A$3:$A$5001,"&gt;="&amp;$C$7,BD!$A$3:$A$5001,"&lt;="&amp;$B156,BD!$V$3:$V$5001,"&lt;&gt;")=0,"",SUMIFS(BD!$V$3:$V$5001,BD!$B$3:$B$5001,H$140,BD!$A$3:$A$5001,_xlfn.MAXIFS(BD!$A$3:$A$5001,BD!$B$3:$B$5001,H$140,BD!$A$3:$A$5001,"&gt;="&amp;$C$7,BD!$A$3:$A$5001,"&lt;="&amp;$B156,BD!$V$3:$V$5001,"&lt;&gt;"))))</f>
        <v/>
      </c>
      <c r="I156" s="54" t="str">
        <f>IF(OR($B156="",$A156&gt;$B$9,I$140=""),"",IF(COUNTIFS(BD!$B$3:$B$5001,I$140,BD!$A$3:$A$5001,"&gt;="&amp;$C$7,BD!$A$3:$A$5001,"&lt;="&amp;$B156,BD!$V$3:$V$5001,"&lt;&gt;")=0,"",SUMIFS(BD!$V$3:$V$5001,BD!$B$3:$B$5001,I$140,BD!$A$3:$A$5001,_xlfn.MAXIFS(BD!$A$3:$A$5001,BD!$B$3:$B$5001,I$140,BD!$A$3:$A$5001,"&gt;="&amp;$C$7,BD!$A$3:$A$5001,"&lt;="&amp;$B156,BD!$V$3:$V$5001,"&lt;&gt;"))))</f>
        <v/>
      </c>
      <c r="J156" s="54" t="str">
        <f>IF(OR($B156="",$A156&gt;$B$9,J$140=""),"",IF(COUNTIFS(BD!$B$3:$B$5001,J$140,BD!$A$3:$A$5001,"&gt;="&amp;$C$7,BD!$A$3:$A$5001,"&lt;="&amp;$B156,BD!$V$3:$V$5001,"&lt;&gt;")=0,"",SUMIFS(BD!$V$3:$V$5001,BD!$B$3:$B$5001,J$140,BD!$A$3:$A$5001,_xlfn.MAXIFS(BD!$A$3:$A$5001,BD!$B$3:$B$5001,J$140,BD!$A$3:$A$5001,"&gt;="&amp;$C$7,BD!$A$3:$A$5001,"&lt;="&amp;$B156,BD!$V$3:$V$5001,"&lt;&gt;"))))</f>
        <v/>
      </c>
      <c r="K156" s="54" t="str">
        <f>IF(OR($B156="",$A156&gt;$B$9,K$140=""),"",IF(COUNTIFS(BD!$B$3:$B$5001,K$140,BD!$A$3:$A$5001,"&gt;="&amp;$C$7,BD!$A$3:$A$5001,"&lt;="&amp;$B156,BD!$V$3:$V$5001,"&lt;&gt;")=0,"",SUMIFS(BD!$V$3:$V$5001,BD!$B$3:$B$5001,K$140,BD!$A$3:$A$5001,_xlfn.MAXIFS(BD!$A$3:$A$5001,BD!$B$3:$B$5001,K$140,BD!$A$3:$A$5001,"&gt;="&amp;$C$7,BD!$A$3:$A$5001,"&lt;="&amp;$B156,BD!$V$3:$V$5001,"&lt;&gt;"))))</f>
        <v/>
      </c>
      <c r="L156" s="54" t="str">
        <f>IF(OR($B156="",$A156&gt;$B$9,L$140=""),"",IF(COUNTIFS(BD!$B$3:$B$5001,L$140,BD!$A$3:$A$5001,"&gt;="&amp;$C$7,BD!$A$3:$A$5001,"&lt;="&amp;$B156,BD!$V$3:$V$5001,"&lt;&gt;")=0,"",SUMIFS(BD!$V$3:$V$5001,BD!$B$3:$B$5001,L$140,BD!$A$3:$A$5001,_xlfn.MAXIFS(BD!$A$3:$A$5001,BD!$B$3:$B$5001,L$140,BD!$A$3:$A$5001,"&gt;="&amp;$C$7,BD!$A$3:$A$5001,"&lt;="&amp;$B156,BD!$V$3:$V$5001,"&lt;&gt;"))))</f>
        <v/>
      </c>
      <c r="M156" s="54" t="str">
        <f>IF(OR($B156="",$A156&gt;$B$9,M$140=""),"",IF(COUNTIFS(BD!$B$3:$B$5001,M$140,BD!$A$3:$A$5001,"&gt;="&amp;$C$7,BD!$A$3:$A$5001,"&lt;="&amp;$B156,BD!$V$3:$V$5001,"&lt;&gt;")=0,"",SUMIFS(BD!$V$3:$V$5001,BD!$B$3:$B$5001,M$140,BD!$A$3:$A$5001,_xlfn.MAXIFS(BD!$A$3:$A$5001,BD!$B$3:$B$5001,M$140,BD!$A$3:$A$5001,"&gt;="&amp;$C$7,BD!$A$3:$A$5001,"&lt;="&amp;$B156,BD!$V$3:$V$5001,"&lt;&gt;"))))</f>
        <v/>
      </c>
      <c r="N156" s="54" t="str">
        <f>IF(OR($B156="",$A156&gt;$B$9,N$140=""),"",IF(COUNTIFS(BD!$B$3:$B$5001,N$140,BD!$A$3:$A$5001,"&gt;="&amp;$C$7,BD!$A$3:$A$5001,"&lt;="&amp;$B156,BD!$V$3:$V$5001,"&lt;&gt;")=0,"",SUMIFS(BD!$V$3:$V$5001,BD!$B$3:$B$5001,N$140,BD!$A$3:$A$5001,_xlfn.MAXIFS(BD!$A$3:$A$5001,BD!$B$3:$B$5001,N$140,BD!$A$3:$A$5001,"&gt;="&amp;$C$7,BD!$A$3:$A$5001,"&lt;="&amp;$B156,BD!$V$3:$V$5001,"&lt;&gt;"))))</f>
        <v/>
      </c>
      <c r="O156" s="54" t="str">
        <f>IF(OR($B156="",$A156&gt;$B$9,O$140=""),"",IF(COUNTIFS(BD!$B$3:$B$5001,O$140,BD!$A$3:$A$5001,"&gt;="&amp;$C$7,BD!$A$3:$A$5001,"&lt;="&amp;$B156,BD!$V$3:$V$5001,"&lt;&gt;")=0,"",SUMIFS(BD!$V$3:$V$5001,BD!$B$3:$B$5001,O$140,BD!$A$3:$A$5001,_xlfn.MAXIFS(BD!$A$3:$A$5001,BD!$B$3:$B$5001,O$140,BD!$A$3:$A$5001,"&gt;="&amp;$C$7,BD!$A$3:$A$5001,"&lt;="&amp;$B156,BD!$V$3:$V$5001,"&lt;&gt;"))))</f>
        <v/>
      </c>
      <c r="P156" s="54" t="str">
        <f>IF(OR($B156="",$A156&gt;$B$9,P$140=""),"",IF(COUNTIFS(BD!$B$3:$B$5001,P$140,BD!$A$3:$A$5001,"&gt;="&amp;$C$7,BD!$A$3:$A$5001,"&lt;="&amp;$B156,BD!$V$3:$V$5001,"&lt;&gt;")=0,"",SUMIFS(BD!$V$3:$V$5001,BD!$B$3:$B$5001,P$140,BD!$A$3:$A$5001,_xlfn.MAXIFS(BD!$A$3:$A$5001,BD!$B$3:$B$5001,P$140,BD!$A$3:$A$5001,"&gt;="&amp;$C$7,BD!$A$3:$A$5001,"&lt;="&amp;$B156,BD!$V$3:$V$5001,"&lt;&gt;"))))</f>
        <v/>
      </c>
      <c r="Q156" s="54" t="str">
        <f>IF(OR($B156="",$A156&gt;$B$9,Q$140=""),"",IF(COUNTIFS(BD!$B$3:$B$5001,Q$140,BD!$A$3:$A$5001,"&gt;="&amp;$C$7,BD!$A$3:$A$5001,"&lt;="&amp;$B156,BD!$V$3:$V$5001,"&lt;&gt;")=0,"",SUMIFS(BD!$V$3:$V$5001,BD!$B$3:$B$5001,Q$140,BD!$A$3:$A$5001,_xlfn.MAXIFS(BD!$A$3:$A$5001,BD!$B$3:$B$5001,Q$140,BD!$A$3:$A$5001,"&gt;="&amp;$C$7,BD!$A$3:$A$5001,"&lt;="&amp;$B156,BD!$V$3:$V$5001,"&lt;&gt;"))))</f>
        <v/>
      </c>
      <c r="R156" s="54" t="str">
        <f>IF(OR($B156="",$A156&gt;$B$9,R$140=""),"",IF(COUNTIFS(BD!$B$3:$B$5001,R$140,BD!$A$3:$A$5001,"&gt;="&amp;$C$7,BD!$A$3:$A$5001,"&lt;="&amp;$B156,BD!$V$3:$V$5001,"&lt;&gt;")=0,"",SUMIFS(BD!$V$3:$V$5001,BD!$B$3:$B$5001,R$140,BD!$A$3:$A$5001,_xlfn.MAXIFS(BD!$A$3:$A$5001,BD!$B$3:$B$5001,R$140,BD!$A$3:$A$5001,"&gt;="&amp;$C$7,BD!$A$3:$A$5001,"&lt;="&amp;$B156,BD!$V$3:$V$5001,"&lt;&gt;"))))</f>
        <v/>
      </c>
      <c r="S156" s="54" t="str">
        <f>IF(OR($B156="",$A156&gt;$B$9,S$140=""),"",IF(COUNTIFS(BD!$B$3:$B$5001,S$140,BD!$A$3:$A$5001,"&gt;="&amp;$C$7,BD!$A$3:$A$5001,"&lt;="&amp;$B156,BD!$V$3:$V$5001,"&lt;&gt;")=0,"",SUMIFS(BD!$V$3:$V$5001,BD!$B$3:$B$5001,S$140,BD!$A$3:$A$5001,_xlfn.MAXIFS(BD!$A$3:$A$5001,BD!$B$3:$B$5001,S$140,BD!$A$3:$A$5001,"&gt;="&amp;$C$7,BD!$A$3:$A$5001,"&lt;="&amp;$B156,BD!$V$3:$V$5001,"&lt;&gt;"))))</f>
        <v/>
      </c>
      <c r="T156" s="54" t="str">
        <f>IF(OR($B156="",$A156&gt;$B$9,T$140=""),"",IF(COUNTIFS(BD!$B$3:$B$5001,T$140,BD!$A$3:$A$5001,"&gt;="&amp;$C$7,BD!$A$3:$A$5001,"&lt;="&amp;$B156,BD!$V$3:$V$5001,"&lt;&gt;")=0,"",SUMIFS(BD!$V$3:$V$5001,BD!$B$3:$B$5001,T$140,BD!$A$3:$A$5001,_xlfn.MAXIFS(BD!$A$3:$A$5001,BD!$B$3:$B$5001,T$140,BD!$A$3:$A$5001,"&gt;="&amp;$C$7,BD!$A$3:$A$5001,"&lt;="&amp;$B156,BD!$V$3:$V$5001,"&lt;&gt;"))))</f>
        <v/>
      </c>
      <c r="U156" s="54" t="str">
        <f>IF(OR($B156="",$A156&gt;$B$9,U$140=""),"",IF(COUNTIFS(BD!$B$3:$B$5001,U$140,BD!$A$3:$A$5001,"&gt;="&amp;$C$7,BD!$A$3:$A$5001,"&lt;="&amp;$B156,BD!$V$3:$V$5001,"&lt;&gt;")=0,"",SUMIFS(BD!$V$3:$V$5001,BD!$B$3:$B$5001,U$140,BD!$A$3:$A$5001,_xlfn.MAXIFS(BD!$A$3:$A$5001,BD!$B$3:$B$5001,U$140,BD!$A$3:$A$5001,"&gt;="&amp;$C$7,BD!$A$3:$A$5001,"&lt;="&amp;$B156,BD!$V$3:$V$5001,"&lt;&gt;"))))</f>
        <v/>
      </c>
      <c r="V156" s="54" t="str">
        <f>IF(OR($B156="",$A156&gt;$B$9,V$140=""),"",IF(COUNTIFS(BD!$B$3:$B$5001,V$140,BD!$A$3:$A$5001,"&gt;="&amp;$C$7,BD!$A$3:$A$5001,"&lt;="&amp;$B156,BD!$V$3:$V$5001,"&lt;&gt;")=0,"",SUMIFS(BD!$V$3:$V$5001,BD!$B$3:$B$5001,V$140,BD!$A$3:$A$5001,_xlfn.MAXIFS(BD!$A$3:$A$5001,BD!$B$3:$B$5001,V$140,BD!$A$3:$A$5001,"&gt;="&amp;$C$7,BD!$A$3:$A$5001,"&lt;="&amp;$B156,BD!$V$3:$V$5001,"&lt;&gt;"))))</f>
        <v/>
      </c>
    </row>
    <row r="157">
      <c r="A157" s="48">
        <v>17</v>
      </c>
      <c r="B157" s="53">
        <f>$B$28</f>
        <v>46312</v>
      </c>
      <c r="C157" s="54" t="str">
        <f>IF(OR($B157="",$A157&gt;$B$9,C$140=""),"",IF(COUNTIFS(BD!$B$3:$B$5001,C$140,BD!$A$3:$A$5001,"&gt;="&amp;$C$7,BD!$A$3:$A$5001,"&lt;="&amp;$B157,BD!$V$3:$V$5001,"&lt;&gt;")=0,"",SUMIFS(BD!$V$3:$V$5001,BD!$B$3:$B$5001,C$140,BD!$A$3:$A$5001,_xlfn.MAXIFS(BD!$A$3:$A$5001,BD!$B$3:$B$5001,C$140,BD!$A$3:$A$5001,"&gt;="&amp;$C$7,BD!$A$3:$A$5001,"&lt;="&amp;$B157,BD!$V$3:$V$5001,"&lt;&gt;"))))</f>
        <v/>
      </c>
      <c r="D157" s="54" t="str">
        <f>IF(OR($B157="",$A157&gt;$B$9,D$140=""),"",IF(COUNTIFS(BD!$B$3:$B$5001,D$140,BD!$A$3:$A$5001,"&gt;="&amp;$C$7,BD!$A$3:$A$5001,"&lt;="&amp;$B157,BD!$V$3:$V$5001,"&lt;&gt;")=0,"",SUMIFS(BD!$V$3:$V$5001,BD!$B$3:$B$5001,D$140,BD!$A$3:$A$5001,_xlfn.MAXIFS(BD!$A$3:$A$5001,BD!$B$3:$B$5001,D$140,BD!$A$3:$A$5001,"&gt;="&amp;$C$7,BD!$A$3:$A$5001,"&lt;="&amp;$B157,BD!$V$3:$V$5001,"&lt;&gt;"))))</f>
        <v/>
      </c>
      <c r="E157" s="54" t="str">
        <f>IF(OR($B157="",$A157&gt;$B$9,E$140=""),"",IF(COUNTIFS(BD!$B$3:$B$5001,E$140,BD!$A$3:$A$5001,"&gt;="&amp;$C$7,BD!$A$3:$A$5001,"&lt;="&amp;$B157,BD!$V$3:$V$5001,"&lt;&gt;")=0,"",SUMIFS(BD!$V$3:$V$5001,BD!$B$3:$B$5001,E$140,BD!$A$3:$A$5001,_xlfn.MAXIFS(BD!$A$3:$A$5001,BD!$B$3:$B$5001,E$140,BD!$A$3:$A$5001,"&gt;="&amp;$C$7,BD!$A$3:$A$5001,"&lt;="&amp;$B157,BD!$V$3:$V$5001,"&lt;&gt;"))))</f>
        <v/>
      </c>
      <c r="F157" s="54" t="str">
        <f>IF(OR($B157="",$A157&gt;$B$9,F$140=""),"",IF(COUNTIFS(BD!$B$3:$B$5001,F$140,BD!$A$3:$A$5001,"&gt;="&amp;$C$7,BD!$A$3:$A$5001,"&lt;="&amp;$B157,BD!$V$3:$V$5001,"&lt;&gt;")=0,"",SUMIFS(BD!$V$3:$V$5001,BD!$B$3:$B$5001,F$140,BD!$A$3:$A$5001,_xlfn.MAXIFS(BD!$A$3:$A$5001,BD!$B$3:$B$5001,F$140,BD!$A$3:$A$5001,"&gt;="&amp;$C$7,BD!$A$3:$A$5001,"&lt;="&amp;$B157,BD!$V$3:$V$5001,"&lt;&gt;"))))</f>
        <v/>
      </c>
      <c r="G157" s="54" t="str">
        <f>IF(OR($B157="",$A157&gt;$B$9,G$140=""),"",IF(COUNTIFS(BD!$B$3:$B$5001,G$140,BD!$A$3:$A$5001,"&gt;="&amp;$C$7,BD!$A$3:$A$5001,"&lt;="&amp;$B157,BD!$V$3:$V$5001,"&lt;&gt;")=0,"",SUMIFS(BD!$V$3:$V$5001,BD!$B$3:$B$5001,G$140,BD!$A$3:$A$5001,_xlfn.MAXIFS(BD!$A$3:$A$5001,BD!$B$3:$B$5001,G$140,BD!$A$3:$A$5001,"&gt;="&amp;$C$7,BD!$A$3:$A$5001,"&lt;="&amp;$B157,BD!$V$3:$V$5001,"&lt;&gt;"))))</f>
        <v/>
      </c>
      <c r="H157" s="54" t="str">
        <f>IF(OR($B157="",$A157&gt;$B$9,H$140=""),"",IF(COUNTIFS(BD!$B$3:$B$5001,H$140,BD!$A$3:$A$5001,"&gt;="&amp;$C$7,BD!$A$3:$A$5001,"&lt;="&amp;$B157,BD!$V$3:$V$5001,"&lt;&gt;")=0,"",SUMIFS(BD!$V$3:$V$5001,BD!$B$3:$B$5001,H$140,BD!$A$3:$A$5001,_xlfn.MAXIFS(BD!$A$3:$A$5001,BD!$B$3:$B$5001,H$140,BD!$A$3:$A$5001,"&gt;="&amp;$C$7,BD!$A$3:$A$5001,"&lt;="&amp;$B157,BD!$V$3:$V$5001,"&lt;&gt;"))))</f>
        <v/>
      </c>
      <c r="I157" s="54" t="str">
        <f>IF(OR($B157="",$A157&gt;$B$9,I$140=""),"",IF(COUNTIFS(BD!$B$3:$B$5001,I$140,BD!$A$3:$A$5001,"&gt;="&amp;$C$7,BD!$A$3:$A$5001,"&lt;="&amp;$B157,BD!$V$3:$V$5001,"&lt;&gt;")=0,"",SUMIFS(BD!$V$3:$V$5001,BD!$B$3:$B$5001,I$140,BD!$A$3:$A$5001,_xlfn.MAXIFS(BD!$A$3:$A$5001,BD!$B$3:$B$5001,I$140,BD!$A$3:$A$5001,"&gt;="&amp;$C$7,BD!$A$3:$A$5001,"&lt;="&amp;$B157,BD!$V$3:$V$5001,"&lt;&gt;"))))</f>
        <v/>
      </c>
      <c r="J157" s="54" t="str">
        <f>IF(OR($B157="",$A157&gt;$B$9,J$140=""),"",IF(COUNTIFS(BD!$B$3:$B$5001,J$140,BD!$A$3:$A$5001,"&gt;="&amp;$C$7,BD!$A$3:$A$5001,"&lt;="&amp;$B157,BD!$V$3:$V$5001,"&lt;&gt;")=0,"",SUMIFS(BD!$V$3:$V$5001,BD!$B$3:$B$5001,J$140,BD!$A$3:$A$5001,_xlfn.MAXIFS(BD!$A$3:$A$5001,BD!$B$3:$B$5001,J$140,BD!$A$3:$A$5001,"&gt;="&amp;$C$7,BD!$A$3:$A$5001,"&lt;="&amp;$B157,BD!$V$3:$V$5001,"&lt;&gt;"))))</f>
        <v/>
      </c>
      <c r="K157" s="54" t="str">
        <f>IF(OR($B157="",$A157&gt;$B$9,K$140=""),"",IF(COUNTIFS(BD!$B$3:$B$5001,K$140,BD!$A$3:$A$5001,"&gt;="&amp;$C$7,BD!$A$3:$A$5001,"&lt;="&amp;$B157,BD!$V$3:$V$5001,"&lt;&gt;")=0,"",SUMIFS(BD!$V$3:$V$5001,BD!$B$3:$B$5001,K$140,BD!$A$3:$A$5001,_xlfn.MAXIFS(BD!$A$3:$A$5001,BD!$B$3:$B$5001,K$140,BD!$A$3:$A$5001,"&gt;="&amp;$C$7,BD!$A$3:$A$5001,"&lt;="&amp;$B157,BD!$V$3:$V$5001,"&lt;&gt;"))))</f>
        <v/>
      </c>
      <c r="L157" s="54" t="str">
        <f>IF(OR($B157="",$A157&gt;$B$9,L$140=""),"",IF(COUNTIFS(BD!$B$3:$B$5001,L$140,BD!$A$3:$A$5001,"&gt;="&amp;$C$7,BD!$A$3:$A$5001,"&lt;="&amp;$B157,BD!$V$3:$V$5001,"&lt;&gt;")=0,"",SUMIFS(BD!$V$3:$V$5001,BD!$B$3:$B$5001,L$140,BD!$A$3:$A$5001,_xlfn.MAXIFS(BD!$A$3:$A$5001,BD!$B$3:$B$5001,L$140,BD!$A$3:$A$5001,"&gt;="&amp;$C$7,BD!$A$3:$A$5001,"&lt;="&amp;$B157,BD!$V$3:$V$5001,"&lt;&gt;"))))</f>
        <v/>
      </c>
      <c r="M157" s="54" t="str">
        <f>IF(OR($B157="",$A157&gt;$B$9,M$140=""),"",IF(COUNTIFS(BD!$B$3:$B$5001,M$140,BD!$A$3:$A$5001,"&gt;="&amp;$C$7,BD!$A$3:$A$5001,"&lt;="&amp;$B157,BD!$V$3:$V$5001,"&lt;&gt;")=0,"",SUMIFS(BD!$V$3:$V$5001,BD!$B$3:$B$5001,M$140,BD!$A$3:$A$5001,_xlfn.MAXIFS(BD!$A$3:$A$5001,BD!$B$3:$B$5001,M$140,BD!$A$3:$A$5001,"&gt;="&amp;$C$7,BD!$A$3:$A$5001,"&lt;="&amp;$B157,BD!$V$3:$V$5001,"&lt;&gt;"))))</f>
        <v/>
      </c>
      <c r="N157" s="54" t="str">
        <f>IF(OR($B157="",$A157&gt;$B$9,N$140=""),"",IF(COUNTIFS(BD!$B$3:$B$5001,N$140,BD!$A$3:$A$5001,"&gt;="&amp;$C$7,BD!$A$3:$A$5001,"&lt;="&amp;$B157,BD!$V$3:$V$5001,"&lt;&gt;")=0,"",SUMIFS(BD!$V$3:$V$5001,BD!$B$3:$B$5001,N$140,BD!$A$3:$A$5001,_xlfn.MAXIFS(BD!$A$3:$A$5001,BD!$B$3:$B$5001,N$140,BD!$A$3:$A$5001,"&gt;="&amp;$C$7,BD!$A$3:$A$5001,"&lt;="&amp;$B157,BD!$V$3:$V$5001,"&lt;&gt;"))))</f>
        <v/>
      </c>
      <c r="O157" s="54" t="str">
        <f>IF(OR($B157="",$A157&gt;$B$9,O$140=""),"",IF(COUNTIFS(BD!$B$3:$B$5001,O$140,BD!$A$3:$A$5001,"&gt;="&amp;$C$7,BD!$A$3:$A$5001,"&lt;="&amp;$B157,BD!$V$3:$V$5001,"&lt;&gt;")=0,"",SUMIFS(BD!$V$3:$V$5001,BD!$B$3:$B$5001,O$140,BD!$A$3:$A$5001,_xlfn.MAXIFS(BD!$A$3:$A$5001,BD!$B$3:$B$5001,O$140,BD!$A$3:$A$5001,"&gt;="&amp;$C$7,BD!$A$3:$A$5001,"&lt;="&amp;$B157,BD!$V$3:$V$5001,"&lt;&gt;"))))</f>
        <v/>
      </c>
      <c r="P157" s="54" t="str">
        <f>IF(OR($B157="",$A157&gt;$B$9,P$140=""),"",IF(COUNTIFS(BD!$B$3:$B$5001,P$140,BD!$A$3:$A$5001,"&gt;="&amp;$C$7,BD!$A$3:$A$5001,"&lt;="&amp;$B157,BD!$V$3:$V$5001,"&lt;&gt;")=0,"",SUMIFS(BD!$V$3:$V$5001,BD!$B$3:$B$5001,P$140,BD!$A$3:$A$5001,_xlfn.MAXIFS(BD!$A$3:$A$5001,BD!$B$3:$B$5001,P$140,BD!$A$3:$A$5001,"&gt;="&amp;$C$7,BD!$A$3:$A$5001,"&lt;="&amp;$B157,BD!$V$3:$V$5001,"&lt;&gt;"))))</f>
        <v/>
      </c>
      <c r="Q157" s="54" t="str">
        <f>IF(OR($B157="",$A157&gt;$B$9,Q$140=""),"",IF(COUNTIFS(BD!$B$3:$B$5001,Q$140,BD!$A$3:$A$5001,"&gt;="&amp;$C$7,BD!$A$3:$A$5001,"&lt;="&amp;$B157,BD!$V$3:$V$5001,"&lt;&gt;")=0,"",SUMIFS(BD!$V$3:$V$5001,BD!$B$3:$B$5001,Q$140,BD!$A$3:$A$5001,_xlfn.MAXIFS(BD!$A$3:$A$5001,BD!$B$3:$B$5001,Q$140,BD!$A$3:$A$5001,"&gt;="&amp;$C$7,BD!$A$3:$A$5001,"&lt;="&amp;$B157,BD!$V$3:$V$5001,"&lt;&gt;"))))</f>
        <v/>
      </c>
      <c r="R157" s="54" t="str">
        <f>IF(OR($B157="",$A157&gt;$B$9,R$140=""),"",IF(COUNTIFS(BD!$B$3:$B$5001,R$140,BD!$A$3:$A$5001,"&gt;="&amp;$C$7,BD!$A$3:$A$5001,"&lt;="&amp;$B157,BD!$V$3:$V$5001,"&lt;&gt;")=0,"",SUMIFS(BD!$V$3:$V$5001,BD!$B$3:$B$5001,R$140,BD!$A$3:$A$5001,_xlfn.MAXIFS(BD!$A$3:$A$5001,BD!$B$3:$B$5001,R$140,BD!$A$3:$A$5001,"&gt;="&amp;$C$7,BD!$A$3:$A$5001,"&lt;="&amp;$B157,BD!$V$3:$V$5001,"&lt;&gt;"))))</f>
        <v/>
      </c>
      <c r="S157" s="54" t="str">
        <f>IF(OR($B157="",$A157&gt;$B$9,S$140=""),"",IF(COUNTIFS(BD!$B$3:$B$5001,S$140,BD!$A$3:$A$5001,"&gt;="&amp;$C$7,BD!$A$3:$A$5001,"&lt;="&amp;$B157,BD!$V$3:$V$5001,"&lt;&gt;")=0,"",SUMIFS(BD!$V$3:$V$5001,BD!$B$3:$B$5001,S$140,BD!$A$3:$A$5001,_xlfn.MAXIFS(BD!$A$3:$A$5001,BD!$B$3:$B$5001,S$140,BD!$A$3:$A$5001,"&gt;="&amp;$C$7,BD!$A$3:$A$5001,"&lt;="&amp;$B157,BD!$V$3:$V$5001,"&lt;&gt;"))))</f>
        <v/>
      </c>
      <c r="T157" s="54" t="str">
        <f>IF(OR($B157="",$A157&gt;$B$9,T$140=""),"",IF(COUNTIFS(BD!$B$3:$B$5001,T$140,BD!$A$3:$A$5001,"&gt;="&amp;$C$7,BD!$A$3:$A$5001,"&lt;="&amp;$B157,BD!$V$3:$V$5001,"&lt;&gt;")=0,"",SUMIFS(BD!$V$3:$V$5001,BD!$B$3:$B$5001,T$140,BD!$A$3:$A$5001,_xlfn.MAXIFS(BD!$A$3:$A$5001,BD!$B$3:$B$5001,T$140,BD!$A$3:$A$5001,"&gt;="&amp;$C$7,BD!$A$3:$A$5001,"&lt;="&amp;$B157,BD!$V$3:$V$5001,"&lt;&gt;"))))</f>
        <v/>
      </c>
      <c r="U157" s="54" t="str">
        <f>IF(OR($B157="",$A157&gt;$B$9,U$140=""),"",IF(COUNTIFS(BD!$B$3:$B$5001,U$140,BD!$A$3:$A$5001,"&gt;="&amp;$C$7,BD!$A$3:$A$5001,"&lt;="&amp;$B157,BD!$V$3:$V$5001,"&lt;&gt;")=0,"",SUMIFS(BD!$V$3:$V$5001,BD!$B$3:$B$5001,U$140,BD!$A$3:$A$5001,_xlfn.MAXIFS(BD!$A$3:$A$5001,BD!$B$3:$B$5001,U$140,BD!$A$3:$A$5001,"&gt;="&amp;$C$7,BD!$A$3:$A$5001,"&lt;="&amp;$B157,BD!$V$3:$V$5001,"&lt;&gt;"))))</f>
        <v/>
      </c>
      <c r="V157" s="54" t="str">
        <f>IF(OR($B157="",$A157&gt;$B$9,V$140=""),"",IF(COUNTIFS(BD!$B$3:$B$5001,V$140,BD!$A$3:$A$5001,"&gt;="&amp;$C$7,BD!$A$3:$A$5001,"&lt;="&amp;$B157,BD!$V$3:$V$5001,"&lt;&gt;")=0,"",SUMIFS(BD!$V$3:$V$5001,BD!$B$3:$B$5001,V$140,BD!$A$3:$A$5001,_xlfn.MAXIFS(BD!$A$3:$A$5001,BD!$B$3:$B$5001,V$140,BD!$A$3:$A$5001,"&gt;="&amp;$C$7,BD!$A$3:$A$5001,"&lt;="&amp;$B157,BD!$V$3:$V$5001,"&lt;&gt;"))))</f>
        <v/>
      </c>
    </row>
    <row r="158">
      <c r="A158" s="48">
        <v>18</v>
      </c>
      <c r="B158" s="53">
        <f>$B$29</f>
        <v>46313</v>
      </c>
      <c r="C158" s="54" t="str">
        <f>IF(OR($B158="",$A158&gt;$B$9,C$140=""),"",IF(COUNTIFS(BD!$B$3:$B$5001,C$140,BD!$A$3:$A$5001,"&gt;="&amp;$C$7,BD!$A$3:$A$5001,"&lt;="&amp;$B158,BD!$V$3:$V$5001,"&lt;&gt;")=0,"",SUMIFS(BD!$V$3:$V$5001,BD!$B$3:$B$5001,C$140,BD!$A$3:$A$5001,_xlfn.MAXIFS(BD!$A$3:$A$5001,BD!$B$3:$B$5001,C$140,BD!$A$3:$A$5001,"&gt;="&amp;$C$7,BD!$A$3:$A$5001,"&lt;="&amp;$B158,BD!$V$3:$V$5001,"&lt;&gt;"))))</f>
        <v/>
      </c>
      <c r="D158" s="54" t="str">
        <f>IF(OR($B158="",$A158&gt;$B$9,D$140=""),"",IF(COUNTIFS(BD!$B$3:$B$5001,D$140,BD!$A$3:$A$5001,"&gt;="&amp;$C$7,BD!$A$3:$A$5001,"&lt;="&amp;$B158,BD!$V$3:$V$5001,"&lt;&gt;")=0,"",SUMIFS(BD!$V$3:$V$5001,BD!$B$3:$B$5001,D$140,BD!$A$3:$A$5001,_xlfn.MAXIFS(BD!$A$3:$A$5001,BD!$B$3:$B$5001,D$140,BD!$A$3:$A$5001,"&gt;="&amp;$C$7,BD!$A$3:$A$5001,"&lt;="&amp;$B158,BD!$V$3:$V$5001,"&lt;&gt;"))))</f>
        <v/>
      </c>
      <c r="E158" s="54" t="str">
        <f>IF(OR($B158="",$A158&gt;$B$9,E$140=""),"",IF(COUNTIFS(BD!$B$3:$B$5001,E$140,BD!$A$3:$A$5001,"&gt;="&amp;$C$7,BD!$A$3:$A$5001,"&lt;="&amp;$B158,BD!$V$3:$V$5001,"&lt;&gt;")=0,"",SUMIFS(BD!$V$3:$V$5001,BD!$B$3:$B$5001,E$140,BD!$A$3:$A$5001,_xlfn.MAXIFS(BD!$A$3:$A$5001,BD!$B$3:$B$5001,E$140,BD!$A$3:$A$5001,"&gt;="&amp;$C$7,BD!$A$3:$A$5001,"&lt;="&amp;$B158,BD!$V$3:$V$5001,"&lt;&gt;"))))</f>
        <v/>
      </c>
      <c r="F158" s="54" t="str">
        <f>IF(OR($B158="",$A158&gt;$B$9,F$140=""),"",IF(COUNTIFS(BD!$B$3:$B$5001,F$140,BD!$A$3:$A$5001,"&gt;="&amp;$C$7,BD!$A$3:$A$5001,"&lt;="&amp;$B158,BD!$V$3:$V$5001,"&lt;&gt;")=0,"",SUMIFS(BD!$V$3:$V$5001,BD!$B$3:$B$5001,F$140,BD!$A$3:$A$5001,_xlfn.MAXIFS(BD!$A$3:$A$5001,BD!$B$3:$B$5001,F$140,BD!$A$3:$A$5001,"&gt;="&amp;$C$7,BD!$A$3:$A$5001,"&lt;="&amp;$B158,BD!$V$3:$V$5001,"&lt;&gt;"))))</f>
        <v/>
      </c>
      <c r="G158" s="54" t="str">
        <f>IF(OR($B158="",$A158&gt;$B$9,G$140=""),"",IF(COUNTIFS(BD!$B$3:$B$5001,G$140,BD!$A$3:$A$5001,"&gt;="&amp;$C$7,BD!$A$3:$A$5001,"&lt;="&amp;$B158,BD!$V$3:$V$5001,"&lt;&gt;")=0,"",SUMIFS(BD!$V$3:$V$5001,BD!$B$3:$B$5001,G$140,BD!$A$3:$A$5001,_xlfn.MAXIFS(BD!$A$3:$A$5001,BD!$B$3:$B$5001,G$140,BD!$A$3:$A$5001,"&gt;="&amp;$C$7,BD!$A$3:$A$5001,"&lt;="&amp;$B158,BD!$V$3:$V$5001,"&lt;&gt;"))))</f>
        <v/>
      </c>
      <c r="H158" s="54" t="str">
        <f>IF(OR($B158="",$A158&gt;$B$9,H$140=""),"",IF(COUNTIFS(BD!$B$3:$B$5001,H$140,BD!$A$3:$A$5001,"&gt;="&amp;$C$7,BD!$A$3:$A$5001,"&lt;="&amp;$B158,BD!$V$3:$V$5001,"&lt;&gt;")=0,"",SUMIFS(BD!$V$3:$V$5001,BD!$B$3:$B$5001,H$140,BD!$A$3:$A$5001,_xlfn.MAXIFS(BD!$A$3:$A$5001,BD!$B$3:$B$5001,H$140,BD!$A$3:$A$5001,"&gt;="&amp;$C$7,BD!$A$3:$A$5001,"&lt;="&amp;$B158,BD!$V$3:$V$5001,"&lt;&gt;"))))</f>
        <v/>
      </c>
      <c r="I158" s="54" t="str">
        <f>IF(OR($B158="",$A158&gt;$B$9,I$140=""),"",IF(COUNTIFS(BD!$B$3:$B$5001,I$140,BD!$A$3:$A$5001,"&gt;="&amp;$C$7,BD!$A$3:$A$5001,"&lt;="&amp;$B158,BD!$V$3:$V$5001,"&lt;&gt;")=0,"",SUMIFS(BD!$V$3:$V$5001,BD!$B$3:$B$5001,I$140,BD!$A$3:$A$5001,_xlfn.MAXIFS(BD!$A$3:$A$5001,BD!$B$3:$B$5001,I$140,BD!$A$3:$A$5001,"&gt;="&amp;$C$7,BD!$A$3:$A$5001,"&lt;="&amp;$B158,BD!$V$3:$V$5001,"&lt;&gt;"))))</f>
        <v/>
      </c>
      <c r="J158" s="54" t="str">
        <f>IF(OR($B158="",$A158&gt;$B$9,J$140=""),"",IF(COUNTIFS(BD!$B$3:$B$5001,J$140,BD!$A$3:$A$5001,"&gt;="&amp;$C$7,BD!$A$3:$A$5001,"&lt;="&amp;$B158,BD!$V$3:$V$5001,"&lt;&gt;")=0,"",SUMIFS(BD!$V$3:$V$5001,BD!$B$3:$B$5001,J$140,BD!$A$3:$A$5001,_xlfn.MAXIFS(BD!$A$3:$A$5001,BD!$B$3:$B$5001,J$140,BD!$A$3:$A$5001,"&gt;="&amp;$C$7,BD!$A$3:$A$5001,"&lt;="&amp;$B158,BD!$V$3:$V$5001,"&lt;&gt;"))))</f>
        <v/>
      </c>
      <c r="K158" s="54" t="str">
        <f>IF(OR($B158="",$A158&gt;$B$9,K$140=""),"",IF(COUNTIFS(BD!$B$3:$B$5001,K$140,BD!$A$3:$A$5001,"&gt;="&amp;$C$7,BD!$A$3:$A$5001,"&lt;="&amp;$B158,BD!$V$3:$V$5001,"&lt;&gt;")=0,"",SUMIFS(BD!$V$3:$V$5001,BD!$B$3:$B$5001,K$140,BD!$A$3:$A$5001,_xlfn.MAXIFS(BD!$A$3:$A$5001,BD!$B$3:$B$5001,K$140,BD!$A$3:$A$5001,"&gt;="&amp;$C$7,BD!$A$3:$A$5001,"&lt;="&amp;$B158,BD!$V$3:$V$5001,"&lt;&gt;"))))</f>
        <v/>
      </c>
      <c r="L158" s="54" t="str">
        <f>IF(OR($B158="",$A158&gt;$B$9,L$140=""),"",IF(COUNTIFS(BD!$B$3:$B$5001,L$140,BD!$A$3:$A$5001,"&gt;="&amp;$C$7,BD!$A$3:$A$5001,"&lt;="&amp;$B158,BD!$V$3:$V$5001,"&lt;&gt;")=0,"",SUMIFS(BD!$V$3:$V$5001,BD!$B$3:$B$5001,L$140,BD!$A$3:$A$5001,_xlfn.MAXIFS(BD!$A$3:$A$5001,BD!$B$3:$B$5001,L$140,BD!$A$3:$A$5001,"&gt;="&amp;$C$7,BD!$A$3:$A$5001,"&lt;="&amp;$B158,BD!$V$3:$V$5001,"&lt;&gt;"))))</f>
        <v/>
      </c>
      <c r="M158" s="54" t="str">
        <f>IF(OR($B158="",$A158&gt;$B$9,M$140=""),"",IF(COUNTIFS(BD!$B$3:$B$5001,M$140,BD!$A$3:$A$5001,"&gt;="&amp;$C$7,BD!$A$3:$A$5001,"&lt;="&amp;$B158,BD!$V$3:$V$5001,"&lt;&gt;")=0,"",SUMIFS(BD!$V$3:$V$5001,BD!$B$3:$B$5001,M$140,BD!$A$3:$A$5001,_xlfn.MAXIFS(BD!$A$3:$A$5001,BD!$B$3:$B$5001,M$140,BD!$A$3:$A$5001,"&gt;="&amp;$C$7,BD!$A$3:$A$5001,"&lt;="&amp;$B158,BD!$V$3:$V$5001,"&lt;&gt;"))))</f>
        <v/>
      </c>
      <c r="N158" s="54" t="str">
        <f>IF(OR($B158="",$A158&gt;$B$9,N$140=""),"",IF(COUNTIFS(BD!$B$3:$B$5001,N$140,BD!$A$3:$A$5001,"&gt;="&amp;$C$7,BD!$A$3:$A$5001,"&lt;="&amp;$B158,BD!$V$3:$V$5001,"&lt;&gt;")=0,"",SUMIFS(BD!$V$3:$V$5001,BD!$B$3:$B$5001,N$140,BD!$A$3:$A$5001,_xlfn.MAXIFS(BD!$A$3:$A$5001,BD!$B$3:$B$5001,N$140,BD!$A$3:$A$5001,"&gt;="&amp;$C$7,BD!$A$3:$A$5001,"&lt;="&amp;$B158,BD!$V$3:$V$5001,"&lt;&gt;"))))</f>
        <v/>
      </c>
      <c r="O158" s="54" t="str">
        <f>IF(OR($B158="",$A158&gt;$B$9,O$140=""),"",IF(COUNTIFS(BD!$B$3:$B$5001,O$140,BD!$A$3:$A$5001,"&gt;="&amp;$C$7,BD!$A$3:$A$5001,"&lt;="&amp;$B158,BD!$V$3:$V$5001,"&lt;&gt;")=0,"",SUMIFS(BD!$V$3:$V$5001,BD!$B$3:$B$5001,O$140,BD!$A$3:$A$5001,_xlfn.MAXIFS(BD!$A$3:$A$5001,BD!$B$3:$B$5001,O$140,BD!$A$3:$A$5001,"&gt;="&amp;$C$7,BD!$A$3:$A$5001,"&lt;="&amp;$B158,BD!$V$3:$V$5001,"&lt;&gt;"))))</f>
        <v/>
      </c>
      <c r="P158" s="54" t="str">
        <f>IF(OR($B158="",$A158&gt;$B$9,P$140=""),"",IF(COUNTIFS(BD!$B$3:$B$5001,P$140,BD!$A$3:$A$5001,"&gt;="&amp;$C$7,BD!$A$3:$A$5001,"&lt;="&amp;$B158,BD!$V$3:$V$5001,"&lt;&gt;")=0,"",SUMIFS(BD!$V$3:$V$5001,BD!$B$3:$B$5001,P$140,BD!$A$3:$A$5001,_xlfn.MAXIFS(BD!$A$3:$A$5001,BD!$B$3:$B$5001,P$140,BD!$A$3:$A$5001,"&gt;="&amp;$C$7,BD!$A$3:$A$5001,"&lt;="&amp;$B158,BD!$V$3:$V$5001,"&lt;&gt;"))))</f>
        <v/>
      </c>
      <c r="Q158" s="54" t="str">
        <f>IF(OR($B158="",$A158&gt;$B$9,Q$140=""),"",IF(COUNTIFS(BD!$B$3:$B$5001,Q$140,BD!$A$3:$A$5001,"&gt;="&amp;$C$7,BD!$A$3:$A$5001,"&lt;="&amp;$B158,BD!$V$3:$V$5001,"&lt;&gt;")=0,"",SUMIFS(BD!$V$3:$V$5001,BD!$B$3:$B$5001,Q$140,BD!$A$3:$A$5001,_xlfn.MAXIFS(BD!$A$3:$A$5001,BD!$B$3:$B$5001,Q$140,BD!$A$3:$A$5001,"&gt;="&amp;$C$7,BD!$A$3:$A$5001,"&lt;="&amp;$B158,BD!$V$3:$V$5001,"&lt;&gt;"))))</f>
        <v/>
      </c>
      <c r="R158" s="54" t="str">
        <f>IF(OR($B158="",$A158&gt;$B$9,R$140=""),"",IF(COUNTIFS(BD!$B$3:$B$5001,R$140,BD!$A$3:$A$5001,"&gt;="&amp;$C$7,BD!$A$3:$A$5001,"&lt;="&amp;$B158,BD!$V$3:$V$5001,"&lt;&gt;")=0,"",SUMIFS(BD!$V$3:$V$5001,BD!$B$3:$B$5001,R$140,BD!$A$3:$A$5001,_xlfn.MAXIFS(BD!$A$3:$A$5001,BD!$B$3:$B$5001,R$140,BD!$A$3:$A$5001,"&gt;="&amp;$C$7,BD!$A$3:$A$5001,"&lt;="&amp;$B158,BD!$V$3:$V$5001,"&lt;&gt;"))))</f>
        <v/>
      </c>
      <c r="S158" s="54" t="str">
        <f>IF(OR($B158="",$A158&gt;$B$9,S$140=""),"",IF(COUNTIFS(BD!$B$3:$B$5001,S$140,BD!$A$3:$A$5001,"&gt;="&amp;$C$7,BD!$A$3:$A$5001,"&lt;="&amp;$B158,BD!$V$3:$V$5001,"&lt;&gt;")=0,"",SUMIFS(BD!$V$3:$V$5001,BD!$B$3:$B$5001,S$140,BD!$A$3:$A$5001,_xlfn.MAXIFS(BD!$A$3:$A$5001,BD!$B$3:$B$5001,S$140,BD!$A$3:$A$5001,"&gt;="&amp;$C$7,BD!$A$3:$A$5001,"&lt;="&amp;$B158,BD!$V$3:$V$5001,"&lt;&gt;"))))</f>
        <v/>
      </c>
      <c r="T158" s="54" t="str">
        <f>IF(OR($B158="",$A158&gt;$B$9,T$140=""),"",IF(COUNTIFS(BD!$B$3:$B$5001,T$140,BD!$A$3:$A$5001,"&gt;="&amp;$C$7,BD!$A$3:$A$5001,"&lt;="&amp;$B158,BD!$V$3:$V$5001,"&lt;&gt;")=0,"",SUMIFS(BD!$V$3:$V$5001,BD!$B$3:$B$5001,T$140,BD!$A$3:$A$5001,_xlfn.MAXIFS(BD!$A$3:$A$5001,BD!$B$3:$B$5001,T$140,BD!$A$3:$A$5001,"&gt;="&amp;$C$7,BD!$A$3:$A$5001,"&lt;="&amp;$B158,BD!$V$3:$V$5001,"&lt;&gt;"))))</f>
        <v/>
      </c>
      <c r="U158" s="54" t="str">
        <f>IF(OR($B158="",$A158&gt;$B$9,U$140=""),"",IF(COUNTIFS(BD!$B$3:$B$5001,U$140,BD!$A$3:$A$5001,"&gt;="&amp;$C$7,BD!$A$3:$A$5001,"&lt;="&amp;$B158,BD!$V$3:$V$5001,"&lt;&gt;")=0,"",SUMIFS(BD!$V$3:$V$5001,BD!$B$3:$B$5001,U$140,BD!$A$3:$A$5001,_xlfn.MAXIFS(BD!$A$3:$A$5001,BD!$B$3:$B$5001,U$140,BD!$A$3:$A$5001,"&gt;="&amp;$C$7,BD!$A$3:$A$5001,"&lt;="&amp;$B158,BD!$V$3:$V$5001,"&lt;&gt;"))))</f>
        <v/>
      </c>
      <c r="V158" s="54" t="str">
        <f>IF(OR($B158="",$A158&gt;$B$9,V$140=""),"",IF(COUNTIFS(BD!$B$3:$B$5001,V$140,BD!$A$3:$A$5001,"&gt;="&amp;$C$7,BD!$A$3:$A$5001,"&lt;="&amp;$B158,BD!$V$3:$V$5001,"&lt;&gt;")=0,"",SUMIFS(BD!$V$3:$V$5001,BD!$B$3:$B$5001,V$140,BD!$A$3:$A$5001,_xlfn.MAXIFS(BD!$A$3:$A$5001,BD!$B$3:$B$5001,V$140,BD!$A$3:$A$5001,"&gt;="&amp;$C$7,BD!$A$3:$A$5001,"&lt;="&amp;$B158,BD!$V$3:$V$5001,"&lt;&gt;"))))</f>
        <v/>
      </c>
    </row>
    <row r="159">
      <c r="A159" s="48">
        <v>19</v>
      </c>
      <c r="B159" s="53">
        <f>$B$30</f>
        <v>46314</v>
      </c>
      <c r="C159" s="54" t="str">
        <f>IF(OR($B159="",$A159&gt;$B$9,C$140=""),"",IF(COUNTIFS(BD!$B$3:$B$5001,C$140,BD!$A$3:$A$5001,"&gt;="&amp;$C$7,BD!$A$3:$A$5001,"&lt;="&amp;$B159,BD!$V$3:$V$5001,"&lt;&gt;")=0,"",SUMIFS(BD!$V$3:$V$5001,BD!$B$3:$B$5001,C$140,BD!$A$3:$A$5001,_xlfn.MAXIFS(BD!$A$3:$A$5001,BD!$B$3:$B$5001,C$140,BD!$A$3:$A$5001,"&gt;="&amp;$C$7,BD!$A$3:$A$5001,"&lt;="&amp;$B159,BD!$V$3:$V$5001,"&lt;&gt;"))))</f>
        <v/>
      </c>
      <c r="D159" s="54" t="str">
        <f>IF(OR($B159="",$A159&gt;$B$9,D$140=""),"",IF(COUNTIFS(BD!$B$3:$B$5001,D$140,BD!$A$3:$A$5001,"&gt;="&amp;$C$7,BD!$A$3:$A$5001,"&lt;="&amp;$B159,BD!$V$3:$V$5001,"&lt;&gt;")=0,"",SUMIFS(BD!$V$3:$V$5001,BD!$B$3:$B$5001,D$140,BD!$A$3:$A$5001,_xlfn.MAXIFS(BD!$A$3:$A$5001,BD!$B$3:$B$5001,D$140,BD!$A$3:$A$5001,"&gt;="&amp;$C$7,BD!$A$3:$A$5001,"&lt;="&amp;$B159,BD!$V$3:$V$5001,"&lt;&gt;"))))</f>
        <v/>
      </c>
      <c r="E159" s="54" t="str">
        <f>IF(OR($B159="",$A159&gt;$B$9,E$140=""),"",IF(COUNTIFS(BD!$B$3:$B$5001,E$140,BD!$A$3:$A$5001,"&gt;="&amp;$C$7,BD!$A$3:$A$5001,"&lt;="&amp;$B159,BD!$V$3:$V$5001,"&lt;&gt;")=0,"",SUMIFS(BD!$V$3:$V$5001,BD!$B$3:$B$5001,E$140,BD!$A$3:$A$5001,_xlfn.MAXIFS(BD!$A$3:$A$5001,BD!$B$3:$B$5001,E$140,BD!$A$3:$A$5001,"&gt;="&amp;$C$7,BD!$A$3:$A$5001,"&lt;="&amp;$B159,BD!$V$3:$V$5001,"&lt;&gt;"))))</f>
        <v/>
      </c>
      <c r="F159" s="54" t="str">
        <f>IF(OR($B159="",$A159&gt;$B$9,F$140=""),"",IF(COUNTIFS(BD!$B$3:$B$5001,F$140,BD!$A$3:$A$5001,"&gt;="&amp;$C$7,BD!$A$3:$A$5001,"&lt;="&amp;$B159,BD!$V$3:$V$5001,"&lt;&gt;")=0,"",SUMIFS(BD!$V$3:$V$5001,BD!$B$3:$B$5001,F$140,BD!$A$3:$A$5001,_xlfn.MAXIFS(BD!$A$3:$A$5001,BD!$B$3:$B$5001,F$140,BD!$A$3:$A$5001,"&gt;="&amp;$C$7,BD!$A$3:$A$5001,"&lt;="&amp;$B159,BD!$V$3:$V$5001,"&lt;&gt;"))))</f>
        <v/>
      </c>
      <c r="G159" s="54" t="str">
        <f>IF(OR($B159="",$A159&gt;$B$9,G$140=""),"",IF(COUNTIFS(BD!$B$3:$B$5001,G$140,BD!$A$3:$A$5001,"&gt;="&amp;$C$7,BD!$A$3:$A$5001,"&lt;="&amp;$B159,BD!$V$3:$V$5001,"&lt;&gt;")=0,"",SUMIFS(BD!$V$3:$V$5001,BD!$B$3:$B$5001,G$140,BD!$A$3:$A$5001,_xlfn.MAXIFS(BD!$A$3:$A$5001,BD!$B$3:$B$5001,G$140,BD!$A$3:$A$5001,"&gt;="&amp;$C$7,BD!$A$3:$A$5001,"&lt;="&amp;$B159,BD!$V$3:$V$5001,"&lt;&gt;"))))</f>
        <v/>
      </c>
      <c r="H159" s="54" t="str">
        <f>IF(OR($B159="",$A159&gt;$B$9,H$140=""),"",IF(COUNTIFS(BD!$B$3:$B$5001,H$140,BD!$A$3:$A$5001,"&gt;="&amp;$C$7,BD!$A$3:$A$5001,"&lt;="&amp;$B159,BD!$V$3:$V$5001,"&lt;&gt;")=0,"",SUMIFS(BD!$V$3:$V$5001,BD!$B$3:$B$5001,H$140,BD!$A$3:$A$5001,_xlfn.MAXIFS(BD!$A$3:$A$5001,BD!$B$3:$B$5001,H$140,BD!$A$3:$A$5001,"&gt;="&amp;$C$7,BD!$A$3:$A$5001,"&lt;="&amp;$B159,BD!$V$3:$V$5001,"&lt;&gt;"))))</f>
        <v/>
      </c>
      <c r="I159" s="54" t="str">
        <f>IF(OR($B159="",$A159&gt;$B$9,I$140=""),"",IF(COUNTIFS(BD!$B$3:$B$5001,I$140,BD!$A$3:$A$5001,"&gt;="&amp;$C$7,BD!$A$3:$A$5001,"&lt;="&amp;$B159,BD!$V$3:$V$5001,"&lt;&gt;")=0,"",SUMIFS(BD!$V$3:$V$5001,BD!$B$3:$B$5001,I$140,BD!$A$3:$A$5001,_xlfn.MAXIFS(BD!$A$3:$A$5001,BD!$B$3:$B$5001,I$140,BD!$A$3:$A$5001,"&gt;="&amp;$C$7,BD!$A$3:$A$5001,"&lt;="&amp;$B159,BD!$V$3:$V$5001,"&lt;&gt;"))))</f>
        <v/>
      </c>
      <c r="J159" s="54" t="str">
        <f>IF(OR($B159="",$A159&gt;$B$9,J$140=""),"",IF(COUNTIFS(BD!$B$3:$B$5001,J$140,BD!$A$3:$A$5001,"&gt;="&amp;$C$7,BD!$A$3:$A$5001,"&lt;="&amp;$B159,BD!$V$3:$V$5001,"&lt;&gt;")=0,"",SUMIFS(BD!$V$3:$V$5001,BD!$B$3:$B$5001,J$140,BD!$A$3:$A$5001,_xlfn.MAXIFS(BD!$A$3:$A$5001,BD!$B$3:$B$5001,J$140,BD!$A$3:$A$5001,"&gt;="&amp;$C$7,BD!$A$3:$A$5001,"&lt;="&amp;$B159,BD!$V$3:$V$5001,"&lt;&gt;"))))</f>
        <v/>
      </c>
      <c r="K159" s="54" t="str">
        <f>IF(OR($B159="",$A159&gt;$B$9,K$140=""),"",IF(COUNTIFS(BD!$B$3:$B$5001,K$140,BD!$A$3:$A$5001,"&gt;="&amp;$C$7,BD!$A$3:$A$5001,"&lt;="&amp;$B159,BD!$V$3:$V$5001,"&lt;&gt;")=0,"",SUMIFS(BD!$V$3:$V$5001,BD!$B$3:$B$5001,K$140,BD!$A$3:$A$5001,_xlfn.MAXIFS(BD!$A$3:$A$5001,BD!$B$3:$B$5001,K$140,BD!$A$3:$A$5001,"&gt;="&amp;$C$7,BD!$A$3:$A$5001,"&lt;="&amp;$B159,BD!$V$3:$V$5001,"&lt;&gt;"))))</f>
        <v/>
      </c>
      <c r="L159" s="54" t="str">
        <f>IF(OR($B159="",$A159&gt;$B$9,L$140=""),"",IF(COUNTIFS(BD!$B$3:$B$5001,L$140,BD!$A$3:$A$5001,"&gt;="&amp;$C$7,BD!$A$3:$A$5001,"&lt;="&amp;$B159,BD!$V$3:$V$5001,"&lt;&gt;")=0,"",SUMIFS(BD!$V$3:$V$5001,BD!$B$3:$B$5001,L$140,BD!$A$3:$A$5001,_xlfn.MAXIFS(BD!$A$3:$A$5001,BD!$B$3:$B$5001,L$140,BD!$A$3:$A$5001,"&gt;="&amp;$C$7,BD!$A$3:$A$5001,"&lt;="&amp;$B159,BD!$V$3:$V$5001,"&lt;&gt;"))))</f>
        <v/>
      </c>
      <c r="M159" s="54" t="str">
        <f>IF(OR($B159="",$A159&gt;$B$9,M$140=""),"",IF(COUNTIFS(BD!$B$3:$B$5001,M$140,BD!$A$3:$A$5001,"&gt;="&amp;$C$7,BD!$A$3:$A$5001,"&lt;="&amp;$B159,BD!$V$3:$V$5001,"&lt;&gt;")=0,"",SUMIFS(BD!$V$3:$V$5001,BD!$B$3:$B$5001,M$140,BD!$A$3:$A$5001,_xlfn.MAXIFS(BD!$A$3:$A$5001,BD!$B$3:$B$5001,M$140,BD!$A$3:$A$5001,"&gt;="&amp;$C$7,BD!$A$3:$A$5001,"&lt;="&amp;$B159,BD!$V$3:$V$5001,"&lt;&gt;"))))</f>
        <v/>
      </c>
      <c r="N159" s="54" t="str">
        <f>IF(OR($B159="",$A159&gt;$B$9,N$140=""),"",IF(COUNTIFS(BD!$B$3:$B$5001,N$140,BD!$A$3:$A$5001,"&gt;="&amp;$C$7,BD!$A$3:$A$5001,"&lt;="&amp;$B159,BD!$V$3:$V$5001,"&lt;&gt;")=0,"",SUMIFS(BD!$V$3:$V$5001,BD!$B$3:$B$5001,N$140,BD!$A$3:$A$5001,_xlfn.MAXIFS(BD!$A$3:$A$5001,BD!$B$3:$B$5001,N$140,BD!$A$3:$A$5001,"&gt;="&amp;$C$7,BD!$A$3:$A$5001,"&lt;="&amp;$B159,BD!$V$3:$V$5001,"&lt;&gt;"))))</f>
        <v/>
      </c>
      <c r="O159" s="54" t="str">
        <f>IF(OR($B159="",$A159&gt;$B$9,O$140=""),"",IF(COUNTIFS(BD!$B$3:$B$5001,O$140,BD!$A$3:$A$5001,"&gt;="&amp;$C$7,BD!$A$3:$A$5001,"&lt;="&amp;$B159,BD!$V$3:$V$5001,"&lt;&gt;")=0,"",SUMIFS(BD!$V$3:$V$5001,BD!$B$3:$B$5001,O$140,BD!$A$3:$A$5001,_xlfn.MAXIFS(BD!$A$3:$A$5001,BD!$B$3:$B$5001,O$140,BD!$A$3:$A$5001,"&gt;="&amp;$C$7,BD!$A$3:$A$5001,"&lt;="&amp;$B159,BD!$V$3:$V$5001,"&lt;&gt;"))))</f>
        <v/>
      </c>
      <c r="P159" s="54" t="str">
        <f>IF(OR($B159="",$A159&gt;$B$9,P$140=""),"",IF(COUNTIFS(BD!$B$3:$B$5001,P$140,BD!$A$3:$A$5001,"&gt;="&amp;$C$7,BD!$A$3:$A$5001,"&lt;="&amp;$B159,BD!$V$3:$V$5001,"&lt;&gt;")=0,"",SUMIFS(BD!$V$3:$V$5001,BD!$B$3:$B$5001,P$140,BD!$A$3:$A$5001,_xlfn.MAXIFS(BD!$A$3:$A$5001,BD!$B$3:$B$5001,P$140,BD!$A$3:$A$5001,"&gt;="&amp;$C$7,BD!$A$3:$A$5001,"&lt;="&amp;$B159,BD!$V$3:$V$5001,"&lt;&gt;"))))</f>
        <v/>
      </c>
      <c r="Q159" s="54" t="str">
        <f>IF(OR($B159="",$A159&gt;$B$9,Q$140=""),"",IF(COUNTIFS(BD!$B$3:$B$5001,Q$140,BD!$A$3:$A$5001,"&gt;="&amp;$C$7,BD!$A$3:$A$5001,"&lt;="&amp;$B159,BD!$V$3:$V$5001,"&lt;&gt;")=0,"",SUMIFS(BD!$V$3:$V$5001,BD!$B$3:$B$5001,Q$140,BD!$A$3:$A$5001,_xlfn.MAXIFS(BD!$A$3:$A$5001,BD!$B$3:$B$5001,Q$140,BD!$A$3:$A$5001,"&gt;="&amp;$C$7,BD!$A$3:$A$5001,"&lt;="&amp;$B159,BD!$V$3:$V$5001,"&lt;&gt;"))))</f>
        <v/>
      </c>
      <c r="R159" s="54" t="str">
        <f>IF(OR($B159="",$A159&gt;$B$9,R$140=""),"",IF(COUNTIFS(BD!$B$3:$B$5001,R$140,BD!$A$3:$A$5001,"&gt;="&amp;$C$7,BD!$A$3:$A$5001,"&lt;="&amp;$B159,BD!$V$3:$V$5001,"&lt;&gt;")=0,"",SUMIFS(BD!$V$3:$V$5001,BD!$B$3:$B$5001,R$140,BD!$A$3:$A$5001,_xlfn.MAXIFS(BD!$A$3:$A$5001,BD!$B$3:$B$5001,R$140,BD!$A$3:$A$5001,"&gt;="&amp;$C$7,BD!$A$3:$A$5001,"&lt;="&amp;$B159,BD!$V$3:$V$5001,"&lt;&gt;"))))</f>
        <v/>
      </c>
      <c r="S159" s="54" t="str">
        <f>IF(OR($B159="",$A159&gt;$B$9,S$140=""),"",IF(COUNTIFS(BD!$B$3:$B$5001,S$140,BD!$A$3:$A$5001,"&gt;="&amp;$C$7,BD!$A$3:$A$5001,"&lt;="&amp;$B159,BD!$V$3:$V$5001,"&lt;&gt;")=0,"",SUMIFS(BD!$V$3:$V$5001,BD!$B$3:$B$5001,S$140,BD!$A$3:$A$5001,_xlfn.MAXIFS(BD!$A$3:$A$5001,BD!$B$3:$B$5001,S$140,BD!$A$3:$A$5001,"&gt;="&amp;$C$7,BD!$A$3:$A$5001,"&lt;="&amp;$B159,BD!$V$3:$V$5001,"&lt;&gt;"))))</f>
        <v/>
      </c>
      <c r="T159" s="54" t="str">
        <f>IF(OR($B159="",$A159&gt;$B$9,T$140=""),"",IF(COUNTIFS(BD!$B$3:$B$5001,T$140,BD!$A$3:$A$5001,"&gt;="&amp;$C$7,BD!$A$3:$A$5001,"&lt;="&amp;$B159,BD!$V$3:$V$5001,"&lt;&gt;")=0,"",SUMIFS(BD!$V$3:$V$5001,BD!$B$3:$B$5001,T$140,BD!$A$3:$A$5001,_xlfn.MAXIFS(BD!$A$3:$A$5001,BD!$B$3:$B$5001,T$140,BD!$A$3:$A$5001,"&gt;="&amp;$C$7,BD!$A$3:$A$5001,"&lt;="&amp;$B159,BD!$V$3:$V$5001,"&lt;&gt;"))))</f>
        <v/>
      </c>
      <c r="U159" s="54" t="str">
        <f>IF(OR($B159="",$A159&gt;$B$9,U$140=""),"",IF(COUNTIFS(BD!$B$3:$B$5001,U$140,BD!$A$3:$A$5001,"&gt;="&amp;$C$7,BD!$A$3:$A$5001,"&lt;="&amp;$B159,BD!$V$3:$V$5001,"&lt;&gt;")=0,"",SUMIFS(BD!$V$3:$V$5001,BD!$B$3:$B$5001,U$140,BD!$A$3:$A$5001,_xlfn.MAXIFS(BD!$A$3:$A$5001,BD!$B$3:$B$5001,U$140,BD!$A$3:$A$5001,"&gt;="&amp;$C$7,BD!$A$3:$A$5001,"&lt;="&amp;$B159,BD!$V$3:$V$5001,"&lt;&gt;"))))</f>
        <v/>
      </c>
      <c r="V159" s="54" t="str">
        <f>IF(OR($B159="",$A159&gt;$B$9,V$140=""),"",IF(COUNTIFS(BD!$B$3:$B$5001,V$140,BD!$A$3:$A$5001,"&gt;="&amp;$C$7,BD!$A$3:$A$5001,"&lt;="&amp;$B159,BD!$V$3:$V$5001,"&lt;&gt;")=0,"",SUMIFS(BD!$V$3:$V$5001,BD!$B$3:$B$5001,V$140,BD!$A$3:$A$5001,_xlfn.MAXIFS(BD!$A$3:$A$5001,BD!$B$3:$B$5001,V$140,BD!$A$3:$A$5001,"&gt;="&amp;$C$7,BD!$A$3:$A$5001,"&lt;="&amp;$B159,BD!$V$3:$V$5001,"&lt;&gt;"))))</f>
        <v/>
      </c>
    </row>
    <row r="160">
      <c r="A160" s="48">
        <v>20</v>
      </c>
      <c r="B160" s="53">
        <f>$B$31</f>
        <v>46315</v>
      </c>
      <c r="C160" s="54" t="str">
        <f>IF(OR($B160="",$A160&gt;$B$9,C$140=""),"",IF(COUNTIFS(BD!$B$3:$B$5001,C$140,BD!$A$3:$A$5001,"&gt;="&amp;$C$7,BD!$A$3:$A$5001,"&lt;="&amp;$B160,BD!$V$3:$V$5001,"&lt;&gt;")=0,"",SUMIFS(BD!$V$3:$V$5001,BD!$B$3:$B$5001,C$140,BD!$A$3:$A$5001,_xlfn.MAXIFS(BD!$A$3:$A$5001,BD!$B$3:$B$5001,C$140,BD!$A$3:$A$5001,"&gt;="&amp;$C$7,BD!$A$3:$A$5001,"&lt;="&amp;$B160,BD!$V$3:$V$5001,"&lt;&gt;"))))</f>
        <v/>
      </c>
      <c r="D160" s="54" t="str">
        <f>IF(OR($B160="",$A160&gt;$B$9,D$140=""),"",IF(COUNTIFS(BD!$B$3:$B$5001,D$140,BD!$A$3:$A$5001,"&gt;="&amp;$C$7,BD!$A$3:$A$5001,"&lt;="&amp;$B160,BD!$V$3:$V$5001,"&lt;&gt;")=0,"",SUMIFS(BD!$V$3:$V$5001,BD!$B$3:$B$5001,D$140,BD!$A$3:$A$5001,_xlfn.MAXIFS(BD!$A$3:$A$5001,BD!$B$3:$B$5001,D$140,BD!$A$3:$A$5001,"&gt;="&amp;$C$7,BD!$A$3:$A$5001,"&lt;="&amp;$B160,BD!$V$3:$V$5001,"&lt;&gt;"))))</f>
        <v/>
      </c>
      <c r="E160" s="54" t="str">
        <f>IF(OR($B160="",$A160&gt;$B$9,E$140=""),"",IF(COUNTIFS(BD!$B$3:$B$5001,E$140,BD!$A$3:$A$5001,"&gt;="&amp;$C$7,BD!$A$3:$A$5001,"&lt;="&amp;$B160,BD!$V$3:$V$5001,"&lt;&gt;")=0,"",SUMIFS(BD!$V$3:$V$5001,BD!$B$3:$B$5001,E$140,BD!$A$3:$A$5001,_xlfn.MAXIFS(BD!$A$3:$A$5001,BD!$B$3:$B$5001,E$140,BD!$A$3:$A$5001,"&gt;="&amp;$C$7,BD!$A$3:$A$5001,"&lt;="&amp;$B160,BD!$V$3:$V$5001,"&lt;&gt;"))))</f>
        <v/>
      </c>
      <c r="F160" s="54" t="str">
        <f>IF(OR($B160="",$A160&gt;$B$9,F$140=""),"",IF(COUNTIFS(BD!$B$3:$B$5001,F$140,BD!$A$3:$A$5001,"&gt;="&amp;$C$7,BD!$A$3:$A$5001,"&lt;="&amp;$B160,BD!$V$3:$V$5001,"&lt;&gt;")=0,"",SUMIFS(BD!$V$3:$V$5001,BD!$B$3:$B$5001,F$140,BD!$A$3:$A$5001,_xlfn.MAXIFS(BD!$A$3:$A$5001,BD!$B$3:$B$5001,F$140,BD!$A$3:$A$5001,"&gt;="&amp;$C$7,BD!$A$3:$A$5001,"&lt;="&amp;$B160,BD!$V$3:$V$5001,"&lt;&gt;"))))</f>
        <v/>
      </c>
      <c r="G160" s="54" t="str">
        <f>IF(OR($B160="",$A160&gt;$B$9,G$140=""),"",IF(COUNTIFS(BD!$B$3:$B$5001,G$140,BD!$A$3:$A$5001,"&gt;="&amp;$C$7,BD!$A$3:$A$5001,"&lt;="&amp;$B160,BD!$V$3:$V$5001,"&lt;&gt;")=0,"",SUMIFS(BD!$V$3:$V$5001,BD!$B$3:$B$5001,G$140,BD!$A$3:$A$5001,_xlfn.MAXIFS(BD!$A$3:$A$5001,BD!$B$3:$B$5001,G$140,BD!$A$3:$A$5001,"&gt;="&amp;$C$7,BD!$A$3:$A$5001,"&lt;="&amp;$B160,BD!$V$3:$V$5001,"&lt;&gt;"))))</f>
        <v/>
      </c>
      <c r="H160" s="54" t="str">
        <f>IF(OR($B160="",$A160&gt;$B$9,H$140=""),"",IF(COUNTIFS(BD!$B$3:$B$5001,H$140,BD!$A$3:$A$5001,"&gt;="&amp;$C$7,BD!$A$3:$A$5001,"&lt;="&amp;$B160,BD!$V$3:$V$5001,"&lt;&gt;")=0,"",SUMIFS(BD!$V$3:$V$5001,BD!$B$3:$B$5001,H$140,BD!$A$3:$A$5001,_xlfn.MAXIFS(BD!$A$3:$A$5001,BD!$B$3:$B$5001,H$140,BD!$A$3:$A$5001,"&gt;="&amp;$C$7,BD!$A$3:$A$5001,"&lt;="&amp;$B160,BD!$V$3:$V$5001,"&lt;&gt;"))))</f>
        <v/>
      </c>
      <c r="I160" s="54" t="str">
        <f>IF(OR($B160="",$A160&gt;$B$9,I$140=""),"",IF(COUNTIFS(BD!$B$3:$B$5001,I$140,BD!$A$3:$A$5001,"&gt;="&amp;$C$7,BD!$A$3:$A$5001,"&lt;="&amp;$B160,BD!$V$3:$V$5001,"&lt;&gt;")=0,"",SUMIFS(BD!$V$3:$V$5001,BD!$B$3:$B$5001,I$140,BD!$A$3:$A$5001,_xlfn.MAXIFS(BD!$A$3:$A$5001,BD!$B$3:$B$5001,I$140,BD!$A$3:$A$5001,"&gt;="&amp;$C$7,BD!$A$3:$A$5001,"&lt;="&amp;$B160,BD!$V$3:$V$5001,"&lt;&gt;"))))</f>
        <v/>
      </c>
      <c r="J160" s="54" t="str">
        <f>IF(OR($B160="",$A160&gt;$B$9,J$140=""),"",IF(COUNTIFS(BD!$B$3:$B$5001,J$140,BD!$A$3:$A$5001,"&gt;="&amp;$C$7,BD!$A$3:$A$5001,"&lt;="&amp;$B160,BD!$V$3:$V$5001,"&lt;&gt;")=0,"",SUMIFS(BD!$V$3:$V$5001,BD!$B$3:$B$5001,J$140,BD!$A$3:$A$5001,_xlfn.MAXIFS(BD!$A$3:$A$5001,BD!$B$3:$B$5001,J$140,BD!$A$3:$A$5001,"&gt;="&amp;$C$7,BD!$A$3:$A$5001,"&lt;="&amp;$B160,BD!$V$3:$V$5001,"&lt;&gt;"))))</f>
        <v/>
      </c>
      <c r="K160" s="54" t="str">
        <f>IF(OR($B160="",$A160&gt;$B$9,K$140=""),"",IF(COUNTIFS(BD!$B$3:$B$5001,K$140,BD!$A$3:$A$5001,"&gt;="&amp;$C$7,BD!$A$3:$A$5001,"&lt;="&amp;$B160,BD!$V$3:$V$5001,"&lt;&gt;")=0,"",SUMIFS(BD!$V$3:$V$5001,BD!$B$3:$B$5001,K$140,BD!$A$3:$A$5001,_xlfn.MAXIFS(BD!$A$3:$A$5001,BD!$B$3:$B$5001,K$140,BD!$A$3:$A$5001,"&gt;="&amp;$C$7,BD!$A$3:$A$5001,"&lt;="&amp;$B160,BD!$V$3:$V$5001,"&lt;&gt;"))))</f>
        <v/>
      </c>
      <c r="L160" s="54" t="str">
        <f>IF(OR($B160="",$A160&gt;$B$9,L$140=""),"",IF(COUNTIFS(BD!$B$3:$B$5001,L$140,BD!$A$3:$A$5001,"&gt;="&amp;$C$7,BD!$A$3:$A$5001,"&lt;="&amp;$B160,BD!$V$3:$V$5001,"&lt;&gt;")=0,"",SUMIFS(BD!$V$3:$V$5001,BD!$B$3:$B$5001,L$140,BD!$A$3:$A$5001,_xlfn.MAXIFS(BD!$A$3:$A$5001,BD!$B$3:$B$5001,L$140,BD!$A$3:$A$5001,"&gt;="&amp;$C$7,BD!$A$3:$A$5001,"&lt;="&amp;$B160,BD!$V$3:$V$5001,"&lt;&gt;"))))</f>
        <v/>
      </c>
      <c r="M160" s="54" t="str">
        <f>IF(OR($B160="",$A160&gt;$B$9,M$140=""),"",IF(COUNTIFS(BD!$B$3:$B$5001,M$140,BD!$A$3:$A$5001,"&gt;="&amp;$C$7,BD!$A$3:$A$5001,"&lt;="&amp;$B160,BD!$V$3:$V$5001,"&lt;&gt;")=0,"",SUMIFS(BD!$V$3:$V$5001,BD!$B$3:$B$5001,M$140,BD!$A$3:$A$5001,_xlfn.MAXIFS(BD!$A$3:$A$5001,BD!$B$3:$B$5001,M$140,BD!$A$3:$A$5001,"&gt;="&amp;$C$7,BD!$A$3:$A$5001,"&lt;="&amp;$B160,BD!$V$3:$V$5001,"&lt;&gt;"))))</f>
        <v/>
      </c>
      <c r="N160" s="54" t="str">
        <f>IF(OR($B160="",$A160&gt;$B$9,N$140=""),"",IF(COUNTIFS(BD!$B$3:$B$5001,N$140,BD!$A$3:$A$5001,"&gt;="&amp;$C$7,BD!$A$3:$A$5001,"&lt;="&amp;$B160,BD!$V$3:$V$5001,"&lt;&gt;")=0,"",SUMIFS(BD!$V$3:$V$5001,BD!$B$3:$B$5001,N$140,BD!$A$3:$A$5001,_xlfn.MAXIFS(BD!$A$3:$A$5001,BD!$B$3:$B$5001,N$140,BD!$A$3:$A$5001,"&gt;="&amp;$C$7,BD!$A$3:$A$5001,"&lt;="&amp;$B160,BD!$V$3:$V$5001,"&lt;&gt;"))))</f>
        <v/>
      </c>
      <c r="O160" s="54" t="str">
        <f>IF(OR($B160="",$A160&gt;$B$9,O$140=""),"",IF(COUNTIFS(BD!$B$3:$B$5001,O$140,BD!$A$3:$A$5001,"&gt;="&amp;$C$7,BD!$A$3:$A$5001,"&lt;="&amp;$B160,BD!$V$3:$V$5001,"&lt;&gt;")=0,"",SUMIFS(BD!$V$3:$V$5001,BD!$B$3:$B$5001,O$140,BD!$A$3:$A$5001,_xlfn.MAXIFS(BD!$A$3:$A$5001,BD!$B$3:$B$5001,O$140,BD!$A$3:$A$5001,"&gt;="&amp;$C$7,BD!$A$3:$A$5001,"&lt;="&amp;$B160,BD!$V$3:$V$5001,"&lt;&gt;"))))</f>
        <v/>
      </c>
      <c r="P160" s="54" t="str">
        <f>IF(OR($B160="",$A160&gt;$B$9,P$140=""),"",IF(COUNTIFS(BD!$B$3:$B$5001,P$140,BD!$A$3:$A$5001,"&gt;="&amp;$C$7,BD!$A$3:$A$5001,"&lt;="&amp;$B160,BD!$V$3:$V$5001,"&lt;&gt;")=0,"",SUMIFS(BD!$V$3:$V$5001,BD!$B$3:$B$5001,P$140,BD!$A$3:$A$5001,_xlfn.MAXIFS(BD!$A$3:$A$5001,BD!$B$3:$B$5001,P$140,BD!$A$3:$A$5001,"&gt;="&amp;$C$7,BD!$A$3:$A$5001,"&lt;="&amp;$B160,BD!$V$3:$V$5001,"&lt;&gt;"))))</f>
        <v/>
      </c>
      <c r="Q160" s="54" t="str">
        <f>IF(OR($B160="",$A160&gt;$B$9,Q$140=""),"",IF(COUNTIFS(BD!$B$3:$B$5001,Q$140,BD!$A$3:$A$5001,"&gt;="&amp;$C$7,BD!$A$3:$A$5001,"&lt;="&amp;$B160,BD!$V$3:$V$5001,"&lt;&gt;")=0,"",SUMIFS(BD!$V$3:$V$5001,BD!$B$3:$B$5001,Q$140,BD!$A$3:$A$5001,_xlfn.MAXIFS(BD!$A$3:$A$5001,BD!$B$3:$B$5001,Q$140,BD!$A$3:$A$5001,"&gt;="&amp;$C$7,BD!$A$3:$A$5001,"&lt;="&amp;$B160,BD!$V$3:$V$5001,"&lt;&gt;"))))</f>
        <v/>
      </c>
      <c r="R160" s="54" t="str">
        <f>IF(OR($B160="",$A160&gt;$B$9,R$140=""),"",IF(COUNTIFS(BD!$B$3:$B$5001,R$140,BD!$A$3:$A$5001,"&gt;="&amp;$C$7,BD!$A$3:$A$5001,"&lt;="&amp;$B160,BD!$V$3:$V$5001,"&lt;&gt;")=0,"",SUMIFS(BD!$V$3:$V$5001,BD!$B$3:$B$5001,R$140,BD!$A$3:$A$5001,_xlfn.MAXIFS(BD!$A$3:$A$5001,BD!$B$3:$B$5001,R$140,BD!$A$3:$A$5001,"&gt;="&amp;$C$7,BD!$A$3:$A$5001,"&lt;="&amp;$B160,BD!$V$3:$V$5001,"&lt;&gt;"))))</f>
        <v/>
      </c>
      <c r="S160" s="54" t="str">
        <f>IF(OR($B160="",$A160&gt;$B$9,S$140=""),"",IF(COUNTIFS(BD!$B$3:$B$5001,S$140,BD!$A$3:$A$5001,"&gt;="&amp;$C$7,BD!$A$3:$A$5001,"&lt;="&amp;$B160,BD!$V$3:$V$5001,"&lt;&gt;")=0,"",SUMIFS(BD!$V$3:$V$5001,BD!$B$3:$B$5001,S$140,BD!$A$3:$A$5001,_xlfn.MAXIFS(BD!$A$3:$A$5001,BD!$B$3:$B$5001,S$140,BD!$A$3:$A$5001,"&gt;="&amp;$C$7,BD!$A$3:$A$5001,"&lt;="&amp;$B160,BD!$V$3:$V$5001,"&lt;&gt;"))))</f>
        <v/>
      </c>
      <c r="T160" s="54" t="str">
        <f>IF(OR($B160="",$A160&gt;$B$9,T$140=""),"",IF(COUNTIFS(BD!$B$3:$B$5001,T$140,BD!$A$3:$A$5001,"&gt;="&amp;$C$7,BD!$A$3:$A$5001,"&lt;="&amp;$B160,BD!$V$3:$V$5001,"&lt;&gt;")=0,"",SUMIFS(BD!$V$3:$V$5001,BD!$B$3:$B$5001,T$140,BD!$A$3:$A$5001,_xlfn.MAXIFS(BD!$A$3:$A$5001,BD!$B$3:$B$5001,T$140,BD!$A$3:$A$5001,"&gt;="&amp;$C$7,BD!$A$3:$A$5001,"&lt;="&amp;$B160,BD!$V$3:$V$5001,"&lt;&gt;"))))</f>
        <v/>
      </c>
      <c r="U160" s="54" t="str">
        <f>IF(OR($B160="",$A160&gt;$B$9,U$140=""),"",IF(COUNTIFS(BD!$B$3:$B$5001,U$140,BD!$A$3:$A$5001,"&gt;="&amp;$C$7,BD!$A$3:$A$5001,"&lt;="&amp;$B160,BD!$V$3:$V$5001,"&lt;&gt;")=0,"",SUMIFS(BD!$V$3:$V$5001,BD!$B$3:$B$5001,U$140,BD!$A$3:$A$5001,_xlfn.MAXIFS(BD!$A$3:$A$5001,BD!$B$3:$B$5001,U$140,BD!$A$3:$A$5001,"&gt;="&amp;$C$7,BD!$A$3:$A$5001,"&lt;="&amp;$B160,BD!$V$3:$V$5001,"&lt;&gt;"))))</f>
        <v/>
      </c>
      <c r="V160" s="54" t="str">
        <f>IF(OR($B160="",$A160&gt;$B$9,V$140=""),"",IF(COUNTIFS(BD!$B$3:$B$5001,V$140,BD!$A$3:$A$5001,"&gt;="&amp;$C$7,BD!$A$3:$A$5001,"&lt;="&amp;$B160,BD!$V$3:$V$5001,"&lt;&gt;")=0,"",SUMIFS(BD!$V$3:$V$5001,BD!$B$3:$B$5001,V$140,BD!$A$3:$A$5001,_xlfn.MAXIFS(BD!$A$3:$A$5001,BD!$B$3:$B$5001,V$140,BD!$A$3:$A$5001,"&gt;="&amp;$C$7,BD!$A$3:$A$5001,"&lt;="&amp;$B160,BD!$V$3:$V$5001,"&lt;&gt;"))))</f>
        <v/>
      </c>
    </row>
    <row r="161">
      <c r="A161" s="48">
        <v>21</v>
      </c>
      <c r="B161" s="53">
        <f>$B$32</f>
        <v>46316</v>
      </c>
      <c r="C161" s="54" t="str">
        <f>IF(OR($B161="",$A161&gt;$B$9,C$140=""),"",IF(COUNTIFS(BD!$B$3:$B$5001,C$140,BD!$A$3:$A$5001,"&gt;="&amp;$C$7,BD!$A$3:$A$5001,"&lt;="&amp;$B161,BD!$V$3:$V$5001,"&lt;&gt;")=0,"",SUMIFS(BD!$V$3:$V$5001,BD!$B$3:$B$5001,C$140,BD!$A$3:$A$5001,_xlfn.MAXIFS(BD!$A$3:$A$5001,BD!$B$3:$B$5001,C$140,BD!$A$3:$A$5001,"&gt;="&amp;$C$7,BD!$A$3:$A$5001,"&lt;="&amp;$B161,BD!$V$3:$V$5001,"&lt;&gt;"))))</f>
        <v/>
      </c>
      <c r="D161" s="54" t="str">
        <f>IF(OR($B161="",$A161&gt;$B$9,D$140=""),"",IF(COUNTIFS(BD!$B$3:$B$5001,D$140,BD!$A$3:$A$5001,"&gt;="&amp;$C$7,BD!$A$3:$A$5001,"&lt;="&amp;$B161,BD!$V$3:$V$5001,"&lt;&gt;")=0,"",SUMIFS(BD!$V$3:$V$5001,BD!$B$3:$B$5001,D$140,BD!$A$3:$A$5001,_xlfn.MAXIFS(BD!$A$3:$A$5001,BD!$B$3:$B$5001,D$140,BD!$A$3:$A$5001,"&gt;="&amp;$C$7,BD!$A$3:$A$5001,"&lt;="&amp;$B161,BD!$V$3:$V$5001,"&lt;&gt;"))))</f>
        <v/>
      </c>
      <c r="E161" s="54" t="str">
        <f>IF(OR($B161="",$A161&gt;$B$9,E$140=""),"",IF(COUNTIFS(BD!$B$3:$B$5001,E$140,BD!$A$3:$A$5001,"&gt;="&amp;$C$7,BD!$A$3:$A$5001,"&lt;="&amp;$B161,BD!$V$3:$V$5001,"&lt;&gt;")=0,"",SUMIFS(BD!$V$3:$V$5001,BD!$B$3:$B$5001,E$140,BD!$A$3:$A$5001,_xlfn.MAXIFS(BD!$A$3:$A$5001,BD!$B$3:$B$5001,E$140,BD!$A$3:$A$5001,"&gt;="&amp;$C$7,BD!$A$3:$A$5001,"&lt;="&amp;$B161,BD!$V$3:$V$5001,"&lt;&gt;"))))</f>
        <v/>
      </c>
      <c r="F161" s="54" t="str">
        <f>IF(OR($B161="",$A161&gt;$B$9,F$140=""),"",IF(COUNTIFS(BD!$B$3:$B$5001,F$140,BD!$A$3:$A$5001,"&gt;="&amp;$C$7,BD!$A$3:$A$5001,"&lt;="&amp;$B161,BD!$V$3:$V$5001,"&lt;&gt;")=0,"",SUMIFS(BD!$V$3:$V$5001,BD!$B$3:$B$5001,F$140,BD!$A$3:$A$5001,_xlfn.MAXIFS(BD!$A$3:$A$5001,BD!$B$3:$B$5001,F$140,BD!$A$3:$A$5001,"&gt;="&amp;$C$7,BD!$A$3:$A$5001,"&lt;="&amp;$B161,BD!$V$3:$V$5001,"&lt;&gt;"))))</f>
        <v/>
      </c>
      <c r="G161" s="54" t="str">
        <f>IF(OR($B161="",$A161&gt;$B$9,G$140=""),"",IF(COUNTIFS(BD!$B$3:$B$5001,G$140,BD!$A$3:$A$5001,"&gt;="&amp;$C$7,BD!$A$3:$A$5001,"&lt;="&amp;$B161,BD!$V$3:$V$5001,"&lt;&gt;")=0,"",SUMIFS(BD!$V$3:$V$5001,BD!$B$3:$B$5001,G$140,BD!$A$3:$A$5001,_xlfn.MAXIFS(BD!$A$3:$A$5001,BD!$B$3:$B$5001,G$140,BD!$A$3:$A$5001,"&gt;="&amp;$C$7,BD!$A$3:$A$5001,"&lt;="&amp;$B161,BD!$V$3:$V$5001,"&lt;&gt;"))))</f>
        <v/>
      </c>
      <c r="H161" s="54" t="str">
        <f>IF(OR($B161="",$A161&gt;$B$9,H$140=""),"",IF(COUNTIFS(BD!$B$3:$B$5001,H$140,BD!$A$3:$A$5001,"&gt;="&amp;$C$7,BD!$A$3:$A$5001,"&lt;="&amp;$B161,BD!$V$3:$V$5001,"&lt;&gt;")=0,"",SUMIFS(BD!$V$3:$V$5001,BD!$B$3:$B$5001,H$140,BD!$A$3:$A$5001,_xlfn.MAXIFS(BD!$A$3:$A$5001,BD!$B$3:$B$5001,H$140,BD!$A$3:$A$5001,"&gt;="&amp;$C$7,BD!$A$3:$A$5001,"&lt;="&amp;$B161,BD!$V$3:$V$5001,"&lt;&gt;"))))</f>
        <v/>
      </c>
      <c r="I161" s="54" t="str">
        <f>IF(OR($B161="",$A161&gt;$B$9,I$140=""),"",IF(COUNTIFS(BD!$B$3:$B$5001,I$140,BD!$A$3:$A$5001,"&gt;="&amp;$C$7,BD!$A$3:$A$5001,"&lt;="&amp;$B161,BD!$V$3:$V$5001,"&lt;&gt;")=0,"",SUMIFS(BD!$V$3:$V$5001,BD!$B$3:$B$5001,I$140,BD!$A$3:$A$5001,_xlfn.MAXIFS(BD!$A$3:$A$5001,BD!$B$3:$B$5001,I$140,BD!$A$3:$A$5001,"&gt;="&amp;$C$7,BD!$A$3:$A$5001,"&lt;="&amp;$B161,BD!$V$3:$V$5001,"&lt;&gt;"))))</f>
        <v/>
      </c>
      <c r="J161" s="54" t="str">
        <f>IF(OR($B161="",$A161&gt;$B$9,J$140=""),"",IF(COUNTIFS(BD!$B$3:$B$5001,J$140,BD!$A$3:$A$5001,"&gt;="&amp;$C$7,BD!$A$3:$A$5001,"&lt;="&amp;$B161,BD!$V$3:$V$5001,"&lt;&gt;")=0,"",SUMIFS(BD!$V$3:$V$5001,BD!$B$3:$B$5001,J$140,BD!$A$3:$A$5001,_xlfn.MAXIFS(BD!$A$3:$A$5001,BD!$B$3:$B$5001,J$140,BD!$A$3:$A$5001,"&gt;="&amp;$C$7,BD!$A$3:$A$5001,"&lt;="&amp;$B161,BD!$V$3:$V$5001,"&lt;&gt;"))))</f>
        <v/>
      </c>
      <c r="K161" s="54" t="str">
        <f>IF(OR($B161="",$A161&gt;$B$9,K$140=""),"",IF(COUNTIFS(BD!$B$3:$B$5001,K$140,BD!$A$3:$A$5001,"&gt;="&amp;$C$7,BD!$A$3:$A$5001,"&lt;="&amp;$B161,BD!$V$3:$V$5001,"&lt;&gt;")=0,"",SUMIFS(BD!$V$3:$V$5001,BD!$B$3:$B$5001,K$140,BD!$A$3:$A$5001,_xlfn.MAXIFS(BD!$A$3:$A$5001,BD!$B$3:$B$5001,K$140,BD!$A$3:$A$5001,"&gt;="&amp;$C$7,BD!$A$3:$A$5001,"&lt;="&amp;$B161,BD!$V$3:$V$5001,"&lt;&gt;"))))</f>
        <v/>
      </c>
      <c r="L161" s="54" t="str">
        <f>IF(OR($B161="",$A161&gt;$B$9,L$140=""),"",IF(COUNTIFS(BD!$B$3:$B$5001,L$140,BD!$A$3:$A$5001,"&gt;="&amp;$C$7,BD!$A$3:$A$5001,"&lt;="&amp;$B161,BD!$V$3:$V$5001,"&lt;&gt;")=0,"",SUMIFS(BD!$V$3:$V$5001,BD!$B$3:$B$5001,L$140,BD!$A$3:$A$5001,_xlfn.MAXIFS(BD!$A$3:$A$5001,BD!$B$3:$B$5001,L$140,BD!$A$3:$A$5001,"&gt;="&amp;$C$7,BD!$A$3:$A$5001,"&lt;="&amp;$B161,BD!$V$3:$V$5001,"&lt;&gt;"))))</f>
        <v/>
      </c>
      <c r="M161" s="54" t="str">
        <f>IF(OR($B161="",$A161&gt;$B$9,M$140=""),"",IF(COUNTIFS(BD!$B$3:$B$5001,M$140,BD!$A$3:$A$5001,"&gt;="&amp;$C$7,BD!$A$3:$A$5001,"&lt;="&amp;$B161,BD!$V$3:$V$5001,"&lt;&gt;")=0,"",SUMIFS(BD!$V$3:$V$5001,BD!$B$3:$B$5001,M$140,BD!$A$3:$A$5001,_xlfn.MAXIFS(BD!$A$3:$A$5001,BD!$B$3:$B$5001,M$140,BD!$A$3:$A$5001,"&gt;="&amp;$C$7,BD!$A$3:$A$5001,"&lt;="&amp;$B161,BD!$V$3:$V$5001,"&lt;&gt;"))))</f>
        <v/>
      </c>
      <c r="N161" s="54" t="str">
        <f>IF(OR($B161="",$A161&gt;$B$9,N$140=""),"",IF(COUNTIFS(BD!$B$3:$B$5001,N$140,BD!$A$3:$A$5001,"&gt;="&amp;$C$7,BD!$A$3:$A$5001,"&lt;="&amp;$B161,BD!$V$3:$V$5001,"&lt;&gt;")=0,"",SUMIFS(BD!$V$3:$V$5001,BD!$B$3:$B$5001,N$140,BD!$A$3:$A$5001,_xlfn.MAXIFS(BD!$A$3:$A$5001,BD!$B$3:$B$5001,N$140,BD!$A$3:$A$5001,"&gt;="&amp;$C$7,BD!$A$3:$A$5001,"&lt;="&amp;$B161,BD!$V$3:$V$5001,"&lt;&gt;"))))</f>
        <v/>
      </c>
      <c r="O161" s="54" t="str">
        <f>IF(OR($B161="",$A161&gt;$B$9,O$140=""),"",IF(COUNTIFS(BD!$B$3:$B$5001,O$140,BD!$A$3:$A$5001,"&gt;="&amp;$C$7,BD!$A$3:$A$5001,"&lt;="&amp;$B161,BD!$V$3:$V$5001,"&lt;&gt;")=0,"",SUMIFS(BD!$V$3:$V$5001,BD!$B$3:$B$5001,O$140,BD!$A$3:$A$5001,_xlfn.MAXIFS(BD!$A$3:$A$5001,BD!$B$3:$B$5001,O$140,BD!$A$3:$A$5001,"&gt;="&amp;$C$7,BD!$A$3:$A$5001,"&lt;="&amp;$B161,BD!$V$3:$V$5001,"&lt;&gt;"))))</f>
        <v/>
      </c>
      <c r="P161" s="54" t="str">
        <f>IF(OR($B161="",$A161&gt;$B$9,P$140=""),"",IF(COUNTIFS(BD!$B$3:$B$5001,P$140,BD!$A$3:$A$5001,"&gt;="&amp;$C$7,BD!$A$3:$A$5001,"&lt;="&amp;$B161,BD!$V$3:$V$5001,"&lt;&gt;")=0,"",SUMIFS(BD!$V$3:$V$5001,BD!$B$3:$B$5001,P$140,BD!$A$3:$A$5001,_xlfn.MAXIFS(BD!$A$3:$A$5001,BD!$B$3:$B$5001,P$140,BD!$A$3:$A$5001,"&gt;="&amp;$C$7,BD!$A$3:$A$5001,"&lt;="&amp;$B161,BD!$V$3:$V$5001,"&lt;&gt;"))))</f>
        <v/>
      </c>
      <c r="Q161" s="54" t="str">
        <f>IF(OR($B161="",$A161&gt;$B$9,Q$140=""),"",IF(COUNTIFS(BD!$B$3:$B$5001,Q$140,BD!$A$3:$A$5001,"&gt;="&amp;$C$7,BD!$A$3:$A$5001,"&lt;="&amp;$B161,BD!$V$3:$V$5001,"&lt;&gt;")=0,"",SUMIFS(BD!$V$3:$V$5001,BD!$B$3:$B$5001,Q$140,BD!$A$3:$A$5001,_xlfn.MAXIFS(BD!$A$3:$A$5001,BD!$B$3:$B$5001,Q$140,BD!$A$3:$A$5001,"&gt;="&amp;$C$7,BD!$A$3:$A$5001,"&lt;="&amp;$B161,BD!$V$3:$V$5001,"&lt;&gt;"))))</f>
        <v/>
      </c>
      <c r="R161" s="54" t="str">
        <f>IF(OR($B161="",$A161&gt;$B$9,R$140=""),"",IF(COUNTIFS(BD!$B$3:$B$5001,R$140,BD!$A$3:$A$5001,"&gt;="&amp;$C$7,BD!$A$3:$A$5001,"&lt;="&amp;$B161,BD!$V$3:$V$5001,"&lt;&gt;")=0,"",SUMIFS(BD!$V$3:$V$5001,BD!$B$3:$B$5001,R$140,BD!$A$3:$A$5001,_xlfn.MAXIFS(BD!$A$3:$A$5001,BD!$B$3:$B$5001,R$140,BD!$A$3:$A$5001,"&gt;="&amp;$C$7,BD!$A$3:$A$5001,"&lt;="&amp;$B161,BD!$V$3:$V$5001,"&lt;&gt;"))))</f>
        <v/>
      </c>
      <c r="S161" s="54" t="str">
        <f>IF(OR($B161="",$A161&gt;$B$9,S$140=""),"",IF(COUNTIFS(BD!$B$3:$B$5001,S$140,BD!$A$3:$A$5001,"&gt;="&amp;$C$7,BD!$A$3:$A$5001,"&lt;="&amp;$B161,BD!$V$3:$V$5001,"&lt;&gt;")=0,"",SUMIFS(BD!$V$3:$V$5001,BD!$B$3:$B$5001,S$140,BD!$A$3:$A$5001,_xlfn.MAXIFS(BD!$A$3:$A$5001,BD!$B$3:$B$5001,S$140,BD!$A$3:$A$5001,"&gt;="&amp;$C$7,BD!$A$3:$A$5001,"&lt;="&amp;$B161,BD!$V$3:$V$5001,"&lt;&gt;"))))</f>
        <v/>
      </c>
      <c r="T161" s="54" t="str">
        <f>IF(OR($B161="",$A161&gt;$B$9,T$140=""),"",IF(COUNTIFS(BD!$B$3:$B$5001,T$140,BD!$A$3:$A$5001,"&gt;="&amp;$C$7,BD!$A$3:$A$5001,"&lt;="&amp;$B161,BD!$V$3:$V$5001,"&lt;&gt;")=0,"",SUMIFS(BD!$V$3:$V$5001,BD!$B$3:$B$5001,T$140,BD!$A$3:$A$5001,_xlfn.MAXIFS(BD!$A$3:$A$5001,BD!$B$3:$B$5001,T$140,BD!$A$3:$A$5001,"&gt;="&amp;$C$7,BD!$A$3:$A$5001,"&lt;="&amp;$B161,BD!$V$3:$V$5001,"&lt;&gt;"))))</f>
        <v/>
      </c>
      <c r="U161" s="54" t="str">
        <f>IF(OR($B161="",$A161&gt;$B$9,U$140=""),"",IF(COUNTIFS(BD!$B$3:$B$5001,U$140,BD!$A$3:$A$5001,"&gt;="&amp;$C$7,BD!$A$3:$A$5001,"&lt;="&amp;$B161,BD!$V$3:$V$5001,"&lt;&gt;")=0,"",SUMIFS(BD!$V$3:$V$5001,BD!$B$3:$B$5001,U$140,BD!$A$3:$A$5001,_xlfn.MAXIFS(BD!$A$3:$A$5001,BD!$B$3:$B$5001,U$140,BD!$A$3:$A$5001,"&gt;="&amp;$C$7,BD!$A$3:$A$5001,"&lt;="&amp;$B161,BD!$V$3:$V$5001,"&lt;&gt;"))))</f>
        <v/>
      </c>
      <c r="V161" s="54" t="str">
        <f>IF(OR($B161="",$A161&gt;$B$9,V$140=""),"",IF(COUNTIFS(BD!$B$3:$B$5001,V$140,BD!$A$3:$A$5001,"&gt;="&amp;$C$7,BD!$A$3:$A$5001,"&lt;="&amp;$B161,BD!$V$3:$V$5001,"&lt;&gt;")=0,"",SUMIFS(BD!$V$3:$V$5001,BD!$B$3:$B$5001,V$140,BD!$A$3:$A$5001,_xlfn.MAXIFS(BD!$A$3:$A$5001,BD!$B$3:$B$5001,V$140,BD!$A$3:$A$5001,"&gt;="&amp;$C$7,BD!$A$3:$A$5001,"&lt;="&amp;$B161,BD!$V$3:$V$5001,"&lt;&gt;"))))</f>
        <v/>
      </c>
    </row>
    <row r="162">
      <c r="A162" s="48">
        <v>22</v>
      </c>
      <c r="B162" s="53">
        <f>$B$33</f>
        <v>46317</v>
      </c>
      <c r="C162" s="54" t="str">
        <f>IF(OR($B162="",$A162&gt;$B$9,C$140=""),"",IF(COUNTIFS(BD!$B$3:$B$5001,C$140,BD!$A$3:$A$5001,"&gt;="&amp;$C$7,BD!$A$3:$A$5001,"&lt;="&amp;$B162,BD!$V$3:$V$5001,"&lt;&gt;")=0,"",SUMIFS(BD!$V$3:$V$5001,BD!$B$3:$B$5001,C$140,BD!$A$3:$A$5001,_xlfn.MAXIFS(BD!$A$3:$A$5001,BD!$B$3:$B$5001,C$140,BD!$A$3:$A$5001,"&gt;="&amp;$C$7,BD!$A$3:$A$5001,"&lt;="&amp;$B162,BD!$V$3:$V$5001,"&lt;&gt;"))))</f>
        <v/>
      </c>
      <c r="D162" s="54" t="str">
        <f>IF(OR($B162="",$A162&gt;$B$9,D$140=""),"",IF(COUNTIFS(BD!$B$3:$B$5001,D$140,BD!$A$3:$A$5001,"&gt;="&amp;$C$7,BD!$A$3:$A$5001,"&lt;="&amp;$B162,BD!$V$3:$V$5001,"&lt;&gt;")=0,"",SUMIFS(BD!$V$3:$V$5001,BD!$B$3:$B$5001,D$140,BD!$A$3:$A$5001,_xlfn.MAXIFS(BD!$A$3:$A$5001,BD!$B$3:$B$5001,D$140,BD!$A$3:$A$5001,"&gt;="&amp;$C$7,BD!$A$3:$A$5001,"&lt;="&amp;$B162,BD!$V$3:$V$5001,"&lt;&gt;"))))</f>
        <v/>
      </c>
      <c r="E162" s="54" t="str">
        <f>IF(OR($B162="",$A162&gt;$B$9,E$140=""),"",IF(COUNTIFS(BD!$B$3:$B$5001,E$140,BD!$A$3:$A$5001,"&gt;="&amp;$C$7,BD!$A$3:$A$5001,"&lt;="&amp;$B162,BD!$V$3:$V$5001,"&lt;&gt;")=0,"",SUMIFS(BD!$V$3:$V$5001,BD!$B$3:$B$5001,E$140,BD!$A$3:$A$5001,_xlfn.MAXIFS(BD!$A$3:$A$5001,BD!$B$3:$B$5001,E$140,BD!$A$3:$A$5001,"&gt;="&amp;$C$7,BD!$A$3:$A$5001,"&lt;="&amp;$B162,BD!$V$3:$V$5001,"&lt;&gt;"))))</f>
        <v/>
      </c>
      <c r="F162" s="54" t="str">
        <f>IF(OR($B162="",$A162&gt;$B$9,F$140=""),"",IF(COUNTIFS(BD!$B$3:$B$5001,F$140,BD!$A$3:$A$5001,"&gt;="&amp;$C$7,BD!$A$3:$A$5001,"&lt;="&amp;$B162,BD!$V$3:$V$5001,"&lt;&gt;")=0,"",SUMIFS(BD!$V$3:$V$5001,BD!$B$3:$B$5001,F$140,BD!$A$3:$A$5001,_xlfn.MAXIFS(BD!$A$3:$A$5001,BD!$B$3:$B$5001,F$140,BD!$A$3:$A$5001,"&gt;="&amp;$C$7,BD!$A$3:$A$5001,"&lt;="&amp;$B162,BD!$V$3:$V$5001,"&lt;&gt;"))))</f>
        <v/>
      </c>
      <c r="G162" s="54" t="str">
        <f>IF(OR($B162="",$A162&gt;$B$9,G$140=""),"",IF(COUNTIFS(BD!$B$3:$B$5001,G$140,BD!$A$3:$A$5001,"&gt;="&amp;$C$7,BD!$A$3:$A$5001,"&lt;="&amp;$B162,BD!$V$3:$V$5001,"&lt;&gt;")=0,"",SUMIFS(BD!$V$3:$V$5001,BD!$B$3:$B$5001,G$140,BD!$A$3:$A$5001,_xlfn.MAXIFS(BD!$A$3:$A$5001,BD!$B$3:$B$5001,G$140,BD!$A$3:$A$5001,"&gt;="&amp;$C$7,BD!$A$3:$A$5001,"&lt;="&amp;$B162,BD!$V$3:$V$5001,"&lt;&gt;"))))</f>
        <v/>
      </c>
      <c r="H162" s="54" t="str">
        <f>IF(OR($B162="",$A162&gt;$B$9,H$140=""),"",IF(COUNTIFS(BD!$B$3:$B$5001,H$140,BD!$A$3:$A$5001,"&gt;="&amp;$C$7,BD!$A$3:$A$5001,"&lt;="&amp;$B162,BD!$V$3:$V$5001,"&lt;&gt;")=0,"",SUMIFS(BD!$V$3:$V$5001,BD!$B$3:$B$5001,H$140,BD!$A$3:$A$5001,_xlfn.MAXIFS(BD!$A$3:$A$5001,BD!$B$3:$B$5001,H$140,BD!$A$3:$A$5001,"&gt;="&amp;$C$7,BD!$A$3:$A$5001,"&lt;="&amp;$B162,BD!$V$3:$V$5001,"&lt;&gt;"))))</f>
        <v/>
      </c>
      <c r="I162" s="54" t="str">
        <f>IF(OR($B162="",$A162&gt;$B$9,I$140=""),"",IF(COUNTIFS(BD!$B$3:$B$5001,I$140,BD!$A$3:$A$5001,"&gt;="&amp;$C$7,BD!$A$3:$A$5001,"&lt;="&amp;$B162,BD!$V$3:$V$5001,"&lt;&gt;")=0,"",SUMIFS(BD!$V$3:$V$5001,BD!$B$3:$B$5001,I$140,BD!$A$3:$A$5001,_xlfn.MAXIFS(BD!$A$3:$A$5001,BD!$B$3:$B$5001,I$140,BD!$A$3:$A$5001,"&gt;="&amp;$C$7,BD!$A$3:$A$5001,"&lt;="&amp;$B162,BD!$V$3:$V$5001,"&lt;&gt;"))))</f>
        <v/>
      </c>
      <c r="J162" s="54" t="str">
        <f>IF(OR($B162="",$A162&gt;$B$9,J$140=""),"",IF(COUNTIFS(BD!$B$3:$B$5001,J$140,BD!$A$3:$A$5001,"&gt;="&amp;$C$7,BD!$A$3:$A$5001,"&lt;="&amp;$B162,BD!$V$3:$V$5001,"&lt;&gt;")=0,"",SUMIFS(BD!$V$3:$V$5001,BD!$B$3:$B$5001,J$140,BD!$A$3:$A$5001,_xlfn.MAXIFS(BD!$A$3:$A$5001,BD!$B$3:$B$5001,J$140,BD!$A$3:$A$5001,"&gt;="&amp;$C$7,BD!$A$3:$A$5001,"&lt;="&amp;$B162,BD!$V$3:$V$5001,"&lt;&gt;"))))</f>
        <v/>
      </c>
      <c r="K162" s="54" t="str">
        <f>IF(OR($B162="",$A162&gt;$B$9,K$140=""),"",IF(COUNTIFS(BD!$B$3:$B$5001,K$140,BD!$A$3:$A$5001,"&gt;="&amp;$C$7,BD!$A$3:$A$5001,"&lt;="&amp;$B162,BD!$V$3:$V$5001,"&lt;&gt;")=0,"",SUMIFS(BD!$V$3:$V$5001,BD!$B$3:$B$5001,K$140,BD!$A$3:$A$5001,_xlfn.MAXIFS(BD!$A$3:$A$5001,BD!$B$3:$B$5001,K$140,BD!$A$3:$A$5001,"&gt;="&amp;$C$7,BD!$A$3:$A$5001,"&lt;="&amp;$B162,BD!$V$3:$V$5001,"&lt;&gt;"))))</f>
        <v/>
      </c>
      <c r="L162" s="54" t="str">
        <f>IF(OR($B162="",$A162&gt;$B$9,L$140=""),"",IF(COUNTIFS(BD!$B$3:$B$5001,L$140,BD!$A$3:$A$5001,"&gt;="&amp;$C$7,BD!$A$3:$A$5001,"&lt;="&amp;$B162,BD!$V$3:$V$5001,"&lt;&gt;")=0,"",SUMIFS(BD!$V$3:$V$5001,BD!$B$3:$B$5001,L$140,BD!$A$3:$A$5001,_xlfn.MAXIFS(BD!$A$3:$A$5001,BD!$B$3:$B$5001,L$140,BD!$A$3:$A$5001,"&gt;="&amp;$C$7,BD!$A$3:$A$5001,"&lt;="&amp;$B162,BD!$V$3:$V$5001,"&lt;&gt;"))))</f>
        <v/>
      </c>
      <c r="M162" s="54" t="str">
        <f>IF(OR($B162="",$A162&gt;$B$9,M$140=""),"",IF(COUNTIFS(BD!$B$3:$B$5001,M$140,BD!$A$3:$A$5001,"&gt;="&amp;$C$7,BD!$A$3:$A$5001,"&lt;="&amp;$B162,BD!$V$3:$V$5001,"&lt;&gt;")=0,"",SUMIFS(BD!$V$3:$V$5001,BD!$B$3:$B$5001,M$140,BD!$A$3:$A$5001,_xlfn.MAXIFS(BD!$A$3:$A$5001,BD!$B$3:$B$5001,M$140,BD!$A$3:$A$5001,"&gt;="&amp;$C$7,BD!$A$3:$A$5001,"&lt;="&amp;$B162,BD!$V$3:$V$5001,"&lt;&gt;"))))</f>
        <v/>
      </c>
      <c r="N162" s="54" t="str">
        <f>IF(OR($B162="",$A162&gt;$B$9,N$140=""),"",IF(COUNTIFS(BD!$B$3:$B$5001,N$140,BD!$A$3:$A$5001,"&gt;="&amp;$C$7,BD!$A$3:$A$5001,"&lt;="&amp;$B162,BD!$V$3:$V$5001,"&lt;&gt;")=0,"",SUMIFS(BD!$V$3:$V$5001,BD!$B$3:$B$5001,N$140,BD!$A$3:$A$5001,_xlfn.MAXIFS(BD!$A$3:$A$5001,BD!$B$3:$B$5001,N$140,BD!$A$3:$A$5001,"&gt;="&amp;$C$7,BD!$A$3:$A$5001,"&lt;="&amp;$B162,BD!$V$3:$V$5001,"&lt;&gt;"))))</f>
        <v/>
      </c>
      <c r="O162" s="54" t="str">
        <f>IF(OR($B162="",$A162&gt;$B$9,O$140=""),"",IF(COUNTIFS(BD!$B$3:$B$5001,O$140,BD!$A$3:$A$5001,"&gt;="&amp;$C$7,BD!$A$3:$A$5001,"&lt;="&amp;$B162,BD!$V$3:$V$5001,"&lt;&gt;")=0,"",SUMIFS(BD!$V$3:$V$5001,BD!$B$3:$B$5001,O$140,BD!$A$3:$A$5001,_xlfn.MAXIFS(BD!$A$3:$A$5001,BD!$B$3:$B$5001,O$140,BD!$A$3:$A$5001,"&gt;="&amp;$C$7,BD!$A$3:$A$5001,"&lt;="&amp;$B162,BD!$V$3:$V$5001,"&lt;&gt;"))))</f>
        <v/>
      </c>
      <c r="P162" s="54" t="str">
        <f>IF(OR($B162="",$A162&gt;$B$9,P$140=""),"",IF(COUNTIFS(BD!$B$3:$B$5001,P$140,BD!$A$3:$A$5001,"&gt;="&amp;$C$7,BD!$A$3:$A$5001,"&lt;="&amp;$B162,BD!$V$3:$V$5001,"&lt;&gt;")=0,"",SUMIFS(BD!$V$3:$V$5001,BD!$B$3:$B$5001,P$140,BD!$A$3:$A$5001,_xlfn.MAXIFS(BD!$A$3:$A$5001,BD!$B$3:$B$5001,P$140,BD!$A$3:$A$5001,"&gt;="&amp;$C$7,BD!$A$3:$A$5001,"&lt;="&amp;$B162,BD!$V$3:$V$5001,"&lt;&gt;"))))</f>
        <v/>
      </c>
      <c r="Q162" s="54" t="str">
        <f>IF(OR($B162="",$A162&gt;$B$9,Q$140=""),"",IF(COUNTIFS(BD!$B$3:$B$5001,Q$140,BD!$A$3:$A$5001,"&gt;="&amp;$C$7,BD!$A$3:$A$5001,"&lt;="&amp;$B162,BD!$V$3:$V$5001,"&lt;&gt;")=0,"",SUMIFS(BD!$V$3:$V$5001,BD!$B$3:$B$5001,Q$140,BD!$A$3:$A$5001,_xlfn.MAXIFS(BD!$A$3:$A$5001,BD!$B$3:$B$5001,Q$140,BD!$A$3:$A$5001,"&gt;="&amp;$C$7,BD!$A$3:$A$5001,"&lt;="&amp;$B162,BD!$V$3:$V$5001,"&lt;&gt;"))))</f>
        <v/>
      </c>
      <c r="R162" s="54" t="str">
        <f>IF(OR($B162="",$A162&gt;$B$9,R$140=""),"",IF(COUNTIFS(BD!$B$3:$B$5001,R$140,BD!$A$3:$A$5001,"&gt;="&amp;$C$7,BD!$A$3:$A$5001,"&lt;="&amp;$B162,BD!$V$3:$V$5001,"&lt;&gt;")=0,"",SUMIFS(BD!$V$3:$V$5001,BD!$B$3:$B$5001,R$140,BD!$A$3:$A$5001,_xlfn.MAXIFS(BD!$A$3:$A$5001,BD!$B$3:$B$5001,R$140,BD!$A$3:$A$5001,"&gt;="&amp;$C$7,BD!$A$3:$A$5001,"&lt;="&amp;$B162,BD!$V$3:$V$5001,"&lt;&gt;"))))</f>
        <v/>
      </c>
      <c r="S162" s="54" t="str">
        <f>IF(OR($B162="",$A162&gt;$B$9,S$140=""),"",IF(COUNTIFS(BD!$B$3:$B$5001,S$140,BD!$A$3:$A$5001,"&gt;="&amp;$C$7,BD!$A$3:$A$5001,"&lt;="&amp;$B162,BD!$V$3:$V$5001,"&lt;&gt;")=0,"",SUMIFS(BD!$V$3:$V$5001,BD!$B$3:$B$5001,S$140,BD!$A$3:$A$5001,_xlfn.MAXIFS(BD!$A$3:$A$5001,BD!$B$3:$B$5001,S$140,BD!$A$3:$A$5001,"&gt;="&amp;$C$7,BD!$A$3:$A$5001,"&lt;="&amp;$B162,BD!$V$3:$V$5001,"&lt;&gt;"))))</f>
        <v/>
      </c>
      <c r="T162" s="54" t="str">
        <f>IF(OR($B162="",$A162&gt;$B$9,T$140=""),"",IF(COUNTIFS(BD!$B$3:$B$5001,T$140,BD!$A$3:$A$5001,"&gt;="&amp;$C$7,BD!$A$3:$A$5001,"&lt;="&amp;$B162,BD!$V$3:$V$5001,"&lt;&gt;")=0,"",SUMIFS(BD!$V$3:$V$5001,BD!$B$3:$B$5001,T$140,BD!$A$3:$A$5001,_xlfn.MAXIFS(BD!$A$3:$A$5001,BD!$B$3:$B$5001,T$140,BD!$A$3:$A$5001,"&gt;="&amp;$C$7,BD!$A$3:$A$5001,"&lt;="&amp;$B162,BD!$V$3:$V$5001,"&lt;&gt;"))))</f>
        <v/>
      </c>
      <c r="U162" s="54" t="str">
        <f>IF(OR($B162="",$A162&gt;$B$9,U$140=""),"",IF(COUNTIFS(BD!$B$3:$B$5001,U$140,BD!$A$3:$A$5001,"&gt;="&amp;$C$7,BD!$A$3:$A$5001,"&lt;="&amp;$B162,BD!$V$3:$V$5001,"&lt;&gt;")=0,"",SUMIFS(BD!$V$3:$V$5001,BD!$B$3:$B$5001,U$140,BD!$A$3:$A$5001,_xlfn.MAXIFS(BD!$A$3:$A$5001,BD!$B$3:$B$5001,U$140,BD!$A$3:$A$5001,"&gt;="&amp;$C$7,BD!$A$3:$A$5001,"&lt;="&amp;$B162,BD!$V$3:$V$5001,"&lt;&gt;"))))</f>
        <v/>
      </c>
      <c r="V162" s="54" t="str">
        <f>IF(OR($B162="",$A162&gt;$B$9,V$140=""),"",IF(COUNTIFS(BD!$B$3:$B$5001,V$140,BD!$A$3:$A$5001,"&gt;="&amp;$C$7,BD!$A$3:$A$5001,"&lt;="&amp;$B162,BD!$V$3:$V$5001,"&lt;&gt;")=0,"",SUMIFS(BD!$V$3:$V$5001,BD!$B$3:$B$5001,V$140,BD!$A$3:$A$5001,_xlfn.MAXIFS(BD!$A$3:$A$5001,BD!$B$3:$B$5001,V$140,BD!$A$3:$A$5001,"&gt;="&amp;$C$7,BD!$A$3:$A$5001,"&lt;="&amp;$B162,BD!$V$3:$V$5001,"&lt;&gt;"))))</f>
        <v/>
      </c>
    </row>
    <row r="163">
      <c r="A163" s="48">
        <v>23</v>
      </c>
      <c r="B163" s="53">
        <f>$B$34</f>
        <v>46318</v>
      </c>
      <c r="C163" s="54" t="str">
        <f>IF(OR($B163="",$A163&gt;$B$9,C$140=""),"",IF(COUNTIFS(BD!$B$3:$B$5001,C$140,BD!$A$3:$A$5001,"&gt;="&amp;$C$7,BD!$A$3:$A$5001,"&lt;="&amp;$B163,BD!$V$3:$V$5001,"&lt;&gt;")=0,"",SUMIFS(BD!$V$3:$V$5001,BD!$B$3:$B$5001,C$140,BD!$A$3:$A$5001,_xlfn.MAXIFS(BD!$A$3:$A$5001,BD!$B$3:$B$5001,C$140,BD!$A$3:$A$5001,"&gt;="&amp;$C$7,BD!$A$3:$A$5001,"&lt;="&amp;$B163,BD!$V$3:$V$5001,"&lt;&gt;"))))</f>
        <v/>
      </c>
      <c r="D163" s="54" t="str">
        <f>IF(OR($B163="",$A163&gt;$B$9,D$140=""),"",IF(COUNTIFS(BD!$B$3:$B$5001,D$140,BD!$A$3:$A$5001,"&gt;="&amp;$C$7,BD!$A$3:$A$5001,"&lt;="&amp;$B163,BD!$V$3:$V$5001,"&lt;&gt;")=0,"",SUMIFS(BD!$V$3:$V$5001,BD!$B$3:$B$5001,D$140,BD!$A$3:$A$5001,_xlfn.MAXIFS(BD!$A$3:$A$5001,BD!$B$3:$B$5001,D$140,BD!$A$3:$A$5001,"&gt;="&amp;$C$7,BD!$A$3:$A$5001,"&lt;="&amp;$B163,BD!$V$3:$V$5001,"&lt;&gt;"))))</f>
        <v/>
      </c>
      <c r="E163" s="54" t="str">
        <f>IF(OR($B163="",$A163&gt;$B$9,E$140=""),"",IF(COUNTIFS(BD!$B$3:$B$5001,E$140,BD!$A$3:$A$5001,"&gt;="&amp;$C$7,BD!$A$3:$A$5001,"&lt;="&amp;$B163,BD!$V$3:$V$5001,"&lt;&gt;")=0,"",SUMIFS(BD!$V$3:$V$5001,BD!$B$3:$B$5001,E$140,BD!$A$3:$A$5001,_xlfn.MAXIFS(BD!$A$3:$A$5001,BD!$B$3:$B$5001,E$140,BD!$A$3:$A$5001,"&gt;="&amp;$C$7,BD!$A$3:$A$5001,"&lt;="&amp;$B163,BD!$V$3:$V$5001,"&lt;&gt;"))))</f>
        <v/>
      </c>
      <c r="F163" s="54" t="str">
        <f>IF(OR($B163="",$A163&gt;$B$9,F$140=""),"",IF(COUNTIFS(BD!$B$3:$B$5001,F$140,BD!$A$3:$A$5001,"&gt;="&amp;$C$7,BD!$A$3:$A$5001,"&lt;="&amp;$B163,BD!$V$3:$V$5001,"&lt;&gt;")=0,"",SUMIFS(BD!$V$3:$V$5001,BD!$B$3:$B$5001,F$140,BD!$A$3:$A$5001,_xlfn.MAXIFS(BD!$A$3:$A$5001,BD!$B$3:$B$5001,F$140,BD!$A$3:$A$5001,"&gt;="&amp;$C$7,BD!$A$3:$A$5001,"&lt;="&amp;$B163,BD!$V$3:$V$5001,"&lt;&gt;"))))</f>
        <v/>
      </c>
      <c r="G163" s="54" t="str">
        <f>IF(OR($B163="",$A163&gt;$B$9,G$140=""),"",IF(COUNTIFS(BD!$B$3:$B$5001,G$140,BD!$A$3:$A$5001,"&gt;="&amp;$C$7,BD!$A$3:$A$5001,"&lt;="&amp;$B163,BD!$V$3:$V$5001,"&lt;&gt;")=0,"",SUMIFS(BD!$V$3:$V$5001,BD!$B$3:$B$5001,G$140,BD!$A$3:$A$5001,_xlfn.MAXIFS(BD!$A$3:$A$5001,BD!$B$3:$B$5001,G$140,BD!$A$3:$A$5001,"&gt;="&amp;$C$7,BD!$A$3:$A$5001,"&lt;="&amp;$B163,BD!$V$3:$V$5001,"&lt;&gt;"))))</f>
        <v/>
      </c>
      <c r="H163" s="54" t="str">
        <f>IF(OR($B163="",$A163&gt;$B$9,H$140=""),"",IF(COUNTIFS(BD!$B$3:$B$5001,H$140,BD!$A$3:$A$5001,"&gt;="&amp;$C$7,BD!$A$3:$A$5001,"&lt;="&amp;$B163,BD!$V$3:$V$5001,"&lt;&gt;")=0,"",SUMIFS(BD!$V$3:$V$5001,BD!$B$3:$B$5001,H$140,BD!$A$3:$A$5001,_xlfn.MAXIFS(BD!$A$3:$A$5001,BD!$B$3:$B$5001,H$140,BD!$A$3:$A$5001,"&gt;="&amp;$C$7,BD!$A$3:$A$5001,"&lt;="&amp;$B163,BD!$V$3:$V$5001,"&lt;&gt;"))))</f>
        <v/>
      </c>
      <c r="I163" s="54" t="str">
        <f>IF(OR($B163="",$A163&gt;$B$9,I$140=""),"",IF(COUNTIFS(BD!$B$3:$B$5001,I$140,BD!$A$3:$A$5001,"&gt;="&amp;$C$7,BD!$A$3:$A$5001,"&lt;="&amp;$B163,BD!$V$3:$V$5001,"&lt;&gt;")=0,"",SUMIFS(BD!$V$3:$V$5001,BD!$B$3:$B$5001,I$140,BD!$A$3:$A$5001,_xlfn.MAXIFS(BD!$A$3:$A$5001,BD!$B$3:$B$5001,I$140,BD!$A$3:$A$5001,"&gt;="&amp;$C$7,BD!$A$3:$A$5001,"&lt;="&amp;$B163,BD!$V$3:$V$5001,"&lt;&gt;"))))</f>
        <v/>
      </c>
      <c r="J163" s="54" t="str">
        <f>IF(OR($B163="",$A163&gt;$B$9,J$140=""),"",IF(COUNTIFS(BD!$B$3:$B$5001,J$140,BD!$A$3:$A$5001,"&gt;="&amp;$C$7,BD!$A$3:$A$5001,"&lt;="&amp;$B163,BD!$V$3:$V$5001,"&lt;&gt;")=0,"",SUMIFS(BD!$V$3:$V$5001,BD!$B$3:$B$5001,J$140,BD!$A$3:$A$5001,_xlfn.MAXIFS(BD!$A$3:$A$5001,BD!$B$3:$B$5001,J$140,BD!$A$3:$A$5001,"&gt;="&amp;$C$7,BD!$A$3:$A$5001,"&lt;="&amp;$B163,BD!$V$3:$V$5001,"&lt;&gt;"))))</f>
        <v/>
      </c>
      <c r="K163" s="54" t="str">
        <f>IF(OR($B163="",$A163&gt;$B$9,K$140=""),"",IF(COUNTIFS(BD!$B$3:$B$5001,K$140,BD!$A$3:$A$5001,"&gt;="&amp;$C$7,BD!$A$3:$A$5001,"&lt;="&amp;$B163,BD!$V$3:$V$5001,"&lt;&gt;")=0,"",SUMIFS(BD!$V$3:$V$5001,BD!$B$3:$B$5001,K$140,BD!$A$3:$A$5001,_xlfn.MAXIFS(BD!$A$3:$A$5001,BD!$B$3:$B$5001,K$140,BD!$A$3:$A$5001,"&gt;="&amp;$C$7,BD!$A$3:$A$5001,"&lt;="&amp;$B163,BD!$V$3:$V$5001,"&lt;&gt;"))))</f>
        <v/>
      </c>
      <c r="L163" s="54" t="str">
        <f>IF(OR($B163="",$A163&gt;$B$9,L$140=""),"",IF(COUNTIFS(BD!$B$3:$B$5001,L$140,BD!$A$3:$A$5001,"&gt;="&amp;$C$7,BD!$A$3:$A$5001,"&lt;="&amp;$B163,BD!$V$3:$V$5001,"&lt;&gt;")=0,"",SUMIFS(BD!$V$3:$V$5001,BD!$B$3:$B$5001,L$140,BD!$A$3:$A$5001,_xlfn.MAXIFS(BD!$A$3:$A$5001,BD!$B$3:$B$5001,L$140,BD!$A$3:$A$5001,"&gt;="&amp;$C$7,BD!$A$3:$A$5001,"&lt;="&amp;$B163,BD!$V$3:$V$5001,"&lt;&gt;"))))</f>
        <v/>
      </c>
      <c r="M163" s="54" t="str">
        <f>IF(OR($B163="",$A163&gt;$B$9,M$140=""),"",IF(COUNTIFS(BD!$B$3:$B$5001,M$140,BD!$A$3:$A$5001,"&gt;="&amp;$C$7,BD!$A$3:$A$5001,"&lt;="&amp;$B163,BD!$V$3:$V$5001,"&lt;&gt;")=0,"",SUMIFS(BD!$V$3:$V$5001,BD!$B$3:$B$5001,M$140,BD!$A$3:$A$5001,_xlfn.MAXIFS(BD!$A$3:$A$5001,BD!$B$3:$B$5001,M$140,BD!$A$3:$A$5001,"&gt;="&amp;$C$7,BD!$A$3:$A$5001,"&lt;="&amp;$B163,BD!$V$3:$V$5001,"&lt;&gt;"))))</f>
        <v/>
      </c>
      <c r="N163" s="54" t="str">
        <f>IF(OR($B163="",$A163&gt;$B$9,N$140=""),"",IF(COUNTIFS(BD!$B$3:$B$5001,N$140,BD!$A$3:$A$5001,"&gt;="&amp;$C$7,BD!$A$3:$A$5001,"&lt;="&amp;$B163,BD!$V$3:$V$5001,"&lt;&gt;")=0,"",SUMIFS(BD!$V$3:$V$5001,BD!$B$3:$B$5001,N$140,BD!$A$3:$A$5001,_xlfn.MAXIFS(BD!$A$3:$A$5001,BD!$B$3:$B$5001,N$140,BD!$A$3:$A$5001,"&gt;="&amp;$C$7,BD!$A$3:$A$5001,"&lt;="&amp;$B163,BD!$V$3:$V$5001,"&lt;&gt;"))))</f>
        <v/>
      </c>
      <c r="O163" s="54" t="str">
        <f>IF(OR($B163="",$A163&gt;$B$9,O$140=""),"",IF(COUNTIFS(BD!$B$3:$B$5001,O$140,BD!$A$3:$A$5001,"&gt;="&amp;$C$7,BD!$A$3:$A$5001,"&lt;="&amp;$B163,BD!$V$3:$V$5001,"&lt;&gt;")=0,"",SUMIFS(BD!$V$3:$V$5001,BD!$B$3:$B$5001,O$140,BD!$A$3:$A$5001,_xlfn.MAXIFS(BD!$A$3:$A$5001,BD!$B$3:$B$5001,O$140,BD!$A$3:$A$5001,"&gt;="&amp;$C$7,BD!$A$3:$A$5001,"&lt;="&amp;$B163,BD!$V$3:$V$5001,"&lt;&gt;"))))</f>
        <v/>
      </c>
      <c r="P163" s="54" t="str">
        <f>IF(OR($B163="",$A163&gt;$B$9,P$140=""),"",IF(COUNTIFS(BD!$B$3:$B$5001,P$140,BD!$A$3:$A$5001,"&gt;="&amp;$C$7,BD!$A$3:$A$5001,"&lt;="&amp;$B163,BD!$V$3:$V$5001,"&lt;&gt;")=0,"",SUMIFS(BD!$V$3:$V$5001,BD!$B$3:$B$5001,P$140,BD!$A$3:$A$5001,_xlfn.MAXIFS(BD!$A$3:$A$5001,BD!$B$3:$B$5001,P$140,BD!$A$3:$A$5001,"&gt;="&amp;$C$7,BD!$A$3:$A$5001,"&lt;="&amp;$B163,BD!$V$3:$V$5001,"&lt;&gt;"))))</f>
        <v/>
      </c>
      <c r="Q163" s="54" t="str">
        <f>IF(OR($B163="",$A163&gt;$B$9,Q$140=""),"",IF(COUNTIFS(BD!$B$3:$B$5001,Q$140,BD!$A$3:$A$5001,"&gt;="&amp;$C$7,BD!$A$3:$A$5001,"&lt;="&amp;$B163,BD!$V$3:$V$5001,"&lt;&gt;")=0,"",SUMIFS(BD!$V$3:$V$5001,BD!$B$3:$B$5001,Q$140,BD!$A$3:$A$5001,_xlfn.MAXIFS(BD!$A$3:$A$5001,BD!$B$3:$B$5001,Q$140,BD!$A$3:$A$5001,"&gt;="&amp;$C$7,BD!$A$3:$A$5001,"&lt;="&amp;$B163,BD!$V$3:$V$5001,"&lt;&gt;"))))</f>
        <v/>
      </c>
      <c r="R163" s="54" t="str">
        <f>IF(OR($B163="",$A163&gt;$B$9,R$140=""),"",IF(COUNTIFS(BD!$B$3:$B$5001,R$140,BD!$A$3:$A$5001,"&gt;="&amp;$C$7,BD!$A$3:$A$5001,"&lt;="&amp;$B163,BD!$V$3:$V$5001,"&lt;&gt;")=0,"",SUMIFS(BD!$V$3:$V$5001,BD!$B$3:$B$5001,R$140,BD!$A$3:$A$5001,_xlfn.MAXIFS(BD!$A$3:$A$5001,BD!$B$3:$B$5001,R$140,BD!$A$3:$A$5001,"&gt;="&amp;$C$7,BD!$A$3:$A$5001,"&lt;="&amp;$B163,BD!$V$3:$V$5001,"&lt;&gt;"))))</f>
        <v/>
      </c>
      <c r="S163" s="54" t="str">
        <f>IF(OR($B163="",$A163&gt;$B$9,S$140=""),"",IF(COUNTIFS(BD!$B$3:$B$5001,S$140,BD!$A$3:$A$5001,"&gt;="&amp;$C$7,BD!$A$3:$A$5001,"&lt;="&amp;$B163,BD!$V$3:$V$5001,"&lt;&gt;")=0,"",SUMIFS(BD!$V$3:$V$5001,BD!$B$3:$B$5001,S$140,BD!$A$3:$A$5001,_xlfn.MAXIFS(BD!$A$3:$A$5001,BD!$B$3:$B$5001,S$140,BD!$A$3:$A$5001,"&gt;="&amp;$C$7,BD!$A$3:$A$5001,"&lt;="&amp;$B163,BD!$V$3:$V$5001,"&lt;&gt;"))))</f>
        <v/>
      </c>
      <c r="T163" s="54" t="str">
        <f>IF(OR($B163="",$A163&gt;$B$9,T$140=""),"",IF(COUNTIFS(BD!$B$3:$B$5001,T$140,BD!$A$3:$A$5001,"&gt;="&amp;$C$7,BD!$A$3:$A$5001,"&lt;="&amp;$B163,BD!$V$3:$V$5001,"&lt;&gt;")=0,"",SUMIFS(BD!$V$3:$V$5001,BD!$B$3:$B$5001,T$140,BD!$A$3:$A$5001,_xlfn.MAXIFS(BD!$A$3:$A$5001,BD!$B$3:$B$5001,T$140,BD!$A$3:$A$5001,"&gt;="&amp;$C$7,BD!$A$3:$A$5001,"&lt;="&amp;$B163,BD!$V$3:$V$5001,"&lt;&gt;"))))</f>
        <v/>
      </c>
      <c r="U163" s="54" t="str">
        <f>IF(OR($B163="",$A163&gt;$B$9,U$140=""),"",IF(COUNTIFS(BD!$B$3:$B$5001,U$140,BD!$A$3:$A$5001,"&gt;="&amp;$C$7,BD!$A$3:$A$5001,"&lt;="&amp;$B163,BD!$V$3:$V$5001,"&lt;&gt;")=0,"",SUMIFS(BD!$V$3:$V$5001,BD!$B$3:$B$5001,U$140,BD!$A$3:$A$5001,_xlfn.MAXIFS(BD!$A$3:$A$5001,BD!$B$3:$B$5001,U$140,BD!$A$3:$A$5001,"&gt;="&amp;$C$7,BD!$A$3:$A$5001,"&lt;="&amp;$B163,BD!$V$3:$V$5001,"&lt;&gt;"))))</f>
        <v/>
      </c>
      <c r="V163" s="54" t="str">
        <f>IF(OR($B163="",$A163&gt;$B$9,V$140=""),"",IF(COUNTIFS(BD!$B$3:$B$5001,V$140,BD!$A$3:$A$5001,"&gt;="&amp;$C$7,BD!$A$3:$A$5001,"&lt;="&amp;$B163,BD!$V$3:$V$5001,"&lt;&gt;")=0,"",SUMIFS(BD!$V$3:$V$5001,BD!$B$3:$B$5001,V$140,BD!$A$3:$A$5001,_xlfn.MAXIFS(BD!$A$3:$A$5001,BD!$B$3:$B$5001,V$140,BD!$A$3:$A$5001,"&gt;="&amp;$C$7,BD!$A$3:$A$5001,"&lt;="&amp;$B163,BD!$V$3:$V$5001,"&lt;&gt;"))))</f>
        <v/>
      </c>
    </row>
    <row r="164">
      <c r="A164" s="48">
        <v>24</v>
      </c>
      <c r="B164" s="53">
        <f>$B$35</f>
        <v>46319</v>
      </c>
      <c r="C164" s="54" t="str">
        <f>IF(OR($B164="",$A164&gt;$B$9,C$140=""),"",IF(COUNTIFS(BD!$B$3:$B$5001,C$140,BD!$A$3:$A$5001,"&gt;="&amp;$C$7,BD!$A$3:$A$5001,"&lt;="&amp;$B164,BD!$V$3:$V$5001,"&lt;&gt;")=0,"",SUMIFS(BD!$V$3:$V$5001,BD!$B$3:$B$5001,C$140,BD!$A$3:$A$5001,_xlfn.MAXIFS(BD!$A$3:$A$5001,BD!$B$3:$B$5001,C$140,BD!$A$3:$A$5001,"&gt;="&amp;$C$7,BD!$A$3:$A$5001,"&lt;="&amp;$B164,BD!$V$3:$V$5001,"&lt;&gt;"))))</f>
        <v/>
      </c>
      <c r="D164" s="54" t="str">
        <f>IF(OR($B164="",$A164&gt;$B$9,D$140=""),"",IF(COUNTIFS(BD!$B$3:$B$5001,D$140,BD!$A$3:$A$5001,"&gt;="&amp;$C$7,BD!$A$3:$A$5001,"&lt;="&amp;$B164,BD!$V$3:$V$5001,"&lt;&gt;")=0,"",SUMIFS(BD!$V$3:$V$5001,BD!$B$3:$B$5001,D$140,BD!$A$3:$A$5001,_xlfn.MAXIFS(BD!$A$3:$A$5001,BD!$B$3:$B$5001,D$140,BD!$A$3:$A$5001,"&gt;="&amp;$C$7,BD!$A$3:$A$5001,"&lt;="&amp;$B164,BD!$V$3:$V$5001,"&lt;&gt;"))))</f>
        <v/>
      </c>
      <c r="E164" s="54" t="str">
        <f>IF(OR($B164="",$A164&gt;$B$9,E$140=""),"",IF(COUNTIFS(BD!$B$3:$B$5001,E$140,BD!$A$3:$A$5001,"&gt;="&amp;$C$7,BD!$A$3:$A$5001,"&lt;="&amp;$B164,BD!$V$3:$V$5001,"&lt;&gt;")=0,"",SUMIFS(BD!$V$3:$V$5001,BD!$B$3:$B$5001,E$140,BD!$A$3:$A$5001,_xlfn.MAXIFS(BD!$A$3:$A$5001,BD!$B$3:$B$5001,E$140,BD!$A$3:$A$5001,"&gt;="&amp;$C$7,BD!$A$3:$A$5001,"&lt;="&amp;$B164,BD!$V$3:$V$5001,"&lt;&gt;"))))</f>
        <v/>
      </c>
      <c r="F164" s="54" t="str">
        <f>IF(OR($B164="",$A164&gt;$B$9,F$140=""),"",IF(COUNTIFS(BD!$B$3:$B$5001,F$140,BD!$A$3:$A$5001,"&gt;="&amp;$C$7,BD!$A$3:$A$5001,"&lt;="&amp;$B164,BD!$V$3:$V$5001,"&lt;&gt;")=0,"",SUMIFS(BD!$V$3:$V$5001,BD!$B$3:$B$5001,F$140,BD!$A$3:$A$5001,_xlfn.MAXIFS(BD!$A$3:$A$5001,BD!$B$3:$B$5001,F$140,BD!$A$3:$A$5001,"&gt;="&amp;$C$7,BD!$A$3:$A$5001,"&lt;="&amp;$B164,BD!$V$3:$V$5001,"&lt;&gt;"))))</f>
        <v/>
      </c>
      <c r="G164" s="54" t="str">
        <f>IF(OR($B164="",$A164&gt;$B$9,G$140=""),"",IF(COUNTIFS(BD!$B$3:$B$5001,G$140,BD!$A$3:$A$5001,"&gt;="&amp;$C$7,BD!$A$3:$A$5001,"&lt;="&amp;$B164,BD!$V$3:$V$5001,"&lt;&gt;")=0,"",SUMIFS(BD!$V$3:$V$5001,BD!$B$3:$B$5001,G$140,BD!$A$3:$A$5001,_xlfn.MAXIFS(BD!$A$3:$A$5001,BD!$B$3:$B$5001,G$140,BD!$A$3:$A$5001,"&gt;="&amp;$C$7,BD!$A$3:$A$5001,"&lt;="&amp;$B164,BD!$V$3:$V$5001,"&lt;&gt;"))))</f>
        <v/>
      </c>
      <c r="H164" s="54" t="str">
        <f>IF(OR($B164="",$A164&gt;$B$9,H$140=""),"",IF(COUNTIFS(BD!$B$3:$B$5001,H$140,BD!$A$3:$A$5001,"&gt;="&amp;$C$7,BD!$A$3:$A$5001,"&lt;="&amp;$B164,BD!$V$3:$V$5001,"&lt;&gt;")=0,"",SUMIFS(BD!$V$3:$V$5001,BD!$B$3:$B$5001,H$140,BD!$A$3:$A$5001,_xlfn.MAXIFS(BD!$A$3:$A$5001,BD!$B$3:$B$5001,H$140,BD!$A$3:$A$5001,"&gt;="&amp;$C$7,BD!$A$3:$A$5001,"&lt;="&amp;$B164,BD!$V$3:$V$5001,"&lt;&gt;"))))</f>
        <v/>
      </c>
      <c r="I164" s="54" t="str">
        <f>IF(OR($B164="",$A164&gt;$B$9,I$140=""),"",IF(COUNTIFS(BD!$B$3:$B$5001,I$140,BD!$A$3:$A$5001,"&gt;="&amp;$C$7,BD!$A$3:$A$5001,"&lt;="&amp;$B164,BD!$V$3:$V$5001,"&lt;&gt;")=0,"",SUMIFS(BD!$V$3:$V$5001,BD!$B$3:$B$5001,I$140,BD!$A$3:$A$5001,_xlfn.MAXIFS(BD!$A$3:$A$5001,BD!$B$3:$B$5001,I$140,BD!$A$3:$A$5001,"&gt;="&amp;$C$7,BD!$A$3:$A$5001,"&lt;="&amp;$B164,BD!$V$3:$V$5001,"&lt;&gt;"))))</f>
        <v/>
      </c>
      <c r="J164" s="54" t="str">
        <f>IF(OR($B164="",$A164&gt;$B$9,J$140=""),"",IF(COUNTIFS(BD!$B$3:$B$5001,J$140,BD!$A$3:$A$5001,"&gt;="&amp;$C$7,BD!$A$3:$A$5001,"&lt;="&amp;$B164,BD!$V$3:$V$5001,"&lt;&gt;")=0,"",SUMIFS(BD!$V$3:$V$5001,BD!$B$3:$B$5001,J$140,BD!$A$3:$A$5001,_xlfn.MAXIFS(BD!$A$3:$A$5001,BD!$B$3:$B$5001,J$140,BD!$A$3:$A$5001,"&gt;="&amp;$C$7,BD!$A$3:$A$5001,"&lt;="&amp;$B164,BD!$V$3:$V$5001,"&lt;&gt;"))))</f>
        <v/>
      </c>
      <c r="K164" s="54" t="str">
        <f>IF(OR($B164="",$A164&gt;$B$9,K$140=""),"",IF(COUNTIFS(BD!$B$3:$B$5001,K$140,BD!$A$3:$A$5001,"&gt;="&amp;$C$7,BD!$A$3:$A$5001,"&lt;="&amp;$B164,BD!$V$3:$V$5001,"&lt;&gt;")=0,"",SUMIFS(BD!$V$3:$V$5001,BD!$B$3:$B$5001,K$140,BD!$A$3:$A$5001,_xlfn.MAXIFS(BD!$A$3:$A$5001,BD!$B$3:$B$5001,K$140,BD!$A$3:$A$5001,"&gt;="&amp;$C$7,BD!$A$3:$A$5001,"&lt;="&amp;$B164,BD!$V$3:$V$5001,"&lt;&gt;"))))</f>
        <v/>
      </c>
      <c r="L164" s="54" t="str">
        <f>IF(OR($B164="",$A164&gt;$B$9,L$140=""),"",IF(COUNTIFS(BD!$B$3:$B$5001,L$140,BD!$A$3:$A$5001,"&gt;="&amp;$C$7,BD!$A$3:$A$5001,"&lt;="&amp;$B164,BD!$V$3:$V$5001,"&lt;&gt;")=0,"",SUMIFS(BD!$V$3:$V$5001,BD!$B$3:$B$5001,L$140,BD!$A$3:$A$5001,_xlfn.MAXIFS(BD!$A$3:$A$5001,BD!$B$3:$B$5001,L$140,BD!$A$3:$A$5001,"&gt;="&amp;$C$7,BD!$A$3:$A$5001,"&lt;="&amp;$B164,BD!$V$3:$V$5001,"&lt;&gt;"))))</f>
        <v/>
      </c>
      <c r="M164" s="54" t="str">
        <f>IF(OR($B164="",$A164&gt;$B$9,M$140=""),"",IF(COUNTIFS(BD!$B$3:$B$5001,M$140,BD!$A$3:$A$5001,"&gt;="&amp;$C$7,BD!$A$3:$A$5001,"&lt;="&amp;$B164,BD!$V$3:$V$5001,"&lt;&gt;")=0,"",SUMIFS(BD!$V$3:$V$5001,BD!$B$3:$B$5001,M$140,BD!$A$3:$A$5001,_xlfn.MAXIFS(BD!$A$3:$A$5001,BD!$B$3:$B$5001,M$140,BD!$A$3:$A$5001,"&gt;="&amp;$C$7,BD!$A$3:$A$5001,"&lt;="&amp;$B164,BD!$V$3:$V$5001,"&lt;&gt;"))))</f>
        <v/>
      </c>
      <c r="N164" s="54" t="str">
        <f>IF(OR($B164="",$A164&gt;$B$9,N$140=""),"",IF(COUNTIFS(BD!$B$3:$B$5001,N$140,BD!$A$3:$A$5001,"&gt;="&amp;$C$7,BD!$A$3:$A$5001,"&lt;="&amp;$B164,BD!$V$3:$V$5001,"&lt;&gt;")=0,"",SUMIFS(BD!$V$3:$V$5001,BD!$B$3:$B$5001,N$140,BD!$A$3:$A$5001,_xlfn.MAXIFS(BD!$A$3:$A$5001,BD!$B$3:$B$5001,N$140,BD!$A$3:$A$5001,"&gt;="&amp;$C$7,BD!$A$3:$A$5001,"&lt;="&amp;$B164,BD!$V$3:$V$5001,"&lt;&gt;"))))</f>
        <v/>
      </c>
      <c r="O164" s="54" t="str">
        <f>IF(OR($B164="",$A164&gt;$B$9,O$140=""),"",IF(COUNTIFS(BD!$B$3:$B$5001,O$140,BD!$A$3:$A$5001,"&gt;="&amp;$C$7,BD!$A$3:$A$5001,"&lt;="&amp;$B164,BD!$V$3:$V$5001,"&lt;&gt;")=0,"",SUMIFS(BD!$V$3:$V$5001,BD!$B$3:$B$5001,O$140,BD!$A$3:$A$5001,_xlfn.MAXIFS(BD!$A$3:$A$5001,BD!$B$3:$B$5001,O$140,BD!$A$3:$A$5001,"&gt;="&amp;$C$7,BD!$A$3:$A$5001,"&lt;="&amp;$B164,BD!$V$3:$V$5001,"&lt;&gt;"))))</f>
        <v/>
      </c>
      <c r="P164" s="54" t="str">
        <f>IF(OR($B164="",$A164&gt;$B$9,P$140=""),"",IF(COUNTIFS(BD!$B$3:$B$5001,P$140,BD!$A$3:$A$5001,"&gt;="&amp;$C$7,BD!$A$3:$A$5001,"&lt;="&amp;$B164,BD!$V$3:$V$5001,"&lt;&gt;")=0,"",SUMIFS(BD!$V$3:$V$5001,BD!$B$3:$B$5001,P$140,BD!$A$3:$A$5001,_xlfn.MAXIFS(BD!$A$3:$A$5001,BD!$B$3:$B$5001,P$140,BD!$A$3:$A$5001,"&gt;="&amp;$C$7,BD!$A$3:$A$5001,"&lt;="&amp;$B164,BD!$V$3:$V$5001,"&lt;&gt;"))))</f>
        <v/>
      </c>
      <c r="Q164" s="54" t="str">
        <f>IF(OR($B164="",$A164&gt;$B$9,Q$140=""),"",IF(COUNTIFS(BD!$B$3:$B$5001,Q$140,BD!$A$3:$A$5001,"&gt;="&amp;$C$7,BD!$A$3:$A$5001,"&lt;="&amp;$B164,BD!$V$3:$V$5001,"&lt;&gt;")=0,"",SUMIFS(BD!$V$3:$V$5001,BD!$B$3:$B$5001,Q$140,BD!$A$3:$A$5001,_xlfn.MAXIFS(BD!$A$3:$A$5001,BD!$B$3:$B$5001,Q$140,BD!$A$3:$A$5001,"&gt;="&amp;$C$7,BD!$A$3:$A$5001,"&lt;="&amp;$B164,BD!$V$3:$V$5001,"&lt;&gt;"))))</f>
        <v/>
      </c>
      <c r="R164" s="54" t="str">
        <f>IF(OR($B164="",$A164&gt;$B$9,R$140=""),"",IF(COUNTIFS(BD!$B$3:$B$5001,R$140,BD!$A$3:$A$5001,"&gt;="&amp;$C$7,BD!$A$3:$A$5001,"&lt;="&amp;$B164,BD!$V$3:$V$5001,"&lt;&gt;")=0,"",SUMIFS(BD!$V$3:$V$5001,BD!$B$3:$B$5001,R$140,BD!$A$3:$A$5001,_xlfn.MAXIFS(BD!$A$3:$A$5001,BD!$B$3:$B$5001,R$140,BD!$A$3:$A$5001,"&gt;="&amp;$C$7,BD!$A$3:$A$5001,"&lt;="&amp;$B164,BD!$V$3:$V$5001,"&lt;&gt;"))))</f>
        <v/>
      </c>
      <c r="S164" s="54" t="str">
        <f>IF(OR($B164="",$A164&gt;$B$9,S$140=""),"",IF(COUNTIFS(BD!$B$3:$B$5001,S$140,BD!$A$3:$A$5001,"&gt;="&amp;$C$7,BD!$A$3:$A$5001,"&lt;="&amp;$B164,BD!$V$3:$V$5001,"&lt;&gt;")=0,"",SUMIFS(BD!$V$3:$V$5001,BD!$B$3:$B$5001,S$140,BD!$A$3:$A$5001,_xlfn.MAXIFS(BD!$A$3:$A$5001,BD!$B$3:$B$5001,S$140,BD!$A$3:$A$5001,"&gt;="&amp;$C$7,BD!$A$3:$A$5001,"&lt;="&amp;$B164,BD!$V$3:$V$5001,"&lt;&gt;"))))</f>
        <v/>
      </c>
      <c r="T164" s="54" t="str">
        <f>IF(OR($B164="",$A164&gt;$B$9,T$140=""),"",IF(COUNTIFS(BD!$B$3:$B$5001,T$140,BD!$A$3:$A$5001,"&gt;="&amp;$C$7,BD!$A$3:$A$5001,"&lt;="&amp;$B164,BD!$V$3:$V$5001,"&lt;&gt;")=0,"",SUMIFS(BD!$V$3:$V$5001,BD!$B$3:$B$5001,T$140,BD!$A$3:$A$5001,_xlfn.MAXIFS(BD!$A$3:$A$5001,BD!$B$3:$B$5001,T$140,BD!$A$3:$A$5001,"&gt;="&amp;$C$7,BD!$A$3:$A$5001,"&lt;="&amp;$B164,BD!$V$3:$V$5001,"&lt;&gt;"))))</f>
        <v/>
      </c>
      <c r="U164" s="54" t="str">
        <f>IF(OR($B164="",$A164&gt;$B$9,U$140=""),"",IF(COUNTIFS(BD!$B$3:$B$5001,U$140,BD!$A$3:$A$5001,"&gt;="&amp;$C$7,BD!$A$3:$A$5001,"&lt;="&amp;$B164,BD!$V$3:$V$5001,"&lt;&gt;")=0,"",SUMIFS(BD!$V$3:$V$5001,BD!$B$3:$B$5001,U$140,BD!$A$3:$A$5001,_xlfn.MAXIFS(BD!$A$3:$A$5001,BD!$B$3:$B$5001,U$140,BD!$A$3:$A$5001,"&gt;="&amp;$C$7,BD!$A$3:$A$5001,"&lt;="&amp;$B164,BD!$V$3:$V$5001,"&lt;&gt;"))))</f>
        <v/>
      </c>
      <c r="V164" s="54" t="str">
        <f>IF(OR($B164="",$A164&gt;$B$9,V$140=""),"",IF(COUNTIFS(BD!$B$3:$B$5001,V$140,BD!$A$3:$A$5001,"&gt;="&amp;$C$7,BD!$A$3:$A$5001,"&lt;="&amp;$B164,BD!$V$3:$V$5001,"&lt;&gt;")=0,"",SUMIFS(BD!$V$3:$V$5001,BD!$B$3:$B$5001,V$140,BD!$A$3:$A$5001,_xlfn.MAXIFS(BD!$A$3:$A$5001,BD!$B$3:$B$5001,V$140,BD!$A$3:$A$5001,"&gt;="&amp;$C$7,BD!$A$3:$A$5001,"&lt;="&amp;$B164,BD!$V$3:$V$5001,"&lt;&gt;"))))</f>
        <v/>
      </c>
    </row>
    <row r="165">
      <c r="A165" s="48">
        <v>25</v>
      </c>
      <c r="B165" s="53">
        <f>$B$36</f>
        <v>46320</v>
      </c>
      <c r="C165" s="54" t="str">
        <f>IF(OR($B165="",$A165&gt;$B$9,C$140=""),"",IF(COUNTIFS(BD!$B$3:$B$5001,C$140,BD!$A$3:$A$5001,"&gt;="&amp;$C$7,BD!$A$3:$A$5001,"&lt;="&amp;$B165,BD!$V$3:$V$5001,"&lt;&gt;")=0,"",SUMIFS(BD!$V$3:$V$5001,BD!$B$3:$B$5001,C$140,BD!$A$3:$A$5001,_xlfn.MAXIFS(BD!$A$3:$A$5001,BD!$B$3:$B$5001,C$140,BD!$A$3:$A$5001,"&gt;="&amp;$C$7,BD!$A$3:$A$5001,"&lt;="&amp;$B165,BD!$V$3:$V$5001,"&lt;&gt;"))))</f>
        <v/>
      </c>
      <c r="D165" s="54" t="str">
        <f>IF(OR($B165="",$A165&gt;$B$9,D$140=""),"",IF(COUNTIFS(BD!$B$3:$B$5001,D$140,BD!$A$3:$A$5001,"&gt;="&amp;$C$7,BD!$A$3:$A$5001,"&lt;="&amp;$B165,BD!$V$3:$V$5001,"&lt;&gt;")=0,"",SUMIFS(BD!$V$3:$V$5001,BD!$B$3:$B$5001,D$140,BD!$A$3:$A$5001,_xlfn.MAXIFS(BD!$A$3:$A$5001,BD!$B$3:$B$5001,D$140,BD!$A$3:$A$5001,"&gt;="&amp;$C$7,BD!$A$3:$A$5001,"&lt;="&amp;$B165,BD!$V$3:$V$5001,"&lt;&gt;"))))</f>
        <v/>
      </c>
      <c r="E165" s="54" t="str">
        <f>IF(OR($B165="",$A165&gt;$B$9,E$140=""),"",IF(COUNTIFS(BD!$B$3:$B$5001,E$140,BD!$A$3:$A$5001,"&gt;="&amp;$C$7,BD!$A$3:$A$5001,"&lt;="&amp;$B165,BD!$V$3:$V$5001,"&lt;&gt;")=0,"",SUMIFS(BD!$V$3:$V$5001,BD!$B$3:$B$5001,E$140,BD!$A$3:$A$5001,_xlfn.MAXIFS(BD!$A$3:$A$5001,BD!$B$3:$B$5001,E$140,BD!$A$3:$A$5001,"&gt;="&amp;$C$7,BD!$A$3:$A$5001,"&lt;="&amp;$B165,BD!$V$3:$V$5001,"&lt;&gt;"))))</f>
        <v/>
      </c>
      <c r="F165" s="54" t="str">
        <f>IF(OR($B165="",$A165&gt;$B$9,F$140=""),"",IF(COUNTIFS(BD!$B$3:$B$5001,F$140,BD!$A$3:$A$5001,"&gt;="&amp;$C$7,BD!$A$3:$A$5001,"&lt;="&amp;$B165,BD!$V$3:$V$5001,"&lt;&gt;")=0,"",SUMIFS(BD!$V$3:$V$5001,BD!$B$3:$B$5001,F$140,BD!$A$3:$A$5001,_xlfn.MAXIFS(BD!$A$3:$A$5001,BD!$B$3:$B$5001,F$140,BD!$A$3:$A$5001,"&gt;="&amp;$C$7,BD!$A$3:$A$5001,"&lt;="&amp;$B165,BD!$V$3:$V$5001,"&lt;&gt;"))))</f>
        <v/>
      </c>
      <c r="G165" s="54" t="str">
        <f>IF(OR($B165="",$A165&gt;$B$9,G$140=""),"",IF(COUNTIFS(BD!$B$3:$B$5001,G$140,BD!$A$3:$A$5001,"&gt;="&amp;$C$7,BD!$A$3:$A$5001,"&lt;="&amp;$B165,BD!$V$3:$V$5001,"&lt;&gt;")=0,"",SUMIFS(BD!$V$3:$V$5001,BD!$B$3:$B$5001,G$140,BD!$A$3:$A$5001,_xlfn.MAXIFS(BD!$A$3:$A$5001,BD!$B$3:$B$5001,G$140,BD!$A$3:$A$5001,"&gt;="&amp;$C$7,BD!$A$3:$A$5001,"&lt;="&amp;$B165,BD!$V$3:$V$5001,"&lt;&gt;"))))</f>
        <v/>
      </c>
      <c r="H165" s="54" t="str">
        <f>IF(OR($B165="",$A165&gt;$B$9,H$140=""),"",IF(COUNTIFS(BD!$B$3:$B$5001,H$140,BD!$A$3:$A$5001,"&gt;="&amp;$C$7,BD!$A$3:$A$5001,"&lt;="&amp;$B165,BD!$V$3:$V$5001,"&lt;&gt;")=0,"",SUMIFS(BD!$V$3:$V$5001,BD!$B$3:$B$5001,H$140,BD!$A$3:$A$5001,_xlfn.MAXIFS(BD!$A$3:$A$5001,BD!$B$3:$B$5001,H$140,BD!$A$3:$A$5001,"&gt;="&amp;$C$7,BD!$A$3:$A$5001,"&lt;="&amp;$B165,BD!$V$3:$V$5001,"&lt;&gt;"))))</f>
        <v/>
      </c>
      <c r="I165" s="54" t="str">
        <f>IF(OR($B165="",$A165&gt;$B$9,I$140=""),"",IF(COUNTIFS(BD!$B$3:$B$5001,I$140,BD!$A$3:$A$5001,"&gt;="&amp;$C$7,BD!$A$3:$A$5001,"&lt;="&amp;$B165,BD!$V$3:$V$5001,"&lt;&gt;")=0,"",SUMIFS(BD!$V$3:$V$5001,BD!$B$3:$B$5001,I$140,BD!$A$3:$A$5001,_xlfn.MAXIFS(BD!$A$3:$A$5001,BD!$B$3:$B$5001,I$140,BD!$A$3:$A$5001,"&gt;="&amp;$C$7,BD!$A$3:$A$5001,"&lt;="&amp;$B165,BD!$V$3:$V$5001,"&lt;&gt;"))))</f>
        <v/>
      </c>
      <c r="J165" s="54" t="str">
        <f>IF(OR($B165="",$A165&gt;$B$9,J$140=""),"",IF(COUNTIFS(BD!$B$3:$B$5001,J$140,BD!$A$3:$A$5001,"&gt;="&amp;$C$7,BD!$A$3:$A$5001,"&lt;="&amp;$B165,BD!$V$3:$V$5001,"&lt;&gt;")=0,"",SUMIFS(BD!$V$3:$V$5001,BD!$B$3:$B$5001,J$140,BD!$A$3:$A$5001,_xlfn.MAXIFS(BD!$A$3:$A$5001,BD!$B$3:$B$5001,J$140,BD!$A$3:$A$5001,"&gt;="&amp;$C$7,BD!$A$3:$A$5001,"&lt;="&amp;$B165,BD!$V$3:$V$5001,"&lt;&gt;"))))</f>
        <v/>
      </c>
      <c r="K165" s="54" t="str">
        <f>IF(OR($B165="",$A165&gt;$B$9,K$140=""),"",IF(COUNTIFS(BD!$B$3:$B$5001,K$140,BD!$A$3:$A$5001,"&gt;="&amp;$C$7,BD!$A$3:$A$5001,"&lt;="&amp;$B165,BD!$V$3:$V$5001,"&lt;&gt;")=0,"",SUMIFS(BD!$V$3:$V$5001,BD!$B$3:$B$5001,K$140,BD!$A$3:$A$5001,_xlfn.MAXIFS(BD!$A$3:$A$5001,BD!$B$3:$B$5001,K$140,BD!$A$3:$A$5001,"&gt;="&amp;$C$7,BD!$A$3:$A$5001,"&lt;="&amp;$B165,BD!$V$3:$V$5001,"&lt;&gt;"))))</f>
        <v/>
      </c>
      <c r="L165" s="54" t="str">
        <f>IF(OR($B165="",$A165&gt;$B$9,L$140=""),"",IF(COUNTIFS(BD!$B$3:$B$5001,L$140,BD!$A$3:$A$5001,"&gt;="&amp;$C$7,BD!$A$3:$A$5001,"&lt;="&amp;$B165,BD!$V$3:$V$5001,"&lt;&gt;")=0,"",SUMIFS(BD!$V$3:$V$5001,BD!$B$3:$B$5001,L$140,BD!$A$3:$A$5001,_xlfn.MAXIFS(BD!$A$3:$A$5001,BD!$B$3:$B$5001,L$140,BD!$A$3:$A$5001,"&gt;="&amp;$C$7,BD!$A$3:$A$5001,"&lt;="&amp;$B165,BD!$V$3:$V$5001,"&lt;&gt;"))))</f>
        <v/>
      </c>
      <c r="M165" s="54" t="str">
        <f>IF(OR($B165="",$A165&gt;$B$9,M$140=""),"",IF(COUNTIFS(BD!$B$3:$B$5001,M$140,BD!$A$3:$A$5001,"&gt;="&amp;$C$7,BD!$A$3:$A$5001,"&lt;="&amp;$B165,BD!$V$3:$V$5001,"&lt;&gt;")=0,"",SUMIFS(BD!$V$3:$V$5001,BD!$B$3:$B$5001,M$140,BD!$A$3:$A$5001,_xlfn.MAXIFS(BD!$A$3:$A$5001,BD!$B$3:$B$5001,M$140,BD!$A$3:$A$5001,"&gt;="&amp;$C$7,BD!$A$3:$A$5001,"&lt;="&amp;$B165,BD!$V$3:$V$5001,"&lt;&gt;"))))</f>
        <v/>
      </c>
      <c r="N165" s="54" t="str">
        <f>IF(OR($B165="",$A165&gt;$B$9,N$140=""),"",IF(COUNTIFS(BD!$B$3:$B$5001,N$140,BD!$A$3:$A$5001,"&gt;="&amp;$C$7,BD!$A$3:$A$5001,"&lt;="&amp;$B165,BD!$V$3:$V$5001,"&lt;&gt;")=0,"",SUMIFS(BD!$V$3:$V$5001,BD!$B$3:$B$5001,N$140,BD!$A$3:$A$5001,_xlfn.MAXIFS(BD!$A$3:$A$5001,BD!$B$3:$B$5001,N$140,BD!$A$3:$A$5001,"&gt;="&amp;$C$7,BD!$A$3:$A$5001,"&lt;="&amp;$B165,BD!$V$3:$V$5001,"&lt;&gt;"))))</f>
        <v/>
      </c>
      <c r="O165" s="54" t="str">
        <f>IF(OR($B165="",$A165&gt;$B$9,O$140=""),"",IF(COUNTIFS(BD!$B$3:$B$5001,O$140,BD!$A$3:$A$5001,"&gt;="&amp;$C$7,BD!$A$3:$A$5001,"&lt;="&amp;$B165,BD!$V$3:$V$5001,"&lt;&gt;")=0,"",SUMIFS(BD!$V$3:$V$5001,BD!$B$3:$B$5001,O$140,BD!$A$3:$A$5001,_xlfn.MAXIFS(BD!$A$3:$A$5001,BD!$B$3:$B$5001,O$140,BD!$A$3:$A$5001,"&gt;="&amp;$C$7,BD!$A$3:$A$5001,"&lt;="&amp;$B165,BD!$V$3:$V$5001,"&lt;&gt;"))))</f>
        <v/>
      </c>
      <c r="P165" s="54" t="str">
        <f>IF(OR($B165="",$A165&gt;$B$9,P$140=""),"",IF(COUNTIFS(BD!$B$3:$B$5001,P$140,BD!$A$3:$A$5001,"&gt;="&amp;$C$7,BD!$A$3:$A$5001,"&lt;="&amp;$B165,BD!$V$3:$V$5001,"&lt;&gt;")=0,"",SUMIFS(BD!$V$3:$V$5001,BD!$B$3:$B$5001,P$140,BD!$A$3:$A$5001,_xlfn.MAXIFS(BD!$A$3:$A$5001,BD!$B$3:$B$5001,P$140,BD!$A$3:$A$5001,"&gt;="&amp;$C$7,BD!$A$3:$A$5001,"&lt;="&amp;$B165,BD!$V$3:$V$5001,"&lt;&gt;"))))</f>
        <v/>
      </c>
      <c r="Q165" s="54" t="str">
        <f>IF(OR($B165="",$A165&gt;$B$9,Q$140=""),"",IF(COUNTIFS(BD!$B$3:$B$5001,Q$140,BD!$A$3:$A$5001,"&gt;="&amp;$C$7,BD!$A$3:$A$5001,"&lt;="&amp;$B165,BD!$V$3:$V$5001,"&lt;&gt;")=0,"",SUMIFS(BD!$V$3:$V$5001,BD!$B$3:$B$5001,Q$140,BD!$A$3:$A$5001,_xlfn.MAXIFS(BD!$A$3:$A$5001,BD!$B$3:$B$5001,Q$140,BD!$A$3:$A$5001,"&gt;="&amp;$C$7,BD!$A$3:$A$5001,"&lt;="&amp;$B165,BD!$V$3:$V$5001,"&lt;&gt;"))))</f>
        <v/>
      </c>
      <c r="R165" s="54" t="str">
        <f>IF(OR($B165="",$A165&gt;$B$9,R$140=""),"",IF(COUNTIFS(BD!$B$3:$B$5001,R$140,BD!$A$3:$A$5001,"&gt;="&amp;$C$7,BD!$A$3:$A$5001,"&lt;="&amp;$B165,BD!$V$3:$V$5001,"&lt;&gt;")=0,"",SUMIFS(BD!$V$3:$V$5001,BD!$B$3:$B$5001,R$140,BD!$A$3:$A$5001,_xlfn.MAXIFS(BD!$A$3:$A$5001,BD!$B$3:$B$5001,R$140,BD!$A$3:$A$5001,"&gt;="&amp;$C$7,BD!$A$3:$A$5001,"&lt;="&amp;$B165,BD!$V$3:$V$5001,"&lt;&gt;"))))</f>
        <v/>
      </c>
      <c r="S165" s="54" t="str">
        <f>IF(OR($B165="",$A165&gt;$B$9,S$140=""),"",IF(COUNTIFS(BD!$B$3:$B$5001,S$140,BD!$A$3:$A$5001,"&gt;="&amp;$C$7,BD!$A$3:$A$5001,"&lt;="&amp;$B165,BD!$V$3:$V$5001,"&lt;&gt;")=0,"",SUMIFS(BD!$V$3:$V$5001,BD!$B$3:$B$5001,S$140,BD!$A$3:$A$5001,_xlfn.MAXIFS(BD!$A$3:$A$5001,BD!$B$3:$B$5001,S$140,BD!$A$3:$A$5001,"&gt;="&amp;$C$7,BD!$A$3:$A$5001,"&lt;="&amp;$B165,BD!$V$3:$V$5001,"&lt;&gt;"))))</f>
        <v/>
      </c>
      <c r="T165" s="54" t="str">
        <f>IF(OR($B165="",$A165&gt;$B$9,T$140=""),"",IF(COUNTIFS(BD!$B$3:$B$5001,T$140,BD!$A$3:$A$5001,"&gt;="&amp;$C$7,BD!$A$3:$A$5001,"&lt;="&amp;$B165,BD!$V$3:$V$5001,"&lt;&gt;")=0,"",SUMIFS(BD!$V$3:$V$5001,BD!$B$3:$B$5001,T$140,BD!$A$3:$A$5001,_xlfn.MAXIFS(BD!$A$3:$A$5001,BD!$B$3:$B$5001,T$140,BD!$A$3:$A$5001,"&gt;="&amp;$C$7,BD!$A$3:$A$5001,"&lt;="&amp;$B165,BD!$V$3:$V$5001,"&lt;&gt;"))))</f>
        <v/>
      </c>
      <c r="U165" s="54" t="str">
        <f>IF(OR($B165="",$A165&gt;$B$9,U$140=""),"",IF(COUNTIFS(BD!$B$3:$B$5001,U$140,BD!$A$3:$A$5001,"&gt;="&amp;$C$7,BD!$A$3:$A$5001,"&lt;="&amp;$B165,BD!$V$3:$V$5001,"&lt;&gt;")=0,"",SUMIFS(BD!$V$3:$V$5001,BD!$B$3:$B$5001,U$140,BD!$A$3:$A$5001,_xlfn.MAXIFS(BD!$A$3:$A$5001,BD!$B$3:$B$5001,U$140,BD!$A$3:$A$5001,"&gt;="&amp;$C$7,BD!$A$3:$A$5001,"&lt;="&amp;$B165,BD!$V$3:$V$5001,"&lt;&gt;"))))</f>
        <v/>
      </c>
      <c r="V165" s="54" t="str">
        <f>IF(OR($B165="",$A165&gt;$B$9,V$140=""),"",IF(COUNTIFS(BD!$B$3:$B$5001,V$140,BD!$A$3:$A$5001,"&gt;="&amp;$C$7,BD!$A$3:$A$5001,"&lt;="&amp;$B165,BD!$V$3:$V$5001,"&lt;&gt;")=0,"",SUMIFS(BD!$V$3:$V$5001,BD!$B$3:$B$5001,V$140,BD!$A$3:$A$5001,_xlfn.MAXIFS(BD!$A$3:$A$5001,BD!$B$3:$B$5001,V$140,BD!$A$3:$A$5001,"&gt;="&amp;$C$7,BD!$A$3:$A$5001,"&lt;="&amp;$B165,BD!$V$3:$V$5001,"&lt;&gt;"))))</f>
        <v/>
      </c>
    </row>
    <row r="166">
      <c r="A166" s="48">
        <v>26</v>
      </c>
      <c r="B166" s="53">
        <f>$B$37</f>
        <v>46321</v>
      </c>
      <c r="C166" s="54" t="str">
        <f>IF(OR($B166="",$A166&gt;$B$9,C$140=""),"",IF(COUNTIFS(BD!$B$3:$B$5001,C$140,BD!$A$3:$A$5001,"&gt;="&amp;$C$7,BD!$A$3:$A$5001,"&lt;="&amp;$B166,BD!$V$3:$V$5001,"&lt;&gt;")=0,"",SUMIFS(BD!$V$3:$V$5001,BD!$B$3:$B$5001,C$140,BD!$A$3:$A$5001,_xlfn.MAXIFS(BD!$A$3:$A$5001,BD!$B$3:$B$5001,C$140,BD!$A$3:$A$5001,"&gt;="&amp;$C$7,BD!$A$3:$A$5001,"&lt;="&amp;$B166,BD!$V$3:$V$5001,"&lt;&gt;"))))</f>
        <v/>
      </c>
      <c r="D166" s="54" t="str">
        <f>IF(OR($B166="",$A166&gt;$B$9,D$140=""),"",IF(COUNTIFS(BD!$B$3:$B$5001,D$140,BD!$A$3:$A$5001,"&gt;="&amp;$C$7,BD!$A$3:$A$5001,"&lt;="&amp;$B166,BD!$V$3:$V$5001,"&lt;&gt;")=0,"",SUMIFS(BD!$V$3:$V$5001,BD!$B$3:$B$5001,D$140,BD!$A$3:$A$5001,_xlfn.MAXIFS(BD!$A$3:$A$5001,BD!$B$3:$B$5001,D$140,BD!$A$3:$A$5001,"&gt;="&amp;$C$7,BD!$A$3:$A$5001,"&lt;="&amp;$B166,BD!$V$3:$V$5001,"&lt;&gt;"))))</f>
        <v/>
      </c>
      <c r="E166" s="54" t="str">
        <f>IF(OR($B166="",$A166&gt;$B$9,E$140=""),"",IF(COUNTIFS(BD!$B$3:$B$5001,E$140,BD!$A$3:$A$5001,"&gt;="&amp;$C$7,BD!$A$3:$A$5001,"&lt;="&amp;$B166,BD!$V$3:$V$5001,"&lt;&gt;")=0,"",SUMIFS(BD!$V$3:$V$5001,BD!$B$3:$B$5001,E$140,BD!$A$3:$A$5001,_xlfn.MAXIFS(BD!$A$3:$A$5001,BD!$B$3:$B$5001,E$140,BD!$A$3:$A$5001,"&gt;="&amp;$C$7,BD!$A$3:$A$5001,"&lt;="&amp;$B166,BD!$V$3:$V$5001,"&lt;&gt;"))))</f>
        <v/>
      </c>
      <c r="F166" s="54" t="str">
        <f>IF(OR($B166="",$A166&gt;$B$9,F$140=""),"",IF(COUNTIFS(BD!$B$3:$B$5001,F$140,BD!$A$3:$A$5001,"&gt;="&amp;$C$7,BD!$A$3:$A$5001,"&lt;="&amp;$B166,BD!$V$3:$V$5001,"&lt;&gt;")=0,"",SUMIFS(BD!$V$3:$V$5001,BD!$B$3:$B$5001,F$140,BD!$A$3:$A$5001,_xlfn.MAXIFS(BD!$A$3:$A$5001,BD!$B$3:$B$5001,F$140,BD!$A$3:$A$5001,"&gt;="&amp;$C$7,BD!$A$3:$A$5001,"&lt;="&amp;$B166,BD!$V$3:$V$5001,"&lt;&gt;"))))</f>
        <v/>
      </c>
      <c r="G166" s="54" t="str">
        <f>IF(OR($B166="",$A166&gt;$B$9,G$140=""),"",IF(COUNTIFS(BD!$B$3:$B$5001,G$140,BD!$A$3:$A$5001,"&gt;="&amp;$C$7,BD!$A$3:$A$5001,"&lt;="&amp;$B166,BD!$V$3:$V$5001,"&lt;&gt;")=0,"",SUMIFS(BD!$V$3:$V$5001,BD!$B$3:$B$5001,G$140,BD!$A$3:$A$5001,_xlfn.MAXIFS(BD!$A$3:$A$5001,BD!$B$3:$B$5001,G$140,BD!$A$3:$A$5001,"&gt;="&amp;$C$7,BD!$A$3:$A$5001,"&lt;="&amp;$B166,BD!$V$3:$V$5001,"&lt;&gt;"))))</f>
        <v/>
      </c>
      <c r="H166" s="54" t="str">
        <f>IF(OR($B166="",$A166&gt;$B$9,H$140=""),"",IF(COUNTIFS(BD!$B$3:$B$5001,H$140,BD!$A$3:$A$5001,"&gt;="&amp;$C$7,BD!$A$3:$A$5001,"&lt;="&amp;$B166,BD!$V$3:$V$5001,"&lt;&gt;")=0,"",SUMIFS(BD!$V$3:$V$5001,BD!$B$3:$B$5001,H$140,BD!$A$3:$A$5001,_xlfn.MAXIFS(BD!$A$3:$A$5001,BD!$B$3:$B$5001,H$140,BD!$A$3:$A$5001,"&gt;="&amp;$C$7,BD!$A$3:$A$5001,"&lt;="&amp;$B166,BD!$V$3:$V$5001,"&lt;&gt;"))))</f>
        <v/>
      </c>
      <c r="I166" s="54" t="str">
        <f>IF(OR($B166="",$A166&gt;$B$9,I$140=""),"",IF(COUNTIFS(BD!$B$3:$B$5001,I$140,BD!$A$3:$A$5001,"&gt;="&amp;$C$7,BD!$A$3:$A$5001,"&lt;="&amp;$B166,BD!$V$3:$V$5001,"&lt;&gt;")=0,"",SUMIFS(BD!$V$3:$V$5001,BD!$B$3:$B$5001,I$140,BD!$A$3:$A$5001,_xlfn.MAXIFS(BD!$A$3:$A$5001,BD!$B$3:$B$5001,I$140,BD!$A$3:$A$5001,"&gt;="&amp;$C$7,BD!$A$3:$A$5001,"&lt;="&amp;$B166,BD!$V$3:$V$5001,"&lt;&gt;"))))</f>
        <v/>
      </c>
      <c r="J166" s="54" t="str">
        <f>IF(OR($B166="",$A166&gt;$B$9,J$140=""),"",IF(COUNTIFS(BD!$B$3:$B$5001,J$140,BD!$A$3:$A$5001,"&gt;="&amp;$C$7,BD!$A$3:$A$5001,"&lt;="&amp;$B166,BD!$V$3:$V$5001,"&lt;&gt;")=0,"",SUMIFS(BD!$V$3:$V$5001,BD!$B$3:$B$5001,J$140,BD!$A$3:$A$5001,_xlfn.MAXIFS(BD!$A$3:$A$5001,BD!$B$3:$B$5001,J$140,BD!$A$3:$A$5001,"&gt;="&amp;$C$7,BD!$A$3:$A$5001,"&lt;="&amp;$B166,BD!$V$3:$V$5001,"&lt;&gt;"))))</f>
        <v/>
      </c>
      <c r="K166" s="54" t="str">
        <f>IF(OR($B166="",$A166&gt;$B$9,K$140=""),"",IF(COUNTIFS(BD!$B$3:$B$5001,K$140,BD!$A$3:$A$5001,"&gt;="&amp;$C$7,BD!$A$3:$A$5001,"&lt;="&amp;$B166,BD!$V$3:$V$5001,"&lt;&gt;")=0,"",SUMIFS(BD!$V$3:$V$5001,BD!$B$3:$B$5001,K$140,BD!$A$3:$A$5001,_xlfn.MAXIFS(BD!$A$3:$A$5001,BD!$B$3:$B$5001,K$140,BD!$A$3:$A$5001,"&gt;="&amp;$C$7,BD!$A$3:$A$5001,"&lt;="&amp;$B166,BD!$V$3:$V$5001,"&lt;&gt;"))))</f>
        <v/>
      </c>
      <c r="L166" s="54" t="str">
        <f>IF(OR($B166="",$A166&gt;$B$9,L$140=""),"",IF(COUNTIFS(BD!$B$3:$B$5001,L$140,BD!$A$3:$A$5001,"&gt;="&amp;$C$7,BD!$A$3:$A$5001,"&lt;="&amp;$B166,BD!$V$3:$V$5001,"&lt;&gt;")=0,"",SUMIFS(BD!$V$3:$V$5001,BD!$B$3:$B$5001,L$140,BD!$A$3:$A$5001,_xlfn.MAXIFS(BD!$A$3:$A$5001,BD!$B$3:$B$5001,L$140,BD!$A$3:$A$5001,"&gt;="&amp;$C$7,BD!$A$3:$A$5001,"&lt;="&amp;$B166,BD!$V$3:$V$5001,"&lt;&gt;"))))</f>
        <v/>
      </c>
      <c r="M166" s="54" t="str">
        <f>IF(OR($B166="",$A166&gt;$B$9,M$140=""),"",IF(COUNTIFS(BD!$B$3:$B$5001,M$140,BD!$A$3:$A$5001,"&gt;="&amp;$C$7,BD!$A$3:$A$5001,"&lt;="&amp;$B166,BD!$V$3:$V$5001,"&lt;&gt;")=0,"",SUMIFS(BD!$V$3:$V$5001,BD!$B$3:$B$5001,M$140,BD!$A$3:$A$5001,_xlfn.MAXIFS(BD!$A$3:$A$5001,BD!$B$3:$B$5001,M$140,BD!$A$3:$A$5001,"&gt;="&amp;$C$7,BD!$A$3:$A$5001,"&lt;="&amp;$B166,BD!$V$3:$V$5001,"&lt;&gt;"))))</f>
        <v/>
      </c>
      <c r="N166" s="54" t="str">
        <f>IF(OR($B166="",$A166&gt;$B$9,N$140=""),"",IF(COUNTIFS(BD!$B$3:$B$5001,N$140,BD!$A$3:$A$5001,"&gt;="&amp;$C$7,BD!$A$3:$A$5001,"&lt;="&amp;$B166,BD!$V$3:$V$5001,"&lt;&gt;")=0,"",SUMIFS(BD!$V$3:$V$5001,BD!$B$3:$B$5001,N$140,BD!$A$3:$A$5001,_xlfn.MAXIFS(BD!$A$3:$A$5001,BD!$B$3:$B$5001,N$140,BD!$A$3:$A$5001,"&gt;="&amp;$C$7,BD!$A$3:$A$5001,"&lt;="&amp;$B166,BD!$V$3:$V$5001,"&lt;&gt;"))))</f>
        <v/>
      </c>
      <c r="O166" s="54" t="str">
        <f>IF(OR($B166="",$A166&gt;$B$9,O$140=""),"",IF(COUNTIFS(BD!$B$3:$B$5001,O$140,BD!$A$3:$A$5001,"&gt;="&amp;$C$7,BD!$A$3:$A$5001,"&lt;="&amp;$B166,BD!$V$3:$V$5001,"&lt;&gt;")=0,"",SUMIFS(BD!$V$3:$V$5001,BD!$B$3:$B$5001,O$140,BD!$A$3:$A$5001,_xlfn.MAXIFS(BD!$A$3:$A$5001,BD!$B$3:$B$5001,O$140,BD!$A$3:$A$5001,"&gt;="&amp;$C$7,BD!$A$3:$A$5001,"&lt;="&amp;$B166,BD!$V$3:$V$5001,"&lt;&gt;"))))</f>
        <v/>
      </c>
      <c r="P166" s="54" t="str">
        <f>IF(OR($B166="",$A166&gt;$B$9,P$140=""),"",IF(COUNTIFS(BD!$B$3:$B$5001,P$140,BD!$A$3:$A$5001,"&gt;="&amp;$C$7,BD!$A$3:$A$5001,"&lt;="&amp;$B166,BD!$V$3:$V$5001,"&lt;&gt;")=0,"",SUMIFS(BD!$V$3:$V$5001,BD!$B$3:$B$5001,P$140,BD!$A$3:$A$5001,_xlfn.MAXIFS(BD!$A$3:$A$5001,BD!$B$3:$B$5001,P$140,BD!$A$3:$A$5001,"&gt;="&amp;$C$7,BD!$A$3:$A$5001,"&lt;="&amp;$B166,BD!$V$3:$V$5001,"&lt;&gt;"))))</f>
        <v/>
      </c>
      <c r="Q166" s="54" t="str">
        <f>IF(OR($B166="",$A166&gt;$B$9,Q$140=""),"",IF(COUNTIFS(BD!$B$3:$B$5001,Q$140,BD!$A$3:$A$5001,"&gt;="&amp;$C$7,BD!$A$3:$A$5001,"&lt;="&amp;$B166,BD!$V$3:$V$5001,"&lt;&gt;")=0,"",SUMIFS(BD!$V$3:$V$5001,BD!$B$3:$B$5001,Q$140,BD!$A$3:$A$5001,_xlfn.MAXIFS(BD!$A$3:$A$5001,BD!$B$3:$B$5001,Q$140,BD!$A$3:$A$5001,"&gt;="&amp;$C$7,BD!$A$3:$A$5001,"&lt;="&amp;$B166,BD!$V$3:$V$5001,"&lt;&gt;"))))</f>
        <v/>
      </c>
      <c r="R166" s="54" t="str">
        <f>IF(OR($B166="",$A166&gt;$B$9,R$140=""),"",IF(COUNTIFS(BD!$B$3:$B$5001,R$140,BD!$A$3:$A$5001,"&gt;="&amp;$C$7,BD!$A$3:$A$5001,"&lt;="&amp;$B166,BD!$V$3:$V$5001,"&lt;&gt;")=0,"",SUMIFS(BD!$V$3:$V$5001,BD!$B$3:$B$5001,R$140,BD!$A$3:$A$5001,_xlfn.MAXIFS(BD!$A$3:$A$5001,BD!$B$3:$B$5001,R$140,BD!$A$3:$A$5001,"&gt;="&amp;$C$7,BD!$A$3:$A$5001,"&lt;="&amp;$B166,BD!$V$3:$V$5001,"&lt;&gt;"))))</f>
        <v/>
      </c>
      <c r="S166" s="54" t="str">
        <f>IF(OR($B166="",$A166&gt;$B$9,S$140=""),"",IF(COUNTIFS(BD!$B$3:$B$5001,S$140,BD!$A$3:$A$5001,"&gt;="&amp;$C$7,BD!$A$3:$A$5001,"&lt;="&amp;$B166,BD!$V$3:$V$5001,"&lt;&gt;")=0,"",SUMIFS(BD!$V$3:$V$5001,BD!$B$3:$B$5001,S$140,BD!$A$3:$A$5001,_xlfn.MAXIFS(BD!$A$3:$A$5001,BD!$B$3:$B$5001,S$140,BD!$A$3:$A$5001,"&gt;="&amp;$C$7,BD!$A$3:$A$5001,"&lt;="&amp;$B166,BD!$V$3:$V$5001,"&lt;&gt;"))))</f>
        <v/>
      </c>
      <c r="T166" s="54" t="str">
        <f>IF(OR($B166="",$A166&gt;$B$9,T$140=""),"",IF(COUNTIFS(BD!$B$3:$B$5001,T$140,BD!$A$3:$A$5001,"&gt;="&amp;$C$7,BD!$A$3:$A$5001,"&lt;="&amp;$B166,BD!$V$3:$V$5001,"&lt;&gt;")=0,"",SUMIFS(BD!$V$3:$V$5001,BD!$B$3:$B$5001,T$140,BD!$A$3:$A$5001,_xlfn.MAXIFS(BD!$A$3:$A$5001,BD!$B$3:$B$5001,T$140,BD!$A$3:$A$5001,"&gt;="&amp;$C$7,BD!$A$3:$A$5001,"&lt;="&amp;$B166,BD!$V$3:$V$5001,"&lt;&gt;"))))</f>
        <v/>
      </c>
      <c r="U166" s="54" t="str">
        <f>IF(OR($B166="",$A166&gt;$B$9,U$140=""),"",IF(COUNTIFS(BD!$B$3:$B$5001,U$140,BD!$A$3:$A$5001,"&gt;="&amp;$C$7,BD!$A$3:$A$5001,"&lt;="&amp;$B166,BD!$V$3:$V$5001,"&lt;&gt;")=0,"",SUMIFS(BD!$V$3:$V$5001,BD!$B$3:$B$5001,U$140,BD!$A$3:$A$5001,_xlfn.MAXIFS(BD!$A$3:$A$5001,BD!$B$3:$B$5001,U$140,BD!$A$3:$A$5001,"&gt;="&amp;$C$7,BD!$A$3:$A$5001,"&lt;="&amp;$B166,BD!$V$3:$V$5001,"&lt;&gt;"))))</f>
        <v/>
      </c>
      <c r="V166" s="54" t="str">
        <f>IF(OR($B166="",$A166&gt;$B$9,V$140=""),"",IF(COUNTIFS(BD!$B$3:$B$5001,V$140,BD!$A$3:$A$5001,"&gt;="&amp;$C$7,BD!$A$3:$A$5001,"&lt;="&amp;$B166,BD!$V$3:$V$5001,"&lt;&gt;")=0,"",SUMIFS(BD!$V$3:$V$5001,BD!$B$3:$B$5001,V$140,BD!$A$3:$A$5001,_xlfn.MAXIFS(BD!$A$3:$A$5001,BD!$B$3:$B$5001,V$140,BD!$A$3:$A$5001,"&gt;="&amp;$C$7,BD!$A$3:$A$5001,"&lt;="&amp;$B166,BD!$V$3:$V$5001,"&lt;&gt;"))))</f>
        <v/>
      </c>
    </row>
    <row r="167">
      <c r="A167" s="48">
        <v>27</v>
      </c>
      <c r="B167" s="53">
        <f>$B$38</f>
        <v>46322</v>
      </c>
      <c r="C167" s="54" t="str">
        <f>IF(OR($B167="",$A167&gt;$B$9,C$140=""),"",IF(COUNTIFS(BD!$B$3:$B$5001,C$140,BD!$A$3:$A$5001,"&gt;="&amp;$C$7,BD!$A$3:$A$5001,"&lt;="&amp;$B167,BD!$V$3:$V$5001,"&lt;&gt;")=0,"",SUMIFS(BD!$V$3:$V$5001,BD!$B$3:$B$5001,C$140,BD!$A$3:$A$5001,_xlfn.MAXIFS(BD!$A$3:$A$5001,BD!$B$3:$B$5001,C$140,BD!$A$3:$A$5001,"&gt;="&amp;$C$7,BD!$A$3:$A$5001,"&lt;="&amp;$B167,BD!$V$3:$V$5001,"&lt;&gt;"))))</f>
        <v/>
      </c>
      <c r="D167" s="54" t="str">
        <f>IF(OR($B167="",$A167&gt;$B$9,D$140=""),"",IF(COUNTIFS(BD!$B$3:$B$5001,D$140,BD!$A$3:$A$5001,"&gt;="&amp;$C$7,BD!$A$3:$A$5001,"&lt;="&amp;$B167,BD!$V$3:$V$5001,"&lt;&gt;")=0,"",SUMIFS(BD!$V$3:$V$5001,BD!$B$3:$B$5001,D$140,BD!$A$3:$A$5001,_xlfn.MAXIFS(BD!$A$3:$A$5001,BD!$B$3:$B$5001,D$140,BD!$A$3:$A$5001,"&gt;="&amp;$C$7,BD!$A$3:$A$5001,"&lt;="&amp;$B167,BD!$V$3:$V$5001,"&lt;&gt;"))))</f>
        <v/>
      </c>
      <c r="E167" s="54" t="str">
        <f>IF(OR($B167="",$A167&gt;$B$9,E$140=""),"",IF(COUNTIFS(BD!$B$3:$B$5001,E$140,BD!$A$3:$A$5001,"&gt;="&amp;$C$7,BD!$A$3:$A$5001,"&lt;="&amp;$B167,BD!$V$3:$V$5001,"&lt;&gt;")=0,"",SUMIFS(BD!$V$3:$V$5001,BD!$B$3:$B$5001,E$140,BD!$A$3:$A$5001,_xlfn.MAXIFS(BD!$A$3:$A$5001,BD!$B$3:$B$5001,E$140,BD!$A$3:$A$5001,"&gt;="&amp;$C$7,BD!$A$3:$A$5001,"&lt;="&amp;$B167,BD!$V$3:$V$5001,"&lt;&gt;"))))</f>
        <v/>
      </c>
      <c r="F167" s="54" t="str">
        <f>IF(OR($B167="",$A167&gt;$B$9,F$140=""),"",IF(COUNTIFS(BD!$B$3:$B$5001,F$140,BD!$A$3:$A$5001,"&gt;="&amp;$C$7,BD!$A$3:$A$5001,"&lt;="&amp;$B167,BD!$V$3:$V$5001,"&lt;&gt;")=0,"",SUMIFS(BD!$V$3:$V$5001,BD!$B$3:$B$5001,F$140,BD!$A$3:$A$5001,_xlfn.MAXIFS(BD!$A$3:$A$5001,BD!$B$3:$B$5001,F$140,BD!$A$3:$A$5001,"&gt;="&amp;$C$7,BD!$A$3:$A$5001,"&lt;="&amp;$B167,BD!$V$3:$V$5001,"&lt;&gt;"))))</f>
        <v/>
      </c>
      <c r="G167" s="54" t="str">
        <f>IF(OR($B167="",$A167&gt;$B$9,G$140=""),"",IF(COUNTIFS(BD!$B$3:$B$5001,G$140,BD!$A$3:$A$5001,"&gt;="&amp;$C$7,BD!$A$3:$A$5001,"&lt;="&amp;$B167,BD!$V$3:$V$5001,"&lt;&gt;")=0,"",SUMIFS(BD!$V$3:$V$5001,BD!$B$3:$B$5001,G$140,BD!$A$3:$A$5001,_xlfn.MAXIFS(BD!$A$3:$A$5001,BD!$B$3:$B$5001,G$140,BD!$A$3:$A$5001,"&gt;="&amp;$C$7,BD!$A$3:$A$5001,"&lt;="&amp;$B167,BD!$V$3:$V$5001,"&lt;&gt;"))))</f>
        <v/>
      </c>
      <c r="H167" s="54" t="str">
        <f>IF(OR($B167="",$A167&gt;$B$9,H$140=""),"",IF(COUNTIFS(BD!$B$3:$B$5001,H$140,BD!$A$3:$A$5001,"&gt;="&amp;$C$7,BD!$A$3:$A$5001,"&lt;="&amp;$B167,BD!$V$3:$V$5001,"&lt;&gt;")=0,"",SUMIFS(BD!$V$3:$V$5001,BD!$B$3:$B$5001,H$140,BD!$A$3:$A$5001,_xlfn.MAXIFS(BD!$A$3:$A$5001,BD!$B$3:$B$5001,H$140,BD!$A$3:$A$5001,"&gt;="&amp;$C$7,BD!$A$3:$A$5001,"&lt;="&amp;$B167,BD!$V$3:$V$5001,"&lt;&gt;"))))</f>
        <v/>
      </c>
      <c r="I167" s="54" t="str">
        <f>IF(OR($B167="",$A167&gt;$B$9,I$140=""),"",IF(COUNTIFS(BD!$B$3:$B$5001,I$140,BD!$A$3:$A$5001,"&gt;="&amp;$C$7,BD!$A$3:$A$5001,"&lt;="&amp;$B167,BD!$V$3:$V$5001,"&lt;&gt;")=0,"",SUMIFS(BD!$V$3:$V$5001,BD!$B$3:$B$5001,I$140,BD!$A$3:$A$5001,_xlfn.MAXIFS(BD!$A$3:$A$5001,BD!$B$3:$B$5001,I$140,BD!$A$3:$A$5001,"&gt;="&amp;$C$7,BD!$A$3:$A$5001,"&lt;="&amp;$B167,BD!$V$3:$V$5001,"&lt;&gt;"))))</f>
        <v/>
      </c>
      <c r="J167" s="54" t="str">
        <f>IF(OR($B167="",$A167&gt;$B$9,J$140=""),"",IF(COUNTIFS(BD!$B$3:$B$5001,J$140,BD!$A$3:$A$5001,"&gt;="&amp;$C$7,BD!$A$3:$A$5001,"&lt;="&amp;$B167,BD!$V$3:$V$5001,"&lt;&gt;")=0,"",SUMIFS(BD!$V$3:$V$5001,BD!$B$3:$B$5001,J$140,BD!$A$3:$A$5001,_xlfn.MAXIFS(BD!$A$3:$A$5001,BD!$B$3:$B$5001,J$140,BD!$A$3:$A$5001,"&gt;="&amp;$C$7,BD!$A$3:$A$5001,"&lt;="&amp;$B167,BD!$V$3:$V$5001,"&lt;&gt;"))))</f>
        <v/>
      </c>
      <c r="K167" s="54" t="str">
        <f>IF(OR($B167="",$A167&gt;$B$9,K$140=""),"",IF(COUNTIFS(BD!$B$3:$B$5001,K$140,BD!$A$3:$A$5001,"&gt;="&amp;$C$7,BD!$A$3:$A$5001,"&lt;="&amp;$B167,BD!$V$3:$V$5001,"&lt;&gt;")=0,"",SUMIFS(BD!$V$3:$V$5001,BD!$B$3:$B$5001,K$140,BD!$A$3:$A$5001,_xlfn.MAXIFS(BD!$A$3:$A$5001,BD!$B$3:$B$5001,K$140,BD!$A$3:$A$5001,"&gt;="&amp;$C$7,BD!$A$3:$A$5001,"&lt;="&amp;$B167,BD!$V$3:$V$5001,"&lt;&gt;"))))</f>
        <v/>
      </c>
      <c r="L167" s="54" t="str">
        <f>IF(OR($B167="",$A167&gt;$B$9,L$140=""),"",IF(COUNTIFS(BD!$B$3:$B$5001,L$140,BD!$A$3:$A$5001,"&gt;="&amp;$C$7,BD!$A$3:$A$5001,"&lt;="&amp;$B167,BD!$V$3:$V$5001,"&lt;&gt;")=0,"",SUMIFS(BD!$V$3:$V$5001,BD!$B$3:$B$5001,L$140,BD!$A$3:$A$5001,_xlfn.MAXIFS(BD!$A$3:$A$5001,BD!$B$3:$B$5001,L$140,BD!$A$3:$A$5001,"&gt;="&amp;$C$7,BD!$A$3:$A$5001,"&lt;="&amp;$B167,BD!$V$3:$V$5001,"&lt;&gt;"))))</f>
        <v/>
      </c>
      <c r="M167" s="54" t="str">
        <f>IF(OR($B167="",$A167&gt;$B$9,M$140=""),"",IF(COUNTIFS(BD!$B$3:$B$5001,M$140,BD!$A$3:$A$5001,"&gt;="&amp;$C$7,BD!$A$3:$A$5001,"&lt;="&amp;$B167,BD!$V$3:$V$5001,"&lt;&gt;")=0,"",SUMIFS(BD!$V$3:$V$5001,BD!$B$3:$B$5001,M$140,BD!$A$3:$A$5001,_xlfn.MAXIFS(BD!$A$3:$A$5001,BD!$B$3:$B$5001,M$140,BD!$A$3:$A$5001,"&gt;="&amp;$C$7,BD!$A$3:$A$5001,"&lt;="&amp;$B167,BD!$V$3:$V$5001,"&lt;&gt;"))))</f>
        <v/>
      </c>
      <c r="N167" s="54" t="str">
        <f>IF(OR($B167="",$A167&gt;$B$9,N$140=""),"",IF(COUNTIFS(BD!$B$3:$B$5001,N$140,BD!$A$3:$A$5001,"&gt;="&amp;$C$7,BD!$A$3:$A$5001,"&lt;="&amp;$B167,BD!$V$3:$V$5001,"&lt;&gt;")=0,"",SUMIFS(BD!$V$3:$V$5001,BD!$B$3:$B$5001,N$140,BD!$A$3:$A$5001,_xlfn.MAXIFS(BD!$A$3:$A$5001,BD!$B$3:$B$5001,N$140,BD!$A$3:$A$5001,"&gt;="&amp;$C$7,BD!$A$3:$A$5001,"&lt;="&amp;$B167,BD!$V$3:$V$5001,"&lt;&gt;"))))</f>
        <v/>
      </c>
      <c r="O167" s="54" t="str">
        <f>IF(OR($B167="",$A167&gt;$B$9,O$140=""),"",IF(COUNTIFS(BD!$B$3:$B$5001,O$140,BD!$A$3:$A$5001,"&gt;="&amp;$C$7,BD!$A$3:$A$5001,"&lt;="&amp;$B167,BD!$V$3:$V$5001,"&lt;&gt;")=0,"",SUMIFS(BD!$V$3:$V$5001,BD!$B$3:$B$5001,O$140,BD!$A$3:$A$5001,_xlfn.MAXIFS(BD!$A$3:$A$5001,BD!$B$3:$B$5001,O$140,BD!$A$3:$A$5001,"&gt;="&amp;$C$7,BD!$A$3:$A$5001,"&lt;="&amp;$B167,BD!$V$3:$V$5001,"&lt;&gt;"))))</f>
        <v/>
      </c>
      <c r="P167" s="54" t="str">
        <f>IF(OR($B167="",$A167&gt;$B$9,P$140=""),"",IF(COUNTIFS(BD!$B$3:$B$5001,P$140,BD!$A$3:$A$5001,"&gt;="&amp;$C$7,BD!$A$3:$A$5001,"&lt;="&amp;$B167,BD!$V$3:$V$5001,"&lt;&gt;")=0,"",SUMIFS(BD!$V$3:$V$5001,BD!$B$3:$B$5001,P$140,BD!$A$3:$A$5001,_xlfn.MAXIFS(BD!$A$3:$A$5001,BD!$B$3:$B$5001,P$140,BD!$A$3:$A$5001,"&gt;="&amp;$C$7,BD!$A$3:$A$5001,"&lt;="&amp;$B167,BD!$V$3:$V$5001,"&lt;&gt;"))))</f>
        <v/>
      </c>
      <c r="Q167" s="54" t="str">
        <f>IF(OR($B167="",$A167&gt;$B$9,Q$140=""),"",IF(COUNTIFS(BD!$B$3:$B$5001,Q$140,BD!$A$3:$A$5001,"&gt;="&amp;$C$7,BD!$A$3:$A$5001,"&lt;="&amp;$B167,BD!$V$3:$V$5001,"&lt;&gt;")=0,"",SUMIFS(BD!$V$3:$V$5001,BD!$B$3:$B$5001,Q$140,BD!$A$3:$A$5001,_xlfn.MAXIFS(BD!$A$3:$A$5001,BD!$B$3:$B$5001,Q$140,BD!$A$3:$A$5001,"&gt;="&amp;$C$7,BD!$A$3:$A$5001,"&lt;="&amp;$B167,BD!$V$3:$V$5001,"&lt;&gt;"))))</f>
        <v/>
      </c>
      <c r="R167" s="54" t="str">
        <f>IF(OR($B167="",$A167&gt;$B$9,R$140=""),"",IF(COUNTIFS(BD!$B$3:$B$5001,R$140,BD!$A$3:$A$5001,"&gt;="&amp;$C$7,BD!$A$3:$A$5001,"&lt;="&amp;$B167,BD!$V$3:$V$5001,"&lt;&gt;")=0,"",SUMIFS(BD!$V$3:$V$5001,BD!$B$3:$B$5001,R$140,BD!$A$3:$A$5001,_xlfn.MAXIFS(BD!$A$3:$A$5001,BD!$B$3:$B$5001,R$140,BD!$A$3:$A$5001,"&gt;="&amp;$C$7,BD!$A$3:$A$5001,"&lt;="&amp;$B167,BD!$V$3:$V$5001,"&lt;&gt;"))))</f>
        <v/>
      </c>
      <c r="S167" s="54" t="str">
        <f>IF(OR($B167="",$A167&gt;$B$9,S$140=""),"",IF(COUNTIFS(BD!$B$3:$B$5001,S$140,BD!$A$3:$A$5001,"&gt;="&amp;$C$7,BD!$A$3:$A$5001,"&lt;="&amp;$B167,BD!$V$3:$V$5001,"&lt;&gt;")=0,"",SUMIFS(BD!$V$3:$V$5001,BD!$B$3:$B$5001,S$140,BD!$A$3:$A$5001,_xlfn.MAXIFS(BD!$A$3:$A$5001,BD!$B$3:$B$5001,S$140,BD!$A$3:$A$5001,"&gt;="&amp;$C$7,BD!$A$3:$A$5001,"&lt;="&amp;$B167,BD!$V$3:$V$5001,"&lt;&gt;"))))</f>
        <v/>
      </c>
      <c r="T167" s="54" t="str">
        <f>IF(OR($B167="",$A167&gt;$B$9,T$140=""),"",IF(COUNTIFS(BD!$B$3:$B$5001,T$140,BD!$A$3:$A$5001,"&gt;="&amp;$C$7,BD!$A$3:$A$5001,"&lt;="&amp;$B167,BD!$V$3:$V$5001,"&lt;&gt;")=0,"",SUMIFS(BD!$V$3:$V$5001,BD!$B$3:$B$5001,T$140,BD!$A$3:$A$5001,_xlfn.MAXIFS(BD!$A$3:$A$5001,BD!$B$3:$B$5001,T$140,BD!$A$3:$A$5001,"&gt;="&amp;$C$7,BD!$A$3:$A$5001,"&lt;="&amp;$B167,BD!$V$3:$V$5001,"&lt;&gt;"))))</f>
        <v/>
      </c>
      <c r="U167" s="54" t="str">
        <f>IF(OR($B167="",$A167&gt;$B$9,U$140=""),"",IF(COUNTIFS(BD!$B$3:$B$5001,U$140,BD!$A$3:$A$5001,"&gt;="&amp;$C$7,BD!$A$3:$A$5001,"&lt;="&amp;$B167,BD!$V$3:$V$5001,"&lt;&gt;")=0,"",SUMIFS(BD!$V$3:$V$5001,BD!$B$3:$B$5001,U$140,BD!$A$3:$A$5001,_xlfn.MAXIFS(BD!$A$3:$A$5001,BD!$B$3:$B$5001,U$140,BD!$A$3:$A$5001,"&gt;="&amp;$C$7,BD!$A$3:$A$5001,"&lt;="&amp;$B167,BD!$V$3:$V$5001,"&lt;&gt;"))))</f>
        <v/>
      </c>
      <c r="V167" s="54" t="str">
        <f>IF(OR($B167="",$A167&gt;$B$9,V$140=""),"",IF(COUNTIFS(BD!$B$3:$B$5001,V$140,BD!$A$3:$A$5001,"&gt;="&amp;$C$7,BD!$A$3:$A$5001,"&lt;="&amp;$B167,BD!$V$3:$V$5001,"&lt;&gt;")=0,"",SUMIFS(BD!$V$3:$V$5001,BD!$B$3:$B$5001,V$140,BD!$A$3:$A$5001,_xlfn.MAXIFS(BD!$A$3:$A$5001,BD!$B$3:$B$5001,V$140,BD!$A$3:$A$5001,"&gt;="&amp;$C$7,BD!$A$3:$A$5001,"&lt;="&amp;$B167,BD!$V$3:$V$5001,"&lt;&gt;"))))</f>
        <v/>
      </c>
    </row>
    <row r="168">
      <c r="A168" s="48">
        <v>28</v>
      </c>
      <c r="B168" s="53">
        <f>$B$39</f>
        <v>46323</v>
      </c>
      <c r="C168" s="54" t="str">
        <f>IF(OR($B168="",$A168&gt;$B$9,C$140=""),"",IF(COUNTIFS(BD!$B$3:$B$5001,C$140,BD!$A$3:$A$5001,"&gt;="&amp;$C$7,BD!$A$3:$A$5001,"&lt;="&amp;$B168,BD!$V$3:$V$5001,"&lt;&gt;")=0,"",SUMIFS(BD!$V$3:$V$5001,BD!$B$3:$B$5001,C$140,BD!$A$3:$A$5001,_xlfn.MAXIFS(BD!$A$3:$A$5001,BD!$B$3:$B$5001,C$140,BD!$A$3:$A$5001,"&gt;="&amp;$C$7,BD!$A$3:$A$5001,"&lt;="&amp;$B168,BD!$V$3:$V$5001,"&lt;&gt;"))))</f>
        <v/>
      </c>
      <c r="D168" s="54" t="str">
        <f>IF(OR($B168="",$A168&gt;$B$9,D$140=""),"",IF(COUNTIFS(BD!$B$3:$B$5001,D$140,BD!$A$3:$A$5001,"&gt;="&amp;$C$7,BD!$A$3:$A$5001,"&lt;="&amp;$B168,BD!$V$3:$V$5001,"&lt;&gt;")=0,"",SUMIFS(BD!$V$3:$V$5001,BD!$B$3:$B$5001,D$140,BD!$A$3:$A$5001,_xlfn.MAXIFS(BD!$A$3:$A$5001,BD!$B$3:$B$5001,D$140,BD!$A$3:$A$5001,"&gt;="&amp;$C$7,BD!$A$3:$A$5001,"&lt;="&amp;$B168,BD!$V$3:$V$5001,"&lt;&gt;"))))</f>
        <v/>
      </c>
      <c r="E168" s="54" t="str">
        <f>IF(OR($B168="",$A168&gt;$B$9,E$140=""),"",IF(COUNTIFS(BD!$B$3:$B$5001,E$140,BD!$A$3:$A$5001,"&gt;="&amp;$C$7,BD!$A$3:$A$5001,"&lt;="&amp;$B168,BD!$V$3:$V$5001,"&lt;&gt;")=0,"",SUMIFS(BD!$V$3:$V$5001,BD!$B$3:$B$5001,E$140,BD!$A$3:$A$5001,_xlfn.MAXIFS(BD!$A$3:$A$5001,BD!$B$3:$B$5001,E$140,BD!$A$3:$A$5001,"&gt;="&amp;$C$7,BD!$A$3:$A$5001,"&lt;="&amp;$B168,BD!$V$3:$V$5001,"&lt;&gt;"))))</f>
        <v/>
      </c>
      <c r="F168" s="54" t="str">
        <f>IF(OR($B168="",$A168&gt;$B$9,F$140=""),"",IF(COUNTIFS(BD!$B$3:$B$5001,F$140,BD!$A$3:$A$5001,"&gt;="&amp;$C$7,BD!$A$3:$A$5001,"&lt;="&amp;$B168,BD!$V$3:$V$5001,"&lt;&gt;")=0,"",SUMIFS(BD!$V$3:$V$5001,BD!$B$3:$B$5001,F$140,BD!$A$3:$A$5001,_xlfn.MAXIFS(BD!$A$3:$A$5001,BD!$B$3:$B$5001,F$140,BD!$A$3:$A$5001,"&gt;="&amp;$C$7,BD!$A$3:$A$5001,"&lt;="&amp;$B168,BD!$V$3:$V$5001,"&lt;&gt;"))))</f>
        <v/>
      </c>
      <c r="G168" s="54" t="str">
        <f>IF(OR($B168="",$A168&gt;$B$9,G$140=""),"",IF(COUNTIFS(BD!$B$3:$B$5001,G$140,BD!$A$3:$A$5001,"&gt;="&amp;$C$7,BD!$A$3:$A$5001,"&lt;="&amp;$B168,BD!$V$3:$V$5001,"&lt;&gt;")=0,"",SUMIFS(BD!$V$3:$V$5001,BD!$B$3:$B$5001,G$140,BD!$A$3:$A$5001,_xlfn.MAXIFS(BD!$A$3:$A$5001,BD!$B$3:$B$5001,G$140,BD!$A$3:$A$5001,"&gt;="&amp;$C$7,BD!$A$3:$A$5001,"&lt;="&amp;$B168,BD!$V$3:$V$5001,"&lt;&gt;"))))</f>
        <v/>
      </c>
      <c r="H168" s="54" t="str">
        <f>IF(OR($B168="",$A168&gt;$B$9,H$140=""),"",IF(COUNTIFS(BD!$B$3:$B$5001,H$140,BD!$A$3:$A$5001,"&gt;="&amp;$C$7,BD!$A$3:$A$5001,"&lt;="&amp;$B168,BD!$V$3:$V$5001,"&lt;&gt;")=0,"",SUMIFS(BD!$V$3:$V$5001,BD!$B$3:$B$5001,H$140,BD!$A$3:$A$5001,_xlfn.MAXIFS(BD!$A$3:$A$5001,BD!$B$3:$B$5001,H$140,BD!$A$3:$A$5001,"&gt;="&amp;$C$7,BD!$A$3:$A$5001,"&lt;="&amp;$B168,BD!$V$3:$V$5001,"&lt;&gt;"))))</f>
        <v/>
      </c>
      <c r="I168" s="54" t="str">
        <f>IF(OR($B168="",$A168&gt;$B$9,I$140=""),"",IF(COUNTIFS(BD!$B$3:$B$5001,I$140,BD!$A$3:$A$5001,"&gt;="&amp;$C$7,BD!$A$3:$A$5001,"&lt;="&amp;$B168,BD!$V$3:$V$5001,"&lt;&gt;")=0,"",SUMIFS(BD!$V$3:$V$5001,BD!$B$3:$B$5001,I$140,BD!$A$3:$A$5001,_xlfn.MAXIFS(BD!$A$3:$A$5001,BD!$B$3:$B$5001,I$140,BD!$A$3:$A$5001,"&gt;="&amp;$C$7,BD!$A$3:$A$5001,"&lt;="&amp;$B168,BD!$V$3:$V$5001,"&lt;&gt;"))))</f>
        <v/>
      </c>
      <c r="J168" s="54" t="str">
        <f>IF(OR($B168="",$A168&gt;$B$9,J$140=""),"",IF(COUNTIFS(BD!$B$3:$B$5001,J$140,BD!$A$3:$A$5001,"&gt;="&amp;$C$7,BD!$A$3:$A$5001,"&lt;="&amp;$B168,BD!$V$3:$V$5001,"&lt;&gt;")=0,"",SUMIFS(BD!$V$3:$V$5001,BD!$B$3:$B$5001,J$140,BD!$A$3:$A$5001,_xlfn.MAXIFS(BD!$A$3:$A$5001,BD!$B$3:$B$5001,J$140,BD!$A$3:$A$5001,"&gt;="&amp;$C$7,BD!$A$3:$A$5001,"&lt;="&amp;$B168,BD!$V$3:$V$5001,"&lt;&gt;"))))</f>
        <v/>
      </c>
      <c r="K168" s="54" t="str">
        <f>IF(OR($B168="",$A168&gt;$B$9,K$140=""),"",IF(COUNTIFS(BD!$B$3:$B$5001,K$140,BD!$A$3:$A$5001,"&gt;="&amp;$C$7,BD!$A$3:$A$5001,"&lt;="&amp;$B168,BD!$V$3:$V$5001,"&lt;&gt;")=0,"",SUMIFS(BD!$V$3:$V$5001,BD!$B$3:$B$5001,K$140,BD!$A$3:$A$5001,_xlfn.MAXIFS(BD!$A$3:$A$5001,BD!$B$3:$B$5001,K$140,BD!$A$3:$A$5001,"&gt;="&amp;$C$7,BD!$A$3:$A$5001,"&lt;="&amp;$B168,BD!$V$3:$V$5001,"&lt;&gt;"))))</f>
        <v/>
      </c>
      <c r="L168" s="54" t="str">
        <f>IF(OR($B168="",$A168&gt;$B$9,L$140=""),"",IF(COUNTIFS(BD!$B$3:$B$5001,L$140,BD!$A$3:$A$5001,"&gt;="&amp;$C$7,BD!$A$3:$A$5001,"&lt;="&amp;$B168,BD!$V$3:$V$5001,"&lt;&gt;")=0,"",SUMIFS(BD!$V$3:$V$5001,BD!$B$3:$B$5001,L$140,BD!$A$3:$A$5001,_xlfn.MAXIFS(BD!$A$3:$A$5001,BD!$B$3:$B$5001,L$140,BD!$A$3:$A$5001,"&gt;="&amp;$C$7,BD!$A$3:$A$5001,"&lt;="&amp;$B168,BD!$V$3:$V$5001,"&lt;&gt;"))))</f>
        <v/>
      </c>
      <c r="M168" s="54" t="str">
        <f>IF(OR($B168="",$A168&gt;$B$9,M$140=""),"",IF(COUNTIFS(BD!$B$3:$B$5001,M$140,BD!$A$3:$A$5001,"&gt;="&amp;$C$7,BD!$A$3:$A$5001,"&lt;="&amp;$B168,BD!$V$3:$V$5001,"&lt;&gt;")=0,"",SUMIFS(BD!$V$3:$V$5001,BD!$B$3:$B$5001,M$140,BD!$A$3:$A$5001,_xlfn.MAXIFS(BD!$A$3:$A$5001,BD!$B$3:$B$5001,M$140,BD!$A$3:$A$5001,"&gt;="&amp;$C$7,BD!$A$3:$A$5001,"&lt;="&amp;$B168,BD!$V$3:$V$5001,"&lt;&gt;"))))</f>
        <v/>
      </c>
      <c r="N168" s="54" t="str">
        <f>IF(OR($B168="",$A168&gt;$B$9,N$140=""),"",IF(COUNTIFS(BD!$B$3:$B$5001,N$140,BD!$A$3:$A$5001,"&gt;="&amp;$C$7,BD!$A$3:$A$5001,"&lt;="&amp;$B168,BD!$V$3:$V$5001,"&lt;&gt;")=0,"",SUMIFS(BD!$V$3:$V$5001,BD!$B$3:$B$5001,N$140,BD!$A$3:$A$5001,_xlfn.MAXIFS(BD!$A$3:$A$5001,BD!$B$3:$B$5001,N$140,BD!$A$3:$A$5001,"&gt;="&amp;$C$7,BD!$A$3:$A$5001,"&lt;="&amp;$B168,BD!$V$3:$V$5001,"&lt;&gt;"))))</f>
        <v/>
      </c>
      <c r="O168" s="54" t="str">
        <f>IF(OR($B168="",$A168&gt;$B$9,O$140=""),"",IF(COUNTIFS(BD!$B$3:$B$5001,O$140,BD!$A$3:$A$5001,"&gt;="&amp;$C$7,BD!$A$3:$A$5001,"&lt;="&amp;$B168,BD!$V$3:$V$5001,"&lt;&gt;")=0,"",SUMIFS(BD!$V$3:$V$5001,BD!$B$3:$B$5001,O$140,BD!$A$3:$A$5001,_xlfn.MAXIFS(BD!$A$3:$A$5001,BD!$B$3:$B$5001,O$140,BD!$A$3:$A$5001,"&gt;="&amp;$C$7,BD!$A$3:$A$5001,"&lt;="&amp;$B168,BD!$V$3:$V$5001,"&lt;&gt;"))))</f>
        <v/>
      </c>
      <c r="P168" s="54" t="str">
        <f>IF(OR($B168="",$A168&gt;$B$9,P$140=""),"",IF(COUNTIFS(BD!$B$3:$B$5001,P$140,BD!$A$3:$A$5001,"&gt;="&amp;$C$7,BD!$A$3:$A$5001,"&lt;="&amp;$B168,BD!$V$3:$V$5001,"&lt;&gt;")=0,"",SUMIFS(BD!$V$3:$V$5001,BD!$B$3:$B$5001,P$140,BD!$A$3:$A$5001,_xlfn.MAXIFS(BD!$A$3:$A$5001,BD!$B$3:$B$5001,P$140,BD!$A$3:$A$5001,"&gt;="&amp;$C$7,BD!$A$3:$A$5001,"&lt;="&amp;$B168,BD!$V$3:$V$5001,"&lt;&gt;"))))</f>
        <v/>
      </c>
      <c r="Q168" s="54" t="str">
        <f>IF(OR($B168="",$A168&gt;$B$9,Q$140=""),"",IF(COUNTIFS(BD!$B$3:$B$5001,Q$140,BD!$A$3:$A$5001,"&gt;="&amp;$C$7,BD!$A$3:$A$5001,"&lt;="&amp;$B168,BD!$V$3:$V$5001,"&lt;&gt;")=0,"",SUMIFS(BD!$V$3:$V$5001,BD!$B$3:$B$5001,Q$140,BD!$A$3:$A$5001,_xlfn.MAXIFS(BD!$A$3:$A$5001,BD!$B$3:$B$5001,Q$140,BD!$A$3:$A$5001,"&gt;="&amp;$C$7,BD!$A$3:$A$5001,"&lt;="&amp;$B168,BD!$V$3:$V$5001,"&lt;&gt;"))))</f>
        <v/>
      </c>
      <c r="R168" s="54" t="str">
        <f>IF(OR($B168="",$A168&gt;$B$9,R$140=""),"",IF(COUNTIFS(BD!$B$3:$B$5001,R$140,BD!$A$3:$A$5001,"&gt;="&amp;$C$7,BD!$A$3:$A$5001,"&lt;="&amp;$B168,BD!$V$3:$V$5001,"&lt;&gt;")=0,"",SUMIFS(BD!$V$3:$V$5001,BD!$B$3:$B$5001,R$140,BD!$A$3:$A$5001,_xlfn.MAXIFS(BD!$A$3:$A$5001,BD!$B$3:$B$5001,R$140,BD!$A$3:$A$5001,"&gt;="&amp;$C$7,BD!$A$3:$A$5001,"&lt;="&amp;$B168,BD!$V$3:$V$5001,"&lt;&gt;"))))</f>
        <v/>
      </c>
      <c r="S168" s="54" t="str">
        <f>IF(OR($B168="",$A168&gt;$B$9,S$140=""),"",IF(COUNTIFS(BD!$B$3:$B$5001,S$140,BD!$A$3:$A$5001,"&gt;="&amp;$C$7,BD!$A$3:$A$5001,"&lt;="&amp;$B168,BD!$V$3:$V$5001,"&lt;&gt;")=0,"",SUMIFS(BD!$V$3:$V$5001,BD!$B$3:$B$5001,S$140,BD!$A$3:$A$5001,_xlfn.MAXIFS(BD!$A$3:$A$5001,BD!$B$3:$B$5001,S$140,BD!$A$3:$A$5001,"&gt;="&amp;$C$7,BD!$A$3:$A$5001,"&lt;="&amp;$B168,BD!$V$3:$V$5001,"&lt;&gt;"))))</f>
        <v/>
      </c>
      <c r="T168" s="54" t="str">
        <f>IF(OR($B168="",$A168&gt;$B$9,T$140=""),"",IF(COUNTIFS(BD!$B$3:$B$5001,T$140,BD!$A$3:$A$5001,"&gt;="&amp;$C$7,BD!$A$3:$A$5001,"&lt;="&amp;$B168,BD!$V$3:$V$5001,"&lt;&gt;")=0,"",SUMIFS(BD!$V$3:$V$5001,BD!$B$3:$B$5001,T$140,BD!$A$3:$A$5001,_xlfn.MAXIFS(BD!$A$3:$A$5001,BD!$B$3:$B$5001,T$140,BD!$A$3:$A$5001,"&gt;="&amp;$C$7,BD!$A$3:$A$5001,"&lt;="&amp;$B168,BD!$V$3:$V$5001,"&lt;&gt;"))))</f>
        <v/>
      </c>
      <c r="U168" s="54" t="str">
        <f>IF(OR($B168="",$A168&gt;$B$9,U$140=""),"",IF(COUNTIFS(BD!$B$3:$B$5001,U$140,BD!$A$3:$A$5001,"&gt;="&amp;$C$7,BD!$A$3:$A$5001,"&lt;="&amp;$B168,BD!$V$3:$V$5001,"&lt;&gt;")=0,"",SUMIFS(BD!$V$3:$V$5001,BD!$B$3:$B$5001,U$140,BD!$A$3:$A$5001,_xlfn.MAXIFS(BD!$A$3:$A$5001,BD!$B$3:$B$5001,U$140,BD!$A$3:$A$5001,"&gt;="&amp;$C$7,BD!$A$3:$A$5001,"&lt;="&amp;$B168,BD!$V$3:$V$5001,"&lt;&gt;"))))</f>
        <v/>
      </c>
      <c r="V168" s="54" t="str">
        <f>IF(OR($B168="",$A168&gt;$B$9,V$140=""),"",IF(COUNTIFS(BD!$B$3:$B$5001,V$140,BD!$A$3:$A$5001,"&gt;="&amp;$C$7,BD!$A$3:$A$5001,"&lt;="&amp;$B168,BD!$V$3:$V$5001,"&lt;&gt;")=0,"",SUMIFS(BD!$V$3:$V$5001,BD!$B$3:$B$5001,V$140,BD!$A$3:$A$5001,_xlfn.MAXIFS(BD!$A$3:$A$5001,BD!$B$3:$B$5001,V$140,BD!$A$3:$A$5001,"&gt;="&amp;$C$7,BD!$A$3:$A$5001,"&lt;="&amp;$B168,BD!$V$3:$V$5001,"&lt;&gt;"))))</f>
        <v/>
      </c>
    </row>
    <row r="169">
      <c r="A169" s="48">
        <v>29</v>
      </c>
      <c r="B169" s="53">
        <f>$B$40</f>
        <v>46324</v>
      </c>
      <c r="C169" s="54" t="str">
        <f>IF(OR($B169="",$A169&gt;$B$9,C$140=""),"",IF(COUNTIFS(BD!$B$3:$B$5001,C$140,BD!$A$3:$A$5001,"&gt;="&amp;$C$7,BD!$A$3:$A$5001,"&lt;="&amp;$B169,BD!$V$3:$V$5001,"&lt;&gt;")=0,"",SUMIFS(BD!$V$3:$V$5001,BD!$B$3:$B$5001,C$140,BD!$A$3:$A$5001,_xlfn.MAXIFS(BD!$A$3:$A$5001,BD!$B$3:$B$5001,C$140,BD!$A$3:$A$5001,"&gt;="&amp;$C$7,BD!$A$3:$A$5001,"&lt;="&amp;$B169,BD!$V$3:$V$5001,"&lt;&gt;"))))</f>
        <v/>
      </c>
      <c r="D169" s="54" t="str">
        <f>IF(OR($B169="",$A169&gt;$B$9,D$140=""),"",IF(COUNTIFS(BD!$B$3:$B$5001,D$140,BD!$A$3:$A$5001,"&gt;="&amp;$C$7,BD!$A$3:$A$5001,"&lt;="&amp;$B169,BD!$V$3:$V$5001,"&lt;&gt;")=0,"",SUMIFS(BD!$V$3:$V$5001,BD!$B$3:$B$5001,D$140,BD!$A$3:$A$5001,_xlfn.MAXIFS(BD!$A$3:$A$5001,BD!$B$3:$B$5001,D$140,BD!$A$3:$A$5001,"&gt;="&amp;$C$7,BD!$A$3:$A$5001,"&lt;="&amp;$B169,BD!$V$3:$V$5001,"&lt;&gt;"))))</f>
        <v/>
      </c>
      <c r="E169" s="54" t="str">
        <f>IF(OR($B169="",$A169&gt;$B$9,E$140=""),"",IF(COUNTIFS(BD!$B$3:$B$5001,E$140,BD!$A$3:$A$5001,"&gt;="&amp;$C$7,BD!$A$3:$A$5001,"&lt;="&amp;$B169,BD!$V$3:$V$5001,"&lt;&gt;")=0,"",SUMIFS(BD!$V$3:$V$5001,BD!$B$3:$B$5001,E$140,BD!$A$3:$A$5001,_xlfn.MAXIFS(BD!$A$3:$A$5001,BD!$B$3:$B$5001,E$140,BD!$A$3:$A$5001,"&gt;="&amp;$C$7,BD!$A$3:$A$5001,"&lt;="&amp;$B169,BD!$V$3:$V$5001,"&lt;&gt;"))))</f>
        <v/>
      </c>
      <c r="F169" s="54" t="str">
        <f>IF(OR($B169="",$A169&gt;$B$9,F$140=""),"",IF(COUNTIFS(BD!$B$3:$B$5001,F$140,BD!$A$3:$A$5001,"&gt;="&amp;$C$7,BD!$A$3:$A$5001,"&lt;="&amp;$B169,BD!$V$3:$V$5001,"&lt;&gt;")=0,"",SUMIFS(BD!$V$3:$V$5001,BD!$B$3:$B$5001,F$140,BD!$A$3:$A$5001,_xlfn.MAXIFS(BD!$A$3:$A$5001,BD!$B$3:$B$5001,F$140,BD!$A$3:$A$5001,"&gt;="&amp;$C$7,BD!$A$3:$A$5001,"&lt;="&amp;$B169,BD!$V$3:$V$5001,"&lt;&gt;"))))</f>
        <v/>
      </c>
      <c r="G169" s="54" t="str">
        <f>IF(OR($B169="",$A169&gt;$B$9,G$140=""),"",IF(COUNTIFS(BD!$B$3:$B$5001,G$140,BD!$A$3:$A$5001,"&gt;="&amp;$C$7,BD!$A$3:$A$5001,"&lt;="&amp;$B169,BD!$V$3:$V$5001,"&lt;&gt;")=0,"",SUMIFS(BD!$V$3:$V$5001,BD!$B$3:$B$5001,G$140,BD!$A$3:$A$5001,_xlfn.MAXIFS(BD!$A$3:$A$5001,BD!$B$3:$B$5001,G$140,BD!$A$3:$A$5001,"&gt;="&amp;$C$7,BD!$A$3:$A$5001,"&lt;="&amp;$B169,BD!$V$3:$V$5001,"&lt;&gt;"))))</f>
        <v/>
      </c>
      <c r="H169" s="54" t="str">
        <f>IF(OR($B169="",$A169&gt;$B$9,H$140=""),"",IF(COUNTIFS(BD!$B$3:$B$5001,H$140,BD!$A$3:$A$5001,"&gt;="&amp;$C$7,BD!$A$3:$A$5001,"&lt;="&amp;$B169,BD!$V$3:$V$5001,"&lt;&gt;")=0,"",SUMIFS(BD!$V$3:$V$5001,BD!$B$3:$B$5001,H$140,BD!$A$3:$A$5001,_xlfn.MAXIFS(BD!$A$3:$A$5001,BD!$B$3:$B$5001,H$140,BD!$A$3:$A$5001,"&gt;="&amp;$C$7,BD!$A$3:$A$5001,"&lt;="&amp;$B169,BD!$V$3:$V$5001,"&lt;&gt;"))))</f>
        <v/>
      </c>
      <c r="I169" s="54" t="str">
        <f>IF(OR($B169="",$A169&gt;$B$9,I$140=""),"",IF(COUNTIFS(BD!$B$3:$B$5001,I$140,BD!$A$3:$A$5001,"&gt;="&amp;$C$7,BD!$A$3:$A$5001,"&lt;="&amp;$B169,BD!$V$3:$V$5001,"&lt;&gt;")=0,"",SUMIFS(BD!$V$3:$V$5001,BD!$B$3:$B$5001,I$140,BD!$A$3:$A$5001,_xlfn.MAXIFS(BD!$A$3:$A$5001,BD!$B$3:$B$5001,I$140,BD!$A$3:$A$5001,"&gt;="&amp;$C$7,BD!$A$3:$A$5001,"&lt;="&amp;$B169,BD!$V$3:$V$5001,"&lt;&gt;"))))</f>
        <v/>
      </c>
      <c r="J169" s="54" t="str">
        <f>IF(OR($B169="",$A169&gt;$B$9,J$140=""),"",IF(COUNTIFS(BD!$B$3:$B$5001,J$140,BD!$A$3:$A$5001,"&gt;="&amp;$C$7,BD!$A$3:$A$5001,"&lt;="&amp;$B169,BD!$V$3:$V$5001,"&lt;&gt;")=0,"",SUMIFS(BD!$V$3:$V$5001,BD!$B$3:$B$5001,J$140,BD!$A$3:$A$5001,_xlfn.MAXIFS(BD!$A$3:$A$5001,BD!$B$3:$B$5001,J$140,BD!$A$3:$A$5001,"&gt;="&amp;$C$7,BD!$A$3:$A$5001,"&lt;="&amp;$B169,BD!$V$3:$V$5001,"&lt;&gt;"))))</f>
        <v/>
      </c>
      <c r="K169" s="54" t="str">
        <f>IF(OR($B169="",$A169&gt;$B$9,K$140=""),"",IF(COUNTIFS(BD!$B$3:$B$5001,K$140,BD!$A$3:$A$5001,"&gt;="&amp;$C$7,BD!$A$3:$A$5001,"&lt;="&amp;$B169,BD!$V$3:$V$5001,"&lt;&gt;")=0,"",SUMIFS(BD!$V$3:$V$5001,BD!$B$3:$B$5001,K$140,BD!$A$3:$A$5001,_xlfn.MAXIFS(BD!$A$3:$A$5001,BD!$B$3:$B$5001,K$140,BD!$A$3:$A$5001,"&gt;="&amp;$C$7,BD!$A$3:$A$5001,"&lt;="&amp;$B169,BD!$V$3:$V$5001,"&lt;&gt;"))))</f>
        <v/>
      </c>
      <c r="L169" s="54" t="str">
        <f>IF(OR($B169="",$A169&gt;$B$9,L$140=""),"",IF(COUNTIFS(BD!$B$3:$B$5001,L$140,BD!$A$3:$A$5001,"&gt;="&amp;$C$7,BD!$A$3:$A$5001,"&lt;="&amp;$B169,BD!$V$3:$V$5001,"&lt;&gt;")=0,"",SUMIFS(BD!$V$3:$V$5001,BD!$B$3:$B$5001,L$140,BD!$A$3:$A$5001,_xlfn.MAXIFS(BD!$A$3:$A$5001,BD!$B$3:$B$5001,L$140,BD!$A$3:$A$5001,"&gt;="&amp;$C$7,BD!$A$3:$A$5001,"&lt;="&amp;$B169,BD!$V$3:$V$5001,"&lt;&gt;"))))</f>
        <v/>
      </c>
      <c r="M169" s="54" t="str">
        <f>IF(OR($B169="",$A169&gt;$B$9,M$140=""),"",IF(COUNTIFS(BD!$B$3:$B$5001,M$140,BD!$A$3:$A$5001,"&gt;="&amp;$C$7,BD!$A$3:$A$5001,"&lt;="&amp;$B169,BD!$V$3:$V$5001,"&lt;&gt;")=0,"",SUMIFS(BD!$V$3:$V$5001,BD!$B$3:$B$5001,M$140,BD!$A$3:$A$5001,_xlfn.MAXIFS(BD!$A$3:$A$5001,BD!$B$3:$B$5001,M$140,BD!$A$3:$A$5001,"&gt;="&amp;$C$7,BD!$A$3:$A$5001,"&lt;="&amp;$B169,BD!$V$3:$V$5001,"&lt;&gt;"))))</f>
        <v/>
      </c>
      <c r="N169" s="54" t="str">
        <f>IF(OR($B169="",$A169&gt;$B$9,N$140=""),"",IF(COUNTIFS(BD!$B$3:$B$5001,N$140,BD!$A$3:$A$5001,"&gt;="&amp;$C$7,BD!$A$3:$A$5001,"&lt;="&amp;$B169,BD!$V$3:$V$5001,"&lt;&gt;")=0,"",SUMIFS(BD!$V$3:$V$5001,BD!$B$3:$B$5001,N$140,BD!$A$3:$A$5001,_xlfn.MAXIFS(BD!$A$3:$A$5001,BD!$B$3:$B$5001,N$140,BD!$A$3:$A$5001,"&gt;="&amp;$C$7,BD!$A$3:$A$5001,"&lt;="&amp;$B169,BD!$V$3:$V$5001,"&lt;&gt;"))))</f>
        <v/>
      </c>
      <c r="O169" s="54" t="str">
        <f>IF(OR($B169="",$A169&gt;$B$9,O$140=""),"",IF(COUNTIFS(BD!$B$3:$B$5001,O$140,BD!$A$3:$A$5001,"&gt;="&amp;$C$7,BD!$A$3:$A$5001,"&lt;="&amp;$B169,BD!$V$3:$V$5001,"&lt;&gt;")=0,"",SUMIFS(BD!$V$3:$V$5001,BD!$B$3:$B$5001,O$140,BD!$A$3:$A$5001,_xlfn.MAXIFS(BD!$A$3:$A$5001,BD!$B$3:$B$5001,O$140,BD!$A$3:$A$5001,"&gt;="&amp;$C$7,BD!$A$3:$A$5001,"&lt;="&amp;$B169,BD!$V$3:$V$5001,"&lt;&gt;"))))</f>
        <v/>
      </c>
      <c r="P169" s="54" t="str">
        <f>IF(OR($B169="",$A169&gt;$B$9,P$140=""),"",IF(COUNTIFS(BD!$B$3:$B$5001,P$140,BD!$A$3:$A$5001,"&gt;="&amp;$C$7,BD!$A$3:$A$5001,"&lt;="&amp;$B169,BD!$V$3:$V$5001,"&lt;&gt;")=0,"",SUMIFS(BD!$V$3:$V$5001,BD!$B$3:$B$5001,P$140,BD!$A$3:$A$5001,_xlfn.MAXIFS(BD!$A$3:$A$5001,BD!$B$3:$B$5001,P$140,BD!$A$3:$A$5001,"&gt;="&amp;$C$7,BD!$A$3:$A$5001,"&lt;="&amp;$B169,BD!$V$3:$V$5001,"&lt;&gt;"))))</f>
        <v/>
      </c>
      <c r="Q169" s="54" t="str">
        <f>IF(OR($B169="",$A169&gt;$B$9,Q$140=""),"",IF(COUNTIFS(BD!$B$3:$B$5001,Q$140,BD!$A$3:$A$5001,"&gt;="&amp;$C$7,BD!$A$3:$A$5001,"&lt;="&amp;$B169,BD!$V$3:$V$5001,"&lt;&gt;")=0,"",SUMIFS(BD!$V$3:$V$5001,BD!$B$3:$B$5001,Q$140,BD!$A$3:$A$5001,_xlfn.MAXIFS(BD!$A$3:$A$5001,BD!$B$3:$B$5001,Q$140,BD!$A$3:$A$5001,"&gt;="&amp;$C$7,BD!$A$3:$A$5001,"&lt;="&amp;$B169,BD!$V$3:$V$5001,"&lt;&gt;"))))</f>
        <v/>
      </c>
      <c r="R169" s="54" t="str">
        <f>IF(OR($B169="",$A169&gt;$B$9,R$140=""),"",IF(COUNTIFS(BD!$B$3:$B$5001,R$140,BD!$A$3:$A$5001,"&gt;="&amp;$C$7,BD!$A$3:$A$5001,"&lt;="&amp;$B169,BD!$V$3:$V$5001,"&lt;&gt;")=0,"",SUMIFS(BD!$V$3:$V$5001,BD!$B$3:$B$5001,R$140,BD!$A$3:$A$5001,_xlfn.MAXIFS(BD!$A$3:$A$5001,BD!$B$3:$B$5001,R$140,BD!$A$3:$A$5001,"&gt;="&amp;$C$7,BD!$A$3:$A$5001,"&lt;="&amp;$B169,BD!$V$3:$V$5001,"&lt;&gt;"))))</f>
        <v/>
      </c>
      <c r="S169" s="54" t="str">
        <f>IF(OR($B169="",$A169&gt;$B$9,S$140=""),"",IF(COUNTIFS(BD!$B$3:$B$5001,S$140,BD!$A$3:$A$5001,"&gt;="&amp;$C$7,BD!$A$3:$A$5001,"&lt;="&amp;$B169,BD!$V$3:$V$5001,"&lt;&gt;")=0,"",SUMIFS(BD!$V$3:$V$5001,BD!$B$3:$B$5001,S$140,BD!$A$3:$A$5001,_xlfn.MAXIFS(BD!$A$3:$A$5001,BD!$B$3:$B$5001,S$140,BD!$A$3:$A$5001,"&gt;="&amp;$C$7,BD!$A$3:$A$5001,"&lt;="&amp;$B169,BD!$V$3:$V$5001,"&lt;&gt;"))))</f>
        <v/>
      </c>
      <c r="T169" s="54" t="str">
        <f>IF(OR($B169="",$A169&gt;$B$9,T$140=""),"",IF(COUNTIFS(BD!$B$3:$B$5001,T$140,BD!$A$3:$A$5001,"&gt;="&amp;$C$7,BD!$A$3:$A$5001,"&lt;="&amp;$B169,BD!$V$3:$V$5001,"&lt;&gt;")=0,"",SUMIFS(BD!$V$3:$V$5001,BD!$B$3:$B$5001,T$140,BD!$A$3:$A$5001,_xlfn.MAXIFS(BD!$A$3:$A$5001,BD!$B$3:$B$5001,T$140,BD!$A$3:$A$5001,"&gt;="&amp;$C$7,BD!$A$3:$A$5001,"&lt;="&amp;$B169,BD!$V$3:$V$5001,"&lt;&gt;"))))</f>
        <v/>
      </c>
      <c r="U169" s="54" t="str">
        <f>IF(OR($B169="",$A169&gt;$B$9,U$140=""),"",IF(COUNTIFS(BD!$B$3:$B$5001,U$140,BD!$A$3:$A$5001,"&gt;="&amp;$C$7,BD!$A$3:$A$5001,"&lt;="&amp;$B169,BD!$V$3:$V$5001,"&lt;&gt;")=0,"",SUMIFS(BD!$V$3:$V$5001,BD!$B$3:$B$5001,U$140,BD!$A$3:$A$5001,_xlfn.MAXIFS(BD!$A$3:$A$5001,BD!$B$3:$B$5001,U$140,BD!$A$3:$A$5001,"&gt;="&amp;$C$7,BD!$A$3:$A$5001,"&lt;="&amp;$B169,BD!$V$3:$V$5001,"&lt;&gt;"))))</f>
        <v/>
      </c>
      <c r="V169" s="54" t="str">
        <f>IF(OR($B169="",$A169&gt;$B$9,V$140=""),"",IF(COUNTIFS(BD!$B$3:$B$5001,V$140,BD!$A$3:$A$5001,"&gt;="&amp;$C$7,BD!$A$3:$A$5001,"&lt;="&amp;$B169,BD!$V$3:$V$5001,"&lt;&gt;")=0,"",SUMIFS(BD!$V$3:$V$5001,BD!$B$3:$B$5001,V$140,BD!$A$3:$A$5001,_xlfn.MAXIFS(BD!$A$3:$A$5001,BD!$B$3:$B$5001,V$140,BD!$A$3:$A$5001,"&gt;="&amp;$C$7,BD!$A$3:$A$5001,"&lt;="&amp;$B169,BD!$V$3:$V$5001,"&lt;&gt;"))))</f>
        <v/>
      </c>
    </row>
    <row r="170">
      <c r="A170" s="48">
        <v>30</v>
      </c>
      <c r="B170" s="53">
        <f>$B$41</f>
        <v>46325</v>
      </c>
      <c r="C170" s="54" t="str">
        <f>IF(OR($B170="",$A170&gt;$B$9,C$140=""),"",IF(COUNTIFS(BD!$B$3:$B$5001,C$140,BD!$A$3:$A$5001,"&gt;="&amp;$C$7,BD!$A$3:$A$5001,"&lt;="&amp;$B170,BD!$V$3:$V$5001,"&lt;&gt;")=0,"",SUMIFS(BD!$V$3:$V$5001,BD!$B$3:$B$5001,C$140,BD!$A$3:$A$5001,_xlfn.MAXIFS(BD!$A$3:$A$5001,BD!$B$3:$B$5001,C$140,BD!$A$3:$A$5001,"&gt;="&amp;$C$7,BD!$A$3:$A$5001,"&lt;="&amp;$B170,BD!$V$3:$V$5001,"&lt;&gt;"))))</f>
        <v/>
      </c>
      <c r="D170" s="54" t="str">
        <f>IF(OR($B170="",$A170&gt;$B$9,D$140=""),"",IF(COUNTIFS(BD!$B$3:$B$5001,D$140,BD!$A$3:$A$5001,"&gt;="&amp;$C$7,BD!$A$3:$A$5001,"&lt;="&amp;$B170,BD!$V$3:$V$5001,"&lt;&gt;")=0,"",SUMIFS(BD!$V$3:$V$5001,BD!$B$3:$B$5001,D$140,BD!$A$3:$A$5001,_xlfn.MAXIFS(BD!$A$3:$A$5001,BD!$B$3:$B$5001,D$140,BD!$A$3:$A$5001,"&gt;="&amp;$C$7,BD!$A$3:$A$5001,"&lt;="&amp;$B170,BD!$V$3:$V$5001,"&lt;&gt;"))))</f>
        <v/>
      </c>
      <c r="E170" s="54" t="str">
        <f>IF(OR($B170="",$A170&gt;$B$9,E$140=""),"",IF(COUNTIFS(BD!$B$3:$B$5001,E$140,BD!$A$3:$A$5001,"&gt;="&amp;$C$7,BD!$A$3:$A$5001,"&lt;="&amp;$B170,BD!$V$3:$V$5001,"&lt;&gt;")=0,"",SUMIFS(BD!$V$3:$V$5001,BD!$B$3:$B$5001,E$140,BD!$A$3:$A$5001,_xlfn.MAXIFS(BD!$A$3:$A$5001,BD!$B$3:$B$5001,E$140,BD!$A$3:$A$5001,"&gt;="&amp;$C$7,BD!$A$3:$A$5001,"&lt;="&amp;$B170,BD!$V$3:$V$5001,"&lt;&gt;"))))</f>
        <v/>
      </c>
      <c r="F170" s="54" t="str">
        <f>IF(OR($B170="",$A170&gt;$B$9,F$140=""),"",IF(COUNTIFS(BD!$B$3:$B$5001,F$140,BD!$A$3:$A$5001,"&gt;="&amp;$C$7,BD!$A$3:$A$5001,"&lt;="&amp;$B170,BD!$V$3:$V$5001,"&lt;&gt;")=0,"",SUMIFS(BD!$V$3:$V$5001,BD!$B$3:$B$5001,F$140,BD!$A$3:$A$5001,_xlfn.MAXIFS(BD!$A$3:$A$5001,BD!$B$3:$B$5001,F$140,BD!$A$3:$A$5001,"&gt;="&amp;$C$7,BD!$A$3:$A$5001,"&lt;="&amp;$B170,BD!$V$3:$V$5001,"&lt;&gt;"))))</f>
        <v/>
      </c>
      <c r="G170" s="54" t="str">
        <f>IF(OR($B170="",$A170&gt;$B$9,G$140=""),"",IF(COUNTIFS(BD!$B$3:$B$5001,G$140,BD!$A$3:$A$5001,"&gt;="&amp;$C$7,BD!$A$3:$A$5001,"&lt;="&amp;$B170,BD!$V$3:$V$5001,"&lt;&gt;")=0,"",SUMIFS(BD!$V$3:$V$5001,BD!$B$3:$B$5001,G$140,BD!$A$3:$A$5001,_xlfn.MAXIFS(BD!$A$3:$A$5001,BD!$B$3:$B$5001,G$140,BD!$A$3:$A$5001,"&gt;="&amp;$C$7,BD!$A$3:$A$5001,"&lt;="&amp;$B170,BD!$V$3:$V$5001,"&lt;&gt;"))))</f>
        <v/>
      </c>
      <c r="H170" s="54" t="str">
        <f>IF(OR($B170="",$A170&gt;$B$9,H$140=""),"",IF(COUNTIFS(BD!$B$3:$B$5001,H$140,BD!$A$3:$A$5001,"&gt;="&amp;$C$7,BD!$A$3:$A$5001,"&lt;="&amp;$B170,BD!$V$3:$V$5001,"&lt;&gt;")=0,"",SUMIFS(BD!$V$3:$V$5001,BD!$B$3:$B$5001,H$140,BD!$A$3:$A$5001,_xlfn.MAXIFS(BD!$A$3:$A$5001,BD!$B$3:$B$5001,H$140,BD!$A$3:$A$5001,"&gt;="&amp;$C$7,BD!$A$3:$A$5001,"&lt;="&amp;$B170,BD!$V$3:$V$5001,"&lt;&gt;"))))</f>
        <v/>
      </c>
      <c r="I170" s="54" t="str">
        <f>IF(OR($B170="",$A170&gt;$B$9,I$140=""),"",IF(COUNTIFS(BD!$B$3:$B$5001,I$140,BD!$A$3:$A$5001,"&gt;="&amp;$C$7,BD!$A$3:$A$5001,"&lt;="&amp;$B170,BD!$V$3:$V$5001,"&lt;&gt;")=0,"",SUMIFS(BD!$V$3:$V$5001,BD!$B$3:$B$5001,I$140,BD!$A$3:$A$5001,_xlfn.MAXIFS(BD!$A$3:$A$5001,BD!$B$3:$B$5001,I$140,BD!$A$3:$A$5001,"&gt;="&amp;$C$7,BD!$A$3:$A$5001,"&lt;="&amp;$B170,BD!$V$3:$V$5001,"&lt;&gt;"))))</f>
        <v/>
      </c>
      <c r="J170" s="54" t="str">
        <f>IF(OR($B170="",$A170&gt;$B$9,J$140=""),"",IF(COUNTIFS(BD!$B$3:$B$5001,J$140,BD!$A$3:$A$5001,"&gt;="&amp;$C$7,BD!$A$3:$A$5001,"&lt;="&amp;$B170,BD!$V$3:$V$5001,"&lt;&gt;")=0,"",SUMIFS(BD!$V$3:$V$5001,BD!$B$3:$B$5001,J$140,BD!$A$3:$A$5001,_xlfn.MAXIFS(BD!$A$3:$A$5001,BD!$B$3:$B$5001,J$140,BD!$A$3:$A$5001,"&gt;="&amp;$C$7,BD!$A$3:$A$5001,"&lt;="&amp;$B170,BD!$V$3:$V$5001,"&lt;&gt;"))))</f>
        <v/>
      </c>
      <c r="K170" s="54" t="str">
        <f>IF(OR($B170="",$A170&gt;$B$9,K$140=""),"",IF(COUNTIFS(BD!$B$3:$B$5001,K$140,BD!$A$3:$A$5001,"&gt;="&amp;$C$7,BD!$A$3:$A$5001,"&lt;="&amp;$B170,BD!$V$3:$V$5001,"&lt;&gt;")=0,"",SUMIFS(BD!$V$3:$V$5001,BD!$B$3:$B$5001,K$140,BD!$A$3:$A$5001,_xlfn.MAXIFS(BD!$A$3:$A$5001,BD!$B$3:$B$5001,K$140,BD!$A$3:$A$5001,"&gt;="&amp;$C$7,BD!$A$3:$A$5001,"&lt;="&amp;$B170,BD!$V$3:$V$5001,"&lt;&gt;"))))</f>
        <v/>
      </c>
      <c r="L170" s="54" t="str">
        <f>IF(OR($B170="",$A170&gt;$B$9,L$140=""),"",IF(COUNTIFS(BD!$B$3:$B$5001,L$140,BD!$A$3:$A$5001,"&gt;="&amp;$C$7,BD!$A$3:$A$5001,"&lt;="&amp;$B170,BD!$V$3:$V$5001,"&lt;&gt;")=0,"",SUMIFS(BD!$V$3:$V$5001,BD!$B$3:$B$5001,L$140,BD!$A$3:$A$5001,_xlfn.MAXIFS(BD!$A$3:$A$5001,BD!$B$3:$B$5001,L$140,BD!$A$3:$A$5001,"&gt;="&amp;$C$7,BD!$A$3:$A$5001,"&lt;="&amp;$B170,BD!$V$3:$V$5001,"&lt;&gt;"))))</f>
        <v/>
      </c>
      <c r="M170" s="54" t="str">
        <f>IF(OR($B170="",$A170&gt;$B$9,M$140=""),"",IF(COUNTIFS(BD!$B$3:$B$5001,M$140,BD!$A$3:$A$5001,"&gt;="&amp;$C$7,BD!$A$3:$A$5001,"&lt;="&amp;$B170,BD!$V$3:$V$5001,"&lt;&gt;")=0,"",SUMIFS(BD!$V$3:$V$5001,BD!$B$3:$B$5001,M$140,BD!$A$3:$A$5001,_xlfn.MAXIFS(BD!$A$3:$A$5001,BD!$B$3:$B$5001,M$140,BD!$A$3:$A$5001,"&gt;="&amp;$C$7,BD!$A$3:$A$5001,"&lt;="&amp;$B170,BD!$V$3:$V$5001,"&lt;&gt;"))))</f>
        <v/>
      </c>
      <c r="N170" s="54" t="str">
        <f>IF(OR($B170="",$A170&gt;$B$9,N$140=""),"",IF(COUNTIFS(BD!$B$3:$B$5001,N$140,BD!$A$3:$A$5001,"&gt;="&amp;$C$7,BD!$A$3:$A$5001,"&lt;="&amp;$B170,BD!$V$3:$V$5001,"&lt;&gt;")=0,"",SUMIFS(BD!$V$3:$V$5001,BD!$B$3:$B$5001,N$140,BD!$A$3:$A$5001,_xlfn.MAXIFS(BD!$A$3:$A$5001,BD!$B$3:$B$5001,N$140,BD!$A$3:$A$5001,"&gt;="&amp;$C$7,BD!$A$3:$A$5001,"&lt;="&amp;$B170,BD!$V$3:$V$5001,"&lt;&gt;"))))</f>
        <v/>
      </c>
      <c r="O170" s="54" t="str">
        <f>IF(OR($B170="",$A170&gt;$B$9,O$140=""),"",IF(COUNTIFS(BD!$B$3:$B$5001,O$140,BD!$A$3:$A$5001,"&gt;="&amp;$C$7,BD!$A$3:$A$5001,"&lt;="&amp;$B170,BD!$V$3:$V$5001,"&lt;&gt;")=0,"",SUMIFS(BD!$V$3:$V$5001,BD!$B$3:$B$5001,O$140,BD!$A$3:$A$5001,_xlfn.MAXIFS(BD!$A$3:$A$5001,BD!$B$3:$B$5001,O$140,BD!$A$3:$A$5001,"&gt;="&amp;$C$7,BD!$A$3:$A$5001,"&lt;="&amp;$B170,BD!$V$3:$V$5001,"&lt;&gt;"))))</f>
        <v/>
      </c>
      <c r="P170" s="54" t="str">
        <f>IF(OR($B170="",$A170&gt;$B$9,P$140=""),"",IF(COUNTIFS(BD!$B$3:$B$5001,P$140,BD!$A$3:$A$5001,"&gt;="&amp;$C$7,BD!$A$3:$A$5001,"&lt;="&amp;$B170,BD!$V$3:$V$5001,"&lt;&gt;")=0,"",SUMIFS(BD!$V$3:$V$5001,BD!$B$3:$B$5001,P$140,BD!$A$3:$A$5001,_xlfn.MAXIFS(BD!$A$3:$A$5001,BD!$B$3:$B$5001,P$140,BD!$A$3:$A$5001,"&gt;="&amp;$C$7,BD!$A$3:$A$5001,"&lt;="&amp;$B170,BD!$V$3:$V$5001,"&lt;&gt;"))))</f>
        <v/>
      </c>
      <c r="Q170" s="54" t="str">
        <f>IF(OR($B170="",$A170&gt;$B$9,Q$140=""),"",IF(COUNTIFS(BD!$B$3:$B$5001,Q$140,BD!$A$3:$A$5001,"&gt;="&amp;$C$7,BD!$A$3:$A$5001,"&lt;="&amp;$B170,BD!$V$3:$V$5001,"&lt;&gt;")=0,"",SUMIFS(BD!$V$3:$V$5001,BD!$B$3:$B$5001,Q$140,BD!$A$3:$A$5001,_xlfn.MAXIFS(BD!$A$3:$A$5001,BD!$B$3:$B$5001,Q$140,BD!$A$3:$A$5001,"&gt;="&amp;$C$7,BD!$A$3:$A$5001,"&lt;="&amp;$B170,BD!$V$3:$V$5001,"&lt;&gt;"))))</f>
        <v/>
      </c>
      <c r="R170" s="54" t="str">
        <f>IF(OR($B170="",$A170&gt;$B$9,R$140=""),"",IF(COUNTIFS(BD!$B$3:$B$5001,R$140,BD!$A$3:$A$5001,"&gt;="&amp;$C$7,BD!$A$3:$A$5001,"&lt;="&amp;$B170,BD!$V$3:$V$5001,"&lt;&gt;")=0,"",SUMIFS(BD!$V$3:$V$5001,BD!$B$3:$B$5001,R$140,BD!$A$3:$A$5001,_xlfn.MAXIFS(BD!$A$3:$A$5001,BD!$B$3:$B$5001,R$140,BD!$A$3:$A$5001,"&gt;="&amp;$C$7,BD!$A$3:$A$5001,"&lt;="&amp;$B170,BD!$V$3:$V$5001,"&lt;&gt;"))))</f>
        <v/>
      </c>
      <c r="S170" s="54" t="str">
        <f>IF(OR($B170="",$A170&gt;$B$9,S$140=""),"",IF(COUNTIFS(BD!$B$3:$B$5001,S$140,BD!$A$3:$A$5001,"&gt;="&amp;$C$7,BD!$A$3:$A$5001,"&lt;="&amp;$B170,BD!$V$3:$V$5001,"&lt;&gt;")=0,"",SUMIFS(BD!$V$3:$V$5001,BD!$B$3:$B$5001,S$140,BD!$A$3:$A$5001,_xlfn.MAXIFS(BD!$A$3:$A$5001,BD!$B$3:$B$5001,S$140,BD!$A$3:$A$5001,"&gt;="&amp;$C$7,BD!$A$3:$A$5001,"&lt;="&amp;$B170,BD!$V$3:$V$5001,"&lt;&gt;"))))</f>
        <v/>
      </c>
      <c r="T170" s="54" t="str">
        <f>IF(OR($B170="",$A170&gt;$B$9,T$140=""),"",IF(COUNTIFS(BD!$B$3:$B$5001,T$140,BD!$A$3:$A$5001,"&gt;="&amp;$C$7,BD!$A$3:$A$5001,"&lt;="&amp;$B170,BD!$V$3:$V$5001,"&lt;&gt;")=0,"",SUMIFS(BD!$V$3:$V$5001,BD!$B$3:$B$5001,T$140,BD!$A$3:$A$5001,_xlfn.MAXIFS(BD!$A$3:$A$5001,BD!$B$3:$B$5001,T$140,BD!$A$3:$A$5001,"&gt;="&amp;$C$7,BD!$A$3:$A$5001,"&lt;="&amp;$B170,BD!$V$3:$V$5001,"&lt;&gt;"))))</f>
        <v/>
      </c>
      <c r="U170" s="54" t="str">
        <f>IF(OR($B170="",$A170&gt;$B$9,U$140=""),"",IF(COUNTIFS(BD!$B$3:$B$5001,U$140,BD!$A$3:$A$5001,"&gt;="&amp;$C$7,BD!$A$3:$A$5001,"&lt;="&amp;$B170,BD!$V$3:$V$5001,"&lt;&gt;")=0,"",SUMIFS(BD!$V$3:$V$5001,BD!$B$3:$B$5001,U$140,BD!$A$3:$A$5001,_xlfn.MAXIFS(BD!$A$3:$A$5001,BD!$B$3:$B$5001,U$140,BD!$A$3:$A$5001,"&gt;="&amp;$C$7,BD!$A$3:$A$5001,"&lt;="&amp;$B170,BD!$V$3:$V$5001,"&lt;&gt;"))))</f>
        <v/>
      </c>
      <c r="V170" s="54" t="str">
        <f>IF(OR($B170="",$A170&gt;$B$9,V$140=""),"",IF(COUNTIFS(BD!$B$3:$B$5001,V$140,BD!$A$3:$A$5001,"&gt;="&amp;$C$7,BD!$A$3:$A$5001,"&lt;="&amp;$B170,BD!$V$3:$V$5001,"&lt;&gt;")=0,"",SUMIFS(BD!$V$3:$V$5001,BD!$B$3:$B$5001,V$140,BD!$A$3:$A$5001,_xlfn.MAXIFS(BD!$A$3:$A$5001,BD!$B$3:$B$5001,V$140,BD!$A$3:$A$5001,"&gt;="&amp;$C$7,BD!$A$3:$A$5001,"&lt;="&amp;$B170,BD!$V$3:$V$5001,"&lt;&gt;"))))</f>
        <v/>
      </c>
    </row>
    <row r="171">
      <c r="A171" s="48">
        <v>31</v>
      </c>
      <c r="B171" s="53">
        <f>$B$42</f>
        <v>46326</v>
      </c>
      <c r="C171" s="54" t="str">
        <f>IF(OR($B171="",$A171&gt;$B$9,C$140=""),"",IF(COUNTIFS(BD!$B$3:$B$5001,C$140,BD!$A$3:$A$5001,"&gt;="&amp;$C$7,BD!$A$3:$A$5001,"&lt;="&amp;$B171,BD!$V$3:$V$5001,"&lt;&gt;")=0,"",SUMIFS(BD!$V$3:$V$5001,BD!$B$3:$B$5001,C$140,BD!$A$3:$A$5001,_xlfn.MAXIFS(BD!$A$3:$A$5001,BD!$B$3:$B$5001,C$140,BD!$A$3:$A$5001,"&gt;="&amp;$C$7,BD!$A$3:$A$5001,"&lt;="&amp;$B171,BD!$V$3:$V$5001,"&lt;&gt;"))))</f>
        <v/>
      </c>
      <c r="D171" s="54" t="str">
        <f>IF(OR($B171="",$A171&gt;$B$9,D$140=""),"",IF(COUNTIFS(BD!$B$3:$B$5001,D$140,BD!$A$3:$A$5001,"&gt;="&amp;$C$7,BD!$A$3:$A$5001,"&lt;="&amp;$B171,BD!$V$3:$V$5001,"&lt;&gt;")=0,"",SUMIFS(BD!$V$3:$V$5001,BD!$B$3:$B$5001,D$140,BD!$A$3:$A$5001,_xlfn.MAXIFS(BD!$A$3:$A$5001,BD!$B$3:$B$5001,D$140,BD!$A$3:$A$5001,"&gt;="&amp;$C$7,BD!$A$3:$A$5001,"&lt;="&amp;$B171,BD!$V$3:$V$5001,"&lt;&gt;"))))</f>
        <v/>
      </c>
      <c r="E171" s="54" t="str">
        <f>IF(OR($B171="",$A171&gt;$B$9,E$140=""),"",IF(COUNTIFS(BD!$B$3:$B$5001,E$140,BD!$A$3:$A$5001,"&gt;="&amp;$C$7,BD!$A$3:$A$5001,"&lt;="&amp;$B171,BD!$V$3:$V$5001,"&lt;&gt;")=0,"",SUMIFS(BD!$V$3:$V$5001,BD!$B$3:$B$5001,E$140,BD!$A$3:$A$5001,_xlfn.MAXIFS(BD!$A$3:$A$5001,BD!$B$3:$B$5001,E$140,BD!$A$3:$A$5001,"&gt;="&amp;$C$7,BD!$A$3:$A$5001,"&lt;="&amp;$B171,BD!$V$3:$V$5001,"&lt;&gt;"))))</f>
        <v/>
      </c>
      <c r="F171" s="54" t="str">
        <f>IF(OR($B171="",$A171&gt;$B$9,F$140=""),"",IF(COUNTIFS(BD!$B$3:$B$5001,F$140,BD!$A$3:$A$5001,"&gt;="&amp;$C$7,BD!$A$3:$A$5001,"&lt;="&amp;$B171,BD!$V$3:$V$5001,"&lt;&gt;")=0,"",SUMIFS(BD!$V$3:$V$5001,BD!$B$3:$B$5001,F$140,BD!$A$3:$A$5001,_xlfn.MAXIFS(BD!$A$3:$A$5001,BD!$B$3:$B$5001,F$140,BD!$A$3:$A$5001,"&gt;="&amp;$C$7,BD!$A$3:$A$5001,"&lt;="&amp;$B171,BD!$V$3:$V$5001,"&lt;&gt;"))))</f>
        <v/>
      </c>
      <c r="G171" s="54" t="str">
        <f>IF(OR($B171="",$A171&gt;$B$9,G$140=""),"",IF(COUNTIFS(BD!$B$3:$B$5001,G$140,BD!$A$3:$A$5001,"&gt;="&amp;$C$7,BD!$A$3:$A$5001,"&lt;="&amp;$B171,BD!$V$3:$V$5001,"&lt;&gt;")=0,"",SUMIFS(BD!$V$3:$V$5001,BD!$B$3:$B$5001,G$140,BD!$A$3:$A$5001,_xlfn.MAXIFS(BD!$A$3:$A$5001,BD!$B$3:$B$5001,G$140,BD!$A$3:$A$5001,"&gt;="&amp;$C$7,BD!$A$3:$A$5001,"&lt;="&amp;$B171,BD!$V$3:$V$5001,"&lt;&gt;"))))</f>
        <v/>
      </c>
      <c r="H171" s="54" t="str">
        <f>IF(OR($B171="",$A171&gt;$B$9,H$140=""),"",IF(COUNTIFS(BD!$B$3:$B$5001,H$140,BD!$A$3:$A$5001,"&gt;="&amp;$C$7,BD!$A$3:$A$5001,"&lt;="&amp;$B171,BD!$V$3:$V$5001,"&lt;&gt;")=0,"",SUMIFS(BD!$V$3:$V$5001,BD!$B$3:$B$5001,H$140,BD!$A$3:$A$5001,_xlfn.MAXIFS(BD!$A$3:$A$5001,BD!$B$3:$B$5001,H$140,BD!$A$3:$A$5001,"&gt;="&amp;$C$7,BD!$A$3:$A$5001,"&lt;="&amp;$B171,BD!$V$3:$V$5001,"&lt;&gt;"))))</f>
        <v/>
      </c>
      <c r="I171" s="54" t="str">
        <f>IF(OR($B171="",$A171&gt;$B$9,I$140=""),"",IF(COUNTIFS(BD!$B$3:$B$5001,I$140,BD!$A$3:$A$5001,"&gt;="&amp;$C$7,BD!$A$3:$A$5001,"&lt;="&amp;$B171,BD!$V$3:$V$5001,"&lt;&gt;")=0,"",SUMIFS(BD!$V$3:$V$5001,BD!$B$3:$B$5001,I$140,BD!$A$3:$A$5001,_xlfn.MAXIFS(BD!$A$3:$A$5001,BD!$B$3:$B$5001,I$140,BD!$A$3:$A$5001,"&gt;="&amp;$C$7,BD!$A$3:$A$5001,"&lt;="&amp;$B171,BD!$V$3:$V$5001,"&lt;&gt;"))))</f>
        <v/>
      </c>
      <c r="J171" s="54" t="str">
        <f>IF(OR($B171="",$A171&gt;$B$9,J$140=""),"",IF(COUNTIFS(BD!$B$3:$B$5001,J$140,BD!$A$3:$A$5001,"&gt;="&amp;$C$7,BD!$A$3:$A$5001,"&lt;="&amp;$B171,BD!$V$3:$V$5001,"&lt;&gt;")=0,"",SUMIFS(BD!$V$3:$V$5001,BD!$B$3:$B$5001,J$140,BD!$A$3:$A$5001,_xlfn.MAXIFS(BD!$A$3:$A$5001,BD!$B$3:$B$5001,J$140,BD!$A$3:$A$5001,"&gt;="&amp;$C$7,BD!$A$3:$A$5001,"&lt;="&amp;$B171,BD!$V$3:$V$5001,"&lt;&gt;"))))</f>
        <v/>
      </c>
      <c r="K171" s="54" t="str">
        <f>IF(OR($B171="",$A171&gt;$B$9,K$140=""),"",IF(COUNTIFS(BD!$B$3:$B$5001,K$140,BD!$A$3:$A$5001,"&gt;="&amp;$C$7,BD!$A$3:$A$5001,"&lt;="&amp;$B171,BD!$V$3:$V$5001,"&lt;&gt;")=0,"",SUMIFS(BD!$V$3:$V$5001,BD!$B$3:$B$5001,K$140,BD!$A$3:$A$5001,_xlfn.MAXIFS(BD!$A$3:$A$5001,BD!$B$3:$B$5001,K$140,BD!$A$3:$A$5001,"&gt;="&amp;$C$7,BD!$A$3:$A$5001,"&lt;="&amp;$B171,BD!$V$3:$V$5001,"&lt;&gt;"))))</f>
        <v/>
      </c>
      <c r="L171" s="54" t="str">
        <f>IF(OR($B171="",$A171&gt;$B$9,L$140=""),"",IF(COUNTIFS(BD!$B$3:$B$5001,L$140,BD!$A$3:$A$5001,"&gt;="&amp;$C$7,BD!$A$3:$A$5001,"&lt;="&amp;$B171,BD!$V$3:$V$5001,"&lt;&gt;")=0,"",SUMIFS(BD!$V$3:$V$5001,BD!$B$3:$B$5001,L$140,BD!$A$3:$A$5001,_xlfn.MAXIFS(BD!$A$3:$A$5001,BD!$B$3:$B$5001,L$140,BD!$A$3:$A$5001,"&gt;="&amp;$C$7,BD!$A$3:$A$5001,"&lt;="&amp;$B171,BD!$V$3:$V$5001,"&lt;&gt;"))))</f>
        <v/>
      </c>
      <c r="M171" s="54" t="str">
        <f>IF(OR($B171="",$A171&gt;$B$9,M$140=""),"",IF(COUNTIFS(BD!$B$3:$B$5001,M$140,BD!$A$3:$A$5001,"&gt;="&amp;$C$7,BD!$A$3:$A$5001,"&lt;="&amp;$B171,BD!$V$3:$V$5001,"&lt;&gt;")=0,"",SUMIFS(BD!$V$3:$V$5001,BD!$B$3:$B$5001,M$140,BD!$A$3:$A$5001,_xlfn.MAXIFS(BD!$A$3:$A$5001,BD!$B$3:$B$5001,M$140,BD!$A$3:$A$5001,"&gt;="&amp;$C$7,BD!$A$3:$A$5001,"&lt;="&amp;$B171,BD!$V$3:$V$5001,"&lt;&gt;"))))</f>
        <v/>
      </c>
      <c r="N171" s="54" t="str">
        <f>IF(OR($B171="",$A171&gt;$B$9,N$140=""),"",IF(COUNTIFS(BD!$B$3:$B$5001,N$140,BD!$A$3:$A$5001,"&gt;="&amp;$C$7,BD!$A$3:$A$5001,"&lt;="&amp;$B171,BD!$V$3:$V$5001,"&lt;&gt;")=0,"",SUMIFS(BD!$V$3:$V$5001,BD!$B$3:$B$5001,N$140,BD!$A$3:$A$5001,_xlfn.MAXIFS(BD!$A$3:$A$5001,BD!$B$3:$B$5001,N$140,BD!$A$3:$A$5001,"&gt;="&amp;$C$7,BD!$A$3:$A$5001,"&lt;="&amp;$B171,BD!$V$3:$V$5001,"&lt;&gt;"))))</f>
        <v/>
      </c>
      <c r="O171" s="54" t="str">
        <f>IF(OR($B171="",$A171&gt;$B$9,O$140=""),"",IF(COUNTIFS(BD!$B$3:$B$5001,O$140,BD!$A$3:$A$5001,"&gt;="&amp;$C$7,BD!$A$3:$A$5001,"&lt;="&amp;$B171,BD!$V$3:$V$5001,"&lt;&gt;")=0,"",SUMIFS(BD!$V$3:$V$5001,BD!$B$3:$B$5001,O$140,BD!$A$3:$A$5001,_xlfn.MAXIFS(BD!$A$3:$A$5001,BD!$B$3:$B$5001,O$140,BD!$A$3:$A$5001,"&gt;="&amp;$C$7,BD!$A$3:$A$5001,"&lt;="&amp;$B171,BD!$V$3:$V$5001,"&lt;&gt;"))))</f>
        <v/>
      </c>
      <c r="P171" s="54" t="str">
        <f>IF(OR($B171="",$A171&gt;$B$9,P$140=""),"",IF(COUNTIFS(BD!$B$3:$B$5001,P$140,BD!$A$3:$A$5001,"&gt;="&amp;$C$7,BD!$A$3:$A$5001,"&lt;="&amp;$B171,BD!$V$3:$V$5001,"&lt;&gt;")=0,"",SUMIFS(BD!$V$3:$V$5001,BD!$B$3:$B$5001,P$140,BD!$A$3:$A$5001,_xlfn.MAXIFS(BD!$A$3:$A$5001,BD!$B$3:$B$5001,P$140,BD!$A$3:$A$5001,"&gt;="&amp;$C$7,BD!$A$3:$A$5001,"&lt;="&amp;$B171,BD!$V$3:$V$5001,"&lt;&gt;"))))</f>
        <v/>
      </c>
      <c r="Q171" s="54" t="str">
        <f>IF(OR($B171="",$A171&gt;$B$9,Q$140=""),"",IF(COUNTIFS(BD!$B$3:$B$5001,Q$140,BD!$A$3:$A$5001,"&gt;="&amp;$C$7,BD!$A$3:$A$5001,"&lt;="&amp;$B171,BD!$V$3:$V$5001,"&lt;&gt;")=0,"",SUMIFS(BD!$V$3:$V$5001,BD!$B$3:$B$5001,Q$140,BD!$A$3:$A$5001,_xlfn.MAXIFS(BD!$A$3:$A$5001,BD!$B$3:$B$5001,Q$140,BD!$A$3:$A$5001,"&gt;="&amp;$C$7,BD!$A$3:$A$5001,"&lt;="&amp;$B171,BD!$V$3:$V$5001,"&lt;&gt;"))))</f>
        <v/>
      </c>
      <c r="R171" s="54" t="str">
        <f>IF(OR($B171="",$A171&gt;$B$9,R$140=""),"",IF(COUNTIFS(BD!$B$3:$B$5001,R$140,BD!$A$3:$A$5001,"&gt;="&amp;$C$7,BD!$A$3:$A$5001,"&lt;="&amp;$B171,BD!$V$3:$V$5001,"&lt;&gt;")=0,"",SUMIFS(BD!$V$3:$V$5001,BD!$B$3:$B$5001,R$140,BD!$A$3:$A$5001,_xlfn.MAXIFS(BD!$A$3:$A$5001,BD!$B$3:$B$5001,R$140,BD!$A$3:$A$5001,"&gt;="&amp;$C$7,BD!$A$3:$A$5001,"&lt;="&amp;$B171,BD!$V$3:$V$5001,"&lt;&gt;"))))</f>
        <v/>
      </c>
      <c r="S171" s="54" t="str">
        <f>IF(OR($B171="",$A171&gt;$B$9,S$140=""),"",IF(COUNTIFS(BD!$B$3:$B$5001,S$140,BD!$A$3:$A$5001,"&gt;="&amp;$C$7,BD!$A$3:$A$5001,"&lt;="&amp;$B171,BD!$V$3:$V$5001,"&lt;&gt;")=0,"",SUMIFS(BD!$V$3:$V$5001,BD!$B$3:$B$5001,S$140,BD!$A$3:$A$5001,_xlfn.MAXIFS(BD!$A$3:$A$5001,BD!$B$3:$B$5001,S$140,BD!$A$3:$A$5001,"&gt;="&amp;$C$7,BD!$A$3:$A$5001,"&lt;="&amp;$B171,BD!$V$3:$V$5001,"&lt;&gt;"))))</f>
        <v/>
      </c>
      <c r="T171" s="54" t="str">
        <f>IF(OR($B171="",$A171&gt;$B$9,T$140=""),"",IF(COUNTIFS(BD!$B$3:$B$5001,T$140,BD!$A$3:$A$5001,"&gt;="&amp;$C$7,BD!$A$3:$A$5001,"&lt;="&amp;$B171,BD!$V$3:$V$5001,"&lt;&gt;")=0,"",SUMIFS(BD!$V$3:$V$5001,BD!$B$3:$B$5001,T$140,BD!$A$3:$A$5001,_xlfn.MAXIFS(BD!$A$3:$A$5001,BD!$B$3:$B$5001,T$140,BD!$A$3:$A$5001,"&gt;="&amp;$C$7,BD!$A$3:$A$5001,"&lt;="&amp;$B171,BD!$V$3:$V$5001,"&lt;&gt;"))))</f>
        <v/>
      </c>
      <c r="U171" s="54" t="str">
        <f>IF(OR($B171="",$A171&gt;$B$9,U$140=""),"",IF(COUNTIFS(BD!$B$3:$B$5001,U$140,BD!$A$3:$A$5001,"&gt;="&amp;$C$7,BD!$A$3:$A$5001,"&lt;="&amp;$B171,BD!$V$3:$V$5001,"&lt;&gt;")=0,"",SUMIFS(BD!$V$3:$V$5001,BD!$B$3:$B$5001,U$140,BD!$A$3:$A$5001,_xlfn.MAXIFS(BD!$A$3:$A$5001,BD!$B$3:$B$5001,U$140,BD!$A$3:$A$5001,"&gt;="&amp;$C$7,BD!$A$3:$A$5001,"&lt;="&amp;$B171,BD!$V$3:$V$5001,"&lt;&gt;"))))</f>
        <v/>
      </c>
      <c r="V171" s="54" t="str">
        <f>IF(OR($B171="",$A171&gt;$B$9,V$140=""),"",IF(COUNTIFS(BD!$B$3:$B$5001,V$140,BD!$A$3:$A$5001,"&gt;="&amp;$C$7,BD!$A$3:$A$5001,"&lt;="&amp;$B171,BD!$V$3:$V$5001,"&lt;&gt;")=0,"",SUMIFS(BD!$V$3:$V$5001,BD!$B$3:$B$5001,V$140,BD!$A$3:$A$5001,_xlfn.MAXIFS(BD!$A$3:$A$5001,BD!$B$3:$B$5001,V$140,BD!$A$3:$A$5001,"&gt;="&amp;$C$7,BD!$A$3:$A$5001,"&lt;="&amp;$B171,BD!$V$3:$V$5001,"&lt;&gt;"))))</f>
        <v/>
      </c>
    </row>
    <row r="172">
      <c r="A172" s="55" t="inlineStr">
        <is>
          <t xml:space="preserve">Mês anterior (último)</t>
        </is>
      </c>
      <c r="C172" s="56" t="str">
        <f>IF(C$140="","",IF(COUNTIFS(BD!$B$3:$B$5001,C$140,BD!$A$3:$A$5001,"&gt;="&amp;$C$8,BD!$A$3:$A$5001,"&lt;="&amp;$D$8,BD!$V$3:$V$5001,"&lt;&gt;")=0,"",SUMIFS(BD!$V$3:$V$5001,BD!$B$3:$B$5001,C$140,BD!$A$3:$A$5001,_xlfn.MAXIFS(BD!$A$3:$A$5001,BD!$B$3:$B$5001,C$140,BD!$A$3:$A$5001,"&gt;="&amp;$C$8,BD!$A$3:$A$5001,"&lt;="&amp;$D$8,BD!$V$3:$V$5001,"&lt;&gt;"))))</f>
        <v/>
      </c>
      <c r="D172" s="56" t="str">
        <f>IF(D$140="","",IF(COUNTIFS(BD!$B$3:$B$5001,D$140,BD!$A$3:$A$5001,"&gt;="&amp;$C$8,BD!$A$3:$A$5001,"&lt;="&amp;$D$8,BD!$V$3:$V$5001,"&lt;&gt;")=0,"",SUMIFS(BD!$V$3:$V$5001,BD!$B$3:$B$5001,D$140,BD!$A$3:$A$5001,_xlfn.MAXIFS(BD!$A$3:$A$5001,BD!$B$3:$B$5001,D$140,BD!$A$3:$A$5001,"&gt;="&amp;$C$8,BD!$A$3:$A$5001,"&lt;="&amp;$D$8,BD!$V$3:$V$5001,"&lt;&gt;"))))</f>
        <v/>
      </c>
      <c r="E172" s="56" t="str">
        <f>IF(E$140="","",IF(COUNTIFS(BD!$B$3:$B$5001,E$140,BD!$A$3:$A$5001,"&gt;="&amp;$C$8,BD!$A$3:$A$5001,"&lt;="&amp;$D$8,BD!$V$3:$V$5001,"&lt;&gt;")=0,"",SUMIFS(BD!$V$3:$V$5001,BD!$B$3:$B$5001,E$140,BD!$A$3:$A$5001,_xlfn.MAXIFS(BD!$A$3:$A$5001,BD!$B$3:$B$5001,E$140,BD!$A$3:$A$5001,"&gt;="&amp;$C$8,BD!$A$3:$A$5001,"&lt;="&amp;$D$8,BD!$V$3:$V$5001,"&lt;&gt;"))))</f>
        <v/>
      </c>
      <c r="F172" s="56" t="str">
        <f>IF(F$140="","",IF(COUNTIFS(BD!$B$3:$B$5001,F$140,BD!$A$3:$A$5001,"&gt;="&amp;$C$8,BD!$A$3:$A$5001,"&lt;="&amp;$D$8,BD!$V$3:$V$5001,"&lt;&gt;")=0,"",SUMIFS(BD!$V$3:$V$5001,BD!$B$3:$B$5001,F$140,BD!$A$3:$A$5001,_xlfn.MAXIFS(BD!$A$3:$A$5001,BD!$B$3:$B$5001,F$140,BD!$A$3:$A$5001,"&gt;="&amp;$C$8,BD!$A$3:$A$5001,"&lt;="&amp;$D$8,BD!$V$3:$V$5001,"&lt;&gt;"))))</f>
        <v/>
      </c>
      <c r="G172" s="56" t="str">
        <f>IF(G$140="","",IF(COUNTIFS(BD!$B$3:$B$5001,G$140,BD!$A$3:$A$5001,"&gt;="&amp;$C$8,BD!$A$3:$A$5001,"&lt;="&amp;$D$8,BD!$V$3:$V$5001,"&lt;&gt;")=0,"",SUMIFS(BD!$V$3:$V$5001,BD!$B$3:$B$5001,G$140,BD!$A$3:$A$5001,_xlfn.MAXIFS(BD!$A$3:$A$5001,BD!$B$3:$B$5001,G$140,BD!$A$3:$A$5001,"&gt;="&amp;$C$8,BD!$A$3:$A$5001,"&lt;="&amp;$D$8,BD!$V$3:$V$5001,"&lt;&gt;"))))</f>
        <v/>
      </c>
      <c r="H172" s="56" t="str">
        <f>IF(H$140="","",IF(COUNTIFS(BD!$B$3:$B$5001,H$140,BD!$A$3:$A$5001,"&gt;="&amp;$C$8,BD!$A$3:$A$5001,"&lt;="&amp;$D$8,BD!$V$3:$V$5001,"&lt;&gt;")=0,"",SUMIFS(BD!$V$3:$V$5001,BD!$B$3:$B$5001,H$140,BD!$A$3:$A$5001,_xlfn.MAXIFS(BD!$A$3:$A$5001,BD!$B$3:$B$5001,H$140,BD!$A$3:$A$5001,"&gt;="&amp;$C$8,BD!$A$3:$A$5001,"&lt;="&amp;$D$8,BD!$V$3:$V$5001,"&lt;&gt;"))))</f>
        <v/>
      </c>
      <c r="I172" s="56" t="str">
        <f>IF(I$140="","",IF(COUNTIFS(BD!$B$3:$B$5001,I$140,BD!$A$3:$A$5001,"&gt;="&amp;$C$8,BD!$A$3:$A$5001,"&lt;="&amp;$D$8,BD!$V$3:$V$5001,"&lt;&gt;")=0,"",SUMIFS(BD!$V$3:$V$5001,BD!$B$3:$B$5001,I$140,BD!$A$3:$A$5001,_xlfn.MAXIFS(BD!$A$3:$A$5001,BD!$B$3:$B$5001,I$140,BD!$A$3:$A$5001,"&gt;="&amp;$C$8,BD!$A$3:$A$5001,"&lt;="&amp;$D$8,BD!$V$3:$V$5001,"&lt;&gt;"))))</f>
        <v/>
      </c>
      <c r="J172" s="56" t="str">
        <f>IF(J$140="","",IF(COUNTIFS(BD!$B$3:$B$5001,J$140,BD!$A$3:$A$5001,"&gt;="&amp;$C$8,BD!$A$3:$A$5001,"&lt;="&amp;$D$8,BD!$V$3:$V$5001,"&lt;&gt;")=0,"",SUMIFS(BD!$V$3:$V$5001,BD!$B$3:$B$5001,J$140,BD!$A$3:$A$5001,_xlfn.MAXIFS(BD!$A$3:$A$5001,BD!$B$3:$B$5001,J$140,BD!$A$3:$A$5001,"&gt;="&amp;$C$8,BD!$A$3:$A$5001,"&lt;="&amp;$D$8,BD!$V$3:$V$5001,"&lt;&gt;"))))</f>
        <v/>
      </c>
      <c r="K172" s="56" t="str">
        <f>IF(K$140="","",IF(COUNTIFS(BD!$B$3:$B$5001,K$140,BD!$A$3:$A$5001,"&gt;="&amp;$C$8,BD!$A$3:$A$5001,"&lt;="&amp;$D$8,BD!$V$3:$V$5001,"&lt;&gt;")=0,"",SUMIFS(BD!$V$3:$V$5001,BD!$B$3:$B$5001,K$140,BD!$A$3:$A$5001,_xlfn.MAXIFS(BD!$A$3:$A$5001,BD!$B$3:$B$5001,K$140,BD!$A$3:$A$5001,"&gt;="&amp;$C$8,BD!$A$3:$A$5001,"&lt;="&amp;$D$8,BD!$V$3:$V$5001,"&lt;&gt;"))))</f>
        <v/>
      </c>
      <c r="L172" s="56" t="str">
        <f>IF(L$140="","",IF(COUNTIFS(BD!$B$3:$B$5001,L$140,BD!$A$3:$A$5001,"&gt;="&amp;$C$8,BD!$A$3:$A$5001,"&lt;="&amp;$D$8,BD!$V$3:$V$5001,"&lt;&gt;")=0,"",SUMIFS(BD!$V$3:$V$5001,BD!$B$3:$B$5001,L$140,BD!$A$3:$A$5001,_xlfn.MAXIFS(BD!$A$3:$A$5001,BD!$B$3:$B$5001,L$140,BD!$A$3:$A$5001,"&gt;="&amp;$C$8,BD!$A$3:$A$5001,"&lt;="&amp;$D$8,BD!$V$3:$V$5001,"&lt;&gt;"))))</f>
        <v/>
      </c>
      <c r="M172" s="56" t="str">
        <f>IF(M$140="","",IF(COUNTIFS(BD!$B$3:$B$5001,M$140,BD!$A$3:$A$5001,"&gt;="&amp;$C$8,BD!$A$3:$A$5001,"&lt;="&amp;$D$8,BD!$V$3:$V$5001,"&lt;&gt;")=0,"",SUMIFS(BD!$V$3:$V$5001,BD!$B$3:$B$5001,M$140,BD!$A$3:$A$5001,_xlfn.MAXIFS(BD!$A$3:$A$5001,BD!$B$3:$B$5001,M$140,BD!$A$3:$A$5001,"&gt;="&amp;$C$8,BD!$A$3:$A$5001,"&lt;="&amp;$D$8,BD!$V$3:$V$5001,"&lt;&gt;"))))</f>
        <v/>
      </c>
      <c r="N172" s="56" t="str">
        <f>IF(N$140="","",IF(COUNTIFS(BD!$B$3:$B$5001,N$140,BD!$A$3:$A$5001,"&gt;="&amp;$C$8,BD!$A$3:$A$5001,"&lt;="&amp;$D$8,BD!$V$3:$V$5001,"&lt;&gt;")=0,"",SUMIFS(BD!$V$3:$V$5001,BD!$B$3:$B$5001,N$140,BD!$A$3:$A$5001,_xlfn.MAXIFS(BD!$A$3:$A$5001,BD!$B$3:$B$5001,N$140,BD!$A$3:$A$5001,"&gt;="&amp;$C$8,BD!$A$3:$A$5001,"&lt;="&amp;$D$8,BD!$V$3:$V$5001,"&lt;&gt;"))))</f>
        <v/>
      </c>
      <c r="O172" s="56" t="str">
        <f>IF(O$140="","",IF(COUNTIFS(BD!$B$3:$B$5001,O$140,BD!$A$3:$A$5001,"&gt;="&amp;$C$8,BD!$A$3:$A$5001,"&lt;="&amp;$D$8,BD!$V$3:$V$5001,"&lt;&gt;")=0,"",SUMIFS(BD!$V$3:$V$5001,BD!$B$3:$B$5001,O$140,BD!$A$3:$A$5001,_xlfn.MAXIFS(BD!$A$3:$A$5001,BD!$B$3:$B$5001,O$140,BD!$A$3:$A$5001,"&gt;="&amp;$C$8,BD!$A$3:$A$5001,"&lt;="&amp;$D$8,BD!$V$3:$V$5001,"&lt;&gt;"))))</f>
        <v/>
      </c>
      <c r="P172" s="56" t="str">
        <f>IF(P$140="","",IF(COUNTIFS(BD!$B$3:$B$5001,P$140,BD!$A$3:$A$5001,"&gt;="&amp;$C$8,BD!$A$3:$A$5001,"&lt;="&amp;$D$8,BD!$V$3:$V$5001,"&lt;&gt;")=0,"",SUMIFS(BD!$V$3:$V$5001,BD!$B$3:$B$5001,P$140,BD!$A$3:$A$5001,_xlfn.MAXIFS(BD!$A$3:$A$5001,BD!$B$3:$B$5001,P$140,BD!$A$3:$A$5001,"&gt;="&amp;$C$8,BD!$A$3:$A$5001,"&lt;="&amp;$D$8,BD!$V$3:$V$5001,"&lt;&gt;"))))</f>
        <v/>
      </c>
      <c r="Q172" s="56" t="str">
        <f>IF(Q$140="","",IF(COUNTIFS(BD!$B$3:$B$5001,Q$140,BD!$A$3:$A$5001,"&gt;="&amp;$C$8,BD!$A$3:$A$5001,"&lt;="&amp;$D$8,BD!$V$3:$V$5001,"&lt;&gt;")=0,"",SUMIFS(BD!$V$3:$V$5001,BD!$B$3:$B$5001,Q$140,BD!$A$3:$A$5001,_xlfn.MAXIFS(BD!$A$3:$A$5001,BD!$B$3:$B$5001,Q$140,BD!$A$3:$A$5001,"&gt;="&amp;$C$8,BD!$A$3:$A$5001,"&lt;="&amp;$D$8,BD!$V$3:$V$5001,"&lt;&gt;"))))</f>
        <v/>
      </c>
      <c r="R172" s="56" t="str">
        <f>IF(R$140="","",IF(COUNTIFS(BD!$B$3:$B$5001,R$140,BD!$A$3:$A$5001,"&gt;="&amp;$C$8,BD!$A$3:$A$5001,"&lt;="&amp;$D$8,BD!$V$3:$V$5001,"&lt;&gt;")=0,"",SUMIFS(BD!$V$3:$V$5001,BD!$B$3:$B$5001,R$140,BD!$A$3:$A$5001,_xlfn.MAXIFS(BD!$A$3:$A$5001,BD!$B$3:$B$5001,R$140,BD!$A$3:$A$5001,"&gt;="&amp;$C$8,BD!$A$3:$A$5001,"&lt;="&amp;$D$8,BD!$V$3:$V$5001,"&lt;&gt;"))))</f>
        <v/>
      </c>
      <c r="S172" s="56" t="str">
        <f>IF(S$140="","",IF(COUNTIFS(BD!$B$3:$B$5001,S$140,BD!$A$3:$A$5001,"&gt;="&amp;$C$8,BD!$A$3:$A$5001,"&lt;="&amp;$D$8,BD!$V$3:$V$5001,"&lt;&gt;")=0,"",SUMIFS(BD!$V$3:$V$5001,BD!$B$3:$B$5001,S$140,BD!$A$3:$A$5001,_xlfn.MAXIFS(BD!$A$3:$A$5001,BD!$B$3:$B$5001,S$140,BD!$A$3:$A$5001,"&gt;="&amp;$C$8,BD!$A$3:$A$5001,"&lt;="&amp;$D$8,BD!$V$3:$V$5001,"&lt;&gt;"))))</f>
        <v/>
      </c>
      <c r="T172" s="56" t="str">
        <f>IF(T$140="","",IF(COUNTIFS(BD!$B$3:$B$5001,T$140,BD!$A$3:$A$5001,"&gt;="&amp;$C$8,BD!$A$3:$A$5001,"&lt;="&amp;$D$8,BD!$V$3:$V$5001,"&lt;&gt;")=0,"",SUMIFS(BD!$V$3:$V$5001,BD!$B$3:$B$5001,T$140,BD!$A$3:$A$5001,_xlfn.MAXIFS(BD!$A$3:$A$5001,BD!$B$3:$B$5001,T$140,BD!$A$3:$A$5001,"&gt;="&amp;$C$8,BD!$A$3:$A$5001,"&lt;="&amp;$D$8,BD!$V$3:$V$5001,"&lt;&gt;"))))</f>
        <v/>
      </c>
      <c r="U172" s="56" t="str">
        <f>IF(U$140="","",IF(COUNTIFS(BD!$B$3:$B$5001,U$140,BD!$A$3:$A$5001,"&gt;="&amp;$C$8,BD!$A$3:$A$5001,"&lt;="&amp;$D$8,BD!$V$3:$V$5001,"&lt;&gt;")=0,"",SUMIFS(BD!$V$3:$V$5001,BD!$B$3:$B$5001,U$140,BD!$A$3:$A$5001,_xlfn.MAXIFS(BD!$A$3:$A$5001,BD!$B$3:$B$5001,U$140,BD!$A$3:$A$5001,"&gt;="&amp;$C$8,BD!$A$3:$A$5001,"&lt;="&amp;$D$8,BD!$V$3:$V$5001,"&lt;&gt;"))))</f>
        <v/>
      </c>
      <c r="V172" s="56" t="str">
        <f>IF(V$140="","",IF(COUNTIFS(BD!$B$3:$B$5001,V$140,BD!$A$3:$A$5001,"&gt;="&amp;$C$8,BD!$A$3:$A$5001,"&lt;="&amp;$D$8,BD!$V$3:$V$5001,"&lt;&gt;")=0,"",SUMIFS(BD!$V$3:$V$5001,BD!$B$3:$B$5001,V$140,BD!$A$3:$A$5001,_xlfn.MAXIFS(BD!$A$3:$A$5001,BD!$B$3:$B$5001,V$140,BD!$A$3:$A$5001,"&gt;="&amp;$C$8,BD!$A$3:$A$5001,"&lt;="&amp;$D$8,BD!$V$3:$V$5001,"&lt;&gt;"))))</f>
        <v/>
      </c>
    </row>
    <row r="173">
      <c r="A173" s="55" t="inlineStr">
        <is>
          <t xml:space="preserve">Depósito</t>
        </is>
      </c>
      <c r="C173" s="48" t="str">
        <f>IF(Config!$C$10="","TPC",Config!$C$10)</f>
        <v>TPC</v>
      </c>
      <c r="D173" s="48" t="str">
        <f>IF(Config!$C$11="","TPC",Config!$C$11)</f>
        <v>TPC</v>
      </c>
      <c r="E173" s="48" t="str">
        <f>IF(Config!$C$12="","TPC",Config!$C$12)</f>
        <v>TPC</v>
      </c>
      <c r="F173" s="48" t="str">
        <f>IF(Config!$C$13="","TPC",Config!$C$13)</f>
        <v>TPC</v>
      </c>
      <c r="G173" s="48" t="str">
        <f>IF(Config!$C$14="","TPC",Config!$C$14)</f>
        <v>TPC</v>
      </c>
      <c r="H173" s="48" t="str">
        <f>IF(Config!$C$15="","TPC",Config!$C$15)</f>
        <v>TPC</v>
      </c>
      <c r="I173" s="48" t="str">
        <f>IF(Config!$C$16="","TPC",Config!$C$16)</f>
        <v>TPC</v>
      </c>
      <c r="J173" s="48" t="str">
        <f>IF(Config!$C$17="","TPC",Config!$C$17)</f>
        <v>TPC</v>
      </c>
      <c r="K173" s="48" t="str">
        <f>IF(Config!$C$18="","TPC",Config!$C$18)</f>
        <v>TPC</v>
      </c>
      <c r="L173" s="48" t="str">
        <f>IF(Config!$C$19="","TPC",Config!$C$19)</f>
        <v>TPC</v>
      </c>
      <c r="M173" s="48" t="str">
        <f>IF(Config!$C$20="","TPC",Config!$C$20)</f>
        <v>TPC</v>
      </c>
      <c r="N173" s="48" t="str">
        <f>IF(Config!$C$21="","TPC",Config!$C$21)</f>
        <v>TPC</v>
      </c>
      <c r="O173" s="48" t="str">
        <f>IF(Config!$C$22="","TPC",Config!$C$22)</f>
        <v>TPC</v>
      </c>
      <c r="P173" s="48" t="str">
        <f>IF(Config!$C$23="","TPC",Config!$C$23)</f>
        <v>TPC</v>
      </c>
      <c r="Q173" s="48" t="str">
        <f>IF(Config!$C$24="","TPC",Config!$C$24)</f>
        <v>TPC</v>
      </c>
      <c r="R173" s="48" t="str">
        <f>IF(Config!$C$25="","TPC",Config!$C$25)</f>
        <v>TPC</v>
      </c>
      <c r="S173" s="48" t="str">
        <f>IF(Config!$C$26="","TPC",Config!$C$26)</f>
        <v>TPC</v>
      </c>
      <c r="T173" s="48" t="str">
        <f>IF(Config!$C$27="","TPC",Config!$C$27)</f>
        <v>TPC</v>
      </c>
      <c r="U173" s="48" t="str">
        <f>IF(Config!$C$28="","TPC",Config!$C$28)</f>
        <v>TPC</v>
      </c>
      <c r="V173" s="48" t="str">
        <f>IF(Config!$C$29="","TPC",Config!$C$29)</f>
        <v>TPC</v>
      </c>
    </row>
    <row r="175">
      <c r="A175" s="47" t="inlineStr">
        <is>
          <t xml:space="preserve">Backlog Cliente</t>
        </is>
      </c>
      <c r="B175" s="47" t="inlineStr">
        <is>
          <t xml:space="preserve">Data</t>
        </is>
      </c>
      <c r="C175" s="47" t="str">
        <f>Config!$B$10&amp;""</f>
        <v>Alpargatas</v>
      </c>
      <c r="D175" s="47" t="str">
        <f>Config!$B$11&amp;""</f>
        <v>Basf</v>
      </c>
      <c r="E175" s="47" t="str">
        <f>Config!$B$12&amp;""</f>
        <v>Beautybiz</v>
      </c>
      <c r="F175" s="47" t="str">
        <f>Config!$B$13&amp;""</f>
        <v>Boticário</v>
      </c>
      <c r="G175" s="47" t="str">
        <f>Config!$B$14&amp;""</f>
        <v>Confiance</v>
      </c>
      <c r="H175" s="47" t="str">
        <f>Config!$B$15&amp;""</f>
        <v>GE Vernova</v>
      </c>
      <c r="I175" s="47" t="str">
        <f>Config!$B$16&amp;""</f>
        <v>Omnilife</v>
      </c>
      <c r="J175" s="47" t="str">
        <f>Config!$B$17&amp;""</f>
        <v>Supply</v>
      </c>
      <c r="K175" s="47" t="str">
        <f>Config!$B$18&amp;""</f>
        <v>Vedacit</v>
      </c>
      <c r="L175" s="47" t="str">
        <f>Config!$B$19&amp;""</f>
        <v>Vestas</v>
      </c>
      <c r="M175" s="47" t="str">
        <f>Config!$B$20&amp;""</f>
        <v/>
      </c>
      <c r="N175" s="47" t="str">
        <f>Config!$B$21&amp;""</f>
        <v/>
      </c>
      <c r="O175" s="47" t="str">
        <f>Config!$B$22&amp;""</f>
        <v/>
      </c>
      <c r="P175" s="47" t="str">
        <f>Config!$B$23&amp;""</f>
        <v/>
      </c>
      <c r="Q175" s="47" t="str">
        <f>Config!$B$24&amp;""</f>
        <v/>
      </c>
      <c r="R175" s="47" t="str">
        <f>Config!$B$25&amp;""</f>
        <v/>
      </c>
      <c r="S175" s="47" t="str">
        <f>Config!$B$26&amp;""</f>
        <v/>
      </c>
      <c r="T175" s="47" t="str">
        <f>Config!$B$27&amp;""</f>
        <v/>
      </c>
      <c r="U175" s="47" t="str">
        <f>Config!$B$28&amp;""</f>
        <v/>
      </c>
      <c r="V175" s="47" t="str">
        <f>Config!$B$29&amp;""</f>
        <v/>
      </c>
    </row>
    <row r="176">
      <c r="A176" s="48">
        <v>1</v>
      </c>
      <c r="B176" s="53">
        <f>$B$12</f>
        <v>46296</v>
      </c>
      <c r="C176" s="54" t="str">
        <f>IF(OR($B176="",$A176&gt;$B$9,C$175=""),"",IF(COUNTIFS(BD!$B$3:$B$5001,C$175,BD!$A$3:$A$5001,"&gt;="&amp;$C$7,BD!$A$3:$A$5001,"&lt;="&amp;$B176,BD!$W$3:$W$5001,"&lt;&gt;")=0,"",SUMIFS(BD!$W$3:$W$5001,BD!$B$3:$B$5001,C$175,BD!$A$3:$A$5001,_xlfn.MAXIFS(BD!$A$3:$A$5001,BD!$B$3:$B$5001,C$175,BD!$A$3:$A$5001,"&gt;="&amp;$C$7,BD!$A$3:$A$5001,"&lt;="&amp;$B176,BD!$W$3:$W$5001,"&lt;&gt;"))))</f>
        <v/>
      </c>
      <c r="D176" s="54" t="str">
        <f>IF(OR($B176="",$A176&gt;$B$9,D$175=""),"",IF(COUNTIFS(BD!$B$3:$B$5001,D$175,BD!$A$3:$A$5001,"&gt;="&amp;$C$7,BD!$A$3:$A$5001,"&lt;="&amp;$B176,BD!$W$3:$W$5001,"&lt;&gt;")=0,"",SUMIFS(BD!$W$3:$W$5001,BD!$B$3:$B$5001,D$175,BD!$A$3:$A$5001,_xlfn.MAXIFS(BD!$A$3:$A$5001,BD!$B$3:$B$5001,D$175,BD!$A$3:$A$5001,"&gt;="&amp;$C$7,BD!$A$3:$A$5001,"&lt;="&amp;$B176,BD!$W$3:$W$5001,"&lt;&gt;"))))</f>
        <v/>
      </c>
      <c r="E176" s="54" t="str">
        <f>IF(OR($B176="",$A176&gt;$B$9,E$175=""),"",IF(COUNTIFS(BD!$B$3:$B$5001,E$175,BD!$A$3:$A$5001,"&gt;="&amp;$C$7,BD!$A$3:$A$5001,"&lt;="&amp;$B176,BD!$W$3:$W$5001,"&lt;&gt;")=0,"",SUMIFS(BD!$W$3:$W$5001,BD!$B$3:$B$5001,E$175,BD!$A$3:$A$5001,_xlfn.MAXIFS(BD!$A$3:$A$5001,BD!$B$3:$B$5001,E$175,BD!$A$3:$A$5001,"&gt;="&amp;$C$7,BD!$A$3:$A$5001,"&lt;="&amp;$B176,BD!$W$3:$W$5001,"&lt;&gt;"))))</f>
        <v/>
      </c>
      <c r="F176" s="54" t="str">
        <f>IF(OR($B176="",$A176&gt;$B$9,F$175=""),"",IF(COUNTIFS(BD!$B$3:$B$5001,F$175,BD!$A$3:$A$5001,"&gt;="&amp;$C$7,BD!$A$3:$A$5001,"&lt;="&amp;$B176,BD!$W$3:$W$5001,"&lt;&gt;")=0,"",SUMIFS(BD!$W$3:$W$5001,BD!$B$3:$B$5001,F$175,BD!$A$3:$A$5001,_xlfn.MAXIFS(BD!$A$3:$A$5001,BD!$B$3:$B$5001,F$175,BD!$A$3:$A$5001,"&gt;="&amp;$C$7,BD!$A$3:$A$5001,"&lt;="&amp;$B176,BD!$W$3:$W$5001,"&lt;&gt;"))))</f>
        <v/>
      </c>
      <c r="G176" s="54" t="str">
        <f>IF(OR($B176="",$A176&gt;$B$9,G$175=""),"",IF(COUNTIFS(BD!$B$3:$B$5001,G$175,BD!$A$3:$A$5001,"&gt;="&amp;$C$7,BD!$A$3:$A$5001,"&lt;="&amp;$B176,BD!$W$3:$W$5001,"&lt;&gt;")=0,"",SUMIFS(BD!$W$3:$W$5001,BD!$B$3:$B$5001,G$175,BD!$A$3:$A$5001,_xlfn.MAXIFS(BD!$A$3:$A$5001,BD!$B$3:$B$5001,G$175,BD!$A$3:$A$5001,"&gt;="&amp;$C$7,BD!$A$3:$A$5001,"&lt;="&amp;$B176,BD!$W$3:$W$5001,"&lt;&gt;"))))</f>
        <v/>
      </c>
      <c r="H176" s="54" t="str">
        <f>IF(OR($B176="",$A176&gt;$B$9,H$175=""),"",IF(COUNTIFS(BD!$B$3:$B$5001,H$175,BD!$A$3:$A$5001,"&gt;="&amp;$C$7,BD!$A$3:$A$5001,"&lt;="&amp;$B176,BD!$W$3:$W$5001,"&lt;&gt;")=0,"",SUMIFS(BD!$W$3:$W$5001,BD!$B$3:$B$5001,H$175,BD!$A$3:$A$5001,_xlfn.MAXIFS(BD!$A$3:$A$5001,BD!$B$3:$B$5001,H$175,BD!$A$3:$A$5001,"&gt;="&amp;$C$7,BD!$A$3:$A$5001,"&lt;="&amp;$B176,BD!$W$3:$W$5001,"&lt;&gt;"))))</f>
        <v/>
      </c>
      <c r="I176" s="54" t="str">
        <f>IF(OR($B176="",$A176&gt;$B$9,I$175=""),"",IF(COUNTIFS(BD!$B$3:$B$5001,I$175,BD!$A$3:$A$5001,"&gt;="&amp;$C$7,BD!$A$3:$A$5001,"&lt;="&amp;$B176,BD!$W$3:$W$5001,"&lt;&gt;")=0,"",SUMIFS(BD!$W$3:$W$5001,BD!$B$3:$B$5001,I$175,BD!$A$3:$A$5001,_xlfn.MAXIFS(BD!$A$3:$A$5001,BD!$B$3:$B$5001,I$175,BD!$A$3:$A$5001,"&gt;="&amp;$C$7,BD!$A$3:$A$5001,"&lt;="&amp;$B176,BD!$W$3:$W$5001,"&lt;&gt;"))))</f>
        <v/>
      </c>
      <c r="J176" s="54" t="str">
        <f>IF(OR($B176="",$A176&gt;$B$9,J$175=""),"",IF(COUNTIFS(BD!$B$3:$B$5001,J$175,BD!$A$3:$A$5001,"&gt;="&amp;$C$7,BD!$A$3:$A$5001,"&lt;="&amp;$B176,BD!$W$3:$W$5001,"&lt;&gt;")=0,"",SUMIFS(BD!$W$3:$W$5001,BD!$B$3:$B$5001,J$175,BD!$A$3:$A$5001,_xlfn.MAXIFS(BD!$A$3:$A$5001,BD!$B$3:$B$5001,J$175,BD!$A$3:$A$5001,"&gt;="&amp;$C$7,BD!$A$3:$A$5001,"&lt;="&amp;$B176,BD!$W$3:$W$5001,"&lt;&gt;"))))</f>
        <v/>
      </c>
      <c r="K176" s="54" t="str">
        <f>IF(OR($B176="",$A176&gt;$B$9,K$175=""),"",IF(COUNTIFS(BD!$B$3:$B$5001,K$175,BD!$A$3:$A$5001,"&gt;="&amp;$C$7,BD!$A$3:$A$5001,"&lt;="&amp;$B176,BD!$W$3:$W$5001,"&lt;&gt;")=0,"",SUMIFS(BD!$W$3:$W$5001,BD!$B$3:$B$5001,K$175,BD!$A$3:$A$5001,_xlfn.MAXIFS(BD!$A$3:$A$5001,BD!$B$3:$B$5001,K$175,BD!$A$3:$A$5001,"&gt;="&amp;$C$7,BD!$A$3:$A$5001,"&lt;="&amp;$B176,BD!$W$3:$W$5001,"&lt;&gt;"))))</f>
        <v/>
      </c>
      <c r="L176" s="54" t="str">
        <f>IF(OR($B176="",$A176&gt;$B$9,L$175=""),"",IF(COUNTIFS(BD!$B$3:$B$5001,L$175,BD!$A$3:$A$5001,"&gt;="&amp;$C$7,BD!$A$3:$A$5001,"&lt;="&amp;$B176,BD!$W$3:$W$5001,"&lt;&gt;")=0,"",SUMIFS(BD!$W$3:$W$5001,BD!$B$3:$B$5001,L$175,BD!$A$3:$A$5001,_xlfn.MAXIFS(BD!$A$3:$A$5001,BD!$B$3:$B$5001,L$175,BD!$A$3:$A$5001,"&gt;="&amp;$C$7,BD!$A$3:$A$5001,"&lt;="&amp;$B176,BD!$W$3:$W$5001,"&lt;&gt;"))))</f>
        <v/>
      </c>
      <c r="M176" s="54" t="str">
        <f>IF(OR($B176="",$A176&gt;$B$9,M$175=""),"",IF(COUNTIFS(BD!$B$3:$B$5001,M$175,BD!$A$3:$A$5001,"&gt;="&amp;$C$7,BD!$A$3:$A$5001,"&lt;="&amp;$B176,BD!$W$3:$W$5001,"&lt;&gt;")=0,"",SUMIFS(BD!$W$3:$W$5001,BD!$B$3:$B$5001,M$175,BD!$A$3:$A$5001,_xlfn.MAXIFS(BD!$A$3:$A$5001,BD!$B$3:$B$5001,M$175,BD!$A$3:$A$5001,"&gt;="&amp;$C$7,BD!$A$3:$A$5001,"&lt;="&amp;$B176,BD!$W$3:$W$5001,"&lt;&gt;"))))</f>
        <v/>
      </c>
      <c r="N176" s="54" t="str">
        <f>IF(OR($B176="",$A176&gt;$B$9,N$175=""),"",IF(COUNTIFS(BD!$B$3:$B$5001,N$175,BD!$A$3:$A$5001,"&gt;="&amp;$C$7,BD!$A$3:$A$5001,"&lt;="&amp;$B176,BD!$W$3:$W$5001,"&lt;&gt;")=0,"",SUMIFS(BD!$W$3:$W$5001,BD!$B$3:$B$5001,N$175,BD!$A$3:$A$5001,_xlfn.MAXIFS(BD!$A$3:$A$5001,BD!$B$3:$B$5001,N$175,BD!$A$3:$A$5001,"&gt;="&amp;$C$7,BD!$A$3:$A$5001,"&lt;="&amp;$B176,BD!$W$3:$W$5001,"&lt;&gt;"))))</f>
        <v/>
      </c>
      <c r="O176" s="54" t="str">
        <f>IF(OR($B176="",$A176&gt;$B$9,O$175=""),"",IF(COUNTIFS(BD!$B$3:$B$5001,O$175,BD!$A$3:$A$5001,"&gt;="&amp;$C$7,BD!$A$3:$A$5001,"&lt;="&amp;$B176,BD!$W$3:$W$5001,"&lt;&gt;")=0,"",SUMIFS(BD!$W$3:$W$5001,BD!$B$3:$B$5001,O$175,BD!$A$3:$A$5001,_xlfn.MAXIFS(BD!$A$3:$A$5001,BD!$B$3:$B$5001,O$175,BD!$A$3:$A$5001,"&gt;="&amp;$C$7,BD!$A$3:$A$5001,"&lt;="&amp;$B176,BD!$W$3:$W$5001,"&lt;&gt;"))))</f>
        <v/>
      </c>
      <c r="P176" s="54" t="str">
        <f>IF(OR($B176="",$A176&gt;$B$9,P$175=""),"",IF(COUNTIFS(BD!$B$3:$B$5001,P$175,BD!$A$3:$A$5001,"&gt;="&amp;$C$7,BD!$A$3:$A$5001,"&lt;="&amp;$B176,BD!$W$3:$W$5001,"&lt;&gt;")=0,"",SUMIFS(BD!$W$3:$W$5001,BD!$B$3:$B$5001,P$175,BD!$A$3:$A$5001,_xlfn.MAXIFS(BD!$A$3:$A$5001,BD!$B$3:$B$5001,P$175,BD!$A$3:$A$5001,"&gt;="&amp;$C$7,BD!$A$3:$A$5001,"&lt;="&amp;$B176,BD!$W$3:$W$5001,"&lt;&gt;"))))</f>
        <v/>
      </c>
      <c r="Q176" s="54" t="str">
        <f>IF(OR($B176="",$A176&gt;$B$9,Q$175=""),"",IF(COUNTIFS(BD!$B$3:$B$5001,Q$175,BD!$A$3:$A$5001,"&gt;="&amp;$C$7,BD!$A$3:$A$5001,"&lt;="&amp;$B176,BD!$W$3:$W$5001,"&lt;&gt;")=0,"",SUMIFS(BD!$W$3:$W$5001,BD!$B$3:$B$5001,Q$175,BD!$A$3:$A$5001,_xlfn.MAXIFS(BD!$A$3:$A$5001,BD!$B$3:$B$5001,Q$175,BD!$A$3:$A$5001,"&gt;="&amp;$C$7,BD!$A$3:$A$5001,"&lt;="&amp;$B176,BD!$W$3:$W$5001,"&lt;&gt;"))))</f>
        <v/>
      </c>
      <c r="R176" s="54" t="str">
        <f>IF(OR($B176="",$A176&gt;$B$9,R$175=""),"",IF(COUNTIFS(BD!$B$3:$B$5001,R$175,BD!$A$3:$A$5001,"&gt;="&amp;$C$7,BD!$A$3:$A$5001,"&lt;="&amp;$B176,BD!$W$3:$W$5001,"&lt;&gt;")=0,"",SUMIFS(BD!$W$3:$W$5001,BD!$B$3:$B$5001,R$175,BD!$A$3:$A$5001,_xlfn.MAXIFS(BD!$A$3:$A$5001,BD!$B$3:$B$5001,R$175,BD!$A$3:$A$5001,"&gt;="&amp;$C$7,BD!$A$3:$A$5001,"&lt;="&amp;$B176,BD!$W$3:$W$5001,"&lt;&gt;"))))</f>
        <v/>
      </c>
      <c r="S176" s="54" t="str">
        <f>IF(OR($B176="",$A176&gt;$B$9,S$175=""),"",IF(COUNTIFS(BD!$B$3:$B$5001,S$175,BD!$A$3:$A$5001,"&gt;="&amp;$C$7,BD!$A$3:$A$5001,"&lt;="&amp;$B176,BD!$W$3:$W$5001,"&lt;&gt;")=0,"",SUMIFS(BD!$W$3:$W$5001,BD!$B$3:$B$5001,S$175,BD!$A$3:$A$5001,_xlfn.MAXIFS(BD!$A$3:$A$5001,BD!$B$3:$B$5001,S$175,BD!$A$3:$A$5001,"&gt;="&amp;$C$7,BD!$A$3:$A$5001,"&lt;="&amp;$B176,BD!$W$3:$W$5001,"&lt;&gt;"))))</f>
        <v/>
      </c>
      <c r="T176" s="54" t="str">
        <f>IF(OR($B176="",$A176&gt;$B$9,T$175=""),"",IF(COUNTIFS(BD!$B$3:$B$5001,T$175,BD!$A$3:$A$5001,"&gt;="&amp;$C$7,BD!$A$3:$A$5001,"&lt;="&amp;$B176,BD!$W$3:$W$5001,"&lt;&gt;")=0,"",SUMIFS(BD!$W$3:$W$5001,BD!$B$3:$B$5001,T$175,BD!$A$3:$A$5001,_xlfn.MAXIFS(BD!$A$3:$A$5001,BD!$B$3:$B$5001,T$175,BD!$A$3:$A$5001,"&gt;="&amp;$C$7,BD!$A$3:$A$5001,"&lt;="&amp;$B176,BD!$W$3:$W$5001,"&lt;&gt;"))))</f>
        <v/>
      </c>
      <c r="U176" s="54" t="str">
        <f>IF(OR($B176="",$A176&gt;$B$9,U$175=""),"",IF(COUNTIFS(BD!$B$3:$B$5001,U$175,BD!$A$3:$A$5001,"&gt;="&amp;$C$7,BD!$A$3:$A$5001,"&lt;="&amp;$B176,BD!$W$3:$W$5001,"&lt;&gt;")=0,"",SUMIFS(BD!$W$3:$W$5001,BD!$B$3:$B$5001,U$175,BD!$A$3:$A$5001,_xlfn.MAXIFS(BD!$A$3:$A$5001,BD!$B$3:$B$5001,U$175,BD!$A$3:$A$5001,"&gt;="&amp;$C$7,BD!$A$3:$A$5001,"&lt;="&amp;$B176,BD!$W$3:$W$5001,"&lt;&gt;"))))</f>
        <v/>
      </c>
      <c r="V176" s="54" t="str">
        <f>IF(OR($B176="",$A176&gt;$B$9,V$175=""),"",IF(COUNTIFS(BD!$B$3:$B$5001,V$175,BD!$A$3:$A$5001,"&gt;="&amp;$C$7,BD!$A$3:$A$5001,"&lt;="&amp;$B176,BD!$W$3:$W$5001,"&lt;&gt;")=0,"",SUMIFS(BD!$W$3:$W$5001,BD!$B$3:$B$5001,V$175,BD!$A$3:$A$5001,_xlfn.MAXIFS(BD!$A$3:$A$5001,BD!$B$3:$B$5001,V$175,BD!$A$3:$A$5001,"&gt;="&amp;$C$7,BD!$A$3:$A$5001,"&lt;="&amp;$B176,BD!$W$3:$W$5001,"&lt;&gt;"))))</f>
        <v/>
      </c>
    </row>
    <row r="177">
      <c r="A177" s="48">
        <v>2</v>
      </c>
      <c r="B177" s="53">
        <f>$B$13</f>
        <v>46297</v>
      </c>
      <c r="C177" s="54" t="str">
        <f>IF(OR($B177="",$A177&gt;$B$9,C$175=""),"",IF(COUNTIFS(BD!$B$3:$B$5001,C$175,BD!$A$3:$A$5001,"&gt;="&amp;$C$7,BD!$A$3:$A$5001,"&lt;="&amp;$B177,BD!$W$3:$W$5001,"&lt;&gt;")=0,"",SUMIFS(BD!$W$3:$W$5001,BD!$B$3:$B$5001,C$175,BD!$A$3:$A$5001,_xlfn.MAXIFS(BD!$A$3:$A$5001,BD!$B$3:$B$5001,C$175,BD!$A$3:$A$5001,"&gt;="&amp;$C$7,BD!$A$3:$A$5001,"&lt;="&amp;$B177,BD!$W$3:$W$5001,"&lt;&gt;"))))</f>
        <v/>
      </c>
      <c r="D177" s="54" t="str">
        <f>IF(OR($B177="",$A177&gt;$B$9,D$175=""),"",IF(COUNTIFS(BD!$B$3:$B$5001,D$175,BD!$A$3:$A$5001,"&gt;="&amp;$C$7,BD!$A$3:$A$5001,"&lt;="&amp;$B177,BD!$W$3:$W$5001,"&lt;&gt;")=0,"",SUMIFS(BD!$W$3:$W$5001,BD!$B$3:$B$5001,D$175,BD!$A$3:$A$5001,_xlfn.MAXIFS(BD!$A$3:$A$5001,BD!$B$3:$B$5001,D$175,BD!$A$3:$A$5001,"&gt;="&amp;$C$7,BD!$A$3:$A$5001,"&lt;="&amp;$B177,BD!$W$3:$W$5001,"&lt;&gt;"))))</f>
        <v/>
      </c>
      <c r="E177" s="54" t="str">
        <f>IF(OR($B177="",$A177&gt;$B$9,E$175=""),"",IF(COUNTIFS(BD!$B$3:$B$5001,E$175,BD!$A$3:$A$5001,"&gt;="&amp;$C$7,BD!$A$3:$A$5001,"&lt;="&amp;$B177,BD!$W$3:$W$5001,"&lt;&gt;")=0,"",SUMIFS(BD!$W$3:$W$5001,BD!$B$3:$B$5001,E$175,BD!$A$3:$A$5001,_xlfn.MAXIFS(BD!$A$3:$A$5001,BD!$B$3:$B$5001,E$175,BD!$A$3:$A$5001,"&gt;="&amp;$C$7,BD!$A$3:$A$5001,"&lt;="&amp;$B177,BD!$W$3:$W$5001,"&lt;&gt;"))))</f>
        <v/>
      </c>
      <c r="F177" s="54" t="str">
        <f>IF(OR($B177="",$A177&gt;$B$9,F$175=""),"",IF(COUNTIFS(BD!$B$3:$B$5001,F$175,BD!$A$3:$A$5001,"&gt;="&amp;$C$7,BD!$A$3:$A$5001,"&lt;="&amp;$B177,BD!$W$3:$W$5001,"&lt;&gt;")=0,"",SUMIFS(BD!$W$3:$W$5001,BD!$B$3:$B$5001,F$175,BD!$A$3:$A$5001,_xlfn.MAXIFS(BD!$A$3:$A$5001,BD!$B$3:$B$5001,F$175,BD!$A$3:$A$5001,"&gt;="&amp;$C$7,BD!$A$3:$A$5001,"&lt;="&amp;$B177,BD!$W$3:$W$5001,"&lt;&gt;"))))</f>
        <v/>
      </c>
      <c r="G177" s="54" t="str">
        <f>IF(OR($B177="",$A177&gt;$B$9,G$175=""),"",IF(COUNTIFS(BD!$B$3:$B$5001,G$175,BD!$A$3:$A$5001,"&gt;="&amp;$C$7,BD!$A$3:$A$5001,"&lt;="&amp;$B177,BD!$W$3:$W$5001,"&lt;&gt;")=0,"",SUMIFS(BD!$W$3:$W$5001,BD!$B$3:$B$5001,G$175,BD!$A$3:$A$5001,_xlfn.MAXIFS(BD!$A$3:$A$5001,BD!$B$3:$B$5001,G$175,BD!$A$3:$A$5001,"&gt;="&amp;$C$7,BD!$A$3:$A$5001,"&lt;="&amp;$B177,BD!$W$3:$W$5001,"&lt;&gt;"))))</f>
        <v/>
      </c>
      <c r="H177" s="54" t="str">
        <f>IF(OR($B177="",$A177&gt;$B$9,H$175=""),"",IF(COUNTIFS(BD!$B$3:$B$5001,H$175,BD!$A$3:$A$5001,"&gt;="&amp;$C$7,BD!$A$3:$A$5001,"&lt;="&amp;$B177,BD!$W$3:$W$5001,"&lt;&gt;")=0,"",SUMIFS(BD!$W$3:$W$5001,BD!$B$3:$B$5001,H$175,BD!$A$3:$A$5001,_xlfn.MAXIFS(BD!$A$3:$A$5001,BD!$B$3:$B$5001,H$175,BD!$A$3:$A$5001,"&gt;="&amp;$C$7,BD!$A$3:$A$5001,"&lt;="&amp;$B177,BD!$W$3:$W$5001,"&lt;&gt;"))))</f>
        <v/>
      </c>
      <c r="I177" s="54" t="str">
        <f>IF(OR($B177="",$A177&gt;$B$9,I$175=""),"",IF(COUNTIFS(BD!$B$3:$B$5001,I$175,BD!$A$3:$A$5001,"&gt;="&amp;$C$7,BD!$A$3:$A$5001,"&lt;="&amp;$B177,BD!$W$3:$W$5001,"&lt;&gt;")=0,"",SUMIFS(BD!$W$3:$W$5001,BD!$B$3:$B$5001,I$175,BD!$A$3:$A$5001,_xlfn.MAXIFS(BD!$A$3:$A$5001,BD!$B$3:$B$5001,I$175,BD!$A$3:$A$5001,"&gt;="&amp;$C$7,BD!$A$3:$A$5001,"&lt;="&amp;$B177,BD!$W$3:$W$5001,"&lt;&gt;"))))</f>
        <v/>
      </c>
      <c r="J177" s="54" t="str">
        <f>IF(OR($B177="",$A177&gt;$B$9,J$175=""),"",IF(COUNTIFS(BD!$B$3:$B$5001,J$175,BD!$A$3:$A$5001,"&gt;="&amp;$C$7,BD!$A$3:$A$5001,"&lt;="&amp;$B177,BD!$W$3:$W$5001,"&lt;&gt;")=0,"",SUMIFS(BD!$W$3:$W$5001,BD!$B$3:$B$5001,J$175,BD!$A$3:$A$5001,_xlfn.MAXIFS(BD!$A$3:$A$5001,BD!$B$3:$B$5001,J$175,BD!$A$3:$A$5001,"&gt;="&amp;$C$7,BD!$A$3:$A$5001,"&lt;="&amp;$B177,BD!$W$3:$W$5001,"&lt;&gt;"))))</f>
        <v/>
      </c>
      <c r="K177" s="54" t="str">
        <f>IF(OR($B177="",$A177&gt;$B$9,K$175=""),"",IF(COUNTIFS(BD!$B$3:$B$5001,K$175,BD!$A$3:$A$5001,"&gt;="&amp;$C$7,BD!$A$3:$A$5001,"&lt;="&amp;$B177,BD!$W$3:$W$5001,"&lt;&gt;")=0,"",SUMIFS(BD!$W$3:$W$5001,BD!$B$3:$B$5001,K$175,BD!$A$3:$A$5001,_xlfn.MAXIFS(BD!$A$3:$A$5001,BD!$B$3:$B$5001,K$175,BD!$A$3:$A$5001,"&gt;="&amp;$C$7,BD!$A$3:$A$5001,"&lt;="&amp;$B177,BD!$W$3:$W$5001,"&lt;&gt;"))))</f>
        <v/>
      </c>
      <c r="L177" s="54" t="str">
        <f>IF(OR($B177="",$A177&gt;$B$9,L$175=""),"",IF(COUNTIFS(BD!$B$3:$B$5001,L$175,BD!$A$3:$A$5001,"&gt;="&amp;$C$7,BD!$A$3:$A$5001,"&lt;="&amp;$B177,BD!$W$3:$W$5001,"&lt;&gt;")=0,"",SUMIFS(BD!$W$3:$W$5001,BD!$B$3:$B$5001,L$175,BD!$A$3:$A$5001,_xlfn.MAXIFS(BD!$A$3:$A$5001,BD!$B$3:$B$5001,L$175,BD!$A$3:$A$5001,"&gt;="&amp;$C$7,BD!$A$3:$A$5001,"&lt;="&amp;$B177,BD!$W$3:$W$5001,"&lt;&gt;"))))</f>
        <v/>
      </c>
      <c r="M177" s="54" t="str">
        <f>IF(OR($B177="",$A177&gt;$B$9,M$175=""),"",IF(COUNTIFS(BD!$B$3:$B$5001,M$175,BD!$A$3:$A$5001,"&gt;="&amp;$C$7,BD!$A$3:$A$5001,"&lt;="&amp;$B177,BD!$W$3:$W$5001,"&lt;&gt;")=0,"",SUMIFS(BD!$W$3:$W$5001,BD!$B$3:$B$5001,M$175,BD!$A$3:$A$5001,_xlfn.MAXIFS(BD!$A$3:$A$5001,BD!$B$3:$B$5001,M$175,BD!$A$3:$A$5001,"&gt;="&amp;$C$7,BD!$A$3:$A$5001,"&lt;="&amp;$B177,BD!$W$3:$W$5001,"&lt;&gt;"))))</f>
        <v/>
      </c>
      <c r="N177" s="54" t="str">
        <f>IF(OR($B177="",$A177&gt;$B$9,N$175=""),"",IF(COUNTIFS(BD!$B$3:$B$5001,N$175,BD!$A$3:$A$5001,"&gt;="&amp;$C$7,BD!$A$3:$A$5001,"&lt;="&amp;$B177,BD!$W$3:$W$5001,"&lt;&gt;")=0,"",SUMIFS(BD!$W$3:$W$5001,BD!$B$3:$B$5001,N$175,BD!$A$3:$A$5001,_xlfn.MAXIFS(BD!$A$3:$A$5001,BD!$B$3:$B$5001,N$175,BD!$A$3:$A$5001,"&gt;="&amp;$C$7,BD!$A$3:$A$5001,"&lt;="&amp;$B177,BD!$W$3:$W$5001,"&lt;&gt;"))))</f>
        <v/>
      </c>
      <c r="O177" s="54" t="str">
        <f>IF(OR($B177="",$A177&gt;$B$9,O$175=""),"",IF(COUNTIFS(BD!$B$3:$B$5001,O$175,BD!$A$3:$A$5001,"&gt;="&amp;$C$7,BD!$A$3:$A$5001,"&lt;="&amp;$B177,BD!$W$3:$W$5001,"&lt;&gt;")=0,"",SUMIFS(BD!$W$3:$W$5001,BD!$B$3:$B$5001,O$175,BD!$A$3:$A$5001,_xlfn.MAXIFS(BD!$A$3:$A$5001,BD!$B$3:$B$5001,O$175,BD!$A$3:$A$5001,"&gt;="&amp;$C$7,BD!$A$3:$A$5001,"&lt;="&amp;$B177,BD!$W$3:$W$5001,"&lt;&gt;"))))</f>
        <v/>
      </c>
      <c r="P177" s="54" t="str">
        <f>IF(OR($B177="",$A177&gt;$B$9,P$175=""),"",IF(COUNTIFS(BD!$B$3:$B$5001,P$175,BD!$A$3:$A$5001,"&gt;="&amp;$C$7,BD!$A$3:$A$5001,"&lt;="&amp;$B177,BD!$W$3:$W$5001,"&lt;&gt;")=0,"",SUMIFS(BD!$W$3:$W$5001,BD!$B$3:$B$5001,P$175,BD!$A$3:$A$5001,_xlfn.MAXIFS(BD!$A$3:$A$5001,BD!$B$3:$B$5001,P$175,BD!$A$3:$A$5001,"&gt;="&amp;$C$7,BD!$A$3:$A$5001,"&lt;="&amp;$B177,BD!$W$3:$W$5001,"&lt;&gt;"))))</f>
        <v/>
      </c>
      <c r="Q177" s="54" t="str">
        <f>IF(OR($B177="",$A177&gt;$B$9,Q$175=""),"",IF(COUNTIFS(BD!$B$3:$B$5001,Q$175,BD!$A$3:$A$5001,"&gt;="&amp;$C$7,BD!$A$3:$A$5001,"&lt;="&amp;$B177,BD!$W$3:$W$5001,"&lt;&gt;")=0,"",SUMIFS(BD!$W$3:$W$5001,BD!$B$3:$B$5001,Q$175,BD!$A$3:$A$5001,_xlfn.MAXIFS(BD!$A$3:$A$5001,BD!$B$3:$B$5001,Q$175,BD!$A$3:$A$5001,"&gt;="&amp;$C$7,BD!$A$3:$A$5001,"&lt;="&amp;$B177,BD!$W$3:$W$5001,"&lt;&gt;"))))</f>
        <v/>
      </c>
      <c r="R177" s="54" t="str">
        <f>IF(OR($B177="",$A177&gt;$B$9,R$175=""),"",IF(COUNTIFS(BD!$B$3:$B$5001,R$175,BD!$A$3:$A$5001,"&gt;="&amp;$C$7,BD!$A$3:$A$5001,"&lt;="&amp;$B177,BD!$W$3:$W$5001,"&lt;&gt;")=0,"",SUMIFS(BD!$W$3:$W$5001,BD!$B$3:$B$5001,R$175,BD!$A$3:$A$5001,_xlfn.MAXIFS(BD!$A$3:$A$5001,BD!$B$3:$B$5001,R$175,BD!$A$3:$A$5001,"&gt;="&amp;$C$7,BD!$A$3:$A$5001,"&lt;="&amp;$B177,BD!$W$3:$W$5001,"&lt;&gt;"))))</f>
        <v/>
      </c>
      <c r="S177" s="54" t="str">
        <f>IF(OR($B177="",$A177&gt;$B$9,S$175=""),"",IF(COUNTIFS(BD!$B$3:$B$5001,S$175,BD!$A$3:$A$5001,"&gt;="&amp;$C$7,BD!$A$3:$A$5001,"&lt;="&amp;$B177,BD!$W$3:$W$5001,"&lt;&gt;")=0,"",SUMIFS(BD!$W$3:$W$5001,BD!$B$3:$B$5001,S$175,BD!$A$3:$A$5001,_xlfn.MAXIFS(BD!$A$3:$A$5001,BD!$B$3:$B$5001,S$175,BD!$A$3:$A$5001,"&gt;="&amp;$C$7,BD!$A$3:$A$5001,"&lt;="&amp;$B177,BD!$W$3:$W$5001,"&lt;&gt;"))))</f>
        <v/>
      </c>
      <c r="T177" s="54" t="str">
        <f>IF(OR($B177="",$A177&gt;$B$9,T$175=""),"",IF(COUNTIFS(BD!$B$3:$B$5001,T$175,BD!$A$3:$A$5001,"&gt;="&amp;$C$7,BD!$A$3:$A$5001,"&lt;="&amp;$B177,BD!$W$3:$W$5001,"&lt;&gt;")=0,"",SUMIFS(BD!$W$3:$W$5001,BD!$B$3:$B$5001,T$175,BD!$A$3:$A$5001,_xlfn.MAXIFS(BD!$A$3:$A$5001,BD!$B$3:$B$5001,T$175,BD!$A$3:$A$5001,"&gt;="&amp;$C$7,BD!$A$3:$A$5001,"&lt;="&amp;$B177,BD!$W$3:$W$5001,"&lt;&gt;"))))</f>
        <v/>
      </c>
      <c r="U177" s="54" t="str">
        <f>IF(OR($B177="",$A177&gt;$B$9,U$175=""),"",IF(COUNTIFS(BD!$B$3:$B$5001,U$175,BD!$A$3:$A$5001,"&gt;="&amp;$C$7,BD!$A$3:$A$5001,"&lt;="&amp;$B177,BD!$W$3:$W$5001,"&lt;&gt;")=0,"",SUMIFS(BD!$W$3:$W$5001,BD!$B$3:$B$5001,U$175,BD!$A$3:$A$5001,_xlfn.MAXIFS(BD!$A$3:$A$5001,BD!$B$3:$B$5001,U$175,BD!$A$3:$A$5001,"&gt;="&amp;$C$7,BD!$A$3:$A$5001,"&lt;="&amp;$B177,BD!$W$3:$W$5001,"&lt;&gt;"))))</f>
        <v/>
      </c>
      <c r="V177" s="54" t="str">
        <f>IF(OR($B177="",$A177&gt;$B$9,V$175=""),"",IF(COUNTIFS(BD!$B$3:$B$5001,V$175,BD!$A$3:$A$5001,"&gt;="&amp;$C$7,BD!$A$3:$A$5001,"&lt;="&amp;$B177,BD!$W$3:$W$5001,"&lt;&gt;")=0,"",SUMIFS(BD!$W$3:$W$5001,BD!$B$3:$B$5001,V$175,BD!$A$3:$A$5001,_xlfn.MAXIFS(BD!$A$3:$A$5001,BD!$B$3:$B$5001,V$175,BD!$A$3:$A$5001,"&gt;="&amp;$C$7,BD!$A$3:$A$5001,"&lt;="&amp;$B177,BD!$W$3:$W$5001,"&lt;&gt;"))))</f>
        <v/>
      </c>
    </row>
    <row r="178">
      <c r="A178" s="48">
        <v>3</v>
      </c>
      <c r="B178" s="53">
        <f>$B$14</f>
        <v>46298</v>
      </c>
      <c r="C178" s="54" t="str">
        <f>IF(OR($B178="",$A178&gt;$B$9,C$175=""),"",IF(COUNTIFS(BD!$B$3:$B$5001,C$175,BD!$A$3:$A$5001,"&gt;="&amp;$C$7,BD!$A$3:$A$5001,"&lt;="&amp;$B178,BD!$W$3:$W$5001,"&lt;&gt;")=0,"",SUMIFS(BD!$W$3:$W$5001,BD!$B$3:$B$5001,C$175,BD!$A$3:$A$5001,_xlfn.MAXIFS(BD!$A$3:$A$5001,BD!$B$3:$B$5001,C$175,BD!$A$3:$A$5001,"&gt;="&amp;$C$7,BD!$A$3:$A$5001,"&lt;="&amp;$B178,BD!$W$3:$W$5001,"&lt;&gt;"))))</f>
        <v/>
      </c>
      <c r="D178" s="54" t="str">
        <f>IF(OR($B178="",$A178&gt;$B$9,D$175=""),"",IF(COUNTIFS(BD!$B$3:$B$5001,D$175,BD!$A$3:$A$5001,"&gt;="&amp;$C$7,BD!$A$3:$A$5001,"&lt;="&amp;$B178,BD!$W$3:$W$5001,"&lt;&gt;")=0,"",SUMIFS(BD!$W$3:$W$5001,BD!$B$3:$B$5001,D$175,BD!$A$3:$A$5001,_xlfn.MAXIFS(BD!$A$3:$A$5001,BD!$B$3:$B$5001,D$175,BD!$A$3:$A$5001,"&gt;="&amp;$C$7,BD!$A$3:$A$5001,"&lt;="&amp;$B178,BD!$W$3:$W$5001,"&lt;&gt;"))))</f>
        <v/>
      </c>
      <c r="E178" s="54" t="str">
        <f>IF(OR($B178="",$A178&gt;$B$9,E$175=""),"",IF(COUNTIFS(BD!$B$3:$B$5001,E$175,BD!$A$3:$A$5001,"&gt;="&amp;$C$7,BD!$A$3:$A$5001,"&lt;="&amp;$B178,BD!$W$3:$W$5001,"&lt;&gt;")=0,"",SUMIFS(BD!$W$3:$W$5001,BD!$B$3:$B$5001,E$175,BD!$A$3:$A$5001,_xlfn.MAXIFS(BD!$A$3:$A$5001,BD!$B$3:$B$5001,E$175,BD!$A$3:$A$5001,"&gt;="&amp;$C$7,BD!$A$3:$A$5001,"&lt;="&amp;$B178,BD!$W$3:$W$5001,"&lt;&gt;"))))</f>
        <v/>
      </c>
      <c r="F178" s="54" t="str">
        <f>IF(OR($B178="",$A178&gt;$B$9,F$175=""),"",IF(COUNTIFS(BD!$B$3:$B$5001,F$175,BD!$A$3:$A$5001,"&gt;="&amp;$C$7,BD!$A$3:$A$5001,"&lt;="&amp;$B178,BD!$W$3:$W$5001,"&lt;&gt;")=0,"",SUMIFS(BD!$W$3:$W$5001,BD!$B$3:$B$5001,F$175,BD!$A$3:$A$5001,_xlfn.MAXIFS(BD!$A$3:$A$5001,BD!$B$3:$B$5001,F$175,BD!$A$3:$A$5001,"&gt;="&amp;$C$7,BD!$A$3:$A$5001,"&lt;="&amp;$B178,BD!$W$3:$W$5001,"&lt;&gt;"))))</f>
        <v/>
      </c>
      <c r="G178" s="54" t="str">
        <f>IF(OR($B178="",$A178&gt;$B$9,G$175=""),"",IF(COUNTIFS(BD!$B$3:$B$5001,G$175,BD!$A$3:$A$5001,"&gt;="&amp;$C$7,BD!$A$3:$A$5001,"&lt;="&amp;$B178,BD!$W$3:$W$5001,"&lt;&gt;")=0,"",SUMIFS(BD!$W$3:$W$5001,BD!$B$3:$B$5001,G$175,BD!$A$3:$A$5001,_xlfn.MAXIFS(BD!$A$3:$A$5001,BD!$B$3:$B$5001,G$175,BD!$A$3:$A$5001,"&gt;="&amp;$C$7,BD!$A$3:$A$5001,"&lt;="&amp;$B178,BD!$W$3:$W$5001,"&lt;&gt;"))))</f>
        <v/>
      </c>
      <c r="H178" s="54" t="str">
        <f>IF(OR($B178="",$A178&gt;$B$9,H$175=""),"",IF(COUNTIFS(BD!$B$3:$B$5001,H$175,BD!$A$3:$A$5001,"&gt;="&amp;$C$7,BD!$A$3:$A$5001,"&lt;="&amp;$B178,BD!$W$3:$W$5001,"&lt;&gt;")=0,"",SUMIFS(BD!$W$3:$W$5001,BD!$B$3:$B$5001,H$175,BD!$A$3:$A$5001,_xlfn.MAXIFS(BD!$A$3:$A$5001,BD!$B$3:$B$5001,H$175,BD!$A$3:$A$5001,"&gt;="&amp;$C$7,BD!$A$3:$A$5001,"&lt;="&amp;$B178,BD!$W$3:$W$5001,"&lt;&gt;"))))</f>
        <v/>
      </c>
      <c r="I178" s="54" t="str">
        <f>IF(OR($B178="",$A178&gt;$B$9,I$175=""),"",IF(COUNTIFS(BD!$B$3:$B$5001,I$175,BD!$A$3:$A$5001,"&gt;="&amp;$C$7,BD!$A$3:$A$5001,"&lt;="&amp;$B178,BD!$W$3:$W$5001,"&lt;&gt;")=0,"",SUMIFS(BD!$W$3:$W$5001,BD!$B$3:$B$5001,I$175,BD!$A$3:$A$5001,_xlfn.MAXIFS(BD!$A$3:$A$5001,BD!$B$3:$B$5001,I$175,BD!$A$3:$A$5001,"&gt;="&amp;$C$7,BD!$A$3:$A$5001,"&lt;="&amp;$B178,BD!$W$3:$W$5001,"&lt;&gt;"))))</f>
        <v/>
      </c>
      <c r="J178" s="54" t="str">
        <f>IF(OR($B178="",$A178&gt;$B$9,J$175=""),"",IF(COUNTIFS(BD!$B$3:$B$5001,J$175,BD!$A$3:$A$5001,"&gt;="&amp;$C$7,BD!$A$3:$A$5001,"&lt;="&amp;$B178,BD!$W$3:$W$5001,"&lt;&gt;")=0,"",SUMIFS(BD!$W$3:$W$5001,BD!$B$3:$B$5001,J$175,BD!$A$3:$A$5001,_xlfn.MAXIFS(BD!$A$3:$A$5001,BD!$B$3:$B$5001,J$175,BD!$A$3:$A$5001,"&gt;="&amp;$C$7,BD!$A$3:$A$5001,"&lt;="&amp;$B178,BD!$W$3:$W$5001,"&lt;&gt;"))))</f>
        <v/>
      </c>
      <c r="K178" s="54" t="str">
        <f>IF(OR($B178="",$A178&gt;$B$9,K$175=""),"",IF(COUNTIFS(BD!$B$3:$B$5001,K$175,BD!$A$3:$A$5001,"&gt;="&amp;$C$7,BD!$A$3:$A$5001,"&lt;="&amp;$B178,BD!$W$3:$W$5001,"&lt;&gt;")=0,"",SUMIFS(BD!$W$3:$W$5001,BD!$B$3:$B$5001,K$175,BD!$A$3:$A$5001,_xlfn.MAXIFS(BD!$A$3:$A$5001,BD!$B$3:$B$5001,K$175,BD!$A$3:$A$5001,"&gt;="&amp;$C$7,BD!$A$3:$A$5001,"&lt;="&amp;$B178,BD!$W$3:$W$5001,"&lt;&gt;"))))</f>
        <v/>
      </c>
      <c r="L178" s="54" t="str">
        <f>IF(OR($B178="",$A178&gt;$B$9,L$175=""),"",IF(COUNTIFS(BD!$B$3:$B$5001,L$175,BD!$A$3:$A$5001,"&gt;="&amp;$C$7,BD!$A$3:$A$5001,"&lt;="&amp;$B178,BD!$W$3:$W$5001,"&lt;&gt;")=0,"",SUMIFS(BD!$W$3:$W$5001,BD!$B$3:$B$5001,L$175,BD!$A$3:$A$5001,_xlfn.MAXIFS(BD!$A$3:$A$5001,BD!$B$3:$B$5001,L$175,BD!$A$3:$A$5001,"&gt;="&amp;$C$7,BD!$A$3:$A$5001,"&lt;="&amp;$B178,BD!$W$3:$W$5001,"&lt;&gt;"))))</f>
        <v/>
      </c>
      <c r="M178" s="54" t="str">
        <f>IF(OR($B178="",$A178&gt;$B$9,M$175=""),"",IF(COUNTIFS(BD!$B$3:$B$5001,M$175,BD!$A$3:$A$5001,"&gt;="&amp;$C$7,BD!$A$3:$A$5001,"&lt;="&amp;$B178,BD!$W$3:$W$5001,"&lt;&gt;")=0,"",SUMIFS(BD!$W$3:$W$5001,BD!$B$3:$B$5001,M$175,BD!$A$3:$A$5001,_xlfn.MAXIFS(BD!$A$3:$A$5001,BD!$B$3:$B$5001,M$175,BD!$A$3:$A$5001,"&gt;="&amp;$C$7,BD!$A$3:$A$5001,"&lt;="&amp;$B178,BD!$W$3:$W$5001,"&lt;&gt;"))))</f>
        <v/>
      </c>
      <c r="N178" s="54" t="str">
        <f>IF(OR($B178="",$A178&gt;$B$9,N$175=""),"",IF(COUNTIFS(BD!$B$3:$B$5001,N$175,BD!$A$3:$A$5001,"&gt;="&amp;$C$7,BD!$A$3:$A$5001,"&lt;="&amp;$B178,BD!$W$3:$W$5001,"&lt;&gt;")=0,"",SUMIFS(BD!$W$3:$W$5001,BD!$B$3:$B$5001,N$175,BD!$A$3:$A$5001,_xlfn.MAXIFS(BD!$A$3:$A$5001,BD!$B$3:$B$5001,N$175,BD!$A$3:$A$5001,"&gt;="&amp;$C$7,BD!$A$3:$A$5001,"&lt;="&amp;$B178,BD!$W$3:$W$5001,"&lt;&gt;"))))</f>
        <v/>
      </c>
      <c r="O178" s="54" t="str">
        <f>IF(OR($B178="",$A178&gt;$B$9,O$175=""),"",IF(COUNTIFS(BD!$B$3:$B$5001,O$175,BD!$A$3:$A$5001,"&gt;="&amp;$C$7,BD!$A$3:$A$5001,"&lt;="&amp;$B178,BD!$W$3:$W$5001,"&lt;&gt;")=0,"",SUMIFS(BD!$W$3:$W$5001,BD!$B$3:$B$5001,O$175,BD!$A$3:$A$5001,_xlfn.MAXIFS(BD!$A$3:$A$5001,BD!$B$3:$B$5001,O$175,BD!$A$3:$A$5001,"&gt;="&amp;$C$7,BD!$A$3:$A$5001,"&lt;="&amp;$B178,BD!$W$3:$W$5001,"&lt;&gt;"))))</f>
        <v/>
      </c>
      <c r="P178" s="54" t="str">
        <f>IF(OR($B178="",$A178&gt;$B$9,P$175=""),"",IF(COUNTIFS(BD!$B$3:$B$5001,P$175,BD!$A$3:$A$5001,"&gt;="&amp;$C$7,BD!$A$3:$A$5001,"&lt;="&amp;$B178,BD!$W$3:$W$5001,"&lt;&gt;")=0,"",SUMIFS(BD!$W$3:$W$5001,BD!$B$3:$B$5001,P$175,BD!$A$3:$A$5001,_xlfn.MAXIFS(BD!$A$3:$A$5001,BD!$B$3:$B$5001,P$175,BD!$A$3:$A$5001,"&gt;="&amp;$C$7,BD!$A$3:$A$5001,"&lt;="&amp;$B178,BD!$W$3:$W$5001,"&lt;&gt;"))))</f>
        <v/>
      </c>
      <c r="Q178" s="54" t="str">
        <f>IF(OR($B178="",$A178&gt;$B$9,Q$175=""),"",IF(COUNTIFS(BD!$B$3:$B$5001,Q$175,BD!$A$3:$A$5001,"&gt;="&amp;$C$7,BD!$A$3:$A$5001,"&lt;="&amp;$B178,BD!$W$3:$W$5001,"&lt;&gt;")=0,"",SUMIFS(BD!$W$3:$W$5001,BD!$B$3:$B$5001,Q$175,BD!$A$3:$A$5001,_xlfn.MAXIFS(BD!$A$3:$A$5001,BD!$B$3:$B$5001,Q$175,BD!$A$3:$A$5001,"&gt;="&amp;$C$7,BD!$A$3:$A$5001,"&lt;="&amp;$B178,BD!$W$3:$W$5001,"&lt;&gt;"))))</f>
        <v/>
      </c>
      <c r="R178" s="54" t="str">
        <f>IF(OR($B178="",$A178&gt;$B$9,R$175=""),"",IF(COUNTIFS(BD!$B$3:$B$5001,R$175,BD!$A$3:$A$5001,"&gt;="&amp;$C$7,BD!$A$3:$A$5001,"&lt;="&amp;$B178,BD!$W$3:$W$5001,"&lt;&gt;")=0,"",SUMIFS(BD!$W$3:$W$5001,BD!$B$3:$B$5001,R$175,BD!$A$3:$A$5001,_xlfn.MAXIFS(BD!$A$3:$A$5001,BD!$B$3:$B$5001,R$175,BD!$A$3:$A$5001,"&gt;="&amp;$C$7,BD!$A$3:$A$5001,"&lt;="&amp;$B178,BD!$W$3:$W$5001,"&lt;&gt;"))))</f>
        <v/>
      </c>
      <c r="S178" s="54" t="str">
        <f>IF(OR($B178="",$A178&gt;$B$9,S$175=""),"",IF(COUNTIFS(BD!$B$3:$B$5001,S$175,BD!$A$3:$A$5001,"&gt;="&amp;$C$7,BD!$A$3:$A$5001,"&lt;="&amp;$B178,BD!$W$3:$W$5001,"&lt;&gt;")=0,"",SUMIFS(BD!$W$3:$W$5001,BD!$B$3:$B$5001,S$175,BD!$A$3:$A$5001,_xlfn.MAXIFS(BD!$A$3:$A$5001,BD!$B$3:$B$5001,S$175,BD!$A$3:$A$5001,"&gt;="&amp;$C$7,BD!$A$3:$A$5001,"&lt;="&amp;$B178,BD!$W$3:$W$5001,"&lt;&gt;"))))</f>
        <v/>
      </c>
      <c r="T178" s="54" t="str">
        <f>IF(OR($B178="",$A178&gt;$B$9,T$175=""),"",IF(COUNTIFS(BD!$B$3:$B$5001,T$175,BD!$A$3:$A$5001,"&gt;="&amp;$C$7,BD!$A$3:$A$5001,"&lt;="&amp;$B178,BD!$W$3:$W$5001,"&lt;&gt;")=0,"",SUMIFS(BD!$W$3:$W$5001,BD!$B$3:$B$5001,T$175,BD!$A$3:$A$5001,_xlfn.MAXIFS(BD!$A$3:$A$5001,BD!$B$3:$B$5001,T$175,BD!$A$3:$A$5001,"&gt;="&amp;$C$7,BD!$A$3:$A$5001,"&lt;="&amp;$B178,BD!$W$3:$W$5001,"&lt;&gt;"))))</f>
        <v/>
      </c>
      <c r="U178" s="54" t="str">
        <f>IF(OR($B178="",$A178&gt;$B$9,U$175=""),"",IF(COUNTIFS(BD!$B$3:$B$5001,U$175,BD!$A$3:$A$5001,"&gt;="&amp;$C$7,BD!$A$3:$A$5001,"&lt;="&amp;$B178,BD!$W$3:$W$5001,"&lt;&gt;")=0,"",SUMIFS(BD!$W$3:$W$5001,BD!$B$3:$B$5001,U$175,BD!$A$3:$A$5001,_xlfn.MAXIFS(BD!$A$3:$A$5001,BD!$B$3:$B$5001,U$175,BD!$A$3:$A$5001,"&gt;="&amp;$C$7,BD!$A$3:$A$5001,"&lt;="&amp;$B178,BD!$W$3:$W$5001,"&lt;&gt;"))))</f>
        <v/>
      </c>
      <c r="V178" s="54" t="str">
        <f>IF(OR($B178="",$A178&gt;$B$9,V$175=""),"",IF(COUNTIFS(BD!$B$3:$B$5001,V$175,BD!$A$3:$A$5001,"&gt;="&amp;$C$7,BD!$A$3:$A$5001,"&lt;="&amp;$B178,BD!$W$3:$W$5001,"&lt;&gt;")=0,"",SUMIFS(BD!$W$3:$W$5001,BD!$B$3:$B$5001,V$175,BD!$A$3:$A$5001,_xlfn.MAXIFS(BD!$A$3:$A$5001,BD!$B$3:$B$5001,V$175,BD!$A$3:$A$5001,"&gt;="&amp;$C$7,BD!$A$3:$A$5001,"&lt;="&amp;$B178,BD!$W$3:$W$5001,"&lt;&gt;"))))</f>
        <v/>
      </c>
    </row>
    <row r="179">
      <c r="A179" s="48">
        <v>4</v>
      </c>
      <c r="B179" s="53">
        <f>$B$15</f>
        <v>46299</v>
      </c>
      <c r="C179" s="54" t="str">
        <f>IF(OR($B179="",$A179&gt;$B$9,C$175=""),"",IF(COUNTIFS(BD!$B$3:$B$5001,C$175,BD!$A$3:$A$5001,"&gt;="&amp;$C$7,BD!$A$3:$A$5001,"&lt;="&amp;$B179,BD!$W$3:$W$5001,"&lt;&gt;")=0,"",SUMIFS(BD!$W$3:$W$5001,BD!$B$3:$B$5001,C$175,BD!$A$3:$A$5001,_xlfn.MAXIFS(BD!$A$3:$A$5001,BD!$B$3:$B$5001,C$175,BD!$A$3:$A$5001,"&gt;="&amp;$C$7,BD!$A$3:$A$5001,"&lt;="&amp;$B179,BD!$W$3:$W$5001,"&lt;&gt;"))))</f>
        <v/>
      </c>
      <c r="D179" s="54" t="str">
        <f>IF(OR($B179="",$A179&gt;$B$9,D$175=""),"",IF(COUNTIFS(BD!$B$3:$B$5001,D$175,BD!$A$3:$A$5001,"&gt;="&amp;$C$7,BD!$A$3:$A$5001,"&lt;="&amp;$B179,BD!$W$3:$W$5001,"&lt;&gt;")=0,"",SUMIFS(BD!$W$3:$W$5001,BD!$B$3:$B$5001,D$175,BD!$A$3:$A$5001,_xlfn.MAXIFS(BD!$A$3:$A$5001,BD!$B$3:$B$5001,D$175,BD!$A$3:$A$5001,"&gt;="&amp;$C$7,BD!$A$3:$A$5001,"&lt;="&amp;$B179,BD!$W$3:$W$5001,"&lt;&gt;"))))</f>
        <v/>
      </c>
      <c r="E179" s="54" t="str">
        <f>IF(OR($B179="",$A179&gt;$B$9,E$175=""),"",IF(COUNTIFS(BD!$B$3:$B$5001,E$175,BD!$A$3:$A$5001,"&gt;="&amp;$C$7,BD!$A$3:$A$5001,"&lt;="&amp;$B179,BD!$W$3:$W$5001,"&lt;&gt;")=0,"",SUMIFS(BD!$W$3:$W$5001,BD!$B$3:$B$5001,E$175,BD!$A$3:$A$5001,_xlfn.MAXIFS(BD!$A$3:$A$5001,BD!$B$3:$B$5001,E$175,BD!$A$3:$A$5001,"&gt;="&amp;$C$7,BD!$A$3:$A$5001,"&lt;="&amp;$B179,BD!$W$3:$W$5001,"&lt;&gt;"))))</f>
        <v/>
      </c>
      <c r="F179" s="54" t="str">
        <f>IF(OR($B179="",$A179&gt;$B$9,F$175=""),"",IF(COUNTIFS(BD!$B$3:$B$5001,F$175,BD!$A$3:$A$5001,"&gt;="&amp;$C$7,BD!$A$3:$A$5001,"&lt;="&amp;$B179,BD!$W$3:$W$5001,"&lt;&gt;")=0,"",SUMIFS(BD!$W$3:$W$5001,BD!$B$3:$B$5001,F$175,BD!$A$3:$A$5001,_xlfn.MAXIFS(BD!$A$3:$A$5001,BD!$B$3:$B$5001,F$175,BD!$A$3:$A$5001,"&gt;="&amp;$C$7,BD!$A$3:$A$5001,"&lt;="&amp;$B179,BD!$W$3:$W$5001,"&lt;&gt;"))))</f>
        <v/>
      </c>
      <c r="G179" s="54" t="str">
        <f>IF(OR($B179="",$A179&gt;$B$9,G$175=""),"",IF(COUNTIFS(BD!$B$3:$B$5001,G$175,BD!$A$3:$A$5001,"&gt;="&amp;$C$7,BD!$A$3:$A$5001,"&lt;="&amp;$B179,BD!$W$3:$W$5001,"&lt;&gt;")=0,"",SUMIFS(BD!$W$3:$W$5001,BD!$B$3:$B$5001,G$175,BD!$A$3:$A$5001,_xlfn.MAXIFS(BD!$A$3:$A$5001,BD!$B$3:$B$5001,G$175,BD!$A$3:$A$5001,"&gt;="&amp;$C$7,BD!$A$3:$A$5001,"&lt;="&amp;$B179,BD!$W$3:$W$5001,"&lt;&gt;"))))</f>
        <v/>
      </c>
      <c r="H179" s="54" t="str">
        <f>IF(OR($B179="",$A179&gt;$B$9,H$175=""),"",IF(COUNTIFS(BD!$B$3:$B$5001,H$175,BD!$A$3:$A$5001,"&gt;="&amp;$C$7,BD!$A$3:$A$5001,"&lt;="&amp;$B179,BD!$W$3:$W$5001,"&lt;&gt;")=0,"",SUMIFS(BD!$W$3:$W$5001,BD!$B$3:$B$5001,H$175,BD!$A$3:$A$5001,_xlfn.MAXIFS(BD!$A$3:$A$5001,BD!$B$3:$B$5001,H$175,BD!$A$3:$A$5001,"&gt;="&amp;$C$7,BD!$A$3:$A$5001,"&lt;="&amp;$B179,BD!$W$3:$W$5001,"&lt;&gt;"))))</f>
        <v/>
      </c>
      <c r="I179" s="54" t="str">
        <f>IF(OR($B179="",$A179&gt;$B$9,I$175=""),"",IF(COUNTIFS(BD!$B$3:$B$5001,I$175,BD!$A$3:$A$5001,"&gt;="&amp;$C$7,BD!$A$3:$A$5001,"&lt;="&amp;$B179,BD!$W$3:$W$5001,"&lt;&gt;")=0,"",SUMIFS(BD!$W$3:$W$5001,BD!$B$3:$B$5001,I$175,BD!$A$3:$A$5001,_xlfn.MAXIFS(BD!$A$3:$A$5001,BD!$B$3:$B$5001,I$175,BD!$A$3:$A$5001,"&gt;="&amp;$C$7,BD!$A$3:$A$5001,"&lt;="&amp;$B179,BD!$W$3:$W$5001,"&lt;&gt;"))))</f>
        <v/>
      </c>
      <c r="J179" s="54" t="str">
        <f>IF(OR($B179="",$A179&gt;$B$9,J$175=""),"",IF(COUNTIFS(BD!$B$3:$B$5001,J$175,BD!$A$3:$A$5001,"&gt;="&amp;$C$7,BD!$A$3:$A$5001,"&lt;="&amp;$B179,BD!$W$3:$W$5001,"&lt;&gt;")=0,"",SUMIFS(BD!$W$3:$W$5001,BD!$B$3:$B$5001,J$175,BD!$A$3:$A$5001,_xlfn.MAXIFS(BD!$A$3:$A$5001,BD!$B$3:$B$5001,J$175,BD!$A$3:$A$5001,"&gt;="&amp;$C$7,BD!$A$3:$A$5001,"&lt;="&amp;$B179,BD!$W$3:$W$5001,"&lt;&gt;"))))</f>
        <v/>
      </c>
      <c r="K179" s="54" t="str">
        <f>IF(OR($B179="",$A179&gt;$B$9,K$175=""),"",IF(COUNTIFS(BD!$B$3:$B$5001,K$175,BD!$A$3:$A$5001,"&gt;="&amp;$C$7,BD!$A$3:$A$5001,"&lt;="&amp;$B179,BD!$W$3:$W$5001,"&lt;&gt;")=0,"",SUMIFS(BD!$W$3:$W$5001,BD!$B$3:$B$5001,K$175,BD!$A$3:$A$5001,_xlfn.MAXIFS(BD!$A$3:$A$5001,BD!$B$3:$B$5001,K$175,BD!$A$3:$A$5001,"&gt;="&amp;$C$7,BD!$A$3:$A$5001,"&lt;="&amp;$B179,BD!$W$3:$W$5001,"&lt;&gt;"))))</f>
        <v/>
      </c>
      <c r="L179" s="54" t="str">
        <f>IF(OR($B179="",$A179&gt;$B$9,L$175=""),"",IF(COUNTIFS(BD!$B$3:$B$5001,L$175,BD!$A$3:$A$5001,"&gt;="&amp;$C$7,BD!$A$3:$A$5001,"&lt;="&amp;$B179,BD!$W$3:$W$5001,"&lt;&gt;")=0,"",SUMIFS(BD!$W$3:$W$5001,BD!$B$3:$B$5001,L$175,BD!$A$3:$A$5001,_xlfn.MAXIFS(BD!$A$3:$A$5001,BD!$B$3:$B$5001,L$175,BD!$A$3:$A$5001,"&gt;="&amp;$C$7,BD!$A$3:$A$5001,"&lt;="&amp;$B179,BD!$W$3:$W$5001,"&lt;&gt;"))))</f>
        <v/>
      </c>
      <c r="M179" s="54" t="str">
        <f>IF(OR($B179="",$A179&gt;$B$9,M$175=""),"",IF(COUNTIFS(BD!$B$3:$B$5001,M$175,BD!$A$3:$A$5001,"&gt;="&amp;$C$7,BD!$A$3:$A$5001,"&lt;="&amp;$B179,BD!$W$3:$W$5001,"&lt;&gt;")=0,"",SUMIFS(BD!$W$3:$W$5001,BD!$B$3:$B$5001,M$175,BD!$A$3:$A$5001,_xlfn.MAXIFS(BD!$A$3:$A$5001,BD!$B$3:$B$5001,M$175,BD!$A$3:$A$5001,"&gt;="&amp;$C$7,BD!$A$3:$A$5001,"&lt;="&amp;$B179,BD!$W$3:$W$5001,"&lt;&gt;"))))</f>
        <v/>
      </c>
      <c r="N179" s="54" t="str">
        <f>IF(OR($B179="",$A179&gt;$B$9,N$175=""),"",IF(COUNTIFS(BD!$B$3:$B$5001,N$175,BD!$A$3:$A$5001,"&gt;="&amp;$C$7,BD!$A$3:$A$5001,"&lt;="&amp;$B179,BD!$W$3:$W$5001,"&lt;&gt;")=0,"",SUMIFS(BD!$W$3:$W$5001,BD!$B$3:$B$5001,N$175,BD!$A$3:$A$5001,_xlfn.MAXIFS(BD!$A$3:$A$5001,BD!$B$3:$B$5001,N$175,BD!$A$3:$A$5001,"&gt;="&amp;$C$7,BD!$A$3:$A$5001,"&lt;="&amp;$B179,BD!$W$3:$W$5001,"&lt;&gt;"))))</f>
        <v/>
      </c>
      <c r="O179" s="54" t="str">
        <f>IF(OR($B179="",$A179&gt;$B$9,O$175=""),"",IF(COUNTIFS(BD!$B$3:$B$5001,O$175,BD!$A$3:$A$5001,"&gt;="&amp;$C$7,BD!$A$3:$A$5001,"&lt;="&amp;$B179,BD!$W$3:$W$5001,"&lt;&gt;")=0,"",SUMIFS(BD!$W$3:$W$5001,BD!$B$3:$B$5001,O$175,BD!$A$3:$A$5001,_xlfn.MAXIFS(BD!$A$3:$A$5001,BD!$B$3:$B$5001,O$175,BD!$A$3:$A$5001,"&gt;="&amp;$C$7,BD!$A$3:$A$5001,"&lt;="&amp;$B179,BD!$W$3:$W$5001,"&lt;&gt;"))))</f>
        <v/>
      </c>
      <c r="P179" s="54" t="str">
        <f>IF(OR($B179="",$A179&gt;$B$9,P$175=""),"",IF(COUNTIFS(BD!$B$3:$B$5001,P$175,BD!$A$3:$A$5001,"&gt;="&amp;$C$7,BD!$A$3:$A$5001,"&lt;="&amp;$B179,BD!$W$3:$W$5001,"&lt;&gt;")=0,"",SUMIFS(BD!$W$3:$W$5001,BD!$B$3:$B$5001,P$175,BD!$A$3:$A$5001,_xlfn.MAXIFS(BD!$A$3:$A$5001,BD!$B$3:$B$5001,P$175,BD!$A$3:$A$5001,"&gt;="&amp;$C$7,BD!$A$3:$A$5001,"&lt;="&amp;$B179,BD!$W$3:$W$5001,"&lt;&gt;"))))</f>
        <v/>
      </c>
      <c r="Q179" s="54" t="str">
        <f>IF(OR($B179="",$A179&gt;$B$9,Q$175=""),"",IF(COUNTIFS(BD!$B$3:$B$5001,Q$175,BD!$A$3:$A$5001,"&gt;="&amp;$C$7,BD!$A$3:$A$5001,"&lt;="&amp;$B179,BD!$W$3:$W$5001,"&lt;&gt;")=0,"",SUMIFS(BD!$W$3:$W$5001,BD!$B$3:$B$5001,Q$175,BD!$A$3:$A$5001,_xlfn.MAXIFS(BD!$A$3:$A$5001,BD!$B$3:$B$5001,Q$175,BD!$A$3:$A$5001,"&gt;="&amp;$C$7,BD!$A$3:$A$5001,"&lt;="&amp;$B179,BD!$W$3:$W$5001,"&lt;&gt;"))))</f>
        <v/>
      </c>
      <c r="R179" s="54" t="str">
        <f>IF(OR($B179="",$A179&gt;$B$9,R$175=""),"",IF(COUNTIFS(BD!$B$3:$B$5001,R$175,BD!$A$3:$A$5001,"&gt;="&amp;$C$7,BD!$A$3:$A$5001,"&lt;="&amp;$B179,BD!$W$3:$W$5001,"&lt;&gt;")=0,"",SUMIFS(BD!$W$3:$W$5001,BD!$B$3:$B$5001,R$175,BD!$A$3:$A$5001,_xlfn.MAXIFS(BD!$A$3:$A$5001,BD!$B$3:$B$5001,R$175,BD!$A$3:$A$5001,"&gt;="&amp;$C$7,BD!$A$3:$A$5001,"&lt;="&amp;$B179,BD!$W$3:$W$5001,"&lt;&gt;"))))</f>
        <v/>
      </c>
      <c r="S179" s="54" t="str">
        <f>IF(OR($B179="",$A179&gt;$B$9,S$175=""),"",IF(COUNTIFS(BD!$B$3:$B$5001,S$175,BD!$A$3:$A$5001,"&gt;="&amp;$C$7,BD!$A$3:$A$5001,"&lt;="&amp;$B179,BD!$W$3:$W$5001,"&lt;&gt;")=0,"",SUMIFS(BD!$W$3:$W$5001,BD!$B$3:$B$5001,S$175,BD!$A$3:$A$5001,_xlfn.MAXIFS(BD!$A$3:$A$5001,BD!$B$3:$B$5001,S$175,BD!$A$3:$A$5001,"&gt;="&amp;$C$7,BD!$A$3:$A$5001,"&lt;="&amp;$B179,BD!$W$3:$W$5001,"&lt;&gt;"))))</f>
        <v/>
      </c>
      <c r="T179" s="54" t="str">
        <f>IF(OR($B179="",$A179&gt;$B$9,T$175=""),"",IF(COUNTIFS(BD!$B$3:$B$5001,T$175,BD!$A$3:$A$5001,"&gt;="&amp;$C$7,BD!$A$3:$A$5001,"&lt;="&amp;$B179,BD!$W$3:$W$5001,"&lt;&gt;")=0,"",SUMIFS(BD!$W$3:$W$5001,BD!$B$3:$B$5001,T$175,BD!$A$3:$A$5001,_xlfn.MAXIFS(BD!$A$3:$A$5001,BD!$B$3:$B$5001,T$175,BD!$A$3:$A$5001,"&gt;="&amp;$C$7,BD!$A$3:$A$5001,"&lt;="&amp;$B179,BD!$W$3:$W$5001,"&lt;&gt;"))))</f>
        <v/>
      </c>
      <c r="U179" s="54" t="str">
        <f>IF(OR($B179="",$A179&gt;$B$9,U$175=""),"",IF(COUNTIFS(BD!$B$3:$B$5001,U$175,BD!$A$3:$A$5001,"&gt;="&amp;$C$7,BD!$A$3:$A$5001,"&lt;="&amp;$B179,BD!$W$3:$W$5001,"&lt;&gt;")=0,"",SUMIFS(BD!$W$3:$W$5001,BD!$B$3:$B$5001,U$175,BD!$A$3:$A$5001,_xlfn.MAXIFS(BD!$A$3:$A$5001,BD!$B$3:$B$5001,U$175,BD!$A$3:$A$5001,"&gt;="&amp;$C$7,BD!$A$3:$A$5001,"&lt;="&amp;$B179,BD!$W$3:$W$5001,"&lt;&gt;"))))</f>
        <v/>
      </c>
      <c r="V179" s="54" t="str">
        <f>IF(OR($B179="",$A179&gt;$B$9,V$175=""),"",IF(COUNTIFS(BD!$B$3:$B$5001,V$175,BD!$A$3:$A$5001,"&gt;="&amp;$C$7,BD!$A$3:$A$5001,"&lt;="&amp;$B179,BD!$W$3:$W$5001,"&lt;&gt;")=0,"",SUMIFS(BD!$W$3:$W$5001,BD!$B$3:$B$5001,V$175,BD!$A$3:$A$5001,_xlfn.MAXIFS(BD!$A$3:$A$5001,BD!$B$3:$B$5001,V$175,BD!$A$3:$A$5001,"&gt;="&amp;$C$7,BD!$A$3:$A$5001,"&lt;="&amp;$B179,BD!$W$3:$W$5001,"&lt;&gt;"))))</f>
        <v/>
      </c>
    </row>
    <row r="180">
      <c r="A180" s="48">
        <v>5</v>
      </c>
      <c r="B180" s="53">
        <f>$B$16</f>
        <v>46300</v>
      </c>
      <c r="C180" s="54" t="str">
        <f>IF(OR($B180="",$A180&gt;$B$9,C$175=""),"",IF(COUNTIFS(BD!$B$3:$B$5001,C$175,BD!$A$3:$A$5001,"&gt;="&amp;$C$7,BD!$A$3:$A$5001,"&lt;="&amp;$B180,BD!$W$3:$W$5001,"&lt;&gt;")=0,"",SUMIFS(BD!$W$3:$W$5001,BD!$B$3:$B$5001,C$175,BD!$A$3:$A$5001,_xlfn.MAXIFS(BD!$A$3:$A$5001,BD!$B$3:$B$5001,C$175,BD!$A$3:$A$5001,"&gt;="&amp;$C$7,BD!$A$3:$A$5001,"&lt;="&amp;$B180,BD!$W$3:$W$5001,"&lt;&gt;"))))</f>
        <v/>
      </c>
      <c r="D180" s="54" t="str">
        <f>IF(OR($B180="",$A180&gt;$B$9,D$175=""),"",IF(COUNTIFS(BD!$B$3:$B$5001,D$175,BD!$A$3:$A$5001,"&gt;="&amp;$C$7,BD!$A$3:$A$5001,"&lt;="&amp;$B180,BD!$W$3:$W$5001,"&lt;&gt;")=0,"",SUMIFS(BD!$W$3:$W$5001,BD!$B$3:$B$5001,D$175,BD!$A$3:$A$5001,_xlfn.MAXIFS(BD!$A$3:$A$5001,BD!$B$3:$B$5001,D$175,BD!$A$3:$A$5001,"&gt;="&amp;$C$7,BD!$A$3:$A$5001,"&lt;="&amp;$B180,BD!$W$3:$W$5001,"&lt;&gt;"))))</f>
        <v/>
      </c>
      <c r="E180" s="54" t="str">
        <f>IF(OR($B180="",$A180&gt;$B$9,E$175=""),"",IF(COUNTIFS(BD!$B$3:$B$5001,E$175,BD!$A$3:$A$5001,"&gt;="&amp;$C$7,BD!$A$3:$A$5001,"&lt;="&amp;$B180,BD!$W$3:$W$5001,"&lt;&gt;")=0,"",SUMIFS(BD!$W$3:$W$5001,BD!$B$3:$B$5001,E$175,BD!$A$3:$A$5001,_xlfn.MAXIFS(BD!$A$3:$A$5001,BD!$B$3:$B$5001,E$175,BD!$A$3:$A$5001,"&gt;="&amp;$C$7,BD!$A$3:$A$5001,"&lt;="&amp;$B180,BD!$W$3:$W$5001,"&lt;&gt;"))))</f>
        <v/>
      </c>
      <c r="F180" s="54" t="str">
        <f>IF(OR($B180="",$A180&gt;$B$9,F$175=""),"",IF(COUNTIFS(BD!$B$3:$B$5001,F$175,BD!$A$3:$A$5001,"&gt;="&amp;$C$7,BD!$A$3:$A$5001,"&lt;="&amp;$B180,BD!$W$3:$W$5001,"&lt;&gt;")=0,"",SUMIFS(BD!$W$3:$W$5001,BD!$B$3:$B$5001,F$175,BD!$A$3:$A$5001,_xlfn.MAXIFS(BD!$A$3:$A$5001,BD!$B$3:$B$5001,F$175,BD!$A$3:$A$5001,"&gt;="&amp;$C$7,BD!$A$3:$A$5001,"&lt;="&amp;$B180,BD!$W$3:$W$5001,"&lt;&gt;"))))</f>
        <v/>
      </c>
      <c r="G180" s="54" t="str">
        <f>IF(OR($B180="",$A180&gt;$B$9,G$175=""),"",IF(COUNTIFS(BD!$B$3:$B$5001,G$175,BD!$A$3:$A$5001,"&gt;="&amp;$C$7,BD!$A$3:$A$5001,"&lt;="&amp;$B180,BD!$W$3:$W$5001,"&lt;&gt;")=0,"",SUMIFS(BD!$W$3:$W$5001,BD!$B$3:$B$5001,G$175,BD!$A$3:$A$5001,_xlfn.MAXIFS(BD!$A$3:$A$5001,BD!$B$3:$B$5001,G$175,BD!$A$3:$A$5001,"&gt;="&amp;$C$7,BD!$A$3:$A$5001,"&lt;="&amp;$B180,BD!$W$3:$W$5001,"&lt;&gt;"))))</f>
        <v/>
      </c>
      <c r="H180" s="54" t="str">
        <f>IF(OR($B180="",$A180&gt;$B$9,H$175=""),"",IF(COUNTIFS(BD!$B$3:$B$5001,H$175,BD!$A$3:$A$5001,"&gt;="&amp;$C$7,BD!$A$3:$A$5001,"&lt;="&amp;$B180,BD!$W$3:$W$5001,"&lt;&gt;")=0,"",SUMIFS(BD!$W$3:$W$5001,BD!$B$3:$B$5001,H$175,BD!$A$3:$A$5001,_xlfn.MAXIFS(BD!$A$3:$A$5001,BD!$B$3:$B$5001,H$175,BD!$A$3:$A$5001,"&gt;="&amp;$C$7,BD!$A$3:$A$5001,"&lt;="&amp;$B180,BD!$W$3:$W$5001,"&lt;&gt;"))))</f>
        <v/>
      </c>
      <c r="I180" s="54" t="str">
        <f>IF(OR($B180="",$A180&gt;$B$9,I$175=""),"",IF(COUNTIFS(BD!$B$3:$B$5001,I$175,BD!$A$3:$A$5001,"&gt;="&amp;$C$7,BD!$A$3:$A$5001,"&lt;="&amp;$B180,BD!$W$3:$W$5001,"&lt;&gt;")=0,"",SUMIFS(BD!$W$3:$W$5001,BD!$B$3:$B$5001,I$175,BD!$A$3:$A$5001,_xlfn.MAXIFS(BD!$A$3:$A$5001,BD!$B$3:$B$5001,I$175,BD!$A$3:$A$5001,"&gt;="&amp;$C$7,BD!$A$3:$A$5001,"&lt;="&amp;$B180,BD!$W$3:$W$5001,"&lt;&gt;"))))</f>
        <v/>
      </c>
      <c r="J180" s="54" t="str">
        <f>IF(OR($B180="",$A180&gt;$B$9,J$175=""),"",IF(COUNTIFS(BD!$B$3:$B$5001,J$175,BD!$A$3:$A$5001,"&gt;="&amp;$C$7,BD!$A$3:$A$5001,"&lt;="&amp;$B180,BD!$W$3:$W$5001,"&lt;&gt;")=0,"",SUMIFS(BD!$W$3:$W$5001,BD!$B$3:$B$5001,J$175,BD!$A$3:$A$5001,_xlfn.MAXIFS(BD!$A$3:$A$5001,BD!$B$3:$B$5001,J$175,BD!$A$3:$A$5001,"&gt;="&amp;$C$7,BD!$A$3:$A$5001,"&lt;="&amp;$B180,BD!$W$3:$W$5001,"&lt;&gt;"))))</f>
        <v/>
      </c>
      <c r="K180" s="54" t="str">
        <f>IF(OR($B180="",$A180&gt;$B$9,K$175=""),"",IF(COUNTIFS(BD!$B$3:$B$5001,K$175,BD!$A$3:$A$5001,"&gt;="&amp;$C$7,BD!$A$3:$A$5001,"&lt;="&amp;$B180,BD!$W$3:$W$5001,"&lt;&gt;")=0,"",SUMIFS(BD!$W$3:$W$5001,BD!$B$3:$B$5001,K$175,BD!$A$3:$A$5001,_xlfn.MAXIFS(BD!$A$3:$A$5001,BD!$B$3:$B$5001,K$175,BD!$A$3:$A$5001,"&gt;="&amp;$C$7,BD!$A$3:$A$5001,"&lt;="&amp;$B180,BD!$W$3:$W$5001,"&lt;&gt;"))))</f>
        <v/>
      </c>
      <c r="L180" s="54" t="str">
        <f>IF(OR($B180="",$A180&gt;$B$9,L$175=""),"",IF(COUNTIFS(BD!$B$3:$B$5001,L$175,BD!$A$3:$A$5001,"&gt;="&amp;$C$7,BD!$A$3:$A$5001,"&lt;="&amp;$B180,BD!$W$3:$W$5001,"&lt;&gt;")=0,"",SUMIFS(BD!$W$3:$W$5001,BD!$B$3:$B$5001,L$175,BD!$A$3:$A$5001,_xlfn.MAXIFS(BD!$A$3:$A$5001,BD!$B$3:$B$5001,L$175,BD!$A$3:$A$5001,"&gt;="&amp;$C$7,BD!$A$3:$A$5001,"&lt;="&amp;$B180,BD!$W$3:$W$5001,"&lt;&gt;"))))</f>
        <v/>
      </c>
      <c r="M180" s="54" t="str">
        <f>IF(OR($B180="",$A180&gt;$B$9,M$175=""),"",IF(COUNTIFS(BD!$B$3:$B$5001,M$175,BD!$A$3:$A$5001,"&gt;="&amp;$C$7,BD!$A$3:$A$5001,"&lt;="&amp;$B180,BD!$W$3:$W$5001,"&lt;&gt;")=0,"",SUMIFS(BD!$W$3:$W$5001,BD!$B$3:$B$5001,M$175,BD!$A$3:$A$5001,_xlfn.MAXIFS(BD!$A$3:$A$5001,BD!$B$3:$B$5001,M$175,BD!$A$3:$A$5001,"&gt;="&amp;$C$7,BD!$A$3:$A$5001,"&lt;="&amp;$B180,BD!$W$3:$W$5001,"&lt;&gt;"))))</f>
        <v/>
      </c>
      <c r="N180" s="54" t="str">
        <f>IF(OR($B180="",$A180&gt;$B$9,N$175=""),"",IF(COUNTIFS(BD!$B$3:$B$5001,N$175,BD!$A$3:$A$5001,"&gt;="&amp;$C$7,BD!$A$3:$A$5001,"&lt;="&amp;$B180,BD!$W$3:$W$5001,"&lt;&gt;")=0,"",SUMIFS(BD!$W$3:$W$5001,BD!$B$3:$B$5001,N$175,BD!$A$3:$A$5001,_xlfn.MAXIFS(BD!$A$3:$A$5001,BD!$B$3:$B$5001,N$175,BD!$A$3:$A$5001,"&gt;="&amp;$C$7,BD!$A$3:$A$5001,"&lt;="&amp;$B180,BD!$W$3:$W$5001,"&lt;&gt;"))))</f>
        <v/>
      </c>
      <c r="O180" s="54" t="str">
        <f>IF(OR($B180="",$A180&gt;$B$9,O$175=""),"",IF(COUNTIFS(BD!$B$3:$B$5001,O$175,BD!$A$3:$A$5001,"&gt;="&amp;$C$7,BD!$A$3:$A$5001,"&lt;="&amp;$B180,BD!$W$3:$W$5001,"&lt;&gt;")=0,"",SUMIFS(BD!$W$3:$W$5001,BD!$B$3:$B$5001,O$175,BD!$A$3:$A$5001,_xlfn.MAXIFS(BD!$A$3:$A$5001,BD!$B$3:$B$5001,O$175,BD!$A$3:$A$5001,"&gt;="&amp;$C$7,BD!$A$3:$A$5001,"&lt;="&amp;$B180,BD!$W$3:$W$5001,"&lt;&gt;"))))</f>
        <v/>
      </c>
      <c r="P180" s="54" t="str">
        <f>IF(OR($B180="",$A180&gt;$B$9,P$175=""),"",IF(COUNTIFS(BD!$B$3:$B$5001,P$175,BD!$A$3:$A$5001,"&gt;="&amp;$C$7,BD!$A$3:$A$5001,"&lt;="&amp;$B180,BD!$W$3:$W$5001,"&lt;&gt;")=0,"",SUMIFS(BD!$W$3:$W$5001,BD!$B$3:$B$5001,P$175,BD!$A$3:$A$5001,_xlfn.MAXIFS(BD!$A$3:$A$5001,BD!$B$3:$B$5001,P$175,BD!$A$3:$A$5001,"&gt;="&amp;$C$7,BD!$A$3:$A$5001,"&lt;="&amp;$B180,BD!$W$3:$W$5001,"&lt;&gt;"))))</f>
        <v/>
      </c>
      <c r="Q180" s="54" t="str">
        <f>IF(OR($B180="",$A180&gt;$B$9,Q$175=""),"",IF(COUNTIFS(BD!$B$3:$B$5001,Q$175,BD!$A$3:$A$5001,"&gt;="&amp;$C$7,BD!$A$3:$A$5001,"&lt;="&amp;$B180,BD!$W$3:$W$5001,"&lt;&gt;")=0,"",SUMIFS(BD!$W$3:$W$5001,BD!$B$3:$B$5001,Q$175,BD!$A$3:$A$5001,_xlfn.MAXIFS(BD!$A$3:$A$5001,BD!$B$3:$B$5001,Q$175,BD!$A$3:$A$5001,"&gt;="&amp;$C$7,BD!$A$3:$A$5001,"&lt;="&amp;$B180,BD!$W$3:$W$5001,"&lt;&gt;"))))</f>
        <v/>
      </c>
      <c r="R180" s="54" t="str">
        <f>IF(OR($B180="",$A180&gt;$B$9,R$175=""),"",IF(COUNTIFS(BD!$B$3:$B$5001,R$175,BD!$A$3:$A$5001,"&gt;="&amp;$C$7,BD!$A$3:$A$5001,"&lt;="&amp;$B180,BD!$W$3:$W$5001,"&lt;&gt;")=0,"",SUMIFS(BD!$W$3:$W$5001,BD!$B$3:$B$5001,R$175,BD!$A$3:$A$5001,_xlfn.MAXIFS(BD!$A$3:$A$5001,BD!$B$3:$B$5001,R$175,BD!$A$3:$A$5001,"&gt;="&amp;$C$7,BD!$A$3:$A$5001,"&lt;="&amp;$B180,BD!$W$3:$W$5001,"&lt;&gt;"))))</f>
        <v/>
      </c>
      <c r="S180" s="54" t="str">
        <f>IF(OR($B180="",$A180&gt;$B$9,S$175=""),"",IF(COUNTIFS(BD!$B$3:$B$5001,S$175,BD!$A$3:$A$5001,"&gt;="&amp;$C$7,BD!$A$3:$A$5001,"&lt;="&amp;$B180,BD!$W$3:$W$5001,"&lt;&gt;")=0,"",SUMIFS(BD!$W$3:$W$5001,BD!$B$3:$B$5001,S$175,BD!$A$3:$A$5001,_xlfn.MAXIFS(BD!$A$3:$A$5001,BD!$B$3:$B$5001,S$175,BD!$A$3:$A$5001,"&gt;="&amp;$C$7,BD!$A$3:$A$5001,"&lt;="&amp;$B180,BD!$W$3:$W$5001,"&lt;&gt;"))))</f>
        <v/>
      </c>
      <c r="T180" s="54" t="str">
        <f>IF(OR($B180="",$A180&gt;$B$9,T$175=""),"",IF(COUNTIFS(BD!$B$3:$B$5001,T$175,BD!$A$3:$A$5001,"&gt;="&amp;$C$7,BD!$A$3:$A$5001,"&lt;="&amp;$B180,BD!$W$3:$W$5001,"&lt;&gt;")=0,"",SUMIFS(BD!$W$3:$W$5001,BD!$B$3:$B$5001,T$175,BD!$A$3:$A$5001,_xlfn.MAXIFS(BD!$A$3:$A$5001,BD!$B$3:$B$5001,T$175,BD!$A$3:$A$5001,"&gt;="&amp;$C$7,BD!$A$3:$A$5001,"&lt;="&amp;$B180,BD!$W$3:$W$5001,"&lt;&gt;"))))</f>
        <v/>
      </c>
      <c r="U180" s="54" t="str">
        <f>IF(OR($B180="",$A180&gt;$B$9,U$175=""),"",IF(COUNTIFS(BD!$B$3:$B$5001,U$175,BD!$A$3:$A$5001,"&gt;="&amp;$C$7,BD!$A$3:$A$5001,"&lt;="&amp;$B180,BD!$W$3:$W$5001,"&lt;&gt;")=0,"",SUMIFS(BD!$W$3:$W$5001,BD!$B$3:$B$5001,U$175,BD!$A$3:$A$5001,_xlfn.MAXIFS(BD!$A$3:$A$5001,BD!$B$3:$B$5001,U$175,BD!$A$3:$A$5001,"&gt;="&amp;$C$7,BD!$A$3:$A$5001,"&lt;="&amp;$B180,BD!$W$3:$W$5001,"&lt;&gt;"))))</f>
        <v/>
      </c>
      <c r="V180" s="54" t="str">
        <f>IF(OR($B180="",$A180&gt;$B$9,V$175=""),"",IF(COUNTIFS(BD!$B$3:$B$5001,V$175,BD!$A$3:$A$5001,"&gt;="&amp;$C$7,BD!$A$3:$A$5001,"&lt;="&amp;$B180,BD!$W$3:$W$5001,"&lt;&gt;")=0,"",SUMIFS(BD!$W$3:$W$5001,BD!$B$3:$B$5001,V$175,BD!$A$3:$A$5001,_xlfn.MAXIFS(BD!$A$3:$A$5001,BD!$B$3:$B$5001,V$175,BD!$A$3:$A$5001,"&gt;="&amp;$C$7,BD!$A$3:$A$5001,"&lt;="&amp;$B180,BD!$W$3:$W$5001,"&lt;&gt;"))))</f>
        <v/>
      </c>
    </row>
    <row r="181">
      <c r="A181" s="48">
        <v>6</v>
      </c>
      <c r="B181" s="53">
        <f>$B$17</f>
        <v>46301</v>
      </c>
      <c r="C181" s="54" t="str">
        <f>IF(OR($B181="",$A181&gt;$B$9,C$175=""),"",IF(COUNTIFS(BD!$B$3:$B$5001,C$175,BD!$A$3:$A$5001,"&gt;="&amp;$C$7,BD!$A$3:$A$5001,"&lt;="&amp;$B181,BD!$W$3:$W$5001,"&lt;&gt;")=0,"",SUMIFS(BD!$W$3:$W$5001,BD!$B$3:$B$5001,C$175,BD!$A$3:$A$5001,_xlfn.MAXIFS(BD!$A$3:$A$5001,BD!$B$3:$B$5001,C$175,BD!$A$3:$A$5001,"&gt;="&amp;$C$7,BD!$A$3:$A$5001,"&lt;="&amp;$B181,BD!$W$3:$W$5001,"&lt;&gt;"))))</f>
        <v/>
      </c>
      <c r="D181" s="54" t="str">
        <f>IF(OR($B181="",$A181&gt;$B$9,D$175=""),"",IF(COUNTIFS(BD!$B$3:$B$5001,D$175,BD!$A$3:$A$5001,"&gt;="&amp;$C$7,BD!$A$3:$A$5001,"&lt;="&amp;$B181,BD!$W$3:$W$5001,"&lt;&gt;")=0,"",SUMIFS(BD!$W$3:$W$5001,BD!$B$3:$B$5001,D$175,BD!$A$3:$A$5001,_xlfn.MAXIFS(BD!$A$3:$A$5001,BD!$B$3:$B$5001,D$175,BD!$A$3:$A$5001,"&gt;="&amp;$C$7,BD!$A$3:$A$5001,"&lt;="&amp;$B181,BD!$W$3:$W$5001,"&lt;&gt;"))))</f>
        <v/>
      </c>
      <c r="E181" s="54" t="str">
        <f>IF(OR($B181="",$A181&gt;$B$9,E$175=""),"",IF(COUNTIFS(BD!$B$3:$B$5001,E$175,BD!$A$3:$A$5001,"&gt;="&amp;$C$7,BD!$A$3:$A$5001,"&lt;="&amp;$B181,BD!$W$3:$W$5001,"&lt;&gt;")=0,"",SUMIFS(BD!$W$3:$W$5001,BD!$B$3:$B$5001,E$175,BD!$A$3:$A$5001,_xlfn.MAXIFS(BD!$A$3:$A$5001,BD!$B$3:$B$5001,E$175,BD!$A$3:$A$5001,"&gt;="&amp;$C$7,BD!$A$3:$A$5001,"&lt;="&amp;$B181,BD!$W$3:$W$5001,"&lt;&gt;"))))</f>
        <v/>
      </c>
      <c r="F181" s="54" t="str">
        <f>IF(OR($B181="",$A181&gt;$B$9,F$175=""),"",IF(COUNTIFS(BD!$B$3:$B$5001,F$175,BD!$A$3:$A$5001,"&gt;="&amp;$C$7,BD!$A$3:$A$5001,"&lt;="&amp;$B181,BD!$W$3:$W$5001,"&lt;&gt;")=0,"",SUMIFS(BD!$W$3:$W$5001,BD!$B$3:$B$5001,F$175,BD!$A$3:$A$5001,_xlfn.MAXIFS(BD!$A$3:$A$5001,BD!$B$3:$B$5001,F$175,BD!$A$3:$A$5001,"&gt;="&amp;$C$7,BD!$A$3:$A$5001,"&lt;="&amp;$B181,BD!$W$3:$W$5001,"&lt;&gt;"))))</f>
        <v/>
      </c>
      <c r="G181" s="54" t="str">
        <f>IF(OR($B181="",$A181&gt;$B$9,G$175=""),"",IF(COUNTIFS(BD!$B$3:$B$5001,G$175,BD!$A$3:$A$5001,"&gt;="&amp;$C$7,BD!$A$3:$A$5001,"&lt;="&amp;$B181,BD!$W$3:$W$5001,"&lt;&gt;")=0,"",SUMIFS(BD!$W$3:$W$5001,BD!$B$3:$B$5001,G$175,BD!$A$3:$A$5001,_xlfn.MAXIFS(BD!$A$3:$A$5001,BD!$B$3:$B$5001,G$175,BD!$A$3:$A$5001,"&gt;="&amp;$C$7,BD!$A$3:$A$5001,"&lt;="&amp;$B181,BD!$W$3:$W$5001,"&lt;&gt;"))))</f>
        <v/>
      </c>
      <c r="H181" s="54" t="str">
        <f>IF(OR($B181="",$A181&gt;$B$9,H$175=""),"",IF(COUNTIFS(BD!$B$3:$B$5001,H$175,BD!$A$3:$A$5001,"&gt;="&amp;$C$7,BD!$A$3:$A$5001,"&lt;="&amp;$B181,BD!$W$3:$W$5001,"&lt;&gt;")=0,"",SUMIFS(BD!$W$3:$W$5001,BD!$B$3:$B$5001,H$175,BD!$A$3:$A$5001,_xlfn.MAXIFS(BD!$A$3:$A$5001,BD!$B$3:$B$5001,H$175,BD!$A$3:$A$5001,"&gt;="&amp;$C$7,BD!$A$3:$A$5001,"&lt;="&amp;$B181,BD!$W$3:$W$5001,"&lt;&gt;"))))</f>
        <v/>
      </c>
      <c r="I181" s="54" t="str">
        <f>IF(OR($B181="",$A181&gt;$B$9,I$175=""),"",IF(COUNTIFS(BD!$B$3:$B$5001,I$175,BD!$A$3:$A$5001,"&gt;="&amp;$C$7,BD!$A$3:$A$5001,"&lt;="&amp;$B181,BD!$W$3:$W$5001,"&lt;&gt;")=0,"",SUMIFS(BD!$W$3:$W$5001,BD!$B$3:$B$5001,I$175,BD!$A$3:$A$5001,_xlfn.MAXIFS(BD!$A$3:$A$5001,BD!$B$3:$B$5001,I$175,BD!$A$3:$A$5001,"&gt;="&amp;$C$7,BD!$A$3:$A$5001,"&lt;="&amp;$B181,BD!$W$3:$W$5001,"&lt;&gt;"))))</f>
        <v/>
      </c>
      <c r="J181" s="54" t="str">
        <f>IF(OR($B181="",$A181&gt;$B$9,J$175=""),"",IF(COUNTIFS(BD!$B$3:$B$5001,J$175,BD!$A$3:$A$5001,"&gt;="&amp;$C$7,BD!$A$3:$A$5001,"&lt;="&amp;$B181,BD!$W$3:$W$5001,"&lt;&gt;")=0,"",SUMIFS(BD!$W$3:$W$5001,BD!$B$3:$B$5001,J$175,BD!$A$3:$A$5001,_xlfn.MAXIFS(BD!$A$3:$A$5001,BD!$B$3:$B$5001,J$175,BD!$A$3:$A$5001,"&gt;="&amp;$C$7,BD!$A$3:$A$5001,"&lt;="&amp;$B181,BD!$W$3:$W$5001,"&lt;&gt;"))))</f>
        <v/>
      </c>
      <c r="K181" s="54" t="str">
        <f>IF(OR($B181="",$A181&gt;$B$9,K$175=""),"",IF(COUNTIFS(BD!$B$3:$B$5001,K$175,BD!$A$3:$A$5001,"&gt;="&amp;$C$7,BD!$A$3:$A$5001,"&lt;="&amp;$B181,BD!$W$3:$W$5001,"&lt;&gt;")=0,"",SUMIFS(BD!$W$3:$W$5001,BD!$B$3:$B$5001,K$175,BD!$A$3:$A$5001,_xlfn.MAXIFS(BD!$A$3:$A$5001,BD!$B$3:$B$5001,K$175,BD!$A$3:$A$5001,"&gt;="&amp;$C$7,BD!$A$3:$A$5001,"&lt;="&amp;$B181,BD!$W$3:$W$5001,"&lt;&gt;"))))</f>
        <v/>
      </c>
      <c r="L181" s="54" t="str">
        <f>IF(OR($B181="",$A181&gt;$B$9,L$175=""),"",IF(COUNTIFS(BD!$B$3:$B$5001,L$175,BD!$A$3:$A$5001,"&gt;="&amp;$C$7,BD!$A$3:$A$5001,"&lt;="&amp;$B181,BD!$W$3:$W$5001,"&lt;&gt;")=0,"",SUMIFS(BD!$W$3:$W$5001,BD!$B$3:$B$5001,L$175,BD!$A$3:$A$5001,_xlfn.MAXIFS(BD!$A$3:$A$5001,BD!$B$3:$B$5001,L$175,BD!$A$3:$A$5001,"&gt;="&amp;$C$7,BD!$A$3:$A$5001,"&lt;="&amp;$B181,BD!$W$3:$W$5001,"&lt;&gt;"))))</f>
        <v/>
      </c>
      <c r="M181" s="54" t="str">
        <f>IF(OR($B181="",$A181&gt;$B$9,M$175=""),"",IF(COUNTIFS(BD!$B$3:$B$5001,M$175,BD!$A$3:$A$5001,"&gt;="&amp;$C$7,BD!$A$3:$A$5001,"&lt;="&amp;$B181,BD!$W$3:$W$5001,"&lt;&gt;")=0,"",SUMIFS(BD!$W$3:$W$5001,BD!$B$3:$B$5001,M$175,BD!$A$3:$A$5001,_xlfn.MAXIFS(BD!$A$3:$A$5001,BD!$B$3:$B$5001,M$175,BD!$A$3:$A$5001,"&gt;="&amp;$C$7,BD!$A$3:$A$5001,"&lt;="&amp;$B181,BD!$W$3:$W$5001,"&lt;&gt;"))))</f>
        <v/>
      </c>
      <c r="N181" s="54" t="str">
        <f>IF(OR($B181="",$A181&gt;$B$9,N$175=""),"",IF(COUNTIFS(BD!$B$3:$B$5001,N$175,BD!$A$3:$A$5001,"&gt;="&amp;$C$7,BD!$A$3:$A$5001,"&lt;="&amp;$B181,BD!$W$3:$W$5001,"&lt;&gt;")=0,"",SUMIFS(BD!$W$3:$W$5001,BD!$B$3:$B$5001,N$175,BD!$A$3:$A$5001,_xlfn.MAXIFS(BD!$A$3:$A$5001,BD!$B$3:$B$5001,N$175,BD!$A$3:$A$5001,"&gt;="&amp;$C$7,BD!$A$3:$A$5001,"&lt;="&amp;$B181,BD!$W$3:$W$5001,"&lt;&gt;"))))</f>
        <v/>
      </c>
      <c r="O181" s="54" t="str">
        <f>IF(OR($B181="",$A181&gt;$B$9,O$175=""),"",IF(COUNTIFS(BD!$B$3:$B$5001,O$175,BD!$A$3:$A$5001,"&gt;="&amp;$C$7,BD!$A$3:$A$5001,"&lt;="&amp;$B181,BD!$W$3:$W$5001,"&lt;&gt;")=0,"",SUMIFS(BD!$W$3:$W$5001,BD!$B$3:$B$5001,O$175,BD!$A$3:$A$5001,_xlfn.MAXIFS(BD!$A$3:$A$5001,BD!$B$3:$B$5001,O$175,BD!$A$3:$A$5001,"&gt;="&amp;$C$7,BD!$A$3:$A$5001,"&lt;="&amp;$B181,BD!$W$3:$W$5001,"&lt;&gt;"))))</f>
        <v/>
      </c>
      <c r="P181" s="54" t="str">
        <f>IF(OR($B181="",$A181&gt;$B$9,P$175=""),"",IF(COUNTIFS(BD!$B$3:$B$5001,P$175,BD!$A$3:$A$5001,"&gt;="&amp;$C$7,BD!$A$3:$A$5001,"&lt;="&amp;$B181,BD!$W$3:$W$5001,"&lt;&gt;")=0,"",SUMIFS(BD!$W$3:$W$5001,BD!$B$3:$B$5001,P$175,BD!$A$3:$A$5001,_xlfn.MAXIFS(BD!$A$3:$A$5001,BD!$B$3:$B$5001,P$175,BD!$A$3:$A$5001,"&gt;="&amp;$C$7,BD!$A$3:$A$5001,"&lt;="&amp;$B181,BD!$W$3:$W$5001,"&lt;&gt;"))))</f>
        <v/>
      </c>
      <c r="Q181" s="54" t="str">
        <f>IF(OR($B181="",$A181&gt;$B$9,Q$175=""),"",IF(COUNTIFS(BD!$B$3:$B$5001,Q$175,BD!$A$3:$A$5001,"&gt;="&amp;$C$7,BD!$A$3:$A$5001,"&lt;="&amp;$B181,BD!$W$3:$W$5001,"&lt;&gt;")=0,"",SUMIFS(BD!$W$3:$W$5001,BD!$B$3:$B$5001,Q$175,BD!$A$3:$A$5001,_xlfn.MAXIFS(BD!$A$3:$A$5001,BD!$B$3:$B$5001,Q$175,BD!$A$3:$A$5001,"&gt;="&amp;$C$7,BD!$A$3:$A$5001,"&lt;="&amp;$B181,BD!$W$3:$W$5001,"&lt;&gt;"))))</f>
        <v/>
      </c>
      <c r="R181" s="54" t="str">
        <f>IF(OR($B181="",$A181&gt;$B$9,R$175=""),"",IF(COUNTIFS(BD!$B$3:$B$5001,R$175,BD!$A$3:$A$5001,"&gt;="&amp;$C$7,BD!$A$3:$A$5001,"&lt;="&amp;$B181,BD!$W$3:$W$5001,"&lt;&gt;")=0,"",SUMIFS(BD!$W$3:$W$5001,BD!$B$3:$B$5001,R$175,BD!$A$3:$A$5001,_xlfn.MAXIFS(BD!$A$3:$A$5001,BD!$B$3:$B$5001,R$175,BD!$A$3:$A$5001,"&gt;="&amp;$C$7,BD!$A$3:$A$5001,"&lt;="&amp;$B181,BD!$W$3:$W$5001,"&lt;&gt;"))))</f>
        <v/>
      </c>
      <c r="S181" s="54" t="str">
        <f>IF(OR($B181="",$A181&gt;$B$9,S$175=""),"",IF(COUNTIFS(BD!$B$3:$B$5001,S$175,BD!$A$3:$A$5001,"&gt;="&amp;$C$7,BD!$A$3:$A$5001,"&lt;="&amp;$B181,BD!$W$3:$W$5001,"&lt;&gt;")=0,"",SUMIFS(BD!$W$3:$W$5001,BD!$B$3:$B$5001,S$175,BD!$A$3:$A$5001,_xlfn.MAXIFS(BD!$A$3:$A$5001,BD!$B$3:$B$5001,S$175,BD!$A$3:$A$5001,"&gt;="&amp;$C$7,BD!$A$3:$A$5001,"&lt;="&amp;$B181,BD!$W$3:$W$5001,"&lt;&gt;"))))</f>
        <v/>
      </c>
      <c r="T181" s="54" t="str">
        <f>IF(OR($B181="",$A181&gt;$B$9,T$175=""),"",IF(COUNTIFS(BD!$B$3:$B$5001,T$175,BD!$A$3:$A$5001,"&gt;="&amp;$C$7,BD!$A$3:$A$5001,"&lt;="&amp;$B181,BD!$W$3:$W$5001,"&lt;&gt;")=0,"",SUMIFS(BD!$W$3:$W$5001,BD!$B$3:$B$5001,T$175,BD!$A$3:$A$5001,_xlfn.MAXIFS(BD!$A$3:$A$5001,BD!$B$3:$B$5001,T$175,BD!$A$3:$A$5001,"&gt;="&amp;$C$7,BD!$A$3:$A$5001,"&lt;="&amp;$B181,BD!$W$3:$W$5001,"&lt;&gt;"))))</f>
        <v/>
      </c>
      <c r="U181" s="54" t="str">
        <f>IF(OR($B181="",$A181&gt;$B$9,U$175=""),"",IF(COUNTIFS(BD!$B$3:$B$5001,U$175,BD!$A$3:$A$5001,"&gt;="&amp;$C$7,BD!$A$3:$A$5001,"&lt;="&amp;$B181,BD!$W$3:$W$5001,"&lt;&gt;")=0,"",SUMIFS(BD!$W$3:$W$5001,BD!$B$3:$B$5001,U$175,BD!$A$3:$A$5001,_xlfn.MAXIFS(BD!$A$3:$A$5001,BD!$B$3:$B$5001,U$175,BD!$A$3:$A$5001,"&gt;="&amp;$C$7,BD!$A$3:$A$5001,"&lt;="&amp;$B181,BD!$W$3:$W$5001,"&lt;&gt;"))))</f>
        <v/>
      </c>
      <c r="V181" s="54" t="str">
        <f>IF(OR($B181="",$A181&gt;$B$9,V$175=""),"",IF(COUNTIFS(BD!$B$3:$B$5001,V$175,BD!$A$3:$A$5001,"&gt;="&amp;$C$7,BD!$A$3:$A$5001,"&lt;="&amp;$B181,BD!$W$3:$W$5001,"&lt;&gt;")=0,"",SUMIFS(BD!$W$3:$W$5001,BD!$B$3:$B$5001,V$175,BD!$A$3:$A$5001,_xlfn.MAXIFS(BD!$A$3:$A$5001,BD!$B$3:$B$5001,V$175,BD!$A$3:$A$5001,"&gt;="&amp;$C$7,BD!$A$3:$A$5001,"&lt;="&amp;$B181,BD!$W$3:$W$5001,"&lt;&gt;"))))</f>
        <v/>
      </c>
    </row>
    <row r="182">
      <c r="A182" s="48">
        <v>7</v>
      </c>
      <c r="B182" s="53">
        <f>$B$18</f>
        <v>46302</v>
      </c>
      <c r="C182" s="54" t="str">
        <f>IF(OR($B182="",$A182&gt;$B$9,C$175=""),"",IF(COUNTIFS(BD!$B$3:$B$5001,C$175,BD!$A$3:$A$5001,"&gt;="&amp;$C$7,BD!$A$3:$A$5001,"&lt;="&amp;$B182,BD!$W$3:$W$5001,"&lt;&gt;")=0,"",SUMIFS(BD!$W$3:$W$5001,BD!$B$3:$B$5001,C$175,BD!$A$3:$A$5001,_xlfn.MAXIFS(BD!$A$3:$A$5001,BD!$B$3:$B$5001,C$175,BD!$A$3:$A$5001,"&gt;="&amp;$C$7,BD!$A$3:$A$5001,"&lt;="&amp;$B182,BD!$W$3:$W$5001,"&lt;&gt;"))))</f>
        <v/>
      </c>
      <c r="D182" s="54" t="str">
        <f>IF(OR($B182="",$A182&gt;$B$9,D$175=""),"",IF(COUNTIFS(BD!$B$3:$B$5001,D$175,BD!$A$3:$A$5001,"&gt;="&amp;$C$7,BD!$A$3:$A$5001,"&lt;="&amp;$B182,BD!$W$3:$W$5001,"&lt;&gt;")=0,"",SUMIFS(BD!$W$3:$W$5001,BD!$B$3:$B$5001,D$175,BD!$A$3:$A$5001,_xlfn.MAXIFS(BD!$A$3:$A$5001,BD!$B$3:$B$5001,D$175,BD!$A$3:$A$5001,"&gt;="&amp;$C$7,BD!$A$3:$A$5001,"&lt;="&amp;$B182,BD!$W$3:$W$5001,"&lt;&gt;"))))</f>
        <v/>
      </c>
      <c r="E182" s="54" t="str">
        <f>IF(OR($B182="",$A182&gt;$B$9,E$175=""),"",IF(COUNTIFS(BD!$B$3:$B$5001,E$175,BD!$A$3:$A$5001,"&gt;="&amp;$C$7,BD!$A$3:$A$5001,"&lt;="&amp;$B182,BD!$W$3:$W$5001,"&lt;&gt;")=0,"",SUMIFS(BD!$W$3:$W$5001,BD!$B$3:$B$5001,E$175,BD!$A$3:$A$5001,_xlfn.MAXIFS(BD!$A$3:$A$5001,BD!$B$3:$B$5001,E$175,BD!$A$3:$A$5001,"&gt;="&amp;$C$7,BD!$A$3:$A$5001,"&lt;="&amp;$B182,BD!$W$3:$W$5001,"&lt;&gt;"))))</f>
        <v/>
      </c>
      <c r="F182" s="54" t="str">
        <f>IF(OR($B182="",$A182&gt;$B$9,F$175=""),"",IF(COUNTIFS(BD!$B$3:$B$5001,F$175,BD!$A$3:$A$5001,"&gt;="&amp;$C$7,BD!$A$3:$A$5001,"&lt;="&amp;$B182,BD!$W$3:$W$5001,"&lt;&gt;")=0,"",SUMIFS(BD!$W$3:$W$5001,BD!$B$3:$B$5001,F$175,BD!$A$3:$A$5001,_xlfn.MAXIFS(BD!$A$3:$A$5001,BD!$B$3:$B$5001,F$175,BD!$A$3:$A$5001,"&gt;="&amp;$C$7,BD!$A$3:$A$5001,"&lt;="&amp;$B182,BD!$W$3:$W$5001,"&lt;&gt;"))))</f>
        <v/>
      </c>
      <c r="G182" s="54" t="str">
        <f>IF(OR($B182="",$A182&gt;$B$9,G$175=""),"",IF(COUNTIFS(BD!$B$3:$B$5001,G$175,BD!$A$3:$A$5001,"&gt;="&amp;$C$7,BD!$A$3:$A$5001,"&lt;="&amp;$B182,BD!$W$3:$W$5001,"&lt;&gt;")=0,"",SUMIFS(BD!$W$3:$W$5001,BD!$B$3:$B$5001,G$175,BD!$A$3:$A$5001,_xlfn.MAXIFS(BD!$A$3:$A$5001,BD!$B$3:$B$5001,G$175,BD!$A$3:$A$5001,"&gt;="&amp;$C$7,BD!$A$3:$A$5001,"&lt;="&amp;$B182,BD!$W$3:$W$5001,"&lt;&gt;"))))</f>
        <v/>
      </c>
      <c r="H182" s="54" t="str">
        <f>IF(OR($B182="",$A182&gt;$B$9,H$175=""),"",IF(COUNTIFS(BD!$B$3:$B$5001,H$175,BD!$A$3:$A$5001,"&gt;="&amp;$C$7,BD!$A$3:$A$5001,"&lt;="&amp;$B182,BD!$W$3:$W$5001,"&lt;&gt;")=0,"",SUMIFS(BD!$W$3:$W$5001,BD!$B$3:$B$5001,H$175,BD!$A$3:$A$5001,_xlfn.MAXIFS(BD!$A$3:$A$5001,BD!$B$3:$B$5001,H$175,BD!$A$3:$A$5001,"&gt;="&amp;$C$7,BD!$A$3:$A$5001,"&lt;="&amp;$B182,BD!$W$3:$W$5001,"&lt;&gt;"))))</f>
        <v/>
      </c>
      <c r="I182" s="54" t="str">
        <f>IF(OR($B182="",$A182&gt;$B$9,I$175=""),"",IF(COUNTIFS(BD!$B$3:$B$5001,I$175,BD!$A$3:$A$5001,"&gt;="&amp;$C$7,BD!$A$3:$A$5001,"&lt;="&amp;$B182,BD!$W$3:$W$5001,"&lt;&gt;")=0,"",SUMIFS(BD!$W$3:$W$5001,BD!$B$3:$B$5001,I$175,BD!$A$3:$A$5001,_xlfn.MAXIFS(BD!$A$3:$A$5001,BD!$B$3:$B$5001,I$175,BD!$A$3:$A$5001,"&gt;="&amp;$C$7,BD!$A$3:$A$5001,"&lt;="&amp;$B182,BD!$W$3:$W$5001,"&lt;&gt;"))))</f>
        <v/>
      </c>
      <c r="J182" s="54" t="str">
        <f>IF(OR($B182="",$A182&gt;$B$9,J$175=""),"",IF(COUNTIFS(BD!$B$3:$B$5001,J$175,BD!$A$3:$A$5001,"&gt;="&amp;$C$7,BD!$A$3:$A$5001,"&lt;="&amp;$B182,BD!$W$3:$W$5001,"&lt;&gt;")=0,"",SUMIFS(BD!$W$3:$W$5001,BD!$B$3:$B$5001,J$175,BD!$A$3:$A$5001,_xlfn.MAXIFS(BD!$A$3:$A$5001,BD!$B$3:$B$5001,J$175,BD!$A$3:$A$5001,"&gt;="&amp;$C$7,BD!$A$3:$A$5001,"&lt;="&amp;$B182,BD!$W$3:$W$5001,"&lt;&gt;"))))</f>
        <v/>
      </c>
      <c r="K182" s="54" t="str">
        <f>IF(OR($B182="",$A182&gt;$B$9,K$175=""),"",IF(COUNTIFS(BD!$B$3:$B$5001,K$175,BD!$A$3:$A$5001,"&gt;="&amp;$C$7,BD!$A$3:$A$5001,"&lt;="&amp;$B182,BD!$W$3:$W$5001,"&lt;&gt;")=0,"",SUMIFS(BD!$W$3:$W$5001,BD!$B$3:$B$5001,K$175,BD!$A$3:$A$5001,_xlfn.MAXIFS(BD!$A$3:$A$5001,BD!$B$3:$B$5001,K$175,BD!$A$3:$A$5001,"&gt;="&amp;$C$7,BD!$A$3:$A$5001,"&lt;="&amp;$B182,BD!$W$3:$W$5001,"&lt;&gt;"))))</f>
        <v/>
      </c>
      <c r="L182" s="54" t="str">
        <f>IF(OR($B182="",$A182&gt;$B$9,L$175=""),"",IF(COUNTIFS(BD!$B$3:$B$5001,L$175,BD!$A$3:$A$5001,"&gt;="&amp;$C$7,BD!$A$3:$A$5001,"&lt;="&amp;$B182,BD!$W$3:$W$5001,"&lt;&gt;")=0,"",SUMIFS(BD!$W$3:$W$5001,BD!$B$3:$B$5001,L$175,BD!$A$3:$A$5001,_xlfn.MAXIFS(BD!$A$3:$A$5001,BD!$B$3:$B$5001,L$175,BD!$A$3:$A$5001,"&gt;="&amp;$C$7,BD!$A$3:$A$5001,"&lt;="&amp;$B182,BD!$W$3:$W$5001,"&lt;&gt;"))))</f>
        <v/>
      </c>
      <c r="M182" s="54" t="str">
        <f>IF(OR($B182="",$A182&gt;$B$9,M$175=""),"",IF(COUNTIFS(BD!$B$3:$B$5001,M$175,BD!$A$3:$A$5001,"&gt;="&amp;$C$7,BD!$A$3:$A$5001,"&lt;="&amp;$B182,BD!$W$3:$W$5001,"&lt;&gt;")=0,"",SUMIFS(BD!$W$3:$W$5001,BD!$B$3:$B$5001,M$175,BD!$A$3:$A$5001,_xlfn.MAXIFS(BD!$A$3:$A$5001,BD!$B$3:$B$5001,M$175,BD!$A$3:$A$5001,"&gt;="&amp;$C$7,BD!$A$3:$A$5001,"&lt;="&amp;$B182,BD!$W$3:$W$5001,"&lt;&gt;"))))</f>
        <v/>
      </c>
      <c r="N182" s="54" t="str">
        <f>IF(OR($B182="",$A182&gt;$B$9,N$175=""),"",IF(COUNTIFS(BD!$B$3:$B$5001,N$175,BD!$A$3:$A$5001,"&gt;="&amp;$C$7,BD!$A$3:$A$5001,"&lt;="&amp;$B182,BD!$W$3:$W$5001,"&lt;&gt;")=0,"",SUMIFS(BD!$W$3:$W$5001,BD!$B$3:$B$5001,N$175,BD!$A$3:$A$5001,_xlfn.MAXIFS(BD!$A$3:$A$5001,BD!$B$3:$B$5001,N$175,BD!$A$3:$A$5001,"&gt;="&amp;$C$7,BD!$A$3:$A$5001,"&lt;="&amp;$B182,BD!$W$3:$W$5001,"&lt;&gt;"))))</f>
        <v/>
      </c>
      <c r="O182" s="54" t="str">
        <f>IF(OR($B182="",$A182&gt;$B$9,O$175=""),"",IF(COUNTIFS(BD!$B$3:$B$5001,O$175,BD!$A$3:$A$5001,"&gt;="&amp;$C$7,BD!$A$3:$A$5001,"&lt;="&amp;$B182,BD!$W$3:$W$5001,"&lt;&gt;")=0,"",SUMIFS(BD!$W$3:$W$5001,BD!$B$3:$B$5001,O$175,BD!$A$3:$A$5001,_xlfn.MAXIFS(BD!$A$3:$A$5001,BD!$B$3:$B$5001,O$175,BD!$A$3:$A$5001,"&gt;="&amp;$C$7,BD!$A$3:$A$5001,"&lt;="&amp;$B182,BD!$W$3:$W$5001,"&lt;&gt;"))))</f>
        <v/>
      </c>
      <c r="P182" s="54" t="str">
        <f>IF(OR($B182="",$A182&gt;$B$9,P$175=""),"",IF(COUNTIFS(BD!$B$3:$B$5001,P$175,BD!$A$3:$A$5001,"&gt;="&amp;$C$7,BD!$A$3:$A$5001,"&lt;="&amp;$B182,BD!$W$3:$W$5001,"&lt;&gt;")=0,"",SUMIFS(BD!$W$3:$W$5001,BD!$B$3:$B$5001,P$175,BD!$A$3:$A$5001,_xlfn.MAXIFS(BD!$A$3:$A$5001,BD!$B$3:$B$5001,P$175,BD!$A$3:$A$5001,"&gt;="&amp;$C$7,BD!$A$3:$A$5001,"&lt;="&amp;$B182,BD!$W$3:$W$5001,"&lt;&gt;"))))</f>
        <v/>
      </c>
      <c r="Q182" s="54" t="str">
        <f>IF(OR($B182="",$A182&gt;$B$9,Q$175=""),"",IF(COUNTIFS(BD!$B$3:$B$5001,Q$175,BD!$A$3:$A$5001,"&gt;="&amp;$C$7,BD!$A$3:$A$5001,"&lt;="&amp;$B182,BD!$W$3:$W$5001,"&lt;&gt;")=0,"",SUMIFS(BD!$W$3:$W$5001,BD!$B$3:$B$5001,Q$175,BD!$A$3:$A$5001,_xlfn.MAXIFS(BD!$A$3:$A$5001,BD!$B$3:$B$5001,Q$175,BD!$A$3:$A$5001,"&gt;="&amp;$C$7,BD!$A$3:$A$5001,"&lt;="&amp;$B182,BD!$W$3:$W$5001,"&lt;&gt;"))))</f>
        <v/>
      </c>
      <c r="R182" s="54" t="str">
        <f>IF(OR($B182="",$A182&gt;$B$9,R$175=""),"",IF(COUNTIFS(BD!$B$3:$B$5001,R$175,BD!$A$3:$A$5001,"&gt;="&amp;$C$7,BD!$A$3:$A$5001,"&lt;="&amp;$B182,BD!$W$3:$W$5001,"&lt;&gt;")=0,"",SUMIFS(BD!$W$3:$W$5001,BD!$B$3:$B$5001,R$175,BD!$A$3:$A$5001,_xlfn.MAXIFS(BD!$A$3:$A$5001,BD!$B$3:$B$5001,R$175,BD!$A$3:$A$5001,"&gt;="&amp;$C$7,BD!$A$3:$A$5001,"&lt;="&amp;$B182,BD!$W$3:$W$5001,"&lt;&gt;"))))</f>
        <v/>
      </c>
      <c r="S182" s="54" t="str">
        <f>IF(OR($B182="",$A182&gt;$B$9,S$175=""),"",IF(COUNTIFS(BD!$B$3:$B$5001,S$175,BD!$A$3:$A$5001,"&gt;="&amp;$C$7,BD!$A$3:$A$5001,"&lt;="&amp;$B182,BD!$W$3:$W$5001,"&lt;&gt;")=0,"",SUMIFS(BD!$W$3:$W$5001,BD!$B$3:$B$5001,S$175,BD!$A$3:$A$5001,_xlfn.MAXIFS(BD!$A$3:$A$5001,BD!$B$3:$B$5001,S$175,BD!$A$3:$A$5001,"&gt;="&amp;$C$7,BD!$A$3:$A$5001,"&lt;="&amp;$B182,BD!$W$3:$W$5001,"&lt;&gt;"))))</f>
        <v/>
      </c>
      <c r="T182" s="54" t="str">
        <f>IF(OR($B182="",$A182&gt;$B$9,T$175=""),"",IF(COUNTIFS(BD!$B$3:$B$5001,T$175,BD!$A$3:$A$5001,"&gt;="&amp;$C$7,BD!$A$3:$A$5001,"&lt;="&amp;$B182,BD!$W$3:$W$5001,"&lt;&gt;")=0,"",SUMIFS(BD!$W$3:$W$5001,BD!$B$3:$B$5001,T$175,BD!$A$3:$A$5001,_xlfn.MAXIFS(BD!$A$3:$A$5001,BD!$B$3:$B$5001,T$175,BD!$A$3:$A$5001,"&gt;="&amp;$C$7,BD!$A$3:$A$5001,"&lt;="&amp;$B182,BD!$W$3:$W$5001,"&lt;&gt;"))))</f>
        <v/>
      </c>
      <c r="U182" s="54" t="str">
        <f>IF(OR($B182="",$A182&gt;$B$9,U$175=""),"",IF(COUNTIFS(BD!$B$3:$B$5001,U$175,BD!$A$3:$A$5001,"&gt;="&amp;$C$7,BD!$A$3:$A$5001,"&lt;="&amp;$B182,BD!$W$3:$W$5001,"&lt;&gt;")=0,"",SUMIFS(BD!$W$3:$W$5001,BD!$B$3:$B$5001,U$175,BD!$A$3:$A$5001,_xlfn.MAXIFS(BD!$A$3:$A$5001,BD!$B$3:$B$5001,U$175,BD!$A$3:$A$5001,"&gt;="&amp;$C$7,BD!$A$3:$A$5001,"&lt;="&amp;$B182,BD!$W$3:$W$5001,"&lt;&gt;"))))</f>
        <v/>
      </c>
      <c r="V182" s="54" t="str">
        <f>IF(OR($B182="",$A182&gt;$B$9,V$175=""),"",IF(COUNTIFS(BD!$B$3:$B$5001,V$175,BD!$A$3:$A$5001,"&gt;="&amp;$C$7,BD!$A$3:$A$5001,"&lt;="&amp;$B182,BD!$W$3:$W$5001,"&lt;&gt;")=0,"",SUMIFS(BD!$W$3:$W$5001,BD!$B$3:$B$5001,V$175,BD!$A$3:$A$5001,_xlfn.MAXIFS(BD!$A$3:$A$5001,BD!$B$3:$B$5001,V$175,BD!$A$3:$A$5001,"&gt;="&amp;$C$7,BD!$A$3:$A$5001,"&lt;="&amp;$B182,BD!$W$3:$W$5001,"&lt;&gt;"))))</f>
        <v/>
      </c>
    </row>
    <row r="183">
      <c r="A183" s="48">
        <v>8</v>
      </c>
      <c r="B183" s="53">
        <f>$B$19</f>
        <v>46303</v>
      </c>
      <c r="C183" s="54" t="str">
        <f>IF(OR($B183="",$A183&gt;$B$9,C$175=""),"",IF(COUNTIFS(BD!$B$3:$B$5001,C$175,BD!$A$3:$A$5001,"&gt;="&amp;$C$7,BD!$A$3:$A$5001,"&lt;="&amp;$B183,BD!$W$3:$W$5001,"&lt;&gt;")=0,"",SUMIFS(BD!$W$3:$W$5001,BD!$B$3:$B$5001,C$175,BD!$A$3:$A$5001,_xlfn.MAXIFS(BD!$A$3:$A$5001,BD!$B$3:$B$5001,C$175,BD!$A$3:$A$5001,"&gt;="&amp;$C$7,BD!$A$3:$A$5001,"&lt;="&amp;$B183,BD!$W$3:$W$5001,"&lt;&gt;"))))</f>
        <v/>
      </c>
      <c r="D183" s="54" t="str">
        <f>IF(OR($B183="",$A183&gt;$B$9,D$175=""),"",IF(COUNTIFS(BD!$B$3:$B$5001,D$175,BD!$A$3:$A$5001,"&gt;="&amp;$C$7,BD!$A$3:$A$5001,"&lt;="&amp;$B183,BD!$W$3:$W$5001,"&lt;&gt;")=0,"",SUMIFS(BD!$W$3:$W$5001,BD!$B$3:$B$5001,D$175,BD!$A$3:$A$5001,_xlfn.MAXIFS(BD!$A$3:$A$5001,BD!$B$3:$B$5001,D$175,BD!$A$3:$A$5001,"&gt;="&amp;$C$7,BD!$A$3:$A$5001,"&lt;="&amp;$B183,BD!$W$3:$W$5001,"&lt;&gt;"))))</f>
        <v/>
      </c>
      <c r="E183" s="54" t="str">
        <f>IF(OR($B183="",$A183&gt;$B$9,E$175=""),"",IF(COUNTIFS(BD!$B$3:$B$5001,E$175,BD!$A$3:$A$5001,"&gt;="&amp;$C$7,BD!$A$3:$A$5001,"&lt;="&amp;$B183,BD!$W$3:$W$5001,"&lt;&gt;")=0,"",SUMIFS(BD!$W$3:$W$5001,BD!$B$3:$B$5001,E$175,BD!$A$3:$A$5001,_xlfn.MAXIFS(BD!$A$3:$A$5001,BD!$B$3:$B$5001,E$175,BD!$A$3:$A$5001,"&gt;="&amp;$C$7,BD!$A$3:$A$5001,"&lt;="&amp;$B183,BD!$W$3:$W$5001,"&lt;&gt;"))))</f>
        <v/>
      </c>
      <c r="F183" s="54" t="str">
        <f>IF(OR($B183="",$A183&gt;$B$9,F$175=""),"",IF(COUNTIFS(BD!$B$3:$B$5001,F$175,BD!$A$3:$A$5001,"&gt;="&amp;$C$7,BD!$A$3:$A$5001,"&lt;="&amp;$B183,BD!$W$3:$W$5001,"&lt;&gt;")=0,"",SUMIFS(BD!$W$3:$W$5001,BD!$B$3:$B$5001,F$175,BD!$A$3:$A$5001,_xlfn.MAXIFS(BD!$A$3:$A$5001,BD!$B$3:$B$5001,F$175,BD!$A$3:$A$5001,"&gt;="&amp;$C$7,BD!$A$3:$A$5001,"&lt;="&amp;$B183,BD!$W$3:$W$5001,"&lt;&gt;"))))</f>
        <v/>
      </c>
      <c r="G183" s="54" t="str">
        <f>IF(OR($B183="",$A183&gt;$B$9,G$175=""),"",IF(COUNTIFS(BD!$B$3:$B$5001,G$175,BD!$A$3:$A$5001,"&gt;="&amp;$C$7,BD!$A$3:$A$5001,"&lt;="&amp;$B183,BD!$W$3:$W$5001,"&lt;&gt;")=0,"",SUMIFS(BD!$W$3:$W$5001,BD!$B$3:$B$5001,G$175,BD!$A$3:$A$5001,_xlfn.MAXIFS(BD!$A$3:$A$5001,BD!$B$3:$B$5001,G$175,BD!$A$3:$A$5001,"&gt;="&amp;$C$7,BD!$A$3:$A$5001,"&lt;="&amp;$B183,BD!$W$3:$W$5001,"&lt;&gt;"))))</f>
        <v/>
      </c>
      <c r="H183" s="54" t="str">
        <f>IF(OR($B183="",$A183&gt;$B$9,H$175=""),"",IF(COUNTIFS(BD!$B$3:$B$5001,H$175,BD!$A$3:$A$5001,"&gt;="&amp;$C$7,BD!$A$3:$A$5001,"&lt;="&amp;$B183,BD!$W$3:$W$5001,"&lt;&gt;")=0,"",SUMIFS(BD!$W$3:$W$5001,BD!$B$3:$B$5001,H$175,BD!$A$3:$A$5001,_xlfn.MAXIFS(BD!$A$3:$A$5001,BD!$B$3:$B$5001,H$175,BD!$A$3:$A$5001,"&gt;="&amp;$C$7,BD!$A$3:$A$5001,"&lt;="&amp;$B183,BD!$W$3:$W$5001,"&lt;&gt;"))))</f>
        <v/>
      </c>
      <c r="I183" s="54" t="str">
        <f>IF(OR($B183="",$A183&gt;$B$9,I$175=""),"",IF(COUNTIFS(BD!$B$3:$B$5001,I$175,BD!$A$3:$A$5001,"&gt;="&amp;$C$7,BD!$A$3:$A$5001,"&lt;="&amp;$B183,BD!$W$3:$W$5001,"&lt;&gt;")=0,"",SUMIFS(BD!$W$3:$W$5001,BD!$B$3:$B$5001,I$175,BD!$A$3:$A$5001,_xlfn.MAXIFS(BD!$A$3:$A$5001,BD!$B$3:$B$5001,I$175,BD!$A$3:$A$5001,"&gt;="&amp;$C$7,BD!$A$3:$A$5001,"&lt;="&amp;$B183,BD!$W$3:$W$5001,"&lt;&gt;"))))</f>
        <v/>
      </c>
      <c r="J183" s="54" t="str">
        <f>IF(OR($B183="",$A183&gt;$B$9,J$175=""),"",IF(COUNTIFS(BD!$B$3:$B$5001,J$175,BD!$A$3:$A$5001,"&gt;="&amp;$C$7,BD!$A$3:$A$5001,"&lt;="&amp;$B183,BD!$W$3:$W$5001,"&lt;&gt;")=0,"",SUMIFS(BD!$W$3:$W$5001,BD!$B$3:$B$5001,J$175,BD!$A$3:$A$5001,_xlfn.MAXIFS(BD!$A$3:$A$5001,BD!$B$3:$B$5001,J$175,BD!$A$3:$A$5001,"&gt;="&amp;$C$7,BD!$A$3:$A$5001,"&lt;="&amp;$B183,BD!$W$3:$W$5001,"&lt;&gt;"))))</f>
        <v/>
      </c>
      <c r="K183" s="54" t="str">
        <f>IF(OR($B183="",$A183&gt;$B$9,K$175=""),"",IF(COUNTIFS(BD!$B$3:$B$5001,K$175,BD!$A$3:$A$5001,"&gt;="&amp;$C$7,BD!$A$3:$A$5001,"&lt;="&amp;$B183,BD!$W$3:$W$5001,"&lt;&gt;")=0,"",SUMIFS(BD!$W$3:$W$5001,BD!$B$3:$B$5001,K$175,BD!$A$3:$A$5001,_xlfn.MAXIFS(BD!$A$3:$A$5001,BD!$B$3:$B$5001,K$175,BD!$A$3:$A$5001,"&gt;="&amp;$C$7,BD!$A$3:$A$5001,"&lt;="&amp;$B183,BD!$W$3:$W$5001,"&lt;&gt;"))))</f>
        <v/>
      </c>
      <c r="L183" s="54" t="str">
        <f>IF(OR($B183="",$A183&gt;$B$9,L$175=""),"",IF(COUNTIFS(BD!$B$3:$B$5001,L$175,BD!$A$3:$A$5001,"&gt;="&amp;$C$7,BD!$A$3:$A$5001,"&lt;="&amp;$B183,BD!$W$3:$W$5001,"&lt;&gt;")=0,"",SUMIFS(BD!$W$3:$W$5001,BD!$B$3:$B$5001,L$175,BD!$A$3:$A$5001,_xlfn.MAXIFS(BD!$A$3:$A$5001,BD!$B$3:$B$5001,L$175,BD!$A$3:$A$5001,"&gt;="&amp;$C$7,BD!$A$3:$A$5001,"&lt;="&amp;$B183,BD!$W$3:$W$5001,"&lt;&gt;"))))</f>
        <v/>
      </c>
      <c r="M183" s="54" t="str">
        <f>IF(OR($B183="",$A183&gt;$B$9,M$175=""),"",IF(COUNTIFS(BD!$B$3:$B$5001,M$175,BD!$A$3:$A$5001,"&gt;="&amp;$C$7,BD!$A$3:$A$5001,"&lt;="&amp;$B183,BD!$W$3:$W$5001,"&lt;&gt;")=0,"",SUMIFS(BD!$W$3:$W$5001,BD!$B$3:$B$5001,M$175,BD!$A$3:$A$5001,_xlfn.MAXIFS(BD!$A$3:$A$5001,BD!$B$3:$B$5001,M$175,BD!$A$3:$A$5001,"&gt;="&amp;$C$7,BD!$A$3:$A$5001,"&lt;="&amp;$B183,BD!$W$3:$W$5001,"&lt;&gt;"))))</f>
        <v/>
      </c>
      <c r="N183" s="54" t="str">
        <f>IF(OR($B183="",$A183&gt;$B$9,N$175=""),"",IF(COUNTIFS(BD!$B$3:$B$5001,N$175,BD!$A$3:$A$5001,"&gt;="&amp;$C$7,BD!$A$3:$A$5001,"&lt;="&amp;$B183,BD!$W$3:$W$5001,"&lt;&gt;")=0,"",SUMIFS(BD!$W$3:$W$5001,BD!$B$3:$B$5001,N$175,BD!$A$3:$A$5001,_xlfn.MAXIFS(BD!$A$3:$A$5001,BD!$B$3:$B$5001,N$175,BD!$A$3:$A$5001,"&gt;="&amp;$C$7,BD!$A$3:$A$5001,"&lt;="&amp;$B183,BD!$W$3:$W$5001,"&lt;&gt;"))))</f>
        <v/>
      </c>
      <c r="O183" s="54" t="str">
        <f>IF(OR($B183="",$A183&gt;$B$9,O$175=""),"",IF(COUNTIFS(BD!$B$3:$B$5001,O$175,BD!$A$3:$A$5001,"&gt;="&amp;$C$7,BD!$A$3:$A$5001,"&lt;="&amp;$B183,BD!$W$3:$W$5001,"&lt;&gt;")=0,"",SUMIFS(BD!$W$3:$W$5001,BD!$B$3:$B$5001,O$175,BD!$A$3:$A$5001,_xlfn.MAXIFS(BD!$A$3:$A$5001,BD!$B$3:$B$5001,O$175,BD!$A$3:$A$5001,"&gt;="&amp;$C$7,BD!$A$3:$A$5001,"&lt;="&amp;$B183,BD!$W$3:$W$5001,"&lt;&gt;"))))</f>
        <v/>
      </c>
      <c r="P183" s="54" t="str">
        <f>IF(OR($B183="",$A183&gt;$B$9,P$175=""),"",IF(COUNTIFS(BD!$B$3:$B$5001,P$175,BD!$A$3:$A$5001,"&gt;="&amp;$C$7,BD!$A$3:$A$5001,"&lt;="&amp;$B183,BD!$W$3:$W$5001,"&lt;&gt;")=0,"",SUMIFS(BD!$W$3:$W$5001,BD!$B$3:$B$5001,P$175,BD!$A$3:$A$5001,_xlfn.MAXIFS(BD!$A$3:$A$5001,BD!$B$3:$B$5001,P$175,BD!$A$3:$A$5001,"&gt;="&amp;$C$7,BD!$A$3:$A$5001,"&lt;="&amp;$B183,BD!$W$3:$W$5001,"&lt;&gt;"))))</f>
        <v/>
      </c>
      <c r="Q183" s="54" t="str">
        <f>IF(OR($B183="",$A183&gt;$B$9,Q$175=""),"",IF(COUNTIFS(BD!$B$3:$B$5001,Q$175,BD!$A$3:$A$5001,"&gt;="&amp;$C$7,BD!$A$3:$A$5001,"&lt;="&amp;$B183,BD!$W$3:$W$5001,"&lt;&gt;")=0,"",SUMIFS(BD!$W$3:$W$5001,BD!$B$3:$B$5001,Q$175,BD!$A$3:$A$5001,_xlfn.MAXIFS(BD!$A$3:$A$5001,BD!$B$3:$B$5001,Q$175,BD!$A$3:$A$5001,"&gt;="&amp;$C$7,BD!$A$3:$A$5001,"&lt;="&amp;$B183,BD!$W$3:$W$5001,"&lt;&gt;"))))</f>
        <v/>
      </c>
      <c r="R183" s="54" t="str">
        <f>IF(OR($B183="",$A183&gt;$B$9,R$175=""),"",IF(COUNTIFS(BD!$B$3:$B$5001,R$175,BD!$A$3:$A$5001,"&gt;="&amp;$C$7,BD!$A$3:$A$5001,"&lt;="&amp;$B183,BD!$W$3:$W$5001,"&lt;&gt;")=0,"",SUMIFS(BD!$W$3:$W$5001,BD!$B$3:$B$5001,R$175,BD!$A$3:$A$5001,_xlfn.MAXIFS(BD!$A$3:$A$5001,BD!$B$3:$B$5001,R$175,BD!$A$3:$A$5001,"&gt;="&amp;$C$7,BD!$A$3:$A$5001,"&lt;="&amp;$B183,BD!$W$3:$W$5001,"&lt;&gt;"))))</f>
        <v/>
      </c>
      <c r="S183" s="54" t="str">
        <f>IF(OR($B183="",$A183&gt;$B$9,S$175=""),"",IF(COUNTIFS(BD!$B$3:$B$5001,S$175,BD!$A$3:$A$5001,"&gt;="&amp;$C$7,BD!$A$3:$A$5001,"&lt;="&amp;$B183,BD!$W$3:$W$5001,"&lt;&gt;")=0,"",SUMIFS(BD!$W$3:$W$5001,BD!$B$3:$B$5001,S$175,BD!$A$3:$A$5001,_xlfn.MAXIFS(BD!$A$3:$A$5001,BD!$B$3:$B$5001,S$175,BD!$A$3:$A$5001,"&gt;="&amp;$C$7,BD!$A$3:$A$5001,"&lt;="&amp;$B183,BD!$W$3:$W$5001,"&lt;&gt;"))))</f>
        <v/>
      </c>
      <c r="T183" s="54" t="str">
        <f>IF(OR($B183="",$A183&gt;$B$9,T$175=""),"",IF(COUNTIFS(BD!$B$3:$B$5001,T$175,BD!$A$3:$A$5001,"&gt;="&amp;$C$7,BD!$A$3:$A$5001,"&lt;="&amp;$B183,BD!$W$3:$W$5001,"&lt;&gt;")=0,"",SUMIFS(BD!$W$3:$W$5001,BD!$B$3:$B$5001,T$175,BD!$A$3:$A$5001,_xlfn.MAXIFS(BD!$A$3:$A$5001,BD!$B$3:$B$5001,T$175,BD!$A$3:$A$5001,"&gt;="&amp;$C$7,BD!$A$3:$A$5001,"&lt;="&amp;$B183,BD!$W$3:$W$5001,"&lt;&gt;"))))</f>
        <v/>
      </c>
      <c r="U183" s="54" t="str">
        <f>IF(OR($B183="",$A183&gt;$B$9,U$175=""),"",IF(COUNTIFS(BD!$B$3:$B$5001,U$175,BD!$A$3:$A$5001,"&gt;="&amp;$C$7,BD!$A$3:$A$5001,"&lt;="&amp;$B183,BD!$W$3:$W$5001,"&lt;&gt;")=0,"",SUMIFS(BD!$W$3:$W$5001,BD!$B$3:$B$5001,U$175,BD!$A$3:$A$5001,_xlfn.MAXIFS(BD!$A$3:$A$5001,BD!$B$3:$B$5001,U$175,BD!$A$3:$A$5001,"&gt;="&amp;$C$7,BD!$A$3:$A$5001,"&lt;="&amp;$B183,BD!$W$3:$W$5001,"&lt;&gt;"))))</f>
        <v/>
      </c>
      <c r="V183" s="54" t="str">
        <f>IF(OR($B183="",$A183&gt;$B$9,V$175=""),"",IF(COUNTIFS(BD!$B$3:$B$5001,V$175,BD!$A$3:$A$5001,"&gt;="&amp;$C$7,BD!$A$3:$A$5001,"&lt;="&amp;$B183,BD!$W$3:$W$5001,"&lt;&gt;")=0,"",SUMIFS(BD!$W$3:$W$5001,BD!$B$3:$B$5001,V$175,BD!$A$3:$A$5001,_xlfn.MAXIFS(BD!$A$3:$A$5001,BD!$B$3:$B$5001,V$175,BD!$A$3:$A$5001,"&gt;="&amp;$C$7,BD!$A$3:$A$5001,"&lt;="&amp;$B183,BD!$W$3:$W$5001,"&lt;&gt;"))))</f>
        <v/>
      </c>
    </row>
    <row r="184">
      <c r="A184" s="48">
        <v>9</v>
      </c>
      <c r="B184" s="53">
        <f>$B$20</f>
        <v>46304</v>
      </c>
      <c r="C184" s="54" t="str">
        <f>IF(OR($B184="",$A184&gt;$B$9,C$175=""),"",IF(COUNTIFS(BD!$B$3:$B$5001,C$175,BD!$A$3:$A$5001,"&gt;="&amp;$C$7,BD!$A$3:$A$5001,"&lt;="&amp;$B184,BD!$W$3:$W$5001,"&lt;&gt;")=0,"",SUMIFS(BD!$W$3:$W$5001,BD!$B$3:$B$5001,C$175,BD!$A$3:$A$5001,_xlfn.MAXIFS(BD!$A$3:$A$5001,BD!$B$3:$B$5001,C$175,BD!$A$3:$A$5001,"&gt;="&amp;$C$7,BD!$A$3:$A$5001,"&lt;="&amp;$B184,BD!$W$3:$W$5001,"&lt;&gt;"))))</f>
        <v/>
      </c>
      <c r="D184" s="54" t="str">
        <f>IF(OR($B184="",$A184&gt;$B$9,D$175=""),"",IF(COUNTIFS(BD!$B$3:$B$5001,D$175,BD!$A$3:$A$5001,"&gt;="&amp;$C$7,BD!$A$3:$A$5001,"&lt;="&amp;$B184,BD!$W$3:$W$5001,"&lt;&gt;")=0,"",SUMIFS(BD!$W$3:$W$5001,BD!$B$3:$B$5001,D$175,BD!$A$3:$A$5001,_xlfn.MAXIFS(BD!$A$3:$A$5001,BD!$B$3:$B$5001,D$175,BD!$A$3:$A$5001,"&gt;="&amp;$C$7,BD!$A$3:$A$5001,"&lt;="&amp;$B184,BD!$W$3:$W$5001,"&lt;&gt;"))))</f>
        <v/>
      </c>
      <c r="E184" s="54" t="str">
        <f>IF(OR($B184="",$A184&gt;$B$9,E$175=""),"",IF(COUNTIFS(BD!$B$3:$B$5001,E$175,BD!$A$3:$A$5001,"&gt;="&amp;$C$7,BD!$A$3:$A$5001,"&lt;="&amp;$B184,BD!$W$3:$W$5001,"&lt;&gt;")=0,"",SUMIFS(BD!$W$3:$W$5001,BD!$B$3:$B$5001,E$175,BD!$A$3:$A$5001,_xlfn.MAXIFS(BD!$A$3:$A$5001,BD!$B$3:$B$5001,E$175,BD!$A$3:$A$5001,"&gt;="&amp;$C$7,BD!$A$3:$A$5001,"&lt;="&amp;$B184,BD!$W$3:$W$5001,"&lt;&gt;"))))</f>
        <v/>
      </c>
      <c r="F184" s="54" t="str">
        <f>IF(OR($B184="",$A184&gt;$B$9,F$175=""),"",IF(COUNTIFS(BD!$B$3:$B$5001,F$175,BD!$A$3:$A$5001,"&gt;="&amp;$C$7,BD!$A$3:$A$5001,"&lt;="&amp;$B184,BD!$W$3:$W$5001,"&lt;&gt;")=0,"",SUMIFS(BD!$W$3:$W$5001,BD!$B$3:$B$5001,F$175,BD!$A$3:$A$5001,_xlfn.MAXIFS(BD!$A$3:$A$5001,BD!$B$3:$B$5001,F$175,BD!$A$3:$A$5001,"&gt;="&amp;$C$7,BD!$A$3:$A$5001,"&lt;="&amp;$B184,BD!$W$3:$W$5001,"&lt;&gt;"))))</f>
        <v/>
      </c>
      <c r="G184" s="54" t="str">
        <f>IF(OR($B184="",$A184&gt;$B$9,G$175=""),"",IF(COUNTIFS(BD!$B$3:$B$5001,G$175,BD!$A$3:$A$5001,"&gt;="&amp;$C$7,BD!$A$3:$A$5001,"&lt;="&amp;$B184,BD!$W$3:$W$5001,"&lt;&gt;")=0,"",SUMIFS(BD!$W$3:$W$5001,BD!$B$3:$B$5001,G$175,BD!$A$3:$A$5001,_xlfn.MAXIFS(BD!$A$3:$A$5001,BD!$B$3:$B$5001,G$175,BD!$A$3:$A$5001,"&gt;="&amp;$C$7,BD!$A$3:$A$5001,"&lt;="&amp;$B184,BD!$W$3:$W$5001,"&lt;&gt;"))))</f>
        <v/>
      </c>
      <c r="H184" s="54" t="str">
        <f>IF(OR($B184="",$A184&gt;$B$9,H$175=""),"",IF(COUNTIFS(BD!$B$3:$B$5001,H$175,BD!$A$3:$A$5001,"&gt;="&amp;$C$7,BD!$A$3:$A$5001,"&lt;="&amp;$B184,BD!$W$3:$W$5001,"&lt;&gt;")=0,"",SUMIFS(BD!$W$3:$W$5001,BD!$B$3:$B$5001,H$175,BD!$A$3:$A$5001,_xlfn.MAXIFS(BD!$A$3:$A$5001,BD!$B$3:$B$5001,H$175,BD!$A$3:$A$5001,"&gt;="&amp;$C$7,BD!$A$3:$A$5001,"&lt;="&amp;$B184,BD!$W$3:$W$5001,"&lt;&gt;"))))</f>
        <v/>
      </c>
      <c r="I184" s="54" t="str">
        <f>IF(OR($B184="",$A184&gt;$B$9,I$175=""),"",IF(COUNTIFS(BD!$B$3:$B$5001,I$175,BD!$A$3:$A$5001,"&gt;="&amp;$C$7,BD!$A$3:$A$5001,"&lt;="&amp;$B184,BD!$W$3:$W$5001,"&lt;&gt;")=0,"",SUMIFS(BD!$W$3:$W$5001,BD!$B$3:$B$5001,I$175,BD!$A$3:$A$5001,_xlfn.MAXIFS(BD!$A$3:$A$5001,BD!$B$3:$B$5001,I$175,BD!$A$3:$A$5001,"&gt;="&amp;$C$7,BD!$A$3:$A$5001,"&lt;="&amp;$B184,BD!$W$3:$W$5001,"&lt;&gt;"))))</f>
        <v/>
      </c>
      <c r="J184" s="54" t="str">
        <f>IF(OR($B184="",$A184&gt;$B$9,J$175=""),"",IF(COUNTIFS(BD!$B$3:$B$5001,J$175,BD!$A$3:$A$5001,"&gt;="&amp;$C$7,BD!$A$3:$A$5001,"&lt;="&amp;$B184,BD!$W$3:$W$5001,"&lt;&gt;")=0,"",SUMIFS(BD!$W$3:$W$5001,BD!$B$3:$B$5001,J$175,BD!$A$3:$A$5001,_xlfn.MAXIFS(BD!$A$3:$A$5001,BD!$B$3:$B$5001,J$175,BD!$A$3:$A$5001,"&gt;="&amp;$C$7,BD!$A$3:$A$5001,"&lt;="&amp;$B184,BD!$W$3:$W$5001,"&lt;&gt;"))))</f>
        <v/>
      </c>
      <c r="K184" s="54" t="str">
        <f>IF(OR($B184="",$A184&gt;$B$9,K$175=""),"",IF(COUNTIFS(BD!$B$3:$B$5001,K$175,BD!$A$3:$A$5001,"&gt;="&amp;$C$7,BD!$A$3:$A$5001,"&lt;="&amp;$B184,BD!$W$3:$W$5001,"&lt;&gt;")=0,"",SUMIFS(BD!$W$3:$W$5001,BD!$B$3:$B$5001,K$175,BD!$A$3:$A$5001,_xlfn.MAXIFS(BD!$A$3:$A$5001,BD!$B$3:$B$5001,K$175,BD!$A$3:$A$5001,"&gt;="&amp;$C$7,BD!$A$3:$A$5001,"&lt;="&amp;$B184,BD!$W$3:$W$5001,"&lt;&gt;"))))</f>
        <v/>
      </c>
      <c r="L184" s="54" t="str">
        <f>IF(OR($B184="",$A184&gt;$B$9,L$175=""),"",IF(COUNTIFS(BD!$B$3:$B$5001,L$175,BD!$A$3:$A$5001,"&gt;="&amp;$C$7,BD!$A$3:$A$5001,"&lt;="&amp;$B184,BD!$W$3:$W$5001,"&lt;&gt;")=0,"",SUMIFS(BD!$W$3:$W$5001,BD!$B$3:$B$5001,L$175,BD!$A$3:$A$5001,_xlfn.MAXIFS(BD!$A$3:$A$5001,BD!$B$3:$B$5001,L$175,BD!$A$3:$A$5001,"&gt;="&amp;$C$7,BD!$A$3:$A$5001,"&lt;="&amp;$B184,BD!$W$3:$W$5001,"&lt;&gt;"))))</f>
        <v/>
      </c>
      <c r="M184" s="54" t="str">
        <f>IF(OR($B184="",$A184&gt;$B$9,M$175=""),"",IF(COUNTIFS(BD!$B$3:$B$5001,M$175,BD!$A$3:$A$5001,"&gt;="&amp;$C$7,BD!$A$3:$A$5001,"&lt;="&amp;$B184,BD!$W$3:$W$5001,"&lt;&gt;")=0,"",SUMIFS(BD!$W$3:$W$5001,BD!$B$3:$B$5001,M$175,BD!$A$3:$A$5001,_xlfn.MAXIFS(BD!$A$3:$A$5001,BD!$B$3:$B$5001,M$175,BD!$A$3:$A$5001,"&gt;="&amp;$C$7,BD!$A$3:$A$5001,"&lt;="&amp;$B184,BD!$W$3:$W$5001,"&lt;&gt;"))))</f>
        <v/>
      </c>
      <c r="N184" s="54" t="str">
        <f>IF(OR($B184="",$A184&gt;$B$9,N$175=""),"",IF(COUNTIFS(BD!$B$3:$B$5001,N$175,BD!$A$3:$A$5001,"&gt;="&amp;$C$7,BD!$A$3:$A$5001,"&lt;="&amp;$B184,BD!$W$3:$W$5001,"&lt;&gt;")=0,"",SUMIFS(BD!$W$3:$W$5001,BD!$B$3:$B$5001,N$175,BD!$A$3:$A$5001,_xlfn.MAXIFS(BD!$A$3:$A$5001,BD!$B$3:$B$5001,N$175,BD!$A$3:$A$5001,"&gt;="&amp;$C$7,BD!$A$3:$A$5001,"&lt;="&amp;$B184,BD!$W$3:$W$5001,"&lt;&gt;"))))</f>
        <v/>
      </c>
      <c r="O184" s="54" t="str">
        <f>IF(OR($B184="",$A184&gt;$B$9,O$175=""),"",IF(COUNTIFS(BD!$B$3:$B$5001,O$175,BD!$A$3:$A$5001,"&gt;="&amp;$C$7,BD!$A$3:$A$5001,"&lt;="&amp;$B184,BD!$W$3:$W$5001,"&lt;&gt;")=0,"",SUMIFS(BD!$W$3:$W$5001,BD!$B$3:$B$5001,O$175,BD!$A$3:$A$5001,_xlfn.MAXIFS(BD!$A$3:$A$5001,BD!$B$3:$B$5001,O$175,BD!$A$3:$A$5001,"&gt;="&amp;$C$7,BD!$A$3:$A$5001,"&lt;="&amp;$B184,BD!$W$3:$W$5001,"&lt;&gt;"))))</f>
        <v/>
      </c>
      <c r="P184" s="54" t="str">
        <f>IF(OR($B184="",$A184&gt;$B$9,P$175=""),"",IF(COUNTIFS(BD!$B$3:$B$5001,P$175,BD!$A$3:$A$5001,"&gt;="&amp;$C$7,BD!$A$3:$A$5001,"&lt;="&amp;$B184,BD!$W$3:$W$5001,"&lt;&gt;")=0,"",SUMIFS(BD!$W$3:$W$5001,BD!$B$3:$B$5001,P$175,BD!$A$3:$A$5001,_xlfn.MAXIFS(BD!$A$3:$A$5001,BD!$B$3:$B$5001,P$175,BD!$A$3:$A$5001,"&gt;="&amp;$C$7,BD!$A$3:$A$5001,"&lt;="&amp;$B184,BD!$W$3:$W$5001,"&lt;&gt;"))))</f>
        <v/>
      </c>
      <c r="Q184" s="54" t="str">
        <f>IF(OR($B184="",$A184&gt;$B$9,Q$175=""),"",IF(COUNTIFS(BD!$B$3:$B$5001,Q$175,BD!$A$3:$A$5001,"&gt;="&amp;$C$7,BD!$A$3:$A$5001,"&lt;="&amp;$B184,BD!$W$3:$W$5001,"&lt;&gt;")=0,"",SUMIFS(BD!$W$3:$W$5001,BD!$B$3:$B$5001,Q$175,BD!$A$3:$A$5001,_xlfn.MAXIFS(BD!$A$3:$A$5001,BD!$B$3:$B$5001,Q$175,BD!$A$3:$A$5001,"&gt;="&amp;$C$7,BD!$A$3:$A$5001,"&lt;="&amp;$B184,BD!$W$3:$W$5001,"&lt;&gt;"))))</f>
        <v/>
      </c>
      <c r="R184" s="54" t="str">
        <f>IF(OR($B184="",$A184&gt;$B$9,R$175=""),"",IF(COUNTIFS(BD!$B$3:$B$5001,R$175,BD!$A$3:$A$5001,"&gt;="&amp;$C$7,BD!$A$3:$A$5001,"&lt;="&amp;$B184,BD!$W$3:$W$5001,"&lt;&gt;")=0,"",SUMIFS(BD!$W$3:$W$5001,BD!$B$3:$B$5001,R$175,BD!$A$3:$A$5001,_xlfn.MAXIFS(BD!$A$3:$A$5001,BD!$B$3:$B$5001,R$175,BD!$A$3:$A$5001,"&gt;="&amp;$C$7,BD!$A$3:$A$5001,"&lt;="&amp;$B184,BD!$W$3:$W$5001,"&lt;&gt;"))))</f>
        <v/>
      </c>
      <c r="S184" s="54" t="str">
        <f>IF(OR($B184="",$A184&gt;$B$9,S$175=""),"",IF(COUNTIFS(BD!$B$3:$B$5001,S$175,BD!$A$3:$A$5001,"&gt;="&amp;$C$7,BD!$A$3:$A$5001,"&lt;="&amp;$B184,BD!$W$3:$W$5001,"&lt;&gt;")=0,"",SUMIFS(BD!$W$3:$W$5001,BD!$B$3:$B$5001,S$175,BD!$A$3:$A$5001,_xlfn.MAXIFS(BD!$A$3:$A$5001,BD!$B$3:$B$5001,S$175,BD!$A$3:$A$5001,"&gt;="&amp;$C$7,BD!$A$3:$A$5001,"&lt;="&amp;$B184,BD!$W$3:$W$5001,"&lt;&gt;"))))</f>
        <v/>
      </c>
      <c r="T184" s="54" t="str">
        <f>IF(OR($B184="",$A184&gt;$B$9,T$175=""),"",IF(COUNTIFS(BD!$B$3:$B$5001,T$175,BD!$A$3:$A$5001,"&gt;="&amp;$C$7,BD!$A$3:$A$5001,"&lt;="&amp;$B184,BD!$W$3:$W$5001,"&lt;&gt;")=0,"",SUMIFS(BD!$W$3:$W$5001,BD!$B$3:$B$5001,T$175,BD!$A$3:$A$5001,_xlfn.MAXIFS(BD!$A$3:$A$5001,BD!$B$3:$B$5001,T$175,BD!$A$3:$A$5001,"&gt;="&amp;$C$7,BD!$A$3:$A$5001,"&lt;="&amp;$B184,BD!$W$3:$W$5001,"&lt;&gt;"))))</f>
        <v/>
      </c>
      <c r="U184" s="54" t="str">
        <f>IF(OR($B184="",$A184&gt;$B$9,U$175=""),"",IF(COUNTIFS(BD!$B$3:$B$5001,U$175,BD!$A$3:$A$5001,"&gt;="&amp;$C$7,BD!$A$3:$A$5001,"&lt;="&amp;$B184,BD!$W$3:$W$5001,"&lt;&gt;")=0,"",SUMIFS(BD!$W$3:$W$5001,BD!$B$3:$B$5001,U$175,BD!$A$3:$A$5001,_xlfn.MAXIFS(BD!$A$3:$A$5001,BD!$B$3:$B$5001,U$175,BD!$A$3:$A$5001,"&gt;="&amp;$C$7,BD!$A$3:$A$5001,"&lt;="&amp;$B184,BD!$W$3:$W$5001,"&lt;&gt;"))))</f>
        <v/>
      </c>
      <c r="V184" s="54" t="str">
        <f>IF(OR($B184="",$A184&gt;$B$9,V$175=""),"",IF(COUNTIFS(BD!$B$3:$B$5001,V$175,BD!$A$3:$A$5001,"&gt;="&amp;$C$7,BD!$A$3:$A$5001,"&lt;="&amp;$B184,BD!$W$3:$W$5001,"&lt;&gt;")=0,"",SUMIFS(BD!$W$3:$W$5001,BD!$B$3:$B$5001,V$175,BD!$A$3:$A$5001,_xlfn.MAXIFS(BD!$A$3:$A$5001,BD!$B$3:$B$5001,V$175,BD!$A$3:$A$5001,"&gt;="&amp;$C$7,BD!$A$3:$A$5001,"&lt;="&amp;$B184,BD!$W$3:$W$5001,"&lt;&gt;"))))</f>
        <v/>
      </c>
    </row>
    <row r="185">
      <c r="A185" s="48">
        <v>10</v>
      </c>
      <c r="B185" s="53">
        <f>$B$21</f>
        <v>46305</v>
      </c>
      <c r="C185" s="54" t="str">
        <f>IF(OR($B185="",$A185&gt;$B$9,C$175=""),"",IF(COUNTIFS(BD!$B$3:$B$5001,C$175,BD!$A$3:$A$5001,"&gt;="&amp;$C$7,BD!$A$3:$A$5001,"&lt;="&amp;$B185,BD!$W$3:$W$5001,"&lt;&gt;")=0,"",SUMIFS(BD!$W$3:$W$5001,BD!$B$3:$B$5001,C$175,BD!$A$3:$A$5001,_xlfn.MAXIFS(BD!$A$3:$A$5001,BD!$B$3:$B$5001,C$175,BD!$A$3:$A$5001,"&gt;="&amp;$C$7,BD!$A$3:$A$5001,"&lt;="&amp;$B185,BD!$W$3:$W$5001,"&lt;&gt;"))))</f>
        <v/>
      </c>
      <c r="D185" s="54" t="str">
        <f>IF(OR($B185="",$A185&gt;$B$9,D$175=""),"",IF(COUNTIFS(BD!$B$3:$B$5001,D$175,BD!$A$3:$A$5001,"&gt;="&amp;$C$7,BD!$A$3:$A$5001,"&lt;="&amp;$B185,BD!$W$3:$W$5001,"&lt;&gt;")=0,"",SUMIFS(BD!$W$3:$W$5001,BD!$B$3:$B$5001,D$175,BD!$A$3:$A$5001,_xlfn.MAXIFS(BD!$A$3:$A$5001,BD!$B$3:$B$5001,D$175,BD!$A$3:$A$5001,"&gt;="&amp;$C$7,BD!$A$3:$A$5001,"&lt;="&amp;$B185,BD!$W$3:$W$5001,"&lt;&gt;"))))</f>
        <v/>
      </c>
      <c r="E185" s="54" t="str">
        <f>IF(OR($B185="",$A185&gt;$B$9,E$175=""),"",IF(COUNTIFS(BD!$B$3:$B$5001,E$175,BD!$A$3:$A$5001,"&gt;="&amp;$C$7,BD!$A$3:$A$5001,"&lt;="&amp;$B185,BD!$W$3:$W$5001,"&lt;&gt;")=0,"",SUMIFS(BD!$W$3:$W$5001,BD!$B$3:$B$5001,E$175,BD!$A$3:$A$5001,_xlfn.MAXIFS(BD!$A$3:$A$5001,BD!$B$3:$B$5001,E$175,BD!$A$3:$A$5001,"&gt;="&amp;$C$7,BD!$A$3:$A$5001,"&lt;="&amp;$B185,BD!$W$3:$W$5001,"&lt;&gt;"))))</f>
        <v/>
      </c>
      <c r="F185" s="54" t="str">
        <f>IF(OR($B185="",$A185&gt;$B$9,F$175=""),"",IF(COUNTIFS(BD!$B$3:$B$5001,F$175,BD!$A$3:$A$5001,"&gt;="&amp;$C$7,BD!$A$3:$A$5001,"&lt;="&amp;$B185,BD!$W$3:$W$5001,"&lt;&gt;")=0,"",SUMIFS(BD!$W$3:$W$5001,BD!$B$3:$B$5001,F$175,BD!$A$3:$A$5001,_xlfn.MAXIFS(BD!$A$3:$A$5001,BD!$B$3:$B$5001,F$175,BD!$A$3:$A$5001,"&gt;="&amp;$C$7,BD!$A$3:$A$5001,"&lt;="&amp;$B185,BD!$W$3:$W$5001,"&lt;&gt;"))))</f>
        <v/>
      </c>
      <c r="G185" s="54" t="str">
        <f>IF(OR($B185="",$A185&gt;$B$9,G$175=""),"",IF(COUNTIFS(BD!$B$3:$B$5001,G$175,BD!$A$3:$A$5001,"&gt;="&amp;$C$7,BD!$A$3:$A$5001,"&lt;="&amp;$B185,BD!$W$3:$W$5001,"&lt;&gt;")=0,"",SUMIFS(BD!$W$3:$W$5001,BD!$B$3:$B$5001,G$175,BD!$A$3:$A$5001,_xlfn.MAXIFS(BD!$A$3:$A$5001,BD!$B$3:$B$5001,G$175,BD!$A$3:$A$5001,"&gt;="&amp;$C$7,BD!$A$3:$A$5001,"&lt;="&amp;$B185,BD!$W$3:$W$5001,"&lt;&gt;"))))</f>
        <v/>
      </c>
      <c r="H185" s="54" t="str">
        <f>IF(OR($B185="",$A185&gt;$B$9,H$175=""),"",IF(COUNTIFS(BD!$B$3:$B$5001,H$175,BD!$A$3:$A$5001,"&gt;="&amp;$C$7,BD!$A$3:$A$5001,"&lt;="&amp;$B185,BD!$W$3:$W$5001,"&lt;&gt;")=0,"",SUMIFS(BD!$W$3:$W$5001,BD!$B$3:$B$5001,H$175,BD!$A$3:$A$5001,_xlfn.MAXIFS(BD!$A$3:$A$5001,BD!$B$3:$B$5001,H$175,BD!$A$3:$A$5001,"&gt;="&amp;$C$7,BD!$A$3:$A$5001,"&lt;="&amp;$B185,BD!$W$3:$W$5001,"&lt;&gt;"))))</f>
        <v/>
      </c>
      <c r="I185" s="54" t="str">
        <f>IF(OR($B185="",$A185&gt;$B$9,I$175=""),"",IF(COUNTIFS(BD!$B$3:$B$5001,I$175,BD!$A$3:$A$5001,"&gt;="&amp;$C$7,BD!$A$3:$A$5001,"&lt;="&amp;$B185,BD!$W$3:$W$5001,"&lt;&gt;")=0,"",SUMIFS(BD!$W$3:$W$5001,BD!$B$3:$B$5001,I$175,BD!$A$3:$A$5001,_xlfn.MAXIFS(BD!$A$3:$A$5001,BD!$B$3:$B$5001,I$175,BD!$A$3:$A$5001,"&gt;="&amp;$C$7,BD!$A$3:$A$5001,"&lt;="&amp;$B185,BD!$W$3:$W$5001,"&lt;&gt;"))))</f>
        <v/>
      </c>
      <c r="J185" s="54" t="str">
        <f>IF(OR($B185="",$A185&gt;$B$9,J$175=""),"",IF(COUNTIFS(BD!$B$3:$B$5001,J$175,BD!$A$3:$A$5001,"&gt;="&amp;$C$7,BD!$A$3:$A$5001,"&lt;="&amp;$B185,BD!$W$3:$W$5001,"&lt;&gt;")=0,"",SUMIFS(BD!$W$3:$W$5001,BD!$B$3:$B$5001,J$175,BD!$A$3:$A$5001,_xlfn.MAXIFS(BD!$A$3:$A$5001,BD!$B$3:$B$5001,J$175,BD!$A$3:$A$5001,"&gt;="&amp;$C$7,BD!$A$3:$A$5001,"&lt;="&amp;$B185,BD!$W$3:$W$5001,"&lt;&gt;"))))</f>
        <v/>
      </c>
      <c r="K185" s="54" t="str">
        <f>IF(OR($B185="",$A185&gt;$B$9,K$175=""),"",IF(COUNTIFS(BD!$B$3:$B$5001,K$175,BD!$A$3:$A$5001,"&gt;="&amp;$C$7,BD!$A$3:$A$5001,"&lt;="&amp;$B185,BD!$W$3:$W$5001,"&lt;&gt;")=0,"",SUMIFS(BD!$W$3:$W$5001,BD!$B$3:$B$5001,K$175,BD!$A$3:$A$5001,_xlfn.MAXIFS(BD!$A$3:$A$5001,BD!$B$3:$B$5001,K$175,BD!$A$3:$A$5001,"&gt;="&amp;$C$7,BD!$A$3:$A$5001,"&lt;="&amp;$B185,BD!$W$3:$W$5001,"&lt;&gt;"))))</f>
        <v/>
      </c>
      <c r="L185" s="54" t="str">
        <f>IF(OR($B185="",$A185&gt;$B$9,L$175=""),"",IF(COUNTIFS(BD!$B$3:$B$5001,L$175,BD!$A$3:$A$5001,"&gt;="&amp;$C$7,BD!$A$3:$A$5001,"&lt;="&amp;$B185,BD!$W$3:$W$5001,"&lt;&gt;")=0,"",SUMIFS(BD!$W$3:$W$5001,BD!$B$3:$B$5001,L$175,BD!$A$3:$A$5001,_xlfn.MAXIFS(BD!$A$3:$A$5001,BD!$B$3:$B$5001,L$175,BD!$A$3:$A$5001,"&gt;="&amp;$C$7,BD!$A$3:$A$5001,"&lt;="&amp;$B185,BD!$W$3:$W$5001,"&lt;&gt;"))))</f>
        <v/>
      </c>
      <c r="M185" s="54" t="str">
        <f>IF(OR($B185="",$A185&gt;$B$9,M$175=""),"",IF(COUNTIFS(BD!$B$3:$B$5001,M$175,BD!$A$3:$A$5001,"&gt;="&amp;$C$7,BD!$A$3:$A$5001,"&lt;="&amp;$B185,BD!$W$3:$W$5001,"&lt;&gt;")=0,"",SUMIFS(BD!$W$3:$W$5001,BD!$B$3:$B$5001,M$175,BD!$A$3:$A$5001,_xlfn.MAXIFS(BD!$A$3:$A$5001,BD!$B$3:$B$5001,M$175,BD!$A$3:$A$5001,"&gt;="&amp;$C$7,BD!$A$3:$A$5001,"&lt;="&amp;$B185,BD!$W$3:$W$5001,"&lt;&gt;"))))</f>
        <v/>
      </c>
      <c r="N185" s="54" t="str">
        <f>IF(OR($B185="",$A185&gt;$B$9,N$175=""),"",IF(COUNTIFS(BD!$B$3:$B$5001,N$175,BD!$A$3:$A$5001,"&gt;="&amp;$C$7,BD!$A$3:$A$5001,"&lt;="&amp;$B185,BD!$W$3:$W$5001,"&lt;&gt;")=0,"",SUMIFS(BD!$W$3:$W$5001,BD!$B$3:$B$5001,N$175,BD!$A$3:$A$5001,_xlfn.MAXIFS(BD!$A$3:$A$5001,BD!$B$3:$B$5001,N$175,BD!$A$3:$A$5001,"&gt;="&amp;$C$7,BD!$A$3:$A$5001,"&lt;="&amp;$B185,BD!$W$3:$W$5001,"&lt;&gt;"))))</f>
        <v/>
      </c>
      <c r="O185" s="54" t="str">
        <f>IF(OR($B185="",$A185&gt;$B$9,O$175=""),"",IF(COUNTIFS(BD!$B$3:$B$5001,O$175,BD!$A$3:$A$5001,"&gt;="&amp;$C$7,BD!$A$3:$A$5001,"&lt;="&amp;$B185,BD!$W$3:$W$5001,"&lt;&gt;")=0,"",SUMIFS(BD!$W$3:$W$5001,BD!$B$3:$B$5001,O$175,BD!$A$3:$A$5001,_xlfn.MAXIFS(BD!$A$3:$A$5001,BD!$B$3:$B$5001,O$175,BD!$A$3:$A$5001,"&gt;="&amp;$C$7,BD!$A$3:$A$5001,"&lt;="&amp;$B185,BD!$W$3:$W$5001,"&lt;&gt;"))))</f>
        <v/>
      </c>
      <c r="P185" s="54" t="str">
        <f>IF(OR($B185="",$A185&gt;$B$9,P$175=""),"",IF(COUNTIFS(BD!$B$3:$B$5001,P$175,BD!$A$3:$A$5001,"&gt;="&amp;$C$7,BD!$A$3:$A$5001,"&lt;="&amp;$B185,BD!$W$3:$W$5001,"&lt;&gt;")=0,"",SUMIFS(BD!$W$3:$W$5001,BD!$B$3:$B$5001,P$175,BD!$A$3:$A$5001,_xlfn.MAXIFS(BD!$A$3:$A$5001,BD!$B$3:$B$5001,P$175,BD!$A$3:$A$5001,"&gt;="&amp;$C$7,BD!$A$3:$A$5001,"&lt;="&amp;$B185,BD!$W$3:$W$5001,"&lt;&gt;"))))</f>
        <v/>
      </c>
      <c r="Q185" s="54" t="str">
        <f>IF(OR($B185="",$A185&gt;$B$9,Q$175=""),"",IF(COUNTIFS(BD!$B$3:$B$5001,Q$175,BD!$A$3:$A$5001,"&gt;="&amp;$C$7,BD!$A$3:$A$5001,"&lt;="&amp;$B185,BD!$W$3:$W$5001,"&lt;&gt;")=0,"",SUMIFS(BD!$W$3:$W$5001,BD!$B$3:$B$5001,Q$175,BD!$A$3:$A$5001,_xlfn.MAXIFS(BD!$A$3:$A$5001,BD!$B$3:$B$5001,Q$175,BD!$A$3:$A$5001,"&gt;="&amp;$C$7,BD!$A$3:$A$5001,"&lt;="&amp;$B185,BD!$W$3:$W$5001,"&lt;&gt;"))))</f>
        <v/>
      </c>
      <c r="R185" s="54" t="str">
        <f>IF(OR($B185="",$A185&gt;$B$9,R$175=""),"",IF(COUNTIFS(BD!$B$3:$B$5001,R$175,BD!$A$3:$A$5001,"&gt;="&amp;$C$7,BD!$A$3:$A$5001,"&lt;="&amp;$B185,BD!$W$3:$W$5001,"&lt;&gt;")=0,"",SUMIFS(BD!$W$3:$W$5001,BD!$B$3:$B$5001,R$175,BD!$A$3:$A$5001,_xlfn.MAXIFS(BD!$A$3:$A$5001,BD!$B$3:$B$5001,R$175,BD!$A$3:$A$5001,"&gt;="&amp;$C$7,BD!$A$3:$A$5001,"&lt;="&amp;$B185,BD!$W$3:$W$5001,"&lt;&gt;"))))</f>
        <v/>
      </c>
      <c r="S185" s="54" t="str">
        <f>IF(OR($B185="",$A185&gt;$B$9,S$175=""),"",IF(COUNTIFS(BD!$B$3:$B$5001,S$175,BD!$A$3:$A$5001,"&gt;="&amp;$C$7,BD!$A$3:$A$5001,"&lt;="&amp;$B185,BD!$W$3:$W$5001,"&lt;&gt;")=0,"",SUMIFS(BD!$W$3:$W$5001,BD!$B$3:$B$5001,S$175,BD!$A$3:$A$5001,_xlfn.MAXIFS(BD!$A$3:$A$5001,BD!$B$3:$B$5001,S$175,BD!$A$3:$A$5001,"&gt;="&amp;$C$7,BD!$A$3:$A$5001,"&lt;="&amp;$B185,BD!$W$3:$W$5001,"&lt;&gt;"))))</f>
        <v/>
      </c>
      <c r="T185" s="54" t="str">
        <f>IF(OR($B185="",$A185&gt;$B$9,T$175=""),"",IF(COUNTIFS(BD!$B$3:$B$5001,T$175,BD!$A$3:$A$5001,"&gt;="&amp;$C$7,BD!$A$3:$A$5001,"&lt;="&amp;$B185,BD!$W$3:$W$5001,"&lt;&gt;")=0,"",SUMIFS(BD!$W$3:$W$5001,BD!$B$3:$B$5001,T$175,BD!$A$3:$A$5001,_xlfn.MAXIFS(BD!$A$3:$A$5001,BD!$B$3:$B$5001,T$175,BD!$A$3:$A$5001,"&gt;="&amp;$C$7,BD!$A$3:$A$5001,"&lt;="&amp;$B185,BD!$W$3:$W$5001,"&lt;&gt;"))))</f>
        <v/>
      </c>
      <c r="U185" s="54" t="str">
        <f>IF(OR($B185="",$A185&gt;$B$9,U$175=""),"",IF(COUNTIFS(BD!$B$3:$B$5001,U$175,BD!$A$3:$A$5001,"&gt;="&amp;$C$7,BD!$A$3:$A$5001,"&lt;="&amp;$B185,BD!$W$3:$W$5001,"&lt;&gt;")=0,"",SUMIFS(BD!$W$3:$W$5001,BD!$B$3:$B$5001,U$175,BD!$A$3:$A$5001,_xlfn.MAXIFS(BD!$A$3:$A$5001,BD!$B$3:$B$5001,U$175,BD!$A$3:$A$5001,"&gt;="&amp;$C$7,BD!$A$3:$A$5001,"&lt;="&amp;$B185,BD!$W$3:$W$5001,"&lt;&gt;"))))</f>
        <v/>
      </c>
      <c r="V185" s="54" t="str">
        <f>IF(OR($B185="",$A185&gt;$B$9,V$175=""),"",IF(COUNTIFS(BD!$B$3:$B$5001,V$175,BD!$A$3:$A$5001,"&gt;="&amp;$C$7,BD!$A$3:$A$5001,"&lt;="&amp;$B185,BD!$W$3:$W$5001,"&lt;&gt;")=0,"",SUMIFS(BD!$W$3:$W$5001,BD!$B$3:$B$5001,V$175,BD!$A$3:$A$5001,_xlfn.MAXIFS(BD!$A$3:$A$5001,BD!$B$3:$B$5001,V$175,BD!$A$3:$A$5001,"&gt;="&amp;$C$7,BD!$A$3:$A$5001,"&lt;="&amp;$B185,BD!$W$3:$W$5001,"&lt;&gt;"))))</f>
        <v/>
      </c>
    </row>
    <row r="186">
      <c r="A186" s="48">
        <v>11</v>
      </c>
      <c r="B186" s="53">
        <f>$B$22</f>
        <v>46306</v>
      </c>
      <c r="C186" s="54" t="str">
        <f>IF(OR($B186="",$A186&gt;$B$9,C$175=""),"",IF(COUNTIFS(BD!$B$3:$B$5001,C$175,BD!$A$3:$A$5001,"&gt;="&amp;$C$7,BD!$A$3:$A$5001,"&lt;="&amp;$B186,BD!$W$3:$W$5001,"&lt;&gt;")=0,"",SUMIFS(BD!$W$3:$W$5001,BD!$B$3:$B$5001,C$175,BD!$A$3:$A$5001,_xlfn.MAXIFS(BD!$A$3:$A$5001,BD!$B$3:$B$5001,C$175,BD!$A$3:$A$5001,"&gt;="&amp;$C$7,BD!$A$3:$A$5001,"&lt;="&amp;$B186,BD!$W$3:$W$5001,"&lt;&gt;"))))</f>
        <v/>
      </c>
      <c r="D186" s="54" t="str">
        <f>IF(OR($B186="",$A186&gt;$B$9,D$175=""),"",IF(COUNTIFS(BD!$B$3:$B$5001,D$175,BD!$A$3:$A$5001,"&gt;="&amp;$C$7,BD!$A$3:$A$5001,"&lt;="&amp;$B186,BD!$W$3:$W$5001,"&lt;&gt;")=0,"",SUMIFS(BD!$W$3:$W$5001,BD!$B$3:$B$5001,D$175,BD!$A$3:$A$5001,_xlfn.MAXIFS(BD!$A$3:$A$5001,BD!$B$3:$B$5001,D$175,BD!$A$3:$A$5001,"&gt;="&amp;$C$7,BD!$A$3:$A$5001,"&lt;="&amp;$B186,BD!$W$3:$W$5001,"&lt;&gt;"))))</f>
        <v/>
      </c>
      <c r="E186" s="54" t="str">
        <f>IF(OR($B186="",$A186&gt;$B$9,E$175=""),"",IF(COUNTIFS(BD!$B$3:$B$5001,E$175,BD!$A$3:$A$5001,"&gt;="&amp;$C$7,BD!$A$3:$A$5001,"&lt;="&amp;$B186,BD!$W$3:$W$5001,"&lt;&gt;")=0,"",SUMIFS(BD!$W$3:$W$5001,BD!$B$3:$B$5001,E$175,BD!$A$3:$A$5001,_xlfn.MAXIFS(BD!$A$3:$A$5001,BD!$B$3:$B$5001,E$175,BD!$A$3:$A$5001,"&gt;="&amp;$C$7,BD!$A$3:$A$5001,"&lt;="&amp;$B186,BD!$W$3:$W$5001,"&lt;&gt;"))))</f>
        <v/>
      </c>
      <c r="F186" s="54" t="str">
        <f>IF(OR($B186="",$A186&gt;$B$9,F$175=""),"",IF(COUNTIFS(BD!$B$3:$B$5001,F$175,BD!$A$3:$A$5001,"&gt;="&amp;$C$7,BD!$A$3:$A$5001,"&lt;="&amp;$B186,BD!$W$3:$W$5001,"&lt;&gt;")=0,"",SUMIFS(BD!$W$3:$W$5001,BD!$B$3:$B$5001,F$175,BD!$A$3:$A$5001,_xlfn.MAXIFS(BD!$A$3:$A$5001,BD!$B$3:$B$5001,F$175,BD!$A$3:$A$5001,"&gt;="&amp;$C$7,BD!$A$3:$A$5001,"&lt;="&amp;$B186,BD!$W$3:$W$5001,"&lt;&gt;"))))</f>
        <v/>
      </c>
      <c r="G186" s="54" t="str">
        <f>IF(OR($B186="",$A186&gt;$B$9,G$175=""),"",IF(COUNTIFS(BD!$B$3:$B$5001,G$175,BD!$A$3:$A$5001,"&gt;="&amp;$C$7,BD!$A$3:$A$5001,"&lt;="&amp;$B186,BD!$W$3:$W$5001,"&lt;&gt;")=0,"",SUMIFS(BD!$W$3:$W$5001,BD!$B$3:$B$5001,G$175,BD!$A$3:$A$5001,_xlfn.MAXIFS(BD!$A$3:$A$5001,BD!$B$3:$B$5001,G$175,BD!$A$3:$A$5001,"&gt;="&amp;$C$7,BD!$A$3:$A$5001,"&lt;="&amp;$B186,BD!$W$3:$W$5001,"&lt;&gt;"))))</f>
        <v/>
      </c>
      <c r="H186" s="54" t="str">
        <f>IF(OR($B186="",$A186&gt;$B$9,H$175=""),"",IF(COUNTIFS(BD!$B$3:$B$5001,H$175,BD!$A$3:$A$5001,"&gt;="&amp;$C$7,BD!$A$3:$A$5001,"&lt;="&amp;$B186,BD!$W$3:$W$5001,"&lt;&gt;")=0,"",SUMIFS(BD!$W$3:$W$5001,BD!$B$3:$B$5001,H$175,BD!$A$3:$A$5001,_xlfn.MAXIFS(BD!$A$3:$A$5001,BD!$B$3:$B$5001,H$175,BD!$A$3:$A$5001,"&gt;="&amp;$C$7,BD!$A$3:$A$5001,"&lt;="&amp;$B186,BD!$W$3:$W$5001,"&lt;&gt;"))))</f>
        <v/>
      </c>
      <c r="I186" s="54" t="str">
        <f>IF(OR($B186="",$A186&gt;$B$9,I$175=""),"",IF(COUNTIFS(BD!$B$3:$B$5001,I$175,BD!$A$3:$A$5001,"&gt;="&amp;$C$7,BD!$A$3:$A$5001,"&lt;="&amp;$B186,BD!$W$3:$W$5001,"&lt;&gt;")=0,"",SUMIFS(BD!$W$3:$W$5001,BD!$B$3:$B$5001,I$175,BD!$A$3:$A$5001,_xlfn.MAXIFS(BD!$A$3:$A$5001,BD!$B$3:$B$5001,I$175,BD!$A$3:$A$5001,"&gt;="&amp;$C$7,BD!$A$3:$A$5001,"&lt;="&amp;$B186,BD!$W$3:$W$5001,"&lt;&gt;"))))</f>
        <v/>
      </c>
      <c r="J186" s="54" t="str">
        <f>IF(OR($B186="",$A186&gt;$B$9,J$175=""),"",IF(COUNTIFS(BD!$B$3:$B$5001,J$175,BD!$A$3:$A$5001,"&gt;="&amp;$C$7,BD!$A$3:$A$5001,"&lt;="&amp;$B186,BD!$W$3:$W$5001,"&lt;&gt;")=0,"",SUMIFS(BD!$W$3:$W$5001,BD!$B$3:$B$5001,J$175,BD!$A$3:$A$5001,_xlfn.MAXIFS(BD!$A$3:$A$5001,BD!$B$3:$B$5001,J$175,BD!$A$3:$A$5001,"&gt;="&amp;$C$7,BD!$A$3:$A$5001,"&lt;="&amp;$B186,BD!$W$3:$W$5001,"&lt;&gt;"))))</f>
        <v/>
      </c>
      <c r="K186" s="54" t="str">
        <f>IF(OR($B186="",$A186&gt;$B$9,K$175=""),"",IF(COUNTIFS(BD!$B$3:$B$5001,K$175,BD!$A$3:$A$5001,"&gt;="&amp;$C$7,BD!$A$3:$A$5001,"&lt;="&amp;$B186,BD!$W$3:$W$5001,"&lt;&gt;")=0,"",SUMIFS(BD!$W$3:$W$5001,BD!$B$3:$B$5001,K$175,BD!$A$3:$A$5001,_xlfn.MAXIFS(BD!$A$3:$A$5001,BD!$B$3:$B$5001,K$175,BD!$A$3:$A$5001,"&gt;="&amp;$C$7,BD!$A$3:$A$5001,"&lt;="&amp;$B186,BD!$W$3:$W$5001,"&lt;&gt;"))))</f>
        <v/>
      </c>
      <c r="L186" s="54" t="str">
        <f>IF(OR($B186="",$A186&gt;$B$9,L$175=""),"",IF(COUNTIFS(BD!$B$3:$B$5001,L$175,BD!$A$3:$A$5001,"&gt;="&amp;$C$7,BD!$A$3:$A$5001,"&lt;="&amp;$B186,BD!$W$3:$W$5001,"&lt;&gt;")=0,"",SUMIFS(BD!$W$3:$W$5001,BD!$B$3:$B$5001,L$175,BD!$A$3:$A$5001,_xlfn.MAXIFS(BD!$A$3:$A$5001,BD!$B$3:$B$5001,L$175,BD!$A$3:$A$5001,"&gt;="&amp;$C$7,BD!$A$3:$A$5001,"&lt;="&amp;$B186,BD!$W$3:$W$5001,"&lt;&gt;"))))</f>
        <v/>
      </c>
      <c r="M186" s="54" t="str">
        <f>IF(OR($B186="",$A186&gt;$B$9,M$175=""),"",IF(COUNTIFS(BD!$B$3:$B$5001,M$175,BD!$A$3:$A$5001,"&gt;="&amp;$C$7,BD!$A$3:$A$5001,"&lt;="&amp;$B186,BD!$W$3:$W$5001,"&lt;&gt;")=0,"",SUMIFS(BD!$W$3:$W$5001,BD!$B$3:$B$5001,M$175,BD!$A$3:$A$5001,_xlfn.MAXIFS(BD!$A$3:$A$5001,BD!$B$3:$B$5001,M$175,BD!$A$3:$A$5001,"&gt;="&amp;$C$7,BD!$A$3:$A$5001,"&lt;="&amp;$B186,BD!$W$3:$W$5001,"&lt;&gt;"))))</f>
        <v/>
      </c>
      <c r="N186" s="54" t="str">
        <f>IF(OR($B186="",$A186&gt;$B$9,N$175=""),"",IF(COUNTIFS(BD!$B$3:$B$5001,N$175,BD!$A$3:$A$5001,"&gt;="&amp;$C$7,BD!$A$3:$A$5001,"&lt;="&amp;$B186,BD!$W$3:$W$5001,"&lt;&gt;")=0,"",SUMIFS(BD!$W$3:$W$5001,BD!$B$3:$B$5001,N$175,BD!$A$3:$A$5001,_xlfn.MAXIFS(BD!$A$3:$A$5001,BD!$B$3:$B$5001,N$175,BD!$A$3:$A$5001,"&gt;="&amp;$C$7,BD!$A$3:$A$5001,"&lt;="&amp;$B186,BD!$W$3:$W$5001,"&lt;&gt;"))))</f>
        <v/>
      </c>
      <c r="O186" s="54" t="str">
        <f>IF(OR($B186="",$A186&gt;$B$9,O$175=""),"",IF(COUNTIFS(BD!$B$3:$B$5001,O$175,BD!$A$3:$A$5001,"&gt;="&amp;$C$7,BD!$A$3:$A$5001,"&lt;="&amp;$B186,BD!$W$3:$W$5001,"&lt;&gt;")=0,"",SUMIFS(BD!$W$3:$W$5001,BD!$B$3:$B$5001,O$175,BD!$A$3:$A$5001,_xlfn.MAXIFS(BD!$A$3:$A$5001,BD!$B$3:$B$5001,O$175,BD!$A$3:$A$5001,"&gt;="&amp;$C$7,BD!$A$3:$A$5001,"&lt;="&amp;$B186,BD!$W$3:$W$5001,"&lt;&gt;"))))</f>
        <v/>
      </c>
      <c r="P186" s="54" t="str">
        <f>IF(OR($B186="",$A186&gt;$B$9,P$175=""),"",IF(COUNTIFS(BD!$B$3:$B$5001,P$175,BD!$A$3:$A$5001,"&gt;="&amp;$C$7,BD!$A$3:$A$5001,"&lt;="&amp;$B186,BD!$W$3:$W$5001,"&lt;&gt;")=0,"",SUMIFS(BD!$W$3:$W$5001,BD!$B$3:$B$5001,P$175,BD!$A$3:$A$5001,_xlfn.MAXIFS(BD!$A$3:$A$5001,BD!$B$3:$B$5001,P$175,BD!$A$3:$A$5001,"&gt;="&amp;$C$7,BD!$A$3:$A$5001,"&lt;="&amp;$B186,BD!$W$3:$W$5001,"&lt;&gt;"))))</f>
        <v/>
      </c>
      <c r="Q186" s="54" t="str">
        <f>IF(OR($B186="",$A186&gt;$B$9,Q$175=""),"",IF(COUNTIFS(BD!$B$3:$B$5001,Q$175,BD!$A$3:$A$5001,"&gt;="&amp;$C$7,BD!$A$3:$A$5001,"&lt;="&amp;$B186,BD!$W$3:$W$5001,"&lt;&gt;")=0,"",SUMIFS(BD!$W$3:$W$5001,BD!$B$3:$B$5001,Q$175,BD!$A$3:$A$5001,_xlfn.MAXIFS(BD!$A$3:$A$5001,BD!$B$3:$B$5001,Q$175,BD!$A$3:$A$5001,"&gt;="&amp;$C$7,BD!$A$3:$A$5001,"&lt;="&amp;$B186,BD!$W$3:$W$5001,"&lt;&gt;"))))</f>
        <v/>
      </c>
      <c r="R186" s="54" t="str">
        <f>IF(OR($B186="",$A186&gt;$B$9,R$175=""),"",IF(COUNTIFS(BD!$B$3:$B$5001,R$175,BD!$A$3:$A$5001,"&gt;="&amp;$C$7,BD!$A$3:$A$5001,"&lt;="&amp;$B186,BD!$W$3:$W$5001,"&lt;&gt;")=0,"",SUMIFS(BD!$W$3:$W$5001,BD!$B$3:$B$5001,R$175,BD!$A$3:$A$5001,_xlfn.MAXIFS(BD!$A$3:$A$5001,BD!$B$3:$B$5001,R$175,BD!$A$3:$A$5001,"&gt;="&amp;$C$7,BD!$A$3:$A$5001,"&lt;="&amp;$B186,BD!$W$3:$W$5001,"&lt;&gt;"))))</f>
        <v/>
      </c>
      <c r="S186" s="54" t="str">
        <f>IF(OR($B186="",$A186&gt;$B$9,S$175=""),"",IF(COUNTIFS(BD!$B$3:$B$5001,S$175,BD!$A$3:$A$5001,"&gt;="&amp;$C$7,BD!$A$3:$A$5001,"&lt;="&amp;$B186,BD!$W$3:$W$5001,"&lt;&gt;")=0,"",SUMIFS(BD!$W$3:$W$5001,BD!$B$3:$B$5001,S$175,BD!$A$3:$A$5001,_xlfn.MAXIFS(BD!$A$3:$A$5001,BD!$B$3:$B$5001,S$175,BD!$A$3:$A$5001,"&gt;="&amp;$C$7,BD!$A$3:$A$5001,"&lt;="&amp;$B186,BD!$W$3:$W$5001,"&lt;&gt;"))))</f>
        <v/>
      </c>
      <c r="T186" s="54" t="str">
        <f>IF(OR($B186="",$A186&gt;$B$9,T$175=""),"",IF(COUNTIFS(BD!$B$3:$B$5001,T$175,BD!$A$3:$A$5001,"&gt;="&amp;$C$7,BD!$A$3:$A$5001,"&lt;="&amp;$B186,BD!$W$3:$W$5001,"&lt;&gt;")=0,"",SUMIFS(BD!$W$3:$W$5001,BD!$B$3:$B$5001,T$175,BD!$A$3:$A$5001,_xlfn.MAXIFS(BD!$A$3:$A$5001,BD!$B$3:$B$5001,T$175,BD!$A$3:$A$5001,"&gt;="&amp;$C$7,BD!$A$3:$A$5001,"&lt;="&amp;$B186,BD!$W$3:$W$5001,"&lt;&gt;"))))</f>
        <v/>
      </c>
      <c r="U186" s="54" t="str">
        <f>IF(OR($B186="",$A186&gt;$B$9,U$175=""),"",IF(COUNTIFS(BD!$B$3:$B$5001,U$175,BD!$A$3:$A$5001,"&gt;="&amp;$C$7,BD!$A$3:$A$5001,"&lt;="&amp;$B186,BD!$W$3:$W$5001,"&lt;&gt;")=0,"",SUMIFS(BD!$W$3:$W$5001,BD!$B$3:$B$5001,U$175,BD!$A$3:$A$5001,_xlfn.MAXIFS(BD!$A$3:$A$5001,BD!$B$3:$B$5001,U$175,BD!$A$3:$A$5001,"&gt;="&amp;$C$7,BD!$A$3:$A$5001,"&lt;="&amp;$B186,BD!$W$3:$W$5001,"&lt;&gt;"))))</f>
        <v/>
      </c>
      <c r="V186" s="54" t="str">
        <f>IF(OR($B186="",$A186&gt;$B$9,V$175=""),"",IF(COUNTIFS(BD!$B$3:$B$5001,V$175,BD!$A$3:$A$5001,"&gt;="&amp;$C$7,BD!$A$3:$A$5001,"&lt;="&amp;$B186,BD!$W$3:$W$5001,"&lt;&gt;")=0,"",SUMIFS(BD!$W$3:$W$5001,BD!$B$3:$B$5001,V$175,BD!$A$3:$A$5001,_xlfn.MAXIFS(BD!$A$3:$A$5001,BD!$B$3:$B$5001,V$175,BD!$A$3:$A$5001,"&gt;="&amp;$C$7,BD!$A$3:$A$5001,"&lt;="&amp;$B186,BD!$W$3:$W$5001,"&lt;&gt;"))))</f>
        <v/>
      </c>
    </row>
    <row r="187">
      <c r="A187" s="48">
        <v>12</v>
      </c>
      <c r="B187" s="53">
        <f>$B$23</f>
        <v>46307</v>
      </c>
      <c r="C187" s="54" t="str">
        <f>IF(OR($B187="",$A187&gt;$B$9,C$175=""),"",IF(COUNTIFS(BD!$B$3:$B$5001,C$175,BD!$A$3:$A$5001,"&gt;="&amp;$C$7,BD!$A$3:$A$5001,"&lt;="&amp;$B187,BD!$W$3:$W$5001,"&lt;&gt;")=0,"",SUMIFS(BD!$W$3:$W$5001,BD!$B$3:$B$5001,C$175,BD!$A$3:$A$5001,_xlfn.MAXIFS(BD!$A$3:$A$5001,BD!$B$3:$B$5001,C$175,BD!$A$3:$A$5001,"&gt;="&amp;$C$7,BD!$A$3:$A$5001,"&lt;="&amp;$B187,BD!$W$3:$W$5001,"&lt;&gt;"))))</f>
        <v/>
      </c>
      <c r="D187" s="54" t="str">
        <f>IF(OR($B187="",$A187&gt;$B$9,D$175=""),"",IF(COUNTIFS(BD!$B$3:$B$5001,D$175,BD!$A$3:$A$5001,"&gt;="&amp;$C$7,BD!$A$3:$A$5001,"&lt;="&amp;$B187,BD!$W$3:$W$5001,"&lt;&gt;")=0,"",SUMIFS(BD!$W$3:$W$5001,BD!$B$3:$B$5001,D$175,BD!$A$3:$A$5001,_xlfn.MAXIFS(BD!$A$3:$A$5001,BD!$B$3:$B$5001,D$175,BD!$A$3:$A$5001,"&gt;="&amp;$C$7,BD!$A$3:$A$5001,"&lt;="&amp;$B187,BD!$W$3:$W$5001,"&lt;&gt;"))))</f>
        <v/>
      </c>
      <c r="E187" s="54" t="str">
        <f>IF(OR($B187="",$A187&gt;$B$9,E$175=""),"",IF(COUNTIFS(BD!$B$3:$B$5001,E$175,BD!$A$3:$A$5001,"&gt;="&amp;$C$7,BD!$A$3:$A$5001,"&lt;="&amp;$B187,BD!$W$3:$W$5001,"&lt;&gt;")=0,"",SUMIFS(BD!$W$3:$W$5001,BD!$B$3:$B$5001,E$175,BD!$A$3:$A$5001,_xlfn.MAXIFS(BD!$A$3:$A$5001,BD!$B$3:$B$5001,E$175,BD!$A$3:$A$5001,"&gt;="&amp;$C$7,BD!$A$3:$A$5001,"&lt;="&amp;$B187,BD!$W$3:$W$5001,"&lt;&gt;"))))</f>
        <v/>
      </c>
      <c r="F187" s="54" t="str">
        <f>IF(OR($B187="",$A187&gt;$B$9,F$175=""),"",IF(COUNTIFS(BD!$B$3:$B$5001,F$175,BD!$A$3:$A$5001,"&gt;="&amp;$C$7,BD!$A$3:$A$5001,"&lt;="&amp;$B187,BD!$W$3:$W$5001,"&lt;&gt;")=0,"",SUMIFS(BD!$W$3:$W$5001,BD!$B$3:$B$5001,F$175,BD!$A$3:$A$5001,_xlfn.MAXIFS(BD!$A$3:$A$5001,BD!$B$3:$B$5001,F$175,BD!$A$3:$A$5001,"&gt;="&amp;$C$7,BD!$A$3:$A$5001,"&lt;="&amp;$B187,BD!$W$3:$W$5001,"&lt;&gt;"))))</f>
        <v/>
      </c>
      <c r="G187" s="54" t="str">
        <f>IF(OR($B187="",$A187&gt;$B$9,G$175=""),"",IF(COUNTIFS(BD!$B$3:$B$5001,G$175,BD!$A$3:$A$5001,"&gt;="&amp;$C$7,BD!$A$3:$A$5001,"&lt;="&amp;$B187,BD!$W$3:$W$5001,"&lt;&gt;")=0,"",SUMIFS(BD!$W$3:$W$5001,BD!$B$3:$B$5001,G$175,BD!$A$3:$A$5001,_xlfn.MAXIFS(BD!$A$3:$A$5001,BD!$B$3:$B$5001,G$175,BD!$A$3:$A$5001,"&gt;="&amp;$C$7,BD!$A$3:$A$5001,"&lt;="&amp;$B187,BD!$W$3:$W$5001,"&lt;&gt;"))))</f>
        <v/>
      </c>
      <c r="H187" s="54" t="str">
        <f>IF(OR($B187="",$A187&gt;$B$9,H$175=""),"",IF(COUNTIFS(BD!$B$3:$B$5001,H$175,BD!$A$3:$A$5001,"&gt;="&amp;$C$7,BD!$A$3:$A$5001,"&lt;="&amp;$B187,BD!$W$3:$W$5001,"&lt;&gt;")=0,"",SUMIFS(BD!$W$3:$W$5001,BD!$B$3:$B$5001,H$175,BD!$A$3:$A$5001,_xlfn.MAXIFS(BD!$A$3:$A$5001,BD!$B$3:$B$5001,H$175,BD!$A$3:$A$5001,"&gt;="&amp;$C$7,BD!$A$3:$A$5001,"&lt;="&amp;$B187,BD!$W$3:$W$5001,"&lt;&gt;"))))</f>
        <v/>
      </c>
      <c r="I187" s="54" t="str">
        <f>IF(OR($B187="",$A187&gt;$B$9,I$175=""),"",IF(COUNTIFS(BD!$B$3:$B$5001,I$175,BD!$A$3:$A$5001,"&gt;="&amp;$C$7,BD!$A$3:$A$5001,"&lt;="&amp;$B187,BD!$W$3:$W$5001,"&lt;&gt;")=0,"",SUMIFS(BD!$W$3:$W$5001,BD!$B$3:$B$5001,I$175,BD!$A$3:$A$5001,_xlfn.MAXIFS(BD!$A$3:$A$5001,BD!$B$3:$B$5001,I$175,BD!$A$3:$A$5001,"&gt;="&amp;$C$7,BD!$A$3:$A$5001,"&lt;="&amp;$B187,BD!$W$3:$W$5001,"&lt;&gt;"))))</f>
        <v/>
      </c>
      <c r="J187" s="54" t="str">
        <f>IF(OR($B187="",$A187&gt;$B$9,J$175=""),"",IF(COUNTIFS(BD!$B$3:$B$5001,J$175,BD!$A$3:$A$5001,"&gt;="&amp;$C$7,BD!$A$3:$A$5001,"&lt;="&amp;$B187,BD!$W$3:$W$5001,"&lt;&gt;")=0,"",SUMIFS(BD!$W$3:$W$5001,BD!$B$3:$B$5001,J$175,BD!$A$3:$A$5001,_xlfn.MAXIFS(BD!$A$3:$A$5001,BD!$B$3:$B$5001,J$175,BD!$A$3:$A$5001,"&gt;="&amp;$C$7,BD!$A$3:$A$5001,"&lt;="&amp;$B187,BD!$W$3:$W$5001,"&lt;&gt;"))))</f>
        <v/>
      </c>
      <c r="K187" s="54" t="str">
        <f>IF(OR($B187="",$A187&gt;$B$9,K$175=""),"",IF(COUNTIFS(BD!$B$3:$B$5001,K$175,BD!$A$3:$A$5001,"&gt;="&amp;$C$7,BD!$A$3:$A$5001,"&lt;="&amp;$B187,BD!$W$3:$W$5001,"&lt;&gt;")=0,"",SUMIFS(BD!$W$3:$W$5001,BD!$B$3:$B$5001,K$175,BD!$A$3:$A$5001,_xlfn.MAXIFS(BD!$A$3:$A$5001,BD!$B$3:$B$5001,K$175,BD!$A$3:$A$5001,"&gt;="&amp;$C$7,BD!$A$3:$A$5001,"&lt;="&amp;$B187,BD!$W$3:$W$5001,"&lt;&gt;"))))</f>
        <v/>
      </c>
      <c r="L187" s="54" t="str">
        <f>IF(OR($B187="",$A187&gt;$B$9,L$175=""),"",IF(COUNTIFS(BD!$B$3:$B$5001,L$175,BD!$A$3:$A$5001,"&gt;="&amp;$C$7,BD!$A$3:$A$5001,"&lt;="&amp;$B187,BD!$W$3:$W$5001,"&lt;&gt;")=0,"",SUMIFS(BD!$W$3:$W$5001,BD!$B$3:$B$5001,L$175,BD!$A$3:$A$5001,_xlfn.MAXIFS(BD!$A$3:$A$5001,BD!$B$3:$B$5001,L$175,BD!$A$3:$A$5001,"&gt;="&amp;$C$7,BD!$A$3:$A$5001,"&lt;="&amp;$B187,BD!$W$3:$W$5001,"&lt;&gt;"))))</f>
        <v/>
      </c>
      <c r="M187" s="54" t="str">
        <f>IF(OR($B187="",$A187&gt;$B$9,M$175=""),"",IF(COUNTIFS(BD!$B$3:$B$5001,M$175,BD!$A$3:$A$5001,"&gt;="&amp;$C$7,BD!$A$3:$A$5001,"&lt;="&amp;$B187,BD!$W$3:$W$5001,"&lt;&gt;")=0,"",SUMIFS(BD!$W$3:$W$5001,BD!$B$3:$B$5001,M$175,BD!$A$3:$A$5001,_xlfn.MAXIFS(BD!$A$3:$A$5001,BD!$B$3:$B$5001,M$175,BD!$A$3:$A$5001,"&gt;="&amp;$C$7,BD!$A$3:$A$5001,"&lt;="&amp;$B187,BD!$W$3:$W$5001,"&lt;&gt;"))))</f>
        <v/>
      </c>
      <c r="N187" s="54" t="str">
        <f>IF(OR($B187="",$A187&gt;$B$9,N$175=""),"",IF(COUNTIFS(BD!$B$3:$B$5001,N$175,BD!$A$3:$A$5001,"&gt;="&amp;$C$7,BD!$A$3:$A$5001,"&lt;="&amp;$B187,BD!$W$3:$W$5001,"&lt;&gt;")=0,"",SUMIFS(BD!$W$3:$W$5001,BD!$B$3:$B$5001,N$175,BD!$A$3:$A$5001,_xlfn.MAXIFS(BD!$A$3:$A$5001,BD!$B$3:$B$5001,N$175,BD!$A$3:$A$5001,"&gt;="&amp;$C$7,BD!$A$3:$A$5001,"&lt;="&amp;$B187,BD!$W$3:$W$5001,"&lt;&gt;"))))</f>
        <v/>
      </c>
      <c r="O187" s="54" t="str">
        <f>IF(OR($B187="",$A187&gt;$B$9,O$175=""),"",IF(COUNTIFS(BD!$B$3:$B$5001,O$175,BD!$A$3:$A$5001,"&gt;="&amp;$C$7,BD!$A$3:$A$5001,"&lt;="&amp;$B187,BD!$W$3:$W$5001,"&lt;&gt;")=0,"",SUMIFS(BD!$W$3:$W$5001,BD!$B$3:$B$5001,O$175,BD!$A$3:$A$5001,_xlfn.MAXIFS(BD!$A$3:$A$5001,BD!$B$3:$B$5001,O$175,BD!$A$3:$A$5001,"&gt;="&amp;$C$7,BD!$A$3:$A$5001,"&lt;="&amp;$B187,BD!$W$3:$W$5001,"&lt;&gt;"))))</f>
        <v/>
      </c>
      <c r="P187" s="54" t="str">
        <f>IF(OR($B187="",$A187&gt;$B$9,P$175=""),"",IF(COUNTIFS(BD!$B$3:$B$5001,P$175,BD!$A$3:$A$5001,"&gt;="&amp;$C$7,BD!$A$3:$A$5001,"&lt;="&amp;$B187,BD!$W$3:$W$5001,"&lt;&gt;")=0,"",SUMIFS(BD!$W$3:$W$5001,BD!$B$3:$B$5001,P$175,BD!$A$3:$A$5001,_xlfn.MAXIFS(BD!$A$3:$A$5001,BD!$B$3:$B$5001,P$175,BD!$A$3:$A$5001,"&gt;="&amp;$C$7,BD!$A$3:$A$5001,"&lt;="&amp;$B187,BD!$W$3:$W$5001,"&lt;&gt;"))))</f>
        <v/>
      </c>
      <c r="Q187" s="54" t="str">
        <f>IF(OR($B187="",$A187&gt;$B$9,Q$175=""),"",IF(COUNTIFS(BD!$B$3:$B$5001,Q$175,BD!$A$3:$A$5001,"&gt;="&amp;$C$7,BD!$A$3:$A$5001,"&lt;="&amp;$B187,BD!$W$3:$W$5001,"&lt;&gt;")=0,"",SUMIFS(BD!$W$3:$W$5001,BD!$B$3:$B$5001,Q$175,BD!$A$3:$A$5001,_xlfn.MAXIFS(BD!$A$3:$A$5001,BD!$B$3:$B$5001,Q$175,BD!$A$3:$A$5001,"&gt;="&amp;$C$7,BD!$A$3:$A$5001,"&lt;="&amp;$B187,BD!$W$3:$W$5001,"&lt;&gt;"))))</f>
        <v/>
      </c>
      <c r="R187" s="54" t="str">
        <f>IF(OR($B187="",$A187&gt;$B$9,R$175=""),"",IF(COUNTIFS(BD!$B$3:$B$5001,R$175,BD!$A$3:$A$5001,"&gt;="&amp;$C$7,BD!$A$3:$A$5001,"&lt;="&amp;$B187,BD!$W$3:$W$5001,"&lt;&gt;")=0,"",SUMIFS(BD!$W$3:$W$5001,BD!$B$3:$B$5001,R$175,BD!$A$3:$A$5001,_xlfn.MAXIFS(BD!$A$3:$A$5001,BD!$B$3:$B$5001,R$175,BD!$A$3:$A$5001,"&gt;="&amp;$C$7,BD!$A$3:$A$5001,"&lt;="&amp;$B187,BD!$W$3:$W$5001,"&lt;&gt;"))))</f>
        <v/>
      </c>
      <c r="S187" s="54" t="str">
        <f>IF(OR($B187="",$A187&gt;$B$9,S$175=""),"",IF(COUNTIFS(BD!$B$3:$B$5001,S$175,BD!$A$3:$A$5001,"&gt;="&amp;$C$7,BD!$A$3:$A$5001,"&lt;="&amp;$B187,BD!$W$3:$W$5001,"&lt;&gt;")=0,"",SUMIFS(BD!$W$3:$W$5001,BD!$B$3:$B$5001,S$175,BD!$A$3:$A$5001,_xlfn.MAXIFS(BD!$A$3:$A$5001,BD!$B$3:$B$5001,S$175,BD!$A$3:$A$5001,"&gt;="&amp;$C$7,BD!$A$3:$A$5001,"&lt;="&amp;$B187,BD!$W$3:$W$5001,"&lt;&gt;"))))</f>
        <v/>
      </c>
      <c r="T187" s="54" t="str">
        <f>IF(OR($B187="",$A187&gt;$B$9,T$175=""),"",IF(COUNTIFS(BD!$B$3:$B$5001,T$175,BD!$A$3:$A$5001,"&gt;="&amp;$C$7,BD!$A$3:$A$5001,"&lt;="&amp;$B187,BD!$W$3:$W$5001,"&lt;&gt;")=0,"",SUMIFS(BD!$W$3:$W$5001,BD!$B$3:$B$5001,T$175,BD!$A$3:$A$5001,_xlfn.MAXIFS(BD!$A$3:$A$5001,BD!$B$3:$B$5001,T$175,BD!$A$3:$A$5001,"&gt;="&amp;$C$7,BD!$A$3:$A$5001,"&lt;="&amp;$B187,BD!$W$3:$W$5001,"&lt;&gt;"))))</f>
        <v/>
      </c>
      <c r="U187" s="54" t="str">
        <f>IF(OR($B187="",$A187&gt;$B$9,U$175=""),"",IF(COUNTIFS(BD!$B$3:$B$5001,U$175,BD!$A$3:$A$5001,"&gt;="&amp;$C$7,BD!$A$3:$A$5001,"&lt;="&amp;$B187,BD!$W$3:$W$5001,"&lt;&gt;")=0,"",SUMIFS(BD!$W$3:$W$5001,BD!$B$3:$B$5001,U$175,BD!$A$3:$A$5001,_xlfn.MAXIFS(BD!$A$3:$A$5001,BD!$B$3:$B$5001,U$175,BD!$A$3:$A$5001,"&gt;="&amp;$C$7,BD!$A$3:$A$5001,"&lt;="&amp;$B187,BD!$W$3:$W$5001,"&lt;&gt;"))))</f>
        <v/>
      </c>
      <c r="V187" s="54" t="str">
        <f>IF(OR($B187="",$A187&gt;$B$9,V$175=""),"",IF(COUNTIFS(BD!$B$3:$B$5001,V$175,BD!$A$3:$A$5001,"&gt;="&amp;$C$7,BD!$A$3:$A$5001,"&lt;="&amp;$B187,BD!$W$3:$W$5001,"&lt;&gt;")=0,"",SUMIFS(BD!$W$3:$W$5001,BD!$B$3:$B$5001,V$175,BD!$A$3:$A$5001,_xlfn.MAXIFS(BD!$A$3:$A$5001,BD!$B$3:$B$5001,V$175,BD!$A$3:$A$5001,"&gt;="&amp;$C$7,BD!$A$3:$A$5001,"&lt;="&amp;$B187,BD!$W$3:$W$5001,"&lt;&gt;"))))</f>
        <v/>
      </c>
    </row>
    <row r="188">
      <c r="A188" s="48">
        <v>13</v>
      </c>
      <c r="B188" s="53">
        <f>$B$24</f>
        <v>46308</v>
      </c>
      <c r="C188" s="54" t="str">
        <f>IF(OR($B188="",$A188&gt;$B$9,C$175=""),"",IF(COUNTIFS(BD!$B$3:$B$5001,C$175,BD!$A$3:$A$5001,"&gt;="&amp;$C$7,BD!$A$3:$A$5001,"&lt;="&amp;$B188,BD!$W$3:$W$5001,"&lt;&gt;")=0,"",SUMIFS(BD!$W$3:$W$5001,BD!$B$3:$B$5001,C$175,BD!$A$3:$A$5001,_xlfn.MAXIFS(BD!$A$3:$A$5001,BD!$B$3:$B$5001,C$175,BD!$A$3:$A$5001,"&gt;="&amp;$C$7,BD!$A$3:$A$5001,"&lt;="&amp;$B188,BD!$W$3:$W$5001,"&lt;&gt;"))))</f>
        <v/>
      </c>
      <c r="D188" s="54" t="str">
        <f>IF(OR($B188="",$A188&gt;$B$9,D$175=""),"",IF(COUNTIFS(BD!$B$3:$B$5001,D$175,BD!$A$3:$A$5001,"&gt;="&amp;$C$7,BD!$A$3:$A$5001,"&lt;="&amp;$B188,BD!$W$3:$W$5001,"&lt;&gt;")=0,"",SUMIFS(BD!$W$3:$W$5001,BD!$B$3:$B$5001,D$175,BD!$A$3:$A$5001,_xlfn.MAXIFS(BD!$A$3:$A$5001,BD!$B$3:$B$5001,D$175,BD!$A$3:$A$5001,"&gt;="&amp;$C$7,BD!$A$3:$A$5001,"&lt;="&amp;$B188,BD!$W$3:$W$5001,"&lt;&gt;"))))</f>
        <v/>
      </c>
      <c r="E188" s="54" t="str">
        <f>IF(OR($B188="",$A188&gt;$B$9,E$175=""),"",IF(COUNTIFS(BD!$B$3:$B$5001,E$175,BD!$A$3:$A$5001,"&gt;="&amp;$C$7,BD!$A$3:$A$5001,"&lt;="&amp;$B188,BD!$W$3:$W$5001,"&lt;&gt;")=0,"",SUMIFS(BD!$W$3:$W$5001,BD!$B$3:$B$5001,E$175,BD!$A$3:$A$5001,_xlfn.MAXIFS(BD!$A$3:$A$5001,BD!$B$3:$B$5001,E$175,BD!$A$3:$A$5001,"&gt;="&amp;$C$7,BD!$A$3:$A$5001,"&lt;="&amp;$B188,BD!$W$3:$W$5001,"&lt;&gt;"))))</f>
        <v/>
      </c>
      <c r="F188" s="54" t="str">
        <f>IF(OR($B188="",$A188&gt;$B$9,F$175=""),"",IF(COUNTIFS(BD!$B$3:$B$5001,F$175,BD!$A$3:$A$5001,"&gt;="&amp;$C$7,BD!$A$3:$A$5001,"&lt;="&amp;$B188,BD!$W$3:$W$5001,"&lt;&gt;")=0,"",SUMIFS(BD!$W$3:$W$5001,BD!$B$3:$B$5001,F$175,BD!$A$3:$A$5001,_xlfn.MAXIFS(BD!$A$3:$A$5001,BD!$B$3:$B$5001,F$175,BD!$A$3:$A$5001,"&gt;="&amp;$C$7,BD!$A$3:$A$5001,"&lt;="&amp;$B188,BD!$W$3:$W$5001,"&lt;&gt;"))))</f>
        <v/>
      </c>
      <c r="G188" s="54" t="str">
        <f>IF(OR($B188="",$A188&gt;$B$9,G$175=""),"",IF(COUNTIFS(BD!$B$3:$B$5001,G$175,BD!$A$3:$A$5001,"&gt;="&amp;$C$7,BD!$A$3:$A$5001,"&lt;="&amp;$B188,BD!$W$3:$W$5001,"&lt;&gt;")=0,"",SUMIFS(BD!$W$3:$W$5001,BD!$B$3:$B$5001,G$175,BD!$A$3:$A$5001,_xlfn.MAXIFS(BD!$A$3:$A$5001,BD!$B$3:$B$5001,G$175,BD!$A$3:$A$5001,"&gt;="&amp;$C$7,BD!$A$3:$A$5001,"&lt;="&amp;$B188,BD!$W$3:$W$5001,"&lt;&gt;"))))</f>
        <v/>
      </c>
      <c r="H188" s="54" t="str">
        <f>IF(OR($B188="",$A188&gt;$B$9,H$175=""),"",IF(COUNTIFS(BD!$B$3:$B$5001,H$175,BD!$A$3:$A$5001,"&gt;="&amp;$C$7,BD!$A$3:$A$5001,"&lt;="&amp;$B188,BD!$W$3:$W$5001,"&lt;&gt;")=0,"",SUMIFS(BD!$W$3:$W$5001,BD!$B$3:$B$5001,H$175,BD!$A$3:$A$5001,_xlfn.MAXIFS(BD!$A$3:$A$5001,BD!$B$3:$B$5001,H$175,BD!$A$3:$A$5001,"&gt;="&amp;$C$7,BD!$A$3:$A$5001,"&lt;="&amp;$B188,BD!$W$3:$W$5001,"&lt;&gt;"))))</f>
        <v/>
      </c>
      <c r="I188" s="54" t="str">
        <f>IF(OR($B188="",$A188&gt;$B$9,I$175=""),"",IF(COUNTIFS(BD!$B$3:$B$5001,I$175,BD!$A$3:$A$5001,"&gt;="&amp;$C$7,BD!$A$3:$A$5001,"&lt;="&amp;$B188,BD!$W$3:$W$5001,"&lt;&gt;")=0,"",SUMIFS(BD!$W$3:$W$5001,BD!$B$3:$B$5001,I$175,BD!$A$3:$A$5001,_xlfn.MAXIFS(BD!$A$3:$A$5001,BD!$B$3:$B$5001,I$175,BD!$A$3:$A$5001,"&gt;="&amp;$C$7,BD!$A$3:$A$5001,"&lt;="&amp;$B188,BD!$W$3:$W$5001,"&lt;&gt;"))))</f>
        <v/>
      </c>
      <c r="J188" s="54" t="str">
        <f>IF(OR($B188="",$A188&gt;$B$9,J$175=""),"",IF(COUNTIFS(BD!$B$3:$B$5001,J$175,BD!$A$3:$A$5001,"&gt;="&amp;$C$7,BD!$A$3:$A$5001,"&lt;="&amp;$B188,BD!$W$3:$W$5001,"&lt;&gt;")=0,"",SUMIFS(BD!$W$3:$W$5001,BD!$B$3:$B$5001,J$175,BD!$A$3:$A$5001,_xlfn.MAXIFS(BD!$A$3:$A$5001,BD!$B$3:$B$5001,J$175,BD!$A$3:$A$5001,"&gt;="&amp;$C$7,BD!$A$3:$A$5001,"&lt;="&amp;$B188,BD!$W$3:$W$5001,"&lt;&gt;"))))</f>
        <v/>
      </c>
      <c r="K188" s="54" t="str">
        <f>IF(OR($B188="",$A188&gt;$B$9,K$175=""),"",IF(COUNTIFS(BD!$B$3:$B$5001,K$175,BD!$A$3:$A$5001,"&gt;="&amp;$C$7,BD!$A$3:$A$5001,"&lt;="&amp;$B188,BD!$W$3:$W$5001,"&lt;&gt;")=0,"",SUMIFS(BD!$W$3:$W$5001,BD!$B$3:$B$5001,K$175,BD!$A$3:$A$5001,_xlfn.MAXIFS(BD!$A$3:$A$5001,BD!$B$3:$B$5001,K$175,BD!$A$3:$A$5001,"&gt;="&amp;$C$7,BD!$A$3:$A$5001,"&lt;="&amp;$B188,BD!$W$3:$W$5001,"&lt;&gt;"))))</f>
        <v/>
      </c>
      <c r="L188" s="54" t="str">
        <f>IF(OR($B188="",$A188&gt;$B$9,L$175=""),"",IF(COUNTIFS(BD!$B$3:$B$5001,L$175,BD!$A$3:$A$5001,"&gt;="&amp;$C$7,BD!$A$3:$A$5001,"&lt;="&amp;$B188,BD!$W$3:$W$5001,"&lt;&gt;")=0,"",SUMIFS(BD!$W$3:$W$5001,BD!$B$3:$B$5001,L$175,BD!$A$3:$A$5001,_xlfn.MAXIFS(BD!$A$3:$A$5001,BD!$B$3:$B$5001,L$175,BD!$A$3:$A$5001,"&gt;="&amp;$C$7,BD!$A$3:$A$5001,"&lt;="&amp;$B188,BD!$W$3:$W$5001,"&lt;&gt;"))))</f>
        <v/>
      </c>
      <c r="M188" s="54" t="str">
        <f>IF(OR($B188="",$A188&gt;$B$9,M$175=""),"",IF(COUNTIFS(BD!$B$3:$B$5001,M$175,BD!$A$3:$A$5001,"&gt;="&amp;$C$7,BD!$A$3:$A$5001,"&lt;="&amp;$B188,BD!$W$3:$W$5001,"&lt;&gt;")=0,"",SUMIFS(BD!$W$3:$W$5001,BD!$B$3:$B$5001,M$175,BD!$A$3:$A$5001,_xlfn.MAXIFS(BD!$A$3:$A$5001,BD!$B$3:$B$5001,M$175,BD!$A$3:$A$5001,"&gt;="&amp;$C$7,BD!$A$3:$A$5001,"&lt;="&amp;$B188,BD!$W$3:$W$5001,"&lt;&gt;"))))</f>
        <v/>
      </c>
      <c r="N188" s="54" t="str">
        <f>IF(OR($B188="",$A188&gt;$B$9,N$175=""),"",IF(COUNTIFS(BD!$B$3:$B$5001,N$175,BD!$A$3:$A$5001,"&gt;="&amp;$C$7,BD!$A$3:$A$5001,"&lt;="&amp;$B188,BD!$W$3:$W$5001,"&lt;&gt;")=0,"",SUMIFS(BD!$W$3:$W$5001,BD!$B$3:$B$5001,N$175,BD!$A$3:$A$5001,_xlfn.MAXIFS(BD!$A$3:$A$5001,BD!$B$3:$B$5001,N$175,BD!$A$3:$A$5001,"&gt;="&amp;$C$7,BD!$A$3:$A$5001,"&lt;="&amp;$B188,BD!$W$3:$W$5001,"&lt;&gt;"))))</f>
        <v/>
      </c>
      <c r="O188" s="54" t="str">
        <f>IF(OR($B188="",$A188&gt;$B$9,O$175=""),"",IF(COUNTIFS(BD!$B$3:$B$5001,O$175,BD!$A$3:$A$5001,"&gt;="&amp;$C$7,BD!$A$3:$A$5001,"&lt;="&amp;$B188,BD!$W$3:$W$5001,"&lt;&gt;")=0,"",SUMIFS(BD!$W$3:$W$5001,BD!$B$3:$B$5001,O$175,BD!$A$3:$A$5001,_xlfn.MAXIFS(BD!$A$3:$A$5001,BD!$B$3:$B$5001,O$175,BD!$A$3:$A$5001,"&gt;="&amp;$C$7,BD!$A$3:$A$5001,"&lt;="&amp;$B188,BD!$W$3:$W$5001,"&lt;&gt;"))))</f>
        <v/>
      </c>
      <c r="P188" s="54" t="str">
        <f>IF(OR($B188="",$A188&gt;$B$9,P$175=""),"",IF(COUNTIFS(BD!$B$3:$B$5001,P$175,BD!$A$3:$A$5001,"&gt;="&amp;$C$7,BD!$A$3:$A$5001,"&lt;="&amp;$B188,BD!$W$3:$W$5001,"&lt;&gt;")=0,"",SUMIFS(BD!$W$3:$W$5001,BD!$B$3:$B$5001,P$175,BD!$A$3:$A$5001,_xlfn.MAXIFS(BD!$A$3:$A$5001,BD!$B$3:$B$5001,P$175,BD!$A$3:$A$5001,"&gt;="&amp;$C$7,BD!$A$3:$A$5001,"&lt;="&amp;$B188,BD!$W$3:$W$5001,"&lt;&gt;"))))</f>
        <v/>
      </c>
      <c r="Q188" s="54" t="str">
        <f>IF(OR($B188="",$A188&gt;$B$9,Q$175=""),"",IF(COUNTIFS(BD!$B$3:$B$5001,Q$175,BD!$A$3:$A$5001,"&gt;="&amp;$C$7,BD!$A$3:$A$5001,"&lt;="&amp;$B188,BD!$W$3:$W$5001,"&lt;&gt;")=0,"",SUMIFS(BD!$W$3:$W$5001,BD!$B$3:$B$5001,Q$175,BD!$A$3:$A$5001,_xlfn.MAXIFS(BD!$A$3:$A$5001,BD!$B$3:$B$5001,Q$175,BD!$A$3:$A$5001,"&gt;="&amp;$C$7,BD!$A$3:$A$5001,"&lt;="&amp;$B188,BD!$W$3:$W$5001,"&lt;&gt;"))))</f>
        <v/>
      </c>
      <c r="R188" s="54" t="str">
        <f>IF(OR($B188="",$A188&gt;$B$9,R$175=""),"",IF(COUNTIFS(BD!$B$3:$B$5001,R$175,BD!$A$3:$A$5001,"&gt;="&amp;$C$7,BD!$A$3:$A$5001,"&lt;="&amp;$B188,BD!$W$3:$W$5001,"&lt;&gt;")=0,"",SUMIFS(BD!$W$3:$W$5001,BD!$B$3:$B$5001,R$175,BD!$A$3:$A$5001,_xlfn.MAXIFS(BD!$A$3:$A$5001,BD!$B$3:$B$5001,R$175,BD!$A$3:$A$5001,"&gt;="&amp;$C$7,BD!$A$3:$A$5001,"&lt;="&amp;$B188,BD!$W$3:$W$5001,"&lt;&gt;"))))</f>
        <v/>
      </c>
      <c r="S188" s="54" t="str">
        <f>IF(OR($B188="",$A188&gt;$B$9,S$175=""),"",IF(COUNTIFS(BD!$B$3:$B$5001,S$175,BD!$A$3:$A$5001,"&gt;="&amp;$C$7,BD!$A$3:$A$5001,"&lt;="&amp;$B188,BD!$W$3:$W$5001,"&lt;&gt;")=0,"",SUMIFS(BD!$W$3:$W$5001,BD!$B$3:$B$5001,S$175,BD!$A$3:$A$5001,_xlfn.MAXIFS(BD!$A$3:$A$5001,BD!$B$3:$B$5001,S$175,BD!$A$3:$A$5001,"&gt;="&amp;$C$7,BD!$A$3:$A$5001,"&lt;="&amp;$B188,BD!$W$3:$W$5001,"&lt;&gt;"))))</f>
        <v/>
      </c>
      <c r="T188" s="54" t="str">
        <f>IF(OR($B188="",$A188&gt;$B$9,T$175=""),"",IF(COUNTIFS(BD!$B$3:$B$5001,T$175,BD!$A$3:$A$5001,"&gt;="&amp;$C$7,BD!$A$3:$A$5001,"&lt;="&amp;$B188,BD!$W$3:$W$5001,"&lt;&gt;")=0,"",SUMIFS(BD!$W$3:$W$5001,BD!$B$3:$B$5001,T$175,BD!$A$3:$A$5001,_xlfn.MAXIFS(BD!$A$3:$A$5001,BD!$B$3:$B$5001,T$175,BD!$A$3:$A$5001,"&gt;="&amp;$C$7,BD!$A$3:$A$5001,"&lt;="&amp;$B188,BD!$W$3:$W$5001,"&lt;&gt;"))))</f>
        <v/>
      </c>
      <c r="U188" s="54" t="str">
        <f>IF(OR($B188="",$A188&gt;$B$9,U$175=""),"",IF(COUNTIFS(BD!$B$3:$B$5001,U$175,BD!$A$3:$A$5001,"&gt;="&amp;$C$7,BD!$A$3:$A$5001,"&lt;="&amp;$B188,BD!$W$3:$W$5001,"&lt;&gt;")=0,"",SUMIFS(BD!$W$3:$W$5001,BD!$B$3:$B$5001,U$175,BD!$A$3:$A$5001,_xlfn.MAXIFS(BD!$A$3:$A$5001,BD!$B$3:$B$5001,U$175,BD!$A$3:$A$5001,"&gt;="&amp;$C$7,BD!$A$3:$A$5001,"&lt;="&amp;$B188,BD!$W$3:$W$5001,"&lt;&gt;"))))</f>
        <v/>
      </c>
      <c r="V188" s="54" t="str">
        <f>IF(OR($B188="",$A188&gt;$B$9,V$175=""),"",IF(COUNTIFS(BD!$B$3:$B$5001,V$175,BD!$A$3:$A$5001,"&gt;="&amp;$C$7,BD!$A$3:$A$5001,"&lt;="&amp;$B188,BD!$W$3:$W$5001,"&lt;&gt;")=0,"",SUMIFS(BD!$W$3:$W$5001,BD!$B$3:$B$5001,V$175,BD!$A$3:$A$5001,_xlfn.MAXIFS(BD!$A$3:$A$5001,BD!$B$3:$B$5001,V$175,BD!$A$3:$A$5001,"&gt;="&amp;$C$7,BD!$A$3:$A$5001,"&lt;="&amp;$B188,BD!$W$3:$W$5001,"&lt;&gt;"))))</f>
        <v/>
      </c>
    </row>
    <row r="189">
      <c r="A189" s="48">
        <v>14</v>
      </c>
      <c r="B189" s="53">
        <f>$B$25</f>
        <v>46309</v>
      </c>
      <c r="C189" s="54" t="str">
        <f>IF(OR($B189="",$A189&gt;$B$9,C$175=""),"",IF(COUNTIFS(BD!$B$3:$B$5001,C$175,BD!$A$3:$A$5001,"&gt;="&amp;$C$7,BD!$A$3:$A$5001,"&lt;="&amp;$B189,BD!$W$3:$W$5001,"&lt;&gt;")=0,"",SUMIFS(BD!$W$3:$W$5001,BD!$B$3:$B$5001,C$175,BD!$A$3:$A$5001,_xlfn.MAXIFS(BD!$A$3:$A$5001,BD!$B$3:$B$5001,C$175,BD!$A$3:$A$5001,"&gt;="&amp;$C$7,BD!$A$3:$A$5001,"&lt;="&amp;$B189,BD!$W$3:$W$5001,"&lt;&gt;"))))</f>
        <v/>
      </c>
      <c r="D189" s="54" t="str">
        <f>IF(OR($B189="",$A189&gt;$B$9,D$175=""),"",IF(COUNTIFS(BD!$B$3:$B$5001,D$175,BD!$A$3:$A$5001,"&gt;="&amp;$C$7,BD!$A$3:$A$5001,"&lt;="&amp;$B189,BD!$W$3:$W$5001,"&lt;&gt;")=0,"",SUMIFS(BD!$W$3:$W$5001,BD!$B$3:$B$5001,D$175,BD!$A$3:$A$5001,_xlfn.MAXIFS(BD!$A$3:$A$5001,BD!$B$3:$B$5001,D$175,BD!$A$3:$A$5001,"&gt;="&amp;$C$7,BD!$A$3:$A$5001,"&lt;="&amp;$B189,BD!$W$3:$W$5001,"&lt;&gt;"))))</f>
        <v/>
      </c>
      <c r="E189" s="54" t="str">
        <f>IF(OR($B189="",$A189&gt;$B$9,E$175=""),"",IF(COUNTIFS(BD!$B$3:$B$5001,E$175,BD!$A$3:$A$5001,"&gt;="&amp;$C$7,BD!$A$3:$A$5001,"&lt;="&amp;$B189,BD!$W$3:$W$5001,"&lt;&gt;")=0,"",SUMIFS(BD!$W$3:$W$5001,BD!$B$3:$B$5001,E$175,BD!$A$3:$A$5001,_xlfn.MAXIFS(BD!$A$3:$A$5001,BD!$B$3:$B$5001,E$175,BD!$A$3:$A$5001,"&gt;="&amp;$C$7,BD!$A$3:$A$5001,"&lt;="&amp;$B189,BD!$W$3:$W$5001,"&lt;&gt;"))))</f>
        <v/>
      </c>
      <c r="F189" s="54" t="str">
        <f>IF(OR($B189="",$A189&gt;$B$9,F$175=""),"",IF(COUNTIFS(BD!$B$3:$B$5001,F$175,BD!$A$3:$A$5001,"&gt;="&amp;$C$7,BD!$A$3:$A$5001,"&lt;="&amp;$B189,BD!$W$3:$W$5001,"&lt;&gt;")=0,"",SUMIFS(BD!$W$3:$W$5001,BD!$B$3:$B$5001,F$175,BD!$A$3:$A$5001,_xlfn.MAXIFS(BD!$A$3:$A$5001,BD!$B$3:$B$5001,F$175,BD!$A$3:$A$5001,"&gt;="&amp;$C$7,BD!$A$3:$A$5001,"&lt;="&amp;$B189,BD!$W$3:$W$5001,"&lt;&gt;"))))</f>
        <v/>
      </c>
      <c r="G189" s="54" t="str">
        <f>IF(OR($B189="",$A189&gt;$B$9,G$175=""),"",IF(COUNTIFS(BD!$B$3:$B$5001,G$175,BD!$A$3:$A$5001,"&gt;="&amp;$C$7,BD!$A$3:$A$5001,"&lt;="&amp;$B189,BD!$W$3:$W$5001,"&lt;&gt;")=0,"",SUMIFS(BD!$W$3:$W$5001,BD!$B$3:$B$5001,G$175,BD!$A$3:$A$5001,_xlfn.MAXIFS(BD!$A$3:$A$5001,BD!$B$3:$B$5001,G$175,BD!$A$3:$A$5001,"&gt;="&amp;$C$7,BD!$A$3:$A$5001,"&lt;="&amp;$B189,BD!$W$3:$W$5001,"&lt;&gt;"))))</f>
        <v/>
      </c>
      <c r="H189" s="54" t="str">
        <f>IF(OR($B189="",$A189&gt;$B$9,H$175=""),"",IF(COUNTIFS(BD!$B$3:$B$5001,H$175,BD!$A$3:$A$5001,"&gt;="&amp;$C$7,BD!$A$3:$A$5001,"&lt;="&amp;$B189,BD!$W$3:$W$5001,"&lt;&gt;")=0,"",SUMIFS(BD!$W$3:$W$5001,BD!$B$3:$B$5001,H$175,BD!$A$3:$A$5001,_xlfn.MAXIFS(BD!$A$3:$A$5001,BD!$B$3:$B$5001,H$175,BD!$A$3:$A$5001,"&gt;="&amp;$C$7,BD!$A$3:$A$5001,"&lt;="&amp;$B189,BD!$W$3:$W$5001,"&lt;&gt;"))))</f>
        <v/>
      </c>
      <c r="I189" s="54" t="str">
        <f>IF(OR($B189="",$A189&gt;$B$9,I$175=""),"",IF(COUNTIFS(BD!$B$3:$B$5001,I$175,BD!$A$3:$A$5001,"&gt;="&amp;$C$7,BD!$A$3:$A$5001,"&lt;="&amp;$B189,BD!$W$3:$W$5001,"&lt;&gt;")=0,"",SUMIFS(BD!$W$3:$W$5001,BD!$B$3:$B$5001,I$175,BD!$A$3:$A$5001,_xlfn.MAXIFS(BD!$A$3:$A$5001,BD!$B$3:$B$5001,I$175,BD!$A$3:$A$5001,"&gt;="&amp;$C$7,BD!$A$3:$A$5001,"&lt;="&amp;$B189,BD!$W$3:$W$5001,"&lt;&gt;"))))</f>
        <v/>
      </c>
      <c r="J189" s="54" t="str">
        <f>IF(OR($B189="",$A189&gt;$B$9,J$175=""),"",IF(COUNTIFS(BD!$B$3:$B$5001,J$175,BD!$A$3:$A$5001,"&gt;="&amp;$C$7,BD!$A$3:$A$5001,"&lt;="&amp;$B189,BD!$W$3:$W$5001,"&lt;&gt;")=0,"",SUMIFS(BD!$W$3:$W$5001,BD!$B$3:$B$5001,J$175,BD!$A$3:$A$5001,_xlfn.MAXIFS(BD!$A$3:$A$5001,BD!$B$3:$B$5001,J$175,BD!$A$3:$A$5001,"&gt;="&amp;$C$7,BD!$A$3:$A$5001,"&lt;="&amp;$B189,BD!$W$3:$W$5001,"&lt;&gt;"))))</f>
        <v/>
      </c>
      <c r="K189" s="54" t="str">
        <f>IF(OR($B189="",$A189&gt;$B$9,K$175=""),"",IF(COUNTIFS(BD!$B$3:$B$5001,K$175,BD!$A$3:$A$5001,"&gt;="&amp;$C$7,BD!$A$3:$A$5001,"&lt;="&amp;$B189,BD!$W$3:$W$5001,"&lt;&gt;")=0,"",SUMIFS(BD!$W$3:$W$5001,BD!$B$3:$B$5001,K$175,BD!$A$3:$A$5001,_xlfn.MAXIFS(BD!$A$3:$A$5001,BD!$B$3:$B$5001,K$175,BD!$A$3:$A$5001,"&gt;="&amp;$C$7,BD!$A$3:$A$5001,"&lt;="&amp;$B189,BD!$W$3:$W$5001,"&lt;&gt;"))))</f>
        <v/>
      </c>
      <c r="L189" s="54" t="str">
        <f>IF(OR($B189="",$A189&gt;$B$9,L$175=""),"",IF(COUNTIFS(BD!$B$3:$B$5001,L$175,BD!$A$3:$A$5001,"&gt;="&amp;$C$7,BD!$A$3:$A$5001,"&lt;="&amp;$B189,BD!$W$3:$W$5001,"&lt;&gt;")=0,"",SUMIFS(BD!$W$3:$W$5001,BD!$B$3:$B$5001,L$175,BD!$A$3:$A$5001,_xlfn.MAXIFS(BD!$A$3:$A$5001,BD!$B$3:$B$5001,L$175,BD!$A$3:$A$5001,"&gt;="&amp;$C$7,BD!$A$3:$A$5001,"&lt;="&amp;$B189,BD!$W$3:$W$5001,"&lt;&gt;"))))</f>
        <v/>
      </c>
      <c r="M189" s="54" t="str">
        <f>IF(OR($B189="",$A189&gt;$B$9,M$175=""),"",IF(COUNTIFS(BD!$B$3:$B$5001,M$175,BD!$A$3:$A$5001,"&gt;="&amp;$C$7,BD!$A$3:$A$5001,"&lt;="&amp;$B189,BD!$W$3:$W$5001,"&lt;&gt;")=0,"",SUMIFS(BD!$W$3:$W$5001,BD!$B$3:$B$5001,M$175,BD!$A$3:$A$5001,_xlfn.MAXIFS(BD!$A$3:$A$5001,BD!$B$3:$B$5001,M$175,BD!$A$3:$A$5001,"&gt;="&amp;$C$7,BD!$A$3:$A$5001,"&lt;="&amp;$B189,BD!$W$3:$W$5001,"&lt;&gt;"))))</f>
        <v/>
      </c>
      <c r="N189" s="54" t="str">
        <f>IF(OR($B189="",$A189&gt;$B$9,N$175=""),"",IF(COUNTIFS(BD!$B$3:$B$5001,N$175,BD!$A$3:$A$5001,"&gt;="&amp;$C$7,BD!$A$3:$A$5001,"&lt;="&amp;$B189,BD!$W$3:$W$5001,"&lt;&gt;")=0,"",SUMIFS(BD!$W$3:$W$5001,BD!$B$3:$B$5001,N$175,BD!$A$3:$A$5001,_xlfn.MAXIFS(BD!$A$3:$A$5001,BD!$B$3:$B$5001,N$175,BD!$A$3:$A$5001,"&gt;="&amp;$C$7,BD!$A$3:$A$5001,"&lt;="&amp;$B189,BD!$W$3:$W$5001,"&lt;&gt;"))))</f>
        <v/>
      </c>
      <c r="O189" s="54" t="str">
        <f>IF(OR($B189="",$A189&gt;$B$9,O$175=""),"",IF(COUNTIFS(BD!$B$3:$B$5001,O$175,BD!$A$3:$A$5001,"&gt;="&amp;$C$7,BD!$A$3:$A$5001,"&lt;="&amp;$B189,BD!$W$3:$W$5001,"&lt;&gt;")=0,"",SUMIFS(BD!$W$3:$W$5001,BD!$B$3:$B$5001,O$175,BD!$A$3:$A$5001,_xlfn.MAXIFS(BD!$A$3:$A$5001,BD!$B$3:$B$5001,O$175,BD!$A$3:$A$5001,"&gt;="&amp;$C$7,BD!$A$3:$A$5001,"&lt;="&amp;$B189,BD!$W$3:$W$5001,"&lt;&gt;"))))</f>
        <v/>
      </c>
      <c r="P189" s="54" t="str">
        <f>IF(OR($B189="",$A189&gt;$B$9,P$175=""),"",IF(COUNTIFS(BD!$B$3:$B$5001,P$175,BD!$A$3:$A$5001,"&gt;="&amp;$C$7,BD!$A$3:$A$5001,"&lt;="&amp;$B189,BD!$W$3:$W$5001,"&lt;&gt;")=0,"",SUMIFS(BD!$W$3:$W$5001,BD!$B$3:$B$5001,P$175,BD!$A$3:$A$5001,_xlfn.MAXIFS(BD!$A$3:$A$5001,BD!$B$3:$B$5001,P$175,BD!$A$3:$A$5001,"&gt;="&amp;$C$7,BD!$A$3:$A$5001,"&lt;="&amp;$B189,BD!$W$3:$W$5001,"&lt;&gt;"))))</f>
        <v/>
      </c>
      <c r="Q189" s="54" t="str">
        <f>IF(OR($B189="",$A189&gt;$B$9,Q$175=""),"",IF(COUNTIFS(BD!$B$3:$B$5001,Q$175,BD!$A$3:$A$5001,"&gt;="&amp;$C$7,BD!$A$3:$A$5001,"&lt;="&amp;$B189,BD!$W$3:$W$5001,"&lt;&gt;")=0,"",SUMIFS(BD!$W$3:$W$5001,BD!$B$3:$B$5001,Q$175,BD!$A$3:$A$5001,_xlfn.MAXIFS(BD!$A$3:$A$5001,BD!$B$3:$B$5001,Q$175,BD!$A$3:$A$5001,"&gt;="&amp;$C$7,BD!$A$3:$A$5001,"&lt;="&amp;$B189,BD!$W$3:$W$5001,"&lt;&gt;"))))</f>
        <v/>
      </c>
      <c r="R189" s="54" t="str">
        <f>IF(OR($B189="",$A189&gt;$B$9,R$175=""),"",IF(COUNTIFS(BD!$B$3:$B$5001,R$175,BD!$A$3:$A$5001,"&gt;="&amp;$C$7,BD!$A$3:$A$5001,"&lt;="&amp;$B189,BD!$W$3:$W$5001,"&lt;&gt;")=0,"",SUMIFS(BD!$W$3:$W$5001,BD!$B$3:$B$5001,R$175,BD!$A$3:$A$5001,_xlfn.MAXIFS(BD!$A$3:$A$5001,BD!$B$3:$B$5001,R$175,BD!$A$3:$A$5001,"&gt;="&amp;$C$7,BD!$A$3:$A$5001,"&lt;="&amp;$B189,BD!$W$3:$W$5001,"&lt;&gt;"))))</f>
        <v/>
      </c>
      <c r="S189" s="54" t="str">
        <f>IF(OR($B189="",$A189&gt;$B$9,S$175=""),"",IF(COUNTIFS(BD!$B$3:$B$5001,S$175,BD!$A$3:$A$5001,"&gt;="&amp;$C$7,BD!$A$3:$A$5001,"&lt;="&amp;$B189,BD!$W$3:$W$5001,"&lt;&gt;")=0,"",SUMIFS(BD!$W$3:$W$5001,BD!$B$3:$B$5001,S$175,BD!$A$3:$A$5001,_xlfn.MAXIFS(BD!$A$3:$A$5001,BD!$B$3:$B$5001,S$175,BD!$A$3:$A$5001,"&gt;="&amp;$C$7,BD!$A$3:$A$5001,"&lt;="&amp;$B189,BD!$W$3:$W$5001,"&lt;&gt;"))))</f>
        <v/>
      </c>
      <c r="T189" s="54" t="str">
        <f>IF(OR($B189="",$A189&gt;$B$9,T$175=""),"",IF(COUNTIFS(BD!$B$3:$B$5001,T$175,BD!$A$3:$A$5001,"&gt;="&amp;$C$7,BD!$A$3:$A$5001,"&lt;="&amp;$B189,BD!$W$3:$W$5001,"&lt;&gt;")=0,"",SUMIFS(BD!$W$3:$W$5001,BD!$B$3:$B$5001,T$175,BD!$A$3:$A$5001,_xlfn.MAXIFS(BD!$A$3:$A$5001,BD!$B$3:$B$5001,T$175,BD!$A$3:$A$5001,"&gt;="&amp;$C$7,BD!$A$3:$A$5001,"&lt;="&amp;$B189,BD!$W$3:$W$5001,"&lt;&gt;"))))</f>
        <v/>
      </c>
      <c r="U189" s="54" t="str">
        <f>IF(OR($B189="",$A189&gt;$B$9,U$175=""),"",IF(COUNTIFS(BD!$B$3:$B$5001,U$175,BD!$A$3:$A$5001,"&gt;="&amp;$C$7,BD!$A$3:$A$5001,"&lt;="&amp;$B189,BD!$W$3:$W$5001,"&lt;&gt;")=0,"",SUMIFS(BD!$W$3:$W$5001,BD!$B$3:$B$5001,U$175,BD!$A$3:$A$5001,_xlfn.MAXIFS(BD!$A$3:$A$5001,BD!$B$3:$B$5001,U$175,BD!$A$3:$A$5001,"&gt;="&amp;$C$7,BD!$A$3:$A$5001,"&lt;="&amp;$B189,BD!$W$3:$W$5001,"&lt;&gt;"))))</f>
        <v/>
      </c>
      <c r="V189" s="54" t="str">
        <f>IF(OR($B189="",$A189&gt;$B$9,V$175=""),"",IF(COUNTIFS(BD!$B$3:$B$5001,V$175,BD!$A$3:$A$5001,"&gt;="&amp;$C$7,BD!$A$3:$A$5001,"&lt;="&amp;$B189,BD!$W$3:$W$5001,"&lt;&gt;")=0,"",SUMIFS(BD!$W$3:$W$5001,BD!$B$3:$B$5001,V$175,BD!$A$3:$A$5001,_xlfn.MAXIFS(BD!$A$3:$A$5001,BD!$B$3:$B$5001,V$175,BD!$A$3:$A$5001,"&gt;="&amp;$C$7,BD!$A$3:$A$5001,"&lt;="&amp;$B189,BD!$W$3:$W$5001,"&lt;&gt;"))))</f>
        <v/>
      </c>
    </row>
    <row r="190">
      <c r="A190" s="48">
        <v>15</v>
      </c>
      <c r="B190" s="53">
        <f>$B$26</f>
        <v>46310</v>
      </c>
      <c r="C190" s="54" t="str">
        <f>IF(OR($B190="",$A190&gt;$B$9,C$175=""),"",IF(COUNTIFS(BD!$B$3:$B$5001,C$175,BD!$A$3:$A$5001,"&gt;="&amp;$C$7,BD!$A$3:$A$5001,"&lt;="&amp;$B190,BD!$W$3:$W$5001,"&lt;&gt;")=0,"",SUMIFS(BD!$W$3:$W$5001,BD!$B$3:$B$5001,C$175,BD!$A$3:$A$5001,_xlfn.MAXIFS(BD!$A$3:$A$5001,BD!$B$3:$B$5001,C$175,BD!$A$3:$A$5001,"&gt;="&amp;$C$7,BD!$A$3:$A$5001,"&lt;="&amp;$B190,BD!$W$3:$W$5001,"&lt;&gt;"))))</f>
        <v/>
      </c>
      <c r="D190" s="54" t="str">
        <f>IF(OR($B190="",$A190&gt;$B$9,D$175=""),"",IF(COUNTIFS(BD!$B$3:$B$5001,D$175,BD!$A$3:$A$5001,"&gt;="&amp;$C$7,BD!$A$3:$A$5001,"&lt;="&amp;$B190,BD!$W$3:$W$5001,"&lt;&gt;")=0,"",SUMIFS(BD!$W$3:$W$5001,BD!$B$3:$B$5001,D$175,BD!$A$3:$A$5001,_xlfn.MAXIFS(BD!$A$3:$A$5001,BD!$B$3:$B$5001,D$175,BD!$A$3:$A$5001,"&gt;="&amp;$C$7,BD!$A$3:$A$5001,"&lt;="&amp;$B190,BD!$W$3:$W$5001,"&lt;&gt;"))))</f>
        <v/>
      </c>
      <c r="E190" s="54" t="str">
        <f>IF(OR($B190="",$A190&gt;$B$9,E$175=""),"",IF(COUNTIFS(BD!$B$3:$B$5001,E$175,BD!$A$3:$A$5001,"&gt;="&amp;$C$7,BD!$A$3:$A$5001,"&lt;="&amp;$B190,BD!$W$3:$W$5001,"&lt;&gt;")=0,"",SUMIFS(BD!$W$3:$W$5001,BD!$B$3:$B$5001,E$175,BD!$A$3:$A$5001,_xlfn.MAXIFS(BD!$A$3:$A$5001,BD!$B$3:$B$5001,E$175,BD!$A$3:$A$5001,"&gt;="&amp;$C$7,BD!$A$3:$A$5001,"&lt;="&amp;$B190,BD!$W$3:$W$5001,"&lt;&gt;"))))</f>
        <v/>
      </c>
      <c r="F190" s="54" t="str">
        <f>IF(OR($B190="",$A190&gt;$B$9,F$175=""),"",IF(COUNTIFS(BD!$B$3:$B$5001,F$175,BD!$A$3:$A$5001,"&gt;="&amp;$C$7,BD!$A$3:$A$5001,"&lt;="&amp;$B190,BD!$W$3:$W$5001,"&lt;&gt;")=0,"",SUMIFS(BD!$W$3:$W$5001,BD!$B$3:$B$5001,F$175,BD!$A$3:$A$5001,_xlfn.MAXIFS(BD!$A$3:$A$5001,BD!$B$3:$B$5001,F$175,BD!$A$3:$A$5001,"&gt;="&amp;$C$7,BD!$A$3:$A$5001,"&lt;="&amp;$B190,BD!$W$3:$W$5001,"&lt;&gt;"))))</f>
        <v/>
      </c>
      <c r="G190" s="54" t="str">
        <f>IF(OR($B190="",$A190&gt;$B$9,G$175=""),"",IF(COUNTIFS(BD!$B$3:$B$5001,G$175,BD!$A$3:$A$5001,"&gt;="&amp;$C$7,BD!$A$3:$A$5001,"&lt;="&amp;$B190,BD!$W$3:$W$5001,"&lt;&gt;")=0,"",SUMIFS(BD!$W$3:$W$5001,BD!$B$3:$B$5001,G$175,BD!$A$3:$A$5001,_xlfn.MAXIFS(BD!$A$3:$A$5001,BD!$B$3:$B$5001,G$175,BD!$A$3:$A$5001,"&gt;="&amp;$C$7,BD!$A$3:$A$5001,"&lt;="&amp;$B190,BD!$W$3:$W$5001,"&lt;&gt;"))))</f>
        <v/>
      </c>
      <c r="H190" s="54" t="str">
        <f>IF(OR($B190="",$A190&gt;$B$9,H$175=""),"",IF(COUNTIFS(BD!$B$3:$B$5001,H$175,BD!$A$3:$A$5001,"&gt;="&amp;$C$7,BD!$A$3:$A$5001,"&lt;="&amp;$B190,BD!$W$3:$W$5001,"&lt;&gt;")=0,"",SUMIFS(BD!$W$3:$W$5001,BD!$B$3:$B$5001,H$175,BD!$A$3:$A$5001,_xlfn.MAXIFS(BD!$A$3:$A$5001,BD!$B$3:$B$5001,H$175,BD!$A$3:$A$5001,"&gt;="&amp;$C$7,BD!$A$3:$A$5001,"&lt;="&amp;$B190,BD!$W$3:$W$5001,"&lt;&gt;"))))</f>
        <v/>
      </c>
      <c r="I190" s="54" t="str">
        <f>IF(OR($B190="",$A190&gt;$B$9,I$175=""),"",IF(COUNTIFS(BD!$B$3:$B$5001,I$175,BD!$A$3:$A$5001,"&gt;="&amp;$C$7,BD!$A$3:$A$5001,"&lt;="&amp;$B190,BD!$W$3:$W$5001,"&lt;&gt;")=0,"",SUMIFS(BD!$W$3:$W$5001,BD!$B$3:$B$5001,I$175,BD!$A$3:$A$5001,_xlfn.MAXIFS(BD!$A$3:$A$5001,BD!$B$3:$B$5001,I$175,BD!$A$3:$A$5001,"&gt;="&amp;$C$7,BD!$A$3:$A$5001,"&lt;="&amp;$B190,BD!$W$3:$W$5001,"&lt;&gt;"))))</f>
        <v/>
      </c>
      <c r="J190" s="54" t="str">
        <f>IF(OR($B190="",$A190&gt;$B$9,J$175=""),"",IF(COUNTIFS(BD!$B$3:$B$5001,J$175,BD!$A$3:$A$5001,"&gt;="&amp;$C$7,BD!$A$3:$A$5001,"&lt;="&amp;$B190,BD!$W$3:$W$5001,"&lt;&gt;")=0,"",SUMIFS(BD!$W$3:$W$5001,BD!$B$3:$B$5001,J$175,BD!$A$3:$A$5001,_xlfn.MAXIFS(BD!$A$3:$A$5001,BD!$B$3:$B$5001,J$175,BD!$A$3:$A$5001,"&gt;="&amp;$C$7,BD!$A$3:$A$5001,"&lt;="&amp;$B190,BD!$W$3:$W$5001,"&lt;&gt;"))))</f>
        <v/>
      </c>
      <c r="K190" s="54" t="str">
        <f>IF(OR($B190="",$A190&gt;$B$9,K$175=""),"",IF(COUNTIFS(BD!$B$3:$B$5001,K$175,BD!$A$3:$A$5001,"&gt;="&amp;$C$7,BD!$A$3:$A$5001,"&lt;="&amp;$B190,BD!$W$3:$W$5001,"&lt;&gt;")=0,"",SUMIFS(BD!$W$3:$W$5001,BD!$B$3:$B$5001,K$175,BD!$A$3:$A$5001,_xlfn.MAXIFS(BD!$A$3:$A$5001,BD!$B$3:$B$5001,K$175,BD!$A$3:$A$5001,"&gt;="&amp;$C$7,BD!$A$3:$A$5001,"&lt;="&amp;$B190,BD!$W$3:$W$5001,"&lt;&gt;"))))</f>
        <v/>
      </c>
      <c r="L190" s="54" t="str">
        <f>IF(OR($B190="",$A190&gt;$B$9,L$175=""),"",IF(COUNTIFS(BD!$B$3:$B$5001,L$175,BD!$A$3:$A$5001,"&gt;="&amp;$C$7,BD!$A$3:$A$5001,"&lt;="&amp;$B190,BD!$W$3:$W$5001,"&lt;&gt;")=0,"",SUMIFS(BD!$W$3:$W$5001,BD!$B$3:$B$5001,L$175,BD!$A$3:$A$5001,_xlfn.MAXIFS(BD!$A$3:$A$5001,BD!$B$3:$B$5001,L$175,BD!$A$3:$A$5001,"&gt;="&amp;$C$7,BD!$A$3:$A$5001,"&lt;="&amp;$B190,BD!$W$3:$W$5001,"&lt;&gt;"))))</f>
        <v/>
      </c>
      <c r="M190" s="54" t="str">
        <f>IF(OR($B190="",$A190&gt;$B$9,M$175=""),"",IF(COUNTIFS(BD!$B$3:$B$5001,M$175,BD!$A$3:$A$5001,"&gt;="&amp;$C$7,BD!$A$3:$A$5001,"&lt;="&amp;$B190,BD!$W$3:$W$5001,"&lt;&gt;")=0,"",SUMIFS(BD!$W$3:$W$5001,BD!$B$3:$B$5001,M$175,BD!$A$3:$A$5001,_xlfn.MAXIFS(BD!$A$3:$A$5001,BD!$B$3:$B$5001,M$175,BD!$A$3:$A$5001,"&gt;="&amp;$C$7,BD!$A$3:$A$5001,"&lt;="&amp;$B190,BD!$W$3:$W$5001,"&lt;&gt;"))))</f>
        <v/>
      </c>
      <c r="N190" s="54" t="str">
        <f>IF(OR($B190="",$A190&gt;$B$9,N$175=""),"",IF(COUNTIFS(BD!$B$3:$B$5001,N$175,BD!$A$3:$A$5001,"&gt;="&amp;$C$7,BD!$A$3:$A$5001,"&lt;="&amp;$B190,BD!$W$3:$W$5001,"&lt;&gt;")=0,"",SUMIFS(BD!$W$3:$W$5001,BD!$B$3:$B$5001,N$175,BD!$A$3:$A$5001,_xlfn.MAXIFS(BD!$A$3:$A$5001,BD!$B$3:$B$5001,N$175,BD!$A$3:$A$5001,"&gt;="&amp;$C$7,BD!$A$3:$A$5001,"&lt;="&amp;$B190,BD!$W$3:$W$5001,"&lt;&gt;"))))</f>
        <v/>
      </c>
      <c r="O190" s="54" t="str">
        <f>IF(OR($B190="",$A190&gt;$B$9,O$175=""),"",IF(COUNTIFS(BD!$B$3:$B$5001,O$175,BD!$A$3:$A$5001,"&gt;="&amp;$C$7,BD!$A$3:$A$5001,"&lt;="&amp;$B190,BD!$W$3:$W$5001,"&lt;&gt;")=0,"",SUMIFS(BD!$W$3:$W$5001,BD!$B$3:$B$5001,O$175,BD!$A$3:$A$5001,_xlfn.MAXIFS(BD!$A$3:$A$5001,BD!$B$3:$B$5001,O$175,BD!$A$3:$A$5001,"&gt;="&amp;$C$7,BD!$A$3:$A$5001,"&lt;="&amp;$B190,BD!$W$3:$W$5001,"&lt;&gt;"))))</f>
        <v/>
      </c>
      <c r="P190" s="54" t="str">
        <f>IF(OR($B190="",$A190&gt;$B$9,P$175=""),"",IF(COUNTIFS(BD!$B$3:$B$5001,P$175,BD!$A$3:$A$5001,"&gt;="&amp;$C$7,BD!$A$3:$A$5001,"&lt;="&amp;$B190,BD!$W$3:$W$5001,"&lt;&gt;")=0,"",SUMIFS(BD!$W$3:$W$5001,BD!$B$3:$B$5001,P$175,BD!$A$3:$A$5001,_xlfn.MAXIFS(BD!$A$3:$A$5001,BD!$B$3:$B$5001,P$175,BD!$A$3:$A$5001,"&gt;="&amp;$C$7,BD!$A$3:$A$5001,"&lt;="&amp;$B190,BD!$W$3:$W$5001,"&lt;&gt;"))))</f>
        <v/>
      </c>
      <c r="Q190" s="54" t="str">
        <f>IF(OR($B190="",$A190&gt;$B$9,Q$175=""),"",IF(COUNTIFS(BD!$B$3:$B$5001,Q$175,BD!$A$3:$A$5001,"&gt;="&amp;$C$7,BD!$A$3:$A$5001,"&lt;="&amp;$B190,BD!$W$3:$W$5001,"&lt;&gt;")=0,"",SUMIFS(BD!$W$3:$W$5001,BD!$B$3:$B$5001,Q$175,BD!$A$3:$A$5001,_xlfn.MAXIFS(BD!$A$3:$A$5001,BD!$B$3:$B$5001,Q$175,BD!$A$3:$A$5001,"&gt;="&amp;$C$7,BD!$A$3:$A$5001,"&lt;="&amp;$B190,BD!$W$3:$W$5001,"&lt;&gt;"))))</f>
        <v/>
      </c>
      <c r="R190" s="54" t="str">
        <f>IF(OR($B190="",$A190&gt;$B$9,R$175=""),"",IF(COUNTIFS(BD!$B$3:$B$5001,R$175,BD!$A$3:$A$5001,"&gt;="&amp;$C$7,BD!$A$3:$A$5001,"&lt;="&amp;$B190,BD!$W$3:$W$5001,"&lt;&gt;")=0,"",SUMIFS(BD!$W$3:$W$5001,BD!$B$3:$B$5001,R$175,BD!$A$3:$A$5001,_xlfn.MAXIFS(BD!$A$3:$A$5001,BD!$B$3:$B$5001,R$175,BD!$A$3:$A$5001,"&gt;="&amp;$C$7,BD!$A$3:$A$5001,"&lt;="&amp;$B190,BD!$W$3:$W$5001,"&lt;&gt;"))))</f>
        <v/>
      </c>
      <c r="S190" s="54" t="str">
        <f>IF(OR($B190="",$A190&gt;$B$9,S$175=""),"",IF(COUNTIFS(BD!$B$3:$B$5001,S$175,BD!$A$3:$A$5001,"&gt;="&amp;$C$7,BD!$A$3:$A$5001,"&lt;="&amp;$B190,BD!$W$3:$W$5001,"&lt;&gt;")=0,"",SUMIFS(BD!$W$3:$W$5001,BD!$B$3:$B$5001,S$175,BD!$A$3:$A$5001,_xlfn.MAXIFS(BD!$A$3:$A$5001,BD!$B$3:$B$5001,S$175,BD!$A$3:$A$5001,"&gt;="&amp;$C$7,BD!$A$3:$A$5001,"&lt;="&amp;$B190,BD!$W$3:$W$5001,"&lt;&gt;"))))</f>
        <v/>
      </c>
      <c r="T190" s="54" t="str">
        <f>IF(OR($B190="",$A190&gt;$B$9,T$175=""),"",IF(COUNTIFS(BD!$B$3:$B$5001,T$175,BD!$A$3:$A$5001,"&gt;="&amp;$C$7,BD!$A$3:$A$5001,"&lt;="&amp;$B190,BD!$W$3:$W$5001,"&lt;&gt;")=0,"",SUMIFS(BD!$W$3:$W$5001,BD!$B$3:$B$5001,T$175,BD!$A$3:$A$5001,_xlfn.MAXIFS(BD!$A$3:$A$5001,BD!$B$3:$B$5001,T$175,BD!$A$3:$A$5001,"&gt;="&amp;$C$7,BD!$A$3:$A$5001,"&lt;="&amp;$B190,BD!$W$3:$W$5001,"&lt;&gt;"))))</f>
        <v/>
      </c>
      <c r="U190" s="54" t="str">
        <f>IF(OR($B190="",$A190&gt;$B$9,U$175=""),"",IF(COUNTIFS(BD!$B$3:$B$5001,U$175,BD!$A$3:$A$5001,"&gt;="&amp;$C$7,BD!$A$3:$A$5001,"&lt;="&amp;$B190,BD!$W$3:$W$5001,"&lt;&gt;")=0,"",SUMIFS(BD!$W$3:$W$5001,BD!$B$3:$B$5001,U$175,BD!$A$3:$A$5001,_xlfn.MAXIFS(BD!$A$3:$A$5001,BD!$B$3:$B$5001,U$175,BD!$A$3:$A$5001,"&gt;="&amp;$C$7,BD!$A$3:$A$5001,"&lt;="&amp;$B190,BD!$W$3:$W$5001,"&lt;&gt;"))))</f>
        <v/>
      </c>
      <c r="V190" s="54" t="str">
        <f>IF(OR($B190="",$A190&gt;$B$9,V$175=""),"",IF(COUNTIFS(BD!$B$3:$B$5001,V$175,BD!$A$3:$A$5001,"&gt;="&amp;$C$7,BD!$A$3:$A$5001,"&lt;="&amp;$B190,BD!$W$3:$W$5001,"&lt;&gt;")=0,"",SUMIFS(BD!$W$3:$W$5001,BD!$B$3:$B$5001,V$175,BD!$A$3:$A$5001,_xlfn.MAXIFS(BD!$A$3:$A$5001,BD!$B$3:$B$5001,V$175,BD!$A$3:$A$5001,"&gt;="&amp;$C$7,BD!$A$3:$A$5001,"&lt;="&amp;$B190,BD!$W$3:$W$5001,"&lt;&gt;"))))</f>
        <v/>
      </c>
    </row>
    <row r="191">
      <c r="A191" s="48">
        <v>16</v>
      </c>
      <c r="B191" s="53">
        <f>$B$27</f>
        <v>46311</v>
      </c>
      <c r="C191" s="54" t="str">
        <f>IF(OR($B191="",$A191&gt;$B$9,C$175=""),"",IF(COUNTIFS(BD!$B$3:$B$5001,C$175,BD!$A$3:$A$5001,"&gt;="&amp;$C$7,BD!$A$3:$A$5001,"&lt;="&amp;$B191,BD!$W$3:$W$5001,"&lt;&gt;")=0,"",SUMIFS(BD!$W$3:$W$5001,BD!$B$3:$B$5001,C$175,BD!$A$3:$A$5001,_xlfn.MAXIFS(BD!$A$3:$A$5001,BD!$B$3:$B$5001,C$175,BD!$A$3:$A$5001,"&gt;="&amp;$C$7,BD!$A$3:$A$5001,"&lt;="&amp;$B191,BD!$W$3:$W$5001,"&lt;&gt;"))))</f>
        <v/>
      </c>
      <c r="D191" s="54" t="str">
        <f>IF(OR($B191="",$A191&gt;$B$9,D$175=""),"",IF(COUNTIFS(BD!$B$3:$B$5001,D$175,BD!$A$3:$A$5001,"&gt;="&amp;$C$7,BD!$A$3:$A$5001,"&lt;="&amp;$B191,BD!$W$3:$W$5001,"&lt;&gt;")=0,"",SUMIFS(BD!$W$3:$W$5001,BD!$B$3:$B$5001,D$175,BD!$A$3:$A$5001,_xlfn.MAXIFS(BD!$A$3:$A$5001,BD!$B$3:$B$5001,D$175,BD!$A$3:$A$5001,"&gt;="&amp;$C$7,BD!$A$3:$A$5001,"&lt;="&amp;$B191,BD!$W$3:$W$5001,"&lt;&gt;"))))</f>
        <v/>
      </c>
      <c r="E191" s="54" t="str">
        <f>IF(OR($B191="",$A191&gt;$B$9,E$175=""),"",IF(COUNTIFS(BD!$B$3:$B$5001,E$175,BD!$A$3:$A$5001,"&gt;="&amp;$C$7,BD!$A$3:$A$5001,"&lt;="&amp;$B191,BD!$W$3:$W$5001,"&lt;&gt;")=0,"",SUMIFS(BD!$W$3:$W$5001,BD!$B$3:$B$5001,E$175,BD!$A$3:$A$5001,_xlfn.MAXIFS(BD!$A$3:$A$5001,BD!$B$3:$B$5001,E$175,BD!$A$3:$A$5001,"&gt;="&amp;$C$7,BD!$A$3:$A$5001,"&lt;="&amp;$B191,BD!$W$3:$W$5001,"&lt;&gt;"))))</f>
        <v/>
      </c>
      <c r="F191" s="54" t="str">
        <f>IF(OR($B191="",$A191&gt;$B$9,F$175=""),"",IF(COUNTIFS(BD!$B$3:$B$5001,F$175,BD!$A$3:$A$5001,"&gt;="&amp;$C$7,BD!$A$3:$A$5001,"&lt;="&amp;$B191,BD!$W$3:$W$5001,"&lt;&gt;")=0,"",SUMIFS(BD!$W$3:$W$5001,BD!$B$3:$B$5001,F$175,BD!$A$3:$A$5001,_xlfn.MAXIFS(BD!$A$3:$A$5001,BD!$B$3:$B$5001,F$175,BD!$A$3:$A$5001,"&gt;="&amp;$C$7,BD!$A$3:$A$5001,"&lt;="&amp;$B191,BD!$W$3:$W$5001,"&lt;&gt;"))))</f>
        <v/>
      </c>
      <c r="G191" s="54" t="str">
        <f>IF(OR($B191="",$A191&gt;$B$9,G$175=""),"",IF(COUNTIFS(BD!$B$3:$B$5001,G$175,BD!$A$3:$A$5001,"&gt;="&amp;$C$7,BD!$A$3:$A$5001,"&lt;="&amp;$B191,BD!$W$3:$W$5001,"&lt;&gt;")=0,"",SUMIFS(BD!$W$3:$W$5001,BD!$B$3:$B$5001,G$175,BD!$A$3:$A$5001,_xlfn.MAXIFS(BD!$A$3:$A$5001,BD!$B$3:$B$5001,G$175,BD!$A$3:$A$5001,"&gt;="&amp;$C$7,BD!$A$3:$A$5001,"&lt;="&amp;$B191,BD!$W$3:$W$5001,"&lt;&gt;"))))</f>
        <v/>
      </c>
      <c r="H191" s="54" t="str">
        <f>IF(OR($B191="",$A191&gt;$B$9,H$175=""),"",IF(COUNTIFS(BD!$B$3:$B$5001,H$175,BD!$A$3:$A$5001,"&gt;="&amp;$C$7,BD!$A$3:$A$5001,"&lt;="&amp;$B191,BD!$W$3:$W$5001,"&lt;&gt;")=0,"",SUMIFS(BD!$W$3:$W$5001,BD!$B$3:$B$5001,H$175,BD!$A$3:$A$5001,_xlfn.MAXIFS(BD!$A$3:$A$5001,BD!$B$3:$B$5001,H$175,BD!$A$3:$A$5001,"&gt;="&amp;$C$7,BD!$A$3:$A$5001,"&lt;="&amp;$B191,BD!$W$3:$W$5001,"&lt;&gt;"))))</f>
        <v/>
      </c>
      <c r="I191" s="54" t="str">
        <f>IF(OR($B191="",$A191&gt;$B$9,I$175=""),"",IF(COUNTIFS(BD!$B$3:$B$5001,I$175,BD!$A$3:$A$5001,"&gt;="&amp;$C$7,BD!$A$3:$A$5001,"&lt;="&amp;$B191,BD!$W$3:$W$5001,"&lt;&gt;")=0,"",SUMIFS(BD!$W$3:$W$5001,BD!$B$3:$B$5001,I$175,BD!$A$3:$A$5001,_xlfn.MAXIFS(BD!$A$3:$A$5001,BD!$B$3:$B$5001,I$175,BD!$A$3:$A$5001,"&gt;="&amp;$C$7,BD!$A$3:$A$5001,"&lt;="&amp;$B191,BD!$W$3:$W$5001,"&lt;&gt;"))))</f>
        <v/>
      </c>
      <c r="J191" s="54" t="str">
        <f>IF(OR($B191="",$A191&gt;$B$9,J$175=""),"",IF(COUNTIFS(BD!$B$3:$B$5001,J$175,BD!$A$3:$A$5001,"&gt;="&amp;$C$7,BD!$A$3:$A$5001,"&lt;="&amp;$B191,BD!$W$3:$W$5001,"&lt;&gt;")=0,"",SUMIFS(BD!$W$3:$W$5001,BD!$B$3:$B$5001,J$175,BD!$A$3:$A$5001,_xlfn.MAXIFS(BD!$A$3:$A$5001,BD!$B$3:$B$5001,J$175,BD!$A$3:$A$5001,"&gt;="&amp;$C$7,BD!$A$3:$A$5001,"&lt;="&amp;$B191,BD!$W$3:$W$5001,"&lt;&gt;"))))</f>
        <v/>
      </c>
      <c r="K191" s="54" t="str">
        <f>IF(OR($B191="",$A191&gt;$B$9,K$175=""),"",IF(COUNTIFS(BD!$B$3:$B$5001,K$175,BD!$A$3:$A$5001,"&gt;="&amp;$C$7,BD!$A$3:$A$5001,"&lt;="&amp;$B191,BD!$W$3:$W$5001,"&lt;&gt;")=0,"",SUMIFS(BD!$W$3:$W$5001,BD!$B$3:$B$5001,K$175,BD!$A$3:$A$5001,_xlfn.MAXIFS(BD!$A$3:$A$5001,BD!$B$3:$B$5001,K$175,BD!$A$3:$A$5001,"&gt;="&amp;$C$7,BD!$A$3:$A$5001,"&lt;="&amp;$B191,BD!$W$3:$W$5001,"&lt;&gt;"))))</f>
        <v/>
      </c>
      <c r="L191" s="54" t="str">
        <f>IF(OR($B191="",$A191&gt;$B$9,L$175=""),"",IF(COUNTIFS(BD!$B$3:$B$5001,L$175,BD!$A$3:$A$5001,"&gt;="&amp;$C$7,BD!$A$3:$A$5001,"&lt;="&amp;$B191,BD!$W$3:$W$5001,"&lt;&gt;")=0,"",SUMIFS(BD!$W$3:$W$5001,BD!$B$3:$B$5001,L$175,BD!$A$3:$A$5001,_xlfn.MAXIFS(BD!$A$3:$A$5001,BD!$B$3:$B$5001,L$175,BD!$A$3:$A$5001,"&gt;="&amp;$C$7,BD!$A$3:$A$5001,"&lt;="&amp;$B191,BD!$W$3:$W$5001,"&lt;&gt;"))))</f>
        <v/>
      </c>
      <c r="M191" s="54" t="str">
        <f>IF(OR($B191="",$A191&gt;$B$9,M$175=""),"",IF(COUNTIFS(BD!$B$3:$B$5001,M$175,BD!$A$3:$A$5001,"&gt;="&amp;$C$7,BD!$A$3:$A$5001,"&lt;="&amp;$B191,BD!$W$3:$W$5001,"&lt;&gt;")=0,"",SUMIFS(BD!$W$3:$W$5001,BD!$B$3:$B$5001,M$175,BD!$A$3:$A$5001,_xlfn.MAXIFS(BD!$A$3:$A$5001,BD!$B$3:$B$5001,M$175,BD!$A$3:$A$5001,"&gt;="&amp;$C$7,BD!$A$3:$A$5001,"&lt;="&amp;$B191,BD!$W$3:$W$5001,"&lt;&gt;"))))</f>
        <v/>
      </c>
      <c r="N191" s="54" t="str">
        <f>IF(OR($B191="",$A191&gt;$B$9,N$175=""),"",IF(COUNTIFS(BD!$B$3:$B$5001,N$175,BD!$A$3:$A$5001,"&gt;="&amp;$C$7,BD!$A$3:$A$5001,"&lt;="&amp;$B191,BD!$W$3:$W$5001,"&lt;&gt;")=0,"",SUMIFS(BD!$W$3:$W$5001,BD!$B$3:$B$5001,N$175,BD!$A$3:$A$5001,_xlfn.MAXIFS(BD!$A$3:$A$5001,BD!$B$3:$B$5001,N$175,BD!$A$3:$A$5001,"&gt;="&amp;$C$7,BD!$A$3:$A$5001,"&lt;="&amp;$B191,BD!$W$3:$W$5001,"&lt;&gt;"))))</f>
        <v/>
      </c>
      <c r="O191" s="54" t="str">
        <f>IF(OR($B191="",$A191&gt;$B$9,O$175=""),"",IF(COUNTIFS(BD!$B$3:$B$5001,O$175,BD!$A$3:$A$5001,"&gt;="&amp;$C$7,BD!$A$3:$A$5001,"&lt;="&amp;$B191,BD!$W$3:$W$5001,"&lt;&gt;")=0,"",SUMIFS(BD!$W$3:$W$5001,BD!$B$3:$B$5001,O$175,BD!$A$3:$A$5001,_xlfn.MAXIFS(BD!$A$3:$A$5001,BD!$B$3:$B$5001,O$175,BD!$A$3:$A$5001,"&gt;="&amp;$C$7,BD!$A$3:$A$5001,"&lt;="&amp;$B191,BD!$W$3:$W$5001,"&lt;&gt;"))))</f>
        <v/>
      </c>
      <c r="P191" s="54" t="str">
        <f>IF(OR($B191="",$A191&gt;$B$9,P$175=""),"",IF(COUNTIFS(BD!$B$3:$B$5001,P$175,BD!$A$3:$A$5001,"&gt;="&amp;$C$7,BD!$A$3:$A$5001,"&lt;="&amp;$B191,BD!$W$3:$W$5001,"&lt;&gt;")=0,"",SUMIFS(BD!$W$3:$W$5001,BD!$B$3:$B$5001,P$175,BD!$A$3:$A$5001,_xlfn.MAXIFS(BD!$A$3:$A$5001,BD!$B$3:$B$5001,P$175,BD!$A$3:$A$5001,"&gt;="&amp;$C$7,BD!$A$3:$A$5001,"&lt;="&amp;$B191,BD!$W$3:$W$5001,"&lt;&gt;"))))</f>
        <v/>
      </c>
      <c r="Q191" s="54" t="str">
        <f>IF(OR($B191="",$A191&gt;$B$9,Q$175=""),"",IF(COUNTIFS(BD!$B$3:$B$5001,Q$175,BD!$A$3:$A$5001,"&gt;="&amp;$C$7,BD!$A$3:$A$5001,"&lt;="&amp;$B191,BD!$W$3:$W$5001,"&lt;&gt;")=0,"",SUMIFS(BD!$W$3:$W$5001,BD!$B$3:$B$5001,Q$175,BD!$A$3:$A$5001,_xlfn.MAXIFS(BD!$A$3:$A$5001,BD!$B$3:$B$5001,Q$175,BD!$A$3:$A$5001,"&gt;="&amp;$C$7,BD!$A$3:$A$5001,"&lt;="&amp;$B191,BD!$W$3:$W$5001,"&lt;&gt;"))))</f>
        <v/>
      </c>
      <c r="R191" s="54" t="str">
        <f>IF(OR($B191="",$A191&gt;$B$9,R$175=""),"",IF(COUNTIFS(BD!$B$3:$B$5001,R$175,BD!$A$3:$A$5001,"&gt;="&amp;$C$7,BD!$A$3:$A$5001,"&lt;="&amp;$B191,BD!$W$3:$W$5001,"&lt;&gt;")=0,"",SUMIFS(BD!$W$3:$W$5001,BD!$B$3:$B$5001,R$175,BD!$A$3:$A$5001,_xlfn.MAXIFS(BD!$A$3:$A$5001,BD!$B$3:$B$5001,R$175,BD!$A$3:$A$5001,"&gt;="&amp;$C$7,BD!$A$3:$A$5001,"&lt;="&amp;$B191,BD!$W$3:$W$5001,"&lt;&gt;"))))</f>
        <v/>
      </c>
      <c r="S191" s="54" t="str">
        <f>IF(OR($B191="",$A191&gt;$B$9,S$175=""),"",IF(COUNTIFS(BD!$B$3:$B$5001,S$175,BD!$A$3:$A$5001,"&gt;="&amp;$C$7,BD!$A$3:$A$5001,"&lt;="&amp;$B191,BD!$W$3:$W$5001,"&lt;&gt;")=0,"",SUMIFS(BD!$W$3:$W$5001,BD!$B$3:$B$5001,S$175,BD!$A$3:$A$5001,_xlfn.MAXIFS(BD!$A$3:$A$5001,BD!$B$3:$B$5001,S$175,BD!$A$3:$A$5001,"&gt;="&amp;$C$7,BD!$A$3:$A$5001,"&lt;="&amp;$B191,BD!$W$3:$W$5001,"&lt;&gt;"))))</f>
        <v/>
      </c>
      <c r="T191" s="54" t="str">
        <f>IF(OR($B191="",$A191&gt;$B$9,T$175=""),"",IF(COUNTIFS(BD!$B$3:$B$5001,T$175,BD!$A$3:$A$5001,"&gt;="&amp;$C$7,BD!$A$3:$A$5001,"&lt;="&amp;$B191,BD!$W$3:$W$5001,"&lt;&gt;")=0,"",SUMIFS(BD!$W$3:$W$5001,BD!$B$3:$B$5001,T$175,BD!$A$3:$A$5001,_xlfn.MAXIFS(BD!$A$3:$A$5001,BD!$B$3:$B$5001,T$175,BD!$A$3:$A$5001,"&gt;="&amp;$C$7,BD!$A$3:$A$5001,"&lt;="&amp;$B191,BD!$W$3:$W$5001,"&lt;&gt;"))))</f>
        <v/>
      </c>
      <c r="U191" s="54" t="str">
        <f>IF(OR($B191="",$A191&gt;$B$9,U$175=""),"",IF(COUNTIFS(BD!$B$3:$B$5001,U$175,BD!$A$3:$A$5001,"&gt;="&amp;$C$7,BD!$A$3:$A$5001,"&lt;="&amp;$B191,BD!$W$3:$W$5001,"&lt;&gt;")=0,"",SUMIFS(BD!$W$3:$W$5001,BD!$B$3:$B$5001,U$175,BD!$A$3:$A$5001,_xlfn.MAXIFS(BD!$A$3:$A$5001,BD!$B$3:$B$5001,U$175,BD!$A$3:$A$5001,"&gt;="&amp;$C$7,BD!$A$3:$A$5001,"&lt;="&amp;$B191,BD!$W$3:$W$5001,"&lt;&gt;"))))</f>
        <v/>
      </c>
      <c r="V191" s="54" t="str">
        <f>IF(OR($B191="",$A191&gt;$B$9,V$175=""),"",IF(COUNTIFS(BD!$B$3:$B$5001,V$175,BD!$A$3:$A$5001,"&gt;="&amp;$C$7,BD!$A$3:$A$5001,"&lt;="&amp;$B191,BD!$W$3:$W$5001,"&lt;&gt;")=0,"",SUMIFS(BD!$W$3:$W$5001,BD!$B$3:$B$5001,V$175,BD!$A$3:$A$5001,_xlfn.MAXIFS(BD!$A$3:$A$5001,BD!$B$3:$B$5001,V$175,BD!$A$3:$A$5001,"&gt;="&amp;$C$7,BD!$A$3:$A$5001,"&lt;="&amp;$B191,BD!$W$3:$W$5001,"&lt;&gt;"))))</f>
        <v/>
      </c>
    </row>
    <row r="192">
      <c r="A192" s="48">
        <v>17</v>
      </c>
      <c r="B192" s="53">
        <f>$B$28</f>
        <v>46312</v>
      </c>
      <c r="C192" s="54" t="str">
        <f>IF(OR($B192="",$A192&gt;$B$9,C$175=""),"",IF(COUNTIFS(BD!$B$3:$B$5001,C$175,BD!$A$3:$A$5001,"&gt;="&amp;$C$7,BD!$A$3:$A$5001,"&lt;="&amp;$B192,BD!$W$3:$W$5001,"&lt;&gt;")=0,"",SUMIFS(BD!$W$3:$W$5001,BD!$B$3:$B$5001,C$175,BD!$A$3:$A$5001,_xlfn.MAXIFS(BD!$A$3:$A$5001,BD!$B$3:$B$5001,C$175,BD!$A$3:$A$5001,"&gt;="&amp;$C$7,BD!$A$3:$A$5001,"&lt;="&amp;$B192,BD!$W$3:$W$5001,"&lt;&gt;"))))</f>
        <v/>
      </c>
      <c r="D192" s="54" t="str">
        <f>IF(OR($B192="",$A192&gt;$B$9,D$175=""),"",IF(COUNTIFS(BD!$B$3:$B$5001,D$175,BD!$A$3:$A$5001,"&gt;="&amp;$C$7,BD!$A$3:$A$5001,"&lt;="&amp;$B192,BD!$W$3:$W$5001,"&lt;&gt;")=0,"",SUMIFS(BD!$W$3:$W$5001,BD!$B$3:$B$5001,D$175,BD!$A$3:$A$5001,_xlfn.MAXIFS(BD!$A$3:$A$5001,BD!$B$3:$B$5001,D$175,BD!$A$3:$A$5001,"&gt;="&amp;$C$7,BD!$A$3:$A$5001,"&lt;="&amp;$B192,BD!$W$3:$W$5001,"&lt;&gt;"))))</f>
        <v/>
      </c>
      <c r="E192" s="54" t="str">
        <f>IF(OR($B192="",$A192&gt;$B$9,E$175=""),"",IF(COUNTIFS(BD!$B$3:$B$5001,E$175,BD!$A$3:$A$5001,"&gt;="&amp;$C$7,BD!$A$3:$A$5001,"&lt;="&amp;$B192,BD!$W$3:$W$5001,"&lt;&gt;")=0,"",SUMIFS(BD!$W$3:$W$5001,BD!$B$3:$B$5001,E$175,BD!$A$3:$A$5001,_xlfn.MAXIFS(BD!$A$3:$A$5001,BD!$B$3:$B$5001,E$175,BD!$A$3:$A$5001,"&gt;="&amp;$C$7,BD!$A$3:$A$5001,"&lt;="&amp;$B192,BD!$W$3:$W$5001,"&lt;&gt;"))))</f>
        <v/>
      </c>
      <c r="F192" s="54" t="str">
        <f>IF(OR($B192="",$A192&gt;$B$9,F$175=""),"",IF(COUNTIFS(BD!$B$3:$B$5001,F$175,BD!$A$3:$A$5001,"&gt;="&amp;$C$7,BD!$A$3:$A$5001,"&lt;="&amp;$B192,BD!$W$3:$W$5001,"&lt;&gt;")=0,"",SUMIFS(BD!$W$3:$W$5001,BD!$B$3:$B$5001,F$175,BD!$A$3:$A$5001,_xlfn.MAXIFS(BD!$A$3:$A$5001,BD!$B$3:$B$5001,F$175,BD!$A$3:$A$5001,"&gt;="&amp;$C$7,BD!$A$3:$A$5001,"&lt;="&amp;$B192,BD!$W$3:$W$5001,"&lt;&gt;"))))</f>
        <v/>
      </c>
      <c r="G192" s="54" t="str">
        <f>IF(OR($B192="",$A192&gt;$B$9,G$175=""),"",IF(COUNTIFS(BD!$B$3:$B$5001,G$175,BD!$A$3:$A$5001,"&gt;="&amp;$C$7,BD!$A$3:$A$5001,"&lt;="&amp;$B192,BD!$W$3:$W$5001,"&lt;&gt;")=0,"",SUMIFS(BD!$W$3:$W$5001,BD!$B$3:$B$5001,G$175,BD!$A$3:$A$5001,_xlfn.MAXIFS(BD!$A$3:$A$5001,BD!$B$3:$B$5001,G$175,BD!$A$3:$A$5001,"&gt;="&amp;$C$7,BD!$A$3:$A$5001,"&lt;="&amp;$B192,BD!$W$3:$W$5001,"&lt;&gt;"))))</f>
        <v/>
      </c>
      <c r="H192" s="54" t="str">
        <f>IF(OR($B192="",$A192&gt;$B$9,H$175=""),"",IF(COUNTIFS(BD!$B$3:$B$5001,H$175,BD!$A$3:$A$5001,"&gt;="&amp;$C$7,BD!$A$3:$A$5001,"&lt;="&amp;$B192,BD!$W$3:$W$5001,"&lt;&gt;")=0,"",SUMIFS(BD!$W$3:$W$5001,BD!$B$3:$B$5001,H$175,BD!$A$3:$A$5001,_xlfn.MAXIFS(BD!$A$3:$A$5001,BD!$B$3:$B$5001,H$175,BD!$A$3:$A$5001,"&gt;="&amp;$C$7,BD!$A$3:$A$5001,"&lt;="&amp;$B192,BD!$W$3:$W$5001,"&lt;&gt;"))))</f>
        <v/>
      </c>
      <c r="I192" s="54" t="str">
        <f>IF(OR($B192="",$A192&gt;$B$9,I$175=""),"",IF(COUNTIFS(BD!$B$3:$B$5001,I$175,BD!$A$3:$A$5001,"&gt;="&amp;$C$7,BD!$A$3:$A$5001,"&lt;="&amp;$B192,BD!$W$3:$W$5001,"&lt;&gt;")=0,"",SUMIFS(BD!$W$3:$W$5001,BD!$B$3:$B$5001,I$175,BD!$A$3:$A$5001,_xlfn.MAXIFS(BD!$A$3:$A$5001,BD!$B$3:$B$5001,I$175,BD!$A$3:$A$5001,"&gt;="&amp;$C$7,BD!$A$3:$A$5001,"&lt;="&amp;$B192,BD!$W$3:$W$5001,"&lt;&gt;"))))</f>
        <v/>
      </c>
      <c r="J192" s="54" t="str">
        <f>IF(OR($B192="",$A192&gt;$B$9,J$175=""),"",IF(COUNTIFS(BD!$B$3:$B$5001,J$175,BD!$A$3:$A$5001,"&gt;="&amp;$C$7,BD!$A$3:$A$5001,"&lt;="&amp;$B192,BD!$W$3:$W$5001,"&lt;&gt;")=0,"",SUMIFS(BD!$W$3:$W$5001,BD!$B$3:$B$5001,J$175,BD!$A$3:$A$5001,_xlfn.MAXIFS(BD!$A$3:$A$5001,BD!$B$3:$B$5001,J$175,BD!$A$3:$A$5001,"&gt;="&amp;$C$7,BD!$A$3:$A$5001,"&lt;="&amp;$B192,BD!$W$3:$W$5001,"&lt;&gt;"))))</f>
        <v/>
      </c>
      <c r="K192" s="54" t="str">
        <f>IF(OR($B192="",$A192&gt;$B$9,K$175=""),"",IF(COUNTIFS(BD!$B$3:$B$5001,K$175,BD!$A$3:$A$5001,"&gt;="&amp;$C$7,BD!$A$3:$A$5001,"&lt;="&amp;$B192,BD!$W$3:$W$5001,"&lt;&gt;")=0,"",SUMIFS(BD!$W$3:$W$5001,BD!$B$3:$B$5001,K$175,BD!$A$3:$A$5001,_xlfn.MAXIFS(BD!$A$3:$A$5001,BD!$B$3:$B$5001,K$175,BD!$A$3:$A$5001,"&gt;="&amp;$C$7,BD!$A$3:$A$5001,"&lt;="&amp;$B192,BD!$W$3:$W$5001,"&lt;&gt;"))))</f>
        <v/>
      </c>
      <c r="L192" s="54" t="str">
        <f>IF(OR($B192="",$A192&gt;$B$9,L$175=""),"",IF(COUNTIFS(BD!$B$3:$B$5001,L$175,BD!$A$3:$A$5001,"&gt;="&amp;$C$7,BD!$A$3:$A$5001,"&lt;="&amp;$B192,BD!$W$3:$W$5001,"&lt;&gt;")=0,"",SUMIFS(BD!$W$3:$W$5001,BD!$B$3:$B$5001,L$175,BD!$A$3:$A$5001,_xlfn.MAXIFS(BD!$A$3:$A$5001,BD!$B$3:$B$5001,L$175,BD!$A$3:$A$5001,"&gt;="&amp;$C$7,BD!$A$3:$A$5001,"&lt;="&amp;$B192,BD!$W$3:$W$5001,"&lt;&gt;"))))</f>
        <v/>
      </c>
      <c r="M192" s="54" t="str">
        <f>IF(OR($B192="",$A192&gt;$B$9,M$175=""),"",IF(COUNTIFS(BD!$B$3:$B$5001,M$175,BD!$A$3:$A$5001,"&gt;="&amp;$C$7,BD!$A$3:$A$5001,"&lt;="&amp;$B192,BD!$W$3:$W$5001,"&lt;&gt;")=0,"",SUMIFS(BD!$W$3:$W$5001,BD!$B$3:$B$5001,M$175,BD!$A$3:$A$5001,_xlfn.MAXIFS(BD!$A$3:$A$5001,BD!$B$3:$B$5001,M$175,BD!$A$3:$A$5001,"&gt;="&amp;$C$7,BD!$A$3:$A$5001,"&lt;="&amp;$B192,BD!$W$3:$W$5001,"&lt;&gt;"))))</f>
        <v/>
      </c>
      <c r="N192" s="54" t="str">
        <f>IF(OR($B192="",$A192&gt;$B$9,N$175=""),"",IF(COUNTIFS(BD!$B$3:$B$5001,N$175,BD!$A$3:$A$5001,"&gt;="&amp;$C$7,BD!$A$3:$A$5001,"&lt;="&amp;$B192,BD!$W$3:$W$5001,"&lt;&gt;")=0,"",SUMIFS(BD!$W$3:$W$5001,BD!$B$3:$B$5001,N$175,BD!$A$3:$A$5001,_xlfn.MAXIFS(BD!$A$3:$A$5001,BD!$B$3:$B$5001,N$175,BD!$A$3:$A$5001,"&gt;="&amp;$C$7,BD!$A$3:$A$5001,"&lt;="&amp;$B192,BD!$W$3:$W$5001,"&lt;&gt;"))))</f>
        <v/>
      </c>
      <c r="O192" s="54" t="str">
        <f>IF(OR($B192="",$A192&gt;$B$9,O$175=""),"",IF(COUNTIFS(BD!$B$3:$B$5001,O$175,BD!$A$3:$A$5001,"&gt;="&amp;$C$7,BD!$A$3:$A$5001,"&lt;="&amp;$B192,BD!$W$3:$W$5001,"&lt;&gt;")=0,"",SUMIFS(BD!$W$3:$W$5001,BD!$B$3:$B$5001,O$175,BD!$A$3:$A$5001,_xlfn.MAXIFS(BD!$A$3:$A$5001,BD!$B$3:$B$5001,O$175,BD!$A$3:$A$5001,"&gt;="&amp;$C$7,BD!$A$3:$A$5001,"&lt;="&amp;$B192,BD!$W$3:$W$5001,"&lt;&gt;"))))</f>
        <v/>
      </c>
      <c r="P192" s="54" t="str">
        <f>IF(OR($B192="",$A192&gt;$B$9,P$175=""),"",IF(COUNTIFS(BD!$B$3:$B$5001,P$175,BD!$A$3:$A$5001,"&gt;="&amp;$C$7,BD!$A$3:$A$5001,"&lt;="&amp;$B192,BD!$W$3:$W$5001,"&lt;&gt;")=0,"",SUMIFS(BD!$W$3:$W$5001,BD!$B$3:$B$5001,P$175,BD!$A$3:$A$5001,_xlfn.MAXIFS(BD!$A$3:$A$5001,BD!$B$3:$B$5001,P$175,BD!$A$3:$A$5001,"&gt;="&amp;$C$7,BD!$A$3:$A$5001,"&lt;="&amp;$B192,BD!$W$3:$W$5001,"&lt;&gt;"))))</f>
        <v/>
      </c>
      <c r="Q192" s="54" t="str">
        <f>IF(OR($B192="",$A192&gt;$B$9,Q$175=""),"",IF(COUNTIFS(BD!$B$3:$B$5001,Q$175,BD!$A$3:$A$5001,"&gt;="&amp;$C$7,BD!$A$3:$A$5001,"&lt;="&amp;$B192,BD!$W$3:$W$5001,"&lt;&gt;")=0,"",SUMIFS(BD!$W$3:$W$5001,BD!$B$3:$B$5001,Q$175,BD!$A$3:$A$5001,_xlfn.MAXIFS(BD!$A$3:$A$5001,BD!$B$3:$B$5001,Q$175,BD!$A$3:$A$5001,"&gt;="&amp;$C$7,BD!$A$3:$A$5001,"&lt;="&amp;$B192,BD!$W$3:$W$5001,"&lt;&gt;"))))</f>
        <v/>
      </c>
      <c r="R192" s="54" t="str">
        <f>IF(OR($B192="",$A192&gt;$B$9,R$175=""),"",IF(COUNTIFS(BD!$B$3:$B$5001,R$175,BD!$A$3:$A$5001,"&gt;="&amp;$C$7,BD!$A$3:$A$5001,"&lt;="&amp;$B192,BD!$W$3:$W$5001,"&lt;&gt;")=0,"",SUMIFS(BD!$W$3:$W$5001,BD!$B$3:$B$5001,R$175,BD!$A$3:$A$5001,_xlfn.MAXIFS(BD!$A$3:$A$5001,BD!$B$3:$B$5001,R$175,BD!$A$3:$A$5001,"&gt;="&amp;$C$7,BD!$A$3:$A$5001,"&lt;="&amp;$B192,BD!$W$3:$W$5001,"&lt;&gt;"))))</f>
        <v/>
      </c>
      <c r="S192" s="54" t="str">
        <f>IF(OR($B192="",$A192&gt;$B$9,S$175=""),"",IF(COUNTIFS(BD!$B$3:$B$5001,S$175,BD!$A$3:$A$5001,"&gt;="&amp;$C$7,BD!$A$3:$A$5001,"&lt;="&amp;$B192,BD!$W$3:$W$5001,"&lt;&gt;")=0,"",SUMIFS(BD!$W$3:$W$5001,BD!$B$3:$B$5001,S$175,BD!$A$3:$A$5001,_xlfn.MAXIFS(BD!$A$3:$A$5001,BD!$B$3:$B$5001,S$175,BD!$A$3:$A$5001,"&gt;="&amp;$C$7,BD!$A$3:$A$5001,"&lt;="&amp;$B192,BD!$W$3:$W$5001,"&lt;&gt;"))))</f>
        <v/>
      </c>
      <c r="T192" s="54" t="str">
        <f>IF(OR($B192="",$A192&gt;$B$9,T$175=""),"",IF(COUNTIFS(BD!$B$3:$B$5001,T$175,BD!$A$3:$A$5001,"&gt;="&amp;$C$7,BD!$A$3:$A$5001,"&lt;="&amp;$B192,BD!$W$3:$W$5001,"&lt;&gt;")=0,"",SUMIFS(BD!$W$3:$W$5001,BD!$B$3:$B$5001,T$175,BD!$A$3:$A$5001,_xlfn.MAXIFS(BD!$A$3:$A$5001,BD!$B$3:$B$5001,T$175,BD!$A$3:$A$5001,"&gt;="&amp;$C$7,BD!$A$3:$A$5001,"&lt;="&amp;$B192,BD!$W$3:$W$5001,"&lt;&gt;"))))</f>
        <v/>
      </c>
      <c r="U192" s="54" t="str">
        <f>IF(OR($B192="",$A192&gt;$B$9,U$175=""),"",IF(COUNTIFS(BD!$B$3:$B$5001,U$175,BD!$A$3:$A$5001,"&gt;="&amp;$C$7,BD!$A$3:$A$5001,"&lt;="&amp;$B192,BD!$W$3:$W$5001,"&lt;&gt;")=0,"",SUMIFS(BD!$W$3:$W$5001,BD!$B$3:$B$5001,U$175,BD!$A$3:$A$5001,_xlfn.MAXIFS(BD!$A$3:$A$5001,BD!$B$3:$B$5001,U$175,BD!$A$3:$A$5001,"&gt;="&amp;$C$7,BD!$A$3:$A$5001,"&lt;="&amp;$B192,BD!$W$3:$W$5001,"&lt;&gt;"))))</f>
        <v/>
      </c>
      <c r="V192" s="54" t="str">
        <f>IF(OR($B192="",$A192&gt;$B$9,V$175=""),"",IF(COUNTIFS(BD!$B$3:$B$5001,V$175,BD!$A$3:$A$5001,"&gt;="&amp;$C$7,BD!$A$3:$A$5001,"&lt;="&amp;$B192,BD!$W$3:$W$5001,"&lt;&gt;")=0,"",SUMIFS(BD!$W$3:$W$5001,BD!$B$3:$B$5001,V$175,BD!$A$3:$A$5001,_xlfn.MAXIFS(BD!$A$3:$A$5001,BD!$B$3:$B$5001,V$175,BD!$A$3:$A$5001,"&gt;="&amp;$C$7,BD!$A$3:$A$5001,"&lt;="&amp;$B192,BD!$W$3:$W$5001,"&lt;&gt;"))))</f>
        <v/>
      </c>
    </row>
    <row r="193">
      <c r="A193" s="48">
        <v>18</v>
      </c>
      <c r="B193" s="53">
        <f>$B$29</f>
        <v>46313</v>
      </c>
      <c r="C193" s="54" t="str">
        <f>IF(OR($B193="",$A193&gt;$B$9,C$175=""),"",IF(COUNTIFS(BD!$B$3:$B$5001,C$175,BD!$A$3:$A$5001,"&gt;="&amp;$C$7,BD!$A$3:$A$5001,"&lt;="&amp;$B193,BD!$W$3:$W$5001,"&lt;&gt;")=0,"",SUMIFS(BD!$W$3:$W$5001,BD!$B$3:$B$5001,C$175,BD!$A$3:$A$5001,_xlfn.MAXIFS(BD!$A$3:$A$5001,BD!$B$3:$B$5001,C$175,BD!$A$3:$A$5001,"&gt;="&amp;$C$7,BD!$A$3:$A$5001,"&lt;="&amp;$B193,BD!$W$3:$W$5001,"&lt;&gt;"))))</f>
        <v/>
      </c>
      <c r="D193" s="54" t="str">
        <f>IF(OR($B193="",$A193&gt;$B$9,D$175=""),"",IF(COUNTIFS(BD!$B$3:$B$5001,D$175,BD!$A$3:$A$5001,"&gt;="&amp;$C$7,BD!$A$3:$A$5001,"&lt;="&amp;$B193,BD!$W$3:$W$5001,"&lt;&gt;")=0,"",SUMIFS(BD!$W$3:$W$5001,BD!$B$3:$B$5001,D$175,BD!$A$3:$A$5001,_xlfn.MAXIFS(BD!$A$3:$A$5001,BD!$B$3:$B$5001,D$175,BD!$A$3:$A$5001,"&gt;="&amp;$C$7,BD!$A$3:$A$5001,"&lt;="&amp;$B193,BD!$W$3:$W$5001,"&lt;&gt;"))))</f>
        <v/>
      </c>
      <c r="E193" s="54" t="str">
        <f>IF(OR($B193="",$A193&gt;$B$9,E$175=""),"",IF(COUNTIFS(BD!$B$3:$B$5001,E$175,BD!$A$3:$A$5001,"&gt;="&amp;$C$7,BD!$A$3:$A$5001,"&lt;="&amp;$B193,BD!$W$3:$W$5001,"&lt;&gt;")=0,"",SUMIFS(BD!$W$3:$W$5001,BD!$B$3:$B$5001,E$175,BD!$A$3:$A$5001,_xlfn.MAXIFS(BD!$A$3:$A$5001,BD!$B$3:$B$5001,E$175,BD!$A$3:$A$5001,"&gt;="&amp;$C$7,BD!$A$3:$A$5001,"&lt;="&amp;$B193,BD!$W$3:$W$5001,"&lt;&gt;"))))</f>
        <v/>
      </c>
      <c r="F193" s="54" t="str">
        <f>IF(OR($B193="",$A193&gt;$B$9,F$175=""),"",IF(COUNTIFS(BD!$B$3:$B$5001,F$175,BD!$A$3:$A$5001,"&gt;="&amp;$C$7,BD!$A$3:$A$5001,"&lt;="&amp;$B193,BD!$W$3:$W$5001,"&lt;&gt;")=0,"",SUMIFS(BD!$W$3:$W$5001,BD!$B$3:$B$5001,F$175,BD!$A$3:$A$5001,_xlfn.MAXIFS(BD!$A$3:$A$5001,BD!$B$3:$B$5001,F$175,BD!$A$3:$A$5001,"&gt;="&amp;$C$7,BD!$A$3:$A$5001,"&lt;="&amp;$B193,BD!$W$3:$W$5001,"&lt;&gt;"))))</f>
        <v/>
      </c>
      <c r="G193" s="54" t="str">
        <f>IF(OR($B193="",$A193&gt;$B$9,G$175=""),"",IF(COUNTIFS(BD!$B$3:$B$5001,G$175,BD!$A$3:$A$5001,"&gt;="&amp;$C$7,BD!$A$3:$A$5001,"&lt;="&amp;$B193,BD!$W$3:$W$5001,"&lt;&gt;")=0,"",SUMIFS(BD!$W$3:$W$5001,BD!$B$3:$B$5001,G$175,BD!$A$3:$A$5001,_xlfn.MAXIFS(BD!$A$3:$A$5001,BD!$B$3:$B$5001,G$175,BD!$A$3:$A$5001,"&gt;="&amp;$C$7,BD!$A$3:$A$5001,"&lt;="&amp;$B193,BD!$W$3:$W$5001,"&lt;&gt;"))))</f>
        <v/>
      </c>
      <c r="H193" s="54" t="str">
        <f>IF(OR($B193="",$A193&gt;$B$9,H$175=""),"",IF(COUNTIFS(BD!$B$3:$B$5001,H$175,BD!$A$3:$A$5001,"&gt;="&amp;$C$7,BD!$A$3:$A$5001,"&lt;="&amp;$B193,BD!$W$3:$W$5001,"&lt;&gt;")=0,"",SUMIFS(BD!$W$3:$W$5001,BD!$B$3:$B$5001,H$175,BD!$A$3:$A$5001,_xlfn.MAXIFS(BD!$A$3:$A$5001,BD!$B$3:$B$5001,H$175,BD!$A$3:$A$5001,"&gt;="&amp;$C$7,BD!$A$3:$A$5001,"&lt;="&amp;$B193,BD!$W$3:$W$5001,"&lt;&gt;"))))</f>
        <v/>
      </c>
      <c r="I193" s="54" t="str">
        <f>IF(OR($B193="",$A193&gt;$B$9,I$175=""),"",IF(COUNTIFS(BD!$B$3:$B$5001,I$175,BD!$A$3:$A$5001,"&gt;="&amp;$C$7,BD!$A$3:$A$5001,"&lt;="&amp;$B193,BD!$W$3:$W$5001,"&lt;&gt;")=0,"",SUMIFS(BD!$W$3:$W$5001,BD!$B$3:$B$5001,I$175,BD!$A$3:$A$5001,_xlfn.MAXIFS(BD!$A$3:$A$5001,BD!$B$3:$B$5001,I$175,BD!$A$3:$A$5001,"&gt;="&amp;$C$7,BD!$A$3:$A$5001,"&lt;="&amp;$B193,BD!$W$3:$W$5001,"&lt;&gt;"))))</f>
        <v/>
      </c>
      <c r="J193" s="54" t="str">
        <f>IF(OR($B193="",$A193&gt;$B$9,J$175=""),"",IF(COUNTIFS(BD!$B$3:$B$5001,J$175,BD!$A$3:$A$5001,"&gt;="&amp;$C$7,BD!$A$3:$A$5001,"&lt;="&amp;$B193,BD!$W$3:$W$5001,"&lt;&gt;")=0,"",SUMIFS(BD!$W$3:$W$5001,BD!$B$3:$B$5001,J$175,BD!$A$3:$A$5001,_xlfn.MAXIFS(BD!$A$3:$A$5001,BD!$B$3:$B$5001,J$175,BD!$A$3:$A$5001,"&gt;="&amp;$C$7,BD!$A$3:$A$5001,"&lt;="&amp;$B193,BD!$W$3:$W$5001,"&lt;&gt;"))))</f>
        <v/>
      </c>
      <c r="K193" s="54" t="str">
        <f>IF(OR($B193="",$A193&gt;$B$9,K$175=""),"",IF(COUNTIFS(BD!$B$3:$B$5001,K$175,BD!$A$3:$A$5001,"&gt;="&amp;$C$7,BD!$A$3:$A$5001,"&lt;="&amp;$B193,BD!$W$3:$W$5001,"&lt;&gt;")=0,"",SUMIFS(BD!$W$3:$W$5001,BD!$B$3:$B$5001,K$175,BD!$A$3:$A$5001,_xlfn.MAXIFS(BD!$A$3:$A$5001,BD!$B$3:$B$5001,K$175,BD!$A$3:$A$5001,"&gt;="&amp;$C$7,BD!$A$3:$A$5001,"&lt;="&amp;$B193,BD!$W$3:$W$5001,"&lt;&gt;"))))</f>
        <v/>
      </c>
      <c r="L193" s="54" t="str">
        <f>IF(OR($B193="",$A193&gt;$B$9,L$175=""),"",IF(COUNTIFS(BD!$B$3:$B$5001,L$175,BD!$A$3:$A$5001,"&gt;="&amp;$C$7,BD!$A$3:$A$5001,"&lt;="&amp;$B193,BD!$W$3:$W$5001,"&lt;&gt;")=0,"",SUMIFS(BD!$W$3:$W$5001,BD!$B$3:$B$5001,L$175,BD!$A$3:$A$5001,_xlfn.MAXIFS(BD!$A$3:$A$5001,BD!$B$3:$B$5001,L$175,BD!$A$3:$A$5001,"&gt;="&amp;$C$7,BD!$A$3:$A$5001,"&lt;="&amp;$B193,BD!$W$3:$W$5001,"&lt;&gt;"))))</f>
        <v/>
      </c>
      <c r="M193" s="54" t="str">
        <f>IF(OR($B193="",$A193&gt;$B$9,M$175=""),"",IF(COUNTIFS(BD!$B$3:$B$5001,M$175,BD!$A$3:$A$5001,"&gt;="&amp;$C$7,BD!$A$3:$A$5001,"&lt;="&amp;$B193,BD!$W$3:$W$5001,"&lt;&gt;")=0,"",SUMIFS(BD!$W$3:$W$5001,BD!$B$3:$B$5001,M$175,BD!$A$3:$A$5001,_xlfn.MAXIFS(BD!$A$3:$A$5001,BD!$B$3:$B$5001,M$175,BD!$A$3:$A$5001,"&gt;="&amp;$C$7,BD!$A$3:$A$5001,"&lt;="&amp;$B193,BD!$W$3:$W$5001,"&lt;&gt;"))))</f>
        <v/>
      </c>
      <c r="N193" s="54" t="str">
        <f>IF(OR($B193="",$A193&gt;$B$9,N$175=""),"",IF(COUNTIFS(BD!$B$3:$B$5001,N$175,BD!$A$3:$A$5001,"&gt;="&amp;$C$7,BD!$A$3:$A$5001,"&lt;="&amp;$B193,BD!$W$3:$W$5001,"&lt;&gt;")=0,"",SUMIFS(BD!$W$3:$W$5001,BD!$B$3:$B$5001,N$175,BD!$A$3:$A$5001,_xlfn.MAXIFS(BD!$A$3:$A$5001,BD!$B$3:$B$5001,N$175,BD!$A$3:$A$5001,"&gt;="&amp;$C$7,BD!$A$3:$A$5001,"&lt;="&amp;$B193,BD!$W$3:$W$5001,"&lt;&gt;"))))</f>
        <v/>
      </c>
      <c r="O193" s="54" t="str">
        <f>IF(OR($B193="",$A193&gt;$B$9,O$175=""),"",IF(COUNTIFS(BD!$B$3:$B$5001,O$175,BD!$A$3:$A$5001,"&gt;="&amp;$C$7,BD!$A$3:$A$5001,"&lt;="&amp;$B193,BD!$W$3:$W$5001,"&lt;&gt;")=0,"",SUMIFS(BD!$W$3:$W$5001,BD!$B$3:$B$5001,O$175,BD!$A$3:$A$5001,_xlfn.MAXIFS(BD!$A$3:$A$5001,BD!$B$3:$B$5001,O$175,BD!$A$3:$A$5001,"&gt;="&amp;$C$7,BD!$A$3:$A$5001,"&lt;="&amp;$B193,BD!$W$3:$W$5001,"&lt;&gt;"))))</f>
        <v/>
      </c>
      <c r="P193" s="54" t="str">
        <f>IF(OR($B193="",$A193&gt;$B$9,P$175=""),"",IF(COUNTIFS(BD!$B$3:$B$5001,P$175,BD!$A$3:$A$5001,"&gt;="&amp;$C$7,BD!$A$3:$A$5001,"&lt;="&amp;$B193,BD!$W$3:$W$5001,"&lt;&gt;")=0,"",SUMIFS(BD!$W$3:$W$5001,BD!$B$3:$B$5001,P$175,BD!$A$3:$A$5001,_xlfn.MAXIFS(BD!$A$3:$A$5001,BD!$B$3:$B$5001,P$175,BD!$A$3:$A$5001,"&gt;="&amp;$C$7,BD!$A$3:$A$5001,"&lt;="&amp;$B193,BD!$W$3:$W$5001,"&lt;&gt;"))))</f>
        <v/>
      </c>
      <c r="Q193" s="54" t="str">
        <f>IF(OR($B193="",$A193&gt;$B$9,Q$175=""),"",IF(COUNTIFS(BD!$B$3:$B$5001,Q$175,BD!$A$3:$A$5001,"&gt;="&amp;$C$7,BD!$A$3:$A$5001,"&lt;="&amp;$B193,BD!$W$3:$W$5001,"&lt;&gt;")=0,"",SUMIFS(BD!$W$3:$W$5001,BD!$B$3:$B$5001,Q$175,BD!$A$3:$A$5001,_xlfn.MAXIFS(BD!$A$3:$A$5001,BD!$B$3:$B$5001,Q$175,BD!$A$3:$A$5001,"&gt;="&amp;$C$7,BD!$A$3:$A$5001,"&lt;="&amp;$B193,BD!$W$3:$W$5001,"&lt;&gt;"))))</f>
        <v/>
      </c>
      <c r="R193" s="54" t="str">
        <f>IF(OR($B193="",$A193&gt;$B$9,R$175=""),"",IF(COUNTIFS(BD!$B$3:$B$5001,R$175,BD!$A$3:$A$5001,"&gt;="&amp;$C$7,BD!$A$3:$A$5001,"&lt;="&amp;$B193,BD!$W$3:$W$5001,"&lt;&gt;")=0,"",SUMIFS(BD!$W$3:$W$5001,BD!$B$3:$B$5001,R$175,BD!$A$3:$A$5001,_xlfn.MAXIFS(BD!$A$3:$A$5001,BD!$B$3:$B$5001,R$175,BD!$A$3:$A$5001,"&gt;="&amp;$C$7,BD!$A$3:$A$5001,"&lt;="&amp;$B193,BD!$W$3:$W$5001,"&lt;&gt;"))))</f>
        <v/>
      </c>
      <c r="S193" s="54" t="str">
        <f>IF(OR($B193="",$A193&gt;$B$9,S$175=""),"",IF(COUNTIFS(BD!$B$3:$B$5001,S$175,BD!$A$3:$A$5001,"&gt;="&amp;$C$7,BD!$A$3:$A$5001,"&lt;="&amp;$B193,BD!$W$3:$W$5001,"&lt;&gt;")=0,"",SUMIFS(BD!$W$3:$W$5001,BD!$B$3:$B$5001,S$175,BD!$A$3:$A$5001,_xlfn.MAXIFS(BD!$A$3:$A$5001,BD!$B$3:$B$5001,S$175,BD!$A$3:$A$5001,"&gt;="&amp;$C$7,BD!$A$3:$A$5001,"&lt;="&amp;$B193,BD!$W$3:$W$5001,"&lt;&gt;"))))</f>
        <v/>
      </c>
      <c r="T193" s="54" t="str">
        <f>IF(OR($B193="",$A193&gt;$B$9,T$175=""),"",IF(COUNTIFS(BD!$B$3:$B$5001,T$175,BD!$A$3:$A$5001,"&gt;="&amp;$C$7,BD!$A$3:$A$5001,"&lt;="&amp;$B193,BD!$W$3:$W$5001,"&lt;&gt;")=0,"",SUMIFS(BD!$W$3:$W$5001,BD!$B$3:$B$5001,T$175,BD!$A$3:$A$5001,_xlfn.MAXIFS(BD!$A$3:$A$5001,BD!$B$3:$B$5001,T$175,BD!$A$3:$A$5001,"&gt;="&amp;$C$7,BD!$A$3:$A$5001,"&lt;="&amp;$B193,BD!$W$3:$W$5001,"&lt;&gt;"))))</f>
        <v/>
      </c>
      <c r="U193" s="54" t="str">
        <f>IF(OR($B193="",$A193&gt;$B$9,U$175=""),"",IF(COUNTIFS(BD!$B$3:$B$5001,U$175,BD!$A$3:$A$5001,"&gt;="&amp;$C$7,BD!$A$3:$A$5001,"&lt;="&amp;$B193,BD!$W$3:$W$5001,"&lt;&gt;")=0,"",SUMIFS(BD!$W$3:$W$5001,BD!$B$3:$B$5001,U$175,BD!$A$3:$A$5001,_xlfn.MAXIFS(BD!$A$3:$A$5001,BD!$B$3:$B$5001,U$175,BD!$A$3:$A$5001,"&gt;="&amp;$C$7,BD!$A$3:$A$5001,"&lt;="&amp;$B193,BD!$W$3:$W$5001,"&lt;&gt;"))))</f>
        <v/>
      </c>
      <c r="V193" s="54" t="str">
        <f>IF(OR($B193="",$A193&gt;$B$9,V$175=""),"",IF(COUNTIFS(BD!$B$3:$B$5001,V$175,BD!$A$3:$A$5001,"&gt;="&amp;$C$7,BD!$A$3:$A$5001,"&lt;="&amp;$B193,BD!$W$3:$W$5001,"&lt;&gt;")=0,"",SUMIFS(BD!$W$3:$W$5001,BD!$B$3:$B$5001,V$175,BD!$A$3:$A$5001,_xlfn.MAXIFS(BD!$A$3:$A$5001,BD!$B$3:$B$5001,V$175,BD!$A$3:$A$5001,"&gt;="&amp;$C$7,BD!$A$3:$A$5001,"&lt;="&amp;$B193,BD!$W$3:$W$5001,"&lt;&gt;"))))</f>
        <v/>
      </c>
    </row>
    <row r="194">
      <c r="A194" s="48">
        <v>19</v>
      </c>
      <c r="B194" s="53">
        <f>$B$30</f>
        <v>46314</v>
      </c>
      <c r="C194" s="54" t="str">
        <f>IF(OR($B194="",$A194&gt;$B$9,C$175=""),"",IF(COUNTIFS(BD!$B$3:$B$5001,C$175,BD!$A$3:$A$5001,"&gt;="&amp;$C$7,BD!$A$3:$A$5001,"&lt;="&amp;$B194,BD!$W$3:$W$5001,"&lt;&gt;")=0,"",SUMIFS(BD!$W$3:$W$5001,BD!$B$3:$B$5001,C$175,BD!$A$3:$A$5001,_xlfn.MAXIFS(BD!$A$3:$A$5001,BD!$B$3:$B$5001,C$175,BD!$A$3:$A$5001,"&gt;="&amp;$C$7,BD!$A$3:$A$5001,"&lt;="&amp;$B194,BD!$W$3:$W$5001,"&lt;&gt;"))))</f>
        <v/>
      </c>
      <c r="D194" s="54" t="str">
        <f>IF(OR($B194="",$A194&gt;$B$9,D$175=""),"",IF(COUNTIFS(BD!$B$3:$B$5001,D$175,BD!$A$3:$A$5001,"&gt;="&amp;$C$7,BD!$A$3:$A$5001,"&lt;="&amp;$B194,BD!$W$3:$W$5001,"&lt;&gt;")=0,"",SUMIFS(BD!$W$3:$W$5001,BD!$B$3:$B$5001,D$175,BD!$A$3:$A$5001,_xlfn.MAXIFS(BD!$A$3:$A$5001,BD!$B$3:$B$5001,D$175,BD!$A$3:$A$5001,"&gt;="&amp;$C$7,BD!$A$3:$A$5001,"&lt;="&amp;$B194,BD!$W$3:$W$5001,"&lt;&gt;"))))</f>
        <v/>
      </c>
      <c r="E194" s="54" t="str">
        <f>IF(OR($B194="",$A194&gt;$B$9,E$175=""),"",IF(COUNTIFS(BD!$B$3:$B$5001,E$175,BD!$A$3:$A$5001,"&gt;="&amp;$C$7,BD!$A$3:$A$5001,"&lt;="&amp;$B194,BD!$W$3:$W$5001,"&lt;&gt;")=0,"",SUMIFS(BD!$W$3:$W$5001,BD!$B$3:$B$5001,E$175,BD!$A$3:$A$5001,_xlfn.MAXIFS(BD!$A$3:$A$5001,BD!$B$3:$B$5001,E$175,BD!$A$3:$A$5001,"&gt;="&amp;$C$7,BD!$A$3:$A$5001,"&lt;="&amp;$B194,BD!$W$3:$W$5001,"&lt;&gt;"))))</f>
        <v/>
      </c>
      <c r="F194" s="54" t="str">
        <f>IF(OR($B194="",$A194&gt;$B$9,F$175=""),"",IF(COUNTIFS(BD!$B$3:$B$5001,F$175,BD!$A$3:$A$5001,"&gt;="&amp;$C$7,BD!$A$3:$A$5001,"&lt;="&amp;$B194,BD!$W$3:$W$5001,"&lt;&gt;")=0,"",SUMIFS(BD!$W$3:$W$5001,BD!$B$3:$B$5001,F$175,BD!$A$3:$A$5001,_xlfn.MAXIFS(BD!$A$3:$A$5001,BD!$B$3:$B$5001,F$175,BD!$A$3:$A$5001,"&gt;="&amp;$C$7,BD!$A$3:$A$5001,"&lt;="&amp;$B194,BD!$W$3:$W$5001,"&lt;&gt;"))))</f>
        <v/>
      </c>
      <c r="G194" s="54" t="str">
        <f>IF(OR($B194="",$A194&gt;$B$9,G$175=""),"",IF(COUNTIFS(BD!$B$3:$B$5001,G$175,BD!$A$3:$A$5001,"&gt;="&amp;$C$7,BD!$A$3:$A$5001,"&lt;="&amp;$B194,BD!$W$3:$W$5001,"&lt;&gt;")=0,"",SUMIFS(BD!$W$3:$W$5001,BD!$B$3:$B$5001,G$175,BD!$A$3:$A$5001,_xlfn.MAXIFS(BD!$A$3:$A$5001,BD!$B$3:$B$5001,G$175,BD!$A$3:$A$5001,"&gt;="&amp;$C$7,BD!$A$3:$A$5001,"&lt;="&amp;$B194,BD!$W$3:$W$5001,"&lt;&gt;"))))</f>
        <v/>
      </c>
      <c r="H194" s="54" t="str">
        <f>IF(OR($B194="",$A194&gt;$B$9,H$175=""),"",IF(COUNTIFS(BD!$B$3:$B$5001,H$175,BD!$A$3:$A$5001,"&gt;="&amp;$C$7,BD!$A$3:$A$5001,"&lt;="&amp;$B194,BD!$W$3:$W$5001,"&lt;&gt;")=0,"",SUMIFS(BD!$W$3:$W$5001,BD!$B$3:$B$5001,H$175,BD!$A$3:$A$5001,_xlfn.MAXIFS(BD!$A$3:$A$5001,BD!$B$3:$B$5001,H$175,BD!$A$3:$A$5001,"&gt;="&amp;$C$7,BD!$A$3:$A$5001,"&lt;="&amp;$B194,BD!$W$3:$W$5001,"&lt;&gt;"))))</f>
        <v/>
      </c>
      <c r="I194" s="54" t="str">
        <f>IF(OR($B194="",$A194&gt;$B$9,I$175=""),"",IF(COUNTIFS(BD!$B$3:$B$5001,I$175,BD!$A$3:$A$5001,"&gt;="&amp;$C$7,BD!$A$3:$A$5001,"&lt;="&amp;$B194,BD!$W$3:$W$5001,"&lt;&gt;")=0,"",SUMIFS(BD!$W$3:$W$5001,BD!$B$3:$B$5001,I$175,BD!$A$3:$A$5001,_xlfn.MAXIFS(BD!$A$3:$A$5001,BD!$B$3:$B$5001,I$175,BD!$A$3:$A$5001,"&gt;="&amp;$C$7,BD!$A$3:$A$5001,"&lt;="&amp;$B194,BD!$W$3:$W$5001,"&lt;&gt;"))))</f>
        <v/>
      </c>
      <c r="J194" s="54" t="str">
        <f>IF(OR($B194="",$A194&gt;$B$9,J$175=""),"",IF(COUNTIFS(BD!$B$3:$B$5001,J$175,BD!$A$3:$A$5001,"&gt;="&amp;$C$7,BD!$A$3:$A$5001,"&lt;="&amp;$B194,BD!$W$3:$W$5001,"&lt;&gt;")=0,"",SUMIFS(BD!$W$3:$W$5001,BD!$B$3:$B$5001,J$175,BD!$A$3:$A$5001,_xlfn.MAXIFS(BD!$A$3:$A$5001,BD!$B$3:$B$5001,J$175,BD!$A$3:$A$5001,"&gt;="&amp;$C$7,BD!$A$3:$A$5001,"&lt;="&amp;$B194,BD!$W$3:$W$5001,"&lt;&gt;"))))</f>
        <v/>
      </c>
      <c r="K194" s="54" t="str">
        <f>IF(OR($B194="",$A194&gt;$B$9,K$175=""),"",IF(COUNTIFS(BD!$B$3:$B$5001,K$175,BD!$A$3:$A$5001,"&gt;="&amp;$C$7,BD!$A$3:$A$5001,"&lt;="&amp;$B194,BD!$W$3:$W$5001,"&lt;&gt;")=0,"",SUMIFS(BD!$W$3:$W$5001,BD!$B$3:$B$5001,K$175,BD!$A$3:$A$5001,_xlfn.MAXIFS(BD!$A$3:$A$5001,BD!$B$3:$B$5001,K$175,BD!$A$3:$A$5001,"&gt;="&amp;$C$7,BD!$A$3:$A$5001,"&lt;="&amp;$B194,BD!$W$3:$W$5001,"&lt;&gt;"))))</f>
        <v/>
      </c>
      <c r="L194" s="54" t="str">
        <f>IF(OR($B194="",$A194&gt;$B$9,L$175=""),"",IF(COUNTIFS(BD!$B$3:$B$5001,L$175,BD!$A$3:$A$5001,"&gt;="&amp;$C$7,BD!$A$3:$A$5001,"&lt;="&amp;$B194,BD!$W$3:$W$5001,"&lt;&gt;")=0,"",SUMIFS(BD!$W$3:$W$5001,BD!$B$3:$B$5001,L$175,BD!$A$3:$A$5001,_xlfn.MAXIFS(BD!$A$3:$A$5001,BD!$B$3:$B$5001,L$175,BD!$A$3:$A$5001,"&gt;="&amp;$C$7,BD!$A$3:$A$5001,"&lt;="&amp;$B194,BD!$W$3:$W$5001,"&lt;&gt;"))))</f>
        <v/>
      </c>
      <c r="M194" s="54" t="str">
        <f>IF(OR($B194="",$A194&gt;$B$9,M$175=""),"",IF(COUNTIFS(BD!$B$3:$B$5001,M$175,BD!$A$3:$A$5001,"&gt;="&amp;$C$7,BD!$A$3:$A$5001,"&lt;="&amp;$B194,BD!$W$3:$W$5001,"&lt;&gt;")=0,"",SUMIFS(BD!$W$3:$W$5001,BD!$B$3:$B$5001,M$175,BD!$A$3:$A$5001,_xlfn.MAXIFS(BD!$A$3:$A$5001,BD!$B$3:$B$5001,M$175,BD!$A$3:$A$5001,"&gt;="&amp;$C$7,BD!$A$3:$A$5001,"&lt;="&amp;$B194,BD!$W$3:$W$5001,"&lt;&gt;"))))</f>
        <v/>
      </c>
      <c r="N194" s="54" t="str">
        <f>IF(OR($B194="",$A194&gt;$B$9,N$175=""),"",IF(COUNTIFS(BD!$B$3:$B$5001,N$175,BD!$A$3:$A$5001,"&gt;="&amp;$C$7,BD!$A$3:$A$5001,"&lt;="&amp;$B194,BD!$W$3:$W$5001,"&lt;&gt;")=0,"",SUMIFS(BD!$W$3:$W$5001,BD!$B$3:$B$5001,N$175,BD!$A$3:$A$5001,_xlfn.MAXIFS(BD!$A$3:$A$5001,BD!$B$3:$B$5001,N$175,BD!$A$3:$A$5001,"&gt;="&amp;$C$7,BD!$A$3:$A$5001,"&lt;="&amp;$B194,BD!$W$3:$W$5001,"&lt;&gt;"))))</f>
        <v/>
      </c>
      <c r="O194" s="54" t="str">
        <f>IF(OR($B194="",$A194&gt;$B$9,O$175=""),"",IF(COUNTIFS(BD!$B$3:$B$5001,O$175,BD!$A$3:$A$5001,"&gt;="&amp;$C$7,BD!$A$3:$A$5001,"&lt;="&amp;$B194,BD!$W$3:$W$5001,"&lt;&gt;")=0,"",SUMIFS(BD!$W$3:$W$5001,BD!$B$3:$B$5001,O$175,BD!$A$3:$A$5001,_xlfn.MAXIFS(BD!$A$3:$A$5001,BD!$B$3:$B$5001,O$175,BD!$A$3:$A$5001,"&gt;="&amp;$C$7,BD!$A$3:$A$5001,"&lt;="&amp;$B194,BD!$W$3:$W$5001,"&lt;&gt;"))))</f>
        <v/>
      </c>
      <c r="P194" s="54" t="str">
        <f>IF(OR($B194="",$A194&gt;$B$9,P$175=""),"",IF(COUNTIFS(BD!$B$3:$B$5001,P$175,BD!$A$3:$A$5001,"&gt;="&amp;$C$7,BD!$A$3:$A$5001,"&lt;="&amp;$B194,BD!$W$3:$W$5001,"&lt;&gt;")=0,"",SUMIFS(BD!$W$3:$W$5001,BD!$B$3:$B$5001,P$175,BD!$A$3:$A$5001,_xlfn.MAXIFS(BD!$A$3:$A$5001,BD!$B$3:$B$5001,P$175,BD!$A$3:$A$5001,"&gt;="&amp;$C$7,BD!$A$3:$A$5001,"&lt;="&amp;$B194,BD!$W$3:$W$5001,"&lt;&gt;"))))</f>
        <v/>
      </c>
      <c r="Q194" s="54" t="str">
        <f>IF(OR($B194="",$A194&gt;$B$9,Q$175=""),"",IF(COUNTIFS(BD!$B$3:$B$5001,Q$175,BD!$A$3:$A$5001,"&gt;="&amp;$C$7,BD!$A$3:$A$5001,"&lt;="&amp;$B194,BD!$W$3:$W$5001,"&lt;&gt;")=0,"",SUMIFS(BD!$W$3:$W$5001,BD!$B$3:$B$5001,Q$175,BD!$A$3:$A$5001,_xlfn.MAXIFS(BD!$A$3:$A$5001,BD!$B$3:$B$5001,Q$175,BD!$A$3:$A$5001,"&gt;="&amp;$C$7,BD!$A$3:$A$5001,"&lt;="&amp;$B194,BD!$W$3:$W$5001,"&lt;&gt;"))))</f>
        <v/>
      </c>
      <c r="R194" s="54" t="str">
        <f>IF(OR($B194="",$A194&gt;$B$9,R$175=""),"",IF(COUNTIFS(BD!$B$3:$B$5001,R$175,BD!$A$3:$A$5001,"&gt;="&amp;$C$7,BD!$A$3:$A$5001,"&lt;="&amp;$B194,BD!$W$3:$W$5001,"&lt;&gt;")=0,"",SUMIFS(BD!$W$3:$W$5001,BD!$B$3:$B$5001,R$175,BD!$A$3:$A$5001,_xlfn.MAXIFS(BD!$A$3:$A$5001,BD!$B$3:$B$5001,R$175,BD!$A$3:$A$5001,"&gt;="&amp;$C$7,BD!$A$3:$A$5001,"&lt;="&amp;$B194,BD!$W$3:$W$5001,"&lt;&gt;"))))</f>
        <v/>
      </c>
      <c r="S194" s="54" t="str">
        <f>IF(OR($B194="",$A194&gt;$B$9,S$175=""),"",IF(COUNTIFS(BD!$B$3:$B$5001,S$175,BD!$A$3:$A$5001,"&gt;="&amp;$C$7,BD!$A$3:$A$5001,"&lt;="&amp;$B194,BD!$W$3:$W$5001,"&lt;&gt;")=0,"",SUMIFS(BD!$W$3:$W$5001,BD!$B$3:$B$5001,S$175,BD!$A$3:$A$5001,_xlfn.MAXIFS(BD!$A$3:$A$5001,BD!$B$3:$B$5001,S$175,BD!$A$3:$A$5001,"&gt;="&amp;$C$7,BD!$A$3:$A$5001,"&lt;="&amp;$B194,BD!$W$3:$W$5001,"&lt;&gt;"))))</f>
        <v/>
      </c>
      <c r="T194" s="54" t="str">
        <f>IF(OR($B194="",$A194&gt;$B$9,T$175=""),"",IF(COUNTIFS(BD!$B$3:$B$5001,T$175,BD!$A$3:$A$5001,"&gt;="&amp;$C$7,BD!$A$3:$A$5001,"&lt;="&amp;$B194,BD!$W$3:$W$5001,"&lt;&gt;")=0,"",SUMIFS(BD!$W$3:$W$5001,BD!$B$3:$B$5001,T$175,BD!$A$3:$A$5001,_xlfn.MAXIFS(BD!$A$3:$A$5001,BD!$B$3:$B$5001,T$175,BD!$A$3:$A$5001,"&gt;="&amp;$C$7,BD!$A$3:$A$5001,"&lt;="&amp;$B194,BD!$W$3:$W$5001,"&lt;&gt;"))))</f>
        <v/>
      </c>
      <c r="U194" s="54" t="str">
        <f>IF(OR($B194="",$A194&gt;$B$9,U$175=""),"",IF(COUNTIFS(BD!$B$3:$B$5001,U$175,BD!$A$3:$A$5001,"&gt;="&amp;$C$7,BD!$A$3:$A$5001,"&lt;="&amp;$B194,BD!$W$3:$W$5001,"&lt;&gt;")=0,"",SUMIFS(BD!$W$3:$W$5001,BD!$B$3:$B$5001,U$175,BD!$A$3:$A$5001,_xlfn.MAXIFS(BD!$A$3:$A$5001,BD!$B$3:$B$5001,U$175,BD!$A$3:$A$5001,"&gt;="&amp;$C$7,BD!$A$3:$A$5001,"&lt;="&amp;$B194,BD!$W$3:$W$5001,"&lt;&gt;"))))</f>
        <v/>
      </c>
      <c r="V194" s="54" t="str">
        <f>IF(OR($B194="",$A194&gt;$B$9,V$175=""),"",IF(COUNTIFS(BD!$B$3:$B$5001,V$175,BD!$A$3:$A$5001,"&gt;="&amp;$C$7,BD!$A$3:$A$5001,"&lt;="&amp;$B194,BD!$W$3:$W$5001,"&lt;&gt;")=0,"",SUMIFS(BD!$W$3:$W$5001,BD!$B$3:$B$5001,V$175,BD!$A$3:$A$5001,_xlfn.MAXIFS(BD!$A$3:$A$5001,BD!$B$3:$B$5001,V$175,BD!$A$3:$A$5001,"&gt;="&amp;$C$7,BD!$A$3:$A$5001,"&lt;="&amp;$B194,BD!$W$3:$W$5001,"&lt;&gt;"))))</f>
        <v/>
      </c>
    </row>
    <row r="195">
      <c r="A195" s="48">
        <v>20</v>
      </c>
      <c r="B195" s="53">
        <f>$B$31</f>
        <v>46315</v>
      </c>
      <c r="C195" s="54" t="str">
        <f>IF(OR($B195="",$A195&gt;$B$9,C$175=""),"",IF(COUNTIFS(BD!$B$3:$B$5001,C$175,BD!$A$3:$A$5001,"&gt;="&amp;$C$7,BD!$A$3:$A$5001,"&lt;="&amp;$B195,BD!$W$3:$W$5001,"&lt;&gt;")=0,"",SUMIFS(BD!$W$3:$W$5001,BD!$B$3:$B$5001,C$175,BD!$A$3:$A$5001,_xlfn.MAXIFS(BD!$A$3:$A$5001,BD!$B$3:$B$5001,C$175,BD!$A$3:$A$5001,"&gt;="&amp;$C$7,BD!$A$3:$A$5001,"&lt;="&amp;$B195,BD!$W$3:$W$5001,"&lt;&gt;"))))</f>
        <v/>
      </c>
      <c r="D195" s="54" t="str">
        <f>IF(OR($B195="",$A195&gt;$B$9,D$175=""),"",IF(COUNTIFS(BD!$B$3:$B$5001,D$175,BD!$A$3:$A$5001,"&gt;="&amp;$C$7,BD!$A$3:$A$5001,"&lt;="&amp;$B195,BD!$W$3:$W$5001,"&lt;&gt;")=0,"",SUMIFS(BD!$W$3:$W$5001,BD!$B$3:$B$5001,D$175,BD!$A$3:$A$5001,_xlfn.MAXIFS(BD!$A$3:$A$5001,BD!$B$3:$B$5001,D$175,BD!$A$3:$A$5001,"&gt;="&amp;$C$7,BD!$A$3:$A$5001,"&lt;="&amp;$B195,BD!$W$3:$W$5001,"&lt;&gt;"))))</f>
        <v/>
      </c>
      <c r="E195" s="54" t="str">
        <f>IF(OR($B195="",$A195&gt;$B$9,E$175=""),"",IF(COUNTIFS(BD!$B$3:$B$5001,E$175,BD!$A$3:$A$5001,"&gt;="&amp;$C$7,BD!$A$3:$A$5001,"&lt;="&amp;$B195,BD!$W$3:$W$5001,"&lt;&gt;")=0,"",SUMIFS(BD!$W$3:$W$5001,BD!$B$3:$B$5001,E$175,BD!$A$3:$A$5001,_xlfn.MAXIFS(BD!$A$3:$A$5001,BD!$B$3:$B$5001,E$175,BD!$A$3:$A$5001,"&gt;="&amp;$C$7,BD!$A$3:$A$5001,"&lt;="&amp;$B195,BD!$W$3:$W$5001,"&lt;&gt;"))))</f>
        <v/>
      </c>
      <c r="F195" s="54" t="str">
        <f>IF(OR($B195="",$A195&gt;$B$9,F$175=""),"",IF(COUNTIFS(BD!$B$3:$B$5001,F$175,BD!$A$3:$A$5001,"&gt;="&amp;$C$7,BD!$A$3:$A$5001,"&lt;="&amp;$B195,BD!$W$3:$W$5001,"&lt;&gt;")=0,"",SUMIFS(BD!$W$3:$W$5001,BD!$B$3:$B$5001,F$175,BD!$A$3:$A$5001,_xlfn.MAXIFS(BD!$A$3:$A$5001,BD!$B$3:$B$5001,F$175,BD!$A$3:$A$5001,"&gt;="&amp;$C$7,BD!$A$3:$A$5001,"&lt;="&amp;$B195,BD!$W$3:$W$5001,"&lt;&gt;"))))</f>
        <v/>
      </c>
      <c r="G195" s="54" t="str">
        <f>IF(OR($B195="",$A195&gt;$B$9,G$175=""),"",IF(COUNTIFS(BD!$B$3:$B$5001,G$175,BD!$A$3:$A$5001,"&gt;="&amp;$C$7,BD!$A$3:$A$5001,"&lt;="&amp;$B195,BD!$W$3:$W$5001,"&lt;&gt;")=0,"",SUMIFS(BD!$W$3:$W$5001,BD!$B$3:$B$5001,G$175,BD!$A$3:$A$5001,_xlfn.MAXIFS(BD!$A$3:$A$5001,BD!$B$3:$B$5001,G$175,BD!$A$3:$A$5001,"&gt;="&amp;$C$7,BD!$A$3:$A$5001,"&lt;="&amp;$B195,BD!$W$3:$W$5001,"&lt;&gt;"))))</f>
        <v/>
      </c>
      <c r="H195" s="54" t="str">
        <f>IF(OR($B195="",$A195&gt;$B$9,H$175=""),"",IF(COUNTIFS(BD!$B$3:$B$5001,H$175,BD!$A$3:$A$5001,"&gt;="&amp;$C$7,BD!$A$3:$A$5001,"&lt;="&amp;$B195,BD!$W$3:$W$5001,"&lt;&gt;")=0,"",SUMIFS(BD!$W$3:$W$5001,BD!$B$3:$B$5001,H$175,BD!$A$3:$A$5001,_xlfn.MAXIFS(BD!$A$3:$A$5001,BD!$B$3:$B$5001,H$175,BD!$A$3:$A$5001,"&gt;="&amp;$C$7,BD!$A$3:$A$5001,"&lt;="&amp;$B195,BD!$W$3:$W$5001,"&lt;&gt;"))))</f>
        <v/>
      </c>
      <c r="I195" s="54" t="str">
        <f>IF(OR($B195="",$A195&gt;$B$9,I$175=""),"",IF(COUNTIFS(BD!$B$3:$B$5001,I$175,BD!$A$3:$A$5001,"&gt;="&amp;$C$7,BD!$A$3:$A$5001,"&lt;="&amp;$B195,BD!$W$3:$W$5001,"&lt;&gt;")=0,"",SUMIFS(BD!$W$3:$W$5001,BD!$B$3:$B$5001,I$175,BD!$A$3:$A$5001,_xlfn.MAXIFS(BD!$A$3:$A$5001,BD!$B$3:$B$5001,I$175,BD!$A$3:$A$5001,"&gt;="&amp;$C$7,BD!$A$3:$A$5001,"&lt;="&amp;$B195,BD!$W$3:$W$5001,"&lt;&gt;"))))</f>
        <v/>
      </c>
      <c r="J195" s="54" t="str">
        <f>IF(OR($B195="",$A195&gt;$B$9,J$175=""),"",IF(COUNTIFS(BD!$B$3:$B$5001,J$175,BD!$A$3:$A$5001,"&gt;="&amp;$C$7,BD!$A$3:$A$5001,"&lt;="&amp;$B195,BD!$W$3:$W$5001,"&lt;&gt;")=0,"",SUMIFS(BD!$W$3:$W$5001,BD!$B$3:$B$5001,J$175,BD!$A$3:$A$5001,_xlfn.MAXIFS(BD!$A$3:$A$5001,BD!$B$3:$B$5001,J$175,BD!$A$3:$A$5001,"&gt;="&amp;$C$7,BD!$A$3:$A$5001,"&lt;="&amp;$B195,BD!$W$3:$W$5001,"&lt;&gt;"))))</f>
        <v/>
      </c>
      <c r="K195" s="54" t="str">
        <f>IF(OR($B195="",$A195&gt;$B$9,K$175=""),"",IF(COUNTIFS(BD!$B$3:$B$5001,K$175,BD!$A$3:$A$5001,"&gt;="&amp;$C$7,BD!$A$3:$A$5001,"&lt;="&amp;$B195,BD!$W$3:$W$5001,"&lt;&gt;")=0,"",SUMIFS(BD!$W$3:$W$5001,BD!$B$3:$B$5001,K$175,BD!$A$3:$A$5001,_xlfn.MAXIFS(BD!$A$3:$A$5001,BD!$B$3:$B$5001,K$175,BD!$A$3:$A$5001,"&gt;="&amp;$C$7,BD!$A$3:$A$5001,"&lt;="&amp;$B195,BD!$W$3:$W$5001,"&lt;&gt;"))))</f>
        <v/>
      </c>
      <c r="L195" s="54" t="str">
        <f>IF(OR($B195="",$A195&gt;$B$9,L$175=""),"",IF(COUNTIFS(BD!$B$3:$B$5001,L$175,BD!$A$3:$A$5001,"&gt;="&amp;$C$7,BD!$A$3:$A$5001,"&lt;="&amp;$B195,BD!$W$3:$W$5001,"&lt;&gt;")=0,"",SUMIFS(BD!$W$3:$W$5001,BD!$B$3:$B$5001,L$175,BD!$A$3:$A$5001,_xlfn.MAXIFS(BD!$A$3:$A$5001,BD!$B$3:$B$5001,L$175,BD!$A$3:$A$5001,"&gt;="&amp;$C$7,BD!$A$3:$A$5001,"&lt;="&amp;$B195,BD!$W$3:$W$5001,"&lt;&gt;"))))</f>
        <v/>
      </c>
      <c r="M195" s="54" t="str">
        <f>IF(OR($B195="",$A195&gt;$B$9,M$175=""),"",IF(COUNTIFS(BD!$B$3:$B$5001,M$175,BD!$A$3:$A$5001,"&gt;="&amp;$C$7,BD!$A$3:$A$5001,"&lt;="&amp;$B195,BD!$W$3:$W$5001,"&lt;&gt;")=0,"",SUMIFS(BD!$W$3:$W$5001,BD!$B$3:$B$5001,M$175,BD!$A$3:$A$5001,_xlfn.MAXIFS(BD!$A$3:$A$5001,BD!$B$3:$B$5001,M$175,BD!$A$3:$A$5001,"&gt;="&amp;$C$7,BD!$A$3:$A$5001,"&lt;="&amp;$B195,BD!$W$3:$W$5001,"&lt;&gt;"))))</f>
        <v/>
      </c>
      <c r="N195" s="54" t="str">
        <f>IF(OR($B195="",$A195&gt;$B$9,N$175=""),"",IF(COUNTIFS(BD!$B$3:$B$5001,N$175,BD!$A$3:$A$5001,"&gt;="&amp;$C$7,BD!$A$3:$A$5001,"&lt;="&amp;$B195,BD!$W$3:$W$5001,"&lt;&gt;")=0,"",SUMIFS(BD!$W$3:$W$5001,BD!$B$3:$B$5001,N$175,BD!$A$3:$A$5001,_xlfn.MAXIFS(BD!$A$3:$A$5001,BD!$B$3:$B$5001,N$175,BD!$A$3:$A$5001,"&gt;="&amp;$C$7,BD!$A$3:$A$5001,"&lt;="&amp;$B195,BD!$W$3:$W$5001,"&lt;&gt;"))))</f>
        <v/>
      </c>
      <c r="O195" s="54" t="str">
        <f>IF(OR($B195="",$A195&gt;$B$9,O$175=""),"",IF(COUNTIFS(BD!$B$3:$B$5001,O$175,BD!$A$3:$A$5001,"&gt;="&amp;$C$7,BD!$A$3:$A$5001,"&lt;="&amp;$B195,BD!$W$3:$W$5001,"&lt;&gt;")=0,"",SUMIFS(BD!$W$3:$W$5001,BD!$B$3:$B$5001,O$175,BD!$A$3:$A$5001,_xlfn.MAXIFS(BD!$A$3:$A$5001,BD!$B$3:$B$5001,O$175,BD!$A$3:$A$5001,"&gt;="&amp;$C$7,BD!$A$3:$A$5001,"&lt;="&amp;$B195,BD!$W$3:$W$5001,"&lt;&gt;"))))</f>
        <v/>
      </c>
      <c r="P195" s="54" t="str">
        <f>IF(OR($B195="",$A195&gt;$B$9,P$175=""),"",IF(COUNTIFS(BD!$B$3:$B$5001,P$175,BD!$A$3:$A$5001,"&gt;="&amp;$C$7,BD!$A$3:$A$5001,"&lt;="&amp;$B195,BD!$W$3:$W$5001,"&lt;&gt;")=0,"",SUMIFS(BD!$W$3:$W$5001,BD!$B$3:$B$5001,P$175,BD!$A$3:$A$5001,_xlfn.MAXIFS(BD!$A$3:$A$5001,BD!$B$3:$B$5001,P$175,BD!$A$3:$A$5001,"&gt;="&amp;$C$7,BD!$A$3:$A$5001,"&lt;="&amp;$B195,BD!$W$3:$W$5001,"&lt;&gt;"))))</f>
        <v/>
      </c>
      <c r="Q195" s="54" t="str">
        <f>IF(OR($B195="",$A195&gt;$B$9,Q$175=""),"",IF(COUNTIFS(BD!$B$3:$B$5001,Q$175,BD!$A$3:$A$5001,"&gt;="&amp;$C$7,BD!$A$3:$A$5001,"&lt;="&amp;$B195,BD!$W$3:$W$5001,"&lt;&gt;")=0,"",SUMIFS(BD!$W$3:$W$5001,BD!$B$3:$B$5001,Q$175,BD!$A$3:$A$5001,_xlfn.MAXIFS(BD!$A$3:$A$5001,BD!$B$3:$B$5001,Q$175,BD!$A$3:$A$5001,"&gt;="&amp;$C$7,BD!$A$3:$A$5001,"&lt;="&amp;$B195,BD!$W$3:$W$5001,"&lt;&gt;"))))</f>
        <v/>
      </c>
      <c r="R195" s="54" t="str">
        <f>IF(OR($B195="",$A195&gt;$B$9,R$175=""),"",IF(COUNTIFS(BD!$B$3:$B$5001,R$175,BD!$A$3:$A$5001,"&gt;="&amp;$C$7,BD!$A$3:$A$5001,"&lt;="&amp;$B195,BD!$W$3:$W$5001,"&lt;&gt;")=0,"",SUMIFS(BD!$W$3:$W$5001,BD!$B$3:$B$5001,R$175,BD!$A$3:$A$5001,_xlfn.MAXIFS(BD!$A$3:$A$5001,BD!$B$3:$B$5001,R$175,BD!$A$3:$A$5001,"&gt;="&amp;$C$7,BD!$A$3:$A$5001,"&lt;="&amp;$B195,BD!$W$3:$W$5001,"&lt;&gt;"))))</f>
        <v/>
      </c>
      <c r="S195" s="54" t="str">
        <f>IF(OR($B195="",$A195&gt;$B$9,S$175=""),"",IF(COUNTIFS(BD!$B$3:$B$5001,S$175,BD!$A$3:$A$5001,"&gt;="&amp;$C$7,BD!$A$3:$A$5001,"&lt;="&amp;$B195,BD!$W$3:$W$5001,"&lt;&gt;")=0,"",SUMIFS(BD!$W$3:$W$5001,BD!$B$3:$B$5001,S$175,BD!$A$3:$A$5001,_xlfn.MAXIFS(BD!$A$3:$A$5001,BD!$B$3:$B$5001,S$175,BD!$A$3:$A$5001,"&gt;="&amp;$C$7,BD!$A$3:$A$5001,"&lt;="&amp;$B195,BD!$W$3:$W$5001,"&lt;&gt;"))))</f>
        <v/>
      </c>
      <c r="T195" s="54" t="str">
        <f>IF(OR($B195="",$A195&gt;$B$9,T$175=""),"",IF(COUNTIFS(BD!$B$3:$B$5001,T$175,BD!$A$3:$A$5001,"&gt;="&amp;$C$7,BD!$A$3:$A$5001,"&lt;="&amp;$B195,BD!$W$3:$W$5001,"&lt;&gt;")=0,"",SUMIFS(BD!$W$3:$W$5001,BD!$B$3:$B$5001,T$175,BD!$A$3:$A$5001,_xlfn.MAXIFS(BD!$A$3:$A$5001,BD!$B$3:$B$5001,T$175,BD!$A$3:$A$5001,"&gt;="&amp;$C$7,BD!$A$3:$A$5001,"&lt;="&amp;$B195,BD!$W$3:$W$5001,"&lt;&gt;"))))</f>
        <v/>
      </c>
      <c r="U195" s="54" t="str">
        <f>IF(OR($B195="",$A195&gt;$B$9,U$175=""),"",IF(COUNTIFS(BD!$B$3:$B$5001,U$175,BD!$A$3:$A$5001,"&gt;="&amp;$C$7,BD!$A$3:$A$5001,"&lt;="&amp;$B195,BD!$W$3:$W$5001,"&lt;&gt;")=0,"",SUMIFS(BD!$W$3:$W$5001,BD!$B$3:$B$5001,U$175,BD!$A$3:$A$5001,_xlfn.MAXIFS(BD!$A$3:$A$5001,BD!$B$3:$B$5001,U$175,BD!$A$3:$A$5001,"&gt;="&amp;$C$7,BD!$A$3:$A$5001,"&lt;="&amp;$B195,BD!$W$3:$W$5001,"&lt;&gt;"))))</f>
        <v/>
      </c>
      <c r="V195" s="54" t="str">
        <f>IF(OR($B195="",$A195&gt;$B$9,V$175=""),"",IF(COUNTIFS(BD!$B$3:$B$5001,V$175,BD!$A$3:$A$5001,"&gt;="&amp;$C$7,BD!$A$3:$A$5001,"&lt;="&amp;$B195,BD!$W$3:$W$5001,"&lt;&gt;")=0,"",SUMIFS(BD!$W$3:$W$5001,BD!$B$3:$B$5001,V$175,BD!$A$3:$A$5001,_xlfn.MAXIFS(BD!$A$3:$A$5001,BD!$B$3:$B$5001,V$175,BD!$A$3:$A$5001,"&gt;="&amp;$C$7,BD!$A$3:$A$5001,"&lt;="&amp;$B195,BD!$W$3:$W$5001,"&lt;&gt;"))))</f>
        <v/>
      </c>
    </row>
    <row r="196">
      <c r="A196" s="48">
        <v>21</v>
      </c>
      <c r="B196" s="53">
        <f>$B$32</f>
        <v>46316</v>
      </c>
      <c r="C196" s="54" t="str">
        <f>IF(OR($B196="",$A196&gt;$B$9,C$175=""),"",IF(COUNTIFS(BD!$B$3:$B$5001,C$175,BD!$A$3:$A$5001,"&gt;="&amp;$C$7,BD!$A$3:$A$5001,"&lt;="&amp;$B196,BD!$W$3:$W$5001,"&lt;&gt;")=0,"",SUMIFS(BD!$W$3:$W$5001,BD!$B$3:$B$5001,C$175,BD!$A$3:$A$5001,_xlfn.MAXIFS(BD!$A$3:$A$5001,BD!$B$3:$B$5001,C$175,BD!$A$3:$A$5001,"&gt;="&amp;$C$7,BD!$A$3:$A$5001,"&lt;="&amp;$B196,BD!$W$3:$W$5001,"&lt;&gt;"))))</f>
        <v/>
      </c>
      <c r="D196" s="54" t="str">
        <f>IF(OR($B196="",$A196&gt;$B$9,D$175=""),"",IF(COUNTIFS(BD!$B$3:$B$5001,D$175,BD!$A$3:$A$5001,"&gt;="&amp;$C$7,BD!$A$3:$A$5001,"&lt;="&amp;$B196,BD!$W$3:$W$5001,"&lt;&gt;")=0,"",SUMIFS(BD!$W$3:$W$5001,BD!$B$3:$B$5001,D$175,BD!$A$3:$A$5001,_xlfn.MAXIFS(BD!$A$3:$A$5001,BD!$B$3:$B$5001,D$175,BD!$A$3:$A$5001,"&gt;="&amp;$C$7,BD!$A$3:$A$5001,"&lt;="&amp;$B196,BD!$W$3:$W$5001,"&lt;&gt;"))))</f>
        <v/>
      </c>
      <c r="E196" s="54" t="str">
        <f>IF(OR($B196="",$A196&gt;$B$9,E$175=""),"",IF(COUNTIFS(BD!$B$3:$B$5001,E$175,BD!$A$3:$A$5001,"&gt;="&amp;$C$7,BD!$A$3:$A$5001,"&lt;="&amp;$B196,BD!$W$3:$W$5001,"&lt;&gt;")=0,"",SUMIFS(BD!$W$3:$W$5001,BD!$B$3:$B$5001,E$175,BD!$A$3:$A$5001,_xlfn.MAXIFS(BD!$A$3:$A$5001,BD!$B$3:$B$5001,E$175,BD!$A$3:$A$5001,"&gt;="&amp;$C$7,BD!$A$3:$A$5001,"&lt;="&amp;$B196,BD!$W$3:$W$5001,"&lt;&gt;"))))</f>
        <v/>
      </c>
      <c r="F196" s="54" t="str">
        <f>IF(OR($B196="",$A196&gt;$B$9,F$175=""),"",IF(COUNTIFS(BD!$B$3:$B$5001,F$175,BD!$A$3:$A$5001,"&gt;="&amp;$C$7,BD!$A$3:$A$5001,"&lt;="&amp;$B196,BD!$W$3:$W$5001,"&lt;&gt;")=0,"",SUMIFS(BD!$W$3:$W$5001,BD!$B$3:$B$5001,F$175,BD!$A$3:$A$5001,_xlfn.MAXIFS(BD!$A$3:$A$5001,BD!$B$3:$B$5001,F$175,BD!$A$3:$A$5001,"&gt;="&amp;$C$7,BD!$A$3:$A$5001,"&lt;="&amp;$B196,BD!$W$3:$W$5001,"&lt;&gt;"))))</f>
        <v/>
      </c>
      <c r="G196" s="54" t="str">
        <f>IF(OR($B196="",$A196&gt;$B$9,G$175=""),"",IF(COUNTIFS(BD!$B$3:$B$5001,G$175,BD!$A$3:$A$5001,"&gt;="&amp;$C$7,BD!$A$3:$A$5001,"&lt;="&amp;$B196,BD!$W$3:$W$5001,"&lt;&gt;")=0,"",SUMIFS(BD!$W$3:$W$5001,BD!$B$3:$B$5001,G$175,BD!$A$3:$A$5001,_xlfn.MAXIFS(BD!$A$3:$A$5001,BD!$B$3:$B$5001,G$175,BD!$A$3:$A$5001,"&gt;="&amp;$C$7,BD!$A$3:$A$5001,"&lt;="&amp;$B196,BD!$W$3:$W$5001,"&lt;&gt;"))))</f>
        <v/>
      </c>
      <c r="H196" s="54" t="str">
        <f>IF(OR($B196="",$A196&gt;$B$9,H$175=""),"",IF(COUNTIFS(BD!$B$3:$B$5001,H$175,BD!$A$3:$A$5001,"&gt;="&amp;$C$7,BD!$A$3:$A$5001,"&lt;="&amp;$B196,BD!$W$3:$W$5001,"&lt;&gt;")=0,"",SUMIFS(BD!$W$3:$W$5001,BD!$B$3:$B$5001,H$175,BD!$A$3:$A$5001,_xlfn.MAXIFS(BD!$A$3:$A$5001,BD!$B$3:$B$5001,H$175,BD!$A$3:$A$5001,"&gt;="&amp;$C$7,BD!$A$3:$A$5001,"&lt;="&amp;$B196,BD!$W$3:$W$5001,"&lt;&gt;"))))</f>
        <v/>
      </c>
      <c r="I196" s="54" t="str">
        <f>IF(OR($B196="",$A196&gt;$B$9,I$175=""),"",IF(COUNTIFS(BD!$B$3:$B$5001,I$175,BD!$A$3:$A$5001,"&gt;="&amp;$C$7,BD!$A$3:$A$5001,"&lt;="&amp;$B196,BD!$W$3:$W$5001,"&lt;&gt;")=0,"",SUMIFS(BD!$W$3:$W$5001,BD!$B$3:$B$5001,I$175,BD!$A$3:$A$5001,_xlfn.MAXIFS(BD!$A$3:$A$5001,BD!$B$3:$B$5001,I$175,BD!$A$3:$A$5001,"&gt;="&amp;$C$7,BD!$A$3:$A$5001,"&lt;="&amp;$B196,BD!$W$3:$W$5001,"&lt;&gt;"))))</f>
        <v/>
      </c>
      <c r="J196" s="54" t="str">
        <f>IF(OR($B196="",$A196&gt;$B$9,J$175=""),"",IF(COUNTIFS(BD!$B$3:$B$5001,J$175,BD!$A$3:$A$5001,"&gt;="&amp;$C$7,BD!$A$3:$A$5001,"&lt;="&amp;$B196,BD!$W$3:$W$5001,"&lt;&gt;")=0,"",SUMIFS(BD!$W$3:$W$5001,BD!$B$3:$B$5001,J$175,BD!$A$3:$A$5001,_xlfn.MAXIFS(BD!$A$3:$A$5001,BD!$B$3:$B$5001,J$175,BD!$A$3:$A$5001,"&gt;="&amp;$C$7,BD!$A$3:$A$5001,"&lt;="&amp;$B196,BD!$W$3:$W$5001,"&lt;&gt;"))))</f>
        <v/>
      </c>
      <c r="K196" s="54" t="str">
        <f>IF(OR($B196="",$A196&gt;$B$9,K$175=""),"",IF(COUNTIFS(BD!$B$3:$B$5001,K$175,BD!$A$3:$A$5001,"&gt;="&amp;$C$7,BD!$A$3:$A$5001,"&lt;="&amp;$B196,BD!$W$3:$W$5001,"&lt;&gt;")=0,"",SUMIFS(BD!$W$3:$W$5001,BD!$B$3:$B$5001,K$175,BD!$A$3:$A$5001,_xlfn.MAXIFS(BD!$A$3:$A$5001,BD!$B$3:$B$5001,K$175,BD!$A$3:$A$5001,"&gt;="&amp;$C$7,BD!$A$3:$A$5001,"&lt;="&amp;$B196,BD!$W$3:$W$5001,"&lt;&gt;"))))</f>
        <v/>
      </c>
      <c r="L196" s="54" t="str">
        <f>IF(OR($B196="",$A196&gt;$B$9,L$175=""),"",IF(COUNTIFS(BD!$B$3:$B$5001,L$175,BD!$A$3:$A$5001,"&gt;="&amp;$C$7,BD!$A$3:$A$5001,"&lt;="&amp;$B196,BD!$W$3:$W$5001,"&lt;&gt;")=0,"",SUMIFS(BD!$W$3:$W$5001,BD!$B$3:$B$5001,L$175,BD!$A$3:$A$5001,_xlfn.MAXIFS(BD!$A$3:$A$5001,BD!$B$3:$B$5001,L$175,BD!$A$3:$A$5001,"&gt;="&amp;$C$7,BD!$A$3:$A$5001,"&lt;="&amp;$B196,BD!$W$3:$W$5001,"&lt;&gt;"))))</f>
        <v/>
      </c>
      <c r="M196" s="54" t="str">
        <f>IF(OR($B196="",$A196&gt;$B$9,M$175=""),"",IF(COUNTIFS(BD!$B$3:$B$5001,M$175,BD!$A$3:$A$5001,"&gt;="&amp;$C$7,BD!$A$3:$A$5001,"&lt;="&amp;$B196,BD!$W$3:$W$5001,"&lt;&gt;")=0,"",SUMIFS(BD!$W$3:$W$5001,BD!$B$3:$B$5001,M$175,BD!$A$3:$A$5001,_xlfn.MAXIFS(BD!$A$3:$A$5001,BD!$B$3:$B$5001,M$175,BD!$A$3:$A$5001,"&gt;="&amp;$C$7,BD!$A$3:$A$5001,"&lt;="&amp;$B196,BD!$W$3:$W$5001,"&lt;&gt;"))))</f>
        <v/>
      </c>
      <c r="N196" s="54" t="str">
        <f>IF(OR($B196="",$A196&gt;$B$9,N$175=""),"",IF(COUNTIFS(BD!$B$3:$B$5001,N$175,BD!$A$3:$A$5001,"&gt;="&amp;$C$7,BD!$A$3:$A$5001,"&lt;="&amp;$B196,BD!$W$3:$W$5001,"&lt;&gt;")=0,"",SUMIFS(BD!$W$3:$W$5001,BD!$B$3:$B$5001,N$175,BD!$A$3:$A$5001,_xlfn.MAXIFS(BD!$A$3:$A$5001,BD!$B$3:$B$5001,N$175,BD!$A$3:$A$5001,"&gt;="&amp;$C$7,BD!$A$3:$A$5001,"&lt;="&amp;$B196,BD!$W$3:$W$5001,"&lt;&gt;"))))</f>
        <v/>
      </c>
      <c r="O196" s="54" t="str">
        <f>IF(OR($B196="",$A196&gt;$B$9,O$175=""),"",IF(COUNTIFS(BD!$B$3:$B$5001,O$175,BD!$A$3:$A$5001,"&gt;="&amp;$C$7,BD!$A$3:$A$5001,"&lt;="&amp;$B196,BD!$W$3:$W$5001,"&lt;&gt;")=0,"",SUMIFS(BD!$W$3:$W$5001,BD!$B$3:$B$5001,O$175,BD!$A$3:$A$5001,_xlfn.MAXIFS(BD!$A$3:$A$5001,BD!$B$3:$B$5001,O$175,BD!$A$3:$A$5001,"&gt;="&amp;$C$7,BD!$A$3:$A$5001,"&lt;="&amp;$B196,BD!$W$3:$W$5001,"&lt;&gt;"))))</f>
        <v/>
      </c>
      <c r="P196" s="54" t="str">
        <f>IF(OR($B196="",$A196&gt;$B$9,P$175=""),"",IF(COUNTIFS(BD!$B$3:$B$5001,P$175,BD!$A$3:$A$5001,"&gt;="&amp;$C$7,BD!$A$3:$A$5001,"&lt;="&amp;$B196,BD!$W$3:$W$5001,"&lt;&gt;")=0,"",SUMIFS(BD!$W$3:$W$5001,BD!$B$3:$B$5001,P$175,BD!$A$3:$A$5001,_xlfn.MAXIFS(BD!$A$3:$A$5001,BD!$B$3:$B$5001,P$175,BD!$A$3:$A$5001,"&gt;="&amp;$C$7,BD!$A$3:$A$5001,"&lt;="&amp;$B196,BD!$W$3:$W$5001,"&lt;&gt;"))))</f>
        <v/>
      </c>
      <c r="Q196" s="54" t="str">
        <f>IF(OR($B196="",$A196&gt;$B$9,Q$175=""),"",IF(COUNTIFS(BD!$B$3:$B$5001,Q$175,BD!$A$3:$A$5001,"&gt;="&amp;$C$7,BD!$A$3:$A$5001,"&lt;="&amp;$B196,BD!$W$3:$W$5001,"&lt;&gt;")=0,"",SUMIFS(BD!$W$3:$W$5001,BD!$B$3:$B$5001,Q$175,BD!$A$3:$A$5001,_xlfn.MAXIFS(BD!$A$3:$A$5001,BD!$B$3:$B$5001,Q$175,BD!$A$3:$A$5001,"&gt;="&amp;$C$7,BD!$A$3:$A$5001,"&lt;="&amp;$B196,BD!$W$3:$W$5001,"&lt;&gt;"))))</f>
        <v/>
      </c>
      <c r="R196" s="54" t="str">
        <f>IF(OR($B196="",$A196&gt;$B$9,R$175=""),"",IF(COUNTIFS(BD!$B$3:$B$5001,R$175,BD!$A$3:$A$5001,"&gt;="&amp;$C$7,BD!$A$3:$A$5001,"&lt;="&amp;$B196,BD!$W$3:$W$5001,"&lt;&gt;")=0,"",SUMIFS(BD!$W$3:$W$5001,BD!$B$3:$B$5001,R$175,BD!$A$3:$A$5001,_xlfn.MAXIFS(BD!$A$3:$A$5001,BD!$B$3:$B$5001,R$175,BD!$A$3:$A$5001,"&gt;="&amp;$C$7,BD!$A$3:$A$5001,"&lt;="&amp;$B196,BD!$W$3:$W$5001,"&lt;&gt;"))))</f>
        <v/>
      </c>
      <c r="S196" s="54" t="str">
        <f>IF(OR($B196="",$A196&gt;$B$9,S$175=""),"",IF(COUNTIFS(BD!$B$3:$B$5001,S$175,BD!$A$3:$A$5001,"&gt;="&amp;$C$7,BD!$A$3:$A$5001,"&lt;="&amp;$B196,BD!$W$3:$W$5001,"&lt;&gt;")=0,"",SUMIFS(BD!$W$3:$W$5001,BD!$B$3:$B$5001,S$175,BD!$A$3:$A$5001,_xlfn.MAXIFS(BD!$A$3:$A$5001,BD!$B$3:$B$5001,S$175,BD!$A$3:$A$5001,"&gt;="&amp;$C$7,BD!$A$3:$A$5001,"&lt;="&amp;$B196,BD!$W$3:$W$5001,"&lt;&gt;"))))</f>
        <v/>
      </c>
      <c r="T196" s="54" t="str">
        <f>IF(OR($B196="",$A196&gt;$B$9,T$175=""),"",IF(COUNTIFS(BD!$B$3:$B$5001,T$175,BD!$A$3:$A$5001,"&gt;="&amp;$C$7,BD!$A$3:$A$5001,"&lt;="&amp;$B196,BD!$W$3:$W$5001,"&lt;&gt;")=0,"",SUMIFS(BD!$W$3:$W$5001,BD!$B$3:$B$5001,T$175,BD!$A$3:$A$5001,_xlfn.MAXIFS(BD!$A$3:$A$5001,BD!$B$3:$B$5001,T$175,BD!$A$3:$A$5001,"&gt;="&amp;$C$7,BD!$A$3:$A$5001,"&lt;="&amp;$B196,BD!$W$3:$W$5001,"&lt;&gt;"))))</f>
        <v/>
      </c>
      <c r="U196" s="54" t="str">
        <f>IF(OR($B196="",$A196&gt;$B$9,U$175=""),"",IF(COUNTIFS(BD!$B$3:$B$5001,U$175,BD!$A$3:$A$5001,"&gt;="&amp;$C$7,BD!$A$3:$A$5001,"&lt;="&amp;$B196,BD!$W$3:$W$5001,"&lt;&gt;")=0,"",SUMIFS(BD!$W$3:$W$5001,BD!$B$3:$B$5001,U$175,BD!$A$3:$A$5001,_xlfn.MAXIFS(BD!$A$3:$A$5001,BD!$B$3:$B$5001,U$175,BD!$A$3:$A$5001,"&gt;="&amp;$C$7,BD!$A$3:$A$5001,"&lt;="&amp;$B196,BD!$W$3:$W$5001,"&lt;&gt;"))))</f>
        <v/>
      </c>
      <c r="V196" s="54" t="str">
        <f>IF(OR($B196="",$A196&gt;$B$9,V$175=""),"",IF(COUNTIFS(BD!$B$3:$B$5001,V$175,BD!$A$3:$A$5001,"&gt;="&amp;$C$7,BD!$A$3:$A$5001,"&lt;="&amp;$B196,BD!$W$3:$W$5001,"&lt;&gt;")=0,"",SUMIFS(BD!$W$3:$W$5001,BD!$B$3:$B$5001,V$175,BD!$A$3:$A$5001,_xlfn.MAXIFS(BD!$A$3:$A$5001,BD!$B$3:$B$5001,V$175,BD!$A$3:$A$5001,"&gt;="&amp;$C$7,BD!$A$3:$A$5001,"&lt;="&amp;$B196,BD!$W$3:$W$5001,"&lt;&gt;"))))</f>
        <v/>
      </c>
    </row>
    <row r="197">
      <c r="A197" s="48">
        <v>22</v>
      </c>
      <c r="B197" s="53">
        <f>$B$33</f>
        <v>46317</v>
      </c>
      <c r="C197" s="54" t="str">
        <f>IF(OR($B197="",$A197&gt;$B$9,C$175=""),"",IF(COUNTIFS(BD!$B$3:$B$5001,C$175,BD!$A$3:$A$5001,"&gt;="&amp;$C$7,BD!$A$3:$A$5001,"&lt;="&amp;$B197,BD!$W$3:$W$5001,"&lt;&gt;")=0,"",SUMIFS(BD!$W$3:$W$5001,BD!$B$3:$B$5001,C$175,BD!$A$3:$A$5001,_xlfn.MAXIFS(BD!$A$3:$A$5001,BD!$B$3:$B$5001,C$175,BD!$A$3:$A$5001,"&gt;="&amp;$C$7,BD!$A$3:$A$5001,"&lt;="&amp;$B197,BD!$W$3:$W$5001,"&lt;&gt;"))))</f>
        <v/>
      </c>
      <c r="D197" s="54" t="str">
        <f>IF(OR($B197="",$A197&gt;$B$9,D$175=""),"",IF(COUNTIFS(BD!$B$3:$B$5001,D$175,BD!$A$3:$A$5001,"&gt;="&amp;$C$7,BD!$A$3:$A$5001,"&lt;="&amp;$B197,BD!$W$3:$W$5001,"&lt;&gt;")=0,"",SUMIFS(BD!$W$3:$W$5001,BD!$B$3:$B$5001,D$175,BD!$A$3:$A$5001,_xlfn.MAXIFS(BD!$A$3:$A$5001,BD!$B$3:$B$5001,D$175,BD!$A$3:$A$5001,"&gt;="&amp;$C$7,BD!$A$3:$A$5001,"&lt;="&amp;$B197,BD!$W$3:$W$5001,"&lt;&gt;"))))</f>
        <v/>
      </c>
      <c r="E197" s="54" t="str">
        <f>IF(OR($B197="",$A197&gt;$B$9,E$175=""),"",IF(COUNTIFS(BD!$B$3:$B$5001,E$175,BD!$A$3:$A$5001,"&gt;="&amp;$C$7,BD!$A$3:$A$5001,"&lt;="&amp;$B197,BD!$W$3:$W$5001,"&lt;&gt;")=0,"",SUMIFS(BD!$W$3:$W$5001,BD!$B$3:$B$5001,E$175,BD!$A$3:$A$5001,_xlfn.MAXIFS(BD!$A$3:$A$5001,BD!$B$3:$B$5001,E$175,BD!$A$3:$A$5001,"&gt;="&amp;$C$7,BD!$A$3:$A$5001,"&lt;="&amp;$B197,BD!$W$3:$W$5001,"&lt;&gt;"))))</f>
        <v/>
      </c>
      <c r="F197" s="54" t="str">
        <f>IF(OR($B197="",$A197&gt;$B$9,F$175=""),"",IF(COUNTIFS(BD!$B$3:$B$5001,F$175,BD!$A$3:$A$5001,"&gt;="&amp;$C$7,BD!$A$3:$A$5001,"&lt;="&amp;$B197,BD!$W$3:$W$5001,"&lt;&gt;")=0,"",SUMIFS(BD!$W$3:$W$5001,BD!$B$3:$B$5001,F$175,BD!$A$3:$A$5001,_xlfn.MAXIFS(BD!$A$3:$A$5001,BD!$B$3:$B$5001,F$175,BD!$A$3:$A$5001,"&gt;="&amp;$C$7,BD!$A$3:$A$5001,"&lt;="&amp;$B197,BD!$W$3:$W$5001,"&lt;&gt;"))))</f>
        <v/>
      </c>
      <c r="G197" s="54" t="str">
        <f>IF(OR($B197="",$A197&gt;$B$9,G$175=""),"",IF(COUNTIFS(BD!$B$3:$B$5001,G$175,BD!$A$3:$A$5001,"&gt;="&amp;$C$7,BD!$A$3:$A$5001,"&lt;="&amp;$B197,BD!$W$3:$W$5001,"&lt;&gt;")=0,"",SUMIFS(BD!$W$3:$W$5001,BD!$B$3:$B$5001,G$175,BD!$A$3:$A$5001,_xlfn.MAXIFS(BD!$A$3:$A$5001,BD!$B$3:$B$5001,G$175,BD!$A$3:$A$5001,"&gt;="&amp;$C$7,BD!$A$3:$A$5001,"&lt;="&amp;$B197,BD!$W$3:$W$5001,"&lt;&gt;"))))</f>
        <v/>
      </c>
      <c r="H197" s="54" t="str">
        <f>IF(OR($B197="",$A197&gt;$B$9,H$175=""),"",IF(COUNTIFS(BD!$B$3:$B$5001,H$175,BD!$A$3:$A$5001,"&gt;="&amp;$C$7,BD!$A$3:$A$5001,"&lt;="&amp;$B197,BD!$W$3:$W$5001,"&lt;&gt;")=0,"",SUMIFS(BD!$W$3:$W$5001,BD!$B$3:$B$5001,H$175,BD!$A$3:$A$5001,_xlfn.MAXIFS(BD!$A$3:$A$5001,BD!$B$3:$B$5001,H$175,BD!$A$3:$A$5001,"&gt;="&amp;$C$7,BD!$A$3:$A$5001,"&lt;="&amp;$B197,BD!$W$3:$W$5001,"&lt;&gt;"))))</f>
        <v/>
      </c>
      <c r="I197" s="54" t="str">
        <f>IF(OR($B197="",$A197&gt;$B$9,I$175=""),"",IF(COUNTIFS(BD!$B$3:$B$5001,I$175,BD!$A$3:$A$5001,"&gt;="&amp;$C$7,BD!$A$3:$A$5001,"&lt;="&amp;$B197,BD!$W$3:$W$5001,"&lt;&gt;")=0,"",SUMIFS(BD!$W$3:$W$5001,BD!$B$3:$B$5001,I$175,BD!$A$3:$A$5001,_xlfn.MAXIFS(BD!$A$3:$A$5001,BD!$B$3:$B$5001,I$175,BD!$A$3:$A$5001,"&gt;="&amp;$C$7,BD!$A$3:$A$5001,"&lt;="&amp;$B197,BD!$W$3:$W$5001,"&lt;&gt;"))))</f>
        <v/>
      </c>
      <c r="J197" s="54" t="str">
        <f>IF(OR($B197="",$A197&gt;$B$9,J$175=""),"",IF(COUNTIFS(BD!$B$3:$B$5001,J$175,BD!$A$3:$A$5001,"&gt;="&amp;$C$7,BD!$A$3:$A$5001,"&lt;="&amp;$B197,BD!$W$3:$W$5001,"&lt;&gt;")=0,"",SUMIFS(BD!$W$3:$W$5001,BD!$B$3:$B$5001,J$175,BD!$A$3:$A$5001,_xlfn.MAXIFS(BD!$A$3:$A$5001,BD!$B$3:$B$5001,J$175,BD!$A$3:$A$5001,"&gt;="&amp;$C$7,BD!$A$3:$A$5001,"&lt;="&amp;$B197,BD!$W$3:$W$5001,"&lt;&gt;"))))</f>
        <v/>
      </c>
      <c r="K197" s="54" t="str">
        <f>IF(OR($B197="",$A197&gt;$B$9,K$175=""),"",IF(COUNTIFS(BD!$B$3:$B$5001,K$175,BD!$A$3:$A$5001,"&gt;="&amp;$C$7,BD!$A$3:$A$5001,"&lt;="&amp;$B197,BD!$W$3:$W$5001,"&lt;&gt;")=0,"",SUMIFS(BD!$W$3:$W$5001,BD!$B$3:$B$5001,K$175,BD!$A$3:$A$5001,_xlfn.MAXIFS(BD!$A$3:$A$5001,BD!$B$3:$B$5001,K$175,BD!$A$3:$A$5001,"&gt;="&amp;$C$7,BD!$A$3:$A$5001,"&lt;="&amp;$B197,BD!$W$3:$W$5001,"&lt;&gt;"))))</f>
        <v/>
      </c>
      <c r="L197" s="54" t="str">
        <f>IF(OR($B197="",$A197&gt;$B$9,L$175=""),"",IF(COUNTIFS(BD!$B$3:$B$5001,L$175,BD!$A$3:$A$5001,"&gt;="&amp;$C$7,BD!$A$3:$A$5001,"&lt;="&amp;$B197,BD!$W$3:$W$5001,"&lt;&gt;")=0,"",SUMIFS(BD!$W$3:$W$5001,BD!$B$3:$B$5001,L$175,BD!$A$3:$A$5001,_xlfn.MAXIFS(BD!$A$3:$A$5001,BD!$B$3:$B$5001,L$175,BD!$A$3:$A$5001,"&gt;="&amp;$C$7,BD!$A$3:$A$5001,"&lt;="&amp;$B197,BD!$W$3:$W$5001,"&lt;&gt;"))))</f>
        <v/>
      </c>
      <c r="M197" s="54" t="str">
        <f>IF(OR($B197="",$A197&gt;$B$9,M$175=""),"",IF(COUNTIFS(BD!$B$3:$B$5001,M$175,BD!$A$3:$A$5001,"&gt;="&amp;$C$7,BD!$A$3:$A$5001,"&lt;="&amp;$B197,BD!$W$3:$W$5001,"&lt;&gt;")=0,"",SUMIFS(BD!$W$3:$W$5001,BD!$B$3:$B$5001,M$175,BD!$A$3:$A$5001,_xlfn.MAXIFS(BD!$A$3:$A$5001,BD!$B$3:$B$5001,M$175,BD!$A$3:$A$5001,"&gt;="&amp;$C$7,BD!$A$3:$A$5001,"&lt;="&amp;$B197,BD!$W$3:$W$5001,"&lt;&gt;"))))</f>
        <v/>
      </c>
      <c r="N197" s="54" t="str">
        <f>IF(OR($B197="",$A197&gt;$B$9,N$175=""),"",IF(COUNTIFS(BD!$B$3:$B$5001,N$175,BD!$A$3:$A$5001,"&gt;="&amp;$C$7,BD!$A$3:$A$5001,"&lt;="&amp;$B197,BD!$W$3:$W$5001,"&lt;&gt;")=0,"",SUMIFS(BD!$W$3:$W$5001,BD!$B$3:$B$5001,N$175,BD!$A$3:$A$5001,_xlfn.MAXIFS(BD!$A$3:$A$5001,BD!$B$3:$B$5001,N$175,BD!$A$3:$A$5001,"&gt;="&amp;$C$7,BD!$A$3:$A$5001,"&lt;="&amp;$B197,BD!$W$3:$W$5001,"&lt;&gt;"))))</f>
        <v/>
      </c>
      <c r="O197" s="54" t="str">
        <f>IF(OR($B197="",$A197&gt;$B$9,O$175=""),"",IF(COUNTIFS(BD!$B$3:$B$5001,O$175,BD!$A$3:$A$5001,"&gt;="&amp;$C$7,BD!$A$3:$A$5001,"&lt;="&amp;$B197,BD!$W$3:$W$5001,"&lt;&gt;")=0,"",SUMIFS(BD!$W$3:$W$5001,BD!$B$3:$B$5001,O$175,BD!$A$3:$A$5001,_xlfn.MAXIFS(BD!$A$3:$A$5001,BD!$B$3:$B$5001,O$175,BD!$A$3:$A$5001,"&gt;="&amp;$C$7,BD!$A$3:$A$5001,"&lt;="&amp;$B197,BD!$W$3:$W$5001,"&lt;&gt;"))))</f>
        <v/>
      </c>
      <c r="P197" s="54" t="str">
        <f>IF(OR($B197="",$A197&gt;$B$9,P$175=""),"",IF(COUNTIFS(BD!$B$3:$B$5001,P$175,BD!$A$3:$A$5001,"&gt;="&amp;$C$7,BD!$A$3:$A$5001,"&lt;="&amp;$B197,BD!$W$3:$W$5001,"&lt;&gt;")=0,"",SUMIFS(BD!$W$3:$W$5001,BD!$B$3:$B$5001,P$175,BD!$A$3:$A$5001,_xlfn.MAXIFS(BD!$A$3:$A$5001,BD!$B$3:$B$5001,P$175,BD!$A$3:$A$5001,"&gt;="&amp;$C$7,BD!$A$3:$A$5001,"&lt;="&amp;$B197,BD!$W$3:$W$5001,"&lt;&gt;"))))</f>
        <v/>
      </c>
      <c r="Q197" s="54" t="str">
        <f>IF(OR($B197="",$A197&gt;$B$9,Q$175=""),"",IF(COUNTIFS(BD!$B$3:$B$5001,Q$175,BD!$A$3:$A$5001,"&gt;="&amp;$C$7,BD!$A$3:$A$5001,"&lt;="&amp;$B197,BD!$W$3:$W$5001,"&lt;&gt;")=0,"",SUMIFS(BD!$W$3:$W$5001,BD!$B$3:$B$5001,Q$175,BD!$A$3:$A$5001,_xlfn.MAXIFS(BD!$A$3:$A$5001,BD!$B$3:$B$5001,Q$175,BD!$A$3:$A$5001,"&gt;="&amp;$C$7,BD!$A$3:$A$5001,"&lt;="&amp;$B197,BD!$W$3:$W$5001,"&lt;&gt;"))))</f>
        <v/>
      </c>
      <c r="R197" s="54" t="str">
        <f>IF(OR($B197="",$A197&gt;$B$9,R$175=""),"",IF(COUNTIFS(BD!$B$3:$B$5001,R$175,BD!$A$3:$A$5001,"&gt;="&amp;$C$7,BD!$A$3:$A$5001,"&lt;="&amp;$B197,BD!$W$3:$W$5001,"&lt;&gt;")=0,"",SUMIFS(BD!$W$3:$W$5001,BD!$B$3:$B$5001,R$175,BD!$A$3:$A$5001,_xlfn.MAXIFS(BD!$A$3:$A$5001,BD!$B$3:$B$5001,R$175,BD!$A$3:$A$5001,"&gt;="&amp;$C$7,BD!$A$3:$A$5001,"&lt;="&amp;$B197,BD!$W$3:$W$5001,"&lt;&gt;"))))</f>
        <v/>
      </c>
      <c r="S197" s="54" t="str">
        <f>IF(OR($B197="",$A197&gt;$B$9,S$175=""),"",IF(COUNTIFS(BD!$B$3:$B$5001,S$175,BD!$A$3:$A$5001,"&gt;="&amp;$C$7,BD!$A$3:$A$5001,"&lt;="&amp;$B197,BD!$W$3:$W$5001,"&lt;&gt;")=0,"",SUMIFS(BD!$W$3:$W$5001,BD!$B$3:$B$5001,S$175,BD!$A$3:$A$5001,_xlfn.MAXIFS(BD!$A$3:$A$5001,BD!$B$3:$B$5001,S$175,BD!$A$3:$A$5001,"&gt;="&amp;$C$7,BD!$A$3:$A$5001,"&lt;="&amp;$B197,BD!$W$3:$W$5001,"&lt;&gt;"))))</f>
        <v/>
      </c>
      <c r="T197" s="54" t="str">
        <f>IF(OR($B197="",$A197&gt;$B$9,T$175=""),"",IF(COUNTIFS(BD!$B$3:$B$5001,T$175,BD!$A$3:$A$5001,"&gt;="&amp;$C$7,BD!$A$3:$A$5001,"&lt;="&amp;$B197,BD!$W$3:$W$5001,"&lt;&gt;")=0,"",SUMIFS(BD!$W$3:$W$5001,BD!$B$3:$B$5001,T$175,BD!$A$3:$A$5001,_xlfn.MAXIFS(BD!$A$3:$A$5001,BD!$B$3:$B$5001,T$175,BD!$A$3:$A$5001,"&gt;="&amp;$C$7,BD!$A$3:$A$5001,"&lt;="&amp;$B197,BD!$W$3:$W$5001,"&lt;&gt;"))))</f>
        <v/>
      </c>
      <c r="U197" s="54" t="str">
        <f>IF(OR($B197="",$A197&gt;$B$9,U$175=""),"",IF(COUNTIFS(BD!$B$3:$B$5001,U$175,BD!$A$3:$A$5001,"&gt;="&amp;$C$7,BD!$A$3:$A$5001,"&lt;="&amp;$B197,BD!$W$3:$W$5001,"&lt;&gt;")=0,"",SUMIFS(BD!$W$3:$W$5001,BD!$B$3:$B$5001,U$175,BD!$A$3:$A$5001,_xlfn.MAXIFS(BD!$A$3:$A$5001,BD!$B$3:$B$5001,U$175,BD!$A$3:$A$5001,"&gt;="&amp;$C$7,BD!$A$3:$A$5001,"&lt;="&amp;$B197,BD!$W$3:$W$5001,"&lt;&gt;"))))</f>
        <v/>
      </c>
      <c r="V197" s="54" t="str">
        <f>IF(OR($B197="",$A197&gt;$B$9,V$175=""),"",IF(COUNTIFS(BD!$B$3:$B$5001,V$175,BD!$A$3:$A$5001,"&gt;="&amp;$C$7,BD!$A$3:$A$5001,"&lt;="&amp;$B197,BD!$W$3:$W$5001,"&lt;&gt;")=0,"",SUMIFS(BD!$W$3:$W$5001,BD!$B$3:$B$5001,V$175,BD!$A$3:$A$5001,_xlfn.MAXIFS(BD!$A$3:$A$5001,BD!$B$3:$B$5001,V$175,BD!$A$3:$A$5001,"&gt;="&amp;$C$7,BD!$A$3:$A$5001,"&lt;="&amp;$B197,BD!$W$3:$W$5001,"&lt;&gt;"))))</f>
        <v/>
      </c>
    </row>
    <row r="198">
      <c r="A198" s="48">
        <v>23</v>
      </c>
      <c r="B198" s="53">
        <f>$B$34</f>
        <v>46318</v>
      </c>
      <c r="C198" s="54" t="str">
        <f>IF(OR($B198="",$A198&gt;$B$9,C$175=""),"",IF(COUNTIFS(BD!$B$3:$B$5001,C$175,BD!$A$3:$A$5001,"&gt;="&amp;$C$7,BD!$A$3:$A$5001,"&lt;="&amp;$B198,BD!$W$3:$W$5001,"&lt;&gt;")=0,"",SUMIFS(BD!$W$3:$W$5001,BD!$B$3:$B$5001,C$175,BD!$A$3:$A$5001,_xlfn.MAXIFS(BD!$A$3:$A$5001,BD!$B$3:$B$5001,C$175,BD!$A$3:$A$5001,"&gt;="&amp;$C$7,BD!$A$3:$A$5001,"&lt;="&amp;$B198,BD!$W$3:$W$5001,"&lt;&gt;"))))</f>
        <v/>
      </c>
      <c r="D198" s="54" t="str">
        <f>IF(OR($B198="",$A198&gt;$B$9,D$175=""),"",IF(COUNTIFS(BD!$B$3:$B$5001,D$175,BD!$A$3:$A$5001,"&gt;="&amp;$C$7,BD!$A$3:$A$5001,"&lt;="&amp;$B198,BD!$W$3:$W$5001,"&lt;&gt;")=0,"",SUMIFS(BD!$W$3:$W$5001,BD!$B$3:$B$5001,D$175,BD!$A$3:$A$5001,_xlfn.MAXIFS(BD!$A$3:$A$5001,BD!$B$3:$B$5001,D$175,BD!$A$3:$A$5001,"&gt;="&amp;$C$7,BD!$A$3:$A$5001,"&lt;="&amp;$B198,BD!$W$3:$W$5001,"&lt;&gt;"))))</f>
        <v/>
      </c>
      <c r="E198" s="54" t="str">
        <f>IF(OR($B198="",$A198&gt;$B$9,E$175=""),"",IF(COUNTIFS(BD!$B$3:$B$5001,E$175,BD!$A$3:$A$5001,"&gt;="&amp;$C$7,BD!$A$3:$A$5001,"&lt;="&amp;$B198,BD!$W$3:$W$5001,"&lt;&gt;")=0,"",SUMIFS(BD!$W$3:$W$5001,BD!$B$3:$B$5001,E$175,BD!$A$3:$A$5001,_xlfn.MAXIFS(BD!$A$3:$A$5001,BD!$B$3:$B$5001,E$175,BD!$A$3:$A$5001,"&gt;="&amp;$C$7,BD!$A$3:$A$5001,"&lt;="&amp;$B198,BD!$W$3:$W$5001,"&lt;&gt;"))))</f>
        <v/>
      </c>
      <c r="F198" s="54" t="str">
        <f>IF(OR($B198="",$A198&gt;$B$9,F$175=""),"",IF(COUNTIFS(BD!$B$3:$B$5001,F$175,BD!$A$3:$A$5001,"&gt;="&amp;$C$7,BD!$A$3:$A$5001,"&lt;="&amp;$B198,BD!$W$3:$W$5001,"&lt;&gt;")=0,"",SUMIFS(BD!$W$3:$W$5001,BD!$B$3:$B$5001,F$175,BD!$A$3:$A$5001,_xlfn.MAXIFS(BD!$A$3:$A$5001,BD!$B$3:$B$5001,F$175,BD!$A$3:$A$5001,"&gt;="&amp;$C$7,BD!$A$3:$A$5001,"&lt;="&amp;$B198,BD!$W$3:$W$5001,"&lt;&gt;"))))</f>
        <v/>
      </c>
      <c r="G198" s="54" t="str">
        <f>IF(OR($B198="",$A198&gt;$B$9,G$175=""),"",IF(COUNTIFS(BD!$B$3:$B$5001,G$175,BD!$A$3:$A$5001,"&gt;="&amp;$C$7,BD!$A$3:$A$5001,"&lt;="&amp;$B198,BD!$W$3:$W$5001,"&lt;&gt;")=0,"",SUMIFS(BD!$W$3:$W$5001,BD!$B$3:$B$5001,G$175,BD!$A$3:$A$5001,_xlfn.MAXIFS(BD!$A$3:$A$5001,BD!$B$3:$B$5001,G$175,BD!$A$3:$A$5001,"&gt;="&amp;$C$7,BD!$A$3:$A$5001,"&lt;="&amp;$B198,BD!$W$3:$W$5001,"&lt;&gt;"))))</f>
        <v/>
      </c>
      <c r="H198" s="54" t="str">
        <f>IF(OR($B198="",$A198&gt;$B$9,H$175=""),"",IF(COUNTIFS(BD!$B$3:$B$5001,H$175,BD!$A$3:$A$5001,"&gt;="&amp;$C$7,BD!$A$3:$A$5001,"&lt;="&amp;$B198,BD!$W$3:$W$5001,"&lt;&gt;")=0,"",SUMIFS(BD!$W$3:$W$5001,BD!$B$3:$B$5001,H$175,BD!$A$3:$A$5001,_xlfn.MAXIFS(BD!$A$3:$A$5001,BD!$B$3:$B$5001,H$175,BD!$A$3:$A$5001,"&gt;="&amp;$C$7,BD!$A$3:$A$5001,"&lt;="&amp;$B198,BD!$W$3:$W$5001,"&lt;&gt;"))))</f>
        <v/>
      </c>
      <c r="I198" s="54" t="str">
        <f>IF(OR($B198="",$A198&gt;$B$9,I$175=""),"",IF(COUNTIFS(BD!$B$3:$B$5001,I$175,BD!$A$3:$A$5001,"&gt;="&amp;$C$7,BD!$A$3:$A$5001,"&lt;="&amp;$B198,BD!$W$3:$W$5001,"&lt;&gt;")=0,"",SUMIFS(BD!$W$3:$W$5001,BD!$B$3:$B$5001,I$175,BD!$A$3:$A$5001,_xlfn.MAXIFS(BD!$A$3:$A$5001,BD!$B$3:$B$5001,I$175,BD!$A$3:$A$5001,"&gt;="&amp;$C$7,BD!$A$3:$A$5001,"&lt;="&amp;$B198,BD!$W$3:$W$5001,"&lt;&gt;"))))</f>
        <v/>
      </c>
      <c r="J198" s="54" t="str">
        <f>IF(OR($B198="",$A198&gt;$B$9,J$175=""),"",IF(COUNTIFS(BD!$B$3:$B$5001,J$175,BD!$A$3:$A$5001,"&gt;="&amp;$C$7,BD!$A$3:$A$5001,"&lt;="&amp;$B198,BD!$W$3:$W$5001,"&lt;&gt;")=0,"",SUMIFS(BD!$W$3:$W$5001,BD!$B$3:$B$5001,J$175,BD!$A$3:$A$5001,_xlfn.MAXIFS(BD!$A$3:$A$5001,BD!$B$3:$B$5001,J$175,BD!$A$3:$A$5001,"&gt;="&amp;$C$7,BD!$A$3:$A$5001,"&lt;="&amp;$B198,BD!$W$3:$W$5001,"&lt;&gt;"))))</f>
        <v/>
      </c>
      <c r="K198" s="54" t="str">
        <f>IF(OR($B198="",$A198&gt;$B$9,K$175=""),"",IF(COUNTIFS(BD!$B$3:$B$5001,K$175,BD!$A$3:$A$5001,"&gt;="&amp;$C$7,BD!$A$3:$A$5001,"&lt;="&amp;$B198,BD!$W$3:$W$5001,"&lt;&gt;")=0,"",SUMIFS(BD!$W$3:$W$5001,BD!$B$3:$B$5001,K$175,BD!$A$3:$A$5001,_xlfn.MAXIFS(BD!$A$3:$A$5001,BD!$B$3:$B$5001,K$175,BD!$A$3:$A$5001,"&gt;="&amp;$C$7,BD!$A$3:$A$5001,"&lt;="&amp;$B198,BD!$W$3:$W$5001,"&lt;&gt;"))))</f>
        <v/>
      </c>
      <c r="L198" s="54" t="str">
        <f>IF(OR($B198="",$A198&gt;$B$9,L$175=""),"",IF(COUNTIFS(BD!$B$3:$B$5001,L$175,BD!$A$3:$A$5001,"&gt;="&amp;$C$7,BD!$A$3:$A$5001,"&lt;="&amp;$B198,BD!$W$3:$W$5001,"&lt;&gt;")=0,"",SUMIFS(BD!$W$3:$W$5001,BD!$B$3:$B$5001,L$175,BD!$A$3:$A$5001,_xlfn.MAXIFS(BD!$A$3:$A$5001,BD!$B$3:$B$5001,L$175,BD!$A$3:$A$5001,"&gt;="&amp;$C$7,BD!$A$3:$A$5001,"&lt;="&amp;$B198,BD!$W$3:$W$5001,"&lt;&gt;"))))</f>
        <v/>
      </c>
      <c r="M198" s="54" t="str">
        <f>IF(OR($B198="",$A198&gt;$B$9,M$175=""),"",IF(COUNTIFS(BD!$B$3:$B$5001,M$175,BD!$A$3:$A$5001,"&gt;="&amp;$C$7,BD!$A$3:$A$5001,"&lt;="&amp;$B198,BD!$W$3:$W$5001,"&lt;&gt;")=0,"",SUMIFS(BD!$W$3:$W$5001,BD!$B$3:$B$5001,M$175,BD!$A$3:$A$5001,_xlfn.MAXIFS(BD!$A$3:$A$5001,BD!$B$3:$B$5001,M$175,BD!$A$3:$A$5001,"&gt;="&amp;$C$7,BD!$A$3:$A$5001,"&lt;="&amp;$B198,BD!$W$3:$W$5001,"&lt;&gt;"))))</f>
        <v/>
      </c>
      <c r="N198" s="54" t="str">
        <f>IF(OR($B198="",$A198&gt;$B$9,N$175=""),"",IF(COUNTIFS(BD!$B$3:$B$5001,N$175,BD!$A$3:$A$5001,"&gt;="&amp;$C$7,BD!$A$3:$A$5001,"&lt;="&amp;$B198,BD!$W$3:$W$5001,"&lt;&gt;")=0,"",SUMIFS(BD!$W$3:$W$5001,BD!$B$3:$B$5001,N$175,BD!$A$3:$A$5001,_xlfn.MAXIFS(BD!$A$3:$A$5001,BD!$B$3:$B$5001,N$175,BD!$A$3:$A$5001,"&gt;="&amp;$C$7,BD!$A$3:$A$5001,"&lt;="&amp;$B198,BD!$W$3:$W$5001,"&lt;&gt;"))))</f>
        <v/>
      </c>
      <c r="O198" s="54" t="str">
        <f>IF(OR($B198="",$A198&gt;$B$9,O$175=""),"",IF(COUNTIFS(BD!$B$3:$B$5001,O$175,BD!$A$3:$A$5001,"&gt;="&amp;$C$7,BD!$A$3:$A$5001,"&lt;="&amp;$B198,BD!$W$3:$W$5001,"&lt;&gt;")=0,"",SUMIFS(BD!$W$3:$W$5001,BD!$B$3:$B$5001,O$175,BD!$A$3:$A$5001,_xlfn.MAXIFS(BD!$A$3:$A$5001,BD!$B$3:$B$5001,O$175,BD!$A$3:$A$5001,"&gt;="&amp;$C$7,BD!$A$3:$A$5001,"&lt;="&amp;$B198,BD!$W$3:$W$5001,"&lt;&gt;"))))</f>
        <v/>
      </c>
      <c r="P198" s="54" t="str">
        <f>IF(OR($B198="",$A198&gt;$B$9,P$175=""),"",IF(COUNTIFS(BD!$B$3:$B$5001,P$175,BD!$A$3:$A$5001,"&gt;="&amp;$C$7,BD!$A$3:$A$5001,"&lt;="&amp;$B198,BD!$W$3:$W$5001,"&lt;&gt;")=0,"",SUMIFS(BD!$W$3:$W$5001,BD!$B$3:$B$5001,P$175,BD!$A$3:$A$5001,_xlfn.MAXIFS(BD!$A$3:$A$5001,BD!$B$3:$B$5001,P$175,BD!$A$3:$A$5001,"&gt;="&amp;$C$7,BD!$A$3:$A$5001,"&lt;="&amp;$B198,BD!$W$3:$W$5001,"&lt;&gt;"))))</f>
        <v/>
      </c>
      <c r="Q198" s="54" t="str">
        <f>IF(OR($B198="",$A198&gt;$B$9,Q$175=""),"",IF(COUNTIFS(BD!$B$3:$B$5001,Q$175,BD!$A$3:$A$5001,"&gt;="&amp;$C$7,BD!$A$3:$A$5001,"&lt;="&amp;$B198,BD!$W$3:$W$5001,"&lt;&gt;")=0,"",SUMIFS(BD!$W$3:$W$5001,BD!$B$3:$B$5001,Q$175,BD!$A$3:$A$5001,_xlfn.MAXIFS(BD!$A$3:$A$5001,BD!$B$3:$B$5001,Q$175,BD!$A$3:$A$5001,"&gt;="&amp;$C$7,BD!$A$3:$A$5001,"&lt;="&amp;$B198,BD!$W$3:$W$5001,"&lt;&gt;"))))</f>
        <v/>
      </c>
      <c r="R198" s="54" t="str">
        <f>IF(OR($B198="",$A198&gt;$B$9,R$175=""),"",IF(COUNTIFS(BD!$B$3:$B$5001,R$175,BD!$A$3:$A$5001,"&gt;="&amp;$C$7,BD!$A$3:$A$5001,"&lt;="&amp;$B198,BD!$W$3:$W$5001,"&lt;&gt;")=0,"",SUMIFS(BD!$W$3:$W$5001,BD!$B$3:$B$5001,R$175,BD!$A$3:$A$5001,_xlfn.MAXIFS(BD!$A$3:$A$5001,BD!$B$3:$B$5001,R$175,BD!$A$3:$A$5001,"&gt;="&amp;$C$7,BD!$A$3:$A$5001,"&lt;="&amp;$B198,BD!$W$3:$W$5001,"&lt;&gt;"))))</f>
        <v/>
      </c>
      <c r="S198" s="54" t="str">
        <f>IF(OR($B198="",$A198&gt;$B$9,S$175=""),"",IF(COUNTIFS(BD!$B$3:$B$5001,S$175,BD!$A$3:$A$5001,"&gt;="&amp;$C$7,BD!$A$3:$A$5001,"&lt;="&amp;$B198,BD!$W$3:$W$5001,"&lt;&gt;")=0,"",SUMIFS(BD!$W$3:$W$5001,BD!$B$3:$B$5001,S$175,BD!$A$3:$A$5001,_xlfn.MAXIFS(BD!$A$3:$A$5001,BD!$B$3:$B$5001,S$175,BD!$A$3:$A$5001,"&gt;="&amp;$C$7,BD!$A$3:$A$5001,"&lt;="&amp;$B198,BD!$W$3:$W$5001,"&lt;&gt;"))))</f>
        <v/>
      </c>
      <c r="T198" s="54" t="str">
        <f>IF(OR($B198="",$A198&gt;$B$9,T$175=""),"",IF(COUNTIFS(BD!$B$3:$B$5001,T$175,BD!$A$3:$A$5001,"&gt;="&amp;$C$7,BD!$A$3:$A$5001,"&lt;="&amp;$B198,BD!$W$3:$W$5001,"&lt;&gt;")=0,"",SUMIFS(BD!$W$3:$W$5001,BD!$B$3:$B$5001,T$175,BD!$A$3:$A$5001,_xlfn.MAXIFS(BD!$A$3:$A$5001,BD!$B$3:$B$5001,T$175,BD!$A$3:$A$5001,"&gt;="&amp;$C$7,BD!$A$3:$A$5001,"&lt;="&amp;$B198,BD!$W$3:$W$5001,"&lt;&gt;"))))</f>
        <v/>
      </c>
      <c r="U198" s="54" t="str">
        <f>IF(OR($B198="",$A198&gt;$B$9,U$175=""),"",IF(COUNTIFS(BD!$B$3:$B$5001,U$175,BD!$A$3:$A$5001,"&gt;="&amp;$C$7,BD!$A$3:$A$5001,"&lt;="&amp;$B198,BD!$W$3:$W$5001,"&lt;&gt;")=0,"",SUMIFS(BD!$W$3:$W$5001,BD!$B$3:$B$5001,U$175,BD!$A$3:$A$5001,_xlfn.MAXIFS(BD!$A$3:$A$5001,BD!$B$3:$B$5001,U$175,BD!$A$3:$A$5001,"&gt;="&amp;$C$7,BD!$A$3:$A$5001,"&lt;="&amp;$B198,BD!$W$3:$W$5001,"&lt;&gt;"))))</f>
        <v/>
      </c>
      <c r="V198" s="54" t="str">
        <f>IF(OR($B198="",$A198&gt;$B$9,V$175=""),"",IF(COUNTIFS(BD!$B$3:$B$5001,V$175,BD!$A$3:$A$5001,"&gt;="&amp;$C$7,BD!$A$3:$A$5001,"&lt;="&amp;$B198,BD!$W$3:$W$5001,"&lt;&gt;")=0,"",SUMIFS(BD!$W$3:$W$5001,BD!$B$3:$B$5001,V$175,BD!$A$3:$A$5001,_xlfn.MAXIFS(BD!$A$3:$A$5001,BD!$B$3:$B$5001,V$175,BD!$A$3:$A$5001,"&gt;="&amp;$C$7,BD!$A$3:$A$5001,"&lt;="&amp;$B198,BD!$W$3:$W$5001,"&lt;&gt;"))))</f>
        <v/>
      </c>
    </row>
    <row r="199">
      <c r="A199" s="48">
        <v>24</v>
      </c>
      <c r="B199" s="53">
        <f>$B$35</f>
        <v>46319</v>
      </c>
      <c r="C199" s="54" t="str">
        <f>IF(OR($B199="",$A199&gt;$B$9,C$175=""),"",IF(COUNTIFS(BD!$B$3:$B$5001,C$175,BD!$A$3:$A$5001,"&gt;="&amp;$C$7,BD!$A$3:$A$5001,"&lt;="&amp;$B199,BD!$W$3:$W$5001,"&lt;&gt;")=0,"",SUMIFS(BD!$W$3:$W$5001,BD!$B$3:$B$5001,C$175,BD!$A$3:$A$5001,_xlfn.MAXIFS(BD!$A$3:$A$5001,BD!$B$3:$B$5001,C$175,BD!$A$3:$A$5001,"&gt;="&amp;$C$7,BD!$A$3:$A$5001,"&lt;="&amp;$B199,BD!$W$3:$W$5001,"&lt;&gt;"))))</f>
        <v/>
      </c>
      <c r="D199" s="54" t="str">
        <f>IF(OR($B199="",$A199&gt;$B$9,D$175=""),"",IF(COUNTIFS(BD!$B$3:$B$5001,D$175,BD!$A$3:$A$5001,"&gt;="&amp;$C$7,BD!$A$3:$A$5001,"&lt;="&amp;$B199,BD!$W$3:$W$5001,"&lt;&gt;")=0,"",SUMIFS(BD!$W$3:$W$5001,BD!$B$3:$B$5001,D$175,BD!$A$3:$A$5001,_xlfn.MAXIFS(BD!$A$3:$A$5001,BD!$B$3:$B$5001,D$175,BD!$A$3:$A$5001,"&gt;="&amp;$C$7,BD!$A$3:$A$5001,"&lt;="&amp;$B199,BD!$W$3:$W$5001,"&lt;&gt;"))))</f>
        <v/>
      </c>
      <c r="E199" s="54" t="str">
        <f>IF(OR($B199="",$A199&gt;$B$9,E$175=""),"",IF(COUNTIFS(BD!$B$3:$B$5001,E$175,BD!$A$3:$A$5001,"&gt;="&amp;$C$7,BD!$A$3:$A$5001,"&lt;="&amp;$B199,BD!$W$3:$W$5001,"&lt;&gt;")=0,"",SUMIFS(BD!$W$3:$W$5001,BD!$B$3:$B$5001,E$175,BD!$A$3:$A$5001,_xlfn.MAXIFS(BD!$A$3:$A$5001,BD!$B$3:$B$5001,E$175,BD!$A$3:$A$5001,"&gt;="&amp;$C$7,BD!$A$3:$A$5001,"&lt;="&amp;$B199,BD!$W$3:$W$5001,"&lt;&gt;"))))</f>
        <v/>
      </c>
      <c r="F199" s="54" t="str">
        <f>IF(OR($B199="",$A199&gt;$B$9,F$175=""),"",IF(COUNTIFS(BD!$B$3:$B$5001,F$175,BD!$A$3:$A$5001,"&gt;="&amp;$C$7,BD!$A$3:$A$5001,"&lt;="&amp;$B199,BD!$W$3:$W$5001,"&lt;&gt;")=0,"",SUMIFS(BD!$W$3:$W$5001,BD!$B$3:$B$5001,F$175,BD!$A$3:$A$5001,_xlfn.MAXIFS(BD!$A$3:$A$5001,BD!$B$3:$B$5001,F$175,BD!$A$3:$A$5001,"&gt;="&amp;$C$7,BD!$A$3:$A$5001,"&lt;="&amp;$B199,BD!$W$3:$W$5001,"&lt;&gt;"))))</f>
        <v/>
      </c>
      <c r="G199" s="54" t="str">
        <f>IF(OR($B199="",$A199&gt;$B$9,G$175=""),"",IF(COUNTIFS(BD!$B$3:$B$5001,G$175,BD!$A$3:$A$5001,"&gt;="&amp;$C$7,BD!$A$3:$A$5001,"&lt;="&amp;$B199,BD!$W$3:$W$5001,"&lt;&gt;")=0,"",SUMIFS(BD!$W$3:$W$5001,BD!$B$3:$B$5001,G$175,BD!$A$3:$A$5001,_xlfn.MAXIFS(BD!$A$3:$A$5001,BD!$B$3:$B$5001,G$175,BD!$A$3:$A$5001,"&gt;="&amp;$C$7,BD!$A$3:$A$5001,"&lt;="&amp;$B199,BD!$W$3:$W$5001,"&lt;&gt;"))))</f>
        <v/>
      </c>
      <c r="H199" s="54" t="str">
        <f>IF(OR($B199="",$A199&gt;$B$9,H$175=""),"",IF(COUNTIFS(BD!$B$3:$B$5001,H$175,BD!$A$3:$A$5001,"&gt;="&amp;$C$7,BD!$A$3:$A$5001,"&lt;="&amp;$B199,BD!$W$3:$W$5001,"&lt;&gt;")=0,"",SUMIFS(BD!$W$3:$W$5001,BD!$B$3:$B$5001,H$175,BD!$A$3:$A$5001,_xlfn.MAXIFS(BD!$A$3:$A$5001,BD!$B$3:$B$5001,H$175,BD!$A$3:$A$5001,"&gt;="&amp;$C$7,BD!$A$3:$A$5001,"&lt;="&amp;$B199,BD!$W$3:$W$5001,"&lt;&gt;"))))</f>
        <v/>
      </c>
      <c r="I199" s="54" t="str">
        <f>IF(OR($B199="",$A199&gt;$B$9,I$175=""),"",IF(COUNTIFS(BD!$B$3:$B$5001,I$175,BD!$A$3:$A$5001,"&gt;="&amp;$C$7,BD!$A$3:$A$5001,"&lt;="&amp;$B199,BD!$W$3:$W$5001,"&lt;&gt;")=0,"",SUMIFS(BD!$W$3:$W$5001,BD!$B$3:$B$5001,I$175,BD!$A$3:$A$5001,_xlfn.MAXIFS(BD!$A$3:$A$5001,BD!$B$3:$B$5001,I$175,BD!$A$3:$A$5001,"&gt;="&amp;$C$7,BD!$A$3:$A$5001,"&lt;="&amp;$B199,BD!$W$3:$W$5001,"&lt;&gt;"))))</f>
        <v/>
      </c>
      <c r="J199" s="54" t="str">
        <f>IF(OR($B199="",$A199&gt;$B$9,J$175=""),"",IF(COUNTIFS(BD!$B$3:$B$5001,J$175,BD!$A$3:$A$5001,"&gt;="&amp;$C$7,BD!$A$3:$A$5001,"&lt;="&amp;$B199,BD!$W$3:$W$5001,"&lt;&gt;")=0,"",SUMIFS(BD!$W$3:$W$5001,BD!$B$3:$B$5001,J$175,BD!$A$3:$A$5001,_xlfn.MAXIFS(BD!$A$3:$A$5001,BD!$B$3:$B$5001,J$175,BD!$A$3:$A$5001,"&gt;="&amp;$C$7,BD!$A$3:$A$5001,"&lt;="&amp;$B199,BD!$W$3:$W$5001,"&lt;&gt;"))))</f>
        <v/>
      </c>
      <c r="K199" s="54" t="str">
        <f>IF(OR($B199="",$A199&gt;$B$9,K$175=""),"",IF(COUNTIFS(BD!$B$3:$B$5001,K$175,BD!$A$3:$A$5001,"&gt;="&amp;$C$7,BD!$A$3:$A$5001,"&lt;="&amp;$B199,BD!$W$3:$W$5001,"&lt;&gt;")=0,"",SUMIFS(BD!$W$3:$W$5001,BD!$B$3:$B$5001,K$175,BD!$A$3:$A$5001,_xlfn.MAXIFS(BD!$A$3:$A$5001,BD!$B$3:$B$5001,K$175,BD!$A$3:$A$5001,"&gt;="&amp;$C$7,BD!$A$3:$A$5001,"&lt;="&amp;$B199,BD!$W$3:$W$5001,"&lt;&gt;"))))</f>
        <v/>
      </c>
      <c r="L199" s="54" t="str">
        <f>IF(OR($B199="",$A199&gt;$B$9,L$175=""),"",IF(COUNTIFS(BD!$B$3:$B$5001,L$175,BD!$A$3:$A$5001,"&gt;="&amp;$C$7,BD!$A$3:$A$5001,"&lt;="&amp;$B199,BD!$W$3:$W$5001,"&lt;&gt;")=0,"",SUMIFS(BD!$W$3:$W$5001,BD!$B$3:$B$5001,L$175,BD!$A$3:$A$5001,_xlfn.MAXIFS(BD!$A$3:$A$5001,BD!$B$3:$B$5001,L$175,BD!$A$3:$A$5001,"&gt;="&amp;$C$7,BD!$A$3:$A$5001,"&lt;="&amp;$B199,BD!$W$3:$W$5001,"&lt;&gt;"))))</f>
        <v/>
      </c>
      <c r="M199" s="54" t="str">
        <f>IF(OR($B199="",$A199&gt;$B$9,M$175=""),"",IF(COUNTIFS(BD!$B$3:$B$5001,M$175,BD!$A$3:$A$5001,"&gt;="&amp;$C$7,BD!$A$3:$A$5001,"&lt;="&amp;$B199,BD!$W$3:$W$5001,"&lt;&gt;")=0,"",SUMIFS(BD!$W$3:$W$5001,BD!$B$3:$B$5001,M$175,BD!$A$3:$A$5001,_xlfn.MAXIFS(BD!$A$3:$A$5001,BD!$B$3:$B$5001,M$175,BD!$A$3:$A$5001,"&gt;="&amp;$C$7,BD!$A$3:$A$5001,"&lt;="&amp;$B199,BD!$W$3:$W$5001,"&lt;&gt;"))))</f>
        <v/>
      </c>
      <c r="N199" s="54" t="str">
        <f>IF(OR($B199="",$A199&gt;$B$9,N$175=""),"",IF(COUNTIFS(BD!$B$3:$B$5001,N$175,BD!$A$3:$A$5001,"&gt;="&amp;$C$7,BD!$A$3:$A$5001,"&lt;="&amp;$B199,BD!$W$3:$W$5001,"&lt;&gt;")=0,"",SUMIFS(BD!$W$3:$W$5001,BD!$B$3:$B$5001,N$175,BD!$A$3:$A$5001,_xlfn.MAXIFS(BD!$A$3:$A$5001,BD!$B$3:$B$5001,N$175,BD!$A$3:$A$5001,"&gt;="&amp;$C$7,BD!$A$3:$A$5001,"&lt;="&amp;$B199,BD!$W$3:$W$5001,"&lt;&gt;"))))</f>
        <v/>
      </c>
      <c r="O199" s="54" t="str">
        <f>IF(OR($B199="",$A199&gt;$B$9,O$175=""),"",IF(COUNTIFS(BD!$B$3:$B$5001,O$175,BD!$A$3:$A$5001,"&gt;="&amp;$C$7,BD!$A$3:$A$5001,"&lt;="&amp;$B199,BD!$W$3:$W$5001,"&lt;&gt;")=0,"",SUMIFS(BD!$W$3:$W$5001,BD!$B$3:$B$5001,O$175,BD!$A$3:$A$5001,_xlfn.MAXIFS(BD!$A$3:$A$5001,BD!$B$3:$B$5001,O$175,BD!$A$3:$A$5001,"&gt;="&amp;$C$7,BD!$A$3:$A$5001,"&lt;="&amp;$B199,BD!$W$3:$W$5001,"&lt;&gt;"))))</f>
        <v/>
      </c>
      <c r="P199" s="54" t="str">
        <f>IF(OR($B199="",$A199&gt;$B$9,P$175=""),"",IF(COUNTIFS(BD!$B$3:$B$5001,P$175,BD!$A$3:$A$5001,"&gt;="&amp;$C$7,BD!$A$3:$A$5001,"&lt;="&amp;$B199,BD!$W$3:$W$5001,"&lt;&gt;")=0,"",SUMIFS(BD!$W$3:$W$5001,BD!$B$3:$B$5001,P$175,BD!$A$3:$A$5001,_xlfn.MAXIFS(BD!$A$3:$A$5001,BD!$B$3:$B$5001,P$175,BD!$A$3:$A$5001,"&gt;="&amp;$C$7,BD!$A$3:$A$5001,"&lt;="&amp;$B199,BD!$W$3:$W$5001,"&lt;&gt;"))))</f>
        <v/>
      </c>
      <c r="Q199" s="54" t="str">
        <f>IF(OR($B199="",$A199&gt;$B$9,Q$175=""),"",IF(COUNTIFS(BD!$B$3:$B$5001,Q$175,BD!$A$3:$A$5001,"&gt;="&amp;$C$7,BD!$A$3:$A$5001,"&lt;="&amp;$B199,BD!$W$3:$W$5001,"&lt;&gt;")=0,"",SUMIFS(BD!$W$3:$W$5001,BD!$B$3:$B$5001,Q$175,BD!$A$3:$A$5001,_xlfn.MAXIFS(BD!$A$3:$A$5001,BD!$B$3:$B$5001,Q$175,BD!$A$3:$A$5001,"&gt;="&amp;$C$7,BD!$A$3:$A$5001,"&lt;="&amp;$B199,BD!$W$3:$W$5001,"&lt;&gt;"))))</f>
        <v/>
      </c>
      <c r="R199" s="54" t="str">
        <f>IF(OR($B199="",$A199&gt;$B$9,R$175=""),"",IF(COUNTIFS(BD!$B$3:$B$5001,R$175,BD!$A$3:$A$5001,"&gt;="&amp;$C$7,BD!$A$3:$A$5001,"&lt;="&amp;$B199,BD!$W$3:$W$5001,"&lt;&gt;")=0,"",SUMIFS(BD!$W$3:$W$5001,BD!$B$3:$B$5001,R$175,BD!$A$3:$A$5001,_xlfn.MAXIFS(BD!$A$3:$A$5001,BD!$B$3:$B$5001,R$175,BD!$A$3:$A$5001,"&gt;="&amp;$C$7,BD!$A$3:$A$5001,"&lt;="&amp;$B199,BD!$W$3:$W$5001,"&lt;&gt;"))))</f>
        <v/>
      </c>
      <c r="S199" s="54" t="str">
        <f>IF(OR($B199="",$A199&gt;$B$9,S$175=""),"",IF(COUNTIFS(BD!$B$3:$B$5001,S$175,BD!$A$3:$A$5001,"&gt;="&amp;$C$7,BD!$A$3:$A$5001,"&lt;="&amp;$B199,BD!$W$3:$W$5001,"&lt;&gt;")=0,"",SUMIFS(BD!$W$3:$W$5001,BD!$B$3:$B$5001,S$175,BD!$A$3:$A$5001,_xlfn.MAXIFS(BD!$A$3:$A$5001,BD!$B$3:$B$5001,S$175,BD!$A$3:$A$5001,"&gt;="&amp;$C$7,BD!$A$3:$A$5001,"&lt;="&amp;$B199,BD!$W$3:$W$5001,"&lt;&gt;"))))</f>
        <v/>
      </c>
      <c r="T199" s="54" t="str">
        <f>IF(OR($B199="",$A199&gt;$B$9,T$175=""),"",IF(COUNTIFS(BD!$B$3:$B$5001,T$175,BD!$A$3:$A$5001,"&gt;="&amp;$C$7,BD!$A$3:$A$5001,"&lt;="&amp;$B199,BD!$W$3:$W$5001,"&lt;&gt;")=0,"",SUMIFS(BD!$W$3:$W$5001,BD!$B$3:$B$5001,T$175,BD!$A$3:$A$5001,_xlfn.MAXIFS(BD!$A$3:$A$5001,BD!$B$3:$B$5001,T$175,BD!$A$3:$A$5001,"&gt;="&amp;$C$7,BD!$A$3:$A$5001,"&lt;="&amp;$B199,BD!$W$3:$W$5001,"&lt;&gt;"))))</f>
        <v/>
      </c>
      <c r="U199" s="54" t="str">
        <f>IF(OR($B199="",$A199&gt;$B$9,U$175=""),"",IF(COUNTIFS(BD!$B$3:$B$5001,U$175,BD!$A$3:$A$5001,"&gt;="&amp;$C$7,BD!$A$3:$A$5001,"&lt;="&amp;$B199,BD!$W$3:$W$5001,"&lt;&gt;")=0,"",SUMIFS(BD!$W$3:$W$5001,BD!$B$3:$B$5001,U$175,BD!$A$3:$A$5001,_xlfn.MAXIFS(BD!$A$3:$A$5001,BD!$B$3:$B$5001,U$175,BD!$A$3:$A$5001,"&gt;="&amp;$C$7,BD!$A$3:$A$5001,"&lt;="&amp;$B199,BD!$W$3:$W$5001,"&lt;&gt;"))))</f>
        <v/>
      </c>
      <c r="V199" s="54" t="str">
        <f>IF(OR($B199="",$A199&gt;$B$9,V$175=""),"",IF(COUNTIFS(BD!$B$3:$B$5001,V$175,BD!$A$3:$A$5001,"&gt;="&amp;$C$7,BD!$A$3:$A$5001,"&lt;="&amp;$B199,BD!$W$3:$W$5001,"&lt;&gt;")=0,"",SUMIFS(BD!$W$3:$W$5001,BD!$B$3:$B$5001,V$175,BD!$A$3:$A$5001,_xlfn.MAXIFS(BD!$A$3:$A$5001,BD!$B$3:$B$5001,V$175,BD!$A$3:$A$5001,"&gt;="&amp;$C$7,BD!$A$3:$A$5001,"&lt;="&amp;$B199,BD!$W$3:$W$5001,"&lt;&gt;"))))</f>
        <v/>
      </c>
    </row>
    <row r="200">
      <c r="A200" s="48">
        <v>25</v>
      </c>
      <c r="B200" s="53">
        <f>$B$36</f>
        <v>46320</v>
      </c>
      <c r="C200" s="54" t="str">
        <f>IF(OR($B200="",$A200&gt;$B$9,C$175=""),"",IF(COUNTIFS(BD!$B$3:$B$5001,C$175,BD!$A$3:$A$5001,"&gt;="&amp;$C$7,BD!$A$3:$A$5001,"&lt;="&amp;$B200,BD!$W$3:$W$5001,"&lt;&gt;")=0,"",SUMIFS(BD!$W$3:$W$5001,BD!$B$3:$B$5001,C$175,BD!$A$3:$A$5001,_xlfn.MAXIFS(BD!$A$3:$A$5001,BD!$B$3:$B$5001,C$175,BD!$A$3:$A$5001,"&gt;="&amp;$C$7,BD!$A$3:$A$5001,"&lt;="&amp;$B200,BD!$W$3:$W$5001,"&lt;&gt;"))))</f>
        <v/>
      </c>
      <c r="D200" s="54" t="str">
        <f>IF(OR($B200="",$A200&gt;$B$9,D$175=""),"",IF(COUNTIFS(BD!$B$3:$B$5001,D$175,BD!$A$3:$A$5001,"&gt;="&amp;$C$7,BD!$A$3:$A$5001,"&lt;="&amp;$B200,BD!$W$3:$W$5001,"&lt;&gt;")=0,"",SUMIFS(BD!$W$3:$W$5001,BD!$B$3:$B$5001,D$175,BD!$A$3:$A$5001,_xlfn.MAXIFS(BD!$A$3:$A$5001,BD!$B$3:$B$5001,D$175,BD!$A$3:$A$5001,"&gt;="&amp;$C$7,BD!$A$3:$A$5001,"&lt;="&amp;$B200,BD!$W$3:$W$5001,"&lt;&gt;"))))</f>
        <v/>
      </c>
      <c r="E200" s="54" t="str">
        <f>IF(OR($B200="",$A200&gt;$B$9,E$175=""),"",IF(COUNTIFS(BD!$B$3:$B$5001,E$175,BD!$A$3:$A$5001,"&gt;="&amp;$C$7,BD!$A$3:$A$5001,"&lt;="&amp;$B200,BD!$W$3:$W$5001,"&lt;&gt;")=0,"",SUMIFS(BD!$W$3:$W$5001,BD!$B$3:$B$5001,E$175,BD!$A$3:$A$5001,_xlfn.MAXIFS(BD!$A$3:$A$5001,BD!$B$3:$B$5001,E$175,BD!$A$3:$A$5001,"&gt;="&amp;$C$7,BD!$A$3:$A$5001,"&lt;="&amp;$B200,BD!$W$3:$W$5001,"&lt;&gt;"))))</f>
        <v/>
      </c>
      <c r="F200" s="54" t="str">
        <f>IF(OR($B200="",$A200&gt;$B$9,F$175=""),"",IF(COUNTIFS(BD!$B$3:$B$5001,F$175,BD!$A$3:$A$5001,"&gt;="&amp;$C$7,BD!$A$3:$A$5001,"&lt;="&amp;$B200,BD!$W$3:$W$5001,"&lt;&gt;")=0,"",SUMIFS(BD!$W$3:$W$5001,BD!$B$3:$B$5001,F$175,BD!$A$3:$A$5001,_xlfn.MAXIFS(BD!$A$3:$A$5001,BD!$B$3:$B$5001,F$175,BD!$A$3:$A$5001,"&gt;="&amp;$C$7,BD!$A$3:$A$5001,"&lt;="&amp;$B200,BD!$W$3:$W$5001,"&lt;&gt;"))))</f>
        <v/>
      </c>
      <c r="G200" s="54" t="str">
        <f>IF(OR($B200="",$A200&gt;$B$9,G$175=""),"",IF(COUNTIFS(BD!$B$3:$B$5001,G$175,BD!$A$3:$A$5001,"&gt;="&amp;$C$7,BD!$A$3:$A$5001,"&lt;="&amp;$B200,BD!$W$3:$W$5001,"&lt;&gt;")=0,"",SUMIFS(BD!$W$3:$W$5001,BD!$B$3:$B$5001,G$175,BD!$A$3:$A$5001,_xlfn.MAXIFS(BD!$A$3:$A$5001,BD!$B$3:$B$5001,G$175,BD!$A$3:$A$5001,"&gt;="&amp;$C$7,BD!$A$3:$A$5001,"&lt;="&amp;$B200,BD!$W$3:$W$5001,"&lt;&gt;"))))</f>
        <v/>
      </c>
      <c r="H200" s="54" t="str">
        <f>IF(OR($B200="",$A200&gt;$B$9,H$175=""),"",IF(COUNTIFS(BD!$B$3:$B$5001,H$175,BD!$A$3:$A$5001,"&gt;="&amp;$C$7,BD!$A$3:$A$5001,"&lt;="&amp;$B200,BD!$W$3:$W$5001,"&lt;&gt;")=0,"",SUMIFS(BD!$W$3:$W$5001,BD!$B$3:$B$5001,H$175,BD!$A$3:$A$5001,_xlfn.MAXIFS(BD!$A$3:$A$5001,BD!$B$3:$B$5001,H$175,BD!$A$3:$A$5001,"&gt;="&amp;$C$7,BD!$A$3:$A$5001,"&lt;="&amp;$B200,BD!$W$3:$W$5001,"&lt;&gt;"))))</f>
        <v/>
      </c>
      <c r="I200" s="54" t="str">
        <f>IF(OR($B200="",$A200&gt;$B$9,I$175=""),"",IF(COUNTIFS(BD!$B$3:$B$5001,I$175,BD!$A$3:$A$5001,"&gt;="&amp;$C$7,BD!$A$3:$A$5001,"&lt;="&amp;$B200,BD!$W$3:$W$5001,"&lt;&gt;")=0,"",SUMIFS(BD!$W$3:$W$5001,BD!$B$3:$B$5001,I$175,BD!$A$3:$A$5001,_xlfn.MAXIFS(BD!$A$3:$A$5001,BD!$B$3:$B$5001,I$175,BD!$A$3:$A$5001,"&gt;="&amp;$C$7,BD!$A$3:$A$5001,"&lt;="&amp;$B200,BD!$W$3:$W$5001,"&lt;&gt;"))))</f>
        <v/>
      </c>
      <c r="J200" s="54" t="str">
        <f>IF(OR($B200="",$A200&gt;$B$9,J$175=""),"",IF(COUNTIFS(BD!$B$3:$B$5001,J$175,BD!$A$3:$A$5001,"&gt;="&amp;$C$7,BD!$A$3:$A$5001,"&lt;="&amp;$B200,BD!$W$3:$W$5001,"&lt;&gt;")=0,"",SUMIFS(BD!$W$3:$W$5001,BD!$B$3:$B$5001,J$175,BD!$A$3:$A$5001,_xlfn.MAXIFS(BD!$A$3:$A$5001,BD!$B$3:$B$5001,J$175,BD!$A$3:$A$5001,"&gt;="&amp;$C$7,BD!$A$3:$A$5001,"&lt;="&amp;$B200,BD!$W$3:$W$5001,"&lt;&gt;"))))</f>
        <v/>
      </c>
      <c r="K200" s="54" t="str">
        <f>IF(OR($B200="",$A200&gt;$B$9,K$175=""),"",IF(COUNTIFS(BD!$B$3:$B$5001,K$175,BD!$A$3:$A$5001,"&gt;="&amp;$C$7,BD!$A$3:$A$5001,"&lt;="&amp;$B200,BD!$W$3:$W$5001,"&lt;&gt;")=0,"",SUMIFS(BD!$W$3:$W$5001,BD!$B$3:$B$5001,K$175,BD!$A$3:$A$5001,_xlfn.MAXIFS(BD!$A$3:$A$5001,BD!$B$3:$B$5001,K$175,BD!$A$3:$A$5001,"&gt;="&amp;$C$7,BD!$A$3:$A$5001,"&lt;="&amp;$B200,BD!$W$3:$W$5001,"&lt;&gt;"))))</f>
        <v/>
      </c>
      <c r="L200" s="54" t="str">
        <f>IF(OR($B200="",$A200&gt;$B$9,L$175=""),"",IF(COUNTIFS(BD!$B$3:$B$5001,L$175,BD!$A$3:$A$5001,"&gt;="&amp;$C$7,BD!$A$3:$A$5001,"&lt;="&amp;$B200,BD!$W$3:$W$5001,"&lt;&gt;")=0,"",SUMIFS(BD!$W$3:$W$5001,BD!$B$3:$B$5001,L$175,BD!$A$3:$A$5001,_xlfn.MAXIFS(BD!$A$3:$A$5001,BD!$B$3:$B$5001,L$175,BD!$A$3:$A$5001,"&gt;="&amp;$C$7,BD!$A$3:$A$5001,"&lt;="&amp;$B200,BD!$W$3:$W$5001,"&lt;&gt;"))))</f>
        <v/>
      </c>
      <c r="M200" s="54" t="str">
        <f>IF(OR($B200="",$A200&gt;$B$9,M$175=""),"",IF(COUNTIFS(BD!$B$3:$B$5001,M$175,BD!$A$3:$A$5001,"&gt;="&amp;$C$7,BD!$A$3:$A$5001,"&lt;="&amp;$B200,BD!$W$3:$W$5001,"&lt;&gt;")=0,"",SUMIFS(BD!$W$3:$W$5001,BD!$B$3:$B$5001,M$175,BD!$A$3:$A$5001,_xlfn.MAXIFS(BD!$A$3:$A$5001,BD!$B$3:$B$5001,M$175,BD!$A$3:$A$5001,"&gt;="&amp;$C$7,BD!$A$3:$A$5001,"&lt;="&amp;$B200,BD!$W$3:$W$5001,"&lt;&gt;"))))</f>
        <v/>
      </c>
      <c r="N200" s="54" t="str">
        <f>IF(OR($B200="",$A200&gt;$B$9,N$175=""),"",IF(COUNTIFS(BD!$B$3:$B$5001,N$175,BD!$A$3:$A$5001,"&gt;="&amp;$C$7,BD!$A$3:$A$5001,"&lt;="&amp;$B200,BD!$W$3:$W$5001,"&lt;&gt;")=0,"",SUMIFS(BD!$W$3:$W$5001,BD!$B$3:$B$5001,N$175,BD!$A$3:$A$5001,_xlfn.MAXIFS(BD!$A$3:$A$5001,BD!$B$3:$B$5001,N$175,BD!$A$3:$A$5001,"&gt;="&amp;$C$7,BD!$A$3:$A$5001,"&lt;="&amp;$B200,BD!$W$3:$W$5001,"&lt;&gt;"))))</f>
        <v/>
      </c>
      <c r="O200" s="54" t="str">
        <f>IF(OR($B200="",$A200&gt;$B$9,O$175=""),"",IF(COUNTIFS(BD!$B$3:$B$5001,O$175,BD!$A$3:$A$5001,"&gt;="&amp;$C$7,BD!$A$3:$A$5001,"&lt;="&amp;$B200,BD!$W$3:$W$5001,"&lt;&gt;")=0,"",SUMIFS(BD!$W$3:$W$5001,BD!$B$3:$B$5001,O$175,BD!$A$3:$A$5001,_xlfn.MAXIFS(BD!$A$3:$A$5001,BD!$B$3:$B$5001,O$175,BD!$A$3:$A$5001,"&gt;="&amp;$C$7,BD!$A$3:$A$5001,"&lt;="&amp;$B200,BD!$W$3:$W$5001,"&lt;&gt;"))))</f>
        <v/>
      </c>
      <c r="P200" s="54" t="str">
        <f>IF(OR($B200="",$A200&gt;$B$9,P$175=""),"",IF(COUNTIFS(BD!$B$3:$B$5001,P$175,BD!$A$3:$A$5001,"&gt;="&amp;$C$7,BD!$A$3:$A$5001,"&lt;="&amp;$B200,BD!$W$3:$W$5001,"&lt;&gt;")=0,"",SUMIFS(BD!$W$3:$W$5001,BD!$B$3:$B$5001,P$175,BD!$A$3:$A$5001,_xlfn.MAXIFS(BD!$A$3:$A$5001,BD!$B$3:$B$5001,P$175,BD!$A$3:$A$5001,"&gt;="&amp;$C$7,BD!$A$3:$A$5001,"&lt;="&amp;$B200,BD!$W$3:$W$5001,"&lt;&gt;"))))</f>
        <v/>
      </c>
      <c r="Q200" s="54" t="str">
        <f>IF(OR($B200="",$A200&gt;$B$9,Q$175=""),"",IF(COUNTIFS(BD!$B$3:$B$5001,Q$175,BD!$A$3:$A$5001,"&gt;="&amp;$C$7,BD!$A$3:$A$5001,"&lt;="&amp;$B200,BD!$W$3:$W$5001,"&lt;&gt;")=0,"",SUMIFS(BD!$W$3:$W$5001,BD!$B$3:$B$5001,Q$175,BD!$A$3:$A$5001,_xlfn.MAXIFS(BD!$A$3:$A$5001,BD!$B$3:$B$5001,Q$175,BD!$A$3:$A$5001,"&gt;="&amp;$C$7,BD!$A$3:$A$5001,"&lt;="&amp;$B200,BD!$W$3:$W$5001,"&lt;&gt;"))))</f>
        <v/>
      </c>
      <c r="R200" s="54" t="str">
        <f>IF(OR($B200="",$A200&gt;$B$9,R$175=""),"",IF(COUNTIFS(BD!$B$3:$B$5001,R$175,BD!$A$3:$A$5001,"&gt;="&amp;$C$7,BD!$A$3:$A$5001,"&lt;="&amp;$B200,BD!$W$3:$W$5001,"&lt;&gt;")=0,"",SUMIFS(BD!$W$3:$W$5001,BD!$B$3:$B$5001,R$175,BD!$A$3:$A$5001,_xlfn.MAXIFS(BD!$A$3:$A$5001,BD!$B$3:$B$5001,R$175,BD!$A$3:$A$5001,"&gt;="&amp;$C$7,BD!$A$3:$A$5001,"&lt;="&amp;$B200,BD!$W$3:$W$5001,"&lt;&gt;"))))</f>
        <v/>
      </c>
      <c r="S200" s="54" t="str">
        <f>IF(OR($B200="",$A200&gt;$B$9,S$175=""),"",IF(COUNTIFS(BD!$B$3:$B$5001,S$175,BD!$A$3:$A$5001,"&gt;="&amp;$C$7,BD!$A$3:$A$5001,"&lt;="&amp;$B200,BD!$W$3:$W$5001,"&lt;&gt;")=0,"",SUMIFS(BD!$W$3:$W$5001,BD!$B$3:$B$5001,S$175,BD!$A$3:$A$5001,_xlfn.MAXIFS(BD!$A$3:$A$5001,BD!$B$3:$B$5001,S$175,BD!$A$3:$A$5001,"&gt;="&amp;$C$7,BD!$A$3:$A$5001,"&lt;="&amp;$B200,BD!$W$3:$W$5001,"&lt;&gt;"))))</f>
        <v/>
      </c>
      <c r="T200" s="54" t="str">
        <f>IF(OR($B200="",$A200&gt;$B$9,T$175=""),"",IF(COUNTIFS(BD!$B$3:$B$5001,T$175,BD!$A$3:$A$5001,"&gt;="&amp;$C$7,BD!$A$3:$A$5001,"&lt;="&amp;$B200,BD!$W$3:$W$5001,"&lt;&gt;")=0,"",SUMIFS(BD!$W$3:$W$5001,BD!$B$3:$B$5001,T$175,BD!$A$3:$A$5001,_xlfn.MAXIFS(BD!$A$3:$A$5001,BD!$B$3:$B$5001,T$175,BD!$A$3:$A$5001,"&gt;="&amp;$C$7,BD!$A$3:$A$5001,"&lt;="&amp;$B200,BD!$W$3:$W$5001,"&lt;&gt;"))))</f>
        <v/>
      </c>
      <c r="U200" s="54" t="str">
        <f>IF(OR($B200="",$A200&gt;$B$9,U$175=""),"",IF(COUNTIFS(BD!$B$3:$B$5001,U$175,BD!$A$3:$A$5001,"&gt;="&amp;$C$7,BD!$A$3:$A$5001,"&lt;="&amp;$B200,BD!$W$3:$W$5001,"&lt;&gt;")=0,"",SUMIFS(BD!$W$3:$W$5001,BD!$B$3:$B$5001,U$175,BD!$A$3:$A$5001,_xlfn.MAXIFS(BD!$A$3:$A$5001,BD!$B$3:$B$5001,U$175,BD!$A$3:$A$5001,"&gt;="&amp;$C$7,BD!$A$3:$A$5001,"&lt;="&amp;$B200,BD!$W$3:$W$5001,"&lt;&gt;"))))</f>
        <v/>
      </c>
      <c r="V200" s="54" t="str">
        <f>IF(OR($B200="",$A200&gt;$B$9,V$175=""),"",IF(COUNTIFS(BD!$B$3:$B$5001,V$175,BD!$A$3:$A$5001,"&gt;="&amp;$C$7,BD!$A$3:$A$5001,"&lt;="&amp;$B200,BD!$W$3:$W$5001,"&lt;&gt;")=0,"",SUMIFS(BD!$W$3:$W$5001,BD!$B$3:$B$5001,V$175,BD!$A$3:$A$5001,_xlfn.MAXIFS(BD!$A$3:$A$5001,BD!$B$3:$B$5001,V$175,BD!$A$3:$A$5001,"&gt;="&amp;$C$7,BD!$A$3:$A$5001,"&lt;="&amp;$B200,BD!$W$3:$W$5001,"&lt;&gt;"))))</f>
        <v/>
      </c>
    </row>
    <row r="201">
      <c r="A201" s="48">
        <v>26</v>
      </c>
      <c r="B201" s="53">
        <f>$B$37</f>
        <v>46321</v>
      </c>
      <c r="C201" s="54" t="str">
        <f>IF(OR($B201="",$A201&gt;$B$9,C$175=""),"",IF(COUNTIFS(BD!$B$3:$B$5001,C$175,BD!$A$3:$A$5001,"&gt;="&amp;$C$7,BD!$A$3:$A$5001,"&lt;="&amp;$B201,BD!$W$3:$W$5001,"&lt;&gt;")=0,"",SUMIFS(BD!$W$3:$W$5001,BD!$B$3:$B$5001,C$175,BD!$A$3:$A$5001,_xlfn.MAXIFS(BD!$A$3:$A$5001,BD!$B$3:$B$5001,C$175,BD!$A$3:$A$5001,"&gt;="&amp;$C$7,BD!$A$3:$A$5001,"&lt;="&amp;$B201,BD!$W$3:$W$5001,"&lt;&gt;"))))</f>
        <v/>
      </c>
      <c r="D201" s="54" t="str">
        <f>IF(OR($B201="",$A201&gt;$B$9,D$175=""),"",IF(COUNTIFS(BD!$B$3:$B$5001,D$175,BD!$A$3:$A$5001,"&gt;="&amp;$C$7,BD!$A$3:$A$5001,"&lt;="&amp;$B201,BD!$W$3:$W$5001,"&lt;&gt;")=0,"",SUMIFS(BD!$W$3:$W$5001,BD!$B$3:$B$5001,D$175,BD!$A$3:$A$5001,_xlfn.MAXIFS(BD!$A$3:$A$5001,BD!$B$3:$B$5001,D$175,BD!$A$3:$A$5001,"&gt;="&amp;$C$7,BD!$A$3:$A$5001,"&lt;="&amp;$B201,BD!$W$3:$W$5001,"&lt;&gt;"))))</f>
        <v/>
      </c>
      <c r="E201" s="54" t="str">
        <f>IF(OR($B201="",$A201&gt;$B$9,E$175=""),"",IF(COUNTIFS(BD!$B$3:$B$5001,E$175,BD!$A$3:$A$5001,"&gt;="&amp;$C$7,BD!$A$3:$A$5001,"&lt;="&amp;$B201,BD!$W$3:$W$5001,"&lt;&gt;")=0,"",SUMIFS(BD!$W$3:$W$5001,BD!$B$3:$B$5001,E$175,BD!$A$3:$A$5001,_xlfn.MAXIFS(BD!$A$3:$A$5001,BD!$B$3:$B$5001,E$175,BD!$A$3:$A$5001,"&gt;="&amp;$C$7,BD!$A$3:$A$5001,"&lt;="&amp;$B201,BD!$W$3:$W$5001,"&lt;&gt;"))))</f>
        <v/>
      </c>
      <c r="F201" s="54" t="str">
        <f>IF(OR($B201="",$A201&gt;$B$9,F$175=""),"",IF(COUNTIFS(BD!$B$3:$B$5001,F$175,BD!$A$3:$A$5001,"&gt;="&amp;$C$7,BD!$A$3:$A$5001,"&lt;="&amp;$B201,BD!$W$3:$W$5001,"&lt;&gt;")=0,"",SUMIFS(BD!$W$3:$W$5001,BD!$B$3:$B$5001,F$175,BD!$A$3:$A$5001,_xlfn.MAXIFS(BD!$A$3:$A$5001,BD!$B$3:$B$5001,F$175,BD!$A$3:$A$5001,"&gt;="&amp;$C$7,BD!$A$3:$A$5001,"&lt;="&amp;$B201,BD!$W$3:$W$5001,"&lt;&gt;"))))</f>
        <v/>
      </c>
      <c r="G201" s="54" t="str">
        <f>IF(OR($B201="",$A201&gt;$B$9,G$175=""),"",IF(COUNTIFS(BD!$B$3:$B$5001,G$175,BD!$A$3:$A$5001,"&gt;="&amp;$C$7,BD!$A$3:$A$5001,"&lt;="&amp;$B201,BD!$W$3:$W$5001,"&lt;&gt;")=0,"",SUMIFS(BD!$W$3:$W$5001,BD!$B$3:$B$5001,G$175,BD!$A$3:$A$5001,_xlfn.MAXIFS(BD!$A$3:$A$5001,BD!$B$3:$B$5001,G$175,BD!$A$3:$A$5001,"&gt;="&amp;$C$7,BD!$A$3:$A$5001,"&lt;="&amp;$B201,BD!$W$3:$W$5001,"&lt;&gt;"))))</f>
        <v/>
      </c>
      <c r="H201" s="54" t="str">
        <f>IF(OR($B201="",$A201&gt;$B$9,H$175=""),"",IF(COUNTIFS(BD!$B$3:$B$5001,H$175,BD!$A$3:$A$5001,"&gt;="&amp;$C$7,BD!$A$3:$A$5001,"&lt;="&amp;$B201,BD!$W$3:$W$5001,"&lt;&gt;")=0,"",SUMIFS(BD!$W$3:$W$5001,BD!$B$3:$B$5001,H$175,BD!$A$3:$A$5001,_xlfn.MAXIFS(BD!$A$3:$A$5001,BD!$B$3:$B$5001,H$175,BD!$A$3:$A$5001,"&gt;="&amp;$C$7,BD!$A$3:$A$5001,"&lt;="&amp;$B201,BD!$W$3:$W$5001,"&lt;&gt;"))))</f>
        <v/>
      </c>
      <c r="I201" s="54" t="str">
        <f>IF(OR($B201="",$A201&gt;$B$9,I$175=""),"",IF(COUNTIFS(BD!$B$3:$B$5001,I$175,BD!$A$3:$A$5001,"&gt;="&amp;$C$7,BD!$A$3:$A$5001,"&lt;="&amp;$B201,BD!$W$3:$W$5001,"&lt;&gt;")=0,"",SUMIFS(BD!$W$3:$W$5001,BD!$B$3:$B$5001,I$175,BD!$A$3:$A$5001,_xlfn.MAXIFS(BD!$A$3:$A$5001,BD!$B$3:$B$5001,I$175,BD!$A$3:$A$5001,"&gt;="&amp;$C$7,BD!$A$3:$A$5001,"&lt;="&amp;$B201,BD!$W$3:$W$5001,"&lt;&gt;"))))</f>
        <v/>
      </c>
      <c r="J201" s="54" t="str">
        <f>IF(OR($B201="",$A201&gt;$B$9,J$175=""),"",IF(COUNTIFS(BD!$B$3:$B$5001,J$175,BD!$A$3:$A$5001,"&gt;="&amp;$C$7,BD!$A$3:$A$5001,"&lt;="&amp;$B201,BD!$W$3:$W$5001,"&lt;&gt;")=0,"",SUMIFS(BD!$W$3:$W$5001,BD!$B$3:$B$5001,J$175,BD!$A$3:$A$5001,_xlfn.MAXIFS(BD!$A$3:$A$5001,BD!$B$3:$B$5001,J$175,BD!$A$3:$A$5001,"&gt;="&amp;$C$7,BD!$A$3:$A$5001,"&lt;="&amp;$B201,BD!$W$3:$W$5001,"&lt;&gt;"))))</f>
        <v/>
      </c>
      <c r="K201" s="54" t="str">
        <f>IF(OR($B201="",$A201&gt;$B$9,K$175=""),"",IF(COUNTIFS(BD!$B$3:$B$5001,K$175,BD!$A$3:$A$5001,"&gt;="&amp;$C$7,BD!$A$3:$A$5001,"&lt;="&amp;$B201,BD!$W$3:$W$5001,"&lt;&gt;")=0,"",SUMIFS(BD!$W$3:$W$5001,BD!$B$3:$B$5001,K$175,BD!$A$3:$A$5001,_xlfn.MAXIFS(BD!$A$3:$A$5001,BD!$B$3:$B$5001,K$175,BD!$A$3:$A$5001,"&gt;="&amp;$C$7,BD!$A$3:$A$5001,"&lt;="&amp;$B201,BD!$W$3:$W$5001,"&lt;&gt;"))))</f>
        <v/>
      </c>
      <c r="L201" s="54" t="str">
        <f>IF(OR($B201="",$A201&gt;$B$9,L$175=""),"",IF(COUNTIFS(BD!$B$3:$B$5001,L$175,BD!$A$3:$A$5001,"&gt;="&amp;$C$7,BD!$A$3:$A$5001,"&lt;="&amp;$B201,BD!$W$3:$W$5001,"&lt;&gt;")=0,"",SUMIFS(BD!$W$3:$W$5001,BD!$B$3:$B$5001,L$175,BD!$A$3:$A$5001,_xlfn.MAXIFS(BD!$A$3:$A$5001,BD!$B$3:$B$5001,L$175,BD!$A$3:$A$5001,"&gt;="&amp;$C$7,BD!$A$3:$A$5001,"&lt;="&amp;$B201,BD!$W$3:$W$5001,"&lt;&gt;"))))</f>
        <v/>
      </c>
      <c r="M201" s="54" t="str">
        <f>IF(OR($B201="",$A201&gt;$B$9,M$175=""),"",IF(COUNTIFS(BD!$B$3:$B$5001,M$175,BD!$A$3:$A$5001,"&gt;="&amp;$C$7,BD!$A$3:$A$5001,"&lt;="&amp;$B201,BD!$W$3:$W$5001,"&lt;&gt;")=0,"",SUMIFS(BD!$W$3:$W$5001,BD!$B$3:$B$5001,M$175,BD!$A$3:$A$5001,_xlfn.MAXIFS(BD!$A$3:$A$5001,BD!$B$3:$B$5001,M$175,BD!$A$3:$A$5001,"&gt;="&amp;$C$7,BD!$A$3:$A$5001,"&lt;="&amp;$B201,BD!$W$3:$W$5001,"&lt;&gt;"))))</f>
        <v/>
      </c>
      <c r="N201" s="54" t="str">
        <f>IF(OR($B201="",$A201&gt;$B$9,N$175=""),"",IF(COUNTIFS(BD!$B$3:$B$5001,N$175,BD!$A$3:$A$5001,"&gt;="&amp;$C$7,BD!$A$3:$A$5001,"&lt;="&amp;$B201,BD!$W$3:$W$5001,"&lt;&gt;")=0,"",SUMIFS(BD!$W$3:$W$5001,BD!$B$3:$B$5001,N$175,BD!$A$3:$A$5001,_xlfn.MAXIFS(BD!$A$3:$A$5001,BD!$B$3:$B$5001,N$175,BD!$A$3:$A$5001,"&gt;="&amp;$C$7,BD!$A$3:$A$5001,"&lt;="&amp;$B201,BD!$W$3:$W$5001,"&lt;&gt;"))))</f>
        <v/>
      </c>
      <c r="O201" s="54" t="str">
        <f>IF(OR($B201="",$A201&gt;$B$9,O$175=""),"",IF(COUNTIFS(BD!$B$3:$B$5001,O$175,BD!$A$3:$A$5001,"&gt;="&amp;$C$7,BD!$A$3:$A$5001,"&lt;="&amp;$B201,BD!$W$3:$W$5001,"&lt;&gt;")=0,"",SUMIFS(BD!$W$3:$W$5001,BD!$B$3:$B$5001,O$175,BD!$A$3:$A$5001,_xlfn.MAXIFS(BD!$A$3:$A$5001,BD!$B$3:$B$5001,O$175,BD!$A$3:$A$5001,"&gt;="&amp;$C$7,BD!$A$3:$A$5001,"&lt;="&amp;$B201,BD!$W$3:$W$5001,"&lt;&gt;"))))</f>
        <v/>
      </c>
      <c r="P201" s="54" t="str">
        <f>IF(OR($B201="",$A201&gt;$B$9,P$175=""),"",IF(COUNTIFS(BD!$B$3:$B$5001,P$175,BD!$A$3:$A$5001,"&gt;="&amp;$C$7,BD!$A$3:$A$5001,"&lt;="&amp;$B201,BD!$W$3:$W$5001,"&lt;&gt;")=0,"",SUMIFS(BD!$W$3:$W$5001,BD!$B$3:$B$5001,P$175,BD!$A$3:$A$5001,_xlfn.MAXIFS(BD!$A$3:$A$5001,BD!$B$3:$B$5001,P$175,BD!$A$3:$A$5001,"&gt;="&amp;$C$7,BD!$A$3:$A$5001,"&lt;="&amp;$B201,BD!$W$3:$W$5001,"&lt;&gt;"))))</f>
        <v/>
      </c>
      <c r="Q201" s="54" t="str">
        <f>IF(OR($B201="",$A201&gt;$B$9,Q$175=""),"",IF(COUNTIFS(BD!$B$3:$B$5001,Q$175,BD!$A$3:$A$5001,"&gt;="&amp;$C$7,BD!$A$3:$A$5001,"&lt;="&amp;$B201,BD!$W$3:$W$5001,"&lt;&gt;")=0,"",SUMIFS(BD!$W$3:$W$5001,BD!$B$3:$B$5001,Q$175,BD!$A$3:$A$5001,_xlfn.MAXIFS(BD!$A$3:$A$5001,BD!$B$3:$B$5001,Q$175,BD!$A$3:$A$5001,"&gt;="&amp;$C$7,BD!$A$3:$A$5001,"&lt;="&amp;$B201,BD!$W$3:$W$5001,"&lt;&gt;"))))</f>
        <v/>
      </c>
      <c r="R201" s="54" t="str">
        <f>IF(OR($B201="",$A201&gt;$B$9,R$175=""),"",IF(COUNTIFS(BD!$B$3:$B$5001,R$175,BD!$A$3:$A$5001,"&gt;="&amp;$C$7,BD!$A$3:$A$5001,"&lt;="&amp;$B201,BD!$W$3:$W$5001,"&lt;&gt;")=0,"",SUMIFS(BD!$W$3:$W$5001,BD!$B$3:$B$5001,R$175,BD!$A$3:$A$5001,_xlfn.MAXIFS(BD!$A$3:$A$5001,BD!$B$3:$B$5001,R$175,BD!$A$3:$A$5001,"&gt;="&amp;$C$7,BD!$A$3:$A$5001,"&lt;="&amp;$B201,BD!$W$3:$W$5001,"&lt;&gt;"))))</f>
        <v/>
      </c>
      <c r="S201" s="54" t="str">
        <f>IF(OR($B201="",$A201&gt;$B$9,S$175=""),"",IF(COUNTIFS(BD!$B$3:$B$5001,S$175,BD!$A$3:$A$5001,"&gt;="&amp;$C$7,BD!$A$3:$A$5001,"&lt;="&amp;$B201,BD!$W$3:$W$5001,"&lt;&gt;")=0,"",SUMIFS(BD!$W$3:$W$5001,BD!$B$3:$B$5001,S$175,BD!$A$3:$A$5001,_xlfn.MAXIFS(BD!$A$3:$A$5001,BD!$B$3:$B$5001,S$175,BD!$A$3:$A$5001,"&gt;="&amp;$C$7,BD!$A$3:$A$5001,"&lt;="&amp;$B201,BD!$W$3:$W$5001,"&lt;&gt;"))))</f>
        <v/>
      </c>
      <c r="T201" s="54" t="str">
        <f>IF(OR($B201="",$A201&gt;$B$9,T$175=""),"",IF(COUNTIFS(BD!$B$3:$B$5001,T$175,BD!$A$3:$A$5001,"&gt;="&amp;$C$7,BD!$A$3:$A$5001,"&lt;="&amp;$B201,BD!$W$3:$W$5001,"&lt;&gt;")=0,"",SUMIFS(BD!$W$3:$W$5001,BD!$B$3:$B$5001,T$175,BD!$A$3:$A$5001,_xlfn.MAXIFS(BD!$A$3:$A$5001,BD!$B$3:$B$5001,T$175,BD!$A$3:$A$5001,"&gt;="&amp;$C$7,BD!$A$3:$A$5001,"&lt;="&amp;$B201,BD!$W$3:$W$5001,"&lt;&gt;"))))</f>
        <v/>
      </c>
      <c r="U201" s="54" t="str">
        <f>IF(OR($B201="",$A201&gt;$B$9,U$175=""),"",IF(COUNTIFS(BD!$B$3:$B$5001,U$175,BD!$A$3:$A$5001,"&gt;="&amp;$C$7,BD!$A$3:$A$5001,"&lt;="&amp;$B201,BD!$W$3:$W$5001,"&lt;&gt;")=0,"",SUMIFS(BD!$W$3:$W$5001,BD!$B$3:$B$5001,U$175,BD!$A$3:$A$5001,_xlfn.MAXIFS(BD!$A$3:$A$5001,BD!$B$3:$B$5001,U$175,BD!$A$3:$A$5001,"&gt;="&amp;$C$7,BD!$A$3:$A$5001,"&lt;="&amp;$B201,BD!$W$3:$W$5001,"&lt;&gt;"))))</f>
        <v/>
      </c>
      <c r="V201" s="54" t="str">
        <f>IF(OR($B201="",$A201&gt;$B$9,V$175=""),"",IF(COUNTIFS(BD!$B$3:$B$5001,V$175,BD!$A$3:$A$5001,"&gt;="&amp;$C$7,BD!$A$3:$A$5001,"&lt;="&amp;$B201,BD!$W$3:$W$5001,"&lt;&gt;")=0,"",SUMIFS(BD!$W$3:$W$5001,BD!$B$3:$B$5001,V$175,BD!$A$3:$A$5001,_xlfn.MAXIFS(BD!$A$3:$A$5001,BD!$B$3:$B$5001,V$175,BD!$A$3:$A$5001,"&gt;="&amp;$C$7,BD!$A$3:$A$5001,"&lt;="&amp;$B201,BD!$W$3:$W$5001,"&lt;&gt;"))))</f>
        <v/>
      </c>
    </row>
    <row r="202">
      <c r="A202" s="48">
        <v>27</v>
      </c>
      <c r="B202" s="53">
        <f>$B$38</f>
        <v>46322</v>
      </c>
      <c r="C202" s="54" t="str">
        <f>IF(OR($B202="",$A202&gt;$B$9,C$175=""),"",IF(COUNTIFS(BD!$B$3:$B$5001,C$175,BD!$A$3:$A$5001,"&gt;="&amp;$C$7,BD!$A$3:$A$5001,"&lt;="&amp;$B202,BD!$W$3:$W$5001,"&lt;&gt;")=0,"",SUMIFS(BD!$W$3:$W$5001,BD!$B$3:$B$5001,C$175,BD!$A$3:$A$5001,_xlfn.MAXIFS(BD!$A$3:$A$5001,BD!$B$3:$B$5001,C$175,BD!$A$3:$A$5001,"&gt;="&amp;$C$7,BD!$A$3:$A$5001,"&lt;="&amp;$B202,BD!$W$3:$W$5001,"&lt;&gt;"))))</f>
        <v/>
      </c>
      <c r="D202" s="54" t="str">
        <f>IF(OR($B202="",$A202&gt;$B$9,D$175=""),"",IF(COUNTIFS(BD!$B$3:$B$5001,D$175,BD!$A$3:$A$5001,"&gt;="&amp;$C$7,BD!$A$3:$A$5001,"&lt;="&amp;$B202,BD!$W$3:$W$5001,"&lt;&gt;")=0,"",SUMIFS(BD!$W$3:$W$5001,BD!$B$3:$B$5001,D$175,BD!$A$3:$A$5001,_xlfn.MAXIFS(BD!$A$3:$A$5001,BD!$B$3:$B$5001,D$175,BD!$A$3:$A$5001,"&gt;="&amp;$C$7,BD!$A$3:$A$5001,"&lt;="&amp;$B202,BD!$W$3:$W$5001,"&lt;&gt;"))))</f>
        <v/>
      </c>
      <c r="E202" s="54" t="str">
        <f>IF(OR($B202="",$A202&gt;$B$9,E$175=""),"",IF(COUNTIFS(BD!$B$3:$B$5001,E$175,BD!$A$3:$A$5001,"&gt;="&amp;$C$7,BD!$A$3:$A$5001,"&lt;="&amp;$B202,BD!$W$3:$W$5001,"&lt;&gt;")=0,"",SUMIFS(BD!$W$3:$W$5001,BD!$B$3:$B$5001,E$175,BD!$A$3:$A$5001,_xlfn.MAXIFS(BD!$A$3:$A$5001,BD!$B$3:$B$5001,E$175,BD!$A$3:$A$5001,"&gt;="&amp;$C$7,BD!$A$3:$A$5001,"&lt;="&amp;$B202,BD!$W$3:$W$5001,"&lt;&gt;"))))</f>
        <v/>
      </c>
      <c r="F202" s="54" t="str">
        <f>IF(OR($B202="",$A202&gt;$B$9,F$175=""),"",IF(COUNTIFS(BD!$B$3:$B$5001,F$175,BD!$A$3:$A$5001,"&gt;="&amp;$C$7,BD!$A$3:$A$5001,"&lt;="&amp;$B202,BD!$W$3:$W$5001,"&lt;&gt;")=0,"",SUMIFS(BD!$W$3:$W$5001,BD!$B$3:$B$5001,F$175,BD!$A$3:$A$5001,_xlfn.MAXIFS(BD!$A$3:$A$5001,BD!$B$3:$B$5001,F$175,BD!$A$3:$A$5001,"&gt;="&amp;$C$7,BD!$A$3:$A$5001,"&lt;="&amp;$B202,BD!$W$3:$W$5001,"&lt;&gt;"))))</f>
        <v/>
      </c>
      <c r="G202" s="54" t="str">
        <f>IF(OR($B202="",$A202&gt;$B$9,G$175=""),"",IF(COUNTIFS(BD!$B$3:$B$5001,G$175,BD!$A$3:$A$5001,"&gt;="&amp;$C$7,BD!$A$3:$A$5001,"&lt;="&amp;$B202,BD!$W$3:$W$5001,"&lt;&gt;")=0,"",SUMIFS(BD!$W$3:$W$5001,BD!$B$3:$B$5001,G$175,BD!$A$3:$A$5001,_xlfn.MAXIFS(BD!$A$3:$A$5001,BD!$B$3:$B$5001,G$175,BD!$A$3:$A$5001,"&gt;="&amp;$C$7,BD!$A$3:$A$5001,"&lt;="&amp;$B202,BD!$W$3:$W$5001,"&lt;&gt;"))))</f>
        <v/>
      </c>
      <c r="H202" s="54" t="str">
        <f>IF(OR($B202="",$A202&gt;$B$9,H$175=""),"",IF(COUNTIFS(BD!$B$3:$B$5001,H$175,BD!$A$3:$A$5001,"&gt;="&amp;$C$7,BD!$A$3:$A$5001,"&lt;="&amp;$B202,BD!$W$3:$W$5001,"&lt;&gt;")=0,"",SUMIFS(BD!$W$3:$W$5001,BD!$B$3:$B$5001,H$175,BD!$A$3:$A$5001,_xlfn.MAXIFS(BD!$A$3:$A$5001,BD!$B$3:$B$5001,H$175,BD!$A$3:$A$5001,"&gt;="&amp;$C$7,BD!$A$3:$A$5001,"&lt;="&amp;$B202,BD!$W$3:$W$5001,"&lt;&gt;"))))</f>
        <v/>
      </c>
      <c r="I202" s="54" t="str">
        <f>IF(OR($B202="",$A202&gt;$B$9,I$175=""),"",IF(COUNTIFS(BD!$B$3:$B$5001,I$175,BD!$A$3:$A$5001,"&gt;="&amp;$C$7,BD!$A$3:$A$5001,"&lt;="&amp;$B202,BD!$W$3:$W$5001,"&lt;&gt;")=0,"",SUMIFS(BD!$W$3:$W$5001,BD!$B$3:$B$5001,I$175,BD!$A$3:$A$5001,_xlfn.MAXIFS(BD!$A$3:$A$5001,BD!$B$3:$B$5001,I$175,BD!$A$3:$A$5001,"&gt;="&amp;$C$7,BD!$A$3:$A$5001,"&lt;="&amp;$B202,BD!$W$3:$W$5001,"&lt;&gt;"))))</f>
        <v/>
      </c>
      <c r="J202" s="54" t="str">
        <f>IF(OR($B202="",$A202&gt;$B$9,J$175=""),"",IF(COUNTIFS(BD!$B$3:$B$5001,J$175,BD!$A$3:$A$5001,"&gt;="&amp;$C$7,BD!$A$3:$A$5001,"&lt;="&amp;$B202,BD!$W$3:$W$5001,"&lt;&gt;")=0,"",SUMIFS(BD!$W$3:$W$5001,BD!$B$3:$B$5001,J$175,BD!$A$3:$A$5001,_xlfn.MAXIFS(BD!$A$3:$A$5001,BD!$B$3:$B$5001,J$175,BD!$A$3:$A$5001,"&gt;="&amp;$C$7,BD!$A$3:$A$5001,"&lt;="&amp;$B202,BD!$W$3:$W$5001,"&lt;&gt;"))))</f>
        <v/>
      </c>
      <c r="K202" s="54" t="str">
        <f>IF(OR($B202="",$A202&gt;$B$9,K$175=""),"",IF(COUNTIFS(BD!$B$3:$B$5001,K$175,BD!$A$3:$A$5001,"&gt;="&amp;$C$7,BD!$A$3:$A$5001,"&lt;="&amp;$B202,BD!$W$3:$W$5001,"&lt;&gt;")=0,"",SUMIFS(BD!$W$3:$W$5001,BD!$B$3:$B$5001,K$175,BD!$A$3:$A$5001,_xlfn.MAXIFS(BD!$A$3:$A$5001,BD!$B$3:$B$5001,K$175,BD!$A$3:$A$5001,"&gt;="&amp;$C$7,BD!$A$3:$A$5001,"&lt;="&amp;$B202,BD!$W$3:$W$5001,"&lt;&gt;"))))</f>
        <v/>
      </c>
      <c r="L202" s="54" t="str">
        <f>IF(OR($B202="",$A202&gt;$B$9,L$175=""),"",IF(COUNTIFS(BD!$B$3:$B$5001,L$175,BD!$A$3:$A$5001,"&gt;="&amp;$C$7,BD!$A$3:$A$5001,"&lt;="&amp;$B202,BD!$W$3:$W$5001,"&lt;&gt;")=0,"",SUMIFS(BD!$W$3:$W$5001,BD!$B$3:$B$5001,L$175,BD!$A$3:$A$5001,_xlfn.MAXIFS(BD!$A$3:$A$5001,BD!$B$3:$B$5001,L$175,BD!$A$3:$A$5001,"&gt;="&amp;$C$7,BD!$A$3:$A$5001,"&lt;="&amp;$B202,BD!$W$3:$W$5001,"&lt;&gt;"))))</f>
        <v/>
      </c>
      <c r="M202" s="54" t="str">
        <f>IF(OR($B202="",$A202&gt;$B$9,M$175=""),"",IF(COUNTIFS(BD!$B$3:$B$5001,M$175,BD!$A$3:$A$5001,"&gt;="&amp;$C$7,BD!$A$3:$A$5001,"&lt;="&amp;$B202,BD!$W$3:$W$5001,"&lt;&gt;")=0,"",SUMIFS(BD!$W$3:$W$5001,BD!$B$3:$B$5001,M$175,BD!$A$3:$A$5001,_xlfn.MAXIFS(BD!$A$3:$A$5001,BD!$B$3:$B$5001,M$175,BD!$A$3:$A$5001,"&gt;="&amp;$C$7,BD!$A$3:$A$5001,"&lt;="&amp;$B202,BD!$W$3:$W$5001,"&lt;&gt;"))))</f>
        <v/>
      </c>
      <c r="N202" s="54" t="str">
        <f>IF(OR($B202="",$A202&gt;$B$9,N$175=""),"",IF(COUNTIFS(BD!$B$3:$B$5001,N$175,BD!$A$3:$A$5001,"&gt;="&amp;$C$7,BD!$A$3:$A$5001,"&lt;="&amp;$B202,BD!$W$3:$W$5001,"&lt;&gt;")=0,"",SUMIFS(BD!$W$3:$W$5001,BD!$B$3:$B$5001,N$175,BD!$A$3:$A$5001,_xlfn.MAXIFS(BD!$A$3:$A$5001,BD!$B$3:$B$5001,N$175,BD!$A$3:$A$5001,"&gt;="&amp;$C$7,BD!$A$3:$A$5001,"&lt;="&amp;$B202,BD!$W$3:$W$5001,"&lt;&gt;"))))</f>
        <v/>
      </c>
      <c r="O202" s="54" t="str">
        <f>IF(OR($B202="",$A202&gt;$B$9,O$175=""),"",IF(COUNTIFS(BD!$B$3:$B$5001,O$175,BD!$A$3:$A$5001,"&gt;="&amp;$C$7,BD!$A$3:$A$5001,"&lt;="&amp;$B202,BD!$W$3:$W$5001,"&lt;&gt;")=0,"",SUMIFS(BD!$W$3:$W$5001,BD!$B$3:$B$5001,O$175,BD!$A$3:$A$5001,_xlfn.MAXIFS(BD!$A$3:$A$5001,BD!$B$3:$B$5001,O$175,BD!$A$3:$A$5001,"&gt;="&amp;$C$7,BD!$A$3:$A$5001,"&lt;="&amp;$B202,BD!$W$3:$W$5001,"&lt;&gt;"))))</f>
        <v/>
      </c>
      <c r="P202" s="54" t="str">
        <f>IF(OR($B202="",$A202&gt;$B$9,P$175=""),"",IF(COUNTIFS(BD!$B$3:$B$5001,P$175,BD!$A$3:$A$5001,"&gt;="&amp;$C$7,BD!$A$3:$A$5001,"&lt;="&amp;$B202,BD!$W$3:$W$5001,"&lt;&gt;")=0,"",SUMIFS(BD!$W$3:$W$5001,BD!$B$3:$B$5001,P$175,BD!$A$3:$A$5001,_xlfn.MAXIFS(BD!$A$3:$A$5001,BD!$B$3:$B$5001,P$175,BD!$A$3:$A$5001,"&gt;="&amp;$C$7,BD!$A$3:$A$5001,"&lt;="&amp;$B202,BD!$W$3:$W$5001,"&lt;&gt;"))))</f>
        <v/>
      </c>
      <c r="Q202" s="54" t="str">
        <f>IF(OR($B202="",$A202&gt;$B$9,Q$175=""),"",IF(COUNTIFS(BD!$B$3:$B$5001,Q$175,BD!$A$3:$A$5001,"&gt;="&amp;$C$7,BD!$A$3:$A$5001,"&lt;="&amp;$B202,BD!$W$3:$W$5001,"&lt;&gt;")=0,"",SUMIFS(BD!$W$3:$W$5001,BD!$B$3:$B$5001,Q$175,BD!$A$3:$A$5001,_xlfn.MAXIFS(BD!$A$3:$A$5001,BD!$B$3:$B$5001,Q$175,BD!$A$3:$A$5001,"&gt;="&amp;$C$7,BD!$A$3:$A$5001,"&lt;="&amp;$B202,BD!$W$3:$W$5001,"&lt;&gt;"))))</f>
        <v/>
      </c>
      <c r="R202" s="54" t="str">
        <f>IF(OR($B202="",$A202&gt;$B$9,R$175=""),"",IF(COUNTIFS(BD!$B$3:$B$5001,R$175,BD!$A$3:$A$5001,"&gt;="&amp;$C$7,BD!$A$3:$A$5001,"&lt;="&amp;$B202,BD!$W$3:$W$5001,"&lt;&gt;")=0,"",SUMIFS(BD!$W$3:$W$5001,BD!$B$3:$B$5001,R$175,BD!$A$3:$A$5001,_xlfn.MAXIFS(BD!$A$3:$A$5001,BD!$B$3:$B$5001,R$175,BD!$A$3:$A$5001,"&gt;="&amp;$C$7,BD!$A$3:$A$5001,"&lt;="&amp;$B202,BD!$W$3:$W$5001,"&lt;&gt;"))))</f>
        <v/>
      </c>
      <c r="S202" s="54" t="str">
        <f>IF(OR($B202="",$A202&gt;$B$9,S$175=""),"",IF(COUNTIFS(BD!$B$3:$B$5001,S$175,BD!$A$3:$A$5001,"&gt;="&amp;$C$7,BD!$A$3:$A$5001,"&lt;="&amp;$B202,BD!$W$3:$W$5001,"&lt;&gt;")=0,"",SUMIFS(BD!$W$3:$W$5001,BD!$B$3:$B$5001,S$175,BD!$A$3:$A$5001,_xlfn.MAXIFS(BD!$A$3:$A$5001,BD!$B$3:$B$5001,S$175,BD!$A$3:$A$5001,"&gt;="&amp;$C$7,BD!$A$3:$A$5001,"&lt;="&amp;$B202,BD!$W$3:$W$5001,"&lt;&gt;"))))</f>
        <v/>
      </c>
      <c r="T202" s="54" t="str">
        <f>IF(OR($B202="",$A202&gt;$B$9,T$175=""),"",IF(COUNTIFS(BD!$B$3:$B$5001,T$175,BD!$A$3:$A$5001,"&gt;="&amp;$C$7,BD!$A$3:$A$5001,"&lt;="&amp;$B202,BD!$W$3:$W$5001,"&lt;&gt;")=0,"",SUMIFS(BD!$W$3:$W$5001,BD!$B$3:$B$5001,T$175,BD!$A$3:$A$5001,_xlfn.MAXIFS(BD!$A$3:$A$5001,BD!$B$3:$B$5001,T$175,BD!$A$3:$A$5001,"&gt;="&amp;$C$7,BD!$A$3:$A$5001,"&lt;="&amp;$B202,BD!$W$3:$W$5001,"&lt;&gt;"))))</f>
        <v/>
      </c>
      <c r="U202" s="54" t="str">
        <f>IF(OR($B202="",$A202&gt;$B$9,U$175=""),"",IF(COUNTIFS(BD!$B$3:$B$5001,U$175,BD!$A$3:$A$5001,"&gt;="&amp;$C$7,BD!$A$3:$A$5001,"&lt;="&amp;$B202,BD!$W$3:$W$5001,"&lt;&gt;")=0,"",SUMIFS(BD!$W$3:$W$5001,BD!$B$3:$B$5001,U$175,BD!$A$3:$A$5001,_xlfn.MAXIFS(BD!$A$3:$A$5001,BD!$B$3:$B$5001,U$175,BD!$A$3:$A$5001,"&gt;="&amp;$C$7,BD!$A$3:$A$5001,"&lt;="&amp;$B202,BD!$W$3:$W$5001,"&lt;&gt;"))))</f>
        <v/>
      </c>
      <c r="V202" s="54" t="str">
        <f>IF(OR($B202="",$A202&gt;$B$9,V$175=""),"",IF(COUNTIFS(BD!$B$3:$B$5001,V$175,BD!$A$3:$A$5001,"&gt;="&amp;$C$7,BD!$A$3:$A$5001,"&lt;="&amp;$B202,BD!$W$3:$W$5001,"&lt;&gt;")=0,"",SUMIFS(BD!$W$3:$W$5001,BD!$B$3:$B$5001,V$175,BD!$A$3:$A$5001,_xlfn.MAXIFS(BD!$A$3:$A$5001,BD!$B$3:$B$5001,V$175,BD!$A$3:$A$5001,"&gt;="&amp;$C$7,BD!$A$3:$A$5001,"&lt;="&amp;$B202,BD!$W$3:$W$5001,"&lt;&gt;"))))</f>
        <v/>
      </c>
    </row>
    <row r="203">
      <c r="A203" s="48">
        <v>28</v>
      </c>
      <c r="B203" s="53">
        <f>$B$39</f>
        <v>46323</v>
      </c>
      <c r="C203" s="54" t="str">
        <f>IF(OR($B203="",$A203&gt;$B$9,C$175=""),"",IF(COUNTIFS(BD!$B$3:$B$5001,C$175,BD!$A$3:$A$5001,"&gt;="&amp;$C$7,BD!$A$3:$A$5001,"&lt;="&amp;$B203,BD!$W$3:$W$5001,"&lt;&gt;")=0,"",SUMIFS(BD!$W$3:$W$5001,BD!$B$3:$B$5001,C$175,BD!$A$3:$A$5001,_xlfn.MAXIFS(BD!$A$3:$A$5001,BD!$B$3:$B$5001,C$175,BD!$A$3:$A$5001,"&gt;="&amp;$C$7,BD!$A$3:$A$5001,"&lt;="&amp;$B203,BD!$W$3:$W$5001,"&lt;&gt;"))))</f>
        <v/>
      </c>
      <c r="D203" s="54" t="str">
        <f>IF(OR($B203="",$A203&gt;$B$9,D$175=""),"",IF(COUNTIFS(BD!$B$3:$B$5001,D$175,BD!$A$3:$A$5001,"&gt;="&amp;$C$7,BD!$A$3:$A$5001,"&lt;="&amp;$B203,BD!$W$3:$W$5001,"&lt;&gt;")=0,"",SUMIFS(BD!$W$3:$W$5001,BD!$B$3:$B$5001,D$175,BD!$A$3:$A$5001,_xlfn.MAXIFS(BD!$A$3:$A$5001,BD!$B$3:$B$5001,D$175,BD!$A$3:$A$5001,"&gt;="&amp;$C$7,BD!$A$3:$A$5001,"&lt;="&amp;$B203,BD!$W$3:$W$5001,"&lt;&gt;"))))</f>
        <v/>
      </c>
      <c r="E203" s="54" t="str">
        <f>IF(OR($B203="",$A203&gt;$B$9,E$175=""),"",IF(COUNTIFS(BD!$B$3:$B$5001,E$175,BD!$A$3:$A$5001,"&gt;="&amp;$C$7,BD!$A$3:$A$5001,"&lt;="&amp;$B203,BD!$W$3:$W$5001,"&lt;&gt;")=0,"",SUMIFS(BD!$W$3:$W$5001,BD!$B$3:$B$5001,E$175,BD!$A$3:$A$5001,_xlfn.MAXIFS(BD!$A$3:$A$5001,BD!$B$3:$B$5001,E$175,BD!$A$3:$A$5001,"&gt;="&amp;$C$7,BD!$A$3:$A$5001,"&lt;="&amp;$B203,BD!$W$3:$W$5001,"&lt;&gt;"))))</f>
        <v/>
      </c>
      <c r="F203" s="54" t="str">
        <f>IF(OR($B203="",$A203&gt;$B$9,F$175=""),"",IF(COUNTIFS(BD!$B$3:$B$5001,F$175,BD!$A$3:$A$5001,"&gt;="&amp;$C$7,BD!$A$3:$A$5001,"&lt;="&amp;$B203,BD!$W$3:$W$5001,"&lt;&gt;")=0,"",SUMIFS(BD!$W$3:$W$5001,BD!$B$3:$B$5001,F$175,BD!$A$3:$A$5001,_xlfn.MAXIFS(BD!$A$3:$A$5001,BD!$B$3:$B$5001,F$175,BD!$A$3:$A$5001,"&gt;="&amp;$C$7,BD!$A$3:$A$5001,"&lt;="&amp;$B203,BD!$W$3:$W$5001,"&lt;&gt;"))))</f>
        <v/>
      </c>
      <c r="G203" s="54" t="str">
        <f>IF(OR($B203="",$A203&gt;$B$9,G$175=""),"",IF(COUNTIFS(BD!$B$3:$B$5001,G$175,BD!$A$3:$A$5001,"&gt;="&amp;$C$7,BD!$A$3:$A$5001,"&lt;="&amp;$B203,BD!$W$3:$W$5001,"&lt;&gt;")=0,"",SUMIFS(BD!$W$3:$W$5001,BD!$B$3:$B$5001,G$175,BD!$A$3:$A$5001,_xlfn.MAXIFS(BD!$A$3:$A$5001,BD!$B$3:$B$5001,G$175,BD!$A$3:$A$5001,"&gt;="&amp;$C$7,BD!$A$3:$A$5001,"&lt;="&amp;$B203,BD!$W$3:$W$5001,"&lt;&gt;"))))</f>
        <v/>
      </c>
      <c r="H203" s="54" t="str">
        <f>IF(OR($B203="",$A203&gt;$B$9,H$175=""),"",IF(COUNTIFS(BD!$B$3:$B$5001,H$175,BD!$A$3:$A$5001,"&gt;="&amp;$C$7,BD!$A$3:$A$5001,"&lt;="&amp;$B203,BD!$W$3:$W$5001,"&lt;&gt;")=0,"",SUMIFS(BD!$W$3:$W$5001,BD!$B$3:$B$5001,H$175,BD!$A$3:$A$5001,_xlfn.MAXIFS(BD!$A$3:$A$5001,BD!$B$3:$B$5001,H$175,BD!$A$3:$A$5001,"&gt;="&amp;$C$7,BD!$A$3:$A$5001,"&lt;="&amp;$B203,BD!$W$3:$W$5001,"&lt;&gt;"))))</f>
        <v/>
      </c>
      <c r="I203" s="54" t="str">
        <f>IF(OR($B203="",$A203&gt;$B$9,I$175=""),"",IF(COUNTIFS(BD!$B$3:$B$5001,I$175,BD!$A$3:$A$5001,"&gt;="&amp;$C$7,BD!$A$3:$A$5001,"&lt;="&amp;$B203,BD!$W$3:$W$5001,"&lt;&gt;")=0,"",SUMIFS(BD!$W$3:$W$5001,BD!$B$3:$B$5001,I$175,BD!$A$3:$A$5001,_xlfn.MAXIFS(BD!$A$3:$A$5001,BD!$B$3:$B$5001,I$175,BD!$A$3:$A$5001,"&gt;="&amp;$C$7,BD!$A$3:$A$5001,"&lt;="&amp;$B203,BD!$W$3:$W$5001,"&lt;&gt;"))))</f>
        <v/>
      </c>
      <c r="J203" s="54" t="str">
        <f>IF(OR($B203="",$A203&gt;$B$9,J$175=""),"",IF(COUNTIFS(BD!$B$3:$B$5001,J$175,BD!$A$3:$A$5001,"&gt;="&amp;$C$7,BD!$A$3:$A$5001,"&lt;="&amp;$B203,BD!$W$3:$W$5001,"&lt;&gt;")=0,"",SUMIFS(BD!$W$3:$W$5001,BD!$B$3:$B$5001,J$175,BD!$A$3:$A$5001,_xlfn.MAXIFS(BD!$A$3:$A$5001,BD!$B$3:$B$5001,J$175,BD!$A$3:$A$5001,"&gt;="&amp;$C$7,BD!$A$3:$A$5001,"&lt;="&amp;$B203,BD!$W$3:$W$5001,"&lt;&gt;"))))</f>
        <v/>
      </c>
      <c r="K203" s="54" t="str">
        <f>IF(OR($B203="",$A203&gt;$B$9,K$175=""),"",IF(COUNTIFS(BD!$B$3:$B$5001,K$175,BD!$A$3:$A$5001,"&gt;="&amp;$C$7,BD!$A$3:$A$5001,"&lt;="&amp;$B203,BD!$W$3:$W$5001,"&lt;&gt;")=0,"",SUMIFS(BD!$W$3:$W$5001,BD!$B$3:$B$5001,K$175,BD!$A$3:$A$5001,_xlfn.MAXIFS(BD!$A$3:$A$5001,BD!$B$3:$B$5001,K$175,BD!$A$3:$A$5001,"&gt;="&amp;$C$7,BD!$A$3:$A$5001,"&lt;="&amp;$B203,BD!$W$3:$W$5001,"&lt;&gt;"))))</f>
        <v/>
      </c>
      <c r="L203" s="54" t="str">
        <f>IF(OR($B203="",$A203&gt;$B$9,L$175=""),"",IF(COUNTIFS(BD!$B$3:$B$5001,L$175,BD!$A$3:$A$5001,"&gt;="&amp;$C$7,BD!$A$3:$A$5001,"&lt;="&amp;$B203,BD!$W$3:$W$5001,"&lt;&gt;")=0,"",SUMIFS(BD!$W$3:$W$5001,BD!$B$3:$B$5001,L$175,BD!$A$3:$A$5001,_xlfn.MAXIFS(BD!$A$3:$A$5001,BD!$B$3:$B$5001,L$175,BD!$A$3:$A$5001,"&gt;="&amp;$C$7,BD!$A$3:$A$5001,"&lt;="&amp;$B203,BD!$W$3:$W$5001,"&lt;&gt;"))))</f>
        <v/>
      </c>
      <c r="M203" s="54" t="str">
        <f>IF(OR($B203="",$A203&gt;$B$9,M$175=""),"",IF(COUNTIFS(BD!$B$3:$B$5001,M$175,BD!$A$3:$A$5001,"&gt;="&amp;$C$7,BD!$A$3:$A$5001,"&lt;="&amp;$B203,BD!$W$3:$W$5001,"&lt;&gt;")=0,"",SUMIFS(BD!$W$3:$W$5001,BD!$B$3:$B$5001,M$175,BD!$A$3:$A$5001,_xlfn.MAXIFS(BD!$A$3:$A$5001,BD!$B$3:$B$5001,M$175,BD!$A$3:$A$5001,"&gt;="&amp;$C$7,BD!$A$3:$A$5001,"&lt;="&amp;$B203,BD!$W$3:$W$5001,"&lt;&gt;"))))</f>
        <v/>
      </c>
      <c r="N203" s="54" t="str">
        <f>IF(OR($B203="",$A203&gt;$B$9,N$175=""),"",IF(COUNTIFS(BD!$B$3:$B$5001,N$175,BD!$A$3:$A$5001,"&gt;="&amp;$C$7,BD!$A$3:$A$5001,"&lt;="&amp;$B203,BD!$W$3:$W$5001,"&lt;&gt;")=0,"",SUMIFS(BD!$W$3:$W$5001,BD!$B$3:$B$5001,N$175,BD!$A$3:$A$5001,_xlfn.MAXIFS(BD!$A$3:$A$5001,BD!$B$3:$B$5001,N$175,BD!$A$3:$A$5001,"&gt;="&amp;$C$7,BD!$A$3:$A$5001,"&lt;="&amp;$B203,BD!$W$3:$W$5001,"&lt;&gt;"))))</f>
        <v/>
      </c>
      <c r="O203" s="54" t="str">
        <f>IF(OR($B203="",$A203&gt;$B$9,O$175=""),"",IF(COUNTIFS(BD!$B$3:$B$5001,O$175,BD!$A$3:$A$5001,"&gt;="&amp;$C$7,BD!$A$3:$A$5001,"&lt;="&amp;$B203,BD!$W$3:$W$5001,"&lt;&gt;")=0,"",SUMIFS(BD!$W$3:$W$5001,BD!$B$3:$B$5001,O$175,BD!$A$3:$A$5001,_xlfn.MAXIFS(BD!$A$3:$A$5001,BD!$B$3:$B$5001,O$175,BD!$A$3:$A$5001,"&gt;="&amp;$C$7,BD!$A$3:$A$5001,"&lt;="&amp;$B203,BD!$W$3:$W$5001,"&lt;&gt;"))))</f>
        <v/>
      </c>
      <c r="P203" s="54" t="str">
        <f>IF(OR($B203="",$A203&gt;$B$9,P$175=""),"",IF(COUNTIFS(BD!$B$3:$B$5001,P$175,BD!$A$3:$A$5001,"&gt;="&amp;$C$7,BD!$A$3:$A$5001,"&lt;="&amp;$B203,BD!$W$3:$W$5001,"&lt;&gt;")=0,"",SUMIFS(BD!$W$3:$W$5001,BD!$B$3:$B$5001,P$175,BD!$A$3:$A$5001,_xlfn.MAXIFS(BD!$A$3:$A$5001,BD!$B$3:$B$5001,P$175,BD!$A$3:$A$5001,"&gt;="&amp;$C$7,BD!$A$3:$A$5001,"&lt;="&amp;$B203,BD!$W$3:$W$5001,"&lt;&gt;"))))</f>
        <v/>
      </c>
      <c r="Q203" s="54" t="str">
        <f>IF(OR($B203="",$A203&gt;$B$9,Q$175=""),"",IF(COUNTIFS(BD!$B$3:$B$5001,Q$175,BD!$A$3:$A$5001,"&gt;="&amp;$C$7,BD!$A$3:$A$5001,"&lt;="&amp;$B203,BD!$W$3:$W$5001,"&lt;&gt;")=0,"",SUMIFS(BD!$W$3:$W$5001,BD!$B$3:$B$5001,Q$175,BD!$A$3:$A$5001,_xlfn.MAXIFS(BD!$A$3:$A$5001,BD!$B$3:$B$5001,Q$175,BD!$A$3:$A$5001,"&gt;="&amp;$C$7,BD!$A$3:$A$5001,"&lt;="&amp;$B203,BD!$W$3:$W$5001,"&lt;&gt;"))))</f>
        <v/>
      </c>
      <c r="R203" s="54" t="str">
        <f>IF(OR($B203="",$A203&gt;$B$9,R$175=""),"",IF(COUNTIFS(BD!$B$3:$B$5001,R$175,BD!$A$3:$A$5001,"&gt;="&amp;$C$7,BD!$A$3:$A$5001,"&lt;="&amp;$B203,BD!$W$3:$W$5001,"&lt;&gt;")=0,"",SUMIFS(BD!$W$3:$W$5001,BD!$B$3:$B$5001,R$175,BD!$A$3:$A$5001,_xlfn.MAXIFS(BD!$A$3:$A$5001,BD!$B$3:$B$5001,R$175,BD!$A$3:$A$5001,"&gt;="&amp;$C$7,BD!$A$3:$A$5001,"&lt;="&amp;$B203,BD!$W$3:$W$5001,"&lt;&gt;"))))</f>
        <v/>
      </c>
      <c r="S203" s="54" t="str">
        <f>IF(OR($B203="",$A203&gt;$B$9,S$175=""),"",IF(COUNTIFS(BD!$B$3:$B$5001,S$175,BD!$A$3:$A$5001,"&gt;="&amp;$C$7,BD!$A$3:$A$5001,"&lt;="&amp;$B203,BD!$W$3:$W$5001,"&lt;&gt;")=0,"",SUMIFS(BD!$W$3:$W$5001,BD!$B$3:$B$5001,S$175,BD!$A$3:$A$5001,_xlfn.MAXIFS(BD!$A$3:$A$5001,BD!$B$3:$B$5001,S$175,BD!$A$3:$A$5001,"&gt;="&amp;$C$7,BD!$A$3:$A$5001,"&lt;="&amp;$B203,BD!$W$3:$W$5001,"&lt;&gt;"))))</f>
        <v/>
      </c>
      <c r="T203" s="54" t="str">
        <f>IF(OR($B203="",$A203&gt;$B$9,T$175=""),"",IF(COUNTIFS(BD!$B$3:$B$5001,T$175,BD!$A$3:$A$5001,"&gt;="&amp;$C$7,BD!$A$3:$A$5001,"&lt;="&amp;$B203,BD!$W$3:$W$5001,"&lt;&gt;")=0,"",SUMIFS(BD!$W$3:$W$5001,BD!$B$3:$B$5001,T$175,BD!$A$3:$A$5001,_xlfn.MAXIFS(BD!$A$3:$A$5001,BD!$B$3:$B$5001,T$175,BD!$A$3:$A$5001,"&gt;="&amp;$C$7,BD!$A$3:$A$5001,"&lt;="&amp;$B203,BD!$W$3:$W$5001,"&lt;&gt;"))))</f>
        <v/>
      </c>
      <c r="U203" s="54" t="str">
        <f>IF(OR($B203="",$A203&gt;$B$9,U$175=""),"",IF(COUNTIFS(BD!$B$3:$B$5001,U$175,BD!$A$3:$A$5001,"&gt;="&amp;$C$7,BD!$A$3:$A$5001,"&lt;="&amp;$B203,BD!$W$3:$W$5001,"&lt;&gt;")=0,"",SUMIFS(BD!$W$3:$W$5001,BD!$B$3:$B$5001,U$175,BD!$A$3:$A$5001,_xlfn.MAXIFS(BD!$A$3:$A$5001,BD!$B$3:$B$5001,U$175,BD!$A$3:$A$5001,"&gt;="&amp;$C$7,BD!$A$3:$A$5001,"&lt;="&amp;$B203,BD!$W$3:$W$5001,"&lt;&gt;"))))</f>
        <v/>
      </c>
      <c r="V203" s="54" t="str">
        <f>IF(OR($B203="",$A203&gt;$B$9,V$175=""),"",IF(COUNTIFS(BD!$B$3:$B$5001,V$175,BD!$A$3:$A$5001,"&gt;="&amp;$C$7,BD!$A$3:$A$5001,"&lt;="&amp;$B203,BD!$W$3:$W$5001,"&lt;&gt;")=0,"",SUMIFS(BD!$W$3:$W$5001,BD!$B$3:$B$5001,V$175,BD!$A$3:$A$5001,_xlfn.MAXIFS(BD!$A$3:$A$5001,BD!$B$3:$B$5001,V$175,BD!$A$3:$A$5001,"&gt;="&amp;$C$7,BD!$A$3:$A$5001,"&lt;="&amp;$B203,BD!$W$3:$W$5001,"&lt;&gt;"))))</f>
        <v/>
      </c>
    </row>
    <row r="204">
      <c r="A204" s="48">
        <v>29</v>
      </c>
      <c r="B204" s="53">
        <f>$B$40</f>
        <v>46324</v>
      </c>
      <c r="C204" s="54" t="str">
        <f>IF(OR($B204="",$A204&gt;$B$9,C$175=""),"",IF(COUNTIFS(BD!$B$3:$B$5001,C$175,BD!$A$3:$A$5001,"&gt;="&amp;$C$7,BD!$A$3:$A$5001,"&lt;="&amp;$B204,BD!$W$3:$W$5001,"&lt;&gt;")=0,"",SUMIFS(BD!$W$3:$W$5001,BD!$B$3:$B$5001,C$175,BD!$A$3:$A$5001,_xlfn.MAXIFS(BD!$A$3:$A$5001,BD!$B$3:$B$5001,C$175,BD!$A$3:$A$5001,"&gt;="&amp;$C$7,BD!$A$3:$A$5001,"&lt;="&amp;$B204,BD!$W$3:$W$5001,"&lt;&gt;"))))</f>
        <v/>
      </c>
      <c r="D204" s="54" t="str">
        <f>IF(OR($B204="",$A204&gt;$B$9,D$175=""),"",IF(COUNTIFS(BD!$B$3:$B$5001,D$175,BD!$A$3:$A$5001,"&gt;="&amp;$C$7,BD!$A$3:$A$5001,"&lt;="&amp;$B204,BD!$W$3:$W$5001,"&lt;&gt;")=0,"",SUMIFS(BD!$W$3:$W$5001,BD!$B$3:$B$5001,D$175,BD!$A$3:$A$5001,_xlfn.MAXIFS(BD!$A$3:$A$5001,BD!$B$3:$B$5001,D$175,BD!$A$3:$A$5001,"&gt;="&amp;$C$7,BD!$A$3:$A$5001,"&lt;="&amp;$B204,BD!$W$3:$W$5001,"&lt;&gt;"))))</f>
        <v/>
      </c>
      <c r="E204" s="54" t="str">
        <f>IF(OR($B204="",$A204&gt;$B$9,E$175=""),"",IF(COUNTIFS(BD!$B$3:$B$5001,E$175,BD!$A$3:$A$5001,"&gt;="&amp;$C$7,BD!$A$3:$A$5001,"&lt;="&amp;$B204,BD!$W$3:$W$5001,"&lt;&gt;")=0,"",SUMIFS(BD!$W$3:$W$5001,BD!$B$3:$B$5001,E$175,BD!$A$3:$A$5001,_xlfn.MAXIFS(BD!$A$3:$A$5001,BD!$B$3:$B$5001,E$175,BD!$A$3:$A$5001,"&gt;="&amp;$C$7,BD!$A$3:$A$5001,"&lt;="&amp;$B204,BD!$W$3:$W$5001,"&lt;&gt;"))))</f>
        <v/>
      </c>
      <c r="F204" s="54" t="str">
        <f>IF(OR($B204="",$A204&gt;$B$9,F$175=""),"",IF(COUNTIFS(BD!$B$3:$B$5001,F$175,BD!$A$3:$A$5001,"&gt;="&amp;$C$7,BD!$A$3:$A$5001,"&lt;="&amp;$B204,BD!$W$3:$W$5001,"&lt;&gt;")=0,"",SUMIFS(BD!$W$3:$W$5001,BD!$B$3:$B$5001,F$175,BD!$A$3:$A$5001,_xlfn.MAXIFS(BD!$A$3:$A$5001,BD!$B$3:$B$5001,F$175,BD!$A$3:$A$5001,"&gt;="&amp;$C$7,BD!$A$3:$A$5001,"&lt;="&amp;$B204,BD!$W$3:$W$5001,"&lt;&gt;"))))</f>
        <v/>
      </c>
      <c r="G204" s="54" t="str">
        <f>IF(OR($B204="",$A204&gt;$B$9,G$175=""),"",IF(COUNTIFS(BD!$B$3:$B$5001,G$175,BD!$A$3:$A$5001,"&gt;="&amp;$C$7,BD!$A$3:$A$5001,"&lt;="&amp;$B204,BD!$W$3:$W$5001,"&lt;&gt;")=0,"",SUMIFS(BD!$W$3:$W$5001,BD!$B$3:$B$5001,G$175,BD!$A$3:$A$5001,_xlfn.MAXIFS(BD!$A$3:$A$5001,BD!$B$3:$B$5001,G$175,BD!$A$3:$A$5001,"&gt;="&amp;$C$7,BD!$A$3:$A$5001,"&lt;="&amp;$B204,BD!$W$3:$W$5001,"&lt;&gt;"))))</f>
        <v/>
      </c>
      <c r="H204" s="54" t="str">
        <f>IF(OR($B204="",$A204&gt;$B$9,H$175=""),"",IF(COUNTIFS(BD!$B$3:$B$5001,H$175,BD!$A$3:$A$5001,"&gt;="&amp;$C$7,BD!$A$3:$A$5001,"&lt;="&amp;$B204,BD!$W$3:$W$5001,"&lt;&gt;")=0,"",SUMIFS(BD!$W$3:$W$5001,BD!$B$3:$B$5001,H$175,BD!$A$3:$A$5001,_xlfn.MAXIFS(BD!$A$3:$A$5001,BD!$B$3:$B$5001,H$175,BD!$A$3:$A$5001,"&gt;="&amp;$C$7,BD!$A$3:$A$5001,"&lt;="&amp;$B204,BD!$W$3:$W$5001,"&lt;&gt;"))))</f>
        <v/>
      </c>
      <c r="I204" s="54" t="str">
        <f>IF(OR($B204="",$A204&gt;$B$9,I$175=""),"",IF(COUNTIFS(BD!$B$3:$B$5001,I$175,BD!$A$3:$A$5001,"&gt;="&amp;$C$7,BD!$A$3:$A$5001,"&lt;="&amp;$B204,BD!$W$3:$W$5001,"&lt;&gt;")=0,"",SUMIFS(BD!$W$3:$W$5001,BD!$B$3:$B$5001,I$175,BD!$A$3:$A$5001,_xlfn.MAXIFS(BD!$A$3:$A$5001,BD!$B$3:$B$5001,I$175,BD!$A$3:$A$5001,"&gt;="&amp;$C$7,BD!$A$3:$A$5001,"&lt;="&amp;$B204,BD!$W$3:$W$5001,"&lt;&gt;"))))</f>
        <v/>
      </c>
      <c r="J204" s="54" t="str">
        <f>IF(OR($B204="",$A204&gt;$B$9,J$175=""),"",IF(COUNTIFS(BD!$B$3:$B$5001,J$175,BD!$A$3:$A$5001,"&gt;="&amp;$C$7,BD!$A$3:$A$5001,"&lt;="&amp;$B204,BD!$W$3:$W$5001,"&lt;&gt;")=0,"",SUMIFS(BD!$W$3:$W$5001,BD!$B$3:$B$5001,J$175,BD!$A$3:$A$5001,_xlfn.MAXIFS(BD!$A$3:$A$5001,BD!$B$3:$B$5001,J$175,BD!$A$3:$A$5001,"&gt;="&amp;$C$7,BD!$A$3:$A$5001,"&lt;="&amp;$B204,BD!$W$3:$W$5001,"&lt;&gt;"))))</f>
        <v/>
      </c>
      <c r="K204" s="54" t="str">
        <f>IF(OR($B204="",$A204&gt;$B$9,K$175=""),"",IF(COUNTIFS(BD!$B$3:$B$5001,K$175,BD!$A$3:$A$5001,"&gt;="&amp;$C$7,BD!$A$3:$A$5001,"&lt;="&amp;$B204,BD!$W$3:$W$5001,"&lt;&gt;")=0,"",SUMIFS(BD!$W$3:$W$5001,BD!$B$3:$B$5001,K$175,BD!$A$3:$A$5001,_xlfn.MAXIFS(BD!$A$3:$A$5001,BD!$B$3:$B$5001,K$175,BD!$A$3:$A$5001,"&gt;="&amp;$C$7,BD!$A$3:$A$5001,"&lt;="&amp;$B204,BD!$W$3:$W$5001,"&lt;&gt;"))))</f>
        <v/>
      </c>
      <c r="L204" s="54" t="str">
        <f>IF(OR($B204="",$A204&gt;$B$9,L$175=""),"",IF(COUNTIFS(BD!$B$3:$B$5001,L$175,BD!$A$3:$A$5001,"&gt;="&amp;$C$7,BD!$A$3:$A$5001,"&lt;="&amp;$B204,BD!$W$3:$W$5001,"&lt;&gt;")=0,"",SUMIFS(BD!$W$3:$W$5001,BD!$B$3:$B$5001,L$175,BD!$A$3:$A$5001,_xlfn.MAXIFS(BD!$A$3:$A$5001,BD!$B$3:$B$5001,L$175,BD!$A$3:$A$5001,"&gt;="&amp;$C$7,BD!$A$3:$A$5001,"&lt;="&amp;$B204,BD!$W$3:$W$5001,"&lt;&gt;"))))</f>
        <v/>
      </c>
      <c r="M204" s="54" t="str">
        <f>IF(OR($B204="",$A204&gt;$B$9,M$175=""),"",IF(COUNTIFS(BD!$B$3:$B$5001,M$175,BD!$A$3:$A$5001,"&gt;="&amp;$C$7,BD!$A$3:$A$5001,"&lt;="&amp;$B204,BD!$W$3:$W$5001,"&lt;&gt;")=0,"",SUMIFS(BD!$W$3:$W$5001,BD!$B$3:$B$5001,M$175,BD!$A$3:$A$5001,_xlfn.MAXIFS(BD!$A$3:$A$5001,BD!$B$3:$B$5001,M$175,BD!$A$3:$A$5001,"&gt;="&amp;$C$7,BD!$A$3:$A$5001,"&lt;="&amp;$B204,BD!$W$3:$W$5001,"&lt;&gt;"))))</f>
        <v/>
      </c>
      <c r="N204" s="54" t="str">
        <f>IF(OR($B204="",$A204&gt;$B$9,N$175=""),"",IF(COUNTIFS(BD!$B$3:$B$5001,N$175,BD!$A$3:$A$5001,"&gt;="&amp;$C$7,BD!$A$3:$A$5001,"&lt;="&amp;$B204,BD!$W$3:$W$5001,"&lt;&gt;")=0,"",SUMIFS(BD!$W$3:$W$5001,BD!$B$3:$B$5001,N$175,BD!$A$3:$A$5001,_xlfn.MAXIFS(BD!$A$3:$A$5001,BD!$B$3:$B$5001,N$175,BD!$A$3:$A$5001,"&gt;="&amp;$C$7,BD!$A$3:$A$5001,"&lt;="&amp;$B204,BD!$W$3:$W$5001,"&lt;&gt;"))))</f>
        <v/>
      </c>
      <c r="O204" s="54" t="str">
        <f>IF(OR($B204="",$A204&gt;$B$9,O$175=""),"",IF(COUNTIFS(BD!$B$3:$B$5001,O$175,BD!$A$3:$A$5001,"&gt;="&amp;$C$7,BD!$A$3:$A$5001,"&lt;="&amp;$B204,BD!$W$3:$W$5001,"&lt;&gt;")=0,"",SUMIFS(BD!$W$3:$W$5001,BD!$B$3:$B$5001,O$175,BD!$A$3:$A$5001,_xlfn.MAXIFS(BD!$A$3:$A$5001,BD!$B$3:$B$5001,O$175,BD!$A$3:$A$5001,"&gt;="&amp;$C$7,BD!$A$3:$A$5001,"&lt;="&amp;$B204,BD!$W$3:$W$5001,"&lt;&gt;"))))</f>
        <v/>
      </c>
      <c r="P204" s="54" t="str">
        <f>IF(OR($B204="",$A204&gt;$B$9,P$175=""),"",IF(COUNTIFS(BD!$B$3:$B$5001,P$175,BD!$A$3:$A$5001,"&gt;="&amp;$C$7,BD!$A$3:$A$5001,"&lt;="&amp;$B204,BD!$W$3:$W$5001,"&lt;&gt;")=0,"",SUMIFS(BD!$W$3:$W$5001,BD!$B$3:$B$5001,P$175,BD!$A$3:$A$5001,_xlfn.MAXIFS(BD!$A$3:$A$5001,BD!$B$3:$B$5001,P$175,BD!$A$3:$A$5001,"&gt;="&amp;$C$7,BD!$A$3:$A$5001,"&lt;="&amp;$B204,BD!$W$3:$W$5001,"&lt;&gt;"))))</f>
        <v/>
      </c>
      <c r="Q204" s="54" t="str">
        <f>IF(OR($B204="",$A204&gt;$B$9,Q$175=""),"",IF(COUNTIFS(BD!$B$3:$B$5001,Q$175,BD!$A$3:$A$5001,"&gt;="&amp;$C$7,BD!$A$3:$A$5001,"&lt;="&amp;$B204,BD!$W$3:$W$5001,"&lt;&gt;")=0,"",SUMIFS(BD!$W$3:$W$5001,BD!$B$3:$B$5001,Q$175,BD!$A$3:$A$5001,_xlfn.MAXIFS(BD!$A$3:$A$5001,BD!$B$3:$B$5001,Q$175,BD!$A$3:$A$5001,"&gt;="&amp;$C$7,BD!$A$3:$A$5001,"&lt;="&amp;$B204,BD!$W$3:$W$5001,"&lt;&gt;"))))</f>
        <v/>
      </c>
      <c r="R204" s="54" t="str">
        <f>IF(OR($B204="",$A204&gt;$B$9,R$175=""),"",IF(COUNTIFS(BD!$B$3:$B$5001,R$175,BD!$A$3:$A$5001,"&gt;="&amp;$C$7,BD!$A$3:$A$5001,"&lt;="&amp;$B204,BD!$W$3:$W$5001,"&lt;&gt;")=0,"",SUMIFS(BD!$W$3:$W$5001,BD!$B$3:$B$5001,R$175,BD!$A$3:$A$5001,_xlfn.MAXIFS(BD!$A$3:$A$5001,BD!$B$3:$B$5001,R$175,BD!$A$3:$A$5001,"&gt;="&amp;$C$7,BD!$A$3:$A$5001,"&lt;="&amp;$B204,BD!$W$3:$W$5001,"&lt;&gt;"))))</f>
        <v/>
      </c>
      <c r="S204" s="54" t="str">
        <f>IF(OR($B204="",$A204&gt;$B$9,S$175=""),"",IF(COUNTIFS(BD!$B$3:$B$5001,S$175,BD!$A$3:$A$5001,"&gt;="&amp;$C$7,BD!$A$3:$A$5001,"&lt;="&amp;$B204,BD!$W$3:$W$5001,"&lt;&gt;")=0,"",SUMIFS(BD!$W$3:$W$5001,BD!$B$3:$B$5001,S$175,BD!$A$3:$A$5001,_xlfn.MAXIFS(BD!$A$3:$A$5001,BD!$B$3:$B$5001,S$175,BD!$A$3:$A$5001,"&gt;="&amp;$C$7,BD!$A$3:$A$5001,"&lt;="&amp;$B204,BD!$W$3:$W$5001,"&lt;&gt;"))))</f>
        <v/>
      </c>
      <c r="T204" s="54" t="str">
        <f>IF(OR($B204="",$A204&gt;$B$9,T$175=""),"",IF(COUNTIFS(BD!$B$3:$B$5001,T$175,BD!$A$3:$A$5001,"&gt;="&amp;$C$7,BD!$A$3:$A$5001,"&lt;="&amp;$B204,BD!$W$3:$W$5001,"&lt;&gt;")=0,"",SUMIFS(BD!$W$3:$W$5001,BD!$B$3:$B$5001,T$175,BD!$A$3:$A$5001,_xlfn.MAXIFS(BD!$A$3:$A$5001,BD!$B$3:$B$5001,T$175,BD!$A$3:$A$5001,"&gt;="&amp;$C$7,BD!$A$3:$A$5001,"&lt;="&amp;$B204,BD!$W$3:$W$5001,"&lt;&gt;"))))</f>
        <v/>
      </c>
      <c r="U204" s="54" t="str">
        <f>IF(OR($B204="",$A204&gt;$B$9,U$175=""),"",IF(COUNTIFS(BD!$B$3:$B$5001,U$175,BD!$A$3:$A$5001,"&gt;="&amp;$C$7,BD!$A$3:$A$5001,"&lt;="&amp;$B204,BD!$W$3:$W$5001,"&lt;&gt;")=0,"",SUMIFS(BD!$W$3:$W$5001,BD!$B$3:$B$5001,U$175,BD!$A$3:$A$5001,_xlfn.MAXIFS(BD!$A$3:$A$5001,BD!$B$3:$B$5001,U$175,BD!$A$3:$A$5001,"&gt;="&amp;$C$7,BD!$A$3:$A$5001,"&lt;="&amp;$B204,BD!$W$3:$W$5001,"&lt;&gt;"))))</f>
        <v/>
      </c>
      <c r="V204" s="54" t="str">
        <f>IF(OR($B204="",$A204&gt;$B$9,V$175=""),"",IF(COUNTIFS(BD!$B$3:$B$5001,V$175,BD!$A$3:$A$5001,"&gt;="&amp;$C$7,BD!$A$3:$A$5001,"&lt;="&amp;$B204,BD!$W$3:$W$5001,"&lt;&gt;")=0,"",SUMIFS(BD!$W$3:$W$5001,BD!$B$3:$B$5001,V$175,BD!$A$3:$A$5001,_xlfn.MAXIFS(BD!$A$3:$A$5001,BD!$B$3:$B$5001,V$175,BD!$A$3:$A$5001,"&gt;="&amp;$C$7,BD!$A$3:$A$5001,"&lt;="&amp;$B204,BD!$W$3:$W$5001,"&lt;&gt;"))))</f>
        <v/>
      </c>
    </row>
    <row r="205">
      <c r="A205" s="48">
        <v>30</v>
      </c>
      <c r="B205" s="53">
        <f>$B$41</f>
        <v>46325</v>
      </c>
      <c r="C205" s="54" t="str">
        <f>IF(OR($B205="",$A205&gt;$B$9,C$175=""),"",IF(COUNTIFS(BD!$B$3:$B$5001,C$175,BD!$A$3:$A$5001,"&gt;="&amp;$C$7,BD!$A$3:$A$5001,"&lt;="&amp;$B205,BD!$W$3:$W$5001,"&lt;&gt;")=0,"",SUMIFS(BD!$W$3:$W$5001,BD!$B$3:$B$5001,C$175,BD!$A$3:$A$5001,_xlfn.MAXIFS(BD!$A$3:$A$5001,BD!$B$3:$B$5001,C$175,BD!$A$3:$A$5001,"&gt;="&amp;$C$7,BD!$A$3:$A$5001,"&lt;="&amp;$B205,BD!$W$3:$W$5001,"&lt;&gt;"))))</f>
        <v/>
      </c>
      <c r="D205" s="54" t="str">
        <f>IF(OR($B205="",$A205&gt;$B$9,D$175=""),"",IF(COUNTIFS(BD!$B$3:$B$5001,D$175,BD!$A$3:$A$5001,"&gt;="&amp;$C$7,BD!$A$3:$A$5001,"&lt;="&amp;$B205,BD!$W$3:$W$5001,"&lt;&gt;")=0,"",SUMIFS(BD!$W$3:$W$5001,BD!$B$3:$B$5001,D$175,BD!$A$3:$A$5001,_xlfn.MAXIFS(BD!$A$3:$A$5001,BD!$B$3:$B$5001,D$175,BD!$A$3:$A$5001,"&gt;="&amp;$C$7,BD!$A$3:$A$5001,"&lt;="&amp;$B205,BD!$W$3:$W$5001,"&lt;&gt;"))))</f>
        <v/>
      </c>
      <c r="E205" s="54" t="str">
        <f>IF(OR($B205="",$A205&gt;$B$9,E$175=""),"",IF(COUNTIFS(BD!$B$3:$B$5001,E$175,BD!$A$3:$A$5001,"&gt;="&amp;$C$7,BD!$A$3:$A$5001,"&lt;="&amp;$B205,BD!$W$3:$W$5001,"&lt;&gt;")=0,"",SUMIFS(BD!$W$3:$W$5001,BD!$B$3:$B$5001,E$175,BD!$A$3:$A$5001,_xlfn.MAXIFS(BD!$A$3:$A$5001,BD!$B$3:$B$5001,E$175,BD!$A$3:$A$5001,"&gt;="&amp;$C$7,BD!$A$3:$A$5001,"&lt;="&amp;$B205,BD!$W$3:$W$5001,"&lt;&gt;"))))</f>
        <v/>
      </c>
      <c r="F205" s="54" t="str">
        <f>IF(OR($B205="",$A205&gt;$B$9,F$175=""),"",IF(COUNTIFS(BD!$B$3:$B$5001,F$175,BD!$A$3:$A$5001,"&gt;="&amp;$C$7,BD!$A$3:$A$5001,"&lt;="&amp;$B205,BD!$W$3:$W$5001,"&lt;&gt;")=0,"",SUMIFS(BD!$W$3:$W$5001,BD!$B$3:$B$5001,F$175,BD!$A$3:$A$5001,_xlfn.MAXIFS(BD!$A$3:$A$5001,BD!$B$3:$B$5001,F$175,BD!$A$3:$A$5001,"&gt;="&amp;$C$7,BD!$A$3:$A$5001,"&lt;="&amp;$B205,BD!$W$3:$W$5001,"&lt;&gt;"))))</f>
        <v/>
      </c>
      <c r="G205" s="54" t="str">
        <f>IF(OR($B205="",$A205&gt;$B$9,G$175=""),"",IF(COUNTIFS(BD!$B$3:$B$5001,G$175,BD!$A$3:$A$5001,"&gt;="&amp;$C$7,BD!$A$3:$A$5001,"&lt;="&amp;$B205,BD!$W$3:$W$5001,"&lt;&gt;")=0,"",SUMIFS(BD!$W$3:$W$5001,BD!$B$3:$B$5001,G$175,BD!$A$3:$A$5001,_xlfn.MAXIFS(BD!$A$3:$A$5001,BD!$B$3:$B$5001,G$175,BD!$A$3:$A$5001,"&gt;="&amp;$C$7,BD!$A$3:$A$5001,"&lt;="&amp;$B205,BD!$W$3:$W$5001,"&lt;&gt;"))))</f>
        <v/>
      </c>
      <c r="H205" s="54" t="str">
        <f>IF(OR($B205="",$A205&gt;$B$9,H$175=""),"",IF(COUNTIFS(BD!$B$3:$B$5001,H$175,BD!$A$3:$A$5001,"&gt;="&amp;$C$7,BD!$A$3:$A$5001,"&lt;="&amp;$B205,BD!$W$3:$W$5001,"&lt;&gt;")=0,"",SUMIFS(BD!$W$3:$W$5001,BD!$B$3:$B$5001,H$175,BD!$A$3:$A$5001,_xlfn.MAXIFS(BD!$A$3:$A$5001,BD!$B$3:$B$5001,H$175,BD!$A$3:$A$5001,"&gt;="&amp;$C$7,BD!$A$3:$A$5001,"&lt;="&amp;$B205,BD!$W$3:$W$5001,"&lt;&gt;"))))</f>
        <v/>
      </c>
      <c r="I205" s="54" t="str">
        <f>IF(OR($B205="",$A205&gt;$B$9,I$175=""),"",IF(COUNTIFS(BD!$B$3:$B$5001,I$175,BD!$A$3:$A$5001,"&gt;="&amp;$C$7,BD!$A$3:$A$5001,"&lt;="&amp;$B205,BD!$W$3:$W$5001,"&lt;&gt;")=0,"",SUMIFS(BD!$W$3:$W$5001,BD!$B$3:$B$5001,I$175,BD!$A$3:$A$5001,_xlfn.MAXIFS(BD!$A$3:$A$5001,BD!$B$3:$B$5001,I$175,BD!$A$3:$A$5001,"&gt;="&amp;$C$7,BD!$A$3:$A$5001,"&lt;="&amp;$B205,BD!$W$3:$W$5001,"&lt;&gt;"))))</f>
        <v/>
      </c>
      <c r="J205" s="54" t="str">
        <f>IF(OR($B205="",$A205&gt;$B$9,J$175=""),"",IF(COUNTIFS(BD!$B$3:$B$5001,J$175,BD!$A$3:$A$5001,"&gt;="&amp;$C$7,BD!$A$3:$A$5001,"&lt;="&amp;$B205,BD!$W$3:$W$5001,"&lt;&gt;")=0,"",SUMIFS(BD!$W$3:$W$5001,BD!$B$3:$B$5001,J$175,BD!$A$3:$A$5001,_xlfn.MAXIFS(BD!$A$3:$A$5001,BD!$B$3:$B$5001,J$175,BD!$A$3:$A$5001,"&gt;="&amp;$C$7,BD!$A$3:$A$5001,"&lt;="&amp;$B205,BD!$W$3:$W$5001,"&lt;&gt;"))))</f>
        <v/>
      </c>
      <c r="K205" s="54" t="str">
        <f>IF(OR($B205="",$A205&gt;$B$9,K$175=""),"",IF(COUNTIFS(BD!$B$3:$B$5001,K$175,BD!$A$3:$A$5001,"&gt;="&amp;$C$7,BD!$A$3:$A$5001,"&lt;="&amp;$B205,BD!$W$3:$W$5001,"&lt;&gt;")=0,"",SUMIFS(BD!$W$3:$W$5001,BD!$B$3:$B$5001,K$175,BD!$A$3:$A$5001,_xlfn.MAXIFS(BD!$A$3:$A$5001,BD!$B$3:$B$5001,K$175,BD!$A$3:$A$5001,"&gt;="&amp;$C$7,BD!$A$3:$A$5001,"&lt;="&amp;$B205,BD!$W$3:$W$5001,"&lt;&gt;"))))</f>
        <v/>
      </c>
      <c r="L205" s="54" t="str">
        <f>IF(OR($B205="",$A205&gt;$B$9,L$175=""),"",IF(COUNTIFS(BD!$B$3:$B$5001,L$175,BD!$A$3:$A$5001,"&gt;="&amp;$C$7,BD!$A$3:$A$5001,"&lt;="&amp;$B205,BD!$W$3:$W$5001,"&lt;&gt;")=0,"",SUMIFS(BD!$W$3:$W$5001,BD!$B$3:$B$5001,L$175,BD!$A$3:$A$5001,_xlfn.MAXIFS(BD!$A$3:$A$5001,BD!$B$3:$B$5001,L$175,BD!$A$3:$A$5001,"&gt;="&amp;$C$7,BD!$A$3:$A$5001,"&lt;="&amp;$B205,BD!$W$3:$W$5001,"&lt;&gt;"))))</f>
        <v/>
      </c>
      <c r="M205" s="54" t="str">
        <f>IF(OR($B205="",$A205&gt;$B$9,M$175=""),"",IF(COUNTIFS(BD!$B$3:$B$5001,M$175,BD!$A$3:$A$5001,"&gt;="&amp;$C$7,BD!$A$3:$A$5001,"&lt;="&amp;$B205,BD!$W$3:$W$5001,"&lt;&gt;")=0,"",SUMIFS(BD!$W$3:$W$5001,BD!$B$3:$B$5001,M$175,BD!$A$3:$A$5001,_xlfn.MAXIFS(BD!$A$3:$A$5001,BD!$B$3:$B$5001,M$175,BD!$A$3:$A$5001,"&gt;="&amp;$C$7,BD!$A$3:$A$5001,"&lt;="&amp;$B205,BD!$W$3:$W$5001,"&lt;&gt;"))))</f>
        <v/>
      </c>
      <c r="N205" s="54" t="str">
        <f>IF(OR($B205="",$A205&gt;$B$9,N$175=""),"",IF(COUNTIFS(BD!$B$3:$B$5001,N$175,BD!$A$3:$A$5001,"&gt;="&amp;$C$7,BD!$A$3:$A$5001,"&lt;="&amp;$B205,BD!$W$3:$W$5001,"&lt;&gt;")=0,"",SUMIFS(BD!$W$3:$W$5001,BD!$B$3:$B$5001,N$175,BD!$A$3:$A$5001,_xlfn.MAXIFS(BD!$A$3:$A$5001,BD!$B$3:$B$5001,N$175,BD!$A$3:$A$5001,"&gt;="&amp;$C$7,BD!$A$3:$A$5001,"&lt;="&amp;$B205,BD!$W$3:$W$5001,"&lt;&gt;"))))</f>
        <v/>
      </c>
      <c r="O205" s="54" t="str">
        <f>IF(OR($B205="",$A205&gt;$B$9,O$175=""),"",IF(COUNTIFS(BD!$B$3:$B$5001,O$175,BD!$A$3:$A$5001,"&gt;="&amp;$C$7,BD!$A$3:$A$5001,"&lt;="&amp;$B205,BD!$W$3:$W$5001,"&lt;&gt;")=0,"",SUMIFS(BD!$W$3:$W$5001,BD!$B$3:$B$5001,O$175,BD!$A$3:$A$5001,_xlfn.MAXIFS(BD!$A$3:$A$5001,BD!$B$3:$B$5001,O$175,BD!$A$3:$A$5001,"&gt;="&amp;$C$7,BD!$A$3:$A$5001,"&lt;="&amp;$B205,BD!$W$3:$W$5001,"&lt;&gt;"))))</f>
        <v/>
      </c>
      <c r="P205" s="54" t="str">
        <f>IF(OR($B205="",$A205&gt;$B$9,P$175=""),"",IF(COUNTIFS(BD!$B$3:$B$5001,P$175,BD!$A$3:$A$5001,"&gt;="&amp;$C$7,BD!$A$3:$A$5001,"&lt;="&amp;$B205,BD!$W$3:$W$5001,"&lt;&gt;")=0,"",SUMIFS(BD!$W$3:$W$5001,BD!$B$3:$B$5001,P$175,BD!$A$3:$A$5001,_xlfn.MAXIFS(BD!$A$3:$A$5001,BD!$B$3:$B$5001,P$175,BD!$A$3:$A$5001,"&gt;="&amp;$C$7,BD!$A$3:$A$5001,"&lt;="&amp;$B205,BD!$W$3:$W$5001,"&lt;&gt;"))))</f>
        <v/>
      </c>
      <c r="Q205" s="54" t="str">
        <f>IF(OR($B205="",$A205&gt;$B$9,Q$175=""),"",IF(COUNTIFS(BD!$B$3:$B$5001,Q$175,BD!$A$3:$A$5001,"&gt;="&amp;$C$7,BD!$A$3:$A$5001,"&lt;="&amp;$B205,BD!$W$3:$W$5001,"&lt;&gt;")=0,"",SUMIFS(BD!$W$3:$W$5001,BD!$B$3:$B$5001,Q$175,BD!$A$3:$A$5001,_xlfn.MAXIFS(BD!$A$3:$A$5001,BD!$B$3:$B$5001,Q$175,BD!$A$3:$A$5001,"&gt;="&amp;$C$7,BD!$A$3:$A$5001,"&lt;="&amp;$B205,BD!$W$3:$W$5001,"&lt;&gt;"))))</f>
        <v/>
      </c>
      <c r="R205" s="54" t="str">
        <f>IF(OR($B205="",$A205&gt;$B$9,R$175=""),"",IF(COUNTIFS(BD!$B$3:$B$5001,R$175,BD!$A$3:$A$5001,"&gt;="&amp;$C$7,BD!$A$3:$A$5001,"&lt;="&amp;$B205,BD!$W$3:$W$5001,"&lt;&gt;")=0,"",SUMIFS(BD!$W$3:$W$5001,BD!$B$3:$B$5001,R$175,BD!$A$3:$A$5001,_xlfn.MAXIFS(BD!$A$3:$A$5001,BD!$B$3:$B$5001,R$175,BD!$A$3:$A$5001,"&gt;="&amp;$C$7,BD!$A$3:$A$5001,"&lt;="&amp;$B205,BD!$W$3:$W$5001,"&lt;&gt;"))))</f>
        <v/>
      </c>
      <c r="S205" s="54" t="str">
        <f>IF(OR($B205="",$A205&gt;$B$9,S$175=""),"",IF(COUNTIFS(BD!$B$3:$B$5001,S$175,BD!$A$3:$A$5001,"&gt;="&amp;$C$7,BD!$A$3:$A$5001,"&lt;="&amp;$B205,BD!$W$3:$W$5001,"&lt;&gt;")=0,"",SUMIFS(BD!$W$3:$W$5001,BD!$B$3:$B$5001,S$175,BD!$A$3:$A$5001,_xlfn.MAXIFS(BD!$A$3:$A$5001,BD!$B$3:$B$5001,S$175,BD!$A$3:$A$5001,"&gt;="&amp;$C$7,BD!$A$3:$A$5001,"&lt;="&amp;$B205,BD!$W$3:$W$5001,"&lt;&gt;"))))</f>
        <v/>
      </c>
      <c r="T205" s="54" t="str">
        <f>IF(OR($B205="",$A205&gt;$B$9,T$175=""),"",IF(COUNTIFS(BD!$B$3:$B$5001,T$175,BD!$A$3:$A$5001,"&gt;="&amp;$C$7,BD!$A$3:$A$5001,"&lt;="&amp;$B205,BD!$W$3:$W$5001,"&lt;&gt;")=0,"",SUMIFS(BD!$W$3:$W$5001,BD!$B$3:$B$5001,T$175,BD!$A$3:$A$5001,_xlfn.MAXIFS(BD!$A$3:$A$5001,BD!$B$3:$B$5001,T$175,BD!$A$3:$A$5001,"&gt;="&amp;$C$7,BD!$A$3:$A$5001,"&lt;="&amp;$B205,BD!$W$3:$W$5001,"&lt;&gt;"))))</f>
        <v/>
      </c>
      <c r="U205" s="54" t="str">
        <f>IF(OR($B205="",$A205&gt;$B$9,U$175=""),"",IF(COUNTIFS(BD!$B$3:$B$5001,U$175,BD!$A$3:$A$5001,"&gt;="&amp;$C$7,BD!$A$3:$A$5001,"&lt;="&amp;$B205,BD!$W$3:$W$5001,"&lt;&gt;")=0,"",SUMIFS(BD!$W$3:$W$5001,BD!$B$3:$B$5001,U$175,BD!$A$3:$A$5001,_xlfn.MAXIFS(BD!$A$3:$A$5001,BD!$B$3:$B$5001,U$175,BD!$A$3:$A$5001,"&gt;="&amp;$C$7,BD!$A$3:$A$5001,"&lt;="&amp;$B205,BD!$W$3:$W$5001,"&lt;&gt;"))))</f>
        <v/>
      </c>
      <c r="V205" s="54" t="str">
        <f>IF(OR($B205="",$A205&gt;$B$9,V$175=""),"",IF(COUNTIFS(BD!$B$3:$B$5001,V$175,BD!$A$3:$A$5001,"&gt;="&amp;$C$7,BD!$A$3:$A$5001,"&lt;="&amp;$B205,BD!$W$3:$W$5001,"&lt;&gt;")=0,"",SUMIFS(BD!$W$3:$W$5001,BD!$B$3:$B$5001,V$175,BD!$A$3:$A$5001,_xlfn.MAXIFS(BD!$A$3:$A$5001,BD!$B$3:$B$5001,V$175,BD!$A$3:$A$5001,"&gt;="&amp;$C$7,BD!$A$3:$A$5001,"&lt;="&amp;$B205,BD!$W$3:$W$5001,"&lt;&gt;"))))</f>
        <v/>
      </c>
    </row>
    <row r="206">
      <c r="A206" s="48">
        <v>31</v>
      </c>
      <c r="B206" s="53">
        <f>$B$42</f>
        <v>46326</v>
      </c>
      <c r="C206" s="54" t="str">
        <f>IF(OR($B206="",$A206&gt;$B$9,C$175=""),"",IF(COUNTIFS(BD!$B$3:$B$5001,C$175,BD!$A$3:$A$5001,"&gt;="&amp;$C$7,BD!$A$3:$A$5001,"&lt;="&amp;$B206,BD!$W$3:$W$5001,"&lt;&gt;")=0,"",SUMIFS(BD!$W$3:$W$5001,BD!$B$3:$B$5001,C$175,BD!$A$3:$A$5001,_xlfn.MAXIFS(BD!$A$3:$A$5001,BD!$B$3:$B$5001,C$175,BD!$A$3:$A$5001,"&gt;="&amp;$C$7,BD!$A$3:$A$5001,"&lt;="&amp;$B206,BD!$W$3:$W$5001,"&lt;&gt;"))))</f>
        <v/>
      </c>
      <c r="D206" s="54" t="str">
        <f>IF(OR($B206="",$A206&gt;$B$9,D$175=""),"",IF(COUNTIFS(BD!$B$3:$B$5001,D$175,BD!$A$3:$A$5001,"&gt;="&amp;$C$7,BD!$A$3:$A$5001,"&lt;="&amp;$B206,BD!$W$3:$W$5001,"&lt;&gt;")=0,"",SUMIFS(BD!$W$3:$W$5001,BD!$B$3:$B$5001,D$175,BD!$A$3:$A$5001,_xlfn.MAXIFS(BD!$A$3:$A$5001,BD!$B$3:$B$5001,D$175,BD!$A$3:$A$5001,"&gt;="&amp;$C$7,BD!$A$3:$A$5001,"&lt;="&amp;$B206,BD!$W$3:$W$5001,"&lt;&gt;"))))</f>
        <v/>
      </c>
      <c r="E206" s="54" t="str">
        <f>IF(OR($B206="",$A206&gt;$B$9,E$175=""),"",IF(COUNTIFS(BD!$B$3:$B$5001,E$175,BD!$A$3:$A$5001,"&gt;="&amp;$C$7,BD!$A$3:$A$5001,"&lt;="&amp;$B206,BD!$W$3:$W$5001,"&lt;&gt;")=0,"",SUMIFS(BD!$W$3:$W$5001,BD!$B$3:$B$5001,E$175,BD!$A$3:$A$5001,_xlfn.MAXIFS(BD!$A$3:$A$5001,BD!$B$3:$B$5001,E$175,BD!$A$3:$A$5001,"&gt;="&amp;$C$7,BD!$A$3:$A$5001,"&lt;="&amp;$B206,BD!$W$3:$W$5001,"&lt;&gt;"))))</f>
        <v/>
      </c>
      <c r="F206" s="54" t="str">
        <f>IF(OR($B206="",$A206&gt;$B$9,F$175=""),"",IF(COUNTIFS(BD!$B$3:$B$5001,F$175,BD!$A$3:$A$5001,"&gt;="&amp;$C$7,BD!$A$3:$A$5001,"&lt;="&amp;$B206,BD!$W$3:$W$5001,"&lt;&gt;")=0,"",SUMIFS(BD!$W$3:$W$5001,BD!$B$3:$B$5001,F$175,BD!$A$3:$A$5001,_xlfn.MAXIFS(BD!$A$3:$A$5001,BD!$B$3:$B$5001,F$175,BD!$A$3:$A$5001,"&gt;="&amp;$C$7,BD!$A$3:$A$5001,"&lt;="&amp;$B206,BD!$W$3:$W$5001,"&lt;&gt;"))))</f>
        <v/>
      </c>
      <c r="G206" s="54" t="str">
        <f>IF(OR($B206="",$A206&gt;$B$9,G$175=""),"",IF(COUNTIFS(BD!$B$3:$B$5001,G$175,BD!$A$3:$A$5001,"&gt;="&amp;$C$7,BD!$A$3:$A$5001,"&lt;="&amp;$B206,BD!$W$3:$W$5001,"&lt;&gt;")=0,"",SUMIFS(BD!$W$3:$W$5001,BD!$B$3:$B$5001,G$175,BD!$A$3:$A$5001,_xlfn.MAXIFS(BD!$A$3:$A$5001,BD!$B$3:$B$5001,G$175,BD!$A$3:$A$5001,"&gt;="&amp;$C$7,BD!$A$3:$A$5001,"&lt;="&amp;$B206,BD!$W$3:$W$5001,"&lt;&gt;"))))</f>
        <v/>
      </c>
      <c r="H206" s="54" t="str">
        <f>IF(OR($B206="",$A206&gt;$B$9,H$175=""),"",IF(COUNTIFS(BD!$B$3:$B$5001,H$175,BD!$A$3:$A$5001,"&gt;="&amp;$C$7,BD!$A$3:$A$5001,"&lt;="&amp;$B206,BD!$W$3:$W$5001,"&lt;&gt;")=0,"",SUMIFS(BD!$W$3:$W$5001,BD!$B$3:$B$5001,H$175,BD!$A$3:$A$5001,_xlfn.MAXIFS(BD!$A$3:$A$5001,BD!$B$3:$B$5001,H$175,BD!$A$3:$A$5001,"&gt;="&amp;$C$7,BD!$A$3:$A$5001,"&lt;="&amp;$B206,BD!$W$3:$W$5001,"&lt;&gt;"))))</f>
        <v/>
      </c>
      <c r="I206" s="54" t="str">
        <f>IF(OR($B206="",$A206&gt;$B$9,I$175=""),"",IF(COUNTIFS(BD!$B$3:$B$5001,I$175,BD!$A$3:$A$5001,"&gt;="&amp;$C$7,BD!$A$3:$A$5001,"&lt;="&amp;$B206,BD!$W$3:$W$5001,"&lt;&gt;")=0,"",SUMIFS(BD!$W$3:$W$5001,BD!$B$3:$B$5001,I$175,BD!$A$3:$A$5001,_xlfn.MAXIFS(BD!$A$3:$A$5001,BD!$B$3:$B$5001,I$175,BD!$A$3:$A$5001,"&gt;="&amp;$C$7,BD!$A$3:$A$5001,"&lt;="&amp;$B206,BD!$W$3:$W$5001,"&lt;&gt;"))))</f>
        <v/>
      </c>
      <c r="J206" s="54" t="str">
        <f>IF(OR($B206="",$A206&gt;$B$9,J$175=""),"",IF(COUNTIFS(BD!$B$3:$B$5001,J$175,BD!$A$3:$A$5001,"&gt;="&amp;$C$7,BD!$A$3:$A$5001,"&lt;="&amp;$B206,BD!$W$3:$W$5001,"&lt;&gt;")=0,"",SUMIFS(BD!$W$3:$W$5001,BD!$B$3:$B$5001,J$175,BD!$A$3:$A$5001,_xlfn.MAXIFS(BD!$A$3:$A$5001,BD!$B$3:$B$5001,J$175,BD!$A$3:$A$5001,"&gt;="&amp;$C$7,BD!$A$3:$A$5001,"&lt;="&amp;$B206,BD!$W$3:$W$5001,"&lt;&gt;"))))</f>
        <v/>
      </c>
      <c r="K206" s="54" t="str">
        <f>IF(OR($B206="",$A206&gt;$B$9,K$175=""),"",IF(COUNTIFS(BD!$B$3:$B$5001,K$175,BD!$A$3:$A$5001,"&gt;="&amp;$C$7,BD!$A$3:$A$5001,"&lt;="&amp;$B206,BD!$W$3:$W$5001,"&lt;&gt;")=0,"",SUMIFS(BD!$W$3:$W$5001,BD!$B$3:$B$5001,K$175,BD!$A$3:$A$5001,_xlfn.MAXIFS(BD!$A$3:$A$5001,BD!$B$3:$B$5001,K$175,BD!$A$3:$A$5001,"&gt;="&amp;$C$7,BD!$A$3:$A$5001,"&lt;="&amp;$B206,BD!$W$3:$W$5001,"&lt;&gt;"))))</f>
        <v/>
      </c>
      <c r="L206" s="54" t="str">
        <f>IF(OR($B206="",$A206&gt;$B$9,L$175=""),"",IF(COUNTIFS(BD!$B$3:$B$5001,L$175,BD!$A$3:$A$5001,"&gt;="&amp;$C$7,BD!$A$3:$A$5001,"&lt;="&amp;$B206,BD!$W$3:$W$5001,"&lt;&gt;")=0,"",SUMIFS(BD!$W$3:$W$5001,BD!$B$3:$B$5001,L$175,BD!$A$3:$A$5001,_xlfn.MAXIFS(BD!$A$3:$A$5001,BD!$B$3:$B$5001,L$175,BD!$A$3:$A$5001,"&gt;="&amp;$C$7,BD!$A$3:$A$5001,"&lt;="&amp;$B206,BD!$W$3:$W$5001,"&lt;&gt;"))))</f>
        <v/>
      </c>
      <c r="M206" s="54" t="str">
        <f>IF(OR($B206="",$A206&gt;$B$9,M$175=""),"",IF(COUNTIFS(BD!$B$3:$B$5001,M$175,BD!$A$3:$A$5001,"&gt;="&amp;$C$7,BD!$A$3:$A$5001,"&lt;="&amp;$B206,BD!$W$3:$W$5001,"&lt;&gt;")=0,"",SUMIFS(BD!$W$3:$W$5001,BD!$B$3:$B$5001,M$175,BD!$A$3:$A$5001,_xlfn.MAXIFS(BD!$A$3:$A$5001,BD!$B$3:$B$5001,M$175,BD!$A$3:$A$5001,"&gt;="&amp;$C$7,BD!$A$3:$A$5001,"&lt;="&amp;$B206,BD!$W$3:$W$5001,"&lt;&gt;"))))</f>
        <v/>
      </c>
      <c r="N206" s="54" t="str">
        <f>IF(OR($B206="",$A206&gt;$B$9,N$175=""),"",IF(COUNTIFS(BD!$B$3:$B$5001,N$175,BD!$A$3:$A$5001,"&gt;="&amp;$C$7,BD!$A$3:$A$5001,"&lt;="&amp;$B206,BD!$W$3:$W$5001,"&lt;&gt;")=0,"",SUMIFS(BD!$W$3:$W$5001,BD!$B$3:$B$5001,N$175,BD!$A$3:$A$5001,_xlfn.MAXIFS(BD!$A$3:$A$5001,BD!$B$3:$B$5001,N$175,BD!$A$3:$A$5001,"&gt;="&amp;$C$7,BD!$A$3:$A$5001,"&lt;="&amp;$B206,BD!$W$3:$W$5001,"&lt;&gt;"))))</f>
        <v/>
      </c>
      <c r="O206" s="54" t="str">
        <f>IF(OR($B206="",$A206&gt;$B$9,O$175=""),"",IF(COUNTIFS(BD!$B$3:$B$5001,O$175,BD!$A$3:$A$5001,"&gt;="&amp;$C$7,BD!$A$3:$A$5001,"&lt;="&amp;$B206,BD!$W$3:$W$5001,"&lt;&gt;")=0,"",SUMIFS(BD!$W$3:$W$5001,BD!$B$3:$B$5001,O$175,BD!$A$3:$A$5001,_xlfn.MAXIFS(BD!$A$3:$A$5001,BD!$B$3:$B$5001,O$175,BD!$A$3:$A$5001,"&gt;="&amp;$C$7,BD!$A$3:$A$5001,"&lt;="&amp;$B206,BD!$W$3:$W$5001,"&lt;&gt;"))))</f>
        <v/>
      </c>
      <c r="P206" s="54" t="str">
        <f>IF(OR($B206="",$A206&gt;$B$9,P$175=""),"",IF(COUNTIFS(BD!$B$3:$B$5001,P$175,BD!$A$3:$A$5001,"&gt;="&amp;$C$7,BD!$A$3:$A$5001,"&lt;="&amp;$B206,BD!$W$3:$W$5001,"&lt;&gt;")=0,"",SUMIFS(BD!$W$3:$W$5001,BD!$B$3:$B$5001,P$175,BD!$A$3:$A$5001,_xlfn.MAXIFS(BD!$A$3:$A$5001,BD!$B$3:$B$5001,P$175,BD!$A$3:$A$5001,"&gt;="&amp;$C$7,BD!$A$3:$A$5001,"&lt;="&amp;$B206,BD!$W$3:$W$5001,"&lt;&gt;"))))</f>
        <v/>
      </c>
      <c r="Q206" s="54" t="str">
        <f>IF(OR($B206="",$A206&gt;$B$9,Q$175=""),"",IF(COUNTIFS(BD!$B$3:$B$5001,Q$175,BD!$A$3:$A$5001,"&gt;="&amp;$C$7,BD!$A$3:$A$5001,"&lt;="&amp;$B206,BD!$W$3:$W$5001,"&lt;&gt;")=0,"",SUMIFS(BD!$W$3:$W$5001,BD!$B$3:$B$5001,Q$175,BD!$A$3:$A$5001,_xlfn.MAXIFS(BD!$A$3:$A$5001,BD!$B$3:$B$5001,Q$175,BD!$A$3:$A$5001,"&gt;="&amp;$C$7,BD!$A$3:$A$5001,"&lt;="&amp;$B206,BD!$W$3:$W$5001,"&lt;&gt;"))))</f>
        <v/>
      </c>
      <c r="R206" s="54" t="str">
        <f>IF(OR($B206="",$A206&gt;$B$9,R$175=""),"",IF(COUNTIFS(BD!$B$3:$B$5001,R$175,BD!$A$3:$A$5001,"&gt;="&amp;$C$7,BD!$A$3:$A$5001,"&lt;="&amp;$B206,BD!$W$3:$W$5001,"&lt;&gt;")=0,"",SUMIFS(BD!$W$3:$W$5001,BD!$B$3:$B$5001,R$175,BD!$A$3:$A$5001,_xlfn.MAXIFS(BD!$A$3:$A$5001,BD!$B$3:$B$5001,R$175,BD!$A$3:$A$5001,"&gt;="&amp;$C$7,BD!$A$3:$A$5001,"&lt;="&amp;$B206,BD!$W$3:$W$5001,"&lt;&gt;"))))</f>
        <v/>
      </c>
      <c r="S206" s="54" t="str">
        <f>IF(OR($B206="",$A206&gt;$B$9,S$175=""),"",IF(COUNTIFS(BD!$B$3:$B$5001,S$175,BD!$A$3:$A$5001,"&gt;="&amp;$C$7,BD!$A$3:$A$5001,"&lt;="&amp;$B206,BD!$W$3:$W$5001,"&lt;&gt;")=0,"",SUMIFS(BD!$W$3:$W$5001,BD!$B$3:$B$5001,S$175,BD!$A$3:$A$5001,_xlfn.MAXIFS(BD!$A$3:$A$5001,BD!$B$3:$B$5001,S$175,BD!$A$3:$A$5001,"&gt;="&amp;$C$7,BD!$A$3:$A$5001,"&lt;="&amp;$B206,BD!$W$3:$W$5001,"&lt;&gt;"))))</f>
        <v/>
      </c>
      <c r="T206" s="54" t="str">
        <f>IF(OR($B206="",$A206&gt;$B$9,T$175=""),"",IF(COUNTIFS(BD!$B$3:$B$5001,T$175,BD!$A$3:$A$5001,"&gt;="&amp;$C$7,BD!$A$3:$A$5001,"&lt;="&amp;$B206,BD!$W$3:$W$5001,"&lt;&gt;")=0,"",SUMIFS(BD!$W$3:$W$5001,BD!$B$3:$B$5001,T$175,BD!$A$3:$A$5001,_xlfn.MAXIFS(BD!$A$3:$A$5001,BD!$B$3:$B$5001,T$175,BD!$A$3:$A$5001,"&gt;="&amp;$C$7,BD!$A$3:$A$5001,"&lt;="&amp;$B206,BD!$W$3:$W$5001,"&lt;&gt;"))))</f>
        <v/>
      </c>
      <c r="U206" s="54" t="str">
        <f>IF(OR($B206="",$A206&gt;$B$9,U$175=""),"",IF(COUNTIFS(BD!$B$3:$B$5001,U$175,BD!$A$3:$A$5001,"&gt;="&amp;$C$7,BD!$A$3:$A$5001,"&lt;="&amp;$B206,BD!$W$3:$W$5001,"&lt;&gt;")=0,"",SUMIFS(BD!$W$3:$W$5001,BD!$B$3:$B$5001,U$175,BD!$A$3:$A$5001,_xlfn.MAXIFS(BD!$A$3:$A$5001,BD!$B$3:$B$5001,U$175,BD!$A$3:$A$5001,"&gt;="&amp;$C$7,BD!$A$3:$A$5001,"&lt;="&amp;$B206,BD!$W$3:$W$5001,"&lt;&gt;"))))</f>
        <v/>
      </c>
      <c r="V206" s="54" t="str">
        <f>IF(OR($B206="",$A206&gt;$B$9,V$175=""),"",IF(COUNTIFS(BD!$B$3:$B$5001,V$175,BD!$A$3:$A$5001,"&gt;="&amp;$C$7,BD!$A$3:$A$5001,"&lt;="&amp;$B206,BD!$W$3:$W$5001,"&lt;&gt;")=0,"",SUMIFS(BD!$W$3:$W$5001,BD!$B$3:$B$5001,V$175,BD!$A$3:$A$5001,_xlfn.MAXIFS(BD!$A$3:$A$5001,BD!$B$3:$B$5001,V$175,BD!$A$3:$A$5001,"&gt;="&amp;$C$7,BD!$A$3:$A$5001,"&lt;="&amp;$B206,BD!$W$3:$W$5001,"&lt;&gt;"))))</f>
        <v/>
      </c>
    </row>
    <row r="207">
      <c r="A207" s="55" t="inlineStr">
        <is>
          <t xml:space="preserve">Mês anterior (último)</t>
        </is>
      </c>
      <c r="C207" s="56" t="str">
        <f>IF(C$175="","",IF(COUNTIFS(BD!$B$3:$B$5001,C$175,BD!$A$3:$A$5001,"&gt;="&amp;$C$8,BD!$A$3:$A$5001,"&lt;="&amp;$D$8,BD!$W$3:$W$5001,"&lt;&gt;")=0,"",SUMIFS(BD!$W$3:$W$5001,BD!$B$3:$B$5001,C$175,BD!$A$3:$A$5001,_xlfn.MAXIFS(BD!$A$3:$A$5001,BD!$B$3:$B$5001,C$175,BD!$A$3:$A$5001,"&gt;="&amp;$C$8,BD!$A$3:$A$5001,"&lt;="&amp;$D$8,BD!$W$3:$W$5001,"&lt;&gt;"))))</f>
        <v/>
      </c>
      <c r="D207" s="56" t="str">
        <f>IF(D$175="","",IF(COUNTIFS(BD!$B$3:$B$5001,D$175,BD!$A$3:$A$5001,"&gt;="&amp;$C$8,BD!$A$3:$A$5001,"&lt;="&amp;$D$8,BD!$W$3:$W$5001,"&lt;&gt;")=0,"",SUMIFS(BD!$W$3:$W$5001,BD!$B$3:$B$5001,D$175,BD!$A$3:$A$5001,_xlfn.MAXIFS(BD!$A$3:$A$5001,BD!$B$3:$B$5001,D$175,BD!$A$3:$A$5001,"&gt;="&amp;$C$8,BD!$A$3:$A$5001,"&lt;="&amp;$D$8,BD!$W$3:$W$5001,"&lt;&gt;"))))</f>
        <v/>
      </c>
      <c r="E207" s="56" t="str">
        <f>IF(E$175="","",IF(COUNTIFS(BD!$B$3:$B$5001,E$175,BD!$A$3:$A$5001,"&gt;="&amp;$C$8,BD!$A$3:$A$5001,"&lt;="&amp;$D$8,BD!$W$3:$W$5001,"&lt;&gt;")=0,"",SUMIFS(BD!$W$3:$W$5001,BD!$B$3:$B$5001,E$175,BD!$A$3:$A$5001,_xlfn.MAXIFS(BD!$A$3:$A$5001,BD!$B$3:$B$5001,E$175,BD!$A$3:$A$5001,"&gt;="&amp;$C$8,BD!$A$3:$A$5001,"&lt;="&amp;$D$8,BD!$W$3:$W$5001,"&lt;&gt;"))))</f>
        <v/>
      </c>
      <c r="F207" s="56" t="str">
        <f>IF(F$175="","",IF(COUNTIFS(BD!$B$3:$B$5001,F$175,BD!$A$3:$A$5001,"&gt;="&amp;$C$8,BD!$A$3:$A$5001,"&lt;="&amp;$D$8,BD!$W$3:$W$5001,"&lt;&gt;")=0,"",SUMIFS(BD!$W$3:$W$5001,BD!$B$3:$B$5001,F$175,BD!$A$3:$A$5001,_xlfn.MAXIFS(BD!$A$3:$A$5001,BD!$B$3:$B$5001,F$175,BD!$A$3:$A$5001,"&gt;="&amp;$C$8,BD!$A$3:$A$5001,"&lt;="&amp;$D$8,BD!$W$3:$W$5001,"&lt;&gt;"))))</f>
        <v/>
      </c>
      <c r="G207" s="56" t="str">
        <f>IF(G$175="","",IF(COUNTIFS(BD!$B$3:$B$5001,G$175,BD!$A$3:$A$5001,"&gt;="&amp;$C$8,BD!$A$3:$A$5001,"&lt;="&amp;$D$8,BD!$W$3:$W$5001,"&lt;&gt;")=0,"",SUMIFS(BD!$W$3:$W$5001,BD!$B$3:$B$5001,G$175,BD!$A$3:$A$5001,_xlfn.MAXIFS(BD!$A$3:$A$5001,BD!$B$3:$B$5001,G$175,BD!$A$3:$A$5001,"&gt;="&amp;$C$8,BD!$A$3:$A$5001,"&lt;="&amp;$D$8,BD!$W$3:$W$5001,"&lt;&gt;"))))</f>
        <v/>
      </c>
      <c r="H207" s="56" t="str">
        <f>IF(H$175="","",IF(COUNTIFS(BD!$B$3:$B$5001,H$175,BD!$A$3:$A$5001,"&gt;="&amp;$C$8,BD!$A$3:$A$5001,"&lt;="&amp;$D$8,BD!$W$3:$W$5001,"&lt;&gt;")=0,"",SUMIFS(BD!$W$3:$W$5001,BD!$B$3:$B$5001,H$175,BD!$A$3:$A$5001,_xlfn.MAXIFS(BD!$A$3:$A$5001,BD!$B$3:$B$5001,H$175,BD!$A$3:$A$5001,"&gt;="&amp;$C$8,BD!$A$3:$A$5001,"&lt;="&amp;$D$8,BD!$W$3:$W$5001,"&lt;&gt;"))))</f>
        <v/>
      </c>
      <c r="I207" s="56" t="str">
        <f>IF(I$175="","",IF(COUNTIFS(BD!$B$3:$B$5001,I$175,BD!$A$3:$A$5001,"&gt;="&amp;$C$8,BD!$A$3:$A$5001,"&lt;="&amp;$D$8,BD!$W$3:$W$5001,"&lt;&gt;")=0,"",SUMIFS(BD!$W$3:$W$5001,BD!$B$3:$B$5001,I$175,BD!$A$3:$A$5001,_xlfn.MAXIFS(BD!$A$3:$A$5001,BD!$B$3:$B$5001,I$175,BD!$A$3:$A$5001,"&gt;="&amp;$C$8,BD!$A$3:$A$5001,"&lt;="&amp;$D$8,BD!$W$3:$W$5001,"&lt;&gt;"))))</f>
        <v/>
      </c>
      <c r="J207" s="56" t="str">
        <f>IF(J$175="","",IF(COUNTIFS(BD!$B$3:$B$5001,J$175,BD!$A$3:$A$5001,"&gt;="&amp;$C$8,BD!$A$3:$A$5001,"&lt;="&amp;$D$8,BD!$W$3:$W$5001,"&lt;&gt;")=0,"",SUMIFS(BD!$W$3:$W$5001,BD!$B$3:$B$5001,J$175,BD!$A$3:$A$5001,_xlfn.MAXIFS(BD!$A$3:$A$5001,BD!$B$3:$B$5001,J$175,BD!$A$3:$A$5001,"&gt;="&amp;$C$8,BD!$A$3:$A$5001,"&lt;="&amp;$D$8,BD!$W$3:$W$5001,"&lt;&gt;"))))</f>
        <v/>
      </c>
      <c r="K207" s="56" t="str">
        <f>IF(K$175="","",IF(COUNTIFS(BD!$B$3:$B$5001,K$175,BD!$A$3:$A$5001,"&gt;="&amp;$C$8,BD!$A$3:$A$5001,"&lt;="&amp;$D$8,BD!$W$3:$W$5001,"&lt;&gt;")=0,"",SUMIFS(BD!$W$3:$W$5001,BD!$B$3:$B$5001,K$175,BD!$A$3:$A$5001,_xlfn.MAXIFS(BD!$A$3:$A$5001,BD!$B$3:$B$5001,K$175,BD!$A$3:$A$5001,"&gt;="&amp;$C$8,BD!$A$3:$A$5001,"&lt;="&amp;$D$8,BD!$W$3:$W$5001,"&lt;&gt;"))))</f>
        <v/>
      </c>
      <c r="L207" s="56" t="str">
        <f>IF(L$175="","",IF(COUNTIFS(BD!$B$3:$B$5001,L$175,BD!$A$3:$A$5001,"&gt;="&amp;$C$8,BD!$A$3:$A$5001,"&lt;="&amp;$D$8,BD!$W$3:$W$5001,"&lt;&gt;")=0,"",SUMIFS(BD!$W$3:$W$5001,BD!$B$3:$B$5001,L$175,BD!$A$3:$A$5001,_xlfn.MAXIFS(BD!$A$3:$A$5001,BD!$B$3:$B$5001,L$175,BD!$A$3:$A$5001,"&gt;="&amp;$C$8,BD!$A$3:$A$5001,"&lt;="&amp;$D$8,BD!$W$3:$W$5001,"&lt;&gt;"))))</f>
        <v/>
      </c>
      <c r="M207" s="56" t="str">
        <f>IF(M$175="","",IF(COUNTIFS(BD!$B$3:$B$5001,M$175,BD!$A$3:$A$5001,"&gt;="&amp;$C$8,BD!$A$3:$A$5001,"&lt;="&amp;$D$8,BD!$W$3:$W$5001,"&lt;&gt;")=0,"",SUMIFS(BD!$W$3:$W$5001,BD!$B$3:$B$5001,M$175,BD!$A$3:$A$5001,_xlfn.MAXIFS(BD!$A$3:$A$5001,BD!$B$3:$B$5001,M$175,BD!$A$3:$A$5001,"&gt;="&amp;$C$8,BD!$A$3:$A$5001,"&lt;="&amp;$D$8,BD!$W$3:$W$5001,"&lt;&gt;"))))</f>
        <v/>
      </c>
      <c r="N207" s="56" t="str">
        <f>IF(N$175="","",IF(COUNTIFS(BD!$B$3:$B$5001,N$175,BD!$A$3:$A$5001,"&gt;="&amp;$C$8,BD!$A$3:$A$5001,"&lt;="&amp;$D$8,BD!$W$3:$W$5001,"&lt;&gt;")=0,"",SUMIFS(BD!$W$3:$W$5001,BD!$B$3:$B$5001,N$175,BD!$A$3:$A$5001,_xlfn.MAXIFS(BD!$A$3:$A$5001,BD!$B$3:$B$5001,N$175,BD!$A$3:$A$5001,"&gt;="&amp;$C$8,BD!$A$3:$A$5001,"&lt;="&amp;$D$8,BD!$W$3:$W$5001,"&lt;&gt;"))))</f>
        <v/>
      </c>
      <c r="O207" s="56" t="str">
        <f>IF(O$175="","",IF(COUNTIFS(BD!$B$3:$B$5001,O$175,BD!$A$3:$A$5001,"&gt;="&amp;$C$8,BD!$A$3:$A$5001,"&lt;="&amp;$D$8,BD!$W$3:$W$5001,"&lt;&gt;")=0,"",SUMIFS(BD!$W$3:$W$5001,BD!$B$3:$B$5001,O$175,BD!$A$3:$A$5001,_xlfn.MAXIFS(BD!$A$3:$A$5001,BD!$B$3:$B$5001,O$175,BD!$A$3:$A$5001,"&gt;="&amp;$C$8,BD!$A$3:$A$5001,"&lt;="&amp;$D$8,BD!$W$3:$W$5001,"&lt;&gt;"))))</f>
        <v/>
      </c>
      <c r="P207" s="56" t="str">
        <f>IF(P$175="","",IF(COUNTIFS(BD!$B$3:$B$5001,P$175,BD!$A$3:$A$5001,"&gt;="&amp;$C$8,BD!$A$3:$A$5001,"&lt;="&amp;$D$8,BD!$W$3:$W$5001,"&lt;&gt;")=0,"",SUMIFS(BD!$W$3:$W$5001,BD!$B$3:$B$5001,P$175,BD!$A$3:$A$5001,_xlfn.MAXIFS(BD!$A$3:$A$5001,BD!$B$3:$B$5001,P$175,BD!$A$3:$A$5001,"&gt;="&amp;$C$8,BD!$A$3:$A$5001,"&lt;="&amp;$D$8,BD!$W$3:$W$5001,"&lt;&gt;"))))</f>
        <v/>
      </c>
      <c r="Q207" s="56" t="str">
        <f>IF(Q$175="","",IF(COUNTIFS(BD!$B$3:$B$5001,Q$175,BD!$A$3:$A$5001,"&gt;="&amp;$C$8,BD!$A$3:$A$5001,"&lt;="&amp;$D$8,BD!$W$3:$W$5001,"&lt;&gt;")=0,"",SUMIFS(BD!$W$3:$W$5001,BD!$B$3:$B$5001,Q$175,BD!$A$3:$A$5001,_xlfn.MAXIFS(BD!$A$3:$A$5001,BD!$B$3:$B$5001,Q$175,BD!$A$3:$A$5001,"&gt;="&amp;$C$8,BD!$A$3:$A$5001,"&lt;="&amp;$D$8,BD!$W$3:$W$5001,"&lt;&gt;"))))</f>
        <v/>
      </c>
      <c r="R207" s="56" t="str">
        <f>IF(R$175="","",IF(COUNTIFS(BD!$B$3:$B$5001,R$175,BD!$A$3:$A$5001,"&gt;="&amp;$C$8,BD!$A$3:$A$5001,"&lt;="&amp;$D$8,BD!$W$3:$W$5001,"&lt;&gt;")=0,"",SUMIFS(BD!$W$3:$W$5001,BD!$B$3:$B$5001,R$175,BD!$A$3:$A$5001,_xlfn.MAXIFS(BD!$A$3:$A$5001,BD!$B$3:$B$5001,R$175,BD!$A$3:$A$5001,"&gt;="&amp;$C$8,BD!$A$3:$A$5001,"&lt;="&amp;$D$8,BD!$W$3:$W$5001,"&lt;&gt;"))))</f>
        <v/>
      </c>
      <c r="S207" s="56" t="str">
        <f>IF(S$175="","",IF(COUNTIFS(BD!$B$3:$B$5001,S$175,BD!$A$3:$A$5001,"&gt;="&amp;$C$8,BD!$A$3:$A$5001,"&lt;="&amp;$D$8,BD!$W$3:$W$5001,"&lt;&gt;")=0,"",SUMIFS(BD!$W$3:$W$5001,BD!$B$3:$B$5001,S$175,BD!$A$3:$A$5001,_xlfn.MAXIFS(BD!$A$3:$A$5001,BD!$B$3:$B$5001,S$175,BD!$A$3:$A$5001,"&gt;="&amp;$C$8,BD!$A$3:$A$5001,"&lt;="&amp;$D$8,BD!$W$3:$W$5001,"&lt;&gt;"))))</f>
        <v/>
      </c>
      <c r="T207" s="56" t="str">
        <f>IF(T$175="","",IF(COUNTIFS(BD!$B$3:$B$5001,T$175,BD!$A$3:$A$5001,"&gt;="&amp;$C$8,BD!$A$3:$A$5001,"&lt;="&amp;$D$8,BD!$W$3:$W$5001,"&lt;&gt;")=0,"",SUMIFS(BD!$W$3:$W$5001,BD!$B$3:$B$5001,T$175,BD!$A$3:$A$5001,_xlfn.MAXIFS(BD!$A$3:$A$5001,BD!$B$3:$B$5001,T$175,BD!$A$3:$A$5001,"&gt;="&amp;$C$8,BD!$A$3:$A$5001,"&lt;="&amp;$D$8,BD!$W$3:$W$5001,"&lt;&gt;"))))</f>
        <v/>
      </c>
      <c r="U207" s="56" t="str">
        <f>IF(U$175="","",IF(COUNTIFS(BD!$B$3:$B$5001,U$175,BD!$A$3:$A$5001,"&gt;="&amp;$C$8,BD!$A$3:$A$5001,"&lt;="&amp;$D$8,BD!$W$3:$W$5001,"&lt;&gt;")=0,"",SUMIFS(BD!$W$3:$W$5001,BD!$B$3:$B$5001,U$175,BD!$A$3:$A$5001,_xlfn.MAXIFS(BD!$A$3:$A$5001,BD!$B$3:$B$5001,U$175,BD!$A$3:$A$5001,"&gt;="&amp;$C$8,BD!$A$3:$A$5001,"&lt;="&amp;$D$8,BD!$W$3:$W$5001,"&lt;&gt;"))))</f>
        <v/>
      </c>
      <c r="V207" s="56" t="str">
        <f>IF(V$175="","",IF(COUNTIFS(BD!$B$3:$B$5001,V$175,BD!$A$3:$A$5001,"&gt;="&amp;$C$8,BD!$A$3:$A$5001,"&lt;="&amp;$D$8,BD!$W$3:$W$5001,"&lt;&gt;")=0,"",SUMIFS(BD!$W$3:$W$5001,BD!$B$3:$B$5001,V$175,BD!$A$3:$A$5001,_xlfn.MAXIFS(BD!$A$3:$A$5001,BD!$B$3:$B$5001,V$175,BD!$A$3:$A$5001,"&gt;="&amp;$C$8,BD!$A$3:$A$5001,"&lt;="&amp;$D$8,BD!$W$3:$W$5001,"&lt;&gt;"))))</f>
        <v/>
      </c>
    </row>
    <row r="208">
      <c r="A208" s="55" t="inlineStr">
        <is>
          <t xml:space="preserve">Depósito</t>
        </is>
      </c>
      <c r="C208" s="48" t="str">
        <f>IF(Config!$C$10="","TPC",Config!$C$10)</f>
        <v>TPC</v>
      </c>
      <c r="D208" s="48" t="str">
        <f>IF(Config!$C$11="","TPC",Config!$C$11)</f>
        <v>TPC</v>
      </c>
      <c r="E208" s="48" t="str">
        <f>IF(Config!$C$12="","TPC",Config!$C$12)</f>
        <v>TPC</v>
      </c>
      <c r="F208" s="48" t="str">
        <f>IF(Config!$C$13="","TPC",Config!$C$13)</f>
        <v>TPC</v>
      </c>
      <c r="G208" s="48" t="str">
        <f>IF(Config!$C$14="","TPC",Config!$C$14)</f>
        <v>TPC</v>
      </c>
      <c r="H208" s="48" t="str">
        <f>IF(Config!$C$15="","TPC",Config!$C$15)</f>
        <v>TPC</v>
      </c>
      <c r="I208" s="48" t="str">
        <f>IF(Config!$C$16="","TPC",Config!$C$16)</f>
        <v>TPC</v>
      </c>
      <c r="J208" s="48" t="str">
        <f>IF(Config!$C$17="","TPC",Config!$C$17)</f>
        <v>TPC</v>
      </c>
      <c r="K208" s="48" t="str">
        <f>IF(Config!$C$18="","TPC",Config!$C$18)</f>
        <v>TPC</v>
      </c>
      <c r="L208" s="48" t="str">
        <f>IF(Config!$C$19="","TPC",Config!$C$19)</f>
        <v>TPC</v>
      </c>
      <c r="M208" s="48" t="str">
        <f>IF(Config!$C$20="","TPC",Config!$C$20)</f>
        <v>TPC</v>
      </c>
      <c r="N208" s="48" t="str">
        <f>IF(Config!$C$21="","TPC",Config!$C$21)</f>
        <v>TPC</v>
      </c>
      <c r="O208" s="48" t="str">
        <f>IF(Config!$C$22="","TPC",Config!$C$22)</f>
        <v>TPC</v>
      </c>
      <c r="P208" s="48" t="str">
        <f>IF(Config!$C$23="","TPC",Config!$C$23)</f>
        <v>TPC</v>
      </c>
      <c r="Q208" s="48" t="str">
        <f>IF(Config!$C$24="","TPC",Config!$C$24)</f>
        <v>TPC</v>
      </c>
      <c r="R208" s="48" t="str">
        <f>IF(Config!$C$25="","TPC",Config!$C$25)</f>
        <v>TPC</v>
      </c>
      <c r="S208" s="48" t="str">
        <f>IF(Config!$C$26="","TPC",Config!$C$26)</f>
        <v>TPC</v>
      </c>
      <c r="T208" s="48" t="str">
        <f>IF(Config!$C$27="","TPC",Config!$C$27)</f>
        <v>TPC</v>
      </c>
      <c r="U208" s="48" t="str">
        <f>IF(Config!$C$28="","TPC",Config!$C$28)</f>
        <v>TPC</v>
      </c>
      <c r="V208" s="48" t="str">
        <f>IF(Config!$C$29="","TPC",Config!$C$29)</f>
        <v>TPC</v>
      </c>
    </row>
    <row r="210">
      <c r="A210" s="47" t="inlineStr">
        <is>
          <t xml:space="preserve">Posições Ocupadas</t>
        </is>
      </c>
      <c r="B210" s="47" t="inlineStr">
        <is>
          <t xml:space="preserve">Data</t>
        </is>
      </c>
      <c r="C210" s="47" t="str">
        <f>Config!$B$10&amp;""</f>
        <v>Alpargatas</v>
      </c>
      <c r="D210" s="47" t="str">
        <f>Config!$B$11&amp;""</f>
        <v>Basf</v>
      </c>
      <c r="E210" s="47" t="str">
        <f>Config!$B$12&amp;""</f>
        <v>Beautybiz</v>
      </c>
      <c r="F210" s="47" t="str">
        <f>Config!$B$13&amp;""</f>
        <v>Boticário</v>
      </c>
      <c r="G210" s="47" t="str">
        <f>Config!$B$14&amp;""</f>
        <v>Confiance</v>
      </c>
      <c r="H210" s="47" t="str">
        <f>Config!$B$15&amp;""</f>
        <v>GE Vernova</v>
      </c>
      <c r="I210" s="47" t="str">
        <f>Config!$B$16&amp;""</f>
        <v>Omnilife</v>
      </c>
      <c r="J210" s="47" t="str">
        <f>Config!$B$17&amp;""</f>
        <v>Supply</v>
      </c>
      <c r="K210" s="47" t="str">
        <f>Config!$B$18&amp;""</f>
        <v>Vedacit</v>
      </c>
      <c r="L210" s="47" t="str">
        <f>Config!$B$19&amp;""</f>
        <v>Vestas</v>
      </c>
      <c r="M210" s="47" t="str">
        <f>Config!$B$20&amp;""</f>
        <v/>
      </c>
      <c r="N210" s="47" t="str">
        <f>Config!$B$21&amp;""</f>
        <v/>
      </c>
      <c r="O210" s="47" t="str">
        <f>Config!$B$22&amp;""</f>
        <v/>
      </c>
      <c r="P210" s="47" t="str">
        <f>Config!$B$23&amp;""</f>
        <v/>
      </c>
      <c r="Q210" s="47" t="str">
        <f>Config!$B$24&amp;""</f>
        <v/>
      </c>
      <c r="R210" s="47" t="str">
        <f>Config!$B$25&amp;""</f>
        <v/>
      </c>
      <c r="S210" s="47" t="str">
        <f>Config!$B$26&amp;""</f>
        <v/>
      </c>
      <c r="T210" s="47" t="str">
        <f>Config!$B$27&amp;""</f>
        <v/>
      </c>
      <c r="U210" s="47" t="str">
        <f>Config!$B$28&amp;""</f>
        <v/>
      </c>
      <c r="V210" s="47" t="str">
        <f>Config!$B$29&amp;""</f>
        <v/>
      </c>
    </row>
    <row r="211">
      <c r="A211" s="48">
        <v>1</v>
      </c>
      <c r="B211" s="53">
        <f>$B$12</f>
        <v>46296</v>
      </c>
      <c r="C211" s="54" t="str">
        <f>IF(OR($B211="",$A211&gt;$B$9,C$210=""),"",IF(COUNTIFS(BD!$B$3:$B$5001,C$210,BD!$A$3:$A$5001,"&gt;="&amp;$C$7,BD!$A$3:$A$5001,"&lt;="&amp;$B211,BD!$Y$3:$Y$5001,"&lt;&gt;")=0,"",SUMIFS(BD!$Y$3:$Y$5001,BD!$B$3:$B$5001,C$210,BD!$A$3:$A$5001,_xlfn.MAXIFS(BD!$A$3:$A$5001,BD!$B$3:$B$5001,C$210,BD!$A$3:$A$5001,"&gt;="&amp;$C$7,BD!$A$3:$A$5001,"&lt;="&amp;$B211,BD!$Y$3:$Y$5001,"&lt;&gt;"))))</f>
        <v/>
      </c>
      <c r="D211" s="54" t="str">
        <f>IF(OR($B211="",$A211&gt;$B$9,D$210=""),"",IF(COUNTIFS(BD!$B$3:$B$5001,D$210,BD!$A$3:$A$5001,"&gt;="&amp;$C$7,BD!$A$3:$A$5001,"&lt;="&amp;$B211,BD!$Y$3:$Y$5001,"&lt;&gt;")=0,"",SUMIFS(BD!$Y$3:$Y$5001,BD!$B$3:$B$5001,D$210,BD!$A$3:$A$5001,_xlfn.MAXIFS(BD!$A$3:$A$5001,BD!$B$3:$B$5001,D$210,BD!$A$3:$A$5001,"&gt;="&amp;$C$7,BD!$A$3:$A$5001,"&lt;="&amp;$B211,BD!$Y$3:$Y$5001,"&lt;&gt;"))))</f>
        <v/>
      </c>
      <c r="E211" s="54" t="str">
        <f>IF(OR($B211="",$A211&gt;$B$9,E$210=""),"",IF(COUNTIFS(BD!$B$3:$B$5001,E$210,BD!$A$3:$A$5001,"&gt;="&amp;$C$7,BD!$A$3:$A$5001,"&lt;="&amp;$B211,BD!$Y$3:$Y$5001,"&lt;&gt;")=0,"",SUMIFS(BD!$Y$3:$Y$5001,BD!$B$3:$B$5001,E$210,BD!$A$3:$A$5001,_xlfn.MAXIFS(BD!$A$3:$A$5001,BD!$B$3:$B$5001,E$210,BD!$A$3:$A$5001,"&gt;="&amp;$C$7,BD!$A$3:$A$5001,"&lt;="&amp;$B211,BD!$Y$3:$Y$5001,"&lt;&gt;"))))</f>
        <v/>
      </c>
      <c r="F211" s="54" t="str">
        <f>IF(OR($B211="",$A211&gt;$B$9,F$210=""),"",IF(COUNTIFS(BD!$B$3:$B$5001,F$210,BD!$A$3:$A$5001,"&gt;="&amp;$C$7,BD!$A$3:$A$5001,"&lt;="&amp;$B211,BD!$Y$3:$Y$5001,"&lt;&gt;")=0,"",SUMIFS(BD!$Y$3:$Y$5001,BD!$B$3:$B$5001,F$210,BD!$A$3:$A$5001,_xlfn.MAXIFS(BD!$A$3:$A$5001,BD!$B$3:$B$5001,F$210,BD!$A$3:$A$5001,"&gt;="&amp;$C$7,BD!$A$3:$A$5001,"&lt;="&amp;$B211,BD!$Y$3:$Y$5001,"&lt;&gt;"))))</f>
        <v/>
      </c>
      <c r="G211" s="54" t="str">
        <f>IF(OR($B211="",$A211&gt;$B$9,G$210=""),"",IF(COUNTIFS(BD!$B$3:$B$5001,G$210,BD!$A$3:$A$5001,"&gt;="&amp;$C$7,BD!$A$3:$A$5001,"&lt;="&amp;$B211,BD!$Y$3:$Y$5001,"&lt;&gt;")=0,"",SUMIFS(BD!$Y$3:$Y$5001,BD!$B$3:$B$5001,G$210,BD!$A$3:$A$5001,_xlfn.MAXIFS(BD!$A$3:$A$5001,BD!$B$3:$B$5001,G$210,BD!$A$3:$A$5001,"&gt;="&amp;$C$7,BD!$A$3:$A$5001,"&lt;="&amp;$B211,BD!$Y$3:$Y$5001,"&lt;&gt;"))))</f>
        <v/>
      </c>
      <c r="H211" s="54" t="str">
        <f>IF(OR($B211="",$A211&gt;$B$9,H$210=""),"",IF(COUNTIFS(BD!$B$3:$B$5001,H$210,BD!$A$3:$A$5001,"&gt;="&amp;$C$7,BD!$A$3:$A$5001,"&lt;="&amp;$B211,BD!$Y$3:$Y$5001,"&lt;&gt;")=0,"",SUMIFS(BD!$Y$3:$Y$5001,BD!$B$3:$B$5001,H$210,BD!$A$3:$A$5001,_xlfn.MAXIFS(BD!$A$3:$A$5001,BD!$B$3:$B$5001,H$210,BD!$A$3:$A$5001,"&gt;="&amp;$C$7,BD!$A$3:$A$5001,"&lt;="&amp;$B211,BD!$Y$3:$Y$5001,"&lt;&gt;"))))</f>
        <v/>
      </c>
      <c r="I211" s="54" t="str">
        <f>IF(OR($B211="",$A211&gt;$B$9,I$210=""),"",IF(COUNTIFS(BD!$B$3:$B$5001,I$210,BD!$A$3:$A$5001,"&gt;="&amp;$C$7,BD!$A$3:$A$5001,"&lt;="&amp;$B211,BD!$Y$3:$Y$5001,"&lt;&gt;")=0,"",SUMIFS(BD!$Y$3:$Y$5001,BD!$B$3:$B$5001,I$210,BD!$A$3:$A$5001,_xlfn.MAXIFS(BD!$A$3:$A$5001,BD!$B$3:$B$5001,I$210,BD!$A$3:$A$5001,"&gt;="&amp;$C$7,BD!$A$3:$A$5001,"&lt;="&amp;$B211,BD!$Y$3:$Y$5001,"&lt;&gt;"))))</f>
        <v/>
      </c>
      <c r="J211" s="54" t="str">
        <f>IF(OR($B211="",$A211&gt;$B$9,J$210=""),"",IF(COUNTIFS(BD!$B$3:$B$5001,J$210,BD!$A$3:$A$5001,"&gt;="&amp;$C$7,BD!$A$3:$A$5001,"&lt;="&amp;$B211,BD!$Y$3:$Y$5001,"&lt;&gt;")=0,"",SUMIFS(BD!$Y$3:$Y$5001,BD!$B$3:$B$5001,J$210,BD!$A$3:$A$5001,_xlfn.MAXIFS(BD!$A$3:$A$5001,BD!$B$3:$B$5001,J$210,BD!$A$3:$A$5001,"&gt;="&amp;$C$7,BD!$A$3:$A$5001,"&lt;="&amp;$B211,BD!$Y$3:$Y$5001,"&lt;&gt;"))))</f>
        <v/>
      </c>
      <c r="K211" s="54" t="str">
        <f>IF(OR($B211="",$A211&gt;$B$9,K$210=""),"",IF(COUNTIFS(BD!$B$3:$B$5001,K$210,BD!$A$3:$A$5001,"&gt;="&amp;$C$7,BD!$A$3:$A$5001,"&lt;="&amp;$B211,BD!$Y$3:$Y$5001,"&lt;&gt;")=0,"",SUMIFS(BD!$Y$3:$Y$5001,BD!$B$3:$B$5001,K$210,BD!$A$3:$A$5001,_xlfn.MAXIFS(BD!$A$3:$A$5001,BD!$B$3:$B$5001,K$210,BD!$A$3:$A$5001,"&gt;="&amp;$C$7,BD!$A$3:$A$5001,"&lt;="&amp;$B211,BD!$Y$3:$Y$5001,"&lt;&gt;"))))</f>
        <v/>
      </c>
      <c r="L211" s="54" t="str">
        <f>IF(OR($B211="",$A211&gt;$B$9,L$210=""),"",IF(COUNTIFS(BD!$B$3:$B$5001,L$210,BD!$A$3:$A$5001,"&gt;="&amp;$C$7,BD!$A$3:$A$5001,"&lt;="&amp;$B211,BD!$Y$3:$Y$5001,"&lt;&gt;")=0,"",SUMIFS(BD!$Y$3:$Y$5001,BD!$B$3:$B$5001,L$210,BD!$A$3:$A$5001,_xlfn.MAXIFS(BD!$A$3:$A$5001,BD!$B$3:$B$5001,L$210,BD!$A$3:$A$5001,"&gt;="&amp;$C$7,BD!$A$3:$A$5001,"&lt;="&amp;$B211,BD!$Y$3:$Y$5001,"&lt;&gt;"))))</f>
        <v/>
      </c>
      <c r="M211" s="54" t="str">
        <f>IF(OR($B211="",$A211&gt;$B$9,M$210=""),"",IF(COUNTIFS(BD!$B$3:$B$5001,M$210,BD!$A$3:$A$5001,"&gt;="&amp;$C$7,BD!$A$3:$A$5001,"&lt;="&amp;$B211,BD!$Y$3:$Y$5001,"&lt;&gt;")=0,"",SUMIFS(BD!$Y$3:$Y$5001,BD!$B$3:$B$5001,M$210,BD!$A$3:$A$5001,_xlfn.MAXIFS(BD!$A$3:$A$5001,BD!$B$3:$B$5001,M$210,BD!$A$3:$A$5001,"&gt;="&amp;$C$7,BD!$A$3:$A$5001,"&lt;="&amp;$B211,BD!$Y$3:$Y$5001,"&lt;&gt;"))))</f>
        <v/>
      </c>
      <c r="N211" s="54" t="str">
        <f>IF(OR($B211="",$A211&gt;$B$9,N$210=""),"",IF(COUNTIFS(BD!$B$3:$B$5001,N$210,BD!$A$3:$A$5001,"&gt;="&amp;$C$7,BD!$A$3:$A$5001,"&lt;="&amp;$B211,BD!$Y$3:$Y$5001,"&lt;&gt;")=0,"",SUMIFS(BD!$Y$3:$Y$5001,BD!$B$3:$B$5001,N$210,BD!$A$3:$A$5001,_xlfn.MAXIFS(BD!$A$3:$A$5001,BD!$B$3:$B$5001,N$210,BD!$A$3:$A$5001,"&gt;="&amp;$C$7,BD!$A$3:$A$5001,"&lt;="&amp;$B211,BD!$Y$3:$Y$5001,"&lt;&gt;"))))</f>
        <v/>
      </c>
      <c r="O211" s="54" t="str">
        <f>IF(OR($B211="",$A211&gt;$B$9,O$210=""),"",IF(COUNTIFS(BD!$B$3:$B$5001,O$210,BD!$A$3:$A$5001,"&gt;="&amp;$C$7,BD!$A$3:$A$5001,"&lt;="&amp;$B211,BD!$Y$3:$Y$5001,"&lt;&gt;")=0,"",SUMIFS(BD!$Y$3:$Y$5001,BD!$B$3:$B$5001,O$210,BD!$A$3:$A$5001,_xlfn.MAXIFS(BD!$A$3:$A$5001,BD!$B$3:$B$5001,O$210,BD!$A$3:$A$5001,"&gt;="&amp;$C$7,BD!$A$3:$A$5001,"&lt;="&amp;$B211,BD!$Y$3:$Y$5001,"&lt;&gt;"))))</f>
        <v/>
      </c>
      <c r="P211" s="54" t="str">
        <f>IF(OR($B211="",$A211&gt;$B$9,P$210=""),"",IF(COUNTIFS(BD!$B$3:$B$5001,P$210,BD!$A$3:$A$5001,"&gt;="&amp;$C$7,BD!$A$3:$A$5001,"&lt;="&amp;$B211,BD!$Y$3:$Y$5001,"&lt;&gt;")=0,"",SUMIFS(BD!$Y$3:$Y$5001,BD!$B$3:$B$5001,P$210,BD!$A$3:$A$5001,_xlfn.MAXIFS(BD!$A$3:$A$5001,BD!$B$3:$B$5001,P$210,BD!$A$3:$A$5001,"&gt;="&amp;$C$7,BD!$A$3:$A$5001,"&lt;="&amp;$B211,BD!$Y$3:$Y$5001,"&lt;&gt;"))))</f>
        <v/>
      </c>
      <c r="Q211" s="54" t="str">
        <f>IF(OR($B211="",$A211&gt;$B$9,Q$210=""),"",IF(COUNTIFS(BD!$B$3:$B$5001,Q$210,BD!$A$3:$A$5001,"&gt;="&amp;$C$7,BD!$A$3:$A$5001,"&lt;="&amp;$B211,BD!$Y$3:$Y$5001,"&lt;&gt;")=0,"",SUMIFS(BD!$Y$3:$Y$5001,BD!$B$3:$B$5001,Q$210,BD!$A$3:$A$5001,_xlfn.MAXIFS(BD!$A$3:$A$5001,BD!$B$3:$B$5001,Q$210,BD!$A$3:$A$5001,"&gt;="&amp;$C$7,BD!$A$3:$A$5001,"&lt;="&amp;$B211,BD!$Y$3:$Y$5001,"&lt;&gt;"))))</f>
        <v/>
      </c>
      <c r="R211" s="54" t="str">
        <f>IF(OR($B211="",$A211&gt;$B$9,R$210=""),"",IF(COUNTIFS(BD!$B$3:$B$5001,R$210,BD!$A$3:$A$5001,"&gt;="&amp;$C$7,BD!$A$3:$A$5001,"&lt;="&amp;$B211,BD!$Y$3:$Y$5001,"&lt;&gt;")=0,"",SUMIFS(BD!$Y$3:$Y$5001,BD!$B$3:$B$5001,R$210,BD!$A$3:$A$5001,_xlfn.MAXIFS(BD!$A$3:$A$5001,BD!$B$3:$B$5001,R$210,BD!$A$3:$A$5001,"&gt;="&amp;$C$7,BD!$A$3:$A$5001,"&lt;="&amp;$B211,BD!$Y$3:$Y$5001,"&lt;&gt;"))))</f>
        <v/>
      </c>
      <c r="S211" s="54" t="str">
        <f>IF(OR($B211="",$A211&gt;$B$9,S$210=""),"",IF(COUNTIFS(BD!$B$3:$B$5001,S$210,BD!$A$3:$A$5001,"&gt;="&amp;$C$7,BD!$A$3:$A$5001,"&lt;="&amp;$B211,BD!$Y$3:$Y$5001,"&lt;&gt;")=0,"",SUMIFS(BD!$Y$3:$Y$5001,BD!$B$3:$B$5001,S$210,BD!$A$3:$A$5001,_xlfn.MAXIFS(BD!$A$3:$A$5001,BD!$B$3:$B$5001,S$210,BD!$A$3:$A$5001,"&gt;="&amp;$C$7,BD!$A$3:$A$5001,"&lt;="&amp;$B211,BD!$Y$3:$Y$5001,"&lt;&gt;"))))</f>
        <v/>
      </c>
      <c r="T211" s="54" t="str">
        <f>IF(OR($B211="",$A211&gt;$B$9,T$210=""),"",IF(COUNTIFS(BD!$B$3:$B$5001,T$210,BD!$A$3:$A$5001,"&gt;="&amp;$C$7,BD!$A$3:$A$5001,"&lt;="&amp;$B211,BD!$Y$3:$Y$5001,"&lt;&gt;")=0,"",SUMIFS(BD!$Y$3:$Y$5001,BD!$B$3:$B$5001,T$210,BD!$A$3:$A$5001,_xlfn.MAXIFS(BD!$A$3:$A$5001,BD!$B$3:$B$5001,T$210,BD!$A$3:$A$5001,"&gt;="&amp;$C$7,BD!$A$3:$A$5001,"&lt;="&amp;$B211,BD!$Y$3:$Y$5001,"&lt;&gt;"))))</f>
        <v/>
      </c>
      <c r="U211" s="54" t="str">
        <f>IF(OR($B211="",$A211&gt;$B$9,U$210=""),"",IF(COUNTIFS(BD!$B$3:$B$5001,U$210,BD!$A$3:$A$5001,"&gt;="&amp;$C$7,BD!$A$3:$A$5001,"&lt;="&amp;$B211,BD!$Y$3:$Y$5001,"&lt;&gt;")=0,"",SUMIFS(BD!$Y$3:$Y$5001,BD!$B$3:$B$5001,U$210,BD!$A$3:$A$5001,_xlfn.MAXIFS(BD!$A$3:$A$5001,BD!$B$3:$B$5001,U$210,BD!$A$3:$A$5001,"&gt;="&amp;$C$7,BD!$A$3:$A$5001,"&lt;="&amp;$B211,BD!$Y$3:$Y$5001,"&lt;&gt;"))))</f>
        <v/>
      </c>
      <c r="V211" s="54" t="str">
        <f>IF(OR($B211="",$A211&gt;$B$9,V$210=""),"",IF(COUNTIFS(BD!$B$3:$B$5001,V$210,BD!$A$3:$A$5001,"&gt;="&amp;$C$7,BD!$A$3:$A$5001,"&lt;="&amp;$B211,BD!$Y$3:$Y$5001,"&lt;&gt;")=0,"",SUMIFS(BD!$Y$3:$Y$5001,BD!$B$3:$B$5001,V$210,BD!$A$3:$A$5001,_xlfn.MAXIFS(BD!$A$3:$A$5001,BD!$B$3:$B$5001,V$210,BD!$A$3:$A$5001,"&gt;="&amp;$C$7,BD!$A$3:$A$5001,"&lt;="&amp;$B211,BD!$Y$3:$Y$5001,"&lt;&gt;"))))</f>
        <v/>
      </c>
    </row>
    <row r="212">
      <c r="A212" s="48">
        <v>2</v>
      </c>
      <c r="B212" s="53">
        <f>$B$13</f>
        <v>46297</v>
      </c>
      <c r="C212" s="54" t="str">
        <f>IF(OR($B212="",$A212&gt;$B$9,C$210=""),"",IF(COUNTIFS(BD!$B$3:$B$5001,C$210,BD!$A$3:$A$5001,"&gt;="&amp;$C$7,BD!$A$3:$A$5001,"&lt;="&amp;$B212,BD!$Y$3:$Y$5001,"&lt;&gt;")=0,"",SUMIFS(BD!$Y$3:$Y$5001,BD!$B$3:$B$5001,C$210,BD!$A$3:$A$5001,_xlfn.MAXIFS(BD!$A$3:$A$5001,BD!$B$3:$B$5001,C$210,BD!$A$3:$A$5001,"&gt;="&amp;$C$7,BD!$A$3:$A$5001,"&lt;="&amp;$B212,BD!$Y$3:$Y$5001,"&lt;&gt;"))))</f>
        <v/>
      </c>
      <c r="D212" s="54" t="str">
        <f>IF(OR($B212="",$A212&gt;$B$9,D$210=""),"",IF(COUNTIFS(BD!$B$3:$B$5001,D$210,BD!$A$3:$A$5001,"&gt;="&amp;$C$7,BD!$A$3:$A$5001,"&lt;="&amp;$B212,BD!$Y$3:$Y$5001,"&lt;&gt;")=0,"",SUMIFS(BD!$Y$3:$Y$5001,BD!$B$3:$B$5001,D$210,BD!$A$3:$A$5001,_xlfn.MAXIFS(BD!$A$3:$A$5001,BD!$B$3:$B$5001,D$210,BD!$A$3:$A$5001,"&gt;="&amp;$C$7,BD!$A$3:$A$5001,"&lt;="&amp;$B212,BD!$Y$3:$Y$5001,"&lt;&gt;"))))</f>
        <v/>
      </c>
      <c r="E212" s="54" t="str">
        <f>IF(OR($B212="",$A212&gt;$B$9,E$210=""),"",IF(COUNTIFS(BD!$B$3:$B$5001,E$210,BD!$A$3:$A$5001,"&gt;="&amp;$C$7,BD!$A$3:$A$5001,"&lt;="&amp;$B212,BD!$Y$3:$Y$5001,"&lt;&gt;")=0,"",SUMIFS(BD!$Y$3:$Y$5001,BD!$B$3:$B$5001,E$210,BD!$A$3:$A$5001,_xlfn.MAXIFS(BD!$A$3:$A$5001,BD!$B$3:$B$5001,E$210,BD!$A$3:$A$5001,"&gt;="&amp;$C$7,BD!$A$3:$A$5001,"&lt;="&amp;$B212,BD!$Y$3:$Y$5001,"&lt;&gt;"))))</f>
        <v/>
      </c>
      <c r="F212" s="54" t="str">
        <f>IF(OR($B212="",$A212&gt;$B$9,F$210=""),"",IF(COUNTIFS(BD!$B$3:$B$5001,F$210,BD!$A$3:$A$5001,"&gt;="&amp;$C$7,BD!$A$3:$A$5001,"&lt;="&amp;$B212,BD!$Y$3:$Y$5001,"&lt;&gt;")=0,"",SUMIFS(BD!$Y$3:$Y$5001,BD!$B$3:$B$5001,F$210,BD!$A$3:$A$5001,_xlfn.MAXIFS(BD!$A$3:$A$5001,BD!$B$3:$B$5001,F$210,BD!$A$3:$A$5001,"&gt;="&amp;$C$7,BD!$A$3:$A$5001,"&lt;="&amp;$B212,BD!$Y$3:$Y$5001,"&lt;&gt;"))))</f>
        <v/>
      </c>
      <c r="G212" s="54" t="str">
        <f>IF(OR($B212="",$A212&gt;$B$9,G$210=""),"",IF(COUNTIFS(BD!$B$3:$B$5001,G$210,BD!$A$3:$A$5001,"&gt;="&amp;$C$7,BD!$A$3:$A$5001,"&lt;="&amp;$B212,BD!$Y$3:$Y$5001,"&lt;&gt;")=0,"",SUMIFS(BD!$Y$3:$Y$5001,BD!$B$3:$B$5001,G$210,BD!$A$3:$A$5001,_xlfn.MAXIFS(BD!$A$3:$A$5001,BD!$B$3:$B$5001,G$210,BD!$A$3:$A$5001,"&gt;="&amp;$C$7,BD!$A$3:$A$5001,"&lt;="&amp;$B212,BD!$Y$3:$Y$5001,"&lt;&gt;"))))</f>
        <v/>
      </c>
      <c r="H212" s="54" t="str">
        <f>IF(OR($B212="",$A212&gt;$B$9,H$210=""),"",IF(COUNTIFS(BD!$B$3:$B$5001,H$210,BD!$A$3:$A$5001,"&gt;="&amp;$C$7,BD!$A$3:$A$5001,"&lt;="&amp;$B212,BD!$Y$3:$Y$5001,"&lt;&gt;")=0,"",SUMIFS(BD!$Y$3:$Y$5001,BD!$B$3:$B$5001,H$210,BD!$A$3:$A$5001,_xlfn.MAXIFS(BD!$A$3:$A$5001,BD!$B$3:$B$5001,H$210,BD!$A$3:$A$5001,"&gt;="&amp;$C$7,BD!$A$3:$A$5001,"&lt;="&amp;$B212,BD!$Y$3:$Y$5001,"&lt;&gt;"))))</f>
        <v/>
      </c>
      <c r="I212" s="54" t="str">
        <f>IF(OR($B212="",$A212&gt;$B$9,I$210=""),"",IF(COUNTIFS(BD!$B$3:$B$5001,I$210,BD!$A$3:$A$5001,"&gt;="&amp;$C$7,BD!$A$3:$A$5001,"&lt;="&amp;$B212,BD!$Y$3:$Y$5001,"&lt;&gt;")=0,"",SUMIFS(BD!$Y$3:$Y$5001,BD!$B$3:$B$5001,I$210,BD!$A$3:$A$5001,_xlfn.MAXIFS(BD!$A$3:$A$5001,BD!$B$3:$B$5001,I$210,BD!$A$3:$A$5001,"&gt;="&amp;$C$7,BD!$A$3:$A$5001,"&lt;="&amp;$B212,BD!$Y$3:$Y$5001,"&lt;&gt;"))))</f>
        <v/>
      </c>
      <c r="J212" s="54" t="str">
        <f>IF(OR($B212="",$A212&gt;$B$9,J$210=""),"",IF(COUNTIFS(BD!$B$3:$B$5001,J$210,BD!$A$3:$A$5001,"&gt;="&amp;$C$7,BD!$A$3:$A$5001,"&lt;="&amp;$B212,BD!$Y$3:$Y$5001,"&lt;&gt;")=0,"",SUMIFS(BD!$Y$3:$Y$5001,BD!$B$3:$B$5001,J$210,BD!$A$3:$A$5001,_xlfn.MAXIFS(BD!$A$3:$A$5001,BD!$B$3:$B$5001,J$210,BD!$A$3:$A$5001,"&gt;="&amp;$C$7,BD!$A$3:$A$5001,"&lt;="&amp;$B212,BD!$Y$3:$Y$5001,"&lt;&gt;"))))</f>
        <v/>
      </c>
      <c r="K212" s="54" t="str">
        <f>IF(OR($B212="",$A212&gt;$B$9,K$210=""),"",IF(COUNTIFS(BD!$B$3:$B$5001,K$210,BD!$A$3:$A$5001,"&gt;="&amp;$C$7,BD!$A$3:$A$5001,"&lt;="&amp;$B212,BD!$Y$3:$Y$5001,"&lt;&gt;")=0,"",SUMIFS(BD!$Y$3:$Y$5001,BD!$B$3:$B$5001,K$210,BD!$A$3:$A$5001,_xlfn.MAXIFS(BD!$A$3:$A$5001,BD!$B$3:$B$5001,K$210,BD!$A$3:$A$5001,"&gt;="&amp;$C$7,BD!$A$3:$A$5001,"&lt;="&amp;$B212,BD!$Y$3:$Y$5001,"&lt;&gt;"))))</f>
        <v/>
      </c>
      <c r="L212" s="54" t="str">
        <f>IF(OR($B212="",$A212&gt;$B$9,L$210=""),"",IF(COUNTIFS(BD!$B$3:$B$5001,L$210,BD!$A$3:$A$5001,"&gt;="&amp;$C$7,BD!$A$3:$A$5001,"&lt;="&amp;$B212,BD!$Y$3:$Y$5001,"&lt;&gt;")=0,"",SUMIFS(BD!$Y$3:$Y$5001,BD!$B$3:$B$5001,L$210,BD!$A$3:$A$5001,_xlfn.MAXIFS(BD!$A$3:$A$5001,BD!$B$3:$B$5001,L$210,BD!$A$3:$A$5001,"&gt;="&amp;$C$7,BD!$A$3:$A$5001,"&lt;="&amp;$B212,BD!$Y$3:$Y$5001,"&lt;&gt;"))))</f>
        <v/>
      </c>
      <c r="M212" s="54" t="str">
        <f>IF(OR($B212="",$A212&gt;$B$9,M$210=""),"",IF(COUNTIFS(BD!$B$3:$B$5001,M$210,BD!$A$3:$A$5001,"&gt;="&amp;$C$7,BD!$A$3:$A$5001,"&lt;="&amp;$B212,BD!$Y$3:$Y$5001,"&lt;&gt;")=0,"",SUMIFS(BD!$Y$3:$Y$5001,BD!$B$3:$B$5001,M$210,BD!$A$3:$A$5001,_xlfn.MAXIFS(BD!$A$3:$A$5001,BD!$B$3:$B$5001,M$210,BD!$A$3:$A$5001,"&gt;="&amp;$C$7,BD!$A$3:$A$5001,"&lt;="&amp;$B212,BD!$Y$3:$Y$5001,"&lt;&gt;"))))</f>
        <v/>
      </c>
      <c r="N212" s="54" t="str">
        <f>IF(OR($B212="",$A212&gt;$B$9,N$210=""),"",IF(COUNTIFS(BD!$B$3:$B$5001,N$210,BD!$A$3:$A$5001,"&gt;="&amp;$C$7,BD!$A$3:$A$5001,"&lt;="&amp;$B212,BD!$Y$3:$Y$5001,"&lt;&gt;")=0,"",SUMIFS(BD!$Y$3:$Y$5001,BD!$B$3:$B$5001,N$210,BD!$A$3:$A$5001,_xlfn.MAXIFS(BD!$A$3:$A$5001,BD!$B$3:$B$5001,N$210,BD!$A$3:$A$5001,"&gt;="&amp;$C$7,BD!$A$3:$A$5001,"&lt;="&amp;$B212,BD!$Y$3:$Y$5001,"&lt;&gt;"))))</f>
        <v/>
      </c>
      <c r="O212" s="54" t="str">
        <f>IF(OR($B212="",$A212&gt;$B$9,O$210=""),"",IF(COUNTIFS(BD!$B$3:$B$5001,O$210,BD!$A$3:$A$5001,"&gt;="&amp;$C$7,BD!$A$3:$A$5001,"&lt;="&amp;$B212,BD!$Y$3:$Y$5001,"&lt;&gt;")=0,"",SUMIFS(BD!$Y$3:$Y$5001,BD!$B$3:$B$5001,O$210,BD!$A$3:$A$5001,_xlfn.MAXIFS(BD!$A$3:$A$5001,BD!$B$3:$B$5001,O$210,BD!$A$3:$A$5001,"&gt;="&amp;$C$7,BD!$A$3:$A$5001,"&lt;="&amp;$B212,BD!$Y$3:$Y$5001,"&lt;&gt;"))))</f>
        <v/>
      </c>
      <c r="P212" s="54" t="str">
        <f>IF(OR($B212="",$A212&gt;$B$9,P$210=""),"",IF(COUNTIFS(BD!$B$3:$B$5001,P$210,BD!$A$3:$A$5001,"&gt;="&amp;$C$7,BD!$A$3:$A$5001,"&lt;="&amp;$B212,BD!$Y$3:$Y$5001,"&lt;&gt;")=0,"",SUMIFS(BD!$Y$3:$Y$5001,BD!$B$3:$B$5001,P$210,BD!$A$3:$A$5001,_xlfn.MAXIFS(BD!$A$3:$A$5001,BD!$B$3:$B$5001,P$210,BD!$A$3:$A$5001,"&gt;="&amp;$C$7,BD!$A$3:$A$5001,"&lt;="&amp;$B212,BD!$Y$3:$Y$5001,"&lt;&gt;"))))</f>
        <v/>
      </c>
      <c r="Q212" s="54" t="str">
        <f>IF(OR($B212="",$A212&gt;$B$9,Q$210=""),"",IF(COUNTIFS(BD!$B$3:$B$5001,Q$210,BD!$A$3:$A$5001,"&gt;="&amp;$C$7,BD!$A$3:$A$5001,"&lt;="&amp;$B212,BD!$Y$3:$Y$5001,"&lt;&gt;")=0,"",SUMIFS(BD!$Y$3:$Y$5001,BD!$B$3:$B$5001,Q$210,BD!$A$3:$A$5001,_xlfn.MAXIFS(BD!$A$3:$A$5001,BD!$B$3:$B$5001,Q$210,BD!$A$3:$A$5001,"&gt;="&amp;$C$7,BD!$A$3:$A$5001,"&lt;="&amp;$B212,BD!$Y$3:$Y$5001,"&lt;&gt;"))))</f>
        <v/>
      </c>
      <c r="R212" s="54" t="str">
        <f>IF(OR($B212="",$A212&gt;$B$9,R$210=""),"",IF(COUNTIFS(BD!$B$3:$B$5001,R$210,BD!$A$3:$A$5001,"&gt;="&amp;$C$7,BD!$A$3:$A$5001,"&lt;="&amp;$B212,BD!$Y$3:$Y$5001,"&lt;&gt;")=0,"",SUMIFS(BD!$Y$3:$Y$5001,BD!$B$3:$B$5001,R$210,BD!$A$3:$A$5001,_xlfn.MAXIFS(BD!$A$3:$A$5001,BD!$B$3:$B$5001,R$210,BD!$A$3:$A$5001,"&gt;="&amp;$C$7,BD!$A$3:$A$5001,"&lt;="&amp;$B212,BD!$Y$3:$Y$5001,"&lt;&gt;"))))</f>
        <v/>
      </c>
      <c r="S212" s="54" t="str">
        <f>IF(OR($B212="",$A212&gt;$B$9,S$210=""),"",IF(COUNTIFS(BD!$B$3:$B$5001,S$210,BD!$A$3:$A$5001,"&gt;="&amp;$C$7,BD!$A$3:$A$5001,"&lt;="&amp;$B212,BD!$Y$3:$Y$5001,"&lt;&gt;")=0,"",SUMIFS(BD!$Y$3:$Y$5001,BD!$B$3:$B$5001,S$210,BD!$A$3:$A$5001,_xlfn.MAXIFS(BD!$A$3:$A$5001,BD!$B$3:$B$5001,S$210,BD!$A$3:$A$5001,"&gt;="&amp;$C$7,BD!$A$3:$A$5001,"&lt;="&amp;$B212,BD!$Y$3:$Y$5001,"&lt;&gt;"))))</f>
        <v/>
      </c>
      <c r="T212" s="54" t="str">
        <f>IF(OR($B212="",$A212&gt;$B$9,T$210=""),"",IF(COUNTIFS(BD!$B$3:$B$5001,T$210,BD!$A$3:$A$5001,"&gt;="&amp;$C$7,BD!$A$3:$A$5001,"&lt;="&amp;$B212,BD!$Y$3:$Y$5001,"&lt;&gt;")=0,"",SUMIFS(BD!$Y$3:$Y$5001,BD!$B$3:$B$5001,T$210,BD!$A$3:$A$5001,_xlfn.MAXIFS(BD!$A$3:$A$5001,BD!$B$3:$B$5001,T$210,BD!$A$3:$A$5001,"&gt;="&amp;$C$7,BD!$A$3:$A$5001,"&lt;="&amp;$B212,BD!$Y$3:$Y$5001,"&lt;&gt;"))))</f>
        <v/>
      </c>
      <c r="U212" s="54" t="str">
        <f>IF(OR($B212="",$A212&gt;$B$9,U$210=""),"",IF(COUNTIFS(BD!$B$3:$B$5001,U$210,BD!$A$3:$A$5001,"&gt;="&amp;$C$7,BD!$A$3:$A$5001,"&lt;="&amp;$B212,BD!$Y$3:$Y$5001,"&lt;&gt;")=0,"",SUMIFS(BD!$Y$3:$Y$5001,BD!$B$3:$B$5001,U$210,BD!$A$3:$A$5001,_xlfn.MAXIFS(BD!$A$3:$A$5001,BD!$B$3:$B$5001,U$210,BD!$A$3:$A$5001,"&gt;="&amp;$C$7,BD!$A$3:$A$5001,"&lt;="&amp;$B212,BD!$Y$3:$Y$5001,"&lt;&gt;"))))</f>
        <v/>
      </c>
      <c r="V212" s="54" t="str">
        <f>IF(OR($B212="",$A212&gt;$B$9,V$210=""),"",IF(COUNTIFS(BD!$B$3:$B$5001,V$210,BD!$A$3:$A$5001,"&gt;="&amp;$C$7,BD!$A$3:$A$5001,"&lt;="&amp;$B212,BD!$Y$3:$Y$5001,"&lt;&gt;")=0,"",SUMIFS(BD!$Y$3:$Y$5001,BD!$B$3:$B$5001,V$210,BD!$A$3:$A$5001,_xlfn.MAXIFS(BD!$A$3:$A$5001,BD!$B$3:$B$5001,V$210,BD!$A$3:$A$5001,"&gt;="&amp;$C$7,BD!$A$3:$A$5001,"&lt;="&amp;$B212,BD!$Y$3:$Y$5001,"&lt;&gt;"))))</f>
        <v/>
      </c>
    </row>
    <row r="213">
      <c r="A213" s="48">
        <v>3</v>
      </c>
      <c r="B213" s="53">
        <f>$B$14</f>
        <v>46298</v>
      </c>
      <c r="C213" s="54" t="str">
        <f>IF(OR($B213="",$A213&gt;$B$9,C$210=""),"",IF(COUNTIFS(BD!$B$3:$B$5001,C$210,BD!$A$3:$A$5001,"&gt;="&amp;$C$7,BD!$A$3:$A$5001,"&lt;="&amp;$B213,BD!$Y$3:$Y$5001,"&lt;&gt;")=0,"",SUMIFS(BD!$Y$3:$Y$5001,BD!$B$3:$B$5001,C$210,BD!$A$3:$A$5001,_xlfn.MAXIFS(BD!$A$3:$A$5001,BD!$B$3:$B$5001,C$210,BD!$A$3:$A$5001,"&gt;="&amp;$C$7,BD!$A$3:$A$5001,"&lt;="&amp;$B213,BD!$Y$3:$Y$5001,"&lt;&gt;"))))</f>
        <v/>
      </c>
      <c r="D213" s="54" t="str">
        <f>IF(OR($B213="",$A213&gt;$B$9,D$210=""),"",IF(COUNTIFS(BD!$B$3:$B$5001,D$210,BD!$A$3:$A$5001,"&gt;="&amp;$C$7,BD!$A$3:$A$5001,"&lt;="&amp;$B213,BD!$Y$3:$Y$5001,"&lt;&gt;")=0,"",SUMIFS(BD!$Y$3:$Y$5001,BD!$B$3:$B$5001,D$210,BD!$A$3:$A$5001,_xlfn.MAXIFS(BD!$A$3:$A$5001,BD!$B$3:$B$5001,D$210,BD!$A$3:$A$5001,"&gt;="&amp;$C$7,BD!$A$3:$A$5001,"&lt;="&amp;$B213,BD!$Y$3:$Y$5001,"&lt;&gt;"))))</f>
        <v/>
      </c>
      <c r="E213" s="54" t="str">
        <f>IF(OR($B213="",$A213&gt;$B$9,E$210=""),"",IF(COUNTIFS(BD!$B$3:$B$5001,E$210,BD!$A$3:$A$5001,"&gt;="&amp;$C$7,BD!$A$3:$A$5001,"&lt;="&amp;$B213,BD!$Y$3:$Y$5001,"&lt;&gt;")=0,"",SUMIFS(BD!$Y$3:$Y$5001,BD!$B$3:$B$5001,E$210,BD!$A$3:$A$5001,_xlfn.MAXIFS(BD!$A$3:$A$5001,BD!$B$3:$B$5001,E$210,BD!$A$3:$A$5001,"&gt;="&amp;$C$7,BD!$A$3:$A$5001,"&lt;="&amp;$B213,BD!$Y$3:$Y$5001,"&lt;&gt;"))))</f>
        <v/>
      </c>
      <c r="F213" s="54" t="str">
        <f>IF(OR($B213="",$A213&gt;$B$9,F$210=""),"",IF(COUNTIFS(BD!$B$3:$B$5001,F$210,BD!$A$3:$A$5001,"&gt;="&amp;$C$7,BD!$A$3:$A$5001,"&lt;="&amp;$B213,BD!$Y$3:$Y$5001,"&lt;&gt;")=0,"",SUMIFS(BD!$Y$3:$Y$5001,BD!$B$3:$B$5001,F$210,BD!$A$3:$A$5001,_xlfn.MAXIFS(BD!$A$3:$A$5001,BD!$B$3:$B$5001,F$210,BD!$A$3:$A$5001,"&gt;="&amp;$C$7,BD!$A$3:$A$5001,"&lt;="&amp;$B213,BD!$Y$3:$Y$5001,"&lt;&gt;"))))</f>
        <v/>
      </c>
      <c r="G213" s="54" t="str">
        <f>IF(OR($B213="",$A213&gt;$B$9,G$210=""),"",IF(COUNTIFS(BD!$B$3:$B$5001,G$210,BD!$A$3:$A$5001,"&gt;="&amp;$C$7,BD!$A$3:$A$5001,"&lt;="&amp;$B213,BD!$Y$3:$Y$5001,"&lt;&gt;")=0,"",SUMIFS(BD!$Y$3:$Y$5001,BD!$B$3:$B$5001,G$210,BD!$A$3:$A$5001,_xlfn.MAXIFS(BD!$A$3:$A$5001,BD!$B$3:$B$5001,G$210,BD!$A$3:$A$5001,"&gt;="&amp;$C$7,BD!$A$3:$A$5001,"&lt;="&amp;$B213,BD!$Y$3:$Y$5001,"&lt;&gt;"))))</f>
        <v/>
      </c>
      <c r="H213" s="54" t="str">
        <f>IF(OR($B213="",$A213&gt;$B$9,H$210=""),"",IF(COUNTIFS(BD!$B$3:$B$5001,H$210,BD!$A$3:$A$5001,"&gt;="&amp;$C$7,BD!$A$3:$A$5001,"&lt;="&amp;$B213,BD!$Y$3:$Y$5001,"&lt;&gt;")=0,"",SUMIFS(BD!$Y$3:$Y$5001,BD!$B$3:$B$5001,H$210,BD!$A$3:$A$5001,_xlfn.MAXIFS(BD!$A$3:$A$5001,BD!$B$3:$B$5001,H$210,BD!$A$3:$A$5001,"&gt;="&amp;$C$7,BD!$A$3:$A$5001,"&lt;="&amp;$B213,BD!$Y$3:$Y$5001,"&lt;&gt;"))))</f>
        <v/>
      </c>
      <c r="I213" s="54" t="str">
        <f>IF(OR($B213="",$A213&gt;$B$9,I$210=""),"",IF(COUNTIFS(BD!$B$3:$B$5001,I$210,BD!$A$3:$A$5001,"&gt;="&amp;$C$7,BD!$A$3:$A$5001,"&lt;="&amp;$B213,BD!$Y$3:$Y$5001,"&lt;&gt;")=0,"",SUMIFS(BD!$Y$3:$Y$5001,BD!$B$3:$B$5001,I$210,BD!$A$3:$A$5001,_xlfn.MAXIFS(BD!$A$3:$A$5001,BD!$B$3:$B$5001,I$210,BD!$A$3:$A$5001,"&gt;="&amp;$C$7,BD!$A$3:$A$5001,"&lt;="&amp;$B213,BD!$Y$3:$Y$5001,"&lt;&gt;"))))</f>
        <v/>
      </c>
      <c r="J213" s="54" t="str">
        <f>IF(OR($B213="",$A213&gt;$B$9,J$210=""),"",IF(COUNTIFS(BD!$B$3:$B$5001,J$210,BD!$A$3:$A$5001,"&gt;="&amp;$C$7,BD!$A$3:$A$5001,"&lt;="&amp;$B213,BD!$Y$3:$Y$5001,"&lt;&gt;")=0,"",SUMIFS(BD!$Y$3:$Y$5001,BD!$B$3:$B$5001,J$210,BD!$A$3:$A$5001,_xlfn.MAXIFS(BD!$A$3:$A$5001,BD!$B$3:$B$5001,J$210,BD!$A$3:$A$5001,"&gt;="&amp;$C$7,BD!$A$3:$A$5001,"&lt;="&amp;$B213,BD!$Y$3:$Y$5001,"&lt;&gt;"))))</f>
        <v/>
      </c>
      <c r="K213" s="54" t="str">
        <f>IF(OR($B213="",$A213&gt;$B$9,K$210=""),"",IF(COUNTIFS(BD!$B$3:$B$5001,K$210,BD!$A$3:$A$5001,"&gt;="&amp;$C$7,BD!$A$3:$A$5001,"&lt;="&amp;$B213,BD!$Y$3:$Y$5001,"&lt;&gt;")=0,"",SUMIFS(BD!$Y$3:$Y$5001,BD!$B$3:$B$5001,K$210,BD!$A$3:$A$5001,_xlfn.MAXIFS(BD!$A$3:$A$5001,BD!$B$3:$B$5001,K$210,BD!$A$3:$A$5001,"&gt;="&amp;$C$7,BD!$A$3:$A$5001,"&lt;="&amp;$B213,BD!$Y$3:$Y$5001,"&lt;&gt;"))))</f>
        <v/>
      </c>
      <c r="L213" s="54" t="str">
        <f>IF(OR($B213="",$A213&gt;$B$9,L$210=""),"",IF(COUNTIFS(BD!$B$3:$B$5001,L$210,BD!$A$3:$A$5001,"&gt;="&amp;$C$7,BD!$A$3:$A$5001,"&lt;="&amp;$B213,BD!$Y$3:$Y$5001,"&lt;&gt;")=0,"",SUMIFS(BD!$Y$3:$Y$5001,BD!$B$3:$B$5001,L$210,BD!$A$3:$A$5001,_xlfn.MAXIFS(BD!$A$3:$A$5001,BD!$B$3:$B$5001,L$210,BD!$A$3:$A$5001,"&gt;="&amp;$C$7,BD!$A$3:$A$5001,"&lt;="&amp;$B213,BD!$Y$3:$Y$5001,"&lt;&gt;"))))</f>
        <v/>
      </c>
      <c r="M213" s="54" t="str">
        <f>IF(OR($B213="",$A213&gt;$B$9,M$210=""),"",IF(COUNTIFS(BD!$B$3:$B$5001,M$210,BD!$A$3:$A$5001,"&gt;="&amp;$C$7,BD!$A$3:$A$5001,"&lt;="&amp;$B213,BD!$Y$3:$Y$5001,"&lt;&gt;")=0,"",SUMIFS(BD!$Y$3:$Y$5001,BD!$B$3:$B$5001,M$210,BD!$A$3:$A$5001,_xlfn.MAXIFS(BD!$A$3:$A$5001,BD!$B$3:$B$5001,M$210,BD!$A$3:$A$5001,"&gt;="&amp;$C$7,BD!$A$3:$A$5001,"&lt;="&amp;$B213,BD!$Y$3:$Y$5001,"&lt;&gt;"))))</f>
        <v/>
      </c>
      <c r="N213" s="54" t="str">
        <f>IF(OR($B213="",$A213&gt;$B$9,N$210=""),"",IF(COUNTIFS(BD!$B$3:$B$5001,N$210,BD!$A$3:$A$5001,"&gt;="&amp;$C$7,BD!$A$3:$A$5001,"&lt;="&amp;$B213,BD!$Y$3:$Y$5001,"&lt;&gt;")=0,"",SUMIFS(BD!$Y$3:$Y$5001,BD!$B$3:$B$5001,N$210,BD!$A$3:$A$5001,_xlfn.MAXIFS(BD!$A$3:$A$5001,BD!$B$3:$B$5001,N$210,BD!$A$3:$A$5001,"&gt;="&amp;$C$7,BD!$A$3:$A$5001,"&lt;="&amp;$B213,BD!$Y$3:$Y$5001,"&lt;&gt;"))))</f>
        <v/>
      </c>
      <c r="O213" s="54" t="str">
        <f>IF(OR($B213="",$A213&gt;$B$9,O$210=""),"",IF(COUNTIFS(BD!$B$3:$B$5001,O$210,BD!$A$3:$A$5001,"&gt;="&amp;$C$7,BD!$A$3:$A$5001,"&lt;="&amp;$B213,BD!$Y$3:$Y$5001,"&lt;&gt;")=0,"",SUMIFS(BD!$Y$3:$Y$5001,BD!$B$3:$B$5001,O$210,BD!$A$3:$A$5001,_xlfn.MAXIFS(BD!$A$3:$A$5001,BD!$B$3:$B$5001,O$210,BD!$A$3:$A$5001,"&gt;="&amp;$C$7,BD!$A$3:$A$5001,"&lt;="&amp;$B213,BD!$Y$3:$Y$5001,"&lt;&gt;"))))</f>
        <v/>
      </c>
      <c r="P213" s="54" t="str">
        <f>IF(OR($B213="",$A213&gt;$B$9,P$210=""),"",IF(COUNTIFS(BD!$B$3:$B$5001,P$210,BD!$A$3:$A$5001,"&gt;="&amp;$C$7,BD!$A$3:$A$5001,"&lt;="&amp;$B213,BD!$Y$3:$Y$5001,"&lt;&gt;")=0,"",SUMIFS(BD!$Y$3:$Y$5001,BD!$B$3:$B$5001,P$210,BD!$A$3:$A$5001,_xlfn.MAXIFS(BD!$A$3:$A$5001,BD!$B$3:$B$5001,P$210,BD!$A$3:$A$5001,"&gt;="&amp;$C$7,BD!$A$3:$A$5001,"&lt;="&amp;$B213,BD!$Y$3:$Y$5001,"&lt;&gt;"))))</f>
        <v/>
      </c>
      <c r="Q213" s="54" t="str">
        <f>IF(OR($B213="",$A213&gt;$B$9,Q$210=""),"",IF(COUNTIFS(BD!$B$3:$B$5001,Q$210,BD!$A$3:$A$5001,"&gt;="&amp;$C$7,BD!$A$3:$A$5001,"&lt;="&amp;$B213,BD!$Y$3:$Y$5001,"&lt;&gt;")=0,"",SUMIFS(BD!$Y$3:$Y$5001,BD!$B$3:$B$5001,Q$210,BD!$A$3:$A$5001,_xlfn.MAXIFS(BD!$A$3:$A$5001,BD!$B$3:$B$5001,Q$210,BD!$A$3:$A$5001,"&gt;="&amp;$C$7,BD!$A$3:$A$5001,"&lt;="&amp;$B213,BD!$Y$3:$Y$5001,"&lt;&gt;"))))</f>
        <v/>
      </c>
      <c r="R213" s="54" t="str">
        <f>IF(OR($B213="",$A213&gt;$B$9,R$210=""),"",IF(COUNTIFS(BD!$B$3:$B$5001,R$210,BD!$A$3:$A$5001,"&gt;="&amp;$C$7,BD!$A$3:$A$5001,"&lt;="&amp;$B213,BD!$Y$3:$Y$5001,"&lt;&gt;")=0,"",SUMIFS(BD!$Y$3:$Y$5001,BD!$B$3:$B$5001,R$210,BD!$A$3:$A$5001,_xlfn.MAXIFS(BD!$A$3:$A$5001,BD!$B$3:$B$5001,R$210,BD!$A$3:$A$5001,"&gt;="&amp;$C$7,BD!$A$3:$A$5001,"&lt;="&amp;$B213,BD!$Y$3:$Y$5001,"&lt;&gt;"))))</f>
        <v/>
      </c>
      <c r="S213" s="54" t="str">
        <f>IF(OR($B213="",$A213&gt;$B$9,S$210=""),"",IF(COUNTIFS(BD!$B$3:$B$5001,S$210,BD!$A$3:$A$5001,"&gt;="&amp;$C$7,BD!$A$3:$A$5001,"&lt;="&amp;$B213,BD!$Y$3:$Y$5001,"&lt;&gt;")=0,"",SUMIFS(BD!$Y$3:$Y$5001,BD!$B$3:$B$5001,S$210,BD!$A$3:$A$5001,_xlfn.MAXIFS(BD!$A$3:$A$5001,BD!$B$3:$B$5001,S$210,BD!$A$3:$A$5001,"&gt;="&amp;$C$7,BD!$A$3:$A$5001,"&lt;="&amp;$B213,BD!$Y$3:$Y$5001,"&lt;&gt;"))))</f>
        <v/>
      </c>
      <c r="T213" s="54" t="str">
        <f>IF(OR($B213="",$A213&gt;$B$9,T$210=""),"",IF(COUNTIFS(BD!$B$3:$B$5001,T$210,BD!$A$3:$A$5001,"&gt;="&amp;$C$7,BD!$A$3:$A$5001,"&lt;="&amp;$B213,BD!$Y$3:$Y$5001,"&lt;&gt;")=0,"",SUMIFS(BD!$Y$3:$Y$5001,BD!$B$3:$B$5001,T$210,BD!$A$3:$A$5001,_xlfn.MAXIFS(BD!$A$3:$A$5001,BD!$B$3:$B$5001,T$210,BD!$A$3:$A$5001,"&gt;="&amp;$C$7,BD!$A$3:$A$5001,"&lt;="&amp;$B213,BD!$Y$3:$Y$5001,"&lt;&gt;"))))</f>
        <v/>
      </c>
      <c r="U213" s="54" t="str">
        <f>IF(OR($B213="",$A213&gt;$B$9,U$210=""),"",IF(COUNTIFS(BD!$B$3:$B$5001,U$210,BD!$A$3:$A$5001,"&gt;="&amp;$C$7,BD!$A$3:$A$5001,"&lt;="&amp;$B213,BD!$Y$3:$Y$5001,"&lt;&gt;")=0,"",SUMIFS(BD!$Y$3:$Y$5001,BD!$B$3:$B$5001,U$210,BD!$A$3:$A$5001,_xlfn.MAXIFS(BD!$A$3:$A$5001,BD!$B$3:$B$5001,U$210,BD!$A$3:$A$5001,"&gt;="&amp;$C$7,BD!$A$3:$A$5001,"&lt;="&amp;$B213,BD!$Y$3:$Y$5001,"&lt;&gt;"))))</f>
        <v/>
      </c>
      <c r="V213" s="54" t="str">
        <f>IF(OR($B213="",$A213&gt;$B$9,V$210=""),"",IF(COUNTIFS(BD!$B$3:$B$5001,V$210,BD!$A$3:$A$5001,"&gt;="&amp;$C$7,BD!$A$3:$A$5001,"&lt;="&amp;$B213,BD!$Y$3:$Y$5001,"&lt;&gt;")=0,"",SUMIFS(BD!$Y$3:$Y$5001,BD!$B$3:$B$5001,V$210,BD!$A$3:$A$5001,_xlfn.MAXIFS(BD!$A$3:$A$5001,BD!$B$3:$B$5001,V$210,BD!$A$3:$A$5001,"&gt;="&amp;$C$7,BD!$A$3:$A$5001,"&lt;="&amp;$B213,BD!$Y$3:$Y$5001,"&lt;&gt;"))))</f>
        <v/>
      </c>
    </row>
    <row r="214">
      <c r="A214" s="48">
        <v>4</v>
      </c>
      <c r="B214" s="53">
        <f>$B$15</f>
        <v>46299</v>
      </c>
      <c r="C214" s="54" t="str">
        <f>IF(OR($B214="",$A214&gt;$B$9,C$210=""),"",IF(COUNTIFS(BD!$B$3:$B$5001,C$210,BD!$A$3:$A$5001,"&gt;="&amp;$C$7,BD!$A$3:$A$5001,"&lt;="&amp;$B214,BD!$Y$3:$Y$5001,"&lt;&gt;")=0,"",SUMIFS(BD!$Y$3:$Y$5001,BD!$B$3:$B$5001,C$210,BD!$A$3:$A$5001,_xlfn.MAXIFS(BD!$A$3:$A$5001,BD!$B$3:$B$5001,C$210,BD!$A$3:$A$5001,"&gt;="&amp;$C$7,BD!$A$3:$A$5001,"&lt;="&amp;$B214,BD!$Y$3:$Y$5001,"&lt;&gt;"))))</f>
        <v/>
      </c>
      <c r="D214" s="54" t="str">
        <f>IF(OR($B214="",$A214&gt;$B$9,D$210=""),"",IF(COUNTIFS(BD!$B$3:$B$5001,D$210,BD!$A$3:$A$5001,"&gt;="&amp;$C$7,BD!$A$3:$A$5001,"&lt;="&amp;$B214,BD!$Y$3:$Y$5001,"&lt;&gt;")=0,"",SUMIFS(BD!$Y$3:$Y$5001,BD!$B$3:$B$5001,D$210,BD!$A$3:$A$5001,_xlfn.MAXIFS(BD!$A$3:$A$5001,BD!$B$3:$B$5001,D$210,BD!$A$3:$A$5001,"&gt;="&amp;$C$7,BD!$A$3:$A$5001,"&lt;="&amp;$B214,BD!$Y$3:$Y$5001,"&lt;&gt;"))))</f>
        <v/>
      </c>
      <c r="E214" s="54" t="str">
        <f>IF(OR($B214="",$A214&gt;$B$9,E$210=""),"",IF(COUNTIFS(BD!$B$3:$B$5001,E$210,BD!$A$3:$A$5001,"&gt;="&amp;$C$7,BD!$A$3:$A$5001,"&lt;="&amp;$B214,BD!$Y$3:$Y$5001,"&lt;&gt;")=0,"",SUMIFS(BD!$Y$3:$Y$5001,BD!$B$3:$B$5001,E$210,BD!$A$3:$A$5001,_xlfn.MAXIFS(BD!$A$3:$A$5001,BD!$B$3:$B$5001,E$210,BD!$A$3:$A$5001,"&gt;="&amp;$C$7,BD!$A$3:$A$5001,"&lt;="&amp;$B214,BD!$Y$3:$Y$5001,"&lt;&gt;"))))</f>
        <v/>
      </c>
      <c r="F214" s="54" t="str">
        <f>IF(OR($B214="",$A214&gt;$B$9,F$210=""),"",IF(COUNTIFS(BD!$B$3:$B$5001,F$210,BD!$A$3:$A$5001,"&gt;="&amp;$C$7,BD!$A$3:$A$5001,"&lt;="&amp;$B214,BD!$Y$3:$Y$5001,"&lt;&gt;")=0,"",SUMIFS(BD!$Y$3:$Y$5001,BD!$B$3:$B$5001,F$210,BD!$A$3:$A$5001,_xlfn.MAXIFS(BD!$A$3:$A$5001,BD!$B$3:$B$5001,F$210,BD!$A$3:$A$5001,"&gt;="&amp;$C$7,BD!$A$3:$A$5001,"&lt;="&amp;$B214,BD!$Y$3:$Y$5001,"&lt;&gt;"))))</f>
        <v/>
      </c>
      <c r="G214" s="54" t="str">
        <f>IF(OR($B214="",$A214&gt;$B$9,G$210=""),"",IF(COUNTIFS(BD!$B$3:$B$5001,G$210,BD!$A$3:$A$5001,"&gt;="&amp;$C$7,BD!$A$3:$A$5001,"&lt;="&amp;$B214,BD!$Y$3:$Y$5001,"&lt;&gt;")=0,"",SUMIFS(BD!$Y$3:$Y$5001,BD!$B$3:$B$5001,G$210,BD!$A$3:$A$5001,_xlfn.MAXIFS(BD!$A$3:$A$5001,BD!$B$3:$B$5001,G$210,BD!$A$3:$A$5001,"&gt;="&amp;$C$7,BD!$A$3:$A$5001,"&lt;="&amp;$B214,BD!$Y$3:$Y$5001,"&lt;&gt;"))))</f>
        <v/>
      </c>
      <c r="H214" s="54" t="str">
        <f>IF(OR($B214="",$A214&gt;$B$9,H$210=""),"",IF(COUNTIFS(BD!$B$3:$B$5001,H$210,BD!$A$3:$A$5001,"&gt;="&amp;$C$7,BD!$A$3:$A$5001,"&lt;="&amp;$B214,BD!$Y$3:$Y$5001,"&lt;&gt;")=0,"",SUMIFS(BD!$Y$3:$Y$5001,BD!$B$3:$B$5001,H$210,BD!$A$3:$A$5001,_xlfn.MAXIFS(BD!$A$3:$A$5001,BD!$B$3:$B$5001,H$210,BD!$A$3:$A$5001,"&gt;="&amp;$C$7,BD!$A$3:$A$5001,"&lt;="&amp;$B214,BD!$Y$3:$Y$5001,"&lt;&gt;"))))</f>
        <v/>
      </c>
      <c r="I214" s="54" t="str">
        <f>IF(OR($B214="",$A214&gt;$B$9,I$210=""),"",IF(COUNTIFS(BD!$B$3:$B$5001,I$210,BD!$A$3:$A$5001,"&gt;="&amp;$C$7,BD!$A$3:$A$5001,"&lt;="&amp;$B214,BD!$Y$3:$Y$5001,"&lt;&gt;")=0,"",SUMIFS(BD!$Y$3:$Y$5001,BD!$B$3:$B$5001,I$210,BD!$A$3:$A$5001,_xlfn.MAXIFS(BD!$A$3:$A$5001,BD!$B$3:$B$5001,I$210,BD!$A$3:$A$5001,"&gt;="&amp;$C$7,BD!$A$3:$A$5001,"&lt;="&amp;$B214,BD!$Y$3:$Y$5001,"&lt;&gt;"))))</f>
        <v/>
      </c>
      <c r="J214" s="54" t="str">
        <f>IF(OR($B214="",$A214&gt;$B$9,J$210=""),"",IF(COUNTIFS(BD!$B$3:$B$5001,J$210,BD!$A$3:$A$5001,"&gt;="&amp;$C$7,BD!$A$3:$A$5001,"&lt;="&amp;$B214,BD!$Y$3:$Y$5001,"&lt;&gt;")=0,"",SUMIFS(BD!$Y$3:$Y$5001,BD!$B$3:$B$5001,J$210,BD!$A$3:$A$5001,_xlfn.MAXIFS(BD!$A$3:$A$5001,BD!$B$3:$B$5001,J$210,BD!$A$3:$A$5001,"&gt;="&amp;$C$7,BD!$A$3:$A$5001,"&lt;="&amp;$B214,BD!$Y$3:$Y$5001,"&lt;&gt;"))))</f>
        <v/>
      </c>
      <c r="K214" s="54" t="str">
        <f>IF(OR($B214="",$A214&gt;$B$9,K$210=""),"",IF(COUNTIFS(BD!$B$3:$B$5001,K$210,BD!$A$3:$A$5001,"&gt;="&amp;$C$7,BD!$A$3:$A$5001,"&lt;="&amp;$B214,BD!$Y$3:$Y$5001,"&lt;&gt;")=0,"",SUMIFS(BD!$Y$3:$Y$5001,BD!$B$3:$B$5001,K$210,BD!$A$3:$A$5001,_xlfn.MAXIFS(BD!$A$3:$A$5001,BD!$B$3:$B$5001,K$210,BD!$A$3:$A$5001,"&gt;="&amp;$C$7,BD!$A$3:$A$5001,"&lt;="&amp;$B214,BD!$Y$3:$Y$5001,"&lt;&gt;"))))</f>
        <v/>
      </c>
      <c r="L214" s="54" t="str">
        <f>IF(OR($B214="",$A214&gt;$B$9,L$210=""),"",IF(COUNTIFS(BD!$B$3:$B$5001,L$210,BD!$A$3:$A$5001,"&gt;="&amp;$C$7,BD!$A$3:$A$5001,"&lt;="&amp;$B214,BD!$Y$3:$Y$5001,"&lt;&gt;")=0,"",SUMIFS(BD!$Y$3:$Y$5001,BD!$B$3:$B$5001,L$210,BD!$A$3:$A$5001,_xlfn.MAXIFS(BD!$A$3:$A$5001,BD!$B$3:$B$5001,L$210,BD!$A$3:$A$5001,"&gt;="&amp;$C$7,BD!$A$3:$A$5001,"&lt;="&amp;$B214,BD!$Y$3:$Y$5001,"&lt;&gt;"))))</f>
        <v/>
      </c>
      <c r="M214" s="54" t="str">
        <f>IF(OR($B214="",$A214&gt;$B$9,M$210=""),"",IF(COUNTIFS(BD!$B$3:$B$5001,M$210,BD!$A$3:$A$5001,"&gt;="&amp;$C$7,BD!$A$3:$A$5001,"&lt;="&amp;$B214,BD!$Y$3:$Y$5001,"&lt;&gt;")=0,"",SUMIFS(BD!$Y$3:$Y$5001,BD!$B$3:$B$5001,M$210,BD!$A$3:$A$5001,_xlfn.MAXIFS(BD!$A$3:$A$5001,BD!$B$3:$B$5001,M$210,BD!$A$3:$A$5001,"&gt;="&amp;$C$7,BD!$A$3:$A$5001,"&lt;="&amp;$B214,BD!$Y$3:$Y$5001,"&lt;&gt;"))))</f>
        <v/>
      </c>
      <c r="N214" s="54" t="str">
        <f>IF(OR($B214="",$A214&gt;$B$9,N$210=""),"",IF(COUNTIFS(BD!$B$3:$B$5001,N$210,BD!$A$3:$A$5001,"&gt;="&amp;$C$7,BD!$A$3:$A$5001,"&lt;="&amp;$B214,BD!$Y$3:$Y$5001,"&lt;&gt;")=0,"",SUMIFS(BD!$Y$3:$Y$5001,BD!$B$3:$B$5001,N$210,BD!$A$3:$A$5001,_xlfn.MAXIFS(BD!$A$3:$A$5001,BD!$B$3:$B$5001,N$210,BD!$A$3:$A$5001,"&gt;="&amp;$C$7,BD!$A$3:$A$5001,"&lt;="&amp;$B214,BD!$Y$3:$Y$5001,"&lt;&gt;"))))</f>
        <v/>
      </c>
      <c r="O214" s="54" t="str">
        <f>IF(OR($B214="",$A214&gt;$B$9,O$210=""),"",IF(COUNTIFS(BD!$B$3:$B$5001,O$210,BD!$A$3:$A$5001,"&gt;="&amp;$C$7,BD!$A$3:$A$5001,"&lt;="&amp;$B214,BD!$Y$3:$Y$5001,"&lt;&gt;")=0,"",SUMIFS(BD!$Y$3:$Y$5001,BD!$B$3:$B$5001,O$210,BD!$A$3:$A$5001,_xlfn.MAXIFS(BD!$A$3:$A$5001,BD!$B$3:$B$5001,O$210,BD!$A$3:$A$5001,"&gt;="&amp;$C$7,BD!$A$3:$A$5001,"&lt;="&amp;$B214,BD!$Y$3:$Y$5001,"&lt;&gt;"))))</f>
        <v/>
      </c>
      <c r="P214" s="54" t="str">
        <f>IF(OR($B214="",$A214&gt;$B$9,P$210=""),"",IF(COUNTIFS(BD!$B$3:$B$5001,P$210,BD!$A$3:$A$5001,"&gt;="&amp;$C$7,BD!$A$3:$A$5001,"&lt;="&amp;$B214,BD!$Y$3:$Y$5001,"&lt;&gt;")=0,"",SUMIFS(BD!$Y$3:$Y$5001,BD!$B$3:$B$5001,P$210,BD!$A$3:$A$5001,_xlfn.MAXIFS(BD!$A$3:$A$5001,BD!$B$3:$B$5001,P$210,BD!$A$3:$A$5001,"&gt;="&amp;$C$7,BD!$A$3:$A$5001,"&lt;="&amp;$B214,BD!$Y$3:$Y$5001,"&lt;&gt;"))))</f>
        <v/>
      </c>
      <c r="Q214" s="54" t="str">
        <f>IF(OR($B214="",$A214&gt;$B$9,Q$210=""),"",IF(COUNTIFS(BD!$B$3:$B$5001,Q$210,BD!$A$3:$A$5001,"&gt;="&amp;$C$7,BD!$A$3:$A$5001,"&lt;="&amp;$B214,BD!$Y$3:$Y$5001,"&lt;&gt;")=0,"",SUMIFS(BD!$Y$3:$Y$5001,BD!$B$3:$B$5001,Q$210,BD!$A$3:$A$5001,_xlfn.MAXIFS(BD!$A$3:$A$5001,BD!$B$3:$B$5001,Q$210,BD!$A$3:$A$5001,"&gt;="&amp;$C$7,BD!$A$3:$A$5001,"&lt;="&amp;$B214,BD!$Y$3:$Y$5001,"&lt;&gt;"))))</f>
        <v/>
      </c>
      <c r="R214" s="54" t="str">
        <f>IF(OR($B214="",$A214&gt;$B$9,R$210=""),"",IF(COUNTIFS(BD!$B$3:$B$5001,R$210,BD!$A$3:$A$5001,"&gt;="&amp;$C$7,BD!$A$3:$A$5001,"&lt;="&amp;$B214,BD!$Y$3:$Y$5001,"&lt;&gt;")=0,"",SUMIFS(BD!$Y$3:$Y$5001,BD!$B$3:$B$5001,R$210,BD!$A$3:$A$5001,_xlfn.MAXIFS(BD!$A$3:$A$5001,BD!$B$3:$B$5001,R$210,BD!$A$3:$A$5001,"&gt;="&amp;$C$7,BD!$A$3:$A$5001,"&lt;="&amp;$B214,BD!$Y$3:$Y$5001,"&lt;&gt;"))))</f>
        <v/>
      </c>
      <c r="S214" s="54" t="str">
        <f>IF(OR($B214="",$A214&gt;$B$9,S$210=""),"",IF(COUNTIFS(BD!$B$3:$B$5001,S$210,BD!$A$3:$A$5001,"&gt;="&amp;$C$7,BD!$A$3:$A$5001,"&lt;="&amp;$B214,BD!$Y$3:$Y$5001,"&lt;&gt;")=0,"",SUMIFS(BD!$Y$3:$Y$5001,BD!$B$3:$B$5001,S$210,BD!$A$3:$A$5001,_xlfn.MAXIFS(BD!$A$3:$A$5001,BD!$B$3:$B$5001,S$210,BD!$A$3:$A$5001,"&gt;="&amp;$C$7,BD!$A$3:$A$5001,"&lt;="&amp;$B214,BD!$Y$3:$Y$5001,"&lt;&gt;"))))</f>
        <v/>
      </c>
      <c r="T214" s="54" t="str">
        <f>IF(OR($B214="",$A214&gt;$B$9,T$210=""),"",IF(COUNTIFS(BD!$B$3:$B$5001,T$210,BD!$A$3:$A$5001,"&gt;="&amp;$C$7,BD!$A$3:$A$5001,"&lt;="&amp;$B214,BD!$Y$3:$Y$5001,"&lt;&gt;")=0,"",SUMIFS(BD!$Y$3:$Y$5001,BD!$B$3:$B$5001,T$210,BD!$A$3:$A$5001,_xlfn.MAXIFS(BD!$A$3:$A$5001,BD!$B$3:$B$5001,T$210,BD!$A$3:$A$5001,"&gt;="&amp;$C$7,BD!$A$3:$A$5001,"&lt;="&amp;$B214,BD!$Y$3:$Y$5001,"&lt;&gt;"))))</f>
        <v/>
      </c>
      <c r="U214" s="54" t="str">
        <f>IF(OR($B214="",$A214&gt;$B$9,U$210=""),"",IF(COUNTIFS(BD!$B$3:$B$5001,U$210,BD!$A$3:$A$5001,"&gt;="&amp;$C$7,BD!$A$3:$A$5001,"&lt;="&amp;$B214,BD!$Y$3:$Y$5001,"&lt;&gt;")=0,"",SUMIFS(BD!$Y$3:$Y$5001,BD!$B$3:$B$5001,U$210,BD!$A$3:$A$5001,_xlfn.MAXIFS(BD!$A$3:$A$5001,BD!$B$3:$B$5001,U$210,BD!$A$3:$A$5001,"&gt;="&amp;$C$7,BD!$A$3:$A$5001,"&lt;="&amp;$B214,BD!$Y$3:$Y$5001,"&lt;&gt;"))))</f>
        <v/>
      </c>
      <c r="V214" s="54" t="str">
        <f>IF(OR($B214="",$A214&gt;$B$9,V$210=""),"",IF(COUNTIFS(BD!$B$3:$B$5001,V$210,BD!$A$3:$A$5001,"&gt;="&amp;$C$7,BD!$A$3:$A$5001,"&lt;="&amp;$B214,BD!$Y$3:$Y$5001,"&lt;&gt;")=0,"",SUMIFS(BD!$Y$3:$Y$5001,BD!$B$3:$B$5001,V$210,BD!$A$3:$A$5001,_xlfn.MAXIFS(BD!$A$3:$A$5001,BD!$B$3:$B$5001,V$210,BD!$A$3:$A$5001,"&gt;="&amp;$C$7,BD!$A$3:$A$5001,"&lt;="&amp;$B214,BD!$Y$3:$Y$5001,"&lt;&gt;"))))</f>
        <v/>
      </c>
    </row>
    <row r="215">
      <c r="A215" s="48">
        <v>5</v>
      </c>
      <c r="B215" s="53">
        <f>$B$16</f>
        <v>46300</v>
      </c>
      <c r="C215" s="54" t="str">
        <f>IF(OR($B215="",$A215&gt;$B$9,C$210=""),"",IF(COUNTIFS(BD!$B$3:$B$5001,C$210,BD!$A$3:$A$5001,"&gt;="&amp;$C$7,BD!$A$3:$A$5001,"&lt;="&amp;$B215,BD!$Y$3:$Y$5001,"&lt;&gt;")=0,"",SUMIFS(BD!$Y$3:$Y$5001,BD!$B$3:$B$5001,C$210,BD!$A$3:$A$5001,_xlfn.MAXIFS(BD!$A$3:$A$5001,BD!$B$3:$B$5001,C$210,BD!$A$3:$A$5001,"&gt;="&amp;$C$7,BD!$A$3:$A$5001,"&lt;="&amp;$B215,BD!$Y$3:$Y$5001,"&lt;&gt;"))))</f>
        <v/>
      </c>
      <c r="D215" s="54" t="str">
        <f>IF(OR($B215="",$A215&gt;$B$9,D$210=""),"",IF(COUNTIFS(BD!$B$3:$B$5001,D$210,BD!$A$3:$A$5001,"&gt;="&amp;$C$7,BD!$A$3:$A$5001,"&lt;="&amp;$B215,BD!$Y$3:$Y$5001,"&lt;&gt;")=0,"",SUMIFS(BD!$Y$3:$Y$5001,BD!$B$3:$B$5001,D$210,BD!$A$3:$A$5001,_xlfn.MAXIFS(BD!$A$3:$A$5001,BD!$B$3:$B$5001,D$210,BD!$A$3:$A$5001,"&gt;="&amp;$C$7,BD!$A$3:$A$5001,"&lt;="&amp;$B215,BD!$Y$3:$Y$5001,"&lt;&gt;"))))</f>
        <v/>
      </c>
      <c r="E215" s="54" t="str">
        <f>IF(OR($B215="",$A215&gt;$B$9,E$210=""),"",IF(COUNTIFS(BD!$B$3:$B$5001,E$210,BD!$A$3:$A$5001,"&gt;="&amp;$C$7,BD!$A$3:$A$5001,"&lt;="&amp;$B215,BD!$Y$3:$Y$5001,"&lt;&gt;")=0,"",SUMIFS(BD!$Y$3:$Y$5001,BD!$B$3:$B$5001,E$210,BD!$A$3:$A$5001,_xlfn.MAXIFS(BD!$A$3:$A$5001,BD!$B$3:$B$5001,E$210,BD!$A$3:$A$5001,"&gt;="&amp;$C$7,BD!$A$3:$A$5001,"&lt;="&amp;$B215,BD!$Y$3:$Y$5001,"&lt;&gt;"))))</f>
        <v/>
      </c>
      <c r="F215" s="54" t="str">
        <f>IF(OR($B215="",$A215&gt;$B$9,F$210=""),"",IF(COUNTIFS(BD!$B$3:$B$5001,F$210,BD!$A$3:$A$5001,"&gt;="&amp;$C$7,BD!$A$3:$A$5001,"&lt;="&amp;$B215,BD!$Y$3:$Y$5001,"&lt;&gt;")=0,"",SUMIFS(BD!$Y$3:$Y$5001,BD!$B$3:$B$5001,F$210,BD!$A$3:$A$5001,_xlfn.MAXIFS(BD!$A$3:$A$5001,BD!$B$3:$B$5001,F$210,BD!$A$3:$A$5001,"&gt;="&amp;$C$7,BD!$A$3:$A$5001,"&lt;="&amp;$B215,BD!$Y$3:$Y$5001,"&lt;&gt;"))))</f>
        <v/>
      </c>
      <c r="G215" s="54" t="str">
        <f>IF(OR($B215="",$A215&gt;$B$9,G$210=""),"",IF(COUNTIFS(BD!$B$3:$B$5001,G$210,BD!$A$3:$A$5001,"&gt;="&amp;$C$7,BD!$A$3:$A$5001,"&lt;="&amp;$B215,BD!$Y$3:$Y$5001,"&lt;&gt;")=0,"",SUMIFS(BD!$Y$3:$Y$5001,BD!$B$3:$B$5001,G$210,BD!$A$3:$A$5001,_xlfn.MAXIFS(BD!$A$3:$A$5001,BD!$B$3:$B$5001,G$210,BD!$A$3:$A$5001,"&gt;="&amp;$C$7,BD!$A$3:$A$5001,"&lt;="&amp;$B215,BD!$Y$3:$Y$5001,"&lt;&gt;"))))</f>
        <v/>
      </c>
      <c r="H215" s="54" t="str">
        <f>IF(OR($B215="",$A215&gt;$B$9,H$210=""),"",IF(COUNTIFS(BD!$B$3:$B$5001,H$210,BD!$A$3:$A$5001,"&gt;="&amp;$C$7,BD!$A$3:$A$5001,"&lt;="&amp;$B215,BD!$Y$3:$Y$5001,"&lt;&gt;")=0,"",SUMIFS(BD!$Y$3:$Y$5001,BD!$B$3:$B$5001,H$210,BD!$A$3:$A$5001,_xlfn.MAXIFS(BD!$A$3:$A$5001,BD!$B$3:$B$5001,H$210,BD!$A$3:$A$5001,"&gt;="&amp;$C$7,BD!$A$3:$A$5001,"&lt;="&amp;$B215,BD!$Y$3:$Y$5001,"&lt;&gt;"))))</f>
        <v/>
      </c>
      <c r="I215" s="54" t="str">
        <f>IF(OR($B215="",$A215&gt;$B$9,I$210=""),"",IF(COUNTIFS(BD!$B$3:$B$5001,I$210,BD!$A$3:$A$5001,"&gt;="&amp;$C$7,BD!$A$3:$A$5001,"&lt;="&amp;$B215,BD!$Y$3:$Y$5001,"&lt;&gt;")=0,"",SUMIFS(BD!$Y$3:$Y$5001,BD!$B$3:$B$5001,I$210,BD!$A$3:$A$5001,_xlfn.MAXIFS(BD!$A$3:$A$5001,BD!$B$3:$B$5001,I$210,BD!$A$3:$A$5001,"&gt;="&amp;$C$7,BD!$A$3:$A$5001,"&lt;="&amp;$B215,BD!$Y$3:$Y$5001,"&lt;&gt;"))))</f>
        <v/>
      </c>
      <c r="J215" s="54" t="str">
        <f>IF(OR($B215="",$A215&gt;$B$9,J$210=""),"",IF(COUNTIFS(BD!$B$3:$B$5001,J$210,BD!$A$3:$A$5001,"&gt;="&amp;$C$7,BD!$A$3:$A$5001,"&lt;="&amp;$B215,BD!$Y$3:$Y$5001,"&lt;&gt;")=0,"",SUMIFS(BD!$Y$3:$Y$5001,BD!$B$3:$B$5001,J$210,BD!$A$3:$A$5001,_xlfn.MAXIFS(BD!$A$3:$A$5001,BD!$B$3:$B$5001,J$210,BD!$A$3:$A$5001,"&gt;="&amp;$C$7,BD!$A$3:$A$5001,"&lt;="&amp;$B215,BD!$Y$3:$Y$5001,"&lt;&gt;"))))</f>
        <v/>
      </c>
      <c r="K215" s="54" t="str">
        <f>IF(OR($B215="",$A215&gt;$B$9,K$210=""),"",IF(COUNTIFS(BD!$B$3:$B$5001,K$210,BD!$A$3:$A$5001,"&gt;="&amp;$C$7,BD!$A$3:$A$5001,"&lt;="&amp;$B215,BD!$Y$3:$Y$5001,"&lt;&gt;")=0,"",SUMIFS(BD!$Y$3:$Y$5001,BD!$B$3:$B$5001,K$210,BD!$A$3:$A$5001,_xlfn.MAXIFS(BD!$A$3:$A$5001,BD!$B$3:$B$5001,K$210,BD!$A$3:$A$5001,"&gt;="&amp;$C$7,BD!$A$3:$A$5001,"&lt;="&amp;$B215,BD!$Y$3:$Y$5001,"&lt;&gt;"))))</f>
        <v/>
      </c>
      <c r="L215" s="54" t="str">
        <f>IF(OR($B215="",$A215&gt;$B$9,L$210=""),"",IF(COUNTIFS(BD!$B$3:$B$5001,L$210,BD!$A$3:$A$5001,"&gt;="&amp;$C$7,BD!$A$3:$A$5001,"&lt;="&amp;$B215,BD!$Y$3:$Y$5001,"&lt;&gt;")=0,"",SUMIFS(BD!$Y$3:$Y$5001,BD!$B$3:$B$5001,L$210,BD!$A$3:$A$5001,_xlfn.MAXIFS(BD!$A$3:$A$5001,BD!$B$3:$B$5001,L$210,BD!$A$3:$A$5001,"&gt;="&amp;$C$7,BD!$A$3:$A$5001,"&lt;="&amp;$B215,BD!$Y$3:$Y$5001,"&lt;&gt;"))))</f>
        <v/>
      </c>
      <c r="M215" s="54" t="str">
        <f>IF(OR($B215="",$A215&gt;$B$9,M$210=""),"",IF(COUNTIFS(BD!$B$3:$B$5001,M$210,BD!$A$3:$A$5001,"&gt;="&amp;$C$7,BD!$A$3:$A$5001,"&lt;="&amp;$B215,BD!$Y$3:$Y$5001,"&lt;&gt;")=0,"",SUMIFS(BD!$Y$3:$Y$5001,BD!$B$3:$B$5001,M$210,BD!$A$3:$A$5001,_xlfn.MAXIFS(BD!$A$3:$A$5001,BD!$B$3:$B$5001,M$210,BD!$A$3:$A$5001,"&gt;="&amp;$C$7,BD!$A$3:$A$5001,"&lt;="&amp;$B215,BD!$Y$3:$Y$5001,"&lt;&gt;"))))</f>
        <v/>
      </c>
      <c r="N215" s="54" t="str">
        <f>IF(OR($B215="",$A215&gt;$B$9,N$210=""),"",IF(COUNTIFS(BD!$B$3:$B$5001,N$210,BD!$A$3:$A$5001,"&gt;="&amp;$C$7,BD!$A$3:$A$5001,"&lt;="&amp;$B215,BD!$Y$3:$Y$5001,"&lt;&gt;")=0,"",SUMIFS(BD!$Y$3:$Y$5001,BD!$B$3:$B$5001,N$210,BD!$A$3:$A$5001,_xlfn.MAXIFS(BD!$A$3:$A$5001,BD!$B$3:$B$5001,N$210,BD!$A$3:$A$5001,"&gt;="&amp;$C$7,BD!$A$3:$A$5001,"&lt;="&amp;$B215,BD!$Y$3:$Y$5001,"&lt;&gt;"))))</f>
        <v/>
      </c>
      <c r="O215" s="54" t="str">
        <f>IF(OR($B215="",$A215&gt;$B$9,O$210=""),"",IF(COUNTIFS(BD!$B$3:$B$5001,O$210,BD!$A$3:$A$5001,"&gt;="&amp;$C$7,BD!$A$3:$A$5001,"&lt;="&amp;$B215,BD!$Y$3:$Y$5001,"&lt;&gt;")=0,"",SUMIFS(BD!$Y$3:$Y$5001,BD!$B$3:$B$5001,O$210,BD!$A$3:$A$5001,_xlfn.MAXIFS(BD!$A$3:$A$5001,BD!$B$3:$B$5001,O$210,BD!$A$3:$A$5001,"&gt;="&amp;$C$7,BD!$A$3:$A$5001,"&lt;="&amp;$B215,BD!$Y$3:$Y$5001,"&lt;&gt;"))))</f>
        <v/>
      </c>
      <c r="P215" s="54" t="str">
        <f>IF(OR($B215="",$A215&gt;$B$9,P$210=""),"",IF(COUNTIFS(BD!$B$3:$B$5001,P$210,BD!$A$3:$A$5001,"&gt;="&amp;$C$7,BD!$A$3:$A$5001,"&lt;="&amp;$B215,BD!$Y$3:$Y$5001,"&lt;&gt;")=0,"",SUMIFS(BD!$Y$3:$Y$5001,BD!$B$3:$B$5001,P$210,BD!$A$3:$A$5001,_xlfn.MAXIFS(BD!$A$3:$A$5001,BD!$B$3:$B$5001,P$210,BD!$A$3:$A$5001,"&gt;="&amp;$C$7,BD!$A$3:$A$5001,"&lt;="&amp;$B215,BD!$Y$3:$Y$5001,"&lt;&gt;"))))</f>
        <v/>
      </c>
      <c r="Q215" s="54" t="str">
        <f>IF(OR($B215="",$A215&gt;$B$9,Q$210=""),"",IF(COUNTIFS(BD!$B$3:$B$5001,Q$210,BD!$A$3:$A$5001,"&gt;="&amp;$C$7,BD!$A$3:$A$5001,"&lt;="&amp;$B215,BD!$Y$3:$Y$5001,"&lt;&gt;")=0,"",SUMIFS(BD!$Y$3:$Y$5001,BD!$B$3:$B$5001,Q$210,BD!$A$3:$A$5001,_xlfn.MAXIFS(BD!$A$3:$A$5001,BD!$B$3:$B$5001,Q$210,BD!$A$3:$A$5001,"&gt;="&amp;$C$7,BD!$A$3:$A$5001,"&lt;="&amp;$B215,BD!$Y$3:$Y$5001,"&lt;&gt;"))))</f>
        <v/>
      </c>
      <c r="R215" s="54" t="str">
        <f>IF(OR($B215="",$A215&gt;$B$9,R$210=""),"",IF(COUNTIFS(BD!$B$3:$B$5001,R$210,BD!$A$3:$A$5001,"&gt;="&amp;$C$7,BD!$A$3:$A$5001,"&lt;="&amp;$B215,BD!$Y$3:$Y$5001,"&lt;&gt;")=0,"",SUMIFS(BD!$Y$3:$Y$5001,BD!$B$3:$B$5001,R$210,BD!$A$3:$A$5001,_xlfn.MAXIFS(BD!$A$3:$A$5001,BD!$B$3:$B$5001,R$210,BD!$A$3:$A$5001,"&gt;="&amp;$C$7,BD!$A$3:$A$5001,"&lt;="&amp;$B215,BD!$Y$3:$Y$5001,"&lt;&gt;"))))</f>
        <v/>
      </c>
      <c r="S215" s="54" t="str">
        <f>IF(OR($B215="",$A215&gt;$B$9,S$210=""),"",IF(COUNTIFS(BD!$B$3:$B$5001,S$210,BD!$A$3:$A$5001,"&gt;="&amp;$C$7,BD!$A$3:$A$5001,"&lt;="&amp;$B215,BD!$Y$3:$Y$5001,"&lt;&gt;")=0,"",SUMIFS(BD!$Y$3:$Y$5001,BD!$B$3:$B$5001,S$210,BD!$A$3:$A$5001,_xlfn.MAXIFS(BD!$A$3:$A$5001,BD!$B$3:$B$5001,S$210,BD!$A$3:$A$5001,"&gt;="&amp;$C$7,BD!$A$3:$A$5001,"&lt;="&amp;$B215,BD!$Y$3:$Y$5001,"&lt;&gt;"))))</f>
        <v/>
      </c>
      <c r="T215" s="54" t="str">
        <f>IF(OR($B215="",$A215&gt;$B$9,T$210=""),"",IF(COUNTIFS(BD!$B$3:$B$5001,T$210,BD!$A$3:$A$5001,"&gt;="&amp;$C$7,BD!$A$3:$A$5001,"&lt;="&amp;$B215,BD!$Y$3:$Y$5001,"&lt;&gt;")=0,"",SUMIFS(BD!$Y$3:$Y$5001,BD!$B$3:$B$5001,T$210,BD!$A$3:$A$5001,_xlfn.MAXIFS(BD!$A$3:$A$5001,BD!$B$3:$B$5001,T$210,BD!$A$3:$A$5001,"&gt;="&amp;$C$7,BD!$A$3:$A$5001,"&lt;="&amp;$B215,BD!$Y$3:$Y$5001,"&lt;&gt;"))))</f>
        <v/>
      </c>
      <c r="U215" s="54" t="str">
        <f>IF(OR($B215="",$A215&gt;$B$9,U$210=""),"",IF(COUNTIFS(BD!$B$3:$B$5001,U$210,BD!$A$3:$A$5001,"&gt;="&amp;$C$7,BD!$A$3:$A$5001,"&lt;="&amp;$B215,BD!$Y$3:$Y$5001,"&lt;&gt;")=0,"",SUMIFS(BD!$Y$3:$Y$5001,BD!$B$3:$B$5001,U$210,BD!$A$3:$A$5001,_xlfn.MAXIFS(BD!$A$3:$A$5001,BD!$B$3:$B$5001,U$210,BD!$A$3:$A$5001,"&gt;="&amp;$C$7,BD!$A$3:$A$5001,"&lt;="&amp;$B215,BD!$Y$3:$Y$5001,"&lt;&gt;"))))</f>
        <v/>
      </c>
      <c r="V215" s="54" t="str">
        <f>IF(OR($B215="",$A215&gt;$B$9,V$210=""),"",IF(COUNTIFS(BD!$B$3:$B$5001,V$210,BD!$A$3:$A$5001,"&gt;="&amp;$C$7,BD!$A$3:$A$5001,"&lt;="&amp;$B215,BD!$Y$3:$Y$5001,"&lt;&gt;")=0,"",SUMIFS(BD!$Y$3:$Y$5001,BD!$B$3:$B$5001,V$210,BD!$A$3:$A$5001,_xlfn.MAXIFS(BD!$A$3:$A$5001,BD!$B$3:$B$5001,V$210,BD!$A$3:$A$5001,"&gt;="&amp;$C$7,BD!$A$3:$A$5001,"&lt;="&amp;$B215,BD!$Y$3:$Y$5001,"&lt;&gt;"))))</f>
        <v/>
      </c>
    </row>
    <row r="216">
      <c r="A216" s="48">
        <v>6</v>
      </c>
      <c r="B216" s="53">
        <f>$B$17</f>
        <v>46301</v>
      </c>
      <c r="C216" s="54" t="str">
        <f>IF(OR($B216="",$A216&gt;$B$9,C$210=""),"",IF(COUNTIFS(BD!$B$3:$B$5001,C$210,BD!$A$3:$A$5001,"&gt;="&amp;$C$7,BD!$A$3:$A$5001,"&lt;="&amp;$B216,BD!$Y$3:$Y$5001,"&lt;&gt;")=0,"",SUMIFS(BD!$Y$3:$Y$5001,BD!$B$3:$B$5001,C$210,BD!$A$3:$A$5001,_xlfn.MAXIFS(BD!$A$3:$A$5001,BD!$B$3:$B$5001,C$210,BD!$A$3:$A$5001,"&gt;="&amp;$C$7,BD!$A$3:$A$5001,"&lt;="&amp;$B216,BD!$Y$3:$Y$5001,"&lt;&gt;"))))</f>
        <v/>
      </c>
      <c r="D216" s="54" t="str">
        <f>IF(OR($B216="",$A216&gt;$B$9,D$210=""),"",IF(COUNTIFS(BD!$B$3:$B$5001,D$210,BD!$A$3:$A$5001,"&gt;="&amp;$C$7,BD!$A$3:$A$5001,"&lt;="&amp;$B216,BD!$Y$3:$Y$5001,"&lt;&gt;")=0,"",SUMIFS(BD!$Y$3:$Y$5001,BD!$B$3:$B$5001,D$210,BD!$A$3:$A$5001,_xlfn.MAXIFS(BD!$A$3:$A$5001,BD!$B$3:$B$5001,D$210,BD!$A$3:$A$5001,"&gt;="&amp;$C$7,BD!$A$3:$A$5001,"&lt;="&amp;$B216,BD!$Y$3:$Y$5001,"&lt;&gt;"))))</f>
        <v/>
      </c>
      <c r="E216" s="54" t="str">
        <f>IF(OR($B216="",$A216&gt;$B$9,E$210=""),"",IF(COUNTIFS(BD!$B$3:$B$5001,E$210,BD!$A$3:$A$5001,"&gt;="&amp;$C$7,BD!$A$3:$A$5001,"&lt;="&amp;$B216,BD!$Y$3:$Y$5001,"&lt;&gt;")=0,"",SUMIFS(BD!$Y$3:$Y$5001,BD!$B$3:$B$5001,E$210,BD!$A$3:$A$5001,_xlfn.MAXIFS(BD!$A$3:$A$5001,BD!$B$3:$B$5001,E$210,BD!$A$3:$A$5001,"&gt;="&amp;$C$7,BD!$A$3:$A$5001,"&lt;="&amp;$B216,BD!$Y$3:$Y$5001,"&lt;&gt;"))))</f>
        <v/>
      </c>
      <c r="F216" s="54" t="str">
        <f>IF(OR($B216="",$A216&gt;$B$9,F$210=""),"",IF(COUNTIFS(BD!$B$3:$B$5001,F$210,BD!$A$3:$A$5001,"&gt;="&amp;$C$7,BD!$A$3:$A$5001,"&lt;="&amp;$B216,BD!$Y$3:$Y$5001,"&lt;&gt;")=0,"",SUMIFS(BD!$Y$3:$Y$5001,BD!$B$3:$B$5001,F$210,BD!$A$3:$A$5001,_xlfn.MAXIFS(BD!$A$3:$A$5001,BD!$B$3:$B$5001,F$210,BD!$A$3:$A$5001,"&gt;="&amp;$C$7,BD!$A$3:$A$5001,"&lt;="&amp;$B216,BD!$Y$3:$Y$5001,"&lt;&gt;"))))</f>
        <v/>
      </c>
      <c r="G216" s="54" t="str">
        <f>IF(OR($B216="",$A216&gt;$B$9,G$210=""),"",IF(COUNTIFS(BD!$B$3:$B$5001,G$210,BD!$A$3:$A$5001,"&gt;="&amp;$C$7,BD!$A$3:$A$5001,"&lt;="&amp;$B216,BD!$Y$3:$Y$5001,"&lt;&gt;")=0,"",SUMIFS(BD!$Y$3:$Y$5001,BD!$B$3:$B$5001,G$210,BD!$A$3:$A$5001,_xlfn.MAXIFS(BD!$A$3:$A$5001,BD!$B$3:$B$5001,G$210,BD!$A$3:$A$5001,"&gt;="&amp;$C$7,BD!$A$3:$A$5001,"&lt;="&amp;$B216,BD!$Y$3:$Y$5001,"&lt;&gt;"))))</f>
        <v/>
      </c>
      <c r="H216" s="54" t="str">
        <f>IF(OR($B216="",$A216&gt;$B$9,H$210=""),"",IF(COUNTIFS(BD!$B$3:$B$5001,H$210,BD!$A$3:$A$5001,"&gt;="&amp;$C$7,BD!$A$3:$A$5001,"&lt;="&amp;$B216,BD!$Y$3:$Y$5001,"&lt;&gt;")=0,"",SUMIFS(BD!$Y$3:$Y$5001,BD!$B$3:$B$5001,H$210,BD!$A$3:$A$5001,_xlfn.MAXIFS(BD!$A$3:$A$5001,BD!$B$3:$B$5001,H$210,BD!$A$3:$A$5001,"&gt;="&amp;$C$7,BD!$A$3:$A$5001,"&lt;="&amp;$B216,BD!$Y$3:$Y$5001,"&lt;&gt;"))))</f>
        <v/>
      </c>
      <c r="I216" s="54" t="str">
        <f>IF(OR($B216="",$A216&gt;$B$9,I$210=""),"",IF(COUNTIFS(BD!$B$3:$B$5001,I$210,BD!$A$3:$A$5001,"&gt;="&amp;$C$7,BD!$A$3:$A$5001,"&lt;="&amp;$B216,BD!$Y$3:$Y$5001,"&lt;&gt;")=0,"",SUMIFS(BD!$Y$3:$Y$5001,BD!$B$3:$B$5001,I$210,BD!$A$3:$A$5001,_xlfn.MAXIFS(BD!$A$3:$A$5001,BD!$B$3:$B$5001,I$210,BD!$A$3:$A$5001,"&gt;="&amp;$C$7,BD!$A$3:$A$5001,"&lt;="&amp;$B216,BD!$Y$3:$Y$5001,"&lt;&gt;"))))</f>
        <v/>
      </c>
      <c r="J216" s="54" t="str">
        <f>IF(OR($B216="",$A216&gt;$B$9,J$210=""),"",IF(COUNTIFS(BD!$B$3:$B$5001,J$210,BD!$A$3:$A$5001,"&gt;="&amp;$C$7,BD!$A$3:$A$5001,"&lt;="&amp;$B216,BD!$Y$3:$Y$5001,"&lt;&gt;")=0,"",SUMIFS(BD!$Y$3:$Y$5001,BD!$B$3:$B$5001,J$210,BD!$A$3:$A$5001,_xlfn.MAXIFS(BD!$A$3:$A$5001,BD!$B$3:$B$5001,J$210,BD!$A$3:$A$5001,"&gt;="&amp;$C$7,BD!$A$3:$A$5001,"&lt;="&amp;$B216,BD!$Y$3:$Y$5001,"&lt;&gt;"))))</f>
        <v/>
      </c>
      <c r="K216" s="54" t="str">
        <f>IF(OR($B216="",$A216&gt;$B$9,K$210=""),"",IF(COUNTIFS(BD!$B$3:$B$5001,K$210,BD!$A$3:$A$5001,"&gt;="&amp;$C$7,BD!$A$3:$A$5001,"&lt;="&amp;$B216,BD!$Y$3:$Y$5001,"&lt;&gt;")=0,"",SUMIFS(BD!$Y$3:$Y$5001,BD!$B$3:$B$5001,K$210,BD!$A$3:$A$5001,_xlfn.MAXIFS(BD!$A$3:$A$5001,BD!$B$3:$B$5001,K$210,BD!$A$3:$A$5001,"&gt;="&amp;$C$7,BD!$A$3:$A$5001,"&lt;="&amp;$B216,BD!$Y$3:$Y$5001,"&lt;&gt;"))))</f>
        <v/>
      </c>
      <c r="L216" s="54" t="str">
        <f>IF(OR($B216="",$A216&gt;$B$9,L$210=""),"",IF(COUNTIFS(BD!$B$3:$B$5001,L$210,BD!$A$3:$A$5001,"&gt;="&amp;$C$7,BD!$A$3:$A$5001,"&lt;="&amp;$B216,BD!$Y$3:$Y$5001,"&lt;&gt;")=0,"",SUMIFS(BD!$Y$3:$Y$5001,BD!$B$3:$B$5001,L$210,BD!$A$3:$A$5001,_xlfn.MAXIFS(BD!$A$3:$A$5001,BD!$B$3:$B$5001,L$210,BD!$A$3:$A$5001,"&gt;="&amp;$C$7,BD!$A$3:$A$5001,"&lt;="&amp;$B216,BD!$Y$3:$Y$5001,"&lt;&gt;"))))</f>
        <v/>
      </c>
      <c r="M216" s="54" t="str">
        <f>IF(OR($B216="",$A216&gt;$B$9,M$210=""),"",IF(COUNTIFS(BD!$B$3:$B$5001,M$210,BD!$A$3:$A$5001,"&gt;="&amp;$C$7,BD!$A$3:$A$5001,"&lt;="&amp;$B216,BD!$Y$3:$Y$5001,"&lt;&gt;")=0,"",SUMIFS(BD!$Y$3:$Y$5001,BD!$B$3:$B$5001,M$210,BD!$A$3:$A$5001,_xlfn.MAXIFS(BD!$A$3:$A$5001,BD!$B$3:$B$5001,M$210,BD!$A$3:$A$5001,"&gt;="&amp;$C$7,BD!$A$3:$A$5001,"&lt;="&amp;$B216,BD!$Y$3:$Y$5001,"&lt;&gt;"))))</f>
        <v/>
      </c>
      <c r="N216" s="54" t="str">
        <f>IF(OR($B216="",$A216&gt;$B$9,N$210=""),"",IF(COUNTIFS(BD!$B$3:$B$5001,N$210,BD!$A$3:$A$5001,"&gt;="&amp;$C$7,BD!$A$3:$A$5001,"&lt;="&amp;$B216,BD!$Y$3:$Y$5001,"&lt;&gt;")=0,"",SUMIFS(BD!$Y$3:$Y$5001,BD!$B$3:$B$5001,N$210,BD!$A$3:$A$5001,_xlfn.MAXIFS(BD!$A$3:$A$5001,BD!$B$3:$B$5001,N$210,BD!$A$3:$A$5001,"&gt;="&amp;$C$7,BD!$A$3:$A$5001,"&lt;="&amp;$B216,BD!$Y$3:$Y$5001,"&lt;&gt;"))))</f>
        <v/>
      </c>
      <c r="O216" s="54" t="str">
        <f>IF(OR($B216="",$A216&gt;$B$9,O$210=""),"",IF(COUNTIFS(BD!$B$3:$B$5001,O$210,BD!$A$3:$A$5001,"&gt;="&amp;$C$7,BD!$A$3:$A$5001,"&lt;="&amp;$B216,BD!$Y$3:$Y$5001,"&lt;&gt;")=0,"",SUMIFS(BD!$Y$3:$Y$5001,BD!$B$3:$B$5001,O$210,BD!$A$3:$A$5001,_xlfn.MAXIFS(BD!$A$3:$A$5001,BD!$B$3:$B$5001,O$210,BD!$A$3:$A$5001,"&gt;="&amp;$C$7,BD!$A$3:$A$5001,"&lt;="&amp;$B216,BD!$Y$3:$Y$5001,"&lt;&gt;"))))</f>
        <v/>
      </c>
      <c r="P216" s="54" t="str">
        <f>IF(OR($B216="",$A216&gt;$B$9,P$210=""),"",IF(COUNTIFS(BD!$B$3:$B$5001,P$210,BD!$A$3:$A$5001,"&gt;="&amp;$C$7,BD!$A$3:$A$5001,"&lt;="&amp;$B216,BD!$Y$3:$Y$5001,"&lt;&gt;")=0,"",SUMIFS(BD!$Y$3:$Y$5001,BD!$B$3:$B$5001,P$210,BD!$A$3:$A$5001,_xlfn.MAXIFS(BD!$A$3:$A$5001,BD!$B$3:$B$5001,P$210,BD!$A$3:$A$5001,"&gt;="&amp;$C$7,BD!$A$3:$A$5001,"&lt;="&amp;$B216,BD!$Y$3:$Y$5001,"&lt;&gt;"))))</f>
        <v/>
      </c>
      <c r="Q216" s="54" t="str">
        <f>IF(OR($B216="",$A216&gt;$B$9,Q$210=""),"",IF(COUNTIFS(BD!$B$3:$B$5001,Q$210,BD!$A$3:$A$5001,"&gt;="&amp;$C$7,BD!$A$3:$A$5001,"&lt;="&amp;$B216,BD!$Y$3:$Y$5001,"&lt;&gt;")=0,"",SUMIFS(BD!$Y$3:$Y$5001,BD!$B$3:$B$5001,Q$210,BD!$A$3:$A$5001,_xlfn.MAXIFS(BD!$A$3:$A$5001,BD!$B$3:$B$5001,Q$210,BD!$A$3:$A$5001,"&gt;="&amp;$C$7,BD!$A$3:$A$5001,"&lt;="&amp;$B216,BD!$Y$3:$Y$5001,"&lt;&gt;"))))</f>
        <v/>
      </c>
      <c r="R216" s="54" t="str">
        <f>IF(OR($B216="",$A216&gt;$B$9,R$210=""),"",IF(COUNTIFS(BD!$B$3:$B$5001,R$210,BD!$A$3:$A$5001,"&gt;="&amp;$C$7,BD!$A$3:$A$5001,"&lt;="&amp;$B216,BD!$Y$3:$Y$5001,"&lt;&gt;")=0,"",SUMIFS(BD!$Y$3:$Y$5001,BD!$B$3:$B$5001,R$210,BD!$A$3:$A$5001,_xlfn.MAXIFS(BD!$A$3:$A$5001,BD!$B$3:$B$5001,R$210,BD!$A$3:$A$5001,"&gt;="&amp;$C$7,BD!$A$3:$A$5001,"&lt;="&amp;$B216,BD!$Y$3:$Y$5001,"&lt;&gt;"))))</f>
        <v/>
      </c>
      <c r="S216" s="54" t="str">
        <f>IF(OR($B216="",$A216&gt;$B$9,S$210=""),"",IF(COUNTIFS(BD!$B$3:$B$5001,S$210,BD!$A$3:$A$5001,"&gt;="&amp;$C$7,BD!$A$3:$A$5001,"&lt;="&amp;$B216,BD!$Y$3:$Y$5001,"&lt;&gt;")=0,"",SUMIFS(BD!$Y$3:$Y$5001,BD!$B$3:$B$5001,S$210,BD!$A$3:$A$5001,_xlfn.MAXIFS(BD!$A$3:$A$5001,BD!$B$3:$B$5001,S$210,BD!$A$3:$A$5001,"&gt;="&amp;$C$7,BD!$A$3:$A$5001,"&lt;="&amp;$B216,BD!$Y$3:$Y$5001,"&lt;&gt;"))))</f>
        <v/>
      </c>
      <c r="T216" s="54" t="str">
        <f>IF(OR($B216="",$A216&gt;$B$9,T$210=""),"",IF(COUNTIFS(BD!$B$3:$B$5001,T$210,BD!$A$3:$A$5001,"&gt;="&amp;$C$7,BD!$A$3:$A$5001,"&lt;="&amp;$B216,BD!$Y$3:$Y$5001,"&lt;&gt;")=0,"",SUMIFS(BD!$Y$3:$Y$5001,BD!$B$3:$B$5001,T$210,BD!$A$3:$A$5001,_xlfn.MAXIFS(BD!$A$3:$A$5001,BD!$B$3:$B$5001,T$210,BD!$A$3:$A$5001,"&gt;="&amp;$C$7,BD!$A$3:$A$5001,"&lt;="&amp;$B216,BD!$Y$3:$Y$5001,"&lt;&gt;"))))</f>
        <v/>
      </c>
      <c r="U216" s="54" t="str">
        <f>IF(OR($B216="",$A216&gt;$B$9,U$210=""),"",IF(COUNTIFS(BD!$B$3:$B$5001,U$210,BD!$A$3:$A$5001,"&gt;="&amp;$C$7,BD!$A$3:$A$5001,"&lt;="&amp;$B216,BD!$Y$3:$Y$5001,"&lt;&gt;")=0,"",SUMIFS(BD!$Y$3:$Y$5001,BD!$B$3:$B$5001,U$210,BD!$A$3:$A$5001,_xlfn.MAXIFS(BD!$A$3:$A$5001,BD!$B$3:$B$5001,U$210,BD!$A$3:$A$5001,"&gt;="&amp;$C$7,BD!$A$3:$A$5001,"&lt;="&amp;$B216,BD!$Y$3:$Y$5001,"&lt;&gt;"))))</f>
        <v/>
      </c>
      <c r="V216" s="54" t="str">
        <f>IF(OR($B216="",$A216&gt;$B$9,V$210=""),"",IF(COUNTIFS(BD!$B$3:$B$5001,V$210,BD!$A$3:$A$5001,"&gt;="&amp;$C$7,BD!$A$3:$A$5001,"&lt;="&amp;$B216,BD!$Y$3:$Y$5001,"&lt;&gt;")=0,"",SUMIFS(BD!$Y$3:$Y$5001,BD!$B$3:$B$5001,V$210,BD!$A$3:$A$5001,_xlfn.MAXIFS(BD!$A$3:$A$5001,BD!$B$3:$B$5001,V$210,BD!$A$3:$A$5001,"&gt;="&amp;$C$7,BD!$A$3:$A$5001,"&lt;="&amp;$B216,BD!$Y$3:$Y$5001,"&lt;&gt;"))))</f>
        <v/>
      </c>
    </row>
    <row r="217">
      <c r="A217" s="48">
        <v>7</v>
      </c>
      <c r="B217" s="53">
        <f>$B$18</f>
        <v>46302</v>
      </c>
      <c r="C217" s="54" t="str">
        <f>IF(OR($B217="",$A217&gt;$B$9,C$210=""),"",IF(COUNTIFS(BD!$B$3:$B$5001,C$210,BD!$A$3:$A$5001,"&gt;="&amp;$C$7,BD!$A$3:$A$5001,"&lt;="&amp;$B217,BD!$Y$3:$Y$5001,"&lt;&gt;")=0,"",SUMIFS(BD!$Y$3:$Y$5001,BD!$B$3:$B$5001,C$210,BD!$A$3:$A$5001,_xlfn.MAXIFS(BD!$A$3:$A$5001,BD!$B$3:$B$5001,C$210,BD!$A$3:$A$5001,"&gt;="&amp;$C$7,BD!$A$3:$A$5001,"&lt;="&amp;$B217,BD!$Y$3:$Y$5001,"&lt;&gt;"))))</f>
        <v/>
      </c>
      <c r="D217" s="54" t="str">
        <f>IF(OR($B217="",$A217&gt;$B$9,D$210=""),"",IF(COUNTIFS(BD!$B$3:$B$5001,D$210,BD!$A$3:$A$5001,"&gt;="&amp;$C$7,BD!$A$3:$A$5001,"&lt;="&amp;$B217,BD!$Y$3:$Y$5001,"&lt;&gt;")=0,"",SUMIFS(BD!$Y$3:$Y$5001,BD!$B$3:$B$5001,D$210,BD!$A$3:$A$5001,_xlfn.MAXIFS(BD!$A$3:$A$5001,BD!$B$3:$B$5001,D$210,BD!$A$3:$A$5001,"&gt;="&amp;$C$7,BD!$A$3:$A$5001,"&lt;="&amp;$B217,BD!$Y$3:$Y$5001,"&lt;&gt;"))))</f>
        <v/>
      </c>
      <c r="E217" s="54" t="str">
        <f>IF(OR($B217="",$A217&gt;$B$9,E$210=""),"",IF(COUNTIFS(BD!$B$3:$B$5001,E$210,BD!$A$3:$A$5001,"&gt;="&amp;$C$7,BD!$A$3:$A$5001,"&lt;="&amp;$B217,BD!$Y$3:$Y$5001,"&lt;&gt;")=0,"",SUMIFS(BD!$Y$3:$Y$5001,BD!$B$3:$B$5001,E$210,BD!$A$3:$A$5001,_xlfn.MAXIFS(BD!$A$3:$A$5001,BD!$B$3:$B$5001,E$210,BD!$A$3:$A$5001,"&gt;="&amp;$C$7,BD!$A$3:$A$5001,"&lt;="&amp;$B217,BD!$Y$3:$Y$5001,"&lt;&gt;"))))</f>
        <v/>
      </c>
      <c r="F217" s="54" t="str">
        <f>IF(OR($B217="",$A217&gt;$B$9,F$210=""),"",IF(COUNTIFS(BD!$B$3:$B$5001,F$210,BD!$A$3:$A$5001,"&gt;="&amp;$C$7,BD!$A$3:$A$5001,"&lt;="&amp;$B217,BD!$Y$3:$Y$5001,"&lt;&gt;")=0,"",SUMIFS(BD!$Y$3:$Y$5001,BD!$B$3:$B$5001,F$210,BD!$A$3:$A$5001,_xlfn.MAXIFS(BD!$A$3:$A$5001,BD!$B$3:$B$5001,F$210,BD!$A$3:$A$5001,"&gt;="&amp;$C$7,BD!$A$3:$A$5001,"&lt;="&amp;$B217,BD!$Y$3:$Y$5001,"&lt;&gt;"))))</f>
        <v/>
      </c>
      <c r="G217" s="54" t="str">
        <f>IF(OR($B217="",$A217&gt;$B$9,G$210=""),"",IF(COUNTIFS(BD!$B$3:$B$5001,G$210,BD!$A$3:$A$5001,"&gt;="&amp;$C$7,BD!$A$3:$A$5001,"&lt;="&amp;$B217,BD!$Y$3:$Y$5001,"&lt;&gt;")=0,"",SUMIFS(BD!$Y$3:$Y$5001,BD!$B$3:$B$5001,G$210,BD!$A$3:$A$5001,_xlfn.MAXIFS(BD!$A$3:$A$5001,BD!$B$3:$B$5001,G$210,BD!$A$3:$A$5001,"&gt;="&amp;$C$7,BD!$A$3:$A$5001,"&lt;="&amp;$B217,BD!$Y$3:$Y$5001,"&lt;&gt;"))))</f>
        <v/>
      </c>
      <c r="H217" s="54" t="str">
        <f>IF(OR($B217="",$A217&gt;$B$9,H$210=""),"",IF(COUNTIFS(BD!$B$3:$B$5001,H$210,BD!$A$3:$A$5001,"&gt;="&amp;$C$7,BD!$A$3:$A$5001,"&lt;="&amp;$B217,BD!$Y$3:$Y$5001,"&lt;&gt;")=0,"",SUMIFS(BD!$Y$3:$Y$5001,BD!$B$3:$B$5001,H$210,BD!$A$3:$A$5001,_xlfn.MAXIFS(BD!$A$3:$A$5001,BD!$B$3:$B$5001,H$210,BD!$A$3:$A$5001,"&gt;="&amp;$C$7,BD!$A$3:$A$5001,"&lt;="&amp;$B217,BD!$Y$3:$Y$5001,"&lt;&gt;"))))</f>
        <v/>
      </c>
      <c r="I217" s="54" t="str">
        <f>IF(OR($B217="",$A217&gt;$B$9,I$210=""),"",IF(COUNTIFS(BD!$B$3:$B$5001,I$210,BD!$A$3:$A$5001,"&gt;="&amp;$C$7,BD!$A$3:$A$5001,"&lt;="&amp;$B217,BD!$Y$3:$Y$5001,"&lt;&gt;")=0,"",SUMIFS(BD!$Y$3:$Y$5001,BD!$B$3:$B$5001,I$210,BD!$A$3:$A$5001,_xlfn.MAXIFS(BD!$A$3:$A$5001,BD!$B$3:$B$5001,I$210,BD!$A$3:$A$5001,"&gt;="&amp;$C$7,BD!$A$3:$A$5001,"&lt;="&amp;$B217,BD!$Y$3:$Y$5001,"&lt;&gt;"))))</f>
        <v/>
      </c>
      <c r="J217" s="54" t="str">
        <f>IF(OR($B217="",$A217&gt;$B$9,J$210=""),"",IF(COUNTIFS(BD!$B$3:$B$5001,J$210,BD!$A$3:$A$5001,"&gt;="&amp;$C$7,BD!$A$3:$A$5001,"&lt;="&amp;$B217,BD!$Y$3:$Y$5001,"&lt;&gt;")=0,"",SUMIFS(BD!$Y$3:$Y$5001,BD!$B$3:$B$5001,J$210,BD!$A$3:$A$5001,_xlfn.MAXIFS(BD!$A$3:$A$5001,BD!$B$3:$B$5001,J$210,BD!$A$3:$A$5001,"&gt;="&amp;$C$7,BD!$A$3:$A$5001,"&lt;="&amp;$B217,BD!$Y$3:$Y$5001,"&lt;&gt;"))))</f>
        <v/>
      </c>
      <c r="K217" s="54" t="str">
        <f>IF(OR($B217="",$A217&gt;$B$9,K$210=""),"",IF(COUNTIFS(BD!$B$3:$B$5001,K$210,BD!$A$3:$A$5001,"&gt;="&amp;$C$7,BD!$A$3:$A$5001,"&lt;="&amp;$B217,BD!$Y$3:$Y$5001,"&lt;&gt;")=0,"",SUMIFS(BD!$Y$3:$Y$5001,BD!$B$3:$B$5001,K$210,BD!$A$3:$A$5001,_xlfn.MAXIFS(BD!$A$3:$A$5001,BD!$B$3:$B$5001,K$210,BD!$A$3:$A$5001,"&gt;="&amp;$C$7,BD!$A$3:$A$5001,"&lt;="&amp;$B217,BD!$Y$3:$Y$5001,"&lt;&gt;"))))</f>
        <v/>
      </c>
      <c r="L217" s="54" t="str">
        <f>IF(OR($B217="",$A217&gt;$B$9,L$210=""),"",IF(COUNTIFS(BD!$B$3:$B$5001,L$210,BD!$A$3:$A$5001,"&gt;="&amp;$C$7,BD!$A$3:$A$5001,"&lt;="&amp;$B217,BD!$Y$3:$Y$5001,"&lt;&gt;")=0,"",SUMIFS(BD!$Y$3:$Y$5001,BD!$B$3:$B$5001,L$210,BD!$A$3:$A$5001,_xlfn.MAXIFS(BD!$A$3:$A$5001,BD!$B$3:$B$5001,L$210,BD!$A$3:$A$5001,"&gt;="&amp;$C$7,BD!$A$3:$A$5001,"&lt;="&amp;$B217,BD!$Y$3:$Y$5001,"&lt;&gt;"))))</f>
        <v/>
      </c>
      <c r="M217" s="54" t="str">
        <f>IF(OR($B217="",$A217&gt;$B$9,M$210=""),"",IF(COUNTIFS(BD!$B$3:$B$5001,M$210,BD!$A$3:$A$5001,"&gt;="&amp;$C$7,BD!$A$3:$A$5001,"&lt;="&amp;$B217,BD!$Y$3:$Y$5001,"&lt;&gt;")=0,"",SUMIFS(BD!$Y$3:$Y$5001,BD!$B$3:$B$5001,M$210,BD!$A$3:$A$5001,_xlfn.MAXIFS(BD!$A$3:$A$5001,BD!$B$3:$B$5001,M$210,BD!$A$3:$A$5001,"&gt;="&amp;$C$7,BD!$A$3:$A$5001,"&lt;="&amp;$B217,BD!$Y$3:$Y$5001,"&lt;&gt;"))))</f>
        <v/>
      </c>
      <c r="N217" s="54" t="str">
        <f>IF(OR($B217="",$A217&gt;$B$9,N$210=""),"",IF(COUNTIFS(BD!$B$3:$B$5001,N$210,BD!$A$3:$A$5001,"&gt;="&amp;$C$7,BD!$A$3:$A$5001,"&lt;="&amp;$B217,BD!$Y$3:$Y$5001,"&lt;&gt;")=0,"",SUMIFS(BD!$Y$3:$Y$5001,BD!$B$3:$B$5001,N$210,BD!$A$3:$A$5001,_xlfn.MAXIFS(BD!$A$3:$A$5001,BD!$B$3:$B$5001,N$210,BD!$A$3:$A$5001,"&gt;="&amp;$C$7,BD!$A$3:$A$5001,"&lt;="&amp;$B217,BD!$Y$3:$Y$5001,"&lt;&gt;"))))</f>
        <v/>
      </c>
      <c r="O217" s="54" t="str">
        <f>IF(OR($B217="",$A217&gt;$B$9,O$210=""),"",IF(COUNTIFS(BD!$B$3:$B$5001,O$210,BD!$A$3:$A$5001,"&gt;="&amp;$C$7,BD!$A$3:$A$5001,"&lt;="&amp;$B217,BD!$Y$3:$Y$5001,"&lt;&gt;")=0,"",SUMIFS(BD!$Y$3:$Y$5001,BD!$B$3:$B$5001,O$210,BD!$A$3:$A$5001,_xlfn.MAXIFS(BD!$A$3:$A$5001,BD!$B$3:$B$5001,O$210,BD!$A$3:$A$5001,"&gt;="&amp;$C$7,BD!$A$3:$A$5001,"&lt;="&amp;$B217,BD!$Y$3:$Y$5001,"&lt;&gt;"))))</f>
        <v/>
      </c>
      <c r="P217" s="54" t="str">
        <f>IF(OR($B217="",$A217&gt;$B$9,P$210=""),"",IF(COUNTIFS(BD!$B$3:$B$5001,P$210,BD!$A$3:$A$5001,"&gt;="&amp;$C$7,BD!$A$3:$A$5001,"&lt;="&amp;$B217,BD!$Y$3:$Y$5001,"&lt;&gt;")=0,"",SUMIFS(BD!$Y$3:$Y$5001,BD!$B$3:$B$5001,P$210,BD!$A$3:$A$5001,_xlfn.MAXIFS(BD!$A$3:$A$5001,BD!$B$3:$B$5001,P$210,BD!$A$3:$A$5001,"&gt;="&amp;$C$7,BD!$A$3:$A$5001,"&lt;="&amp;$B217,BD!$Y$3:$Y$5001,"&lt;&gt;"))))</f>
        <v/>
      </c>
      <c r="Q217" s="54" t="str">
        <f>IF(OR($B217="",$A217&gt;$B$9,Q$210=""),"",IF(COUNTIFS(BD!$B$3:$B$5001,Q$210,BD!$A$3:$A$5001,"&gt;="&amp;$C$7,BD!$A$3:$A$5001,"&lt;="&amp;$B217,BD!$Y$3:$Y$5001,"&lt;&gt;")=0,"",SUMIFS(BD!$Y$3:$Y$5001,BD!$B$3:$B$5001,Q$210,BD!$A$3:$A$5001,_xlfn.MAXIFS(BD!$A$3:$A$5001,BD!$B$3:$B$5001,Q$210,BD!$A$3:$A$5001,"&gt;="&amp;$C$7,BD!$A$3:$A$5001,"&lt;="&amp;$B217,BD!$Y$3:$Y$5001,"&lt;&gt;"))))</f>
        <v/>
      </c>
      <c r="R217" s="54" t="str">
        <f>IF(OR($B217="",$A217&gt;$B$9,R$210=""),"",IF(COUNTIFS(BD!$B$3:$B$5001,R$210,BD!$A$3:$A$5001,"&gt;="&amp;$C$7,BD!$A$3:$A$5001,"&lt;="&amp;$B217,BD!$Y$3:$Y$5001,"&lt;&gt;")=0,"",SUMIFS(BD!$Y$3:$Y$5001,BD!$B$3:$B$5001,R$210,BD!$A$3:$A$5001,_xlfn.MAXIFS(BD!$A$3:$A$5001,BD!$B$3:$B$5001,R$210,BD!$A$3:$A$5001,"&gt;="&amp;$C$7,BD!$A$3:$A$5001,"&lt;="&amp;$B217,BD!$Y$3:$Y$5001,"&lt;&gt;"))))</f>
        <v/>
      </c>
      <c r="S217" s="54" t="str">
        <f>IF(OR($B217="",$A217&gt;$B$9,S$210=""),"",IF(COUNTIFS(BD!$B$3:$B$5001,S$210,BD!$A$3:$A$5001,"&gt;="&amp;$C$7,BD!$A$3:$A$5001,"&lt;="&amp;$B217,BD!$Y$3:$Y$5001,"&lt;&gt;")=0,"",SUMIFS(BD!$Y$3:$Y$5001,BD!$B$3:$B$5001,S$210,BD!$A$3:$A$5001,_xlfn.MAXIFS(BD!$A$3:$A$5001,BD!$B$3:$B$5001,S$210,BD!$A$3:$A$5001,"&gt;="&amp;$C$7,BD!$A$3:$A$5001,"&lt;="&amp;$B217,BD!$Y$3:$Y$5001,"&lt;&gt;"))))</f>
        <v/>
      </c>
      <c r="T217" s="54" t="str">
        <f>IF(OR($B217="",$A217&gt;$B$9,T$210=""),"",IF(COUNTIFS(BD!$B$3:$B$5001,T$210,BD!$A$3:$A$5001,"&gt;="&amp;$C$7,BD!$A$3:$A$5001,"&lt;="&amp;$B217,BD!$Y$3:$Y$5001,"&lt;&gt;")=0,"",SUMIFS(BD!$Y$3:$Y$5001,BD!$B$3:$B$5001,T$210,BD!$A$3:$A$5001,_xlfn.MAXIFS(BD!$A$3:$A$5001,BD!$B$3:$B$5001,T$210,BD!$A$3:$A$5001,"&gt;="&amp;$C$7,BD!$A$3:$A$5001,"&lt;="&amp;$B217,BD!$Y$3:$Y$5001,"&lt;&gt;"))))</f>
        <v/>
      </c>
      <c r="U217" s="54" t="str">
        <f>IF(OR($B217="",$A217&gt;$B$9,U$210=""),"",IF(COUNTIFS(BD!$B$3:$B$5001,U$210,BD!$A$3:$A$5001,"&gt;="&amp;$C$7,BD!$A$3:$A$5001,"&lt;="&amp;$B217,BD!$Y$3:$Y$5001,"&lt;&gt;")=0,"",SUMIFS(BD!$Y$3:$Y$5001,BD!$B$3:$B$5001,U$210,BD!$A$3:$A$5001,_xlfn.MAXIFS(BD!$A$3:$A$5001,BD!$B$3:$B$5001,U$210,BD!$A$3:$A$5001,"&gt;="&amp;$C$7,BD!$A$3:$A$5001,"&lt;="&amp;$B217,BD!$Y$3:$Y$5001,"&lt;&gt;"))))</f>
        <v/>
      </c>
      <c r="V217" s="54" t="str">
        <f>IF(OR($B217="",$A217&gt;$B$9,V$210=""),"",IF(COUNTIFS(BD!$B$3:$B$5001,V$210,BD!$A$3:$A$5001,"&gt;="&amp;$C$7,BD!$A$3:$A$5001,"&lt;="&amp;$B217,BD!$Y$3:$Y$5001,"&lt;&gt;")=0,"",SUMIFS(BD!$Y$3:$Y$5001,BD!$B$3:$B$5001,V$210,BD!$A$3:$A$5001,_xlfn.MAXIFS(BD!$A$3:$A$5001,BD!$B$3:$B$5001,V$210,BD!$A$3:$A$5001,"&gt;="&amp;$C$7,BD!$A$3:$A$5001,"&lt;="&amp;$B217,BD!$Y$3:$Y$5001,"&lt;&gt;"))))</f>
        <v/>
      </c>
    </row>
    <row r="218">
      <c r="A218" s="48">
        <v>8</v>
      </c>
      <c r="B218" s="53">
        <f>$B$19</f>
        <v>46303</v>
      </c>
      <c r="C218" s="54" t="str">
        <f>IF(OR($B218="",$A218&gt;$B$9,C$210=""),"",IF(COUNTIFS(BD!$B$3:$B$5001,C$210,BD!$A$3:$A$5001,"&gt;="&amp;$C$7,BD!$A$3:$A$5001,"&lt;="&amp;$B218,BD!$Y$3:$Y$5001,"&lt;&gt;")=0,"",SUMIFS(BD!$Y$3:$Y$5001,BD!$B$3:$B$5001,C$210,BD!$A$3:$A$5001,_xlfn.MAXIFS(BD!$A$3:$A$5001,BD!$B$3:$B$5001,C$210,BD!$A$3:$A$5001,"&gt;="&amp;$C$7,BD!$A$3:$A$5001,"&lt;="&amp;$B218,BD!$Y$3:$Y$5001,"&lt;&gt;"))))</f>
        <v/>
      </c>
      <c r="D218" s="54" t="str">
        <f>IF(OR($B218="",$A218&gt;$B$9,D$210=""),"",IF(COUNTIFS(BD!$B$3:$B$5001,D$210,BD!$A$3:$A$5001,"&gt;="&amp;$C$7,BD!$A$3:$A$5001,"&lt;="&amp;$B218,BD!$Y$3:$Y$5001,"&lt;&gt;")=0,"",SUMIFS(BD!$Y$3:$Y$5001,BD!$B$3:$B$5001,D$210,BD!$A$3:$A$5001,_xlfn.MAXIFS(BD!$A$3:$A$5001,BD!$B$3:$B$5001,D$210,BD!$A$3:$A$5001,"&gt;="&amp;$C$7,BD!$A$3:$A$5001,"&lt;="&amp;$B218,BD!$Y$3:$Y$5001,"&lt;&gt;"))))</f>
        <v/>
      </c>
      <c r="E218" s="54" t="str">
        <f>IF(OR($B218="",$A218&gt;$B$9,E$210=""),"",IF(COUNTIFS(BD!$B$3:$B$5001,E$210,BD!$A$3:$A$5001,"&gt;="&amp;$C$7,BD!$A$3:$A$5001,"&lt;="&amp;$B218,BD!$Y$3:$Y$5001,"&lt;&gt;")=0,"",SUMIFS(BD!$Y$3:$Y$5001,BD!$B$3:$B$5001,E$210,BD!$A$3:$A$5001,_xlfn.MAXIFS(BD!$A$3:$A$5001,BD!$B$3:$B$5001,E$210,BD!$A$3:$A$5001,"&gt;="&amp;$C$7,BD!$A$3:$A$5001,"&lt;="&amp;$B218,BD!$Y$3:$Y$5001,"&lt;&gt;"))))</f>
        <v/>
      </c>
      <c r="F218" s="54" t="str">
        <f>IF(OR($B218="",$A218&gt;$B$9,F$210=""),"",IF(COUNTIFS(BD!$B$3:$B$5001,F$210,BD!$A$3:$A$5001,"&gt;="&amp;$C$7,BD!$A$3:$A$5001,"&lt;="&amp;$B218,BD!$Y$3:$Y$5001,"&lt;&gt;")=0,"",SUMIFS(BD!$Y$3:$Y$5001,BD!$B$3:$B$5001,F$210,BD!$A$3:$A$5001,_xlfn.MAXIFS(BD!$A$3:$A$5001,BD!$B$3:$B$5001,F$210,BD!$A$3:$A$5001,"&gt;="&amp;$C$7,BD!$A$3:$A$5001,"&lt;="&amp;$B218,BD!$Y$3:$Y$5001,"&lt;&gt;"))))</f>
        <v/>
      </c>
      <c r="G218" s="54" t="str">
        <f>IF(OR($B218="",$A218&gt;$B$9,G$210=""),"",IF(COUNTIFS(BD!$B$3:$B$5001,G$210,BD!$A$3:$A$5001,"&gt;="&amp;$C$7,BD!$A$3:$A$5001,"&lt;="&amp;$B218,BD!$Y$3:$Y$5001,"&lt;&gt;")=0,"",SUMIFS(BD!$Y$3:$Y$5001,BD!$B$3:$B$5001,G$210,BD!$A$3:$A$5001,_xlfn.MAXIFS(BD!$A$3:$A$5001,BD!$B$3:$B$5001,G$210,BD!$A$3:$A$5001,"&gt;="&amp;$C$7,BD!$A$3:$A$5001,"&lt;="&amp;$B218,BD!$Y$3:$Y$5001,"&lt;&gt;"))))</f>
        <v/>
      </c>
      <c r="H218" s="54" t="str">
        <f>IF(OR($B218="",$A218&gt;$B$9,H$210=""),"",IF(COUNTIFS(BD!$B$3:$B$5001,H$210,BD!$A$3:$A$5001,"&gt;="&amp;$C$7,BD!$A$3:$A$5001,"&lt;="&amp;$B218,BD!$Y$3:$Y$5001,"&lt;&gt;")=0,"",SUMIFS(BD!$Y$3:$Y$5001,BD!$B$3:$B$5001,H$210,BD!$A$3:$A$5001,_xlfn.MAXIFS(BD!$A$3:$A$5001,BD!$B$3:$B$5001,H$210,BD!$A$3:$A$5001,"&gt;="&amp;$C$7,BD!$A$3:$A$5001,"&lt;="&amp;$B218,BD!$Y$3:$Y$5001,"&lt;&gt;"))))</f>
        <v/>
      </c>
      <c r="I218" s="54" t="str">
        <f>IF(OR($B218="",$A218&gt;$B$9,I$210=""),"",IF(COUNTIFS(BD!$B$3:$B$5001,I$210,BD!$A$3:$A$5001,"&gt;="&amp;$C$7,BD!$A$3:$A$5001,"&lt;="&amp;$B218,BD!$Y$3:$Y$5001,"&lt;&gt;")=0,"",SUMIFS(BD!$Y$3:$Y$5001,BD!$B$3:$B$5001,I$210,BD!$A$3:$A$5001,_xlfn.MAXIFS(BD!$A$3:$A$5001,BD!$B$3:$B$5001,I$210,BD!$A$3:$A$5001,"&gt;="&amp;$C$7,BD!$A$3:$A$5001,"&lt;="&amp;$B218,BD!$Y$3:$Y$5001,"&lt;&gt;"))))</f>
        <v/>
      </c>
      <c r="J218" s="54" t="str">
        <f>IF(OR($B218="",$A218&gt;$B$9,J$210=""),"",IF(COUNTIFS(BD!$B$3:$B$5001,J$210,BD!$A$3:$A$5001,"&gt;="&amp;$C$7,BD!$A$3:$A$5001,"&lt;="&amp;$B218,BD!$Y$3:$Y$5001,"&lt;&gt;")=0,"",SUMIFS(BD!$Y$3:$Y$5001,BD!$B$3:$B$5001,J$210,BD!$A$3:$A$5001,_xlfn.MAXIFS(BD!$A$3:$A$5001,BD!$B$3:$B$5001,J$210,BD!$A$3:$A$5001,"&gt;="&amp;$C$7,BD!$A$3:$A$5001,"&lt;="&amp;$B218,BD!$Y$3:$Y$5001,"&lt;&gt;"))))</f>
        <v/>
      </c>
      <c r="K218" s="54" t="str">
        <f>IF(OR($B218="",$A218&gt;$B$9,K$210=""),"",IF(COUNTIFS(BD!$B$3:$B$5001,K$210,BD!$A$3:$A$5001,"&gt;="&amp;$C$7,BD!$A$3:$A$5001,"&lt;="&amp;$B218,BD!$Y$3:$Y$5001,"&lt;&gt;")=0,"",SUMIFS(BD!$Y$3:$Y$5001,BD!$B$3:$B$5001,K$210,BD!$A$3:$A$5001,_xlfn.MAXIFS(BD!$A$3:$A$5001,BD!$B$3:$B$5001,K$210,BD!$A$3:$A$5001,"&gt;="&amp;$C$7,BD!$A$3:$A$5001,"&lt;="&amp;$B218,BD!$Y$3:$Y$5001,"&lt;&gt;"))))</f>
        <v/>
      </c>
      <c r="L218" s="54" t="str">
        <f>IF(OR($B218="",$A218&gt;$B$9,L$210=""),"",IF(COUNTIFS(BD!$B$3:$B$5001,L$210,BD!$A$3:$A$5001,"&gt;="&amp;$C$7,BD!$A$3:$A$5001,"&lt;="&amp;$B218,BD!$Y$3:$Y$5001,"&lt;&gt;")=0,"",SUMIFS(BD!$Y$3:$Y$5001,BD!$B$3:$B$5001,L$210,BD!$A$3:$A$5001,_xlfn.MAXIFS(BD!$A$3:$A$5001,BD!$B$3:$B$5001,L$210,BD!$A$3:$A$5001,"&gt;="&amp;$C$7,BD!$A$3:$A$5001,"&lt;="&amp;$B218,BD!$Y$3:$Y$5001,"&lt;&gt;"))))</f>
        <v/>
      </c>
      <c r="M218" s="54" t="str">
        <f>IF(OR($B218="",$A218&gt;$B$9,M$210=""),"",IF(COUNTIFS(BD!$B$3:$B$5001,M$210,BD!$A$3:$A$5001,"&gt;="&amp;$C$7,BD!$A$3:$A$5001,"&lt;="&amp;$B218,BD!$Y$3:$Y$5001,"&lt;&gt;")=0,"",SUMIFS(BD!$Y$3:$Y$5001,BD!$B$3:$B$5001,M$210,BD!$A$3:$A$5001,_xlfn.MAXIFS(BD!$A$3:$A$5001,BD!$B$3:$B$5001,M$210,BD!$A$3:$A$5001,"&gt;="&amp;$C$7,BD!$A$3:$A$5001,"&lt;="&amp;$B218,BD!$Y$3:$Y$5001,"&lt;&gt;"))))</f>
        <v/>
      </c>
      <c r="N218" s="54" t="str">
        <f>IF(OR($B218="",$A218&gt;$B$9,N$210=""),"",IF(COUNTIFS(BD!$B$3:$B$5001,N$210,BD!$A$3:$A$5001,"&gt;="&amp;$C$7,BD!$A$3:$A$5001,"&lt;="&amp;$B218,BD!$Y$3:$Y$5001,"&lt;&gt;")=0,"",SUMIFS(BD!$Y$3:$Y$5001,BD!$B$3:$B$5001,N$210,BD!$A$3:$A$5001,_xlfn.MAXIFS(BD!$A$3:$A$5001,BD!$B$3:$B$5001,N$210,BD!$A$3:$A$5001,"&gt;="&amp;$C$7,BD!$A$3:$A$5001,"&lt;="&amp;$B218,BD!$Y$3:$Y$5001,"&lt;&gt;"))))</f>
        <v/>
      </c>
      <c r="O218" s="54" t="str">
        <f>IF(OR($B218="",$A218&gt;$B$9,O$210=""),"",IF(COUNTIFS(BD!$B$3:$B$5001,O$210,BD!$A$3:$A$5001,"&gt;="&amp;$C$7,BD!$A$3:$A$5001,"&lt;="&amp;$B218,BD!$Y$3:$Y$5001,"&lt;&gt;")=0,"",SUMIFS(BD!$Y$3:$Y$5001,BD!$B$3:$B$5001,O$210,BD!$A$3:$A$5001,_xlfn.MAXIFS(BD!$A$3:$A$5001,BD!$B$3:$B$5001,O$210,BD!$A$3:$A$5001,"&gt;="&amp;$C$7,BD!$A$3:$A$5001,"&lt;="&amp;$B218,BD!$Y$3:$Y$5001,"&lt;&gt;"))))</f>
        <v/>
      </c>
      <c r="P218" s="54" t="str">
        <f>IF(OR($B218="",$A218&gt;$B$9,P$210=""),"",IF(COUNTIFS(BD!$B$3:$B$5001,P$210,BD!$A$3:$A$5001,"&gt;="&amp;$C$7,BD!$A$3:$A$5001,"&lt;="&amp;$B218,BD!$Y$3:$Y$5001,"&lt;&gt;")=0,"",SUMIFS(BD!$Y$3:$Y$5001,BD!$B$3:$B$5001,P$210,BD!$A$3:$A$5001,_xlfn.MAXIFS(BD!$A$3:$A$5001,BD!$B$3:$B$5001,P$210,BD!$A$3:$A$5001,"&gt;="&amp;$C$7,BD!$A$3:$A$5001,"&lt;="&amp;$B218,BD!$Y$3:$Y$5001,"&lt;&gt;"))))</f>
        <v/>
      </c>
      <c r="Q218" s="54" t="str">
        <f>IF(OR($B218="",$A218&gt;$B$9,Q$210=""),"",IF(COUNTIFS(BD!$B$3:$B$5001,Q$210,BD!$A$3:$A$5001,"&gt;="&amp;$C$7,BD!$A$3:$A$5001,"&lt;="&amp;$B218,BD!$Y$3:$Y$5001,"&lt;&gt;")=0,"",SUMIFS(BD!$Y$3:$Y$5001,BD!$B$3:$B$5001,Q$210,BD!$A$3:$A$5001,_xlfn.MAXIFS(BD!$A$3:$A$5001,BD!$B$3:$B$5001,Q$210,BD!$A$3:$A$5001,"&gt;="&amp;$C$7,BD!$A$3:$A$5001,"&lt;="&amp;$B218,BD!$Y$3:$Y$5001,"&lt;&gt;"))))</f>
        <v/>
      </c>
      <c r="R218" s="54" t="str">
        <f>IF(OR($B218="",$A218&gt;$B$9,R$210=""),"",IF(COUNTIFS(BD!$B$3:$B$5001,R$210,BD!$A$3:$A$5001,"&gt;="&amp;$C$7,BD!$A$3:$A$5001,"&lt;="&amp;$B218,BD!$Y$3:$Y$5001,"&lt;&gt;")=0,"",SUMIFS(BD!$Y$3:$Y$5001,BD!$B$3:$B$5001,R$210,BD!$A$3:$A$5001,_xlfn.MAXIFS(BD!$A$3:$A$5001,BD!$B$3:$B$5001,R$210,BD!$A$3:$A$5001,"&gt;="&amp;$C$7,BD!$A$3:$A$5001,"&lt;="&amp;$B218,BD!$Y$3:$Y$5001,"&lt;&gt;"))))</f>
        <v/>
      </c>
      <c r="S218" s="54" t="str">
        <f>IF(OR($B218="",$A218&gt;$B$9,S$210=""),"",IF(COUNTIFS(BD!$B$3:$B$5001,S$210,BD!$A$3:$A$5001,"&gt;="&amp;$C$7,BD!$A$3:$A$5001,"&lt;="&amp;$B218,BD!$Y$3:$Y$5001,"&lt;&gt;")=0,"",SUMIFS(BD!$Y$3:$Y$5001,BD!$B$3:$B$5001,S$210,BD!$A$3:$A$5001,_xlfn.MAXIFS(BD!$A$3:$A$5001,BD!$B$3:$B$5001,S$210,BD!$A$3:$A$5001,"&gt;="&amp;$C$7,BD!$A$3:$A$5001,"&lt;="&amp;$B218,BD!$Y$3:$Y$5001,"&lt;&gt;"))))</f>
        <v/>
      </c>
      <c r="T218" s="54" t="str">
        <f>IF(OR($B218="",$A218&gt;$B$9,T$210=""),"",IF(COUNTIFS(BD!$B$3:$B$5001,T$210,BD!$A$3:$A$5001,"&gt;="&amp;$C$7,BD!$A$3:$A$5001,"&lt;="&amp;$B218,BD!$Y$3:$Y$5001,"&lt;&gt;")=0,"",SUMIFS(BD!$Y$3:$Y$5001,BD!$B$3:$B$5001,T$210,BD!$A$3:$A$5001,_xlfn.MAXIFS(BD!$A$3:$A$5001,BD!$B$3:$B$5001,T$210,BD!$A$3:$A$5001,"&gt;="&amp;$C$7,BD!$A$3:$A$5001,"&lt;="&amp;$B218,BD!$Y$3:$Y$5001,"&lt;&gt;"))))</f>
        <v/>
      </c>
      <c r="U218" s="54" t="str">
        <f>IF(OR($B218="",$A218&gt;$B$9,U$210=""),"",IF(COUNTIFS(BD!$B$3:$B$5001,U$210,BD!$A$3:$A$5001,"&gt;="&amp;$C$7,BD!$A$3:$A$5001,"&lt;="&amp;$B218,BD!$Y$3:$Y$5001,"&lt;&gt;")=0,"",SUMIFS(BD!$Y$3:$Y$5001,BD!$B$3:$B$5001,U$210,BD!$A$3:$A$5001,_xlfn.MAXIFS(BD!$A$3:$A$5001,BD!$B$3:$B$5001,U$210,BD!$A$3:$A$5001,"&gt;="&amp;$C$7,BD!$A$3:$A$5001,"&lt;="&amp;$B218,BD!$Y$3:$Y$5001,"&lt;&gt;"))))</f>
        <v/>
      </c>
      <c r="V218" s="54" t="str">
        <f>IF(OR($B218="",$A218&gt;$B$9,V$210=""),"",IF(COUNTIFS(BD!$B$3:$B$5001,V$210,BD!$A$3:$A$5001,"&gt;="&amp;$C$7,BD!$A$3:$A$5001,"&lt;="&amp;$B218,BD!$Y$3:$Y$5001,"&lt;&gt;")=0,"",SUMIFS(BD!$Y$3:$Y$5001,BD!$B$3:$B$5001,V$210,BD!$A$3:$A$5001,_xlfn.MAXIFS(BD!$A$3:$A$5001,BD!$B$3:$B$5001,V$210,BD!$A$3:$A$5001,"&gt;="&amp;$C$7,BD!$A$3:$A$5001,"&lt;="&amp;$B218,BD!$Y$3:$Y$5001,"&lt;&gt;"))))</f>
        <v/>
      </c>
    </row>
    <row r="219">
      <c r="A219" s="48">
        <v>9</v>
      </c>
      <c r="B219" s="53">
        <f>$B$20</f>
        <v>46304</v>
      </c>
      <c r="C219" s="54" t="str">
        <f>IF(OR($B219="",$A219&gt;$B$9,C$210=""),"",IF(COUNTIFS(BD!$B$3:$B$5001,C$210,BD!$A$3:$A$5001,"&gt;="&amp;$C$7,BD!$A$3:$A$5001,"&lt;="&amp;$B219,BD!$Y$3:$Y$5001,"&lt;&gt;")=0,"",SUMIFS(BD!$Y$3:$Y$5001,BD!$B$3:$B$5001,C$210,BD!$A$3:$A$5001,_xlfn.MAXIFS(BD!$A$3:$A$5001,BD!$B$3:$B$5001,C$210,BD!$A$3:$A$5001,"&gt;="&amp;$C$7,BD!$A$3:$A$5001,"&lt;="&amp;$B219,BD!$Y$3:$Y$5001,"&lt;&gt;"))))</f>
        <v/>
      </c>
      <c r="D219" s="54" t="str">
        <f>IF(OR($B219="",$A219&gt;$B$9,D$210=""),"",IF(COUNTIFS(BD!$B$3:$B$5001,D$210,BD!$A$3:$A$5001,"&gt;="&amp;$C$7,BD!$A$3:$A$5001,"&lt;="&amp;$B219,BD!$Y$3:$Y$5001,"&lt;&gt;")=0,"",SUMIFS(BD!$Y$3:$Y$5001,BD!$B$3:$B$5001,D$210,BD!$A$3:$A$5001,_xlfn.MAXIFS(BD!$A$3:$A$5001,BD!$B$3:$B$5001,D$210,BD!$A$3:$A$5001,"&gt;="&amp;$C$7,BD!$A$3:$A$5001,"&lt;="&amp;$B219,BD!$Y$3:$Y$5001,"&lt;&gt;"))))</f>
        <v/>
      </c>
      <c r="E219" s="54" t="str">
        <f>IF(OR($B219="",$A219&gt;$B$9,E$210=""),"",IF(COUNTIFS(BD!$B$3:$B$5001,E$210,BD!$A$3:$A$5001,"&gt;="&amp;$C$7,BD!$A$3:$A$5001,"&lt;="&amp;$B219,BD!$Y$3:$Y$5001,"&lt;&gt;")=0,"",SUMIFS(BD!$Y$3:$Y$5001,BD!$B$3:$B$5001,E$210,BD!$A$3:$A$5001,_xlfn.MAXIFS(BD!$A$3:$A$5001,BD!$B$3:$B$5001,E$210,BD!$A$3:$A$5001,"&gt;="&amp;$C$7,BD!$A$3:$A$5001,"&lt;="&amp;$B219,BD!$Y$3:$Y$5001,"&lt;&gt;"))))</f>
        <v/>
      </c>
      <c r="F219" s="54" t="str">
        <f>IF(OR($B219="",$A219&gt;$B$9,F$210=""),"",IF(COUNTIFS(BD!$B$3:$B$5001,F$210,BD!$A$3:$A$5001,"&gt;="&amp;$C$7,BD!$A$3:$A$5001,"&lt;="&amp;$B219,BD!$Y$3:$Y$5001,"&lt;&gt;")=0,"",SUMIFS(BD!$Y$3:$Y$5001,BD!$B$3:$B$5001,F$210,BD!$A$3:$A$5001,_xlfn.MAXIFS(BD!$A$3:$A$5001,BD!$B$3:$B$5001,F$210,BD!$A$3:$A$5001,"&gt;="&amp;$C$7,BD!$A$3:$A$5001,"&lt;="&amp;$B219,BD!$Y$3:$Y$5001,"&lt;&gt;"))))</f>
        <v/>
      </c>
      <c r="G219" s="54" t="str">
        <f>IF(OR($B219="",$A219&gt;$B$9,G$210=""),"",IF(COUNTIFS(BD!$B$3:$B$5001,G$210,BD!$A$3:$A$5001,"&gt;="&amp;$C$7,BD!$A$3:$A$5001,"&lt;="&amp;$B219,BD!$Y$3:$Y$5001,"&lt;&gt;")=0,"",SUMIFS(BD!$Y$3:$Y$5001,BD!$B$3:$B$5001,G$210,BD!$A$3:$A$5001,_xlfn.MAXIFS(BD!$A$3:$A$5001,BD!$B$3:$B$5001,G$210,BD!$A$3:$A$5001,"&gt;="&amp;$C$7,BD!$A$3:$A$5001,"&lt;="&amp;$B219,BD!$Y$3:$Y$5001,"&lt;&gt;"))))</f>
        <v/>
      </c>
      <c r="H219" s="54" t="str">
        <f>IF(OR($B219="",$A219&gt;$B$9,H$210=""),"",IF(COUNTIFS(BD!$B$3:$B$5001,H$210,BD!$A$3:$A$5001,"&gt;="&amp;$C$7,BD!$A$3:$A$5001,"&lt;="&amp;$B219,BD!$Y$3:$Y$5001,"&lt;&gt;")=0,"",SUMIFS(BD!$Y$3:$Y$5001,BD!$B$3:$B$5001,H$210,BD!$A$3:$A$5001,_xlfn.MAXIFS(BD!$A$3:$A$5001,BD!$B$3:$B$5001,H$210,BD!$A$3:$A$5001,"&gt;="&amp;$C$7,BD!$A$3:$A$5001,"&lt;="&amp;$B219,BD!$Y$3:$Y$5001,"&lt;&gt;"))))</f>
        <v/>
      </c>
      <c r="I219" s="54" t="str">
        <f>IF(OR($B219="",$A219&gt;$B$9,I$210=""),"",IF(COUNTIFS(BD!$B$3:$B$5001,I$210,BD!$A$3:$A$5001,"&gt;="&amp;$C$7,BD!$A$3:$A$5001,"&lt;="&amp;$B219,BD!$Y$3:$Y$5001,"&lt;&gt;")=0,"",SUMIFS(BD!$Y$3:$Y$5001,BD!$B$3:$B$5001,I$210,BD!$A$3:$A$5001,_xlfn.MAXIFS(BD!$A$3:$A$5001,BD!$B$3:$B$5001,I$210,BD!$A$3:$A$5001,"&gt;="&amp;$C$7,BD!$A$3:$A$5001,"&lt;="&amp;$B219,BD!$Y$3:$Y$5001,"&lt;&gt;"))))</f>
        <v/>
      </c>
      <c r="J219" s="54" t="str">
        <f>IF(OR($B219="",$A219&gt;$B$9,J$210=""),"",IF(COUNTIFS(BD!$B$3:$B$5001,J$210,BD!$A$3:$A$5001,"&gt;="&amp;$C$7,BD!$A$3:$A$5001,"&lt;="&amp;$B219,BD!$Y$3:$Y$5001,"&lt;&gt;")=0,"",SUMIFS(BD!$Y$3:$Y$5001,BD!$B$3:$B$5001,J$210,BD!$A$3:$A$5001,_xlfn.MAXIFS(BD!$A$3:$A$5001,BD!$B$3:$B$5001,J$210,BD!$A$3:$A$5001,"&gt;="&amp;$C$7,BD!$A$3:$A$5001,"&lt;="&amp;$B219,BD!$Y$3:$Y$5001,"&lt;&gt;"))))</f>
        <v/>
      </c>
      <c r="K219" s="54" t="str">
        <f>IF(OR($B219="",$A219&gt;$B$9,K$210=""),"",IF(COUNTIFS(BD!$B$3:$B$5001,K$210,BD!$A$3:$A$5001,"&gt;="&amp;$C$7,BD!$A$3:$A$5001,"&lt;="&amp;$B219,BD!$Y$3:$Y$5001,"&lt;&gt;")=0,"",SUMIFS(BD!$Y$3:$Y$5001,BD!$B$3:$B$5001,K$210,BD!$A$3:$A$5001,_xlfn.MAXIFS(BD!$A$3:$A$5001,BD!$B$3:$B$5001,K$210,BD!$A$3:$A$5001,"&gt;="&amp;$C$7,BD!$A$3:$A$5001,"&lt;="&amp;$B219,BD!$Y$3:$Y$5001,"&lt;&gt;"))))</f>
        <v/>
      </c>
      <c r="L219" s="54" t="str">
        <f>IF(OR($B219="",$A219&gt;$B$9,L$210=""),"",IF(COUNTIFS(BD!$B$3:$B$5001,L$210,BD!$A$3:$A$5001,"&gt;="&amp;$C$7,BD!$A$3:$A$5001,"&lt;="&amp;$B219,BD!$Y$3:$Y$5001,"&lt;&gt;")=0,"",SUMIFS(BD!$Y$3:$Y$5001,BD!$B$3:$B$5001,L$210,BD!$A$3:$A$5001,_xlfn.MAXIFS(BD!$A$3:$A$5001,BD!$B$3:$B$5001,L$210,BD!$A$3:$A$5001,"&gt;="&amp;$C$7,BD!$A$3:$A$5001,"&lt;="&amp;$B219,BD!$Y$3:$Y$5001,"&lt;&gt;"))))</f>
        <v/>
      </c>
      <c r="M219" s="54" t="str">
        <f>IF(OR($B219="",$A219&gt;$B$9,M$210=""),"",IF(COUNTIFS(BD!$B$3:$B$5001,M$210,BD!$A$3:$A$5001,"&gt;="&amp;$C$7,BD!$A$3:$A$5001,"&lt;="&amp;$B219,BD!$Y$3:$Y$5001,"&lt;&gt;")=0,"",SUMIFS(BD!$Y$3:$Y$5001,BD!$B$3:$B$5001,M$210,BD!$A$3:$A$5001,_xlfn.MAXIFS(BD!$A$3:$A$5001,BD!$B$3:$B$5001,M$210,BD!$A$3:$A$5001,"&gt;="&amp;$C$7,BD!$A$3:$A$5001,"&lt;="&amp;$B219,BD!$Y$3:$Y$5001,"&lt;&gt;"))))</f>
        <v/>
      </c>
      <c r="N219" s="54" t="str">
        <f>IF(OR($B219="",$A219&gt;$B$9,N$210=""),"",IF(COUNTIFS(BD!$B$3:$B$5001,N$210,BD!$A$3:$A$5001,"&gt;="&amp;$C$7,BD!$A$3:$A$5001,"&lt;="&amp;$B219,BD!$Y$3:$Y$5001,"&lt;&gt;")=0,"",SUMIFS(BD!$Y$3:$Y$5001,BD!$B$3:$B$5001,N$210,BD!$A$3:$A$5001,_xlfn.MAXIFS(BD!$A$3:$A$5001,BD!$B$3:$B$5001,N$210,BD!$A$3:$A$5001,"&gt;="&amp;$C$7,BD!$A$3:$A$5001,"&lt;="&amp;$B219,BD!$Y$3:$Y$5001,"&lt;&gt;"))))</f>
        <v/>
      </c>
      <c r="O219" s="54" t="str">
        <f>IF(OR($B219="",$A219&gt;$B$9,O$210=""),"",IF(COUNTIFS(BD!$B$3:$B$5001,O$210,BD!$A$3:$A$5001,"&gt;="&amp;$C$7,BD!$A$3:$A$5001,"&lt;="&amp;$B219,BD!$Y$3:$Y$5001,"&lt;&gt;")=0,"",SUMIFS(BD!$Y$3:$Y$5001,BD!$B$3:$B$5001,O$210,BD!$A$3:$A$5001,_xlfn.MAXIFS(BD!$A$3:$A$5001,BD!$B$3:$B$5001,O$210,BD!$A$3:$A$5001,"&gt;="&amp;$C$7,BD!$A$3:$A$5001,"&lt;="&amp;$B219,BD!$Y$3:$Y$5001,"&lt;&gt;"))))</f>
        <v/>
      </c>
      <c r="P219" s="54" t="str">
        <f>IF(OR($B219="",$A219&gt;$B$9,P$210=""),"",IF(COUNTIFS(BD!$B$3:$B$5001,P$210,BD!$A$3:$A$5001,"&gt;="&amp;$C$7,BD!$A$3:$A$5001,"&lt;="&amp;$B219,BD!$Y$3:$Y$5001,"&lt;&gt;")=0,"",SUMIFS(BD!$Y$3:$Y$5001,BD!$B$3:$B$5001,P$210,BD!$A$3:$A$5001,_xlfn.MAXIFS(BD!$A$3:$A$5001,BD!$B$3:$B$5001,P$210,BD!$A$3:$A$5001,"&gt;="&amp;$C$7,BD!$A$3:$A$5001,"&lt;="&amp;$B219,BD!$Y$3:$Y$5001,"&lt;&gt;"))))</f>
        <v/>
      </c>
      <c r="Q219" s="54" t="str">
        <f>IF(OR($B219="",$A219&gt;$B$9,Q$210=""),"",IF(COUNTIFS(BD!$B$3:$B$5001,Q$210,BD!$A$3:$A$5001,"&gt;="&amp;$C$7,BD!$A$3:$A$5001,"&lt;="&amp;$B219,BD!$Y$3:$Y$5001,"&lt;&gt;")=0,"",SUMIFS(BD!$Y$3:$Y$5001,BD!$B$3:$B$5001,Q$210,BD!$A$3:$A$5001,_xlfn.MAXIFS(BD!$A$3:$A$5001,BD!$B$3:$B$5001,Q$210,BD!$A$3:$A$5001,"&gt;="&amp;$C$7,BD!$A$3:$A$5001,"&lt;="&amp;$B219,BD!$Y$3:$Y$5001,"&lt;&gt;"))))</f>
        <v/>
      </c>
      <c r="R219" s="54" t="str">
        <f>IF(OR($B219="",$A219&gt;$B$9,R$210=""),"",IF(COUNTIFS(BD!$B$3:$B$5001,R$210,BD!$A$3:$A$5001,"&gt;="&amp;$C$7,BD!$A$3:$A$5001,"&lt;="&amp;$B219,BD!$Y$3:$Y$5001,"&lt;&gt;")=0,"",SUMIFS(BD!$Y$3:$Y$5001,BD!$B$3:$B$5001,R$210,BD!$A$3:$A$5001,_xlfn.MAXIFS(BD!$A$3:$A$5001,BD!$B$3:$B$5001,R$210,BD!$A$3:$A$5001,"&gt;="&amp;$C$7,BD!$A$3:$A$5001,"&lt;="&amp;$B219,BD!$Y$3:$Y$5001,"&lt;&gt;"))))</f>
        <v/>
      </c>
      <c r="S219" s="54" t="str">
        <f>IF(OR($B219="",$A219&gt;$B$9,S$210=""),"",IF(COUNTIFS(BD!$B$3:$B$5001,S$210,BD!$A$3:$A$5001,"&gt;="&amp;$C$7,BD!$A$3:$A$5001,"&lt;="&amp;$B219,BD!$Y$3:$Y$5001,"&lt;&gt;")=0,"",SUMIFS(BD!$Y$3:$Y$5001,BD!$B$3:$B$5001,S$210,BD!$A$3:$A$5001,_xlfn.MAXIFS(BD!$A$3:$A$5001,BD!$B$3:$B$5001,S$210,BD!$A$3:$A$5001,"&gt;="&amp;$C$7,BD!$A$3:$A$5001,"&lt;="&amp;$B219,BD!$Y$3:$Y$5001,"&lt;&gt;"))))</f>
        <v/>
      </c>
      <c r="T219" s="54" t="str">
        <f>IF(OR($B219="",$A219&gt;$B$9,T$210=""),"",IF(COUNTIFS(BD!$B$3:$B$5001,T$210,BD!$A$3:$A$5001,"&gt;="&amp;$C$7,BD!$A$3:$A$5001,"&lt;="&amp;$B219,BD!$Y$3:$Y$5001,"&lt;&gt;")=0,"",SUMIFS(BD!$Y$3:$Y$5001,BD!$B$3:$B$5001,T$210,BD!$A$3:$A$5001,_xlfn.MAXIFS(BD!$A$3:$A$5001,BD!$B$3:$B$5001,T$210,BD!$A$3:$A$5001,"&gt;="&amp;$C$7,BD!$A$3:$A$5001,"&lt;="&amp;$B219,BD!$Y$3:$Y$5001,"&lt;&gt;"))))</f>
        <v/>
      </c>
      <c r="U219" s="54" t="str">
        <f>IF(OR($B219="",$A219&gt;$B$9,U$210=""),"",IF(COUNTIFS(BD!$B$3:$B$5001,U$210,BD!$A$3:$A$5001,"&gt;="&amp;$C$7,BD!$A$3:$A$5001,"&lt;="&amp;$B219,BD!$Y$3:$Y$5001,"&lt;&gt;")=0,"",SUMIFS(BD!$Y$3:$Y$5001,BD!$B$3:$B$5001,U$210,BD!$A$3:$A$5001,_xlfn.MAXIFS(BD!$A$3:$A$5001,BD!$B$3:$B$5001,U$210,BD!$A$3:$A$5001,"&gt;="&amp;$C$7,BD!$A$3:$A$5001,"&lt;="&amp;$B219,BD!$Y$3:$Y$5001,"&lt;&gt;"))))</f>
        <v/>
      </c>
      <c r="V219" s="54" t="str">
        <f>IF(OR($B219="",$A219&gt;$B$9,V$210=""),"",IF(COUNTIFS(BD!$B$3:$B$5001,V$210,BD!$A$3:$A$5001,"&gt;="&amp;$C$7,BD!$A$3:$A$5001,"&lt;="&amp;$B219,BD!$Y$3:$Y$5001,"&lt;&gt;")=0,"",SUMIFS(BD!$Y$3:$Y$5001,BD!$B$3:$B$5001,V$210,BD!$A$3:$A$5001,_xlfn.MAXIFS(BD!$A$3:$A$5001,BD!$B$3:$B$5001,V$210,BD!$A$3:$A$5001,"&gt;="&amp;$C$7,BD!$A$3:$A$5001,"&lt;="&amp;$B219,BD!$Y$3:$Y$5001,"&lt;&gt;"))))</f>
        <v/>
      </c>
    </row>
    <row r="220">
      <c r="A220" s="48">
        <v>10</v>
      </c>
      <c r="B220" s="53">
        <f>$B$21</f>
        <v>46305</v>
      </c>
      <c r="C220" s="54" t="str">
        <f>IF(OR($B220="",$A220&gt;$B$9,C$210=""),"",IF(COUNTIFS(BD!$B$3:$B$5001,C$210,BD!$A$3:$A$5001,"&gt;="&amp;$C$7,BD!$A$3:$A$5001,"&lt;="&amp;$B220,BD!$Y$3:$Y$5001,"&lt;&gt;")=0,"",SUMIFS(BD!$Y$3:$Y$5001,BD!$B$3:$B$5001,C$210,BD!$A$3:$A$5001,_xlfn.MAXIFS(BD!$A$3:$A$5001,BD!$B$3:$B$5001,C$210,BD!$A$3:$A$5001,"&gt;="&amp;$C$7,BD!$A$3:$A$5001,"&lt;="&amp;$B220,BD!$Y$3:$Y$5001,"&lt;&gt;"))))</f>
        <v/>
      </c>
      <c r="D220" s="54" t="str">
        <f>IF(OR($B220="",$A220&gt;$B$9,D$210=""),"",IF(COUNTIFS(BD!$B$3:$B$5001,D$210,BD!$A$3:$A$5001,"&gt;="&amp;$C$7,BD!$A$3:$A$5001,"&lt;="&amp;$B220,BD!$Y$3:$Y$5001,"&lt;&gt;")=0,"",SUMIFS(BD!$Y$3:$Y$5001,BD!$B$3:$B$5001,D$210,BD!$A$3:$A$5001,_xlfn.MAXIFS(BD!$A$3:$A$5001,BD!$B$3:$B$5001,D$210,BD!$A$3:$A$5001,"&gt;="&amp;$C$7,BD!$A$3:$A$5001,"&lt;="&amp;$B220,BD!$Y$3:$Y$5001,"&lt;&gt;"))))</f>
        <v/>
      </c>
      <c r="E220" s="54" t="str">
        <f>IF(OR($B220="",$A220&gt;$B$9,E$210=""),"",IF(COUNTIFS(BD!$B$3:$B$5001,E$210,BD!$A$3:$A$5001,"&gt;="&amp;$C$7,BD!$A$3:$A$5001,"&lt;="&amp;$B220,BD!$Y$3:$Y$5001,"&lt;&gt;")=0,"",SUMIFS(BD!$Y$3:$Y$5001,BD!$B$3:$B$5001,E$210,BD!$A$3:$A$5001,_xlfn.MAXIFS(BD!$A$3:$A$5001,BD!$B$3:$B$5001,E$210,BD!$A$3:$A$5001,"&gt;="&amp;$C$7,BD!$A$3:$A$5001,"&lt;="&amp;$B220,BD!$Y$3:$Y$5001,"&lt;&gt;"))))</f>
        <v/>
      </c>
      <c r="F220" s="54" t="str">
        <f>IF(OR($B220="",$A220&gt;$B$9,F$210=""),"",IF(COUNTIFS(BD!$B$3:$B$5001,F$210,BD!$A$3:$A$5001,"&gt;="&amp;$C$7,BD!$A$3:$A$5001,"&lt;="&amp;$B220,BD!$Y$3:$Y$5001,"&lt;&gt;")=0,"",SUMIFS(BD!$Y$3:$Y$5001,BD!$B$3:$B$5001,F$210,BD!$A$3:$A$5001,_xlfn.MAXIFS(BD!$A$3:$A$5001,BD!$B$3:$B$5001,F$210,BD!$A$3:$A$5001,"&gt;="&amp;$C$7,BD!$A$3:$A$5001,"&lt;="&amp;$B220,BD!$Y$3:$Y$5001,"&lt;&gt;"))))</f>
        <v/>
      </c>
      <c r="G220" s="54" t="str">
        <f>IF(OR($B220="",$A220&gt;$B$9,G$210=""),"",IF(COUNTIFS(BD!$B$3:$B$5001,G$210,BD!$A$3:$A$5001,"&gt;="&amp;$C$7,BD!$A$3:$A$5001,"&lt;="&amp;$B220,BD!$Y$3:$Y$5001,"&lt;&gt;")=0,"",SUMIFS(BD!$Y$3:$Y$5001,BD!$B$3:$B$5001,G$210,BD!$A$3:$A$5001,_xlfn.MAXIFS(BD!$A$3:$A$5001,BD!$B$3:$B$5001,G$210,BD!$A$3:$A$5001,"&gt;="&amp;$C$7,BD!$A$3:$A$5001,"&lt;="&amp;$B220,BD!$Y$3:$Y$5001,"&lt;&gt;"))))</f>
        <v/>
      </c>
      <c r="H220" s="54" t="str">
        <f>IF(OR($B220="",$A220&gt;$B$9,H$210=""),"",IF(COUNTIFS(BD!$B$3:$B$5001,H$210,BD!$A$3:$A$5001,"&gt;="&amp;$C$7,BD!$A$3:$A$5001,"&lt;="&amp;$B220,BD!$Y$3:$Y$5001,"&lt;&gt;")=0,"",SUMIFS(BD!$Y$3:$Y$5001,BD!$B$3:$B$5001,H$210,BD!$A$3:$A$5001,_xlfn.MAXIFS(BD!$A$3:$A$5001,BD!$B$3:$B$5001,H$210,BD!$A$3:$A$5001,"&gt;="&amp;$C$7,BD!$A$3:$A$5001,"&lt;="&amp;$B220,BD!$Y$3:$Y$5001,"&lt;&gt;"))))</f>
        <v/>
      </c>
      <c r="I220" s="54" t="str">
        <f>IF(OR($B220="",$A220&gt;$B$9,I$210=""),"",IF(COUNTIFS(BD!$B$3:$B$5001,I$210,BD!$A$3:$A$5001,"&gt;="&amp;$C$7,BD!$A$3:$A$5001,"&lt;="&amp;$B220,BD!$Y$3:$Y$5001,"&lt;&gt;")=0,"",SUMIFS(BD!$Y$3:$Y$5001,BD!$B$3:$B$5001,I$210,BD!$A$3:$A$5001,_xlfn.MAXIFS(BD!$A$3:$A$5001,BD!$B$3:$B$5001,I$210,BD!$A$3:$A$5001,"&gt;="&amp;$C$7,BD!$A$3:$A$5001,"&lt;="&amp;$B220,BD!$Y$3:$Y$5001,"&lt;&gt;"))))</f>
        <v/>
      </c>
      <c r="J220" s="54" t="str">
        <f>IF(OR($B220="",$A220&gt;$B$9,J$210=""),"",IF(COUNTIFS(BD!$B$3:$B$5001,J$210,BD!$A$3:$A$5001,"&gt;="&amp;$C$7,BD!$A$3:$A$5001,"&lt;="&amp;$B220,BD!$Y$3:$Y$5001,"&lt;&gt;")=0,"",SUMIFS(BD!$Y$3:$Y$5001,BD!$B$3:$B$5001,J$210,BD!$A$3:$A$5001,_xlfn.MAXIFS(BD!$A$3:$A$5001,BD!$B$3:$B$5001,J$210,BD!$A$3:$A$5001,"&gt;="&amp;$C$7,BD!$A$3:$A$5001,"&lt;="&amp;$B220,BD!$Y$3:$Y$5001,"&lt;&gt;"))))</f>
        <v/>
      </c>
      <c r="K220" s="54" t="str">
        <f>IF(OR($B220="",$A220&gt;$B$9,K$210=""),"",IF(COUNTIFS(BD!$B$3:$B$5001,K$210,BD!$A$3:$A$5001,"&gt;="&amp;$C$7,BD!$A$3:$A$5001,"&lt;="&amp;$B220,BD!$Y$3:$Y$5001,"&lt;&gt;")=0,"",SUMIFS(BD!$Y$3:$Y$5001,BD!$B$3:$B$5001,K$210,BD!$A$3:$A$5001,_xlfn.MAXIFS(BD!$A$3:$A$5001,BD!$B$3:$B$5001,K$210,BD!$A$3:$A$5001,"&gt;="&amp;$C$7,BD!$A$3:$A$5001,"&lt;="&amp;$B220,BD!$Y$3:$Y$5001,"&lt;&gt;"))))</f>
        <v/>
      </c>
      <c r="L220" s="54" t="str">
        <f>IF(OR($B220="",$A220&gt;$B$9,L$210=""),"",IF(COUNTIFS(BD!$B$3:$B$5001,L$210,BD!$A$3:$A$5001,"&gt;="&amp;$C$7,BD!$A$3:$A$5001,"&lt;="&amp;$B220,BD!$Y$3:$Y$5001,"&lt;&gt;")=0,"",SUMIFS(BD!$Y$3:$Y$5001,BD!$B$3:$B$5001,L$210,BD!$A$3:$A$5001,_xlfn.MAXIFS(BD!$A$3:$A$5001,BD!$B$3:$B$5001,L$210,BD!$A$3:$A$5001,"&gt;="&amp;$C$7,BD!$A$3:$A$5001,"&lt;="&amp;$B220,BD!$Y$3:$Y$5001,"&lt;&gt;"))))</f>
        <v/>
      </c>
      <c r="M220" s="54" t="str">
        <f>IF(OR($B220="",$A220&gt;$B$9,M$210=""),"",IF(COUNTIFS(BD!$B$3:$B$5001,M$210,BD!$A$3:$A$5001,"&gt;="&amp;$C$7,BD!$A$3:$A$5001,"&lt;="&amp;$B220,BD!$Y$3:$Y$5001,"&lt;&gt;")=0,"",SUMIFS(BD!$Y$3:$Y$5001,BD!$B$3:$B$5001,M$210,BD!$A$3:$A$5001,_xlfn.MAXIFS(BD!$A$3:$A$5001,BD!$B$3:$B$5001,M$210,BD!$A$3:$A$5001,"&gt;="&amp;$C$7,BD!$A$3:$A$5001,"&lt;="&amp;$B220,BD!$Y$3:$Y$5001,"&lt;&gt;"))))</f>
        <v/>
      </c>
      <c r="N220" s="54" t="str">
        <f>IF(OR($B220="",$A220&gt;$B$9,N$210=""),"",IF(COUNTIFS(BD!$B$3:$B$5001,N$210,BD!$A$3:$A$5001,"&gt;="&amp;$C$7,BD!$A$3:$A$5001,"&lt;="&amp;$B220,BD!$Y$3:$Y$5001,"&lt;&gt;")=0,"",SUMIFS(BD!$Y$3:$Y$5001,BD!$B$3:$B$5001,N$210,BD!$A$3:$A$5001,_xlfn.MAXIFS(BD!$A$3:$A$5001,BD!$B$3:$B$5001,N$210,BD!$A$3:$A$5001,"&gt;="&amp;$C$7,BD!$A$3:$A$5001,"&lt;="&amp;$B220,BD!$Y$3:$Y$5001,"&lt;&gt;"))))</f>
        <v/>
      </c>
      <c r="O220" s="54" t="str">
        <f>IF(OR($B220="",$A220&gt;$B$9,O$210=""),"",IF(COUNTIFS(BD!$B$3:$B$5001,O$210,BD!$A$3:$A$5001,"&gt;="&amp;$C$7,BD!$A$3:$A$5001,"&lt;="&amp;$B220,BD!$Y$3:$Y$5001,"&lt;&gt;")=0,"",SUMIFS(BD!$Y$3:$Y$5001,BD!$B$3:$B$5001,O$210,BD!$A$3:$A$5001,_xlfn.MAXIFS(BD!$A$3:$A$5001,BD!$B$3:$B$5001,O$210,BD!$A$3:$A$5001,"&gt;="&amp;$C$7,BD!$A$3:$A$5001,"&lt;="&amp;$B220,BD!$Y$3:$Y$5001,"&lt;&gt;"))))</f>
        <v/>
      </c>
      <c r="P220" s="54" t="str">
        <f>IF(OR($B220="",$A220&gt;$B$9,P$210=""),"",IF(COUNTIFS(BD!$B$3:$B$5001,P$210,BD!$A$3:$A$5001,"&gt;="&amp;$C$7,BD!$A$3:$A$5001,"&lt;="&amp;$B220,BD!$Y$3:$Y$5001,"&lt;&gt;")=0,"",SUMIFS(BD!$Y$3:$Y$5001,BD!$B$3:$B$5001,P$210,BD!$A$3:$A$5001,_xlfn.MAXIFS(BD!$A$3:$A$5001,BD!$B$3:$B$5001,P$210,BD!$A$3:$A$5001,"&gt;="&amp;$C$7,BD!$A$3:$A$5001,"&lt;="&amp;$B220,BD!$Y$3:$Y$5001,"&lt;&gt;"))))</f>
        <v/>
      </c>
      <c r="Q220" s="54" t="str">
        <f>IF(OR($B220="",$A220&gt;$B$9,Q$210=""),"",IF(COUNTIFS(BD!$B$3:$B$5001,Q$210,BD!$A$3:$A$5001,"&gt;="&amp;$C$7,BD!$A$3:$A$5001,"&lt;="&amp;$B220,BD!$Y$3:$Y$5001,"&lt;&gt;")=0,"",SUMIFS(BD!$Y$3:$Y$5001,BD!$B$3:$B$5001,Q$210,BD!$A$3:$A$5001,_xlfn.MAXIFS(BD!$A$3:$A$5001,BD!$B$3:$B$5001,Q$210,BD!$A$3:$A$5001,"&gt;="&amp;$C$7,BD!$A$3:$A$5001,"&lt;="&amp;$B220,BD!$Y$3:$Y$5001,"&lt;&gt;"))))</f>
        <v/>
      </c>
      <c r="R220" s="54" t="str">
        <f>IF(OR($B220="",$A220&gt;$B$9,R$210=""),"",IF(COUNTIFS(BD!$B$3:$B$5001,R$210,BD!$A$3:$A$5001,"&gt;="&amp;$C$7,BD!$A$3:$A$5001,"&lt;="&amp;$B220,BD!$Y$3:$Y$5001,"&lt;&gt;")=0,"",SUMIFS(BD!$Y$3:$Y$5001,BD!$B$3:$B$5001,R$210,BD!$A$3:$A$5001,_xlfn.MAXIFS(BD!$A$3:$A$5001,BD!$B$3:$B$5001,R$210,BD!$A$3:$A$5001,"&gt;="&amp;$C$7,BD!$A$3:$A$5001,"&lt;="&amp;$B220,BD!$Y$3:$Y$5001,"&lt;&gt;"))))</f>
        <v/>
      </c>
      <c r="S220" s="54" t="str">
        <f>IF(OR($B220="",$A220&gt;$B$9,S$210=""),"",IF(COUNTIFS(BD!$B$3:$B$5001,S$210,BD!$A$3:$A$5001,"&gt;="&amp;$C$7,BD!$A$3:$A$5001,"&lt;="&amp;$B220,BD!$Y$3:$Y$5001,"&lt;&gt;")=0,"",SUMIFS(BD!$Y$3:$Y$5001,BD!$B$3:$B$5001,S$210,BD!$A$3:$A$5001,_xlfn.MAXIFS(BD!$A$3:$A$5001,BD!$B$3:$B$5001,S$210,BD!$A$3:$A$5001,"&gt;="&amp;$C$7,BD!$A$3:$A$5001,"&lt;="&amp;$B220,BD!$Y$3:$Y$5001,"&lt;&gt;"))))</f>
        <v/>
      </c>
      <c r="T220" s="54" t="str">
        <f>IF(OR($B220="",$A220&gt;$B$9,T$210=""),"",IF(COUNTIFS(BD!$B$3:$B$5001,T$210,BD!$A$3:$A$5001,"&gt;="&amp;$C$7,BD!$A$3:$A$5001,"&lt;="&amp;$B220,BD!$Y$3:$Y$5001,"&lt;&gt;")=0,"",SUMIFS(BD!$Y$3:$Y$5001,BD!$B$3:$B$5001,T$210,BD!$A$3:$A$5001,_xlfn.MAXIFS(BD!$A$3:$A$5001,BD!$B$3:$B$5001,T$210,BD!$A$3:$A$5001,"&gt;="&amp;$C$7,BD!$A$3:$A$5001,"&lt;="&amp;$B220,BD!$Y$3:$Y$5001,"&lt;&gt;"))))</f>
        <v/>
      </c>
      <c r="U220" s="54" t="str">
        <f>IF(OR($B220="",$A220&gt;$B$9,U$210=""),"",IF(COUNTIFS(BD!$B$3:$B$5001,U$210,BD!$A$3:$A$5001,"&gt;="&amp;$C$7,BD!$A$3:$A$5001,"&lt;="&amp;$B220,BD!$Y$3:$Y$5001,"&lt;&gt;")=0,"",SUMIFS(BD!$Y$3:$Y$5001,BD!$B$3:$B$5001,U$210,BD!$A$3:$A$5001,_xlfn.MAXIFS(BD!$A$3:$A$5001,BD!$B$3:$B$5001,U$210,BD!$A$3:$A$5001,"&gt;="&amp;$C$7,BD!$A$3:$A$5001,"&lt;="&amp;$B220,BD!$Y$3:$Y$5001,"&lt;&gt;"))))</f>
        <v/>
      </c>
      <c r="V220" s="54" t="str">
        <f>IF(OR($B220="",$A220&gt;$B$9,V$210=""),"",IF(COUNTIFS(BD!$B$3:$B$5001,V$210,BD!$A$3:$A$5001,"&gt;="&amp;$C$7,BD!$A$3:$A$5001,"&lt;="&amp;$B220,BD!$Y$3:$Y$5001,"&lt;&gt;")=0,"",SUMIFS(BD!$Y$3:$Y$5001,BD!$B$3:$B$5001,V$210,BD!$A$3:$A$5001,_xlfn.MAXIFS(BD!$A$3:$A$5001,BD!$B$3:$B$5001,V$210,BD!$A$3:$A$5001,"&gt;="&amp;$C$7,BD!$A$3:$A$5001,"&lt;="&amp;$B220,BD!$Y$3:$Y$5001,"&lt;&gt;"))))</f>
        <v/>
      </c>
    </row>
    <row r="221">
      <c r="A221" s="48">
        <v>11</v>
      </c>
      <c r="B221" s="53">
        <f>$B$22</f>
        <v>46306</v>
      </c>
      <c r="C221" s="54" t="str">
        <f>IF(OR($B221="",$A221&gt;$B$9,C$210=""),"",IF(COUNTIFS(BD!$B$3:$B$5001,C$210,BD!$A$3:$A$5001,"&gt;="&amp;$C$7,BD!$A$3:$A$5001,"&lt;="&amp;$B221,BD!$Y$3:$Y$5001,"&lt;&gt;")=0,"",SUMIFS(BD!$Y$3:$Y$5001,BD!$B$3:$B$5001,C$210,BD!$A$3:$A$5001,_xlfn.MAXIFS(BD!$A$3:$A$5001,BD!$B$3:$B$5001,C$210,BD!$A$3:$A$5001,"&gt;="&amp;$C$7,BD!$A$3:$A$5001,"&lt;="&amp;$B221,BD!$Y$3:$Y$5001,"&lt;&gt;"))))</f>
        <v/>
      </c>
      <c r="D221" s="54" t="str">
        <f>IF(OR($B221="",$A221&gt;$B$9,D$210=""),"",IF(COUNTIFS(BD!$B$3:$B$5001,D$210,BD!$A$3:$A$5001,"&gt;="&amp;$C$7,BD!$A$3:$A$5001,"&lt;="&amp;$B221,BD!$Y$3:$Y$5001,"&lt;&gt;")=0,"",SUMIFS(BD!$Y$3:$Y$5001,BD!$B$3:$B$5001,D$210,BD!$A$3:$A$5001,_xlfn.MAXIFS(BD!$A$3:$A$5001,BD!$B$3:$B$5001,D$210,BD!$A$3:$A$5001,"&gt;="&amp;$C$7,BD!$A$3:$A$5001,"&lt;="&amp;$B221,BD!$Y$3:$Y$5001,"&lt;&gt;"))))</f>
        <v/>
      </c>
      <c r="E221" s="54" t="str">
        <f>IF(OR($B221="",$A221&gt;$B$9,E$210=""),"",IF(COUNTIFS(BD!$B$3:$B$5001,E$210,BD!$A$3:$A$5001,"&gt;="&amp;$C$7,BD!$A$3:$A$5001,"&lt;="&amp;$B221,BD!$Y$3:$Y$5001,"&lt;&gt;")=0,"",SUMIFS(BD!$Y$3:$Y$5001,BD!$B$3:$B$5001,E$210,BD!$A$3:$A$5001,_xlfn.MAXIFS(BD!$A$3:$A$5001,BD!$B$3:$B$5001,E$210,BD!$A$3:$A$5001,"&gt;="&amp;$C$7,BD!$A$3:$A$5001,"&lt;="&amp;$B221,BD!$Y$3:$Y$5001,"&lt;&gt;"))))</f>
        <v/>
      </c>
      <c r="F221" s="54" t="str">
        <f>IF(OR($B221="",$A221&gt;$B$9,F$210=""),"",IF(COUNTIFS(BD!$B$3:$B$5001,F$210,BD!$A$3:$A$5001,"&gt;="&amp;$C$7,BD!$A$3:$A$5001,"&lt;="&amp;$B221,BD!$Y$3:$Y$5001,"&lt;&gt;")=0,"",SUMIFS(BD!$Y$3:$Y$5001,BD!$B$3:$B$5001,F$210,BD!$A$3:$A$5001,_xlfn.MAXIFS(BD!$A$3:$A$5001,BD!$B$3:$B$5001,F$210,BD!$A$3:$A$5001,"&gt;="&amp;$C$7,BD!$A$3:$A$5001,"&lt;="&amp;$B221,BD!$Y$3:$Y$5001,"&lt;&gt;"))))</f>
        <v/>
      </c>
      <c r="G221" s="54" t="str">
        <f>IF(OR($B221="",$A221&gt;$B$9,G$210=""),"",IF(COUNTIFS(BD!$B$3:$B$5001,G$210,BD!$A$3:$A$5001,"&gt;="&amp;$C$7,BD!$A$3:$A$5001,"&lt;="&amp;$B221,BD!$Y$3:$Y$5001,"&lt;&gt;")=0,"",SUMIFS(BD!$Y$3:$Y$5001,BD!$B$3:$B$5001,G$210,BD!$A$3:$A$5001,_xlfn.MAXIFS(BD!$A$3:$A$5001,BD!$B$3:$B$5001,G$210,BD!$A$3:$A$5001,"&gt;="&amp;$C$7,BD!$A$3:$A$5001,"&lt;="&amp;$B221,BD!$Y$3:$Y$5001,"&lt;&gt;"))))</f>
        <v/>
      </c>
      <c r="H221" s="54" t="str">
        <f>IF(OR($B221="",$A221&gt;$B$9,H$210=""),"",IF(COUNTIFS(BD!$B$3:$B$5001,H$210,BD!$A$3:$A$5001,"&gt;="&amp;$C$7,BD!$A$3:$A$5001,"&lt;="&amp;$B221,BD!$Y$3:$Y$5001,"&lt;&gt;")=0,"",SUMIFS(BD!$Y$3:$Y$5001,BD!$B$3:$B$5001,H$210,BD!$A$3:$A$5001,_xlfn.MAXIFS(BD!$A$3:$A$5001,BD!$B$3:$B$5001,H$210,BD!$A$3:$A$5001,"&gt;="&amp;$C$7,BD!$A$3:$A$5001,"&lt;="&amp;$B221,BD!$Y$3:$Y$5001,"&lt;&gt;"))))</f>
        <v/>
      </c>
      <c r="I221" s="54" t="str">
        <f>IF(OR($B221="",$A221&gt;$B$9,I$210=""),"",IF(COUNTIFS(BD!$B$3:$B$5001,I$210,BD!$A$3:$A$5001,"&gt;="&amp;$C$7,BD!$A$3:$A$5001,"&lt;="&amp;$B221,BD!$Y$3:$Y$5001,"&lt;&gt;")=0,"",SUMIFS(BD!$Y$3:$Y$5001,BD!$B$3:$B$5001,I$210,BD!$A$3:$A$5001,_xlfn.MAXIFS(BD!$A$3:$A$5001,BD!$B$3:$B$5001,I$210,BD!$A$3:$A$5001,"&gt;="&amp;$C$7,BD!$A$3:$A$5001,"&lt;="&amp;$B221,BD!$Y$3:$Y$5001,"&lt;&gt;"))))</f>
        <v/>
      </c>
      <c r="J221" s="54" t="str">
        <f>IF(OR($B221="",$A221&gt;$B$9,J$210=""),"",IF(COUNTIFS(BD!$B$3:$B$5001,J$210,BD!$A$3:$A$5001,"&gt;="&amp;$C$7,BD!$A$3:$A$5001,"&lt;="&amp;$B221,BD!$Y$3:$Y$5001,"&lt;&gt;")=0,"",SUMIFS(BD!$Y$3:$Y$5001,BD!$B$3:$B$5001,J$210,BD!$A$3:$A$5001,_xlfn.MAXIFS(BD!$A$3:$A$5001,BD!$B$3:$B$5001,J$210,BD!$A$3:$A$5001,"&gt;="&amp;$C$7,BD!$A$3:$A$5001,"&lt;="&amp;$B221,BD!$Y$3:$Y$5001,"&lt;&gt;"))))</f>
        <v/>
      </c>
      <c r="K221" s="54" t="str">
        <f>IF(OR($B221="",$A221&gt;$B$9,K$210=""),"",IF(COUNTIFS(BD!$B$3:$B$5001,K$210,BD!$A$3:$A$5001,"&gt;="&amp;$C$7,BD!$A$3:$A$5001,"&lt;="&amp;$B221,BD!$Y$3:$Y$5001,"&lt;&gt;")=0,"",SUMIFS(BD!$Y$3:$Y$5001,BD!$B$3:$B$5001,K$210,BD!$A$3:$A$5001,_xlfn.MAXIFS(BD!$A$3:$A$5001,BD!$B$3:$B$5001,K$210,BD!$A$3:$A$5001,"&gt;="&amp;$C$7,BD!$A$3:$A$5001,"&lt;="&amp;$B221,BD!$Y$3:$Y$5001,"&lt;&gt;"))))</f>
        <v/>
      </c>
      <c r="L221" s="54" t="str">
        <f>IF(OR($B221="",$A221&gt;$B$9,L$210=""),"",IF(COUNTIFS(BD!$B$3:$B$5001,L$210,BD!$A$3:$A$5001,"&gt;="&amp;$C$7,BD!$A$3:$A$5001,"&lt;="&amp;$B221,BD!$Y$3:$Y$5001,"&lt;&gt;")=0,"",SUMIFS(BD!$Y$3:$Y$5001,BD!$B$3:$B$5001,L$210,BD!$A$3:$A$5001,_xlfn.MAXIFS(BD!$A$3:$A$5001,BD!$B$3:$B$5001,L$210,BD!$A$3:$A$5001,"&gt;="&amp;$C$7,BD!$A$3:$A$5001,"&lt;="&amp;$B221,BD!$Y$3:$Y$5001,"&lt;&gt;"))))</f>
        <v/>
      </c>
      <c r="M221" s="54" t="str">
        <f>IF(OR($B221="",$A221&gt;$B$9,M$210=""),"",IF(COUNTIFS(BD!$B$3:$B$5001,M$210,BD!$A$3:$A$5001,"&gt;="&amp;$C$7,BD!$A$3:$A$5001,"&lt;="&amp;$B221,BD!$Y$3:$Y$5001,"&lt;&gt;")=0,"",SUMIFS(BD!$Y$3:$Y$5001,BD!$B$3:$B$5001,M$210,BD!$A$3:$A$5001,_xlfn.MAXIFS(BD!$A$3:$A$5001,BD!$B$3:$B$5001,M$210,BD!$A$3:$A$5001,"&gt;="&amp;$C$7,BD!$A$3:$A$5001,"&lt;="&amp;$B221,BD!$Y$3:$Y$5001,"&lt;&gt;"))))</f>
        <v/>
      </c>
      <c r="N221" s="54" t="str">
        <f>IF(OR($B221="",$A221&gt;$B$9,N$210=""),"",IF(COUNTIFS(BD!$B$3:$B$5001,N$210,BD!$A$3:$A$5001,"&gt;="&amp;$C$7,BD!$A$3:$A$5001,"&lt;="&amp;$B221,BD!$Y$3:$Y$5001,"&lt;&gt;")=0,"",SUMIFS(BD!$Y$3:$Y$5001,BD!$B$3:$B$5001,N$210,BD!$A$3:$A$5001,_xlfn.MAXIFS(BD!$A$3:$A$5001,BD!$B$3:$B$5001,N$210,BD!$A$3:$A$5001,"&gt;="&amp;$C$7,BD!$A$3:$A$5001,"&lt;="&amp;$B221,BD!$Y$3:$Y$5001,"&lt;&gt;"))))</f>
        <v/>
      </c>
      <c r="O221" s="54" t="str">
        <f>IF(OR($B221="",$A221&gt;$B$9,O$210=""),"",IF(COUNTIFS(BD!$B$3:$B$5001,O$210,BD!$A$3:$A$5001,"&gt;="&amp;$C$7,BD!$A$3:$A$5001,"&lt;="&amp;$B221,BD!$Y$3:$Y$5001,"&lt;&gt;")=0,"",SUMIFS(BD!$Y$3:$Y$5001,BD!$B$3:$B$5001,O$210,BD!$A$3:$A$5001,_xlfn.MAXIFS(BD!$A$3:$A$5001,BD!$B$3:$B$5001,O$210,BD!$A$3:$A$5001,"&gt;="&amp;$C$7,BD!$A$3:$A$5001,"&lt;="&amp;$B221,BD!$Y$3:$Y$5001,"&lt;&gt;"))))</f>
        <v/>
      </c>
      <c r="P221" s="54" t="str">
        <f>IF(OR($B221="",$A221&gt;$B$9,P$210=""),"",IF(COUNTIFS(BD!$B$3:$B$5001,P$210,BD!$A$3:$A$5001,"&gt;="&amp;$C$7,BD!$A$3:$A$5001,"&lt;="&amp;$B221,BD!$Y$3:$Y$5001,"&lt;&gt;")=0,"",SUMIFS(BD!$Y$3:$Y$5001,BD!$B$3:$B$5001,P$210,BD!$A$3:$A$5001,_xlfn.MAXIFS(BD!$A$3:$A$5001,BD!$B$3:$B$5001,P$210,BD!$A$3:$A$5001,"&gt;="&amp;$C$7,BD!$A$3:$A$5001,"&lt;="&amp;$B221,BD!$Y$3:$Y$5001,"&lt;&gt;"))))</f>
        <v/>
      </c>
      <c r="Q221" s="54" t="str">
        <f>IF(OR($B221="",$A221&gt;$B$9,Q$210=""),"",IF(COUNTIFS(BD!$B$3:$B$5001,Q$210,BD!$A$3:$A$5001,"&gt;="&amp;$C$7,BD!$A$3:$A$5001,"&lt;="&amp;$B221,BD!$Y$3:$Y$5001,"&lt;&gt;")=0,"",SUMIFS(BD!$Y$3:$Y$5001,BD!$B$3:$B$5001,Q$210,BD!$A$3:$A$5001,_xlfn.MAXIFS(BD!$A$3:$A$5001,BD!$B$3:$B$5001,Q$210,BD!$A$3:$A$5001,"&gt;="&amp;$C$7,BD!$A$3:$A$5001,"&lt;="&amp;$B221,BD!$Y$3:$Y$5001,"&lt;&gt;"))))</f>
        <v/>
      </c>
      <c r="R221" s="54" t="str">
        <f>IF(OR($B221="",$A221&gt;$B$9,R$210=""),"",IF(COUNTIFS(BD!$B$3:$B$5001,R$210,BD!$A$3:$A$5001,"&gt;="&amp;$C$7,BD!$A$3:$A$5001,"&lt;="&amp;$B221,BD!$Y$3:$Y$5001,"&lt;&gt;")=0,"",SUMIFS(BD!$Y$3:$Y$5001,BD!$B$3:$B$5001,R$210,BD!$A$3:$A$5001,_xlfn.MAXIFS(BD!$A$3:$A$5001,BD!$B$3:$B$5001,R$210,BD!$A$3:$A$5001,"&gt;="&amp;$C$7,BD!$A$3:$A$5001,"&lt;="&amp;$B221,BD!$Y$3:$Y$5001,"&lt;&gt;"))))</f>
        <v/>
      </c>
      <c r="S221" s="54" t="str">
        <f>IF(OR($B221="",$A221&gt;$B$9,S$210=""),"",IF(COUNTIFS(BD!$B$3:$B$5001,S$210,BD!$A$3:$A$5001,"&gt;="&amp;$C$7,BD!$A$3:$A$5001,"&lt;="&amp;$B221,BD!$Y$3:$Y$5001,"&lt;&gt;")=0,"",SUMIFS(BD!$Y$3:$Y$5001,BD!$B$3:$B$5001,S$210,BD!$A$3:$A$5001,_xlfn.MAXIFS(BD!$A$3:$A$5001,BD!$B$3:$B$5001,S$210,BD!$A$3:$A$5001,"&gt;="&amp;$C$7,BD!$A$3:$A$5001,"&lt;="&amp;$B221,BD!$Y$3:$Y$5001,"&lt;&gt;"))))</f>
        <v/>
      </c>
      <c r="T221" s="54" t="str">
        <f>IF(OR($B221="",$A221&gt;$B$9,T$210=""),"",IF(COUNTIFS(BD!$B$3:$B$5001,T$210,BD!$A$3:$A$5001,"&gt;="&amp;$C$7,BD!$A$3:$A$5001,"&lt;="&amp;$B221,BD!$Y$3:$Y$5001,"&lt;&gt;")=0,"",SUMIFS(BD!$Y$3:$Y$5001,BD!$B$3:$B$5001,T$210,BD!$A$3:$A$5001,_xlfn.MAXIFS(BD!$A$3:$A$5001,BD!$B$3:$B$5001,T$210,BD!$A$3:$A$5001,"&gt;="&amp;$C$7,BD!$A$3:$A$5001,"&lt;="&amp;$B221,BD!$Y$3:$Y$5001,"&lt;&gt;"))))</f>
        <v/>
      </c>
      <c r="U221" s="54" t="str">
        <f>IF(OR($B221="",$A221&gt;$B$9,U$210=""),"",IF(COUNTIFS(BD!$B$3:$B$5001,U$210,BD!$A$3:$A$5001,"&gt;="&amp;$C$7,BD!$A$3:$A$5001,"&lt;="&amp;$B221,BD!$Y$3:$Y$5001,"&lt;&gt;")=0,"",SUMIFS(BD!$Y$3:$Y$5001,BD!$B$3:$B$5001,U$210,BD!$A$3:$A$5001,_xlfn.MAXIFS(BD!$A$3:$A$5001,BD!$B$3:$B$5001,U$210,BD!$A$3:$A$5001,"&gt;="&amp;$C$7,BD!$A$3:$A$5001,"&lt;="&amp;$B221,BD!$Y$3:$Y$5001,"&lt;&gt;"))))</f>
        <v/>
      </c>
      <c r="V221" s="54" t="str">
        <f>IF(OR($B221="",$A221&gt;$B$9,V$210=""),"",IF(COUNTIFS(BD!$B$3:$B$5001,V$210,BD!$A$3:$A$5001,"&gt;="&amp;$C$7,BD!$A$3:$A$5001,"&lt;="&amp;$B221,BD!$Y$3:$Y$5001,"&lt;&gt;")=0,"",SUMIFS(BD!$Y$3:$Y$5001,BD!$B$3:$B$5001,V$210,BD!$A$3:$A$5001,_xlfn.MAXIFS(BD!$A$3:$A$5001,BD!$B$3:$B$5001,V$210,BD!$A$3:$A$5001,"&gt;="&amp;$C$7,BD!$A$3:$A$5001,"&lt;="&amp;$B221,BD!$Y$3:$Y$5001,"&lt;&gt;"))))</f>
        <v/>
      </c>
    </row>
    <row r="222">
      <c r="A222" s="48">
        <v>12</v>
      </c>
      <c r="B222" s="53">
        <f>$B$23</f>
        <v>46307</v>
      </c>
      <c r="C222" s="54" t="str">
        <f>IF(OR($B222="",$A222&gt;$B$9,C$210=""),"",IF(COUNTIFS(BD!$B$3:$B$5001,C$210,BD!$A$3:$A$5001,"&gt;="&amp;$C$7,BD!$A$3:$A$5001,"&lt;="&amp;$B222,BD!$Y$3:$Y$5001,"&lt;&gt;")=0,"",SUMIFS(BD!$Y$3:$Y$5001,BD!$B$3:$B$5001,C$210,BD!$A$3:$A$5001,_xlfn.MAXIFS(BD!$A$3:$A$5001,BD!$B$3:$B$5001,C$210,BD!$A$3:$A$5001,"&gt;="&amp;$C$7,BD!$A$3:$A$5001,"&lt;="&amp;$B222,BD!$Y$3:$Y$5001,"&lt;&gt;"))))</f>
        <v/>
      </c>
      <c r="D222" s="54" t="str">
        <f>IF(OR($B222="",$A222&gt;$B$9,D$210=""),"",IF(COUNTIFS(BD!$B$3:$B$5001,D$210,BD!$A$3:$A$5001,"&gt;="&amp;$C$7,BD!$A$3:$A$5001,"&lt;="&amp;$B222,BD!$Y$3:$Y$5001,"&lt;&gt;")=0,"",SUMIFS(BD!$Y$3:$Y$5001,BD!$B$3:$B$5001,D$210,BD!$A$3:$A$5001,_xlfn.MAXIFS(BD!$A$3:$A$5001,BD!$B$3:$B$5001,D$210,BD!$A$3:$A$5001,"&gt;="&amp;$C$7,BD!$A$3:$A$5001,"&lt;="&amp;$B222,BD!$Y$3:$Y$5001,"&lt;&gt;"))))</f>
        <v/>
      </c>
      <c r="E222" s="54" t="str">
        <f>IF(OR($B222="",$A222&gt;$B$9,E$210=""),"",IF(COUNTIFS(BD!$B$3:$B$5001,E$210,BD!$A$3:$A$5001,"&gt;="&amp;$C$7,BD!$A$3:$A$5001,"&lt;="&amp;$B222,BD!$Y$3:$Y$5001,"&lt;&gt;")=0,"",SUMIFS(BD!$Y$3:$Y$5001,BD!$B$3:$B$5001,E$210,BD!$A$3:$A$5001,_xlfn.MAXIFS(BD!$A$3:$A$5001,BD!$B$3:$B$5001,E$210,BD!$A$3:$A$5001,"&gt;="&amp;$C$7,BD!$A$3:$A$5001,"&lt;="&amp;$B222,BD!$Y$3:$Y$5001,"&lt;&gt;"))))</f>
        <v/>
      </c>
      <c r="F222" s="54" t="str">
        <f>IF(OR($B222="",$A222&gt;$B$9,F$210=""),"",IF(COUNTIFS(BD!$B$3:$B$5001,F$210,BD!$A$3:$A$5001,"&gt;="&amp;$C$7,BD!$A$3:$A$5001,"&lt;="&amp;$B222,BD!$Y$3:$Y$5001,"&lt;&gt;")=0,"",SUMIFS(BD!$Y$3:$Y$5001,BD!$B$3:$B$5001,F$210,BD!$A$3:$A$5001,_xlfn.MAXIFS(BD!$A$3:$A$5001,BD!$B$3:$B$5001,F$210,BD!$A$3:$A$5001,"&gt;="&amp;$C$7,BD!$A$3:$A$5001,"&lt;="&amp;$B222,BD!$Y$3:$Y$5001,"&lt;&gt;"))))</f>
        <v/>
      </c>
      <c r="G222" s="54" t="str">
        <f>IF(OR($B222="",$A222&gt;$B$9,G$210=""),"",IF(COUNTIFS(BD!$B$3:$B$5001,G$210,BD!$A$3:$A$5001,"&gt;="&amp;$C$7,BD!$A$3:$A$5001,"&lt;="&amp;$B222,BD!$Y$3:$Y$5001,"&lt;&gt;")=0,"",SUMIFS(BD!$Y$3:$Y$5001,BD!$B$3:$B$5001,G$210,BD!$A$3:$A$5001,_xlfn.MAXIFS(BD!$A$3:$A$5001,BD!$B$3:$B$5001,G$210,BD!$A$3:$A$5001,"&gt;="&amp;$C$7,BD!$A$3:$A$5001,"&lt;="&amp;$B222,BD!$Y$3:$Y$5001,"&lt;&gt;"))))</f>
        <v/>
      </c>
      <c r="H222" s="54" t="str">
        <f>IF(OR($B222="",$A222&gt;$B$9,H$210=""),"",IF(COUNTIFS(BD!$B$3:$B$5001,H$210,BD!$A$3:$A$5001,"&gt;="&amp;$C$7,BD!$A$3:$A$5001,"&lt;="&amp;$B222,BD!$Y$3:$Y$5001,"&lt;&gt;")=0,"",SUMIFS(BD!$Y$3:$Y$5001,BD!$B$3:$B$5001,H$210,BD!$A$3:$A$5001,_xlfn.MAXIFS(BD!$A$3:$A$5001,BD!$B$3:$B$5001,H$210,BD!$A$3:$A$5001,"&gt;="&amp;$C$7,BD!$A$3:$A$5001,"&lt;="&amp;$B222,BD!$Y$3:$Y$5001,"&lt;&gt;"))))</f>
        <v/>
      </c>
      <c r="I222" s="54" t="str">
        <f>IF(OR($B222="",$A222&gt;$B$9,I$210=""),"",IF(COUNTIFS(BD!$B$3:$B$5001,I$210,BD!$A$3:$A$5001,"&gt;="&amp;$C$7,BD!$A$3:$A$5001,"&lt;="&amp;$B222,BD!$Y$3:$Y$5001,"&lt;&gt;")=0,"",SUMIFS(BD!$Y$3:$Y$5001,BD!$B$3:$B$5001,I$210,BD!$A$3:$A$5001,_xlfn.MAXIFS(BD!$A$3:$A$5001,BD!$B$3:$B$5001,I$210,BD!$A$3:$A$5001,"&gt;="&amp;$C$7,BD!$A$3:$A$5001,"&lt;="&amp;$B222,BD!$Y$3:$Y$5001,"&lt;&gt;"))))</f>
        <v/>
      </c>
      <c r="J222" s="54" t="str">
        <f>IF(OR($B222="",$A222&gt;$B$9,J$210=""),"",IF(COUNTIFS(BD!$B$3:$B$5001,J$210,BD!$A$3:$A$5001,"&gt;="&amp;$C$7,BD!$A$3:$A$5001,"&lt;="&amp;$B222,BD!$Y$3:$Y$5001,"&lt;&gt;")=0,"",SUMIFS(BD!$Y$3:$Y$5001,BD!$B$3:$B$5001,J$210,BD!$A$3:$A$5001,_xlfn.MAXIFS(BD!$A$3:$A$5001,BD!$B$3:$B$5001,J$210,BD!$A$3:$A$5001,"&gt;="&amp;$C$7,BD!$A$3:$A$5001,"&lt;="&amp;$B222,BD!$Y$3:$Y$5001,"&lt;&gt;"))))</f>
        <v/>
      </c>
      <c r="K222" s="54" t="str">
        <f>IF(OR($B222="",$A222&gt;$B$9,K$210=""),"",IF(COUNTIFS(BD!$B$3:$B$5001,K$210,BD!$A$3:$A$5001,"&gt;="&amp;$C$7,BD!$A$3:$A$5001,"&lt;="&amp;$B222,BD!$Y$3:$Y$5001,"&lt;&gt;")=0,"",SUMIFS(BD!$Y$3:$Y$5001,BD!$B$3:$B$5001,K$210,BD!$A$3:$A$5001,_xlfn.MAXIFS(BD!$A$3:$A$5001,BD!$B$3:$B$5001,K$210,BD!$A$3:$A$5001,"&gt;="&amp;$C$7,BD!$A$3:$A$5001,"&lt;="&amp;$B222,BD!$Y$3:$Y$5001,"&lt;&gt;"))))</f>
        <v/>
      </c>
      <c r="L222" s="54" t="str">
        <f>IF(OR($B222="",$A222&gt;$B$9,L$210=""),"",IF(COUNTIFS(BD!$B$3:$B$5001,L$210,BD!$A$3:$A$5001,"&gt;="&amp;$C$7,BD!$A$3:$A$5001,"&lt;="&amp;$B222,BD!$Y$3:$Y$5001,"&lt;&gt;")=0,"",SUMIFS(BD!$Y$3:$Y$5001,BD!$B$3:$B$5001,L$210,BD!$A$3:$A$5001,_xlfn.MAXIFS(BD!$A$3:$A$5001,BD!$B$3:$B$5001,L$210,BD!$A$3:$A$5001,"&gt;="&amp;$C$7,BD!$A$3:$A$5001,"&lt;="&amp;$B222,BD!$Y$3:$Y$5001,"&lt;&gt;"))))</f>
        <v/>
      </c>
      <c r="M222" s="54" t="str">
        <f>IF(OR($B222="",$A222&gt;$B$9,M$210=""),"",IF(COUNTIFS(BD!$B$3:$B$5001,M$210,BD!$A$3:$A$5001,"&gt;="&amp;$C$7,BD!$A$3:$A$5001,"&lt;="&amp;$B222,BD!$Y$3:$Y$5001,"&lt;&gt;")=0,"",SUMIFS(BD!$Y$3:$Y$5001,BD!$B$3:$B$5001,M$210,BD!$A$3:$A$5001,_xlfn.MAXIFS(BD!$A$3:$A$5001,BD!$B$3:$B$5001,M$210,BD!$A$3:$A$5001,"&gt;="&amp;$C$7,BD!$A$3:$A$5001,"&lt;="&amp;$B222,BD!$Y$3:$Y$5001,"&lt;&gt;"))))</f>
        <v/>
      </c>
      <c r="N222" s="54" t="str">
        <f>IF(OR($B222="",$A222&gt;$B$9,N$210=""),"",IF(COUNTIFS(BD!$B$3:$B$5001,N$210,BD!$A$3:$A$5001,"&gt;="&amp;$C$7,BD!$A$3:$A$5001,"&lt;="&amp;$B222,BD!$Y$3:$Y$5001,"&lt;&gt;")=0,"",SUMIFS(BD!$Y$3:$Y$5001,BD!$B$3:$B$5001,N$210,BD!$A$3:$A$5001,_xlfn.MAXIFS(BD!$A$3:$A$5001,BD!$B$3:$B$5001,N$210,BD!$A$3:$A$5001,"&gt;="&amp;$C$7,BD!$A$3:$A$5001,"&lt;="&amp;$B222,BD!$Y$3:$Y$5001,"&lt;&gt;"))))</f>
        <v/>
      </c>
      <c r="O222" s="54" t="str">
        <f>IF(OR($B222="",$A222&gt;$B$9,O$210=""),"",IF(COUNTIFS(BD!$B$3:$B$5001,O$210,BD!$A$3:$A$5001,"&gt;="&amp;$C$7,BD!$A$3:$A$5001,"&lt;="&amp;$B222,BD!$Y$3:$Y$5001,"&lt;&gt;")=0,"",SUMIFS(BD!$Y$3:$Y$5001,BD!$B$3:$B$5001,O$210,BD!$A$3:$A$5001,_xlfn.MAXIFS(BD!$A$3:$A$5001,BD!$B$3:$B$5001,O$210,BD!$A$3:$A$5001,"&gt;="&amp;$C$7,BD!$A$3:$A$5001,"&lt;="&amp;$B222,BD!$Y$3:$Y$5001,"&lt;&gt;"))))</f>
        <v/>
      </c>
      <c r="P222" s="54" t="str">
        <f>IF(OR($B222="",$A222&gt;$B$9,P$210=""),"",IF(COUNTIFS(BD!$B$3:$B$5001,P$210,BD!$A$3:$A$5001,"&gt;="&amp;$C$7,BD!$A$3:$A$5001,"&lt;="&amp;$B222,BD!$Y$3:$Y$5001,"&lt;&gt;")=0,"",SUMIFS(BD!$Y$3:$Y$5001,BD!$B$3:$B$5001,P$210,BD!$A$3:$A$5001,_xlfn.MAXIFS(BD!$A$3:$A$5001,BD!$B$3:$B$5001,P$210,BD!$A$3:$A$5001,"&gt;="&amp;$C$7,BD!$A$3:$A$5001,"&lt;="&amp;$B222,BD!$Y$3:$Y$5001,"&lt;&gt;"))))</f>
        <v/>
      </c>
      <c r="Q222" s="54" t="str">
        <f>IF(OR($B222="",$A222&gt;$B$9,Q$210=""),"",IF(COUNTIFS(BD!$B$3:$B$5001,Q$210,BD!$A$3:$A$5001,"&gt;="&amp;$C$7,BD!$A$3:$A$5001,"&lt;="&amp;$B222,BD!$Y$3:$Y$5001,"&lt;&gt;")=0,"",SUMIFS(BD!$Y$3:$Y$5001,BD!$B$3:$B$5001,Q$210,BD!$A$3:$A$5001,_xlfn.MAXIFS(BD!$A$3:$A$5001,BD!$B$3:$B$5001,Q$210,BD!$A$3:$A$5001,"&gt;="&amp;$C$7,BD!$A$3:$A$5001,"&lt;="&amp;$B222,BD!$Y$3:$Y$5001,"&lt;&gt;"))))</f>
        <v/>
      </c>
      <c r="R222" s="54" t="str">
        <f>IF(OR($B222="",$A222&gt;$B$9,R$210=""),"",IF(COUNTIFS(BD!$B$3:$B$5001,R$210,BD!$A$3:$A$5001,"&gt;="&amp;$C$7,BD!$A$3:$A$5001,"&lt;="&amp;$B222,BD!$Y$3:$Y$5001,"&lt;&gt;")=0,"",SUMIFS(BD!$Y$3:$Y$5001,BD!$B$3:$B$5001,R$210,BD!$A$3:$A$5001,_xlfn.MAXIFS(BD!$A$3:$A$5001,BD!$B$3:$B$5001,R$210,BD!$A$3:$A$5001,"&gt;="&amp;$C$7,BD!$A$3:$A$5001,"&lt;="&amp;$B222,BD!$Y$3:$Y$5001,"&lt;&gt;"))))</f>
        <v/>
      </c>
      <c r="S222" s="54" t="str">
        <f>IF(OR($B222="",$A222&gt;$B$9,S$210=""),"",IF(COUNTIFS(BD!$B$3:$B$5001,S$210,BD!$A$3:$A$5001,"&gt;="&amp;$C$7,BD!$A$3:$A$5001,"&lt;="&amp;$B222,BD!$Y$3:$Y$5001,"&lt;&gt;")=0,"",SUMIFS(BD!$Y$3:$Y$5001,BD!$B$3:$B$5001,S$210,BD!$A$3:$A$5001,_xlfn.MAXIFS(BD!$A$3:$A$5001,BD!$B$3:$B$5001,S$210,BD!$A$3:$A$5001,"&gt;="&amp;$C$7,BD!$A$3:$A$5001,"&lt;="&amp;$B222,BD!$Y$3:$Y$5001,"&lt;&gt;"))))</f>
        <v/>
      </c>
      <c r="T222" s="54" t="str">
        <f>IF(OR($B222="",$A222&gt;$B$9,T$210=""),"",IF(COUNTIFS(BD!$B$3:$B$5001,T$210,BD!$A$3:$A$5001,"&gt;="&amp;$C$7,BD!$A$3:$A$5001,"&lt;="&amp;$B222,BD!$Y$3:$Y$5001,"&lt;&gt;")=0,"",SUMIFS(BD!$Y$3:$Y$5001,BD!$B$3:$B$5001,T$210,BD!$A$3:$A$5001,_xlfn.MAXIFS(BD!$A$3:$A$5001,BD!$B$3:$B$5001,T$210,BD!$A$3:$A$5001,"&gt;="&amp;$C$7,BD!$A$3:$A$5001,"&lt;="&amp;$B222,BD!$Y$3:$Y$5001,"&lt;&gt;"))))</f>
        <v/>
      </c>
      <c r="U222" s="54" t="str">
        <f>IF(OR($B222="",$A222&gt;$B$9,U$210=""),"",IF(COUNTIFS(BD!$B$3:$B$5001,U$210,BD!$A$3:$A$5001,"&gt;="&amp;$C$7,BD!$A$3:$A$5001,"&lt;="&amp;$B222,BD!$Y$3:$Y$5001,"&lt;&gt;")=0,"",SUMIFS(BD!$Y$3:$Y$5001,BD!$B$3:$B$5001,U$210,BD!$A$3:$A$5001,_xlfn.MAXIFS(BD!$A$3:$A$5001,BD!$B$3:$B$5001,U$210,BD!$A$3:$A$5001,"&gt;="&amp;$C$7,BD!$A$3:$A$5001,"&lt;="&amp;$B222,BD!$Y$3:$Y$5001,"&lt;&gt;"))))</f>
        <v/>
      </c>
      <c r="V222" s="54" t="str">
        <f>IF(OR($B222="",$A222&gt;$B$9,V$210=""),"",IF(COUNTIFS(BD!$B$3:$B$5001,V$210,BD!$A$3:$A$5001,"&gt;="&amp;$C$7,BD!$A$3:$A$5001,"&lt;="&amp;$B222,BD!$Y$3:$Y$5001,"&lt;&gt;")=0,"",SUMIFS(BD!$Y$3:$Y$5001,BD!$B$3:$B$5001,V$210,BD!$A$3:$A$5001,_xlfn.MAXIFS(BD!$A$3:$A$5001,BD!$B$3:$B$5001,V$210,BD!$A$3:$A$5001,"&gt;="&amp;$C$7,BD!$A$3:$A$5001,"&lt;="&amp;$B222,BD!$Y$3:$Y$5001,"&lt;&gt;"))))</f>
        <v/>
      </c>
    </row>
    <row r="223">
      <c r="A223" s="48">
        <v>13</v>
      </c>
      <c r="B223" s="53">
        <f>$B$24</f>
        <v>46308</v>
      </c>
      <c r="C223" s="54" t="str">
        <f>IF(OR($B223="",$A223&gt;$B$9,C$210=""),"",IF(COUNTIFS(BD!$B$3:$B$5001,C$210,BD!$A$3:$A$5001,"&gt;="&amp;$C$7,BD!$A$3:$A$5001,"&lt;="&amp;$B223,BD!$Y$3:$Y$5001,"&lt;&gt;")=0,"",SUMIFS(BD!$Y$3:$Y$5001,BD!$B$3:$B$5001,C$210,BD!$A$3:$A$5001,_xlfn.MAXIFS(BD!$A$3:$A$5001,BD!$B$3:$B$5001,C$210,BD!$A$3:$A$5001,"&gt;="&amp;$C$7,BD!$A$3:$A$5001,"&lt;="&amp;$B223,BD!$Y$3:$Y$5001,"&lt;&gt;"))))</f>
        <v/>
      </c>
      <c r="D223" s="54" t="str">
        <f>IF(OR($B223="",$A223&gt;$B$9,D$210=""),"",IF(COUNTIFS(BD!$B$3:$B$5001,D$210,BD!$A$3:$A$5001,"&gt;="&amp;$C$7,BD!$A$3:$A$5001,"&lt;="&amp;$B223,BD!$Y$3:$Y$5001,"&lt;&gt;")=0,"",SUMIFS(BD!$Y$3:$Y$5001,BD!$B$3:$B$5001,D$210,BD!$A$3:$A$5001,_xlfn.MAXIFS(BD!$A$3:$A$5001,BD!$B$3:$B$5001,D$210,BD!$A$3:$A$5001,"&gt;="&amp;$C$7,BD!$A$3:$A$5001,"&lt;="&amp;$B223,BD!$Y$3:$Y$5001,"&lt;&gt;"))))</f>
        <v/>
      </c>
      <c r="E223" s="54" t="str">
        <f>IF(OR($B223="",$A223&gt;$B$9,E$210=""),"",IF(COUNTIFS(BD!$B$3:$B$5001,E$210,BD!$A$3:$A$5001,"&gt;="&amp;$C$7,BD!$A$3:$A$5001,"&lt;="&amp;$B223,BD!$Y$3:$Y$5001,"&lt;&gt;")=0,"",SUMIFS(BD!$Y$3:$Y$5001,BD!$B$3:$B$5001,E$210,BD!$A$3:$A$5001,_xlfn.MAXIFS(BD!$A$3:$A$5001,BD!$B$3:$B$5001,E$210,BD!$A$3:$A$5001,"&gt;="&amp;$C$7,BD!$A$3:$A$5001,"&lt;="&amp;$B223,BD!$Y$3:$Y$5001,"&lt;&gt;"))))</f>
        <v/>
      </c>
      <c r="F223" s="54" t="str">
        <f>IF(OR($B223="",$A223&gt;$B$9,F$210=""),"",IF(COUNTIFS(BD!$B$3:$B$5001,F$210,BD!$A$3:$A$5001,"&gt;="&amp;$C$7,BD!$A$3:$A$5001,"&lt;="&amp;$B223,BD!$Y$3:$Y$5001,"&lt;&gt;")=0,"",SUMIFS(BD!$Y$3:$Y$5001,BD!$B$3:$B$5001,F$210,BD!$A$3:$A$5001,_xlfn.MAXIFS(BD!$A$3:$A$5001,BD!$B$3:$B$5001,F$210,BD!$A$3:$A$5001,"&gt;="&amp;$C$7,BD!$A$3:$A$5001,"&lt;="&amp;$B223,BD!$Y$3:$Y$5001,"&lt;&gt;"))))</f>
        <v/>
      </c>
      <c r="G223" s="54" t="str">
        <f>IF(OR($B223="",$A223&gt;$B$9,G$210=""),"",IF(COUNTIFS(BD!$B$3:$B$5001,G$210,BD!$A$3:$A$5001,"&gt;="&amp;$C$7,BD!$A$3:$A$5001,"&lt;="&amp;$B223,BD!$Y$3:$Y$5001,"&lt;&gt;")=0,"",SUMIFS(BD!$Y$3:$Y$5001,BD!$B$3:$B$5001,G$210,BD!$A$3:$A$5001,_xlfn.MAXIFS(BD!$A$3:$A$5001,BD!$B$3:$B$5001,G$210,BD!$A$3:$A$5001,"&gt;="&amp;$C$7,BD!$A$3:$A$5001,"&lt;="&amp;$B223,BD!$Y$3:$Y$5001,"&lt;&gt;"))))</f>
        <v/>
      </c>
      <c r="H223" s="54" t="str">
        <f>IF(OR($B223="",$A223&gt;$B$9,H$210=""),"",IF(COUNTIFS(BD!$B$3:$B$5001,H$210,BD!$A$3:$A$5001,"&gt;="&amp;$C$7,BD!$A$3:$A$5001,"&lt;="&amp;$B223,BD!$Y$3:$Y$5001,"&lt;&gt;")=0,"",SUMIFS(BD!$Y$3:$Y$5001,BD!$B$3:$B$5001,H$210,BD!$A$3:$A$5001,_xlfn.MAXIFS(BD!$A$3:$A$5001,BD!$B$3:$B$5001,H$210,BD!$A$3:$A$5001,"&gt;="&amp;$C$7,BD!$A$3:$A$5001,"&lt;="&amp;$B223,BD!$Y$3:$Y$5001,"&lt;&gt;"))))</f>
        <v/>
      </c>
      <c r="I223" s="54" t="str">
        <f>IF(OR($B223="",$A223&gt;$B$9,I$210=""),"",IF(COUNTIFS(BD!$B$3:$B$5001,I$210,BD!$A$3:$A$5001,"&gt;="&amp;$C$7,BD!$A$3:$A$5001,"&lt;="&amp;$B223,BD!$Y$3:$Y$5001,"&lt;&gt;")=0,"",SUMIFS(BD!$Y$3:$Y$5001,BD!$B$3:$B$5001,I$210,BD!$A$3:$A$5001,_xlfn.MAXIFS(BD!$A$3:$A$5001,BD!$B$3:$B$5001,I$210,BD!$A$3:$A$5001,"&gt;="&amp;$C$7,BD!$A$3:$A$5001,"&lt;="&amp;$B223,BD!$Y$3:$Y$5001,"&lt;&gt;"))))</f>
        <v/>
      </c>
      <c r="J223" s="54" t="str">
        <f>IF(OR($B223="",$A223&gt;$B$9,J$210=""),"",IF(COUNTIFS(BD!$B$3:$B$5001,J$210,BD!$A$3:$A$5001,"&gt;="&amp;$C$7,BD!$A$3:$A$5001,"&lt;="&amp;$B223,BD!$Y$3:$Y$5001,"&lt;&gt;")=0,"",SUMIFS(BD!$Y$3:$Y$5001,BD!$B$3:$B$5001,J$210,BD!$A$3:$A$5001,_xlfn.MAXIFS(BD!$A$3:$A$5001,BD!$B$3:$B$5001,J$210,BD!$A$3:$A$5001,"&gt;="&amp;$C$7,BD!$A$3:$A$5001,"&lt;="&amp;$B223,BD!$Y$3:$Y$5001,"&lt;&gt;"))))</f>
        <v/>
      </c>
      <c r="K223" s="54" t="str">
        <f>IF(OR($B223="",$A223&gt;$B$9,K$210=""),"",IF(COUNTIFS(BD!$B$3:$B$5001,K$210,BD!$A$3:$A$5001,"&gt;="&amp;$C$7,BD!$A$3:$A$5001,"&lt;="&amp;$B223,BD!$Y$3:$Y$5001,"&lt;&gt;")=0,"",SUMIFS(BD!$Y$3:$Y$5001,BD!$B$3:$B$5001,K$210,BD!$A$3:$A$5001,_xlfn.MAXIFS(BD!$A$3:$A$5001,BD!$B$3:$B$5001,K$210,BD!$A$3:$A$5001,"&gt;="&amp;$C$7,BD!$A$3:$A$5001,"&lt;="&amp;$B223,BD!$Y$3:$Y$5001,"&lt;&gt;"))))</f>
        <v/>
      </c>
      <c r="L223" s="54" t="str">
        <f>IF(OR($B223="",$A223&gt;$B$9,L$210=""),"",IF(COUNTIFS(BD!$B$3:$B$5001,L$210,BD!$A$3:$A$5001,"&gt;="&amp;$C$7,BD!$A$3:$A$5001,"&lt;="&amp;$B223,BD!$Y$3:$Y$5001,"&lt;&gt;")=0,"",SUMIFS(BD!$Y$3:$Y$5001,BD!$B$3:$B$5001,L$210,BD!$A$3:$A$5001,_xlfn.MAXIFS(BD!$A$3:$A$5001,BD!$B$3:$B$5001,L$210,BD!$A$3:$A$5001,"&gt;="&amp;$C$7,BD!$A$3:$A$5001,"&lt;="&amp;$B223,BD!$Y$3:$Y$5001,"&lt;&gt;"))))</f>
        <v/>
      </c>
      <c r="M223" s="54" t="str">
        <f>IF(OR($B223="",$A223&gt;$B$9,M$210=""),"",IF(COUNTIFS(BD!$B$3:$B$5001,M$210,BD!$A$3:$A$5001,"&gt;="&amp;$C$7,BD!$A$3:$A$5001,"&lt;="&amp;$B223,BD!$Y$3:$Y$5001,"&lt;&gt;")=0,"",SUMIFS(BD!$Y$3:$Y$5001,BD!$B$3:$B$5001,M$210,BD!$A$3:$A$5001,_xlfn.MAXIFS(BD!$A$3:$A$5001,BD!$B$3:$B$5001,M$210,BD!$A$3:$A$5001,"&gt;="&amp;$C$7,BD!$A$3:$A$5001,"&lt;="&amp;$B223,BD!$Y$3:$Y$5001,"&lt;&gt;"))))</f>
        <v/>
      </c>
      <c r="N223" s="54" t="str">
        <f>IF(OR($B223="",$A223&gt;$B$9,N$210=""),"",IF(COUNTIFS(BD!$B$3:$B$5001,N$210,BD!$A$3:$A$5001,"&gt;="&amp;$C$7,BD!$A$3:$A$5001,"&lt;="&amp;$B223,BD!$Y$3:$Y$5001,"&lt;&gt;")=0,"",SUMIFS(BD!$Y$3:$Y$5001,BD!$B$3:$B$5001,N$210,BD!$A$3:$A$5001,_xlfn.MAXIFS(BD!$A$3:$A$5001,BD!$B$3:$B$5001,N$210,BD!$A$3:$A$5001,"&gt;="&amp;$C$7,BD!$A$3:$A$5001,"&lt;="&amp;$B223,BD!$Y$3:$Y$5001,"&lt;&gt;"))))</f>
        <v/>
      </c>
      <c r="O223" s="54" t="str">
        <f>IF(OR($B223="",$A223&gt;$B$9,O$210=""),"",IF(COUNTIFS(BD!$B$3:$B$5001,O$210,BD!$A$3:$A$5001,"&gt;="&amp;$C$7,BD!$A$3:$A$5001,"&lt;="&amp;$B223,BD!$Y$3:$Y$5001,"&lt;&gt;")=0,"",SUMIFS(BD!$Y$3:$Y$5001,BD!$B$3:$B$5001,O$210,BD!$A$3:$A$5001,_xlfn.MAXIFS(BD!$A$3:$A$5001,BD!$B$3:$B$5001,O$210,BD!$A$3:$A$5001,"&gt;="&amp;$C$7,BD!$A$3:$A$5001,"&lt;="&amp;$B223,BD!$Y$3:$Y$5001,"&lt;&gt;"))))</f>
        <v/>
      </c>
      <c r="P223" s="54" t="str">
        <f>IF(OR($B223="",$A223&gt;$B$9,P$210=""),"",IF(COUNTIFS(BD!$B$3:$B$5001,P$210,BD!$A$3:$A$5001,"&gt;="&amp;$C$7,BD!$A$3:$A$5001,"&lt;="&amp;$B223,BD!$Y$3:$Y$5001,"&lt;&gt;")=0,"",SUMIFS(BD!$Y$3:$Y$5001,BD!$B$3:$B$5001,P$210,BD!$A$3:$A$5001,_xlfn.MAXIFS(BD!$A$3:$A$5001,BD!$B$3:$B$5001,P$210,BD!$A$3:$A$5001,"&gt;="&amp;$C$7,BD!$A$3:$A$5001,"&lt;="&amp;$B223,BD!$Y$3:$Y$5001,"&lt;&gt;"))))</f>
        <v/>
      </c>
      <c r="Q223" s="54" t="str">
        <f>IF(OR($B223="",$A223&gt;$B$9,Q$210=""),"",IF(COUNTIFS(BD!$B$3:$B$5001,Q$210,BD!$A$3:$A$5001,"&gt;="&amp;$C$7,BD!$A$3:$A$5001,"&lt;="&amp;$B223,BD!$Y$3:$Y$5001,"&lt;&gt;")=0,"",SUMIFS(BD!$Y$3:$Y$5001,BD!$B$3:$B$5001,Q$210,BD!$A$3:$A$5001,_xlfn.MAXIFS(BD!$A$3:$A$5001,BD!$B$3:$B$5001,Q$210,BD!$A$3:$A$5001,"&gt;="&amp;$C$7,BD!$A$3:$A$5001,"&lt;="&amp;$B223,BD!$Y$3:$Y$5001,"&lt;&gt;"))))</f>
        <v/>
      </c>
      <c r="R223" s="54" t="str">
        <f>IF(OR($B223="",$A223&gt;$B$9,R$210=""),"",IF(COUNTIFS(BD!$B$3:$B$5001,R$210,BD!$A$3:$A$5001,"&gt;="&amp;$C$7,BD!$A$3:$A$5001,"&lt;="&amp;$B223,BD!$Y$3:$Y$5001,"&lt;&gt;")=0,"",SUMIFS(BD!$Y$3:$Y$5001,BD!$B$3:$B$5001,R$210,BD!$A$3:$A$5001,_xlfn.MAXIFS(BD!$A$3:$A$5001,BD!$B$3:$B$5001,R$210,BD!$A$3:$A$5001,"&gt;="&amp;$C$7,BD!$A$3:$A$5001,"&lt;="&amp;$B223,BD!$Y$3:$Y$5001,"&lt;&gt;"))))</f>
        <v/>
      </c>
      <c r="S223" s="54" t="str">
        <f>IF(OR($B223="",$A223&gt;$B$9,S$210=""),"",IF(COUNTIFS(BD!$B$3:$B$5001,S$210,BD!$A$3:$A$5001,"&gt;="&amp;$C$7,BD!$A$3:$A$5001,"&lt;="&amp;$B223,BD!$Y$3:$Y$5001,"&lt;&gt;")=0,"",SUMIFS(BD!$Y$3:$Y$5001,BD!$B$3:$B$5001,S$210,BD!$A$3:$A$5001,_xlfn.MAXIFS(BD!$A$3:$A$5001,BD!$B$3:$B$5001,S$210,BD!$A$3:$A$5001,"&gt;="&amp;$C$7,BD!$A$3:$A$5001,"&lt;="&amp;$B223,BD!$Y$3:$Y$5001,"&lt;&gt;"))))</f>
        <v/>
      </c>
      <c r="T223" s="54" t="str">
        <f>IF(OR($B223="",$A223&gt;$B$9,T$210=""),"",IF(COUNTIFS(BD!$B$3:$B$5001,T$210,BD!$A$3:$A$5001,"&gt;="&amp;$C$7,BD!$A$3:$A$5001,"&lt;="&amp;$B223,BD!$Y$3:$Y$5001,"&lt;&gt;")=0,"",SUMIFS(BD!$Y$3:$Y$5001,BD!$B$3:$B$5001,T$210,BD!$A$3:$A$5001,_xlfn.MAXIFS(BD!$A$3:$A$5001,BD!$B$3:$B$5001,T$210,BD!$A$3:$A$5001,"&gt;="&amp;$C$7,BD!$A$3:$A$5001,"&lt;="&amp;$B223,BD!$Y$3:$Y$5001,"&lt;&gt;"))))</f>
        <v/>
      </c>
      <c r="U223" s="54" t="str">
        <f>IF(OR($B223="",$A223&gt;$B$9,U$210=""),"",IF(COUNTIFS(BD!$B$3:$B$5001,U$210,BD!$A$3:$A$5001,"&gt;="&amp;$C$7,BD!$A$3:$A$5001,"&lt;="&amp;$B223,BD!$Y$3:$Y$5001,"&lt;&gt;")=0,"",SUMIFS(BD!$Y$3:$Y$5001,BD!$B$3:$B$5001,U$210,BD!$A$3:$A$5001,_xlfn.MAXIFS(BD!$A$3:$A$5001,BD!$B$3:$B$5001,U$210,BD!$A$3:$A$5001,"&gt;="&amp;$C$7,BD!$A$3:$A$5001,"&lt;="&amp;$B223,BD!$Y$3:$Y$5001,"&lt;&gt;"))))</f>
        <v/>
      </c>
      <c r="V223" s="54" t="str">
        <f>IF(OR($B223="",$A223&gt;$B$9,V$210=""),"",IF(COUNTIFS(BD!$B$3:$B$5001,V$210,BD!$A$3:$A$5001,"&gt;="&amp;$C$7,BD!$A$3:$A$5001,"&lt;="&amp;$B223,BD!$Y$3:$Y$5001,"&lt;&gt;")=0,"",SUMIFS(BD!$Y$3:$Y$5001,BD!$B$3:$B$5001,V$210,BD!$A$3:$A$5001,_xlfn.MAXIFS(BD!$A$3:$A$5001,BD!$B$3:$B$5001,V$210,BD!$A$3:$A$5001,"&gt;="&amp;$C$7,BD!$A$3:$A$5001,"&lt;="&amp;$B223,BD!$Y$3:$Y$5001,"&lt;&gt;"))))</f>
        <v/>
      </c>
    </row>
    <row r="224">
      <c r="A224" s="48">
        <v>14</v>
      </c>
      <c r="B224" s="53">
        <f>$B$25</f>
        <v>46309</v>
      </c>
      <c r="C224" s="54" t="str">
        <f>IF(OR($B224="",$A224&gt;$B$9,C$210=""),"",IF(COUNTIFS(BD!$B$3:$B$5001,C$210,BD!$A$3:$A$5001,"&gt;="&amp;$C$7,BD!$A$3:$A$5001,"&lt;="&amp;$B224,BD!$Y$3:$Y$5001,"&lt;&gt;")=0,"",SUMIFS(BD!$Y$3:$Y$5001,BD!$B$3:$B$5001,C$210,BD!$A$3:$A$5001,_xlfn.MAXIFS(BD!$A$3:$A$5001,BD!$B$3:$B$5001,C$210,BD!$A$3:$A$5001,"&gt;="&amp;$C$7,BD!$A$3:$A$5001,"&lt;="&amp;$B224,BD!$Y$3:$Y$5001,"&lt;&gt;"))))</f>
        <v/>
      </c>
      <c r="D224" s="54" t="str">
        <f>IF(OR($B224="",$A224&gt;$B$9,D$210=""),"",IF(COUNTIFS(BD!$B$3:$B$5001,D$210,BD!$A$3:$A$5001,"&gt;="&amp;$C$7,BD!$A$3:$A$5001,"&lt;="&amp;$B224,BD!$Y$3:$Y$5001,"&lt;&gt;")=0,"",SUMIFS(BD!$Y$3:$Y$5001,BD!$B$3:$B$5001,D$210,BD!$A$3:$A$5001,_xlfn.MAXIFS(BD!$A$3:$A$5001,BD!$B$3:$B$5001,D$210,BD!$A$3:$A$5001,"&gt;="&amp;$C$7,BD!$A$3:$A$5001,"&lt;="&amp;$B224,BD!$Y$3:$Y$5001,"&lt;&gt;"))))</f>
        <v/>
      </c>
      <c r="E224" s="54" t="str">
        <f>IF(OR($B224="",$A224&gt;$B$9,E$210=""),"",IF(COUNTIFS(BD!$B$3:$B$5001,E$210,BD!$A$3:$A$5001,"&gt;="&amp;$C$7,BD!$A$3:$A$5001,"&lt;="&amp;$B224,BD!$Y$3:$Y$5001,"&lt;&gt;")=0,"",SUMIFS(BD!$Y$3:$Y$5001,BD!$B$3:$B$5001,E$210,BD!$A$3:$A$5001,_xlfn.MAXIFS(BD!$A$3:$A$5001,BD!$B$3:$B$5001,E$210,BD!$A$3:$A$5001,"&gt;="&amp;$C$7,BD!$A$3:$A$5001,"&lt;="&amp;$B224,BD!$Y$3:$Y$5001,"&lt;&gt;"))))</f>
        <v/>
      </c>
      <c r="F224" s="54" t="str">
        <f>IF(OR($B224="",$A224&gt;$B$9,F$210=""),"",IF(COUNTIFS(BD!$B$3:$B$5001,F$210,BD!$A$3:$A$5001,"&gt;="&amp;$C$7,BD!$A$3:$A$5001,"&lt;="&amp;$B224,BD!$Y$3:$Y$5001,"&lt;&gt;")=0,"",SUMIFS(BD!$Y$3:$Y$5001,BD!$B$3:$B$5001,F$210,BD!$A$3:$A$5001,_xlfn.MAXIFS(BD!$A$3:$A$5001,BD!$B$3:$B$5001,F$210,BD!$A$3:$A$5001,"&gt;="&amp;$C$7,BD!$A$3:$A$5001,"&lt;="&amp;$B224,BD!$Y$3:$Y$5001,"&lt;&gt;"))))</f>
        <v/>
      </c>
      <c r="G224" s="54" t="str">
        <f>IF(OR($B224="",$A224&gt;$B$9,G$210=""),"",IF(COUNTIFS(BD!$B$3:$B$5001,G$210,BD!$A$3:$A$5001,"&gt;="&amp;$C$7,BD!$A$3:$A$5001,"&lt;="&amp;$B224,BD!$Y$3:$Y$5001,"&lt;&gt;")=0,"",SUMIFS(BD!$Y$3:$Y$5001,BD!$B$3:$B$5001,G$210,BD!$A$3:$A$5001,_xlfn.MAXIFS(BD!$A$3:$A$5001,BD!$B$3:$B$5001,G$210,BD!$A$3:$A$5001,"&gt;="&amp;$C$7,BD!$A$3:$A$5001,"&lt;="&amp;$B224,BD!$Y$3:$Y$5001,"&lt;&gt;"))))</f>
        <v/>
      </c>
      <c r="H224" s="54" t="str">
        <f>IF(OR($B224="",$A224&gt;$B$9,H$210=""),"",IF(COUNTIFS(BD!$B$3:$B$5001,H$210,BD!$A$3:$A$5001,"&gt;="&amp;$C$7,BD!$A$3:$A$5001,"&lt;="&amp;$B224,BD!$Y$3:$Y$5001,"&lt;&gt;")=0,"",SUMIFS(BD!$Y$3:$Y$5001,BD!$B$3:$B$5001,H$210,BD!$A$3:$A$5001,_xlfn.MAXIFS(BD!$A$3:$A$5001,BD!$B$3:$B$5001,H$210,BD!$A$3:$A$5001,"&gt;="&amp;$C$7,BD!$A$3:$A$5001,"&lt;="&amp;$B224,BD!$Y$3:$Y$5001,"&lt;&gt;"))))</f>
        <v/>
      </c>
      <c r="I224" s="54" t="str">
        <f>IF(OR($B224="",$A224&gt;$B$9,I$210=""),"",IF(COUNTIFS(BD!$B$3:$B$5001,I$210,BD!$A$3:$A$5001,"&gt;="&amp;$C$7,BD!$A$3:$A$5001,"&lt;="&amp;$B224,BD!$Y$3:$Y$5001,"&lt;&gt;")=0,"",SUMIFS(BD!$Y$3:$Y$5001,BD!$B$3:$B$5001,I$210,BD!$A$3:$A$5001,_xlfn.MAXIFS(BD!$A$3:$A$5001,BD!$B$3:$B$5001,I$210,BD!$A$3:$A$5001,"&gt;="&amp;$C$7,BD!$A$3:$A$5001,"&lt;="&amp;$B224,BD!$Y$3:$Y$5001,"&lt;&gt;"))))</f>
        <v/>
      </c>
      <c r="J224" s="54" t="str">
        <f>IF(OR($B224="",$A224&gt;$B$9,J$210=""),"",IF(COUNTIFS(BD!$B$3:$B$5001,J$210,BD!$A$3:$A$5001,"&gt;="&amp;$C$7,BD!$A$3:$A$5001,"&lt;="&amp;$B224,BD!$Y$3:$Y$5001,"&lt;&gt;")=0,"",SUMIFS(BD!$Y$3:$Y$5001,BD!$B$3:$B$5001,J$210,BD!$A$3:$A$5001,_xlfn.MAXIFS(BD!$A$3:$A$5001,BD!$B$3:$B$5001,J$210,BD!$A$3:$A$5001,"&gt;="&amp;$C$7,BD!$A$3:$A$5001,"&lt;="&amp;$B224,BD!$Y$3:$Y$5001,"&lt;&gt;"))))</f>
        <v/>
      </c>
      <c r="K224" s="54" t="str">
        <f>IF(OR($B224="",$A224&gt;$B$9,K$210=""),"",IF(COUNTIFS(BD!$B$3:$B$5001,K$210,BD!$A$3:$A$5001,"&gt;="&amp;$C$7,BD!$A$3:$A$5001,"&lt;="&amp;$B224,BD!$Y$3:$Y$5001,"&lt;&gt;")=0,"",SUMIFS(BD!$Y$3:$Y$5001,BD!$B$3:$B$5001,K$210,BD!$A$3:$A$5001,_xlfn.MAXIFS(BD!$A$3:$A$5001,BD!$B$3:$B$5001,K$210,BD!$A$3:$A$5001,"&gt;="&amp;$C$7,BD!$A$3:$A$5001,"&lt;="&amp;$B224,BD!$Y$3:$Y$5001,"&lt;&gt;"))))</f>
        <v/>
      </c>
      <c r="L224" s="54" t="str">
        <f>IF(OR($B224="",$A224&gt;$B$9,L$210=""),"",IF(COUNTIFS(BD!$B$3:$B$5001,L$210,BD!$A$3:$A$5001,"&gt;="&amp;$C$7,BD!$A$3:$A$5001,"&lt;="&amp;$B224,BD!$Y$3:$Y$5001,"&lt;&gt;")=0,"",SUMIFS(BD!$Y$3:$Y$5001,BD!$B$3:$B$5001,L$210,BD!$A$3:$A$5001,_xlfn.MAXIFS(BD!$A$3:$A$5001,BD!$B$3:$B$5001,L$210,BD!$A$3:$A$5001,"&gt;="&amp;$C$7,BD!$A$3:$A$5001,"&lt;="&amp;$B224,BD!$Y$3:$Y$5001,"&lt;&gt;"))))</f>
        <v/>
      </c>
      <c r="M224" s="54" t="str">
        <f>IF(OR($B224="",$A224&gt;$B$9,M$210=""),"",IF(COUNTIFS(BD!$B$3:$B$5001,M$210,BD!$A$3:$A$5001,"&gt;="&amp;$C$7,BD!$A$3:$A$5001,"&lt;="&amp;$B224,BD!$Y$3:$Y$5001,"&lt;&gt;")=0,"",SUMIFS(BD!$Y$3:$Y$5001,BD!$B$3:$B$5001,M$210,BD!$A$3:$A$5001,_xlfn.MAXIFS(BD!$A$3:$A$5001,BD!$B$3:$B$5001,M$210,BD!$A$3:$A$5001,"&gt;="&amp;$C$7,BD!$A$3:$A$5001,"&lt;="&amp;$B224,BD!$Y$3:$Y$5001,"&lt;&gt;"))))</f>
        <v/>
      </c>
      <c r="N224" s="54" t="str">
        <f>IF(OR($B224="",$A224&gt;$B$9,N$210=""),"",IF(COUNTIFS(BD!$B$3:$B$5001,N$210,BD!$A$3:$A$5001,"&gt;="&amp;$C$7,BD!$A$3:$A$5001,"&lt;="&amp;$B224,BD!$Y$3:$Y$5001,"&lt;&gt;")=0,"",SUMIFS(BD!$Y$3:$Y$5001,BD!$B$3:$B$5001,N$210,BD!$A$3:$A$5001,_xlfn.MAXIFS(BD!$A$3:$A$5001,BD!$B$3:$B$5001,N$210,BD!$A$3:$A$5001,"&gt;="&amp;$C$7,BD!$A$3:$A$5001,"&lt;="&amp;$B224,BD!$Y$3:$Y$5001,"&lt;&gt;"))))</f>
        <v/>
      </c>
      <c r="O224" s="54" t="str">
        <f>IF(OR($B224="",$A224&gt;$B$9,O$210=""),"",IF(COUNTIFS(BD!$B$3:$B$5001,O$210,BD!$A$3:$A$5001,"&gt;="&amp;$C$7,BD!$A$3:$A$5001,"&lt;="&amp;$B224,BD!$Y$3:$Y$5001,"&lt;&gt;")=0,"",SUMIFS(BD!$Y$3:$Y$5001,BD!$B$3:$B$5001,O$210,BD!$A$3:$A$5001,_xlfn.MAXIFS(BD!$A$3:$A$5001,BD!$B$3:$B$5001,O$210,BD!$A$3:$A$5001,"&gt;="&amp;$C$7,BD!$A$3:$A$5001,"&lt;="&amp;$B224,BD!$Y$3:$Y$5001,"&lt;&gt;"))))</f>
        <v/>
      </c>
      <c r="P224" s="54" t="str">
        <f>IF(OR($B224="",$A224&gt;$B$9,P$210=""),"",IF(COUNTIFS(BD!$B$3:$B$5001,P$210,BD!$A$3:$A$5001,"&gt;="&amp;$C$7,BD!$A$3:$A$5001,"&lt;="&amp;$B224,BD!$Y$3:$Y$5001,"&lt;&gt;")=0,"",SUMIFS(BD!$Y$3:$Y$5001,BD!$B$3:$B$5001,P$210,BD!$A$3:$A$5001,_xlfn.MAXIFS(BD!$A$3:$A$5001,BD!$B$3:$B$5001,P$210,BD!$A$3:$A$5001,"&gt;="&amp;$C$7,BD!$A$3:$A$5001,"&lt;="&amp;$B224,BD!$Y$3:$Y$5001,"&lt;&gt;"))))</f>
        <v/>
      </c>
      <c r="Q224" s="54" t="str">
        <f>IF(OR($B224="",$A224&gt;$B$9,Q$210=""),"",IF(COUNTIFS(BD!$B$3:$B$5001,Q$210,BD!$A$3:$A$5001,"&gt;="&amp;$C$7,BD!$A$3:$A$5001,"&lt;="&amp;$B224,BD!$Y$3:$Y$5001,"&lt;&gt;")=0,"",SUMIFS(BD!$Y$3:$Y$5001,BD!$B$3:$B$5001,Q$210,BD!$A$3:$A$5001,_xlfn.MAXIFS(BD!$A$3:$A$5001,BD!$B$3:$B$5001,Q$210,BD!$A$3:$A$5001,"&gt;="&amp;$C$7,BD!$A$3:$A$5001,"&lt;="&amp;$B224,BD!$Y$3:$Y$5001,"&lt;&gt;"))))</f>
        <v/>
      </c>
      <c r="R224" s="54" t="str">
        <f>IF(OR($B224="",$A224&gt;$B$9,R$210=""),"",IF(COUNTIFS(BD!$B$3:$B$5001,R$210,BD!$A$3:$A$5001,"&gt;="&amp;$C$7,BD!$A$3:$A$5001,"&lt;="&amp;$B224,BD!$Y$3:$Y$5001,"&lt;&gt;")=0,"",SUMIFS(BD!$Y$3:$Y$5001,BD!$B$3:$B$5001,R$210,BD!$A$3:$A$5001,_xlfn.MAXIFS(BD!$A$3:$A$5001,BD!$B$3:$B$5001,R$210,BD!$A$3:$A$5001,"&gt;="&amp;$C$7,BD!$A$3:$A$5001,"&lt;="&amp;$B224,BD!$Y$3:$Y$5001,"&lt;&gt;"))))</f>
        <v/>
      </c>
      <c r="S224" s="54" t="str">
        <f>IF(OR($B224="",$A224&gt;$B$9,S$210=""),"",IF(COUNTIFS(BD!$B$3:$B$5001,S$210,BD!$A$3:$A$5001,"&gt;="&amp;$C$7,BD!$A$3:$A$5001,"&lt;="&amp;$B224,BD!$Y$3:$Y$5001,"&lt;&gt;")=0,"",SUMIFS(BD!$Y$3:$Y$5001,BD!$B$3:$B$5001,S$210,BD!$A$3:$A$5001,_xlfn.MAXIFS(BD!$A$3:$A$5001,BD!$B$3:$B$5001,S$210,BD!$A$3:$A$5001,"&gt;="&amp;$C$7,BD!$A$3:$A$5001,"&lt;="&amp;$B224,BD!$Y$3:$Y$5001,"&lt;&gt;"))))</f>
        <v/>
      </c>
      <c r="T224" s="54" t="str">
        <f>IF(OR($B224="",$A224&gt;$B$9,T$210=""),"",IF(COUNTIFS(BD!$B$3:$B$5001,T$210,BD!$A$3:$A$5001,"&gt;="&amp;$C$7,BD!$A$3:$A$5001,"&lt;="&amp;$B224,BD!$Y$3:$Y$5001,"&lt;&gt;")=0,"",SUMIFS(BD!$Y$3:$Y$5001,BD!$B$3:$B$5001,T$210,BD!$A$3:$A$5001,_xlfn.MAXIFS(BD!$A$3:$A$5001,BD!$B$3:$B$5001,T$210,BD!$A$3:$A$5001,"&gt;="&amp;$C$7,BD!$A$3:$A$5001,"&lt;="&amp;$B224,BD!$Y$3:$Y$5001,"&lt;&gt;"))))</f>
        <v/>
      </c>
      <c r="U224" s="54" t="str">
        <f>IF(OR($B224="",$A224&gt;$B$9,U$210=""),"",IF(COUNTIFS(BD!$B$3:$B$5001,U$210,BD!$A$3:$A$5001,"&gt;="&amp;$C$7,BD!$A$3:$A$5001,"&lt;="&amp;$B224,BD!$Y$3:$Y$5001,"&lt;&gt;")=0,"",SUMIFS(BD!$Y$3:$Y$5001,BD!$B$3:$B$5001,U$210,BD!$A$3:$A$5001,_xlfn.MAXIFS(BD!$A$3:$A$5001,BD!$B$3:$B$5001,U$210,BD!$A$3:$A$5001,"&gt;="&amp;$C$7,BD!$A$3:$A$5001,"&lt;="&amp;$B224,BD!$Y$3:$Y$5001,"&lt;&gt;"))))</f>
        <v/>
      </c>
      <c r="V224" s="54" t="str">
        <f>IF(OR($B224="",$A224&gt;$B$9,V$210=""),"",IF(COUNTIFS(BD!$B$3:$B$5001,V$210,BD!$A$3:$A$5001,"&gt;="&amp;$C$7,BD!$A$3:$A$5001,"&lt;="&amp;$B224,BD!$Y$3:$Y$5001,"&lt;&gt;")=0,"",SUMIFS(BD!$Y$3:$Y$5001,BD!$B$3:$B$5001,V$210,BD!$A$3:$A$5001,_xlfn.MAXIFS(BD!$A$3:$A$5001,BD!$B$3:$B$5001,V$210,BD!$A$3:$A$5001,"&gt;="&amp;$C$7,BD!$A$3:$A$5001,"&lt;="&amp;$B224,BD!$Y$3:$Y$5001,"&lt;&gt;"))))</f>
        <v/>
      </c>
    </row>
    <row r="225">
      <c r="A225" s="48">
        <v>15</v>
      </c>
      <c r="B225" s="53">
        <f>$B$26</f>
        <v>46310</v>
      </c>
      <c r="C225" s="54" t="str">
        <f>IF(OR($B225="",$A225&gt;$B$9,C$210=""),"",IF(COUNTIFS(BD!$B$3:$B$5001,C$210,BD!$A$3:$A$5001,"&gt;="&amp;$C$7,BD!$A$3:$A$5001,"&lt;="&amp;$B225,BD!$Y$3:$Y$5001,"&lt;&gt;")=0,"",SUMIFS(BD!$Y$3:$Y$5001,BD!$B$3:$B$5001,C$210,BD!$A$3:$A$5001,_xlfn.MAXIFS(BD!$A$3:$A$5001,BD!$B$3:$B$5001,C$210,BD!$A$3:$A$5001,"&gt;="&amp;$C$7,BD!$A$3:$A$5001,"&lt;="&amp;$B225,BD!$Y$3:$Y$5001,"&lt;&gt;"))))</f>
        <v/>
      </c>
      <c r="D225" s="54" t="str">
        <f>IF(OR($B225="",$A225&gt;$B$9,D$210=""),"",IF(COUNTIFS(BD!$B$3:$B$5001,D$210,BD!$A$3:$A$5001,"&gt;="&amp;$C$7,BD!$A$3:$A$5001,"&lt;="&amp;$B225,BD!$Y$3:$Y$5001,"&lt;&gt;")=0,"",SUMIFS(BD!$Y$3:$Y$5001,BD!$B$3:$B$5001,D$210,BD!$A$3:$A$5001,_xlfn.MAXIFS(BD!$A$3:$A$5001,BD!$B$3:$B$5001,D$210,BD!$A$3:$A$5001,"&gt;="&amp;$C$7,BD!$A$3:$A$5001,"&lt;="&amp;$B225,BD!$Y$3:$Y$5001,"&lt;&gt;"))))</f>
        <v/>
      </c>
      <c r="E225" s="54" t="str">
        <f>IF(OR($B225="",$A225&gt;$B$9,E$210=""),"",IF(COUNTIFS(BD!$B$3:$B$5001,E$210,BD!$A$3:$A$5001,"&gt;="&amp;$C$7,BD!$A$3:$A$5001,"&lt;="&amp;$B225,BD!$Y$3:$Y$5001,"&lt;&gt;")=0,"",SUMIFS(BD!$Y$3:$Y$5001,BD!$B$3:$B$5001,E$210,BD!$A$3:$A$5001,_xlfn.MAXIFS(BD!$A$3:$A$5001,BD!$B$3:$B$5001,E$210,BD!$A$3:$A$5001,"&gt;="&amp;$C$7,BD!$A$3:$A$5001,"&lt;="&amp;$B225,BD!$Y$3:$Y$5001,"&lt;&gt;"))))</f>
        <v/>
      </c>
      <c r="F225" s="54" t="str">
        <f>IF(OR($B225="",$A225&gt;$B$9,F$210=""),"",IF(COUNTIFS(BD!$B$3:$B$5001,F$210,BD!$A$3:$A$5001,"&gt;="&amp;$C$7,BD!$A$3:$A$5001,"&lt;="&amp;$B225,BD!$Y$3:$Y$5001,"&lt;&gt;")=0,"",SUMIFS(BD!$Y$3:$Y$5001,BD!$B$3:$B$5001,F$210,BD!$A$3:$A$5001,_xlfn.MAXIFS(BD!$A$3:$A$5001,BD!$B$3:$B$5001,F$210,BD!$A$3:$A$5001,"&gt;="&amp;$C$7,BD!$A$3:$A$5001,"&lt;="&amp;$B225,BD!$Y$3:$Y$5001,"&lt;&gt;"))))</f>
        <v/>
      </c>
      <c r="G225" s="54" t="str">
        <f>IF(OR($B225="",$A225&gt;$B$9,G$210=""),"",IF(COUNTIFS(BD!$B$3:$B$5001,G$210,BD!$A$3:$A$5001,"&gt;="&amp;$C$7,BD!$A$3:$A$5001,"&lt;="&amp;$B225,BD!$Y$3:$Y$5001,"&lt;&gt;")=0,"",SUMIFS(BD!$Y$3:$Y$5001,BD!$B$3:$B$5001,G$210,BD!$A$3:$A$5001,_xlfn.MAXIFS(BD!$A$3:$A$5001,BD!$B$3:$B$5001,G$210,BD!$A$3:$A$5001,"&gt;="&amp;$C$7,BD!$A$3:$A$5001,"&lt;="&amp;$B225,BD!$Y$3:$Y$5001,"&lt;&gt;"))))</f>
        <v/>
      </c>
      <c r="H225" s="54" t="str">
        <f>IF(OR($B225="",$A225&gt;$B$9,H$210=""),"",IF(COUNTIFS(BD!$B$3:$B$5001,H$210,BD!$A$3:$A$5001,"&gt;="&amp;$C$7,BD!$A$3:$A$5001,"&lt;="&amp;$B225,BD!$Y$3:$Y$5001,"&lt;&gt;")=0,"",SUMIFS(BD!$Y$3:$Y$5001,BD!$B$3:$B$5001,H$210,BD!$A$3:$A$5001,_xlfn.MAXIFS(BD!$A$3:$A$5001,BD!$B$3:$B$5001,H$210,BD!$A$3:$A$5001,"&gt;="&amp;$C$7,BD!$A$3:$A$5001,"&lt;="&amp;$B225,BD!$Y$3:$Y$5001,"&lt;&gt;"))))</f>
        <v/>
      </c>
      <c r="I225" s="54" t="str">
        <f>IF(OR($B225="",$A225&gt;$B$9,I$210=""),"",IF(COUNTIFS(BD!$B$3:$B$5001,I$210,BD!$A$3:$A$5001,"&gt;="&amp;$C$7,BD!$A$3:$A$5001,"&lt;="&amp;$B225,BD!$Y$3:$Y$5001,"&lt;&gt;")=0,"",SUMIFS(BD!$Y$3:$Y$5001,BD!$B$3:$B$5001,I$210,BD!$A$3:$A$5001,_xlfn.MAXIFS(BD!$A$3:$A$5001,BD!$B$3:$B$5001,I$210,BD!$A$3:$A$5001,"&gt;="&amp;$C$7,BD!$A$3:$A$5001,"&lt;="&amp;$B225,BD!$Y$3:$Y$5001,"&lt;&gt;"))))</f>
        <v/>
      </c>
      <c r="J225" s="54" t="str">
        <f>IF(OR($B225="",$A225&gt;$B$9,J$210=""),"",IF(COUNTIFS(BD!$B$3:$B$5001,J$210,BD!$A$3:$A$5001,"&gt;="&amp;$C$7,BD!$A$3:$A$5001,"&lt;="&amp;$B225,BD!$Y$3:$Y$5001,"&lt;&gt;")=0,"",SUMIFS(BD!$Y$3:$Y$5001,BD!$B$3:$B$5001,J$210,BD!$A$3:$A$5001,_xlfn.MAXIFS(BD!$A$3:$A$5001,BD!$B$3:$B$5001,J$210,BD!$A$3:$A$5001,"&gt;="&amp;$C$7,BD!$A$3:$A$5001,"&lt;="&amp;$B225,BD!$Y$3:$Y$5001,"&lt;&gt;"))))</f>
        <v/>
      </c>
      <c r="K225" s="54" t="str">
        <f>IF(OR($B225="",$A225&gt;$B$9,K$210=""),"",IF(COUNTIFS(BD!$B$3:$B$5001,K$210,BD!$A$3:$A$5001,"&gt;="&amp;$C$7,BD!$A$3:$A$5001,"&lt;="&amp;$B225,BD!$Y$3:$Y$5001,"&lt;&gt;")=0,"",SUMIFS(BD!$Y$3:$Y$5001,BD!$B$3:$B$5001,K$210,BD!$A$3:$A$5001,_xlfn.MAXIFS(BD!$A$3:$A$5001,BD!$B$3:$B$5001,K$210,BD!$A$3:$A$5001,"&gt;="&amp;$C$7,BD!$A$3:$A$5001,"&lt;="&amp;$B225,BD!$Y$3:$Y$5001,"&lt;&gt;"))))</f>
        <v/>
      </c>
      <c r="L225" s="54" t="str">
        <f>IF(OR($B225="",$A225&gt;$B$9,L$210=""),"",IF(COUNTIFS(BD!$B$3:$B$5001,L$210,BD!$A$3:$A$5001,"&gt;="&amp;$C$7,BD!$A$3:$A$5001,"&lt;="&amp;$B225,BD!$Y$3:$Y$5001,"&lt;&gt;")=0,"",SUMIFS(BD!$Y$3:$Y$5001,BD!$B$3:$B$5001,L$210,BD!$A$3:$A$5001,_xlfn.MAXIFS(BD!$A$3:$A$5001,BD!$B$3:$B$5001,L$210,BD!$A$3:$A$5001,"&gt;="&amp;$C$7,BD!$A$3:$A$5001,"&lt;="&amp;$B225,BD!$Y$3:$Y$5001,"&lt;&gt;"))))</f>
        <v/>
      </c>
      <c r="M225" s="54" t="str">
        <f>IF(OR($B225="",$A225&gt;$B$9,M$210=""),"",IF(COUNTIFS(BD!$B$3:$B$5001,M$210,BD!$A$3:$A$5001,"&gt;="&amp;$C$7,BD!$A$3:$A$5001,"&lt;="&amp;$B225,BD!$Y$3:$Y$5001,"&lt;&gt;")=0,"",SUMIFS(BD!$Y$3:$Y$5001,BD!$B$3:$B$5001,M$210,BD!$A$3:$A$5001,_xlfn.MAXIFS(BD!$A$3:$A$5001,BD!$B$3:$B$5001,M$210,BD!$A$3:$A$5001,"&gt;="&amp;$C$7,BD!$A$3:$A$5001,"&lt;="&amp;$B225,BD!$Y$3:$Y$5001,"&lt;&gt;"))))</f>
        <v/>
      </c>
      <c r="N225" s="54" t="str">
        <f>IF(OR($B225="",$A225&gt;$B$9,N$210=""),"",IF(COUNTIFS(BD!$B$3:$B$5001,N$210,BD!$A$3:$A$5001,"&gt;="&amp;$C$7,BD!$A$3:$A$5001,"&lt;="&amp;$B225,BD!$Y$3:$Y$5001,"&lt;&gt;")=0,"",SUMIFS(BD!$Y$3:$Y$5001,BD!$B$3:$B$5001,N$210,BD!$A$3:$A$5001,_xlfn.MAXIFS(BD!$A$3:$A$5001,BD!$B$3:$B$5001,N$210,BD!$A$3:$A$5001,"&gt;="&amp;$C$7,BD!$A$3:$A$5001,"&lt;="&amp;$B225,BD!$Y$3:$Y$5001,"&lt;&gt;"))))</f>
        <v/>
      </c>
      <c r="O225" s="54" t="str">
        <f>IF(OR($B225="",$A225&gt;$B$9,O$210=""),"",IF(COUNTIFS(BD!$B$3:$B$5001,O$210,BD!$A$3:$A$5001,"&gt;="&amp;$C$7,BD!$A$3:$A$5001,"&lt;="&amp;$B225,BD!$Y$3:$Y$5001,"&lt;&gt;")=0,"",SUMIFS(BD!$Y$3:$Y$5001,BD!$B$3:$B$5001,O$210,BD!$A$3:$A$5001,_xlfn.MAXIFS(BD!$A$3:$A$5001,BD!$B$3:$B$5001,O$210,BD!$A$3:$A$5001,"&gt;="&amp;$C$7,BD!$A$3:$A$5001,"&lt;="&amp;$B225,BD!$Y$3:$Y$5001,"&lt;&gt;"))))</f>
        <v/>
      </c>
      <c r="P225" s="54" t="str">
        <f>IF(OR($B225="",$A225&gt;$B$9,P$210=""),"",IF(COUNTIFS(BD!$B$3:$B$5001,P$210,BD!$A$3:$A$5001,"&gt;="&amp;$C$7,BD!$A$3:$A$5001,"&lt;="&amp;$B225,BD!$Y$3:$Y$5001,"&lt;&gt;")=0,"",SUMIFS(BD!$Y$3:$Y$5001,BD!$B$3:$B$5001,P$210,BD!$A$3:$A$5001,_xlfn.MAXIFS(BD!$A$3:$A$5001,BD!$B$3:$B$5001,P$210,BD!$A$3:$A$5001,"&gt;="&amp;$C$7,BD!$A$3:$A$5001,"&lt;="&amp;$B225,BD!$Y$3:$Y$5001,"&lt;&gt;"))))</f>
        <v/>
      </c>
      <c r="Q225" s="54" t="str">
        <f>IF(OR($B225="",$A225&gt;$B$9,Q$210=""),"",IF(COUNTIFS(BD!$B$3:$B$5001,Q$210,BD!$A$3:$A$5001,"&gt;="&amp;$C$7,BD!$A$3:$A$5001,"&lt;="&amp;$B225,BD!$Y$3:$Y$5001,"&lt;&gt;")=0,"",SUMIFS(BD!$Y$3:$Y$5001,BD!$B$3:$B$5001,Q$210,BD!$A$3:$A$5001,_xlfn.MAXIFS(BD!$A$3:$A$5001,BD!$B$3:$B$5001,Q$210,BD!$A$3:$A$5001,"&gt;="&amp;$C$7,BD!$A$3:$A$5001,"&lt;="&amp;$B225,BD!$Y$3:$Y$5001,"&lt;&gt;"))))</f>
        <v/>
      </c>
      <c r="R225" s="54" t="str">
        <f>IF(OR($B225="",$A225&gt;$B$9,R$210=""),"",IF(COUNTIFS(BD!$B$3:$B$5001,R$210,BD!$A$3:$A$5001,"&gt;="&amp;$C$7,BD!$A$3:$A$5001,"&lt;="&amp;$B225,BD!$Y$3:$Y$5001,"&lt;&gt;")=0,"",SUMIFS(BD!$Y$3:$Y$5001,BD!$B$3:$B$5001,R$210,BD!$A$3:$A$5001,_xlfn.MAXIFS(BD!$A$3:$A$5001,BD!$B$3:$B$5001,R$210,BD!$A$3:$A$5001,"&gt;="&amp;$C$7,BD!$A$3:$A$5001,"&lt;="&amp;$B225,BD!$Y$3:$Y$5001,"&lt;&gt;"))))</f>
        <v/>
      </c>
      <c r="S225" s="54" t="str">
        <f>IF(OR($B225="",$A225&gt;$B$9,S$210=""),"",IF(COUNTIFS(BD!$B$3:$B$5001,S$210,BD!$A$3:$A$5001,"&gt;="&amp;$C$7,BD!$A$3:$A$5001,"&lt;="&amp;$B225,BD!$Y$3:$Y$5001,"&lt;&gt;")=0,"",SUMIFS(BD!$Y$3:$Y$5001,BD!$B$3:$B$5001,S$210,BD!$A$3:$A$5001,_xlfn.MAXIFS(BD!$A$3:$A$5001,BD!$B$3:$B$5001,S$210,BD!$A$3:$A$5001,"&gt;="&amp;$C$7,BD!$A$3:$A$5001,"&lt;="&amp;$B225,BD!$Y$3:$Y$5001,"&lt;&gt;"))))</f>
        <v/>
      </c>
      <c r="T225" s="54" t="str">
        <f>IF(OR($B225="",$A225&gt;$B$9,T$210=""),"",IF(COUNTIFS(BD!$B$3:$B$5001,T$210,BD!$A$3:$A$5001,"&gt;="&amp;$C$7,BD!$A$3:$A$5001,"&lt;="&amp;$B225,BD!$Y$3:$Y$5001,"&lt;&gt;")=0,"",SUMIFS(BD!$Y$3:$Y$5001,BD!$B$3:$B$5001,T$210,BD!$A$3:$A$5001,_xlfn.MAXIFS(BD!$A$3:$A$5001,BD!$B$3:$B$5001,T$210,BD!$A$3:$A$5001,"&gt;="&amp;$C$7,BD!$A$3:$A$5001,"&lt;="&amp;$B225,BD!$Y$3:$Y$5001,"&lt;&gt;"))))</f>
        <v/>
      </c>
      <c r="U225" s="54" t="str">
        <f>IF(OR($B225="",$A225&gt;$B$9,U$210=""),"",IF(COUNTIFS(BD!$B$3:$B$5001,U$210,BD!$A$3:$A$5001,"&gt;="&amp;$C$7,BD!$A$3:$A$5001,"&lt;="&amp;$B225,BD!$Y$3:$Y$5001,"&lt;&gt;")=0,"",SUMIFS(BD!$Y$3:$Y$5001,BD!$B$3:$B$5001,U$210,BD!$A$3:$A$5001,_xlfn.MAXIFS(BD!$A$3:$A$5001,BD!$B$3:$B$5001,U$210,BD!$A$3:$A$5001,"&gt;="&amp;$C$7,BD!$A$3:$A$5001,"&lt;="&amp;$B225,BD!$Y$3:$Y$5001,"&lt;&gt;"))))</f>
        <v/>
      </c>
      <c r="V225" s="54" t="str">
        <f>IF(OR($B225="",$A225&gt;$B$9,V$210=""),"",IF(COUNTIFS(BD!$B$3:$B$5001,V$210,BD!$A$3:$A$5001,"&gt;="&amp;$C$7,BD!$A$3:$A$5001,"&lt;="&amp;$B225,BD!$Y$3:$Y$5001,"&lt;&gt;")=0,"",SUMIFS(BD!$Y$3:$Y$5001,BD!$B$3:$B$5001,V$210,BD!$A$3:$A$5001,_xlfn.MAXIFS(BD!$A$3:$A$5001,BD!$B$3:$B$5001,V$210,BD!$A$3:$A$5001,"&gt;="&amp;$C$7,BD!$A$3:$A$5001,"&lt;="&amp;$B225,BD!$Y$3:$Y$5001,"&lt;&gt;"))))</f>
        <v/>
      </c>
    </row>
    <row r="226">
      <c r="A226" s="48">
        <v>16</v>
      </c>
      <c r="B226" s="53">
        <f>$B$27</f>
        <v>46311</v>
      </c>
      <c r="C226" s="54" t="str">
        <f>IF(OR($B226="",$A226&gt;$B$9,C$210=""),"",IF(COUNTIFS(BD!$B$3:$B$5001,C$210,BD!$A$3:$A$5001,"&gt;="&amp;$C$7,BD!$A$3:$A$5001,"&lt;="&amp;$B226,BD!$Y$3:$Y$5001,"&lt;&gt;")=0,"",SUMIFS(BD!$Y$3:$Y$5001,BD!$B$3:$B$5001,C$210,BD!$A$3:$A$5001,_xlfn.MAXIFS(BD!$A$3:$A$5001,BD!$B$3:$B$5001,C$210,BD!$A$3:$A$5001,"&gt;="&amp;$C$7,BD!$A$3:$A$5001,"&lt;="&amp;$B226,BD!$Y$3:$Y$5001,"&lt;&gt;"))))</f>
        <v/>
      </c>
      <c r="D226" s="54" t="str">
        <f>IF(OR($B226="",$A226&gt;$B$9,D$210=""),"",IF(COUNTIFS(BD!$B$3:$B$5001,D$210,BD!$A$3:$A$5001,"&gt;="&amp;$C$7,BD!$A$3:$A$5001,"&lt;="&amp;$B226,BD!$Y$3:$Y$5001,"&lt;&gt;")=0,"",SUMIFS(BD!$Y$3:$Y$5001,BD!$B$3:$B$5001,D$210,BD!$A$3:$A$5001,_xlfn.MAXIFS(BD!$A$3:$A$5001,BD!$B$3:$B$5001,D$210,BD!$A$3:$A$5001,"&gt;="&amp;$C$7,BD!$A$3:$A$5001,"&lt;="&amp;$B226,BD!$Y$3:$Y$5001,"&lt;&gt;"))))</f>
        <v/>
      </c>
      <c r="E226" s="54" t="str">
        <f>IF(OR($B226="",$A226&gt;$B$9,E$210=""),"",IF(COUNTIFS(BD!$B$3:$B$5001,E$210,BD!$A$3:$A$5001,"&gt;="&amp;$C$7,BD!$A$3:$A$5001,"&lt;="&amp;$B226,BD!$Y$3:$Y$5001,"&lt;&gt;")=0,"",SUMIFS(BD!$Y$3:$Y$5001,BD!$B$3:$B$5001,E$210,BD!$A$3:$A$5001,_xlfn.MAXIFS(BD!$A$3:$A$5001,BD!$B$3:$B$5001,E$210,BD!$A$3:$A$5001,"&gt;="&amp;$C$7,BD!$A$3:$A$5001,"&lt;="&amp;$B226,BD!$Y$3:$Y$5001,"&lt;&gt;"))))</f>
        <v/>
      </c>
      <c r="F226" s="54" t="str">
        <f>IF(OR($B226="",$A226&gt;$B$9,F$210=""),"",IF(COUNTIFS(BD!$B$3:$B$5001,F$210,BD!$A$3:$A$5001,"&gt;="&amp;$C$7,BD!$A$3:$A$5001,"&lt;="&amp;$B226,BD!$Y$3:$Y$5001,"&lt;&gt;")=0,"",SUMIFS(BD!$Y$3:$Y$5001,BD!$B$3:$B$5001,F$210,BD!$A$3:$A$5001,_xlfn.MAXIFS(BD!$A$3:$A$5001,BD!$B$3:$B$5001,F$210,BD!$A$3:$A$5001,"&gt;="&amp;$C$7,BD!$A$3:$A$5001,"&lt;="&amp;$B226,BD!$Y$3:$Y$5001,"&lt;&gt;"))))</f>
        <v/>
      </c>
      <c r="G226" s="54" t="str">
        <f>IF(OR($B226="",$A226&gt;$B$9,G$210=""),"",IF(COUNTIFS(BD!$B$3:$B$5001,G$210,BD!$A$3:$A$5001,"&gt;="&amp;$C$7,BD!$A$3:$A$5001,"&lt;="&amp;$B226,BD!$Y$3:$Y$5001,"&lt;&gt;")=0,"",SUMIFS(BD!$Y$3:$Y$5001,BD!$B$3:$B$5001,G$210,BD!$A$3:$A$5001,_xlfn.MAXIFS(BD!$A$3:$A$5001,BD!$B$3:$B$5001,G$210,BD!$A$3:$A$5001,"&gt;="&amp;$C$7,BD!$A$3:$A$5001,"&lt;="&amp;$B226,BD!$Y$3:$Y$5001,"&lt;&gt;"))))</f>
        <v/>
      </c>
      <c r="H226" s="54" t="str">
        <f>IF(OR($B226="",$A226&gt;$B$9,H$210=""),"",IF(COUNTIFS(BD!$B$3:$B$5001,H$210,BD!$A$3:$A$5001,"&gt;="&amp;$C$7,BD!$A$3:$A$5001,"&lt;="&amp;$B226,BD!$Y$3:$Y$5001,"&lt;&gt;")=0,"",SUMIFS(BD!$Y$3:$Y$5001,BD!$B$3:$B$5001,H$210,BD!$A$3:$A$5001,_xlfn.MAXIFS(BD!$A$3:$A$5001,BD!$B$3:$B$5001,H$210,BD!$A$3:$A$5001,"&gt;="&amp;$C$7,BD!$A$3:$A$5001,"&lt;="&amp;$B226,BD!$Y$3:$Y$5001,"&lt;&gt;"))))</f>
        <v/>
      </c>
      <c r="I226" s="54" t="str">
        <f>IF(OR($B226="",$A226&gt;$B$9,I$210=""),"",IF(COUNTIFS(BD!$B$3:$B$5001,I$210,BD!$A$3:$A$5001,"&gt;="&amp;$C$7,BD!$A$3:$A$5001,"&lt;="&amp;$B226,BD!$Y$3:$Y$5001,"&lt;&gt;")=0,"",SUMIFS(BD!$Y$3:$Y$5001,BD!$B$3:$B$5001,I$210,BD!$A$3:$A$5001,_xlfn.MAXIFS(BD!$A$3:$A$5001,BD!$B$3:$B$5001,I$210,BD!$A$3:$A$5001,"&gt;="&amp;$C$7,BD!$A$3:$A$5001,"&lt;="&amp;$B226,BD!$Y$3:$Y$5001,"&lt;&gt;"))))</f>
        <v/>
      </c>
      <c r="J226" s="54" t="str">
        <f>IF(OR($B226="",$A226&gt;$B$9,J$210=""),"",IF(COUNTIFS(BD!$B$3:$B$5001,J$210,BD!$A$3:$A$5001,"&gt;="&amp;$C$7,BD!$A$3:$A$5001,"&lt;="&amp;$B226,BD!$Y$3:$Y$5001,"&lt;&gt;")=0,"",SUMIFS(BD!$Y$3:$Y$5001,BD!$B$3:$B$5001,J$210,BD!$A$3:$A$5001,_xlfn.MAXIFS(BD!$A$3:$A$5001,BD!$B$3:$B$5001,J$210,BD!$A$3:$A$5001,"&gt;="&amp;$C$7,BD!$A$3:$A$5001,"&lt;="&amp;$B226,BD!$Y$3:$Y$5001,"&lt;&gt;"))))</f>
        <v/>
      </c>
      <c r="K226" s="54" t="str">
        <f>IF(OR($B226="",$A226&gt;$B$9,K$210=""),"",IF(COUNTIFS(BD!$B$3:$B$5001,K$210,BD!$A$3:$A$5001,"&gt;="&amp;$C$7,BD!$A$3:$A$5001,"&lt;="&amp;$B226,BD!$Y$3:$Y$5001,"&lt;&gt;")=0,"",SUMIFS(BD!$Y$3:$Y$5001,BD!$B$3:$B$5001,K$210,BD!$A$3:$A$5001,_xlfn.MAXIFS(BD!$A$3:$A$5001,BD!$B$3:$B$5001,K$210,BD!$A$3:$A$5001,"&gt;="&amp;$C$7,BD!$A$3:$A$5001,"&lt;="&amp;$B226,BD!$Y$3:$Y$5001,"&lt;&gt;"))))</f>
        <v/>
      </c>
      <c r="L226" s="54" t="str">
        <f>IF(OR($B226="",$A226&gt;$B$9,L$210=""),"",IF(COUNTIFS(BD!$B$3:$B$5001,L$210,BD!$A$3:$A$5001,"&gt;="&amp;$C$7,BD!$A$3:$A$5001,"&lt;="&amp;$B226,BD!$Y$3:$Y$5001,"&lt;&gt;")=0,"",SUMIFS(BD!$Y$3:$Y$5001,BD!$B$3:$B$5001,L$210,BD!$A$3:$A$5001,_xlfn.MAXIFS(BD!$A$3:$A$5001,BD!$B$3:$B$5001,L$210,BD!$A$3:$A$5001,"&gt;="&amp;$C$7,BD!$A$3:$A$5001,"&lt;="&amp;$B226,BD!$Y$3:$Y$5001,"&lt;&gt;"))))</f>
        <v/>
      </c>
      <c r="M226" s="54" t="str">
        <f>IF(OR($B226="",$A226&gt;$B$9,M$210=""),"",IF(COUNTIFS(BD!$B$3:$B$5001,M$210,BD!$A$3:$A$5001,"&gt;="&amp;$C$7,BD!$A$3:$A$5001,"&lt;="&amp;$B226,BD!$Y$3:$Y$5001,"&lt;&gt;")=0,"",SUMIFS(BD!$Y$3:$Y$5001,BD!$B$3:$B$5001,M$210,BD!$A$3:$A$5001,_xlfn.MAXIFS(BD!$A$3:$A$5001,BD!$B$3:$B$5001,M$210,BD!$A$3:$A$5001,"&gt;="&amp;$C$7,BD!$A$3:$A$5001,"&lt;="&amp;$B226,BD!$Y$3:$Y$5001,"&lt;&gt;"))))</f>
        <v/>
      </c>
      <c r="N226" s="54" t="str">
        <f>IF(OR($B226="",$A226&gt;$B$9,N$210=""),"",IF(COUNTIFS(BD!$B$3:$B$5001,N$210,BD!$A$3:$A$5001,"&gt;="&amp;$C$7,BD!$A$3:$A$5001,"&lt;="&amp;$B226,BD!$Y$3:$Y$5001,"&lt;&gt;")=0,"",SUMIFS(BD!$Y$3:$Y$5001,BD!$B$3:$B$5001,N$210,BD!$A$3:$A$5001,_xlfn.MAXIFS(BD!$A$3:$A$5001,BD!$B$3:$B$5001,N$210,BD!$A$3:$A$5001,"&gt;="&amp;$C$7,BD!$A$3:$A$5001,"&lt;="&amp;$B226,BD!$Y$3:$Y$5001,"&lt;&gt;"))))</f>
        <v/>
      </c>
      <c r="O226" s="54" t="str">
        <f>IF(OR($B226="",$A226&gt;$B$9,O$210=""),"",IF(COUNTIFS(BD!$B$3:$B$5001,O$210,BD!$A$3:$A$5001,"&gt;="&amp;$C$7,BD!$A$3:$A$5001,"&lt;="&amp;$B226,BD!$Y$3:$Y$5001,"&lt;&gt;")=0,"",SUMIFS(BD!$Y$3:$Y$5001,BD!$B$3:$B$5001,O$210,BD!$A$3:$A$5001,_xlfn.MAXIFS(BD!$A$3:$A$5001,BD!$B$3:$B$5001,O$210,BD!$A$3:$A$5001,"&gt;="&amp;$C$7,BD!$A$3:$A$5001,"&lt;="&amp;$B226,BD!$Y$3:$Y$5001,"&lt;&gt;"))))</f>
        <v/>
      </c>
      <c r="P226" s="54" t="str">
        <f>IF(OR($B226="",$A226&gt;$B$9,P$210=""),"",IF(COUNTIFS(BD!$B$3:$B$5001,P$210,BD!$A$3:$A$5001,"&gt;="&amp;$C$7,BD!$A$3:$A$5001,"&lt;="&amp;$B226,BD!$Y$3:$Y$5001,"&lt;&gt;")=0,"",SUMIFS(BD!$Y$3:$Y$5001,BD!$B$3:$B$5001,P$210,BD!$A$3:$A$5001,_xlfn.MAXIFS(BD!$A$3:$A$5001,BD!$B$3:$B$5001,P$210,BD!$A$3:$A$5001,"&gt;="&amp;$C$7,BD!$A$3:$A$5001,"&lt;="&amp;$B226,BD!$Y$3:$Y$5001,"&lt;&gt;"))))</f>
        <v/>
      </c>
      <c r="Q226" s="54" t="str">
        <f>IF(OR($B226="",$A226&gt;$B$9,Q$210=""),"",IF(COUNTIFS(BD!$B$3:$B$5001,Q$210,BD!$A$3:$A$5001,"&gt;="&amp;$C$7,BD!$A$3:$A$5001,"&lt;="&amp;$B226,BD!$Y$3:$Y$5001,"&lt;&gt;")=0,"",SUMIFS(BD!$Y$3:$Y$5001,BD!$B$3:$B$5001,Q$210,BD!$A$3:$A$5001,_xlfn.MAXIFS(BD!$A$3:$A$5001,BD!$B$3:$B$5001,Q$210,BD!$A$3:$A$5001,"&gt;="&amp;$C$7,BD!$A$3:$A$5001,"&lt;="&amp;$B226,BD!$Y$3:$Y$5001,"&lt;&gt;"))))</f>
        <v/>
      </c>
      <c r="R226" s="54" t="str">
        <f>IF(OR($B226="",$A226&gt;$B$9,R$210=""),"",IF(COUNTIFS(BD!$B$3:$B$5001,R$210,BD!$A$3:$A$5001,"&gt;="&amp;$C$7,BD!$A$3:$A$5001,"&lt;="&amp;$B226,BD!$Y$3:$Y$5001,"&lt;&gt;")=0,"",SUMIFS(BD!$Y$3:$Y$5001,BD!$B$3:$B$5001,R$210,BD!$A$3:$A$5001,_xlfn.MAXIFS(BD!$A$3:$A$5001,BD!$B$3:$B$5001,R$210,BD!$A$3:$A$5001,"&gt;="&amp;$C$7,BD!$A$3:$A$5001,"&lt;="&amp;$B226,BD!$Y$3:$Y$5001,"&lt;&gt;"))))</f>
        <v/>
      </c>
      <c r="S226" s="54" t="str">
        <f>IF(OR($B226="",$A226&gt;$B$9,S$210=""),"",IF(COUNTIFS(BD!$B$3:$B$5001,S$210,BD!$A$3:$A$5001,"&gt;="&amp;$C$7,BD!$A$3:$A$5001,"&lt;="&amp;$B226,BD!$Y$3:$Y$5001,"&lt;&gt;")=0,"",SUMIFS(BD!$Y$3:$Y$5001,BD!$B$3:$B$5001,S$210,BD!$A$3:$A$5001,_xlfn.MAXIFS(BD!$A$3:$A$5001,BD!$B$3:$B$5001,S$210,BD!$A$3:$A$5001,"&gt;="&amp;$C$7,BD!$A$3:$A$5001,"&lt;="&amp;$B226,BD!$Y$3:$Y$5001,"&lt;&gt;"))))</f>
        <v/>
      </c>
      <c r="T226" s="54" t="str">
        <f>IF(OR($B226="",$A226&gt;$B$9,T$210=""),"",IF(COUNTIFS(BD!$B$3:$B$5001,T$210,BD!$A$3:$A$5001,"&gt;="&amp;$C$7,BD!$A$3:$A$5001,"&lt;="&amp;$B226,BD!$Y$3:$Y$5001,"&lt;&gt;")=0,"",SUMIFS(BD!$Y$3:$Y$5001,BD!$B$3:$B$5001,T$210,BD!$A$3:$A$5001,_xlfn.MAXIFS(BD!$A$3:$A$5001,BD!$B$3:$B$5001,T$210,BD!$A$3:$A$5001,"&gt;="&amp;$C$7,BD!$A$3:$A$5001,"&lt;="&amp;$B226,BD!$Y$3:$Y$5001,"&lt;&gt;"))))</f>
        <v/>
      </c>
      <c r="U226" s="54" t="str">
        <f>IF(OR($B226="",$A226&gt;$B$9,U$210=""),"",IF(COUNTIFS(BD!$B$3:$B$5001,U$210,BD!$A$3:$A$5001,"&gt;="&amp;$C$7,BD!$A$3:$A$5001,"&lt;="&amp;$B226,BD!$Y$3:$Y$5001,"&lt;&gt;")=0,"",SUMIFS(BD!$Y$3:$Y$5001,BD!$B$3:$B$5001,U$210,BD!$A$3:$A$5001,_xlfn.MAXIFS(BD!$A$3:$A$5001,BD!$B$3:$B$5001,U$210,BD!$A$3:$A$5001,"&gt;="&amp;$C$7,BD!$A$3:$A$5001,"&lt;="&amp;$B226,BD!$Y$3:$Y$5001,"&lt;&gt;"))))</f>
        <v/>
      </c>
      <c r="V226" s="54" t="str">
        <f>IF(OR($B226="",$A226&gt;$B$9,V$210=""),"",IF(COUNTIFS(BD!$B$3:$B$5001,V$210,BD!$A$3:$A$5001,"&gt;="&amp;$C$7,BD!$A$3:$A$5001,"&lt;="&amp;$B226,BD!$Y$3:$Y$5001,"&lt;&gt;")=0,"",SUMIFS(BD!$Y$3:$Y$5001,BD!$B$3:$B$5001,V$210,BD!$A$3:$A$5001,_xlfn.MAXIFS(BD!$A$3:$A$5001,BD!$B$3:$B$5001,V$210,BD!$A$3:$A$5001,"&gt;="&amp;$C$7,BD!$A$3:$A$5001,"&lt;="&amp;$B226,BD!$Y$3:$Y$5001,"&lt;&gt;"))))</f>
        <v/>
      </c>
    </row>
    <row r="227">
      <c r="A227" s="48">
        <v>17</v>
      </c>
      <c r="B227" s="53">
        <f>$B$28</f>
        <v>46312</v>
      </c>
      <c r="C227" s="54" t="str">
        <f>IF(OR($B227="",$A227&gt;$B$9,C$210=""),"",IF(COUNTIFS(BD!$B$3:$B$5001,C$210,BD!$A$3:$A$5001,"&gt;="&amp;$C$7,BD!$A$3:$A$5001,"&lt;="&amp;$B227,BD!$Y$3:$Y$5001,"&lt;&gt;")=0,"",SUMIFS(BD!$Y$3:$Y$5001,BD!$B$3:$B$5001,C$210,BD!$A$3:$A$5001,_xlfn.MAXIFS(BD!$A$3:$A$5001,BD!$B$3:$B$5001,C$210,BD!$A$3:$A$5001,"&gt;="&amp;$C$7,BD!$A$3:$A$5001,"&lt;="&amp;$B227,BD!$Y$3:$Y$5001,"&lt;&gt;"))))</f>
        <v/>
      </c>
      <c r="D227" s="54" t="str">
        <f>IF(OR($B227="",$A227&gt;$B$9,D$210=""),"",IF(COUNTIFS(BD!$B$3:$B$5001,D$210,BD!$A$3:$A$5001,"&gt;="&amp;$C$7,BD!$A$3:$A$5001,"&lt;="&amp;$B227,BD!$Y$3:$Y$5001,"&lt;&gt;")=0,"",SUMIFS(BD!$Y$3:$Y$5001,BD!$B$3:$B$5001,D$210,BD!$A$3:$A$5001,_xlfn.MAXIFS(BD!$A$3:$A$5001,BD!$B$3:$B$5001,D$210,BD!$A$3:$A$5001,"&gt;="&amp;$C$7,BD!$A$3:$A$5001,"&lt;="&amp;$B227,BD!$Y$3:$Y$5001,"&lt;&gt;"))))</f>
        <v/>
      </c>
      <c r="E227" s="54" t="str">
        <f>IF(OR($B227="",$A227&gt;$B$9,E$210=""),"",IF(COUNTIFS(BD!$B$3:$B$5001,E$210,BD!$A$3:$A$5001,"&gt;="&amp;$C$7,BD!$A$3:$A$5001,"&lt;="&amp;$B227,BD!$Y$3:$Y$5001,"&lt;&gt;")=0,"",SUMIFS(BD!$Y$3:$Y$5001,BD!$B$3:$B$5001,E$210,BD!$A$3:$A$5001,_xlfn.MAXIFS(BD!$A$3:$A$5001,BD!$B$3:$B$5001,E$210,BD!$A$3:$A$5001,"&gt;="&amp;$C$7,BD!$A$3:$A$5001,"&lt;="&amp;$B227,BD!$Y$3:$Y$5001,"&lt;&gt;"))))</f>
        <v/>
      </c>
      <c r="F227" s="54" t="str">
        <f>IF(OR($B227="",$A227&gt;$B$9,F$210=""),"",IF(COUNTIFS(BD!$B$3:$B$5001,F$210,BD!$A$3:$A$5001,"&gt;="&amp;$C$7,BD!$A$3:$A$5001,"&lt;="&amp;$B227,BD!$Y$3:$Y$5001,"&lt;&gt;")=0,"",SUMIFS(BD!$Y$3:$Y$5001,BD!$B$3:$B$5001,F$210,BD!$A$3:$A$5001,_xlfn.MAXIFS(BD!$A$3:$A$5001,BD!$B$3:$B$5001,F$210,BD!$A$3:$A$5001,"&gt;="&amp;$C$7,BD!$A$3:$A$5001,"&lt;="&amp;$B227,BD!$Y$3:$Y$5001,"&lt;&gt;"))))</f>
        <v/>
      </c>
      <c r="G227" s="54" t="str">
        <f>IF(OR($B227="",$A227&gt;$B$9,G$210=""),"",IF(COUNTIFS(BD!$B$3:$B$5001,G$210,BD!$A$3:$A$5001,"&gt;="&amp;$C$7,BD!$A$3:$A$5001,"&lt;="&amp;$B227,BD!$Y$3:$Y$5001,"&lt;&gt;")=0,"",SUMIFS(BD!$Y$3:$Y$5001,BD!$B$3:$B$5001,G$210,BD!$A$3:$A$5001,_xlfn.MAXIFS(BD!$A$3:$A$5001,BD!$B$3:$B$5001,G$210,BD!$A$3:$A$5001,"&gt;="&amp;$C$7,BD!$A$3:$A$5001,"&lt;="&amp;$B227,BD!$Y$3:$Y$5001,"&lt;&gt;"))))</f>
        <v/>
      </c>
      <c r="H227" s="54" t="str">
        <f>IF(OR($B227="",$A227&gt;$B$9,H$210=""),"",IF(COUNTIFS(BD!$B$3:$B$5001,H$210,BD!$A$3:$A$5001,"&gt;="&amp;$C$7,BD!$A$3:$A$5001,"&lt;="&amp;$B227,BD!$Y$3:$Y$5001,"&lt;&gt;")=0,"",SUMIFS(BD!$Y$3:$Y$5001,BD!$B$3:$B$5001,H$210,BD!$A$3:$A$5001,_xlfn.MAXIFS(BD!$A$3:$A$5001,BD!$B$3:$B$5001,H$210,BD!$A$3:$A$5001,"&gt;="&amp;$C$7,BD!$A$3:$A$5001,"&lt;="&amp;$B227,BD!$Y$3:$Y$5001,"&lt;&gt;"))))</f>
        <v/>
      </c>
      <c r="I227" s="54" t="str">
        <f>IF(OR($B227="",$A227&gt;$B$9,I$210=""),"",IF(COUNTIFS(BD!$B$3:$B$5001,I$210,BD!$A$3:$A$5001,"&gt;="&amp;$C$7,BD!$A$3:$A$5001,"&lt;="&amp;$B227,BD!$Y$3:$Y$5001,"&lt;&gt;")=0,"",SUMIFS(BD!$Y$3:$Y$5001,BD!$B$3:$B$5001,I$210,BD!$A$3:$A$5001,_xlfn.MAXIFS(BD!$A$3:$A$5001,BD!$B$3:$B$5001,I$210,BD!$A$3:$A$5001,"&gt;="&amp;$C$7,BD!$A$3:$A$5001,"&lt;="&amp;$B227,BD!$Y$3:$Y$5001,"&lt;&gt;"))))</f>
        <v/>
      </c>
      <c r="J227" s="54" t="str">
        <f>IF(OR($B227="",$A227&gt;$B$9,J$210=""),"",IF(COUNTIFS(BD!$B$3:$B$5001,J$210,BD!$A$3:$A$5001,"&gt;="&amp;$C$7,BD!$A$3:$A$5001,"&lt;="&amp;$B227,BD!$Y$3:$Y$5001,"&lt;&gt;")=0,"",SUMIFS(BD!$Y$3:$Y$5001,BD!$B$3:$B$5001,J$210,BD!$A$3:$A$5001,_xlfn.MAXIFS(BD!$A$3:$A$5001,BD!$B$3:$B$5001,J$210,BD!$A$3:$A$5001,"&gt;="&amp;$C$7,BD!$A$3:$A$5001,"&lt;="&amp;$B227,BD!$Y$3:$Y$5001,"&lt;&gt;"))))</f>
        <v/>
      </c>
      <c r="K227" s="54" t="str">
        <f>IF(OR($B227="",$A227&gt;$B$9,K$210=""),"",IF(COUNTIFS(BD!$B$3:$B$5001,K$210,BD!$A$3:$A$5001,"&gt;="&amp;$C$7,BD!$A$3:$A$5001,"&lt;="&amp;$B227,BD!$Y$3:$Y$5001,"&lt;&gt;")=0,"",SUMIFS(BD!$Y$3:$Y$5001,BD!$B$3:$B$5001,K$210,BD!$A$3:$A$5001,_xlfn.MAXIFS(BD!$A$3:$A$5001,BD!$B$3:$B$5001,K$210,BD!$A$3:$A$5001,"&gt;="&amp;$C$7,BD!$A$3:$A$5001,"&lt;="&amp;$B227,BD!$Y$3:$Y$5001,"&lt;&gt;"))))</f>
        <v/>
      </c>
      <c r="L227" s="54" t="str">
        <f>IF(OR($B227="",$A227&gt;$B$9,L$210=""),"",IF(COUNTIFS(BD!$B$3:$B$5001,L$210,BD!$A$3:$A$5001,"&gt;="&amp;$C$7,BD!$A$3:$A$5001,"&lt;="&amp;$B227,BD!$Y$3:$Y$5001,"&lt;&gt;")=0,"",SUMIFS(BD!$Y$3:$Y$5001,BD!$B$3:$B$5001,L$210,BD!$A$3:$A$5001,_xlfn.MAXIFS(BD!$A$3:$A$5001,BD!$B$3:$B$5001,L$210,BD!$A$3:$A$5001,"&gt;="&amp;$C$7,BD!$A$3:$A$5001,"&lt;="&amp;$B227,BD!$Y$3:$Y$5001,"&lt;&gt;"))))</f>
        <v/>
      </c>
      <c r="M227" s="54" t="str">
        <f>IF(OR($B227="",$A227&gt;$B$9,M$210=""),"",IF(COUNTIFS(BD!$B$3:$B$5001,M$210,BD!$A$3:$A$5001,"&gt;="&amp;$C$7,BD!$A$3:$A$5001,"&lt;="&amp;$B227,BD!$Y$3:$Y$5001,"&lt;&gt;")=0,"",SUMIFS(BD!$Y$3:$Y$5001,BD!$B$3:$B$5001,M$210,BD!$A$3:$A$5001,_xlfn.MAXIFS(BD!$A$3:$A$5001,BD!$B$3:$B$5001,M$210,BD!$A$3:$A$5001,"&gt;="&amp;$C$7,BD!$A$3:$A$5001,"&lt;="&amp;$B227,BD!$Y$3:$Y$5001,"&lt;&gt;"))))</f>
        <v/>
      </c>
      <c r="N227" s="54" t="str">
        <f>IF(OR($B227="",$A227&gt;$B$9,N$210=""),"",IF(COUNTIFS(BD!$B$3:$B$5001,N$210,BD!$A$3:$A$5001,"&gt;="&amp;$C$7,BD!$A$3:$A$5001,"&lt;="&amp;$B227,BD!$Y$3:$Y$5001,"&lt;&gt;")=0,"",SUMIFS(BD!$Y$3:$Y$5001,BD!$B$3:$B$5001,N$210,BD!$A$3:$A$5001,_xlfn.MAXIFS(BD!$A$3:$A$5001,BD!$B$3:$B$5001,N$210,BD!$A$3:$A$5001,"&gt;="&amp;$C$7,BD!$A$3:$A$5001,"&lt;="&amp;$B227,BD!$Y$3:$Y$5001,"&lt;&gt;"))))</f>
        <v/>
      </c>
      <c r="O227" s="54" t="str">
        <f>IF(OR($B227="",$A227&gt;$B$9,O$210=""),"",IF(COUNTIFS(BD!$B$3:$B$5001,O$210,BD!$A$3:$A$5001,"&gt;="&amp;$C$7,BD!$A$3:$A$5001,"&lt;="&amp;$B227,BD!$Y$3:$Y$5001,"&lt;&gt;")=0,"",SUMIFS(BD!$Y$3:$Y$5001,BD!$B$3:$B$5001,O$210,BD!$A$3:$A$5001,_xlfn.MAXIFS(BD!$A$3:$A$5001,BD!$B$3:$B$5001,O$210,BD!$A$3:$A$5001,"&gt;="&amp;$C$7,BD!$A$3:$A$5001,"&lt;="&amp;$B227,BD!$Y$3:$Y$5001,"&lt;&gt;"))))</f>
        <v/>
      </c>
      <c r="P227" s="54" t="str">
        <f>IF(OR($B227="",$A227&gt;$B$9,P$210=""),"",IF(COUNTIFS(BD!$B$3:$B$5001,P$210,BD!$A$3:$A$5001,"&gt;="&amp;$C$7,BD!$A$3:$A$5001,"&lt;="&amp;$B227,BD!$Y$3:$Y$5001,"&lt;&gt;")=0,"",SUMIFS(BD!$Y$3:$Y$5001,BD!$B$3:$B$5001,P$210,BD!$A$3:$A$5001,_xlfn.MAXIFS(BD!$A$3:$A$5001,BD!$B$3:$B$5001,P$210,BD!$A$3:$A$5001,"&gt;="&amp;$C$7,BD!$A$3:$A$5001,"&lt;="&amp;$B227,BD!$Y$3:$Y$5001,"&lt;&gt;"))))</f>
        <v/>
      </c>
      <c r="Q227" s="54" t="str">
        <f>IF(OR($B227="",$A227&gt;$B$9,Q$210=""),"",IF(COUNTIFS(BD!$B$3:$B$5001,Q$210,BD!$A$3:$A$5001,"&gt;="&amp;$C$7,BD!$A$3:$A$5001,"&lt;="&amp;$B227,BD!$Y$3:$Y$5001,"&lt;&gt;")=0,"",SUMIFS(BD!$Y$3:$Y$5001,BD!$B$3:$B$5001,Q$210,BD!$A$3:$A$5001,_xlfn.MAXIFS(BD!$A$3:$A$5001,BD!$B$3:$B$5001,Q$210,BD!$A$3:$A$5001,"&gt;="&amp;$C$7,BD!$A$3:$A$5001,"&lt;="&amp;$B227,BD!$Y$3:$Y$5001,"&lt;&gt;"))))</f>
        <v/>
      </c>
      <c r="R227" s="54" t="str">
        <f>IF(OR($B227="",$A227&gt;$B$9,R$210=""),"",IF(COUNTIFS(BD!$B$3:$B$5001,R$210,BD!$A$3:$A$5001,"&gt;="&amp;$C$7,BD!$A$3:$A$5001,"&lt;="&amp;$B227,BD!$Y$3:$Y$5001,"&lt;&gt;")=0,"",SUMIFS(BD!$Y$3:$Y$5001,BD!$B$3:$B$5001,R$210,BD!$A$3:$A$5001,_xlfn.MAXIFS(BD!$A$3:$A$5001,BD!$B$3:$B$5001,R$210,BD!$A$3:$A$5001,"&gt;="&amp;$C$7,BD!$A$3:$A$5001,"&lt;="&amp;$B227,BD!$Y$3:$Y$5001,"&lt;&gt;"))))</f>
        <v/>
      </c>
      <c r="S227" s="54" t="str">
        <f>IF(OR($B227="",$A227&gt;$B$9,S$210=""),"",IF(COUNTIFS(BD!$B$3:$B$5001,S$210,BD!$A$3:$A$5001,"&gt;="&amp;$C$7,BD!$A$3:$A$5001,"&lt;="&amp;$B227,BD!$Y$3:$Y$5001,"&lt;&gt;")=0,"",SUMIFS(BD!$Y$3:$Y$5001,BD!$B$3:$B$5001,S$210,BD!$A$3:$A$5001,_xlfn.MAXIFS(BD!$A$3:$A$5001,BD!$B$3:$B$5001,S$210,BD!$A$3:$A$5001,"&gt;="&amp;$C$7,BD!$A$3:$A$5001,"&lt;="&amp;$B227,BD!$Y$3:$Y$5001,"&lt;&gt;"))))</f>
        <v/>
      </c>
      <c r="T227" s="54" t="str">
        <f>IF(OR($B227="",$A227&gt;$B$9,T$210=""),"",IF(COUNTIFS(BD!$B$3:$B$5001,T$210,BD!$A$3:$A$5001,"&gt;="&amp;$C$7,BD!$A$3:$A$5001,"&lt;="&amp;$B227,BD!$Y$3:$Y$5001,"&lt;&gt;")=0,"",SUMIFS(BD!$Y$3:$Y$5001,BD!$B$3:$B$5001,T$210,BD!$A$3:$A$5001,_xlfn.MAXIFS(BD!$A$3:$A$5001,BD!$B$3:$B$5001,T$210,BD!$A$3:$A$5001,"&gt;="&amp;$C$7,BD!$A$3:$A$5001,"&lt;="&amp;$B227,BD!$Y$3:$Y$5001,"&lt;&gt;"))))</f>
        <v/>
      </c>
      <c r="U227" s="54" t="str">
        <f>IF(OR($B227="",$A227&gt;$B$9,U$210=""),"",IF(COUNTIFS(BD!$B$3:$B$5001,U$210,BD!$A$3:$A$5001,"&gt;="&amp;$C$7,BD!$A$3:$A$5001,"&lt;="&amp;$B227,BD!$Y$3:$Y$5001,"&lt;&gt;")=0,"",SUMIFS(BD!$Y$3:$Y$5001,BD!$B$3:$B$5001,U$210,BD!$A$3:$A$5001,_xlfn.MAXIFS(BD!$A$3:$A$5001,BD!$B$3:$B$5001,U$210,BD!$A$3:$A$5001,"&gt;="&amp;$C$7,BD!$A$3:$A$5001,"&lt;="&amp;$B227,BD!$Y$3:$Y$5001,"&lt;&gt;"))))</f>
        <v/>
      </c>
      <c r="V227" s="54" t="str">
        <f>IF(OR($B227="",$A227&gt;$B$9,V$210=""),"",IF(COUNTIFS(BD!$B$3:$B$5001,V$210,BD!$A$3:$A$5001,"&gt;="&amp;$C$7,BD!$A$3:$A$5001,"&lt;="&amp;$B227,BD!$Y$3:$Y$5001,"&lt;&gt;")=0,"",SUMIFS(BD!$Y$3:$Y$5001,BD!$B$3:$B$5001,V$210,BD!$A$3:$A$5001,_xlfn.MAXIFS(BD!$A$3:$A$5001,BD!$B$3:$B$5001,V$210,BD!$A$3:$A$5001,"&gt;="&amp;$C$7,BD!$A$3:$A$5001,"&lt;="&amp;$B227,BD!$Y$3:$Y$5001,"&lt;&gt;"))))</f>
        <v/>
      </c>
    </row>
    <row r="228">
      <c r="A228" s="48">
        <v>18</v>
      </c>
      <c r="B228" s="53">
        <f>$B$29</f>
        <v>46313</v>
      </c>
      <c r="C228" s="54" t="str">
        <f>IF(OR($B228="",$A228&gt;$B$9,C$210=""),"",IF(COUNTIFS(BD!$B$3:$B$5001,C$210,BD!$A$3:$A$5001,"&gt;="&amp;$C$7,BD!$A$3:$A$5001,"&lt;="&amp;$B228,BD!$Y$3:$Y$5001,"&lt;&gt;")=0,"",SUMIFS(BD!$Y$3:$Y$5001,BD!$B$3:$B$5001,C$210,BD!$A$3:$A$5001,_xlfn.MAXIFS(BD!$A$3:$A$5001,BD!$B$3:$B$5001,C$210,BD!$A$3:$A$5001,"&gt;="&amp;$C$7,BD!$A$3:$A$5001,"&lt;="&amp;$B228,BD!$Y$3:$Y$5001,"&lt;&gt;"))))</f>
        <v/>
      </c>
      <c r="D228" s="54" t="str">
        <f>IF(OR($B228="",$A228&gt;$B$9,D$210=""),"",IF(COUNTIFS(BD!$B$3:$B$5001,D$210,BD!$A$3:$A$5001,"&gt;="&amp;$C$7,BD!$A$3:$A$5001,"&lt;="&amp;$B228,BD!$Y$3:$Y$5001,"&lt;&gt;")=0,"",SUMIFS(BD!$Y$3:$Y$5001,BD!$B$3:$B$5001,D$210,BD!$A$3:$A$5001,_xlfn.MAXIFS(BD!$A$3:$A$5001,BD!$B$3:$B$5001,D$210,BD!$A$3:$A$5001,"&gt;="&amp;$C$7,BD!$A$3:$A$5001,"&lt;="&amp;$B228,BD!$Y$3:$Y$5001,"&lt;&gt;"))))</f>
        <v/>
      </c>
      <c r="E228" s="54" t="str">
        <f>IF(OR($B228="",$A228&gt;$B$9,E$210=""),"",IF(COUNTIFS(BD!$B$3:$B$5001,E$210,BD!$A$3:$A$5001,"&gt;="&amp;$C$7,BD!$A$3:$A$5001,"&lt;="&amp;$B228,BD!$Y$3:$Y$5001,"&lt;&gt;")=0,"",SUMIFS(BD!$Y$3:$Y$5001,BD!$B$3:$B$5001,E$210,BD!$A$3:$A$5001,_xlfn.MAXIFS(BD!$A$3:$A$5001,BD!$B$3:$B$5001,E$210,BD!$A$3:$A$5001,"&gt;="&amp;$C$7,BD!$A$3:$A$5001,"&lt;="&amp;$B228,BD!$Y$3:$Y$5001,"&lt;&gt;"))))</f>
        <v/>
      </c>
      <c r="F228" s="54" t="str">
        <f>IF(OR($B228="",$A228&gt;$B$9,F$210=""),"",IF(COUNTIFS(BD!$B$3:$B$5001,F$210,BD!$A$3:$A$5001,"&gt;="&amp;$C$7,BD!$A$3:$A$5001,"&lt;="&amp;$B228,BD!$Y$3:$Y$5001,"&lt;&gt;")=0,"",SUMIFS(BD!$Y$3:$Y$5001,BD!$B$3:$B$5001,F$210,BD!$A$3:$A$5001,_xlfn.MAXIFS(BD!$A$3:$A$5001,BD!$B$3:$B$5001,F$210,BD!$A$3:$A$5001,"&gt;="&amp;$C$7,BD!$A$3:$A$5001,"&lt;="&amp;$B228,BD!$Y$3:$Y$5001,"&lt;&gt;"))))</f>
        <v/>
      </c>
      <c r="G228" s="54" t="str">
        <f>IF(OR($B228="",$A228&gt;$B$9,G$210=""),"",IF(COUNTIFS(BD!$B$3:$B$5001,G$210,BD!$A$3:$A$5001,"&gt;="&amp;$C$7,BD!$A$3:$A$5001,"&lt;="&amp;$B228,BD!$Y$3:$Y$5001,"&lt;&gt;")=0,"",SUMIFS(BD!$Y$3:$Y$5001,BD!$B$3:$B$5001,G$210,BD!$A$3:$A$5001,_xlfn.MAXIFS(BD!$A$3:$A$5001,BD!$B$3:$B$5001,G$210,BD!$A$3:$A$5001,"&gt;="&amp;$C$7,BD!$A$3:$A$5001,"&lt;="&amp;$B228,BD!$Y$3:$Y$5001,"&lt;&gt;"))))</f>
        <v/>
      </c>
      <c r="H228" s="54" t="str">
        <f>IF(OR($B228="",$A228&gt;$B$9,H$210=""),"",IF(COUNTIFS(BD!$B$3:$B$5001,H$210,BD!$A$3:$A$5001,"&gt;="&amp;$C$7,BD!$A$3:$A$5001,"&lt;="&amp;$B228,BD!$Y$3:$Y$5001,"&lt;&gt;")=0,"",SUMIFS(BD!$Y$3:$Y$5001,BD!$B$3:$B$5001,H$210,BD!$A$3:$A$5001,_xlfn.MAXIFS(BD!$A$3:$A$5001,BD!$B$3:$B$5001,H$210,BD!$A$3:$A$5001,"&gt;="&amp;$C$7,BD!$A$3:$A$5001,"&lt;="&amp;$B228,BD!$Y$3:$Y$5001,"&lt;&gt;"))))</f>
        <v/>
      </c>
      <c r="I228" s="54" t="str">
        <f>IF(OR($B228="",$A228&gt;$B$9,I$210=""),"",IF(COUNTIFS(BD!$B$3:$B$5001,I$210,BD!$A$3:$A$5001,"&gt;="&amp;$C$7,BD!$A$3:$A$5001,"&lt;="&amp;$B228,BD!$Y$3:$Y$5001,"&lt;&gt;")=0,"",SUMIFS(BD!$Y$3:$Y$5001,BD!$B$3:$B$5001,I$210,BD!$A$3:$A$5001,_xlfn.MAXIFS(BD!$A$3:$A$5001,BD!$B$3:$B$5001,I$210,BD!$A$3:$A$5001,"&gt;="&amp;$C$7,BD!$A$3:$A$5001,"&lt;="&amp;$B228,BD!$Y$3:$Y$5001,"&lt;&gt;"))))</f>
        <v/>
      </c>
      <c r="J228" s="54" t="str">
        <f>IF(OR($B228="",$A228&gt;$B$9,J$210=""),"",IF(COUNTIFS(BD!$B$3:$B$5001,J$210,BD!$A$3:$A$5001,"&gt;="&amp;$C$7,BD!$A$3:$A$5001,"&lt;="&amp;$B228,BD!$Y$3:$Y$5001,"&lt;&gt;")=0,"",SUMIFS(BD!$Y$3:$Y$5001,BD!$B$3:$B$5001,J$210,BD!$A$3:$A$5001,_xlfn.MAXIFS(BD!$A$3:$A$5001,BD!$B$3:$B$5001,J$210,BD!$A$3:$A$5001,"&gt;="&amp;$C$7,BD!$A$3:$A$5001,"&lt;="&amp;$B228,BD!$Y$3:$Y$5001,"&lt;&gt;"))))</f>
        <v/>
      </c>
      <c r="K228" s="54" t="str">
        <f>IF(OR($B228="",$A228&gt;$B$9,K$210=""),"",IF(COUNTIFS(BD!$B$3:$B$5001,K$210,BD!$A$3:$A$5001,"&gt;="&amp;$C$7,BD!$A$3:$A$5001,"&lt;="&amp;$B228,BD!$Y$3:$Y$5001,"&lt;&gt;")=0,"",SUMIFS(BD!$Y$3:$Y$5001,BD!$B$3:$B$5001,K$210,BD!$A$3:$A$5001,_xlfn.MAXIFS(BD!$A$3:$A$5001,BD!$B$3:$B$5001,K$210,BD!$A$3:$A$5001,"&gt;="&amp;$C$7,BD!$A$3:$A$5001,"&lt;="&amp;$B228,BD!$Y$3:$Y$5001,"&lt;&gt;"))))</f>
        <v/>
      </c>
      <c r="L228" s="54" t="str">
        <f>IF(OR($B228="",$A228&gt;$B$9,L$210=""),"",IF(COUNTIFS(BD!$B$3:$B$5001,L$210,BD!$A$3:$A$5001,"&gt;="&amp;$C$7,BD!$A$3:$A$5001,"&lt;="&amp;$B228,BD!$Y$3:$Y$5001,"&lt;&gt;")=0,"",SUMIFS(BD!$Y$3:$Y$5001,BD!$B$3:$B$5001,L$210,BD!$A$3:$A$5001,_xlfn.MAXIFS(BD!$A$3:$A$5001,BD!$B$3:$B$5001,L$210,BD!$A$3:$A$5001,"&gt;="&amp;$C$7,BD!$A$3:$A$5001,"&lt;="&amp;$B228,BD!$Y$3:$Y$5001,"&lt;&gt;"))))</f>
        <v/>
      </c>
      <c r="M228" s="54" t="str">
        <f>IF(OR($B228="",$A228&gt;$B$9,M$210=""),"",IF(COUNTIFS(BD!$B$3:$B$5001,M$210,BD!$A$3:$A$5001,"&gt;="&amp;$C$7,BD!$A$3:$A$5001,"&lt;="&amp;$B228,BD!$Y$3:$Y$5001,"&lt;&gt;")=0,"",SUMIFS(BD!$Y$3:$Y$5001,BD!$B$3:$B$5001,M$210,BD!$A$3:$A$5001,_xlfn.MAXIFS(BD!$A$3:$A$5001,BD!$B$3:$B$5001,M$210,BD!$A$3:$A$5001,"&gt;="&amp;$C$7,BD!$A$3:$A$5001,"&lt;="&amp;$B228,BD!$Y$3:$Y$5001,"&lt;&gt;"))))</f>
        <v/>
      </c>
      <c r="N228" s="54" t="str">
        <f>IF(OR($B228="",$A228&gt;$B$9,N$210=""),"",IF(COUNTIFS(BD!$B$3:$B$5001,N$210,BD!$A$3:$A$5001,"&gt;="&amp;$C$7,BD!$A$3:$A$5001,"&lt;="&amp;$B228,BD!$Y$3:$Y$5001,"&lt;&gt;")=0,"",SUMIFS(BD!$Y$3:$Y$5001,BD!$B$3:$B$5001,N$210,BD!$A$3:$A$5001,_xlfn.MAXIFS(BD!$A$3:$A$5001,BD!$B$3:$B$5001,N$210,BD!$A$3:$A$5001,"&gt;="&amp;$C$7,BD!$A$3:$A$5001,"&lt;="&amp;$B228,BD!$Y$3:$Y$5001,"&lt;&gt;"))))</f>
        <v/>
      </c>
      <c r="O228" s="54" t="str">
        <f>IF(OR($B228="",$A228&gt;$B$9,O$210=""),"",IF(COUNTIFS(BD!$B$3:$B$5001,O$210,BD!$A$3:$A$5001,"&gt;="&amp;$C$7,BD!$A$3:$A$5001,"&lt;="&amp;$B228,BD!$Y$3:$Y$5001,"&lt;&gt;")=0,"",SUMIFS(BD!$Y$3:$Y$5001,BD!$B$3:$B$5001,O$210,BD!$A$3:$A$5001,_xlfn.MAXIFS(BD!$A$3:$A$5001,BD!$B$3:$B$5001,O$210,BD!$A$3:$A$5001,"&gt;="&amp;$C$7,BD!$A$3:$A$5001,"&lt;="&amp;$B228,BD!$Y$3:$Y$5001,"&lt;&gt;"))))</f>
        <v/>
      </c>
      <c r="P228" s="54" t="str">
        <f>IF(OR($B228="",$A228&gt;$B$9,P$210=""),"",IF(COUNTIFS(BD!$B$3:$B$5001,P$210,BD!$A$3:$A$5001,"&gt;="&amp;$C$7,BD!$A$3:$A$5001,"&lt;="&amp;$B228,BD!$Y$3:$Y$5001,"&lt;&gt;")=0,"",SUMIFS(BD!$Y$3:$Y$5001,BD!$B$3:$B$5001,P$210,BD!$A$3:$A$5001,_xlfn.MAXIFS(BD!$A$3:$A$5001,BD!$B$3:$B$5001,P$210,BD!$A$3:$A$5001,"&gt;="&amp;$C$7,BD!$A$3:$A$5001,"&lt;="&amp;$B228,BD!$Y$3:$Y$5001,"&lt;&gt;"))))</f>
        <v/>
      </c>
      <c r="Q228" s="54" t="str">
        <f>IF(OR($B228="",$A228&gt;$B$9,Q$210=""),"",IF(COUNTIFS(BD!$B$3:$B$5001,Q$210,BD!$A$3:$A$5001,"&gt;="&amp;$C$7,BD!$A$3:$A$5001,"&lt;="&amp;$B228,BD!$Y$3:$Y$5001,"&lt;&gt;")=0,"",SUMIFS(BD!$Y$3:$Y$5001,BD!$B$3:$B$5001,Q$210,BD!$A$3:$A$5001,_xlfn.MAXIFS(BD!$A$3:$A$5001,BD!$B$3:$B$5001,Q$210,BD!$A$3:$A$5001,"&gt;="&amp;$C$7,BD!$A$3:$A$5001,"&lt;="&amp;$B228,BD!$Y$3:$Y$5001,"&lt;&gt;"))))</f>
        <v/>
      </c>
      <c r="R228" s="54" t="str">
        <f>IF(OR($B228="",$A228&gt;$B$9,R$210=""),"",IF(COUNTIFS(BD!$B$3:$B$5001,R$210,BD!$A$3:$A$5001,"&gt;="&amp;$C$7,BD!$A$3:$A$5001,"&lt;="&amp;$B228,BD!$Y$3:$Y$5001,"&lt;&gt;")=0,"",SUMIFS(BD!$Y$3:$Y$5001,BD!$B$3:$B$5001,R$210,BD!$A$3:$A$5001,_xlfn.MAXIFS(BD!$A$3:$A$5001,BD!$B$3:$B$5001,R$210,BD!$A$3:$A$5001,"&gt;="&amp;$C$7,BD!$A$3:$A$5001,"&lt;="&amp;$B228,BD!$Y$3:$Y$5001,"&lt;&gt;"))))</f>
        <v/>
      </c>
      <c r="S228" s="54" t="str">
        <f>IF(OR($B228="",$A228&gt;$B$9,S$210=""),"",IF(COUNTIFS(BD!$B$3:$B$5001,S$210,BD!$A$3:$A$5001,"&gt;="&amp;$C$7,BD!$A$3:$A$5001,"&lt;="&amp;$B228,BD!$Y$3:$Y$5001,"&lt;&gt;")=0,"",SUMIFS(BD!$Y$3:$Y$5001,BD!$B$3:$B$5001,S$210,BD!$A$3:$A$5001,_xlfn.MAXIFS(BD!$A$3:$A$5001,BD!$B$3:$B$5001,S$210,BD!$A$3:$A$5001,"&gt;="&amp;$C$7,BD!$A$3:$A$5001,"&lt;="&amp;$B228,BD!$Y$3:$Y$5001,"&lt;&gt;"))))</f>
        <v/>
      </c>
      <c r="T228" s="54" t="str">
        <f>IF(OR($B228="",$A228&gt;$B$9,T$210=""),"",IF(COUNTIFS(BD!$B$3:$B$5001,T$210,BD!$A$3:$A$5001,"&gt;="&amp;$C$7,BD!$A$3:$A$5001,"&lt;="&amp;$B228,BD!$Y$3:$Y$5001,"&lt;&gt;")=0,"",SUMIFS(BD!$Y$3:$Y$5001,BD!$B$3:$B$5001,T$210,BD!$A$3:$A$5001,_xlfn.MAXIFS(BD!$A$3:$A$5001,BD!$B$3:$B$5001,T$210,BD!$A$3:$A$5001,"&gt;="&amp;$C$7,BD!$A$3:$A$5001,"&lt;="&amp;$B228,BD!$Y$3:$Y$5001,"&lt;&gt;"))))</f>
        <v/>
      </c>
      <c r="U228" s="54" t="str">
        <f>IF(OR($B228="",$A228&gt;$B$9,U$210=""),"",IF(COUNTIFS(BD!$B$3:$B$5001,U$210,BD!$A$3:$A$5001,"&gt;="&amp;$C$7,BD!$A$3:$A$5001,"&lt;="&amp;$B228,BD!$Y$3:$Y$5001,"&lt;&gt;")=0,"",SUMIFS(BD!$Y$3:$Y$5001,BD!$B$3:$B$5001,U$210,BD!$A$3:$A$5001,_xlfn.MAXIFS(BD!$A$3:$A$5001,BD!$B$3:$B$5001,U$210,BD!$A$3:$A$5001,"&gt;="&amp;$C$7,BD!$A$3:$A$5001,"&lt;="&amp;$B228,BD!$Y$3:$Y$5001,"&lt;&gt;"))))</f>
        <v/>
      </c>
      <c r="V228" s="54" t="str">
        <f>IF(OR($B228="",$A228&gt;$B$9,V$210=""),"",IF(COUNTIFS(BD!$B$3:$B$5001,V$210,BD!$A$3:$A$5001,"&gt;="&amp;$C$7,BD!$A$3:$A$5001,"&lt;="&amp;$B228,BD!$Y$3:$Y$5001,"&lt;&gt;")=0,"",SUMIFS(BD!$Y$3:$Y$5001,BD!$B$3:$B$5001,V$210,BD!$A$3:$A$5001,_xlfn.MAXIFS(BD!$A$3:$A$5001,BD!$B$3:$B$5001,V$210,BD!$A$3:$A$5001,"&gt;="&amp;$C$7,BD!$A$3:$A$5001,"&lt;="&amp;$B228,BD!$Y$3:$Y$5001,"&lt;&gt;"))))</f>
        <v/>
      </c>
    </row>
    <row r="229">
      <c r="A229" s="48">
        <v>19</v>
      </c>
      <c r="B229" s="53">
        <f>$B$30</f>
        <v>46314</v>
      </c>
      <c r="C229" s="54" t="str">
        <f>IF(OR($B229="",$A229&gt;$B$9,C$210=""),"",IF(COUNTIFS(BD!$B$3:$B$5001,C$210,BD!$A$3:$A$5001,"&gt;="&amp;$C$7,BD!$A$3:$A$5001,"&lt;="&amp;$B229,BD!$Y$3:$Y$5001,"&lt;&gt;")=0,"",SUMIFS(BD!$Y$3:$Y$5001,BD!$B$3:$B$5001,C$210,BD!$A$3:$A$5001,_xlfn.MAXIFS(BD!$A$3:$A$5001,BD!$B$3:$B$5001,C$210,BD!$A$3:$A$5001,"&gt;="&amp;$C$7,BD!$A$3:$A$5001,"&lt;="&amp;$B229,BD!$Y$3:$Y$5001,"&lt;&gt;"))))</f>
        <v/>
      </c>
      <c r="D229" s="54" t="str">
        <f>IF(OR($B229="",$A229&gt;$B$9,D$210=""),"",IF(COUNTIFS(BD!$B$3:$B$5001,D$210,BD!$A$3:$A$5001,"&gt;="&amp;$C$7,BD!$A$3:$A$5001,"&lt;="&amp;$B229,BD!$Y$3:$Y$5001,"&lt;&gt;")=0,"",SUMIFS(BD!$Y$3:$Y$5001,BD!$B$3:$B$5001,D$210,BD!$A$3:$A$5001,_xlfn.MAXIFS(BD!$A$3:$A$5001,BD!$B$3:$B$5001,D$210,BD!$A$3:$A$5001,"&gt;="&amp;$C$7,BD!$A$3:$A$5001,"&lt;="&amp;$B229,BD!$Y$3:$Y$5001,"&lt;&gt;"))))</f>
        <v/>
      </c>
      <c r="E229" s="54" t="str">
        <f>IF(OR($B229="",$A229&gt;$B$9,E$210=""),"",IF(COUNTIFS(BD!$B$3:$B$5001,E$210,BD!$A$3:$A$5001,"&gt;="&amp;$C$7,BD!$A$3:$A$5001,"&lt;="&amp;$B229,BD!$Y$3:$Y$5001,"&lt;&gt;")=0,"",SUMIFS(BD!$Y$3:$Y$5001,BD!$B$3:$B$5001,E$210,BD!$A$3:$A$5001,_xlfn.MAXIFS(BD!$A$3:$A$5001,BD!$B$3:$B$5001,E$210,BD!$A$3:$A$5001,"&gt;="&amp;$C$7,BD!$A$3:$A$5001,"&lt;="&amp;$B229,BD!$Y$3:$Y$5001,"&lt;&gt;"))))</f>
        <v/>
      </c>
      <c r="F229" s="54" t="str">
        <f>IF(OR($B229="",$A229&gt;$B$9,F$210=""),"",IF(COUNTIFS(BD!$B$3:$B$5001,F$210,BD!$A$3:$A$5001,"&gt;="&amp;$C$7,BD!$A$3:$A$5001,"&lt;="&amp;$B229,BD!$Y$3:$Y$5001,"&lt;&gt;")=0,"",SUMIFS(BD!$Y$3:$Y$5001,BD!$B$3:$B$5001,F$210,BD!$A$3:$A$5001,_xlfn.MAXIFS(BD!$A$3:$A$5001,BD!$B$3:$B$5001,F$210,BD!$A$3:$A$5001,"&gt;="&amp;$C$7,BD!$A$3:$A$5001,"&lt;="&amp;$B229,BD!$Y$3:$Y$5001,"&lt;&gt;"))))</f>
        <v/>
      </c>
      <c r="G229" s="54" t="str">
        <f>IF(OR($B229="",$A229&gt;$B$9,G$210=""),"",IF(COUNTIFS(BD!$B$3:$B$5001,G$210,BD!$A$3:$A$5001,"&gt;="&amp;$C$7,BD!$A$3:$A$5001,"&lt;="&amp;$B229,BD!$Y$3:$Y$5001,"&lt;&gt;")=0,"",SUMIFS(BD!$Y$3:$Y$5001,BD!$B$3:$B$5001,G$210,BD!$A$3:$A$5001,_xlfn.MAXIFS(BD!$A$3:$A$5001,BD!$B$3:$B$5001,G$210,BD!$A$3:$A$5001,"&gt;="&amp;$C$7,BD!$A$3:$A$5001,"&lt;="&amp;$B229,BD!$Y$3:$Y$5001,"&lt;&gt;"))))</f>
        <v/>
      </c>
      <c r="H229" s="54" t="str">
        <f>IF(OR($B229="",$A229&gt;$B$9,H$210=""),"",IF(COUNTIFS(BD!$B$3:$B$5001,H$210,BD!$A$3:$A$5001,"&gt;="&amp;$C$7,BD!$A$3:$A$5001,"&lt;="&amp;$B229,BD!$Y$3:$Y$5001,"&lt;&gt;")=0,"",SUMIFS(BD!$Y$3:$Y$5001,BD!$B$3:$B$5001,H$210,BD!$A$3:$A$5001,_xlfn.MAXIFS(BD!$A$3:$A$5001,BD!$B$3:$B$5001,H$210,BD!$A$3:$A$5001,"&gt;="&amp;$C$7,BD!$A$3:$A$5001,"&lt;="&amp;$B229,BD!$Y$3:$Y$5001,"&lt;&gt;"))))</f>
        <v/>
      </c>
      <c r="I229" s="54" t="str">
        <f>IF(OR($B229="",$A229&gt;$B$9,I$210=""),"",IF(COUNTIFS(BD!$B$3:$B$5001,I$210,BD!$A$3:$A$5001,"&gt;="&amp;$C$7,BD!$A$3:$A$5001,"&lt;="&amp;$B229,BD!$Y$3:$Y$5001,"&lt;&gt;")=0,"",SUMIFS(BD!$Y$3:$Y$5001,BD!$B$3:$B$5001,I$210,BD!$A$3:$A$5001,_xlfn.MAXIFS(BD!$A$3:$A$5001,BD!$B$3:$B$5001,I$210,BD!$A$3:$A$5001,"&gt;="&amp;$C$7,BD!$A$3:$A$5001,"&lt;="&amp;$B229,BD!$Y$3:$Y$5001,"&lt;&gt;"))))</f>
        <v/>
      </c>
      <c r="J229" s="54" t="str">
        <f>IF(OR($B229="",$A229&gt;$B$9,J$210=""),"",IF(COUNTIFS(BD!$B$3:$B$5001,J$210,BD!$A$3:$A$5001,"&gt;="&amp;$C$7,BD!$A$3:$A$5001,"&lt;="&amp;$B229,BD!$Y$3:$Y$5001,"&lt;&gt;")=0,"",SUMIFS(BD!$Y$3:$Y$5001,BD!$B$3:$B$5001,J$210,BD!$A$3:$A$5001,_xlfn.MAXIFS(BD!$A$3:$A$5001,BD!$B$3:$B$5001,J$210,BD!$A$3:$A$5001,"&gt;="&amp;$C$7,BD!$A$3:$A$5001,"&lt;="&amp;$B229,BD!$Y$3:$Y$5001,"&lt;&gt;"))))</f>
        <v/>
      </c>
      <c r="K229" s="54" t="str">
        <f>IF(OR($B229="",$A229&gt;$B$9,K$210=""),"",IF(COUNTIFS(BD!$B$3:$B$5001,K$210,BD!$A$3:$A$5001,"&gt;="&amp;$C$7,BD!$A$3:$A$5001,"&lt;="&amp;$B229,BD!$Y$3:$Y$5001,"&lt;&gt;")=0,"",SUMIFS(BD!$Y$3:$Y$5001,BD!$B$3:$B$5001,K$210,BD!$A$3:$A$5001,_xlfn.MAXIFS(BD!$A$3:$A$5001,BD!$B$3:$B$5001,K$210,BD!$A$3:$A$5001,"&gt;="&amp;$C$7,BD!$A$3:$A$5001,"&lt;="&amp;$B229,BD!$Y$3:$Y$5001,"&lt;&gt;"))))</f>
        <v/>
      </c>
      <c r="L229" s="54" t="str">
        <f>IF(OR($B229="",$A229&gt;$B$9,L$210=""),"",IF(COUNTIFS(BD!$B$3:$B$5001,L$210,BD!$A$3:$A$5001,"&gt;="&amp;$C$7,BD!$A$3:$A$5001,"&lt;="&amp;$B229,BD!$Y$3:$Y$5001,"&lt;&gt;")=0,"",SUMIFS(BD!$Y$3:$Y$5001,BD!$B$3:$B$5001,L$210,BD!$A$3:$A$5001,_xlfn.MAXIFS(BD!$A$3:$A$5001,BD!$B$3:$B$5001,L$210,BD!$A$3:$A$5001,"&gt;="&amp;$C$7,BD!$A$3:$A$5001,"&lt;="&amp;$B229,BD!$Y$3:$Y$5001,"&lt;&gt;"))))</f>
        <v/>
      </c>
      <c r="M229" s="54" t="str">
        <f>IF(OR($B229="",$A229&gt;$B$9,M$210=""),"",IF(COUNTIFS(BD!$B$3:$B$5001,M$210,BD!$A$3:$A$5001,"&gt;="&amp;$C$7,BD!$A$3:$A$5001,"&lt;="&amp;$B229,BD!$Y$3:$Y$5001,"&lt;&gt;")=0,"",SUMIFS(BD!$Y$3:$Y$5001,BD!$B$3:$B$5001,M$210,BD!$A$3:$A$5001,_xlfn.MAXIFS(BD!$A$3:$A$5001,BD!$B$3:$B$5001,M$210,BD!$A$3:$A$5001,"&gt;="&amp;$C$7,BD!$A$3:$A$5001,"&lt;="&amp;$B229,BD!$Y$3:$Y$5001,"&lt;&gt;"))))</f>
        <v/>
      </c>
      <c r="N229" s="54" t="str">
        <f>IF(OR($B229="",$A229&gt;$B$9,N$210=""),"",IF(COUNTIFS(BD!$B$3:$B$5001,N$210,BD!$A$3:$A$5001,"&gt;="&amp;$C$7,BD!$A$3:$A$5001,"&lt;="&amp;$B229,BD!$Y$3:$Y$5001,"&lt;&gt;")=0,"",SUMIFS(BD!$Y$3:$Y$5001,BD!$B$3:$B$5001,N$210,BD!$A$3:$A$5001,_xlfn.MAXIFS(BD!$A$3:$A$5001,BD!$B$3:$B$5001,N$210,BD!$A$3:$A$5001,"&gt;="&amp;$C$7,BD!$A$3:$A$5001,"&lt;="&amp;$B229,BD!$Y$3:$Y$5001,"&lt;&gt;"))))</f>
        <v/>
      </c>
      <c r="O229" s="54" t="str">
        <f>IF(OR($B229="",$A229&gt;$B$9,O$210=""),"",IF(COUNTIFS(BD!$B$3:$B$5001,O$210,BD!$A$3:$A$5001,"&gt;="&amp;$C$7,BD!$A$3:$A$5001,"&lt;="&amp;$B229,BD!$Y$3:$Y$5001,"&lt;&gt;")=0,"",SUMIFS(BD!$Y$3:$Y$5001,BD!$B$3:$B$5001,O$210,BD!$A$3:$A$5001,_xlfn.MAXIFS(BD!$A$3:$A$5001,BD!$B$3:$B$5001,O$210,BD!$A$3:$A$5001,"&gt;="&amp;$C$7,BD!$A$3:$A$5001,"&lt;="&amp;$B229,BD!$Y$3:$Y$5001,"&lt;&gt;"))))</f>
        <v/>
      </c>
      <c r="P229" s="54" t="str">
        <f>IF(OR($B229="",$A229&gt;$B$9,P$210=""),"",IF(COUNTIFS(BD!$B$3:$B$5001,P$210,BD!$A$3:$A$5001,"&gt;="&amp;$C$7,BD!$A$3:$A$5001,"&lt;="&amp;$B229,BD!$Y$3:$Y$5001,"&lt;&gt;")=0,"",SUMIFS(BD!$Y$3:$Y$5001,BD!$B$3:$B$5001,P$210,BD!$A$3:$A$5001,_xlfn.MAXIFS(BD!$A$3:$A$5001,BD!$B$3:$B$5001,P$210,BD!$A$3:$A$5001,"&gt;="&amp;$C$7,BD!$A$3:$A$5001,"&lt;="&amp;$B229,BD!$Y$3:$Y$5001,"&lt;&gt;"))))</f>
        <v/>
      </c>
      <c r="Q229" s="54" t="str">
        <f>IF(OR($B229="",$A229&gt;$B$9,Q$210=""),"",IF(COUNTIFS(BD!$B$3:$B$5001,Q$210,BD!$A$3:$A$5001,"&gt;="&amp;$C$7,BD!$A$3:$A$5001,"&lt;="&amp;$B229,BD!$Y$3:$Y$5001,"&lt;&gt;")=0,"",SUMIFS(BD!$Y$3:$Y$5001,BD!$B$3:$B$5001,Q$210,BD!$A$3:$A$5001,_xlfn.MAXIFS(BD!$A$3:$A$5001,BD!$B$3:$B$5001,Q$210,BD!$A$3:$A$5001,"&gt;="&amp;$C$7,BD!$A$3:$A$5001,"&lt;="&amp;$B229,BD!$Y$3:$Y$5001,"&lt;&gt;"))))</f>
        <v/>
      </c>
      <c r="R229" s="54" t="str">
        <f>IF(OR($B229="",$A229&gt;$B$9,R$210=""),"",IF(COUNTIFS(BD!$B$3:$B$5001,R$210,BD!$A$3:$A$5001,"&gt;="&amp;$C$7,BD!$A$3:$A$5001,"&lt;="&amp;$B229,BD!$Y$3:$Y$5001,"&lt;&gt;")=0,"",SUMIFS(BD!$Y$3:$Y$5001,BD!$B$3:$B$5001,R$210,BD!$A$3:$A$5001,_xlfn.MAXIFS(BD!$A$3:$A$5001,BD!$B$3:$B$5001,R$210,BD!$A$3:$A$5001,"&gt;="&amp;$C$7,BD!$A$3:$A$5001,"&lt;="&amp;$B229,BD!$Y$3:$Y$5001,"&lt;&gt;"))))</f>
        <v/>
      </c>
      <c r="S229" s="54" t="str">
        <f>IF(OR($B229="",$A229&gt;$B$9,S$210=""),"",IF(COUNTIFS(BD!$B$3:$B$5001,S$210,BD!$A$3:$A$5001,"&gt;="&amp;$C$7,BD!$A$3:$A$5001,"&lt;="&amp;$B229,BD!$Y$3:$Y$5001,"&lt;&gt;")=0,"",SUMIFS(BD!$Y$3:$Y$5001,BD!$B$3:$B$5001,S$210,BD!$A$3:$A$5001,_xlfn.MAXIFS(BD!$A$3:$A$5001,BD!$B$3:$B$5001,S$210,BD!$A$3:$A$5001,"&gt;="&amp;$C$7,BD!$A$3:$A$5001,"&lt;="&amp;$B229,BD!$Y$3:$Y$5001,"&lt;&gt;"))))</f>
        <v/>
      </c>
      <c r="T229" s="54" t="str">
        <f>IF(OR($B229="",$A229&gt;$B$9,T$210=""),"",IF(COUNTIFS(BD!$B$3:$B$5001,T$210,BD!$A$3:$A$5001,"&gt;="&amp;$C$7,BD!$A$3:$A$5001,"&lt;="&amp;$B229,BD!$Y$3:$Y$5001,"&lt;&gt;")=0,"",SUMIFS(BD!$Y$3:$Y$5001,BD!$B$3:$B$5001,T$210,BD!$A$3:$A$5001,_xlfn.MAXIFS(BD!$A$3:$A$5001,BD!$B$3:$B$5001,T$210,BD!$A$3:$A$5001,"&gt;="&amp;$C$7,BD!$A$3:$A$5001,"&lt;="&amp;$B229,BD!$Y$3:$Y$5001,"&lt;&gt;"))))</f>
        <v/>
      </c>
      <c r="U229" s="54" t="str">
        <f>IF(OR($B229="",$A229&gt;$B$9,U$210=""),"",IF(COUNTIFS(BD!$B$3:$B$5001,U$210,BD!$A$3:$A$5001,"&gt;="&amp;$C$7,BD!$A$3:$A$5001,"&lt;="&amp;$B229,BD!$Y$3:$Y$5001,"&lt;&gt;")=0,"",SUMIFS(BD!$Y$3:$Y$5001,BD!$B$3:$B$5001,U$210,BD!$A$3:$A$5001,_xlfn.MAXIFS(BD!$A$3:$A$5001,BD!$B$3:$B$5001,U$210,BD!$A$3:$A$5001,"&gt;="&amp;$C$7,BD!$A$3:$A$5001,"&lt;="&amp;$B229,BD!$Y$3:$Y$5001,"&lt;&gt;"))))</f>
        <v/>
      </c>
      <c r="V229" s="54" t="str">
        <f>IF(OR($B229="",$A229&gt;$B$9,V$210=""),"",IF(COUNTIFS(BD!$B$3:$B$5001,V$210,BD!$A$3:$A$5001,"&gt;="&amp;$C$7,BD!$A$3:$A$5001,"&lt;="&amp;$B229,BD!$Y$3:$Y$5001,"&lt;&gt;")=0,"",SUMIFS(BD!$Y$3:$Y$5001,BD!$B$3:$B$5001,V$210,BD!$A$3:$A$5001,_xlfn.MAXIFS(BD!$A$3:$A$5001,BD!$B$3:$B$5001,V$210,BD!$A$3:$A$5001,"&gt;="&amp;$C$7,BD!$A$3:$A$5001,"&lt;="&amp;$B229,BD!$Y$3:$Y$5001,"&lt;&gt;"))))</f>
        <v/>
      </c>
    </row>
    <row r="230">
      <c r="A230" s="48">
        <v>20</v>
      </c>
      <c r="B230" s="53">
        <f>$B$31</f>
        <v>46315</v>
      </c>
      <c r="C230" s="54" t="str">
        <f>IF(OR($B230="",$A230&gt;$B$9,C$210=""),"",IF(COUNTIFS(BD!$B$3:$B$5001,C$210,BD!$A$3:$A$5001,"&gt;="&amp;$C$7,BD!$A$3:$A$5001,"&lt;="&amp;$B230,BD!$Y$3:$Y$5001,"&lt;&gt;")=0,"",SUMIFS(BD!$Y$3:$Y$5001,BD!$B$3:$B$5001,C$210,BD!$A$3:$A$5001,_xlfn.MAXIFS(BD!$A$3:$A$5001,BD!$B$3:$B$5001,C$210,BD!$A$3:$A$5001,"&gt;="&amp;$C$7,BD!$A$3:$A$5001,"&lt;="&amp;$B230,BD!$Y$3:$Y$5001,"&lt;&gt;"))))</f>
        <v/>
      </c>
      <c r="D230" s="54" t="str">
        <f>IF(OR($B230="",$A230&gt;$B$9,D$210=""),"",IF(COUNTIFS(BD!$B$3:$B$5001,D$210,BD!$A$3:$A$5001,"&gt;="&amp;$C$7,BD!$A$3:$A$5001,"&lt;="&amp;$B230,BD!$Y$3:$Y$5001,"&lt;&gt;")=0,"",SUMIFS(BD!$Y$3:$Y$5001,BD!$B$3:$B$5001,D$210,BD!$A$3:$A$5001,_xlfn.MAXIFS(BD!$A$3:$A$5001,BD!$B$3:$B$5001,D$210,BD!$A$3:$A$5001,"&gt;="&amp;$C$7,BD!$A$3:$A$5001,"&lt;="&amp;$B230,BD!$Y$3:$Y$5001,"&lt;&gt;"))))</f>
        <v/>
      </c>
      <c r="E230" s="54" t="str">
        <f>IF(OR($B230="",$A230&gt;$B$9,E$210=""),"",IF(COUNTIFS(BD!$B$3:$B$5001,E$210,BD!$A$3:$A$5001,"&gt;="&amp;$C$7,BD!$A$3:$A$5001,"&lt;="&amp;$B230,BD!$Y$3:$Y$5001,"&lt;&gt;")=0,"",SUMIFS(BD!$Y$3:$Y$5001,BD!$B$3:$B$5001,E$210,BD!$A$3:$A$5001,_xlfn.MAXIFS(BD!$A$3:$A$5001,BD!$B$3:$B$5001,E$210,BD!$A$3:$A$5001,"&gt;="&amp;$C$7,BD!$A$3:$A$5001,"&lt;="&amp;$B230,BD!$Y$3:$Y$5001,"&lt;&gt;"))))</f>
        <v/>
      </c>
      <c r="F230" s="54" t="str">
        <f>IF(OR($B230="",$A230&gt;$B$9,F$210=""),"",IF(COUNTIFS(BD!$B$3:$B$5001,F$210,BD!$A$3:$A$5001,"&gt;="&amp;$C$7,BD!$A$3:$A$5001,"&lt;="&amp;$B230,BD!$Y$3:$Y$5001,"&lt;&gt;")=0,"",SUMIFS(BD!$Y$3:$Y$5001,BD!$B$3:$B$5001,F$210,BD!$A$3:$A$5001,_xlfn.MAXIFS(BD!$A$3:$A$5001,BD!$B$3:$B$5001,F$210,BD!$A$3:$A$5001,"&gt;="&amp;$C$7,BD!$A$3:$A$5001,"&lt;="&amp;$B230,BD!$Y$3:$Y$5001,"&lt;&gt;"))))</f>
        <v/>
      </c>
      <c r="G230" s="54" t="str">
        <f>IF(OR($B230="",$A230&gt;$B$9,G$210=""),"",IF(COUNTIFS(BD!$B$3:$B$5001,G$210,BD!$A$3:$A$5001,"&gt;="&amp;$C$7,BD!$A$3:$A$5001,"&lt;="&amp;$B230,BD!$Y$3:$Y$5001,"&lt;&gt;")=0,"",SUMIFS(BD!$Y$3:$Y$5001,BD!$B$3:$B$5001,G$210,BD!$A$3:$A$5001,_xlfn.MAXIFS(BD!$A$3:$A$5001,BD!$B$3:$B$5001,G$210,BD!$A$3:$A$5001,"&gt;="&amp;$C$7,BD!$A$3:$A$5001,"&lt;="&amp;$B230,BD!$Y$3:$Y$5001,"&lt;&gt;"))))</f>
        <v/>
      </c>
      <c r="H230" s="54" t="str">
        <f>IF(OR($B230="",$A230&gt;$B$9,H$210=""),"",IF(COUNTIFS(BD!$B$3:$B$5001,H$210,BD!$A$3:$A$5001,"&gt;="&amp;$C$7,BD!$A$3:$A$5001,"&lt;="&amp;$B230,BD!$Y$3:$Y$5001,"&lt;&gt;")=0,"",SUMIFS(BD!$Y$3:$Y$5001,BD!$B$3:$B$5001,H$210,BD!$A$3:$A$5001,_xlfn.MAXIFS(BD!$A$3:$A$5001,BD!$B$3:$B$5001,H$210,BD!$A$3:$A$5001,"&gt;="&amp;$C$7,BD!$A$3:$A$5001,"&lt;="&amp;$B230,BD!$Y$3:$Y$5001,"&lt;&gt;"))))</f>
        <v/>
      </c>
      <c r="I230" s="54" t="str">
        <f>IF(OR($B230="",$A230&gt;$B$9,I$210=""),"",IF(COUNTIFS(BD!$B$3:$B$5001,I$210,BD!$A$3:$A$5001,"&gt;="&amp;$C$7,BD!$A$3:$A$5001,"&lt;="&amp;$B230,BD!$Y$3:$Y$5001,"&lt;&gt;")=0,"",SUMIFS(BD!$Y$3:$Y$5001,BD!$B$3:$B$5001,I$210,BD!$A$3:$A$5001,_xlfn.MAXIFS(BD!$A$3:$A$5001,BD!$B$3:$B$5001,I$210,BD!$A$3:$A$5001,"&gt;="&amp;$C$7,BD!$A$3:$A$5001,"&lt;="&amp;$B230,BD!$Y$3:$Y$5001,"&lt;&gt;"))))</f>
        <v/>
      </c>
      <c r="J230" s="54" t="str">
        <f>IF(OR($B230="",$A230&gt;$B$9,J$210=""),"",IF(COUNTIFS(BD!$B$3:$B$5001,J$210,BD!$A$3:$A$5001,"&gt;="&amp;$C$7,BD!$A$3:$A$5001,"&lt;="&amp;$B230,BD!$Y$3:$Y$5001,"&lt;&gt;")=0,"",SUMIFS(BD!$Y$3:$Y$5001,BD!$B$3:$B$5001,J$210,BD!$A$3:$A$5001,_xlfn.MAXIFS(BD!$A$3:$A$5001,BD!$B$3:$B$5001,J$210,BD!$A$3:$A$5001,"&gt;="&amp;$C$7,BD!$A$3:$A$5001,"&lt;="&amp;$B230,BD!$Y$3:$Y$5001,"&lt;&gt;"))))</f>
        <v/>
      </c>
      <c r="K230" s="54" t="str">
        <f>IF(OR($B230="",$A230&gt;$B$9,K$210=""),"",IF(COUNTIFS(BD!$B$3:$B$5001,K$210,BD!$A$3:$A$5001,"&gt;="&amp;$C$7,BD!$A$3:$A$5001,"&lt;="&amp;$B230,BD!$Y$3:$Y$5001,"&lt;&gt;")=0,"",SUMIFS(BD!$Y$3:$Y$5001,BD!$B$3:$B$5001,K$210,BD!$A$3:$A$5001,_xlfn.MAXIFS(BD!$A$3:$A$5001,BD!$B$3:$B$5001,K$210,BD!$A$3:$A$5001,"&gt;="&amp;$C$7,BD!$A$3:$A$5001,"&lt;="&amp;$B230,BD!$Y$3:$Y$5001,"&lt;&gt;"))))</f>
        <v/>
      </c>
      <c r="L230" s="54" t="str">
        <f>IF(OR($B230="",$A230&gt;$B$9,L$210=""),"",IF(COUNTIFS(BD!$B$3:$B$5001,L$210,BD!$A$3:$A$5001,"&gt;="&amp;$C$7,BD!$A$3:$A$5001,"&lt;="&amp;$B230,BD!$Y$3:$Y$5001,"&lt;&gt;")=0,"",SUMIFS(BD!$Y$3:$Y$5001,BD!$B$3:$B$5001,L$210,BD!$A$3:$A$5001,_xlfn.MAXIFS(BD!$A$3:$A$5001,BD!$B$3:$B$5001,L$210,BD!$A$3:$A$5001,"&gt;="&amp;$C$7,BD!$A$3:$A$5001,"&lt;="&amp;$B230,BD!$Y$3:$Y$5001,"&lt;&gt;"))))</f>
        <v/>
      </c>
      <c r="M230" s="54" t="str">
        <f>IF(OR($B230="",$A230&gt;$B$9,M$210=""),"",IF(COUNTIFS(BD!$B$3:$B$5001,M$210,BD!$A$3:$A$5001,"&gt;="&amp;$C$7,BD!$A$3:$A$5001,"&lt;="&amp;$B230,BD!$Y$3:$Y$5001,"&lt;&gt;")=0,"",SUMIFS(BD!$Y$3:$Y$5001,BD!$B$3:$B$5001,M$210,BD!$A$3:$A$5001,_xlfn.MAXIFS(BD!$A$3:$A$5001,BD!$B$3:$B$5001,M$210,BD!$A$3:$A$5001,"&gt;="&amp;$C$7,BD!$A$3:$A$5001,"&lt;="&amp;$B230,BD!$Y$3:$Y$5001,"&lt;&gt;"))))</f>
        <v/>
      </c>
      <c r="N230" s="54" t="str">
        <f>IF(OR($B230="",$A230&gt;$B$9,N$210=""),"",IF(COUNTIFS(BD!$B$3:$B$5001,N$210,BD!$A$3:$A$5001,"&gt;="&amp;$C$7,BD!$A$3:$A$5001,"&lt;="&amp;$B230,BD!$Y$3:$Y$5001,"&lt;&gt;")=0,"",SUMIFS(BD!$Y$3:$Y$5001,BD!$B$3:$B$5001,N$210,BD!$A$3:$A$5001,_xlfn.MAXIFS(BD!$A$3:$A$5001,BD!$B$3:$B$5001,N$210,BD!$A$3:$A$5001,"&gt;="&amp;$C$7,BD!$A$3:$A$5001,"&lt;="&amp;$B230,BD!$Y$3:$Y$5001,"&lt;&gt;"))))</f>
        <v/>
      </c>
      <c r="O230" s="54" t="str">
        <f>IF(OR($B230="",$A230&gt;$B$9,O$210=""),"",IF(COUNTIFS(BD!$B$3:$B$5001,O$210,BD!$A$3:$A$5001,"&gt;="&amp;$C$7,BD!$A$3:$A$5001,"&lt;="&amp;$B230,BD!$Y$3:$Y$5001,"&lt;&gt;")=0,"",SUMIFS(BD!$Y$3:$Y$5001,BD!$B$3:$B$5001,O$210,BD!$A$3:$A$5001,_xlfn.MAXIFS(BD!$A$3:$A$5001,BD!$B$3:$B$5001,O$210,BD!$A$3:$A$5001,"&gt;="&amp;$C$7,BD!$A$3:$A$5001,"&lt;="&amp;$B230,BD!$Y$3:$Y$5001,"&lt;&gt;"))))</f>
        <v/>
      </c>
      <c r="P230" s="54" t="str">
        <f>IF(OR($B230="",$A230&gt;$B$9,P$210=""),"",IF(COUNTIFS(BD!$B$3:$B$5001,P$210,BD!$A$3:$A$5001,"&gt;="&amp;$C$7,BD!$A$3:$A$5001,"&lt;="&amp;$B230,BD!$Y$3:$Y$5001,"&lt;&gt;")=0,"",SUMIFS(BD!$Y$3:$Y$5001,BD!$B$3:$B$5001,P$210,BD!$A$3:$A$5001,_xlfn.MAXIFS(BD!$A$3:$A$5001,BD!$B$3:$B$5001,P$210,BD!$A$3:$A$5001,"&gt;="&amp;$C$7,BD!$A$3:$A$5001,"&lt;="&amp;$B230,BD!$Y$3:$Y$5001,"&lt;&gt;"))))</f>
        <v/>
      </c>
      <c r="Q230" s="54" t="str">
        <f>IF(OR($B230="",$A230&gt;$B$9,Q$210=""),"",IF(COUNTIFS(BD!$B$3:$B$5001,Q$210,BD!$A$3:$A$5001,"&gt;="&amp;$C$7,BD!$A$3:$A$5001,"&lt;="&amp;$B230,BD!$Y$3:$Y$5001,"&lt;&gt;")=0,"",SUMIFS(BD!$Y$3:$Y$5001,BD!$B$3:$B$5001,Q$210,BD!$A$3:$A$5001,_xlfn.MAXIFS(BD!$A$3:$A$5001,BD!$B$3:$B$5001,Q$210,BD!$A$3:$A$5001,"&gt;="&amp;$C$7,BD!$A$3:$A$5001,"&lt;="&amp;$B230,BD!$Y$3:$Y$5001,"&lt;&gt;"))))</f>
        <v/>
      </c>
      <c r="R230" s="54" t="str">
        <f>IF(OR($B230="",$A230&gt;$B$9,R$210=""),"",IF(COUNTIFS(BD!$B$3:$B$5001,R$210,BD!$A$3:$A$5001,"&gt;="&amp;$C$7,BD!$A$3:$A$5001,"&lt;="&amp;$B230,BD!$Y$3:$Y$5001,"&lt;&gt;")=0,"",SUMIFS(BD!$Y$3:$Y$5001,BD!$B$3:$B$5001,R$210,BD!$A$3:$A$5001,_xlfn.MAXIFS(BD!$A$3:$A$5001,BD!$B$3:$B$5001,R$210,BD!$A$3:$A$5001,"&gt;="&amp;$C$7,BD!$A$3:$A$5001,"&lt;="&amp;$B230,BD!$Y$3:$Y$5001,"&lt;&gt;"))))</f>
        <v/>
      </c>
      <c r="S230" s="54" t="str">
        <f>IF(OR($B230="",$A230&gt;$B$9,S$210=""),"",IF(COUNTIFS(BD!$B$3:$B$5001,S$210,BD!$A$3:$A$5001,"&gt;="&amp;$C$7,BD!$A$3:$A$5001,"&lt;="&amp;$B230,BD!$Y$3:$Y$5001,"&lt;&gt;")=0,"",SUMIFS(BD!$Y$3:$Y$5001,BD!$B$3:$B$5001,S$210,BD!$A$3:$A$5001,_xlfn.MAXIFS(BD!$A$3:$A$5001,BD!$B$3:$B$5001,S$210,BD!$A$3:$A$5001,"&gt;="&amp;$C$7,BD!$A$3:$A$5001,"&lt;="&amp;$B230,BD!$Y$3:$Y$5001,"&lt;&gt;"))))</f>
        <v/>
      </c>
      <c r="T230" s="54" t="str">
        <f>IF(OR($B230="",$A230&gt;$B$9,T$210=""),"",IF(COUNTIFS(BD!$B$3:$B$5001,T$210,BD!$A$3:$A$5001,"&gt;="&amp;$C$7,BD!$A$3:$A$5001,"&lt;="&amp;$B230,BD!$Y$3:$Y$5001,"&lt;&gt;")=0,"",SUMIFS(BD!$Y$3:$Y$5001,BD!$B$3:$B$5001,T$210,BD!$A$3:$A$5001,_xlfn.MAXIFS(BD!$A$3:$A$5001,BD!$B$3:$B$5001,T$210,BD!$A$3:$A$5001,"&gt;="&amp;$C$7,BD!$A$3:$A$5001,"&lt;="&amp;$B230,BD!$Y$3:$Y$5001,"&lt;&gt;"))))</f>
        <v/>
      </c>
      <c r="U230" s="54" t="str">
        <f>IF(OR($B230="",$A230&gt;$B$9,U$210=""),"",IF(COUNTIFS(BD!$B$3:$B$5001,U$210,BD!$A$3:$A$5001,"&gt;="&amp;$C$7,BD!$A$3:$A$5001,"&lt;="&amp;$B230,BD!$Y$3:$Y$5001,"&lt;&gt;")=0,"",SUMIFS(BD!$Y$3:$Y$5001,BD!$B$3:$B$5001,U$210,BD!$A$3:$A$5001,_xlfn.MAXIFS(BD!$A$3:$A$5001,BD!$B$3:$B$5001,U$210,BD!$A$3:$A$5001,"&gt;="&amp;$C$7,BD!$A$3:$A$5001,"&lt;="&amp;$B230,BD!$Y$3:$Y$5001,"&lt;&gt;"))))</f>
        <v/>
      </c>
      <c r="V230" s="54" t="str">
        <f>IF(OR($B230="",$A230&gt;$B$9,V$210=""),"",IF(COUNTIFS(BD!$B$3:$B$5001,V$210,BD!$A$3:$A$5001,"&gt;="&amp;$C$7,BD!$A$3:$A$5001,"&lt;="&amp;$B230,BD!$Y$3:$Y$5001,"&lt;&gt;")=0,"",SUMIFS(BD!$Y$3:$Y$5001,BD!$B$3:$B$5001,V$210,BD!$A$3:$A$5001,_xlfn.MAXIFS(BD!$A$3:$A$5001,BD!$B$3:$B$5001,V$210,BD!$A$3:$A$5001,"&gt;="&amp;$C$7,BD!$A$3:$A$5001,"&lt;="&amp;$B230,BD!$Y$3:$Y$5001,"&lt;&gt;"))))</f>
        <v/>
      </c>
    </row>
    <row r="231">
      <c r="A231" s="48">
        <v>21</v>
      </c>
      <c r="B231" s="53">
        <f>$B$32</f>
        <v>46316</v>
      </c>
      <c r="C231" s="54" t="str">
        <f>IF(OR($B231="",$A231&gt;$B$9,C$210=""),"",IF(COUNTIFS(BD!$B$3:$B$5001,C$210,BD!$A$3:$A$5001,"&gt;="&amp;$C$7,BD!$A$3:$A$5001,"&lt;="&amp;$B231,BD!$Y$3:$Y$5001,"&lt;&gt;")=0,"",SUMIFS(BD!$Y$3:$Y$5001,BD!$B$3:$B$5001,C$210,BD!$A$3:$A$5001,_xlfn.MAXIFS(BD!$A$3:$A$5001,BD!$B$3:$B$5001,C$210,BD!$A$3:$A$5001,"&gt;="&amp;$C$7,BD!$A$3:$A$5001,"&lt;="&amp;$B231,BD!$Y$3:$Y$5001,"&lt;&gt;"))))</f>
        <v/>
      </c>
      <c r="D231" s="54" t="str">
        <f>IF(OR($B231="",$A231&gt;$B$9,D$210=""),"",IF(COUNTIFS(BD!$B$3:$B$5001,D$210,BD!$A$3:$A$5001,"&gt;="&amp;$C$7,BD!$A$3:$A$5001,"&lt;="&amp;$B231,BD!$Y$3:$Y$5001,"&lt;&gt;")=0,"",SUMIFS(BD!$Y$3:$Y$5001,BD!$B$3:$B$5001,D$210,BD!$A$3:$A$5001,_xlfn.MAXIFS(BD!$A$3:$A$5001,BD!$B$3:$B$5001,D$210,BD!$A$3:$A$5001,"&gt;="&amp;$C$7,BD!$A$3:$A$5001,"&lt;="&amp;$B231,BD!$Y$3:$Y$5001,"&lt;&gt;"))))</f>
        <v/>
      </c>
      <c r="E231" s="54" t="str">
        <f>IF(OR($B231="",$A231&gt;$B$9,E$210=""),"",IF(COUNTIFS(BD!$B$3:$B$5001,E$210,BD!$A$3:$A$5001,"&gt;="&amp;$C$7,BD!$A$3:$A$5001,"&lt;="&amp;$B231,BD!$Y$3:$Y$5001,"&lt;&gt;")=0,"",SUMIFS(BD!$Y$3:$Y$5001,BD!$B$3:$B$5001,E$210,BD!$A$3:$A$5001,_xlfn.MAXIFS(BD!$A$3:$A$5001,BD!$B$3:$B$5001,E$210,BD!$A$3:$A$5001,"&gt;="&amp;$C$7,BD!$A$3:$A$5001,"&lt;="&amp;$B231,BD!$Y$3:$Y$5001,"&lt;&gt;"))))</f>
        <v/>
      </c>
      <c r="F231" s="54" t="str">
        <f>IF(OR($B231="",$A231&gt;$B$9,F$210=""),"",IF(COUNTIFS(BD!$B$3:$B$5001,F$210,BD!$A$3:$A$5001,"&gt;="&amp;$C$7,BD!$A$3:$A$5001,"&lt;="&amp;$B231,BD!$Y$3:$Y$5001,"&lt;&gt;")=0,"",SUMIFS(BD!$Y$3:$Y$5001,BD!$B$3:$B$5001,F$210,BD!$A$3:$A$5001,_xlfn.MAXIFS(BD!$A$3:$A$5001,BD!$B$3:$B$5001,F$210,BD!$A$3:$A$5001,"&gt;="&amp;$C$7,BD!$A$3:$A$5001,"&lt;="&amp;$B231,BD!$Y$3:$Y$5001,"&lt;&gt;"))))</f>
        <v/>
      </c>
      <c r="G231" s="54" t="str">
        <f>IF(OR($B231="",$A231&gt;$B$9,G$210=""),"",IF(COUNTIFS(BD!$B$3:$B$5001,G$210,BD!$A$3:$A$5001,"&gt;="&amp;$C$7,BD!$A$3:$A$5001,"&lt;="&amp;$B231,BD!$Y$3:$Y$5001,"&lt;&gt;")=0,"",SUMIFS(BD!$Y$3:$Y$5001,BD!$B$3:$B$5001,G$210,BD!$A$3:$A$5001,_xlfn.MAXIFS(BD!$A$3:$A$5001,BD!$B$3:$B$5001,G$210,BD!$A$3:$A$5001,"&gt;="&amp;$C$7,BD!$A$3:$A$5001,"&lt;="&amp;$B231,BD!$Y$3:$Y$5001,"&lt;&gt;"))))</f>
        <v/>
      </c>
      <c r="H231" s="54" t="str">
        <f>IF(OR($B231="",$A231&gt;$B$9,H$210=""),"",IF(COUNTIFS(BD!$B$3:$B$5001,H$210,BD!$A$3:$A$5001,"&gt;="&amp;$C$7,BD!$A$3:$A$5001,"&lt;="&amp;$B231,BD!$Y$3:$Y$5001,"&lt;&gt;")=0,"",SUMIFS(BD!$Y$3:$Y$5001,BD!$B$3:$B$5001,H$210,BD!$A$3:$A$5001,_xlfn.MAXIFS(BD!$A$3:$A$5001,BD!$B$3:$B$5001,H$210,BD!$A$3:$A$5001,"&gt;="&amp;$C$7,BD!$A$3:$A$5001,"&lt;="&amp;$B231,BD!$Y$3:$Y$5001,"&lt;&gt;"))))</f>
        <v/>
      </c>
      <c r="I231" s="54" t="str">
        <f>IF(OR($B231="",$A231&gt;$B$9,I$210=""),"",IF(COUNTIFS(BD!$B$3:$B$5001,I$210,BD!$A$3:$A$5001,"&gt;="&amp;$C$7,BD!$A$3:$A$5001,"&lt;="&amp;$B231,BD!$Y$3:$Y$5001,"&lt;&gt;")=0,"",SUMIFS(BD!$Y$3:$Y$5001,BD!$B$3:$B$5001,I$210,BD!$A$3:$A$5001,_xlfn.MAXIFS(BD!$A$3:$A$5001,BD!$B$3:$B$5001,I$210,BD!$A$3:$A$5001,"&gt;="&amp;$C$7,BD!$A$3:$A$5001,"&lt;="&amp;$B231,BD!$Y$3:$Y$5001,"&lt;&gt;"))))</f>
        <v/>
      </c>
      <c r="J231" s="54" t="str">
        <f>IF(OR($B231="",$A231&gt;$B$9,J$210=""),"",IF(COUNTIFS(BD!$B$3:$B$5001,J$210,BD!$A$3:$A$5001,"&gt;="&amp;$C$7,BD!$A$3:$A$5001,"&lt;="&amp;$B231,BD!$Y$3:$Y$5001,"&lt;&gt;")=0,"",SUMIFS(BD!$Y$3:$Y$5001,BD!$B$3:$B$5001,J$210,BD!$A$3:$A$5001,_xlfn.MAXIFS(BD!$A$3:$A$5001,BD!$B$3:$B$5001,J$210,BD!$A$3:$A$5001,"&gt;="&amp;$C$7,BD!$A$3:$A$5001,"&lt;="&amp;$B231,BD!$Y$3:$Y$5001,"&lt;&gt;"))))</f>
        <v/>
      </c>
      <c r="K231" s="54" t="str">
        <f>IF(OR($B231="",$A231&gt;$B$9,K$210=""),"",IF(COUNTIFS(BD!$B$3:$B$5001,K$210,BD!$A$3:$A$5001,"&gt;="&amp;$C$7,BD!$A$3:$A$5001,"&lt;="&amp;$B231,BD!$Y$3:$Y$5001,"&lt;&gt;")=0,"",SUMIFS(BD!$Y$3:$Y$5001,BD!$B$3:$B$5001,K$210,BD!$A$3:$A$5001,_xlfn.MAXIFS(BD!$A$3:$A$5001,BD!$B$3:$B$5001,K$210,BD!$A$3:$A$5001,"&gt;="&amp;$C$7,BD!$A$3:$A$5001,"&lt;="&amp;$B231,BD!$Y$3:$Y$5001,"&lt;&gt;"))))</f>
        <v/>
      </c>
      <c r="L231" s="54" t="str">
        <f>IF(OR($B231="",$A231&gt;$B$9,L$210=""),"",IF(COUNTIFS(BD!$B$3:$B$5001,L$210,BD!$A$3:$A$5001,"&gt;="&amp;$C$7,BD!$A$3:$A$5001,"&lt;="&amp;$B231,BD!$Y$3:$Y$5001,"&lt;&gt;")=0,"",SUMIFS(BD!$Y$3:$Y$5001,BD!$B$3:$B$5001,L$210,BD!$A$3:$A$5001,_xlfn.MAXIFS(BD!$A$3:$A$5001,BD!$B$3:$B$5001,L$210,BD!$A$3:$A$5001,"&gt;="&amp;$C$7,BD!$A$3:$A$5001,"&lt;="&amp;$B231,BD!$Y$3:$Y$5001,"&lt;&gt;"))))</f>
        <v/>
      </c>
      <c r="M231" s="54" t="str">
        <f>IF(OR($B231="",$A231&gt;$B$9,M$210=""),"",IF(COUNTIFS(BD!$B$3:$B$5001,M$210,BD!$A$3:$A$5001,"&gt;="&amp;$C$7,BD!$A$3:$A$5001,"&lt;="&amp;$B231,BD!$Y$3:$Y$5001,"&lt;&gt;")=0,"",SUMIFS(BD!$Y$3:$Y$5001,BD!$B$3:$B$5001,M$210,BD!$A$3:$A$5001,_xlfn.MAXIFS(BD!$A$3:$A$5001,BD!$B$3:$B$5001,M$210,BD!$A$3:$A$5001,"&gt;="&amp;$C$7,BD!$A$3:$A$5001,"&lt;="&amp;$B231,BD!$Y$3:$Y$5001,"&lt;&gt;"))))</f>
        <v/>
      </c>
      <c r="N231" s="54" t="str">
        <f>IF(OR($B231="",$A231&gt;$B$9,N$210=""),"",IF(COUNTIFS(BD!$B$3:$B$5001,N$210,BD!$A$3:$A$5001,"&gt;="&amp;$C$7,BD!$A$3:$A$5001,"&lt;="&amp;$B231,BD!$Y$3:$Y$5001,"&lt;&gt;")=0,"",SUMIFS(BD!$Y$3:$Y$5001,BD!$B$3:$B$5001,N$210,BD!$A$3:$A$5001,_xlfn.MAXIFS(BD!$A$3:$A$5001,BD!$B$3:$B$5001,N$210,BD!$A$3:$A$5001,"&gt;="&amp;$C$7,BD!$A$3:$A$5001,"&lt;="&amp;$B231,BD!$Y$3:$Y$5001,"&lt;&gt;"))))</f>
        <v/>
      </c>
      <c r="O231" s="54" t="str">
        <f>IF(OR($B231="",$A231&gt;$B$9,O$210=""),"",IF(COUNTIFS(BD!$B$3:$B$5001,O$210,BD!$A$3:$A$5001,"&gt;="&amp;$C$7,BD!$A$3:$A$5001,"&lt;="&amp;$B231,BD!$Y$3:$Y$5001,"&lt;&gt;")=0,"",SUMIFS(BD!$Y$3:$Y$5001,BD!$B$3:$B$5001,O$210,BD!$A$3:$A$5001,_xlfn.MAXIFS(BD!$A$3:$A$5001,BD!$B$3:$B$5001,O$210,BD!$A$3:$A$5001,"&gt;="&amp;$C$7,BD!$A$3:$A$5001,"&lt;="&amp;$B231,BD!$Y$3:$Y$5001,"&lt;&gt;"))))</f>
        <v/>
      </c>
      <c r="P231" s="54" t="str">
        <f>IF(OR($B231="",$A231&gt;$B$9,P$210=""),"",IF(COUNTIFS(BD!$B$3:$B$5001,P$210,BD!$A$3:$A$5001,"&gt;="&amp;$C$7,BD!$A$3:$A$5001,"&lt;="&amp;$B231,BD!$Y$3:$Y$5001,"&lt;&gt;")=0,"",SUMIFS(BD!$Y$3:$Y$5001,BD!$B$3:$B$5001,P$210,BD!$A$3:$A$5001,_xlfn.MAXIFS(BD!$A$3:$A$5001,BD!$B$3:$B$5001,P$210,BD!$A$3:$A$5001,"&gt;="&amp;$C$7,BD!$A$3:$A$5001,"&lt;="&amp;$B231,BD!$Y$3:$Y$5001,"&lt;&gt;"))))</f>
        <v/>
      </c>
      <c r="Q231" s="54" t="str">
        <f>IF(OR($B231="",$A231&gt;$B$9,Q$210=""),"",IF(COUNTIFS(BD!$B$3:$B$5001,Q$210,BD!$A$3:$A$5001,"&gt;="&amp;$C$7,BD!$A$3:$A$5001,"&lt;="&amp;$B231,BD!$Y$3:$Y$5001,"&lt;&gt;")=0,"",SUMIFS(BD!$Y$3:$Y$5001,BD!$B$3:$B$5001,Q$210,BD!$A$3:$A$5001,_xlfn.MAXIFS(BD!$A$3:$A$5001,BD!$B$3:$B$5001,Q$210,BD!$A$3:$A$5001,"&gt;="&amp;$C$7,BD!$A$3:$A$5001,"&lt;="&amp;$B231,BD!$Y$3:$Y$5001,"&lt;&gt;"))))</f>
        <v/>
      </c>
      <c r="R231" s="54" t="str">
        <f>IF(OR($B231="",$A231&gt;$B$9,R$210=""),"",IF(COUNTIFS(BD!$B$3:$B$5001,R$210,BD!$A$3:$A$5001,"&gt;="&amp;$C$7,BD!$A$3:$A$5001,"&lt;="&amp;$B231,BD!$Y$3:$Y$5001,"&lt;&gt;")=0,"",SUMIFS(BD!$Y$3:$Y$5001,BD!$B$3:$B$5001,R$210,BD!$A$3:$A$5001,_xlfn.MAXIFS(BD!$A$3:$A$5001,BD!$B$3:$B$5001,R$210,BD!$A$3:$A$5001,"&gt;="&amp;$C$7,BD!$A$3:$A$5001,"&lt;="&amp;$B231,BD!$Y$3:$Y$5001,"&lt;&gt;"))))</f>
        <v/>
      </c>
      <c r="S231" s="54" t="str">
        <f>IF(OR($B231="",$A231&gt;$B$9,S$210=""),"",IF(COUNTIFS(BD!$B$3:$B$5001,S$210,BD!$A$3:$A$5001,"&gt;="&amp;$C$7,BD!$A$3:$A$5001,"&lt;="&amp;$B231,BD!$Y$3:$Y$5001,"&lt;&gt;")=0,"",SUMIFS(BD!$Y$3:$Y$5001,BD!$B$3:$B$5001,S$210,BD!$A$3:$A$5001,_xlfn.MAXIFS(BD!$A$3:$A$5001,BD!$B$3:$B$5001,S$210,BD!$A$3:$A$5001,"&gt;="&amp;$C$7,BD!$A$3:$A$5001,"&lt;="&amp;$B231,BD!$Y$3:$Y$5001,"&lt;&gt;"))))</f>
        <v/>
      </c>
      <c r="T231" s="54" t="str">
        <f>IF(OR($B231="",$A231&gt;$B$9,T$210=""),"",IF(COUNTIFS(BD!$B$3:$B$5001,T$210,BD!$A$3:$A$5001,"&gt;="&amp;$C$7,BD!$A$3:$A$5001,"&lt;="&amp;$B231,BD!$Y$3:$Y$5001,"&lt;&gt;")=0,"",SUMIFS(BD!$Y$3:$Y$5001,BD!$B$3:$B$5001,T$210,BD!$A$3:$A$5001,_xlfn.MAXIFS(BD!$A$3:$A$5001,BD!$B$3:$B$5001,T$210,BD!$A$3:$A$5001,"&gt;="&amp;$C$7,BD!$A$3:$A$5001,"&lt;="&amp;$B231,BD!$Y$3:$Y$5001,"&lt;&gt;"))))</f>
        <v/>
      </c>
      <c r="U231" s="54" t="str">
        <f>IF(OR($B231="",$A231&gt;$B$9,U$210=""),"",IF(COUNTIFS(BD!$B$3:$B$5001,U$210,BD!$A$3:$A$5001,"&gt;="&amp;$C$7,BD!$A$3:$A$5001,"&lt;="&amp;$B231,BD!$Y$3:$Y$5001,"&lt;&gt;")=0,"",SUMIFS(BD!$Y$3:$Y$5001,BD!$B$3:$B$5001,U$210,BD!$A$3:$A$5001,_xlfn.MAXIFS(BD!$A$3:$A$5001,BD!$B$3:$B$5001,U$210,BD!$A$3:$A$5001,"&gt;="&amp;$C$7,BD!$A$3:$A$5001,"&lt;="&amp;$B231,BD!$Y$3:$Y$5001,"&lt;&gt;"))))</f>
        <v/>
      </c>
      <c r="V231" s="54" t="str">
        <f>IF(OR($B231="",$A231&gt;$B$9,V$210=""),"",IF(COUNTIFS(BD!$B$3:$B$5001,V$210,BD!$A$3:$A$5001,"&gt;="&amp;$C$7,BD!$A$3:$A$5001,"&lt;="&amp;$B231,BD!$Y$3:$Y$5001,"&lt;&gt;")=0,"",SUMIFS(BD!$Y$3:$Y$5001,BD!$B$3:$B$5001,V$210,BD!$A$3:$A$5001,_xlfn.MAXIFS(BD!$A$3:$A$5001,BD!$B$3:$B$5001,V$210,BD!$A$3:$A$5001,"&gt;="&amp;$C$7,BD!$A$3:$A$5001,"&lt;="&amp;$B231,BD!$Y$3:$Y$5001,"&lt;&gt;"))))</f>
        <v/>
      </c>
    </row>
    <row r="232">
      <c r="A232" s="48">
        <v>22</v>
      </c>
      <c r="B232" s="53">
        <f>$B$33</f>
        <v>46317</v>
      </c>
      <c r="C232" s="54" t="str">
        <f>IF(OR($B232="",$A232&gt;$B$9,C$210=""),"",IF(COUNTIFS(BD!$B$3:$B$5001,C$210,BD!$A$3:$A$5001,"&gt;="&amp;$C$7,BD!$A$3:$A$5001,"&lt;="&amp;$B232,BD!$Y$3:$Y$5001,"&lt;&gt;")=0,"",SUMIFS(BD!$Y$3:$Y$5001,BD!$B$3:$B$5001,C$210,BD!$A$3:$A$5001,_xlfn.MAXIFS(BD!$A$3:$A$5001,BD!$B$3:$B$5001,C$210,BD!$A$3:$A$5001,"&gt;="&amp;$C$7,BD!$A$3:$A$5001,"&lt;="&amp;$B232,BD!$Y$3:$Y$5001,"&lt;&gt;"))))</f>
        <v/>
      </c>
      <c r="D232" s="54" t="str">
        <f>IF(OR($B232="",$A232&gt;$B$9,D$210=""),"",IF(COUNTIFS(BD!$B$3:$B$5001,D$210,BD!$A$3:$A$5001,"&gt;="&amp;$C$7,BD!$A$3:$A$5001,"&lt;="&amp;$B232,BD!$Y$3:$Y$5001,"&lt;&gt;")=0,"",SUMIFS(BD!$Y$3:$Y$5001,BD!$B$3:$B$5001,D$210,BD!$A$3:$A$5001,_xlfn.MAXIFS(BD!$A$3:$A$5001,BD!$B$3:$B$5001,D$210,BD!$A$3:$A$5001,"&gt;="&amp;$C$7,BD!$A$3:$A$5001,"&lt;="&amp;$B232,BD!$Y$3:$Y$5001,"&lt;&gt;"))))</f>
        <v/>
      </c>
      <c r="E232" s="54" t="str">
        <f>IF(OR($B232="",$A232&gt;$B$9,E$210=""),"",IF(COUNTIFS(BD!$B$3:$B$5001,E$210,BD!$A$3:$A$5001,"&gt;="&amp;$C$7,BD!$A$3:$A$5001,"&lt;="&amp;$B232,BD!$Y$3:$Y$5001,"&lt;&gt;")=0,"",SUMIFS(BD!$Y$3:$Y$5001,BD!$B$3:$B$5001,E$210,BD!$A$3:$A$5001,_xlfn.MAXIFS(BD!$A$3:$A$5001,BD!$B$3:$B$5001,E$210,BD!$A$3:$A$5001,"&gt;="&amp;$C$7,BD!$A$3:$A$5001,"&lt;="&amp;$B232,BD!$Y$3:$Y$5001,"&lt;&gt;"))))</f>
        <v/>
      </c>
      <c r="F232" s="54" t="str">
        <f>IF(OR($B232="",$A232&gt;$B$9,F$210=""),"",IF(COUNTIFS(BD!$B$3:$B$5001,F$210,BD!$A$3:$A$5001,"&gt;="&amp;$C$7,BD!$A$3:$A$5001,"&lt;="&amp;$B232,BD!$Y$3:$Y$5001,"&lt;&gt;")=0,"",SUMIFS(BD!$Y$3:$Y$5001,BD!$B$3:$B$5001,F$210,BD!$A$3:$A$5001,_xlfn.MAXIFS(BD!$A$3:$A$5001,BD!$B$3:$B$5001,F$210,BD!$A$3:$A$5001,"&gt;="&amp;$C$7,BD!$A$3:$A$5001,"&lt;="&amp;$B232,BD!$Y$3:$Y$5001,"&lt;&gt;"))))</f>
        <v/>
      </c>
      <c r="G232" s="54" t="str">
        <f>IF(OR($B232="",$A232&gt;$B$9,G$210=""),"",IF(COUNTIFS(BD!$B$3:$B$5001,G$210,BD!$A$3:$A$5001,"&gt;="&amp;$C$7,BD!$A$3:$A$5001,"&lt;="&amp;$B232,BD!$Y$3:$Y$5001,"&lt;&gt;")=0,"",SUMIFS(BD!$Y$3:$Y$5001,BD!$B$3:$B$5001,G$210,BD!$A$3:$A$5001,_xlfn.MAXIFS(BD!$A$3:$A$5001,BD!$B$3:$B$5001,G$210,BD!$A$3:$A$5001,"&gt;="&amp;$C$7,BD!$A$3:$A$5001,"&lt;="&amp;$B232,BD!$Y$3:$Y$5001,"&lt;&gt;"))))</f>
        <v/>
      </c>
      <c r="H232" s="54" t="str">
        <f>IF(OR($B232="",$A232&gt;$B$9,H$210=""),"",IF(COUNTIFS(BD!$B$3:$B$5001,H$210,BD!$A$3:$A$5001,"&gt;="&amp;$C$7,BD!$A$3:$A$5001,"&lt;="&amp;$B232,BD!$Y$3:$Y$5001,"&lt;&gt;")=0,"",SUMIFS(BD!$Y$3:$Y$5001,BD!$B$3:$B$5001,H$210,BD!$A$3:$A$5001,_xlfn.MAXIFS(BD!$A$3:$A$5001,BD!$B$3:$B$5001,H$210,BD!$A$3:$A$5001,"&gt;="&amp;$C$7,BD!$A$3:$A$5001,"&lt;="&amp;$B232,BD!$Y$3:$Y$5001,"&lt;&gt;"))))</f>
        <v/>
      </c>
      <c r="I232" s="54" t="str">
        <f>IF(OR($B232="",$A232&gt;$B$9,I$210=""),"",IF(COUNTIFS(BD!$B$3:$B$5001,I$210,BD!$A$3:$A$5001,"&gt;="&amp;$C$7,BD!$A$3:$A$5001,"&lt;="&amp;$B232,BD!$Y$3:$Y$5001,"&lt;&gt;")=0,"",SUMIFS(BD!$Y$3:$Y$5001,BD!$B$3:$B$5001,I$210,BD!$A$3:$A$5001,_xlfn.MAXIFS(BD!$A$3:$A$5001,BD!$B$3:$B$5001,I$210,BD!$A$3:$A$5001,"&gt;="&amp;$C$7,BD!$A$3:$A$5001,"&lt;="&amp;$B232,BD!$Y$3:$Y$5001,"&lt;&gt;"))))</f>
        <v/>
      </c>
      <c r="J232" s="54" t="str">
        <f>IF(OR($B232="",$A232&gt;$B$9,J$210=""),"",IF(COUNTIFS(BD!$B$3:$B$5001,J$210,BD!$A$3:$A$5001,"&gt;="&amp;$C$7,BD!$A$3:$A$5001,"&lt;="&amp;$B232,BD!$Y$3:$Y$5001,"&lt;&gt;")=0,"",SUMIFS(BD!$Y$3:$Y$5001,BD!$B$3:$B$5001,J$210,BD!$A$3:$A$5001,_xlfn.MAXIFS(BD!$A$3:$A$5001,BD!$B$3:$B$5001,J$210,BD!$A$3:$A$5001,"&gt;="&amp;$C$7,BD!$A$3:$A$5001,"&lt;="&amp;$B232,BD!$Y$3:$Y$5001,"&lt;&gt;"))))</f>
        <v/>
      </c>
      <c r="K232" s="54" t="str">
        <f>IF(OR($B232="",$A232&gt;$B$9,K$210=""),"",IF(COUNTIFS(BD!$B$3:$B$5001,K$210,BD!$A$3:$A$5001,"&gt;="&amp;$C$7,BD!$A$3:$A$5001,"&lt;="&amp;$B232,BD!$Y$3:$Y$5001,"&lt;&gt;")=0,"",SUMIFS(BD!$Y$3:$Y$5001,BD!$B$3:$B$5001,K$210,BD!$A$3:$A$5001,_xlfn.MAXIFS(BD!$A$3:$A$5001,BD!$B$3:$B$5001,K$210,BD!$A$3:$A$5001,"&gt;="&amp;$C$7,BD!$A$3:$A$5001,"&lt;="&amp;$B232,BD!$Y$3:$Y$5001,"&lt;&gt;"))))</f>
        <v/>
      </c>
      <c r="L232" s="54" t="str">
        <f>IF(OR($B232="",$A232&gt;$B$9,L$210=""),"",IF(COUNTIFS(BD!$B$3:$B$5001,L$210,BD!$A$3:$A$5001,"&gt;="&amp;$C$7,BD!$A$3:$A$5001,"&lt;="&amp;$B232,BD!$Y$3:$Y$5001,"&lt;&gt;")=0,"",SUMIFS(BD!$Y$3:$Y$5001,BD!$B$3:$B$5001,L$210,BD!$A$3:$A$5001,_xlfn.MAXIFS(BD!$A$3:$A$5001,BD!$B$3:$B$5001,L$210,BD!$A$3:$A$5001,"&gt;="&amp;$C$7,BD!$A$3:$A$5001,"&lt;="&amp;$B232,BD!$Y$3:$Y$5001,"&lt;&gt;"))))</f>
        <v/>
      </c>
      <c r="M232" s="54" t="str">
        <f>IF(OR($B232="",$A232&gt;$B$9,M$210=""),"",IF(COUNTIFS(BD!$B$3:$B$5001,M$210,BD!$A$3:$A$5001,"&gt;="&amp;$C$7,BD!$A$3:$A$5001,"&lt;="&amp;$B232,BD!$Y$3:$Y$5001,"&lt;&gt;")=0,"",SUMIFS(BD!$Y$3:$Y$5001,BD!$B$3:$B$5001,M$210,BD!$A$3:$A$5001,_xlfn.MAXIFS(BD!$A$3:$A$5001,BD!$B$3:$B$5001,M$210,BD!$A$3:$A$5001,"&gt;="&amp;$C$7,BD!$A$3:$A$5001,"&lt;="&amp;$B232,BD!$Y$3:$Y$5001,"&lt;&gt;"))))</f>
        <v/>
      </c>
      <c r="N232" s="54" t="str">
        <f>IF(OR($B232="",$A232&gt;$B$9,N$210=""),"",IF(COUNTIFS(BD!$B$3:$B$5001,N$210,BD!$A$3:$A$5001,"&gt;="&amp;$C$7,BD!$A$3:$A$5001,"&lt;="&amp;$B232,BD!$Y$3:$Y$5001,"&lt;&gt;")=0,"",SUMIFS(BD!$Y$3:$Y$5001,BD!$B$3:$B$5001,N$210,BD!$A$3:$A$5001,_xlfn.MAXIFS(BD!$A$3:$A$5001,BD!$B$3:$B$5001,N$210,BD!$A$3:$A$5001,"&gt;="&amp;$C$7,BD!$A$3:$A$5001,"&lt;="&amp;$B232,BD!$Y$3:$Y$5001,"&lt;&gt;"))))</f>
        <v/>
      </c>
      <c r="O232" s="54" t="str">
        <f>IF(OR($B232="",$A232&gt;$B$9,O$210=""),"",IF(COUNTIFS(BD!$B$3:$B$5001,O$210,BD!$A$3:$A$5001,"&gt;="&amp;$C$7,BD!$A$3:$A$5001,"&lt;="&amp;$B232,BD!$Y$3:$Y$5001,"&lt;&gt;")=0,"",SUMIFS(BD!$Y$3:$Y$5001,BD!$B$3:$B$5001,O$210,BD!$A$3:$A$5001,_xlfn.MAXIFS(BD!$A$3:$A$5001,BD!$B$3:$B$5001,O$210,BD!$A$3:$A$5001,"&gt;="&amp;$C$7,BD!$A$3:$A$5001,"&lt;="&amp;$B232,BD!$Y$3:$Y$5001,"&lt;&gt;"))))</f>
        <v/>
      </c>
      <c r="P232" s="54" t="str">
        <f>IF(OR($B232="",$A232&gt;$B$9,P$210=""),"",IF(COUNTIFS(BD!$B$3:$B$5001,P$210,BD!$A$3:$A$5001,"&gt;="&amp;$C$7,BD!$A$3:$A$5001,"&lt;="&amp;$B232,BD!$Y$3:$Y$5001,"&lt;&gt;")=0,"",SUMIFS(BD!$Y$3:$Y$5001,BD!$B$3:$B$5001,P$210,BD!$A$3:$A$5001,_xlfn.MAXIFS(BD!$A$3:$A$5001,BD!$B$3:$B$5001,P$210,BD!$A$3:$A$5001,"&gt;="&amp;$C$7,BD!$A$3:$A$5001,"&lt;="&amp;$B232,BD!$Y$3:$Y$5001,"&lt;&gt;"))))</f>
        <v/>
      </c>
      <c r="Q232" s="54" t="str">
        <f>IF(OR($B232="",$A232&gt;$B$9,Q$210=""),"",IF(COUNTIFS(BD!$B$3:$B$5001,Q$210,BD!$A$3:$A$5001,"&gt;="&amp;$C$7,BD!$A$3:$A$5001,"&lt;="&amp;$B232,BD!$Y$3:$Y$5001,"&lt;&gt;")=0,"",SUMIFS(BD!$Y$3:$Y$5001,BD!$B$3:$B$5001,Q$210,BD!$A$3:$A$5001,_xlfn.MAXIFS(BD!$A$3:$A$5001,BD!$B$3:$B$5001,Q$210,BD!$A$3:$A$5001,"&gt;="&amp;$C$7,BD!$A$3:$A$5001,"&lt;="&amp;$B232,BD!$Y$3:$Y$5001,"&lt;&gt;"))))</f>
        <v/>
      </c>
      <c r="R232" s="54" t="str">
        <f>IF(OR($B232="",$A232&gt;$B$9,R$210=""),"",IF(COUNTIFS(BD!$B$3:$B$5001,R$210,BD!$A$3:$A$5001,"&gt;="&amp;$C$7,BD!$A$3:$A$5001,"&lt;="&amp;$B232,BD!$Y$3:$Y$5001,"&lt;&gt;")=0,"",SUMIFS(BD!$Y$3:$Y$5001,BD!$B$3:$B$5001,R$210,BD!$A$3:$A$5001,_xlfn.MAXIFS(BD!$A$3:$A$5001,BD!$B$3:$B$5001,R$210,BD!$A$3:$A$5001,"&gt;="&amp;$C$7,BD!$A$3:$A$5001,"&lt;="&amp;$B232,BD!$Y$3:$Y$5001,"&lt;&gt;"))))</f>
        <v/>
      </c>
      <c r="S232" s="54" t="str">
        <f>IF(OR($B232="",$A232&gt;$B$9,S$210=""),"",IF(COUNTIFS(BD!$B$3:$B$5001,S$210,BD!$A$3:$A$5001,"&gt;="&amp;$C$7,BD!$A$3:$A$5001,"&lt;="&amp;$B232,BD!$Y$3:$Y$5001,"&lt;&gt;")=0,"",SUMIFS(BD!$Y$3:$Y$5001,BD!$B$3:$B$5001,S$210,BD!$A$3:$A$5001,_xlfn.MAXIFS(BD!$A$3:$A$5001,BD!$B$3:$B$5001,S$210,BD!$A$3:$A$5001,"&gt;="&amp;$C$7,BD!$A$3:$A$5001,"&lt;="&amp;$B232,BD!$Y$3:$Y$5001,"&lt;&gt;"))))</f>
        <v/>
      </c>
      <c r="T232" s="54" t="str">
        <f>IF(OR($B232="",$A232&gt;$B$9,T$210=""),"",IF(COUNTIFS(BD!$B$3:$B$5001,T$210,BD!$A$3:$A$5001,"&gt;="&amp;$C$7,BD!$A$3:$A$5001,"&lt;="&amp;$B232,BD!$Y$3:$Y$5001,"&lt;&gt;")=0,"",SUMIFS(BD!$Y$3:$Y$5001,BD!$B$3:$B$5001,T$210,BD!$A$3:$A$5001,_xlfn.MAXIFS(BD!$A$3:$A$5001,BD!$B$3:$B$5001,T$210,BD!$A$3:$A$5001,"&gt;="&amp;$C$7,BD!$A$3:$A$5001,"&lt;="&amp;$B232,BD!$Y$3:$Y$5001,"&lt;&gt;"))))</f>
        <v/>
      </c>
      <c r="U232" s="54" t="str">
        <f>IF(OR($B232="",$A232&gt;$B$9,U$210=""),"",IF(COUNTIFS(BD!$B$3:$B$5001,U$210,BD!$A$3:$A$5001,"&gt;="&amp;$C$7,BD!$A$3:$A$5001,"&lt;="&amp;$B232,BD!$Y$3:$Y$5001,"&lt;&gt;")=0,"",SUMIFS(BD!$Y$3:$Y$5001,BD!$B$3:$B$5001,U$210,BD!$A$3:$A$5001,_xlfn.MAXIFS(BD!$A$3:$A$5001,BD!$B$3:$B$5001,U$210,BD!$A$3:$A$5001,"&gt;="&amp;$C$7,BD!$A$3:$A$5001,"&lt;="&amp;$B232,BD!$Y$3:$Y$5001,"&lt;&gt;"))))</f>
        <v/>
      </c>
      <c r="V232" s="54" t="str">
        <f>IF(OR($B232="",$A232&gt;$B$9,V$210=""),"",IF(COUNTIFS(BD!$B$3:$B$5001,V$210,BD!$A$3:$A$5001,"&gt;="&amp;$C$7,BD!$A$3:$A$5001,"&lt;="&amp;$B232,BD!$Y$3:$Y$5001,"&lt;&gt;")=0,"",SUMIFS(BD!$Y$3:$Y$5001,BD!$B$3:$B$5001,V$210,BD!$A$3:$A$5001,_xlfn.MAXIFS(BD!$A$3:$A$5001,BD!$B$3:$B$5001,V$210,BD!$A$3:$A$5001,"&gt;="&amp;$C$7,BD!$A$3:$A$5001,"&lt;="&amp;$B232,BD!$Y$3:$Y$5001,"&lt;&gt;"))))</f>
        <v/>
      </c>
    </row>
    <row r="233">
      <c r="A233" s="48">
        <v>23</v>
      </c>
      <c r="B233" s="53">
        <f>$B$34</f>
        <v>46318</v>
      </c>
      <c r="C233" s="54" t="str">
        <f>IF(OR($B233="",$A233&gt;$B$9,C$210=""),"",IF(COUNTIFS(BD!$B$3:$B$5001,C$210,BD!$A$3:$A$5001,"&gt;="&amp;$C$7,BD!$A$3:$A$5001,"&lt;="&amp;$B233,BD!$Y$3:$Y$5001,"&lt;&gt;")=0,"",SUMIFS(BD!$Y$3:$Y$5001,BD!$B$3:$B$5001,C$210,BD!$A$3:$A$5001,_xlfn.MAXIFS(BD!$A$3:$A$5001,BD!$B$3:$B$5001,C$210,BD!$A$3:$A$5001,"&gt;="&amp;$C$7,BD!$A$3:$A$5001,"&lt;="&amp;$B233,BD!$Y$3:$Y$5001,"&lt;&gt;"))))</f>
        <v/>
      </c>
      <c r="D233" s="54" t="str">
        <f>IF(OR($B233="",$A233&gt;$B$9,D$210=""),"",IF(COUNTIFS(BD!$B$3:$B$5001,D$210,BD!$A$3:$A$5001,"&gt;="&amp;$C$7,BD!$A$3:$A$5001,"&lt;="&amp;$B233,BD!$Y$3:$Y$5001,"&lt;&gt;")=0,"",SUMIFS(BD!$Y$3:$Y$5001,BD!$B$3:$B$5001,D$210,BD!$A$3:$A$5001,_xlfn.MAXIFS(BD!$A$3:$A$5001,BD!$B$3:$B$5001,D$210,BD!$A$3:$A$5001,"&gt;="&amp;$C$7,BD!$A$3:$A$5001,"&lt;="&amp;$B233,BD!$Y$3:$Y$5001,"&lt;&gt;"))))</f>
        <v/>
      </c>
      <c r="E233" s="54" t="str">
        <f>IF(OR($B233="",$A233&gt;$B$9,E$210=""),"",IF(COUNTIFS(BD!$B$3:$B$5001,E$210,BD!$A$3:$A$5001,"&gt;="&amp;$C$7,BD!$A$3:$A$5001,"&lt;="&amp;$B233,BD!$Y$3:$Y$5001,"&lt;&gt;")=0,"",SUMIFS(BD!$Y$3:$Y$5001,BD!$B$3:$B$5001,E$210,BD!$A$3:$A$5001,_xlfn.MAXIFS(BD!$A$3:$A$5001,BD!$B$3:$B$5001,E$210,BD!$A$3:$A$5001,"&gt;="&amp;$C$7,BD!$A$3:$A$5001,"&lt;="&amp;$B233,BD!$Y$3:$Y$5001,"&lt;&gt;"))))</f>
        <v/>
      </c>
      <c r="F233" s="54" t="str">
        <f>IF(OR($B233="",$A233&gt;$B$9,F$210=""),"",IF(COUNTIFS(BD!$B$3:$B$5001,F$210,BD!$A$3:$A$5001,"&gt;="&amp;$C$7,BD!$A$3:$A$5001,"&lt;="&amp;$B233,BD!$Y$3:$Y$5001,"&lt;&gt;")=0,"",SUMIFS(BD!$Y$3:$Y$5001,BD!$B$3:$B$5001,F$210,BD!$A$3:$A$5001,_xlfn.MAXIFS(BD!$A$3:$A$5001,BD!$B$3:$B$5001,F$210,BD!$A$3:$A$5001,"&gt;="&amp;$C$7,BD!$A$3:$A$5001,"&lt;="&amp;$B233,BD!$Y$3:$Y$5001,"&lt;&gt;"))))</f>
        <v/>
      </c>
      <c r="G233" s="54" t="str">
        <f>IF(OR($B233="",$A233&gt;$B$9,G$210=""),"",IF(COUNTIFS(BD!$B$3:$B$5001,G$210,BD!$A$3:$A$5001,"&gt;="&amp;$C$7,BD!$A$3:$A$5001,"&lt;="&amp;$B233,BD!$Y$3:$Y$5001,"&lt;&gt;")=0,"",SUMIFS(BD!$Y$3:$Y$5001,BD!$B$3:$B$5001,G$210,BD!$A$3:$A$5001,_xlfn.MAXIFS(BD!$A$3:$A$5001,BD!$B$3:$B$5001,G$210,BD!$A$3:$A$5001,"&gt;="&amp;$C$7,BD!$A$3:$A$5001,"&lt;="&amp;$B233,BD!$Y$3:$Y$5001,"&lt;&gt;"))))</f>
        <v/>
      </c>
      <c r="H233" s="54" t="str">
        <f>IF(OR($B233="",$A233&gt;$B$9,H$210=""),"",IF(COUNTIFS(BD!$B$3:$B$5001,H$210,BD!$A$3:$A$5001,"&gt;="&amp;$C$7,BD!$A$3:$A$5001,"&lt;="&amp;$B233,BD!$Y$3:$Y$5001,"&lt;&gt;")=0,"",SUMIFS(BD!$Y$3:$Y$5001,BD!$B$3:$B$5001,H$210,BD!$A$3:$A$5001,_xlfn.MAXIFS(BD!$A$3:$A$5001,BD!$B$3:$B$5001,H$210,BD!$A$3:$A$5001,"&gt;="&amp;$C$7,BD!$A$3:$A$5001,"&lt;="&amp;$B233,BD!$Y$3:$Y$5001,"&lt;&gt;"))))</f>
        <v/>
      </c>
      <c r="I233" s="54" t="str">
        <f>IF(OR($B233="",$A233&gt;$B$9,I$210=""),"",IF(COUNTIFS(BD!$B$3:$B$5001,I$210,BD!$A$3:$A$5001,"&gt;="&amp;$C$7,BD!$A$3:$A$5001,"&lt;="&amp;$B233,BD!$Y$3:$Y$5001,"&lt;&gt;")=0,"",SUMIFS(BD!$Y$3:$Y$5001,BD!$B$3:$B$5001,I$210,BD!$A$3:$A$5001,_xlfn.MAXIFS(BD!$A$3:$A$5001,BD!$B$3:$B$5001,I$210,BD!$A$3:$A$5001,"&gt;="&amp;$C$7,BD!$A$3:$A$5001,"&lt;="&amp;$B233,BD!$Y$3:$Y$5001,"&lt;&gt;"))))</f>
        <v/>
      </c>
      <c r="J233" s="54" t="str">
        <f>IF(OR($B233="",$A233&gt;$B$9,J$210=""),"",IF(COUNTIFS(BD!$B$3:$B$5001,J$210,BD!$A$3:$A$5001,"&gt;="&amp;$C$7,BD!$A$3:$A$5001,"&lt;="&amp;$B233,BD!$Y$3:$Y$5001,"&lt;&gt;")=0,"",SUMIFS(BD!$Y$3:$Y$5001,BD!$B$3:$B$5001,J$210,BD!$A$3:$A$5001,_xlfn.MAXIFS(BD!$A$3:$A$5001,BD!$B$3:$B$5001,J$210,BD!$A$3:$A$5001,"&gt;="&amp;$C$7,BD!$A$3:$A$5001,"&lt;="&amp;$B233,BD!$Y$3:$Y$5001,"&lt;&gt;"))))</f>
        <v/>
      </c>
      <c r="K233" s="54" t="str">
        <f>IF(OR($B233="",$A233&gt;$B$9,K$210=""),"",IF(COUNTIFS(BD!$B$3:$B$5001,K$210,BD!$A$3:$A$5001,"&gt;="&amp;$C$7,BD!$A$3:$A$5001,"&lt;="&amp;$B233,BD!$Y$3:$Y$5001,"&lt;&gt;")=0,"",SUMIFS(BD!$Y$3:$Y$5001,BD!$B$3:$B$5001,K$210,BD!$A$3:$A$5001,_xlfn.MAXIFS(BD!$A$3:$A$5001,BD!$B$3:$B$5001,K$210,BD!$A$3:$A$5001,"&gt;="&amp;$C$7,BD!$A$3:$A$5001,"&lt;="&amp;$B233,BD!$Y$3:$Y$5001,"&lt;&gt;"))))</f>
        <v/>
      </c>
      <c r="L233" s="54" t="str">
        <f>IF(OR($B233="",$A233&gt;$B$9,L$210=""),"",IF(COUNTIFS(BD!$B$3:$B$5001,L$210,BD!$A$3:$A$5001,"&gt;="&amp;$C$7,BD!$A$3:$A$5001,"&lt;="&amp;$B233,BD!$Y$3:$Y$5001,"&lt;&gt;")=0,"",SUMIFS(BD!$Y$3:$Y$5001,BD!$B$3:$B$5001,L$210,BD!$A$3:$A$5001,_xlfn.MAXIFS(BD!$A$3:$A$5001,BD!$B$3:$B$5001,L$210,BD!$A$3:$A$5001,"&gt;="&amp;$C$7,BD!$A$3:$A$5001,"&lt;="&amp;$B233,BD!$Y$3:$Y$5001,"&lt;&gt;"))))</f>
        <v/>
      </c>
      <c r="M233" s="54" t="str">
        <f>IF(OR($B233="",$A233&gt;$B$9,M$210=""),"",IF(COUNTIFS(BD!$B$3:$B$5001,M$210,BD!$A$3:$A$5001,"&gt;="&amp;$C$7,BD!$A$3:$A$5001,"&lt;="&amp;$B233,BD!$Y$3:$Y$5001,"&lt;&gt;")=0,"",SUMIFS(BD!$Y$3:$Y$5001,BD!$B$3:$B$5001,M$210,BD!$A$3:$A$5001,_xlfn.MAXIFS(BD!$A$3:$A$5001,BD!$B$3:$B$5001,M$210,BD!$A$3:$A$5001,"&gt;="&amp;$C$7,BD!$A$3:$A$5001,"&lt;="&amp;$B233,BD!$Y$3:$Y$5001,"&lt;&gt;"))))</f>
        <v/>
      </c>
      <c r="N233" s="54" t="str">
        <f>IF(OR($B233="",$A233&gt;$B$9,N$210=""),"",IF(COUNTIFS(BD!$B$3:$B$5001,N$210,BD!$A$3:$A$5001,"&gt;="&amp;$C$7,BD!$A$3:$A$5001,"&lt;="&amp;$B233,BD!$Y$3:$Y$5001,"&lt;&gt;")=0,"",SUMIFS(BD!$Y$3:$Y$5001,BD!$B$3:$B$5001,N$210,BD!$A$3:$A$5001,_xlfn.MAXIFS(BD!$A$3:$A$5001,BD!$B$3:$B$5001,N$210,BD!$A$3:$A$5001,"&gt;="&amp;$C$7,BD!$A$3:$A$5001,"&lt;="&amp;$B233,BD!$Y$3:$Y$5001,"&lt;&gt;"))))</f>
        <v/>
      </c>
      <c r="O233" s="54" t="str">
        <f>IF(OR($B233="",$A233&gt;$B$9,O$210=""),"",IF(COUNTIFS(BD!$B$3:$B$5001,O$210,BD!$A$3:$A$5001,"&gt;="&amp;$C$7,BD!$A$3:$A$5001,"&lt;="&amp;$B233,BD!$Y$3:$Y$5001,"&lt;&gt;")=0,"",SUMIFS(BD!$Y$3:$Y$5001,BD!$B$3:$B$5001,O$210,BD!$A$3:$A$5001,_xlfn.MAXIFS(BD!$A$3:$A$5001,BD!$B$3:$B$5001,O$210,BD!$A$3:$A$5001,"&gt;="&amp;$C$7,BD!$A$3:$A$5001,"&lt;="&amp;$B233,BD!$Y$3:$Y$5001,"&lt;&gt;"))))</f>
        <v/>
      </c>
      <c r="P233" s="54" t="str">
        <f>IF(OR($B233="",$A233&gt;$B$9,P$210=""),"",IF(COUNTIFS(BD!$B$3:$B$5001,P$210,BD!$A$3:$A$5001,"&gt;="&amp;$C$7,BD!$A$3:$A$5001,"&lt;="&amp;$B233,BD!$Y$3:$Y$5001,"&lt;&gt;")=0,"",SUMIFS(BD!$Y$3:$Y$5001,BD!$B$3:$B$5001,P$210,BD!$A$3:$A$5001,_xlfn.MAXIFS(BD!$A$3:$A$5001,BD!$B$3:$B$5001,P$210,BD!$A$3:$A$5001,"&gt;="&amp;$C$7,BD!$A$3:$A$5001,"&lt;="&amp;$B233,BD!$Y$3:$Y$5001,"&lt;&gt;"))))</f>
        <v/>
      </c>
      <c r="Q233" s="54" t="str">
        <f>IF(OR($B233="",$A233&gt;$B$9,Q$210=""),"",IF(COUNTIFS(BD!$B$3:$B$5001,Q$210,BD!$A$3:$A$5001,"&gt;="&amp;$C$7,BD!$A$3:$A$5001,"&lt;="&amp;$B233,BD!$Y$3:$Y$5001,"&lt;&gt;")=0,"",SUMIFS(BD!$Y$3:$Y$5001,BD!$B$3:$B$5001,Q$210,BD!$A$3:$A$5001,_xlfn.MAXIFS(BD!$A$3:$A$5001,BD!$B$3:$B$5001,Q$210,BD!$A$3:$A$5001,"&gt;="&amp;$C$7,BD!$A$3:$A$5001,"&lt;="&amp;$B233,BD!$Y$3:$Y$5001,"&lt;&gt;"))))</f>
        <v/>
      </c>
      <c r="R233" s="54" t="str">
        <f>IF(OR($B233="",$A233&gt;$B$9,R$210=""),"",IF(COUNTIFS(BD!$B$3:$B$5001,R$210,BD!$A$3:$A$5001,"&gt;="&amp;$C$7,BD!$A$3:$A$5001,"&lt;="&amp;$B233,BD!$Y$3:$Y$5001,"&lt;&gt;")=0,"",SUMIFS(BD!$Y$3:$Y$5001,BD!$B$3:$B$5001,R$210,BD!$A$3:$A$5001,_xlfn.MAXIFS(BD!$A$3:$A$5001,BD!$B$3:$B$5001,R$210,BD!$A$3:$A$5001,"&gt;="&amp;$C$7,BD!$A$3:$A$5001,"&lt;="&amp;$B233,BD!$Y$3:$Y$5001,"&lt;&gt;"))))</f>
        <v/>
      </c>
      <c r="S233" s="54" t="str">
        <f>IF(OR($B233="",$A233&gt;$B$9,S$210=""),"",IF(COUNTIFS(BD!$B$3:$B$5001,S$210,BD!$A$3:$A$5001,"&gt;="&amp;$C$7,BD!$A$3:$A$5001,"&lt;="&amp;$B233,BD!$Y$3:$Y$5001,"&lt;&gt;")=0,"",SUMIFS(BD!$Y$3:$Y$5001,BD!$B$3:$B$5001,S$210,BD!$A$3:$A$5001,_xlfn.MAXIFS(BD!$A$3:$A$5001,BD!$B$3:$B$5001,S$210,BD!$A$3:$A$5001,"&gt;="&amp;$C$7,BD!$A$3:$A$5001,"&lt;="&amp;$B233,BD!$Y$3:$Y$5001,"&lt;&gt;"))))</f>
        <v/>
      </c>
      <c r="T233" s="54" t="str">
        <f>IF(OR($B233="",$A233&gt;$B$9,T$210=""),"",IF(COUNTIFS(BD!$B$3:$B$5001,T$210,BD!$A$3:$A$5001,"&gt;="&amp;$C$7,BD!$A$3:$A$5001,"&lt;="&amp;$B233,BD!$Y$3:$Y$5001,"&lt;&gt;")=0,"",SUMIFS(BD!$Y$3:$Y$5001,BD!$B$3:$B$5001,T$210,BD!$A$3:$A$5001,_xlfn.MAXIFS(BD!$A$3:$A$5001,BD!$B$3:$B$5001,T$210,BD!$A$3:$A$5001,"&gt;="&amp;$C$7,BD!$A$3:$A$5001,"&lt;="&amp;$B233,BD!$Y$3:$Y$5001,"&lt;&gt;"))))</f>
        <v/>
      </c>
      <c r="U233" s="54" t="str">
        <f>IF(OR($B233="",$A233&gt;$B$9,U$210=""),"",IF(COUNTIFS(BD!$B$3:$B$5001,U$210,BD!$A$3:$A$5001,"&gt;="&amp;$C$7,BD!$A$3:$A$5001,"&lt;="&amp;$B233,BD!$Y$3:$Y$5001,"&lt;&gt;")=0,"",SUMIFS(BD!$Y$3:$Y$5001,BD!$B$3:$B$5001,U$210,BD!$A$3:$A$5001,_xlfn.MAXIFS(BD!$A$3:$A$5001,BD!$B$3:$B$5001,U$210,BD!$A$3:$A$5001,"&gt;="&amp;$C$7,BD!$A$3:$A$5001,"&lt;="&amp;$B233,BD!$Y$3:$Y$5001,"&lt;&gt;"))))</f>
        <v/>
      </c>
      <c r="V233" s="54" t="str">
        <f>IF(OR($B233="",$A233&gt;$B$9,V$210=""),"",IF(COUNTIFS(BD!$B$3:$B$5001,V$210,BD!$A$3:$A$5001,"&gt;="&amp;$C$7,BD!$A$3:$A$5001,"&lt;="&amp;$B233,BD!$Y$3:$Y$5001,"&lt;&gt;")=0,"",SUMIFS(BD!$Y$3:$Y$5001,BD!$B$3:$B$5001,V$210,BD!$A$3:$A$5001,_xlfn.MAXIFS(BD!$A$3:$A$5001,BD!$B$3:$B$5001,V$210,BD!$A$3:$A$5001,"&gt;="&amp;$C$7,BD!$A$3:$A$5001,"&lt;="&amp;$B233,BD!$Y$3:$Y$5001,"&lt;&gt;"))))</f>
        <v/>
      </c>
    </row>
    <row r="234">
      <c r="A234" s="48">
        <v>24</v>
      </c>
      <c r="B234" s="53">
        <f>$B$35</f>
        <v>46319</v>
      </c>
      <c r="C234" s="54" t="str">
        <f>IF(OR($B234="",$A234&gt;$B$9,C$210=""),"",IF(COUNTIFS(BD!$B$3:$B$5001,C$210,BD!$A$3:$A$5001,"&gt;="&amp;$C$7,BD!$A$3:$A$5001,"&lt;="&amp;$B234,BD!$Y$3:$Y$5001,"&lt;&gt;")=0,"",SUMIFS(BD!$Y$3:$Y$5001,BD!$B$3:$B$5001,C$210,BD!$A$3:$A$5001,_xlfn.MAXIFS(BD!$A$3:$A$5001,BD!$B$3:$B$5001,C$210,BD!$A$3:$A$5001,"&gt;="&amp;$C$7,BD!$A$3:$A$5001,"&lt;="&amp;$B234,BD!$Y$3:$Y$5001,"&lt;&gt;"))))</f>
        <v/>
      </c>
      <c r="D234" s="54" t="str">
        <f>IF(OR($B234="",$A234&gt;$B$9,D$210=""),"",IF(COUNTIFS(BD!$B$3:$B$5001,D$210,BD!$A$3:$A$5001,"&gt;="&amp;$C$7,BD!$A$3:$A$5001,"&lt;="&amp;$B234,BD!$Y$3:$Y$5001,"&lt;&gt;")=0,"",SUMIFS(BD!$Y$3:$Y$5001,BD!$B$3:$B$5001,D$210,BD!$A$3:$A$5001,_xlfn.MAXIFS(BD!$A$3:$A$5001,BD!$B$3:$B$5001,D$210,BD!$A$3:$A$5001,"&gt;="&amp;$C$7,BD!$A$3:$A$5001,"&lt;="&amp;$B234,BD!$Y$3:$Y$5001,"&lt;&gt;"))))</f>
        <v/>
      </c>
      <c r="E234" s="54" t="str">
        <f>IF(OR($B234="",$A234&gt;$B$9,E$210=""),"",IF(COUNTIFS(BD!$B$3:$B$5001,E$210,BD!$A$3:$A$5001,"&gt;="&amp;$C$7,BD!$A$3:$A$5001,"&lt;="&amp;$B234,BD!$Y$3:$Y$5001,"&lt;&gt;")=0,"",SUMIFS(BD!$Y$3:$Y$5001,BD!$B$3:$B$5001,E$210,BD!$A$3:$A$5001,_xlfn.MAXIFS(BD!$A$3:$A$5001,BD!$B$3:$B$5001,E$210,BD!$A$3:$A$5001,"&gt;="&amp;$C$7,BD!$A$3:$A$5001,"&lt;="&amp;$B234,BD!$Y$3:$Y$5001,"&lt;&gt;"))))</f>
        <v/>
      </c>
      <c r="F234" s="54" t="str">
        <f>IF(OR($B234="",$A234&gt;$B$9,F$210=""),"",IF(COUNTIFS(BD!$B$3:$B$5001,F$210,BD!$A$3:$A$5001,"&gt;="&amp;$C$7,BD!$A$3:$A$5001,"&lt;="&amp;$B234,BD!$Y$3:$Y$5001,"&lt;&gt;")=0,"",SUMIFS(BD!$Y$3:$Y$5001,BD!$B$3:$B$5001,F$210,BD!$A$3:$A$5001,_xlfn.MAXIFS(BD!$A$3:$A$5001,BD!$B$3:$B$5001,F$210,BD!$A$3:$A$5001,"&gt;="&amp;$C$7,BD!$A$3:$A$5001,"&lt;="&amp;$B234,BD!$Y$3:$Y$5001,"&lt;&gt;"))))</f>
        <v/>
      </c>
      <c r="G234" s="54" t="str">
        <f>IF(OR($B234="",$A234&gt;$B$9,G$210=""),"",IF(COUNTIFS(BD!$B$3:$B$5001,G$210,BD!$A$3:$A$5001,"&gt;="&amp;$C$7,BD!$A$3:$A$5001,"&lt;="&amp;$B234,BD!$Y$3:$Y$5001,"&lt;&gt;")=0,"",SUMIFS(BD!$Y$3:$Y$5001,BD!$B$3:$B$5001,G$210,BD!$A$3:$A$5001,_xlfn.MAXIFS(BD!$A$3:$A$5001,BD!$B$3:$B$5001,G$210,BD!$A$3:$A$5001,"&gt;="&amp;$C$7,BD!$A$3:$A$5001,"&lt;="&amp;$B234,BD!$Y$3:$Y$5001,"&lt;&gt;"))))</f>
        <v/>
      </c>
      <c r="H234" s="54" t="str">
        <f>IF(OR($B234="",$A234&gt;$B$9,H$210=""),"",IF(COUNTIFS(BD!$B$3:$B$5001,H$210,BD!$A$3:$A$5001,"&gt;="&amp;$C$7,BD!$A$3:$A$5001,"&lt;="&amp;$B234,BD!$Y$3:$Y$5001,"&lt;&gt;")=0,"",SUMIFS(BD!$Y$3:$Y$5001,BD!$B$3:$B$5001,H$210,BD!$A$3:$A$5001,_xlfn.MAXIFS(BD!$A$3:$A$5001,BD!$B$3:$B$5001,H$210,BD!$A$3:$A$5001,"&gt;="&amp;$C$7,BD!$A$3:$A$5001,"&lt;="&amp;$B234,BD!$Y$3:$Y$5001,"&lt;&gt;"))))</f>
        <v/>
      </c>
      <c r="I234" s="54" t="str">
        <f>IF(OR($B234="",$A234&gt;$B$9,I$210=""),"",IF(COUNTIFS(BD!$B$3:$B$5001,I$210,BD!$A$3:$A$5001,"&gt;="&amp;$C$7,BD!$A$3:$A$5001,"&lt;="&amp;$B234,BD!$Y$3:$Y$5001,"&lt;&gt;")=0,"",SUMIFS(BD!$Y$3:$Y$5001,BD!$B$3:$B$5001,I$210,BD!$A$3:$A$5001,_xlfn.MAXIFS(BD!$A$3:$A$5001,BD!$B$3:$B$5001,I$210,BD!$A$3:$A$5001,"&gt;="&amp;$C$7,BD!$A$3:$A$5001,"&lt;="&amp;$B234,BD!$Y$3:$Y$5001,"&lt;&gt;"))))</f>
        <v/>
      </c>
      <c r="J234" s="54" t="str">
        <f>IF(OR($B234="",$A234&gt;$B$9,J$210=""),"",IF(COUNTIFS(BD!$B$3:$B$5001,J$210,BD!$A$3:$A$5001,"&gt;="&amp;$C$7,BD!$A$3:$A$5001,"&lt;="&amp;$B234,BD!$Y$3:$Y$5001,"&lt;&gt;")=0,"",SUMIFS(BD!$Y$3:$Y$5001,BD!$B$3:$B$5001,J$210,BD!$A$3:$A$5001,_xlfn.MAXIFS(BD!$A$3:$A$5001,BD!$B$3:$B$5001,J$210,BD!$A$3:$A$5001,"&gt;="&amp;$C$7,BD!$A$3:$A$5001,"&lt;="&amp;$B234,BD!$Y$3:$Y$5001,"&lt;&gt;"))))</f>
        <v/>
      </c>
      <c r="K234" s="54" t="str">
        <f>IF(OR($B234="",$A234&gt;$B$9,K$210=""),"",IF(COUNTIFS(BD!$B$3:$B$5001,K$210,BD!$A$3:$A$5001,"&gt;="&amp;$C$7,BD!$A$3:$A$5001,"&lt;="&amp;$B234,BD!$Y$3:$Y$5001,"&lt;&gt;")=0,"",SUMIFS(BD!$Y$3:$Y$5001,BD!$B$3:$B$5001,K$210,BD!$A$3:$A$5001,_xlfn.MAXIFS(BD!$A$3:$A$5001,BD!$B$3:$B$5001,K$210,BD!$A$3:$A$5001,"&gt;="&amp;$C$7,BD!$A$3:$A$5001,"&lt;="&amp;$B234,BD!$Y$3:$Y$5001,"&lt;&gt;"))))</f>
        <v/>
      </c>
      <c r="L234" s="54" t="str">
        <f>IF(OR($B234="",$A234&gt;$B$9,L$210=""),"",IF(COUNTIFS(BD!$B$3:$B$5001,L$210,BD!$A$3:$A$5001,"&gt;="&amp;$C$7,BD!$A$3:$A$5001,"&lt;="&amp;$B234,BD!$Y$3:$Y$5001,"&lt;&gt;")=0,"",SUMIFS(BD!$Y$3:$Y$5001,BD!$B$3:$B$5001,L$210,BD!$A$3:$A$5001,_xlfn.MAXIFS(BD!$A$3:$A$5001,BD!$B$3:$B$5001,L$210,BD!$A$3:$A$5001,"&gt;="&amp;$C$7,BD!$A$3:$A$5001,"&lt;="&amp;$B234,BD!$Y$3:$Y$5001,"&lt;&gt;"))))</f>
        <v/>
      </c>
      <c r="M234" s="54" t="str">
        <f>IF(OR($B234="",$A234&gt;$B$9,M$210=""),"",IF(COUNTIFS(BD!$B$3:$B$5001,M$210,BD!$A$3:$A$5001,"&gt;="&amp;$C$7,BD!$A$3:$A$5001,"&lt;="&amp;$B234,BD!$Y$3:$Y$5001,"&lt;&gt;")=0,"",SUMIFS(BD!$Y$3:$Y$5001,BD!$B$3:$B$5001,M$210,BD!$A$3:$A$5001,_xlfn.MAXIFS(BD!$A$3:$A$5001,BD!$B$3:$B$5001,M$210,BD!$A$3:$A$5001,"&gt;="&amp;$C$7,BD!$A$3:$A$5001,"&lt;="&amp;$B234,BD!$Y$3:$Y$5001,"&lt;&gt;"))))</f>
        <v/>
      </c>
      <c r="N234" s="54" t="str">
        <f>IF(OR($B234="",$A234&gt;$B$9,N$210=""),"",IF(COUNTIFS(BD!$B$3:$B$5001,N$210,BD!$A$3:$A$5001,"&gt;="&amp;$C$7,BD!$A$3:$A$5001,"&lt;="&amp;$B234,BD!$Y$3:$Y$5001,"&lt;&gt;")=0,"",SUMIFS(BD!$Y$3:$Y$5001,BD!$B$3:$B$5001,N$210,BD!$A$3:$A$5001,_xlfn.MAXIFS(BD!$A$3:$A$5001,BD!$B$3:$B$5001,N$210,BD!$A$3:$A$5001,"&gt;="&amp;$C$7,BD!$A$3:$A$5001,"&lt;="&amp;$B234,BD!$Y$3:$Y$5001,"&lt;&gt;"))))</f>
        <v/>
      </c>
      <c r="O234" s="54" t="str">
        <f>IF(OR($B234="",$A234&gt;$B$9,O$210=""),"",IF(COUNTIFS(BD!$B$3:$B$5001,O$210,BD!$A$3:$A$5001,"&gt;="&amp;$C$7,BD!$A$3:$A$5001,"&lt;="&amp;$B234,BD!$Y$3:$Y$5001,"&lt;&gt;")=0,"",SUMIFS(BD!$Y$3:$Y$5001,BD!$B$3:$B$5001,O$210,BD!$A$3:$A$5001,_xlfn.MAXIFS(BD!$A$3:$A$5001,BD!$B$3:$B$5001,O$210,BD!$A$3:$A$5001,"&gt;="&amp;$C$7,BD!$A$3:$A$5001,"&lt;="&amp;$B234,BD!$Y$3:$Y$5001,"&lt;&gt;"))))</f>
        <v/>
      </c>
      <c r="P234" s="54" t="str">
        <f>IF(OR($B234="",$A234&gt;$B$9,P$210=""),"",IF(COUNTIFS(BD!$B$3:$B$5001,P$210,BD!$A$3:$A$5001,"&gt;="&amp;$C$7,BD!$A$3:$A$5001,"&lt;="&amp;$B234,BD!$Y$3:$Y$5001,"&lt;&gt;")=0,"",SUMIFS(BD!$Y$3:$Y$5001,BD!$B$3:$B$5001,P$210,BD!$A$3:$A$5001,_xlfn.MAXIFS(BD!$A$3:$A$5001,BD!$B$3:$B$5001,P$210,BD!$A$3:$A$5001,"&gt;="&amp;$C$7,BD!$A$3:$A$5001,"&lt;="&amp;$B234,BD!$Y$3:$Y$5001,"&lt;&gt;"))))</f>
        <v/>
      </c>
      <c r="Q234" s="54" t="str">
        <f>IF(OR($B234="",$A234&gt;$B$9,Q$210=""),"",IF(COUNTIFS(BD!$B$3:$B$5001,Q$210,BD!$A$3:$A$5001,"&gt;="&amp;$C$7,BD!$A$3:$A$5001,"&lt;="&amp;$B234,BD!$Y$3:$Y$5001,"&lt;&gt;")=0,"",SUMIFS(BD!$Y$3:$Y$5001,BD!$B$3:$B$5001,Q$210,BD!$A$3:$A$5001,_xlfn.MAXIFS(BD!$A$3:$A$5001,BD!$B$3:$B$5001,Q$210,BD!$A$3:$A$5001,"&gt;="&amp;$C$7,BD!$A$3:$A$5001,"&lt;="&amp;$B234,BD!$Y$3:$Y$5001,"&lt;&gt;"))))</f>
        <v/>
      </c>
      <c r="R234" s="54" t="str">
        <f>IF(OR($B234="",$A234&gt;$B$9,R$210=""),"",IF(COUNTIFS(BD!$B$3:$B$5001,R$210,BD!$A$3:$A$5001,"&gt;="&amp;$C$7,BD!$A$3:$A$5001,"&lt;="&amp;$B234,BD!$Y$3:$Y$5001,"&lt;&gt;")=0,"",SUMIFS(BD!$Y$3:$Y$5001,BD!$B$3:$B$5001,R$210,BD!$A$3:$A$5001,_xlfn.MAXIFS(BD!$A$3:$A$5001,BD!$B$3:$B$5001,R$210,BD!$A$3:$A$5001,"&gt;="&amp;$C$7,BD!$A$3:$A$5001,"&lt;="&amp;$B234,BD!$Y$3:$Y$5001,"&lt;&gt;"))))</f>
        <v/>
      </c>
      <c r="S234" s="54" t="str">
        <f>IF(OR($B234="",$A234&gt;$B$9,S$210=""),"",IF(COUNTIFS(BD!$B$3:$B$5001,S$210,BD!$A$3:$A$5001,"&gt;="&amp;$C$7,BD!$A$3:$A$5001,"&lt;="&amp;$B234,BD!$Y$3:$Y$5001,"&lt;&gt;")=0,"",SUMIFS(BD!$Y$3:$Y$5001,BD!$B$3:$B$5001,S$210,BD!$A$3:$A$5001,_xlfn.MAXIFS(BD!$A$3:$A$5001,BD!$B$3:$B$5001,S$210,BD!$A$3:$A$5001,"&gt;="&amp;$C$7,BD!$A$3:$A$5001,"&lt;="&amp;$B234,BD!$Y$3:$Y$5001,"&lt;&gt;"))))</f>
        <v/>
      </c>
      <c r="T234" s="54" t="str">
        <f>IF(OR($B234="",$A234&gt;$B$9,T$210=""),"",IF(COUNTIFS(BD!$B$3:$B$5001,T$210,BD!$A$3:$A$5001,"&gt;="&amp;$C$7,BD!$A$3:$A$5001,"&lt;="&amp;$B234,BD!$Y$3:$Y$5001,"&lt;&gt;")=0,"",SUMIFS(BD!$Y$3:$Y$5001,BD!$B$3:$B$5001,T$210,BD!$A$3:$A$5001,_xlfn.MAXIFS(BD!$A$3:$A$5001,BD!$B$3:$B$5001,T$210,BD!$A$3:$A$5001,"&gt;="&amp;$C$7,BD!$A$3:$A$5001,"&lt;="&amp;$B234,BD!$Y$3:$Y$5001,"&lt;&gt;"))))</f>
        <v/>
      </c>
      <c r="U234" s="54" t="str">
        <f>IF(OR($B234="",$A234&gt;$B$9,U$210=""),"",IF(COUNTIFS(BD!$B$3:$B$5001,U$210,BD!$A$3:$A$5001,"&gt;="&amp;$C$7,BD!$A$3:$A$5001,"&lt;="&amp;$B234,BD!$Y$3:$Y$5001,"&lt;&gt;")=0,"",SUMIFS(BD!$Y$3:$Y$5001,BD!$B$3:$B$5001,U$210,BD!$A$3:$A$5001,_xlfn.MAXIFS(BD!$A$3:$A$5001,BD!$B$3:$B$5001,U$210,BD!$A$3:$A$5001,"&gt;="&amp;$C$7,BD!$A$3:$A$5001,"&lt;="&amp;$B234,BD!$Y$3:$Y$5001,"&lt;&gt;"))))</f>
        <v/>
      </c>
      <c r="V234" s="54" t="str">
        <f>IF(OR($B234="",$A234&gt;$B$9,V$210=""),"",IF(COUNTIFS(BD!$B$3:$B$5001,V$210,BD!$A$3:$A$5001,"&gt;="&amp;$C$7,BD!$A$3:$A$5001,"&lt;="&amp;$B234,BD!$Y$3:$Y$5001,"&lt;&gt;")=0,"",SUMIFS(BD!$Y$3:$Y$5001,BD!$B$3:$B$5001,V$210,BD!$A$3:$A$5001,_xlfn.MAXIFS(BD!$A$3:$A$5001,BD!$B$3:$B$5001,V$210,BD!$A$3:$A$5001,"&gt;="&amp;$C$7,BD!$A$3:$A$5001,"&lt;="&amp;$B234,BD!$Y$3:$Y$5001,"&lt;&gt;"))))</f>
        <v/>
      </c>
    </row>
    <row r="235">
      <c r="A235" s="48">
        <v>25</v>
      </c>
      <c r="B235" s="53">
        <f>$B$36</f>
        <v>46320</v>
      </c>
      <c r="C235" s="54" t="str">
        <f>IF(OR($B235="",$A235&gt;$B$9,C$210=""),"",IF(COUNTIFS(BD!$B$3:$B$5001,C$210,BD!$A$3:$A$5001,"&gt;="&amp;$C$7,BD!$A$3:$A$5001,"&lt;="&amp;$B235,BD!$Y$3:$Y$5001,"&lt;&gt;")=0,"",SUMIFS(BD!$Y$3:$Y$5001,BD!$B$3:$B$5001,C$210,BD!$A$3:$A$5001,_xlfn.MAXIFS(BD!$A$3:$A$5001,BD!$B$3:$B$5001,C$210,BD!$A$3:$A$5001,"&gt;="&amp;$C$7,BD!$A$3:$A$5001,"&lt;="&amp;$B235,BD!$Y$3:$Y$5001,"&lt;&gt;"))))</f>
        <v/>
      </c>
      <c r="D235" s="54" t="str">
        <f>IF(OR($B235="",$A235&gt;$B$9,D$210=""),"",IF(COUNTIFS(BD!$B$3:$B$5001,D$210,BD!$A$3:$A$5001,"&gt;="&amp;$C$7,BD!$A$3:$A$5001,"&lt;="&amp;$B235,BD!$Y$3:$Y$5001,"&lt;&gt;")=0,"",SUMIFS(BD!$Y$3:$Y$5001,BD!$B$3:$B$5001,D$210,BD!$A$3:$A$5001,_xlfn.MAXIFS(BD!$A$3:$A$5001,BD!$B$3:$B$5001,D$210,BD!$A$3:$A$5001,"&gt;="&amp;$C$7,BD!$A$3:$A$5001,"&lt;="&amp;$B235,BD!$Y$3:$Y$5001,"&lt;&gt;"))))</f>
        <v/>
      </c>
      <c r="E235" s="54" t="str">
        <f>IF(OR($B235="",$A235&gt;$B$9,E$210=""),"",IF(COUNTIFS(BD!$B$3:$B$5001,E$210,BD!$A$3:$A$5001,"&gt;="&amp;$C$7,BD!$A$3:$A$5001,"&lt;="&amp;$B235,BD!$Y$3:$Y$5001,"&lt;&gt;")=0,"",SUMIFS(BD!$Y$3:$Y$5001,BD!$B$3:$B$5001,E$210,BD!$A$3:$A$5001,_xlfn.MAXIFS(BD!$A$3:$A$5001,BD!$B$3:$B$5001,E$210,BD!$A$3:$A$5001,"&gt;="&amp;$C$7,BD!$A$3:$A$5001,"&lt;="&amp;$B235,BD!$Y$3:$Y$5001,"&lt;&gt;"))))</f>
        <v/>
      </c>
      <c r="F235" s="54" t="str">
        <f>IF(OR($B235="",$A235&gt;$B$9,F$210=""),"",IF(COUNTIFS(BD!$B$3:$B$5001,F$210,BD!$A$3:$A$5001,"&gt;="&amp;$C$7,BD!$A$3:$A$5001,"&lt;="&amp;$B235,BD!$Y$3:$Y$5001,"&lt;&gt;")=0,"",SUMIFS(BD!$Y$3:$Y$5001,BD!$B$3:$B$5001,F$210,BD!$A$3:$A$5001,_xlfn.MAXIFS(BD!$A$3:$A$5001,BD!$B$3:$B$5001,F$210,BD!$A$3:$A$5001,"&gt;="&amp;$C$7,BD!$A$3:$A$5001,"&lt;="&amp;$B235,BD!$Y$3:$Y$5001,"&lt;&gt;"))))</f>
        <v/>
      </c>
      <c r="G235" s="54" t="str">
        <f>IF(OR($B235="",$A235&gt;$B$9,G$210=""),"",IF(COUNTIFS(BD!$B$3:$B$5001,G$210,BD!$A$3:$A$5001,"&gt;="&amp;$C$7,BD!$A$3:$A$5001,"&lt;="&amp;$B235,BD!$Y$3:$Y$5001,"&lt;&gt;")=0,"",SUMIFS(BD!$Y$3:$Y$5001,BD!$B$3:$B$5001,G$210,BD!$A$3:$A$5001,_xlfn.MAXIFS(BD!$A$3:$A$5001,BD!$B$3:$B$5001,G$210,BD!$A$3:$A$5001,"&gt;="&amp;$C$7,BD!$A$3:$A$5001,"&lt;="&amp;$B235,BD!$Y$3:$Y$5001,"&lt;&gt;"))))</f>
        <v/>
      </c>
      <c r="H235" s="54" t="str">
        <f>IF(OR($B235="",$A235&gt;$B$9,H$210=""),"",IF(COUNTIFS(BD!$B$3:$B$5001,H$210,BD!$A$3:$A$5001,"&gt;="&amp;$C$7,BD!$A$3:$A$5001,"&lt;="&amp;$B235,BD!$Y$3:$Y$5001,"&lt;&gt;")=0,"",SUMIFS(BD!$Y$3:$Y$5001,BD!$B$3:$B$5001,H$210,BD!$A$3:$A$5001,_xlfn.MAXIFS(BD!$A$3:$A$5001,BD!$B$3:$B$5001,H$210,BD!$A$3:$A$5001,"&gt;="&amp;$C$7,BD!$A$3:$A$5001,"&lt;="&amp;$B235,BD!$Y$3:$Y$5001,"&lt;&gt;"))))</f>
        <v/>
      </c>
      <c r="I235" s="54" t="str">
        <f>IF(OR($B235="",$A235&gt;$B$9,I$210=""),"",IF(COUNTIFS(BD!$B$3:$B$5001,I$210,BD!$A$3:$A$5001,"&gt;="&amp;$C$7,BD!$A$3:$A$5001,"&lt;="&amp;$B235,BD!$Y$3:$Y$5001,"&lt;&gt;")=0,"",SUMIFS(BD!$Y$3:$Y$5001,BD!$B$3:$B$5001,I$210,BD!$A$3:$A$5001,_xlfn.MAXIFS(BD!$A$3:$A$5001,BD!$B$3:$B$5001,I$210,BD!$A$3:$A$5001,"&gt;="&amp;$C$7,BD!$A$3:$A$5001,"&lt;="&amp;$B235,BD!$Y$3:$Y$5001,"&lt;&gt;"))))</f>
        <v/>
      </c>
      <c r="J235" s="54" t="str">
        <f>IF(OR($B235="",$A235&gt;$B$9,J$210=""),"",IF(COUNTIFS(BD!$B$3:$B$5001,J$210,BD!$A$3:$A$5001,"&gt;="&amp;$C$7,BD!$A$3:$A$5001,"&lt;="&amp;$B235,BD!$Y$3:$Y$5001,"&lt;&gt;")=0,"",SUMIFS(BD!$Y$3:$Y$5001,BD!$B$3:$B$5001,J$210,BD!$A$3:$A$5001,_xlfn.MAXIFS(BD!$A$3:$A$5001,BD!$B$3:$B$5001,J$210,BD!$A$3:$A$5001,"&gt;="&amp;$C$7,BD!$A$3:$A$5001,"&lt;="&amp;$B235,BD!$Y$3:$Y$5001,"&lt;&gt;"))))</f>
        <v/>
      </c>
      <c r="K235" s="54" t="str">
        <f>IF(OR($B235="",$A235&gt;$B$9,K$210=""),"",IF(COUNTIFS(BD!$B$3:$B$5001,K$210,BD!$A$3:$A$5001,"&gt;="&amp;$C$7,BD!$A$3:$A$5001,"&lt;="&amp;$B235,BD!$Y$3:$Y$5001,"&lt;&gt;")=0,"",SUMIFS(BD!$Y$3:$Y$5001,BD!$B$3:$B$5001,K$210,BD!$A$3:$A$5001,_xlfn.MAXIFS(BD!$A$3:$A$5001,BD!$B$3:$B$5001,K$210,BD!$A$3:$A$5001,"&gt;="&amp;$C$7,BD!$A$3:$A$5001,"&lt;="&amp;$B235,BD!$Y$3:$Y$5001,"&lt;&gt;"))))</f>
        <v/>
      </c>
      <c r="L235" s="54" t="str">
        <f>IF(OR($B235="",$A235&gt;$B$9,L$210=""),"",IF(COUNTIFS(BD!$B$3:$B$5001,L$210,BD!$A$3:$A$5001,"&gt;="&amp;$C$7,BD!$A$3:$A$5001,"&lt;="&amp;$B235,BD!$Y$3:$Y$5001,"&lt;&gt;")=0,"",SUMIFS(BD!$Y$3:$Y$5001,BD!$B$3:$B$5001,L$210,BD!$A$3:$A$5001,_xlfn.MAXIFS(BD!$A$3:$A$5001,BD!$B$3:$B$5001,L$210,BD!$A$3:$A$5001,"&gt;="&amp;$C$7,BD!$A$3:$A$5001,"&lt;="&amp;$B235,BD!$Y$3:$Y$5001,"&lt;&gt;"))))</f>
        <v/>
      </c>
      <c r="M235" s="54" t="str">
        <f>IF(OR($B235="",$A235&gt;$B$9,M$210=""),"",IF(COUNTIFS(BD!$B$3:$B$5001,M$210,BD!$A$3:$A$5001,"&gt;="&amp;$C$7,BD!$A$3:$A$5001,"&lt;="&amp;$B235,BD!$Y$3:$Y$5001,"&lt;&gt;")=0,"",SUMIFS(BD!$Y$3:$Y$5001,BD!$B$3:$B$5001,M$210,BD!$A$3:$A$5001,_xlfn.MAXIFS(BD!$A$3:$A$5001,BD!$B$3:$B$5001,M$210,BD!$A$3:$A$5001,"&gt;="&amp;$C$7,BD!$A$3:$A$5001,"&lt;="&amp;$B235,BD!$Y$3:$Y$5001,"&lt;&gt;"))))</f>
        <v/>
      </c>
      <c r="N235" s="54" t="str">
        <f>IF(OR($B235="",$A235&gt;$B$9,N$210=""),"",IF(COUNTIFS(BD!$B$3:$B$5001,N$210,BD!$A$3:$A$5001,"&gt;="&amp;$C$7,BD!$A$3:$A$5001,"&lt;="&amp;$B235,BD!$Y$3:$Y$5001,"&lt;&gt;")=0,"",SUMIFS(BD!$Y$3:$Y$5001,BD!$B$3:$B$5001,N$210,BD!$A$3:$A$5001,_xlfn.MAXIFS(BD!$A$3:$A$5001,BD!$B$3:$B$5001,N$210,BD!$A$3:$A$5001,"&gt;="&amp;$C$7,BD!$A$3:$A$5001,"&lt;="&amp;$B235,BD!$Y$3:$Y$5001,"&lt;&gt;"))))</f>
        <v/>
      </c>
      <c r="O235" s="54" t="str">
        <f>IF(OR($B235="",$A235&gt;$B$9,O$210=""),"",IF(COUNTIFS(BD!$B$3:$B$5001,O$210,BD!$A$3:$A$5001,"&gt;="&amp;$C$7,BD!$A$3:$A$5001,"&lt;="&amp;$B235,BD!$Y$3:$Y$5001,"&lt;&gt;")=0,"",SUMIFS(BD!$Y$3:$Y$5001,BD!$B$3:$B$5001,O$210,BD!$A$3:$A$5001,_xlfn.MAXIFS(BD!$A$3:$A$5001,BD!$B$3:$B$5001,O$210,BD!$A$3:$A$5001,"&gt;="&amp;$C$7,BD!$A$3:$A$5001,"&lt;="&amp;$B235,BD!$Y$3:$Y$5001,"&lt;&gt;"))))</f>
        <v/>
      </c>
      <c r="P235" s="54" t="str">
        <f>IF(OR($B235="",$A235&gt;$B$9,P$210=""),"",IF(COUNTIFS(BD!$B$3:$B$5001,P$210,BD!$A$3:$A$5001,"&gt;="&amp;$C$7,BD!$A$3:$A$5001,"&lt;="&amp;$B235,BD!$Y$3:$Y$5001,"&lt;&gt;")=0,"",SUMIFS(BD!$Y$3:$Y$5001,BD!$B$3:$B$5001,P$210,BD!$A$3:$A$5001,_xlfn.MAXIFS(BD!$A$3:$A$5001,BD!$B$3:$B$5001,P$210,BD!$A$3:$A$5001,"&gt;="&amp;$C$7,BD!$A$3:$A$5001,"&lt;="&amp;$B235,BD!$Y$3:$Y$5001,"&lt;&gt;"))))</f>
        <v/>
      </c>
      <c r="Q235" s="54" t="str">
        <f>IF(OR($B235="",$A235&gt;$B$9,Q$210=""),"",IF(COUNTIFS(BD!$B$3:$B$5001,Q$210,BD!$A$3:$A$5001,"&gt;="&amp;$C$7,BD!$A$3:$A$5001,"&lt;="&amp;$B235,BD!$Y$3:$Y$5001,"&lt;&gt;")=0,"",SUMIFS(BD!$Y$3:$Y$5001,BD!$B$3:$B$5001,Q$210,BD!$A$3:$A$5001,_xlfn.MAXIFS(BD!$A$3:$A$5001,BD!$B$3:$B$5001,Q$210,BD!$A$3:$A$5001,"&gt;="&amp;$C$7,BD!$A$3:$A$5001,"&lt;="&amp;$B235,BD!$Y$3:$Y$5001,"&lt;&gt;"))))</f>
        <v/>
      </c>
      <c r="R235" s="54" t="str">
        <f>IF(OR($B235="",$A235&gt;$B$9,R$210=""),"",IF(COUNTIFS(BD!$B$3:$B$5001,R$210,BD!$A$3:$A$5001,"&gt;="&amp;$C$7,BD!$A$3:$A$5001,"&lt;="&amp;$B235,BD!$Y$3:$Y$5001,"&lt;&gt;")=0,"",SUMIFS(BD!$Y$3:$Y$5001,BD!$B$3:$B$5001,R$210,BD!$A$3:$A$5001,_xlfn.MAXIFS(BD!$A$3:$A$5001,BD!$B$3:$B$5001,R$210,BD!$A$3:$A$5001,"&gt;="&amp;$C$7,BD!$A$3:$A$5001,"&lt;="&amp;$B235,BD!$Y$3:$Y$5001,"&lt;&gt;"))))</f>
        <v/>
      </c>
      <c r="S235" s="54" t="str">
        <f>IF(OR($B235="",$A235&gt;$B$9,S$210=""),"",IF(COUNTIFS(BD!$B$3:$B$5001,S$210,BD!$A$3:$A$5001,"&gt;="&amp;$C$7,BD!$A$3:$A$5001,"&lt;="&amp;$B235,BD!$Y$3:$Y$5001,"&lt;&gt;")=0,"",SUMIFS(BD!$Y$3:$Y$5001,BD!$B$3:$B$5001,S$210,BD!$A$3:$A$5001,_xlfn.MAXIFS(BD!$A$3:$A$5001,BD!$B$3:$B$5001,S$210,BD!$A$3:$A$5001,"&gt;="&amp;$C$7,BD!$A$3:$A$5001,"&lt;="&amp;$B235,BD!$Y$3:$Y$5001,"&lt;&gt;"))))</f>
        <v/>
      </c>
      <c r="T235" s="54" t="str">
        <f>IF(OR($B235="",$A235&gt;$B$9,T$210=""),"",IF(COUNTIFS(BD!$B$3:$B$5001,T$210,BD!$A$3:$A$5001,"&gt;="&amp;$C$7,BD!$A$3:$A$5001,"&lt;="&amp;$B235,BD!$Y$3:$Y$5001,"&lt;&gt;")=0,"",SUMIFS(BD!$Y$3:$Y$5001,BD!$B$3:$B$5001,T$210,BD!$A$3:$A$5001,_xlfn.MAXIFS(BD!$A$3:$A$5001,BD!$B$3:$B$5001,T$210,BD!$A$3:$A$5001,"&gt;="&amp;$C$7,BD!$A$3:$A$5001,"&lt;="&amp;$B235,BD!$Y$3:$Y$5001,"&lt;&gt;"))))</f>
        <v/>
      </c>
      <c r="U235" s="54" t="str">
        <f>IF(OR($B235="",$A235&gt;$B$9,U$210=""),"",IF(COUNTIFS(BD!$B$3:$B$5001,U$210,BD!$A$3:$A$5001,"&gt;="&amp;$C$7,BD!$A$3:$A$5001,"&lt;="&amp;$B235,BD!$Y$3:$Y$5001,"&lt;&gt;")=0,"",SUMIFS(BD!$Y$3:$Y$5001,BD!$B$3:$B$5001,U$210,BD!$A$3:$A$5001,_xlfn.MAXIFS(BD!$A$3:$A$5001,BD!$B$3:$B$5001,U$210,BD!$A$3:$A$5001,"&gt;="&amp;$C$7,BD!$A$3:$A$5001,"&lt;="&amp;$B235,BD!$Y$3:$Y$5001,"&lt;&gt;"))))</f>
        <v/>
      </c>
      <c r="V235" s="54" t="str">
        <f>IF(OR($B235="",$A235&gt;$B$9,V$210=""),"",IF(COUNTIFS(BD!$B$3:$B$5001,V$210,BD!$A$3:$A$5001,"&gt;="&amp;$C$7,BD!$A$3:$A$5001,"&lt;="&amp;$B235,BD!$Y$3:$Y$5001,"&lt;&gt;")=0,"",SUMIFS(BD!$Y$3:$Y$5001,BD!$B$3:$B$5001,V$210,BD!$A$3:$A$5001,_xlfn.MAXIFS(BD!$A$3:$A$5001,BD!$B$3:$B$5001,V$210,BD!$A$3:$A$5001,"&gt;="&amp;$C$7,BD!$A$3:$A$5001,"&lt;="&amp;$B235,BD!$Y$3:$Y$5001,"&lt;&gt;"))))</f>
        <v/>
      </c>
    </row>
    <row r="236">
      <c r="A236" s="48">
        <v>26</v>
      </c>
      <c r="B236" s="53">
        <f>$B$37</f>
        <v>46321</v>
      </c>
      <c r="C236" s="54" t="str">
        <f>IF(OR($B236="",$A236&gt;$B$9,C$210=""),"",IF(COUNTIFS(BD!$B$3:$B$5001,C$210,BD!$A$3:$A$5001,"&gt;="&amp;$C$7,BD!$A$3:$A$5001,"&lt;="&amp;$B236,BD!$Y$3:$Y$5001,"&lt;&gt;")=0,"",SUMIFS(BD!$Y$3:$Y$5001,BD!$B$3:$B$5001,C$210,BD!$A$3:$A$5001,_xlfn.MAXIFS(BD!$A$3:$A$5001,BD!$B$3:$B$5001,C$210,BD!$A$3:$A$5001,"&gt;="&amp;$C$7,BD!$A$3:$A$5001,"&lt;="&amp;$B236,BD!$Y$3:$Y$5001,"&lt;&gt;"))))</f>
        <v/>
      </c>
      <c r="D236" s="54" t="str">
        <f>IF(OR($B236="",$A236&gt;$B$9,D$210=""),"",IF(COUNTIFS(BD!$B$3:$B$5001,D$210,BD!$A$3:$A$5001,"&gt;="&amp;$C$7,BD!$A$3:$A$5001,"&lt;="&amp;$B236,BD!$Y$3:$Y$5001,"&lt;&gt;")=0,"",SUMIFS(BD!$Y$3:$Y$5001,BD!$B$3:$B$5001,D$210,BD!$A$3:$A$5001,_xlfn.MAXIFS(BD!$A$3:$A$5001,BD!$B$3:$B$5001,D$210,BD!$A$3:$A$5001,"&gt;="&amp;$C$7,BD!$A$3:$A$5001,"&lt;="&amp;$B236,BD!$Y$3:$Y$5001,"&lt;&gt;"))))</f>
        <v/>
      </c>
      <c r="E236" s="54" t="str">
        <f>IF(OR($B236="",$A236&gt;$B$9,E$210=""),"",IF(COUNTIFS(BD!$B$3:$B$5001,E$210,BD!$A$3:$A$5001,"&gt;="&amp;$C$7,BD!$A$3:$A$5001,"&lt;="&amp;$B236,BD!$Y$3:$Y$5001,"&lt;&gt;")=0,"",SUMIFS(BD!$Y$3:$Y$5001,BD!$B$3:$B$5001,E$210,BD!$A$3:$A$5001,_xlfn.MAXIFS(BD!$A$3:$A$5001,BD!$B$3:$B$5001,E$210,BD!$A$3:$A$5001,"&gt;="&amp;$C$7,BD!$A$3:$A$5001,"&lt;="&amp;$B236,BD!$Y$3:$Y$5001,"&lt;&gt;"))))</f>
        <v/>
      </c>
      <c r="F236" s="54" t="str">
        <f>IF(OR($B236="",$A236&gt;$B$9,F$210=""),"",IF(COUNTIFS(BD!$B$3:$B$5001,F$210,BD!$A$3:$A$5001,"&gt;="&amp;$C$7,BD!$A$3:$A$5001,"&lt;="&amp;$B236,BD!$Y$3:$Y$5001,"&lt;&gt;")=0,"",SUMIFS(BD!$Y$3:$Y$5001,BD!$B$3:$B$5001,F$210,BD!$A$3:$A$5001,_xlfn.MAXIFS(BD!$A$3:$A$5001,BD!$B$3:$B$5001,F$210,BD!$A$3:$A$5001,"&gt;="&amp;$C$7,BD!$A$3:$A$5001,"&lt;="&amp;$B236,BD!$Y$3:$Y$5001,"&lt;&gt;"))))</f>
        <v/>
      </c>
      <c r="G236" s="54" t="str">
        <f>IF(OR($B236="",$A236&gt;$B$9,G$210=""),"",IF(COUNTIFS(BD!$B$3:$B$5001,G$210,BD!$A$3:$A$5001,"&gt;="&amp;$C$7,BD!$A$3:$A$5001,"&lt;="&amp;$B236,BD!$Y$3:$Y$5001,"&lt;&gt;")=0,"",SUMIFS(BD!$Y$3:$Y$5001,BD!$B$3:$B$5001,G$210,BD!$A$3:$A$5001,_xlfn.MAXIFS(BD!$A$3:$A$5001,BD!$B$3:$B$5001,G$210,BD!$A$3:$A$5001,"&gt;="&amp;$C$7,BD!$A$3:$A$5001,"&lt;="&amp;$B236,BD!$Y$3:$Y$5001,"&lt;&gt;"))))</f>
        <v/>
      </c>
      <c r="H236" s="54" t="str">
        <f>IF(OR($B236="",$A236&gt;$B$9,H$210=""),"",IF(COUNTIFS(BD!$B$3:$B$5001,H$210,BD!$A$3:$A$5001,"&gt;="&amp;$C$7,BD!$A$3:$A$5001,"&lt;="&amp;$B236,BD!$Y$3:$Y$5001,"&lt;&gt;")=0,"",SUMIFS(BD!$Y$3:$Y$5001,BD!$B$3:$B$5001,H$210,BD!$A$3:$A$5001,_xlfn.MAXIFS(BD!$A$3:$A$5001,BD!$B$3:$B$5001,H$210,BD!$A$3:$A$5001,"&gt;="&amp;$C$7,BD!$A$3:$A$5001,"&lt;="&amp;$B236,BD!$Y$3:$Y$5001,"&lt;&gt;"))))</f>
        <v/>
      </c>
      <c r="I236" s="54" t="str">
        <f>IF(OR($B236="",$A236&gt;$B$9,I$210=""),"",IF(COUNTIFS(BD!$B$3:$B$5001,I$210,BD!$A$3:$A$5001,"&gt;="&amp;$C$7,BD!$A$3:$A$5001,"&lt;="&amp;$B236,BD!$Y$3:$Y$5001,"&lt;&gt;")=0,"",SUMIFS(BD!$Y$3:$Y$5001,BD!$B$3:$B$5001,I$210,BD!$A$3:$A$5001,_xlfn.MAXIFS(BD!$A$3:$A$5001,BD!$B$3:$B$5001,I$210,BD!$A$3:$A$5001,"&gt;="&amp;$C$7,BD!$A$3:$A$5001,"&lt;="&amp;$B236,BD!$Y$3:$Y$5001,"&lt;&gt;"))))</f>
        <v/>
      </c>
      <c r="J236" s="54" t="str">
        <f>IF(OR($B236="",$A236&gt;$B$9,J$210=""),"",IF(COUNTIFS(BD!$B$3:$B$5001,J$210,BD!$A$3:$A$5001,"&gt;="&amp;$C$7,BD!$A$3:$A$5001,"&lt;="&amp;$B236,BD!$Y$3:$Y$5001,"&lt;&gt;")=0,"",SUMIFS(BD!$Y$3:$Y$5001,BD!$B$3:$B$5001,J$210,BD!$A$3:$A$5001,_xlfn.MAXIFS(BD!$A$3:$A$5001,BD!$B$3:$B$5001,J$210,BD!$A$3:$A$5001,"&gt;="&amp;$C$7,BD!$A$3:$A$5001,"&lt;="&amp;$B236,BD!$Y$3:$Y$5001,"&lt;&gt;"))))</f>
        <v/>
      </c>
      <c r="K236" s="54" t="str">
        <f>IF(OR($B236="",$A236&gt;$B$9,K$210=""),"",IF(COUNTIFS(BD!$B$3:$B$5001,K$210,BD!$A$3:$A$5001,"&gt;="&amp;$C$7,BD!$A$3:$A$5001,"&lt;="&amp;$B236,BD!$Y$3:$Y$5001,"&lt;&gt;")=0,"",SUMIFS(BD!$Y$3:$Y$5001,BD!$B$3:$B$5001,K$210,BD!$A$3:$A$5001,_xlfn.MAXIFS(BD!$A$3:$A$5001,BD!$B$3:$B$5001,K$210,BD!$A$3:$A$5001,"&gt;="&amp;$C$7,BD!$A$3:$A$5001,"&lt;="&amp;$B236,BD!$Y$3:$Y$5001,"&lt;&gt;"))))</f>
        <v/>
      </c>
      <c r="L236" s="54" t="str">
        <f>IF(OR($B236="",$A236&gt;$B$9,L$210=""),"",IF(COUNTIFS(BD!$B$3:$B$5001,L$210,BD!$A$3:$A$5001,"&gt;="&amp;$C$7,BD!$A$3:$A$5001,"&lt;="&amp;$B236,BD!$Y$3:$Y$5001,"&lt;&gt;")=0,"",SUMIFS(BD!$Y$3:$Y$5001,BD!$B$3:$B$5001,L$210,BD!$A$3:$A$5001,_xlfn.MAXIFS(BD!$A$3:$A$5001,BD!$B$3:$B$5001,L$210,BD!$A$3:$A$5001,"&gt;="&amp;$C$7,BD!$A$3:$A$5001,"&lt;="&amp;$B236,BD!$Y$3:$Y$5001,"&lt;&gt;"))))</f>
        <v/>
      </c>
      <c r="M236" s="54" t="str">
        <f>IF(OR($B236="",$A236&gt;$B$9,M$210=""),"",IF(COUNTIFS(BD!$B$3:$B$5001,M$210,BD!$A$3:$A$5001,"&gt;="&amp;$C$7,BD!$A$3:$A$5001,"&lt;="&amp;$B236,BD!$Y$3:$Y$5001,"&lt;&gt;")=0,"",SUMIFS(BD!$Y$3:$Y$5001,BD!$B$3:$B$5001,M$210,BD!$A$3:$A$5001,_xlfn.MAXIFS(BD!$A$3:$A$5001,BD!$B$3:$B$5001,M$210,BD!$A$3:$A$5001,"&gt;="&amp;$C$7,BD!$A$3:$A$5001,"&lt;="&amp;$B236,BD!$Y$3:$Y$5001,"&lt;&gt;"))))</f>
        <v/>
      </c>
      <c r="N236" s="54" t="str">
        <f>IF(OR($B236="",$A236&gt;$B$9,N$210=""),"",IF(COUNTIFS(BD!$B$3:$B$5001,N$210,BD!$A$3:$A$5001,"&gt;="&amp;$C$7,BD!$A$3:$A$5001,"&lt;="&amp;$B236,BD!$Y$3:$Y$5001,"&lt;&gt;")=0,"",SUMIFS(BD!$Y$3:$Y$5001,BD!$B$3:$B$5001,N$210,BD!$A$3:$A$5001,_xlfn.MAXIFS(BD!$A$3:$A$5001,BD!$B$3:$B$5001,N$210,BD!$A$3:$A$5001,"&gt;="&amp;$C$7,BD!$A$3:$A$5001,"&lt;="&amp;$B236,BD!$Y$3:$Y$5001,"&lt;&gt;"))))</f>
        <v/>
      </c>
      <c r="O236" s="54" t="str">
        <f>IF(OR($B236="",$A236&gt;$B$9,O$210=""),"",IF(COUNTIFS(BD!$B$3:$B$5001,O$210,BD!$A$3:$A$5001,"&gt;="&amp;$C$7,BD!$A$3:$A$5001,"&lt;="&amp;$B236,BD!$Y$3:$Y$5001,"&lt;&gt;")=0,"",SUMIFS(BD!$Y$3:$Y$5001,BD!$B$3:$B$5001,O$210,BD!$A$3:$A$5001,_xlfn.MAXIFS(BD!$A$3:$A$5001,BD!$B$3:$B$5001,O$210,BD!$A$3:$A$5001,"&gt;="&amp;$C$7,BD!$A$3:$A$5001,"&lt;="&amp;$B236,BD!$Y$3:$Y$5001,"&lt;&gt;"))))</f>
        <v/>
      </c>
      <c r="P236" s="54" t="str">
        <f>IF(OR($B236="",$A236&gt;$B$9,P$210=""),"",IF(COUNTIFS(BD!$B$3:$B$5001,P$210,BD!$A$3:$A$5001,"&gt;="&amp;$C$7,BD!$A$3:$A$5001,"&lt;="&amp;$B236,BD!$Y$3:$Y$5001,"&lt;&gt;")=0,"",SUMIFS(BD!$Y$3:$Y$5001,BD!$B$3:$B$5001,P$210,BD!$A$3:$A$5001,_xlfn.MAXIFS(BD!$A$3:$A$5001,BD!$B$3:$B$5001,P$210,BD!$A$3:$A$5001,"&gt;="&amp;$C$7,BD!$A$3:$A$5001,"&lt;="&amp;$B236,BD!$Y$3:$Y$5001,"&lt;&gt;"))))</f>
        <v/>
      </c>
      <c r="Q236" s="54" t="str">
        <f>IF(OR($B236="",$A236&gt;$B$9,Q$210=""),"",IF(COUNTIFS(BD!$B$3:$B$5001,Q$210,BD!$A$3:$A$5001,"&gt;="&amp;$C$7,BD!$A$3:$A$5001,"&lt;="&amp;$B236,BD!$Y$3:$Y$5001,"&lt;&gt;")=0,"",SUMIFS(BD!$Y$3:$Y$5001,BD!$B$3:$B$5001,Q$210,BD!$A$3:$A$5001,_xlfn.MAXIFS(BD!$A$3:$A$5001,BD!$B$3:$B$5001,Q$210,BD!$A$3:$A$5001,"&gt;="&amp;$C$7,BD!$A$3:$A$5001,"&lt;="&amp;$B236,BD!$Y$3:$Y$5001,"&lt;&gt;"))))</f>
        <v/>
      </c>
      <c r="R236" s="54" t="str">
        <f>IF(OR($B236="",$A236&gt;$B$9,R$210=""),"",IF(COUNTIFS(BD!$B$3:$B$5001,R$210,BD!$A$3:$A$5001,"&gt;="&amp;$C$7,BD!$A$3:$A$5001,"&lt;="&amp;$B236,BD!$Y$3:$Y$5001,"&lt;&gt;")=0,"",SUMIFS(BD!$Y$3:$Y$5001,BD!$B$3:$B$5001,R$210,BD!$A$3:$A$5001,_xlfn.MAXIFS(BD!$A$3:$A$5001,BD!$B$3:$B$5001,R$210,BD!$A$3:$A$5001,"&gt;="&amp;$C$7,BD!$A$3:$A$5001,"&lt;="&amp;$B236,BD!$Y$3:$Y$5001,"&lt;&gt;"))))</f>
        <v/>
      </c>
      <c r="S236" s="54" t="str">
        <f>IF(OR($B236="",$A236&gt;$B$9,S$210=""),"",IF(COUNTIFS(BD!$B$3:$B$5001,S$210,BD!$A$3:$A$5001,"&gt;="&amp;$C$7,BD!$A$3:$A$5001,"&lt;="&amp;$B236,BD!$Y$3:$Y$5001,"&lt;&gt;")=0,"",SUMIFS(BD!$Y$3:$Y$5001,BD!$B$3:$B$5001,S$210,BD!$A$3:$A$5001,_xlfn.MAXIFS(BD!$A$3:$A$5001,BD!$B$3:$B$5001,S$210,BD!$A$3:$A$5001,"&gt;="&amp;$C$7,BD!$A$3:$A$5001,"&lt;="&amp;$B236,BD!$Y$3:$Y$5001,"&lt;&gt;"))))</f>
        <v/>
      </c>
      <c r="T236" s="54" t="str">
        <f>IF(OR($B236="",$A236&gt;$B$9,T$210=""),"",IF(COUNTIFS(BD!$B$3:$B$5001,T$210,BD!$A$3:$A$5001,"&gt;="&amp;$C$7,BD!$A$3:$A$5001,"&lt;="&amp;$B236,BD!$Y$3:$Y$5001,"&lt;&gt;")=0,"",SUMIFS(BD!$Y$3:$Y$5001,BD!$B$3:$B$5001,T$210,BD!$A$3:$A$5001,_xlfn.MAXIFS(BD!$A$3:$A$5001,BD!$B$3:$B$5001,T$210,BD!$A$3:$A$5001,"&gt;="&amp;$C$7,BD!$A$3:$A$5001,"&lt;="&amp;$B236,BD!$Y$3:$Y$5001,"&lt;&gt;"))))</f>
        <v/>
      </c>
      <c r="U236" s="54" t="str">
        <f>IF(OR($B236="",$A236&gt;$B$9,U$210=""),"",IF(COUNTIFS(BD!$B$3:$B$5001,U$210,BD!$A$3:$A$5001,"&gt;="&amp;$C$7,BD!$A$3:$A$5001,"&lt;="&amp;$B236,BD!$Y$3:$Y$5001,"&lt;&gt;")=0,"",SUMIFS(BD!$Y$3:$Y$5001,BD!$B$3:$B$5001,U$210,BD!$A$3:$A$5001,_xlfn.MAXIFS(BD!$A$3:$A$5001,BD!$B$3:$B$5001,U$210,BD!$A$3:$A$5001,"&gt;="&amp;$C$7,BD!$A$3:$A$5001,"&lt;="&amp;$B236,BD!$Y$3:$Y$5001,"&lt;&gt;"))))</f>
        <v/>
      </c>
      <c r="V236" s="54" t="str">
        <f>IF(OR($B236="",$A236&gt;$B$9,V$210=""),"",IF(COUNTIFS(BD!$B$3:$B$5001,V$210,BD!$A$3:$A$5001,"&gt;="&amp;$C$7,BD!$A$3:$A$5001,"&lt;="&amp;$B236,BD!$Y$3:$Y$5001,"&lt;&gt;")=0,"",SUMIFS(BD!$Y$3:$Y$5001,BD!$B$3:$B$5001,V$210,BD!$A$3:$A$5001,_xlfn.MAXIFS(BD!$A$3:$A$5001,BD!$B$3:$B$5001,V$210,BD!$A$3:$A$5001,"&gt;="&amp;$C$7,BD!$A$3:$A$5001,"&lt;="&amp;$B236,BD!$Y$3:$Y$5001,"&lt;&gt;"))))</f>
        <v/>
      </c>
    </row>
    <row r="237">
      <c r="A237" s="48">
        <v>27</v>
      </c>
      <c r="B237" s="53">
        <f>$B$38</f>
        <v>46322</v>
      </c>
      <c r="C237" s="54" t="str">
        <f>IF(OR($B237="",$A237&gt;$B$9,C$210=""),"",IF(COUNTIFS(BD!$B$3:$B$5001,C$210,BD!$A$3:$A$5001,"&gt;="&amp;$C$7,BD!$A$3:$A$5001,"&lt;="&amp;$B237,BD!$Y$3:$Y$5001,"&lt;&gt;")=0,"",SUMIFS(BD!$Y$3:$Y$5001,BD!$B$3:$B$5001,C$210,BD!$A$3:$A$5001,_xlfn.MAXIFS(BD!$A$3:$A$5001,BD!$B$3:$B$5001,C$210,BD!$A$3:$A$5001,"&gt;="&amp;$C$7,BD!$A$3:$A$5001,"&lt;="&amp;$B237,BD!$Y$3:$Y$5001,"&lt;&gt;"))))</f>
        <v/>
      </c>
      <c r="D237" s="54" t="str">
        <f>IF(OR($B237="",$A237&gt;$B$9,D$210=""),"",IF(COUNTIFS(BD!$B$3:$B$5001,D$210,BD!$A$3:$A$5001,"&gt;="&amp;$C$7,BD!$A$3:$A$5001,"&lt;="&amp;$B237,BD!$Y$3:$Y$5001,"&lt;&gt;")=0,"",SUMIFS(BD!$Y$3:$Y$5001,BD!$B$3:$B$5001,D$210,BD!$A$3:$A$5001,_xlfn.MAXIFS(BD!$A$3:$A$5001,BD!$B$3:$B$5001,D$210,BD!$A$3:$A$5001,"&gt;="&amp;$C$7,BD!$A$3:$A$5001,"&lt;="&amp;$B237,BD!$Y$3:$Y$5001,"&lt;&gt;"))))</f>
        <v/>
      </c>
      <c r="E237" s="54" t="str">
        <f>IF(OR($B237="",$A237&gt;$B$9,E$210=""),"",IF(COUNTIFS(BD!$B$3:$B$5001,E$210,BD!$A$3:$A$5001,"&gt;="&amp;$C$7,BD!$A$3:$A$5001,"&lt;="&amp;$B237,BD!$Y$3:$Y$5001,"&lt;&gt;")=0,"",SUMIFS(BD!$Y$3:$Y$5001,BD!$B$3:$B$5001,E$210,BD!$A$3:$A$5001,_xlfn.MAXIFS(BD!$A$3:$A$5001,BD!$B$3:$B$5001,E$210,BD!$A$3:$A$5001,"&gt;="&amp;$C$7,BD!$A$3:$A$5001,"&lt;="&amp;$B237,BD!$Y$3:$Y$5001,"&lt;&gt;"))))</f>
        <v/>
      </c>
      <c r="F237" s="54" t="str">
        <f>IF(OR($B237="",$A237&gt;$B$9,F$210=""),"",IF(COUNTIFS(BD!$B$3:$B$5001,F$210,BD!$A$3:$A$5001,"&gt;="&amp;$C$7,BD!$A$3:$A$5001,"&lt;="&amp;$B237,BD!$Y$3:$Y$5001,"&lt;&gt;")=0,"",SUMIFS(BD!$Y$3:$Y$5001,BD!$B$3:$B$5001,F$210,BD!$A$3:$A$5001,_xlfn.MAXIFS(BD!$A$3:$A$5001,BD!$B$3:$B$5001,F$210,BD!$A$3:$A$5001,"&gt;="&amp;$C$7,BD!$A$3:$A$5001,"&lt;="&amp;$B237,BD!$Y$3:$Y$5001,"&lt;&gt;"))))</f>
        <v/>
      </c>
      <c r="G237" s="54" t="str">
        <f>IF(OR($B237="",$A237&gt;$B$9,G$210=""),"",IF(COUNTIFS(BD!$B$3:$B$5001,G$210,BD!$A$3:$A$5001,"&gt;="&amp;$C$7,BD!$A$3:$A$5001,"&lt;="&amp;$B237,BD!$Y$3:$Y$5001,"&lt;&gt;")=0,"",SUMIFS(BD!$Y$3:$Y$5001,BD!$B$3:$B$5001,G$210,BD!$A$3:$A$5001,_xlfn.MAXIFS(BD!$A$3:$A$5001,BD!$B$3:$B$5001,G$210,BD!$A$3:$A$5001,"&gt;="&amp;$C$7,BD!$A$3:$A$5001,"&lt;="&amp;$B237,BD!$Y$3:$Y$5001,"&lt;&gt;"))))</f>
        <v/>
      </c>
      <c r="H237" s="54" t="str">
        <f>IF(OR($B237="",$A237&gt;$B$9,H$210=""),"",IF(COUNTIFS(BD!$B$3:$B$5001,H$210,BD!$A$3:$A$5001,"&gt;="&amp;$C$7,BD!$A$3:$A$5001,"&lt;="&amp;$B237,BD!$Y$3:$Y$5001,"&lt;&gt;")=0,"",SUMIFS(BD!$Y$3:$Y$5001,BD!$B$3:$B$5001,H$210,BD!$A$3:$A$5001,_xlfn.MAXIFS(BD!$A$3:$A$5001,BD!$B$3:$B$5001,H$210,BD!$A$3:$A$5001,"&gt;="&amp;$C$7,BD!$A$3:$A$5001,"&lt;="&amp;$B237,BD!$Y$3:$Y$5001,"&lt;&gt;"))))</f>
        <v/>
      </c>
      <c r="I237" s="54" t="str">
        <f>IF(OR($B237="",$A237&gt;$B$9,I$210=""),"",IF(COUNTIFS(BD!$B$3:$B$5001,I$210,BD!$A$3:$A$5001,"&gt;="&amp;$C$7,BD!$A$3:$A$5001,"&lt;="&amp;$B237,BD!$Y$3:$Y$5001,"&lt;&gt;")=0,"",SUMIFS(BD!$Y$3:$Y$5001,BD!$B$3:$B$5001,I$210,BD!$A$3:$A$5001,_xlfn.MAXIFS(BD!$A$3:$A$5001,BD!$B$3:$B$5001,I$210,BD!$A$3:$A$5001,"&gt;="&amp;$C$7,BD!$A$3:$A$5001,"&lt;="&amp;$B237,BD!$Y$3:$Y$5001,"&lt;&gt;"))))</f>
        <v/>
      </c>
      <c r="J237" s="54" t="str">
        <f>IF(OR($B237="",$A237&gt;$B$9,J$210=""),"",IF(COUNTIFS(BD!$B$3:$B$5001,J$210,BD!$A$3:$A$5001,"&gt;="&amp;$C$7,BD!$A$3:$A$5001,"&lt;="&amp;$B237,BD!$Y$3:$Y$5001,"&lt;&gt;")=0,"",SUMIFS(BD!$Y$3:$Y$5001,BD!$B$3:$B$5001,J$210,BD!$A$3:$A$5001,_xlfn.MAXIFS(BD!$A$3:$A$5001,BD!$B$3:$B$5001,J$210,BD!$A$3:$A$5001,"&gt;="&amp;$C$7,BD!$A$3:$A$5001,"&lt;="&amp;$B237,BD!$Y$3:$Y$5001,"&lt;&gt;"))))</f>
        <v/>
      </c>
      <c r="K237" s="54" t="str">
        <f>IF(OR($B237="",$A237&gt;$B$9,K$210=""),"",IF(COUNTIFS(BD!$B$3:$B$5001,K$210,BD!$A$3:$A$5001,"&gt;="&amp;$C$7,BD!$A$3:$A$5001,"&lt;="&amp;$B237,BD!$Y$3:$Y$5001,"&lt;&gt;")=0,"",SUMIFS(BD!$Y$3:$Y$5001,BD!$B$3:$B$5001,K$210,BD!$A$3:$A$5001,_xlfn.MAXIFS(BD!$A$3:$A$5001,BD!$B$3:$B$5001,K$210,BD!$A$3:$A$5001,"&gt;="&amp;$C$7,BD!$A$3:$A$5001,"&lt;="&amp;$B237,BD!$Y$3:$Y$5001,"&lt;&gt;"))))</f>
        <v/>
      </c>
      <c r="L237" s="54" t="str">
        <f>IF(OR($B237="",$A237&gt;$B$9,L$210=""),"",IF(COUNTIFS(BD!$B$3:$B$5001,L$210,BD!$A$3:$A$5001,"&gt;="&amp;$C$7,BD!$A$3:$A$5001,"&lt;="&amp;$B237,BD!$Y$3:$Y$5001,"&lt;&gt;")=0,"",SUMIFS(BD!$Y$3:$Y$5001,BD!$B$3:$B$5001,L$210,BD!$A$3:$A$5001,_xlfn.MAXIFS(BD!$A$3:$A$5001,BD!$B$3:$B$5001,L$210,BD!$A$3:$A$5001,"&gt;="&amp;$C$7,BD!$A$3:$A$5001,"&lt;="&amp;$B237,BD!$Y$3:$Y$5001,"&lt;&gt;"))))</f>
        <v/>
      </c>
      <c r="M237" s="54" t="str">
        <f>IF(OR($B237="",$A237&gt;$B$9,M$210=""),"",IF(COUNTIFS(BD!$B$3:$B$5001,M$210,BD!$A$3:$A$5001,"&gt;="&amp;$C$7,BD!$A$3:$A$5001,"&lt;="&amp;$B237,BD!$Y$3:$Y$5001,"&lt;&gt;")=0,"",SUMIFS(BD!$Y$3:$Y$5001,BD!$B$3:$B$5001,M$210,BD!$A$3:$A$5001,_xlfn.MAXIFS(BD!$A$3:$A$5001,BD!$B$3:$B$5001,M$210,BD!$A$3:$A$5001,"&gt;="&amp;$C$7,BD!$A$3:$A$5001,"&lt;="&amp;$B237,BD!$Y$3:$Y$5001,"&lt;&gt;"))))</f>
        <v/>
      </c>
      <c r="N237" s="54" t="str">
        <f>IF(OR($B237="",$A237&gt;$B$9,N$210=""),"",IF(COUNTIFS(BD!$B$3:$B$5001,N$210,BD!$A$3:$A$5001,"&gt;="&amp;$C$7,BD!$A$3:$A$5001,"&lt;="&amp;$B237,BD!$Y$3:$Y$5001,"&lt;&gt;")=0,"",SUMIFS(BD!$Y$3:$Y$5001,BD!$B$3:$B$5001,N$210,BD!$A$3:$A$5001,_xlfn.MAXIFS(BD!$A$3:$A$5001,BD!$B$3:$B$5001,N$210,BD!$A$3:$A$5001,"&gt;="&amp;$C$7,BD!$A$3:$A$5001,"&lt;="&amp;$B237,BD!$Y$3:$Y$5001,"&lt;&gt;"))))</f>
        <v/>
      </c>
      <c r="O237" s="54" t="str">
        <f>IF(OR($B237="",$A237&gt;$B$9,O$210=""),"",IF(COUNTIFS(BD!$B$3:$B$5001,O$210,BD!$A$3:$A$5001,"&gt;="&amp;$C$7,BD!$A$3:$A$5001,"&lt;="&amp;$B237,BD!$Y$3:$Y$5001,"&lt;&gt;")=0,"",SUMIFS(BD!$Y$3:$Y$5001,BD!$B$3:$B$5001,O$210,BD!$A$3:$A$5001,_xlfn.MAXIFS(BD!$A$3:$A$5001,BD!$B$3:$B$5001,O$210,BD!$A$3:$A$5001,"&gt;="&amp;$C$7,BD!$A$3:$A$5001,"&lt;="&amp;$B237,BD!$Y$3:$Y$5001,"&lt;&gt;"))))</f>
        <v/>
      </c>
      <c r="P237" s="54" t="str">
        <f>IF(OR($B237="",$A237&gt;$B$9,P$210=""),"",IF(COUNTIFS(BD!$B$3:$B$5001,P$210,BD!$A$3:$A$5001,"&gt;="&amp;$C$7,BD!$A$3:$A$5001,"&lt;="&amp;$B237,BD!$Y$3:$Y$5001,"&lt;&gt;")=0,"",SUMIFS(BD!$Y$3:$Y$5001,BD!$B$3:$B$5001,P$210,BD!$A$3:$A$5001,_xlfn.MAXIFS(BD!$A$3:$A$5001,BD!$B$3:$B$5001,P$210,BD!$A$3:$A$5001,"&gt;="&amp;$C$7,BD!$A$3:$A$5001,"&lt;="&amp;$B237,BD!$Y$3:$Y$5001,"&lt;&gt;"))))</f>
        <v/>
      </c>
      <c r="Q237" s="54" t="str">
        <f>IF(OR($B237="",$A237&gt;$B$9,Q$210=""),"",IF(COUNTIFS(BD!$B$3:$B$5001,Q$210,BD!$A$3:$A$5001,"&gt;="&amp;$C$7,BD!$A$3:$A$5001,"&lt;="&amp;$B237,BD!$Y$3:$Y$5001,"&lt;&gt;")=0,"",SUMIFS(BD!$Y$3:$Y$5001,BD!$B$3:$B$5001,Q$210,BD!$A$3:$A$5001,_xlfn.MAXIFS(BD!$A$3:$A$5001,BD!$B$3:$B$5001,Q$210,BD!$A$3:$A$5001,"&gt;="&amp;$C$7,BD!$A$3:$A$5001,"&lt;="&amp;$B237,BD!$Y$3:$Y$5001,"&lt;&gt;"))))</f>
        <v/>
      </c>
      <c r="R237" s="54" t="str">
        <f>IF(OR($B237="",$A237&gt;$B$9,R$210=""),"",IF(COUNTIFS(BD!$B$3:$B$5001,R$210,BD!$A$3:$A$5001,"&gt;="&amp;$C$7,BD!$A$3:$A$5001,"&lt;="&amp;$B237,BD!$Y$3:$Y$5001,"&lt;&gt;")=0,"",SUMIFS(BD!$Y$3:$Y$5001,BD!$B$3:$B$5001,R$210,BD!$A$3:$A$5001,_xlfn.MAXIFS(BD!$A$3:$A$5001,BD!$B$3:$B$5001,R$210,BD!$A$3:$A$5001,"&gt;="&amp;$C$7,BD!$A$3:$A$5001,"&lt;="&amp;$B237,BD!$Y$3:$Y$5001,"&lt;&gt;"))))</f>
        <v/>
      </c>
      <c r="S237" s="54" t="str">
        <f>IF(OR($B237="",$A237&gt;$B$9,S$210=""),"",IF(COUNTIFS(BD!$B$3:$B$5001,S$210,BD!$A$3:$A$5001,"&gt;="&amp;$C$7,BD!$A$3:$A$5001,"&lt;="&amp;$B237,BD!$Y$3:$Y$5001,"&lt;&gt;")=0,"",SUMIFS(BD!$Y$3:$Y$5001,BD!$B$3:$B$5001,S$210,BD!$A$3:$A$5001,_xlfn.MAXIFS(BD!$A$3:$A$5001,BD!$B$3:$B$5001,S$210,BD!$A$3:$A$5001,"&gt;="&amp;$C$7,BD!$A$3:$A$5001,"&lt;="&amp;$B237,BD!$Y$3:$Y$5001,"&lt;&gt;"))))</f>
        <v/>
      </c>
      <c r="T237" s="54" t="str">
        <f>IF(OR($B237="",$A237&gt;$B$9,T$210=""),"",IF(COUNTIFS(BD!$B$3:$B$5001,T$210,BD!$A$3:$A$5001,"&gt;="&amp;$C$7,BD!$A$3:$A$5001,"&lt;="&amp;$B237,BD!$Y$3:$Y$5001,"&lt;&gt;")=0,"",SUMIFS(BD!$Y$3:$Y$5001,BD!$B$3:$B$5001,T$210,BD!$A$3:$A$5001,_xlfn.MAXIFS(BD!$A$3:$A$5001,BD!$B$3:$B$5001,T$210,BD!$A$3:$A$5001,"&gt;="&amp;$C$7,BD!$A$3:$A$5001,"&lt;="&amp;$B237,BD!$Y$3:$Y$5001,"&lt;&gt;"))))</f>
        <v/>
      </c>
      <c r="U237" s="54" t="str">
        <f>IF(OR($B237="",$A237&gt;$B$9,U$210=""),"",IF(COUNTIFS(BD!$B$3:$B$5001,U$210,BD!$A$3:$A$5001,"&gt;="&amp;$C$7,BD!$A$3:$A$5001,"&lt;="&amp;$B237,BD!$Y$3:$Y$5001,"&lt;&gt;")=0,"",SUMIFS(BD!$Y$3:$Y$5001,BD!$B$3:$B$5001,U$210,BD!$A$3:$A$5001,_xlfn.MAXIFS(BD!$A$3:$A$5001,BD!$B$3:$B$5001,U$210,BD!$A$3:$A$5001,"&gt;="&amp;$C$7,BD!$A$3:$A$5001,"&lt;="&amp;$B237,BD!$Y$3:$Y$5001,"&lt;&gt;"))))</f>
        <v/>
      </c>
      <c r="V237" s="54" t="str">
        <f>IF(OR($B237="",$A237&gt;$B$9,V$210=""),"",IF(COUNTIFS(BD!$B$3:$B$5001,V$210,BD!$A$3:$A$5001,"&gt;="&amp;$C$7,BD!$A$3:$A$5001,"&lt;="&amp;$B237,BD!$Y$3:$Y$5001,"&lt;&gt;")=0,"",SUMIFS(BD!$Y$3:$Y$5001,BD!$B$3:$B$5001,V$210,BD!$A$3:$A$5001,_xlfn.MAXIFS(BD!$A$3:$A$5001,BD!$B$3:$B$5001,V$210,BD!$A$3:$A$5001,"&gt;="&amp;$C$7,BD!$A$3:$A$5001,"&lt;="&amp;$B237,BD!$Y$3:$Y$5001,"&lt;&gt;"))))</f>
        <v/>
      </c>
    </row>
    <row r="238">
      <c r="A238" s="48">
        <v>28</v>
      </c>
      <c r="B238" s="53">
        <f>$B$39</f>
        <v>46323</v>
      </c>
      <c r="C238" s="54" t="str">
        <f>IF(OR($B238="",$A238&gt;$B$9,C$210=""),"",IF(COUNTIFS(BD!$B$3:$B$5001,C$210,BD!$A$3:$A$5001,"&gt;="&amp;$C$7,BD!$A$3:$A$5001,"&lt;="&amp;$B238,BD!$Y$3:$Y$5001,"&lt;&gt;")=0,"",SUMIFS(BD!$Y$3:$Y$5001,BD!$B$3:$B$5001,C$210,BD!$A$3:$A$5001,_xlfn.MAXIFS(BD!$A$3:$A$5001,BD!$B$3:$B$5001,C$210,BD!$A$3:$A$5001,"&gt;="&amp;$C$7,BD!$A$3:$A$5001,"&lt;="&amp;$B238,BD!$Y$3:$Y$5001,"&lt;&gt;"))))</f>
        <v/>
      </c>
      <c r="D238" s="54" t="str">
        <f>IF(OR($B238="",$A238&gt;$B$9,D$210=""),"",IF(COUNTIFS(BD!$B$3:$B$5001,D$210,BD!$A$3:$A$5001,"&gt;="&amp;$C$7,BD!$A$3:$A$5001,"&lt;="&amp;$B238,BD!$Y$3:$Y$5001,"&lt;&gt;")=0,"",SUMIFS(BD!$Y$3:$Y$5001,BD!$B$3:$B$5001,D$210,BD!$A$3:$A$5001,_xlfn.MAXIFS(BD!$A$3:$A$5001,BD!$B$3:$B$5001,D$210,BD!$A$3:$A$5001,"&gt;="&amp;$C$7,BD!$A$3:$A$5001,"&lt;="&amp;$B238,BD!$Y$3:$Y$5001,"&lt;&gt;"))))</f>
        <v/>
      </c>
      <c r="E238" s="54" t="str">
        <f>IF(OR($B238="",$A238&gt;$B$9,E$210=""),"",IF(COUNTIFS(BD!$B$3:$B$5001,E$210,BD!$A$3:$A$5001,"&gt;="&amp;$C$7,BD!$A$3:$A$5001,"&lt;="&amp;$B238,BD!$Y$3:$Y$5001,"&lt;&gt;")=0,"",SUMIFS(BD!$Y$3:$Y$5001,BD!$B$3:$B$5001,E$210,BD!$A$3:$A$5001,_xlfn.MAXIFS(BD!$A$3:$A$5001,BD!$B$3:$B$5001,E$210,BD!$A$3:$A$5001,"&gt;="&amp;$C$7,BD!$A$3:$A$5001,"&lt;="&amp;$B238,BD!$Y$3:$Y$5001,"&lt;&gt;"))))</f>
        <v/>
      </c>
      <c r="F238" s="54" t="str">
        <f>IF(OR($B238="",$A238&gt;$B$9,F$210=""),"",IF(COUNTIFS(BD!$B$3:$B$5001,F$210,BD!$A$3:$A$5001,"&gt;="&amp;$C$7,BD!$A$3:$A$5001,"&lt;="&amp;$B238,BD!$Y$3:$Y$5001,"&lt;&gt;")=0,"",SUMIFS(BD!$Y$3:$Y$5001,BD!$B$3:$B$5001,F$210,BD!$A$3:$A$5001,_xlfn.MAXIFS(BD!$A$3:$A$5001,BD!$B$3:$B$5001,F$210,BD!$A$3:$A$5001,"&gt;="&amp;$C$7,BD!$A$3:$A$5001,"&lt;="&amp;$B238,BD!$Y$3:$Y$5001,"&lt;&gt;"))))</f>
        <v/>
      </c>
      <c r="G238" s="54" t="str">
        <f>IF(OR($B238="",$A238&gt;$B$9,G$210=""),"",IF(COUNTIFS(BD!$B$3:$B$5001,G$210,BD!$A$3:$A$5001,"&gt;="&amp;$C$7,BD!$A$3:$A$5001,"&lt;="&amp;$B238,BD!$Y$3:$Y$5001,"&lt;&gt;")=0,"",SUMIFS(BD!$Y$3:$Y$5001,BD!$B$3:$B$5001,G$210,BD!$A$3:$A$5001,_xlfn.MAXIFS(BD!$A$3:$A$5001,BD!$B$3:$B$5001,G$210,BD!$A$3:$A$5001,"&gt;="&amp;$C$7,BD!$A$3:$A$5001,"&lt;="&amp;$B238,BD!$Y$3:$Y$5001,"&lt;&gt;"))))</f>
        <v/>
      </c>
      <c r="H238" s="54" t="str">
        <f>IF(OR($B238="",$A238&gt;$B$9,H$210=""),"",IF(COUNTIFS(BD!$B$3:$B$5001,H$210,BD!$A$3:$A$5001,"&gt;="&amp;$C$7,BD!$A$3:$A$5001,"&lt;="&amp;$B238,BD!$Y$3:$Y$5001,"&lt;&gt;")=0,"",SUMIFS(BD!$Y$3:$Y$5001,BD!$B$3:$B$5001,H$210,BD!$A$3:$A$5001,_xlfn.MAXIFS(BD!$A$3:$A$5001,BD!$B$3:$B$5001,H$210,BD!$A$3:$A$5001,"&gt;="&amp;$C$7,BD!$A$3:$A$5001,"&lt;="&amp;$B238,BD!$Y$3:$Y$5001,"&lt;&gt;"))))</f>
        <v/>
      </c>
      <c r="I238" s="54" t="str">
        <f>IF(OR($B238="",$A238&gt;$B$9,I$210=""),"",IF(COUNTIFS(BD!$B$3:$B$5001,I$210,BD!$A$3:$A$5001,"&gt;="&amp;$C$7,BD!$A$3:$A$5001,"&lt;="&amp;$B238,BD!$Y$3:$Y$5001,"&lt;&gt;")=0,"",SUMIFS(BD!$Y$3:$Y$5001,BD!$B$3:$B$5001,I$210,BD!$A$3:$A$5001,_xlfn.MAXIFS(BD!$A$3:$A$5001,BD!$B$3:$B$5001,I$210,BD!$A$3:$A$5001,"&gt;="&amp;$C$7,BD!$A$3:$A$5001,"&lt;="&amp;$B238,BD!$Y$3:$Y$5001,"&lt;&gt;"))))</f>
        <v/>
      </c>
      <c r="J238" s="54" t="str">
        <f>IF(OR($B238="",$A238&gt;$B$9,J$210=""),"",IF(COUNTIFS(BD!$B$3:$B$5001,J$210,BD!$A$3:$A$5001,"&gt;="&amp;$C$7,BD!$A$3:$A$5001,"&lt;="&amp;$B238,BD!$Y$3:$Y$5001,"&lt;&gt;")=0,"",SUMIFS(BD!$Y$3:$Y$5001,BD!$B$3:$B$5001,J$210,BD!$A$3:$A$5001,_xlfn.MAXIFS(BD!$A$3:$A$5001,BD!$B$3:$B$5001,J$210,BD!$A$3:$A$5001,"&gt;="&amp;$C$7,BD!$A$3:$A$5001,"&lt;="&amp;$B238,BD!$Y$3:$Y$5001,"&lt;&gt;"))))</f>
        <v/>
      </c>
      <c r="K238" s="54" t="str">
        <f>IF(OR($B238="",$A238&gt;$B$9,K$210=""),"",IF(COUNTIFS(BD!$B$3:$B$5001,K$210,BD!$A$3:$A$5001,"&gt;="&amp;$C$7,BD!$A$3:$A$5001,"&lt;="&amp;$B238,BD!$Y$3:$Y$5001,"&lt;&gt;")=0,"",SUMIFS(BD!$Y$3:$Y$5001,BD!$B$3:$B$5001,K$210,BD!$A$3:$A$5001,_xlfn.MAXIFS(BD!$A$3:$A$5001,BD!$B$3:$B$5001,K$210,BD!$A$3:$A$5001,"&gt;="&amp;$C$7,BD!$A$3:$A$5001,"&lt;="&amp;$B238,BD!$Y$3:$Y$5001,"&lt;&gt;"))))</f>
        <v/>
      </c>
      <c r="L238" s="54" t="str">
        <f>IF(OR($B238="",$A238&gt;$B$9,L$210=""),"",IF(COUNTIFS(BD!$B$3:$B$5001,L$210,BD!$A$3:$A$5001,"&gt;="&amp;$C$7,BD!$A$3:$A$5001,"&lt;="&amp;$B238,BD!$Y$3:$Y$5001,"&lt;&gt;")=0,"",SUMIFS(BD!$Y$3:$Y$5001,BD!$B$3:$B$5001,L$210,BD!$A$3:$A$5001,_xlfn.MAXIFS(BD!$A$3:$A$5001,BD!$B$3:$B$5001,L$210,BD!$A$3:$A$5001,"&gt;="&amp;$C$7,BD!$A$3:$A$5001,"&lt;="&amp;$B238,BD!$Y$3:$Y$5001,"&lt;&gt;"))))</f>
        <v/>
      </c>
      <c r="M238" s="54" t="str">
        <f>IF(OR($B238="",$A238&gt;$B$9,M$210=""),"",IF(COUNTIFS(BD!$B$3:$B$5001,M$210,BD!$A$3:$A$5001,"&gt;="&amp;$C$7,BD!$A$3:$A$5001,"&lt;="&amp;$B238,BD!$Y$3:$Y$5001,"&lt;&gt;")=0,"",SUMIFS(BD!$Y$3:$Y$5001,BD!$B$3:$B$5001,M$210,BD!$A$3:$A$5001,_xlfn.MAXIFS(BD!$A$3:$A$5001,BD!$B$3:$B$5001,M$210,BD!$A$3:$A$5001,"&gt;="&amp;$C$7,BD!$A$3:$A$5001,"&lt;="&amp;$B238,BD!$Y$3:$Y$5001,"&lt;&gt;"))))</f>
        <v/>
      </c>
      <c r="N238" s="54" t="str">
        <f>IF(OR($B238="",$A238&gt;$B$9,N$210=""),"",IF(COUNTIFS(BD!$B$3:$B$5001,N$210,BD!$A$3:$A$5001,"&gt;="&amp;$C$7,BD!$A$3:$A$5001,"&lt;="&amp;$B238,BD!$Y$3:$Y$5001,"&lt;&gt;")=0,"",SUMIFS(BD!$Y$3:$Y$5001,BD!$B$3:$B$5001,N$210,BD!$A$3:$A$5001,_xlfn.MAXIFS(BD!$A$3:$A$5001,BD!$B$3:$B$5001,N$210,BD!$A$3:$A$5001,"&gt;="&amp;$C$7,BD!$A$3:$A$5001,"&lt;="&amp;$B238,BD!$Y$3:$Y$5001,"&lt;&gt;"))))</f>
        <v/>
      </c>
      <c r="O238" s="54" t="str">
        <f>IF(OR($B238="",$A238&gt;$B$9,O$210=""),"",IF(COUNTIFS(BD!$B$3:$B$5001,O$210,BD!$A$3:$A$5001,"&gt;="&amp;$C$7,BD!$A$3:$A$5001,"&lt;="&amp;$B238,BD!$Y$3:$Y$5001,"&lt;&gt;")=0,"",SUMIFS(BD!$Y$3:$Y$5001,BD!$B$3:$B$5001,O$210,BD!$A$3:$A$5001,_xlfn.MAXIFS(BD!$A$3:$A$5001,BD!$B$3:$B$5001,O$210,BD!$A$3:$A$5001,"&gt;="&amp;$C$7,BD!$A$3:$A$5001,"&lt;="&amp;$B238,BD!$Y$3:$Y$5001,"&lt;&gt;"))))</f>
        <v/>
      </c>
      <c r="P238" s="54" t="str">
        <f>IF(OR($B238="",$A238&gt;$B$9,P$210=""),"",IF(COUNTIFS(BD!$B$3:$B$5001,P$210,BD!$A$3:$A$5001,"&gt;="&amp;$C$7,BD!$A$3:$A$5001,"&lt;="&amp;$B238,BD!$Y$3:$Y$5001,"&lt;&gt;")=0,"",SUMIFS(BD!$Y$3:$Y$5001,BD!$B$3:$B$5001,P$210,BD!$A$3:$A$5001,_xlfn.MAXIFS(BD!$A$3:$A$5001,BD!$B$3:$B$5001,P$210,BD!$A$3:$A$5001,"&gt;="&amp;$C$7,BD!$A$3:$A$5001,"&lt;="&amp;$B238,BD!$Y$3:$Y$5001,"&lt;&gt;"))))</f>
        <v/>
      </c>
      <c r="Q238" s="54" t="str">
        <f>IF(OR($B238="",$A238&gt;$B$9,Q$210=""),"",IF(COUNTIFS(BD!$B$3:$B$5001,Q$210,BD!$A$3:$A$5001,"&gt;="&amp;$C$7,BD!$A$3:$A$5001,"&lt;="&amp;$B238,BD!$Y$3:$Y$5001,"&lt;&gt;")=0,"",SUMIFS(BD!$Y$3:$Y$5001,BD!$B$3:$B$5001,Q$210,BD!$A$3:$A$5001,_xlfn.MAXIFS(BD!$A$3:$A$5001,BD!$B$3:$B$5001,Q$210,BD!$A$3:$A$5001,"&gt;="&amp;$C$7,BD!$A$3:$A$5001,"&lt;="&amp;$B238,BD!$Y$3:$Y$5001,"&lt;&gt;"))))</f>
        <v/>
      </c>
      <c r="R238" s="54" t="str">
        <f>IF(OR($B238="",$A238&gt;$B$9,R$210=""),"",IF(COUNTIFS(BD!$B$3:$B$5001,R$210,BD!$A$3:$A$5001,"&gt;="&amp;$C$7,BD!$A$3:$A$5001,"&lt;="&amp;$B238,BD!$Y$3:$Y$5001,"&lt;&gt;")=0,"",SUMIFS(BD!$Y$3:$Y$5001,BD!$B$3:$B$5001,R$210,BD!$A$3:$A$5001,_xlfn.MAXIFS(BD!$A$3:$A$5001,BD!$B$3:$B$5001,R$210,BD!$A$3:$A$5001,"&gt;="&amp;$C$7,BD!$A$3:$A$5001,"&lt;="&amp;$B238,BD!$Y$3:$Y$5001,"&lt;&gt;"))))</f>
        <v/>
      </c>
      <c r="S238" s="54" t="str">
        <f>IF(OR($B238="",$A238&gt;$B$9,S$210=""),"",IF(COUNTIFS(BD!$B$3:$B$5001,S$210,BD!$A$3:$A$5001,"&gt;="&amp;$C$7,BD!$A$3:$A$5001,"&lt;="&amp;$B238,BD!$Y$3:$Y$5001,"&lt;&gt;")=0,"",SUMIFS(BD!$Y$3:$Y$5001,BD!$B$3:$B$5001,S$210,BD!$A$3:$A$5001,_xlfn.MAXIFS(BD!$A$3:$A$5001,BD!$B$3:$B$5001,S$210,BD!$A$3:$A$5001,"&gt;="&amp;$C$7,BD!$A$3:$A$5001,"&lt;="&amp;$B238,BD!$Y$3:$Y$5001,"&lt;&gt;"))))</f>
        <v/>
      </c>
      <c r="T238" s="54" t="str">
        <f>IF(OR($B238="",$A238&gt;$B$9,T$210=""),"",IF(COUNTIFS(BD!$B$3:$B$5001,T$210,BD!$A$3:$A$5001,"&gt;="&amp;$C$7,BD!$A$3:$A$5001,"&lt;="&amp;$B238,BD!$Y$3:$Y$5001,"&lt;&gt;")=0,"",SUMIFS(BD!$Y$3:$Y$5001,BD!$B$3:$B$5001,T$210,BD!$A$3:$A$5001,_xlfn.MAXIFS(BD!$A$3:$A$5001,BD!$B$3:$B$5001,T$210,BD!$A$3:$A$5001,"&gt;="&amp;$C$7,BD!$A$3:$A$5001,"&lt;="&amp;$B238,BD!$Y$3:$Y$5001,"&lt;&gt;"))))</f>
        <v/>
      </c>
      <c r="U238" s="54" t="str">
        <f>IF(OR($B238="",$A238&gt;$B$9,U$210=""),"",IF(COUNTIFS(BD!$B$3:$B$5001,U$210,BD!$A$3:$A$5001,"&gt;="&amp;$C$7,BD!$A$3:$A$5001,"&lt;="&amp;$B238,BD!$Y$3:$Y$5001,"&lt;&gt;")=0,"",SUMIFS(BD!$Y$3:$Y$5001,BD!$B$3:$B$5001,U$210,BD!$A$3:$A$5001,_xlfn.MAXIFS(BD!$A$3:$A$5001,BD!$B$3:$B$5001,U$210,BD!$A$3:$A$5001,"&gt;="&amp;$C$7,BD!$A$3:$A$5001,"&lt;="&amp;$B238,BD!$Y$3:$Y$5001,"&lt;&gt;"))))</f>
        <v/>
      </c>
      <c r="V238" s="54" t="str">
        <f>IF(OR($B238="",$A238&gt;$B$9,V$210=""),"",IF(COUNTIFS(BD!$B$3:$B$5001,V$210,BD!$A$3:$A$5001,"&gt;="&amp;$C$7,BD!$A$3:$A$5001,"&lt;="&amp;$B238,BD!$Y$3:$Y$5001,"&lt;&gt;")=0,"",SUMIFS(BD!$Y$3:$Y$5001,BD!$B$3:$B$5001,V$210,BD!$A$3:$A$5001,_xlfn.MAXIFS(BD!$A$3:$A$5001,BD!$B$3:$B$5001,V$210,BD!$A$3:$A$5001,"&gt;="&amp;$C$7,BD!$A$3:$A$5001,"&lt;="&amp;$B238,BD!$Y$3:$Y$5001,"&lt;&gt;"))))</f>
        <v/>
      </c>
    </row>
    <row r="239">
      <c r="A239" s="48">
        <v>29</v>
      </c>
      <c r="B239" s="53">
        <f>$B$40</f>
        <v>46324</v>
      </c>
      <c r="C239" s="54" t="str">
        <f>IF(OR($B239="",$A239&gt;$B$9,C$210=""),"",IF(COUNTIFS(BD!$B$3:$B$5001,C$210,BD!$A$3:$A$5001,"&gt;="&amp;$C$7,BD!$A$3:$A$5001,"&lt;="&amp;$B239,BD!$Y$3:$Y$5001,"&lt;&gt;")=0,"",SUMIFS(BD!$Y$3:$Y$5001,BD!$B$3:$B$5001,C$210,BD!$A$3:$A$5001,_xlfn.MAXIFS(BD!$A$3:$A$5001,BD!$B$3:$B$5001,C$210,BD!$A$3:$A$5001,"&gt;="&amp;$C$7,BD!$A$3:$A$5001,"&lt;="&amp;$B239,BD!$Y$3:$Y$5001,"&lt;&gt;"))))</f>
        <v/>
      </c>
      <c r="D239" s="54" t="str">
        <f>IF(OR($B239="",$A239&gt;$B$9,D$210=""),"",IF(COUNTIFS(BD!$B$3:$B$5001,D$210,BD!$A$3:$A$5001,"&gt;="&amp;$C$7,BD!$A$3:$A$5001,"&lt;="&amp;$B239,BD!$Y$3:$Y$5001,"&lt;&gt;")=0,"",SUMIFS(BD!$Y$3:$Y$5001,BD!$B$3:$B$5001,D$210,BD!$A$3:$A$5001,_xlfn.MAXIFS(BD!$A$3:$A$5001,BD!$B$3:$B$5001,D$210,BD!$A$3:$A$5001,"&gt;="&amp;$C$7,BD!$A$3:$A$5001,"&lt;="&amp;$B239,BD!$Y$3:$Y$5001,"&lt;&gt;"))))</f>
        <v/>
      </c>
      <c r="E239" s="54" t="str">
        <f>IF(OR($B239="",$A239&gt;$B$9,E$210=""),"",IF(COUNTIFS(BD!$B$3:$B$5001,E$210,BD!$A$3:$A$5001,"&gt;="&amp;$C$7,BD!$A$3:$A$5001,"&lt;="&amp;$B239,BD!$Y$3:$Y$5001,"&lt;&gt;")=0,"",SUMIFS(BD!$Y$3:$Y$5001,BD!$B$3:$B$5001,E$210,BD!$A$3:$A$5001,_xlfn.MAXIFS(BD!$A$3:$A$5001,BD!$B$3:$B$5001,E$210,BD!$A$3:$A$5001,"&gt;="&amp;$C$7,BD!$A$3:$A$5001,"&lt;="&amp;$B239,BD!$Y$3:$Y$5001,"&lt;&gt;"))))</f>
        <v/>
      </c>
      <c r="F239" s="54" t="str">
        <f>IF(OR($B239="",$A239&gt;$B$9,F$210=""),"",IF(COUNTIFS(BD!$B$3:$B$5001,F$210,BD!$A$3:$A$5001,"&gt;="&amp;$C$7,BD!$A$3:$A$5001,"&lt;="&amp;$B239,BD!$Y$3:$Y$5001,"&lt;&gt;")=0,"",SUMIFS(BD!$Y$3:$Y$5001,BD!$B$3:$B$5001,F$210,BD!$A$3:$A$5001,_xlfn.MAXIFS(BD!$A$3:$A$5001,BD!$B$3:$B$5001,F$210,BD!$A$3:$A$5001,"&gt;="&amp;$C$7,BD!$A$3:$A$5001,"&lt;="&amp;$B239,BD!$Y$3:$Y$5001,"&lt;&gt;"))))</f>
        <v/>
      </c>
      <c r="G239" s="54" t="str">
        <f>IF(OR($B239="",$A239&gt;$B$9,G$210=""),"",IF(COUNTIFS(BD!$B$3:$B$5001,G$210,BD!$A$3:$A$5001,"&gt;="&amp;$C$7,BD!$A$3:$A$5001,"&lt;="&amp;$B239,BD!$Y$3:$Y$5001,"&lt;&gt;")=0,"",SUMIFS(BD!$Y$3:$Y$5001,BD!$B$3:$B$5001,G$210,BD!$A$3:$A$5001,_xlfn.MAXIFS(BD!$A$3:$A$5001,BD!$B$3:$B$5001,G$210,BD!$A$3:$A$5001,"&gt;="&amp;$C$7,BD!$A$3:$A$5001,"&lt;="&amp;$B239,BD!$Y$3:$Y$5001,"&lt;&gt;"))))</f>
        <v/>
      </c>
      <c r="H239" s="54" t="str">
        <f>IF(OR($B239="",$A239&gt;$B$9,H$210=""),"",IF(COUNTIFS(BD!$B$3:$B$5001,H$210,BD!$A$3:$A$5001,"&gt;="&amp;$C$7,BD!$A$3:$A$5001,"&lt;="&amp;$B239,BD!$Y$3:$Y$5001,"&lt;&gt;")=0,"",SUMIFS(BD!$Y$3:$Y$5001,BD!$B$3:$B$5001,H$210,BD!$A$3:$A$5001,_xlfn.MAXIFS(BD!$A$3:$A$5001,BD!$B$3:$B$5001,H$210,BD!$A$3:$A$5001,"&gt;="&amp;$C$7,BD!$A$3:$A$5001,"&lt;="&amp;$B239,BD!$Y$3:$Y$5001,"&lt;&gt;"))))</f>
        <v/>
      </c>
      <c r="I239" s="54" t="str">
        <f>IF(OR($B239="",$A239&gt;$B$9,I$210=""),"",IF(COUNTIFS(BD!$B$3:$B$5001,I$210,BD!$A$3:$A$5001,"&gt;="&amp;$C$7,BD!$A$3:$A$5001,"&lt;="&amp;$B239,BD!$Y$3:$Y$5001,"&lt;&gt;")=0,"",SUMIFS(BD!$Y$3:$Y$5001,BD!$B$3:$B$5001,I$210,BD!$A$3:$A$5001,_xlfn.MAXIFS(BD!$A$3:$A$5001,BD!$B$3:$B$5001,I$210,BD!$A$3:$A$5001,"&gt;="&amp;$C$7,BD!$A$3:$A$5001,"&lt;="&amp;$B239,BD!$Y$3:$Y$5001,"&lt;&gt;"))))</f>
        <v/>
      </c>
      <c r="J239" s="54" t="str">
        <f>IF(OR($B239="",$A239&gt;$B$9,J$210=""),"",IF(COUNTIFS(BD!$B$3:$B$5001,J$210,BD!$A$3:$A$5001,"&gt;="&amp;$C$7,BD!$A$3:$A$5001,"&lt;="&amp;$B239,BD!$Y$3:$Y$5001,"&lt;&gt;")=0,"",SUMIFS(BD!$Y$3:$Y$5001,BD!$B$3:$B$5001,J$210,BD!$A$3:$A$5001,_xlfn.MAXIFS(BD!$A$3:$A$5001,BD!$B$3:$B$5001,J$210,BD!$A$3:$A$5001,"&gt;="&amp;$C$7,BD!$A$3:$A$5001,"&lt;="&amp;$B239,BD!$Y$3:$Y$5001,"&lt;&gt;"))))</f>
        <v/>
      </c>
      <c r="K239" s="54" t="str">
        <f>IF(OR($B239="",$A239&gt;$B$9,K$210=""),"",IF(COUNTIFS(BD!$B$3:$B$5001,K$210,BD!$A$3:$A$5001,"&gt;="&amp;$C$7,BD!$A$3:$A$5001,"&lt;="&amp;$B239,BD!$Y$3:$Y$5001,"&lt;&gt;")=0,"",SUMIFS(BD!$Y$3:$Y$5001,BD!$B$3:$B$5001,K$210,BD!$A$3:$A$5001,_xlfn.MAXIFS(BD!$A$3:$A$5001,BD!$B$3:$B$5001,K$210,BD!$A$3:$A$5001,"&gt;="&amp;$C$7,BD!$A$3:$A$5001,"&lt;="&amp;$B239,BD!$Y$3:$Y$5001,"&lt;&gt;"))))</f>
        <v/>
      </c>
      <c r="L239" s="54" t="str">
        <f>IF(OR($B239="",$A239&gt;$B$9,L$210=""),"",IF(COUNTIFS(BD!$B$3:$B$5001,L$210,BD!$A$3:$A$5001,"&gt;="&amp;$C$7,BD!$A$3:$A$5001,"&lt;="&amp;$B239,BD!$Y$3:$Y$5001,"&lt;&gt;")=0,"",SUMIFS(BD!$Y$3:$Y$5001,BD!$B$3:$B$5001,L$210,BD!$A$3:$A$5001,_xlfn.MAXIFS(BD!$A$3:$A$5001,BD!$B$3:$B$5001,L$210,BD!$A$3:$A$5001,"&gt;="&amp;$C$7,BD!$A$3:$A$5001,"&lt;="&amp;$B239,BD!$Y$3:$Y$5001,"&lt;&gt;"))))</f>
        <v/>
      </c>
      <c r="M239" s="54" t="str">
        <f>IF(OR($B239="",$A239&gt;$B$9,M$210=""),"",IF(COUNTIFS(BD!$B$3:$B$5001,M$210,BD!$A$3:$A$5001,"&gt;="&amp;$C$7,BD!$A$3:$A$5001,"&lt;="&amp;$B239,BD!$Y$3:$Y$5001,"&lt;&gt;")=0,"",SUMIFS(BD!$Y$3:$Y$5001,BD!$B$3:$B$5001,M$210,BD!$A$3:$A$5001,_xlfn.MAXIFS(BD!$A$3:$A$5001,BD!$B$3:$B$5001,M$210,BD!$A$3:$A$5001,"&gt;="&amp;$C$7,BD!$A$3:$A$5001,"&lt;="&amp;$B239,BD!$Y$3:$Y$5001,"&lt;&gt;"))))</f>
        <v/>
      </c>
      <c r="N239" s="54" t="str">
        <f>IF(OR($B239="",$A239&gt;$B$9,N$210=""),"",IF(COUNTIFS(BD!$B$3:$B$5001,N$210,BD!$A$3:$A$5001,"&gt;="&amp;$C$7,BD!$A$3:$A$5001,"&lt;="&amp;$B239,BD!$Y$3:$Y$5001,"&lt;&gt;")=0,"",SUMIFS(BD!$Y$3:$Y$5001,BD!$B$3:$B$5001,N$210,BD!$A$3:$A$5001,_xlfn.MAXIFS(BD!$A$3:$A$5001,BD!$B$3:$B$5001,N$210,BD!$A$3:$A$5001,"&gt;="&amp;$C$7,BD!$A$3:$A$5001,"&lt;="&amp;$B239,BD!$Y$3:$Y$5001,"&lt;&gt;"))))</f>
        <v/>
      </c>
      <c r="O239" s="54" t="str">
        <f>IF(OR($B239="",$A239&gt;$B$9,O$210=""),"",IF(COUNTIFS(BD!$B$3:$B$5001,O$210,BD!$A$3:$A$5001,"&gt;="&amp;$C$7,BD!$A$3:$A$5001,"&lt;="&amp;$B239,BD!$Y$3:$Y$5001,"&lt;&gt;")=0,"",SUMIFS(BD!$Y$3:$Y$5001,BD!$B$3:$B$5001,O$210,BD!$A$3:$A$5001,_xlfn.MAXIFS(BD!$A$3:$A$5001,BD!$B$3:$B$5001,O$210,BD!$A$3:$A$5001,"&gt;="&amp;$C$7,BD!$A$3:$A$5001,"&lt;="&amp;$B239,BD!$Y$3:$Y$5001,"&lt;&gt;"))))</f>
        <v/>
      </c>
      <c r="P239" s="54" t="str">
        <f>IF(OR($B239="",$A239&gt;$B$9,P$210=""),"",IF(COUNTIFS(BD!$B$3:$B$5001,P$210,BD!$A$3:$A$5001,"&gt;="&amp;$C$7,BD!$A$3:$A$5001,"&lt;="&amp;$B239,BD!$Y$3:$Y$5001,"&lt;&gt;")=0,"",SUMIFS(BD!$Y$3:$Y$5001,BD!$B$3:$B$5001,P$210,BD!$A$3:$A$5001,_xlfn.MAXIFS(BD!$A$3:$A$5001,BD!$B$3:$B$5001,P$210,BD!$A$3:$A$5001,"&gt;="&amp;$C$7,BD!$A$3:$A$5001,"&lt;="&amp;$B239,BD!$Y$3:$Y$5001,"&lt;&gt;"))))</f>
        <v/>
      </c>
      <c r="Q239" s="54" t="str">
        <f>IF(OR($B239="",$A239&gt;$B$9,Q$210=""),"",IF(COUNTIFS(BD!$B$3:$B$5001,Q$210,BD!$A$3:$A$5001,"&gt;="&amp;$C$7,BD!$A$3:$A$5001,"&lt;="&amp;$B239,BD!$Y$3:$Y$5001,"&lt;&gt;")=0,"",SUMIFS(BD!$Y$3:$Y$5001,BD!$B$3:$B$5001,Q$210,BD!$A$3:$A$5001,_xlfn.MAXIFS(BD!$A$3:$A$5001,BD!$B$3:$B$5001,Q$210,BD!$A$3:$A$5001,"&gt;="&amp;$C$7,BD!$A$3:$A$5001,"&lt;="&amp;$B239,BD!$Y$3:$Y$5001,"&lt;&gt;"))))</f>
        <v/>
      </c>
      <c r="R239" s="54" t="str">
        <f>IF(OR($B239="",$A239&gt;$B$9,R$210=""),"",IF(COUNTIFS(BD!$B$3:$B$5001,R$210,BD!$A$3:$A$5001,"&gt;="&amp;$C$7,BD!$A$3:$A$5001,"&lt;="&amp;$B239,BD!$Y$3:$Y$5001,"&lt;&gt;")=0,"",SUMIFS(BD!$Y$3:$Y$5001,BD!$B$3:$B$5001,R$210,BD!$A$3:$A$5001,_xlfn.MAXIFS(BD!$A$3:$A$5001,BD!$B$3:$B$5001,R$210,BD!$A$3:$A$5001,"&gt;="&amp;$C$7,BD!$A$3:$A$5001,"&lt;="&amp;$B239,BD!$Y$3:$Y$5001,"&lt;&gt;"))))</f>
        <v/>
      </c>
      <c r="S239" s="54" t="str">
        <f>IF(OR($B239="",$A239&gt;$B$9,S$210=""),"",IF(COUNTIFS(BD!$B$3:$B$5001,S$210,BD!$A$3:$A$5001,"&gt;="&amp;$C$7,BD!$A$3:$A$5001,"&lt;="&amp;$B239,BD!$Y$3:$Y$5001,"&lt;&gt;")=0,"",SUMIFS(BD!$Y$3:$Y$5001,BD!$B$3:$B$5001,S$210,BD!$A$3:$A$5001,_xlfn.MAXIFS(BD!$A$3:$A$5001,BD!$B$3:$B$5001,S$210,BD!$A$3:$A$5001,"&gt;="&amp;$C$7,BD!$A$3:$A$5001,"&lt;="&amp;$B239,BD!$Y$3:$Y$5001,"&lt;&gt;"))))</f>
        <v/>
      </c>
      <c r="T239" s="54" t="str">
        <f>IF(OR($B239="",$A239&gt;$B$9,T$210=""),"",IF(COUNTIFS(BD!$B$3:$B$5001,T$210,BD!$A$3:$A$5001,"&gt;="&amp;$C$7,BD!$A$3:$A$5001,"&lt;="&amp;$B239,BD!$Y$3:$Y$5001,"&lt;&gt;")=0,"",SUMIFS(BD!$Y$3:$Y$5001,BD!$B$3:$B$5001,T$210,BD!$A$3:$A$5001,_xlfn.MAXIFS(BD!$A$3:$A$5001,BD!$B$3:$B$5001,T$210,BD!$A$3:$A$5001,"&gt;="&amp;$C$7,BD!$A$3:$A$5001,"&lt;="&amp;$B239,BD!$Y$3:$Y$5001,"&lt;&gt;"))))</f>
        <v/>
      </c>
      <c r="U239" s="54" t="str">
        <f>IF(OR($B239="",$A239&gt;$B$9,U$210=""),"",IF(COUNTIFS(BD!$B$3:$B$5001,U$210,BD!$A$3:$A$5001,"&gt;="&amp;$C$7,BD!$A$3:$A$5001,"&lt;="&amp;$B239,BD!$Y$3:$Y$5001,"&lt;&gt;")=0,"",SUMIFS(BD!$Y$3:$Y$5001,BD!$B$3:$B$5001,U$210,BD!$A$3:$A$5001,_xlfn.MAXIFS(BD!$A$3:$A$5001,BD!$B$3:$B$5001,U$210,BD!$A$3:$A$5001,"&gt;="&amp;$C$7,BD!$A$3:$A$5001,"&lt;="&amp;$B239,BD!$Y$3:$Y$5001,"&lt;&gt;"))))</f>
        <v/>
      </c>
      <c r="V239" s="54" t="str">
        <f>IF(OR($B239="",$A239&gt;$B$9,V$210=""),"",IF(COUNTIFS(BD!$B$3:$B$5001,V$210,BD!$A$3:$A$5001,"&gt;="&amp;$C$7,BD!$A$3:$A$5001,"&lt;="&amp;$B239,BD!$Y$3:$Y$5001,"&lt;&gt;")=0,"",SUMIFS(BD!$Y$3:$Y$5001,BD!$B$3:$B$5001,V$210,BD!$A$3:$A$5001,_xlfn.MAXIFS(BD!$A$3:$A$5001,BD!$B$3:$B$5001,V$210,BD!$A$3:$A$5001,"&gt;="&amp;$C$7,BD!$A$3:$A$5001,"&lt;="&amp;$B239,BD!$Y$3:$Y$5001,"&lt;&gt;"))))</f>
        <v/>
      </c>
    </row>
    <row r="240">
      <c r="A240" s="48">
        <v>30</v>
      </c>
      <c r="B240" s="53">
        <f>$B$41</f>
        <v>46325</v>
      </c>
      <c r="C240" s="54" t="str">
        <f>IF(OR($B240="",$A240&gt;$B$9,C$210=""),"",IF(COUNTIFS(BD!$B$3:$B$5001,C$210,BD!$A$3:$A$5001,"&gt;="&amp;$C$7,BD!$A$3:$A$5001,"&lt;="&amp;$B240,BD!$Y$3:$Y$5001,"&lt;&gt;")=0,"",SUMIFS(BD!$Y$3:$Y$5001,BD!$B$3:$B$5001,C$210,BD!$A$3:$A$5001,_xlfn.MAXIFS(BD!$A$3:$A$5001,BD!$B$3:$B$5001,C$210,BD!$A$3:$A$5001,"&gt;="&amp;$C$7,BD!$A$3:$A$5001,"&lt;="&amp;$B240,BD!$Y$3:$Y$5001,"&lt;&gt;"))))</f>
        <v/>
      </c>
      <c r="D240" s="54" t="str">
        <f>IF(OR($B240="",$A240&gt;$B$9,D$210=""),"",IF(COUNTIFS(BD!$B$3:$B$5001,D$210,BD!$A$3:$A$5001,"&gt;="&amp;$C$7,BD!$A$3:$A$5001,"&lt;="&amp;$B240,BD!$Y$3:$Y$5001,"&lt;&gt;")=0,"",SUMIFS(BD!$Y$3:$Y$5001,BD!$B$3:$B$5001,D$210,BD!$A$3:$A$5001,_xlfn.MAXIFS(BD!$A$3:$A$5001,BD!$B$3:$B$5001,D$210,BD!$A$3:$A$5001,"&gt;="&amp;$C$7,BD!$A$3:$A$5001,"&lt;="&amp;$B240,BD!$Y$3:$Y$5001,"&lt;&gt;"))))</f>
        <v/>
      </c>
      <c r="E240" s="54" t="str">
        <f>IF(OR($B240="",$A240&gt;$B$9,E$210=""),"",IF(COUNTIFS(BD!$B$3:$B$5001,E$210,BD!$A$3:$A$5001,"&gt;="&amp;$C$7,BD!$A$3:$A$5001,"&lt;="&amp;$B240,BD!$Y$3:$Y$5001,"&lt;&gt;")=0,"",SUMIFS(BD!$Y$3:$Y$5001,BD!$B$3:$B$5001,E$210,BD!$A$3:$A$5001,_xlfn.MAXIFS(BD!$A$3:$A$5001,BD!$B$3:$B$5001,E$210,BD!$A$3:$A$5001,"&gt;="&amp;$C$7,BD!$A$3:$A$5001,"&lt;="&amp;$B240,BD!$Y$3:$Y$5001,"&lt;&gt;"))))</f>
        <v/>
      </c>
      <c r="F240" s="54" t="str">
        <f>IF(OR($B240="",$A240&gt;$B$9,F$210=""),"",IF(COUNTIFS(BD!$B$3:$B$5001,F$210,BD!$A$3:$A$5001,"&gt;="&amp;$C$7,BD!$A$3:$A$5001,"&lt;="&amp;$B240,BD!$Y$3:$Y$5001,"&lt;&gt;")=0,"",SUMIFS(BD!$Y$3:$Y$5001,BD!$B$3:$B$5001,F$210,BD!$A$3:$A$5001,_xlfn.MAXIFS(BD!$A$3:$A$5001,BD!$B$3:$B$5001,F$210,BD!$A$3:$A$5001,"&gt;="&amp;$C$7,BD!$A$3:$A$5001,"&lt;="&amp;$B240,BD!$Y$3:$Y$5001,"&lt;&gt;"))))</f>
        <v/>
      </c>
      <c r="G240" s="54" t="str">
        <f>IF(OR($B240="",$A240&gt;$B$9,G$210=""),"",IF(COUNTIFS(BD!$B$3:$B$5001,G$210,BD!$A$3:$A$5001,"&gt;="&amp;$C$7,BD!$A$3:$A$5001,"&lt;="&amp;$B240,BD!$Y$3:$Y$5001,"&lt;&gt;")=0,"",SUMIFS(BD!$Y$3:$Y$5001,BD!$B$3:$B$5001,G$210,BD!$A$3:$A$5001,_xlfn.MAXIFS(BD!$A$3:$A$5001,BD!$B$3:$B$5001,G$210,BD!$A$3:$A$5001,"&gt;="&amp;$C$7,BD!$A$3:$A$5001,"&lt;="&amp;$B240,BD!$Y$3:$Y$5001,"&lt;&gt;"))))</f>
        <v/>
      </c>
      <c r="H240" s="54" t="str">
        <f>IF(OR($B240="",$A240&gt;$B$9,H$210=""),"",IF(COUNTIFS(BD!$B$3:$B$5001,H$210,BD!$A$3:$A$5001,"&gt;="&amp;$C$7,BD!$A$3:$A$5001,"&lt;="&amp;$B240,BD!$Y$3:$Y$5001,"&lt;&gt;")=0,"",SUMIFS(BD!$Y$3:$Y$5001,BD!$B$3:$B$5001,H$210,BD!$A$3:$A$5001,_xlfn.MAXIFS(BD!$A$3:$A$5001,BD!$B$3:$B$5001,H$210,BD!$A$3:$A$5001,"&gt;="&amp;$C$7,BD!$A$3:$A$5001,"&lt;="&amp;$B240,BD!$Y$3:$Y$5001,"&lt;&gt;"))))</f>
        <v/>
      </c>
      <c r="I240" s="54" t="str">
        <f>IF(OR($B240="",$A240&gt;$B$9,I$210=""),"",IF(COUNTIFS(BD!$B$3:$B$5001,I$210,BD!$A$3:$A$5001,"&gt;="&amp;$C$7,BD!$A$3:$A$5001,"&lt;="&amp;$B240,BD!$Y$3:$Y$5001,"&lt;&gt;")=0,"",SUMIFS(BD!$Y$3:$Y$5001,BD!$B$3:$B$5001,I$210,BD!$A$3:$A$5001,_xlfn.MAXIFS(BD!$A$3:$A$5001,BD!$B$3:$B$5001,I$210,BD!$A$3:$A$5001,"&gt;="&amp;$C$7,BD!$A$3:$A$5001,"&lt;="&amp;$B240,BD!$Y$3:$Y$5001,"&lt;&gt;"))))</f>
        <v/>
      </c>
      <c r="J240" s="54" t="str">
        <f>IF(OR($B240="",$A240&gt;$B$9,J$210=""),"",IF(COUNTIFS(BD!$B$3:$B$5001,J$210,BD!$A$3:$A$5001,"&gt;="&amp;$C$7,BD!$A$3:$A$5001,"&lt;="&amp;$B240,BD!$Y$3:$Y$5001,"&lt;&gt;")=0,"",SUMIFS(BD!$Y$3:$Y$5001,BD!$B$3:$B$5001,J$210,BD!$A$3:$A$5001,_xlfn.MAXIFS(BD!$A$3:$A$5001,BD!$B$3:$B$5001,J$210,BD!$A$3:$A$5001,"&gt;="&amp;$C$7,BD!$A$3:$A$5001,"&lt;="&amp;$B240,BD!$Y$3:$Y$5001,"&lt;&gt;"))))</f>
        <v/>
      </c>
      <c r="K240" s="54" t="str">
        <f>IF(OR($B240="",$A240&gt;$B$9,K$210=""),"",IF(COUNTIFS(BD!$B$3:$B$5001,K$210,BD!$A$3:$A$5001,"&gt;="&amp;$C$7,BD!$A$3:$A$5001,"&lt;="&amp;$B240,BD!$Y$3:$Y$5001,"&lt;&gt;")=0,"",SUMIFS(BD!$Y$3:$Y$5001,BD!$B$3:$B$5001,K$210,BD!$A$3:$A$5001,_xlfn.MAXIFS(BD!$A$3:$A$5001,BD!$B$3:$B$5001,K$210,BD!$A$3:$A$5001,"&gt;="&amp;$C$7,BD!$A$3:$A$5001,"&lt;="&amp;$B240,BD!$Y$3:$Y$5001,"&lt;&gt;"))))</f>
        <v/>
      </c>
      <c r="L240" s="54" t="str">
        <f>IF(OR($B240="",$A240&gt;$B$9,L$210=""),"",IF(COUNTIFS(BD!$B$3:$B$5001,L$210,BD!$A$3:$A$5001,"&gt;="&amp;$C$7,BD!$A$3:$A$5001,"&lt;="&amp;$B240,BD!$Y$3:$Y$5001,"&lt;&gt;")=0,"",SUMIFS(BD!$Y$3:$Y$5001,BD!$B$3:$B$5001,L$210,BD!$A$3:$A$5001,_xlfn.MAXIFS(BD!$A$3:$A$5001,BD!$B$3:$B$5001,L$210,BD!$A$3:$A$5001,"&gt;="&amp;$C$7,BD!$A$3:$A$5001,"&lt;="&amp;$B240,BD!$Y$3:$Y$5001,"&lt;&gt;"))))</f>
        <v/>
      </c>
      <c r="M240" s="54" t="str">
        <f>IF(OR($B240="",$A240&gt;$B$9,M$210=""),"",IF(COUNTIFS(BD!$B$3:$B$5001,M$210,BD!$A$3:$A$5001,"&gt;="&amp;$C$7,BD!$A$3:$A$5001,"&lt;="&amp;$B240,BD!$Y$3:$Y$5001,"&lt;&gt;")=0,"",SUMIFS(BD!$Y$3:$Y$5001,BD!$B$3:$B$5001,M$210,BD!$A$3:$A$5001,_xlfn.MAXIFS(BD!$A$3:$A$5001,BD!$B$3:$B$5001,M$210,BD!$A$3:$A$5001,"&gt;="&amp;$C$7,BD!$A$3:$A$5001,"&lt;="&amp;$B240,BD!$Y$3:$Y$5001,"&lt;&gt;"))))</f>
        <v/>
      </c>
      <c r="N240" s="54" t="str">
        <f>IF(OR($B240="",$A240&gt;$B$9,N$210=""),"",IF(COUNTIFS(BD!$B$3:$B$5001,N$210,BD!$A$3:$A$5001,"&gt;="&amp;$C$7,BD!$A$3:$A$5001,"&lt;="&amp;$B240,BD!$Y$3:$Y$5001,"&lt;&gt;")=0,"",SUMIFS(BD!$Y$3:$Y$5001,BD!$B$3:$B$5001,N$210,BD!$A$3:$A$5001,_xlfn.MAXIFS(BD!$A$3:$A$5001,BD!$B$3:$B$5001,N$210,BD!$A$3:$A$5001,"&gt;="&amp;$C$7,BD!$A$3:$A$5001,"&lt;="&amp;$B240,BD!$Y$3:$Y$5001,"&lt;&gt;"))))</f>
        <v/>
      </c>
      <c r="O240" s="54" t="str">
        <f>IF(OR($B240="",$A240&gt;$B$9,O$210=""),"",IF(COUNTIFS(BD!$B$3:$B$5001,O$210,BD!$A$3:$A$5001,"&gt;="&amp;$C$7,BD!$A$3:$A$5001,"&lt;="&amp;$B240,BD!$Y$3:$Y$5001,"&lt;&gt;")=0,"",SUMIFS(BD!$Y$3:$Y$5001,BD!$B$3:$B$5001,O$210,BD!$A$3:$A$5001,_xlfn.MAXIFS(BD!$A$3:$A$5001,BD!$B$3:$B$5001,O$210,BD!$A$3:$A$5001,"&gt;="&amp;$C$7,BD!$A$3:$A$5001,"&lt;="&amp;$B240,BD!$Y$3:$Y$5001,"&lt;&gt;"))))</f>
        <v/>
      </c>
      <c r="P240" s="54" t="str">
        <f>IF(OR($B240="",$A240&gt;$B$9,P$210=""),"",IF(COUNTIFS(BD!$B$3:$B$5001,P$210,BD!$A$3:$A$5001,"&gt;="&amp;$C$7,BD!$A$3:$A$5001,"&lt;="&amp;$B240,BD!$Y$3:$Y$5001,"&lt;&gt;")=0,"",SUMIFS(BD!$Y$3:$Y$5001,BD!$B$3:$B$5001,P$210,BD!$A$3:$A$5001,_xlfn.MAXIFS(BD!$A$3:$A$5001,BD!$B$3:$B$5001,P$210,BD!$A$3:$A$5001,"&gt;="&amp;$C$7,BD!$A$3:$A$5001,"&lt;="&amp;$B240,BD!$Y$3:$Y$5001,"&lt;&gt;"))))</f>
        <v/>
      </c>
      <c r="Q240" s="54" t="str">
        <f>IF(OR($B240="",$A240&gt;$B$9,Q$210=""),"",IF(COUNTIFS(BD!$B$3:$B$5001,Q$210,BD!$A$3:$A$5001,"&gt;="&amp;$C$7,BD!$A$3:$A$5001,"&lt;="&amp;$B240,BD!$Y$3:$Y$5001,"&lt;&gt;")=0,"",SUMIFS(BD!$Y$3:$Y$5001,BD!$B$3:$B$5001,Q$210,BD!$A$3:$A$5001,_xlfn.MAXIFS(BD!$A$3:$A$5001,BD!$B$3:$B$5001,Q$210,BD!$A$3:$A$5001,"&gt;="&amp;$C$7,BD!$A$3:$A$5001,"&lt;="&amp;$B240,BD!$Y$3:$Y$5001,"&lt;&gt;"))))</f>
        <v/>
      </c>
      <c r="R240" s="54" t="str">
        <f>IF(OR($B240="",$A240&gt;$B$9,R$210=""),"",IF(COUNTIFS(BD!$B$3:$B$5001,R$210,BD!$A$3:$A$5001,"&gt;="&amp;$C$7,BD!$A$3:$A$5001,"&lt;="&amp;$B240,BD!$Y$3:$Y$5001,"&lt;&gt;")=0,"",SUMIFS(BD!$Y$3:$Y$5001,BD!$B$3:$B$5001,R$210,BD!$A$3:$A$5001,_xlfn.MAXIFS(BD!$A$3:$A$5001,BD!$B$3:$B$5001,R$210,BD!$A$3:$A$5001,"&gt;="&amp;$C$7,BD!$A$3:$A$5001,"&lt;="&amp;$B240,BD!$Y$3:$Y$5001,"&lt;&gt;"))))</f>
        <v/>
      </c>
      <c r="S240" s="54" t="str">
        <f>IF(OR($B240="",$A240&gt;$B$9,S$210=""),"",IF(COUNTIFS(BD!$B$3:$B$5001,S$210,BD!$A$3:$A$5001,"&gt;="&amp;$C$7,BD!$A$3:$A$5001,"&lt;="&amp;$B240,BD!$Y$3:$Y$5001,"&lt;&gt;")=0,"",SUMIFS(BD!$Y$3:$Y$5001,BD!$B$3:$B$5001,S$210,BD!$A$3:$A$5001,_xlfn.MAXIFS(BD!$A$3:$A$5001,BD!$B$3:$B$5001,S$210,BD!$A$3:$A$5001,"&gt;="&amp;$C$7,BD!$A$3:$A$5001,"&lt;="&amp;$B240,BD!$Y$3:$Y$5001,"&lt;&gt;"))))</f>
        <v/>
      </c>
      <c r="T240" s="54" t="str">
        <f>IF(OR($B240="",$A240&gt;$B$9,T$210=""),"",IF(COUNTIFS(BD!$B$3:$B$5001,T$210,BD!$A$3:$A$5001,"&gt;="&amp;$C$7,BD!$A$3:$A$5001,"&lt;="&amp;$B240,BD!$Y$3:$Y$5001,"&lt;&gt;")=0,"",SUMIFS(BD!$Y$3:$Y$5001,BD!$B$3:$B$5001,T$210,BD!$A$3:$A$5001,_xlfn.MAXIFS(BD!$A$3:$A$5001,BD!$B$3:$B$5001,T$210,BD!$A$3:$A$5001,"&gt;="&amp;$C$7,BD!$A$3:$A$5001,"&lt;="&amp;$B240,BD!$Y$3:$Y$5001,"&lt;&gt;"))))</f>
        <v/>
      </c>
      <c r="U240" s="54" t="str">
        <f>IF(OR($B240="",$A240&gt;$B$9,U$210=""),"",IF(COUNTIFS(BD!$B$3:$B$5001,U$210,BD!$A$3:$A$5001,"&gt;="&amp;$C$7,BD!$A$3:$A$5001,"&lt;="&amp;$B240,BD!$Y$3:$Y$5001,"&lt;&gt;")=0,"",SUMIFS(BD!$Y$3:$Y$5001,BD!$B$3:$B$5001,U$210,BD!$A$3:$A$5001,_xlfn.MAXIFS(BD!$A$3:$A$5001,BD!$B$3:$B$5001,U$210,BD!$A$3:$A$5001,"&gt;="&amp;$C$7,BD!$A$3:$A$5001,"&lt;="&amp;$B240,BD!$Y$3:$Y$5001,"&lt;&gt;"))))</f>
        <v/>
      </c>
      <c r="V240" s="54" t="str">
        <f>IF(OR($B240="",$A240&gt;$B$9,V$210=""),"",IF(COUNTIFS(BD!$B$3:$B$5001,V$210,BD!$A$3:$A$5001,"&gt;="&amp;$C$7,BD!$A$3:$A$5001,"&lt;="&amp;$B240,BD!$Y$3:$Y$5001,"&lt;&gt;")=0,"",SUMIFS(BD!$Y$3:$Y$5001,BD!$B$3:$B$5001,V$210,BD!$A$3:$A$5001,_xlfn.MAXIFS(BD!$A$3:$A$5001,BD!$B$3:$B$5001,V$210,BD!$A$3:$A$5001,"&gt;="&amp;$C$7,BD!$A$3:$A$5001,"&lt;="&amp;$B240,BD!$Y$3:$Y$5001,"&lt;&gt;"))))</f>
        <v/>
      </c>
    </row>
    <row r="241">
      <c r="A241" s="48">
        <v>31</v>
      </c>
      <c r="B241" s="53">
        <f>$B$42</f>
        <v>46326</v>
      </c>
      <c r="C241" s="54" t="str">
        <f>IF(OR($B241="",$A241&gt;$B$9,C$210=""),"",IF(COUNTIFS(BD!$B$3:$B$5001,C$210,BD!$A$3:$A$5001,"&gt;="&amp;$C$7,BD!$A$3:$A$5001,"&lt;="&amp;$B241,BD!$Y$3:$Y$5001,"&lt;&gt;")=0,"",SUMIFS(BD!$Y$3:$Y$5001,BD!$B$3:$B$5001,C$210,BD!$A$3:$A$5001,_xlfn.MAXIFS(BD!$A$3:$A$5001,BD!$B$3:$B$5001,C$210,BD!$A$3:$A$5001,"&gt;="&amp;$C$7,BD!$A$3:$A$5001,"&lt;="&amp;$B241,BD!$Y$3:$Y$5001,"&lt;&gt;"))))</f>
        <v/>
      </c>
      <c r="D241" s="54" t="str">
        <f>IF(OR($B241="",$A241&gt;$B$9,D$210=""),"",IF(COUNTIFS(BD!$B$3:$B$5001,D$210,BD!$A$3:$A$5001,"&gt;="&amp;$C$7,BD!$A$3:$A$5001,"&lt;="&amp;$B241,BD!$Y$3:$Y$5001,"&lt;&gt;")=0,"",SUMIFS(BD!$Y$3:$Y$5001,BD!$B$3:$B$5001,D$210,BD!$A$3:$A$5001,_xlfn.MAXIFS(BD!$A$3:$A$5001,BD!$B$3:$B$5001,D$210,BD!$A$3:$A$5001,"&gt;="&amp;$C$7,BD!$A$3:$A$5001,"&lt;="&amp;$B241,BD!$Y$3:$Y$5001,"&lt;&gt;"))))</f>
        <v/>
      </c>
      <c r="E241" s="54" t="str">
        <f>IF(OR($B241="",$A241&gt;$B$9,E$210=""),"",IF(COUNTIFS(BD!$B$3:$B$5001,E$210,BD!$A$3:$A$5001,"&gt;="&amp;$C$7,BD!$A$3:$A$5001,"&lt;="&amp;$B241,BD!$Y$3:$Y$5001,"&lt;&gt;")=0,"",SUMIFS(BD!$Y$3:$Y$5001,BD!$B$3:$B$5001,E$210,BD!$A$3:$A$5001,_xlfn.MAXIFS(BD!$A$3:$A$5001,BD!$B$3:$B$5001,E$210,BD!$A$3:$A$5001,"&gt;="&amp;$C$7,BD!$A$3:$A$5001,"&lt;="&amp;$B241,BD!$Y$3:$Y$5001,"&lt;&gt;"))))</f>
        <v/>
      </c>
      <c r="F241" s="54" t="str">
        <f>IF(OR($B241="",$A241&gt;$B$9,F$210=""),"",IF(COUNTIFS(BD!$B$3:$B$5001,F$210,BD!$A$3:$A$5001,"&gt;="&amp;$C$7,BD!$A$3:$A$5001,"&lt;="&amp;$B241,BD!$Y$3:$Y$5001,"&lt;&gt;")=0,"",SUMIFS(BD!$Y$3:$Y$5001,BD!$B$3:$B$5001,F$210,BD!$A$3:$A$5001,_xlfn.MAXIFS(BD!$A$3:$A$5001,BD!$B$3:$B$5001,F$210,BD!$A$3:$A$5001,"&gt;="&amp;$C$7,BD!$A$3:$A$5001,"&lt;="&amp;$B241,BD!$Y$3:$Y$5001,"&lt;&gt;"))))</f>
        <v/>
      </c>
      <c r="G241" s="54" t="str">
        <f>IF(OR($B241="",$A241&gt;$B$9,G$210=""),"",IF(COUNTIFS(BD!$B$3:$B$5001,G$210,BD!$A$3:$A$5001,"&gt;="&amp;$C$7,BD!$A$3:$A$5001,"&lt;="&amp;$B241,BD!$Y$3:$Y$5001,"&lt;&gt;")=0,"",SUMIFS(BD!$Y$3:$Y$5001,BD!$B$3:$B$5001,G$210,BD!$A$3:$A$5001,_xlfn.MAXIFS(BD!$A$3:$A$5001,BD!$B$3:$B$5001,G$210,BD!$A$3:$A$5001,"&gt;="&amp;$C$7,BD!$A$3:$A$5001,"&lt;="&amp;$B241,BD!$Y$3:$Y$5001,"&lt;&gt;"))))</f>
        <v/>
      </c>
      <c r="H241" s="54" t="str">
        <f>IF(OR($B241="",$A241&gt;$B$9,H$210=""),"",IF(COUNTIFS(BD!$B$3:$B$5001,H$210,BD!$A$3:$A$5001,"&gt;="&amp;$C$7,BD!$A$3:$A$5001,"&lt;="&amp;$B241,BD!$Y$3:$Y$5001,"&lt;&gt;")=0,"",SUMIFS(BD!$Y$3:$Y$5001,BD!$B$3:$B$5001,H$210,BD!$A$3:$A$5001,_xlfn.MAXIFS(BD!$A$3:$A$5001,BD!$B$3:$B$5001,H$210,BD!$A$3:$A$5001,"&gt;="&amp;$C$7,BD!$A$3:$A$5001,"&lt;="&amp;$B241,BD!$Y$3:$Y$5001,"&lt;&gt;"))))</f>
        <v/>
      </c>
      <c r="I241" s="54" t="str">
        <f>IF(OR($B241="",$A241&gt;$B$9,I$210=""),"",IF(COUNTIFS(BD!$B$3:$B$5001,I$210,BD!$A$3:$A$5001,"&gt;="&amp;$C$7,BD!$A$3:$A$5001,"&lt;="&amp;$B241,BD!$Y$3:$Y$5001,"&lt;&gt;")=0,"",SUMIFS(BD!$Y$3:$Y$5001,BD!$B$3:$B$5001,I$210,BD!$A$3:$A$5001,_xlfn.MAXIFS(BD!$A$3:$A$5001,BD!$B$3:$B$5001,I$210,BD!$A$3:$A$5001,"&gt;="&amp;$C$7,BD!$A$3:$A$5001,"&lt;="&amp;$B241,BD!$Y$3:$Y$5001,"&lt;&gt;"))))</f>
        <v/>
      </c>
      <c r="J241" s="54" t="str">
        <f>IF(OR($B241="",$A241&gt;$B$9,J$210=""),"",IF(COUNTIFS(BD!$B$3:$B$5001,J$210,BD!$A$3:$A$5001,"&gt;="&amp;$C$7,BD!$A$3:$A$5001,"&lt;="&amp;$B241,BD!$Y$3:$Y$5001,"&lt;&gt;")=0,"",SUMIFS(BD!$Y$3:$Y$5001,BD!$B$3:$B$5001,J$210,BD!$A$3:$A$5001,_xlfn.MAXIFS(BD!$A$3:$A$5001,BD!$B$3:$B$5001,J$210,BD!$A$3:$A$5001,"&gt;="&amp;$C$7,BD!$A$3:$A$5001,"&lt;="&amp;$B241,BD!$Y$3:$Y$5001,"&lt;&gt;"))))</f>
        <v/>
      </c>
      <c r="K241" s="54" t="str">
        <f>IF(OR($B241="",$A241&gt;$B$9,K$210=""),"",IF(COUNTIFS(BD!$B$3:$B$5001,K$210,BD!$A$3:$A$5001,"&gt;="&amp;$C$7,BD!$A$3:$A$5001,"&lt;="&amp;$B241,BD!$Y$3:$Y$5001,"&lt;&gt;")=0,"",SUMIFS(BD!$Y$3:$Y$5001,BD!$B$3:$B$5001,K$210,BD!$A$3:$A$5001,_xlfn.MAXIFS(BD!$A$3:$A$5001,BD!$B$3:$B$5001,K$210,BD!$A$3:$A$5001,"&gt;="&amp;$C$7,BD!$A$3:$A$5001,"&lt;="&amp;$B241,BD!$Y$3:$Y$5001,"&lt;&gt;"))))</f>
        <v/>
      </c>
      <c r="L241" s="54" t="str">
        <f>IF(OR($B241="",$A241&gt;$B$9,L$210=""),"",IF(COUNTIFS(BD!$B$3:$B$5001,L$210,BD!$A$3:$A$5001,"&gt;="&amp;$C$7,BD!$A$3:$A$5001,"&lt;="&amp;$B241,BD!$Y$3:$Y$5001,"&lt;&gt;")=0,"",SUMIFS(BD!$Y$3:$Y$5001,BD!$B$3:$B$5001,L$210,BD!$A$3:$A$5001,_xlfn.MAXIFS(BD!$A$3:$A$5001,BD!$B$3:$B$5001,L$210,BD!$A$3:$A$5001,"&gt;="&amp;$C$7,BD!$A$3:$A$5001,"&lt;="&amp;$B241,BD!$Y$3:$Y$5001,"&lt;&gt;"))))</f>
        <v/>
      </c>
      <c r="M241" s="54" t="str">
        <f>IF(OR($B241="",$A241&gt;$B$9,M$210=""),"",IF(COUNTIFS(BD!$B$3:$B$5001,M$210,BD!$A$3:$A$5001,"&gt;="&amp;$C$7,BD!$A$3:$A$5001,"&lt;="&amp;$B241,BD!$Y$3:$Y$5001,"&lt;&gt;")=0,"",SUMIFS(BD!$Y$3:$Y$5001,BD!$B$3:$B$5001,M$210,BD!$A$3:$A$5001,_xlfn.MAXIFS(BD!$A$3:$A$5001,BD!$B$3:$B$5001,M$210,BD!$A$3:$A$5001,"&gt;="&amp;$C$7,BD!$A$3:$A$5001,"&lt;="&amp;$B241,BD!$Y$3:$Y$5001,"&lt;&gt;"))))</f>
        <v/>
      </c>
      <c r="N241" s="54" t="str">
        <f>IF(OR($B241="",$A241&gt;$B$9,N$210=""),"",IF(COUNTIFS(BD!$B$3:$B$5001,N$210,BD!$A$3:$A$5001,"&gt;="&amp;$C$7,BD!$A$3:$A$5001,"&lt;="&amp;$B241,BD!$Y$3:$Y$5001,"&lt;&gt;")=0,"",SUMIFS(BD!$Y$3:$Y$5001,BD!$B$3:$B$5001,N$210,BD!$A$3:$A$5001,_xlfn.MAXIFS(BD!$A$3:$A$5001,BD!$B$3:$B$5001,N$210,BD!$A$3:$A$5001,"&gt;="&amp;$C$7,BD!$A$3:$A$5001,"&lt;="&amp;$B241,BD!$Y$3:$Y$5001,"&lt;&gt;"))))</f>
        <v/>
      </c>
      <c r="O241" s="54" t="str">
        <f>IF(OR($B241="",$A241&gt;$B$9,O$210=""),"",IF(COUNTIFS(BD!$B$3:$B$5001,O$210,BD!$A$3:$A$5001,"&gt;="&amp;$C$7,BD!$A$3:$A$5001,"&lt;="&amp;$B241,BD!$Y$3:$Y$5001,"&lt;&gt;")=0,"",SUMIFS(BD!$Y$3:$Y$5001,BD!$B$3:$B$5001,O$210,BD!$A$3:$A$5001,_xlfn.MAXIFS(BD!$A$3:$A$5001,BD!$B$3:$B$5001,O$210,BD!$A$3:$A$5001,"&gt;="&amp;$C$7,BD!$A$3:$A$5001,"&lt;="&amp;$B241,BD!$Y$3:$Y$5001,"&lt;&gt;"))))</f>
        <v/>
      </c>
      <c r="P241" s="54" t="str">
        <f>IF(OR($B241="",$A241&gt;$B$9,P$210=""),"",IF(COUNTIFS(BD!$B$3:$B$5001,P$210,BD!$A$3:$A$5001,"&gt;="&amp;$C$7,BD!$A$3:$A$5001,"&lt;="&amp;$B241,BD!$Y$3:$Y$5001,"&lt;&gt;")=0,"",SUMIFS(BD!$Y$3:$Y$5001,BD!$B$3:$B$5001,P$210,BD!$A$3:$A$5001,_xlfn.MAXIFS(BD!$A$3:$A$5001,BD!$B$3:$B$5001,P$210,BD!$A$3:$A$5001,"&gt;="&amp;$C$7,BD!$A$3:$A$5001,"&lt;="&amp;$B241,BD!$Y$3:$Y$5001,"&lt;&gt;"))))</f>
        <v/>
      </c>
      <c r="Q241" s="54" t="str">
        <f>IF(OR($B241="",$A241&gt;$B$9,Q$210=""),"",IF(COUNTIFS(BD!$B$3:$B$5001,Q$210,BD!$A$3:$A$5001,"&gt;="&amp;$C$7,BD!$A$3:$A$5001,"&lt;="&amp;$B241,BD!$Y$3:$Y$5001,"&lt;&gt;")=0,"",SUMIFS(BD!$Y$3:$Y$5001,BD!$B$3:$B$5001,Q$210,BD!$A$3:$A$5001,_xlfn.MAXIFS(BD!$A$3:$A$5001,BD!$B$3:$B$5001,Q$210,BD!$A$3:$A$5001,"&gt;="&amp;$C$7,BD!$A$3:$A$5001,"&lt;="&amp;$B241,BD!$Y$3:$Y$5001,"&lt;&gt;"))))</f>
        <v/>
      </c>
      <c r="R241" s="54" t="str">
        <f>IF(OR($B241="",$A241&gt;$B$9,R$210=""),"",IF(COUNTIFS(BD!$B$3:$B$5001,R$210,BD!$A$3:$A$5001,"&gt;="&amp;$C$7,BD!$A$3:$A$5001,"&lt;="&amp;$B241,BD!$Y$3:$Y$5001,"&lt;&gt;")=0,"",SUMIFS(BD!$Y$3:$Y$5001,BD!$B$3:$B$5001,R$210,BD!$A$3:$A$5001,_xlfn.MAXIFS(BD!$A$3:$A$5001,BD!$B$3:$B$5001,R$210,BD!$A$3:$A$5001,"&gt;="&amp;$C$7,BD!$A$3:$A$5001,"&lt;="&amp;$B241,BD!$Y$3:$Y$5001,"&lt;&gt;"))))</f>
        <v/>
      </c>
      <c r="S241" s="54" t="str">
        <f>IF(OR($B241="",$A241&gt;$B$9,S$210=""),"",IF(COUNTIFS(BD!$B$3:$B$5001,S$210,BD!$A$3:$A$5001,"&gt;="&amp;$C$7,BD!$A$3:$A$5001,"&lt;="&amp;$B241,BD!$Y$3:$Y$5001,"&lt;&gt;")=0,"",SUMIFS(BD!$Y$3:$Y$5001,BD!$B$3:$B$5001,S$210,BD!$A$3:$A$5001,_xlfn.MAXIFS(BD!$A$3:$A$5001,BD!$B$3:$B$5001,S$210,BD!$A$3:$A$5001,"&gt;="&amp;$C$7,BD!$A$3:$A$5001,"&lt;="&amp;$B241,BD!$Y$3:$Y$5001,"&lt;&gt;"))))</f>
        <v/>
      </c>
      <c r="T241" s="54" t="str">
        <f>IF(OR($B241="",$A241&gt;$B$9,T$210=""),"",IF(COUNTIFS(BD!$B$3:$B$5001,T$210,BD!$A$3:$A$5001,"&gt;="&amp;$C$7,BD!$A$3:$A$5001,"&lt;="&amp;$B241,BD!$Y$3:$Y$5001,"&lt;&gt;")=0,"",SUMIFS(BD!$Y$3:$Y$5001,BD!$B$3:$B$5001,T$210,BD!$A$3:$A$5001,_xlfn.MAXIFS(BD!$A$3:$A$5001,BD!$B$3:$B$5001,T$210,BD!$A$3:$A$5001,"&gt;="&amp;$C$7,BD!$A$3:$A$5001,"&lt;="&amp;$B241,BD!$Y$3:$Y$5001,"&lt;&gt;"))))</f>
        <v/>
      </c>
      <c r="U241" s="54" t="str">
        <f>IF(OR($B241="",$A241&gt;$B$9,U$210=""),"",IF(COUNTIFS(BD!$B$3:$B$5001,U$210,BD!$A$3:$A$5001,"&gt;="&amp;$C$7,BD!$A$3:$A$5001,"&lt;="&amp;$B241,BD!$Y$3:$Y$5001,"&lt;&gt;")=0,"",SUMIFS(BD!$Y$3:$Y$5001,BD!$B$3:$B$5001,U$210,BD!$A$3:$A$5001,_xlfn.MAXIFS(BD!$A$3:$A$5001,BD!$B$3:$B$5001,U$210,BD!$A$3:$A$5001,"&gt;="&amp;$C$7,BD!$A$3:$A$5001,"&lt;="&amp;$B241,BD!$Y$3:$Y$5001,"&lt;&gt;"))))</f>
        <v/>
      </c>
      <c r="V241" s="54" t="str">
        <f>IF(OR($B241="",$A241&gt;$B$9,V$210=""),"",IF(COUNTIFS(BD!$B$3:$B$5001,V$210,BD!$A$3:$A$5001,"&gt;="&amp;$C$7,BD!$A$3:$A$5001,"&lt;="&amp;$B241,BD!$Y$3:$Y$5001,"&lt;&gt;")=0,"",SUMIFS(BD!$Y$3:$Y$5001,BD!$B$3:$B$5001,V$210,BD!$A$3:$A$5001,_xlfn.MAXIFS(BD!$A$3:$A$5001,BD!$B$3:$B$5001,V$210,BD!$A$3:$A$5001,"&gt;="&amp;$C$7,BD!$A$3:$A$5001,"&lt;="&amp;$B241,BD!$Y$3:$Y$5001,"&lt;&gt;"))))</f>
        <v/>
      </c>
    </row>
    <row r="242">
      <c r="A242" s="55" t="inlineStr">
        <is>
          <t xml:space="preserve">Mês anterior (último)</t>
        </is>
      </c>
      <c r="C242" s="56" t="str">
        <f>IF(C$210="","",IF(COUNTIFS(BD!$B$3:$B$5001,C$210,BD!$A$3:$A$5001,"&gt;="&amp;$C$8,BD!$A$3:$A$5001,"&lt;="&amp;$D$8,BD!$Y$3:$Y$5001,"&lt;&gt;")=0,"",SUMIFS(BD!$Y$3:$Y$5001,BD!$B$3:$B$5001,C$210,BD!$A$3:$A$5001,_xlfn.MAXIFS(BD!$A$3:$A$5001,BD!$B$3:$B$5001,C$210,BD!$A$3:$A$5001,"&gt;="&amp;$C$8,BD!$A$3:$A$5001,"&lt;="&amp;$D$8,BD!$Y$3:$Y$5001,"&lt;&gt;"))))</f>
        <v/>
      </c>
      <c r="D242" s="56" t="str">
        <f>IF(D$210="","",IF(COUNTIFS(BD!$B$3:$B$5001,D$210,BD!$A$3:$A$5001,"&gt;="&amp;$C$8,BD!$A$3:$A$5001,"&lt;="&amp;$D$8,BD!$Y$3:$Y$5001,"&lt;&gt;")=0,"",SUMIFS(BD!$Y$3:$Y$5001,BD!$B$3:$B$5001,D$210,BD!$A$3:$A$5001,_xlfn.MAXIFS(BD!$A$3:$A$5001,BD!$B$3:$B$5001,D$210,BD!$A$3:$A$5001,"&gt;="&amp;$C$8,BD!$A$3:$A$5001,"&lt;="&amp;$D$8,BD!$Y$3:$Y$5001,"&lt;&gt;"))))</f>
        <v/>
      </c>
      <c r="E242" s="56" t="str">
        <f>IF(E$210="","",IF(COUNTIFS(BD!$B$3:$B$5001,E$210,BD!$A$3:$A$5001,"&gt;="&amp;$C$8,BD!$A$3:$A$5001,"&lt;="&amp;$D$8,BD!$Y$3:$Y$5001,"&lt;&gt;")=0,"",SUMIFS(BD!$Y$3:$Y$5001,BD!$B$3:$B$5001,E$210,BD!$A$3:$A$5001,_xlfn.MAXIFS(BD!$A$3:$A$5001,BD!$B$3:$B$5001,E$210,BD!$A$3:$A$5001,"&gt;="&amp;$C$8,BD!$A$3:$A$5001,"&lt;="&amp;$D$8,BD!$Y$3:$Y$5001,"&lt;&gt;"))))</f>
        <v/>
      </c>
      <c r="F242" s="56" t="str">
        <f>IF(F$210="","",IF(COUNTIFS(BD!$B$3:$B$5001,F$210,BD!$A$3:$A$5001,"&gt;="&amp;$C$8,BD!$A$3:$A$5001,"&lt;="&amp;$D$8,BD!$Y$3:$Y$5001,"&lt;&gt;")=0,"",SUMIFS(BD!$Y$3:$Y$5001,BD!$B$3:$B$5001,F$210,BD!$A$3:$A$5001,_xlfn.MAXIFS(BD!$A$3:$A$5001,BD!$B$3:$B$5001,F$210,BD!$A$3:$A$5001,"&gt;="&amp;$C$8,BD!$A$3:$A$5001,"&lt;="&amp;$D$8,BD!$Y$3:$Y$5001,"&lt;&gt;"))))</f>
        <v/>
      </c>
      <c r="G242" s="56" t="str">
        <f>IF(G$210="","",IF(COUNTIFS(BD!$B$3:$B$5001,G$210,BD!$A$3:$A$5001,"&gt;="&amp;$C$8,BD!$A$3:$A$5001,"&lt;="&amp;$D$8,BD!$Y$3:$Y$5001,"&lt;&gt;")=0,"",SUMIFS(BD!$Y$3:$Y$5001,BD!$B$3:$B$5001,G$210,BD!$A$3:$A$5001,_xlfn.MAXIFS(BD!$A$3:$A$5001,BD!$B$3:$B$5001,G$210,BD!$A$3:$A$5001,"&gt;="&amp;$C$8,BD!$A$3:$A$5001,"&lt;="&amp;$D$8,BD!$Y$3:$Y$5001,"&lt;&gt;"))))</f>
        <v/>
      </c>
      <c r="H242" s="56" t="str">
        <f>IF(H$210="","",IF(COUNTIFS(BD!$B$3:$B$5001,H$210,BD!$A$3:$A$5001,"&gt;="&amp;$C$8,BD!$A$3:$A$5001,"&lt;="&amp;$D$8,BD!$Y$3:$Y$5001,"&lt;&gt;")=0,"",SUMIFS(BD!$Y$3:$Y$5001,BD!$B$3:$B$5001,H$210,BD!$A$3:$A$5001,_xlfn.MAXIFS(BD!$A$3:$A$5001,BD!$B$3:$B$5001,H$210,BD!$A$3:$A$5001,"&gt;="&amp;$C$8,BD!$A$3:$A$5001,"&lt;="&amp;$D$8,BD!$Y$3:$Y$5001,"&lt;&gt;"))))</f>
        <v/>
      </c>
      <c r="I242" s="56" t="str">
        <f>IF(I$210="","",IF(COUNTIFS(BD!$B$3:$B$5001,I$210,BD!$A$3:$A$5001,"&gt;="&amp;$C$8,BD!$A$3:$A$5001,"&lt;="&amp;$D$8,BD!$Y$3:$Y$5001,"&lt;&gt;")=0,"",SUMIFS(BD!$Y$3:$Y$5001,BD!$B$3:$B$5001,I$210,BD!$A$3:$A$5001,_xlfn.MAXIFS(BD!$A$3:$A$5001,BD!$B$3:$B$5001,I$210,BD!$A$3:$A$5001,"&gt;="&amp;$C$8,BD!$A$3:$A$5001,"&lt;="&amp;$D$8,BD!$Y$3:$Y$5001,"&lt;&gt;"))))</f>
        <v/>
      </c>
      <c r="J242" s="56" t="str">
        <f>IF(J$210="","",IF(COUNTIFS(BD!$B$3:$B$5001,J$210,BD!$A$3:$A$5001,"&gt;="&amp;$C$8,BD!$A$3:$A$5001,"&lt;="&amp;$D$8,BD!$Y$3:$Y$5001,"&lt;&gt;")=0,"",SUMIFS(BD!$Y$3:$Y$5001,BD!$B$3:$B$5001,J$210,BD!$A$3:$A$5001,_xlfn.MAXIFS(BD!$A$3:$A$5001,BD!$B$3:$B$5001,J$210,BD!$A$3:$A$5001,"&gt;="&amp;$C$8,BD!$A$3:$A$5001,"&lt;="&amp;$D$8,BD!$Y$3:$Y$5001,"&lt;&gt;"))))</f>
        <v/>
      </c>
      <c r="K242" s="56" t="str">
        <f>IF(K$210="","",IF(COUNTIFS(BD!$B$3:$B$5001,K$210,BD!$A$3:$A$5001,"&gt;="&amp;$C$8,BD!$A$3:$A$5001,"&lt;="&amp;$D$8,BD!$Y$3:$Y$5001,"&lt;&gt;")=0,"",SUMIFS(BD!$Y$3:$Y$5001,BD!$B$3:$B$5001,K$210,BD!$A$3:$A$5001,_xlfn.MAXIFS(BD!$A$3:$A$5001,BD!$B$3:$B$5001,K$210,BD!$A$3:$A$5001,"&gt;="&amp;$C$8,BD!$A$3:$A$5001,"&lt;="&amp;$D$8,BD!$Y$3:$Y$5001,"&lt;&gt;"))))</f>
        <v/>
      </c>
      <c r="L242" s="56" t="str">
        <f>IF(L$210="","",IF(COUNTIFS(BD!$B$3:$B$5001,L$210,BD!$A$3:$A$5001,"&gt;="&amp;$C$8,BD!$A$3:$A$5001,"&lt;="&amp;$D$8,BD!$Y$3:$Y$5001,"&lt;&gt;")=0,"",SUMIFS(BD!$Y$3:$Y$5001,BD!$B$3:$B$5001,L$210,BD!$A$3:$A$5001,_xlfn.MAXIFS(BD!$A$3:$A$5001,BD!$B$3:$B$5001,L$210,BD!$A$3:$A$5001,"&gt;="&amp;$C$8,BD!$A$3:$A$5001,"&lt;="&amp;$D$8,BD!$Y$3:$Y$5001,"&lt;&gt;"))))</f>
        <v/>
      </c>
      <c r="M242" s="56" t="str">
        <f>IF(M$210="","",IF(COUNTIFS(BD!$B$3:$B$5001,M$210,BD!$A$3:$A$5001,"&gt;="&amp;$C$8,BD!$A$3:$A$5001,"&lt;="&amp;$D$8,BD!$Y$3:$Y$5001,"&lt;&gt;")=0,"",SUMIFS(BD!$Y$3:$Y$5001,BD!$B$3:$B$5001,M$210,BD!$A$3:$A$5001,_xlfn.MAXIFS(BD!$A$3:$A$5001,BD!$B$3:$B$5001,M$210,BD!$A$3:$A$5001,"&gt;="&amp;$C$8,BD!$A$3:$A$5001,"&lt;="&amp;$D$8,BD!$Y$3:$Y$5001,"&lt;&gt;"))))</f>
        <v/>
      </c>
      <c r="N242" s="56" t="str">
        <f>IF(N$210="","",IF(COUNTIFS(BD!$B$3:$B$5001,N$210,BD!$A$3:$A$5001,"&gt;="&amp;$C$8,BD!$A$3:$A$5001,"&lt;="&amp;$D$8,BD!$Y$3:$Y$5001,"&lt;&gt;")=0,"",SUMIFS(BD!$Y$3:$Y$5001,BD!$B$3:$B$5001,N$210,BD!$A$3:$A$5001,_xlfn.MAXIFS(BD!$A$3:$A$5001,BD!$B$3:$B$5001,N$210,BD!$A$3:$A$5001,"&gt;="&amp;$C$8,BD!$A$3:$A$5001,"&lt;="&amp;$D$8,BD!$Y$3:$Y$5001,"&lt;&gt;"))))</f>
        <v/>
      </c>
      <c r="O242" s="56" t="str">
        <f>IF(O$210="","",IF(COUNTIFS(BD!$B$3:$B$5001,O$210,BD!$A$3:$A$5001,"&gt;="&amp;$C$8,BD!$A$3:$A$5001,"&lt;="&amp;$D$8,BD!$Y$3:$Y$5001,"&lt;&gt;")=0,"",SUMIFS(BD!$Y$3:$Y$5001,BD!$B$3:$B$5001,O$210,BD!$A$3:$A$5001,_xlfn.MAXIFS(BD!$A$3:$A$5001,BD!$B$3:$B$5001,O$210,BD!$A$3:$A$5001,"&gt;="&amp;$C$8,BD!$A$3:$A$5001,"&lt;="&amp;$D$8,BD!$Y$3:$Y$5001,"&lt;&gt;"))))</f>
        <v/>
      </c>
      <c r="P242" s="56" t="str">
        <f>IF(P$210="","",IF(COUNTIFS(BD!$B$3:$B$5001,P$210,BD!$A$3:$A$5001,"&gt;="&amp;$C$8,BD!$A$3:$A$5001,"&lt;="&amp;$D$8,BD!$Y$3:$Y$5001,"&lt;&gt;")=0,"",SUMIFS(BD!$Y$3:$Y$5001,BD!$B$3:$B$5001,P$210,BD!$A$3:$A$5001,_xlfn.MAXIFS(BD!$A$3:$A$5001,BD!$B$3:$B$5001,P$210,BD!$A$3:$A$5001,"&gt;="&amp;$C$8,BD!$A$3:$A$5001,"&lt;="&amp;$D$8,BD!$Y$3:$Y$5001,"&lt;&gt;"))))</f>
        <v/>
      </c>
      <c r="Q242" s="56" t="str">
        <f>IF(Q$210="","",IF(COUNTIFS(BD!$B$3:$B$5001,Q$210,BD!$A$3:$A$5001,"&gt;="&amp;$C$8,BD!$A$3:$A$5001,"&lt;="&amp;$D$8,BD!$Y$3:$Y$5001,"&lt;&gt;")=0,"",SUMIFS(BD!$Y$3:$Y$5001,BD!$B$3:$B$5001,Q$210,BD!$A$3:$A$5001,_xlfn.MAXIFS(BD!$A$3:$A$5001,BD!$B$3:$B$5001,Q$210,BD!$A$3:$A$5001,"&gt;="&amp;$C$8,BD!$A$3:$A$5001,"&lt;="&amp;$D$8,BD!$Y$3:$Y$5001,"&lt;&gt;"))))</f>
        <v/>
      </c>
      <c r="R242" s="56" t="str">
        <f>IF(R$210="","",IF(COUNTIFS(BD!$B$3:$B$5001,R$210,BD!$A$3:$A$5001,"&gt;="&amp;$C$8,BD!$A$3:$A$5001,"&lt;="&amp;$D$8,BD!$Y$3:$Y$5001,"&lt;&gt;")=0,"",SUMIFS(BD!$Y$3:$Y$5001,BD!$B$3:$B$5001,R$210,BD!$A$3:$A$5001,_xlfn.MAXIFS(BD!$A$3:$A$5001,BD!$B$3:$B$5001,R$210,BD!$A$3:$A$5001,"&gt;="&amp;$C$8,BD!$A$3:$A$5001,"&lt;="&amp;$D$8,BD!$Y$3:$Y$5001,"&lt;&gt;"))))</f>
        <v/>
      </c>
      <c r="S242" s="56" t="str">
        <f>IF(S$210="","",IF(COUNTIFS(BD!$B$3:$B$5001,S$210,BD!$A$3:$A$5001,"&gt;="&amp;$C$8,BD!$A$3:$A$5001,"&lt;="&amp;$D$8,BD!$Y$3:$Y$5001,"&lt;&gt;")=0,"",SUMIFS(BD!$Y$3:$Y$5001,BD!$B$3:$B$5001,S$210,BD!$A$3:$A$5001,_xlfn.MAXIFS(BD!$A$3:$A$5001,BD!$B$3:$B$5001,S$210,BD!$A$3:$A$5001,"&gt;="&amp;$C$8,BD!$A$3:$A$5001,"&lt;="&amp;$D$8,BD!$Y$3:$Y$5001,"&lt;&gt;"))))</f>
        <v/>
      </c>
      <c r="T242" s="56" t="str">
        <f>IF(T$210="","",IF(COUNTIFS(BD!$B$3:$B$5001,T$210,BD!$A$3:$A$5001,"&gt;="&amp;$C$8,BD!$A$3:$A$5001,"&lt;="&amp;$D$8,BD!$Y$3:$Y$5001,"&lt;&gt;")=0,"",SUMIFS(BD!$Y$3:$Y$5001,BD!$B$3:$B$5001,T$210,BD!$A$3:$A$5001,_xlfn.MAXIFS(BD!$A$3:$A$5001,BD!$B$3:$B$5001,T$210,BD!$A$3:$A$5001,"&gt;="&amp;$C$8,BD!$A$3:$A$5001,"&lt;="&amp;$D$8,BD!$Y$3:$Y$5001,"&lt;&gt;"))))</f>
        <v/>
      </c>
      <c r="U242" s="56" t="str">
        <f>IF(U$210="","",IF(COUNTIFS(BD!$B$3:$B$5001,U$210,BD!$A$3:$A$5001,"&gt;="&amp;$C$8,BD!$A$3:$A$5001,"&lt;="&amp;$D$8,BD!$Y$3:$Y$5001,"&lt;&gt;")=0,"",SUMIFS(BD!$Y$3:$Y$5001,BD!$B$3:$B$5001,U$210,BD!$A$3:$A$5001,_xlfn.MAXIFS(BD!$A$3:$A$5001,BD!$B$3:$B$5001,U$210,BD!$A$3:$A$5001,"&gt;="&amp;$C$8,BD!$A$3:$A$5001,"&lt;="&amp;$D$8,BD!$Y$3:$Y$5001,"&lt;&gt;"))))</f>
        <v/>
      </c>
      <c r="V242" s="56" t="str">
        <f>IF(V$210="","",IF(COUNTIFS(BD!$B$3:$B$5001,V$210,BD!$A$3:$A$5001,"&gt;="&amp;$C$8,BD!$A$3:$A$5001,"&lt;="&amp;$D$8,BD!$Y$3:$Y$5001,"&lt;&gt;")=0,"",SUMIFS(BD!$Y$3:$Y$5001,BD!$B$3:$B$5001,V$210,BD!$A$3:$A$5001,_xlfn.MAXIFS(BD!$A$3:$A$5001,BD!$B$3:$B$5001,V$210,BD!$A$3:$A$5001,"&gt;="&amp;$C$8,BD!$A$3:$A$5001,"&lt;="&amp;$D$8,BD!$Y$3:$Y$5001,"&lt;&gt;"))))</f>
        <v/>
      </c>
    </row>
    <row r="243">
      <c r="A243" s="55" t="inlineStr">
        <is>
          <t xml:space="preserve">Depósito</t>
        </is>
      </c>
      <c r="C243" s="48" t="str">
        <f>IF(Config!$C$10="","TPC",Config!$C$10)</f>
        <v>TPC</v>
      </c>
      <c r="D243" s="48" t="str">
        <f>IF(Config!$C$11="","TPC",Config!$C$11)</f>
        <v>TPC</v>
      </c>
      <c r="E243" s="48" t="str">
        <f>IF(Config!$C$12="","TPC",Config!$C$12)</f>
        <v>TPC</v>
      </c>
      <c r="F243" s="48" t="str">
        <f>IF(Config!$C$13="","TPC",Config!$C$13)</f>
        <v>TPC</v>
      </c>
      <c r="G243" s="48" t="str">
        <f>IF(Config!$C$14="","TPC",Config!$C$14)</f>
        <v>TPC</v>
      </c>
      <c r="H243" s="48" t="str">
        <f>IF(Config!$C$15="","TPC",Config!$C$15)</f>
        <v>TPC</v>
      </c>
      <c r="I243" s="48" t="str">
        <f>IF(Config!$C$16="","TPC",Config!$C$16)</f>
        <v>TPC</v>
      </c>
      <c r="J243" s="48" t="str">
        <f>IF(Config!$C$17="","TPC",Config!$C$17)</f>
        <v>TPC</v>
      </c>
      <c r="K243" s="48" t="str">
        <f>IF(Config!$C$18="","TPC",Config!$C$18)</f>
        <v>TPC</v>
      </c>
      <c r="L243" s="48" t="str">
        <f>IF(Config!$C$19="","TPC",Config!$C$19)</f>
        <v>TPC</v>
      </c>
      <c r="M243" s="48" t="str">
        <f>IF(Config!$C$20="","TPC",Config!$C$20)</f>
        <v>TPC</v>
      </c>
      <c r="N243" s="48" t="str">
        <f>IF(Config!$C$21="","TPC",Config!$C$21)</f>
        <v>TPC</v>
      </c>
      <c r="O243" s="48" t="str">
        <f>IF(Config!$C$22="","TPC",Config!$C$22)</f>
        <v>TPC</v>
      </c>
      <c r="P243" s="48" t="str">
        <f>IF(Config!$C$23="","TPC",Config!$C$23)</f>
        <v>TPC</v>
      </c>
      <c r="Q243" s="48" t="str">
        <f>IF(Config!$C$24="","TPC",Config!$C$24)</f>
        <v>TPC</v>
      </c>
      <c r="R243" s="48" t="str">
        <f>IF(Config!$C$25="","TPC",Config!$C$25)</f>
        <v>TPC</v>
      </c>
      <c r="S243" s="48" t="str">
        <f>IF(Config!$C$26="","TPC",Config!$C$26)</f>
        <v>TPC</v>
      </c>
      <c r="T243" s="48" t="str">
        <f>IF(Config!$C$27="","TPC",Config!$C$27)</f>
        <v>TPC</v>
      </c>
      <c r="U243" s="48" t="str">
        <f>IF(Config!$C$28="","TPC",Config!$C$28)</f>
        <v>TPC</v>
      </c>
      <c r="V243" s="48" t="str">
        <f>IF(Config!$C$29="","TPC",Config!$C$29)</f>
        <v>TPC</v>
      </c>
    </row>
    <row r="245">
      <c r="A245" s="47" t="inlineStr">
        <is>
          <t xml:space="preserve">Posições Disponíveis</t>
        </is>
      </c>
      <c r="B245" s="47" t="inlineStr">
        <is>
          <t xml:space="preserve">Data</t>
        </is>
      </c>
      <c r="C245" s="47" t="str">
        <f>Config!$B$10&amp;""</f>
        <v>Alpargatas</v>
      </c>
      <c r="D245" s="47" t="str">
        <f>Config!$B$11&amp;""</f>
        <v>Basf</v>
      </c>
      <c r="E245" s="47" t="str">
        <f>Config!$B$12&amp;""</f>
        <v>Beautybiz</v>
      </c>
      <c r="F245" s="47" t="str">
        <f>Config!$B$13&amp;""</f>
        <v>Boticário</v>
      </c>
      <c r="G245" s="47" t="str">
        <f>Config!$B$14&amp;""</f>
        <v>Confiance</v>
      </c>
      <c r="H245" s="47" t="str">
        <f>Config!$B$15&amp;""</f>
        <v>GE Vernova</v>
      </c>
      <c r="I245" s="47" t="str">
        <f>Config!$B$16&amp;""</f>
        <v>Omnilife</v>
      </c>
      <c r="J245" s="47" t="str">
        <f>Config!$B$17&amp;""</f>
        <v>Supply</v>
      </c>
      <c r="K245" s="47" t="str">
        <f>Config!$B$18&amp;""</f>
        <v>Vedacit</v>
      </c>
      <c r="L245" s="47" t="str">
        <f>Config!$B$19&amp;""</f>
        <v>Vestas</v>
      </c>
      <c r="M245" s="47" t="str">
        <f>Config!$B$20&amp;""</f>
        <v/>
      </c>
      <c r="N245" s="47" t="str">
        <f>Config!$B$21&amp;""</f>
        <v/>
      </c>
      <c r="O245" s="47" t="str">
        <f>Config!$B$22&amp;""</f>
        <v/>
      </c>
      <c r="P245" s="47" t="str">
        <f>Config!$B$23&amp;""</f>
        <v/>
      </c>
      <c r="Q245" s="47" t="str">
        <f>Config!$B$24&amp;""</f>
        <v/>
      </c>
      <c r="R245" s="47" t="str">
        <f>Config!$B$25&amp;""</f>
        <v/>
      </c>
      <c r="S245" s="47" t="str">
        <f>Config!$B$26&amp;""</f>
        <v/>
      </c>
      <c r="T245" s="47" t="str">
        <f>Config!$B$27&amp;""</f>
        <v/>
      </c>
      <c r="U245" s="47" t="str">
        <f>Config!$B$28&amp;""</f>
        <v/>
      </c>
      <c r="V245" s="47" t="str">
        <f>Config!$B$29&amp;""</f>
        <v/>
      </c>
    </row>
    <row r="246">
      <c r="A246" s="48">
        <v>1</v>
      </c>
      <c r="B246" s="53">
        <f>$B$12</f>
        <v>46296</v>
      </c>
      <c r="C246" s="54" t="str">
        <f>IF(OR($B246="",$A246&gt;$B$9,C$245=""),"",IF(COUNTIFS(BD!$B$3:$B$5001,C$245,BD!$A$3:$A$5001,"&gt;="&amp;$C$7,BD!$A$3:$A$5001,"&lt;="&amp;$B246,BD!$X$3:$X$5001,"&lt;&gt;")=0,"",SUMIFS(BD!$X$3:$X$5001,BD!$B$3:$B$5001,C$245,BD!$A$3:$A$5001,_xlfn.MAXIFS(BD!$A$3:$A$5001,BD!$B$3:$B$5001,C$245,BD!$A$3:$A$5001,"&gt;="&amp;$C$7,BD!$A$3:$A$5001,"&lt;="&amp;$B246,BD!$X$3:$X$5001,"&lt;&gt;"))))</f>
        <v/>
      </c>
      <c r="D246" s="54" t="str">
        <f>IF(OR($B246="",$A246&gt;$B$9,D$245=""),"",IF(COUNTIFS(BD!$B$3:$B$5001,D$245,BD!$A$3:$A$5001,"&gt;="&amp;$C$7,BD!$A$3:$A$5001,"&lt;="&amp;$B246,BD!$X$3:$X$5001,"&lt;&gt;")=0,"",SUMIFS(BD!$X$3:$X$5001,BD!$B$3:$B$5001,D$245,BD!$A$3:$A$5001,_xlfn.MAXIFS(BD!$A$3:$A$5001,BD!$B$3:$B$5001,D$245,BD!$A$3:$A$5001,"&gt;="&amp;$C$7,BD!$A$3:$A$5001,"&lt;="&amp;$B246,BD!$X$3:$X$5001,"&lt;&gt;"))))</f>
        <v/>
      </c>
      <c r="E246" s="54" t="str">
        <f>IF(OR($B246="",$A246&gt;$B$9,E$245=""),"",IF(COUNTIFS(BD!$B$3:$B$5001,E$245,BD!$A$3:$A$5001,"&gt;="&amp;$C$7,BD!$A$3:$A$5001,"&lt;="&amp;$B246,BD!$X$3:$X$5001,"&lt;&gt;")=0,"",SUMIFS(BD!$X$3:$X$5001,BD!$B$3:$B$5001,E$245,BD!$A$3:$A$5001,_xlfn.MAXIFS(BD!$A$3:$A$5001,BD!$B$3:$B$5001,E$245,BD!$A$3:$A$5001,"&gt;="&amp;$C$7,BD!$A$3:$A$5001,"&lt;="&amp;$B246,BD!$X$3:$X$5001,"&lt;&gt;"))))</f>
        <v/>
      </c>
      <c r="F246" s="54" t="str">
        <f>IF(OR($B246="",$A246&gt;$B$9,F$245=""),"",IF(COUNTIFS(BD!$B$3:$B$5001,F$245,BD!$A$3:$A$5001,"&gt;="&amp;$C$7,BD!$A$3:$A$5001,"&lt;="&amp;$B246,BD!$X$3:$X$5001,"&lt;&gt;")=0,"",SUMIFS(BD!$X$3:$X$5001,BD!$B$3:$B$5001,F$245,BD!$A$3:$A$5001,_xlfn.MAXIFS(BD!$A$3:$A$5001,BD!$B$3:$B$5001,F$245,BD!$A$3:$A$5001,"&gt;="&amp;$C$7,BD!$A$3:$A$5001,"&lt;="&amp;$B246,BD!$X$3:$X$5001,"&lt;&gt;"))))</f>
        <v/>
      </c>
      <c r="G246" s="54" t="str">
        <f>IF(OR($B246="",$A246&gt;$B$9,G$245=""),"",IF(COUNTIFS(BD!$B$3:$B$5001,G$245,BD!$A$3:$A$5001,"&gt;="&amp;$C$7,BD!$A$3:$A$5001,"&lt;="&amp;$B246,BD!$X$3:$X$5001,"&lt;&gt;")=0,"",SUMIFS(BD!$X$3:$X$5001,BD!$B$3:$B$5001,G$245,BD!$A$3:$A$5001,_xlfn.MAXIFS(BD!$A$3:$A$5001,BD!$B$3:$B$5001,G$245,BD!$A$3:$A$5001,"&gt;="&amp;$C$7,BD!$A$3:$A$5001,"&lt;="&amp;$B246,BD!$X$3:$X$5001,"&lt;&gt;"))))</f>
        <v/>
      </c>
      <c r="H246" s="54" t="str">
        <f>IF(OR($B246="",$A246&gt;$B$9,H$245=""),"",IF(COUNTIFS(BD!$B$3:$B$5001,H$245,BD!$A$3:$A$5001,"&gt;="&amp;$C$7,BD!$A$3:$A$5001,"&lt;="&amp;$B246,BD!$X$3:$X$5001,"&lt;&gt;")=0,"",SUMIFS(BD!$X$3:$X$5001,BD!$B$3:$B$5001,H$245,BD!$A$3:$A$5001,_xlfn.MAXIFS(BD!$A$3:$A$5001,BD!$B$3:$B$5001,H$245,BD!$A$3:$A$5001,"&gt;="&amp;$C$7,BD!$A$3:$A$5001,"&lt;="&amp;$B246,BD!$X$3:$X$5001,"&lt;&gt;"))))</f>
        <v/>
      </c>
      <c r="I246" s="54" t="str">
        <f>IF(OR($B246="",$A246&gt;$B$9,I$245=""),"",IF(COUNTIFS(BD!$B$3:$B$5001,I$245,BD!$A$3:$A$5001,"&gt;="&amp;$C$7,BD!$A$3:$A$5001,"&lt;="&amp;$B246,BD!$X$3:$X$5001,"&lt;&gt;")=0,"",SUMIFS(BD!$X$3:$X$5001,BD!$B$3:$B$5001,I$245,BD!$A$3:$A$5001,_xlfn.MAXIFS(BD!$A$3:$A$5001,BD!$B$3:$B$5001,I$245,BD!$A$3:$A$5001,"&gt;="&amp;$C$7,BD!$A$3:$A$5001,"&lt;="&amp;$B246,BD!$X$3:$X$5001,"&lt;&gt;"))))</f>
        <v/>
      </c>
      <c r="J246" s="54" t="str">
        <f>IF(OR($B246="",$A246&gt;$B$9,J$245=""),"",IF(COUNTIFS(BD!$B$3:$B$5001,J$245,BD!$A$3:$A$5001,"&gt;="&amp;$C$7,BD!$A$3:$A$5001,"&lt;="&amp;$B246,BD!$X$3:$X$5001,"&lt;&gt;")=0,"",SUMIFS(BD!$X$3:$X$5001,BD!$B$3:$B$5001,J$245,BD!$A$3:$A$5001,_xlfn.MAXIFS(BD!$A$3:$A$5001,BD!$B$3:$B$5001,J$245,BD!$A$3:$A$5001,"&gt;="&amp;$C$7,BD!$A$3:$A$5001,"&lt;="&amp;$B246,BD!$X$3:$X$5001,"&lt;&gt;"))))</f>
        <v/>
      </c>
      <c r="K246" s="54" t="str">
        <f>IF(OR($B246="",$A246&gt;$B$9,K$245=""),"",IF(COUNTIFS(BD!$B$3:$B$5001,K$245,BD!$A$3:$A$5001,"&gt;="&amp;$C$7,BD!$A$3:$A$5001,"&lt;="&amp;$B246,BD!$X$3:$X$5001,"&lt;&gt;")=0,"",SUMIFS(BD!$X$3:$X$5001,BD!$B$3:$B$5001,K$245,BD!$A$3:$A$5001,_xlfn.MAXIFS(BD!$A$3:$A$5001,BD!$B$3:$B$5001,K$245,BD!$A$3:$A$5001,"&gt;="&amp;$C$7,BD!$A$3:$A$5001,"&lt;="&amp;$B246,BD!$X$3:$X$5001,"&lt;&gt;"))))</f>
        <v/>
      </c>
      <c r="L246" s="54" t="str">
        <f>IF(OR($B246="",$A246&gt;$B$9,L$245=""),"",IF(COUNTIFS(BD!$B$3:$B$5001,L$245,BD!$A$3:$A$5001,"&gt;="&amp;$C$7,BD!$A$3:$A$5001,"&lt;="&amp;$B246,BD!$X$3:$X$5001,"&lt;&gt;")=0,"",SUMIFS(BD!$X$3:$X$5001,BD!$B$3:$B$5001,L$245,BD!$A$3:$A$5001,_xlfn.MAXIFS(BD!$A$3:$A$5001,BD!$B$3:$B$5001,L$245,BD!$A$3:$A$5001,"&gt;="&amp;$C$7,BD!$A$3:$A$5001,"&lt;="&amp;$B246,BD!$X$3:$X$5001,"&lt;&gt;"))))</f>
        <v/>
      </c>
      <c r="M246" s="54" t="str">
        <f>IF(OR($B246="",$A246&gt;$B$9,M$245=""),"",IF(COUNTIFS(BD!$B$3:$B$5001,M$245,BD!$A$3:$A$5001,"&gt;="&amp;$C$7,BD!$A$3:$A$5001,"&lt;="&amp;$B246,BD!$X$3:$X$5001,"&lt;&gt;")=0,"",SUMIFS(BD!$X$3:$X$5001,BD!$B$3:$B$5001,M$245,BD!$A$3:$A$5001,_xlfn.MAXIFS(BD!$A$3:$A$5001,BD!$B$3:$B$5001,M$245,BD!$A$3:$A$5001,"&gt;="&amp;$C$7,BD!$A$3:$A$5001,"&lt;="&amp;$B246,BD!$X$3:$X$5001,"&lt;&gt;"))))</f>
        <v/>
      </c>
      <c r="N246" s="54" t="str">
        <f>IF(OR($B246="",$A246&gt;$B$9,N$245=""),"",IF(COUNTIFS(BD!$B$3:$B$5001,N$245,BD!$A$3:$A$5001,"&gt;="&amp;$C$7,BD!$A$3:$A$5001,"&lt;="&amp;$B246,BD!$X$3:$X$5001,"&lt;&gt;")=0,"",SUMIFS(BD!$X$3:$X$5001,BD!$B$3:$B$5001,N$245,BD!$A$3:$A$5001,_xlfn.MAXIFS(BD!$A$3:$A$5001,BD!$B$3:$B$5001,N$245,BD!$A$3:$A$5001,"&gt;="&amp;$C$7,BD!$A$3:$A$5001,"&lt;="&amp;$B246,BD!$X$3:$X$5001,"&lt;&gt;"))))</f>
        <v/>
      </c>
      <c r="O246" s="54" t="str">
        <f>IF(OR($B246="",$A246&gt;$B$9,O$245=""),"",IF(COUNTIFS(BD!$B$3:$B$5001,O$245,BD!$A$3:$A$5001,"&gt;="&amp;$C$7,BD!$A$3:$A$5001,"&lt;="&amp;$B246,BD!$X$3:$X$5001,"&lt;&gt;")=0,"",SUMIFS(BD!$X$3:$X$5001,BD!$B$3:$B$5001,O$245,BD!$A$3:$A$5001,_xlfn.MAXIFS(BD!$A$3:$A$5001,BD!$B$3:$B$5001,O$245,BD!$A$3:$A$5001,"&gt;="&amp;$C$7,BD!$A$3:$A$5001,"&lt;="&amp;$B246,BD!$X$3:$X$5001,"&lt;&gt;"))))</f>
        <v/>
      </c>
      <c r="P246" s="54" t="str">
        <f>IF(OR($B246="",$A246&gt;$B$9,P$245=""),"",IF(COUNTIFS(BD!$B$3:$B$5001,P$245,BD!$A$3:$A$5001,"&gt;="&amp;$C$7,BD!$A$3:$A$5001,"&lt;="&amp;$B246,BD!$X$3:$X$5001,"&lt;&gt;")=0,"",SUMIFS(BD!$X$3:$X$5001,BD!$B$3:$B$5001,P$245,BD!$A$3:$A$5001,_xlfn.MAXIFS(BD!$A$3:$A$5001,BD!$B$3:$B$5001,P$245,BD!$A$3:$A$5001,"&gt;="&amp;$C$7,BD!$A$3:$A$5001,"&lt;="&amp;$B246,BD!$X$3:$X$5001,"&lt;&gt;"))))</f>
        <v/>
      </c>
      <c r="Q246" s="54" t="str">
        <f>IF(OR($B246="",$A246&gt;$B$9,Q$245=""),"",IF(COUNTIFS(BD!$B$3:$B$5001,Q$245,BD!$A$3:$A$5001,"&gt;="&amp;$C$7,BD!$A$3:$A$5001,"&lt;="&amp;$B246,BD!$X$3:$X$5001,"&lt;&gt;")=0,"",SUMIFS(BD!$X$3:$X$5001,BD!$B$3:$B$5001,Q$245,BD!$A$3:$A$5001,_xlfn.MAXIFS(BD!$A$3:$A$5001,BD!$B$3:$B$5001,Q$245,BD!$A$3:$A$5001,"&gt;="&amp;$C$7,BD!$A$3:$A$5001,"&lt;="&amp;$B246,BD!$X$3:$X$5001,"&lt;&gt;"))))</f>
        <v/>
      </c>
      <c r="R246" s="54" t="str">
        <f>IF(OR($B246="",$A246&gt;$B$9,R$245=""),"",IF(COUNTIFS(BD!$B$3:$B$5001,R$245,BD!$A$3:$A$5001,"&gt;="&amp;$C$7,BD!$A$3:$A$5001,"&lt;="&amp;$B246,BD!$X$3:$X$5001,"&lt;&gt;")=0,"",SUMIFS(BD!$X$3:$X$5001,BD!$B$3:$B$5001,R$245,BD!$A$3:$A$5001,_xlfn.MAXIFS(BD!$A$3:$A$5001,BD!$B$3:$B$5001,R$245,BD!$A$3:$A$5001,"&gt;="&amp;$C$7,BD!$A$3:$A$5001,"&lt;="&amp;$B246,BD!$X$3:$X$5001,"&lt;&gt;"))))</f>
        <v/>
      </c>
      <c r="S246" s="54" t="str">
        <f>IF(OR($B246="",$A246&gt;$B$9,S$245=""),"",IF(COUNTIFS(BD!$B$3:$B$5001,S$245,BD!$A$3:$A$5001,"&gt;="&amp;$C$7,BD!$A$3:$A$5001,"&lt;="&amp;$B246,BD!$X$3:$X$5001,"&lt;&gt;")=0,"",SUMIFS(BD!$X$3:$X$5001,BD!$B$3:$B$5001,S$245,BD!$A$3:$A$5001,_xlfn.MAXIFS(BD!$A$3:$A$5001,BD!$B$3:$B$5001,S$245,BD!$A$3:$A$5001,"&gt;="&amp;$C$7,BD!$A$3:$A$5001,"&lt;="&amp;$B246,BD!$X$3:$X$5001,"&lt;&gt;"))))</f>
        <v/>
      </c>
      <c r="T246" s="54" t="str">
        <f>IF(OR($B246="",$A246&gt;$B$9,T$245=""),"",IF(COUNTIFS(BD!$B$3:$B$5001,T$245,BD!$A$3:$A$5001,"&gt;="&amp;$C$7,BD!$A$3:$A$5001,"&lt;="&amp;$B246,BD!$X$3:$X$5001,"&lt;&gt;")=0,"",SUMIFS(BD!$X$3:$X$5001,BD!$B$3:$B$5001,T$245,BD!$A$3:$A$5001,_xlfn.MAXIFS(BD!$A$3:$A$5001,BD!$B$3:$B$5001,T$245,BD!$A$3:$A$5001,"&gt;="&amp;$C$7,BD!$A$3:$A$5001,"&lt;="&amp;$B246,BD!$X$3:$X$5001,"&lt;&gt;"))))</f>
        <v/>
      </c>
      <c r="U246" s="54" t="str">
        <f>IF(OR($B246="",$A246&gt;$B$9,U$245=""),"",IF(COUNTIFS(BD!$B$3:$B$5001,U$245,BD!$A$3:$A$5001,"&gt;="&amp;$C$7,BD!$A$3:$A$5001,"&lt;="&amp;$B246,BD!$X$3:$X$5001,"&lt;&gt;")=0,"",SUMIFS(BD!$X$3:$X$5001,BD!$B$3:$B$5001,U$245,BD!$A$3:$A$5001,_xlfn.MAXIFS(BD!$A$3:$A$5001,BD!$B$3:$B$5001,U$245,BD!$A$3:$A$5001,"&gt;="&amp;$C$7,BD!$A$3:$A$5001,"&lt;="&amp;$B246,BD!$X$3:$X$5001,"&lt;&gt;"))))</f>
        <v/>
      </c>
      <c r="V246" s="54" t="str">
        <f>IF(OR($B246="",$A246&gt;$B$9,V$245=""),"",IF(COUNTIFS(BD!$B$3:$B$5001,V$245,BD!$A$3:$A$5001,"&gt;="&amp;$C$7,BD!$A$3:$A$5001,"&lt;="&amp;$B246,BD!$X$3:$X$5001,"&lt;&gt;")=0,"",SUMIFS(BD!$X$3:$X$5001,BD!$B$3:$B$5001,V$245,BD!$A$3:$A$5001,_xlfn.MAXIFS(BD!$A$3:$A$5001,BD!$B$3:$B$5001,V$245,BD!$A$3:$A$5001,"&gt;="&amp;$C$7,BD!$A$3:$A$5001,"&lt;="&amp;$B246,BD!$X$3:$X$5001,"&lt;&gt;"))))</f>
        <v/>
      </c>
    </row>
    <row r="247">
      <c r="A247" s="48">
        <v>2</v>
      </c>
      <c r="B247" s="53">
        <f>$B$13</f>
        <v>46297</v>
      </c>
      <c r="C247" s="54" t="str">
        <f>IF(OR($B247="",$A247&gt;$B$9,C$245=""),"",IF(COUNTIFS(BD!$B$3:$B$5001,C$245,BD!$A$3:$A$5001,"&gt;="&amp;$C$7,BD!$A$3:$A$5001,"&lt;="&amp;$B247,BD!$X$3:$X$5001,"&lt;&gt;")=0,"",SUMIFS(BD!$X$3:$X$5001,BD!$B$3:$B$5001,C$245,BD!$A$3:$A$5001,_xlfn.MAXIFS(BD!$A$3:$A$5001,BD!$B$3:$B$5001,C$245,BD!$A$3:$A$5001,"&gt;="&amp;$C$7,BD!$A$3:$A$5001,"&lt;="&amp;$B247,BD!$X$3:$X$5001,"&lt;&gt;"))))</f>
        <v/>
      </c>
      <c r="D247" s="54" t="str">
        <f>IF(OR($B247="",$A247&gt;$B$9,D$245=""),"",IF(COUNTIFS(BD!$B$3:$B$5001,D$245,BD!$A$3:$A$5001,"&gt;="&amp;$C$7,BD!$A$3:$A$5001,"&lt;="&amp;$B247,BD!$X$3:$X$5001,"&lt;&gt;")=0,"",SUMIFS(BD!$X$3:$X$5001,BD!$B$3:$B$5001,D$245,BD!$A$3:$A$5001,_xlfn.MAXIFS(BD!$A$3:$A$5001,BD!$B$3:$B$5001,D$245,BD!$A$3:$A$5001,"&gt;="&amp;$C$7,BD!$A$3:$A$5001,"&lt;="&amp;$B247,BD!$X$3:$X$5001,"&lt;&gt;"))))</f>
        <v/>
      </c>
      <c r="E247" s="54" t="str">
        <f>IF(OR($B247="",$A247&gt;$B$9,E$245=""),"",IF(COUNTIFS(BD!$B$3:$B$5001,E$245,BD!$A$3:$A$5001,"&gt;="&amp;$C$7,BD!$A$3:$A$5001,"&lt;="&amp;$B247,BD!$X$3:$X$5001,"&lt;&gt;")=0,"",SUMIFS(BD!$X$3:$X$5001,BD!$B$3:$B$5001,E$245,BD!$A$3:$A$5001,_xlfn.MAXIFS(BD!$A$3:$A$5001,BD!$B$3:$B$5001,E$245,BD!$A$3:$A$5001,"&gt;="&amp;$C$7,BD!$A$3:$A$5001,"&lt;="&amp;$B247,BD!$X$3:$X$5001,"&lt;&gt;"))))</f>
        <v/>
      </c>
      <c r="F247" s="54" t="str">
        <f>IF(OR($B247="",$A247&gt;$B$9,F$245=""),"",IF(COUNTIFS(BD!$B$3:$B$5001,F$245,BD!$A$3:$A$5001,"&gt;="&amp;$C$7,BD!$A$3:$A$5001,"&lt;="&amp;$B247,BD!$X$3:$X$5001,"&lt;&gt;")=0,"",SUMIFS(BD!$X$3:$X$5001,BD!$B$3:$B$5001,F$245,BD!$A$3:$A$5001,_xlfn.MAXIFS(BD!$A$3:$A$5001,BD!$B$3:$B$5001,F$245,BD!$A$3:$A$5001,"&gt;="&amp;$C$7,BD!$A$3:$A$5001,"&lt;="&amp;$B247,BD!$X$3:$X$5001,"&lt;&gt;"))))</f>
        <v/>
      </c>
      <c r="G247" s="54" t="str">
        <f>IF(OR($B247="",$A247&gt;$B$9,G$245=""),"",IF(COUNTIFS(BD!$B$3:$B$5001,G$245,BD!$A$3:$A$5001,"&gt;="&amp;$C$7,BD!$A$3:$A$5001,"&lt;="&amp;$B247,BD!$X$3:$X$5001,"&lt;&gt;")=0,"",SUMIFS(BD!$X$3:$X$5001,BD!$B$3:$B$5001,G$245,BD!$A$3:$A$5001,_xlfn.MAXIFS(BD!$A$3:$A$5001,BD!$B$3:$B$5001,G$245,BD!$A$3:$A$5001,"&gt;="&amp;$C$7,BD!$A$3:$A$5001,"&lt;="&amp;$B247,BD!$X$3:$X$5001,"&lt;&gt;"))))</f>
        <v/>
      </c>
      <c r="H247" s="54" t="str">
        <f>IF(OR($B247="",$A247&gt;$B$9,H$245=""),"",IF(COUNTIFS(BD!$B$3:$B$5001,H$245,BD!$A$3:$A$5001,"&gt;="&amp;$C$7,BD!$A$3:$A$5001,"&lt;="&amp;$B247,BD!$X$3:$X$5001,"&lt;&gt;")=0,"",SUMIFS(BD!$X$3:$X$5001,BD!$B$3:$B$5001,H$245,BD!$A$3:$A$5001,_xlfn.MAXIFS(BD!$A$3:$A$5001,BD!$B$3:$B$5001,H$245,BD!$A$3:$A$5001,"&gt;="&amp;$C$7,BD!$A$3:$A$5001,"&lt;="&amp;$B247,BD!$X$3:$X$5001,"&lt;&gt;"))))</f>
        <v/>
      </c>
      <c r="I247" s="54" t="str">
        <f>IF(OR($B247="",$A247&gt;$B$9,I$245=""),"",IF(COUNTIFS(BD!$B$3:$B$5001,I$245,BD!$A$3:$A$5001,"&gt;="&amp;$C$7,BD!$A$3:$A$5001,"&lt;="&amp;$B247,BD!$X$3:$X$5001,"&lt;&gt;")=0,"",SUMIFS(BD!$X$3:$X$5001,BD!$B$3:$B$5001,I$245,BD!$A$3:$A$5001,_xlfn.MAXIFS(BD!$A$3:$A$5001,BD!$B$3:$B$5001,I$245,BD!$A$3:$A$5001,"&gt;="&amp;$C$7,BD!$A$3:$A$5001,"&lt;="&amp;$B247,BD!$X$3:$X$5001,"&lt;&gt;"))))</f>
        <v/>
      </c>
      <c r="J247" s="54" t="str">
        <f>IF(OR($B247="",$A247&gt;$B$9,J$245=""),"",IF(COUNTIFS(BD!$B$3:$B$5001,J$245,BD!$A$3:$A$5001,"&gt;="&amp;$C$7,BD!$A$3:$A$5001,"&lt;="&amp;$B247,BD!$X$3:$X$5001,"&lt;&gt;")=0,"",SUMIFS(BD!$X$3:$X$5001,BD!$B$3:$B$5001,J$245,BD!$A$3:$A$5001,_xlfn.MAXIFS(BD!$A$3:$A$5001,BD!$B$3:$B$5001,J$245,BD!$A$3:$A$5001,"&gt;="&amp;$C$7,BD!$A$3:$A$5001,"&lt;="&amp;$B247,BD!$X$3:$X$5001,"&lt;&gt;"))))</f>
        <v/>
      </c>
      <c r="K247" s="54" t="str">
        <f>IF(OR($B247="",$A247&gt;$B$9,K$245=""),"",IF(COUNTIFS(BD!$B$3:$B$5001,K$245,BD!$A$3:$A$5001,"&gt;="&amp;$C$7,BD!$A$3:$A$5001,"&lt;="&amp;$B247,BD!$X$3:$X$5001,"&lt;&gt;")=0,"",SUMIFS(BD!$X$3:$X$5001,BD!$B$3:$B$5001,K$245,BD!$A$3:$A$5001,_xlfn.MAXIFS(BD!$A$3:$A$5001,BD!$B$3:$B$5001,K$245,BD!$A$3:$A$5001,"&gt;="&amp;$C$7,BD!$A$3:$A$5001,"&lt;="&amp;$B247,BD!$X$3:$X$5001,"&lt;&gt;"))))</f>
        <v/>
      </c>
      <c r="L247" s="54" t="str">
        <f>IF(OR($B247="",$A247&gt;$B$9,L$245=""),"",IF(COUNTIFS(BD!$B$3:$B$5001,L$245,BD!$A$3:$A$5001,"&gt;="&amp;$C$7,BD!$A$3:$A$5001,"&lt;="&amp;$B247,BD!$X$3:$X$5001,"&lt;&gt;")=0,"",SUMIFS(BD!$X$3:$X$5001,BD!$B$3:$B$5001,L$245,BD!$A$3:$A$5001,_xlfn.MAXIFS(BD!$A$3:$A$5001,BD!$B$3:$B$5001,L$245,BD!$A$3:$A$5001,"&gt;="&amp;$C$7,BD!$A$3:$A$5001,"&lt;="&amp;$B247,BD!$X$3:$X$5001,"&lt;&gt;"))))</f>
        <v/>
      </c>
      <c r="M247" s="54" t="str">
        <f>IF(OR($B247="",$A247&gt;$B$9,M$245=""),"",IF(COUNTIFS(BD!$B$3:$B$5001,M$245,BD!$A$3:$A$5001,"&gt;="&amp;$C$7,BD!$A$3:$A$5001,"&lt;="&amp;$B247,BD!$X$3:$X$5001,"&lt;&gt;")=0,"",SUMIFS(BD!$X$3:$X$5001,BD!$B$3:$B$5001,M$245,BD!$A$3:$A$5001,_xlfn.MAXIFS(BD!$A$3:$A$5001,BD!$B$3:$B$5001,M$245,BD!$A$3:$A$5001,"&gt;="&amp;$C$7,BD!$A$3:$A$5001,"&lt;="&amp;$B247,BD!$X$3:$X$5001,"&lt;&gt;"))))</f>
        <v/>
      </c>
      <c r="N247" s="54" t="str">
        <f>IF(OR($B247="",$A247&gt;$B$9,N$245=""),"",IF(COUNTIFS(BD!$B$3:$B$5001,N$245,BD!$A$3:$A$5001,"&gt;="&amp;$C$7,BD!$A$3:$A$5001,"&lt;="&amp;$B247,BD!$X$3:$X$5001,"&lt;&gt;")=0,"",SUMIFS(BD!$X$3:$X$5001,BD!$B$3:$B$5001,N$245,BD!$A$3:$A$5001,_xlfn.MAXIFS(BD!$A$3:$A$5001,BD!$B$3:$B$5001,N$245,BD!$A$3:$A$5001,"&gt;="&amp;$C$7,BD!$A$3:$A$5001,"&lt;="&amp;$B247,BD!$X$3:$X$5001,"&lt;&gt;"))))</f>
        <v/>
      </c>
      <c r="O247" s="54" t="str">
        <f>IF(OR($B247="",$A247&gt;$B$9,O$245=""),"",IF(COUNTIFS(BD!$B$3:$B$5001,O$245,BD!$A$3:$A$5001,"&gt;="&amp;$C$7,BD!$A$3:$A$5001,"&lt;="&amp;$B247,BD!$X$3:$X$5001,"&lt;&gt;")=0,"",SUMIFS(BD!$X$3:$X$5001,BD!$B$3:$B$5001,O$245,BD!$A$3:$A$5001,_xlfn.MAXIFS(BD!$A$3:$A$5001,BD!$B$3:$B$5001,O$245,BD!$A$3:$A$5001,"&gt;="&amp;$C$7,BD!$A$3:$A$5001,"&lt;="&amp;$B247,BD!$X$3:$X$5001,"&lt;&gt;"))))</f>
        <v/>
      </c>
      <c r="P247" s="54" t="str">
        <f>IF(OR($B247="",$A247&gt;$B$9,P$245=""),"",IF(COUNTIFS(BD!$B$3:$B$5001,P$245,BD!$A$3:$A$5001,"&gt;="&amp;$C$7,BD!$A$3:$A$5001,"&lt;="&amp;$B247,BD!$X$3:$X$5001,"&lt;&gt;")=0,"",SUMIFS(BD!$X$3:$X$5001,BD!$B$3:$B$5001,P$245,BD!$A$3:$A$5001,_xlfn.MAXIFS(BD!$A$3:$A$5001,BD!$B$3:$B$5001,P$245,BD!$A$3:$A$5001,"&gt;="&amp;$C$7,BD!$A$3:$A$5001,"&lt;="&amp;$B247,BD!$X$3:$X$5001,"&lt;&gt;"))))</f>
        <v/>
      </c>
      <c r="Q247" s="54" t="str">
        <f>IF(OR($B247="",$A247&gt;$B$9,Q$245=""),"",IF(COUNTIFS(BD!$B$3:$B$5001,Q$245,BD!$A$3:$A$5001,"&gt;="&amp;$C$7,BD!$A$3:$A$5001,"&lt;="&amp;$B247,BD!$X$3:$X$5001,"&lt;&gt;")=0,"",SUMIFS(BD!$X$3:$X$5001,BD!$B$3:$B$5001,Q$245,BD!$A$3:$A$5001,_xlfn.MAXIFS(BD!$A$3:$A$5001,BD!$B$3:$B$5001,Q$245,BD!$A$3:$A$5001,"&gt;="&amp;$C$7,BD!$A$3:$A$5001,"&lt;="&amp;$B247,BD!$X$3:$X$5001,"&lt;&gt;"))))</f>
        <v/>
      </c>
      <c r="R247" s="54" t="str">
        <f>IF(OR($B247="",$A247&gt;$B$9,R$245=""),"",IF(COUNTIFS(BD!$B$3:$B$5001,R$245,BD!$A$3:$A$5001,"&gt;="&amp;$C$7,BD!$A$3:$A$5001,"&lt;="&amp;$B247,BD!$X$3:$X$5001,"&lt;&gt;")=0,"",SUMIFS(BD!$X$3:$X$5001,BD!$B$3:$B$5001,R$245,BD!$A$3:$A$5001,_xlfn.MAXIFS(BD!$A$3:$A$5001,BD!$B$3:$B$5001,R$245,BD!$A$3:$A$5001,"&gt;="&amp;$C$7,BD!$A$3:$A$5001,"&lt;="&amp;$B247,BD!$X$3:$X$5001,"&lt;&gt;"))))</f>
        <v/>
      </c>
      <c r="S247" s="54" t="str">
        <f>IF(OR($B247="",$A247&gt;$B$9,S$245=""),"",IF(COUNTIFS(BD!$B$3:$B$5001,S$245,BD!$A$3:$A$5001,"&gt;="&amp;$C$7,BD!$A$3:$A$5001,"&lt;="&amp;$B247,BD!$X$3:$X$5001,"&lt;&gt;")=0,"",SUMIFS(BD!$X$3:$X$5001,BD!$B$3:$B$5001,S$245,BD!$A$3:$A$5001,_xlfn.MAXIFS(BD!$A$3:$A$5001,BD!$B$3:$B$5001,S$245,BD!$A$3:$A$5001,"&gt;="&amp;$C$7,BD!$A$3:$A$5001,"&lt;="&amp;$B247,BD!$X$3:$X$5001,"&lt;&gt;"))))</f>
        <v/>
      </c>
      <c r="T247" s="54" t="str">
        <f>IF(OR($B247="",$A247&gt;$B$9,T$245=""),"",IF(COUNTIFS(BD!$B$3:$B$5001,T$245,BD!$A$3:$A$5001,"&gt;="&amp;$C$7,BD!$A$3:$A$5001,"&lt;="&amp;$B247,BD!$X$3:$X$5001,"&lt;&gt;")=0,"",SUMIFS(BD!$X$3:$X$5001,BD!$B$3:$B$5001,T$245,BD!$A$3:$A$5001,_xlfn.MAXIFS(BD!$A$3:$A$5001,BD!$B$3:$B$5001,T$245,BD!$A$3:$A$5001,"&gt;="&amp;$C$7,BD!$A$3:$A$5001,"&lt;="&amp;$B247,BD!$X$3:$X$5001,"&lt;&gt;"))))</f>
        <v/>
      </c>
      <c r="U247" s="54" t="str">
        <f>IF(OR($B247="",$A247&gt;$B$9,U$245=""),"",IF(COUNTIFS(BD!$B$3:$B$5001,U$245,BD!$A$3:$A$5001,"&gt;="&amp;$C$7,BD!$A$3:$A$5001,"&lt;="&amp;$B247,BD!$X$3:$X$5001,"&lt;&gt;")=0,"",SUMIFS(BD!$X$3:$X$5001,BD!$B$3:$B$5001,U$245,BD!$A$3:$A$5001,_xlfn.MAXIFS(BD!$A$3:$A$5001,BD!$B$3:$B$5001,U$245,BD!$A$3:$A$5001,"&gt;="&amp;$C$7,BD!$A$3:$A$5001,"&lt;="&amp;$B247,BD!$X$3:$X$5001,"&lt;&gt;"))))</f>
        <v/>
      </c>
      <c r="V247" s="54" t="str">
        <f>IF(OR($B247="",$A247&gt;$B$9,V$245=""),"",IF(COUNTIFS(BD!$B$3:$B$5001,V$245,BD!$A$3:$A$5001,"&gt;="&amp;$C$7,BD!$A$3:$A$5001,"&lt;="&amp;$B247,BD!$X$3:$X$5001,"&lt;&gt;")=0,"",SUMIFS(BD!$X$3:$X$5001,BD!$B$3:$B$5001,V$245,BD!$A$3:$A$5001,_xlfn.MAXIFS(BD!$A$3:$A$5001,BD!$B$3:$B$5001,V$245,BD!$A$3:$A$5001,"&gt;="&amp;$C$7,BD!$A$3:$A$5001,"&lt;="&amp;$B247,BD!$X$3:$X$5001,"&lt;&gt;"))))</f>
        <v/>
      </c>
    </row>
    <row r="248">
      <c r="A248" s="48">
        <v>3</v>
      </c>
      <c r="B248" s="53">
        <f>$B$14</f>
        <v>46298</v>
      </c>
      <c r="C248" s="54" t="str">
        <f>IF(OR($B248="",$A248&gt;$B$9,C$245=""),"",IF(COUNTIFS(BD!$B$3:$B$5001,C$245,BD!$A$3:$A$5001,"&gt;="&amp;$C$7,BD!$A$3:$A$5001,"&lt;="&amp;$B248,BD!$X$3:$X$5001,"&lt;&gt;")=0,"",SUMIFS(BD!$X$3:$X$5001,BD!$B$3:$B$5001,C$245,BD!$A$3:$A$5001,_xlfn.MAXIFS(BD!$A$3:$A$5001,BD!$B$3:$B$5001,C$245,BD!$A$3:$A$5001,"&gt;="&amp;$C$7,BD!$A$3:$A$5001,"&lt;="&amp;$B248,BD!$X$3:$X$5001,"&lt;&gt;"))))</f>
        <v/>
      </c>
      <c r="D248" s="54" t="str">
        <f>IF(OR($B248="",$A248&gt;$B$9,D$245=""),"",IF(COUNTIFS(BD!$B$3:$B$5001,D$245,BD!$A$3:$A$5001,"&gt;="&amp;$C$7,BD!$A$3:$A$5001,"&lt;="&amp;$B248,BD!$X$3:$X$5001,"&lt;&gt;")=0,"",SUMIFS(BD!$X$3:$X$5001,BD!$B$3:$B$5001,D$245,BD!$A$3:$A$5001,_xlfn.MAXIFS(BD!$A$3:$A$5001,BD!$B$3:$B$5001,D$245,BD!$A$3:$A$5001,"&gt;="&amp;$C$7,BD!$A$3:$A$5001,"&lt;="&amp;$B248,BD!$X$3:$X$5001,"&lt;&gt;"))))</f>
        <v/>
      </c>
      <c r="E248" s="54" t="str">
        <f>IF(OR($B248="",$A248&gt;$B$9,E$245=""),"",IF(COUNTIFS(BD!$B$3:$B$5001,E$245,BD!$A$3:$A$5001,"&gt;="&amp;$C$7,BD!$A$3:$A$5001,"&lt;="&amp;$B248,BD!$X$3:$X$5001,"&lt;&gt;")=0,"",SUMIFS(BD!$X$3:$X$5001,BD!$B$3:$B$5001,E$245,BD!$A$3:$A$5001,_xlfn.MAXIFS(BD!$A$3:$A$5001,BD!$B$3:$B$5001,E$245,BD!$A$3:$A$5001,"&gt;="&amp;$C$7,BD!$A$3:$A$5001,"&lt;="&amp;$B248,BD!$X$3:$X$5001,"&lt;&gt;"))))</f>
        <v/>
      </c>
      <c r="F248" s="54" t="str">
        <f>IF(OR($B248="",$A248&gt;$B$9,F$245=""),"",IF(COUNTIFS(BD!$B$3:$B$5001,F$245,BD!$A$3:$A$5001,"&gt;="&amp;$C$7,BD!$A$3:$A$5001,"&lt;="&amp;$B248,BD!$X$3:$X$5001,"&lt;&gt;")=0,"",SUMIFS(BD!$X$3:$X$5001,BD!$B$3:$B$5001,F$245,BD!$A$3:$A$5001,_xlfn.MAXIFS(BD!$A$3:$A$5001,BD!$B$3:$B$5001,F$245,BD!$A$3:$A$5001,"&gt;="&amp;$C$7,BD!$A$3:$A$5001,"&lt;="&amp;$B248,BD!$X$3:$X$5001,"&lt;&gt;"))))</f>
        <v/>
      </c>
      <c r="G248" s="54" t="str">
        <f>IF(OR($B248="",$A248&gt;$B$9,G$245=""),"",IF(COUNTIFS(BD!$B$3:$B$5001,G$245,BD!$A$3:$A$5001,"&gt;="&amp;$C$7,BD!$A$3:$A$5001,"&lt;="&amp;$B248,BD!$X$3:$X$5001,"&lt;&gt;")=0,"",SUMIFS(BD!$X$3:$X$5001,BD!$B$3:$B$5001,G$245,BD!$A$3:$A$5001,_xlfn.MAXIFS(BD!$A$3:$A$5001,BD!$B$3:$B$5001,G$245,BD!$A$3:$A$5001,"&gt;="&amp;$C$7,BD!$A$3:$A$5001,"&lt;="&amp;$B248,BD!$X$3:$X$5001,"&lt;&gt;"))))</f>
        <v/>
      </c>
      <c r="H248" s="54" t="str">
        <f>IF(OR($B248="",$A248&gt;$B$9,H$245=""),"",IF(COUNTIFS(BD!$B$3:$B$5001,H$245,BD!$A$3:$A$5001,"&gt;="&amp;$C$7,BD!$A$3:$A$5001,"&lt;="&amp;$B248,BD!$X$3:$X$5001,"&lt;&gt;")=0,"",SUMIFS(BD!$X$3:$X$5001,BD!$B$3:$B$5001,H$245,BD!$A$3:$A$5001,_xlfn.MAXIFS(BD!$A$3:$A$5001,BD!$B$3:$B$5001,H$245,BD!$A$3:$A$5001,"&gt;="&amp;$C$7,BD!$A$3:$A$5001,"&lt;="&amp;$B248,BD!$X$3:$X$5001,"&lt;&gt;"))))</f>
        <v/>
      </c>
      <c r="I248" s="54" t="str">
        <f>IF(OR($B248="",$A248&gt;$B$9,I$245=""),"",IF(COUNTIFS(BD!$B$3:$B$5001,I$245,BD!$A$3:$A$5001,"&gt;="&amp;$C$7,BD!$A$3:$A$5001,"&lt;="&amp;$B248,BD!$X$3:$X$5001,"&lt;&gt;")=0,"",SUMIFS(BD!$X$3:$X$5001,BD!$B$3:$B$5001,I$245,BD!$A$3:$A$5001,_xlfn.MAXIFS(BD!$A$3:$A$5001,BD!$B$3:$B$5001,I$245,BD!$A$3:$A$5001,"&gt;="&amp;$C$7,BD!$A$3:$A$5001,"&lt;="&amp;$B248,BD!$X$3:$X$5001,"&lt;&gt;"))))</f>
        <v/>
      </c>
      <c r="J248" s="54" t="str">
        <f>IF(OR($B248="",$A248&gt;$B$9,J$245=""),"",IF(COUNTIFS(BD!$B$3:$B$5001,J$245,BD!$A$3:$A$5001,"&gt;="&amp;$C$7,BD!$A$3:$A$5001,"&lt;="&amp;$B248,BD!$X$3:$X$5001,"&lt;&gt;")=0,"",SUMIFS(BD!$X$3:$X$5001,BD!$B$3:$B$5001,J$245,BD!$A$3:$A$5001,_xlfn.MAXIFS(BD!$A$3:$A$5001,BD!$B$3:$B$5001,J$245,BD!$A$3:$A$5001,"&gt;="&amp;$C$7,BD!$A$3:$A$5001,"&lt;="&amp;$B248,BD!$X$3:$X$5001,"&lt;&gt;"))))</f>
        <v/>
      </c>
      <c r="K248" s="54" t="str">
        <f>IF(OR($B248="",$A248&gt;$B$9,K$245=""),"",IF(COUNTIFS(BD!$B$3:$B$5001,K$245,BD!$A$3:$A$5001,"&gt;="&amp;$C$7,BD!$A$3:$A$5001,"&lt;="&amp;$B248,BD!$X$3:$X$5001,"&lt;&gt;")=0,"",SUMIFS(BD!$X$3:$X$5001,BD!$B$3:$B$5001,K$245,BD!$A$3:$A$5001,_xlfn.MAXIFS(BD!$A$3:$A$5001,BD!$B$3:$B$5001,K$245,BD!$A$3:$A$5001,"&gt;="&amp;$C$7,BD!$A$3:$A$5001,"&lt;="&amp;$B248,BD!$X$3:$X$5001,"&lt;&gt;"))))</f>
        <v/>
      </c>
      <c r="L248" s="54" t="str">
        <f>IF(OR($B248="",$A248&gt;$B$9,L$245=""),"",IF(COUNTIFS(BD!$B$3:$B$5001,L$245,BD!$A$3:$A$5001,"&gt;="&amp;$C$7,BD!$A$3:$A$5001,"&lt;="&amp;$B248,BD!$X$3:$X$5001,"&lt;&gt;")=0,"",SUMIFS(BD!$X$3:$X$5001,BD!$B$3:$B$5001,L$245,BD!$A$3:$A$5001,_xlfn.MAXIFS(BD!$A$3:$A$5001,BD!$B$3:$B$5001,L$245,BD!$A$3:$A$5001,"&gt;="&amp;$C$7,BD!$A$3:$A$5001,"&lt;="&amp;$B248,BD!$X$3:$X$5001,"&lt;&gt;"))))</f>
        <v/>
      </c>
      <c r="M248" s="54" t="str">
        <f>IF(OR($B248="",$A248&gt;$B$9,M$245=""),"",IF(COUNTIFS(BD!$B$3:$B$5001,M$245,BD!$A$3:$A$5001,"&gt;="&amp;$C$7,BD!$A$3:$A$5001,"&lt;="&amp;$B248,BD!$X$3:$X$5001,"&lt;&gt;")=0,"",SUMIFS(BD!$X$3:$X$5001,BD!$B$3:$B$5001,M$245,BD!$A$3:$A$5001,_xlfn.MAXIFS(BD!$A$3:$A$5001,BD!$B$3:$B$5001,M$245,BD!$A$3:$A$5001,"&gt;="&amp;$C$7,BD!$A$3:$A$5001,"&lt;="&amp;$B248,BD!$X$3:$X$5001,"&lt;&gt;"))))</f>
        <v/>
      </c>
      <c r="N248" s="54" t="str">
        <f>IF(OR($B248="",$A248&gt;$B$9,N$245=""),"",IF(COUNTIFS(BD!$B$3:$B$5001,N$245,BD!$A$3:$A$5001,"&gt;="&amp;$C$7,BD!$A$3:$A$5001,"&lt;="&amp;$B248,BD!$X$3:$X$5001,"&lt;&gt;")=0,"",SUMIFS(BD!$X$3:$X$5001,BD!$B$3:$B$5001,N$245,BD!$A$3:$A$5001,_xlfn.MAXIFS(BD!$A$3:$A$5001,BD!$B$3:$B$5001,N$245,BD!$A$3:$A$5001,"&gt;="&amp;$C$7,BD!$A$3:$A$5001,"&lt;="&amp;$B248,BD!$X$3:$X$5001,"&lt;&gt;"))))</f>
        <v/>
      </c>
      <c r="O248" s="54" t="str">
        <f>IF(OR($B248="",$A248&gt;$B$9,O$245=""),"",IF(COUNTIFS(BD!$B$3:$B$5001,O$245,BD!$A$3:$A$5001,"&gt;="&amp;$C$7,BD!$A$3:$A$5001,"&lt;="&amp;$B248,BD!$X$3:$X$5001,"&lt;&gt;")=0,"",SUMIFS(BD!$X$3:$X$5001,BD!$B$3:$B$5001,O$245,BD!$A$3:$A$5001,_xlfn.MAXIFS(BD!$A$3:$A$5001,BD!$B$3:$B$5001,O$245,BD!$A$3:$A$5001,"&gt;="&amp;$C$7,BD!$A$3:$A$5001,"&lt;="&amp;$B248,BD!$X$3:$X$5001,"&lt;&gt;"))))</f>
        <v/>
      </c>
      <c r="P248" s="54" t="str">
        <f>IF(OR($B248="",$A248&gt;$B$9,P$245=""),"",IF(COUNTIFS(BD!$B$3:$B$5001,P$245,BD!$A$3:$A$5001,"&gt;="&amp;$C$7,BD!$A$3:$A$5001,"&lt;="&amp;$B248,BD!$X$3:$X$5001,"&lt;&gt;")=0,"",SUMIFS(BD!$X$3:$X$5001,BD!$B$3:$B$5001,P$245,BD!$A$3:$A$5001,_xlfn.MAXIFS(BD!$A$3:$A$5001,BD!$B$3:$B$5001,P$245,BD!$A$3:$A$5001,"&gt;="&amp;$C$7,BD!$A$3:$A$5001,"&lt;="&amp;$B248,BD!$X$3:$X$5001,"&lt;&gt;"))))</f>
        <v/>
      </c>
      <c r="Q248" s="54" t="str">
        <f>IF(OR($B248="",$A248&gt;$B$9,Q$245=""),"",IF(COUNTIFS(BD!$B$3:$B$5001,Q$245,BD!$A$3:$A$5001,"&gt;="&amp;$C$7,BD!$A$3:$A$5001,"&lt;="&amp;$B248,BD!$X$3:$X$5001,"&lt;&gt;")=0,"",SUMIFS(BD!$X$3:$X$5001,BD!$B$3:$B$5001,Q$245,BD!$A$3:$A$5001,_xlfn.MAXIFS(BD!$A$3:$A$5001,BD!$B$3:$B$5001,Q$245,BD!$A$3:$A$5001,"&gt;="&amp;$C$7,BD!$A$3:$A$5001,"&lt;="&amp;$B248,BD!$X$3:$X$5001,"&lt;&gt;"))))</f>
        <v/>
      </c>
      <c r="R248" s="54" t="str">
        <f>IF(OR($B248="",$A248&gt;$B$9,R$245=""),"",IF(COUNTIFS(BD!$B$3:$B$5001,R$245,BD!$A$3:$A$5001,"&gt;="&amp;$C$7,BD!$A$3:$A$5001,"&lt;="&amp;$B248,BD!$X$3:$X$5001,"&lt;&gt;")=0,"",SUMIFS(BD!$X$3:$X$5001,BD!$B$3:$B$5001,R$245,BD!$A$3:$A$5001,_xlfn.MAXIFS(BD!$A$3:$A$5001,BD!$B$3:$B$5001,R$245,BD!$A$3:$A$5001,"&gt;="&amp;$C$7,BD!$A$3:$A$5001,"&lt;="&amp;$B248,BD!$X$3:$X$5001,"&lt;&gt;"))))</f>
        <v/>
      </c>
      <c r="S248" s="54" t="str">
        <f>IF(OR($B248="",$A248&gt;$B$9,S$245=""),"",IF(COUNTIFS(BD!$B$3:$B$5001,S$245,BD!$A$3:$A$5001,"&gt;="&amp;$C$7,BD!$A$3:$A$5001,"&lt;="&amp;$B248,BD!$X$3:$X$5001,"&lt;&gt;")=0,"",SUMIFS(BD!$X$3:$X$5001,BD!$B$3:$B$5001,S$245,BD!$A$3:$A$5001,_xlfn.MAXIFS(BD!$A$3:$A$5001,BD!$B$3:$B$5001,S$245,BD!$A$3:$A$5001,"&gt;="&amp;$C$7,BD!$A$3:$A$5001,"&lt;="&amp;$B248,BD!$X$3:$X$5001,"&lt;&gt;"))))</f>
        <v/>
      </c>
      <c r="T248" s="54" t="str">
        <f>IF(OR($B248="",$A248&gt;$B$9,T$245=""),"",IF(COUNTIFS(BD!$B$3:$B$5001,T$245,BD!$A$3:$A$5001,"&gt;="&amp;$C$7,BD!$A$3:$A$5001,"&lt;="&amp;$B248,BD!$X$3:$X$5001,"&lt;&gt;")=0,"",SUMIFS(BD!$X$3:$X$5001,BD!$B$3:$B$5001,T$245,BD!$A$3:$A$5001,_xlfn.MAXIFS(BD!$A$3:$A$5001,BD!$B$3:$B$5001,T$245,BD!$A$3:$A$5001,"&gt;="&amp;$C$7,BD!$A$3:$A$5001,"&lt;="&amp;$B248,BD!$X$3:$X$5001,"&lt;&gt;"))))</f>
        <v/>
      </c>
      <c r="U248" s="54" t="str">
        <f>IF(OR($B248="",$A248&gt;$B$9,U$245=""),"",IF(COUNTIFS(BD!$B$3:$B$5001,U$245,BD!$A$3:$A$5001,"&gt;="&amp;$C$7,BD!$A$3:$A$5001,"&lt;="&amp;$B248,BD!$X$3:$X$5001,"&lt;&gt;")=0,"",SUMIFS(BD!$X$3:$X$5001,BD!$B$3:$B$5001,U$245,BD!$A$3:$A$5001,_xlfn.MAXIFS(BD!$A$3:$A$5001,BD!$B$3:$B$5001,U$245,BD!$A$3:$A$5001,"&gt;="&amp;$C$7,BD!$A$3:$A$5001,"&lt;="&amp;$B248,BD!$X$3:$X$5001,"&lt;&gt;"))))</f>
        <v/>
      </c>
      <c r="V248" s="54" t="str">
        <f>IF(OR($B248="",$A248&gt;$B$9,V$245=""),"",IF(COUNTIFS(BD!$B$3:$B$5001,V$245,BD!$A$3:$A$5001,"&gt;="&amp;$C$7,BD!$A$3:$A$5001,"&lt;="&amp;$B248,BD!$X$3:$X$5001,"&lt;&gt;")=0,"",SUMIFS(BD!$X$3:$X$5001,BD!$B$3:$B$5001,V$245,BD!$A$3:$A$5001,_xlfn.MAXIFS(BD!$A$3:$A$5001,BD!$B$3:$B$5001,V$245,BD!$A$3:$A$5001,"&gt;="&amp;$C$7,BD!$A$3:$A$5001,"&lt;="&amp;$B248,BD!$X$3:$X$5001,"&lt;&gt;"))))</f>
        <v/>
      </c>
    </row>
    <row r="249">
      <c r="A249" s="48">
        <v>4</v>
      </c>
      <c r="B249" s="53">
        <f>$B$15</f>
        <v>46299</v>
      </c>
      <c r="C249" s="54" t="str">
        <f>IF(OR($B249="",$A249&gt;$B$9,C$245=""),"",IF(COUNTIFS(BD!$B$3:$B$5001,C$245,BD!$A$3:$A$5001,"&gt;="&amp;$C$7,BD!$A$3:$A$5001,"&lt;="&amp;$B249,BD!$X$3:$X$5001,"&lt;&gt;")=0,"",SUMIFS(BD!$X$3:$X$5001,BD!$B$3:$B$5001,C$245,BD!$A$3:$A$5001,_xlfn.MAXIFS(BD!$A$3:$A$5001,BD!$B$3:$B$5001,C$245,BD!$A$3:$A$5001,"&gt;="&amp;$C$7,BD!$A$3:$A$5001,"&lt;="&amp;$B249,BD!$X$3:$X$5001,"&lt;&gt;"))))</f>
        <v/>
      </c>
      <c r="D249" s="54" t="str">
        <f>IF(OR($B249="",$A249&gt;$B$9,D$245=""),"",IF(COUNTIFS(BD!$B$3:$B$5001,D$245,BD!$A$3:$A$5001,"&gt;="&amp;$C$7,BD!$A$3:$A$5001,"&lt;="&amp;$B249,BD!$X$3:$X$5001,"&lt;&gt;")=0,"",SUMIFS(BD!$X$3:$X$5001,BD!$B$3:$B$5001,D$245,BD!$A$3:$A$5001,_xlfn.MAXIFS(BD!$A$3:$A$5001,BD!$B$3:$B$5001,D$245,BD!$A$3:$A$5001,"&gt;="&amp;$C$7,BD!$A$3:$A$5001,"&lt;="&amp;$B249,BD!$X$3:$X$5001,"&lt;&gt;"))))</f>
        <v/>
      </c>
      <c r="E249" s="54" t="str">
        <f>IF(OR($B249="",$A249&gt;$B$9,E$245=""),"",IF(COUNTIFS(BD!$B$3:$B$5001,E$245,BD!$A$3:$A$5001,"&gt;="&amp;$C$7,BD!$A$3:$A$5001,"&lt;="&amp;$B249,BD!$X$3:$X$5001,"&lt;&gt;")=0,"",SUMIFS(BD!$X$3:$X$5001,BD!$B$3:$B$5001,E$245,BD!$A$3:$A$5001,_xlfn.MAXIFS(BD!$A$3:$A$5001,BD!$B$3:$B$5001,E$245,BD!$A$3:$A$5001,"&gt;="&amp;$C$7,BD!$A$3:$A$5001,"&lt;="&amp;$B249,BD!$X$3:$X$5001,"&lt;&gt;"))))</f>
        <v/>
      </c>
      <c r="F249" s="54" t="str">
        <f>IF(OR($B249="",$A249&gt;$B$9,F$245=""),"",IF(COUNTIFS(BD!$B$3:$B$5001,F$245,BD!$A$3:$A$5001,"&gt;="&amp;$C$7,BD!$A$3:$A$5001,"&lt;="&amp;$B249,BD!$X$3:$X$5001,"&lt;&gt;")=0,"",SUMIFS(BD!$X$3:$X$5001,BD!$B$3:$B$5001,F$245,BD!$A$3:$A$5001,_xlfn.MAXIFS(BD!$A$3:$A$5001,BD!$B$3:$B$5001,F$245,BD!$A$3:$A$5001,"&gt;="&amp;$C$7,BD!$A$3:$A$5001,"&lt;="&amp;$B249,BD!$X$3:$X$5001,"&lt;&gt;"))))</f>
        <v/>
      </c>
      <c r="G249" s="54" t="str">
        <f>IF(OR($B249="",$A249&gt;$B$9,G$245=""),"",IF(COUNTIFS(BD!$B$3:$B$5001,G$245,BD!$A$3:$A$5001,"&gt;="&amp;$C$7,BD!$A$3:$A$5001,"&lt;="&amp;$B249,BD!$X$3:$X$5001,"&lt;&gt;")=0,"",SUMIFS(BD!$X$3:$X$5001,BD!$B$3:$B$5001,G$245,BD!$A$3:$A$5001,_xlfn.MAXIFS(BD!$A$3:$A$5001,BD!$B$3:$B$5001,G$245,BD!$A$3:$A$5001,"&gt;="&amp;$C$7,BD!$A$3:$A$5001,"&lt;="&amp;$B249,BD!$X$3:$X$5001,"&lt;&gt;"))))</f>
        <v/>
      </c>
      <c r="H249" s="54" t="str">
        <f>IF(OR($B249="",$A249&gt;$B$9,H$245=""),"",IF(COUNTIFS(BD!$B$3:$B$5001,H$245,BD!$A$3:$A$5001,"&gt;="&amp;$C$7,BD!$A$3:$A$5001,"&lt;="&amp;$B249,BD!$X$3:$X$5001,"&lt;&gt;")=0,"",SUMIFS(BD!$X$3:$X$5001,BD!$B$3:$B$5001,H$245,BD!$A$3:$A$5001,_xlfn.MAXIFS(BD!$A$3:$A$5001,BD!$B$3:$B$5001,H$245,BD!$A$3:$A$5001,"&gt;="&amp;$C$7,BD!$A$3:$A$5001,"&lt;="&amp;$B249,BD!$X$3:$X$5001,"&lt;&gt;"))))</f>
        <v/>
      </c>
      <c r="I249" s="54" t="str">
        <f>IF(OR($B249="",$A249&gt;$B$9,I$245=""),"",IF(COUNTIFS(BD!$B$3:$B$5001,I$245,BD!$A$3:$A$5001,"&gt;="&amp;$C$7,BD!$A$3:$A$5001,"&lt;="&amp;$B249,BD!$X$3:$X$5001,"&lt;&gt;")=0,"",SUMIFS(BD!$X$3:$X$5001,BD!$B$3:$B$5001,I$245,BD!$A$3:$A$5001,_xlfn.MAXIFS(BD!$A$3:$A$5001,BD!$B$3:$B$5001,I$245,BD!$A$3:$A$5001,"&gt;="&amp;$C$7,BD!$A$3:$A$5001,"&lt;="&amp;$B249,BD!$X$3:$X$5001,"&lt;&gt;"))))</f>
        <v/>
      </c>
      <c r="J249" s="54" t="str">
        <f>IF(OR($B249="",$A249&gt;$B$9,J$245=""),"",IF(COUNTIFS(BD!$B$3:$B$5001,J$245,BD!$A$3:$A$5001,"&gt;="&amp;$C$7,BD!$A$3:$A$5001,"&lt;="&amp;$B249,BD!$X$3:$X$5001,"&lt;&gt;")=0,"",SUMIFS(BD!$X$3:$X$5001,BD!$B$3:$B$5001,J$245,BD!$A$3:$A$5001,_xlfn.MAXIFS(BD!$A$3:$A$5001,BD!$B$3:$B$5001,J$245,BD!$A$3:$A$5001,"&gt;="&amp;$C$7,BD!$A$3:$A$5001,"&lt;="&amp;$B249,BD!$X$3:$X$5001,"&lt;&gt;"))))</f>
        <v/>
      </c>
      <c r="K249" s="54" t="str">
        <f>IF(OR($B249="",$A249&gt;$B$9,K$245=""),"",IF(COUNTIFS(BD!$B$3:$B$5001,K$245,BD!$A$3:$A$5001,"&gt;="&amp;$C$7,BD!$A$3:$A$5001,"&lt;="&amp;$B249,BD!$X$3:$X$5001,"&lt;&gt;")=0,"",SUMIFS(BD!$X$3:$X$5001,BD!$B$3:$B$5001,K$245,BD!$A$3:$A$5001,_xlfn.MAXIFS(BD!$A$3:$A$5001,BD!$B$3:$B$5001,K$245,BD!$A$3:$A$5001,"&gt;="&amp;$C$7,BD!$A$3:$A$5001,"&lt;="&amp;$B249,BD!$X$3:$X$5001,"&lt;&gt;"))))</f>
        <v/>
      </c>
      <c r="L249" s="54" t="str">
        <f>IF(OR($B249="",$A249&gt;$B$9,L$245=""),"",IF(COUNTIFS(BD!$B$3:$B$5001,L$245,BD!$A$3:$A$5001,"&gt;="&amp;$C$7,BD!$A$3:$A$5001,"&lt;="&amp;$B249,BD!$X$3:$X$5001,"&lt;&gt;")=0,"",SUMIFS(BD!$X$3:$X$5001,BD!$B$3:$B$5001,L$245,BD!$A$3:$A$5001,_xlfn.MAXIFS(BD!$A$3:$A$5001,BD!$B$3:$B$5001,L$245,BD!$A$3:$A$5001,"&gt;="&amp;$C$7,BD!$A$3:$A$5001,"&lt;="&amp;$B249,BD!$X$3:$X$5001,"&lt;&gt;"))))</f>
        <v/>
      </c>
      <c r="M249" s="54" t="str">
        <f>IF(OR($B249="",$A249&gt;$B$9,M$245=""),"",IF(COUNTIFS(BD!$B$3:$B$5001,M$245,BD!$A$3:$A$5001,"&gt;="&amp;$C$7,BD!$A$3:$A$5001,"&lt;="&amp;$B249,BD!$X$3:$X$5001,"&lt;&gt;")=0,"",SUMIFS(BD!$X$3:$X$5001,BD!$B$3:$B$5001,M$245,BD!$A$3:$A$5001,_xlfn.MAXIFS(BD!$A$3:$A$5001,BD!$B$3:$B$5001,M$245,BD!$A$3:$A$5001,"&gt;="&amp;$C$7,BD!$A$3:$A$5001,"&lt;="&amp;$B249,BD!$X$3:$X$5001,"&lt;&gt;"))))</f>
        <v/>
      </c>
      <c r="N249" s="54" t="str">
        <f>IF(OR($B249="",$A249&gt;$B$9,N$245=""),"",IF(COUNTIFS(BD!$B$3:$B$5001,N$245,BD!$A$3:$A$5001,"&gt;="&amp;$C$7,BD!$A$3:$A$5001,"&lt;="&amp;$B249,BD!$X$3:$X$5001,"&lt;&gt;")=0,"",SUMIFS(BD!$X$3:$X$5001,BD!$B$3:$B$5001,N$245,BD!$A$3:$A$5001,_xlfn.MAXIFS(BD!$A$3:$A$5001,BD!$B$3:$B$5001,N$245,BD!$A$3:$A$5001,"&gt;="&amp;$C$7,BD!$A$3:$A$5001,"&lt;="&amp;$B249,BD!$X$3:$X$5001,"&lt;&gt;"))))</f>
        <v/>
      </c>
      <c r="O249" s="54" t="str">
        <f>IF(OR($B249="",$A249&gt;$B$9,O$245=""),"",IF(COUNTIFS(BD!$B$3:$B$5001,O$245,BD!$A$3:$A$5001,"&gt;="&amp;$C$7,BD!$A$3:$A$5001,"&lt;="&amp;$B249,BD!$X$3:$X$5001,"&lt;&gt;")=0,"",SUMIFS(BD!$X$3:$X$5001,BD!$B$3:$B$5001,O$245,BD!$A$3:$A$5001,_xlfn.MAXIFS(BD!$A$3:$A$5001,BD!$B$3:$B$5001,O$245,BD!$A$3:$A$5001,"&gt;="&amp;$C$7,BD!$A$3:$A$5001,"&lt;="&amp;$B249,BD!$X$3:$X$5001,"&lt;&gt;"))))</f>
        <v/>
      </c>
      <c r="P249" s="54" t="str">
        <f>IF(OR($B249="",$A249&gt;$B$9,P$245=""),"",IF(COUNTIFS(BD!$B$3:$B$5001,P$245,BD!$A$3:$A$5001,"&gt;="&amp;$C$7,BD!$A$3:$A$5001,"&lt;="&amp;$B249,BD!$X$3:$X$5001,"&lt;&gt;")=0,"",SUMIFS(BD!$X$3:$X$5001,BD!$B$3:$B$5001,P$245,BD!$A$3:$A$5001,_xlfn.MAXIFS(BD!$A$3:$A$5001,BD!$B$3:$B$5001,P$245,BD!$A$3:$A$5001,"&gt;="&amp;$C$7,BD!$A$3:$A$5001,"&lt;="&amp;$B249,BD!$X$3:$X$5001,"&lt;&gt;"))))</f>
        <v/>
      </c>
      <c r="Q249" s="54" t="str">
        <f>IF(OR($B249="",$A249&gt;$B$9,Q$245=""),"",IF(COUNTIFS(BD!$B$3:$B$5001,Q$245,BD!$A$3:$A$5001,"&gt;="&amp;$C$7,BD!$A$3:$A$5001,"&lt;="&amp;$B249,BD!$X$3:$X$5001,"&lt;&gt;")=0,"",SUMIFS(BD!$X$3:$X$5001,BD!$B$3:$B$5001,Q$245,BD!$A$3:$A$5001,_xlfn.MAXIFS(BD!$A$3:$A$5001,BD!$B$3:$B$5001,Q$245,BD!$A$3:$A$5001,"&gt;="&amp;$C$7,BD!$A$3:$A$5001,"&lt;="&amp;$B249,BD!$X$3:$X$5001,"&lt;&gt;"))))</f>
        <v/>
      </c>
      <c r="R249" s="54" t="str">
        <f>IF(OR($B249="",$A249&gt;$B$9,R$245=""),"",IF(COUNTIFS(BD!$B$3:$B$5001,R$245,BD!$A$3:$A$5001,"&gt;="&amp;$C$7,BD!$A$3:$A$5001,"&lt;="&amp;$B249,BD!$X$3:$X$5001,"&lt;&gt;")=0,"",SUMIFS(BD!$X$3:$X$5001,BD!$B$3:$B$5001,R$245,BD!$A$3:$A$5001,_xlfn.MAXIFS(BD!$A$3:$A$5001,BD!$B$3:$B$5001,R$245,BD!$A$3:$A$5001,"&gt;="&amp;$C$7,BD!$A$3:$A$5001,"&lt;="&amp;$B249,BD!$X$3:$X$5001,"&lt;&gt;"))))</f>
        <v/>
      </c>
      <c r="S249" s="54" t="str">
        <f>IF(OR($B249="",$A249&gt;$B$9,S$245=""),"",IF(COUNTIFS(BD!$B$3:$B$5001,S$245,BD!$A$3:$A$5001,"&gt;="&amp;$C$7,BD!$A$3:$A$5001,"&lt;="&amp;$B249,BD!$X$3:$X$5001,"&lt;&gt;")=0,"",SUMIFS(BD!$X$3:$X$5001,BD!$B$3:$B$5001,S$245,BD!$A$3:$A$5001,_xlfn.MAXIFS(BD!$A$3:$A$5001,BD!$B$3:$B$5001,S$245,BD!$A$3:$A$5001,"&gt;="&amp;$C$7,BD!$A$3:$A$5001,"&lt;="&amp;$B249,BD!$X$3:$X$5001,"&lt;&gt;"))))</f>
        <v/>
      </c>
      <c r="T249" s="54" t="str">
        <f>IF(OR($B249="",$A249&gt;$B$9,T$245=""),"",IF(COUNTIFS(BD!$B$3:$B$5001,T$245,BD!$A$3:$A$5001,"&gt;="&amp;$C$7,BD!$A$3:$A$5001,"&lt;="&amp;$B249,BD!$X$3:$X$5001,"&lt;&gt;")=0,"",SUMIFS(BD!$X$3:$X$5001,BD!$B$3:$B$5001,T$245,BD!$A$3:$A$5001,_xlfn.MAXIFS(BD!$A$3:$A$5001,BD!$B$3:$B$5001,T$245,BD!$A$3:$A$5001,"&gt;="&amp;$C$7,BD!$A$3:$A$5001,"&lt;="&amp;$B249,BD!$X$3:$X$5001,"&lt;&gt;"))))</f>
        <v/>
      </c>
      <c r="U249" s="54" t="str">
        <f>IF(OR($B249="",$A249&gt;$B$9,U$245=""),"",IF(COUNTIFS(BD!$B$3:$B$5001,U$245,BD!$A$3:$A$5001,"&gt;="&amp;$C$7,BD!$A$3:$A$5001,"&lt;="&amp;$B249,BD!$X$3:$X$5001,"&lt;&gt;")=0,"",SUMIFS(BD!$X$3:$X$5001,BD!$B$3:$B$5001,U$245,BD!$A$3:$A$5001,_xlfn.MAXIFS(BD!$A$3:$A$5001,BD!$B$3:$B$5001,U$245,BD!$A$3:$A$5001,"&gt;="&amp;$C$7,BD!$A$3:$A$5001,"&lt;="&amp;$B249,BD!$X$3:$X$5001,"&lt;&gt;"))))</f>
        <v/>
      </c>
      <c r="V249" s="54" t="str">
        <f>IF(OR($B249="",$A249&gt;$B$9,V$245=""),"",IF(COUNTIFS(BD!$B$3:$B$5001,V$245,BD!$A$3:$A$5001,"&gt;="&amp;$C$7,BD!$A$3:$A$5001,"&lt;="&amp;$B249,BD!$X$3:$X$5001,"&lt;&gt;")=0,"",SUMIFS(BD!$X$3:$X$5001,BD!$B$3:$B$5001,V$245,BD!$A$3:$A$5001,_xlfn.MAXIFS(BD!$A$3:$A$5001,BD!$B$3:$B$5001,V$245,BD!$A$3:$A$5001,"&gt;="&amp;$C$7,BD!$A$3:$A$5001,"&lt;="&amp;$B249,BD!$X$3:$X$5001,"&lt;&gt;"))))</f>
        <v/>
      </c>
    </row>
    <row r="250">
      <c r="A250" s="48">
        <v>5</v>
      </c>
      <c r="B250" s="53">
        <f>$B$16</f>
        <v>46300</v>
      </c>
      <c r="C250" s="54" t="str">
        <f>IF(OR($B250="",$A250&gt;$B$9,C$245=""),"",IF(COUNTIFS(BD!$B$3:$B$5001,C$245,BD!$A$3:$A$5001,"&gt;="&amp;$C$7,BD!$A$3:$A$5001,"&lt;="&amp;$B250,BD!$X$3:$X$5001,"&lt;&gt;")=0,"",SUMIFS(BD!$X$3:$X$5001,BD!$B$3:$B$5001,C$245,BD!$A$3:$A$5001,_xlfn.MAXIFS(BD!$A$3:$A$5001,BD!$B$3:$B$5001,C$245,BD!$A$3:$A$5001,"&gt;="&amp;$C$7,BD!$A$3:$A$5001,"&lt;="&amp;$B250,BD!$X$3:$X$5001,"&lt;&gt;"))))</f>
        <v/>
      </c>
      <c r="D250" s="54" t="str">
        <f>IF(OR($B250="",$A250&gt;$B$9,D$245=""),"",IF(COUNTIFS(BD!$B$3:$B$5001,D$245,BD!$A$3:$A$5001,"&gt;="&amp;$C$7,BD!$A$3:$A$5001,"&lt;="&amp;$B250,BD!$X$3:$X$5001,"&lt;&gt;")=0,"",SUMIFS(BD!$X$3:$X$5001,BD!$B$3:$B$5001,D$245,BD!$A$3:$A$5001,_xlfn.MAXIFS(BD!$A$3:$A$5001,BD!$B$3:$B$5001,D$245,BD!$A$3:$A$5001,"&gt;="&amp;$C$7,BD!$A$3:$A$5001,"&lt;="&amp;$B250,BD!$X$3:$X$5001,"&lt;&gt;"))))</f>
        <v/>
      </c>
      <c r="E250" s="54" t="str">
        <f>IF(OR($B250="",$A250&gt;$B$9,E$245=""),"",IF(COUNTIFS(BD!$B$3:$B$5001,E$245,BD!$A$3:$A$5001,"&gt;="&amp;$C$7,BD!$A$3:$A$5001,"&lt;="&amp;$B250,BD!$X$3:$X$5001,"&lt;&gt;")=0,"",SUMIFS(BD!$X$3:$X$5001,BD!$B$3:$B$5001,E$245,BD!$A$3:$A$5001,_xlfn.MAXIFS(BD!$A$3:$A$5001,BD!$B$3:$B$5001,E$245,BD!$A$3:$A$5001,"&gt;="&amp;$C$7,BD!$A$3:$A$5001,"&lt;="&amp;$B250,BD!$X$3:$X$5001,"&lt;&gt;"))))</f>
        <v/>
      </c>
      <c r="F250" s="54" t="str">
        <f>IF(OR($B250="",$A250&gt;$B$9,F$245=""),"",IF(COUNTIFS(BD!$B$3:$B$5001,F$245,BD!$A$3:$A$5001,"&gt;="&amp;$C$7,BD!$A$3:$A$5001,"&lt;="&amp;$B250,BD!$X$3:$X$5001,"&lt;&gt;")=0,"",SUMIFS(BD!$X$3:$X$5001,BD!$B$3:$B$5001,F$245,BD!$A$3:$A$5001,_xlfn.MAXIFS(BD!$A$3:$A$5001,BD!$B$3:$B$5001,F$245,BD!$A$3:$A$5001,"&gt;="&amp;$C$7,BD!$A$3:$A$5001,"&lt;="&amp;$B250,BD!$X$3:$X$5001,"&lt;&gt;"))))</f>
        <v/>
      </c>
      <c r="G250" s="54" t="str">
        <f>IF(OR($B250="",$A250&gt;$B$9,G$245=""),"",IF(COUNTIFS(BD!$B$3:$B$5001,G$245,BD!$A$3:$A$5001,"&gt;="&amp;$C$7,BD!$A$3:$A$5001,"&lt;="&amp;$B250,BD!$X$3:$X$5001,"&lt;&gt;")=0,"",SUMIFS(BD!$X$3:$X$5001,BD!$B$3:$B$5001,G$245,BD!$A$3:$A$5001,_xlfn.MAXIFS(BD!$A$3:$A$5001,BD!$B$3:$B$5001,G$245,BD!$A$3:$A$5001,"&gt;="&amp;$C$7,BD!$A$3:$A$5001,"&lt;="&amp;$B250,BD!$X$3:$X$5001,"&lt;&gt;"))))</f>
        <v/>
      </c>
      <c r="H250" s="54" t="str">
        <f>IF(OR($B250="",$A250&gt;$B$9,H$245=""),"",IF(COUNTIFS(BD!$B$3:$B$5001,H$245,BD!$A$3:$A$5001,"&gt;="&amp;$C$7,BD!$A$3:$A$5001,"&lt;="&amp;$B250,BD!$X$3:$X$5001,"&lt;&gt;")=0,"",SUMIFS(BD!$X$3:$X$5001,BD!$B$3:$B$5001,H$245,BD!$A$3:$A$5001,_xlfn.MAXIFS(BD!$A$3:$A$5001,BD!$B$3:$B$5001,H$245,BD!$A$3:$A$5001,"&gt;="&amp;$C$7,BD!$A$3:$A$5001,"&lt;="&amp;$B250,BD!$X$3:$X$5001,"&lt;&gt;"))))</f>
        <v/>
      </c>
      <c r="I250" s="54" t="str">
        <f>IF(OR($B250="",$A250&gt;$B$9,I$245=""),"",IF(COUNTIFS(BD!$B$3:$B$5001,I$245,BD!$A$3:$A$5001,"&gt;="&amp;$C$7,BD!$A$3:$A$5001,"&lt;="&amp;$B250,BD!$X$3:$X$5001,"&lt;&gt;")=0,"",SUMIFS(BD!$X$3:$X$5001,BD!$B$3:$B$5001,I$245,BD!$A$3:$A$5001,_xlfn.MAXIFS(BD!$A$3:$A$5001,BD!$B$3:$B$5001,I$245,BD!$A$3:$A$5001,"&gt;="&amp;$C$7,BD!$A$3:$A$5001,"&lt;="&amp;$B250,BD!$X$3:$X$5001,"&lt;&gt;"))))</f>
        <v/>
      </c>
      <c r="J250" s="54" t="str">
        <f>IF(OR($B250="",$A250&gt;$B$9,J$245=""),"",IF(COUNTIFS(BD!$B$3:$B$5001,J$245,BD!$A$3:$A$5001,"&gt;="&amp;$C$7,BD!$A$3:$A$5001,"&lt;="&amp;$B250,BD!$X$3:$X$5001,"&lt;&gt;")=0,"",SUMIFS(BD!$X$3:$X$5001,BD!$B$3:$B$5001,J$245,BD!$A$3:$A$5001,_xlfn.MAXIFS(BD!$A$3:$A$5001,BD!$B$3:$B$5001,J$245,BD!$A$3:$A$5001,"&gt;="&amp;$C$7,BD!$A$3:$A$5001,"&lt;="&amp;$B250,BD!$X$3:$X$5001,"&lt;&gt;"))))</f>
        <v/>
      </c>
      <c r="K250" s="54" t="str">
        <f>IF(OR($B250="",$A250&gt;$B$9,K$245=""),"",IF(COUNTIFS(BD!$B$3:$B$5001,K$245,BD!$A$3:$A$5001,"&gt;="&amp;$C$7,BD!$A$3:$A$5001,"&lt;="&amp;$B250,BD!$X$3:$X$5001,"&lt;&gt;")=0,"",SUMIFS(BD!$X$3:$X$5001,BD!$B$3:$B$5001,K$245,BD!$A$3:$A$5001,_xlfn.MAXIFS(BD!$A$3:$A$5001,BD!$B$3:$B$5001,K$245,BD!$A$3:$A$5001,"&gt;="&amp;$C$7,BD!$A$3:$A$5001,"&lt;="&amp;$B250,BD!$X$3:$X$5001,"&lt;&gt;"))))</f>
        <v/>
      </c>
      <c r="L250" s="54" t="str">
        <f>IF(OR($B250="",$A250&gt;$B$9,L$245=""),"",IF(COUNTIFS(BD!$B$3:$B$5001,L$245,BD!$A$3:$A$5001,"&gt;="&amp;$C$7,BD!$A$3:$A$5001,"&lt;="&amp;$B250,BD!$X$3:$X$5001,"&lt;&gt;")=0,"",SUMIFS(BD!$X$3:$X$5001,BD!$B$3:$B$5001,L$245,BD!$A$3:$A$5001,_xlfn.MAXIFS(BD!$A$3:$A$5001,BD!$B$3:$B$5001,L$245,BD!$A$3:$A$5001,"&gt;="&amp;$C$7,BD!$A$3:$A$5001,"&lt;="&amp;$B250,BD!$X$3:$X$5001,"&lt;&gt;"))))</f>
        <v/>
      </c>
      <c r="M250" s="54" t="str">
        <f>IF(OR($B250="",$A250&gt;$B$9,M$245=""),"",IF(COUNTIFS(BD!$B$3:$B$5001,M$245,BD!$A$3:$A$5001,"&gt;="&amp;$C$7,BD!$A$3:$A$5001,"&lt;="&amp;$B250,BD!$X$3:$X$5001,"&lt;&gt;")=0,"",SUMIFS(BD!$X$3:$X$5001,BD!$B$3:$B$5001,M$245,BD!$A$3:$A$5001,_xlfn.MAXIFS(BD!$A$3:$A$5001,BD!$B$3:$B$5001,M$245,BD!$A$3:$A$5001,"&gt;="&amp;$C$7,BD!$A$3:$A$5001,"&lt;="&amp;$B250,BD!$X$3:$X$5001,"&lt;&gt;"))))</f>
        <v/>
      </c>
      <c r="N250" s="54" t="str">
        <f>IF(OR($B250="",$A250&gt;$B$9,N$245=""),"",IF(COUNTIFS(BD!$B$3:$B$5001,N$245,BD!$A$3:$A$5001,"&gt;="&amp;$C$7,BD!$A$3:$A$5001,"&lt;="&amp;$B250,BD!$X$3:$X$5001,"&lt;&gt;")=0,"",SUMIFS(BD!$X$3:$X$5001,BD!$B$3:$B$5001,N$245,BD!$A$3:$A$5001,_xlfn.MAXIFS(BD!$A$3:$A$5001,BD!$B$3:$B$5001,N$245,BD!$A$3:$A$5001,"&gt;="&amp;$C$7,BD!$A$3:$A$5001,"&lt;="&amp;$B250,BD!$X$3:$X$5001,"&lt;&gt;"))))</f>
        <v/>
      </c>
      <c r="O250" s="54" t="str">
        <f>IF(OR($B250="",$A250&gt;$B$9,O$245=""),"",IF(COUNTIFS(BD!$B$3:$B$5001,O$245,BD!$A$3:$A$5001,"&gt;="&amp;$C$7,BD!$A$3:$A$5001,"&lt;="&amp;$B250,BD!$X$3:$X$5001,"&lt;&gt;")=0,"",SUMIFS(BD!$X$3:$X$5001,BD!$B$3:$B$5001,O$245,BD!$A$3:$A$5001,_xlfn.MAXIFS(BD!$A$3:$A$5001,BD!$B$3:$B$5001,O$245,BD!$A$3:$A$5001,"&gt;="&amp;$C$7,BD!$A$3:$A$5001,"&lt;="&amp;$B250,BD!$X$3:$X$5001,"&lt;&gt;"))))</f>
        <v/>
      </c>
      <c r="P250" s="54" t="str">
        <f>IF(OR($B250="",$A250&gt;$B$9,P$245=""),"",IF(COUNTIFS(BD!$B$3:$B$5001,P$245,BD!$A$3:$A$5001,"&gt;="&amp;$C$7,BD!$A$3:$A$5001,"&lt;="&amp;$B250,BD!$X$3:$X$5001,"&lt;&gt;")=0,"",SUMIFS(BD!$X$3:$X$5001,BD!$B$3:$B$5001,P$245,BD!$A$3:$A$5001,_xlfn.MAXIFS(BD!$A$3:$A$5001,BD!$B$3:$B$5001,P$245,BD!$A$3:$A$5001,"&gt;="&amp;$C$7,BD!$A$3:$A$5001,"&lt;="&amp;$B250,BD!$X$3:$X$5001,"&lt;&gt;"))))</f>
        <v/>
      </c>
      <c r="Q250" s="54" t="str">
        <f>IF(OR($B250="",$A250&gt;$B$9,Q$245=""),"",IF(COUNTIFS(BD!$B$3:$B$5001,Q$245,BD!$A$3:$A$5001,"&gt;="&amp;$C$7,BD!$A$3:$A$5001,"&lt;="&amp;$B250,BD!$X$3:$X$5001,"&lt;&gt;")=0,"",SUMIFS(BD!$X$3:$X$5001,BD!$B$3:$B$5001,Q$245,BD!$A$3:$A$5001,_xlfn.MAXIFS(BD!$A$3:$A$5001,BD!$B$3:$B$5001,Q$245,BD!$A$3:$A$5001,"&gt;="&amp;$C$7,BD!$A$3:$A$5001,"&lt;="&amp;$B250,BD!$X$3:$X$5001,"&lt;&gt;"))))</f>
        <v/>
      </c>
      <c r="R250" s="54" t="str">
        <f>IF(OR($B250="",$A250&gt;$B$9,R$245=""),"",IF(COUNTIFS(BD!$B$3:$B$5001,R$245,BD!$A$3:$A$5001,"&gt;="&amp;$C$7,BD!$A$3:$A$5001,"&lt;="&amp;$B250,BD!$X$3:$X$5001,"&lt;&gt;")=0,"",SUMIFS(BD!$X$3:$X$5001,BD!$B$3:$B$5001,R$245,BD!$A$3:$A$5001,_xlfn.MAXIFS(BD!$A$3:$A$5001,BD!$B$3:$B$5001,R$245,BD!$A$3:$A$5001,"&gt;="&amp;$C$7,BD!$A$3:$A$5001,"&lt;="&amp;$B250,BD!$X$3:$X$5001,"&lt;&gt;"))))</f>
        <v/>
      </c>
      <c r="S250" s="54" t="str">
        <f>IF(OR($B250="",$A250&gt;$B$9,S$245=""),"",IF(COUNTIFS(BD!$B$3:$B$5001,S$245,BD!$A$3:$A$5001,"&gt;="&amp;$C$7,BD!$A$3:$A$5001,"&lt;="&amp;$B250,BD!$X$3:$X$5001,"&lt;&gt;")=0,"",SUMIFS(BD!$X$3:$X$5001,BD!$B$3:$B$5001,S$245,BD!$A$3:$A$5001,_xlfn.MAXIFS(BD!$A$3:$A$5001,BD!$B$3:$B$5001,S$245,BD!$A$3:$A$5001,"&gt;="&amp;$C$7,BD!$A$3:$A$5001,"&lt;="&amp;$B250,BD!$X$3:$X$5001,"&lt;&gt;"))))</f>
        <v/>
      </c>
      <c r="T250" s="54" t="str">
        <f>IF(OR($B250="",$A250&gt;$B$9,T$245=""),"",IF(COUNTIFS(BD!$B$3:$B$5001,T$245,BD!$A$3:$A$5001,"&gt;="&amp;$C$7,BD!$A$3:$A$5001,"&lt;="&amp;$B250,BD!$X$3:$X$5001,"&lt;&gt;")=0,"",SUMIFS(BD!$X$3:$X$5001,BD!$B$3:$B$5001,T$245,BD!$A$3:$A$5001,_xlfn.MAXIFS(BD!$A$3:$A$5001,BD!$B$3:$B$5001,T$245,BD!$A$3:$A$5001,"&gt;="&amp;$C$7,BD!$A$3:$A$5001,"&lt;="&amp;$B250,BD!$X$3:$X$5001,"&lt;&gt;"))))</f>
        <v/>
      </c>
      <c r="U250" s="54" t="str">
        <f>IF(OR($B250="",$A250&gt;$B$9,U$245=""),"",IF(COUNTIFS(BD!$B$3:$B$5001,U$245,BD!$A$3:$A$5001,"&gt;="&amp;$C$7,BD!$A$3:$A$5001,"&lt;="&amp;$B250,BD!$X$3:$X$5001,"&lt;&gt;")=0,"",SUMIFS(BD!$X$3:$X$5001,BD!$B$3:$B$5001,U$245,BD!$A$3:$A$5001,_xlfn.MAXIFS(BD!$A$3:$A$5001,BD!$B$3:$B$5001,U$245,BD!$A$3:$A$5001,"&gt;="&amp;$C$7,BD!$A$3:$A$5001,"&lt;="&amp;$B250,BD!$X$3:$X$5001,"&lt;&gt;"))))</f>
        <v/>
      </c>
      <c r="V250" s="54" t="str">
        <f>IF(OR($B250="",$A250&gt;$B$9,V$245=""),"",IF(COUNTIFS(BD!$B$3:$B$5001,V$245,BD!$A$3:$A$5001,"&gt;="&amp;$C$7,BD!$A$3:$A$5001,"&lt;="&amp;$B250,BD!$X$3:$X$5001,"&lt;&gt;")=0,"",SUMIFS(BD!$X$3:$X$5001,BD!$B$3:$B$5001,V$245,BD!$A$3:$A$5001,_xlfn.MAXIFS(BD!$A$3:$A$5001,BD!$B$3:$B$5001,V$245,BD!$A$3:$A$5001,"&gt;="&amp;$C$7,BD!$A$3:$A$5001,"&lt;="&amp;$B250,BD!$X$3:$X$5001,"&lt;&gt;"))))</f>
        <v/>
      </c>
    </row>
    <row r="251">
      <c r="A251" s="48">
        <v>6</v>
      </c>
      <c r="B251" s="53">
        <f>$B$17</f>
        <v>46301</v>
      </c>
      <c r="C251" s="54" t="str">
        <f>IF(OR($B251="",$A251&gt;$B$9,C$245=""),"",IF(COUNTIFS(BD!$B$3:$B$5001,C$245,BD!$A$3:$A$5001,"&gt;="&amp;$C$7,BD!$A$3:$A$5001,"&lt;="&amp;$B251,BD!$X$3:$X$5001,"&lt;&gt;")=0,"",SUMIFS(BD!$X$3:$X$5001,BD!$B$3:$B$5001,C$245,BD!$A$3:$A$5001,_xlfn.MAXIFS(BD!$A$3:$A$5001,BD!$B$3:$B$5001,C$245,BD!$A$3:$A$5001,"&gt;="&amp;$C$7,BD!$A$3:$A$5001,"&lt;="&amp;$B251,BD!$X$3:$X$5001,"&lt;&gt;"))))</f>
        <v/>
      </c>
      <c r="D251" s="54" t="str">
        <f>IF(OR($B251="",$A251&gt;$B$9,D$245=""),"",IF(COUNTIFS(BD!$B$3:$B$5001,D$245,BD!$A$3:$A$5001,"&gt;="&amp;$C$7,BD!$A$3:$A$5001,"&lt;="&amp;$B251,BD!$X$3:$X$5001,"&lt;&gt;")=0,"",SUMIFS(BD!$X$3:$X$5001,BD!$B$3:$B$5001,D$245,BD!$A$3:$A$5001,_xlfn.MAXIFS(BD!$A$3:$A$5001,BD!$B$3:$B$5001,D$245,BD!$A$3:$A$5001,"&gt;="&amp;$C$7,BD!$A$3:$A$5001,"&lt;="&amp;$B251,BD!$X$3:$X$5001,"&lt;&gt;"))))</f>
        <v/>
      </c>
      <c r="E251" s="54" t="str">
        <f>IF(OR($B251="",$A251&gt;$B$9,E$245=""),"",IF(COUNTIFS(BD!$B$3:$B$5001,E$245,BD!$A$3:$A$5001,"&gt;="&amp;$C$7,BD!$A$3:$A$5001,"&lt;="&amp;$B251,BD!$X$3:$X$5001,"&lt;&gt;")=0,"",SUMIFS(BD!$X$3:$X$5001,BD!$B$3:$B$5001,E$245,BD!$A$3:$A$5001,_xlfn.MAXIFS(BD!$A$3:$A$5001,BD!$B$3:$B$5001,E$245,BD!$A$3:$A$5001,"&gt;="&amp;$C$7,BD!$A$3:$A$5001,"&lt;="&amp;$B251,BD!$X$3:$X$5001,"&lt;&gt;"))))</f>
        <v/>
      </c>
      <c r="F251" s="54" t="str">
        <f>IF(OR($B251="",$A251&gt;$B$9,F$245=""),"",IF(COUNTIFS(BD!$B$3:$B$5001,F$245,BD!$A$3:$A$5001,"&gt;="&amp;$C$7,BD!$A$3:$A$5001,"&lt;="&amp;$B251,BD!$X$3:$X$5001,"&lt;&gt;")=0,"",SUMIFS(BD!$X$3:$X$5001,BD!$B$3:$B$5001,F$245,BD!$A$3:$A$5001,_xlfn.MAXIFS(BD!$A$3:$A$5001,BD!$B$3:$B$5001,F$245,BD!$A$3:$A$5001,"&gt;="&amp;$C$7,BD!$A$3:$A$5001,"&lt;="&amp;$B251,BD!$X$3:$X$5001,"&lt;&gt;"))))</f>
        <v/>
      </c>
      <c r="G251" s="54" t="str">
        <f>IF(OR($B251="",$A251&gt;$B$9,G$245=""),"",IF(COUNTIFS(BD!$B$3:$B$5001,G$245,BD!$A$3:$A$5001,"&gt;="&amp;$C$7,BD!$A$3:$A$5001,"&lt;="&amp;$B251,BD!$X$3:$X$5001,"&lt;&gt;")=0,"",SUMIFS(BD!$X$3:$X$5001,BD!$B$3:$B$5001,G$245,BD!$A$3:$A$5001,_xlfn.MAXIFS(BD!$A$3:$A$5001,BD!$B$3:$B$5001,G$245,BD!$A$3:$A$5001,"&gt;="&amp;$C$7,BD!$A$3:$A$5001,"&lt;="&amp;$B251,BD!$X$3:$X$5001,"&lt;&gt;"))))</f>
        <v/>
      </c>
      <c r="H251" s="54" t="str">
        <f>IF(OR($B251="",$A251&gt;$B$9,H$245=""),"",IF(COUNTIFS(BD!$B$3:$B$5001,H$245,BD!$A$3:$A$5001,"&gt;="&amp;$C$7,BD!$A$3:$A$5001,"&lt;="&amp;$B251,BD!$X$3:$X$5001,"&lt;&gt;")=0,"",SUMIFS(BD!$X$3:$X$5001,BD!$B$3:$B$5001,H$245,BD!$A$3:$A$5001,_xlfn.MAXIFS(BD!$A$3:$A$5001,BD!$B$3:$B$5001,H$245,BD!$A$3:$A$5001,"&gt;="&amp;$C$7,BD!$A$3:$A$5001,"&lt;="&amp;$B251,BD!$X$3:$X$5001,"&lt;&gt;"))))</f>
        <v/>
      </c>
      <c r="I251" s="54" t="str">
        <f>IF(OR($B251="",$A251&gt;$B$9,I$245=""),"",IF(COUNTIFS(BD!$B$3:$B$5001,I$245,BD!$A$3:$A$5001,"&gt;="&amp;$C$7,BD!$A$3:$A$5001,"&lt;="&amp;$B251,BD!$X$3:$X$5001,"&lt;&gt;")=0,"",SUMIFS(BD!$X$3:$X$5001,BD!$B$3:$B$5001,I$245,BD!$A$3:$A$5001,_xlfn.MAXIFS(BD!$A$3:$A$5001,BD!$B$3:$B$5001,I$245,BD!$A$3:$A$5001,"&gt;="&amp;$C$7,BD!$A$3:$A$5001,"&lt;="&amp;$B251,BD!$X$3:$X$5001,"&lt;&gt;"))))</f>
        <v/>
      </c>
      <c r="J251" s="54" t="str">
        <f>IF(OR($B251="",$A251&gt;$B$9,J$245=""),"",IF(COUNTIFS(BD!$B$3:$B$5001,J$245,BD!$A$3:$A$5001,"&gt;="&amp;$C$7,BD!$A$3:$A$5001,"&lt;="&amp;$B251,BD!$X$3:$X$5001,"&lt;&gt;")=0,"",SUMIFS(BD!$X$3:$X$5001,BD!$B$3:$B$5001,J$245,BD!$A$3:$A$5001,_xlfn.MAXIFS(BD!$A$3:$A$5001,BD!$B$3:$B$5001,J$245,BD!$A$3:$A$5001,"&gt;="&amp;$C$7,BD!$A$3:$A$5001,"&lt;="&amp;$B251,BD!$X$3:$X$5001,"&lt;&gt;"))))</f>
        <v/>
      </c>
      <c r="K251" s="54" t="str">
        <f>IF(OR($B251="",$A251&gt;$B$9,K$245=""),"",IF(COUNTIFS(BD!$B$3:$B$5001,K$245,BD!$A$3:$A$5001,"&gt;="&amp;$C$7,BD!$A$3:$A$5001,"&lt;="&amp;$B251,BD!$X$3:$X$5001,"&lt;&gt;")=0,"",SUMIFS(BD!$X$3:$X$5001,BD!$B$3:$B$5001,K$245,BD!$A$3:$A$5001,_xlfn.MAXIFS(BD!$A$3:$A$5001,BD!$B$3:$B$5001,K$245,BD!$A$3:$A$5001,"&gt;="&amp;$C$7,BD!$A$3:$A$5001,"&lt;="&amp;$B251,BD!$X$3:$X$5001,"&lt;&gt;"))))</f>
        <v/>
      </c>
      <c r="L251" s="54" t="str">
        <f>IF(OR($B251="",$A251&gt;$B$9,L$245=""),"",IF(COUNTIFS(BD!$B$3:$B$5001,L$245,BD!$A$3:$A$5001,"&gt;="&amp;$C$7,BD!$A$3:$A$5001,"&lt;="&amp;$B251,BD!$X$3:$X$5001,"&lt;&gt;")=0,"",SUMIFS(BD!$X$3:$X$5001,BD!$B$3:$B$5001,L$245,BD!$A$3:$A$5001,_xlfn.MAXIFS(BD!$A$3:$A$5001,BD!$B$3:$B$5001,L$245,BD!$A$3:$A$5001,"&gt;="&amp;$C$7,BD!$A$3:$A$5001,"&lt;="&amp;$B251,BD!$X$3:$X$5001,"&lt;&gt;"))))</f>
        <v/>
      </c>
      <c r="M251" s="54" t="str">
        <f>IF(OR($B251="",$A251&gt;$B$9,M$245=""),"",IF(COUNTIFS(BD!$B$3:$B$5001,M$245,BD!$A$3:$A$5001,"&gt;="&amp;$C$7,BD!$A$3:$A$5001,"&lt;="&amp;$B251,BD!$X$3:$X$5001,"&lt;&gt;")=0,"",SUMIFS(BD!$X$3:$X$5001,BD!$B$3:$B$5001,M$245,BD!$A$3:$A$5001,_xlfn.MAXIFS(BD!$A$3:$A$5001,BD!$B$3:$B$5001,M$245,BD!$A$3:$A$5001,"&gt;="&amp;$C$7,BD!$A$3:$A$5001,"&lt;="&amp;$B251,BD!$X$3:$X$5001,"&lt;&gt;"))))</f>
        <v/>
      </c>
      <c r="N251" s="54" t="str">
        <f>IF(OR($B251="",$A251&gt;$B$9,N$245=""),"",IF(COUNTIFS(BD!$B$3:$B$5001,N$245,BD!$A$3:$A$5001,"&gt;="&amp;$C$7,BD!$A$3:$A$5001,"&lt;="&amp;$B251,BD!$X$3:$X$5001,"&lt;&gt;")=0,"",SUMIFS(BD!$X$3:$X$5001,BD!$B$3:$B$5001,N$245,BD!$A$3:$A$5001,_xlfn.MAXIFS(BD!$A$3:$A$5001,BD!$B$3:$B$5001,N$245,BD!$A$3:$A$5001,"&gt;="&amp;$C$7,BD!$A$3:$A$5001,"&lt;="&amp;$B251,BD!$X$3:$X$5001,"&lt;&gt;"))))</f>
        <v/>
      </c>
      <c r="O251" s="54" t="str">
        <f>IF(OR($B251="",$A251&gt;$B$9,O$245=""),"",IF(COUNTIFS(BD!$B$3:$B$5001,O$245,BD!$A$3:$A$5001,"&gt;="&amp;$C$7,BD!$A$3:$A$5001,"&lt;="&amp;$B251,BD!$X$3:$X$5001,"&lt;&gt;")=0,"",SUMIFS(BD!$X$3:$X$5001,BD!$B$3:$B$5001,O$245,BD!$A$3:$A$5001,_xlfn.MAXIFS(BD!$A$3:$A$5001,BD!$B$3:$B$5001,O$245,BD!$A$3:$A$5001,"&gt;="&amp;$C$7,BD!$A$3:$A$5001,"&lt;="&amp;$B251,BD!$X$3:$X$5001,"&lt;&gt;"))))</f>
        <v/>
      </c>
      <c r="P251" s="54" t="str">
        <f>IF(OR($B251="",$A251&gt;$B$9,P$245=""),"",IF(COUNTIFS(BD!$B$3:$B$5001,P$245,BD!$A$3:$A$5001,"&gt;="&amp;$C$7,BD!$A$3:$A$5001,"&lt;="&amp;$B251,BD!$X$3:$X$5001,"&lt;&gt;")=0,"",SUMIFS(BD!$X$3:$X$5001,BD!$B$3:$B$5001,P$245,BD!$A$3:$A$5001,_xlfn.MAXIFS(BD!$A$3:$A$5001,BD!$B$3:$B$5001,P$245,BD!$A$3:$A$5001,"&gt;="&amp;$C$7,BD!$A$3:$A$5001,"&lt;="&amp;$B251,BD!$X$3:$X$5001,"&lt;&gt;"))))</f>
        <v/>
      </c>
      <c r="Q251" s="54" t="str">
        <f>IF(OR($B251="",$A251&gt;$B$9,Q$245=""),"",IF(COUNTIFS(BD!$B$3:$B$5001,Q$245,BD!$A$3:$A$5001,"&gt;="&amp;$C$7,BD!$A$3:$A$5001,"&lt;="&amp;$B251,BD!$X$3:$X$5001,"&lt;&gt;")=0,"",SUMIFS(BD!$X$3:$X$5001,BD!$B$3:$B$5001,Q$245,BD!$A$3:$A$5001,_xlfn.MAXIFS(BD!$A$3:$A$5001,BD!$B$3:$B$5001,Q$245,BD!$A$3:$A$5001,"&gt;="&amp;$C$7,BD!$A$3:$A$5001,"&lt;="&amp;$B251,BD!$X$3:$X$5001,"&lt;&gt;"))))</f>
        <v/>
      </c>
      <c r="R251" s="54" t="str">
        <f>IF(OR($B251="",$A251&gt;$B$9,R$245=""),"",IF(COUNTIFS(BD!$B$3:$B$5001,R$245,BD!$A$3:$A$5001,"&gt;="&amp;$C$7,BD!$A$3:$A$5001,"&lt;="&amp;$B251,BD!$X$3:$X$5001,"&lt;&gt;")=0,"",SUMIFS(BD!$X$3:$X$5001,BD!$B$3:$B$5001,R$245,BD!$A$3:$A$5001,_xlfn.MAXIFS(BD!$A$3:$A$5001,BD!$B$3:$B$5001,R$245,BD!$A$3:$A$5001,"&gt;="&amp;$C$7,BD!$A$3:$A$5001,"&lt;="&amp;$B251,BD!$X$3:$X$5001,"&lt;&gt;"))))</f>
        <v/>
      </c>
      <c r="S251" s="54" t="str">
        <f>IF(OR($B251="",$A251&gt;$B$9,S$245=""),"",IF(COUNTIFS(BD!$B$3:$B$5001,S$245,BD!$A$3:$A$5001,"&gt;="&amp;$C$7,BD!$A$3:$A$5001,"&lt;="&amp;$B251,BD!$X$3:$X$5001,"&lt;&gt;")=0,"",SUMIFS(BD!$X$3:$X$5001,BD!$B$3:$B$5001,S$245,BD!$A$3:$A$5001,_xlfn.MAXIFS(BD!$A$3:$A$5001,BD!$B$3:$B$5001,S$245,BD!$A$3:$A$5001,"&gt;="&amp;$C$7,BD!$A$3:$A$5001,"&lt;="&amp;$B251,BD!$X$3:$X$5001,"&lt;&gt;"))))</f>
        <v/>
      </c>
      <c r="T251" s="54" t="str">
        <f>IF(OR($B251="",$A251&gt;$B$9,T$245=""),"",IF(COUNTIFS(BD!$B$3:$B$5001,T$245,BD!$A$3:$A$5001,"&gt;="&amp;$C$7,BD!$A$3:$A$5001,"&lt;="&amp;$B251,BD!$X$3:$X$5001,"&lt;&gt;")=0,"",SUMIFS(BD!$X$3:$X$5001,BD!$B$3:$B$5001,T$245,BD!$A$3:$A$5001,_xlfn.MAXIFS(BD!$A$3:$A$5001,BD!$B$3:$B$5001,T$245,BD!$A$3:$A$5001,"&gt;="&amp;$C$7,BD!$A$3:$A$5001,"&lt;="&amp;$B251,BD!$X$3:$X$5001,"&lt;&gt;"))))</f>
        <v/>
      </c>
      <c r="U251" s="54" t="str">
        <f>IF(OR($B251="",$A251&gt;$B$9,U$245=""),"",IF(COUNTIFS(BD!$B$3:$B$5001,U$245,BD!$A$3:$A$5001,"&gt;="&amp;$C$7,BD!$A$3:$A$5001,"&lt;="&amp;$B251,BD!$X$3:$X$5001,"&lt;&gt;")=0,"",SUMIFS(BD!$X$3:$X$5001,BD!$B$3:$B$5001,U$245,BD!$A$3:$A$5001,_xlfn.MAXIFS(BD!$A$3:$A$5001,BD!$B$3:$B$5001,U$245,BD!$A$3:$A$5001,"&gt;="&amp;$C$7,BD!$A$3:$A$5001,"&lt;="&amp;$B251,BD!$X$3:$X$5001,"&lt;&gt;"))))</f>
        <v/>
      </c>
      <c r="V251" s="54" t="str">
        <f>IF(OR($B251="",$A251&gt;$B$9,V$245=""),"",IF(COUNTIFS(BD!$B$3:$B$5001,V$245,BD!$A$3:$A$5001,"&gt;="&amp;$C$7,BD!$A$3:$A$5001,"&lt;="&amp;$B251,BD!$X$3:$X$5001,"&lt;&gt;")=0,"",SUMIFS(BD!$X$3:$X$5001,BD!$B$3:$B$5001,V$245,BD!$A$3:$A$5001,_xlfn.MAXIFS(BD!$A$3:$A$5001,BD!$B$3:$B$5001,V$245,BD!$A$3:$A$5001,"&gt;="&amp;$C$7,BD!$A$3:$A$5001,"&lt;="&amp;$B251,BD!$X$3:$X$5001,"&lt;&gt;"))))</f>
        <v/>
      </c>
    </row>
    <row r="252">
      <c r="A252" s="48">
        <v>7</v>
      </c>
      <c r="B252" s="53">
        <f>$B$18</f>
        <v>46302</v>
      </c>
      <c r="C252" s="54" t="str">
        <f>IF(OR($B252="",$A252&gt;$B$9,C$245=""),"",IF(COUNTIFS(BD!$B$3:$B$5001,C$245,BD!$A$3:$A$5001,"&gt;="&amp;$C$7,BD!$A$3:$A$5001,"&lt;="&amp;$B252,BD!$X$3:$X$5001,"&lt;&gt;")=0,"",SUMIFS(BD!$X$3:$X$5001,BD!$B$3:$B$5001,C$245,BD!$A$3:$A$5001,_xlfn.MAXIFS(BD!$A$3:$A$5001,BD!$B$3:$B$5001,C$245,BD!$A$3:$A$5001,"&gt;="&amp;$C$7,BD!$A$3:$A$5001,"&lt;="&amp;$B252,BD!$X$3:$X$5001,"&lt;&gt;"))))</f>
        <v/>
      </c>
      <c r="D252" s="54" t="str">
        <f>IF(OR($B252="",$A252&gt;$B$9,D$245=""),"",IF(COUNTIFS(BD!$B$3:$B$5001,D$245,BD!$A$3:$A$5001,"&gt;="&amp;$C$7,BD!$A$3:$A$5001,"&lt;="&amp;$B252,BD!$X$3:$X$5001,"&lt;&gt;")=0,"",SUMIFS(BD!$X$3:$X$5001,BD!$B$3:$B$5001,D$245,BD!$A$3:$A$5001,_xlfn.MAXIFS(BD!$A$3:$A$5001,BD!$B$3:$B$5001,D$245,BD!$A$3:$A$5001,"&gt;="&amp;$C$7,BD!$A$3:$A$5001,"&lt;="&amp;$B252,BD!$X$3:$X$5001,"&lt;&gt;"))))</f>
        <v/>
      </c>
      <c r="E252" s="54" t="str">
        <f>IF(OR($B252="",$A252&gt;$B$9,E$245=""),"",IF(COUNTIFS(BD!$B$3:$B$5001,E$245,BD!$A$3:$A$5001,"&gt;="&amp;$C$7,BD!$A$3:$A$5001,"&lt;="&amp;$B252,BD!$X$3:$X$5001,"&lt;&gt;")=0,"",SUMIFS(BD!$X$3:$X$5001,BD!$B$3:$B$5001,E$245,BD!$A$3:$A$5001,_xlfn.MAXIFS(BD!$A$3:$A$5001,BD!$B$3:$B$5001,E$245,BD!$A$3:$A$5001,"&gt;="&amp;$C$7,BD!$A$3:$A$5001,"&lt;="&amp;$B252,BD!$X$3:$X$5001,"&lt;&gt;"))))</f>
        <v/>
      </c>
      <c r="F252" s="54" t="str">
        <f>IF(OR($B252="",$A252&gt;$B$9,F$245=""),"",IF(COUNTIFS(BD!$B$3:$B$5001,F$245,BD!$A$3:$A$5001,"&gt;="&amp;$C$7,BD!$A$3:$A$5001,"&lt;="&amp;$B252,BD!$X$3:$X$5001,"&lt;&gt;")=0,"",SUMIFS(BD!$X$3:$X$5001,BD!$B$3:$B$5001,F$245,BD!$A$3:$A$5001,_xlfn.MAXIFS(BD!$A$3:$A$5001,BD!$B$3:$B$5001,F$245,BD!$A$3:$A$5001,"&gt;="&amp;$C$7,BD!$A$3:$A$5001,"&lt;="&amp;$B252,BD!$X$3:$X$5001,"&lt;&gt;"))))</f>
        <v/>
      </c>
      <c r="G252" s="54" t="str">
        <f>IF(OR($B252="",$A252&gt;$B$9,G$245=""),"",IF(COUNTIFS(BD!$B$3:$B$5001,G$245,BD!$A$3:$A$5001,"&gt;="&amp;$C$7,BD!$A$3:$A$5001,"&lt;="&amp;$B252,BD!$X$3:$X$5001,"&lt;&gt;")=0,"",SUMIFS(BD!$X$3:$X$5001,BD!$B$3:$B$5001,G$245,BD!$A$3:$A$5001,_xlfn.MAXIFS(BD!$A$3:$A$5001,BD!$B$3:$B$5001,G$245,BD!$A$3:$A$5001,"&gt;="&amp;$C$7,BD!$A$3:$A$5001,"&lt;="&amp;$B252,BD!$X$3:$X$5001,"&lt;&gt;"))))</f>
        <v/>
      </c>
      <c r="H252" s="54" t="str">
        <f>IF(OR($B252="",$A252&gt;$B$9,H$245=""),"",IF(COUNTIFS(BD!$B$3:$B$5001,H$245,BD!$A$3:$A$5001,"&gt;="&amp;$C$7,BD!$A$3:$A$5001,"&lt;="&amp;$B252,BD!$X$3:$X$5001,"&lt;&gt;")=0,"",SUMIFS(BD!$X$3:$X$5001,BD!$B$3:$B$5001,H$245,BD!$A$3:$A$5001,_xlfn.MAXIFS(BD!$A$3:$A$5001,BD!$B$3:$B$5001,H$245,BD!$A$3:$A$5001,"&gt;="&amp;$C$7,BD!$A$3:$A$5001,"&lt;="&amp;$B252,BD!$X$3:$X$5001,"&lt;&gt;"))))</f>
        <v/>
      </c>
      <c r="I252" s="54" t="str">
        <f>IF(OR($B252="",$A252&gt;$B$9,I$245=""),"",IF(COUNTIFS(BD!$B$3:$B$5001,I$245,BD!$A$3:$A$5001,"&gt;="&amp;$C$7,BD!$A$3:$A$5001,"&lt;="&amp;$B252,BD!$X$3:$X$5001,"&lt;&gt;")=0,"",SUMIFS(BD!$X$3:$X$5001,BD!$B$3:$B$5001,I$245,BD!$A$3:$A$5001,_xlfn.MAXIFS(BD!$A$3:$A$5001,BD!$B$3:$B$5001,I$245,BD!$A$3:$A$5001,"&gt;="&amp;$C$7,BD!$A$3:$A$5001,"&lt;="&amp;$B252,BD!$X$3:$X$5001,"&lt;&gt;"))))</f>
        <v/>
      </c>
      <c r="J252" s="54" t="str">
        <f>IF(OR($B252="",$A252&gt;$B$9,J$245=""),"",IF(COUNTIFS(BD!$B$3:$B$5001,J$245,BD!$A$3:$A$5001,"&gt;="&amp;$C$7,BD!$A$3:$A$5001,"&lt;="&amp;$B252,BD!$X$3:$X$5001,"&lt;&gt;")=0,"",SUMIFS(BD!$X$3:$X$5001,BD!$B$3:$B$5001,J$245,BD!$A$3:$A$5001,_xlfn.MAXIFS(BD!$A$3:$A$5001,BD!$B$3:$B$5001,J$245,BD!$A$3:$A$5001,"&gt;="&amp;$C$7,BD!$A$3:$A$5001,"&lt;="&amp;$B252,BD!$X$3:$X$5001,"&lt;&gt;"))))</f>
        <v/>
      </c>
      <c r="K252" s="54" t="str">
        <f>IF(OR($B252="",$A252&gt;$B$9,K$245=""),"",IF(COUNTIFS(BD!$B$3:$B$5001,K$245,BD!$A$3:$A$5001,"&gt;="&amp;$C$7,BD!$A$3:$A$5001,"&lt;="&amp;$B252,BD!$X$3:$X$5001,"&lt;&gt;")=0,"",SUMIFS(BD!$X$3:$X$5001,BD!$B$3:$B$5001,K$245,BD!$A$3:$A$5001,_xlfn.MAXIFS(BD!$A$3:$A$5001,BD!$B$3:$B$5001,K$245,BD!$A$3:$A$5001,"&gt;="&amp;$C$7,BD!$A$3:$A$5001,"&lt;="&amp;$B252,BD!$X$3:$X$5001,"&lt;&gt;"))))</f>
        <v/>
      </c>
      <c r="L252" s="54" t="str">
        <f>IF(OR($B252="",$A252&gt;$B$9,L$245=""),"",IF(COUNTIFS(BD!$B$3:$B$5001,L$245,BD!$A$3:$A$5001,"&gt;="&amp;$C$7,BD!$A$3:$A$5001,"&lt;="&amp;$B252,BD!$X$3:$X$5001,"&lt;&gt;")=0,"",SUMIFS(BD!$X$3:$X$5001,BD!$B$3:$B$5001,L$245,BD!$A$3:$A$5001,_xlfn.MAXIFS(BD!$A$3:$A$5001,BD!$B$3:$B$5001,L$245,BD!$A$3:$A$5001,"&gt;="&amp;$C$7,BD!$A$3:$A$5001,"&lt;="&amp;$B252,BD!$X$3:$X$5001,"&lt;&gt;"))))</f>
        <v/>
      </c>
      <c r="M252" s="54" t="str">
        <f>IF(OR($B252="",$A252&gt;$B$9,M$245=""),"",IF(COUNTIFS(BD!$B$3:$B$5001,M$245,BD!$A$3:$A$5001,"&gt;="&amp;$C$7,BD!$A$3:$A$5001,"&lt;="&amp;$B252,BD!$X$3:$X$5001,"&lt;&gt;")=0,"",SUMIFS(BD!$X$3:$X$5001,BD!$B$3:$B$5001,M$245,BD!$A$3:$A$5001,_xlfn.MAXIFS(BD!$A$3:$A$5001,BD!$B$3:$B$5001,M$245,BD!$A$3:$A$5001,"&gt;="&amp;$C$7,BD!$A$3:$A$5001,"&lt;="&amp;$B252,BD!$X$3:$X$5001,"&lt;&gt;"))))</f>
        <v/>
      </c>
      <c r="N252" s="54" t="str">
        <f>IF(OR($B252="",$A252&gt;$B$9,N$245=""),"",IF(COUNTIFS(BD!$B$3:$B$5001,N$245,BD!$A$3:$A$5001,"&gt;="&amp;$C$7,BD!$A$3:$A$5001,"&lt;="&amp;$B252,BD!$X$3:$X$5001,"&lt;&gt;")=0,"",SUMIFS(BD!$X$3:$X$5001,BD!$B$3:$B$5001,N$245,BD!$A$3:$A$5001,_xlfn.MAXIFS(BD!$A$3:$A$5001,BD!$B$3:$B$5001,N$245,BD!$A$3:$A$5001,"&gt;="&amp;$C$7,BD!$A$3:$A$5001,"&lt;="&amp;$B252,BD!$X$3:$X$5001,"&lt;&gt;"))))</f>
        <v/>
      </c>
      <c r="O252" s="54" t="str">
        <f>IF(OR($B252="",$A252&gt;$B$9,O$245=""),"",IF(COUNTIFS(BD!$B$3:$B$5001,O$245,BD!$A$3:$A$5001,"&gt;="&amp;$C$7,BD!$A$3:$A$5001,"&lt;="&amp;$B252,BD!$X$3:$X$5001,"&lt;&gt;")=0,"",SUMIFS(BD!$X$3:$X$5001,BD!$B$3:$B$5001,O$245,BD!$A$3:$A$5001,_xlfn.MAXIFS(BD!$A$3:$A$5001,BD!$B$3:$B$5001,O$245,BD!$A$3:$A$5001,"&gt;="&amp;$C$7,BD!$A$3:$A$5001,"&lt;="&amp;$B252,BD!$X$3:$X$5001,"&lt;&gt;"))))</f>
        <v/>
      </c>
      <c r="P252" s="54" t="str">
        <f>IF(OR($B252="",$A252&gt;$B$9,P$245=""),"",IF(COUNTIFS(BD!$B$3:$B$5001,P$245,BD!$A$3:$A$5001,"&gt;="&amp;$C$7,BD!$A$3:$A$5001,"&lt;="&amp;$B252,BD!$X$3:$X$5001,"&lt;&gt;")=0,"",SUMIFS(BD!$X$3:$X$5001,BD!$B$3:$B$5001,P$245,BD!$A$3:$A$5001,_xlfn.MAXIFS(BD!$A$3:$A$5001,BD!$B$3:$B$5001,P$245,BD!$A$3:$A$5001,"&gt;="&amp;$C$7,BD!$A$3:$A$5001,"&lt;="&amp;$B252,BD!$X$3:$X$5001,"&lt;&gt;"))))</f>
        <v/>
      </c>
      <c r="Q252" s="54" t="str">
        <f>IF(OR($B252="",$A252&gt;$B$9,Q$245=""),"",IF(COUNTIFS(BD!$B$3:$B$5001,Q$245,BD!$A$3:$A$5001,"&gt;="&amp;$C$7,BD!$A$3:$A$5001,"&lt;="&amp;$B252,BD!$X$3:$X$5001,"&lt;&gt;")=0,"",SUMIFS(BD!$X$3:$X$5001,BD!$B$3:$B$5001,Q$245,BD!$A$3:$A$5001,_xlfn.MAXIFS(BD!$A$3:$A$5001,BD!$B$3:$B$5001,Q$245,BD!$A$3:$A$5001,"&gt;="&amp;$C$7,BD!$A$3:$A$5001,"&lt;="&amp;$B252,BD!$X$3:$X$5001,"&lt;&gt;"))))</f>
        <v/>
      </c>
      <c r="R252" s="54" t="str">
        <f>IF(OR($B252="",$A252&gt;$B$9,R$245=""),"",IF(COUNTIFS(BD!$B$3:$B$5001,R$245,BD!$A$3:$A$5001,"&gt;="&amp;$C$7,BD!$A$3:$A$5001,"&lt;="&amp;$B252,BD!$X$3:$X$5001,"&lt;&gt;")=0,"",SUMIFS(BD!$X$3:$X$5001,BD!$B$3:$B$5001,R$245,BD!$A$3:$A$5001,_xlfn.MAXIFS(BD!$A$3:$A$5001,BD!$B$3:$B$5001,R$245,BD!$A$3:$A$5001,"&gt;="&amp;$C$7,BD!$A$3:$A$5001,"&lt;="&amp;$B252,BD!$X$3:$X$5001,"&lt;&gt;"))))</f>
        <v/>
      </c>
      <c r="S252" s="54" t="str">
        <f>IF(OR($B252="",$A252&gt;$B$9,S$245=""),"",IF(COUNTIFS(BD!$B$3:$B$5001,S$245,BD!$A$3:$A$5001,"&gt;="&amp;$C$7,BD!$A$3:$A$5001,"&lt;="&amp;$B252,BD!$X$3:$X$5001,"&lt;&gt;")=0,"",SUMIFS(BD!$X$3:$X$5001,BD!$B$3:$B$5001,S$245,BD!$A$3:$A$5001,_xlfn.MAXIFS(BD!$A$3:$A$5001,BD!$B$3:$B$5001,S$245,BD!$A$3:$A$5001,"&gt;="&amp;$C$7,BD!$A$3:$A$5001,"&lt;="&amp;$B252,BD!$X$3:$X$5001,"&lt;&gt;"))))</f>
        <v/>
      </c>
      <c r="T252" s="54" t="str">
        <f>IF(OR($B252="",$A252&gt;$B$9,T$245=""),"",IF(COUNTIFS(BD!$B$3:$B$5001,T$245,BD!$A$3:$A$5001,"&gt;="&amp;$C$7,BD!$A$3:$A$5001,"&lt;="&amp;$B252,BD!$X$3:$X$5001,"&lt;&gt;")=0,"",SUMIFS(BD!$X$3:$X$5001,BD!$B$3:$B$5001,T$245,BD!$A$3:$A$5001,_xlfn.MAXIFS(BD!$A$3:$A$5001,BD!$B$3:$B$5001,T$245,BD!$A$3:$A$5001,"&gt;="&amp;$C$7,BD!$A$3:$A$5001,"&lt;="&amp;$B252,BD!$X$3:$X$5001,"&lt;&gt;"))))</f>
        <v/>
      </c>
      <c r="U252" s="54" t="str">
        <f>IF(OR($B252="",$A252&gt;$B$9,U$245=""),"",IF(COUNTIFS(BD!$B$3:$B$5001,U$245,BD!$A$3:$A$5001,"&gt;="&amp;$C$7,BD!$A$3:$A$5001,"&lt;="&amp;$B252,BD!$X$3:$X$5001,"&lt;&gt;")=0,"",SUMIFS(BD!$X$3:$X$5001,BD!$B$3:$B$5001,U$245,BD!$A$3:$A$5001,_xlfn.MAXIFS(BD!$A$3:$A$5001,BD!$B$3:$B$5001,U$245,BD!$A$3:$A$5001,"&gt;="&amp;$C$7,BD!$A$3:$A$5001,"&lt;="&amp;$B252,BD!$X$3:$X$5001,"&lt;&gt;"))))</f>
        <v/>
      </c>
      <c r="V252" s="54" t="str">
        <f>IF(OR($B252="",$A252&gt;$B$9,V$245=""),"",IF(COUNTIFS(BD!$B$3:$B$5001,V$245,BD!$A$3:$A$5001,"&gt;="&amp;$C$7,BD!$A$3:$A$5001,"&lt;="&amp;$B252,BD!$X$3:$X$5001,"&lt;&gt;")=0,"",SUMIFS(BD!$X$3:$X$5001,BD!$B$3:$B$5001,V$245,BD!$A$3:$A$5001,_xlfn.MAXIFS(BD!$A$3:$A$5001,BD!$B$3:$B$5001,V$245,BD!$A$3:$A$5001,"&gt;="&amp;$C$7,BD!$A$3:$A$5001,"&lt;="&amp;$B252,BD!$X$3:$X$5001,"&lt;&gt;"))))</f>
        <v/>
      </c>
    </row>
    <row r="253">
      <c r="A253" s="48">
        <v>8</v>
      </c>
      <c r="B253" s="53">
        <f>$B$19</f>
        <v>46303</v>
      </c>
      <c r="C253" s="54" t="str">
        <f>IF(OR($B253="",$A253&gt;$B$9,C$245=""),"",IF(COUNTIFS(BD!$B$3:$B$5001,C$245,BD!$A$3:$A$5001,"&gt;="&amp;$C$7,BD!$A$3:$A$5001,"&lt;="&amp;$B253,BD!$X$3:$X$5001,"&lt;&gt;")=0,"",SUMIFS(BD!$X$3:$X$5001,BD!$B$3:$B$5001,C$245,BD!$A$3:$A$5001,_xlfn.MAXIFS(BD!$A$3:$A$5001,BD!$B$3:$B$5001,C$245,BD!$A$3:$A$5001,"&gt;="&amp;$C$7,BD!$A$3:$A$5001,"&lt;="&amp;$B253,BD!$X$3:$X$5001,"&lt;&gt;"))))</f>
        <v/>
      </c>
      <c r="D253" s="54" t="str">
        <f>IF(OR($B253="",$A253&gt;$B$9,D$245=""),"",IF(COUNTIFS(BD!$B$3:$B$5001,D$245,BD!$A$3:$A$5001,"&gt;="&amp;$C$7,BD!$A$3:$A$5001,"&lt;="&amp;$B253,BD!$X$3:$X$5001,"&lt;&gt;")=0,"",SUMIFS(BD!$X$3:$X$5001,BD!$B$3:$B$5001,D$245,BD!$A$3:$A$5001,_xlfn.MAXIFS(BD!$A$3:$A$5001,BD!$B$3:$B$5001,D$245,BD!$A$3:$A$5001,"&gt;="&amp;$C$7,BD!$A$3:$A$5001,"&lt;="&amp;$B253,BD!$X$3:$X$5001,"&lt;&gt;"))))</f>
        <v/>
      </c>
      <c r="E253" s="54" t="str">
        <f>IF(OR($B253="",$A253&gt;$B$9,E$245=""),"",IF(COUNTIFS(BD!$B$3:$B$5001,E$245,BD!$A$3:$A$5001,"&gt;="&amp;$C$7,BD!$A$3:$A$5001,"&lt;="&amp;$B253,BD!$X$3:$X$5001,"&lt;&gt;")=0,"",SUMIFS(BD!$X$3:$X$5001,BD!$B$3:$B$5001,E$245,BD!$A$3:$A$5001,_xlfn.MAXIFS(BD!$A$3:$A$5001,BD!$B$3:$B$5001,E$245,BD!$A$3:$A$5001,"&gt;="&amp;$C$7,BD!$A$3:$A$5001,"&lt;="&amp;$B253,BD!$X$3:$X$5001,"&lt;&gt;"))))</f>
        <v/>
      </c>
      <c r="F253" s="54" t="str">
        <f>IF(OR($B253="",$A253&gt;$B$9,F$245=""),"",IF(COUNTIFS(BD!$B$3:$B$5001,F$245,BD!$A$3:$A$5001,"&gt;="&amp;$C$7,BD!$A$3:$A$5001,"&lt;="&amp;$B253,BD!$X$3:$X$5001,"&lt;&gt;")=0,"",SUMIFS(BD!$X$3:$X$5001,BD!$B$3:$B$5001,F$245,BD!$A$3:$A$5001,_xlfn.MAXIFS(BD!$A$3:$A$5001,BD!$B$3:$B$5001,F$245,BD!$A$3:$A$5001,"&gt;="&amp;$C$7,BD!$A$3:$A$5001,"&lt;="&amp;$B253,BD!$X$3:$X$5001,"&lt;&gt;"))))</f>
        <v/>
      </c>
      <c r="G253" s="54" t="str">
        <f>IF(OR($B253="",$A253&gt;$B$9,G$245=""),"",IF(COUNTIFS(BD!$B$3:$B$5001,G$245,BD!$A$3:$A$5001,"&gt;="&amp;$C$7,BD!$A$3:$A$5001,"&lt;="&amp;$B253,BD!$X$3:$X$5001,"&lt;&gt;")=0,"",SUMIFS(BD!$X$3:$X$5001,BD!$B$3:$B$5001,G$245,BD!$A$3:$A$5001,_xlfn.MAXIFS(BD!$A$3:$A$5001,BD!$B$3:$B$5001,G$245,BD!$A$3:$A$5001,"&gt;="&amp;$C$7,BD!$A$3:$A$5001,"&lt;="&amp;$B253,BD!$X$3:$X$5001,"&lt;&gt;"))))</f>
        <v/>
      </c>
      <c r="H253" s="54" t="str">
        <f>IF(OR($B253="",$A253&gt;$B$9,H$245=""),"",IF(COUNTIFS(BD!$B$3:$B$5001,H$245,BD!$A$3:$A$5001,"&gt;="&amp;$C$7,BD!$A$3:$A$5001,"&lt;="&amp;$B253,BD!$X$3:$X$5001,"&lt;&gt;")=0,"",SUMIFS(BD!$X$3:$X$5001,BD!$B$3:$B$5001,H$245,BD!$A$3:$A$5001,_xlfn.MAXIFS(BD!$A$3:$A$5001,BD!$B$3:$B$5001,H$245,BD!$A$3:$A$5001,"&gt;="&amp;$C$7,BD!$A$3:$A$5001,"&lt;="&amp;$B253,BD!$X$3:$X$5001,"&lt;&gt;"))))</f>
        <v/>
      </c>
      <c r="I253" s="54" t="str">
        <f>IF(OR($B253="",$A253&gt;$B$9,I$245=""),"",IF(COUNTIFS(BD!$B$3:$B$5001,I$245,BD!$A$3:$A$5001,"&gt;="&amp;$C$7,BD!$A$3:$A$5001,"&lt;="&amp;$B253,BD!$X$3:$X$5001,"&lt;&gt;")=0,"",SUMIFS(BD!$X$3:$X$5001,BD!$B$3:$B$5001,I$245,BD!$A$3:$A$5001,_xlfn.MAXIFS(BD!$A$3:$A$5001,BD!$B$3:$B$5001,I$245,BD!$A$3:$A$5001,"&gt;="&amp;$C$7,BD!$A$3:$A$5001,"&lt;="&amp;$B253,BD!$X$3:$X$5001,"&lt;&gt;"))))</f>
        <v/>
      </c>
      <c r="J253" s="54" t="str">
        <f>IF(OR($B253="",$A253&gt;$B$9,J$245=""),"",IF(COUNTIFS(BD!$B$3:$B$5001,J$245,BD!$A$3:$A$5001,"&gt;="&amp;$C$7,BD!$A$3:$A$5001,"&lt;="&amp;$B253,BD!$X$3:$X$5001,"&lt;&gt;")=0,"",SUMIFS(BD!$X$3:$X$5001,BD!$B$3:$B$5001,J$245,BD!$A$3:$A$5001,_xlfn.MAXIFS(BD!$A$3:$A$5001,BD!$B$3:$B$5001,J$245,BD!$A$3:$A$5001,"&gt;="&amp;$C$7,BD!$A$3:$A$5001,"&lt;="&amp;$B253,BD!$X$3:$X$5001,"&lt;&gt;"))))</f>
        <v/>
      </c>
      <c r="K253" s="54" t="str">
        <f>IF(OR($B253="",$A253&gt;$B$9,K$245=""),"",IF(COUNTIFS(BD!$B$3:$B$5001,K$245,BD!$A$3:$A$5001,"&gt;="&amp;$C$7,BD!$A$3:$A$5001,"&lt;="&amp;$B253,BD!$X$3:$X$5001,"&lt;&gt;")=0,"",SUMIFS(BD!$X$3:$X$5001,BD!$B$3:$B$5001,K$245,BD!$A$3:$A$5001,_xlfn.MAXIFS(BD!$A$3:$A$5001,BD!$B$3:$B$5001,K$245,BD!$A$3:$A$5001,"&gt;="&amp;$C$7,BD!$A$3:$A$5001,"&lt;="&amp;$B253,BD!$X$3:$X$5001,"&lt;&gt;"))))</f>
        <v/>
      </c>
      <c r="L253" s="54" t="str">
        <f>IF(OR($B253="",$A253&gt;$B$9,L$245=""),"",IF(COUNTIFS(BD!$B$3:$B$5001,L$245,BD!$A$3:$A$5001,"&gt;="&amp;$C$7,BD!$A$3:$A$5001,"&lt;="&amp;$B253,BD!$X$3:$X$5001,"&lt;&gt;")=0,"",SUMIFS(BD!$X$3:$X$5001,BD!$B$3:$B$5001,L$245,BD!$A$3:$A$5001,_xlfn.MAXIFS(BD!$A$3:$A$5001,BD!$B$3:$B$5001,L$245,BD!$A$3:$A$5001,"&gt;="&amp;$C$7,BD!$A$3:$A$5001,"&lt;="&amp;$B253,BD!$X$3:$X$5001,"&lt;&gt;"))))</f>
        <v/>
      </c>
      <c r="M253" s="54" t="str">
        <f>IF(OR($B253="",$A253&gt;$B$9,M$245=""),"",IF(COUNTIFS(BD!$B$3:$B$5001,M$245,BD!$A$3:$A$5001,"&gt;="&amp;$C$7,BD!$A$3:$A$5001,"&lt;="&amp;$B253,BD!$X$3:$X$5001,"&lt;&gt;")=0,"",SUMIFS(BD!$X$3:$X$5001,BD!$B$3:$B$5001,M$245,BD!$A$3:$A$5001,_xlfn.MAXIFS(BD!$A$3:$A$5001,BD!$B$3:$B$5001,M$245,BD!$A$3:$A$5001,"&gt;="&amp;$C$7,BD!$A$3:$A$5001,"&lt;="&amp;$B253,BD!$X$3:$X$5001,"&lt;&gt;"))))</f>
        <v/>
      </c>
      <c r="N253" s="54" t="str">
        <f>IF(OR($B253="",$A253&gt;$B$9,N$245=""),"",IF(COUNTIFS(BD!$B$3:$B$5001,N$245,BD!$A$3:$A$5001,"&gt;="&amp;$C$7,BD!$A$3:$A$5001,"&lt;="&amp;$B253,BD!$X$3:$X$5001,"&lt;&gt;")=0,"",SUMIFS(BD!$X$3:$X$5001,BD!$B$3:$B$5001,N$245,BD!$A$3:$A$5001,_xlfn.MAXIFS(BD!$A$3:$A$5001,BD!$B$3:$B$5001,N$245,BD!$A$3:$A$5001,"&gt;="&amp;$C$7,BD!$A$3:$A$5001,"&lt;="&amp;$B253,BD!$X$3:$X$5001,"&lt;&gt;"))))</f>
        <v/>
      </c>
      <c r="O253" s="54" t="str">
        <f>IF(OR($B253="",$A253&gt;$B$9,O$245=""),"",IF(COUNTIFS(BD!$B$3:$B$5001,O$245,BD!$A$3:$A$5001,"&gt;="&amp;$C$7,BD!$A$3:$A$5001,"&lt;="&amp;$B253,BD!$X$3:$X$5001,"&lt;&gt;")=0,"",SUMIFS(BD!$X$3:$X$5001,BD!$B$3:$B$5001,O$245,BD!$A$3:$A$5001,_xlfn.MAXIFS(BD!$A$3:$A$5001,BD!$B$3:$B$5001,O$245,BD!$A$3:$A$5001,"&gt;="&amp;$C$7,BD!$A$3:$A$5001,"&lt;="&amp;$B253,BD!$X$3:$X$5001,"&lt;&gt;"))))</f>
        <v/>
      </c>
      <c r="P253" s="54" t="str">
        <f>IF(OR($B253="",$A253&gt;$B$9,P$245=""),"",IF(COUNTIFS(BD!$B$3:$B$5001,P$245,BD!$A$3:$A$5001,"&gt;="&amp;$C$7,BD!$A$3:$A$5001,"&lt;="&amp;$B253,BD!$X$3:$X$5001,"&lt;&gt;")=0,"",SUMIFS(BD!$X$3:$X$5001,BD!$B$3:$B$5001,P$245,BD!$A$3:$A$5001,_xlfn.MAXIFS(BD!$A$3:$A$5001,BD!$B$3:$B$5001,P$245,BD!$A$3:$A$5001,"&gt;="&amp;$C$7,BD!$A$3:$A$5001,"&lt;="&amp;$B253,BD!$X$3:$X$5001,"&lt;&gt;"))))</f>
        <v/>
      </c>
      <c r="Q253" s="54" t="str">
        <f>IF(OR($B253="",$A253&gt;$B$9,Q$245=""),"",IF(COUNTIFS(BD!$B$3:$B$5001,Q$245,BD!$A$3:$A$5001,"&gt;="&amp;$C$7,BD!$A$3:$A$5001,"&lt;="&amp;$B253,BD!$X$3:$X$5001,"&lt;&gt;")=0,"",SUMIFS(BD!$X$3:$X$5001,BD!$B$3:$B$5001,Q$245,BD!$A$3:$A$5001,_xlfn.MAXIFS(BD!$A$3:$A$5001,BD!$B$3:$B$5001,Q$245,BD!$A$3:$A$5001,"&gt;="&amp;$C$7,BD!$A$3:$A$5001,"&lt;="&amp;$B253,BD!$X$3:$X$5001,"&lt;&gt;"))))</f>
        <v/>
      </c>
      <c r="R253" s="54" t="str">
        <f>IF(OR($B253="",$A253&gt;$B$9,R$245=""),"",IF(COUNTIFS(BD!$B$3:$B$5001,R$245,BD!$A$3:$A$5001,"&gt;="&amp;$C$7,BD!$A$3:$A$5001,"&lt;="&amp;$B253,BD!$X$3:$X$5001,"&lt;&gt;")=0,"",SUMIFS(BD!$X$3:$X$5001,BD!$B$3:$B$5001,R$245,BD!$A$3:$A$5001,_xlfn.MAXIFS(BD!$A$3:$A$5001,BD!$B$3:$B$5001,R$245,BD!$A$3:$A$5001,"&gt;="&amp;$C$7,BD!$A$3:$A$5001,"&lt;="&amp;$B253,BD!$X$3:$X$5001,"&lt;&gt;"))))</f>
        <v/>
      </c>
      <c r="S253" s="54" t="str">
        <f>IF(OR($B253="",$A253&gt;$B$9,S$245=""),"",IF(COUNTIFS(BD!$B$3:$B$5001,S$245,BD!$A$3:$A$5001,"&gt;="&amp;$C$7,BD!$A$3:$A$5001,"&lt;="&amp;$B253,BD!$X$3:$X$5001,"&lt;&gt;")=0,"",SUMIFS(BD!$X$3:$X$5001,BD!$B$3:$B$5001,S$245,BD!$A$3:$A$5001,_xlfn.MAXIFS(BD!$A$3:$A$5001,BD!$B$3:$B$5001,S$245,BD!$A$3:$A$5001,"&gt;="&amp;$C$7,BD!$A$3:$A$5001,"&lt;="&amp;$B253,BD!$X$3:$X$5001,"&lt;&gt;"))))</f>
        <v/>
      </c>
      <c r="T253" s="54" t="str">
        <f>IF(OR($B253="",$A253&gt;$B$9,T$245=""),"",IF(COUNTIFS(BD!$B$3:$B$5001,T$245,BD!$A$3:$A$5001,"&gt;="&amp;$C$7,BD!$A$3:$A$5001,"&lt;="&amp;$B253,BD!$X$3:$X$5001,"&lt;&gt;")=0,"",SUMIFS(BD!$X$3:$X$5001,BD!$B$3:$B$5001,T$245,BD!$A$3:$A$5001,_xlfn.MAXIFS(BD!$A$3:$A$5001,BD!$B$3:$B$5001,T$245,BD!$A$3:$A$5001,"&gt;="&amp;$C$7,BD!$A$3:$A$5001,"&lt;="&amp;$B253,BD!$X$3:$X$5001,"&lt;&gt;"))))</f>
        <v/>
      </c>
      <c r="U253" s="54" t="str">
        <f>IF(OR($B253="",$A253&gt;$B$9,U$245=""),"",IF(COUNTIFS(BD!$B$3:$B$5001,U$245,BD!$A$3:$A$5001,"&gt;="&amp;$C$7,BD!$A$3:$A$5001,"&lt;="&amp;$B253,BD!$X$3:$X$5001,"&lt;&gt;")=0,"",SUMIFS(BD!$X$3:$X$5001,BD!$B$3:$B$5001,U$245,BD!$A$3:$A$5001,_xlfn.MAXIFS(BD!$A$3:$A$5001,BD!$B$3:$B$5001,U$245,BD!$A$3:$A$5001,"&gt;="&amp;$C$7,BD!$A$3:$A$5001,"&lt;="&amp;$B253,BD!$X$3:$X$5001,"&lt;&gt;"))))</f>
        <v/>
      </c>
      <c r="V253" s="54" t="str">
        <f>IF(OR($B253="",$A253&gt;$B$9,V$245=""),"",IF(COUNTIFS(BD!$B$3:$B$5001,V$245,BD!$A$3:$A$5001,"&gt;="&amp;$C$7,BD!$A$3:$A$5001,"&lt;="&amp;$B253,BD!$X$3:$X$5001,"&lt;&gt;")=0,"",SUMIFS(BD!$X$3:$X$5001,BD!$B$3:$B$5001,V$245,BD!$A$3:$A$5001,_xlfn.MAXIFS(BD!$A$3:$A$5001,BD!$B$3:$B$5001,V$245,BD!$A$3:$A$5001,"&gt;="&amp;$C$7,BD!$A$3:$A$5001,"&lt;="&amp;$B253,BD!$X$3:$X$5001,"&lt;&gt;"))))</f>
        <v/>
      </c>
    </row>
    <row r="254">
      <c r="A254" s="48">
        <v>9</v>
      </c>
      <c r="B254" s="53">
        <f>$B$20</f>
        <v>46304</v>
      </c>
      <c r="C254" s="54" t="str">
        <f>IF(OR($B254="",$A254&gt;$B$9,C$245=""),"",IF(COUNTIFS(BD!$B$3:$B$5001,C$245,BD!$A$3:$A$5001,"&gt;="&amp;$C$7,BD!$A$3:$A$5001,"&lt;="&amp;$B254,BD!$X$3:$X$5001,"&lt;&gt;")=0,"",SUMIFS(BD!$X$3:$X$5001,BD!$B$3:$B$5001,C$245,BD!$A$3:$A$5001,_xlfn.MAXIFS(BD!$A$3:$A$5001,BD!$B$3:$B$5001,C$245,BD!$A$3:$A$5001,"&gt;="&amp;$C$7,BD!$A$3:$A$5001,"&lt;="&amp;$B254,BD!$X$3:$X$5001,"&lt;&gt;"))))</f>
        <v/>
      </c>
      <c r="D254" s="54" t="str">
        <f>IF(OR($B254="",$A254&gt;$B$9,D$245=""),"",IF(COUNTIFS(BD!$B$3:$B$5001,D$245,BD!$A$3:$A$5001,"&gt;="&amp;$C$7,BD!$A$3:$A$5001,"&lt;="&amp;$B254,BD!$X$3:$X$5001,"&lt;&gt;")=0,"",SUMIFS(BD!$X$3:$X$5001,BD!$B$3:$B$5001,D$245,BD!$A$3:$A$5001,_xlfn.MAXIFS(BD!$A$3:$A$5001,BD!$B$3:$B$5001,D$245,BD!$A$3:$A$5001,"&gt;="&amp;$C$7,BD!$A$3:$A$5001,"&lt;="&amp;$B254,BD!$X$3:$X$5001,"&lt;&gt;"))))</f>
        <v/>
      </c>
      <c r="E254" s="54" t="str">
        <f>IF(OR($B254="",$A254&gt;$B$9,E$245=""),"",IF(COUNTIFS(BD!$B$3:$B$5001,E$245,BD!$A$3:$A$5001,"&gt;="&amp;$C$7,BD!$A$3:$A$5001,"&lt;="&amp;$B254,BD!$X$3:$X$5001,"&lt;&gt;")=0,"",SUMIFS(BD!$X$3:$X$5001,BD!$B$3:$B$5001,E$245,BD!$A$3:$A$5001,_xlfn.MAXIFS(BD!$A$3:$A$5001,BD!$B$3:$B$5001,E$245,BD!$A$3:$A$5001,"&gt;="&amp;$C$7,BD!$A$3:$A$5001,"&lt;="&amp;$B254,BD!$X$3:$X$5001,"&lt;&gt;"))))</f>
        <v/>
      </c>
      <c r="F254" s="54" t="str">
        <f>IF(OR($B254="",$A254&gt;$B$9,F$245=""),"",IF(COUNTIFS(BD!$B$3:$B$5001,F$245,BD!$A$3:$A$5001,"&gt;="&amp;$C$7,BD!$A$3:$A$5001,"&lt;="&amp;$B254,BD!$X$3:$X$5001,"&lt;&gt;")=0,"",SUMIFS(BD!$X$3:$X$5001,BD!$B$3:$B$5001,F$245,BD!$A$3:$A$5001,_xlfn.MAXIFS(BD!$A$3:$A$5001,BD!$B$3:$B$5001,F$245,BD!$A$3:$A$5001,"&gt;="&amp;$C$7,BD!$A$3:$A$5001,"&lt;="&amp;$B254,BD!$X$3:$X$5001,"&lt;&gt;"))))</f>
        <v/>
      </c>
      <c r="G254" s="54" t="str">
        <f>IF(OR($B254="",$A254&gt;$B$9,G$245=""),"",IF(COUNTIFS(BD!$B$3:$B$5001,G$245,BD!$A$3:$A$5001,"&gt;="&amp;$C$7,BD!$A$3:$A$5001,"&lt;="&amp;$B254,BD!$X$3:$X$5001,"&lt;&gt;")=0,"",SUMIFS(BD!$X$3:$X$5001,BD!$B$3:$B$5001,G$245,BD!$A$3:$A$5001,_xlfn.MAXIFS(BD!$A$3:$A$5001,BD!$B$3:$B$5001,G$245,BD!$A$3:$A$5001,"&gt;="&amp;$C$7,BD!$A$3:$A$5001,"&lt;="&amp;$B254,BD!$X$3:$X$5001,"&lt;&gt;"))))</f>
        <v/>
      </c>
      <c r="H254" s="54" t="str">
        <f>IF(OR($B254="",$A254&gt;$B$9,H$245=""),"",IF(COUNTIFS(BD!$B$3:$B$5001,H$245,BD!$A$3:$A$5001,"&gt;="&amp;$C$7,BD!$A$3:$A$5001,"&lt;="&amp;$B254,BD!$X$3:$X$5001,"&lt;&gt;")=0,"",SUMIFS(BD!$X$3:$X$5001,BD!$B$3:$B$5001,H$245,BD!$A$3:$A$5001,_xlfn.MAXIFS(BD!$A$3:$A$5001,BD!$B$3:$B$5001,H$245,BD!$A$3:$A$5001,"&gt;="&amp;$C$7,BD!$A$3:$A$5001,"&lt;="&amp;$B254,BD!$X$3:$X$5001,"&lt;&gt;"))))</f>
        <v/>
      </c>
      <c r="I254" s="54" t="str">
        <f>IF(OR($B254="",$A254&gt;$B$9,I$245=""),"",IF(COUNTIFS(BD!$B$3:$B$5001,I$245,BD!$A$3:$A$5001,"&gt;="&amp;$C$7,BD!$A$3:$A$5001,"&lt;="&amp;$B254,BD!$X$3:$X$5001,"&lt;&gt;")=0,"",SUMIFS(BD!$X$3:$X$5001,BD!$B$3:$B$5001,I$245,BD!$A$3:$A$5001,_xlfn.MAXIFS(BD!$A$3:$A$5001,BD!$B$3:$B$5001,I$245,BD!$A$3:$A$5001,"&gt;="&amp;$C$7,BD!$A$3:$A$5001,"&lt;="&amp;$B254,BD!$X$3:$X$5001,"&lt;&gt;"))))</f>
        <v/>
      </c>
      <c r="J254" s="54" t="str">
        <f>IF(OR($B254="",$A254&gt;$B$9,J$245=""),"",IF(COUNTIFS(BD!$B$3:$B$5001,J$245,BD!$A$3:$A$5001,"&gt;="&amp;$C$7,BD!$A$3:$A$5001,"&lt;="&amp;$B254,BD!$X$3:$X$5001,"&lt;&gt;")=0,"",SUMIFS(BD!$X$3:$X$5001,BD!$B$3:$B$5001,J$245,BD!$A$3:$A$5001,_xlfn.MAXIFS(BD!$A$3:$A$5001,BD!$B$3:$B$5001,J$245,BD!$A$3:$A$5001,"&gt;="&amp;$C$7,BD!$A$3:$A$5001,"&lt;="&amp;$B254,BD!$X$3:$X$5001,"&lt;&gt;"))))</f>
        <v/>
      </c>
      <c r="K254" s="54" t="str">
        <f>IF(OR($B254="",$A254&gt;$B$9,K$245=""),"",IF(COUNTIFS(BD!$B$3:$B$5001,K$245,BD!$A$3:$A$5001,"&gt;="&amp;$C$7,BD!$A$3:$A$5001,"&lt;="&amp;$B254,BD!$X$3:$X$5001,"&lt;&gt;")=0,"",SUMIFS(BD!$X$3:$X$5001,BD!$B$3:$B$5001,K$245,BD!$A$3:$A$5001,_xlfn.MAXIFS(BD!$A$3:$A$5001,BD!$B$3:$B$5001,K$245,BD!$A$3:$A$5001,"&gt;="&amp;$C$7,BD!$A$3:$A$5001,"&lt;="&amp;$B254,BD!$X$3:$X$5001,"&lt;&gt;"))))</f>
        <v/>
      </c>
      <c r="L254" s="54" t="str">
        <f>IF(OR($B254="",$A254&gt;$B$9,L$245=""),"",IF(COUNTIFS(BD!$B$3:$B$5001,L$245,BD!$A$3:$A$5001,"&gt;="&amp;$C$7,BD!$A$3:$A$5001,"&lt;="&amp;$B254,BD!$X$3:$X$5001,"&lt;&gt;")=0,"",SUMIFS(BD!$X$3:$X$5001,BD!$B$3:$B$5001,L$245,BD!$A$3:$A$5001,_xlfn.MAXIFS(BD!$A$3:$A$5001,BD!$B$3:$B$5001,L$245,BD!$A$3:$A$5001,"&gt;="&amp;$C$7,BD!$A$3:$A$5001,"&lt;="&amp;$B254,BD!$X$3:$X$5001,"&lt;&gt;"))))</f>
        <v/>
      </c>
      <c r="M254" s="54" t="str">
        <f>IF(OR($B254="",$A254&gt;$B$9,M$245=""),"",IF(COUNTIFS(BD!$B$3:$B$5001,M$245,BD!$A$3:$A$5001,"&gt;="&amp;$C$7,BD!$A$3:$A$5001,"&lt;="&amp;$B254,BD!$X$3:$X$5001,"&lt;&gt;")=0,"",SUMIFS(BD!$X$3:$X$5001,BD!$B$3:$B$5001,M$245,BD!$A$3:$A$5001,_xlfn.MAXIFS(BD!$A$3:$A$5001,BD!$B$3:$B$5001,M$245,BD!$A$3:$A$5001,"&gt;="&amp;$C$7,BD!$A$3:$A$5001,"&lt;="&amp;$B254,BD!$X$3:$X$5001,"&lt;&gt;"))))</f>
        <v/>
      </c>
      <c r="N254" s="54" t="str">
        <f>IF(OR($B254="",$A254&gt;$B$9,N$245=""),"",IF(COUNTIFS(BD!$B$3:$B$5001,N$245,BD!$A$3:$A$5001,"&gt;="&amp;$C$7,BD!$A$3:$A$5001,"&lt;="&amp;$B254,BD!$X$3:$X$5001,"&lt;&gt;")=0,"",SUMIFS(BD!$X$3:$X$5001,BD!$B$3:$B$5001,N$245,BD!$A$3:$A$5001,_xlfn.MAXIFS(BD!$A$3:$A$5001,BD!$B$3:$B$5001,N$245,BD!$A$3:$A$5001,"&gt;="&amp;$C$7,BD!$A$3:$A$5001,"&lt;="&amp;$B254,BD!$X$3:$X$5001,"&lt;&gt;"))))</f>
        <v/>
      </c>
      <c r="O254" s="54" t="str">
        <f>IF(OR($B254="",$A254&gt;$B$9,O$245=""),"",IF(COUNTIFS(BD!$B$3:$B$5001,O$245,BD!$A$3:$A$5001,"&gt;="&amp;$C$7,BD!$A$3:$A$5001,"&lt;="&amp;$B254,BD!$X$3:$X$5001,"&lt;&gt;")=0,"",SUMIFS(BD!$X$3:$X$5001,BD!$B$3:$B$5001,O$245,BD!$A$3:$A$5001,_xlfn.MAXIFS(BD!$A$3:$A$5001,BD!$B$3:$B$5001,O$245,BD!$A$3:$A$5001,"&gt;="&amp;$C$7,BD!$A$3:$A$5001,"&lt;="&amp;$B254,BD!$X$3:$X$5001,"&lt;&gt;"))))</f>
        <v/>
      </c>
      <c r="P254" s="54" t="str">
        <f>IF(OR($B254="",$A254&gt;$B$9,P$245=""),"",IF(COUNTIFS(BD!$B$3:$B$5001,P$245,BD!$A$3:$A$5001,"&gt;="&amp;$C$7,BD!$A$3:$A$5001,"&lt;="&amp;$B254,BD!$X$3:$X$5001,"&lt;&gt;")=0,"",SUMIFS(BD!$X$3:$X$5001,BD!$B$3:$B$5001,P$245,BD!$A$3:$A$5001,_xlfn.MAXIFS(BD!$A$3:$A$5001,BD!$B$3:$B$5001,P$245,BD!$A$3:$A$5001,"&gt;="&amp;$C$7,BD!$A$3:$A$5001,"&lt;="&amp;$B254,BD!$X$3:$X$5001,"&lt;&gt;"))))</f>
        <v/>
      </c>
      <c r="Q254" s="54" t="str">
        <f>IF(OR($B254="",$A254&gt;$B$9,Q$245=""),"",IF(COUNTIFS(BD!$B$3:$B$5001,Q$245,BD!$A$3:$A$5001,"&gt;="&amp;$C$7,BD!$A$3:$A$5001,"&lt;="&amp;$B254,BD!$X$3:$X$5001,"&lt;&gt;")=0,"",SUMIFS(BD!$X$3:$X$5001,BD!$B$3:$B$5001,Q$245,BD!$A$3:$A$5001,_xlfn.MAXIFS(BD!$A$3:$A$5001,BD!$B$3:$B$5001,Q$245,BD!$A$3:$A$5001,"&gt;="&amp;$C$7,BD!$A$3:$A$5001,"&lt;="&amp;$B254,BD!$X$3:$X$5001,"&lt;&gt;"))))</f>
        <v/>
      </c>
      <c r="R254" s="54" t="str">
        <f>IF(OR($B254="",$A254&gt;$B$9,R$245=""),"",IF(COUNTIFS(BD!$B$3:$B$5001,R$245,BD!$A$3:$A$5001,"&gt;="&amp;$C$7,BD!$A$3:$A$5001,"&lt;="&amp;$B254,BD!$X$3:$X$5001,"&lt;&gt;")=0,"",SUMIFS(BD!$X$3:$X$5001,BD!$B$3:$B$5001,R$245,BD!$A$3:$A$5001,_xlfn.MAXIFS(BD!$A$3:$A$5001,BD!$B$3:$B$5001,R$245,BD!$A$3:$A$5001,"&gt;="&amp;$C$7,BD!$A$3:$A$5001,"&lt;="&amp;$B254,BD!$X$3:$X$5001,"&lt;&gt;"))))</f>
        <v/>
      </c>
      <c r="S254" s="54" t="str">
        <f>IF(OR($B254="",$A254&gt;$B$9,S$245=""),"",IF(COUNTIFS(BD!$B$3:$B$5001,S$245,BD!$A$3:$A$5001,"&gt;="&amp;$C$7,BD!$A$3:$A$5001,"&lt;="&amp;$B254,BD!$X$3:$X$5001,"&lt;&gt;")=0,"",SUMIFS(BD!$X$3:$X$5001,BD!$B$3:$B$5001,S$245,BD!$A$3:$A$5001,_xlfn.MAXIFS(BD!$A$3:$A$5001,BD!$B$3:$B$5001,S$245,BD!$A$3:$A$5001,"&gt;="&amp;$C$7,BD!$A$3:$A$5001,"&lt;="&amp;$B254,BD!$X$3:$X$5001,"&lt;&gt;"))))</f>
        <v/>
      </c>
      <c r="T254" s="54" t="str">
        <f>IF(OR($B254="",$A254&gt;$B$9,T$245=""),"",IF(COUNTIFS(BD!$B$3:$B$5001,T$245,BD!$A$3:$A$5001,"&gt;="&amp;$C$7,BD!$A$3:$A$5001,"&lt;="&amp;$B254,BD!$X$3:$X$5001,"&lt;&gt;")=0,"",SUMIFS(BD!$X$3:$X$5001,BD!$B$3:$B$5001,T$245,BD!$A$3:$A$5001,_xlfn.MAXIFS(BD!$A$3:$A$5001,BD!$B$3:$B$5001,T$245,BD!$A$3:$A$5001,"&gt;="&amp;$C$7,BD!$A$3:$A$5001,"&lt;="&amp;$B254,BD!$X$3:$X$5001,"&lt;&gt;"))))</f>
        <v/>
      </c>
      <c r="U254" s="54" t="str">
        <f>IF(OR($B254="",$A254&gt;$B$9,U$245=""),"",IF(COUNTIFS(BD!$B$3:$B$5001,U$245,BD!$A$3:$A$5001,"&gt;="&amp;$C$7,BD!$A$3:$A$5001,"&lt;="&amp;$B254,BD!$X$3:$X$5001,"&lt;&gt;")=0,"",SUMIFS(BD!$X$3:$X$5001,BD!$B$3:$B$5001,U$245,BD!$A$3:$A$5001,_xlfn.MAXIFS(BD!$A$3:$A$5001,BD!$B$3:$B$5001,U$245,BD!$A$3:$A$5001,"&gt;="&amp;$C$7,BD!$A$3:$A$5001,"&lt;="&amp;$B254,BD!$X$3:$X$5001,"&lt;&gt;"))))</f>
        <v/>
      </c>
      <c r="V254" s="54" t="str">
        <f>IF(OR($B254="",$A254&gt;$B$9,V$245=""),"",IF(COUNTIFS(BD!$B$3:$B$5001,V$245,BD!$A$3:$A$5001,"&gt;="&amp;$C$7,BD!$A$3:$A$5001,"&lt;="&amp;$B254,BD!$X$3:$X$5001,"&lt;&gt;")=0,"",SUMIFS(BD!$X$3:$X$5001,BD!$B$3:$B$5001,V$245,BD!$A$3:$A$5001,_xlfn.MAXIFS(BD!$A$3:$A$5001,BD!$B$3:$B$5001,V$245,BD!$A$3:$A$5001,"&gt;="&amp;$C$7,BD!$A$3:$A$5001,"&lt;="&amp;$B254,BD!$X$3:$X$5001,"&lt;&gt;"))))</f>
        <v/>
      </c>
    </row>
    <row r="255">
      <c r="A255" s="48">
        <v>10</v>
      </c>
      <c r="B255" s="53">
        <f>$B$21</f>
        <v>46305</v>
      </c>
      <c r="C255" s="54" t="str">
        <f>IF(OR($B255="",$A255&gt;$B$9,C$245=""),"",IF(COUNTIFS(BD!$B$3:$B$5001,C$245,BD!$A$3:$A$5001,"&gt;="&amp;$C$7,BD!$A$3:$A$5001,"&lt;="&amp;$B255,BD!$X$3:$X$5001,"&lt;&gt;")=0,"",SUMIFS(BD!$X$3:$X$5001,BD!$B$3:$B$5001,C$245,BD!$A$3:$A$5001,_xlfn.MAXIFS(BD!$A$3:$A$5001,BD!$B$3:$B$5001,C$245,BD!$A$3:$A$5001,"&gt;="&amp;$C$7,BD!$A$3:$A$5001,"&lt;="&amp;$B255,BD!$X$3:$X$5001,"&lt;&gt;"))))</f>
        <v/>
      </c>
      <c r="D255" s="54" t="str">
        <f>IF(OR($B255="",$A255&gt;$B$9,D$245=""),"",IF(COUNTIFS(BD!$B$3:$B$5001,D$245,BD!$A$3:$A$5001,"&gt;="&amp;$C$7,BD!$A$3:$A$5001,"&lt;="&amp;$B255,BD!$X$3:$X$5001,"&lt;&gt;")=0,"",SUMIFS(BD!$X$3:$X$5001,BD!$B$3:$B$5001,D$245,BD!$A$3:$A$5001,_xlfn.MAXIFS(BD!$A$3:$A$5001,BD!$B$3:$B$5001,D$245,BD!$A$3:$A$5001,"&gt;="&amp;$C$7,BD!$A$3:$A$5001,"&lt;="&amp;$B255,BD!$X$3:$X$5001,"&lt;&gt;"))))</f>
        <v/>
      </c>
      <c r="E255" s="54" t="str">
        <f>IF(OR($B255="",$A255&gt;$B$9,E$245=""),"",IF(COUNTIFS(BD!$B$3:$B$5001,E$245,BD!$A$3:$A$5001,"&gt;="&amp;$C$7,BD!$A$3:$A$5001,"&lt;="&amp;$B255,BD!$X$3:$X$5001,"&lt;&gt;")=0,"",SUMIFS(BD!$X$3:$X$5001,BD!$B$3:$B$5001,E$245,BD!$A$3:$A$5001,_xlfn.MAXIFS(BD!$A$3:$A$5001,BD!$B$3:$B$5001,E$245,BD!$A$3:$A$5001,"&gt;="&amp;$C$7,BD!$A$3:$A$5001,"&lt;="&amp;$B255,BD!$X$3:$X$5001,"&lt;&gt;"))))</f>
        <v/>
      </c>
      <c r="F255" s="54" t="str">
        <f>IF(OR($B255="",$A255&gt;$B$9,F$245=""),"",IF(COUNTIFS(BD!$B$3:$B$5001,F$245,BD!$A$3:$A$5001,"&gt;="&amp;$C$7,BD!$A$3:$A$5001,"&lt;="&amp;$B255,BD!$X$3:$X$5001,"&lt;&gt;")=0,"",SUMIFS(BD!$X$3:$X$5001,BD!$B$3:$B$5001,F$245,BD!$A$3:$A$5001,_xlfn.MAXIFS(BD!$A$3:$A$5001,BD!$B$3:$B$5001,F$245,BD!$A$3:$A$5001,"&gt;="&amp;$C$7,BD!$A$3:$A$5001,"&lt;="&amp;$B255,BD!$X$3:$X$5001,"&lt;&gt;"))))</f>
        <v/>
      </c>
      <c r="G255" s="54" t="str">
        <f>IF(OR($B255="",$A255&gt;$B$9,G$245=""),"",IF(COUNTIFS(BD!$B$3:$B$5001,G$245,BD!$A$3:$A$5001,"&gt;="&amp;$C$7,BD!$A$3:$A$5001,"&lt;="&amp;$B255,BD!$X$3:$X$5001,"&lt;&gt;")=0,"",SUMIFS(BD!$X$3:$X$5001,BD!$B$3:$B$5001,G$245,BD!$A$3:$A$5001,_xlfn.MAXIFS(BD!$A$3:$A$5001,BD!$B$3:$B$5001,G$245,BD!$A$3:$A$5001,"&gt;="&amp;$C$7,BD!$A$3:$A$5001,"&lt;="&amp;$B255,BD!$X$3:$X$5001,"&lt;&gt;"))))</f>
        <v/>
      </c>
      <c r="H255" s="54" t="str">
        <f>IF(OR($B255="",$A255&gt;$B$9,H$245=""),"",IF(COUNTIFS(BD!$B$3:$B$5001,H$245,BD!$A$3:$A$5001,"&gt;="&amp;$C$7,BD!$A$3:$A$5001,"&lt;="&amp;$B255,BD!$X$3:$X$5001,"&lt;&gt;")=0,"",SUMIFS(BD!$X$3:$X$5001,BD!$B$3:$B$5001,H$245,BD!$A$3:$A$5001,_xlfn.MAXIFS(BD!$A$3:$A$5001,BD!$B$3:$B$5001,H$245,BD!$A$3:$A$5001,"&gt;="&amp;$C$7,BD!$A$3:$A$5001,"&lt;="&amp;$B255,BD!$X$3:$X$5001,"&lt;&gt;"))))</f>
        <v/>
      </c>
      <c r="I255" s="54" t="str">
        <f>IF(OR($B255="",$A255&gt;$B$9,I$245=""),"",IF(COUNTIFS(BD!$B$3:$B$5001,I$245,BD!$A$3:$A$5001,"&gt;="&amp;$C$7,BD!$A$3:$A$5001,"&lt;="&amp;$B255,BD!$X$3:$X$5001,"&lt;&gt;")=0,"",SUMIFS(BD!$X$3:$X$5001,BD!$B$3:$B$5001,I$245,BD!$A$3:$A$5001,_xlfn.MAXIFS(BD!$A$3:$A$5001,BD!$B$3:$B$5001,I$245,BD!$A$3:$A$5001,"&gt;="&amp;$C$7,BD!$A$3:$A$5001,"&lt;="&amp;$B255,BD!$X$3:$X$5001,"&lt;&gt;"))))</f>
        <v/>
      </c>
      <c r="J255" s="54" t="str">
        <f>IF(OR($B255="",$A255&gt;$B$9,J$245=""),"",IF(COUNTIFS(BD!$B$3:$B$5001,J$245,BD!$A$3:$A$5001,"&gt;="&amp;$C$7,BD!$A$3:$A$5001,"&lt;="&amp;$B255,BD!$X$3:$X$5001,"&lt;&gt;")=0,"",SUMIFS(BD!$X$3:$X$5001,BD!$B$3:$B$5001,J$245,BD!$A$3:$A$5001,_xlfn.MAXIFS(BD!$A$3:$A$5001,BD!$B$3:$B$5001,J$245,BD!$A$3:$A$5001,"&gt;="&amp;$C$7,BD!$A$3:$A$5001,"&lt;="&amp;$B255,BD!$X$3:$X$5001,"&lt;&gt;"))))</f>
        <v/>
      </c>
      <c r="K255" s="54" t="str">
        <f>IF(OR($B255="",$A255&gt;$B$9,K$245=""),"",IF(COUNTIFS(BD!$B$3:$B$5001,K$245,BD!$A$3:$A$5001,"&gt;="&amp;$C$7,BD!$A$3:$A$5001,"&lt;="&amp;$B255,BD!$X$3:$X$5001,"&lt;&gt;")=0,"",SUMIFS(BD!$X$3:$X$5001,BD!$B$3:$B$5001,K$245,BD!$A$3:$A$5001,_xlfn.MAXIFS(BD!$A$3:$A$5001,BD!$B$3:$B$5001,K$245,BD!$A$3:$A$5001,"&gt;="&amp;$C$7,BD!$A$3:$A$5001,"&lt;="&amp;$B255,BD!$X$3:$X$5001,"&lt;&gt;"))))</f>
        <v/>
      </c>
      <c r="L255" s="54" t="str">
        <f>IF(OR($B255="",$A255&gt;$B$9,L$245=""),"",IF(COUNTIFS(BD!$B$3:$B$5001,L$245,BD!$A$3:$A$5001,"&gt;="&amp;$C$7,BD!$A$3:$A$5001,"&lt;="&amp;$B255,BD!$X$3:$X$5001,"&lt;&gt;")=0,"",SUMIFS(BD!$X$3:$X$5001,BD!$B$3:$B$5001,L$245,BD!$A$3:$A$5001,_xlfn.MAXIFS(BD!$A$3:$A$5001,BD!$B$3:$B$5001,L$245,BD!$A$3:$A$5001,"&gt;="&amp;$C$7,BD!$A$3:$A$5001,"&lt;="&amp;$B255,BD!$X$3:$X$5001,"&lt;&gt;"))))</f>
        <v/>
      </c>
      <c r="M255" s="54" t="str">
        <f>IF(OR($B255="",$A255&gt;$B$9,M$245=""),"",IF(COUNTIFS(BD!$B$3:$B$5001,M$245,BD!$A$3:$A$5001,"&gt;="&amp;$C$7,BD!$A$3:$A$5001,"&lt;="&amp;$B255,BD!$X$3:$X$5001,"&lt;&gt;")=0,"",SUMIFS(BD!$X$3:$X$5001,BD!$B$3:$B$5001,M$245,BD!$A$3:$A$5001,_xlfn.MAXIFS(BD!$A$3:$A$5001,BD!$B$3:$B$5001,M$245,BD!$A$3:$A$5001,"&gt;="&amp;$C$7,BD!$A$3:$A$5001,"&lt;="&amp;$B255,BD!$X$3:$X$5001,"&lt;&gt;"))))</f>
        <v/>
      </c>
      <c r="N255" s="54" t="str">
        <f>IF(OR($B255="",$A255&gt;$B$9,N$245=""),"",IF(COUNTIFS(BD!$B$3:$B$5001,N$245,BD!$A$3:$A$5001,"&gt;="&amp;$C$7,BD!$A$3:$A$5001,"&lt;="&amp;$B255,BD!$X$3:$X$5001,"&lt;&gt;")=0,"",SUMIFS(BD!$X$3:$X$5001,BD!$B$3:$B$5001,N$245,BD!$A$3:$A$5001,_xlfn.MAXIFS(BD!$A$3:$A$5001,BD!$B$3:$B$5001,N$245,BD!$A$3:$A$5001,"&gt;="&amp;$C$7,BD!$A$3:$A$5001,"&lt;="&amp;$B255,BD!$X$3:$X$5001,"&lt;&gt;"))))</f>
        <v/>
      </c>
      <c r="O255" s="54" t="str">
        <f>IF(OR($B255="",$A255&gt;$B$9,O$245=""),"",IF(COUNTIFS(BD!$B$3:$B$5001,O$245,BD!$A$3:$A$5001,"&gt;="&amp;$C$7,BD!$A$3:$A$5001,"&lt;="&amp;$B255,BD!$X$3:$X$5001,"&lt;&gt;")=0,"",SUMIFS(BD!$X$3:$X$5001,BD!$B$3:$B$5001,O$245,BD!$A$3:$A$5001,_xlfn.MAXIFS(BD!$A$3:$A$5001,BD!$B$3:$B$5001,O$245,BD!$A$3:$A$5001,"&gt;="&amp;$C$7,BD!$A$3:$A$5001,"&lt;="&amp;$B255,BD!$X$3:$X$5001,"&lt;&gt;"))))</f>
        <v/>
      </c>
      <c r="P255" s="54" t="str">
        <f>IF(OR($B255="",$A255&gt;$B$9,P$245=""),"",IF(COUNTIFS(BD!$B$3:$B$5001,P$245,BD!$A$3:$A$5001,"&gt;="&amp;$C$7,BD!$A$3:$A$5001,"&lt;="&amp;$B255,BD!$X$3:$X$5001,"&lt;&gt;")=0,"",SUMIFS(BD!$X$3:$X$5001,BD!$B$3:$B$5001,P$245,BD!$A$3:$A$5001,_xlfn.MAXIFS(BD!$A$3:$A$5001,BD!$B$3:$B$5001,P$245,BD!$A$3:$A$5001,"&gt;="&amp;$C$7,BD!$A$3:$A$5001,"&lt;="&amp;$B255,BD!$X$3:$X$5001,"&lt;&gt;"))))</f>
        <v/>
      </c>
      <c r="Q255" s="54" t="str">
        <f>IF(OR($B255="",$A255&gt;$B$9,Q$245=""),"",IF(COUNTIFS(BD!$B$3:$B$5001,Q$245,BD!$A$3:$A$5001,"&gt;="&amp;$C$7,BD!$A$3:$A$5001,"&lt;="&amp;$B255,BD!$X$3:$X$5001,"&lt;&gt;")=0,"",SUMIFS(BD!$X$3:$X$5001,BD!$B$3:$B$5001,Q$245,BD!$A$3:$A$5001,_xlfn.MAXIFS(BD!$A$3:$A$5001,BD!$B$3:$B$5001,Q$245,BD!$A$3:$A$5001,"&gt;="&amp;$C$7,BD!$A$3:$A$5001,"&lt;="&amp;$B255,BD!$X$3:$X$5001,"&lt;&gt;"))))</f>
        <v/>
      </c>
      <c r="R255" s="54" t="str">
        <f>IF(OR($B255="",$A255&gt;$B$9,R$245=""),"",IF(COUNTIFS(BD!$B$3:$B$5001,R$245,BD!$A$3:$A$5001,"&gt;="&amp;$C$7,BD!$A$3:$A$5001,"&lt;="&amp;$B255,BD!$X$3:$X$5001,"&lt;&gt;")=0,"",SUMIFS(BD!$X$3:$X$5001,BD!$B$3:$B$5001,R$245,BD!$A$3:$A$5001,_xlfn.MAXIFS(BD!$A$3:$A$5001,BD!$B$3:$B$5001,R$245,BD!$A$3:$A$5001,"&gt;="&amp;$C$7,BD!$A$3:$A$5001,"&lt;="&amp;$B255,BD!$X$3:$X$5001,"&lt;&gt;"))))</f>
        <v/>
      </c>
      <c r="S255" s="54" t="str">
        <f>IF(OR($B255="",$A255&gt;$B$9,S$245=""),"",IF(COUNTIFS(BD!$B$3:$B$5001,S$245,BD!$A$3:$A$5001,"&gt;="&amp;$C$7,BD!$A$3:$A$5001,"&lt;="&amp;$B255,BD!$X$3:$X$5001,"&lt;&gt;")=0,"",SUMIFS(BD!$X$3:$X$5001,BD!$B$3:$B$5001,S$245,BD!$A$3:$A$5001,_xlfn.MAXIFS(BD!$A$3:$A$5001,BD!$B$3:$B$5001,S$245,BD!$A$3:$A$5001,"&gt;="&amp;$C$7,BD!$A$3:$A$5001,"&lt;="&amp;$B255,BD!$X$3:$X$5001,"&lt;&gt;"))))</f>
        <v/>
      </c>
      <c r="T255" s="54" t="str">
        <f>IF(OR($B255="",$A255&gt;$B$9,T$245=""),"",IF(COUNTIFS(BD!$B$3:$B$5001,T$245,BD!$A$3:$A$5001,"&gt;="&amp;$C$7,BD!$A$3:$A$5001,"&lt;="&amp;$B255,BD!$X$3:$X$5001,"&lt;&gt;")=0,"",SUMIFS(BD!$X$3:$X$5001,BD!$B$3:$B$5001,T$245,BD!$A$3:$A$5001,_xlfn.MAXIFS(BD!$A$3:$A$5001,BD!$B$3:$B$5001,T$245,BD!$A$3:$A$5001,"&gt;="&amp;$C$7,BD!$A$3:$A$5001,"&lt;="&amp;$B255,BD!$X$3:$X$5001,"&lt;&gt;"))))</f>
        <v/>
      </c>
      <c r="U255" s="54" t="str">
        <f>IF(OR($B255="",$A255&gt;$B$9,U$245=""),"",IF(COUNTIFS(BD!$B$3:$B$5001,U$245,BD!$A$3:$A$5001,"&gt;="&amp;$C$7,BD!$A$3:$A$5001,"&lt;="&amp;$B255,BD!$X$3:$X$5001,"&lt;&gt;")=0,"",SUMIFS(BD!$X$3:$X$5001,BD!$B$3:$B$5001,U$245,BD!$A$3:$A$5001,_xlfn.MAXIFS(BD!$A$3:$A$5001,BD!$B$3:$B$5001,U$245,BD!$A$3:$A$5001,"&gt;="&amp;$C$7,BD!$A$3:$A$5001,"&lt;="&amp;$B255,BD!$X$3:$X$5001,"&lt;&gt;"))))</f>
        <v/>
      </c>
      <c r="V255" s="54" t="str">
        <f>IF(OR($B255="",$A255&gt;$B$9,V$245=""),"",IF(COUNTIFS(BD!$B$3:$B$5001,V$245,BD!$A$3:$A$5001,"&gt;="&amp;$C$7,BD!$A$3:$A$5001,"&lt;="&amp;$B255,BD!$X$3:$X$5001,"&lt;&gt;")=0,"",SUMIFS(BD!$X$3:$X$5001,BD!$B$3:$B$5001,V$245,BD!$A$3:$A$5001,_xlfn.MAXIFS(BD!$A$3:$A$5001,BD!$B$3:$B$5001,V$245,BD!$A$3:$A$5001,"&gt;="&amp;$C$7,BD!$A$3:$A$5001,"&lt;="&amp;$B255,BD!$X$3:$X$5001,"&lt;&gt;"))))</f>
        <v/>
      </c>
    </row>
    <row r="256">
      <c r="A256" s="48">
        <v>11</v>
      </c>
      <c r="B256" s="53">
        <f>$B$22</f>
        <v>46306</v>
      </c>
      <c r="C256" s="54" t="str">
        <f>IF(OR($B256="",$A256&gt;$B$9,C$245=""),"",IF(COUNTIFS(BD!$B$3:$B$5001,C$245,BD!$A$3:$A$5001,"&gt;="&amp;$C$7,BD!$A$3:$A$5001,"&lt;="&amp;$B256,BD!$X$3:$X$5001,"&lt;&gt;")=0,"",SUMIFS(BD!$X$3:$X$5001,BD!$B$3:$B$5001,C$245,BD!$A$3:$A$5001,_xlfn.MAXIFS(BD!$A$3:$A$5001,BD!$B$3:$B$5001,C$245,BD!$A$3:$A$5001,"&gt;="&amp;$C$7,BD!$A$3:$A$5001,"&lt;="&amp;$B256,BD!$X$3:$X$5001,"&lt;&gt;"))))</f>
        <v/>
      </c>
      <c r="D256" s="54" t="str">
        <f>IF(OR($B256="",$A256&gt;$B$9,D$245=""),"",IF(COUNTIFS(BD!$B$3:$B$5001,D$245,BD!$A$3:$A$5001,"&gt;="&amp;$C$7,BD!$A$3:$A$5001,"&lt;="&amp;$B256,BD!$X$3:$X$5001,"&lt;&gt;")=0,"",SUMIFS(BD!$X$3:$X$5001,BD!$B$3:$B$5001,D$245,BD!$A$3:$A$5001,_xlfn.MAXIFS(BD!$A$3:$A$5001,BD!$B$3:$B$5001,D$245,BD!$A$3:$A$5001,"&gt;="&amp;$C$7,BD!$A$3:$A$5001,"&lt;="&amp;$B256,BD!$X$3:$X$5001,"&lt;&gt;"))))</f>
        <v/>
      </c>
      <c r="E256" s="54" t="str">
        <f>IF(OR($B256="",$A256&gt;$B$9,E$245=""),"",IF(COUNTIFS(BD!$B$3:$B$5001,E$245,BD!$A$3:$A$5001,"&gt;="&amp;$C$7,BD!$A$3:$A$5001,"&lt;="&amp;$B256,BD!$X$3:$X$5001,"&lt;&gt;")=0,"",SUMIFS(BD!$X$3:$X$5001,BD!$B$3:$B$5001,E$245,BD!$A$3:$A$5001,_xlfn.MAXIFS(BD!$A$3:$A$5001,BD!$B$3:$B$5001,E$245,BD!$A$3:$A$5001,"&gt;="&amp;$C$7,BD!$A$3:$A$5001,"&lt;="&amp;$B256,BD!$X$3:$X$5001,"&lt;&gt;"))))</f>
        <v/>
      </c>
      <c r="F256" s="54" t="str">
        <f>IF(OR($B256="",$A256&gt;$B$9,F$245=""),"",IF(COUNTIFS(BD!$B$3:$B$5001,F$245,BD!$A$3:$A$5001,"&gt;="&amp;$C$7,BD!$A$3:$A$5001,"&lt;="&amp;$B256,BD!$X$3:$X$5001,"&lt;&gt;")=0,"",SUMIFS(BD!$X$3:$X$5001,BD!$B$3:$B$5001,F$245,BD!$A$3:$A$5001,_xlfn.MAXIFS(BD!$A$3:$A$5001,BD!$B$3:$B$5001,F$245,BD!$A$3:$A$5001,"&gt;="&amp;$C$7,BD!$A$3:$A$5001,"&lt;="&amp;$B256,BD!$X$3:$X$5001,"&lt;&gt;"))))</f>
        <v/>
      </c>
      <c r="G256" s="54" t="str">
        <f>IF(OR($B256="",$A256&gt;$B$9,G$245=""),"",IF(COUNTIFS(BD!$B$3:$B$5001,G$245,BD!$A$3:$A$5001,"&gt;="&amp;$C$7,BD!$A$3:$A$5001,"&lt;="&amp;$B256,BD!$X$3:$X$5001,"&lt;&gt;")=0,"",SUMIFS(BD!$X$3:$X$5001,BD!$B$3:$B$5001,G$245,BD!$A$3:$A$5001,_xlfn.MAXIFS(BD!$A$3:$A$5001,BD!$B$3:$B$5001,G$245,BD!$A$3:$A$5001,"&gt;="&amp;$C$7,BD!$A$3:$A$5001,"&lt;="&amp;$B256,BD!$X$3:$X$5001,"&lt;&gt;"))))</f>
        <v/>
      </c>
      <c r="H256" s="54" t="str">
        <f>IF(OR($B256="",$A256&gt;$B$9,H$245=""),"",IF(COUNTIFS(BD!$B$3:$B$5001,H$245,BD!$A$3:$A$5001,"&gt;="&amp;$C$7,BD!$A$3:$A$5001,"&lt;="&amp;$B256,BD!$X$3:$X$5001,"&lt;&gt;")=0,"",SUMIFS(BD!$X$3:$X$5001,BD!$B$3:$B$5001,H$245,BD!$A$3:$A$5001,_xlfn.MAXIFS(BD!$A$3:$A$5001,BD!$B$3:$B$5001,H$245,BD!$A$3:$A$5001,"&gt;="&amp;$C$7,BD!$A$3:$A$5001,"&lt;="&amp;$B256,BD!$X$3:$X$5001,"&lt;&gt;"))))</f>
        <v/>
      </c>
      <c r="I256" s="54" t="str">
        <f>IF(OR($B256="",$A256&gt;$B$9,I$245=""),"",IF(COUNTIFS(BD!$B$3:$B$5001,I$245,BD!$A$3:$A$5001,"&gt;="&amp;$C$7,BD!$A$3:$A$5001,"&lt;="&amp;$B256,BD!$X$3:$X$5001,"&lt;&gt;")=0,"",SUMIFS(BD!$X$3:$X$5001,BD!$B$3:$B$5001,I$245,BD!$A$3:$A$5001,_xlfn.MAXIFS(BD!$A$3:$A$5001,BD!$B$3:$B$5001,I$245,BD!$A$3:$A$5001,"&gt;="&amp;$C$7,BD!$A$3:$A$5001,"&lt;="&amp;$B256,BD!$X$3:$X$5001,"&lt;&gt;"))))</f>
        <v/>
      </c>
      <c r="J256" s="54" t="str">
        <f>IF(OR($B256="",$A256&gt;$B$9,J$245=""),"",IF(COUNTIFS(BD!$B$3:$B$5001,J$245,BD!$A$3:$A$5001,"&gt;="&amp;$C$7,BD!$A$3:$A$5001,"&lt;="&amp;$B256,BD!$X$3:$X$5001,"&lt;&gt;")=0,"",SUMIFS(BD!$X$3:$X$5001,BD!$B$3:$B$5001,J$245,BD!$A$3:$A$5001,_xlfn.MAXIFS(BD!$A$3:$A$5001,BD!$B$3:$B$5001,J$245,BD!$A$3:$A$5001,"&gt;="&amp;$C$7,BD!$A$3:$A$5001,"&lt;="&amp;$B256,BD!$X$3:$X$5001,"&lt;&gt;"))))</f>
        <v/>
      </c>
      <c r="K256" s="54" t="str">
        <f>IF(OR($B256="",$A256&gt;$B$9,K$245=""),"",IF(COUNTIFS(BD!$B$3:$B$5001,K$245,BD!$A$3:$A$5001,"&gt;="&amp;$C$7,BD!$A$3:$A$5001,"&lt;="&amp;$B256,BD!$X$3:$X$5001,"&lt;&gt;")=0,"",SUMIFS(BD!$X$3:$X$5001,BD!$B$3:$B$5001,K$245,BD!$A$3:$A$5001,_xlfn.MAXIFS(BD!$A$3:$A$5001,BD!$B$3:$B$5001,K$245,BD!$A$3:$A$5001,"&gt;="&amp;$C$7,BD!$A$3:$A$5001,"&lt;="&amp;$B256,BD!$X$3:$X$5001,"&lt;&gt;"))))</f>
        <v/>
      </c>
      <c r="L256" s="54" t="str">
        <f>IF(OR($B256="",$A256&gt;$B$9,L$245=""),"",IF(COUNTIFS(BD!$B$3:$B$5001,L$245,BD!$A$3:$A$5001,"&gt;="&amp;$C$7,BD!$A$3:$A$5001,"&lt;="&amp;$B256,BD!$X$3:$X$5001,"&lt;&gt;")=0,"",SUMIFS(BD!$X$3:$X$5001,BD!$B$3:$B$5001,L$245,BD!$A$3:$A$5001,_xlfn.MAXIFS(BD!$A$3:$A$5001,BD!$B$3:$B$5001,L$245,BD!$A$3:$A$5001,"&gt;="&amp;$C$7,BD!$A$3:$A$5001,"&lt;="&amp;$B256,BD!$X$3:$X$5001,"&lt;&gt;"))))</f>
        <v/>
      </c>
      <c r="M256" s="54" t="str">
        <f>IF(OR($B256="",$A256&gt;$B$9,M$245=""),"",IF(COUNTIFS(BD!$B$3:$B$5001,M$245,BD!$A$3:$A$5001,"&gt;="&amp;$C$7,BD!$A$3:$A$5001,"&lt;="&amp;$B256,BD!$X$3:$X$5001,"&lt;&gt;")=0,"",SUMIFS(BD!$X$3:$X$5001,BD!$B$3:$B$5001,M$245,BD!$A$3:$A$5001,_xlfn.MAXIFS(BD!$A$3:$A$5001,BD!$B$3:$B$5001,M$245,BD!$A$3:$A$5001,"&gt;="&amp;$C$7,BD!$A$3:$A$5001,"&lt;="&amp;$B256,BD!$X$3:$X$5001,"&lt;&gt;"))))</f>
        <v/>
      </c>
      <c r="N256" s="54" t="str">
        <f>IF(OR($B256="",$A256&gt;$B$9,N$245=""),"",IF(COUNTIFS(BD!$B$3:$B$5001,N$245,BD!$A$3:$A$5001,"&gt;="&amp;$C$7,BD!$A$3:$A$5001,"&lt;="&amp;$B256,BD!$X$3:$X$5001,"&lt;&gt;")=0,"",SUMIFS(BD!$X$3:$X$5001,BD!$B$3:$B$5001,N$245,BD!$A$3:$A$5001,_xlfn.MAXIFS(BD!$A$3:$A$5001,BD!$B$3:$B$5001,N$245,BD!$A$3:$A$5001,"&gt;="&amp;$C$7,BD!$A$3:$A$5001,"&lt;="&amp;$B256,BD!$X$3:$X$5001,"&lt;&gt;"))))</f>
        <v/>
      </c>
      <c r="O256" s="54" t="str">
        <f>IF(OR($B256="",$A256&gt;$B$9,O$245=""),"",IF(COUNTIFS(BD!$B$3:$B$5001,O$245,BD!$A$3:$A$5001,"&gt;="&amp;$C$7,BD!$A$3:$A$5001,"&lt;="&amp;$B256,BD!$X$3:$X$5001,"&lt;&gt;")=0,"",SUMIFS(BD!$X$3:$X$5001,BD!$B$3:$B$5001,O$245,BD!$A$3:$A$5001,_xlfn.MAXIFS(BD!$A$3:$A$5001,BD!$B$3:$B$5001,O$245,BD!$A$3:$A$5001,"&gt;="&amp;$C$7,BD!$A$3:$A$5001,"&lt;="&amp;$B256,BD!$X$3:$X$5001,"&lt;&gt;"))))</f>
        <v/>
      </c>
      <c r="P256" s="54" t="str">
        <f>IF(OR($B256="",$A256&gt;$B$9,P$245=""),"",IF(COUNTIFS(BD!$B$3:$B$5001,P$245,BD!$A$3:$A$5001,"&gt;="&amp;$C$7,BD!$A$3:$A$5001,"&lt;="&amp;$B256,BD!$X$3:$X$5001,"&lt;&gt;")=0,"",SUMIFS(BD!$X$3:$X$5001,BD!$B$3:$B$5001,P$245,BD!$A$3:$A$5001,_xlfn.MAXIFS(BD!$A$3:$A$5001,BD!$B$3:$B$5001,P$245,BD!$A$3:$A$5001,"&gt;="&amp;$C$7,BD!$A$3:$A$5001,"&lt;="&amp;$B256,BD!$X$3:$X$5001,"&lt;&gt;"))))</f>
        <v/>
      </c>
      <c r="Q256" s="54" t="str">
        <f>IF(OR($B256="",$A256&gt;$B$9,Q$245=""),"",IF(COUNTIFS(BD!$B$3:$B$5001,Q$245,BD!$A$3:$A$5001,"&gt;="&amp;$C$7,BD!$A$3:$A$5001,"&lt;="&amp;$B256,BD!$X$3:$X$5001,"&lt;&gt;")=0,"",SUMIFS(BD!$X$3:$X$5001,BD!$B$3:$B$5001,Q$245,BD!$A$3:$A$5001,_xlfn.MAXIFS(BD!$A$3:$A$5001,BD!$B$3:$B$5001,Q$245,BD!$A$3:$A$5001,"&gt;="&amp;$C$7,BD!$A$3:$A$5001,"&lt;="&amp;$B256,BD!$X$3:$X$5001,"&lt;&gt;"))))</f>
        <v/>
      </c>
      <c r="R256" s="54" t="str">
        <f>IF(OR($B256="",$A256&gt;$B$9,R$245=""),"",IF(COUNTIFS(BD!$B$3:$B$5001,R$245,BD!$A$3:$A$5001,"&gt;="&amp;$C$7,BD!$A$3:$A$5001,"&lt;="&amp;$B256,BD!$X$3:$X$5001,"&lt;&gt;")=0,"",SUMIFS(BD!$X$3:$X$5001,BD!$B$3:$B$5001,R$245,BD!$A$3:$A$5001,_xlfn.MAXIFS(BD!$A$3:$A$5001,BD!$B$3:$B$5001,R$245,BD!$A$3:$A$5001,"&gt;="&amp;$C$7,BD!$A$3:$A$5001,"&lt;="&amp;$B256,BD!$X$3:$X$5001,"&lt;&gt;"))))</f>
        <v/>
      </c>
      <c r="S256" s="54" t="str">
        <f>IF(OR($B256="",$A256&gt;$B$9,S$245=""),"",IF(COUNTIFS(BD!$B$3:$B$5001,S$245,BD!$A$3:$A$5001,"&gt;="&amp;$C$7,BD!$A$3:$A$5001,"&lt;="&amp;$B256,BD!$X$3:$X$5001,"&lt;&gt;")=0,"",SUMIFS(BD!$X$3:$X$5001,BD!$B$3:$B$5001,S$245,BD!$A$3:$A$5001,_xlfn.MAXIFS(BD!$A$3:$A$5001,BD!$B$3:$B$5001,S$245,BD!$A$3:$A$5001,"&gt;="&amp;$C$7,BD!$A$3:$A$5001,"&lt;="&amp;$B256,BD!$X$3:$X$5001,"&lt;&gt;"))))</f>
        <v/>
      </c>
      <c r="T256" s="54" t="str">
        <f>IF(OR($B256="",$A256&gt;$B$9,T$245=""),"",IF(COUNTIFS(BD!$B$3:$B$5001,T$245,BD!$A$3:$A$5001,"&gt;="&amp;$C$7,BD!$A$3:$A$5001,"&lt;="&amp;$B256,BD!$X$3:$X$5001,"&lt;&gt;")=0,"",SUMIFS(BD!$X$3:$X$5001,BD!$B$3:$B$5001,T$245,BD!$A$3:$A$5001,_xlfn.MAXIFS(BD!$A$3:$A$5001,BD!$B$3:$B$5001,T$245,BD!$A$3:$A$5001,"&gt;="&amp;$C$7,BD!$A$3:$A$5001,"&lt;="&amp;$B256,BD!$X$3:$X$5001,"&lt;&gt;"))))</f>
        <v/>
      </c>
      <c r="U256" s="54" t="str">
        <f>IF(OR($B256="",$A256&gt;$B$9,U$245=""),"",IF(COUNTIFS(BD!$B$3:$B$5001,U$245,BD!$A$3:$A$5001,"&gt;="&amp;$C$7,BD!$A$3:$A$5001,"&lt;="&amp;$B256,BD!$X$3:$X$5001,"&lt;&gt;")=0,"",SUMIFS(BD!$X$3:$X$5001,BD!$B$3:$B$5001,U$245,BD!$A$3:$A$5001,_xlfn.MAXIFS(BD!$A$3:$A$5001,BD!$B$3:$B$5001,U$245,BD!$A$3:$A$5001,"&gt;="&amp;$C$7,BD!$A$3:$A$5001,"&lt;="&amp;$B256,BD!$X$3:$X$5001,"&lt;&gt;"))))</f>
        <v/>
      </c>
      <c r="V256" s="54" t="str">
        <f>IF(OR($B256="",$A256&gt;$B$9,V$245=""),"",IF(COUNTIFS(BD!$B$3:$B$5001,V$245,BD!$A$3:$A$5001,"&gt;="&amp;$C$7,BD!$A$3:$A$5001,"&lt;="&amp;$B256,BD!$X$3:$X$5001,"&lt;&gt;")=0,"",SUMIFS(BD!$X$3:$X$5001,BD!$B$3:$B$5001,V$245,BD!$A$3:$A$5001,_xlfn.MAXIFS(BD!$A$3:$A$5001,BD!$B$3:$B$5001,V$245,BD!$A$3:$A$5001,"&gt;="&amp;$C$7,BD!$A$3:$A$5001,"&lt;="&amp;$B256,BD!$X$3:$X$5001,"&lt;&gt;"))))</f>
        <v/>
      </c>
    </row>
    <row r="257">
      <c r="A257" s="48">
        <v>12</v>
      </c>
      <c r="B257" s="53">
        <f>$B$23</f>
        <v>46307</v>
      </c>
      <c r="C257" s="54" t="str">
        <f>IF(OR($B257="",$A257&gt;$B$9,C$245=""),"",IF(COUNTIFS(BD!$B$3:$B$5001,C$245,BD!$A$3:$A$5001,"&gt;="&amp;$C$7,BD!$A$3:$A$5001,"&lt;="&amp;$B257,BD!$X$3:$X$5001,"&lt;&gt;")=0,"",SUMIFS(BD!$X$3:$X$5001,BD!$B$3:$B$5001,C$245,BD!$A$3:$A$5001,_xlfn.MAXIFS(BD!$A$3:$A$5001,BD!$B$3:$B$5001,C$245,BD!$A$3:$A$5001,"&gt;="&amp;$C$7,BD!$A$3:$A$5001,"&lt;="&amp;$B257,BD!$X$3:$X$5001,"&lt;&gt;"))))</f>
        <v/>
      </c>
      <c r="D257" s="54" t="str">
        <f>IF(OR($B257="",$A257&gt;$B$9,D$245=""),"",IF(COUNTIFS(BD!$B$3:$B$5001,D$245,BD!$A$3:$A$5001,"&gt;="&amp;$C$7,BD!$A$3:$A$5001,"&lt;="&amp;$B257,BD!$X$3:$X$5001,"&lt;&gt;")=0,"",SUMIFS(BD!$X$3:$X$5001,BD!$B$3:$B$5001,D$245,BD!$A$3:$A$5001,_xlfn.MAXIFS(BD!$A$3:$A$5001,BD!$B$3:$B$5001,D$245,BD!$A$3:$A$5001,"&gt;="&amp;$C$7,BD!$A$3:$A$5001,"&lt;="&amp;$B257,BD!$X$3:$X$5001,"&lt;&gt;"))))</f>
        <v/>
      </c>
      <c r="E257" s="54" t="str">
        <f>IF(OR($B257="",$A257&gt;$B$9,E$245=""),"",IF(COUNTIFS(BD!$B$3:$B$5001,E$245,BD!$A$3:$A$5001,"&gt;="&amp;$C$7,BD!$A$3:$A$5001,"&lt;="&amp;$B257,BD!$X$3:$X$5001,"&lt;&gt;")=0,"",SUMIFS(BD!$X$3:$X$5001,BD!$B$3:$B$5001,E$245,BD!$A$3:$A$5001,_xlfn.MAXIFS(BD!$A$3:$A$5001,BD!$B$3:$B$5001,E$245,BD!$A$3:$A$5001,"&gt;="&amp;$C$7,BD!$A$3:$A$5001,"&lt;="&amp;$B257,BD!$X$3:$X$5001,"&lt;&gt;"))))</f>
        <v/>
      </c>
      <c r="F257" s="54" t="str">
        <f>IF(OR($B257="",$A257&gt;$B$9,F$245=""),"",IF(COUNTIFS(BD!$B$3:$B$5001,F$245,BD!$A$3:$A$5001,"&gt;="&amp;$C$7,BD!$A$3:$A$5001,"&lt;="&amp;$B257,BD!$X$3:$X$5001,"&lt;&gt;")=0,"",SUMIFS(BD!$X$3:$X$5001,BD!$B$3:$B$5001,F$245,BD!$A$3:$A$5001,_xlfn.MAXIFS(BD!$A$3:$A$5001,BD!$B$3:$B$5001,F$245,BD!$A$3:$A$5001,"&gt;="&amp;$C$7,BD!$A$3:$A$5001,"&lt;="&amp;$B257,BD!$X$3:$X$5001,"&lt;&gt;"))))</f>
        <v/>
      </c>
      <c r="G257" s="54" t="str">
        <f>IF(OR($B257="",$A257&gt;$B$9,G$245=""),"",IF(COUNTIFS(BD!$B$3:$B$5001,G$245,BD!$A$3:$A$5001,"&gt;="&amp;$C$7,BD!$A$3:$A$5001,"&lt;="&amp;$B257,BD!$X$3:$X$5001,"&lt;&gt;")=0,"",SUMIFS(BD!$X$3:$X$5001,BD!$B$3:$B$5001,G$245,BD!$A$3:$A$5001,_xlfn.MAXIFS(BD!$A$3:$A$5001,BD!$B$3:$B$5001,G$245,BD!$A$3:$A$5001,"&gt;="&amp;$C$7,BD!$A$3:$A$5001,"&lt;="&amp;$B257,BD!$X$3:$X$5001,"&lt;&gt;"))))</f>
        <v/>
      </c>
      <c r="H257" s="54" t="str">
        <f>IF(OR($B257="",$A257&gt;$B$9,H$245=""),"",IF(COUNTIFS(BD!$B$3:$B$5001,H$245,BD!$A$3:$A$5001,"&gt;="&amp;$C$7,BD!$A$3:$A$5001,"&lt;="&amp;$B257,BD!$X$3:$X$5001,"&lt;&gt;")=0,"",SUMIFS(BD!$X$3:$X$5001,BD!$B$3:$B$5001,H$245,BD!$A$3:$A$5001,_xlfn.MAXIFS(BD!$A$3:$A$5001,BD!$B$3:$B$5001,H$245,BD!$A$3:$A$5001,"&gt;="&amp;$C$7,BD!$A$3:$A$5001,"&lt;="&amp;$B257,BD!$X$3:$X$5001,"&lt;&gt;"))))</f>
        <v/>
      </c>
      <c r="I257" s="54" t="str">
        <f>IF(OR($B257="",$A257&gt;$B$9,I$245=""),"",IF(COUNTIFS(BD!$B$3:$B$5001,I$245,BD!$A$3:$A$5001,"&gt;="&amp;$C$7,BD!$A$3:$A$5001,"&lt;="&amp;$B257,BD!$X$3:$X$5001,"&lt;&gt;")=0,"",SUMIFS(BD!$X$3:$X$5001,BD!$B$3:$B$5001,I$245,BD!$A$3:$A$5001,_xlfn.MAXIFS(BD!$A$3:$A$5001,BD!$B$3:$B$5001,I$245,BD!$A$3:$A$5001,"&gt;="&amp;$C$7,BD!$A$3:$A$5001,"&lt;="&amp;$B257,BD!$X$3:$X$5001,"&lt;&gt;"))))</f>
        <v/>
      </c>
      <c r="J257" s="54" t="str">
        <f>IF(OR($B257="",$A257&gt;$B$9,J$245=""),"",IF(COUNTIFS(BD!$B$3:$B$5001,J$245,BD!$A$3:$A$5001,"&gt;="&amp;$C$7,BD!$A$3:$A$5001,"&lt;="&amp;$B257,BD!$X$3:$X$5001,"&lt;&gt;")=0,"",SUMIFS(BD!$X$3:$X$5001,BD!$B$3:$B$5001,J$245,BD!$A$3:$A$5001,_xlfn.MAXIFS(BD!$A$3:$A$5001,BD!$B$3:$B$5001,J$245,BD!$A$3:$A$5001,"&gt;="&amp;$C$7,BD!$A$3:$A$5001,"&lt;="&amp;$B257,BD!$X$3:$X$5001,"&lt;&gt;"))))</f>
        <v/>
      </c>
      <c r="K257" s="54" t="str">
        <f>IF(OR($B257="",$A257&gt;$B$9,K$245=""),"",IF(COUNTIFS(BD!$B$3:$B$5001,K$245,BD!$A$3:$A$5001,"&gt;="&amp;$C$7,BD!$A$3:$A$5001,"&lt;="&amp;$B257,BD!$X$3:$X$5001,"&lt;&gt;")=0,"",SUMIFS(BD!$X$3:$X$5001,BD!$B$3:$B$5001,K$245,BD!$A$3:$A$5001,_xlfn.MAXIFS(BD!$A$3:$A$5001,BD!$B$3:$B$5001,K$245,BD!$A$3:$A$5001,"&gt;="&amp;$C$7,BD!$A$3:$A$5001,"&lt;="&amp;$B257,BD!$X$3:$X$5001,"&lt;&gt;"))))</f>
        <v/>
      </c>
      <c r="L257" s="54" t="str">
        <f>IF(OR($B257="",$A257&gt;$B$9,L$245=""),"",IF(COUNTIFS(BD!$B$3:$B$5001,L$245,BD!$A$3:$A$5001,"&gt;="&amp;$C$7,BD!$A$3:$A$5001,"&lt;="&amp;$B257,BD!$X$3:$X$5001,"&lt;&gt;")=0,"",SUMIFS(BD!$X$3:$X$5001,BD!$B$3:$B$5001,L$245,BD!$A$3:$A$5001,_xlfn.MAXIFS(BD!$A$3:$A$5001,BD!$B$3:$B$5001,L$245,BD!$A$3:$A$5001,"&gt;="&amp;$C$7,BD!$A$3:$A$5001,"&lt;="&amp;$B257,BD!$X$3:$X$5001,"&lt;&gt;"))))</f>
        <v/>
      </c>
      <c r="M257" s="54" t="str">
        <f>IF(OR($B257="",$A257&gt;$B$9,M$245=""),"",IF(COUNTIFS(BD!$B$3:$B$5001,M$245,BD!$A$3:$A$5001,"&gt;="&amp;$C$7,BD!$A$3:$A$5001,"&lt;="&amp;$B257,BD!$X$3:$X$5001,"&lt;&gt;")=0,"",SUMIFS(BD!$X$3:$X$5001,BD!$B$3:$B$5001,M$245,BD!$A$3:$A$5001,_xlfn.MAXIFS(BD!$A$3:$A$5001,BD!$B$3:$B$5001,M$245,BD!$A$3:$A$5001,"&gt;="&amp;$C$7,BD!$A$3:$A$5001,"&lt;="&amp;$B257,BD!$X$3:$X$5001,"&lt;&gt;"))))</f>
        <v/>
      </c>
      <c r="N257" s="54" t="str">
        <f>IF(OR($B257="",$A257&gt;$B$9,N$245=""),"",IF(COUNTIFS(BD!$B$3:$B$5001,N$245,BD!$A$3:$A$5001,"&gt;="&amp;$C$7,BD!$A$3:$A$5001,"&lt;="&amp;$B257,BD!$X$3:$X$5001,"&lt;&gt;")=0,"",SUMIFS(BD!$X$3:$X$5001,BD!$B$3:$B$5001,N$245,BD!$A$3:$A$5001,_xlfn.MAXIFS(BD!$A$3:$A$5001,BD!$B$3:$B$5001,N$245,BD!$A$3:$A$5001,"&gt;="&amp;$C$7,BD!$A$3:$A$5001,"&lt;="&amp;$B257,BD!$X$3:$X$5001,"&lt;&gt;"))))</f>
        <v/>
      </c>
      <c r="O257" s="54" t="str">
        <f>IF(OR($B257="",$A257&gt;$B$9,O$245=""),"",IF(COUNTIFS(BD!$B$3:$B$5001,O$245,BD!$A$3:$A$5001,"&gt;="&amp;$C$7,BD!$A$3:$A$5001,"&lt;="&amp;$B257,BD!$X$3:$X$5001,"&lt;&gt;")=0,"",SUMIFS(BD!$X$3:$X$5001,BD!$B$3:$B$5001,O$245,BD!$A$3:$A$5001,_xlfn.MAXIFS(BD!$A$3:$A$5001,BD!$B$3:$B$5001,O$245,BD!$A$3:$A$5001,"&gt;="&amp;$C$7,BD!$A$3:$A$5001,"&lt;="&amp;$B257,BD!$X$3:$X$5001,"&lt;&gt;"))))</f>
        <v/>
      </c>
      <c r="P257" s="54" t="str">
        <f>IF(OR($B257="",$A257&gt;$B$9,P$245=""),"",IF(COUNTIFS(BD!$B$3:$B$5001,P$245,BD!$A$3:$A$5001,"&gt;="&amp;$C$7,BD!$A$3:$A$5001,"&lt;="&amp;$B257,BD!$X$3:$X$5001,"&lt;&gt;")=0,"",SUMIFS(BD!$X$3:$X$5001,BD!$B$3:$B$5001,P$245,BD!$A$3:$A$5001,_xlfn.MAXIFS(BD!$A$3:$A$5001,BD!$B$3:$B$5001,P$245,BD!$A$3:$A$5001,"&gt;="&amp;$C$7,BD!$A$3:$A$5001,"&lt;="&amp;$B257,BD!$X$3:$X$5001,"&lt;&gt;"))))</f>
        <v/>
      </c>
      <c r="Q257" s="54" t="str">
        <f>IF(OR($B257="",$A257&gt;$B$9,Q$245=""),"",IF(COUNTIFS(BD!$B$3:$B$5001,Q$245,BD!$A$3:$A$5001,"&gt;="&amp;$C$7,BD!$A$3:$A$5001,"&lt;="&amp;$B257,BD!$X$3:$X$5001,"&lt;&gt;")=0,"",SUMIFS(BD!$X$3:$X$5001,BD!$B$3:$B$5001,Q$245,BD!$A$3:$A$5001,_xlfn.MAXIFS(BD!$A$3:$A$5001,BD!$B$3:$B$5001,Q$245,BD!$A$3:$A$5001,"&gt;="&amp;$C$7,BD!$A$3:$A$5001,"&lt;="&amp;$B257,BD!$X$3:$X$5001,"&lt;&gt;"))))</f>
        <v/>
      </c>
      <c r="R257" s="54" t="str">
        <f>IF(OR($B257="",$A257&gt;$B$9,R$245=""),"",IF(COUNTIFS(BD!$B$3:$B$5001,R$245,BD!$A$3:$A$5001,"&gt;="&amp;$C$7,BD!$A$3:$A$5001,"&lt;="&amp;$B257,BD!$X$3:$X$5001,"&lt;&gt;")=0,"",SUMIFS(BD!$X$3:$X$5001,BD!$B$3:$B$5001,R$245,BD!$A$3:$A$5001,_xlfn.MAXIFS(BD!$A$3:$A$5001,BD!$B$3:$B$5001,R$245,BD!$A$3:$A$5001,"&gt;="&amp;$C$7,BD!$A$3:$A$5001,"&lt;="&amp;$B257,BD!$X$3:$X$5001,"&lt;&gt;"))))</f>
        <v/>
      </c>
      <c r="S257" s="54" t="str">
        <f>IF(OR($B257="",$A257&gt;$B$9,S$245=""),"",IF(COUNTIFS(BD!$B$3:$B$5001,S$245,BD!$A$3:$A$5001,"&gt;="&amp;$C$7,BD!$A$3:$A$5001,"&lt;="&amp;$B257,BD!$X$3:$X$5001,"&lt;&gt;")=0,"",SUMIFS(BD!$X$3:$X$5001,BD!$B$3:$B$5001,S$245,BD!$A$3:$A$5001,_xlfn.MAXIFS(BD!$A$3:$A$5001,BD!$B$3:$B$5001,S$245,BD!$A$3:$A$5001,"&gt;="&amp;$C$7,BD!$A$3:$A$5001,"&lt;="&amp;$B257,BD!$X$3:$X$5001,"&lt;&gt;"))))</f>
        <v/>
      </c>
      <c r="T257" s="54" t="str">
        <f>IF(OR($B257="",$A257&gt;$B$9,T$245=""),"",IF(COUNTIFS(BD!$B$3:$B$5001,T$245,BD!$A$3:$A$5001,"&gt;="&amp;$C$7,BD!$A$3:$A$5001,"&lt;="&amp;$B257,BD!$X$3:$X$5001,"&lt;&gt;")=0,"",SUMIFS(BD!$X$3:$X$5001,BD!$B$3:$B$5001,T$245,BD!$A$3:$A$5001,_xlfn.MAXIFS(BD!$A$3:$A$5001,BD!$B$3:$B$5001,T$245,BD!$A$3:$A$5001,"&gt;="&amp;$C$7,BD!$A$3:$A$5001,"&lt;="&amp;$B257,BD!$X$3:$X$5001,"&lt;&gt;"))))</f>
        <v/>
      </c>
      <c r="U257" s="54" t="str">
        <f>IF(OR($B257="",$A257&gt;$B$9,U$245=""),"",IF(COUNTIFS(BD!$B$3:$B$5001,U$245,BD!$A$3:$A$5001,"&gt;="&amp;$C$7,BD!$A$3:$A$5001,"&lt;="&amp;$B257,BD!$X$3:$X$5001,"&lt;&gt;")=0,"",SUMIFS(BD!$X$3:$X$5001,BD!$B$3:$B$5001,U$245,BD!$A$3:$A$5001,_xlfn.MAXIFS(BD!$A$3:$A$5001,BD!$B$3:$B$5001,U$245,BD!$A$3:$A$5001,"&gt;="&amp;$C$7,BD!$A$3:$A$5001,"&lt;="&amp;$B257,BD!$X$3:$X$5001,"&lt;&gt;"))))</f>
        <v/>
      </c>
      <c r="V257" s="54" t="str">
        <f>IF(OR($B257="",$A257&gt;$B$9,V$245=""),"",IF(COUNTIFS(BD!$B$3:$B$5001,V$245,BD!$A$3:$A$5001,"&gt;="&amp;$C$7,BD!$A$3:$A$5001,"&lt;="&amp;$B257,BD!$X$3:$X$5001,"&lt;&gt;")=0,"",SUMIFS(BD!$X$3:$X$5001,BD!$B$3:$B$5001,V$245,BD!$A$3:$A$5001,_xlfn.MAXIFS(BD!$A$3:$A$5001,BD!$B$3:$B$5001,V$245,BD!$A$3:$A$5001,"&gt;="&amp;$C$7,BD!$A$3:$A$5001,"&lt;="&amp;$B257,BD!$X$3:$X$5001,"&lt;&gt;"))))</f>
        <v/>
      </c>
    </row>
    <row r="258">
      <c r="A258" s="48">
        <v>13</v>
      </c>
      <c r="B258" s="53">
        <f>$B$24</f>
        <v>46308</v>
      </c>
      <c r="C258" s="54" t="str">
        <f>IF(OR($B258="",$A258&gt;$B$9,C$245=""),"",IF(COUNTIFS(BD!$B$3:$B$5001,C$245,BD!$A$3:$A$5001,"&gt;="&amp;$C$7,BD!$A$3:$A$5001,"&lt;="&amp;$B258,BD!$X$3:$X$5001,"&lt;&gt;")=0,"",SUMIFS(BD!$X$3:$X$5001,BD!$B$3:$B$5001,C$245,BD!$A$3:$A$5001,_xlfn.MAXIFS(BD!$A$3:$A$5001,BD!$B$3:$B$5001,C$245,BD!$A$3:$A$5001,"&gt;="&amp;$C$7,BD!$A$3:$A$5001,"&lt;="&amp;$B258,BD!$X$3:$X$5001,"&lt;&gt;"))))</f>
        <v/>
      </c>
      <c r="D258" s="54" t="str">
        <f>IF(OR($B258="",$A258&gt;$B$9,D$245=""),"",IF(COUNTIFS(BD!$B$3:$B$5001,D$245,BD!$A$3:$A$5001,"&gt;="&amp;$C$7,BD!$A$3:$A$5001,"&lt;="&amp;$B258,BD!$X$3:$X$5001,"&lt;&gt;")=0,"",SUMIFS(BD!$X$3:$X$5001,BD!$B$3:$B$5001,D$245,BD!$A$3:$A$5001,_xlfn.MAXIFS(BD!$A$3:$A$5001,BD!$B$3:$B$5001,D$245,BD!$A$3:$A$5001,"&gt;="&amp;$C$7,BD!$A$3:$A$5001,"&lt;="&amp;$B258,BD!$X$3:$X$5001,"&lt;&gt;"))))</f>
        <v/>
      </c>
      <c r="E258" s="54" t="str">
        <f>IF(OR($B258="",$A258&gt;$B$9,E$245=""),"",IF(COUNTIFS(BD!$B$3:$B$5001,E$245,BD!$A$3:$A$5001,"&gt;="&amp;$C$7,BD!$A$3:$A$5001,"&lt;="&amp;$B258,BD!$X$3:$X$5001,"&lt;&gt;")=0,"",SUMIFS(BD!$X$3:$X$5001,BD!$B$3:$B$5001,E$245,BD!$A$3:$A$5001,_xlfn.MAXIFS(BD!$A$3:$A$5001,BD!$B$3:$B$5001,E$245,BD!$A$3:$A$5001,"&gt;="&amp;$C$7,BD!$A$3:$A$5001,"&lt;="&amp;$B258,BD!$X$3:$X$5001,"&lt;&gt;"))))</f>
        <v/>
      </c>
      <c r="F258" s="54" t="str">
        <f>IF(OR($B258="",$A258&gt;$B$9,F$245=""),"",IF(COUNTIFS(BD!$B$3:$B$5001,F$245,BD!$A$3:$A$5001,"&gt;="&amp;$C$7,BD!$A$3:$A$5001,"&lt;="&amp;$B258,BD!$X$3:$X$5001,"&lt;&gt;")=0,"",SUMIFS(BD!$X$3:$X$5001,BD!$B$3:$B$5001,F$245,BD!$A$3:$A$5001,_xlfn.MAXIFS(BD!$A$3:$A$5001,BD!$B$3:$B$5001,F$245,BD!$A$3:$A$5001,"&gt;="&amp;$C$7,BD!$A$3:$A$5001,"&lt;="&amp;$B258,BD!$X$3:$X$5001,"&lt;&gt;"))))</f>
        <v/>
      </c>
      <c r="G258" s="54" t="str">
        <f>IF(OR($B258="",$A258&gt;$B$9,G$245=""),"",IF(COUNTIFS(BD!$B$3:$B$5001,G$245,BD!$A$3:$A$5001,"&gt;="&amp;$C$7,BD!$A$3:$A$5001,"&lt;="&amp;$B258,BD!$X$3:$X$5001,"&lt;&gt;")=0,"",SUMIFS(BD!$X$3:$X$5001,BD!$B$3:$B$5001,G$245,BD!$A$3:$A$5001,_xlfn.MAXIFS(BD!$A$3:$A$5001,BD!$B$3:$B$5001,G$245,BD!$A$3:$A$5001,"&gt;="&amp;$C$7,BD!$A$3:$A$5001,"&lt;="&amp;$B258,BD!$X$3:$X$5001,"&lt;&gt;"))))</f>
        <v/>
      </c>
      <c r="H258" s="54" t="str">
        <f>IF(OR($B258="",$A258&gt;$B$9,H$245=""),"",IF(COUNTIFS(BD!$B$3:$B$5001,H$245,BD!$A$3:$A$5001,"&gt;="&amp;$C$7,BD!$A$3:$A$5001,"&lt;="&amp;$B258,BD!$X$3:$X$5001,"&lt;&gt;")=0,"",SUMIFS(BD!$X$3:$X$5001,BD!$B$3:$B$5001,H$245,BD!$A$3:$A$5001,_xlfn.MAXIFS(BD!$A$3:$A$5001,BD!$B$3:$B$5001,H$245,BD!$A$3:$A$5001,"&gt;="&amp;$C$7,BD!$A$3:$A$5001,"&lt;="&amp;$B258,BD!$X$3:$X$5001,"&lt;&gt;"))))</f>
        <v/>
      </c>
      <c r="I258" s="54" t="str">
        <f>IF(OR($B258="",$A258&gt;$B$9,I$245=""),"",IF(COUNTIFS(BD!$B$3:$B$5001,I$245,BD!$A$3:$A$5001,"&gt;="&amp;$C$7,BD!$A$3:$A$5001,"&lt;="&amp;$B258,BD!$X$3:$X$5001,"&lt;&gt;")=0,"",SUMIFS(BD!$X$3:$X$5001,BD!$B$3:$B$5001,I$245,BD!$A$3:$A$5001,_xlfn.MAXIFS(BD!$A$3:$A$5001,BD!$B$3:$B$5001,I$245,BD!$A$3:$A$5001,"&gt;="&amp;$C$7,BD!$A$3:$A$5001,"&lt;="&amp;$B258,BD!$X$3:$X$5001,"&lt;&gt;"))))</f>
        <v/>
      </c>
      <c r="J258" s="54" t="str">
        <f>IF(OR($B258="",$A258&gt;$B$9,J$245=""),"",IF(COUNTIFS(BD!$B$3:$B$5001,J$245,BD!$A$3:$A$5001,"&gt;="&amp;$C$7,BD!$A$3:$A$5001,"&lt;="&amp;$B258,BD!$X$3:$X$5001,"&lt;&gt;")=0,"",SUMIFS(BD!$X$3:$X$5001,BD!$B$3:$B$5001,J$245,BD!$A$3:$A$5001,_xlfn.MAXIFS(BD!$A$3:$A$5001,BD!$B$3:$B$5001,J$245,BD!$A$3:$A$5001,"&gt;="&amp;$C$7,BD!$A$3:$A$5001,"&lt;="&amp;$B258,BD!$X$3:$X$5001,"&lt;&gt;"))))</f>
        <v/>
      </c>
      <c r="K258" s="54" t="str">
        <f>IF(OR($B258="",$A258&gt;$B$9,K$245=""),"",IF(COUNTIFS(BD!$B$3:$B$5001,K$245,BD!$A$3:$A$5001,"&gt;="&amp;$C$7,BD!$A$3:$A$5001,"&lt;="&amp;$B258,BD!$X$3:$X$5001,"&lt;&gt;")=0,"",SUMIFS(BD!$X$3:$X$5001,BD!$B$3:$B$5001,K$245,BD!$A$3:$A$5001,_xlfn.MAXIFS(BD!$A$3:$A$5001,BD!$B$3:$B$5001,K$245,BD!$A$3:$A$5001,"&gt;="&amp;$C$7,BD!$A$3:$A$5001,"&lt;="&amp;$B258,BD!$X$3:$X$5001,"&lt;&gt;"))))</f>
        <v/>
      </c>
      <c r="L258" s="54" t="str">
        <f>IF(OR($B258="",$A258&gt;$B$9,L$245=""),"",IF(COUNTIFS(BD!$B$3:$B$5001,L$245,BD!$A$3:$A$5001,"&gt;="&amp;$C$7,BD!$A$3:$A$5001,"&lt;="&amp;$B258,BD!$X$3:$X$5001,"&lt;&gt;")=0,"",SUMIFS(BD!$X$3:$X$5001,BD!$B$3:$B$5001,L$245,BD!$A$3:$A$5001,_xlfn.MAXIFS(BD!$A$3:$A$5001,BD!$B$3:$B$5001,L$245,BD!$A$3:$A$5001,"&gt;="&amp;$C$7,BD!$A$3:$A$5001,"&lt;="&amp;$B258,BD!$X$3:$X$5001,"&lt;&gt;"))))</f>
        <v/>
      </c>
      <c r="M258" s="54" t="str">
        <f>IF(OR($B258="",$A258&gt;$B$9,M$245=""),"",IF(COUNTIFS(BD!$B$3:$B$5001,M$245,BD!$A$3:$A$5001,"&gt;="&amp;$C$7,BD!$A$3:$A$5001,"&lt;="&amp;$B258,BD!$X$3:$X$5001,"&lt;&gt;")=0,"",SUMIFS(BD!$X$3:$X$5001,BD!$B$3:$B$5001,M$245,BD!$A$3:$A$5001,_xlfn.MAXIFS(BD!$A$3:$A$5001,BD!$B$3:$B$5001,M$245,BD!$A$3:$A$5001,"&gt;="&amp;$C$7,BD!$A$3:$A$5001,"&lt;="&amp;$B258,BD!$X$3:$X$5001,"&lt;&gt;"))))</f>
        <v/>
      </c>
      <c r="N258" s="54" t="str">
        <f>IF(OR($B258="",$A258&gt;$B$9,N$245=""),"",IF(COUNTIFS(BD!$B$3:$B$5001,N$245,BD!$A$3:$A$5001,"&gt;="&amp;$C$7,BD!$A$3:$A$5001,"&lt;="&amp;$B258,BD!$X$3:$X$5001,"&lt;&gt;")=0,"",SUMIFS(BD!$X$3:$X$5001,BD!$B$3:$B$5001,N$245,BD!$A$3:$A$5001,_xlfn.MAXIFS(BD!$A$3:$A$5001,BD!$B$3:$B$5001,N$245,BD!$A$3:$A$5001,"&gt;="&amp;$C$7,BD!$A$3:$A$5001,"&lt;="&amp;$B258,BD!$X$3:$X$5001,"&lt;&gt;"))))</f>
        <v/>
      </c>
      <c r="O258" s="54" t="str">
        <f>IF(OR($B258="",$A258&gt;$B$9,O$245=""),"",IF(COUNTIFS(BD!$B$3:$B$5001,O$245,BD!$A$3:$A$5001,"&gt;="&amp;$C$7,BD!$A$3:$A$5001,"&lt;="&amp;$B258,BD!$X$3:$X$5001,"&lt;&gt;")=0,"",SUMIFS(BD!$X$3:$X$5001,BD!$B$3:$B$5001,O$245,BD!$A$3:$A$5001,_xlfn.MAXIFS(BD!$A$3:$A$5001,BD!$B$3:$B$5001,O$245,BD!$A$3:$A$5001,"&gt;="&amp;$C$7,BD!$A$3:$A$5001,"&lt;="&amp;$B258,BD!$X$3:$X$5001,"&lt;&gt;"))))</f>
        <v/>
      </c>
      <c r="P258" s="54" t="str">
        <f>IF(OR($B258="",$A258&gt;$B$9,P$245=""),"",IF(COUNTIFS(BD!$B$3:$B$5001,P$245,BD!$A$3:$A$5001,"&gt;="&amp;$C$7,BD!$A$3:$A$5001,"&lt;="&amp;$B258,BD!$X$3:$X$5001,"&lt;&gt;")=0,"",SUMIFS(BD!$X$3:$X$5001,BD!$B$3:$B$5001,P$245,BD!$A$3:$A$5001,_xlfn.MAXIFS(BD!$A$3:$A$5001,BD!$B$3:$B$5001,P$245,BD!$A$3:$A$5001,"&gt;="&amp;$C$7,BD!$A$3:$A$5001,"&lt;="&amp;$B258,BD!$X$3:$X$5001,"&lt;&gt;"))))</f>
        <v/>
      </c>
      <c r="Q258" s="54" t="str">
        <f>IF(OR($B258="",$A258&gt;$B$9,Q$245=""),"",IF(COUNTIFS(BD!$B$3:$B$5001,Q$245,BD!$A$3:$A$5001,"&gt;="&amp;$C$7,BD!$A$3:$A$5001,"&lt;="&amp;$B258,BD!$X$3:$X$5001,"&lt;&gt;")=0,"",SUMIFS(BD!$X$3:$X$5001,BD!$B$3:$B$5001,Q$245,BD!$A$3:$A$5001,_xlfn.MAXIFS(BD!$A$3:$A$5001,BD!$B$3:$B$5001,Q$245,BD!$A$3:$A$5001,"&gt;="&amp;$C$7,BD!$A$3:$A$5001,"&lt;="&amp;$B258,BD!$X$3:$X$5001,"&lt;&gt;"))))</f>
        <v/>
      </c>
      <c r="R258" s="54" t="str">
        <f>IF(OR($B258="",$A258&gt;$B$9,R$245=""),"",IF(COUNTIFS(BD!$B$3:$B$5001,R$245,BD!$A$3:$A$5001,"&gt;="&amp;$C$7,BD!$A$3:$A$5001,"&lt;="&amp;$B258,BD!$X$3:$X$5001,"&lt;&gt;")=0,"",SUMIFS(BD!$X$3:$X$5001,BD!$B$3:$B$5001,R$245,BD!$A$3:$A$5001,_xlfn.MAXIFS(BD!$A$3:$A$5001,BD!$B$3:$B$5001,R$245,BD!$A$3:$A$5001,"&gt;="&amp;$C$7,BD!$A$3:$A$5001,"&lt;="&amp;$B258,BD!$X$3:$X$5001,"&lt;&gt;"))))</f>
        <v/>
      </c>
      <c r="S258" s="54" t="str">
        <f>IF(OR($B258="",$A258&gt;$B$9,S$245=""),"",IF(COUNTIFS(BD!$B$3:$B$5001,S$245,BD!$A$3:$A$5001,"&gt;="&amp;$C$7,BD!$A$3:$A$5001,"&lt;="&amp;$B258,BD!$X$3:$X$5001,"&lt;&gt;")=0,"",SUMIFS(BD!$X$3:$X$5001,BD!$B$3:$B$5001,S$245,BD!$A$3:$A$5001,_xlfn.MAXIFS(BD!$A$3:$A$5001,BD!$B$3:$B$5001,S$245,BD!$A$3:$A$5001,"&gt;="&amp;$C$7,BD!$A$3:$A$5001,"&lt;="&amp;$B258,BD!$X$3:$X$5001,"&lt;&gt;"))))</f>
        <v/>
      </c>
      <c r="T258" s="54" t="str">
        <f>IF(OR($B258="",$A258&gt;$B$9,T$245=""),"",IF(COUNTIFS(BD!$B$3:$B$5001,T$245,BD!$A$3:$A$5001,"&gt;="&amp;$C$7,BD!$A$3:$A$5001,"&lt;="&amp;$B258,BD!$X$3:$X$5001,"&lt;&gt;")=0,"",SUMIFS(BD!$X$3:$X$5001,BD!$B$3:$B$5001,T$245,BD!$A$3:$A$5001,_xlfn.MAXIFS(BD!$A$3:$A$5001,BD!$B$3:$B$5001,T$245,BD!$A$3:$A$5001,"&gt;="&amp;$C$7,BD!$A$3:$A$5001,"&lt;="&amp;$B258,BD!$X$3:$X$5001,"&lt;&gt;"))))</f>
        <v/>
      </c>
      <c r="U258" s="54" t="str">
        <f>IF(OR($B258="",$A258&gt;$B$9,U$245=""),"",IF(COUNTIFS(BD!$B$3:$B$5001,U$245,BD!$A$3:$A$5001,"&gt;="&amp;$C$7,BD!$A$3:$A$5001,"&lt;="&amp;$B258,BD!$X$3:$X$5001,"&lt;&gt;")=0,"",SUMIFS(BD!$X$3:$X$5001,BD!$B$3:$B$5001,U$245,BD!$A$3:$A$5001,_xlfn.MAXIFS(BD!$A$3:$A$5001,BD!$B$3:$B$5001,U$245,BD!$A$3:$A$5001,"&gt;="&amp;$C$7,BD!$A$3:$A$5001,"&lt;="&amp;$B258,BD!$X$3:$X$5001,"&lt;&gt;"))))</f>
        <v/>
      </c>
      <c r="V258" s="54" t="str">
        <f>IF(OR($B258="",$A258&gt;$B$9,V$245=""),"",IF(COUNTIFS(BD!$B$3:$B$5001,V$245,BD!$A$3:$A$5001,"&gt;="&amp;$C$7,BD!$A$3:$A$5001,"&lt;="&amp;$B258,BD!$X$3:$X$5001,"&lt;&gt;")=0,"",SUMIFS(BD!$X$3:$X$5001,BD!$B$3:$B$5001,V$245,BD!$A$3:$A$5001,_xlfn.MAXIFS(BD!$A$3:$A$5001,BD!$B$3:$B$5001,V$245,BD!$A$3:$A$5001,"&gt;="&amp;$C$7,BD!$A$3:$A$5001,"&lt;="&amp;$B258,BD!$X$3:$X$5001,"&lt;&gt;"))))</f>
        <v/>
      </c>
    </row>
    <row r="259">
      <c r="A259" s="48">
        <v>14</v>
      </c>
      <c r="B259" s="53">
        <f>$B$25</f>
        <v>46309</v>
      </c>
      <c r="C259" s="54" t="str">
        <f>IF(OR($B259="",$A259&gt;$B$9,C$245=""),"",IF(COUNTIFS(BD!$B$3:$B$5001,C$245,BD!$A$3:$A$5001,"&gt;="&amp;$C$7,BD!$A$3:$A$5001,"&lt;="&amp;$B259,BD!$X$3:$X$5001,"&lt;&gt;")=0,"",SUMIFS(BD!$X$3:$X$5001,BD!$B$3:$B$5001,C$245,BD!$A$3:$A$5001,_xlfn.MAXIFS(BD!$A$3:$A$5001,BD!$B$3:$B$5001,C$245,BD!$A$3:$A$5001,"&gt;="&amp;$C$7,BD!$A$3:$A$5001,"&lt;="&amp;$B259,BD!$X$3:$X$5001,"&lt;&gt;"))))</f>
        <v/>
      </c>
      <c r="D259" s="54" t="str">
        <f>IF(OR($B259="",$A259&gt;$B$9,D$245=""),"",IF(COUNTIFS(BD!$B$3:$B$5001,D$245,BD!$A$3:$A$5001,"&gt;="&amp;$C$7,BD!$A$3:$A$5001,"&lt;="&amp;$B259,BD!$X$3:$X$5001,"&lt;&gt;")=0,"",SUMIFS(BD!$X$3:$X$5001,BD!$B$3:$B$5001,D$245,BD!$A$3:$A$5001,_xlfn.MAXIFS(BD!$A$3:$A$5001,BD!$B$3:$B$5001,D$245,BD!$A$3:$A$5001,"&gt;="&amp;$C$7,BD!$A$3:$A$5001,"&lt;="&amp;$B259,BD!$X$3:$X$5001,"&lt;&gt;"))))</f>
        <v/>
      </c>
      <c r="E259" s="54" t="str">
        <f>IF(OR($B259="",$A259&gt;$B$9,E$245=""),"",IF(COUNTIFS(BD!$B$3:$B$5001,E$245,BD!$A$3:$A$5001,"&gt;="&amp;$C$7,BD!$A$3:$A$5001,"&lt;="&amp;$B259,BD!$X$3:$X$5001,"&lt;&gt;")=0,"",SUMIFS(BD!$X$3:$X$5001,BD!$B$3:$B$5001,E$245,BD!$A$3:$A$5001,_xlfn.MAXIFS(BD!$A$3:$A$5001,BD!$B$3:$B$5001,E$245,BD!$A$3:$A$5001,"&gt;="&amp;$C$7,BD!$A$3:$A$5001,"&lt;="&amp;$B259,BD!$X$3:$X$5001,"&lt;&gt;"))))</f>
        <v/>
      </c>
      <c r="F259" s="54" t="str">
        <f>IF(OR($B259="",$A259&gt;$B$9,F$245=""),"",IF(COUNTIFS(BD!$B$3:$B$5001,F$245,BD!$A$3:$A$5001,"&gt;="&amp;$C$7,BD!$A$3:$A$5001,"&lt;="&amp;$B259,BD!$X$3:$X$5001,"&lt;&gt;")=0,"",SUMIFS(BD!$X$3:$X$5001,BD!$B$3:$B$5001,F$245,BD!$A$3:$A$5001,_xlfn.MAXIFS(BD!$A$3:$A$5001,BD!$B$3:$B$5001,F$245,BD!$A$3:$A$5001,"&gt;="&amp;$C$7,BD!$A$3:$A$5001,"&lt;="&amp;$B259,BD!$X$3:$X$5001,"&lt;&gt;"))))</f>
        <v/>
      </c>
      <c r="G259" s="54" t="str">
        <f>IF(OR($B259="",$A259&gt;$B$9,G$245=""),"",IF(COUNTIFS(BD!$B$3:$B$5001,G$245,BD!$A$3:$A$5001,"&gt;="&amp;$C$7,BD!$A$3:$A$5001,"&lt;="&amp;$B259,BD!$X$3:$X$5001,"&lt;&gt;")=0,"",SUMIFS(BD!$X$3:$X$5001,BD!$B$3:$B$5001,G$245,BD!$A$3:$A$5001,_xlfn.MAXIFS(BD!$A$3:$A$5001,BD!$B$3:$B$5001,G$245,BD!$A$3:$A$5001,"&gt;="&amp;$C$7,BD!$A$3:$A$5001,"&lt;="&amp;$B259,BD!$X$3:$X$5001,"&lt;&gt;"))))</f>
        <v/>
      </c>
      <c r="H259" s="54" t="str">
        <f>IF(OR($B259="",$A259&gt;$B$9,H$245=""),"",IF(COUNTIFS(BD!$B$3:$B$5001,H$245,BD!$A$3:$A$5001,"&gt;="&amp;$C$7,BD!$A$3:$A$5001,"&lt;="&amp;$B259,BD!$X$3:$X$5001,"&lt;&gt;")=0,"",SUMIFS(BD!$X$3:$X$5001,BD!$B$3:$B$5001,H$245,BD!$A$3:$A$5001,_xlfn.MAXIFS(BD!$A$3:$A$5001,BD!$B$3:$B$5001,H$245,BD!$A$3:$A$5001,"&gt;="&amp;$C$7,BD!$A$3:$A$5001,"&lt;="&amp;$B259,BD!$X$3:$X$5001,"&lt;&gt;"))))</f>
        <v/>
      </c>
      <c r="I259" s="54" t="str">
        <f>IF(OR($B259="",$A259&gt;$B$9,I$245=""),"",IF(COUNTIFS(BD!$B$3:$B$5001,I$245,BD!$A$3:$A$5001,"&gt;="&amp;$C$7,BD!$A$3:$A$5001,"&lt;="&amp;$B259,BD!$X$3:$X$5001,"&lt;&gt;")=0,"",SUMIFS(BD!$X$3:$X$5001,BD!$B$3:$B$5001,I$245,BD!$A$3:$A$5001,_xlfn.MAXIFS(BD!$A$3:$A$5001,BD!$B$3:$B$5001,I$245,BD!$A$3:$A$5001,"&gt;="&amp;$C$7,BD!$A$3:$A$5001,"&lt;="&amp;$B259,BD!$X$3:$X$5001,"&lt;&gt;"))))</f>
        <v/>
      </c>
      <c r="J259" s="54" t="str">
        <f>IF(OR($B259="",$A259&gt;$B$9,J$245=""),"",IF(COUNTIFS(BD!$B$3:$B$5001,J$245,BD!$A$3:$A$5001,"&gt;="&amp;$C$7,BD!$A$3:$A$5001,"&lt;="&amp;$B259,BD!$X$3:$X$5001,"&lt;&gt;")=0,"",SUMIFS(BD!$X$3:$X$5001,BD!$B$3:$B$5001,J$245,BD!$A$3:$A$5001,_xlfn.MAXIFS(BD!$A$3:$A$5001,BD!$B$3:$B$5001,J$245,BD!$A$3:$A$5001,"&gt;="&amp;$C$7,BD!$A$3:$A$5001,"&lt;="&amp;$B259,BD!$X$3:$X$5001,"&lt;&gt;"))))</f>
        <v/>
      </c>
      <c r="K259" s="54" t="str">
        <f>IF(OR($B259="",$A259&gt;$B$9,K$245=""),"",IF(COUNTIFS(BD!$B$3:$B$5001,K$245,BD!$A$3:$A$5001,"&gt;="&amp;$C$7,BD!$A$3:$A$5001,"&lt;="&amp;$B259,BD!$X$3:$X$5001,"&lt;&gt;")=0,"",SUMIFS(BD!$X$3:$X$5001,BD!$B$3:$B$5001,K$245,BD!$A$3:$A$5001,_xlfn.MAXIFS(BD!$A$3:$A$5001,BD!$B$3:$B$5001,K$245,BD!$A$3:$A$5001,"&gt;="&amp;$C$7,BD!$A$3:$A$5001,"&lt;="&amp;$B259,BD!$X$3:$X$5001,"&lt;&gt;"))))</f>
        <v/>
      </c>
      <c r="L259" s="54" t="str">
        <f>IF(OR($B259="",$A259&gt;$B$9,L$245=""),"",IF(COUNTIFS(BD!$B$3:$B$5001,L$245,BD!$A$3:$A$5001,"&gt;="&amp;$C$7,BD!$A$3:$A$5001,"&lt;="&amp;$B259,BD!$X$3:$X$5001,"&lt;&gt;")=0,"",SUMIFS(BD!$X$3:$X$5001,BD!$B$3:$B$5001,L$245,BD!$A$3:$A$5001,_xlfn.MAXIFS(BD!$A$3:$A$5001,BD!$B$3:$B$5001,L$245,BD!$A$3:$A$5001,"&gt;="&amp;$C$7,BD!$A$3:$A$5001,"&lt;="&amp;$B259,BD!$X$3:$X$5001,"&lt;&gt;"))))</f>
        <v/>
      </c>
      <c r="M259" s="54" t="str">
        <f>IF(OR($B259="",$A259&gt;$B$9,M$245=""),"",IF(COUNTIFS(BD!$B$3:$B$5001,M$245,BD!$A$3:$A$5001,"&gt;="&amp;$C$7,BD!$A$3:$A$5001,"&lt;="&amp;$B259,BD!$X$3:$X$5001,"&lt;&gt;")=0,"",SUMIFS(BD!$X$3:$X$5001,BD!$B$3:$B$5001,M$245,BD!$A$3:$A$5001,_xlfn.MAXIFS(BD!$A$3:$A$5001,BD!$B$3:$B$5001,M$245,BD!$A$3:$A$5001,"&gt;="&amp;$C$7,BD!$A$3:$A$5001,"&lt;="&amp;$B259,BD!$X$3:$X$5001,"&lt;&gt;"))))</f>
        <v/>
      </c>
      <c r="N259" s="54" t="str">
        <f>IF(OR($B259="",$A259&gt;$B$9,N$245=""),"",IF(COUNTIFS(BD!$B$3:$B$5001,N$245,BD!$A$3:$A$5001,"&gt;="&amp;$C$7,BD!$A$3:$A$5001,"&lt;="&amp;$B259,BD!$X$3:$X$5001,"&lt;&gt;")=0,"",SUMIFS(BD!$X$3:$X$5001,BD!$B$3:$B$5001,N$245,BD!$A$3:$A$5001,_xlfn.MAXIFS(BD!$A$3:$A$5001,BD!$B$3:$B$5001,N$245,BD!$A$3:$A$5001,"&gt;="&amp;$C$7,BD!$A$3:$A$5001,"&lt;="&amp;$B259,BD!$X$3:$X$5001,"&lt;&gt;"))))</f>
        <v/>
      </c>
      <c r="O259" s="54" t="str">
        <f>IF(OR($B259="",$A259&gt;$B$9,O$245=""),"",IF(COUNTIFS(BD!$B$3:$B$5001,O$245,BD!$A$3:$A$5001,"&gt;="&amp;$C$7,BD!$A$3:$A$5001,"&lt;="&amp;$B259,BD!$X$3:$X$5001,"&lt;&gt;")=0,"",SUMIFS(BD!$X$3:$X$5001,BD!$B$3:$B$5001,O$245,BD!$A$3:$A$5001,_xlfn.MAXIFS(BD!$A$3:$A$5001,BD!$B$3:$B$5001,O$245,BD!$A$3:$A$5001,"&gt;="&amp;$C$7,BD!$A$3:$A$5001,"&lt;="&amp;$B259,BD!$X$3:$X$5001,"&lt;&gt;"))))</f>
        <v/>
      </c>
      <c r="P259" s="54" t="str">
        <f>IF(OR($B259="",$A259&gt;$B$9,P$245=""),"",IF(COUNTIFS(BD!$B$3:$B$5001,P$245,BD!$A$3:$A$5001,"&gt;="&amp;$C$7,BD!$A$3:$A$5001,"&lt;="&amp;$B259,BD!$X$3:$X$5001,"&lt;&gt;")=0,"",SUMIFS(BD!$X$3:$X$5001,BD!$B$3:$B$5001,P$245,BD!$A$3:$A$5001,_xlfn.MAXIFS(BD!$A$3:$A$5001,BD!$B$3:$B$5001,P$245,BD!$A$3:$A$5001,"&gt;="&amp;$C$7,BD!$A$3:$A$5001,"&lt;="&amp;$B259,BD!$X$3:$X$5001,"&lt;&gt;"))))</f>
        <v/>
      </c>
      <c r="Q259" s="54" t="str">
        <f>IF(OR($B259="",$A259&gt;$B$9,Q$245=""),"",IF(COUNTIFS(BD!$B$3:$B$5001,Q$245,BD!$A$3:$A$5001,"&gt;="&amp;$C$7,BD!$A$3:$A$5001,"&lt;="&amp;$B259,BD!$X$3:$X$5001,"&lt;&gt;")=0,"",SUMIFS(BD!$X$3:$X$5001,BD!$B$3:$B$5001,Q$245,BD!$A$3:$A$5001,_xlfn.MAXIFS(BD!$A$3:$A$5001,BD!$B$3:$B$5001,Q$245,BD!$A$3:$A$5001,"&gt;="&amp;$C$7,BD!$A$3:$A$5001,"&lt;="&amp;$B259,BD!$X$3:$X$5001,"&lt;&gt;"))))</f>
        <v/>
      </c>
      <c r="R259" s="54" t="str">
        <f>IF(OR($B259="",$A259&gt;$B$9,R$245=""),"",IF(COUNTIFS(BD!$B$3:$B$5001,R$245,BD!$A$3:$A$5001,"&gt;="&amp;$C$7,BD!$A$3:$A$5001,"&lt;="&amp;$B259,BD!$X$3:$X$5001,"&lt;&gt;")=0,"",SUMIFS(BD!$X$3:$X$5001,BD!$B$3:$B$5001,R$245,BD!$A$3:$A$5001,_xlfn.MAXIFS(BD!$A$3:$A$5001,BD!$B$3:$B$5001,R$245,BD!$A$3:$A$5001,"&gt;="&amp;$C$7,BD!$A$3:$A$5001,"&lt;="&amp;$B259,BD!$X$3:$X$5001,"&lt;&gt;"))))</f>
        <v/>
      </c>
      <c r="S259" s="54" t="str">
        <f>IF(OR($B259="",$A259&gt;$B$9,S$245=""),"",IF(COUNTIFS(BD!$B$3:$B$5001,S$245,BD!$A$3:$A$5001,"&gt;="&amp;$C$7,BD!$A$3:$A$5001,"&lt;="&amp;$B259,BD!$X$3:$X$5001,"&lt;&gt;")=0,"",SUMIFS(BD!$X$3:$X$5001,BD!$B$3:$B$5001,S$245,BD!$A$3:$A$5001,_xlfn.MAXIFS(BD!$A$3:$A$5001,BD!$B$3:$B$5001,S$245,BD!$A$3:$A$5001,"&gt;="&amp;$C$7,BD!$A$3:$A$5001,"&lt;="&amp;$B259,BD!$X$3:$X$5001,"&lt;&gt;"))))</f>
        <v/>
      </c>
      <c r="T259" s="54" t="str">
        <f>IF(OR($B259="",$A259&gt;$B$9,T$245=""),"",IF(COUNTIFS(BD!$B$3:$B$5001,T$245,BD!$A$3:$A$5001,"&gt;="&amp;$C$7,BD!$A$3:$A$5001,"&lt;="&amp;$B259,BD!$X$3:$X$5001,"&lt;&gt;")=0,"",SUMIFS(BD!$X$3:$X$5001,BD!$B$3:$B$5001,T$245,BD!$A$3:$A$5001,_xlfn.MAXIFS(BD!$A$3:$A$5001,BD!$B$3:$B$5001,T$245,BD!$A$3:$A$5001,"&gt;="&amp;$C$7,BD!$A$3:$A$5001,"&lt;="&amp;$B259,BD!$X$3:$X$5001,"&lt;&gt;"))))</f>
        <v/>
      </c>
      <c r="U259" s="54" t="str">
        <f>IF(OR($B259="",$A259&gt;$B$9,U$245=""),"",IF(COUNTIFS(BD!$B$3:$B$5001,U$245,BD!$A$3:$A$5001,"&gt;="&amp;$C$7,BD!$A$3:$A$5001,"&lt;="&amp;$B259,BD!$X$3:$X$5001,"&lt;&gt;")=0,"",SUMIFS(BD!$X$3:$X$5001,BD!$B$3:$B$5001,U$245,BD!$A$3:$A$5001,_xlfn.MAXIFS(BD!$A$3:$A$5001,BD!$B$3:$B$5001,U$245,BD!$A$3:$A$5001,"&gt;="&amp;$C$7,BD!$A$3:$A$5001,"&lt;="&amp;$B259,BD!$X$3:$X$5001,"&lt;&gt;"))))</f>
        <v/>
      </c>
      <c r="V259" s="54" t="str">
        <f>IF(OR($B259="",$A259&gt;$B$9,V$245=""),"",IF(COUNTIFS(BD!$B$3:$B$5001,V$245,BD!$A$3:$A$5001,"&gt;="&amp;$C$7,BD!$A$3:$A$5001,"&lt;="&amp;$B259,BD!$X$3:$X$5001,"&lt;&gt;")=0,"",SUMIFS(BD!$X$3:$X$5001,BD!$B$3:$B$5001,V$245,BD!$A$3:$A$5001,_xlfn.MAXIFS(BD!$A$3:$A$5001,BD!$B$3:$B$5001,V$245,BD!$A$3:$A$5001,"&gt;="&amp;$C$7,BD!$A$3:$A$5001,"&lt;="&amp;$B259,BD!$X$3:$X$5001,"&lt;&gt;"))))</f>
        <v/>
      </c>
    </row>
    <row r="260">
      <c r="A260" s="48">
        <v>15</v>
      </c>
      <c r="B260" s="53">
        <f>$B$26</f>
        <v>46310</v>
      </c>
      <c r="C260" s="54" t="str">
        <f>IF(OR($B260="",$A260&gt;$B$9,C$245=""),"",IF(COUNTIFS(BD!$B$3:$B$5001,C$245,BD!$A$3:$A$5001,"&gt;="&amp;$C$7,BD!$A$3:$A$5001,"&lt;="&amp;$B260,BD!$X$3:$X$5001,"&lt;&gt;")=0,"",SUMIFS(BD!$X$3:$X$5001,BD!$B$3:$B$5001,C$245,BD!$A$3:$A$5001,_xlfn.MAXIFS(BD!$A$3:$A$5001,BD!$B$3:$B$5001,C$245,BD!$A$3:$A$5001,"&gt;="&amp;$C$7,BD!$A$3:$A$5001,"&lt;="&amp;$B260,BD!$X$3:$X$5001,"&lt;&gt;"))))</f>
        <v/>
      </c>
      <c r="D260" s="54" t="str">
        <f>IF(OR($B260="",$A260&gt;$B$9,D$245=""),"",IF(COUNTIFS(BD!$B$3:$B$5001,D$245,BD!$A$3:$A$5001,"&gt;="&amp;$C$7,BD!$A$3:$A$5001,"&lt;="&amp;$B260,BD!$X$3:$X$5001,"&lt;&gt;")=0,"",SUMIFS(BD!$X$3:$X$5001,BD!$B$3:$B$5001,D$245,BD!$A$3:$A$5001,_xlfn.MAXIFS(BD!$A$3:$A$5001,BD!$B$3:$B$5001,D$245,BD!$A$3:$A$5001,"&gt;="&amp;$C$7,BD!$A$3:$A$5001,"&lt;="&amp;$B260,BD!$X$3:$X$5001,"&lt;&gt;"))))</f>
        <v/>
      </c>
      <c r="E260" s="54" t="str">
        <f>IF(OR($B260="",$A260&gt;$B$9,E$245=""),"",IF(COUNTIFS(BD!$B$3:$B$5001,E$245,BD!$A$3:$A$5001,"&gt;="&amp;$C$7,BD!$A$3:$A$5001,"&lt;="&amp;$B260,BD!$X$3:$X$5001,"&lt;&gt;")=0,"",SUMIFS(BD!$X$3:$X$5001,BD!$B$3:$B$5001,E$245,BD!$A$3:$A$5001,_xlfn.MAXIFS(BD!$A$3:$A$5001,BD!$B$3:$B$5001,E$245,BD!$A$3:$A$5001,"&gt;="&amp;$C$7,BD!$A$3:$A$5001,"&lt;="&amp;$B260,BD!$X$3:$X$5001,"&lt;&gt;"))))</f>
        <v/>
      </c>
      <c r="F260" s="54" t="str">
        <f>IF(OR($B260="",$A260&gt;$B$9,F$245=""),"",IF(COUNTIFS(BD!$B$3:$B$5001,F$245,BD!$A$3:$A$5001,"&gt;="&amp;$C$7,BD!$A$3:$A$5001,"&lt;="&amp;$B260,BD!$X$3:$X$5001,"&lt;&gt;")=0,"",SUMIFS(BD!$X$3:$X$5001,BD!$B$3:$B$5001,F$245,BD!$A$3:$A$5001,_xlfn.MAXIFS(BD!$A$3:$A$5001,BD!$B$3:$B$5001,F$245,BD!$A$3:$A$5001,"&gt;="&amp;$C$7,BD!$A$3:$A$5001,"&lt;="&amp;$B260,BD!$X$3:$X$5001,"&lt;&gt;"))))</f>
        <v/>
      </c>
      <c r="G260" s="54" t="str">
        <f>IF(OR($B260="",$A260&gt;$B$9,G$245=""),"",IF(COUNTIFS(BD!$B$3:$B$5001,G$245,BD!$A$3:$A$5001,"&gt;="&amp;$C$7,BD!$A$3:$A$5001,"&lt;="&amp;$B260,BD!$X$3:$X$5001,"&lt;&gt;")=0,"",SUMIFS(BD!$X$3:$X$5001,BD!$B$3:$B$5001,G$245,BD!$A$3:$A$5001,_xlfn.MAXIFS(BD!$A$3:$A$5001,BD!$B$3:$B$5001,G$245,BD!$A$3:$A$5001,"&gt;="&amp;$C$7,BD!$A$3:$A$5001,"&lt;="&amp;$B260,BD!$X$3:$X$5001,"&lt;&gt;"))))</f>
        <v/>
      </c>
      <c r="H260" s="54" t="str">
        <f>IF(OR($B260="",$A260&gt;$B$9,H$245=""),"",IF(COUNTIFS(BD!$B$3:$B$5001,H$245,BD!$A$3:$A$5001,"&gt;="&amp;$C$7,BD!$A$3:$A$5001,"&lt;="&amp;$B260,BD!$X$3:$X$5001,"&lt;&gt;")=0,"",SUMIFS(BD!$X$3:$X$5001,BD!$B$3:$B$5001,H$245,BD!$A$3:$A$5001,_xlfn.MAXIFS(BD!$A$3:$A$5001,BD!$B$3:$B$5001,H$245,BD!$A$3:$A$5001,"&gt;="&amp;$C$7,BD!$A$3:$A$5001,"&lt;="&amp;$B260,BD!$X$3:$X$5001,"&lt;&gt;"))))</f>
        <v/>
      </c>
      <c r="I260" s="54" t="str">
        <f>IF(OR($B260="",$A260&gt;$B$9,I$245=""),"",IF(COUNTIFS(BD!$B$3:$B$5001,I$245,BD!$A$3:$A$5001,"&gt;="&amp;$C$7,BD!$A$3:$A$5001,"&lt;="&amp;$B260,BD!$X$3:$X$5001,"&lt;&gt;")=0,"",SUMIFS(BD!$X$3:$X$5001,BD!$B$3:$B$5001,I$245,BD!$A$3:$A$5001,_xlfn.MAXIFS(BD!$A$3:$A$5001,BD!$B$3:$B$5001,I$245,BD!$A$3:$A$5001,"&gt;="&amp;$C$7,BD!$A$3:$A$5001,"&lt;="&amp;$B260,BD!$X$3:$X$5001,"&lt;&gt;"))))</f>
        <v/>
      </c>
      <c r="J260" s="54" t="str">
        <f>IF(OR($B260="",$A260&gt;$B$9,J$245=""),"",IF(COUNTIFS(BD!$B$3:$B$5001,J$245,BD!$A$3:$A$5001,"&gt;="&amp;$C$7,BD!$A$3:$A$5001,"&lt;="&amp;$B260,BD!$X$3:$X$5001,"&lt;&gt;")=0,"",SUMIFS(BD!$X$3:$X$5001,BD!$B$3:$B$5001,J$245,BD!$A$3:$A$5001,_xlfn.MAXIFS(BD!$A$3:$A$5001,BD!$B$3:$B$5001,J$245,BD!$A$3:$A$5001,"&gt;="&amp;$C$7,BD!$A$3:$A$5001,"&lt;="&amp;$B260,BD!$X$3:$X$5001,"&lt;&gt;"))))</f>
        <v/>
      </c>
      <c r="K260" s="54" t="str">
        <f>IF(OR($B260="",$A260&gt;$B$9,K$245=""),"",IF(COUNTIFS(BD!$B$3:$B$5001,K$245,BD!$A$3:$A$5001,"&gt;="&amp;$C$7,BD!$A$3:$A$5001,"&lt;="&amp;$B260,BD!$X$3:$X$5001,"&lt;&gt;")=0,"",SUMIFS(BD!$X$3:$X$5001,BD!$B$3:$B$5001,K$245,BD!$A$3:$A$5001,_xlfn.MAXIFS(BD!$A$3:$A$5001,BD!$B$3:$B$5001,K$245,BD!$A$3:$A$5001,"&gt;="&amp;$C$7,BD!$A$3:$A$5001,"&lt;="&amp;$B260,BD!$X$3:$X$5001,"&lt;&gt;"))))</f>
        <v/>
      </c>
      <c r="L260" s="54" t="str">
        <f>IF(OR($B260="",$A260&gt;$B$9,L$245=""),"",IF(COUNTIFS(BD!$B$3:$B$5001,L$245,BD!$A$3:$A$5001,"&gt;="&amp;$C$7,BD!$A$3:$A$5001,"&lt;="&amp;$B260,BD!$X$3:$X$5001,"&lt;&gt;")=0,"",SUMIFS(BD!$X$3:$X$5001,BD!$B$3:$B$5001,L$245,BD!$A$3:$A$5001,_xlfn.MAXIFS(BD!$A$3:$A$5001,BD!$B$3:$B$5001,L$245,BD!$A$3:$A$5001,"&gt;="&amp;$C$7,BD!$A$3:$A$5001,"&lt;="&amp;$B260,BD!$X$3:$X$5001,"&lt;&gt;"))))</f>
        <v/>
      </c>
      <c r="M260" s="54" t="str">
        <f>IF(OR($B260="",$A260&gt;$B$9,M$245=""),"",IF(COUNTIFS(BD!$B$3:$B$5001,M$245,BD!$A$3:$A$5001,"&gt;="&amp;$C$7,BD!$A$3:$A$5001,"&lt;="&amp;$B260,BD!$X$3:$X$5001,"&lt;&gt;")=0,"",SUMIFS(BD!$X$3:$X$5001,BD!$B$3:$B$5001,M$245,BD!$A$3:$A$5001,_xlfn.MAXIFS(BD!$A$3:$A$5001,BD!$B$3:$B$5001,M$245,BD!$A$3:$A$5001,"&gt;="&amp;$C$7,BD!$A$3:$A$5001,"&lt;="&amp;$B260,BD!$X$3:$X$5001,"&lt;&gt;"))))</f>
        <v/>
      </c>
      <c r="N260" s="54" t="str">
        <f>IF(OR($B260="",$A260&gt;$B$9,N$245=""),"",IF(COUNTIFS(BD!$B$3:$B$5001,N$245,BD!$A$3:$A$5001,"&gt;="&amp;$C$7,BD!$A$3:$A$5001,"&lt;="&amp;$B260,BD!$X$3:$X$5001,"&lt;&gt;")=0,"",SUMIFS(BD!$X$3:$X$5001,BD!$B$3:$B$5001,N$245,BD!$A$3:$A$5001,_xlfn.MAXIFS(BD!$A$3:$A$5001,BD!$B$3:$B$5001,N$245,BD!$A$3:$A$5001,"&gt;="&amp;$C$7,BD!$A$3:$A$5001,"&lt;="&amp;$B260,BD!$X$3:$X$5001,"&lt;&gt;"))))</f>
        <v/>
      </c>
      <c r="O260" s="54" t="str">
        <f>IF(OR($B260="",$A260&gt;$B$9,O$245=""),"",IF(COUNTIFS(BD!$B$3:$B$5001,O$245,BD!$A$3:$A$5001,"&gt;="&amp;$C$7,BD!$A$3:$A$5001,"&lt;="&amp;$B260,BD!$X$3:$X$5001,"&lt;&gt;")=0,"",SUMIFS(BD!$X$3:$X$5001,BD!$B$3:$B$5001,O$245,BD!$A$3:$A$5001,_xlfn.MAXIFS(BD!$A$3:$A$5001,BD!$B$3:$B$5001,O$245,BD!$A$3:$A$5001,"&gt;="&amp;$C$7,BD!$A$3:$A$5001,"&lt;="&amp;$B260,BD!$X$3:$X$5001,"&lt;&gt;"))))</f>
        <v/>
      </c>
      <c r="P260" s="54" t="str">
        <f>IF(OR($B260="",$A260&gt;$B$9,P$245=""),"",IF(COUNTIFS(BD!$B$3:$B$5001,P$245,BD!$A$3:$A$5001,"&gt;="&amp;$C$7,BD!$A$3:$A$5001,"&lt;="&amp;$B260,BD!$X$3:$X$5001,"&lt;&gt;")=0,"",SUMIFS(BD!$X$3:$X$5001,BD!$B$3:$B$5001,P$245,BD!$A$3:$A$5001,_xlfn.MAXIFS(BD!$A$3:$A$5001,BD!$B$3:$B$5001,P$245,BD!$A$3:$A$5001,"&gt;="&amp;$C$7,BD!$A$3:$A$5001,"&lt;="&amp;$B260,BD!$X$3:$X$5001,"&lt;&gt;"))))</f>
        <v/>
      </c>
      <c r="Q260" s="54" t="str">
        <f>IF(OR($B260="",$A260&gt;$B$9,Q$245=""),"",IF(COUNTIFS(BD!$B$3:$B$5001,Q$245,BD!$A$3:$A$5001,"&gt;="&amp;$C$7,BD!$A$3:$A$5001,"&lt;="&amp;$B260,BD!$X$3:$X$5001,"&lt;&gt;")=0,"",SUMIFS(BD!$X$3:$X$5001,BD!$B$3:$B$5001,Q$245,BD!$A$3:$A$5001,_xlfn.MAXIFS(BD!$A$3:$A$5001,BD!$B$3:$B$5001,Q$245,BD!$A$3:$A$5001,"&gt;="&amp;$C$7,BD!$A$3:$A$5001,"&lt;="&amp;$B260,BD!$X$3:$X$5001,"&lt;&gt;"))))</f>
        <v/>
      </c>
      <c r="R260" s="54" t="str">
        <f>IF(OR($B260="",$A260&gt;$B$9,R$245=""),"",IF(COUNTIFS(BD!$B$3:$B$5001,R$245,BD!$A$3:$A$5001,"&gt;="&amp;$C$7,BD!$A$3:$A$5001,"&lt;="&amp;$B260,BD!$X$3:$X$5001,"&lt;&gt;")=0,"",SUMIFS(BD!$X$3:$X$5001,BD!$B$3:$B$5001,R$245,BD!$A$3:$A$5001,_xlfn.MAXIFS(BD!$A$3:$A$5001,BD!$B$3:$B$5001,R$245,BD!$A$3:$A$5001,"&gt;="&amp;$C$7,BD!$A$3:$A$5001,"&lt;="&amp;$B260,BD!$X$3:$X$5001,"&lt;&gt;"))))</f>
        <v/>
      </c>
      <c r="S260" s="54" t="str">
        <f>IF(OR($B260="",$A260&gt;$B$9,S$245=""),"",IF(COUNTIFS(BD!$B$3:$B$5001,S$245,BD!$A$3:$A$5001,"&gt;="&amp;$C$7,BD!$A$3:$A$5001,"&lt;="&amp;$B260,BD!$X$3:$X$5001,"&lt;&gt;")=0,"",SUMIFS(BD!$X$3:$X$5001,BD!$B$3:$B$5001,S$245,BD!$A$3:$A$5001,_xlfn.MAXIFS(BD!$A$3:$A$5001,BD!$B$3:$B$5001,S$245,BD!$A$3:$A$5001,"&gt;="&amp;$C$7,BD!$A$3:$A$5001,"&lt;="&amp;$B260,BD!$X$3:$X$5001,"&lt;&gt;"))))</f>
        <v/>
      </c>
      <c r="T260" s="54" t="str">
        <f>IF(OR($B260="",$A260&gt;$B$9,T$245=""),"",IF(COUNTIFS(BD!$B$3:$B$5001,T$245,BD!$A$3:$A$5001,"&gt;="&amp;$C$7,BD!$A$3:$A$5001,"&lt;="&amp;$B260,BD!$X$3:$X$5001,"&lt;&gt;")=0,"",SUMIFS(BD!$X$3:$X$5001,BD!$B$3:$B$5001,T$245,BD!$A$3:$A$5001,_xlfn.MAXIFS(BD!$A$3:$A$5001,BD!$B$3:$B$5001,T$245,BD!$A$3:$A$5001,"&gt;="&amp;$C$7,BD!$A$3:$A$5001,"&lt;="&amp;$B260,BD!$X$3:$X$5001,"&lt;&gt;"))))</f>
        <v/>
      </c>
      <c r="U260" s="54" t="str">
        <f>IF(OR($B260="",$A260&gt;$B$9,U$245=""),"",IF(COUNTIFS(BD!$B$3:$B$5001,U$245,BD!$A$3:$A$5001,"&gt;="&amp;$C$7,BD!$A$3:$A$5001,"&lt;="&amp;$B260,BD!$X$3:$X$5001,"&lt;&gt;")=0,"",SUMIFS(BD!$X$3:$X$5001,BD!$B$3:$B$5001,U$245,BD!$A$3:$A$5001,_xlfn.MAXIFS(BD!$A$3:$A$5001,BD!$B$3:$B$5001,U$245,BD!$A$3:$A$5001,"&gt;="&amp;$C$7,BD!$A$3:$A$5001,"&lt;="&amp;$B260,BD!$X$3:$X$5001,"&lt;&gt;"))))</f>
        <v/>
      </c>
      <c r="V260" s="54" t="str">
        <f>IF(OR($B260="",$A260&gt;$B$9,V$245=""),"",IF(COUNTIFS(BD!$B$3:$B$5001,V$245,BD!$A$3:$A$5001,"&gt;="&amp;$C$7,BD!$A$3:$A$5001,"&lt;="&amp;$B260,BD!$X$3:$X$5001,"&lt;&gt;")=0,"",SUMIFS(BD!$X$3:$X$5001,BD!$B$3:$B$5001,V$245,BD!$A$3:$A$5001,_xlfn.MAXIFS(BD!$A$3:$A$5001,BD!$B$3:$B$5001,V$245,BD!$A$3:$A$5001,"&gt;="&amp;$C$7,BD!$A$3:$A$5001,"&lt;="&amp;$B260,BD!$X$3:$X$5001,"&lt;&gt;"))))</f>
        <v/>
      </c>
    </row>
    <row r="261">
      <c r="A261" s="48">
        <v>16</v>
      </c>
      <c r="B261" s="53">
        <f>$B$27</f>
        <v>46311</v>
      </c>
      <c r="C261" s="54" t="str">
        <f>IF(OR($B261="",$A261&gt;$B$9,C$245=""),"",IF(COUNTIFS(BD!$B$3:$B$5001,C$245,BD!$A$3:$A$5001,"&gt;="&amp;$C$7,BD!$A$3:$A$5001,"&lt;="&amp;$B261,BD!$X$3:$X$5001,"&lt;&gt;")=0,"",SUMIFS(BD!$X$3:$X$5001,BD!$B$3:$B$5001,C$245,BD!$A$3:$A$5001,_xlfn.MAXIFS(BD!$A$3:$A$5001,BD!$B$3:$B$5001,C$245,BD!$A$3:$A$5001,"&gt;="&amp;$C$7,BD!$A$3:$A$5001,"&lt;="&amp;$B261,BD!$X$3:$X$5001,"&lt;&gt;"))))</f>
        <v/>
      </c>
      <c r="D261" s="54" t="str">
        <f>IF(OR($B261="",$A261&gt;$B$9,D$245=""),"",IF(COUNTIFS(BD!$B$3:$B$5001,D$245,BD!$A$3:$A$5001,"&gt;="&amp;$C$7,BD!$A$3:$A$5001,"&lt;="&amp;$B261,BD!$X$3:$X$5001,"&lt;&gt;")=0,"",SUMIFS(BD!$X$3:$X$5001,BD!$B$3:$B$5001,D$245,BD!$A$3:$A$5001,_xlfn.MAXIFS(BD!$A$3:$A$5001,BD!$B$3:$B$5001,D$245,BD!$A$3:$A$5001,"&gt;="&amp;$C$7,BD!$A$3:$A$5001,"&lt;="&amp;$B261,BD!$X$3:$X$5001,"&lt;&gt;"))))</f>
        <v/>
      </c>
      <c r="E261" s="54" t="str">
        <f>IF(OR($B261="",$A261&gt;$B$9,E$245=""),"",IF(COUNTIFS(BD!$B$3:$B$5001,E$245,BD!$A$3:$A$5001,"&gt;="&amp;$C$7,BD!$A$3:$A$5001,"&lt;="&amp;$B261,BD!$X$3:$X$5001,"&lt;&gt;")=0,"",SUMIFS(BD!$X$3:$X$5001,BD!$B$3:$B$5001,E$245,BD!$A$3:$A$5001,_xlfn.MAXIFS(BD!$A$3:$A$5001,BD!$B$3:$B$5001,E$245,BD!$A$3:$A$5001,"&gt;="&amp;$C$7,BD!$A$3:$A$5001,"&lt;="&amp;$B261,BD!$X$3:$X$5001,"&lt;&gt;"))))</f>
        <v/>
      </c>
      <c r="F261" s="54" t="str">
        <f>IF(OR($B261="",$A261&gt;$B$9,F$245=""),"",IF(COUNTIFS(BD!$B$3:$B$5001,F$245,BD!$A$3:$A$5001,"&gt;="&amp;$C$7,BD!$A$3:$A$5001,"&lt;="&amp;$B261,BD!$X$3:$X$5001,"&lt;&gt;")=0,"",SUMIFS(BD!$X$3:$X$5001,BD!$B$3:$B$5001,F$245,BD!$A$3:$A$5001,_xlfn.MAXIFS(BD!$A$3:$A$5001,BD!$B$3:$B$5001,F$245,BD!$A$3:$A$5001,"&gt;="&amp;$C$7,BD!$A$3:$A$5001,"&lt;="&amp;$B261,BD!$X$3:$X$5001,"&lt;&gt;"))))</f>
        <v/>
      </c>
      <c r="G261" s="54" t="str">
        <f>IF(OR($B261="",$A261&gt;$B$9,G$245=""),"",IF(COUNTIFS(BD!$B$3:$B$5001,G$245,BD!$A$3:$A$5001,"&gt;="&amp;$C$7,BD!$A$3:$A$5001,"&lt;="&amp;$B261,BD!$X$3:$X$5001,"&lt;&gt;")=0,"",SUMIFS(BD!$X$3:$X$5001,BD!$B$3:$B$5001,G$245,BD!$A$3:$A$5001,_xlfn.MAXIFS(BD!$A$3:$A$5001,BD!$B$3:$B$5001,G$245,BD!$A$3:$A$5001,"&gt;="&amp;$C$7,BD!$A$3:$A$5001,"&lt;="&amp;$B261,BD!$X$3:$X$5001,"&lt;&gt;"))))</f>
        <v/>
      </c>
      <c r="H261" s="54" t="str">
        <f>IF(OR($B261="",$A261&gt;$B$9,H$245=""),"",IF(COUNTIFS(BD!$B$3:$B$5001,H$245,BD!$A$3:$A$5001,"&gt;="&amp;$C$7,BD!$A$3:$A$5001,"&lt;="&amp;$B261,BD!$X$3:$X$5001,"&lt;&gt;")=0,"",SUMIFS(BD!$X$3:$X$5001,BD!$B$3:$B$5001,H$245,BD!$A$3:$A$5001,_xlfn.MAXIFS(BD!$A$3:$A$5001,BD!$B$3:$B$5001,H$245,BD!$A$3:$A$5001,"&gt;="&amp;$C$7,BD!$A$3:$A$5001,"&lt;="&amp;$B261,BD!$X$3:$X$5001,"&lt;&gt;"))))</f>
        <v/>
      </c>
      <c r="I261" s="54" t="str">
        <f>IF(OR($B261="",$A261&gt;$B$9,I$245=""),"",IF(COUNTIFS(BD!$B$3:$B$5001,I$245,BD!$A$3:$A$5001,"&gt;="&amp;$C$7,BD!$A$3:$A$5001,"&lt;="&amp;$B261,BD!$X$3:$X$5001,"&lt;&gt;")=0,"",SUMIFS(BD!$X$3:$X$5001,BD!$B$3:$B$5001,I$245,BD!$A$3:$A$5001,_xlfn.MAXIFS(BD!$A$3:$A$5001,BD!$B$3:$B$5001,I$245,BD!$A$3:$A$5001,"&gt;="&amp;$C$7,BD!$A$3:$A$5001,"&lt;="&amp;$B261,BD!$X$3:$X$5001,"&lt;&gt;"))))</f>
        <v/>
      </c>
      <c r="J261" s="54" t="str">
        <f>IF(OR($B261="",$A261&gt;$B$9,J$245=""),"",IF(COUNTIFS(BD!$B$3:$B$5001,J$245,BD!$A$3:$A$5001,"&gt;="&amp;$C$7,BD!$A$3:$A$5001,"&lt;="&amp;$B261,BD!$X$3:$X$5001,"&lt;&gt;")=0,"",SUMIFS(BD!$X$3:$X$5001,BD!$B$3:$B$5001,J$245,BD!$A$3:$A$5001,_xlfn.MAXIFS(BD!$A$3:$A$5001,BD!$B$3:$B$5001,J$245,BD!$A$3:$A$5001,"&gt;="&amp;$C$7,BD!$A$3:$A$5001,"&lt;="&amp;$B261,BD!$X$3:$X$5001,"&lt;&gt;"))))</f>
        <v/>
      </c>
      <c r="K261" s="54" t="str">
        <f>IF(OR($B261="",$A261&gt;$B$9,K$245=""),"",IF(COUNTIFS(BD!$B$3:$B$5001,K$245,BD!$A$3:$A$5001,"&gt;="&amp;$C$7,BD!$A$3:$A$5001,"&lt;="&amp;$B261,BD!$X$3:$X$5001,"&lt;&gt;")=0,"",SUMIFS(BD!$X$3:$X$5001,BD!$B$3:$B$5001,K$245,BD!$A$3:$A$5001,_xlfn.MAXIFS(BD!$A$3:$A$5001,BD!$B$3:$B$5001,K$245,BD!$A$3:$A$5001,"&gt;="&amp;$C$7,BD!$A$3:$A$5001,"&lt;="&amp;$B261,BD!$X$3:$X$5001,"&lt;&gt;"))))</f>
        <v/>
      </c>
      <c r="L261" s="54" t="str">
        <f>IF(OR($B261="",$A261&gt;$B$9,L$245=""),"",IF(COUNTIFS(BD!$B$3:$B$5001,L$245,BD!$A$3:$A$5001,"&gt;="&amp;$C$7,BD!$A$3:$A$5001,"&lt;="&amp;$B261,BD!$X$3:$X$5001,"&lt;&gt;")=0,"",SUMIFS(BD!$X$3:$X$5001,BD!$B$3:$B$5001,L$245,BD!$A$3:$A$5001,_xlfn.MAXIFS(BD!$A$3:$A$5001,BD!$B$3:$B$5001,L$245,BD!$A$3:$A$5001,"&gt;="&amp;$C$7,BD!$A$3:$A$5001,"&lt;="&amp;$B261,BD!$X$3:$X$5001,"&lt;&gt;"))))</f>
        <v/>
      </c>
      <c r="M261" s="54" t="str">
        <f>IF(OR($B261="",$A261&gt;$B$9,M$245=""),"",IF(COUNTIFS(BD!$B$3:$B$5001,M$245,BD!$A$3:$A$5001,"&gt;="&amp;$C$7,BD!$A$3:$A$5001,"&lt;="&amp;$B261,BD!$X$3:$X$5001,"&lt;&gt;")=0,"",SUMIFS(BD!$X$3:$X$5001,BD!$B$3:$B$5001,M$245,BD!$A$3:$A$5001,_xlfn.MAXIFS(BD!$A$3:$A$5001,BD!$B$3:$B$5001,M$245,BD!$A$3:$A$5001,"&gt;="&amp;$C$7,BD!$A$3:$A$5001,"&lt;="&amp;$B261,BD!$X$3:$X$5001,"&lt;&gt;"))))</f>
        <v/>
      </c>
      <c r="N261" s="54" t="str">
        <f>IF(OR($B261="",$A261&gt;$B$9,N$245=""),"",IF(COUNTIFS(BD!$B$3:$B$5001,N$245,BD!$A$3:$A$5001,"&gt;="&amp;$C$7,BD!$A$3:$A$5001,"&lt;="&amp;$B261,BD!$X$3:$X$5001,"&lt;&gt;")=0,"",SUMIFS(BD!$X$3:$X$5001,BD!$B$3:$B$5001,N$245,BD!$A$3:$A$5001,_xlfn.MAXIFS(BD!$A$3:$A$5001,BD!$B$3:$B$5001,N$245,BD!$A$3:$A$5001,"&gt;="&amp;$C$7,BD!$A$3:$A$5001,"&lt;="&amp;$B261,BD!$X$3:$X$5001,"&lt;&gt;"))))</f>
        <v/>
      </c>
      <c r="O261" s="54" t="str">
        <f>IF(OR($B261="",$A261&gt;$B$9,O$245=""),"",IF(COUNTIFS(BD!$B$3:$B$5001,O$245,BD!$A$3:$A$5001,"&gt;="&amp;$C$7,BD!$A$3:$A$5001,"&lt;="&amp;$B261,BD!$X$3:$X$5001,"&lt;&gt;")=0,"",SUMIFS(BD!$X$3:$X$5001,BD!$B$3:$B$5001,O$245,BD!$A$3:$A$5001,_xlfn.MAXIFS(BD!$A$3:$A$5001,BD!$B$3:$B$5001,O$245,BD!$A$3:$A$5001,"&gt;="&amp;$C$7,BD!$A$3:$A$5001,"&lt;="&amp;$B261,BD!$X$3:$X$5001,"&lt;&gt;"))))</f>
        <v/>
      </c>
      <c r="P261" s="54" t="str">
        <f>IF(OR($B261="",$A261&gt;$B$9,P$245=""),"",IF(COUNTIFS(BD!$B$3:$B$5001,P$245,BD!$A$3:$A$5001,"&gt;="&amp;$C$7,BD!$A$3:$A$5001,"&lt;="&amp;$B261,BD!$X$3:$X$5001,"&lt;&gt;")=0,"",SUMIFS(BD!$X$3:$X$5001,BD!$B$3:$B$5001,P$245,BD!$A$3:$A$5001,_xlfn.MAXIFS(BD!$A$3:$A$5001,BD!$B$3:$B$5001,P$245,BD!$A$3:$A$5001,"&gt;="&amp;$C$7,BD!$A$3:$A$5001,"&lt;="&amp;$B261,BD!$X$3:$X$5001,"&lt;&gt;"))))</f>
        <v/>
      </c>
      <c r="Q261" s="54" t="str">
        <f>IF(OR($B261="",$A261&gt;$B$9,Q$245=""),"",IF(COUNTIFS(BD!$B$3:$B$5001,Q$245,BD!$A$3:$A$5001,"&gt;="&amp;$C$7,BD!$A$3:$A$5001,"&lt;="&amp;$B261,BD!$X$3:$X$5001,"&lt;&gt;")=0,"",SUMIFS(BD!$X$3:$X$5001,BD!$B$3:$B$5001,Q$245,BD!$A$3:$A$5001,_xlfn.MAXIFS(BD!$A$3:$A$5001,BD!$B$3:$B$5001,Q$245,BD!$A$3:$A$5001,"&gt;="&amp;$C$7,BD!$A$3:$A$5001,"&lt;="&amp;$B261,BD!$X$3:$X$5001,"&lt;&gt;"))))</f>
        <v/>
      </c>
      <c r="R261" s="54" t="str">
        <f>IF(OR($B261="",$A261&gt;$B$9,R$245=""),"",IF(COUNTIFS(BD!$B$3:$B$5001,R$245,BD!$A$3:$A$5001,"&gt;="&amp;$C$7,BD!$A$3:$A$5001,"&lt;="&amp;$B261,BD!$X$3:$X$5001,"&lt;&gt;")=0,"",SUMIFS(BD!$X$3:$X$5001,BD!$B$3:$B$5001,R$245,BD!$A$3:$A$5001,_xlfn.MAXIFS(BD!$A$3:$A$5001,BD!$B$3:$B$5001,R$245,BD!$A$3:$A$5001,"&gt;="&amp;$C$7,BD!$A$3:$A$5001,"&lt;="&amp;$B261,BD!$X$3:$X$5001,"&lt;&gt;"))))</f>
        <v/>
      </c>
      <c r="S261" s="54" t="str">
        <f>IF(OR($B261="",$A261&gt;$B$9,S$245=""),"",IF(COUNTIFS(BD!$B$3:$B$5001,S$245,BD!$A$3:$A$5001,"&gt;="&amp;$C$7,BD!$A$3:$A$5001,"&lt;="&amp;$B261,BD!$X$3:$X$5001,"&lt;&gt;")=0,"",SUMIFS(BD!$X$3:$X$5001,BD!$B$3:$B$5001,S$245,BD!$A$3:$A$5001,_xlfn.MAXIFS(BD!$A$3:$A$5001,BD!$B$3:$B$5001,S$245,BD!$A$3:$A$5001,"&gt;="&amp;$C$7,BD!$A$3:$A$5001,"&lt;="&amp;$B261,BD!$X$3:$X$5001,"&lt;&gt;"))))</f>
        <v/>
      </c>
      <c r="T261" s="54" t="str">
        <f>IF(OR($B261="",$A261&gt;$B$9,T$245=""),"",IF(COUNTIFS(BD!$B$3:$B$5001,T$245,BD!$A$3:$A$5001,"&gt;="&amp;$C$7,BD!$A$3:$A$5001,"&lt;="&amp;$B261,BD!$X$3:$X$5001,"&lt;&gt;")=0,"",SUMIFS(BD!$X$3:$X$5001,BD!$B$3:$B$5001,T$245,BD!$A$3:$A$5001,_xlfn.MAXIFS(BD!$A$3:$A$5001,BD!$B$3:$B$5001,T$245,BD!$A$3:$A$5001,"&gt;="&amp;$C$7,BD!$A$3:$A$5001,"&lt;="&amp;$B261,BD!$X$3:$X$5001,"&lt;&gt;"))))</f>
        <v/>
      </c>
      <c r="U261" s="54" t="str">
        <f>IF(OR($B261="",$A261&gt;$B$9,U$245=""),"",IF(COUNTIFS(BD!$B$3:$B$5001,U$245,BD!$A$3:$A$5001,"&gt;="&amp;$C$7,BD!$A$3:$A$5001,"&lt;="&amp;$B261,BD!$X$3:$X$5001,"&lt;&gt;")=0,"",SUMIFS(BD!$X$3:$X$5001,BD!$B$3:$B$5001,U$245,BD!$A$3:$A$5001,_xlfn.MAXIFS(BD!$A$3:$A$5001,BD!$B$3:$B$5001,U$245,BD!$A$3:$A$5001,"&gt;="&amp;$C$7,BD!$A$3:$A$5001,"&lt;="&amp;$B261,BD!$X$3:$X$5001,"&lt;&gt;"))))</f>
        <v/>
      </c>
      <c r="V261" s="54" t="str">
        <f>IF(OR($B261="",$A261&gt;$B$9,V$245=""),"",IF(COUNTIFS(BD!$B$3:$B$5001,V$245,BD!$A$3:$A$5001,"&gt;="&amp;$C$7,BD!$A$3:$A$5001,"&lt;="&amp;$B261,BD!$X$3:$X$5001,"&lt;&gt;")=0,"",SUMIFS(BD!$X$3:$X$5001,BD!$B$3:$B$5001,V$245,BD!$A$3:$A$5001,_xlfn.MAXIFS(BD!$A$3:$A$5001,BD!$B$3:$B$5001,V$245,BD!$A$3:$A$5001,"&gt;="&amp;$C$7,BD!$A$3:$A$5001,"&lt;="&amp;$B261,BD!$X$3:$X$5001,"&lt;&gt;"))))</f>
        <v/>
      </c>
    </row>
    <row r="262">
      <c r="A262" s="48">
        <v>17</v>
      </c>
      <c r="B262" s="53">
        <f>$B$28</f>
        <v>46312</v>
      </c>
      <c r="C262" s="54" t="str">
        <f>IF(OR($B262="",$A262&gt;$B$9,C$245=""),"",IF(COUNTIFS(BD!$B$3:$B$5001,C$245,BD!$A$3:$A$5001,"&gt;="&amp;$C$7,BD!$A$3:$A$5001,"&lt;="&amp;$B262,BD!$X$3:$X$5001,"&lt;&gt;")=0,"",SUMIFS(BD!$X$3:$X$5001,BD!$B$3:$B$5001,C$245,BD!$A$3:$A$5001,_xlfn.MAXIFS(BD!$A$3:$A$5001,BD!$B$3:$B$5001,C$245,BD!$A$3:$A$5001,"&gt;="&amp;$C$7,BD!$A$3:$A$5001,"&lt;="&amp;$B262,BD!$X$3:$X$5001,"&lt;&gt;"))))</f>
        <v/>
      </c>
      <c r="D262" s="54" t="str">
        <f>IF(OR($B262="",$A262&gt;$B$9,D$245=""),"",IF(COUNTIFS(BD!$B$3:$B$5001,D$245,BD!$A$3:$A$5001,"&gt;="&amp;$C$7,BD!$A$3:$A$5001,"&lt;="&amp;$B262,BD!$X$3:$X$5001,"&lt;&gt;")=0,"",SUMIFS(BD!$X$3:$X$5001,BD!$B$3:$B$5001,D$245,BD!$A$3:$A$5001,_xlfn.MAXIFS(BD!$A$3:$A$5001,BD!$B$3:$B$5001,D$245,BD!$A$3:$A$5001,"&gt;="&amp;$C$7,BD!$A$3:$A$5001,"&lt;="&amp;$B262,BD!$X$3:$X$5001,"&lt;&gt;"))))</f>
        <v/>
      </c>
      <c r="E262" s="54" t="str">
        <f>IF(OR($B262="",$A262&gt;$B$9,E$245=""),"",IF(COUNTIFS(BD!$B$3:$B$5001,E$245,BD!$A$3:$A$5001,"&gt;="&amp;$C$7,BD!$A$3:$A$5001,"&lt;="&amp;$B262,BD!$X$3:$X$5001,"&lt;&gt;")=0,"",SUMIFS(BD!$X$3:$X$5001,BD!$B$3:$B$5001,E$245,BD!$A$3:$A$5001,_xlfn.MAXIFS(BD!$A$3:$A$5001,BD!$B$3:$B$5001,E$245,BD!$A$3:$A$5001,"&gt;="&amp;$C$7,BD!$A$3:$A$5001,"&lt;="&amp;$B262,BD!$X$3:$X$5001,"&lt;&gt;"))))</f>
        <v/>
      </c>
      <c r="F262" s="54" t="str">
        <f>IF(OR($B262="",$A262&gt;$B$9,F$245=""),"",IF(COUNTIFS(BD!$B$3:$B$5001,F$245,BD!$A$3:$A$5001,"&gt;="&amp;$C$7,BD!$A$3:$A$5001,"&lt;="&amp;$B262,BD!$X$3:$X$5001,"&lt;&gt;")=0,"",SUMIFS(BD!$X$3:$X$5001,BD!$B$3:$B$5001,F$245,BD!$A$3:$A$5001,_xlfn.MAXIFS(BD!$A$3:$A$5001,BD!$B$3:$B$5001,F$245,BD!$A$3:$A$5001,"&gt;="&amp;$C$7,BD!$A$3:$A$5001,"&lt;="&amp;$B262,BD!$X$3:$X$5001,"&lt;&gt;"))))</f>
        <v/>
      </c>
      <c r="G262" s="54" t="str">
        <f>IF(OR($B262="",$A262&gt;$B$9,G$245=""),"",IF(COUNTIFS(BD!$B$3:$B$5001,G$245,BD!$A$3:$A$5001,"&gt;="&amp;$C$7,BD!$A$3:$A$5001,"&lt;="&amp;$B262,BD!$X$3:$X$5001,"&lt;&gt;")=0,"",SUMIFS(BD!$X$3:$X$5001,BD!$B$3:$B$5001,G$245,BD!$A$3:$A$5001,_xlfn.MAXIFS(BD!$A$3:$A$5001,BD!$B$3:$B$5001,G$245,BD!$A$3:$A$5001,"&gt;="&amp;$C$7,BD!$A$3:$A$5001,"&lt;="&amp;$B262,BD!$X$3:$X$5001,"&lt;&gt;"))))</f>
        <v/>
      </c>
      <c r="H262" s="54" t="str">
        <f>IF(OR($B262="",$A262&gt;$B$9,H$245=""),"",IF(COUNTIFS(BD!$B$3:$B$5001,H$245,BD!$A$3:$A$5001,"&gt;="&amp;$C$7,BD!$A$3:$A$5001,"&lt;="&amp;$B262,BD!$X$3:$X$5001,"&lt;&gt;")=0,"",SUMIFS(BD!$X$3:$X$5001,BD!$B$3:$B$5001,H$245,BD!$A$3:$A$5001,_xlfn.MAXIFS(BD!$A$3:$A$5001,BD!$B$3:$B$5001,H$245,BD!$A$3:$A$5001,"&gt;="&amp;$C$7,BD!$A$3:$A$5001,"&lt;="&amp;$B262,BD!$X$3:$X$5001,"&lt;&gt;"))))</f>
        <v/>
      </c>
      <c r="I262" s="54" t="str">
        <f>IF(OR($B262="",$A262&gt;$B$9,I$245=""),"",IF(COUNTIFS(BD!$B$3:$B$5001,I$245,BD!$A$3:$A$5001,"&gt;="&amp;$C$7,BD!$A$3:$A$5001,"&lt;="&amp;$B262,BD!$X$3:$X$5001,"&lt;&gt;")=0,"",SUMIFS(BD!$X$3:$X$5001,BD!$B$3:$B$5001,I$245,BD!$A$3:$A$5001,_xlfn.MAXIFS(BD!$A$3:$A$5001,BD!$B$3:$B$5001,I$245,BD!$A$3:$A$5001,"&gt;="&amp;$C$7,BD!$A$3:$A$5001,"&lt;="&amp;$B262,BD!$X$3:$X$5001,"&lt;&gt;"))))</f>
        <v/>
      </c>
      <c r="J262" s="54" t="str">
        <f>IF(OR($B262="",$A262&gt;$B$9,J$245=""),"",IF(COUNTIFS(BD!$B$3:$B$5001,J$245,BD!$A$3:$A$5001,"&gt;="&amp;$C$7,BD!$A$3:$A$5001,"&lt;="&amp;$B262,BD!$X$3:$X$5001,"&lt;&gt;")=0,"",SUMIFS(BD!$X$3:$X$5001,BD!$B$3:$B$5001,J$245,BD!$A$3:$A$5001,_xlfn.MAXIFS(BD!$A$3:$A$5001,BD!$B$3:$B$5001,J$245,BD!$A$3:$A$5001,"&gt;="&amp;$C$7,BD!$A$3:$A$5001,"&lt;="&amp;$B262,BD!$X$3:$X$5001,"&lt;&gt;"))))</f>
        <v/>
      </c>
      <c r="K262" s="54" t="str">
        <f>IF(OR($B262="",$A262&gt;$B$9,K$245=""),"",IF(COUNTIFS(BD!$B$3:$B$5001,K$245,BD!$A$3:$A$5001,"&gt;="&amp;$C$7,BD!$A$3:$A$5001,"&lt;="&amp;$B262,BD!$X$3:$X$5001,"&lt;&gt;")=0,"",SUMIFS(BD!$X$3:$X$5001,BD!$B$3:$B$5001,K$245,BD!$A$3:$A$5001,_xlfn.MAXIFS(BD!$A$3:$A$5001,BD!$B$3:$B$5001,K$245,BD!$A$3:$A$5001,"&gt;="&amp;$C$7,BD!$A$3:$A$5001,"&lt;="&amp;$B262,BD!$X$3:$X$5001,"&lt;&gt;"))))</f>
        <v/>
      </c>
      <c r="L262" s="54" t="str">
        <f>IF(OR($B262="",$A262&gt;$B$9,L$245=""),"",IF(COUNTIFS(BD!$B$3:$B$5001,L$245,BD!$A$3:$A$5001,"&gt;="&amp;$C$7,BD!$A$3:$A$5001,"&lt;="&amp;$B262,BD!$X$3:$X$5001,"&lt;&gt;")=0,"",SUMIFS(BD!$X$3:$X$5001,BD!$B$3:$B$5001,L$245,BD!$A$3:$A$5001,_xlfn.MAXIFS(BD!$A$3:$A$5001,BD!$B$3:$B$5001,L$245,BD!$A$3:$A$5001,"&gt;="&amp;$C$7,BD!$A$3:$A$5001,"&lt;="&amp;$B262,BD!$X$3:$X$5001,"&lt;&gt;"))))</f>
        <v/>
      </c>
      <c r="M262" s="54" t="str">
        <f>IF(OR($B262="",$A262&gt;$B$9,M$245=""),"",IF(COUNTIFS(BD!$B$3:$B$5001,M$245,BD!$A$3:$A$5001,"&gt;="&amp;$C$7,BD!$A$3:$A$5001,"&lt;="&amp;$B262,BD!$X$3:$X$5001,"&lt;&gt;")=0,"",SUMIFS(BD!$X$3:$X$5001,BD!$B$3:$B$5001,M$245,BD!$A$3:$A$5001,_xlfn.MAXIFS(BD!$A$3:$A$5001,BD!$B$3:$B$5001,M$245,BD!$A$3:$A$5001,"&gt;="&amp;$C$7,BD!$A$3:$A$5001,"&lt;="&amp;$B262,BD!$X$3:$X$5001,"&lt;&gt;"))))</f>
        <v/>
      </c>
      <c r="N262" s="54" t="str">
        <f>IF(OR($B262="",$A262&gt;$B$9,N$245=""),"",IF(COUNTIFS(BD!$B$3:$B$5001,N$245,BD!$A$3:$A$5001,"&gt;="&amp;$C$7,BD!$A$3:$A$5001,"&lt;="&amp;$B262,BD!$X$3:$X$5001,"&lt;&gt;")=0,"",SUMIFS(BD!$X$3:$X$5001,BD!$B$3:$B$5001,N$245,BD!$A$3:$A$5001,_xlfn.MAXIFS(BD!$A$3:$A$5001,BD!$B$3:$B$5001,N$245,BD!$A$3:$A$5001,"&gt;="&amp;$C$7,BD!$A$3:$A$5001,"&lt;="&amp;$B262,BD!$X$3:$X$5001,"&lt;&gt;"))))</f>
        <v/>
      </c>
      <c r="O262" s="54" t="str">
        <f>IF(OR($B262="",$A262&gt;$B$9,O$245=""),"",IF(COUNTIFS(BD!$B$3:$B$5001,O$245,BD!$A$3:$A$5001,"&gt;="&amp;$C$7,BD!$A$3:$A$5001,"&lt;="&amp;$B262,BD!$X$3:$X$5001,"&lt;&gt;")=0,"",SUMIFS(BD!$X$3:$X$5001,BD!$B$3:$B$5001,O$245,BD!$A$3:$A$5001,_xlfn.MAXIFS(BD!$A$3:$A$5001,BD!$B$3:$B$5001,O$245,BD!$A$3:$A$5001,"&gt;="&amp;$C$7,BD!$A$3:$A$5001,"&lt;="&amp;$B262,BD!$X$3:$X$5001,"&lt;&gt;"))))</f>
        <v/>
      </c>
      <c r="P262" s="54" t="str">
        <f>IF(OR($B262="",$A262&gt;$B$9,P$245=""),"",IF(COUNTIFS(BD!$B$3:$B$5001,P$245,BD!$A$3:$A$5001,"&gt;="&amp;$C$7,BD!$A$3:$A$5001,"&lt;="&amp;$B262,BD!$X$3:$X$5001,"&lt;&gt;")=0,"",SUMIFS(BD!$X$3:$X$5001,BD!$B$3:$B$5001,P$245,BD!$A$3:$A$5001,_xlfn.MAXIFS(BD!$A$3:$A$5001,BD!$B$3:$B$5001,P$245,BD!$A$3:$A$5001,"&gt;="&amp;$C$7,BD!$A$3:$A$5001,"&lt;="&amp;$B262,BD!$X$3:$X$5001,"&lt;&gt;"))))</f>
        <v/>
      </c>
      <c r="Q262" s="54" t="str">
        <f>IF(OR($B262="",$A262&gt;$B$9,Q$245=""),"",IF(COUNTIFS(BD!$B$3:$B$5001,Q$245,BD!$A$3:$A$5001,"&gt;="&amp;$C$7,BD!$A$3:$A$5001,"&lt;="&amp;$B262,BD!$X$3:$X$5001,"&lt;&gt;")=0,"",SUMIFS(BD!$X$3:$X$5001,BD!$B$3:$B$5001,Q$245,BD!$A$3:$A$5001,_xlfn.MAXIFS(BD!$A$3:$A$5001,BD!$B$3:$B$5001,Q$245,BD!$A$3:$A$5001,"&gt;="&amp;$C$7,BD!$A$3:$A$5001,"&lt;="&amp;$B262,BD!$X$3:$X$5001,"&lt;&gt;"))))</f>
        <v/>
      </c>
      <c r="R262" s="54" t="str">
        <f>IF(OR($B262="",$A262&gt;$B$9,R$245=""),"",IF(COUNTIFS(BD!$B$3:$B$5001,R$245,BD!$A$3:$A$5001,"&gt;="&amp;$C$7,BD!$A$3:$A$5001,"&lt;="&amp;$B262,BD!$X$3:$X$5001,"&lt;&gt;")=0,"",SUMIFS(BD!$X$3:$X$5001,BD!$B$3:$B$5001,R$245,BD!$A$3:$A$5001,_xlfn.MAXIFS(BD!$A$3:$A$5001,BD!$B$3:$B$5001,R$245,BD!$A$3:$A$5001,"&gt;="&amp;$C$7,BD!$A$3:$A$5001,"&lt;="&amp;$B262,BD!$X$3:$X$5001,"&lt;&gt;"))))</f>
        <v/>
      </c>
      <c r="S262" s="54" t="str">
        <f>IF(OR($B262="",$A262&gt;$B$9,S$245=""),"",IF(COUNTIFS(BD!$B$3:$B$5001,S$245,BD!$A$3:$A$5001,"&gt;="&amp;$C$7,BD!$A$3:$A$5001,"&lt;="&amp;$B262,BD!$X$3:$X$5001,"&lt;&gt;")=0,"",SUMIFS(BD!$X$3:$X$5001,BD!$B$3:$B$5001,S$245,BD!$A$3:$A$5001,_xlfn.MAXIFS(BD!$A$3:$A$5001,BD!$B$3:$B$5001,S$245,BD!$A$3:$A$5001,"&gt;="&amp;$C$7,BD!$A$3:$A$5001,"&lt;="&amp;$B262,BD!$X$3:$X$5001,"&lt;&gt;"))))</f>
        <v/>
      </c>
      <c r="T262" s="54" t="str">
        <f>IF(OR($B262="",$A262&gt;$B$9,T$245=""),"",IF(COUNTIFS(BD!$B$3:$B$5001,T$245,BD!$A$3:$A$5001,"&gt;="&amp;$C$7,BD!$A$3:$A$5001,"&lt;="&amp;$B262,BD!$X$3:$X$5001,"&lt;&gt;")=0,"",SUMIFS(BD!$X$3:$X$5001,BD!$B$3:$B$5001,T$245,BD!$A$3:$A$5001,_xlfn.MAXIFS(BD!$A$3:$A$5001,BD!$B$3:$B$5001,T$245,BD!$A$3:$A$5001,"&gt;="&amp;$C$7,BD!$A$3:$A$5001,"&lt;="&amp;$B262,BD!$X$3:$X$5001,"&lt;&gt;"))))</f>
        <v/>
      </c>
      <c r="U262" s="54" t="str">
        <f>IF(OR($B262="",$A262&gt;$B$9,U$245=""),"",IF(COUNTIFS(BD!$B$3:$B$5001,U$245,BD!$A$3:$A$5001,"&gt;="&amp;$C$7,BD!$A$3:$A$5001,"&lt;="&amp;$B262,BD!$X$3:$X$5001,"&lt;&gt;")=0,"",SUMIFS(BD!$X$3:$X$5001,BD!$B$3:$B$5001,U$245,BD!$A$3:$A$5001,_xlfn.MAXIFS(BD!$A$3:$A$5001,BD!$B$3:$B$5001,U$245,BD!$A$3:$A$5001,"&gt;="&amp;$C$7,BD!$A$3:$A$5001,"&lt;="&amp;$B262,BD!$X$3:$X$5001,"&lt;&gt;"))))</f>
        <v/>
      </c>
      <c r="V262" s="54" t="str">
        <f>IF(OR($B262="",$A262&gt;$B$9,V$245=""),"",IF(COUNTIFS(BD!$B$3:$B$5001,V$245,BD!$A$3:$A$5001,"&gt;="&amp;$C$7,BD!$A$3:$A$5001,"&lt;="&amp;$B262,BD!$X$3:$X$5001,"&lt;&gt;")=0,"",SUMIFS(BD!$X$3:$X$5001,BD!$B$3:$B$5001,V$245,BD!$A$3:$A$5001,_xlfn.MAXIFS(BD!$A$3:$A$5001,BD!$B$3:$B$5001,V$245,BD!$A$3:$A$5001,"&gt;="&amp;$C$7,BD!$A$3:$A$5001,"&lt;="&amp;$B262,BD!$X$3:$X$5001,"&lt;&gt;"))))</f>
        <v/>
      </c>
    </row>
    <row r="263">
      <c r="A263" s="48">
        <v>18</v>
      </c>
      <c r="B263" s="53">
        <f>$B$29</f>
        <v>46313</v>
      </c>
      <c r="C263" s="54" t="str">
        <f>IF(OR($B263="",$A263&gt;$B$9,C$245=""),"",IF(COUNTIFS(BD!$B$3:$B$5001,C$245,BD!$A$3:$A$5001,"&gt;="&amp;$C$7,BD!$A$3:$A$5001,"&lt;="&amp;$B263,BD!$X$3:$X$5001,"&lt;&gt;")=0,"",SUMIFS(BD!$X$3:$X$5001,BD!$B$3:$B$5001,C$245,BD!$A$3:$A$5001,_xlfn.MAXIFS(BD!$A$3:$A$5001,BD!$B$3:$B$5001,C$245,BD!$A$3:$A$5001,"&gt;="&amp;$C$7,BD!$A$3:$A$5001,"&lt;="&amp;$B263,BD!$X$3:$X$5001,"&lt;&gt;"))))</f>
        <v/>
      </c>
      <c r="D263" s="54" t="str">
        <f>IF(OR($B263="",$A263&gt;$B$9,D$245=""),"",IF(COUNTIFS(BD!$B$3:$B$5001,D$245,BD!$A$3:$A$5001,"&gt;="&amp;$C$7,BD!$A$3:$A$5001,"&lt;="&amp;$B263,BD!$X$3:$X$5001,"&lt;&gt;")=0,"",SUMIFS(BD!$X$3:$X$5001,BD!$B$3:$B$5001,D$245,BD!$A$3:$A$5001,_xlfn.MAXIFS(BD!$A$3:$A$5001,BD!$B$3:$B$5001,D$245,BD!$A$3:$A$5001,"&gt;="&amp;$C$7,BD!$A$3:$A$5001,"&lt;="&amp;$B263,BD!$X$3:$X$5001,"&lt;&gt;"))))</f>
        <v/>
      </c>
      <c r="E263" s="54" t="str">
        <f>IF(OR($B263="",$A263&gt;$B$9,E$245=""),"",IF(COUNTIFS(BD!$B$3:$B$5001,E$245,BD!$A$3:$A$5001,"&gt;="&amp;$C$7,BD!$A$3:$A$5001,"&lt;="&amp;$B263,BD!$X$3:$X$5001,"&lt;&gt;")=0,"",SUMIFS(BD!$X$3:$X$5001,BD!$B$3:$B$5001,E$245,BD!$A$3:$A$5001,_xlfn.MAXIFS(BD!$A$3:$A$5001,BD!$B$3:$B$5001,E$245,BD!$A$3:$A$5001,"&gt;="&amp;$C$7,BD!$A$3:$A$5001,"&lt;="&amp;$B263,BD!$X$3:$X$5001,"&lt;&gt;"))))</f>
        <v/>
      </c>
      <c r="F263" s="54" t="str">
        <f>IF(OR($B263="",$A263&gt;$B$9,F$245=""),"",IF(COUNTIFS(BD!$B$3:$B$5001,F$245,BD!$A$3:$A$5001,"&gt;="&amp;$C$7,BD!$A$3:$A$5001,"&lt;="&amp;$B263,BD!$X$3:$X$5001,"&lt;&gt;")=0,"",SUMIFS(BD!$X$3:$X$5001,BD!$B$3:$B$5001,F$245,BD!$A$3:$A$5001,_xlfn.MAXIFS(BD!$A$3:$A$5001,BD!$B$3:$B$5001,F$245,BD!$A$3:$A$5001,"&gt;="&amp;$C$7,BD!$A$3:$A$5001,"&lt;="&amp;$B263,BD!$X$3:$X$5001,"&lt;&gt;"))))</f>
        <v/>
      </c>
      <c r="G263" s="54" t="str">
        <f>IF(OR($B263="",$A263&gt;$B$9,G$245=""),"",IF(COUNTIFS(BD!$B$3:$B$5001,G$245,BD!$A$3:$A$5001,"&gt;="&amp;$C$7,BD!$A$3:$A$5001,"&lt;="&amp;$B263,BD!$X$3:$X$5001,"&lt;&gt;")=0,"",SUMIFS(BD!$X$3:$X$5001,BD!$B$3:$B$5001,G$245,BD!$A$3:$A$5001,_xlfn.MAXIFS(BD!$A$3:$A$5001,BD!$B$3:$B$5001,G$245,BD!$A$3:$A$5001,"&gt;="&amp;$C$7,BD!$A$3:$A$5001,"&lt;="&amp;$B263,BD!$X$3:$X$5001,"&lt;&gt;"))))</f>
        <v/>
      </c>
      <c r="H263" s="54" t="str">
        <f>IF(OR($B263="",$A263&gt;$B$9,H$245=""),"",IF(COUNTIFS(BD!$B$3:$B$5001,H$245,BD!$A$3:$A$5001,"&gt;="&amp;$C$7,BD!$A$3:$A$5001,"&lt;="&amp;$B263,BD!$X$3:$X$5001,"&lt;&gt;")=0,"",SUMIFS(BD!$X$3:$X$5001,BD!$B$3:$B$5001,H$245,BD!$A$3:$A$5001,_xlfn.MAXIFS(BD!$A$3:$A$5001,BD!$B$3:$B$5001,H$245,BD!$A$3:$A$5001,"&gt;="&amp;$C$7,BD!$A$3:$A$5001,"&lt;="&amp;$B263,BD!$X$3:$X$5001,"&lt;&gt;"))))</f>
        <v/>
      </c>
      <c r="I263" s="54" t="str">
        <f>IF(OR($B263="",$A263&gt;$B$9,I$245=""),"",IF(COUNTIFS(BD!$B$3:$B$5001,I$245,BD!$A$3:$A$5001,"&gt;="&amp;$C$7,BD!$A$3:$A$5001,"&lt;="&amp;$B263,BD!$X$3:$X$5001,"&lt;&gt;")=0,"",SUMIFS(BD!$X$3:$X$5001,BD!$B$3:$B$5001,I$245,BD!$A$3:$A$5001,_xlfn.MAXIFS(BD!$A$3:$A$5001,BD!$B$3:$B$5001,I$245,BD!$A$3:$A$5001,"&gt;="&amp;$C$7,BD!$A$3:$A$5001,"&lt;="&amp;$B263,BD!$X$3:$X$5001,"&lt;&gt;"))))</f>
        <v/>
      </c>
      <c r="J263" s="54" t="str">
        <f>IF(OR($B263="",$A263&gt;$B$9,J$245=""),"",IF(COUNTIFS(BD!$B$3:$B$5001,J$245,BD!$A$3:$A$5001,"&gt;="&amp;$C$7,BD!$A$3:$A$5001,"&lt;="&amp;$B263,BD!$X$3:$X$5001,"&lt;&gt;")=0,"",SUMIFS(BD!$X$3:$X$5001,BD!$B$3:$B$5001,J$245,BD!$A$3:$A$5001,_xlfn.MAXIFS(BD!$A$3:$A$5001,BD!$B$3:$B$5001,J$245,BD!$A$3:$A$5001,"&gt;="&amp;$C$7,BD!$A$3:$A$5001,"&lt;="&amp;$B263,BD!$X$3:$X$5001,"&lt;&gt;"))))</f>
        <v/>
      </c>
      <c r="K263" s="54" t="str">
        <f>IF(OR($B263="",$A263&gt;$B$9,K$245=""),"",IF(COUNTIFS(BD!$B$3:$B$5001,K$245,BD!$A$3:$A$5001,"&gt;="&amp;$C$7,BD!$A$3:$A$5001,"&lt;="&amp;$B263,BD!$X$3:$X$5001,"&lt;&gt;")=0,"",SUMIFS(BD!$X$3:$X$5001,BD!$B$3:$B$5001,K$245,BD!$A$3:$A$5001,_xlfn.MAXIFS(BD!$A$3:$A$5001,BD!$B$3:$B$5001,K$245,BD!$A$3:$A$5001,"&gt;="&amp;$C$7,BD!$A$3:$A$5001,"&lt;="&amp;$B263,BD!$X$3:$X$5001,"&lt;&gt;"))))</f>
        <v/>
      </c>
      <c r="L263" s="54" t="str">
        <f>IF(OR($B263="",$A263&gt;$B$9,L$245=""),"",IF(COUNTIFS(BD!$B$3:$B$5001,L$245,BD!$A$3:$A$5001,"&gt;="&amp;$C$7,BD!$A$3:$A$5001,"&lt;="&amp;$B263,BD!$X$3:$X$5001,"&lt;&gt;")=0,"",SUMIFS(BD!$X$3:$X$5001,BD!$B$3:$B$5001,L$245,BD!$A$3:$A$5001,_xlfn.MAXIFS(BD!$A$3:$A$5001,BD!$B$3:$B$5001,L$245,BD!$A$3:$A$5001,"&gt;="&amp;$C$7,BD!$A$3:$A$5001,"&lt;="&amp;$B263,BD!$X$3:$X$5001,"&lt;&gt;"))))</f>
        <v/>
      </c>
      <c r="M263" s="54" t="str">
        <f>IF(OR($B263="",$A263&gt;$B$9,M$245=""),"",IF(COUNTIFS(BD!$B$3:$B$5001,M$245,BD!$A$3:$A$5001,"&gt;="&amp;$C$7,BD!$A$3:$A$5001,"&lt;="&amp;$B263,BD!$X$3:$X$5001,"&lt;&gt;")=0,"",SUMIFS(BD!$X$3:$X$5001,BD!$B$3:$B$5001,M$245,BD!$A$3:$A$5001,_xlfn.MAXIFS(BD!$A$3:$A$5001,BD!$B$3:$B$5001,M$245,BD!$A$3:$A$5001,"&gt;="&amp;$C$7,BD!$A$3:$A$5001,"&lt;="&amp;$B263,BD!$X$3:$X$5001,"&lt;&gt;"))))</f>
        <v/>
      </c>
      <c r="N263" s="54" t="str">
        <f>IF(OR($B263="",$A263&gt;$B$9,N$245=""),"",IF(COUNTIFS(BD!$B$3:$B$5001,N$245,BD!$A$3:$A$5001,"&gt;="&amp;$C$7,BD!$A$3:$A$5001,"&lt;="&amp;$B263,BD!$X$3:$X$5001,"&lt;&gt;")=0,"",SUMIFS(BD!$X$3:$X$5001,BD!$B$3:$B$5001,N$245,BD!$A$3:$A$5001,_xlfn.MAXIFS(BD!$A$3:$A$5001,BD!$B$3:$B$5001,N$245,BD!$A$3:$A$5001,"&gt;="&amp;$C$7,BD!$A$3:$A$5001,"&lt;="&amp;$B263,BD!$X$3:$X$5001,"&lt;&gt;"))))</f>
        <v/>
      </c>
      <c r="O263" s="54" t="str">
        <f>IF(OR($B263="",$A263&gt;$B$9,O$245=""),"",IF(COUNTIFS(BD!$B$3:$B$5001,O$245,BD!$A$3:$A$5001,"&gt;="&amp;$C$7,BD!$A$3:$A$5001,"&lt;="&amp;$B263,BD!$X$3:$X$5001,"&lt;&gt;")=0,"",SUMIFS(BD!$X$3:$X$5001,BD!$B$3:$B$5001,O$245,BD!$A$3:$A$5001,_xlfn.MAXIFS(BD!$A$3:$A$5001,BD!$B$3:$B$5001,O$245,BD!$A$3:$A$5001,"&gt;="&amp;$C$7,BD!$A$3:$A$5001,"&lt;="&amp;$B263,BD!$X$3:$X$5001,"&lt;&gt;"))))</f>
        <v/>
      </c>
      <c r="P263" s="54" t="str">
        <f>IF(OR($B263="",$A263&gt;$B$9,P$245=""),"",IF(COUNTIFS(BD!$B$3:$B$5001,P$245,BD!$A$3:$A$5001,"&gt;="&amp;$C$7,BD!$A$3:$A$5001,"&lt;="&amp;$B263,BD!$X$3:$X$5001,"&lt;&gt;")=0,"",SUMIFS(BD!$X$3:$X$5001,BD!$B$3:$B$5001,P$245,BD!$A$3:$A$5001,_xlfn.MAXIFS(BD!$A$3:$A$5001,BD!$B$3:$B$5001,P$245,BD!$A$3:$A$5001,"&gt;="&amp;$C$7,BD!$A$3:$A$5001,"&lt;="&amp;$B263,BD!$X$3:$X$5001,"&lt;&gt;"))))</f>
        <v/>
      </c>
      <c r="Q263" s="54" t="str">
        <f>IF(OR($B263="",$A263&gt;$B$9,Q$245=""),"",IF(COUNTIFS(BD!$B$3:$B$5001,Q$245,BD!$A$3:$A$5001,"&gt;="&amp;$C$7,BD!$A$3:$A$5001,"&lt;="&amp;$B263,BD!$X$3:$X$5001,"&lt;&gt;")=0,"",SUMIFS(BD!$X$3:$X$5001,BD!$B$3:$B$5001,Q$245,BD!$A$3:$A$5001,_xlfn.MAXIFS(BD!$A$3:$A$5001,BD!$B$3:$B$5001,Q$245,BD!$A$3:$A$5001,"&gt;="&amp;$C$7,BD!$A$3:$A$5001,"&lt;="&amp;$B263,BD!$X$3:$X$5001,"&lt;&gt;"))))</f>
        <v/>
      </c>
      <c r="R263" s="54" t="str">
        <f>IF(OR($B263="",$A263&gt;$B$9,R$245=""),"",IF(COUNTIFS(BD!$B$3:$B$5001,R$245,BD!$A$3:$A$5001,"&gt;="&amp;$C$7,BD!$A$3:$A$5001,"&lt;="&amp;$B263,BD!$X$3:$X$5001,"&lt;&gt;")=0,"",SUMIFS(BD!$X$3:$X$5001,BD!$B$3:$B$5001,R$245,BD!$A$3:$A$5001,_xlfn.MAXIFS(BD!$A$3:$A$5001,BD!$B$3:$B$5001,R$245,BD!$A$3:$A$5001,"&gt;="&amp;$C$7,BD!$A$3:$A$5001,"&lt;="&amp;$B263,BD!$X$3:$X$5001,"&lt;&gt;"))))</f>
        <v/>
      </c>
      <c r="S263" s="54" t="str">
        <f>IF(OR($B263="",$A263&gt;$B$9,S$245=""),"",IF(COUNTIFS(BD!$B$3:$B$5001,S$245,BD!$A$3:$A$5001,"&gt;="&amp;$C$7,BD!$A$3:$A$5001,"&lt;="&amp;$B263,BD!$X$3:$X$5001,"&lt;&gt;")=0,"",SUMIFS(BD!$X$3:$X$5001,BD!$B$3:$B$5001,S$245,BD!$A$3:$A$5001,_xlfn.MAXIFS(BD!$A$3:$A$5001,BD!$B$3:$B$5001,S$245,BD!$A$3:$A$5001,"&gt;="&amp;$C$7,BD!$A$3:$A$5001,"&lt;="&amp;$B263,BD!$X$3:$X$5001,"&lt;&gt;"))))</f>
        <v/>
      </c>
      <c r="T263" s="54" t="str">
        <f>IF(OR($B263="",$A263&gt;$B$9,T$245=""),"",IF(COUNTIFS(BD!$B$3:$B$5001,T$245,BD!$A$3:$A$5001,"&gt;="&amp;$C$7,BD!$A$3:$A$5001,"&lt;="&amp;$B263,BD!$X$3:$X$5001,"&lt;&gt;")=0,"",SUMIFS(BD!$X$3:$X$5001,BD!$B$3:$B$5001,T$245,BD!$A$3:$A$5001,_xlfn.MAXIFS(BD!$A$3:$A$5001,BD!$B$3:$B$5001,T$245,BD!$A$3:$A$5001,"&gt;="&amp;$C$7,BD!$A$3:$A$5001,"&lt;="&amp;$B263,BD!$X$3:$X$5001,"&lt;&gt;"))))</f>
        <v/>
      </c>
      <c r="U263" s="54" t="str">
        <f>IF(OR($B263="",$A263&gt;$B$9,U$245=""),"",IF(COUNTIFS(BD!$B$3:$B$5001,U$245,BD!$A$3:$A$5001,"&gt;="&amp;$C$7,BD!$A$3:$A$5001,"&lt;="&amp;$B263,BD!$X$3:$X$5001,"&lt;&gt;")=0,"",SUMIFS(BD!$X$3:$X$5001,BD!$B$3:$B$5001,U$245,BD!$A$3:$A$5001,_xlfn.MAXIFS(BD!$A$3:$A$5001,BD!$B$3:$B$5001,U$245,BD!$A$3:$A$5001,"&gt;="&amp;$C$7,BD!$A$3:$A$5001,"&lt;="&amp;$B263,BD!$X$3:$X$5001,"&lt;&gt;"))))</f>
        <v/>
      </c>
      <c r="V263" s="54" t="str">
        <f>IF(OR($B263="",$A263&gt;$B$9,V$245=""),"",IF(COUNTIFS(BD!$B$3:$B$5001,V$245,BD!$A$3:$A$5001,"&gt;="&amp;$C$7,BD!$A$3:$A$5001,"&lt;="&amp;$B263,BD!$X$3:$X$5001,"&lt;&gt;")=0,"",SUMIFS(BD!$X$3:$X$5001,BD!$B$3:$B$5001,V$245,BD!$A$3:$A$5001,_xlfn.MAXIFS(BD!$A$3:$A$5001,BD!$B$3:$B$5001,V$245,BD!$A$3:$A$5001,"&gt;="&amp;$C$7,BD!$A$3:$A$5001,"&lt;="&amp;$B263,BD!$X$3:$X$5001,"&lt;&gt;"))))</f>
        <v/>
      </c>
    </row>
    <row r="264">
      <c r="A264" s="48">
        <v>19</v>
      </c>
      <c r="B264" s="53">
        <f>$B$30</f>
        <v>46314</v>
      </c>
      <c r="C264" s="54" t="str">
        <f>IF(OR($B264="",$A264&gt;$B$9,C$245=""),"",IF(COUNTIFS(BD!$B$3:$B$5001,C$245,BD!$A$3:$A$5001,"&gt;="&amp;$C$7,BD!$A$3:$A$5001,"&lt;="&amp;$B264,BD!$X$3:$X$5001,"&lt;&gt;")=0,"",SUMIFS(BD!$X$3:$X$5001,BD!$B$3:$B$5001,C$245,BD!$A$3:$A$5001,_xlfn.MAXIFS(BD!$A$3:$A$5001,BD!$B$3:$B$5001,C$245,BD!$A$3:$A$5001,"&gt;="&amp;$C$7,BD!$A$3:$A$5001,"&lt;="&amp;$B264,BD!$X$3:$X$5001,"&lt;&gt;"))))</f>
        <v/>
      </c>
      <c r="D264" s="54" t="str">
        <f>IF(OR($B264="",$A264&gt;$B$9,D$245=""),"",IF(COUNTIFS(BD!$B$3:$B$5001,D$245,BD!$A$3:$A$5001,"&gt;="&amp;$C$7,BD!$A$3:$A$5001,"&lt;="&amp;$B264,BD!$X$3:$X$5001,"&lt;&gt;")=0,"",SUMIFS(BD!$X$3:$X$5001,BD!$B$3:$B$5001,D$245,BD!$A$3:$A$5001,_xlfn.MAXIFS(BD!$A$3:$A$5001,BD!$B$3:$B$5001,D$245,BD!$A$3:$A$5001,"&gt;="&amp;$C$7,BD!$A$3:$A$5001,"&lt;="&amp;$B264,BD!$X$3:$X$5001,"&lt;&gt;"))))</f>
        <v/>
      </c>
      <c r="E264" s="54" t="str">
        <f>IF(OR($B264="",$A264&gt;$B$9,E$245=""),"",IF(COUNTIFS(BD!$B$3:$B$5001,E$245,BD!$A$3:$A$5001,"&gt;="&amp;$C$7,BD!$A$3:$A$5001,"&lt;="&amp;$B264,BD!$X$3:$X$5001,"&lt;&gt;")=0,"",SUMIFS(BD!$X$3:$X$5001,BD!$B$3:$B$5001,E$245,BD!$A$3:$A$5001,_xlfn.MAXIFS(BD!$A$3:$A$5001,BD!$B$3:$B$5001,E$245,BD!$A$3:$A$5001,"&gt;="&amp;$C$7,BD!$A$3:$A$5001,"&lt;="&amp;$B264,BD!$X$3:$X$5001,"&lt;&gt;"))))</f>
        <v/>
      </c>
      <c r="F264" s="54" t="str">
        <f>IF(OR($B264="",$A264&gt;$B$9,F$245=""),"",IF(COUNTIFS(BD!$B$3:$B$5001,F$245,BD!$A$3:$A$5001,"&gt;="&amp;$C$7,BD!$A$3:$A$5001,"&lt;="&amp;$B264,BD!$X$3:$X$5001,"&lt;&gt;")=0,"",SUMIFS(BD!$X$3:$X$5001,BD!$B$3:$B$5001,F$245,BD!$A$3:$A$5001,_xlfn.MAXIFS(BD!$A$3:$A$5001,BD!$B$3:$B$5001,F$245,BD!$A$3:$A$5001,"&gt;="&amp;$C$7,BD!$A$3:$A$5001,"&lt;="&amp;$B264,BD!$X$3:$X$5001,"&lt;&gt;"))))</f>
        <v/>
      </c>
      <c r="G264" s="54" t="str">
        <f>IF(OR($B264="",$A264&gt;$B$9,G$245=""),"",IF(COUNTIFS(BD!$B$3:$B$5001,G$245,BD!$A$3:$A$5001,"&gt;="&amp;$C$7,BD!$A$3:$A$5001,"&lt;="&amp;$B264,BD!$X$3:$X$5001,"&lt;&gt;")=0,"",SUMIFS(BD!$X$3:$X$5001,BD!$B$3:$B$5001,G$245,BD!$A$3:$A$5001,_xlfn.MAXIFS(BD!$A$3:$A$5001,BD!$B$3:$B$5001,G$245,BD!$A$3:$A$5001,"&gt;="&amp;$C$7,BD!$A$3:$A$5001,"&lt;="&amp;$B264,BD!$X$3:$X$5001,"&lt;&gt;"))))</f>
        <v/>
      </c>
      <c r="H264" s="54" t="str">
        <f>IF(OR($B264="",$A264&gt;$B$9,H$245=""),"",IF(COUNTIFS(BD!$B$3:$B$5001,H$245,BD!$A$3:$A$5001,"&gt;="&amp;$C$7,BD!$A$3:$A$5001,"&lt;="&amp;$B264,BD!$X$3:$X$5001,"&lt;&gt;")=0,"",SUMIFS(BD!$X$3:$X$5001,BD!$B$3:$B$5001,H$245,BD!$A$3:$A$5001,_xlfn.MAXIFS(BD!$A$3:$A$5001,BD!$B$3:$B$5001,H$245,BD!$A$3:$A$5001,"&gt;="&amp;$C$7,BD!$A$3:$A$5001,"&lt;="&amp;$B264,BD!$X$3:$X$5001,"&lt;&gt;"))))</f>
        <v/>
      </c>
      <c r="I264" s="54" t="str">
        <f>IF(OR($B264="",$A264&gt;$B$9,I$245=""),"",IF(COUNTIFS(BD!$B$3:$B$5001,I$245,BD!$A$3:$A$5001,"&gt;="&amp;$C$7,BD!$A$3:$A$5001,"&lt;="&amp;$B264,BD!$X$3:$X$5001,"&lt;&gt;")=0,"",SUMIFS(BD!$X$3:$X$5001,BD!$B$3:$B$5001,I$245,BD!$A$3:$A$5001,_xlfn.MAXIFS(BD!$A$3:$A$5001,BD!$B$3:$B$5001,I$245,BD!$A$3:$A$5001,"&gt;="&amp;$C$7,BD!$A$3:$A$5001,"&lt;="&amp;$B264,BD!$X$3:$X$5001,"&lt;&gt;"))))</f>
        <v/>
      </c>
      <c r="J264" s="54" t="str">
        <f>IF(OR($B264="",$A264&gt;$B$9,J$245=""),"",IF(COUNTIFS(BD!$B$3:$B$5001,J$245,BD!$A$3:$A$5001,"&gt;="&amp;$C$7,BD!$A$3:$A$5001,"&lt;="&amp;$B264,BD!$X$3:$X$5001,"&lt;&gt;")=0,"",SUMIFS(BD!$X$3:$X$5001,BD!$B$3:$B$5001,J$245,BD!$A$3:$A$5001,_xlfn.MAXIFS(BD!$A$3:$A$5001,BD!$B$3:$B$5001,J$245,BD!$A$3:$A$5001,"&gt;="&amp;$C$7,BD!$A$3:$A$5001,"&lt;="&amp;$B264,BD!$X$3:$X$5001,"&lt;&gt;"))))</f>
        <v/>
      </c>
      <c r="K264" s="54" t="str">
        <f>IF(OR($B264="",$A264&gt;$B$9,K$245=""),"",IF(COUNTIFS(BD!$B$3:$B$5001,K$245,BD!$A$3:$A$5001,"&gt;="&amp;$C$7,BD!$A$3:$A$5001,"&lt;="&amp;$B264,BD!$X$3:$X$5001,"&lt;&gt;")=0,"",SUMIFS(BD!$X$3:$X$5001,BD!$B$3:$B$5001,K$245,BD!$A$3:$A$5001,_xlfn.MAXIFS(BD!$A$3:$A$5001,BD!$B$3:$B$5001,K$245,BD!$A$3:$A$5001,"&gt;="&amp;$C$7,BD!$A$3:$A$5001,"&lt;="&amp;$B264,BD!$X$3:$X$5001,"&lt;&gt;"))))</f>
        <v/>
      </c>
      <c r="L264" s="54" t="str">
        <f>IF(OR($B264="",$A264&gt;$B$9,L$245=""),"",IF(COUNTIFS(BD!$B$3:$B$5001,L$245,BD!$A$3:$A$5001,"&gt;="&amp;$C$7,BD!$A$3:$A$5001,"&lt;="&amp;$B264,BD!$X$3:$X$5001,"&lt;&gt;")=0,"",SUMIFS(BD!$X$3:$X$5001,BD!$B$3:$B$5001,L$245,BD!$A$3:$A$5001,_xlfn.MAXIFS(BD!$A$3:$A$5001,BD!$B$3:$B$5001,L$245,BD!$A$3:$A$5001,"&gt;="&amp;$C$7,BD!$A$3:$A$5001,"&lt;="&amp;$B264,BD!$X$3:$X$5001,"&lt;&gt;"))))</f>
        <v/>
      </c>
      <c r="M264" s="54" t="str">
        <f>IF(OR($B264="",$A264&gt;$B$9,M$245=""),"",IF(COUNTIFS(BD!$B$3:$B$5001,M$245,BD!$A$3:$A$5001,"&gt;="&amp;$C$7,BD!$A$3:$A$5001,"&lt;="&amp;$B264,BD!$X$3:$X$5001,"&lt;&gt;")=0,"",SUMIFS(BD!$X$3:$X$5001,BD!$B$3:$B$5001,M$245,BD!$A$3:$A$5001,_xlfn.MAXIFS(BD!$A$3:$A$5001,BD!$B$3:$B$5001,M$245,BD!$A$3:$A$5001,"&gt;="&amp;$C$7,BD!$A$3:$A$5001,"&lt;="&amp;$B264,BD!$X$3:$X$5001,"&lt;&gt;"))))</f>
        <v/>
      </c>
      <c r="N264" s="54" t="str">
        <f>IF(OR($B264="",$A264&gt;$B$9,N$245=""),"",IF(COUNTIFS(BD!$B$3:$B$5001,N$245,BD!$A$3:$A$5001,"&gt;="&amp;$C$7,BD!$A$3:$A$5001,"&lt;="&amp;$B264,BD!$X$3:$X$5001,"&lt;&gt;")=0,"",SUMIFS(BD!$X$3:$X$5001,BD!$B$3:$B$5001,N$245,BD!$A$3:$A$5001,_xlfn.MAXIFS(BD!$A$3:$A$5001,BD!$B$3:$B$5001,N$245,BD!$A$3:$A$5001,"&gt;="&amp;$C$7,BD!$A$3:$A$5001,"&lt;="&amp;$B264,BD!$X$3:$X$5001,"&lt;&gt;"))))</f>
        <v/>
      </c>
      <c r="O264" s="54" t="str">
        <f>IF(OR($B264="",$A264&gt;$B$9,O$245=""),"",IF(COUNTIFS(BD!$B$3:$B$5001,O$245,BD!$A$3:$A$5001,"&gt;="&amp;$C$7,BD!$A$3:$A$5001,"&lt;="&amp;$B264,BD!$X$3:$X$5001,"&lt;&gt;")=0,"",SUMIFS(BD!$X$3:$X$5001,BD!$B$3:$B$5001,O$245,BD!$A$3:$A$5001,_xlfn.MAXIFS(BD!$A$3:$A$5001,BD!$B$3:$B$5001,O$245,BD!$A$3:$A$5001,"&gt;="&amp;$C$7,BD!$A$3:$A$5001,"&lt;="&amp;$B264,BD!$X$3:$X$5001,"&lt;&gt;"))))</f>
        <v/>
      </c>
      <c r="P264" s="54" t="str">
        <f>IF(OR($B264="",$A264&gt;$B$9,P$245=""),"",IF(COUNTIFS(BD!$B$3:$B$5001,P$245,BD!$A$3:$A$5001,"&gt;="&amp;$C$7,BD!$A$3:$A$5001,"&lt;="&amp;$B264,BD!$X$3:$X$5001,"&lt;&gt;")=0,"",SUMIFS(BD!$X$3:$X$5001,BD!$B$3:$B$5001,P$245,BD!$A$3:$A$5001,_xlfn.MAXIFS(BD!$A$3:$A$5001,BD!$B$3:$B$5001,P$245,BD!$A$3:$A$5001,"&gt;="&amp;$C$7,BD!$A$3:$A$5001,"&lt;="&amp;$B264,BD!$X$3:$X$5001,"&lt;&gt;"))))</f>
        <v/>
      </c>
      <c r="Q264" s="54" t="str">
        <f>IF(OR($B264="",$A264&gt;$B$9,Q$245=""),"",IF(COUNTIFS(BD!$B$3:$B$5001,Q$245,BD!$A$3:$A$5001,"&gt;="&amp;$C$7,BD!$A$3:$A$5001,"&lt;="&amp;$B264,BD!$X$3:$X$5001,"&lt;&gt;")=0,"",SUMIFS(BD!$X$3:$X$5001,BD!$B$3:$B$5001,Q$245,BD!$A$3:$A$5001,_xlfn.MAXIFS(BD!$A$3:$A$5001,BD!$B$3:$B$5001,Q$245,BD!$A$3:$A$5001,"&gt;="&amp;$C$7,BD!$A$3:$A$5001,"&lt;="&amp;$B264,BD!$X$3:$X$5001,"&lt;&gt;"))))</f>
        <v/>
      </c>
      <c r="R264" s="54" t="str">
        <f>IF(OR($B264="",$A264&gt;$B$9,R$245=""),"",IF(COUNTIFS(BD!$B$3:$B$5001,R$245,BD!$A$3:$A$5001,"&gt;="&amp;$C$7,BD!$A$3:$A$5001,"&lt;="&amp;$B264,BD!$X$3:$X$5001,"&lt;&gt;")=0,"",SUMIFS(BD!$X$3:$X$5001,BD!$B$3:$B$5001,R$245,BD!$A$3:$A$5001,_xlfn.MAXIFS(BD!$A$3:$A$5001,BD!$B$3:$B$5001,R$245,BD!$A$3:$A$5001,"&gt;="&amp;$C$7,BD!$A$3:$A$5001,"&lt;="&amp;$B264,BD!$X$3:$X$5001,"&lt;&gt;"))))</f>
        <v/>
      </c>
      <c r="S264" s="54" t="str">
        <f>IF(OR($B264="",$A264&gt;$B$9,S$245=""),"",IF(COUNTIFS(BD!$B$3:$B$5001,S$245,BD!$A$3:$A$5001,"&gt;="&amp;$C$7,BD!$A$3:$A$5001,"&lt;="&amp;$B264,BD!$X$3:$X$5001,"&lt;&gt;")=0,"",SUMIFS(BD!$X$3:$X$5001,BD!$B$3:$B$5001,S$245,BD!$A$3:$A$5001,_xlfn.MAXIFS(BD!$A$3:$A$5001,BD!$B$3:$B$5001,S$245,BD!$A$3:$A$5001,"&gt;="&amp;$C$7,BD!$A$3:$A$5001,"&lt;="&amp;$B264,BD!$X$3:$X$5001,"&lt;&gt;"))))</f>
        <v/>
      </c>
      <c r="T264" s="54" t="str">
        <f>IF(OR($B264="",$A264&gt;$B$9,T$245=""),"",IF(COUNTIFS(BD!$B$3:$B$5001,T$245,BD!$A$3:$A$5001,"&gt;="&amp;$C$7,BD!$A$3:$A$5001,"&lt;="&amp;$B264,BD!$X$3:$X$5001,"&lt;&gt;")=0,"",SUMIFS(BD!$X$3:$X$5001,BD!$B$3:$B$5001,T$245,BD!$A$3:$A$5001,_xlfn.MAXIFS(BD!$A$3:$A$5001,BD!$B$3:$B$5001,T$245,BD!$A$3:$A$5001,"&gt;="&amp;$C$7,BD!$A$3:$A$5001,"&lt;="&amp;$B264,BD!$X$3:$X$5001,"&lt;&gt;"))))</f>
        <v/>
      </c>
      <c r="U264" s="54" t="str">
        <f>IF(OR($B264="",$A264&gt;$B$9,U$245=""),"",IF(COUNTIFS(BD!$B$3:$B$5001,U$245,BD!$A$3:$A$5001,"&gt;="&amp;$C$7,BD!$A$3:$A$5001,"&lt;="&amp;$B264,BD!$X$3:$X$5001,"&lt;&gt;")=0,"",SUMIFS(BD!$X$3:$X$5001,BD!$B$3:$B$5001,U$245,BD!$A$3:$A$5001,_xlfn.MAXIFS(BD!$A$3:$A$5001,BD!$B$3:$B$5001,U$245,BD!$A$3:$A$5001,"&gt;="&amp;$C$7,BD!$A$3:$A$5001,"&lt;="&amp;$B264,BD!$X$3:$X$5001,"&lt;&gt;"))))</f>
        <v/>
      </c>
      <c r="V264" s="54" t="str">
        <f>IF(OR($B264="",$A264&gt;$B$9,V$245=""),"",IF(COUNTIFS(BD!$B$3:$B$5001,V$245,BD!$A$3:$A$5001,"&gt;="&amp;$C$7,BD!$A$3:$A$5001,"&lt;="&amp;$B264,BD!$X$3:$X$5001,"&lt;&gt;")=0,"",SUMIFS(BD!$X$3:$X$5001,BD!$B$3:$B$5001,V$245,BD!$A$3:$A$5001,_xlfn.MAXIFS(BD!$A$3:$A$5001,BD!$B$3:$B$5001,V$245,BD!$A$3:$A$5001,"&gt;="&amp;$C$7,BD!$A$3:$A$5001,"&lt;="&amp;$B264,BD!$X$3:$X$5001,"&lt;&gt;"))))</f>
        <v/>
      </c>
    </row>
    <row r="265">
      <c r="A265" s="48">
        <v>20</v>
      </c>
      <c r="B265" s="53">
        <f>$B$31</f>
        <v>46315</v>
      </c>
      <c r="C265" s="54" t="str">
        <f>IF(OR($B265="",$A265&gt;$B$9,C$245=""),"",IF(COUNTIFS(BD!$B$3:$B$5001,C$245,BD!$A$3:$A$5001,"&gt;="&amp;$C$7,BD!$A$3:$A$5001,"&lt;="&amp;$B265,BD!$X$3:$X$5001,"&lt;&gt;")=0,"",SUMIFS(BD!$X$3:$X$5001,BD!$B$3:$B$5001,C$245,BD!$A$3:$A$5001,_xlfn.MAXIFS(BD!$A$3:$A$5001,BD!$B$3:$B$5001,C$245,BD!$A$3:$A$5001,"&gt;="&amp;$C$7,BD!$A$3:$A$5001,"&lt;="&amp;$B265,BD!$X$3:$X$5001,"&lt;&gt;"))))</f>
        <v/>
      </c>
      <c r="D265" s="54" t="str">
        <f>IF(OR($B265="",$A265&gt;$B$9,D$245=""),"",IF(COUNTIFS(BD!$B$3:$B$5001,D$245,BD!$A$3:$A$5001,"&gt;="&amp;$C$7,BD!$A$3:$A$5001,"&lt;="&amp;$B265,BD!$X$3:$X$5001,"&lt;&gt;")=0,"",SUMIFS(BD!$X$3:$X$5001,BD!$B$3:$B$5001,D$245,BD!$A$3:$A$5001,_xlfn.MAXIFS(BD!$A$3:$A$5001,BD!$B$3:$B$5001,D$245,BD!$A$3:$A$5001,"&gt;="&amp;$C$7,BD!$A$3:$A$5001,"&lt;="&amp;$B265,BD!$X$3:$X$5001,"&lt;&gt;"))))</f>
        <v/>
      </c>
      <c r="E265" s="54" t="str">
        <f>IF(OR($B265="",$A265&gt;$B$9,E$245=""),"",IF(COUNTIFS(BD!$B$3:$B$5001,E$245,BD!$A$3:$A$5001,"&gt;="&amp;$C$7,BD!$A$3:$A$5001,"&lt;="&amp;$B265,BD!$X$3:$X$5001,"&lt;&gt;")=0,"",SUMIFS(BD!$X$3:$X$5001,BD!$B$3:$B$5001,E$245,BD!$A$3:$A$5001,_xlfn.MAXIFS(BD!$A$3:$A$5001,BD!$B$3:$B$5001,E$245,BD!$A$3:$A$5001,"&gt;="&amp;$C$7,BD!$A$3:$A$5001,"&lt;="&amp;$B265,BD!$X$3:$X$5001,"&lt;&gt;"))))</f>
        <v/>
      </c>
      <c r="F265" s="54" t="str">
        <f>IF(OR($B265="",$A265&gt;$B$9,F$245=""),"",IF(COUNTIFS(BD!$B$3:$B$5001,F$245,BD!$A$3:$A$5001,"&gt;="&amp;$C$7,BD!$A$3:$A$5001,"&lt;="&amp;$B265,BD!$X$3:$X$5001,"&lt;&gt;")=0,"",SUMIFS(BD!$X$3:$X$5001,BD!$B$3:$B$5001,F$245,BD!$A$3:$A$5001,_xlfn.MAXIFS(BD!$A$3:$A$5001,BD!$B$3:$B$5001,F$245,BD!$A$3:$A$5001,"&gt;="&amp;$C$7,BD!$A$3:$A$5001,"&lt;="&amp;$B265,BD!$X$3:$X$5001,"&lt;&gt;"))))</f>
        <v/>
      </c>
      <c r="G265" s="54" t="str">
        <f>IF(OR($B265="",$A265&gt;$B$9,G$245=""),"",IF(COUNTIFS(BD!$B$3:$B$5001,G$245,BD!$A$3:$A$5001,"&gt;="&amp;$C$7,BD!$A$3:$A$5001,"&lt;="&amp;$B265,BD!$X$3:$X$5001,"&lt;&gt;")=0,"",SUMIFS(BD!$X$3:$X$5001,BD!$B$3:$B$5001,G$245,BD!$A$3:$A$5001,_xlfn.MAXIFS(BD!$A$3:$A$5001,BD!$B$3:$B$5001,G$245,BD!$A$3:$A$5001,"&gt;="&amp;$C$7,BD!$A$3:$A$5001,"&lt;="&amp;$B265,BD!$X$3:$X$5001,"&lt;&gt;"))))</f>
        <v/>
      </c>
      <c r="H265" s="54" t="str">
        <f>IF(OR($B265="",$A265&gt;$B$9,H$245=""),"",IF(COUNTIFS(BD!$B$3:$B$5001,H$245,BD!$A$3:$A$5001,"&gt;="&amp;$C$7,BD!$A$3:$A$5001,"&lt;="&amp;$B265,BD!$X$3:$X$5001,"&lt;&gt;")=0,"",SUMIFS(BD!$X$3:$X$5001,BD!$B$3:$B$5001,H$245,BD!$A$3:$A$5001,_xlfn.MAXIFS(BD!$A$3:$A$5001,BD!$B$3:$B$5001,H$245,BD!$A$3:$A$5001,"&gt;="&amp;$C$7,BD!$A$3:$A$5001,"&lt;="&amp;$B265,BD!$X$3:$X$5001,"&lt;&gt;"))))</f>
        <v/>
      </c>
      <c r="I265" s="54" t="str">
        <f>IF(OR($B265="",$A265&gt;$B$9,I$245=""),"",IF(COUNTIFS(BD!$B$3:$B$5001,I$245,BD!$A$3:$A$5001,"&gt;="&amp;$C$7,BD!$A$3:$A$5001,"&lt;="&amp;$B265,BD!$X$3:$X$5001,"&lt;&gt;")=0,"",SUMIFS(BD!$X$3:$X$5001,BD!$B$3:$B$5001,I$245,BD!$A$3:$A$5001,_xlfn.MAXIFS(BD!$A$3:$A$5001,BD!$B$3:$B$5001,I$245,BD!$A$3:$A$5001,"&gt;="&amp;$C$7,BD!$A$3:$A$5001,"&lt;="&amp;$B265,BD!$X$3:$X$5001,"&lt;&gt;"))))</f>
        <v/>
      </c>
      <c r="J265" s="54" t="str">
        <f>IF(OR($B265="",$A265&gt;$B$9,J$245=""),"",IF(COUNTIFS(BD!$B$3:$B$5001,J$245,BD!$A$3:$A$5001,"&gt;="&amp;$C$7,BD!$A$3:$A$5001,"&lt;="&amp;$B265,BD!$X$3:$X$5001,"&lt;&gt;")=0,"",SUMIFS(BD!$X$3:$X$5001,BD!$B$3:$B$5001,J$245,BD!$A$3:$A$5001,_xlfn.MAXIFS(BD!$A$3:$A$5001,BD!$B$3:$B$5001,J$245,BD!$A$3:$A$5001,"&gt;="&amp;$C$7,BD!$A$3:$A$5001,"&lt;="&amp;$B265,BD!$X$3:$X$5001,"&lt;&gt;"))))</f>
        <v/>
      </c>
      <c r="K265" s="54" t="str">
        <f>IF(OR($B265="",$A265&gt;$B$9,K$245=""),"",IF(COUNTIFS(BD!$B$3:$B$5001,K$245,BD!$A$3:$A$5001,"&gt;="&amp;$C$7,BD!$A$3:$A$5001,"&lt;="&amp;$B265,BD!$X$3:$X$5001,"&lt;&gt;")=0,"",SUMIFS(BD!$X$3:$X$5001,BD!$B$3:$B$5001,K$245,BD!$A$3:$A$5001,_xlfn.MAXIFS(BD!$A$3:$A$5001,BD!$B$3:$B$5001,K$245,BD!$A$3:$A$5001,"&gt;="&amp;$C$7,BD!$A$3:$A$5001,"&lt;="&amp;$B265,BD!$X$3:$X$5001,"&lt;&gt;"))))</f>
        <v/>
      </c>
      <c r="L265" s="54" t="str">
        <f>IF(OR($B265="",$A265&gt;$B$9,L$245=""),"",IF(COUNTIFS(BD!$B$3:$B$5001,L$245,BD!$A$3:$A$5001,"&gt;="&amp;$C$7,BD!$A$3:$A$5001,"&lt;="&amp;$B265,BD!$X$3:$X$5001,"&lt;&gt;")=0,"",SUMIFS(BD!$X$3:$X$5001,BD!$B$3:$B$5001,L$245,BD!$A$3:$A$5001,_xlfn.MAXIFS(BD!$A$3:$A$5001,BD!$B$3:$B$5001,L$245,BD!$A$3:$A$5001,"&gt;="&amp;$C$7,BD!$A$3:$A$5001,"&lt;="&amp;$B265,BD!$X$3:$X$5001,"&lt;&gt;"))))</f>
        <v/>
      </c>
      <c r="M265" s="54" t="str">
        <f>IF(OR($B265="",$A265&gt;$B$9,M$245=""),"",IF(COUNTIFS(BD!$B$3:$B$5001,M$245,BD!$A$3:$A$5001,"&gt;="&amp;$C$7,BD!$A$3:$A$5001,"&lt;="&amp;$B265,BD!$X$3:$X$5001,"&lt;&gt;")=0,"",SUMIFS(BD!$X$3:$X$5001,BD!$B$3:$B$5001,M$245,BD!$A$3:$A$5001,_xlfn.MAXIFS(BD!$A$3:$A$5001,BD!$B$3:$B$5001,M$245,BD!$A$3:$A$5001,"&gt;="&amp;$C$7,BD!$A$3:$A$5001,"&lt;="&amp;$B265,BD!$X$3:$X$5001,"&lt;&gt;"))))</f>
        <v/>
      </c>
      <c r="N265" s="54" t="str">
        <f>IF(OR($B265="",$A265&gt;$B$9,N$245=""),"",IF(COUNTIFS(BD!$B$3:$B$5001,N$245,BD!$A$3:$A$5001,"&gt;="&amp;$C$7,BD!$A$3:$A$5001,"&lt;="&amp;$B265,BD!$X$3:$X$5001,"&lt;&gt;")=0,"",SUMIFS(BD!$X$3:$X$5001,BD!$B$3:$B$5001,N$245,BD!$A$3:$A$5001,_xlfn.MAXIFS(BD!$A$3:$A$5001,BD!$B$3:$B$5001,N$245,BD!$A$3:$A$5001,"&gt;="&amp;$C$7,BD!$A$3:$A$5001,"&lt;="&amp;$B265,BD!$X$3:$X$5001,"&lt;&gt;"))))</f>
        <v/>
      </c>
      <c r="O265" s="54" t="str">
        <f>IF(OR($B265="",$A265&gt;$B$9,O$245=""),"",IF(COUNTIFS(BD!$B$3:$B$5001,O$245,BD!$A$3:$A$5001,"&gt;="&amp;$C$7,BD!$A$3:$A$5001,"&lt;="&amp;$B265,BD!$X$3:$X$5001,"&lt;&gt;")=0,"",SUMIFS(BD!$X$3:$X$5001,BD!$B$3:$B$5001,O$245,BD!$A$3:$A$5001,_xlfn.MAXIFS(BD!$A$3:$A$5001,BD!$B$3:$B$5001,O$245,BD!$A$3:$A$5001,"&gt;="&amp;$C$7,BD!$A$3:$A$5001,"&lt;="&amp;$B265,BD!$X$3:$X$5001,"&lt;&gt;"))))</f>
        <v/>
      </c>
      <c r="P265" s="54" t="str">
        <f>IF(OR($B265="",$A265&gt;$B$9,P$245=""),"",IF(COUNTIFS(BD!$B$3:$B$5001,P$245,BD!$A$3:$A$5001,"&gt;="&amp;$C$7,BD!$A$3:$A$5001,"&lt;="&amp;$B265,BD!$X$3:$X$5001,"&lt;&gt;")=0,"",SUMIFS(BD!$X$3:$X$5001,BD!$B$3:$B$5001,P$245,BD!$A$3:$A$5001,_xlfn.MAXIFS(BD!$A$3:$A$5001,BD!$B$3:$B$5001,P$245,BD!$A$3:$A$5001,"&gt;="&amp;$C$7,BD!$A$3:$A$5001,"&lt;="&amp;$B265,BD!$X$3:$X$5001,"&lt;&gt;"))))</f>
        <v/>
      </c>
      <c r="Q265" s="54" t="str">
        <f>IF(OR($B265="",$A265&gt;$B$9,Q$245=""),"",IF(COUNTIFS(BD!$B$3:$B$5001,Q$245,BD!$A$3:$A$5001,"&gt;="&amp;$C$7,BD!$A$3:$A$5001,"&lt;="&amp;$B265,BD!$X$3:$X$5001,"&lt;&gt;")=0,"",SUMIFS(BD!$X$3:$X$5001,BD!$B$3:$B$5001,Q$245,BD!$A$3:$A$5001,_xlfn.MAXIFS(BD!$A$3:$A$5001,BD!$B$3:$B$5001,Q$245,BD!$A$3:$A$5001,"&gt;="&amp;$C$7,BD!$A$3:$A$5001,"&lt;="&amp;$B265,BD!$X$3:$X$5001,"&lt;&gt;"))))</f>
        <v/>
      </c>
      <c r="R265" s="54" t="str">
        <f>IF(OR($B265="",$A265&gt;$B$9,R$245=""),"",IF(COUNTIFS(BD!$B$3:$B$5001,R$245,BD!$A$3:$A$5001,"&gt;="&amp;$C$7,BD!$A$3:$A$5001,"&lt;="&amp;$B265,BD!$X$3:$X$5001,"&lt;&gt;")=0,"",SUMIFS(BD!$X$3:$X$5001,BD!$B$3:$B$5001,R$245,BD!$A$3:$A$5001,_xlfn.MAXIFS(BD!$A$3:$A$5001,BD!$B$3:$B$5001,R$245,BD!$A$3:$A$5001,"&gt;="&amp;$C$7,BD!$A$3:$A$5001,"&lt;="&amp;$B265,BD!$X$3:$X$5001,"&lt;&gt;"))))</f>
        <v/>
      </c>
      <c r="S265" s="54" t="str">
        <f>IF(OR($B265="",$A265&gt;$B$9,S$245=""),"",IF(COUNTIFS(BD!$B$3:$B$5001,S$245,BD!$A$3:$A$5001,"&gt;="&amp;$C$7,BD!$A$3:$A$5001,"&lt;="&amp;$B265,BD!$X$3:$X$5001,"&lt;&gt;")=0,"",SUMIFS(BD!$X$3:$X$5001,BD!$B$3:$B$5001,S$245,BD!$A$3:$A$5001,_xlfn.MAXIFS(BD!$A$3:$A$5001,BD!$B$3:$B$5001,S$245,BD!$A$3:$A$5001,"&gt;="&amp;$C$7,BD!$A$3:$A$5001,"&lt;="&amp;$B265,BD!$X$3:$X$5001,"&lt;&gt;"))))</f>
        <v/>
      </c>
      <c r="T265" s="54" t="str">
        <f>IF(OR($B265="",$A265&gt;$B$9,T$245=""),"",IF(COUNTIFS(BD!$B$3:$B$5001,T$245,BD!$A$3:$A$5001,"&gt;="&amp;$C$7,BD!$A$3:$A$5001,"&lt;="&amp;$B265,BD!$X$3:$X$5001,"&lt;&gt;")=0,"",SUMIFS(BD!$X$3:$X$5001,BD!$B$3:$B$5001,T$245,BD!$A$3:$A$5001,_xlfn.MAXIFS(BD!$A$3:$A$5001,BD!$B$3:$B$5001,T$245,BD!$A$3:$A$5001,"&gt;="&amp;$C$7,BD!$A$3:$A$5001,"&lt;="&amp;$B265,BD!$X$3:$X$5001,"&lt;&gt;"))))</f>
        <v/>
      </c>
      <c r="U265" s="54" t="str">
        <f>IF(OR($B265="",$A265&gt;$B$9,U$245=""),"",IF(COUNTIFS(BD!$B$3:$B$5001,U$245,BD!$A$3:$A$5001,"&gt;="&amp;$C$7,BD!$A$3:$A$5001,"&lt;="&amp;$B265,BD!$X$3:$X$5001,"&lt;&gt;")=0,"",SUMIFS(BD!$X$3:$X$5001,BD!$B$3:$B$5001,U$245,BD!$A$3:$A$5001,_xlfn.MAXIFS(BD!$A$3:$A$5001,BD!$B$3:$B$5001,U$245,BD!$A$3:$A$5001,"&gt;="&amp;$C$7,BD!$A$3:$A$5001,"&lt;="&amp;$B265,BD!$X$3:$X$5001,"&lt;&gt;"))))</f>
        <v/>
      </c>
      <c r="V265" s="54" t="str">
        <f>IF(OR($B265="",$A265&gt;$B$9,V$245=""),"",IF(COUNTIFS(BD!$B$3:$B$5001,V$245,BD!$A$3:$A$5001,"&gt;="&amp;$C$7,BD!$A$3:$A$5001,"&lt;="&amp;$B265,BD!$X$3:$X$5001,"&lt;&gt;")=0,"",SUMIFS(BD!$X$3:$X$5001,BD!$B$3:$B$5001,V$245,BD!$A$3:$A$5001,_xlfn.MAXIFS(BD!$A$3:$A$5001,BD!$B$3:$B$5001,V$245,BD!$A$3:$A$5001,"&gt;="&amp;$C$7,BD!$A$3:$A$5001,"&lt;="&amp;$B265,BD!$X$3:$X$5001,"&lt;&gt;"))))</f>
        <v/>
      </c>
    </row>
    <row r="266">
      <c r="A266" s="48">
        <v>21</v>
      </c>
      <c r="B266" s="53">
        <f>$B$32</f>
        <v>46316</v>
      </c>
      <c r="C266" s="54" t="str">
        <f>IF(OR($B266="",$A266&gt;$B$9,C$245=""),"",IF(COUNTIFS(BD!$B$3:$B$5001,C$245,BD!$A$3:$A$5001,"&gt;="&amp;$C$7,BD!$A$3:$A$5001,"&lt;="&amp;$B266,BD!$X$3:$X$5001,"&lt;&gt;")=0,"",SUMIFS(BD!$X$3:$X$5001,BD!$B$3:$B$5001,C$245,BD!$A$3:$A$5001,_xlfn.MAXIFS(BD!$A$3:$A$5001,BD!$B$3:$B$5001,C$245,BD!$A$3:$A$5001,"&gt;="&amp;$C$7,BD!$A$3:$A$5001,"&lt;="&amp;$B266,BD!$X$3:$X$5001,"&lt;&gt;"))))</f>
        <v/>
      </c>
      <c r="D266" s="54" t="str">
        <f>IF(OR($B266="",$A266&gt;$B$9,D$245=""),"",IF(COUNTIFS(BD!$B$3:$B$5001,D$245,BD!$A$3:$A$5001,"&gt;="&amp;$C$7,BD!$A$3:$A$5001,"&lt;="&amp;$B266,BD!$X$3:$X$5001,"&lt;&gt;")=0,"",SUMIFS(BD!$X$3:$X$5001,BD!$B$3:$B$5001,D$245,BD!$A$3:$A$5001,_xlfn.MAXIFS(BD!$A$3:$A$5001,BD!$B$3:$B$5001,D$245,BD!$A$3:$A$5001,"&gt;="&amp;$C$7,BD!$A$3:$A$5001,"&lt;="&amp;$B266,BD!$X$3:$X$5001,"&lt;&gt;"))))</f>
        <v/>
      </c>
      <c r="E266" s="54" t="str">
        <f>IF(OR($B266="",$A266&gt;$B$9,E$245=""),"",IF(COUNTIFS(BD!$B$3:$B$5001,E$245,BD!$A$3:$A$5001,"&gt;="&amp;$C$7,BD!$A$3:$A$5001,"&lt;="&amp;$B266,BD!$X$3:$X$5001,"&lt;&gt;")=0,"",SUMIFS(BD!$X$3:$X$5001,BD!$B$3:$B$5001,E$245,BD!$A$3:$A$5001,_xlfn.MAXIFS(BD!$A$3:$A$5001,BD!$B$3:$B$5001,E$245,BD!$A$3:$A$5001,"&gt;="&amp;$C$7,BD!$A$3:$A$5001,"&lt;="&amp;$B266,BD!$X$3:$X$5001,"&lt;&gt;"))))</f>
        <v/>
      </c>
      <c r="F266" s="54" t="str">
        <f>IF(OR($B266="",$A266&gt;$B$9,F$245=""),"",IF(COUNTIFS(BD!$B$3:$B$5001,F$245,BD!$A$3:$A$5001,"&gt;="&amp;$C$7,BD!$A$3:$A$5001,"&lt;="&amp;$B266,BD!$X$3:$X$5001,"&lt;&gt;")=0,"",SUMIFS(BD!$X$3:$X$5001,BD!$B$3:$B$5001,F$245,BD!$A$3:$A$5001,_xlfn.MAXIFS(BD!$A$3:$A$5001,BD!$B$3:$B$5001,F$245,BD!$A$3:$A$5001,"&gt;="&amp;$C$7,BD!$A$3:$A$5001,"&lt;="&amp;$B266,BD!$X$3:$X$5001,"&lt;&gt;"))))</f>
        <v/>
      </c>
      <c r="G266" s="54" t="str">
        <f>IF(OR($B266="",$A266&gt;$B$9,G$245=""),"",IF(COUNTIFS(BD!$B$3:$B$5001,G$245,BD!$A$3:$A$5001,"&gt;="&amp;$C$7,BD!$A$3:$A$5001,"&lt;="&amp;$B266,BD!$X$3:$X$5001,"&lt;&gt;")=0,"",SUMIFS(BD!$X$3:$X$5001,BD!$B$3:$B$5001,G$245,BD!$A$3:$A$5001,_xlfn.MAXIFS(BD!$A$3:$A$5001,BD!$B$3:$B$5001,G$245,BD!$A$3:$A$5001,"&gt;="&amp;$C$7,BD!$A$3:$A$5001,"&lt;="&amp;$B266,BD!$X$3:$X$5001,"&lt;&gt;"))))</f>
        <v/>
      </c>
      <c r="H266" s="54" t="str">
        <f>IF(OR($B266="",$A266&gt;$B$9,H$245=""),"",IF(COUNTIFS(BD!$B$3:$B$5001,H$245,BD!$A$3:$A$5001,"&gt;="&amp;$C$7,BD!$A$3:$A$5001,"&lt;="&amp;$B266,BD!$X$3:$X$5001,"&lt;&gt;")=0,"",SUMIFS(BD!$X$3:$X$5001,BD!$B$3:$B$5001,H$245,BD!$A$3:$A$5001,_xlfn.MAXIFS(BD!$A$3:$A$5001,BD!$B$3:$B$5001,H$245,BD!$A$3:$A$5001,"&gt;="&amp;$C$7,BD!$A$3:$A$5001,"&lt;="&amp;$B266,BD!$X$3:$X$5001,"&lt;&gt;"))))</f>
        <v/>
      </c>
      <c r="I266" s="54" t="str">
        <f>IF(OR($B266="",$A266&gt;$B$9,I$245=""),"",IF(COUNTIFS(BD!$B$3:$B$5001,I$245,BD!$A$3:$A$5001,"&gt;="&amp;$C$7,BD!$A$3:$A$5001,"&lt;="&amp;$B266,BD!$X$3:$X$5001,"&lt;&gt;")=0,"",SUMIFS(BD!$X$3:$X$5001,BD!$B$3:$B$5001,I$245,BD!$A$3:$A$5001,_xlfn.MAXIFS(BD!$A$3:$A$5001,BD!$B$3:$B$5001,I$245,BD!$A$3:$A$5001,"&gt;="&amp;$C$7,BD!$A$3:$A$5001,"&lt;="&amp;$B266,BD!$X$3:$X$5001,"&lt;&gt;"))))</f>
        <v/>
      </c>
      <c r="J266" s="54" t="str">
        <f>IF(OR($B266="",$A266&gt;$B$9,J$245=""),"",IF(COUNTIFS(BD!$B$3:$B$5001,J$245,BD!$A$3:$A$5001,"&gt;="&amp;$C$7,BD!$A$3:$A$5001,"&lt;="&amp;$B266,BD!$X$3:$X$5001,"&lt;&gt;")=0,"",SUMIFS(BD!$X$3:$X$5001,BD!$B$3:$B$5001,J$245,BD!$A$3:$A$5001,_xlfn.MAXIFS(BD!$A$3:$A$5001,BD!$B$3:$B$5001,J$245,BD!$A$3:$A$5001,"&gt;="&amp;$C$7,BD!$A$3:$A$5001,"&lt;="&amp;$B266,BD!$X$3:$X$5001,"&lt;&gt;"))))</f>
        <v/>
      </c>
      <c r="K266" s="54" t="str">
        <f>IF(OR($B266="",$A266&gt;$B$9,K$245=""),"",IF(COUNTIFS(BD!$B$3:$B$5001,K$245,BD!$A$3:$A$5001,"&gt;="&amp;$C$7,BD!$A$3:$A$5001,"&lt;="&amp;$B266,BD!$X$3:$X$5001,"&lt;&gt;")=0,"",SUMIFS(BD!$X$3:$X$5001,BD!$B$3:$B$5001,K$245,BD!$A$3:$A$5001,_xlfn.MAXIFS(BD!$A$3:$A$5001,BD!$B$3:$B$5001,K$245,BD!$A$3:$A$5001,"&gt;="&amp;$C$7,BD!$A$3:$A$5001,"&lt;="&amp;$B266,BD!$X$3:$X$5001,"&lt;&gt;"))))</f>
        <v/>
      </c>
      <c r="L266" s="54" t="str">
        <f>IF(OR($B266="",$A266&gt;$B$9,L$245=""),"",IF(COUNTIFS(BD!$B$3:$B$5001,L$245,BD!$A$3:$A$5001,"&gt;="&amp;$C$7,BD!$A$3:$A$5001,"&lt;="&amp;$B266,BD!$X$3:$X$5001,"&lt;&gt;")=0,"",SUMIFS(BD!$X$3:$X$5001,BD!$B$3:$B$5001,L$245,BD!$A$3:$A$5001,_xlfn.MAXIFS(BD!$A$3:$A$5001,BD!$B$3:$B$5001,L$245,BD!$A$3:$A$5001,"&gt;="&amp;$C$7,BD!$A$3:$A$5001,"&lt;="&amp;$B266,BD!$X$3:$X$5001,"&lt;&gt;"))))</f>
        <v/>
      </c>
      <c r="M266" s="54" t="str">
        <f>IF(OR($B266="",$A266&gt;$B$9,M$245=""),"",IF(COUNTIFS(BD!$B$3:$B$5001,M$245,BD!$A$3:$A$5001,"&gt;="&amp;$C$7,BD!$A$3:$A$5001,"&lt;="&amp;$B266,BD!$X$3:$X$5001,"&lt;&gt;")=0,"",SUMIFS(BD!$X$3:$X$5001,BD!$B$3:$B$5001,M$245,BD!$A$3:$A$5001,_xlfn.MAXIFS(BD!$A$3:$A$5001,BD!$B$3:$B$5001,M$245,BD!$A$3:$A$5001,"&gt;="&amp;$C$7,BD!$A$3:$A$5001,"&lt;="&amp;$B266,BD!$X$3:$X$5001,"&lt;&gt;"))))</f>
        <v/>
      </c>
      <c r="N266" s="54" t="str">
        <f>IF(OR($B266="",$A266&gt;$B$9,N$245=""),"",IF(COUNTIFS(BD!$B$3:$B$5001,N$245,BD!$A$3:$A$5001,"&gt;="&amp;$C$7,BD!$A$3:$A$5001,"&lt;="&amp;$B266,BD!$X$3:$X$5001,"&lt;&gt;")=0,"",SUMIFS(BD!$X$3:$X$5001,BD!$B$3:$B$5001,N$245,BD!$A$3:$A$5001,_xlfn.MAXIFS(BD!$A$3:$A$5001,BD!$B$3:$B$5001,N$245,BD!$A$3:$A$5001,"&gt;="&amp;$C$7,BD!$A$3:$A$5001,"&lt;="&amp;$B266,BD!$X$3:$X$5001,"&lt;&gt;"))))</f>
        <v/>
      </c>
      <c r="O266" s="54" t="str">
        <f>IF(OR($B266="",$A266&gt;$B$9,O$245=""),"",IF(COUNTIFS(BD!$B$3:$B$5001,O$245,BD!$A$3:$A$5001,"&gt;="&amp;$C$7,BD!$A$3:$A$5001,"&lt;="&amp;$B266,BD!$X$3:$X$5001,"&lt;&gt;")=0,"",SUMIFS(BD!$X$3:$X$5001,BD!$B$3:$B$5001,O$245,BD!$A$3:$A$5001,_xlfn.MAXIFS(BD!$A$3:$A$5001,BD!$B$3:$B$5001,O$245,BD!$A$3:$A$5001,"&gt;="&amp;$C$7,BD!$A$3:$A$5001,"&lt;="&amp;$B266,BD!$X$3:$X$5001,"&lt;&gt;"))))</f>
        <v/>
      </c>
      <c r="P266" s="54" t="str">
        <f>IF(OR($B266="",$A266&gt;$B$9,P$245=""),"",IF(COUNTIFS(BD!$B$3:$B$5001,P$245,BD!$A$3:$A$5001,"&gt;="&amp;$C$7,BD!$A$3:$A$5001,"&lt;="&amp;$B266,BD!$X$3:$X$5001,"&lt;&gt;")=0,"",SUMIFS(BD!$X$3:$X$5001,BD!$B$3:$B$5001,P$245,BD!$A$3:$A$5001,_xlfn.MAXIFS(BD!$A$3:$A$5001,BD!$B$3:$B$5001,P$245,BD!$A$3:$A$5001,"&gt;="&amp;$C$7,BD!$A$3:$A$5001,"&lt;="&amp;$B266,BD!$X$3:$X$5001,"&lt;&gt;"))))</f>
        <v/>
      </c>
      <c r="Q266" s="54" t="str">
        <f>IF(OR($B266="",$A266&gt;$B$9,Q$245=""),"",IF(COUNTIFS(BD!$B$3:$B$5001,Q$245,BD!$A$3:$A$5001,"&gt;="&amp;$C$7,BD!$A$3:$A$5001,"&lt;="&amp;$B266,BD!$X$3:$X$5001,"&lt;&gt;")=0,"",SUMIFS(BD!$X$3:$X$5001,BD!$B$3:$B$5001,Q$245,BD!$A$3:$A$5001,_xlfn.MAXIFS(BD!$A$3:$A$5001,BD!$B$3:$B$5001,Q$245,BD!$A$3:$A$5001,"&gt;="&amp;$C$7,BD!$A$3:$A$5001,"&lt;="&amp;$B266,BD!$X$3:$X$5001,"&lt;&gt;"))))</f>
        <v/>
      </c>
      <c r="R266" s="54" t="str">
        <f>IF(OR($B266="",$A266&gt;$B$9,R$245=""),"",IF(COUNTIFS(BD!$B$3:$B$5001,R$245,BD!$A$3:$A$5001,"&gt;="&amp;$C$7,BD!$A$3:$A$5001,"&lt;="&amp;$B266,BD!$X$3:$X$5001,"&lt;&gt;")=0,"",SUMIFS(BD!$X$3:$X$5001,BD!$B$3:$B$5001,R$245,BD!$A$3:$A$5001,_xlfn.MAXIFS(BD!$A$3:$A$5001,BD!$B$3:$B$5001,R$245,BD!$A$3:$A$5001,"&gt;="&amp;$C$7,BD!$A$3:$A$5001,"&lt;="&amp;$B266,BD!$X$3:$X$5001,"&lt;&gt;"))))</f>
        <v/>
      </c>
      <c r="S266" s="54" t="str">
        <f>IF(OR($B266="",$A266&gt;$B$9,S$245=""),"",IF(COUNTIFS(BD!$B$3:$B$5001,S$245,BD!$A$3:$A$5001,"&gt;="&amp;$C$7,BD!$A$3:$A$5001,"&lt;="&amp;$B266,BD!$X$3:$X$5001,"&lt;&gt;")=0,"",SUMIFS(BD!$X$3:$X$5001,BD!$B$3:$B$5001,S$245,BD!$A$3:$A$5001,_xlfn.MAXIFS(BD!$A$3:$A$5001,BD!$B$3:$B$5001,S$245,BD!$A$3:$A$5001,"&gt;="&amp;$C$7,BD!$A$3:$A$5001,"&lt;="&amp;$B266,BD!$X$3:$X$5001,"&lt;&gt;"))))</f>
        <v/>
      </c>
      <c r="T266" s="54" t="str">
        <f>IF(OR($B266="",$A266&gt;$B$9,T$245=""),"",IF(COUNTIFS(BD!$B$3:$B$5001,T$245,BD!$A$3:$A$5001,"&gt;="&amp;$C$7,BD!$A$3:$A$5001,"&lt;="&amp;$B266,BD!$X$3:$X$5001,"&lt;&gt;")=0,"",SUMIFS(BD!$X$3:$X$5001,BD!$B$3:$B$5001,T$245,BD!$A$3:$A$5001,_xlfn.MAXIFS(BD!$A$3:$A$5001,BD!$B$3:$B$5001,T$245,BD!$A$3:$A$5001,"&gt;="&amp;$C$7,BD!$A$3:$A$5001,"&lt;="&amp;$B266,BD!$X$3:$X$5001,"&lt;&gt;"))))</f>
        <v/>
      </c>
      <c r="U266" s="54" t="str">
        <f>IF(OR($B266="",$A266&gt;$B$9,U$245=""),"",IF(COUNTIFS(BD!$B$3:$B$5001,U$245,BD!$A$3:$A$5001,"&gt;="&amp;$C$7,BD!$A$3:$A$5001,"&lt;="&amp;$B266,BD!$X$3:$X$5001,"&lt;&gt;")=0,"",SUMIFS(BD!$X$3:$X$5001,BD!$B$3:$B$5001,U$245,BD!$A$3:$A$5001,_xlfn.MAXIFS(BD!$A$3:$A$5001,BD!$B$3:$B$5001,U$245,BD!$A$3:$A$5001,"&gt;="&amp;$C$7,BD!$A$3:$A$5001,"&lt;="&amp;$B266,BD!$X$3:$X$5001,"&lt;&gt;"))))</f>
        <v/>
      </c>
      <c r="V266" s="54" t="str">
        <f>IF(OR($B266="",$A266&gt;$B$9,V$245=""),"",IF(COUNTIFS(BD!$B$3:$B$5001,V$245,BD!$A$3:$A$5001,"&gt;="&amp;$C$7,BD!$A$3:$A$5001,"&lt;="&amp;$B266,BD!$X$3:$X$5001,"&lt;&gt;")=0,"",SUMIFS(BD!$X$3:$X$5001,BD!$B$3:$B$5001,V$245,BD!$A$3:$A$5001,_xlfn.MAXIFS(BD!$A$3:$A$5001,BD!$B$3:$B$5001,V$245,BD!$A$3:$A$5001,"&gt;="&amp;$C$7,BD!$A$3:$A$5001,"&lt;="&amp;$B266,BD!$X$3:$X$5001,"&lt;&gt;"))))</f>
        <v/>
      </c>
    </row>
    <row r="267">
      <c r="A267" s="48">
        <v>22</v>
      </c>
      <c r="B267" s="53">
        <f>$B$33</f>
        <v>46317</v>
      </c>
      <c r="C267" s="54" t="str">
        <f>IF(OR($B267="",$A267&gt;$B$9,C$245=""),"",IF(COUNTIFS(BD!$B$3:$B$5001,C$245,BD!$A$3:$A$5001,"&gt;="&amp;$C$7,BD!$A$3:$A$5001,"&lt;="&amp;$B267,BD!$X$3:$X$5001,"&lt;&gt;")=0,"",SUMIFS(BD!$X$3:$X$5001,BD!$B$3:$B$5001,C$245,BD!$A$3:$A$5001,_xlfn.MAXIFS(BD!$A$3:$A$5001,BD!$B$3:$B$5001,C$245,BD!$A$3:$A$5001,"&gt;="&amp;$C$7,BD!$A$3:$A$5001,"&lt;="&amp;$B267,BD!$X$3:$X$5001,"&lt;&gt;"))))</f>
        <v/>
      </c>
      <c r="D267" s="54" t="str">
        <f>IF(OR($B267="",$A267&gt;$B$9,D$245=""),"",IF(COUNTIFS(BD!$B$3:$B$5001,D$245,BD!$A$3:$A$5001,"&gt;="&amp;$C$7,BD!$A$3:$A$5001,"&lt;="&amp;$B267,BD!$X$3:$X$5001,"&lt;&gt;")=0,"",SUMIFS(BD!$X$3:$X$5001,BD!$B$3:$B$5001,D$245,BD!$A$3:$A$5001,_xlfn.MAXIFS(BD!$A$3:$A$5001,BD!$B$3:$B$5001,D$245,BD!$A$3:$A$5001,"&gt;="&amp;$C$7,BD!$A$3:$A$5001,"&lt;="&amp;$B267,BD!$X$3:$X$5001,"&lt;&gt;"))))</f>
        <v/>
      </c>
      <c r="E267" s="54" t="str">
        <f>IF(OR($B267="",$A267&gt;$B$9,E$245=""),"",IF(COUNTIFS(BD!$B$3:$B$5001,E$245,BD!$A$3:$A$5001,"&gt;="&amp;$C$7,BD!$A$3:$A$5001,"&lt;="&amp;$B267,BD!$X$3:$X$5001,"&lt;&gt;")=0,"",SUMIFS(BD!$X$3:$X$5001,BD!$B$3:$B$5001,E$245,BD!$A$3:$A$5001,_xlfn.MAXIFS(BD!$A$3:$A$5001,BD!$B$3:$B$5001,E$245,BD!$A$3:$A$5001,"&gt;="&amp;$C$7,BD!$A$3:$A$5001,"&lt;="&amp;$B267,BD!$X$3:$X$5001,"&lt;&gt;"))))</f>
        <v/>
      </c>
      <c r="F267" s="54" t="str">
        <f>IF(OR($B267="",$A267&gt;$B$9,F$245=""),"",IF(COUNTIFS(BD!$B$3:$B$5001,F$245,BD!$A$3:$A$5001,"&gt;="&amp;$C$7,BD!$A$3:$A$5001,"&lt;="&amp;$B267,BD!$X$3:$X$5001,"&lt;&gt;")=0,"",SUMIFS(BD!$X$3:$X$5001,BD!$B$3:$B$5001,F$245,BD!$A$3:$A$5001,_xlfn.MAXIFS(BD!$A$3:$A$5001,BD!$B$3:$B$5001,F$245,BD!$A$3:$A$5001,"&gt;="&amp;$C$7,BD!$A$3:$A$5001,"&lt;="&amp;$B267,BD!$X$3:$X$5001,"&lt;&gt;"))))</f>
        <v/>
      </c>
      <c r="G267" s="54" t="str">
        <f>IF(OR($B267="",$A267&gt;$B$9,G$245=""),"",IF(COUNTIFS(BD!$B$3:$B$5001,G$245,BD!$A$3:$A$5001,"&gt;="&amp;$C$7,BD!$A$3:$A$5001,"&lt;="&amp;$B267,BD!$X$3:$X$5001,"&lt;&gt;")=0,"",SUMIFS(BD!$X$3:$X$5001,BD!$B$3:$B$5001,G$245,BD!$A$3:$A$5001,_xlfn.MAXIFS(BD!$A$3:$A$5001,BD!$B$3:$B$5001,G$245,BD!$A$3:$A$5001,"&gt;="&amp;$C$7,BD!$A$3:$A$5001,"&lt;="&amp;$B267,BD!$X$3:$X$5001,"&lt;&gt;"))))</f>
        <v/>
      </c>
      <c r="H267" s="54" t="str">
        <f>IF(OR($B267="",$A267&gt;$B$9,H$245=""),"",IF(COUNTIFS(BD!$B$3:$B$5001,H$245,BD!$A$3:$A$5001,"&gt;="&amp;$C$7,BD!$A$3:$A$5001,"&lt;="&amp;$B267,BD!$X$3:$X$5001,"&lt;&gt;")=0,"",SUMIFS(BD!$X$3:$X$5001,BD!$B$3:$B$5001,H$245,BD!$A$3:$A$5001,_xlfn.MAXIFS(BD!$A$3:$A$5001,BD!$B$3:$B$5001,H$245,BD!$A$3:$A$5001,"&gt;="&amp;$C$7,BD!$A$3:$A$5001,"&lt;="&amp;$B267,BD!$X$3:$X$5001,"&lt;&gt;"))))</f>
        <v/>
      </c>
      <c r="I267" s="54" t="str">
        <f>IF(OR($B267="",$A267&gt;$B$9,I$245=""),"",IF(COUNTIFS(BD!$B$3:$B$5001,I$245,BD!$A$3:$A$5001,"&gt;="&amp;$C$7,BD!$A$3:$A$5001,"&lt;="&amp;$B267,BD!$X$3:$X$5001,"&lt;&gt;")=0,"",SUMIFS(BD!$X$3:$X$5001,BD!$B$3:$B$5001,I$245,BD!$A$3:$A$5001,_xlfn.MAXIFS(BD!$A$3:$A$5001,BD!$B$3:$B$5001,I$245,BD!$A$3:$A$5001,"&gt;="&amp;$C$7,BD!$A$3:$A$5001,"&lt;="&amp;$B267,BD!$X$3:$X$5001,"&lt;&gt;"))))</f>
        <v/>
      </c>
      <c r="J267" s="54" t="str">
        <f>IF(OR($B267="",$A267&gt;$B$9,J$245=""),"",IF(COUNTIFS(BD!$B$3:$B$5001,J$245,BD!$A$3:$A$5001,"&gt;="&amp;$C$7,BD!$A$3:$A$5001,"&lt;="&amp;$B267,BD!$X$3:$X$5001,"&lt;&gt;")=0,"",SUMIFS(BD!$X$3:$X$5001,BD!$B$3:$B$5001,J$245,BD!$A$3:$A$5001,_xlfn.MAXIFS(BD!$A$3:$A$5001,BD!$B$3:$B$5001,J$245,BD!$A$3:$A$5001,"&gt;="&amp;$C$7,BD!$A$3:$A$5001,"&lt;="&amp;$B267,BD!$X$3:$X$5001,"&lt;&gt;"))))</f>
        <v/>
      </c>
      <c r="K267" s="54" t="str">
        <f>IF(OR($B267="",$A267&gt;$B$9,K$245=""),"",IF(COUNTIFS(BD!$B$3:$B$5001,K$245,BD!$A$3:$A$5001,"&gt;="&amp;$C$7,BD!$A$3:$A$5001,"&lt;="&amp;$B267,BD!$X$3:$X$5001,"&lt;&gt;")=0,"",SUMIFS(BD!$X$3:$X$5001,BD!$B$3:$B$5001,K$245,BD!$A$3:$A$5001,_xlfn.MAXIFS(BD!$A$3:$A$5001,BD!$B$3:$B$5001,K$245,BD!$A$3:$A$5001,"&gt;="&amp;$C$7,BD!$A$3:$A$5001,"&lt;="&amp;$B267,BD!$X$3:$X$5001,"&lt;&gt;"))))</f>
        <v/>
      </c>
      <c r="L267" s="54" t="str">
        <f>IF(OR($B267="",$A267&gt;$B$9,L$245=""),"",IF(COUNTIFS(BD!$B$3:$B$5001,L$245,BD!$A$3:$A$5001,"&gt;="&amp;$C$7,BD!$A$3:$A$5001,"&lt;="&amp;$B267,BD!$X$3:$X$5001,"&lt;&gt;")=0,"",SUMIFS(BD!$X$3:$X$5001,BD!$B$3:$B$5001,L$245,BD!$A$3:$A$5001,_xlfn.MAXIFS(BD!$A$3:$A$5001,BD!$B$3:$B$5001,L$245,BD!$A$3:$A$5001,"&gt;="&amp;$C$7,BD!$A$3:$A$5001,"&lt;="&amp;$B267,BD!$X$3:$X$5001,"&lt;&gt;"))))</f>
        <v/>
      </c>
      <c r="M267" s="54" t="str">
        <f>IF(OR($B267="",$A267&gt;$B$9,M$245=""),"",IF(COUNTIFS(BD!$B$3:$B$5001,M$245,BD!$A$3:$A$5001,"&gt;="&amp;$C$7,BD!$A$3:$A$5001,"&lt;="&amp;$B267,BD!$X$3:$X$5001,"&lt;&gt;")=0,"",SUMIFS(BD!$X$3:$X$5001,BD!$B$3:$B$5001,M$245,BD!$A$3:$A$5001,_xlfn.MAXIFS(BD!$A$3:$A$5001,BD!$B$3:$B$5001,M$245,BD!$A$3:$A$5001,"&gt;="&amp;$C$7,BD!$A$3:$A$5001,"&lt;="&amp;$B267,BD!$X$3:$X$5001,"&lt;&gt;"))))</f>
        <v/>
      </c>
      <c r="N267" s="54" t="str">
        <f>IF(OR($B267="",$A267&gt;$B$9,N$245=""),"",IF(COUNTIFS(BD!$B$3:$B$5001,N$245,BD!$A$3:$A$5001,"&gt;="&amp;$C$7,BD!$A$3:$A$5001,"&lt;="&amp;$B267,BD!$X$3:$X$5001,"&lt;&gt;")=0,"",SUMIFS(BD!$X$3:$X$5001,BD!$B$3:$B$5001,N$245,BD!$A$3:$A$5001,_xlfn.MAXIFS(BD!$A$3:$A$5001,BD!$B$3:$B$5001,N$245,BD!$A$3:$A$5001,"&gt;="&amp;$C$7,BD!$A$3:$A$5001,"&lt;="&amp;$B267,BD!$X$3:$X$5001,"&lt;&gt;"))))</f>
        <v/>
      </c>
      <c r="O267" s="54" t="str">
        <f>IF(OR($B267="",$A267&gt;$B$9,O$245=""),"",IF(COUNTIFS(BD!$B$3:$B$5001,O$245,BD!$A$3:$A$5001,"&gt;="&amp;$C$7,BD!$A$3:$A$5001,"&lt;="&amp;$B267,BD!$X$3:$X$5001,"&lt;&gt;")=0,"",SUMIFS(BD!$X$3:$X$5001,BD!$B$3:$B$5001,O$245,BD!$A$3:$A$5001,_xlfn.MAXIFS(BD!$A$3:$A$5001,BD!$B$3:$B$5001,O$245,BD!$A$3:$A$5001,"&gt;="&amp;$C$7,BD!$A$3:$A$5001,"&lt;="&amp;$B267,BD!$X$3:$X$5001,"&lt;&gt;"))))</f>
        <v/>
      </c>
      <c r="P267" s="54" t="str">
        <f>IF(OR($B267="",$A267&gt;$B$9,P$245=""),"",IF(COUNTIFS(BD!$B$3:$B$5001,P$245,BD!$A$3:$A$5001,"&gt;="&amp;$C$7,BD!$A$3:$A$5001,"&lt;="&amp;$B267,BD!$X$3:$X$5001,"&lt;&gt;")=0,"",SUMIFS(BD!$X$3:$X$5001,BD!$B$3:$B$5001,P$245,BD!$A$3:$A$5001,_xlfn.MAXIFS(BD!$A$3:$A$5001,BD!$B$3:$B$5001,P$245,BD!$A$3:$A$5001,"&gt;="&amp;$C$7,BD!$A$3:$A$5001,"&lt;="&amp;$B267,BD!$X$3:$X$5001,"&lt;&gt;"))))</f>
        <v/>
      </c>
      <c r="Q267" s="54" t="str">
        <f>IF(OR($B267="",$A267&gt;$B$9,Q$245=""),"",IF(COUNTIFS(BD!$B$3:$B$5001,Q$245,BD!$A$3:$A$5001,"&gt;="&amp;$C$7,BD!$A$3:$A$5001,"&lt;="&amp;$B267,BD!$X$3:$X$5001,"&lt;&gt;")=0,"",SUMIFS(BD!$X$3:$X$5001,BD!$B$3:$B$5001,Q$245,BD!$A$3:$A$5001,_xlfn.MAXIFS(BD!$A$3:$A$5001,BD!$B$3:$B$5001,Q$245,BD!$A$3:$A$5001,"&gt;="&amp;$C$7,BD!$A$3:$A$5001,"&lt;="&amp;$B267,BD!$X$3:$X$5001,"&lt;&gt;"))))</f>
        <v/>
      </c>
      <c r="R267" s="54" t="str">
        <f>IF(OR($B267="",$A267&gt;$B$9,R$245=""),"",IF(COUNTIFS(BD!$B$3:$B$5001,R$245,BD!$A$3:$A$5001,"&gt;="&amp;$C$7,BD!$A$3:$A$5001,"&lt;="&amp;$B267,BD!$X$3:$X$5001,"&lt;&gt;")=0,"",SUMIFS(BD!$X$3:$X$5001,BD!$B$3:$B$5001,R$245,BD!$A$3:$A$5001,_xlfn.MAXIFS(BD!$A$3:$A$5001,BD!$B$3:$B$5001,R$245,BD!$A$3:$A$5001,"&gt;="&amp;$C$7,BD!$A$3:$A$5001,"&lt;="&amp;$B267,BD!$X$3:$X$5001,"&lt;&gt;"))))</f>
        <v/>
      </c>
      <c r="S267" s="54" t="str">
        <f>IF(OR($B267="",$A267&gt;$B$9,S$245=""),"",IF(COUNTIFS(BD!$B$3:$B$5001,S$245,BD!$A$3:$A$5001,"&gt;="&amp;$C$7,BD!$A$3:$A$5001,"&lt;="&amp;$B267,BD!$X$3:$X$5001,"&lt;&gt;")=0,"",SUMIFS(BD!$X$3:$X$5001,BD!$B$3:$B$5001,S$245,BD!$A$3:$A$5001,_xlfn.MAXIFS(BD!$A$3:$A$5001,BD!$B$3:$B$5001,S$245,BD!$A$3:$A$5001,"&gt;="&amp;$C$7,BD!$A$3:$A$5001,"&lt;="&amp;$B267,BD!$X$3:$X$5001,"&lt;&gt;"))))</f>
        <v/>
      </c>
      <c r="T267" s="54" t="str">
        <f>IF(OR($B267="",$A267&gt;$B$9,T$245=""),"",IF(COUNTIFS(BD!$B$3:$B$5001,T$245,BD!$A$3:$A$5001,"&gt;="&amp;$C$7,BD!$A$3:$A$5001,"&lt;="&amp;$B267,BD!$X$3:$X$5001,"&lt;&gt;")=0,"",SUMIFS(BD!$X$3:$X$5001,BD!$B$3:$B$5001,T$245,BD!$A$3:$A$5001,_xlfn.MAXIFS(BD!$A$3:$A$5001,BD!$B$3:$B$5001,T$245,BD!$A$3:$A$5001,"&gt;="&amp;$C$7,BD!$A$3:$A$5001,"&lt;="&amp;$B267,BD!$X$3:$X$5001,"&lt;&gt;"))))</f>
        <v/>
      </c>
      <c r="U267" s="54" t="str">
        <f>IF(OR($B267="",$A267&gt;$B$9,U$245=""),"",IF(COUNTIFS(BD!$B$3:$B$5001,U$245,BD!$A$3:$A$5001,"&gt;="&amp;$C$7,BD!$A$3:$A$5001,"&lt;="&amp;$B267,BD!$X$3:$X$5001,"&lt;&gt;")=0,"",SUMIFS(BD!$X$3:$X$5001,BD!$B$3:$B$5001,U$245,BD!$A$3:$A$5001,_xlfn.MAXIFS(BD!$A$3:$A$5001,BD!$B$3:$B$5001,U$245,BD!$A$3:$A$5001,"&gt;="&amp;$C$7,BD!$A$3:$A$5001,"&lt;="&amp;$B267,BD!$X$3:$X$5001,"&lt;&gt;"))))</f>
        <v/>
      </c>
      <c r="V267" s="54" t="str">
        <f>IF(OR($B267="",$A267&gt;$B$9,V$245=""),"",IF(COUNTIFS(BD!$B$3:$B$5001,V$245,BD!$A$3:$A$5001,"&gt;="&amp;$C$7,BD!$A$3:$A$5001,"&lt;="&amp;$B267,BD!$X$3:$X$5001,"&lt;&gt;")=0,"",SUMIFS(BD!$X$3:$X$5001,BD!$B$3:$B$5001,V$245,BD!$A$3:$A$5001,_xlfn.MAXIFS(BD!$A$3:$A$5001,BD!$B$3:$B$5001,V$245,BD!$A$3:$A$5001,"&gt;="&amp;$C$7,BD!$A$3:$A$5001,"&lt;="&amp;$B267,BD!$X$3:$X$5001,"&lt;&gt;"))))</f>
        <v/>
      </c>
    </row>
    <row r="268">
      <c r="A268" s="48">
        <v>23</v>
      </c>
      <c r="B268" s="53">
        <f>$B$34</f>
        <v>46318</v>
      </c>
      <c r="C268" s="54" t="str">
        <f>IF(OR($B268="",$A268&gt;$B$9,C$245=""),"",IF(COUNTIFS(BD!$B$3:$B$5001,C$245,BD!$A$3:$A$5001,"&gt;="&amp;$C$7,BD!$A$3:$A$5001,"&lt;="&amp;$B268,BD!$X$3:$X$5001,"&lt;&gt;")=0,"",SUMIFS(BD!$X$3:$X$5001,BD!$B$3:$B$5001,C$245,BD!$A$3:$A$5001,_xlfn.MAXIFS(BD!$A$3:$A$5001,BD!$B$3:$B$5001,C$245,BD!$A$3:$A$5001,"&gt;="&amp;$C$7,BD!$A$3:$A$5001,"&lt;="&amp;$B268,BD!$X$3:$X$5001,"&lt;&gt;"))))</f>
        <v/>
      </c>
      <c r="D268" s="54" t="str">
        <f>IF(OR($B268="",$A268&gt;$B$9,D$245=""),"",IF(COUNTIFS(BD!$B$3:$B$5001,D$245,BD!$A$3:$A$5001,"&gt;="&amp;$C$7,BD!$A$3:$A$5001,"&lt;="&amp;$B268,BD!$X$3:$X$5001,"&lt;&gt;")=0,"",SUMIFS(BD!$X$3:$X$5001,BD!$B$3:$B$5001,D$245,BD!$A$3:$A$5001,_xlfn.MAXIFS(BD!$A$3:$A$5001,BD!$B$3:$B$5001,D$245,BD!$A$3:$A$5001,"&gt;="&amp;$C$7,BD!$A$3:$A$5001,"&lt;="&amp;$B268,BD!$X$3:$X$5001,"&lt;&gt;"))))</f>
        <v/>
      </c>
      <c r="E268" s="54" t="str">
        <f>IF(OR($B268="",$A268&gt;$B$9,E$245=""),"",IF(COUNTIFS(BD!$B$3:$B$5001,E$245,BD!$A$3:$A$5001,"&gt;="&amp;$C$7,BD!$A$3:$A$5001,"&lt;="&amp;$B268,BD!$X$3:$X$5001,"&lt;&gt;")=0,"",SUMIFS(BD!$X$3:$X$5001,BD!$B$3:$B$5001,E$245,BD!$A$3:$A$5001,_xlfn.MAXIFS(BD!$A$3:$A$5001,BD!$B$3:$B$5001,E$245,BD!$A$3:$A$5001,"&gt;="&amp;$C$7,BD!$A$3:$A$5001,"&lt;="&amp;$B268,BD!$X$3:$X$5001,"&lt;&gt;"))))</f>
        <v/>
      </c>
      <c r="F268" s="54" t="str">
        <f>IF(OR($B268="",$A268&gt;$B$9,F$245=""),"",IF(COUNTIFS(BD!$B$3:$B$5001,F$245,BD!$A$3:$A$5001,"&gt;="&amp;$C$7,BD!$A$3:$A$5001,"&lt;="&amp;$B268,BD!$X$3:$X$5001,"&lt;&gt;")=0,"",SUMIFS(BD!$X$3:$X$5001,BD!$B$3:$B$5001,F$245,BD!$A$3:$A$5001,_xlfn.MAXIFS(BD!$A$3:$A$5001,BD!$B$3:$B$5001,F$245,BD!$A$3:$A$5001,"&gt;="&amp;$C$7,BD!$A$3:$A$5001,"&lt;="&amp;$B268,BD!$X$3:$X$5001,"&lt;&gt;"))))</f>
        <v/>
      </c>
      <c r="G268" s="54" t="str">
        <f>IF(OR($B268="",$A268&gt;$B$9,G$245=""),"",IF(COUNTIFS(BD!$B$3:$B$5001,G$245,BD!$A$3:$A$5001,"&gt;="&amp;$C$7,BD!$A$3:$A$5001,"&lt;="&amp;$B268,BD!$X$3:$X$5001,"&lt;&gt;")=0,"",SUMIFS(BD!$X$3:$X$5001,BD!$B$3:$B$5001,G$245,BD!$A$3:$A$5001,_xlfn.MAXIFS(BD!$A$3:$A$5001,BD!$B$3:$B$5001,G$245,BD!$A$3:$A$5001,"&gt;="&amp;$C$7,BD!$A$3:$A$5001,"&lt;="&amp;$B268,BD!$X$3:$X$5001,"&lt;&gt;"))))</f>
        <v/>
      </c>
      <c r="H268" s="54" t="str">
        <f>IF(OR($B268="",$A268&gt;$B$9,H$245=""),"",IF(COUNTIFS(BD!$B$3:$B$5001,H$245,BD!$A$3:$A$5001,"&gt;="&amp;$C$7,BD!$A$3:$A$5001,"&lt;="&amp;$B268,BD!$X$3:$X$5001,"&lt;&gt;")=0,"",SUMIFS(BD!$X$3:$X$5001,BD!$B$3:$B$5001,H$245,BD!$A$3:$A$5001,_xlfn.MAXIFS(BD!$A$3:$A$5001,BD!$B$3:$B$5001,H$245,BD!$A$3:$A$5001,"&gt;="&amp;$C$7,BD!$A$3:$A$5001,"&lt;="&amp;$B268,BD!$X$3:$X$5001,"&lt;&gt;"))))</f>
        <v/>
      </c>
      <c r="I268" s="54" t="str">
        <f>IF(OR($B268="",$A268&gt;$B$9,I$245=""),"",IF(COUNTIFS(BD!$B$3:$B$5001,I$245,BD!$A$3:$A$5001,"&gt;="&amp;$C$7,BD!$A$3:$A$5001,"&lt;="&amp;$B268,BD!$X$3:$X$5001,"&lt;&gt;")=0,"",SUMIFS(BD!$X$3:$X$5001,BD!$B$3:$B$5001,I$245,BD!$A$3:$A$5001,_xlfn.MAXIFS(BD!$A$3:$A$5001,BD!$B$3:$B$5001,I$245,BD!$A$3:$A$5001,"&gt;="&amp;$C$7,BD!$A$3:$A$5001,"&lt;="&amp;$B268,BD!$X$3:$X$5001,"&lt;&gt;"))))</f>
        <v/>
      </c>
      <c r="J268" s="54" t="str">
        <f>IF(OR($B268="",$A268&gt;$B$9,J$245=""),"",IF(COUNTIFS(BD!$B$3:$B$5001,J$245,BD!$A$3:$A$5001,"&gt;="&amp;$C$7,BD!$A$3:$A$5001,"&lt;="&amp;$B268,BD!$X$3:$X$5001,"&lt;&gt;")=0,"",SUMIFS(BD!$X$3:$X$5001,BD!$B$3:$B$5001,J$245,BD!$A$3:$A$5001,_xlfn.MAXIFS(BD!$A$3:$A$5001,BD!$B$3:$B$5001,J$245,BD!$A$3:$A$5001,"&gt;="&amp;$C$7,BD!$A$3:$A$5001,"&lt;="&amp;$B268,BD!$X$3:$X$5001,"&lt;&gt;"))))</f>
        <v/>
      </c>
      <c r="K268" s="54" t="str">
        <f>IF(OR($B268="",$A268&gt;$B$9,K$245=""),"",IF(COUNTIFS(BD!$B$3:$B$5001,K$245,BD!$A$3:$A$5001,"&gt;="&amp;$C$7,BD!$A$3:$A$5001,"&lt;="&amp;$B268,BD!$X$3:$X$5001,"&lt;&gt;")=0,"",SUMIFS(BD!$X$3:$X$5001,BD!$B$3:$B$5001,K$245,BD!$A$3:$A$5001,_xlfn.MAXIFS(BD!$A$3:$A$5001,BD!$B$3:$B$5001,K$245,BD!$A$3:$A$5001,"&gt;="&amp;$C$7,BD!$A$3:$A$5001,"&lt;="&amp;$B268,BD!$X$3:$X$5001,"&lt;&gt;"))))</f>
        <v/>
      </c>
      <c r="L268" s="54" t="str">
        <f>IF(OR($B268="",$A268&gt;$B$9,L$245=""),"",IF(COUNTIFS(BD!$B$3:$B$5001,L$245,BD!$A$3:$A$5001,"&gt;="&amp;$C$7,BD!$A$3:$A$5001,"&lt;="&amp;$B268,BD!$X$3:$X$5001,"&lt;&gt;")=0,"",SUMIFS(BD!$X$3:$X$5001,BD!$B$3:$B$5001,L$245,BD!$A$3:$A$5001,_xlfn.MAXIFS(BD!$A$3:$A$5001,BD!$B$3:$B$5001,L$245,BD!$A$3:$A$5001,"&gt;="&amp;$C$7,BD!$A$3:$A$5001,"&lt;="&amp;$B268,BD!$X$3:$X$5001,"&lt;&gt;"))))</f>
        <v/>
      </c>
      <c r="M268" s="54" t="str">
        <f>IF(OR($B268="",$A268&gt;$B$9,M$245=""),"",IF(COUNTIFS(BD!$B$3:$B$5001,M$245,BD!$A$3:$A$5001,"&gt;="&amp;$C$7,BD!$A$3:$A$5001,"&lt;="&amp;$B268,BD!$X$3:$X$5001,"&lt;&gt;")=0,"",SUMIFS(BD!$X$3:$X$5001,BD!$B$3:$B$5001,M$245,BD!$A$3:$A$5001,_xlfn.MAXIFS(BD!$A$3:$A$5001,BD!$B$3:$B$5001,M$245,BD!$A$3:$A$5001,"&gt;="&amp;$C$7,BD!$A$3:$A$5001,"&lt;="&amp;$B268,BD!$X$3:$X$5001,"&lt;&gt;"))))</f>
        <v/>
      </c>
      <c r="N268" s="54" t="str">
        <f>IF(OR($B268="",$A268&gt;$B$9,N$245=""),"",IF(COUNTIFS(BD!$B$3:$B$5001,N$245,BD!$A$3:$A$5001,"&gt;="&amp;$C$7,BD!$A$3:$A$5001,"&lt;="&amp;$B268,BD!$X$3:$X$5001,"&lt;&gt;")=0,"",SUMIFS(BD!$X$3:$X$5001,BD!$B$3:$B$5001,N$245,BD!$A$3:$A$5001,_xlfn.MAXIFS(BD!$A$3:$A$5001,BD!$B$3:$B$5001,N$245,BD!$A$3:$A$5001,"&gt;="&amp;$C$7,BD!$A$3:$A$5001,"&lt;="&amp;$B268,BD!$X$3:$X$5001,"&lt;&gt;"))))</f>
        <v/>
      </c>
      <c r="O268" s="54" t="str">
        <f>IF(OR($B268="",$A268&gt;$B$9,O$245=""),"",IF(COUNTIFS(BD!$B$3:$B$5001,O$245,BD!$A$3:$A$5001,"&gt;="&amp;$C$7,BD!$A$3:$A$5001,"&lt;="&amp;$B268,BD!$X$3:$X$5001,"&lt;&gt;")=0,"",SUMIFS(BD!$X$3:$X$5001,BD!$B$3:$B$5001,O$245,BD!$A$3:$A$5001,_xlfn.MAXIFS(BD!$A$3:$A$5001,BD!$B$3:$B$5001,O$245,BD!$A$3:$A$5001,"&gt;="&amp;$C$7,BD!$A$3:$A$5001,"&lt;="&amp;$B268,BD!$X$3:$X$5001,"&lt;&gt;"))))</f>
        <v/>
      </c>
      <c r="P268" s="54" t="str">
        <f>IF(OR($B268="",$A268&gt;$B$9,P$245=""),"",IF(COUNTIFS(BD!$B$3:$B$5001,P$245,BD!$A$3:$A$5001,"&gt;="&amp;$C$7,BD!$A$3:$A$5001,"&lt;="&amp;$B268,BD!$X$3:$X$5001,"&lt;&gt;")=0,"",SUMIFS(BD!$X$3:$X$5001,BD!$B$3:$B$5001,P$245,BD!$A$3:$A$5001,_xlfn.MAXIFS(BD!$A$3:$A$5001,BD!$B$3:$B$5001,P$245,BD!$A$3:$A$5001,"&gt;="&amp;$C$7,BD!$A$3:$A$5001,"&lt;="&amp;$B268,BD!$X$3:$X$5001,"&lt;&gt;"))))</f>
        <v/>
      </c>
      <c r="Q268" s="54" t="str">
        <f>IF(OR($B268="",$A268&gt;$B$9,Q$245=""),"",IF(COUNTIFS(BD!$B$3:$B$5001,Q$245,BD!$A$3:$A$5001,"&gt;="&amp;$C$7,BD!$A$3:$A$5001,"&lt;="&amp;$B268,BD!$X$3:$X$5001,"&lt;&gt;")=0,"",SUMIFS(BD!$X$3:$X$5001,BD!$B$3:$B$5001,Q$245,BD!$A$3:$A$5001,_xlfn.MAXIFS(BD!$A$3:$A$5001,BD!$B$3:$B$5001,Q$245,BD!$A$3:$A$5001,"&gt;="&amp;$C$7,BD!$A$3:$A$5001,"&lt;="&amp;$B268,BD!$X$3:$X$5001,"&lt;&gt;"))))</f>
        <v/>
      </c>
      <c r="R268" s="54" t="str">
        <f>IF(OR($B268="",$A268&gt;$B$9,R$245=""),"",IF(COUNTIFS(BD!$B$3:$B$5001,R$245,BD!$A$3:$A$5001,"&gt;="&amp;$C$7,BD!$A$3:$A$5001,"&lt;="&amp;$B268,BD!$X$3:$X$5001,"&lt;&gt;")=0,"",SUMIFS(BD!$X$3:$X$5001,BD!$B$3:$B$5001,R$245,BD!$A$3:$A$5001,_xlfn.MAXIFS(BD!$A$3:$A$5001,BD!$B$3:$B$5001,R$245,BD!$A$3:$A$5001,"&gt;="&amp;$C$7,BD!$A$3:$A$5001,"&lt;="&amp;$B268,BD!$X$3:$X$5001,"&lt;&gt;"))))</f>
        <v/>
      </c>
      <c r="S268" s="54" t="str">
        <f>IF(OR($B268="",$A268&gt;$B$9,S$245=""),"",IF(COUNTIFS(BD!$B$3:$B$5001,S$245,BD!$A$3:$A$5001,"&gt;="&amp;$C$7,BD!$A$3:$A$5001,"&lt;="&amp;$B268,BD!$X$3:$X$5001,"&lt;&gt;")=0,"",SUMIFS(BD!$X$3:$X$5001,BD!$B$3:$B$5001,S$245,BD!$A$3:$A$5001,_xlfn.MAXIFS(BD!$A$3:$A$5001,BD!$B$3:$B$5001,S$245,BD!$A$3:$A$5001,"&gt;="&amp;$C$7,BD!$A$3:$A$5001,"&lt;="&amp;$B268,BD!$X$3:$X$5001,"&lt;&gt;"))))</f>
        <v/>
      </c>
      <c r="T268" s="54" t="str">
        <f>IF(OR($B268="",$A268&gt;$B$9,T$245=""),"",IF(COUNTIFS(BD!$B$3:$B$5001,T$245,BD!$A$3:$A$5001,"&gt;="&amp;$C$7,BD!$A$3:$A$5001,"&lt;="&amp;$B268,BD!$X$3:$X$5001,"&lt;&gt;")=0,"",SUMIFS(BD!$X$3:$X$5001,BD!$B$3:$B$5001,T$245,BD!$A$3:$A$5001,_xlfn.MAXIFS(BD!$A$3:$A$5001,BD!$B$3:$B$5001,T$245,BD!$A$3:$A$5001,"&gt;="&amp;$C$7,BD!$A$3:$A$5001,"&lt;="&amp;$B268,BD!$X$3:$X$5001,"&lt;&gt;"))))</f>
        <v/>
      </c>
      <c r="U268" s="54" t="str">
        <f>IF(OR($B268="",$A268&gt;$B$9,U$245=""),"",IF(COUNTIFS(BD!$B$3:$B$5001,U$245,BD!$A$3:$A$5001,"&gt;="&amp;$C$7,BD!$A$3:$A$5001,"&lt;="&amp;$B268,BD!$X$3:$X$5001,"&lt;&gt;")=0,"",SUMIFS(BD!$X$3:$X$5001,BD!$B$3:$B$5001,U$245,BD!$A$3:$A$5001,_xlfn.MAXIFS(BD!$A$3:$A$5001,BD!$B$3:$B$5001,U$245,BD!$A$3:$A$5001,"&gt;="&amp;$C$7,BD!$A$3:$A$5001,"&lt;="&amp;$B268,BD!$X$3:$X$5001,"&lt;&gt;"))))</f>
        <v/>
      </c>
      <c r="V268" s="54" t="str">
        <f>IF(OR($B268="",$A268&gt;$B$9,V$245=""),"",IF(COUNTIFS(BD!$B$3:$B$5001,V$245,BD!$A$3:$A$5001,"&gt;="&amp;$C$7,BD!$A$3:$A$5001,"&lt;="&amp;$B268,BD!$X$3:$X$5001,"&lt;&gt;")=0,"",SUMIFS(BD!$X$3:$X$5001,BD!$B$3:$B$5001,V$245,BD!$A$3:$A$5001,_xlfn.MAXIFS(BD!$A$3:$A$5001,BD!$B$3:$B$5001,V$245,BD!$A$3:$A$5001,"&gt;="&amp;$C$7,BD!$A$3:$A$5001,"&lt;="&amp;$B268,BD!$X$3:$X$5001,"&lt;&gt;"))))</f>
        <v/>
      </c>
    </row>
    <row r="269">
      <c r="A269" s="48">
        <v>24</v>
      </c>
      <c r="B269" s="53">
        <f>$B$35</f>
        <v>46319</v>
      </c>
      <c r="C269" s="54" t="str">
        <f>IF(OR($B269="",$A269&gt;$B$9,C$245=""),"",IF(COUNTIFS(BD!$B$3:$B$5001,C$245,BD!$A$3:$A$5001,"&gt;="&amp;$C$7,BD!$A$3:$A$5001,"&lt;="&amp;$B269,BD!$X$3:$X$5001,"&lt;&gt;")=0,"",SUMIFS(BD!$X$3:$X$5001,BD!$B$3:$B$5001,C$245,BD!$A$3:$A$5001,_xlfn.MAXIFS(BD!$A$3:$A$5001,BD!$B$3:$B$5001,C$245,BD!$A$3:$A$5001,"&gt;="&amp;$C$7,BD!$A$3:$A$5001,"&lt;="&amp;$B269,BD!$X$3:$X$5001,"&lt;&gt;"))))</f>
        <v/>
      </c>
      <c r="D269" s="54" t="str">
        <f>IF(OR($B269="",$A269&gt;$B$9,D$245=""),"",IF(COUNTIFS(BD!$B$3:$B$5001,D$245,BD!$A$3:$A$5001,"&gt;="&amp;$C$7,BD!$A$3:$A$5001,"&lt;="&amp;$B269,BD!$X$3:$X$5001,"&lt;&gt;")=0,"",SUMIFS(BD!$X$3:$X$5001,BD!$B$3:$B$5001,D$245,BD!$A$3:$A$5001,_xlfn.MAXIFS(BD!$A$3:$A$5001,BD!$B$3:$B$5001,D$245,BD!$A$3:$A$5001,"&gt;="&amp;$C$7,BD!$A$3:$A$5001,"&lt;="&amp;$B269,BD!$X$3:$X$5001,"&lt;&gt;"))))</f>
        <v/>
      </c>
      <c r="E269" s="54" t="str">
        <f>IF(OR($B269="",$A269&gt;$B$9,E$245=""),"",IF(COUNTIFS(BD!$B$3:$B$5001,E$245,BD!$A$3:$A$5001,"&gt;="&amp;$C$7,BD!$A$3:$A$5001,"&lt;="&amp;$B269,BD!$X$3:$X$5001,"&lt;&gt;")=0,"",SUMIFS(BD!$X$3:$X$5001,BD!$B$3:$B$5001,E$245,BD!$A$3:$A$5001,_xlfn.MAXIFS(BD!$A$3:$A$5001,BD!$B$3:$B$5001,E$245,BD!$A$3:$A$5001,"&gt;="&amp;$C$7,BD!$A$3:$A$5001,"&lt;="&amp;$B269,BD!$X$3:$X$5001,"&lt;&gt;"))))</f>
        <v/>
      </c>
      <c r="F269" s="54" t="str">
        <f>IF(OR($B269="",$A269&gt;$B$9,F$245=""),"",IF(COUNTIFS(BD!$B$3:$B$5001,F$245,BD!$A$3:$A$5001,"&gt;="&amp;$C$7,BD!$A$3:$A$5001,"&lt;="&amp;$B269,BD!$X$3:$X$5001,"&lt;&gt;")=0,"",SUMIFS(BD!$X$3:$X$5001,BD!$B$3:$B$5001,F$245,BD!$A$3:$A$5001,_xlfn.MAXIFS(BD!$A$3:$A$5001,BD!$B$3:$B$5001,F$245,BD!$A$3:$A$5001,"&gt;="&amp;$C$7,BD!$A$3:$A$5001,"&lt;="&amp;$B269,BD!$X$3:$X$5001,"&lt;&gt;"))))</f>
        <v/>
      </c>
      <c r="G269" s="54" t="str">
        <f>IF(OR($B269="",$A269&gt;$B$9,G$245=""),"",IF(COUNTIFS(BD!$B$3:$B$5001,G$245,BD!$A$3:$A$5001,"&gt;="&amp;$C$7,BD!$A$3:$A$5001,"&lt;="&amp;$B269,BD!$X$3:$X$5001,"&lt;&gt;")=0,"",SUMIFS(BD!$X$3:$X$5001,BD!$B$3:$B$5001,G$245,BD!$A$3:$A$5001,_xlfn.MAXIFS(BD!$A$3:$A$5001,BD!$B$3:$B$5001,G$245,BD!$A$3:$A$5001,"&gt;="&amp;$C$7,BD!$A$3:$A$5001,"&lt;="&amp;$B269,BD!$X$3:$X$5001,"&lt;&gt;"))))</f>
        <v/>
      </c>
      <c r="H269" s="54" t="str">
        <f>IF(OR($B269="",$A269&gt;$B$9,H$245=""),"",IF(COUNTIFS(BD!$B$3:$B$5001,H$245,BD!$A$3:$A$5001,"&gt;="&amp;$C$7,BD!$A$3:$A$5001,"&lt;="&amp;$B269,BD!$X$3:$X$5001,"&lt;&gt;")=0,"",SUMIFS(BD!$X$3:$X$5001,BD!$B$3:$B$5001,H$245,BD!$A$3:$A$5001,_xlfn.MAXIFS(BD!$A$3:$A$5001,BD!$B$3:$B$5001,H$245,BD!$A$3:$A$5001,"&gt;="&amp;$C$7,BD!$A$3:$A$5001,"&lt;="&amp;$B269,BD!$X$3:$X$5001,"&lt;&gt;"))))</f>
        <v/>
      </c>
      <c r="I269" s="54" t="str">
        <f>IF(OR($B269="",$A269&gt;$B$9,I$245=""),"",IF(COUNTIFS(BD!$B$3:$B$5001,I$245,BD!$A$3:$A$5001,"&gt;="&amp;$C$7,BD!$A$3:$A$5001,"&lt;="&amp;$B269,BD!$X$3:$X$5001,"&lt;&gt;")=0,"",SUMIFS(BD!$X$3:$X$5001,BD!$B$3:$B$5001,I$245,BD!$A$3:$A$5001,_xlfn.MAXIFS(BD!$A$3:$A$5001,BD!$B$3:$B$5001,I$245,BD!$A$3:$A$5001,"&gt;="&amp;$C$7,BD!$A$3:$A$5001,"&lt;="&amp;$B269,BD!$X$3:$X$5001,"&lt;&gt;"))))</f>
        <v/>
      </c>
      <c r="J269" s="54" t="str">
        <f>IF(OR($B269="",$A269&gt;$B$9,J$245=""),"",IF(COUNTIFS(BD!$B$3:$B$5001,J$245,BD!$A$3:$A$5001,"&gt;="&amp;$C$7,BD!$A$3:$A$5001,"&lt;="&amp;$B269,BD!$X$3:$X$5001,"&lt;&gt;")=0,"",SUMIFS(BD!$X$3:$X$5001,BD!$B$3:$B$5001,J$245,BD!$A$3:$A$5001,_xlfn.MAXIFS(BD!$A$3:$A$5001,BD!$B$3:$B$5001,J$245,BD!$A$3:$A$5001,"&gt;="&amp;$C$7,BD!$A$3:$A$5001,"&lt;="&amp;$B269,BD!$X$3:$X$5001,"&lt;&gt;"))))</f>
        <v/>
      </c>
      <c r="K269" s="54" t="str">
        <f>IF(OR($B269="",$A269&gt;$B$9,K$245=""),"",IF(COUNTIFS(BD!$B$3:$B$5001,K$245,BD!$A$3:$A$5001,"&gt;="&amp;$C$7,BD!$A$3:$A$5001,"&lt;="&amp;$B269,BD!$X$3:$X$5001,"&lt;&gt;")=0,"",SUMIFS(BD!$X$3:$X$5001,BD!$B$3:$B$5001,K$245,BD!$A$3:$A$5001,_xlfn.MAXIFS(BD!$A$3:$A$5001,BD!$B$3:$B$5001,K$245,BD!$A$3:$A$5001,"&gt;="&amp;$C$7,BD!$A$3:$A$5001,"&lt;="&amp;$B269,BD!$X$3:$X$5001,"&lt;&gt;"))))</f>
        <v/>
      </c>
      <c r="L269" s="54" t="str">
        <f>IF(OR($B269="",$A269&gt;$B$9,L$245=""),"",IF(COUNTIFS(BD!$B$3:$B$5001,L$245,BD!$A$3:$A$5001,"&gt;="&amp;$C$7,BD!$A$3:$A$5001,"&lt;="&amp;$B269,BD!$X$3:$X$5001,"&lt;&gt;")=0,"",SUMIFS(BD!$X$3:$X$5001,BD!$B$3:$B$5001,L$245,BD!$A$3:$A$5001,_xlfn.MAXIFS(BD!$A$3:$A$5001,BD!$B$3:$B$5001,L$245,BD!$A$3:$A$5001,"&gt;="&amp;$C$7,BD!$A$3:$A$5001,"&lt;="&amp;$B269,BD!$X$3:$X$5001,"&lt;&gt;"))))</f>
        <v/>
      </c>
      <c r="M269" s="54" t="str">
        <f>IF(OR($B269="",$A269&gt;$B$9,M$245=""),"",IF(COUNTIFS(BD!$B$3:$B$5001,M$245,BD!$A$3:$A$5001,"&gt;="&amp;$C$7,BD!$A$3:$A$5001,"&lt;="&amp;$B269,BD!$X$3:$X$5001,"&lt;&gt;")=0,"",SUMIFS(BD!$X$3:$X$5001,BD!$B$3:$B$5001,M$245,BD!$A$3:$A$5001,_xlfn.MAXIFS(BD!$A$3:$A$5001,BD!$B$3:$B$5001,M$245,BD!$A$3:$A$5001,"&gt;="&amp;$C$7,BD!$A$3:$A$5001,"&lt;="&amp;$B269,BD!$X$3:$X$5001,"&lt;&gt;"))))</f>
        <v/>
      </c>
      <c r="N269" s="54" t="str">
        <f>IF(OR($B269="",$A269&gt;$B$9,N$245=""),"",IF(COUNTIFS(BD!$B$3:$B$5001,N$245,BD!$A$3:$A$5001,"&gt;="&amp;$C$7,BD!$A$3:$A$5001,"&lt;="&amp;$B269,BD!$X$3:$X$5001,"&lt;&gt;")=0,"",SUMIFS(BD!$X$3:$X$5001,BD!$B$3:$B$5001,N$245,BD!$A$3:$A$5001,_xlfn.MAXIFS(BD!$A$3:$A$5001,BD!$B$3:$B$5001,N$245,BD!$A$3:$A$5001,"&gt;="&amp;$C$7,BD!$A$3:$A$5001,"&lt;="&amp;$B269,BD!$X$3:$X$5001,"&lt;&gt;"))))</f>
        <v/>
      </c>
      <c r="O269" s="54" t="str">
        <f>IF(OR($B269="",$A269&gt;$B$9,O$245=""),"",IF(COUNTIFS(BD!$B$3:$B$5001,O$245,BD!$A$3:$A$5001,"&gt;="&amp;$C$7,BD!$A$3:$A$5001,"&lt;="&amp;$B269,BD!$X$3:$X$5001,"&lt;&gt;")=0,"",SUMIFS(BD!$X$3:$X$5001,BD!$B$3:$B$5001,O$245,BD!$A$3:$A$5001,_xlfn.MAXIFS(BD!$A$3:$A$5001,BD!$B$3:$B$5001,O$245,BD!$A$3:$A$5001,"&gt;="&amp;$C$7,BD!$A$3:$A$5001,"&lt;="&amp;$B269,BD!$X$3:$X$5001,"&lt;&gt;"))))</f>
        <v/>
      </c>
      <c r="P269" s="54" t="str">
        <f>IF(OR($B269="",$A269&gt;$B$9,P$245=""),"",IF(COUNTIFS(BD!$B$3:$B$5001,P$245,BD!$A$3:$A$5001,"&gt;="&amp;$C$7,BD!$A$3:$A$5001,"&lt;="&amp;$B269,BD!$X$3:$X$5001,"&lt;&gt;")=0,"",SUMIFS(BD!$X$3:$X$5001,BD!$B$3:$B$5001,P$245,BD!$A$3:$A$5001,_xlfn.MAXIFS(BD!$A$3:$A$5001,BD!$B$3:$B$5001,P$245,BD!$A$3:$A$5001,"&gt;="&amp;$C$7,BD!$A$3:$A$5001,"&lt;="&amp;$B269,BD!$X$3:$X$5001,"&lt;&gt;"))))</f>
        <v/>
      </c>
      <c r="Q269" s="54" t="str">
        <f>IF(OR($B269="",$A269&gt;$B$9,Q$245=""),"",IF(COUNTIFS(BD!$B$3:$B$5001,Q$245,BD!$A$3:$A$5001,"&gt;="&amp;$C$7,BD!$A$3:$A$5001,"&lt;="&amp;$B269,BD!$X$3:$X$5001,"&lt;&gt;")=0,"",SUMIFS(BD!$X$3:$X$5001,BD!$B$3:$B$5001,Q$245,BD!$A$3:$A$5001,_xlfn.MAXIFS(BD!$A$3:$A$5001,BD!$B$3:$B$5001,Q$245,BD!$A$3:$A$5001,"&gt;="&amp;$C$7,BD!$A$3:$A$5001,"&lt;="&amp;$B269,BD!$X$3:$X$5001,"&lt;&gt;"))))</f>
        <v/>
      </c>
      <c r="R269" s="54" t="str">
        <f>IF(OR($B269="",$A269&gt;$B$9,R$245=""),"",IF(COUNTIFS(BD!$B$3:$B$5001,R$245,BD!$A$3:$A$5001,"&gt;="&amp;$C$7,BD!$A$3:$A$5001,"&lt;="&amp;$B269,BD!$X$3:$X$5001,"&lt;&gt;")=0,"",SUMIFS(BD!$X$3:$X$5001,BD!$B$3:$B$5001,R$245,BD!$A$3:$A$5001,_xlfn.MAXIFS(BD!$A$3:$A$5001,BD!$B$3:$B$5001,R$245,BD!$A$3:$A$5001,"&gt;="&amp;$C$7,BD!$A$3:$A$5001,"&lt;="&amp;$B269,BD!$X$3:$X$5001,"&lt;&gt;"))))</f>
        <v/>
      </c>
      <c r="S269" s="54" t="str">
        <f>IF(OR($B269="",$A269&gt;$B$9,S$245=""),"",IF(COUNTIFS(BD!$B$3:$B$5001,S$245,BD!$A$3:$A$5001,"&gt;="&amp;$C$7,BD!$A$3:$A$5001,"&lt;="&amp;$B269,BD!$X$3:$X$5001,"&lt;&gt;")=0,"",SUMIFS(BD!$X$3:$X$5001,BD!$B$3:$B$5001,S$245,BD!$A$3:$A$5001,_xlfn.MAXIFS(BD!$A$3:$A$5001,BD!$B$3:$B$5001,S$245,BD!$A$3:$A$5001,"&gt;="&amp;$C$7,BD!$A$3:$A$5001,"&lt;="&amp;$B269,BD!$X$3:$X$5001,"&lt;&gt;"))))</f>
        <v/>
      </c>
      <c r="T269" s="54" t="str">
        <f>IF(OR($B269="",$A269&gt;$B$9,T$245=""),"",IF(COUNTIFS(BD!$B$3:$B$5001,T$245,BD!$A$3:$A$5001,"&gt;="&amp;$C$7,BD!$A$3:$A$5001,"&lt;="&amp;$B269,BD!$X$3:$X$5001,"&lt;&gt;")=0,"",SUMIFS(BD!$X$3:$X$5001,BD!$B$3:$B$5001,T$245,BD!$A$3:$A$5001,_xlfn.MAXIFS(BD!$A$3:$A$5001,BD!$B$3:$B$5001,T$245,BD!$A$3:$A$5001,"&gt;="&amp;$C$7,BD!$A$3:$A$5001,"&lt;="&amp;$B269,BD!$X$3:$X$5001,"&lt;&gt;"))))</f>
        <v/>
      </c>
      <c r="U269" s="54" t="str">
        <f>IF(OR($B269="",$A269&gt;$B$9,U$245=""),"",IF(COUNTIFS(BD!$B$3:$B$5001,U$245,BD!$A$3:$A$5001,"&gt;="&amp;$C$7,BD!$A$3:$A$5001,"&lt;="&amp;$B269,BD!$X$3:$X$5001,"&lt;&gt;")=0,"",SUMIFS(BD!$X$3:$X$5001,BD!$B$3:$B$5001,U$245,BD!$A$3:$A$5001,_xlfn.MAXIFS(BD!$A$3:$A$5001,BD!$B$3:$B$5001,U$245,BD!$A$3:$A$5001,"&gt;="&amp;$C$7,BD!$A$3:$A$5001,"&lt;="&amp;$B269,BD!$X$3:$X$5001,"&lt;&gt;"))))</f>
        <v/>
      </c>
      <c r="V269" s="54" t="str">
        <f>IF(OR($B269="",$A269&gt;$B$9,V$245=""),"",IF(COUNTIFS(BD!$B$3:$B$5001,V$245,BD!$A$3:$A$5001,"&gt;="&amp;$C$7,BD!$A$3:$A$5001,"&lt;="&amp;$B269,BD!$X$3:$X$5001,"&lt;&gt;")=0,"",SUMIFS(BD!$X$3:$X$5001,BD!$B$3:$B$5001,V$245,BD!$A$3:$A$5001,_xlfn.MAXIFS(BD!$A$3:$A$5001,BD!$B$3:$B$5001,V$245,BD!$A$3:$A$5001,"&gt;="&amp;$C$7,BD!$A$3:$A$5001,"&lt;="&amp;$B269,BD!$X$3:$X$5001,"&lt;&gt;"))))</f>
        <v/>
      </c>
    </row>
    <row r="270">
      <c r="A270" s="48">
        <v>25</v>
      </c>
      <c r="B270" s="53">
        <f>$B$36</f>
        <v>46320</v>
      </c>
      <c r="C270" s="54" t="str">
        <f>IF(OR($B270="",$A270&gt;$B$9,C$245=""),"",IF(COUNTIFS(BD!$B$3:$B$5001,C$245,BD!$A$3:$A$5001,"&gt;="&amp;$C$7,BD!$A$3:$A$5001,"&lt;="&amp;$B270,BD!$X$3:$X$5001,"&lt;&gt;")=0,"",SUMIFS(BD!$X$3:$X$5001,BD!$B$3:$B$5001,C$245,BD!$A$3:$A$5001,_xlfn.MAXIFS(BD!$A$3:$A$5001,BD!$B$3:$B$5001,C$245,BD!$A$3:$A$5001,"&gt;="&amp;$C$7,BD!$A$3:$A$5001,"&lt;="&amp;$B270,BD!$X$3:$X$5001,"&lt;&gt;"))))</f>
        <v/>
      </c>
      <c r="D270" s="54" t="str">
        <f>IF(OR($B270="",$A270&gt;$B$9,D$245=""),"",IF(COUNTIFS(BD!$B$3:$B$5001,D$245,BD!$A$3:$A$5001,"&gt;="&amp;$C$7,BD!$A$3:$A$5001,"&lt;="&amp;$B270,BD!$X$3:$X$5001,"&lt;&gt;")=0,"",SUMIFS(BD!$X$3:$X$5001,BD!$B$3:$B$5001,D$245,BD!$A$3:$A$5001,_xlfn.MAXIFS(BD!$A$3:$A$5001,BD!$B$3:$B$5001,D$245,BD!$A$3:$A$5001,"&gt;="&amp;$C$7,BD!$A$3:$A$5001,"&lt;="&amp;$B270,BD!$X$3:$X$5001,"&lt;&gt;"))))</f>
        <v/>
      </c>
      <c r="E270" s="54" t="str">
        <f>IF(OR($B270="",$A270&gt;$B$9,E$245=""),"",IF(COUNTIFS(BD!$B$3:$B$5001,E$245,BD!$A$3:$A$5001,"&gt;="&amp;$C$7,BD!$A$3:$A$5001,"&lt;="&amp;$B270,BD!$X$3:$X$5001,"&lt;&gt;")=0,"",SUMIFS(BD!$X$3:$X$5001,BD!$B$3:$B$5001,E$245,BD!$A$3:$A$5001,_xlfn.MAXIFS(BD!$A$3:$A$5001,BD!$B$3:$B$5001,E$245,BD!$A$3:$A$5001,"&gt;="&amp;$C$7,BD!$A$3:$A$5001,"&lt;="&amp;$B270,BD!$X$3:$X$5001,"&lt;&gt;"))))</f>
        <v/>
      </c>
      <c r="F270" s="54" t="str">
        <f>IF(OR($B270="",$A270&gt;$B$9,F$245=""),"",IF(COUNTIFS(BD!$B$3:$B$5001,F$245,BD!$A$3:$A$5001,"&gt;="&amp;$C$7,BD!$A$3:$A$5001,"&lt;="&amp;$B270,BD!$X$3:$X$5001,"&lt;&gt;")=0,"",SUMIFS(BD!$X$3:$X$5001,BD!$B$3:$B$5001,F$245,BD!$A$3:$A$5001,_xlfn.MAXIFS(BD!$A$3:$A$5001,BD!$B$3:$B$5001,F$245,BD!$A$3:$A$5001,"&gt;="&amp;$C$7,BD!$A$3:$A$5001,"&lt;="&amp;$B270,BD!$X$3:$X$5001,"&lt;&gt;"))))</f>
        <v/>
      </c>
      <c r="G270" s="54" t="str">
        <f>IF(OR($B270="",$A270&gt;$B$9,G$245=""),"",IF(COUNTIFS(BD!$B$3:$B$5001,G$245,BD!$A$3:$A$5001,"&gt;="&amp;$C$7,BD!$A$3:$A$5001,"&lt;="&amp;$B270,BD!$X$3:$X$5001,"&lt;&gt;")=0,"",SUMIFS(BD!$X$3:$X$5001,BD!$B$3:$B$5001,G$245,BD!$A$3:$A$5001,_xlfn.MAXIFS(BD!$A$3:$A$5001,BD!$B$3:$B$5001,G$245,BD!$A$3:$A$5001,"&gt;="&amp;$C$7,BD!$A$3:$A$5001,"&lt;="&amp;$B270,BD!$X$3:$X$5001,"&lt;&gt;"))))</f>
        <v/>
      </c>
      <c r="H270" s="54" t="str">
        <f>IF(OR($B270="",$A270&gt;$B$9,H$245=""),"",IF(COUNTIFS(BD!$B$3:$B$5001,H$245,BD!$A$3:$A$5001,"&gt;="&amp;$C$7,BD!$A$3:$A$5001,"&lt;="&amp;$B270,BD!$X$3:$X$5001,"&lt;&gt;")=0,"",SUMIFS(BD!$X$3:$X$5001,BD!$B$3:$B$5001,H$245,BD!$A$3:$A$5001,_xlfn.MAXIFS(BD!$A$3:$A$5001,BD!$B$3:$B$5001,H$245,BD!$A$3:$A$5001,"&gt;="&amp;$C$7,BD!$A$3:$A$5001,"&lt;="&amp;$B270,BD!$X$3:$X$5001,"&lt;&gt;"))))</f>
        <v/>
      </c>
      <c r="I270" s="54" t="str">
        <f>IF(OR($B270="",$A270&gt;$B$9,I$245=""),"",IF(COUNTIFS(BD!$B$3:$B$5001,I$245,BD!$A$3:$A$5001,"&gt;="&amp;$C$7,BD!$A$3:$A$5001,"&lt;="&amp;$B270,BD!$X$3:$X$5001,"&lt;&gt;")=0,"",SUMIFS(BD!$X$3:$X$5001,BD!$B$3:$B$5001,I$245,BD!$A$3:$A$5001,_xlfn.MAXIFS(BD!$A$3:$A$5001,BD!$B$3:$B$5001,I$245,BD!$A$3:$A$5001,"&gt;="&amp;$C$7,BD!$A$3:$A$5001,"&lt;="&amp;$B270,BD!$X$3:$X$5001,"&lt;&gt;"))))</f>
        <v/>
      </c>
      <c r="J270" s="54" t="str">
        <f>IF(OR($B270="",$A270&gt;$B$9,J$245=""),"",IF(COUNTIFS(BD!$B$3:$B$5001,J$245,BD!$A$3:$A$5001,"&gt;="&amp;$C$7,BD!$A$3:$A$5001,"&lt;="&amp;$B270,BD!$X$3:$X$5001,"&lt;&gt;")=0,"",SUMIFS(BD!$X$3:$X$5001,BD!$B$3:$B$5001,J$245,BD!$A$3:$A$5001,_xlfn.MAXIFS(BD!$A$3:$A$5001,BD!$B$3:$B$5001,J$245,BD!$A$3:$A$5001,"&gt;="&amp;$C$7,BD!$A$3:$A$5001,"&lt;="&amp;$B270,BD!$X$3:$X$5001,"&lt;&gt;"))))</f>
        <v/>
      </c>
      <c r="K270" s="54" t="str">
        <f>IF(OR($B270="",$A270&gt;$B$9,K$245=""),"",IF(COUNTIFS(BD!$B$3:$B$5001,K$245,BD!$A$3:$A$5001,"&gt;="&amp;$C$7,BD!$A$3:$A$5001,"&lt;="&amp;$B270,BD!$X$3:$X$5001,"&lt;&gt;")=0,"",SUMIFS(BD!$X$3:$X$5001,BD!$B$3:$B$5001,K$245,BD!$A$3:$A$5001,_xlfn.MAXIFS(BD!$A$3:$A$5001,BD!$B$3:$B$5001,K$245,BD!$A$3:$A$5001,"&gt;="&amp;$C$7,BD!$A$3:$A$5001,"&lt;="&amp;$B270,BD!$X$3:$X$5001,"&lt;&gt;"))))</f>
        <v/>
      </c>
      <c r="L270" s="54" t="str">
        <f>IF(OR($B270="",$A270&gt;$B$9,L$245=""),"",IF(COUNTIFS(BD!$B$3:$B$5001,L$245,BD!$A$3:$A$5001,"&gt;="&amp;$C$7,BD!$A$3:$A$5001,"&lt;="&amp;$B270,BD!$X$3:$X$5001,"&lt;&gt;")=0,"",SUMIFS(BD!$X$3:$X$5001,BD!$B$3:$B$5001,L$245,BD!$A$3:$A$5001,_xlfn.MAXIFS(BD!$A$3:$A$5001,BD!$B$3:$B$5001,L$245,BD!$A$3:$A$5001,"&gt;="&amp;$C$7,BD!$A$3:$A$5001,"&lt;="&amp;$B270,BD!$X$3:$X$5001,"&lt;&gt;"))))</f>
        <v/>
      </c>
      <c r="M270" s="54" t="str">
        <f>IF(OR($B270="",$A270&gt;$B$9,M$245=""),"",IF(COUNTIFS(BD!$B$3:$B$5001,M$245,BD!$A$3:$A$5001,"&gt;="&amp;$C$7,BD!$A$3:$A$5001,"&lt;="&amp;$B270,BD!$X$3:$X$5001,"&lt;&gt;")=0,"",SUMIFS(BD!$X$3:$X$5001,BD!$B$3:$B$5001,M$245,BD!$A$3:$A$5001,_xlfn.MAXIFS(BD!$A$3:$A$5001,BD!$B$3:$B$5001,M$245,BD!$A$3:$A$5001,"&gt;="&amp;$C$7,BD!$A$3:$A$5001,"&lt;="&amp;$B270,BD!$X$3:$X$5001,"&lt;&gt;"))))</f>
        <v/>
      </c>
      <c r="N270" s="54" t="str">
        <f>IF(OR($B270="",$A270&gt;$B$9,N$245=""),"",IF(COUNTIFS(BD!$B$3:$B$5001,N$245,BD!$A$3:$A$5001,"&gt;="&amp;$C$7,BD!$A$3:$A$5001,"&lt;="&amp;$B270,BD!$X$3:$X$5001,"&lt;&gt;")=0,"",SUMIFS(BD!$X$3:$X$5001,BD!$B$3:$B$5001,N$245,BD!$A$3:$A$5001,_xlfn.MAXIFS(BD!$A$3:$A$5001,BD!$B$3:$B$5001,N$245,BD!$A$3:$A$5001,"&gt;="&amp;$C$7,BD!$A$3:$A$5001,"&lt;="&amp;$B270,BD!$X$3:$X$5001,"&lt;&gt;"))))</f>
        <v/>
      </c>
      <c r="O270" s="54" t="str">
        <f>IF(OR($B270="",$A270&gt;$B$9,O$245=""),"",IF(COUNTIFS(BD!$B$3:$B$5001,O$245,BD!$A$3:$A$5001,"&gt;="&amp;$C$7,BD!$A$3:$A$5001,"&lt;="&amp;$B270,BD!$X$3:$X$5001,"&lt;&gt;")=0,"",SUMIFS(BD!$X$3:$X$5001,BD!$B$3:$B$5001,O$245,BD!$A$3:$A$5001,_xlfn.MAXIFS(BD!$A$3:$A$5001,BD!$B$3:$B$5001,O$245,BD!$A$3:$A$5001,"&gt;="&amp;$C$7,BD!$A$3:$A$5001,"&lt;="&amp;$B270,BD!$X$3:$X$5001,"&lt;&gt;"))))</f>
        <v/>
      </c>
      <c r="P270" s="54" t="str">
        <f>IF(OR($B270="",$A270&gt;$B$9,P$245=""),"",IF(COUNTIFS(BD!$B$3:$B$5001,P$245,BD!$A$3:$A$5001,"&gt;="&amp;$C$7,BD!$A$3:$A$5001,"&lt;="&amp;$B270,BD!$X$3:$X$5001,"&lt;&gt;")=0,"",SUMIFS(BD!$X$3:$X$5001,BD!$B$3:$B$5001,P$245,BD!$A$3:$A$5001,_xlfn.MAXIFS(BD!$A$3:$A$5001,BD!$B$3:$B$5001,P$245,BD!$A$3:$A$5001,"&gt;="&amp;$C$7,BD!$A$3:$A$5001,"&lt;="&amp;$B270,BD!$X$3:$X$5001,"&lt;&gt;"))))</f>
        <v/>
      </c>
      <c r="Q270" s="54" t="str">
        <f>IF(OR($B270="",$A270&gt;$B$9,Q$245=""),"",IF(COUNTIFS(BD!$B$3:$B$5001,Q$245,BD!$A$3:$A$5001,"&gt;="&amp;$C$7,BD!$A$3:$A$5001,"&lt;="&amp;$B270,BD!$X$3:$X$5001,"&lt;&gt;")=0,"",SUMIFS(BD!$X$3:$X$5001,BD!$B$3:$B$5001,Q$245,BD!$A$3:$A$5001,_xlfn.MAXIFS(BD!$A$3:$A$5001,BD!$B$3:$B$5001,Q$245,BD!$A$3:$A$5001,"&gt;="&amp;$C$7,BD!$A$3:$A$5001,"&lt;="&amp;$B270,BD!$X$3:$X$5001,"&lt;&gt;"))))</f>
        <v/>
      </c>
      <c r="R270" s="54" t="str">
        <f>IF(OR($B270="",$A270&gt;$B$9,R$245=""),"",IF(COUNTIFS(BD!$B$3:$B$5001,R$245,BD!$A$3:$A$5001,"&gt;="&amp;$C$7,BD!$A$3:$A$5001,"&lt;="&amp;$B270,BD!$X$3:$X$5001,"&lt;&gt;")=0,"",SUMIFS(BD!$X$3:$X$5001,BD!$B$3:$B$5001,R$245,BD!$A$3:$A$5001,_xlfn.MAXIFS(BD!$A$3:$A$5001,BD!$B$3:$B$5001,R$245,BD!$A$3:$A$5001,"&gt;="&amp;$C$7,BD!$A$3:$A$5001,"&lt;="&amp;$B270,BD!$X$3:$X$5001,"&lt;&gt;"))))</f>
        <v/>
      </c>
      <c r="S270" s="54" t="str">
        <f>IF(OR($B270="",$A270&gt;$B$9,S$245=""),"",IF(COUNTIFS(BD!$B$3:$B$5001,S$245,BD!$A$3:$A$5001,"&gt;="&amp;$C$7,BD!$A$3:$A$5001,"&lt;="&amp;$B270,BD!$X$3:$X$5001,"&lt;&gt;")=0,"",SUMIFS(BD!$X$3:$X$5001,BD!$B$3:$B$5001,S$245,BD!$A$3:$A$5001,_xlfn.MAXIFS(BD!$A$3:$A$5001,BD!$B$3:$B$5001,S$245,BD!$A$3:$A$5001,"&gt;="&amp;$C$7,BD!$A$3:$A$5001,"&lt;="&amp;$B270,BD!$X$3:$X$5001,"&lt;&gt;"))))</f>
        <v/>
      </c>
      <c r="T270" s="54" t="str">
        <f>IF(OR($B270="",$A270&gt;$B$9,T$245=""),"",IF(COUNTIFS(BD!$B$3:$B$5001,T$245,BD!$A$3:$A$5001,"&gt;="&amp;$C$7,BD!$A$3:$A$5001,"&lt;="&amp;$B270,BD!$X$3:$X$5001,"&lt;&gt;")=0,"",SUMIFS(BD!$X$3:$X$5001,BD!$B$3:$B$5001,T$245,BD!$A$3:$A$5001,_xlfn.MAXIFS(BD!$A$3:$A$5001,BD!$B$3:$B$5001,T$245,BD!$A$3:$A$5001,"&gt;="&amp;$C$7,BD!$A$3:$A$5001,"&lt;="&amp;$B270,BD!$X$3:$X$5001,"&lt;&gt;"))))</f>
        <v/>
      </c>
      <c r="U270" s="54" t="str">
        <f>IF(OR($B270="",$A270&gt;$B$9,U$245=""),"",IF(COUNTIFS(BD!$B$3:$B$5001,U$245,BD!$A$3:$A$5001,"&gt;="&amp;$C$7,BD!$A$3:$A$5001,"&lt;="&amp;$B270,BD!$X$3:$X$5001,"&lt;&gt;")=0,"",SUMIFS(BD!$X$3:$X$5001,BD!$B$3:$B$5001,U$245,BD!$A$3:$A$5001,_xlfn.MAXIFS(BD!$A$3:$A$5001,BD!$B$3:$B$5001,U$245,BD!$A$3:$A$5001,"&gt;="&amp;$C$7,BD!$A$3:$A$5001,"&lt;="&amp;$B270,BD!$X$3:$X$5001,"&lt;&gt;"))))</f>
        <v/>
      </c>
      <c r="V270" s="54" t="str">
        <f>IF(OR($B270="",$A270&gt;$B$9,V$245=""),"",IF(COUNTIFS(BD!$B$3:$B$5001,V$245,BD!$A$3:$A$5001,"&gt;="&amp;$C$7,BD!$A$3:$A$5001,"&lt;="&amp;$B270,BD!$X$3:$X$5001,"&lt;&gt;")=0,"",SUMIFS(BD!$X$3:$X$5001,BD!$B$3:$B$5001,V$245,BD!$A$3:$A$5001,_xlfn.MAXIFS(BD!$A$3:$A$5001,BD!$B$3:$B$5001,V$245,BD!$A$3:$A$5001,"&gt;="&amp;$C$7,BD!$A$3:$A$5001,"&lt;="&amp;$B270,BD!$X$3:$X$5001,"&lt;&gt;"))))</f>
        <v/>
      </c>
    </row>
    <row r="271">
      <c r="A271" s="48">
        <v>26</v>
      </c>
      <c r="B271" s="53">
        <f>$B$37</f>
        <v>46321</v>
      </c>
      <c r="C271" s="54" t="str">
        <f>IF(OR($B271="",$A271&gt;$B$9,C$245=""),"",IF(COUNTIFS(BD!$B$3:$B$5001,C$245,BD!$A$3:$A$5001,"&gt;="&amp;$C$7,BD!$A$3:$A$5001,"&lt;="&amp;$B271,BD!$X$3:$X$5001,"&lt;&gt;")=0,"",SUMIFS(BD!$X$3:$X$5001,BD!$B$3:$B$5001,C$245,BD!$A$3:$A$5001,_xlfn.MAXIFS(BD!$A$3:$A$5001,BD!$B$3:$B$5001,C$245,BD!$A$3:$A$5001,"&gt;="&amp;$C$7,BD!$A$3:$A$5001,"&lt;="&amp;$B271,BD!$X$3:$X$5001,"&lt;&gt;"))))</f>
        <v/>
      </c>
      <c r="D271" s="54" t="str">
        <f>IF(OR($B271="",$A271&gt;$B$9,D$245=""),"",IF(COUNTIFS(BD!$B$3:$B$5001,D$245,BD!$A$3:$A$5001,"&gt;="&amp;$C$7,BD!$A$3:$A$5001,"&lt;="&amp;$B271,BD!$X$3:$X$5001,"&lt;&gt;")=0,"",SUMIFS(BD!$X$3:$X$5001,BD!$B$3:$B$5001,D$245,BD!$A$3:$A$5001,_xlfn.MAXIFS(BD!$A$3:$A$5001,BD!$B$3:$B$5001,D$245,BD!$A$3:$A$5001,"&gt;="&amp;$C$7,BD!$A$3:$A$5001,"&lt;="&amp;$B271,BD!$X$3:$X$5001,"&lt;&gt;"))))</f>
        <v/>
      </c>
      <c r="E271" s="54" t="str">
        <f>IF(OR($B271="",$A271&gt;$B$9,E$245=""),"",IF(COUNTIFS(BD!$B$3:$B$5001,E$245,BD!$A$3:$A$5001,"&gt;="&amp;$C$7,BD!$A$3:$A$5001,"&lt;="&amp;$B271,BD!$X$3:$X$5001,"&lt;&gt;")=0,"",SUMIFS(BD!$X$3:$X$5001,BD!$B$3:$B$5001,E$245,BD!$A$3:$A$5001,_xlfn.MAXIFS(BD!$A$3:$A$5001,BD!$B$3:$B$5001,E$245,BD!$A$3:$A$5001,"&gt;="&amp;$C$7,BD!$A$3:$A$5001,"&lt;="&amp;$B271,BD!$X$3:$X$5001,"&lt;&gt;"))))</f>
        <v/>
      </c>
      <c r="F271" s="54" t="str">
        <f>IF(OR($B271="",$A271&gt;$B$9,F$245=""),"",IF(COUNTIFS(BD!$B$3:$B$5001,F$245,BD!$A$3:$A$5001,"&gt;="&amp;$C$7,BD!$A$3:$A$5001,"&lt;="&amp;$B271,BD!$X$3:$X$5001,"&lt;&gt;")=0,"",SUMIFS(BD!$X$3:$X$5001,BD!$B$3:$B$5001,F$245,BD!$A$3:$A$5001,_xlfn.MAXIFS(BD!$A$3:$A$5001,BD!$B$3:$B$5001,F$245,BD!$A$3:$A$5001,"&gt;="&amp;$C$7,BD!$A$3:$A$5001,"&lt;="&amp;$B271,BD!$X$3:$X$5001,"&lt;&gt;"))))</f>
        <v/>
      </c>
      <c r="G271" s="54" t="str">
        <f>IF(OR($B271="",$A271&gt;$B$9,G$245=""),"",IF(COUNTIFS(BD!$B$3:$B$5001,G$245,BD!$A$3:$A$5001,"&gt;="&amp;$C$7,BD!$A$3:$A$5001,"&lt;="&amp;$B271,BD!$X$3:$X$5001,"&lt;&gt;")=0,"",SUMIFS(BD!$X$3:$X$5001,BD!$B$3:$B$5001,G$245,BD!$A$3:$A$5001,_xlfn.MAXIFS(BD!$A$3:$A$5001,BD!$B$3:$B$5001,G$245,BD!$A$3:$A$5001,"&gt;="&amp;$C$7,BD!$A$3:$A$5001,"&lt;="&amp;$B271,BD!$X$3:$X$5001,"&lt;&gt;"))))</f>
        <v/>
      </c>
      <c r="H271" s="54" t="str">
        <f>IF(OR($B271="",$A271&gt;$B$9,H$245=""),"",IF(COUNTIFS(BD!$B$3:$B$5001,H$245,BD!$A$3:$A$5001,"&gt;="&amp;$C$7,BD!$A$3:$A$5001,"&lt;="&amp;$B271,BD!$X$3:$X$5001,"&lt;&gt;")=0,"",SUMIFS(BD!$X$3:$X$5001,BD!$B$3:$B$5001,H$245,BD!$A$3:$A$5001,_xlfn.MAXIFS(BD!$A$3:$A$5001,BD!$B$3:$B$5001,H$245,BD!$A$3:$A$5001,"&gt;="&amp;$C$7,BD!$A$3:$A$5001,"&lt;="&amp;$B271,BD!$X$3:$X$5001,"&lt;&gt;"))))</f>
        <v/>
      </c>
      <c r="I271" s="54" t="str">
        <f>IF(OR($B271="",$A271&gt;$B$9,I$245=""),"",IF(COUNTIFS(BD!$B$3:$B$5001,I$245,BD!$A$3:$A$5001,"&gt;="&amp;$C$7,BD!$A$3:$A$5001,"&lt;="&amp;$B271,BD!$X$3:$X$5001,"&lt;&gt;")=0,"",SUMIFS(BD!$X$3:$X$5001,BD!$B$3:$B$5001,I$245,BD!$A$3:$A$5001,_xlfn.MAXIFS(BD!$A$3:$A$5001,BD!$B$3:$B$5001,I$245,BD!$A$3:$A$5001,"&gt;="&amp;$C$7,BD!$A$3:$A$5001,"&lt;="&amp;$B271,BD!$X$3:$X$5001,"&lt;&gt;"))))</f>
        <v/>
      </c>
      <c r="J271" s="54" t="str">
        <f>IF(OR($B271="",$A271&gt;$B$9,J$245=""),"",IF(COUNTIFS(BD!$B$3:$B$5001,J$245,BD!$A$3:$A$5001,"&gt;="&amp;$C$7,BD!$A$3:$A$5001,"&lt;="&amp;$B271,BD!$X$3:$X$5001,"&lt;&gt;")=0,"",SUMIFS(BD!$X$3:$X$5001,BD!$B$3:$B$5001,J$245,BD!$A$3:$A$5001,_xlfn.MAXIFS(BD!$A$3:$A$5001,BD!$B$3:$B$5001,J$245,BD!$A$3:$A$5001,"&gt;="&amp;$C$7,BD!$A$3:$A$5001,"&lt;="&amp;$B271,BD!$X$3:$X$5001,"&lt;&gt;"))))</f>
        <v/>
      </c>
      <c r="K271" s="54" t="str">
        <f>IF(OR($B271="",$A271&gt;$B$9,K$245=""),"",IF(COUNTIFS(BD!$B$3:$B$5001,K$245,BD!$A$3:$A$5001,"&gt;="&amp;$C$7,BD!$A$3:$A$5001,"&lt;="&amp;$B271,BD!$X$3:$X$5001,"&lt;&gt;")=0,"",SUMIFS(BD!$X$3:$X$5001,BD!$B$3:$B$5001,K$245,BD!$A$3:$A$5001,_xlfn.MAXIFS(BD!$A$3:$A$5001,BD!$B$3:$B$5001,K$245,BD!$A$3:$A$5001,"&gt;="&amp;$C$7,BD!$A$3:$A$5001,"&lt;="&amp;$B271,BD!$X$3:$X$5001,"&lt;&gt;"))))</f>
        <v/>
      </c>
      <c r="L271" s="54" t="str">
        <f>IF(OR($B271="",$A271&gt;$B$9,L$245=""),"",IF(COUNTIFS(BD!$B$3:$B$5001,L$245,BD!$A$3:$A$5001,"&gt;="&amp;$C$7,BD!$A$3:$A$5001,"&lt;="&amp;$B271,BD!$X$3:$X$5001,"&lt;&gt;")=0,"",SUMIFS(BD!$X$3:$X$5001,BD!$B$3:$B$5001,L$245,BD!$A$3:$A$5001,_xlfn.MAXIFS(BD!$A$3:$A$5001,BD!$B$3:$B$5001,L$245,BD!$A$3:$A$5001,"&gt;="&amp;$C$7,BD!$A$3:$A$5001,"&lt;="&amp;$B271,BD!$X$3:$X$5001,"&lt;&gt;"))))</f>
        <v/>
      </c>
      <c r="M271" s="54" t="str">
        <f>IF(OR($B271="",$A271&gt;$B$9,M$245=""),"",IF(COUNTIFS(BD!$B$3:$B$5001,M$245,BD!$A$3:$A$5001,"&gt;="&amp;$C$7,BD!$A$3:$A$5001,"&lt;="&amp;$B271,BD!$X$3:$X$5001,"&lt;&gt;")=0,"",SUMIFS(BD!$X$3:$X$5001,BD!$B$3:$B$5001,M$245,BD!$A$3:$A$5001,_xlfn.MAXIFS(BD!$A$3:$A$5001,BD!$B$3:$B$5001,M$245,BD!$A$3:$A$5001,"&gt;="&amp;$C$7,BD!$A$3:$A$5001,"&lt;="&amp;$B271,BD!$X$3:$X$5001,"&lt;&gt;"))))</f>
        <v/>
      </c>
      <c r="N271" s="54" t="str">
        <f>IF(OR($B271="",$A271&gt;$B$9,N$245=""),"",IF(COUNTIFS(BD!$B$3:$B$5001,N$245,BD!$A$3:$A$5001,"&gt;="&amp;$C$7,BD!$A$3:$A$5001,"&lt;="&amp;$B271,BD!$X$3:$X$5001,"&lt;&gt;")=0,"",SUMIFS(BD!$X$3:$X$5001,BD!$B$3:$B$5001,N$245,BD!$A$3:$A$5001,_xlfn.MAXIFS(BD!$A$3:$A$5001,BD!$B$3:$B$5001,N$245,BD!$A$3:$A$5001,"&gt;="&amp;$C$7,BD!$A$3:$A$5001,"&lt;="&amp;$B271,BD!$X$3:$X$5001,"&lt;&gt;"))))</f>
        <v/>
      </c>
      <c r="O271" s="54" t="str">
        <f>IF(OR($B271="",$A271&gt;$B$9,O$245=""),"",IF(COUNTIFS(BD!$B$3:$B$5001,O$245,BD!$A$3:$A$5001,"&gt;="&amp;$C$7,BD!$A$3:$A$5001,"&lt;="&amp;$B271,BD!$X$3:$X$5001,"&lt;&gt;")=0,"",SUMIFS(BD!$X$3:$X$5001,BD!$B$3:$B$5001,O$245,BD!$A$3:$A$5001,_xlfn.MAXIFS(BD!$A$3:$A$5001,BD!$B$3:$B$5001,O$245,BD!$A$3:$A$5001,"&gt;="&amp;$C$7,BD!$A$3:$A$5001,"&lt;="&amp;$B271,BD!$X$3:$X$5001,"&lt;&gt;"))))</f>
        <v/>
      </c>
      <c r="P271" s="54" t="str">
        <f>IF(OR($B271="",$A271&gt;$B$9,P$245=""),"",IF(COUNTIFS(BD!$B$3:$B$5001,P$245,BD!$A$3:$A$5001,"&gt;="&amp;$C$7,BD!$A$3:$A$5001,"&lt;="&amp;$B271,BD!$X$3:$X$5001,"&lt;&gt;")=0,"",SUMIFS(BD!$X$3:$X$5001,BD!$B$3:$B$5001,P$245,BD!$A$3:$A$5001,_xlfn.MAXIFS(BD!$A$3:$A$5001,BD!$B$3:$B$5001,P$245,BD!$A$3:$A$5001,"&gt;="&amp;$C$7,BD!$A$3:$A$5001,"&lt;="&amp;$B271,BD!$X$3:$X$5001,"&lt;&gt;"))))</f>
        <v/>
      </c>
      <c r="Q271" s="54" t="str">
        <f>IF(OR($B271="",$A271&gt;$B$9,Q$245=""),"",IF(COUNTIFS(BD!$B$3:$B$5001,Q$245,BD!$A$3:$A$5001,"&gt;="&amp;$C$7,BD!$A$3:$A$5001,"&lt;="&amp;$B271,BD!$X$3:$X$5001,"&lt;&gt;")=0,"",SUMIFS(BD!$X$3:$X$5001,BD!$B$3:$B$5001,Q$245,BD!$A$3:$A$5001,_xlfn.MAXIFS(BD!$A$3:$A$5001,BD!$B$3:$B$5001,Q$245,BD!$A$3:$A$5001,"&gt;="&amp;$C$7,BD!$A$3:$A$5001,"&lt;="&amp;$B271,BD!$X$3:$X$5001,"&lt;&gt;"))))</f>
        <v/>
      </c>
      <c r="R271" s="54" t="str">
        <f>IF(OR($B271="",$A271&gt;$B$9,R$245=""),"",IF(COUNTIFS(BD!$B$3:$B$5001,R$245,BD!$A$3:$A$5001,"&gt;="&amp;$C$7,BD!$A$3:$A$5001,"&lt;="&amp;$B271,BD!$X$3:$X$5001,"&lt;&gt;")=0,"",SUMIFS(BD!$X$3:$X$5001,BD!$B$3:$B$5001,R$245,BD!$A$3:$A$5001,_xlfn.MAXIFS(BD!$A$3:$A$5001,BD!$B$3:$B$5001,R$245,BD!$A$3:$A$5001,"&gt;="&amp;$C$7,BD!$A$3:$A$5001,"&lt;="&amp;$B271,BD!$X$3:$X$5001,"&lt;&gt;"))))</f>
        <v/>
      </c>
      <c r="S271" s="54" t="str">
        <f>IF(OR($B271="",$A271&gt;$B$9,S$245=""),"",IF(COUNTIFS(BD!$B$3:$B$5001,S$245,BD!$A$3:$A$5001,"&gt;="&amp;$C$7,BD!$A$3:$A$5001,"&lt;="&amp;$B271,BD!$X$3:$X$5001,"&lt;&gt;")=0,"",SUMIFS(BD!$X$3:$X$5001,BD!$B$3:$B$5001,S$245,BD!$A$3:$A$5001,_xlfn.MAXIFS(BD!$A$3:$A$5001,BD!$B$3:$B$5001,S$245,BD!$A$3:$A$5001,"&gt;="&amp;$C$7,BD!$A$3:$A$5001,"&lt;="&amp;$B271,BD!$X$3:$X$5001,"&lt;&gt;"))))</f>
        <v/>
      </c>
      <c r="T271" s="54" t="str">
        <f>IF(OR($B271="",$A271&gt;$B$9,T$245=""),"",IF(COUNTIFS(BD!$B$3:$B$5001,T$245,BD!$A$3:$A$5001,"&gt;="&amp;$C$7,BD!$A$3:$A$5001,"&lt;="&amp;$B271,BD!$X$3:$X$5001,"&lt;&gt;")=0,"",SUMIFS(BD!$X$3:$X$5001,BD!$B$3:$B$5001,T$245,BD!$A$3:$A$5001,_xlfn.MAXIFS(BD!$A$3:$A$5001,BD!$B$3:$B$5001,T$245,BD!$A$3:$A$5001,"&gt;="&amp;$C$7,BD!$A$3:$A$5001,"&lt;="&amp;$B271,BD!$X$3:$X$5001,"&lt;&gt;"))))</f>
        <v/>
      </c>
      <c r="U271" s="54" t="str">
        <f>IF(OR($B271="",$A271&gt;$B$9,U$245=""),"",IF(COUNTIFS(BD!$B$3:$B$5001,U$245,BD!$A$3:$A$5001,"&gt;="&amp;$C$7,BD!$A$3:$A$5001,"&lt;="&amp;$B271,BD!$X$3:$X$5001,"&lt;&gt;")=0,"",SUMIFS(BD!$X$3:$X$5001,BD!$B$3:$B$5001,U$245,BD!$A$3:$A$5001,_xlfn.MAXIFS(BD!$A$3:$A$5001,BD!$B$3:$B$5001,U$245,BD!$A$3:$A$5001,"&gt;="&amp;$C$7,BD!$A$3:$A$5001,"&lt;="&amp;$B271,BD!$X$3:$X$5001,"&lt;&gt;"))))</f>
        <v/>
      </c>
      <c r="V271" s="54" t="str">
        <f>IF(OR($B271="",$A271&gt;$B$9,V$245=""),"",IF(COUNTIFS(BD!$B$3:$B$5001,V$245,BD!$A$3:$A$5001,"&gt;="&amp;$C$7,BD!$A$3:$A$5001,"&lt;="&amp;$B271,BD!$X$3:$X$5001,"&lt;&gt;")=0,"",SUMIFS(BD!$X$3:$X$5001,BD!$B$3:$B$5001,V$245,BD!$A$3:$A$5001,_xlfn.MAXIFS(BD!$A$3:$A$5001,BD!$B$3:$B$5001,V$245,BD!$A$3:$A$5001,"&gt;="&amp;$C$7,BD!$A$3:$A$5001,"&lt;="&amp;$B271,BD!$X$3:$X$5001,"&lt;&gt;"))))</f>
        <v/>
      </c>
    </row>
    <row r="272">
      <c r="A272" s="48">
        <v>27</v>
      </c>
      <c r="B272" s="53">
        <f>$B$38</f>
        <v>46322</v>
      </c>
      <c r="C272" s="54" t="str">
        <f>IF(OR($B272="",$A272&gt;$B$9,C$245=""),"",IF(COUNTIFS(BD!$B$3:$B$5001,C$245,BD!$A$3:$A$5001,"&gt;="&amp;$C$7,BD!$A$3:$A$5001,"&lt;="&amp;$B272,BD!$X$3:$X$5001,"&lt;&gt;")=0,"",SUMIFS(BD!$X$3:$X$5001,BD!$B$3:$B$5001,C$245,BD!$A$3:$A$5001,_xlfn.MAXIFS(BD!$A$3:$A$5001,BD!$B$3:$B$5001,C$245,BD!$A$3:$A$5001,"&gt;="&amp;$C$7,BD!$A$3:$A$5001,"&lt;="&amp;$B272,BD!$X$3:$X$5001,"&lt;&gt;"))))</f>
        <v/>
      </c>
      <c r="D272" s="54" t="str">
        <f>IF(OR($B272="",$A272&gt;$B$9,D$245=""),"",IF(COUNTIFS(BD!$B$3:$B$5001,D$245,BD!$A$3:$A$5001,"&gt;="&amp;$C$7,BD!$A$3:$A$5001,"&lt;="&amp;$B272,BD!$X$3:$X$5001,"&lt;&gt;")=0,"",SUMIFS(BD!$X$3:$X$5001,BD!$B$3:$B$5001,D$245,BD!$A$3:$A$5001,_xlfn.MAXIFS(BD!$A$3:$A$5001,BD!$B$3:$B$5001,D$245,BD!$A$3:$A$5001,"&gt;="&amp;$C$7,BD!$A$3:$A$5001,"&lt;="&amp;$B272,BD!$X$3:$X$5001,"&lt;&gt;"))))</f>
        <v/>
      </c>
      <c r="E272" s="54" t="str">
        <f>IF(OR($B272="",$A272&gt;$B$9,E$245=""),"",IF(COUNTIFS(BD!$B$3:$B$5001,E$245,BD!$A$3:$A$5001,"&gt;="&amp;$C$7,BD!$A$3:$A$5001,"&lt;="&amp;$B272,BD!$X$3:$X$5001,"&lt;&gt;")=0,"",SUMIFS(BD!$X$3:$X$5001,BD!$B$3:$B$5001,E$245,BD!$A$3:$A$5001,_xlfn.MAXIFS(BD!$A$3:$A$5001,BD!$B$3:$B$5001,E$245,BD!$A$3:$A$5001,"&gt;="&amp;$C$7,BD!$A$3:$A$5001,"&lt;="&amp;$B272,BD!$X$3:$X$5001,"&lt;&gt;"))))</f>
        <v/>
      </c>
      <c r="F272" s="54" t="str">
        <f>IF(OR($B272="",$A272&gt;$B$9,F$245=""),"",IF(COUNTIFS(BD!$B$3:$B$5001,F$245,BD!$A$3:$A$5001,"&gt;="&amp;$C$7,BD!$A$3:$A$5001,"&lt;="&amp;$B272,BD!$X$3:$X$5001,"&lt;&gt;")=0,"",SUMIFS(BD!$X$3:$X$5001,BD!$B$3:$B$5001,F$245,BD!$A$3:$A$5001,_xlfn.MAXIFS(BD!$A$3:$A$5001,BD!$B$3:$B$5001,F$245,BD!$A$3:$A$5001,"&gt;="&amp;$C$7,BD!$A$3:$A$5001,"&lt;="&amp;$B272,BD!$X$3:$X$5001,"&lt;&gt;"))))</f>
        <v/>
      </c>
      <c r="G272" s="54" t="str">
        <f>IF(OR($B272="",$A272&gt;$B$9,G$245=""),"",IF(COUNTIFS(BD!$B$3:$B$5001,G$245,BD!$A$3:$A$5001,"&gt;="&amp;$C$7,BD!$A$3:$A$5001,"&lt;="&amp;$B272,BD!$X$3:$X$5001,"&lt;&gt;")=0,"",SUMIFS(BD!$X$3:$X$5001,BD!$B$3:$B$5001,G$245,BD!$A$3:$A$5001,_xlfn.MAXIFS(BD!$A$3:$A$5001,BD!$B$3:$B$5001,G$245,BD!$A$3:$A$5001,"&gt;="&amp;$C$7,BD!$A$3:$A$5001,"&lt;="&amp;$B272,BD!$X$3:$X$5001,"&lt;&gt;"))))</f>
        <v/>
      </c>
      <c r="H272" s="54" t="str">
        <f>IF(OR($B272="",$A272&gt;$B$9,H$245=""),"",IF(COUNTIFS(BD!$B$3:$B$5001,H$245,BD!$A$3:$A$5001,"&gt;="&amp;$C$7,BD!$A$3:$A$5001,"&lt;="&amp;$B272,BD!$X$3:$X$5001,"&lt;&gt;")=0,"",SUMIFS(BD!$X$3:$X$5001,BD!$B$3:$B$5001,H$245,BD!$A$3:$A$5001,_xlfn.MAXIFS(BD!$A$3:$A$5001,BD!$B$3:$B$5001,H$245,BD!$A$3:$A$5001,"&gt;="&amp;$C$7,BD!$A$3:$A$5001,"&lt;="&amp;$B272,BD!$X$3:$X$5001,"&lt;&gt;"))))</f>
        <v/>
      </c>
      <c r="I272" s="54" t="str">
        <f>IF(OR($B272="",$A272&gt;$B$9,I$245=""),"",IF(COUNTIFS(BD!$B$3:$B$5001,I$245,BD!$A$3:$A$5001,"&gt;="&amp;$C$7,BD!$A$3:$A$5001,"&lt;="&amp;$B272,BD!$X$3:$X$5001,"&lt;&gt;")=0,"",SUMIFS(BD!$X$3:$X$5001,BD!$B$3:$B$5001,I$245,BD!$A$3:$A$5001,_xlfn.MAXIFS(BD!$A$3:$A$5001,BD!$B$3:$B$5001,I$245,BD!$A$3:$A$5001,"&gt;="&amp;$C$7,BD!$A$3:$A$5001,"&lt;="&amp;$B272,BD!$X$3:$X$5001,"&lt;&gt;"))))</f>
        <v/>
      </c>
      <c r="J272" s="54" t="str">
        <f>IF(OR($B272="",$A272&gt;$B$9,J$245=""),"",IF(COUNTIFS(BD!$B$3:$B$5001,J$245,BD!$A$3:$A$5001,"&gt;="&amp;$C$7,BD!$A$3:$A$5001,"&lt;="&amp;$B272,BD!$X$3:$X$5001,"&lt;&gt;")=0,"",SUMIFS(BD!$X$3:$X$5001,BD!$B$3:$B$5001,J$245,BD!$A$3:$A$5001,_xlfn.MAXIFS(BD!$A$3:$A$5001,BD!$B$3:$B$5001,J$245,BD!$A$3:$A$5001,"&gt;="&amp;$C$7,BD!$A$3:$A$5001,"&lt;="&amp;$B272,BD!$X$3:$X$5001,"&lt;&gt;"))))</f>
        <v/>
      </c>
      <c r="K272" s="54" t="str">
        <f>IF(OR($B272="",$A272&gt;$B$9,K$245=""),"",IF(COUNTIFS(BD!$B$3:$B$5001,K$245,BD!$A$3:$A$5001,"&gt;="&amp;$C$7,BD!$A$3:$A$5001,"&lt;="&amp;$B272,BD!$X$3:$X$5001,"&lt;&gt;")=0,"",SUMIFS(BD!$X$3:$X$5001,BD!$B$3:$B$5001,K$245,BD!$A$3:$A$5001,_xlfn.MAXIFS(BD!$A$3:$A$5001,BD!$B$3:$B$5001,K$245,BD!$A$3:$A$5001,"&gt;="&amp;$C$7,BD!$A$3:$A$5001,"&lt;="&amp;$B272,BD!$X$3:$X$5001,"&lt;&gt;"))))</f>
        <v/>
      </c>
      <c r="L272" s="54" t="str">
        <f>IF(OR($B272="",$A272&gt;$B$9,L$245=""),"",IF(COUNTIFS(BD!$B$3:$B$5001,L$245,BD!$A$3:$A$5001,"&gt;="&amp;$C$7,BD!$A$3:$A$5001,"&lt;="&amp;$B272,BD!$X$3:$X$5001,"&lt;&gt;")=0,"",SUMIFS(BD!$X$3:$X$5001,BD!$B$3:$B$5001,L$245,BD!$A$3:$A$5001,_xlfn.MAXIFS(BD!$A$3:$A$5001,BD!$B$3:$B$5001,L$245,BD!$A$3:$A$5001,"&gt;="&amp;$C$7,BD!$A$3:$A$5001,"&lt;="&amp;$B272,BD!$X$3:$X$5001,"&lt;&gt;"))))</f>
        <v/>
      </c>
      <c r="M272" s="54" t="str">
        <f>IF(OR($B272="",$A272&gt;$B$9,M$245=""),"",IF(COUNTIFS(BD!$B$3:$B$5001,M$245,BD!$A$3:$A$5001,"&gt;="&amp;$C$7,BD!$A$3:$A$5001,"&lt;="&amp;$B272,BD!$X$3:$X$5001,"&lt;&gt;")=0,"",SUMIFS(BD!$X$3:$X$5001,BD!$B$3:$B$5001,M$245,BD!$A$3:$A$5001,_xlfn.MAXIFS(BD!$A$3:$A$5001,BD!$B$3:$B$5001,M$245,BD!$A$3:$A$5001,"&gt;="&amp;$C$7,BD!$A$3:$A$5001,"&lt;="&amp;$B272,BD!$X$3:$X$5001,"&lt;&gt;"))))</f>
        <v/>
      </c>
      <c r="N272" s="54" t="str">
        <f>IF(OR($B272="",$A272&gt;$B$9,N$245=""),"",IF(COUNTIFS(BD!$B$3:$B$5001,N$245,BD!$A$3:$A$5001,"&gt;="&amp;$C$7,BD!$A$3:$A$5001,"&lt;="&amp;$B272,BD!$X$3:$X$5001,"&lt;&gt;")=0,"",SUMIFS(BD!$X$3:$X$5001,BD!$B$3:$B$5001,N$245,BD!$A$3:$A$5001,_xlfn.MAXIFS(BD!$A$3:$A$5001,BD!$B$3:$B$5001,N$245,BD!$A$3:$A$5001,"&gt;="&amp;$C$7,BD!$A$3:$A$5001,"&lt;="&amp;$B272,BD!$X$3:$X$5001,"&lt;&gt;"))))</f>
        <v/>
      </c>
      <c r="O272" s="54" t="str">
        <f>IF(OR($B272="",$A272&gt;$B$9,O$245=""),"",IF(COUNTIFS(BD!$B$3:$B$5001,O$245,BD!$A$3:$A$5001,"&gt;="&amp;$C$7,BD!$A$3:$A$5001,"&lt;="&amp;$B272,BD!$X$3:$X$5001,"&lt;&gt;")=0,"",SUMIFS(BD!$X$3:$X$5001,BD!$B$3:$B$5001,O$245,BD!$A$3:$A$5001,_xlfn.MAXIFS(BD!$A$3:$A$5001,BD!$B$3:$B$5001,O$245,BD!$A$3:$A$5001,"&gt;="&amp;$C$7,BD!$A$3:$A$5001,"&lt;="&amp;$B272,BD!$X$3:$X$5001,"&lt;&gt;"))))</f>
        <v/>
      </c>
      <c r="P272" s="54" t="str">
        <f>IF(OR($B272="",$A272&gt;$B$9,P$245=""),"",IF(COUNTIFS(BD!$B$3:$B$5001,P$245,BD!$A$3:$A$5001,"&gt;="&amp;$C$7,BD!$A$3:$A$5001,"&lt;="&amp;$B272,BD!$X$3:$X$5001,"&lt;&gt;")=0,"",SUMIFS(BD!$X$3:$X$5001,BD!$B$3:$B$5001,P$245,BD!$A$3:$A$5001,_xlfn.MAXIFS(BD!$A$3:$A$5001,BD!$B$3:$B$5001,P$245,BD!$A$3:$A$5001,"&gt;="&amp;$C$7,BD!$A$3:$A$5001,"&lt;="&amp;$B272,BD!$X$3:$X$5001,"&lt;&gt;"))))</f>
        <v/>
      </c>
      <c r="Q272" s="54" t="str">
        <f>IF(OR($B272="",$A272&gt;$B$9,Q$245=""),"",IF(COUNTIFS(BD!$B$3:$B$5001,Q$245,BD!$A$3:$A$5001,"&gt;="&amp;$C$7,BD!$A$3:$A$5001,"&lt;="&amp;$B272,BD!$X$3:$X$5001,"&lt;&gt;")=0,"",SUMIFS(BD!$X$3:$X$5001,BD!$B$3:$B$5001,Q$245,BD!$A$3:$A$5001,_xlfn.MAXIFS(BD!$A$3:$A$5001,BD!$B$3:$B$5001,Q$245,BD!$A$3:$A$5001,"&gt;="&amp;$C$7,BD!$A$3:$A$5001,"&lt;="&amp;$B272,BD!$X$3:$X$5001,"&lt;&gt;"))))</f>
        <v/>
      </c>
      <c r="R272" s="54" t="str">
        <f>IF(OR($B272="",$A272&gt;$B$9,R$245=""),"",IF(COUNTIFS(BD!$B$3:$B$5001,R$245,BD!$A$3:$A$5001,"&gt;="&amp;$C$7,BD!$A$3:$A$5001,"&lt;="&amp;$B272,BD!$X$3:$X$5001,"&lt;&gt;")=0,"",SUMIFS(BD!$X$3:$X$5001,BD!$B$3:$B$5001,R$245,BD!$A$3:$A$5001,_xlfn.MAXIFS(BD!$A$3:$A$5001,BD!$B$3:$B$5001,R$245,BD!$A$3:$A$5001,"&gt;="&amp;$C$7,BD!$A$3:$A$5001,"&lt;="&amp;$B272,BD!$X$3:$X$5001,"&lt;&gt;"))))</f>
        <v/>
      </c>
      <c r="S272" s="54" t="str">
        <f>IF(OR($B272="",$A272&gt;$B$9,S$245=""),"",IF(COUNTIFS(BD!$B$3:$B$5001,S$245,BD!$A$3:$A$5001,"&gt;="&amp;$C$7,BD!$A$3:$A$5001,"&lt;="&amp;$B272,BD!$X$3:$X$5001,"&lt;&gt;")=0,"",SUMIFS(BD!$X$3:$X$5001,BD!$B$3:$B$5001,S$245,BD!$A$3:$A$5001,_xlfn.MAXIFS(BD!$A$3:$A$5001,BD!$B$3:$B$5001,S$245,BD!$A$3:$A$5001,"&gt;="&amp;$C$7,BD!$A$3:$A$5001,"&lt;="&amp;$B272,BD!$X$3:$X$5001,"&lt;&gt;"))))</f>
        <v/>
      </c>
      <c r="T272" s="54" t="str">
        <f>IF(OR($B272="",$A272&gt;$B$9,T$245=""),"",IF(COUNTIFS(BD!$B$3:$B$5001,T$245,BD!$A$3:$A$5001,"&gt;="&amp;$C$7,BD!$A$3:$A$5001,"&lt;="&amp;$B272,BD!$X$3:$X$5001,"&lt;&gt;")=0,"",SUMIFS(BD!$X$3:$X$5001,BD!$B$3:$B$5001,T$245,BD!$A$3:$A$5001,_xlfn.MAXIFS(BD!$A$3:$A$5001,BD!$B$3:$B$5001,T$245,BD!$A$3:$A$5001,"&gt;="&amp;$C$7,BD!$A$3:$A$5001,"&lt;="&amp;$B272,BD!$X$3:$X$5001,"&lt;&gt;"))))</f>
        <v/>
      </c>
      <c r="U272" s="54" t="str">
        <f>IF(OR($B272="",$A272&gt;$B$9,U$245=""),"",IF(COUNTIFS(BD!$B$3:$B$5001,U$245,BD!$A$3:$A$5001,"&gt;="&amp;$C$7,BD!$A$3:$A$5001,"&lt;="&amp;$B272,BD!$X$3:$X$5001,"&lt;&gt;")=0,"",SUMIFS(BD!$X$3:$X$5001,BD!$B$3:$B$5001,U$245,BD!$A$3:$A$5001,_xlfn.MAXIFS(BD!$A$3:$A$5001,BD!$B$3:$B$5001,U$245,BD!$A$3:$A$5001,"&gt;="&amp;$C$7,BD!$A$3:$A$5001,"&lt;="&amp;$B272,BD!$X$3:$X$5001,"&lt;&gt;"))))</f>
        <v/>
      </c>
      <c r="V272" s="54" t="str">
        <f>IF(OR($B272="",$A272&gt;$B$9,V$245=""),"",IF(COUNTIFS(BD!$B$3:$B$5001,V$245,BD!$A$3:$A$5001,"&gt;="&amp;$C$7,BD!$A$3:$A$5001,"&lt;="&amp;$B272,BD!$X$3:$X$5001,"&lt;&gt;")=0,"",SUMIFS(BD!$X$3:$X$5001,BD!$B$3:$B$5001,V$245,BD!$A$3:$A$5001,_xlfn.MAXIFS(BD!$A$3:$A$5001,BD!$B$3:$B$5001,V$245,BD!$A$3:$A$5001,"&gt;="&amp;$C$7,BD!$A$3:$A$5001,"&lt;="&amp;$B272,BD!$X$3:$X$5001,"&lt;&gt;"))))</f>
        <v/>
      </c>
    </row>
    <row r="273">
      <c r="A273" s="48">
        <v>28</v>
      </c>
      <c r="B273" s="53">
        <f>$B$39</f>
        <v>46323</v>
      </c>
      <c r="C273" s="54" t="str">
        <f>IF(OR($B273="",$A273&gt;$B$9,C$245=""),"",IF(COUNTIFS(BD!$B$3:$B$5001,C$245,BD!$A$3:$A$5001,"&gt;="&amp;$C$7,BD!$A$3:$A$5001,"&lt;="&amp;$B273,BD!$X$3:$X$5001,"&lt;&gt;")=0,"",SUMIFS(BD!$X$3:$X$5001,BD!$B$3:$B$5001,C$245,BD!$A$3:$A$5001,_xlfn.MAXIFS(BD!$A$3:$A$5001,BD!$B$3:$B$5001,C$245,BD!$A$3:$A$5001,"&gt;="&amp;$C$7,BD!$A$3:$A$5001,"&lt;="&amp;$B273,BD!$X$3:$X$5001,"&lt;&gt;"))))</f>
        <v/>
      </c>
      <c r="D273" s="54" t="str">
        <f>IF(OR($B273="",$A273&gt;$B$9,D$245=""),"",IF(COUNTIFS(BD!$B$3:$B$5001,D$245,BD!$A$3:$A$5001,"&gt;="&amp;$C$7,BD!$A$3:$A$5001,"&lt;="&amp;$B273,BD!$X$3:$X$5001,"&lt;&gt;")=0,"",SUMIFS(BD!$X$3:$X$5001,BD!$B$3:$B$5001,D$245,BD!$A$3:$A$5001,_xlfn.MAXIFS(BD!$A$3:$A$5001,BD!$B$3:$B$5001,D$245,BD!$A$3:$A$5001,"&gt;="&amp;$C$7,BD!$A$3:$A$5001,"&lt;="&amp;$B273,BD!$X$3:$X$5001,"&lt;&gt;"))))</f>
        <v/>
      </c>
      <c r="E273" s="54" t="str">
        <f>IF(OR($B273="",$A273&gt;$B$9,E$245=""),"",IF(COUNTIFS(BD!$B$3:$B$5001,E$245,BD!$A$3:$A$5001,"&gt;="&amp;$C$7,BD!$A$3:$A$5001,"&lt;="&amp;$B273,BD!$X$3:$X$5001,"&lt;&gt;")=0,"",SUMIFS(BD!$X$3:$X$5001,BD!$B$3:$B$5001,E$245,BD!$A$3:$A$5001,_xlfn.MAXIFS(BD!$A$3:$A$5001,BD!$B$3:$B$5001,E$245,BD!$A$3:$A$5001,"&gt;="&amp;$C$7,BD!$A$3:$A$5001,"&lt;="&amp;$B273,BD!$X$3:$X$5001,"&lt;&gt;"))))</f>
        <v/>
      </c>
      <c r="F273" s="54" t="str">
        <f>IF(OR($B273="",$A273&gt;$B$9,F$245=""),"",IF(COUNTIFS(BD!$B$3:$B$5001,F$245,BD!$A$3:$A$5001,"&gt;="&amp;$C$7,BD!$A$3:$A$5001,"&lt;="&amp;$B273,BD!$X$3:$X$5001,"&lt;&gt;")=0,"",SUMIFS(BD!$X$3:$X$5001,BD!$B$3:$B$5001,F$245,BD!$A$3:$A$5001,_xlfn.MAXIFS(BD!$A$3:$A$5001,BD!$B$3:$B$5001,F$245,BD!$A$3:$A$5001,"&gt;="&amp;$C$7,BD!$A$3:$A$5001,"&lt;="&amp;$B273,BD!$X$3:$X$5001,"&lt;&gt;"))))</f>
        <v/>
      </c>
      <c r="G273" s="54" t="str">
        <f>IF(OR($B273="",$A273&gt;$B$9,G$245=""),"",IF(COUNTIFS(BD!$B$3:$B$5001,G$245,BD!$A$3:$A$5001,"&gt;="&amp;$C$7,BD!$A$3:$A$5001,"&lt;="&amp;$B273,BD!$X$3:$X$5001,"&lt;&gt;")=0,"",SUMIFS(BD!$X$3:$X$5001,BD!$B$3:$B$5001,G$245,BD!$A$3:$A$5001,_xlfn.MAXIFS(BD!$A$3:$A$5001,BD!$B$3:$B$5001,G$245,BD!$A$3:$A$5001,"&gt;="&amp;$C$7,BD!$A$3:$A$5001,"&lt;="&amp;$B273,BD!$X$3:$X$5001,"&lt;&gt;"))))</f>
        <v/>
      </c>
      <c r="H273" s="54" t="str">
        <f>IF(OR($B273="",$A273&gt;$B$9,H$245=""),"",IF(COUNTIFS(BD!$B$3:$B$5001,H$245,BD!$A$3:$A$5001,"&gt;="&amp;$C$7,BD!$A$3:$A$5001,"&lt;="&amp;$B273,BD!$X$3:$X$5001,"&lt;&gt;")=0,"",SUMIFS(BD!$X$3:$X$5001,BD!$B$3:$B$5001,H$245,BD!$A$3:$A$5001,_xlfn.MAXIFS(BD!$A$3:$A$5001,BD!$B$3:$B$5001,H$245,BD!$A$3:$A$5001,"&gt;="&amp;$C$7,BD!$A$3:$A$5001,"&lt;="&amp;$B273,BD!$X$3:$X$5001,"&lt;&gt;"))))</f>
        <v/>
      </c>
      <c r="I273" s="54" t="str">
        <f>IF(OR($B273="",$A273&gt;$B$9,I$245=""),"",IF(COUNTIFS(BD!$B$3:$B$5001,I$245,BD!$A$3:$A$5001,"&gt;="&amp;$C$7,BD!$A$3:$A$5001,"&lt;="&amp;$B273,BD!$X$3:$X$5001,"&lt;&gt;")=0,"",SUMIFS(BD!$X$3:$X$5001,BD!$B$3:$B$5001,I$245,BD!$A$3:$A$5001,_xlfn.MAXIFS(BD!$A$3:$A$5001,BD!$B$3:$B$5001,I$245,BD!$A$3:$A$5001,"&gt;="&amp;$C$7,BD!$A$3:$A$5001,"&lt;="&amp;$B273,BD!$X$3:$X$5001,"&lt;&gt;"))))</f>
        <v/>
      </c>
      <c r="J273" s="54" t="str">
        <f>IF(OR($B273="",$A273&gt;$B$9,J$245=""),"",IF(COUNTIFS(BD!$B$3:$B$5001,J$245,BD!$A$3:$A$5001,"&gt;="&amp;$C$7,BD!$A$3:$A$5001,"&lt;="&amp;$B273,BD!$X$3:$X$5001,"&lt;&gt;")=0,"",SUMIFS(BD!$X$3:$X$5001,BD!$B$3:$B$5001,J$245,BD!$A$3:$A$5001,_xlfn.MAXIFS(BD!$A$3:$A$5001,BD!$B$3:$B$5001,J$245,BD!$A$3:$A$5001,"&gt;="&amp;$C$7,BD!$A$3:$A$5001,"&lt;="&amp;$B273,BD!$X$3:$X$5001,"&lt;&gt;"))))</f>
        <v/>
      </c>
      <c r="K273" s="54" t="str">
        <f>IF(OR($B273="",$A273&gt;$B$9,K$245=""),"",IF(COUNTIFS(BD!$B$3:$B$5001,K$245,BD!$A$3:$A$5001,"&gt;="&amp;$C$7,BD!$A$3:$A$5001,"&lt;="&amp;$B273,BD!$X$3:$X$5001,"&lt;&gt;")=0,"",SUMIFS(BD!$X$3:$X$5001,BD!$B$3:$B$5001,K$245,BD!$A$3:$A$5001,_xlfn.MAXIFS(BD!$A$3:$A$5001,BD!$B$3:$B$5001,K$245,BD!$A$3:$A$5001,"&gt;="&amp;$C$7,BD!$A$3:$A$5001,"&lt;="&amp;$B273,BD!$X$3:$X$5001,"&lt;&gt;"))))</f>
        <v/>
      </c>
      <c r="L273" s="54" t="str">
        <f>IF(OR($B273="",$A273&gt;$B$9,L$245=""),"",IF(COUNTIFS(BD!$B$3:$B$5001,L$245,BD!$A$3:$A$5001,"&gt;="&amp;$C$7,BD!$A$3:$A$5001,"&lt;="&amp;$B273,BD!$X$3:$X$5001,"&lt;&gt;")=0,"",SUMIFS(BD!$X$3:$X$5001,BD!$B$3:$B$5001,L$245,BD!$A$3:$A$5001,_xlfn.MAXIFS(BD!$A$3:$A$5001,BD!$B$3:$B$5001,L$245,BD!$A$3:$A$5001,"&gt;="&amp;$C$7,BD!$A$3:$A$5001,"&lt;="&amp;$B273,BD!$X$3:$X$5001,"&lt;&gt;"))))</f>
        <v/>
      </c>
      <c r="M273" s="54" t="str">
        <f>IF(OR($B273="",$A273&gt;$B$9,M$245=""),"",IF(COUNTIFS(BD!$B$3:$B$5001,M$245,BD!$A$3:$A$5001,"&gt;="&amp;$C$7,BD!$A$3:$A$5001,"&lt;="&amp;$B273,BD!$X$3:$X$5001,"&lt;&gt;")=0,"",SUMIFS(BD!$X$3:$X$5001,BD!$B$3:$B$5001,M$245,BD!$A$3:$A$5001,_xlfn.MAXIFS(BD!$A$3:$A$5001,BD!$B$3:$B$5001,M$245,BD!$A$3:$A$5001,"&gt;="&amp;$C$7,BD!$A$3:$A$5001,"&lt;="&amp;$B273,BD!$X$3:$X$5001,"&lt;&gt;"))))</f>
        <v/>
      </c>
      <c r="N273" s="54" t="str">
        <f>IF(OR($B273="",$A273&gt;$B$9,N$245=""),"",IF(COUNTIFS(BD!$B$3:$B$5001,N$245,BD!$A$3:$A$5001,"&gt;="&amp;$C$7,BD!$A$3:$A$5001,"&lt;="&amp;$B273,BD!$X$3:$X$5001,"&lt;&gt;")=0,"",SUMIFS(BD!$X$3:$X$5001,BD!$B$3:$B$5001,N$245,BD!$A$3:$A$5001,_xlfn.MAXIFS(BD!$A$3:$A$5001,BD!$B$3:$B$5001,N$245,BD!$A$3:$A$5001,"&gt;="&amp;$C$7,BD!$A$3:$A$5001,"&lt;="&amp;$B273,BD!$X$3:$X$5001,"&lt;&gt;"))))</f>
        <v/>
      </c>
      <c r="O273" s="54" t="str">
        <f>IF(OR($B273="",$A273&gt;$B$9,O$245=""),"",IF(COUNTIFS(BD!$B$3:$B$5001,O$245,BD!$A$3:$A$5001,"&gt;="&amp;$C$7,BD!$A$3:$A$5001,"&lt;="&amp;$B273,BD!$X$3:$X$5001,"&lt;&gt;")=0,"",SUMIFS(BD!$X$3:$X$5001,BD!$B$3:$B$5001,O$245,BD!$A$3:$A$5001,_xlfn.MAXIFS(BD!$A$3:$A$5001,BD!$B$3:$B$5001,O$245,BD!$A$3:$A$5001,"&gt;="&amp;$C$7,BD!$A$3:$A$5001,"&lt;="&amp;$B273,BD!$X$3:$X$5001,"&lt;&gt;"))))</f>
        <v/>
      </c>
      <c r="P273" s="54" t="str">
        <f>IF(OR($B273="",$A273&gt;$B$9,P$245=""),"",IF(COUNTIFS(BD!$B$3:$B$5001,P$245,BD!$A$3:$A$5001,"&gt;="&amp;$C$7,BD!$A$3:$A$5001,"&lt;="&amp;$B273,BD!$X$3:$X$5001,"&lt;&gt;")=0,"",SUMIFS(BD!$X$3:$X$5001,BD!$B$3:$B$5001,P$245,BD!$A$3:$A$5001,_xlfn.MAXIFS(BD!$A$3:$A$5001,BD!$B$3:$B$5001,P$245,BD!$A$3:$A$5001,"&gt;="&amp;$C$7,BD!$A$3:$A$5001,"&lt;="&amp;$B273,BD!$X$3:$X$5001,"&lt;&gt;"))))</f>
        <v/>
      </c>
      <c r="Q273" s="54" t="str">
        <f>IF(OR($B273="",$A273&gt;$B$9,Q$245=""),"",IF(COUNTIFS(BD!$B$3:$B$5001,Q$245,BD!$A$3:$A$5001,"&gt;="&amp;$C$7,BD!$A$3:$A$5001,"&lt;="&amp;$B273,BD!$X$3:$X$5001,"&lt;&gt;")=0,"",SUMIFS(BD!$X$3:$X$5001,BD!$B$3:$B$5001,Q$245,BD!$A$3:$A$5001,_xlfn.MAXIFS(BD!$A$3:$A$5001,BD!$B$3:$B$5001,Q$245,BD!$A$3:$A$5001,"&gt;="&amp;$C$7,BD!$A$3:$A$5001,"&lt;="&amp;$B273,BD!$X$3:$X$5001,"&lt;&gt;"))))</f>
        <v/>
      </c>
      <c r="R273" s="54" t="str">
        <f>IF(OR($B273="",$A273&gt;$B$9,R$245=""),"",IF(COUNTIFS(BD!$B$3:$B$5001,R$245,BD!$A$3:$A$5001,"&gt;="&amp;$C$7,BD!$A$3:$A$5001,"&lt;="&amp;$B273,BD!$X$3:$X$5001,"&lt;&gt;")=0,"",SUMIFS(BD!$X$3:$X$5001,BD!$B$3:$B$5001,R$245,BD!$A$3:$A$5001,_xlfn.MAXIFS(BD!$A$3:$A$5001,BD!$B$3:$B$5001,R$245,BD!$A$3:$A$5001,"&gt;="&amp;$C$7,BD!$A$3:$A$5001,"&lt;="&amp;$B273,BD!$X$3:$X$5001,"&lt;&gt;"))))</f>
        <v/>
      </c>
      <c r="S273" s="54" t="str">
        <f>IF(OR($B273="",$A273&gt;$B$9,S$245=""),"",IF(COUNTIFS(BD!$B$3:$B$5001,S$245,BD!$A$3:$A$5001,"&gt;="&amp;$C$7,BD!$A$3:$A$5001,"&lt;="&amp;$B273,BD!$X$3:$X$5001,"&lt;&gt;")=0,"",SUMIFS(BD!$X$3:$X$5001,BD!$B$3:$B$5001,S$245,BD!$A$3:$A$5001,_xlfn.MAXIFS(BD!$A$3:$A$5001,BD!$B$3:$B$5001,S$245,BD!$A$3:$A$5001,"&gt;="&amp;$C$7,BD!$A$3:$A$5001,"&lt;="&amp;$B273,BD!$X$3:$X$5001,"&lt;&gt;"))))</f>
        <v/>
      </c>
      <c r="T273" s="54" t="str">
        <f>IF(OR($B273="",$A273&gt;$B$9,T$245=""),"",IF(COUNTIFS(BD!$B$3:$B$5001,T$245,BD!$A$3:$A$5001,"&gt;="&amp;$C$7,BD!$A$3:$A$5001,"&lt;="&amp;$B273,BD!$X$3:$X$5001,"&lt;&gt;")=0,"",SUMIFS(BD!$X$3:$X$5001,BD!$B$3:$B$5001,T$245,BD!$A$3:$A$5001,_xlfn.MAXIFS(BD!$A$3:$A$5001,BD!$B$3:$B$5001,T$245,BD!$A$3:$A$5001,"&gt;="&amp;$C$7,BD!$A$3:$A$5001,"&lt;="&amp;$B273,BD!$X$3:$X$5001,"&lt;&gt;"))))</f>
        <v/>
      </c>
      <c r="U273" s="54" t="str">
        <f>IF(OR($B273="",$A273&gt;$B$9,U$245=""),"",IF(COUNTIFS(BD!$B$3:$B$5001,U$245,BD!$A$3:$A$5001,"&gt;="&amp;$C$7,BD!$A$3:$A$5001,"&lt;="&amp;$B273,BD!$X$3:$X$5001,"&lt;&gt;")=0,"",SUMIFS(BD!$X$3:$X$5001,BD!$B$3:$B$5001,U$245,BD!$A$3:$A$5001,_xlfn.MAXIFS(BD!$A$3:$A$5001,BD!$B$3:$B$5001,U$245,BD!$A$3:$A$5001,"&gt;="&amp;$C$7,BD!$A$3:$A$5001,"&lt;="&amp;$B273,BD!$X$3:$X$5001,"&lt;&gt;"))))</f>
        <v/>
      </c>
      <c r="V273" s="54" t="str">
        <f>IF(OR($B273="",$A273&gt;$B$9,V$245=""),"",IF(COUNTIFS(BD!$B$3:$B$5001,V$245,BD!$A$3:$A$5001,"&gt;="&amp;$C$7,BD!$A$3:$A$5001,"&lt;="&amp;$B273,BD!$X$3:$X$5001,"&lt;&gt;")=0,"",SUMIFS(BD!$X$3:$X$5001,BD!$B$3:$B$5001,V$245,BD!$A$3:$A$5001,_xlfn.MAXIFS(BD!$A$3:$A$5001,BD!$B$3:$B$5001,V$245,BD!$A$3:$A$5001,"&gt;="&amp;$C$7,BD!$A$3:$A$5001,"&lt;="&amp;$B273,BD!$X$3:$X$5001,"&lt;&gt;"))))</f>
        <v/>
      </c>
    </row>
    <row r="274">
      <c r="A274" s="48">
        <v>29</v>
      </c>
      <c r="B274" s="53">
        <f>$B$40</f>
        <v>46324</v>
      </c>
      <c r="C274" s="54" t="str">
        <f>IF(OR($B274="",$A274&gt;$B$9,C$245=""),"",IF(COUNTIFS(BD!$B$3:$B$5001,C$245,BD!$A$3:$A$5001,"&gt;="&amp;$C$7,BD!$A$3:$A$5001,"&lt;="&amp;$B274,BD!$X$3:$X$5001,"&lt;&gt;")=0,"",SUMIFS(BD!$X$3:$X$5001,BD!$B$3:$B$5001,C$245,BD!$A$3:$A$5001,_xlfn.MAXIFS(BD!$A$3:$A$5001,BD!$B$3:$B$5001,C$245,BD!$A$3:$A$5001,"&gt;="&amp;$C$7,BD!$A$3:$A$5001,"&lt;="&amp;$B274,BD!$X$3:$X$5001,"&lt;&gt;"))))</f>
        <v/>
      </c>
      <c r="D274" s="54" t="str">
        <f>IF(OR($B274="",$A274&gt;$B$9,D$245=""),"",IF(COUNTIFS(BD!$B$3:$B$5001,D$245,BD!$A$3:$A$5001,"&gt;="&amp;$C$7,BD!$A$3:$A$5001,"&lt;="&amp;$B274,BD!$X$3:$X$5001,"&lt;&gt;")=0,"",SUMIFS(BD!$X$3:$X$5001,BD!$B$3:$B$5001,D$245,BD!$A$3:$A$5001,_xlfn.MAXIFS(BD!$A$3:$A$5001,BD!$B$3:$B$5001,D$245,BD!$A$3:$A$5001,"&gt;="&amp;$C$7,BD!$A$3:$A$5001,"&lt;="&amp;$B274,BD!$X$3:$X$5001,"&lt;&gt;"))))</f>
        <v/>
      </c>
      <c r="E274" s="54" t="str">
        <f>IF(OR($B274="",$A274&gt;$B$9,E$245=""),"",IF(COUNTIFS(BD!$B$3:$B$5001,E$245,BD!$A$3:$A$5001,"&gt;="&amp;$C$7,BD!$A$3:$A$5001,"&lt;="&amp;$B274,BD!$X$3:$X$5001,"&lt;&gt;")=0,"",SUMIFS(BD!$X$3:$X$5001,BD!$B$3:$B$5001,E$245,BD!$A$3:$A$5001,_xlfn.MAXIFS(BD!$A$3:$A$5001,BD!$B$3:$B$5001,E$245,BD!$A$3:$A$5001,"&gt;="&amp;$C$7,BD!$A$3:$A$5001,"&lt;="&amp;$B274,BD!$X$3:$X$5001,"&lt;&gt;"))))</f>
        <v/>
      </c>
      <c r="F274" s="54" t="str">
        <f>IF(OR($B274="",$A274&gt;$B$9,F$245=""),"",IF(COUNTIFS(BD!$B$3:$B$5001,F$245,BD!$A$3:$A$5001,"&gt;="&amp;$C$7,BD!$A$3:$A$5001,"&lt;="&amp;$B274,BD!$X$3:$X$5001,"&lt;&gt;")=0,"",SUMIFS(BD!$X$3:$X$5001,BD!$B$3:$B$5001,F$245,BD!$A$3:$A$5001,_xlfn.MAXIFS(BD!$A$3:$A$5001,BD!$B$3:$B$5001,F$245,BD!$A$3:$A$5001,"&gt;="&amp;$C$7,BD!$A$3:$A$5001,"&lt;="&amp;$B274,BD!$X$3:$X$5001,"&lt;&gt;"))))</f>
        <v/>
      </c>
      <c r="G274" s="54" t="str">
        <f>IF(OR($B274="",$A274&gt;$B$9,G$245=""),"",IF(COUNTIFS(BD!$B$3:$B$5001,G$245,BD!$A$3:$A$5001,"&gt;="&amp;$C$7,BD!$A$3:$A$5001,"&lt;="&amp;$B274,BD!$X$3:$X$5001,"&lt;&gt;")=0,"",SUMIFS(BD!$X$3:$X$5001,BD!$B$3:$B$5001,G$245,BD!$A$3:$A$5001,_xlfn.MAXIFS(BD!$A$3:$A$5001,BD!$B$3:$B$5001,G$245,BD!$A$3:$A$5001,"&gt;="&amp;$C$7,BD!$A$3:$A$5001,"&lt;="&amp;$B274,BD!$X$3:$X$5001,"&lt;&gt;"))))</f>
        <v/>
      </c>
      <c r="H274" s="54" t="str">
        <f>IF(OR($B274="",$A274&gt;$B$9,H$245=""),"",IF(COUNTIFS(BD!$B$3:$B$5001,H$245,BD!$A$3:$A$5001,"&gt;="&amp;$C$7,BD!$A$3:$A$5001,"&lt;="&amp;$B274,BD!$X$3:$X$5001,"&lt;&gt;")=0,"",SUMIFS(BD!$X$3:$X$5001,BD!$B$3:$B$5001,H$245,BD!$A$3:$A$5001,_xlfn.MAXIFS(BD!$A$3:$A$5001,BD!$B$3:$B$5001,H$245,BD!$A$3:$A$5001,"&gt;="&amp;$C$7,BD!$A$3:$A$5001,"&lt;="&amp;$B274,BD!$X$3:$X$5001,"&lt;&gt;"))))</f>
        <v/>
      </c>
      <c r="I274" s="54" t="str">
        <f>IF(OR($B274="",$A274&gt;$B$9,I$245=""),"",IF(COUNTIFS(BD!$B$3:$B$5001,I$245,BD!$A$3:$A$5001,"&gt;="&amp;$C$7,BD!$A$3:$A$5001,"&lt;="&amp;$B274,BD!$X$3:$X$5001,"&lt;&gt;")=0,"",SUMIFS(BD!$X$3:$X$5001,BD!$B$3:$B$5001,I$245,BD!$A$3:$A$5001,_xlfn.MAXIFS(BD!$A$3:$A$5001,BD!$B$3:$B$5001,I$245,BD!$A$3:$A$5001,"&gt;="&amp;$C$7,BD!$A$3:$A$5001,"&lt;="&amp;$B274,BD!$X$3:$X$5001,"&lt;&gt;"))))</f>
        <v/>
      </c>
      <c r="J274" s="54" t="str">
        <f>IF(OR($B274="",$A274&gt;$B$9,J$245=""),"",IF(COUNTIFS(BD!$B$3:$B$5001,J$245,BD!$A$3:$A$5001,"&gt;="&amp;$C$7,BD!$A$3:$A$5001,"&lt;="&amp;$B274,BD!$X$3:$X$5001,"&lt;&gt;")=0,"",SUMIFS(BD!$X$3:$X$5001,BD!$B$3:$B$5001,J$245,BD!$A$3:$A$5001,_xlfn.MAXIFS(BD!$A$3:$A$5001,BD!$B$3:$B$5001,J$245,BD!$A$3:$A$5001,"&gt;="&amp;$C$7,BD!$A$3:$A$5001,"&lt;="&amp;$B274,BD!$X$3:$X$5001,"&lt;&gt;"))))</f>
        <v/>
      </c>
      <c r="K274" s="54" t="str">
        <f>IF(OR($B274="",$A274&gt;$B$9,K$245=""),"",IF(COUNTIFS(BD!$B$3:$B$5001,K$245,BD!$A$3:$A$5001,"&gt;="&amp;$C$7,BD!$A$3:$A$5001,"&lt;="&amp;$B274,BD!$X$3:$X$5001,"&lt;&gt;")=0,"",SUMIFS(BD!$X$3:$X$5001,BD!$B$3:$B$5001,K$245,BD!$A$3:$A$5001,_xlfn.MAXIFS(BD!$A$3:$A$5001,BD!$B$3:$B$5001,K$245,BD!$A$3:$A$5001,"&gt;="&amp;$C$7,BD!$A$3:$A$5001,"&lt;="&amp;$B274,BD!$X$3:$X$5001,"&lt;&gt;"))))</f>
        <v/>
      </c>
      <c r="L274" s="54" t="str">
        <f>IF(OR($B274="",$A274&gt;$B$9,L$245=""),"",IF(COUNTIFS(BD!$B$3:$B$5001,L$245,BD!$A$3:$A$5001,"&gt;="&amp;$C$7,BD!$A$3:$A$5001,"&lt;="&amp;$B274,BD!$X$3:$X$5001,"&lt;&gt;")=0,"",SUMIFS(BD!$X$3:$X$5001,BD!$B$3:$B$5001,L$245,BD!$A$3:$A$5001,_xlfn.MAXIFS(BD!$A$3:$A$5001,BD!$B$3:$B$5001,L$245,BD!$A$3:$A$5001,"&gt;="&amp;$C$7,BD!$A$3:$A$5001,"&lt;="&amp;$B274,BD!$X$3:$X$5001,"&lt;&gt;"))))</f>
        <v/>
      </c>
      <c r="M274" s="54" t="str">
        <f>IF(OR($B274="",$A274&gt;$B$9,M$245=""),"",IF(COUNTIFS(BD!$B$3:$B$5001,M$245,BD!$A$3:$A$5001,"&gt;="&amp;$C$7,BD!$A$3:$A$5001,"&lt;="&amp;$B274,BD!$X$3:$X$5001,"&lt;&gt;")=0,"",SUMIFS(BD!$X$3:$X$5001,BD!$B$3:$B$5001,M$245,BD!$A$3:$A$5001,_xlfn.MAXIFS(BD!$A$3:$A$5001,BD!$B$3:$B$5001,M$245,BD!$A$3:$A$5001,"&gt;="&amp;$C$7,BD!$A$3:$A$5001,"&lt;="&amp;$B274,BD!$X$3:$X$5001,"&lt;&gt;"))))</f>
        <v/>
      </c>
      <c r="N274" s="54" t="str">
        <f>IF(OR($B274="",$A274&gt;$B$9,N$245=""),"",IF(COUNTIFS(BD!$B$3:$B$5001,N$245,BD!$A$3:$A$5001,"&gt;="&amp;$C$7,BD!$A$3:$A$5001,"&lt;="&amp;$B274,BD!$X$3:$X$5001,"&lt;&gt;")=0,"",SUMIFS(BD!$X$3:$X$5001,BD!$B$3:$B$5001,N$245,BD!$A$3:$A$5001,_xlfn.MAXIFS(BD!$A$3:$A$5001,BD!$B$3:$B$5001,N$245,BD!$A$3:$A$5001,"&gt;="&amp;$C$7,BD!$A$3:$A$5001,"&lt;="&amp;$B274,BD!$X$3:$X$5001,"&lt;&gt;"))))</f>
        <v/>
      </c>
      <c r="O274" s="54" t="str">
        <f>IF(OR($B274="",$A274&gt;$B$9,O$245=""),"",IF(COUNTIFS(BD!$B$3:$B$5001,O$245,BD!$A$3:$A$5001,"&gt;="&amp;$C$7,BD!$A$3:$A$5001,"&lt;="&amp;$B274,BD!$X$3:$X$5001,"&lt;&gt;")=0,"",SUMIFS(BD!$X$3:$X$5001,BD!$B$3:$B$5001,O$245,BD!$A$3:$A$5001,_xlfn.MAXIFS(BD!$A$3:$A$5001,BD!$B$3:$B$5001,O$245,BD!$A$3:$A$5001,"&gt;="&amp;$C$7,BD!$A$3:$A$5001,"&lt;="&amp;$B274,BD!$X$3:$X$5001,"&lt;&gt;"))))</f>
        <v/>
      </c>
      <c r="P274" s="54" t="str">
        <f>IF(OR($B274="",$A274&gt;$B$9,P$245=""),"",IF(COUNTIFS(BD!$B$3:$B$5001,P$245,BD!$A$3:$A$5001,"&gt;="&amp;$C$7,BD!$A$3:$A$5001,"&lt;="&amp;$B274,BD!$X$3:$X$5001,"&lt;&gt;")=0,"",SUMIFS(BD!$X$3:$X$5001,BD!$B$3:$B$5001,P$245,BD!$A$3:$A$5001,_xlfn.MAXIFS(BD!$A$3:$A$5001,BD!$B$3:$B$5001,P$245,BD!$A$3:$A$5001,"&gt;="&amp;$C$7,BD!$A$3:$A$5001,"&lt;="&amp;$B274,BD!$X$3:$X$5001,"&lt;&gt;"))))</f>
        <v/>
      </c>
      <c r="Q274" s="54" t="str">
        <f>IF(OR($B274="",$A274&gt;$B$9,Q$245=""),"",IF(COUNTIFS(BD!$B$3:$B$5001,Q$245,BD!$A$3:$A$5001,"&gt;="&amp;$C$7,BD!$A$3:$A$5001,"&lt;="&amp;$B274,BD!$X$3:$X$5001,"&lt;&gt;")=0,"",SUMIFS(BD!$X$3:$X$5001,BD!$B$3:$B$5001,Q$245,BD!$A$3:$A$5001,_xlfn.MAXIFS(BD!$A$3:$A$5001,BD!$B$3:$B$5001,Q$245,BD!$A$3:$A$5001,"&gt;="&amp;$C$7,BD!$A$3:$A$5001,"&lt;="&amp;$B274,BD!$X$3:$X$5001,"&lt;&gt;"))))</f>
        <v/>
      </c>
      <c r="R274" s="54" t="str">
        <f>IF(OR($B274="",$A274&gt;$B$9,R$245=""),"",IF(COUNTIFS(BD!$B$3:$B$5001,R$245,BD!$A$3:$A$5001,"&gt;="&amp;$C$7,BD!$A$3:$A$5001,"&lt;="&amp;$B274,BD!$X$3:$X$5001,"&lt;&gt;")=0,"",SUMIFS(BD!$X$3:$X$5001,BD!$B$3:$B$5001,R$245,BD!$A$3:$A$5001,_xlfn.MAXIFS(BD!$A$3:$A$5001,BD!$B$3:$B$5001,R$245,BD!$A$3:$A$5001,"&gt;="&amp;$C$7,BD!$A$3:$A$5001,"&lt;="&amp;$B274,BD!$X$3:$X$5001,"&lt;&gt;"))))</f>
        <v/>
      </c>
      <c r="S274" s="54" t="str">
        <f>IF(OR($B274="",$A274&gt;$B$9,S$245=""),"",IF(COUNTIFS(BD!$B$3:$B$5001,S$245,BD!$A$3:$A$5001,"&gt;="&amp;$C$7,BD!$A$3:$A$5001,"&lt;="&amp;$B274,BD!$X$3:$X$5001,"&lt;&gt;")=0,"",SUMIFS(BD!$X$3:$X$5001,BD!$B$3:$B$5001,S$245,BD!$A$3:$A$5001,_xlfn.MAXIFS(BD!$A$3:$A$5001,BD!$B$3:$B$5001,S$245,BD!$A$3:$A$5001,"&gt;="&amp;$C$7,BD!$A$3:$A$5001,"&lt;="&amp;$B274,BD!$X$3:$X$5001,"&lt;&gt;"))))</f>
        <v/>
      </c>
      <c r="T274" s="54" t="str">
        <f>IF(OR($B274="",$A274&gt;$B$9,T$245=""),"",IF(COUNTIFS(BD!$B$3:$B$5001,T$245,BD!$A$3:$A$5001,"&gt;="&amp;$C$7,BD!$A$3:$A$5001,"&lt;="&amp;$B274,BD!$X$3:$X$5001,"&lt;&gt;")=0,"",SUMIFS(BD!$X$3:$X$5001,BD!$B$3:$B$5001,T$245,BD!$A$3:$A$5001,_xlfn.MAXIFS(BD!$A$3:$A$5001,BD!$B$3:$B$5001,T$245,BD!$A$3:$A$5001,"&gt;="&amp;$C$7,BD!$A$3:$A$5001,"&lt;="&amp;$B274,BD!$X$3:$X$5001,"&lt;&gt;"))))</f>
        <v/>
      </c>
      <c r="U274" s="54" t="str">
        <f>IF(OR($B274="",$A274&gt;$B$9,U$245=""),"",IF(COUNTIFS(BD!$B$3:$B$5001,U$245,BD!$A$3:$A$5001,"&gt;="&amp;$C$7,BD!$A$3:$A$5001,"&lt;="&amp;$B274,BD!$X$3:$X$5001,"&lt;&gt;")=0,"",SUMIFS(BD!$X$3:$X$5001,BD!$B$3:$B$5001,U$245,BD!$A$3:$A$5001,_xlfn.MAXIFS(BD!$A$3:$A$5001,BD!$B$3:$B$5001,U$245,BD!$A$3:$A$5001,"&gt;="&amp;$C$7,BD!$A$3:$A$5001,"&lt;="&amp;$B274,BD!$X$3:$X$5001,"&lt;&gt;"))))</f>
        <v/>
      </c>
      <c r="V274" s="54" t="str">
        <f>IF(OR($B274="",$A274&gt;$B$9,V$245=""),"",IF(COUNTIFS(BD!$B$3:$B$5001,V$245,BD!$A$3:$A$5001,"&gt;="&amp;$C$7,BD!$A$3:$A$5001,"&lt;="&amp;$B274,BD!$X$3:$X$5001,"&lt;&gt;")=0,"",SUMIFS(BD!$X$3:$X$5001,BD!$B$3:$B$5001,V$245,BD!$A$3:$A$5001,_xlfn.MAXIFS(BD!$A$3:$A$5001,BD!$B$3:$B$5001,V$245,BD!$A$3:$A$5001,"&gt;="&amp;$C$7,BD!$A$3:$A$5001,"&lt;="&amp;$B274,BD!$X$3:$X$5001,"&lt;&gt;"))))</f>
        <v/>
      </c>
    </row>
    <row r="275">
      <c r="A275" s="48">
        <v>30</v>
      </c>
      <c r="B275" s="53">
        <f>$B$41</f>
        <v>46325</v>
      </c>
      <c r="C275" s="54" t="str">
        <f>IF(OR($B275="",$A275&gt;$B$9,C$245=""),"",IF(COUNTIFS(BD!$B$3:$B$5001,C$245,BD!$A$3:$A$5001,"&gt;="&amp;$C$7,BD!$A$3:$A$5001,"&lt;="&amp;$B275,BD!$X$3:$X$5001,"&lt;&gt;")=0,"",SUMIFS(BD!$X$3:$X$5001,BD!$B$3:$B$5001,C$245,BD!$A$3:$A$5001,_xlfn.MAXIFS(BD!$A$3:$A$5001,BD!$B$3:$B$5001,C$245,BD!$A$3:$A$5001,"&gt;="&amp;$C$7,BD!$A$3:$A$5001,"&lt;="&amp;$B275,BD!$X$3:$X$5001,"&lt;&gt;"))))</f>
        <v/>
      </c>
      <c r="D275" s="54" t="str">
        <f>IF(OR($B275="",$A275&gt;$B$9,D$245=""),"",IF(COUNTIFS(BD!$B$3:$B$5001,D$245,BD!$A$3:$A$5001,"&gt;="&amp;$C$7,BD!$A$3:$A$5001,"&lt;="&amp;$B275,BD!$X$3:$X$5001,"&lt;&gt;")=0,"",SUMIFS(BD!$X$3:$X$5001,BD!$B$3:$B$5001,D$245,BD!$A$3:$A$5001,_xlfn.MAXIFS(BD!$A$3:$A$5001,BD!$B$3:$B$5001,D$245,BD!$A$3:$A$5001,"&gt;="&amp;$C$7,BD!$A$3:$A$5001,"&lt;="&amp;$B275,BD!$X$3:$X$5001,"&lt;&gt;"))))</f>
        <v/>
      </c>
      <c r="E275" s="54" t="str">
        <f>IF(OR($B275="",$A275&gt;$B$9,E$245=""),"",IF(COUNTIFS(BD!$B$3:$B$5001,E$245,BD!$A$3:$A$5001,"&gt;="&amp;$C$7,BD!$A$3:$A$5001,"&lt;="&amp;$B275,BD!$X$3:$X$5001,"&lt;&gt;")=0,"",SUMIFS(BD!$X$3:$X$5001,BD!$B$3:$B$5001,E$245,BD!$A$3:$A$5001,_xlfn.MAXIFS(BD!$A$3:$A$5001,BD!$B$3:$B$5001,E$245,BD!$A$3:$A$5001,"&gt;="&amp;$C$7,BD!$A$3:$A$5001,"&lt;="&amp;$B275,BD!$X$3:$X$5001,"&lt;&gt;"))))</f>
        <v/>
      </c>
      <c r="F275" s="54" t="str">
        <f>IF(OR($B275="",$A275&gt;$B$9,F$245=""),"",IF(COUNTIFS(BD!$B$3:$B$5001,F$245,BD!$A$3:$A$5001,"&gt;="&amp;$C$7,BD!$A$3:$A$5001,"&lt;="&amp;$B275,BD!$X$3:$X$5001,"&lt;&gt;")=0,"",SUMIFS(BD!$X$3:$X$5001,BD!$B$3:$B$5001,F$245,BD!$A$3:$A$5001,_xlfn.MAXIFS(BD!$A$3:$A$5001,BD!$B$3:$B$5001,F$245,BD!$A$3:$A$5001,"&gt;="&amp;$C$7,BD!$A$3:$A$5001,"&lt;="&amp;$B275,BD!$X$3:$X$5001,"&lt;&gt;"))))</f>
        <v/>
      </c>
      <c r="G275" s="54" t="str">
        <f>IF(OR($B275="",$A275&gt;$B$9,G$245=""),"",IF(COUNTIFS(BD!$B$3:$B$5001,G$245,BD!$A$3:$A$5001,"&gt;="&amp;$C$7,BD!$A$3:$A$5001,"&lt;="&amp;$B275,BD!$X$3:$X$5001,"&lt;&gt;")=0,"",SUMIFS(BD!$X$3:$X$5001,BD!$B$3:$B$5001,G$245,BD!$A$3:$A$5001,_xlfn.MAXIFS(BD!$A$3:$A$5001,BD!$B$3:$B$5001,G$245,BD!$A$3:$A$5001,"&gt;="&amp;$C$7,BD!$A$3:$A$5001,"&lt;="&amp;$B275,BD!$X$3:$X$5001,"&lt;&gt;"))))</f>
        <v/>
      </c>
      <c r="H275" s="54" t="str">
        <f>IF(OR($B275="",$A275&gt;$B$9,H$245=""),"",IF(COUNTIFS(BD!$B$3:$B$5001,H$245,BD!$A$3:$A$5001,"&gt;="&amp;$C$7,BD!$A$3:$A$5001,"&lt;="&amp;$B275,BD!$X$3:$X$5001,"&lt;&gt;")=0,"",SUMIFS(BD!$X$3:$X$5001,BD!$B$3:$B$5001,H$245,BD!$A$3:$A$5001,_xlfn.MAXIFS(BD!$A$3:$A$5001,BD!$B$3:$B$5001,H$245,BD!$A$3:$A$5001,"&gt;="&amp;$C$7,BD!$A$3:$A$5001,"&lt;="&amp;$B275,BD!$X$3:$X$5001,"&lt;&gt;"))))</f>
        <v/>
      </c>
      <c r="I275" s="54" t="str">
        <f>IF(OR($B275="",$A275&gt;$B$9,I$245=""),"",IF(COUNTIFS(BD!$B$3:$B$5001,I$245,BD!$A$3:$A$5001,"&gt;="&amp;$C$7,BD!$A$3:$A$5001,"&lt;="&amp;$B275,BD!$X$3:$X$5001,"&lt;&gt;")=0,"",SUMIFS(BD!$X$3:$X$5001,BD!$B$3:$B$5001,I$245,BD!$A$3:$A$5001,_xlfn.MAXIFS(BD!$A$3:$A$5001,BD!$B$3:$B$5001,I$245,BD!$A$3:$A$5001,"&gt;="&amp;$C$7,BD!$A$3:$A$5001,"&lt;="&amp;$B275,BD!$X$3:$X$5001,"&lt;&gt;"))))</f>
        <v/>
      </c>
      <c r="J275" s="54" t="str">
        <f>IF(OR($B275="",$A275&gt;$B$9,J$245=""),"",IF(COUNTIFS(BD!$B$3:$B$5001,J$245,BD!$A$3:$A$5001,"&gt;="&amp;$C$7,BD!$A$3:$A$5001,"&lt;="&amp;$B275,BD!$X$3:$X$5001,"&lt;&gt;")=0,"",SUMIFS(BD!$X$3:$X$5001,BD!$B$3:$B$5001,J$245,BD!$A$3:$A$5001,_xlfn.MAXIFS(BD!$A$3:$A$5001,BD!$B$3:$B$5001,J$245,BD!$A$3:$A$5001,"&gt;="&amp;$C$7,BD!$A$3:$A$5001,"&lt;="&amp;$B275,BD!$X$3:$X$5001,"&lt;&gt;"))))</f>
        <v/>
      </c>
      <c r="K275" s="54" t="str">
        <f>IF(OR($B275="",$A275&gt;$B$9,K$245=""),"",IF(COUNTIFS(BD!$B$3:$B$5001,K$245,BD!$A$3:$A$5001,"&gt;="&amp;$C$7,BD!$A$3:$A$5001,"&lt;="&amp;$B275,BD!$X$3:$X$5001,"&lt;&gt;")=0,"",SUMIFS(BD!$X$3:$X$5001,BD!$B$3:$B$5001,K$245,BD!$A$3:$A$5001,_xlfn.MAXIFS(BD!$A$3:$A$5001,BD!$B$3:$B$5001,K$245,BD!$A$3:$A$5001,"&gt;="&amp;$C$7,BD!$A$3:$A$5001,"&lt;="&amp;$B275,BD!$X$3:$X$5001,"&lt;&gt;"))))</f>
        <v/>
      </c>
      <c r="L275" s="54" t="str">
        <f>IF(OR($B275="",$A275&gt;$B$9,L$245=""),"",IF(COUNTIFS(BD!$B$3:$B$5001,L$245,BD!$A$3:$A$5001,"&gt;="&amp;$C$7,BD!$A$3:$A$5001,"&lt;="&amp;$B275,BD!$X$3:$X$5001,"&lt;&gt;")=0,"",SUMIFS(BD!$X$3:$X$5001,BD!$B$3:$B$5001,L$245,BD!$A$3:$A$5001,_xlfn.MAXIFS(BD!$A$3:$A$5001,BD!$B$3:$B$5001,L$245,BD!$A$3:$A$5001,"&gt;="&amp;$C$7,BD!$A$3:$A$5001,"&lt;="&amp;$B275,BD!$X$3:$X$5001,"&lt;&gt;"))))</f>
        <v/>
      </c>
      <c r="M275" s="54" t="str">
        <f>IF(OR($B275="",$A275&gt;$B$9,M$245=""),"",IF(COUNTIFS(BD!$B$3:$B$5001,M$245,BD!$A$3:$A$5001,"&gt;="&amp;$C$7,BD!$A$3:$A$5001,"&lt;="&amp;$B275,BD!$X$3:$X$5001,"&lt;&gt;")=0,"",SUMIFS(BD!$X$3:$X$5001,BD!$B$3:$B$5001,M$245,BD!$A$3:$A$5001,_xlfn.MAXIFS(BD!$A$3:$A$5001,BD!$B$3:$B$5001,M$245,BD!$A$3:$A$5001,"&gt;="&amp;$C$7,BD!$A$3:$A$5001,"&lt;="&amp;$B275,BD!$X$3:$X$5001,"&lt;&gt;"))))</f>
        <v/>
      </c>
      <c r="N275" s="54" t="str">
        <f>IF(OR($B275="",$A275&gt;$B$9,N$245=""),"",IF(COUNTIFS(BD!$B$3:$B$5001,N$245,BD!$A$3:$A$5001,"&gt;="&amp;$C$7,BD!$A$3:$A$5001,"&lt;="&amp;$B275,BD!$X$3:$X$5001,"&lt;&gt;")=0,"",SUMIFS(BD!$X$3:$X$5001,BD!$B$3:$B$5001,N$245,BD!$A$3:$A$5001,_xlfn.MAXIFS(BD!$A$3:$A$5001,BD!$B$3:$B$5001,N$245,BD!$A$3:$A$5001,"&gt;="&amp;$C$7,BD!$A$3:$A$5001,"&lt;="&amp;$B275,BD!$X$3:$X$5001,"&lt;&gt;"))))</f>
        <v/>
      </c>
      <c r="O275" s="54" t="str">
        <f>IF(OR($B275="",$A275&gt;$B$9,O$245=""),"",IF(COUNTIFS(BD!$B$3:$B$5001,O$245,BD!$A$3:$A$5001,"&gt;="&amp;$C$7,BD!$A$3:$A$5001,"&lt;="&amp;$B275,BD!$X$3:$X$5001,"&lt;&gt;")=0,"",SUMIFS(BD!$X$3:$X$5001,BD!$B$3:$B$5001,O$245,BD!$A$3:$A$5001,_xlfn.MAXIFS(BD!$A$3:$A$5001,BD!$B$3:$B$5001,O$245,BD!$A$3:$A$5001,"&gt;="&amp;$C$7,BD!$A$3:$A$5001,"&lt;="&amp;$B275,BD!$X$3:$X$5001,"&lt;&gt;"))))</f>
        <v/>
      </c>
      <c r="P275" s="54" t="str">
        <f>IF(OR($B275="",$A275&gt;$B$9,P$245=""),"",IF(COUNTIFS(BD!$B$3:$B$5001,P$245,BD!$A$3:$A$5001,"&gt;="&amp;$C$7,BD!$A$3:$A$5001,"&lt;="&amp;$B275,BD!$X$3:$X$5001,"&lt;&gt;")=0,"",SUMIFS(BD!$X$3:$X$5001,BD!$B$3:$B$5001,P$245,BD!$A$3:$A$5001,_xlfn.MAXIFS(BD!$A$3:$A$5001,BD!$B$3:$B$5001,P$245,BD!$A$3:$A$5001,"&gt;="&amp;$C$7,BD!$A$3:$A$5001,"&lt;="&amp;$B275,BD!$X$3:$X$5001,"&lt;&gt;"))))</f>
        <v/>
      </c>
      <c r="Q275" s="54" t="str">
        <f>IF(OR($B275="",$A275&gt;$B$9,Q$245=""),"",IF(COUNTIFS(BD!$B$3:$B$5001,Q$245,BD!$A$3:$A$5001,"&gt;="&amp;$C$7,BD!$A$3:$A$5001,"&lt;="&amp;$B275,BD!$X$3:$X$5001,"&lt;&gt;")=0,"",SUMIFS(BD!$X$3:$X$5001,BD!$B$3:$B$5001,Q$245,BD!$A$3:$A$5001,_xlfn.MAXIFS(BD!$A$3:$A$5001,BD!$B$3:$B$5001,Q$245,BD!$A$3:$A$5001,"&gt;="&amp;$C$7,BD!$A$3:$A$5001,"&lt;="&amp;$B275,BD!$X$3:$X$5001,"&lt;&gt;"))))</f>
        <v/>
      </c>
      <c r="R275" s="54" t="str">
        <f>IF(OR($B275="",$A275&gt;$B$9,R$245=""),"",IF(COUNTIFS(BD!$B$3:$B$5001,R$245,BD!$A$3:$A$5001,"&gt;="&amp;$C$7,BD!$A$3:$A$5001,"&lt;="&amp;$B275,BD!$X$3:$X$5001,"&lt;&gt;")=0,"",SUMIFS(BD!$X$3:$X$5001,BD!$B$3:$B$5001,R$245,BD!$A$3:$A$5001,_xlfn.MAXIFS(BD!$A$3:$A$5001,BD!$B$3:$B$5001,R$245,BD!$A$3:$A$5001,"&gt;="&amp;$C$7,BD!$A$3:$A$5001,"&lt;="&amp;$B275,BD!$X$3:$X$5001,"&lt;&gt;"))))</f>
        <v/>
      </c>
      <c r="S275" s="54" t="str">
        <f>IF(OR($B275="",$A275&gt;$B$9,S$245=""),"",IF(COUNTIFS(BD!$B$3:$B$5001,S$245,BD!$A$3:$A$5001,"&gt;="&amp;$C$7,BD!$A$3:$A$5001,"&lt;="&amp;$B275,BD!$X$3:$X$5001,"&lt;&gt;")=0,"",SUMIFS(BD!$X$3:$X$5001,BD!$B$3:$B$5001,S$245,BD!$A$3:$A$5001,_xlfn.MAXIFS(BD!$A$3:$A$5001,BD!$B$3:$B$5001,S$245,BD!$A$3:$A$5001,"&gt;="&amp;$C$7,BD!$A$3:$A$5001,"&lt;="&amp;$B275,BD!$X$3:$X$5001,"&lt;&gt;"))))</f>
        <v/>
      </c>
      <c r="T275" s="54" t="str">
        <f>IF(OR($B275="",$A275&gt;$B$9,T$245=""),"",IF(COUNTIFS(BD!$B$3:$B$5001,T$245,BD!$A$3:$A$5001,"&gt;="&amp;$C$7,BD!$A$3:$A$5001,"&lt;="&amp;$B275,BD!$X$3:$X$5001,"&lt;&gt;")=0,"",SUMIFS(BD!$X$3:$X$5001,BD!$B$3:$B$5001,T$245,BD!$A$3:$A$5001,_xlfn.MAXIFS(BD!$A$3:$A$5001,BD!$B$3:$B$5001,T$245,BD!$A$3:$A$5001,"&gt;="&amp;$C$7,BD!$A$3:$A$5001,"&lt;="&amp;$B275,BD!$X$3:$X$5001,"&lt;&gt;"))))</f>
        <v/>
      </c>
      <c r="U275" s="54" t="str">
        <f>IF(OR($B275="",$A275&gt;$B$9,U$245=""),"",IF(COUNTIFS(BD!$B$3:$B$5001,U$245,BD!$A$3:$A$5001,"&gt;="&amp;$C$7,BD!$A$3:$A$5001,"&lt;="&amp;$B275,BD!$X$3:$X$5001,"&lt;&gt;")=0,"",SUMIFS(BD!$X$3:$X$5001,BD!$B$3:$B$5001,U$245,BD!$A$3:$A$5001,_xlfn.MAXIFS(BD!$A$3:$A$5001,BD!$B$3:$B$5001,U$245,BD!$A$3:$A$5001,"&gt;="&amp;$C$7,BD!$A$3:$A$5001,"&lt;="&amp;$B275,BD!$X$3:$X$5001,"&lt;&gt;"))))</f>
        <v/>
      </c>
      <c r="V275" s="54" t="str">
        <f>IF(OR($B275="",$A275&gt;$B$9,V$245=""),"",IF(COUNTIFS(BD!$B$3:$B$5001,V$245,BD!$A$3:$A$5001,"&gt;="&amp;$C$7,BD!$A$3:$A$5001,"&lt;="&amp;$B275,BD!$X$3:$X$5001,"&lt;&gt;")=0,"",SUMIFS(BD!$X$3:$X$5001,BD!$B$3:$B$5001,V$245,BD!$A$3:$A$5001,_xlfn.MAXIFS(BD!$A$3:$A$5001,BD!$B$3:$B$5001,V$245,BD!$A$3:$A$5001,"&gt;="&amp;$C$7,BD!$A$3:$A$5001,"&lt;="&amp;$B275,BD!$X$3:$X$5001,"&lt;&gt;"))))</f>
        <v/>
      </c>
    </row>
    <row r="276">
      <c r="A276" s="48">
        <v>31</v>
      </c>
      <c r="B276" s="53">
        <f>$B$42</f>
        <v>46326</v>
      </c>
      <c r="C276" s="54" t="str">
        <f>IF(OR($B276="",$A276&gt;$B$9,C$245=""),"",IF(COUNTIFS(BD!$B$3:$B$5001,C$245,BD!$A$3:$A$5001,"&gt;="&amp;$C$7,BD!$A$3:$A$5001,"&lt;="&amp;$B276,BD!$X$3:$X$5001,"&lt;&gt;")=0,"",SUMIFS(BD!$X$3:$X$5001,BD!$B$3:$B$5001,C$245,BD!$A$3:$A$5001,_xlfn.MAXIFS(BD!$A$3:$A$5001,BD!$B$3:$B$5001,C$245,BD!$A$3:$A$5001,"&gt;="&amp;$C$7,BD!$A$3:$A$5001,"&lt;="&amp;$B276,BD!$X$3:$X$5001,"&lt;&gt;"))))</f>
        <v/>
      </c>
      <c r="D276" s="54" t="str">
        <f>IF(OR($B276="",$A276&gt;$B$9,D$245=""),"",IF(COUNTIFS(BD!$B$3:$B$5001,D$245,BD!$A$3:$A$5001,"&gt;="&amp;$C$7,BD!$A$3:$A$5001,"&lt;="&amp;$B276,BD!$X$3:$X$5001,"&lt;&gt;")=0,"",SUMIFS(BD!$X$3:$X$5001,BD!$B$3:$B$5001,D$245,BD!$A$3:$A$5001,_xlfn.MAXIFS(BD!$A$3:$A$5001,BD!$B$3:$B$5001,D$245,BD!$A$3:$A$5001,"&gt;="&amp;$C$7,BD!$A$3:$A$5001,"&lt;="&amp;$B276,BD!$X$3:$X$5001,"&lt;&gt;"))))</f>
        <v/>
      </c>
      <c r="E276" s="54" t="str">
        <f>IF(OR($B276="",$A276&gt;$B$9,E$245=""),"",IF(COUNTIFS(BD!$B$3:$B$5001,E$245,BD!$A$3:$A$5001,"&gt;="&amp;$C$7,BD!$A$3:$A$5001,"&lt;="&amp;$B276,BD!$X$3:$X$5001,"&lt;&gt;")=0,"",SUMIFS(BD!$X$3:$X$5001,BD!$B$3:$B$5001,E$245,BD!$A$3:$A$5001,_xlfn.MAXIFS(BD!$A$3:$A$5001,BD!$B$3:$B$5001,E$245,BD!$A$3:$A$5001,"&gt;="&amp;$C$7,BD!$A$3:$A$5001,"&lt;="&amp;$B276,BD!$X$3:$X$5001,"&lt;&gt;"))))</f>
        <v/>
      </c>
      <c r="F276" s="54" t="str">
        <f>IF(OR($B276="",$A276&gt;$B$9,F$245=""),"",IF(COUNTIFS(BD!$B$3:$B$5001,F$245,BD!$A$3:$A$5001,"&gt;="&amp;$C$7,BD!$A$3:$A$5001,"&lt;="&amp;$B276,BD!$X$3:$X$5001,"&lt;&gt;")=0,"",SUMIFS(BD!$X$3:$X$5001,BD!$B$3:$B$5001,F$245,BD!$A$3:$A$5001,_xlfn.MAXIFS(BD!$A$3:$A$5001,BD!$B$3:$B$5001,F$245,BD!$A$3:$A$5001,"&gt;="&amp;$C$7,BD!$A$3:$A$5001,"&lt;="&amp;$B276,BD!$X$3:$X$5001,"&lt;&gt;"))))</f>
        <v/>
      </c>
      <c r="G276" s="54" t="str">
        <f>IF(OR($B276="",$A276&gt;$B$9,G$245=""),"",IF(COUNTIFS(BD!$B$3:$B$5001,G$245,BD!$A$3:$A$5001,"&gt;="&amp;$C$7,BD!$A$3:$A$5001,"&lt;="&amp;$B276,BD!$X$3:$X$5001,"&lt;&gt;")=0,"",SUMIFS(BD!$X$3:$X$5001,BD!$B$3:$B$5001,G$245,BD!$A$3:$A$5001,_xlfn.MAXIFS(BD!$A$3:$A$5001,BD!$B$3:$B$5001,G$245,BD!$A$3:$A$5001,"&gt;="&amp;$C$7,BD!$A$3:$A$5001,"&lt;="&amp;$B276,BD!$X$3:$X$5001,"&lt;&gt;"))))</f>
        <v/>
      </c>
      <c r="H276" s="54" t="str">
        <f>IF(OR($B276="",$A276&gt;$B$9,H$245=""),"",IF(COUNTIFS(BD!$B$3:$B$5001,H$245,BD!$A$3:$A$5001,"&gt;="&amp;$C$7,BD!$A$3:$A$5001,"&lt;="&amp;$B276,BD!$X$3:$X$5001,"&lt;&gt;")=0,"",SUMIFS(BD!$X$3:$X$5001,BD!$B$3:$B$5001,H$245,BD!$A$3:$A$5001,_xlfn.MAXIFS(BD!$A$3:$A$5001,BD!$B$3:$B$5001,H$245,BD!$A$3:$A$5001,"&gt;="&amp;$C$7,BD!$A$3:$A$5001,"&lt;="&amp;$B276,BD!$X$3:$X$5001,"&lt;&gt;"))))</f>
        <v/>
      </c>
      <c r="I276" s="54" t="str">
        <f>IF(OR($B276="",$A276&gt;$B$9,I$245=""),"",IF(COUNTIFS(BD!$B$3:$B$5001,I$245,BD!$A$3:$A$5001,"&gt;="&amp;$C$7,BD!$A$3:$A$5001,"&lt;="&amp;$B276,BD!$X$3:$X$5001,"&lt;&gt;")=0,"",SUMIFS(BD!$X$3:$X$5001,BD!$B$3:$B$5001,I$245,BD!$A$3:$A$5001,_xlfn.MAXIFS(BD!$A$3:$A$5001,BD!$B$3:$B$5001,I$245,BD!$A$3:$A$5001,"&gt;="&amp;$C$7,BD!$A$3:$A$5001,"&lt;="&amp;$B276,BD!$X$3:$X$5001,"&lt;&gt;"))))</f>
        <v/>
      </c>
      <c r="J276" s="54" t="str">
        <f>IF(OR($B276="",$A276&gt;$B$9,J$245=""),"",IF(COUNTIFS(BD!$B$3:$B$5001,J$245,BD!$A$3:$A$5001,"&gt;="&amp;$C$7,BD!$A$3:$A$5001,"&lt;="&amp;$B276,BD!$X$3:$X$5001,"&lt;&gt;")=0,"",SUMIFS(BD!$X$3:$X$5001,BD!$B$3:$B$5001,J$245,BD!$A$3:$A$5001,_xlfn.MAXIFS(BD!$A$3:$A$5001,BD!$B$3:$B$5001,J$245,BD!$A$3:$A$5001,"&gt;="&amp;$C$7,BD!$A$3:$A$5001,"&lt;="&amp;$B276,BD!$X$3:$X$5001,"&lt;&gt;"))))</f>
        <v/>
      </c>
      <c r="K276" s="54" t="str">
        <f>IF(OR($B276="",$A276&gt;$B$9,K$245=""),"",IF(COUNTIFS(BD!$B$3:$B$5001,K$245,BD!$A$3:$A$5001,"&gt;="&amp;$C$7,BD!$A$3:$A$5001,"&lt;="&amp;$B276,BD!$X$3:$X$5001,"&lt;&gt;")=0,"",SUMIFS(BD!$X$3:$X$5001,BD!$B$3:$B$5001,K$245,BD!$A$3:$A$5001,_xlfn.MAXIFS(BD!$A$3:$A$5001,BD!$B$3:$B$5001,K$245,BD!$A$3:$A$5001,"&gt;="&amp;$C$7,BD!$A$3:$A$5001,"&lt;="&amp;$B276,BD!$X$3:$X$5001,"&lt;&gt;"))))</f>
        <v/>
      </c>
      <c r="L276" s="54" t="str">
        <f>IF(OR($B276="",$A276&gt;$B$9,L$245=""),"",IF(COUNTIFS(BD!$B$3:$B$5001,L$245,BD!$A$3:$A$5001,"&gt;="&amp;$C$7,BD!$A$3:$A$5001,"&lt;="&amp;$B276,BD!$X$3:$X$5001,"&lt;&gt;")=0,"",SUMIFS(BD!$X$3:$X$5001,BD!$B$3:$B$5001,L$245,BD!$A$3:$A$5001,_xlfn.MAXIFS(BD!$A$3:$A$5001,BD!$B$3:$B$5001,L$245,BD!$A$3:$A$5001,"&gt;="&amp;$C$7,BD!$A$3:$A$5001,"&lt;="&amp;$B276,BD!$X$3:$X$5001,"&lt;&gt;"))))</f>
        <v/>
      </c>
      <c r="M276" s="54" t="str">
        <f>IF(OR($B276="",$A276&gt;$B$9,M$245=""),"",IF(COUNTIFS(BD!$B$3:$B$5001,M$245,BD!$A$3:$A$5001,"&gt;="&amp;$C$7,BD!$A$3:$A$5001,"&lt;="&amp;$B276,BD!$X$3:$X$5001,"&lt;&gt;")=0,"",SUMIFS(BD!$X$3:$X$5001,BD!$B$3:$B$5001,M$245,BD!$A$3:$A$5001,_xlfn.MAXIFS(BD!$A$3:$A$5001,BD!$B$3:$B$5001,M$245,BD!$A$3:$A$5001,"&gt;="&amp;$C$7,BD!$A$3:$A$5001,"&lt;="&amp;$B276,BD!$X$3:$X$5001,"&lt;&gt;"))))</f>
        <v/>
      </c>
      <c r="N276" s="54" t="str">
        <f>IF(OR($B276="",$A276&gt;$B$9,N$245=""),"",IF(COUNTIFS(BD!$B$3:$B$5001,N$245,BD!$A$3:$A$5001,"&gt;="&amp;$C$7,BD!$A$3:$A$5001,"&lt;="&amp;$B276,BD!$X$3:$X$5001,"&lt;&gt;")=0,"",SUMIFS(BD!$X$3:$X$5001,BD!$B$3:$B$5001,N$245,BD!$A$3:$A$5001,_xlfn.MAXIFS(BD!$A$3:$A$5001,BD!$B$3:$B$5001,N$245,BD!$A$3:$A$5001,"&gt;="&amp;$C$7,BD!$A$3:$A$5001,"&lt;="&amp;$B276,BD!$X$3:$X$5001,"&lt;&gt;"))))</f>
        <v/>
      </c>
      <c r="O276" s="54" t="str">
        <f>IF(OR($B276="",$A276&gt;$B$9,O$245=""),"",IF(COUNTIFS(BD!$B$3:$B$5001,O$245,BD!$A$3:$A$5001,"&gt;="&amp;$C$7,BD!$A$3:$A$5001,"&lt;="&amp;$B276,BD!$X$3:$X$5001,"&lt;&gt;")=0,"",SUMIFS(BD!$X$3:$X$5001,BD!$B$3:$B$5001,O$245,BD!$A$3:$A$5001,_xlfn.MAXIFS(BD!$A$3:$A$5001,BD!$B$3:$B$5001,O$245,BD!$A$3:$A$5001,"&gt;="&amp;$C$7,BD!$A$3:$A$5001,"&lt;="&amp;$B276,BD!$X$3:$X$5001,"&lt;&gt;"))))</f>
        <v/>
      </c>
      <c r="P276" s="54" t="str">
        <f>IF(OR($B276="",$A276&gt;$B$9,P$245=""),"",IF(COUNTIFS(BD!$B$3:$B$5001,P$245,BD!$A$3:$A$5001,"&gt;="&amp;$C$7,BD!$A$3:$A$5001,"&lt;="&amp;$B276,BD!$X$3:$X$5001,"&lt;&gt;")=0,"",SUMIFS(BD!$X$3:$X$5001,BD!$B$3:$B$5001,P$245,BD!$A$3:$A$5001,_xlfn.MAXIFS(BD!$A$3:$A$5001,BD!$B$3:$B$5001,P$245,BD!$A$3:$A$5001,"&gt;="&amp;$C$7,BD!$A$3:$A$5001,"&lt;="&amp;$B276,BD!$X$3:$X$5001,"&lt;&gt;"))))</f>
        <v/>
      </c>
      <c r="Q276" s="54" t="str">
        <f>IF(OR($B276="",$A276&gt;$B$9,Q$245=""),"",IF(COUNTIFS(BD!$B$3:$B$5001,Q$245,BD!$A$3:$A$5001,"&gt;="&amp;$C$7,BD!$A$3:$A$5001,"&lt;="&amp;$B276,BD!$X$3:$X$5001,"&lt;&gt;")=0,"",SUMIFS(BD!$X$3:$X$5001,BD!$B$3:$B$5001,Q$245,BD!$A$3:$A$5001,_xlfn.MAXIFS(BD!$A$3:$A$5001,BD!$B$3:$B$5001,Q$245,BD!$A$3:$A$5001,"&gt;="&amp;$C$7,BD!$A$3:$A$5001,"&lt;="&amp;$B276,BD!$X$3:$X$5001,"&lt;&gt;"))))</f>
        <v/>
      </c>
      <c r="R276" s="54" t="str">
        <f>IF(OR($B276="",$A276&gt;$B$9,R$245=""),"",IF(COUNTIFS(BD!$B$3:$B$5001,R$245,BD!$A$3:$A$5001,"&gt;="&amp;$C$7,BD!$A$3:$A$5001,"&lt;="&amp;$B276,BD!$X$3:$X$5001,"&lt;&gt;")=0,"",SUMIFS(BD!$X$3:$X$5001,BD!$B$3:$B$5001,R$245,BD!$A$3:$A$5001,_xlfn.MAXIFS(BD!$A$3:$A$5001,BD!$B$3:$B$5001,R$245,BD!$A$3:$A$5001,"&gt;="&amp;$C$7,BD!$A$3:$A$5001,"&lt;="&amp;$B276,BD!$X$3:$X$5001,"&lt;&gt;"))))</f>
        <v/>
      </c>
      <c r="S276" s="54" t="str">
        <f>IF(OR($B276="",$A276&gt;$B$9,S$245=""),"",IF(COUNTIFS(BD!$B$3:$B$5001,S$245,BD!$A$3:$A$5001,"&gt;="&amp;$C$7,BD!$A$3:$A$5001,"&lt;="&amp;$B276,BD!$X$3:$X$5001,"&lt;&gt;")=0,"",SUMIFS(BD!$X$3:$X$5001,BD!$B$3:$B$5001,S$245,BD!$A$3:$A$5001,_xlfn.MAXIFS(BD!$A$3:$A$5001,BD!$B$3:$B$5001,S$245,BD!$A$3:$A$5001,"&gt;="&amp;$C$7,BD!$A$3:$A$5001,"&lt;="&amp;$B276,BD!$X$3:$X$5001,"&lt;&gt;"))))</f>
        <v/>
      </c>
      <c r="T276" s="54" t="str">
        <f>IF(OR($B276="",$A276&gt;$B$9,T$245=""),"",IF(COUNTIFS(BD!$B$3:$B$5001,T$245,BD!$A$3:$A$5001,"&gt;="&amp;$C$7,BD!$A$3:$A$5001,"&lt;="&amp;$B276,BD!$X$3:$X$5001,"&lt;&gt;")=0,"",SUMIFS(BD!$X$3:$X$5001,BD!$B$3:$B$5001,T$245,BD!$A$3:$A$5001,_xlfn.MAXIFS(BD!$A$3:$A$5001,BD!$B$3:$B$5001,T$245,BD!$A$3:$A$5001,"&gt;="&amp;$C$7,BD!$A$3:$A$5001,"&lt;="&amp;$B276,BD!$X$3:$X$5001,"&lt;&gt;"))))</f>
        <v/>
      </c>
      <c r="U276" s="54" t="str">
        <f>IF(OR($B276="",$A276&gt;$B$9,U$245=""),"",IF(COUNTIFS(BD!$B$3:$B$5001,U$245,BD!$A$3:$A$5001,"&gt;="&amp;$C$7,BD!$A$3:$A$5001,"&lt;="&amp;$B276,BD!$X$3:$X$5001,"&lt;&gt;")=0,"",SUMIFS(BD!$X$3:$X$5001,BD!$B$3:$B$5001,U$245,BD!$A$3:$A$5001,_xlfn.MAXIFS(BD!$A$3:$A$5001,BD!$B$3:$B$5001,U$245,BD!$A$3:$A$5001,"&gt;="&amp;$C$7,BD!$A$3:$A$5001,"&lt;="&amp;$B276,BD!$X$3:$X$5001,"&lt;&gt;"))))</f>
        <v/>
      </c>
      <c r="V276" s="54" t="str">
        <f>IF(OR($B276="",$A276&gt;$B$9,V$245=""),"",IF(COUNTIFS(BD!$B$3:$B$5001,V$245,BD!$A$3:$A$5001,"&gt;="&amp;$C$7,BD!$A$3:$A$5001,"&lt;="&amp;$B276,BD!$X$3:$X$5001,"&lt;&gt;")=0,"",SUMIFS(BD!$X$3:$X$5001,BD!$B$3:$B$5001,V$245,BD!$A$3:$A$5001,_xlfn.MAXIFS(BD!$A$3:$A$5001,BD!$B$3:$B$5001,V$245,BD!$A$3:$A$5001,"&gt;="&amp;$C$7,BD!$A$3:$A$5001,"&lt;="&amp;$B276,BD!$X$3:$X$5001,"&lt;&gt;"))))</f>
        <v/>
      </c>
    </row>
    <row r="277">
      <c r="A277" s="55" t="inlineStr">
        <is>
          <t xml:space="preserve">Mês anterior (último)</t>
        </is>
      </c>
      <c r="C277" s="56" t="str">
        <f>IF(C$245="","",IF(COUNTIFS(BD!$B$3:$B$5001,C$245,BD!$A$3:$A$5001,"&gt;="&amp;$C$8,BD!$A$3:$A$5001,"&lt;="&amp;$D$8,BD!$X$3:$X$5001,"&lt;&gt;")=0,"",SUMIFS(BD!$X$3:$X$5001,BD!$B$3:$B$5001,C$245,BD!$A$3:$A$5001,_xlfn.MAXIFS(BD!$A$3:$A$5001,BD!$B$3:$B$5001,C$245,BD!$A$3:$A$5001,"&gt;="&amp;$C$8,BD!$A$3:$A$5001,"&lt;="&amp;$D$8,BD!$X$3:$X$5001,"&lt;&gt;"))))</f>
        <v/>
      </c>
      <c r="D277" s="56" t="str">
        <f>IF(D$245="","",IF(COUNTIFS(BD!$B$3:$B$5001,D$245,BD!$A$3:$A$5001,"&gt;="&amp;$C$8,BD!$A$3:$A$5001,"&lt;="&amp;$D$8,BD!$X$3:$X$5001,"&lt;&gt;")=0,"",SUMIFS(BD!$X$3:$X$5001,BD!$B$3:$B$5001,D$245,BD!$A$3:$A$5001,_xlfn.MAXIFS(BD!$A$3:$A$5001,BD!$B$3:$B$5001,D$245,BD!$A$3:$A$5001,"&gt;="&amp;$C$8,BD!$A$3:$A$5001,"&lt;="&amp;$D$8,BD!$X$3:$X$5001,"&lt;&gt;"))))</f>
        <v/>
      </c>
      <c r="E277" s="56" t="str">
        <f>IF(E$245="","",IF(COUNTIFS(BD!$B$3:$B$5001,E$245,BD!$A$3:$A$5001,"&gt;="&amp;$C$8,BD!$A$3:$A$5001,"&lt;="&amp;$D$8,BD!$X$3:$X$5001,"&lt;&gt;")=0,"",SUMIFS(BD!$X$3:$X$5001,BD!$B$3:$B$5001,E$245,BD!$A$3:$A$5001,_xlfn.MAXIFS(BD!$A$3:$A$5001,BD!$B$3:$B$5001,E$245,BD!$A$3:$A$5001,"&gt;="&amp;$C$8,BD!$A$3:$A$5001,"&lt;="&amp;$D$8,BD!$X$3:$X$5001,"&lt;&gt;"))))</f>
        <v/>
      </c>
      <c r="F277" s="56" t="str">
        <f>IF(F$245="","",IF(COUNTIFS(BD!$B$3:$B$5001,F$245,BD!$A$3:$A$5001,"&gt;="&amp;$C$8,BD!$A$3:$A$5001,"&lt;="&amp;$D$8,BD!$X$3:$X$5001,"&lt;&gt;")=0,"",SUMIFS(BD!$X$3:$X$5001,BD!$B$3:$B$5001,F$245,BD!$A$3:$A$5001,_xlfn.MAXIFS(BD!$A$3:$A$5001,BD!$B$3:$B$5001,F$245,BD!$A$3:$A$5001,"&gt;="&amp;$C$8,BD!$A$3:$A$5001,"&lt;="&amp;$D$8,BD!$X$3:$X$5001,"&lt;&gt;"))))</f>
        <v/>
      </c>
      <c r="G277" s="56" t="str">
        <f>IF(G$245="","",IF(COUNTIFS(BD!$B$3:$B$5001,G$245,BD!$A$3:$A$5001,"&gt;="&amp;$C$8,BD!$A$3:$A$5001,"&lt;="&amp;$D$8,BD!$X$3:$X$5001,"&lt;&gt;")=0,"",SUMIFS(BD!$X$3:$X$5001,BD!$B$3:$B$5001,G$245,BD!$A$3:$A$5001,_xlfn.MAXIFS(BD!$A$3:$A$5001,BD!$B$3:$B$5001,G$245,BD!$A$3:$A$5001,"&gt;="&amp;$C$8,BD!$A$3:$A$5001,"&lt;="&amp;$D$8,BD!$X$3:$X$5001,"&lt;&gt;"))))</f>
        <v/>
      </c>
      <c r="H277" s="56" t="str">
        <f>IF(H$245="","",IF(COUNTIFS(BD!$B$3:$B$5001,H$245,BD!$A$3:$A$5001,"&gt;="&amp;$C$8,BD!$A$3:$A$5001,"&lt;="&amp;$D$8,BD!$X$3:$X$5001,"&lt;&gt;")=0,"",SUMIFS(BD!$X$3:$X$5001,BD!$B$3:$B$5001,H$245,BD!$A$3:$A$5001,_xlfn.MAXIFS(BD!$A$3:$A$5001,BD!$B$3:$B$5001,H$245,BD!$A$3:$A$5001,"&gt;="&amp;$C$8,BD!$A$3:$A$5001,"&lt;="&amp;$D$8,BD!$X$3:$X$5001,"&lt;&gt;"))))</f>
        <v/>
      </c>
      <c r="I277" s="56" t="str">
        <f>IF(I$245="","",IF(COUNTIFS(BD!$B$3:$B$5001,I$245,BD!$A$3:$A$5001,"&gt;="&amp;$C$8,BD!$A$3:$A$5001,"&lt;="&amp;$D$8,BD!$X$3:$X$5001,"&lt;&gt;")=0,"",SUMIFS(BD!$X$3:$X$5001,BD!$B$3:$B$5001,I$245,BD!$A$3:$A$5001,_xlfn.MAXIFS(BD!$A$3:$A$5001,BD!$B$3:$B$5001,I$245,BD!$A$3:$A$5001,"&gt;="&amp;$C$8,BD!$A$3:$A$5001,"&lt;="&amp;$D$8,BD!$X$3:$X$5001,"&lt;&gt;"))))</f>
        <v/>
      </c>
      <c r="J277" s="56" t="str">
        <f>IF(J$245="","",IF(COUNTIFS(BD!$B$3:$B$5001,J$245,BD!$A$3:$A$5001,"&gt;="&amp;$C$8,BD!$A$3:$A$5001,"&lt;="&amp;$D$8,BD!$X$3:$X$5001,"&lt;&gt;")=0,"",SUMIFS(BD!$X$3:$X$5001,BD!$B$3:$B$5001,J$245,BD!$A$3:$A$5001,_xlfn.MAXIFS(BD!$A$3:$A$5001,BD!$B$3:$B$5001,J$245,BD!$A$3:$A$5001,"&gt;="&amp;$C$8,BD!$A$3:$A$5001,"&lt;="&amp;$D$8,BD!$X$3:$X$5001,"&lt;&gt;"))))</f>
        <v/>
      </c>
      <c r="K277" s="56" t="str">
        <f>IF(K$245="","",IF(COUNTIFS(BD!$B$3:$B$5001,K$245,BD!$A$3:$A$5001,"&gt;="&amp;$C$8,BD!$A$3:$A$5001,"&lt;="&amp;$D$8,BD!$X$3:$X$5001,"&lt;&gt;")=0,"",SUMIFS(BD!$X$3:$X$5001,BD!$B$3:$B$5001,K$245,BD!$A$3:$A$5001,_xlfn.MAXIFS(BD!$A$3:$A$5001,BD!$B$3:$B$5001,K$245,BD!$A$3:$A$5001,"&gt;="&amp;$C$8,BD!$A$3:$A$5001,"&lt;="&amp;$D$8,BD!$X$3:$X$5001,"&lt;&gt;"))))</f>
        <v/>
      </c>
      <c r="L277" s="56" t="str">
        <f>IF(L$245="","",IF(COUNTIFS(BD!$B$3:$B$5001,L$245,BD!$A$3:$A$5001,"&gt;="&amp;$C$8,BD!$A$3:$A$5001,"&lt;="&amp;$D$8,BD!$X$3:$X$5001,"&lt;&gt;")=0,"",SUMIFS(BD!$X$3:$X$5001,BD!$B$3:$B$5001,L$245,BD!$A$3:$A$5001,_xlfn.MAXIFS(BD!$A$3:$A$5001,BD!$B$3:$B$5001,L$245,BD!$A$3:$A$5001,"&gt;="&amp;$C$8,BD!$A$3:$A$5001,"&lt;="&amp;$D$8,BD!$X$3:$X$5001,"&lt;&gt;"))))</f>
        <v/>
      </c>
      <c r="M277" s="56" t="str">
        <f>IF(M$245="","",IF(COUNTIFS(BD!$B$3:$B$5001,M$245,BD!$A$3:$A$5001,"&gt;="&amp;$C$8,BD!$A$3:$A$5001,"&lt;="&amp;$D$8,BD!$X$3:$X$5001,"&lt;&gt;")=0,"",SUMIFS(BD!$X$3:$X$5001,BD!$B$3:$B$5001,M$245,BD!$A$3:$A$5001,_xlfn.MAXIFS(BD!$A$3:$A$5001,BD!$B$3:$B$5001,M$245,BD!$A$3:$A$5001,"&gt;="&amp;$C$8,BD!$A$3:$A$5001,"&lt;="&amp;$D$8,BD!$X$3:$X$5001,"&lt;&gt;"))))</f>
        <v/>
      </c>
      <c r="N277" s="56" t="str">
        <f>IF(N$245="","",IF(COUNTIFS(BD!$B$3:$B$5001,N$245,BD!$A$3:$A$5001,"&gt;="&amp;$C$8,BD!$A$3:$A$5001,"&lt;="&amp;$D$8,BD!$X$3:$X$5001,"&lt;&gt;")=0,"",SUMIFS(BD!$X$3:$X$5001,BD!$B$3:$B$5001,N$245,BD!$A$3:$A$5001,_xlfn.MAXIFS(BD!$A$3:$A$5001,BD!$B$3:$B$5001,N$245,BD!$A$3:$A$5001,"&gt;="&amp;$C$8,BD!$A$3:$A$5001,"&lt;="&amp;$D$8,BD!$X$3:$X$5001,"&lt;&gt;"))))</f>
        <v/>
      </c>
      <c r="O277" s="56" t="str">
        <f>IF(O$245="","",IF(COUNTIFS(BD!$B$3:$B$5001,O$245,BD!$A$3:$A$5001,"&gt;="&amp;$C$8,BD!$A$3:$A$5001,"&lt;="&amp;$D$8,BD!$X$3:$X$5001,"&lt;&gt;")=0,"",SUMIFS(BD!$X$3:$X$5001,BD!$B$3:$B$5001,O$245,BD!$A$3:$A$5001,_xlfn.MAXIFS(BD!$A$3:$A$5001,BD!$B$3:$B$5001,O$245,BD!$A$3:$A$5001,"&gt;="&amp;$C$8,BD!$A$3:$A$5001,"&lt;="&amp;$D$8,BD!$X$3:$X$5001,"&lt;&gt;"))))</f>
        <v/>
      </c>
      <c r="P277" s="56" t="str">
        <f>IF(P$245="","",IF(COUNTIFS(BD!$B$3:$B$5001,P$245,BD!$A$3:$A$5001,"&gt;="&amp;$C$8,BD!$A$3:$A$5001,"&lt;="&amp;$D$8,BD!$X$3:$X$5001,"&lt;&gt;")=0,"",SUMIFS(BD!$X$3:$X$5001,BD!$B$3:$B$5001,P$245,BD!$A$3:$A$5001,_xlfn.MAXIFS(BD!$A$3:$A$5001,BD!$B$3:$B$5001,P$245,BD!$A$3:$A$5001,"&gt;="&amp;$C$8,BD!$A$3:$A$5001,"&lt;="&amp;$D$8,BD!$X$3:$X$5001,"&lt;&gt;"))))</f>
        <v/>
      </c>
      <c r="Q277" s="56" t="str">
        <f>IF(Q$245="","",IF(COUNTIFS(BD!$B$3:$B$5001,Q$245,BD!$A$3:$A$5001,"&gt;="&amp;$C$8,BD!$A$3:$A$5001,"&lt;="&amp;$D$8,BD!$X$3:$X$5001,"&lt;&gt;")=0,"",SUMIFS(BD!$X$3:$X$5001,BD!$B$3:$B$5001,Q$245,BD!$A$3:$A$5001,_xlfn.MAXIFS(BD!$A$3:$A$5001,BD!$B$3:$B$5001,Q$245,BD!$A$3:$A$5001,"&gt;="&amp;$C$8,BD!$A$3:$A$5001,"&lt;="&amp;$D$8,BD!$X$3:$X$5001,"&lt;&gt;"))))</f>
        <v/>
      </c>
      <c r="R277" s="56" t="str">
        <f>IF(R$245="","",IF(COUNTIFS(BD!$B$3:$B$5001,R$245,BD!$A$3:$A$5001,"&gt;="&amp;$C$8,BD!$A$3:$A$5001,"&lt;="&amp;$D$8,BD!$X$3:$X$5001,"&lt;&gt;")=0,"",SUMIFS(BD!$X$3:$X$5001,BD!$B$3:$B$5001,R$245,BD!$A$3:$A$5001,_xlfn.MAXIFS(BD!$A$3:$A$5001,BD!$B$3:$B$5001,R$245,BD!$A$3:$A$5001,"&gt;="&amp;$C$8,BD!$A$3:$A$5001,"&lt;="&amp;$D$8,BD!$X$3:$X$5001,"&lt;&gt;"))))</f>
        <v/>
      </c>
      <c r="S277" s="56" t="str">
        <f>IF(S$245="","",IF(COUNTIFS(BD!$B$3:$B$5001,S$245,BD!$A$3:$A$5001,"&gt;="&amp;$C$8,BD!$A$3:$A$5001,"&lt;="&amp;$D$8,BD!$X$3:$X$5001,"&lt;&gt;")=0,"",SUMIFS(BD!$X$3:$X$5001,BD!$B$3:$B$5001,S$245,BD!$A$3:$A$5001,_xlfn.MAXIFS(BD!$A$3:$A$5001,BD!$B$3:$B$5001,S$245,BD!$A$3:$A$5001,"&gt;="&amp;$C$8,BD!$A$3:$A$5001,"&lt;="&amp;$D$8,BD!$X$3:$X$5001,"&lt;&gt;"))))</f>
        <v/>
      </c>
      <c r="T277" s="56" t="str">
        <f>IF(T$245="","",IF(COUNTIFS(BD!$B$3:$B$5001,T$245,BD!$A$3:$A$5001,"&gt;="&amp;$C$8,BD!$A$3:$A$5001,"&lt;="&amp;$D$8,BD!$X$3:$X$5001,"&lt;&gt;")=0,"",SUMIFS(BD!$X$3:$X$5001,BD!$B$3:$B$5001,T$245,BD!$A$3:$A$5001,_xlfn.MAXIFS(BD!$A$3:$A$5001,BD!$B$3:$B$5001,T$245,BD!$A$3:$A$5001,"&gt;="&amp;$C$8,BD!$A$3:$A$5001,"&lt;="&amp;$D$8,BD!$X$3:$X$5001,"&lt;&gt;"))))</f>
        <v/>
      </c>
      <c r="U277" s="56" t="str">
        <f>IF(U$245="","",IF(COUNTIFS(BD!$B$3:$B$5001,U$245,BD!$A$3:$A$5001,"&gt;="&amp;$C$8,BD!$A$3:$A$5001,"&lt;="&amp;$D$8,BD!$X$3:$X$5001,"&lt;&gt;")=0,"",SUMIFS(BD!$X$3:$X$5001,BD!$B$3:$B$5001,U$245,BD!$A$3:$A$5001,_xlfn.MAXIFS(BD!$A$3:$A$5001,BD!$B$3:$B$5001,U$245,BD!$A$3:$A$5001,"&gt;="&amp;$C$8,BD!$A$3:$A$5001,"&lt;="&amp;$D$8,BD!$X$3:$X$5001,"&lt;&gt;"))))</f>
        <v/>
      </c>
      <c r="V277" s="56" t="str">
        <f>IF(V$245="","",IF(COUNTIFS(BD!$B$3:$B$5001,V$245,BD!$A$3:$A$5001,"&gt;="&amp;$C$8,BD!$A$3:$A$5001,"&lt;="&amp;$D$8,BD!$X$3:$X$5001,"&lt;&gt;")=0,"",SUMIFS(BD!$X$3:$X$5001,BD!$B$3:$B$5001,V$245,BD!$A$3:$A$5001,_xlfn.MAXIFS(BD!$A$3:$A$5001,BD!$B$3:$B$5001,V$245,BD!$A$3:$A$5001,"&gt;="&amp;$C$8,BD!$A$3:$A$5001,"&lt;="&amp;$D$8,BD!$X$3:$X$5001,"&lt;&gt;"))))</f>
        <v/>
      </c>
    </row>
    <row r="278">
      <c r="A278" s="55" t="inlineStr">
        <is>
          <t xml:space="preserve">Depósito</t>
        </is>
      </c>
      <c r="C278" s="48" t="str">
        <f>IF(Config!$C$10="","TPC",Config!$C$10)</f>
        <v>TPC</v>
      </c>
      <c r="D278" s="48" t="str">
        <f>IF(Config!$C$11="","TPC",Config!$C$11)</f>
        <v>TPC</v>
      </c>
      <c r="E278" s="48" t="str">
        <f>IF(Config!$C$12="","TPC",Config!$C$12)</f>
        <v>TPC</v>
      </c>
      <c r="F278" s="48" t="str">
        <f>IF(Config!$C$13="","TPC",Config!$C$13)</f>
        <v>TPC</v>
      </c>
      <c r="G278" s="48" t="str">
        <f>IF(Config!$C$14="","TPC",Config!$C$14)</f>
        <v>TPC</v>
      </c>
      <c r="H278" s="48" t="str">
        <f>IF(Config!$C$15="","TPC",Config!$C$15)</f>
        <v>TPC</v>
      </c>
      <c r="I278" s="48" t="str">
        <f>IF(Config!$C$16="","TPC",Config!$C$16)</f>
        <v>TPC</v>
      </c>
      <c r="J278" s="48" t="str">
        <f>IF(Config!$C$17="","TPC",Config!$C$17)</f>
        <v>TPC</v>
      </c>
      <c r="K278" s="48" t="str">
        <f>IF(Config!$C$18="","TPC",Config!$C$18)</f>
        <v>TPC</v>
      </c>
      <c r="L278" s="48" t="str">
        <f>IF(Config!$C$19="","TPC",Config!$C$19)</f>
        <v>TPC</v>
      </c>
      <c r="M278" s="48" t="str">
        <f>IF(Config!$C$20="","TPC",Config!$C$20)</f>
        <v>TPC</v>
      </c>
      <c r="N278" s="48" t="str">
        <f>IF(Config!$C$21="","TPC",Config!$C$21)</f>
        <v>TPC</v>
      </c>
      <c r="O278" s="48" t="str">
        <f>IF(Config!$C$22="","TPC",Config!$C$22)</f>
        <v>TPC</v>
      </c>
      <c r="P278" s="48" t="str">
        <f>IF(Config!$C$23="","TPC",Config!$C$23)</f>
        <v>TPC</v>
      </c>
      <c r="Q278" s="48" t="str">
        <f>IF(Config!$C$24="","TPC",Config!$C$24)</f>
        <v>TPC</v>
      </c>
      <c r="R278" s="48" t="str">
        <f>IF(Config!$C$25="","TPC",Config!$C$25)</f>
        <v>TPC</v>
      </c>
      <c r="S278" s="48" t="str">
        <f>IF(Config!$C$26="","TPC",Config!$C$26)</f>
        <v>TPC</v>
      </c>
      <c r="T278" s="48" t="str">
        <f>IF(Config!$C$27="","TPC",Config!$C$27)</f>
        <v>TPC</v>
      </c>
      <c r="U278" s="48" t="str">
        <f>IF(Config!$C$28="","TPC",Config!$C$28)</f>
        <v>TPC</v>
      </c>
      <c r="V278" s="48" t="str">
        <f>IF(Config!$C$29="","TPC",Config!$C$29)</f>
        <v>TPC</v>
      </c>
    </row>
    <row r="280">
      <c r="A280" s="47" t="inlineStr">
        <is>
          <t xml:space="preserve">Efetivo Op.</t>
        </is>
      </c>
      <c r="B280" s="47" t="inlineStr">
        <is>
          <t xml:space="preserve">Data</t>
        </is>
      </c>
      <c r="C280" s="47" t="str">
        <f>Config!$B$10&amp;""</f>
        <v>Alpargatas</v>
      </c>
      <c r="D280" s="47" t="str">
        <f>Config!$B$11&amp;""</f>
        <v>Basf</v>
      </c>
      <c r="E280" s="47" t="str">
        <f>Config!$B$12&amp;""</f>
        <v>Beautybiz</v>
      </c>
      <c r="F280" s="47" t="str">
        <f>Config!$B$13&amp;""</f>
        <v>Boticário</v>
      </c>
      <c r="G280" s="47" t="str">
        <f>Config!$B$14&amp;""</f>
        <v>Confiance</v>
      </c>
      <c r="H280" s="47" t="str">
        <f>Config!$B$15&amp;""</f>
        <v>GE Vernova</v>
      </c>
      <c r="I280" s="47" t="str">
        <f>Config!$B$16&amp;""</f>
        <v>Omnilife</v>
      </c>
      <c r="J280" s="47" t="str">
        <f>Config!$B$17&amp;""</f>
        <v>Supply</v>
      </c>
      <c r="K280" s="47" t="str">
        <f>Config!$B$18&amp;""</f>
        <v>Vedacit</v>
      </c>
      <c r="L280" s="47" t="str">
        <f>Config!$B$19&amp;""</f>
        <v>Vestas</v>
      </c>
      <c r="M280" s="47" t="str">
        <f>Config!$B$20&amp;""</f>
        <v/>
      </c>
      <c r="N280" s="47" t="str">
        <f>Config!$B$21&amp;""</f>
        <v/>
      </c>
      <c r="O280" s="47" t="str">
        <f>Config!$B$22&amp;""</f>
        <v/>
      </c>
      <c r="P280" s="47" t="str">
        <f>Config!$B$23&amp;""</f>
        <v/>
      </c>
      <c r="Q280" s="47" t="str">
        <f>Config!$B$24&amp;""</f>
        <v/>
      </c>
      <c r="R280" s="47" t="str">
        <f>Config!$B$25&amp;""</f>
        <v/>
      </c>
      <c r="S280" s="47" t="str">
        <f>Config!$B$26&amp;""</f>
        <v/>
      </c>
      <c r="T280" s="47" t="str">
        <f>Config!$B$27&amp;""</f>
        <v/>
      </c>
      <c r="U280" s="47" t="str">
        <f>Config!$B$28&amp;""</f>
        <v/>
      </c>
      <c r="V280" s="47" t="str">
        <f>Config!$B$29&amp;""</f>
        <v/>
      </c>
    </row>
    <row r="281">
      <c r="A281" s="48">
        <v>1</v>
      </c>
      <c r="B281" s="53">
        <f>$B$12</f>
        <v>46296</v>
      </c>
      <c r="C281" s="54" t="str">
        <f>IF(OR($B281="",$A281&gt;$B$9,C$280=""),"",IF(COUNTIFS(BD!$B$3:$B$5001,C$280,BD!$A$3:$A$5001,"&gt;="&amp;$C$7,BD!$A$3:$A$5001,"&lt;="&amp;$B281,BD!$Z$3:$Z$5001,"&lt;&gt;")=0,"",SUMIFS(BD!$Z$3:$Z$5001,BD!$B$3:$B$5001,C$280,BD!$A$3:$A$5001,_xlfn.MAXIFS(BD!$A$3:$A$5001,BD!$B$3:$B$5001,C$280,BD!$A$3:$A$5001,"&gt;="&amp;$C$7,BD!$A$3:$A$5001,"&lt;="&amp;$B281,BD!$Z$3:$Z$5001,"&lt;&gt;"))))</f>
        <v/>
      </c>
      <c r="D281" s="54" t="str">
        <f>IF(OR($B281="",$A281&gt;$B$9,D$280=""),"",IF(COUNTIFS(BD!$B$3:$B$5001,D$280,BD!$A$3:$A$5001,"&gt;="&amp;$C$7,BD!$A$3:$A$5001,"&lt;="&amp;$B281,BD!$Z$3:$Z$5001,"&lt;&gt;")=0,"",SUMIFS(BD!$Z$3:$Z$5001,BD!$B$3:$B$5001,D$280,BD!$A$3:$A$5001,_xlfn.MAXIFS(BD!$A$3:$A$5001,BD!$B$3:$B$5001,D$280,BD!$A$3:$A$5001,"&gt;="&amp;$C$7,BD!$A$3:$A$5001,"&lt;="&amp;$B281,BD!$Z$3:$Z$5001,"&lt;&gt;"))))</f>
        <v/>
      </c>
      <c r="E281" s="54" t="str">
        <f>IF(OR($B281="",$A281&gt;$B$9,E$280=""),"",IF(COUNTIFS(BD!$B$3:$B$5001,E$280,BD!$A$3:$A$5001,"&gt;="&amp;$C$7,BD!$A$3:$A$5001,"&lt;="&amp;$B281,BD!$Z$3:$Z$5001,"&lt;&gt;")=0,"",SUMIFS(BD!$Z$3:$Z$5001,BD!$B$3:$B$5001,E$280,BD!$A$3:$A$5001,_xlfn.MAXIFS(BD!$A$3:$A$5001,BD!$B$3:$B$5001,E$280,BD!$A$3:$A$5001,"&gt;="&amp;$C$7,BD!$A$3:$A$5001,"&lt;="&amp;$B281,BD!$Z$3:$Z$5001,"&lt;&gt;"))))</f>
        <v/>
      </c>
      <c r="F281" s="54" t="str">
        <f>IF(OR($B281="",$A281&gt;$B$9,F$280=""),"",IF(COUNTIFS(BD!$B$3:$B$5001,F$280,BD!$A$3:$A$5001,"&gt;="&amp;$C$7,BD!$A$3:$A$5001,"&lt;="&amp;$B281,BD!$Z$3:$Z$5001,"&lt;&gt;")=0,"",SUMIFS(BD!$Z$3:$Z$5001,BD!$B$3:$B$5001,F$280,BD!$A$3:$A$5001,_xlfn.MAXIFS(BD!$A$3:$A$5001,BD!$B$3:$B$5001,F$280,BD!$A$3:$A$5001,"&gt;="&amp;$C$7,BD!$A$3:$A$5001,"&lt;="&amp;$B281,BD!$Z$3:$Z$5001,"&lt;&gt;"))))</f>
        <v/>
      </c>
      <c r="G281" s="54" t="str">
        <f>IF(OR($B281="",$A281&gt;$B$9,G$280=""),"",IF(COUNTIFS(BD!$B$3:$B$5001,G$280,BD!$A$3:$A$5001,"&gt;="&amp;$C$7,BD!$A$3:$A$5001,"&lt;="&amp;$B281,BD!$Z$3:$Z$5001,"&lt;&gt;")=0,"",SUMIFS(BD!$Z$3:$Z$5001,BD!$B$3:$B$5001,G$280,BD!$A$3:$A$5001,_xlfn.MAXIFS(BD!$A$3:$A$5001,BD!$B$3:$B$5001,G$280,BD!$A$3:$A$5001,"&gt;="&amp;$C$7,BD!$A$3:$A$5001,"&lt;="&amp;$B281,BD!$Z$3:$Z$5001,"&lt;&gt;"))))</f>
        <v/>
      </c>
      <c r="H281" s="54" t="str">
        <f>IF(OR($B281="",$A281&gt;$B$9,H$280=""),"",IF(COUNTIFS(BD!$B$3:$B$5001,H$280,BD!$A$3:$A$5001,"&gt;="&amp;$C$7,BD!$A$3:$A$5001,"&lt;="&amp;$B281,BD!$Z$3:$Z$5001,"&lt;&gt;")=0,"",SUMIFS(BD!$Z$3:$Z$5001,BD!$B$3:$B$5001,H$280,BD!$A$3:$A$5001,_xlfn.MAXIFS(BD!$A$3:$A$5001,BD!$B$3:$B$5001,H$280,BD!$A$3:$A$5001,"&gt;="&amp;$C$7,BD!$A$3:$A$5001,"&lt;="&amp;$B281,BD!$Z$3:$Z$5001,"&lt;&gt;"))))</f>
        <v/>
      </c>
      <c r="I281" s="54" t="str">
        <f>IF(OR($B281="",$A281&gt;$B$9,I$280=""),"",IF(COUNTIFS(BD!$B$3:$B$5001,I$280,BD!$A$3:$A$5001,"&gt;="&amp;$C$7,BD!$A$3:$A$5001,"&lt;="&amp;$B281,BD!$Z$3:$Z$5001,"&lt;&gt;")=0,"",SUMIFS(BD!$Z$3:$Z$5001,BD!$B$3:$B$5001,I$280,BD!$A$3:$A$5001,_xlfn.MAXIFS(BD!$A$3:$A$5001,BD!$B$3:$B$5001,I$280,BD!$A$3:$A$5001,"&gt;="&amp;$C$7,BD!$A$3:$A$5001,"&lt;="&amp;$B281,BD!$Z$3:$Z$5001,"&lt;&gt;"))))</f>
        <v/>
      </c>
      <c r="J281" s="54" t="str">
        <f>IF(OR($B281="",$A281&gt;$B$9,J$280=""),"",IF(COUNTIFS(BD!$B$3:$B$5001,J$280,BD!$A$3:$A$5001,"&gt;="&amp;$C$7,BD!$A$3:$A$5001,"&lt;="&amp;$B281,BD!$Z$3:$Z$5001,"&lt;&gt;")=0,"",SUMIFS(BD!$Z$3:$Z$5001,BD!$B$3:$B$5001,J$280,BD!$A$3:$A$5001,_xlfn.MAXIFS(BD!$A$3:$A$5001,BD!$B$3:$B$5001,J$280,BD!$A$3:$A$5001,"&gt;="&amp;$C$7,BD!$A$3:$A$5001,"&lt;="&amp;$B281,BD!$Z$3:$Z$5001,"&lt;&gt;"))))</f>
        <v/>
      </c>
      <c r="K281" s="54" t="str">
        <f>IF(OR($B281="",$A281&gt;$B$9,K$280=""),"",IF(COUNTIFS(BD!$B$3:$B$5001,K$280,BD!$A$3:$A$5001,"&gt;="&amp;$C$7,BD!$A$3:$A$5001,"&lt;="&amp;$B281,BD!$Z$3:$Z$5001,"&lt;&gt;")=0,"",SUMIFS(BD!$Z$3:$Z$5001,BD!$B$3:$B$5001,K$280,BD!$A$3:$A$5001,_xlfn.MAXIFS(BD!$A$3:$A$5001,BD!$B$3:$B$5001,K$280,BD!$A$3:$A$5001,"&gt;="&amp;$C$7,BD!$A$3:$A$5001,"&lt;="&amp;$B281,BD!$Z$3:$Z$5001,"&lt;&gt;"))))</f>
        <v/>
      </c>
      <c r="L281" s="54" t="str">
        <f>IF(OR($B281="",$A281&gt;$B$9,L$280=""),"",IF(COUNTIFS(BD!$B$3:$B$5001,L$280,BD!$A$3:$A$5001,"&gt;="&amp;$C$7,BD!$A$3:$A$5001,"&lt;="&amp;$B281,BD!$Z$3:$Z$5001,"&lt;&gt;")=0,"",SUMIFS(BD!$Z$3:$Z$5001,BD!$B$3:$B$5001,L$280,BD!$A$3:$A$5001,_xlfn.MAXIFS(BD!$A$3:$A$5001,BD!$B$3:$B$5001,L$280,BD!$A$3:$A$5001,"&gt;="&amp;$C$7,BD!$A$3:$A$5001,"&lt;="&amp;$B281,BD!$Z$3:$Z$5001,"&lt;&gt;"))))</f>
        <v/>
      </c>
      <c r="M281" s="54" t="str">
        <f>IF(OR($B281="",$A281&gt;$B$9,M$280=""),"",IF(COUNTIFS(BD!$B$3:$B$5001,M$280,BD!$A$3:$A$5001,"&gt;="&amp;$C$7,BD!$A$3:$A$5001,"&lt;="&amp;$B281,BD!$Z$3:$Z$5001,"&lt;&gt;")=0,"",SUMIFS(BD!$Z$3:$Z$5001,BD!$B$3:$B$5001,M$280,BD!$A$3:$A$5001,_xlfn.MAXIFS(BD!$A$3:$A$5001,BD!$B$3:$B$5001,M$280,BD!$A$3:$A$5001,"&gt;="&amp;$C$7,BD!$A$3:$A$5001,"&lt;="&amp;$B281,BD!$Z$3:$Z$5001,"&lt;&gt;"))))</f>
        <v/>
      </c>
      <c r="N281" s="54" t="str">
        <f>IF(OR($B281="",$A281&gt;$B$9,N$280=""),"",IF(COUNTIFS(BD!$B$3:$B$5001,N$280,BD!$A$3:$A$5001,"&gt;="&amp;$C$7,BD!$A$3:$A$5001,"&lt;="&amp;$B281,BD!$Z$3:$Z$5001,"&lt;&gt;")=0,"",SUMIFS(BD!$Z$3:$Z$5001,BD!$B$3:$B$5001,N$280,BD!$A$3:$A$5001,_xlfn.MAXIFS(BD!$A$3:$A$5001,BD!$B$3:$B$5001,N$280,BD!$A$3:$A$5001,"&gt;="&amp;$C$7,BD!$A$3:$A$5001,"&lt;="&amp;$B281,BD!$Z$3:$Z$5001,"&lt;&gt;"))))</f>
        <v/>
      </c>
      <c r="O281" s="54" t="str">
        <f>IF(OR($B281="",$A281&gt;$B$9,O$280=""),"",IF(COUNTIFS(BD!$B$3:$B$5001,O$280,BD!$A$3:$A$5001,"&gt;="&amp;$C$7,BD!$A$3:$A$5001,"&lt;="&amp;$B281,BD!$Z$3:$Z$5001,"&lt;&gt;")=0,"",SUMIFS(BD!$Z$3:$Z$5001,BD!$B$3:$B$5001,O$280,BD!$A$3:$A$5001,_xlfn.MAXIFS(BD!$A$3:$A$5001,BD!$B$3:$B$5001,O$280,BD!$A$3:$A$5001,"&gt;="&amp;$C$7,BD!$A$3:$A$5001,"&lt;="&amp;$B281,BD!$Z$3:$Z$5001,"&lt;&gt;"))))</f>
        <v/>
      </c>
      <c r="P281" s="54" t="str">
        <f>IF(OR($B281="",$A281&gt;$B$9,P$280=""),"",IF(COUNTIFS(BD!$B$3:$B$5001,P$280,BD!$A$3:$A$5001,"&gt;="&amp;$C$7,BD!$A$3:$A$5001,"&lt;="&amp;$B281,BD!$Z$3:$Z$5001,"&lt;&gt;")=0,"",SUMIFS(BD!$Z$3:$Z$5001,BD!$B$3:$B$5001,P$280,BD!$A$3:$A$5001,_xlfn.MAXIFS(BD!$A$3:$A$5001,BD!$B$3:$B$5001,P$280,BD!$A$3:$A$5001,"&gt;="&amp;$C$7,BD!$A$3:$A$5001,"&lt;="&amp;$B281,BD!$Z$3:$Z$5001,"&lt;&gt;"))))</f>
        <v/>
      </c>
      <c r="Q281" s="54" t="str">
        <f>IF(OR($B281="",$A281&gt;$B$9,Q$280=""),"",IF(COUNTIFS(BD!$B$3:$B$5001,Q$280,BD!$A$3:$A$5001,"&gt;="&amp;$C$7,BD!$A$3:$A$5001,"&lt;="&amp;$B281,BD!$Z$3:$Z$5001,"&lt;&gt;")=0,"",SUMIFS(BD!$Z$3:$Z$5001,BD!$B$3:$B$5001,Q$280,BD!$A$3:$A$5001,_xlfn.MAXIFS(BD!$A$3:$A$5001,BD!$B$3:$B$5001,Q$280,BD!$A$3:$A$5001,"&gt;="&amp;$C$7,BD!$A$3:$A$5001,"&lt;="&amp;$B281,BD!$Z$3:$Z$5001,"&lt;&gt;"))))</f>
        <v/>
      </c>
      <c r="R281" s="54" t="str">
        <f>IF(OR($B281="",$A281&gt;$B$9,R$280=""),"",IF(COUNTIFS(BD!$B$3:$B$5001,R$280,BD!$A$3:$A$5001,"&gt;="&amp;$C$7,BD!$A$3:$A$5001,"&lt;="&amp;$B281,BD!$Z$3:$Z$5001,"&lt;&gt;")=0,"",SUMIFS(BD!$Z$3:$Z$5001,BD!$B$3:$B$5001,R$280,BD!$A$3:$A$5001,_xlfn.MAXIFS(BD!$A$3:$A$5001,BD!$B$3:$B$5001,R$280,BD!$A$3:$A$5001,"&gt;="&amp;$C$7,BD!$A$3:$A$5001,"&lt;="&amp;$B281,BD!$Z$3:$Z$5001,"&lt;&gt;"))))</f>
        <v/>
      </c>
      <c r="S281" s="54" t="str">
        <f>IF(OR($B281="",$A281&gt;$B$9,S$280=""),"",IF(COUNTIFS(BD!$B$3:$B$5001,S$280,BD!$A$3:$A$5001,"&gt;="&amp;$C$7,BD!$A$3:$A$5001,"&lt;="&amp;$B281,BD!$Z$3:$Z$5001,"&lt;&gt;")=0,"",SUMIFS(BD!$Z$3:$Z$5001,BD!$B$3:$B$5001,S$280,BD!$A$3:$A$5001,_xlfn.MAXIFS(BD!$A$3:$A$5001,BD!$B$3:$B$5001,S$280,BD!$A$3:$A$5001,"&gt;="&amp;$C$7,BD!$A$3:$A$5001,"&lt;="&amp;$B281,BD!$Z$3:$Z$5001,"&lt;&gt;"))))</f>
        <v/>
      </c>
      <c r="T281" s="54" t="str">
        <f>IF(OR($B281="",$A281&gt;$B$9,T$280=""),"",IF(COUNTIFS(BD!$B$3:$B$5001,T$280,BD!$A$3:$A$5001,"&gt;="&amp;$C$7,BD!$A$3:$A$5001,"&lt;="&amp;$B281,BD!$Z$3:$Z$5001,"&lt;&gt;")=0,"",SUMIFS(BD!$Z$3:$Z$5001,BD!$B$3:$B$5001,T$280,BD!$A$3:$A$5001,_xlfn.MAXIFS(BD!$A$3:$A$5001,BD!$B$3:$B$5001,T$280,BD!$A$3:$A$5001,"&gt;="&amp;$C$7,BD!$A$3:$A$5001,"&lt;="&amp;$B281,BD!$Z$3:$Z$5001,"&lt;&gt;"))))</f>
        <v/>
      </c>
      <c r="U281" s="54" t="str">
        <f>IF(OR($B281="",$A281&gt;$B$9,U$280=""),"",IF(COUNTIFS(BD!$B$3:$B$5001,U$280,BD!$A$3:$A$5001,"&gt;="&amp;$C$7,BD!$A$3:$A$5001,"&lt;="&amp;$B281,BD!$Z$3:$Z$5001,"&lt;&gt;")=0,"",SUMIFS(BD!$Z$3:$Z$5001,BD!$B$3:$B$5001,U$280,BD!$A$3:$A$5001,_xlfn.MAXIFS(BD!$A$3:$A$5001,BD!$B$3:$B$5001,U$280,BD!$A$3:$A$5001,"&gt;="&amp;$C$7,BD!$A$3:$A$5001,"&lt;="&amp;$B281,BD!$Z$3:$Z$5001,"&lt;&gt;"))))</f>
        <v/>
      </c>
      <c r="V281" s="54" t="str">
        <f>IF(OR($B281="",$A281&gt;$B$9,V$280=""),"",IF(COUNTIFS(BD!$B$3:$B$5001,V$280,BD!$A$3:$A$5001,"&gt;="&amp;$C$7,BD!$A$3:$A$5001,"&lt;="&amp;$B281,BD!$Z$3:$Z$5001,"&lt;&gt;")=0,"",SUMIFS(BD!$Z$3:$Z$5001,BD!$B$3:$B$5001,V$280,BD!$A$3:$A$5001,_xlfn.MAXIFS(BD!$A$3:$A$5001,BD!$B$3:$B$5001,V$280,BD!$A$3:$A$5001,"&gt;="&amp;$C$7,BD!$A$3:$A$5001,"&lt;="&amp;$B281,BD!$Z$3:$Z$5001,"&lt;&gt;"))))</f>
        <v/>
      </c>
    </row>
    <row r="282">
      <c r="A282" s="48">
        <v>2</v>
      </c>
      <c r="B282" s="53">
        <f>$B$13</f>
        <v>46297</v>
      </c>
      <c r="C282" s="54" t="str">
        <f>IF(OR($B282="",$A282&gt;$B$9,C$280=""),"",IF(COUNTIFS(BD!$B$3:$B$5001,C$280,BD!$A$3:$A$5001,"&gt;="&amp;$C$7,BD!$A$3:$A$5001,"&lt;="&amp;$B282,BD!$Z$3:$Z$5001,"&lt;&gt;")=0,"",SUMIFS(BD!$Z$3:$Z$5001,BD!$B$3:$B$5001,C$280,BD!$A$3:$A$5001,_xlfn.MAXIFS(BD!$A$3:$A$5001,BD!$B$3:$B$5001,C$280,BD!$A$3:$A$5001,"&gt;="&amp;$C$7,BD!$A$3:$A$5001,"&lt;="&amp;$B282,BD!$Z$3:$Z$5001,"&lt;&gt;"))))</f>
        <v/>
      </c>
      <c r="D282" s="54" t="str">
        <f>IF(OR($B282="",$A282&gt;$B$9,D$280=""),"",IF(COUNTIFS(BD!$B$3:$B$5001,D$280,BD!$A$3:$A$5001,"&gt;="&amp;$C$7,BD!$A$3:$A$5001,"&lt;="&amp;$B282,BD!$Z$3:$Z$5001,"&lt;&gt;")=0,"",SUMIFS(BD!$Z$3:$Z$5001,BD!$B$3:$B$5001,D$280,BD!$A$3:$A$5001,_xlfn.MAXIFS(BD!$A$3:$A$5001,BD!$B$3:$B$5001,D$280,BD!$A$3:$A$5001,"&gt;="&amp;$C$7,BD!$A$3:$A$5001,"&lt;="&amp;$B282,BD!$Z$3:$Z$5001,"&lt;&gt;"))))</f>
        <v/>
      </c>
      <c r="E282" s="54" t="str">
        <f>IF(OR($B282="",$A282&gt;$B$9,E$280=""),"",IF(COUNTIFS(BD!$B$3:$B$5001,E$280,BD!$A$3:$A$5001,"&gt;="&amp;$C$7,BD!$A$3:$A$5001,"&lt;="&amp;$B282,BD!$Z$3:$Z$5001,"&lt;&gt;")=0,"",SUMIFS(BD!$Z$3:$Z$5001,BD!$B$3:$B$5001,E$280,BD!$A$3:$A$5001,_xlfn.MAXIFS(BD!$A$3:$A$5001,BD!$B$3:$B$5001,E$280,BD!$A$3:$A$5001,"&gt;="&amp;$C$7,BD!$A$3:$A$5001,"&lt;="&amp;$B282,BD!$Z$3:$Z$5001,"&lt;&gt;"))))</f>
        <v/>
      </c>
      <c r="F282" s="54" t="str">
        <f>IF(OR($B282="",$A282&gt;$B$9,F$280=""),"",IF(COUNTIFS(BD!$B$3:$B$5001,F$280,BD!$A$3:$A$5001,"&gt;="&amp;$C$7,BD!$A$3:$A$5001,"&lt;="&amp;$B282,BD!$Z$3:$Z$5001,"&lt;&gt;")=0,"",SUMIFS(BD!$Z$3:$Z$5001,BD!$B$3:$B$5001,F$280,BD!$A$3:$A$5001,_xlfn.MAXIFS(BD!$A$3:$A$5001,BD!$B$3:$B$5001,F$280,BD!$A$3:$A$5001,"&gt;="&amp;$C$7,BD!$A$3:$A$5001,"&lt;="&amp;$B282,BD!$Z$3:$Z$5001,"&lt;&gt;"))))</f>
        <v/>
      </c>
      <c r="G282" s="54" t="str">
        <f>IF(OR($B282="",$A282&gt;$B$9,G$280=""),"",IF(COUNTIFS(BD!$B$3:$B$5001,G$280,BD!$A$3:$A$5001,"&gt;="&amp;$C$7,BD!$A$3:$A$5001,"&lt;="&amp;$B282,BD!$Z$3:$Z$5001,"&lt;&gt;")=0,"",SUMIFS(BD!$Z$3:$Z$5001,BD!$B$3:$B$5001,G$280,BD!$A$3:$A$5001,_xlfn.MAXIFS(BD!$A$3:$A$5001,BD!$B$3:$B$5001,G$280,BD!$A$3:$A$5001,"&gt;="&amp;$C$7,BD!$A$3:$A$5001,"&lt;="&amp;$B282,BD!$Z$3:$Z$5001,"&lt;&gt;"))))</f>
        <v/>
      </c>
      <c r="H282" s="54" t="str">
        <f>IF(OR($B282="",$A282&gt;$B$9,H$280=""),"",IF(COUNTIFS(BD!$B$3:$B$5001,H$280,BD!$A$3:$A$5001,"&gt;="&amp;$C$7,BD!$A$3:$A$5001,"&lt;="&amp;$B282,BD!$Z$3:$Z$5001,"&lt;&gt;")=0,"",SUMIFS(BD!$Z$3:$Z$5001,BD!$B$3:$B$5001,H$280,BD!$A$3:$A$5001,_xlfn.MAXIFS(BD!$A$3:$A$5001,BD!$B$3:$B$5001,H$280,BD!$A$3:$A$5001,"&gt;="&amp;$C$7,BD!$A$3:$A$5001,"&lt;="&amp;$B282,BD!$Z$3:$Z$5001,"&lt;&gt;"))))</f>
        <v/>
      </c>
      <c r="I282" s="54" t="str">
        <f>IF(OR($B282="",$A282&gt;$B$9,I$280=""),"",IF(COUNTIFS(BD!$B$3:$B$5001,I$280,BD!$A$3:$A$5001,"&gt;="&amp;$C$7,BD!$A$3:$A$5001,"&lt;="&amp;$B282,BD!$Z$3:$Z$5001,"&lt;&gt;")=0,"",SUMIFS(BD!$Z$3:$Z$5001,BD!$B$3:$B$5001,I$280,BD!$A$3:$A$5001,_xlfn.MAXIFS(BD!$A$3:$A$5001,BD!$B$3:$B$5001,I$280,BD!$A$3:$A$5001,"&gt;="&amp;$C$7,BD!$A$3:$A$5001,"&lt;="&amp;$B282,BD!$Z$3:$Z$5001,"&lt;&gt;"))))</f>
        <v/>
      </c>
      <c r="J282" s="54" t="str">
        <f>IF(OR($B282="",$A282&gt;$B$9,J$280=""),"",IF(COUNTIFS(BD!$B$3:$B$5001,J$280,BD!$A$3:$A$5001,"&gt;="&amp;$C$7,BD!$A$3:$A$5001,"&lt;="&amp;$B282,BD!$Z$3:$Z$5001,"&lt;&gt;")=0,"",SUMIFS(BD!$Z$3:$Z$5001,BD!$B$3:$B$5001,J$280,BD!$A$3:$A$5001,_xlfn.MAXIFS(BD!$A$3:$A$5001,BD!$B$3:$B$5001,J$280,BD!$A$3:$A$5001,"&gt;="&amp;$C$7,BD!$A$3:$A$5001,"&lt;="&amp;$B282,BD!$Z$3:$Z$5001,"&lt;&gt;"))))</f>
        <v/>
      </c>
      <c r="K282" s="54" t="str">
        <f>IF(OR($B282="",$A282&gt;$B$9,K$280=""),"",IF(COUNTIFS(BD!$B$3:$B$5001,K$280,BD!$A$3:$A$5001,"&gt;="&amp;$C$7,BD!$A$3:$A$5001,"&lt;="&amp;$B282,BD!$Z$3:$Z$5001,"&lt;&gt;")=0,"",SUMIFS(BD!$Z$3:$Z$5001,BD!$B$3:$B$5001,K$280,BD!$A$3:$A$5001,_xlfn.MAXIFS(BD!$A$3:$A$5001,BD!$B$3:$B$5001,K$280,BD!$A$3:$A$5001,"&gt;="&amp;$C$7,BD!$A$3:$A$5001,"&lt;="&amp;$B282,BD!$Z$3:$Z$5001,"&lt;&gt;"))))</f>
        <v/>
      </c>
      <c r="L282" s="54" t="str">
        <f>IF(OR($B282="",$A282&gt;$B$9,L$280=""),"",IF(COUNTIFS(BD!$B$3:$B$5001,L$280,BD!$A$3:$A$5001,"&gt;="&amp;$C$7,BD!$A$3:$A$5001,"&lt;="&amp;$B282,BD!$Z$3:$Z$5001,"&lt;&gt;")=0,"",SUMIFS(BD!$Z$3:$Z$5001,BD!$B$3:$B$5001,L$280,BD!$A$3:$A$5001,_xlfn.MAXIFS(BD!$A$3:$A$5001,BD!$B$3:$B$5001,L$280,BD!$A$3:$A$5001,"&gt;="&amp;$C$7,BD!$A$3:$A$5001,"&lt;="&amp;$B282,BD!$Z$3:$Z$5001,"&lt;&gt;"))))</f>
        <v/>
      </c>
      <c r="M282" s="54" t="str">
        <f>IF(OR($B282="",$A282&gt;$B$9,M$280=""),"",IF(COUNTIFS(BD!$B$3:$B$5001,M$280,BD!$A$3:$A$5001,"&gt;="&amp;$C$7,BD!$A$3:$A$5001,"&lt;="&amp;$B282,BD!$Z$3:$Z$5001,"&lt;&gt;")=0,"",SUMIFS(BD!$Z$3:$Z$5001,BD!$B$3:$B$5001,M$280,BD!$A$3:$A$5001,_xlfn.MAXIFS(BD!$A$3:$A$5001,BD!$B$3:$B$5001,M$280,BD!$A$3:$A$5001,"&gt;="&amp;$C$7,BD!$A$3:$A$5001,"&lt;="&amp;$B282,BD!$Z$3:$Z$5001,"&lt;&gt;"))))</f>
        <v/>
      </c>
      <c r="N282" s="54" t="str">
        <f>IF(OR($B282="",$A282&gt;$B$9,N$280=""),"",IF(COUNTIFS(BD!$B$3:$B$5001,N$280,BD!$A$3:$A$5001,"&gt;="&amp;$C$7,BD!$A$3:$A$5001,"&lt;="&amp;$B282,BD!$Z$3:$Z$5001,"&lt;&gt;")=0,"",SUMIFS(BD!$Z$3:$Z$5001,BD!$B$3:$B$5001,N$280,BD!$A$3:$A$5001,_xlfn.MAXIFS(BD!$A$3:$A$5001,BD!$B$3:$B$5001,N$280,BD!$A$3:$A$5001,"&gt;="&amp;$C$7,BD!$A$3:$A$5001,"&lt;="&amp;$B282,BD!$Z$3:$Z$5001,"&lt;&gt;"))))</f>
        <v/>
      </c>
      <c r="O282" s="54" t="str">
        <f>IF(OR($B282="",$A282&gt;$B$9,O$280=""),"",IF(COUNTIFS(BD!$B$3:$B$5001,O$280,BD!$A$3:$A$5001,"&gt;="&amp;$C$7,BD!$A$3:$A$5001,"&lt;="&amp;$B282,BD!$Z$3:$Z$5001,"&lt;&gt;")=0,"",SUMIFS(BD!$Z$3:$Z$5001,BD!$B$3:$B$5001,O$280,BD!$A$3:$A$5001,_xlfn.MAXIFS(BD!$A$3:$A$5001,BD!$B$3:$B$5001,O$280,BD!$A$3:$A$5001,"&gt;="&amp;$C$7,BD!$A$3:$A$5001,"&lt;="&amp;$B282,BD!$Z$3:$Z$5001,"&lt;&gt;"))))</f>
        <v/>
      </c>
      <c r="P282" s="54" t="str">
        <f>IF(OR($B282="",$A282&gt;$B$9,P$280=""),"",IF(COUNTIFS(BD!$B$3:$B$5001,P$280,BD!$A$3:$A$5001,"&gt;="&amp;$C$7,BD!$A$3:$A$5001,"&lt;="&amp;$B282,BD!$Z$3:$Z$5001,"&lt;&gt;")=0,"",SUMIFS(BD!$Z$3:$Z$5001,BD!$B$3:$B$5001,P$280,BD!$A$3:$A$5001,_xlfn.MAXIFS(BD!$A$3:$A$5001,BD!$B$3:$B$5001,P$280,BD!$A$3:$A$5001,"&gt;="&amp;$C$7,BD!$A$3:$A$5001,"&lt;="&amp;$B282,BD!$Z$3:$Z$5001,"&lt;&gt;"))))</f>
        <v/>
      </c>
      <c r="Q282" s="54" t="str">
        <f>IF(OR($B282="",$A282&gt;$B$9,Q$280=""),"",IF(COUNTIFS(BD!$B$3:$B$5001,Q$280,BD!$A$3:$A$5001,"&gt;="&amp;$C$7,BD!$A$3:$A$5001,"&lt;="&amp;$B282,BD!$Z$3:$Z$5001,"&lt;&gt;")=0,"",SUMIFS(BD!$Z$3:$Z$5001,BD!$B$3:$B$5001,Q$280,BD!$A$3:$A$5001,_xlfn.MAXIFS(BD!$A$3:$A$5001,BD!$B$3:$B$5001,Q$280,BD!$A$3:$A$5001,"&gt;="&amp;$C$7,BD!$A$3:$A$5001,"&lt;="&amp;$B282,BD!$Z$3:$Z$5001,"&lt;&gt;"))))</f>
        <v/>
      </c>
      <c r="R282" s="54" t="str">
        <f>IF(OR($B282="",$A282&gt;$B$9,R$280=""),"",IF(COUNTIFS(BD!$B$3:$B$5001,R$280,BD!$A$3:$A$5001,"&gt;="&amp;$C$7,BD!$A$3:$A$5001,"&lt;="&amp;$B282,BD!$Z$3:$Z$5001,"&lt;&gt;")=0,"",SUMIFS(BD!$Z$3:$Z$5001,BD!$B$3:$B$5001,R$280,BD!$A$3:$A$5001,_xlfn.MAXIFS(BD!$A$3:$A$5001,BD!$B$3:$B$5001,R$280,BD!$A$3:$A$5001,"&gt;="&amp;$C$7,BD!$A$3:$A$5001,"&lt;="&amp;$B282,BD!$Z$3:$Z$5001,"&lt;&gt;"))))</f>
        <v/>
      </c>
      <c r="S282" s="54" t="str">
        <f>IF(OR($B282="",$A282&gt;$B$9,S$280=""),"",IF(COUNTIFS(BD!$B$3:$B$5001,S$280,BD!$A$3:$A$5001,"&gt;="&amp;$C$7,BD!$A$3:$A$5001,"&lt;="&amp;$B282,BD!$Z$3:$Z$5001,"&lt;&gt;")=0,"",SUMIFS(BD!$Z$3:$Z$5001,BD!$B$3:$B$5001,S$280,BD!$A$3:$A$5001,_xlfn.MAXIFS(BD!$A$3:$A$5001,BD!$B$3:$B$5001,S$280,BD!$A$3:$A$5001,"&gt;="&amp;$C$7,BD!$A$3:$A$5001,"&lt;="&amp;$B282,BD!$Z$3:$Z$5001,"&lt;&gt;"))))</f>
        <v/>
      </c>
      <c r="T282" s="54" t="str">
        <f>IF(OR($B282="",$A282&gt;$B$9,T$280=""),"",IF(COUNTIFS(BD!$B$3:$B$5001,T$280,BD!$A$3:$A$5001,"&gt;="&amp;$C$7,BD!$A$3:$A$5001,"&lt;="&amp;$B282,BD!$Z$3:$Z$5001,"&lt;&gt;")=0,"",SUMIFS(BD!$Z$3:$Z$5001,BD!$B$3:$B$5001,T$280,BD!$A$3:$A$5001,_xlfn.MAXIFS(BD!$A$3:$A$5001,BD!$B$3:$B$5001,T$280,BD!$A$3:$A$5001,"&gt;="&amp;$C$7,BD!$A$3:$A$5001,"&lt;="&amp;$B282,BD!$Z$3:$Z$5001,"&lt;&gt;"))))</f>
        <v/>
      </c>
      <c r="U282" s="54" t="str">
        <f>IF(OR($B282="",$A282&gt;$B$9,U$280=""),"",IF(COUNTIFS(BD!$B$3:$B$5001,U$280,BD!$A$3:$A$5001,"&gt;="&amp;$C$7,BD!$A$3:$A$5001,"&lt;="&amp;$B282,BD!$Z$3:$Z$5001,"&lt;&gt;")=0,"",SUMIFS(BD!$Z$3:$Z$5001,BD!$B$3:$B$5001,U$280,BD!$A$3:$A$5001,_xlfn.MAXIFS(BD!$A$3:$A$5001,BD!$B$3:$B$5001,U$280,BD!$A$3:$A$5001,"&gt;="&amp;$C$7,BD!$A$3:$A$5001,"&lt;="&amp;$B282,BD!$Z$3:$Z$5001,"&lt;&gt;"))))</f>
        <v/>
      </c>
      <c r="V282" s="54" t="str">
        <f>IF(OR($B282="",$A282&gt;$B$9,V$280=""),"",IF(COUNTIFS(BD!$B$3:$B$5001,V$280,BD!$A$3:$A$5001,"&gt;="&amp;$C$7,BD!$A$3:$A$5001,"&lt;="&amp;$B282,BD!$Z$3:$Z$5001,"&lt;&gt;")=0,"",SUMIFS(BD!$Z$3:$Z$5001,BD!$B$3:$B$5001,V$280,BD!$A$3:$A$5001,_xlfn.MAXIFS(BD!$A$3:$A$5001,BD!$B$3:$B$5001,V$280,BD!$A$3:$A$5001,"&gt;="&amp;$C$7,BD!$A$3:$A$5001,"&lt;="&amp;$B282,BD!$Z$3:$Z$5001,"&lt;&gt;"))))</f>
        <v/>
      </c>
    </row>
    <row r="283">
      <c r="A283" s="48">
        <v>3</v>
      </c>
      <c r="B283" s="53">
        <f>$B$14</f>
        <v>46298</v>
      </c>
      <c r="C283" s="54" t="str">
        <f>IF(OR($B283="",$A283&gt;$B$9,C$280=""),"",IF(COUNTIFS(BD!$B$3:$B$5001,C$280,BD!$A$3:$A$5001,"&gt;="&amp;$C$7,BD!$A$3:$A$5001,"&lt;="&amp;$B283,BD!$Z$3:$Z$5001,"&lt;&gt;")=0,"",SUMIFS(BD!$Z$3:$Z$5001,BD!$B$3:$B$5001,C$280,BD!$A$3:$A$5001,_xlfn.MAXIFS(BD!$A$3:$A$5001,BD!$B$3:$B$5001,C$280,BD!$A$3:$A$5001,"&gt;="&amp;$C$7,BD!$A$3:$A$5001,"&lt;="&amp;$B283,BD!$Z$3:$Z$5001,"&lt;&gt;"))))</f>
        <v/>
      </c>
      <c r="D283" s="54" t="str">
        <f>IF(OR($B283="",$A283&gt;$B$9,D$280=""),"",IF(COUNTIFS(BD!$B$3:$B$5001,D$280,BD!$A$3:$A$5001,"&gt;="&amp;$C$7,BD!$A$3:$A$5001,"&lt;="&amp;$B283,BD!$Z$3:$Z$5001,"&lt;&gt;")=0,"",SUMIFS(BD!$Z$3:$Z$5001,BD!$B$3:$B$5001,D$280,BD!$A$3:$A$5001,_xlfn.MAXIFS(BD!$A$3:$A$5001,BD!$B$3:$B$5001,D$280,BD!$A$3:$A$5001,"&gt;="&amp;$C$7,BD!$A$3:$A$5001,"&lt;="&amp;$B283,BD!$Z$3:$Z$5001,"&lt;&gt;"))))</f>
        <v/>
      </c>
      <c r="E283" s="54" t="str">
        <f>IF(OR($B283="",$A283&gt;$B$9,E$280=""),"",IF(COUNTIFS(BD!$B$3:$B$5001,E$280,BD!$A$3:$A$5001,"&gt;="&amp;$C$7,BD!$A$3:$A$5001,"&lt;="&amp;$B283,BD!$Z$3:$Z$5001,"&lt;&gt;")=0,"",SUMIFS(BD!$Z$3:$Z$5001,BD!$B$3:$B$5001,E$280,BD!$A$3:$A$5001,_xlfn.MAXIFS(BD!$A$3:$A$5001,BD!$B$3:$B$5001,E$280,BD!$A$3:$A$5001,"&gt;="&amp;$C$7,BD!$A$3:$A$5001,"&lt;="&amp;$B283,BD!$Z$3:$Z$5001,"&lt;&gt;"))))</f>
        <v/>
      </c>
      <c r="F283" s="54" t="str">
        <f>IF(OR($B283="",$A283&gt;$B$9,F$280=""),"",IF(COUNTIFS(BD!$B$3:$B$5001,F$280,BD!$A$3:$A$5001,"&gt;="&amp;$C$7,BD!$A$3:$A$5001,"&lt;="&amp;$B283,BD!$Z$3:$Z$5001,"&lt;&gt;")=0,"",SUMIFS(BD!$Z$3:$Z$5001,BD!$B$3:$B$5001,F$280,BD!$A$3:$A$5001,_xlfn.MAXIFS(BD!$A$3:$A$5001,BD!$B$3:$B$5001,F$280,BD!$A$3:$A$5001,"&gt;="&amp;$C$7,BD!$A$3:$A$5001,"&lt;="&amp;$B283,BD!$Z$3:$Z$5001,"&lt;&gt;"))))</f>
        <v/>
      </c>
      <c r="G283" s="54" t="str">
        <f>IF(OR($B283="",$A283&gt;$B$9,G$280=""),"",IF(COUNTIFS(BD!$B$3:$B$5001,G$280,BD!$A$3:$A$5001,"&gt;="&amp;$C$7,BD!$A$3:$A$5001,"&lt;="&amp;$B283,BD!$Z$3:$Z$5001,"&lt;&gt;")=0,"",SUMIFS(BD!$Z$3:$Z$5001,BD!$B$3:$B$5001,G$280,BD!$A$3:$A$5001,_xlfn.MAXIFS(BD!$A$3:$A$5001,BD!$B$3:$B$5001,G$280,BD!$A$3:$A$5001,"&gt;="&amp;$C$7,BD!$A$3:$A$5001,"&lt;="&amp;$B283,BD!$Z$3:$Z$5001,"&lt;&gt;"))))</f>
        <v/>
      </c>
      <c r="H283" s="54" t="str">
        <f>IF(OR($B283="",$A283&gt;$B$9,H$280=""),"",IF(COUNTIFS(BD!$B$3:$B$5001,H$280,BD!$A$3:$A$5001,"&gt;="&amp;$C$7,BD!$A$3:$A$5001,"&lt;="&amp;$B283,BD!$Z$3:$Z$5001,"&lt;&gt;")=0,"",SUMIFS(BD!$Z$3:$Z$5001,BD!$B$3:$B$5001,H$280,BD!$A$3:$A$5001,_xlfn.MAXIFS(BD!$A$3:$A$5001,BD!$B$3:$B$5001,H$280,BD!$A$3:$A$5001,"&gt;="&amp;$C$7,BD!$A$3:$A$5001,"&lt;="&amp;$B283,BD!$Z$3:$Z$5001,"&lt;&gt;"))))</f>
        <v/>
      </c>
      <c r="I283" s="54" t="str">
        <f>IF(OR($B283="",$A283&gt;$B$9,I$280=""),"",IF(COUNTIFS(BD!$B$3:$B$5001,I$280,BD!$A$3:$A$5001,"&gt;="&amp;$C$7,BD!$A$3:$A$5001,"&lt;="&amp;$B283,BD!$Z$3:$Z$5001,"&lt;&gt;")=0,"",SUMIFS(BD!$Z$3:$Z$5001,BD!$B$3:$B$5001,I$280,BD!$A$3:$A$5001,_xlfn.MAXIFS(BD!$A$3:$A$5001,BD!$B$3:$B$5001,I$280,BD!$A$3:$A$5001,"&gt;="&amp;$C$7,BD!$A$3:$A$5001,"&lt;="&amp;$B283,BD!$Z$3:$Z$5001,"&lt;&gt;"))))</f>
        <v/>
      </c>
      <c r="J283" s="54" t="str">
        <f>IF(OR($B283="",$A283&gt;$B$9,J$280=""),"",IF(COUNTIFS(BD!$B$3:$B$5001,J$280,BD!$A$3:$A$5001,"&gt;="&amp;$C$7,BD!$A$3:$A$5001,"&lt;="&amp;$B283,BD!$Z$3:$Z$5001,"&lt;&gt;")=0,"",SUMIFS(BD!$Z$3:$Z$5001,BD!$B$3:$B$5001,J$280,BD!$A$3:$A$5001,_xlfn.MAXIFS(BD!$A$3:$A$5001,BD!$B$3:$B$5001,J$280,BD!$A$3:$A$5001,"&gt;="&amp;$C$7,BD!$A$3:$A$5001,"&lt;="&amp;$B283,BD!$Z$3:$Z$5001,"&lt;&gt;"))))</f>
        <v/>
      </c>
      <c r="K283" s="54" t="str">
        <f>IF(OR($B283="",$A283&gt;$B$9,K$280=""),"",IF(COUNTIFS(BD!$B$3:$B$5001,K$280,BD!$A$3:$A$5001,"&gt;="&amp;$C$7,BD!$A$3:$A$5001,"&lt;="&amp;$B283,BD!$Z$3:$Z$5001,"&lt;&gt;")=0,"",SUMIFS(BD!$Z$3:$Z$5001,BD!$B$3:$B$5001,K$280,BD!$A$3:$A$5001,_xlfn.MAXIFS(BD!$A$3:$A$5001,BD!$B$3:$B$5001,K$280,BD!$A$3:$A$5001,"&gt;="&amp;$C$7,BD!$A$3:$A$5001,"&lt;="&amp;$B283,BD!$Z$3:$Z$5001,"&lt;&gt;"))))</f>
        <v/>
      </c>
      <c r="L283" s="54" t="str">
        <f>IF(OR($B283="",$A283&gt;$B$9,L$280=""),"",IF(COUNTIFS(BD!$B$3:$B$5001,L$280,BD!$A$3:$A$5001,"&gt;="&amp;$C$7,BD!$A$3:$A$5001,"&lt;="&amp;$B283,BD!$Z$3:$Z$5001,"&lt;&gt;")=0,"",SUMIFS(BD!$Z$3:$Z$5001,BD!$B$3:$B$5001,L$280,BD!$A$3:$A$5001,_xlfn.MAXIFS(BD!$A$3:$A$5001,BD!$B$3:$B$5001,L$280,BD!$A$3:$A$5001,"&gt;="&amp;$C$7,BD!$A$3:$A$5001,"&lt;="&amp;$B283,BD!$Z$3:$Z$5001,"&lt;&gt;"))))</f>
        <v/>
      </c>
      <c r="M283" s="54" t="str">
        <f>IF(OR($B283="",$A283&gt;$B$9,M$280=""),"",IF(COUNTIFS(BD!$B$3:$B$5001,M$280,BD!$A$3:$A$5001,"&gt;="&amp;$C$7,BD!$A$3:$A$5001,"&lt;="&amp;$B283,BD!$Z$3:$Z$5001,"&lt;&gt;")=0,"",SUMIFS(BD!$Z$3:$Z$5001,BD!$B$3:$B$5001,M$280,BD!$A$3:$A$5001,_xlfn.MAXIFS(BD!$A$3:$A$5001,BD!$B$3:$B$5001,M$280,BD!$A$3:$A$5001,"&gt;="&amp;$C$7,BD!$A$3:$A$5001,"&lt;="&amp;$B283,BD!$Z$3:$Z$5001,"&lt;&gt;"))))</f>
        <v/>
      </c>
      <c r="N283" s="54" t="str">
        <f>IF(OR($B283="",$A283&gt;$B$9,N$280=""),"",IF(COUNTIFS(BD!$B$3:$B$5001,N$280,BD!$A$3:$A$5001,"&gt;="&amp;$C$7,BD!$A$3:$A$5001,"&lt;="&amp;$B283,BD!$Z$3:$Z$5001,"&lt;&gt;")=0,"",SUMIFS(BD!$Z$3:$Z$5001,BD!$B$3:$B$5001,N$280,BD!$A$3:$A$5001,_xlfn.MAXIFS(BD!$A$3:$A$5001,BD!$B$3:$B$5001,N$280,BD!$A$3:$A$5001,"&gt;="&amp;$C$7,BD!$A$3:$A$5001,"&lt;="&amp;$B283,BD!$Z$3:$Z$5001,"&lt;&gt;"))))</f>
        <v/>
      </c>
      <c r="O283" s="54" t="str">
        <f>IF(OR($B283="",$A283&gt;$B$9,O$280=""),"",IF(COUNTIFS(BD!$B$3:$B$5001,O$280,BD!$A$3:$A$5001,"&gt;="&amp;$C$7,BD!$A$3:$A$5001,"&lt;="&amp;$B283,BD!$Z$3:$Z$5001,"&lt;&gt;")=0,"",SUMIFS(BD!$Z$3:$Z$5001,BD!$B$3:$B$5001,O$280,BD!$A$3:$A$5001,_xlfn.MAXIFS(BD!$A$3:$A$5001,BD!$B$3:$B$5001,O$280,BD!$A$3:$A$5001,"&gt;="&amp;$C$7,BD!$A$3:$A$5001,"&lt;="&amp;$B283,BD!$Z$3:$Z$5001,"&lt;&gt;"))))</f>
        <v/>
      </c>
      <c r="P283" s="54" t="str">
        <f>IF(OR($B283="",$A283&gt;$B$9,P$280=""),"",IF(COUNTIFS(BD!$B$3:$B$5001,P$280,BD!$A$3:$A$5001,"&gt;="&amp;$C$7,BD!$A$3:$A$5001,"&lt;="&amp;$B283,BD!$Z$3:$Z$5001,"&lt;&gt;")=0,"",SUMIFS(BD!$Z$3:$Z$5001,BD!$B$3:$B$5001,P$280,BD!$A$3:$A$5001,_xlfn.MAXIFS(BD!$A$3:$A$5001,BD!$B$3:$B$5001,P$280,BD!$A$3:$A$5001,"&gt;="&amp;$C$7,BD!$A$3:$A$5001,"&lt;="&amp;$B283,BD!$Z$3:$Z$5001,"&lt;&gt;"))))</f>
        <v/>
      </c>
      <c r="Q283" s="54" t="str">
        <f>IF(OR($B283="",$A283&gt;$B$9,Q$280=""),"",IF(COUNTIFS(BD!$B$3:$B$5001,Q$280,BD!$A$3:$A$5001,"&gt;="&amp;$C$7,BD!$A$3:$A$5001,"&lt;="&amp;$B283,BD!$Z$3:$Z$5001,"&lt;&gt;")=0,"",SUMIFS(BD!$Z$3:$Z$5001,BD!$B$3:$B$5001,Q$280,BD!$A$3:$A$5001,_xlfn.MAXIFS(BD!$A$3:$A$5001,BD!$B$3:$B$5001,Q$280,BD!$A$3:$A$5001,"&gt;="&amp;$C$7,BD!$A$3:$A$5001,"&lt;="&amp;$B283,BD!$Z$3:$Z$5001,"&lt;&gt;"))))</f>
        <v/>
      </c>
      <c r="R283" s="54" t="str">
        <f>IF(OR($B283="",$A283&gt;$B$9,R$280=""),"",IF(COUNTIFS(BD!$B$3:$B$5001,R$280,BD!$A$3:$A$5001,"&gt;="&amp;$C$7,BD!$A$3:$A$5001,"&lt;="&amp;$B283,BD!$Z$3:$Z$5001,"&lt;&gt;")=0,"",SUMIFS(BD!$Z$3:$Z$5001,BD!$B$3:$B$5001,R$280,BD!$A$3:$A$5001,_xlfn.MAXIFS(BD!$A$3:$A$5001,BD!$B$3:$B$5001,R$280,BD!$A$3:$A$5001,"&gt;="&amp;$C$7,BD!$A$3:$A$5001,"&lt;="&amp;$B283,BD!$Z$3:$Z$5001,"&lt;&gt;"))))</f>
        <v/>
      </c>
      <c r="S283" s="54" t="str">
        <f>IF(OR($B283="",$A283&gt;$B$9,S$280=""),"",IF(COUNTIFS(BD!$B$3:$B$5001,S$280,BD!$A$3:$A$5001,"&gt;="&amp;$C$7,BD!$A$3:$A$5001,"&lt;="&amp;$B283,BD!$Z$3:$Z$5001,"&lt;&gt;")=0,"",SUMIFS(BD!$Z$3:$Z$5001,BD!$B$3:$B$5001,S$280,BD!$A$3:$A$5001,_xlfn.MAXIFS(BD!$A$3:$A$5001,BD!$B$3:$B$5001,S$280,BD!$A$3:$A$5001,"&gt;="&amp;$C$7,BD!$A$3:$A$5001,"&lt;="&amp;$B283,BD!$Z$3:$Z$5001,"&lt;&gt;"))))</f>
        <v/>
      </c>
      <c r="T283" s="54" t="str">
        <f>IF(OR($B283="",$A283&gt;$B$9,T$280=""),"",IF(COUNTIFS(BD!$B$3:$B$5001,T$280,BD!$A$3:$A$5001,"&gt;="&amp;$C$7,BD!$A$3:$A$5001,"&lt;="&amp;$B283,BD!$Z$3:$Z$5001,"&lt;&gt;")=0,"",SUMIFS(BD!$Z$3:$Z$5001,BD!$B$3:$B$5001,T$280,BD!$A$3:$A$5001,_xlfn.MAXIFS(BD!$A$3:$A$5001,BD!$B$3:$B$5001,T$280,BD!$A$3:$A$5001,"&gt;="&amp;$C$7,BD!$A$3:$A$5001,"&lt;="&amp;$B283,BD!$Z$3:$Z$5001,"&lt;&gt;"))))</f>
        <v/>
      </c>
      <c r="U283" s="54" t="str">
        <f>IF(OR($B283="",$A283&gt;$B$9,U$280=""),"",IF(COUNTIFS(BD!$B$3:$B$5001,U$280,BD!$A$3:$A$5001,"&gt;="&amp;$C$7,BD!$A$3:$A$5001,"&lt;="&amp;$B283,BD!$Z$3:$Z$5001,"&lt;&gt;")=0,"",SUMIFS(BD!$Z$3:$Z$5001,BD!$B$3:$B$5001,U$280,BD!$A$3:$A$5001,_xlfn.MAXIFS(BD!$A$3:$A$5001,BD!$B$3:$B$5001,U$280,BD!$A$3:$A$5001,"&gt;="&amp;$C$7,BD!$A$3:$A$5001,"&lt;="&amp;$B283,BD!$Z$3:$Z$5001,"&lt;&gt;"))))</f>
        <v/>
      </c>
      <c r="V283" s="54" t="str">
        <f>IF(OR($B283="",$A283&gt;$B$9,V$280=""),"",IF(COUNTIFS(BD!$B$3:$B$5001,V$280,BD!$A$3:$A$5001,"&gt;="&amp;$C$7,BD!$A$3:$A$5001,"&lt;="&amp;$B283,BD!$Z$3:$Z$5001,"&lt;&gt;")=0,"",SUMIFS(BD!$Z$3:$Z$5001,BD!$B$3:$B$5001,V$280,BD!$A$3:$A$5001,_xlfn.MAXIFS(BD!$A$3:$A$5001,BD!$B$3:$B$5001,V$280,BD!$A$3:$A$5001,"&gt;="&amp;$C$7,BD!$A$3:$A$5001,"&lt;="&amp;$B283,BD!$Z$3:$Z$5001,"&lt;&gt;"))))</f>
        <v/>
      </c>
    </row>
    <row r="284">
      <c r="A284" s="48">
        <v>4</v>
      </c>
      <c r="B284" s="53">
        <f>$B$15</f>
        <v>46299</v>
      </c>
      <c r="C284" s="54" t="str">
        <f>IF(OR($B284="",$A284&gt;$B$9,C$280=""),"",IF(COUNTIFS(BD!$B$3:$B$5001,C$280,BD!$A$3:$A$5001,"&gt;="&amp;$C$7,BD!$A$3:$A$5001,"&lt;="&amp;$B284,BD!$Z$3:$Z$5001,"&lt;&gt;")=0,"",SUMIFS(BD!$Z$3:$Z$5001,BD!$B$3:$B$5001,C$280,BD!$A$3:$A$5001,_xlfn.MAXIFS(BD!$A$3:$A$5001,BD!$B$3:$B$5001,C$280,BD!$A$3:$A$5001,"&gt;="&amp;$C$7,BD!$A$3:$A$5001,"&lt;="&amp;$B284,BD!$Z$3:$Z$5001,"&lt;&gt;"))))</f>
        <v/>
      </c>
      <c r="D284" s="54" t="str">
        <f>IF(OR($B284="",$A284&gt;$B$9,D$280=""),"",IF(COUNTIFS(BD!$B$3:$B$5001,D$280,BD!$A$3:$A$5001,"&gt;="&amp;$C$7,BD!$A$3:$A$5001,"&lt;="&amp;$B284,BD!$Z$3:$Z$5001,"&lt;&gt;")=0,"",SUMIFS(BD!$Z$3:$Z$5001,BD!$B$3:$B$5001,D$280,BD!$A$3:$A$5001,_xlfn.MAXIFS(BD!$A$3:$A$5001,BD!$B$3:$B$5001,D$280,BD!$A$3:$A$5001,"&gt;="&amp;$C$7,BD!$A$3:$A$5001,"&lt;="&amp;$B284,BD!$Z$3:$Z$5001,"&lt;&gt;"))))</f>
        <v/>
      </c>
      <c r="E284" s="54" t="str">
        <f>IF(OR($B284="",$A284&gt;$B$9,E$280=""),"",IF(COUNTIFS(BD!$B$3:$B$5001,E$280,BD!$A$3:$A$5001,"&gt;="&amp;$C$7,BD!$A$3:$A$5001,"&lt;="&amp;$B284,BD!$Z$3:$Z$5001,"&lt;&gt;")=0,"",SUMIFS(BD!$Z$3:$Z$5001,BD!$B$3:$B$5001,E$280,BD!$A$3:$A$5001,_xlfn.MAXIFS(BD!$A$3:$A$5001,BD!$B$3:$B$5001,E$280,BD!$A$3:$A$5001,"&gt;="&amp;$C$7,BD!$A$3:$A$5001,"&lt;="&amp;$B284,BD!$Z$3:$Z$5001,"&lt;&gt;"))))</f>
        <v/>
      </c>
      <c r="F284" s="54" t="str">
        <f>IF(OR($B284="",$A284&gt;$B$9,F$280=""),"",IF(COUNTIFS(BD!$B$3:$B$5001,F$280,BD!$A$3:$A$5001,"&gt;="&amp;$C$7,BD!$A$3:$A$5001,"&lt;="&amp;$B284,BD!$Z$3:$Z$5001,"&lt;&gt;")=0,"",SUMIFS(BD!$Z$3:$Z$5001,BD!$B$3:$B$5001,F$280,BD!$A$3:$A$5001,_xlfn.MAXIFS(BD!$A$3:$A$5001,BD!$B$3:$B$5001,F$280,BD!$A$3:$A$5001,"&gt;="&amp;$C$7,BD!$A$3:$A$5001,"&lt;="&amp;$B284,BD!$Z$3:$Z$5001,"&lt;&gt;"))))</f>
        <v/>
      </c>
      <c r="G284" s="54" t="str">
        <f>IF(OR($B284="",$A284&gt;$B$9,G$280=""),"",IF(COUNTIFS(BD!$B$3:$B$5001,G$280,BD!$A$3:$A$5001,"&gt;="&amp;$C$7,BD!$A$3:$A$5001,"&lt;="&amp;$B284,BD!$Z$3:$Z$5001,"&lt;&gt;")=0,"",SUMIFS(BD!$Z$3:$Z$5001,BD!$B$3:$B$5001,G$280,BD!$A$3:$A$5001,_xlfn.MAXIFS(BD!$A$3:$A$5001,BD!$B$3:$B$5001,G$280,BD!$A$3:$A$5001,"&gt;="&amp;$C$7,BD!$A$3:$A$5001,"&lt;="&amp;$B284,BD!$Z$3:$Z$5001,"&lt;&gt;"))))</f>
        <v/>
      </c>
      <c r="H284" s="54" t="str">
        <f>IF(OR($B284="",$A284&gt;$B$9,H$280=""),"",IF(COUNTIFS(BD!$B$3:$B$5001,H$280,BD!$A$3:$A$5001,"&gt;="&amp;$C$7,BD!$A$3:$A$5001,"&lt;="&amp;$B284,BD!$Z$3:$Z$5001,"&lt;&gt;")=0,"",SUMIFS(BD!$Z$3:$Z$5001,BD!$B$3:$B$5001,H$280,BD!$A$3:$A$5001,_xlfn.MAXIFS(BD!$A$3:$A$5001,BD!$B$3:$B$5001,H$280,BD!$A$3:$A$5001,"&gt;="&amp;$C$7,BD!$A$3:$A$5001,"&lt;="&amp;$B284,BD!$Z$3:$Z$5001,"&lt;&gt;"))))</f>
        <v/>
      </c>
      <c r="I284" s="54" t="str">
        <f>IF(OR($B284="",$A284&gt;$B$9,I$280=""),"",IF(COUNTIFS(BD!$B$3:$B$5001,I$280,BD!$A$3:$A$5001,"&gt;="&amp;$C$7,BD!$A$3:$A$5001,"&lt;="&amp;$B284,BD!$Z$3:$Z$5001,"&lt;&gt;")=0,"",SUMIFS(BD!$Z$3:$Z$5001,BD!$B$3:$B$5001,I$280,BD!$A$3:$A$5001,_xlfn.MAXIFS(BD!$A$3:$A$5001,BD!$B$3:$B$5001,I$280,BD!$A$3:$A$5001,"&gt;="&amp;$C$7,BD!$A$3:$A$5001,"&lt;="&amp;$B284,BD!$Z$3:$Z$5001,"&lt;&gt;"))))</f>
        <v/>
      </c>
      <c r="J284" s="54" t="str">
        <f>IF(OR($B284="",$A284&gt;$B$9,J$280=""),"",IF(COUNTIFS(BD!$B$3:$B$5001,J$280,BD!$A$3:$A$5001,"&gt;="&amp;$C$7,BD!$A$3:$A$5001,"&lt;="&amp;$B284,BD!$Z$3:$Z$5001,"&lt;&gt;")=0,"",SUMIFS(BD!$Z$3:$Z$5001,BD!$B$3:$B$5001,J$280,BD!$A$3:$A$5001,_xlfn.MAXIFS(BD!$A$3:$A$5001,BD!$B$3:$B$5001,J$280,BD!$A$3:$A$5001,"&gt;="&amp;$C$7,BD!$A$3:$A$5001,"&lt;="&amp;$B284,BD!$Z$3:$Z$5001,"&lt;&gt;"))))</f>
        <v/>
      </c>
      <c r="K284" s="54" t="str">
        <f>IF(OR($B284="",$A284&gt;$B$9,K$280=""),"",IF(COUNTIFS(BD!$B$3:$B$5001,K$280,BD!$A$3:$A$5001,"&gt;="&amp;$C$7,BD!$A$3:$A$5001,"&lt;="&amp;$B284,BD!$Z$3:$Z$5001,"&lt;&gt;")=0,"",SUMIFS(BD!$Z$3:$Z$5001,BD!$B$3:$B$5001,K$280,BD!$A$3:$A$5001,_xlfn.MAXIFS(BD!$A$3:$A$5001,BD!$B$3:$B$5001,K$280,BD!$A$3:$A$5001,"&gt;="&amp;$C$7,BD!$A$3:$A$5001,"&lt;="&amp;$B284,BD!$Z$3:$Z$5001,"&lt;&gt;"))))</f>
        <v/>
      </c>
      <c r="L284" s="54" t="str">
        <f>IF(OR($B284="",$A284&gt;$B$9,L$280=""),"",IF(COUNTIFS(BD!$B$3:$B$5001,L$280,BD!$A$3:$A$5001,"&gt;="&amp;$C$7,BD!$A$3:$A$5001,"&lt;="&amp;$B284,BD!$Z$3:$Z$5001,"&lt;&gt;")=0,"",SUMIFS(BD!$Z$3:$Z$5001,BD!$B$3:$B$5001,L$280,BD!$A$3:$A$5001,_xlfn.MAXIFS(BD!$A$3:$A$5001,BD!$B$3:$B$5001,L$280,BD!$A$3:$A$5001,"&gt;="&amp;$C$7,BD!$A$3:$A$5001,"&lt;="&amp;$B284,BD!$Z$3:$Z$5001,"&lt;&gt;"))))</f>
        <v/>
      </c>
      <c r="M284" s="54" t="str">
        <f>IF(OR($B284="",$A284&gt;$B$9,M$280=""),"",IF(COUNTIFS(BD!$B$3:$B$5001,M$280,BD!$A$3:$A$5001,"&gt;="&amp;$C$7,BD!$A$3:$A$5001,"&lt;="&amp;$B284,BD!$Z$3:$Z$5001,"&lt;&gt;")=0,"",SUMIFS(BD!$Z$3:$Z$5001,BD!$B$3:$B$5001,M$280,BD!$A$3:$A$5001,_xlfn.MAXIFS(BD!$A$3:$A$5001,BD!$B$3:$B$5001,M$280,BD!$A$3:$A$5001,"&gt;="&amp;$C$7,BD!$A$3:$A$5001,"&lt;="&amp;$B284,BD!$Z$3:$Z$5001,"&lt;&gt;"))))</f>
        <v/>
      </c>
      <c r="N284" s="54" t="str">
        <f>IF(OR($B284="",$A284&gt;$B$9,N$280=""),"",IF(COUNTIFS(BD!$B$3:$B$5001,N$280,BD!$A$3:$A$5001,"&gt;="&amp;$C$7,BD!$A$3:$A$5001,"&lt;="&amp;$B284,BD!$Z$3:$Z$5001,"&lt;&gt;")=0,"",SUMIFS(BD!$Z$3:$Z$5001,BD!$B$3:$B$5001,N$280,BD!$A$3:$A$5001,_xlfn.MAXIFS(BD!$A$3:$A$5001,BD!$B$3:$B$5001,N$280,BD!$A$3:$A$5001,"&gt;="&amp;$C$7,BD!$A$3:$A$5001,"&lt;="&amp;$B284,BD!$Z$3:$Z$5001,"&lt;&gt;"))))</f>
        <v/>
      </c>
      <c r="O284" s="54" t="str">
        <f>IF(OR($B284="",$A284&gt;$B$9,O$280=""),"",IF(COUNTIFS(BD!$B$3:$B$5001,O$280,BD!$A$3:$A$5001,"&gt;="&amp;$C$7,BD!$A$3:$A$5001,"&lt;="&amp;$B284,BD!$Z$3:$Z$5001,"&lt;&gt;")=0,"",SUMIFS(BD!$Z$3:$Z$5001,BD!$B$3:$B$5001,O$280,BD!$A$3:$A$5001,_xlfn.MAXIFS(BD!$A$3:$A$5001,BD!$B$3:$B$5001,O$280,BD!$A$3:$A$5001,"&gt;="&amp;$C$7,BD!$A$3:$A$5001,"&lt;="&amp;$B284,BD!$Z$3:$Z$5001,"&lt;&gt;"))))</f>
        <v/>
      </c>
      <c r="P284" s="54" t="str">
        <f>IF(OR($B284="",$A284&gt;$B$9,P$280=""),"",IF(COUNTIFS(BD!$B$3:$B$5001,P$280,BD!$A$3:$A$5001,"&gt;="&amp;$C$7,BD!$A$3:$A$5001,"&lt;="&amp;$B284,BD!$Z$3:$Z$5001,"&lt;&gt;")=0,"",SUMIFS(BD!$Z$3:$Z$5001,BD!$B$3:$B$5001,P$280,BD!$A$3:$A$5001,_xlfn.MAXIFS(BD!$A$3:$A$5001,BD!$B$3:$B$5001,P$280,BD!$A$3:$A$5001,"&gt;="&amp;$C$7,BD!$A$3:$A$5001,"&lt;="&amp;$B284,BD!$Z$3:$Z$5001,"&lt;&gt;"))))</f>
        <v/>
      </c>
      <c r="Q284" s="54" t="str">
        <f>IF(OR($B284="",$A284&gt;$B$9,Q$280=""),"",IF(COUNTIFS(BD!$B$3:$B$5001,Q$280,BD!$A$3:$A$5001,"&gt;="&amp;$C$7,BD!$A$3:$A$5001,"&lt;="&amp;$B284,BD!$Z$3:$Z$5001,"&lt;&gt;")=0,"",SUMIFS(BD!$Z$3:$Z$5001,BD!$B$3:$B$5001,Q$280,BD!$A$3:$A$5001,_xlfn.MAXIFS(BD!$A$3:$A$5001,BD!$B$3:$B$5001,Q$280,BD!$A$3:$A$5001,"&gt;="&amp;$C$7,BD!$A$3:$A$5001,"&lt;="&amp;$B284,BD!$Z$3:$Z$5001,"&lt;&gt;"))))</f>
        <v/>
      </c>
      <c r="R284" s="54" t="str">
        <f>IF(OR($B284="",$A284&gt;$B$9,R$280=""),"",IF(COUNTIFS(BD!$B$3:$B$5001,R$280,BD!$A$3:$A$5001,"&gt;="&amp;$C$7,BD!$A$3:$A$5001,"&lt;="&amp;$B284,BD!$Z$3:$Z$5001,"&lt;&gt;")=0,"",SUMIFS(BD!$Z$3:$Z$5001,BD!$B$3:$B$5001,R$280,BD!$A$3:$A$5001,_xlfn.MAXIFS(BD!$A$3:$A$5001,BD!$B$3:$B$5001,R$280,BD!$A$3:$A$5001,"&gt;="&amp;$C$7,BD!$A$3:$A$5001,"&lt;="&amp;$B284,BD!$Z$3:$Z$5001,"&lt;&gt;"))))</f>
        <v/>
      </c>
      <c r="S284" s="54" t="str">
        <f>IF(OR($B284="",$A284&gt;$B$9,S$280=""),"",IF(COUNTIFS(BD!$B$3:$B$5001,S$280,BD!$A$3:$A$5001,"&gt;="&amp;$C$7,BD!$A$3:$A$5001,"&lt;="&amp;$B284,BD!$Z$3:$Z$5001,"&lt;&gt;")=0,"",SUMIFS(BD!$Z$3:$Z$5001,BD!$B$3:$B$5001,S$280,BD!$A$3:$A$5001,_xlfn.MAXIFS(BD!$A$3:$A$5001,BD!$B$3:$B$5001,S$280,BD!$A$3:$A$5001,"&gt;="&amp;$C$7,BD!$A$3:$A$5001,"&lt;="&amp;$B284,BD!$Z$3:$Z$5001,"&lt;&gt;"))))</f>
        <v/>
      </c>
      <c r="T284" s="54" t="str">
        <f>IF(OR($B284="",$A284&gt;$B$9,T$280=""),"",IF(COUNTIFS(BD!$B$3:$B$5001,T$280,BD!$A$3:$A$5001,"&gt;="&amp;$C$7,BD!$A$3:$A$5001,"&lt;="&amp;$B284,BD!$Z$3:$Z$5001,"&lt;&gt;")=0,"",SUMIFS(BD!$Z$3:$Z$5001,BD!$B$3:$B$5001,T$280,BD!$A$3:$A$5001,_xlfn.MAXIFS(BD!$A$3:$A$5001,BD!$B$3:$B$5001,T$280,BD!$A$3:$A$5001,"&gt;="&amp;$C$7,BD!$A$3:$A$5001,"&lt;="&amp;$B284,BD!$Z$3:$Z$5001,"&lt;&gt;"))))</f>
        <v/>
      </c>
      <c r="U284" s="54" t="str">
        <f>IF(OR($B284="",$A284&gt;$B$9,U$280=""),"",IF(COUNTIFS(BD!$B$3:$B$5001,U$280,BD!$A$3:$A$5001,"&gt;="&amp;$C$7,BD!$A$3:$A$5001,"&lt;="&amp;$B284,BD!$Z$3:$Z$5001,"&lt;&gt;")=0,"",SUMIFS(BD!$Z$3:$Z$5001,BD!$B$3:$B$5001,U$280,BD!$A$3:$A$5001,_xlfn.MAXIFS(BD!$A$3:$A$5001,BD!$B$3:$B$5001,U$280,BD!$A$3:$A$5001,"&gt;="&amp;$C$7,BD!$A$3:$A$5001,"&lt;="&amp;$B284,BD!$Z$3:$Z$5001,"&lt;&gt;"))))</f>
        <v/>
      </c>
      <c r="V284" s="54" t="str">
        <f>IF(OR($B284="",$A284&gt;$B$9,V$280=""),"",IF(COUNTIFS(BD!$B$3:$B$5001,V$280,BD!$A$3:$A$5001,"&gt;="&amp;$C$7,BD!$A$3:$A$5001,"&lt;="&amp;$B284,BD!$Z$3:$Z$5001,"&lt;&gt;")=0,"",SUMIFS(BD!$Z$3:$Z$5001,BD!$B$3:$B$5001,V$280,BD!$A$3:$A$5001,_xlfn.MAXIFS(BD!$A$3:$A$5001,BD!$B$3:$B$5001,V$280,BD!$A$3:$A$5001,"&gt;="&amp;$C$7,BD!$A$3:$A$5001,"&lt;="&amp;$B284,BD!$Z$3:$Z$5001,"&lt;&gt;"))))</f>
        <v/>
      </c>
    </row>
    <row r="285">
      <c r="A285" s="48">
        <v>5</v>
      </c>
      <c r="B285" s="53">
        <f>$B$16</f>
        <v>46300</v>
      </c>
      <c r="C285" s="54" t="str">
        <f>IF(OR($B285="",$A285&gt;$B$9,C$280=""),"",IF(COUNTIFS(BD!$B$3:$B$5001,C$280,BD!$A$3:$A$5001,"&gt;="&amp;$C$7,BD!$A$3:$A$5001,"&lt;="&amp;$B285,BD!$Z$3:$Z$5001,"&lt;&gt;")=0,"",SUMIFS(BD!$Z$3:$Z$5001,BD!$B$3:$B$5001,C$280,BD!$A$3:$A$5001,_xlfn.MAXIFS(BD!$A$3:$A$5001,BD!$B$3:$B$5001,C$280,BD!$A$3:$A$5001,"&gt;="&amp;$C$7,BD!$A$3:$A$5001,"&lt;="&amp;$B285,BD!$Z$3:$Z$5001,"&lt;&gt;"))))</f>
        <v/>
      </c>
      <c r="D285" s="54" t="str">
        <f>IF(OR($B285="",$A285&gt;$B$9,D$280=""),"",IF(COUNTIFS(BD!$B$3:$B$5001,D$280,BD!$A$3:$A$5001,"&gt;="&amp;$C$7,BD!$A$3:$A$5001,"&lt;="&amp;$B285,BD!$Z$3:$Z$5001,"&lt;&gt;")=0,"",SUMIFS(BD!$Z$3:$Z$5001,BD!$B$3:$B$5001,D$280,BD!$A$3:$A$5001,_xlfn.MAXIFS(BD!$A$3:$A$5001,BD!$B$3:$B$5001,D$280,BD!$A$3:$A$5001,"&gt;="&amp;$C$7,BD!$A$3:$A$5001,"&lt;="&amp;$B285,BD!$Z$3:$Z$5001,"&lt;&gt;"))))</f>
        <v/>
      </c>
      <c r="E285" s="54" t="str">
        <f>IF(OR($B285="",$A285&gt;$B$9,E$280=""),"",IF(COUNTIFS(BD!$B$3:$B$5001,E$280,BD!$A$3:$A$5001,"&gt;="&amp;$C$7,BD!$A$3:$A$5001,"&lt;="&amp;$B285,BD!$Z$3:$Z$5001,"&lt;&gt;")=0,"",SUMIFS(BD!$Z$3:$Z$5001,BD!$B$3:$B$5001,E$280,BD!$A$3:$A$5001,_xlfn.MAXIFS(BD!$A$3:$A$5001,BD!$B$3:$B$5001,E$280,BD!$A$3:$A$5001,"&gt;="&amp;$C$7,BD!$A$3:$A$5001,"&lt;="&amp;$B285,BD!$Z$3:$Z$5001,"&lt;&gt;"))))</f>
        <v/>
      </c>
      <c r="F285" s="54" t="str">
        <f>IF(OR($B285="",$A285&gt;$B$9,F$280=""),"",IF(COUNTIFS(BD!$B$3:$B$5001,F$280,BD!$A$3:$A$5001,"&gt;="&amp;$C$7,BD!$A$3:$A$5001,"&lt;="&amp;$B285,BD!$Z$3:$Z$5001,"&lt;&gt;")=0,"",SUMIFS(BD!$Z$3:$Z$5001,BD!$B$3:$B$5001,F$280,BD!$A$3:$A$5001,_xlfn.MAXIFS(BD!$A$3:$A$5001,BD!$B$3:$B$5001,F$280,BD!$A$3:$A$5001,"&gt;="&amp;$C$7,BD!$A$3:$A$5001,"&lt;="&amp;$B285,BD!$Z$3:$Z$5001,"&lt;&gt;"))))</f>
        <v/>
      </c>
      <c r="G285" s="54" t="str">
        <f>IF(OR($B285="",$A285&gt;$B$9,G$280=""),"",IF(COUNTIFS(BD!$B$3:$B$5001,G$280,BD!$A$3:$A$5001,"&gt;="&amp;$C$7,BD!$A$3:$A$5001,"&lt;="&amp;$B285,BD!$Z$3:$Z$5001,"&lt;&gt;")=0,"",SUMIFS(BD!$Z$3:$Z$5001,BD!$B$3:$B$5001,G$280,BD!$A$3:$A$5001,_xlfn.MAXIFS(BD!$A$3:$A$5001,BD!$B$3:$B$5001,G$280,BD!$A$3:$A$5001,"&gt;="&amp;$C$7,BD!$A$3:$A$5001,"&lt;="&amp;$B285,BD!$Z$3:$Z$5001,"&lt;&gt;"))))</f>
        <v/>
      </c>
      <c r="H285" s="54" t="str">
        <f>IF(OR($B285="",$A285&gt;$B$9,H$280=""),"",IF(COUNTIFS(BD!$B$3:$B$5001,H$280,BD!$A$3:$A$5001,"&gt;="&amp;$C$7,BD!$A$3:$A$5001,"&lt;="&amp;$B285,BD!$Z$3:$Z$5001,"&lt;&gt;")=0,"",SUMIFS(BD!$Z$3:$Z$5001,BD!$B$3:$B$5001,H$280,BD!$A$3:$A$5001,_xlfn.MAXIFS(BD!$A$3:$A$5001,BD!$B$3:$B$5001,H$280,BD!$A$3:$A$5001,"&gt;="&amp;$C$7,BD!$A$3:$A$5001,"&lt;="&amp;$B285,BD!$Z$3:$Z$5001,"&lt;&gt;"))))</f>
        <v/>
      </c>
      <c r="I285" s="54" t="str">
        <f>IF(OR($B285="",$A285&gt;$B$9,I$280=""),"",IF(COUNTIFS(BD!$B$3:$B$5001,I$280,BD!$A$3:$A$5001,"&gt;="&amp;$C$7,BD!$A$3:$A$5001,"&lt;="&amp;$B285,BD!$Z$3:$Z$5001,"&lt;&gt;")=0,"",SUMIFS(BD!$Z$3:$Z$5001,BD!$B$3:$B$5001,I$280,BD!$A$3:$A$5001,_xlfn.MAXIFS(BD!$A$3:$A$5001,BD!$B$3:$B$5001,I$280,BD!$A$3:$A$5001,"&gt;="&amp;$C$7,BD!$A$3:$A$5001,"&lt;="&amp;$B285,BD!$Z$3:$Z$5001,"&lt;&gt;"))))</f>
        <v/>
      </c>
      <c r="J285" s="54" t="str">
        <f>IF(OR($B285="",$A285&gt;$B$9,J$280=""),"",IF(COUNTIFS(BD!$B$3:$B$5001,J$280,BD!$A$3:$A$5001,"&gt;="&amp;$C$7,BD!$A$3:$A$5001,"&lt;="&amp;$B285,BD!$Z$3:$Z$5001,"&lt;&gt;")=0,"",SUMIFS(BD!$Z$3:$Z$5001,BD!$B$3:$B$5001,J$280,BD!$A$3:$A$5001,_xlfn.MAXIFS(BD!$A$3:$A$5001,BD!$B$3:$B$5001,J$280,BD!$A$3:$A$5001,"&gt;="&amp;$C$7,BD!$A$3:$A$5001,"&lt;="&amp;$B285,BD!$Z$3:$Z$5001,"&lt;&gt;"))))</f>
        <v/>
      </c>
      <c r="K285" s="54" t="str">
        <f>IF(OR($B285="",$A285&gt;$B$9,K$280=""),"",IF(COUNTIFS(BD!$B$3:$B$5001,K$280,BD!$A$3:$A$5001,"&gt;="&amp;$C$7,BD!$A$3:$A$5001,"&lt;="&amp;$B285,BD!$Z$3:$Z$5001,"&lt;&gt;")=0,"",SUMIFS(BD!$Z$3:$Z$5001,BD!$B$3:$B$5001,K$280,BD!$A$3:$A$5001,_xlfn.MAXIFS(BD!$A$3:$A$5001,BD!$B$3:$B$5001,K$280,BD!$A$3:$A$5001,"&gt;="&amp;$C$7,BD!$A$3:$A$5001,"&lt;="&amp;$B285,BD!$Z$3:$Z$5001,"&lt;&gt;"))))</f>
        <v/>
      </c>
      <c r="L285" s="54" t="str">
        <f>IF(OR($B285="",$A285&gt;$B$9,L$280=""),"",IF(COUNTIFS(BD!$B$3:$B$5001,L$280,BD!$A$3:$A$5001,"&gt;="&amp;$C$7,BD!$A$3:$A$5001,"&lt;="&amp;$B285,BD!$Z$3:$Z$5001,"&lt;&gt;")=0,"",SUMIFS(BD!$Z$3:$Z$5001,BD!$B$3:$B$5001,L$280,BD!$A$3:$A$5001,_xlfn.MAXIFS(BD!$A$3:$A$5001,BD!$B$3:$B$5001,L$280,BD!$A$3:$A$5001,"&gt;="&amp;$C$7,BD!$A$3:$A$5001,"&lt;="&amp;$B285,BD!$Z$3:$Z$5001,"&lt;&gt;"))))</f>
        <v/>
      </c>
      <c r="M285" s="54" t="str">
        <f>IF(OR($B285="",$A285&gt;$B$9,M$280=""),"",IF(COUNTIFS(BD!$B$3:$B$5001,M$280,BD!$A$3:$A$5001,"&gt;="&amp;$C$7,BD!$A$3:$A$5001,"&lt;="&amp;$B285,BD!$Z$3:$Z$5001,"&lt;&gt;")=0,"",SUMIFS(BD!$Z$3:$Z$5001,BD!$B$3:$B$5001,M$280,BD!$A$3:$A$5001,_xlfn.MAXIFS(BD!$A$3:$A$5001,BD!$B$3:$B$5001,M$280,BD!$A$3:$A$5001,"&gt;="&amp;$C$7,BD!$A$3:$A$5001,"&lt;="&amp;$B285,BD!$Z$3:$Z$5001,"&lt;&gt;"))))</f>
        <v/>
      </c>
      <c r="N285" s="54" t="str">
        <f>IF(OR($B285="",$A285&gt;$B$9,N$280=""),"",IF(COUNTIFS(BD!$B$3:$B$5001,N$280,BD!$A$3:$A$5001,"&gt;="&amp;$C$7,BD!$A$3:$A$5001,"&lt;="&amp;$B285,BD!$Z$3:$Z$5001,"&lt;&gt;")=0,"",SUMIFS(BD!$Z$3:$Z$5001,BD!$B$3:$B$5001,N$280,BD!$A$3:$A$5001,_xlfn.MAXIFS(BD!$A$3:$A$5001,BD!$B$3:$B$5001,N$280,BD!$A$3:$A$5001,"&gt;="&amp;$C$7,BD!$A$3:$A$5001,"&lt;="&amp;$B285,BD!$Z$3:$Z$5001,"&lt;&gt;"))))</f>
        <v/>
      </c>
      <c r="O285" s="54" t="str">
        <f>IF(OR($B285="",$A285&gt;$B$9,O$280=""),"",IF(COUNTIFS(BD!$B$3:$B$5001,O$280,BD!$A$3:$A$5001,"&gt;="&amp;$C$7,BD!$A$3:$A$5001,"&lt;="&amp;$B285,BD!$Z$3:$Z$5001,"&lt;&gt;")=0,"",SUMIFS(BD!$Z$3:$Z$5001,BD!$B$3:$B$5001,O$280,BD!$A$3:$A$5001,_xlfn.MAXIFS(BD!$A$3:$A$5001,BD!$B$3:$B$5001,O$280,BD!$A$3:$A$5001,"&gt;="&amp;$C$7,BD!$A$3:$A$5001,"&lt;="&amp;$B285,BD!$Z$3:$Z$5001,"&lt;&gt;"))))</f>
        <v/>
      </c>
      <c r="P285" s="54" t="str">
        <f>IF(OR($B285="",$A285&gt;$B$9,P$280=""),"",IF(COUNTIFS(BD!$B$3:$B$5001,P$280,BD!$A$3:$A$5001,"&gt;="&amp;$C$7,BD!$A$3:$A$5001,"&lt;="&amp;$B285,BD!$Z$3:$Z$5001,"&lt;&gt;")=0,"",SUMIFS(BD!$Z$3:$Z$5001,BD!$B$3:$B$5001,P$280,BD!$A$3:$A$5001,_xlfn.MAXIFS(BD!$A$3:$A$5001,BD!$B$3:$B$5001,P$280,BD!$A$3:$A$5001,"&gt;="&amp;$C$7,BD!$A$3:$A$5001,"&lt;="&amp;$B285,BD!$Z$3:$Z$5001,"&lt;&gt;"))))</f>
        <v/>
      </c>
      <c r="Q285" s="54" t="str">
        <f>IF(OR($B285="",$A285&gt;$B$9,Q$280=""),"",IF(COUNTIFS(BD!$B$3:$B$5001,Q$280,BD!$A$3:$A$5001,"&gt;="&amp;$C$7,BD!$A$3:$A$5001,"&lt;="&amp;$B285,BD!$Z$3:$Z$5001,"&lt;&gt;")=0,"",SUMIFS(BD!$Z$3:$Z$5001,BD!$B$3:$B$5001,Q$280,BD!$A$3:$A$5001,_xlfn.MAXIFS(BD!$A$3:$A$5001,BD!$B$3:$B$5001,Q$280,BD!$A$3:$A$5001,"&gt;="&amp;$C$7,BD!$A$3:$A$5001,"&lt;="&amp;$B285,BD!$Z$3:$Z$5001,"&lt;&gt;"))))</f>
        <v/>
      </c>
      <c r="R285" s="54" t="str">
        <f>IF(OR($B285="",$A285&gt;$B$9,R$280=""),"",IF(COUNTIFS(BD!$B$3:$B$5001,R$280,BD!$A$3:$A$5001,"&gt;="&amp;$C$7,BD!$A$3:$A$5001,"&lt;="&amp;$B285,BD!$Z$3:$Z$5001,"&lt;&gt;")=0,"",SUMIFS(BD!$Z$3:$Z$5001,BD!$B$3:$B$5001,R$280,BD!$A$3:$A$5001,_xlfn.MAXIFS(BD!$A$3:$A$5001,BD!$B$3:$B$5001,R$280,BD!$A$3:$A$5001,"&gt;="&amp;$C$7,BD!$A$3:$A$5001,"&lt;="&amp;$B285,BD!$Z$3:$Z$5001,"&lt;&gt;"))))</f>
        <v/>
      </c>
      <c r="S285" s="54" t="str">
        <f>IF(OR($B285="",$A285&gt;$B$9,S$280=""),"",IF(COUNTIFS(BD!$B$3:$B$5001,S$280,BD!$A$3:$A$5001,"&gt;="&amp;$C$7,BD!$A$3:$A$5001,"&lt;="&amp;$B285,BD!$Z$3:$Z$5001,"&lt;&gt;")=0,"",SUMIFS(BD!$Z$3:$Z$5001,BD!$B$3:$B$5001,S$280,BD!$A$3:$A$5001,_xlfn.MAXIFS(BD!$A$3:$A$5001,BD!$B$3:$B$5001,S$280,BD!$A$3:$A$5001,"&gt;="&amp;$C$7,BD!$A$3:$A$5001,"&lt;="&amp;$B285,BD!$Z$3:$Z$5001,"&lt;&gt;"))))</f>
        <v/>
      </c>
      <c r="T285" s="54" t="str">
        <f>IF(OR($B285="",$A285&gt;$B$9,T$280=""),"",IF(COUNTIFS(BD!$B$3:$B$5001,T$280,BD!$A$3:$A$5001,"&gt;="&amp;$C$7,BD!$A$3:$A$5001,"&lt;="&amp;$B285,BD!$Z$3:$Z$5001,"&lt;&gt;")=0,"",SUMIFS(BD!$Z$3:$Z$5001,BD!$B$3:$B$5001,T$280,BD!$A$3:$A$5001,_xlfn.MAXIFS(BD!$A$3:$A$5001,BD!$B$3:$B$5001,T$280,BD!$A$3:$A$5001,"&gt;="&amp;$C$7,BD!$A$3:$A$5001,"&lt;="&amp;$B285,BD!$Z$3:$Z$5001,"&lt;&gt;"))))</f>
        <v/>
      </c>
      <c r="U285" s="54" t="str">
        <f>IF(OR($B285="",$A285&gt;$B$9,U$280=""),"",IF(COUNTIFS(BD!$B$3:$B$5001,U$280,BD!$A$3:$A$5001,"&gt;="&amp;$C$7,BD!$A$3:$A$5001,"&lt;="&amp;$B285,BD!$Z$3:$Z$5001,"&lt;&gt;")=0,"",SUMIFS(BD!$Z$3:$Z$5001,BD!$B$3:$B$5001,U$280,BD!$A$3:$A$5001,_xlfn.MAXIFS(BD!$A$3:$A$5001,BD!$B$3:$B$5001,U$280,BD!$A$3:$A$5001,"&gt;="&amp;$C$7,BD!$A$3:$A$5001,"&lt;="&amp;$B285,BD!$Z$3:$Z$5001,"&lt;&gt;"))))</f>
        <v/>
      </c>
      <c r="V285" s="54" t="str">
        <f>IF(OR($B285="",$A285&gt;$B$9,V$280=""),"",IF(COUNTIFS(BD!$B$3:$B$5001,V$280,BD!$A$3:$A$5001,"&gt;="&amp;$C$7,BD!$A$3:$A$5001,"&lt;="&amp;$B285,BD!$Z$3:$Z$5001,"&lt;&gt;")=0,"",SUMIFS(BD!$Z$3:$Z$5001,BD!$B$3:$B$5001,V$280,BD!$A$3:$A$5001,_xlfn.MAXIFS(BD!$A$3:$A$5001,BD!$B$3:$B$5001,V$280,BD!$A$3:$A$5001,"&gt;="&amp;$C$7,BD!$A$3:$A$5001,"&lt;="&amp;$B285,BD!$Z$3:$Z$5001,"&lt;&gt;"))))</f>
        <v/>
      </c>
    </row>
    <row r="286">
      <c r="A286" s="48">
        <v>6</v>
      </c>
      <c r="B286" s="53">
        <f>$B$17</f>
        <v>46301</v>
      </c>
      <c r="C286" s="54" t="str">
        <f>IF(OR($B286="",$A286&gt;$B$9,C$280=""),"",IF(COUNTIFS(BD!$B$3:$B$5001,C$280,BD!$A$3:$A$5001,"&gt;="&amp;$C$7,BD!$A$3:$A$5001,"&lt;="&amp;$B286,BD!$Z$3:$Z$5001,"&lt;&gt;")=0,"",SUMIFS(BD!$Z$3:$Z$5001,BD!$B$3:$B$5001,C$280,BD!$A$3:$A$5001,_xlfn.MAXIFS(BD!$A$3:$A$5001,BD!$B$3:$B$5001,C$280,BD!$A$3:$A$5001,"&gt;="&amp;$C$7,BD!$A$3:$A$5001,"&lt;="&amp;$B286,BD!$Z$3:$Z$5001,"&lt;&gt;"))))</f>
        <v/>
      </c>
      <c r="D286" s="54" t="str">
        <f>IF(OR($B286="",$A286&gt;$B$9,D$280=""),"",IF(COUNTIFS(BD!$B$3:$B$5001,D$280,BD!$A$3:$A$5001,"&gt;="&amp;$C$7,BD!$A$3:$A$5001,"&lt;="&amp;$B286,BD!$Z$3:$Z$5001,"&lt;&gt;")=0,"",SUMIFS(BD!$Z$3:$Z$5001,BD!$B$3:$B$5001,D$280,BD!$A$3:$A$5001,_xlfn.MAXIFS(BD!$A$3:$A$5001,BD!$B$3:$B$5001,D$280,BD!$A$3:$A$5001,"&gt;="&amp;$C$7,BD!$A$3:$A$5001,"&lt;="&amp;$B286,BD!$Z$3:$Z$5001,"&lt;&gt;"))))</f>
        <v/>
      </c>
      <c r="E286" s="54" t="str">
        <f>IF(OR($B286="",$A286&gt;$B$9,E$280=""),"",IF(COUNTIFS(BD!$B$3:$B$5001,E$280,BD!$A$3:$A$5001,"&gt;="&amp;$C$7,BD!$A$3:$A$5001,"&lt;="&amp;$B286,BD!$Z$3:$Z$5001,"&lt;&gt;")=0,"",SUMIFS(BD!$Z$3:$Z$5001,BD!$B$3:$B$5001,E$280,BD!$A$3:$A$5001,_xlfn.MAXIFS(BD!$A$3:$A$5001,BD!$B$3:$B$5001,E$280,BD!$A$3:$A$5001,"&gt;="&amp;$C$7,BD!$A$3:$A$5001,"&lt;="&amp;$B286,BD!$Z$3:$Z$5001,"&lt;&gt;"))))</f>
        <v/>
      </c>
      <c r="F286" s="54" t="str">
        <f>IF(OR($B286="",$A286&gt;$B$9,F$280=""),"",IF(COUNTIFS(BD!$B$3:$B$5001,F$280,BD!$A$3:$A$5001,"&gt;="&amp;$C$7,BD!$A$3:$A$5001,"&lt;="&amp;$B286,BD!$Z$3:$Z$5001,"&lt;&gt;")=0,"",SUMIFS(BD!$Z$3:$Z$5001,BD!$B$3:$B$5001,F$280,BD!$A$3:$A$5001,_xlfn.MAXIFS(BD!$A$3:$A$5001,BD!$B$3:$B$5001,F$280,BD!$A$3:$A$5001,"&gt;="&amp;$C$7,BD!$A$3:$A$5001,"&lt;="&amp;$B286,BD!$Z$3:$Z$5001,"&lt;&gt;"))))</f>
        <v/>
      </c>
      <c r="G286" s="54" t="str">
        <f>IF(OR($B286="",$A286&gt;$B$9,G$280=""),"",IF(COUNTIFS(BD!$B$3:$B$5001,G$280,BD!$A$3:$A$5001,"&gt;="&amp;$C$7,BD!$A$3:$A$5001,"&lt;="&amp;$B286,BD!$Z$3:$Z$5001,"&lt;&gt;")=0,"",SUMIFS(BD!$Z$3:$Z$5001,BD!$B$3:$B$5001,G$280,BD!$A$3:$A$5001,_xlfn.MAXIFS(BD!$A$3:$A$5001,BD!$B$3:$B$5001,G$280,BD!$A$3:$A$5001,"&gt;="&amp;$C$7,BD!$A$3:$A$5001,"&lt;="&amp;$B286,BD!$Z$3:$Z$5001,"&lt;&gt;"))))</f>
        <v/>
      </c>
      <c r="H286" s="54" t="str">
        <f>IF(OR($B286="",$A286&gt;$B$9,H$280=""),"",IF(COUNTIFS(BD!$B$3:$B$5001,H$280,BD!$A$3:$A$5001,"&gt;="&amp;$C$7,BD!$A$3:$A$5001,"&lt;="&amp;$B286,BD!$Z$3:$Z$5001,"&lt;&gt;")=0,"",SUMIFS(BD!$Z$3:$Z$5001,BD!$B$3:$B$5001,H$280,BD!$A$3:$A$5001,_xlfn.MAXIFS(BD!$A$3:$A$5001,BD!$B$3:$B$5001,H$280,BD!$A$3:$A$5001,"&gt;="&amp;$C$7,BD!$A$3:$A$5001,"&lt;="&amp;$B286,BD!$Z$3:$Z$5001,"&lt;&gt;"))))</f>
        <v/>
      </c>
      <c r="I286" s="54" t="str">
        <f>IF(OR($B286="",$A286&gt;$B$9,I$280=""),"",IF(COUNTIFS(BD!$B$3:$B$5001,I$280,BD!$A$3:$A$5001,"&gt;="&amp;$C$7,BD!$A$3:$A$5001,"&lt;="&amp;$B286,BD!$Z$3:$Z$5001,"&lt;&gt;")=0,"",SUMIFS(BD!$Z$3:$Z$5001,BD!$B$3:$B$5001,I$280,BD!$A$3:$A$5001,_xlfn.MAXIFS(BD!$A$3:$A$5001,BD!$B$3:$B$5001,I$280,BD!$A$3:$A$5001,"&gt;="&amp;$C$7,BD!$A$3:$A$5001,"&lt;="&amp;$B286,BD!$Z$3:$Z$5001,"&lt;&gt;"))))</f>
        <v/>
      </c>
      <c r="J286" s="54" t="str">
        <f>IF(OR($B286="",$A286&gt;$B$9,J$280=""),"",IF(COUNTIFS(BD!$B$3:$B$5001,J$280,BD!$A$3:$A$5001,"&gt;="&amp;$C$7,BD!$A$3:$A$5001,"&lt;="&amp;$B286,BD!$Z$3:$Z$5001,"&lt;&gt;")=0,"",SUMIFS(BD!$Z$3:$Z$5001,BD!$B$3:$B$5001,J$280,BD!$A$3:$A$5001,_xlfn.MAXIFS(BD!$A$3:$A$5001,BD!$B$3:$B$5001,J$280,BD!$A$3:$A$5001,"&gt;="&amp;$C$7,BD!$A$3:$A$5001,"&lt;="&amp;$B286,BD!$Z$3:$Z$5001,"&lt;&gt;"))))</f>
        <v/>
      </c>
      <c r="K286" s="54" t="str">
        <f>IF(OR($B286="",$A286&gt;$B$9,K$280=""),"",IF(COUNTIFS(BD!$B$3:$B$5001,K$280,BD!$A$3:$A$5001,"&gt;="&amp;$C$7,BD!$A$3:$A$5001,"&lt;="&amp;$B286,BD!$Z$3:$Z$5001,"&lt;&gt;")=0,"",SUMIFS(BD!$Z$3:$Z$5001,BD!$B$3:$B$5001,K$280,BD!$A$3:$A$5001,_xlfn.MAXIFS(BD!$A$3:$A$5001,BD!$B$3:$B$5001,K$280,BD!$A$3:$A$5001,"&gt;="&amp;$C$7,BD!$A$3:$A$5001,"&lt;="&amp;$B286,BD!$Z$3:$Z$5001,"&lt;&gt;"))))</f>
        <v/>
      </c>
      <c r="L286" s="54" t="str">
        <f>IF(OR($B286="",$A286&gt;$B$9,L$280=""),"",IF(COUNTIFS(BD!$B$3:$B$5001,L$280,BD!$A$3:$A$5001,"&gt;="&amp;$C$7,BD!$A$3:$A$5001,"&lt;="&amp;$B286,BD!$Z$3:$Z$5001,"&lt;&gt;")=0,"",SUMIFS(BD!$Z$3:$Z$5001,BD!$B$3:$B$5001,L$280,BD!$A$3:$A$5001,_xlfn.MAXIFS(BD!$A$3:$A$5001,BD!$B$3:$B$5001,L$280,BD!$A$3:$A$5001,"&gt;="&amp;$C$7,BD!$A$3:$A$5001,"&lt;="&amp;$B286,BD!$Z$3:$Z$5001,"&lt;&gt;"))))</f>
        <v/>
      </c>
      <c r="M286" s="54" t="str">
        <f>IF(OR($B286="",$A286&gt;$B$9,M$280=""),"",IF(COUNTIFS(BD!$B$3:$B$5001,M$280,BD!$A$3:$A$5001,"&gt;="&amp;$C$7,BD!$A$3:$A$5001,"&lt;="&amp;$B286,BD!$Z$3:$Z$5001,"&lt;&gt;")=0,"",SUMIFS(BD!$Z$3:$Z$5001,BD!$B$3:$B$5001,M$280,BD!$A$3:$A$5001,_xlfn.MAXIFS(BD!$A$3:$A$5001,BD!$B$3:$B$5001,M$280,BD!$A$3:$A$5001,"&gt;="&amp;$C$7,BD!$A$3:$A$5001,"&lt;="&amp;$B286,BD!$Z$3:$Z$5001,"&lt;&gt;"))))</f>
        <v/>
      </c>
      <c r="N286" s="54" t="str">
        <f>IF(OR($B286="",$A286&gt;$B$9,N$280=""),"",IF(COUNTIFS(BD!$B$3:$B$5001,N$280,BD!$A$3:$A$5001,"&gt;="&amp;$C$7,BD!$A$3:$A$5001,"&lt;="&amp;$B286,BD!$Z$3:$Z$5001,"&lt;&gt;")=0,"",SUMIFS(BD!$Z$3:$Z$5001,BD!$B$3:$B$5001,N$280,BD!$A$3:$A$5001,_xlfn.MAXIFS(BD!$A$3:$A$5001,BD!$B$3:$B$5001,N$280,BD!$A$3:$A$5001,"&gt;="&amp;$C$7,BD!$A$3:$A$5001,"&lt;="&amp;$B286,BD!$Z$3:$Z$5001,"&lt;&gt;"))))</f>
        <v/>
      </c>
      <c r="O286" s="54" t="str">
        <f>IF(OR($B286="",$A286&gt;$B$9,O$280=""),"",IF(COUNTIFS(BD!$B$3:$B$5001,O$280,BD!$A$3:$A$5001,"&gt;="&amp;$C$7,BD!$A$3:$A$5001,"&lt;="&amp;$B286,BD!$Z$3:$Z$5001,"&lt;&gt;")=0,"",SUMIFS(BD!$Z$3:$Z$5001,BD!$B$3:$B$5001,O$280,BD!$A$3:$A$5001,_xlfn.MAXIFS(BD!$A$3:$A$5001,BD!$B$3:$B$5001,O$280,BD!$A$3:$A$5001,"&gt;="&amp;$C$7,BD!$A$3:$A$5001,"&lt;="&amp;$B286,BD!$Z$3:$Z$5001,"&lt;&gt;"))))</f>
        <v/>
      </c>
      <c r="P286" s="54" t="str">
        <f>IF(OR($B286="",$A286&gt;$B$9,P$280=""),"",IF(COUNTIFS(BD!$B$3:$B$5001,P$280,BD!$A$3:$A$5001,"&gt;="&amp;$C$7,BD!$A$3:$A$5001,"&lt;="&amp;$B286,BD!$Z$3:$Z$5001,"&lt;&gt;")=0,"",SUMIFS(BD!$Z$3:$Z$5001,BD!$B$3:$B$5001,P$280,BD!$A$3:$A$5001,_xlfn.MAXIFS(BD!$A$3:$A$5001,BD!$B$3:$B$5001,P$280,BD!$A$3:$A$5001,"&gt;="&amp;$C$7,BD!$A$3:$A$5001,"&lt;="&amp;$B286,BD!$Z$3:$Z$5001,"&lt;&gt;"))))</f>
        <v/>
      </c>
      <c r="Q286" s="54" t="str">
        <f>IF(OR($B286="",$A286&gt;$B$9,Q$280=""),"",IF(COUNTIFS(BD!$B$3:$B$5001,Q$280,BD!$A$3:$A$5001,"&gt;="&amp;$C$7,BD!$A$3:$A$5001,"&lt;="&amp;$B286,BD!$Z$3:$Z$5001,"&lt;&gt;")=0,"",SUMIFS(BD!$Z$3:$Z$5001,BD!$B$3:$B$5001,Q$280,BD!$A$3:$A$5001,_xlfn.MAXIFS(BD!$A$3:$A$5001,BD!$B$3:$B$5001,Q$280,BD!$A$3:$A$5001,"&gt;="&amp;$C$7,BD!$A$3:$A$5001,"&lt;="&amp;$B286,BD!$Z$3:$Z$5001,"&lt;&gt;"))))</f>
        <v/>
      </c>
      <c r="R286" s="54" t="str">
        <f>IF(OR($B286="",$A286&gt;$B$9,R$280=""),"",IF(COUNTIFS(BD!$B$3:$B$5001,R$280,BD!$A$3:$A$5001,"&gt;="&amp;$C$7,BD!$A$3:$A$5001,"&lt;="&amp;$B286,BD!$Z$3:$Z$5001,"&lt;&gt;")=0,"",SUMIFS(BD!$Z$3:$Z$5001,BD!$B$3:$B$5001,R$280,BD!$A$3:$A$5001,_xlfn.MAXIFS(BD!$A$3:$A$5001,BD!$B$3:$B$5001,R$280,BD!$A$3:$A$5001,"&gt;="&amp;$C$7,BD!$A$3:$A$5001,"&lt;="&amp;$B286,BD!$Z$3:$Z$5001,"&lt;&gt;"))))</f>
        <v/>
      </c>
      <c r="S286" s="54" t="str">
        <f>IF(OR($B286="",$A286&gt;$B$9,S$280=""),"",IF(COUNTIFS(BD!$B$3:$B$5001,S$280,BD!$A$3:$A$5001,"&gt;="&amp;$C$7,BD!$A$3:$A$5001,"&lt;="&amp;$B286,BD!$Z$3:$Z$5001,"&lt;&gt;")=0,"",SUMIFS(BD!$Z$3:$Z$5001,BD!$B$3:$B$5001,S$280,BD!$A$3:$A$5001,_xlfn.MAXIFS(BD!$A$3:$A$5001,BD!$B$3:$B$5001,S$280,BD!$A$3:$A$5001,"&gt;="&amp;$C$7,BD!$A$3:$A$5001,"&lt;="&amp;$B286,BD!$Z$3:$Z$5001,"&lt;&gt;"))))</f>
        <v/>
      </c>
      <c r="T286" s="54" t="str">
        <f>IF(OR($B286="",$A286&gt;$B$9,T$280=""),"",IF(COUNTIFS(BD!$B$3:$B$5001,T$280,BD!$A$3:$A$5001,"&gt;="&amp;$C$7,BD!$A$3:$A$5001,"&lt;="&amp;$B286,BD!$Z$3:$Z$5001,"&lt;&gt;")=0,"",SUMIFS(BD!$Z$3:$Z$5001,BD!$B$3:$B$5001,T$280,BD!$A$3:$A$5001,_xlfn.MAXIFS(BD!$A$3:$A$5001,BD!$B$3:$B$5001,T$280,BD!$A$3:$A$5001,"&gt;="&amp;$C$7,BD!$A$3:$A$5001,"&lt;="&amp;$B286,BD!$Z$3:$Z$5001,"&lt;&gt;"))))</f>
        <v/>
      </c>
      <c r="U286" s="54" t="str">
        <f>IF(OR($B286="",$A286&gt;$B$9,U$280=""),"",IF(COUNTIFS(BD!$B$3:$B$5001,U$280,BD!$A$3:$A$5001,"&gt;="&amp;$C$7,BD!$A$3:$A$5001,"&lt;="&amp;$B286,BD!$Z$3:$Z$5001,"&lt;&gt;")=0,"",SUMIFS(BD!$Z$3:$Z$5001,BD!$B$3:$B$5001,U$280,BD!$A$3:$A$5001,_xlfn.MAXIFS(BD!$A$3:$A$5001,BD!$B$3:$B$5001,U$280,BD!$A$3:$A$5001,"&gt;="&amp;$C$7,BD!$A$3:$A$5001,"&lt;="&amp;$B286,BD!$Z$3:$Z$5001,"&lt;&gt;"))))</f>
        <v/>
      </c>
      <c r="V286" s="54" t="str">
        <f>IF(OR($B286="",$A286&gt;$B$9,V$280=""),"",IF(COUNTIFS(BD!$B$3:$B$5001,V$280,BD!$A$3:$A$5001,"&gt;="&amp;$C$7,BD!$A$3:$A$5001,"&lt;="&amp;$B286,BD!$Z$3:$Z$5001,"&lt;&gt;")=0,"",SUMIFS(BD!$Z$3:$Z$5001,BD!$B$3:$B$5001,V$280,BD!$A$3:$A$5001,_xlfn.MAXIFS(BD!$A$3:$A$5001,BD!$B$3:$B$5001,V$280,BD!$A$3:$A$5001,"&gt;="&amp;$C$7,BD!$A$3:$A$5001,"&lt;="&amp;$B286,BD!$Z$3:$Z$5001,"&lt;&gt;"))))</f>
        <v/>
      </c>
    </row>
    <row r="287">
      <c r="A287" s="48">
        <v>7</v>
      </c>
      <c r="B287" s="53">
        <f>$B$18</f>
        <v>46302</v>
      </c>
      <c r="C287" s="54" t="str">
        <f>IF(OR($B287="",$A287&gt;$B$9,C$280=""),"",IF(COUNTIFS(BD!$B$3:$B$5001,C$280,BD!$A$3:$A$5001,"&gt;="&amp;$C$7,BD!$A$3:$A$5001,"&lt;="&amp;$B287,BD!$Z$3:$Z$5001,"&lt;&gt;")=0,"",SUMIFS(BD!$Z$3:$Z$5001,BD!$B$3:$B$5001,C$280,BD!$A$3:$A$5001,_xlfn.MAXIFS(BD!$A$3:$A$5001,BD!$B$3:$B$5001,C$280,BD!$A$3:$A$5001,"&gt;="&amp;$C$7,BD!$A$3:$A$5001,"&lt;="&amp;$B287,BD!$Z$3:$Z$5001,"&lt;&gt;"))))</f>
        <v/>
      </c>
      <c r="D287" s="54" t="str">
        <f>IF(OR($B287="",$A287&gt;$B$9,D$280=""),"",IF(COUNTIFS(BD!$B$3:$B$5001,D$280,BD!$A$3:$A$5001,"&gt;="&amp;$C$7,BD!$A$3:$A$5001,"&lt;="&amp;$B287,BD!$Z$3:$Z$5001,"&lt;&gt;")=0,"",SUMIFS(BD!$Z$3:$Z$5001,BD!$B$3:$B$5001,D$280,BD!$A$3:$A$5001,_xlfn.MAXIFS(BD!$A$3:$A$5001,BD!$B$3:$B$5001,D$280,BD!$A$3:$A$5001,"&gt;="&amp;$C$7,BD!$A$3:$A$5001,"&lt;="&amp;$B287,BD!$Z$3:$Z$5001,"&lt;&gt;"))))</f>
        <v/>
      </c>
      <c r="E287" s="54" t="str">
        <f>IF(OR($B287="",$A287&gt;$B$9,E$280=""),"",IF(COUNTIFS(BD!$B$3:$B$5001,E$280,BD!$A$3:$A$5001,"&gt;="&amp;$C$7,BD!$A$3:$A$5001,"&lt;="&amp;$B287,BD!$Z$3:$Z$5001,"&lt;&gt;")=0,"",SUMIFS(BD!$Z$3:$Z$5001,BD!$B$3:$B$5001,E$280,BD!$A$3:$A$5001,_xlfn.MAXIFS(BD!$A$3:$A$5001,BD!$B$3:$B$5001,E$280,BD!$A$3:$A$5001,"&gt;="&amp;$C$7,BD!$A$3:$A$5001,"&lt;="&amp;$B287,BD!$Z$3:$Z$5001,"&lt;&gt;"))))</f>
        <v/>
      </c>
      <c r="F287" s="54" t="str">
        <f>IF(OR($B287="",$A287&gt;$B$9,F$280=""),"",IF(COUNTIFS(BD!$B$3:$B$5001,F$280,BD!$A$3:$A$5001,"&gt;="&amp;$C$7,BD!$A$3:$A$5001,"&lt;="&amp;$B287,BD!$Z$3:$Z$5001,"&lt;&gt;")=0,"",SUMIFS(BD!$Z$3:$Z$5001,BD!$B$3:$B$5001,F$280,BD!$A$3:$A$5001,_xlfn.MAXIFS(BD!$A$3:$A$5001,BD!$B$3:$B$5001,F$280,BD!$A$3:$A$5001,"&gt;="&amp;$C$7,BD!$A$3:$A$5001,"&lt;="&amp;$B287,BD!$Z$3:$Z$5001,"&lt;&gt;"))))</f>
        <v/>
      </c>
      <c r="G287" s="54" t="str">
        <f>IF(OR($B287="",$A287&gt;$B$9,G$280=""),"",IF(COUNTIFS(BD!$B$3:$B$5001,G$280,BD!$A$3:$A$5001,"&gt;="&amp;$C$7,BD!$A$3:$A$5001,"&lt;="&amp;$B287,BD!$Z$3:$Z$5001,"&lt;&gt;")=0,"",SUMIFS(BD!$Z$3:$Z$5001,BD!$B$3:$B$5001,G$280,BD!$A$3:$A$5001,_xlfn.MAXIFS(BD!$A$3:$A$5001,BD!$B$3:$B$5001,G$280,BD!$A$3:$A$5001,"&gt;="&amp;$C$7,BD!$A$3:$A$5001,"&lt;="&amp;$B287,BD!$Z$3:$Z$5001,"&lt;&gt;"))))</f>
        <v/>
      </c>
      <c r="H287" s="54" t="str">
        <f>IF(OR($B287="",$A287&gt;$B$9,H$280=""),"",IF(COUNTIFS(BD!$B$3:$B$5001,H$280,BD!$A$3:$A$5001,"&gt;="&amp;$C$7,BD!$A$3:$A$5001,"&lt;="&amp;$B287,BD!$Z$3:$Z$5001,"&lt;&gt;")=0,"",SUMIFS(BD!$Z$3:$Z$5001,BD!$B$3:$B$5001,H$280,BD!$A$3:$A$5001,_xlfn.MAXIFS(BD!$A$3:$A$5001,BD!$B$3:$B$5001,H$280,BD!$A$3:$A$5001,"&gt;="&amp;$C$7,BD!$A$3:$A$5001,"&lt;="&amp;$B287,BD!$Z$3:$Z$5001,"&lt;&gt;"))))</f>
        <v/>
      </c>
      <c r="I287" s="54" t="str">
        <f>IF(OR($B287="",$A287&gt;$B$9,I$280=""),"",IF(COUNTIFS(BD!$B$3:$B$5001,I$280,BD!$A$3:$A$5001,"&gt;="&amp;$C$7,BD!$A$3:$A$5001,"&lt;="&amp;$B287,BD!$Z$3:$Z$5001,"&lt;&gt;")=0,"",SUMIFS(BD!$Z$3:$Z$5001,BD!$B$3:$B$5001,I$280,BD!$A$3:$A$5001,_xlfn.MAXIFS(BD!$A$3:$A$5001,BD!$B$3:$B$5001,I$280,BD!$A$3:$A$5001,"&gt;="&amp;$C$7,BD!$A$3:$A$5001,"&lt;="&amp;$B287,BD!$Z$3:$Z$5001,"&lt;&gt;"))))</f>
        <v/>
      </c>
      <c r="J287" s="54" t="str">
        <f>IF(OR($B287="",$A287&gt;$B$9,J$280=""),"",IF(COUNTIFS(BD!$B$3:$B$5001,J$280,BD!$A$3:$A$5001,"&gt;="&amp;$C$7,BD!$A$3:$A$5001,"&lt;="&amp;$B287,BD!$Z$3:$Z$5001,"&lt;&gt;")=0,"",SUMIFS(BD!$Z$3:$Z$5001,BD!$B$3:$B$5001,J$280,BD!$A$3:$A$5001,_xlfn.MAXIFS(BD!$A$3:$A$5001,BD!$B$3:$B$5001,J$280,BD!$A$3:$A$5001,"&gt;="&amp;$C$7,BD!$A$3:$A$5001,"&lt;="&amp;$B287,BD!$Z$3:$Z$5001,"&lt;&gt;"))))</f>
        <v/>
      </c>
      <c r="K287" s="54" t="str">
        <f>IF(OR($B287="",$A287&gt;$B$9,K$280=""),"",IF(COUNTIFS(BD!$B$3:$B$5001,K$280,BD!$A$3:$A$5001,"&gt;="&amp;$C$7,BD!$A$3:$A$5001,"&lt;="&amp;$B287,BD!$Z$3:$Z$5001,"&lt;&gt;")=0,"",SUMIFS(BD!$Z$3:$Z$5001,BD!$B$3:$B$5001,K$280,BD!$A$3:$A$5001,_xlfn.MAXIFS(BD!$A$3:$A$5001,BD!$B$3:$B$5001,K$280,BD!$A$3:$A$5001,"&gt;="&amp;$C$7,BD!$A$3:$A$5001,"&lt;="&amp;$B287,BD!$Z$3:$Z$5001,"&lt;&gt;"))))</f>
        <v/>
      </c>
      <c r="L287" s="54" t="str">
        <f>IF(OR($B287="",$A287&gt;$B$9,L$280=""),"",IF(COUNTIFS(BD!$B$3:$B$5001,L$280,BD!$A$3:$A$5001,"&gt;="&amp;$C$7,BD!$A$3:$A$5001,"&lt;="&amp;$B287,BD!$Z$3:$Z$5001,"&lt;&gt;")=0,"",SUMIFS(BD!$Z$3:$Z$5001,BD!$B$3:$B$5001,L$280,BD!$A$3:$A$5001,_xlfn.MAXIFS(BD!$A$3:$A$5001,BD!$B$3:$B$5001,L$280,BD!$A$3:$A$5001,"&gt;="&amp;$C$7,BD!$A$3:$A$5001,"&lt;="&amp;$B287,BD!$Z$3:$Z$5001,"&lt;&gt;"))))</f>
        <v/>
      </c>
      <c r="M287" s="54" t="str">
        <f>IF(OR($B287="",$A287&gt;$B$9,M$280=""),"",IF(COUNTIFS(BD!$B$3:$B$5001,M$280,BD!$A$3:$A$5001,"&gt;="&amp;$C$7,BD!$A$3:$A$5001,"&lt;="&amp;$B287,BD!$Z$3:$Z$5001,"&lt;&gt;")=0,"",SUMIFS(BD!$Z$3:$Z$5001,BD!$B$3:$B$5001,M$280,BD!$A$3:$A$5001,_xlfn.MAXIFS(BD!$A$3:$A$5001,BD!$B$3:$B$5001,M$280,BD!$A$3:$A$5001,"&gt;="&amp;$C$7,BD!$A$3:$A$5001,"&lt;="&amp;$B287,BD!$Z$3:$Z$5001,"&lt;&gt;"))))</f>
        <v/>
      </c>
      <c r="N287" s="54" t="str">
        <f>IF(OR($B287="",$A287&gt;$B$9,N$280=""),"",IF(COUNTIFS(BD!$B$3:$B$5001,N$280,BD!$A$3:$A$5001,"&gt;="&amp;$C$7,BD!$A$3:$A$5001,"&lt;="&amp;$B287,BD!$Z$3:$Z$5001,"&lt;&gt;")=0,"",SUMIFS(BD!$Z$3:$Z$5001,BD!$B$3:$B$5001,N$280,BD!$A$3:$A$5001,_xlfn.MAXIFS(BD!$A$3:$A$5001,BD!$B$3:$B$5001,N$280,BD!$A$3:$A$5001,"&gt;="&amp;$C$7,BD!$A$3:$A$5001,"&lt;="&amp;$B287,BD!$Z$3:$Z$5001,"&lt;&gt;"))))</f>
        <v/>
      </c>
      <c r="O287" s="54" t="str">
        <f>IF(OR($B287="",$A287&gt;$B$9,O$280=""),"",IF(COUNTIFS(BD!$B$3:$B$5001,O$280,BD!$A$3:$A$5001,"&gt;="&amp;$C$7,BD!$A$3:$A$5001,"&lt;="&amp;$B287,BD!$Z$3:$Z$5001,"&lt;&gt;")=0,"",SUMIFS(BD!$Z$3:$Z$5001,BD!$B$3:$B$5001,O$280,BD!$A$3:$A$5001,_xlfn.MAXIFS(BD!$A$3:$A$5001,BD!$B$3:$B$5001,O$280,BD!$A$3:$A$5001,"&gt;="&amp;$C$7,BD!$A$3:$A$5001,"&lt;="&amp;$B287,BD!$Z$3:$Z$5001,"&lt;&gt;"))))</f>
        <v/>
      </c>
      <c r="P287" s="54" t="str">
        <f>IF(OR($B287="",$A287&gt;$B$9,P$280=""),"",IF(COUNTIFS(BD!$B$3:$B$5001,P$280,BD!$A$3:$A$5001,"&gt;="&amp;$C$7,BD!$A$3:$A$5001,"&lt;="&amp;$B287,BD!$Z$3:$Z$5001,"&lt;&gt;")=0,"",SUMIFS(BD!$Z$3:$Z$5001,BD!$B$3:$B$5001,P$280,BD!$A$3:$A$5001,_xlfn.MAXIFS(BD!$A$3:$A$5001,BD!$B$3:$B$5001,P$280,BD!$A$3:$A$5001,"&gt;="&amp;$C$7,BD!$A$3:$A$5001,"&lt;="&amp;$B287,BD!$Z$3:$Z$5001,"&lt;&gt;"))))</f>
        <v/>
      </c>
      <c r="Q287" s="54" t="str">
        <f>IF(OR($B287="",$A287&gt;$B$9,Q$280=""),"",IF(COUNTIFS(BD!$B$3:$B$5001,Q$280,BD!$A$3:$A$5001,"&gt;="&amp;$C$7,BD!$A$3:$A$5001,"&lt;="&amp;$B287,BD!$Z$3:$Z$5001,"&lt;&gt;")=0,"",SUMIFS(BD!$Z$3:$Z$5001,BD!$B$3:$B$5001,Q$280,BD!$A$3:$A$5001,_xlfn.MAXIFS(BD!$A$3:$A$5001,BD!$B$3:$B$5001,Q$280,BD!$A$3:$A$5001,"&gt;="&amp;$C$7,BD!$A$3:$A$5001,"&lt;="&amp;$B287,BD!$Z$3:$Z$5001,"&lt;&gt;"))))</f>
        <v/>
      </c>
      <c r="R287" s="54" t="str">
        <f>IF(OR($B287="",$A287&gt;$B$9,R$280=""),"",IF(COUNTIFS(BD!$B$3:$B$5001,R$280,BD!$A$3:$A$5001,"&gt;="&amp;$C$7,BD!$A$3:$A$5001,"&lt;="&amp;$B287,BD!$Z$3:$Z$5001,"&lt;&gt;")=0,"",SUMIFS(BD!$Z$3:$Z$5001,BD!$B$3:$B$5001,R$280,BD!$A$3:$A$5001,_xlfn.MAXIFS(BD!$A$3:$A$5001,BD!$B$3:$B$5001,R$280,BD!$A$3:$A$5001,"&gt;="&amp;$C$7,BD!$A$3:$A$5001,"&lt;="&amp;$B287,BD!$Z$3:$Z$5001,"&lt;&gt;"))))</f>
        <v/>
      </c>
      <c r="S287" s="54" t="str">
        <f>IF(OR($B287="",$A287&gt;$B$9,S$280=""),"",IF(COUNTIFS(BD!$B$3:$B$5001,S$280,BD!$A$3:$A$5001,"&gt;="&amp;$C$7,BD!$A$3:$A$5001,"&lt;="&amp;$B287,BD!$Z$3:$Z$5001,"&lt;&gt;")=0,"",SUMIFS(BD!$Z$3:$Z$5001,BD!$B$3:$B$5001,S$280,BD!$A$3:$A$5001,_xlfn.MAXIFS(BD!$A$3:$A$5001,BD!$B$3:$B$5001,S$280,BD!$A$3:$A$5001,"&gt;="&amp;$C$7,BD!$A$3:$A$5001,"&lt;="&amp;$B287,BD!$Z$3:$Z$5001,"&lt;&gt;"))))</f>
        <v/>
      </c>
      <c r="T287" s="54" t="str">
        <f>IF(OR($B287="",$A287&gt;$B$9,T$280=""),"",IF(COUNTIFS(BD!$B$3:$B$5001,T$280,BD!$A$3:$A$5001,"&gt;="&amp;$C$7,BD!$A$3:$A$5001,"&lt;="&amp;$B287,BD!$Z$3:$Z$5001,"&lt;&gt;")=0,"",SUMIFS(BD!$Z$3:$Z$5001,BD!$B$3:$B$5001,T$280,BD!$A$3:$A$5001,_xlfn.MAXIFS(BD!$A$3:$A$5001,BD!$B$3:$B$5001,T$280,BD!$A$3:$A$5001,"&gt;="&amp;$C$7,BD!$A$3:$A$5001,"&lt;="&amp;$B287,BD!$Z$3:$Z$5001,"&lt;&gt;"))))</f>
        <v/>
      </c>
      <c r="U287" s="54" t="str">
        <f>IF(OR($B287="",$A287&gt;$B$9,U$280=""),"",IF(COUNTIFS(BD!$B$3:$B$5001,U$280,BD!$A$3:$A$5001,"&gt;="&amp;$C$7,BD!$A$3:$A$5001,"&lt;="&amp;$B287,BD!$Z$3:$Z$5001,"&lt;&gt;")=0,"",SUMIFS(BD!$Z$3:$Z$5001,BD!$B$3:$B$5001,U$280,BD!$A$3:$A$5001,_xlfn.MAXIFS(BD!$A$3:$A$5001,BD!$B$3:$B$5001,U$280,BD!$A$3:$A$5001,"&gt;="&amp;$C$7,BD!$A$3:$A$5001,"&lt;="&amp;$B287,BD!$Z$3:$Z$5001,"&lt;&gt;"))))</f>
        <v/>
      </c>
      <c r="V287" s="54" t="str">
        <f>IF(OR($B287="",$A287&gt;$B$9,V$280=""),"",IF(COUNTIFS(BD!$B$3:$B$5001,V$280,BD!$A$3:$A$5001,"&gt;="&amp;$C$7,BD!$A$3:$A$5001,"&lt;="&amp;$B287,BD!$Z$3:$Z$5001,"&lt;&gt;")=0,"",SUMIFS(BD!$Z$3:$Z$5001,BD!$B$3:$B$5001,V$280,BD!$A$3:$A$5001,_xlfn.MAXIFS(BD!$A$3:$A$5001,BD!$B$3:$B$5001,V$280,BD!$A$3:$A$5001,"&gt;="&amp;$C$7,BD!$A$3:$A$5001,"&lt;="&amp;$B287,BD!$Z$3:$Z$5001,"&lt;&gt;"))))</f>
        <v/>
      </c>
    </row>
    <row r="288">
      <c r="A288" s="48">
        <v>8</v>
      </c>
      <c r="B288" s="53">
        <f>$B$19</f>
        <v>46303</v>
      </c>
      <c r="C288" s="54" t="str">
        <f>IF(OR($B288="",$A288&gt;$B$9,C$280=""),"",IF(COUNTIFS(BD!$B$3:$B$5001,C$280,BD!$A$3:$A$5001,"&gt;="&amp;$C$7,BD!$A$3:$A$5001,"&lt;="&amp;$B288,BD!$Z$3:$Z$5001,"&lt;&gt;")=0,"",SUMIFS(BD!$Z$3:$Z$5001,BD!$B$3:$B$5001,C$280,BD!$A$3:$A$5001,_xlfn.MAXIFS(BD!$A$3:$A$5001,BD!$B$3:$B$5001,C$280,BD!$A$3:$A$5001,"&gt;="&amp;$C$7,BD!$A$3:$A$5001,"&lt;="&amp;$B288,BD!$Z$3:$Z$5001,"&lt;&gt;"))))</f>
        <v/>
      </c>
      <c r="D288" s="54" t="str">
        <f>IF(OR($B288="",$A288&gt;$B$9,D$280=""),"",IF(COUNTIFS(BD!$B$3:$B$5001,D$280,BD!$A$3:$A$5001,"&gt;="&amp;$C$7,BD!$A$3:$A$5001,"&lt;="&amp;$B288,BD!$Z$3:$Z$5001,"&lt;&gt;")=0,"",SUMIFS(BD!$Z$3:$Z$5001,BD!$B$3:$B$5001,D$280,BD!$A$3:$A$5001,_xlfn.MAXIFS(BD!$A$3:$A$5001,BD!$B$3:$B$5001,D$280,BD!$A$3:$A$5001,"&gt;="&amp;$C$7,BD!$A$3:$A$5001,"&lt;="&amp;$B288,BD!$Z$3:$Z$5001,"&lt;&gt;"))))</f>
        <v/>
      </c>
      <c r="E288" s="54" t="str">
        <f>IF(OR($B288="",$A288&gt;$B$9,E$280=""),"",IF(COUNTIFS(BD!$B$3:$B$5001,E$280,BD!$A$3:$A$5001,"&gt;="&amp;$C$7,BD!$A$3:$A$5001,"&lt;="&amp;$B288,BD!$Z$3:$Z$5001,"&lt;&gt;")=0,"",SUMIFS(BD!$Z$3:$Z$5001,BD!$B$3:$B$5001,E$280,BD!$A$3:$A$5001,_xlfn.MAXIFS(BD!$A$3:$A$5001,BD!$B$3:$B$5001,E$280,BD!$A$3:$A$5001,"&gt;="&amp;$C$7,BD!$A$3:$A$5001,"&lt;="&amp;$B288,BD!$Z$3:$Z$5001,"&lt;&gt;"))))</f>
        <v/>
      </c>
      <c r="F288" s="54" t="str">
        <f>IF(OR($B288="",$A288&gt;$B$9,F$280=""),"",IF(COUNTIFS(BD!$B$3:$B$5001,F$280,BD!$A$3:$A$5001,"&gt;="&amp;$C$7,BD!$A$3:$A$5001,"&lt;="&amp;$B288,BD!$Z$3:$Z$5001,"&lt;&gt;")=0,"",SUMIFS(BD!$Z$3:$Z$5001,BD!$B$3:$B$5001,F$280,BD!$A$3:$A$5001,_xlfn.MAXIFS(BD!$A$3:$A$5001,BD!$B$3:$B$5001,F$280,BD!$A$3:$A$5001,"&gt;="&amp;$C$7,BD!$A$3:$A$5001,"&lt;="&amp;$B288,BD!$Z$3:$Z$5001,"&lt;&gt;"))))</f>
        <v/>
      </c>
      <c r="G288" s="54" t="str">
        <f>IF(OR($B288="",$A288&gt;$B$9,G$280=""),"",IF(COUNTIFS(BD!$B$3:$B$5001,G$280,BD!$A$3:$A$5001,"&gt;="&amp;$C$7,BD!$A$3:$A$5001,"&lt;="&amp;$B288,BD!$Z$3:$Z$5001,"&lt;&gt;")=0,"",SUMIFS(BD!$Z$3:$Z$5001,BD!$B$3:$B$5001,G$280,BD!$A$3:$A$5001,_xlfn.MAXIFS(BD!$A$3:$A$5001,BD!$B$3:$B$5001,G$280,BD!$A$3:$A$5001,"&gt;="&amp;$C$7,BD!$A$3:$A$5001,"&lt;="&amp;$B288,BD!$Z$3:$Z$5001,"&lt;&gt;"))))</f>
        <v/>
      </c>
      <c r="H288" s="54" t="str">
        <f>IF(OR($B288="",$A288&gt;$B$9,H$280=""),"",IF(COUNTIFS(BD!$B$3:$B$5001,H$280,BD!$A$3:$A$5001,"&gt;="&amp;$C$7,BD!$A$3:$A$5001,"&lt;="&amp;$B288,BD!$Z$3:$Z$5001,"&lt;&gt;")=0,"",SUMIFS(BD!$Z$3:$Z$5001,BD!$B$3:$B$5001,H$280,BD!$A$3:$A$5001,_xlfn.MAXIFS(BD!$A$3:$A$5001,BD!$B$3:$B$5001,H$280,BD!$A$3:$A$5001,"&gt;="&amp;$C$7,BD!$A$3:$A$5001,"&lt;="&amp;$B288,BD!$Z$3:$Z$5001,"&lt;&gt;"))))</f>
        <v/>
      </c>
      <c r="I288" s="54" t="str">
        <f>IF(OR($B288="",$A288&gt;$B$9,I$280=""),"",IF(COUNTIFS(BD!$B$3:$B$5001,I$280,BD!$A$3:$A$5001,"&gt;="&amp;$C$7,BD!$A$3:$A$5001,"&lt;="&amp;$B288,BD!$Z$3:$Z$5001,"&lt;&gt;")=0,"",SUMIFS(BD!$Z$3:$Z$5001,BD!$B$3:$B$5001,I$280,BD!$A$3:$A$5001,_xlfn.MAXIFS(BD!$A$3:$A$5001,BD!$B$3:$B$5001,I$280,BD!$A$3:$A$5001,"&gt;="&amp;$C$7,BD!$A$3:$A$5001,"&lt;="&amp;$B288,BD!$Z$3:$Z$5001,"&lt;&gt;"))))</f>
        <v/>
      </c>
      <c r="J288" s="54" t="str">
        <f>IF(OR($B288="",$A288&gt;$B$9,J$280=""),"",IF(COUNTIFS(BD!$B$3:$B$5001,J$280,BD!$A$3:$A$5001,"&gt;="&amp;$C$7,BD!$A$3:$A$5001,"&lt;="&amp;$B288,BD!$Z$3:$Z$5001,"&lt;&gt;")=0,"",SUMIFS(BD!$Z$3:$Z$5001,BD!$B$3:$B$5001,J$280,BD!$A$3:$A$5001,_xlfn.MAXIFS(BD!$A$3:$A$5001,BD!$B$3:$B$5001,J$280,BD!$A$3:$A$5001,"&gt;="&amp;$C$7,BD!$A$3:$A$5001,"&lt;="&amp;$B288,BD!$Z$3:$Z$5001,"&lt;&gt;"))))</f>
        <v/>
      </c>
      <c r="K288" s="54" t="str">
        <f>IF(OR($B288="",$A288&gt;$B$9,K$280=""),"",IF(COUNTIFS(BD!$B$3:$B$5001,K$280,BD!$A$3:$A$5001,"&gt;="&amp;$C$7,BD!$A$3:$A$5001,"&lt;="&amp;$B288,BD!$Z$3:$Z$5001,"&lt;&gt;")=0,"",SUMIFS(BD!$Z$3:$Z$5001,BD!$B$3:$B$5001,K$280,BD!$A$3:$A$5001,_xlfn.MAXIFS(BD!$A$3:$A$5001,BD!$B$3:$B$5001,K$280,BD!$A$3:$A$5001,"&gt;="&amp;$C$7,BD!$A$3:$A$5001,"&lt;="&amp;$B288,BD!$Z$3:$Z$5001,"&lt;&gt;"))))</f>
        <v/>
      </c>
      <c r="L288" s="54" t="str">
        <f>IF(OR($B288="",$A288&gt;$B$9,L$280=""),"",IF(COUNTIFS(BD!$B$3:$B$5001,L$280,BD!$A$3:$A$5001,"&gt;="&amp;$C$7,BD!$A$3:$A$5001,"&lt;="&amp;$B288,BD!$Z$3:$Z$5001,"&lt;&gt;")=0,"",SUMIFS(BD!$Z$3:$Z$5001,BD!$B$3:$B$5001,L$280,BD!$A$3:$A$5001,_xlfn.MAXIFS(BD!$A$3:$A$5001,BD!$B$3:$B$5001,L$280,BD!$A$3:$A$5001,"&gt;="&amp;$C$7,BD!$A$3:$A$5001,"&lt;="&amp;$B288,BD!$Z$3:$Z$5001,"&lt;&gt;"))))</f>
        <v/>
      </c>
      <c r="M288" s="54" t="str">
        <f>IF(OR($B288="",$A288&gt;$B$9,M$280=""),"",IF(COUNTIFS(BD!$B$3:$B$5001,M$280,BD!$A$3:$A$5001,"&gt;="&amp;$C$7,BD!$A$3:$A$5001,"&lt;="&amp;$B288,BD!$Z$3:$Z$5001,"&lt;&gt;")=0,"",SUMIFS(BD!$Z$3:$Z$5001,BD!$B$3:$B$5001,M$280,BD!$A$3:$A$5001,_xlfn.MAXIFS(BD!$A$3:$A$5001,BD!$B$3:$B$5001,M$280,BD!$A$3:$A$5001,"&gt;="&amp;$C$7,BD!$A$3:$A$5001,"&lt;="&amp;$B288,BD!$Z$3:$Z$5001,"&lt;&gt;"))))</f>
        <v/>
      </c>
      <c r="N288" s="54" t="str">
        <f>IF(OR($B288="",$A288&gt;$B$9,N$280=""),"",IF(COUNTIFS(BD!$B$3:$B$5001,N$280,BD!$A$3:$A$5001,"&gt;="&amp;$C$7,BD!$A$3:$A$5001,"&lt;="&amp;$B288,BD!$Z$3:$Z$5001,"&lt;&gt;")=0,"",SUMIFS(BD!$Z$3:$Z$5001,BD!$B$3:$B$5001,N$280,BD!$A$3:$A$5001,_xlfn.MAXIFS(BD!$A$3:$A$5001,BD!$B$3:$B$5001,N$280,BD!$A$3:$A$5001,"&gt;="&amp;$C$7,BD!$A$3:$A$5001,"&lt;="&amp;$B288,BD!$Z$3:$Z$5001,"&lt;&gt;"))))</f>
        <v/>
      </c>
      <c r="O288" s="54" t="str">
        <f>IF(OR($B288="",$A288&gt;$B$9,O$280=""),"",IF(COUNTIFS(BD!$B$3:$B$5001,O$280,BD!$A$3:$A$5001,"&gt;="&amp;$C$7,BD!$A$3:$A$5001,"&lt;="&amp;$B288,BD!$Z$3:$Z$5001,"&lt;&gt;")=0,"",SUMIFS(BD!$Z$3:$Z$5001,BD!$B$3:$B$5001,O$280,BD!$A$3:$A$5001,_xlfn.MAXIFS(BD!$A$3:$A$5001,BD!$B$3:$B$5001,O$280,BD!$A$3:$A$5001,"&gt;="&amp;$C$7,BD!$A$3:$A$5001,"&lt;="&amp;$B288,BD!$Z$3:$Z$5001,"&lt;&gt;"))))</f>
        <v/>
      </c>
      <c r="P288" s="54" t="str">
        <f>IF(OR($B288="",$A288&gt;$B$9,P$280=""),"",IF(COUNTIFS(BD!$B$3:$B$5001,P$280,BD!$A$3:$A$5001,"&gt;="&amp;$C$7,BD!$A$3:$A$5001,"&lt;="&amp;$B288,BD!$Z$3:$Z$5001,"&lt;&gt;")=0,"",SUMIFS(BD!$Z$3:$Z$5001,BD!$B$3:$B$5001,P$280,BD!$A$3:$A$5001,_xlfn.MAXIFS(BD!$A$3:$A$5001,BD!$B$3:$B$5001,P$280,BD!$A$3:$A$5001,"&gt;="&amp;$C$7,BD!$A$3:$A$5001,"&lt;="&amp;$B288,BD!$Z$3:$Z$5001,"&lt;&gt;"))))</f>
        <v/>
      </c>
      <c r="Q288" s="54" t="str">
        <f>IF(OR($B288="",$A288&gt;$B$9,Q$280=""),"",IF(COUNTIFS(BD!$B$3:$B$5001,Q$280,BD!$A$3:$A$5001,"&gt;="&amp;$C$7,BD!$A$3:$A$5001,"&lt;="&amp;$B288,BD!$Z$3:$Z$5001,"&lt;&gt;")=0,"",SUMIFS(BD!$Z$3:$Z$5001,BD!$B$3:$B$5001,Q$280,BD!$A$3:$A$5001,_xlfn.MAXIFS(BD!$A$3:$A$5001,BD!$B$3:$B$5001,Q$280,BD!$A$3:$A$5001,"&gt;="&amp;$C$7,BD!$A$3:$A$5001,"&lt;="&amp;$B288,BD!$Z$3:$Z$5001,"&lt;&gt;"))))</f>
        <v/>
      </c>
      <c r="R288" s="54" t="str">
        <f>IF(OR($B288="",$A288&gt;$B$9,R$280=""),"",IF(COUNTIFS(BD!$B$3:$B$5001,R$280,BD!$A$3:$A$5001,"&gt;="&amp;$C$7,BD!$A$3:$A$5001,"&lt;="&amp;$B288,BD!$Z$3:$Z$5001,"&lt;&gt;")=0,"",SUMIFS(BD!$Z$3:$Z$5001,BD!$B$3:$B$5001,R$280,BD!$A$3:$A$5001,_xlfn.MAXIFS(BD!$A$3:$A$5001,BD!$B$3:$B$5001,R$280,BD!$A$3:$A$5001,"&gt;="&amp;$C$7,BD!$A$3:$A$5001,"&lt;="&amp;$B288,BD!$Z$3:$Z$5001,"&lt;&gt;"))))</f>
        <v/>
      </c>
      <c r="S288" s="54" t="str">
        <f>IF(OR($B288="",$A288&gt;$B$9,S$280=""),"",IF(COUNTIFS(BD!$B$3:$B$5001,S$280,BD!$A$3:$A$5001,"&gt;="&amp;$C$7,BD!$A$3:$A$5001,"&lt;="&amp;$B288,BD!$Z$3:$Z$5001,"&lt;&gt;")=0,"",SUMIFS(BD!$Z$3:$Z$5001,BD!$B$3:$B$5001,S$280,BD!$A$3:$A$5001,_xlfn.MAXIFS(BD!$A$3:$A$5001,BD!$B$3:$B$5001,S$280,BD!$A$3:$A$5001,"&gt;="&amp;$C$7,BD!$A$3:$A$5001,"&lt;="&amp;$B288,BD!$Z$3:$Z$5001,"&lt;&gt;"))))</f>
        <v/>
      </c>
      <c r="T288" s="54" t="str">
        <f>IF(OR($B288="",$A288&gt;$B$9,T$280=""),"",IF(COUNTIFS(BD!$B$3:$B$5001,T$280,BD!$A$3:$A$5001,"&gt;="&amp;$C$7,BD!$A$3:$A$5001,"&lt;="&amp;$B288,BD!$Z$3:$Z$5001,"&lt;&gt;")=0,"",SUMIFS(BD!$Z$3:$Z$5001,BD!$B$3:$B$5001,T$280,BD!$A$3:$A$5001,_xlfn.MAXIFS(BD!$A$3:$A$5001,BD!$B$3:$B$5001,T$280,BD!$A$3:$A$5001,"&gt;="&amp;$C$7,BD!$A$3:$A$5001,"&lt;="&amp;$B288,BD!$Z$3:$Z$5001,"&lt;&gt;"))))</f>
        <v/>
      </c>
      <c r="U288" s="54" t="str">
        <f>IF(OR($B288="",$A288&gt;$B$9,U$280=""),"",IF(COUNTIFS(BD!$B$3:$B$5001,U$280,BD!$A$3:$A$5001,"&gt;="&amp;$C$7,BD!$A$3:$A$5001,"&lt;="&amp;$B288,BD!$Z$3:$Z$5001,"&lt;&gt;")=0,"",SUMIFS(BD!$Z$3:$Z$5001,BD!$B$3:$B$5001,U$280,BD!$A$3:$A$5001,_xlfn.MAXIFS(BD!$A$3:$A$5001,BD!$B$3:$B$5001,U$280,BD!$A$3:$A$5001,"&gt;="&amp;$C$7,BD!$A$3:$A$5001,"&lt;="&amp;$B288,BD!$Z$3:$Z$5001,"&lt;&gt;"))))</f>
        <v/>
      </c>
      <c r="V288" s="54" t="str">
        <f>IF(OR($B288="",$A288&gt;$B$9,V$280=""),"",IF(COUNTIFS(BD!$B$3:$B$5001,V$280,BD!$A$3:$A$5001,"&gt;="&amp;$C$7,BD!$A$3:$A$5001,"&lt;="&amp;$B288,BD!$Z$3:$Z$5001,"&lt;&gt;")=0,"",SUMIFS(BD!$Z$3:$Z$5001,BD!$B$3:$B$5001,V$280,BD!$A$3:$A$5001,_xlfn.MAXIFS(BD!$A$3:$A$5001,BD!$B$3:$B$5001,V$280,BD!$A$3:$A$5001,"&gt;="&amp;$C$7,BD!$A$3:$A$5001,"&lt;="&amp;$B288,BD!$Z$3:$Z$5001,"&lt;&gt;"))))</f>
        <v/>
      </c>
    </row>
    <row r="289">
      <c r="A289" s="48">
        <v>9</v>
      </c>
      <c r="B289" s="53">
        <f>$B$20</f>
        <v>46304</v>
      </c>
      <c r="C289" s="54" t="str">
        <f>IF(OR($B289="",$A289&gt;$B$9,C$280=""),"",IF(COUNTIFS(BD!$B$3:$B$5001,C$280,BD!$A$3:$A$5001,"&gt;="&amp;$C$7,BD!$A$3:$A$5001,"&lt;="&amp;$B289,BD!$Z$3:$Z$5001,"&lt;&gt;")=0,"",SUMIFS(BD!$Z$3:$Z$5001,BD!$B$3:$B$5001,C$280,BD!$A$3:$A$5001,_xlfn.MAXIFS(BD!$A$3:$A$5001,BD!$B$3:$B$5001,C$280,BD!$A$3:$A$5001,"&gt;="&amp;$C$7,BD!$A$3:$A$5001,"&lt;="&amp;$B289,BD!$Z$3:$Z$5001,"&lt;&gt;"))))</f>
        <v/>
      </c>
      <c r="D289" s="54" t="str">
        <f>IF(OR($B289="",$A289&gt;$B$9,D$280=""),"",IF(COUNTIFS(BD!$B$3:$B$5001,D$280,BD!$A$3:$A$5001,"&gt;="&amp;$C$7,BD!$A$3:$A$5001,"&lt;="&amp;$B289,BD!$Z$3:$Z$5001,"&lt;&gt;")=0,"",SUMIFS(BD!$Z$3:$Z$5001,BD!$B$3:$B$5001,D$280,BD!$A$3:$A$5001,_xlfn.MAXIFS(BD!$A$3:$A$5001,BD!$B$3:$B$5001,D$280,BD!$A$3:$A$5001,"&gt;="&amp;$C$7,BD!$A$3:$A$5001,"&lt;="&amp;$B289,BD!$Z$3:$Z$5001,"&lt;&gt;"))))</f>
        <v/>
      </c>
      <c r="E289" s="54" t="str">
        <f>IF(OR($B289="",$A289&gt;$B$9,E$280=""),"",IF(COUNTIFS(BD!$B$3:$B$5001,E$280,BD!$A$3:$A$5001,"&gt;="&amp;$C$7,BD!$A$3:$A$5001,"&lt;="&amp;$B289,BD!$Z$3:$Z$5001,"&lt;&gt;")=0,"",SUMIFS(BD!$Z$3:$Z$5001,BD!$B$3:$B$5001,E$280,BD!$A$3:$A$5001,_xlfn.MAXIFS(BD!$A$3:$A$5001,BD!$B$3:$B$5001,E$280,BD!$A$3:$A$5001,"&gt;="&amp;$C$7,BD!$A$3:$A$5001,"&lt;="&amp;$B289,BD!$Z$3:$Z$5001,"&lt;&gt;"))))</f>
        <v/>
      </c>
      <c r="F289" s="54" t="str">
        <f>IF(OR($B289="",$A289&gt;$B$9,F$280=""),"",IF(COUNTIFS(BD!$B$3:$B$5001,F$280,BD!$A$3:$A$5001,"&gt;="&amp;$C$7,BD!$A$3:$A$5001,"&lt;="&amp;$B289,BD!$Z$3:$Z$5001,"&lt;&gt;")=0,"",SUMIFS(BD!$Z$3:$Z$5001,BD!$B$3:$B$5001,F$280,BD!$A$3:$A$5001,_xlfn.MAXIFS(BD!$A$3:$A$5001,BD!$B$3:$B$5001,F$280,BD!$A$3:$A$5001,"&gt;="&amp;$C$7,BD!$A$3:$A$5001,"&lt;="&amp;$B289,BD!$Z$3:$Z$5001,"&lt;&gt;"))))</f>
        <v/>
      </c>
      <c r="G289" s="54" t="str">
        <f>IF(OR($B289="",$A289&gt;$B$9,G$280=""),"",IF(COUNTIFS(BD!$B$3:$B$5001,G$280,BD!$A$3:$A$5001,"&gt;="&amp;$C$7,BD!$A$3:$A$5001,"&lt;="&amp;$B289,BD!$Z$3:$Z$5001,"&lt;&gt;")=0,"",SUMIFS(BD!$Z$3:$Z$5001,BD!$B$3:$B$5001,G$280,BD!$A$3:$A$5001,_xlfn.MAXIFS(BD!$A$3:$A$5001,BD!$B$3:$B$5001,G$280,BD!$A$3:$A$5001,"&gt;="&amp;$C$7,BD!$A$3:$A$5001,"&lt;="&amp;$B289,BD!$Z$3:$Z$5001,"&lt;&gt;"))))</f>
        <v/>
      </c>
      <c r="H289" s="54" t="str">
        <f>IF(OR($B289="",$A289&gt;$B$9,H$280=""),"",IF(COUNTIFS(BD!$B$3:$B$5001,H$280,BD!$A$3:$A$5001,"&gt;="&amp;$C$7,BD!$A$3:$A$5001,"&lt;="&amp;$B289,BD!$Z$3:$Z$5001,"&lt;&gt;")=0,"",SUMIFS(BD!$Z$3:$Z$5001,BD!$B$3:$B$5001,H$280,BD!$A$3:$A$5001,_xlfn.MAXIFS(BD!$A$3:$A$5001,BD!$B$3:$B$5001,H$280,BD!$A$3:$A$5001,"&gt;="&amp;$C$7,BD!$A$3:$A$5001,"&lt;="&amp;$B289,BD!$Z$3:$Z$5001,"&lt;&gt;"))))</f>
        <v/>
      </c>
      <c r="I289" s="54" t="str">
        <f>IF(OR($B289="",$A289&gt;$B$9,I$280=""),"",IF(COUNTIFS(BD!$B$3:$B$5001,I$280,BD!$A$3:$A$5001,"&gt;="&amp;$C$7,BD!$A$3:$A$5001,"&lt;="&amp;$B289,BD!$Z$3:$Z$5001,"&lt;&gt;")=0,"",SUMIFS(BD!$Z$3:$Z$5001,BD!$B$3:$B$5001,I$280,BD!$A$3:$A$5001,_xlfn.MAXIFS(BD!$A$3:$A$5001,BD!$B$3:$B$5001,I$280,BD!$A$3:$A$5001,"&gt;="&amp;$C$7,BD!$A$3:$A$5001,"&lt;="&amp;$B289,BD!$Z$3:$Z$5001,"&lt;&gt;"))))</f>
        <v/>
      </c>
      <c r="J289" s="54" t="str">
        <f>IF(OR($B289="",$A289&gt;$B$9,J$280=""),"",IF(COUNTIFS(BD!$B$3:$B$5001,J$280,BD!$A$3:$A$5001,"&gt;="&amp;$C$7,BD!$A$3:$A$5001,"&lt;="&amp;$B289,BD!$Z$3:$Z$5001,"&lt;&gt;")=0,"",SUMIFS(BD!$Z$3:$Z$5001,BD!$B$3:$B$5001,J$280,BD!$A$3:$A$5001,_xlfn.MAXIFS(BD!$A$3:$A$5001,BD!$B$3:$B$5001,J$280,BD!$A$3:$A$5001,"&gt;="&amp;$C$7,BD!$A$3:$A$5001,"&lt;="&amp;$B289,BD!$Z$3:$Z$5001,"&lt;&gt;"))))</f>
        <v/>
      </c>
      <c r="K289" s="54" t="str">
        <f>IF(OR($B289="",$A289&gt;$B$9,K$280=""),"",IF(COUNTIFS(BD!$B$3:$B$5001,K$280,BD!$A$3:$A$5001,"&gt;="&amp;$C$7,BD!$A$3:$A$5001,"&lt;="&amp;$B289,BD!$Z$3:$Z$5001,"&lt;&gt;")=0,"",SUMIFS(BD!$Z$3:$Z$5001,BD!$B$3:$B$5001,K$280,BD!$A$3:$A$5001,_xlfn.MAXIFS(BD!$A$3:$A$5001,BD!$B$3:$B$5001,K$280,BD!$A$3:$A$5001,"&gt;="&amp;$C$7,BD!$A$3:$A$5001,"&lt;="&amp;$B289,BD!$Z$3:$Z$5001,"&lt;&gt;"))))</f>
        <v/>
      </c>
      <c r="L289" s="54" t="str">
        <f>IF(OR($B289="",$A289&gt;$B$9,L$280=""),"",IF(COUNTIFS(BD!$B$3:$B$5001,L$280,BD!$A$3:$A$5001,"&gt;="&amp;$C$7,BD!$A$3:$A$5001,"&lt;="&amp;$B289,BD!$Z$3:$Z$5001,"&lt;&gt;")=0,"",SUMIFS(BD!$Z$3:$Z$5001,BD!$B$3:$B$5001,L$280,BD!$A$3:$A$5001,_xlfn.MAXIFS(BD!$A$3:$A$5001,BD!$B$3:$B$5001,L$280,BD!$A$3:$A$5001,"&gt;="&amp;$C$7,BD!$A$3:$A$5001,"&lt;="&amp;$B289,BD!$Z$3:$Z$5001,"&lt;&gt;"))))</f>
        <v/>
      </c>
      <c r="M289" s="54" t="str">
        <f>IF(OR($B289="",$A289&gt;$B$9,M$280=""),"",IF(COUNTIFS(BD!$B$3:$B$5001,M$280,BD!$A$3:$A$5001,"&gt;="&amp;$C$7,BD!$A$3:$A$5001,"&lt;="&amp;$B289,BD!$Z$3:$Z$5001,"&lt;&gt;")=0,"",SUMIFS(BD!$Z$3:$Z$5001,BD!$B$3:$B$5001,M$280,BD!$A$3:$A$5001,_xlfn.MAXIFS(BD!$A$3:$A$5001,BD!$B$3:$B$5001,M$280,BD!$A$3:$A$5001,"&gt;="&amp;$C$7,BD!$A$3:$A$5001,"&lt;="&amp;$B289,BD!$Z$3:$Z$5001,"&lt;&gt;"))))</f>
        <v/>
      </c>
      <c r="N289" s="54" t="str">
        <f>IF(OR($B289="",$A289&gt;$B$9,N$280=""),"",IF(COUNTIFS(BD!$B$3:$B$5001,N$280,BD!$A$3:$A$5001,"&gt;="&amp;$C$7,BD!$A$3:$A$5001,"&lt;="&amp;$B289,BD!$Z$3:$Z$5001,"&lt;&gt;")=0,"",SUMIFS(BD!$Z$3:$Z$5001,BD!$B$3:$B$5001,N$280,BD!$A$3:$A$5001,_xlfn.MAXIFS(BD!$A$3:$A$5001,BD!$B$3:$B$5001,N$280,BD!$A$3:$A$5001,"&gt;="&amp;$C$7,BD!$A$3:$A$5001,"&lt;="&amp;$B289,BD!$Z$3:$Z$5001,"&lt;&gt;"))))</f>
        <v/>
      </c>
      <c r="O289" s="54" t="str">
        <f>IF(OR($B289="",$A289&gt;$B$9,O$280=""),"",IF(COUNTIFS(BD!$B$3:$B$5001,O$280,BD!$A$3:$A$5001,"&gt;="&amp;$C$7,BD!$A$3:$A$5001,"&lt;="&amp;$B289,BD!$Z$3:$Z$5001,"&lt;&gt;")=0,"",SUMIFS(BD!$Z$3:$Z$5001,BD!$B$3:$B$5001,O$280,BD!$A$3:$A$5001,_xlfn.MAXIFS(BD!$A$3:$A$5001,BD!$B$3:$B$5001,O$280,BD!$A$3:$A$5001,"&gt;="&amp;$C$7,BD!$A$3:$A$5001,"&lt;="&amp;$B289,BD!$Z$3:$Z$5001,"&lt;&gt;"))))</f>
        <v/>
      </c>
      <c r="P289" s="54" t="str">
        <f>IF(OR($B289="",$A289&gt;$B$9,P$280=""),"",IF(COUNTIFS(BD!$B$3:$B$5001,P$280,BD!$A$3:$A$5001,"&gt;="&amp;$C$7,BD!$A$3:$A$5001,"&lt;="&amp;$B289,BD!$Z$3:$Z$5001,"&lt;&gt;")=0,"",SUMIFS(BD!$Z$3:$Z$5001,BD!$B$3:$B$5001,P$280,BD!$A$3:$A$5001,_xlfn.MAXIFS(BD!$A$3:$A$5001,BD!$B$3:$B$5001,P$280,BD!$A$3:$A$5001,"&gt;="&amp;$C$7,BD!$A$3:$A$5001,"&lt;="&amp;$B289,BD!$Z$3:$Z$5001,"&lt;&gt;"))))</f>
        <v/>
      </c>
      <c r="Q289" s="54" t="str">
        <f>IF(OR($B289="",$A289&gt;$B$9,Q$280=""),"",IF(COUNTIFS(BD!$B$3:$B$5001,Q$280,BD!$A$3:$A$5001,"&gt;="&amp;$C$7,BD!$A$3:$A$5001,"&lt;="&amp;$B289,BD!$Z$3:$Z$5001,"&lt;&gt;")=0,"",SUMIFS(BD!$Z$3:$Z$5001,BD!$B$3:$B$5001,Q$280,BD!$A$3:$A$5001,_xlfn.MAXIFS(BD!$A$3:$A$5001,BD!$B$3:$B$5001,Q$280,BD!$A$3:$A$5001,"&gt;="&amp;$C$7,BD!$A$3:$A$5001,"&lt;="&amp;$B289,BD!$Z$3:$Z$5001,"&lt;&gt;"))))</f>
        <v/>
      </c>
      <c r="R289" s="54" t="str">
        <f>IF(OR($B289="",$A289&gt;$B$9,R$280=""),"",IF(COUNTIFS(BD!$B$3:$B$5001,R$280,BD!$A$3:$A$5001,"&gt;="&amp;$C$7,BD!$A$3:$A$5001,"&lt;="&amp;$B289,BD!$Z$3:$Z$5001,"&lt;&gt;")=0,"",SUMIFS(BD!$Z$3:$Z$5001,BD!$B$3:$B$5001,R$280,BD!$A$3:$A$5001,_xlfn.MAXIFS(BD!$A$3:$A$5001,BD!$B$3:$B$5001,R$280,BD!$A$3:$A$5001,"&gt;="&amp;$C$7,BD!$A$3:$A$5001,"&lt;="&amp;$B289,BD!$Z$3:$Z$5001,"&lt;&gt;"))))</f>
        <v/>
      </c>
      <c r="S289" s="54" t="str">
        <f>IF(OR($B289="",$A289&gt;$B$9,S$280=""),"",IF(COUNTIFS(BD!$B$3:$B$5001,S$280,BD!$A$3:$A$5001,"&gt;="&amp;$C$7,BD!$A$3:$A$5001,"&lt;="&amp;$B289,BD!$Z$3:$Z$5001,"&lt;&gt;")=0,"",SUMIFS(BD!$Z$3:$Z$5001,BD!$B$3:$B$5001,S$280,BD!$A$3:$A$5001,_xlfn.MAXIFS(BD!$A$3:$A$5001,BD!$B$3:$B$5001,S$280,BD!$A$3:$A$5001,"&gt;="&amp;$C$7,BD!$A$3:$A$5001,"&lt;="&amp;$B289,BD!$Z$3:$Z$5001,"&lt;&gt;"))))</f>
        <v/>
      </c>
      <c r="T289" s="54" t="str">
        <f>IF(OR($B289="",$A289&gt;$B$9,T$280=""),"",IF(COUNTIFS(BD!$B$3:$B$5001,T$280,BD!$A$3:$A$5001,"&gt;="&amp;$C$7,BD!$A$3:$A$5001,"&lt;="&amp;$B289,BD!$Z$3:$Z$5001,"&lt;&gt;")=0,"",SUMIFS(BD!$Z$3:$Z$5001,BD!$B$3:$B$5001,T$280,BD!$A$3:$A$5001,_xlfn.MAXIFS(BD!$A$3:$A$5001,BD!$B$3:$B$5001,T$280,BD!$A$3:$A$5001,"&gt;="&amp;$C$7,BD!$A$3:$A$5001,"&lt;="&amp;$B289,BD!$Z$3:$Z$5001,"&lt;&gt;"))))</f>
        <v/>
      </c>
      <c r="U289" s="54" t="str">
        <f>IF(OR($B289="",$A289&gt;$B$9,U$280=""),"",IF(COUNTIFS(BD!$B$3:$B$5001,U$280,BD!$A$3:$A$5001,"&gt;="&amp;$C$7,BD!$A$3:$A$5001,"&lt;="&amp;$B289,BD!$Z$3:$Z$5001,"&lt;&gt;")=0,"",SUMIFS(BD!$Z$3:$Z$5001,BD!$B$3:$B$5001,U$280,BD!$A$3:$A$5001,_xlfn.MAXIFS(BD!$A$3:$A$5001,BD!$B$3:$B$5001,U$280,BD!$A$3:$A$5001,"&gt;="&amp;$C$7,BD!$A$3:$A$5001,"&lt;="&amp;$B289,BD!$Z$3:$Z$5001,"&lt;&gt;"))))</f>
        <v/>
      </c>
      <c r="V289" s="54" t="str">
        <f>IF(OR($B289="",$A289&gt;$B$9,V$280=""),"",IF(COUNTIFS(BD!$B$3:$B$5001,V$280,BD!$A$3:$A$5001,"&gt;="&amp;$C$7,BD!$A$3:$A$5001,"&lt;="&amp;$B289,BD!$Z$3:$Z$5001,"&lt;&gt;")=0,"",SUMIFS(BD!$Z$3:$Z$5001,BD!$B$3:$B$5001,V$280,BD!$A$3:$A$5001,_xlfn.MAXIFS(BD!$A$3:$A$5001,BD!$B$3:$B$5001,V$280,BD!$A$3:$A$5001,"&gt;="&amp;$C$7,BD!$A$3:$A$5001,"&lt;="&amp;$B289,BD!$Z$3:$Z$5001,"&lt;&gt;"))))</f>
        <v/>
      </c>
    </row>
    <row r="290">
      <c r="A290" s="48">
        <v>10</v>
      </c>
      <c r="B290" s="53">
        <f>$B$21</f>
        <v>46305</v>
      </c>
      <c r="C290" s="54" t="str">
        <f>IF(OR($B290="",$A290&gt;$B$9,C$280=""),"",IF(COUNTIFS(BD!$B$3:$B$5001,C$280,BD!$A$3:$A$5001,"&gt;="&amp;$C$7,BD!$A$3:$A$5001,"&lt;="&amp;$B290,BD!$Z$3:$Z$5001,"&lt;&gt;")=0,"",SUMIFS(BD!$Z$3:$Z$5001,BD!$B$3:$B$5001,C$280,BD!$A$3:$A$5001,_xlfn.MAXIFS(BD!$A$3:$A$5001,BD!$B$3:$B$5001,C$280,BD!$A$3:$A$5001,"&gt;="&amp;$C$7,BD!$A$3:$A$5001,"&lt;="&amp;$B290,BD!$Z$3:$Z$5001,"&lt;&gt;"))))</f>
        <v/>
      </c>
      <c r="D290" s="54" t="str">
        <f>IF(OR($B290="",$A290&gt;$B$9,D$280=""),"",IF(COUNTIFS(BD!$B$3:$B$5001,D$280,BD!$A$3:$A$5001,"&gt;="&amp;$C$7,BD!$A$3:$A$5001,"&lt;="&amp;$B290,BD!$Z$3:$Z$5001,"&lt;&gt;")=0,"",SUMIFS(BD!$Z$3:$Z$5001,BD!$B$3:$B$5001,D$280,BD!$A$3:$A$5001,_xlfn.MAXIFS(BD!$A$3:$A$5001,BD!$B$3:$B$5001,D$280,BD!$A$3:$A$5001,"&gt;="&amp;$C$7,BD!$A$3:$A$5001,"&lt;="&amp;$B290,BD!$Z$3:$Z$5001,"&lt;&gt;"))))</f>
        <v/>
      </c>
      <c r="E290" s="54" t="str">
        <f>IF(OR($B290="",$A290&gt;$B$9,E$280=""),"",IF(COUNTIFS(BD!$B$3:$B$5001,E$280,BD!$A$3:$A$5001,"&gt;="&amp;$C$7,BD!$A$3:$A$5001,"&lt;="&amp;$B290,BD!$Z$3:$Z$5001,"&lt;&gt;")=0,"",SUMIFS(BD!$Z$3:$Z$5001,BD!$B$3:$B$5001,E$280,BD!$A$3:$A$5001,_xlfn.MAXIFS(BD!$A$3:$A$5001,BD!$B$3:$B$5001,E$280,BD!$A$3:$A$5001,"&gt;="&amp;$C$7,BD!$A$3:$A$5001,"&lt;="&amp;$B290,BD!$Z$3:$Z$5001,"&lt;&gt;"))))</f>
        <v/>
      </c>
      <c r="F290" s="54" t="str">
        <f>IF(OR($B290="",$A290&gt;$B$9,F$280=""),"",IF(COUNTIFS(BD!$B$3:$B$5001,F$280,BD!$A$3:$A$5001,"&gt;="&amp;$C$7,BD!$A$3:$A$5001,"&lt;="&amp;$B290,BD!$Z$3:$Z$5001,"&lt;&gt;")=0,"",SUMIFS(BD!$Z$3:$Z$5001,BD!$B$3:$B$5001,F$280,BD!$A$3:$A$5001,_xlfn.MAXIFS(BD!$A$3:$A$5001,BD!$B$3:$B$5001,F$280,BD!$A$3:$A$5001,"&gt;="&amp;$C$7,BD!$A$3:$A$5001,"&lt;="&amp;$B290,BD!$Z$3:$Z$5001,"&lt;&gt;"))))</f>
        <v/>
      </c>
      <c r="G290" s="54" t="str">
        <f>IF(OR($B290="",$A290&gt;$B$9,G$280=""),"",IF(COUNTIFS(BD!$B$3:$B$5001,G$280,BD!$A$3:$A$5001,"&gt;="&amp;$C$7,BD!$A$3:$A$5001,"&lt;="&amp;$B290,BD!$Z$3:$Z$5001,"&lt;&gt;")=0,"",SUMIFS(BD!$Z$3:$Z$5001,BD!$B$3:$B$5001,G$280,BD!$A$3:$A$5001,_xlfn.MAXIFS(BD!$A$3:$A$5001,BD!$B$3:$B$5001,G$280,BD!$A$3:$A$5001,"&gt;="&amp;$C$7,BD!$A$3:$A$5001,"&lt;="&amp;$B290,BD!$Z$3:$Z$5001,"&lt;&gt;"))))</f>
        <v/>
      </c>
      <c r="H290" s="54" t="str">
        <f>IF(OR($B290="",$A290&gt;$B$9,H$280=""),"",IF(COUNTIFS(BD!$B$3:$B$5001,H$280,BD!$A$3:$A$5001,"&gt;="&amp;$C$7,BD!$A$3:$A$5001,"&lt;="&amp;$B290,BD!$Z$3:$Z$5001,"&lt;&gt;")=0,"",SUMIFS(BD!$Z$3:$Z$5001,BD!$B$3:$B$5001,H$280,BD!$A$3:$A$5001,_xlfn.MAXIFS(BD!$A$3:$A$5001,BD!$B$3:$B$5001,H$280,BD!$A$3:$A$5001,"&gt;="&amp;$C$7,BD!$A$3:$A$5001,"&lt;="&amp;$B290,BD!$Z$3:$Z$5001,"&lt;&gt;"))))</f>
        <v/>
      </c>
      <c r="I290" s="54" t="str">
        <f>IF(OR($B290="",$A290&gt;$B$9,I$280=""),"",IF(COUNTIFS(BD!$B$3:$B$5001,I$280,BD!$A$3:$A$5001,"&gt;="&amp;$C$7,BD!$A$3:$A$5001,"&lt;="&amp;$B290,BD!$Z$3:$Z$5001,"&lt;&gt;")=0,"",SUMIFS(BD!$Z$3:$Z$5001,BD!$B$3:$B$5001,I$280,BD!$A$3:$A$5001,_xlfn.MAXIFS(BD!$A$3:$A$5001,BD!$B$3:$B$5001,I$280,BD!$A$3:$A$5001,"&gt;="&amp;$C$7,BD!$A$3:$A$5001,"&lt;="&amp;$B290,BD!$Z$3:$Z$5001,"&lt;&gt;"))))</f>
        <v/>
      </c>
      <c r="J290" s="54" t="str">
        <f>IF(OR($B290="",$A290&gt;$B$9,J$280=""),"",IF(COUNTIFS(BD!$B$3:$B$5001,J$280,BD!$A$3:$A$5001,"&gt;="&amp;$C$7,BD!$A$3:$A$5001,"&lt;="&amp;$B290,BD!$Z$3:$Z$5001,"&lt;&gt;")=0,"",SUMIFS(BD!$Z$3:$Z$5001,BD!$B$3:$B$5001,J$280,BD!$A$3:$A$5001,_xlfn.MAXIFS(BD!$A$3:$A$5001,BD!$B$3:$B$5001,J$280,BD!$A$3:$A$5001,"&gt;="&amp;$C$7,BD!$A$3:$A$5001,"&lt;="&amp;$B290,BD!$Z$3:$Z$5001,"&lt;&gt;"))))</f>
        <v/>
      </c>
      <c r="K290" s="54" t="str">
        <f>IF(OR($B290="",$A290&gt;$B$9,K$280=""),"",IF(COUNTIFS(BD!$B$3:$B$5001,K$280,BD!$A$3:$A$5001,"&gt;="&amp;$C$7,BD!$A$3:$A$5001,"&lt;="&amp;$B290,BD!$Z$3:$Z$5001,"&lt;&gt;")=0,"",SUMIFS(BD!$Z$3:$Z$5001,BD!$B$3:$B$5001,K$280,BD!$A$3:$A$5001,_xlfn.MAXIFS(BD!$A$3:$A$5001,BD!$B$3:$B$5001,K$280,BD!$A$3:$A$5001,"&gt;="&amp;$C$7,BD!$A$3:$A$5001,"&lt;="&amp;$B290,BD!$Z$3:$Z$5001,"&lt;&gt;"))))</f>
        <v/>
      </c>
      <c r="L290" s="54" t="str">
        <f>IF(OR($B290="",$A290&gt;$B$9,L$280=""),"",IF(COUNTIFS(BD!$B$3:$B$5001,L$280,BD!$A$3:$A$5001,"&gt;="&amp;$C$7,BD!$A$3:$A$5001,"&lt;="&amp;$B290,BD!$Z$3:$Z$5001,"&lt;&gt;")=0,"",SUMIFS(BD!$Z$3:$Z$5001,BD!$B$3:$B$5001,L$280,BD!$A$3:$A$5001,_xlfn.MAXIFS(BD!$A$3:$A$5001,BD!$B$3:$B$5001,L$280,BD!$A$3:$A$5001,"&gt;="&amp;$C$7,BD!$A$3:$A$5001,"&lt;="&amp;$B290,BD!$Z$3:$Z$5001,"&lt;&gt;"))))</f>
        <v/>
      </c>
      <c r="M290" s="54" t="str">
        <f>IF(OR($B290="",$A290&gt;$B$9,M$280=""),"",IF(COUNTIFS(BD!$B$3:$B$5001,M$280,BD!$A$3:$A$5001,"&gt;="&amp;$C$7,BD!$A$3:$A$5001,"&lt;="&amp;$B290,BD!$Z$3:$Z$5001,"&lt;&gt;")=0,"",SUMIFS(BD!$Z$3:$Z$5001,BD!$B$3:$B$5001,M$280,BD!$A$3:$A$5001,_xlfn.MAXIFS(BD!$A$3:$A$5001,BD!$B$3:$B$5001,M$280,BD!$A$3:$A$5001,"&gt;="&amp;$C$7,BD!$A$3:$A$5001,"&lt;="&amp;$B290,BD!$Z$3:$Z$5001,"&lt;&gt;"))))</f>
        <v/>
      </c>
      <c r="N290" s="54" t="str">
        <f>IF(OR($B290="",$A290&gt;$B$9,N$280=""),"",IF(COUNTIFS(BD!$B$3:$B$5001,N$280,BD!$A$3:$A$5001,"&gt;="&amp;$C$7,BD!$A$3:$A$5001,"&lt;="&amp;$B290,BD!$Z$3:$Z$5001,"&lt;&gt;")=0,"",SUMIFS(BD!$Z$3:$Z$5001,BD!$B$3:$B$5001,N$280,BD!$A$3:$A$5001,_xlfn.MAXIFS(BD!$A$3:$A$5001,BD!$B$3:$B$5001,N$280,BD!$A$3:$A$5001,"&gt;="&amp;$C$7,BD!$A$3:$A$5001,"&lt;="&amp;$B290,BD!$Z$3:$Z$5001,"&lt;&gt;"))))</f>
        <v/>
      </c>
      <c r="O290" s="54" t="str">
        <f>IF(OR($B290="",$A290&gt;$B$9,O$280=""),"",IF(COUNTIFS(BD!$B$3:$B$5001,O$280,BD!$A$3:$A$5001,"&gt;="&amp;$C$7,BD!$A$3:$A$5001,"&lt;="&amp;$B290,BD!$Z$3:$Z$5001,"&lt;&gt;")=0,"",SUMIFS(BD!$Z$3:$Z$5001,BD!$B$3:$B$5001,O$280,BD!$A$3:$A$5001,_xlfn.MAXIFS(BD!$A$3:$A$5001,BD!$B$3:$B$5001,O$280,BD!$A$3:$A$5001,"&gt;="&amp;$C$7,BD!$A$3:$A$5001,"&lt;="&amp;$B290,BD!$Z$3:$Z$5001,"&lt;&gt;"))))</f>
        <v/>
      </c>
      <c r="P290" s="54" t="str">
        <f>IF(OR($B290="",$A290&gt;$B$9,P$280=""),"",IF(COUNTIFS(BD!$B$3:$B$5001,P$280,BD!$A$3:$A$5001,"&gt;="&amp;$C$7,BD!$A$3:$A$5001,"&lt;="&amp;$B290,BD!$Z$3:$Z$5001,"&lt;&gt;")=0,"",SUMIFS(BD!$Z$3:$Z$5001,BD!$B$3:$B$5001,P$280,BD!$A$3:$A$5001,_xlfn.MAXIFS(BD!$A$3:$A$5001,BD!$B$3:$B$5001,P$280,BD!$A$3:$A$5001,"&gt;="&amp;$C$7,BD!$A$3:$A$5001,"&lt;="&amp;$B290,BD!$Z$3:$Z$5001,"&lt;&gt;"))))</f>
        <v/>
      </c>
      <c r="Q290" s="54" t="str">
        <f>IF(OR($B290="",$A290&gt;$B$9,Q$280=""),"",IF(COUNTIFS(BD!$B$3:$B$5001,Q$280,BD!$A$3:$A$5001,"&gt;="&amp;$C$7,BD!$A$3:$A$5001,"&lt;="&amp;$B290,BD!$Z$3:$Z$5001,"&lt;&gt;")=0,"",SUMIFS(BD!$Z$3:$Z$5001,BD!$B$3:$B$5001,Q$280,BD!$A$3:$A$5001,_xlfn.MAXIFS(BD!$A$3:$A$5001,BD!$B$3:$B$5001,Q$280,BD!$A$3:$A$5001,"&gt;="&amp;$C$7,BD!$A$3:$A$5001,"&lt;="&amp;$B290,BD!$Z$3:$Z$5001,"&lt;&gt;"))))</f>
        <v/>
      </c>
      <c r="R290" s="54" t="str">
        <f>IF(OR($B290="",$A290&gt;$B$9,R$280=""),"",IF(COUNTIFS(BD!$B$3:$B$5001,R$280,BD!$A$3:$A$5001,"&gt;="&amp;$C$7,BD!$A$3:$A$5001,"&lt;="&amp;$B290,BD!$Z$3:$Z$5001,"&lt;&gt;")=0,"",SUMIFS(BD!$Z$3:$Z$5001,BD!$B$3:$B$5001,R$280,BD!$A$3:$A$5001,_xlfn.MAXIFS(BD!$A$3:$A$5001,BD!$B$3:$B$5001,R$280,BD!$A$3:$A$5001,"&gt;="&amp;$C$7,BD!$A$3:$A$5001,"&lt;="&amp;$B290,BD!$Z$3:$Z$5001,"&lt;&gt;"))))</f>
        <v/>
      </c>
      <c r="S290" s="54" t="str">
        <f>IF(OR($B290="",$A290&gt;$B$9,S$280=""),"",IF(COUNTIFS(BD!$B$3:$B$5001,S$280,BD!$A$3:$A$5001,"&gt;="&amp;$C$7,BD!$A$3:$A$5001,"&lt;="&amp;$B290,BD!$Z$3:$Z$5001,"&lt;&gt;")=0,"",SUMIFS(BD!$Z$3:$Z$5001,BD!$B$3:$B$5001,S$280,BD!$A$3:$A$5001,_xlfn.MAXIFS(BD!$A$3:$A$5001,BD!$B$3:$B$5001,S$280,BD!$A$3:$A$5001,"&gt;="&amp;$C$7,BD!$A$3:$A$5001,"&lt;="&amp;$B290,BD!$Z$3:$Z$5001,"&lt;&gt;"))))</f>
        <v/>
      </c>
      <c r="T290" s="54" t="str">
        <f>IF(OR($B290="",$A290&gt;$B$9,T$280=""),"",IF(COUNTIFS(BD!$B$3:$B$5001,T$280,BD!$A$3:$A$5001,"&gt;="&amp;$C$7,BD!$A$3:$A$5001,"&lt;="&amp;$B290,BD!$Z$3:$Z$5001,"&lt;&gt;")=0,"",SUMIFS(BD!$Z$3:$Z$5001,BD!$B$3:$B$5001,T$280,BD!$A$3:$A$5001,_xlfn.MAXIFS(BD!$A$3:$A$5001,BD!$B$3:$B$5001,T$280,BD!$A$3:$A$5001,"&gt;="&amp;$C$7,BD!$A$3:$A$5001,"&lt;="&amp;$B290,BD!$Z$3:$Z$5001,"&lt;&gt;"))))</f>
        <v/>
      </c>
      <c r="U290" s="54" t="str">
        <f>IF(OR($B290="",$A290&gt;$B$9,U$280=""),"",IF(COUNTIFS(BD!$B$3:$B$5001,U$280,BD!$A$3:$A$5001,"&gt;="&amp;$C$7,BD!$A$3:$A$5001,"&lt;="&amp;$B290,BD!$Z$3:$Z$5001,"&lt;&gt;")=0,"",SUMIFS(BD!$Z$3:$Z$5001,BD!$B$3:$B$5001,U$280,BD!$A$3:$A$5001,_xlfn.MAXIFS(BD!$A$3:$A$5001,BD!$B$3:$B$5001,U$280,BD!$A$3:$A$5001,"&gt;="&amp;$C$7,BD!$A$3:$A$5001,"&lt;="&amp;$B290,BD!$Z$3:$Z$5001,"&lt;&gt;"))))</f>
        <v/>
      </c>
      <c r="V290" s="54" t="str">
        <f>IF(OR($B290="",$A290&gt;$B$9,V$280=""),"",IF(COUNTIFS(BD!$B$3:$B$5001,V$280,BD!$A$3:$A$5001,"&gt;="&amp;$C$7,BD!$A$3:$A$5001,"&lt;="&amp;$B290,BD!$Z$3:$Z$5001,"&lt;&gt;")=0,"",SUMIFS(BD!$Z$3:$Z$5001,BD!$B$3:$B$5001,V$280,BD!$A$3:$A$5001,_xlfn.MAXIFS(BD!$A$3:$A$5001,BD!$B$3:$B$5001,V$280,BD!$A$3:$A$5001,"&gt;="&amp;$C$7,BD!$A$3:$A$5001,"&lt;="&amp;$B290,BD!$Z$3:$Z$5001,"&lt;&gt;"))))</f>
        <v/>
      </c>
    </row>
    <row r="291">
      <c r="A291" s="48">
        <v>11</v>
      </c>
      <c r="B291" s="53">
        <f>$B$22</f>
        <v>46306</v>
      </c>
      <c r="C291" s="54" t="str">
        <f>IF(OR($B291="",$A291&gt;$B$9,C$280=""),"",IF(COUNTIFS(BD!$B$3:$B$5001,C$280,BD!$A$3:$A$5001,"&gt;="&amp;$C$7,BD!$A$3:$A$5001,"&lt;="&amp;$B291,BD!$Z$3:$Z$5001,"&lt;&gt;")=0,"",SUMIFS(BD!$Z$3:$Z$5001,BD!$B$3:$B$5001,C$280,BD!$A$3:$A$5001,_xlfn.MAXIFS(BD!$A$3:$A$5001,BD!$B$3:$B$5001,C$280,BD!$A$3:$A$5001,"&gt;="&amp;$C$7,BD!$A$3:$A$5001,"&lt;="&amp;$B291,BD!$Z$3:$Z$5001,"&lt;&gt;"))))</f>
        <v/>
      </c>
      <c r="D291" s="54" t="str">
        <f>IF(OR($B291="",$A291&gt;$B$9,D$280=""),"",IF(COUNTIFS(BD!$B$3:$B$5001,D$280,BD!$A$3:$A$5001,"&gt;="&amp;$C$7,BD!$A$3:$A$5001,"&lt;="&amp;$B291,BD!$Z$3:$Z$5001,"&lt;&gt;")=0,"",SUMIFS(BD!$Z$3:$Z$5001,BD!$B$3:$B$5001,D$280,BD!$A$3:$A$5001,_xlfn.MAXIFS(BD!$A$3:$A$5001,BD!$B$3:$B$5001,D$280,BD!$A$3:$A$5001,"&gt;="&amp;$C$7,BD!$A$3:$A$5001,"&lt;="&amp;$B291,BD!$Z$3:$Z$5001,"&lt;&gt;"))))</f>
        <v/>
      </c>
      <c r="E291" s="54" t="str">
        <f>IF(OR($B291="",$A291&gt;$B$9,E$280=""),"",IF(COUNTIFS(BD!$B$3:$B$5001,E$280,BD!$A$3:$A$5001,"&gt;="&amp;$C$7,BD!$A$3:$A$5001,"&lt;="&amp;$B291,BD!$Z$3:$Z$5001,"&lt;&gt;")=0,"",SUMIFS(BD!$Z$3:$Z$5001,BD!$B$3:$B$5001,E$280,BD!$A$3:$A$5001,_xlfn.MAXIFS(BD!$A$3:$A$5001,BD!$B$3:$B$5001,E$280,BD!$A$3:$A$5001,"&gt;="&amp;$C$7,BD!$A$3:$A$5001,"&lt;="&amp;$B291,BD!$Z$3:$Z$5001,"&lt;&gt;"))))</f>
        <v/>
      </c>
      <c r="F291" s="54" t="str">
        <f>IF(OR($B291="",$A291&gt;$B$9,F$280=""),"",IF(COUNTIFS(BD!$B$3:$B$5001,F$280,BD!$A$3:$A$5001,"&gt;="&amp;$C$7,BD!$A$3:$A$5001,"&lt;="&amp;$B291,BD!$Z$3:$Z$5001,"&lt;&gt;")=0,"",SUMIFS(BD!$Z$3:$Z$5001,BD!$B$3:$B$5001,F$280,BD!$A$3:$A$5001,_xlfn.MAXIFS(BD!$A$3:$A$5001,BD!$B$3:$B$5001,F$280,BD!$A$3:$A$5001,"&gt;="&amp;$C$7,BD!$A$3:$A$5001,"&lt;="&amp;$B291,BD!$Z$3:$Z$5001,"&lt;&gt;"))))</f>
        <v/>
      </c>
      <c r="G291" s="54" t="str">
        <f>IF(OR($B291="",$A291&gt;$B$9,G$280=""),"",IF(COUNTIFS(BD!$B$3:$B$5001,G$280,BD!$A$3:$A$5001,"&gt;="&amp;$C$7,BD!$A$3:$A$5001,"&lt;="&amp;$B291,BD!$Z$3:$Z$5001,"&lt;&gt;")=0,"",SUMIFS(BD!$Z$3:$Z$5001,BD!$B$3:$B$5001,G$280,BD!$A$3:$A$5001,_xlfn.MAXIFS(BD!$A$3:$A$5001,BD!$B$3:$B$5001,G$280,BD!$A$3:$A$5001,"&gt;="&amp;$C$7,BD!$A$3:$A$5001,"&lt;="&amp;$B291,BD!$Z$3:$Z$5001,"&lt;&gt;"))))</f>
        <v/>
      </c>
      <c r="H291" s="54" t="str">
        <f>IF(OR($B291="",$A291&gt;$B$9,H$280=""),"",IF(COUNTIFS(BD!$B$3:$B$5001,H$280,BD!$A$3:$A$5001,"&gt;="&amp;$C$7,BD!$A$3:$A$5001,"&lt;="&amp;$B291,BD!$Z$3:$Z$5001,"&lt;&gt;")=0,"",SUMIFS(BD!$Z$3:$Z$5001,BD!$B$3:$B$5001,H$280,BD!$A$3:$A$5001,_xlfn.MAXIFS(BD!$A$3:$A$5001,BD!$B$3:$B$5001,H$280,BD!$A$3:$A$5001,"&gt;="&amp;$C$7,BD!$A$3:$A$5001,"&lt;="&amp;$B291,BD!$Z$3:$Z$5001,"&lt;&gt;"))))</f>
        <v/>
      </c>
      <c r="I291" s="54" t="str">
        <f>IF(OR($B291="",$A291&gt;$B$9,I$280=""),"",IF(COUNTIFS(BD!$B$3:$B$5001,I$280,BD!$A$3:$A$5001,"&gt;="&amp;$C$7,BD!$A$3:$A$5001,"&lt;="&amp;$B291,BD!$Z$3:$Z$5001,"&lt;&gt;")=0,"",SUMIFS(BD!$Z$3:$Z$5001,BD!$B$3:$B$5001,I$280,BD!$A$3:$A$5001,_xlfn.MAXIFS(BD!$A$3:$A$5001,BD!$B$3:$B$5001,I$280,BD!$A$3:$A$5001,"&gt;="&amp;$C$7,BD!$A$3:$A$5001,"&lt;="&amp;$B291,BD!$Z$3:$Z$5001,"&lt;&gt;"))))</f>
        <v/>
      </c>
      <c r="J291" s="54" t="str">
        <f>IF(OR($B291="",$A291&gt;$B$9,J$280=""),"",IF(COUNTIFS(BD!$B$3:$B$5001,J$280,BD!$A$3:$A$5001,"&gt;="&amp;$C$7,BD!$A$3:$A$5001,"&lt;="&amp;$B291,BD!$Z$3:$Z$5001,"&lt;&gt;")=0,"",SUMIFS(BD!$Z$3:$Z$5001,BD!$B$3:$B$5001,J$280,BD!$A$3:$A$5001,_xlfn.MAXIFS(BD!$A$3:$A$5001,BD!$B$3:$B$5001,J$280,BD!$A$3:$A$5001,"&gt;="&amp;$C$7,BD!$A$3:$A$5001,"&lt;="&amp;$B291,BD!$Z$3:$Z$5001,"&lt;&gt;"))))</f>
        <v/>
      </c>
      <c r="K291" s="54" t="str">
        <f>IF(OR($B291="",$A291&gt;$B$9,K$280=""),"",IF(COUNTIFS(BD!$B$3:$B$5001,K$280,BD!$A$3:$A$5001,"&gt;="&amp;$C$7,BD!$A$3:$A$5001,"&lt;="&amp;$B291,BD!$Z$3:$Z$5001,"&lt;&gt;")=0,"",SUMIFS(BD!$Z$3:$Z$5001,BD!$B$3:$B$5001,K$280,BD!$A$3:$A$5001,_xlfn.MAXIFS(BD!$A$3:$A$5001,BD!$B$3:$B$5001,K$280,BD!$A$3:$A$5001,"&gt;="&amp;$C$7,BD!$A$3:$A$5001,"&lt;="&amp;$B291,BD!$Z$3:$Z$5001,"&lt;&gt;"))))</f>
        <v/>
      </c>
      <c r="L291" s="54" t="str">
        <f>IF(OR($B291="",$A291&gt;$B$9,L$280=""),"",IF(COUNTIFS(BD!$B$3:$B$5001,L$280,BD!$A$3:$A$5001,"&gt;="&amp;$C$7,BD!$A$3:$A$5001,"&lt;="&amp;$B291,BD!$Z$3:$Z$5001,"&lt;&gt;")=0,"",SUMIFS(BD!$Z$3:$Z$5001,BD!$B$3:$B$5001,L$280,BD!$A$3:$A$5001,_xlfn.MAXIFS(BD!$A$3:$A$5001,BD!$B$3:$B$5001,L$280,BD!$A$3:$A$5001,"&gt;="&amp;$C$7,BD!$A$3:$A$5001,"&lt;="&amp;$B291,BD!$Z$3:$Z$5001,"&lt;&gt;"))))</f>
        <v/>
      </c>
      <c r="M291" s="54" t="str">
        <f>IF(OR($B291="",$A291&gt;$B$9,M$280=""),"",IF(COUNTIFS(BD!$B$3:$B$5001,M$280,BD!$A$3:$A$5001,"&gt;="&amp;$C$7,BD!$A$3:$A$5001,"&lt;="&amp;$B291,BD!$Z$3:$Z$5001,"&lt;&gt;")=0,"",SUMIFS(BD!$Z$3:$Z$5001,BD!$B$3:$B$5001,M$280,BD!$A$3:$A$5001,_xlfn.MAXIFS(BD!$A$3:$A$5001,BD!$B$3:$B$5001,M$280,BD!$A$3:$A$5001,"&gt;="&amp;$C$7,BD!$A$3:$A$5001,"&lt;="&amp;$B291,BD!$Z$3:$Z$5001,"&lt;&gt;"))))</f>
        <v/>
      </c>
      <c r="N291" s="54" t="str">
        <f>IF(OR($B291="",$A291&gt;$B$9,N$280=""),"",IF(COUNTIFS(BD!$B$3:$B$5001,N$280,BD!$A$3:$A$5001,"&gt;="&amp;$C$7,BD!$A$3:$A$5001,"&lt;="&amp;$B291,BD!$Z$3:$Z$5001,"&lt;&gt;")=0,"",SUMIFS(BD!$Z$3:$Z$5001,BD!$B$3:$B$5001,N$280,BD!$A$3:$A$5001,_xlfn.MAXIFS(BD!$A$3:$A$5001,BD!$B$3:$B$5001,N$280,BD!$A$3:$A$5001,"&gt;="&amp;$C$7,BD!$A$3:$A$5001,"&lt;="&amp;$B291,BD!$Z$3:$Z$5001,"&lt;&gt;"))))</f>
        <v/>
      </c>
      <c r="O291" s="54" t="str">
        <f>IF(OR($B291="",$A291&gt;$B$9,O$280=""),"",IF(COUNTIFS(BD!$B$3:$B$5001,O$280,BD!$A$3:$A$5001,"&gt;="&amp;$C$7,BD!$A$3:$A$5001,"&lt;="&amp;$B291,BD!$Z$3:$Z$5001,"&lt;&gt;")=0,"",SUMIFS(BD!$Z$3:$Z$5001,BD!$B$3:$B$5001,O$280,BD!$A$3:$A$5001,_xlfn.MAXIFS(BD!$A$3:$A$5001,BD!$B$3:$B$5001,O$280,BD!$A$3:$A$5001,"&gt;="&amp;$C$7,BD!$A$3:$A$5001,"&lt;="&amp;$B291,BD!$Z$3:$Z$5001,"&lt;&gt;"))))</f>
        <v/>
      </c>
      <c r="P291" s="54" t="str">
        <f>IF(OR($B291="",$A291&gt;$B$9,P$280=""),"",IF(COUNTIFS(BD!$B$3:$B$5001,P$280,BD!$A$3:$A$5001,"&gt;="&amp;$C$7,BD!$A$3:$A$5001,"&lt;="&amp;$B291,BD!$Z$3:$Z$5001,"&lt;&gt;")=0,"",SUMIFS(BD!$Z$3:$Z$5001,BD!$B$3:$B$5001,P$280,BD!$A$3:$A$5001,_xlfn.MAXIFS(BD!$A$3:$A$5001,BD!$B$3:$B$5001,P$280,BD!$A$3:$A$5001,"&gt;="&amp;$C$7,BD!$A$3:$A$5001,"&lt;="&amp;$B291,BD!$Z$3:$Z$5001,"&lt;&gt;"))))</f>
        <v/>
      </c>
      <c r="Q291" s="54" t="str">
        <f>IF(OR($B291="",$A291&gt;$B$9,Q$280=""),"",IF(COUNTIFS(BD!$B$3:$B$5001,Q$280,BD!$A$3:$A$5001,"&gt;="&amp;$C$7,BD!$A$3:$A$5001,"&lt;="&amp;$B291,BD!$Z$3:$Z$5001,"&lt;&gt;")=0,"",SUMIFS(BD!$Z$3:$Z$5001,BD!$B$3:$B$5001,Q$280,BD!$A$3:$A$5001,_xlfn.MAXIFS(BD!$A$3:$A$5001,BD!$B$3:$B$5001,Q$280,BD!$A$3:$A$5001,"&gt;="&amp;$C$7,BD!$A$3:$A$5001,"&lt;="&amp;$B291,BD!$Z$3:$Z$5001,"&lt;&gt;"))))</f>
        <v/>
      </c>
      <c r="R291" s="54" t="str">
        <f>IF(OR($B291="",$A291&gt;$B$9,R$280=""),"",IF(COUNTIFS(BD!$B$3:$B$5001,R$280,BD!$A$3:$A$5001,"&gt;="&amp;$C$7,BD!$A$3:$A$5001,"&lt;="&amp;$B291,BD!$Z$3:$Z$5001,"&lt;&gt;")=0,"",SUMIFS(BD!$Z$3:$Z$5001,BD!$B$3:$B$5001,R$280,BD!$A$3:$A$5001,_xlfn.MAXIFS(BD!$A$3:$A$5001,BD!$B$3:$B$5001,R$280,BD!$A$3:$A$5001,"&gt;="&amp;$C$7,BD!$A$3:$A$5001,"&lt;="&amp;$B291,BD!$Z$3:$Z$5001,"&lt;&gt;"))))</f>
        <v/>
      </c>
      <c r="S291" s="54" t="str">
        <f>IF(OR($B291="",$A291&gt;$B$9,S$280=""),"",IF(COUNTIFS(BD!$B$3:$B$5001,S$280,BD!$A$3:$A$5001,"&gt;="&amp;$C$7,BD!$A$3:$A$5001,"&lt;="&amp;$B291,BD!$Z$3:$Z$5001,"&lt;&gt;")=0,"",SUMIFS(BD!$Z$3:$Z$5001,BD!$B$3:$B$5001,S$280,BD!$A$3:$A$5001,_xlfn.MAXIFS(BD!$A$3:$A$5001,BD!$B$3:$B$5001,S$280,BD!$A$3:$A$5001,"&gt;="&amp;$C$7,BD!$A$3:$A$5001,"&lt;="&amp;$B291,BD!$Z$3:$Z$5001,"&lt;&gt;"))))</f>
        <v/>
      </c>
      <c r="T291" s="54" t="str">
        <f>IF(OR($B291="",$A291&gt;$B$9,T$280=""),"",IF(COUNTIFS(BD!$B$3:$B$5001,T$280,BD!$A$3:$A$5001,"&gt;="&amp;$C$7,BD!$A$3:$A$5001,"&lt;="&amp;$B291,BD!$Z$3:$Z$5001,"&lt;&gt;")=0,"",SUMIFS(BD!$Z$3:$Z$5001,BD!$B$3:$B$5001,T$280,BD!$A$3:$A$5001,_xlfn.MAXIFS(BD!$A$3:$A$5001,BD!$B$3:$B$5001,T$280,BD!$A$3:$A$5001,"&gt;="&amp;$C$7,BD!$A$3:$A$5001,"&lt;="&amp;$B291,BD!$Z$3:$Z$5001,"&lt;&gt;"))))</f>
        <v/>
      </c>
      <c r="U291" s="54" t="str">
        <f>IF(OR($B291="",$A291&gt;$B$9,U$280=""),"",IF(COUNTIFS(BD!$B$3:$B$5001,U$280,BD!$A$3:$A$5001,"&gt;="&amp;$C$7,BD!$A$3:$A$5001,"&lt;="&amp;$B291,BD!$Z$3:$Z$5001,"&lt;&gt;")=0,"",SUMIFS(BD!$Z$3:$Z$5001,BD!$B$3:$B$5001,U$280,BD!$A$3:$A$5001,_xlfn.MAXIFS(BD!$A$3:$A$5001,BD!$B$3:$B$5001,U$280,BD!$A$3:$A$5001,"&gt;="&amp;$C$7,BD!$A$3:$A$5001,"&lt;="&amp;$B291,BD!$Z$3:$Z$5001,"&lt;&gt;"))))</f>
        <v/>
      </c>
      <c r="V291" s="54" t="str">
        <f>IF(OR($B291="",$A291&gt;$B$9,V$280=""),"",IF(COUNTIFS(BD!$B$3:$B$5001,V$280,BD!$A$3:$A$5001,"&gt;="&amp;$C$7,BD!$A$3:$A$5001,"&lt;="&amp;$B291,BD!$Z$3:$Z$5001,"&lt;&gt;")=0,"",SUMIFS(BD!$Z$3:$Z$5001,BD!$B$3:$B$5001,V$280,BD!$A$3:$A$5001,_xlfn.MAXIFS(BD!$A$3:$A$5001,BD!$B$3:$B$5001,V$280,BD!$A$3:$A$5001,"&gt;="&amp;$C$7,BD!$A$3:$A$5001,"&lt;="&amp;$B291,BD!$Z$3:$Z$5001,"&lt;&gt;"))))</f>
        <v/>
      </c>
    </row>
    <row r="292">
      <c r="A292" s="48">
        <v>12</v>
      </c>
      <c r="B292" s="53">
        <f>$B$23</f>
        <v>46307</v>
      </c>
      <c r="C292" s="54" t="str">
        <f>IF(OR($B292="",$A292&gt;$B$9,C$280=""),"",IF(COUNTIFS(BD!$B$3:$B$5001,C$280,BD!$A$3:$A$5001,"&gt;="&amp;$C$7,BD!$A$3:$A$5001,"&lt;="&amp;$B292,BD!$Z$3:$Z$5001,"&lt;&gt;")=0,"",SUMIFS(BD!$Z$3:$Z$5001,BD!$B$3:$B$5001,C$280,BD!$A$3:$A$5001,_xlfn.MAXIFS(BD!$A$3:$A$5001,BD!$B$3:$B$5001,C$280,BD!$A$3:$A$5001,"&gt;="&amp;$C$7,BD!$A$3:$A$5001,"&lt;="&amp;$B292,BD!$Z$3:$Z$5001,"&lt;&gt;"))))</f>
        <v/>
      </c>
      <c r="D292" s="54" t="str">
        <f>IF(OR($B292="",$A292&gt;$B$9,D$280=""),"",IF(COUNTIFS(BD!$B$3:$B$5001,D$280,BD!$A$3:$A$5001,"&gt;="&amp;$C$7,BD!$A$3:$A$5001,"&lt;="&amp;$B292,BD!$Z$3:$Z$5001,"&lt;&gt;")=0,"",SUMIFS(BD!$Z$3:$Z$5001,BD!$B$3:$B$5001,D$280,BD!$A$3:$A$5001,_xlfn.MAXIFS(BD!$A$3:$A$5001,BD!$B$3:$B$5001,D$280,BD!$A$3:$A$5001,"&gt;="&amp;$C$7,BD!$A$3:$A$5001,"&lt;="&amp;$B292,BD!$Z$3:$Z$5001,"&lt;&gt;"))))</f>
        <v/>
      </c>
      <c r="E292" s="54" t="str">
        <f>IF(OR($B292="",$A292&gt;$B$9,E$280=""),"",IF(COUNTIFS(BD!$B$3:$B$5001,E$280,BD!$A$3:$A$5001,"&gt;="&amp;$C$7,BD!$A$3:$A$5001,"&lt;="&amp;$B292,BD!$Z$3:$Z$5001,"&lt;&gt;")=0,"",SUMIFS(BD!$Z$3:$Z$5001,BD!$B$3:$B$5001,E$280,BD!$A$3:$A$5001,_xlfn.MAXIFS(BD!$A$3:$A$5001,BD!$B$3:$B$5001,E$280,BD!$A$3:$A$5001,"&gt;="&amp;$C$7,BD!$A$3:$A$5001,"&lt;="&amp;$B292,BD!$Z$3:$Z$5001,"&lt;&gt;"))))</f>
        <v/>
      </c>
      <c r="F292" s="54" t="str">
        <f>IF(OR($B292="",$A292&gt;$B$9,F$280=""),"",IF(COUNTIFS(BD!$B$3:$B$5001,F$280,BD!$A$3:$A$5001,"&gt;="&amp;$C$7,BD!$A$3:$A$5001,"&lt;="&amp;$B292,BD!$Z$3:$Z$5001,"&lt;&gt;")=0,"",SUMIFS(BD!$Z$3:$Z$5001,BD!$B$3:$B$5001,F$280,BD!$A$3:$A$5001,_xlfn.MAXIFS(BD!$A$3:$A$5001,BD!$B$3:$B$5001,F$280,BD!$A$3:$A$5001,"&gt;="&amp;$C$7,BD!$A$3:$A$5001,"&lt;="&amp;$B292,BD!$Z$3:$Z$5001,"&lt;&gt;"))))</f>
        <v/>
      </c>
      <c r="G292" s="54" t="str">
        <f>IF(OR($B292="",$A292&gt;$B$9,G$280=""),"",IF(COUNTIFS(BD!$B$3:$B$5001,G$280,BD!$A$3:$A$5001,"&gt;="&amp;$C$7,BD!$A$3:$A$5001,"&lt;="&amp;$B292,BD!$Z$3:$Z$5001,"&lt;&gt;")=0,"",SUMIFS(BD!$Z$3:$Z$5001,BD!$B$3:$B$5001,G$280,BD!$A$3:$A$5001,_xlfn.MAXIFS(BD!$A$3:$A$5001,BD!$B$3:$B$5001,G$280,BD!$A$3:$A$5001,"&gt;="&amp;$C$7,BD!$A$3:$A$5001,"&lt;="&amp;$B292,BD!$Z$3:$Z$5001,"&lt;&gt;"))))</f>
        <v/>
      </c>
      <c r="H292" s="54" t="str">
        <f>IF(OR($B292="",$A292&gt;$B$9,H$280=""),"",IF(COUNTIFS(BD!$B$3:$B$5001,H$280,BD!$A$3:$A$5001,"&gt;="&amp;$C$7,BD!$A$3:$A$5001,"&lt;="&amp;$B292,BD!$Z$3:$Z$5001,"&lt;&gt;")=0,"",SUMIFS(BD!$Z$3:$Z$5001,BD!$B$3:$B$5001,H$280,BD!$A$3:$A$5001,_xlfn.MAXIFS(BD!$A$3:$A$5001,BD!$B$3:$B$5001,H$280,BD!$A$3:$A$5001,"&gt;="&amp;$C$7,BD!$A$3:$A$5001,"&lt;="&amp;$B292,BD!$Z$3:$Z$5001,"&lt;&gt;"))))</f>
        <v/>
      </c>
      <c r="I292" s="54" t="str">
        <f>IF(OR($B292="",$A292&gt;$B$9,I$280=""),"",IF(COUNTIFS(BD!$B$3:$B$5001,I$280,BD!$A$3:$A$5001,"&gt;="&amp;$C$7,BD!$A$3:$A$5001,"&lt;="&amp;$B292,BD!$Z$3:$Z$5001,"&lt;&gt;")=0,"",SUMIFS(BD!$Z$3:$Z$5001,BD!$B$3:$B$5001,I$280,BD!$A$3:$A$5001,_xlfn.MAXIFS(BD!$A$3:$A$5001,BD!$B$3:$B$5001,I$280,BD!$A$3:$A$5001,"&gt;="&amp;$C$7,BD!$A$3:$A$5001,"&lt;="&amp;$B292,BD!$Z$3:$Z$5001,"&lt;&gt;"))))</f>
        <v/>
      </c>
      <c r="J292" s="54" t="str">
        <f>IF(OR($B292="",$A292&gt;$B$9,J$280=""),"",IF(COUNTIFS(BD!$B$3:$B$5001,J$280,BD!$A$3:$A$5001,"&gt;="&amp;$C$7,BD!$A$3:$A$5001,"&lt;="&amp;$B292,BD!$Z$3:$Z$5001,"&lt;&gt;")=0,"",SUMIFS(BD!$Z$3:$Z$5001,BD!$B$3:$B$5001,J$280,BD!$A$3:$A$5001,_xlfn.MAXIFS(BD!$A$3:$A$5001,BD!$B$3:$B$5001,J$280,BD!$A$3:$A$5001,"&gt;="&amp;$C$7,BD!$A$3:$A$5001,"&lt;="&amp;$B292,BD!$Z$3:$Z$5001,"&lt;&gt;"))))</f>
        <v/>
      </c>
      <c r="K292" s="54" t="str">
        <f>IF(OR($B292="",$A292&gt;$B$9,K$280=""),"",IF(COUNTIFS(BD!$B$3:$B$5001,K$280,BD!$A$3:$A$5001,"&gt;="&amp;$C$7,BD!$A$3:$A$5001,"&lt;="&amp;$B292,BD!$Z$3:$Z$5001,"&lt;&gt;")=0,"",SUMIFS(BD!$Z$3:$Z$5001,BD!$B$3:$B$5001,K$280,BD!$A$3:$A$5001,_xlfn.MAXIFS(BD!$A$3:$A$5001,BD!$B$3:$B$5001,K$280,BD!$A$3:$A$5001,"&gt;="&amp;$C$7,BD!$A$3:$A$5001,"&lt;="&amp;$B292,BD!$Z$3:$Z$5001,"&lt;&gt;"))))</f>
        <v/>
      </c>
      <c r="L292" s="54" t="str">
        <f>IF(OR($B292="",$A292&gt;$B$9,L$280=""),"",IF(COUNTIFS(BD!$B$3:$B$5001,L$280,BD!$A$3:$A$5001,"&gt;="&amp;$C$7,BD!$A$3:$A$5001,"&lt;="&amp;$B292,BD!$Z$3:$Z$5001,"&lt;&gt;")=0,"",SUMIFS(BD!$Z$3:$Z$5001,BD!$B$3:$B$5001,L$280,BD!$A$3:$A$5001,_xlfn.MAXIFS(BD!$A$3:$A$5001,BD!$B$3:$B$5001,L$280,BD!$A$3:$A$5001,"&gt;="&amp;$C$7,BD!$A$3:$A$5001,"&lt;="&amp;$B292,BD!$Z$3:$Z$5001,"&lt;&gt;"))))</f>
        <v/>
      </c>
      <c r="M292" s="54" t="str">
        <f>IF(OR($B292="",$A292&gt;$B$9,M$280=""),"",IF(COUNTIFS(BD!$B$3:$B$5001,M$280,BD!$A$3:$A$5001,"&gt;="&amp;$C$7,BD!$A$3:$A$5001,"&lt;="&amp;$B292,BD!$Z$3:$Z$5001,"&lt;&gt;")=0,"",SUMIFS(BD!$Z$3:$Z$5001,BD!$B$3:$B$5001,M$280,BD!$A$3:$A$5001,_xlfn.MAXIFS(BD!$A$3:$A$5001,BD!$B$3:$B$5001,M$280,BD!$A$3:$A$5001,"&gt;="&amp;$C$7,BD!$A$3:$A$5001,"&lt;="&amp;$B292,BD!$Z$3:$Z$5001,"&lt;&gt;"))))</f>
        <v/>
      </c>
      <c r="N292" s="54" t="str">
        <f>IF(OR($B292="",$A292&gt;$B$9,N$280=""),"",IF(COUNTIFS(BD!$B$3:$B$5001,N$280,BD!$A$3:$A$5001,"&gt;="&amp;$C$7,BD!$A$3:$A$5001,"&lt;="&amp;$B292,BD!$Z$3:$Z$5001,"&lt;&gt;")=0,"",SUMIFS(BD!$Z$3:$Z$5001,BD!$B$3:$B$5001,N$280,BD!$A$3:$A$5001,_xlfn.MAXIFS(BD!$A$3:$A$5001,BD!$B$3:$B$5001,N$280,BD!$A$3:$A$5001,"&gt;="&amp;$C$7,BD!$A$3:$A$5001,"&lt;="&amp;$B292,BD!$Z$3:$Z$5001,"&lt;&gt;"))))</f>
        <v/>
      </c>
      <c r="O292" s="54" t="str">
        <f>IF(OR($B292="",$A292&gt;$B$9,O$280=""),"",IF(COUNTIFS(BD!$B$3:$B$5001,O$280,BD!$A$3:$A$5001,"&gt;="&amp;$C$7,BD!$A$3:$A$5001,"&lt;="&amp;$B292,BD!$Z$3:$Z$5001,"&lt;&gt;")=0,"",SUMIFS(BD!$Z$3:$Z$5001,BD!$B$3:$B$5001,O$280,BD!$A$3:$A$5001,_xlfn.MAXIFS(BD!$A$3:$A$5001,BD!$B$3:$B$5001,O$280,BD!$A$3:$A$5001,"&gt;="&amp;$C$7,BD!$A$3:$A$5001,"&lt;="&amp;$B292,BD!$Z$3:$Z$5001,"&lt;&gt;"))))</f>
        <v/>
      </c>
      <c r="P292" s="54" t="str">
        <f>IF(OR($B292="",$A292&gt;$B$9,P$280=""),"",IF(COUNTIFS(BD!$B$3:$B$5001,P$280,BD!$A$3:$A$5001,"&gt;="&amp;$C$7,BD!$A$3:$A$5001,"&lt;="&amp;$B292,BD!$Z$3:$Z$5001,"&lt;&gt;")=0,"",SUMIFS(BD!$Z$3:$Z$5001,BD!$B$3:$B$5001,P$280,BD!$A$3:$A$5001,_xlfn.MAXIFS(BD!$A$3:$A$5001,BD!$B$3:$B$5001,P$280,BD!$A$3:$A$5001,"&gt;="&amp;$C$7,BD!$A$3:$A$5001,"&lt;="&amp;$B292,BD!$Z$3:$Z$5001,"&lt;&gt;"))))</f>
        <v/>
      </c>
      <c r="Q292" s="54" t="str">
        <f>IF(OR($B292="",$A292&gt;$B$9,Q$280=""),"",IF(COUNTIFS(BD!$B$3:$B$5001,Q$280,BD!$A$3:$A$5001,"&gt;="&amp;$C$7,BD!$A$3:$A$5001,"&lt;="&amp;$B292,BD!$Z$3:$Z$5001,"&lt;&gt;")=0,"",SUMIFS(BD!$Z$3:$Z$5001,BD!$B$3:$B$5001,Q$280,BD!$A$3:$A$5001,_xlfn.MAXIFS(BD!$A$3:$A$5001,BD!$B$3:$B$5001,Q$280,BD!$A$3:$A$5001,"&gt;="&amp;$C$7,BD!$A$3:$A$5001,"&lt;="&amp;$B292,BD!$Z$3:$Z$5001,"&lt;&gt;"))))</f>
        <v/>
      </c>
      <c r="R292" s="54" t="str">
        <f>IF(OR($B292="",$A292&gt;$B$9,R$280=""),"",IF(COUNTIFS(BD!$B$3:$B$5001,R$280,BD!$A$3:$A$5001,"&gt;="&amp;$C$7,BD!$A$3:$A$5001,"&lt;="&amp;$B292,BD!$Z$3:$Z$5001,"&lt;&gt;")=0,"",SUMIFS(BD!$Z$3:$Z$5001,BD!$B$3:$B$5001,R$280,BD!$A$3:$A$5001,_xlfn.MAXIFS(BD!$A$3:$A$5001,BD!$B$3:$B$5001,R$280,BD!$A$3:$A$5001,"&gt;="&amp;$C$7,BD!$A$3:$A$5001,"&lt;="&amp;$B292,BD!$Z$3:$Z$5001,"&lt;&gt;"))))</f>
        <v/>
      </c>
      <c r="S292" s="54" t="str">
        <f>IF(OR($B292="",$A292&gt;$B$9,S$280=""),"",IF(COUNTIFS(BD!$B$3:$B$5001,S$280,BD!$A$3:$A$5001,"&gt;="&amp;$C$7,BD!$A$3:$A$5001,"&lt;="&amp;$B292,BD!$Z$3:$Z$5001,"&lt;&gt;")=0,"",SUMIFS(BD!$Z$3:$Z$5001,BD!$B$3:$B$5001,S$280,BD!$A$3:$A$5001,_xlfn.MAXIFS(BD!$A$3:$A$5001,BD!$B$3:$B$5001,S$280,BD!$A$3:$A$5001,"&gt;="&amp;$C$7,BD!$A$3:$A$5001,"&lt;="&amp;$B292,BD!$Z$3:$Z$5001,"&lt;&gt;"))))</f>
        <v/>
      </c>
      <c r="T292" s="54" t="str">
        <f>IF(OR($B292="",$A292&gt;$B$9,T$280=""),"",IF(COUNTIFS(BD!$B$3:$B$5001,T$280,BD!$A$3:$A$5001,"&gt;="&amp;$C$7,BD!$A$3:$A$5001,"&lt;="&amp;$B292,BD!$Z$3:$Z$5001,"&lt;&gt;")=0,"",SUMIFS(BD!$Z$3:$Z$5001,BD!$B$3:$B$5001,T$280,BD!$A$3:$A$5001,_xlfn.MAXIFS(BD!$A$3:$A$5001,BD!$B$3:$B$5001,T$280,BD!$A$3:$A$5001,"&gt;="&amp;$C$7,BD!$A$3:$A$5001,"&lt;="&amp;$B292,BD!$Z$3:$Z$5001,"&lt;&gt;"))))</f>
        <v/>
      </c>
      <c r="U292" s="54" t="str">
        <f>IF(OR($B292="",$A292&gt;$B$9,U$280=""),"",IF(COUNTIFS(BD!$B$3:$B$5001,U$280,BD!$A$3:$A$5001,"&gt;="&amp;$C$7,BD!$A$3:$A$5001,"&lt;="&amp;$B292,BD!$Z$3:$Z$5001,"&lt;&gt;")=0,"",SUMIFS(BD!$Z$3:$Z$5001,BD!$B$3:$B$5001,U$280,BD!$A$3:$A$5001,_xlfn.MAXIFS(BD!$A$3:$A$5001,BD!$B$3:$B$5001,U$280,BD!$A$3:$A$5001,"&gt;="&amp;$C$7,BD!$A$3:$A$5001,"&lt;="&amp;$B292,BD!$Z$3:$Z$5001,"&lt;&gt;"))))</f>
        <v/>
      </c>
      <c r="V292" s="54" t="str">
        <f>IF(OR($B292="",$A292&gt;$B$9,V$280=""),"",IF(COUNTIFS(BD!$B$3:$B$5001,V$280,BD!$A$3:$A$5001,"&gt;="&amp;$C$7,BD!$A$3:$A$5001,"&lt;="&amp;$B292,BD!$Z$3:$Z$5001,"&lt;&gt;")=0,"",SUMIFS(BD!$Z$3:$Z$5001,BD!$B$3:$B$5001,V$280,BD!$A$3:$A$5001,_xlfn.MAXIFS(BD!$A$3:$A$5001,BD!$B$3:$B$5001,V$280,BD!$A$3:$A$5001,"&gt;="&amp;$C$7,BD!$A$3:$A$5001,"&lt;="&amp;$B292,BD!$Z$3:$Z$5001,"&lt;&gt;"))))</f>
        <v/>
      </c>
    </row>
    <row r="293">
      <c r="A293" s="48">
        <v>13</v>
      </c>
      <c r="B293" s="53">
        <f>$B$24</f>
        <v>46308</v>
      </c>
      <c r="C293" s="54" t="str">
        <f>IF(OR($B293="",$A293&gt;$B$9,C$280=""),"",IF(COUNTIFS(BD!$B$3:$B$5001,C$280,BD!$A$3:$A$5001,"&gt;="&amp;$C$7,BD!$A$3:$A$5001,"&lt;="&amp;$B293,BD!$Z$3:$Z$5001,"&lt;&gt;")=0,"",SUMIFS(BD!$Z$3:$Z$5001,BD!$B$3:$B$5001,C$280,BD!$A$3:$A$5001,_xlfn.MAXIFS(BD!$A$3:$A$5001,BD!$B$3:$B$5001,C$280,BD!$A$3:$A$5001,"&gt;="&amp;$C$7,BD!$A$3:$A$5001,"&lt;="&amp;$B293,BD!$Z$3:$Z$5001,"&lt;&gt;"))))</f>
        <v/>
      </c>
      <c r="D293" s="54" t="str">
        <f>IF(OR($B293="",$A293&gt;$B$9,D$280=""),"",IF(COUNTIFS(BD!$B$3:$B$5001,D$280,BD!$A$3:$A$5001,"&gt;="&amp;$C$7,BD!$A$3:$A$5001,"&lt;="&amp;$B293,BD!$Z$3:$Z$5001,"&lt;&gt;")=0,"",SUMIFS(BD!$Z$3:$Z$5001,BD!$B$3:$B$5001,D$280,BD!$A$3:$A$5001,_xlfn.MAXIFS(BD!$A$3:$A$5001,BD!$B$3:$B$5001,D$280,BD!$A$3:$A$5001,"&gt;="&amp;$C$7,BD!$A$3:$A$5001,"&lt;="&amp;$B293,BD!$Z$3:$Z$5001,"&lt;&gt;"))))</f>
        <v/>
      </c>
      <c r="E293" s="54" t="str">
        <f>IF(OR($B293="",$A293&gt;$B$9,E$280=""),"",IF(COUNTIFS(BD!$B$3:$B$5001,E$280,BD!$A$3:$A$5001,"&gt;="&amp;$C$7,BD!$A$3:$A$5001,"&lt;="&amp;$B293,BD!$Z$3:$Z$5001,"&lt;&gt;")=0,"",SUMIFS(BD!$Z$3:$Z$5001,BD!$B$3:$B$5001,E$280,BD!$A$3:$A$5001,_xlfn.MAXIFS(BD!$A$3:$A$5001,BD!$B$3:$B$5001,E$280,BD!$A$3:$A$5001,"&gt;="&amp;$C$7,BD!$A$3:$A$5001,"&lt;="&amp;$B293,BD!$Z$3:$Z$5001,"&lt;&gt;"))))</f>
        <v/>
      </c>
      <c r="F293" s="54" t="str">
        <f>IF(OR($B293="",$A293&gt;$B$9,F$280=""),"",IF(COUNTIFS(BD!$B$3:$B$5001,F$280,BD!$A$3:$A$5001,"&gt;="&amp;$C$7,BD!$A$3:$A$5001,"&lt;="&amp;$B293,BD!$Z$3:$Z$5001,"&lt;&gt;")=0,"",SUMIFS(BD!$Z$3:$Z$5001,BD!$B$3:$B$5001,F$280,BD!$A$3:$A$5001,_xlfn.MAXIFS(BD!$A$3:$A$5001,BD!$B$3:$B$5001,F$280,BD!$A$3:$A$5001,"&gt;="&amp;$C$7,BD!$A$3:$A$5001,"&lt;="&amp;$B293,BD!$Z$3:$Z$5001,"&lt;&gt;"))))</f>
        <v/>
      </c>
      <c r="G293" s="54" t="str">
        <f>IF(OR($B293="",$A293&gt;$B$9,G$280=""),"",IF(COUNTIFS(BD!$B$3:$B$5001,G$280,BD!$A$3:$A$5001,"&gt;="&amp;$C$7,BD!$A$3:$A$5001,"&lt;="&amp;$B293,BD!$Z$3:$Z$5001,"&lt;&gt;")=0,"",SUMIFS(BD!$Z$3:$Z$5001,BD!$B$3:$B$5001,G$280,BD!$A$3:$A$5001,_xlfn.MAXIFS(BD!$A$3:$A$5001,BD!$B$3:$B$5001,G$280,BD!$A$3:$A$5001,"&gt;="&amp;$C$7,BD!$A$3:$A$5001,"&lt;="&amp;$B293,BD!$Z$3:$Z$5001,"&lt;&gt;"))))</f>
        <v/>
      </c>
      <c r="H293" s="54" t="str">
        <f>IF(OR($B293="",$A293&gt;$B$9,H$280=""),"",IF(COUNTIFS(BD!$B$3:$B$5001,H$280,BD!$A$3:$A$5001,"&gt;="&amp;$C$7,BD!$A$3:$A$5001,"&lt;="&amp;$B293,BD!$Z$3:$Z$5001,"&lt;&gt;")=0,"",SUMIFS(BD!$Z$3:$Z$5001,BD!$B$3:$B$5001,H$280,BD!$A$3:$A$5001,_xlfn.MAXIFS(BD!$A$3:$A$5001,BD!$B$3:$B$5001,H$280,BD!$A$3:$A$5001,"&gt;="&amp;$C$7,BD!$A$3:$A$5001,"&lt;="&amp;$B293,BD!$Z$3:$Z$5001,"&lt;&gt;"))))</f>
        <v/>
      </c>
      <c r="I293" s="54" t="str">
        <f>IF(OR($B293="",$A293&gt;$B$9,I$280=""),"",IF(COUNTIFS(BD!$B$3:$B$5001,I$280,BD!$A$3:$A$5001,"&gt;="&amp;$C$7,BD!$A$3:$A$5001,"&lt;="&amp;$B293,BD!$Z$3:$Z$5001,"&lt;&gt;")=0,"",SUMIFS(BD!$Z$3:$Z$5001,BD!$B$3:$B$5001,I$280,BD!$A$3:$A$5001,_xlfn.MAXIFS(BD!$A$3:$A$5001,BD!$B$3:$B$5001,I$280,BD!$A$3:$A$5001,"&gt;="&amp;$C$7,BD!$A$3:$A$5001,"&lt;="&amp;$B293,BD!$Z$3:$Z$5001,"&lt;&gt;"))))</f>
        <v/>
      </c>
      <c r="J293" s="54" t="str">
        <f>IF(OR($B293="",$A293&gt;$B$9,J$280=""),"",IF(COUNTIFS(BD!$B$3:$B$5001,J$280,BD!$A$3:$A$5001,"&gt;="&amp;$C$7,BD!$A$3:$A$5001,"&lt;="&amp;$B293,BD!$Z$3:$Z$5001,"&lt;&gt;")=0,"",SUMIFS(BD!$Z$3:$Z$5001,BD!$B$3:$B$5001,J$280,BD!$A$3:$A$5001,_xlfn.MAXIFS(BD!$A$3:$A$5001,BD!$B$3:$B$5001,J$280,BD!$A$3:$A$5001,"&gt;="&amp;$C$7,BD!$A$3:$A$5001,"&lt;="&amp;$B293,BD!$Z$3:$Z$5001,"&lt;&gt;"))))</f>
        <v/>
      </c>
      <c r="K293" s="54" t="str">
        <f>IF(OR($B293="",$A293&gt;$B$9,K$280=""),"",IF(COUNTIFS(BD!$B$3:$B$5001,K$280,BD!$A$3:$A$5001,"&gt;="&amp;$C$7,BD!$A$3:$A$5001,"&lt;="&amp;$B293,BD!$Z$3:$Z$5001,"&lt;&gt;")=0,"",SUMIFS(BD!$Z$3:$Z$5001,BD!$B$3:$B$5001,K$280,BD!$A$3:$A$5001,_xlfn.MAXIFS(BD!$A$3:$A$5001,BD!$B$3:$B$5001,K$280,BD!$A$3:$A$5001,"&gt;="&amp;$C$7,BD!$A$3:$A$5001,"&lt;="&amp;$B293,BD!$Z$3:$Z$5001,"&lt;&gt;"))))</f>
        <v/>
      </c>
      <c r="L293" s="54" t="str">
        <f>IF(OR($B293="",$A293&gt;$B$9,L$280=""),"",IF(COUNTIFS(BD!$B$3:$B$5001,L$280,BD!$A$3:$A$5001,"&gt;="&amp;$C$7,BD!$A$3:$A$5001,"&lt;="&amp;$B293,BD!$Z$3:$Z$5001,"&lt;&gt;")=0,"",SUMIFS(BD!$Z$3:$Z$5001,BD!$B$3:$B$5001,L$280,BD!$A$3:$A$5001,_xlfn.MAXIFS(BD!$A$3:$A$5001,BD!$B$3:$B$5001,L$280,BD!$A$3:$A$5001,"&gt;="&amp;$C$7,BD!$A$3:$A$5001,"&lt;="&amp;$B293,BD!$Z$3:$Z$5001,"&lt;&gt;"))))</f>
        <v/>
      </c>
      <c r="M293" s="54" t="str">
        <f>IF(OR($B293="",$A293&gt;$B$9,M$280=""),"",IF(COUNTIFS(BD!$B$3:$B$5001,M$280,BD!$A$3:$A$5001,"&gt;="&amp;$C$7,BD!$A$3:$A$5001,"&lt;="&amp;$B293,BD!$Z$3:$Z$5001,"&lt;&gt;")=0,"",SUMIFS(BD!$Z$3:$Z$5001,BD!$B$3:$B$5001,M$280,BD!$A$3:$A$5001,_xlfn.MAXIFS(BD!$A$3:$A$5001,BD!$B$3:$B$5001,M$280,BD!$A$3:$A$5001,"&gt;="&amp;$C$7,BD!$A$3:$A$5001,"&lt;="&amp;$B293,BD!$Z$3:$Z$5001,"&lt;&gt;"))))</f>
        <v/>
      </c>
      <c r="N293" s="54" t="str">
        <f>IF(OR($B293="",$A293&gt;$B$9,N$280=""),"",IF(COUNTIFS(BD!$B$3:$B$5001,N$280,BD!$A$3:$A$5001,"&gt;="&amp;$C$7,BD!$A$3:$A$5001,"&lt;="&amp;$B293,BD!$Z$3:$Z$5001,"&lt;&gt;")=0,"",SUMIFS(BD!$Z$3:$Z$5001,BD!$B$3:$B$5001,N$280,BD!$A$3:$A$5001,_xlfn.MAXIFS(BD!$A$3:$A$5001,BD!$B$3:$B$5001,N$280,BD!$A$3:$A$5001,"&gt;="&amp;$C$7,BD!$A$3:$A$5001,"&lt;="&amp;$B293,BD!$Z$3:$Z$5001,"&lt;&gt;"))))</f>
        <v/>
      </c>
      <c r="O293" s="54" t="str">
        <f>IF(OR($B293="",$A293&gt;$B$9,O$280=""),"",IF(COUNTIFS(BD!$B$3:$B$5001,O$280,BD!$A$3:$A$5001,"&gt;="&amp;$C$7,BD!$A$3:$A$5001,"&lt;="&amp;$B293,BD!$Z$3:$Z$5001,"&lt;&gt;")=0,"",SUMIFS(BD!$Z$3:$Z$5001,BD!$B$3:$B$5001,O$280,BD!$A$3:$A$5001,_xlfn.MAXIFS(BD!$A$3:$A$5001,BD!$B$3:$B$5001,O$280,BD!$A$3:$A$5001,"&gt;="&amp;$C$7,BD!$A$3:$A$5001,"&lt;="&amp;$B293,BD!$Z$3:$Z$5001,"&lt;&gt;"))))</f>
        <v/>
      </c>
      <c r="P293" s="54" t="str">
        <f>IF(OR($B293="",$A293&gt;$B$9,P$280=""),"",IF(COUNTIFS(BD!$B$3:$B$5001,P$280,BD!$A$3:$A$5001,"&gt;="&amp;$C$7,BD!$A$3:$A$5001,"&lt;="&amp;$B293,BD!$Z$3:$Z$5001,"&lt;&gt;")=0,"",SUMIFS(BD!$Z$3:$Z$5001,BD!$B$3:$B$5001,P$280,BD!$A$3:$A$5001,_xlfn.MAXIFS(BD!$A$3:$A$5001,BD!$B$3:$B$5001,P$280,BD!$A$3:$A$5001,"&gt;="&amp;$C$7,BD!$A$3:$A$5001,"&lt;="&amp;$B293,BD!$Z$3:$Z$5001,"&lt;&gt;"))))</f>
        <v/>
      </c>
      <c r="Q293" s="54" t="str">
        <f>IF(OR($B293="",$A293&gt;$B$9,Q$280=""),"",IF(COUNTIFS(BD!$B$3:$B$5001,Q$280,BD!$A$3:$A$5001,"&gt;="&amp;$C$7,BD!$A$3:$A$5001,"&lt;="&amp;$B293,BD!$Z$3:$Z$5001,"&lt;&gt;")=0,"",SUMIFS(BD!$Z$3:$Z$5001,BD!$B$3:$B$5001,Q$280,BD!$A$3:$A$5001,_xlfn.MAXIFS(BD!$A$3:$A$5001,BD!$B$3:$B$5001,Q$280,BD!$A$3:$A$5001,"&gt;="&amp;$C$7,BD!$A$3:$A$5001,"&lt;="&amp;$B293,BD!$Z$3:$Z$5001,"&lt;&gt;"))))</f>
        <v/>
      </c>
      <c r="R293" s="54" t="str">
        <f>IF(OR($B293="",$A293&gt;$B$9,R$280=""),"",IF(COUNTIFS(BD!$B$3:$B$5001,R$280,BD!$A$3:$A$5001,"&gt;="&amp;$C$7,BD!$A$3:$A$5001,"&lt;="&amp;$B293,BD!$Z$3:$Z$5001,"&lt;&gt;")=0,"",SUMIFS(BD!$Z$3:$Z$5001,BD!$B$3:$B$5001,R$280,BD!$A$3:$A$5001,_xlfn.MAXIFS(BD!$A$3:$A$5001,BD!$B$3:$B$5001,R$280,BD!$A$3:$A$5001,"&gt;="&amp;$C$7,BD!$A$3:$A$5001,"&lt;="&amp;$B293,BD!$Z$3:$Z$5001,"&lt;&gt;"))))</f>
        <v/>
      </c>
      <c r="S293" s="54" t="str">
        <f>IF(OR($B293="",$A293&gt;$B$9,S$280=""),"",IF(COUNTIFS(BD!$B$3:$B$5001,S$280,BD!$A$3:$A$5001,"&gt;="&amp;$C$7,BD!$A$3:$A$5001,"&lt;="&amp;$B293,BD!$Z$3:$Z$5001,"&lt;&gt;")=0,"",SUMIFS(BD!$Z$3:$Z$5001,BD!$B$3:$B$5001,S$280,BD!$A$3:$A$5001,_xlfn.MAXIFS(BD!$A$3:$A$5001,BD!$B$3:$B$5001,S$280,BD!$A$3:$A$5001,"&gt;="&amp;$C$7,BD!$A$3:$A$5001,"&lt;="&amp;$B293,BD!$Z$3:$Z$5001,"&lt;&gt;"))))</f>
        <v/>
      </c>
      <c r="T293" s="54" t="str">
        <f>IF(OR($B293="",$A293&gt;$B$9,T$280=""),"",IF(COUNTIFS(BD!$B$3:$B$5001,T$280,BD!$A$3:$A$5001,"&gt;="&amp;$C$7,BD!$A$3:$A$5001,"&lt;="&amp;$B293,BD!$Z$3:$Z$5001,"&lt;&gt;")=0,"",SUMIFS(BD!$Z$3:$Z$5001,BD!$B$3:$B$5001,T$280,BD!$A$3:$A$5001,_xlfn.MAXIFS(BD!$A$3:$A$5001,BD!$B$3:$B$5001,T$280,BD!$A$3:$A$5001,"&gt;="&amp;$C$7,BD!$A$3:$A$5001,"&lt;="&amp;$B293,BD!$Z$3:$Z$5001,"&lt;&gt;"))))</f>
        <v/>
      </c>
      <c r="U293" s="54" t="str">
        <f>IF(OR($B293="",$A293&gt;$B$9,U$280=""),"",IF(COUNTIFS(BD!$B$3:$B$5001,U$280,BD!$A$3:$A$5001,"&gt;="&amp;$C$7,BD!$A$3:$A$5001,"&lt;="&amp;$B293,BD!$Z$3:$Z$5001,"&lt;&gt;")=0,"",SUMIFS(BD!$Z$3:$Z$5001,BD!$B$3:$B$5001,U$280,BD!$A$3:$A$5001,_xlfn.MAXIFS(BD!$A$3:$A$5001,BD!$B$3:$B$5001,U$280,BD!$A$3:$A$5001,"&gt;="&amp;$C$7,BD!$A$3:$A$5001,"&lt;="&amp;$B293,BD!$Z$3:$Z$5001,"&lt;&gt;"))))</f>
        <v/>
      </c>
      <c r="V293" s="54" t="str">
        <f>IF(OR($B293="",$A293&gt;$B$9,V$280=""),"",IF(COUNTIFS(BD!$B$3:$B$5001,V$280,BD!$A$3:$A$5001,"&gt;="&amp;$C$7,BD!$A$3:$A$5001,"&lt;="&amp;$B293,BD!$Z$3:$Z$5001,"&lt;&gt;")=0,"",SUMIFS(BD!$Z$3:$Z$5001,BD!$B$3:$B$5001,V$280,BD!$A$3:$A$5001,_xlfn.MAXIFS(BD!$A$3:$A$5001,BD!$B$3:$B$5001,V$280,BD!$A$3:$A$5001,"&gt;="&amp;$C$7,BD!$A$3:$A$5001,"&lt;="&amp;$B293,BD!$Z$3:$Z$5001,"&lt;&gt;"))))</f>
        <v/>
      </c>
    </row>
    <row r="294">
      <c r="A294" s="48">
        <v>14</v>
      </c>
      <c r="B294" s="53">
        <f>$B$25</f>
        <v>46309</v>
      </c>
      <c r="C294" s="54" t="str">
        <f>IF(OR($B294="",$A294&gt;$B$9,C$280=""),"",IF(COUNTIFS(BD!$B$3:$B$5001,C$280,BD!$A$3:$A$5001,"&gt;="&amp;$C$7,BD!$A$3:$A$5001,"&lt;="&amp;$B294,BD!$Z$3:$Z$5001,"&lt;&gt;")=0,"",SUMIFS(BD!$Z$3:$Z$5001,BD!$B$3:$B$5001,C$280,BD!$A$3:$A$5001,_xlfn.MAXIFS(BD!$A$3:$A$5001,BD!$B$3:$B$5001,C$280,BD!$A$3:$A$5001,"&gt;="&amp;$C$7,BD!$A$3:$A$5001,"&lt;="&amp;$B294,BD!$Z$3:$Z$5001,"&lt;&gt;"))))</f>
        <v/>
      </c>
      <c r="D294" s="54" t="str">
        <f>IF(OR($B294="",$A294&gt;$B$9,D$280=""),"",IF(COUNTIFS(BD!$B$3:$B$5001,D$280,BD!$A$3:$A$5001,"&gt;="&amp;$C$7,BD!$A$3:$A$5001,"&lt;="&amp;$B294,BD!$Z$3:$Z$5001,"&lt;&gt;")=0,"",SUMIFS(BD!$Z$3:$Z$5001,BD!$B$3:$B$5001,D$280,BD!$A$3:$A$5001,_xlfn.MAXIFS(BD!$A$3:$A$5001,BD!$B$3:$B$5001,D$280,BD!$A$3:$A$5001,"&gt;="&amp;$C$7,BD!$A$3:$A$5001,"&lt;="&amp;$B294,BD!$Z$3:$Z$5001,"&lt;&gt;"))))</f>
        <v/>
      </c>
      <c r="E294" s="54" t="str">
        <f>IF(OR($B294="",$A294&gt;$B$9,E$280=""),"",IF(COUNTIFS(BD!$B$3:$B$5001,E$280,BD!$A$3:$A$5001,"&gt;="&amp;$C$7,BD!$A$3:$A$5001,"&lt;="&amp;$B294,BD!$Z$3:$Z$5001,"&lt;&gt;")=0,"",SUMIFS(BD!$Z$3:$Z$5001,BD!$B$3:$B$5001,E$280,BD!$A$3:$A$5001,_xlfn.MAXIFS(BD!$A$3:$A$5001,BD!$B$3:$B$5001,E$280,BD!$A$3:$A$5001,"&gt;="&amp;$C$7,BD!$A$3:$A$5001,"&lt;="&amp;$B294,BD!$Z$3:$Z$5001,"&lt;&gt;"))))</f>
        <v/>
      </c>
      <c r="F294" s="54" t="str">
        <f>IF(OR($B294="",$A294&gt;$B$9,F$280=""),"",IF(COUNTIFS(BD!$B$3:$B$5001,F$280,BD!$A$3:$A$5001,"&gt;="&amp;$C$7,BD!$A$3:$A$5001,"&lt;="&amp;$B294,BD!$Z$3:$Z$5001,"&lt;&gt;")=0,"",SUMIFS(BD!$Z$3:$Z$5001,BD!$B$3:$B$5001,F$280,BD!$A$3:$A$5001,_xlfn.MAXIFS(BD!$A$3:$A$5001,BD!$B$3:$B$5001,F$280,BD!$A$3:$A$5001,"&gt;="&amp;$C$7,BD!$A$3:$A$5001,"&lt;="&amp;$B294,BD!$Z$3:$Z$5001,"&lt;&gt;"))))</f>
        <v/>
      </c>
      <c r="G294" s="54" t="str">
        <f>IF(OR($B294="",$A294&gt;$B$9,G$280=""),"",IF(COUNTIFS(BD!$B$3:$B$5001,G$280,BD!$A$3:$A$5001,"&gt;="&amp;$C$7,BD!$A$3:$A$5001,"&lt;="&amp;$B294,BD!$Z$3:$Z$5001,"&lt;&gt;")=0,"",SUMIFS(BD!$Z$3:$Z$5001,BD!$B$3:$B$5001,G$280,BD!$A$3:$A$5001,_xlfn.MAXIFS(BD!$A$3:$A$5001,BD!$B$3:$B$5001,G$280,BD!$A$3:$A$5001,"&gt;="&amp;$C$7,BD!$A$3:$A$5001,"&lt;="&amp;$B294,BD!$Z$3:$Z$5001,"&lt;&gt;"))))</f>
        <v/>
      </c>
      <c r="H294" s="54" t="str">
        <f>IF(OR($B294="",$A294&gt;$B$9,H$280=""),"",IF(COUNTIFS(BD!$B$3:$B$5001,H$280,BD!$A$3:$A$5001,"&gt;="&amp;$C$7,BD!$A$3:$A$5001,"&lt;="&amp;$B294,BD!$Z$3:$Z$5001,"&lt;&gt;")=0,"",SUMIFS(BD!$Z$3:$Z$5001,BD!$B$3:$B$5001,H$280,BD!$A$3:$A$5001,_xlfn.MAXIFS(BD!$A$3:$A$5001,BD!$B$3:$B$5001,H$280,BD!$A$3:$A$5001,"&gt;="&amp;$C$7,BD!$A$3:$A$5001,"&lt;="&amp;$B294,BD!$Z$3:$Z$5001,"&lt;&gt;"))))</f>
        <v/>
      </c>
      <c r="I294" s="54" t="str">
        <f>IF(OR($B294="",$A294&gt;$B$9,I$280=""),"",IF(COUNTIFS(BD!$B$3:$B$5001,I$280,BD!$A$3:$A$5001,"&gt;="&amp;$C$7,BD!$A$3:$A$5001,"&lt;="&amp;$B294,BD!$Z$3:$Z$5001,"&lt;&gt;")=0,"",SUMIFS(BD!$Z$3:$Z$5001,BD!$B$3:$B$5001,I$280,BD!$A$3:$A$5001,_xlfn.MAXIFS(BD!$A$3:$A$5001,BD!$B$3:$B$5001,I$280,BD!$A$3:$A$5001,"&gt;="&amp;$C$7,BD!$A$3:$A$5001,"&lt;="&amp;$B294,BD!$Z$3:$Z$5001,"&lt;&gt;"))))</f>
        <v/>
      </c>
      <c r="J294" s="54" t="str">
        <f>IF(OR($B294="",$A294&gt;$B$9,J$280=""),"",IF(COUNTIFS(BD!$B$3:$B$5001,J$280,BD!$A$3:$A$5001,"&gt;="&amp;$C$7,BD!$A$3:$A$5001,"&lt;="&amp;$B294,BD!$Z$3:$Z$5001,"&lt;&gt;")=0,"",SUMIFS(BD!$Z$3:$Z$5001,BD!$B$3:$B$5001,J$280,BD!$A$3:$A$5001,_xlfn.MAXIFS(BD!$A$3:$A$5001,BD!$B$3:$B$5001,J$280,BD!$A$3:$A$5001,"&gt;="&amp;$C$7,BD!$A$3:$A$5001,"&lt;="&amp;$B294,BD!$Z$3:$Z$5001,"&lt;&gt;"))))</f>
        <v/>
      </c>
      <c r="K294" s="54" t="str">
        <f>IF(OR($B294="",$A294&gt;$B$9,K$280=""),"",IF(COUNTIFS(BD!$B$3:$B$5001,K$280,BD!$A$3:$A$5001,"&gt;="&amp;$C$7,BD!$A$3:$A$5001,"&lt;="&amp;$B294,BD!$Z$3:$Z$5001,"&lt;&gt;")=0,"",SUMIFS(BD!$Z$3:$Z$5001,BD!$B$3:$B$5001,K$280,BD!$A$3:$A$5001,_xlfn.MAXIFS(BD!$A$3:$A$5001,BD!$B$3:$B$5001,K$280,BD!$A$3:$A$5001,"&gt;="&amp;$C$7,BD!$A$3:$A$5001,"&lt;="&amp;$B294,BD!$Z$3:$Z$5001,"&lt;&gt;"))))</f>
        <v/>
      </c>
      <c r="L294" s="54" t="str">
        <f>IF(OR($B294="",$A294&gt;$B$9,L$280=""),"",IF(COUNTIFS(BD!$B$3:$B$5001,L$280,BD!$A$3:$A$5001,"&gt;="&amp;$C$7,BD!$A$3:$A$5001,"&lt;="&amp;$B294,BD!$Z$3:$Z$5001,"&lt;&gt;")=0,"",SUMIFS(BD!$Z$3:$Z$5001,BD!$B$3:$B$5001,L$280,BD!$A$3:$A$5001,_xlfn.MAXIFS(BD!$A$3:$A$5001,BD!$B$3:$B$5001,L$280,BD!$A$3:$A$5001,"&gt;="&amp;$C$7,BD!$A$3:$A$5001,"&lt;="&amp;$B294,BD!$Z$3:$Z$5001,"&lt;&gt;"))))</f>
        <v/>
      </c>
      <c r="M294" s="54" t="str">
        <f>IF(OR($B294="",$A294&gt;$B$9,M$280=""),"",IF(COUNTIFS(BD!$B$3:$B$5001,M$280,BD!$A$3:$A$5001,"&gt;="&amp;$C$7,BD!$A$3:$A$5001,"&lt;="&amp;$B294,BD!$Z$3:$Z$5001,"&lt;&gt;")=0,"",SUMIFS(BD!$Z$3:$Z$5001,BD!$B$3:$B$5001,M$280,BD!$A$3:$A$5001,_xlfn.MAXIFS(BD!$A$3:$A$5001,BD!$B$3:$B$5001,M$280,BD!$A$3:$A$5001,"&gt;="&amp;$C$7,BD!$A$3:$A$5001,"&lt;="&amp;$B294,BD!$Z$3:$Z$5001,"&lt;&gt;"))))</f>
        <v/>
      </c>
      <c r="N294" s="54" t="str">
        <f>IF(OR($B294="",$A294&gt;$B$9,N$280=""),"",IF(COUNTIFS(BD!$B$3:$B$5001,N$280,BD!$A$3:$A$5001,"&gt;="&amp;$C$7,BD!$A$3:$A$5001,"&lt;="&amp;$B294,BD!$Z$3:$Z$5001,"&lt;&gt;")=0,"",SUMIFS(BD!$Z$3:$Z$5001,BD!$B$3:$B$5001,N$280,BD!$A$3:$A$5001,_xlfn.MAXIFS(BD!$A$3:$A$5001,BD!$B$3:$B$5001,N$280,BD!$A$3:$A$5001,"&gt;="&amp;$C$7,BD!$A$3:$A$5001,"&lt;="&amp;$B294,BD!$Z$3:$Z$5001,"&lt;&gt;"))))</f>
        <v/>
      </c>
      <c r="O294" s="54" t="str">
        <f>IF(OR($B294="",$A294&gt;$B$9,O$280=""),"",IF(COUNTIFS(BD!$B$3:$B$5001,O$280,BD!$A$3:$A$5001,"&gt;="&amp;$C$7,BD!$A$3:$A$5001,"&lt;="&amp;$B294,BD!$Z$3:$Z$5001,"&lt;&gt;")=0,"",SUMIFS(BD!$Z$3:$Z$5001,BD!$B$3:$B$5001,O$280,BD!$A$3:$A$5001,_xlfn.MAXIFS(BD!$A$3:$A$5001,BD!$B$3:$B$5001,O$280,BD!$A$3:$A$5001,"&gt;="&amp;$C$7,BD!$A$3:$A$5001,"&lt;="&amp;$B294,BD!$Z$3:$Z$5001,"&lt;&gt;"))))</f>
        <v/>
      </c>
      <c r="P294" s="54" t="str">
        <f>IF(OR($B294="",$A294&gt;$B$9,P$280=""),"",IF(COUNTIFS(BD!$B$3:$B$5001,P$280,BD!$A$3:$A$5001,"&gt;="&amp;$C$7,BD!$A$3:$A$5001,"&lt;="&amp;$B294,BD!$Z$3:$Z$5001,"&lt;&gt;")=0,"",SUMIFS(BD!$Z$3:$Z$5001,BD!$B$3:$B$5001,P$280,BD!$A$3:$A$5001,_xlfn.MAXIFS(BD!$A$3:$A$5001,BD!$B$3:$B$5001,P$280,BD!$A$3:$A$5001,"&gt;="&amp;$C$7,BD!$A$3:$A$5001,"&lt;="&amp;$B294,BD!$Z$3:$Z$5001,"&lt;&gt;"))))</f>
        <v/>
      </c>
      <c r="Q294" s="54" t="str">
        <f>IF(OR($B294="",$A294&gt;$B$9,Q$280=""),"",IF(COUNTIFS(BD!$B$3:$B$5001,Q$280,BD!$A$3:$A$5001,"&gt;="&amp;$C$7,BD!$A$3:$A$5001,"&lt;="&amp;$B294,BD!$Z$3:$Z$5001,"&lt;&gt;")=0,"",SUMIFS(BD!$Z$3:$Z$5001,BD!$B$3:$B$5001,Q$280,BD!$A$3:$A$5001,_xlfn.MAXIFS(BD!$A$3:$A$5001,BD!$B$3:$B$5001,Q$280,BD!$A$3:$A$5001,"&gt;="&amp;$C$7,BD!$A$3:$A$5001,"&lt;="&amp;$B294,BD!$Z$3:$Z$5001,"&lt;&gt;"))))</f>
        <v/>
      </c>
      <c r="R294" s="54" t="str">
        <f>IF(OR($B294="",$A294&gt;$B$9,R$280=""),"",IF(COUNTIFS(BD!$B$3:$B$5001,R$280,BD!$A$3:$A$5001,"&gt;="&amp;$C$7,BD!$A$3:$A$5001,"&lt;="&amp;$B294,BD!$Z$3:$Z$5001,"&lt;&gt;")=0,"",SUMIFS(BD!$Z$3:$Z$5001,BD!$B$3:$B$5001,R$280,BD!$A$3:$A$5001,_xlfn.MAXIFS(BD!$A$3:$A$5001,BD!$B$3:$B$5001,R$280,BD!$A$3:$A$5001,"&gt;="&amp;$C$7,BD!$A$3:$A$5001,"&lt;="&amp;$B294,BD!$Z$3:$Z$5001,"&lt;&gt;"))))</f>
        <v/>
      </c>
      <c r="S294" s="54" t="str">
        <f>IF(OR($B294="",$A294&gt;$B$9,S$280=""),"",IF(COUNTIFS(BD!$B$3:$B$5001,S$280,BD!$A$3:$A$5001,"&gt;="&amp;$C$7,BD!$A$3:$A$5001,"&lt;="&amp;$B294,BD!$Z$3:$Z$5001,"&lt;&gt;")=0,"",SUMIFS(BD!$Z$3:$Z$5001,BD!$B$3:$B$5001,S$280,BD!$A$3:$A$5001,_xlfn.MAXIFS(BD!$A$3:$A$5001,BD!$B$3:$B$5001,S$280,BD!$A$3:$A$5001,"&gt;="&amp;$C$7,BD!$A$3:$A$5001,"&lt;="&amp;$B294,BD!$Z$3:$Z$5001,"&lt;&gt;"))))</f>
        <v/>
      </c>
      <c r="T294" s="54" t="str">
        <f>IF(OR($B294="",$A294&gt;$B$9,T$280=""),"",IF(COUNTIFS(BD!$B$3:$B$5001,T$280,BD!$A$3:$A$5001,"&gt;="&amp;$C$7,BD!$A$3:$A$5001,"&lt;="&amp;$B294,BD!$Z$3:$Z$5001,"&lt;&gt;")=0,"",SUMIFS(BD!$Z$3:$Z$5001,BD!$B$3:$B$5001,T$280,BD!$A$3:$A$5001,_xlfn.MAXIFS(BD!$A$3:$A$5001,BD!$B$3:$B$5001,T$280,BD!$A$3:$A$5001,"&gt;="&amp;$C$7,BD!$A$3:$A$5001,"&lt;="&amp;$B294,BD!$Z$3:$Z$5001,"&lt;&gt;"))))</f>
        <v/>
      </c>
      <c r="U294" s="54" t="str">
        <f>IF(OR($B294="",$A294&gt;$B$9,U$280=""),"",IF(COUNTIFS(BD!$B$3:$B$5001,U$280,BD!$A$3:$A$5001,"&gt;="&amp;$C$7,BD!$A$3:$A$5001,"&lt;="&amp;$B294,BD!$Z$3:$Z$5001,"&lt;&gt;")=0,"",SUMIFS(BD!$Z$3:$Z$5001,BD!$B$3:$B$5001,U$280,BD!$A$3:$A$5001,_xlfn.MAXIFS(BD!$A$3:$A$5001,BD!$B$3:$B$5001,U$280,BD!$A$3:$A$5001,"&gt;="&amp;$C$7,BD!$A$3:$A$5001,"&lt;="&amp;$B294,BD!$Z$3:$Z$5001,"&lt;&gt;"))))</f>
        <v/>
      </c>
      <c r="V294" s="54" t="str">
        <f>IF(OR($B294="",$A294&gt;$B$9,V$280=""),"",IF(COUNTIFS(BD!$B$3:$B$5001,V$280,BD!$A$3:$A$5001,"&gt;="&amp;$C$7,BD!$A$3:$A$5001,"&lt;="&amp;$B294,BD!$Z$3:$Z$5001,"&lt;&gt;")=0,"",SUMIFS(BD!$Z$3:$Z$5001,BD!$B$3:$B$5001,V$280,BD!$A$3:$A$5001,_xlfn.MAXIFS(BD!$A$3:$A$5001,BD!$B$3:$B$5001,V$280,BD!$A$3:$A$5001,"&gt;="&amp;$C$7,BD!$A$3:$A$5001,"&lt;="&amp;$B294,BD!$Z$3:$Z$5001,"&lt;&gt;"))))</f>
        <v/>
      </c>
    </row>
    <row r="295">
      <c r="A295" s="48">
        <v>15</v>
      </c>
      <c r="B295" s="53">
        <f>$B$26</f>
        <v>46310</v>
      </c>
      <c r="C295" s="54" t="str">
        <f>IF(OR($B295="",$A295&gt;$B$9,C$280=""),"",IF(COUNTIFS(BD!$B$3:$B$5001,C$280,BD!$A$3:$A$5001,"&gt;="&amp;$C$7,BD!$A$3:$A$5001,"&lt;="&amp;$B295,BD!$Z$3:$Z$5001,"&lt;&gt;")=0,"",SUMIFS(BD!$Z$3:$Z$5001,BD!$B$3:$B$5001,C$280,BD!$A$3:$A$5001,_xlfn.MAXIFS(BD!$A$3:$A$5001,BD!$B$3:$B$5001,C$280,BD!$A$3:$A$5001,"&gt;="&amp;$C$7,BD!$A$3:$A$5001,"&lt;="&amp;$B295,BD!$Z$3:$Z$5001,"&lt;&gt;"))))</f>
        <v/>
      </c>
      <c r="D295" s="54" t="str">
        <f>IF(OR($B295="",$A295&gt;$B$9,D$280=""),"",IF(COUNTIFS(BD!$B$3:$B$5001,D$280,BD!$A$3:$A$5001,"&gt;="&amp;$C$7,BD!$A$3:$A$5001,"&lt;="&amp;$B295,BD!$Z$3:$Z$5001,"&lt;&gt;")=0,"",SUMIFS(BD!$Z$3:$Z$5001,BD!$B$3:$B$5001,D$280,BD!$A$3:$A$5001,_xlfn.MAXIFS(BD!$A$3:$A$5001,BD!$B$3:$B$5001,D$280,BD!$A$3:$A$5001,"&gt;="&amp;$C$7,BD!$A$3:$A$5001,"&lt;="&amp;$B295,BD!$Z$3:$Z$5001,"&lt;&gt;"))))</f>
        <v/>
      </c>
      <c r="E295" s="54" t="str">
        <f>IF(OR($B295="",$A295&gt;$B$9,E$280=""),"",IF(COUNTIFS(BD!$B$3:$B$5001,E$280,BD!$A$3:$A$5001,"&gt;="&amp;$C$7,BD!$A$3:$A$5001,"&lt;="&amp;$B295,BD!$Z$3:$Z$5001,"&lt;&gt;")=0,"",SUMIFS(BD!$Z$3:$Z$5001,BD!$B$3:$B$5001,E$280,BD!$A$3:$A$5001,_xlfn.MAXIFS(BD!$A$3:$A$5001,BD!$B$3:$B$5001,E$280,BD!$A$3:$A$5001,"&gt;="&amp;$C$7,BD!$A$3:$A$5001,"&lt;="&amp;$B295,BD!$Z$3:$Z$5001,"&lt;&gt;"))))</f>
        <v/>
      </c>
      <c r="F295" s="54" t="str">
        <f>IF(OR($B295="",$A295&gt;$B$9,F$280=""),"",IF(COUNTIFS(BD!$B$3:$B$5001,F$280,BD!$A$3:$A$5001,"&gt;="&amp;$C$7,BD!$A$3:$A$5001,"&lt;="&amp;$B295,BD!$Z$3:$Z$5001,"&lt;&gt;")=0,"",SUMIFS(BD!$Z$3:$Z$5001,BD!$B$3:$B$5001,F$280,BD!$A$3:$A$5001,_xlfn.MAXIFS(BD!$A$3:$A$5001,BD!$B$3:$B$5001,F$280,BD!$A$3:$A$5001,"&gt;="&amp;$C$7,BD!$A$3:$A$5001,"&lt;="&amp;$B295,BD!$Z$3:$Z$5001,"&lt;&gt;"))))</f>
        <v/>
      </c>
      <c r="G295" s="54" t="str">
        <f>IF(OR($B295="",$A295&gt;$B$9,G$280=""),"",IF(COUNTIFS(BD!$B$3:$B$5001,G$280,BD!$A$3:$A$5001,"&gt;="&amp;$C$7,BD!$A$3:$A$5001,"&lt;="&amp;$B295,BD!$Z$3:$Z$5001,"&lt;&gt;")=0,"",SUMIFS(BD!$Z$3:$Z$5001,BD!$B$3:$B$5001,G$280,BD!$A$3:$A$5001,_xlfn.MAXIFS(BD!$A$3:$A$5001,BD!$B$3:$B$5001,G$280,BD!$A$3:$A$5001,"&gt;="&amp;$C$7,BD!$A$3:$A$5001,"&lt;="&amp;$B295,BD!$Z$3:$Z$5001,"&lt;&gt;"))))</f>
        <v/>
      </c>
      <c r="H295" s="54" t="str">
        <f>IF(OR($B295="",$A295&gt;$B$9,H$280=""),"",IF(COUNTIFS(BD!$B$3:$B$5001,H$280,BD!$A$3:$A$5001,"&gt;="&amp;$C$7,BD!$A$3:$A$5001,"&lt;="&amp;$B295,BD!$Z$3:$Z$5001,"&lt;&gt;")=0,"",SUMIFS(BD!$Z$3:$Z$5001,BD!$B$3:$B$5001,H$280,BD!$A$3:$A$5001,_xlfn.MAXIFS(BD!$A$3:$A$5001,BD!$B$3:$B$5001,H$280,BD!$A$3:$A$5001,"&gt;="&amp;$C$7,BD!$A$3:$A$5001,"&lt;="&amp;$B295,BD!$Z$3:$Z$5001,"&lt;&gt;"))))</f>
        <v/>
      </c>
      <c r="I295" s="54" t="str">
        <f>IF(OR($B295="",$A295&gt;$B$9,I$280=""),"",IF(COUNTIFS(BD!$B$3:$B$5001,I$280,BD!$A$3:$A$5001,"&gt;="&amp;$C$7,BD!$A$3:$A$5001,"&lt;="&amp;$B295,BD!$Z$3:$Z$5001,"&lt;&gt;")=0,"",SUMIFS(BD!$Z$3:$Z$5001,BD!$B$3:$B$5001,I$280,BD!$A$3:$A$5001,_xlfn.MAXIFS(BD!$A$3:$A$5001,BD!$B$3:$B$5001,I$280,BD!$A$3:$A$5001,"&gt;="&amp;$C$7,BD!$A$3:$A$5001,"&lt;="&amp;$B295,BD!$Z$3:$Z$5001,"&lt;&gt;"))))</f>
        <v/>
      </c>
      <c r="J295" s="54" t="str">
        <f>IF(OR($B295="",$A295&gt;$B$9,J$280=""),"",IF(COUNTIFS(BD!$B$3:$B$5001,J$280,BD!$A$3:$A$5001,"&gt;="&amp;$C$7,BD!$A$3:$A$5001,"&lt;="&amp;$B295,BD!$Z$3:$Z$5001,"&lt;&gt;")=0,"",SUMIFS(BD!$Z$3:$Z$5001,BD!$B$3:$B$5001,J$280,BD!$A$3:$A$5001,_xlfn.MAXIFS(BD!$A$3:$A$5001,BD!$B$3:$B$5001,J$280,BD!$A$3:$A$5001,"&gt;="&amp;$C$7,BD!$A$3:$A$5001,"&lt;="&amp;$B295,BD!$Z$3:$Z$5001,"&lt;&gt;"))))</f>
        <v/>
      </c>
      <c r="K295" s="54" t="str">
        <f>IF(OR($B295="",$A295&gt;$B$9,K$280=""),"",IF(COUNTIFS(BD!$B$3:$B$5001,K$280,BD!$A$3:$A$5001,"&gt;="&amp;$C$7,BD!$A$3:$A$5001,"&lt;="&amp;$B295,BD!$Z$3:$Z$5001,"&lt;&gt;")=0,"",SUMIFS(BD!$Z$3:$Z$5001,BD!$B$3:$B$5001,K$280,BD!$A$3:$A$5001,_xlfn.MAXIFS(BD!$A$3:$A$5001,BD!$B$3:$B$5001,K$280,BD!$A$3:$A$5001,"&gt;="&amp;$C$7,BD!$A$3:$A$5001,"&lt;="&amp;$B295,BD!$Z$3:$Z$5001,"&lt;&gt;"))))</f>
        <v/>
      </c>
      <c r="L295" s="54" t="str">
        <f>IF(OR($B295="",$A295&gt;$B$9,L$280=""),"",IF(COUNTIFS(BD!$B$3:$B$5001,L$280,BD!$A$3:$A$5001,"&gt;="&amp;$C$7,BD!$A$3:$A$5001,"&lt;="&amp;$B295,BD!$Z$3:$Z$5001,"&lt;&gt;")=0,"",SUMIFS(BD!$Z$3:$Z$5001,BD!$B$3:$B$5001,L$280,BD!$A$3:$A$5001,_xlfn.MAXIFS(BD!$A$3:$A$5001,BD!$B$3:$B$5001,L$280,BD!$A$3:$A$5001,"&gt;="&amp;$C$7,BD!$A$3:$A$5001,"&lt;="&amp;$B295,BD!$Z$3:$Z$5001,"&lt;&gt;"))))</f>
        <v/>
      </c>
      <c r="M295" s="54" t="str">
        <f>IF(OR($B295="",$A295&gt;$B$9,M$280=""),"",IF(COUNTIFS(BD!$B$3:$B$5001,M$280,BD!$A$3:$A$5001,"&gt;="&amp;$C$7,BD!$A$3:$A$5001,"&lt;="&amp;$B295,BD!$Z$3:$Z$5001,"&lt;&gt;")=0,"",SUMIFS(BD!$Z$3:$Z$5001,BD!$B$3:$B$5001,M$280,BD!$A$3:$A$5001,_xlfn.MAXIFS(BD!$A$3:$A$5001,BD!$B$3:$B$5001,M$280,BD!$A$3:$A$5001,"&gt;="&amp;$C$7,BD!$A$3:$A$5001,"&lt;="&amp;$B295,BD!$Z$3:$Z$5001,"&lt;&gt;"))))</f>
        <v/>
      </c>
      <c r="N295" s="54" t="str">
        <f>IF(OR($B295="",$A295&gt;$B$9,N$280=""),"",IF(COUNTIFS(BD!$B$3:$B$5001,N$280,BD!$A$3:$A$5001,"&gt;="&amp;$C$7,BD!$A$3:$A$5001,"&lt;="&amp;$B295,BD!$Z$3:$Z$5001,"&lt;&gt;")=0,"",SUMIFS(BD!$Z$3:$Z$5001,BD!$B$3:$B$5001,N$280,BD!$A$3:$A$5001,_xlfn.MAXIFS(BD!$A$3:$A$5001,BD!$B$3:$B$5001,N$280,BD!$A$3:$A$5001,"&gt;="&amp;$C$7,BD!$A$3:$A$5001,"&lt;="&amp;$B295,BD!$Z$3:$Z$5001,"&lt;&gt;"))))</f>
        <v/>
      </c>
      <c r="O295" s="54" t="str">
        <f>IF(OR($B295="",$A295&gt;$B$9,O$280=""),"",IF(COUNTIFS(BD!$B$3:$B$5001,O$280,BD!$A$3:$A$5001,"&gt;="&amp;$C$7,BD!$A$3:$A$5001,"&lt;="&amp;$B295,BD!$Z$3:$Z$5001,"&lt;&gt;")=0,"",SUMIFS(BD!$Z$3:$Z$5001,BD!$B$3:$B$5001,O$280,BD!$A$3:$A$5001,_xlfn.MAXIFS(BD!$A$3:$A$5001,BD!$B$3:$B$5001,O$280,BD!$A$3:$A$5001,"&gt;="&amp;$C$7,BD!$A$3:$A$5001,"&lt;="&amp;$B295,BD!$Z$3:$Z$5001,"&lt;&gt;"))))</f>
        <v/>
      </c>
      <c r="P295" s="54" t="str">
        <f>IF(OR($B295="",$A295&gt;$B$9,P$280=""),"",IF(COUNTIFS(BD!$B$3:$B$5001,P$280,BD!$A$3:$A$5001,"&gt;="&amp;$C$7,BD!$A$3:$A$5001,"&lt;="&amp;$B295,BD!$Z$3:$Z$5001,"&lt;&gt;")=0,"",SUMIFS(BD!$Z$3:$Z$5001,BD!$B$3:$B$5001,P$280,BD!$A$3:$A$5001,_xlfn.MAXIFS(BD!$A$3:$A$5001,BD!$B$3:$B$5001,P$280,BD!$A$3:$A$5001,"&gt;="&amp;$C$7,BD!$A$3:$A$5001,"&lt;="&amp;$B295,BD!$Z$3:$Z$5001,"&lt;&gt;"))))</f>
        <v/>
      </c>
      <c r="Q295" s="54" t="str">
        <f>IF(OR($B295="",$A295&gt;$B$9,Q$280=""),"",IF(COUNTIFS(BD!$B$3:$B$5001,Q$280,BD!$A$3:$A$5001,"&gt;="&amp;$C$7,BD!$A$3:$A$5001,"&lt;="&amp;$B295,BD!$Z$3:$Z$5001,"&lt;&gt;")=0,"",SUMIFS(BD!$Z$3:$Z$5001,BD!$B$3:$B$5001,Q$280,BD!$A$3:$A$5001,_xlfn.MAXIFS(BD!$A$3:$A$5001,BD!$B$3:$B$5001,Q$280,BD!$A$3:$A$5001,"&gt;="&amp;$C$7,BD!$A$3:$A$5001,"&lt;="&amp;$B295,BD!$Z$3:$Z$5001,"&lt;&gt;"))))</f>
        <v/>
      </c>
      <c r="R295" s="54" t="str">
        <f>IF(OR($B295="",$A295&gt;$B$9,R$280=""),"",IF(COUNTIFS(BD!$B$3:$B$5001,R$280,BD!$A$3:$A$5001,"&gt;="&amp;$C$7,BD!$A$3:$A$5001,"&lt;="&amp;$B295,BD!$Z$3:$Z$5001,"&lt;&gt;")=0,"",SUMIFS(BD!$Z$3:$Z$5001,BD!$B$3:$B$5001,R$280,BD!$A$3:$A$5001,_xlfn.MAXIFS(BD!$A$3:$A$5001,BD!$B$3:$B$5001,R$280,BD!$A$3:$A$5001,"&gt;="&amp;$C$7,BD!$A$3:$A$5001,"&lt;="&amp;$B295,BD!$Z$3:$Z$5001,"&lt;&gt;"))))</f>
        <v/>
      </c>
      <c r="S295" s="54" t="str">
        <f>IF(OR($B295="",$A295&gt;$B$9,S$280=""),"",IF(COUNTIFS(BD!$B$3:$B$5001,S$280,BD!$A$3:$A$5001,"&gt;="&amp;$C$7,BD!$A$3:$A$5001,"&lt;="&amp;$B295,BD!$Z$3:$Z$5001,"&lt;&gt;")=0,"",SUMIFS(BD!$Z$3:$Z$5001,BD!$B$3:$B$5001,S$280,BD!$A$3:$A$5001,_xlfn.MAXIFS(BD!$A$3:$A$5001,BD!$B$3:$B$5001,S$280,BD!$A$3:$A$5001,"&gt;="&amp;$C$7,BD!$A$3:$A$5001,"&lt;="&amp;$B295,BD!$Z$3:$Z$5001,"&lt;&gt;"))))</f>
        <v/>
      </c>
      <c r="T295" s="54" t="str">
        <f>IF(OR($B295="",$A295&gt;$B$9,T$280=""),"",IF(COUNTIFS(BD!$B$3:$B$5001,T$280,BD!$A$3:$A$5001,"&gt;="&amp;$C$7,BD!$A$3:$A$5001,"&lt;="&amp;$B295,BD!$Z$3:$Z$5001,"&lt;&gt;")=0,"",SUMIFS(BD!$Z$3:$Z$5001,BD!$B$3:$B$5001,T$280,BD!$A$3:$A$5001,_xlfn.MAXIFS(BD!$A$3:$A$5001,BD!$B$3:$B$5001,T$280,BD!$A$3:$A$5001,"&gt;="&amp;$C$7,BD!$A$3:$A$5001,"&lt;="&amp;$B295,BD!$Z$3:$Z$5001,"&lt;&gt;"))))</f>
        <v/>
      </c>
      <c r="U295" s="54" t="str">
        <f>IF(OR($B295="",$A295&gt;$B$9,U$280=""),"",IF(COUNTIFS(BD!$B$3:$B$5001,U$280,BD!$A$3:$A$5001,"&gt;="&amp;$C$7,BD!$A$3:$A$5001,"&lt;="&amp;$B295,BD!$Z$3:$Z$5001,"&lt;&gt;")=0,"",SUMIFS(BD!$Z$3:$Z$5001,BD!$B$3:$B$5001,U$280,BD!$A$3:$A$5001,_xlfn.MAXIFS(BD!$A$3:$A$5001,BD!$B$3:$B$5001,U$280,BD!$A$3:$A$5001,"&gt;="&amp;$C$7,BD!$A$3:$A$5001,"&lt;="&amp;$B295,BD!$Z$3:$Z$5001,"&lt;&gt;"))))</f>
        <v/>
      </c>
      <c r="V295" s="54" t="str">
        <f>IF(OR($B295="",$A295&gt;$B$9,V$280=""),"",IF(COUNTIFS(BD!$B$3:$B$5001,V$280,BD!$A$3:$A$5001,"&gt;="&amp;$C$7,BD!$A$3:$A$5001,"&lt;="&amp;$B295,BD!$Z$3:$Z$5001,"&lt;&gt;")=0,"",SUMIFS(BD!$Z$3:$Z$5001,BD!$B$3:$B$5001,V$280,BD!$A$3:$A$5001,_xlfn.MAXIFS(BD!$A$3:$A$5001,BD!$B$3:$B$5001,V$280,BD!$A$3:$A$5001,"&gt;="&amp;$C$7,BD!$A$3:$A$5001,"&lt;="&amp;$B295,BD!$Z$3:$Z$5001,"&lt;&gt;"))))</f>
        <v/>
      </c>
    </row>
    <row r="296">
      <c r="A296" s="48">
        <v>16</v>
      </c>
      <c r="B296" s="53">
        <f>$B$27</f>
        <v>46311</v>
      </c>
      <c r="C296" s="54" t="str">
        <f>IF(OR($B296="",$A296&gt;$B$9,C$280=""),"",IF(COUNTIFS(BD!$B$3:$B$5001,C$280,BD!$A$3:$A$5001,"&gt;="&amp;$C$7,BD!$A$3:$A$5001,"&lt;="&amp;$B296,BD!$Z$3:$Z$5001,"&lt;&gt;")=0,"",SUMIFS(BD!$Z$3:$Z$5001,BD!$B$3:$B$5001,C$280,BD!$A$3:$A$5001,_xlfn.MAXIFS(BD!$A$3:$A$5001,BD!$B$3:$B$5001,C$280,BD!$A$3:$A$5001,"&gt;="&amp;$C$7,BD!$A$3:$A$5001,"&lt;="&amp;$B296,BD!$Z$3:$Z$5001,"&lt;&gt;"))))</f>
        <v/>
      </c>
      <c r="D296" s="54" t="str">
        <f>IF(OR($B296="",$A296&gt;$B$9,D$280=""),"",IF(COUNTIFS(BD!$B$3:$B$5001,D$280,BD!$A$3:$A$5001,"&gt;="&amp;$C$7,BD!$A$3:$A$5001,"&lt;="&amp;$B296,BD!$Z$3:$Z$5001,"&lt;&gt;")=0,"",SUMIFS(BD!$Z$3:$Z$5001,BD!$B$3:$B$5001,D$280,BD!$A$3:$A$5001,_xlfn.MAXIFS(BD!$A$3:$A$5001,BD!$B$3:$B$5001,D$280,BD!$A$3:$A$5001,"&gt;="&amp;$C$7,BD!$A$3:$A$5001,"&lt;="&amp;$B296,BD!$Z$3:$Z$5001,"&lt;&gt;"))))</f>
        <v/>
      </c>
      <c r="E296" s="54" t="str">
        <f>IF(OR($B296="",$A296&gt;$B$9,E$280=""),"",IF(COUNTIFS(BD!$B$3:$B$5001,E$280,BD!$A$3:$A$5001,"&gt;="&amp;$C$7,BD!$A$3:$A$5001,"&lt;="&amp;$B296,BD!$Z$3:$Z$5001,"&lt;&gt;")=0,"",SUMIFS(BD!$Z$3:$Z$5001,BD!$B$3:$B$5001,E$280,BD!$A$3:$A$5001,_xlfn.MAXIFS(BD!$A$3:$A$5001,BD!$B$3:$B$5001,E$280,BD!$A$3:$A$5001,"&gt;="&amp;$C$7,BD!$A$3:$A$5001,"&lt;="&amp;$B296,BD!$Z$3:$Z$5001,"&lt;&gt;"))))</f>
        <v/>
      </c>
      <c r="F296" s="54" t="str">
        <f>IF(OR($B296="",$A296&gt;$B$9,F$280=""),"",IF(COUNTIFS(BD!$B$3:$B$5001,F$280,BD!$A$3:$A$5001,"&gt;="&amp;$C$7,BD!$A$3:$A$5001,"&lt;="&amp;$B296,BD!$Z$3:$Z$5001,"&lt;&gt;")=0,"",SUMIFS(BD!$Z$3:$Z$5001,BD!$B$3:$B$5001,F$280,BD!$A$3:$A$5001,_xlfn.MAXIFS(BD!$A$3:$A$5001,BD!$B$3:$B$5001,F$280,BD!$A$3:$A$5001,"&gt;="&amp;$C$7,BD!$A$3:$A$5001,"&lt;="&amp;$B296,BD!$Z$3:$Z$5001,"&lt;&gt;"))))</f>
        <v/>
      </c>
      <c r="G296" s="54" t="str">
        <f>IF(OR($B296="",$A296&gt;$B$9,G$280=""),"",IF(COUNTIFS(BD!$B$3:$B$5001,G$280,BD!$A$3:$A$5001,"&gt;="&amp;$C$7,BD!$A$3:$A$5001,"&lt;="&amp;$B296,BD!$Z$3:$Z$5001,"&lt;&gt;")=0,"",SUMIFS(BD!$Z$3:$Z$5001,BD!$B$3:$B$5001,G$280,BD!$A$3:$A$5001,_xlfn.MAXIFS(BD!$A$3:$A$5001,BD!$B$3:$B$5001,G$280,BD!$A$3:$A$5001,"&gt;="&amp;$C$7,BD!$A$3:$A$5001,"&lt;="&amp;$B296,BD!$Z$3:$Z$5001,"&lt;&gt;"))))</f>
        <v/>
      </c>
      <c r="H296" s="54" t="str">
        <f>IF(OR($B296="",$A296&gt;$B$9,H$280=""),"",IF(COUNTIFS(BD!$B$3:$B$5001,H$280,BD!$A$3:$A$5001,"&gt;="&amp;$C$7,BD!$A$3:$A$5001,"&lt;="&amp;$B296,BD!$Z$3:$Z$5001,"&lt;&gt;")=0,"",SUMIFS(BD!$Z$3:$Z$5001,BD!$B$3:$B$5001,H$280,BD!$A$3:$A$5001,_xlfn.MAXIFS(BD!$A$3:$A$5001,BD!$B$3:$B$5001,H$280,BD!$A$3:$A$5001,"&gt;="&amp;$C$7,BD!$A$3:$A$5001,"&lt;="&amp;$B296,BD!$Z$3:$Z$5001,"&lt;&gt;"))))</f>
        <v/>
      </c>
      <c r="I296" s="54" t="str">
        <f>IF(OR($B296="",$A296&gt;$B$9,I$280=""),"",IF(COUNTIFS(BD!$B$3:$B$5001,I$280,BD!$A$3:$A$5001,"&gt;="&amp;$C$7,BD!$A$3:$A$5001,"&lt;="&amp;$B296,BD!$Z$3:$Z$5001,"&lt;&gt;")=0,"",SUMIFS(BD!$Z$3:$Z$5001,BD!$B$3:$B$5001,I$280,BD!$A$3:$A$5001,_xlfn.MAXIFS(BD!$A$3:$A$5001,BD!$B$3:$B$5001,I$280,BD!$A$3:$A$5001,"&gt;="&amp;$C$7,BD!$A$3:$A$5001,"&lt;="&amp;$B296,BD!$Z$3:$Z$5001,"&lt;&gt;"))))</f>
        <v/>
      </c>
      <c r="J296" s="54" t="str">
        <f>IF(OR($B296="",$A296&gt;$B$9,J$280=""),"",IF(COUNTIFS(BD!$B$3:$B$5001,J$280,BD!$A$3:$A$5001,"&gt;="&amp;$C$7,BD!$A$3:$A$5001,"&lt;="&amp;$B296,BD!$Z$3:$Z$5001,"&lt;&gt;")=0,"",SUMIFS(BD!$Z$3:$Z$5001,BD!$B$3:$B$5001,J$280,BD!$A$3:$A$5001,_xlfn.MAXIFS(BD!$A$3:$A$5001,BD!$B$3:$B$5001,J$280,BD!$A$3:$A$5001,"&gt;="&amp;$C$7,BD!$A$3:$A$5001,"&lt;="&amp;$B296,BD!$Z$3:$Z$5001,"&lt;&gt;"))))</f>
        <v/>
      </c>
      <c r="K296" s="54" t="str">
        <f>IF(OR($B296="",$A296&gt;$B$9,K$280=""),"",IF(COUNTIFS(BD!$B$3:$B$5001,K$280,BD!$A$3:$A$5001,"&gt;="&amp;$C$7,BD!$A$3:$A$5001,"&lt;="&amp;$B296,BD!$Z$3:$Z$5001,"&lt;&gt;")=0,"",SUMIFS(BD!$Z$3:$Z$5001,BD!$B$3:$B$5001,K$280,BD!$A$3:$A$5001,_xlfn.MAXIFS(BD!$A$3:$A$5001,BD!$B$3:$B$5001,K$280,BD!$A$3:$A$5001,"&gt;="&amp;$C$7,BD!$A$3:$A$5001,"&lt;="&amp;$B296,BD!$Z$3:$Z$5001,"&lt;&gt;"))))</f>
        <v/>
      </c>
      <c r="L296" s="54" t="str">
        <f>IF(OR($B296="",$A296&gt;$B$9,L$280=""),"",IF(COUNTIFS(BD!$B$3:$B$5001,L$280,BD!$A$3:$A$5001,"&gt;="&amp;$C$7,BD!$A$3:$A$5001,"&lt;="&amp;$B296,BD!$Z$3:$Z$5001,"&lt;&gt;")=0,"",SUMIFS(BD!$Z$3:$Z$5001,BD!$B$3:$B$5001,L$280,BD!$A$3:$A$5001,_xlfn.MAXIFS(BD!$A$3:$A$5001,BD!$B$3:$B$5001,L$280,BD!$A$3:$A$5001,"&gt;="&amp;$C$7,BD!$A$3:$A$5001,"&lt;="&amp;$B296,BD!$Z$3:$Z$5001,"&lt;&gt;"))))</f>
        <v/>
      </c>
      <c r="M296" s="54" t="str">
        <f>IF(OR($B296="",$A296&gt;$B$9,M$280=""),"",IF(COUNTIFS(BD!$B$3:$B$5001,M$280,BD!$A$3:$A$5001,"&gt;="&amp;$C$7,BD!$A$3:$A$5001,"&lt;="&amp;$B296,BD!$Z$3:$Z$5001,"&lt;&gt;")=0,"",SUMIFS(BD!$Z$3:$Z$5001,BD!$B$3:$B$5001,M$280,BD!$A$3:$A$5001,_xlfn.MAXIFS(BD!$A$3:$A$5001,BD!$B$3:$B$5001,M$280,BD!$A$3:$A$5001,"&gt;="&amp;$C$7,BD!$A$3:$A$5001,"&lt;="&amp;$B296,BD!$Z$3:$Z$5001,"&lt;&gt;"))))</f>
        <v/>
      </c>
      <c r="N296" s="54" t="str">
        <f>IF(OR($B296="",$A296&gt;$B$9,N$280=""),"",IF(COUNTIFS(BD!$B$3:$B$5001,N$280,BD!$A$3:$A$5001,"&gt;="&amp;$C$7,BD!$A$3:$A$5001,"&lt;="&amp;$B296,BD!$Z$3:$Z$5001,"&lt;&gt;")=0,"",SUMIFS(BD!$Z$3:$Z$5001,BD!$B$3:$B$5001,N$280,BD!$A$3:$A$5001,_xlfn.MAXIFS(BD!$A$3:$A$5001,BD!$B$3:$B$5001,N$280,BD!$A$3:$A$5001,"&gt;="&amp;$C$7,BD!$A$3:$A$5001,"&lt;="&amp;$B296,BD!$Z$3:$Z$5001,"&lt;&gt;"))))</f>
        <v/>
      </c>
      <c r="O296" s="54" t="str">
        <f>IF(OR($B296="",$A296&gt;$B$9,O$280=""),"",IF(COUNTIFS(BD!$B$3:$B$5001,O$280,BD!$A$3:$A$5001,"&gt;="&amp;$C$7,BD!$A$3:$A$5001,"&lt;="&amp;$B296,BD!$Z$3:$Z$5001,"&lt;&gt;")=0,"",SUMIFS(BD!$Z$3:$Z$5001,BD!$B$3:$B$5001,O$280,BD!$A$3:$A$5001,_xlfn.MAXIFS(BD!$A$3:$A$5001,BD!$B$3:$B$5001,O$280,BD!$A$3:$A$5001,"&gt;="&amp;$C$7,BD!$A$3:$A$5001,"&lt;="&amp;$B296,BD!$Z$3:$Z$5001,"&lt;&gt;"))))</f>
        <v/>
      </c>
      <c r="P296" s="54" t="str">
        <f>IF(OR($B296="",$A296&gt;$B$9,P$280=""),"",IF(COUNTIFS(BD!$B$3:$B$5001,P$280,BD!$A$3:$A$5001,"&gt;="&amp;$C$7,BD!$A$3:$A$5001,"&lt;="&amp;$B296,BD!$Z$3:$Z$5001,"&lt;&gt;")=0,"",SUMIFS(BD!$Z$3:$Z$5001,BD!$B$3:$B$5001,P$280,BD!$A$3:$A$5001,_xlfn.MAXIFS(BD!$A$3:$A$5001,BD!$B$3:$B$5001,P$280,BD!$A$3:$A$5001,"&gt;="&amp;$C$7,BD!$A$3:$A$5001,"&lt;="&amp;$B296,BD!$Z$3:$Z$5001,"&lt;&gt;"))))</f>
        <v/>
      </c>
      <c r="Q296" s="54" t="str">
        <f>IF(OR($B296="",$A296&gt;$B$9,Q$280=""),"",IF(COUNTIFS(BD!$B$3:$B$5001,Q$280,BD!$A$3:$A$5001,"&gt;="&amp;$C$7,BD!$A$3:$A$5001,"&lt;="&amp;$B296,BD!$Z$3:$Z$5001,"&lt;&gt;")=0,"",SUMIFS(BD!$Z$3:$Z$5001,BD!$B$3:$B$5001,Q$280,BD!$A$3:$A$5001,_xlfn.MAXIFS(BD!$A$3:$A$5001,BD!$B$3:$B$5001,Q$280,BD!$A$3:$A$5001,"&gt;="&amp;$C$7,BD!$A$3:$A$5001,"&lt;="&amp;$B296,BD!$Z$3:$Z$5001,"&lt;&gt;"))))</f>
        <v/>
      </c>
      <c r="R296" s="54" t="str">
        <f>IF(OR($B296="",$A296&gt;$B$9,R$280=""),"",IF(COUNTIFS(BD!$B$3:$B$5001,R$280,BD!$A$3:$A$5001,"&gt;="&amp;$C$7,BD!$A$3:$A$5001,"&lt;="&amp;$B296,BD!$Z$3:$Z$5001,"&lt;&gt;")=0,"",SUMIFS(BD!$Z$3:$Z$5001,BD!$B$3:$B$5001,R$280,BD!$A$3:$A$5001,_xlfn.MAXIFS(BD!$A$3:$A$5001,BD!$B$3:$B$5001,R$280,BD!$A$3:$A$5001,"&gt;="&amp;$C$7,BD!$A$3:$A$5001,"&lt;="&amp;$B296,BD!$Z$3:$Z$5001,"&lt;&gt;"))))</f>
        <v/>
      </c>
      <c r="S296" s="54" t="str">
        <f>IF(OR($B296="",$A296&gt;$B$9,S$280=""),"",IF(COUNTIFS(BD!$B$3:$B$5001,S$280,BD!$A$3:$A$5001,"&gt;="&amp;$C$7,BD!$A$3:$A$5001,"&lt;="&amp;$B296,BD!$Z$3:$Z$5001,"&lt;&gt;")=0,"",SUMIFS(BD!$Z$3:$Z$5001,BD!$B$3:$B$5001,S$280,BD!$A$3:$A$5001,_xlfn.MAXIFS(BD!$A$3:$A$5001,BD!$B$3:$B$5001,S$280,BD!$A$3:$A$5001,"&gt;="&amp;$C$7,BD!$A$3:$A$5001,"&lt;="&amp;$B296,BD!$Z$3:$Z$5001,"&lt;&gt;"))))</f>
        <v/>
      </c>
      <c r="T296" s="54" t="str">
        <f>IF(OR($B296="",$A296&gt;$B$9,T$280=""),"",IF(COUNTIFS(BD!$B$3:$B$5001,T$280,BD!$A$3:$A$5001,"&gt;="&amp;$C$7,BD!$A$3:$A$5001,"&lt;="&amp;$B296,BD!$Z$3:$Z$5001,"&lt;&gt;")=0,"",SUMIFS(BD!$Z$3:$Z$5001,BD!$B$3:$B$5001,T$280,BD!$A$3:$A$5001,_xlfn.MAXIFS(BD!$A$3:$A$5001,BD!$B$3:$B$5001,T$280,BD!$A$3:$A$5001,"&gt;="&amp;$C$7,BD!$A$3:$A$5001,"&lt;="&amp;$B296,BD!$Z$3:$Z$5001,"&lt;&gt;"))))</f>
        <v/>
      </c>
      <c r="U296" s="54" t="str">
        <f>IF(OR($B296="",$A296&gt;$B$9,U$280=""),"",IF(COUNTIFS(BD!$B$3:$B$5001,U$280,BD!$A$3:$A$5001,"&gt;="&amp;$C$7,BD!$A$3:$A$5001,"&lt;="&amp;$B296,BD!$Z$3:$Z$5001,"&lt;&gt;")=0,"",SUMIFS(BD!$Z$3:$Z$5001,BD!$B$3:$B$5001,U$280,BD!$A$3:$A$5001,_xlfn.MAXIFS(BD!$A$3:$A$5001,BD!$B$3:$B$5001,U$280,BD!$A$3:$A$5001,"&gt;="&amp;$C$7,BD!$A$3:$A$5001,"&lt;="&amp;$B296,BD!$Z$3:$Z$5001,"&lt;&gt;"))))</f>
        <v/>
      </c>
      <c r="V296" s="54" t="str">
        <f>IF(OR($B296="",$A296&gt;$B$9,V$280=""),"",IF(COUNTIFS(BD!$B$3:$B$5001,V$280,BD!$A$3:$A$5001,"&gt;="&amp;$C$7,BD!$A$3:$A$5001,"&lt;="&amp;$B296,BD!$Z$3:$Z$5001,"&lt;&gt;")=0,"",SUMIFS(BD!$Z$3:$Z$5001,BD!$B$3:$B$5001,V$280,BD!$A$3:$A$5001,_xlfn.MAXIFS(BD!$A$3:$A$5001,BD!$B$3:$B$5001,V$280,BD!$A$3:$A$5001,"&gt;="&amp;$C$7,BD!$A$3:$A$5001,"&lt;="&amp;$B296,BD!$Z$3:$Z$5001,"&lt;&gt;"))))</f>
        <v/>
      </c>
    </row>
    <row r="297">
      <c r="A297" s="48">
        <v>17</v>
      </c>
      <c r="B297" s="53">
        <f>$B$28</f>
        <v>46312</v>
      </c>
      <c r="C297" s="54" t="str">
        <f>IF(OR($B297="",$A297&gt;$B$9,C$280=""),"",IF(COUNTIFS(BD!$B$3:$B$5001,C$280,BD!$A$3:$A$5001,"&gt;="&amp;$C$7,BD!$A$3:$A$5001,"&lt;="&amp;$B297,BD!$Z$3:$Z$5001,"&lt;&gt;")=0,"",SUMIFS(BD!$Z$3:$Z$5001,BD!$B$3:$B$5001,C$280,BD!$A$3:$A$5001,_xlfn.MAXIFS(BD!$A$3:$A$5001,BD!$B$3:$B$5001,C$280,BD!$A$3:$A$5001,"&gt;="&amp;$C$7,BD!$A$3:$A$5001,"&lt;="&amp;$B297,BD!$Z$3:$Z$5001,"&lt;&gt;"))))</f>
        <v/>
      </c>
      <c r="D297" s="54" t="str">
        <f>IF(OR($B297="",$A297&gt;$B$9,D$280=""),"",IF(COUNTIFS(BD!$B$3:$B$5001,D$280,BD!$A$3:$A$5001,"&gt;="&amp;$C$7,BD!$A$3:$A$5001,"&lt;="&amp;$B297,BD!$Z$3:$Z$5001,"&lt;&gt;")=0,"",SUMIFS(BD!$Z$3:$Z$5001,BD!$B$3:$B$5001,D$280,BD!$A$3:$A$5001,_xlfn.MAXIFS(BD!$A$3:$A$5001,BD!$B$3:$B$5001,D$280,BD!$A$3:$A$5001,"&gt;="&amp;$C$7,BD!$A$3:$A$5001,"&lt;="&amp;$B297,BD!$Z$3:$Z$5001,"&lt;&gt;"))))</f>
        <v/>
      </c>
      <c r="E297" s="54" t="str">
        <f>IF(OR($B297="",$A297&gt;$B$9,E$280=""),"",IF(COUNTIFS(BD!$B$3:$B$5001,E$280,BD!$A$3:$A$5001,"&gt;="&amp;$C$7,BD!$A$3:$A$5001,"&lt;="&amp;$B297,BD!$Z$3:$Z$5001,"&lt;&gt;")=0,"",SUMIFS(BD!$Z$3:$Z$5001,BD!$B$3:$B$5001,E$280,BD!$A$3:$A$5001,_xlfn.MAXIFS(BD!$A$3:$A$5001,BD!$B$3:$B$5001,E$280,BD!$A$3:$A$5001,"&gt;="&amp;$C$7,BD!$A$3:$A$5001,"&lt;="&amp;$B297,BD!$Z$3:$Z$5001,"&lt;&gt;"))))</f>
        <v/>
      </c>
      <c r="F297" s="54" t="str">
        <f>IF(OR($B297="",$A297&gt;$B$9,F$280=""),"",IF(COUNTIFS(BD!$B$3:$B$5001,F$280,BD!$A$3:$A$5001,"&gt;="&amp;$C$7,BD!$A$3:$A$5001,"&lt;="&amp;$B297,BD!$Z$3:$Z$5001,"&lt;&gt;")=0,"",SUMIFS(BD!$Z$3:$Z$5001,BD!$B$3:$B$5001,F$280,BD!$A$3:$A$5001,_xlfn.MAXIFS(BD!$A$3:$A$5001,BD!$B$3:$B$5001,F$280,BD!$A$3:$A$5001,"&gt;="&amp;$C$7,BD!$A$3:$A$5001,"&lt;="&amp;$B297,BD!$Z$3:$Z$5001,"&lt;&gt;"))))</f>
        <v/>
      </c>
      <c r="G297" s="54" t="str">
        <f>IF(OR($B297="",$A297&gt;$B$9,G$280=""),"",IF(COUNTIFS(BD!$B$3:$B$5001,G$280,BD!$A$3:$A$5001,"&gt;="&amp;$C$7,BD!$A$3:$A$5001,"&lt;="&amp;$B297,BD!$Z$3:$Z$5001,"&lt;&gt;")=0,"",SUMIFS(BD!$Z$3:$Z$5001,BD!$B$3:$B$5001,G$280,BD!$A$3:$A$5001,_xlfn.MAXIFS(BD!$A$3:$A$5001,BD!$B$3:$B$5001,G$280,BD!$A$3:$A$5001,"&gt;="&amp;$C$7,BD!$A$3:$A$5001,"&lt;="&amp;$B297,BD!$Z$3:$Z$5001,"&lt;&gt;"))))</f>
        <v/>
      </c>
      <c r="H297" s="54" t="str">
        <f>IF(OR($B297="",$A297&gt;$B$9,H$280=""),"",IF(COUNTIFS(BD!$B$3:$B$5001,H$280,BD!$A$3:$A$5001,"&gt;="&amp;$C$7,BD!$A$3:$A$5001,"&lt;="&amp;$B297,BD!$Z$3:$Z$5001,"&lt;&gt;")=0,"",SUMIFS(BD!$Z$3:$Z$5001,BD!$B$3:$B$5001,H$280,BD!$A$3:$A$5001,_xlfn.MAXIFS(BD!$A$3:$A$5001,BD!$B$3:$B$5001,H$280,BD!$A$3:$A$5001,"&gt;="&amp;$C$7,BD!$A$3:$A$5001,"&lt;="&amp;$B297,BD!$Z$3:$Z$5001,"&lt;&gt;"))))</f>
        <v/>
      </c>
      <c r="I297" s="54" t="str">
        <f>IF(OR($B297="",$A297&gt;$B$9,I$280=""),"",IF(COUNTIFS(BD!$B$3:$B$5001,I$280,BD!$A$3:$A$5001,"&gt;="&amp;$C$7,BD!$A$3:$A$5001,"&lt;="&amp;$B297,BD!$Z$3:$Z$5001,"&lt;&gt;")=0,"",SUMIFS(BD!$Z$3:$Z$5001,BD!$B$3:$B$5001,I$280,BD!$A$3:$A$5001,_xlfn.MAXIFS(BD!$A$3:$A$5001,BD!$B$3:$B$5001,I$280,BD!$A$3:$A$5001,"&gt;="&amp;$C$7,BD!$A$3:$A$5001,"&lt;="&amp;$B297,BD!$Z$3:$Z$5001,"&lt;&gt;"))))</f>
        <v/>
      </c>
      <c r="J297" s="54" t="str">
        <f>IF(OR($B297="",$A297&gt;$B$9,J$280=""),"",IF(COUNTIFS(BD!$B$3:$B$5001,J$280,BD!$A$3:$A$5001,"&gt;="&amp;$C$7,BD!$A$3:$A$5001,"&lt;="&amp;$B297,BD!$Z$3:$Z$5001,"&lt;&gt;")=0,"",SUMIFS(BD!$Z$3:$Z$5001,BD!$B$3:$B$5001,J$280,BD!$A$3:$A$5001,_xlfn.MAXIFS(BD!$A$3:$A$5001,BD!$B$3:$B$5001,J$280,BD!$A$3:$A$5001,"&gt;="&amp;$C$7,BD!$A$3:$A$5001,"&lt;="&amp;$B297,BD!$Z$3:$Z$5001,"&lt;&gt;"))))</f>
        <v/>
      </c>
      <c r="K297" s="54" t="str">
        <f>IF(OR($B297="",$A297&gt;$B$9,K$280=""),"",IF(COUNTIFS(BD!$B$3:$B$5001,K$280,BD!$A$3:$A$5001,"&gt;="&amp;$C$7,BD!$A$3:$A$5001,"&lt;="&amp;$B297,BD!$Z$3:$Z$5001,"&lt;&gt;")=0,"",SUMIFS(BD!$Z$3:$Z$5001,BD!$B$3:$B$5001,K$280,BD!$A$3:$A$5001,_xlfn.MAXIFS(BD!$A$3:$A$5001,BD!$B$3:$B$5001,K$280,BD!$A$3:$A$5001,"&gt;="&amp;$C$7,BD!$A$3:$A$5001,"&lt;="&amp;$B297,BD!$Z$3:$Z$5001,"&lt;&gt;"))))</f>
        <v/>
      </c>
      <c r="L297" s="54" t="str">
        <f>IF(OR($B297="",$A297&gt;$B$9,L$280=""),"",IF(COUNTIFS(BD!$B$3:$B$5001,L$280,BD!$A$3:$A$5001,"&gt;="&amp;$C$7,BD!$A$3:$A$5001,"&lt;="&amp;$B297,BD!$Z$3:$Z$5001,"&lt;&gt;")=0,"",SUMIFS(BD!$Z$3:$Z$5001,BD!$B$3:$B$5001,L$280,BD!$A$3:$A$5001,_xlfn.MAXIFS(BD!$A$3:$A$5001,BD!$B$3:$B$5001,L$280,BD!$A$3:$A$5001,"&gt;="&amp;$C$7,BD!$A$3:$A$5001,"&lt;="&amp;$B297,BD!$Z$3:$Z$5001,"&lt;&gt;"))))</f>
        <v/>
      </c>
      <c r="M297" s="54" t="str">
        <f>IF(OR($B297="",$A297&gt;$B$9,M$280=""),"",IF(COUNTIFS(BD!$B$3:$B$5001,M$280,BD!$A$3:$A$5001,"&gt;="&amp;$C$7,BD!$A$3:$A$5001,"&lt;="&amp;$B297,BD!$Z$3:$Z$5001,"&lt;&gt;")=0,"",SUMIFS(BD!$Z$3:$Z$5001,BD!$B$3:$B$5001,M$280,BD!$A$3:$A$5001,_xlfn.MAXIFS(BD!$A$3:$A$5001,BD!$B$3:$B$5001,M$280,BD!$A$3:$A$5001,"&gt;="&amp;$C$7,BD!$A$3:$A$5001,"&lt;="&amp;$B297,BD!$Z$3:$Z$5001,"&lt;&gt;"))))</f>
        <v/>
      </c>
      <c r="N297" s="54" t="str">
        <f>IF(OR($B297="",$A297&gt;$B$9,N$280=""),"",IF(COUNTIFS(BD!$B$3:$B$5001,N$280,BD!$A$3:$A$5001,"&gt;="&amp;$C$7,BD!$A$3:$A$5001,"&lt;="&amp;$B297,BD!$Z$3:$Z$5001,"&lt;&gt;")=0,"",SUMIFS(BD!$Z$3:$Z$5001,BD!$B$3:$B$5001,N$280,BD!$A$3:$A$5001,_xlfn.MAXIFS(BD!$A$3:$A$5001,BD!$B$3:$B$5001,N$280,BD!$A$3:$A$5001,"&gt;="&amp;$C$7,BD!$A$3:$A$5001,"&lt;="&amp;$B297,BD!$Z$3:$Z$5001,"&lt;&gt;"))))</f>
        <v/>
      </c>
      <c r="O297" s="54" t="str">
        <f>IF(OR($B297="",$A297&gt;$B$9,O$280=""),"",IF(COUNTIFS(BD!$B$3:$B$5001,O$280,BD!$A$3:$A$5001,"&gt;="&amp;$C$7,BD!$A$3:$A$5001,"&lt;="&amp;$B297,BD!$Z$3:$Z$5001,"&lt;&gt;")=0,"",SUMIFS(BD!$Z$3:$Z$5001,BD!$B$3:$B$5001,O$280,BD!$A$3:$A$5001,_xlfn.MAXIFS(BD!$A$3:$A$5001,BD!$B$3:$B$5001,O$280,BD!$A$3:$A$5001,"&gt;="&amp;$C$7,BD!$A$3:$A$5001,"&lt;="&amp;$B297,BD!$Z$3:$Z$5001,"&lt;&gt;"))))</f>
        <v/>
      </c>
      <c r="P297" s="54" t="str">
        <f>IF(OR($B297="",$A297&gt;$B$9,P$280=""),"",IF(COUNTIFS(BD!$B$3:$B$5001,P$280,BD!$A$3:$A$5001,"&gt;="&amp;$C$7,BD!$A$3:$A$5001,"&lt;="&amp;$B297,BD!$Z$3:$Z$5001,"&lt;&gt;")=0,"",SUMIFS(BD!$Z$3:$Z$5001,BD!$B$3:$B$5001,P$280,BD!$A$3:$A$5001,_xlfn.MAXIFS(BD!$A$3:$A$5001,BD!$B$3:$B$5001,P$280,BD!$A$3:$A$5001,"&gt;="&amp;$C$7,BD!$A$3:$A$5001,"&lt;="&amp;$B297,BD!$Z$3:$Z$5001,"&lt;&gt;"))))</f>
        <v/>
      </c>
      <c r="Q297" s="54" t="str">
        <f>IF(OR($B297="",$A297&gt;$B$9,Q$280=""),"",IF(COUNTIFS(BD!$B$3:$B$5001,Q$280,BD!$A$3:$A$5001,"&gt;="&amp;$C$7,BD!$A$3:$A$5001,"&lt;="&amp;$B297,BD!$Z$3:$Z$5001,"&lt;&gt;")=0,"",SUMIFS(BD!$Z$3:$Z$5001,BD!$B$3:$B$5001,Q$280,BD!$A$3:$A$5001,_xlfn.MAXIFS(BD!$A$3:$A$5001,BD!$B$3:$B$5001,Q$280,BD!$A$3:$A$5001,"&gt;="&amp;$C$7,BD!$A$3:$A$5001,"&lt;="&amp;$B297,BD!$Z$3:$Z$5001,"&lt;&gt;"))))</f>
        <v/>
      </c>
      <c r="R297" s="54" t="str">
        <f>IF(OR($B297="",$A297&gt;$B$9,R$280=""),"",IF(COUNTIFS(BD!$B$3:$B$5001,R$280,BD!$A$3:$A$5001,"&gt;="&amp;$C$7,BD!$A$3:$A$5001,"&lt;="&amp;$B297,BD!$Z$3:$Z$5001,"&lt;&gt;")=0,"",SUMIFS(BD!$Z$3:$Z$5001,BD!$B$3:$B$5001,R$280,BD!$A$3:$A$5001,_xlfn.MAXIFS(BD!$A$3:$A$5001,BD!$B$3:$B$5001,R$280,BD!$A$3:$A$5001,"&gt;="&amp;$C$7,BD!$A$3:$A$5001,"&lt;="&amp;$B297,BD!$Z$3:$Z$5001,"&lt;&gt;"))))</f>
        <v/>
      </c>
      <c r="S297" s="54" t="str">
        <f>IF(OR($B297="",$A297&gt;$B$9,S$280=""),"",IF(COUNTIFS(BD!$B$3:$B$5001,S$280,BD!$A$3:$A$5001,"&gt;="&amp;$C$7,BD!$A$3:$A$5001,"&lt;="&amp;$B297,BD!$Z$3:$Z$5001,"&lt;&gt;")=0,"",SUMIFS(BD!$Z$3:$Z$5001,BD!$B$3:$B$5001,S$280,BD!$A$3:$A$5001,_xlfn.MAXIFS(BD!$A$3:$A$5001,BD!$B$3:$B$5001,S$280,BD!$A$3:$A$5001,"&gt;="&amp;$C$7,BD!$A$3:$A$5001,"&lt;="&amp;$B297,BD!$Z$3:$Z$5001,"&lt;&gt;"))))</f>
        <v/>
      </c>
      <c r="T297" s="54" t="str">
        <f>IF(OR($B297="",$A297&gt;$B$9,T$280=""),"",IF(COUNTIFS(BD!$B$3:$B$5001,T$280,BD!$A$3:$A$5001,"&gt;="&amp;$C$7,BD!$A$3:$A$5001,"&lt;="&amp;$B297,BD!$Z$3:$Z$5001,"&lt;&gt;")=0,"",SUMIFS(BD!$Z$3:$Z$5001,BD!$B$3:$B$5001,T$280,BD!$A$3:$A$5001,_xlfn.MAXIFS(BD!$A$3:$A$5001,BD!$B$3:$B$5001,T$280,BD!$A$3:$A$5001,"&gt;="&amp;$C$7,BD!$A$3:$A$5001,"&lt;="&amp;$B297,BD!$Z$3:$Z$5001,"&lt;&gt;"))))</f>
        <v/>
      </c>
      <c r="U297" s="54" t="str">
        <f>IF(OR($B297="",$A297&gt;$B$9,U$280=""),"",IF(COUNTIFS(BD!$B$3:$B$5001,U$280,BD!$A$3:$A$5001,"&gt;="&amp;$C$7,BD!$A$3:$A$5001,"&lt;="&amp;$B297,BD!$Z$3:$Z$5001,"&lt;&gt;")=0,"",SUMIFS(BD!$Z$3:$Z$5001,BD!$B$3:$B$5001,U$280,BD!$A$3:$A$5001,_xlfn.MAXIFS(BD!$A$3:$A$5001,BD!$B$3:$B$5001,U$280,BD!$A$3:$A$5001,"&gt;="&amp;$C$7,BD!$A$3:$A$5001,"&lt;="&amp;$B297,BD!$Z$3:$Z$5001,"&lt;&gt;"))))</f>
        <v/>
      </c>
      <c r="V297" s="54" t="str">
        <f>IF(OR($B297="",$A297&gt;$B$9,V$280=""),"",IF(COUNTIFS(BD!$B$3:$B$5001,V$280,BD!$A$3:$A$5001,"&gt;="&amp;$C$7,BD!$A$3:$A$5001,"&lt;="&amp;$B297,BD!$Z$3:$Z$5001,"&lt;&gt;")=0,"",SUMIFS(BD!$Z$3:$Z$5001,BD!$B$3:$B$5001,V$280,BD!$A$3:$A$5001,_xlfn.MAXIFS(BD!$A$3:$A$5001,BD!$B$3:$B$5001,V$280,BD!$A$3:$A$5001,"&gt;="&amp;$C$7,BD!$A$3:$A$5001,"&lt;="&amp;$B297,BD!$Z$3:$Z$5001,"&lt;&gt;"))))</f>
        <v/>
      </c>
    </row>
    <row r="298">
      <c r="A298" s="48">
        <v>18</v>
      </c>
      <c r="B298" s="53">
        <f>$B$29</f>
        <v>46313</v>
      </c>
      <c r="C298" s="54" t="str">
        <f>IF(OR($B298="",$A298&gt;$B$9,C$280=""),"",IF(COUNTIFS(BD!$B$3:$B$5001,C$280,BD!$A$3:$A$5001,"&gt;="&amp;$C$7,BD!$A$3:$A$5001,"&lt;="&amp;$B298,BD!$Z$3:$Z$5001,"&lt;&gt;")=0,"",SUMIFS(BD!$Z$3:$Z$5001,BD!$B$3:$B$5001,C$280,BD!$A$3:$A$5001,_xlfn.MAXIFS(BD!$A$3:$A$5001,BD!$B$3:$B$5001,C$280,BD!$A$3:$A$5001,"&gt;="&amp;$C$7,BD!$A$3:$A$5001,"&lt;="&amp;$B298,BD!$Z$3:$Z$5001,"&lt;&gt;"))))</f>
        <v/>
      </c>
      <c r="D298" s="54" t="str">
        <f>IF(OR($B298="",$A298&gt;$B$9,D$280=""),"",IF(COUNTIFS(BD!$B$3:$B$5001,D$280,BD!$A$3:$A$5001,"&gt;="&amp;$C$7,BD!$A$3:$A$5001,"&lt;="&amp;$B298,BD!$Z$3:$Z$5001,"&lt;&gt;")=0,"",SUMIFS(BD!$Z$3:$Z$5001,BD!$B$3:$B$5001,D$280,BD!$A$3:$A$5001,_xlfn.MAXIFS(BD!$A$3:$A$5001,BD!$B$3:$B$5001,D$280,BD!$A$3:$A$5001,"&gt;="&amp;$C$7,BD!$A$3:$A$5001,"&lt;="&amp;$B298,BD!$Z$3:$Z$5001,"&lt;&gt;"))))</f>
        <v/>
      </c>
      <c r="E298" s="54" t="str">
        <f>IF(OR($B298="",$A298&gt;$B$9,E$280=""),"",IF(COUNTIFS(BD!$B$3:$B$5001,E$280,BD!$A$3:$A$5001,"&gt;="&amp;$C$7,BD!$A$3:$A$5001,"&lt;="&amp;$B298,BD!$Z$3:$Z$5001,"&lt;&gt;")=0,"",SUMIFS(BD!$Z$3:$Z$5001,BD!$B$3:$B$5001,E$280,BD!$A$3:$A$5001,_xlfn.MAXIFS(BD!$A$3:$A$5001,BD!$B$3:$B$5001,E$280,BD!$A$3:$A$5001,"&gt;="&amp;$C$7,BD!$A$3:$A$5001,"&lt;="&amp;$B298,BD!$Z$3:$Z$5001,"&lt;&gt;"))))</f>
        <v/>
      </c>
      <c r="F298" s="54" t="str">
        <f>IF(OR($B298="",$A298&gt;$B$9,F$280=""),"",IF(COUNTIFS(BD!$B$3:$B$5001,F$280,BD!$A$3:$A$5001,"&gt;="&amp;$C$7,BD!$A$3:$A$5001,"&lt;="&amp;$B298,BD!$Z$3:$Z$5001,"&lt;&gt;")=0,"",SUMIFS(BD!$Z$3:$Z$5001,BD!$B$3:$B$5001,F$280,BD!$A$3:$A$5001,_xlfn.MAXIFS(BD!$A$3:$A$5001,BD!$B$3:$B$5001,F$280,BD!$A$3:$A$5001,"&gt;="&amp;$C$7,BD!$A$3:$A$5001,"&lt;="&amp;$B298,BD!$Z$3:$Z$5001,"&lt;&gt;"))))</f>
        <v/>
      </c>
      <c r="G298" s="54" t="str">
        <f>IF(OR($B298="",$A298&gt;$B$9,G$280=""),"",IF(COUNTIFS(BD!$B$3:$B$5001,G$280,BD!$A$3:$A$5001,"&gt;="&amp;$C$7,BD!$A$3:$A$5001,"&lt;="&amp;$B298,BD!$Z$3:$Z$5001,"&lt;&gt;")=0,"",SUMIFS(BD!$Z$3:$Z$5001,BD!$B$3:$B$5001,G$280,BD!$A$3:$A$5001,_xlfn.MAXIFS(BD!$A$3:$A$5001,BD!$B$3:$B$5001,G$280,BD!$A$3:$A$5001,"&gt;="&amp;$C$7,BD!$A$3:$A$5001,"&lt;="&amp;$B298,BD!$Z$3:$Z$5001,"&lt;&gt;"))))</f>
        <v/>
      </c>
      <c r="H298" s="54" t="str">
        <f>IF(OR($B298="",$A298&gt;$B$9,H$280=""),"",IF(COUNTIFS(BD!$B$3:$B$5001,H$280,BD!$A$3:$A$5001,"&gt;="&amp;$C$7,BD!$A$3:$A$5001,"&lt;="&amp;$B298,BD!$Z$3:$Z$5001,"&lt;&gt;")=0,"",SUMIFS(BD!$Z$3:$Z$5001,BD!$B$3:$B$5001,H$280,BD!$A$3:$A$5001,_xlfn.MAXIFS(BD!$A$3:$A$5001,BD!$B$3:$B$5001,H$280,BD!$A$3:$A$5001,"&gt;="&amp;$C$7,BD!$A$3:$A$5001,"&lt;="&amp;$B298,BD!$Z$3:$Z$5001,"&lt;&gt;"))))</f>
        <v/>
      </c>
      <c r="I298" s="54" t="str">
        <f>IF(OR($B298="",$A298&gt;$B$9,I$280=""),"",IF(COUNTIFS(BD!$B$3:$B$5001,I$280,BD!$A$3:$A$5001,"&gt;="&amp;$C$7,BD!$A$3:$A$5001,"&lt;="&amp;$B298,BD!$Z$3:$Z$5001,"&lt;&gt;")=0,"",SUMIFS(BD!$Z$3:$Z$5001,BD!$B$3:$B$5001,I$280,BD!$A$3:$A$5001,_xlfn.MAXIFS(BD!$A$3:$A$5001,BD!$B$3:$B$5001,I$280,BD!$A$3:$A$5001,"&gt;="&amp;$C$7,BD!$A$3:$A$5001,"&lt;="&amp;$B298,BD!$Z$3:$Z$5001,"&lt;&gt;"))))</f>
        <v/>
      </c>
      <c r="J298" s="54" t="str">
        <f>IF(OR($B298="",$A298&gt;$B$9,J$280=""),"",IF(COUNTIFS(BD!$B$3:$B$5001,J$280,BD!$A$3:$A$5001,"&gt;="&amp;$C$7,BD!$A$3:$A$5001,"&lt;="&amp;$B298,BD!$Z$3:$Z$5001,"&lt;&gt;")=0,"",SUMIFS(BD!$Z$3:$Z$5001,BD!$B$3:$B$5001,J$280,BD!$A$3:$A$5001,_xlfn.MAXIFS(BD!$A$3:$A$5001,BD!$B$3:$B$5001,J$280,BD!$A$3:$A$5001,"&gt;="&amp;$C$7,BD!$A$3:$A$5001,"&lt;="&amp;$B298,BD!$Z$3:$Z$5001,"&lt;&gt;"))))</f>
        <v/>
      </c>
      <c r="K298" s="54" t="str">
        <f>IF(OR($B298="",$A298&gt;$B$9,K$280=""),"",IF(COUNTIFS(BD!$B$3:$B$5001,K$280,BD!$A$3:$A$5001,"&gt;="&amp;$C$7,BD!$A$3:$A$5001,"&lt;="&amp;$B298,BD!$Z$3:$Z$5001,"&lt;&gt;")=0,"",SUMIFS(BD!$Z$3:$Z$5001,BD!$B$3:$B$5001,K$280,BD!$A$3:$A$5001,_xlfn.MAXIFS(BD!$A$3:$A$5001,BD!$B$3:$B$5001,K$280,BD!$A$3:$A$5001,"&gt;="&amp;$C$7,BD!$A$3:$A$5001,"&lt;="&amp;$B298,BD!$Z$3:$Z$5001,"&lt;&gt;"))))</f>
        <v/>
      </c>
      <c r="L298" s="54" t="str">
        <f>IF(OR($B298="",$A298&gt;$B$9,L$280=""),"",IF(COUNTIFS(BD!$B$3:$B$5001,L$280,BD!$A$3:$A$5001,"&gt;="&amp;$C$7,BD!$A$3:$A$5001,"&lt;="&amp;$B298,BD!$Z$3:$Z$5001,"&lt;&gt;")=0,"",SUMIFS(BD!$Z$3:$Z$5001,BD!$B$3:$B$5001,L$280,BD!$A$3:$A$5001,_xlfn.MAXIFS(BD!$A$3:$A$5001,BD!$B$3:$B$5001,L$280,BD!$A$3:$A$5001,"&gt;="&amp;$C$7,BD!$A$3:$A$5001,"&lt;="&amp;$B298,BD!$Z$3:$Z$5001,"&lt;&gt;"))))</f>
        <v/>
      </c>
      <c r="M298" s="54" t="str">
        <f>IF(OR($B298="",$A298&gt;$B$9,M$280=""),"",IF(COUNTIFS(BD!$B$3:$B$5001,M$280,BD!$A$3:$A$5001,"&gt;="&amp;$C$7,BD!$A$3:$A$5001,"&lt;="&amp;$B298,BD!$Z$3:$Z$5001,"&lt;&gt;")=0,"",SUMIFS(BD!$Z$3:$Z$5001,BD!$B$3:$B$5001,M$280,BD!$A$3:$A$5001,_xlfn.MAXIFS(BD!$A$3:$A$5001,BD!$B$3:$B$5001,M$280,BD!$A$3:$A$5001,"&gt;="&amp;$C$7,BD!$A$3:$A$5001,"&lt;="&amp;$B298,BD!$Z$3:$Z$5001,"&lt;&gt;"))))</f>
        <v/>
      </c>
      <c r="N298" s="54" t="str">
        <f>IF(OR($B298="",$A298&gt;$B$9,N$280=""),"",IF(COUNTIFS(BD!$B$3:$B$5001,N$280,BD!$A$3:$A$5001,"&gt;="&amp;$C$7,BD!$A$3:$A$5001,"&lt;="&amp;$B298,BD!$Z$3:$Z$5001,"&lt;&gt;")=0,"",SUMIFS(BD!$Z$3:$Z$5001,BD!$B$3:$B$5001,N$280,BD!$A$3:$A$5001,_xlfn.MAXIFS(BD!$A$3:$A$5001,BD!$B$3:$B$5001,N$280,BD!$A$3:$A$5001,"&gt;="&amp;$C$7,BD!$A$3:$A$5001,"&lt;="&amp;$B298,BD!$Z$3:$Z$5001,"&lt;&gt;"))))</f>
        <v/>
      </c>
      <c r="O298" s="54" t="str">
        <f>IF(OR($B298="",$A298&gt;$B$9,O$280=""),"",IF(COUNTIFS(BD!$B$3:$B$5001,O$280,BD!$A$3:$A$5001,"&gt;="&amp;$C$7,BD!$A$3:$A$5001,"&lt;="&amp;$B298,BD!$Z$3:$Z$5001,"&lt;&gt;")=0,"",SUMIFS(BD!$Z$3:$Z$5001,BD!$B$3:$B$5001,O$280,BD!$A$3:$A$5001,_xlfn.MAXIFS(BD!$A$3:$A$5001,BD!$B$3:$B$5001,O$280,BD!$A$3:$A$5001,"&gt;="&amp;$C$7,BD!$A$3:$A$5001,"&lt;="&amp;$B298,BD!$Z$3:$Z$5001,"&lt;&gt;"))))</f>
        <v/>
      </c>
      <c r="P298" s="54" t="str">
        <f>IF(OR($B298="",$A298&gt;$B$9,P$280=""),"",IF(COUNTIFS(BD!$B$3:$B$5001,P$280,BD!$A$3:$A$5001,"&gt;="&amp;$C$7,BD!$A$3:$A$5001,"&lt;="&amp;$B298,BD!$Z$3:$Z$5001,"&lt;&gt;")=0,"",SUMIFS(BD!$Z$3:$Z$5001,BD!$B$3:$B$5001,P$280,BD!$A$3:$A$5001,_xlfn.MAXIFS(BD!$A$3:$A$5001,BD!$B$3:$B$5001,P$280,BD!$A$3:$A$5001,"&gt;="&amp;$C$7,BD!$A$3:$A$5001,"&lt;="&amp;$B298,BD!$Z$3:$Z$5001,"&lt;&gt;"))))</f>
        <v/>
      </c>
      <c r="Q298" s="54" t="str">
        <f>IF(OR($B298="",$A298&gt;$B$9,Q$280=""),"",IF(COUNTIFS(BD!$B$3:$B$5001,Q$280,BD!$A$3:$A$5001,"&gt;="&amp;$C$7,BD!$A$3:$A$5001,"&lt;="&amp;$B298,BD!$Z$3:$Z$5001,"&lt;&gt;")=0,"",SUMIFS(BD!$Z$3:$Z$5001,BD!$B$3:$B$5001,Q$280,BD!$A$3:$A$5001,_xlfn.MAXIFS(BD!$A$3:$A$5001,BD!$B$3:$B$5001,Q$280,BD!$A$3:$A$5001,"&gt;="&amp;$C$7,BD!$A$3:$A$5001,"&lt;="&amp;$B298,BD!$Z$3:$Z$5001,"&lt;&gt;"))))</f>
        <v/>
      </c>
      <c r="R298" s="54" t="str">
        <f>IF(OR($B298="",$A298&gt;$B$9,R$280=""),"",IF(COUNTIFS(BD!$B$3:$B$5001,R$280,BD!$A$3:$A$5001,"&gt;="&amp;$C$7,BD!$A$3:$A$5001,"&lt;="&amp;$B298,BD!$Z$3:$Z$5001,"&lt;&gt;")=0,"",SUMIFS(BD!$Z$3:$Z$5001,BD!$B$3:$B$5001,R$280,BD!$A$3:$A$5001,_xlfn.MAXIFS(BD!$A$3:$A$5001,BD!$B$3:$B$5001,R$280,BD!$A$3:$A$5001,"&gt;="&amp;$C$7,BD!$A$3:$A$5001,"&lt;="&amp;$B298,BD!$Z$3:$Z$5001,"&lt;&gt;"))))</f>
        <v/>
      </c>
      <c r="S298" s="54" t="str">
        <f>IF(OR($B298="",$A298&gt;$B$9,S$280=""),"",IF(COUNTIFS(BD!$B$3:$B$5001,S$280,BD!$A$3:$A$5001,"&gt;="&amp;$C$7,BD!$A$3:$A$5001,"&lt;="&amp;$B298,BD!$Z$3:$Z$5001,"&lt;&gt;")=0,"",SUMIFS(BD!$Z$3:$Z$5001,BD!$B$3:$B$5001,S$280,BD!$A$3:$A$5001,_xlfn.MAXIFS(BD!$A$3:$A$5001,BD!$B$3:$B$5001,S$280,BD!$A$3:$A$5001,"&gt;="&amp;$C$7,BD!$A$3:$A$5001,"&lt;="&amp;$B298,BD!$Z$3:$Z$5001,"&lt;&gt;"))))</f>
        <v/>
      </c>
      <c r="T298" s="54" t="str">
        <f>IF(OR($B298="",$A298&gt;$B$9,T$280=""),"",IF(COUNTIFS(BD!$B$3:$B$5001,T$280,BD!$A$3:$A$5001,"&gt;="&amp;$C$7,BD!$A$3:$A$5001,"&lt;="&amp;$B298,BD!$Z$3:$Z$5001,"&lt;&gt;")=0,"",SUMIFS(BD!$Z$3:$Z$5001,BD!$B$3:$B$5001,T$280,BD!$A$3:$A$5001,_xlfn.MAXIFS(BD!$A$3:$A$5001,BD!$B$3:$B$5001,T$280,BD!$A$3:$A$5001,"&gt;="&amp;$C$7,BD!$A$3:$A$5001,"&lt;="&amp;$B298,BD!$Z$3:$Z$5001,"&lt;&gt;"))))</f>
        <v/>
      </c>
      <c r="U298" s="54" t="str">
        <f>IF(OR($B298="",$A298&gt;$B$9,U$280=""),"",IF(COUNTIFS(BD!$B$3:$B$5001,U$280,BD!$A$3:$A$5001,"&gt;="&amp;$C$7,BD!$A$3:$A$5001,"&lt;="&amp;$B298,BD!$Z$3:$Z$5001,"&lt;&gt;")=0,"",SUMIFS(BD!$Z$3:$Z$5001,BD!$B$3:$B$5001,U$280,BD!$A$3:$A$5001,_xlfn.MAXIFS(BD!$A$3:$A$5001,BD!$B$3:$B$5001,U$280,BD!$A$3:$A$5001,"&gt;="&amp;$C$7,BD!$A$3:$A$5001,"&lt;="&amp;$B298,BD!$Z$3:$Z$5001,"&lt;&gt;"))))</f>
        <v/>
      </c>
      <c r="V298" s="54" t="str">
        <f>IF(OR($B298="",$A298&gt;$B$9,V$280=""),"",IF(COUNTIFS(BD!$B$3:$B$5001,V$280,BD!$A$3:$A$5001,"&gt;="&amp;$C$7,BD!$A$3:$A$5001,"&lt;="&amp;$B298,BD!$Z$3:$Z$5001,"&lt;&gt;")=0,"",SUMIFS(BD!$Z$3:$Z$5001,BD!$B$3:$B$5001,V$280,BD!$A$3:$A$5001,_xlfn.MAXIFS(BD!$A$3:$A$5001,BD!$B$3:$B$5001,V$280,BD!$A$3:$A$5001,"&gt;="&amp;$C$7,BD!$A$3:$A$5001,"&lt;="&amp;$B298,BD!$Z$3:$Z$5001,"&lt;&gt;"))))</f>
        <v/>
      </c>
    </row>
    <row r="299">
      <c r="A299" s="48">
        <v>19</v>
      </c>
      <c r="B299" s="53">
        <f>$B$30</f>
        <v>46314</v>
      </c>
      <c r="C299" s="54" t="str">
        <f>IF(OR($B299="",$A299&gt;$B$9,C$280=""),"",IF(COUNTIFS(BD!$B$3:$B$5001,C$280,BD!$A$3:$A$5001,"&gt;="&amp;$C$7,BD!$A$3:$A$5001,"&lt;="&amp;$B299,BD!$Z$3:$Z$5001,"&lt;&gt;")=0,"",SUMIFS(BD!$Z$3:$Z$5001,BD!$B$3:$B$5001,C$280,BD!$A$3:$A$5001,_xlfn.MAXIFS(BD!$A$3:$A$5001,BD!$B$3:$B$5001,C$280,BD!$A$3:$A$5001,"&gt;="&amp;$C$7,BD!$A$3:$A$5001,"&lt;="&amp;$B299,BD!$Z$3:$Z$5001,"&lt;&gt;"))))</f>
        <v/>
      </c>
      <c r="D299" s="54" t="str">
        <f>IF(OR($B299="",$A299&gt;$B$9,D$280=""),"",IF(COUNTIFS(BD!$B$3:$B$5001,D$280,BD!$A$3:$A$5001,"&gt;="&amp;$C$7,BD!$A$3:$A$5001,"&lt;="&amp;$B299,BD!$Z$3:$Z$5001,"&lt;&gt;")=0,"",SUMIFS(BD!$Z$3:$Z$5001,BD!$B$3:$B$5001,D$280,BD!$A$3:$A$5001,_xlfn.MAXIFS(BD!$A$3:$A$5001,BD!$B$3:$B$5001,D$280,BD!$A$3:$A$5001,"&gt;="&amp;$C$7,BD!$A$3:$A$5001,"&lt;="&amp;$B299,BD!$Z$3:$Z$5001,"&lt;&gt;"))))</f>
        <v/>
      </c>
      <c r="E299" s="54" t="str">
        <f>IF(OR($B299="",$A299&gt;$B$9,E$280=""),"",IF(COUNTIFS(BD!$B$3:$B$5001,E$280,BD!$A$3:$A$5001,"&gt;="&amp;$C$7,BD!$A$3:$A$5001,"&lt;="&amp;$B299,BD!$Z$3:$Z$5001,"&lt;&gt;")=0,"",SUMIFS(BD!$Z$3:$Z$5001,BD!$B$3:$B$5001,E$280,BD!$A$3:$A$5001,_xlfn.MAXIFS(BD!$A$3:$A$5001,BD!$B$3:$B$5001,E$280,BD!$A$3:$A$5001,"&gt;="&amp;$C$7,BD!$A$3:$A$5001,"&lt;="&amp;$B299,BD!$Z$3:$Z$5001,"&lt;&gt;"))))</f>
        <v/>
      </c>
      <c r="F299" s="54" t="str">
        <f>IF(OR($B299="",$A299&gt;$B$9,F$280=""),"",IF(COUNTIFS(BD!$B$3:$B$5001,F$280,BD!$A$3:$A$5001,"&gt;="&amp;$C$7,BD!$A$3:$A$5001,"&lt;="&amp;$B299,BD!$Z$3:$Z$5001,"&lt;&gt;")=0,"",SUMIFS(BD!$Z$3:$Z$5001,BD!$B$3:$B$5001,F$280,BD!$A$3:$A$5001,_xlfn.MAXIFS(BD!$A$3:$A$5001,BD!$B$3:$B$5001,F$280,BD!$A$3:$A$5001,"&gt;="&amp;$C$7,BD!$A$3:$A$5001,"&lt;="&amp;$B299,BD!$Z$3:$Z$5001,"&lt;&gt;"))))</f>
        <v/>
      </c>
      <c r="G299" s="54" t="str">
        <f>IF(OR($B299="",$A299&gt;$B$9,G$280=""),"",IF(COUNTIFS(BD!$B$3:$B$5001,G$280,BD!$A$3:$A$5001,"&gt;="&amp;$C$7,BD!$A$3:$A$5001,"&lt;="&amp;$B299,BD!$Z$3:$Z$5001,"&lt;&gt;")=0,"",SUMIFS(BD!$Z$3:$Z$5001,BD!$B$3:$B$5001,G$280,BD!$A$3:$A$5001,_xlfn.MAXIFS(BD!$A$3:$A$5001,BD!$B$3:$B$5001,G$280,BD!$A$3:$A$5001,"&gt;="&amp;$C$7,BD!$A$3:$A$5001,"&lt;="&amp;$B299,BD!$Z$3:$Z$5001,"&lt;&gt;"))))</f>
        <v/>
      </c>
      <c r="H299" s="54" t="str">
        <f>IF(OR($B299="",$A299&gt;$B$9,H$280=""),"",IF(COUNTIFS(BD!$B$3:$B$5001,H$280,BD!$A$3:$A$5001,"&gt;="&amp;$C$7,BD!$A$3:$A$5001,"&lt;="&amp;$B299,BD!$Z$3:$Z$5001,"&lt;&gt;")=0,"",SUMIFS(BD!$Z$3:$Z$5001,BD!$B$3:$B$5001,H$280,BD!$A$3:$A$5001,_xlfn.MAXIFS(BD!$A$3:$A$5001,BD!$B$3:$B$5001,H$280,BD!$A$3:$A$5001,"&gt;="&amp;$C$7,BD!$A$3:$A$5001,"&lt;="&amp;$B299,BD!$Z$3:$Z$5001,"&lt;&gt;"))))</f>
        <v/>
      </c>
      <c r="I299" s="54" t="str">
        <f>IF(OR($B299="",$A299&gt;$B$9,I$280=""),"",IF(COUNTIFS(BD!$B$3:$B$5001,I$280,BD!$A$3:$A$5001,"&gt;="&amp;$C$7,BD!$A$3:$A$5001,"&lt;="&amp;$B299,BD!$Z$3:$Z$5001,"&lt;&gt;")=0,"",SUMIFS(BD!$Z$3:$Z$5001,BD!$B$3:$B$5001,I$280,BD!$A$3:$A$5001,_xlfn.MAXIFS(BD!$A$3:$A$5001,BD!$B$3:$B$5001,I$280,BD!$A$3:$A$5001,"&gt;="&amp;$C$7,BD!$A$3:$A$5001,"&lt;="&amp;$B299,BD!$Z$3:$Z$5001,"&lt;&gt;"))))</f>
        <v/>
      </c>
      <c r="J299" s="54" t="str">
        <f>IF(OR($B299="",$A299&gt;$B$9,J$280=""),"",IF(COUNTIFS(BD!$B$3:$B$5001,J$280,BD!$A$3:$A$5001,"&gt;="&amp;$C$7,BD!$A$3:$A$5001,"&lt;="&amp;$B299,BD!$Z$3:$Z$5001,"&lt;&gt;")=0,"",SUMIFS(BD!$Z$3:$Z$5001,BD!$B$3:$B$5001,J$280,BD!$A$3:$A$5001,_xlfn.MAXIFS(BD!$A$3:$A$5001,BD!$B$3:$B$5001,J$280,BD!$A$3:$A$5001,"&gt;="&amp;$C$7,BD!$A$3:$A$5001,"&lt;="&amp;$B299,BD!$Z$3:$Z$5001,"&lt;&gt;"))))</f>
        <v/>
      </c>
      <c r="K299" s="54" t="str">
        <f>IF(OR($B299="",$A299&gt;$B$9,K$280=""),"",IF(COUNTIFS(BD!$B$3:$B$5001,K$280,BD!$A$3:$A$5001,"&gt;="&amp;$C$7,BD!$A$3:$A$5001,"&lt;="&amp;$B299,BD!$Z$3:$Z$5001,"&lt;&gt;")=0,"",SUMIFS(BD!$Z$3:$Z$5001,BD!$B$3:$B$5001,K$280,BD!$A$3:$A$5001,_xlfn.MAXIFS(BD!$A$3:$A$5001,BD!$B$3:$B$5001,K$280,BD!$A$3:$A$5001,"&gt;="&amp;$C$7,BD!$A$3:$A$5001,"&lt;="&amp;$B299,BD!$Z$3:$Z$5001,"&lt;&gt;"))))</f>
        <v/>
      </c>
      <c r="L299" s="54" t="str">
        <f>IF(OR($B299="",$A299&gt;$B$9,L$280=""),"",IF(COUNTIFS(BD!$B$3:$B$5001,L$280,BD!$A$3:$A$5001,"&gt;="&amp;$C$7,BD!$A$3:$A$5001,"&lt;="&amp;$B299,BD!$Z$3:$Z$5001,"&lt;&gt;")=0,"",SUMIFS(BD!$Z$3:$Z$5001,BD!$B$3:$B$5001,L$280,BD!$A$3:$A$5001,_xlfn.MAXIFS(BD!$A$3:$A$5001,BD!$B$3:$B$5001,L$280,BD!$A$3:$A$5001,"&gt;="&amp;$C$7,BD!$A$3:$A$5001,"&lt;="&amp;$B299,BD!$Z$3:$Z$5001,"&lt;&gt;"))))</f>
        <v/>
      </c>
      <c r="M299" s="54" t="str">
        <f>IF(OR($B299="",$A299&gt;$B$9,M$280=""),"",IF(COUNTIFS(BD!$B$3:$B$5001,M$280,BD!$A$3:$A$5001,"&gt;="&amp;$C$7,BD!$A$3:$A$5001,"&lt;="&amp;$B299,BD!$Z$3:$Z$5001,"&lt;&gt;")=0,"",SUMIFS(BD!$Z$3:$Z$5001,BD!$B$3:$B$5001,M$280,BD!$A$3:$A$5001,_xlfn.MAXIFS(BD!$A$3:$A$5001,BD!$B$3:$B$5001,M$280,BD!$A$3:$A$5001,"&gt;="&amp;$C$7,BD!$A$3:$A$5001,"&lt;="&amp;$B299,BD!$Z$3:$Z$5001,"&lt;&gt;"))))</f>
        <v/>
      </c>
      <c r="N299" s="54" t="str">
        <f>IF(OR($B299="",$A299&gt;$B$9,N$280=""),"",IF(COUNTIFS(BD!$B$3:$B$5001,N$280,BD!$A$3:$A$5001,"&gt;="&amp;$C$7,BD!$A$3:$A$5001,"&lt;="&amp;$B299,BD!$Z$3:$Z$5001,"&lt;&gt;")=0,"",SUMIFS(BD!$Z$3:$Z$5001,BD!$B$3:$B$5001,N$280,BD!$A$3:$A$5001,_xlfn.MAXIFS(BD!$A$3:$A$5001,BD!$B$3:$B$5001,N$280,BD!$A$3:$A$5001,"&gt;="&amp;$C$7,BD!$A$3:$A$5001,"&lt;="&amp;$B299,BD!$Z$3:$Z$5001,"&lt;&gt;"))))</f>
        <v/>
      </c>
      <c r="O299" s="54" t="str">
        <f>IF(OR($B299="",$A299&gt;$B$9,O$280=""),"",IF(COUNTIFS(BD!$B$3:$B$5001,O$280,BD!$A$3:$A$5001,"&gt;="&amp;$C$7,BD!$A$3:$A$5001,"&lt;="&amp;$B299,BD!$Z$3:$Z$5001,"&lt;&gt;")=0,"",SUMIFS(BD!$Z$3:$Z$5001,BD!$B$3:$B$5001,O$280,BD!$A$3:$A$5001,_xlfn.MAXIFS(BD!$A$3:$A$5001,BD!$B$3:$B$5001,O$280,BD!$A$3:$A$5001,"&gt;="&amp;$C$7,BD!$A$3:$A$5001,"&lt;="&amp;$B299,BD!$Z$3:$Z$5001,"&lt;&gt;"))))</f>
        <v/>
      </c>
      <c r="P299" s="54" t="str">
        <f>IF(OR($B299="",$A299&gt;$B$9,P$280=""),"",IF(COUNTIFS(BD!$B$3:$B$5001,P$280,BD!$A$3:$A$5001,"&gt;="&amp;$C$7,BD!$A$3:$A$5001,"&lt;="&amp;$B299,BD!$Z$3:$Z$5001,"&lt;&gt;")=0,"",SUMIFS(BD!$Z$3:$Z$5001,BD!$B$3:$B$5001,P$280,BD!$A$3:$A$5001,_xlfn.MAXIFS(BD!$A$3:$A$5001,BD!$B$3:$B$5001,P$280,BD!$A$3:$A$5001,"&gt;="&amp;$C$7,BD!$A$3:$A$5001,"&lt;="&amp;$B299,BD!$Z$3:$Z$5001,"&lt;&gt;"))))</f>
        <v/>
      </c>
      <c r="Q299" s="54" t="str">
        <f>IF(OR($B299="",$A299&gt;$B$9,Q$280=""),"",IF(COUNTIFS(BD!$B$3:$B$5001,Q$280,BD!$A$3:$A$5001,"&gt;="&amp;$C$7,BD!$A$3:$A$5001,"&lt;="&amp;$B299,BD!$Z$3:$Z$5001,"&lt;&gt;")=0,"",SUMIFS(BD!$Z$3:$Z$5001,BD!$B$3:$B$5001,Q$280,BD!$A$3:$A$5001,_xlfn.MAXIFS(BD!$A$3:$A$5001,BD!$B$3:$B$5001,Q$280,BD!$A$3:$A$5001,"&gt;="&amp;$C$7,BD!$A$3:$A$5001,"&lt;="&amp;$B299,BD!$Z$3:$Z$5001,"&lt;&gt;"))))</f>
        <v/>
      </c>
      <c r="R299" s="54" t="str">
        <f>IF(OR($B299="",$A299&gt;$B$9,R$280=""),"",IF(COUNTIFS(BD!$B$3:$B$5001,R$280,BD!$A$3:$A$5001,"&gt;="&amp;$C$7,BD!$A$3:$A$5001,"&lt;="&amp;$B299,BD!$Z$3:$Z$5001,"&lt;&gt;")=0,"",SUMIFS(BD!$Z$3:$Z$5001,BD!$B$3:$B$5001,R$280,BD!$A$3:$A$5001,_xlfn.MAXIFS(BD!$A$3:$A$5001,BD!$B$3:$B$5001,R$280,BD!$A$3:$A$5001,"&gt;="&amp;$C$7,BD!$A$3:$A$5001,"&lt;="&amp;$B299,BD!$Z$3:$Z$5001,"&lt;&gt;"))))</f>
        <v/>
      </c>
      <c r="S299" s="54" t="str">
        <f>IF(OR($B299="",$A299&gt;$B$9,S$280=""),"",IF(COUNTIFS(BD!$B$3:$B$5001,S$280,BD!$A$3:$A$5001,"&gt;="&amp;$C$7,BD!$A$3:$A$5001,"&lt;="&amp;$B299,BD!$Z$3:$Z$5001,"&lt;&gt;")=0,"",SUMIFS(BD!$Z$3:$Z$5001,BD!$B$3:$B$5001,S$280,BD!$A$3:$A$5001,_xlfn.MAXIFS(BD!$A$3:$A$5001,BD!$B$3:$B$5001,S$280,BD!$A$3:$A$5001,"&gt;="&amp;$C$7,BD!$A$3:$A$5001,"&lt;="&amp;$B299,BD!$Z$3:$Z$5001,"&lt;&gt;"))))</f>
        <v/>
      </c>
      <c r="T299" s="54" t="str">
        <f>IF(OR($B299="",$A299&gt;$B$9,T$280=""),"",IF(COUNTIFS(BD!$B$3:$B$5001,T$280,BD!$A$3:$A$5001,"&gt;="&amp;$C$7,BD!$A$3:$A$5001,"&lt;="&amp;$B299,BD!$Z$3:$Z$5001,"&lt;&gt;")=0,"",SUMIFS(BD!$Z$3:$Z$5001,BD!$B$3:$B$5001,T$280,BD!$A$3:$A$5001,_xlfn.MAXIFS(BD!$A$3:$A$5001,BD!$B$3:$B$5001,T$280,BD!$A$3:$A$5001,"&gt;="&amp;$C$7,BD!$A$3:$A$5001,"&lt;="&amp;$B299,BD!$Z$3:$Z$5001,"&lt;&gt;"))))</f>
        <v/>
      </c>
      <c r="U299" s="54" t="str">
        <f>IF(OR($B299="",$A299&gt;$B$9,U$280=""),"",IF(COUNTIFS(BD!$B$3:$B$5001,U$280,BD!$A$3:$A$5001,"&gt;="&amp;$C$7,BD!$A$3:$A$5001,"&lt;="&amp;$B299,BD!$Z$3:$Z$5001,"&lt;&gt;")=0,"",SUMIFS(BD!$Z$3:$Z$5001,BD!$B$3:$B$5001,U$280,BD!$A$3:$A$5001,_xlfn.MAXIFS(BD!$A$3:$A$5001,BD!$B$3:$B$5001,U$280,BD!$A$3:$A$5001,"&gt;="&amp;$C$7,BD!$A$3:$A$5001,"&lt;="&amp;$B299,BD!$Z$3:$Z$5001,"&lt;&gt;"))))</f>
        <v/>
      </c>
      <c r="V299" s="54" t="str">
        <f>IF(OR($B299="",$A299&gt;$B$9,V$280=""),"",IF(COUNTIFS(BD!$B$3:$B$5001,V$280,BD!$A$3:$A$5001,"&gt;="&amp;$C$7,BD!$A$3:$A$5001,"&lt;="&amp;$B299,BD!$Z$3:$Z$5001,"&lt;&gt;")=0,"",SUMIFS(BD!$Z$3:$Z$5001,BD!$B$3:$B$5001,V$280,BD!$A$3:$A$5001,_xlfn.MAXIFS(BD!$A$3:$A$5001,BD!$B$3:$B$5001,V$280,BD!$A$3:$A$5001,"&gt;="&amp;$C$7,BD!$A$3:$A$5001,"&lt;="&amp;$B299,BD!$Z$3:$Z$5001,"&lt;&gt;"))))</f>
        <v/>
      </c>
    </row>
    <row r="300">
      <c r="A300" s="48">
        <v>20</v>
      </c>
      <c r="B300" s="53">
        <f>$B$31</f>
        <v>46315</v>
      </c>
      <c r="C300" s="54" t="str">
        <f>IF(OR($B300="",$A300&gt;$B$9,C$280=""),"",IF(COUNTIFS(BD!$B$3:$B$5001,C$280,BD!$A$3:$A$5001,"&gt;="&amp;$C$7,BD!$A$3:$A$5001,"&lt;="&amp;$B300,BD!$Z$3:$Z$5001,"&lt;&gt;")=0,"",SUMIFS(BD!$Z$3:$Z$5001,BD!$B$3:$B$5001,C$280,BD!$A$3:$A$5001,_xlfn.MAXIFS(BD!$A$3:$A$5001,BD!$B$3:$B$5001,C$280,BD!$A$3:$A$5001,"&gt;="&amp;$C$7,BD!$A$3:$A$5001,"&lt;="&amp;$B300,BD!$Z$3:$Z$5001,"&lt;&gt;"))))</f>
        <v/>
      </c>
      <c r="D300" s="54" t="str">
        <f>IF(OR($B300="",$A300&gt;$B$9,D$280=""),"",IF(COUNTIFS(BD!$B$3:$B$5001,D$280,BD!$A$3:$A$5001,"&gt;="&amp;$C$7,BD!$A$3:$A$5001,"&lt;="&amp;$B300,BD!$Z$3:$Z$5001,"&lt;&gt;")=0,"",SUMIFS(BD!$Z$3:$Z$5001,BD!$B$3:$B$5001,D$280,BD!$A$3:$A$5001,_xlfn.MAXIFS(BD!$A$3:$A$5001,BD!$B$3:$B$5001,D$280,BD!$A$3:$A$5001,"&gt;="&amp;$C$7,BD!$A$3:$A$5001,"&lt;="&amp;$B300,BD!$Z$3:$Z$5001,"&lt;&gt;"))))</f>
        <v/>
      </c>
      <c r="E300" s="54" t="str">
        <f>IF(OR($B300="",$A300&gt;$B$9,E$280=""),"",IF(COUNTIFS(BD!$B$3:$B$5001,E$280,BD!$A$3:$A$5001,"&gt;="&amp;$C$7,BD!$A$3:$A$5001,"&lt;="&amp;$B300,BD!$Z$3:$Z$5001,"&lt;&gt;")=0,"",SUMIFS(BD!$Z$3:$Z$5001,BD!$B$3:$B$5001,E$280,BD!$A$3:$A$5001,_xlfn.MAXIFS(BD!$A$3:$A$5001,BD!$B$3:$B$5001,E$280,BD!$A$3:$A$5001,"&gt;="&amp;$C$7,BD!$A$3:$A$5001,"&lt;="&amp;$B300,BD!$Z$3:$Z$5001,"&lt;&gt;"))))</f>
        <v/>
      </c>
      <c r="F300" s="54" t="str">
        <f>IF(OR($B300="",$A300&gt;$B$9,F$280=""),"",IF(COUNTIFS(BD!$B$3:$B$5001,F$280,BD!$A$3:$A$5001,"&gt;="&amp;$C$7,BD!$A$3:$A$5001,"&lt;="&amp;$B300,BD!$Z$3:$Z$5001,"&lt;&gt;")=0,"",SUMIFS(BD!$Z$3:$Z$5001,BD!$B$3:$B$5001,F$280,BD!$A$3:$A$5001,_xlfn.MAXIFS(BD!$A$3:$A$5001,BD!$B$3:$B$5001,F$280,BD!$A$3:$A$5001,"&gt;="&amp;$C$7,BD!$A$3:$A$5001,"&lt;="&amp;$B300,BD!$Z$3:$Z$5001,"&lt;&gt;"))))</f>
        <v/>
      </c>
      <c r="G300" s="54" t="str">
        <f>IF(OR($B300="",$A300&gt;$B$9,G$280=""),"",IF(COUNTIFS(BD!$B$3:$B$5001,G$280,BD!$A$3:$A$5001,"&gt;="&amp;$C$7,BD!$A$3:$A$5001,"&lt;="&amp;$B300,BD!$Z$3:$Z$5001,"&lt;&gt;")=0,"",SUMIFS(BD!$Z$3:$Z$5001,BD!$B$3:$B$5001,G$280,BD!$A$3:$A$5001,_xlfn.MAXIFS(BD!$A$3:$A$5001,BD!$B$3:$B$5001,G$280,BD!$A$3:$A$5001,"&gt;="&amp;$C$7,BD!$A$3:$A$5001,"&lt;="&amp;$B300,BD!$Z$3:$Z$5001,"&lt;&gt;"))))</f>
        <v/>
      </c>
      <c r="H300" s="54" t="str">
        <f>IF(OR($B300="",$A300&gt;$B$9,H$280=""),"",IF(COUNTIFS(BD!$B$3:$B$5001,H$280,BD!$A$3:$A$5001,"&gt;="&amp;$C$7,BD!$A$3:$A$5001,"&lt;="&amp;$B300,BD!$Z$3:$Z$5001,"&lt;&gt;")=0,"",SUMIFS(BD!$Z$3:$Z$5001,BD!$B$3:$B$5001,H$280,BD!$A$3:$A$5001,_xlfn.MAXIFS(BD!$A$3:$A$5001,BD!$B$3:$B$5001,H$280,BD!$A$3:$A$5001,"&gt;="&amp;$C$7,BD!$A$3:$A$5001,"&lt;="&amp;$B300,BD!$Z$3:$Z$5001,"&lt;&gt;"))))</f>
        <v/>
      </c>
      <c r="I300" s="54" t="str">
        <f>IF(OR($B300="",$A300&gt;$B$9,I$280=""),"",IF(COUNTIFS(BD!$B$3:$B$5001,I$280,BD!$A$3:$A$5001,"&gt;="&amp;$C$7,BD!$A$3:$A$5001,"&lt;="&amp;$B300,BD!$Z$3:$Z$5001,"&lt;&gt;")=0,"",SUMIFS(BD!$Z$3:$Z$5001,BD!$B$3:$B$5001,I$280,BD!$A$3:$A$5001,_xlfn.MAXIFS(BD!$A$3:$A$5001,BD!$B$3:$B$5001,I$280,BD!$A$3:$A$5001,"&gt;="&amp;$C$7,BD!$A$3:$A$5001,"&lt;="&amp;$B300,BD!$Z$3:$Z$5001,"&lt;&gt;"))))</f>
        <v/>
      </c>
      <c r="J300" s="54" t="str">
        <f>IF(OR($B300="",$A300&gt;$B$9,J$280=""),"",IF(COUNTIFS(BD!$B$3:$B$5001,J$280,BD!$A$3:$A$5001,"&gt;="&amp;$C$7,BD!$A$3:$A$5001,"&lt;="&amp;$B300,BD!$Z$3:$Z$5001,"&lt;&gt;")=0,"",SUMIFS(BD!$Z$3:$Z$5001,BD!$B$3:$B$5001,J$280,BD!$A$3:$A$5001,_xlfn.MAXIFS(BD!$A$3:$A$5001,BD!$B$3:$B$5001,J$280,BD!$A$3:$A$5001,"&gt;="&amp;$C$7,BD!$A$3:$A$5001,"&lt;="&amp;$B300,BD!$Z$3:$Z$5001,"&lt;&gt;"))))</f>
        <v/>
      </c>
      <c r="K300" s="54" t="str">
        <f>IF(OR($B300="",$A300&gt;$B$9,K$280=""),"",IF(COUNTIFS(BD!$B$3:$B$5001,K$280,BD!$A$3:$A$5001,"&gt;="&amp;$C$7,BD!$A$3:$A$5001,"&lt;="&amp;$B300,BD!$Z$3:$Z$5001,"&lt;&gt;")=0,"",SUMIFS(BD!$Z$3:$Z$5001,BD!$B$3:$B$5001,K$280,BD!$A$3:$A$5001,_xlfn.MAXIFS(BD!$A$3:$A$5001,BD!$B$3:$B$5001,K$280,BD!$A$3:$A$5001,"&gt;="&amp;$C$7,BD!$A$3:$A$5001,"&lt;="&amp;$B300,BD!$Z$3:$Z$5001,"&lt;&gt;"))))</f>
        <v/>
      </c>
      <c r="L300" s="54" t="str">
        <f>IF(OR($B300="",$A300&gt;$B$9,L$280=""),"",IF(COUNTIFS(BD!$B$3:$B$5001,L$280,BD!$A$3:$A$5001,"&gt;="&amp;$C$7,BD!$A$3:$A$5001,"&lt;="&amp;$B300,BD!$Z$3:$Z$5001,"&lt;&gt;")=0,"",SUMIFS(BD!$Z$3:$Z$5001,BD!$B$3:$B$5001,L$280,BD!$A$3:$A$5001,_xlfn.MAXIFS(BD!$A$3:$A$5001,BD!$B$3:$B$5001,L$280,BD!$A$3:$A$5001,"&gt;="&amp;$C$7,BD!$A$3:$A$5001,"&lt;="&amp;$B300,BD!$Z$3:$Z$5001,"&lt;&gt;"))))</f>
        <v/>
      </c>
      <c r="M300" s="54" t="str">
        <f>IF(OR($B300="",$A300&gt;$B$9,M$280=""),"",IF(COUNTIFS(BD!$B$3:$B$5001,M$280,BD!$A$3:$A$5001,"&gt;="&amp;$C$7,BD!$A$3:$A$5001,"&lt;="&amp;$B300,BD!$Z$3:$Z$5001,"&lt;&gt;")=0,"",SUMIFS(BD!$Z$3:$Z$5001,BD!$B$3:$B$5001,M$280,BD!$A$3:$A$5001,_xlfn.MAXIFS(BD!$A$3:$A$5001,BD!$B$3:$B$5001,M$280,BD!$A$3:$A$5001,"&gt;="&amp;$C$7,BD!$A$3:$A$5001,"&lt;="&amp;$B300,BD!$Z$3:$Z$5001,"&lt;&gt;"))))</f>
        <v/>
      </c>
      <c r="N300" s="54" t="str">
        <f>IF(OR($B300="",$A300&gt;$B$9,N$280=""),"",IF(COUNTIFS(BD!$B$3:$B$5001,N$280,BD!$A$3:$A$5001,"&gt;="&amp;$C$7,BD!$A$3:$A$5001,"&lt;="&amp;$B300,BD!$Z$3:$Z$5001,"&lt;&gt;")=0,"",SUMIFS(BD!$Z$3:$Z$5001,BD!$B$3:$B$5001,N$280,BD!$A$3:$A$5001,_xlfn.MAXIFS(BD!$A$3:$A$5001,BD!$B$3:$B$5001,N$280,BD!$A$3:$A$5001,"&gt;="&amp;$C$7,BD!$A$3:$A$5001,"&lt;="&amp;$B300,BD!$Z$3:$Z$5001,"&lt;&gt;"))))</f>
        <v/>
      </c>
      <c r="O300" s="54" t="str">
        <f>IF(OR($B300="",$A300&gt;$B$9,O$280=""),"",IF(COUNTIFS(BD!$B$3:$B$5001,O$280,BD!$A$3:$A$5001,"&gt;="&amp;$C$7,BD!$A$3:$A$5001,"&lt;="&amp;$B300,BD!$Z$3:$Z$5001,"&lt;&gt;")=0,"",SUMIFS(BD!$Z$3:$Z$5001,BD!$B$3:$B$5001,O$280,BD!$A$3:$A$5001,_xlfn.MAXIFS(BD!$A$3:$A$5001,BD!$B$3:$B$5001,O$280,BD!$A$3:$A$5001,"&gt;="&amp;$C$7,BD!$A$3:$A$5001,"&lt;="&amp;$B300,BD!$Z$3:$Z$5001,"&lt;&gt;"))))</f>
        <v/>
      </c>
      <c r="P300" s="54" t="str">
        <f>IF(OR($B300="",$A300&gt;$B$9,P$280=""),"",IF(COUNTIFS(BD!$B$3:$B$5001,P$280,BD!$A$3:$A$5001,"&gt;="&amp;$C$7,BD!$A$3:$A$5001,"&lt;="&amp;$B300,BD!$Z$3:$Z$5001,"&lt;&gt;")=0,"",SUMIFS(BD!$Z$3:$Z$5001,BD!$B$3:$B$5001,P$280,BD!$A$3:$A$5001,_xlfn.MAXIFS(BD!$A$3:$A$5001,BD!$B$3:$B$5001,P$280,BD!$A$3:$A$5001,"&gt;="&amp;$C$7,BD!$A$3:$A$5001,"&lt;="&amp;$B300,BD!$Z$3:$Z$5001,"&lt;&gt;"))))</f>
        <v/>
      </c>
      <c r="Q300" s="54" t="str">
        <f>IF(OR($B300="",$A300&gt;$B$9,Q$280=""),"",IF(COUNTIFS(BD!$B$3:$B$5001,Q$280,BD!$A$3:$A$5001,"&gt;="&amp;$C$7,BD!$A$3:$A$5001,"&lt;="&amp;$B300,BD!$Z$3:$Z$5001,"&lt;&gt;")=0,"",SUMIFS(BD!$Z$3:$Z$5001,BD!$B$3:$B$5001,Q$280,BD!$A$3:$A$5001,_xlfn.MAXIFS(BD!$A$3:$A$5001,BD!$B$3:$B$5001,Q$280,BD!$A$3:$A$5001,"&gt;="&amp;$C$7,BD!$A$3:$A$5001,"&lt;="&amp;$B300,BD!$Z$3:$Z$5001,"&lt;&gt;"))))</f>
        <v/>
      </c>
      <c r="R300" s="54" t="str">
        <f>IF(OR($B300="",$A300&gt;$B$9,R$280=""),"",IF(COUNTIFS(BD!$B$3:$B$5001,R$280,BD!$A$3:$A$5001,"&gt;="&amp;$C$7,BD!$A$3:$A$5001,"&lt;="&amp;$B300,BD!$Z$3:$Z$5001,"&lt;&gt;")=0,"",SUMIFS(BD!$Z$3:$Z$5001,BD!$B$3:$B$5001,R$280,BD!$A$3:$A$5001,_xlfn.MAXIFS(BD!$A$3:$A$5001,BD!$B$3:$B$5001,R$280,BD!$A$3:$A$5001,"&gt;="&amp;$C$7,BD!$A$3:$A$5001,"&lt;="&amp;$B300,BD!$Z$3:$Z$5001,"&lt;&gt;"))))</f>
        <v/>
      </c>
      <c r="S300" s="54" t="str">
        <f>IF(OR($B300="",$A300&gt;$B$9,S$280=""),"",IF(COUNTIFS(BD!$B$3:$B$5001,S$280,BD!$A$3:$A$5001,"&gt;="&amp;$C$7,BD!$A$3:$A$5001,"&lt;="&amp;$B300,BD!$Z$3:$Z$5001,"&lt;&gt;")=0,"",SUMIFS(BD!$Z$3:$Z$5001,BD!$B$3:$B$5001,S$280,BD!$A$3:$A$5001,_xlfn.MAXIFS(BD!$A$3:$A$5001,BD!$B$3:$B$5001,S$280,BD!$A$3:$A$5001,"&gt;="&amp;$C$7,BD!$A$3:$A$5001,"&lt;="&amp;$B300,BD!$Z$3:$Z$5001,"&lt;&gt;"))))</f>
        <v/>
      </c>
      <c r="T300" s="54" t="str">
        <f>IF(OR($B300="",$A300&gt;$B$9,T$280=""),"",IF(COUNTIFS(BD!$B$3:$B$5001,T$280,BD!$A$3:$A$5001,"&gt;="&amp;$C$7,BD!$A$3:$A$5001,"&lt;="&amp;$B300,BD!$Z$3:$Z$5001,"&lt;&gt;")=0,"",SUMIFS(BD!$Z$3:$Z$5001,BD!$B$3:$B$5001,T$280,BD!$A$3:$A$5001,_xlfn.MAXIFS(BD!$A$3:$A$5001,BD!$B$3:$B$5001,T$280,BD!$A$3:$A$5001,"&gt;="&amp;$C$7,BD!$A$3:$A$5001,"&lt;="&amp;$B300,BD!$Z$3:$Z$5001,"&lt;&gt;"))))</f>
        <v/>
      </c>
      <c r="U300" s="54" t="str">
        <f>IF(OR($B300="",$A300&gt;$B$9,U$280=""),"",IF(COUNTIFS(BD!$B$3:$B$5001,U$280,BD!$A$3:$A$5001,"&gt;="&amp;$C$7,BD!$A$3:$A$5001,"&lt;="&amp;$B300,BD!$Z$3:$Z$5001,"&lt;&gt;")=0,"",SUMIFS(BD!$Z$3:$Z$5001,BD!$B$3:$B$5001,U$280,BD!$A$3:$A$5001,_xlfn.MAXIFS(BD!$A$3:$A$5001,BD!$B$3:$B$5001,U$280,BD!$A$3:$A$5001,"&gt;="&amp;$C$7,BD!$A$3:$A$5001,"&lt;="&amp;$B300,BD!$Z$3:$Z$5001,"&lt;&gt;"))))</f>
        <v/>
      </c>
      <c r="V300" s="54" t="str">
        <f>IF(OR($B300="",$A300&gt;$B$9,V$280=""),"",IF(COUNTIFS(BD!$B$3:$B$5001,V$280,BD!$A$3:$A$5001,"&gt;="&amp;$C$7,BD!$A$3:$A$5001,"&lt;="&amp;$B300,BD!$Z$3:$Z$5001,"&lt;&gt;")=0,"",SUMIFS(BD!$Z$3:$Z$5001,BD!$B$3:$B$5001,V$280,BD!$A$3:$A$5001,_xlfn.MAXIFS(BD!$A$3:$A$5001,BD!$B$3:$B$5001,V$280,BD!$A$3:$A$5001,"&gt;="&amp;$C$7,BD!$A$3:$A$5001,"&lt;="&amp;$B300,BD!$Z$3:$Z$5001,"&lt;&gt;"))))</f>
        <v/>
      </c>
    </row>
    <row r="301">
      <c r="A301" s="48">
        <v>21</v>
      </c>
      <c r="B301" s="53">
        <f>$B$32</f>
        <v>46316</v>
      </c>
      <c r="C301" s="54" t="str">
        <f>IF(OR($B301="",$A301&gt;$B$9,C$280=""),"",IF(COUNTIFS(BD!$B$3:$B$5001,C$280,BD!$A$3:$A$5001,"&gt;="&amp;$C$7,BD!$A$3:$A$5001,"&lt;="&amp;$B301,BD!$Z$3:$Z$5001,"&lt;&gt;")=0,"",SUMIFS(BD!$Z$3:$Z$5001,BD!$B$3:$B$5001,C$280,BD!$A$3:$A$5001,_xlfn.MAXIFS(BD!$A$3:$A$5001,BD!$B$3:$B$5001,C$280,BD!$A$3:$A$5001,"&gt;="&amp;$C$7,BD!$A$3:$A$5001,"&lt;="&amp;$B301,BD!$Z$3:$Z$5001,"&lt;&gt;"))))</f>
        <v/>
      </c>
      <c r="D301" s="54" t="str">
        <f>IF(OR($B301="",$A301&gt;$B$9,D$280=""),"",IF(COUNTIFS(BD!$B$3:$B$5001,D$280,BD!$A$3:$A$5001,"&gt;="&amp;$C$7,BD!$A$3:$A$5001,"&lt;="&amp;$B301,BD!$Z$3:$Z$5001,"&lt;&gt;")=0,"",SUMIFS(BD!$Z$3:$Z$5001,BD!$B$3:$B$5001,D$280,BD!$A$3:$A$5001,_xlfn.MAXIFS(BD!$A$3:$A$5001,BD!$B$3:$B$5001,D$280,BD!$A$3:$A$5001,"&gt;="&amp;$C$7,BD!$A$3:$A$5001,"&lt;="&amp;$B301,BD!$Z$3:$Z$5001,"&lt;&gt;"))))</f>
        <v/>
      </c>
      <c r="E301" s="54" t="str">
        <f>IF(OR($B301="",$A301&gt;$B$9,E$280=""),"",IF(COUNTIFS(BD!$B$3:$B$5001,E$280,BD!$A$3:$A$5001,"&gt;="&amp;$C$7,BD!$A$3:$A$5001,"&lt;="&amp;$B301,BD!$Z$3:$Z$5001,"&lt;&gt;")=0,"",SUMIFS(BD!$Z$3:$Z$5001,BD!$B$3:$B$5001,E$280,BD!$A$3:$A$5001,_xlfn.MAXIFS(BD!$A$3:$A$5001,BD!$B$3:$B$5001,E$280,BD!$A$3:$A$5001,"&gt;="&amp;$C$7,BD!$A$3:$A$5001,"&lt;="&amp;$B301,BD!$Z$3:$Z$5001,"&lt;&gt;"))))</f>
        <v/>
      </c>
      <c r="F301" s="54" t="str">
        <f>IF(OR($B301="",$A301&gt;$B$9,F$280=""),"",IF(COUNTIFS(BD!$B$3:$B$5001,F$280,BD!$A$3:$A$5001,"&gt;="&amp;$C$7,BD!$A$3:$A$5001,"&lt;="&amp;$B301,BD!$Z$3:$Z$5001,"&lt;&gt;")=0,"",SUMIFS(BD!$Z$3:$Z$5001,BD!$B$3:$B$5001,F$280,BD!$A$3:$A$5001,_xlfn.MAXIFS(BD!$A$3:$A$5001,BD!$B$3:$B$5001,F$280,BD!$A$3:$A$5001,"&gt;="&amp;$C$7,BD!$A$3:$A$5001,"&lt;="&amp;$B301,BD!$Z$3:$Z$5001,"&lt;&gt;"))))</f>
        <v/>
      </c>
      <c r="G301" s="54" t="str">
        <f>IF(OR($B301="",$A301&gt;$B$9,G$280=""),"",IF(COUNTIFS(BD!$B$3:$B$5001,G$280,BD!$A$3:$A$5001,"&gt;="&amp;$C$7,BD!$A$3:$A$5001,"&lt;="&amp;$B301,BD!$Z$3:$Z$5001,"&lt;&gt;")=0,"",SUMIFS(BD!$Z$3:$Z$5001,BD!$B$3:$B$5001,G$280,BD!$A$3:$A$5001,_xlfn.MAXIFS(BD!$A$3:$A$5001,BD!$B$3:$B$5001,G$280,BD!$A$3:$A$5001,"&gt;="&amp;$C$7,BD!$A$3:$A$5001,"&lt;="&amp;$B301,BD!$Z$3:$Z$5001,"&lt;&gt;"))))</f>
        <v/>
      </c>
      <c r="H301" s="54" t="str">
        <f>IF(OR($B301="",$A301&gt;$B$9,H$280=""),"",IF(COUNTIFS(BD!$B$3:$B$5001,H$280,BD!$A$3:$A$5001,"&gt;="&amp;$C$7,BD!$A$3:$A$5001,"&lt;="&amp;$B301,BD!$Z$3:$Z$5001,"&lt;&gt;")=0,"",SUMIFS(BD!$Z$3:$Z$5001,BD!$B$3:$B$5001,H$280,BD!$A$3:$A$5001,_xlfn.MAXIFS(BD!$A$3:$A$5001,BD!$B$3:$B$5001,H$280,BD!$A$3:$A$5001,"&gt;="&amp;$C$7,BD!$A$3:$A$5001,"&lt;="&amp;$B301,BD!$Z$3:$Z$5001,"&lt;&gt;"))))</f>
        <v/>
      </c>
      <c r="I301" s="54" t="str">
        <f>IF(OR($B301="",$A301&gt;$B$9,I$280=""),"",IF(COUNTIFS(BD!$B$3:$B$5001,I$280,BD!$A$3:$A$5001,"&gt;="&amp;$C$7,BD!$A$3:$A$5001,"&lt;="&amp;$B301,BD!$Z$3:$Z$5001,"&lt;&gt;")=0,"",SUMIFS(BD!$Z$3:$Z$5001,BD!$B$3:$B$5001,I$280,BD!$A$3:$A$5001,_xlfn.MAXIFS(BD!$A$3:$A$5001,BD!$B$3:$B$5001,I$280,BD!$A$3:$A$5001,"&gt;="&amp;$C$7,BD!$A$3:$A$5001,"&lt;="&amp;$B301,BD!$Z$3:$Z$5001,"&lt;&gt;"))))</f>
        <v/>
      </c>
      <c r="J301" s="54" t="str">
        <f>IF(OR($B301="",$A301&gt;$B$9,J$280=""),"",IF(COUNTIFS(BD!$B$3:$B$5001,J$280,BD!$A$3:$A$5001,"&gt;="&amp;$C$7,BD!$A$3:$A$5001,"&lt;="&amp;$B301,BD!$Z$3:$Z$5001,"&lt;&gt;")=0,"",SUMIFS(BD!$Z$3:$Z$5001,BD!$B$3:$B$5001,J$280,BD!$A$3:$A$5001,_xlfn.MAXIFS(BD!$A$3:$A$5001,BD!$B$3:$B$5001,J$280,BD!$A$3:$A$5001,"&gt;="&amp;$C$7,BD!$A$3:$A$5001,"&lt;="&amp;$B301,BD!$Z$3:$Z$5001,"&lt;&gt;"))))</f>
        <v/>
      </c>
      <c r="K301" s="54" t="str">
        <f>IF(OR($B301="",$A301&gt;$B$9,K$280=""),"",IF(COUNTIFS(BD!$B$3:$B$5001,K$280,BD!$A$3:$A$5001,"&gt;="&amp;$C$7,BD!$A$3:$A$5001,"&lt;="&amp;$B301,BD!$Z$3:$Z$5001,"&lt;&gt;")=0,"",SUMIFS(BD!$Z$3:$Z$5001,BD!$B$3:$B$5001,K$280,BD!$A$3:$A$5001,_xlfn.MAXIFS(BD!$A$3:$A$5001,BD!$B$3:$B$5001,K$280,BD!$A$3:$A$5001,"&gt;="&amp;$C$7,BD!$A$3:$A$5001,"&lt;="&amp;$B301,BD!$Z$3:$Z$5001,"&lt;&gt;"))))</f>
        <v/>
      </c>
      <c r="L301" s="54" t="str">
        <f>IF(OR($B301="",$A301&gt;$B$9,L$280=""),"",IF(COUNTIFS(BD!$B$3:$B$5001,L$280,BD!$A$3:$A$5001,"&gt;="&amp;$C$7,BD!$A$3:$A$5001,"&lt;="&amp;$B301,BD!$Z$3:$Z$5001,"&lt;&gt;")=0,"",SUMIFS(BD!$Z$3:$Z$5001,BD!$B$3:$B$5001,L$280,BD!$A$3:$A$5001,_xlfn.MAXIFS(BD!$A$3:$A$5001,BD!$B$3:$B$5001,L$280,BD!$A$3:$A$5001,"&gt;="&amp;$C$7,BD!$A$3:$A$5001,"&lt;="&amp;$B301,BD!$Z$3:$Z$5001,"&lt;&gt;"))))</f>
        <v/>
      </c>
      <c r="M301" s="54" t="str">
        <f>IF(OR($B301="",$A301&gt;$B$9,M$280=""),"",IF(COUNTIFS(BD!$B$3:$B$5001,M$280,BD!$A$3:$A$5001,"&gt;="&amp;$C$7,BD!$A$3:$A$5001,"&lt;="&amp;$B301,BD!$Z$3:$Z$5001,"&lt;&gt;")=0,"",SUMIFS(BD!$Z$3:$Z$5001,BD!$B$3:$B$5001,M$280,BD!$A$3:$A$5001,_xlfn.MAXIFS(BD!$A$3:$A$5001,BD!$B$3:$B$5001,M$280,BD!$A$3:$A$5001,"&gt;="&amp;$C$7,BD!$A$3:$A$5001,"&lt;="&amp;$B301,BD!$Z$3:$Z$5001,"&lt;&gt;"))))</f>
        <v/>
      </c>
      <c r="N301" s="54" t="str">
        <f>IF(OR($B301="",$A301&gt;$B$9,N$280=""),"",IF(COUNTIFS(BD!$B$3:$B$5001,N$280,BD!$A$3:$A$5001,"&gt;="&amp;$C$7,BD!$A$3:$A$5001,"&lt;="&amp;$B301,BD!$Z$3:$Z$5001,"&lt;&gt;")=0,"",SUMIFS(BD!$Z$3:$Z$5001,BD!$B$3:$B$5001,N$280,BD!$A$3:$A$5001,_xlfn.MAXIFS(BD!$A$3:$A$5001,BD!$B$3:$B$5001,N$280,BD!$A$3:$A$5001,"&gt;="&amp;$C$7,BD!$A$3:$A$5001,"&lt;="&amp;$B301,BD!$Z$3:$Z$5001,"&lt;&gt;"))))</f>
        <v/>
      </c>
      <c r="O301" s="54" t="str">
        <f>IF(OR($B301="",$A301&gt;$B$9,O$280=""),"",IF(COUNTIFS(BD!$B$3:$B$5001,O$280,BD!$A$3:$A$5001,"&gt;="&amp;$C$7,BD!$A$3:$A$5001,"&lt;="&amp;$B301,BD!$Z$3:$Z$5001,"&lt;&gt;")=0,"",SUMIFS(BD!$Z$3:$Z$5001,BD!$B$3:$B$5001,O$280,BD!$A$3:$A$5001,_xlfn.MAXIFS(BD!$A$3:$A$5001,BD!$B$3:$B$5001,O$280,BD!$A$3:$A$5001,"&gt;="&amp;$C$7,BD!$A$3:$A$5001,"&lt;="&amp;$B301,BD!$Z$3:$Z$5001,"&lt;&gt;"))))</f>
        <v/>
      </c>
      <c r="P301" s="54" t="str">
        <f>IF(OR($B301="",$A301&gt;$B$9,P$280=""),"",IF(COUNTIFS(BD!$B$3:$B$5001,P$280,BD!$A$3:$A$5001,"&gt;="&amp;$C$7,BD!$A$3:$A$5001,"&lt;="&amp;$B301,BD!$Z$3:$Z$5001,"&lt;&gt;")=0,"",SUMIFS(BD!$Z$3:$Z$5001,BD!$B$3:$B$5001,P$280,BD!$A$3:$A$5001,_xlfn.MAXIFS(BD!$A$3:$A$5001,BD!$B$3:$B$5001,P$280,BD!$A$3:$A$5001,"&gt;="&amp;$C$7,BD!$A$3:$A$5001,"&lt;="&amp;$B301,BD!$Z$3:$Z$5001,"&lt;&gt;"))))</f>
        <v/>
      </c>
      <c r="Q301" s="54" t="str">
        <f>IF(OR($B301="",$A301&gt;$B$9,Q$280=""),"",IF(COUNTIFS(BD!$B$3:$B$5001,Q$280,BD!$A$3:$A$5001,"&gt;="&amp;$C$7,BD!$A$3:$A$5001,"&lt;="&amp;$B301,BD!$Z$3:$Z$5001,"&lt;&gt;")=0,"",SUMIFS(BD!$Z$3:$Z$5001,BD!$B$3:$B$5001,Q$280,BD!$A$3:$A$5001,_xlfn.MAXIFS(BD!$A$3:$A$5001,BD!$B$3:$B$5001,Q$280,BD!$A$3:$A$5001,"&gt;="&amp;$C$7,BD!$A$3:$A$5001,"&lt;="&amp;$B301,BD!$Z$3:$Z$5001,"&lt;&gt;"))))</f>
        <v/>
      </c>
      <c r="R301" s="54" t="str">
        <f>IF(OR($B301="",$A301&gt;$B$9,R$280=""),"",IF(COUNTIFS(BD!$B$3:$B$5001,R$280,BD!$A$3:$A$5001,"&gt;="&amp;$C$7,BD!$A$3:$A$5001,"&lt;="&amp;$B301,BD!$Z$3:$Z$5001,"&lt;&gt;")=0,"",SUMIFS(BD!$Z$3:$Z$5001,BD!$B$3:$B$5001,R$280,BD!$A$3:$A$5001,_xlfn.MAXIFS(BD!$A$3:$A$5001,BD!$B$3:$B$5001,R$280,BD!$A$3:$A$5001,"&gt;="&amp;$C$7,BD!$A$3:$A$5001,"&lt;="&amp;$B301,BD!$Z$3:$Z$5001,"&lt;&gt;"))))</f>
        <v/>
      </c>
      <c r="S301" s="54" t="str">
        <f>IF(OR($B301="",$A301&gt;$B$9,S$280=""),"",IF(COUNTIFS(BD!$B$3:$B$5001,S$280,BD!$A$3:$A$5001,"&gt;="&amp;$C$7,BD!$A$3:$A$5001,"&lt;="&amp;$B301,BD!$Z$3:$Z$5001,"&lt;&gt;")=0,"",SUMIFS(BD!$Z$3:$Z$5001,BD!$B$3:$B$5001,S$280,BD!$A$3:$A$5001,_xlfn.MAXIFS(BD!$A$3:$A$5001,BD!$B$3:$B$5001,S$280,BD!$A$3:$A$5001,"&gt;="&amp;$C$7,BD!$A$3:$A$5001,"&lt;="&amp;$B301,BD!$Z$3:$Z$5001,"&lt;&gt;"))))</f>
        <v/>
      </c>
      <c r="T301" s="54" t="str">
        <f>IF(OR($B301="",$A301&gt;$B$9,T$280=""),"",IF(COUNTIFS(BD!$B$3:$B$5001,T$280,BD!$A$3:$A$5001,"&gt;="&amp;$C$7,BD!$A$3:$A$5001,"&lt;="&amp;$B301,BD!$Z$3:$Z$5001,"&lt;&gt;")=0,"",SUMIFS(BD!$Z$3:$Z$5001,BD!$B$3:$B$5001,T$280,BD!$A$3:$A$5001,_xlfn.MAXIFS(BD!$A$3:$A$5001,BD!$B$3:$B$5001,T$280,BD!$A$3:$A$5001,"&gt;="&amp;$C$7,BD!$A$3:$A$5001,"&lt;="&amp;$B301,BD!$Z$3:$Z$5001,"&lt;&gt;"))))</f>
        <v/>
      </c>
      <c r="U301" s="54" t="str">
        <f>IF(OR($B301="",$A301&gt;$B$9,U$280=""),"",IF(COUNTIFS(BD!$B$3:$B$5001,U$280,BD!$A$3:$A$5001,"&gt;="&amp;$C$7,BD!$A$3:$A$5001,"&lt;="&amp;$B301,BD!$Z$3:$Z$5001,"&lt;&gt;")=0,"",SUMIFS(BD!$Z$3:$Z$5001,BD!$B$3:$B$5001,U$280,BD!$A$3:$A$5001,_xlfn.MAXIFS(BD!$A$3:$A$5001,BD!$B$3:$B$5001,U$280,BD!$A$3:$A$5001,"&gt;="&amp;$C$7,BD!$A$3:$A$5001,"&lt;="&amp;$B301,BD!$Z$3:$Z$5001,"&lt;&gt;"))))</f>
        <v/>
      </c>
      <c r="V301" s="54" t="str">
        <f>IF(OR($B301="",$A301&gt;$B$9,V$280=""),"",IF(COUNTIFS(BD!$B$3:$B$5001,V$280,BD!$A$3:$A$5001,"&gt;="&amp;$C$7,BD!$A$3:$A$5001,"&lt;="&amp;$B301,BD!$Z$3:$Z$5001,"&lt;&gt;")=0,"",SUMIFS(BD!$Z$3:$Z$5001,BD!$B$3:$B$5001,V$280,BD!$A$3:$A$5001,_xlfn.MAXIFS(BD!$A$3:$A$5001,BD!$B$3:$B$5001,V$280,BD!$A$3:$A$5001,"&gt;="&amp;$C$7,BD!$A$3:$A$5001,"&lt;="&amp;$B301,BD!$Z$3:$Z$5001,"&lt;&gt;"))))</f>
        <v/>
      </c>
    </row>
    <row r="302">
      <c r="A302" s="48">
        <v>22</v>
      </c>
      <c r="B302" s="53">
        <f>$B$33</f>
        <v>46317</v>
      </c>
      <c r="C302" s="54" t="str">
        <f>IF(OR($B302="",$A302&gt;$B$9,C$280=""),"",IF(COUNTIFS(BD!$B$3:$B$5001,C$280,BD!$A$3:$A$5001,"&gt;="&amp;$C$7,BD!$A$3:$A$5001,"&lt;="&amp;$B302,BD!$Z$3:$Z$5001,"&lt;&gt;")=0,"",SUMIFS(BD!$Z$3:$Z$5001,BD!$B$3:$B$5001,C$280,BD!$A$3:$A$5001,_xlfn.MAXIFS(BD!$A$3:$A$5001,BD!$B$3:$B$5001,C$280,BD!$A$3:$A$5001,"&gt;="&amp;$C$7,BD!$A$3:$A$5001,"&lt;="&amp;$B302,BD!$Z$3:$Z$5001,"&lt;&gt;"))))</f>
        <v/>
      </c>
      <c r="D302" s="54" t="str">
        <f>IF(OR($B302="",$A302&gt;$B$9,D$280=""),"",IF(COUNTIFS(BD!$B$3:$B$5001,D$280,BD!$A$3:$A$5001,"&gt;="&amp;$C$7,BD!$A$3:$A$5001,"&lt;="&amp;$B302,BD!$Z$3:$Z$5001,"&lt;&gt;")=0,"",SUMIFS(BD!$Z$3:$Z$5001,BD!$B$3:$B$5001,D$280,BD!$A$3:$A$5001,_xlfn.MAXIFS(BD!$A$3:$A$5001,BD!$B$3:$B$5001,D$280,BD!$A$3:$A$5001,"&gt;="&amp;$C$7,BD!$A$3:$A$5001,"&lt;="&amp;$B302,BD!$Z$3:$Z$5001,"&lt;&gt;"))))</f>
        <v/>
      </c>
      <c r="E302" s="54" t="str">
        <f>IF(OR($B302="",$A302&gt;$B$9,E$280=""),"",IF(COUNTIFS(BD!$B$3:$B$5001,E$280,BD!$A$3:$A$5001,"&gt;="&amp;$C$7,BD!$A$3:$A$5001,"&lt;="&amp;$B302,BD!$Z$3:$Z$5001,"&lt;&gt;")=0,"",SUMIFS(BD!$Z$3:$Z$5001,BD!$B$3:$B$5001,E$280,BD!$A$3:$A$5001,_xlfn.MAXIFS(BD!$A$3:$A$5001,BD!$B$3:$B$5001,E$280,BD!$A$3:$A$5001,"&gt;="&amp;$C$7,BD!$A$3:$A$5001,"&lt;="&amp;$B302,BD!$Z$3:$Z$5001,"&lt;&gt;"))))</f>
        <v/>
      </c>
      <c r="F302" s="54" t="str">
        <f>IF(OR($B302="",$A302&gt;$B$9,F$280=""),"",IF(COUNTIFS(BD!$B$3:$B$5001,F$280,BD!$A$3:$A$5001,"&gt;="&amp;$C$7,BD!$A$3:$A$5001,"&lt;="&amp;$B302,BD!$Z$3:$Z$5001,"&lt;&gt;")=0,"",SUMIFS(BD!$Z$3:$Z$5001,BD!$B$3:$B$5001,F$280,BD!$A$3:$A$5001,_xlfn.MAXIFS(BD!$A$3:$A$5001,BD!$B$3:$B$5001,F$280,BD!$A$3:$A$5001,"&gt;="&amp;$C$7,BD!$A$3:$A$5001,"&lt;="&amp;$B302,BD!$Z$3:$Z$5001,"&lt;&gt;"))))</f>
        <v/>
      </c>
      <c r="G302" s="54" t="str">
        <f>IF(OR($B302="",$A302&gt;$B$9,G$280=""),"",IF(COUNTIFS(BD!$B$3:$B$5001,G$280,BD!$A$3:$A$5001,"&gt;="&amp;$C$7,BD!$A$3:$A$5001,"&lt;="&amp;$B302,BD!$Z$3:$Z$5001,"&lt;&gt;")=0,"",SUMIFS(BD!$Z$3:$Z$5001,BD!$B$3:$B$5001,G$280,BD!$A$3:$A$5001,_xlfn.MAXIFS(BD!$A$3:$A$5001,BD!$B$3:$B$5001,G$280,BD!$A$3:$A$5001,"&gt;="&amp;$C$7,BD!$A$3:$A$5001,"&lt;="&amp;$B302,BD!$Z$3:$Z$5001,"&lt;&gt;"))))</f>
        <v/>
      </c>
      <c r="H302" s="54" t="str">
        <f>IF(OR($B302="",$A302&gt;$B$9,H$280=""),"",IF(COUNTIFS(BD!$B$3:$B$5001,H$280,BD!$A$3:$A$5001,"&gt;="&amp;$C$7,BD!$A$3:$A$5001,"&lt;="&amp;$B302,BD!$Z$3:$Z$5001,"&lt;&gt;")=0,"",SUMIFS(BD!$Z$3:$Z$5001,BD!$B$3:$B$5001,H$280,BD!$A$3:$A$5001,_xlfn.MAXIFS(BD!$A$3:$A$5001,BD!$B$3:$B$5001,H$280,BD!$A$3:$A$5001,"&gt;="&amp;$C$7,BD!$A$3:$A$5001,"&lt;="&amp;$B302,BD!$Z$3:$Z$5001,"&lt;&gt;"))))</f>
        <v/>
      </c>
      <c r="I302" s="54" t="str">
        <f>IF(OR($B302="",$A302&gt;$B$9,I$280=""),"",IF(COUNTIFS(BD!$B$3:$B$5001,I$280,BD!$A$3:$A$5001,"&gt;="&amp;$C$7,BD!$A$3:$A$5001,"&lt;="&amp;$B302,BD!$Z$3:$Z$5001,"&lt;&gt;")=0,"",SUMIFS(BD!$Z$3:$Z$5001,BD!$B$3:$B$5001,I$280,BD!$A$3:$A$5001,_xlfn.MAXIFS(BD!$A$3:$A$5001,BD!$B$3:$B$5001,I$280,BD!$A$3:$A$5001,"&gt;="&amp;$C$7,BD!$A$3:$A$5001,"&lt;="&amp;$B302,BD!$Z$3:$Z$5001,"&lt;&gt;"))))</f>
        <v/>
      </c>
      <c r="J302" s="54" t="str">
        <f>IF(OR($B302="",$A302&gt;$B$9,J$280=""),"",IF(COUNTIFS(BD!$B$3:$B$5001,J$280,BD!$A$3:$A$5001,"&gt;="&amp;$C$7,BD!$A$3:$A$5001,"&lt;="&amp;$B302,BD!$Z$3:$Z$5001,"&lt;&gt;")=0,"",SUMIFS(BD!$Z$3:$Z$5001,BD!$B$3:$B$5001,J$280,BD!$A$3:$A$5001,_xlfn.MAXIFS(BD!$A$3:$A$5001,BD!$B$3:$B$5001,J$280,BD!$A$3:$A$5001,"&gt;="&amp;$C$7,BD!$A$3:$A$5001,"&lt;="&amp;$B302,BD!$Z$3:$Z$5001,"&lt;&gt;"))))</f>
        <v/>
      </c>
      <c r="K302" s="54" t="str">
        <f>IF(OR($B302="",$A302&gt;$B$9,K$280=""),"",IF(COUNTIFS(BD!$B$3:$B$5001,K$280,BD!$A$3:$A$5001,"&gt;="&amp;$C$7,BD!$A$3:$A$5001,"&lt;="&amp;$B302,BD!$Z$3:$Z$5001,"&lt;&gt;")=0,"",SUMIFS(BD!$Z$3:$Z$5001,BD!$B$3:$B$5001,K$280,BD!$A$3:$A$5001,_xlfn.MAXIFS(BD!$A$3:$A$5001,BD!$B$3:$B$5001,K$280,BD!$A$3:$A$5001,"&gt;="&amp;$C$7,BD!$A$3:$A$5001,"&lt;="&amp;$B302,BD!$Z$3:$Z$5001,"&lt;&gt;"))))</f>
        <v/>
      </c>
      <c r="L302" s="54" t="str">
        <f>IF(OR($B302="",$A302&gt;$B$9,L$280=""),"",IF(COUNTIFS(BD!$B$3:$B$5001,L$280,BD!$A$3:$A$5001,"&gt;="&amp;$C$7,BD!$A$3:$A$5001,"&lt;="&amp;$B302,BD!$Z$3:$Z$5001,"&lt;&gt;")=0,"",SUMIFS(BD!$Z$3:$Z$5001,BD!$B$3:$B$5001,L$280,BD!$A$3:$A$5001,_xlfn.MAXIFS(BD!$A$3:$A$5001,BD!$B$3:$B$5001,L$280,BD!$A$3:$A$5001,"&gt;="&amp;$C$7,BD!$A$3:$A$5001,"&lt;="&amp;$B302,BD!$Z$3:$Z$5001,"&lt;&gt;"))))</f>
        <v/>
      </c>
      <c r="M302" s="54" t="str">
        <f>IF(OR($B302="",$A302&gt;$B$9,M$280=""),"",IF(COUNTIFS(BD!$B$3:$B$5001,M$280,BD!$A$3:$A$5001,"&gt;="&amp;$C$7,BD!$A$3:$A$5001,"&lt;="&amp;$B302,BD!$Z$3:$Z$5001,"&lt;&gt;")=0,"",SUMIFS(BD!$Z$3:$Z$5001,BD!$B$3:$B$5001,M$280,BD!$A$3:$A$5001,_xlfn.MAXIFS(BD!$A$3:$A$5001,BD!$B$3:$B$5001,M$280,BD!$A$3:$A$5001,"&gt;="&amp;$C$7,BD!$A$3:$A$5001,"&lt;="&amp;$B302,BD!$Z$3:$Z$5001,"&lt;&gt;"))))</f>
        <v/>
      </c>
      <c r="N302" s="54" t="str">
        <f>IF(OR($B302="",$A302&gt;$B$9,N$280=""),"",IF(COUNTIFS(BD!$B$3:$B$5001,N$280,BD!$A$3:$A$5001,"&gt;="&amp;$C$7,BD!$A$3:$A$5001,"&lt;="&amp;$B302,BD!$Z$3:$Z$5001,"&lt;&gt;")=0,"",SUMIFS(BD!$Z$3:$Z$5001,BD!$B$3:$B$5001,N$280,BD!$A$3:$A$5001,_xlfn.MAXIFS(BD!$A$3:$A$5001,BD!$B$3:$B$5001,N$280,BD!$A$3:$A$5001,"&gt;="&amp;$C$7,BD!$A$3:$A$5001,"&lt;="&amp;$B302,BD!$Z$3:$Z$5001,"&lt;&gt;"))))</f>
        <v/>
      </c>
      <c r="O302" s="54" t="str">
        <f>IF(OR($B302="",$A302&gt;$B$9,O$280=""),"",IF(COUNTIFS(BD!$B$3:$B$5001,O$280,BD!$A$3:$A$5001,"&gt;="&amp;$C$7,BD!$A$3:$A$5001,"&lt;="&amp;$B302,BD!$Z$3:$Z$5001,"&lt;&gt;")=0,"",SUMIFS(BD!$Z$3:$Z$5001,BD!$B$3:$B$5001,O$280,BD!$A$3:$A$5001,_xlfn.MAXIFS(BD!$A$3:$A$5001,BD!$B$3:$B$5001,O$280,BD!$A$3:$A$5001,"&gt;="&amp;$C$7,BD!$A$3:$A$5001,"&lt;="&amp;$B302,BD!$Z$3:$Z$5001,"&lt;&gt;"))))</f>
        <v/>
      </c>
      <c r="P302" s="54" t="str">
        <f>IF(OR($B302="",$A302&gt;$B$9,P$280=""),"",IF(COUNTIFS(BD!$B$3:$B$5001,P$280,BD!$A$3:$A$5001,"&gt;="&amp;$C$7,BD!$A$3:$A$5001,"&lt;="&amp;$B302,BD!$Z$3:$Z$5001,"&lt;&gt;")=0,"",SUMIFS(BD!$Z$3:$Z$5001,BD!$B$3:$B$5001,P$280,BD!$A$3:$A$5001,_xlfn.MAXIFS(BD!$A$3:$A$5001,BD!$B$3:$B$5001,P$280,BD!$A$3:$A$5001,"&gt;="&amp;$C$7,BD!$A$3:$A$5001,"&lt;="&amp;$B302,BD!$Z$3:$Z$5001,"&lt;&gt;"))))</f>
        <v/>
      </c>
      <c r="Q302" s="54" t="str">
        <f>IF(OR($B302="",$A302&gt;$B$9,Q$280=""),"",IF(COUNTIFS(BD!$B$3:$B$5001,Q$280,BD!$A$3:$A$5001,"&gt;="&amp;$C$7,BD!$A$3:$A$5001,"&lt;="&amp;$B302,BD!$Z$3:$Z$5001,"&lt;&gt;")=0,"",SUMIFS(BD!$Z$3:$Z$5001,BD!$B$3:$B$5001,Q$280,BD!$A$3:$A$5001,_xlfn.MAXIFS(BD!$A$3:$A$5001,BD!$B$3:$B$5001,Q$280,BD!$A$3:$A$5001,"&gt;="&amp;$C$7,BD!$A$3:$A$5001,"&lt;="&amp;$B302,BD!$Z$3:$Z$5001,"&lt;&gt;"))))</f>
        <v/>
      </c>
      <c r="R302" s="54" t="str">
        <f>IF(OR($B302="",$A302&gt;$B$9,R$280=""),"",IF(COUNTIFS(BD!$B$3:$B$5001,R$280,BD!$A$3:$A$5001,"&gt;="&amp;$C$7,BD!$A$3:$A$5001,"&lt;="&amp;$B302,BD!$Z$3:$Z$5001,"&lt;&gt;")=0,"",SUMIFS(BD!$Z$3:$Z$5001,BD!$B$3:$B$5001,R$280,BD!$A$3:$A$5001,_xlfn.MAXIFS(BD!$A$3:$A$5001,BD!$B$3:$B$5001,R$280,BD!$A$3:$A$5001,"&gt;="&amp;$C$7,BD!$A$3:$A$5001,"&lt;="&amp;$B302,BD!$Z$3:$Z$5001,"&lt;&gt;"))))</f>
        <v/>
      </c>
      <c r="S302" s="54" t="str">
        <f>IF(OR($B302="",$A302&gt;$B$9,S$280=""),"",IF(COUNTIFS(BD!$B$3:$B$5001,S$280,BD!$A$3:$A$5001,"&gt;="&amp;$C$7,BD!$A$3:$A$5001,"&lt;="&amp;$B302,BD!$Z$3:$Z$5001,"&lt;&gt;")=0,"",SUMIFS(BD!$Z$3:$Z$5001,BD!$B$3:$B$5001,S$280,BD!$A$3:$A$5001,_xlfn.MAXIFS(BD!$A$3:$A$5001,BD!$B$3:$B$5001,S$280,BD!$A$3:$A$5001,"&gt;="&amp;$C$7,BD!$A$3:$A$5001,"&lt;="&amp;$B302,BD!$Z$3:$Z$5001,"&lt;&gt;"))))</f>
        <v/>
      </c>
      <c r="T302" s="54" t="str">
        <f>IF(OR($B302="",$A302&gt;$B$9,T$280=""),"",IF(COUNTIFS(BD!$B$3:$B$5001,T$280,BD!$A$3:$A$5001,"&gt;="&amp;$C$7,BD!$A$3:$A$5001,"&lt;="&amp;$B302,BD!$Z$3:$Z$5001,"&lt;&gt;")=0,"",SUMIFS(BD!$Z$3:$Z$5001,BD!$B$3:$B$5001,T$280,BD!$A$3:$A$5001,_xlfn.MAXIFS(BD!$A$3:$A$5001,BD!$B$3:$B$5001,T$280,BD!$A$3:$A$5001,"&gt;="&amp;$C$7,BD!$A$3:$A$5001,"&lt;="&amp;$B302,BD!$Z$3:$Z$5001,"&lt;&gt;"))))</f>
        <v/>
      </c>
      <c r="U302" s="54" t="str">
        <f>IF(OR($B302="",$A302&gt;$B$9,U$280=""),"",IF(COUNTIFS(BD!$B$3:$B$5001,U$280,BD!$A$3:$A$5001,"&gt;="&amp;$C$7,BD!$A$3:$A$5001,"&lt;="&amp;$B302,BD!$Z$3:$Z$5001,"&lt;&gt;")=0,"",SUMIFS(BD!$Z$3:$Z$5001,BD!$B$3:$B$5001,U$280,BD!$A$3:$A$5001,_xlfn.MAXIFS(BD!$A$3:$A$5001,BD!$B$3:$B$5001,U$280,BD!$A$3:$A$5001,"&gt;="&amp;$C$7,BD!$A$3:$A$5001,"&lt;="&amp;$B302,BD!$Z$3:$Z$5001,"&lt;&gt;"))))</f>
        <v/>
      </c>
      <c r="V302" s="54" t="str">
        <f>IF(OR($B302="",$A302&gt;$B$9,V$280=""),"",IF(COUNTIFS(BD!$B$3:$B$5001,V$280,BD!$A$3:$A$5001,"&gt;="&amp;$C$7,BD!$A$3:$A$5001,"&lt;="&amp;$B302,BD!$Z$3:$Z$5001,"&lt;&gt;")=0,"",SUMIFS(BD!$Z$3:$Z$5001,BD!$B$3:$B$5001,V$280,BD!$A$3:$A$5001,_xlfn.MAXIFS(BD!$A$3:$A$5001,BD!$B$3:$B$5001,V$280,BD!$A$3:$A$5001,"&gt;="&amp;$C$7,BD!$A$3:$A$5001,"&lt;="&amp;$B302,BD!$Z$3:$Z$5001,"&lt;&gt;"))))</f>
        <v/>
      </c>
    </row>
    <row r="303">
      <c r="A303" s="48">
        <v>23</v>
      </c>
      <c r="B303" s="53">
        <f>$B$34</f>
        <v>46318</v>
      </c>
      <c r="C303" s="54" t="str">
        <f>IF(OR($B303="",$A303&gt;$B$9,C$280=""),"",IF(COUNTIFS(BD!$B$3:$B$5001,C$280,BD!$A$3:$A$5001,"&gt;="&amp;$C$7,BD!$A$3:$A$5001,"&lt;="&amp;$B303,BD!$Z$3:$Z$5001,"&lt;&gt;")=0,"",SUMIFS(BD!$Z$3:$Z$5001,BD!$B$3:$B$5001,C$280,BD!$A$3:$A$5001,_xlfn.MAXIFS(BD!$A$3:$A$5001,BD!$B$3:$B$5001,C$280,BD!$A$3:$A$5001,"&gt;="&amp;$C$7,BD!$A$3:$A$5001,"&lt;="&amp;$B303,BD!$Z$3:$Z$5001,"&lt;&gt;"))))</f>
        <v/>
      </c>
      <c r="D303" s="54" t="str">
        <f>IF(OR($B303="",$A303&gt;$B$9,D$280=""),"",IF(COUNTIFS(BD!$B$3:$B$5001,D$280,BD!$A$3:$A$5001,"&gt;="&amp;$C$7,BD!$A$3:$A$5001,"&lt;="&amp;$B303,BD!$Z$3:$Z$5001,"&lt;&gt;")=0,"",SUMIFS(BD!$Z$3:$Z$5001,BD!$B$3:$B$5001,D$280,BD!$A$3:$A$5001,_xlfn.MAXIFS(BD!$A$3:$A$5001,BD!$B$3:$B$5001,D$280,BD!$A$3:$A$5001,"&gt;="&amp;$C$7,BD!$A$3:$A$5001,"&lt;="&amp;$B303,BD!$Z$3:$Z$5001,"&lt;&gt;"))))</f>
        <v/>
      </c>
      <c r="E303" s="54" t="str">
        <f>IF(OR($B303="",$A303&gt;$B$9,E$280=""),"",IF(COUNTIFS(BD!$B$3:$B$5001,E$280,BD!$A$3:$A$5001,"&gt;="&amp;$C$7,BD!$A$3:$A$5001,"&lt;="&amp;$B303,BD!$Z$3:$Z$5001,"&lt;&gt;")=0,"",SUMIFS(BD!$Z$3:$Z$5001,BD!$B$3:$B$5001,E$280,BD!$A$3:$A$5001,_xlfn.MAXIFS(BD!$A$3:$A$5001,BD!$B$3:$B$5001,E$280,BD!$A$3:$A$5001,"&gt;="&amp;$C$7,BD!$A$3:$A$5001,"&lt;="&amp;$B303,BD!$Z$3:$Z$5001,"&lt;&gt;"))))</f>
        <v/>
      </c>
      <c r="F303" s="54" t="str">
        <f>IF(OR($B303="",$A303&gt;$B$9,F$280=""),"",IF(COUNTIFS(BD!$B$3:$B$5001,F$280,BD!$A$3:$A$5001,"&gt;="&amp;$C$7,BD!$A$3:$A$5001,"&lt;="&amp;$B303,BD!$Z$3:$Z$5001,"&lt;&gt;")=0,"",SUMIFS(BD!$Z$3:$Z$5001,BD!$B$3:$B$5001,F$280,BD!$A$3:$A$5001,_xlfn.MAXIFS(BD!$A$3:$A$5001,BD!$B$3:$B$5001,F$280,BD!$A$3:$A$5001,"&gt;="&amp;$C$7,BD!$A$3:$A$5001,"&lt;="&amp;$B303,BD!$Z$3:$Z$5001,"&lt;&gt;"))))</f>
        <v/>
      </c>
      <c r="G303" s="54" t="str">
        <f>IF(OR($B303="",$A303&gt;$B$9,G$280=""),"",IF(COUNTIFS(BD!$B$3:$B$5001,G$280,BD!$A$3:$A$5001,"&gt;="&amp;$C$7,BD!$A$3:$A$5001,"&lt;="&amp;$B303,BD!$Z$3:$Z$5001,"&lt;&gt;")=0,"",SUMIFS(BD!$Z$3:$Z$5001,BD!$B$3:$B$5001,G$280,BD!$A$3:$A$5001,_xlfn.MAXIFS(BD!$A$3:$A$5001,BD!$B$3:$B$5001,G$280,BD!$A$3:$A$5001,"&gt;="&amp;$C$7,BD!$A$3:$A$5001,"&lt;="&amp;$B303,BD!$Z$3:$Z$5001,"&lt;&gt;"))))</f>
        <v/>
      </c>
      <c r="H303" s="54" t="str">
        <f>IF(OR($B303="",$A303&gt;$B$9,H$280=""),"",IF(COUNTIFS(BD!$B$3:$B$5001,H$280,BD!$A$3:$A$5001,"&gt;="&amp;$C$7,BD!$A$3:$A$5001,"&lt;="&amp;$B303,BD!$Z$3:$Z$5001,"&lt;&gt;")=0,"",SUMIFS(BD!$Z$3:$Z$5001,BD!$B$3:$B$5001,H$280,BD!$A$3:$A$5001,_xlfn.MAXIFS(BD!$A$3:$A$5001,BD!$B$3:$B$5001,H$280,BD!$A$3:$A$5001,"&gt;="&amp;$C$7,BD!$A$3:$A$5001,"&lt;="&amp;$B303,BD!$Z$3:$Z$5001,"&lt;&gt;"))))</f>
        <v/>
      </c>
      <c r="I303" s="54" t="str">
        <f>IF(OR($B303="",$A303&gt;$B$9,I$280=""),"",IF(COUNTIFS(BD!$B$3:$B$5001,I$280,BD!$A$3:$A$5001,"&gt;="&amp;$C$7,BD!$A$3:$A$5001,"&lt;="&amp;$B303,BD!$Z$3:$Z$5001,"&lt;&gt;")=0,"",SUMIFS(BD!$Z$3:$Z$5001,BD!$B$3:$B$5001,I$280,BD!$A$3:$A$5001,_xlfn.MAXIFS(BD!$A$3:$A$5001,BD!$B$3:$B$5001,I$280,BD!$A$3:$A$5001,"&gt;="&amp;$C$7,BD!$A$3:$A$5001,"&lt;="&amp;$B303,BD!$Z$3:$Z$5001,"&lt;&gt;"))))</f>
        <v/>
      </c>
      <c r="J303" s="54" t="str">
        <f>IF(OR($B303="",$A303&gt;$B$9,J$280=""),"",IF(COUNTIFS(BD!$B$3:$B$5001,J$280,BD!$A$3:$A$5001,"&gt;="&amp;$C$7,BD!$A$3:$A$5001,"&lt;="&amp;$B303,BD!$Z$3:$Z$5001,"&lt;&gt;")=0,"",SUMIFS(BD!$Z$3:$Z$5001,BD!$B$3:$B$5001,J$280,BD!$A$3:$A$5001,_xlfn.MAXIFS(BD!$A$3:$A$5001,BD!$B$3:$B$5001,J$280,BD!$A$3:$A$5001,"&gt;="&amp;$C$7,BD!$A$3:$A$5001,"&lt;="&amp;$B303,BD!$Z$3:$Z$5001,"&lt;&gt;"))))</f>
        <v/>
      </c>
      <c r="K303" s="54" t="str">
        <f>IF(OR($B303="",$A303&gt;$B$9,K$280=""),"",IF(COUNTIFS(BD!$B$3:$B$5001,K$280,BD!$A$3:$A$5001,"&gt;="&amp;$C$7,BD!$A$3:$A$5001,"&lt;="&amp;$B303,BD!$Z$3:$Z$5001,"&lt;&gt;")=0,"",SUMIFS(BD!$Z$3:$Z$5001,BD!$B$3:$B$5001,K$280,BD!$A$3:$A$5001,_xlfn.MAXIFS(BD!$A$3:$A$5001,BD!$B$3:$B$5001,K$280,BD!$A$3:$A$5001,"&gt;="&amp;$C$7,BD!$A$3:$A$5001,"&lt;="&amp;$B303,BD!$Z$3:$Z$5001,"&lt;&gt;"))))</f>
        <v/>
      </c>
      <c r="L303" s="54" t="str">
        <f>IF(OR($B303="",$A303&gt;$B$9,L$280=""),"",IF(COUNTIFS(BD!$B$3:$B$5001,L$280,BD!$A$3:$A$5001,"&gt;="&amp;$C$7,BD!$A$3:$A$5001,"&lt;="&amp;$B303,BD!$Z$3:$Z$5001,"&lt;&gt;")=0,"",SUMIFS(BD!$Z$3:$Z$5001,BD!$B$3:$B$5001,L$280,BD!$A$3:$A$5001,_xlfn.MAXIFS(BD!$A$3:$A$5001,BD!$B$3:$B$5001,L$280,BD!$A$3:$A$5001,"&gt;="&amp;$C$7,BD!$A$3:$A$5001,"&lt;="&amp;$B303,BD!$Z$3:$Z$5001,"&lt;&gt;"))))</f>
        <v/>
      </c>
      <c r="M303" s="54" t="str">
        <f>IF(OR($B303="",$A303&gt;$B$9,M$280=""),"",IF(COUNTIFS(BD!$B$3:$B$5001,M$280,BD!$A$3:$A$5001,"&gt;="&amp;$C$7,BD!$A$3:$A$5001,"&lt;="&amp;$B303,BD!$Z$3:$Z$5001,"&lt;&gt;")=0,"",SUMIFS(BD!$Z$3:$Z$5001,BD!$B$3:$B$5001,M$280,BD!$A$3:$A$5001,_xlfn.MAXIFS(BD!$A$3:$A$5001,BD!$B$3:$B$5001,M$280,BD!$A$3:$A$5001,"&gt;="&amp;$C$7,BD!$A$3:$A$5001,"&lt;="&amp;$B303,BD!$Z$3:$Z$5001,"&lt;&gt;"))))</f>
        <v/>
      </c>
      <c r="N303" s="54" t="str">
        <f>IF(OR($B303="",$A303&gt;$B$9,N$280=""),"",IF(COUNTIFS(BD!$B$3:$B$5001,N$280,BD!$A$3:$A$5001,"&gt;="&amp;$C$7,BD!$A$3:$A$5001,"&lt;="&amp;$B303,BD!$Z$3:$Z$5001,"&lt;&gt;")=0,"",SUMIFS(BD!$Z$3:$Z$5001,BD!$B$3:$B$5001,N$280,BD!$A$3:$A$5001,_xlfn.MAXIFS(BD!$A$3:$A$5001,BD!$B$3:$B$5001,N$280,BD!$A$3:$A$5001,"&gt;="&amp;$C$7,BD!$A$3:$A$5001,"&lt;="&amp;$B303,BD!$Z$3:$Z$5001,"&lt;&gt;"))))</f>
        <v/>
      </c>
      <c r="O303" s="54" t="str">
        <f>IF(OR($B303="",$A303&gt;$B$9,O$280=""),"",IF(COUNTIFS(BD!$B$3:$B$5001,O$280,BD!$A$3:$A$5001,"&gt;="&amp;$C$7,BD!$A$3:$A$5001,"&lt;="&amp;$B303,BD!$Z$3:$Z$5001,"&lt;&gt;")=0,"",SUMIFS(BD!$Z$3:$Z$5001,BD!$B$3:$B$5001,O$280,BD!$A$3:$A$5001,_xlfn.MAXIFS(BD!$A$3:$A$5001,BD!$B$3:$B$5001,O$280,BD!$A$3:$A$5001,"&gt;="&amp;$C$7,BD!$A$3:$A$5001,"&lt;="&amp;$B303,BD!$Z$3:$Z$5001,"&lt;&gt;"))))</f>
        <v/>
      </c>
      <c r="P303" s="54" t="str">
        <f>IF(OR($B303="",$A303&gt;$B$9,P$280=""),"",IF(COUNTIFS(BD!$B$3:$B$5001,P$280,BD!$A$3:$A$5001,"&gt;="&amp;$C$7,BD!$A$3:$A$5001,"&lt;="&amp;$B303,BD!$Z$3:$Z$5001,"&lt;&gt;")=0,"",SUMIFS(BD!$Z$3:$Z$5001,BD!$B$3:$B$5001,P$280,BD!$A$3:$A$5001,_xlfn.MAXIFS(BD!$A$3:$A$5001,BD!$B$3:$B$5001,P$280,BD!$A$3:$A$5001,"&gt;="&amp;$C$7,BD!$A$3:$A$5001,"&lt;="&amp;$B303,BD!$Z$3:$Z$5001,"&lt;&gt;"))))</f>
        <v/>
      </c>
      <c r="Q303" s="54" t="str">
        <f>IF(OR($B303="",$A303&gt;$B$9,Q$280=""),"",IF(COUNTIFS(BD!$B$3:$B$5001,Q$280,BD!$A$3:$A$5001,"&gt;="&amp;$C$7,BD!$A$3:$A$5001,"&lt;="&amp;$B303,BD!$Z$3:$Z$5001,"&lt;&gt;")=0,"",SUMIFS(BD!$Z$3:$Z$5001,BD!$B$3:$B$5001,Q$280,BD!$A$3:$A$5001,_xlfn.MAXIFS(BD!$A$3:$A$5001,BD!$B$3:$B$5001,Q$280,BD!$A$3:$A$5001,"&gt;="&amp;$C$7,BD!$A$3:$A$5001,"&lt;="&amp;$B303,BD!$Z$3:$Z$5001,"&lt;&gt;"))))</f>
        <v/>
      </c>
      <c r="R303" s="54" t="str">
        <f>IF(OR($B303="",$A303&gt;$B$9,R$280=""),"",IF(COUNTIFS(BD!$B$3:$B$5001,R$280,BD!$A$3:$A$5001,"&gt;="&amp;$C$7,BD!$A$3:$A$5001,"&lt;="&amp;$B303,BD!$Z$3:$Z$5001,"&lt;&gt;")=0,"",SUMIFS(BD!$Z$3:$Z$5001,BD!$B$3:$B$5001,R$280,BD!$A$3:$A$5001,_xlfn.MAXIFS(BD!$A$3:$A$5001,BD!$B$3:$B$5001,R$280,BD!$A$3:$A$5001,"&gt;="&amp;$C$7,BD!$A$3:$A$5001,"&lt;="&amp;$B303,BD!$Z$3:$Z$5001,"&lt;&gt;"))))</f>
        <v/>
      </c>
      <c r="S303" s="54" t="str">
        <f>IF(OR($B303="",$A303&gt;$B$9,S$280=""),"",IF(COUNTIFS(BD!$B$3:$B$5001,S$280,BD!$A$3:$A$5001,"&gt;="&amp;$C$7,BD!$A$3:$A$5001,"&lt;="&amp;$B303,BD!$Z$3:$Z$5001,"&lt;&gt;")=0,"",SUMIFS(BD!$Z$3:$Z$5001,BD!$B$3:$B$5001,S$280,BD!$A$3:$A$5001,_xlfn.MAXIFS(BD!$A$3:$A$5001,BD!$B$3:$B$5001,S$280,BD!$A$3:$A$5001,"&gt;="&amp;$C$7,BD!$A$3:$A$5001,"&lt;="&amp;$B303,BD!$Z$3:$Z$5001,"&lt;&gt;"))))</f>
        <v/>
      </c>
      <c r="T303" s="54" t="str">
        <f>IF(OR($B303="",$A303&gt;$B$9,T$280=""),"",IF(COUNTIFS(BD!$B$3:$B$5001,T$280,BD!$A$3:$A$5001,"&gt;="&amp;$C$7,BD!$A$3:$A$5001,"&lt;="&amp;$B303,BD!$Z$3:$Z$5001,"&lt;&gt;")=0,"",SUMIFS(BD!$Z$3:$Z$5001,BD!$B$3:$B$5001,T$280,BD!$A$3:$A$5001,_xlfn.MAXIFS(BD!$A$3:$A$5001,BD!$B$3:$B$5001,T$280,BD!$A$3:$A$5001,"&gt;="&amp;$C$7,BD!$A$3:$A$5001,"&lt;="&amp;$B303,BD!$Z$3:$Z$5001,"&lt;&gt;"))))</f>
        <v/>
      </c>
      <c r="U303" s="54" t="str">
        <f>IF(OR($B303="",$A303&gt;$B$9,U$280=""),"",IF(COUNTIFS(BD!$B$3:$B$5001,U$280,BD!$A$3:$A$5001,"&gt;="&amp;$C$7,BD!$A$3:$A$5001,"&lt;="&amp;$B303,BD!$Z$3:$Z$5001,"&lt;&gt;")=0,"",SUMIFS(BD!$Z$3:$Z$5001,BD!$B$3:$B$5001,U$280,BD!$A$3:$A$5001,_xlfn.MAXIFS(BD!$A$3:$A$5001,BD!$B$3:$B$5001,U$280,BD!$A$3:$A$5001,"&gt;="&amp;$C$7,BD!$A$3:$A$5001,"&lt;="&amp;$B303,BD!$Z$3:$Z$5001,"&lt;&gt;"))))</f>
        <v/>
      </c>
      <c r="V303" s="54" t="str">
        <f>IF(OR($B303="",$A303&gt;$B$9,V$280=""),"",IF(COUNTIFS(BD!$B$3:$B$5001,V$280,BD!$A$3:$A$5001,"&gt;="&amp;$C$7,BD!$A$3:$A$5001,"&lt;="&amp;$B303,BD!$Z$3:$Z$5001,"&lt;&gt;")=0,"",SUMIFS(BD!$Z$3:$Z$5001,BD!$B$3:$B$5001,V$280,BD!$A$3:$A$5001,_xlfn.MAXIFS(BD!$A$3:$A$5001,BD!$B$3:$B$5001,V$280,BD!$A$3:$A$5001,"&gt;="&amp;$C$7,BD!$A$3:$A$5001,"&lt;="&amp;$B303,BD!$Z$3:$Z$5001,"&lt;&gt;"))))</f>
        <v/>
      </c>
    </row>
    <row r="304">
      <c r="A304" s="48">
        <v>24</v>
      </c>
      <c r="B304" s="53">
        <f>$B$35</f>
        <v>46319</v>
      </c>
      <c r="C304" s="54" t="str">
        <f>IF(OR($B304="",$A304&gt;$B$9,C$280=""),"",IF(COUNTIFS(BD!$B$3:$B$5001,C$280,BD!$A$3:$A$5001,"&gt;="&amp;$C$7,BD!$A$3:$A$5001,"&lt;="&amp;$B304,BD!$Z$3:$Z$5001,"&lt;&gt;")=0,"",SUMIFS(BD!$Z$3:$Z$5001,BD!$B$3:$B$5001,C$280,BD!$A$3:$A$5001,_xlfn.MAXIFS(BD!$A$3:$A$5001,BD!$B$3:$B$5001,C$280,BD!$A$3:$A$5001,"&gt;="&amp;$C$7,BD!$A$3:$A$5001,"&lt;="&amp;$B304,BD!$Z$3:$Z$5001,"&lt;&gt;"))))</f>
        <v/>
      </c>
      <c r="D304" s="54" t="str">
        <f>IF(OR($B304="",$A304&gt;$B$9,D$280=""),"",IF(COUNTIFS(BD!$B$3:$B$5001,D$280,BD!$A$3:$A$5001,"&gt;="&amp;$C$7,BD!$A$3:$A$5001,"&lt;="&amp;$B304,BD!$Z$3:$Z$5001,"&lt;&gt;")=0,"",SUMIFS(BD!$Z$3:$Z$5001,BD!$B$3:$B$5001,D$280,BD!$A$3:$A$5001,_xlfn.MAXIFS(BD!$A$3:$A$5001,BD!$B$3:$B$5001,D$280,BD!$A$3:$A$5001,"&gt;="&amp;$C$7,BD!$A$3:$A$5001,"&lt;="&amp;$B304,BD!$Z$3:$Z$5001,"&lt;&gt;"))))</f>
        <v/>
      </c>
      <c r="E304" s="54" t="str">
        <f>IF(OR($B304="",$A304&gt;$B$9,E$280=""),"",IF(COUNTIFS(BD!$B$3:$B$5001,E$280,BD!$A$3:$A$5001,"&gt;="&amp;$C$7,BD!$A$3:$A$5001,"&lt;="&amp;$B304,BD!$Z$3:$Z$5001,"&lt;&gt;")=0,"",SUMIFS(BD!$Z$3:$Z$5001,BD!$B$3:$B$5001,E$280,BD!$A$3:$A$5001,_xlfn.MAXIFS(BD!$A$3:$A$5001,BD!$B$3:$B$5001,E$280,BD!$A$3:$A$5001,"&gt;="&amp;$C$7,BD!$A$3:$A$5001,"&lt;="&amp;$B304,BD!$Z$3:$Z$5001,"&lt;&gt;"))))</f>
        <v/>
      </c>
      <c r="F304" s="54" t="str">
        <f>IF(OR($B304="",$A304&gt;$B$9,F$280=""),"",IF(COUNTIFS(BD!$B$3:$B$5001,F$280,BD!$A$3:$A$5001,"&gt;="&amp;$C$7,BD!$A$3:$A$5001,"&lt;="&amp;$B304,BD!$Z$3:$Z$5001,"&lt;&gt;")=0,"",SUMIFS(BD!$Z$3:$Z$5001,BD!$B$3:$B$5001,F$280,BD!$A$3:$A$5001,_xlfn.MAXIFS(BD!$A$3:$A$5001,BD!$B$3:$B$5001,F$280,BD!$A$3:$A$5001,"&gt;="&amp;$C$7,BD!$A$3:$A$5001,"&lt;="&amp;$B304,BD!$Z$3:$Z$5001,"&lt;&gt;"))))</f>
        <v/>
      </c>
      <c r="G304" s="54" t="str">
        <f>IF(OR($B304="",$A304&gt;$B$9,G$280=""),"",IF(COUNTIFS(BD!$B$3:$B$5001,G$280,BD!$A$3:$A$5001,"&gt;="&amp;$C$7,BD!$A$3:$A$5001,"&lt;="&amp;$B304,BD!$Z$3:$Z$5001,"&lt;&gt;")=0,"",SUMIFS(BD!$Z$3:$Z$5001,BD!$B$3:$B$5001,G$280,BD!$A$3:$A$5001,_xlfn.MAXIFS(BD!$A$3:$A$5001,BD!$B$3:$B$5001,G$280,BD!$A$3:$A$5001,"&gt;="&amp;$C$7,BD!$A$3:$A$5001,"&lt;="&amp;$B304,BD!$Z$3:$Z$5001,"&lt;&gt;"))))</f>
        <v/>
      </c>
      <c r="H304" s="54" t="str">
        <f>IF(OR($B304="",$A304&gt;$B$9,H$280=""),"",IF(COUNTIFS(BD!$B$3:$B$5001,H$280,BD!$A$3:$A$5001,"&gt;="&amp;$C$7,BD!$A$3:$A$5001,"&lt;="&amp;$B304,BD!$Z$3:$Z$5001,"&lt;&gt;")=0,"",SUMIFS(BD!$Z$3:$Z$5001,BD!$B$3:$B$5001,H$280,BD!$A$3:$A$5001,_xlfn.MAXIFS(BD!$A$3:$A$5001,BD!$B$3:$B$5001,H$280,BD!$A$3:$A$5001,"&gt;="&amp;$C$7,BD!$A$3:$A$5001,"&lt;="&amp;$B304,BD!$Z$3:$Z$5001,"&lt;&gt;"))))</f>
        <v/>
      </c>
      <c r="I304" s="54" t="str">
        <f>IF(OR($B304="",$A304&gt;$B$9,I$280=""),"",IF(COUNTIFS(BD!$B$3:$B$5001,I$280,BD!$A$3:$A$5001,"&gt;="&amp;$C$7,BD!$A$3:$A$5001,"&lt;="&amp;$B304,BD!$Z$3:$Z$5001,"&lt;&gt;")=0,"",SUMIFS(BD!$Z$3:$Z$5001,BD!$B$3:$B$5001,I$280,BD!$A$3:$A$5001,_xlfn.MAXIFS(BD!$A$3:$A$5001,BD!$B$3:$B$5001,I$280,BD!$A$3:$A$5001,"&gt;="&amp;$C$7,BD!$A$3:$A$5001,"&lt;="&amp;$B304,BD!$Z$3:$Z$5001,"&lt;&gt;"))))</f>
        <v/>
      </c>
      <c r="J304" s="54" t="str">
        <f>IF(OR($B304="",$A304&gt;$B$9,J$280=""),"",IF(COUNTIFS(BD!$B$3:$B$5001,J$280,BD!$A$3:$A$5001,"&gt;="&amp;$C$7,BD!$A$3:$A$5001,"&lt;="&amp;$B304,BD!$Z$3:$Z$5001,"&lt;&gt;")=0,"",SUMIFS(BD!$Z$3:$Z$5001,BD!$B$3:$B$5001,J$280,BD!$A$3:$A$5001,_xlfn.MAXIFS(BD!$A$3:$A$5001,BD!$B$3:$B$5001,J$280,BD!$A$3:$A$5001,"&gt;="&amp;$C$7,BD!$A$3:$A$5001,"&lt;="&amp;$B304,BD!$Z$3:$Z$5001,"&lt;&gt;"))))</f>
        <v/>
      </c>
      <c r="K304" s="54" t="str">
        <f>IF(OR($B304="",$A304&gt;$B$9,K$280=""),"",IF(COUNTIFS(BD!$B$3:$B$5001,K$280,BD!$A$3:$A$5001,"&gt;="&amp;$C$7,BD!$A$3:$A$5001,"&lt;="&amp;$B304,BD!$Z$3:$Z$5001,"&lt;&gt;")=0,"",SUMIFS(BD!$Z$3:$Z$5001,BD!$B$3:$B$5001,K$280,BD!$A$3:$A$5001,_xlfn.MAXIFS(BD!$A$3:$A$5001,BD!$B$3:$B$5001,K$280,BD!$A$3:$A$5001,"&gt;="&amp;$C$7,BD!$A$3:$A$5001,"&lt;="&amp;$B304,BD!$Z$3:$Z$5001,"&lt;&gt;"))))</f>
        <v/>
      </c>
      <c r="L304" s="54" t="str">
        <f>IF(OR($B304="",$A304&gt;$B$9,L$280=""),"",IF(COUNTIFS(BD!$B$3:$B$5001,L$280,BD!$A$3:$A$5001,"&gt;="&amp;$C$7,BD!$A$3:$A$5001,"&lt;="&amp;$B304,BD!$Z$3:$Z$5001,"&lt;&gt;")=0,"",SUMIFS(BD!$Z$3:$Z$5001,BD!$B$3:$B$5001,L$280,BD!$A$3:$A$5001,_xlfn.MAXIFS(BD!$A$3:$A$5001,BD!$B$3:$B$5001,L$280,BD!$A$3:$A$5001,"&gt;="&amp;$C$7,BD!$A$3:$A$5001,"&lt;="&amp;$B304,BD!$Z$3:$Z$5001,"&lt;&gt;"))))</f>
        <v/>
      </c>
      <c r="M304" s="54" t="str">
        <f>IF(OR($B304="",$A304&gt;$B$9,M$280=""),"",IF(COUNTIFS(BD!$B$3:$B$5001,M$280,BD!$A$3:$A$5001,"&gt;="&amp;$C$7,BD!$A$3:$A$5001,"&lt;="&amp;$B304,BD!$Z$3:$Z$5001,"&lt;&gt;")=0,"",SUMIFS(BD!$Z$3:$Z$5001,BD!$B$3:$B$5001,M$280,BD!$A$3:$A$5001,_xlfn.MAXIFS(BD!$A$3:$A$5001,BD!$B$3:$B$5001,M$280,BD!$A$3:$A$5001,"&gt;="&amp;$C$7,BD!$A$3:$A$5001,"&lt;="&amp;$B304,BD!$Z$3:$Z$5001,"&lt;&gt;"))))</f>
        <v/>
      </c>
      <c r="N304" s="54" t="str">
        <f>IF(OR($B304="",$A304&gt;$B$9,N$280=""),"",IF(COUNTIFS(BD!$B$3:$B$5001,N$280,BD!$A$3:$A$5001,"&gt;="&amp;$C$7,BD!$A$3:$A$5001,"&lt;="&amp;$B304,BD!$Z$3:$Z$5001,"&lt;&gt;")=0,"",SUMIFS(BD!$Z$3:$Z$5001,BD!$B$3:$B$5001,N$280,BD!$A$3:$A$5001,_xlfn.MAXIFS(BD!$A$3:$A$5001,BD!$B$3:$B$5001,N$280,BD!$A$3:$A$5001,"&gt;="&amp;$C$7,BD!$A$3:$A$5001,"&lt;="&amp;$B304,BD!$Z$3:$Z$5001,"&lt;&gt;"))))</f>
        <v/>
      </c>
      <c r="O304" s="54" t="str">
        <f>IF(OR($B304="",$A304&gt;$B$9,O$280=""),"",IF(COUNTIFS(BD!$B$3:$B$5001,O$280,BD!$A$3:$A$5001,"&gt;="&amp;$C$7,BD!$A$3:$A$5001,"&lt;="&amp;$B304,BD!$Z$3:$Z$5001,"&lt;&gt;")=0,"",SUMIFS(BD!$Z$3:$Z$5001,BD!$B$3:$B$5001,O$280,BD!$A$3:$A$5001,_xlfn.MAXIFS(BD!$A$3:$A$5001,BD!$B$3:$B$5001,O$280,BD!$A$3:$A$5001,"&gt;="&amp;$C$7,BD!$A$3:$A$5001,"&lt;="&amp;$B304,BD!$Z$3:$Z$5001,"&lt;&gt;"))))</f>
        <v/>
      </c>
      <c r="P304" s="54" t="str">
        <f>IF(OR($B304="",$A304&gt;$B$9,P$280=""),"",IF(COUNTIFS(BD!$B$3:$B$5001,P$280,BD!$A$3:$A$5001,"&gt;="&amp;$C$7,BD!$A$3:$A$5001,"&lt;="&amp;$B304,BD!$Z$3:$Z$5001,"&lt;&gt;")=0,"",SUMIFS(BD!$Z$3:$Z$5001,BD!$B$3:$B$5001,P$280,BD!$A$3:$A$5001,_xlfn.MAXIFS(BD!$A$3:$A$5001,BD!$B$3:$B$5001,P$280,BD!$A$3:$A$5001,"&gt;="&amp;$C$7,BD!$A$3:$A$5001,"&lt;="&amp;$B304,BD!$Z$3:$Z$5001,"&lt;&gt;"))))</f>
        <v/>
      </c>
      <c r="Q304" s="54" t="str">
        <f>IF(OR($B304="",$A304&gt;$B$9,Q$280=""),"",IF(COUNTIFS(BD!$B$3:$B$5001,Q$280,BD!$A$3:$A$5001,"&gt;="&amp;$C$7,BD!$A$3:$A$5001,"&lt;="&amp;$B304,BD!$Z$3:$Z$5001,"&lt;&gt;")=0,"",SUMIFS(BD!$Z$3:$Z$5001,BD!$B$3:$B$5001,Q$280,BD!$A$3:$A$5001,_xlfn.MAXIFS(BD!$A$3:$A$5001,BD!$B$3:$B$5001,Q$280,BD!$A$3:$A$5001,"&gt;="&amp;$C$7,BD!$A$3:$A$5001,"&lt;="&amp;$B304,BD!$Z$3:$Z$5001,"&lt;&gt;"))))</f>
        <v/>
      </c>
      <c r="R304" s="54" t="str">
        <f>IF(OR($B304="",$A304&gt;$B$9,R$280=""),"",IF(COUNTIFS(BD!$B$3:$B$5001,R$280,BD!$A$3:$A$5001,"&gt;="&amp;$C$7,BD!$A$3:$A$5001,"&lt;="&amp;$B304,BD!$Z$3:$Z$5001,"&lt;&gt;")=0,"",SUMIFS(BD!$Z$3:$Z$5001,BD!$B$3:$B$5001,R$280,BD!$A$3:$A$5001,_xlfn.MAXIFS(BD!$A$3:$A$5001,BD!$B$3:$B$5001,R$280,BD!$A$3:$A$5001,"&gt;="&amp;$C$7,BD!$A$3:$A$5001,"&lt;="&amp;$B304,BD!$Z$3:$Z$5001,"&lt;&gt;"))))</f>
        <v/>
      </c>
      <c r="S304" s="54" t="str">
        <f>IF(OR($B304="",$A304&gt;$B$9,S$280=""),"",IF(COUNTIFS(BD!$B$3:$B$5001,S$280,BD!$A$3:$A$5001,"&gt;="&amp;$C$7,BD!$A$3:$A$5001,"&lt;="&amp;$B304,BD!$Z$3:$Z$5001,"&lt;&gt;")=0,"",SUMIFS(BD!$Z$3:$Z$5001,BD!$B$3:$B$5001,S$280,BD!$A$3:$A$5001,_xlfn.MAXIFS(BD!$A$3:$A$5001,BD!$B$3:$B$5001,S$280,BD!$A$3:$A$5001,"&gt;="&amp;$C$7,BD!$A$3:$A$5001,"&lt;="&amp;$B304,BD!$Z$3:$Z$5001,"&lt;&gt;"))))</f>
        <v/>
      </c>
      <c r="T304" s="54" t="str">
        <f>IF(OR($B304="",$A304&gt;$B$9,T$280=""),"",IF(COUNTIFS(BD!$B$3:$B$5001,T$280,BD!$A$3:$A$5001,"&gt;="&amp;$C$7,BD!$A$3:$A$5001,"&lt;="&amp;$B304,BD!$Z$3:$Z$5001,"&lt;&gt;")=0,"",SUMIFS(BD!$Z$3:$Z$5001,BD!$B$3:$B$5001,T$280,BD!$A$3:$A$5001,_xlfn.MAXIFS(BD!$A$3:$A$5001,BD!$B$3:$B$5001,T$280,BD!$A$3:$A$5001,"&gt;="&amp;$C$7,BD!$A$3:$A$5001,"&lt;="&amp;$B304,BD!$Z$3:$Z$5001,"&lt;&gt;"))))</f>
        <v/>
      </c>
      <c r="U304" s="54" t="str">
        <f>IF(OR($B304="",$A304&gt;$B$9,U$280=""),"",IF(COUNTIFS(BD!$B$3:$B$5001,U$280,BD!$A$3:$A$5001,"&gt;="&amp;$C$7,BD!$A$3:$A$5001,"&lt;="&amp;$B304,BD!$Z$3:$Z$5001,"&lt;&gt;")=0,"",SUMIFS(BD!$Z$3:$Z$5001,BD!$B$3:$B$5001,U$280,BD!$A$3:$A$5001,_xlfn.MAXIFS(BD!$A$3:$A$5001,BD!$B$3:$B$5001,U$280,BD!$A$3:$A$5001,"&gt;="&amp;$C$7,BD!$A$3:$A$5001,"&lt;="&amp;$B304,BD!$Z$3:$Z$5001,"&lt;&gt;"))))</f>
        <v/>
      </c>
      <c r="V304" s="54" t="str">
        <f>IF(OR($B304="",$A304&gt;$B$9,V$280=""),"",IF(COUNTIFS(BD!$B$3:$B$5001,V$280,BD!$A$3:$A$5001,"&gt;="&amp;$C$7,BD!$A$3:$A$5001,"&lt;="&amp;$B304,BD!$Z$3:$Z$5001,"&lt;&gt;")=0,"",SUMIFS(BD!$Z$3:$Z$5001,BD!$B$3:$B$5001,V$280,BD!$A$3:$A$5001,_xlfn.MAXIFS(BD!$A$3:$A$5001,BD!$B$3:$B$5001,V$280,BD!$A$3:$A$5001,"&gt;="&amp;$C$7,BD!$A$3:$A$5001,"&lt;="&amp;$B304,BD!$Z$3:$Z$5001,"&lt;&gt;"))))</f>
        <v/>
      </c>
    </row>
    <row r="305">
      <c r="A305" s="48">
        <v>25</v>
      </c>
      <c r="B305" s="53">
        <f>$B$36</f>
        <v>46320</v>
      </c>
      <c r="C305" s="54" t="str">
        <f>IF(OR($B305="",$A305&gt;$B$9,C$280=""),"",IF(COUNTIFS(BD!$B$3:$B$5001,C$280,BD!$A$3:$A$5001,"&gt;="&amp;$C$7,BD!$A$3:$A$5001,"&lt;="&amp;$B305,BD!$Z$3:$Z$5001,"&lt;&gt;")=0,"",SUMIFS(BD!$Z$3:$Z$5001,BD!$B$3:$B$5001,C$280,BD!$A$3:$A$5001,_xlfn.MAXIFS(BD!$A$3:$A$5001,BD!$B$3:$B$5001,C$280,BD!$A$3:$A$5001,"&gt;="&amp;$C$7,BD!$A$3:$A$5001,"&lt;="&amp;$B305,BD!$Z$3:$Z$5001,"&lt;&gt;"))))</f>
        <v/>
      </c>
      <c r="D305" s="54" t="str">
        <f>IF(OR($B305="",$A305&gt;$B$9,D$280=""),"",IF(COUNTIFS(BD!$B$3:$B$5001,D$280,BD!$A$3:$A$5001,"&gt;="&amp;$C$7,BD!$A$3:$A$5001,"&lt;="&amp;$B305,BD!$Z$3:$Z$5001,"&lt;&gt;")=0,"",SUMIFS(BD!$Z$3:$Z$5001,BD!$B$3:$B$5001,D$280,BD!$A$3:$A$5001,_xlfn.MAXIFS(BD!$A$3:$A$5001,BD!$B$3:$B$5001,D$280,BD!$A$3:$A$5001,"&gt;="&amp;$C$7,BD!$A$3:$A$5001,"&lt;="&amp;$B305,BD!$Z$3:$Z$5001,"&lt;&gt;"))))</f>
        <v/>
      </c>
      <c r="E305" s="54" t="str">
        <f>IF(OR($B305="",$A305&gt;$B$9,E$280=""),"",IF(COUNTIFS(BD!$B$3:$B$5001,E$280,BD!$A$3:$A$5001,"&gt;="&amp;$C$7,BD!$A$3:$A$5001,"&lt;="&amp;$B305,BD!$Z$3:$Z$5001,"&lt;&gt;")=0,"",SUMIFS(BD!$Z$3:$Z$5001,BD!$B$3:$B$5001,E$280,BD!$A$3:$A$5001,_xlfn.MAXIFS(BD!$A$3:$A$5001,BD!$B$3:$B$5001,E$280,BD!$A$3:$A$5001,"&gt;="&amp;$C$7,BD!$A$3:$A$5001,"&lt;="&amp;$B305,BD!$Z$3:$Z$5001,"&lt;&gt;"))))</f>
        <v/>
      </c>
      <c r="F305" s="54" t="str">
        <f>IF(OR($B305="",$A305&gt;$B$9,F$280=""),"",IF(COUNTIFS(BD!$B$3:$B$5001,F$280,BD!$A$3:$A$5001,"&gt;="&amp;$C$7,BD!$A$3:$A$5001,"&lt;="&amp;$B305,BD!$Z$3:$Z$5001,"&lt;&gt;")=0,"",SUMIFS(BD!$Z$3:$Z$5001,BD!$B$3:$B$5001,F$280,BD!$A$3:$A$5001,_xlfn.MAXIFS(BD!$A$3:$A$5001,BD!$B$3:$B$5001,F$280,BD!$A$3:$A$5001,"&gt;="&amp;$C$7,BD!$A$3:$A$5001,"&lt;="&amp;$B305,BD!$Z$3:$Z$5001,"&lt;&gt;"))))</f>
        <v/>
      </c>
      <c r="G305" s="54" t="str">
        <f>IF(OR($B305="",$A305&gt;$B$9,G$280=""),"",IF(COUNTIFS(BD!$B$3:$B$5001,G$280,BD!$A$3:$A$5001,"&gt;="&amp;$C$7,BD!$A$3:$A$5001,"&lt;="&amp;$B305,BD!$Z$3:$Z$5001,"&lt;&gt;")=0,"",SUMIFS(BD!$Z$3:$Z$5001,BD!$B$3:$B$5001,G$280,BD!$A$3:$A$5001,_xlfn.MAXIFS(BD!$A$3:$A$5001,BD!$B$3:$B$5001,G$280,BD!$A$3:$A$5001,"&gt;="&amp;$C$7,BD!$A$3:$A$5001,"&lt;="&amp;$B305,BD!$Z$3:$Z$5001,"&lt;&gt;"))))</f>
        <v/>
      </c>
      <c r="H305" s="54" t="str">
        <f>IF(OR($B305="",$A305&gt;$B$9,H$280=""),"",IF(COUNTIFS(BD!$B$3:$B$5001,H$280,BD!$A$3:$A$5001,"&gt;="&amp;$C$7,BD!$A$3:$A$5001,"&lt;="&amp;$B305,BD!$Z$3:$Z$5001,"&lt;&gt;")=0,"",SUMIFS(BD!$Z$3:$Z$5001,BD!$B$3:$B$5001,H$280,BD!$A$3:$A$5001,_xlfn.MAXIFS(BD!$A$3:$A$5001,BD!$B$3:$B$5001,H$280,BD!$A$3:$A$5001,"&gt;="&amp;$C$7,BD!$A$3:$A$5001,"&lt;="&amp;$B305,BD!$Z$3:$Z$5001,"&lt;&gt;"))))</f>
        <v/>
      </c>
      <c r="I305" s="54" t="str">
        <f>IF(OR($B305="",$A305&gt;$B$9,I$280=""),"",IF(COUNTIFS(BD!$B$3:$B$5001,I$280,BD!$A$3:$A$5001,"&gt;="&amp;$C$7,BD!$A$3:$A$5001,"&lt;="&amp;$B305,BD!$Z$3:$Z$5001,"&lt;&gt;")=0,"",SUMIFS(BD!$Z$3:$Z$5001,BD!$B$3:$B$5001,I$280,BD!$A$3:$A$5001,_xlfn.MAXIFS(BD!$A$3:$A$5001,BD!$B$3:$B$5001,I$280,BD!$A$3:$A$5001,"&gt;="&amp;$C$7,BD!$A$3:$A$5001,"&lt;="&amp;$B305,BD!$Z$3:$Z$5001,"&lt;&gt;"))))</f>
        <v/>
      </c>
      <c r="J305" s="54" t="str">
        <f>IF(OR($B305="",$A305&gt;$B$9,J$280=""),"",IF(COUNTIFS(BD!$B$3:$B$5001,J$280,BD!$A$3:$A$5001,"&gt;="&amp;$C$7,BD!$A$3:$A$5001,"&lt;="&amp;$B305,BD!$Z$3:$Z$5001,"&lt;&gt;")=0,"",SUMIFS(BD!$Z$3:$Z$5001,BD!$B$3:$B$5001,J$280,BD!$A$3:$A$5001,_xlfn.MAXIFS(BD!$A$3:$A$5001,BD!$B$3:$B$5001,J$280,BD!$A$3:$A$5001,"&gt;="&amp;$C$7,BD!$A$3:$A$5001,"&lt;="&amp;$B305,BD!$Z$3:$Z$5001,"&lt;&gt;"))))</f>
        <v/>
      </c>
      <c r="K305" s="54" t="str">
        <f>IF(OR($B305="",$A305&gt;$B$9,K$280=""),"",IF(COUNTIFS(BD!$B$3:$B$5001,K$280,BD!$A$3:$A$5001,"&gt;="&amp;$C$7,BD!$A$3:$A$5001,"&lt;="&amp;$B305,BD!$Z$3:$Z$5001,"&lt;&gt;")=0,"",SUMIFS(BD!$Z$3:$Z$5001,BD!$B$3:$B$5001,K$280,BD!$A$3:$A$5001,_xlfn.MAXIFS(BD!$A$3:$A$5001,BD!$B$3:$B$5001,K$280,BD!$A$3:$A$5001,"&gt;="&amp;$C$7,BD!$A$3:$A$5001,"&lt;="&amp;$B305,BD!$Z$3:$Z$5001,"&lt;&gt;"))))</f>
        <v/>
      </c>
      <c r="L305" s="54" t="str">
        <f>IF(OR($B305="",$A305&gt;$B$9,L$280=""),"",IF(COUNTIFS(BD!$B$3:$B$5001,L$280,BD!$A$3:$A$5001,"&gt;="&amp;$C$7,BD!$A$3:$A$5001,"&lt;="&amp;$B305,BD!$Z$3:$Z$5001,"&lt;&gt;")=0,"",SUMIFS(BD!$Z$3:$Z$5001,BD!$B$3:$B$5001,L$280,BD!$A$3:$A$5001,_xlfn.MAXIFS(BD!$A$3:$A$5001,BD!$B$3:$B$5001,L$280,BD!$A$3:$A$5001,"&gt;="&amp;$C$7,BD!$A$3:$A$5001,"&lt;="&amp;$B305,BD!$Z$3:$Z$5001,"&lt;&gt;"))))</f>
        <v/>
      </c>
      <c r="M305" s="54" t="str">
        <f>IF(OR($B305="",$A305&gt;$B$9,M$280=""),"",IF(COUNTIFS(BD!$B$3:$B$5001,M$280,BD!$A$3:$A$5001,"&gt;="&amp;$C$7,BD!$A$3:$A$5001,"&lt;="&amp;$B305,BD!$Z$3:$Z$5001,"&lt;&gt;")=0,"",SUMIFS(BD!$Z$3:$Z$5001,BD!$B$3:$B$5001,M$280,BD!$A$3:$A$5001,_xlfn.MAXIFS(BD!$A$3:$A$5001,BD!$B$3:$B$5001,M$280,BD!$A$3:$A$5001,"&gt;="&amp;$C$7,BD!$A$3:$A$5001,"&lt;="&amp;$B305,BD!$Z$3:$Z$5001,"&lt;&gt;"))))</f>
        <v/>
      </c>
      <c r="N305" s="54" t="str">
        <f>IF(OR($B305="",$A305&gt;$B$9,N$280=""),"",IF(COUNTIFS(BD!$B$3:$B$5001,N$280,BD!$A$3:$A$5001,"&gt;="&amp;$C$7,BD!$A$3:$A$5001,"&lt;="&amp;$B305,BD!$Z$3:$Z$5001,"&lt;&gt;")=0,"",SUMIFS(BD!$Z$3:$Z$5001,BD!$B$3:$B$5001,N$280,BD!$A$3:$A$5001,_xlfn.MAXIFS(BD!$A$3:$A$5001,BD!$B$3:$B$5001,N$280,BD!$A$3:$A$5001,"&gt;="&amp;$C$7,BD!$A$3:$A$5001,"&lt;="&amp;$B305,BD!$Z$3:$Z$5001,"&lt;&gt;"))))</f>
        <v/>
      </c>
      <c r="O305" s="54" t="str">
        <f>IF(OR($B305="",$A305&gt;$B$9,O$280=""),"",IF(COUNTIFS(BD!$B$3:$B$5001,O$280,BD!$A$3:$A$5001,"&gt;="&amp;$C$7,BD!$A$3:$A$5001,"&lt;="&amp;$B305,BD!$Z$3:$Z$5001,"&lt;&gt;")=0,"",SUMIFS(BD!$Z$3:$Z$5001,BD!$B$3:$B$5001,O$280,BD!$A$3:$A$5001,_xlfn.MAXIFS(BD!$A$3:$A$5001,BD!$B$3:$B$5001,O$280,BD!$A$3:$A$5001,"&gt;="&amp;$C$7,BD!$A$3:$A$5001,"&lt;="&amp;$B305,BD!$Z$3:$Z$5001,"&lt;&gt;"))))</f>
        <v/>
      </c>
      <c r="P305" s="54" t="str">
        <f>IF(OR($B305="",$A305&gt;$B$9,P$280=""),"",IF(COUNTIFS(BD!$B$3:$B$5001,P$280,BD!$A$3:$A$5001,"&gt;="&amp;$C$7,BD!$A$3:$A$5001,"&lt;="&amp;$B305,BD!$Z$3:$Z$5001,"&lt;&gt;")=0,"",SUMIFS(BD!$Z$3:$Z$5001,BD!$B$3:$B$5001,P$280,BD!$A$3:$A$5001,_xlfn.MAXIFS(BD!$A$3:$A$5001,BD!$B$3:$B$5001,P$280,BD!$A$3:$A$5001,"&gt;="&amp;$C$7,BD!$A$3:$A$5001,"&lt;="&amp;$B305,BD!$Z$3:$Z$5001,"&lt;&gt;"))))</f>
        <v/>
      </c>
      <c r="Q305" s="54" t="str">
        <f>IF(OR($B305="",$A305&gt;$B$9,Q$280=""),"",IF(COUNTIFS(BD!$B$3:$B$5001,Q$280,BD!$A$3:$A$5001,"&gt;="&amp;$C$7,BD!$A$3:$A$5001,"&lt;="&amp;$B305,BD!$Z$3:$Z$5001,"&lt;&gt;")=0,"",SUMIFS(BD!$Z$3:$Z$5001,BD!$B$3:$B$5001,Q$280,BD!$A$3:$A$5001,_xlfn.MAXIFS(BD!$A$3:$A$5001,BD!$B$3:$B$5001,Q$280,BD!$A$3:$A$5001,"&gt;="&amp;$C$7,BD!$A$3:$A$5001,"&lt;="&amp;$B305,BD!$Z$3:$Z$5001,"&lt;&gt;"))))</f>
        <v/>
      </c>
      <c r="R305" s="54" t="str">
        <f>IF(OR($B305="",$A305&gt;$B$9,R$280=""),"",IF(COUNTIFS(BD!$B$3:$B$5001,R$280,BD!$A$3:$A$5001,"&gt;="&amp;$C$7,BD!$A$3:$A$5001,"&lt;="&amp;$B305,BD!$Z$3:$Z$5001,"&lt;&gt;")=0,"",SUMIFS(BD!$Z$3:$Z$5001,BD!$B$3:$B$5001,R$280,BD!$A$3:$A$5001,_xlfn.MAXIFS(BD!$A$3:$A$5001,BD!$B$3:$B$5001,R$280,BD!$A$3:$A$5001,"&gt;="&amp;$C$7,BD!$A$3:$A$5001,"&lt;="&amp;$B305,BD!$Z$3:$Z$5001,"&lt;&gt;"))))</f>
        <v/>
      </c>
      <c r="S305" s="54" t="str">
        <f>IF(OR($B305="",$A305&gt;$B$9,S$280=""),"",IF(COUNTIFS(BD!$B$3:$B$5001,S$280,BD!$A$3:$A$5001,"&gt;="&amp;$C$7,BD!$A$3:$A$5001,"&lt;="&amp;$B305,BD!$Z$3:$Z$5001,"&lt;&gt;")=0,"",SUMIFS(BD!$Z$3:$Z$5001,BD!$B$3:$B$5001,S$280,BD!$A$3:$A$5001,_xlfn.MAXIFS(BD!$A$3:$A$5001,BD!$B$3:$B$5001,S$280,BD!$A$3:$A$5001,"&gt;="&amp;$C$7,BD!$A$3:$A$5001,"&lt;="&amp;$B305,BD!$Z$3:$Z$5001,"&lt;&gt;"))))</f>
        <v/>
      </c>
      <c r="T305" s="54" t="str">
        <f>IF(OR($B305="",$A305&gt;$B$9,T$280=""),"",IF(COUNTIFS(BD!$B$3:$B$5001,T$280,BD!$A$3:$A$5001,"&gt;="&amp;$C$7,BD!$A$3:$A$5001,"&lt;="&amp;$B305,BD!$Z$3:$Z$5001,"&lt;&gt;")=0,"",SUMIFS(BD!$Z$3:$Z$5001,BD!$B$3:$B$5001,T$280,BD!$A$3:$A$5001,_xlfn.MAXIFS(BD!$A$3:$A$5001,BD!$B$3:$B$5001,T$280,BD!$A$3:$A$5001,"&gt;="&amp;$C$7,BD!$A$3:$A$5001,"&lt;="&amp;$B305,BD!$Z$3:$Z$5001,"&lt;&gt;"))))</f>
        <v/>
      </c>
      <c r="U305" s="54" t="str">
        <f>IF(OR($B305="",$A305&gt;$B$9,U$280=""),"",IF(COUNTIFS(BD!$B$3:$B$5001,U$280,BD!$A$3:$A$5001,"&gt;="&amp;$C$7,BD!$A$3:$A$5001,"&lt;="&amp;$B305,BD!$Z$3:$Z$5001,"&lt;&gt;")=0,"",SUMIFS(BD!$Z$3:$Z$5001,BD!$B$3:$B$5001,U$280,BD!$A$3:$A$5001,_xlfn.MAXIFS(BD!$A$3:$A$5001,BD!$B$3:$B$5001,U$280,BD!$A$3:$A$5001,"&gt;="&amp;$C$7,BD!$A$3:$A$5001,"&lt;="&amp;$B305,BD!$Z$3:$Z$5001,"&lt;&gt;"))))</f>
        <v/>
      </c>
      <c r="V305" s="54" t="str">
        <f>IF(OR($B305="",$A305&gt;$B$9,V$280=""),"",IF(COUNTIFS(BD!$B$3:$B$5001,V$280,BD!$A$3:$A$5001,"&gt;="&amp;$C$7,BD!$A$3:$A$5001,"&lt;="&amp;$B305,BD!$Z$3:$Z$5001,"&lt;&gt;")=0,"",SUMIFS(BD!$Z$3:$Z$5001,BD!$B$3:$B$5001,V$280,BD!$A$3:$A$5001,_xlfn.MAXIFS(BD!$A$3:$A$5001,BD!$B$3:$B$5001,V$280,BD!$A$3:$A$5001,"&gt;="&amp;$C$7,BD!$A$3:$A$5001,"&lt;="&amp;$B305,BD!$Z$3:$Z$5001,"&lt;&gt;"))))</f>
        <v/>
      </c>
    </row>
    <row r="306">
      <c r="A306" s="48">
        <v>26</v>
      </c>
      <c r="B306" s="53">
        <f>$B$37</f>
        <v>46321</v>
      </c>
      <c r="C306" s="54" t="str">
        <f>IF(OR($B306="",$A306&gt;$B$9,C$280=""),"",IF(COUNTIFS(BD!$B$3:$B$5001,C$280,BD!$A$3:$A$5001,"&gt;="&amp;$C$7,BD!$A$3:$A$5001,"&lt;="&amp;$B306,BD!$Z$3:$Z$5001,"&lt;&gt;")=0,"",SUMIFS(BD!$Z$3:$Z$5001,BD!$B$3:$B$5001,C$280,BD!$A$3:$A$5001,_xlfn.MAXIFS(BD!$A$3:$A$5001,BD!$B$3:$B$5001,C$280,BD!$A$3:$A$5001,"&gt;="&amp;$C$7,BD!$A$3:$A$5001,"&lt;="&amp;$B306,BD!$Z$3:$Z$5001,"&lt;&gt;"))))</f>
        <v/>
      </c>
      <c r="D306" s="54" t="str">
        <f>IF(OR($B306="",$A306&gt;$B$9,D$280=""),"",IF(COUNTIFS(BD!$B$3:$B$5001,D$280,BD!$A$3:$A$5001,"&gt;="&amp;$C$7,BD!$A$3:$A$5001,"&lt;="&amp;$B306,BD!$Z$3:$Z$5001,"&lt;&gt;")=0,"",SUMIFS(BD!$Z$3:$Z$5001,BD!$B$3:$B$5001,D$280,BD!$A$3:$A$5001,_xlfn.MAXIFS(BD!$A$3:$A$5001,BD!$B$3:$B$5001,D$280,BD!$A$3:$A$5001,"&gt;="&amp;$C$7,BD!$A$3:$A$5001,"&lt;="&amp;$B306,BD!$Z$3:$Z$5001,"&lt;&gt;"))))</f>
        <v/>
      </c>
      <c r="E306" s="54" t="str">
        <f>IF(OR($B306="",$A306&gt;$B$9,E$280=""),"",IF(COUNTIFS(BD!$B$3:$B$5001,E$280,BD!$A$3:$A$5001,"&gt;="&amp;$C$7,BD!$A$3:$A$5001,"&lt;="&amp;$B306,BD!$Z$3:$Z$5001,"&lt;&gt;")=0,"",SUMIFS(BD!$Z$3:$Z$5001,BD!$B$3:$B$5001,E$280,BD!$A$3:$A$5001,_xlfn.MAXIFS(BD!$A$3:$A$5001,BD!$B$3:$B$5001,E$280,BD!$A$3:$A$5001,"&gt;="&amp;$C$7,BD!$A$3:$A$5001,"&lt;="&amp;$B306,BD!$Z$3:$Z$5001,"&lt;&gt;"))))</f>
        <v/>
      </c>
      <c r="F306" s="54" t="str">
        <f>IF(OR($B306="",$A306&gt;$B$9,F$280=""),"",IF(COUNTIFS(BD!$B$3:$B$5001,F$280,BD!$A$3:$A$5001,"&gt;="&amp;$C$7,BD!$A$3:$A$5001,"&lt;="&amp;$B306,BD!$Z$3:$Z$5001,"&lt;&gt;")=0,"",SUMIFS(BD!$Z$3:$Z$5001,BD!$B$3:$B$5001,F$280,BD!$A$3:$A$5001,_xlfn.MAXIFS(BD!$A$3:$A$5001,BD!$B$3:$B$5001,F$280,BD!$A$3:$A$5001,"&gt;="&amp;$C$7,BD!$A$3:$A$5001,"&lt;="&amp;$B306,BD!$Z$3:$Z$5001,"&lt;&gt;"))))</f>
        <v/>
      </c>
      <c r="G306" s="54" t="str">
        <f>IF(OR($B306="",$A306&gt;$B$9,G$280=""),"",IF(COUNTIFS(BD!$B$3:$B$5001,G$280,BD!$A$3:$A$5001,"&gt;="&amp;$C$7,BD!$A$3:$A$5001,"&lt;="&amp;$B306,BD!$Z$3:$Z$5001,"&lt;&gt;")=0,"",SUMIFS(BD!$Z$3:$Z$5001,BD!$B$3:$B$5001,G$280,BD!$A$3:$A$5001,_xlfn.MAXIFS(BD!$A$3:$A$5001,BD!$B$3:$B$5001,G$280,BD!$A$3:$A$5001,"&gt;="&amp;$C$7,BD!$A$3:$A$5001,"&lt;="&amp;$B306,BD!$Z$3:$Z$5001,"&lt;&gt;"))))</f>
        <v/>
      </c>
      <c r="H306" s="54" t="str">
        <f>IF(OR($B306="",$A306&gt;$B$9,H$280=""),"",IF(COUNTIFS(BD!$B$3:$B$5001,H$280,BD!$A$3:$A$5001,"&gt;="&amp;$C$7,BD!$A$3:$A$5001,"&lt;="&amp;$B306,BD!$Z$3:$Z$5001,"&lt;&gt;")=0,"",SUMIFS(BD!$Z$3:$Z$5001,BD!$B$3:$B$5001,H$280,BD!$A$3:$A$5001,_xlfn.MAXIFS(BD!$A$3:$A$5001,BD!$B$3:$B$5001,H$280,BD!$A$3:$A$5001,"&gt;="&amp;$C$7,BD!$A$3:$A$5001,"&lt;="&amp;$B306,BD!$Z$3:$Z$5001,"&lt;&gt;"))))</f>
        <v/>
      </c>
      <c r="I306" s="54" t="str">
        <f>IF(OR($B306="",$A306&gt;$B$9,I$280=""),"",IF(COUNTIFS(BD!$B$3:$B$5001,I$280,BD!$A$3:$A$5001,"&gt;="&amp;$C$7,BD!$A$3:$A$5001,"&lt;="&amp;$B306,BD!$Z$3:$Z$5001,"&lt;&gt;")=0,"",SUMIFS(BD!$Z$3:$Z$5001,BD!$B$3:$B$5001,I$280,BD!$A$3:$A$5001,_xlfn.MAXIFS(BD!$A$3:$A$5001,BD!$B$3:$B$5001,I$280,BD!$A$3:$A$5001,"&gt;="&amp;$C$7,BD!$A$3:$A$5001,"&lt;="&amp;$B306,BD!$Z$3:$Z$5001,"&lt;&gt;"))))</f>
        <v/>
      </c>
      <c r="J306" s="54" t="str">
        <f>IF(OR($B306="",$A306&gt;$B$9,J$280=""),"",IF(COUNTIFS(BD!$B$3:$B$5001,J$280,BD!$A$3:$A$5001,"&gt;="&amp;$C$7,BD!$A$3:$A$5001,"&lt;="&amp;$B306,BD!$Z$3:$Z$5001,"&lt;&gt;")=0,"",SUMIFS(BD!$Z$3:$Z$5001,BD!$B$3:$B$5001,J$280,BD!$A$3:$A$5001,_xlfn.MAXIFS(BD!$A$3:$A$5001,BD!$B$3:$B$5001,J$280,BD!$A$3:$A$5001,"&gt;="&amp;$C$7,BD!$A$3:$A$5001,"&lt;="&amp;$B306,BD!$Z$3:$Z$5001,"&lt;&gt;"))))</f>
        <v/>
      </c>
      <c r="K306" s="54" t="str">
        <f>IF(OR($B306="",$A306&gt;$B$9,K$280=""),"",IF(COUNTIFS(BD!$B$3:$B$5001,K$280,BD!$A$3:$A$5001,"&gt;="&amp;$C$7,BD!$A$3:$A$5001,"&lt;="&amp;$B306,BD!$Z$3:$Z$5001,"&lt;&gt;")=0,"",SUMIFS(BD!$Z$3:$Z$5001,BD!$B$3:$B$5001,K$280,BD!$A$3:$A$5001,_xlfn.MAXIFS(BD!$A$3:$A$5001,BD!$B$3:$B$5001,K$280,BD!$A$3:$A$5001,"&gt;="&amp;$C$7,BD!$A$3:$A$5001,"&lt;="&amp;$B306,BD!$Z$3:$Z$5001,"&lt;&gt;"))))</f>
        <v/>
      </c>
      <c r="L306" s="54" t="str">
        <f>IF(OR($B306="",$A306&gt;$B$9,L$280=""),"",IF(COUNTIFS(BD!$B$3:$B$5001,L$280,BD!$A$3:$A$5001,"&gt;="&amp;$C$7,BD!$A$3:$A$5001,"&lt;="&amp;$B306,BD!$Z$3:$Z$5001,"&lt;&gt;")=0,"",SUMIFS(BD!$Z$3:$Z$5001,BD!$B$3:$B$5001,L$280,BD!$A$3:$A$5001,_xlfn.MAXIFS(BD!$A$3:$A$5001,BD!$B$3:$B$5001,L$280,BD!$A$3:$A$5001,"&gt;="&amp;$C$7,BD!$A$3:$A$5001,"&lt;="&amp;$B306,BD!$Z$3:$Z$5001,"&lt;&gt;"))))</f>
        <v/>
      </c>
      <c r="M306" s="54" t="str">
        <f>IF(OR($B306="",$A306&gt;$B$9,M$280=""),"",IF(COUNTIFS(BD!$B$3:$B$5001,M$280,BD!$A$3:$A$5001,"&gt;="&amp;$C$7,BD!$A$3:$A$5001,"&lt;="&amp;$B306,BD!$Z$3:$Z$5001,"&lt;&gt;")=0,"",SUMIFS(BD!$Z$3:$Z$5001,BD!$B$3:$B$5001,M$280,BD!$A$3:$A$5001,_xlfn.MAXIFS(BD!$A$3:$A$5001,BD!$B$3:$B$5001,M$280,BD!$A$3:$A$5001,"&gt;="&amp;$C$7,BD!$A$3:$A$5001,"&lt;="&amp;$B306,BD!$Z$3:$Z$5001,"&lt;&gt;"))))</f>
        <v/>
      </c>
      <c r="N306" s="54" t="str">
        <f>IF(OR($B306="",$A306&gt;$B$9,N$280=""),"",IF(COUNTIFS(BD!$B$3:$B$5001,N$280,BD!$A$3:$A$5001,"&gt;="&amp;$C$7,BD!$A$3:$A$5001,"&lt;="&amp;$B306,BD!$Z$3:$Z$5001,"&lt;&gt;")=0,"",SUMIFS(BD!$Z$3:$Z$5001,BD!$B$3:$B$5001,N$280,BD!$A$3:$A$5001,_xlfn.MAXIFS(BD!$A$3:$A$5001,BD!$B$3:$B$5001,N$280,BD!$A$3:$A$5001,"&gt;="&amp;$C$7,BD!$A$3:$A$5001,"&lt;="&amp;$B306,BD!$Z$3:$Z$5001,"&lt;&gt;"))))</f>
        <v/>
      </c>
      <c r="O306" s="54" t="str">
        <f>IF(OR($B306="",$A306&gt;$B$9,O$280=""),"",IF(COUNTIFS(BD!$B$3:$B$5001,O$280,BD!$A$3:$A$5001,"&gt;="&amp;$C$7,BD!$A$3:$A$5001,"&lt;="&amp;$B306,BD!$Z$3:$Z$5001,"&lt;&gt;")=0,"",SUMIFS(BD!$Z$3:$Z$5001,BD!$B$3:$B$5001,O$280,BD!$A$3:$A$5001,_xlfn.MAXIFS(BD!$A$3:$A$5001,BD!$B$3:$B$5001,O$280,BD!$A$3:$A$5001,"&gt;="&amp;$C$7,BD!$A$3:$A$5001,"&lt;="&amp;$B306,BD!$Z$3:$Z$5001,"&lt;&gt;"))))</f>
        <v/>
      </c>
      <c r="P306" s="54" t="str">
        <f>IF(OR($B306="",$A306&gt;$B$9,P$280=""),"",IF(COUNTIFS(BD!$B$3:$B$5001,P$280,BD!$A$3:$A$5001,"&gt;="&amp;$C$7,BD!$A$3:$A$5001,"&lt;="&amp;$B306,BD!$Z$3:$Z$5001,"&lt;&gt;")=0,"",SUMIFS(BD!$Z$3:$Z$5001,BD!$B$3:$B$5001,P$280,BD!$A$3:$A$5001,_xlfn.MAXIFS(BD!$A$3:$A$5001,BD!$B$3:$B$5001,P$280,BD!$A$3:$A$5001,"&gt;="&amp;$C$7,BD!$A$3:$A$5001,"&lt;="&amp;$B306,BD!$Z$3:$Z$5001,"&lt;&gt;"))))</f>
        <v/>
      </c>
      <c r="Q306" s="54" t="str">
        <f>IF(OR($B306="",$A306&gt;$B$9,Q$280=""),"",IF(COUNTIFS(BD!$B$3:$B$5001,Q$280,BD!$A$3:$A$5001,"&gt;="&amp;$C$7,BD!$A$3:$A$5001,"&lt;="&amp;$B306,BD!$Z$3:$Z$5001,"&lt;&gt;")=0,"",SUMIFS(BD!$Z$3:$Z$5001,BD!$B$3:$B$5001,Q$280,BD!$A$3:$A$5001,_xlfn.MAXIFS(BD!$A$3:$A$5001,BD!$B$3:$B$5001,Q$280,BD!$A$3:$A$5001,"&gt;="&amp;$C$7,BD!$A$3:$A$5001,"&lt;="&amp;$B306,BD!$Z$3:$Z$5001,"&lt;&gt;"))))</f>
        <v/>
      </c>
      <c r="R306" s="54" t="str">
        <f>IF(OR($B306="",$A306&gt;$B$9,R$280=""),"",IF(COUNTIFS(BD!$B$3:$B$5001,R$280,BD!$A$3:$A$5001,"&gt;="&amp;$C$7,BD!$A$3:$A$5001,"&lt;="&amp;$B306,BD!$Z$3:$Z$5001,"&lt;&gt;")=0,"",SUMIFS(BD!$Z$3:$Z$5001,BD!$B$3:$B$5001,R$280,BD!$A$3:$A$5001,_xlfn.MAXIFS(BD!$A$3:$A$5001,BD!$B$3:$B$5001,R$280,BD!$A$3:$A$5001,"&gt;="&amp;$C$7,BD!$A$3:$A$5001,"&lt;="&amp;$B306,BD!$Z$3:$Z$5001,"&lt;&gt;"))))</f>
        <v/>
      </c>
      <c r="S306" s="54" t="str">
        <f>IF(OR($B306="",$A306&gt;$B$9,S$280=""),"",IF(COUNTIFS(BD!$B$3:$B$5001,S$280,BD!$A$3:$A$5001,"&gt;="&amp;$C$7,BD!$A$3:$A$5001,"&lt;="&amp;$B306,BD!$Z$3:$Z$5001,"&lt;&gt;")=0,"",SUMIFS(BD!$Z$3:$Z$5001,BD!$B$3:$B$5001,S$280,BD!$A$3:$A$5001,_xlfn.MAXIFS(BD!$A$3:$A$5001,BD!$B$3:$B$5001,S$280,BD!$A$3:$A$5001,"&gt;="&amp;$C$7,BD!$A$3:$A$5001,"&lt;="&amp;$B306,BD!$Z$3:$Z$5001,"&lt;&gt;"))))</f>
        <v/>
      </c>
      <c r="T306" s="54" t="str">
        <f>IF(OR($B306="",$A306&gt;$B$9,T$280=""),"",IF(COUNTIFS(BD!$B$3:$B$5001,T$280,BD!$A$3:$A$5001,"&gt;="&amp;$C$7,BD!$A$3:$A$5001,"&lt;="&amp;$B306,BD!$Z$3:$Z$5001,"&lt;&gt;")=0,"",SUMIFS(BD!$Z$3:$Z$5001,BD!$B$3:$B$5001,T$280,BD!$A$3:$A$5001,_xlfn.MAXIFS(BD!$A$3:$A$5001,BD!$B$3:$B$5001,T$280,BD!$A$3:$A$5001,"&gt;="&amp;$C$7,BD!$A$3:$A$5001,"&lt;="&amp;$B306,BD!$Z$3:$Z$5001,"&lt;&gt;"))))</f>
        <v/>
      </c>
      <c r="U306" s="54" t="str">
        <f>IF(OR($B306="",$A306&gt;$B$9,U$280=""),"",IF(COUNTIFS(BD!$B$3:$B$5001,U$280,BD!$A$3:$A$5001,"&gt;="&amp;$C$7,BD!$A$3:$A$5001,"&lt;="&amp;$B306,BD!$Z$3:$Z$5001,"&lt;&gt;")=0,"",SUMIFS(BD!$Z$3:$Z$5001,BD!$B$3:$B$5001,U$280,BD!$A$3:$A$5001,_xlfn.MAXIFS(BD!$A$3:$A$5001,BD!$B$3:$B$5001,U$280,BD!$A$3:$A$5001,"&gt;="&amp;$C$7,BD!$A$3:$A$5001,"&lt;="&amp;$B306,BD!$Z$3:$Z$5001,"&lt;&gt;"))))</f>
        <v/>
      </c>
      <c r="V306" s="54" t="str">
        <f>IF(OR($B306="",$A306&gt;$B$9,V$280=""),"",IF(COUNTIFS(BD!$B$3:$B$5001,V$280,BD!$A$3:$A$5001,"&gt;="&amp;$C$7,BD!$A$3:$A$5001,"&lt;="&amp;$B306,BD!$Z$3:$Z$5001,"&lt;&gt;")=0,"",SUMIFS(BD!$Z$3:$Z$5001,BD!$B$3:$B$5001,V$280,BD!$A$3:$A$5001,_xlfn.MAXIFS(BD!$A$3:$A$5001,BD!$B$3:$B$5001,V$280,BD!$A$3:$A$5001,"&gt;="&amp;$C$7,BD!$A$3:$A$5001,"&lt;="&amp;$B306,BD!$Z$3:$Z$5001,"&lt;&gt;"))))</f>
        <v/>
      </c>
    </row>
    <row r="307">
      <c r="A307" s="48">
        <v>27</v>
      </c>
      <c r="B307" s="53">
        <f>$B$38</f>
        <v>46322</v>
      </c>
      <c r="C307" s="54" t="str">
        <f>IF(OR($B307="",$A307&gt;$B$9,C$280=""),"",IF(COUNTIFS(BD!$B$3:$B$5001,C$280,BD!$A$3:$A$5001,"&gt;="&amp;$C$7,BD!$A$3:$A$5001,"&lt;="&amp;$B307,BD!$Z$3:$Z$5001,"&lt;&gt;")=0,"",SUMIFS(BD!$Z$3:$Z$5001,BD!$B$3:$B$5001,C$280,BD!$A$3:$A$5001,_xlfn.MAXIFS(BD!$A$3:$A$5001,BD!$B$3:$B$5001,C$280,BD!$A$3:$A$5001,"&gt;="&amp;$C$7,BD!$A$3:$A$5001,"&lt;="&amp;$B307,BD!$Z$3:$Z$5001,"&lt;&gt;"))))</f>
        <v/>
      </c>
      <c r="D307" s="54" t="str">
        <f>IF(OR($B307="",$A307&gt;$B$9,D$280=""),"",IF(COUNTIFS(BD!$B$3:$B$5001,D$280,BD!$A$3:$A$5001,"&gt;="&amp;$C$7,BD!$A$3:$A$5001,"&lt;="&amp;$B307,BD!$Z$3:$Z$5001,"&lt;&gt;")=0,"",SUMIFS(BD!$Z$3:$Z$5001,BD!$B$3:$B$5001,D$280,BD!$A$3:$A$5001,_xlfn.MAXIFS(BD!$A$3:$A$5001,BD!$B$3:$B$5001,D$280,BD!$A$3:$A$5001,"&gt;="&amp;$C$7,BD!$A$3:$A$5001,"&lt;="&amp;$B307,BD!$Z$3:$Z$5001,"&lt;&gt;"))))</f>
        <v/>
      </c>
      <c r="E307" s="54" t="str">
        <f>IF(OR($B307="",$A307&gt;$B$9,E$280=""),"",IF(COUNTIFS(BD!$B$3:$B$5001,E$280,BD!$A$3:$A$5001,"&gt;="&amp;$C$7,BD!$A$3:$A$5001,"&lt;="&amp;$B307,BD!$Z$3:$Z$5001,"&lt;&gt;")=0,"",SUMIFS(BD!$Z$3:$Z$5001,BD!$B$3:$B$5001,E$280,BD!$A$3:$A$5001,_xlfn.MAXIFS(BD!$A$3:$A$5001,BD!$B$3:$B$5001,E$280,BD!$A$3:$A$5001,"&gt;="&amp;$C$7,BD!$A$3:$A$5001,"&lt;="&amp;$B307,BD!$Z$3:$Z$5001,"&lt;&gt;"))))</f>
        <v/>
      </c>
      <c r="F307" s="54" t="str">
        <f>IF(OR($B307="",$A307&gt;$B$9,F$280=""),"",IF(COUNTIFS(BD!$B$3:$B$5001,F$280,BD!$A$3:$A$5001,"&gt;="&amp;$C$7,BD!$A$3:$A$5001,"&lt;="&amp;$B307,BD!$Z$3:$Z$5001,"&lt;&gt;")=0,"",SUMIFS(BD!$Z$3:$Z$5001,BD!$B$3:$B$5001,F$280,BD!$A$3:$A$5001,_xlfn.MAXIFS(BD!$A$3:$A$5001,BD!$B$3:$B$5001,F$280,BD!$A$3:$A$5001,"&gt;="&amp;$C$7,BD!$A$3:$A$5001,"&lt;="&amp;$B307,BD!$Z$3:$Z$5001,"&lt;&gt;"))))</f>
        <v/>
      </c>
      <c r="G307" s="54" t="str">
        <f>IF(OR($B307="",$A307&gt;$B$9,G$280=""),"",IF(COUNTIFS(BD!$B$3:$B$5001,G$280,BD!$A$3:$A$5001,"&gt;="&amp;$C$7,BD!$A$3:$A$5001,"&lt;="&amp;$B307,BD!$Z$3:$Z$5001,"&lt;&gt;")=0,"",SUMIFS(BD!$Z$3:$Z$5001,BD!$B$3:$B$5001,G$280,BD!$A$3:$A$5001,_xlfn.MAXIFS(BD!$A$3:$A$5001,BD!$B$3:$B$5001,G$280,BD!$A$3:$A$5001,"&gt;="&amp;$C$7,BD!$A$3:$A$5001,"&lt;="&amp;$B307,BD!$Z$3:$Z$5001,"&lt;&gt;"))))</f>
        <v/>
      </c>
      <c r="H307" s="54" t="str">
        <f>IF(OR($B307="",$A307&gt;$B$9,H$280=""),"",IF(COUNTIFS(BD!$B$3:$B$5001,H$280,BD!$A$3:$A$5001,"&gt;="&amp;$C$7,BD!$A$3:$A$5001,"&lt;="&amp;$B307,BD!$Z$3:$Z$5001,"&lt;&gt;")=0,"",SUMIFS(BD!$Z$3:$Z$5001,BD!$B$3:$B$5001,H$280,BD!$A$3:$A$5001,_xlfn.MAXIFS(BD!$A$3:$A$5001,BD!$B$3:$B$5001,H$280,BD!$A$3:$A$5001,"&gt;="&amp;$C$7,BD!$A$3:$A$5001,"&lt;="&amp;$B307,BD!$Z$3:$Z$5001,"&lt;&gt;"))))</f>
        <v/>
      </c>
      <c r="I307" s="54" t="str">
        <f>IF(OR($B307="",$A307&gt;$B$9,I$280=""),"",IF(COUNTIFS(BD!$B$3:$B$5001,I$280,BD!$A$3:$A$5001,"&gt;="&amp;$C$7,BD!$A$3:$A$5001,"&lt;="&amp;$B307,BD!$Z$3:$Z$5001,"&lt;&gt;")=0,"",SUMIFS(BD!$Z$3:$Z$5001,BD!$B$3:$B$5001,I$280,BD!$A$3:$A$5001,_xlfn.MAXIFS(BD!$A$3:$A$5001,BD!$B$3:$B$5001,I$280,BD!$A$3:$A$5001,"&gt;="&amp;$C$7,BD!$A$3:$A$5001,"&lt;="&amp;$B307,BD!$Z$3:$Z$5001,"&lt;&gt;"))))</f>
        <v/>
      </c>
      <c r="J307" s="54" t="str">
        <f>IF(OR($B307="",$A307&gt;$B$9,J$280=""),"",IF(COUNTIFS(BD!$B$3:$B$5001,J$280,BD!$A$3:$A$5001,"&gt;="&amp;$C$7,BD!$A$3:$A$5001,"&lt;="&amp;$B307,BD!$Z$3:$Z$5001,"&lt;&gt;")=0,"",SUMIFS(BD!$Z$3:$Z$5001,BD!$B$3:$B$5001,J$280,BD!$A$3:$A$5001,_xlfn.MAXIFS(BD!$A$3:$A$5001,BD!$B$3:$B$5001,J$280,BD!$A$3:$A$5001,"&gt;="&amp;$C$7,BD!$A$3:$A$5001,"&lt;="&amp;$B307,BD!$Z$3:$Z$5001,"&lt;&gt;"))))</f>
        <v/>
      </c>
      <c r="K307" s="54" t="str">
        <f>IF(OR($B307="",$A307&gt;$B$9,K$280=""),"",IF(COUNTIFS(BD!$B$3:$B$5001,K$280,BD!$A$3:$A$5001,"&gt;="&amp;$C$7,BD!$A$3:$A$5001,"&lt;="&amp;$B307,BD!$Z$3:$Z$5001,"&lt;&gt;")=0,"",SUMIFS(BD!$Z$3:$Z$5001,BD!$B$3:$B$5001,K$280,BD!$A$3:$A$5001,_xlfn.MAXIFS(BD!$A$3:$A$5001,BD!$B$3:$B$5001,K$280,BD!$A$3:$A$5001,"&gt;="&amp;$C$7,BD!$A$3:$A$5001,"&lt;="&amp;$B307,BD!$Z$3:$Z$5001,"&lt;&gt;"))))</f>
        <v/>
      </c>
      <c r="L307" s="54" t="str">
        <f>IF(OR($B307="",$A307&gt;$B$9,L$280=""),"",IF(COUNTIFS(BD!$B$3:$B$5001,L$280,BD!$A$3:$A$5001,"&gt;="&amp;$C$7,BD!$A$3:$A$5001,"&lt;="&amp;$B307,BD!$Z$3:$Z$5001,"&lt;&gt;")=0,"",SUMIFS(BD!$Z$3:$Z$5001,BD!$B$3:$B$5001,L$280,BD!$A$3:$A$5001,_xlfn.MAXIFS(BD!$A$3:$A$5001,BD!$B$3:$B$5001,L$280,BD!$A$3:$A$5001,"&gt;="&amp;$C$7,BD!$A$3:$A$5001,"&lt;="&amp;$B307,BD!$Z$3:$Z$5001,"&lt;&gt;"))))</f>
        <v/>
      </c>
      <c r="M307" s="54" t="str">
        <f>IF(OR($B307="",$A307&gt;$B$9,M$280=""),"",IF(COUNTIFS(BD!$B$3:$B$5001,M$280,BD!$A$3:$A$5001,"&gt;="&amp;$C$7,BD!$A$3:$A$5001,"&lt;="&amp;$B307,BD!$Z$3:$Z$5001,"&lt;&gt;")=0,"",SUMIFS(BD!$Z$3:$Z$5001,BD!$B$3:$B$5001,M$280,BD!$A$3:$A$5001,_xlfn.MAXIFS(BD!$A$3:$A$5001,BD!$B$3:$B$5001,M$280,BD!$A$3:$A$5001,"&gt;="&amp;$C$7,BD!$A$3:$A$5001,"&lt;="&amp;$B307,BD!$Z$3:$Z$5001,"&lt;&gt;"))))</f>
        <v/>
      </c>
      <c r="N307" s="54" t="str">
        <f>IF(OR($B307="",$A307&gt;$B$9,N$280=""),"",IF(COUNTIFS(BD!$B$3:$B$5001,N$280,BD!$A$3:$A$5001,"&gt;="&amp;$C$7,BD!$A$3:$A$5001,"&lt;="&amp;$B307,BD!$Z$3:$Z$5001,"&lt;&gt;")=0,"",SUMIFS(BD!$Z$3:$Z$5001,BD!$B$3:$B$5001,N$280,BD!$A$3:$A$5001,_xlfn.MAXIFS(BD!$A$3:$A$5001,BD!$B$3:$B$5001,N$280,BD!$A$3:$A$5001,"&gt;="&amp;$C$7,BD!$A$3:$A$5001,"&lt;="&amp;$B307,BD!$Z$3:$Z$5001,"&lt;&gt;"))))</f>
        <v/>
      </c>
      <c r="O307" s="54" t="str">
        <f>IF(OR($B307="",$A307&gt;$B$9,O$280=""),"",IF(COUNTIFS(BD!$B$3:$B$5001,O$280,BD!$A$3:$A$5001,"&gt;="&amp;$C$7,BD!$A$3:$A$5001,"&lt;="&amp;$B307,BD!$Z$3:$Z$5001,"&lt;&gt;")=0,"",SUMIFS(BD!$Z$3:$Z$5001,BD!$B$3:$B$5001,O$280,BD!$A$3:$A$5001,_xlfn.MAXIFS(BD!$A$3:$A$5001,BD!$B$3:$B$5001,O$280,BD!$A$3:$A$5001,"&gt;="&amp;$C$7,BD!$A$3:$A$5001,"&lt;="&amp;$B307,BD!$Z$3:$Z$5001,"&lt;&gt;"))))</f>
        <v/>
      </c>
      <c r="P307" s="54" t="str">
        <f>IF(OR($B307="",$A307&gt;$B$9,P$280=""),"",IF(COUNTIFS(BD!$B$3:$B$5001,P$280,BD!$A$3:$A$5001,"&gt;="&amp;$C$7,BD!$A$3:$A$5001,"&lt;="&amp;$B307,BD!$Z$3:$Z$5001,"&lt;&gt;")=0,"",SUMIFS(BD!$Z$3:$Z$5001,BD!$B$3:$B$5001,P$280,BD!$A$3:$A$5001,_xlfn.MAXIFS(BD!$A$3:$A$5001,BD!$B$3:$B$5001,P$280,BD!$A$3:$A$5001,"&gt;="&amp;$C$7,BD!$A$3:$A$5001,"&lt;="&amp;$B307,BD!$Z$3:$Z$5001,"&lt;&gt;"))))</f>
        <v/>
      </c>
      <c r="Q307" s="54" t="str">
        <f>IF(OR($B307="",$A307&gt;$B$9,Q$280=""),"",IF(COUNTIFS(BD!$B$3:$B$5001,Q$280,BD!$A$3:$A$5001,"&gt;="&amp;$C$7,BD!$A$3:$A$5001,"&lt;="&amp;$B307,BD!$Z$3:$Z$5001,"&lt;&gt;")=0,"",SUMIFS(BD!$Z$3:$Z$5001,BD!$B$3:$B$5001,Q$280,BD!$A$3:$A$5001,_xlfn.MAXIFS(BD!$A$3:$A$5001,BD!$B$3:$B$5001,Q$280,BD!$A$3:$A$5001,"&gt;="&amp;$C$7,BD!$A$3:$A$5001,"&lt;="&amp;$B307,BD!$Z$3:$Z$5001,"&lt;&gt;"))))</f>
        <v/>
      </c>
      <c r="R307" s="54" t="str">
        <f>IF(OR($B307="",$A307&gt;$B$9,R$280=""),"",IF(COUNTIFS(BD!$B$3:$B$5001,R$280,BD!$A$3:$A$5001,"&gt;="&amp;$C$7,BD!$A$3:$A$5001,"&lt;="&amp;$B307,BD!$Z$3:$Z$5001,"&lt;&gt;")=0,"",SUMIFS(BD!$Z$3:$Z$5001,BD!$B$3:$B$5001,R$280,BD!$A$3:$A$5001,_xlfn.MAXIFS(BD!$A$3:$A$5001,BD!$B$3:$B$5001,R$280,BD!$A$3:$A$5001,"&gt;="&amp;$C$7,BD!$A$3:$A$5001,"&lt;="&amp;$B307,BD!$Z$3:$Z$5001,"&lt;&gt;"))))</f>
        <v/>
      </c>
      <c r="S307" s="54" t="str">
        <f>IF(OR($B307="",$A307&gt;$B$9,S$280=""),"",IF(COUNTIFS(BD!$B$3:$B$5001,S$280,BD!$A$3:$A$5001,"&gt;="&amp;$C$7,BD!$A$3:$A$5001,"&lt;="&amp;$B307,BD!$Z$3:$Z$5001,"&lt;&gt;")=0,"",SUMIFS(BD!$Z$3:$Z$5001,BD!$B$3:$B$5001,S$280,BD!$A$3:$A$5001,_xlfn.MAXIFS(BD!$A$3:$A$5001,BD!$B$3:$B$5001,S$280,BD!$A$3:$A$5001,"&gt;="&amp;$C$7,BD!$A$3:$A$5001,"&lt;="&amp;$B307,BD!$Z$3:$Z$5001,"&lt;&gt;"))))</f>
        <v/>
      </c>
      <c r="T307" s="54" t="str">
        <f>IF(OR($B307="",$A307&gt;$B$9,T$280=""),"",IF(COUNTIFS(BD!$B$3:$B$5001,T$280,BD!$A$3:$A$5001,"&gt;="&amp;$C$7,BD!$A$3:$A$5001,"&lt;="&amp;$B307,BD!$Z$3:$Z$5001,"&lt;&gt;")=0,"",SUMIFS(BD!$Z$3:$Z$5001,BD!$B$3:$B$5001,T$280,BD!$A$3:$A$5001,_xlfn.MAXIFS(BD!$A$3:$A$5001,BD!$B$3:$B$5001,T$280,BD!$A$3:$A$5001,"&gt;="&amp;$C$7,BD!$A$3:$A$5001,"&lt;="&amp;$B307,BD!$Z$3:$Z$5001,"&lt;&gt;"))))</f>
        <v/>
      </c>
      <c r="U307" s="54" t="str">
        <f>IF(OR($B307="",$A307&gt;$B$9,U$280=""),"",IF(COUNTIFS(BD!$B$3:$B$5001,U$280,BD!$A$3:$A$5001,"&gt;="&amp;$C$7,BD!$A$3:$A$5001,"&lt;="&amp;$B307,BD!$Z$3:$Z$5001,"&lt;&gt;")=0,"",SUMIFS(BD!$Z$3:$Z$5001,BD!$B$3:$B$5001,U$280,BD!$A$3:$A$5001,_xlfn.MAXIFS(BD!$A$3:$A$5001,BD!$B$3:$B$5001,U$280,BD!$A$3:$A$5001,"&gt;="&amp;$C$7,BD!$A$3:$A$5001,"&lt;="&amp;$B307,BD!$Z$3:$Z$5001,"&lt;&gt;"))))</f>
        <v/>
      </c>
      <c r="V307" s="54" t="str">
        <f>IF(OR($B307="",$A307&gt;$B$9,V$280=""),"",IF(COUNTIFS(BD!$B$3:$B$5001,V$280,BD!$A$3:$A$5001,"&gt;="&amp;$C$7,BD!$A$3:$A$5001,"&lt;="&amp;$B307,BD!$Z$3:$Z$5001,"&lt;&gt;")=0,"",SUMIFS(BD!$Z$3:$Z$5001,BD!$B$3:$B$5001,V$280,BD!$A$3:$A$5001,_xlfn.MAXIFS(BD!$A$3:$A$5001,BD!$B$3:$B$5001,V$280,BD!$A$3:$A$5001,"&gt;="&amp;$C$7,BD!$A$3:$A$5001,"&lt;="&amp;$B307,BD!$Z$3:$Z$5001,"&lt;&gt;"))))</f>
        <v/>
      </c>
    </row>
    <row r="308">
      <c r="A308" s="48">
        <v>28</v>
      </c>
      <c r="B308" s="53">
        <f>$B$39</f>
        <v>46323</v>
      </c>
      <c r="C308" s="54" t="str">
        <f>IF(OR($B308="",$A308&gt;$B$9,C$280=""),"",IF(COUNTIFS(BD!$B$3:$B$5001,C$280,BD!$A$3:$A$5001,"&gt;="&amp;$C$7,BD!$A$3:$A$5001,"&lt;="&amp;$B308,BD!$Z$3:$Z$5001,"&lt;&gt;")=0,"",SUMIFS(BD!$Z$3:$Z$5001,BD!$B$3:$B$5001,C$280,BD!$A$3:$A$5001,_xlfn.MAXIFS(BD!$A$3:$A$5001,BD!$B$3:$B$5001,C$280,BD!$A$3:$A$5001,"&gt;="&amp;$C$7,BD!$A$3:$A$5001,"&lt;="&amp;$B308,BD!$Z$3:$Z$5001,"&lt;&gt;"))))</f>
        <v/>
      </c>
      <c r="D308" s="54" t="str">
        <f>IF(OR($B308="",$A308&gt;$B$9,D$280=""),"",IF(COUNTIFS(BD!$B$3:$B$5001,D$280,BD!$A$3:$A$5001,"&gt;="&amp;$C$7,BD!$A$3:$A$5001,"&lt;="&amp;$B308,BD!$Z$3:$Z$5001,"&lt;&gt;")=0,"",SUMIFS(BD!$Z$3:$Z$5001,BD!$B$3:$B$5001,D$280,BD!$A$3:$A$5001,_xlfn.MAXIFS(BD!$A$3:$A$5001,BD!$B$3:$B$5001,D$280,BD!$A$3:$A$5001,"&gt;="&amp;$C$7,BD!$A$3:$A$5001,"&lt;="&amp;$B308,BD!$Z$3:$Z$5001,"&lt;&gt;"))))</f>
        <v/>
      </c>
      <c r="E308" s="54" t="str">
        <f>IF(OR($B308="",$A308&gt;$B$9,E$280=""),"",IF(COUNTIFS(BD!$B$3:$B$5001,E$280,BD!$A$3:$A$5001,"&gt;="&amp;$C$7,BD!$A$3:$A$5001,"&lt;="&amp;$B308,BD!$Z$3:$Z$5001,"&lt;&gt;")=0,"",SUMIFS(BD!$Z$3:$Z$5001,BD!$B$3:$B$5001,E$280,BD!$A$3:$A$5001,_xlfn.MAXIFS(BD!$A$3:$A$5001,BD!$B$3:$B$5001,E$280,BD!$A$3:$A$5001,"&gt;="&amp;$C$7,BD!$A$3:$A$5001,"&lt;="&amp;$B308,BD!$Z$3:$Z$5001,"&lt;&gt;"))))</f>
        <v/>
      </c>
      <c r="F308" s="54" t="str">
        <f>IF(OR($B308="",$A308&gt;$B$9,F$280=""),"",IF(COUNTIFS(BD!$B$3:$B$5001,F$280,BD!$A$3:$A$5001,"&gt;="&amp;$C$7,BD!$A$3:$A$5001,"&lt;="&amp;$B308,BD!$Z$3:$Z$5001,"&lt;&gt;")=0,"",SUMIFS(BD!$Z$3:$Z$5001,BD!$B$3:$B$5001,F$280,BD!$A$3:$A$5001,_xlfn.MAXIFS(BD!$A$3:$A$5001,BD!$B$3:$B$5001,F$280,BD!$A$3:$A$5001,"&gt;="&amp;$C$7,BD!$A$3:$A$5001,"&lt;="&amp;$B308,BD!$Z$3:$Z$5001,"&lt;&gt;"))))</f>
        <v/>
      </c>
      <c r="G308" s="54" t="str">
        <f>IF(OR($B308="",$A308&gt;$B$9,G$280=""),"",IF(COUNTIFS(BD!$B$3:$B$5001,G$280,BD!$A$3:$A$5001,"&gt;="&amp;$C$7,BD!$A$3:$A$5001,"&lt;="&amp;$B308,BD!$Z$3:$Z$5001,"&lt;&gt;")=0,"",SUMIFS(BD!$Z$3:$Z$5001,BD!$B$3:$B$5001,G$280,BD!$A$3:$A$5001,_xlfn.MAXIFS(BD!$A$3:$A$5001,BD!$B$3:$B$5001,G$280,BD!$A$3:$A$5001,"&gt;="&amp;$C$7,BD!$A$3:$A$5001,"&lt;="&amp;$B308,BD!$Z$3:$Z$5001,"&lt;&gt;"))))</f>
        <v/>
      </c>
      <c r="H308" s="54" t="str">
        <f>IF(OR($B308="",$A308&gt;$B$9,H$280=""),"",IF(COUNTIFS(BD!$B$3:$B$5001,H$280,BD!$A$3:$A$5001,"&gt;="&amp;$C$7,BD!$A$3:$A$5001,"&lt;="&amp;$B308,BD!$Z$3:$Z$5001,"&lt;&gt;")=0,"",SUMIFS(BD!$Z$3:$Z$5001,BD!$B$3:$B$5001,H$280,BD!$A$3:$A$5001,_xlfn.MAXIFS(BD!$A$3:$A$5001,BD!$B$3:$B$5001,H$280,BD!$A$3:$A$5001,"&gt;="&amp;$C$7,BD!$A$3:$A$5001,"&lt;="&amp;$B308,BD!$Z$3:$Z$5001,"&lt;&gt;"))))</f>
        <v/>
      </c>
      <c r="I308" s="54" t="str">
        <f>IF(OR($B308="",$A308&gt;$B$9,I$280=""),"",IF(COUNTIFS(BD!$B$3:$B$5001,I$280,BD!$A$3:$A$5001,"&gt;="&amp;$C$7,BD!$A$3:$A$5001,"&lt;="&amp;$B308,BD!$Z$3:$Z$5001,"&lt;&gt;")=0,"",SUMIFS(BD!$Z$3:$Z$5001,BD!$B$3:$B$5001,I$280,BD!$A$3:$A$5001,_xlfn.MAXIFS(BD!$A$3:$A$5001,BD!$B$3:$B$5001,I$280,BD!$A$3:$A$5001,"&gt;="&amp;$C$7,BD!$A$3:$A$5001,"&lt;="&amp;$B308,BD!$Z$3:$Z$5001,"&lt;&gt;"))))</f>
        <v/>
      </c>
      <c r="J308" s="54" t="str">
        <f>IF(OR($B308="",$A308&gt;$B$9,J$280=""),"",IF(COUNTIFS(BD!$B$3:$B$5001,J$280,BD!$A$3:$A$5001,"&gt;="&amp;$C$7,BD!$A$3:$A$5001,"&lt;="&amp;$B308,BD!$Z$3:$Z$5001,"&lt;&gt;")=0,"",SUMIFS(BD!$Z$3:$Z$5001,BD!$B$3:$B$5001,J$280,BD!$A$3:$A$5001,_xlfn.MAXIFS(BD!$A$3:$A$5001,BD!$B$3:$B$5001,J$280,BD!$A$3:$A$5001,"&gt;="&amp;$C$7,BD!$A$3:$A$5001,"&lt;="&amp;$B308,BD!$Z$3:$Z$5001,"&lt;&gt;"))))</f>
        <v/>
      </c>
      <c r="K308" s="54" t="str">
        <f>IF(OR($B308="",$A308&gt;$B$9,K$280=""),"",IF(COUNTIFS(BD!$B$3:$B$5001,K$280,BD!$A$3:$A$5001,"&gt;="&amp;$C$7,BD!$A$3:$A$5001,"&lt;="&amp;$B308,BD!$Z$3:$Z$5001,"&lt;&gt;")=0,"",SUMIFS(BD!$Z$3:$Z$5001,BD!$B$3:$B$5001,K$280,BD!$A$3:$A$5001,_xlfn.MAXIFS(BD!$A$3:$A$5001,BD!$B$3:$B$5001,K$280,BD!$A$3:$A$5001,"&gt;="&amp;$C$7,BD!$A$3:$A$5001,"&lt;="&amp;$B308,BD!$Z$3:$Z$5001,"&lt;&gt;"))))</f>
        <v/>
      </c>
      <c r="L308" s="54" t="str">
        <f>IF(OR($B308="",$A308&gt;$B$9,L$280=""),"",IF(COUNTIFS(BD!$B$3:$B$5001,L$280,BD!$A$3:$A$5001,"&gt;="&amp;$C$7,BD!$A$3:$A$5001,"&lt;="&amp;$B308,BD!$Z$3:$Z$5001,"&lt;&gt;")=0,"",SUMIFS(BD!$Z$3:$Z$5001,BD!$B$3:$B$5001,L$280,BD!$A$3:$A$5001,_xlfn.MAXIFS(BD!$A$3:$A$5001,BD!$B$3:$B$5001,L$280,BD!$A$3:$A$5001,"&gt;="&amp;$C$7,BD!$A$3:$A$5001,"&lt;="&amp;$B308,BD!$Z$3:$Z$5001,"&lt;&gt;"))))</f>
        <v/>
      </c>
      <c r="M308" s="54" t="str">
        <f>IF(OR($B308="",$A308&gt;$B$9,M$280=""),"",IF(COUNTIFS(BD!$B$3:$B$5001,M$280,BD!$A$3:$A$5001,"&gt;="&amp;$C$7,BD!$A$3:$A$5001,"&lt;="&amp;$B308,BD!$Z$3:$Z$5001,"&lt;&gt;")=0,"",SUMIFS(BD!$Z$3:$Z$5001,BD!$B$3:$B$5001,M$280,BD!$A$3:$A$5001,_xlfn.MAXIFS(BD!$A$3:$A$5001,BD!$B$3:$B$5001,M$280,BD!$A$3:$A$5001,"&gt;="&amp;$C$7,BD!$A$3:$A$5001,"&lt;="&amp;$B308,BD!$Z$3:$Z$5001,"&lt;&gt;"))))</f>
        <v/>
      </c>
      <c r="N308" s="54" t="str">
        <f>IF(OR($B308="",$A308&gt;$B$9,N$280=""),"",IF(COUNTIFS(BD!$B$3:$B$5001,N$280,BD!$A$3:$A$5001,"&gt;="&amp;$C$7,BD!$A$3:$A$5001,"&lt;="&amp;$B308,BD!$Z$3:$Z$5001,"&lt;&gt;")=0,"",SUMIFS(BD!$Z$3:$Z$5001,BD!$B$3:$B$5001,N$280,BD!$A$3:$A$5001,_xlfn.MAXIFS(BD!$A$3:$A$5001,BD!$B$3:$B$5001,N$280,BD!$A$3:$A$5001,"&gt;="&amp;$C$7,BD!$A$3:$A$5001,"&lt;="&amp;$B308,BD!$Z$3:$Z$5001,"&lt;&gt;"))))</f>
        <v/>
      </c>
      <c r="O308" s="54" t="str">
        <f>IF(OR($B308="",$A308&gt;$B$9,O$280=""),"",IF(COUNTIFS(BD!$B$3:$B$5001,O$280,BD!$A$3:$A$5001,"&gt;="&amp;$C$7,BD!$A$3:$A$5001,"&lt;="&amp;$B308,BD!$Z$3:$Z$5001,"&lt;&gt;")=0,"",SUMIFS(BD!$Z$3:$Z$5001,BD!$B$3:$B$5001,O$280,BD!$A$3:$A$5001,_xlfn.MAXIFS(BD!$A$3:$A$5001,BD!$B$3:$B$5001,O$280,BD!$A$3:$A$5001,"&gt;="&amp;$C$7,BD!$A$3:$A$5001,"&lt;="&amp;$B308,BD!$Z$3:$Z$5001,"&lt;&gt;"))))</f>
        <v/>
      </c>
      <c r="P308" s="54" t="str">
        <f>IF(OR($B308="",$A308&gt;$B$9,P$280=""),"",IF(COUNTIFS(BD!$B$3:$B$5001,P$280,BD!$A$3:$A$5001,"&gt;="&amp;$C$7,BD!$A$3:$A$5001,"&lt;="&amp;$B308,BD!$Z$3:$Z$5001,"&lt;&gt;")=0,"",SUMIFS(BD!$Z$3:$Z$5001,BD!$B$3:$B$5001,P$280,BD!$A$3:$A$5001,_xlfn.MAXIFS(BD!$A$3:$A$5001,BD!$B$3:$B$5001,P$280,BD!$A$3:$A$5001,"&gt;="&amp;$C$7,BD!$A$3:$A$5001,"&lt;="&amp;$B308,BD!$Z$3:$Z$5001,"&lt;&gt;"))))</f>
        <v/>
      </c>
      <c r="Q308" s="54" t="str">
        <f>IF(OR($B308="",$A308&gt;$B$9,Q$280=""),"",IF(COUNTIFS(BD!$B$3:$B$5001,Q$280,BD!$A$3:$A$5001,"&gt;="&amp;$C$7,BD!$A$3:$A$5001,"&lt;="&amp;$B308,BD!$Z$3:$Z$5001,"&lt;&gt;")=0,"",SUMIFS(BD!$Z$3:$Z$5001,BD!$B$3:$B$5001,Q$280,BD!$A$3:$A$5001,_xlfn.MAXIFS(BD!$A$3:$A$5001,BD!$B$3:$B$5001,Q$280,BD!$A$3:$A$5001,"&gt;="&amp;$C$7,BD!$A$3:$A$5001,"&lt;="&amp;$B308,BD!$Z$3:$Z$5001,"&lt;&gt;"))))</f>
        <v/>
      </c>
      <c r="R308" s="54" t="str">
        <f>IF(OR($B308="",$A308&gt;$B$9,R$280=""),"",IF(COUNTIFS(BD!$B$3:$B$5001,R$280,BD!$A$3:$A$5001,"&gt;="&amp;$C$7,BD!$A$3:$A$5001,"&lt;="&amp;$B308,BD!$Z$3:$Z$5001,"&lt;&gt;")=0,"",SUMIFS(BD!$Z$3:$Z$5001,BD!$B$3:$B$5001,R$280,BD!$A$3:$A$5001,_xlfn.MAXIFS(BD!$A$3:$A$5001,BD!$B$3:$B$5001,R$280,BD!$A$3:$A$5001,"&gt;="&amp;$C$7,BD!$A$3:$A$5001,"&lt;="&amp;$B308,BD!$Z$3:$Z$5001,"&lt;&gt;"))))</f>
        <v/>
      </c>
      <c r="S308" s="54" t="str">
        <f>IF(OR($B308="",$A308&gt;$B$9,S$280=""),"",IF(COUNTIFS(BD!$B$3:$B$5001,S$280,BD!$A$3:$A$5001,"&gt;="&amp;$C$7,BD!$A$3:$A$5001,"&lt;="&amp;$B308,BD!$Z$3:$Z$5001,"&lt;&gt;")=0,"",SUMIFS(BD!$Z$3:$Z$5001,BD!$B$3:$B$5001,S$280,BD!$A$3:$A$5001,_xlfn.MAXIFS(BD!$A$3:$A$5001,BD!$B$3:$B$5001,S$280,BD!$A$3:$A$5001,"&gt;="&amp;$C$7,BD!$A$3:$A$5001,"&lt;="&amp;$B308,BD!$Z$3:$Z$5001,"&lt;&gt;"))))</f>
        <v/>
      </c>
      <c r="T308" s="54" t="str">
        <f>IF(OR($B308="",$A308&gt;$B$9,T$280=""),"",IF(COUNTIFS(BD!$B$3:$B$5001,T$280,BD!$A$3:$A$5001,"&gt;="&amp;$C$7,BD!$A$3:$A$5001,"&lt;="&amp;$B308,BD!$Z$3:$Z$5001,"&lt;&gt;")=0,"",SUMIFS(BD!$Z$3:$Z$5001,BD!$B$3:$B$5001,T$280,BD!$A$3:$A$5001,_xlfn.MAXIFS(BD!$A$3:$A$5001,BD!$B$3:$B$5001,T$280,BD!$A$3:$A$5001,"&gt;="&amp;$C$7,BD!$A$3:$A$5001,"&lt;="&amp;$B308,BD!$Z$3:$Z$5001,"&lt;&gt;"))))</f>
        <v/>
      </c>
      <c r="U308" s="54" t="str">
        <f>IF(OR($B308="",$A308&gt;$B$9,U$280=""),"",IF(COUNTIFS(BD!$B$3:$B$5001,U$280,BD!$A$3:$A$5001,"&gt;="&amp;$C$7,BD!$A$3:$A$5001,"&lt;="&amp;$B308,BD!$Z$3:$Z$5001,"&lt;&gt;")=0,"",SUMIFS(BD!$Z$3:$Z$5001,BD!$B$3:$B$5001,U$280,BD!$A$3:$A$5001,_xlfn.MAXIFS(BD!$A$3:$A$5001,BD!$B$3:$B$5001,U$280,BD!$A$3:$A$5001,"&gt;="&amp;$C$7,BD!$A$3:$A$5001,"&lt;="&amp;$B308,BD!$Z$3:$Z$5001,"&lt;&gt;"))))</f>
        <v/>
      </c>
      <c r="V308" s="54" t="str">
        <f>IF(OR($B308="",$A308&gt;$B$9,V$280=""),"",IF(COUNTIFS(BD!$B$3:$B$5001,V$280,BD!$A$3:$A$5001,"&gt;="&amp;$C$7,BD!$A$3:$A$5001,"&lt;="&amp;$B308,BD!$Z$3:$Z$5001,"&lt;&gt;")=0,"",SUMIFS(BD!$Z$3:$Z$5001,BD!$B$3:$B$5001,V$280,BD!$A$3:$A$5001,_xlfn.MAXIFS(BD!$A$3:$A$5001,BD!$B$3:$B$5001,V$280,BD!$A$3:$A$5001,"&gt;="&amp;$C$7,BD!$A$3:$A$5001,"&lt;="&amp;$B308,BD!$Z$3:$Z$5001,"&lt;&gt;"))))</f>
        <v/>
      </c>
    </row>
    <row r="309">
      <c r="A309" s="48">
        <v>29</v>
      </c>
      <c r="B309" s="53">
        <f>$B$40</f>
        <v>46324</v>
      </c>
      <c r="C309" s="54" t="str">
        <f>IF(OR($B309="",$A309&gt;$B$9,C$280=""),"",IF(COUNTIFS(BD!$B$3:$B$5001,C$280,BD!$A$3:$A$5001,"&gt;="&amp;$C$7,BD!$A$3:$A$5001,"&lt;="&amp;$B309,BD!$Z$3:$Z$5001,"&lt;&gt;")=0,"",SUMIFS(BD!$Z$3:$Z$5001,BD!$B$3:$B$5001,C$280,BD!$A$3:$A$5001,_xlfn.MAXIFS(BD!$A$3:$A$5001,BD!$B$3:$B$5001,C$280,BD!$A$3:$A$5001,"&gt;="&amp;$C$7,BD!$A$3:$A$5001,"&lt;="&amp;$B309,BD!$Z$3:$Z$5001,"&lt;&gt;"))))</f>
        <v/>
      </c>
      <c r="D309" s="54" t="str">
        <f>IF(OR($B309="",$A309&gt;$B$9,D$280=""),"",IF(COUNTIFS(BD!$B$3:$B$5001,D$280,BD!$A$3:$A$5001,"&gt;="&amp;$C$7,BD!$A$3:$A$5001,"&lt;="&amp;$B309,BD!$Z$3:$Z$5001,"&lt;&gt;")=0,"",SUMIFS(BD!$Z$3:$Z$5001,BD!$B$3:$B$5001,D$280,BD!$A$3:$A$5001,_xlfn.MAXIFS(BD!$A$3:$A$5001,BD!$B$3:$B$5001,D$280,BD!$A$3:$A$5001,"&gt;="&amp;$C$7,BD!$A$3:$A$5001,"&lt;="&amp;$B309,BD!$Z$3:$Z$5001,"&lt;&gt;"))))</f>
        <v/>
      </c>
      <c r="E309" s="54" t="str">
        <f>IF(OR($B309="",$A309&gt;$B$9,E$280=""),"",IF(COUNTIFS(BD!$B$3:$B$5001,E$280,BD!$A$3:$A$5001,"&gt;="&amp;$C$7,BD!$A$3:$A$5001,"&lt;="&amp;$B309,BD!$Z$3:$Z$5001,"&lt;&gt;")=0,"",SUMIFS(BD!$Z$3:$Z$5001,BD!$B$3:$B$5001,E$280,BD!$A$3:$A$5001,_xlfn.MAXIFS(BD!$A$3:$A$5001,BD!$B$3:$B$5001,E$280,BD!$A$3:$A$5001,"&gt;="&amp;$C$7,BD!$A$3:$A$5001,"&lt;="&amp;$B309,BD!$Z$3:$Z$5001,"&lt;&gt;"))))</f>
        <v/>
      </c>
      <c r="F309" s="54" t="str">
        <f>IF(OR($B309="",$A309&gt;$B$9,F$280=""),"",IF(COUNTIFS(BD!$B$3:$B$5001,F$280,BD!$A$3:$A$5001,"&gt;="&amp;$C$7,BD!$A$3:$A$5001,"&lt;="&amp;$B309,BD!$Z$3:$Z$5001,"&lt;&gt;")=0,"",SUMIFS(BD!$Z$3:$Z$5001,BD!$B$3:$B$5001,F$280,BD!$A$3:$A$5001,_xlfn.MAXIFS(BD!$A$3:$A$5001,BD!$B$3:$B$5001,F$280,BD!$A$3:$A$5001,"&gt;="&amp;$C$7,BD!$A$3:$A$5001,"&lt;="&amp;$B309,BD!$Z$3:$Z$5001,"&lt;&gt;"))))</f>
        <v/>
      </c>
      <c r="G309" s="54" t="str">
        <f>IF(OR($B309="",$A309&gt;$B$9,G$280=""),"",IF(COUNTIFS(BD!$B$3:$B$5001,G$280,BD!$A$3:$A$5001,"&gt;="&amp;$C$7,BD!$A$3:$A$5001,"&lt;="&amp;$B309,BD!$Z$3:$Z$5001,"&lt;&gt;")=0,"",SUMIFS(BD!$Z$3:$Z$5001,BD!$B$3:$B$5001,G$280,BD!$A$3:$A$5001,_xlfn.MAXIFS(BD!$A$3:$A$5001,BD!$B$3:$B$5001,G$280,BD!$A$3:$A$5001,"&gt;="&amp;$C$7,BD!$A$3:$A$5001,"&lt;="&amp;$B309,BD!$Z$3:$Z$5001,"&lt;&gt;"))))</f>
        <v/>
      </c>
      <c r="H309" s="54" t="str">
        <f>IF(OR($B309="",$A309&gt;$B$9,H$280=""),"",IF(COUNTIFS(BD!$B$3:$B$5001,H$280,BD!$A$3:$A$5001,"&gt;="&amp;$C$7,BD!$A$3:$A$5001,"&lt;="&amp;$B309,BD!$Z$3:$Z$5001,"&lt;&gt;")=0,"",SUMIFS(BD!$Z$3:$Z$5001,BD!$B$3:$B$5001,H$280,BD!$A$3:$A$5001,_xlfn.MAXIFS(BD!$A$3:$A$5001,BD!$B$3:$B$5001,H$280,BD!$A$3:$A$5001,"&gt;="&amp;$C$7,BD!$A$3:$A$5001,"&lt;="&amp;$B309,BD!$Z$3:$Z$5001,"&lt;&gt;"))))</f>
        <v/>
      </c>
      <c r="I309" s="54" t="str">
        <f>IF(OR($B309="",$A309&gt;$B$9,I$280=""),"",IF(COUNTIFS(BD!$B$3:$B$5001,I$280,BD!$A$3:$A$5001,"&gt;="&amp;$C$7,BD!$A$3:$A$5001,"&lt;="&amp;$B309,BD!$Z$3:$Z$5001,"&lt;&gt;")=0,"",SUMIFS(BD!$Z$3:$Z$5001,BD!$B$3:$B$5001,I$280,BD!$A$3:$A$5001,_xlfn.MAXIFS(BD!$A$3:$A$5001,BD!$B$3:$B$5001,I$280,BD!$A$3:$A$5001,"&gt;="&amp;$C$7,BD!$A$3:$A$5001,"&lt;="&amp;$B309,BD!$Z$3:$Z$5001,"&lt;&gt;"))))</f>
        <v/>
      </c>
      <c r="J309" s="54" t="str">
        <f>IF(OR($B309="",$A309&gt;$B$9,J$280=""),"",IF(COUNTIFS(BD!$B$3:$B$5001,J$280,BD!$A$3:$A$5001,"&gt;="&amp;$C$7,BD!$A$3:$A$5001,"&lt;="&amp;$B309,BD!$Z$3:$Z$5001,"&lt;&gt;")=0,"",SUMIFS(BD!$Z$3:$Z$5001,BD!$B$3:$B$5001,J$280,BD!$A$3:$A$5001,_xlfn.MAXIFS(BD!$A$3:$A$5001,BD!$B$3:$B$5001,J$280,BD!$A$3:$A$5001,"&gt;="&amp;$C$7,BD!$A$3:$A$5001,"&lt;="&amp;$B309,BD!$Z$3:$Z$5001,"&lt;&gt;"))))</f>
        <v/>
      </c>
      <c r="K309" s="54" t="str">
        <f>IF(OR($B309="",$A309&gt;$B$9,K$280=""),"",IF(COUNTIFS(BD!$B$3:$B$5001,K$280,BD!$A$3:$A$5001,"&gt;="&amp;$C$7,BD!$A$3:$A$5001,"&lt;="&amp;$B309,BD!$Z$3:$Z$5001,"&lt;&gt;")=0,"",SUMIFS(BD!$Z$3:$Z$5001,BD!$B$3:$B$5001,K$280,BD!$A$3:$A$5001,_xlfn.MAXIFS(BD!$A$3:$A$5001,BD!$B$3:$B$5001,K$280,BD!$A$3:$A$5001,"&gt;="&amp;$C$7,BD!$A$3:$A$5001,"&lt;="&amp;$B309,BD!$Z$3:$Z$5001,"&lt;&gt;"))))</f>
        <v/>
      </c>
      <c r="L309" s="54" t="str">
        <f>IF(OR($B309="",$A309&gt;$B$9,L$280=""),"",IF(COUNTIFS(BD!$B$3:$B$5001,L$280,BD!$A$3:$A$5001,"&gt;="&amp;$C$7,BD!$A$3:$A$5001,"&lt;="&amp;$B309,BD!$Z$3:$Z$5001,"&lt;&gt;")=0,"",SUMIFS(BD!$Z$3:$Z$5001,BD!$B$3:$B$5001,L$280,BD!$A$3:$A$5001,_xlfn.MAXIFS(BD!$A$3:$A$5001,BD!$B$3:$B$5001,L$280,BD!$A$3:$A$5001,"&gt;="&amp;$C$7,BD!$A$3:$A$5001,"&lt;="&amp;$B309,BD!$Z$3:$Z$5001,"&lt;&gt;"))))</f>
        <v/>
      </c>
      <c r="M309" s="54" t="str">
        <f>IF(OR($B309="",$A309&gt;$B$9,M$280=""),"",IF(COUNTIFS(BD!$B$3:$B$5001,M$280,BD!$A$3:$A$5001,"&gt;="&amp;$C$7,BD!$A$3:$A$5001,"&lt;="&amp;$B309,BD!$Z$3:$Z$5001,"&lt;&gt;")=0,"",SUMIFS(BD!$Z$3:$Z$5001,BD!$B$3:$B$5001,M$280,BD!$A$3:$A$5001,_xlfn.MAXIFS(BD!$A$3:$A$5001,BD!$B$3:$B$5001,M$280,BD!$A$3:$A$5001,"&gt;="&amp;$C$7,BD!$A$3:$A$5001,"&lt;="&amp;$B309,BD!$Z$3:$Z$5001,"&lt;&gt;"))))</f>
        <v/>
      </c>
      <c r="N309" s="54" t="str">
        <f>IF(OR($B309="",$A309&gt;$B$9,N$280=""),"",IF(COUNTIFS(BD!$B$3:$B$5001,N$280,BD!$A$3:$A$5001,"&gt;="&amp;$C$7,BD!$A$3:$A$5001,"&lt;="&amp;$B309,BD!$Z$3:$Z$5001,"&lt;&gt;")=0,"",SUMIFS(BD!$Z$3:$Z$5001,BD!$B$3:$B$5001,N$280,BD!$A$3:$A$5001,_xlfn.MAXIFS(BD!$A$3:$A$5001,BD!$B$3:$B$5001,N$280,BD!$A$3:$A$5001,"&gt;="&amp;$C$7,BD!$A$3:$A$5001,"&lt;="&amp;$B309,BD!$Z$3:$Z$5001,"&lt;&gt;"))))</f>
        <v/>
      </c>
      <c r="O309" s="54" t="str">
        <f>IF(OR($B309="",$A309&gt;$B$9,O$280=""),"",IF(COUNTIFS(BD!$B$3:$B$5001,O$280,BD!$A$3:$A$5001,"&gt;="&amp;$C$7,BD!$A$3:$A$5001,"&lt;="&amp;$B309,BD!$Z$3:$Z$5001,"&lt;&gt;")=0,"",SUMIFS(BD!$Z$3:$Z$5001,BD!$B$3:$B$5001,O$280,BD!$A$3:$A$5001,_xlfn.MAXIFS(BD!$A$3:$A$5001,BD!$B$3:$B$5001,O$280,BD!$A$3:$A$5001,"&gt;="&amp;$C$7,BD!$A$3:$A$5001,"&lt;="&amp;$B309,BD!$Z$3:$Z$5001,"&lt;&gt;"))))</f>
        <v/>
      </c>
      <c r="P309" s="54" t="str">
        <f>IF(OR($B309="",$A309&gt;$B$9,P$280=""),"",IF(COUNTIFS(BD!$B$3:$B$5001,P$280,BD!$A$3:$A$5001,"&gt;="&amp;$C$7,BD!$A$3:$A$5001,"&lt;="&amp;$B309,BD!$Z$3:$Z$5001,"&lt;&gt;")=0,"",SUMIFS(BD!$Z$3:$Z$5001,BD!$B$3:$B$5001,P$280,BD!$A$3:$A$5001,_xlfn.MAXIFS(BD!$A$3:$A$5001,BD!$B$3:$B$5001,P$280,BD!$A$3:$A$5001,"&gt;="&amp;$C$7,BD!$A$3:$A$5001,"&lt;="&amp;$B309,BD!$Z$3:$Z$5001,"&lt;&gt;"))))</f>
        <v/>
      </c>
      <c r="Q309" s="54" t="str">
        <f>IF(OR($B309="",$A309&gt;$B$9,Q$280=""),"",IF(COUNTIFS(BD!$B$3:$B$5001,Q$280,BD!$A$3:$A$5001,"&gt;="&amp;$C$7,BD!$A$3:$A$5001,"&lt;="&amp;$B309,BD!$Z$3:$Z$5001,"&lt;&gt;")=0,"",SUMIFS(BD!$Z$3:$Z$5001,BD!$B$3:$B$5001,Q$280,BD!$A$3:$A$5001,_xlfn.MAXIFS(BD!$A$3:$A$5001,BD!$B$3:$B$5001,Q$280,BD!$A$3:$A$5001,"&gt;="&amp;$C$7,BD!$A$3:$A$5001,"&lt;="&amp;$B309,BD!$Z$3:$Z$5001,"&lt;&gt;"))))</f>
        <v/>
      </c>
      <c r="R309" s="54" t="str">
        <f>IF(OR($B309="",$A309&gt;$B$9,R$280=""),"",IF(COUNTIFS(BD!$B$3:$B$5001,R$280,BD!$A$3:$A$5001,"&gt;="&amp;$C$7,BD!$A$3:$A$5001,"&lt;="&amp;$B309,BD!$Z$3:$Z$5001,"&lt;&gt;")=0,"",SUMIFS(BD!$Z$3:$Z$5001,BD!$B$3:$B$5001,R$280,BD!$A$3:$A$5001,_xlfn.MAXIFS(BD!$A$3:$A$5001,BD!$B$3:$B$5001,R$280,BD!$A$3:$A$5001,"&gt;="&amp;$C$7,BD!$A$3:$A$5001,"&lt;="&amp;$B309,BD!$Z$3:$Z$5001,"&lt;&gt;"))))</f>
        <v/>
      </c>
      <c r="S309" s="54" t="str">
        <f>IF(OR($B309="",$A309&gt;$B$9,S$280=""),"",IF(COUNTIFS(BD!$B$3:$B$5001,S$280,BD!$A$3:$A$5001,"&gt;="&amp;$C$7,BD!$A$3:$A$5001,"&lt;="&amp;$B309,BD!$Z$3:$Z$5001,"&lt;&gt;")=0,"",SUMIFS(BD!$Z$3:$Z$5001,BD!$B$3:$B$5001,S$280,BD!$A$3:$A$5001,_xlfn.MAXIFS(BD!$A$3:$A$5001,BD!$B$3:$B$5001,S$280,BD!$A$3:$A$5001,"&gt;="&amp;$C$7,BD!$A$3:$A$5001,"&lt;="&amp;$B309,BD!$Z$3:$Z$5001,"&lt;&gt;"))))</f>
        <v/>
      </c>
      <c r="T309" s="54" t="str">
        <f>IF(OR($B309="",$A309&gt;$B$9,T$280=""),"",IF(COUNTIFS(BD!$B$3:$B$5001,T$280,BD!$A$3:$A$5001,"&gt;="&amp;$C$7,BD!$A$3:$A$5001,"&lt;="&amp;$B309,BD!$Z$3:$Z$5001,"&lt;&gt;")=0,"",SUMIFS(BD!$Z$3:$Z$5001,BD!$B$3:$B$5001,T$280,BD!$A$3:$A$5001,_xlfn.MAXIFS(BD!$A$3:$A$5001,BD!$B$3:$B$5001,T$280,BD!$A$3:$A$5001,"&gt;="&amp;$C$7,BD!$A$3:$A$5001,"&lt;="&amp;$B309,BD!$Z$3:$Z$5001,"&lt;&gt;"))))</f>
        <v/>
      </c>
      <c r="U309" s="54" t="str">
        <f>IF(OR($B309="",$A309&gt;$B$9,U$280=""),"",IF(COUNTIFS(BD!$B$3:$B$5001,U$280,BD!$A$3:$A$5001,"&gt;="&amp;$C$7,BD!$A$3:$A$5001,"&lt;="&amp;$B309,BD!$Z$3:$Z$5001,"&lt;&gt;")=0,"",SUMIFS(BD!$Z$3:$Z$5001,BD!$B$3:$B$5001,U$280,BD!$A$3:$A$5001,_xlfn.MAXIFS(BD!$A$3:$A$5001,BD!$B$3:$B$5001,U$280,BD!$A$3:$A$5001,"&gt;="&amp;$C$7,BD!$A$3:$A$5001,"&lt;="&amp;$B309,BD!$Z$3:$Z$5001,"&lt;&gt;"))))</f>
        <v/>
      </c>
      <c r="V309" s="54" t="str">
        <f>IF(OR($B309="",$A309&gt;$B$9,V$280=""),"",IF(COUNTIFS(BD!$B$3:$B$5001,V$280,BD!$A$3:$A$5001,"&gt;="&amp;$C$7,BD!$A$3:$A$5001,"&lt;="&amp;$B309,BD!$Z$3:$Z$5001,"&lt;&gt;")=0,"",SUMIFS(BD!$Z$3:$Z$5001,BD!$B$3:$B$5001,V$280,BD!$A$3:$A$5001,_xlfn.MAXIFS(BD!$A$3:$A$5001,BD!$B$3:$B$5001,V$280,BD!$A$3:$A$5001,"&gt;="&amp;$C$7,BD!$A$3:$A$5001,"&lt;="&amp;$B309,BD!$Z$3:$Z$5001,"&lt;&gt;"))))</f>
        <v/>
      </c>
    </row>
    <row r="310">
      <c r="A310" s="48">
        <v>30</v>
      </c>
      <c r="B310" s="53">
        <f>$B$41</f>
        <v>46325</v>
      </c>
      <c r="C310" s="54" t="str">
        <f>IF(OR($B310="",$A310&gt;$B$9,C$280=""),"",IF(COUNTIFS(BD!$B$3:$B$5001,C$280,BD!$A$3:$A$5001,"&gt;="&amp;$C$7,BD!$A$3:$A$5001,"&lt;="&amp;$B310,BD!$Z$3:$Z$5001,"&lt;&gt;")=0,"",SUMIFS(BD!$Z$3:$Z$5001,BD!$B$3:$B$5001,C$280,BD!$A$3:$A$5001,_xlfn.MAXIFS(BD!$A$3:$A$5001,BD!$B$3:$B$5001,C$280,BD!$A$3:$A$5001,"&gt;="&amp;$C$7,BD!$A$3:$A$5001,"&lt;="&amp;$B310,BD!$Z$3:$Z$5001,"&lt;&gt;"))))</f>
        <v/>
      </c>
      <c r="D310" s="54" t="str">
        <f>IF(OR($B310="",$A310&gt;$B$9,D$280=""),"",IF(COUNTIFS(BD!$B$3:$B$5001,D$280,BD!$A$3:$A$5001,"&gt;="&amp;$C$7,BD!$A$3:$A$5001,"&lt;="&amp;$B310,BD!$Z$3:$Z$5001,"&lt;&gt;")=0,"",SUMIFS(BD!$Z$3:$Z$5001,BD!$B$3:$B$5001,D$280,BD!$A$3:$A$5001,_xlfn.MAXIFS(BD!$A$3:$A$5001,BD!$B$3:$B$5001,D$280,BD!$A$3:$A$5001,"&gt;="&amp;$C$7,BD!$A$3:$A$5001,"&lt;="&amp;$B310,BD!$Z$3:$Z$5001,"&lt;&gt;"))))</f>
        <v/>
      </c>
      <c r="E310" s="54" t="str">
        <f>IF(OR($B310="",$A310&gt;$B$9,E$280=""),"",IF(COUNTIFS(BD!$B$3:$B$5001,E$280,BD!$A$3:$A$5001,"&gt;="&amp;$C$7,BD!$A$3:$A$5001,"&lt;="&amp;$B310,BD!$Z$3:$Z$5001,"&lt;&gt;")=0,"",SUMIFS(BD!$Z$3:$Z$5001,BD!$B$3:$B$5001,E$280,BD!$A$3:$A$5001,_xlfn.MAXIFS(BD!$A$3:$A$5001,BD!$B$3:$B$5001,E$280,BD!$A$3:$A$5001,"&gt;="&amp;$C$7,BD!$A$3:$A$5001,"&lt;="&amp;$B310,BD!$Z$3:$Z$5001,"&lt;&gt;"))))</f>
        <v/>
      </c>
      <c r="F310" s="54" t="str">
        <f>IF(OR($B310="",$A310&gt;$B$9,F$280=""),"",IF(COUNTIFS(BD!$B$3:$B$5001,F$280,BD!$A$3:$A$5001,"&gt;="&amp;$C$7,BD!$A$3:$A$5001,"&lt;="&amp;$B310,BD!$Z$3:$Z$5001,"&lt;&gt;")=0,"",SUMIFS(BD!$Z$3:$Z$5001,BD!$B$3:$B$5001,F$280,BD!$A$3:$A$5001,_xlfn.MAXIFS(BD!$A$3:$A$5001,BD!$B$3:$B$5001,F$280,BD!$A$3:$A$5001,"&gt;="&amp;$C$7,BD!$A$3:$A$5001,"&lt;="&amp;$B310,BD!$Z$3:$Z$5001,"&lt;&gt;"))))</f>
        <v/>
      </c>
      <c r="G310" s="54" t="str">
        <f>IF(OR($B310="",$A310&gt;$B$9,G$280=""),"",IF(COUNTIFS(BD!$B$3:$B$5001,G$280,BD!$A$3:$A$5001,"&gt;="&amp;$C$7,BD!$A$3:$A$5001,"&lt;="&amp;$B310,BD!$Z$3:$Z$5001,"&lt;&gt;")=0,"",SUMIFS(BD!$Z$3:$Z$5001,BD!$B$3:$B$5001,G$280,BD!$A$3:$A$5001,_xlfn.MAXIFS(BD!$A$3:$A$5001,BD!$B$3:$B$5001,G$280,BD!$A$3:$A$5001,"&gt;="&amp;$C$7,BD!$A$3:$A$5001,"&lt;="&amp;$B310,BD!$Z$3:$Z$5001,"&lt;&gt;"))))</f>
        <v/>
      </c>
      <c r="H310" s="54" t="str">
        <f>IF(OR($B310="",$A310&gt;$B$9,H$280=""),"",IF(COUNTIFS(BD!$B$3:$B$5001,H$280,BD!$A$3:$A$5001,"&gt;="&amp;$C$7,BD!$A$3:$A$5001,"&lt;="&amp;$B310,BD!$Z$3:$Z$5001,"&lt;&gt;")=0,"",SUMIFS(BD!$Z$3:$Z$5001,BD!$B$3:$B$5001,H$280,BD!$A$3:$A$5001,_xlfn.MAXIFS(BD!$A$3:$A$5001,BD!$B$3:$B$5001,H$280,BD!$A$3:$A$5001,"&gt;="&amp;$C$7,BD!$A$3:$A$5001,"&lt;="&amp;$B310,BD!$Z$3:$Z$5001,"&lt;&gt;"))))</f>
        <v/>
      </c>
      <c r="I310" s="54" t="str">
        <f>IF(OR($B310="",$A310&gt;$B$9,I$280=""),"",IF(COUNTIFS(BD!$B$3:$B$5001,I$280,BD!$A$3:$A$5001,"&gt;="&amp;$C$7,BD!$A$3:$A$5001,"&lt;="&amp;$B310,BD!$Z$3:$Z$5001,"&lt;&gt;")=0,"",SUMIFS(BD!$Z$3:$Z$5001,BD!$B$3:$B$5001,I$280,BD!$A$3:$A$5001,_xlfn.MAXIFS(BD!$A$3:$A$5001,BD!$B$3:$B$5001,I$280,BD!$A$3:$A$5001,"&gt;="&amp;$C$7,BD!$A$3:$A$5001,"&lt;="&amp;$B310,BD!$Z$3:$Z$5001,"&lt;&gt;"))))</f>
        <v/>
      </c>
      <c r="J310" s="54" t="str">
        <f>IF(OR($B310="",$A310&gt;$B$9,J$280=""),"",IF(COUNTIFS(BD!$B$3:$B$5001,J$280,BD!$A$3:$A$5001,"&gt;="&amp;$C$7,BD!$A$3:$A$5001,"&lt;="&amp;$B310,BD!$Z$3:$Z$5001,"&lt;&gt;")=0,"",SUMIFS(BD!$Z$3:$Z$5001,BD!$B$3:$B$5001,J$280,BD!$A$3:$A$5001,_xlfn.MAXIFS(BD!$A$3:$A$5001,BD!$B$3:$B$5001,J$280,BD!$A$3:$A$5001,"&gt;="&amp;$C$7,BD!$A$3:$A$5001,"&lt;="&amp;$B310,BD!$Z$3:$Z$5001,"&lt;&gt;"))))</f>
        <v/>
      </c>
      <c r="K310" s="54" t="str">
        <f>IF(OR($B310="",$A310&gt;$B$9,K$280=""),"",IF(COUNTIFS(BD!$B$3:$B$5001,K$280,BD!$A$3:$A$5001,"&gt;="&amp;$C$7,BD!$A$3:$A$5001,"&lt;="&amp;$B310,BD!$Z$3:$Z$5001,"&lt;&gt;")=0,"",SUMIFS(BD!$Z$3:$Z$5001,BD!$B$3:$B$5001,K$280,BD!$A$3:$A$5001,_xlfn.MAXIFS(BD!$A$3:$A$5001,BD!$B$3:$B$5001,K$280,BD!$A$3:$A$5001,"&gt;="&amp;$C$7,BD!$A$3:$A$5001,"&lt;="&amp;$B310,BD!$Z$3:$Z$5001,"&lt;&gt;"))))</f>
        <v/>
      </c>
      <c r="L310" s="54" t="str">
        <f>IF(OR($B310="",$A310&gt;$B$9,L$280=""),"",IF(COUNTIFS(BD!$B$3:$B$5001,L$280,BD!$A$3:$A$5001,"&gt;="&amp;$C$7,BD!$A$3:$A$5001,"&lt;="&amp;$B310,BD!$Z$3:$Z$5001,"&lt;&gt;")=0,"",SUMIFS(BD!$Z$3:$Z$5001,BD!$B$3:$B$5001,L$280,BD!$A$3:$A$5001,_xlfn.MAXIFS(BD!$A$3:$A$5001,BD!$B$3:$B$5001,L$280,BD!$A$3:$A$5001,"&gt;="&amp;$C$7,BD!$A$3:$A$5001,"&lt;="&amp;$B310,BD!$Z$3:$Z$5001,"&lt;&gt;"))))</f>
        <v/>
      </c>
      <c r="M310" s="54" t="str">
        <f>IF(OR($B310="",$A310&gt;$B$9,M$280=""),"",IF(COUNTIFS(BD!$B$3:$B$5001,M$280,BD!$A$3:$A$5001,"&gt;="&amp;$C$7,BD!$A$3:$A$5001,"&lt;="&amp;$B310,BD!$Z$3:$Z$5001,"&lt;&gt;")=0,"",SUMIFS(BD!$Z$3:$Z$5001,BD!$B$3:$B$5001,M$280,BD!$A$3:$A$5001,_xlfn.MAXIFS(BD!$A$3:$A$5001,BD!$B$3:$B$5001,M$280,BD!$A$3:$A$5001,"&gt;="&amp;$C$7,BD!$A$3:$A$5001,"&lt;="&amp;$B310,BD!$Z$3:$Z$5001,"&lt;&gt;"))))</f>
        <v/>
      </c>
      <c r="N310" s="54" t="str">
        <f>IF(OR($B310="",$A310&gt;$B$9,N$280=""),"",IF(COUNTIFS(BD!$B$3:$B$5001,N$280,BD!$A$3:$A$5001,"&gt;="&amp;$C$7,BD!$A$3:$A$5001,"&lt;="&amp;$B310,BD!$Z$3:$Z$5001,"&lt;&gt;")=0,"",SUMIFS(BD!$Z$3:$Z$5001,BD!$B$3:$B$5001,N$280,BD!$A$3:$A$5001,_xlfn.MAXIFS(BD!$A$3:$A$5001,BD!$B$3:$B$5001,N$280,BD!$A$3:$A$5001,"&gt;="&amp;$C$7,BD!$A$3:$A$5001,"&lt;="&amp;$B310,BD!$Z$3:$Z$5001,"&lt;&gt;"))))</f>
        <v/>
      </c>
      <c r="O310" s="54" t="str">
        <f>IF(OR($B310="",$A310&gt;$B$9,O$280=""),"",IF(COUNTIFS(BD!$B$3:$B$5001,O$280,BD!$A$3:$A$5001,"&gt;="&amp;$C$7,BD!$A$3:$A$5001,"&lt;="&amp;$B310,BD!$Z$3:$Z$5001,"&lt;&gt;")=0,"",SUMIFS(BD!$Z$3:$Z$5001,BD!$B$3:$B$5001,O$280,BD!$A$3:$A$5001,_xlfn.MAXIFS(BD!$A$3:$A$5001,BD!$B$3:$B$5001,O$280,BD!$A$3:$A$5001,"&gt;="&amp;$C$7,BD!$A$3:$A$5001,"&lt;="&amp;$B310,BD!$Z$3:$Z$5001,"&lt;&gt;"))))</f>
        <v/>
      </c>
      <c r="P310" s="54" t="str">
        <f>IF(OR($B310="",$A310&gt;$B$9,P$280=""),"",IF(COUNTIFS(BD!$B$3:$B$5001,P$280,BD!$A$3:$A$5001,"&gt;="&amp;$C$7,BD!$A$3:$A$5001,"&lt;="&amp;$B310,BD!$Z$3:$Z$5001,"&lt;&gt;")=0,"",SUMIFS(BD!$Z$3:$Z$5001,BD!$B$3:$B$5001,P$280,BD!$A$3:$A$5001,_xlfn.MAXIFS(BD!$A$3:$A$5001,BD!$B$3:$B$5001,P$280,BD!$A$3:$A$5001,"&gt;="&amp;$C$7,BD!$A$3:$A$5001,"&lt;="&amp;$B310,BD!$Z$3:$Z$5001,"&lt;&gt;"))))</f>
        <v/>
      </c>
      <c r="Q310" s="54" t="str">
        <f>IF(OR($B310="",$A310&gt;$B$9,Q$280=""),"",IF(COUNTIFS(BD!$B$3:$B$5001,Q$280,BD!$A$3:$A$5001,"&gt;="&amp;$C$7,BD!$A$3:$A$5001,"&lt;="&amp;$B310,BD!$Z$3:$Z$5001,"&lt;&gt;")=0,"",SUMIFS(BD!$Z$3:$Z$5001,BD!$B$3:$B$5001,Q$280,BD!$A$3:$A$5001,_xlfn.MAXIFS(BD!$A$3:$A$5001,BD!$B$3:$B$5001,Q$280,BD!$A$3:$A$5001,"&gt;="&amp;$C$7,BD!$A$3:$A$5001,"&lt;="&amp;$B310,BD!$Z$3:$Z$5001,"&lt;&gt;"))))</f>
        <v/>
      </c>
      <c r="R310" s="54" t="str">
        <f>IF(OR($B310="",$A310&gt;$B$9,R$280=""),"",IF(COUNTIFS(BD!$B$3:$B$5001,R$280,BD!$A$3:$A$5001,"&gt;="&amp;$C$7,BD!$A$3:$A$5001,"&lt;="&amp;$B310,BD!$Z$3:$Z$5001,"&lt;&gt;")=0,"",SUMIFS(BD!$Z$3:$Z$5001,BD!$B$3:$B$5001,R$280,BD!$A$3:$A$5001,_xlfn.MAXIFS(BD!$A$3:$A$5001,BD!$B$3:$B$5001,R$280,BD!$A$3:$A$5001,"&gt;="&amp;$C$7,BD!$A$3:$A$5001,"&lt;="&amp;$B310,BD!$Z$3:$Z$5001,"&lt;&gt;"))))</f>
        <v/>
      </c>
      <c r="S310" s="54" t="str">
        <f>IF(OR($B310="",$A310&gt;$B$9,S$280=""),"",IF(COUNTIFS(BD!$B$3:$B$5001,S$280,BD!$A$3:$A$5001,"&gt;="&amp;$C$7,BD!$A$3:$A$5001,"&lt;="&amp;$B310,BD!$Z$3:$Z$5001,"&lt;&gt;")=0,"",SUMIFS(BD!$Z$3:$Z$5001,BD!$B$3:$B$5001,S$280,BD!$A$3:$A$5001,_xlfn.MAXIFS(BD!$A$3:$A$5001,BD!$B$3:$B$5001,S$280,BD!$A$3:$A$5001,"&gt;="&amp;$C$7,BD!$A$3:$A$5001,"&lt;="&amp;$B310,BD!$Z$3:$Z$5001,"&lt;&gt;"))))</f>
        <v/>
      </c>
      <c r="T310" s="54" t="str">
        <f>IF(OR($B310="",$A310&gt;$B$9,T$280=""),"",IF(COUNTIFS(BD!$B$3:$B$5001,T$280,BD!$A$3:$A$5001,"&gt;="&amp;$C$7,BD!$A$3:$A$5001,"&lt;="&amp;$B310,BD!$Z$3:$Z$5001,"&lt;&gt;")=0,"",SUMIFS(BD!$Z$3:$Z$5001,BD!$B$3:$B$5001,T$280,BD!$A$3:$A$5001,_xlfn.MAXIFS(BD!$A$3:$A$5001,BD!$B$3:$B$5001,T$280,BD!$A$3:$A$5001,"&gt;="&amp;$C$7,BD!$A$3:$A$5001,"&lt;="&amp;$B310,BD!$Z$3:$Z$5001,"&lt;&gt;"))))</f>
        <v/>
      </c>
      <c r="U310" s="54" t="str">
        <f>IF(OR($B310="",$A310&gt;$B$9,U$280=""),"",IF(COUNTIFS(BD!$B$3:$B$5001,U$280,BD!$A$3:$A$5001,"&gt;="&amp;$C$7,BD!$A$3:$A$5001,"&lt;="&amp;$B310,BD!$Z$3:$Z$5001,"&lt;&gt;")=0,"",SUMIFS(BD!$Z$3:$Z$5001,BD!$B$3:$B$5001,U$280,BD!$A$3:$A$5001,_xlfn.MAXIFS(BD!$A$3:$A$5001,BD!$B$3:$B$5001,U$280,BD!$A$3:$A$5001,"&gt;="&amp;$C$7,BD!$A$3:$A$5001,"&lt;="&amp;$B310,BD!$Z$3:$Z$5001,"&lt;&gt;"))))</f>
        <v/>
      </c>
      <c r="V310" s="54" t="str">
        <f>IF(OR($B310="",$A310&gt;$B$9,V$280=""),"",IF(COUNTIFS(BD!$B$3:$B$5001,V$280,BD!$A$3:$A$5001,"&gt;="&amp;$C$7,BD!$A$3:$A$5001,"&lt;="&amp;$B310,BD!$Z$3:$Z$5001,"&lt;&gt;")=0,"",SUMIFS(BD!$Z$3:$Z$5001,BD!$B$3:$B$5001,V$280,BD!$A$3:$A$5001,_xlfn.MAXIFS(BD!$A$3:$A$5001,BD!$B$3:$B$5001,V$280,BD!$A$3:$A$5001,"&gt;="&amp;$C$7,BD!$A$3:$A$5001,"&lt;="&amp;$B310,BD!$Z$3:$Z$5001,"&lt;&gt;"))))</f>
        <v/>
      </c>
    </row>
    <row r="311">
      <c r="A311" s="48">
        <v>31</v>
      </c>
      <c r="B311" s="53">
        <f>$B$42</f>
        <v>46326</v>
      </c>
      <c r="C311" s="54" t="str">
        <f>IF(OR($B311="",$A311&gt;$B$9,C$280=""),"",IF(COUNTIFS(BD!$B$3:$B$5001,C$280,BD!$A$3:$A$5001,"&gt;="&amp;$C$7,BD!$A$3:$A$5001,"&lt;="&amp;$B311,BD!$Z$3:$Z$5001,"&lt;&gt;")=0,"",SUMIFS(BD!$Z$3:$Z$5001,BD!$B$3:$B$5001,C$280,BD!$A$3:$A$5001,_xlfn.MAXIFS(BD!$A$3:$A$5001,BD!$B$3:$B$5001,C$280,BD!$A$3:$A$5001,"&gt;="&amp;$C$7,BD!$A$3:$A$5001,"&lt;="&amp;$B311,BD!$Z$3:$Z$5001,"&lt;&gt;"))))</f>
        <v/>
      </c>
      <c r="D311" s="54" t="str">
        <f>IF(OR($B311="",$A311&gt;$B$9,D$280=""),"",IF(COUNTIFS(BD!$B$3:$B$5001,D$280,BD!$A$3:$A$5001,"&gt;="&amp;$C$7,BD!$A$3:$A$5001,"&lt;="&amp;$B311,BD!$Z$3:$Z$5001,"&lt;&gt;")=0,"",SUMIFS(BD!$Z$3:$Z$5001,BD!$B$3:$B$5001,D$280,BD!$A$3:$A$5001,_xlfn.MAXIFS(BD!$A$3:$A$5001,BD!$B$3:$B$5001,D$280,BD!$A$3:$A$5001,"&gt;="&amp;$C$7,BD!$A$3:$A$5001,"&lt;="&amp;$B311,BD!$Z$3:$Z$5001,"&lt;&gt;"))))</f>
        <v/>
      </c>
      <c r="E311" s="54" t="str">
        <f>IF(OR($B311="",$A311&gt;$B$9,E$280=""),"",IF(COUNTIFS(BD!$B$3:$B$5001,E$280,BD!$A$3:$A$5001,"&gt;="&amp;$C$7,BD!$A$3:$A$5001,"&lt;="&amp;$B311,BD!$Z$3:$Z$5001,"&lt;&gt;")=0,"",SUMIFS(BD!$Z$3:$Z$5001,BD!$B$3:$B$5001,E$280,BD!$A$3:$A$5001,_xlfn.MAXIFS(BD!$A$3:$A$5001,BD!$B$3:$B$5001,E$280,BD!$A$3:$A$5001,"&gt;="&amp;$C$7,BD!$A$3:$A$5001,"&lt;="&amp;$B311,BD!$Z$3:$Z$5001,"&lt;&gt;"))))</f>
        <v/>
      </c>
      <c r="F311" s="54" t="str">
        <f>IF(OR($B311="",$A311&gt;$B$9,F$280=""),"",IF(COUNTIFS(BD!$B$3:$B$5001,F$280,BD!$A$3:$A$5001,"&gt;="&amp;$C$7,BD!$A$3:$A$5001,"&lt;="&amp;$B311,BD!$Z$3:$Z$5001,"&lt;&gt;")=0,"",SUMIFS(BD!$Z$3:$Z$5001,BD!$B$3:$B$5001,F$280,BD!$A$3:$A$5001,_xlfn.MAXIFS(BD!$A$3:$A$5001,BD!$B$3:$B$5001,F$280,BD!$A$3:$A$5001,"&gt;="&amp;$C$7,BD!$A$3:$A$5001,"&lt;="&amp;$B311,BD!$Z$3:$Z$5001,"&lt;&gt;"))))</f>
        <v/>
      </c>
      <c r="G311" s="54" t="str">
        <f>IF(OR($B311="",$A311&gt;$B$9,G$280=""),"",IF(COUNTIFS(BD!$B$3:$B$5001,G$280,BD!$A$3:$A$5001,"&gt;="&amp;$C$7,BD!$A$3:$A$5001,"&lt;="&amp;$B311,BD!$Z$3:$Z$5001,"&lt;&gt;")=0,"",SUMIFS(BD!$Z$3:$Z$5001,BD!$B$3:$B$5001,G$280,BD!$A$3:$A$5001,_xlfn.MAXIFS(BD!$A$3:$A$5001,BD!$B$3:$B$5001,G$280,BD!$A$3:$A$5001,"&gt;="&amp;$C$7,BD!$A$3:$A$5001,"&lt;="&amp;$B311,BD!$Z$3:$Z$5001,"&lt;&gt;"))))</f>
        <v/>
      </c>
      <c r="H311" s="54" t="str">
        <f>IF(OR($B311="",$A311&gt;$B$9,H$280=""),"",IF(COUNTIFS(BD!$B$3:$B$5001,H$280,BD!$A$3:$A$5001,"&gt;="&amp;$C$7,BD!$A$3:$A$5001,"&lt;="&amp;$B311,BD!$Z$3:$Z$5001,"&lt;&gt;")=0,"",SUMIFS(BD!$Z$3:$Z$5001,BD!$B$3:$B$5001,H$280,BD!$A$3:$A$5001,_xlfn.MAXIFS(BD!$A$3:$A$5001,BD!$B$3:$B$5001,H$280,BD!$A$3:$A$5001,"&gt;="&amp;$C$7,BD!$A$3:$A$5001,"&lt;="&amp;$B311,BD!$Z$3:$Z$5001,"&lt;&gt;"))))</f>
        <v/>
      </c>
      <c r="I311" s="54" t="str">
        <f>IF(OR($B311="",$A311&gt;$B$9,I$280=""),"",IF(COUNTIFS(BD!$B$3:$B$5001,I$280,BD!$A$3:$A$5001,"&gt;="&amp;$C$7,BD!$A$3:$A$5001,"&lt;="&amp;$B311,BD!$Z$3:$Z$5001,"&lt;&gt;")=0,"",SUMIFS(BD!$Z$3:$Z$5001,BD!$B$3:$B$5001,I$280,BD!$A$3:$A$5001,_xlfn.MAXIFS(BD!$A$3:$A$5001,BD!$B$3:$B$5001,I$280,BD!$A$3:$A$5001,"&gt;="&amp;$C$7,BD!$A$3:$A$5001,"&lt;="&amp;$B311,BD!$Z$3:$Z$5001,"&lt;&gt;"))))</f>
        <v/>
      </c>
      <c r="J311" s="54" t="str">
        <f>IF(OR($B311="",$A311&gt;$B$9,J$280=""),"",IF(COUNTIFS(BD!$B$3:$B$5001,J$280,BD!$A$3:$A$5001,"&gt;="&amp;$C$7,BD!$A$3:$A$5001,"&lt;="&amp;$B311,BD!$Z$3:$Z$5001,"&lt;&gt;")=0,"",SUMIFS(BD!$Z$3:$Z$5001,BD!$B$3:$B$5001,J$280,BD!$A$3:$A$5001,_xlfn.MAXIFS(BD!$A$3:$A$5001,BD!$B$3:$B$5001,J$280,BD!$A$3:$A$5001,"&gt;="&amp;$C$7,BD!$A$3:$A$5001,"&lt;="&amp;$B311,BD!$Z$3:$Z$5001,"&lt;&gt;"))))</f>
        <v/>
      </c>
      <c r="K311" s="54" t="str">
        <f>IF(OR($B311="",$A311&gt;$B$9,K$280=""),"",IF(COUNTIFS(BD!$B$3:$B$5001,K$280,BD!$A$3:$A$5001,"&gt;="&amp;$C$7,BD!$A$3:$A$5001,"&lt;="&amp;$B311,BD!$Z$3:$Z$5001,"&lt;&gt;")=0,"",SUMIFS(BD!$Z$3:$Z$5001,BD!$B$3:$B$5001,K$280,BD!$A$3:$A$5001,_xlfn.MAXIFS(BD!$A$3:$A$5001,BD!$B$3:$B$5001,K$280,BD!$A$3:$A$5001,"&gt;="&amp;$C$7,BD!$A$3:$A$5001,"&lt;="&amp;$B311,BD!$Z$3:$Z$5001,"&lt;&gt;"))))</f>
        <v/>
      </c>
      <c r="L311" s="54" t="str">
        <f>IF(OR($B311="",$A311&gt;$B$9,L$280=""),"",IF(COUNTIFS(BD!$B$3:$B$5001,L$280,BD!$A$3:$A$5001,"&gt;="&amp;$C$7,BD!$A$3:$A$5001,"&lt;="&amp;$B311,BD!$Z$3:$Z$5001,"&lt;&gt;")=0,"",SUMIFS(BD!$Z$3:$Z$5001,BD!$B$3:$B$5001,L$280,BD!$A$3:$A$5001,_xlfn.MAXIFS(BD!$A$3:$A$5001,BD!$B$3:$B$5001,L$280,BD!$A$3:$A$5001,"&gt;="&amp;$C$7,BD!$A$3:$A$5001,"&lt;="&amp;$B311,BD!$Z$3:$Z$5001,"&lt;&gt;"))))</f>
        <v/>
      </c>
      <c r="M311" s="54" t="str">
        <f>IF(OR($B311="",$A311&gt;$B$9,M$280=""),"",IF(COUNTIFS(BD!$B$3:$B$5001,M$280,BD!$A$3:$A$5001,"&gt;="&amp;$C$7,BD!$A$3:$A$5001,"&lt;="&amp;$B311,BD!$Z$3:$Z$5001,"&lt;&gt;")=0,"",SUMIFS(BD!$Z$3:$Z$5001,BD!$B$3:$B$5001,M$280,BD!$A$3:$A$5001,_xlfn.MAXIFS(BD!$A$3:$A$5001,BD!$B$3:$B$5001,M$280,BD!$A$3:$A$5001,"&gt;="&amp;$C$7,BD!$A$3:$A$5001,"&lt;="&amp;$B311,BD!$Z$3:$Z$5001,"&lt;&gt;"))))</f>
        <v/>
      </c>
      <c r="N311" s="54" t="str">
        <f>IF(OR($B311="",$A311&gt;$B$9,N$280=""),"",IF(COUNTIFS(BD!$B$3:$B$5001,N$280,BD!$A$3:$A$5001,"&gt;="&amp;$C$7,BD!$A$3:$A$5001,"&lt;="&amp;$B311,BD!$Z$3:$Z$5001,"&lt;&gt;")=0,"",SUMIFS(BD!$Z$3:$Z$5001,BD!$B$3:$B$5001,N$280,BD!$A$3:$A$5001,_xlfn.MAXIFS(BD!$A$3:$A$5001,BD!$B$3:$B$5001,N$280,BD!$A$3:$A$5001,"&gt;="&amp;$C$7,BD!$A$3:$A$5001,"&lt;="&amp;$B311,BD!$Z$3:$Z$5001,"&lt;&gt;"))))</f>
        <v/>
      </c>
      <c r="O311" s="54" t="str">
        <f>IF(OR($B311="",$A311&gt;$B$9,O$280=""),"",IF(COUNTIFS(BD!$B$3:$B$5001,O$280,BD!$A$3:$A$5001,"&gt;="&amp;$C$7,BD!$A$3:$A$5001,"&lt;="&amp;$B311,BD!$Z$3:$Z$5001,"&lt;&gt;")=0,"",SUMIFS(BD!$Z$3:$Z$5001,BD!$B$3:$B$5001,O$280,BD!$A$3:$A$5001,_xlfn.MAXIFS(BD!$A$3:$A$5001,BD!$B$3:$B$5001,O$280,BD!$A$3:$A$5001,"&gt;="&amp;$C$7,BD!$A$3:$A$5001,"&lt;="&amp;$B311,BD!$Z$3:$Z$5001,"&lt;&gt;"))))</f>
        <v/>
      </c>
      <c r="P311" s="54" t="str">
        <f>IF(OR($B311="",$A311&gt;$B$9,P$280=""),"",IF(COUNTIFS(BD!$B$3:$B$5001,P$280,BD!$A$3:$A$5001,"&gt;="&amp;$C$7,BD!$A$3:$A$5001,"&lt;="&amp;$B311,BD!$Z$3:$Z$5001,"&lt;&gt;")=0,"",SUMIFS(BD!$Z$3:$Z$5001,BD!$B$3:$B$5001,P$280,BD!$A$3:$A$5001,_xlfn.MAXIFS(BD!$A$3:$A$5001,BD!$B$3:$B$5001,P$280,BD!$A$3:$A$5001,"&gt;="&amp;$C$7,BD!$A$3:$A$5001,"&lt;="&amp;$B311,BD!$Z$3:$Z$5001,"&lt;&gt;"))))</f>
        <v/>
      </c>
      <c r="Q311" s="54" t="str">
        <f>IF(OR($B311="",$A311&gt;$B$9,Q$280=""),"",IF(COUNTIFS(BD!$B$3:$B$5001,Q$280,BD!$A$3:$A$5001,"&gt;="&amp;$C$7,BD!$A$3:$A$5001,"&lt;="&amp;$B311,BD!$Z$3:$Z$5001,"&lt;&gt;")=0,"",SUMIFS(BD!$Z$3:$Z$5001,BD!$B$3:$B$5001,Q$280,BD!$A$3:$A$5001,_xlfn.MAXIFS(BD!$A$3:$A$5001,BD!$B$3:$B$5001,Q$280,BD!$A$3:$A$5001,"&gt;="&amp;$C$7,BD!$A$3:$A$5001,"&lt;="&amp;$B311,BD!$Z$3:$Z$5001,"&lt;&gt;"))))</f>
        <v/>
      </c>
      <c r="R311" s="54" t="str">
        <f>IF(OR($B311="",$A311&gt;$B$9,R$280=""),"",IF(COUNTIFS(BD!$B$3:$B$5001,R$280,BD!$A$3:$A$5001,"&gt;="&amp;$C$7,BD!$A$3:$A$5001,"&lt;="&amp;$B311,BD!$Z$3:$Z$5001,"&lt;&gt;")=0,"",SUMIFS(BD!$Z$3:$Z$5001,BD!$B$3:$B$5001,R$280,BD!$A$3:$A$5001,_xlfn.MAXIFS(BD!$A$3:$A$5001,BD!$B$3:$B$5001,R$280,BD!$A$3:$A$5001,"&gt;="&amp;$C$7,BD!$A$3:$A$5001,"&lt;="&amp;$B311,BD!$Z$3:$Z$5001,"&lt;&gt;"))))</f>
        <v/>
      </c>
      <c r="S311" s="54" t="str">
        <f>IF(OR($B311="",$A311&gt;$B$9,S$280=""),"",IF(COUNTIFS(BD!$B$3:$B$5001,S$280,BD!$A$3:$A$5001,"&gt;="&amp;$C$7,BD!$A$3:$A$5001,"&lt;="&amp;$B311,BD!$Z$3:$Z$5001,"&lt;&gt;")=0,"",SUMIFS(BD!$Z$3:$Z$5001,BD!$B$3:$B$5001,S$280,BD!$A$3:$A$5001,_xlfn.MAXIFS(BD!$A$3:$A$5001,BD!$B$3:$B$5001,S$280,BD!$A$3:$A$5001,"&gt;="&amp;$C$7,BD!$A$3:$A$5001,"&lt;="&amp;$B311,BD!$Z$3:$Z$5001,"&lt;&gt;"))))</f>
        <v/>
      </c>
      <c r="T311" s="54" t="str">
        <f>IF(OR($B311="",$A311&gt;$B$9,T$280=""),"",IF(COUNTIFS(BD!$B$3:$B$5001,T$280,BD!$A$3:$A$5001,"&gt;="&amp;$C$7,BD!$A$3:$A$5001,"&lt;="&amp;$B311,BD!$Z$3:$Z$5001,"&lt;&gt;")=0,"",SUMIFS(BD!$Z$3:$Z$5001,BD!$B$3:$B$5001,T$280,BD!$A$3:$A$5001,_xlfn.MAXIFS(BD!$A$3:$A$5001,BD!$B$3:$B$5001,T$280,BD!$A$3:$A$5001,"&gt;="&amp;$C$7,BD!$A$3:$A$5001,"&lt;="&amp;$B311,BD!$Z$3:$Z$5001,"&lt;&gt;"))))</f>
        <v/>
      </c>
      <c r="U311" s="54" t="str">
        <f>IF(OR($B311="",$A311&gt;$B$9,U$280=""),"",IF(COUNTIFS(BD!$B$3:$B$5001,U$280,BD!$A$3:$A$5001,"&gt;="&amp;$C$7,BD!$A$3:$A$5001,"&lt;="&amp;$B311,BD!$Z$3:$Z$5001,"&lt;&gt;")=0,"",SUMIFS(BD!$Z$3:$Z$5001,BD!$B$3:$B$5001,U$280,BD!$A$3:$A$5001,_xlfn.MAXIFS(BD!$A$3:$A$5001,BD!$B$3:$B$5001,U$280,BD!$A$3:$A$5001,"&gt;="&amp;$C$7,BD!$A$3:$A$5001,"&lt;="&amp;$B311,BD!$Z$3:$Z$5001,"&lt;&gt;"))))</f>
        <v/>
      </c>
      <c r="V311" s="54" t="str">
        <f>IF(OR($B311="",$A311&gt;$B$9,V$280=""),"",IF(COUNTIFS(BD!$B$3:$B$5001,V$280,BD!$A$3:$A$5001,"&gt;="&amp;$C$7,BD!$A$3:$A$5001,"&lt;="&amp;$B311,BD!$Z$3:$Z$5001,"&lt;&gt;")=0,"",SUMIFS(BD!$Z$3:$Z$5001,BD!$B$3:$B$5001,V$280,BD!$A$3:$A$5001,_xlfn.MAXIFS(BD!$A$3:$A$5001,BD!$B$3:$B$5001,V$280,BD!$A$3:$A$5001,"&gt;="&amp;$C$7,BD!$A$3:$A$5001,"&lt;="&amp;$B311,BD!$Z$3:$Z$5001,"&lt;&gt;"))))</f>
        <v/>
      </c>
    </row>
    <row r="312">
      <c r="A312" s="55" t="inlineStr">
        <is>
          <t xml:space="preserve">Mês anterior (último)</t>
        </is>
      </c>
      <c r="C312" s="56" t="str">
        <f>IF(C$280="","",IF(COUNTIFS(BD!$B$3:$B$5001,C$280,BD!$A$3:$A$5001,"&gt;="&amp;$C$8,BD!$A$3:$A$5001,"&lt;="&amp;$D$8,BD!$Z$3:$Z$5001,"&lt;&gt;")=0,"",SUMIFS(BD!$Z$3:$Z$5001,BD!$B$3:$B$5001,C$280,BD!$A$3:$A$5001,_xlfn.MAXIFS(BD!$A$3:$A$5001,BD!$B$3:$B$5001,C$280,BD!$A$3:$A$5001,"&gt;="&amp;$C$8,BD!$A$3:$A$5001,"&lt;="&amp;$D$8,BD!$Z$3:$Z$5001,"&lt;&gt;"))))</f>
        <v/>
      </c>
      <c r="D312" s="56" t="str">
        <f>IF(D$280="","",IF(COUNTIFS(BD!$B$3:$B$5001,D$280,BD!$A$3:$A$5001,"&gt;="&amp;$C$8,BD!$A$3:$A$5001,"&lt;="&amp;$D$8,BD!$Z$3:$Z$5001,"&lt;&gt;")=0,"",SUMIFS(BD!$Z$3:$Z$5001,BD!$B$3:$B$5001,D$280,BD!$A$3:$A$5001,_xlfn.MAXIFS(BD!$A$3:$A$5001,BD!$B$3:$B$5001,D$280,BD!$A$3:$A$5001,"&gt;="&amp;$C$8,BD!$A$3:$A$5001,"&lt;="&amp;$D$8,BD!$Z$3:$Z$5001,"&lt;&gt;"))))</f>
        <v/>
      </c>
      <c r="E312" s="56" t="str">
        <f>IF(E$280="","",IF(COUNTIFS(BD!$B$3:$B$5001,E$280,BD!$A$3:$A$5001,"&gt;="&amp;$C$8,BD!$A$3:$A$5001,"&lt;="&amp;$D$8,BD!$Z$3:$Z$5001,"&lt;&gt;")=0,"",SUMIFS(BD!$Z$3:$Z$5001,BD!$B$3:$B$5001,E$280,BD!$A$3:$A$5001,_xlfn.MAXIFS(BD!$A$3:$A$5001,BD!$B$3:$B$5001,E$280,BD!$A$3:$A$5001,"&gt;="&amp;$C$8,BD!$A$3:$A$5001,"&lt;="&amp;$D$8,BD!$Z$3:$Z$5001,"&lt;&gt;"))))</f>
        <v/>
      </c>
      <c r="F312" s="56" t="str">
        <f>IF(F$280="","",IF(COUNTIFS(BD!$B$3:$B$5001,F$280,BD!$A$3:$A$5001,"&gt;="&amp;$C$8,BD!$A$3:$A$5001,"&lt;="&amp;$D$8,BD!$Z$3:$Z$5001,"&lt;&gt;")=0,"",SUMIFS(BD!$Z$3:$Z$5001,BD!$B$3:$B$5001,F$280,BD!$A$3:$A$5001,_xlfn.MAXIFS(BD!$A$3:$A$5001,BD!$B$3:$B$5001,F$280,BD!$A$3:$A$5001,"&gt;="&amp;$C$8,BD!$A$3:$A$5001,"&lt;="&amp;$D$8,BD!$Z$3:$Z$5001,"&lt;&gt;"))))</f>
        <v/>
      </c>
      <c r="G312" s="56" t="str">
        <f>IF(G$280="","",IF(COUNTIFS(BD!$B$3:$B$5001,G$280,BD!$A$3:$A$5001,"&gt;="&amp;$C$8,BD!$A$3:$A$5001,"&lt;="&amp;$D$8,BD!$Z$3:$Z$5001,"&lt;&gt;")=0,"",SUMIFS(BD!$Z$3:$Z$5001,BD!$B$3:$B$5001,G$280,BD!$A$3:$A$5001,_xlfn.MAXIFS(BD!$A$3:$A$5001,BD!$B$3:$B$5001,G$280,BD!$A$3:$A$5001,"&gt;="&amp;$C$8,BD!$A$3:$A$5001,"&lt;="&amp;$D$8,BD!$Z$3:$Z$5001,"&lt;&gt;"))))</f>
        <v/>
      </c>
      <c r="H312" s="56" t="str">
        <f>IF(H$280="","",IF(COUNTIFS(BD!$B$3:$B$5001,H$280,BD!$A$3:$A$5001,"&gt;="&amp;$C$8,BD!$A$3:$A$5001,"&lt;="&amp;$D$8,BD!$Z$3:$Z$5001,"&lt;&gt;")=0,"",SUMIFS(BD!$Z$3:$Z$5001,BD!$B$3:$B$5001,H$280,BD!$A$3:$A$5001,_xlfn.MAXIFS(BD!$A$3:$A$5001,BD!$B$3:$B$5001,H$280,BD!$A$3:$A$5001,"&gt;="&amp;$C$8,BD!$A$3:$A$5001,"&lt;="&amp;$D$8,BD!$Z$3:$Z$5001,"&lt;&gt;"))))</f>
        <v/>
      </c>
      <c r="I312" s="56" t="str">
        <f>IF(I$280="","",IF(COUNTIFS(BD!$B$3:$B$5001,I$280,BD!$A$3:$A$5001,"&gt;="&amp;$C$8,BD!$A$3:$A$5001,"&lt;="&amp;$D$8,BD!$Z$3:$Z$5001,"&lt;&gt;")=0,"",SUMIFS(BD!$Z$3:$Z$5001,BD!$B$3:$B$5001,I$280,BD!$A$3:$A$5001,_xlfn.MAXIFS(BD!$A$3:$A$5001,BD!$B$3:$B$5001,I$280,BD!$A$3:$A$5001,"&gt;="&amp;$C$8,BD!$A$3:$A$5001,"&lt;="&amp;$D$8,BD!$Z$3:$Z$5001,"&lt;&gt;"))))</f>
        <v/>
      </c>
      <c r="J312" s="56" t="str">
        <f>IF(J$280="","",IF(COUNTIFS(BD!$B$3:$B$5001,J$280,BD!$A$3:$A$5001,"&gt;="&amp;$C$8,BD!$A$3:$A$5001,"&lt;="&amp;$D$8,BD!$Z$3:$Z$5001,"&lt;&gt;")=0,"",SUMIFS(BD!$Z$3:$Z$5001,BD!$B$3:$B$5001,J$280,BD!$A$3:$A$5001,_xlfn.MAXIFS(BD!$A$3:$A$5001,BD!$B$3:$B$5001,J$280,BD!$A$3:$A$5001,"&gt;="&amp;$C$8,BD!$A$3:$A$5001,"&lt;="&amp;$D$8,BD!$Z$3:$Z$5001,"&lt;&gt;"))))</f>
        <v/>
      </c>
      <c r="K312" s="56" t="str">
        <f>IF(K$280="","",IF(COUNTIFS(BD!$B$3:$B$5001,K$280,BD!$A$3:$A$5001,"&gt;="&amp;$C$8,BD!$A$3:$A$5001,"&lt;="&amp;$D$8,BD!$Z$3:$Z$5001,"&lt;&gt;")=0,"",SUMIFS(BD!$Z$3:$Z$5001,BD!$B$3:$B$5001,K$280,BD!$A$3:$A$5001,_xlfn.MAXIFS(BD!$A$3:$A$5001,BD!$B$3:$B$5001,K$280,BD!$A$3:$A$5001,"&gt;="&amp;$C$8,BD!$A$3:$A$5001,"&lt;="&amp;$D$8,BD!$Z$3:$Z$5001,"&lt;&gt;"))))</f>
        <v/>
      </c>
      <c r="L312" s="56" t="str">
        <f>IF(L$280="","",IF(COUNTIFS(BD!$B$3:$B$5001,L$280,BD!$A$3:$A$5001,"&gt;="&amp;$C$8,BD!$A$3:$A$5001,"&lt;="&amp;$D$8,BD!$Z$3:$Z$5001,"&lt;&gt;")=0,"",SUMIFS(BD!$Z$3:$Z$5001,BD!$B$3:$B$5001,L$280,BD!$A$3:$A$5001,_xlfn.MAXIFS(BD!$A$3:$A$5001,BD!$B$3:$B$5001,L$280,BD!$A$3:$A$5001,"&gt;="&amp;$C$8,BD!$A$3:$A$5001,"&lt;="&amp;$D$8,BD!$Z$3:$Z$5001,"&lt;&gt;"))))</f>
        <v/>
      </c>
      <c r="M312" s="56" t="str">
        <f>IF(M$280="","",IF(COUNTIFS(BD!$B$3:$B$5001,M$280,BD!$A$3:$A$5001,"&gt;="&amp;$C$8,BD!$A$3:$A$5001,"&lt;="&amp;$D$8,BD!$Z$3:$Z$5001,"&lt;&gt;")=0,"",SUMIFS(BD!$Z$3:$Z$5001,BD!$B$3:$B$5001,M$280,BD!$A$3:$A$5001,_xlfn.MAXIFS(BD!$A$3:$A$5001,BD!$B$3:$B$5001,M$280,BD!$A$3:$A$5001,"&gt;="&amp;$C$8,BD!$A$3:$A$5001,"&lt;="&amp;$D$8,BD!$Z$3:$Z$5001,"&lt;&gt;"))))</f>
        <v/>
      </c>
      <c r="N312" s="56" t="str">
        <f>IF(N$280="","",IF(COUNTIFS(BD!$B$3:$B$5001,N$280,BD!$A$3:$A$5001,"&gt;="&amp;$C$8,BD!$A$3:$A$5001,"&lt;="&amp;$D$8,BD!$Z$3:$Z$5001,"&lt;&gt;")=0,"",SUMIFS(BD!$Z$3:$Z$5001,BD!$B$3:$B$5001,N$280,BD!$A$3:$A$5001,_xlfn.MAXIFS(BD!$A$3:$A$5001,BD!$B$3:$B$5001,N$280,BD!$A$3:$A$5001,"&gt;="&amp;$C$8,BD!$A$3:$A$5001,"&lt;="&amp;$D$8,BD!$Z$3:$Z$5001,"&lt;&gt;"))))</f>
        <v/>
      </c>
      <c r="O312" s="56" t="str">
        <f>IF(O$280="","",IF(COUNTIFS(BD!$B$3:$B$5001,O$280,BD!$A$3:$A$5001,"&gt;="&amp;$C$8,BD!$A$3:$A$5001,"&lt;="&amp;$D$8,BD!$Z$3:$Z$5001,"&lt;&gt;")=0,"",SUMIFS(BD!$Z$3:$Z$5001,BD!$B$3:$B$5001,O$280,BD!$A$3:$A$5001,_xlfn.MAXIFS(BD!$A$3:$A$5001,BD!$B$3:$B$5001,O$280,BD!$A$3:$A$5001,"&gt;="&amp;$C$8,BD!$A$3:$A$5001,"&lt;="&amp;$D$8,BD!$Z$3:$Z$5001,"&lt;&gt;"))))</f>
        <v/>
      </c>
      <c r="P312" s="56" t="str">
        <f>IF(P$280="","",IF(COUNTIFS(BD!$B$3:$B$5001,P$280,BD!$A$3:$A$5001,"&gt;="&amp;$C$8,BD!$A$3:$A$5001,"&lt;="&amp;$D$8,BD!$Z$3:$Z$5001,"&lt;&gt;")=0,"",SUMIFS(BD!$Z$3:$Z$5001,BD!$B$3:$B$5001,P$280,BD!$A$3:$A$5001,_xlfn.MAXIFS(BD!$A$3:$A$5001,BD!$B$3:$B$5001,P$280,BD!$A$3:$A$5001,"&gt;="&amp;$C$8,BD!$A$3:$A$5001,"&lt;="&amp;$D$8,BD!$Z$3:$Z$5001,"&lt;&gt;"))))</f>
        <v/>
      </c>
      <c r="Q312" s="56" t="str">
        <f>IF(Q$280="","",IF(COUNTIFS(BD!$B$3:$B$5001,Q$280,BD!$A$3:$A$5001,"&gt;="&amp;$C$8,BD!$A$3:$A$5001,"&lt;="&amp;$D$8,BD!$Z$3:$Z$5001,"&lt;&gt;")=0,"",SUMIFS(BD!$Z$3:$Z$5001,BD!$B$3:$B$5001,Q$280,BD!$A$3:$A$5001,_xlfn.MAXIFS(BD!$A$3:$A$5001,BD!$B$3:$B$5001,Q$280,BD!$A$3:$A$5001,"&gt;="&amp;$C$8,BD!$A$3:$A$5001,"&lt;="&amp;$D$8,BD!$Z$3:$Z$5001,"&lt;&gt;"))))</f>
        <v/>
      </c>
      <c r="R312" s="56" t="str">
        <f>IF(R$280="","",IF(COUNTIFS(BD!$B$3:$B$5001,R$280,BD!$A$3:$A$5001,"&gt;="&amp;$C$8,BD!$A$3:$A$5001,"&lt;="&amp;$D$8,BD!$Z$3:$Z$5001,"&lt;&gt;")=0,"",SUMIFS(BD!$Z$3:$Z$5001,BD!$B$3:$B$5001,R$280,BD!$A$3:$A$5001,_xlfn.MAXIFS(BD!$A$3:$A$5001,BD!$B$3:$B$5001,R$280,BD!$A$3:$A$5001,"&gt;="&amp;$C$8,BD!$A$3:$A$5001,"&lt;="&amp;$D$8,BD!$Z$3:$Z$5001,"&lt;&gt;"))))</f>
        <v/>
      </c>
      <c r="S312" s="56" t="str">
        <f>IF(S$280="","",IF(COUNTIFS(BD!$B$3:$B$5001,S$280,BD!$A$3:$A$5001,"&gt;="&amp;$C$8,BD!$A$3:$A$5001,"&lt;="&amp;$D$8,BD!$Z$3:$Z$5001,"&lt;&gt;")=0,"",SUMIFS(BD!$Z$3:$Z$5001,BD!$B$3:$B$5001,S$280,BD!$A$3:$A$5001,_xlfn.MAXIFS(BD!$A$3:$A$5001,BD!$B$3:$B$5001,S$280,BD!$A$3:$A$5001,"&gt;="&amp;$C$8,BD!$A$3:$A$5001,"&lt;="&amp;$D$8,BD!$Z$3:$Z$5001,"&lt;&gt;"))))</f>
        <v/>
      </c>
      <c r="T312" s="56" t="str">
        <f>IF(T$280="","",IF(COUNTIFS(BD!$B$3:$B$5001,T$280,BD!$A$3:$A$5001,"&gt;="&amp;$C$8,BD!$A$3:$A$5001,"&lt;="&amp;$D$8,BD!$Z$3:$Z$5001,"&lt;&gt;")=0,"",SUMIFS(BD!$Z$3:$Z$5001,BD!$B$3:$B$5001,T$280,BD!$A$3:$A$5001,_xlfn.MAXIFS(BD!$A$3:$A$5001,BD!$B$3:$B$5001,T$280,BD!$A$3:$A$5001,"&gt;="&amp;$C$8,BD!$A$3:$A$5001,"&lt;="&amp;$D$8,BD!$Z$3:$Z$5001,"&lt;&gt;"))))</f>
        <v/>
      </c>
      <c r="U312" s="56" t="str">
        <f>IF(U$280="","",IF(COUNTIFS(BD!$B$3:$B$5001,U$280,BD!$A$3:$A$5001,"&gt;="&amp;$C$8,BD!$A$3:$A$5001,"&lt;="&amp;$D$8,BD!$Z$3:$Z$5001,"&lt;&gt;")=0,"",SUMIFS(BD!$Z$3:$Z$5001,BD!$B$3:$B$5001,U$280,BD!$A$3:$A$5001,_xlfn.MAXIFS(BD!$A$3:$A$5001,BD!$B$3:$B$5001,U$280,BD!$A$3:$A$5001,"&gt;="&amp;$C$8,BD!$A$3:$A$5001,"&lt;="&amp;$D$8,BD!$Z$3:$Z$5001,"&lt;&gt;"))))</f>
        <v/>
      </c>
      <c r="V312" s="56" t="str">
        <f>IF(V$280="","",IF(COUNTIFS(BD!$B$3:$B$5001,V$280,BD!$A$3:$A$5001,"&gt;="&amp;$C$8,BD!$A$3:$A$5001,"&lt;="&amp;$D$8,BD!$Z$3:$Z$5001,"&lt;&gt;")=0,"",SUMIFS(BD!$Z$3:$Z$5001,BD!$B$3:$B$5001,V$280,BD!$A$3:$A$5001,_xlfn.MAXIFS(BD!$A$3:$A$5001,BD!$B$3:$B$5001,V$280,BD!$A$3:$A$5001,"&gt;="&amp;$C$8,BD!$A$3:$A$5001,"&lt;="&amp;$D$8,BD!$Z$3:$Z$5001,"&lt;&gt;"))))</f>
        <v/>
      </c>
    </row>
    <row r="313">
      <c r="A313" s="55" t="inlineStr">
        <is>
          <t xml:space="preserve">Depósito</t>
        </is>
      </c>
      <c r="C313" s="48" t="str">
        <f>IF(Config!$C$10="","TPC",Config!$C$10)</f>
        <v>TPC</v>
      </c>
      <c r="D313" s="48" t="str">
        <f>IF(Config!$C$11="","TPC",Config!$C$11)</f>
        <v>TPC</v>
      </c>
      <c r="E313" s="48" t="str">
        <f>IF(Config!$C$12="","TPC",Config!$C$12)</f>
        <v>TPC</v>
      </c>
      <c r="F313" s="48" t="str">
        <f>IF(Config!$C$13="","TPC",Config!$C$13)</f>
        <v>TPC</v>
      </c>
      <c r="G313" s="48" t="str">
        <f>IF(Config!$C$14="","TPC",Config!$C$14)</f>
        <v>TPC</v>
      </c>
      <c r="H313" s="48" t="str">
        <f>IF(Config!$C$15="","TPC",Config!$C$15)</f>
        <v>TPC</v>
      </c>
      <c r="I313" s="48" t="str">
        <f>IF(Config!$C$16="","TPC",Config!$C$16)</f>
        <v>TPC</v>
      </c>
      <c r="J313" s="48" t="str">
        <f>IF(Config!$C$17="","TPC",Config!$C$17)</f>
        <v>TPC</v>
      </c>
      <c r="K313" s="48" t="str">
        <f>IF(Config!$C$18="","TPC",Config!$C$18)</f>
        <v>TPC</v>
      </c>
      <c r="L313" s="48" t="str">
        <f>IF(Config!$C$19="","TPC",Config!$C$19)</f>
        <v>TPC</v>
      </c>
      <c r="M313" s="48" t="str">
        <f>IF(Config!$C$20="","TPC",Config!$C$20)</f>
        <v>TPC</v>
      </c>
      <c r="N313" s="48" t="str">
        <f>IF(Config!$C$21="","TPC",Config!$C$21)</f>
        <v>TPC</v>
      </c>
      <c r="O313" s="48" t="str">
        <f>IF(Config!$C$22="","TPC",Config!$C$22)</f>
        <v>TPC</v>
      </c>
      <c r="P313" s="48" t="str">
        <f>IF(Config!$C$23="","TPC",Config!$C$23)</f>
        <v>TPC</v>
      </c>
      <c r="Q313" s="48" t="str">
        <f>IF(Config!$C$24="","TPC",Config!$C$24)</f>
        <v>TPC</v>
      </c>
      <c r="R313" s="48" t="str">
        <f>IF(Config!$C$25="","TPC",Config!$C$25)</f>
        <v>TPC</v>
      </c>
      <c r="S313" s="48" t="str">
        <f>IF(Config!$C$26="","TPC",Config!$C$26)</f>
        <v>TPC</v>
      </c>
      <c r="T313" s="48" t="str">
        <f>IF(Config!$C$27="","TPC",Config!$C$27)</f>
        <v>TPC</v>
      </c>
      <c r="U313" s="48" t="str">
        <f>IF(Config!$C$28="","TPC",Config!$C$28)</f>
        <v>TPC</v>
      </c>
      <c r="V313" s="48" t="str">
        <f>IF(Config!$C$29="","TPC",Config!$C$29)</f>
        <v>TPC</v>
      </c>
    </row>
    <row r="317">
      <c r="A317" s="52" t="inlineStr">
        <is>
          <t xml:space="preserve">PERÍODO DO DASHBOARD — último valor de cada cliente no período (backlog, posições, efetivo)</t>
        </is>
      </c>
    </row>
    <row r="318" ht="30" customHeight="1">
      <c r="A318" s="47" t="inlineStr">
        <is>
          <t xml:space="preserve">Cliente</t>
        </is>
      </c>
      <c r="B318" s="47" t="inlineStr">
        <is>
          <t xml:space="preserve">Depósito</t>
        </is>
      </c>
      <c r="C318" s="47" t="inlineStr">
        <is>
          <t xml:space="preserve">Backlog Intralog · período</t>
        </is>
      </c>
      <c r="D318" s="47" t="inlineStr">
        <is>
          <t xml:space="preserve">Backlog Intralog · anterior</t>
        </is>
      </c>
      <c r="E318" s="47" t="inlineStr">
        <is>
          <t xml:space="preserve">Backlog Cliente · período</t>
        </is>
      </c>
      <c r="F318" s="47" t="inlineStr">
        <is>
          <t xml:space="preserve">Backlog Cliente · anterior</t>
        </is>
      </c>
      <c r="G318" s="47" t="inlineStr">
        <is>
          <t xml:space="preserve">Posições Ocupadas · período</t>
        </is>
      </c>
      <c r="H318" s="47" t="inlineStr">
        <is>
          <t xml:space="preserve">Posições Ocupadas · anterior</t>
        </is>
      </c>
      <c r="I318" s="47" t="inlineStr">
        <is>
          <t xml:space="preserve">Posições Disponíveis · período</t>
        </is>
      </c>
      <c r="J318" s="47" t="inlineStr">
        <is>
          <t xml:space="preserve">Posições Disponíveis · anterior</t>
        </is>
      </c>
      <c r="K318" s="47" t="inlineStr">
        <is>
          <t xml:space="preserve">Efetivo Op. · período</t>
        </is>
      </c>
      <c r="L318" s="47" t="inlineStr">
        <is>
          <t xml:space="preserve">Efetivo Op. · anterior</t>
        </is>
      </c>
    </row>
    <row r="319">
      <c r="A319" s="76" t="str">
        <f>Config!$B$10&amp;""</f>
        <v>Alpargatas</v>
      </c>
      <c r="B319" s="48" t="str">
        <f>IF(Config!$C$10="","TPC",Config!$C$10)</f>
        <v>TPC</v>
      </c>
      <c r="C319" s="54" t="str">
        <f>IF($A319="","",IF(COUNTIFS(BD!$B$3:$B$5001,$A319,BD!$A$3:$A$5001,"&gt;="&amp;$F$7,BD!$A$3:$A$5001,"&lt;="&amp;$G$7,BD!$V$3:$V$5001,"&lt;&gt;")=0,"",SUMIFS(BD!$V$3:$V$5001,BD!$B$3:$B$5001,$A319,BD!$A$3:$A$5001,_xlfn.MAXIFS(BD!$A$3:$A$5001,BD!$B$3:$B$5001,$A319,BD!$A$3:$A$5001,"&gt;="&amp;$F$7,BD!$A$3:$A$5001,"&lt;="&amp;$G$7,BD!$V$3:$V$5001,"&lt;&gt;"))))</f>
        <v/>
      </c>
      <c r="D319" s="54" t="str">
        <f>IF($A319="","",IF(COUNTIFS(BD!$B$3:$B$5001,$A319,BD!$A$3:$A$5001,"&gt;="&amp;$F$8,BD!$A$3:$A$5001,"&lt;="&amp;$G$8,BD!$V$3:$V$5001,"&lt;&gt;")=0,"",SUMIFS(BD!$V$3:$V$5001,BD!$B$3:$B$5001,$A319,BD!$A$3:$A$5001,_xlfn.MAXIFS(BD!$A$3:$A$5001,BD!$B$3:$B$5001,$A319,BD!$A$3:$A$5001,"&gt;="&amp;$F$8,BD!$A$3:$A$5001,"&lt;="&amp;$G$8,BD!$V$3:$V$5001,"&lt;&gt;"))))</f>
        <v/>
      </c>
      <c r="E319" s="54" t="str">
        <f>IF($A319="","",IF(COUNTIFS(BD!$B$3:$B$5001,$A319,BD!$A$3:$A$5001,"&gt;="&amp;$F$7,BD!$A$3:$A$5001,"&lt;="&amp;$G$7,BD!$W$3:$W$5001,"&lt;&gt;")=0,"",SUMIFS(BD!$W$3:$W$5001,BD!$B$3:$B$5001,$A319,BD!$A$3:$A$5001,_xlfn.MAXIFS(BD!$A$3:$A$5001,BD!$B$3:$B$5001,$A319,BD!$A$3:$A$5001,"&gt;="&amp;$F$7,BD!$A$3:$A$5001,"&lt;="&amp;$G$7,BD!$W$3:$W$5001,"&lt;&gt;"))))</f>
        <v/>
      </c>
      <c r="F319" s="54" t="str">
        <f>IF($A319="","",IF(COUNTIFS(BD!$B$3:$B$5001,$A319,BD!$A$3:$A$5001,"&gt;="&amp;$F$8,BD!$A$3:$A$5001,"&lt;="&amp;$G$8,BD!$W$3:$W$5001,"&lt;&gt;")=0,"",SUMIFS(BD!$W$3:$W$5001,BD!$B$3:$B$5001,$A319,BD!$A$3:$A$5001,_xlfn.MAXIFS(BD!$A$3:$A$5001,BD!$B$3:$B$5001,$A319,BD!$A$3:$A$5001,"&gt;="&amp;$F$8,BD!$A$3:$A$5001,"&lt;="&amp;$G$8,BD!$W$3:$W$5001,"&lt;&gt;"))))</f>
        <v/>
      </c>
      <c r="G319" s="54" t="str">
        <f>IF($A319="","",IF(COUNTIFS(BD!$B$3:$B$5001,$A319,BD!$A$3:$A$5001,"&gt;="&amp;$F$7,BD!$A$3:$A$5001,"&lt;="&amp;$G$7,BD!$Y$3:$Y$5001,"&lt;&gt;")=0,"",SUMIFS(BD!$Y$3:$Y$5001,BD!$B$3:$B$5001,$A319,BD!$A$3:$A$5001,_xlfn.MAXIFS(BD!$A$3:$A$5001,BD!$B$3:$B$5001,$A319,BD!$A$3:$A$5001,"&gt;="&amp;$F$7,BD!$A$3:$A$5001,"&lt;="&amp;$G$7,BD!$Y$3:$Y$5001,"&lt;&gt;"))))</f>
        <v/>
      </c>
      <c r="H319" s="54" t="str">
        <f>IF($A319="","",IF(COUNTIFS(BD!$B$3:$B$5001,$A319,BD!$A$3:$A$5001,"&gt;="&amp;$F$8,BD!$A$3:$A$5001,"&lt;="&amp;$G$8,BD!$Y$3:$Y$5001,"&lt;&gt;")=0,"",SUMIFS(BD!$Y$3:$Y$5001,BD!$B$3:$B$5001,$A319,BD!$A$3:$A$5001,_xlfn.MAXIFS(BD!$A$3:$A$5001,BD!$B$3:$B$5001,$A319,BD!$A$3:$A$5001,"&gt;="&amp;$F$8,BD!$A$3:$A$5001,"&lt;="&amp;$G$8,BD!$Y$3:$Y$5001,"&lt;&gt;"))))</f>
        <v/>
      </c>
      <c r="I319" s="54" t="str">
        <f>IF($A319="","",IF(COUNTIFS(BD!$B$3:$B$5001,$A319,BD!$A$3:$A$5001,"&gt;="&amp;$F$7,BD!$A$3:$A$5001,"&lt;="&amp;$G$7,BD!$X$3:$X$5001,"&lt;&gt;")=0,"",SUMIFS(BD!$X$3:$X$5001,BD!$B$3:$B$5001,$A319,BD!$A$3:$A$5001,_xlfn.MAXIFS(BD!$A$3:$A$5001,BD!$B$3:$B$5001,$A319,BD!$A$3:$A$5001,"&gt;="&amp;$F$7,BD!$A$3:$A$5001,"&lt;="&amp;$G$7,BD!$X$3:$X$5001,"&lt;&gt;"))))</f>
        <v/>
      </c>
      <c r="J319" s="54" t="str">
        <f>IF($A319="","",IF(COUNTIFS(BD!$B$3:$B$5001,$A319,BD!$A$3:$A$5001,"&gt;="&amp;$F$8,BD!$A$3:$A$5001,"&lt;="&amp;$G$8,BD!$X$3:$X$5001,"&lt;&gt;")=0,"",SUMIFS(BD!$X$3:$X$5001,BD!$B$3:$B$5001,$A319,BD!$A$3:$A$5001,_xlfn.MAXIFS(BD!$A$3:$A$5001,BD!$B$3:$B$5001,$A319,BD!$A$3:$A$5001,"&gt;="&amp;$F$8,BD!$A$3:$A$5001,"&lt;="&amp;$G$8,BD!$X$3:$X$5001,"&lt;&gt;"))))</f>
        <v/>
      </c>
      <c r="K319" s="54" t="str">
        <f>IF($A319="","",IF(COUNTIFS(BD!$B$3:$B$5001,$A319,BD!$A$3:$A$5001,"&gt;="&amp;$F$7,BD!$A$3:$A$5001,"&lt;="&amp;$G$7,BD!$Z$3:$Z$5001,"&lt;&gt;")=0,"",SUMIFS(BD!$Z$3:$Z$5001,BD!$B$3:$B$5001,$A319,BD!$A$3:$A$5001,_xlfn.MAXIFS(BD!$A$3:$A$5001,BD!$B$3:$B$5001,$A319,BD!$A$3:$A$5001,"&gt;="&amp;$F$7,BD!$A$3:$A$5001,"&lt;="&amp;$G$7,BD!$Z$3:$Z$5001,"&lt;&gt;"))))</f>
        <v/>
      </c>
      <c r="L319" s="54" t="str">
        <f>IF($A319="","",IF(COUNTIFS(BD!$B$3:$B$5001,$A319,BD!$A$3:$A$5001,"&gt;="&amp;$F$8,BD!$A$3:$A$5001,"&lt;="&amp;$G$8,BD!$Z$3:$Z$5001,"&lt;&gt;")=0,"",SUMIFS(BD!$Z$3:$Z$5001,BD!$B$3:$B$5001,$A319,BD!$A$3:$A$5001,_xlfn.MAXIFS(BD!$A$3:$A$5001,BD!$B$3:$B$5001,$A319,BD!$A$3:$A$5001,"&gt;="&amp;$F$8,BD!$A$3:$A$5001,"&lt;="&amp;$G$8,BD!$Z$3:$Z$5001,"&lt;&gt;"))))</f>
        <v/>
      </c>
    </row>
    <row r="320">
      <c r="A320" s="76" t="str">
        <f>Config!$B$11&amp;""</f>
        <v>Basf</v>
      </c>
      <c r="B320" s="48" t="str">
        <f>IF(Config!$C$11="","TPC",Config!$C$11)</f>
        <v>TPC</v>
      </c>
      <c r="C320" s="54" t="str">
        <f>IF($A320="","",IF(COUNTIFS(BD!$B$3:$B$5001,$A320,BD!$A$3:$A$5001,"&gt;="&amp;$F$7,BD!$A$3:$A$5001,"&lt;="&amp;$G$7,BD!$V$3:$V$5001,"&lt;&gt;")=0,"",SUMIFS(BD!$V$3:$V$5001,BD!$B$3:$B$5001,$A320,BD!$A$3:$A$5001,_xlfn.MAXIFS(BD!$A$3:$A$5001,BD!$B$3:$B$5001,$A320,BD!$A$3:$A$5001,"&gt;="&amp;$F$7,BD!$A$3:$A$5001,"&lt;="&amp;$G$7,BD!$V$3:$V$5001,"&lt;&gt;"))))</f>
        <v/>
      </c>
      <c r="D320" s="54" t="str">
        <f>IF($A320="","",IF(COUNTIFS(BD!$B$3:$B$5001,$A320,BD!$A$3:$A$5001,"&gt;="&amp;$F$8,BD!$A$3:$A$5001,"&lt;="&amp;$G$8,BD!$V$3:$V$5001,"&lt;&gt;")=0,"",SUMIFS(BD!$V$3:$V$5001,BD!$B$3:$B$5001,$A320,BD!$A$3:$A$5001,_xlfn.MAXIFS(BD!$A$3:$A$5001,BD!$B$3:$B$5001,$A320,BD!$A$3:$A$5001,"&gt;="&amp;$F$8,BD!$A$3:$A$5001,"&lt;="&amp;$G$8,BD!$V$3:$V$5001,"&lt;&gt;"))))</f>
        <v/>
      </c>
      <c r="E320" s="54" t="str">
        <f>IF($A320="","",IF(COUNTIFS(BD!$B$3:$B$5001,$A320,BD!$A$3:$A$5001,"&gt;="&amp;$F$7,BD!$A$3:$A$5001,"&lt;="&amp;$G$7,BD!$W$3:$W$5001,"&lt;&gt;")=0,"",SUMIFS(BD!$W$3:$W$5001,BD!$B$3:$B$5001,$A320,BD!$A$3:$A$5001,_xlfn.MAXIFS(BD!$A$3:$A$5001,BD!$B$3:$B$5001,$A320,BD!$A$3:$A$5001,"&gt;="&amp;$F$7,BD!$A$3:$A$5001,"&lt;="&amp;$G$7,BD!$W$3:$W$5001,"&lt;&gt;"))))</f>
        <v/>
      </c>
      <c r="F320" s="54" t="str">
        <f>IF($A320="","",IF(COUNTIFS(BD!$B$3:$B$5001,$A320,BD!$A$3:$A$5001,"&gt;="&amp;$F$8,BD!$A$3:$A$5001,"&lt;="&amp;$G$8,BD!$W$3:$W$5001,"&lt;&gt;")=0,"",SUMIFS(BD!$W$3:$W$5001,BD!$B$3:$B$5001,$A320,BD!$A$3:$A$5001,_xlfn.MAXIFS(BD!$A$3:$A$5001,BD!$B$3:$B$5001,$A320,BD!$A$3:$A$5001,"&gt;="&amp;$F$8,BD!$A$3:$A$5001,"&lt;="&amp;$G$8,BD!$W$3:$W$5001,"&lt;&gt;"))))</f>
        <v/>
      </c>
      <c r="G320" s="54" t="str">
        <f>IF($A320="","",IF(COUNTIFS(BD!$B$3:$B$5001,$A320,BD!$A$3:$A$5001,"&gt;="&amp;$F$7,BD!$A$3:$A$5001,"&lt;="&amp;$G$7,BD!$Y$3:$Y$5001,"&lt;&gt;")=0,"",SUMIFS(BD!$Y$3:$Y$5001,BD!$B$3:$B$5001,$A320,BD!$A$3:$A$5001,_xlfn.MAXIFS(BD!$A$3:$A$5001,BD!$B$3:$B$5001,$A320,BD!$A$3:$A$5001,"&gt;="&amp;$F$7,BD!$A$3:$A$5001,"&lt;="&amp;$G$7,BD!$Y$3:$Y$5001,"&lt;&gt;"))))</f>
        <v/>
      </c>
      <c r="H320" s="54" t="str">
        <f>IF($A320="","",IF(COUNTIFS(BD!$B$3:$B$5001,$A320,BD!$A$3:$A$5001,"&gt;="&amp;$F$8,BD!$A$3:$A$5001,"&lt;="&amp;$G$8,BD!$Y$3:$Y$5001,"&lt;&gt;")=0,"",SUMIFS(BD!$Y$3:$Y$5001,BD!$B$3:$B$5001,$A320,BD!$A$3:$A$5001,_xlfn.MAXIFS(BD!$A$3:$A$5001,BD!$B$3:$B$5001,$A320,BD!$A$3:$A$5001,"&gt;="&amp;$F$8,BD!$A$3:$A$5001,"&lt;="&amp;$G$8,BD!$Y$3:$Y$5001,"&lt;&gt;"))))</f>
        <v/>
      </c>
      <c r="I320" s="54" t="str">
        <f>IF($A320="","",IF(COUNTIFS(BD!$B$3:$B$5001,$A320,BD!$A$3:$A$5001,"&gt;="&amp;$F$7,BD!$A$3:$A$5001,"&lt;="&amp;$G$7,BD!$X$3:$X$5001,"&lt;&gt;")=0,"",SUMIFS(BD!$X$3:$X$5001,BD!$B$3:$B$5001,$A320,BD!$A$3:$A$5001,_xlfn.MAXIFS(BD!$A$3:$A$5001,BD!$B$3:$B$5001,$A320,BD!$A$3:$A$5001,"&gt;="&amp;$F$7,BD!$A$3:$A$5001,"&lt;="&amp;$G$7,BD!$X$3:$X$5001,"&lt;&gt;"))))</f>
        <v/>
      </c>
      <c r="J320" s="54" t="str">
        <f>IF($A320="","",IF(COUNTIFS(BD!$B$3:$B$5001,$A320,BD!$A$3:$A$5001,"&gt;="&amp;$F$8,BD!$A$3:$A$5001,"&lt;="&amp;$G$8,BD!$X$3:$X$5001,"&lt;&gt;")=0,"",SUMIFS(BD!$X$3:$X$5001,BD!$B$3:$B$5001,$A320,BD!$A$3:$A$5001,_xlfn.MAXIFS(BD!$A$3:$A$5001,BD!$B$3:$B$5001,$A320,BD!$A$3:$A$5001,"&gt;="&amp;$F$8,BD!$A$3:$A$5001,"&lt;="&amp;$G$8,BD!$X$3:$X$5001,"&lt;&gt;"))))</f>
        <v/>
      </c>
      <c r="K320" s="54" t="str">
        <f>IF($A320="","",IF(COUNTIFS(BD!$B$3:$B$5001,$A320,BD!$A$3:$A$5001,"&gt;="&amp;$F$7,BD!$A$3:$A$5001,"&lt;="&amp;$G$7,BD!$Z$3:$Z$5001,"&lt;&gt;")=0,"",SUMIFS(BD!$Z$3:$Z$5001,BD!$B$3:$B$5001,$A320,BD!$A$3:$A$5001,_xlfn.MAXIFS(BD!$A$3:$A$5001,BD!$B$3:$B$5001,$A320,BD!$A$3:$A$5001,"&gt;="&amp;$F$7,BD!$A$3:$A$5001,"&lt;="&amp;$G$7,BD!$Z$3:$Z$5001,"&lt;&gt;"))))</f>
        <v/>
      </c>
      <c r="L320" s="54" t="str">
        <f>IF($A320="","",IF(COUNTIFS(BD!$B$3:$B$5001,$A320,BD!$A$3:$A$5001,"&gt;="&amp;$F$8,BD!$A$3:$A$5001,"&lt;="&amp;$G$8,BD!$Z$3:$Z$5001,"&lt;&gt;")=0,"",SUMIFS(BD!$Z$3:$Z$5001,BD!$B$3:$B$5001,$A320,BD!$A$3:$A$5001,_xlfn.MAXIFS(BD!$A$3:$A$5001,BD!$B$3:$B$5001,$A320,BD!$A$3:$A$5001,"&gt;="&amp;$F$8,BD!$A$3:$A$5001,"&lt;="&amp;$G$8,BD!$Z$3:$Z$5001,"&lt;&gt;"))))</f>
        <v/>
      </c>
    </row>
    <row r="321">
      <c r="A321" s="76" t="str">
        <f>Config!$B$12&amp;""</f>
        <v>Beautybiz</v>
      </c>
      <c r="B321" s="48" t="str">
        <f>IF(Config!$C$12="","TPC",Config!$C$12)</f>
        <v>TPC</v>
      </c>
      <c r="C321" s="54" t="str">
        <f>IF($A321="","",IF(COUNTIFS(BD!$B$3:$B$5001,$A321,BD!$A$3:$A$5001,"&gt;="&amp;$F$7,BD!$A$3:$A$5001,"&lt;="&amp;$G$7,BD!$V$3:$V$5001,"&lt;&gt;")=0,"",SUMIFS(BD!$V$3:$V$5001,BD!$B$3:$B$5001,$A321,BD!$A$3:$A$5001,_xlfn.MAXIFS(BD!$A$3:$A$5001,BD!$B$3:$B$5001,$A321,BD!$A$3:$A$5001,"&gt;="&amp;$F$7,BD!$A$3:$A$5001,"&lt;="&amp;$G$7,BD!$V$3:$V$5001,"&lt;&gt;"))))</f>
        <v/>
      </c>
      <c r="D321" s="54" t="str">
        <f>IF($A321="","",IF(COUNTIFS(BD!$B$3:$B$5001,$A321,BD!$A$3:$A$5001,"&gt;="&amp;$F$8,BD!$A$3:$A$5001,"&lt;="&amp;$G$8,BD!$V$3:$V$5001,"&lt;&gt;")=0,"",SUMIFS(BD!$V$3:$V$5001,BD!$B$3:$B$5001,$A321,BD!$A$3:$A$5001,_xlfn.MAXIFS(BD!$A$3:$A$5001,BD!$B$3:$B$5001,$A321,BD!$A$3:$A$5001,"&gt;="&amp;$F$8,BD!$A$3:$A$5001,"&lt;="&amp;$G$8,BD!$V$3:$V$5001,"&lt;&gt;"))))</f>
        <v/>
      </c>
      <c r="E321" s="54" t="str">
        <f>IF($A321="","",IF(COUNTIFS(BD!$B$3:$B$5001,$A321,BD!$A$3:$A$5001,"&gt;="&amp;$F$7,BD!$A$3:$A$5001,"&lt;="&amp;$G$7,BD!$W$3:$W$5001,"&lt;&gt;")=0,"",SUMIFS(BD!$W$3:$W$5001,BD!$B$3:$B$5001,$A321,BD!$A$3:$A$5001,_xlfn.MAXIFS(BD!$A$3:$A$5001,BD!$B$3:$B$5001,$A321,BD!$A$3:$A$5001,"&gt;="&amp;$F$7,BD!$A$3:$A$5001,"&lt;="&amp;$G$7,BD!$W$3:$W$5001,"&lt;&gt;"))))</f>
        <v/>
      </c>
      <c r="F321" s="54" t="str">
        <f>IF($A321="","",IF(COUNTIFS(BD!$B$3:$B$5001,$A321,BD!$A$3:$A$5001,"&gt;="&amp;$F$8,BD!$A$3:$A$5001,"&lt;="&amp;$G$8,BD!$W$3:$W$5001,"&lt;&gt;")=0,"",SUMIFS(BD!$W$3:$W$5001,BD!$B$3:$B$5001,$A321,BD!$A$3:$A$5001,_xlfn.MAXIFS(BD!$A$3:$A$5001,BD!$B$3:$B$5001,$A321,BD!$A$3:$A$5001,"&gt;="&amp;$F$8,BD!$A$3:$A$5001,"&lt;="&amp;$G$8,BD!$W$3:$W$5001,"&lt;&gt;"))))</f>
        <v/>
      </c>
      <c r="G321" s="54" t="str">
        <f>IF($A321="","",IF(COUNTIFS(BD!$B$3:$B$5001,$A321,BD!$A$3:$A$5001,"&gt;="&amp;$F$7,BD!$A$3:$A$5001,"&lt;="&amp;$G$7,BD!$Y$3:$Y$5001,"&lt;&gt;")=0,"",SUMIFS(BD!$Y$3:$Y$5001,BD!$B$3:$B$5001,$A321,BD!$A$3:$A$5001,_xlfn.MAXIFS(BD!$A$3:$A$5001,BD!$B$3:$B$5001,$A321,BD!$A$3:$A$5001,"&gt;="&amp;$F$7,BD!$A$3:$A$5001,"&lt;="&amp;$G$7,BD!$Y$3:$Y$5001,"&lt;&gt;"))))</f>
        <v/>
      </c>
      <c r="H321" s="54" t="str">
        <f>IF($A321="","",IF(COUNTIFS(BD!$B$3:$B$5001,$A321,BD!$A$3:$A$5001,"&gt;="&amp;$F$8,BD!$A$3:$A$5001,"&lt;="&amp;$G$8,BD!$Y$3:$Y$5001,"&lt;&gt;")=0,"",SUMIFS(BD!$Y$3:$Y$5001,BD!$B$3:$B$5001,$A321,BD!$A$3:$A$5001,_xlfn.MAXIFS(BD!$A$3:$A$5001,BD!$B$3:$B$5001,$A321,BD!$A$3:$A$5001,"&gt;="&amp;$F$8,BD!$A$3:$A$5001,"&lt;="&amp;$G$8,BD!$Y$3:$Y$5001,"&lt;&gt;"))))</f>
        <v/>
      </c>
      <c r="I321" s="54" t="str">
        <f>IF($A321="","",IF(COUNTIFS(BD!$B$3:$B$5001,$A321,BD!$A$3:$A$5001,"&gt;="&amp;$F$7,BD!$A$3:$A$5001,"&lt;="&amp;$G$7,BD!$X$3:$X$5001,"&lt;&gt;")=0,"",SUMIFS(BD!$X$3:$X$5001,BD!$B$3:$B$5001,$A321,BD!$A$3:$A$5001,_xlfn.MAXIFS(BD!$A$3:$A$5001,BD!$B$3:$B$5001,$A321,BD!$A$3:$A$5001,"&gt;="&amp;$F$7,BD!$A$3:$A$5001,"&lt;="&amp;$G$7,BD!$X$3:$X$5001,"&lt;&gt;"))))</f>
        <v/>
      </c>
      <c r="J321" s="54" t="str">
        <f>IF($A321="","",IF(COUNTIFS(BD!$B$3:$B$5001,$A321,BD!$A$3:$A$5001,"&gt;="&amp;$F$8,BD!$A$3:$A$5001,"&lt;="&amp;$G$8,BD!$X$3:$X$5001,"&lt;&gt;")=0,"",SUMIFS(BD!$X$3:$X$5001,BD!$B$3:$B$5001,$A321,BD!$A$3:$A$5001,_xlfn.MAXIFS(BD!$A$3:$A$5001,BD!$B$3:$B$5001,$A321,BD!$A$3:$A$5001,"&gt;="&amp;$F$8,BD!$A$3:$A$5001,"&lt;="&amp;$G$8,BD!$X$3:$X$5001,"&lt;&gt;"))))</f>
        <v/>
      </c>
      <c r="K321" s="54" t="str">
        <f>IF($A321="","",IF(COUNTIFS(BD!$B$3:$B$5001,$A321,BD!$A$3:$A$5001,"&gt;="&amp;$F$7,BD!$A$3:$A$5001,"&lt;="&amp;$G$7,BD!$Z$3:$Z$5001,"&lt;&gt;")=0,"",SUMIFS(BD!$Z$3:$Z$5001,BD!$B$3:$B$5001,$A321,BD!$A$3:$A$5001,_xlfn.MAXIFS(BD!$A$3:$A$5001,BD!$B$3:$B$5001,$A321,BD!$A$3:$A$5001,"&gt;="&amp;$F$7,BD!$A$3:$A$5001,"&lt;="&amp;$G$7,BD!$Z$3:$Z$5001,"&lt;&gt;"))))</f>
        <v/>
      </c>
      <c r="L321" s="54" t="str">
        <f>IF($A321="","",IF(COUNTIFS(BD!$B$3:$B$5001,$A321,BD!$A$3:$A$5001,"&gt;="&amp;$F$8,BD!$A$3:$A$5001,"&lt;="&amp;$G$8,BD!$Z$3:$Z$5001,"&lt;&gt;")=0,"",SUMIFS(BD!$Z$3:$Z$5001,BD!$B$3:$B$5001,$A321,BD!$A$3:$A$5001,_xlfn.MAXIFS(BD!$A$3:$A$5001,BD!$B$3:$B$5001,$A321,BD!$A$3:$A$5001,"&gt;="&amp;$F$8,BD!$A$3:$A$5001,"&lt;="&amp;$G$8,BD!$Z$3:$Z$5001,"&lt;&gt;"))))</f>
        <v/>
      </c>
    </row>
    <row r="322">
      <c r="A322" s="76" t="str">
        <f>Config!$B$13&amp;""</f>
        <v>Boticário</v>
      </c>
      <c r="B322" s="48" t="str">
        <f>IF(Config!$C$13="","TPC",Config!$C$13)</f>
        <v>TPC</v>
      </c>
      <c r="C322" s="54" t="str">
        <f>IF($A322="","",IF(COUNTIFS(BD!$B$3:$B$5001,$A322,BD!$A$3:$A$5001,"&gt;="&amp;$F$7,BD!$A$3:$A$5001,"&lt;="&amp;$G$7,BD!$V$3:$V$5001,"&lt;&gt;")=0,"",SUMIFS(BD!$V$3:$V$5001,BD!$B$3:$B$5001,$A322,BD!$A$3:$A$5001,_xlfn.MAXIFS(BD!$A$3:$A$5001,BD!$B$3:$B$5001,$A322,BD!$A$3:$A$5001,"&gt;="&amp;$F$7,BD!$A$3:$A$5001,"&lt;="&amp;$G$7,BD!$V$3:$V$5001,"&lt;&gt;"))))</f>
        <v/>
      </c>
      <c r="D322" s="54" t="str">
        <f>IF($A322="","",IF(COUNTIFS(BD!$B$3:$B$5001,$A322,BD!$A$3:$A$5001,"&gt;="&amp;$F$8,BD!$A$3:$A$5001,"&lt;="&amp;$G$8,BD!$V$3:$V$5001,"&lt;&gt;")=0,"",SUMIFS(BD!$V$3:$V$5001,BD!$B$3:$B$5001,$A322,BD!$A$3:$A$5001,_xlfn.MAXIFS(BD!$A$3:$A$5001,BD!$B$3:$B$5001,$A322,BD!$A$3:$A$5001,"&gt;="&amp;$F$8,BD!$A$3:$A$5001,"&lt;="&amp;$G$8,BD!$V$3:$V$5001,"&lt;&gt;"))))</f>
        <v/>
      </c>
      <c r="E322" s="54" t="str">
        <f>IF($A322="","",IF(COUNTIFS(BD!$B$3:$B$5001,$A322,BD!$A$3:$A$5001,"&gt;="&amp;$F$7,BD!$A$3:$A$5001,"&lt;="&amp;$G$7,BD!$W$3:$W$5001,"&lt;&gt;")=0,"",SUMIFS(BD!$W$3:$W$5001,BD!$B$3:$B$5001,$A322,BD!$A$3:$A$5001,_xlfn.MAXIFS(BD!$A$3:$A$5001,BD!$B$3:$B$5001,$A322,BD!$A$3:$A$5001,"&gt;="&amp;$F$7,BD!$A$3:$A$5001,"&lt;="&amp;$G$7,BD!$W$3:$W$5001,"&lt;&gt;"))))</f>
        <v/>
      </c>
      <c r="F322" s="54" t="str">
        <f>IF($A322="","",IF(COUNTIFS(BD!$B$3:$B$5001,$A322,BD!$A$3:$A$5001,"&gt;="&amp;$F$8,BD!$A$3:$A$5001,"&lt;="&amp;$G$8,BD!$W$3:$W$5001,"&lt;&gt;")=0,"",SUMIFS(BD!$W$3:$W$5001,BD!$B$3:$B$5001,$A322,BD!$A$3:$A$5001,_xlfn.MAXIFS(BD!$A$3:$A$5001,BD!$B$3:$B$5001,$A322,BD!$A$3:$A$5001,"&gt;="&amp;$F$8,BD!$A$3:$A$5001,"&lt;="&amp;$G$8,BD!$W$3:$W$5001,"&lt;&gt;"))))</f>
        <v/>
      </c>
      <c r="G322" s="54" t="str">
        <f>IF($A322="","",IF(COUNTIFS(BD!$B$3:$B$5001,$A322,BD!$A$3:$A$5001,"&gt;="&amp;$F$7,BD!$A$3:$A$5001,"&lt;="&amp;$G$7,BD!$Y$3:$Y$5001,"&lt;&gt;")=0,"",SUMIFS(BD!$Y$3:$Y$5001,BD!$B$3:$B$5001,$A322,BD!$A$3:$A$5001,_xlfn.MAXIFS(BD!$A$3:$A$5001,BD!$B$3:$B$5001,$A322,BD!$A$3:$A$5001,"&gt;="&amp;$F$7,BD!$A$3:$A$5001,"&lt;="&amp;$G$7,BD!$Y$3:$Y$5001,"&lt;&gt;"))))</f>
        <v/>
      </c>
      <c r="H322" s="54" t="str">
        <f>IF($A322="","",IF(COUNTIFS(BD!$B$3:$B$5001,$A322,BD!$A$3:$A$5001,"&gt;="&amp;$F$8,BD!$A$3:$A$5001,"&lt;="&amp;$G$8,BD!$Y$3:$Y$5001,"&lt;&gt;")=0,"",SUMIFS(BD!$Y$3:$Y$5001,BD!$B$3:$B$5001,$A322,BD!$A$3:$A$5001,_xlfn.MAXIFS(BD!$A$3:$A$5001,BD!$B$3:$B$5001,$A322,BD!$A$3:$A$5001,"&gt;="&amp;$F$8,BD!$A$3:$A$5001,"&lt;="&amp;$G$8,BD!$Y$3:$Y$5001,"&lt;&gt;"))))</f>
        <v/>
      </c>
      <c r="I322" s="54" t="str">
        <f>IF($A322="","",IF(COUNTIFS(BD!$B$3:$B$5001,$A322,BD!$A$3:$A$5001,"&gt;="&amp;$F$7,BD!$A$3:$A$5001,"&lt;="&amp;$G$7,BD!$X$3:$X$5001,"&lt;&gt;")=0,"",SUMIFS(BD!$X$3:$X$5001,BD!$B$3:$B$5001,$A322,BD!$A$3:$A$5001,_xlfn.MAXIFS(BD!$A$3:$A$5001,BD!$B$3:$B$5001,$A322,BD!$A$3:$A$5001,"&gt;="&amp;$F$7,BD!$A$3:$A$5001,"&lt;="&amp;$G$7,BD!$X$3:$X$5001,"&lt;&gt;"))))</f>
        <v/>
      </c>
      <c r="J322" s="54" t="str">
        <f>IF($A322="","",IF(COUNTIFS(BD!$B$3:$B$5001,$A322,BD!$A$3:$A$5001,"&gt;="&amp;$F$8,BD!$A$3:$A$5001,"&lt;="&amp;$G$8,BD!$X$3:$X$5001,"&lt;&gt;")=0,"",SUMIFS(BD!$X$3:$X$5001,BD!$B$3:$B$5001,$A322,BD!$A$3:$A$5001,_xlfn.MAXIFS(BD!$A$3:$A$5001,BD!$B$3:$B$5001,$A322,BD!$A$3:$A$5001,"&gt;="&amp;$F$8,BD!$A$3:$A$5001,"&lt;="&amp;$G$8,BD!$X$3:$X$5001,"&lt;&gt;"))))</f>
        <v/>
      </c>
      <c r="K322" s="54" t="str">
        <f>IF($A322="","",IF(COUNTIFS(BD!$B$3:$B$5001,$A322,BD!$A$3:$A$5001,"&gt;="&amp;$F$7,BD!$A$3:$A$5001,"&lt;="&amp;$G$7,BD!$Z$3:$Z$5001,"&lt;&gt;")=0,"",SUMIFS(BD!$Z$3:$Z$5001,BD!$B$3:$B$5001,$A322,BD!$A$3:$A$5001,_xlfn.MAXIFS(BD!$A$3:$A$5001,BD!$B$3:$B$5001,$A322,BD!$A$3:$A$5001,"&gt;="&amp;$F$7,BD!$A$3:$A$5001,"&lt;="&amp;$G$7,BD!$Z$3:$Z$5001,"&lt;&gt;"))))</f>
        <v/>
      </c>
      <c r="L322" s="54" t="str">
        <f>IF($A322="","",IF(COUNTIFS(BD!$B$3:$B$5001,$A322,BD!$A$3:$A$5001,"&gt;="&amp;$F$8,BD!$A$3:$A$5001,"&lt;="&amp;$G$8,BD!$Z$3:$Z$5001,"&lt;&gt;")=0,"",SUMIFS(BD!$Z$3:$Z$5001,BD!$B$3:$B$5001,$A322,BD!$A$3:$A$5001,_xlfn.MAXIFS(BD!$A$3:$A$5001,BD!$B$3:$B$5001,$A322,BD!$A$3:$A$5001,"&gt;="&amp;$F$8,BD!$A$3:$A$5001,"&lt;="&amp;$G$8,BD!$Z$3:$Z$5001,"&lt;&gt;"))))</f>
        <v/>
      </c>
    </row>
    <row r="323">
      <c r="A323" s="76" t="str">
        <f>Config!$B$14&amp;""</f>
        <v>Confiance</v>
      </c>
      <c r="B323" s="48" t="str">
        <f>IF(Config!$C$14="","TPC",Config!$C$14)</f>
        <v>TPC</v>
      </c>
      <c r="C323" s="54" t="str">
        <f>IF($A323="","",IF(COUNTIFS(BD!$B$3:$B$5001,$A323,BD!$A$3:$A$5001,"&gt;="&amp;$F$7,BD!$A$3:$A$5001,"&lt;="&amp;$G$7,BD!$V$3:$V$5001,"&lt;&gt;")=0,"",SUMIFS(BD!$V$3:$V$5001,BD!$B$3:$B$5001,$A323,BD!$A$3:$A$5001,_xlfn.MAXIFS(BD!$A$3:$A$5001,BD!$B$3:$B$5001,$A323,BD!$A$3:$A$5001,"&gt;="&amp;$F$7,BD!$A$3:$A$5001,"&lt;="&amp;$G$7,BD!$V$3:$V$5001,"&lt;&gt;"))))</f>
        <v/>
      </c>
      <c r="D323" s="54" t="str">
        <f>IF($A323="","",IF(COUNTIFS(BD!$B$3:$B$5001,$A323,BD!$A$3:$A$5001,"&gt;="&amp;$F$8,BD!$A$3:$A$5001,"&lt;="&amp;$G$8,BD!$V$3:$V$5001,"&lt;&gt;")=0,"",SUMIFS(BD!$V$3:$V$5001,BD!$B$3:$B$5001,$A323,BD!$A$3:$A$5001,_xlfn.MAXIFS(BD!$A$3:$A$5001,BD!$B$3:$B$5001,$A323,BD!$A$3:$A$5001,"&gt;="&amp;$F$8,BD!$A$3:$A$5001,"&lt;="&amp;$G$8,BD!$V$3:$V$5001,"&lt;&gt;"))))</f>
        <v/>
      </c>
      <c r="E323" s="54" t="str">
        <f>IF($A323="","",IF(COUNTIFS(BD!$B$3:$B$5001,$A323,BD!$A$3:$A$5001,"&gt;="&amp;$F$7,BD!$A$3:$A$5001,"&lt;="&amp;$G$7,BD!$W$3:$W$5001,"&lt;&gt;")=0,"",SUMIFS(BD!$W$3:$W$5001,BD!$B$3:$B$5001,$A323,BD!$A$3:$A$5001,_xlfn.MAXIFS(BD!$A$3:$A$5001,BD!$B$3:$B$5001,$A323,BD!$A$3:$A$5001,"&gt;="&amp;$F$7,BD!$A$3:$A$5001,"&lt;="&amp;$G$7,BD!$W$3:$W$5001,"&lt;&gt;"))))</f>
        <v/>
      </c>
      <c r="F323" s="54" t="str">
        <f>IF($A323="","",IF(COUNTIFS(BD!$B$3:$B$5001,$A323,BD!$A$3:$A$5001,"&gt;="&amp;$F$8,BD!$A$3:$A$5001,"&lt;="&amp;$G$8,BD!$W$3:$W$5001,"&lt;&gt;")=0,"",SUMIFS(BD!$W$3:$W$5001,BD!$B$3:$B$5001,$A323,BD!$A$3:$A$5001,_xlfn.MAXIFS(BD!$A$3:$A$5001,BD!$B$3:$B$5001,$A323,BD!$A$3:$A$5001,"&gt;="&amp;$F$8,BD!$A$3:$A$5001,"&lt;="&amp;$G$8,BD!$W$3:$W$5001,"&lt;&gt;"))))</f>
        <v/>
      </c>
      <c r="G323" s="54" t="str">
        <f>IF($A323="","",IF(COUNTIFS(BD!$B$3:$B$5001,$A323,BD!$A$3:$A$5001,"&gt;="&amp;$F$7,BD!$A$3:$A$5001,"&lt;="&amp;$G$7,BD!$Y$3:$Y$5001,"&lt;&gt;")=0,"",SUMIFS(BD!$Y$3:$Y$5001,BD!$B$3:$B$5001,$A323,BD!$A$3:$A$5001,_xlfn.MAXIFS(BD!$A$3:$A$5001,BD!$B$3:$B$5001,$A323,BD!$A$3:$A$5001,"&gt;="&amp;$F$7,BD!$A$3:$A$5001,"&lt;="&amp;$G$7,BD!$Y$3:$Y$5001,"&lt;&gt;"))))</f>
        <v/>
      </c>
      <c r="H323" s="54" t="str">
        <f>IF($A323="","",IF(COUNTIFS(BD!$B$3:$B$5001,$A323,BD!$A$3:$A$5001,"&gt;="&amp;$F$8,BD!$A$3:$A$5001,"&lt;="&amp;$G$8,BD!$Y$3:$Y$5001,"&lt;&gt;")=0,"",SUMIFS(BD!$Y$3:$Y$5001,BD!$B$3:$B$5001,$A323,BD!$A$3:$A$5001,_xlfn.MAXIFS(BD!$A$3:$A$5001,BD!$B$3:$B$5001,$A323,BD!$A$3:$A$5001,"&gt;="&amp;$F$8,BD!$A$3:$A$5001,"&lt;="&amp;$G$8,BD!$Y$3:$Y$5001,"&lt;&gt;"))))</f>
        <v/>
      </c>
      <c r="I323" s="54" t="str">
        <f>IF($A323="","",IF(COUNTIFS(BD!$B$3:$B$5001,$A323,BD!$A$3:$A$5001,"&gt;="&amp;$F$7,BD!$A$3:$A$5001,"&lt;="&amp;$G$7,BD!$X$3:$X$5001,"&lt;&gt;")=0,"",SUMIFS(BD!$X$3:$X$5001,BD!$B$3:$B$5001,$A323,BD!$A$3:$A$5001,_xlfn.MAXIFS(BD!$A$3:$A$5001,BD!$B$3:$B$5001,$A323,BD!$A$3:$A$5001,"&gt;="&amp;$F$7,BD!$A$3:$A$5001,"&lt;="&amp;$G$7,BD!$X$3:$X$5001,"&lt;&gt;"))))</f>
        <v/>
      </c>
      <c r="J323" s="54" t="str">
        <f>IF($A323="","",IF(COUNTIFS(BD!$B$3:$B$5001,$A323,BD!$A$3:$A$5001,"&gt;="&amp;$F$8,BD!$A$3:$A$5001,"&lt;="&amp;$G$8,BD!$X$3:$X$5001,"&lt;&gt;")=0,"",SUMIFS(BD!$X$3:$X$5001,BD!$B$3:$B$5001,$A323,BD!$A$3:$A$5001,_xlfn.MAXIFS(BD!$A$3:$A$5001,BD!$B$3:$B$5001,$A323,BD!$A$3:$A$5001,"&gt;="&amp;$F$8,BD!$A$3:$A$5001,"&lt;="&amp;$G$8,BD!$X$3:$X$5001,"&lt;&gt;"))))</f>
        <v/>
      </c>
      <c r="K323" s="54" t="str">
        <f>IF($A323="","",IF(COUNTIFS(BD!$B$3:$B$5001,$A323,BD!$A$3:$A$5001,"&gt;="&amp;$F$7,BD!$A$3:$A$5001,"&lt;="&amp;$G$7,BD!$Z$3:$Z$5001,"&lt;&gt;")=0,"",SUMIFS(BD!$Z$3:$Z$5001,BD!$B$3:$B$5001,$A323,BD!$A$3:$A$5001,_xlfn.MAXIFS(BD!$A$3:$A$5001,BD!$B$3:$B$5001,$A323,BD!$A$3:$A$5001,"&gt;="&amp;$F$7,BD!$A$3:$A$5001,"&lt;="&amp;$G$7,BD!$Z$3:$Z$5001,"&lt;&gt;"))))</f>
        <v/>
      </c>
      <c r="L323" s="54" t="str">
        <f>IF($A323="","",IF(COUNTIFS(BD!$B$3:$B$5001,$A323,BD!$A$3:$A$5001,"&gt;="&amp;$F$8,BD!$A$3:$A$5001,"&lt;="&amp;$G$8,BD!$Z$3:$Z$5001,"&lt;&gt;")=0,"",SUMIFS(BD!$Z$3:$Z$5001,BD!$B$3:$B$5001,$A323,BD!$A$3:$A$5001,_xlfn.MAXIFS(BD!$A$3:$A$5001,BD!$B$3:$B$5001,$A323,BD!$A$3:$A$5001,"&gt;="&amp;$F$8,BD!$A$3:$A$5001,"&lt;="&amp;$G$8,BD!$Z$3:$Z$5001,"&lt;&gt;"))))</f>
        <v/>
      </c>
    </row>
    <row r="324">
      <c r="A324" s="76" t="str">
        <f>Config!$B$15&amp;""</f>
        <v>GE Vernova</v>
      </c>
      <c r="B324" s="48" t="str">
        <f>IF(Config!$C$15="","TPC",Config!$C$15)</f>
        <v>TPC</v>
      </c>
      <c r="C324" s="54" t="str">
        <f>IF($A324="","",IF(COUNTIFS(BD!$B$3:$B$5001,$A324,BD!$A$3:$A$5001,"&gt;="&amp;$F$7,BD!$A$3:$A$5001,"&lt;="&amp;$G$7,BD!$V$3:$V$5001,"&lt;&gt;")=0,"",SUMIFS(BD!$V$3:$V$5001,BD!$B$3:$B$5001,$A324,BD!$A$3:$A$5001,_xlfn.MAXIFS(BD!$A$3:$A$5001,BD!$B$3:$B$5001,$A324,BD!$A$3:$A$5001,"&gt;="&amp;$F$7,BD!$A$3:$A$5001,"&lt;="&amp;$G$7,BD!$V$3:$V$5001,"&lt;&gt;"))))</f>
        <v/>
      </c>
      <c r="D324" s="54" t="str">
        <f>IF($A324="","",IF(COUNTIFS(BD!$B$3:$B$5001,$A324,BD!$A$3:$A$5001,"&gt;="&amp;$F$8,BD!$A$3:$A$5001,"&lt;="&amp;$G$8,BD!$V$3:$V$5001,"&lt;&gt;")=0,"",SUMIFS(BD!$V$3:$V$5001,BD!$B$3:$B$5001,$A324,BD!$A$3:$A$5001,_xlfn.MAXIFS(BD!$A$3:$A$5001,BD!$B$3:$B$5001,$A324,BD!$A$3:$A$5001,"&gt;="&amp;$F$8,BD!$A$3:$A$5001,"&lt;="&amp;$G$8,BD!$V$3:$V$5001,"&lt;&gt;"))))</f>
        <v/>
      </c>
      <c r="E324" s="54" t="str">
        <f>IF($A324="","",IF(COUNTIFS(BD!$B$3:$B$5001,$A324,BD!$A$3:$A$5001,"&gt;="&amp;$F$7,BD!$A$3:$A$5001,"&lt;="&amp;$G$7,BD!$W$3:$W$5001,"&lt;&gt;")=0,"",SUMIFS(BD!$W$3:$W$5001,BD!$B$3:$B$5001,$A324,BD!$A$3:$A$5001,_xlfn.MAXIFS(BD!$A$3:$A$5001,BD!$B$3:$B$5001,$A324,BD!$A$3:$A$5001,"&gt;="&amp;$F$7,BD!$A$3:$A$5001,"&lt;="&amp;$G$7,BD!$W$3:$W$5001,"&lt;&gt;"))))</f>
        <v/>
      </c>
      <c r="F324" s="54" t="str">
        <f>IF($A324="","",IF(COUNTIFS(BD!$B$3:$B$5001,$A324,BD!$A$3:$A$5001,"&gt;="&amp;$F$8,BD!$A$3:$A$5001,"&lt;="&amp;$G$8,BD!$W$3:$W$5001,"&lt;&gt;")=0,"",SUMIFS(BD!$W$3:$W$5001,BD!$B$3:$B$5001,$A324,BD!$A$3:$A$5001,_xlfn.MAXIFS(BD!$A$3:$A$5001,BD!$B$3:$B$5001,$A324,BD!$A$3:$A$5001,"&gt;="&amp;$F$8,BD!$A$3:$A$5001,"&lt;="&amp;$G$8,BD!$W$3:$W$5001,"&lt;&gt;"))))</f>
        <v/>
      </c>
      <c r="G324" s="54" t="str">
        <f>IF($A324="","",IF(COUNTIFS(BD!$B$3:$B$5001,$A324,BD!$A$3:$A$5001,"&gt;="&amp;$F$7,BD!$A$3:$A$5001,"&lt;="&amp;$G$7,BD!$Y$3:$Y$5001,"&lt;&gt;")=0,"",SUMIFS(BD!$Y$3:$Y$5001,BD!$B$3:$B$5001,$A324,BD!$A$3:$A$5001,_xlfn.MAXIFS(BD!$A$3:$A$5001,BD!$B$3:$B$5001,$A324,BD!$A$3:$A$5001,"&gt;="&amp;$F$7,BD!$A$3:$A$5001,"&lt;="&amp;$G$7,BD!$Y$3:$Y$5001,"&lt;&gt;"))))</f>
        <v/>
      </c>
      <c r="H324" s="54" t="str">
        <f>IF($A324="","",IF(COUNTIFS(BD!$B$3:$B$5001,$A324,BD!$A$3:$A$5001,"&gt;="&amp;$F$8,BD!$A$3:$A$5001,"&lt;="&amp;$G$8,BD!$Y$3:$Y$5001,"&lt;&gt;")=0,"",SUMIFS(BD!$Y$3:$Y$5001,BD!$B$3:$B$5001,$A324,BD!$A$3:$A$5001,_xlfn.MAXIFS(BD!$A$3:$A$5001,BD!$B$3:$B$5001,$A324,BD!$A$3:$A$5001,"&gt;="&amp;$F$8,BD!$A$3:$A$5001,"&lt;="&amp;$G$8,BD!$Y$3:$Y$5001,"&lt;&gt;"))))</f>
        <v/>
      </c>
      <c r="I324" s="54" t="str">
        <f>IF($A324="","",IF(COUNTIFS(BD!$B$3:$B$5001,$A324,BD!$A$3:$A$5001,"&gt;="&amp;$F$7,BD!$A$3:$A$5001,"&lt;="&amp;$G$7,BD!$X$3:$X$5001,"&lt;&gt;")=0,"",SUMIFS(BD!$X$3:$X$5001,BD!$B$3:$B$5001,$A324,BD!$A$3:$A$5001,_xlfn.MAXIFS(BD!$A$3:$A$5001,BD!$B$3:$B$5001,$A324,BD!$A$3:$A$5001,"&gt;="&amp;$F$7,BD!$A$3:$A$5001,"&lt;="&amp;$G$7,BD!$X$3:$X$5001,"&lt;&gt;"))))</f>
        <v/>
      </c>
      <c r="J324" s="54" t="str">
        <f>IF($A324="","",IF(COUNTIFS(BD!$B$3:$B$5001,$A324,BD!$A$3:$A$5001,"&gt;="&amp;$F$8,BD!$A$3:$A$5001,"&lt;="&amp;$G$8,BD!$X$3:$X$5001,"&lt;&gt;")=0,"",SUMIFS(BD!$X$3:$X$5001,BD!$B$3:$B$5001,$A324,BD!$A$3:$A$5001,_xlfn.MAXIFS(BD!$A$3:$A$5001,BD!$B$3:$B$5001,$A324,BD!$A$3:$A$5001,"&gt;="&amp;$F$8,BD!$A$3:$A$5001,"&lt;="&amp;$G$8,BD!$X$3:$X$5001,"&lt;&gt;"))))</f>
        <v/>
      </c>
      <c r="K324" s="54" t="str">
        <f>IF($A324="","",IF(COUNTIFS(BD!$B$3:$B$5001,$A324,BD!$A$3:$A$5001,"&gt;="&amp;$F$7,BD!$A$3:$A$5001,"&lt;="&amp;$G$7,BD!$Z$3:$Z$5001,"&lt;&gt;")=0,"",SUMIFS(BD!$Z$3:$Z$5001,BD!$B$3:$B$5001,$A324,BD!$A$3:$A$5001,_xlfn.MAXIFS(BD!$A$3:$A$5001,BD!$B$3:$B$5001,$A324,BD!$A$3:$A$5001,"&gt;="&amp;$F$7,BD!$A$3:$A$5001,"&lt;="&amp;$G$7,BD!$Z$3:$Z$5001,"&lt;&gt;"))))</f>
        <v/>
      </c>
      <c r="L324" s="54" t="str">
        <f>IF($A324="","",IF(COUNTIFS(BD!$B$3:$B$5001,$A324,BD!$A$3:$A$5001,"&gt;="&amp;$F$8,BD!$A$3:$A$5001,"&lt;="&amp;$G$8,BD!$Z$3:$Z$5001,"&lt;&gt;")=0,"",SUMIFS(BD!$Z$3:$Z$5001,BD!$B$3:$B$5001,$A324,BD!$A$3:$A$5001,_xlfn.MAXIFS(BD!$A$3:$A$5001,BD!$B$3:$B$5001,$A324,BD!$A$3:$A$5001,"&gt;="&amp;$F$8,BD!$A$3:$A$5001,"&lt;="&amp;$G$8,BD!$Z$3:$Z$5001,"&lt;&gt;"))))</f>
        <v/>
      </c>
    </row>
    <row r="325">
      <c r="A325" s="76" t="str">
        <f>Config!$B$16&amp;""</f>
        <v>Omnilife</v>
      </c>
      <c r="B325" s="48" t="str">
        <f>IF(Config!$C$16="","TPC",Config!$C$16)</f>
        <v>TPC</v>
      </c>
      <c r="C325" s="54" t="str">
        <f>IF($A325="","",IF(COUNTIFS(BD!$B$3:$B$5001,$A325,BD!$A$3:$A$5001,"&gt;="&amp;$F$7,BD!$A$3:$A$5001,"&lt;="&amp;$G$7,BD!$V$3:$V$5001,"&lt;&gt;")=0,"",SUMIFS(BD!$V$3:$V$5001,BD!$B$3:$B$5001,$A325,BD!$A$3:$A$5001,_xlfn.MAXIFS(BD!$A$3:$A$5001,BD!$B$3:$B$5001,$A325,BD!$A$3:$A$5001,"&gt;="&amp;$F$7,BD!$A$3:$A$5001,"&lt;="&amp;$G$7,BD!$V$3:$V$5001,"&lt;&gt;"))))</f>
        <v/>
      </c>
      <c r="D325" s="54" t="str">
        <f>IF($A325="","",IF(COUNTIFS(BD!$B$3:$B$5001,$A325,BD!$A$3:$A$5001,"&gt;="&amp;$F$8,BD!$A$3:$A$5001,"&lt;="&amp;$G$8,BD!$V$3:$V$5001,"&lt;&gt;")=0,"",SUMIFS(BD!$V$3:$V$5001,BD!$B$3:$B$5001,$A325,BD!$A$3:$A$5001,_xlfn.MAXIFS(BD!$A$3:$A$5001,BD!$B$3:$B$5001,$A325,BD!$A$3:$A$5001,"&gt;="&amp;$F$8,BD!$A$3:$A$5001,"&lt;="&amp;$G$8,BD!$V$3:$V$5001,"&lt;&gt;"))))</f>
        <v/>
      </c>
      <c r="E325" s="54" t="str">
        <f>IF($A325="","",IF(COUNTIFS(BD!$B$3:$B$5001,$A325,BD!$A$3:$A$5001,"&gt;="&amp;$F$7,BD!$A$3:$A$5001,"&lt;="&amp;$G$7,BD!$W$3:$W$5001,"&lt;&gt;")=0,"",SUMIFS(BD!$W$3:$W$5001,BD!$B$3:$B$5001,$A325,BD!$A$3:$A$5001,_xlfn.MAXIFS(BD!$A$3:$A$5001,BD!$B$3:$B$5001,$A325,BD!$A$3:$A$5001,"&gt;="&amp;$F$7,BD!$A$3:$A$5001,"&lt;="&amp;$G$7,BD!$W$3:$W$5001,"&lt;&gt;"))))</f>
        <v/>
      </c>
      <c r="F325" s="54" t="str">
        <f>IF($A325="","",IF(COUNTIFS(BD!$B$3:$B$5001,$A325,BD!$A$3:$A$5001,"&gt;="&amp;$F$8,BD!$A$3:$A$5001,"&lt;="&amp;$G$8,BD!$W$3:$W$5001,"&lt;&gt;")=0,"",SUMIFS(BD!$W$3:$W$5001,BD!$B$3:$B$5001,$A325,BD!$A$3:$A$5001,_xlfn.MAXIFS(BD!$A$3:$A$5001,BD!$B$3:$B$5001,$A325,BD!$A$3:$A$5001,"&gt;="&amp;$F$8,BD!$A$3:$A$5001,"&lt;="&amp;$G$8,BD!$W$3:$W$5001,"&lt;&gt;"))))</f>
        <v/>
      </c>
      <c r="G325" s="54" t="str">
        <f>IF($A325="","",IF(COUNTIFS(BD!$B$3:$B$5001,$A325,BD!$A$3:$A$5001,"&gt;="&amp;$F$7,BD!$A$3:$A$5001,"&lt;="&amp;$G$7,BD!$Y$3:$Y$5001,"&lt;&gt;")=0,"",SUMIFS(BD!$Y$3:$Y$5001,BD!$B$3:$B$5001,$A325,BD!$A$3:$A$5001,_xlfn.MAXIFS(BD!$A$3:$A$5001,BD!$B$3:$B$5001,$A325,BD!$A$3:$A$5001,"&gt;="&amp;$F$7,BD!$A$3:$A$5001,"&lt;="&amp;$G$7,BD!$Y$3:$Y$5001,"&lt;&gt;"))))</f>
        <v/>
      </c>
      <c r="H325" s="54" t="str">
        <f>IF($A325="","",IF(COUNTIFS(BD!$B$3:$B$5001,$A325,BD!$A$3:$A$5001,"&gt;="&amp;$F$8,BD!$A$3:$A$5001,"&lt;="&amp;$G$8,BD!$Y$3:$Y$5001,"&lt;&gt;")=0,"",SUMIFS(BD!$Y$3:$Y$5001,BD!$B$3:$B$5001,$A325,BD!$A$3:$A$5001,_xlfn.MAXIFS(BD!$A$3:$A$5001,BD!$B$3:$B$5001,$A325,BD!$A$3:$A$5001,"&gt;="&amp;$F$8,BD!$A$3:$A$5001,"&lt;="&amp;$G$8,BD!$Y$3:$Y$5001,"&lt;&gt;"))))</f>
        <v/>
      </c>
      <c r="I325" s="54" t="str">
        <f>IF($A325="","",IF(COUNTIFS(BD!$B$3:$B$5001,$A325,BD!$A$3:$A$5001,"&gt;="&amp;$F$7,BD!$A$3:$A$5001,"&lt;="&amp;$G$7,BD!$X$3:$X$5001,"&lt;&gt;")=0,"",SUMIFS(BD!$X$3:$X$5001,BD!$B$3:$B$5001,$A325,BD!$A$3:$A$5001,_xlfn.MAXIFS(BD!$A$3:$A$5001,BD!$B$3:$B$5001,$A325,BD!$A$3:$A$5001,"&gt;="&amp;$F$7,BD!$A$3:$A$5001,"&lt;="&amp;$G$7,BD!$X$3:$X$5001,"&lt;&gt;"))))</f>
        <v/>
      </c>
      <c r="J325" s="54" t="str">
        <f>IF($A325="","",IF(COUNTIFS(BD!$B$3:$B$5001,$A325,BD!$A$3:$A$5001,"&gt;="&amp;$F$8,BD!$A$3:$A$5001,"&lt;="&amp;$G$8,BD!$X$3:$X$5001,"&lt;&gt;")=0,"",SUMIFS(BD!$X$3:$X$5001,BD!$B$3:$B$5001,$A325,BD!$A$3:$A$5001,_xlfn.MAXIFS(BD!$A$3:$A$5001,BD!$B$3:$B$5001,$A325,BD!$A$3:$A$5001,"&gt;="&amp;$F$8,BD!$A$3:$A$5001,"&lt;="&amp;$G$8,BD!$X$3:$X$5001,"&lt;&gt;"))))</f>
        <v/>
      </c>
      <c r="K325" s="54" t="str">
        <f>IF($A325="","",IF(COUNTIFS(BD!$B$3:$B$5001,$A325,BD!$A$3:$A$5001,"&gt;="&amp;$F$7,BD!$A$3:$A$5001,"&lt;="&amp;$G$7,BD!$Z$3:$Z$5001,"&lt;&gt;")=0,"",SUMIFS(BD!$Z$3:$Z$5001,BD!$B$3:$B$5001,$A325,BD!$A$3:$A$5001,_xlfn.MAXIFS(BD!$A$3:$A$5001,BD!$B$3:$B$5001,$A325,BD!$A$3:$A$5001,"&gt;="&amp;$F$7,BD!$A$3:$A$5001,"&lt;="&amp;$G$7,BD!$Z$3:$Z$5001,"&lt;&gt;"))))</f>
        <v/>
      </c>
      <c r="L325" s="54" t="str">
        <f>IF($A325="","",IF(COUNTIFS(BD!$B$3:$B$5001,$A325,BD!$A$3:$A$5001,"&gt;="&amp;$F$8,BD!$A$3:$A$5001,"&lt;="&amp;$G$8,BD!$Z$3:$Z$5001,"&lt;&gt;")=0,"",SUMIFS(BD!$Z$3:$Z$5001,BD!$B$3:$B$5001,$A325,BD!$A$3:$A$5001,_xlfn.MAXIFS(BD!$A$3:$A$5001,BD!$B$3:$B$5001,$A325,BD!$A$3:$A$5001,"&gt;="&amp;$F$8,BD!$A$3:$A$5001,"&lt;="&amp;$G$8,BD!$Z$3:$Z$5001,"&lt;&gt;"))))</f>
        <v/>
      </c>
    </row>
    <row r="326">
      <c r="A326" s="76" t="str">
        <f>Config!$B$17&amp;""</f>
        <v>Supply</v>
      </c>
      <c r="B326" s="48" t="str">
        <f>IF(Config!$C$17="","TPC",Config!$C$17)</f>
        <v>TPC</v>
      </c>
      <c r="C326" s="54" t="str">
        <f>IF($A326="","",IF(COUNTIFS(BD!$B$3:$B$5001,$A326,BD!$A$3:$A$5001,"&gt;="&amp;$F$7,BD!$A$3:$A$5001,"&lt;="&amp;$G$7,BD!$V$3:$V$5001,"&lt;&gt;")=0,"",SUMIFS(BD!$V$3:$V$5001,BD!$B$3:$B$5001,$A326,BD!$A$3:$A$5001,_xlfn.MAXIFS(BD!$A$3:$A$5001,BD!$B$3:$B$5001,$A326,BD!$A$3:$A$5001,"&gt;="&amp;$F$7,BD!$A$3:$A$5001,"&lt;="&amp;$G$7,BD!$V$3:$V$5001,"&lt;&gt;"))))</f>
        <v/>
      </c>
      <c r="D326" s="54" t="str">
        <f>IF($A326="","",IF(COUNTIFS(BD!$B$3:$B$5001,$A326,BD!$A$3:$A$5001,"&gt;="&amp;$F$8,BD!$A$3:$A$5001,"&lt;="&amp;$G$8,BD!$V$3:$V$5001,"&lt;&gt;")=0,"",SUMIFS(BD!$V$3:$V$5001,BD!$B$3:$B$5001,$A326,BD!$A$3:$A$5001,_xlfn.MAXIFS(BD!$A$3:$A$5001,BD!$B$3:$B$5001,$A326,BD!$A$3:$A$5001,"&gt;="&amp;$F$8,BD!$A$3:$A$5001,"&lt;="&amp;$G$8,BD!$V$3:$V$5001,"&lt;&gt;"))))</f>
        <v/>
      </c>
      <c r="E326" s="54" t="str">
        <f>IF($A326="","",IF(COUNTIFS(BD!$B$3:$B$5001,$A326,BD!$A$3:$A$5001,"&gt;="&amp;$F$7,BD!$A$3:$A$5001,"&lt;="&amp;$G$7,BD!$W$3:$W$5001,"&lt;&gt;")=0,"",SUMIFS(BD!$W$3:$W$5001,BD!$B$3:$B$5001,$A326,BD!$A$3:$A$5001,_xlfn.MAXIFS(BD!$A$3:$A$5001,BD!$B$3:$B$5001,$A326,BD!$A$3:$A$5001,"&gt;="&amp;$F$7,BD!$A$3:$A$5001,"&lt;="&amp;$G$7,BD!$W$3:$W$5001,"&lt;&gt;"))))</f>
        <v/>
      </c>
      <c r="F326" s="54" t="str">
        <f>IF($A326="","",IF(COUNTIFS(BD!$B$3:$B$5001,$A326,BD!$A$3:$A$5001,"&gt;="&amp;$F$8,BD!$A$3:$A$5001,"&lt;="&amp;$G$8,BD!$W$3:$W$5001,"&lt;&gt;")=0,"",SUMIFS(BD!$W$3:$W$5001,BD!$B$3:$B$5001,$A326,BD!$A$3:$A$5001,_xlfn.MAXIFS(BD!$A$3:$A$5001,BD!$B$3:$B$5001,$A326,BD!$A$3:$A$5001,"&gt;="&amp;$F$8,BD!$A$3:$A$5001,"&lt;="&amp;$G$8,BD!$W$3:$W$5001,"&lt;&gt;"))))</f>
        <v/>
      </c>
      <c r="G326" s="54" t="str">
        <f>IF($A326="","",IF(COUNTIFS(BD!$B$3:$B$5001,$A326,BD!$A$3:$A$5001,"&gt;="&amp;$F$7,BD!$A$3:$A$5001,"&lt;="&amp;$G$7,BD!$Y$3:$Y$5001,"&lt;&gt;")=0,"",SUMIFS(BD!$Y$3:$Y$5001,BD!$B$3:$B$5001,$A326,BD!$A$3:$A$5001,_xlfn.MAXIFS(BD!$A$3:$A$5001,BD!$B$3:$B$5001,$A326,BD!$A$3:$A$5001,"&gt;="&amp;$F$7,BD!$A$3:$A$5001,"&lt;="&amp;$G$7,BD!$Y$3:$Y$5001,"&lt;&gt;"))))</f>
        <v/>
      </c>
      <c r="H326" s="54" t="str">
        <f>IF($A326="","",IF(COUNTIFS(BD!$B$3:$B$5001,$A326,BD!$A$3:$A$5001,"&gt;="&amp;$F$8,BD!$A$3:$A$5001,"&lt;="&amp;$G$8,BD!$Y$3:$Y$5001,"&lt;&gt;")=0,"",SUMIFS(BD!$Y$3:$Y$5001,BD!$B$3:$B$5001,$A326,BD!$A$3:$A$5001,_xlfn.MAXIFS(BD!$A$3:$A$5001,BD!$B$3:$B$5001,$A326,BD!$A$3:$A$5001,"&gt;="&amp;$F$8,BD!$A$3:$A$5001,"&lt;="&amp;$G$8,BD!$Y$3:$Y$5001,"&lt;&gt;"))))</f>
        <v/>
      </c>
      <c r="I326" s="54" t="str">
        <f>IF($A326="","",IF(COUNTIFS(BD!$B$3:$B$5001,$A326,BD!$A$3:$A$5001,"&gt;="&amp;$F$7,BD!$A$3:$A$5001,"&lt;="&amp;$G$7,BD!$X$3:$X$5001,"&lt;&gt;")=0,"",SUMIFS(BD!$X$3:$X$5001,BD!$B$3:$B$5001,$A326,BD!$A$3:$A$5001,_xlfn.MAXIFS(BD!$A$3:$A$5001,BD!$B$3:$B$5001,$A326,BD!$A$3:$A$5001,"&gt;="&amp;$F$7,BD!$A$3:$A$5001,"&lt;="&amp;$G$7,BD!$X$3:$X$5001,"&lt;&gt;"))))</f>
        <v/>
      </c>
      <c r="J326" s="54" t="str">
        <f>IF($A326="","",IF(COUNTIFS(BD!$B$3:$B$5001,$A326,BD!$A$3:$A$5001,"&gt;="&amp;$F$8,BD!$A$3:$A$5001,"&lt;="&amp;$G$8,BD!$X$3:$X$5001,"&lt;&gt;")=0,"",SUMIFS(BD!$X$3:$X$5001,BD!$B$3:$B$5001,$A326,BD!$A$3:$A$5001,_xlfn.MAXIFS(BD!$A$3:$A$5001,BD!$B$3:$B$5001,$A326,BD!$A$3:$A$5001,"&gt;="&amp;$F$8,BD!$A$3:$A$5001,"&lt;="&amp;$G$8,BD!$X$3:$X$5001,"&lt;&gt;"))))</f>
        <v/>
      </c>
      <c r="K326" s="54" t="str">
        <f>IF($A326="","",IF(COUNTIFS(BD!$B$3:$B$5001,$A326,BD!$A$3:$A$5001,"&gt;="&amp;$F$7,BD!$A$3:$A$5001,"&lt;="&amp;$G$7,BD!$Z$3:$Z$5001,"&lt;&gt;")=0,"",SUMIFS(BD!$Z$3:$Z$5001,BD!$B$3:$B$5001,$A326,BD!$A$3:$A$5001,_xlfn.MAXIFS(BD!$A$3:$A$5001,BD!$B$3:$B$5001,$A326,BD!$A$3:$A$5001,"&gt;="&amp;$F$7,BD!$A$3:$A$5001,"&lt;="&amp;$G$7,BD!$Z$3:$Z$5001,"&lt;&gt;"))))</f>
        <v/>
      </c>
      <c r="L326" s="54" t="str">
        <f>IF($A326="","",IF(COUNTIFS(BD!$B$3:$B$5001,$A326,BD!$A$3:$A$5001,"&gt;="&amp;$F$8,BD!$A$3:$A$5001,"&lt;="&amp;$G$8,BD!$Z$3:$Z$5001,"&lt;&gt;")=0,"",SUMIFS(BD!$Z$3:$Z$5001,BD!$B$3:$B$5001,$A326,BD!$A$3:$A$5001,_xlfn.MAXIFS(BD!$A$3:$A$5001,BD!$B$3:$B$5001,$A326,BD!$A$3:$A$5001,"&gt;="&amp;$F$8,BD!$A$3:$A$5001,"&lt;="&amp;$G$8,BD!$Z$3:$Z$5001,"&lt;&gt;"))))</f>
        <v/>
      </c>
    </row>
    <row r="327">
      <c r="A327" s="76" t="str">
        <f>Config!$B$18&amp;""</f>
        <v>Vedacit</v>
      </c>
      <c r="B327" s="48" t="str">
        <f>IF(Config!$C$18="","TPC",Config!$C$18)</f>
        <v>TPC</v>
      </c>
      <c r="C327" s="54" t="str">
        <f>IF($A327="","",IF(COUNTIFS(BD!$B$3:$B$5001,$A327,BD!$A$3:$A$5001,"&gt;="&amp;$F$7,BD!$A$3:$A$5001,"&lt;="&amp;$G$7,BD!$V$3:$V$5001,"&lt;&gt;")=0,"",SUMIFS(BD!$V$3:$V$5001,BD!$B$3:$B$5001,$A327,BD!$A$3:$A$5001,_xlfn.MAXIFS(BD!$A$3:$A$5001,BD!$B$3:$B$5001,$A327,BD!$A$3:$A$5001,"&gt;="&amp;$F$7,BD!$A$3:$A$5001,"&lt;="&amp;$G$7,BD!$V$3:$V$5001,"&lt;&gt;"))))</f>
        <v/>
      </c>
      <c r="D327" s="54" t="str">
        <f>IF($A327="","",IF(COUNTIFS(BD!$B$3:$B$5001,$A327,BD!$A$3:$A$5001,"&gt;="&amp;$F$8,BD!$A$3:$A$5001,"&lt;="&amp;$G$8,BD!$V$3:$V$5001,"&lt;&gt;")=0,"",SUMIFS(BD!$V$3:$V$5001,BD!$B$3:$B$5001,$A327,BD!$A$3:$A$5001,_xlfn.MAXIFS(BD!$A$3:$A$5001,BD!$B$3:$B$5001,$A327,BD!$A$3:$A$5001,"&gt;="&amp;$F$8,BD!$A$3:$A$5001,"&lt;="&amp;$G$8,BD!$V$3:$V$5001,"&lt;&gt;"))))</f>
        <v/>
      </c>
      <c r="E327" s="54" t="str">
        <f>IF($A327="","",IF(COUNTIFS(BD!$B$3:$B$5001,$A327,BD!$A$3:$A$5001,"&gt;="&amp;$F$7,BD!$A$3:$A$5001,"&lt;="&amp;$G$7,BD!$W$3:$W$5001,"&lt;&gt;")=0,"",SUMIFS(BD!$W$3:$W$5001,BD!$B$3:$B$5001,$A327,BD!$A$3:$A$5001,_xlfn.MAXIFS(BD!$A$3:$A$5001,BD!$B$3:$B$5001,$A327,BD!$A$3:$A$5001,"&gt;="&amp;$F$7,BD!$A$3:$A$5001,"&lt;="&amp;$G$7,BD!$W$3:$W$5001,"&lt;&gt;"))))</f>
        <v/>
      </c>
      <c r="F327" s="54" t="str">
        <f>IF($A327="","",IF(COUNTIFS(BD!$B$3:$B$5001,$A327,BD!$A$3:$A$5001,"&gt;="&amp;$F$8,BD!$A$3:$A$5001,"&lt;="&amp;$G$8,BD!$W$3:$W$5001,"&lt;&gt;")=0,"",SUMIFS(BD!$W$3:$W$5001,BD!$B$3:$B$5001,$A327,BD!$A$3:$A$5001,_xlfn.MAXIFS(BD!$A$3:$A$5001,BD!$B$3:$B$5001,$A327,BD!$A$3:$A$5001,"&gt;="&amp;$F$8,BD!$A$3:$A$5001,"&lt;="&amp;$G$8,BD!$W$3:$W$5001,"&lt;&gt;"))))</f>
        <v/>
      </c>
      <c r="G327" s="54" t="str">
        <f>IF($A327="","",IF(COUNTIFS(BD!$B$3:$B$5001,$A327,BD!$A$3:$A$5001,"&gt;="&amp;$F$7,BD!$A$3:$A$5001,"&lt;="&amp;$G$7,BD!$Y$3:$Y$5001,"&lt;&gt;")=0,"",SUMIFS(BD!$Y$3:$Y$5001,BD!$B$3:$B$5001,$A327,BD!$A$3:$A$5001,_xlfn.MAXIFS(BD!$A$3:$A$5001,BD!$B$3:$B$5001,$A327,BD!$A$3:$A$5001,"&gt;="&amp;$F$7,BD!$A$3:$A$5001,"&lt;="&amp;$G$7,BD!$Y$3:$Y$5001,"&lt;&gt;"))))</f>
        <v/>
      </c>
      <c r="H327" s="54" t="str">
        <f>IF($A327="","",IF(COUNTIFS(BD!$B$3:$B$5001,$A327,BD!$A$3:$A$5001,"&gt;="&amp;$F$8,BD!$A$3:$A$5001,"&lt;="&amp;$G$8,BD!$Y$3:$Y$5001,"&lt;&gt;")=0,"",SUMIFS(BD!$Y$3:$Y$5001,BD!$B$3:$B$5001,$A327,BD!$A$3:$A$5001,_xlfn.MAXIFS(BD!$A$3:$A$5001,BD!$B$3:$B$5001,$A327,BD!$A$3:$A$5001,"&gt;="&amp;$F$8,BD!$A$3:$A$5001,"&lt;="&amp;$G$8,BD!$Y$3:$Y$5001,"&lt;&gt;"))))</f>
        <v/>
      </c>
      <c r="I327" s="54" t="str">
        <f>IF($A327="","",IF(COUNTIFS(BD!$B$3:$B$5001,$A327,BD!$A$3:$A$5001,"&gt;="&amp;$F$7,BD!$A$3:$A$5001,"&lt;="&amp;$G$7,BD!$X$3:$X$5001,"&lt;&gt;")=0,"",SUMIFS(BD!$X$3:$X$5001,BD!$B$3:$B$5001,$A327,BD!$A$3:$A$5001,_xlfn.MAXIFS(BD!$A$3:$A$5001,BD!$B$3:$B$5001,$A327,BD!$A$3:$A$5001,"&gt;="&amp;$F$7,BD!$A$3:$A$5001,"&lt;="&amp;$G$7,BD!$X$3:$X$5001,"&lt;&gt;"))))</f>
        <v/>
      </c>
      <c r="J327" s="54" t="str">
        <f>IF($A327="","",IF(COUNTIFS(BD!$B$3:$B$5001,$A327,BD!$A$3:$A$5001,"&gt;="&amp;$F$8,BD!$A$3:$A$5001,"&lt;="&amp;$G$8,BD!$X$3:$X$5001,"&lt;&gt;")=0,"",SUMIFS(BD!$X$3:$X$5001,BD!$B$3:$B$5001,$A327,BD!$A$3:$A$5001,_xlfn.MAXIFS(BD!$A$3:$A$5001,BD!$B$3:$B$5001,$A327,BD!$A$3:$A$5001,"&gt;="&amp;$F$8,BD!$A$3:$A$5001,"&lt;="&amp;$G$8,BD!$X$3:$X$5001,"&lt;&gt;"))))</f>
        <v/>
      </c>
      <c r="K327" s="54" t="str">
        <f>IF($A327="","",IF(COUNTIFS(BD!$B$3:$B$5001,$A327,BD!$A$3:$A$5001,"&gt;="&amp;$F$7,BD!$A$3:$A$5001,"&lt;="&amp;$G$7,BD!$Z$3:$Z$5001,"&lt;&gt;")=0,"",SUMIFS(BD!$Z$3:$Z$5001,BD!$B$3:$B$5001,$A327,BD!$A$3:$A$5001,_xlfn.MAXIFS(BD!$A$3:$A$5001,BD!$B$3:$B$5001,$A327,BD!$A$3:$A$5001,"&gt;="&amp;$F$7,BD!$A$3:$A$5001,"&lt;="&amp;$G$7,BD!$Z$3:$Z$5001,"&lt;&gt;"))))</f>
        <v/>
      </c>
      <c r="L327" s="54" t="str">
        <f>IF($A327="","",IF(COUNTIFS(BD!$B$3:$B$5001,$A327,BD!$A$3:$A$5001,"&gt;="&amp;$F$8,BD!$A$3:$A$5001,"&lt;="&amp;$G$8,BD!$Z$3:$Z$5001,"&lt;&gt;")=0,"",SUMIFS(BD!$Z$3:$Z$5001,BD!$B$3:$B$5001,$A327,BD!$A$3:$A$5001,_xlfn.MAXIFS(BD!$A$3:$A$5001,BD!$B$3:$B$5001,$A327,BD!$A$3:$A$5001,"&gt;="&amp;$F$8,BD!$A$3:$A$5001,"&lt;="&amp;$G$8,BD!$Z$3:$Z$5001,"&lt;&gt;"))))</f>
        <v/>
      </c>
    </row>
    <row r="328">
      <c r="A328" s="76" t="str">
        <f>Config!$B$19&amp;""</f>
        <v>Vestas</v>
      </c>
      <c r="B328" s="48" t="str">
        <f>IF(Config!$C$19="","TPC",Config!$C$19)</f>
        <v>TPC</v>
      </c>
      <c r="C328" s="54" t="str">
        <f>IF($A328="","",IF(COUNTIFS(BD!$B$3:$B$5001,$A328,BD!$A$3:$A$5001,"&gt;="&amp;$F$7,BD!$A$3:$A$5001,"&lt;="&amp;$G$7,BD!$V$3:$V$5001,"&lt;&gt;")=0,"",SUMIFS(BD!$V$3:$V$5001,BD!$B$3:$B$5001,$A328,BD!$A$3:$A$5001,_xlfn.MAXIFS(BD!$A$3:$A$5001,BD!$B$3:$B$5001,$A328,BD!$A$3:$A$5001,"&gt;="&amp;$F$7,BD!$A$3:$A$5001,"&lt;="&amp;$G$7,BD!$V$3:$V$5001,"&lt;&gt;"))))</f>
        <v/>
      </c>
      <c r="D328" s="54" t="str">
        <f>IF($A328="","",IF(COUNTIFS(BD!$B$3:$B$5001,$A328,BD!$A$3:$A$5001,"&gt;="&amp;$F$8,BD!$A$3:$A$5001,"&lt;="&amp;$G$8,BD!$V$3:$V$5001,"&lt;&gt;")=0,"",SUMIFS(BD!$V$3:$V$5001,BD!$B$3:$B$5001,$A328,BD!$A$3:$A$5001,_xlfn.MAXIFS(BD!$A$3:$A$5001,BD!$B$3:$B$5001,$A328,BD!$A$3:$A$5001,"&gt;="&amp;$F$8,BD!$A$3:$A$5001,"&lt;="&amp;$G$8,BD!$V$3:$V$5001,"&lt;&gt;"))))</f>
        <v/>
      </c>
      <c r="E328" s="54" t="str">
        <f>IF($A328="","",IF(COUNTIFS(BD!$B$3:$B$5001,$A328,BD!$A$3:$A$5001,"&gt;="&amp;$F$7,BD!$A$3:$A$5001,"&lt;="&amp;$G$7,BD!$W$3:$W$5001,"&lt;&gt;")=0,"",SUMIFS(BD!$W$3:$W$5001,BD!$B$3:$B$5001,$A328,BD!$A$3:$A$5001,_xlfn.MAXIFS(BD!$A$3:$A$5001,BD!$B$3:$B$5001,$A328,BD!$A$3:$A$5001,"&gt;="&amp;$F$7,BD!$A$3:$A$5001,"&lt;="&amp;$G$7,BD!$W$3:$W$5001,"&lt;&gt;"))))</f>
        <v/>
      </c>
      <c r="F328" s="54" t="str">
        <f>IF($A328="","",IF(COUNTIFS(BD!$B$3:$B$5001,$A328,BD!$A$3:$A$5001,"&gt;="&amp;$F$8,BD!$A$3:$A$5001,"&lt;="&amp;$G$8,BD!$W$3:$W$5001,"&lt;&gt;")=0,"",SUMIFS(BD!$W$3:$W$5001,BD!$B$3:$B$5001,$A328,BD!$A$3:$A$5001,_xlfn.MAXIFS(BD!$A$3:$A$5001,BD!$B$3:$B$5001,$A328,BD!$A$3:$A$5001,"&gt;="&amp;$F$8,BD!$A$3:$A$5001,"&lt;="&amp;$G$8,BD!$W$3:$W$5001,"&lt;&gt;"))))</f>
        <v/>
      </c>
      <c r="G328" s="54" t="str">
        <f>IF($A328="","",IF(COUNTIFS(BD!$B$3:$B$5001,$A328,BD!$A$3:$A$5001,"&gt;="&amp;$F$7,BD!$A$3:$A$5001,"&lt;="&amp;$G$7,BD!$Y$3:$Y$5001,"&lt;&gt;")=0,"",SUMIFS(BD!$Y$3:$Y$5001,BD!$B$3:$B$5001,$A328,BD!$A$3:$A$5001,_xlfn.MAXIFS(BD!$A$3:$A$5001,BD!$B$3:$B$5001,$A328,BD!$A$3:$A$5001,"&gt;="&amp;$F$7,BD!$A$3:$A$5001,"&lt;="&amp;$G$7,BD!$Y$3:$Y$5001,"&lt;&gt;"))))</f>
        <v/>
      </c>
      <c r="H328" s="54" t="str">
        <f>IF($A328="","",IF(COUNTIFS(BD!$B$3:$B$5001,$A328,BD!$A$3:$A$5001,"&gt;="&amp;$F$8,BD!$A$3:$A$5001,"&lt;="&amp;$G$8,BD!$Y$3:$Y$5001,"&lt;&gt;")=0,"",SUMIFS(BD!$Y$3:$Y$5001,BD!$B$3:$B$5001,$A328,BD!$A$3:$A$5001,_xlfn.MAXIFS(BD!$A$3:$A$5001,BD!$B$3:$B$5001,$A328,BD!$A$3:$A$5001,"&gt;="&amp;$F$8,BD!$A$3:$A$5001,"&lt;="&amp;$G$8,BD!$Y$3:$Y$5001,"&lt;&gt;"))))</f>
        <v/>
      </c>
      <c r="I328" s="54" t="str">
        <f>IF($A328="","",IF(COUNTIFS(BD!$B$3:$B$5001,$A328,BD!$A$3:$A$5001,"&gt;="&amp;$F$7,BD!$A$3:$A$5001,"&lt;="&amp;$G$7,BD!$X$3:$X$5001,"&lt;&gt;")=0,"",SUMIFS(BD!$X$3:$X$5001,BD!$B$3:$B$5001,$A328,BD!$A$3:$A$5001,_xlfn.MAXIFS(BD!$A$3:$A$5001,BD!$B$3:$B$5001,$A328,BD!$A$3:$A$5001,"&gt;="&amp;$F$7,BD!$A$3:$A$5001,"&lt;="&amp;$G$7,BD!$X$3:$X$5001,"&lt;&gt;"))))</f>
        <v/>
      </c>
      <c r="J328" s="54" t="str">
        <f>IF($A328="","",IF(COUNTIFS(BD!$B$3:$B$5001,$A328,BD!$A$3:$A$5001,"&gt;="&amp;$F$8,BD!$A$3:$A$5001,"&lt;="&amp;$G$8,BD!$X$3:$X$5001,"&lt;&gt;")=0,"",SUMIFS(BD!$X$3:$X$5001,BD!$B$3:$B$5001,$A328,BD!$A$3:$A$5001,_xlfn.MAXIFS(BD!$A$3:$A$5001,BD!$B$3:$B$5001,$A328,BD!$A$3:$A$5001,"&gt;="&amp;$F$8,BD!$A$3:$A$5001,"&lt;="&amp;$G$8,BD!$X$3:$X$5001,"&lt;&gt;"))))</f>
        <v/>
      </c>
      <c r="K328" s="54" t="str">
        <f>IF($A328="","",IF(COUNTIFS(BD!$B$3:$B$5001,$A328,BD!$A$3:$A$5001,"&gt;="&amp;$F$7,BD!$A$3:$A$5001,"&lt;="&amp;$G$7,BD!$Z$3:$Z$5001,"&lt;&gt;")=0,"",SUMIFS(BD!$Z$3:$Z$5001,BD!$B$3:$B$5001,$A328,BD!$A$3:$A$5001,_xlfn.MAXIFS(BD!$A$3:$A$5001,BD!$B$3:$B$5001,$A328,BD!$A$3:$A$5001,"&gt;="&amp;$F$7,BD!$A$3:$A$5001,"&lt;="&amp;$G$7,BD!$Z$3:$Z$5001,"&lt;&gt;"))))</f>
        <v/>
      </c>
      <c r="L328" s="54" t="str">
        <f>IF($A328="","",IF(COUNTIFS(BD!$B$3:$B$5001,$A328,BD!$A$3:$A$5001,"&gt;="&amp;$F$8,BD!$A$3:$A$5001,"&lt;="&amp;$G$8,BD!$Z$3:$Z$5001,"&lt;&gt;")=0,"",SUMIFS(BD!$Z$3:$Z$5001,BD!$B$3:$B$5001,$A328,BD!$A$3:$A$5001,_xlfn.MAXIFS(BD!$A$3:$A$5001,BD!$B$3:$B$5001,$A328,BD!$A$3:$A$5001,"&gt;="&amp;$F$8,BD!$A$3:$A$5001,"&lt;="&amp;$G$8,BD!$Z$3:$Z$5001,"&lt;&gt;"))))</f>
        <v/>
      </c>
    </row>
    <row r="329">
      <c r="A329" s="76" t="str">
        <f>Config!$B$20&amp;""</f>
        <v/>
      </c>
      <c r="B329" s="48" t="str">
        <f>IF(Config!$C$20="","TPC",Config!$C$20)</f>
        <v>TPC</v>
      </c>
      <c r="C329" s="54" t="str">
        <f>IF($A329="","",IF(COUNTIFS(BD!$B$3:$B$5001,$A329,BD!$A$3:$A$5001,"&gt;="&amp;$F$7,BD!$A$3:$A$5001,"&lt;="&amp;$G$7,BD!$V$3:$V$5001,"&lt;&gt;")=0,"",SUMIFS(BD!$V$3:$V$5001,BD!$B$3:$B$5001,$A329,BD!$A$3:$A$5001,_xlfn.MAXIFS(BD!$A$3:$A$5001,BD!$B$3:$B$5001,$A329,BD!$A$3:$A$5001,"&gt;="&amp;$F$7,BD!$A$3:$A$5001,"&lt;="&amp;$G$7,BD!$V$3:$V$5001,"&lt;&gt;"))))</f>
        <v/>
      </c>
      <c r="D329" s="54" t="str">
        <f>IF($A329="","",IF(COUNTIFS(BD!$B$3:$B$5001,$A329,BD!$A$3:$A$5001,"&gt;="&amp;$F$8,BD!$A$3:$A$5001,"&lt;="&amp;$G$8,BD!$V$3:$V$5001,"&lt;&gt;")=0,"",SUMIFS(BD!$V$3:$V$5001,BD!$B$3:$B$5001,$A329,BD!$A$3:$A$5001,_xlfn.MAXIFS(BD!$A$3:$A$5001,BD!$B$3:$B$5001,$A329,BD!$A$3:$A$5001,"&gt;="&amp;$F$8,BD!$A$3:$A$5001,"&lt;="&amp;$G$8,BD!$V$3:$V$5001,"&lt;&gt;"))))</f>
        <v/>
      </c>
      <c r="E329" s="54" t="str">
        <f>IF($A329="","",IF(COUNTIFS(BD!$B$3:$B$5001,$A329,BD!$A$3:$A$5001,"&gt;="&amp;$F$7,BD!$A$3:$A$5001,"&lt;="&amp;$G$7,BD!$W$3:$W$5001,"&lt;&gt;")=0,"",SUMIFS(BD!$W$3:$W$5001,BD!$B$3:$B$5001,$A329,BD!$A$3:$A$5001,_xlfn.MAXIFS(BD!$A$3:$A$5001,BD!$B$3:$B$5001,$A329,BD!$A$3:$A$5001,"&gt;="&amp;$F$7,BD!$A$3:$A$5001,"&lt;="&amp;$G$7,BD!$W$3:$W$5001,"&lt;&gt;"))))</f>
        <v/>
      </c>
      <c r="F329" s="54" t="str">
        <f>IF($A329="","",IF(COUNTIFS(BD!$B$3:$B$5001,$A329,BD!$A$3:$A$5001,"&gt;="&amp;$F$8,BD!$A$3:$A$5001,"&lt;="&amp;$G$8,BD!$W$3:$W$5001,"&lt;&gt;")=0,"",SUMIFS(BD!$W$3:$W$5001,BD!$B$3:$B$5001,$A329,BD!$A$3:$A$5001,_xlfn.MAXIFS(BD!$A$3:$A$5001,BD!$B$3:$B$5001,$A329,BD!$A$3:$A$5001,"&gt;="&amp;$F$8,BD!$A$3:$A$5001,"&lt;="&amp;$G$8,BD!$W$3:$W$5001,"&lt;&gt;"))))</f>
        <v/>
      </c>
      <c r="G329" s="54" t="str">
        <f>IF($A329="","",IF(COUNTIFS(BD!$B$3:$B$5001,$A329,BD!$A$3:$A$5001,"&gt;="&amp;$F$7,BD!$A$3:$A$5001,"&lt;="&amp;$G$7,BD!$Y$3:$Y$5001,"&lt;&gt;")=0,"",SUMIFS(BD!$Y$3:$Y$5001,BD!$B$3:$B$5001,$A329,BD!$A$3:$A$5001,_xlfn.MAXIFS(BD!$A$3:$A$5001,BD!$B$3:$B$5001,$A329,BD!$A$3:$A$5001,"&gt;="&amp;$F$7,BD!$A$3:$A$5001,"&lt;="&amp;$G$7,BD!$Y$3:$Y$5001,"&lt;&gt;"))))</f>
        <v/>
      </c>
      <c r="H329" s="54" t="str">
        <f>IF($A329="","",IF(COUNTIFS(BD!$B$3:$B$5001,$A329,BD!$A$3:$A$5001,"&gt;="&amp;$F$8,BD!$A$3:$A$5001,"&lt;="&amp;$G$8,BD!$Y$3:$Y$5001,"&lt;&gt;")=0,"",SUMIFS(BD!$Y$3:$Y$5001,BD!$B$3:$B$5001,$A329,BD!$A$3:$A$5001,_xlfn.MAXIFS(BD!$A$3:$A$5001,BD!$B$3:$B$5001,$A329,BD!$A$3:$A$5001,"&gt;="&amp;$F$8,BD!$A$3:$A$5001,"&lt;="&amp;$G$8,BD!$Y$3:$Y$5001,"&lt;&gt;"))))</f>
        <v/>
      </c>
      <c r="I329" s="54" t="str">
        <f>IF($A329="","",IF(COUNTIFS(BD!$B$3:$B$5001,$A329,BD!$A$3:$A$5001,"&gt;="&amp;$F$7,BD!$A$3:$A$5001,"&lt;="&amp;$G$7,BD!$X$3:$X$5001,"&lt;&gt;")=0,"",SUMIFS(BD!$X$3:$X$5001,BD!$B$3:$B$5001,$A329,BD!$A$3:$A$5001,_xlfn.MAXIFS(BD!$A$3:$A$5001,BD!$B$3:$B$5001,$A329,BD!$A$3:$A$5001,"&gt;="&amp;$F$7,BD!$A$3:$A$5001,"&lt;="&amp;$G$7,BD!$X$3:$X$5001,"&lt;&gt;"))))</f>
        <v/>
      </c>
      <c r="J329" s="54" t="str">
        <f>IF($A329="","",IF(COUNTIFS(BD!$B$3:$B$5001,$A329,BD!$A$3:$A$5001,"&gt;="&amp;$F$8,BD!$A$3:$A$5001,"&lt;="&amp;$G$8,BD!$X$3:$X$5001,"&lt;&gt;")=0,"",SUMIFS(BD!$X$3:$X$5001,BD!$B$3:$B$5001,$A329,BD!$A$3:$A$5001,_xlfn.MAXIFS(BD!$A$3:$A$5001,BD!$B$3:$B$5001,$A329,BD!$A$3:$A$5001,"&gt;="&amp;$F$8,BD!$A$3:$A$5001,"&lt;="&amp;$G$8,BD!$X$3:$X$5001,"&lt;&gt;"))))</f>
        <v/>
      </c>
      <c r="K329" s="54" t="str">
        <f>IF($A329="","",IF(COUNTIFS(BD!$B$3:$B$5001,$A329,BD!$A$3:$A$5001,"&gt;="&amp;$F$7,BD!$A$3:$A$5001,"&lt;="&amp;$G$7,BD!$Z$3:$Z$5001,"&lt;&gt;")=0,"",SUMIFS(BD!$Z$3:$Z$5001,BD!$B$3:$B$5001,$A329,BD!$A$3:$A$5001,_xlfn.MAXIFS(BD!$A$3:$A$5001,BD!$B$3:$B$5001,$A329,BD!$A$3:$A$5001,"&gt;="&amp;$F$7,BD!$A$3:$A$5001,"&lt;="&amp;$G$7,BD!$Z$3:$Z$5001,"&lt;&gt;"))))</f>
        <v/>
      </c>
      <c r="L329" s="54" t="str">
        <f>IF($A329="","",IF(COUNTIFS(BD!$B$3:$B$5001,$A329,BD!$A$3:$A$5001,"&gt;="&amp;$F$8,BD!$A$3:$A$5001,"&lt;="&amp;$G$8,BD!$Z$3:$Z$5001,"&lt;&gt;")=0,"",SUMIFS(BD!$Z$3:$Z$5001,BD!$B$3:$B$5001,$A329,BD!$A$3:$A$5001,_xlfn.MAXIFS(BD!$A$3:$A$5001,BD!$B$3:$B$5001,$A329,BD!$A$3:$A$5001,"&gt;="&amp;$F$8,BD!$A$3:$A$5001,"&lt;="&amp;$G$8,BD!$Z$3:$Z$5001,"&lt;&gt;"))))</f>
        <v/>
      </c>
    </row>
    <row r="330">
      <c r="A330" s="76" t="str">
        <f>Config!$B$21&amp;""</f>
        <v/>
      </c>
      <c r="B330" s="48" t="str">
        <f>IF(Config!$C$21="","TPC",Config!$C$21)</f>
        <v>TPC</v>
      </c>
      <c r="C330" s="54" t="str">
        <f>IF($A330="","",IF(COUNTIFS(BD!$B$3:$B$5001,$A330,BD!$A$3:$A$5001,"&gt;="&amp;$F$7,BD!$A$3:$A$5001,"&lt;="&amp;$G$7,BD!$V$3:$V$5001,"&lt;&gt;")=0,"",SUMIFS(BD!$V$3:$V$5001,BD!$B$3:$B$5001,$A330,BD!$A$3:$A$5001,_xlfn.MAXIFS(BD!$A$3:$A$5001,BD!$B$3:$B$5001,$A330,BD!$A$3:$A$5001,"&gt;="&amp;$F$7,BD!$A$3:$A$5001,"&lt;="&amp;$G$7,BD!$V$3:$V$5001,"&lt;&gt;"))))</f>
        <v/>
      </c>
      <c r="D330" s="54" t="str">
        <f>IF($A330="","",IF(COUNTIFS(BD!$B$3:$B$5001,$A330,BD!$A$3:$A$5001,"&gt;="&amp;$F$8,BD!$A$3:$A$5001,"&lt;="&amp;$G$8,BD!$V$3:$V$5001,"&lt;&gt;")=0,"",SUMIFS(BD!$V$3:$V$5001,BD!$B$3:$B$5001,$A330,BD!$A$3:$A$5001,_xlfn.MAXIFS(BD!$A$3:$A$5001,BD!$B$3:$B$5001,$A330,BD!$A$3:$A$5001,"&gt;="&amp;$F$8,BD!$A$3:$A$5001,"&lt;="&amp;$G$8,BD!$V$3:$V$5001,"&lt;&gt;"))))</f>
        <v/>
      </c>
      <c r="E330" s="54" t="str">
        <f>IF($A330="","",IF(COUNTIFS(BD!$B$3:$B$5001,$A330,BD!$A$3:$A$5001,"&gt;="&amp;$F$7,BD!$A$3:$A$5001,"&lt;="&amp;$G$7,BD!$W$3:$W$5001,"&lt;&gt;")=0,"",SUMIFS(BD!$W$3:$W$5001,BD!$B$3:$B$5001,$A330,BD!$A$3:$A$5001,_xlfn.MAXIFS(BD!$A$3:$A$5001,BD!$B$3:$B$5001,$A330,BD!$A$3:$A$5001,"&gt;="&amp;$F$7,BD!$A$3:$A$5001,"&lt;="&amp;$G$7,BD!$W$3:$W$5001,"&lt;&gt;"))))</f>
        <v/>
      </c>
      <c r="F330" s="54" t="str">
        <f>IF($A330="","",IF(COUNTIFS(BD!$B$3:$B$5001,$A330,BD!$A$3:$A$5001,"&gt;="&amp;$F$8,BD!$A$3:$A$5001,"&lt;="&amp;$G$8,BD!$W$3:$W$5001,"&lt;&gt;")=0,"",SUMIFS(BD!$W$3:$W$5001,BD!$B$3:$B$5001,$A330,BD!$A$3:$A$5001,_xlfn.MAXIFS(BD!$A$3:$A$5001,BD!$B$3:$B$5001,$A330,BD!$A$3:$A$5001,"&gt;="&amp;$F$8,BD!$A$3:$A$5001,"&lt;="&amp;$G$8,BD!$W$3:$W$5001,"&lt;&gt;"))))</f>
        <v/>
      </c>
      <c r="G330" s="54" t="str">
        <f>IF($A330="","",IF(COUNTIFS(BD!$B$3:$B$5001,$A330,BD!$A$3:$A$5001,"&gt;="&amp;$F$7,BD!$A$3:$A$5001,"&lt;="&amp;$G$7,BD!$Y$3:$Y$5001,"&lt;&gt;")=0,"",SUMIFS(BD!$Y$3:$Y$5001,BD!$B$3:$B$5001,$A330,BD!$A$3:$A$5001,_xlfn.MAXIFS(BD!$A$3:$A$5001,BD!$B$3:$B$5001,$A330,BD!$A$3:$A$5001,"&gt;="&amp;$F$7,BD!$A$3:$A$5001,"&lt;="&amp;$G$7,BD!$Y$3:$Y$5001,"&lt;&gt;"))))</f>
        <v/>
      </c>
      <c r="H330" s="54" t="str">
        <f>IF($A330="","",IF(COUNTIFS(BD!$B$3:$B$5001,$A330,BD!$A$3:$A$5001,"&gt;="&amp;$F$8,BD!$A$3:$A$5001,"&lt;="&amp;$G$8,BD!$Y$3:$Y$5001,"&lt;&gt;")=0,"",SUMIFS(BD!$Y$3:$Y$5001,BD!$B$3:$B$5001,$A330,BD!$A$3:$A$5001,_xlfn.MAXIFS(BD!$A$3:$A$5001,BD!$B$3:$B$5001,$A330,BD!$A$3:$A$5001,"&gt;="&amp;$F$8,BD!$A$3:$A$5001,"&lt;="&amp;$G$8,BD!$Y$3:$Y$5001,"&lt;&gt;"))))</f>
        <v/>
      </c>
      <c r="I330" s="54" t="str">
        <f>IF($A330="","",IF(COUNTIFS(BD!$B$3:$B$5001,$A330,BD!$A$3:$A$5001,"&gt;="&amp;$F$7,BD!$A$3:$A$5001,"&lt;="&amp;$G$7,BD!$X$3:$X$5001,"&lt;&gt;")=0,"",SUMIFS(BD!$X$3:$X$5001,BD!$B$3:$B$5001,$A330,BD!$A$3:$A$5001,_xlfn.MAXIFS(BD!$A$3:$A$5001,BD!$B$3:$B$5001,$A330,BD!$A$3:$A$5001,"&gt;="&amp;$F$7,BD!$A$3:$A$5001,"&lt;="&amp;$G$7,BD!$X$3:$X$5001,"&lt;&gt;"))))</f>
        <v/>
      </c>
      <c r="J330" s="54" t="str">
        <f>IF($A330="","",IF(COUNTIFS(BD!$B$3:$B$5001,$A330,BD!$A$3:$A$5001,"&gt;="&amp;$F$8,BD!$A$3:$A$5001,"&lt;="&amp;$G$8,BD!$X$3:$X$5001,"&lt;&gt;")=0,"",SUMIFS(BD!$X$3:$X$5001,BD!$B$3:$B$5001,$A330,BD!$A$3:$A$5001,_xlfn.MAXIFS(BD!$A$3:$A$5001,BD!$B$3:$B$5001,$A330,BD!$A$3:$A$5001,"&gt;="&amp;$F$8,BD!$A$3:$A$5001,"&lt;="&amp;$G$8,BD!$X$3:$X$5001,"&lt;&gt;"))))</f>
        <v/>
      </c>
      <c r="K330" s="54" t="str">
        <f>IF($A330="","",IF(COUNTIFS(BD!$B$3:$B$5001,$A330,BD!$A$3:$A$5001,"&gt;="&amp;$F$7,BD!$A$3:$A$5001,"&lt;="&amp;$G$7,BD!$Z$3:$Z$5001,"&lt;&gt;")=0,"",SUMIFS(BD!$Z$3:$Z$5001,BD!$B$3:$B$5001,$A330,BD!$A$3:$A$5001,_xlfn.MAXIFS(BD!$A$3:$A$5001,BD!$B$3:$B$5001,$A330,BD!$A$3:$A$5001,"&gt;="&amp;$F$7,BD!$A$3:$A$5001,"&lt;="&amp;$G$7,BD!$Z$3:$Z$5001,"&lt;&gt;"))))</f>
        <v/>
      </c>
      <c r="L330" s="54" t="str">
        <f>IF($A330="","",IF(COUNTIFS(BD!$B$3:$B$5001,$A330,BD!$A$3:$A$5001,"&gt;="&amp;$F$8,BD!$A$3:$A$5001,"&lt;="&amp;$G$8,BD!$Z$3:$Z$5001,"&lt;&gt;")=0,"",SUMIFS(BD!$Z$3:$Z$5001,BD!$B$3:$B$5001,$A330,BD!$A$3:$A$5001,_xlfn.MAXIFS(BD!$A$3:$A$5001,BD!$B$3:$B$5001,$A330,BD!$A$3:$A$5001,"&gt;="&amp;$F$8,BD!$A$3:$A$5001,"&lt;="&amp;$G$8,BD!$Z$3:$Z$5001,"&lt;&gt;"))))</f>
        <v/>
      </c>
    </row>
    <row r="331">
      <c r="A331" s="76" t="str">
        <f>Config!$B$22&amp;""</f>
        <v/>
      </c>
      <c r="B331" s="48" t="str">
        <f>IF(Config!$C$22="","TPC",Config!$C$22)</f>
        <v>TPC</v>
      </c>
      <c r="C331" s="54" t="str">
        <f>IF($A331="","",IF(COUNTIFS(BD!$B$3:$B$5001,$A331,BD!$A$3:$A$5001,"&gt;="&amp;$F$7,BD!$A$3:$A$5001,"&lt;="&amp;$G$7,BD!$V$3:$V$5001,"&lt;&gt;")=0,"",SUMIFS(BD!$V$3:$V$5001,BD!$B$3:$B$5001,$A331,BD!$A$3:$A$5001,_xlfn.MAXIFS(BD!$A$3:$A$5001,BD!$B$3:$B$5001,$A331,BD!$A$3:$A$5001,"&gt;="&amp;$F$7,BD!$A$3:$A$5001,"&lt;="&amp;$G$7,BD!$V$3:$V$5001,"&lt;&gt;"))))</f>
        <v/>
      </c>
      <c r="D331" s="54" t="str">
        <f>IF($A331="","",IF(COUNTIFS(BD!$B$3:$B$5001,$A331,BD!$A$3:$A$5001,"&gt;="&amp;$F$8,BD!$A$3:$A$5001,"&lt;="&amp;$G$8,BD!$V$3:$V$5001,"&lt;&gt;")=0,"",SUMIFS(BD!$V$3:$V$5001,BD!$B$3:$B$5001,$A331,BD!$A$3:$A$5001,_xlfn.MAXIFS(BD!$A$3:$A$5001,BD!$B$3:$B$5001,$A331,BD!$A$3:$A$5001,"&gt;="&amp;$F$8,BD!$A$3:$A$5001,"&lt;="&amp;$G$8,BD!$V$3:$V$5001,"&lt;&gt;"))))</f>
        <v/>
      </c>
      <c r="E331" s="54" t="str">
        <f>IF($A331="","",IF(COUNTIFS(BD!$B$3:$B$5001,$A331,BD!$A$3:$A$5001,"&gt;="&amp;$F$7,BD!$A$3:$A$5001,"&lt;="&amp;$G$7,BD!$W$3:$W$5001,"&lt;&gt;")=0,"",SUMIFS(BD!$W$3:$W$5001,BD!$B$3:$B$5001,$A331,BD!$A$3:$A$5001,_xlfn.MAXIFS(BD!$A$3:$A$5001,BD!$B$3:$B$5001,$A331,BD!$A$3:$A$5001,"&gt;="&amp;$F$7,BD!$A$3:$A$5001,"&lt;="&amp;$G$7,BD!$W$3:$W$5001,"&lt;&gt;"))))</f>
        <v/>
      </c>
      <c r="F331" s="54" t="str">
        <f>IF($A331="","",IF(COUNTIFS(BD!$B$3:$B$5001,$A331,BD!$A$3:$A$5001,"&gt;="&amp;$F$8,BD!$A$3:$A$5001,"&lt;="&amp;$G$8,BD!$W$3:$W$5001,"&lt;&gt;")=0,"",SUMIFS(BD!$W$3:$W$5001,BD!$B$3:$B$5001,$A331,BD!$A$3:$A$5001,_xlfn.MAXIFS(BD!$A$3:$A$5001,BD!$B$3:$B$5001,$A331,BD!$A$3:$A$5001,"&gt;="&amp;$F$8,BD!$A$3:$A$5001,"&lt;="&amp;$G$8,BD!$W$3:$W$5001,"&lt;&gt;"))))</f>
        <v/>
      </c>
      <c r="G331" s="54" t="str">
        <f>IF($A331="","",IF(COUNTIFS(BD!$B$3:$B$5001,$A331,BD!$A$3:$A$5001,"&gt;="&amp;$F$7,BD!$A$3:$A$5001,"&lt;="&amp;$G$7,BD!$Y$3:$Y$5001,"&lt;&gt;")=0,"",SUMIFS(BD!$Y$3:$Y$5001,BD!$B$3:$B$5001,$A331,BD!$A$3:$A$5001,_xlfn.MAXIFS(BD!$A$3:$A$5001,BD!$B$3:$B$5001,$A331,BD!$A$3:$A$5001,"&gt;="&amp;$F$7,BD!$A$3:$A$5001,"&lt;="&amp;$G$7,BD!$Y$3:$Y$5001,"&lt;&gt;"))))</f>
        <v/>
      </c>
      <c r="H331" s="54" t="str">
        <f>IF($A331="","",IF(COUNTIFS(BD!$B$3:$B$5001,$A331,BD!$A$3:$A$5001,"&gt;="&amp;$F$8,BD!$A$3:$A$5001,"&lt;="&amp;$G$8,BD!$Y$3:$Y$5001,"&lt;&gt;")=0,"",SUMIFS(BD!$Y$3:$Y$5001,BD!$B$3:$B$5001,$A331,BD!$A$3:$A$5001,_xlfn.MAXIFS(BD!$A$3:$A$5001,BD!$B$3:$B$5001,$A331,BD!$A$3:$A$5001,"&gt;="&amp;$F$8,BD!$A$3:$A$5001,"&lt;="&amp;$G$8,BD!$Y$3:$Y$5001,"&lt;&gt;"))))</f>
        <v/>
      </c>
      <c r="I331" s="54" t="str">
        <f>IF($A331="","",IF(COUNTIFS(BD!$B$3:$B$5001,$A331,BD!$A$3:$A$5001,"&gt;="&amp;$F$7,BD!$A$3:$A$5001,"&lt;="&amp;$G$7,BD!$X$3:$X$5001,"&lt;&gt;")=0,"",SUMIFS(BD!$X$3:$X$5001,BD!$B$3:$B$5001,$A331,BD!$A$3:$A$5001,_xlfn.MAXIFS(BD!$A$3:$A$5001,BD!$B$3:$B$5001,$A331,BD!$A$3:$A$5001,"&gt;="&amp;$F$7,BD!$A$3:$A$5001,"&lt;="&amp;$G$7,BD!$X$3:$X$5001,"&lt;&gt;"))))</f>
        <v/>
      </c>
      <c r="J331" s="54" t="str">
        <f>IF($A331="","",IF(COUNTIFS(BD!$B$3:$B$5001,$A331,BD!$A$3:$A$5001,"&gt;="&amp;$F$8,BD!$A$3:$A$5001,"&lt;="&amp;$G$8,BD!$X$3:$X$5001,"&lt;&gt;")=0,"",SUMIFS(BD!$X$3:$X$5001,BD!$B$3:$B$5001,$A331,BD!$A$3:$A$5001,_xlfn.MAXIFS(BD!$A$3:$A$5001,BD!$B$3:$B$5001,$A331,BD!$A$3:$A$5001,"&gt;="&amp;$F$8,BD!$A$3:$A$5001,"&lt;="&amp;$G$8,BD!$X$3:$X$5001,"&lt;&gt;"))))</f>
        <v/>
      </c>
      <c r="K331" s="54" t="str">
        <f>IF($A331="","",IF(COUNTIFS(BD!$B$3:$B$5001,$A331,BD!$A$3:$A$5001,"&gt;="&amp;$F$7,BD!$A$3:$A$5001,"&lt;="&amp;$G$7,BD!$Z$3:$Z$5001,"&lt;&gt;")=0,"",SUMIFS(BD!$Z$3:$Z$5001,BD!$B$3:$B$5001,$A331,BD!$A$3:$A$5001,_xlfn.MAXIFS(BD!$A$3:$A$5001,BD!$B$3:$B$5001,$A331,BD!$A$3:$A$5001,"&gt;="&amp;$F$7,BD!$A$3:$A$5001,"&lt;="&amp;$G$7,BD!$Z$3:$Z$5001,"&lt;&gt;"))))</f>
        <v/>
      </c>
      <c r="L331" s="54" t="str">
        <f>IF($A331="","",IF(COUNTIFS(BD!$B$3:$B$5001,$A331,BD!$A$3:$A$5001,"&gt;="&amp;$F$8,BD!$A$3:$A$5001,"&lt;="&amp;$G$8,BD!$Z$3:$Z$5001,"&lt;&gt;")=0,"",SUMIFS(BD!$Z$3:$Z$5001,BD!$B$3:$B$5001,$A331,BD!$A$3:$A$5001,_xlfn.MAXIFS(BD!$A$3:$A$5001,BD!$B$3:$B$5001,$A331,BD!$A$3:$A$5001,"&gt;="&amp;$F$8,BD!$A$3:$A$5001,"&lt;="&amp;$G$8,BD!$Z$3:$Z$5001,"&lt;&gt;"))))</f>
        <v/>
      </c>
    </row>
    <row r="332">
      <c r="A332" s="76" t="str">
        <f>Config!$B$23&amp;""</f>
        <v/>
      </c>
      <c r="B332" s="48" t="str">
        <f>IF(Config!$C$23="","TPC",Config!$C$23)</f>
        <v>TPC</v>
      </c>
      <c r="C332" s="54" t="str">
        <f>IF($A332="","",IF(COUNTIFS(BD!$B$3:$B$5001,$A332,BD!$A$3:$A$5001,"&gt;="&amp;$F$7,BD!$A$3:$A$5001,"&lt;="&amp;$G$7,BD!$V$3:$V$5001,"&lt;&gt;")=0,"",SUMIFS(BD!$V$3:$V$5001,BD!$B$3:$B$5001,$A332,BD!$A$3:$A$5001,_xlfn.MAXIFS(BD!$A$3:$A$5001,BD!$B$3:$B$5001,$A332,BD!$A$3:$A$5001,"&gt;="&amp;$F$7,BD!$A$3:$A$5001,"&lt;="&amp;$G$7,BD!$V$3:$V$5001,"&lt;&gt;"))))</f>
        <v/>
      </c>
      <c r="D332" s="54" t="str">
        <f>IF($A332="","",IF(COUNTIFS(BD!$B$3:$B$5001,$A332,BD!$A$3:$A$5001,"&gt;="&amp;$F$8,BD!$A$3:$A$5001,"&lt;="&amp;$G$8,BD!$V$3:$V$5001,"&lt;&gt;")=0,"",SUMIFS(BD!$V$3:$V$5001,BD!$B$3:$B$5001,$A332,BD!$A$3:$A$5001,_xlfn.MAXIFS(BD!$A$3:$A$5001,BD!$B$3:$B$5001,$A332,BD!$A$3:$A$5001,"&gt;="&amp;$F$8,BD!$A$3:$A$5001,"&lt;="&amp;$G$8,BD!$V$3:$V$5001,"&lt;&gt;"))))</f>
        <v/>
      </c>
      <c r="E332" s="54" t="str">
        <f>IF($A332="","",IF(COUNTIFS(BD!$B$3:$B$5001,$A332,BD!$A$3:$A$5001,"&gt;="&amp;$F$7,BD!$A$3:$A$5001,"&lt;="&amp;$G$7,BD!$W$3:$W$5001,"&lt;&gt;")=0,"",SUMIFS(BD!$W$3:$W$5001,BD!$B$3:$B$5001,$A332,BD!$A$3:$A$5001,_xlfn.MAXIFS(BD!$A$3:$A$5001,BD!$B$3:$B$5001,$A332,BD!$A$3:$A$5001,"&gt;="&amp;$F$7,BD!$A$3:$A$5001,"&lt;="&amp;$G$7,BD!$W$3:$W$5001,"&lt;&gt;"))))</f>
        <v/>
      </c>
      <c r="F332" s="54" t="str">
        <f>IF($A332="","",IF(COUNTIFS(BD!$B$3:$B$5001,$A332,BD!$A$3:$A$5001,"&gt;="&amp;$F$8,BD!$A$3:$A$5001,"&lt;="&amp;$G$8,BD!$W$3:$W$5001,"&lt;&gt;")=0,"",SUMIFS(BD!$W$3:$W$5001,BD!$B$3:$B$5001,$A332,BD!$A$3:$A$5001,_xlfn.MAXIFS(BD!$A$3:$A$5001,BD!$B$3:$B$5001,$A332,BD!$A$3:$A$5001,"&gt;="&amp;$F$8,BD!$A$3:$A$5001,"&lt;="&amp;$G$8,BD!$W$3:$W$5001,"&lt;&gt;"))))</f>
        <v/>
      </c>
      <c r="G332" s="54" t="str">
        <f>IF($A332="","",IF(COUNTIFS(BD!$B$3:$B$5001,$A332,BD!$A$3:$A$5001,"&gt;="&amp;$F$7,BD!$A$3:$A$5001,"&lt;="&amp;$G$7,BD!$Y$3:$Y$5001,"&lt;&gt;")=0,"",SUMIFS(BD!$Y$3:$Y$5001,BD!$B$3:$B$5001,$A332,BD!$A$3:$A$5001,_xlfn.MAXIFS(BD!$A$3:$A$5001,BD!$B$3:$B$5001,$A332,BD!$A$3:$A$5001,"&gt;="&amp;$F$7,BD!$A$3:$A$5001,"&lt;="&amp;$G$7,BD!$Y$3:$Y$5001,"&lt;&gt;"))))</f>
        <v/>
      </c>
      <c r="H332" s="54" t="str">
        <f>IF($A332="","",IF(COUNTIFS(BD!$B$3:$B$5001,$A332,BD!$A$3:$A$5001,"&gt;="&amp;$F$8,BD!$A$3:$A$5001,"&lt;="&amp;$G$8,BD!$Y$3:$Y$5001,"&lt;&gt;")=0,"",SUMIFS(BD!$Y$3:$Y$5001,BD!$B$3:$B$5001,$A332,BD!$A$3:$A$5001,_xlfn.MAXIFS(BD!$A$3:$A$5001,BD!$B$3:$B$5001,$A332,BD!$A$3:$A$5001,"&gt;="&amp;$F$8,BD!$A$3:$A$5001,"&lt;="&amp;$G$8,BD!$Y$3:$Y$5001,"&lt;&gt;"))))</f>
        <v/>
      </c>
      <c r="I332" s="54" t="str">
        <f>IF($A332="","",IF(COUNTIFS(BD!$B$3:$B$5001,$A332,BD!$A$3:$A$5001,"&gt;="&amp;$F$7,BD!$A$3:$A$5001,"&lt;="&amp;$G$7,BD!$X$3:$X$5001,"&lt;&gt;")=0,"",SUMIFS(BD!$X$3:$X$5001,BD!$B$3:$B$5001,$A332,BD!$A$3:$A$5001,_xlfn.MAXIFS(BD!$A$3:$A$5001,BD!$B$3:$B$5001,$A332,BD!$A$3:$A$5001,"&gt;="&amp;$F$7,BD!$A$3:$A$5001,"&lt;="&amp;$G$7,BD!$X$3:$X$5001,"&lt;&gt;"))))</f>
        <v/>
      </c>
      <c r="J332" s="54" t="str">
        <f>IF($A332="","",IF(COUNTIFS(BD!$B$3:$B$5001,$A332,BD!$A$3:$A$5001,"&gt;="&amp;$F$8,BD!$A$3:$A$5001,"&lt;="&amp;$G$8,BD!$X$3:$X$5001,"&lt;&gt;")=0,"",SUMIFS(BD!$X$3:$X$5001,BD!$B$3:$B$5001,$A332,BD!$A$3:$A$5001,_xlfn.MAXIFS(BD!$A$3:$A$5001,BD!$B$3:$B$5001,$A332,BD!$A$3:$A$5001,"&gt;="&amp;$F$8,BD!$A$3:$A$5001,"&lt;="&amp;$G$8,BD!$X$3:$X$5001,"&lt;&gt;"))))</f>
        <v/>
      </c>
      <c r="K332" s="54" t="str">
        <f>IF($A332="","",IF(COUNTIFS(BD!$B$3:$B$5001,$A332,BD!$A$3:$A$5001,"&gt;="&amp;$F$7,BD!$A$3:$A$5001,"&lt;="&amp;$G$7,BD!$Z$3:$Z$5001,"&lt;&gt;")=0,"",SUMIFS(BD!$Z$3:$Z$5001,BD!$B$3:$B$5001,$A332,BD!$A$3:$A$5001,_xlfn.MAXIFS(BD!$A$3:$A$5001,BD!$B$3:$B$5001,$A332,BD!$A$3:$A$5001,"&gt;="&amp;$F$7,BD!$A$3:$A$5001,"&lt;="&amp;$G$7,BD!$Z$3:$Z$5001,"&lt;&gt;"))))</f>
        <v/>
      </c>
      <c r="L332" s="54" t="str">
        <f>IF($A332="","",IF(COUNTIFS(BD!$B$3:$B$5001,$A332,BD!$A$3:$A$5001,"&gt;="&amp;$F$8,BD!$A$3:$A$5001,"&lt;="&amp;$G$8,BD!$Z$3:$Z$5001,"&lt;&gt;")=0,"",SUMIFS(BD!$Z$3:$Z$5001,BD!$B$3:$B$5001,$A332,BD!$A$3:$A$5001,_xlfn.MAXIFS(BD!$A$3:$A$5001,BD!$B$3:$B$5001,$A332,BD!$A$3:$A$5001,"&gt;="&amp;$F$8,BD!$A$3:$A$5001,"&lt;="&amp;$G$8,BD!$Z$3:$Z$5001,"&lt;&gt;"))))</f>
        <v/>
      </c>
    </row>
    <row r="333">
      <c r="A333" s="76" t="str">
        <f>Config!$B$24&amp;""</f>
        <v/>
      </c>
      <c r="B333" s="48" t="str">
        <f>IF(Config!$C$24="","TPC",Config!$C$24)</f>
        <v>TPC</v>
      </c>
      <c r="C333" s="54" t="str">
        <f>IF($A333="","",IF(COUNTIFS(BD!$B$3:$B$5001,$A333,BD!$A$3:$A$5001,"&gt;="&amp;$F$7,BD!$A$3:$A$5001,"&lt;="&amp;$G$7,BD!$V$3:$V$5001,"&lt;&gt;")=0,"",SUMIFS(BD!$V$3:$V$5001,BD!$B$3:$B$5001,$A333,BD!$A$3:$A$5001,_xlfn.MAXIFS(BD!$A$3:$A$5001,BD!$B$3:$B$5001,$A333,BD!$A$3:$A$5001,"&gt;="&amp;$F$7,BD!$A$3:$A$5001,"&lt;="&amp;$G$7,BD!$V$3:$V$5001,"&lt;&gt;"))))</f>
        <v/>
      </c>
      <c r="D333" s="54" t="str">
        <f>IF($A333="","",IF(COUNTIFS(BD!$B$3:$B$5001,$A333,BD!$A$3:$A$5001,"&gt;="&amp;$F$8,BD!$A$3:$A$5001,"&lt;="&amp;$G$8,BD!$V$3:$V$5001,"&lt;&gt;")=0,"",SUMIFS(BD!$V$3:$V$5001,BD!$B$3:$B$5001,$A333,BD!$A$3:$A$5001,_xlfn.MAXIFS(BD!$A$3:$A$5001,BD!$B$3:$B$5001,$A333,BD!$A$3:$A$5001,"&gt;="&amp;$F$8,BD!$A$3:$A$5001,"&lt;="&amp;$G$8,BD!$V$3:$V$5001,"&lt;&gt;"))))</f>
        <v/>
      </c>
      <c r="E333" s="54" t="str">
        <f>IF($A333="","",IF(COUNTIFS(BD!$B$3:$B$5001,$A333,BD!$A$3:$A$5001,"&gt;="&amp;$F$7,BD!$A$3:$A$5001,"&lt;="&amp;$G$7,BD!$W$3:$W$5001,"&lt;&gt;")=0,"",SUMIFS(BD!$W$3:$W$5001,BD!$B$3:$B$5001,$A333,BD!$A$3:$A$5001,_xlfn.MAXIFS(BD!$A$3:$A$5001,BD!$B$3:$B$5001,$A333,BD!$A$3:$A$5001,"&gt;="&amp;$F$7,BD!$A$3:$A$5001,"&lt;="&amp;$G$7,BD!$W$3:$W$5001,"&lt;&gt;"))))</f>
        <v/>
      </c>
      <c r="F333" s="54" t="str">
        <f>IF($A333="","",IF(COUNTIFS(BD!$B$3:$B$5001,$A333,BD!$A$3:$A$5001,"&gt;="&amp;$F$8,BD!$A$3:$A$5001,"&lt;="&amp;$G$8,BD!$W$3:$W$5001,"&lt;&gt;")=0,"",SUMIFS(BD!$W$3:$W$5001,BD!$B$3:$B$5001,$A333,BD!$A$3:$A$5001,_xlfn.MAXIFS(BD!$A$3:$A$5001,BD!$B$3:$B$5001,$A333,BD!$A$3:$A$5001,"&gt;="&amp;$F$8,BD!$A$3:$A$5001,"&lt;="&amp;$G$8,BD!$W$3:$W$5001,"&lt;&gt;"))))</f>
        <v/>
      </c>
      <c r="G333" s="54" t="str">
        <f>IF($A333="","",IF(COUNTIFS(BD!$B$3:$B$5001,$A333,BD!$A$3:$A$5001,"&gt;="&amp;$F$7,BD!$A$3:$A$5001,"&lt;="&amp;$G$7,BD!$Y$3:$Y$5001,"&lt;&gt;")=0,"",SUMIFS(BD!$Y$3:$Y$5001,BD!$B$3:$B$5001,$A333,BD!$A$3:$A$5001,_xlfn.MAXIFS(BD!$A$3:$A$5001,BD!$B$3:$B$5001,$A333,BD!$A$3:$A$5001,"&gt;="&amp;$F$7,BD!$A$3:$A$5001,"&lt;="&amp;$G$7,BD!$Y$3:$Y$5001,"&lt;&gt;"))))</f>
        <v/>
      </c>
      <c r="H333" s="54" t="str">
        <f>IF($A333="","",IF(COUNTIFS(BD!$B$3:$B$5001,$A333,BD!$A$3:$A$5001,"&gt;="&amp;$F$8,BD!$A$3:$A$5001,"&lt;="&amp;$G$8,BD!$Y$3:$Y$5001,"&lt;&gt;")=0,"",SUMIFS(BD!$Y$3:$Y$5001,BD!$B$3:$B$5001,$A333,BD!$A$3:$A$5001,_xlfn.MAXIFS(BD!$A$3:$A$5001,BD!$B$3:$B$5001,$A333,BD!$A$3:$A$5001,"&gt;="&amp;$F$8,BD!$A$3:$A$5001,"&lt;="&amp;$G$8,BD!$Y$3:$Y$5001,"&lt;&gt;"))))</f>
        <v/>
      </c>
      <c r="I333" s="54" t="str">
        <f>IF($A333="","",IF(COUNTIFS(BD!$B$3:$B$5001,$A333,BD!$A$3:$A$5001,"&gt;="&amp;$F$7,BD!$A$3:$A$5001,"&lt;="&amp;$G$7,BD!$X$3:$X$5001,"&lt;&gt;")=0,"",SUMIFS(BD!$X$3:$X$5001,BD!$B$3:$B$5001,$A333,BD!$A$3:$A$5001,_xlfn.MAXIFS(BD!$A$3:$A$5001,BD!$B$3:$B$5001,$A333,BD!$A$3:$A$5001,"&gt;="&amp;$F$7,BD!$A$3:$A$5001,"&lt;="&amp;$G$7,BD!$X$3:$X$5001,"&lt;&gt;"))))</f>
        <v/>
      </c>
      <c r="J333" s="54" t="str">
        <f>IF($A333="","",IF(COUNTIFS(BD!$B$3:$B$5001,$A333,BD!$A$3:$A$5001,"&gt;="&amp;$F$8,BD!$A$3:$A$5001,"&lt;="&amp;$G$8,BD!$X$3:$X$5001,"&lt;&gt;")=0,"",SUMIFS(BD!$X$3:$X$5001,BD!$B$3:$B$5001,$A333,BD!$A$3:$A$5001,_xlfn.MAXIFS(BD!$A$3:$A$5001,BD!$B$3:$B$5001,$A333,BD!$A$3:$A$5001,"&gt;="&amp;$F$8,BD!$A$3:$A$5001,"&lt;="&amp;$G$8,BD!$X$3:$X$5001,"&lt;&gt;"))))</f>
        <v/>
      </c>
      <c r="K333" s="54" t="str">
        <f>IF($A333="","",IF(COUNTIFS(BD!$B$3:$B$5001,$A333,BD!$A$3:$A$5001,"&gt;="&amp;$F$7,BD!$A$3:$A$5001,"&lt;="&amp;$G$7,BD!$Z$3:$Z$5001,"&lt;&gt;")=0,"",SUMIFS(BD!$Z$3:$Z$5001,BD!$B$3:$B$5001,$A333,BD!$A$3:$A$5001,_xlfn.MAXIFS(BD!$A$3:$A$5001,BD!$B$3:$B$5001,$A333,BD!$A$3:$A$5001,"&gt;="&amp;$F$7,BD!$A$3:$A$5001,"&lt;="&amp;$G$7,BD!$Z$3:$Z$5001,"&lt;&gt;"))))</f>
        <v/>
      </c>
      <c r="L333" s="54" t="str">
        <f>IF($A333="","",IF(COUNTIFS(BD!$B$3:$B$5001,$A333,BD!$A$3:$A$5001,"&gt;="&amp;$F$8,BD!$A$3:$A$5001,"&lt;="&amp;$G$8,BD!$Z$3:$Z$5001,"&lt;&gt;")=0,"",SUMIFS(BD!$Z$3:$Z$5001,BD!$B$3:$B$5001,$A333,BD!$A$3:$A$5001,_xlfn.MAXIFS(BD!$A$3:$A$5001,BD!$B$3:$B$5001,$A333,BD!$A$3:$A$5001,"&gt;="&amp;$F$8,BD!$A$3:$A$5001,"&lt;="&amp;$G$8,BD!$Z$3:$Z$5001,"&lt;&gt;"))))</f>
        <v/>
      </c>
    </row>
    <row r="334">
      <c r="A334" s="76" t="str">
        <f>Config!$B$25&amp;""</f>
        <v/>
      </c>
      <c r="B334" s="48" t="str">
        <f>IF(Config!$C$25="","TPC",Config!$C$25)</f>
        <v>TPC</v>
      </c>
      <c r="C334" s="54" t="str">
        <f>IF($A334="","",IF(COUNTIFS(BD!$B$3:$B$5001,$A334,BD!$A$3:$A$5001,"&gt;="&amp;$F$7,BD!$A$3:$A$5001,"&lt;="&amp;$G$7,BD!$V$3:$V$5001,"&lt;&gt;")=0,"",SUMIFS(BD!$V$3:$V$5001,BD!$B$3:$B$5001,$A334,BD!$A$3:$A$5001,_xlfn.MAXIFS(BD!$A$3:$A$5001,BD!$B$3:$B$5001,$A334,BD!$A$3:$A$5001,"&gt;="&amp;$F$7,BD!$A$3:$A$5001,"&lt;="&amp;$G$7,BD!$V$3:$V$5001,"&lt;&gt;"))))</f>
        <v/>
      </c>
      <c r="D334" s="54" t="str">
        <f>IF($A334="","",IF(COUNTIFS(BD!$B$3:$B$5001,$A334,BD!$A$3:$A$5001,"&gt;="&amp;$F$8,BD!$A$3:$A$5001,"&lt;="&amp;$G$8,BD!$V$3:$V$5001,"&lt;&gt;")=0,"",SUMIFS(BD!$V$3:$V$5001,BD!$B$3:$B$5001,$A334,BD!$A$3:$A$5001,_xlfn.MAXIFS(BD!$A$3:$A$5001,BD!$B$3:$B$5001,$A334,BD!$A$3:$A$5001,"&gt;="&amp;$F$8,BD!$A$3:$A$5001,"&lt;="&amp;$G$8,BD!$V$3:$V$5001,"&lt;&gt;"))))</f>
        <v/>
      </c>
      <c r="E334" s="54" t="str">
        <f>IF($A334="","",IF(COUNTIFS(BD!$B$3:$B$5001,$A334,BD!$A$3:$A$5001,"&gt;="&amp;$F$7,BD!$A$3:$A$5001,"&lt;="&amp;$G$7,BD!$W$3:$W$5001,"&lt;&gt;")=0,"",SUMIFS(BD!$W$3:$W$5001,BD!$B$3:$B$5001,$A334,BD!$A$3:$A$5001,_xlfn.MAXIFS(BD!$A$3:$A$5001,BD!$B$3:$B$5001,$A334,BD!$A$3:$A$5001,"&gt;="&amp;$F$7,BD!$A$3:$A$5001,"&lt;="&amp;$G$7,BD!$W$3:$W$5001,"&lt;&gt;"))))</f>
        <v/>
      </c>
      <c r="F334" s="54" t="str">
        <f>IF($A334="","",IF(COUNTIFS(BD!$B$3:$B$5001,$A334,BD!$A$3:$A$5001,"&gt;="&amp;$F$8,BD!$A$3:$A$5001,"&lt;="&amp;$G$8,BD!$W$3:$W$5001,"&lt;&gt;")=0,"",SUMIFS(BD!$W$3:$W$5001,BD!$B$3:$B$5001,$A334,BD!$A$3:$A$5001,_xlfn.MAXIFS(BD!$A$3:$A$5001,BD!$B$3:$B$5001,$A334,BD!$A$3:$A$5001,"&gt;="&amp;$F$8,BD!$A$3:$A$5001,"&lt;="&amp;$G$8,BD!$W$3:$W$5001,"&lt;&gt;"))))</f>
        <v/>
      </c>
      <c r="G334" s="54" t="str">
        <f>IF($A334="","",IF(COUNTIFS(BD!$B$3:$B$5001,$A334,BD!$A$3:$A$5001,"&gt;="&amp;$F$7,BD!$A$3:$A$5001,"&lt;="&amp;$G$7,BD!$Y$3:$Y$5001,"&lt;&gt;")=0,"",SUMIFS(BD!$Y$3:$Y$5001,BD!$B$3:$B$5001,$A334,BD!$A$3:$A$5001,_xlfn.MAXIFS(BD!$A$3:$A$5001,BD!$B$3:$B$5001,$A334,BD!$A$3:$A$5001,"&gt;="&amp;$F$7,BD!$A$3:$A$5001,"&lt;="&amp;$G$7,BD!$Y$3:$Y$5001,"&lt;&gt;"))))</f>
        <v/>
      </c>
      <c r="H334" s="54" t="str">
        <f>IF($A334="","",IF(COUNTIFS(BD!$B$3:$B$5001,$A334,BD!$A$3:$A$5001,"&gt;="&amp;$F$8,BD!$A$3:$A$5001,"&lt;="&amp;$G$8,BD!$Y$3:$Y$5001,"&lt;&gt;")=0,"",SUMIFS(BD!$Y$3:$Y$5001,BD!$B$3:$B$5001,$A334,BD!$A$3:$A$5001,_xlfn.MAXIFS(BD!$A$3:$A$5001,BD!$B$3:$B$5001,$A334,BD!$A$3:$A$5001,"&gt;="&amp;$F$8,BD!$A$3:$A$5001,"&lt;="&amp;$G$8,BD!$Y$3:$Y$5001,"&lt;&gt;"))))</f>
        <v/>
      </c>
      <c r="I334" s="54" t="str">
        <f>IF($A334="","",IF(COUNTIFS(BD!$B$3:$B$5001,$A334,BD!$A$3:$A$5001,"&gt;="&amp;$F$7,BD!$A$3:$A$5001,"&lt;="&amp;$G$7,BD!$X$3:$X$5001,"&lt;&gt;")=0,"",SUMIFS(BD!$X$3:$X$5001,BD!$B$3:$B$5001,$A334,BD!$A$3:$A$5001,_xlfn.MAXIFS(BD!$A$3:$A$5001,BD!$B$3:$B$5001,$A334,BD!$A$3:$A$5001,"&gt;="&amp;$F$7,BD!$A$3:$A$5001,"&lt;="&amp;$G$7,BD!$X$3:$X$5001,"&lt;&gt;"))))</f>
        <v/>
      </c>
      <c r="J334" s="54" t="str">
        <f>IF($A334="","",IF(COUNTIFS(BD!$B$3:$B$5001,$A334,BD!$A$3:$A$5001,"&gt;="&amp;$F$8,BD!$A$3:$A$5001,"&lt;="&amp;$G$8,BD!$X$3:$X$5001,"&lt;&gt;")=0,"",SUMIFS(BD!$X$3:$X$5001,BD!$B$3:$B$5001,$A334,BD!$A$3:$A$5001,_xlfn.MAXIFS(BD!$A$3:$A$5001,BD!$B$3:$B$5001,$A334,BD!$A$3:$A$5001,"&gt;="&amp;$F$8,BD!$A$3:$A$5001,"&lt;="&amp;$G$8,BD!$X$3:$X$5001,"&lt;&gt;"))))</f>
        <v/>
      </c>
      <c r="K334" s="54" t="str">
        <f>IF($A334="","",IF(COUNTIFS(BD!$B$3:$B$5001,$A334,BD!$A$3:$A$5001,"&gt;="&amp;$F$7,BD!$A$3:$A$5001,"&lt;="&amp;$G$7,BD!$Z$3:$Z$5001,"&lt;&gt;")=0,"",SUMIFS(BD!$Z$3:$Z$5001,BD!$B$3:$B$5001,$A334,BD!$A$3:$A$5001,_xlfn.MAXIFS(BD!$A$3:$A$5001,BD!$B$3:$B$5001,$A334,BD!$A$3:$A$5001,"&gt;="&amp;$F$7,BD!$A$3:$A$5001,"&lt;="&amp;$G$7,BD!$Z$3:$Z$5001,"&lt;&gt;"))))</f>
        <v/>
      </c>
      <c r="L334" s="54" t="str">
        <f>IF($A334="","",IF(COUNTIFS(BD!$B$3:$B$5001,$A334,BD!$A$3:$A$5001,"&gt;="&amp;$F$8,BD!$A$3:$A$5001,"&lt;="&amp;$G$8,BD!$Z$3:$Z$5001,"&lt;&gt;")=0,"",SUMIFS(BD!$Z$3:$Z$5001,BD!$B$3:$B$5001,$A334,BD!$A$3:$A$5001,_xlfn.MAXIFS(BD!$A$3:$A$5001,BD!$B$3:$B$5001,$A334,BD!$A$3:$A$5001,"&gt;="&amp;$F$8,BD!$A$3:$A$5001,"&lt;="&amp;$G$8,BD!$Z$3:$Z$5001,"&lt;&gt;"))))</f>
        <v/>
      </c>
    </row>
    <row r="335">
      <c r="A335" s="76" t="str">
        <f>Config!$B$26&amp;""</f>
        <v/>
      </c>
      <c r="B335" s="48" t="str">
        <f>IF(Config!$C$26="","TPC",Config!$C$26)</f>
        <v>TPC</v>
      </c>
      <c r="C335" s="54" t="str">
        <f>IF($A335="","",IF(COUNTIFS(BD!$B$3:$B$5001,$A335,BD!$A$3:$A$5001,"&gt;="&amp;$F$7,BD!$A$3:$A$5001,"&lt;="&amp;$G$7,BD!$V$3:$V$5001,"&lt;&gt;")=0,"",SUMIFS(BD!$V$3:$V$5001,BD!$B$3:$B$5001,$A335,BD!$A$3:$A$5001,_xlfn.MAXIFS(BD!$A$3:$A$5001,BD!$B$3:$B$5001,$A335,BD!$A$3:$A$5001,"&gt;="&amp;$F$7,BD!$A$3:$A$5001,"&lt;="&amp;$G$7,BD!$V$3:$V$5001,"&lt;&gt;"))))</f>
        <v/>
      </c>
      <c r="D335" s="54" t="str">
        <f>IF($A335="","",IF(COUNTIFS(BD!$B$3:$B$5001,$A335,BD!$A$3:$A$5001,"&gt;="&amp;$F$8,BD!$A$3:$A$5001,"&lt;="&amp;$G$8,BD!$V$3:$V$5001,"&lt;&gt;")=0,"",SUMIFS(BD!$V$3:$V$5001,BD!$B$3:$B$5001,$A335,BD!$A$3:$A$5001,_xlfn.MAXIFS(BD!$A$3:$A$5001,BD!$B$3:$B$5001,$A335,BD!$A$3:$A$5001,"&gt;="&amp;$F$8,BD!$A$3:$A$5001,"&lt;="&amp;$G$8,BD!$V$3:$V$5001,"&lt;&gt;"))))</f>
        <v/>
      </c>
      <c r="E335" s="54" t="str">
        <f>IF($A335="","",IF(COUNTIFS(BD!$B$3:$B$5001,$A335,BD!$A$3:$A$5001,"&gt;="&amp;$F$7,BD!$A$3:$A$5001,"&lt;="&amp;$G$7,BD!$W$3:$W$5001,"&lt;&gt;")=0,"",SUMIFS(BD!$W$3:$W$5001,BD!$B$3:$B$5001,$A335,BD!$A$3:$A$5001,_xlfn.MAXIFS(BD!$A$3:$A$5001,BD!$B$3:$B$5001,$A335,BD!$A$3:$A$5001,"&gt;="&amp;$F$7,BD!$A$3:$A$5001,"&lt;="&amp;$G$7,BD!$W$3:$W$5001,"&lt;&gt;"))))</f>
        <v/>
      </c>
      <c r="F335" s="54" t="str">
        <f>IF($A335="","",IF(COUNTIFS(BD!$B$3:$B$5001,$A335,BD!$A$3:$A$5001,"&gt;="&amp;$F$8,BD!$A$3:$A$5001,"&lt;="&amp;$G$8,BD!$W$3:$W$5001,"&lt;&gt;")=0,"",SUMIFS(BD!$W$3:$W$5001,BD!$B$3:$B$5001,$A335,BD!$A$3:$A$5001,_xlfn.MAXIFS(BD!$A$3:$A$5001,BD!$B$3:$B$5001,$A335,BD!$A$3:$A$5001,"&gt;="&amp;$F$8,BD!$A$3:$A$5001,"&lt;="&amp;$G$8,BD!$W$3:$W$5001,"&lt;&gt;"))))</f>
        <v/>
      </c>
      <c r="G335" s="54" t="str">
        <f>IF($A335="","",IF(COUNTIFS(BD!$B$3:$B$5001,$A335,BD!$A$3:$A$5001,"&gt;="&amp;$F$7,BD!$A$3:$A$5001,"&lt;="&amp;$G$7,BD!$Y$3:$Y$5001,"&lt;&gt;")=0,"",SUMIFS(BD!$Y$3:$Y$5001,BD!$B$3:$B$5001,$A335,BD!$A$3:$A$5001,_xlfn.MAXIFS(BD!$A$3:$A$5001,BD!$B$3:$B$5001,$A335,BD!$A$3:$A$5001,"&gt;="&amp;$F$7,BD!$A$3:$A$5001,"&lt;="&amp;$G$7,BD!$Y$3:$Y$5001,"&lt;&gt;"))))</f>
        <v/>
      </c>
      <c r="H335" s="54" t="str">
        <f>IF($A335="","",IF(COUNTIFS(BD!$B$3:$B$5001,$A335,BD!$A$3:$A$5001,"&gt;="&amp;$F$8,BD!$A$3:$A$5001,"&lt;="&amp;$G$8,BD!$Y$3:$Y$5001,"&lt;&gt;")=0,"",SUMIFS(BD!$Y$3:$Y$5001,BD!$B$3:$B$5001,$A335,BD!$A$3:$A$5001,_xlfn.MAXIFS(BD!$A$3:$A$5001,BD!$B$3:$B$5001,$A335,BD!$A$3:$A$5001,"&gt;="&amp;$F$8,BD!$A$3:$A$5001,"&lt;="&amp;$G$8,BD!$Y$3:$Y$5001,"&lt;&gt;"))))</f>
        <v/>
      </c>
      <c r="I335" s="54" t="str">
        <f>IF($A335="","",IF(COUNTIFS(BD!$B$3:$B$5001,$A335,BD!$A$3:$A$5001,"&gt;="&amp;$F$7,BD!$A$3:$A$5001,"&lt;="&amp;$G$7,BD!$X$3:$X$5001,"&lt;&gt;")=0,"",SUMIFS(BD!$X$3:$X$5001,BD!$B$3:$B$5001,$A335,BD!$A$3:$A$5001,_xlfn.MAXIFS(BD!$A$3:$A$5001,BD!$B$3:$B$5001,$A335,BD!$A$3:$A$5001,"&gt;="&amp;$F$7,BD!$A$3:$A$5001,"&lt;="&amp;$G$7,BD!$X$3:$X$5001,"&lt;&gt;"))))</f>
        <v/>
      </c>
      <c r="J335" s="54" t="str">
        <f>IF($A335="","",IF(COUNTIFS(BD!$B$3:$B$5001,$A335,BD!$A$3:$A$5001,"&gt;="&amp;$F$8,BD!$A$3:$A$5001,"&lt;="&amp;$G$8,BD!$X$3:$X$5001,"&lt;&gt;")=0,"",SUMIFS(BD!$X$3:$X$5001,BD!$B$3:$B$5001,$A335,BD!$A$3:$A$5001,_xlfn.MAXIFS(BD!$A$3:$A$5001,BD!$B$3:$B$5001,$A335,BD!$A$3:$A$5001,"&gt;="&amp;$F$8,BD!$A$3:$A$5001,"&lt;="&amp;$G$8,BD!$X$3:$X$5001,"&lt;&gt;"))))</f>
        <v/>
      </c>
      <c r="K335" s="54" t="str">
        <f>IF($A335="","",IF(COUNTIFS(BD!$B$3:$B$5001,$A335,BD!$A$3:$A$5001,"&gt;="&amp;$F$7,BD!$A$3:$A$5001,"&lt;="&amp;$G$7,BD!$Z$3:$Z$5001,"&lt;&gt;")=0,"",SUMIFS(BD!$Z$3:$Z$5001,BD!$B$3:$B$5001,$A335,BD!$A$3:$A$5001,_xlfn.MAXIFS(BD!$A$3:$A$5001,BD!$B$3:$B$5001,$A335,BD!$A$3:$A$5001,"&gt;="&amp;$F$7,BD!$A$3:$A$5001,"&lt;="&amp;$G$7,BD!$Z$3:$Z$5001,"&lt;&gt;"))))</f>
        <v/>
      </c>
      <c r="L335" s="54" t="str">
        <f>IF($A335="","",IF(COUNTIFS(BD!$B$3:$B$5001,$A335,BD!$A$3:$A$5001,"&gt;="&amp;$F$8,BD!$A$3:$A$5001,"&lt;="&amp;$G$8,BD!$Z$3:$Z$5001,"&lt;&gt;")=0,"",SUMIFS(BD!$Z$3:$Z$5001,BD!$B$3:$B$5001,$A335,BD!$A$3:$A$5001,_xlfn.MAXIFS(BD!$A$3:$A$5001,BD!$B$3:$B$5001,$A335,BD!$A$3:$A$5001,"&gt;="&amp;$F$8,BD!$A$3:$A$5001,"&lt;="&amp;$G$8,BD!$Z$3:$Z$5001,"&lt;&gt;"))))</f>
        <v/>
      </c>
    </row>
    <row r="336">
      <c r="A336" s="76" t="str">
        <f>Config!$B$27&amp;""</f>
        <v/>
      </c>
      <c r="B336" s="48" t="str">
        <f>IF(Config!$C$27="","TPC",Config!$C$27)</f>
        <v>TPC</v>
      </c>
      <c r="C336" s="54" t="str">
        <f>IF($A336="","",IF(COUNTIFS(BD!$B$3:$B$5001,$A336,BD!$A$3:$A$5001,"&gt;="&amp;$F$7,BD!$A$3:$A$5001,"&lt;="&amp;$G$7,BD!$V$3:$V$5001,"&lt;&gt;")=0,"",SUMIFS(BD!$V$3:$V$5001,BD!$B$3:$B$5001,$A336,BD!$A$3:$A$5001,_xlfn.MAXIFS(BD!$A$3:$A$5001,BD!$B$3:$B$5001,$A336,BD!$A$3:$A$5001,"&gt;="&amp;$F$7,BD!$A$3:$A$5001,"&lt;="&amp;$G$7,BD!$V$3:$V$5001,"&lt;&gt;"))))</f>
        <v/>
      </c>
      <c r="D336" s="54" t="str">
        <f>IF($A336="","",IF(COUNTIFS(BD!$B$3:$B$5001,$A336,BD!$A$3:$A$5001,"&gt;="&amp;$F$8,BD!$A$3:$A$5001,"&lt;="&amp;$G$8,BD!$V$3:$V$5001,"&lt;&gt;")=0,"",SUMIFS(BD!$V$3:$V$5001,BD!$B$3:$B$5001,$A336,BD!$A$3:$A$5001,_xlfn.MAXIFS(BD!$A$3:$A$5001,BD!$B$3:$B$5001,$A336,BD!$A$3:$A$5001,"&gt;="&amp;$F$8,BD!$A$3:$A$5001,"&lt;="&amp;$G$8,BD!$V$3:$V$5001,"&lt;&gt;"))))</f>
        <v/>
      </c>
      <c r="E336" s="54" t="str">
        <f>IF($A336="","",IF(COUNTIFS(BD!$B$3:$B$5001,$A336,BD!$A$3:$A$5001,"&gt;="&amp;$F$7,BD!$A$3:$A$5001,"&lt;="&amp;$G$7,BD!$W$3:$W$5001,"&lt;&gt;")=0,"",SUMIFS(BD!$W$3:$W$5001,BD!$B$3:$B$5001,$A336,BD!$A$3:$A$5001,_xlfn.MAXIFS(BD!$A$3:$A$5001,BD!$B$3:$B$5001,$A336,BD!$A$3:$A$5001,"&gt;="&amp;$F$7,BD!$A$3:$A$5001,"&lt;="&amp;$G$7,BD!$W$3:$W$5001,"&lt;&gt;"))))</f>
        <v/>
      </c>
      <c r="F336" s="54" t="str">
        <f>IF($A336="","",IF(COUNTIFS(BD!$B$3:$B$5001,$A336,BD!$A$3:$A$5001,"&gt;="&amp;$F$8,BD!$A$3:$A$5001,"&lt;="&amp;$G$8,BD!$W$3:$W$5001,"&lt;&gt;")=0,"",SUMIFS(BD!$W$3:$W$5001,BD!$B$3:$B$5001,$A336,BD!$A$3:$A$5001,_xlfn.MAXIFS(BD!$A$3:$A$5001,BD!$B$3:$B$5001,$A336,BD!$A$3:$A$5001,"&gt;="&amp;$F$8,BD!$A$3:$A$5001,"&lt;="&amp;$G$8,BD!$W$3:$W$5001,"&lt;&gt;"))))</f>
        <v/>
      </c>
      <c r="G336" s="54" t="str">
        <f>IF($A336="","",IF(COUNTIFS(BD!$B$3:$B$5001,$A336,BD!$A$3:$A$5001,"&gt;="&amp;$F$7,BD!$A$3:$A$5001,"&lt;="&amp;$G$7,BD!$Y$3:$Y$5001,"&lt;&gt;")=0,"",SUMIFS(BD!$Y$3:$Y$5001,BD!$B$3:$B$5001,$A336,BD!$A$3:$A$5001,_xlfn.MAXIFS(BD!$A$3:$A$5001,BD!$B$3:$B$5001,$A336,BD!$A$3:$A$5001,"&gt;="&amp;$F$7,BD!$A$3:$A$5001,"&lt;="&amp;$G$7,BD!$Y$3:$Y$5001,"&lt;&gt;"))))</f>
        <v/>
      </c>
      <c r="H336" s="54" t="str">
        <f>IF($A336="","",IF(COUNTIFS(BD!$B$3:$B$5001,$A336,BD!$A$3:$A$5001,"&gt;="&amp;$F$8,BD!$A$3:$A$5001,"&lt;="&amp;$G$8,BD!$Y$3:$Y$5001,"&lt;&gt;")=0,"",SUMIFS(BD!$Y$3:$Y$5001,BD!$B$3:$B$5001,$A336,BD!$A$3:$A$5001,_xlfn.MAXIFS(BD!$A$3:$A$5001,BD!$B$3:$B$5001,$A336,BD!$A$3:$A$5001,"&gt;="&amp;$F$8,BD!$A$3:$A$5001,"&lt;="&amp;$G$8,BD!$Y$3:$Y$5001,"&lt;&gt;"))))</f>
        <v/>
      </c>
      <c r="I336" s="54" t="str">
        <f>IF($A336="","",IF(COUNTIFS(BD!$B$3:$B$5001,$A336,BD!$A$3:$A$5001,"&gt;="&amp;$F$7,BD!$A$3:$A$5001,"&lt;="&amp;$G$7,BD!$X$3:$X$5001,"&lt;&gt;")=0,"",SUMIFS(BD!$X$3:$X$5001,BD!$B$3:$B$5001,$A336,BD!$A$3:$A$5001,_xlfn.MAXIFS(BD!$A$3:$A$5001,BD!$B$3:$B$5001,$A336,BD!$A$3:$A$5001,"&gt;="&amp;$F$7,BD!$A$3:$A$5001,"&lt;="&amp;$G$7,BD!$X$3:$X$5001,"&lt;&gt;"))))</f>
        <v/>
      </c>
      <c r="J336" s="54" t="str">
        <f>IF($A336="","",IF(COUNTIFS(BD!$B$3:$B$5001,$A336,BD!$A$3:$A$5001,"&gt;="&amp;$F$8,BD!$A$3:$A$5001,"&lt;="&amp;$G$8,BD!$X$3:$X$5001,"&lt;&gt;")=0,"",SUMIFS(BD!$X$3:$X$5001,BD!$B$3:$B$5001,$A336,BD!$A$3:$A$5001,_xlfn.MAXIFS(BD!$A$3:$A$5001,BD!$B$3:$B$5001,$A336,BD!$A$3:$A$5001,"&gt;="&amp;$F$8,BD!$A$3:$A$5001,"&lt;="&amp;$G$8,BD!$X$3:$X$5001,"&lt;&gt;"))))</f>
        <v/>
      </c>
      <c r="K336" s="54" t="str">
        <f>IF($A336="","",IF(COUNTIFS(BD!$B$3:$B$5001,$A336,BD!$A$3:$A$5001,"&gt;="&amp;$F$7,BD!$A$3:$A$5001,"&lt;="&amp;$G$7,BD!$Z$3:$Z$5001,"&lt;&gt;")=0,"",SUMIFS(BD!$Z$3:$Z$5001,BD!$B$3:$B$5001,$A336,BD!$A$3:$A$5001,_xlfn.MAXIFS(BD!$A$3:$A$5001,BD!$B$3:$B$5001,$A336,BD!$A$3:$A$5001,"&gt;="&amp;$F$7,BD!$A$3:$A$5001,"&lt;="&amp;$G$7,BD!$Z$3:$Z$5001,"&lt;&gt;"))))</f>
        <v/>
      </c>
      <c r="L336" s="54" t="str">
        <f>IF($A336="","",IF(COUNTIFS(BD!$B$3:$B$5001,$A336,BD!$A$3:$A$5001,"&gt;="&amp;$F$8,BD!$A$3:$A$5001,"&lt;="&amp;$G$8,BD!$Z$3:$Z$5001,"&lt;&gt;")=0,"",SUMIFS(BD!$Z$3:$Z$5001,BD!$B$3:$B$5001,$A336,BD!$A$3:$A$5001,_xlfn.MAXIFS(BD!$A$3:$A$5001,BD!$B$3:$B$5001,$A336,BD!$A$3:$A$5001,"&gt;="&amp;$F$8,BD!$A$3:$A$5001,"&lt;="&amp;$G$8,BD!$Z$3:$Z$5001,"&lt;&gt;"))))</f>
        <v/>
      </c>
    </row>
    <row r="337">
      <c r="A337" s="76" t="str">
        <f>Config!$B$28&amp;""</f>
        <v/>
      </c>
      <c r="B337" s="48" t="str">
        <f>IF(Config!$C$28="","TPC",Config!$C$28)</f>
        <v>TPC</v>
      </c>
      <c r="C337" s="54" t="str">
        <f>IF($A337="","",IF(COUNTIFS(BD!$B$3:$B$5001,$A337,BD!$A$3:$A$5001,"&gt;="&amp;$F$7,BD!$A$3:$A$5001,"&lt;="&amp;$G$7,BD!$V$3:$V$5001,"&lt;&gt;")=0,"",SUMIFS(BD!$V$3:$V$5001,BD!$B$3:$B$5001,$A337,BD!$A$3:$A$5001,_xlfn.MAXIFS(BD!$A$3:$A$5001,BD!$B$3:$B$5001,$A337,BD!$A$3:$A$5001,"&gt;="&amp;$F$7,BD!$A$3:$A$5001,"&lt;="&amp;$G$7,BD!$V$3:$V$5001,"&lt;&gt;"))))</f>
        <v/>
      </c>
      <c r="D337" s="54" t="str">
        <f>IF($A337="","",IF(COUNTIFS(BD!$B$3:$B$5001,$A337,BD!$A$3:$A$5001,"&gt;="&amp;$F$8,BD!$A$3:$A$5001,"&lt;="&amp;$G$8,BD!$V$3:$V$5001,"&lt;&gt;")=0,"",SUMIFS(BD!$V$3:$V$5001,BD!$B$3:$B$5001,$A337,BD!$A$3:$A$5001,_xlfn.MAXIFS(BD!$A$3:$A$5001,BD!$B$3:$B$5001,$A337,BD!$A$3:$A$5001,"&gt;="&amp;$F$8,BD!$A$3:$A$5001,"&lt;="&amp;$G$8,BD!$V$3:$V$5001,"&lt;&gt;"))))</f>
        <v/>
      </c>
      <c r="E337" s="54" t="str">
        <f>IF($A337="","",IF(COUNTIFS(BD!$B$3:$B$5001,$A337,BD!$A$3:$A$5001,"&gt;="&amp;$F$7,BD!$A$3:$A$5001,"&lt;="&amp;$G$7,BD!$W$3:$W$5001,"&lt;&gt;")=0,"",SUMIFS(BD!$W$3:$W$5001,BD!$B$3:$B$5001,$A337,BD!$A$3:$A$5001,_xlfn.MAXIFS(BD!$A$3:$A$5001,BD!$B$3:$B$5001,$A337,BD!$A$3:$A$5001,"&gt;="&amp;$F$7,BD!$A$3:$A$5001,"&lt;="&amp;$G$7,BD!$W$3:$W$5001,"&lt;&gt;"))))</f>
        <v/>
      </c>
      <c r="F337" s="54" t="str">
        <f>IF($A337="","",IF(COUNTIFS(BD!$B$3:$B$5001,$A337,BD!$A$3:$A$5001,"&gt;="&amp;$F$8,BD!$A$3:$A$5001,"&lt;="&amp;$G$8,BD!$W$3:$W$5001,"&lt;&gt;")=0,"",SUMIFS(BD!$W$3:$W$5001,BD!$B$3:$B$5001,$A337,BD!$A$3:$A$5001,_xlfn.MAXIFS(BD!$A$3:$A$5001,BD!$B$3:$B$5001,$A337,BD!$A$3:$A$5001,"&gt;="&amp;$F$8,BD!$A$3:$A$5001,"&lt;="&amp;$G$8,BD!$W$3:$W$5001,"&lt;&gt;"))))</f>
        <v/>
      </c>
      <c r="G337" s="54" t="str">
        <f>IF($A337="","",IF(COUNTIFS(BD!$B$3:$B$5001,$A337,BD!$A$3:$A$5001,"&gt;="&amp;$F$7,BD!$A$3:$A$5001,"&lt;="&amp;$G$7,BD!$Y$3:$Y$5001,"&lt;&gt;")=0,"",SUMIFS(BD!$Y$3:$Y$5001,BD!$B$3:$B$5001,$A337,BD!$A$3:$A$5001,_xlfn.MAXIFS(BD!$A$3:$A$5001,BD!$B$3:$B$5001,$A337,BD!$A$3:$A$5001,"&gt;="&amp;$F$7,BD!$A$3:$A$5001,"&lt;="&amp;$G$7,BD!$Y$3:$Y$5001,"&lt;&gt;"))))</f>
        <v/>
      </c>
      <c r="H337" s="54" t="str">
        <f>IF($A337="","",IF(COUNTIFS(BD!$B$3:$B$5001,$A337,BD!$A$3:$A$5001,"&gt;="&amp;$F$8,BD!$A$3:$A$5001,"&lt;="&amp;$G$8,BD!$Y$3:$Y$5001,"&lt;&gt;")=0,"",SUMIFS(BD!$Y$3:$Y$5001,BD!$B$3:$B$5001,$A337,BD!$A$3:$A$5001,_xlfn.MAXIFS(BD!$A$3:$A$5001,BD!$B$3:$B$5001,$A337,BD!$A$3:$A$5001,"&gt;="&amp;$F$8,BD!$A$3:$A$5001,"&lt;="&amp;$G$8,BD!$Y$3:$Y$5001,"&lt;&gt;"))))</f>
        <v/>
      </c>
      <c r="I337" s="54" t="str">
        <f>IF($A337="","",IF(COUNTIFS(BD!$B$3:$B$5001,$A337,BD!$A$3:$A$5001,"&gt;="&amp;$F$7,BD!$A$3:$A$5001,"&lt;="&amp;$G$7,BD!$X$3:$X$5001,"&lt;&gt;")=0,"",SUMIFS(BD!$X$3:$X$5001,BD!$B$3:$B$5001,$A337,BD!$A$3:$A$5001,_xlfn.MAXIFS(BD!$A$3:$A$5001,BD!$B$3:$B$5001,$A337,BD!$A$3:$A$5001,"&gt;="&amp;$F$7,BD!$A$3:$A$5001,"&lt;="&amp;$G$7,BD!$X$3:$X$5001,"&lt;&gt;"))))</f>
        <v/>
      </c>
      <c r="J337" s="54" t="str">
        <f>IF($A337="","",IF(COUNTIFS(BD!$B$3:$B$5001,$A337,BD!$A$3:$A$5001,"&gt;="&amp;$F$8,BD!$A$3:$A$5001,"&lt;="&amp;$G$8,BD!$X$3:$X$5001,"&lt;&gt;")=0,"",SUMIFS(BD!$X$3:$X$5001,BD!$B$3:$B$5001,$A337,BD!$A$3:$A$5001,_xlfn.MAXIFS(BD!$A$3:$A$5001,BD!$B$3:$B$5001,$A337,BD!$A$3:$A$5001,"&gt;="&amp;$F$8,BD!$A$3:$A$5001,"&lt;="&amp;$G$8,BD!$X$3:$X$5001,"&lt;&gt;"))))</f>
        <v/>
      </c>
      <c r="K337" s="54" t="str">
        <f>IF($A337="","",IF(COUNTIFS(BD!$B$3:$B$5001,$A337,BD!$A$3:$A$5001,"&gt;="&amp;$F$7,BD!$A$3:$A$5001,"&lt;="&amp;$G$7,BD!$Z$3:$Z$5001,"&lt;&gt;")=0,"",SUMIFS(BD!$Z$3:$Z$5001,BD!$B$3:$B$5001,$A337,BD!$A$3:$A$5001,_xlfn.MAXIFS(BD!$A$3:$A$5001,BD!$B$3:$B$5001,$A337,BD!$A$3:$A$5001,"&gt;="&amp;$F$7,BD!$A$3:$A$5001,"&lt;="&amp;$G$7,BD!$Z$3:$Z$5001,"&lt;&gt;"))))</f>
        <v/>
      </c>
      <c r="L337" s="54" t="str">
        <f>IF($A337="","",IF(COUNTIFS(BD!$B$3:$B$5001,$A337,BD!$A$3:$A$5001,"&gt;="&amp;$F$8,BD!$A$3:$A$5001,"&lt;="&amp;$G$8,BD!$Z$3:$Z$5001,"&lt;&gt;")=0,"",SUMIFS(BD!$Z$3:$Z$5001,BD!$B$3:$B$5001,$A337,BD!$A$3:$A$5001,_xlfn.MAXIFS(BD!$A$3:$A$5001,BD!$B$3:$B$5001,$A337,BD!$A$3:$A$5001,"&gt;="&amp;$F$8,BD!$A$3:$A$5001,"&lt;="&amp;$G$8,BD!$Z$3:$Z$5001,"&lt;&gt;"))))</f>
        <v/>
      </c>
    </row>
    <row r="338">
      <c r="A338" s="76" t="str">
        <f>Config!$B$29&amp;""</f>
        <v/>
      </c>
      <c r="B338" s="48" t="str">
        <f>IF(Config!$C$29="","TPC",Config!$C$29)</f>
        <v>TPC</v>
      </c>
      <c r="C338" s="54" t="str">
        <f>IF($A338="","",IF(COUNTIFS(BD!$B$3:$B$5001,$A338,BD!$A$3:$A$5001,"&gt;="&amp;$F$7,BD!$A$3:$A$5001,"&lt;="&amp;$G$7,BD!$V$3:$V$5001,"&lt;&gt;")=0,"",SUMIFS(BD!$V$3:$V$5001,BD!$B$3:$B$5001,$A338,BD!$A$3:$A$5001,_xlfn.MAXIFS(BD!$A$3:$A$5001,BD!$B$3:$B$5001,$A338,BD!$A$3:$A$5001,"&gt;="&amp;$F$7,BD!$A$3:$A$5001,"&lt;="&amp;$G$7,BD!$V$3:$V$5001,"&lt;&gt;"))))</f>
        <v/>
      </c>
      <c r="D338" s="54" t="str">
        <f>IF($A338="","",IF(COUNTIFS(BD!$B$3:$B$5001,$A338,BD!$A$3:$A$5001,"&gt;="&amp;$F$8,BD!$A$3:$A$5001,"&lt;="&amp;$G$8,BD!$V$3:$V$5001,"&lt;&gt;")=0,"",SUMIFS(BD!$V$3:$V$5001,BD!$B$3:$B$5001,$A338,BD!$A$3:$A$5001,_xlfn.MAXIFS(BD!$A$3:$A$5001,BD!$B$3:$B$5001,$A338,BD!$A$3:$A$5001,"&gt;="&amp;$F$8,BD!$A$3:$A$5001,"&lt;="&amp;$G$8,BD!$V$3:$V$5001,"&lt;&gt;"))))</f>
        <v/>
      </c>
      <c r="E338" s="54" t="str">
        <f>IF($A338="","",IF(COUNTIFS(BD!$B$3:$B$5001,$A338,BD!$A$3:$A$5001,"&gt;="&amp;$F$7,BD!$A$3:$A$5001,"&lt;="&amp;$G$7,BD!$W$3:$W$5001,"&lt;&gt;")=0,"",SUMIFS(BD!$W$3:$W$5001,BD!$B$3:$B$5001,$A338,BD!$A$3:$A$5001,_xlfn.MAXIFS(BD!$A$3:$A$5001,BD!$B$3:$B$5001,$A338,BD!$A$3:$A$5001,"&gt;="&amp;$F$7,BD!$A$3:$A$5001,"&lt;="&amp;$G$7,BD!$W$3:$W$5001,"&lt;&gt;"))))</f>
        <v/>
      </c>
      <c r="F338" s="54" t="str">
        <f>IF($A338="","",IF(COUNTIFS(BD!$B$3:$B$5001,$A338,BD!$A$3:$A$5001,"&gt;="&amp;$F$8,BD!$A$3:$A$5001,"&lt;="&amp;$G$8,BD!$W$3:$W$5001,"&lt;&gt;")=0,"",SUMIFS(BD!$W$3:$W$5001,BD!$B$3:$B$5001,$A338,BD!$A$3:$A$5001,_xlfn.MAXIFS(BD!$A$3:$A$5001,BD!$B$3:$B$5001,$A338,BD!$A$3:$A$5001,"&gt;="&amp;$F$8,BD!$A$3:$A$5001,"&lt;="&amp;$G$8,BD!$W$3:$W$5001,"&lt;&gt;"))))</f>
        <v/>
      </c>
      <c r="G338" s="54" t="str">
        <f>IF($A338="","",IF(COUNTIFS(BD!$B$3:$B$5001,$A338,BD!$A$3:$A$5001,"&gt;="&amp;$F$7,BD!$A$3:$A$5001,"&lt;="&amp;$G$7,BD!$Y$3:$Y$5001,"&lt;&gt;")=0,"",SUMIFS(BD!$Y$3:$Y$5001,BD!$B$3:$B$5001,$A338,BD!$A$3:$A$5001,_xlfn.MAXIFS(BD!$A$3:$A$5001,BD!$B$3:$B$5001,$A338,BD!$A$3:$A$5001,"&gt;="&amp;$F$7,BD!$A$3:$A$5001,"&lt;="&amp;$G$7,BD!$Y$3:$Y$5001,"&lt;&gt;"))))</f>
        <v/>
      </c>
      <c r="H338" s="54" t="str">
        <f>IF($A338="","",IF(COUNTIFS(BD!$B$3:$B$5001,$A338,BD!$A$3:$A$5001,"&gt;="&amp;$F$8,BD!$A$3:$A$5001,"&lt;="&amp;$G$8,BD!$Y$3:$Y$5001,"&lt;&gt;")=0,"",SUMIFS(BD!$Y$3:$Y$5001,BD!$B$3:$B$5001,$A338,BD!$A$3:$A$5001,_xlfn.MAXIFS(BD!$A$3:$A$5001,BD!$B$3:$B$5001,$A338,BD!$A$3:$A$5001,"&gt;="&amp;$F$8,BD!$A$3:$A$5001,"&lt;="&amp;$G$8,BD!$Y$3:$Y$5001,"&lt;&gt;"))))</f>
        <v/>
      </c>
      <c r="I338" s="54" t="str">
        <f>IF($A338="","",IF(COUNTIFS(BD!$B$3:$B$5001,$A338,BD!$A$3:$A$5001,"&gt;="&amp;$F$7,BD!$A$3:$A$5001,"&lt;="&amp;$G$7,BD!$X$3:$X$5001,"&lt;&gt;")=0,"",SUMIFS(BD!$X$3:$X$5001,BD!$B$3:$B$5001,$A338,BD!$A$3:$A$5001,_xlfn.MAXIFS(BD!$A$3:$A$5001,BD!$B$3:$B$5001,$A338,BD!$A$3:$A$5001,"&gt;="&amp;$F$7,BD!$A$3:$A$5001,"&lt;="&amp;$G$7,BD!$X$3:$X$5001,"&lt;&gt;"))))</f>
        <v/>
      </c>
      <c r="J338" s="54" t="str">
        <f>IF($A338="","",IF(COUNTIFS(BD!$B$3:$B$5001,$A338,BD!$A$3:$A$5001,"&gt;="&amp;$F$8,BD!$A$3:$A$5001,"&lt;="&amp;$G$8,BD!$X$3:$X$5001,"&lt;&gt;")=0,"",SUMIFS(BD!$X$3:$X$5001,BD!$B$3:$B$5001,$A338,BD!$A$3:$A$5001,_xlfn.MAXIFS(BD!$A$3:$A$5001,BD!$B$3:$B$5001,$A338,BD!$A$3:$A$5001,"&gt;="&amp;$F$8,BD!$A$3:$A$5001,"&lt;="&amp;$G$8,BD!$X$3:$X$5001,"&lt;&gt;"))))</f>
        <v/>
      </c>
      <c r="K338" s="54" t="str">
        <f>IF($A338="","",IF(COUNTIFS(BD!$B$3:$B$5001,$A338,BD!$A$3:$A$5001,"&gt;="&amp;$F$7,BD!$A$3:$A$5001,"&lt;="&amp;$G$7,BD!$Z$3:$Z$5001,"&lt;&gt;")=0,"",SUMIFS(BD!$Z$3:$Z$5001,BD!$B$3:$B$5001,$A338,BD!$A$3:$A$5001,_xlfn.MAXIFS(BD!$A$3:$A$5001,BD!$B$3:$B$5001,$A338,BD!$A$3:$A$5001,"&gt;="&amp;$F$7,BD!$A$3:$A$5001,"&lt;="&amp;$G$7,BD!$Z$3:$Z$5001,"&lt;&gt;"))))</f>
        <v/>
      </c>
      <c r="L338" s="54" t="str">
        <f>IF($A338="","",IF(COUNTIFS(BD!$B$3:$B$5001,$A338,BD!$A$3:$A$5001,"&gt;="&amp;$F$8,BD!$A$3:$A$5001,"&lt;="&amp;$G$8,BD!$Z$3:$Z$5001,"&lt;&gt;")=0,"",SUMIFS(BD!$Z$3:$Z$5001,BD!$B$3:$B$5001,$A338,BD!$A$3:$A$5001,_xlfn.MAXIFS(BD!$A$3:$A$5001,BD!$B$3:$B$5001,$A338,BD!$A$3:$A$5001,"&gt;="&amp;$F$8,BD!$A$3:$A$5001,"&lt;="&amp;$G$8,BD!$Z$3:$Z$5001,"&lt;&gt;"))))</f>
        <v/>
      </c>
    </row>
    <row r="340">
      <c r="A340" s="52" t="inlineStr">
        <is>
          <t xml:space="preserve">INDICADORES DO PERÍODO (cards do Dashboard)</t>
        </is>
      </c>
    </row>
    <row r="341">
      <c r="A341" s="47" t="inlineStr">
        <is>
          <t xml:space="preserve">Indicador</t>
        </is>
      </c>
      <c r="B341" s="47" t="inlineStr">
        <is>
          <t xml:space="preserve">Período</t>
        </is>
      </c>
      <c r="C341" s="47" t="inlineStr">
        <is>
          <t xml:space="preserve">Período anterior</t>
        </is>
      </c>
      <c r="D341" s="47" t="inlineStr">
        <is>
          <t xml:space="preserve">Variação</t>
        </is>
      </c>
    </row>
    <row r="342">
      <c r="A342" s="40" t="inlineStr">
        <is>
          <t xml:space="preserve">IN · Veículos Recebidos</t>
        </is>
      </c>
      <c r="B342" s="42">
        <f>IF($B$2="Todos",SUMIFS(BD!$C$3:$C$5001,BD!$A$3:$A$5001,"&gt;="&amp;$F$7,BD!$A$3:$A$5001,"&lt;="&amp;$G$7),SUMIFS(BD!$C$3:$C$5001,BD!$A$3:$A$5001,"&gt;="&amp;$F$7,BD!$A$3:$A$5001,"&lt;="&amp;$G$7,BD!$B$3:$B$5001,$D$2))</f>
        <v>0</v>
      </c>
      <c r="C342" s="42">
        <f>IF($B$2="Todos",SUMIFS(BD!$C$3:$C$5001,BD!$A$3:$A$5001,"&gt;="&amp;$F$8,BD!$A$3:$A$5001,"&lt;="&amp;$G$8),SUMIFS(BD!$C$3:$C$5001,BD!$A$3:$A$5001,"&gt;="&amp;$F$8,BD!$A$3:$A$5001,"&lt;="&amp;$G$8,BD!$B$3:$B$5001,$D$2))</f>
        <v>0</v>
      </c>
      <c r="D342" s="60" t="str">
        <f>IF(AND(ISNUMBER(B342),ISNUMBER(C342)),IF(C342&lt;&gt;0,B342/C342-1,""),"")</f>
        <v/>
      </c>
    </row>
    <row r="343">
      <c r="A343" s="40" t="inlineStr">
        <is>
          <t xml:space="preserve">IN · Pallets Movimentados</t>
        </is>
      </c>
      <c r="B343" s="42">
        <f>IF($B$2="Todos",SUMIFS(BD!$D$3:$D$5001,BD!$A$3:$A$5001,"&gt;="&amp;$F$7,BD!$A$3:$A$5001,"&lt;="&amp;$G$7),SUMIFS(BD!$D$3:$D$5001,BD!$A$3:$A$5001,"&gt;="&amp;$F$7,BD!$A$3:$A$5001,"&lt;="&amp;$G$7,BD!$B$3:$B$5001,$D$2))</f>
        <v>0</v>
      </c>
      <c r="C343" s="42">
        <f>IF($B$2="Todos",SUMIFS(BD!$D$3:$D$5001,BD!$A$3:$A$5001,"&gt;="&amp;$F$8,BD!$A$3:$A$5001,"&lt;="&amp;$G$8),SUMIFS(BD!$D$3:$D$5001,BD!$A$3:$A$5001,"&gt;="&amp;$F$8,BD!$A$3:$A$5001,"&lt;="&amp;$G$8,BD!$B$3:$B$5001,$D$2))</f>
        <v>0</v>
      </c>
      <c r="D343" s="60" t="str">
        <f>IF(AND(ISNUMBER(B343),ISNUMBER(C343)),IF(C343&lt;&gt;0,B343/C343-1,""),"")</f>
        <v/>
      </c>
    </row>
    <row r="344">
      <c r="A344" s="40" t="inlineStr">
        <is>
          <t xml:space="preserve">IN · Toneladas Movimentadas</t>
        </is>
      </c>
      <c r="B344" s="72">
        <f>IF($B$2="Todos",SUMIFS(BD!$E$3:$E$5001,BD!$A$3:$A$5001,"&gt;="&amp;$F$7,BD!$A$3:$A$5001,"&lt;="&amp;$G$7),SUMIFS(BD!$E$3:$E$5001,BD!$A$3:$A$5001,"&gt;="&amp;$F$7,BD!$A$3:$A$5001,"&lt;="&amp;$G$7,BD!$B$3:$B$5001,$D$2))</f>
        <v>0</v>
      </c>
      <c r="C344" s="72">
        <f>IF($B$2="Todos",SUMIFS(BD!$E$3:$E$5001,BD!$A$3:$A$5001,"&gt;="&amp;$F$8,BD!$A$3:$A$5001,"&lt;="&amp;$G$8),SUMIFS(BD!$E$3:$E$5001,BD!$A$3:$A$5001,"&gt;="&amp;$F$8,BD!$A$3:$A$5001,"&lt;="&amp;$G$8,BD!$B$3:$B$5001,$D$2))</f>
        <v>0</v>
      </c>
      <c r="D344" s="60" t="str">
        <f>IF(AND(ISNUMBER(B344),ISNUMBER(C344)),IF(C344&lt;&gt;0,B344/C344-1,""),"")</f>
        <v/>
      </c>
    </row>
    <row r="345">
      <c r="A345" s="40" t="inlineStr">
        <is>
          <t xml:space="preserve">OUT · Veículos Expedidos</t>
        </is>
      </c>
      <c r="B345" s="42">
        <f>IF($B$2="Todos",SUMIFS(BD!$L$3:$L$5001,BD!$A$3:$A$5001,"&gt;="&amp;$F$7,BD!$A$3:$A$5001,"&lt;="&amp;$G$7),SUMIFS(BD!$L$3:$L$5001,BD!$A$3:$A$5001,"&gt;="&amp;$F$7,BD!$A$3:$A$5001,"&lt;="&amp;$G$7,BD!$B$3:$B$5001,$D$2))</f>
        <v>0</v>
      </c>
      <c r="C345" s="42">
        <f>IF($B$2="Todos",SUMIFS(BD!$L$3:$L$5001,BD!$A$3:$A$5001,"&gt;="&amp;$F$8,BD!$A$3:$A$5001,"&lt;="&amp;$G$8),SUMIFS(BD!$L$3:$L$5001,BD!$A$3:$A$5001,"&gt;="&amp;$F$8,BD!$A$3:$A$5001,"&lt;="&amp;$G$8,BD!$B$3:$B$5001,$D$2))</f>
        <v>0</v>
      </c>
      <c r="D345" s="60" t="str">
        <f>IF(AND(ISNUMBER(B345),ISNUMBER(C345)),IF(C345&lt;&gt;0,B345/C345-1,""),"")</f>
        <v/>
      </c>
    </row>
    <row r="346">
      <c r="A346" s="40" t="inlineStr">
        <is>
          <t xml:space="preserve">OUT · Pallets Movimentados</t>
        </is>
      </c>
      <c r="B346" s="42">
        <f>IF($B$2="Todos",SUMIFS(BD!$R$3:$R$5001,BD!$A$3:$A$5001,"&gt;="&amp;$F$7,BD!$A$3:$A$5001,"&lt;="&amp;$G$7),SUMIFS(BD!$R$3:$R$5001,BD!$A$3:$A$5001,"&gt;="&amp;$F$7,BD!$A$3:$A$5001,"&lt;="&amp;$G$7,BD!$B$3:$B$5001,$D$2))</f>
        <v>0</v>
      </c>
      <c r="C346" s="42">
        <f>IF($B$2="Todos",SUMIFS(BD!$R$3:$R$5001,BD!$A$3:$A$5001,"&gt;="&amp;$F$8,BD!$A$3:$A$5001,"&lt;="&amp;$G$8),SUMIFS(BD!$R$3:$R$5001,BD!$A$3:$A$5001,"&gt;="&amp;$F$8,BD!$A$3:$A$5001,"&lt;="&amp;$G$8,BD!$B$3:$B$5001,$D$2))</f>
        <v>0</v>
      </c>
      <c r="D346" s="60" t="str">
        <f>IF(AND(ISNUMBER(B346),ISNUMBER(C346)),IF(C346&lt;&gt;0,B346/C346-1,""),"")</f>
        <v/>
      </c>
    </row>
    <row r="347">
      <c r="A347" s="40" t="inlineStr">
        <is>
          <t xml:space="preserve">OUT · Toneladas Movimentadas</t>
        </is>
      </c>
      <c r="B347" s="72">
        <f>IF($B$2="Todos",SUMIFS(BD!$S$3:$S$5001,BD!$A$3:$A$5001,"&gt;="&amp;$F$7,BD!$A$3:$A$5001,"&lt;="&amp;$G$7),SUMIFS(BD!$S$3:$S$5001,BD!$A$3:$A$5001,"&gt;="&amp;$F$7,BD!$A$3:$A$5001,"&lt;="&amp;$G$7,BD!$B$3:$B$5001,$D$2))</f>
        <v>0</v>
      </c>
      <c r="C347" s="72">
        <f>IF($B$2="Todos",SUMIFS(BD!$S$3:$S$5001,BD!$A$3:$A$5001,"&gt;="&amp;$F$8,BD!$A$3:$A$5001,"&lt;="&amp;$G$8),SUMIFS(BD!$S$3:$S$5001,BD!$A$3:$A$5001,"&gt;="&amp;$F$8,BD!$A$3:$A$5001,"&lt;="&amp;$G$8,BD!$B$3:$B$5001,$D$2))</f>
        <v>0</v>
      </c>
      <c r="D347" s="60" t="str">
        <f>IF(AND(ISNUMBER(B347),ISNUMBER(C347)),IF(C347&lt;&gt;0,B347/C347-1,""),"")</f>
        <v/>
      </c>
    </row>
    <row r="348">
      <c r="A348" s="40" t="inlineStr">
        <is>
          <t xml:space="preserve">NC · Incidentes</t>
        </is>
      </c>
      <c r="B348" s="42">
        <f>IF($B$2="Todos",SUMIFS(BD!$T$3:$T$5001,BD!$A$3:$A$5001,"&gt;="&amp;$F$7,BD!$A$3:$A$5001,"&lt;="&amp;$G$7),SUMIFS(BD!$T$3:$T$5001,BD!$A$3:$A$5001,"&gt;="&amp;$F$7,BD!$A$3:$A$5001,"&lt;="&amp;$G$7,BD!$B$3:$B$5001,$D$2))</f>
        <v>0</v>
      </c>
      <c r="C348" s="42">
        <f>IF($B$2="Todos",SUMIFS(BD!$T$3:$T$5001,BD!$A$3:$A$5001,"&gt;="&amp;$F$8,BD!$A$3:$A$5001,"&lt;="&amp;$G$8),SUMIFS(BD!$T$3:$T$5001,BD!$A$3:$A$5001,"&gt;="&amp;$F$8,BD!$A$3:$A$5001,"&lt;="&amp;$G$8,BD!$B$3:$B$5001,$D$2))</f>
        <v>0</v>
      </c>
      <c r="D348" s="60" t="str">
        <f>IF(AND(ISNUMBER(B348),ISNUMBER(C348)),IF(C348&lt;&gt;0,B348/C348-1,""),"")</f>
        <v/>
      </c>
    </row>
    <row r="349">
      <c r="A349" s="40" t="inlineStr">
        <is>
          <t xml:space="preserve">NC · No show</t>
        </is>
      </c>
      <c r="B349" s="42">
        <f>IF($B$2="Todos",SUMIFS(BD!$U$3:$U$5001,BD!$A$3:$A$5001,"&gt;="&amp;$F$7,BD!$A$3:$A$5001,"&lt;="&amp;$G$7),SUMIFS(BD!$U$3:$U$5001,BD!$A$3:$A$5001,"&gt;="&amp;$F$7,BD!$A$3:$A$5001,"&lt;="&amp;$G$7,BD!$B$3:$B$5001,$D$2))</f>
        <v>0</v>
      </c>
      <c r="C349" s="42">
        <f>IF($B$2="Todos",SUMIFS(BD!$U$3:$U$5001,BD!$A$3:$A$5001,"&gt;="&amp;$F$8,BD!$A$3:$A$5001,"&lt;="&amp;$G$8),SUMIFS(BD!$U$3:$U$5001,BD!$A$3:$A$5001,"&gt;="&amp;$F$8,BD!$A$3:$A$5001,"&lt;="&amp;$G$8,BD!$B$3:$B$5001,$D$2))</f>
        <v>0</v>
      </c>
      <c r="D349" s="60" t="str">
        <f>IF(AND(ISNUMBER(B349),ISNUMBER(C349)),IF(C349&lt;&gt;0,B349/C349-1,""),"")</f>
        <v/>
      </c>
    </row>
    <row r="350">
      <c r="A350" s="40" t="inlineStr">
        <is>
          <t xml:space="preserve">NC · Backlog Intralog</t>
        </is>
      </c>
      <c r="B350" s="42" t="str">
        <f>IF($B$2="Todos",IF(COUNT($C$319:$C$338)=0,"",SUM($C$319:$C$338)),IFERROR(INDEX($C$319:$C$338,MATCH($D$2,$A$319:$A$338,0)),""))</f>
        <v/>
      </c>
      <c r="C350" s="42" t="str">
        <f>IF($B$2="Todos",IF(COUNT($D$319:$D$338)=0,"",SUM($D$319:$D$338)),IFERROR(INDEX($D$319:$D$338,MATCH($D$2,$A$319:$A$338,0)),""))</f>
        <v/>
      </c>
      <c r="D350" s="60" t="str">
        <f>IF(AND(ISNUMBER(B350),ISNUMBER(C350)),IF(C350&lt;&gt;0,B350/C350-1,""),"")</f>
        <v/>
      </c>
    </row>
    <row r="351">
      <c r="A351" s="40" t="inlineStr">
        <is>
          <t xml:space="preserve">NC · Backlog Cliente</t>
        </is>
      </c>
      <c r="B351" s="42" t="str">
        <f>IF($B$2="Todos",IF(COUNT($E$319:$E$338)=0,"",SUM($E$319:$E$338)),IFERROR(INDEX($E$319:$E$338,MATCH($D$2,$A$319:$A$338,0)),""))</f>
        <v/>
      </c>
      <c r="C351" s="42" t="str">
        <f>IF($B$2="Todos",IF(COUNT($F$319:$F$338)=0,"",SUM($F$319:$F$338)),IFERROR(INDEX($F$319:$F$338,MATCH($D$2,$A$319:$A$338,0)),""))</f>
        <v/>
      </c>
      <c r="D351" s="60" t="str">
        <f>IF(AND(ISNUMBER(B351),ISNUMBER(C351)),IF(C351&lt;&gt;0,B351/C351-1,""),"")</f>
        <v/>
      </c>
    </row>
    <row r="352">
      <c r="A352" s="40" t="inlineStr">
        <is>
          <t xml:space="preserve">OCUPAÇÃO (P.P) · Posições Ocupadas</t>
        </is>
      </c>
      <c r="B352" s="42" t="str">
        <f>IF($B$2="Todos",IF(COUNT($G$319:$G$338)=0,"",SUM($G$319:$G$338)),IFERROR(INDEX($G$319:$G$338,MATCH($D$2,$A$319:$A$338,0)),""))</f>
        <v/>
      </c>
      <c r="C352" s="42" t="str">
        <f>IF($B$2="Todos",IF(COUNT($H$319:$H$338)=0,"",SUM($H$319:$H$338)),IFERROR(INDEX($H$319:$H$338,MATCH($D$2,$A$319:$A$338,0)),""))</f>
        <v/>
      </c>
      <c r="D352" s="60" t="str">
        <f>IF(AND(ISNUMBER(B352),ISNUMBER(C352)),IF(C352&lt;&gt;0,B352/C352-1,""),"")</f>
        <v/>
      </c>
    </row>
    <row r="353">
      <c r="A353" s="40" t="inlineStr">
        <is>
          <t xml:space="preserve">OCUPAÇÃO (P.P) · Posições Disponíveis</t>
        </is>
      </c>
      <c r="B353" s="42" t="str">
        <f>IF(B352="","",IF($B$2="Todos",IF($B$4&gt;0,$B$4,IF($B$2="Todos",IF(COUNT($I$319:$I$338)=0,"",SUM($I$319:$I$338)),IFERROR(INDEX($I$319:$I$338,MATCH($D$2,$A$319:$A$338,0)),""))),IF($B$2="Todos",IF(COUNT($I$319:$I$338)=0,"",SUM($I$319:$I$338)),IFERROR(INDEX($I$319:$I$338,MATCH($D$2,$A$319:$A$338,0)),""))))</f>
        <v/>
      </c>
      <c r="C353" s="42" t="str">
        <f>IF(C352="","",IF($B$2="Todos",IF($B$4&gt;0,$B$4,IF($B$2="Todos",IF(COUNT($J$319:$J$338)=0,"",SUM($J$319:$J$338)),IFERROR(INDEX($J$319:$J$338,MATCH($D$2,$A$319:$A$338,0)),""))),IF($B$2="Todos",IF(COUNT($J$319:$J$338)=0,"",SUM($J$319:$J$338)),IFERROR(INDEX($J$319:$J$338,MATCH($D$2,$A$319:$A$338,0)),""))))</f>
        <v/>
      </c>
      <c r="D353" s="60" t="str">
        <f>IF(AND(ISNUMBER(B353),ISNUMBER(C353)),IF(C353&lt;&gt;0,B353/C353-1,""),"")</f>
        <v/>
      </c>
    </row>
    <row r="354">
      <c r="A354" s="40" t="inlineStr">
        <is>
          <t xml:space="preserve">OCUPAÇÃO (P.P) · Taxa de Ocupação</t>
        </is>
      </c>
      <c r="B354" s="60" t="str">
        <f>IF(AND(ISNUMBER(B352),ISNUMBER(B353)),IF(B353&gt;0,B352/B353,""),"")</f>
        <v/>
      </c>
      <c r="C354" s="60" t="str">
        <f>IF(AND(ISNUMBER(C352),ISNUMBER(C353)),IF(C353&gt;0,C352/C353,""),"")</f>
        <v/>
      </c>
      <c r="D354" s="60" t="str">
        <f>IF(AND(ISNUMBER(B354),ISNUMBER(C354)),IF(C354&lt;&gt;0,B354/C354-1,""),"")</f>
        <v/>
      </c>
    </row>
    <row r="355">
      <c r="A355" s="40" t="inlineStr">
        <is>
          <t xml:space="preserve">OCUPAÇÃO (P.P) · Ociosidade</t>
        </is>
      </c>
      <c r="B355" s="60" t="str">
        <f>IF(ISNUMBER(B354),1-B354,"")</f>
        <v/>
      </c>
      <c r="C355" s="60" t="str">
        <f>IF(ISNUMBER(C354),1-C354,"")</f>
        <v/>
      </c>
      <c r="D355" s="60" t="str">
        <f>IF(AND(ISNUMBER(B355),ISNUMBER(C355)),IF(C355&lt;&gt;0,B355/C355-1,""),"")</f>
        <v/>
      </c>
    </row>
    <row r="356">
      <c r="A356" s="40" t="inlineStr">
        <is>
          <t xml:space="preserve">GENTE · Efetivo Op.</t>
        </is>
      </c>
      <c r="B356" s="42" t="str">
        <f>IF($B$2="Todos",IF(COUNT($K$319:$K$338)=0,"",SUM($K$319:$K$338)),IFERROR(INDEX($K$319:$K$338,MATCH($D$2,$A$319:$A$338,0)),""))</f>
        <v/>
      </c>
      <c r="C356" s="42" t="str">
        <f>IF($B$2="Todos",IF(COUNT($L$319:$L$338)=0,"",SUM($L$319:$L$338)),IFERROR(INDEX($L$319:$L$338,MATCH($D$2,$A$319:$A$338,0)),""))</f>
        <v/>
      </c>
      <c r="D356" s="60" t="str">
        <f>IF(AND(ISNUMBER(B356),ISNUMBER(C356)),IF(C356&lt;&gt;0,B356/C356-1,""),"")</f>
        <v/>
      </c>
    </row>
    <row r="357">
      <c r="A357" s="40" t="inlineStr">
        <is>
          <t xml:space="preserve">GENTE · Homem-dia (soma do efetivo diário)</t>
        </is>
      </c>
      <c r="B357" s="42">
        <f>IF($B$2="Todos",SUMIFS(BD!$Z$3:$Z$5001,BD!$A$3:$A$5001,"&gt;="&amp;$F$7,BD!$A$3:$A$5001,"&lt;="&amp;$G$7),SUMIFS(BD!$Z$3:$Z$5001,BD!$A$3:$A$5001,"&gt;="&amp;$F$7,BD!$A$3:$A$5001,"&lt;="&amp;$G$7,BD!$B$3:$B$5001,$D$2))</f>
        <v>0</v>
      </c>
      <c r="C357" s="42">
        <f>IF($B$2="Todos",SUMIFS(BD!$Z$3:$Z$5001,BD!$A$3:$A$5001,"&gt;="&amp;$F$8,BD!$A$3:$A$5001,"&lt;="&amp;$G$8),SUMIFS(BD!$Z$3:$Z$5001,BD!$A$3:$A$5001,"&gt;="&amp;$F$8,BD!$A$3:$A$5001,"&lt;="&amp;$G$8,BD!$B$3:$B$5001,$D$2))</f>
        <v>0</v>
      </c>
      <c r="D357" s="60" t="str">
        <f>IF(AND(ISNUMBER(B357),ISNUMBER(C357)),IF(C357&lt;&gt;0,B357/C357-1,""),"")</f>
        <v/>
      </c>
    </row>
    <row r="358">
      <c r="A358" s="40" t="inlineStr">
        <is>
          <t xml:space="preserve">GENTE · Falta</t>
        </is>
      </c>
      <c r="B358" s="42">
        <f>IF($B$2="Todos",SUMIFS(BD!$AA$3:$AA$5001,BD!$A$3:$A$5001,"&gt;="&amp;$F$7,BD!$A$3:$A$5001,"&lt;="&amp;$G$7),SUMIFS(BD!$AA$3:$AA$5001,BD!$A$3:$A$5001,"&gt;="&amp;$F$7,BD!$A$3:$A$5001,"&lt;="&amp;$G$7,BD!$B$3:$B$5001,$D$2))</f>
        <v>0</v>
      </c>
      <c r="C358" s="42">
        <f>IF($B$2="Todos",SUMIFS(BD!$AA$3:$AA$5001,BD!$A$3:$A$5001,"&gt;="&amp;$F$8,BD!$A$3:$A$5001,"&lt;="&amp;$G$8),SUMIFS(BD!$AA$3:$AA$5001,BD!$A$3:$A$5001,"&gt;="&amp;$F$8,BD!$A$3:$A$5001,"&lt;="&amp;$G$8,BD!$B$3:$B$5001,$D$2))</f>
        <v>0</v>
      </c>
      <c r="D358" s="60" t="str">
        <f>IF(AND(ISNUMBER(B358),ISNUMBER(C358)),IF(C358&lt;&gt;0,B358/C358-1,""),"")</f>
        <v/>
      </c>
    </row>
    <row r="359">
      <c r="A359" s="40" t="inlineStr">
        <is>
          <t xml:space="preserve">GENTE · Absenteísmo (H/H)</t>
        </is>
      </c>
      <c r="B359" s="42">
        <f>IF($B$2="Todos",SUMIFS(BD!$AB$3:$AB$5001,BD!$A$3:$A$5001,"&gt;="&amp;$F$7,BD!$A$3:$A$5001,"&lt;="&amp;$G$7),SUMIFS(BD!$AB$3:$AB$5001,BD!$A$3:$A$5001,"&gt;="&amp;$F$7,BD!$A$3:$A$5001,"&lt;="&amp;$G$7,BD!$B$3:$B$5001,$D$2))</f>
        <v>0</v>
      </c>
      <c r="C359" s="42">
        <f>IF($B$2="Todos",SUMIFS(BD!$AB$3:$AB$5001,BD!$A$3:$A$5001,"&gt;="&amp;$F$8,BD!$A$3:$A$5001,"&lt;="&amp;$G$8),SUMIFS(BD!$AB$3:$AB$5001,BD!$A$3:$A$5001,"&gt;="&amp;$F$8,BD!$A$3:$A$5001,"&lt;="&amp;$G$8,BD!$B$3:$B$5001,$D$2))</f>
        <v>0</v>
      </c>
      <c r="D359" s="60" t="str">
        <f>IF(AND(ISNUMBER(B359),ISNUMBER(C359)),IF(C359&lt;&gt;0,B359/C359-1,""),"")</f>
        <v/>
      </c>
    </row>
    <row r="360">
      <c r="A360" s="40" t="inlineStr">
        <is>
          <t xml:space="preserve">GENTE · Absenteísmo (H/H) = faltas ÷ homem-dia</t>
        </is>
      </c>
      <c r="B360" s="60" t="str">
        <f>IF(N(B357)&gt;0,N(B358)/B357,"")</f>
        <v/>
      </c>
      <c r="C360" s="60" t="str">
        <f>IF(N(C357)&gt;0,N(C358)/C357,"")</f>
        <v/>
      </c>
      <c r="D360" s="60" t="str">
        <f>IF(AND(ISNUMBER(B360),ISNUMBER(C360)),IF(C360&lt;&gt;0,B360/C360-1,""),"")</f>
        <v/>
      </c>
    </row>
    <row r="361">
      <c r="A361" s="40" t="inlineStr">
        <is>
          <t xml:space="preserve">GENTE · Folga</t>
        </is>
      </c>
      <c r="B361" s="42">
        <f>IF($B$2="Todos",SUMIFS(BD!$AC$3:$AC$5001,BD!$A$3:$A$5001,"&gt;="&amp;$F$7,BD!$A$3:$A$5001,"&lt;="&amp;$G$7),SUMIFS(BD!$AC$3:$AC$5001,BD!$A$3:$A$5001,"&gt;="&amp;$F$7,BD!$A$3:$A$5001,"&lt;="&amp;$G$7,BD!$B$3:$B$5001,$D$2))</f>
        <v>0</v>
      </c>
      <c r="C361" s="42">
        <f>IF($B$2="Todos",SUMIFS(BD!$AC$3:$AC$5001,BD!$A$3:$A$5001,"&gt;="&amp;$F$8,BD!$A$3:$A$5001,"&lt;="&amp;$G$8),SUMIFS(BD!$AC$3:$AC$5001,BD!$A$3:$A$5001,"&gt;="&amp;$F$8,BD!$A$3:$A$5001,"&lt;="&amp;$G$8,BD!$B$3:$B$5001,$D$2))</f>
        <v>0</v>
      </c>
      <c r="D361" s="60" t="str">
        <f>IF(AND(ISNUMBER(B361),ISNUMBER(C361)),IF(C361&lt;&gt;0,B361/C361-1,""),"")</f>
        <v/>
      </c>
    </row>
    <row r="362">
      <c r="A362" s="40" t="inlineStr">
        <is>
          <t xml:space="preserve">GENTE · Férias</t>
        </is>
      </c>
      <c r="B362" s="42">
        <f>IF($B$2="Todos",SUMIFS(BD!$AD$3:$AD$5001,BD!$A$3:$A$5001,"&gt;="&amp;$F$7,BD!$A$3:$A$5001,"&lt;="&amp;$G$7),SUMIFS(BD!$AD$3:$AD$5001,BD!$A$3:$A$5001,"&gt;="&amp;$F$7,BD!$A$3:$A$5001,"&lt;="&amp;$G$7,BD!$B$3:$B$5001,$D$2))</f>
        <v>0</v>
      </c>
      <c r="C362" s="42">
        <f>IF($B$2="Todos",SUMIFS(BD!$AD$3:$AD$5001,BD!$A$3:$A$5001,"&gt;="&amp;$F$8,BD!$A$3:$A$5001,"&lt;="&amp;$G$8),SUMIFS(BD!$AD$3:$AD$5001,BD!$A$3:$A$5001,"&gt;="&amp;$F$8,BD!$A$3:$A$5001,"&lt;="&amp;$G$8,BD!$B$3:$B$5001,$D$2))</f>
        <v>0</v>
      </c>
      <c r="D362" s="60" t="str">
        <f>IF(AND(ISNUMBER(B362),ISNUMBER(C362)),IF(C362&lt;&gt;0,B362/C362-1,""),"")</f>
        <v/>
      </c>
    </row>
    <row r="363">
      <c r="A363" s="40" t="inlineStr">
        <is>
          <t xml:space="preserve">GENTE · Desligamento</t>
        </is>
      </c>
      <c r="B363" s="42">
        <f>IF($B$2="Todos",SUMIFS(BD!$AE$3:$AE$5001,BD!$A$3:$A$5001,"&gt;="&amp;$F$7,BD!$A$3:$A$5001,"&lt;="&amp;$G$7),SUMIFS(BD!$AE$3:$AE$5001,BD!$A$3:$A$5001,"&gt;="&amp;$F$7,BD!$A$3:$A$5001,"&lt;="&amp;$G$7,BD!$B$3:$B$5001,$D$2))</f>
        <v>0</v>
      </c>
      <c r="C363" s="42">
        <f>IF($B$2="Todos",SUMIFS(BD!$AE$3:$AE$5001,BD!$A$3:$A$5001,"&gt;="&amp;$F$8,BD!$A$3:$A$5001,"&lt;="&amp;$G$8),SUMIFS(BD!$AE$3:$AE$5001,BD!$A$3:$A$5001,"&gt;="&amp;$F$8,BD!$A$3:$A$5001,"&lt;="&amp;$G$8,BD!$B$3:$B$5001,$D$2))</f>
        <v>0</v>
      </c>
      <c r="D363" s="60" t="str">
        <f>IF(AND(ISNUMBER(B363),ISNUMBER(C363)),IF(C363&lt;&gt;0,B363/C363-1,""),"")</f>
        <v/>
      </c>
    </row>
    <row r="364">
      <c r="A364" s="40" t="inlineStr">
        <is>
          <t xml:space="preserve">GENTE · Turnover = desligamentos ÷ efetivo</t>
        </is>
      </c>
      <c r="B364" s="60" t="str">
        <f>IF(N(B356)&gt;0,N(B363)/B356,"")</f>
        <v/>
      </c>
      <c r="C364" s="60" t="str">
        <f>IF(N(C356)&gt;0,N(C363)/C356,"")</f>
        <v/>
      </c>
      <c r="D364" s="60" t="str">
        <f>IF(AND(ISNUMBER(B364),ISNUMBER(C364)),IF(C364&lt;&gt;0,B364/C364-1,""),"")</f>
        <v/>
      </c>
    </row>
    <row r="365">
      <c r="A365" s="40" t="inlineStr">
        <is>
          <t xml:space="preserve">GENTE · Desvios Comportamentais</t>
        </is>
      </c>
      <c r="B365" s="42">
        <f>IF($B$2="Todos",SUMIFS(BD!$AF$3:$AF$5001,BD!$A$3:$A$5001,"&gt;="&amp;$F$7,BD!$A$3:$A$5001,"&lt;="&amp;$G$7),SUMIFS(BD!$AF$3:$AF$5001,BD!$A$3:$A$5001,"&gt;="&amp;$F$7,BD!$A$3:$A$5001,"&lt;="&amp;$G$7,BD!$B$3:$B$5001,$D$2))</f>
        <v>0</v>
      </c>
      <c r="C365" s="42">
        <f>IF($B$2="Todos",SUMIFS(BD!$AF$3:$AF$5001,BD!$A$3:$A$5001,"&gt;="&amp;$F$8,BD!$A$3:$A$5001,"&lt;="&amp;$G$8),SUMIFS(BD!$AF$3:$AF$5001,BD!$A$3:$A$5001,"&gt;="&amp;$F$8,BD!$A$3:$A$5001,"&lt;="&amp;$G$8,BD!$B$3:$B$5001,$D$2))</f>
        <v>0</v>
      </c>
      <c r="D365" s="60" t="str">
        <f>IF(AND(ISNUMBER(B365),ISNUMBER(C365)),IF(C365&lt;&gt;0,B365/C365-1,""),"")</f>
        <v/>
      </c>
    </row>
    <row r="366">
      <c r="A366" s="40" t="inlineStr">
        <is>
          <t xml:space="preserve">GENTE · Acidentes CAF</t>
        </is>
      </c>
      <c r="B366" s="42">
        <f>IF($B$2="Todos",SUMIFS(BD!$AG$3:$AG$5001,BD!$A$3:$A$5001,"&gt;="&amp;$F$7,BD!$A$3:$A$5001,"&lt;="&amp;$G$7),SUMIFS(BD!$AG$3:$AG$5001,BD!$A$3:$A$5001,"&gt;="&amp;$F$7,BD!$A$3:$A$5001,"&lt;="&amp;$G$7,BD!$B$3:$B$5001,$D$2))</f>
        <v>0</v>
      </c>
      <c r="C366" s="42">
        <f>IF($B$2="Todos",SUMIFS(BD!$AG$3:$AG$5001,BD!$A$3:$A$5001,"&gt;="&amp;$F$8,BD!$A$3:$A$5001,"&lt;="&amp;$G$8),SUMIFS(BD!$AG$3:$AG$5001,BD!$A$3:$A$5001,"&gt;="&amp;$F$8,BD!$A$3:$A$5001,"&lt;="&amp;$G$8,BD!$B$3:$B$5001,$D$2))</f>
        <v>0</v>
      </c>
      <c r="D366" s="60" t="str">
        <f>IF(AND(ISNUMBER(B366),ISNUMBER(C366)),IF(C366&lt;&gt;0,B366/C366-1,""),"")</f>
        <v/>
      </c>
    </row>
    <row r="367">
      <c r="A367" s="40" t="inlineStr">
        <is>
          <t xml:space="preserve">GENTE · Acidentes SAF</t>
        </is>
      </c>
      <c r="B367" s="42">
        <f>IF($B$2="Todos",SUMIFS(BD!$AH$3:$AH$5001,BD!$A$3:$A$5001,"&gt;="&amp;$F$7,BD!$A$3:$A$5001,"&lt;="&amp;$G$7),SUMIFS(BD!$AH$3:$AH$5001,BD!$A$3:$A$5001,"&gt;="&amp;$F$7,BD!$A$3:$A$5001,"&lt;="&amp;$G$7,BD!$B$3:$B$5001,$D$2))</f>
        <v>0</v>
      </c>
      <c r="C367" s="42">
        <f>IF($B$2="Todos",SUMIFS(BD!$AH$3:$AH$5001,BD!$A$3:$A$5001,"&gt;="&amp;$F$8,BD!$A$3:$A$5001,"&lt;="&amp;$G$8),SUMIFS(BD!$AH$3:$AH$5001,BD!$A$3:$A$5001,"&gt;="&amp;$F$8,BD!$A$3:$A$5001,"&lt;="&amp;$G$8,BD!$B$3:$B$5001,$D$2))</f>
        <v>0</v>
      </c>
      <c r="D367" s="60" t="str">
        <f>IF(AND(ISNUMBER(B367),ISNUMBER(C367)),IF(C367&lt;&gt;0,B367/C367-1,""),"")</f>
        <v/>
      </c>
    </row>
    <row r="368">
      <c r="A368" s="40" t="inlineStr">
        <is>
          <t xml:space="preserve">IN · Linhas NF</t>
        </is>
      </c>
      <c r="B368" s="42">
        <f>IF($B$2="Todos",SUMIFS(BD!$F$3:$F$5001,BD!$A$3:$A$5001,"&gt;="&amp;$F$7,BD!$A$3:$A$5001,"&lt;="&amp;$G$7),SUMIFS(BD!$F$3:$F$5001,BD!$A$3:$A$5001,"&gt;="&amp;$F$7,BD!$A$3:$A$5001,"&lt;="&amp;$G$7,BD!$B$3:$B$5001,$D$2))</f>
        <v>0</v>
      </c>
      <c r="C368" s="42">
        <f>IF($B$2="Todos",SUMIFS(BD!$F$3:$F$5001,BD!$A$3:$A$5001,"&gt;="&amp;$F$8,BD!$A$3:$A$5001,"&lt;="&amp;$G$8),SUMIFS(BD!$F$3:$F$5001,BD!$A$3:$A$5001,"&gt;="&amp;$F$8,BD!$A$3:$A$5001,"&lt;="&amp;$G$8,BD!$B$3:$B$5001,$D$2))</f>
        <v>0</v>
      </c>
      <c r="D368" s="60" t="str">
        <f>IF(AND(ISNUMBER(B368),ISNUMBER(C368)),IF(C368&lt;&gt;0,B368/C368-1,""),"")</f>
        <v/>
      </c>
    </row>
    <row r="369">
      <c r="A369" s="40" t="inlineStr">
        <is>
          <t xml:space="preserve">IN · Caixas Movimentadas</t>
        </is>
      </c>
      <c r="B369" s="42">
        <f>IF($B$2="Todos",SUMIFS(BD!$G$3:$G$5001,BD!$A$3:$A$5001,"&gt;="&amp;$F$7,BD!$A$3:$A$5001,"&lt;="&amp;$G$7),SUMIFS(BD!$G$3:$G$5001,BD!$A$3:$A$5001,"&gt;="&amp;$F$7,BD!$A$3:$A$5001,"&lt;="&amp;$G$7,BD!$B$3:$B$5001,$D$2))</f>
        <v>0</v>
      </c>
      <c r="C369" s="42">
        <f>IF($B$2="Todos",SUMIFS(BD!$G$3:$G$5001,BD!$A$3:$A$5001,"&gt;="&amp;$F$8,BD!$A$3:$A$5001,"&lt;="&amp;$G$8),SUMIFS(BD!$G$3:$G$5001,BD!$A$3:$A$5001,"&gt;="&amp;$F$8,BD!$A$3:$A$5001,"&lt;="&amp;$G$8,BD!$B$3:$B$5001,$D$2))</f>
        <v>0</v>
      </c>
      <c r="D369" s="60" t="str">
        <f>IF(AND(ISNUMBER(B369),ISNUMBER(C369)),IF(C369&lt;&gt;0,B369/C369-1,""),"")</f>
        <v/>
      </c>
    </row>
    <row r="370">
      <c r="A370" s="40" t="inlineStr">
        <is>
          <t xml:space="preserve">IN · Itens Recebidos</t>
        </is>
      </c>
      <c r="B370" s="42">
        <f>IF($B$2="Todos",SUMIFS(BD!$H$3:$H$5001,BD!$A$3:$A$5001,"&gt;="&amp;$F$7,BD!$A$3:$A$5001,"&lt;="&amp;$G$7),SUMIFS(BD!$H$3:$H$5001,BD!$A$3:$A$5001,"&gt;="&amp;$F$7,BD!$A$3:$A$5001,"&lt;="&amp;$G$7,BD!$B$3:$B$5001,$D$2))</f>
        <v>0</v>
      </c>
      <c r="C370" s="42">
        <f>IF($B$2="Todos",SUMIFS(BD!$H$3:$H$5001,BD!$A$3:$A$5001,"&gt;="&amp;$F$8,BD!$A$3:$A$5001,"&lt;="&amp;$G$8),SUMIFS(BD!$H$3:$H$5001,BD!$A$3:$A$5001,"&gt;="&amp;$F$8,BD!$A$3:$A$5001,"&lt;="&amp;$G$8,BD!$B$3:$B$5001,$D$2))</f>
        <v>0</v>
      </c>
      <c r="D370" s="60" t="str">
        <f>IF(AND(ISNUMBER(B370),ISNUMBER(C370)),IF(C370&lt;&gt;0,B370/C370-1,""),"")</f>
        <v/>
      </c>
    </row>
    <row r="371">
      <c r="A371" s="40" t="inlineStr">
        <is>
          <t xml:space="preserve">IN · Itens Recebidos CX Mista</t>
        </is>
      </c>
      <c r="B371" s="42">
        <f>IF($B$2="Todos",SUMIFS(BD!$I$3:$I$5001,BD!$A$3:$A$5001,"&gt;="&amp;$F$7,BD!$A$3:$A$5001,"&lt;="&amp;$G$7),SUMIFS(BD!$I$3:$I$5001,BD!$A$3:$A$5001,"&gt;="&amp;$F$7,BD!$A$3:$A$5001,"&lt;="&amp;$G$7,BD!$B$3:$B$5001,$D$2))</f>
        <v>0</v>
      </c>
      <c r="C371" s="42">
        <f>IF($B$2="Todos",SUMIFS(BD!$I$3:$I$5001,BD!$A$3:$A$5001,"&gt;="&amp;$F$8,BD!$A$3:$A$5001,"&lt;="&amp;$G$8),SUMIFS(BD!$I$3:$I$5001,BD!$A$3:$A$5001,"&gt;="&amp;$F$8,BD!$A$3:$A$5001,"&lt;="&amp;$G$8,BD!$B$3:$B$5001,$D$2))</f>
        <v>0</v>
      </c>
      <c r="D371" s="60" t="str">
        <f>IF(AND(ISNUMBER(B371),ISNUMBER(C371)),IF(C371&lt;&gt;0,B371/C371-1,""),"")</f>
        <v/>
      </c>
    </row>
    <row r="372">
      <c r="A372" s="40" t="inlineStr">
        <is>
          <t xml:space="preserve">IN · Caixas Fechadas</t>
        </is>
      </c>
      <c r="B372" s="42">
        <f>IF($B$2="Todos",SUMIFS(BD!$J$3:$J$5001,BD!$A$3:$A$5001,"&gt;="&amp;$F$7,BD!$A$3:$A$5001,"&lt;="&amp;$G$7),SUMIFS(BD!$J$3:$J$5001,BD!$A$3:$A$5001,"&gt;="&amp;$F$7,BD!$A$3:$A$5001,"&lt;="&amp;$G$7,BD!$B$3:$B$5001,$D$2))</f>
        <v>0</v>
      </c>
      <c r="C372" s="42">
        <f>IF($B$2="Todos",SUMIFS(BD!$J$3:$J$5001,BD!$A$3:$A$5001,"&gt;="&amp;$F$8,BD!$A$3:$A$5001,"&lt;="&amp;$G$8),SUMIFS(BD!$J$3:$J$5001,BD!$A$3:$A$5001,"&gt;="&amp;$F$8,BD!$A$3:$A$5001,"&lt;="&amp;$G$8,BD!$B$3:$B$5001,$D$2))</f>
        <v>0</v>
      </c>
      <c r="D372" s="60" t="str">
        <f>IF(AND(ISNUMBER(B372),ISNUMBER(C372)),IF(C372&lt;&gt;0,B372/C372-1,""),"")</f>
        <v/>
      </c>
    </row>
    <row r="373">
      <c r="A373" s="40" t="inlineStr">
        <is>
          <t xml:space="preserve">IN · Caixas Mistas Recebidas</t>
        </is>
      </c>
      <c r="B373" s="42">
        <f>IF($B$2="Todos",SUMIFS(BD!$K$3:$K$5001,BD!$A$3:$A$5001,"&gt;="&amp;$F$7,BD!$A$3:$A$5001,"&lt;="&amp;$G$7),SUMIFS(BD!$K$3:$K$5001,BD!$A$3:$A$5001,"&gt;="&amp;$F$7,BD!$A$3:$A$5001,"&lt;="&amp;$G$7,BD!$B$3:$B$5001,$D$2))</f>
        <v>0</v>
      </c>
      <c r="C373" s="42">
        <f>IF($B$2="Todos",SUMIFS(BD!$K$3:$K$5001,BD!$A$3:$A$5001,"&gt;="&amp;$F$8,BD!$A$3:$A$5001,"&lt;="&amp;$G$8),SUMIFS(BD!$K$3:$K$5001,BD!$A$3:$A$5001,"&gt;="&amp;$F$8,BD!$A$3:$A$5001,"&lt;="&amp;$G$8,BD!$B$3:$B$5001,$D$2))</f>
        <v>0</v>
      </c>
      <c r="D373" s="60" t="str">
        <f>IF(AND(ISNUMBER(B373),ISNUMBER(C373)),IF(C373&lt;&gt;0,B373/C373-1,""),"")</f>
        <v/>
      </c>
    </row>
    <row r="374">
      <c r="A374" s="40" t="inlineStr">
        <is>
          <t xml:space="preserve">OUT · Pedidos Expedidos</t>
        </is>
      </c>
      <c r="B374" s="42">
        <f>IF($B$2="Todos",SUMIFS(BD!$M$3:$M$5001,BD!$A$3:$A$5001,"&gt;="&amp;$F$7,BD!$A$3:$A$5001,"&lt;="&amp;$G$7),SUMIFS(BD!$M$3:$M$5001,BD!$A$3:$A$5001,"&gt;="&amp;$F$7,BD!$A$3:$A$5001,"&lt;="&amp;$G$7,BD!$B$3:$B$5001,$D$2))</f>
        <v>0</v>
      </c>
      <c r="C374" s="42">
        <f>IF($B$2="Todos",SUMIFS(BD!$M$3:$M$5001,BD!$A$3:$A$5001,"&gt;="&amp;$F$8,BD!$A$3:$A$5001,"&lt;="&amp;$G$8),SUMIFS(BD!$M$3:$M$5001,BD!$A$3:$A$5001,"&gt;="&amp;$F$8,BD!$A$3:$A$5001,"&lt;="&amp;$G$8,BD!$B$3:$B$5001,$D$2))</f>
        <v>0</v>
      </c>
      <c r="D374" s="60" t="str">
        <f>IF(AND(ISNUMBER(B374),ISNUMBER(C374)),IF(C374&lt;&gt;0,B374/C374-1,""),"")</f>
        <v/>
      </c>
    </row>
    <row r="375">
      <c r="A375" s="40" t="inlineStr">
        <is>
          <t xml:space="preserve">OUT · Pedidos Faturados</t>
        </is>
      </c>
      <c r="B375" s="42">
        <f>IF($B$2="Todos",SUMIFS(BD!$N$3:$N$5001,BD!$A$3:$A$5001,"&gt;="&amp;$F$7,BD!$A$3:$A$5001,"&lt;="&amp;$G$7),SUMIFS(BD!$N$3:$N$5001,BD!$A$3:$A$5001,"&gt;="&amp;$F$7,BD!$A$3:$A$5001,"&lt;="&amp;$G$7,BD!$B$3:$B$5001,$D$2))</f>
        <v>0</v>
      </c>
      <c r="C375" s="42">
        <f>IF($B$2="Todos",SUMIFS(BD!$N$3:$N$5001,BD!$A$3:$A$5001,"&gt;="&amp;$F$8,BD!$A$3:$A$5001,"&lt;="&amp;$G$8),SUMIFS(BD!$N$3:$N$5001,BD!$A$3:$A$5001,"&gt;="&amp;$F$8,BD!$A$3:$A$5001,"&lt;="&amp;$G$8,BD!$B$3:$B$5001,$D$2))</f>
        <v>0</v>
      </c>
      <c r="D375" s="60" t="str">
        <f>IF(AND(ISNUMBER(B375),ISNUMBER(C375)),IF(C375&lt;&gt;0,B375/C375-1,""),"")</f>
        <v/>
      </c>
    </row>
    <row r="376">
      <c r="A376" s="40" t="inlineStr">
        <is>
          <t xml:space="preserve">OUT · Itens Expedidos</t>
        </is>
      </c>
      <c r="B376" s="42">
        <f>IF($B$2="Todos",SUMIFS(BD!$O$3:$O$5001,BD!$A$3:$A$5001,"&gt;="&amp;$F$7,BD!$A$3:$A$5001,"&lt;="&amp;$G$7),SUMIFS(BD!$O$3:$O$5001,BD!$A$3:$A$5001,"&gt;="&amp;$F$7,BD!$A$3:$A$5001,"&lt;="&amp;$G$7,BD!$B$3:$B$5001,$D$2))</f>
        <v>0</v>
      </c>
      <c r="C376" s="42">
        <f>IF($B$2="Todos",SUMIFS(BD!$O$3:$O$5001,BD!$A$3:$A$5001,"&gt;="&amp;$F$8,BD!$A$3:$A$5001,"&lt;="&amp;$G$8),SUMIFS(BD!$O$3:$O$5001,BD!$A$3:$A$5001,"&gt;="&amp;$F$8,BD!$A$3:$A$5001,"&lt;="&amp;$G$8,BD!$B$3:$B$5001,$D$2))</f>
        <v>0</v>
      </c>
      <c r="D376" s="60" t="str">
        <f>IF(AND(ISNUMBER(B376),ISNUMBER(C376)),IF(C376&lt;&gt;0,B376/C376-1,""),"")</f>
        <v/>
      </c>
    </row>
    <row r="377">
      <c r="A377" s="40" t="inlineStr">
        <is>
          <t xml:space="preserve">OUT · Linhas NF</t>
        </is>
      </c>
      <c r="B377" s="42">
        <f>IF($B$2="Todos",SUMIFS(BD!$P$3:$P$5001,BD!$A$3:$A$5001,"&gt;="&amp;$F$7,BD!$A$3:$A$5001,"&lt;="&amp;$G$7),SUMIFS(BD!$P$3:$P$5001,BD!$A$3:$A$5001,"&gt;="&amp;$F$7,BD!$A$3:$A$5001,"&lt;="&amp;$G$7,BD!$B$3:$B$5001,$D$2))</f>
        <v>0</v>
      </c>
      <c r="C377" s="42">
        <f>IF($B$2="Todos",SUMIFS(BD!$P$3:$P$5001,BD!$A$3:$A$5001,"&gt;="&amp;$F$8,BD!$A$3:$A$5001,"&lt;="&amp;$G$8),SUMIFS(BD!$P$3:$P$5001,BD!$A$3:$A$5001,"&gt;="&amp;$F$8,BD!$A$3:$A$5001,"&lt;="&amp;$G$8,BD!$B$3:$B$5001,$D$2))</f>
        <v>0</v>
      </c>
      <c r="D377" s="60" t="str">
        <f>IF(AND(ISNUMBER(B377),ISNUMBER(C377)),IF(C377&lt;&gt;0,B377/C377-1,""),"")</f>
        <v/>
      </c>
    </row>
    <row r="378">
      <c r="A378" s="40" t="inlineStr">
        <is>
          <t xml:space="preserve">OUT · Caixas Expedidas</t>
        </is>
      </c>
      <c r="B378" s="42">
        <f>IF($B$2="Todos",SUMIFS(BD!$Q$3:$Q$5001,BD!$A$3:$A$5001,"&gt;="&amp;$F$7,BD!$A$3:$A$5001,"&lt;="&amp;$G$7),SUMIFS(BD!$Q$3:$Q$5001,BD!$A$3:$A$5001,"&gt;="&amp;$F$7,BD!$A$3:$A$5001,"&lt;="&amp;$G$7,BD!$B$3:$B$5001,$D$2))</f>
        <v>0</v>
      </c>
      <c r="C378" s="42">
        <f>IF($B$2="Todos",SUMIFS(BD!$Q$3:$Q$5001,BD!$A$3:$A$5001,"&gt;="&amp;$F$8,BD!$A$3:$A$5001,"&lt;="&amp;$G$8),SUMIFS(BD!$Q$3:$Q$5001,BD!$A$3:$A$5001,"&gt;="&amp;$F$8,BD!$A$3:$A$5001,"&lt;="&amp;$G$8,BD!$B$3:$B$5001,$D$2))</f>
        <v>0</v>
      </c>
      <c r="D378" s="60" t="str">
        <f>IF(AND(ISNUMBER(B378),ISNUMBER(C378)),IF(C378&lt;&gt;0,B378/C378-1,""),"")</f>
        <v/>
      </c>
    </row>
    <row r="381">
      <c r="A381" s="55" t="inlineStr">
        <is>
          <t xml:space="preserve">Textos das linhas de apoio dos cards (Dashboard)</t>
        </is>
      </c>
    </row>
    <row r="382">
      <c r="A382" s="48" t="inlineStr">
        <is>
          <t xml:space="preserve">inA</t>
        </is>
      </c>
      <c r="B382" s="76" t="str">
        <f>IF(N(VALUE($B$384))=0,"",IF(ISNUMBER(IF(N(VALUE($E$384))=0,INDEX($B$342:$B$378,VALUE($B$384)),IF(AND(ISNUMBER(INDEX($B$342:$B$378,VALUE($B$384))),N(INDEX($B$342:$B$378,N(VALUE($E$384))))&gt;0),INDEX($B$342:$B$378,VALUE($B$384))/INDEX($B$342:$B$378,N(VALUE($E$384))),""))),FIXED(IF(N(VALUE($E$384))=0,INDEX($B$342:$B$378,VALUE($B$384)),IF(AND(ISNUMBER(INDEX($B$342:$B$378,VALUE($B$384))),N(INDEX($B$342:$B$378,N(VALUE($E$384))))&gt;0),INDEX($B$342:$B$378,VALUE($B$384))/INDEX($B$342:$B$378,N(VALUE($E$384))),"")),VALUE($D$384)),"—")&amp;" "&amp;$C$384)&amp;IF(AND(N(VALUE($B$384))&gt;0,N(VALUE($F$384))&gt;0),"  ·  ","")&amp;IF(N(VALUE($F$384))=0,"",IF(ISNUMBER(IF(N(VALUE($I$384))=0,INDEX($B$342:$B$378,VALUE($F$384)),IF(AND(ISNUMBER(INDEX($B$342:$B$378,VALUE($F$384))),N(INDEX($B$342:$B$378,N(VALUE($I$384))))&gt;0),INDEX($B$342:$B$378,VALUE($F$384))/INDEX($B$342:$B$378,N(VALUE($I$384))),""))),FIXED(IF(N(VALUE($I$384))=0,INDEX($B$342:$B$378,VALUE($F$384)),IF(AND(ISNUMBER(INDEX($B$342:$B$378,VALUE($F$384))),N(INDEX($B$342:$B$378,N(VALUE($I$384))))&gt;0),INDEX($B$342:$B$378,VALUE($F$384))/INDEX($B$342:$B$378,N(VALUE($I$384))),"")),VALUE($H$384)),"—")&amp;" "&amp;$G$384)</f>
        <v>0 pallets movimentados</v>
      </c>
      <c r="C382" s="48" t="inlineStr">
        <is>
          <t xml:space="preserve">inB</t>
        </is>
      </c>
      <c r="D382" s="76" t="str">
        <f>IF(N(VALUE($J$384))=0,"",IF(ISNUMBER(IF(N(VALUE($M$384))=0,INDEX($B$342:$B$378,VALUE($J$384)),IF(AND(ISNUMBER(INDEX($B$342:$B$378,VALUE($J$384))),N(INDEX($B$342:$B$378,N(VALUE($M$384))))&gt;0),INDEX($B$342:$B$378,VALUE($J$384))/INDEX($B$342:$B$378,N(VALUE($M$384))),""))),FIXED(IF(N(VALUE($M$384))=0,INDEX($B$342:$B$378,VALUE($J$384)),IF(AND(ISNUMBER(INDEX($B$342:$B$378,VALUE($J$384))),N(INDEX($B$342:$B$378,N(VALUE($M$384))))&gt;0),INDEX($B$342:$B$378,VALUE($J$384))/INDEX($B$342:$B$378,N(VALUE($M$384))),"")),VALUE($L$384)),"—")&amp;" "&amp;$K$384)&amp;IF(AND(N(VALUE($J$384))&gt;0,N(VALUE($N$384))&gt;0),"  ·  ","")&amp;IF(N(VALUE($N$384))=0,"",IF(ISNUMBER(IF(N(VALUE($Q$384))=0,INDEX($B$342:$B$378,VALUE($N$384)),IF(AND(ISNUMBER(INDEX($B$342:$B$378,VALUE($N$384))),N(INDEX($B$342:$B$378,N(VALUE($Q$384))))&gt;0),INDEX($B$342:$B$378,VALUE($N$384))/INDEX($B$342:$B$378,N(VALUE($Q$384))),""))),FIXED(IF(N(VALUE($Q$384))=0,INDEX($B$342:$B$378,VALUE($N$384)),IF(AND(ISNUMBER(INDEX($B$342:$B$378,VALUE($N$384))),N(INDEX($B$342:$B$378,N(VALUE($Q$384))))&gt;0),INDEX($B$342:$B$378,VALUE($N$384))/INDEX($B$342:$B$378,N(VALUE($Q$384))),"")),VALUE($P$384)),"—")&amp;" "&amp;$O$384)</f>
        <v>0,0 t movimentadas</v>
      </c>
      <c r="E382" s="48" t="inlineStr">
        <is>
          <t xml:space="preserve">outA</t>
        </is>
      </c>
      <c r="F382" s="76" t="str">
        <f>IF(N(VALUE($R$384))=0,"",IF(ISNUMBER(IF(N(VALUE($U$384))=0,INDEX($B$342:$B$378,VALUE($R$384)),IF(AND(ISNUMBER(INDEX($B$342:$B$378,VALUE($R$384))),N(INDEX($B$342:$B$378,N(VALUE($U$384))))&gt;0),INDEX($B$342:$B$378,VALUE($R$384))/INDEX($B$342:$B$378,N(VALUE($U$384))),""))),FIXED(IF(N(VALUE($U$384))=0,INDEX($B$342:$B$378,VALUE($R$384)),IF(AND(ISNUMBER(INDEX($B$342:$B$378,VALUE($R$384))),N(INDEX($B$342:$B$378,N(VALUE($U$384))))&gt;0),INDEX($B$342:$B$378,VALUE($R$384))/INDEX($B$342:$B$378,N(VALUE($U$384))),"")),VALUE($T$384)),"—")&amp;" "&amp;$S$384)&amp;IF(AND(N(VALUE($R$384))&gt;0,N(VALUE($V$384))&gt;0),"  ·  ","")&amp;IF(N(VALUE($V$384))=0,"",IF(ISNUMBER(IF(N(VALUE($Y$384))=0,INDEX($B$342:$B$378,VALUE($V$384)),IF(AND(ISNUMBER(INDEX($B$342:$B$378,VALUE($V$384))),N(INDEX($B$342:$B$378,N(VALUE($Y$384))))&gt;0),INDEX($B$342:$B$378,VALUE($V$384))/INDEX($B$342:$B$378,N(VALUE($Y$384))),""))),FIXED(IF(N(VALUE($Y$384))=0,INDEX($B$342:$B$378,VALUE($V$384)),IF(AND(ISNUMBER(INDEX($B$342:$B$378,VALUE($V$384))),N(INDEX($B$342:$B$378,N(VALUE($Y$384))))&gt;0),INDEX($B$342:$B$378,VALUE($V$384))/INDEX($B$342:$B$378,N(VALUE($Y$384))),"")),VALUE($X$384)),"—")&amp;" "&amp;$W$384)</f>
        <v>0 pallets movimentados</v>
      </c>
      <c r="G382" s="48" t="inlineStr">
        <is>
          <t xml:space="preserve">outB</t>
        </is>
      </c>
      <c r="H382" s="76" t="str">
        <f>IF(N(VALUE($Z$384))=0,"",IF(ISNUMBER(IF(N(VALUE($AC$384))=0,INDEX($B$342:$B$378,VALUE($Z$384)),IF(AND(ISNUMBER(INDEX($B$342:$B$378,VALUE($Z$384))),N(INDEX($B$342:$B$378,N(VALUE($AC$384))))&gt;0),INDEX($B$342:$B$378,VALUE($Z$384))/INDEX($B$342:$B$378,N(VALUE($AC$384))),""))),FIXED(IF(N(VALUE($AC$384))=0,INDEX($B$342:$B$378,VALUE($Z$384)),IF(AND(ISNUMBER(INDEX($B$342:$B$378,VALUE($Z$384))),N(INDEX($B$342:$B$378,N(VALUE($AC$384))))&gt;0),INDEX($B$342:$B$378,VALUE($Z$384))/INDEX($B$342:$B$378,N(VALUE($AC$384))),"")),VALUE($AB$384)),"—")&amp;" "&amp;$AA$384)&amp;IF(AND(N(VALUE($Z$384))&gt;0,N(VALUE($AD$384))&gt;0),"  ·  ","")&amp;IF(N(VALUE($AD$384))=0,"",IF(ISNUMBER(IF(N(VALUE($AG$384))=0,INDEX($B$342:$B$378,VALUE($AD$384)),IF(AND(ISNUMBER(INDEX($B$342:$B$378,VALUE($AD$384))),N(INDEX($B$342:$B$378,N(VALUE($AG$384))))&gt;0),INDEX($B$342:$B$378,VALUE($AD$384))/INDEX($B$342:$B$378,N(VALUE($AG$384))),""))),FIXED(IF(N(VALUE($AG$384))=0,INDEX($B$342:$B$378,VALUE($AD$384)),IF(AND(ISNUMBER(INDEX($B$342:$B$378,VALUE($AD$384))),N(INDEX($B$342:$B$378,N(VALUE($AG$384))))&gt;0),INDEX($B$342:$B$378,VALUE($AD$384))/INDEX($B$342:$B$378,N(VALUE($AG$384))),"")),VALUE($AF$384)),"—")&amp;" "&amp;$AE$384)</f>
        <v>0,0 t movimentadas</v>
      </c>
    </row>
    <row r="383">
      <c r="A383" s="52" t="inlineStr">
        <is>
          <t xml:space="preserve">PERFIL DO CLIENTE FILTRADO — lido da aba Config (linha da Config · por item: linha no período, rótulo, casas, linha do divisor · gráficos: colunas da série)</t>
        </is>
      </c>
    </row>
    <row r="384">
      <c r="A384" s="106">
        <f>IFERROR(MATCH($B$2,Config!$B$9:$B$29,0),1)</f>
        <v>1</v>
      </c>
      <c r="B384" s="107">
        <f>IFERROR(VLOOKUP(INDEX(Config!$G$9:$G$29,$A$384),Config!$AL$9:$AR$38,4,0),0)</f>
        <v>2</v>
      </c>
      <c r="C384" s="107" t="str">
        <f>IFERROR(VLOOKUP(INDEX(Config!$G$9:$G$29,$A$384),Config!$AL$9:$AR$38,2,0)&amp;"","")</f>
        <v>pallets movimentados</v>
      </c>
      <c r="D384" s="107">
        <f>IFERROR(VLOOKUP(INDEX(Config!$G$9:$G$29,$A$384),Config!$AL$9:$AR$38,3,0),0)</f>
        <v>0</v>
      </c>
      <c r="E384" s="107">
        <f>IFERROR(VLOOKUP(INDEX(Config!$G$9:$G$29,$A$384),Config!$AL$9:$AR$38,6,0),0)</f>
        <v>0</v>
      </c>
      <c r="F384" s="107">
        <v>0</v>
      </c>
      <c r="G384" s="107"/>
      <c r="H384" s="107">
        <v>0</v>
      </c>
      <c r="I384" s="107">
        <v>0</v>
      </c>
      <c r="J384" s="107">
        <f>IFERROR(VLOOKUP(INDEX(Config!$H$9:$H$29,$A$384),Config!$AL$9:$AR$38,4,0),0)</f>
        <v>3</v>
      </c>
      <c r="K384" s="107" t="str">
        <f>IFERROR(VLOOKUP(INDEX(Config!$H$9:$H$29,$A$384),Config!$AL$9:$AR$38,2,0)&amp;"","")</f>
        <v>t movimentadas</v>
      </c>
      <c r="L384" s="107">
        <f>IFERROR(VLOOKUP(INDEX(Config!$H$9:$H$29,$A$384),Config!$AL$9:$AR$38,3,0),0)</f>
        <v>1</v>
      </c>
      <c r="M384" s="107">
        <f>IFERROR(VLOOKUP(INDEX(Config!$H$9:$H$29,$A$384),Config!$AL$9:$AR$38,6,0),0)</f>
        <v>0</v>
      </c>
      <c r="N384" s="107">
        <f>IFERROR(VLOOKUP(INDEX(Config!$I$9:$I$29,$A$384),Config!$AL$9:$AR$38,4,0),0)</f>
        <v>0</v>
      </c>
      <c r="O384" s="107" t="str">
        <f>IFERROR(VLOOKUP(INDEX(Config!$I$9:$I$29,$A$384),Config!$AL$9:$AR$38,2,0)&amp;"","")</f>
        <v/>
      </c>
      <c r="P384" s="107">
        <f>IFERROR(VLOOKUP(INDEX(Config!$I$9:$I$29,$A$384),Config!$AL$9:$AR$38,3,0),0)</f>
        <v>0</v>
      </c>
      <c r="Q384" s="107">
        <f>IFERROR(VLOOKUP(INDEX(Config!$I$9:$I$29,$A$384),Config!$AL$9:$AR$38,6,0),0)</f>
        <v>0</v>
      </c>
      <c r="R384" s="107">
        <f>IFERROR(VLOOKUP(INDEX(Config!$K$9:$K$29,$A$384),Config!$AL$9:$AR$38,4,0),0)</f>
        <v>5</v>
      </c>
      <c r="S384" s="107" t="str">
        <f>IFERROR(VLOOKUP(INDEX(Config!$K$9:$K$29,$A$384),Config!$AL$9:$AR$38,2,0)&amp;"","")</f>
        <v>pallets movimentados</v>
      </c>
      <c r="T384" s="107">
        <f>IFERROR(VLOOKUP(INDEX(Config!$K$9:$K$29,$A$384),Config!$AL$9:$AR$38,3,0),0)</f>
        <v>0</v>
      </c>
      <c r="U384" s="107">
        <f>IFERROR(VLOOKUP(INDEX(Config!$K$9:$K$29,$A$384),Config!$AL$9:$AR$38,6,0),0)</f>
        <v>0</v>
      </c>
      <c r="V384" s="107">
        <v>0</v>
      </c>
      <c r="W384" s="107"/>
      <c r="X384" s="107">
        <v>0</v>
      </c>
      <c r="Y384" s="107">
        <v>0</v>
      </c>
      <c r="Z384" s="107">
        <f>IFERROR(VLOOKUP(INDEX(Config!$L$9:$L$29,$A$384),Config!$AL$9:$AR$38,4,0),0)</f>
        <v>6</v>
      </c>
      <c r="AA384" s="107" t="str">
        <f>IFERROR(VLOOKUP(INDEX(Config!$L$9:$L$29,$A$384),Config!$AL$9:$AR$38,2,0)&amp;"","")</f>
        <v>t movimentadas</v>
      </c>
      <c r="AB384" s="107">
        <f>IFERROR(VLOOKUP(INDEX(Config!$L$9:$L$29,$A$384),Config!$AL$9:$AR$38,3,0),0)</f>
        <v>1</v>
      </c>
      <c r="AC384" s="107">
        <f>IFERROR(VLOOKUP(INDEX(Config!$L$9:$L$29,$A$384),Config!$AL$9:$AR$38,6,0),0)</f>
        <v>0</v>
      </c>
      <c r="AD384" s="107">
        <f>IFERROR(VLOOKUP(INDEX(Config!$M$9:$M$29,$A$384),Config!$AL$9:$AR$38,4,0),0)</f>
        <v>0</v>
      </c>
      <c r="AE384" s="107" t="str">
        <f>IFERROR(VLOOKUP(INDEX(Config!$M$9:$M$29,$A$384),Config!$AL$9:$AR$38,2,0)&amp;"","")</f>
        <v/>
      </c>
      <c r="AF384" s="107">
        <f>IFERROR(VLOOKUP(INDEX(Config!$M$9:$M$29,$A$384),Config!$AL$9:$AR$38,3,0),0)</f>
        <v>0</v>
      </c>
      <c r="AG384" s="107">
        <f>IFERROR(VLOOKUP(INDEX(Config!$M$9:$M$29,$A$384),Config!$AL$9:$AR$38,6,0),0)</f>
        <v>0</v>
      </c>
      <c r="AH384" s="107">
        <f>IFERROR(VLOOKUP(INDEX(Config!$O$9:$O$29,$A$384),Config!$AL$9:$AR$38,5,0),0)</f>
        <v>2</v>
      </c>
      <c r="AI384" s="107">
        <f>IFERROR(VLOOKUP(INDEX(Config!$P$9:$P$29,$A$384),Config!$AL$9:$AR$38,5,0),0)</f>
        <v>16</v>
      </c>
      <c r="AJ384" s="107">
        <f>IFERROR(VLOOKUP(INDEX(Config!$O$9:$O$29,$A$384),Config!$AL$9:$AR$38,7,0),0)</f>
        <v>0</v>
      </c>
      <c r="AK384" s="107">
        <f>IFERROR(VLOOKUP(INDEX(Config!$P$9:$P$29,$A$384),Config!$AL$9:$AR$38,7,0),0)</f>
        <v>0</v>
      </c>
      <c r="AL384" s="107" t="str">
        <f>INDEX(Config!$Q$9:$Q$29,$A$384)&amp;""</f>
        <v>MOVIMENTAÇÃO PALETES/DIA</v>
      </c>
      <c r="AM384" s="107" t="str">
        <f>INDEX(Config!$R$9:$R$29,$A$384)&amp;""</f>
        <v>ACUMULADO SEMANAL PALETES</v>
      </c>
      <c r="AN384" s="107" t="str">
        <f>IF(INDEX(Config!$O$9:$O$29,$A$384)&amp;""="","IN",INDEX(Config!$O$9:$O$29,$A$384)&amp;"")</f>
        <v>Pallets Movimentados IN</v>
      </c>
      <c r="AO384" s="107" t="str">
        <f>IF(INDEX(Config!$P$9:$P$29,$A$384)&amp;""="","OUT",INDEX(Config!$P$9:$P$29,$A$384)&amp;"")</f>
        <v>Pallets Movimentados OUT</v>
      </c>
      <c r="AP384" s="107">
        <f>IFERROR(VLOOKUP(INDEX(Config!$S$9:$S$29,$A$384),Config!$AL$9:$AR$38,5,0),0)</f>
        <v>3</v>
      </c>
      <c r="AQ384" s="107">
        <f>IFERROR(VLOOKUP(INDEX(Config!$T$9:$T$29,$A$384),Config!$AL$9:$AR$38,5,0),0)</f>
        <v>17</v>
      </c>
      <c r="AR384" s="107">
        <f>IFERROR(VLOOKUP(INDEX(Config!$S$9:$S$29,$A$384),Config!$AL$9:$AR$38,7,0),0)</f>
        <v>0</v>
      </c>
      <c r="AS384" s="107">
        <f>IFERROR(VLOOKUP(INDEX(Config!$T$9:$T$29,$A$384),Config!$AL$9:$AR$38,7,0),0)</f>
        <v>0</v>
      </c>
      <c r="AT384" s="107" t="str">
        <f>INDEX(Config!$U$9:$U$29,$A$384)&amp;""</f>
        <v>MOVIMENTAÇÃO TONS/DIA</v>
      </c>
      <c r="AU384" s="107" t="str">
        <f>INDEX(Config!$V$9:$V$29,$A$384)&amp;""</f>
        <v>ACUMULADO SEMANAL TONS</v>
      </c>
      <c r="AV384" s="107" t="str">
        <f>IF(INDEX(Config!$S$9:$S$29,$A$384)&amp;""="","IN",INDEX(Config!$S$9:$S$29,$A$384)&amp;"")</f>
        <v>Toneladas Movimentadas IN</v>
      </c>
      <c r="AW384" s="107" t="str">
        <f>IF(INDEX(Config!$T$9:$T$29,$A$384)&amp;""="","OUT",INDEX(Config!$T$9:$T$29,$A$384)&amp;"")</f>
        <v>Toneladas Movimentadas OUT</v>
      </c>
      <c r="AX384" s="107" t="str">
        <f>INDEX(Config!$F$9:$F$29,$A$384)&amp;""</f>
        <v>Sim</v>
      </c>
      <c r="AY384" s="107" t="str">
        <f>INDEX(Config!$J$9:$J$29,$A$384)&amp;""</f>
        <v>Sim</v>
      </c>
      <c r="AZ384" s="107" t="str">
        <f>IF(INDEX(Config!$N$9:$N$29,$A$384)&amp;""="Não se aplica","Não se aplica",IF(OR(INDEX(Config!$D$9:$D$29,$A$384)&amp;""="Spot",INDEX(Config!$D$9:$D$29,$A$384)&amp;""="Cross"),"Só ocupadas",INDEX(Config!$N$9:$N$29,$A$384)&amp;""))</f>
        <v>Completo</v>
      </c>
      <c r="BA384" s="107" t="str">
        <f>IF(OR($B$2="Todos",$C$2=2),Config!$D$71,Config!$D$70)&amp;""</f>
        <v>ARMAZÉM</v>
      </c>
      <c r="BB384" s="107" t="str">
        <f>IF(OR($B$2="Todos",$C$2=2),Config!$D$90,Config!$D$89)&amp;""</f>
        <v>Capacidade do armazém (p.p)</v>
      </c>
      <c r="BC384" s="107" t="str">
        <f>INDEX(Config!$D$9:$D$29,$A$384)&amp;""</f>
        <v/>
      </c>
    </row>
  </sheetData>
  <sheetProtection password="CC78" sheet="1" objects="1" scenarios="1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BF5001"/>
  <sheetViews>
    <sheetView showGridLines="0" zoomScale="100" zoomScaleNormal="100" workbookViewId="0">
      <pane xSplit="2" ySplit="2" topLeftCell="C3" activePane="bottomRight" state="frozen"/>
      <selection pane="bottomRight" activeCell="C3" sqref="C3"/>
    </sheetView>
  </sheetViews>
  <sheetFormatPr defaultRowHeight="15"/>
  <cols>
    <col min="1" max="1" width="11" customWidth="1"/>
    <col min="2" max="2" width="18" customWidth="1"/>
    <col min="3" max="3" width="11.55" customWidth="1"/>
    <col min="4" max="4" width="12.65" customWidth="1"/>
    <col min="5" max="5" width="13" customWidth="1"/>
    <col min="6" max="6" width="10" customWidth="1"/>
    <col min="7" max="7" width="12.100000000000001" customWidth="1"/>
    <col min="8" max="8" width="10" customWidth="1"/>
    <col min="9" max="9" width="13" customWidth="1"/>
    <col min="10" max="10" width="10" customWidth="1"/>
    <col min="11" max="11" width="13" customWidth="1"/>
    <col min="12" max="12" width="12.100000000000001" customWidth="1"/>
    <col min="13" max="13" width="11.55" customWidth="1"/>
    <col min="14" max="14" width="11.55" customWidth="1"/>
    <col min="15" max="15" width="10.450000000000001" customWidth="1"/>
    <col min="16" max="16" width="10" customWidth="1"/>
    <col min="17" max="17" width="11" customWidth="1"/>
    <col min="18" max="18" width="13" customWidth="1"/>
    <col min="19" max="19" width="13" customWidth="1"/>
    <col min="20" max="20" width="10" customWidth="1"/>
    <col min="21" max="21" width="10" customWidth="1"/>
    <col min="22" max="22" width="10.450000000000001" customWidth="1"/>
    <col min="23" max="23" width="10" customWidth="1"/>
    <col min="24" max="24" width="11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2.65" customWidth="1"/>
    <col min="33" max="33" width="10" customWidth="1"/>
    <col min="34" max="34" width="10" customWidth="1"/>
    <col min="35" max="35" width="11" customWidth="1"/>
    <col min="36" max="36" width="3" customWidth="1"/>
    <col min="37" max="37" width="70" customWidth="1"/>
    <col min="38" max="38" width="11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12" customWidth="1"/>
    <col min="52" max="52" width="12" customWidth="1"/>
    <col min="53" max="53" width="12" customWidth="1"/>
    <col min="54" max="54" width="12" customWidth="1"/>
    <col min="55" max="55" width="12" customWidth="1"/>
    <col min="56" max="56" width="12" customWidth="1"/>
    <col min="57" max="57" width="12" customWidth="1"/>
    <col min="58" max="58" width="12" customWidth="1"/>
  </cols>
  <sheetData>
    <row r="1" ht="20" customHeight="1">
      <c r="A1" s="1" t="inlineStr">
        <is>
          <t xml:space="preserve">REGISTRO</t>
        </is>
      </c>
      <c r="B1" s="2"/>
      <c r="C1" s="3" t="inlineStr">
        <is>
          <t xml:space="preserve">IN · RECEBIMENTO</t>
        </is>
      </c>
      <c r="D1" s="4"/>
      <c r="E1" s="4"/>
      <c r="F1" s="4"/>
      <c r="G1" s="4"/>
      <c r="H1" s="4"/>
      <c r="I1" s="4"/>
      <c r="J1" s="4"/>
      <c r="K1" s="5"/>
      <c r="L1" s="6" t="inlineStr">
        <is>
          <t xml:space="preserve">OUT · EXPEDIÇÃO</t>
        </is>
      </c>
      <c r="M1" s="7"/>
      <c r="N1" s="7"/>
      <c r="O1" s="7"/>
      <c r="P1" s="7"/>
      <c r="Q1" s="7"/>
      <c r="R1" s="7"/>
      <c r="S1" s="8"/>
      <c r="T1" s="9" t="inlineStr">
        <is>
          <t xml:space="preserve">NC · NÃO CONFORMIDADES</t>
        </is>
      </c>
      <c r="U1" s="10"/>
      <c r="V1" s="10"/>
      <c r="W1" s="11"/>
      <c r="X1" s="3" t="inlineStr">
        <is>
          <t xml:space="preserve">OCUPAÇÃO (P.P)</t>
        </is>
      </c>
      <c r="Y1" s="5"/>
      <c r="Z1" s="12" t="inlineStr">
        <is>
          <t xml:space="preserve">GENTE</t>
        </is>
      </c>
      <c r="AA1" s="13"/>
      <c r="AB1" s="13"/>
      <c r="AC1" s="13"/>
      <c r="AD1" s="13"/>
      <c r="AE1" s="13"/>
      <c r="AF1" s="13"/>
      <c r="AG1" s="13"/>
      <c r="AH1" s="14"/>
      <c r="AI1" s="15" t="inlineStr">
        <is>
          <t xml:space="preserve">CONTRATO (CONFIG)</t>
        </is>
      </c>
    </row>
    <row r="2" ht="42" customHeight="1">
      <c r="A2" s="16" t="inlineStr">
        <is>
          <t xml:space="preserve">Data</t>
        </is>
      </c>
      <c r="B2" s="16" t="inlineStr">
        <is>
          <t xml:space="preserve">Cliente</t>
        </is>
      </c>
      <c r="C2" s="16" t="inlineStr">
        <is>
          <t xml:space="preserve">IN Veículos Recebidos</t>
        </is>
      </c>
      <c r="D2" s="16" t="inlineStr">
        <is>
          <t xml:space="preserve">IN Pallets Movimentados</t>
        </is>
      </c>
      <c r="E2" s="16" t="inlineStr">
        <is>
          <t xml:space="preserve">IN Toneladas Movimentadas</t>
        </is>
      </c>
      <c r="F2" s="16" t="inlineStr">
        <is>
          <t xml:space="preserve">IN Linhas NF</t>
        </is>
      </c>
      <c r="G2" s="16" t="inlineStr">
        <is>
          <t xml:space="preserve">IN Caixas Movimentadas</t>
        </is>
      </c>
      <c r="H2" s="16" t="inlineStr">
        <is>
          <t xml:space="preserve">IN Itens Recebidos</t>
        </is>
      </c>
      <c r="I2" s="16" t="inlineStr">
        <is>
          <t xml:space="preserve">IN Itens Recebidos CX Mista</t>
        </is>
      </c>
      <c r="J2" s="16" t="inlineStr">
        <is>
          <t xml:space="preserve">IN Caixas Fechadas</t>
        </is>
      </c>
      <c r="K2" s="16" t="inlineStr">
        <is>
          <t xml:space="preserve">IN Caixas Mistas Recebidas</t>
        </is>
      </c>
      <c r="L2" s="16" t="inlineStr">
        <is>
          <t xml:space="preserve">OUT Veículos Expedidos</t>
        </is>
      </c>
      <c r="M2" s="16" t="inlineStr">
        <is>
          <t xml:space="preserve">OUT Pedidos Expedidos</t>
        </is>
      </c>
      <c r="N2" s="16" t="inlineStr">
        <is>
          <t xml:space="preserve">OUT Pedidos Faturados</t>
        </is>
      </c>
      <c r="O2" s="16" t="inlineStr">
        <is>
          <t xml:space="preserve">OUT Itens Expedidos</t>
        </is>
      </c>
      <c r="P2" s="16" t="inlineStr">
        <is>
          <t xml:space="preserve">OUT Linhas NF</t>
        </is>
      </c>
      <c r="Q2" s="16" t="inlineStr">
        <is>
          <t xml:space="preserve">OUT Caixas Expedidas</t>
        </is>
      </c>
      <c r="R2" s="16" t="inlineStr">
        <is>
          <t xml:space="preserve">OUT Pallets Movimentados</t>
        </is>
      </c>
      <c r="S2" s="16" t="inlineStr">
        <is>
          <t xml:space="preserve">OUT Toneladas Movimentadas</t>
        </is>
      </c>
      <c r="T2" s="16" t="inlineStr">
        <is>
          <t xml:space="preserve">NC Incidentes</t>
        </is>
      </c>
      <c r="U2" s="16" t="inlineStr">
        <is>
          <t xml:space="preserve">NC No show</t>
        </is>
      </c>
      <c r="V2" s="16" t="inlineStr">
        <is>
          <t xml:space="preserve">NC Backlog Intralog</t>
        </is>
      </c>
      <c r="W2" s="16" t="inlineStr">
        <is>
          <t xml:space="preserve">NC Backlog Cliente</t>
        </is>
      </c>
      <c r="X2" s="16" t="inlineStr">
        <is>
          <t xml:space="preserve">Posições Disponíveis</t>
        </is>
      </c>
      <c r="Y2" s="16" t="inlineStr">
        <is>
          <t xml:space="preserve">Posições Ocupadas</t>
        </is>
      </c>
      <c r="Z2" s="16" t="inlineStr">
        <is>
          <t xml:space="preserve">Efetivo Op.</t>
        </is>
      </c>
      <c r="AA2" s="16" t="inlineStr">
        <is>
          <t xml:space="preserve">Falta</t>
        </is>
      </c>
      <c r="AB2" s="16" t="inlineStr">
        <is>
          <t xml:space="preserve">Absenteísmo (H/H)</t>
        </is>
      </c>
      <c r="AC2" s="16" t="inlineStr">
        <is>
          <t xml:space="preserve">Folga</t>
        </is>
      </c>
      <c r="AD2" s="16" t="inlineStr">
        <is>
          <t xml:space="preserve">Férias</t>
        </is>
      </c>
      <c r="AE2" s="16" t="inlineStr">
        <is>
          <t xml:space="preserve">Desligamento</t>
        </is>
      </c>
      <c r="AF2" s="16" t="inlineStr">
        <is>
          <t xml:space="preserve">Desvios Comportamentais</t>
        </is>
      </c>
      <c r="AG2" s="16" t="inlineStr">
        <is>
          <t xml:space="preserve">Acidentes CAF</t>
        </is>
      </c>
      <c r="AH2" s="16" t="inlineStr">
        <is>
          <t xml:space="preserve">Acidentes SAF</t>
        </is>
      </c>
      <c r="AI2" s="16" t="inlineStr">
        <is>
          <t xml:space="preserve">Modalidade</t>
        </is>
      </c>
      <c r="AK2" s="17" t="inlineStr">
        <is>
          <t xml:space="preserve">COMO PREENCHER A BD</t>
        </is>
      </c>
    </row>
    <row r="3">
      <c r="X3" s="20" t="str">
        <f>IF($B3="","",IFERROR(IF(INDEX(Config!$D$9:$D$29,MATCH($B3,Config!$B$9:$B$29,0))="Contrato",IF(INDEX(Config!$E$9:$E$29,MATCH($B3,Config!$B$9:$B$29,0))="","",INDEX(Config!$E$9:$E$29,MATCH($B3,Config!$B$9:$B$29,0))),""),""))</f>
        <v/>
      </c>
      <c r="AI3" s="19" t="str">
        <f>IF($B3="","",IFERROR(INDEX(Config!$D$9:$D$29,MATCH($B3,Config!$B$9:$B$29,0))&amp;"",""))</f>
        <v/>
      </c>
      <c r="AK3" s="18" t="inlineStr">
        <is>
          <t xml:space="preserve">• Uma linha por dia e por cliente.</t>
        </is>
      </c>
    </row>
    <row r="4">
      <c r="X4" s="20" t="str">
        <f>IF($B4="","",IFERROR(IF(INDEX(Config!$D$9:$D$29,MATCH($B4,Config!$B$9:$B$29,0))="Contrato",IF(INDEX(Config!$E$9:$E$29,MATCH($B4,Config!$B$9:$B$29,0))="","",INDEX(Config!$E$9:$E$29,MATCH($B4,Config!$B$9:$B$29,0))),""),""))</f>
        <v/>
      </c>
      <c r="AI4" s="19" t="str">
        <f>IF($B4="","",IFERROR(INDEX(Config!$D$9:$D$29,MATCH($B4,Config!$B$9:$B$29,0))&amp;"",""))</f>
        <v/>
      </c>
      <c r="AK4" s="18" t="inlineStr">
        <is>
          <t xml:space="preserve">• Digite na primeira linha vazia logo abaixo da tabela: ela cresce sozinha e leva formato, listas e validações.</t>
        </is>
      </c>
    </row>
    <row r="5">
      <c r="X5" s="20" t="str">
        <f>IF($B5="","",IFERROR(IF(INDEX(Config!$D$9:$D$29,MATCH($B5,Config!$B$9:$B$29,0))="Contrato",IF(INDEX(Config!$E$9:$E$29,MATCH($B5,Config!$B$9:$B$29,0))="","",INDEX(Config!$E$9:$E$29,MATCH($B5,Config!$B$9:$B$29,0))),""),""))</f>
        <v/>
      </c>
      <c r="AI5" s="19" t="str">
        <f>IF($B5="","",IFERROR(INDEX(Config!$D$9:$D$29,MATCH($B5,Config!$B$9:$B$29,0))&amp;"",""))</f>
        <v/>
      </c>
      <c r="AK5" s="18" t="inlineStr">
        <is>
          <t xml:space="preserve">• Data: dd/mm/aaaa.   Cliente: escolha na lista (setinha da célula).</t>
        </is>
      </c>
    </row>
    <row r="6">
      <c r="X6" s="20" t="str">
        <f>IF($B6="","",IFERROR(IF(INDEX(Config!$D$9:$D$29,MATCH($B6,Config!$B$9:$B$29,0))="Contrato",IF(INDEX(Config!$E$9:$E$29,MATCH($B6,Config!$B$9:$B$29,0))="","",INDEX(Config!$E$9:$E$29,MATCH($B6,Config!$B$9:$B$29,0))),""),""))</f>
        <v/>
      </c>
      <c r="AI6" s="19" t="str">
        <f>IF($B6="","",IFERROR(INDEX(Config!$D$9:$D$29,MATCH($B6,Config!$B$9:$B$29,0))&amp;"",""))</f>
        <v/>
      </c>
      <c r="AK6" s="18" t="inlineStr">
        <is>
          <t xml:space="preserve">• Modalidade e Posições Disponíveis (cinza) são automáticas: vêm da aba Config (MODALIDADE e POSIÇÕES CONTRATADAS do cliente).</t>
        </is>
      </c>
    </row>
    <row r="7">
      <c r="X7" s="20" t="str">
        <f>IF($B7="","",IFERROR(IF(INDEX(Config!$D$9:$D$29,MATCH($B7,Config!$B$9:$B$29,0))="Contrato",IF(INDEX(Config!$E$9:$E$29,MATCH($B7,Config!$B$9:$B$29,0))="","",INDEX(Config!$E$9:$E$29,MATCH($B7,Config!$B$9:$B$29,0))),""),""))</f>
        <v/>
      </c>
      <c r="AI7" s="19" t="str">
        <f>IF($B7="","",IFERROR(INDEX(Config!$D$9:$D$29,MATCH($B7,Config!$B$9:$B$29,0))&amp;"",""))</f>
        <v/>
      </c>
      <c r="AK7" s="18" t="inlineStr">
        <is>
          <t xml:space="preserve">• Números: só 0 ou maior. Toneladas aceitam casas decimais.</t>
        </is>
      </c>
    </row>
    <row r="8">
      <c r="X8" s="20" t="str">
        <f>IF($B8="","",IFERROR(IF(INDEX(Config!$D$9:$D$29,MATCH($B8,Config!$B$9:$B$29,0))="Contrato",IF(INDEX(Config!$E$9:$E$29,MATCH($B8,Config!$B$9:$B$29,0))="","",INDEX(Config!$E$9:$E$29,MATCH($B8,Config!$B$9:$B$29,0))),""),""))</f>
        <v/>
      </c>
      <c r="AI8" s="19" t="str">
        <f>IF($B8="","",IFERROR(INDEX(Config!$D$9:$D$29,MATCH($B8,Config!$B$9:$B$29,0))&amp;"",""))</f>
        <v/>
      </c>
      <c r="AK8" s="18" t="inlineStr">
        <is>
          <t xml:space="preserve">• Deixe em branco o que não foi medido (não digite 0 se não houve registro).</t>
        </is>
      </c>
    </row>
    <row r="9">
      <c r="X9" s="20" t="str">
        <f>IF($B9="","",IFERROR(IF(INDEX(Config!$D$9:$D$29,MATCH($B9,Config!$B$9:$B$29,0))="Contrato",IF(INDEX(Config!$E$9:$E$29,MATCH($B9,Config!$B$9:$B$29,0))="","",INDEX(Config!$E$9:$E$29,MATCH($B9,Config!$B$9:$B$29,0))),""),""))</f>
        <v/>
      </c>
      <c r="AI9" s="19" t="str">
        <f>IF($B9="","",IFERROR(INDEX(Config!$D$9:$D$29,MATCH($B9,Config!$B$9:$B$29,0))&amp;"",""))</f>
        <v/>
      </c>
      <c r="AK9" s="17" t="inlineStr">
        <is>
          <t xml:space="preserve">SOMA NO MÊS</t>
        </is>
      </c>
    </row>
    <row r="10">
      <c r="X10" s="20" t="str">
        <f>IF($B10="","",IFERROR(IF(INDEX(Config!$D$9:$D$29,MATCH($B10,Config!$B$9:$B$29,0))="Contrato",IF(INDEX(Config!$E$9:$E$29,MATCH($B10,Config!$B$9:$B$29,0))="","",INDEX(Config!$E$9:$E$29,MATCH($B10,Config!$B$9:$B$29,0))),""),""))</f>
        <v/>
      </c>
      <c r="AI10" s="19" t="str">
        <f>IF($B10="","",IFERROR(INDEX(Config!$D$9:$D$29,MATCH($B10,Config!$B$9:$B$29,0))&amp;"",""))</f>
        <v/>
      </c>
      <c r="AK10" s="18" t="inlineStr">
        <is>
          <t xml:space="preserve">• Veículos, pallets, toneladas, linhas NF, caixas, peças, itens, pedidos, incidentes, no show, falta, folga, férias e desligamento: valor do dia.</t>
        </is>
      </c>
    </row>
    <row r="11">
      <c r="X11" s="20" t="str">
        <f>IF($B11="","",IFERROR(IF(INDEX(Config!$D$9:$D$29,MATCH($B11,Config!$B$9:$B$29,0))="Contrato",IF(INDEX(Config!$E$9:$E$29,MATCH($B11,Config!$B$9:$B$29,0))="","",INDEX(Config!$E$9:$E$29,MATCH($B11,Config!$B$9:$B$29,0))),""),""))</f>
        <v/>
      </c>
      <c r="AI11" s="19" t="str">
        <f>IF($B11="","",IFERROR(INDEX(Config!$D$9:$D$29,MATCH($B11,Config!$B$9:$B$29,0))&amp;"",""))</f>
        <v/>
      </c>
      <c r="AK11" s="17" t="inlineStr">
        <is>
          <t xml:space="preserve">ÚLTIMO VALOR DO MÊS</t>
        </is>
      </c>
    </row>
    <row r="12">
      <c r="X12" s="20" t="str">
        <f>IF($B12="","",IFERROR(IF(INDEX(Config!$D$9:$D$29,MATCH($B12,Config!$B$9:$B$29,0))="Contrato",IF(INDEX(Config!$E$9:$E$29,MATCH($B12,Config!$B$9:$B$29,0))="","",INDEX(Config!$E$9:$E$29,MATCH($B12,Config!$B$9:$B$29,0))),""),""))</f>
        <v/>
      </c>
      <c r="AI12" s="19" t="str">
        <f>IF($B12="","",IFERROR(INDEX(Config!$D$9:$D$29,MATCH($B12,Config!$B$9:$B$29,0))&amp;"",""))</f>
        <v/>
      </c>
      <c r="AK12" s="18" t="inlineStr">
        <is>
          <t xml:space="preserve">• Backlog, posições ocupadas e efetivo: posição do dia (os painéis usam o último lançado).</t>
        </is>
      </c>
    </row>
    <row r="13">
      <c r="X13" s="20" t="str">
        <f>IF($B13="","",IFERROR(IF(INDEX(Config!$D$9:$D$29,MATCH($B13,Config!$B$9:$B$29,0))="Contrato",IF(INDEX(Config!$E$9:$E$29,MATCH($B13,Config!$B$9:$B$29,0))="","",INDEX(Config!$E$9:$E$29,MATCH($B13,Config!$B$9:$B$29,0))),""),""))</f>
        <v/>
      </c>
      <c r="AI13" s="19" t="str">
        <f>IF($B13="","",IFERROR(INDEX(Config!$D$9:$D$29,MATCH($B13,Config!$B$9:$B$29,0))&amp;"",""))</f>
        <v/>
      </c>
      <c r="AK13" s="17" t="inlineStr">
        <is>
          <t xml:space="preserve">ALERTAS</t>
        </is>
      </c>
    </row>
    <row r="14">
      <c r="X14" s="20" t="str">
        <f>IF($B14="","",IFERROR(IF(INDEX(Config!$D$9:$D$29,MATCH($B14,Config!$B$9:$B$29,0))="Contrato",IF(INDEX(Config!$E$9:$E$29,MATCH($B14,Config!$B$9:$B$29,0))="","",INDEX(Config!$E$9:$E$29,MATCH($B14,Config!$B$9:$B$29,0))),""),""))</f>
        <v/>
      </c>
      <c r="AI14" s="19" t="str">
        <f>IF($B14="","",IFERROR(INDEX(Config!$D$9:$D$29,MATCH($B14,Config!$B$9:$B$29,0))&amp;"",""))</f>
        <v/>
      </c>
      <c r="AK14" s="18" t="inlineStr">
        <is>
          <t xml:space="preserve">• Vermelho: mesma data e cliente lançados duas vezes.</t>
        </is>
      </c>
    </row>
    <row r="15">
      <c r="X15" s="20" t="str">
        <f>IF($B15="","",IFERROR(IF(INDEX(Config!$D$9:$D$29,MATCH($B15,Config!$B$9:$B$29,0))="Contrato",IF(INDEX(Config!$E$9:$E$29,MATCH($B15,Config!$B$9:$B$29,0))="","",INDEX(Config!$E$9:$E$29,MATCH($B15,Config!$B$9:$B$29,0))),""),""))</f>
        <v/>
      </c>
      <c r="AI15" s="19" t="str">
        <f>IF($B15="","",IFERROR(INDEX(Config!$D$9:$D$29,MATCH($B15,Config!$B$9:$B$29,0))&amp;"",""))</f>
        <v/>
      </c>
      <c r="AK15" s="18" t="inlineStr">
        <is>
          <t xml:space="preserve">• Amarelo: linha incompleta (data sem cliente ou o contrário).</t>
        </is>
      </c>
    </row>
    <row r="16">
      <c r="X16" s="20" t="str">
        <f>IF($B16="","",IFERROR(IF(INDEX(Config!$D$9:$D$29,MATCH($B16,Config!$B$9:$B$29,0))="Contrato",IF(INDEX(Config!$E$9:$E$29,MATCH($B16,Config!$B$9:$B$29,0))="","",INDEX(Config!$E$9:$E$29,MATCH($B16,Config!$B$9:$B$29,0))),""),""))</f>
        <v/>
      </c>
      <c r="AI16" s="19" t="str">
        <f>IF($B16="","",IFERROR(INDEX(Config!$D$9:$D$29,MATCH($B16,Config!$B$9:$B$29,0))&amp;"",""))</f>
        <v/>
      </c>
      <c r="AK16" s="18" t="inlineStr">
        <is>
          <t xml:space="preserve">• Verde em Posições Ocupadas: cliente excede o contratado (boa notícia: faturar excedente).</t>
        </is>
      </c>
    </row>
    <row r="17">
      <c r="X17" s="20" t="str">
        <f>IF($B17="","",IFERROR(IF(INDEX(Config!$D$9:$D$29,MATCH($B17,Config!$B$9:$B$29,0))="Contrato",IF(INDEX(Config!$E$9:$E$29,MATCH($B17,Config!$B$9:$B$29,0))="","",INDEX(Config!$E$9:$E$29,MATCH($B17,Config!$B$9:$B$29,0))),""),""))</f>
        <v/>
      </c>
      <c r="AI17" s="19" t="str">
        <f>IF($B17="","",IFERROR(INDEX(Config!$D$9:$D$29,MATCH($B17,Config!$B$9:$B$29,0))&amp;"",""))</f>
        <v/>
      </c>
      <c r="AK17" s="18" t="inlineStr">
        <is>
          <t xml:space="preserve">• Desvios comportamentais e acidentes (CAF = com afastamento · SAF = sem afastamento): quantidade do dia.</t>
        </is>
      </c>
    </row>
    <row r="18">
      <c r="X18" s="20" t="str">
        <f>IF($B18="","",IFERROR(IF(INDEX(Config!$D$9:$D$29,MATCH($B18,Config!$B$9:$B$29,0))="Contrato",IF(INDEX(Config!$E$9:$E$29,MATCH($B18,Config!$B$9:$B$29,0))="","",INDEX(Config!$E$9:$E$29,MATCH($B18,Config!$B$9:$B$29,0))),""),""))</f>
        <v/>
      </c>
      <c r="AI18" s="19" t="str">
        <f>IF($B18="","",IFERROR(INDEX(Config!$D$9:$D$29,MATCH($B18,Config!$B$9:$B$29,0))&amp;"",""))</f>
        <v/>
      </c>
      <c r="AK18" s="18" t="inlineStr">
        <is>
          <t xml:space="preserve">• Dashboard, Monitoramento e Consol Mensal leem esta aba automaticamente, inclusive as METAS abaixo.</t>
        </is>
      </c>
    </row>
    <row r="19">
      <c r="X19" s="20" t="str">
        <f>IF($B19="","",IFERROR(IF(INDEX(Config!$D$9:$D$29,MATCH($B19,Config!$B$9:$B$29,0))="Contrato",IF(INDEX(Config!$E$9:$E$29,MATCH($B19,Config!$B$9:$B$29,0))="","",INDEX(Config!$E$9:$E$29,MATCH($B19,Config!$B$9:$B$29,0))),""),""))</f>
        <v/>
      </c>
      <c r="AI19" s="19" t="str">
        <f>IF($B19="","",IFERROR(INDEX(Config!$D$9:$D$29,MATCH($B19,Config!$B$9:$B$29,0))&amp;"",""))</f>
        <v/>
      </c>
    </row>
    <row r="20">
      <c r="X20" s="20" t="str">
        <f>IF($B20="","",IFERROR(IF(INDEX(Config!$D$9:$D$29,MATCH($B20,Config!$B$9:$B$29,0))="Contrato",IF(INDEX(Config!$E$9:$E$29,MATCH($B20,Config!$B$9:$B$29,0))="","",INDEX(Config!$E$9:$E$29,MATCH($B20,Config!$B$9:$B$29,0))),""),""))</f>
        <v/>
      </c>
      <c r="AI20" s="19" t="str">
        <f>IF($B20="","",IFERROR(INDEX(Config!$D$9:$D$29,MATCH($B20,Config!$B$9:$B$29,0))&amp;"",""))</f>
        <v/>
      </c>
    </row>
    <row r="21" ht="22" customHeight="1">
      <c r="X21" s="20" t="str">
        <f>IF($B21="","",IFERROR(IF(INDEX(Config!$D$9:$D$29,MATCH($B21,Config!$B$9:$B$29,0))="Contrato",IF(INDEX(Config!$E$9:$E$29,MATCH($B21,Config!$B$9:$B$29,0))="","",INDEX(Config!$E$9:$E$29,MATCH($B21,Config!$B$9:$B$29,0))),""),""))</f>
        <v/>
      </c>
      <c r="AI21" s="19" t="str">
        <f>IF($B21="","",IFERROR(INDEX(Config!$D$9:$D$29,MATCH($B21,Config!$B$9:$B$29,0))&amp;"",""))</f>
        <v/>
      </c>
      <c r="AK21" s="21" t="inlineStr">
        <is>
          <t xml:space="preserve">METAS DO MÊS — preencha as células amarelas (vazio = sem meta · taxa de ocupação em %).</t>
        </is>
      </c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</row>
    <row r="22" ht="30" customHeight="1">
      <c r="X22" s="20" t="str">
        <f>IF($B22="","",IFERROR(IF(INDEX(Config!$D$9:$D$29,MATCH($B22,Config!$B$9:$B$29,0))="Contrato",IF(INDEX(Config!$E$9:$E$29,MATCH($B22,Config!$B$9:$B$29,0))="","",INDEX(Config!$E$9:$E$29,MATCH($B22,Config!$B$9:$B$29,0))),""),""))</f>
        <v/>
      </c>
      <c r="AI22" s="19" t="str">
        <f>IF($B22="","",IFERROR(INDEX(Config!$D$9:$D$29,MATCH($B22,Config!$B$9:$B$29,0))&amp;"",""))</f>
        <v/>
      </c>
      <c r="AK22" s="22" t="inlineStr">
        <is>
          <t xml:space="preserve">Indicador</t>
        </is>
      </c>
      <c r="AL22" s="23" t="inlineStr">
        <is>
          <t xml:space="preserve">Todos</t>
        </is>
      </c>
      <c r="AM22" s="23" t="inlineStr">
        <is>
          <t xml:space="preserve">Alpargatas</t>
        </is>
      </c>
      <c r="AN22" s="23" t="inlineStr">
        <is>
          <t xml:space="preserve">Basf</t>
        </is>
      </c>
      <c r="AO22" s="23" t="inlineStr">
        <is>
          <t xml:space="preserve">Beautybiz</t>
        </is>
      </c>
      <c r="AP22" s="23" t="inlineStr">
        <is>
          <t xml:space="preserve">Boticário</t>
        </is>
      </c>
      <c r="AQ22" s="23" t="inlineStr">
        <is>
          <t xml:space="preserve">Confiance</t>
        </is>
      </c>
      <c r="AR22" s="23" t="inlineStr">
        <is>
          <t xml:space="preserve">GE Vernova</t>
        </is>
      </c>
      <c r="AS22" s="23" t="inlineStr">
        <is>
          <t xml:space="preserve">Omnilife</t>
        </is>
      </c>
      <c r="AT22" s="23" t="inlineStr">
        <is>
          <t xml:space="preserve">Supply</t>
        </is>
      </c>
      <c r="AU22" s="23" t="inlineStr">
        <is>
          <t xml:space="preserve">Vedacit</t>
        </is>
      </c>
      <c r="AV22" s="23" t="inlineStr">
        <is>
          <t xml:space="preserve">Vestas</t>
        </is>
      </c>
      <c r="AW22" s="23" t="inlineStr">
        <is>
          <t xml:space="preserve">Vaga 11</t>
        </is>
      </c>
      <c r="AX22" s="23" t="inlineStr">
        <is>
          <t xml:space="preserve">Vaga 12</t>
        </is>
      </c>
      <c r="AY22" s="23" t="inlineStr">
        <is>
          <t xml:space="preserve">Vaga 13</t>
        </is>
      </c>
      <c r="AZ22" s="23" t="inlineStr">
        <is>
          <t xml:space="preserve">Vaga 14</t>
        </is>
      </c>
      <c r="BA22" s="23" t="inlineStr">
        <is>
          <t xml:space="preserve">Vaga 15</t>
        </is>
      </c>
      <c r="BB22" s="23" t="inlineStr">
        <is>
          <t xml:space="preserve">Vaga 16</t>
        </is>
      </c>
      <c r="BC22" s="23" t="inlineStr">
        <is>
          <t xml:space="preserve">Vaga 17</t>
        </is>
      </c>
      <c r="BD22" s="23" t="inlineStr">
        <is>
          <t xml:space="preserve">Vaga 18</t>
        </is>
      </c>
      <c r="BE22" s="23" t="inlineStr">
        <is>
          <t xml:space="preserve">Vaga 19</t>
        </is>
      </c>
      <c r="BF22" s="24" t="inlineStr">
        <is>
          <t xml:space="preserve">Vaga 20</t>
        </is>
      </c>
    </row>
    <row r="23">
      <c r="X23" s="20" t="str">
        <f>IF($B23="","",IFERROR(IF(INDEX(Config!$D$9:$D$29,MATCH($B23,Config!$B$9:$B$29,0))="Contrato",IF(INDEX(Config!$E$9:$E$29,MATCH($B23,Config!$B$9:$B$29,0))="","",INDEX(Config!$E$9:$E$29,MATCH($B23,Config!$B$9:$B$29,0))),""),""))</f>
        <v/>
      </c>
      <c r="AI23" s="19" t="str">
        <f>IF($B23="","",IFERROR(INDEX(Config!$D$9:$D$29,MATCH($B23,Config!$B$9:$B$29,0))&amp;"",""))</f>
        <v/>
      </c>
      <c r="AK23" s="25" t="inlineStr">
        <is>
          <t xml:space="preserve">IN · Veículos Recebidos</t>
        </is>
      </c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7"/>
    </row>
    <row r="24">
      <c r="X24" s="20" t="str">
        <f>IF($B24="","",IFERROR(IF(INDEX(Config!$D$9:$D$29,MATCH($B24,Config!$B$9:$B$29,0))="Contrato",IF(INDEX(Config!$E$9:$E$29,MATCH($B24,Config!$B$9:$B$29,0))="","",INDEX(Config!$E$9:$E$29,MATCH($B24,Config!$B$9:$B$29,0))),""),""))</f>
        <v/>
      </c>
      <c r="AI24" s="19" t="str">
        <f>IF($B24="","",IFERROR(INDEX(Config!$D$9:$D$29,MATCH($B24,Config!$B$9:$B$29,0))&amp;"",""))</f>
        <v/>
      </c>
      <c r="AK24" s="25" t="inlineStr">
        <is>
          <t xml:space="preserve">IN · Pallets Movimentados</t>
        </is>
      </c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7"/>
    </row>
    <row r="25">
      <c r="X25" s="20" t="str">
        <f>IF($B25="","",IFERROR(IF(INDEX(Config!$D$9:$D$29,MATCH($B25,Config!$B$9:$B$29,0))="Contrato",IF(INDEX(Config!$E$9:$E$29,MATCH($B25,Config!$B$9:$B$29,0))="","",INDEX(Config!$E$9:$E$29,MATCH($B25,Config!$B$9:$B$29,0))),""),""))</f>
        <v/>
      </c>
      <c r="AI25" s="19" t="str">
        <f>IF($B25="","",IFERROR(INDEX(Config!$D$9:$D$29,MATCH($B25,Config!$B$9:$B$29,0))&amp;"",""))</f>
        <v/>
      </c>
      <c r="AK25" s="25" t="inlineStr">
        <is>
          <t xml:space="preserve">IN · Toneladas Movimentadas</t>
        </is>
      </c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7"/>
    </row>
    <row r="26">
      <c r="X26" s="20" t="str">
        <f>IF($B26="","",IFERROR(IF(INDEX(Config!$D$9:$D$29,MATCH($B26,Config!$B$9:$B$29,0))="Contrato",IF(INDEX(Config!$E$9:$E$29,MATCH($B26,Config!$B$9:$B$29,0))="","",INDEX(Config!$E$9:$E$29,MATCH($B26,Config!$B$9:$B$29,0))),""),""))</f>
        <v/>
      </c>
      <c r="AI26" s="19" t="str">
        <f>IF($B26="","",IFERROR(INDEX(Config!$D$9:$D$29,MATCH($B26,Config!$B$9:$B$29,0))&amp;"",""))</f>
        <v/>
      </c>
      <c r="AK26" s="25" t="inlineStr">
        <is>
          <t xml:space="preserve">IN · Linhas NF</t>
        </is>
      </c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7"/>
    </row>
    <row r="27">
      <c r="X27" s="20" t="str">
        <f>IF($B27="","",IFERROR(IF(INDEX(Config!$D$9:$D$29,MATCH($B27,Config!$B$9:$B$29,0))="Contrato",IF(INDEX(Config!$E$9:$E$29,MATCH($B27,Config!$B$9:$B$29,0))="","",INDEX(Config!$E$9:$E$29,MATCH($B27,Config!$B$9:$B$29,0))),""),""))</f>
        <v/>
      </c>
      <c r="AI27" s="19" t="str">
        <f>IF($B27="","",IFERROR(INDEX(Config!$D$9:$D$29,MATCH($B27,Config!$B$9:$B$29,0))&amp;"",""))</f>
        <v/>
      </c>
      <c r="AK27" s="25" t="inlineStr">
        <is>
          <t xml:space="preserve">IN · Caixas Movimentadas</t>
        </is>
      </c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7"/>
    </row>
    <row r="28">
      <c r="X28" s="20" t="str">
        <f>IF($B28="","",IFERROR(IF(INDEX(Config!$D$9:$D$29,MATCH($B28,Config!$B$9:$B$29,0))="Contrato",IF(INDEX(Config!$E$9:$E$29,MATCH($B28,Config!$B$9:$B$29,0))="","",INDEX(Config!$E$9:$E$29,MATCH($B28,Config!$B$9:$B$29,0))),""),""))</f>
        <v/>
      </c>
      <c r="AI28" s="19" t="str">
        <f>IF($B28="","",IFERROR(INDEX(Config!$D$9:$D$29,MATCH($B28,Config!$B$9:$B$29,0))&amp;"",""))</f>
        <v/>
      </c>
      <c r="AK28" s="25" t="inlineStr">
        <is>
          <t xml:space="preserve">IN · Itens Recebidos</t>
        </is>
      </c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7"/>
    </row>
    <row r="29">
      <c r="X29" s="20" t="str">
        <f>IF($B29="","",IFERROR(IF(INDEX(Config!$D$9:$D$29,MATCH($B29,Config!$B$9:$B$29,0))="Contrato",IF(INDEX(Config!$E$9:$E$29,MATCH($B29,Config!$B$9:$B$29,0))="","",INDEX(Config!$E$9:$E$29,MATCH($B29,Config!$B$9:$B$29,0))),""),""))</f>
        <v/>
      </c>
      <c r="AI29" s="19" t="str">
        <f>IF($B29="","",IFERROR(INDEX(Config!$D$9:$D$29,MATCH($B29,Config!$B$9:$B$29,0))&amp;"",""))</f>
        <v/>
      </c>
      <c r="AK29" s="25" t="inlineStr">
        <is>
          <t xml:space="preserve">IN · Itens Recebidos CX Mista</t>
        </is>
      </c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7"/>
    </row>
    <row r="30">
      <c r="X30" s="20" t="str">
        <f>IF($B30="","",IFERROR(IF(INDEX(Config!$D$9:$D$29,MATCH($B30,Config!$B$9:$B$29,0))="Contrato",IF(INDEX(Config!$E$9:$E$29,MATCH($B30,Config!$B$9:$B$29,0))="","",INDEX(Config!$E$9:$E$29,MATCH($B30,Config!$B$9:$B$29,0))),""),""))</f>
        <v/>
      </c>
      <c r="AI30" s="19" t="str">
        <f>IF($B30="","",IFERROR(INDEX(Config!$D$9:$D$29,MATCH($B30,Config!$B$9:$B$29,0))&amp;"",""))</f>
        <v/>
      </c>
      <c r="AK30" s="25" t="inlineStr">
        <is>
          <t xml:space="preserve">IN · Caixas Fechadas</t>
        </is>
      </c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7"/>
    </row>
    <row r="31">
      <c r="X31" s="20" t="str">
        <f>IF($B31="","",IFERROR(IF(INDEX(Config!$D$9:$D$29,MATCH($B31,Config!$B$9:$B$29,0))="Contrato",IF(INDEX(Config!$E$9:$E$29,MATCH($B31,Config!$B$9:$B$29,0))="","",INDEX(Config!$E$9:$E$29,MATCH($B31,Config!$B$9:$B$29,0))),""),""))</f>
        <v/>
      </c>
      <c r="AI31" s="19" t="str">
        <f>IF($B31="","",IFERROR(INDEX(Config!$D$9:$D$29,MATCH($B31,Config!$B$9:$B$29,0))&amp;"",""))</f>
        <v/>
      </c>
      <c r="AK31" s="25" t="inlineStr">
        <is>
          <t xml:space="preserve">IN · Caixas Mistas Recebidas</t>
        </is>
      </c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7"/>
    </row>
    <row r="32">
      <c r="X32" s="20" t="str">
        <f>IF($B32="","",IFERROR(IF(INDEX(Config!$D$9:$D$29,MATCH($B32,Config!$B$9:$B$29,0))="Contrato",IF(INDEX(Config!$E$9:$E$29,MATCH($B32,Config!$B$9:$B$29,0))="","",INDEX(Config!$E$9:$E$29,MATCH($B32,Config!$B$9:$B$29,0))),""),""))</f>
        <v/>
      </c>
      <c r="AI32" s="19" t="str">
        <f>IF($B32="","",IFERROR(INDEX(Config!$D$9:$D$29,MATCH($B32,Config!$B$9:$B$29,0))&amp;"",""))</f>
        <v/>
      </c>
      <c r="AK32" s="28" t="inlineStr">
        <is>
          <t xml:space="preserve">OUT · Veículos Expedidos</t>
        </is>
      </c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7"/>
    </row>
    <row r="33">
      <c r="X33" s="20" t="str">
        <f>IF($B33="","",IFERROR(IF(INDEX(Config!$D$9:$D$29,MATCH($B33,Config!$B$9:$B$29,0))="Contrato",IF(INDEX(Config!$E$9:$E$29,MATCH($B33,Config!$B$9:$B$29,0))="","",INDEX(Config!$E$9:$E$29,MATCH($B33,Config!$B$9:$B$29,0))),""),""))</f>
        <v/>
      </c>
      <c r="AI33" s="19" t="str">
        <f>IF($B33="","",IFERROR(INDEX(Config!$D$9:$D$29,MATCH($B33,Config!$B$9:$B$29,0))&amp;"",""))</f>
        <v/>
      </c>
      <c r="AK33" s="28" t="inlineStr">
        <is>
          <t xml:space="preserve">OUT · Pedidos Expedidos</t>
        </is>
      </c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7"/>
    </row>
    <row r="34">
      <c r="X34" s="20" t="str">
        <f>IF($B34="","",IFERROR(IF(INDEX(Config!$D$9:$D$29,MATCH($B34,Config!$B$9:$B$29,0))="Contrato",IF(INDEX(Config!$E$9:$E$29,MATCH($B34,Config!$B$9:$B$29,0))="","",INDEX(Config!$E$9:$E$29,MATCH($B34,Config!$B$9:$B$29,0))),""),""))</f>
        <v/>
      </c>
      <c r="AI34" s="19" t="str">
        <f>IF($B34="","",IFERROR(INDEX(Config!$D$9:$D$29,MATCH($B34,Config!$B$9:$B$29,0))&amp;"",""))</f>
        <v/>
      </c>
      <c r="AK34" s="28" t="inlineStr">
        <is>
          <t xml:space="preserve">OUT · Pedidos Faturados</t>
        </is>
      </c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7"/>
    </row>
    <row r="35">
      <c r="X35" s="20" t="str">
        <f>IF($B35="","",IFERROR(IF(INDEX(Config!$D$9:$D$29,MATCH($B35,Config!$B$9:$B$29,0))="Contrato",IF(INDEX(Config!$E$9:$E$29,MATCH($B35,Config!$B$9:$B$29,0))="","",INDEX(Config!$E$9:$E$29,MATCH($B35,Config!$B$9:$B$29,0))),""),""))</f>
        <v/>
      </c>
      <c r="AI35" s="19" t="str">
        <f>IF($B35="","",IFERROR(INDEX(Config!$D$9:$D$29,MATCH($B35,Config!$B$9:$B$29,0))&amp;"",""))</f>
        <v/>
      </c>
      <c r="AK35" s="28" t="inlineStr">
        <is>
          <t xml:space="preserve">OUT · Itens Expedidos</t>
        </is>
      </c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7"/>
    </row>
    <row r="36">
      <c r="X36" s="20" t="str">
        <f>IF($B36="","",IFERROR(IF(INDEX(Config!$D$9:$D$29,MATCH($B36,Config!$B$9:$B$29,0))="Contrato",IF(INDEX(Config!$E$9:$E$29,MATCH($B36,Config!$B$9:$B$29,0))="","",INDEX(Config!$E$9:$E$29,MATCH($B36,Config!$B$9:$B$29,0))),""),""))</f>
        <v/>
      </c>
      <c r="AI36" s="19" t="str">
        <f>IF($B36="","",IFERROR(INDEX(Config!$D$9:$D$29,MATCH($B36,Config!$B$9:$B$29,0))&amp;"",""))</f>
        <v/>
      </c>
      <c r="AK36" s="28" t="inlineStr">
        <is>
          <t xml:space="preserve">OUT · Linhas NF</t>
        </is>
      </c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7"/>
    </row>
    <row r="37">
      <c r="X37" s="20" t="str">
        <f>IF($B37="","",IFERROR(IF(INDEX(Config!$D$9:$D$29,MATCH($B37,Config!$B$9:$B$29,0))="Contrato",IF(INDEX(Config!$E$9:$E$29,MATCH($B37,Config!$B$9:$B$29,0))="","",INDEX(Config!$E$9:$E$29,MATCH($B37,Config!$B$9:$B$29,0))),""),""))</f>
        <v/>
      </c>
      <c r="AI37" s="19" t="str">
        <f>IF($B37="","",IFERROR(INDEX(Config!$D$9:$D$29,MATCH($B37,Config!$B$9:$B$29,0))&amp;"",""))</f>
        <v/>
      </c>
      <c r="AK37" s="28" t="inlineStr">
        <is>
          <t xml:space="preserve">OUT · Caixas Expedidas</t>
        </is>
      </c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7"/>
    </row>
    <row r="38">
      <c r="X38" s="20" t="str">
        <f>IF($B38="","",IFERROR(IF(INDEX(Config!$D$9:$D$29,MATCH($B38,Config!$B$9:$B$29,0))="Contrato",IF(INDEX(Config!$E$9:$E$29,MATCH($B38,Config!$B$9:$B$29,0))="","",INDEX(Config!$E$9:$E$29,MATCH($B38,Config!$B$9:$B$29,0))),""),""))</f>
        <v/>
      </c>
      <c r="AI38" s="19" t="str">
        <f>IF($B38="","",IFERROR(INDEX(Config!$D$9:$D$29,MATCH($B38,Config!$B$9:$B$29,0))&amp;"",""))</f>
        <v/>
      </c>
      <c r="AK38" s="28" t="inlineStr">
        <is>
          <t xml:space="preserve">OUT · Pallets Movimentados</t>
        </is>
      </c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7"/>
    </row>
    <row r="39">
      <c r="X39" s="20" t="str">
        <f>IF($B39="","",IFERROR(IF(INDEX(Config!$D$9:$D$29,MATCH($B39,Config!$B$9:$B$29,0))="Contrato",IF(INDEX(Config!$E$9:$E$29,MATCH($B39,Config!$B$9:$B$29,0))="","",INDEX(Config!$E$9:$E$29,MATCH($B39,Config!$B$9:$B$29,0))),""),""))</f>
        <v/>
      </c>
      <c r="AI39" s="19" t="str">
        <f>IF($B39="","",IFERROR(INDEX(Config!$D$9:$D$29,MATCH($B39,Config!$B$9:$B$29,0))&amp;"",""))</f>
        <v/>
      </c>
      <c r="AK39" s="28" t="inlineStr">
        <is>
          <t xml:space="preserve">OUT · Toneladas Movimentadas</t>
        </is>
      </c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7"/>
    </row>
    <row r="40">
      <c r="X40" s="20" t="str">
        <f>IF($B40="","",IFERROR(IF(INDEX(Config!$D$9:$D$29,MATCH($B40,Config!$B$9:$B$29,0))="Contrato",IF(INDEX(Config!$E$9:$E$29,MATCH($B40,Config!$B$9:$B$29,0))="","",INDEX(Config!$E$9:$E$29,MATCH($B40,Config!$B$9:$B$29,0))),""),""))</f>
        <v/>
      </c>
      <c r="AI40" s="19" t="str">
        <f>IF($B40="","",IFERROR(INDEX(Config!$D$9:$D$29,MATCH($B40,Config!$B$9:$B$29,0))&amp;"",""))</f>
        <v/>
      </c>
      <c r="AK40" s="29" t="inlineStr">
        <is>
          <t xml:space="preserve">NC · Incidentes</t>
        </is>
      </c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7"/>
    </row>
    <row r="41">
      <c r="X41" s="20" t="str">
        <f>IF($B41="","",IFERROR(IF(INDEX(Config!$D$9:$D$29,MATCH($B41,Config!$B$9:$B$29,0))="Contrato",IF(INDEX(Config!$E$9:$E$29,MATCH($B41,Config!$B$9:$B$29,0))="","",INDEX(Config!$E$9:$E$29,MATCH($B41,Config!$B$9:$B$29,0))),""),""))</f>
        <v/>
      </c>
      <c r="AI41" s="19" t="str">
        <f>IF($B41="","",IFERROR(INDEX(Config!$D$9:$D$29,MATCH($B41,Config!$B$9:$B$29,0))&amp;"",""))</f>
        <v/>
      </c>
      <c r="AK41" s="29" t="inlineStr">
        <is>
          <t xml:space="preserve">NC · No show</t>
        </is>
      </c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7"/>
    </row>
    <row r="42">
      <c r="X42" s="20" t="str">
        <f>IF($B42="","",IFERROR(IF(INDEX(Config!$D$9:$D$29,MATCH($B42,Config!$B$9:$B$29,0))="Contrato",IF(INDEX(Config!$E$9:$E$29,MATCH($B42,Config!$B$9:$B$29,0))="","",INDEX(Config!$E$9:$E$29,MATCH($B42,Config!$B$9:$B$29,0))),""),""))</f>
        <v/>
      </c>
      <c r="AI42" s="19" t="str">
        <f>IF($B42="","",IFERROR(INDEX(Config!$D$9:$D$29,MATCH($B42,Config!$B$9:$B$29,0))&amp;"",""))</f>
        <v/>
      </c>
      <c r="AK42" s="29" t="inlineStr">
        <is>
          <t xml:space="preserve">NC · Backlog Intralog</t>
        </is>
      </c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7"/>
    </row>
    <row r="43">
      <c r="X43" s="20" t="str">
        <f>IF($B43="","",IFERROR(IF(INDEX(Config!$D$9:$D$29,MATCH($B43,Config!$B$9:$B$29,0))="Contrato",IF(INDEX(Config!$E$9:$E$29,MATCH($B43,Config!$B$9:$B$29,0))="","",INDEX(Config!$E$9:$E$29,MATCH($B43,Config!$B$9:$B$29,0))),""),""))</f>
        <v/>
      </c>
      <c r="AI43" s="19" t="str">
        <f>IF($B43="","",IFERROR(INDEX(Config!$D$9:$D$29,MATCH($B43,Config!$B$9:$B$29,0))&amp;"",""))</f>
        <v/>
      </c>
      <c r="AK43" s="29" t="inlineStr">
        <is>
          <t xml:space="preserve">NC · Backlog Cliente</t>
        </is>
      </c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7"/>
    </row>
    <row r="44">
      <c r="X44" s="20" t="str">
        <f>IF($B44="","",IFERROR(IF(INDEX(Config!$D$9:$D$29,MATCH($B44,Config!$B$9:$B$29,0))="Contrato",IF(INDEX(Config!$E$9:$E$29,MATCH($B44,Config!$B$9:$B$29,0))="","",INDEX(Config!$E$9:$E$29,MATCH($B44,Config!$B$9:$B$29,0))),""),""))</f>
        <v/>
      </c>
      <c r="AI44" s="19" t="str">
        <f>IF($B44="","",IFERROR(INDEX(Config!$D$9:$D$29,MATCH($B44,Config!$B$9:$B$29,0))&amp;"",""))</f>
        <v/>
      </c>
      <c r="AK44" s="25" t="inlineStr">
        <is>
          <t xml:space="preserve">OCUPAÇÃO (P.P) · Posições Disponíveis</t>
        </is>
      </c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7"/>
    </row>
    <row r="45">
      <c r="X45" s="20" t="str">
        <f>IF($B45="","",IFERROR(IF(INDEX(Config!$D$9:$D$29,MATCH($B45,Config!$B$9:$B$29,0))="Contrato",IF(INDEX(Config!$E$9:$E$29,MATCH($B45,Config!$B$9:$B$29,0))="","",INDEX(Config!$E$9:$E$29,MATCH($B45,Config!$B$9:$B$29,0))),""),""))</f>
        <v/>
      </c>
      <c r="AI45" s="19" t="str">
        <f>IF($B45="","",IFERROR(INDEX(Config!$D$9:$D$29,MATCH($B45,Config!$B$9:$B$29,0))&amp;"",""))</f>
        <v/>
      </c>
      <c r="AK45" s="25" t="inlineStr">
        <is>
          <t xml:space="preserve">OCUPAÇÃO (P.P) · Posições Ocupadas</t>
        </is>
      </c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7"/>
    </row>
    <row r="46">
      <c r="X46" s="20" t="str">
        <f>IF($B46="","",IFERROR(IF(INDEX(Config!$D$9:$D$29,MATCH($B46,Config!$B$9:$B$29,0))="Contrato",IF(INDEX(Config!$E$9:$E$29,MATCH($B46,Config!$B$9:$B$29,0))="","",INDEX(Config!$E$9:$E$29,MATCH($B46,Config!$B$9:$B$29,0))),""),""))</f>
        <v/>
      </c>
      <c r="AI46" s="19" t="str">
        <f>IF($B46="","",IFERROR(INDEX(Config!$D$9:$D$29,MATCH($B46,Config!$B$9:$B$29,0))&amp;"",""))</f>
        <v/>
      </c>
      <c r="AK46" s="25" t="inlineStr">
        <is>
          <t xml:space="preserve">OCUPAÇÃO (P.P) · Taxa de Ocupação</t>
        </is>
      </c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1"/>
    </row>
    <row r="47">
      <c r="X47" s="20" t="str">
        <f>IF($B47="","",IFERROR(IF(INDEX(Config!$D$9:$D$29,MATCH($B47,Config!$B$9:$B$29,0))="Contrato",IF(INDEX(Config!$E$9:$E$29,MATCH($B47,Config!$B$9:$B$29,0))="","",INDEX(Config!$E$9:$E$29,MATCH($B47,Config!$B$9:$B$29,0))),""),""))</f>
        <v/>
      </c>
      <c r="AI47" s="19" t="str">
        <f>IF($B47="","",IFERROR(INDEX(Config!$D$9:$D$29,MATCH($B47,Config!$B$9:$B$29,0))&amp;"",""))</f>
        <v/>
      </c>
      <c r="AK47" s="32" t="inlineStr">
        <is>
          <t xml:space="preserve">GENTE · Efetivo Op.</t>
        </is>
      </c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7"/>
    </row>
    <row r="48">
      <c r="X48" s="20" t="str">
        <f>IF($B48="","",IFERROR(IF(INDEX(Config!$D$9:$D$29,MATCH($B48,Config!$B$9:$B$29,0))="Contrato",IF(INDEX(Config!$E$9:$E$29,MATCH($B48,Config!$B$9:$B$29,0))="","",INDEX(Config!$E$9:$E$29,MATCH($B48,Config!$B$9:$B$29,0))),""),""))</f>
        <v/>
      </c>
      <c r="AI48" s="19" t="str">
        <f>IF($B48="","",IFERROR(INDEX(Config!$D$9:$D$29,MATCH($B48,Config!$B$9:$B$29,0))&amp;"",""))</f>
        <v/>
      </c>
      <c r="AK48" s="32" t="inlineStr">
        <is>
          <t xml:space="preserve">GENTE · Falta</t>
        </is>
      </c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7"/>
    </row>
    <row r="49">
      <c r="X49" s="20" t="str">
        <f>IF($B49="","",IFERROR(IF(INDEX(Config!$D$9:$D$29,MATCH($B49,Config!$B$9:$B$29,0))="Contrato",IF(INDEX(Config!$E$9:$E$29,MATCH($B49,Config!$B$9:$B$29,0))="","",INDEX(Config!$E$9:$E$29,MATCH($B49,Config!$B$9:$B$29,0))),""),""))</f>
        <v/>
      </c>
      <c r="AI49" s="19" t="str">
        <f>IF($B49="","",IFERROR(INDEX(Config!$D$9:$D$29,MATCH($B49,Config!$B$9:$B$29,0))&amp;"",""))</f>
        <v/>
      </c>
      <c r="AK49" s="32" t="inlineStr">
        <is>
          <t xml:space="preserve">GENTE · Absenteísmo (H/H)</t>
        </is>
      </c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7"/>
    </row>
    <row r="50">
      <c r="X50" s="20" t="str">
        <f>IF($B50="","",IFERROR(IF(INDEX(Config!$D$9:$D$29,MATCH($B50,Config!$B$9:$B$29,0))="Contrato",IF(INDEX(Config!$E$9:$E$29,MATCH($B50,Config!$B$9:$B$29,0))="","",INDEX(Config!$E$9:$E$29,MATCH($B50,Config!$B$9:$B$29,0))),""),""))</f>
        <v/>
      </c>
      <c r="AI50" s="19" t="str">
        <f>IF($B50="","",IFERROR(INDEX(Config!$D$9:$D$29,MATCH($B50,Config!$B$9:$B$29,0))&amp;"",""))</f>
        <v/>
      </c>
      <c r="AK50" s="32" t="inlineStr">
        <is>
          <t xml:space="preserve">GENTE · Folga</t>
        </is>
      </c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7"/>
    </row>
    <row r="51">
      <c r="X51" s="20" t="str">
        <f>IF($B51="","",IFERROR(IF(INDEX(Config!$D$9:$D$29,MATCH($B51,Config!$B$9:$B$29,0))="Contrato",IF(INDEX(Config!$E$9:$E$29,MATCH($B51,Config!$B$9:$B$29,0))="","",INDEX(Config!$E$9:$E$29,MATCH($B51,Config!$B$9:$B$29,0))),""),""))</f>
        <v/>
      </c>
      <c r="AI51" s="19" t="str">
        <f>IF($B51="","",IFERROR(INDEX(Config!$D$9:$D$29,MATCH($B51,Config!$B$9:$B$29,0))&amp;"",""))</f>
        <v/>
      </c>
      <c r="AK51" s="32" t="inlineStr">
        <is>
          <t xml:space="preserve">GENTE · Férias</t>
        </is>
      </c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7"/>
    </row>
    <row r="52">
      <c r="X52" s="20" t="str">
        <f>IF($B52="","",IFERROR(IF(INDEX(Config!$D$9:$D$29,MATCH($B52,Config!$B$9:$B$29,0))="Contrato",IF(INDEX(Config!$E$9:$E$29,MATCH($B52,Config!$B$9:$B$29,0))="","",INDEX(Config!$E$9:$E$29,MATCH($B52,Config!$B$9:$B$29,0))),""),""))</f>
        <v/>
      </c>
      <c r="AI52" s="19" t="str">
        <f>IF($B52="","",IFERROR(INDEX(Config!$D$9:$D$29,MATCH($B52,Config!$B$9:$B$29,0))&amp;"",""))</f>
        <v/>
      </c>
      <c r="AK52" s="32" t="inlineStr">
        <is>
          <t xml:space="preserve">GENTE · Desligamento</t>
        </is>
      </c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7"/>
    </row>
    <row r="53">
      <c r="X53" s="20" t="str">
        <f>IF($B53="","",IFERROR(IF(INDEX(Config!$D$9:$D$29,MATCH($B53,Config!$B$9:$B$29,0))="Contrato",IF(INDEX(Config!$E$9:$E$29,MATCH($B53,Config!$B$9:$B$29,0))="","",INDEX(Config!$E$9:$E$29,MATCH($B53,Config!$B$9:$B$29,0))),""),""))</f>
        <v/>
      </c>
      <c r="AI53" s="19" t="str">
        <f>IF($B53="","",IFERROR(INDEX(Config!$D$9:$D$29,MATCH($B53,Config!$B$9:$B$29,0))&amp;"",""))</f>
        <v/>
      </c>
      <c r="AK53" s="32" t="inlineStr">
        <is>
          <t xml:space="preserve">GENTE · Desvios Comportamentais</t>
        </is>
      </c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7"/>
    </row>
    <row r="54">
      <c r="X54" s="20" t="str">
        <f>IF($B54="","",IFERROR(IF(INDEX(Config!$D$9:$D$29,MATCH($B54,Config!$B$9:$B$29,0))="Contrato",IF(INDEX(Config!$E$9:$E$29,MATCH($B54,Config!$B$9:$B$29,0))="","",INDEX(Config!$E$9:$E$29,MATCH($B54,Config!$B$9:$B$29,0))),""),""))</f>
        <v/>
      </c>
      <c r="AI54" s="19" t="str">
        <f>IF($B54="","",IFERROR(INDEX(Config!$D$9:$D$29,MATCH($B54,Config!$B$9:$B$29,0))&amp;"",""))</f>
        <v/>
      </c>
      <c r="AK54" s="32" t="inlineStr">
        <is>
          <t xml:space="preserve">GENTE · Acidentes CAF</t>
        </is>
      </c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7"/>
    </row>
    <row r="55">
      <c r="X55" s="20" t="str">
        <f>IF($B55="","",IFERROR(IF(INDEX(Config!$D$9:$D$29,MATCH($B55,Config!$B$9:$B$29,0))="Contrato",IF(INDEX(Config!$E$9:$E$29,MATCH($B55,Config!$B$9:$B$29,0))="","",INDEX(Config!$E$9:$E$29,MATCH($B55,Config!$B$9:$B$29,0))),""),""))</f>
        <v/>
      </c>
      <c r="AI55" s="19" t="str">
        <f>IF($B55="","",IFERROR(INDEX(Config!$D$9:$D$29,MATCH($B55,Config!$B$9:$B$29,0))&amp;"",""))</f>
        <v/>
      </c>
      <c r="AK55" s="33" t="inlineStr">
        <is>
          <t xml:space="preserve">GENTE · Acidentes SAF</t>
        </is>
      </c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5"/>
    </row>
    <row r="56">
      <c r="X56" s="20" t="str">
        <f>IF($B56="","",IFERROR(IF(INDEX(Config!$D$9:$D$29,MATCH($B56,Config!$B$9:$B$29,0))="Contrato",IF(INDEX(Config!$E$9:$E$29,MATCH($B56,Config!$B$9:$B$29,0))="","",INDEX(Config!$E$9:$E$29,MATCH($B56,Config!$B$9:$B$29,0))),""),""))</f>
        <v/>
      </c>
      <c r="AI56" s="19" t="str">
        <f>IF($B56="","",IFERROR(INDEX(Config!$D$9:$D$29,MATCH($B56,Config!$B$9:$B$29,0))&amp;"",""))</f>
        <v/>
      </c>
      <c r="AK56" s="36" t="inlineStr">
        <is>
          <t xml:space="preserve">Cliente novo: renomeie o cabeçalho "Vaga N" com o nome do cliente (igual ao da Config) e preencha as metas. Vale para Dashboard, Monitoramento e Consol Mensal.</t>
        </is>
      </c>
    </row>
    <row r="57">
      <c r="X57" s="20" t="str">
        <f>IF($B57="","",IFERROR(IF(INDEX(Config!$D$9:$D$29,MATCH($B57,Config!$B$9:$B$29,0))="Contrato",IF(INDEX(Config!$E$9:$E$29,MATCH($B57,Config!$B$9:$B$29,0))="","",INDEX(Config!$E$9:$E$29,MATCH($B57,Config!$B$9:$B$29,0))),""),""))</f>
        <v/>
      </c>
      <c r="AI57" s="19" t="str">
        <f>IF($B57="","",IFERROR(INDEX(Config!$D$9:$D$29,MATCH($B57,Config!$B$9:$B$29,0))&amp;"",""))</f>
        <v/>
      </c>
    </row>
    <row r="58">
      <c r="X58" s="20" t="str">
        <f>IF($B58="","",IFERROR(IF(INDEX(Config!$D$9:$D$29,MATCH($B58,Config!$B$9:$B$29,0))="Contrato",IF(INDEX(Config!$E$9:$E$29,MATCH($B58,Config!$B$9:$B$29,0))="","",INDEX(Config!$E$9:$E$29,MATCH($B58,Config!$B$9:$B$29,0))),""),""))</f>
        <v/>
      </c>
      <c r="AI58" s="19" t="str">
        <f>IF($B58="","",IFERROR(INDEX(Config!$D$9:$D$29,MATCH($B58,Config!$B$9:$B$29,0))&amp;"",""))</f>
        <v/>
      </c>
    </row>
    <row r="59">
      <c r="X59" s="20" t="str">
        <f>IF($B59="","",IFERROR(IF(INDEX(Config!$D$9:$D$29,MATCH($B59,Config!$B$9:$B$29,0))="Contrato",IF(INDEX(Config!$E$9:$E$29,MATCH($B59,Config!$B$9:$B$29,0))="","",INDEX(Config!$E$9:$E$29,MATCH($B59,Config!$B$9:$B$29,0))),""),""))</f>
        <v/>
      </c>
      <c r="AI59" s="19" t="str">
        <f>IF($B59="","",IFERROR(INDEX(Config!$D$9:$D$29,MATCH($B59,Config!$B$9:$B$29,0))&amp;"",""))</f>
        <v/>
      </c>
    </row>
    <row r="60">
      <c r="X60" s="20" t="str">
        <f>IF($B60="","",IFERROR(IF(INDEX(Config!$D$9:$D$29,MATCH($B60,Config!$B$9:$B$29,0))="Contrato",IF(INDEX(Config!$E$9:$E$29,MATCH($B60,Config!$B$9:$B$29,0))="","",INDEX(Config!$E$9:$E$29,MATCH($B60,Config!$B$9:$B$29,0))),""),""))</f>
        <v/>
      </c>
      <c r="AI60" s="19" t="str">
        <f>IF($B60="","",IFERROR(INDEX(Config!$D$9:$D$29,MATCH($B60,Config!$B$9:$B$29,0))&amp;"",""))</f>
        <v/>
      </c>
    </row>
    <row r="61">
      <c r="X61" s="20" t="str">
        <f>IF($B61="","",IFERROR(IF(INDEX(Config!$D$9:$D$29,MATCH($B61,Config!$B$9:$B$29,0))="Contrato",IF(INDEX(Config!$E$9:$E$29,MATCH($B61,Config!$B$9:$B$29,0))="","",INDEX(Config!$E$9:$E$29,MATCH($B61,Config!$B$9:$B$29,0))),""),""))</f>
        <v/>
      </c>
      <c r="AI61" s="19" t="str">
        <f>IF($B61="","",IFERROR(INDEX(Config!$D$9:$D$29,MATCH($B61,Config!$B$9:$B$29,0))&amp;"",""))</f>
        <v/>
      </c>
    </row>
    <row r="62">
      <c r="X62" s="20" t="str">
        <f>IF($B62="","",IFERROR(IF(INDEX(Config!$D$9:$D$29,MATCH($B62,Config!$B$9:$B$29,0))="Contrato",IF(INDEX(Config!$E$9:$E$29,MATCH($B62,Config!$B$9:$B$29,0))="","",INDEX(Config!$E$9:$E$29,MATCH($B62,Config!$B$9:$B$29,0))),""),""))</f>
        <v/>
      </c>
      <c r="AI62" s="19" t="str">
        <f>IF($B62="","",IFERROR(INDEX(Config!$D$9:$D$29,MATCH($B62,Config!$B$9:$B$29,0))&amp;"",""))</f>
        <v/>
      </c>
    </row>
    <row r="63">
      <c r="X63" s="20" t="str">
        <f>IF($B63="","",IFERROR(IF(INDEX(Config!$D$9:$D$29,MATCH($B63,Config!$B$9:$B$29,0))="Contrato",IF(INDEX(Config!$E$9:$E$29,MATCH($B63,Config!$B$9:$B$29,0))="","",INDEX(Config!$E$9:$E$29,MATCH($B63,Config!$B$9:$B$29,0))),""),""))</f>
        <v/>
      </c>
      <c r="AI63" s="19" t="str">
        <f>IF($B63="","",IFERROR(INDEX(Config!$D$9:$D$29,MATCH($B63,Config!$B$9:$B$29,0))&amp;"",""))</f>
        <v/>
      </c>
    </row>
    <row r="64">
      <c r="X64" s="20" t="str">
        <f>IF($B64="","",IFERROR(IF(INDEX(Config!$D$9:$D$29,MATCH($B64,Config!$B$9:$B$29,0))="Contrato",IF(INDEX(Config!$E$9:$E$29,MATCH($B64,Config!$B$9:$B$29,0))="","",INDEX(Config!$E$9:$E$29,MATCH($B64,Config!$B$9:$B$29,0))),""),""))</f>
        <v/>
      </c>
      <c r="AI64" s="19" t="str">
        <f>IF($B64="","",IFERROR(INDEX(Config!$D$9:$D$29,MATCH($B64,Config!$B$9:$B$29,0))&amp;"",""))</f>
        <v/>
      </c>
    </row>
    <row r="65">
      <c r="X65" s="20" t="str">
        <f>IF($B65="","",IFERROR(IF(INDEX(Config!$D$9:$D$29,MATCH($B65,Config!$B$9:$B$29,0))="Contrato",IF(INDEX(Config!$E$9:$E$29,MATCH($B65,Config!$B$9:$B$29,0))="","",INDEX(Config!$E$9:$E$29,MATCH($B65,Config!$B$9:$B$29,0))),""),""))</f>
        <v/>
      </c>
      <c r="AI65" s="19" t="str">
        <f>IF($B65="","",IFERROR(INDEX(Config!$D$9:$D$29,MATCH($B65,Config!$B$9:$B$29,0))&amp;"",""))</f>
        <v/>
      </c>
    </row>
    <row r="66">
      <c r="X66" s="20" t="str">
        <f>IF($B66="","",IFERROR(IF(INDEX(Config!$D$9:$D$29,MATCH($B66,Config!$B$9:$B$29,0))="Contrato",IF(INDEX(Config!$E$9:$E$29,MATCH($B66,Config!$B$9:$B$29,0))="","",INDEX(Config!$E$9:$E$29,MATCH($B66,Config!$B$9:$B$29,0))),""),""))</f>
        <v/>
      </c>
      <c r="AI66" s="19" t="str">
        <f>IF($B66="","",IFERROR(INDEX(Config!$D$9:$D$29,MATCH($B66,Config!$B$9:$B$29,0))&amp;"",""))</f>
        <v/>
      </c>
    </row>
    <row r="67">
      <c r="X67" s="20" t="str">
        <f>IF($B67="","",IFERROR(IF(INDEX(Config!$D$9:$D$29,MATCH($B67,Config!$B$9:$B$29,0))="Contrato",IF(INDEX(Config!$E$9:$E$29,MATCH($B67,Config!$B$9:$B$29,0))="","",INDEX(Config!$E$9:$E$29,MATCH($B67,Config!$B$9:$B$29,0))),""),""))</f>
        <v/>
      </c>
      <c r="AI67" s="19" t="str">
        <f>IF($B67="","",IFERROR(INDEX(Config!$D$9:$D$29,MATCH($B67,Config!$B$9:$B$29,0))&amp;"",""))</f>
        <v/>
      </c>
    </row>
    <row r="68">
      <c r="X68" s="20" t="str">
        <f>IF($B68="","",IFERROR(IF(INDEX(Config!$D$9:$D$29,MATCH($B68,Config!$B$9:$B$29,0))="Contrato",IF(INDEX(Config!$E$9:$E$29,MATCH($B68,Config!$B$9:$B$29,0))="","",INDEX(Config!$E$9:$E$29,MATCH($B68,Config!$B$9:$B$29,0))),""),""))</f>
        <v/>
      </c>
      <c r="AI68" s="19" t="str">
        <f>IF($B68="","",IFERROR(INDEX(Config!$D$9:$D$29,MATCH($B68,Config!$B$9:$B$29,0))&amp;"",""))</f>
        <v/>
      </c>
    </row>
    <row r="69">
      <c r="X69" s="20" t="str">
        <f>IF($B69="","",IFERROR(IF(INDEX(Config!$D$9:$D$29,MATCH($B69,Config!$B$9:$B$29,0))="Contrato",IF(INDEX(Config!$E$9:$E$29,MATCH($B69,Config!$B$9:$B$29,0))="","",INDEX(Config!$E$9:$E$29,MATCH($B69,Config!$B$9:$B$29,0))),""),""))</f>
        <v/>
      </c>
      <c r="AI69" s="19" t="str">
        <f>IF($B69="","",IFERROR(INDEX(Config!$D$9:$D$29,MATCH($B69,Config!$B$9:$B$29,0))&amp;"",""))</f>
        <v/>
      </c>
    </row>
    <row r="70">
      <c r="X70" s="20" t="str">
        <f>IF($B70="","",IFERROR(IF(INDEX(Config!$D$9:$D$29,MATCH($B70,Config!$B$9:$B$29,0))="Contrato",IF(INDEX(Config!$E$9:$E$29,MATCH($B70,Config!$B$9:$B$29,0))="","",INDEX(Config!$E$9:$E$29,MATCH($B70,Config!$B$9:$B$29,0))),""),""))</f>
        <v/>
      </c>
      <c r="AI70" s="19" t="str">
        <f>IF($B70="","",IFERROR(INDEX(Config!$D$9:$D$29,MATCH($B70,Config!$B$9:$B$29,0))&amp;"",""))</f>
        <v/>
      </c>
    </row>
    <row r="71">
      <c r="X71" s="20" t="str">
        <f>IF($B71="","",IFERROR(IF(INDEX(Config!$D$9:$D$29,MATCH($B71,Config!$B$9:$B$29,0))="Contrato",IF(INDEX(Config!$E$9:$E$29,MATCH($B71,Config!$B$9:$B$29,0))="","",INDEX(Config!$E$9:$E$29,MATCH($B71,Config!$B$9:$B$29,0))),""),""))</f>
        <v/>
      </c>
      <c r="AI71" s="19" t="str">
        <f>IF($B71="","",IFERROR(INDEX(Config!$D$9:$D$29,MATCH($B71,Config!$B$9:$B$29,0))&amp;"",""))</f>
        <v/>
      </c>
    </row>
    <row r="72">
      <c r="X72" s="20" t="str">
        <f>IF($B72="","",IFERROR(IF(INDEX(Config!$D$9:$D$29,MATCH($B72,Config!$B$9:$B$29,0))="Contrato",IF(INDEX(Config!$E$9:$E$29,MATCH($B72,Config!$B$9:$B$29,0))="","",INDEX(Config!$E$9:$E$29,MATCH($B72,Config!$B$9:$B$29,0))),""),""))</f>
        <v/>
      </c>
      <c r="AI72" s="19" t="str">
        <f>IF($B72="","",IFERROR(INDEX(Config!$D$9:$D$29,MATCH($B72,Config!$B$9:$B$29,0))&amp;"",""))</f>
        <v/>
      </c>
    </row>
    <row r="73">
      <c r="X73" s="20" t="str">
        <f>IF($B73="","",IFERROR(IF(INDEX(Config!$D$9:$D$29,MATCH($B73,Config!$B$9:$B$29,0))="Contrato",IF(INDEX(Config!$E$9:$E$29,MATCH($B73,Config!$B$9:$B$29,0))="","",INDEX(Config!$E$9:$E$29,MATCH($B73,Config!$B$9:$B$29,0))),""),""))</f>
        <v/>
      </c>
      <c r="AI73" s="19" t="str">
        <f>IF($B73="","",IFERROR(INDEX(Config!$D$9:$D$29,MATCH($B73,Config!$B$9:$B$29,0))&amp;"",""))</f>
        <v/>
      </c>
    </row>
    <row r="74">
      <c r="X74" s="20" t="str">
        <f>IF($B74="","",IFERROR(IF(INDEX(Config!$D$9:$D$29,MATCH($B74,Config!$B$9:$B$29,0))="Contrato",IF(INDEX(Config!$E$9:$E$29,MATCH($B74,Config!$B$9:$B$29,0))="","",INDEX(Config!$E$9:$E$29,MATCH($B74,Config!$B$9:$B$29,0))),""),""))</f>
        <v/>
      </c>
      <c r="AI74" s="19" t="str">
        <f>IF($B74="","",IFERROR(INDEX(Config!$D$9:$D$29,MATCH($B74,Config!$B$9:$B$29,0))&amp;"",""))</f>
        <v/>
      </c>
    </row>
    <row r="75">
      <c r="X75" s="20" t="str">
        <f>IF($B75="","",IFERROR(IF(INDEX(Config!$D$9:$D$29,MATCH($B75,Config!$B$9:$B$29,0))="Contrato",IF(INDEX(Config!$E$9:$E$29,MATCH($B75,Config!$B$9:$B$29,0))="","",INDEX(Config!$E$9:$E$29,MATCH($B75,Config!$B$9:$B$29,0))),""),""))</f>
        <v/>
      </c>
      <c r="AI75" s="19" t="str">
        <f>IF($B75="","",IFERROR(INDEX(Config!$D$9:$D$29,MATCH($B75,Config!$B$9:$B$29,0))&amp;"",""))</f>
        <v/>
      </c>
    </row>
    <row r="76">
      <c r="X76" s="20" t="str">
        <f>IF($B76="","",IFERROR(IF(INDEX(Config!$D$9:$D$29,MATCH($B76,Config!$B$9:$B$29,0))="Contrato",IF(INDEX(Config!$E$9:$E$29,MATCH($B76,Config!$B$9:$B$29,0))="","",INDEX(Config!$E$9:$E$29,MATCH($B76,Config!$B$9:$B$29,0))),""),""))</f>
        <v/>
      </c>
      <c r="AI76" s="19" t="str">
        <f>IF($B76="","",IFERROR(INDEX(Config!$D$9:$D$29,MATCH($B76,Config!$B$9:$B$29,0))&amp;"",""))</f>
        <v/>
      </c>
    </row>
    <row r="77">
      <c r="X77" s="20" t="str">
        <f>IF($B77="","",IFERROR(IF(INDEX(Config!$D$9:$D$29,MATCH($B77,Config!$B$9:$B$29,0))="Contrato",IF(INDEX(Config!$E$9:$E$29,MATCH($B77,Config!$B$9:$B$29,0))="","",INDEX(Config!$E$9:$E$29,MATCH($B77,Config!$B$9:$B$29,0))),""),""))</f>
        <v/>
      </c>
      <c r="AI77" s="19" t="str">
        <f>IF($B77="","",IFERROR(INDEX(Config!$D$9:$D$29,MATCH($B77,Config!$B$9:$B$29,0))&amp;"",""))</f>
        <v/>
      </c>
    </row>
    <row r="78">
      <c r="X78" s="20" t="str">
        <f>IF($B78="","",IFERROR(IF(INDEX(Config!$D$9:$D$29,MATCH($B78,Config!$B$9:$B$29,0))="Contrato",IF(INDEX(Config!$E$9:$E$29,MATCH($B78,Config!$B$9:$B$29,0))="","",INDEX(Config!$E$9:$E$29,MATCH($B78,Config!$B$9:$B$29,0))),""),""))</f>
        <v/>
      </c>
      <c r="AI78" s="19" t="str">
        <f>IF($B78="","",IFERROR(INDEX(Config!$D$9:$D$29,MATCH($B78,Config!$B$9:$B$29,0))&amp;"",""))</f>
        <v/>
      </c>
    </row>
    <row r="79">
      <c r="X79" s="20" t="str">
        <f>IF($B79="","",IFERROR(IF(INDEX(Config!$D$9:$D$29,MATCH($B79,Config!$B$9:$B$29,0))="Contrato",IF(INDEX(Config!$E$9:$E$29,MATCH($B79,Config!$B$9:$B$29,0))="","",INDEX(Config!$E$9:$E$29,MATCH($B79,Config!$B$9:$B$29,0))),""),""))</f>
        <v/>
      </c>
      <c r="AI79" s="19" t="str">
        <f>IF($B79="","",IFERROR(INDEX(Config!$D$9:$D$29,MATCH($B79,Config!$B$9:$B$29,0))&amp;"",""))</f>
        <v/>
      </c>
    </row>
    <row r="80">
      <c r="X80" s="20" t="str">
        <f>IF($B80="","",IFERROR(IF(INDEX(Config!$D$9:$D$29,MATCH($B80,Config!$B$9:$B$29,0))="Contrato",IF(INDEX(Config!$E$9:$E$29,MATCH($B80,Config!$B$9:$B$29,0))="","",INDEX(Config!$E$9:$E$29,MATCH($B80,Config!$B$9:$B$29,0))),""),""))</f>
        <v/>
      </c>
      <c r="AI80" s="19" t="str">
        <f>IF($B80="","",IFERROR(INDEX(Config!$D$9:$D$29,MATCH($B80,Config!$B$9:$B$29,0))&amp;"",""))</f>
        <v/>
      </c>
    </row>
    <row r="81">
      <c r="X81" s="20" t="str">
        <f>IF($B81="","",IFERROR(IF(INDEX(Config!$D$9:$D$29,MATCH($B81,Config!$B$9:$B$29,0))="Contrato",IF(INDEX(Config!$E$9:$E$29,MATCH($B81,Config!$B$9:$B$29,0))="","",INDEX(Config!$E$9:$E$29,MATCH($B81,Config!$B$9:$B$29,0))),""),""))</f>
        <v/>
      </c>
      <c r="AI81" s="19" t="str">
        <f>IF($B81="","",IFERROR(INDEX(Config!$D$9:$D$29,MATCH($B81,Config!$B$9:$B$29,0))&amp;"",""))</f>
        <v/>
      </c>
    </row>
    <row r="82">
      <c r="X82" s="20" t="str">
        <f>IF($B82="","",IFERROR(IF(INDEX(Config!$D$9:$D$29,MATCH($B82,Config!$B$9:$B$29,0))="Contrato",IF(INDEX(Config!$E$9:$E$29,MATCH($B82,Config!$B$9:$B$29,0))="","",INDEX(Config!$E$9:$E$29,MATCH($B82,Config!$B$9:$B$29,0))),""),""))</f>
        <v/>
      </c>
      <c r="AI82" s="19" t="str">
        <f>IF($B82="","",IFERROR(INDEX(Config!$D$9:$D$29,MATCH($B82,Config!$B$9:$B$29,0))&amp;"",""))</f>
        <v/>
      </c>
    </row>
    <row r="83">
      <c r="X83" s="20" t="str">
        <f>IF($B83="","",IFERROR(IF(INDEX(Config!$D$9:$D$29,MATCH($B83,Config!$B$9:$B$29,0))="Contrato",IF(INDEX(Config!$E$9:$E$29,MATCH($B83,Config!$B$9:$B$29,0))="","",INDEX(Config!$E$9:$E$29,MATCH($B83,Config!$B$9:$B$29,0))),""),""))</f>
        <v/>
      </c>
      <c r="AI83" s="19" t="str">
        <f>IF($B83="","",IFERROR(INDEX(Config!$D$9:$D$29,MATCH($B83,Config!$B$9:$B$29,0))&amp;"",""))</f>
        <v/>
      </c>
    </row>
    <row r="84">
      <c r="X84" s="20" t="str">
        <f>IF($B84="","",IFERROR(IF(INDEX(Config!$D$9:$D$29,MATCH($B84,Config!$B$9:$B$29,0))="Contrato",IF(INDEX(Config!$E$9:$E$29,MATCH($B84,Config!$B$9:$B$29,0))="","",INDEX(Config!$E$9:$E$29,MATCH($B84,Config!$B$9:$B$29,0))),""),""))</f>
        <v/>
      </c>
      <c r="AI84" s="19" t="str">
        <f>IF($B84="","",IFERROR(INDEX(Config!$D$9:$D$29,MATCH($B84,Config!$B$9:$B$29,0))&amp;"",""))</f>
        <v/>
      </c>
    </row>
    <row r="85">
      <c r="X85" s="20" t="str">
        <f>IF($B85="","",IFERROR(IF(INDEX(Config!$D$9:$D$29,MATCH($B85,Config!$B$9:$B$29,0))="Contrato",IF(INDEX(Config!$E$9:$E$29,MATCH($B85,Config!$B$9:$B$29,0))="","",INDEX(Config!$E$9:$E$29,MATCH($B85,Config!$B$9:$B$29,0))),""),""))</f>
        <v/>
      </c>
      <c r="AI85" s="19" t="str">
        <f>IF($B85="","",IFERROR(INDEX(Config!$D$9:$D$29,MATCH($B85,Config!$B$9:$B$29,0))&amp;"",""))</f>
        <v/>
      </c>
    </row>
    <row r="86">
      <c r="X86" s="20" t="str">
        <f>IF($B86="","",IFERROR(IF(INDEX(Config!$D$9:$D$29,MATCH($B86,Config!$B$9:$B$29,0))="Contrato",IF(INDEX(Config!$E$9:$E$29,MATCH($B86,Config!$B$9:$B$29,0))="","",INDEX(Config!$E$9:$E$29,MATCH($B86,Config!$B$9:$B$29,0))),""),""))</f>
        <v/>
      </c>
      <c r="AI86" s="19" t="str">
        <f>IF($B86="","",IFERROR(INDEX(Config!$D$9:$D$29,MATCH($B86,Config!$B$9:$B$29,0))&amp;"",""))</f>
        <v/>
      </c>
    </row>
    <row r="87">
      <c r="X87" s="20" t="str">
        <f>IF($B87="","",IFERROR(IF(INDEX(Config!$D$9:$D$29,MATCH($B87,Config!$B$9:$B$29,0))="Contrato",IF(INDEX(Config!$E$9:$E$29,MATCH($B87,Config!$B$9:$B$29,0))="","",INDEX(Config!$E$9:$E$29,MATCH($B87,Config!$B$9:$B$29,0))),""),""))</f>
        <v/>
      </c>
      <c r="AI87" s="19" t="str">
        <f>IF($B87="","",IFERROR(INDEX(Config!$D$9:$D$29,MATCH($B87,Config!$B$9:$B$29,0))&amp;"",""))</f>
        <v/>
      </c>
    </row>
    <row r="88">
      <c r="X88" s="20" t="str">
        <f>IF($B88="","",IFERROR(IF(INDEX(Config!$D$9:$D$29,MATCH($B88,Config!$B$9:$B$29,0))="Contrato",IF(INDEX(Config!$E$9:$E$29,MATCH($B88,Config!$B$9:$B$29,0))="","",INDEX(Config!$E$9:$E$29,MATCH($B88,Config!$B$9:$B$29,0))),""),""))</f>
        <v/>
      </c>
      <c r="AI88" s="19" t="str">
        <f>IF($B88="","",IFERROR(INDEX(Config!$D$9:$D$29,MATCH($B88,Config!$B$9:$B$29,0))&amp;"",""))</f>
        <v/>
      </c>
    </row>
    <row r="89">
      <c r="X89" s="20" t="str">
        <f>IF($B89="","",IFERROR(IF(INDEX(Config!$D$9:$D$29,MATCH($B89,Config!$B$9:$B$29,0))="Contrato",IF(INDEX(Config!$E$9:$E$29,MATCH($B89,Config!$B$9:$B$29,0))="","",INDEX(Config!$E$9:$E$29,MATCH($B89,Config!$B$9:$B$29,0))),""),""))</f>
        <v/>
      </c>
      <c r="AI89" s="19" t="str">
        <f>IF($B89="","",IFERROR(INDEX(Config!$D$9:$D$29,MATCH($B89,Config!$B$9:$B$29,0))&amp;"",""))</f>
        <v/>
      </c>
    </row>
    <row r="90">
      <c r="X90" s="20" t="str">
        <f>IF($B90="","",IFERROR(IF(INDEX(Config!$D$9:$D$29,MATCH($B90,Config!$B$9:$B$29,0))="Contrato",IF(INDEX(Config!$E$9:$E$29,MATCH($B90,Config!$B$9:$B$29,0))="","",INDEX(Config!$E$9:$E$29,MATCH($B90,Config!$B$9:$B$29,0))),""),""))</f>
        <v/>
      </c>
      <c r="AI90" s="19" t="str">
        <f>IF($B90="","",IFERROR(INDEX(Config!$D$9:$D$29,MATCH($B90,Config!$B$9:$B$29,0))&amp;"",""))</f>
        <v/>
      </c>
    </row>
    <row r="91">
      <c r="X91" s="20" t="str">
        <f>IF($B91="","",IFERROR(IF(INDEX(Config!$D$9:$D$29,MATCH($B91,Config!$B$9:$B$29,0))="Contrato",IF(INDEX(Config!$E$9:$E$29,MATCH($B91,Config!$B$9:$B$29,0))="","",INDEX(Config!$E$9:$E$29,MATCH($B91,Config!$B$9:$B$29,0))),""),""))</f>
        <v/>
      </c>
      <c r="AI91" s="19" t="str">
        <f>IF($B91="","",IFERROR(INDEX(Config!$D$9:$D$29,MATCH($B91,Config!$B$9:$B$29,0))&amp;"",""))</f>
        <v/>
      </c>
    </row>
    <row r="92">
      <c r="X92" s="20" t="str">
        <f>IF($B92="","",IFERROR(IF(INDEX(Config!$D$9:$D$29,MATCH($B92,Config!$B$9:$B$29,0))="Contrato",IF(INDEX(Config!$E$9:$E$29,MATCH($B92,Config!$B$9:$B$29,0))="","",INDEX(Config!$E$9:$E$29,MATCH($B92,Config!$B$9:$B$29,0))),""),""))</f>
        <v/>
      </c>
      <c r="AI92" s="19" t="str">
        <f>IF($B92="","",IFERROR(INDEX(Config!$D$9:$D$29,MATCH($B92,Config!$B$9:$B$29,0))&amp;"",""))</f>
        <v/>
      </c>
    </row>
    <row r="93">
      <c r="X93" s="20" t="str">
        <f>IF($B93="","",IFERROR(IF(INDEX(Config!$D$9:$D$29,MATCH($B93,Config!$B$9:$B$29,0))="Contrato",IF(INDEX(Config!$E$9:$E$29,MATCH($B93,Config!$B$9:$B$29,0))="","",INDEX(Config!$E$9:$E$29,MATCH($B93,Config!$B$9:$B$29,0))),""),""))</f>
        <v/>
      </c>
      <c r="AI93" s="19" t="str">
        <f>IF($B93="","",IFERROR(INDEX(Config!$D$9:$D$29,MATCH($B93,Config!$B$9:$B$29,0))&amp;"",""))</f>
        <v/>
      </c>
    </row>
    <row r="94">
      <c r="X94" s="20" t="str">
        <f>IF($B94="","",IFERROR(IF(INDEX(Config!$D$9:$D$29,MATCH($B94,Config!$B$9:$B$29,0))="Contrato",IF(INDEX(Config!$E$9:$E$29,MATCH($B94,Config!$B$9:$B$29,0))="","",INDEX(Config!$E$9:$E$29,MATCH($B94,Config!$B$9:$B$29,0))),""),""))</f>
        <v/>
      </c>
      <c r="AI94" s="19" t="str">
        <f>IF($B94="","",IFERROR(INDEX(Config!$D$9:$D$29,MATCH($B94,Config!$B$9:$B$29,0))&amp;"",""))</f>
        <v/>
      </c>
    </row>
    <row r="95">
      <c r="X95" s="20" t="str">
        <f>IF($B95="","",IFERROR(IF(INDEX(Config!$D$9:$D$29,MATCH($B95,Config!$B$9:$B$29,0))="Contrato",IF(INDEX(Config!$E$9:$E$29,MATCH($B95,Config!$B$9:$B$29,0))="","",INDEX(Config!$E$9:$E$29,MATCH($B95,Config!$B$9:$B$29,0))),""),""))</f>
        <v/>
      </c>
      <c r="AI95" s="19" t="str">
        <f>IF($B95="","",IFERROR(INDEX(Config!$D$9:$D$29,MATCH($B95,Config!$B$9:$B$29,0))&amp;"",""))</f>
        <v/>
      </c>
    </row>
    <row r="96">
      <c r="X96" s="20" t="str">
        <f>IF($B96="","",IFERROR(IF(INDEX(Config!$D$9:$D$29,MATCH($B96,Config!$B$9:$B$29,0))="Contrato",IF(INDEX(Config!$E$9:$E$29,MATCH($B96,Config!$B$9:$B$29,0))="","",INDEX(Config!$E$9:$E$29,MATCH($B96,Config!$B$9:$B$29,0))),""),""))</f>
        <v/>
      </c>
      <c r="AI96" s="19" t="str">
        <f>IF($B96="","",IFERROR(INDEX(Config!$D$9:$D$29,MATCH($B96,Config!$B$9:$B$29,0))&amp;"",""))</f>
        <v/>
      </c>
    </row>
    <row r="97">
      <c r="X97" s="20" t="str">
        <f>IF($B97="","",IFERROR(IF(INDEX(Config!$D$9:$D$29,MATCH($B97,Config!$B$9:$B$29,0))="Contrato",IF(INDEX(Config!$E$9:$E$29,MATCH($B97,Config!$B$9:$B$29,0))="","",INDEX(Config!$E$9:$E$29,MATCH($B97,Config!$B$9:$B$29,0))),""),""))</f>
        <v/>
      </c>
      <c r="AI97" s="19" t="str">
        <f>IF($B97="","",IFERROR(INDEX(Config!$D$9:$D$29,MATCH($B97,Config!$B$9:$B$29,0))&amp;"",""))</f>
        <v/>
      </c>
    </row>
    <row r="98">
      <c r="X98" s="20" t="str">
        <f>IF($B98="","",IFERROR(IF(INDEX(Config!$D$9:$D$29,MATCH($B98,Config!$B$9:$B$29,0))="Contrato",IF(INDEX(Config!$E$9:$E$29,MATCH($B98,Config!$B$9:$B$29,0))="","",INDEX(Config!$E$9:$E$29,MATCH($B98,Config!$B$9:$B$29,0))),""),""))</f>
        <v/>
      </c>
      <c r="AI98" s="19" t="str">
        <f>IF($B98="","",IFERROR(INDEX(Config!$D$9:$D$29,MATCH($B98,Config!$B$9:$B$29,0))&amp;"",""))</f>
        <v/>
      </c>
    </row>
    <row r="99">
      <c r="X99" s="20" t="str">
        <f>IF($B99="","",IFERROR(IF(INDEX(Config!$D$9:$D$29,MATCH($B99,Config!$B$9:$B$29,0))="Contrato",IF(INDEX(Config!$E$9:$E$29,MATCH($B99,Config!$B$9:$B$29,0))="","",INDEX(Config!$E$9:$E$29,MATCH($B99,Config!$B$9:$B$29,0))),""),""))</f>
        <v/>
      </c>
      <c r="AI99" s="19" t="str">
        <f>IF($B99="","",IFERROR(INDEX(Config!$D$9:$D$29,MATCH($B99,Config!$B$9:$B$29,0))&amp;"",""))</f>
        <v/>
      </c>
    </row>
    <row r="100">
      <c r="X100" s="20" t="str">
        <f>IF($B100="","",IFERROR(IF(INDEX(Config!$D$9:$D$29,MATCH($B100,Config!$B$9:$B$29,0))="Contrato",IF(INDEX(Config!$E$9:$E$29,MATCH($B100,Config!$B$9:$B$29,0))="","",INDEX(Config!$E$9:$E$29,MATCH($B100,Config!$B$9:$B$29,0))),""),""))</f>
        <v/>
      </c>
      <c r="AI100" s="19" t="str">
        <f>IF($B100="","",IFERROR(INDEX(Config!$D$9:$D$29,MATCH($B100,Config!$B$9:$B$29,0))&amp;"",""))</f>
        <v/>
      </c>
    </row>
    <row r="101">
      <c r="X101" s="20" t="str">
        <f>IF($B101="","",IFERROR(IF(INDEX(Config!$D$9:$D$29,MATCH($B101,Config!$B$9:$B$29,0))="Contrato",IF(INDEX(Config!$E$9:$E$29,MATCH($B101,Config!$B$9:$B$29,0))="","",INDEX(Config!$E$9:$E$29,MATCH($B101,Config!$B$9:$B$29,0))),""),""))</f>
        <v/>
      </c>
      <c r="AI101" s="19" t="str">
        <f>IF($B101="","",IFERROR(INDEX(Config!$D$9:$D$29,MATCH($B101,Config!$B$9:$B$29,0))&amp;"",""))</f>
        <v/>
      </c>
    </row>
    <row r="102">
      <c r="X102" s="20" t="str">
        <f>IF($B102="","",IFERROR(IF(INDEX(Config!$D$9:$D$29,MATCH($B102,Config!$B$9:$B$29,0))="Contrato",IF(INDEX(Config!$E$9:$E$29,MATCH($B102,Config!$B$9:$B$29,0))="","",INDEX(Config!$E$9:$E$29,MATCH($B102,Config!$B$9:$B$29,0))),""),""))</f>
        <v/>
      </c>
      <c r="AI102" s="19" t="str">
        <f>IF($B102="","",IFERROR(INDEX(Config!$D$9:$D$29,MATCH($B102,Config!$B$9:$B$29,0))&amp;"",""))</f>
        <v/>
      </c>
    </row>
    <row r="103">
      <c r="X103" s="20" t="str">
        <f>IF($B103="","",IFERROR(IF(INDEX(Config!$D$9:$D$29,MATCH($B103,Config!$B$9:$B$29,0))="Contrato",IF(INDEX(Config!$E$9:$E$29,MATCH($B103,Config!$B$9:$B$29,0))="","",INDEX(Config!$E$9:$E$29,MATCH($B103,Config!$B$9:$B$29,0))),""),""))</f>
        <v/>
      </c>
      <c r="AI103" s="19" t="str">
        <f>IF($B103="","",IFERROR(INDEX(Config!$D$9:$D$29,MATCH($B103,Config!$B$9:$B$29,0))&amp;"",""))</f>
        <v/>
      </c>
    </row>
    <row r="104">
      <c r="X104" s="20" t="str">
        <f>IF($B104="","",IFERROR(IF(INDEX(Config!$D$9:$D$29,MATCH($B104,Config!$B$9:$B$29,0))="Contrato",IF(INDEX(Config!$E$9:$E$29,MATCH($B104,Config!$B$9:$B$29,0))="","",INDEX(Config!$E$9:$E$29,MATCH($B104,Config!$B$9:$B$29,0))),""),""))</f>
        <v/>
      </c>
      <c r="AI104" s="19" t="str">
        <f>IF($B104="","",IFERROR(INDEX(Config!$D$9:$D$29,MATCH($B104,Config!$B$9:$B$29,0))&amp;"",""))</f>
        <v/>
      </c>
    </row>
    <row r="105">
      <c r="X105" s="20" t="str">
        <f>IF($B105="","",IFERROR(IF(INDEX(Config!$D$9:$D$29,MATCH($B105,Config!$B$9:$B$29,0))="Contrato",IF(INDEX(Config!$E$9:$E$29,MATCH($B105,Config!$B$9:$B$29,0))="","",INDEX(Config!$E$9:$E$29,MATCH($B105,Config!$B$9:$B$29,0))),""),""))</f>
        <v/>
      </c>
      <c r="AI105" s="19" t="str">
        <f>IF($B105="","",IFERROR(INDEX(Config!$D$9:$D$29,MATCH($B105,Config!$B$9:$B$29,0))&amp;"",""))</f>
        <v/>
      </c>
    </row>
    <row r="106">
      <c r="X106" s="20" t="str">
        <f>IF($B106="","",IFERROR(IF(INDEX(Config!$D$9:$D$29,MATCH($B106,Config!$B$9:$B$29,0))="Contrato",IF(INDEX(Config!$E$9:$E$29,MATCH($B106,Config!$B$9:$B$29,0))="","",INDEX(Config!$E$9:$E$29,MATCH($B106,Config!$B$9:$B$29,0))),""),""))</f>
        <v/>
      </c>
      <c r="AI106" s="19" t="str">
        <f>IF($B106="","",IFERROR(INDEX(Config!$D$9:$D$29,MATCH($B106,Config!$B$9:$B$29,0))&amp;"",""))</f>
        <v/>
      </c>
    </row>
    <row r="107">
      <c r="X107" s="20" t="str">
        <f>IF($B107="","",IFERROR(IF(INDEX(Config!$D$9:$D$29,MATCH($B107,Config!$B$9:$B$29,0))="Contrato",IF(INDEX(Config!$E$9:$E$29,MATCH($B107,Config!$B$9:$B$29,0))="","",INDEX(Config!$E$9:$E$29,MATCH($B107,Config!$B$9:$B$29,0))),""),""))</f>
        <v/>
      </c>
      <c r="AI107" s="19" t="str">
        <f>IF($B107="","",IFERROR(INDEX(Config!$D$9:$D$29,MATCH($B107,Config!$B$9:$B$29,0))&amp;"",""))</f>
        <v/>
      </c>
    </row>
    <row r="108">
      <c r="X108" s="20" t="str">
        <f>IF($B108="","",IFERROR(IF(INDEX(Config!$D$9:$D$29,MATCH($B108,Config!$B$9:$B$29,0))="Contrato",IF(INDEX(Config!$E$9:$E$29,MATCH($B108,Config!$B$9:$B$29,0))="","",INDEX(Config!$E$9:$E$29,MATCH($B108,Config!$B$9:$B$29,0))),""),""))</f>
        <v/>
      </c>
      <c r="AI108" s="19" t="str">
        <f>IF($B108="","",IFERROR(INDEX(Config!$D$9:$D$29,MATCH($B108,Config!$B$9:$B$29,0))&amp;"",""))</f>
        <v/>
      </c>
    </row>
    <row r="109">
      <c r="X109" s="20" t="str">
        <f>IF($B109="","",IFERROR(IF(INDEX(Config!$D$9:$D$29,MATCH($B109,Config!$B$9:$B$29,0))="Contrato",IF(INDEX(Config!$E$9:$E$29,MATCH($B109,Config!$B$9:$B$29,0))="","",INDEX(Config!$E$9:$E$29,MATCH($B109,Config!$B$9:$B$29,0))),""),""))</f>
        <v/>
      </c>
      <c r="AI109" s="19" t="str">
        <f>IF($B109="","",IFERROR(INDEX(Config!$D$9:$D$29,MATCH($B109,Config!$B$9:$B$29,0))&amp;"",""))</f>
        <v/>
      </c>
    </row>
    <row r="110">
      <c r="X110" s="20" t="str">
        <f>IF($B110="","",IFERROR(IF(INDEX(Config!$D$9:$D$29,MATCH($B110,Config!$B$9:$B$29,0))="Contrato",IF(INDEX(Config!$E$9:$E$29,MATCH($B110,Config!$B$9:$B$29,0))="","",INDEX(Config!$E$9:$E$29,MATCH($B110,Config!$B$9:$B$29,0))),""),""))</f>
        <v/>
      </c>
      <c r="AI110" s="19" t="str">
        <f>IF($B110="","",IFERROR(INDEX(Config!$D$9:$D$29,MATCH($B110,Config!$B$9:$B$29,0))&amp;"",""))</f>
        <v/>
      </c>
    </row>
    <row r="111">
      <c r="X111" s="20" t="str">
        <f>IF($B111="","",IFERROR(IF(INDEX(Config!$D$9:$D$29,MATCH($B111,Config!$B$9:$B$29,0))="Contrato",IF(INDEX(Config!$E$9:$E$29,MATCH($B111,Config!$B$9:$B$29,0))="","",INDEX(Config!$E$9:$E$29,MATCH($B111,Config!$B$9:$B$29,0))),""),""))</f>
        <v/>
      </c>
      <c r="AI111" s="19" t="str">
        <f>IF($B111="","",IFERROR(INDEX(Config!$D$9:$D$29,MATCH($B111,Config!$B$9:$B$29,0))&amp;"",""))</f>
        <v/>
      </c>
    </row>
    <row r="112">
      <c r="X112" s="20" t="str">
        <f>IF($B112="","",IFERROR(IF(INDEX(Config!$D$9:$D$29,MATCH($B112,Config!$B$9:$B$29,0))="Contrato",IF(INDEX(Config!$E$9:$E$29,MATCH($B112,Config!$B$9:$B$29,0))="","",INDEX(Config!$E$9:$E$29,MATCH($B112,Config!$B$9:$B$29,0))),""),""))</f>
        <v/>
      </c>
      <c r="AI112" s="19" t="str">
        <f>IF($B112="","",IFERROR(INDEX(Config!$D$9:$D$29,MATCH($B112,Config!$B$9:$B$29,0))&amp;"",""))</f>
        <v/>
      </c>
    </row>
    <row r="113">
      <c r="X113" s="20" t="str">
        <f>IF($B113="","",IFERROR(IF(INDEX(Config!$D$9:$D$29,MATCH($B113,Config!$B$9:$B$29,0))="Contrato",IF(INDEX(Config!$E$9:$E$29,MATCH($B113,Config!$B$9:$B$29,0))="","",INDEX(Config!$E$9:$E$29,MATCH($B113,Config!$B$9:$B$29,0))),""),""))</f>
        <v/>
      </c>
      <c r="AI113" s="19" t="str">
        <f>IF($B113="","",IFERROR(INDEX(Config!$D$9:$D$29,MATCH($B113,Config!$B$9:$B$29,0))&amp;"",""))</f>
        <v/>
      </c>
    </row>
    <row r="114">
      <c r="X114" s="20" t="str">
        <f>IF($B114="","",IFERROR(IF(INDEX(Config!$D$9:$D$29,MATCH($B114,Config!$B$9:$B$29,0))="Contrato",IF(INDEX(Config!$E$9:$E$29,MATCH($B114,Config!$B$9:$B$29,0))="","",INDEX(Config!$E$9:$E$29,MATCH($B114,Config!$B$9:$B$29,0))),""),""))</f>
        <v/>
      </c>
      <c r="AI114" s="19" t="str">
        <f>IF($B114="","",IFERROR(INDEX(Config!$D$9:$D$29,MATCH($B114,Config!$B$9:$B$29,0))&amp;"",""))</f>
        <v/>
      </c>
    </row>
    <row r="115">
      <c r="X115" s="20" t="str">
        <f>IF($B115="","",IFERROR(IF(INDEX(Config!$D$9:$D$29,MATCH($B115,Config!$B$9:$B$29,0))="Contrato",IF(INDEX(Config!$E$9:$E$29,MATCH($B115,Config!$B$9:$B$29,0))="","",INDEX(Config!$E$9:$E$29,MATCH($B115,Config!$B$9:$B$29,0))),""),""))</f>
        <v/>
      </c>
      <c r="AI115" s="19" t="str">
        <f>IF($B115="","",IFERROR(INDEX(Config!$D$9:$D$29,MATCH($B115,Config!$B$9:$B$29,0))&amp;"",""))</f>
        <v/>
      </c>
    </row>
    <row r="116">
      <c r="X116" s="20" t="str">
        <f>IF($B116="","",IFERROR(IF(INDEX(Config!$D$9:$D$29,MATCH($B116,Config!$B$9:$B$29,0))="Contrato",IF(INDEX(Config!$E$9:$E$29,MATCH($B116,Config!$B$9:$B$29,0))="","",INDEX(Config!$E$9:$E$29,MATCH($B116,Config!$B$9:$B$29,0))),""),""))</f>
        <v/>
      </c>
      <c r="AI116" s="19" t="str">
        <f>IF($B116="","",IFERROR(INDEX(Config!$D$9:$D$29,MATCH($B116,Config!$B$9:$B$29,0))&amp;"",""))</f>
        <v/>
      </c>
    </row>
    <row r="117">
      <c r="X117" s="20" t="str">
        <f>IF($B117="","",IFERROR(IF(INDEX(Config!$D$9:$D$29,MATCH($B117,Config!$B$9:$B$29,0))="Contrato",IF(INDEX(Config!$E$9:$E$29,MATCH($B117,Config!$B$9:$B$29,0))="","",INDEX(Config!$E$9:$E$29,MATCH($B117,Config!$B$9:$B$29,0))),""),""))</f>
        <v/>
      </c>
      <c r="AI117" s="19" t="str">
        <f>IF($B117="","",IFERROR(INDEX(Config!$D$9:$D$29,MATCH($B117,Config!$B$9:$B$29,0))&amp;"",""))</f>
        <v/>
      </c>
    </row>
    <row r="118">
      <c r="X118" s="20" t="str">
        <f>IF($B118="","",IFERROR(IF(INDEX(Config!$D$9:$D$29,MATCH($B118,Config!$B$9:$B$29,0))="Contrato",IF(INDEX(Config!$E$9:$E$29,MATCH($B118,Config!$B$9:$B$29,0))="","",INDEX(Config!$E$9:$E$29,MATCH($B118,Config!$B$9:$B$29,0))),""),""))</f>
        <v/>
      </c>
      <c r="AI118" s="19" t="str">
        <f>IF($B118="","",IFERROR(INDEX(Config!$D$9:$D$29,MATCH($B118,Config!$B$9:$B$29,0))&amp;"",""))</f>
        <v/>
      </c>
    </row>
    <row r="119">
      <c r="X119" s="20" t="str">
        <f>IF($B119="","",IFERROR(IF(INDEX(Config!$D$9:$D$29,MATCH($B119,Config!$B$9:$B$29,0))="Contrato",IF(INDEX(Config!$E$9:$E$29,MATCH($B119,Config!$B$9:$B$29,0))="","",INDEX(Config!$E$9:$E$29,MATCH($B119,Config!$B$9:$B$29,0))),""),""))</f>
        <v/>
      </c>
      <c r="AI119" s="19" t="str">
        <f>IF($B119="","",IFERROR(INDEX(Config!$D$9:$D$29,MATCH($B119,Config!$B$9:$B$29,0))&amp;"",""))</f>
        <v/>
      </c>
    </row>
    <row r="120">
      <c r="X120" s="20" t="str">
        <f>IF($B120="","",IFERROR(IF(INDEX(Config!$D$9:$D$29,MATCH($B120,Config!$B$9:$B$29,0))="Contrato",IF(INDEX(Config!$E$9:$E$29,MATCH($B120,Config!$B$9:$B$29,0))="","",INDEX(Config!$E$9:$E$29,MATCH($B120,Config!$B$9:$B$29,0))),""),""))</f>
        <v/>
      </c>
      <c r="AI120" s="19" t="str">
        <f>IF($B120="","",IFERROR(INDEX(Config!$D$9:$D$29,MATCH($B120,Config!$B$9:$B$29,0))&amp;"",""))</f>
        <v/>
      </c>
    </row>
    <row r="121">
      <c r="X121" s="20" t="str">
        <f>IF($B121="","",IFERROR(IF(INDEX(Config!$D$9:$D$29,MATCH($B121,Config!$B$9:$B$29,0))="Contrato",IF(INDEX(Config!$E$9:$E$29,MATCH($B121,Config!$B$9:$B$29,0))="","",INDEX(Config!$E$9:$E$29,MATCH($B121,Config!$B$9:$B$29,0))),""),""))</f>
        <v/>
      </c>
      <c r="AI121" s="19" t="str">
        <f>IF($B121="","",IFERROR(INDEX(Config!$D$9:$D$29,MATCH($B121,Config!$B$9:$B$29,0))&amp;"",""))</f>
        <v/>
      </c>
    </row>
    <row r="122">
      <c r="X122" s="20" t="str">
        <f>IF($B122="","",IFERROR(IF(INDEX(Config!$D$9:$D$29,MATCH($B122,Config!$B$9:$B$29,0))="Contrato",IF(INDEX(Config!$E$9:$E$29,MATCH($B122,Config!$B$9:$B$29,0))="","",INDEX(Config!$E$9:$E$29,MATCH($B122,Config!$B$9:$B$29,0))),""),""))</f>
        <v/>
      </c>
      <c r="AI122" s="19" t="str">
        <f>IF($B122="","",IFERROR(INDEX(Config!$D$9:$D$29,MATCH($B122,Config!$B$9:$B$29,0))&amp;"",""))</f>
        <v/>
      </c>
    </row>
    <row r="123">
      <c r="X123" s="20" t="str">
        <f>IF($B123="","",IFERROR(IF(INDEX(Config!$D$9:$D$29,MATCH($B123,Config!$B$9:$B$29,0))="Contrato",IF(INDEX(Config!$E$9:$E$29,MATCH($B123,Config!$B$9:$B$29,0))="","",INDEX(Config!$E$9:$E$29,MATCH($B123,Config!$B$9:$B$29,0))),""),""))</f>
        <v/>
      </c>
      <c r="AI123" s="19" t="str">
        <f>IF($B123="","",IFERROR(INDEX(Config!$D$9:$D$29,MATCH($B123,Config!$B$9:$B$29,0))&amp;"",""))</f>
        <v/>
      </c>
    </row>
    <row r="124">
      <c r="X124" s="20" t="str">
        <f>IF($B124="","",IFERROR(IF(INDEX(Config!$D$9:$D$29,MATCH($B124,Config!$B$9:$B$29,0))="Contrato",IF(INDEX(Config!$E$9:$E$29,MATCH($B124,Config!$B$9:$B$29,0))="","",INDEX(Config!$E$9:$E$29,MATCH($B124,Config!$B$9:$B$29,0))),""),""))</f>
        <v/>
      </c>
      <c r="AI124" s="19" t="str">
        <f>IF($B124="","",IFERROR(INDEX(Config!$D$9:$D$29,MATCH($B124,Config!$B$9:$B$29,0))&amp;"",""))</f>
        <v/>
      </c>
    </row>
    <row r="125">
      <c r="X125" s="20" t="str">
        <f>IF($B125="","",IFERROR(IF(INDEX(Config!$D$9:$D$29,MATCH($B125,Config!$B$9:$B$29,0))="Contrato",IF(INDEX(Config!$E$9:$E$29,MATCH($B125,Config!$B$9:$B$29,0))="","",INDEX(Config!$E$9:$E$29,MATCH($B125,Config!$B$9:$B$29,0))),""),""))</f>
        <v/>
      </c>
      <c r="AI125" s="19" t="str">
        <f>IF($B125="","",IFERROR(INDEX(Config!$D$9:$D$29,MATCH($B125,Config!$B$9:$B$29,0))&amp;"",""))</f>
        <v/>
      </c>
    </row>
    <row r="126">
      <c r="X126" s="20" t="str">
        <f>IF($B126="","",IFERROR(IF(INDEX(Config!$D$9:$D$29,MATCH($B126,Config!$B$9:$B$29,0))="Contrato",IF(INDEX(Config!$E$9:$E$29,MATCH($B126,Config!$B$9:$B$29,0))="","",INDEX(Config!$E$9:$E$29,MATCH($B126,Config!$B$9:$B$29,0))),""),""))</f>
        <v/>
      </c>
      <c r="AI126" s="19" t="str">
        <f>IF($B126="","",IFERROR(INDEX(Config!$D$9:$D$29,MATCH($B126,Config!$B$9:$B$29,0))&amp;"",""))</f>
        <v/>
      </c>
    </row>
    <row r="127">
      <c r="X127" s="20" t="str">
        <f>IF($B127="","",IFERROR(IF(INDEX(Config!$D$9:$D$29,MATCH($B127,Config!$B$9:$B$29,0))="Contrato",IF(INDEX(Config!$E$9:$E$29,MATCH($B127,Config!$B$9:$B$29,0))="","",INDEX(Config!$E$9:$E$29,MATCH($B127,Config!$B$9:$B$29,0))),""),""))</f>
        <v/>
      </c>
      <c r="AI127" s="19" t="str">
        <f>IF($B127="","",IFERROR(INDEX(Config!$D$9:$D$29,MATCH($B127,Config!$B$9:$B$29,0))&amp;"",""))</f>
        <v/>
      </c>
    </row>
    <row r="128">
      <c r="X128" s="20" t="str">
        <f>IF($B128="","",IFERROR(IF(INDEX(Config!$D$9:$D$29,MATCH($B128,Config!$B$9:$B$29,0))="Contrato",IF(INDEX(Config!$E$9:$E$29,MATCH($B128,Config!$B$9:$B$29,0))="","",INDEX(Config!$E$9:$E$29,MATCH($B128,Config!$B$9:$B$29,0))),""),""))</f>
        <v/>
      </c>
      <c r="AI128" s="19" t="str">
        <f>IF($B128="","",IFERROR(INDEX(Config!$D$9:$D$29,MATCH($B128,Config!$B$9:$B$29,0))&amp;"",""))</f>
        <v/>
      </c>
    </row>
    <row r="129">
      <c r="X129" s="20" t="str">
        <f>IF($B129="","",IFERROR(IF(INDEX(Config!$D$9:$D$29,MATCH($B129,Config!$B$9:$B$29,0))="Contrato",IF(INDEX(Config!$E$9:$E$29,MATCH($B129,Config!$B$9:$B$29,0))="","",INDEX(Config!$E$9:$E$29,MATCH($B129,Config!$B$9:$B$29,0))),""),""))</f>
        <v/>
      </c>
      <c r="AI129" s="19" t="str">
        <f>IF($B129="","",IFERROR(INDEX(Config!$D$9:$D$29,MATCH($B129,Config!$B$9:$B$29,0))&amp;"",""))</f>
        <v/>
      </c>
    </row>
    <row r="130">
      <c r="X130" s="20" t="str">
        <f>IF($B130="","",IFERROR(IF(INDEX(Config!$D$9:$D$29,MATCH($B130,Config!$B$9:$B$29,0))="Contrato",IF(INDEX(Config!$E$9:$E$29,MATCH($B130,Config!$B$9:$B$29,0))="","",INDEX(Config!$E$9:$E$29,MATCH($B130,Config!$B$9:$B$29,0))),""),""))</f>
        <v/>
      </c>
      <c r="AI130" s="19" t="str">
        <f>IF($B130="","",IFERROR(INDEX(Config!$D$9:$D$29,MATCH($B130,Config!$B$9:$B$29,0))&amp;"",""))</f>
        <v/>
      </c>
    </row>
    <row r="131">
      <c r="X131" s="20" t="str">
        <f>IF($B131="","",IFERROR(IF(INDEX(Config!$D$9:$D$29,MATCH($B131,Config!$B$9:$B$29,0))="Contrato",IF(INDEX(Config!$E$9:$E$29,MATCH($B131,Config!$B$9:$B$29,0))="","",INDEX(Config!$E$9:$E$29,MATCH($B131,Config!$B$9:$B$29,0))),""),""))</f>
        <v/>
      </c>
      <c r="AI131" s="19" t="str">
        <f>IF($B131="","",IFERROR(INDEX(Config!$D$9:$D$29,MATCH($B131,Config!$B$9:$B$29,0))&amp;"",""))</f>
        <v/>
      </c>
    </row>
    <row r="132">
      <c r="X132" s="20" t="str">
        <f>IF($B132="","",IFERROR(IF(INDEX(Config!$D$9:$D$29,MATCH($B132,Config!$B$9:$B$29,0))="Contrato",IF(INDEX(Config!$E$9:$E$29,MATCH($B132,Config!$B$9:$B$29,0))="","",INDEX(Config!$E$9:$E$29,MATCH($B132,Config!$B$9:$B$29,0))),""),""))</f>
        <v/>
      </c>
      <c r="AI132" s="19" t="str">
        <f>IF($B132="","",IFERROR(INDEX(Config!$D$9:$D$29,MATCH($B132,Config!$B$9:$B$29,0))&amp;"",""))</f>
        <v/>
      </c>
    </row>
    <row r="133">
      <c r="X133" s="20" t="str">
        <f>IF($B133="","",IFERROR(IF(INDEX(Config!$D$9:$D$29,MATCH($B133,Config!$B$9:$B$29,0))="Contrato",IF(INDEX(Config!$E$9:$E$29,MATCH($B133,Config!$B$9:$B$29,0))="","",INDEX(Config!$E$9:$E$29,MATCH($B133,Config!$B$9:$B$29,0))),""),""))</f>
        <v/>
      </c>
      <c r="AI133" s="19" t="str">
        <f>IF($B133="","",IFERROR(INDEX(Config!$D$9:$D$29,MATCH($B133,Config!$B$9:$B$29,0))&amp;"",""))</f>
        <v/>
      </c>
    </row>
    <row r="134">
      <c r="X134" s="20" t="str">
        <f>IF($B134="","",IFERROR(IF(INDEX(Config!$D$9:$D$29,MATCH($B134,Config!$B$9:$B$29,0))="Contrato",IF(INDEX(Config!$E$9:$E$29,MATCH($B134,Config!$B$9:$B$29,0))="","",INDEX(Config!$E$9:$E$29,MATCH($B134,Config!$B$9:$B$29,0))),""),""))</f>
        <v/>
      </c>
      <c r="AI134" s="19" t="str">
        <f>IF($B134="","",IFERROR(INDEX(Config!$D$9:$D$29,MATCH($B134,Config!$B$9:$B$29,0))&amp;"",""))</f>
        <v/>
      </c>
    </row>
    <row r="135">
      <c r="X135" s="20" t="str">
        <f>IF($B135="","",IFERROR(IF(INDEX(Config!$D$9:$D$29,MATCH($B135,Config!$B$9:$B$29,0))="Contrato",IF(INDEX(Config!$E$9:$E$29,MATCH($B135,Config!$B$9:$B$29,0))="","",INDEX(Config!$E$9:$E$29,MATCH($B135,Config!$B$9:$B$29,0))),""),""))</f>
        <v/>
      </c>
      <c r="AI135" s="19" t="str">
        <f>IF($B135="","",IFERROR(INDEX(Config!$D$9:$D$29,MATCH($B135,Config!$B$9:$B$29,0))&amp;"",""))</f>
        <v/>
      </c>
    </row>
    <row r="136">
      <c r="X136" s="20" t="str">
        <f>IF($B136="","",IFERROR(IF(INDEX(Config!$D$9:$D$29,MATCH($B136,Config!$B$9:$B$29,0))="Contrato",IF(INDEX(Config!$E$9:$E$29,MATCH($B136,Config!$B$9:$B$29,0))="","",INDEX(Config!$E$9:$E$29,MATCH($B136,Config!$B$9:$B$29,0))),""),""))</f>
        <v/>
      </c>
      <c r="AI136" s="19" t="str">
        <f>IF($B136="","",IFERROR(INDEX(Config!$D$9:$D$29,MATCH($B136,Config!$B$9:$B$29,0))&amp;"",""))</f>
        <v/>
      </c>
    </row>
    <row r="137">
      <c r="X137" s="20" t="str">
        <f>IF($B137="","",IFERROR(IF(INDEX(Config!$D$9:$D$29,MATCH($B137,Config!$B$9:$B$29,0))="Contrato",IF(INDEX(Config!$E$9:$E$29,MATCH($B137,Config!$B$9:$B$29,0))="","",INDEX(Config!$E$9:$E$29,MATCH($B137,Config!$B$9:$B$29,0))),""),""))</f>
        <v/>
      </c>
      <c r="AI137" s="19" t="str">
        <f>IF($B137="","",IFERROR(INDEX(Config!$D$9:$D$29,MATCH($B137,Config!$B$9:$B$29,0))&amp;"",""))</f>
        <v/>
      </c>
    </row>
    <row r="138">
      <c r="X138" s="20" t="str">
        <f>IF($B138="","",IFERROR(IF(INDEX(Config!$D$9:$D$29,MATCH($B138,Config!$B$9:$B$29,0))="Contrato",IF(INDEX(Config!$E$9:$E$29,MATCH($B138,Config!$B$9:$B$29,0))="","",INDEX(Config!$E$9:$E$29,MATCH($B138,Config!$B$9:$B$29,0))),""),""))</f>
        <v/>
      </c>
      <c r="AI138" s="19" t="str">
        <f>IF($B138="","",IFERROR(INDEX(Config!$D$9:$D$29,MATCH($B138,Config!$B$9:$B$29,0))&amp;"",""))</f>
        <v/>
      </c>
    </row>
    <row r="139">
      <c r="X139" s="20" t="str">
        <f>IF($B139="","",IFERROR(IF(INDEX(Config!$D$9:$D$29,MATCH($B139,Config!$B$9:$B$29,0))="Contrato",IF(INDEX(Config!$E$9:$E$29,MATCH($B139,Config!$B$9:$B$29,0))="","",INDEX(Config!$E$9:$E$29,MATCH($B139,Config!$B$9:$B$29,0))),""),""))</f>
        <v/>
      </c>
      <c r="AI139" s="19" t="str">
        <f>IF($B139="","",IFERROR(INDEX(Config!$D$9:$D$29,MATCH($B139,Config!$B$9:$B$29,0))&amp;"",""))</f>
        <v/>
      </c>
    </row>
    <row r="140">
      <c r="X140" s="20" t="str">
        <f>IF($B140="","",IFERROR(IF(INDEX(Config!$D$9:$D$29,MATCH($B140,Config!$B$9:$B$29,0))="Contrato",IF(INDEX(Config!$E$9:$E$29,MATCH($B140,Config!$B$9:$B$29,0))="","",INDEX(Config!$E$9:$E$29,MATCH($B140,Config!$B$9:$B$29,0))),""),""))</f>
        <v/>
      </c>
      <c r="AI140" s="19" t="str">
        <f>IF($B140="","",IFERROR(INDEX(Config!$D$9:$D$29,MATCH($B140,Config!$B$9:$B$29,0))&amp;"",""))</f>
        <v/>
      </c>
    </row>
    <row r="141">
      <c r="X141" s="20" t="str">
        <f>IF($B141="","",IFERROR(IF(INDEX(Config!$D$9:$D$29,MATCH($B141,Config!$B$9:$B$29,0))="Contrato",IF(INDEX(Config!$E$9:$E$29,MATCH($B141,Config!$B$9:$B$29,0))="","",INDEX(Config!$E$9:$E$29,MATCH($B141,Config!$B$9:$B$29,0))),""),""))</f>
        <v/>
      </c>
      <c r="AI141" s="19" t="str">
        <f>IF($B141="","",IFERROR(INDEX(Config!$D$9:$D$29,MATCH($B141,Config!$B$9:$B$29,0))&amp;"",""))</f>
        <v/>
      </c>
    </row>
    <row r="142">
      <c r="X142" s="20" t="str">
        <f>IF($B142="","",IFERROR(IF(INDEX(Config!$D$9:$D$29,MATCH($B142,Config!$B$9:$B$29,0))="Contrato",IF(INDEX(Config!$E$9:$E$29,MATCH($B142,Config!$B$9:$B$29,0))="","",INDEX(Config!$E$9:$E$29,MATCH($B142,Config!$B$9:$B$29,0))),""),""))</f>
        <v/>
      </c>
      <c r="AI142" s="19" t="str">
        <f>IF($B142="","",IFERROR(INDEX(Config!$D$9:$D$29,MATCH($B142,Config!$B$9:$B$29,0))&amp;"",""))</f>
        <v/>
      </c>
    </row>
    <row r="143">
      <c r="X143" s="20" t="str">
        <f>IF($B143="","",IFERROR(IF(INDEX(Config!$D$9:$D$29,MATCH($B143,Config!$B$9:$B$29,0))="Contrato",IF(INDEX(Config!$E$9:$E$29,MATCH($B143,Config!$B$9:$B$29,0))="","",INDEX(Config!$E$9:$E$29,MATCH($B143,Config!$B$9:$B$29,0))),""),""))</f>
        <v/>
      </c>
      <c r="AI143" s="19" t="str">
        <f>IF($B143="","",IFERROR(INDEX(Config!$D$9:$D$29,MATCH($B143,Config!$B$9:$B$29,0))&amp;"",""))</f>
        <v/>
      </c>
    </row>
    <row r="144">
      <c r="X144" s="20" t="str">
        <f>IF($B144="","",IFERROR(IF(INDEX(Config!$D$9:$D$29,MATCH($B144,Config!$B$9:$B$29,0))="Contrato",IF(INDEX(Config!$E$9:$E$29,MATCH($B144,Config!$B$9:$B$29,0))="","",INDEX(Config!$E$9:$E$29,MATCH($B144,Config!$B$9:$B$29,0))),""),""))</f>
        <v/>
      </c>
      <c r="AI144" s="19" t="str">
        <f>IF($B144="","",IFERROR(INDEX(Config!$D$9:$D$29,MATCH($B144,Config!$B$9:$B$29,0))&amp;"",""))</f>
        <v/>
      </c>
    </row>
    <row r="145">
      <c r="X145" s="20" t="str">
        <f>IF($B145="","",IFERROR(IF(INDEX(Config!$D$9:$D$29,MATCH($B145,Config!$B$9:$B$29,0))="Contrato",IF(INDEX(Config!$E$9:$E$29,MATCH($B145,Config!$B$9:$B$29,0))="","",INDEX(Config!$E$9:$E$29,MATCH($B145,Config!$B$9:$B$29,0))),""),""))</f>
        <v/>
      </c>
      <c r="AI145" s="19" t="str">
        <f>IF($B145="","",IFERROR(INDEX(Config!$D$9:$D$29,MATCH($B145,Config!$B$9:$B$29,0))&amp;"",""))</f>
        <v/>
      </c>
    </row>
    <row r="146">
      <c r="X146" s="20" t="str">
        <f>IF($B146="","",IFERROR(IF(INDEX(Config!$D$9:$D$29,MATCH($B146,Config!$B$9:$B$29,0))="Contrato",IF(INDEX(Config!$E$9:$E$29,MATCH($B146,Config!$B$9:$B$29,0))="","",INDEX(Config!$E$9:$E$29,MATCH($B146,Config!$B$9:$B$29,0))),""),""))</f>
        <v/>
      </c>
      <c r="AI146" s="19" t="str">
        <f>IF($B146="","",IFERROR(INDEX(Config!$D$9:$D$29,MATCH($B146,Config!$B$9:$B$29,0))&amp;"",""))</f>
        <v/>
      </c>
    </row>
    <row r="147">
      <c r="X147" s="20" t="str">
        <f>IF($B147="","",IFERROR(IF(INDEX(Config!$D$9:$D$29,MATCH($B147,Config!$B$9:$B$29,0))="Contrato",IF(INDEX(Config!$E$9:$E$29,MATCH($B147,Config!$B$9:$B$29,0))="","",INDEX(Config!$E$9:$E$29,MATCH($B147,Config!$B$9:$B$29,0))),""),""))</f>
        <v/>
      </c>
      <c r="AI147" s="19" t="str">
        <f>IF($B147="","",IFERROR(INDEX(Config!$D$9:$D$29,MATCH($B147,Config!$B$9:$B$29,0))&amp;"",""))</f>
        <v/>
      </c>
    </row>
    <row r="148">
      <c r="X148" s="20" t="str">
        <f>IF($B148="","",IFERROR(IF(INDEX(Config!$D$9:$D$29,MATCH($B148,Config!$B$9:$B$29,0))="Contrato",IF(INDEX(Config!$E$9:$E$29,MATCH($B148,Config!$B$9:$B$29,0))="","",INDEX(Config!$E$9:$E$29,MATCH($B148,Config!$B$9:$B$29,0))),""),""))</f>
        <v/>
      </c>
      <c r="AI148" s="19" t="str">
        <f>IF($B148="","",IFERROR(INDEX(Config!$D$9:$D$29,MATCH($B148,Config!$B$9:$B$29,0))&amp;"",""))</f>
        <v/>
      </c>
    </row>
    <row r="149">
      <c r="X149" s="20" t="str">
        <f>IF($B149="","",IFERROR(IF(INDEX(Config!$D$9:$D$29,MATCH($B149,Config!$B$9:$B$29,0))="Contrato",IF(INDEX(Config!$E$9:$E$29,MATCH($B149,Config!$B$9:$B$29,0))="","",INDEX(Config!$E$9:$E$29,MATCH($B149,Config!$B$9:$B$29,0))),""),""))</f>
        <v/>
      </c>
      <c r="AI149" s="19" t="str">
        <f>IF($B149="","",IFERROR(INDEX(Config!$D$9:$D$29,MATCH($B149,Config!$B$9:$B$29,0))&amp;"",""))</f>
        <v/>
      </c>
    </row>
    <row r="150">
      <c r="X150" s="20" t="str">
        <f>IF($B150="","",IFERROR(IF(INDEX(Config!$D$9:$D$29,MATCH($B150,Config!$B$9:$B$29,0))="Contrato",IF(INDEX(Config!$E$9:$E$29,MATCH($B150,Config!$B$9:$B$29,0))="","",INDEX(Config!$E$9:$E$29,MATCH($B150,Config!$B$9:$B$29,0))),""),""))</f>
        <v/>
      </c>
      <c r="AI150" s="19" t="str">
        <f>IF($B150="","",IFERROR(INDEX(Config!$D$9:$D$29,MATCH($B150,Config!$B$9:$B$29,0))&amp;"",""))</f>
        <v/>
      </c>
    </row>
    <row r="151">
      <c r="X151" s="20" t="str">
        <f>IF($B151="","",IFERROR(IF(INDEX(Config!$D$9:$D$29,MATCH($B151,Config!$B$9:$B$29,0))="Contrato",IF(INDEX(Config!$E$9:$E$29,MATCH($B151,Config!$B$9:$B$29,0))="","",INDEX(Config!$E$9:$E$29,MATCH($B151,Config!$B$9:$B$29,0))),""),""))</f>
        <v/>
      </c>
      <c r="AI151" s="19" t="str">
        <f>IF($B151="","",IFERROR(INDEX(Config!$D$9:$D$29,MATCH($B151,Config!$B$9:$B$29,0))&amp;"",""))</f>
        <v/>
      </c>
    </row>
    <row r="152">
      <c r="X152" s="20" t="str">
        <f>IF($B152="","",IFERROR(IF(INDEX(Config!$D$9:$D$29,MATCH($B152,Config!$B$9:$B$29,0))="Contrato",IF(INDEX(Config!$E$9:$E$29,MATCH($B152,Config!$B$9:$B$29,0))="","",INDEX(Config!$E$9:$E$29,MATCH($B152,Config!$B$9:$B$29,0))),""),""))</f>
        <v/>
      </c>
      <c r="AI152" s="19" t="str">
        <f>IF($B152="","",IFERROR(INDEX(Config!$D$9:$D$29,MATCH($B152,Config!$B$9:$B$29,0))&amp;"",""))</f>
        <v/>
      </c>
    </row>
    <row r="153">
      <c r="X153" s="20" t="str">
        <f>IF($B153="","",IFERROR(IF(INDEX(Config!$D$9:$D$29,MATCH($B153,Config!$B$9:$B$29,0))="Contrato",IF(INDEX(Config!$E$9:$E$29,MATCH($B153,Config!$B$9:$B$29,0))="","",INDEX(Config!$E$9:$E$29,MATCH($B153,Config!$B$9:$B$29,0))),""),""))</f>
        <v/>
      </c>
      <c r="AI153" s="19" t="str">
        <f>IF($B153="","",IFERROR(INDEX(Config!$D$9:$D$29,MATCH($B153,Config!$B$9:$B$29,0))&amp;"",""))</f>
        <v/>
      </c>
    </row>
    <row r="154">
      <c r="X154" s="20" t="str">
        <f>IF($B154="","",IFERROR(IF(INDEX(Config!$D$9:$D$29,MATCH($B154,Config!$B$9:$B$29,0))="Contrato",IF(INDEX(Config!$E$9:$E$29,MATCH($B154,Config!$B$9:$B$29,0))="","",INDEX(Config!$E$9:$E$29,MATCH($B154,Config!$B$9:$B$29,0))),""),""))</f>
        <v/>
      </c>
      <c r="AI154" s="19" t="str">
        <f>IF($B154="","",IFERROR(INDEX(Config!$D$9:$D$29,MATCH($B154,Config!$B$9:$B$29,0))&amp;"",""))</f>
        <v/>
      </c>
    </row>
    <row r="155">
      <c r="X155" s="20" t="str">
        <f>IF($B155="","",IFERROR(IF(INDEX(Config!$D$9:$D$29,MATCH($B155,Config!$B$9:$B$29,0))="Contrato",IF(INDEX(Config!$E$9:$E$29,MATCH($B155,Config!$B$9:$B$29,0))="","",INDEX(Config!$E$9:$E$29,MATCH($B155,Config!$B$9:$B$29,0))),""),""))</f>
        <v/>
      </c>
      <c r="AI155" s="19" t="str">
        <f>IF($B155="","",IFERROR(INDEX(Config!$D$9:$D$29,MATCH($B155,Config!$B$9:$B$29,0))&amp;"",""))</f>
        <v/>
      </c>
    </row>
    <row r="156">
      <c r="X156" s="20" t="str">
        <f>IF($B156="","",IFERROR(IF(INDEX(Config!$D$9:$D$29,MATCH($B156,Config!$B$9:$B$29,0))="Contrato",IF(INDEX(Config!$E$9:$E$29,MATCH($B156,Config!$B$9:$B$29,0))="","",INDEX(Config!$E$9:$E$29,MATCH($B156,Config!$B$9:$B$29,0))),""),""))</f>
        <v/>
      </c>
      <c r="AI156" s="19" t="str">
        <f>IF($B156="","",IFERROR(INDEX(Config!$D$9:$D$29,MATCH($B156,Config!$B$9:$B$29,0))&amp;"",""))</f>
        <v/>
      </c>
    </row>
    <row r="157">
      <c r="X157" s="20" t="str">
        <f>IF($B157="","",IFERROR(IF(INDEX(Config!$D$9:$D$29,MATCH($B157,Config!$B$9:$B$29,0))="Contrato",IF(INDEX(Config!$E$9:$E$29,MATCH($B157,Config!$B$9:$B$29,0))="","",INDEX(Config!$E$9:$E$29,MATCH($B157,Config!$B$9:$B$29,0))),""),""))</f>
        <v/>
      </c>
      <c r="AI157" s="19" t="str">
        <f>IF($B157="","",IFERROR(INDEX(Config!$D$9:$D$29,MATCH($B157,Config!$B$9:$B$29,0))&amp;"",""))</f>
        <v/>
      </c>
    </row>
    <row r="158">
      <c r="X158" s="20" t="str">
        <f>IF($B158="","",IFERROR(IF(INDEX(Config!$D$9:$D$29,MATCH($B158,Config!$B$9:$B$29,0))="Contrato",IF(INDEX(Config!$E$9:$E$29,MATCH($B158,Config!$B$9:$B$29,0))="","",INDEX(Config!$E$9:$E$29,MATCH($B158,Config!$B$9:$B$29,0))),""),""))</f>
        <v/>
      </c>
      <c r="AI158" s="19" t="str">
        <f>IF($B158="","",IFERROR(INDEX(Config!$D$9:$D$29,MATCH($B158,Config!$B$9:$B$29,0))&amp;"",""))</f>
        <v/>
      </c>
    </row>
    <row r="159">
      <c r="X159" s="20" t="str">
        <f>IF($B159="","",IFERROR(IF(INDEX(Config!$D$9:$D$29,MATCH($B159,Config!$B$9:$B$29,0))="Contrato",IF(INDEX(Config!$E$9:$E$29,MATCH($B159,Config!$B$9:$B$29,0))="","",INDEX(Config!$E$9:$E$29,MATCH($B159,Config!$B$9:$B$29,0))),""),""))</f>
        <v/>
      </c>
      <c r="AI159" s="19" t="str">
        <f>IF($B159="","",IFERROR(INDEX(Config!$D$9:$D$29,MATCH($B159,Config!$B$9:$B$29,0))&amp;"",""))</f>
        <v/>
      </c>
    </row>
    <row r="160">
      <c r="X160" s="20" t="str">
        <f>IF($B160="","",IFERROR(IF(INDEX(Config!$D$9:$D$29,MATCH($B160,Config!$B$9:$B$29,0))="Contrato",IF(INDEX(Config!$E$9:$E$29,MATCH($B160,Config!$B$9:$B$29,0))="","",INDEX(Config!$E$9:$E$29,MATCH($B160,Config!$B$9:$B$29,0))),""),""))</f>
        <v/>
      </c>
      <c r="AI160" s="19" t="str">
        <f>IF($B160="","",IFERROR(INDEX(Config!$D$9:$D$29,MATCH($B160,Config!$B$9:$B$29,0))&amp;"",""))</f>
        <v/>
      </c>
    </row>
    <row r="161">
      <c r="X161" s="20" t="str">
        <f>IF($B161="","",IFERROR(IF(INDEX(Config!$D$9:$D$29,MATCH($B161,Config!$B$9:$B$29,0))="Contrato",IF(INDEX(Config!$E$9:$E$29,MATCH($B161,Config!$B$9:$B$29,0))="","",INDEX(Config!$E$9:$E$29,MATCH($B161,Config!$B$9:$B$29,0))),""),""))</f>
        <v/>
      </c>
      <c r="AI161" s="19" t="str">
        <f>IF($B161="","",IFERROR(INDEX(Config!$D$9:$D$29,MATCH($B161,Config!$B$9:$B$29,0))&amp;"",""))</f>
        <v/>
      </c>
    </row>
    <row r="162">
      <c r="X162" s="20" t="str">
        <f>IF($B162="","",IFERROR(IF(INDEX(Config!$D$9:$D$29,MATCH($B162,Config!$B$9:$B$29,0))="Contrato",IF(INDEX(Config!$E$9:$E$29,MATCH($B162,Config!$B$9:$B$29,0))="","",INDEX(Config!$E$9:$E$29,MATCH($B162,Config!$B$9:$B$29,0))),""),""))</f>
        <v/>
      </c>
      <c r="AI162" s="19" t="str">
        <f>IF($B162="","",IFERROR(INDEX(Config!$D$9:$D$29,MATCH($B162,Config!$B$9:$B$29,0))&amp;"",""))</f>
        <v/>
      </c>
    </row>
    <row r="163">
      <c r="X163" s="20" t="str">
        <f>IF($B163="","",IFERROR(IF(INDEX(Config!$D$9:$D$29,MATCH($B163,Config!$B$9:$B$29,0))="Contrato",IF(INDEX(Config!$E$9:$E$29,MATCH($B163,Config!$B$9:$B$29,0))="","",INDEX(Config!$E$9:$E$29,MATCH($B163,Config!$B$9:$B$29,0))),""),""))</f>
        <v/>
      </c>
      <c r="AI163" s="19" t="str">
        <f>IF($B163="","",IFERROR(INDEX(Config!$D$9:$D$29,MATCH($B163,Config!$B$9:$B$29,0))&amp;"",""))</f>
        <v/>
      </c>
    </row>
    <row r="164">
      <c r="X164" s="20" t="str">
        <f>IF($B164="","",IFERROR(IF(INDEX(Config!$D$9:$D$29,MATCH($B164,Config!$B$9:$B$29,0))="Contrato",IF(INDEX(Config!$E$9:$E$29,MATCH($B164,Config!$B$9:$B$29,0))="","",INDEX(Config!$E$9:$E$29,MATCH($B164,Config!$B$9:$B$29,0))),""),""))</f>
        <v/>
      </c>
      <c r="AI164" s="19" t="str">
        <f>IF($B164="","",IFERROR(INDEX(Config!$D$9:$D$29,MATCH($B164,Config!$B$9:$B$29,0))&amp;"",""))</f>
        <v/>
      </c>
    </row>
    <row r="165">
      <c r="X165" s="20" t="str">
        <f>IF($B165="","",IFERROR(IF(INDEX(Config!$D$9:$D$29,MATCH($B165,Config!$B$9:$B$29,0))="Contrato",IF(INDEX(Config!$E$9:$E$29,MATCH($B165,Config!$B$9:$B$29,0))="","",INDEX(Config!$E$9:$E$29,MATCH($B165,Config!$B$9:$B$29,0))),""),""))</f>
        <v/>
      </c>
      <c r="AI165" s="19" t="str">
        <f>IF($B165="","",IFERROR(INDEX(Config!$D$9:$D$29,MATCH($B165,Config!$B$9:$B$29,0))&amp;"",""))</f>
        <v/>
      </c>
    </row>
    <row r="166">
      <c r="X166" s="20" t="str">
        <f>IF($B166="","",IFERROR(IF(INDEX(Config!$D$9:$D$29,MATCH($B166,Config!$B$9:$B$29,0))="Contrato",IF(INDEX(Config!$E$9:$E$29,MATCH($B166,Config!$B$9:$B$29,0))="","",INDEX(Config!$E$9:$E$29,MATCH($B166,Config!$B$9:$B$29,0))),""),""))</f>
        <v/>
      </c>
      <c r="AI166" s="19" t="str">
        <f>IF($B166="","",IFERROR(INDEX(Config!$D$9:$D$29,MATCH($B166,Config!$B$9:$B$29,0))&amp;"",""))</f>
        <v/>
      </c>
    </row>
    <row r="167">
      <c r="X167" s="20" t="str">
        <f>IF($B167="","",IFERROR(IF(INDEX(Config!$D$9:$D$29,MATCH($B167,Config!$B$9:$B$29,0))="Contrato",IF(INDEX(Config!$E$9:$E$29,MATCH($B167,Config!$B$9:$B$29,0))="","",INDEX(Config!$E$9:$E$29,MATCH($B167,Config!$B$9:$B$29,0))),""),""))</f>
        <v/>
      </c>
      <c r="AI167" s="19" t="str">
        <f>IF($B167="","",IFERROR(INDEX(Config!$D$9:$D$29,MATCH($B167,Config!$B$9:$B$29,0))&amp;"",""))</f>
        <v/>
      </c>
    </row>
    <row r="168">
      <c r="X168" s="20" t="str">
        <f>IF($B168="","",IFERROR(IF(INDEX(Config!$D$9:$D$29,MATCH($B168,Config!$B$9:$B$29,0))="Contrato",IF(INDEX(Config!$E$9:$E$29,MATCH($B168,Config!$B$9:$B$29,0))="","",INDEX(Config!$E$9:$E$29,MATCH($B168,Config!$B$9:$B$29,0))),""),""))</f>
        <v/>
      </c>
      <c r="AI168" s="19" t="str">
        <f>IF($B168="","",IFERROR(INDEX(Config!$D$9:$D$29,MATCH($B168,Config!$B$9:$B$29,0))&amp;"",""))</f>
        <v/>
      </c>
    </row>
    <row r="169">
      <c r="X169" s="20" t="str">
        <f>IF($B169="","",IFERROR(IF(INDEX(Config!$D$9:$D$29,MATCH($B169,Config!$B$9:$B$29,0))="Contrato",IF(INDEX(Config!$E$9:$E$29,MATCH($B169,Config!$B$9:$B$29,0))="","",INDEX(Config!$E$9:$E$29,MATCH($B169,Config!$B$9:$B$29,0))),""),""))</f>
        <v/>
      </c>
      <c r="AI169" s="19" t="str">
        <f>IF($B169="","",IFERROR(INDEX(Config!$D$9:$D$29,MATCH($B169,Config!$B$9:$B$29,0))&amp;"",""))</f>
        <v/>
      </c>
    </row>
    <row r="170">
      <c r="X170" s="20" t="str">
        <f>IF($B170="","",IFERROR(IF(INDEX(Config!$D$9:$D$29,MATCH($B170,Config!$B$9:$B$29,0))="Contrato",IF(INDEX(Config!$E$9:$E$29,MATCH($B170,Config!$B$9:$B$29,0))="","",INDEX(Config!$E$9:$E$29,MATCH($B170,Config!$B$9:$B$29,0))),""),""))</f>
        <v/>
      </c>
      <c r="AI170" s="19" t="str">
        <f>IF($B170="","",IFERROR(INDEX(Config!$D$9:$D$29,MATCH($B170,Config!$B$9:$B$29,0))&amp;"",""))</f>
        <v/>
      </c>
    </row>
    <row r="171">
      <c r="X171" s="20" t="str">
        <f>IF($B171="","",IFERROR(IF(INDEX(Config!$D$9:$D$29,MATCH($B171,Config!$B$9:$B$29,0))="Contrato",IF(INDEX(Config!$E$9:$E$29,MATCH($B171,Config!$B$9:$B$29,0))="","",INDEX(Config!$E$9:$E$29,MATCH($B171,Config!$B$9:$B$29,0))),""),""))</f>
        <v/>
      </c>
      <c r="AI171" s="19" t="str">
        <f>IF($B171="","",IFERROR(INDEX(Config!$D$9:$D$29,MATCH($B171,Config!$B$9:$B$29,0))&amp;"",""))</f>
        <v/>
      </c>
    </row>
    <row r="172">
      <c r="X172" s="20" t="str">
        <f>IF($B172="","",IFERROR(IF(INDEX(Config!$D$9:$D$29,MATCH($B172,Config!$B$9:$B$29,0))="Contrato",IF(INDEX(Config!$E$9:$E$29,MATCH($B172,Config!$B$9:$B$29,0))="","",INDEX(Config!$E$9:$E$29,MATCH($B172,Config!$B$9:$B$29,0))),""),""))</f>
        <v/>
      </c>
      <c r="AI172" s="19" t="str">
        <f>IF($B172="","",IFERROR(INDEX(Config!$D$9:$D$29,MATCH($B172,Config!$B$9:$B$29,0))&amp;"",""))</f>
        <v/>
      </c>
    </row>
    <row r="173">
      <c r="X173" s="20" t="str">
        <f>IF($B173="","",IFERROR(IF(INDEX(Config!$D$9:$D$29,MATCH($B173,Config!$B$9:$B$29,0))="Contrato",IF(INDEX(Config!$E$9:$E$29,MATCH($B173,Config!$B$9:$B$29,0))="","",INDEX(Config!$E$9:$E$29,MATCH($B173,Config!$B$9:$B$29,0))),""),""))</f>
        <v/>
      </c>
      <c r="AI173" s="19" t="str">
        <f>IF($B173="","",IFERROR(INDEX(Config!$D$9:$D$29,MATCH($B173,Config!$B$9:$B$29,0))&amp;"",""))</f>
        <v/>
      </c>
    </row>
    <row r="174">
      <c r="X174" s="20" t="str">
        <f>IF($B174="","",IFERROR(IF(INDEX(Config!$D$9:$D$29,MATCH($B174,Config!$B$9:$B$29,0))="Contrato",IF(INDEX(Config!$E$9:$E$29,MATCH($B174,Config!$B$9:$B$29,0))="","",INDEX(Config!$E$9:$E$29,MATCH($B174,Config!$B$9:$B$29,0))),""),""))</f>
        <v/>
      </c>
      <c r="AI174" s="19" t="str">
        <f>IF($B174="","",IFERROR(INDEX(Config!$D$9:$D$29,MATCH($B174,Config!$B$9:$B$29,0))&amp;"",""))</f>
        <v/>
      </c>
    </row>
    <row r="175">
      <c r="X175" s="20" t="str">
        <f>IF($B175="","",IFERROR(IF(INDEX(Config!$D$9:$D$29,MATCH($B175,Config!$B$9:$B$29,0))="Contrato",IF(INDEX(Config!$E$9:$E$29,MATCH($B175,Config!$B$9:$B$29,0))="","",INDEX(Config!$E$9:$E$29,MATCH($B175,Config!$B$9:$B$29,0))),""),""))</f>
        <v/>
      </c>
      <c r="AI175" s="19" t="str">
        <f>IF($B175="","",IFERROR(INDEX(Config!$D$9:$D$29,MATCH($B175,Config!$B$9:$B$29,0))&amp;"",""))</f>
        <v/>
      </c>
    </row>
    <row r="176">
      <c r="X176" s="20" t="str">
        <f>IF($B176="","",IFERROR(IF(INDEX(Config!$D$9:$D$29,MATCH($B176,Config!$B$9:$B$29,0))="Contrato",IF(INDEX(Config!$E$9:$E$29,MATCH($B176,Config!$B$9:$B$29,0))="","",INDEX(Config!$E$9:$E$29,MATCH($B176,Config!$B$9:$B$29,0))),""),""))</f>
        <v/>
      </c>
      <c r="AI176" s="19" t="str">
        <f>IF($B176="","",IFERROR(INDEX(Config!$D$9:$D$29,MATCH($B176,Config!$B$9:$B$29,0))&amp;"",""))</f>
        <v/>
      </c>
    </row>
    <row r="177">
      <c r="X177" s="20" t="str">
        <f>IF($B177="","",IFERROR(IF(INDEX(Config!$D$9:$D$29,MATCH($B177,Config!$B$9:$B$29,0))="Contrato",IF(INDEX(Config!$E$9:$E$29,MATCH($B177,Config!$B$9:$B$29,0))="","",INDEX(Config!$E$9:$E$29,MATCH($B177,Config!$B$9:$B$29,0))),""),""))</f>
        <v/>
      </c>
      <c r="AI177" s="19" t="str">
        <f>IF($B177="","",IFERROR(INDEX(Config!$D$9:$D$29,MATCH($B177,Config!$B$9:$B$29,0))&amp;"",""))</f>
        <v/>
      </c>
    </row>
    <row r="178">
      <c r="X178" s="20" t="str">
        <f>IF($B178="","",IFERROR(IF(INDEX(Config!$D$9:$D$29,MATCH($B178,Config!$B$9:$B$29,0))="Contrato",IF(INDEX(Config!$E$9:$E$29,MATCH($B178,Config!$B$9:$B$29,0))="","",INDEX(Config!$E$9:$E$29,MATCH($B178,Config!$B$9:$B$29,0))),""),""))</f>
        <v/>
      </c>
      <c r="AI178" s="19" t="str">
        <f>IF($B178="","",IFERROR(INDEX(Config!$D$9:$D$29,MATCH($B178,Config!$B$9:$B$29,0))&amp;"",""))</f>
        <v/>
      </c>
    </row>
    <row r="179">
      <c r="X179" s="20" t="str">
        <f>IF($B179="","",IFERROR(IF(INDEX(Config!$D$9:$D$29,MATCH($B179,Config!$B$9:$B$29,0))="Contrato",IF(INDEX(Config!$E$9:$E$29,MATCH($B179,Config!$B$9:$B$29,0))="","",INDEX(Config!$E$9:$E$29,MATCH($B179,Config!$B$9:$B$29,0))),""),""))</f>
        <v/>
      </c>
      <c r="AI179" s="19" t="str">
        <f>IF($B179="","",IFERROR(INDEX(Config!$D$9:$D$29,MATCH($B179,Config!$B$9:$B$29,0))&amp;"",""))</f>
        <v/>
      </c>
    </row>
    <row r="180">
      <c r="X180" s="20" t="str">
        <f>IF($B180="","",IFERROR(IF(INDEX(Config!$D$9:$D$29,MATCH($B180,Config!$B$9:$B$29,0))="Contrato",IF(INDEX(Config!$E$9:$E$29,MATCH($B180,Config!$B$9:$B$29,0))="","",INDEX(Config!$E$9:$E$29,MATCH($B180,Config!$B$9:$B$29,0))),""),""))</f>
        <v/>
      </c>
      <c r="AI180" s="19" t="str">
        <f>IF($B180="","",IFERROR(INDEX(Config!$D$9:$D$29,MATCH($B180,Config!$B$9:$B$29,0))&amp;"",""))</f>
        <v/>
      </c>
    </row>
    <row r="181">
      <c r="X181" s="20" t="str">
        <f>IF($B181="","",IFERROR(IF(INDEX(Config!$D$9:$D$29,MATCH($B181,Config!$B$9:$B$29,0))="Contrato",IF(INDEX(Config!$E$9:$E$29,MATCH($B181,Config!$B$9:$B$29,0))="","",INDEX(Config!$E$9:$E$29,MATCH($B181,Config!$B$9:$B$29,0))),""),""))</f>
        <v/>
      </c>
      <c r="AI181" s="19" t="str">
        <f>IF($B181="","",IFERROR(INDEX(Config!$D$9:$D$29,MATCH($B181,Config!$B$9:$B$29,0))&amp;"",""))</f>
        <v/>
      </c>
    </row>
    <row r="182">
      <c r="X182" s="20" t="str">
        <f>IF($B182="","",IFERROR(IF(INDEX(Config!$D$9:$D$29,MATCH($B182,Config!$B$9:$B$29,0))="Contrato",IF(INDEX(Config!$E$9:$E$29,MATCH($B182,Config!$B$9:$B$29,0))="","",INDEX(Config!$E$9:$E$29,MATCH($B182,Config!$B$9:$B$29,0))),""),""))</f>
        <v/>
      </c>
      <c r="AI182" s="19" t="str">
        <f>IF($B182="","",IFERROR(INDEX(Config!$D$9:$D$29,MATCH($B182,Config!$B$9:$B$29,0))&amp;"",""))</f>
        <v/>
      </c>
    </row>
    <row r="183">
      <c r="X183" s="20" t="str">
        <f>IF($B183="","",IFERROR(IF(INDEX(Config!$D$9:$D$29,MATCH($B183,Config!$B$9:$B$29,0))="Contrato",IF(INDEX(Config!$E$9:$E$29,MATCH($B183,Config!$B$9:$B$29,0))="","",INDEX(Config!$E$9:$E$29,MATCH($B183,Config!$B$9:$B$29,0))),""),""))</f>
        <v/>
      </c>
      <c r="AI183" s="19" t="str">
        <f>IF($B183="","",IFERROR(INDEX(Config!$D$9:$D$29,MATCH($B183,Config!$B$9:$B$29,0))&amp;"",""))</f>
        <v/>
      </c>
    </row>
    <row r="184">
      <c r="X184" s="20" t="str">
        <f>IF($B184="","",IFERROR(IF(INDEX(Config!$D$9:$D$29,MATCH($B184,Config!$B$9:$B$29,0))="Contrato",IF(INDEX(Config!$E$9:$E$29,MATCH($B184,Config!$B$9:$B$29,0))="","",INDEX(Config!$E$9:$E$29,MATCH($B184,Config!$B$9:$B$29,0))),""),""))</f>
        <v/>
      </c>
      <c r="AI184" s="19" t="str">
        <f>IF($B184="","",IFERROR(INDEX(Config!$D$9:$D$29,MATCH($B184,Config!$B$9:$B$29,0))&amp;"",""))</f>
        <v/>
      </c>
    </row>
    <row r="185">
      <c r="X185" s="20" t="str">
        <f>IF($B185="","",IFERROR(IF(INDEX(Config!$D$9:$D$29,MATCH($B185,Config!$B$9:$B$29,0))="Contrato",IF(INDEX(Config!$E$9:$E$29,MATCH($B185,Config!$B$9:$B$29,0))="","",INDEX(Config!$E$9:$E$29,MATCH($B185,Config!$B$9:$B$29,0))),""),""))</f>
        <v/>
      </c>
      <c r="AI185" s="19" t="str">
        <f>IF($B185="","",IFERROR(INDEX(Config!$D$9:$D$29,MATCH($B185,Config!$B$9:$B$29,0))&amp;"",""))</f>
        <v/>
      </c>
    </row>
    <row r="186">
      <c r="X186" s="20" t="str">
        <f>IF($B186="","",IFERROR(IF(INDEX(Config!$D$9:$D$29,MATCH($B186,Config!$B$9:$B$29,0))="Contrato",IF(INDEX(Config!$E$9:$E$29,MATCH($B186,Config!$B$9:$B$29,0))="","",INDEX(Config!$E$9:$E$29,MATCH($B186,Config!$B$9:$B$29,0))),""),""))</f>
        <v/>
      </c>
      <c r="AI186" s="19" t="str">
        <f>IF($B186="","",IFERROR(INDEX(Config!$D$9:$D$29,MATCH($B186,Config!$B$9:$B$29,0))&amp;"",""))</f>
        <v/>
      </c>
    </row>
    <row r="187">
      <c r="X187" s="20" t="str">
        <f>IF($B187="","",IFERROR(IF(INDEX(Config!$D$9:$D$29,MATCH($B187,Config!$B$9:$B$29,0))="Contrato",IF(INDEX(Config!$E$9:$E$29,MATCH($B187,Config!$B$9:$B$29,0))="","",INDEX(Config!$E$9:$E$29,MATCH($B187,Config!$B$9:$B$29,0))),""),""))</f>
        <v/>
      </c>
      <c r="AI187" s="19" t="str">
        <f>IF($B187="","",IFERROR(INDEX(Config!$D$9:$D$29,MATCH($B187,Config!$B$9:$B$29,0))&amp;"",""))</f>
        <v/>
      </c>
    </row>
    <row r="188">
      <c r="X188" s="20" t="str">
        <f>IF($B188="","",IFERROR(IF(INDEX(Config!$D$9:$D$29,MATCH($B188,Config!$B$9:$B$29,0))="Contrato",IF(INDEX(Config!$E$9:$E$29,MATCH($B188,Config!$B$9:$B$29,0))="","",INDEX(Config!$E$9:$E$29,MATCH($B188,Config!$B$9:$B$29,0))),""),""))</f>
        <v/>
      </c>
      <c r="AI188" s="19" t="str">
        <f>IF($B188="","",IFERROR(INDEX(Config!$D$9:$D$29,MATCH($B188,Config!$B$9:$B$29,0))&amp;"",""))</f>
        <v/>
      </c>
    </row>
    <row r="189">
      <c r="X189" s="20" t="str">
        <f>IF($B189="","",IFERROR(IF(INDEX(Config!$D$9:$D$29,MATCH($B189,Config!$B$9:$B$29,0))="Contrato",IF(INDEX(Config!$E$9:$E$29,MATCH($B189,Config!$B$9:$B$29,0))="","",INDEX(Config!$E$9:$E$29,MATCH($B189,Config!$B$9:$B$29,0))),""),""))</f>
        <v/>
      </c>
      <c r="AI189" s="19" t="str">
        <f>IF($B189="","",IFERROR(INDEX(Config!$D$9:$D$29,MATCH($B189,Config!$B$9:$B$29,0))&amp;"",""))</f>
        <v/>
      </c>
    </row>
    <row r="190">
      <c r="X190" s="20" t="str">
        <f>IF($B190="","",IFERROR(IF(INDEX(Config!$D$9:$D$29,MATCH($B190,Config!$B$9:$B$29,0))="Contrato",IF(INDEX(Config!$E$9:$E$29,MATCH($B190,Config!$B$9:$B$29,0))="","",INDEX(Config!$E$9:$E$29,MATCH($B190,Config!$B$9:$B$29,0))),""),""))</f>
        <v/>
      </c>
      <c r="AI190" s="19" t="str">
        <f>IF($B190="","",IFERROR(INDEX(Config!$D$9:$D$29,MATCH($B190,Config!$B$9:$B$29,0))&amp;"",""))</f>
        <v/>
      </c>
    </row>
    <row r="191">
      <c r="X191" s="20" t="str">
        <f>IF($B191="","",IFERROR(IF(INDEX(Config!$D$9:$D$29,MATCH($B191,Config!$B$9:$B$29,0))="Contrato",IF(INDEX(Config!$E$9:$E$29,MATCH($B191,Config!$B$9:$B$29,0))="","",INDEX(Config!$E$9:$E$29,MATCH($B191,Config!$B$9:$B$29,0))),""),""))</f>
        <v/>
      </c>
      <c r="AI191" s="19" t="str">
        <f>IF($B191="","",IFERROR(INDEX(Config!$D$9:$D$29,MATCH($B191,Config!$B$9:$B$29,0))&amp;"",""))</f>
        <v/>
      </c>
    </row>
    <row r="192">
      <c r="X192" s="20" t="str">
        <f>IF($B192="","",IFERROR(IF(INDEX(Config!$D$9:$D$29,MATCH($B192,Config!$B$9:$B$29,0))="Contrato",IF(INDEX(Config!$E$9:$E$29,MATCH($B192,Config!$B$9:$B$29,0))="","",INDEX(Config!$E$9:$E$29,MATCH($B192,Config!$B$9:$B$29,0))),""),""))</f>
        <v/>
      </c>
      <c r="AI192" s="19" t="str">
        <f>IF($B192="","",IFERROR(INDEX(Config!$D$9:$D$29,MATCH($B192,Config!$B$9:$B$29,0))&amp;"",""))</f>
        <v/>
      </c>
    </row>
    <row r="193">
      <c r="X193" s="20" t="str">
        <f>IF($B193="","",IFERROR(IF(INDEX(Config!$D$9:$D$29,MATCH($B193,Config!$B$9:$B$29,0))="Contrato",IF(INDEX(Config!$E$9:$E$29,MATCH($B193,Config!$B$9:$B$29,0))="","",INDEX(Config!$E$9:$E$29,MATCH($B193,Config!$B$9:$B$29,0))),""),""))</f>
        <v/>
      </c>
      <c r="AI193" s="19" t="str">
        <f>IF($B193="","",IFERROR(INDEX(Config!$D$9:$D$29,MATCH($B193,Config!$B$9:$B$29,0))&amp;"",""))</f>
        <v/>
      </c>
    </row>
    <row r="194">
      <c r="X194" s="20" t="str">
        <f>IF($B194="","",IFERROR(IF(INDEX(Config!$D$9:$D$29,MATCH($B194,Config!$B$9:$B$29,0))="Contrato",IF(INDEX(Config!$E$9:$E$29,MATCH($B194,Config!$B$9:$B$29,0))="","",INDEX(Config!$E$9:$E$29,MATCH($B194,Config!$B$9:$B$29,0))),""),""))</f>
        <v/>
      </c>
      <c r="AI194" s="19" t="str">
        <f>IF($B194="","",IFERROR(INDEX(Config!$D$9:$D$29,MATCH($B194,Config!$B$9:$B$29,0))&amp;"",""))</f>
        <v/>
      </c>
    </row>
    <row r="195">
      <c r="X195" s="20" t="str">
        <f>IF($B195="","",IFERROR(IF(INDEX(Config!$D$9:$D$29,MATCH($B195,Config!$B$9:$B$29,0))="Contrato",IF(INDEX(Config!$E$9:$E$29,MATCH($B195,Config!$B$9:$B$29,0))="","",INDEX(Config!$E$9:$E$29,MATCH($B195,Config!$B$9:$B$29,0))),""),""))</f>
        <v/>
      </c>
      <c r="AI195" s="19" t="str">
        <f>IF($B195="","",IFERROR(INDEX(Config!$D$9:$D$29,MATCH($B195,Config!$B$9:$B$29,0))&amp;"",""))</f>
        <v/>
      </c>
    </row>
    <row r="196">
      <c r="X196" s="20" t="str">
        <f>IF($B196="","",IFERROR(IF(INDEX(Config!$D$9:$D$29,MATCH($B196,Config!$B$9:$B$29,0))="Contrato",IF(INDEX(Config!$E$9:$E$29,MATCH($B196,Config!$B$9:$B$29,0))="","",INDEX(Config!$E$9:$E$29,MATCH($B196,Config!$B$9:$B$29,0))),""),""))</f>
        <v/>
      </c>
      <c r="AI196" s="19" t="str">
        <f>IF($B196="","",IFERROR(INDEX(Config!$D$9:$D$29,MATCH($B196,Config!$B$9:$B$29,0))&amp;"",""))</f>
        <v/>
      </c>
    </row>
    <row r="197">
      <c r="X197" s="20" t="str">
        <f>IF($B197="","",IFERROR(IF(INDEX(Config!$D$9:$D$29,MATCH($B197,Config!$B$9:$B$29,0))="Contrato",IF(INDEX(Config!$E$9:$E$29,MATCH($B197,Config!$B$9:$B$29,0))="","",INDEX(Config!$E$9:$E$29,MATCH($B197,Config!$B$9:$B$29,0))),""),""))</f>
        <v/>
      </c>
      <c r="AI197" s="19" t="str">
        <f>IF($B197="","",IFERROR(INDEX(Config!$D$9:$D$29,MATCH($B197,Config!$B$9:$B$29,0))&amp;"",""))</f>
        <v/>
      </c>
    </row>
    <row r="198">
      <c r="X198" s="20" t="str">
        <f>IF($B198="","",IFERROR(IF(INDEX(Config!$D$9:$D$29,MATCH($B198,Config!$B$9:$B$29,0))="Contrato",IF(INDEX(Config!$E$9:$E$29,MATCH($B198,Config!$B$9:$B$29,0))="","",INDEX(Config!$E$9:$E$29,MATCH($B198,Config!$B$9:$B$29,0))),""),""))</f>
        <v/>
      </c>
      <c r="AI198" s="19" t="str">
        <f>IF($B198="","",IFERROR(INDEX(Config!$D$9:$D$29,MATCH($B198,Config!$B$9:$B$29,0))&amp;"",""))</f>
        <v/>
      </c>
    </row>
    <row r="199">
      <c r="X199" s="20" t="str">
        <f>IF($B199="","",IFERROR(IF(INDEX(Config!$D$9:$D$29,MATCH($B199,Config!$B$9:$B$29,0))="Contrato",IF(INDEX(Config!$E$9:$E$29,MATCH($B199,Config!$B$9:$B$29,0))="","",INDEX(Config!$E$9:$E$29,MATCH($B199,Config!$B$9:$B$29,0))),""),""))</f>
        <v/>
      </c>
      <c r="AI199" s="19" t="str">
        <f>IF($B199="","",IFERROR(INDEX(Config!$D$9:$D$29,MATCH($B199,Config!$B$9:$B$29,0))&amp;"",""))</f>
        <v/>
      </c>
    </row>
    <row r="200">
      <c r="X200" s="20" t="str">
        <f>IF($B200="","",IFERROR(IF(INDEX(Config!$D$9:$D$29,MATCH($B200,Config!$B$9:$B$29,0))="Contrato",IF(INDEX(Config!$E$9:$E$29,MATCH($B200,Config!$B$9:$B$29,0))="","",INDEX(Config!$E$9:$E$29,MATCH($B200,Config!$B$9:$B$29,0))),""),""))</f>
        <v/>
      </c>
      <c r="AI200" s="19" t="str">
        <f>IF($B200="","",IFERROR(INDEX(Config!$D$9:$D$29,MATCH($B200,Config!$B$9:$B$29,0))&amp;"",""))</f>
        <v/>
      </c>
    </row>
    <row r="201">
      <c r="X201" s="20" t="str">
        <f>IF($B201="","",IFERROR(IF(INDEX(Config!$D$9:$D$29,MATCH($B201,Config!$B$9:$B$29,0))="Contrato",IF(INDEX(Config!$E$9:$E$29,MATCH($B201,Config!$B$9:$B$29,0))="","",INDEX(Config!$E$9:$E$29,MATCH($B201,Config!$B$9:$B$29,0))),""),""))</f>
        <v/>
      </c>
      <c r="AI201" s="19" t="str">
        <f>IF($B201="","",IFERROR(INDEX(Config!$D$9:$D$29,MATCH($B201,Config!$B$9:$B$29,0))&amp;"",""))</f>
        <v/>
      </c>
    </row>
    <row r="202">
      <c r="X202" s="20" t="str">
        <f>IF($B202="","",IFERROR(IF(INDEX(Config!$D$9:$D$29,MATCH($B202,Config!$B$9:$B$29,0))="Contrato",IF(INDEX(Config!$E$9:$E$29,MATCH($B202,Config!$B$9:$B$29,0))="","",INDEX(Config!$E$9:$E$29,MATCH($B202,Config!$B$9:$B$29,0))),""),""))</f>
        <v/>
      </c>
      <c r="AI202" s="19" t="str">
        <f>IF($B202="","",IFERROR(INDEX(Config!$D$9:$D$29,MATCH($B202,Config!$B$9:$B$29,0))&amp;"",""))</f>
        <v/>
      </c>
    </row>
    <row r="203">
      <c r="X203" s="20" t="str">
        <f>IF($B203="","",IFERROR(IF(INDEX(Config!$D$9:$D$29,MATCH($B203,Config!$B$9:$B$29,0))="Contrato",IF(INDEX(Config!$E$9:$E$29,MATCH($B203,Config!$B$9:$B$29,0))="","",INDEX(Config!$E$9:$E$29,MATCH($B203,Config!$B$9:$B$29,0))),""),""))</f>
        <v/>
      </c>
      <c r="AI203" s="19" t="str">
        <f>IF($B203="","",IFERROR(INDEX(Config!$D$9:$D$29,MATCH($B203,Config!$B$9:$B$29,0))&amp;"",""))</f>
        <v/>
      </c>
    </row>
    <row r="204">
      <c r="X204" s="20" t="str">
        <f>IF($B204="","",IFERROR(IF(INDEX(Config!$D$9:$D$29,MATCH($B204,Config!$B$9:$B$29,0))="Contrato",IF(INDEX(Config!$E$9:$E$29,MATCH($B204,Config!$B$9:$B$29,0))="","",INDEX(Config!$E$9:$E$29,MATCH($B204,Config!$B$9:$B$29,0))),""),""))</f>
        <v/>
      </c>
      <c r="AI204" s="19" t="str">
        <f>IF($B204="","",IFERROR(INDEX(Config!$D$9:$D$29,MATCH($B204,Config!$B$9:$B$29,0))&amp;"",""))</f>
        <v/>
      </c>
    </row>
    <row r="205">
      <c r="X205" s="20" t="str">
        <f>IF($B205="","",IFERROR(IF(INDEX(Config!$D$9:$D$29,MATCH($B205,Config!$B$9:$B$29,0))="Contrato",IF(INDEX(Config!$E$9:$E$29,MATCH($B205,Config!$B$9:$B$29,0))="","",INDEX(Config!$E$9:$E$29,MATCH($B205,Config!$B$9:$B$29,0))),""),""))</f>
        <v/>
      </c>
      <c r="AI205" s="19" t="str">
        <f>IF($B205="","",IFERROR(INDEX(Config!$D$9:$D$29,MATCH($B205,Config!$B$9:$B$29,0))&amp;"",""))</f>
        <v/>
      </c>
    </row>
    <row r="206">
      <c r="X206" s="20" t="str">
        <f>IF($B206="","",IFERROR(IF(INDEX(Config!$D$9:$D$29,MATCH($B206,Config!$B$9:$B$29,0))="Contrato",IF(INDEX(Config!$E$9:$E$29,MATCH($B206,Config!$B$9:$B$29,0))="","",INDEX(Config!$E$9:$E$29,MATCH($B206,Config!$B$9:$B$29,0))),""),""))</f>
        <v/>
      </c>
      <c r="AI206" s="19" t="str">
        <f>IF($B206="","",IFERROR(INDEX(Config!$D$9:$D$29,MATCH($B206,Config!$B$9:$B$29,0))&amp;"",""))</f>
        <v/>
      </c>
    </row>
    <row r="207">
      <c r="X207" s="20" t="str">
        <f>IF($B207="","",IFERROR(IF(INDEX(Config!$D$9:$D$29,MATCH($B207,Config!$B$9:$B$29,0))="Contrato",IF(INDEX(Config!$E$9:$E$29,MATCH($B207,Config!$B$9:$B$29,0))="","",INDEX(Config!$E$9:$E$29,MATCH($B207,Config!$B$9:$B$29,0))),""),""))</f>
        <v/>
      </c>
      <c r="AI207" s="19" t="str">
        <f>IF($B207="","",IFERROR(INDEX(Config!$D$9:$D$29,MATCH($B207,Config!$B$9:$B$29,0))&amp;"",""))</f>
        <v/>
      </c>
    </row>
    <row r="208">
      <c r="X208" s="20" t="str">
        <f>IF($B208="","",IFERROR(IF(INDEX(Config!$D$9:$D$29,MATCH($B208,Config!$B$9:$B$29,0))="Contrato",IF(INDEX(Config!$E$9:$E$29,MATCH($B208,Config!$B$9:$B$29,0))="","",INDEX(Config!$E$9:$E$29,MATCH($B208,Config!$B$9:$B$29,0))),""),""))</f>
        <v/>
      </c>
      <c r="AI208" s="19" t="str">
        <f>IF($B208="","",IFERROR(INDEX(Config!$D$9:$D$29,MATCH($B208,Config!$B$9:$B$29,0))&amp;"",""))</f>
        <v/>
      </c>
    </row>
    <row r="209">
      <c r="X209" s="20" t="str">
        <f>IF($B209="","",IFERROR(IF(INDEX(Config!$D$9:$D$29,MATCH($B209,Config!$B$9:$B$29,0))="Contrato",IF(INDEX(Config!$E$9:$E$29,MATCH($B209,Config!$B$9:$B$29,0))="","",INDEX(Config!$E$9:$E$29,MATCH($B209,Config!$B$9:$B$29,0))),""),""))</f>
        <v/>
      </c>
      <c r="AI209" s="19" t="str">
        <f>IF($B209="","",IFERROR(INDEX(Config!$D$9:$D$29,MATCH($B209,Config!$B$9:$B$29,0))&amp;"",""))</f>
        <v/>
      </c>
    </row>
    <row r="210">
      <c r="X210" s="20" t="str">
        <f>IF($B210="","",IFERROR(IF(INDEX(Config!$D$9:$D$29,MATCH($B210,Config!$B$9:$B$29,0))="Contrato",IF(INDEX(Config!$E$9:$E$29,MATCH($B210,Config!$B$9:$B$29,0))="","",INDEX(Config!$E$9:$E$29,MATCH($B210,Config!$B$9:$B$29,0))),""),""))</f>
        <v/>
      </c>
      <c r="AI210" s="19" t="str">
        <f>IF($B210="","",IFERROR(INDEX(Config!$D$9:$D$29,MATCH($B210,Config!$B$9:$B$29,0))&amp;"",""))</f>
        <v/>
      </c>
    </row>
    <row r="211">
      <c r="X211" s="20" t="str">
        <f>IF($B211="","",IFERROR(IF(INDEX(Config!$D$9:$D$29,MATCH($B211,Config!$B$9:$B$29,0))="Contrato",IF(INDEX(Config!$E$9:$E$29,MATCH($B211,Config!$B$9:$B$29,0))="","",INDEX(Config!$E$9:$E$29,MATCH($B211,Config!$B$9:$B$29,0))),""),""))</f>
        <v/>
      </c>
      <c r="AI211" s="19" t="str">
        <f>IF($B211="","",IFERROR(INDEX(Config!$D$9:$D$29,MATCH($B211,Config!$B$9:$B$29,0))&amp;"",""))</f>
        <v/>
      </c>
    </row>
    <row r="212">
      <c r="X212" s="20" t="str">
        <f>IF($B212="","",IFERROR(IF(INDEX(Config!$D$9:$D$29,MATCH($B212,Config!$B$9:$B$29,0))="Contrato",IF(INDEX(Config!$E$9:$E$29,MATCH($B212,Config!$B$9:$B$29,0))="","",INDEX(Config!$E$9:$E$29,MATCH($B212,Config!$B$9:$B$29,0))),""),""))</f>
        <v/>
      </c>
      <c r="AI212" s="19" t="str">
        <f>IF($B212="","",IFERROR(INDEX(Config!$D$9:$D$29,MATCH($B212,Config!$B$9:$B$29,0))&amp;"",""))</f>
        <v/>
      </c>
    </row>
    <row r="213">
      <c r="X213" s="20" t="str">
        <f>IF($B213="","",IFERROR(IF(INDEX(Config!$D$9:$D$29,MATCH($B213,Config!$B$9:$B$29,0))="Contrato",IF(INDEX(Config!$E$9:$E$29,MATCH($B213,Config!$B$9:$B$29,0))="","",INDEX(Config!$E$9:$E$29,MATCH($B213,Config!$B$9:$B$29,0))),""),""))</f>
        <v/>
      </c>
      <c r="AI213" s="19" t="str">
        <f>IF($B213="","",IFERROR(INDEX(Config!$D$9:$D$29,MATCH($B213,Config!$B$9:$B$29,0))&amp;"",""))</f>
        <v/>
      </c>
    </row>
    <row r="214">
      <c r="X214" s="20" t="str">
        <f>IF($B214="","",IFERROR(IF(INDEX(Config!$D$9:$D$29,MATCH($B214,Config!$B$9:$B$29,0))="Contrato",IF(INDEX(Config!$E$9:$E$29,MATCH($B214,Config!$B$9:$B$29,0))="","",INDEX(Config!$E$9:$E$29,MATCH($B214,Config!$B$9:$B$29,0))),""),""))</f>
        <v/>
      </c>
      <c r="AI214" s="19" t="str">
        <f>IF($B214="","",IFERROR(INDEX(Config!$D$9:$D$29,MATCH($B214,Config!$B$9:$B$29,0))&amp;"",""))</f>
        <v/>
      </c>
    </row>
    <row r="215">
      <c r="X215" s="20" t="str">
        <f>IF($B215="","",IFERROR(IF(INDEX(Config!$D$9:$D$29,MATCH($B215,Config!$B$9:$B$29,0))="Contrato",IF(INDEX(Config!$E$9:$E$29,MATCH($B215,Config!$B$9:$B$29,0))="","",INDEX(Config!$E$9:$E$29,MATCH($B215,Config!$B$9:$B$29,0))),""),""))</f>
        <v/>
      </c>
      <c r="AI215" s="19" t="str">
        <f>IF($B215="","",IFERROR(INDEX(Config!$D$9:$D$29,MATCH($B215,Config!$B$9:$B$29,0))&amp;"",""))</f>
        <v/>
      </c>
    </row>
    <row r="216">
      <c r="X216" s="20" t="str">
        <f>IF($B216="","",IFERROR(IF(INDEX(Config!$D$9:$D$29,MATCH($B216,Config!$B$9:$B$29,0))="Contrato",IF(INDEX(Config!$E$9:$E$29,MATCH($B216,Config!$B$9:$B$29,0))="","",INDEX(Config!$E$9:$E$29,MATCH($B216,Config!$B$9:$B$29,0))),""),""))</f>
        <v/>
      </c>
      <c r="AI216" s="19" t="str">
        <f>IF($B216="","",IFERROR(INDEX(Config!$D$9:$D$29,MATCH($B216,Config!$B$9:$B$29,0))&amp;"",""))</f>
        <v/>
      </c>
    </row>
    <row r="217">
      <c r="X217" s="20" t="str">
        <f>IF($B217="","",IFERROR(IF(INDEX(Config!$D$9:$D$29,MATCH($B217,Config!$B$9:$B$29,0))="Contrato",IF(INDEX(Config!$E$9:$E$29,MATCH($B217,Config!$B$9:$B$29,0))="","",INDEX(Config!$E$9:$E$29,MATCH($B217,Config!$B$9:$B$29,0))),""),""))</f>
        <v/>
      </c>
      <c r="AI217" s="19" t="str">
        <f>IF($B217="","",IFERROR(INDEX(Config!$D$9:$D$29,MATCH($B217,Config!$B$9:$B$29,0))&amp;"",""))</f>
        <v/>
      </c>
    </row>
    <row r="218">
      <c r="X218" s="20" t="str">
        <f>IF($B218="","",IFERROR(IF(INDEX(Config!$D$9:$D$29,MATCH($B218,Config!$B$9:$B$29,0))="Contrato",IF(INDEX(Config!$E$9:$E$29,MATCH($B218,Config!$B$9:$B$29,0))="","",INDEX(Config!$E$9:$E$29,MATCH($B218,Config!$B$9:$B$29,0))),""),""))</f>
        <v/>
      </c>
      <c r="AI218" s="19" t="str">
        <f>IF($B218="","",IFERROR(INDEX(Config!$D$9:$D$29,MATCH($B218,Config!$B$9:$B$29,0))&amp;"",""))</f>
        <v/>
      </c>
    </row>
    <row r="219">
      <c r="X219" s="20" t="str">
        <f>IF($B219="","",IFERROR(IF(INDEX(Config!$D$9:$D$29,MATCH($B219,Config!$B$9:$B$29,0))="Contrato",IF(INDEX(Config!$E$9:$E$29,MATCH($B219,Config!$B$9:$B$29,0))="","",INDEX(Config!$E$9:$E$29,MATCH($B219,Config!$B$9:$B$29,0))),""),""))</f>
        <v/>
      </c>
      <c r="AI219" s="19" t="str">
        <f>IF($B219="","",IFERROR(INDEX(Config!$D$9:$D$29,MATCH($B219,Config!$B$9:$B$29,0))&amp;"",""))</f>
        <v/>
      </c>
    </row>
    <row r="220">
      <c r="X220" s="20" t="str">
        <f>IF($B220="","",IFERROR(IF(INDEX(Config!$D$9:$D$29,MATCH($B220,Config!$B$9:$B$29,0))="Contrato",IF(INDEX(Config!$E$9:$E$29,MATCH($B220,Config!$B$9:$B$29,0))="","",INDEX(Config!$E$9:$E$29,MATCH($B220,Config!$B$9:$B$29,0))),""),""))</f>
        <v/>
      </c>
      <c r="AI220" s="19" t="str">
        <f>IF($B220="","",IFERROR(INDEX(Config!$D$9:$D$29,MATCH($B220,Config!$B$9:$B$29,0))&amp;"",""))</f>
        <v/>
      </c>
    </row>
    <row r="221">
      <c r="X221" s="20" t="str">
        <f>IF($B221="","",IFERROR(IF(INDEX(Config!$D$9:$D$29,MATCH($B221,Config!$B$9:$B$29,0))="Contrato",IF(INDEX(Config!$E$9:$E$29,MATCH($B221,Config!$B$9:$B$29,0))="","",INDEX(Config!$E$9:$E$29,MATCH($B221,Config!$B$9:$B$29,0))),""),""))</f>
        <v/>
      </c>
      <c r="AI221" s="19" t="str">
        <f>IF($B221="","",IFERROR(INDEX(Config!$D$9:$D$29,MATCH($B221,Config!$B$9:$B$29,0))&amp;"",""))</f>
        <v/>
      </c>
    </row>
    <row r="222">
      <c r="X222" s="20" t="str">
        <f>IF($B222="","",IFERROR(IF(INDEX(Config!$D$9:$D$29,MATCH($B222,Config!$B$9:$B$29,0))="Contrato",IF(INDEX(Config!$E$9:$E$29,MATCH($B222,Config!$B$9:$B$29,0))="","",INDEX(Config!$E$9:$E$29,MATCH($B222,Config!$B$9:$B$29,0))),""),""))</f>
        <v/>
      </c>
      <c r="AI222" s="19" t="str">
        <f>IF($B222="","",IFERROR(INDEX(Config!$D$9:$D$29,MATCH($B222,Config!$B$9:$B$29,0))&amp;"",""))</f>
        <v/>
      </c>
    </row>
    <row r="223">
      <c r="X223" s="20" t="str">
        <f>IF($B223="","",IFERROR(IF(INDEX(Config!$D$9:$D$29,MATCH($B223,Config!$B$9:$B$29,0))="Contrato",IF(INDEX(Config!$E$9:$E$29,MATCH($B223,Config!$B$9:$B$29,0))="","",INDEX(Config!$E$9:$E$29,MATCH($B223,Config!$B$9:$B$29,0))),""),""))</f>
        <v/>
      </c>
      <c r="AI223" s="19" t="str">
        <f>IF($B223="","",IFERROR(INDEX(Config!$D$9:$D$29,MATCH($B223,Config!$B$9:$B$29,0))&amp;"",""))</f>
        <v/>
      </c>
    </row>
    <row r="224">
      <c r="X224" s="20" t="str">
        <f>IF($B224="","",IFERROR(IF(INDEX(Config!$D$9:$D$29,MATCH($B224,Config!$B$9:$B$29,0))="Contrato",IF(INDEX(Config!$E$9:$E$29,MATCH($B224,Config!$B$9:$B$29,0))="","",INDEX(Config!$E$9:$E$29,MATCH($B224,Config!$B$9:$B$29,0))),""),""))</f>
        <v/>
      </c>
      <c r="AI224" s="19" t="str">
        <f>IF($B224="","",IFERROR(INDEX(Config!$D$9:$D$29,MATCH($B224,Config!$B$9:$B$29,0))&amp;"",""))</f>
        <v/>
      </c>
    </row>
    <row r="225">
      <c r="X225" s="20" t="str">
        <f>IF($B225="","",IFERROR(IF(INDEX(Config!$D$9:$D$29,MATCH($B225,Config!$B$9:$B$29,0))="Contrato",IF(INDEX(Config!$E$9:$E$29,MATCH($B225,Config!$B$9:$B$29,0))="","",INDEX(Config!$E$9:$E$29,MATCH($B225,Config!$B$9:$B$29,0))),""),""))</f>
        <v/>
      </c>
      <c r="AI225" s="19" t="str">
        <f>IF($B225="","",IFERROR(INDEX(Config!$D$9:$D$29,MATCH($B225,Config!$B$9:$B$29,0))&amp;"",""))</f>
        <v/>
      </c>
    </row>
    <row r="226">
      <c r="X226" s="20" t="str">
        <f>IF($B226="","",IFERROR(IF(INDEX(Config!$D$9:$D$29,MATCH($B226,Config!$B$9:$B$29,0))="Contrato",IF(INDEX(Config!$E$9:$E$29,MATCH($B226,Config!$B$9:$B$29,0))="","",INDEX(Config!$E$9:$E$29,MATCH($B226,Config!$B$9:$B$29,0))),""),""))</f>
        <v/>
      </c>
      <c r="AI226" s="19" t="str">
        <f>IF($B226="","",IFERROR(INDEX(Config!$D$9:$D$29,MATCH($B226,Config!$B$9:$B$29,0))&amp;"",""))</f>
        <v/>
      </c>
    </row>
    <row r="227">
      <c r="X227" s="20" t="str">
        <f>IF($B227="","",IFERROR(IF(INDEX(Config!$D$9:$D$29,MATCH($B227,Config!$B$9:$B$29,0))="Contrato",IF(INDEX(Config!$E$9:$E$29,MATCH($B227,Config!$B$9:$B$29,0))="","",INDEX(Config!$E$9:$E$29,MATCH($B227,Config!$B$9:$B$29,0))),""),""))</f>
        <v/>
      </c>
      <c r="AI227" s="19" t="str">
        <f>IF($B227="","",IFERROR(INDEX(Config!$D$9:$D$29,MATCH($B227,Config!$B$9:$B$29,0))&amp;"",""))</f>
        <v/>
      </c>
    </row>
    <row r="228">
      <c r="X228" s="20" t="str">
        <f>IF($B228="","",IFERROR(IF(INDEX(Config!$D$9:$D$29,MATCH($B228,Config!$B$9:$B$29,0))="Contrato",IF(INDEX(Config!$E$9:$E$29,MATCH($B228,Config!$B$9:$B$29,0))="","",INDEX(Config!$E$9:$E$29,MATCH($B228,Config!$B$9:$B$29,0))),""),""))</f>
        <v/>
      </c>
      <c r="AI228" s="19" t="str">
        <f>IF($B228="","",IFERROR(INDEX(Config!$D$9:$D$29,MATCH($B228,Config!$B$9:$B$29,0))&amp;"",""))</f>
        <v/>
      </c>
    </row>
    <row r="229">
      <c r="X229" s="20" t="str">
        <f>IF($B229="","",IFERROR(IF(INDEX(Config!$D$9:$D$29,MATCH($B229,Config!$B$9:$B$29,0))="Contrato",IF(INDEX(Config!$E$9:$E$29,MATCH($B229,Config!$B$9:$B$29,0))="","",INDEX(Config!$E$9:$E$29,MATCH($B229,Config!$B$9:$B$29,0))),""),""))</f>
        <v/>
      </c>
      <c r="AI229" s="19" t="str">
        <f>IF($B229="","",IFERROR(INDEX(Config!$D$9:$D$29,MATCH($B229,Config!$B$9:$B$29,0))&amp;"",""))</f>
        <v/>
      </c>
    </row>
    <row r="230">
      <c r="X230" s="20" t="str">
        <f>IF($B230="","",IFERROR(IF(INDEX(Config!$D$9:$D$29,MATCH($B230,Config!$B$9:$B$29,0))="Contrato",IF(INDEX(Config!$E$9:$E$29,MATCH($B230,Config!$B$9:$B$29,0))="","",INDEX(Config!$E$9:$E$29,MATCH($B230,Config!$B$9:$B$29,0))),""),""))</f>
        <v/>
      </c>
      <c r="AI230" s="19" t="str">
        <f>IF($B230="","",IFERROR(INDEX(Config!$D$9:$D$29,MATCH($B230,Config!$B$9:$B$29,0))&amp;"",""))</f>
        <v/>
      </c>
    </row>
    <row r="231">
      <c r="X231" s="20" t="str">
        <f>IF($B231="","",IFERROR(IF(INDEX(Config!$D$9:$D$29,MATCH($B231,Config!$B$9:$B$29,0))="Contrato",IF(INDEX(Config!$E$9:$E$29,MATCH($B231,Config!$B$9:$B$29,0))="","",INDEX(Config!$E$9:$E$29,MATCH($B231,Config!$B$9:$B$29,0))),""),""))</f>
        <v/>
      </c>
      <c r="AI231" s="19" t="str">
        <f>IF($B231="","",IFERROR(INDEX(Config!$D$9:$D$29,MATCH($B231,Config!$B$9:$B$29,0))&amp;"",""))</f>
        <v/>
      </c>
    </row>
    <row r="232">
      <c r="X232" s="20" t="str">
        <f>IF($B232="","",IFERROR(IF(INDEX(Config!$D$9:$D$29,MATCH($B232,Config!$B$9:$B$29,0))="Contrato",IF(INDEX(Config!$E$9:$E$29,MATCH($B232,Config!$B$9:$B$29,0))="","",INDEX(Config!$E$9:$E$29,MATCH($B232,Config!$B$9:$B$29,0))),""),""))</f>
        <v/>
      </c>
      <c r="AI232" s="19" t="str">
        <f>IF($B232="","",IFERROR(INDEX(Config!$D$9:$D$29,MATCH($B232,Config!$B$9:$B$29,0))&amp;"",""))</f>
        <v/>
      </c>
    </row>
    <row r="233">
      <c r="X233" s="20" t="str">
        <f>IF($B233="","",IFERROR(IF(INDEX(Config!$D$9:$D$29,MATCH($B233,Config!$B$9:$B$29,0))="Contrato",IF(INDEX(Config!$E$9:$E$29,MATCH($B233,Config!$B$9:$B$29,0))="","",INDEX(Config!$E$9:$E$29,MATCH($B233,Config!$B$9:$B$29,0))),""),""))</f>
        <v/>
      </c>
      <c r="AI233" s="19" t="str">
        <f>IF($B233="","",IFERROR(INDEX(Config!$D$9:$D$29,MATCH($B233,Config!$B$9:$B$29,0))&amp;"",""))</f>
        <v/>
      </c>
    </row>
    <row r="234">
      <c r="X234" s="20" t="str">
        <f>IF($B234="","",IFERROR(IF(INDEX(Config!$D$9:$D$29,MATCH($B234,Config!$B$9:$B$29,0))="Contrato",IF(INDEX(Config!$E$9:$E$29,MATCH($B234,Config!$B$9:$B$29,0))="","",INDEX(Config!$E$9:$E$29,MATCH($B234,Config!$B$9:$B$29,0))),""),""))</f>
        <v/>
      </c>
      <c r="AI234" s="19" t="str">
        <f>IF($B234="","",IFERROR(INDEX(Config!$D$9:$D$29,MATCH($B234,Config!$B$9:$B$29,0))&amp;"",""))</f>
        <v/>
      </c>
    </row>
    <row r="235">
      <c r="X235" s="20" t="str">
        <f>IF($B235="","",IFERROR(IF(INDEX(Config!$D$9:$D$29,MATCH($B235,Config!$B$9:$B$29,0))="Contrato",IF(INDEX(Config!$E$9:$E$29,MATCH($B235,Config!$B$9:$B$29,0))="","",INDEX(Config!$E$9:$E$29,MATCH($B235,Config!$B$9:$B$29,0))),""),""))</f>
        <v/>
      </c>
      <c r="AI235" s="19" t="str">
        <f>IF($B235="","",IFERROR(INDEX(Config!$D$9:$D$29,MATCH($B235,Config!$B$9:$B$29,0))&amp;"",""))</f>
        <v/>
      </c>
    </row>
    <row r="236">
      <c r="X236" s="20" t="str">
        <f>IF($B236="","",IFERROR(IF(INDEX(Config!$D$9:$D$29,MATCH($B236,Config!$B$9:$B$29,0))="Contrato",IF(INDEX(Config!$E$9:$E$29,MATCH($B236,Config!$B$9:$B$29,0))="","",INDEX(Config!$E$9:$E$29,MATCH($B236,Config!$B$9:$B$29,0))),""),""))</f>
        <v/>
      </c>
      <c r="AI236" s="19" t="str">
        <f>IF($B236="","",IFERROR(INDEX(Config!$D$9:$D$29,MATCH($B236,Config!$B$9:$B$29,0))&amp;"",""))</f>
        <v/>
      </c>
    </row>
    <row r="237">
      <c r="X237" s="20" t="str">
        <f>IF($B237="","",IFERROR(IF(INDEX(Config!$D$9:$D$29,MATCH($B237,Config!$B$9:$B$29,0))="Contrato",IF(INDEX(Config!$E$9:$E$29,MATCH($B237,Config!$B$9:$B$29,0))="","",INDEX(Config!$E$9:$E$29,MATCH($B237,Config!$B$9:$B$29,0))),""),""))</f>
        <v/>
      </c>
      <c r="AI237" s="19" t="str">
        <f>IF($B237="","",IFERROR(INDEX(Config!$D$9:$D$29,MATCH($B237,Config!$B$9:$B$29,0))&amp;"",""))</f>
        <v/>
      </c>
    </row>
    <row r="238">
      <c r="X238" s="20" t="str">
        <f>IF($B238="","",IFERROR(IF(INDEX(Config!$D$9:$D$29,MATCH($B238,Config!$B$9:$B$29,0))="Contrato",IF(INDEX(Config!$E$9:$E$29,MATCH($B238,Config!$B$9:$B$29,0))="","",INDEX(Config!$E$9:$E$29,MATCH($B238,Config!$B$9:$B$29,0))),""),""))</f>
        <v/>
      </c>
      <c r="AI238" s="19" t="str">
        <f>IF($B238="","",IFERROR(INDEX(Config!$D$9:$D$29,MATCH($B238,Config!$B$9:$B$29,0))&amp;"",""))</f>
        <v/>
      </c>
    </row>
    <row r="239">
      <c r="X239" s="20" t="str">
        <f>IF($B239="","",IFERROR(IF(INDEX(Config!$D$9:$D$29,MATCH($B239,Config!$B$9:$B$29,0))="Contrato",IF(INDEX(Config!$E$9:$E$29,MATCH($B239,Config!$B$9:$B$29,0))="","",INDEX(Config!$E$9:$E$29,MATCH($B239,Config!$B$9:$B$29,0))),""),""))</f>
        <v/>
      </c>
      <c r="AI239" s="19" t="str">
        <f>IF($B239="","",IFERROR(INDEX(Config!$D$9:$D$29,MATCH($B239,Config!$B$9:$B$29,0))&amp;"",""))</f>
        <v/>
      </c>
    </row>
    <row r="240">
      <c r="X240" s="20" t="str">
        <f>IF($B240="","",IFERROR(IF(INDEX(Config!$D$9:$D$29,MATCH($B240,Config!$B$9:$B$29,0))="Contrato",IF(INDEX(Config!$E$9:$E$29,MATCH($B240,Config!$B$9:$B$29,0))="","",INDEX(Config!$E$9:$E$29,MATCH($B240,Config!$B$9:$B$29,0))),""),""))</f>
        <v/>
      </c>
      <c r="AI240" s="19" t="str">
        <f>IF($B240="","",IFERROR(INDEX(Config!$D$9:$D$29,MATCH($B240,Config!$B$9:$B$29,0))&amp;"",""))</f>
        <v/>
      </c>
    </row>
    <row r="241">
      <c r="X241" s="20" t="str">
        <f>IF($B241="","",IFERROR(IF(INDEX(Config!$D$9:$D$29,MATCH($B241,Config!$B$9:$B$29,0))="Contrato",IF(INDEX(Config!$E$9:$E$29,MATCH($B241,Config!$B$9:$B$29,0))="","",INDEX(Config!$E$9:$E$29,MATCH($B241,Config!$B$9:$B$29,0))),""),""))</f>
        <v/>
      </c>
      <c r="AI241" s="19" t="str">
        <f>IF($B241="","",IFERROR(INDEX(Config!$D$9:$D$29,MATCH($B241,Config!$B$9:$B$29,0))&amp;"",""))</f>
        <v/>
      </c>
    </row>
    <row r="242">
      <c r="X242" s="20" t="str">
        <f>IF($B242="","",IFERROR(IF(INDEX(Config!$D$9:$D$29,MATCH($B242,Config!$B$9:$B$29,0))="Contrato",IF(INDEX(Config!$E$9:$E$29,MATCH($B242,Config!$B$9:$B$29,0))="","",INDEX(Config!$E$9:$E$29,MATCH($B242,Config!$B$9:$B$29,0))),""),""))</f>
        <v/>
      </c>
      <c r="AI242" s="19" t="str">
        <f>IF($B242="","",IFERROR(INDEX(Config!$D$9:$D$29,MATCH($B242,Config!$B$9:$B$29,0))&amp;"",""))</f>
        <v/>
      </c>
    </row>
    <row r="243">
      <c r="X243" s="20" t="str">
        <f>IF($B243="","",IFERROR(IF(INDEX(Config!$D$9:$D$29,MATCH($B243,Config!$B$9:$B$29,0))="Contrato",IF(INDEX(Config!$E$9:$E$29,MATCH($B243,Config!$B$9:$B$29,0))="","",INDEX(Config!$E$9:$E$29,MATCH($B243,Config!$B$9:$B$29,0))),""),""))</f>
        <v/>
      </c>
      <c r="AI243" s="19" t="str">
        <f>IF($B243="","",IFERROR(INDEX(Config!$D$9:$D$29,MATCH($B243,Config!$B$9:$B$29,0))&amp;"",""))</f>
        <v/>
      </c>
    </row>
    <row r="244">
      <c r="X244" s="20" t="str">
        <f>IF($B244="","",IFERROR(IF(INDEX(Config!$D$9:$D$29,MATCH($B244,Config!$B$9:$B$29,0))="Contrato",IF(INDEX(Config!$E$9:$E$29,MATCH($B244,Config!$B$9:$B$29,0))="","",INDEX(Config!$E$9:$E$29,MATCH($B244,Config!$B$9:$B$29,0))),""),""))</f>
        <v/>
      </c>
      <c r="AI244" s="19" t="str">
        <f>IF($B244="","",IFERROR(INDEX(Config!$D$9:$D$29,MATCH($B244,Config!$B$9:$B$29,0))&amp;"",""))</f>
        <v/>
      </c>
    </row>
    <row r="245">
      <c r="X245" s="20" t="str">
        <f>IF($B245="","",IFERROR(IF(INDEX(Config!$D$9:$D$29,MATCH($B245,Config!$B$9:$B$29,0))="Contrato",IF(INDEX(Config!$E$9:$E$29,MATCH($B245,Config!$B$9:$B$29,0))="","",INDEX(Config!$E$9:$E$29,MATCH($B245,Config!$B$9:$B$29,0))),""),""))</f>
        <v/>
      </c>
      <c r="AI245" s="19" t="str">
        <f>IF($B245="","",IFERROR(INDEX(Config!$D$9:$D$29,MATCH($B245,Config!$B$9:$B$29,0))&amp;"",""))</f>
        <v/>
      </c>
    </row>
    <row r="246">
      <c r="X246" s="20" t="str">
        <f>IF($B246="","",IFERROR(IF(INDEX(Config!$D$9:$D$29,MATCH($B246,Config!$B$9:$B$29,0))="Contrato",IF(INDEX(Config!$E$9:$E$29,MATCH($B246,Config!$B$9:$B$29,0))="","",INDEX(Config!$E$9:$E$29,MATCH($B246,Config!$B$9:$B$29,0))),""),""))</f>
        <v/>
      </c>
      <c r="AI246" s="19" t="str">
        <f>IF($B246="","",IFERROR(INDEX(Config!$D$9:$D$29,MATCH($B246,Config!$B$9:$B$29,0))&amp;"",""))</f>
        <v/>
      </c>
    </row>
    <row r="247">
      <c r="X247" s="20" t="str">
        <f>IF($B247="","",IFERROR(IF(INDEX(Config!$D$9:$D$29,MATCH($B247,Config!$B$9:$B$29,0))="Contrato",IF(INDEX(Config!$E$9:$E$29,MATCH($B247,Config!$B$9:$B$29,0))="","",INDEX(Config!$E$9:$E$29,MATCH($B247,Config!$B$9:$B$29,0))),""),""))</f>
        <v/>
      </c>
      <c r="AI247" s="19" t="str">
        <f>IF($B247="","",IFERROR(INDEX(Config!$D$9:$D$29,MATCH($B247,Config!$B$9:$B$29,0))&amp;"",""))</f>
        <v/>
      </c>
    </row>
    <row r="248">
      <c r="X248" s="20" t="str">
        <f>IF($B248="","",IFERROR(IF(INDEX(Config!$D$9:$D$29,MATCH($B248,Config!$B$9:$B$29,0))="Contrato",IF(INDEX(Config!$E$9:$E$29,MATCH($B248,Config!$B$9:$B$29,0))="","",INDEX(Config!$E$9:$E$29,MATCH($B248,Config!$B$9:$B$29,0))),""),""))</f>
        <v/>
      </c>
      <c r="AI248" s="19" t="str">
        <f>IF($B248="","",IFERROR(INDEX(Config!$D$9:$D$29,MATCH($B248,Config!$B$9:$B$29,0))&amp;"",""))</f>
        <v/>
      </c>
    </row>
    <row r="249">
      <c r="X249" s="20" t="str">
        <f>IF($B249="","",IFERROR(IF(INDEX(Config!$D$9:$D$29,MATCH($B249,Config!$B$9:$B$29,0))="Contrato",IF(INDEX(Config!$E$9:$E$29,MATCH($B249,Config!$B$9:$B$29,0))="","",INDEX(Config!$E$9:$E$29,MATCH($B249,Config!$B$9:$B$29,0))),""),""))</f>
        <v/>
      </c>
      <c r="AI249" s="19" t="str">
        <f>IF($B249="","",IFERROR(INDEX(Config!$D$9:$D$29,MATCH($B249,Config!$B$9:$B$29,0))&amp;"",""))</f>
        <v/>
      </c>
    </row>
    <row r="250">
      <c r="X250" s="20" t="str">
        <f>IF($B250="","",IFERROR(IF(INDEX(Config!$D$9:$D$29,MATCH($B250,Config!$B$9:$B$29,0))="Contrato",IF(INDEX(Config!$E$9:$E$29,MATCH($B250,Config!$B$9:$B$29,0))="","",INDEX(Config!$E$9:$E$29,MATCH($B250,Config!$B$9:$B$29,0))),""),""))</f>
        <v/>
      </c>
      <c r="AI250" s="19" t="str">
        <f>IF($B250="","",IFERROR(INDEX(Config!$D$9:$D$29,MATCH($B250,Config!$B$9:$B$29,0))&amp;"",""))</f>
        <v/>
      </c>
    </row>
    <row r="251">
      <c r="X251" s="20" t="str">
        <f>IF($B251="","",IFERROR(IF(INDEX(Config!$D$9:$D$29,MATCH($B251,Config!$B$9:$B$29,0))="Contrato",IF(INDEX(Config!$E$9:$E$29,MATCH($B251,Config!$B$9:$B$29,0))="","",INDEX(Config!$E$9:$E$29,MATCH($B251,Config!$B$9:$B$29,0))),""),""))</f>
        <v/>
      </c>
      <c r="AI251" s="19" t="str">
        <f>IF($B251="","",IFERROR(INDEX(Config!$D$9:$D$29,MATCH($B251,Config!$B$9:$B$29,0))&amp;"",""))</f>
        <v/>
      </c>
    </row>
    <row r="252">
      <c r="X252" s="20" t="str">
        <f>IF($B252="","",IFERROR(IF(INDEX(Config!$D$9:$D$29,MATCH($B252,Config!$B$9:$B$29,0))="Contrato",IF(INDEX(Config!$E$9:$E$29,MATCH($B252,Config!$B$9:$B$29,0))="","",INDEX(Config!$E$9:$E$29,MATCH($B252,Config!$B$9:$B$29,0))),""),""))</f>
        <v/>
      </c>
      <c r="AI252" s="19" t="str">
        <f>IF($B252="","",IFERROR(INDEX(Config!$D$9:$D$29,MATCH($B252,Config!$B$9:$B$29,0))&amp;"",""))</f>
        <v/>
      </c>
    </row>
    <row r="253">
      <c r="X253" s="20" t="str">
        <f>IF($B253="","",IFERROR(IF(INDEX(Config!$D$9:$D$29,MATCH($B253,Config!$B$9:$B$29,0))="Contrato",IF(INDEX(Config!$E$9:$E$29,MATCH($B253,Config!$B$9:$B$29,0))="","",INDEX(Config!$E$9:$E$29,MATCH($B253,Config!$B$9:$B$29,0))),""),""))</f>
        <v/>
      </c>
      <c r="AI253" s="19" t="str">
        <f>IF($B253="","",IFERROR(INDEX(Config!$D$9:$D$29,MATCH($B253,Config!$B$9:$B$29,0))&amp;"",""))</f>
        <v/>
      </c>
    </row>
    <row r="254">
      <c r="X254" s="20" t="str">
        <f>IF($B254="","",IFERROR(IF(INDEX(Config!$D$9:$D$29,MATCH($B254,Config!$B$9:$B$29,0))="Contrato",IF(INDEX(Config!$E$9:$E$29,MATCH($B254,Config!$B$9:$B$29,0))="","",INDEX(Config!$E$9:$E$29,MATCH($B254,Config!$B$9:$B$29,0))),""),""))</f>
        <v/>
      </c>
      <c r="AI254" s="19" t="str">
        <f>IF($B254="","",IFERROR(INDEX(Config!$D$9:$D$29,MATCH($B254,Config!$B$9:$B$29,0))&amp;"",""))</f>
        <v/>
      </c>
    </row>
    <row r="255">
      <c r="X255" s="20" t="str">
        <f>IF($B255="","",IFERROR(IF(INDEX(Config!$D$9:$D$29,MATCH($B255,Config!$B$9:$B$29,0))="Contrato",IF(INDEX(Config!$E$9:$E$29,MATCH($B255,Config!$B$9:$B$29,0))="","",INDEX(Config!$E$9:$E$29,MATCH($B255,Config!$B$9:$B$29,0))),""),""))</f>
        <v/>
      </c>
      <c r="AI255" s="19" t="str">
        <f>IF($B255="","",IFERROR(INDEX(Config!$D$9:$D$29,MATCH($B255,Config!$B$9:$B$29,0))&amp;"",""))</f>
        <v/>
      </c>
    </row>
    <row r="256">
      <c r="X256" s="20" t="str">
        <f>IF($B256="","",IFERROR(IF(INDEX(Config!$D$9:$D$29,MATCH($B256,Config!$B$9:$B$29,0))="Contrato",IF(INDEX(Config!$E$9:$E$29,MATCH($B256,Config!$B$9:$B$29,0))="","",INDEX(Config!$E$9:$E$29,MATCH($B256,Config!$B$9:$B$29,0))),""),""))</f>
        <v/>
      </c>
      <c r="AI256" s="19" t="str">
        <f>IF($B256="","",IFERROR(INDEX(Config!$D$9:$D$29,MATCH($B256,Config!$B$9:$B$29,0))&amp;"",""))</f>
        <v/>
      </c>
    </row>
    <row r="257">
      <c r="X257" s="20" t="str">
        <f>IF($B257="","",IFERROR(IF(INDEX(Config!$D$9:$D$29,MATCH($B257,Config!$B$9:$B$29,0))="Contrato",IF(INDEX(Config!$E$9:$E$29,MATCH($B257,Config!$B$9:$B$29,0))="","",INDEX(Config!$E$9:$E$29,MATCH($B257,Config!$B$9:$B$29,0))),""),""))</f>
        <v/>
      </c>
      <c r="AI257" s="19" t="str">
        <f>IF($B257="","",IFERROR(INDEX(Config!$D$9:$D$29,MATCH($B257,Config!$B$9:$B$29,0))&amp;"",""))</f>
        <v/>
      </c>
    </row>
    <row r="258">
      <c r="X258" s="20" t="str">
        <f>IF($B258="","",IFERROR(IF(INDEX(Config!$D$9:$D$29,MATCH($B258,Config!$B$9:$B$29,0))="Contrato",IF(INDEX(Config!$E$9:$E$29,MATCH($B258,Config!$B$9:$B$29,0))="","",INDEX(Config!$E$9:$E$29,MATCH($B258,Config!$B$9:$B$29,0))),""),""))</f>
        <v/>
      </c>
      <c r="AI258" s="19" t="str">
        <f>IF($B258="","",IFERROR(INDEX(Config!$D$9:$D$29,MATCH($B258,Config!$B$9:$B$29,0))&amp;"",""))</f>
        <v/>
      </c>
    </row>
    <row r="259">
      <c r="X259" s="20" t="str">
        <f>IF($B259="","",IFERROR(IF(INDEX(Config!$D$9:$D$29,MATCH($B259,Config!$B$9:$B$29,0))="Contrato",IF(INDEX(Config!$E$9:$E$29,MATCH($B259,Config!$B$9:$B$29,0))="","",INDEX(Config!$E$9:$E$29,MATCH($B259,Config!$B$9:$B$29,0))),""),""))</f>
        <v/>
      </c>
      <c r="AI259" s="19" t="str">
        <f>IF($B259="","",IFERROR(INDEX(Config!$D$9:$D$29,MATCH($B259,Config!$B$9:$B$29,0))&amp;"",""))</f>
        <v/>
      </c>
    </row>
    <row r="260">
      <c r="X260" s="20" t="str">
        <f>IF($B260="","",IFERROR(IF(INDEX(Config!$D$9:$D$29,MATCH($B260,Config!$B$9:$B$29,0))="Contrato",IF(INDEX(Config!$E$9:$E$29,MATCH($B260,Config!$B$9:$B$29,0))="","",INDEX(Config!$E$9:$E$29,MATCH($B260,Config!$B$9:$B$29,0))),""),""))</f>
        <v/>
      </c>
      <c r="AI260" s="19" t="str">
        <f>IF($B260="","",IFERROR(INDEX(Config!$D$9:$D$29,MATCH($B260,Config!$B$9:$B$29,0))&amp;"",""))</f>
        <v/>
      </c>
    </row>
    <row r="261">
      <c r="X261" s="20" t="str">
        <f>IF($B261="","",IFERROR(IF(INDEX(Config!$D$9:$D$29,MATCH($B261,Config!$B$9:$B$29,0))="Contrato",IF(INDEX(Config!$E$9:$E$29,MATCH($B261,Config!$B$9:$B$29,0))="","",INDEX(Config!$E$9:$E$29,MATCH($B261,Config!$B$9:$B$29,0))),""),""))</f>
        <v/>
      </c>
      <c r="AI261" s="19" t="str">
        <f>IF($B261="","",IFERROR(INDEX(Config!$D$9:$D$29,MATCH($B261,Config!$B$9:$B$29,0))&amp;"",""))</f>
        <v/>
      </c>
    </row>
    <row r="262">
      <c r="X262" s="20" t="str">
        <f>IF($B262="","",IFERROR(IF(INDEX(Config!$D$9:$D$29,MATCH($B262,Config!$B$9:$B$29,0))="Contrato",IF(INDEX(Config!$E$9:$E$29,MATCH($B262,Config!$B$9:$B$29,0))="","",INDEX(Config!$E$9:$E$29,MATCH($B262,Config!$B$9:$B$29,0))),""),""))</f>
        <v/>
      </c>
      <c r="AI262" s="19" t="str">
        <f>IF($B262="","",IFERROR(INDEX(Config!$D$9:$D$29,MATCH($B262,Config!$B$9:$B$29,0))&amp;"",""))</f>
        <v/>
      </c>
    </row>
    <row r="263">
      <c r="X263" s="20" t="str">
        <f>IF($B263="","",IFERROR(IF(INDEX(Config!$D$9:$D$29,MATCH($B263,Config!$B$9:$B$29,0))="Contrato",IF(INDEX(Config!$E$9:$E$29,MATCH($B263,Config!$B$9:$B$29,0))="","",INDEX(Config!$E$9:$E$29,MATCH($B263,Config!$B$9:$B$29,0))),""),""))</f>
        <v/>
      </c>
      <c r="AI263" s="19" t="str">
        <f>IF($B263="","",IFERROR(INDEX(Config!$D$9:$D$29,MATCH($B263,Config!$B$9:$B$29,0))&amp;"",""))</f>
        <v/>
      </c>
    </row>
    <row r="264">
      <c r="X264" s="20" t="str">
        <f>IF($B264="","",IFERROR(IF(INDEX(Config!$D$9:$D$29,MATCH($B264,Config!$B$9:$B$29,0))="Contrato",IF(INDEX(Config!$E$9:$E$29,MATCH($B264,Config!$B$9:$B$29,0))="","",INDEX(Config!$E$9:$E$29,MATCH($B264,Config!$B$9:$B$29,0))),""),""))</f>
        <v/>
      </c>
      <c r="AI264" s="19" t="str">
        <f>IF($B264="","",IFERROR(INDEX(Config!$D$9:$D$29,MATCH($B264,Config!$B$9:$B$29,0))&amp;"",""))</f>
        <v/>
      </c>
    </row>
    <row r="265">
      <c r="X265" s="20" t="str">
        <f>IF($B265="","",IFERROR(IF(INDEX(Config!$D$9:$D$29,MATCH($B265,Config!$B$9:$B$29,0))="Contrato",IF(INDEX(Config!$E$9:$E$29,MATCH($B265,Config!$B$9:$B$29,0))="","",INDEX(Config!$E$9:$E$29,MATCH($B265,Config!$B$9:$B$29,0))),""),""))</f>
        <v/>
      </c>
      <c r="AI265" s="19" t="str">
        <f>IF($B265="","",IFERROR(INDEX(Config!$D$9:$D$29,MATCH($B265,Config!$B$9:$B$29,0))&amp;"",""))</f>
        <v/>
      </c>
    </row>
    <row r="266">
      <c r="X266" s="20" t="str">
        <f>IF($B266="","",IFERROR(IF(INDEX(Config!$D$9:$D$29,MATCH($B266,Config!$B$9:$B$29,0))="Contrato",IF(INDEX(Config!$E$9:$E$29,MATCH($B266,Config!$B$9:$B$29,0))="","",INDEX(Config!$E$9:$E$29,MATCH($B266,Config!$B$9:$B$29,0))),""),""))</f>
        <v/>
      </c>
      <c r="AI266" s="19" t="str">
        <f>IF($B266="","",IFERROR(INDEX(Config!$D$9:$D$29,MATCH($B266,Config!$B$9:$B$29,0))&amp;"",""))</f>
        <v/>
      </c>
    </row>
    <row r="267">
      <c r="X267" s="20" t="str">
        <f>IF($B267="","",IFERROR(IF(INDEX(Config!$D$9:$D$29,MATCH($B267,Config!$B$9:$B$29,0))="Contrato",IF(INDEX(Config!$E$9:$E$29,MATCH($B267,Config!$B$9:$B$29,0))="","",INDEX(Config!$E$9:$E$29,MATCH($B267,Config!$B$9:$B$29,0))),""),""))</f>
        <v/>
      </c>
      <c r="AI267" s="19" t="str">
        <f>IF($B267="","",IFERROR(INDEX(Config!$D$9:$D$29,MATCH($B267,Config!$B$9:$B$29,0))&amp;"",""))</f>
        <v/>
      </c>
    </row>
    <row r="268">
      <c r="X268" s="20" t="str">
        <f>IF($B268="","",IFERROR(IF(INDEX(Config!$D$9:$D$29,MATCH($B268,Config!$B$9:$B$29,0))="Contrato",IF(INDEX(Config!$E$9:$E$29,MATCH($B268,Config!$B$9:$B$29,0))="","",INDEX(Config!$E$9:$E$29,MATCH($B268,Config!$B$9:$B$29,0))),""),""))</f>
        <v/>
      </c>
      <c r="AI268" s="19" t="str">
        <f>IF($B268="","",IFERROR(INDEX(Config!$D$9:$D$29,MATCH($B268,Config!$B$9:$B$29,0))&amp;"",""))</f>
        <v/>
      </c>
    </row>
    <row r="269">
      <c r="X269" s="20" t="str">
        <f>IF($B269="","",IFERROR(IF(INDEX(Config!$D$9:$D$29,MATCH($B269,Config!$B$9:$B$29,0))="Contrato",IF(INDEX(Config!$E$9:$E$29,MATCH($B269,Config!$B$9:$B$29,0))="","",INDEX(Config!$E$9:$E$29,MATCH($B269,Config!$B$9:$B$29,0))),""),""))</f>
        <v/>
      </c>
      <c r="AI269" s="19" t="str">
        <f>IF($B269="","",IFERROR(INDEX(Config!$D$9:$D$29,MATCH($B269,Config!$B$9:$B$29,0))&amp;"",""))</f>
        <v/>
      </c>
    </row>
    <row r="270">
      <c r="X270" s="20" t="str">
        <f>IF($B270="","",IFERROR(IF(INDEX(Config!$D$9:$D$29,MATCH($B270,Config!$B$9:$B$29,0))="Contrato",IF(INDEX(Config!$E$9:$E$29,MATCH($B270,Config!$B$9:$B$29,0))="","",INDEX(Config!$E$9:$E$29,MATCH($B270,Config!$B$9:$B$29,0))),""),""))</f>
        <v/>
      </c>
      <c r="AI270" s="19" t="str">
        <f>IF($B270="","",IFERROR(INDEX(Config!$D$9:$D$29,MATCH($B270,Config!$B$9:$B$29,0))&amp;"",""))</f>
        <v/>
      </c>
    </row>
    <row r="271">
      <c r="X271" s="20" t="str">
        <f>IF($B271="","",IFERROR(IF(INDEX(Config!$D$9:$D$29,MATCH($B271,Config!$B$9:$B$29,0))="Contrato",IF(INDEX(Config!$E$9:$E$29,MATCH($B271,Config!$B$9:$B$29,0))="","",INDEX(Config!$E$9:$E$29,MATCH($B271,Config!$B$9:$B$29,0))),""),""))</f>
        <v/>
      </c>
      <c r="AI271" s="19" t="str">
        <f>IF($B271="","",IFERROR(INDEX(Config!$D$9:$D$29,MATCH($B271,Config!$B$9:$B$29,0))&amp;"",""))</f>
        <v/>
      </c>
    </row>
    <row r="272">
      <c r="X272" s="20" t="str">
        <f>IF($B272="","",IFERROR(IF(INDEX(Config!$D$9:$D$29,MATCH($B272,Config!$B$9:$B$29,0))="Contrato",IF(INDEX(Config!$E$9:$E$29,MATCH($B272,Config!$B$9:$B$29,0))="","",INDEX(Config!$E$9:$E$29,MATCH($B272,Config!$B$9:$B$29,0))),""),""))</f>
        <v/>
      </c>
      <c r="AI272" s="19" t="str">
        <f>IF($B272="","",IFERROR(INDEX(Config!$D$9:$D$29,MATCH($B272,Config!$B$9:$B$29,0))&amp;"",""))</f>
        <v/>
      </c>
    </row>
    <row r="273">
      <c r="X273" s="20" t="str">
        <f>IF($B273="","",IFERROR(IF(INDEX(Config!$D$9:$D$29,MATCH($B273,Config!$B$9:$B$29,0))="Contrato",IF(INDEX(Config!$E$9:$E$29,MATCH($B273,Config!$B$9:$B$29,0))="","",INDEX(Config!$E$9:$E$29,MATCH($B273,Config!$B$9:$B$29,0))),""),""))</f>
        <v/>
      </c>
      <c r="AI273" s="19" t="str">
        <f>IF($B273="","",IFERROR(INDEX(Config!$D$9:$D$29,MATCH($B273,Config!$B$9:$B$29,0))&amp;"",""))</f>
        <v/>
      </c>
    </row>
    <row r="274">
      <c r="X274" s="20" t="str">
        <f>IF($B274="","",IFERROR(IF(INDEX(Config!$D$9:$D$29,MATCH($B274,Config!$B$9:$B$29,0))="Contrato",IF(INDEX(Config!$E$9:$E$29,MATCH($B274,Config!$B$9:$B$29,0))="","",INDEX(Config!$E$9:$E$29,MATCH($B274,Config!$B$9:$B$29,0))),""),""))</f>
        <v/>
      </c>
      <c r="AI274" s="19" t="str">
        <f>IF($B274="","",IFERROR(INDEX(Config!$D$9:$D$29,MATCH($B274,Config!$B$9:$B$29,0))&amp;"",""))</f>
        <v/>
      </c>
    </row>
    <row r="275">
      <c r="X275" s="20" t="str">
        <f>IF($B275="","",IFERROR(IF(INDEX(Config!$D$9:$D$29,MATCH($B275,Config!$B$9:$B$29,0))="Contrato",IF(INDEX(Config!$E$9:$E$29,MATCH($B275,Config!$B$9:$B$29,0))="","",INDEX(Config!$E$9:$E$29,MATCH($B275,Config!$B$9:$B$29,0))),""),""))</f>
        <v/>
      </c>
      <c r="AI275" s="19" t="str">
        <f>IF($B275="","",IFERROR(INDEX(Config!$D$9:$D$29,MATCH($B275,Config!$B$9:$B$29,0))&amp;"",""))</f>
        <v/>
      </c>
    </row>
    <row r="276">
      <c r="X276" s="20" t="str">
        <f>IF($B276="","",IFERROR(IF(INDEX(Config!$D$9:$D$29,MATCH($B276,Config!$B$9:$B$29,0))="Contrato",IF(INDEX(Config!$E$9:$E$29,MATCH($B276,Config!$B$9:$B$29,0))="","",INDEX(Config!$E$9:$E$29,MATCH($B276,Config!$B$9:$B$29,0))),""),""))</f>
        <v/>
      </c>
      <c r="AI276" s="19" t="str">
        <f>IF($B276="","",IFERROR(INDEX(Config!$D$9:$D$29,MATCH($B276,Config!$B$9:$B$29,0))&amp;"",""))</f>
        <v/>
      </c>
    </row>
    <row r="277">
      <c r="X277" s="20" t="str">
        <f>IF($B277="","",IFERROR(IF(INDEX(Config!$D$9:$D$29,MATCH($B277,Config!$B$9:$B$29,0))="Contrato",IF(INDEX(Config!$E$9:$E$29,MATCH($B277,Config!$B$9:$B$29,0))="","",INDEX(Config!$E$9:$E$29,MATCH($B277,Config!$B$9:$B$29,0))),""),""))</f>
        <v/>
      </c>
      <c r="AI277" s="19" t="str">
        <f>IF($B277="","",IFERROR(INDEX(Config!$D$9:$D$29,MATCH($B277,Config!$B$9:$B$29,0))&amp;"",""))</f>
        <v/>
      </c>
    </row>
    <row r="278">
      <c r="X278" s="20" t="str">
        <f>IF($B278="","",IFERROR(IF(INDEX(Config!$D$9:$D$29,MATCH($B278,Config!$B$9:$B$29,0))="Contrato",IF(INDEX(Config!$E$9:$E$29,MATCH($B278,Config!$B$9:$B$29,0))="","",INDEX(Config!$E$9:$E$29,MATCH($B278,Config!$B$9:$B$29,0))),""),""))</f>
        <v/>
      </c>
      <c r="AI278" s="19" t="str">
        <f>IF($B278="","",IFERROR(INDEX(Config!$D$9:$D$29,MATCH($B278,Config!$B$9:$B$29,0))&amp;"",""))</f>
        <v/>
      </c>
    </row>
    <row r="279">
      <c r="X279" s="20" t="str">
        <f>IF($B279="","",IFERROR(IF(INDEX(Config!$D$9:$D$29,MATCH($B279,Config!$B$9:$B$29,0))="Contrato",IF(INDEX(Config!$E$9:$E$29,MATCH($B279,Config!$B$9:$B$29,0))="","",INDEX(Config!$E$9:$E$29,MATCH($B279,Config!$B$9:$B$29,0))),""),""))</f>
        <v/>
      </c>
      <c r="AI279" s="19" t="str">
        <f>IF($B279="","",IFERROR(INDEX(Config!$D$9:$D$29,MATCH($B279,Config!$B$9:$B$29,0))&amp;"",""))</f>
        <v/>
      </c>
    </row>
    <row r="280">
      <c r="X280" s="20" t="str">
        <f>IF($B280="","",IFERROR(IF(INDEX(Config!$D$9:$D$29,MATCH($B280,Config!$B$9:$B$29,0))="Contrato",IF(INDEX(Config!$E$9:$E$29,MATCH($B280,Config!$B$9:$B$29,0))="","",INDEX(Config!$E$9:$E$29,MATCH($B280,Config!$B$9:$B$29,0))),""),""))</f>
        <v/>
      </c>
      <c r="AI280" s="19" t="str">
        <f>IF($B280="","",IFERROR(INDEX(Config!$D$9:$D$29,MATCH($B280,Config!$B$9:$B$29,0))&amp;"",""))</f>
        <v/>
      </c>
    </row>
    <row r="281">
      <c r="X281" s="20" t="str">
        <f>IF($B281="","",IFERROR(IF(INDEX(Config!$D$9:$D$29,MATCH($B281,Config!$B$9:$B$29,0))="Contrato",IF(INDEX(Config!$E$9:$E$29,MATCH($B281,Config!$B$9:$B$29,0))="","",INDEX(Config!$E$9:$E$29,MATCH($B281,Config!$B$9:$B$29,0))),""),""))</f>
        <v/>
      </c>
      <c r="AI281" s="19" t="str">
        <f>IF($B281="","",IFERROR(INDEX(Config!$D$9:$D$29,MATCH($B281,Config!$B$9:$B$29,0))&amp;"",""))</f>
        <v/>
      </c>
    </row>
    <row r="282">
      <c r="X282" s="20" t="str">
        <f>IF($B282="","",IFERROR(IF(INDEX(Config!$D$9:$D$29,MATCH($B282,Config!$B$9:$B$29,0))="Contrato",IF(INDEX(Config!$E$9:$E$29,MATCH($B282,Config!$B$9:$B$29,0))="","",INDEX(Config!$E$9:$E$29,MATCH($B282,Config!$B$9:$B$29,0))),""),""))</f>
        <v/>
      </c>
      <c r="AI282" s="19" t="str">
        <f>IF($B282="","",IFERROR(INDEX(Config!$D$9:$D$29,MATCH($B282,Config!$B$9:$B$29,0))&amp;"",""))</f>
        <v/>
      </c>
    </row>
    <row r="283">
      <c r="X283" s="20" t="str">
        <f>IF($B283="","",IFERROR(IF(INDEX(Config!$D$9:$D$29,MATCH($B283,Config!$B$9:$B$29,0))="Contrato",IF(INDEX(Config!$E$9:$E$29,MATCH($B283,Config!$B$9:$B$29,0))="","",INDEX(Config!$E$9:$E$29,MATCH($B283,Config!$B$9:$B$29,0))),""),""))</f>
        <v/>
      </c>
      <c r="AI283" s="19" t="str">
        <f>IF($B283="","",IFERROR(INDEX(Config!$D$9:$D$29,MATCH($B283,Config!$B$9:$B$29,0))&amp;"",""))</f>
        <v/>
      </c>
    </row>
    <row r="284">
      <c r="X284" s="20" t="str">
        <f>IF($B284="","",IFERROR(IF(INDEX(Config!$D$9:$D$29,MATCH($B284,Config!$B$9:$B$29,0))="Contrato",IF(INDEX(Config!$E$9:$E$29,MATCH($B284,Config!$B$9:$B$29,0))="","",INDEX(Config!$E$9:$E$29,MATCH($B284,Config!$B$9:$B$29,0))),""),""))</f>
        <v/>
      </c>
      <c r="AI284" s="19" t="str">
        <f>IF($B284="","",IFERROR(INDEX(Config!$D$9:$D$29,MATCH($B284,Config!$B$9:$B$29,0))&amp;"",""))</f>
        <v/>
      </c>
    </row>
    <row r="285">
      <c r="X285" s="20" t="str">
        <f>IF($B285="","",IFERROR(IF(INDEX(Config!$D$9:$D$29,MATCH($B285,Config!$B$9:$B$29,0))="Contrato",IF(INDEX(Config!$E$9:$E$29,MATCH($B285,Config!$B$9:$B$29,0))="","",INDEX(Config!$E$9:$E$29,MATCH($B285,Config!$B$9:$B$29,0))),""),""))</f>
        <v/>
      </c>
      <c r="AI285" s="19" t="str">
        <f>IF($B285="","",IFERROR(INDEX(Config!$D$9:$D$29,MATCH($B285,Config!$B$9:$B$29,0))&amp;"",""))</f>
        <v/>
      </c>
    </row>
    <row r="286">
      <c r="X286" s="20" t="str">
        <f>IF($B286="","",IFERROR(IF(INDEX(Config!$D$9:$D$29,MATCH($B286,Config!$B$9:$B$29,0))="Contrato",IF(INDEX(Config!$E$9:$E$29,MATCH($B286,Config!$B$9:$B$29,0))="","",INDEX(Config!$E$9:$E$29,MATCH($B286,Config!$B$9:$B$29,0))),""),""))</f>
        <v/>
      </c>
      <c r="AI286" s="19" t="str">
        <f>IF($B286="","",IFERROR(INDEX(Config!$D$9:$D$29,MATCH($B286,Config!$B$9:$B$29,0))&amp;"",""))</f>
        <v/>
      </c>
    </row>
    <row r="287">
      <c r="X287" s="20" t="str">
        <f>IF($B287="","",IFERROR(IF(INDEX(Config!$D$9:$D$29,MATCH($B287,Config!$B$9:$B$29,0))="Contrato",IF(INDEX(Config!$E$9:$E$29,MATCH($B287,Config!$B$9:$B$29,0))="","",INDEX(Config!$E$9:$E$29,MATCH($B287,Config!$B$9:$B$29,0))),""),""))</f>
        <v/>
      </c>
      <c r="AI287" s="19" t="str">
        <f>IF($B287="","",IFERROR(INDEX(Config!$D$9:$D$29,MATCH($B287,Config!$B$9:$B$29,0))&amp;"",""))</f>
        <v/>
      </c>
    </row>
    <row r="288">
      <c r="X288" s="20" t="str">
        <f>IF($B288="","",IFERROR(IF(INDEX(Config!$D$9:$D$29,MATCH($B288,Config!$B$9:$B$29,0))="Contrato",IF(INDEX(Config!$E$9:$E$29,MATCH($B288,Config!$B$9:$B$29,0))="","",INDEX(Config!$E$9:$E$29,MATCH($B288,Config!$B$9:$B$29,0))),""),""))</f>
        <v/>
      </c>
      <c r="AI288" s="19" t="str">
        <f>IF($B288="","",IFERROR(INDEX(Config!$D$9:$D$29,MATCH($B288,Config!$B$9:$B$29,0))&amp;"",""))</f>
        <v/>
      </c>
    </row>
    <row r="289">
      <c r="X289" s="20" t="str">
        <f>IF($B289="","",IFERROR(IF(INDEX(Config!$D$9:$D$29,MATCH($B289,Config!$B$9:$B$29,0))="Contrato",IF(INDEX(Config!$E$9:$E$29,MATCH($B289,Config!$B$9:$B$29,0))="","",INDEX(Config!$E$9:$E$29,MATCH($B289,Config!$B$9:$B$29,0))),""),""))</f>
        <v/>
      </c>
      <c r="AI289" s="19" t="str">
        <f>IF($B289="","",IFERROR(INDEX(Config!$D$9:$D$29,MATCH($B289,Config!$B$9:$B$29,0))&amp;"",""))</f>
        <v/>
      </c>
    </row>
    <row r="290">
      <c r="X290" s="20" t="str">
        <f>IF($B290="","",IFERROR(IF(INDEX(Config!$D$9:$D$29,MATCH($B290,Config!$B$9:$B$29,0))="Contrato",IF(INDEX(Config!$E$9:$E$29,MATCH($B290,Config!$B$9:$B$29,0))="","",INDEX(Config!$E$9:$E$29,MATCH($B290,Config!$B$9:$B$29,0))),""),""))</f>
        <v/>
      </c>
      <c r="AI290" s="19" t="str">
        <f>IF($B290="","",IFERROR(INDEX(Config!$D$9:$D$29,MATCH($B290,Config!$B$9:$B$29,0))&amp;"",""))</f>
        <v/>
      </c>
    </row>
    <row r="291">
      <c r="X291" s="20" t="str">
        <f>IF($B291="","",IFERROR(IF(INDEX(Config!$D$9:$D$29,MATCH($B291,Config!$B$9:$B$29,0))="Contrato",IF(INDEX(Config!$E$9:$E$29,MATCH($B291,Config!$B$9:$B$29,0))="","",INDEX(Config!$E$9:$E$29,MATCH($B291,Config!$B$9:$B$29,0))),""),""))</f>
        <v/>
      </c>
      <c r="AI291" s="19" t="str">
        <f>IF($B291="","",IFERROR(INDEX(Config!$D$9:$D$29,MATCH($B291,Config!$B$9:$B$29,0))&amp;"",""))</f>
        <v/>
      </c>
    </row>
    <row r="292">
      <c r="X292" s="20" t="str">
        <f>IF($B292="","",IFERROR(IF(INDEX(Config!$D$9:$D$29,MATCH($B292,Config!$B$9:$B$29,0))="Contrato",IF(INDEX(Config!$E$9:$E$29,MATCH($B292,Config!$B$9:$B$29,0))="","",INDEX(Config!$E$9:$E$29,MATCH($B292,Config!$B$9:$B$29,0))),""),""))</f>
        <v/>
      </c>
      <c r="AI292" s="19" t="str">
        <f>IF($B292="","",IFERROR(INDEX(Config!$D$9:$D$29,MATCH($B292,Config!$B$9:$B$29,0))&amp;"",""))</f>
        <v/>
      </c>
    </row>
    <row r="293">
      <c r="X293" s="20" t="str">
        <f>IF($B293="","",IFERROR(IF(INDEX(Config!$D$9:$D$29,MATCH($B293,Config!$B$9:$B$29,0))="Contrato",IF(INDEX(Config!$E$9:$E$29,MATCH($B293,Config!$B$9:$B$29,0))="","",INDEX(Config!$E$9:$E$29,MATCH($B293,Config!$B$9:$B$29,0))),""),""))</f>
        <v/>
      </c>
      <c r="AI293" s="19" t="str">
        <f>IF($B293="","",IFERROR(INDEX(Config!$D$9:$D$29,MATCH($B293,Config!$B$9:$B$29,0))&amp;"",""))</f>
        <v/>
      </c>
    </row>
    <row r="294">
      <c r="X294" s="20" t="str">
        <f>IF($B294="","",IFERROR(IF(INDEX(Config!$D$9:$D$29,MATCH($B294,Config!$B$9:$B$29,0))="Contrato",IF(INDEX(Config!$E$9:$E$29,MATCH($B294,Config!$B$9:$B$29,0))="","",INDEX(Config!$E$9:$E$29,MATCH($B294,Config!$B$9:$B$29,0))),""),""))</f>
        <v/>
      </c>
      <c r="AI294" s="19" t="str">
        <f>IF($B294="","",IFERROR(INDEX(Config!$D$9:$D$29,MATCH($B294,Config!$B$9:$B$29,0))&amp;"",""))</f>
        <v/>
      </c>
    </row>
    <row r="295">
      <c r="X295" s="20" t="str">
        <f>IF($B295="","",IFERROR(IF(INDEX(Config!$D$9:$D$29,MATCH($B295,Config!$B$9:$B$29,0))="Contrato",IF(INDEX(Config!$E$9:$E$29,MATCH($B295,Config!$B$9:$B$29,0))="","",INDEX(Config!$E$9:$E$29,MATCH($B295,Config!$B$9:$B$29,0))),""),""))</f>
        <v/>
      </c>
      <c r="AI295" s="19" t="str">
        <f>IF($B295="","",IFERROR(INDEX(Config!$D$9:$D$29,MATCH($B295,Config!$B$9:$B$29,0))&amp;"",""))</f>
        <v/>
      </c>
    </row>
    <row r="296">
      <c r="X296" s="20" t="str">
        <f>IF($B296="","",IFERROR(IF(INDEX(Config!$D$9:$D$29,MATCH($B296,Config!$B$9:$B$29,0))="Contrato",IF(INDEX(Config!$E$9:$E$29,MATCH($B296,Config!$B$9:$B$29,0))="","",INDEX(Config!$E$9:$E$29,MATCH($B296,Config!$B$9:$B$29,0))),""),""))</f>
        <v/>
      </c>
      <c r="AI296" s="19" t="str">
        <f>IF($B296="","",IFERROR(INDEX(Config!$D$9:$D$29,MATCH($B296,Config!$B$9:$B$29,0))&amp;"",""))</f>
        <v/>
      </c>
    </row>
    <row r="297">
      <c r="X297" s="20" t="str">
        <f>IF($B297="","",IFERROR(IF(INDEX(Config!$D$9:$D$29,MATCH($B297,Config!$B$9:$B$29,0))="Contrato",IF(INDEX(Config!$E$9:$E$29,MATCH($B297,Config!$B$9:$B$29,0))="","",INDEX(Config!$E$9:$E$29,MATCH($B297,Config!$B$9:$B$29,0))),""),""))</f>
        <v/>
      </c>
      <c r="AI297" s="19" t="str">
        <f>IF($B297="","",IFERROR(INDEX(Config!$D$9:$D$29,MATCH($B297,Config!$B$9:$B$29,0))&amp;"",""))</f>
        <v/>
      </c>
    </row>
    <row r="298">
      <c r="X298" s="20" t="str">
        <f>IF($B298="","",IFERROR(IF(INDEX(Config!$D$9:$D$29,MATCH($B298,Config!$B$9:$B$29,0))="Contrato",IF(INDEX(Config!$E$9:$E$29,MATCH($B298,Config!$B$9:$B$29,0))="","",INDEX(Config!$E$9:$E$29,MATCH($B298,Config!$B$9:$B$29,0))),""),""))</f>
        <v/>
      </c>
      <c r="AI298" s="19" t="str">
        <f>IF($B298="","",IFERROR(INDEX(Config!$D$9:$D$29,MATCH($B298,Config!$B$9:$B$29,0))&amp;"",""))</f>
        <v/>
      </c>
    </row>
    <row r="299">
      <c r="X299" s="20" t="str">
        <f>IF($B299="","",IFERROR(IF(INDEX(Config!$D$9:$D$29,MATCH($B299,Config!$B$9:$B$29,0))="Contrato",IF(INDEX(Config!$E$9:$E$29,MATCH($B299,Config!$B$9:$B$29,0))="","",INDEX(Config!$E$9:$E$29,MATCH($B299,Config!$B$9:$B$29,0))),""),""))</f>
        <v/>
      </c>
      <c r="AI299" s="19" t="str">
        <f>IF($B299="","",IFERROR(INDEX(Config!$D$9:$D$29,MATCH($B299,Config!$B$9:$B$29,0))&amp;"",""))</f>
        <v/>
      </c>
    </row>
    <row r="300">
      <c r="X300" s="20" t="str">
        <f>IF($B300="","",IFERROR(IF(INDEX(Config!$D$9:$D$29,MATCH($B300,Config!$B$9:$B$29,0))="Contrato",IF(INDEX(Config!$E$9:$E$29,MATCH($B300,Config!$B$9:$B$29,0))="","",INDEX(Config!$E$9:$E$29,MATCH($B300,Config!$B$9:$B$29,0))),""),""))</f>
        <v/>
      </c>
      <c r="AI300" s="19" t="str">
        <f>IF($B300="","",IFERROR(INDEX(Config!$D$9:$D$29,MATCH($B300,Config!$B$9:$B$29,0))&amp;"",""))</f>
        <v/>
      </c>
    </row>
    <row r="301">
      <c r="X301" s="20" t="str">
        <f>IF($B301="","",IFERROR(IF(INDEX(Config!$D$9:$D$29,MATCH($B301,Config!$B$9:$B$29,0))="Contrato",IF(INDEX(Config!$E$9:$E$29,MATCH($B301,Config!$B$9:$B$29,0))="","",INDEX(Config!$E$9:$E$29,MATCH($B301,Config!$B$9:$B$29,0))),""),""))</f>
        <v/>
      </c>
      <c r="AI301" s="19" t="str">
        <f>IF($B301="","",IFERROR(INDEX(Config!$D$9:$D$29,MATCH($B301,Config!$B$9:$B$29,0))&amp;"",""))</f>
        <v/>
      </c>
    </row>
    <row r="302">
      <c r="X302" s="20" t="str">
        <f>IF($B302="","",IFERROR(IF(INDEX(Config!$D$9:$D$29,MATCH($B302,Config!$B$9:$B$29,0))="Contrato",IF(INDEX(Config!$E$9:$E$29,MATCH($B302,Config!$B$9:$B$29,0))="","",INDEX(Config!$E$9:$E$29,MATCH($B302,Config!$B$9:$B$29,0))),""),""))</f>
        <v/>
      </c>
      <c r="AI302" s="19" t="str">
        <f>IF($B302="","",IFERROR(INDEX(Config!$D$9:$D$29,MATCH($B302,Config!$B$9:$B$29,0))&amp;"",""))</f>
        <v/>
      </c>
    </row>
    <row r="303">
      <c r="X303" s="20" t="str">
        <f>IF($B303="","",IFERROR(IF(INDEX(Config!$D$9:$D$29,MATCH($B303,Config!$B$9:$B$29,0))="Contrato",IF(INDEX(Config!$E$9:$E$29,MATCH($B303,Config!$B$9:$B$29,0))="","",INDEX(Config!$E$9:$E$29,MATCH($B303,Config!$B$9:$B$29,0))),""),""))</f>
        <v/>
      </c>
      <c r="AI303" s="19" t="str">
        <f>IF($B303="","",IFERROR(INDEX(Config!$D$9:$D$29,MATCH($B303,Config!$B$9:$B$29,0))&amp;"",""))</f>
        <v/>
      </c>
    </row>
    <row r="304">
      <c r="X304" s="20" t="str">
        <f>IF($B304="","",IFERROR(IF(INDEX(Config!$D$9:$D$29,MATCH($B304,Config!$B$9:$B$29,0))="Contrato",IF(INDEX(Config!$E$9:$E$29,MATCH($B304,Config!$B$9:$B$29,0))="","",INDEX(Config!$E$9:$E$29,MATCH($B304,Config!$B$9:$B$29,0))),""),""))</f>
        <v/>
      </c>
      <c r="AI304" s="19" t="str">
        <f>IF($B304="","",IFERROR(INDEX(Config!$D$9:$D$29,MATCH($B304,Config!$B$9:$B$29,0))&amp;"",""))</f>
        <v/>
      </c>
    </row>
    <row r="305">
      <c r="X305" s="20" t="str">
        <f>IF($B305="","",IFERROR(IF(INDEX(Config!$D$9:$D$29,MATCH($B305,Config!$B$9:$B$29,0))="Contrato",IF(INDEX(Config!$E$9:$E$29,MATCH($B305,Config!$B$9:$B$29,0))="","",INDEX(Config!$E$9:$E$29,MATCH($B305,Config!$B$9:$B$29,0))),""),""))</f>
        <v/>
      </c>
      <c r="AI305" s="19" t="str">
        <f>IF($B305="","",IFERROR(INDEX(Config!$D$9:$D$29,MATCH($B305,Config!$B$9:$B$29,0))&amp;"",""))</f>
        <v/>
      </c>
    </row>
    <row r="306">
      <c r="X306" s="20" t="str">
        <f>IF($B306="","",IFERROR(IF(INDEX(Config!$D$9:$D$29,MATCH($B306,Config!$B$9:$B$29,0))="Contrato",IF(INDEX(Config!$E$9:$E$29,MATCH($B306,Config!$B$9:$B$29,0))="","",INDEX(Config!$E$9:$E$29,MATCH($B306,Config!$B$9:$B$29,0))),""),""))</f>
        <v/>
      </c>
      <c r="AI306" s="19" t="str">
        <f>IF($B306="","",IFERROR(INDEX(Config!$D$9:$D$29,MATCH($B306,Config!$B$9:$B$29,0))&amp;"",""))</f>
        <v/>
      </c>
    </row>
    <row r="307">
      <c r="X307" s="20" t="str">
        <f>IF($B307="","",IFERROR(IF(INDEX(Config!$D$9:$D$29,MATCH($B307,Config!$B$9:$B$29,0))="Contrato",IF(INDEX(Config!$E$9:$E$29,MATCH($B307,Config!$B$9:$B$29,0))="","",INDEX(Config!$E$9:$E$29,MATCH($B307,Config!$B$9:$B$29,0))),""),""))</f>
        <v/>
      </c>
      <c r="AI307" s="19" t="str">
        <f>IF($B307="","",IFERROR(INDEX(Config!$D$9:$D$29,MATCH($B307,Config!$B$9:$B$29,0))&amp;"",""))</f>
        <v/>
      </c>
    </row>
    <row r="308">
      <c r="X308" s="20" t="str">
        <f>IF($B308="","",IFERROR(IF(INDEX(Config!$D$9:$D$29,MATCH($B308,Config!$B$9:$B$29,0))="Contrato",IF(INDEX(Config!$E$9:$E$29,MATCH($B308,Config!$B$9:$B$29,0))="","",INDEX(Config!$E$9:$E$29,MATCH($B308,Config!$B$9:$B$29,0))),""),""))</f>
        <v/>
      </c>
      <c r="AI308" s="19" t="str">
        <f>IF($B308="","",IFERROR(INDEX(Config!$D$9:$D$29,MATCH($B308,Config!$B$9:$B$29,0))&amp;"",""))</f>
        <v/>
      </c>
    </row>
    <row r="309">
      <c r="X309" s="20" t="str">
        <f>IF($B309="","",IFERROR(IF(INDEX(Config!$D$9:$D$29,MATCH($B309,Config!$B$9:$B$29,0))="Contrato",IF(INDEX(Config!$E$9:$E$29,MATCH($B309,Config!$B$9:$B$29,0))="","",INDEX(Config!$E$9:$E$29,MATCH($B309,Config!$B$9:$B$29,0))),""),""))</f>
        <v/>
      </c>
      <c r="AI309" s="19" t="str">
        <f>IF($B309="","",IFERROR(INDEX(Config!$D$9:$D$29,MATCH($B309,Config!$B$9:$B$29,0))&amp;"",""))</f>
        <v/>
      </c>
    </row>
    <row r="310">
      <c r="X310" s="20" t="str">
        <f>IF($B310="","",IFERROR(IF(INDEX(Config!$D$9:$D$29,MATCH($B310,Config!$B$9:$B$29,0))="Contrato",IF(INDEX(Config!$E$9:$E$29,MATCH($B310,Config!$B$9:$B$29,0))="","",INDEX(Config!$E$9:$E$29,MATCH($B310,Config!$B$9:$B$29,0))),""),""))</f>
        <v/>
      </c>
      <c r="AI310" s="19" t="str">
        <f>IF($B310="","",IFERROR(INDEX(Config!$D$9:$D$29,MATCH($B310,Config!$B$9:$B$29,0))&amp;"",""))</f>
        <v/>
      </c>
    </row>
    <row r="311">
      <c r="X311" s="20" t="str">
        <f>IF($B311="","",IFERROR(IF(INDEX(Config!$D$9:$D$29,MATCH($B311,Config!$B$9:$B$29,0))="Contrato",IF(INDEX(Config!$E$9:$E$29,MATCH($B311,Config!$B$9:$B$29,0))="","",INDEX(Config!$E$9:$E$29,MATCH($B311,Config!$B$9:$B$29,0))),""),""))</f>
        <v/>
      </c>
      <c r="AI311" s="19" t="str">
        <f>IF($B311="","",IFERROR(INDEX(Config!$D$9:$D$29,MATCH($B311,Config!$B$9:$B$29,0))&amp;"",""))</f>
        <v/>
      </c>
    </row>
    <row r="312">
      <c r="X312" s="20" t="str">
        <f>IF($B312="","",IFERROR(IF(INDEX(Config!$D$9:$D$29,MATCH($B312,Config!$B$9:$B$29,0))="Contrato",IF(INDEX(Config!$E$9:$E$29,MATCH($B312,Config!$B$9:$B$29,0))="","",INDEX(Config!$E$9:$E$29,MATCH($B312,Config!$B$9:$B$29,0))),""),""))</f>
        <v/>
      </c>
      <c r="AI312" s="19" t="str">
        <f>IF($B312="","",IFERROR(INDEX(Config!$D$9:$D$29,MATCH($B312,Config!$B$9:$B$29,0))&amp;"",""))</f>
        <v/>
      </c>
    </row>
    <row r="313">
      <c r="X313" s="20" t="str">
        <f>IF($B313="","",IFERROR(IF(INDEX(Config!$D$9:$D$29,MATCH($B313,Config!$B$9:$B$29,0))="Contrato",IF(INDEX(Config!$E$9:$E$29,MATCH($B313,Config!$B$9:$B$29,0))="","",INDEX(Config!$E$9:$E$29,MATCH($B313,Config!$B$9:$B$29,0))),""),""))</f>
        <v/>
      </c>
      <c r="AI313" s="19" t="str">
        <f>IF($B313="","",IFERROR(INDEX(Config!$D$9:$D$29,MATCH($B313,Config!$B$9:$B$29,0))&amp;"",""))</f>
        <v/>
      </c>
    </row>
    <row r="314">
      <c r="X314" s="20" t="str">
        <f>IF($B314="","",IFERROR(IF(INDEX(Config!$D$9:$D$29,MATCH($B314,Config!$B$9:$B$29,0))="Contrato",IF(INDEX(Config!$E$9:$E$29,MATCH($B314,Config!$B$9:$B$29,0))="","",INDEX(Config!$E$9:$E$29,MATCH($B314,Config!$B$9:$B$29,0))),""),""))</f>
        <v/>
      </c>
      <c r="AI314" s="19" t="str">
        <f>IF($B314="","",IFERROR(INDEX(Config!$D$9:$D$29,MATCH($B314,Config!$B$9:$B$29,0))&amp;"",""))</f>
        <v/>
      </c>
    </row>
    <row r="315">
      <c r="X315" s="20" t="str">
        <f>IF($B315="","",IFERROR(IF(INDEX(Config!$D$9:$D$29,MATCH($B315,Config!$B$9:$B$29,0))="Contrato",IF(INDEX(Config!$E$9:$E$29,MATCH($B315,Config!$B$9:$B$29,0))="","",INDEX(Config!$E$9:$E$29,MATCH($B315,Config!$B$9:$B$29,0))),""),""))</f>
        <v/>
      </c>
      <c r="AI315" s="19" t="str">
        <f>IF($B315="","",IFERROR(INDEX(Config!$D$9:$D$29,MATCH($B315,Config!$B$9:$B$29,0))&amp;"",""))</f>
        <v/>
      </c>
    </row>
    <row r="316">
      <c r="X316" s="20" t="str">
        <f>IF($B316="","",IFERROR(IF(INDEX(Config!$D$9:$D$29,MATCH($B316,Config!$B$9:$B$29,0))="Contrato",IF(INDEX(Config!$E$9:$E$29,MATCH($B316,Config!$B$9:$B$29,0))="","",INDEX(Config!$E$9:$E$29,MATCH($B316,Config!$B$9:$B$29,0))),""),""))</f>
        <v/>
      </c>
      <c r="AI316" s="19" t="str">
        <f>IF($B316="","",IFERROR(INDEX(Config!$D$9:$D$29,MATCH($B316,Config!$B$9:$B$29,0))&amp;"",""))</f>
        <v/>
      </c>
    </row>
    <row r="317">
      <c r="X317" s="20" t="str">
        <f>IF($B317="","",IFERROR(IF(INDEX(Config!$D$9:$D$29,MATCH($B317,Config!$B$9:$B$29,0))="Contrato",IF(INDEX(Config!$E$9:$E$29,MATCH($B317,Config!$B$9:$B$29,0))="","",INDEX(Config!$E$9:$E$29,MATCH($B317,Config!$B$9:$B$29,0))),""),""))</f>
        <v/>
      </c>
      <c r="AI317" s="19" t="str">
        <f>IF($B317="","",IFERROR(INDEX(Config!$D$9:$D$29,MATCH($B317,Config!$B$9:$B$29,0))&amp;"",""))</f>
        <v/>
      </c>
    </row>
    <row r="318">
      <c r="X318" s="20" t="str">
        <f>IF($B318="","",IFERROR(IF(INDEX(Config!$D$9:$D$29,MATCH($B318,Config!$B$9:$B$29,0))="Contrato",IF(INDEX(Config!$E$9:$E$29,MATCH($B318,Config!$B$9:$B$29,0))="","",INDEX(Config!$E$9:$E$29,MATCH($B318,Config!$B$9:$B$29,0))),""),""))</f>
        <v/>
      </c>
      <c r="AI318" s="19" t="str">
        <f>IF($B318="","",IFERROR(INDEX(Config!$D$9:$D$29,MATCH($B318,Config!$B$9:$B$29,0))&amp;"",""))</f>
        <v/>
      </c>
    </row>
    <row r="319">
      <c r="X319" s="20" t="str">
        <f>IF($B319="","",IFERROR(IF(INDEX(Config!$D$9:$D$29,MATCH($B319,Config!$B$9:$B$29,0))="Contrato",IF(INDEX(Config!$E$9:$E$29,MATCH($B319,Config!$B$9:$B$29,0))="","",INDEX(Config!$E$9:$E$29,MATCH($B319,Config!$B$9:$B$29,0))),""),""))</f>
        <v/>
      </c>
      <c r="AI319" s="19" t="str">
        <f>IF($B319="","",IFERROR(INDEX(Config!$D$9:$D$29,MATCH($B319,Config!$B$9:$B$29,0))&amp;"",""))</f>
        <v/>
      </c>
    </row>
    <row r="320">
      <c r="X320" s="20" t="str">
        <f>IF($B320="","",IFERROR(IF(INDEX(Config!$D$9:$D$29,MATCH($B320,Config!$B$9:$B$29,0))="Contrato",IF(INDEX(Config!$E$9:$E$29,MATCH($B320,Config!$B$9:$B$29,0))="","",INDEX(Config!$E$9:$E$29,MATCH($B320,Config!$B$9:$B$29,0))),""),""))</f>
        <v/>
      </c>
      <c r="AI320" s="19" t="str">
        <f>IF($B320="","",IFERROR(INDEX(Config!$D$9:$D$29,MATCH($B320,Config!$B$9:$B$29,0))&amp;"",""))</f>
        <v/>
      </c>
    </row>
    <row r="321">
      <c r="X321" s="20" t="str">
        <f>IF($B321="","",IFERROR(IF(INDEX(Config!$D$9:$D$29,MATCH($B321,Config!$B$9:$B$29,0))="Contrato",IF(INDEX(Config!$E$9:$E$29,MATCH($B321,Config!$B$9:$B$29,0))="","",INDEX(Config!$E$9:$E$29,MATCH($B321,Config!$B$9:$B$29,0))),""),""))</f>
        <v/>
      </c>
      <c r="AI321" s="19" t="str">
        <f>IF($B321="","",IFERROR(INDEX(Config!$D$9:$D$29,MATCH($B321,Config!$B$9:$B$29,0))&amp;"",""))</f>
        <v/>
      </c>
    </row>
    <row r="322">
      <c r="X322" s="20" t="str">
        <f>IF($B322="","",IFERROR(IF(INDEX(Config!$D$9:$D$29,MATCH($B322,Config!$B$9:$B$29,0))="Contrato",IF(INDEX(Config!$E$9:$E$29,MATCH($B322,Config!$B$9:$B$29,0))="","",INDEX(Config!$E$9:$E$29,MATCH($B322,Config!$B$9:$B$29,0))),""),""))</f>
        <v/>
      </c>
      <c r="AI322" s="19" t="str">
        <f>IF($B322="","",IFERROR(INDEX(Config!$D$9:$D$29,MATCH($B322,Config!$B$9:$B$29,0))&amp;"",""))</f>
        <v/>
      </c>
    </row>
    <row r="323">
      <c r="X323" s="20" t="str">
        <f>IF($B323="","",IFERROR(IF(INDEX(Config!$D$9:$D$29,MATCH($B323,Config!$B$9:$B$29,0))="Contrato",IF(INDEX(Config!$E$9:$E$29,MATCH($B323,Config!$B$9:$B$29,0))="","",INDEX(Config!$E$9:$E$29,MATCH($B323,Config!$B$9:$B$29,0))),""),""))</f>
        <v/>
      </c>
      <c r="AI323" s="19" t="str">
        <f>IF($B323="","",IFERROR(INDEX(Config!$D$9:$D$29,MATCH($B323,Config!$B$9:$B$29,0))&amp;"",""))</f>
        <v/>
      </c>
    </row>
    <row r="324">
      <c r="X324" s="20" t="str">
        <f>IF($B324="","",IFERROR(IF(INDEX(Config!$D$9:$D$29,MATCH($B324,Config!$B$9:$B$29,0))="Contrato",IF(INDEX(Config!$E$9:$E$29,MATCH($B324,Config!$B$9:$B$29,0))="","",INDEX(Config!$E$9:$E$29,MATCH($B324,Config!$B$9:$B$29,0))),""),""))</f>
        <v/>
      </c>
      <c r="AI324" s="19" t="str">
        <f>IF($B324="","",IFERROR(INDEX(Config!$D$9:$D$29,MATCH($B324,Config!$B$9:$B$29,0))&amp;"",""))</f>
        <v/>
      </c>
    </row>
    <row r="325">
      <c r="X325" s="20" t="str">
        <f>IF($B325="","",IFERROR(IF(INDEX(Config!$D$9:$D$29,MATCH($B325,Config!$B$9:$B$29,0))="Contrato",IF(INDEX(Config!$E$9:$E$29,MATCH($B325,Config!$B$9:$B$29,0))="","",INDEX(Config!$E$9:$E$29,MATCH($B325,Config!$B$9:$B$29,0))),""),""))</f>
        <v/>
      </c>
      <c r="AI325" s="19" t="str">
        <f>IF($B325="","",IFERROR(INDEX(Config!$D$9:$D$29,MATCH($B325,Config!$B$9:$B$29,0))&amp;"",""))</f>
        <v/>
      </c>
    </row>
    <row r="326">
      <c r="X326" s="20" t="str">
        <f>IF($B326="","",IFERROR(IF(INDEX(Config!$D$9:$D$29,MATCH($B326,Config!$B$9:$B$29,0))="Contrato",IF(INDEX(Config!$E$9:$E$29,MATCH($B326,Config!$B$9:$B$29,0))="","",INDEX(Config!$E$9:$E$29,MATCH($B326,Config!$B$9:$B$29,0))),""),""))</f>
        <v/>
      </c>
      <c r="AI326" s="19" t="str">
        <f>IF($B326="","",IFERROR(INDEX(Config!$D$9:$D$29,MATCH($B326,Config!$B$9:$B$29,0))&amp;"",""))</f>
        <v/>
      </c>
    </row>
    <row r="327">
      <c r="X327" s="20" t="str">
        <f>IF($B327="","",IFERROR(IF(INDEX(Config!$D$9:$D$29,MATCH($B327,Config!$B$9:$B$29,0))="Contrato",IF(INDEX(Config!$E$9:$E$29,MATCH($B327,Config!$B$9:$B$29,0))="","",INDEX(Config!$E$9:$E$29,MATCH($B327,Config!$B$9:$B$29,0))),""),""))</f>
        <v/>
      </c>
      <c r="AI327" s="19" t="str">
        <f>IF($B327="","",IFERROR(INDEX(Config!$D$9:$D$29,MATCH($B327,Config!$B$9:$B$29,0))&amp;"",""))</f>
        <v/>
      </c>
    </row>
    <row r="328">
      <c r="X328" s="20" t="str">
        <f>IF($B328="","",IFERROR(IF(INDEX(Config!$D$9:$D$29,MATCH($B328,Config!$B$9:$B$29,0))="Contrato",IF(INDEX(Config!$E$9:$E$29,MATCH($B328,Config!$B$9:$B$29,0))="","",INDEX(Config!$E$9:$E$29,MATCH($B328,Config!$B$9:$B$29,0))),""),""))</f>
        <v/>
      </c>
      <c r="AI328" s="19" t="str">
        <f>IF($B328="","",IFERROR(INDEX(Config!$D$9:$D$29,MATCH($B328,Config!$B$9:$B$29,0))&amp;"",""))</f>
        <v/>
      </c>
    </row>
    <row r="329">
      <c r="X329" s="20" t="str">
        <f>IF($B329="","",IFERROR(IF(INDEX(Config!$D$9:$D$29,MATCH($B329,Config!$B$9:$B$29,0))="Contrato",IF(INDEX(Config!$E$9:$E$29,MATCH($B329,Config!$B$9:$B$29,0))="","",INDEX(Config!$E$9:$E$29,MATCH($B329,Config!$B$9:$B$29,0))),""),""))</f>
        <v/>
      </c>
      <c r="AI329" s="19" t="str">
        <f>IF($B329="","",IFERROR(INDEX(Config!$D$9:$D$29,MATCH($B329,Config!$B$9:$B$29,0))&amp;"",""))</f>
        <v/>
      </c>
    </row>
    <row r="330">
      <c r="X330" s="20" t="str">
        <f>IF($B330="","",IFERROR(IF(INDEX(Config!$D$9:$D$29,MATCH($B330,Config!$B$9:$B$29,0))="Contrato",IF(INDEX(Config!$E$9:$E$29,MATCH($B330,Config!$B$9:$B$29,0))="","",INDEX(Config!$E$9:$E$29,MATCH($B330,Config!$B$9:$B$29,0))),""),""))</f>
        <v/>
      </c>
      <c r="AI330" s="19" t="str">
        <f>IF($B330="","",IFERROR(INDEX(Config!$D$9:$D$29,MATCH($B330,Config!$B$9:$B$29,0))&amp;"",""))</f>
        <v/>
      </c>
    </row>
    <row r="331">
      <c r="X331" s="20" t="str">
        <f>IF($B331="","",IFERROR(IF(INDEX(Config!$D$9:$D$29,MATCH($B331,Config!$B$9:$B$29,0))="Contrato",IF(INDEX(Config!$E$9:$E$29,MATCH($B331,Config!$B$9:$B$29,0))="","",INDEX(Config!$E$9:$E$29,MATCH($B331,Config!$B$9:$B$29,0))),""),""))</f>
        <v/>
      </c>
      <c r="AI331" s="19" t="str">
        <f>IF($B331="","",IFERROR(INDEX(Config!$D$9:$D$29,MATCH($B331,Config!$B$9:$B$29,0))&amp;"",""))</f>
        <v/>
      </c>
    </row>
    <row r="332">
      <c r="X332" s="20" t="str">
        <f>IF($B332="","",IFERROR(IF(INDEX(Config!$D$9:$D$29,MATCH($B332,Config!$B$9:$B$29,0))="Contrato",IF(INDEX(Config!$E$9:$E$29,MATCH($B332,Config!$B$9:$B$29,0))="","",INDEX(Config!$E$9:$E$29,MATCH($B332,Config!$B$9:$B$29,0))),""),""))</f>
        <v/>
      </c>
      <c r="AI332" s="19" t="str">
        <f>IF($B332="","",IFERROR(INDEX(Config!$D$9:$D$29,MATCH($B332,Config!$B$9:$B$29,0))&amp;"",""))</f>
        <v/>
      </c>
    </row>
    <row r="333">
      <c r="X333" s="20" t="str">
        <f>IF($B333="","",IFERROR(IF(INDEX(Config!$D$9:$D$29,MATCH($B333,Config!$B$9:$B$29,0))="Contrato",IF(INDEX(Config!$E$9:$E$29,MATCH($B333,Config!$B$9:$B$29,0))="","",INDEX(Config!$E$9:$E$29,MATCH($B333,Config!$B$9:$B$29,0))),""),""))</f>
        <v/>
      </c>
      <c r="AI333" s="19" t="str">
        <f>IF($B333="","",IFERROR(INDEX(Config!$D$9:$D$29,MATCH($B333,Config!$B$9:$B$29,0))&amp;"",""))</f>
        <v/>
      </c>
    </row>
    <row r="334">
      <c r="X334" s="20" t="str">
        <f>IF($B334="","",IFERROR(IF(INDEX(Config!$D$9:$D$29,MATCH($B334,Config!$B$9:$B$29,0))="Contrato",IF(INDEX(Config!$E$9:$E$29,MATCH($B334,Config!$B$9:$B$29,0))="","",INDEX(Config!$E$9:$E$29,MATCH($B334,Config!$B$9:$B$29,0))),""),""))</f>
        <v/>
      </c>
      <c r="AI334" s="19" t="str">
        <f>IF($B334="","",IFERROR(INDEX(Config!$D$9:$D$29,MATCH($B334,Config!$B$9:$B$29,0))&amp;"",""))</f>
        <v/>
      </c>
    </row>
    <row r="335">
      <c r="X335" s="20" t="str">
        <f>IF($B335="","",IFERROR(IF(INDEX(Config!$D$9:$D$29,MATCH($B335,Config!$B$9:$B$29,0))="Contrato",IF(INDEX(Config!$E$9:$E$29,MATCH($B335,Config!$B$9:$B$29,0))="","",INDEX(Config!$E$9:$E$29,MATCH($B335,Config!$B$9:$B$29,0))),""),""))</f>
        <v/>
      </c>
      <c r="AI335" s="19" t="str">
        <f>IF($B335="","",IFERROR(INDEX(Config!$D$9:$D$29,MATCH($B335,Config!$B$9:$B$29,0))&amp;"",""))</f>
        <v/>
      </c>
    </row>
    <row r="336">
      <c r="X336" s="20" t="str">
        <f>IF($B336="","",IFERROR(IF(INDEX(Config!$D$9:$D$29,MATCH($B336,Config!$B$9:$B$29,0))="Contrato",IF(INDEX(Config!$E$9:$E$29,MATCH($B336,Config!$B$9:$B$29,0))="","",INDEX(Config!$E$9:$E$29,MATCH($B336,Config!$B$9:$B$29,0))),""),""))</f>
        <v/>
      </c>
      <c r="AI336" s="19" t="str">
        <f>IF($B336="","",IFERROR(INDEX(Config!$D$9:$D$29,MATCH($B336,Config!$B$9:$B$29,0))&amp;"",""))</f>
        <v/>
      </c>
    </row>
    <row r="337">
      <c r="X337" s="20" t="str">
        <f>IF($B337="","",IFERROR(IF(INDEX(Config!$D$9:$D$29,MATCH($B337,Config!$B$9:$B$29,0))="Contrato",IF(INDEX(Config!$E$9:$E$29,MATCH($B337,Config!$B$9:$B$29,0))="","",INDEX(Config!$E$9:$E$29,MATCH($B337,Config!$B$9:$B$29,0))),""),""))</f>
        <v/>
      </c>
      <c r="AI337" s="19" t="str">
        <f>IF($B337="","",IFERROR(INDEX(Config!$D$9:$D$29,MATCH($B337,Config!$B$9:$B$29,0))&amp;"",""))</f>
        <v/>
      </c>
    </row>
    <row r="338">
      <c r="X338" s="20" t="str">
        <f>IF($B338="","",IFERROR(IF(INDEX(Config!$D$9:$D$29,MATCH($B338,Config!$B$9:$B$29,0))="Contrato",IF(INDEX(Config!$E$9:$E$29,MATCH($B338,Config!$B$9:$B$29,0))="","",INDEX(Config!$E$9:$E$29,MATCH($B338,Config!$B$9:$B$29,0))),""),""))</f>
        <v/>
      </c>
      <c r="AI338" s="19" t="str">
        <f>IF($B338="","",IFERROR(INDEX(Config!$D$9:$D$29,MATCH($B338,Config!$B$9:$B$29,0))&amp;"",""))</f>
        <v/>
      </c>
    </row>
    <row r="339">
      <c r="X339" s="20" t="str">
        <f>IF($B339="","",IFERROR(IF(INDEX(Config!$D$9:$D$29,MATCH($B339,Config!$B$9:$B$29,0))="Contrato",IF(INDEX(Config!$E$9:$E$29,MATCH($B339,Config!$B$9:$B$29,0))="","",INDEX(Config!$E$9:$E$29,MATCH($B339,Config!$B$9:$B$29,0))),""),""))</f>
        <v/>
      </c>
      <c r="AI339" s="19" t="str">
        <f>IF($B339="","",IFERROR(INDEX(Config!$D$9:$D$29,MATCH($B339,Config!$B$9:$B$29,0))&amp;"",""))</f>
        <v/>
      </c>
    </row>
    <row r="340">
      <c r="X340" s="20" t="str">
        <f>IF($B340="","",IFERROR(IF(INDEX(Config!$D$9:$D$29,MATCH($B340,Config!$B$9:$B$29,0))="Contrato",IF(INDEX(Config!$E$9:$E$29,MATCH($B340,Config!$B$9:$B$29,0))="","",INDEX(Config!$E$9:$E$29,MATCH($B340,Config!$B$9:$B$29,0))),""),""))</f>
        <v/>
      </c>
      <c r="AI340" s="19" t="str">
        <f>IF($B340="","",IFERROR(INDEX(Config!$D$9:$D$29,MATCH($B340,Config!$B$9:$B$29,0))&amp;"",""))</f>
        <v/>
      </c>
    </row>
    <row r="341">
      <c r="X341" s="20" t="str">
        <f>IF($B341="","",IFERROR(IF(INDEX(Config!$D$9:$D$29,MATCH($B341,Config!$B$9:$B$29,0))="Contrato",IF(INDEX(Config!$E$9:$E$29,MATCH($B341,Config!$B$9:$B$29,0))="","",INDEX(Config!$E$9:$E$29,MATCH($B341,Config!$B$9:$B$29,0))),""),""))</f>
        <v/>
      </c>
      <c r="AI341" s="19" t="str">
        <f>IF($B341="","",IFERROR(INDEX(Config!$D$9:$D$29,MATCH($B341,Config!$B$9:$B$29,0))&amp;"",""))</f>
        <v/>
      </c>
    </row>
    <row r="342">
      <c r="X342" s="20" t="str">
        <f>IF($B342="","",IFERROR(IF(INDEX(Config!$D$9:$D$29,MATCH($B342,Config!$B$9:$B$29,0))="Contrato",IF(INDEX(Config!$E$9:$E$29,MATCH($B342,Config!$B$9:$B$29,0))="","",INDEX(Config!$E$9:$E$29,MATCH($B342,Config!$B$9:$B$29,0))),""),""))</f>
        <v/>
      </c>
      <c r="AI342" s="19" t="str">
        <f>IF($B342="","",IFERROR(INDEX(Config!$D$9:$D$29,MATCH($B342,Config!$B$9:$B$29,0))&amp;"",""))</f>
        <v/>
      </c>
    </row>
    <row r="343">
      <c r="X343" s="20" t="str">
        <f>IF($B343="","",IFERROR(IF(INDEX(Config!$D$9:$D$29,MATCH($B343,Config!$B$9:$B$29,0))="Contrato",IF(INDEX(Config!$E$9:$E$29,MATCH($B343,Config!$B$9:$B$29,0))="","",INDEX(Config!$E$9:$E$29,MATCH($B343,Config!$B$9:$B$29,0))),""),""))</f>
        <v/>
      </c>
      <c r="AI343" s="19" t="str">
        <f>IF($B343="","",IFERROR(INDEX(Config!$D$9:$D$29,MATCH($B343,Config!$B$9:$B$29,0))&amp;"",""))</f>
        <v/>
      </c>
    </row>
    <row r="344">
      <c r="X344" s="20" t="str">
        <f>IF($B344="","",IFERROR(IF(INDEX(Config!$D$9:$D$29,MATCH($B344,Config!$B$9:$B$29,0))="Contrato",IF(INDEX(Config!$E$9:$E$29,MATCH($B344,Config!$B$9:$B$29,0))="","",INDEX(Config!$E$9:$E$29,MATCH($B344,Config!$B$9:$B$29,0))),""),""))</f>
        <v/>
      </c>
      <c r="AI344" s="19" t="str">
        <f>IF($B344="","",IFERROR(INDEX(Config!$D$9:$D$29,MATCH($B344,Config!$B$9:$B$29,0))&amp;"",""))</f>
        <v/>
      </c>
    </row>
    <row r="345">
      <c r="X345" s="20" t="str">
        <f>IF($B345="","",IFERROR(IF(INDEX(Config!$D$9:$D$29,MATCH($B345,Config!$B$9:$B$29,0))="Contrato",IF(INDEX(Config!$E$9:$E$29,MATCH($B345,Config!$B$9:$B$29,0))="","",INDEX(Config!$E$9:$E$29,MATCH($B345,Config!$B$9:$B$29,0))),""),""))</f>
        <v/>
      </c>
      <c r="AI345" s="19" t="str">
        <f>IF($B345="","",IFERROR(INDEX(Config!$D$9:$D$29,MATCH($B345,Config!$B$9:$B$29,0))&amp;"",""))</f>
        <v/>
      </c>
    </row>
    <row r="346">
      <c r="X346" s="20" t="str">
        <f>IF($B346="","",IFERROR(IF(INDEX(Config!$D$9:$D$29,MATCH($B346,Config!$B$9:$B$29,0))="Contrato",IF(INDEX(Config!$E$9:$E$29,MATCH($B346,Config!$B$9:$B$29,0))="","",INDEX(Config!$E$9:$E$29,MATCH($B346,Config!$B$9:$B$29,0))),""),""))</f>
        <v/>
      </c>
      <c r="AI346" s="19" t="str">
        <f>IF($B346="","",IFERROR(INDEX(Config!$D$9:$D$29,MATCH($B346,Config!$B$9:$B$29,0))&amp;"",""))</f>
        <v/>
      </c>
    </row>
    <row r="347">
      <c r="X347" s="20" t="str">
        <f>IF($B347="","",IFERROR(IF(INDEX(Config!$D$9:$D$29,MATCH($B347,Config!$B$9:$B$29,0))="Contrato",IF(INDEX(Config!$E$9:$E$29,MATCH($B347,Config!$B$9:$B$29,0))="","",INDEX(Config!$E$9:$E$29,MATCH($B347,Config!$B$9:$B$29,0))),""),""))</f>
        <v/>
      </c>
      <c r="AI347" s="19" t="str">
        <f>IF($B347="","",IFERROR(INDEX(Config!$D$9:$D$29,MATCH($B347,Config!$B$9:$B$29,0))&amp;"",""))</f>
        <v/>
      </c>
    </row>
    <row r="348">
      <c r="X348" s="20" t="str">
        <f>IF($B348="","",IFERROR(IF(INDEX(Config!$D$9:$D$29,MATCH($B348,Config!$B$9:$B$29,0))="Contrato",IF(INDEX(Config!$E$9:$E$29,MATCH($B348,Config!$B$9:$B$29,0))="","",INDEX(Config!$E$9:$E$29,MATCH($B348,Config!$B$9:$B$29,0))),""),""))</f>
        <v/>
      </c>
      <c r="AI348" s="19" t="str">
        <f>IF($B348="","",IFERROR(INDEX(Config!$D$9:$D$29,MATCH($B348,Config!$B$9:$B$29,0))&amp;"",""))</f>
        <v/>
      </c>
    </row>
    <row r="349">
      <c r="X349" s="20" t="str">
        <f>IF($B349="","",IFERROR(IF(INDEX(Config!$D$9:$D$29,MATCH($B349,Config!$B$9:$B$29,0))="Contrato",IF(INDEX(Config!$E$9:$E$29,MATCH($B349,Config!$B$9:$B$29,0))="","",INDEX(Config!$E$9:$E$29,MATCH($B349,Config!$B$9:$B$29,0))),""),""))</f>
        <v/>
      </c>
      <c r="AI349" s="19" t="str">
        <f>IF($B349="","",IFERROR(INDEX(Config!$D$9:$D$29,MATCH($B349,Config!$B$9:$B$29,0))&amp;"",""))</f>
        <v/>
      </c>
    </row>
    <row r="350">
      <c r="X350" s="20" t="str">
        <f>IF($B350="","",IFERROR(IF(INDEX(Config!$D$9:$D$29,MATCH($B350,Config!$B$9:$B$29,0))="Contrato",IF(INDEX(Config!$E$9:$E$29,MATCH($B350,Config!$B$9:$B$29,0))="","",INDEX(Config!$E$9:$E$29,MATCH($B350,Config!$B$9:$B$29,0))),""),""))</f>
        <v/>
      </c>
      <c r="AI350" s="19" t="str">
        <f>IF($B350="","",IFERROR(INDEX(Config!$D$9:$D$29,MATCH($B350,Config!$B$9:$B$29,0))&amp;"",""))</f>
        <v/>
      </c>
    </row>
    <row r="351">
      <c r="X351" s="20" t="str">
        <f>IF($B351="","",IFERROR(IF(INDEX(Config!$D$9:$D$29,MATCH($B351,Config!$B$9:$B$29,0))="Contrato",IF(INDEX(Config!$E$9:$E$29,MATCH($B351,Config!$B$9:$B$29,0))="","",INDEX(Config!$E$9:$E$29,MATCH($B351,Config!$B$9:$B$29,0))),""),""))</f>
        <v/>
      </c>
      <c r="AI351" s="19" t="str">
        <f>IF($B351="","",IFERROR(INDEX(Config!$D$9:$D$29,MATCH($B351,Config!$B$9:$B$29,0))&amp;"",""))</f>
        <v/>
      </c>
    </row>
    <row r="352">
      <c r="X352" s="20" t="str">
        <f>IF($B352="","",IFERROR(IF(INDEX(Config!$D$9:$D$29,MATCH($B352,Config!$B$9:$B$29,0))="Contrato",IF(INDEX(Config!$E$9:$E$29,MATCH($B352,Config!$B$9:$B$29,0))="","",INDEX(Config!$E$9:$E$29,MATCH($B352,Config!$B$9:$B$29,0))),""),""))</f>
        <v/>
      </c>
      <c r="AI352" s="19" t="str">
        <f>IF($B352="","",IFERROR(INDEX(Config!$D$9:$D$29,MATCH($B352,Config!$B$9:$B$29,0))&amp;"",""))</f>
        <v/>
      </c>
    </row>
    <row r="353">
      <c r="X353" s="20" t="str">
        <f>IF($B353="","",IFERROR(IF(INDEX(Config!$D$9:$D$29,MATCH($B353,Config!$B$9:$B$29,0))="Contrato",IF(INDEX(Config!$E$9:$E$29,MATCH($B353,Config!$B$9:$B$29,0))="","",INDEX(Config!$E$9:$E$29,MATCH($B353,Config!$B$9:$B$29,0))),""),""))</f>
        <v/>
      </c>
      <c r="AI353" s="19" t="str">
        <f>IF($B353="","",IFERROR(INDEX(Config!$D$9:$D$29,MATCH($B353,Config!$B$9:$B$29,0))&amp;"",""))</f>
        <v/>
      </c>
    </row>
    <row r="354">
      <c r="X354" s="20" t="str">
        <f>IF($B354="","",IFERROR(IF(INDEX(Config!$D$9:$D$29,MATCH($B354,Config!$B$9:$B$29,0))="Contrato",IF(INDEX(Config!$E$9:$E$29,MATCH($B354,Config!$B$9:$B$29,0))="","",INDEX(Config!$E$9:$E$29,MATCH($B354,Config!$B$9:$B$29,0))),""),""))</f>
        <v/>
      </c>
      <c r="AI354" s="19" t="str">
        <f>IF($B354="","",IFERROR(INDEX(Config!$D$9:$D$29,MATCH($B354,Config!$B$9:$B$29,0))&amp;"",""))</f>
        <v/>
      </c>
    </row>
    <row r="355">
      <c r="X355" s="20" t="str">
        <f>IF($B355="","",IFERROR(IF(INDEX(Config!$D$9:$D$29,MATCH($B355,Config!$B$9:$B$29,0))="Contrato",IF(INDEX(Config!$E$9:$E$29,MATCH($B355,Config!$B$9:$B$29,0))="","",INDEX(Config!$E$9:$E$29,MATCH($B355,Config!$B$9:$B$29,0))),""),""))</f>
        <v/>
      </c>
      <c r="AI355" s="19" t="str">
        <f>IF($B355="","",IFERROR(INDEX(Config!$D$9:$D$29,MATCH($B355,Config!$B$9:$B$29,0))&amp;"",""))</f>
        <v/>
      </c>
    </row>
    <row r="356">
      <c r="X356" s="20" t="str">
        <f>IF($B356="","",IFERROR(IF(INDEX(Config!$D$9:$D$29,MATCH($B356,Config!$B$9:$B$29,0))="Contrato",IF(INDEX(Config!$E$9:$E$29,MATCH($B356,Config!$B$9:$B$29,0))="","",INDEX(Config!$E$9:$E$29,MATCH($B356,Config!$B$9:$B$29,0))),""),""))</f>
        <v/>
      </c>
      <c r="AI356" s="19" t="str">
        <f>IF($B356="","",IFERROR(INDEX(Config!$D$9:$D$29,MATCH($B356,Config!$B$9:$B$29,0))&amp;"",""))</f>
        <v/>
      </c>
    </row>
    <row r="357">
      <c r="X357" s="20" t="str">
        <f>IF($B357="","",IFERROR(IF(INDEX(Config!$D$9:$D$29,MATCH($B357,Config!$B$9:$B$29,0))="Contrato",IF(INDEX(Config!$E$9:$E$29,MATCH($B357,Config!$B$9:$B$29,0))="","",INDEX(Config!$E$9:$E$29,MATCH($B357,Config!$B$9:$B$29,0))),""),""))</f>
        <v/>
      </c>
      <c r="AI357" s="19" t="str">
        <f>IF($B357="","",IFERROR(INDEX(Config!$D$9:$D$29,MATCH($B357,Config!$B$9:$B$29,0))&amp;"",""))</f>
        <v/>
      </c>
    </row>
    <row r="358">
      <c r="X358" s="20" t="str">
        <f>IF($B358="","",IFERROR(IF(INDEX(Config!$D$9:$D$29,MATCH($B358,Config!$B$9:$B$29,0))="Contrato",IF(INDEX(Config!$E$9:$E$29,MATCH($B358,Config!$B$9:$B$29,0))="","",INDEX(Config!$E$9:$E$29,MATCH($B358,Config!$B$9:$B$29,0))),""),""))</f>
        <v/>
      </c>
      <c r="AI358" s="19" t="str">
        <f>IF($B358="","",IFERROR(INDEX(Config!$D$9:$D$29,MATCH($B358,Config!$B$9:$B$29,0))&amp;"",""))</f>
        <v/>
      </c>
    </row>
    <row r="359">
      <c r="X359" s="20" t="str">
        <f>IF($B359="","",IFERROR(IF(INDEX(Config!$D$9:$D$29,MATCH($B359,Config!$B$9:$B$29,0))="Contrato",IF(INDEX(Config!$E$9:$E$29,MATCH($B359,Config!$B$9:$B$29,0))="","",INDEX(Config!$E$9:$E$29,MATCH($B359,Config!$B$9:$B$29,0))),""),""))</f>
        <v/>
      </c>
      <c r="AI359" s="19" t="str">
        <f>IF($B359="","",IFERROR(INDEX(Config!$D$9:$D$29,MATCH($B359,Config!$B$9:$B$29,0))&amp;"",""))</f>
        <v/>
      </c>
    </row>
    <row r="360">
      <c r="X360" s="20" t="str">
        <f>IF($B360="","",IFERROR(IF(INDEX(Config!$D$9:$D$29,MATCH($B360,Config!$B$9:$B$29,0))="Contrato",IF(INDEX(Config!$E$9:$E$29,MATCH($B360,Config!$B$9:$B$29,0))="","",INDEX(Config!$E$9:$E$29,MATCH($B360,Config!$B$9:$B$29,0))),""),""))</f>
        <v/>
      </c>
      <c r="AI360" s="19" t="str">
        <f>IF($B360="","",IFERROR(INDEX(Config!$D$9:$D$29,MATCH($B360,Config!$B$9:$B$29,0))&amp;"",""))</f>
        <v/>
      </c>
    </row>
    <row r="361">
      <c r="X361" s="20" t="str">
        <f>IF($B361="","",IFERROR(IF(INDEX(Config!$D$9:$D$29,MATCH($B361,Config!$B$9:$B$29,0))="Contrato",IF(INDEX(Config!$E$9:$E$29,MATCH($B361,Config!$B$9:$B$29,0))="","",INDEX(Config!$E$9:$E$29,MATCH($B361,Config!$B$9:$B$29,0))),""),""))</f>
        <v/>
      </c>
      <c r="AI361" s="19" t="str">
        <f>IF($B361="","",IFERROR(INDEX(Config!$D$9:$D$29,MATCH($B361,Config!$B$9:$B$29,0))&amp;"",""))</f>
        <v/>
      </c>
    </row>
    <row r="362">
      <c r="X362" s="20" t="str">
        <f>IF($B362="","",IFERROR(IF(INDEX(Config!$D$9:$D$29,MATCH($B362,Config!$B$9:$B$29,0))="Contrato",IF(INDEX(Config!$E$9:$E$29,MATCH($B362,Config!$B$9:$B$29,0))="","",INDEX(Config!$E$9:$E$29,MATCH($B362,Config!$B$9:$B$29,0))),""),""))</f>
        <v/>
      </c>
      <c r="AI362" s="19" t="str">
        <f>IF($B362="","",IFERROR(INDEX(Config!$D$9:$D$29,MATCH($B362,Config!$B$9:$B$29,0))&amp;"",""))</f>
        <v/>
      </c>
    </row>
    <row r="363">
      <c r="X363" s="20" t="str">
        <f>IF($B363="","",IFERROR(IF(INDEX(Config!$D$9:$D$29,MATCH($B363,Config!$B$9:$B$29,0))="Contrato",IF(INDEX(Config!$E$9:$E$29,MATCH($B363,Config!$B$9:$B$29,0))="","",INDEX(Config!$E$9:$E$29,MATCH($B363,Config!$B$9:$B$29,0))),""),""))</f>
        <v/>
      </c>
      <c r="AI363" s="19" t="str">
        <f>IF($B363="","",IFERROR(INDEX(Config!$D$9:$D$29,MATCH($B363,Config!$B$9:$B$29,0))&amp;"",""))</f>
        <v/>
      </c>
    </row>
    <row r="364">
      <c r="X364" s="20" t="str">
        <f>IF($B364="","",IFERROR(IF(INDEX(Config!$D$9:$D$29,MATCH($B364,Config!$B$9:$B$29,0))="Contrato",IF(INDEX(Config!$E$9:$E$29,MATCH($B364,Config!$B$9:$B$29,0))="","",INDEX(Config!$E$9:$E$29,MATCH($B364,Config!$B$9:$B$29,0))),""),""))</f>
        <v/>
      </c>
      <c r="AI364" s="19" t="str">
        <f>IF($B364="","",IFERROR(INDEX(Config!$D$9:$D$29,MATCH($B364,Config!$B$9:$B$29,0))&amp;"",""))</f>
        <v/>
      </c>
    </row>
    <row r="365">
      <c r="X365" s="20" t="str">
        <f>IF($B365="","",IFERROR(IF(INDEX(Config!$D$9:$D$29,MATCH($B365,Config!$B$9:$B$29,0))="Contrato",IF(INDEX(Config!$E$9:$E$29,MATCH($B365,Config!$B$9:$B$29,0))="","",INDEX(Config!$E$9:$E$29,MATCH($B365,Config!$B$9:$B$29,0))),""),""))</f>
        <v/>
      </c>
      <c r="AI365" s="19" t="str">
        <f>IF($B365="","",IFERROR(INDEX(Config!$D$9:$D$29,MATCH($B365,Config!$B$9:$B$29,0))&amp;"",""))</f>
        <v/>
      </c>
    </row>
    <row r="366">
      <c r="X366" s="20" t="str">
        <f>IF($B366="","",IFERROR(IF(INDEX(Config!$D$9:$D$29,MATCH($B366,Config!$B$9:$B$29,0))="Contrato",IF(INDEX(Config!$E$9:$E$29,MATCH($B366,Config!$B$9:$B$29,0))="","",INDEX(Config!$E$9:$E$29,MATCH($B366,Config!$B$9:$B$29,0))),""),""))</f>
        <v/>
      </c>
      <c r="AI366" s="19" t="str">
        <f>IF($B366="","",IFERROR(INDEX(Config!$D$9:$D$29,MATCH($B366,Config!$B$9:$B$29,0))&amp;"",""))</f>
        <v/>
      </c>
    </row>
    <row r="367">
      <c r="X367" s="20" t="str">
        <f>IF($B367="","",IFERROR(IF(INDEX(Config!$D$9:$D$29,MATCH($B367,Config!$B$9:$B$29,0))="Contrato",IF(INDEX(Config!$E$9:$E$29,MATCH($B367,Config!$B$9:$B$29,0))="","",INDEX(Config!$E$9:$E$29,MATCH($B367,Config!$B$9:$B$29,0))),""),""))</f>
        <v/>
      </c>
      <c r="AI367" s="19" t="str">
        <f>IF($B367="","",IFERROR(INDEX(Config!$D$9:$D$29,MATCH($B367,Config!$B$9:$B$29,0))&amp;"",""))</f>
        <v/>
      </c>
    </row>
    <row r="368">
      <c r="X368" s="20" t="str">
        <f>IF($B368="","",IFERROR(IF(INDEX(Config!$D$9:$D$29,MATCH($B368,Config!$B$9:$B$29,0))="Contrato",IF(INDEX(Config!$E$9:$E$29,MATCH($B368,Config!$B$9:$B$29,0))="","",INDEX(Config!$E$9:$E$29,MATCH($B368,Config!$B$9:$B$29,0))),""),""))</f>
        <v/>
      </c>
      <c r="AI368" s="19" t="str">
        <f>IF($B368="","",IFERROR(INDEX(Config!$D$9:$D$29,MATCH($B368,Config!$B$9:$B$29,0))&amp;"",""))</f>
        <v/>
      </c>
    </row>
    <row r="369">
      <c r="X369" s="20" t="str">
        <f>IF($B369="","",IFERROR(IF(INDEX(Config!$D$9:$D$29,MATCH($B369,Config!$B$9:$B$29,0))="Contrato",IF(INDEX(Config!$E$9:$E$29,MATCH($B369,Config!$B$9:$B$29,0))="","",INDEX(Config!$E$9:$E$29,MATCH($B369,Config!$B$9:$B$29,0))),""),""))</f>
        <v/>
      </c>
      <c r="AI369" s="19" t="str">
        <f>IF($B369="","",IFERROR(INDEX(Config!$D$9:$D$29,MATCH($B369,Config!$B$9:$B$29,0))&amp;"",""))</f>
        <v/>
      </c>
    </row>
    <row r="370">
      <c r="X370" s="20" t="str">
        <f>IF($B370="","",IFERROR(IF(INDEX(Config!$D$9:$D$29,MATCH($B370,Config!$B$9:$B$29,0))="Contrato",IF(INDEX(Config!$E$9:$E$29,MATCH($B370,Config!$B$9:$B$29,0))="","",INDEX(Config!$E$9:$E$29,MATCH($B370,Config!$B$9:$B$29,0))),""),""))</f>
        <v/>
      </c>
      <c r="AI370" s="19" t="str">
        <f>IF($B370="","",IFERROR(INDEX(Config!$D$9:$D$29,MATCH($B370,Config!$B$9:$B$29,0))&amp;"",""))</f>
        <v/>
      </c>
    </row>
    <row r="371">
      <c r="X371" s="20" t="str">
        <f>IF($B371="","",IFERROR(IF(INDEX(Config!$D$9:$D$29,MATCH($B371,Config!$B$9:$B$29,0))="Contrato",IF(INDEX(Config!$E$9:$E$29,MATCH($B371,Config!$B$9:$B$29,0))="","",INDEX(Config!$E$9:$E$29,MATCH($B371,Config!$B$9:$B$29,0))),""),""))</f>
        <v/>
      </c>
      <c r="AI371" s="19" t="str">
        <f>IF($B371="","",IFERROR(INDEX(Config!$D$9:$D$29,MATCH($B371,Config!$B$9:$B$29,0))&amp;"",""))</f>
        <v/>
      </c>
    </row>
    <row r="372">
      <c r="X372" s="20" t="str">
        <f>IF($B372="","",IFERROR(IF(INDEX(Config!$D$9:$D$29,MATCH($B372,Config!$B$9:$B$29,0))="Contrato",IF(INDEX(Config!$E$9:$E$29,MATCH($B372,Config!$B$9:$B$29,0))="","",INDEX(Config!$E$9:$E$29,MATCH($B372,Config!$B$9:$B$29,0))),""),""))</f>
        <v/>
      </c>
      <c r="AI372" s="19" t="str">
        <f>IF($B372="","",IFERROR(INDEX(Config!$D$9:$D$29,MATCH($B372,Config!$B$9:$B$29,0))&amp;"",""))</f>
        <v/>
      </c>
    </row>
    <row r="373">
      <c r="X373" s="20" t="str">
        <f>IF($B373="","",IFERROR(IF(INDEX(Config!$D$9:$D$29,MATCH($B373,Config!$B$9:$B$29,0))="Contrato",IF(INDEX(Config!$E$9:$E$29,MATCH($B373,Config!$B$9:$B$29,0))="","",INDEX(Config!$E$9:$E$29,MATCH($B373,Config!$B$9:$B$29,0))),""),""))</f>
        <v/>
      </c>
      <c r="AI373" s="19" t="str">
        <f>IF($B373="","",IFERROR(INDEX(Config!$D$9:$D$29,MATCH($B373,Config!$B$9:$B$29,0))&amp;"",""))</f>
        <v/>
      </c>
    </row>
    <row r="374">
      <c r="X374" s="20" t="str">
        <f>IF($B374="","",IFERROR(IF(INDEX(Config!$D$9:$D$29,MATCH($B374,Config!$B$9:$B$29,0))="Contrato",IF(INDEX(Config!$E$9:$E$29,MATCH($B374,Config!$B$9:$B$29,0))="","",INDEX(Config!$E$9:$E$29,MATCH($B374,Config!$B$9:$B$29,0))),""),""))</f>
        <v/>
      </c>
      <c r="AI374" s="19" t="str">
        <f>IF($B374="","",IFERROR(INDEX(Config!$D$9:$D$29,MATCH($B374,Config!$B$9:$B$29,0))&amp;"",""))</f>
        <v/>
      </c>
    </row>
    <row r="375">
      <c r="X375" s="20" t="str">
        <f>IF($B375="","",IFERROR(IF(INDEX(Config!$D$9:$D$29,MATCH($B375,Config!$B$9:$B$29,0))="Contrato",IF(INDEX(Config!$E$9:$E$29,MATCH($B375,Config!$B$9:$B$29,0))="","",INDEX(Config!$E$9:$E$29,MATCH($B375,Config!$B$9:$B$29,0))),""),""))</f>
        <v/>
      </c>
      <c r="AI375" s="19" t="str">
        <f>IF($B375="","",IFERROR(INDEX(Config!$D$9:$D$29,MATCH($B375,Config!$B$9:$B$29,0))&amp;"",""))</f>
        <v/>
      </c>
    </row>
    <row r="376">
      <c r="X376" s="20" t="str">
        <f>IF($B376="","",IFERROR(IF(INDEX(Config!$D$9:$D$29,MATCH($B376,Config!$B$9:$B$29,0))="Contrato",IF(INDEX(Config!$E$9:$E$29,MATCH($B376,Config!$B$9:$B$29,0))="","",INDEX(Config!$E$9:$E$29,MATCH($B376,Config!$B$9:$B$29,0))),""),""))</f>
        <v/>
      </c>
      <c r="AI376" s="19" t="str">
        <f>IF($B376="","",IFERROR(INDEX(Config!$D$9:$D$29,MATCH($B376,Config!$B$9:$B$29,0))&amp;"",""))</f>
        <v/>
      </c>
    </row>
    <row r="377">
      <c r="X377" s="20" t="str">
        <f>IF($B377="","",IFERROR(IF(INDEX(Config!$D$9:$D$29,MATCH($B377,Config!$B$9:$B$29,0))="Contrato",IF(INDEX(Config!$E$9:$E$29,MATCH($B377,Config!$B$9:$B$29,0))="","",INDEX(Config!$E$9:$E$29,MATCH($B377,Config!$B$9:$B$29,0))),""),""))</f>
        <v/>
      </c>
      <c r="AI377" s="19" t="str">
        <f>IF($B377="","",IFERROR(INDEX(Config!$D$9:$D$29,MATCH($B377,Config!$B$9:$B$29,0))&amp;"",""))</f>
        <v/>
      </c>
    </row>
    <row r="378">
      <c r="X378" s="20" t="str">
        <f>IF($B378="","",IFERROR(IF(INDEX(Config!$D$9:$D$29,MATCH($B378,Config!$B$9:$B$29,0))="Contrato",IF(INDEX(Config!$E$9:$E$29,MATCH($B378,Config!$B$9:$B$29,0))="","",INDEX(Config!$E$9:$E$29,MATCH($B378,Config!$B$9:$B$29,0))),""),""))</f>
        <v/>
      </c>
      <c r="AI378" s="19" t="str">
        <f>IF($B378="","",IFERROR(INDEX(Config!$D$9:$D$29,MATCH($B378,Config!$B$9:$B$29,0))&amp;"",""))</f>
        <v/>
      </c>
    </row>
    <row r="379">
      <c r="X379" s="20" t="str">
        <f>IF($B379="","",IFERROR(IF(INDEX(Config!$D$9:$D$29,MATCH($B379,Config!$B$9:$B$29,0))="Contrato",IF(INDEX(Config!$E$9:$E$29,MATCH($B379,Config!$B$9:$B$29,0))="","",INDEX(Config!$E$9:$E$29,MATCH($B379,Config!$B$9:$B$29,0))),""),""))</f>
        <v/>
      </c>
      <c r="AI379" s="19" t="str">
        <f>IF($B379="","",IFERROR(INDEX(Config!$D$9:$D$29,MATCH($B379,Config!$B$9:$B$29,0))&amp;"",""))</f>
        <v/>
      </c>
    </row>
    <row r="380">
      <c r="X380" s="20" t="str">
        <f>IF($B380="","",IFERROR(IF(INDEX(Config!$D$9:$D$29,MATCH($B380,Config!$B$9:$B$29,0))="Contrato",IF(INDEX(Config!$E$9:$E$29,MATCH($B380,Config!$B$9:$B$29,0))="","",INDEX(Config!$E$9:$E$29,MATCH($B380,Config!$B$9:$B$29,0))),""),""))</f>
        <v/>
      </c>
      <c r="AI380" s="19" t="str">
        <f>IF($B380="","",IFERROR(INDEX(Config!$D$9:$D$29,MATCH($B380,Config!$B$9:$B$29,0))&amp;"",""))</f>
        <v/>
      </c>
    </row>
    <row r="381">
      <c r="X381" s="20" t="str">
        <f>IF($B381="","",IFERROR(IF(INDEX(Config!$D$9:$D$29,MATCH($B381,Config!$B$9:$B$29,0))="Contrato",IF(INDEX(Config!$E$9:$E$29,MATCH($B381,Config!$B$9:$B$29,0))="","",INDEX(Config!$E$9:$E$29,MATCH($B381,Config!$B$9:$B$29,0))),""),""))</f>
        <v/>
      </c>
      <c r="AI381" s="19" t="str">
        <f>IF($B381="","",IFERROR(INDEX(Config!$D$9:$D$29,MATCH($B381,Config!$B$9:$B$29,0))&amp;"",""))</f>
        <v/>
      </c>
    </row>
    <row r="382">
      <c r="X382" s="20" t="str">
        <f>IF($B382="","",IFERROR(IF(INDEX(Config!$D$9:$D$29,MATCH($B382,Config!$B$9:$B$29,0))="Contrato",IF(INDEX(Config!$E$9:$E$29,MATCH($B382,Config!$B$9:$B$29,0))="","",INDEX(Config!$E$9:$E$29,MATCH($B382,Config!$B$9:$B$29,0))),""),""))</f>
        <v/>
      </c>
      <c r="AI382" s="19" t="str">
        <f>IF($B382="","",IFERROR(INDEX(Config!$D$9:$D$29,MATCH($B382,Config!$B$9:$B$29,0))&amp;"",""))</f>
        <v/>
      </c>
    </row>
    <row r="383">
      <c r="X383" s="20" t="str">
        <f>IF($B383="","",IFERROR(IF(INDEX(Config!$D$9:$D$29,MATCH($B383,Config!$B$9:$B$29,0))="Contrato",IF(INDEX(Config!$E$9:$E$29,MATCH($B383,Config!$B$9:$B$29,0))="","",INDEX(Config!$E$9:$E$29,MATCH($B383,Config!$B$9:$B$29,0))),""),""))</f>
        <v/>
      </c>
      <c r="AI383" s="19" t="str">
        <f>IF($B383="","",IFERROR(INDEX(Config!$D$9:$D$29,MATCH($B383,Config!$B$9:$B$29,0))&amp;"",""))</f>
        <v/>
      </c>
    </row>
    <row r="384">
      <c r="X384" s="20" t="str">
        <f>IF($B384="","",IFERROR(IF(INDEX(Config!$D$9:$D$29,MATCH($B384,Config!$B$9:$B$29,0))="Contrato",IF(INDEX(Config!$E$9:$E$29,MATCH($B384,Config!$B$9:$B$29,0))="","",INDEX(Config!$E$9:$E$29,MATCH($B384,Config!$B$9:$B$29,0))),""),""))</f>
        <v/>
      </c>
      <c r="AI384" s="19" t="str">
        <f>IF($B384="","",IFERROR(INDEX(Config!$D$9:$D$29,MATCH($B384,Config!$B$9:$B$29,0))&amp;"",""))</f>
        <v/>
      </c>
    </row>
    <row r="385">
      <c r="X385" s="20" t="str">
        <f>IF($B385="","",IFERROR(IF(INDEX(Config!$D$9:$D$29,MATCH($B385,Config!$B$9:$B$29,0))="Contrato",IF(INDEX(Config!$E$9:$E$29,MATCH($B385,Config!$B$9:$B$29,0))="","",INDEX(Config!$E$9:$E$29,MATCH($B385,Config!$B$9:$B$29,0))),""),""))</f>
        <v/>
      </c>
      <c r="AI385" s="19" t="str">
        <f>IF($B385="","",IFERROR(INDEX(Config!$D$9:$D$29,MATCH($B385,Config!$B$9:$B$29,0))&amp;"",""))</f>
        <v/>
      </c>
    </row>
    <row r="386">
      <c r="X386" s="20" t="str">
        <f>IF($B386="","",IFERROR(IF(INDEX(Config!$D$9:$D$29,MATCH($B386,Config!$B$9:$B$29,0))="Contrato",IF(INDEX(Config!$E$9:$E$29,MATCH($B386,Config!$B$9:$B$29,0))="","",INDEX(Config!$E$9:$E$29,MATCH($B386,Config!$B$9:$B$29,0))),""),""))</f>
        <v/>
      </c>
      <c r="AI386" s="19" t="str">
        <f>IF($B386="","",IFERROR(INDEX(Config!$D$9:$D$29,MATCH($B386,Config!$B$9:$B$29,0))&amp;"",""))</f>
        <v/>
      </c>
    </row>
    <row r="387">
      <c r="X387" s="20" t="str">
        <f>IF($B387="","",IFERROR(IF(INDEX(Config!$D$9:$D$29,MATCH($B387,Config!$B$9:$B$29,0))="Contrato",IF(INDEX(Config!$E$9:$E$29,MATCH($B387,Config!$B$9:$B$29,0))="","",INDEX(Config!$E$9:$E$29,MATCH($B387,Config!$B$9:$B$29,0))),""),""))</f>
        <v/>
      </c>
      <c r="AI387" s="19" t="str">
        <f>IF($B387="","",IFERROR(INDEX(Config!$D$9:$D$29,MATCH($B387,Config!$B$9:$B$29,0))&amp;"",""))</f>
        <v/>
      </c>
    </row>
    <row r="388">
      <c r="X388" s="20" t="str">
        <f>IF($B388="","",IFERROR(IF(INDEX(Config!$D$9:$D$29,MATCH($B388,Config!$B$9:$B$29,0))="Contrato",IF(INDEX(Config!$E$9:$E$29,MATCH($B388,Config!$B$9:$B$29,0))="","",INDEX(Config!$E$9:$E$29,MATCH($B388,Config!$B$9:$B$29,0))),""),""))</f>
        <v/>
      </c>
      <c r="AI388" s="19" t="str">
        <f>IF($B388="","",IFERROR(INDEX(Config!$D$9:$D$29,MATCH($B388,Config!$B$9:$B$29,0))&amp;"",""))</f>
        <v/>
      </c>
    </row>
    <row r="389">
      <c r="X389" s="20" t="str">
        <f>IF($B389="","",IFERROR(IF(INDEX(Config!$D$9:$D$29,MATCH($B389,Config!$B$9:$B$29,0))="Contrato",IF(INDEX(Config!$E$9:$E$29,MATCH($B389,Config!$B$9:$B$29,0))="","",INDEX(Config!$E$9:$E$29,MATCH($B389,Config!$B$9:$B$29,0))),""),""))</f>
        <v/>
      </c>
      <c r="AI389" s="19" t="str">
        <f>IF($B389="","",IFERROR(INDEX(Config!$D$9:$D$29,MATCH($B389,Config!$B$9:$B$29,0))&amp;"",""))</f>
        <v/>
      </c>
    </row>
    <row r="390">
      <c r="X390" s="20" t="str">
        <f>IF($B390="","",IFERROR(IF(INDEX(Config!$D$9:$D$29,MATCH($B390,Config!$B$9:$B$29,0))="Contrato",IF(INDEX(Config!$E$9:$E$29,MATCH($B390,Config!$B$9:$B$29,0))="","",INDEX(Config!$E$9:$E$29,MATCH($B390,Config!$B$9:$B$29,0))),""),""))</f>
        <v/>
      </c>
      <c r="AI390" s="19" t="str">
        <f>IF($B390="","",IFERROR(INDEX(Config!$D$9:$D$29,MATCH($B390,Config!$B$9:$B$29,0))&amp;"",""))</f>
        <v/>
      </c>
    </row>
    <row r="391">
      <c r="X391" s="20" t="str">
        <f>IF($B391="","",IFERROR(IF(INDEX(Config!$D$9:$D$29,MATCH($B391,Config!$B$9:$B$29,0))="Contrato",IF(INDEX(Config!$E$9:$E$29,MATCH($B391,Config!$B$9:$B$29,0))="","",INDEX(Config!$E$9:$E$29,MATCH($B391,Config!$B$9:$B$29,0))),""),""))</f>
        <v/>
      </c>
      <c r="AI391" s="19" t="str">
        <f>IF($B391="","",IFERROR(INDEX(Config!$D$9:$D$29,MATCH($B391,Config!$B$9:$B$29,0))&amp;"",""))</f>
        <v/>
      </c>
    </row>
    <row r="392">
      <c r="X392" s="20" t="str">
        <f>IF($B392="","",IFERROR(IF(INDEX(Config!$D$9:$D$29,MATCH($B392,Config!$B$9:$B$29,0))="Contrato",IF(INDEX(Config!$E$9:$E$29,MATCH($B392,Config!$B$9:$B$29,0))="","",INDEX(Config!$E$9:$E$29,MATCH($B392,Config!$B$9:$B$29,0))),""),""))</f>
        <v/>
      </c>
      <c r="AI392" s="19" t="str">
        <f>IF($B392="","",IFERROR(INDEX(Config!$D$9:$D$29,MATCH($B392,Config!$B$9:$B$29,0))&amp;"",""))</f>
        <v/>
      </c>
    </row>
    <row r="393">
      <c r="X393" s="20" t="str">
        <f>IF($B393="","",IFERROR(IF(INDEX(Config!$D$9:$D$29,MATCH($B393,Config!$B$9:$B$29,0))="Contrato",IF(INDEX(Config!$E$9:$E$29,MATCH($B393,Config!$B$9:$B$29,0))="","",INDEX(Config!$E$9:$E$29,MATCH($B393,Config!$B$9:$B$29,0))),""),""))</f>
        <v/>
      </c>
      <c r="AI393" s="19" t="str">
        <f>IF($B393="","",IFERROR(INDEX(Config!$D$9:$D$29,MATCH($B393,Config!$B$9:$B$29,0))&amp;"",""))</f>
        <v/>
      </c>
    </row>
    <row r="394">
      <c r="X394" s="20" t="str">
        <f>IF($B394="","",IFERROR(IF(INDEX(Config!$D$9:$D$29,MATCH($B394,Config!$B$9:$B$29,0))="Contrato",IF(INDEX(Config!$E$9:$E$29,MATCH($B394,Config!$B$9:$B$29,0))="","",INDEX(Config!$E$9:$E$29,MATCH($B394,Config!$B$9:$B$29,0))),""),""))</f>
        <v/>
      </c>
      <c r="AI394" s="19" t="str">
        <f>IF($B394="","",IFERROR(INDEX(Config!$D$9:$D$29,MATCH($B394,Config!$B$9:$B$29,0))&amp;"",""))</f>
        <v/>
      </c>
    </row>
    <row r="395">
      <c r="X395" s="20" t="str">
        <f>IF($B395="","",IFERROR(IF(INDEX(Config!$D$9:$D$29,MATCH($B395,Config!$B$9:$B$29,0))="Contrato",IF(INDEX(Config!$E$9:$E$29,MATCH($B395,Config!$B$9:$B$29,0))="","",INDEX(Config!$E$9:$E$29,MATCH($B395,Config!$B$9:$B$29,0))),""),""))</f>
        <v/>
      </c>
      <c r="AI395" s="19" t="str">
        <f>IF($B395="","",IFERROR(INDEX(Config!$D$9:$D$29,MATCH($B395,Config!$B$9:$B$29,0))&amp;"",""))</f>
        <v/>
      </c>
    </row>
    <row r="396">
      <c r="X396" s="20" t="str">
        <f>IF($B396="","",IFERROR(IF(INDEX(Config!$D$9:$D$29,MATCH($B396,Config!$B$9:$B$29,0))="Contrato",IF(INDEX(Config!$E$9:$E$29,MATCH($B396,Config!$B$9:$B$29,0))="","",INDEX(Config!$E$9:$E$29,MATCH($B396,Config!$B$9:$B$29,0))),""),""))</f>
        <v/>
      </c>
      <c r="AI396" s="19" t="str">
        <f>IF($B396="","",IFERROR(INDEX(Config!$D$9:$D$29,MATCH($B396,Config!$B$9:$B$29,0))&amp;"",""))</f>
        <v/>
      </c>
    </row>
    <row r="397">
      <c r="X397" s="20" t="str">
        <f>IF($B397="","",IFERROR(IF(INDEX(Config!$D$9:$D$29,MATCH($B397,Config!$B$9:$B$29,0))="Contrato",IF(INDEX(Config!$E$9:$E$29,MATCH($B397,Config!$B$9:$B$29,0))="","",INDEX(Config!$E$9:$E$29,MATCH($B397,Config!$B$9:$B$29,0))),""),""))</f>
        <v/>
      </c>
      <c r="AI397" s="19" t="str">
        <f>IF($B397="","",IFERROR(INDEX(Config!$D$9:$D$29,MATCH($B397,Config!$B$9:$B$29,0))&amp;"",""))</f>
        <v/>
      </c>
    </row>
    <row r="398">
      <c r="X398" s="20" t="str">
        <f>IF($B398="","",IFERROR(IF(INDEX(Config!$D$9:$D$29,MATCH($B398,Config!$B$9:$B$29,0))="Contrato",IF(INDEX(Config!$E$9:$E$29,MATCH($B398,Config!$B$9:$B$29,0))="","",INDEX(Config!$E$9:$E$29,MATCH($B398,Config!$B$9:$B$29,0))),""),""))</f>
        <v/>
      </c>
      <c r="AI398" s="19" t="str">
        <f>IF($B398="","",IFERROR(INDEX(Config!$D$9:$D$29,MATCH($B398,Config!$B$9:$B$29,0))&amp;"",""))</f>
        <v/>
      </c>
    </row>
    <row r="399">
      <c r="X399" s="20" t="str">
        <f>IF($B399="","",IFERROR(IF(INDEX(Config!$D$9:$D$29,MATCH($B399,Config!$B$9:$B$29,0))="Contrato",IF(INDEX(Config!$E$9:$E$29,MATCH($B399,Config!$B$9:$B$29,0))="","",INDEX(Config!$E$9:$E$29,MATCH($B399,Config!$B$9:$B$29,0))),""),""))</f>
        <v/>
      </c>
      <c r="AI399" s="19" t="str">
        <f>IF($B399="","",IFERROR(INDEX(Config!$D$9:$D$29,MATCH($B399,Config!$B$9:$B$29,0))&amp;"",""))</f>
        <v/>
      </c>
    </row>
    <row r="400">
      <c r="X400" s="20" t="str">
        <f>IF($B400="","",IFERROR(IF(INDEX(Config!$D$9:$D$29,MATCH($B400,Config!$B$9:$B$29,0))="Contrato",IF(INDEX(Config!$E$9:$E$29,MATCH($B400,Config!$B$9:$B$29,0))="","",INDEX(Config!$E$9:$E$29,MATCH($B400,Config!$B$9:$B$29,0))),""),""))</f>
        <v/>
      </c>
      <c r="AI400" s="19" t="str">
        <f>IF($B400="","",IFERROR(INDEX(Config!$D$9:$D$29,MATCH($B400,Config!$B$9:$B$29,0))&amp;"",""))</f>
        <v/>
      </c>
    </row>
    <row r="401">
      <c r="X401" s="20" t="str">
        <f>IF($B401="","",IFERROR(IF(INDEX(Config!$D$9:$D$29,MATCH($B401,Config!$B$9:$B$29,0))="Contrato",IF(INDEX(Config!$E$9:$E$29,MATCH($B401,Config!$B$9:$B$29,0))="","",INDEX(Config!$E$9:$E$29,MATCH($B401,Config!$B$9:$B$29,0))),""),""))</f>
        <v/>
      </c>
      <c r="AI401" s="19" t="str">
        <f>IF($B401="","",IFERROR(INDEX(Config!$D$9:$D$29,MATCH($B401,Config!$B$9:$B$29,0))&amp;"",""))</f>
        <v/>
      </c>
    </row>
    <row r="402">
      <c r="X402" s="20" t="str">
        <f>IF($B402="","",IFERROR(IF(INDEX(Config!$D$9:$D$29,MATCH($B402,Config!$B$9:$B$29,0))="Contrato",IF(INDEX(Config!$E$9:$E$29,MATCH($B402,Config!$B$9:$B$29,0))="","",INDEX(Config!$E$9:$E$29,MATCH($B402,Config!$B$9:$B$29,0))),""),""))</f>
        <v/>
      </c>
      <c r="AI402" s="19" t="str">
        <f>IF($B402="","",IFERROR(INDEX(Config!$D$9:$D$29,MATCH($B402,Config!$B$9:$B$29,0))&amp;"",""))</f>
        <v/>
      </c>
    </row>
    <row r="403">
      <c r="X403" s="20" t="str">
        <f>IF($B403="","",IFERROR(IF(INDEX(Config!$D$9:$D$29,MATCH($B403,Config!$B$9:$B$29,0))="Contrato",IF(INDEX(Config!$E$9:$E$29,MATCH($B403,Config!$B$9:$B$29,0))="","",INDEX(Config!$E$9:$E$29,MATCH($B403,Config!$B$9:$B$29,0))),""),""))</f>
        <v/>
      </c>
      <c r="AI403" s="19" t="str">
        <f>IF($B403="","",IFERROR(INDEX(Config!$D$9:$D$29,MATCH($B403,Config!$B$9:$B$29,0))&amp;"",""))</f>
        <v/>
      </c>
    </row>
    <row r="404">
      <c r="X404" s="20" t="str">
        <f>IF($B404="","",IFERROR(IF(INDEX(Config!$D$9:$D$29,MATCH($B404,Config!$B$9:$B$29,0))="Contrato",IF(INDEX(Config!$E$9:$E$29,MATCH($B404,Config!$B$9:$B$29,0))="","",INDEX(Config!$E$9:$E$29,MATCH($B404,Config!$B$9:$B$29,0))),""),""))</f>
        <v/>
      </c>
      <c r="AI404" s="19" t="str">
        <f>IF($B404="","",IFERROR(INDEX(Config!$D$9:$D$29,MATCH($B404,Config!$B$9:$B$29,0))&amp;"",""))</f>
        <v/>
      </c>
    </row>
    <row r="405">
      <c r="X405" s="20" t="str">
        <f>IF($B405="","",IFERROR(IF(INDEX(Config!$D$9:$D$29,MATCH($B405,Config!$B$9:$B$29,0))="Contrato",IF(INDEX(Config!$E$9:$E$29,MATCH($B405,Config!$B$9:$B$29,0))="","",INDEX(Config!$E$9:$E$29,MATCH($B405,Config!$B$9:$B$29,0))),""),""))</f>
        <v/>
      </c>
      <c r="AI405" s="19" t="str">
        <f>IF($B405="","",IFERROR(INDEX(Config!$D$9:$D$29,MATCH($B405,Config!$B$9:$B$29,0))&amp;"",""))</f>
        <v/>
      </c>
    </row>
    <row r="406">
      <c r="X406" s="20" t="str">
        <f>IF($B406="","",IFERROR(IF(INDEX(Config!$D$9:$D$29,MATCH($B406,Config!$B$9:$B$29,0))="Contrato",IF(INDEX(Config!$E$9:$E$29,MATCH($B406,Config!$B$9:$B$29,0))="","",INDEX(Config!$E$9:$E$29,MATCH($B406,Config!$B$9:$B$29,0))),""),""))</f>
        <v/>
      </c>
      <c r="AI406" s="19" t="str">
        <f>IF($B406="","",IFERROR(INDEX(Config!$D$9:$D$29,MATCH($B406,Config!$B$9:$B$29,0))&amp;"",""))</f>
        <v/>
      </c>
    </row>
    <row r="407">
      <c r="X407" s="20" t="str">
        <f>IF($B407="","",IFERROR(IF(INDEX(Config!$D$9:$D$29,MATCH($B407,Config!$B$9:$B$29,0))="Contrato",IF(INDEX(Config!$E$9:$E$29,MATCH($B407,Config!$B$9:$B$29,0))="","",INDEX(Config!$E$9:$E$29,MATCH($B407,Config!$B$9:$B$29,0))),""),""))</f>
        <v/>
      </c>
      <c r="AI407" s="19" t="str">
        <f>IF($B407="","",IFERROR(INDEX(Config!$D$9:$D$29,MATCH($B407,Config!$B$9:$B$29,0))&amp;"",""))</f>
        <v/>
      </c>
    </row>
    <row r="408">
      <c r="X408" s="20" t="str">
        <f>IF($B408="","",IFERROR(IF(INDEX(Config!$D$9:$D$29,MATCH($B408,Config!$B$9:$B$29,0))="Contrato",IF(INDEX(Config!$E$9:$E$29,MATCH($B408,Config!$B$9:$B$29,0))="","",INDEX(Config!$E$9:$E$29,MATCH($B408,Config!$B$9:$B$29,0))),""),""))</f>
        <v/>
      </c>
      <c r="AI408" s="19" t="str">
        <f>IF($B408="","",IFERROR(INDEX(Config!$D$9:$D$29,MATCH($B408,Config!$B$9:$B$29,0))&amp;"",""))</f>
        <v/>
      </c>
    </row>
    <row r="409">
      <c r="X409" s="20" t="str">
        <f>IF($B409="","",IFERROR(IF(INDEX(Config!$D$9:$D$29,MATCH($B409,Config!$B$9:$B$29,0))="Contrato",IF(INDEX(Config!$E$9:$E$29,MATCH($B409,Config!$B$9:$B$29,0))="","",INDEX(Config!$E$9:$E$29,MATCH($B409,Config!$B$9:$B$29,0))),""),""))</f>
        <v/>
      </c>
      <c r="AI409" s="19" t="str">
        <f>IF($B409="","",IFERROR(INDEX(Config!$D$9:$D$29,MATCH($B409,Config!$B$9:$B$29,0))&amp;"",""))</f>
        <v/>
      </c>
    </row>
    <row r="410">
      <c r="X410" s="20" t="str">
        <f>IF($B410="","",IFERROR(IF(INDEX(Config!$D$9:$D$29,MATCH($B410,Config!$B$9:$B$29,0))="Contrato",IF(INDEX(Config!$E$9:$E$29,MATCH($B410,Config!$B$9:$B$29,0))="","",INDEX(Config!$E$9:$E$29,MATCH($B410,Config!$B$9:$B$29,0))),""),""))</f>
        <v/>
      </c>
      <c r="AI410" s="19" t="str">
        <f>IF($B410="","",IFERROR(INDEX(Config!$D$9:$D$29,MATCH($B410,Config!$B$9:$B$29,0))&amp;"",""))</f>
        <v/>
      </c>
    </row>
    <row r="411">
      <c r="X411" s="20" t="str">
        <f>IF($B411="","",IFERROR(IF(INDEX(Config!$D$9:$D$29,MATCH($B411,Config!$B$9:$B$29,0))="Contrato",IF(INDEX(Config!$E$9:$E$29,MATCH($B411,Config!$B$9:$B$29,0))="","",INDEX(Config!$E$9:$E$29,MATCH($B411,Config!$B$9:$B$29,0))),""),""))</f>
        <v/>
      </c>
      <c r="AI411" s="19" t="str">
        <f>IF($B411="","",IFERROR(INDEX(Config!$D$9:$D$29,MATCH($B411,Config!$B$9:$B$29,0))&amp;"",""))</f>
        <v/>
      </c>
    </row>
    <row r="412">
      <c r="X412" s="20" t="str">
        <f>IF($B412="","",IFERROR(IF(INDEX(Config!$D$9:$D$29,MATCH($B412,Config!$B$9:$B$29,0))="Contrato",IF(INDEX(Config!$E$9:$E$29,MATCH($B412,Config!$B$9:$B$29,0))="","",INDEX(Config!$E$9:$E$29,MATCH($B412,Config!$B$9:$B$29,0))),""),""))</f>
        <v/>
      </c>
      <c r="AI412" s="19" t="str">
        <f>IF($B412="","",IFERROR(INDEX(Config!$D$9:$D$29,MATCH($B412,Config!$B$9:$B$29,0))&amp;"",""))</f>
        <v/>
      </c>
    </row>
    <row r="413">
      <c r="X413" s="20" t="str">
        <f>IF($B413="","",IFERROR(IF(INDEX(Config!$D$9:$D$29,MATCH($B413,Config!$B$9:$B$29,0))="Contrato",IF(INDEX(Config!$E$9:$E$29,MATCH($B413,Config!$B$9:$B$29,0))="","",INDEX(Config!$E$9:$E$29,MATCH($B413,Config!$B$9:$B$29,0))),""),""))</f>
        <v/>
      </c>
      <c r="AI413" s="19" t="str">
        <f>IF($B413="","",IFERROR(INDEX(Config!$D$9:$D$29,MATCH($B413,Config!$B$9:$B$29,0))&amp;"",""))</f>
        <v/>
      </c>
    </row>
    <row r="414">
      <c r="X414" s="20" t="str">
        <f>IF($B414="","",IFERROR(IF(INDEX(Config!$D$9:$D$29,MATCH($B414,Config!$B$9:$B$29,0))="Contrato",IF(INDEX(Config!$E$9:$E$29,MATCH($B414,Config!$B$9:$B$29,0))="","",INDEX(Config!$E$9:$E$29,MATCH($B414,Config!$B$9:$B$29,0))),""),""))</f>
        <v/>
      </c>
      <c r="AI414" s="19" t="str">
        <f>IF($B414="","",IFERROR(INDEX(Config!$D$9:$D$29,MATCH($B414,Config!$B$9:$B$29,0))&amp;"",""))</f>
        <v/>
      </c>
    </row>
    <row r="415">
      <c r="X415" s="20" t="str">
        <f>IF($B415="","",IFERROR(IF(INDEX(Config!$D$9:$D$29,MATCH($B415,Config!$B$9:$B$29,0))="Contrato",IF(INDEX(Config!$E$9:$E$29,MATCH($B415,Config!$B$9:$B$29,0))="","",INDEX(Config!$E$9:$E$29,MATCH($B415,Config!$B$9:$B$29,0))),""),""))</f>
        <v/>
      </c>
      <c r="AI415" s="19" t="str">
        <f>IF($B415="","",IFERROR(INDEX(Config!$D$9:$D$29,MATCH($B415,Config!$B$9:$B$29,0))&amp;"",""))</f>
        <v/>
      </c>
    </row>
    <row r="416">
      <c r="X416" s="20" t="str">
        <f>IF($B416="","",IFERROR(IF(INDEX(Config!$D$9:$D$29,MATCH($B416,Config!$B$9:$B$29,0))="Contrato",IF(INDEX(Config!$E$9:$E$29,MATCH($B416,Config!$B$9:$B$29,0))="","",INDEX(Config!$E$9:$E$29,MATCH($B416,Config!$B$9:$B$29,0))),""),""))</f>
        <v/>
      </c>
      <c r="AI416" s="19" t="str">
        <f>IF($B416="","",IFERROR(INDEX(Config!$D$9:$D$29,MATCH($B416,Config!$B$9:$B$29,0))&amp;"",""))</f>
        <v/>
      </c>
    </row>
    <row r="417">
      <c r="X417" s="20" t="str">
        <f>IF($B417="","",IFERROR(IF(INDEX(Config!$D$9:$D$29,MATCH($B417,Config!$B$9:$B$29,0))="Contrato",IF(INDEX(Config!$E$9:$E$29,MATCH($B417,Config!$B$9:$B$29,0))="","",INDEX(Config!$E$9:$E$29,MATCH($B417,Config!$B$9:$B$29,0))),""),""))</f>
        <v/>
      </c>
      <c r="AI417" s="19" t="str">
        <f>IF($B417="","",IFERROR(INDEX(Config!$D$9:$D$29,MATCH($B417,Config!$B$9:$B$29,0))&amp;"",""))</f>
        <v/>
      </c>
    </row>
    <row r="418">
      <c r="X418" s="20" t="str">
        <f>IF($B418="","",IFERROR(IF(INDEX(Config!$D$9:$D$29,MATCH($B418,Config!$B$9:$B$29,0))="Contrato",IF(INDEX(Config!$E$9:$E$29,MATCH($B418,Config!$B$9:$B$29,0))="","",INDEX(Config!$E$9:$E$29,MATCH($B418,Config!$B$9:$B$29,0))),""),""))</f>
        <v/>
      </c>
      <c r="AI418" s="19" t="str">
        <f>IF($B418="","",IFERROR(INDEX(Config!$D$9:$D$29,MATCH($B418,Config!$B$9:$B$29,0))&amp;"",""))</f>
        <v/>
      </c>
    </row>
    <row r="419">
      <c r="X419" s="20" t="str">
        <f>IF($B419="","",IFERROR(IF(INDEX(Config!$D$9:$D$29,MATCH($B419,Config!$B$9:$B$29,0))="Contrato",IF(INDEX(Config!$E$9:$E$29,MATCH($B419,Config!$B$9:$B$29,0))="","",INDEX(Config!$E$9:$E$29,MATCH($B419,Config!$B$9:$B$29,0))),""),""))</f>
        <v/>
      </c>
      <c r="AI419" s="19" t="str">
        <f>IF($B419="","",IFERROR(INDEX(Config!$D$9:$D$29,MATCH($B419,Config!$B$9:$B$29,0))&amp;"",""))</f>
        <v/>
      </c>
    </row>
    <row r="420">
      <c r="X420" s="20" t="str">
        <f>IF($B420="","",IFERROR(IF(INDEX(Config!$D$9:$D$29,MATCH($B420,Config!$B$9:$B$29,0))="Contrato",IF(INDEX(Config!$E$9:$E$29,MATCH($B420,Config!$B$9:$B$29,0))="","",INDEX(Config!$E$9:$E$29,MATCH($B420,Config!$B$9:$B$29,0))),""),""))</f>
        <v/>
      </c>
      <c r="AI420" s="19" t="str">
        <f>IF($B420="","",IFERROR(INDEX(Config!$D$9:$D$29,MATCH($B420,Config!$B$9:$B$29,0))&amp;"",""))</f>
        <v/>
      </c>
    </row>
    <row r="421">
      <c r="X421" s="20" t="str">
        <f>IF($B421="","",IFERROR(IF(INDEX(Config!$D$9:$D$29,MATCH($B421,Config!$B$9:$B$29,0))="Contrato",IF(INDEX(Config!$E$9:$E$29,MATCH($B421,Config!$B$9:$B$29,0))="","",INDEX(Config!$E$9:$E$29,MATCH($B421,Config!$B$9:$B$29,0))),""),""))</f>
        <v/>
      </c>
      <c r="AI421" s="19" t="str">
        <f>IF($B421="","",IFERROR(INDEX(Config!$D$9:$D$29,MATCH($B421,Config!$B$9:$B$29,0))&amp;"",""))</f>
        <v/>
      </c>
    </row>
    <row r="422">
      <c r="X422" s="20" t="str">
        <f>IF($B422="","",IFERROR(IF(INDEX(Config!$D$9:$D$29,MATCH($B422,Config!$B$9:$B$29,0))="Contrato",IF(INDEX(Config!$E$9:$E$29,MATCH($B422,Config!$B$9:$B$29,0))="","",INDEX(Config!$E$9:$E$29,MATCH($B422,Config!$B$9:$B$29,0))),""),""))</f>
        <v/>
      </c>
      <c r="AI422" s="19" t="str">
        <f>IF($B422="","",IFERROR(INDEX(Config!$D$9:$D$29,MATCH($B422,Config!$B$9:$B$29,0))&amp;"",""))</f>
        <v/>
      </c>
    </row>
    <row r="423">
      <c r="X423" s="20" t="str">
        <f>IF($B423="","",IFERROR(IF(INDEX(Config!$D$9:$D$29,MATCH($B423,Config!$B$9:$B$29,0))="Contrato",IF(INDEX(Config!$E$9:$E$29,MATCH($B423,Config!$B$9:$B$29,0))="","",INDEX(Config!$E$9:$E$29,MATCH($B423,Config!$B$9:$B$29,0))),""),""))</f>
        <v/>
      </c>
      <c r="AI423" s="19" t="str">
        <f>IF($B423="","",IFERROR(INDEX(Config!$D$9:$D$29,MATCH($B423,Config!$B$9:$B$29,0))&amp;"",""))</f>
        <v/>
      </c>
    </row>
    <row r="424">
      <c r="X424" s="20" t="str">
        <f>IF($B424="","",IFERROR(IF(INDEX(Config!$D$9:$D$29,MATCH($B424,Config!$B$9:$B$29,0))="Contrato",IF(INDEX(Config!$E$9:$E$29,MATCH($B424,Config!$B$9:$B$29,0))="","",INDEX(Config!$E$9:$E$29,MATCH($B424,Config!$B$9:$B$29,0))),""),""))</f>
        <v/>
      </c>
      <c r="AI424" s="19" t="str">
        <f>IF($B424="","",IFERROR(INDEX(Config!$D$9:$D$29,MATCH($B424,Config!$B$9:$B$29,0))&amp;"",""))</f>
        <v/>
      </c>
    </row>
    <row r="425">
      <c r="X425" s="20" t="str">
        <f>IF($B425="","",IFERROR(IF(INDEX(Config!$D$9:$D$29,MATCH($B425,Config!$B$9:$B$29,0))="Contrato",IF(INDEX(Config!$E$9:$E$29,MATCH($B425,Config!$B$9:$B$29,0))="","",INDEX(Config!$E$9:$E$29,MATCH($B425,Config!$B$9:$B$29,0))),""),""))</f>
        <v/>
      </c>
      <c r="AI425" s="19" t="str">
        <f>IF($B425="","",IFERROR(INDEX(Config!$D$9:$D$29,MATCH($B425,Config!$B$9:$B$29,0))&amp;"",""))</f>
        <v/>
      </c>
    </row>
    <row r="426">
      <c r="X426" s="20" t="str">
        <f>IF($B426="","",IFERROR(IF(INDEX(Config!$D$9:$D$29,MATCH($B426,Config!$B$9:$B$29,0))="Contrato",IF(INDEX(Config!$E$9:$E$29,MATCH($B426,Config!$B$9:$B$29,0))="","",INDEX(Config!$E$9:$E$29,MATCH($B426,Config!$B$9:$B$29,0))),""),""))</f>
        <v/>
      </c>
      <c r="AI426" s="19" t="str">
        <f>IF($B426="","",IFERROR(INDEX(Config!$D$9:$D$29,MATCH($B426,Config!$B$9:$B$29,0))&amp;"",""))</f>
        <v/>
      </c>
    </row>
    <row r="427">
      <c r="X427" s="20" t="str">
        <f>IF($B427="","",IFERROR(IF(INDEX(Config!$D$9:$D$29,MATCH($B427,Config!$B$9:$B$29,0))="Contrato",IF(INDEX(Config!$E$9:$E$29,MATCH($B427,Config!$B$9:$B$29,0))="","",INDEX(Config!$E$9:$E$29,MATCH($B427,Config!$B$9:$B$29,0))),""),""))</f>
        <v/>
      </c>
      <c r="AI427" s="19" t="str">
        <f>IF($B427="","",IFERROR(INDEX(Config!$D$9:$D$29,MATCH($B427,Config!$B$9:$B$29,0))&amp;"",""))</f>
        <v/>
      </c>
    </row>
    <row r="428">
      <c r="X428" s="20" t="str">
        <f>IF($B428="","",IFERROR(IF(INDEX(Config!$D$9:$D$29,MATCH($B428,Config!$B$9:$B$29,0))="Contrato",IF(INDEX(Config!$E$9:$E$29,MATCH($B428,Config!$B$9:$B$29,0))="","",INDEX(Config!$E$9:$E$29,MATCH($B428,Config!$B$9:$B$29,0))),""),""))</f>
        <v/>
      </c>
      <c r="AI428" s="19" t="str">
        <f>IF($B428="","",IFERROR(INDEX(Config!$D$9:$D$29,MATCH($B428,Config!$B$9:$B$29,0))&amp;"",""))</f>
        <v/>
      </c>
    </row>
    <row r="429">
      <c r="X429" s="20" t="str">
        <f>IF($B429="","",IFERROR(IF(INDEX(Config!$D$9:$D$29,MATCH($B429,Config!$B$9:$B$29,0))="Contrato",IF(INDEX(Config!$E$9:$E$29,MATCH($B429,Config!$B$9:$B$29,0))="","",INDEX(Config!$E$9:$E$29,MATCH($B429,Config!$B$9:$B$29,0))),""),""))</f>
        <v/>
      </c>
      <c r="AI429" s="19" t="str">
        <f>IF($B429="","",IFERROR(INDEX(Config!$D$9:$D$29,MATCH($B429,Config!$B$9:$B$29,0))&amp;"",""))</f>
        <v/>
      </c>
    </row>
    <row r="430">
      <c r="X430" s="20" t="str">
        <f>IF($B430="","",IFERROR(IF(INDEX(Config!$D$9:$D$29,MATCH($B430,Config!$B$9:$B$29,0))="Contrato",IF(INDEX(Config!$E$9:$E$29,MATCH($B430,Config!$B$9:$B$29,0))="","",INDEX(Config!$E$9:$E$29,MATCH($B430,Config!$B$9:$B$29,0))),""),""))</f>
        <v/>
      </c>
      <c r="AI430" s="19" t="str">
        <f>IF($B430="","",IFERROR(INDEX(Config!$D$9:$D$29,MATCH($B430,Config!$B$9:$B$29,0))&amp;"",""))</f>
        <v/>
      </c>
    </row>
    <row r="431">
      <c r="X431" s="20" t="str">
        <f>IF($B431="","",IFERROR(IF(INDEX(Config!$D$9:$D$29,MATCH($B431,Config!$B$9:$B$29,0))="Contrato",IF(INDEX(Config!$E$9:$E$29,MATCH($B431,Config!$B$9:$B$29,0))="","",INDEX(Config!$E$9:$E$29,MATCH($B431,Config!$B$9:$B$29,0))),""),""))</f>
        <v/>
      </c>
      <c r="AI431" s="19" t="str">
        <f>IF($B431="","",IFERROR(INDEX(Config!$D$9:$D$29,MATCH($B431,Config!$B$9:$B$29,0))&amp;"",""))</f>
        <v/>
      </c>
    </row>
    <row r="432">
      <c r="X432" s="20" t="str">
        <f>IF($B432="","",IFERROR(IF(INDEX(Config!$D$9:$D$29,MATCH($B432,Config!$B$9:$B$29,0))="Contrato",IF(INDEX(Config!$E$9:$E$29,MATCH($B432,Config!$B$9:$B$29,0))="","",INDEX(Config!$E$9:$E$29,MATCH($B432,Config!$B$9:$B$29,0))),""),""))</f>
        <v/>
      </c>
      <c r="AI432" s="19" t="str">
        <f>IF($B432="","",IFERROR(INDEX(Config!$D$9:$D$29,MATCH($B432,Config!$B$9:$B$29,0))&amp;"",""))</f>
        <v/>
      </c>
    </row>
    <row r="433">
      <c r="X433" s="20" t="str">
        <f>IF($B433="","",IFERROR(IF(INDEX(Config!$D$9:$D$29,MATCH($B433,Config!$B$9:$B$29,0))="Contrato",IF(INDEX(Config!$E$9:$E$29,MATCH($B433,Config!$B$9:$B$29,0))="","",INDEX(Config!$E$9:$E$29,MATCH($B433,Config!$B$9:$B$29,0))),""),""))</f>
        <v/>
      </c>
      <c r="AI433" s="19" t="str">
        <f>IF($B433="","",IFERROR(INDEX(Config!$D$9:$D$29,MATCH($B433,Config!$B$9:$B$29,0))&amp;"",""))</f>
        <v/>
      </c>
    </row>
    <row r="434">
      <c r="X434" s="20" t="str">
        <f>IF($B434="","",IFERROR(IF(INDEX(Config!$D$9:$D$29,MATCH($B434,Config!$B$9:$B$29,0))="Contrato",IF(INDEX(Config!$E$9:$E$29,MATCH($B434,Config!$B$9:$B$29,0))="","",INDEX(Config!$E$9:$E$29,MATCH($B434,Config!$B$9:$B$29,0))),""),""))</f>
        <v/>
      </c>
      <c r="AI434" s="19" t="str">
        <f>IF($B434="","",IFERROR(INDEX(Config!$D$9:$D$29,MATCH($B434,Config!$B$9:$B$29,0))&amp;"",""))</f>
        <v/>
      </c>
    </row>
    <row r="435">
      <c r="X435" s="20" t="str">
        <f>IF($B435="","",IFERROR(IF(INDEX(Config!$D$9:$D$29,MATCH($B435,Config!$B$9:$B$29,0))="Contrato",IF(INDEX(Config!$E$9:$E$29,MATCH($B435,Config!$B$9:$B$29,0))="","",INDEX(Config!$E$9:$E$29,MATCH($B435,Config!$B$9:$B$29,0))),""),""))</f>
        <v/>
      </c>
      <c r="AI435" s="19" t="str">
        <f>IF($B435="","",IFERROR(INDEX(Config!$D$9:$D$29,MATCH($B435,Config!$B$9:$B$29,0))&amp;"",""))</f>
        <v/>
      </c>
    </row>
    <row r="436">
      <c r="X436" s="20" t="str">
        <f>IF($B436="","",IFERROR(IF(INDEX(Config!$D$9:$D$29,MATCH($B436,Config!$B$9:$B$29,0))="Contrato",IF(INDEX(Config!$E$9:$E$29,MATCH($B436,Config!$B$9:$B$29,0))="","",INDEX(Config!$E$9:$E$29,MATCH($B436,Config!$B$9:$B$29,0))),""),""))</f>
        <v/>
      </c>
      <c r="AI436" s="19" t="str">
        <f>IF($B436="","",IFERROR(INDEX(Config!$D$9:$D$29,MATCH($B436,Config!$B$9:$B$29,0))&amp;"",""))</f>
        <v/>
      </c>
    </row>
    <row r="437">
      <c r="X437" s="20" t="str">
        <f>IF($B437="","",IFERROR(IF(INDEX(Config!$D$9:$D$29,MATCH($B437,Config!$B$9:$B$29,0))="Contrato",IF(INDEX(Config!$E$9:$E$29,MATCH($B437,Config!$B$9:$B$29,0))="","",INDEX(Config!$E$9:$E$29,MATCH($B437,Config!$B$9:$B$29,0))),""),""))</f>
        <v/>
      </c>
      <c r="AI437" s="19" t="str">
        <f>IF($B437="","",IFERROR(INDEX(Config!$D$9:$D$29,MATCH($B437,Config!$B$9:$B$29,0))&amp;"",""))</f>
        <v/>
      </c>
    </row>
    <row r="438">
      <c r="X438" s="20" t="str">
        <f>IF($B438="","",IFERROR(IF(INDEX(Config!$D$9:$D$29,MATCH($B438,Config!$B$9:$B$29,0))="Contrato",IF(INDEX(Config!$E$9:$E$29,MATCH($B438,Config!$B$9:$B$29,0))="","",INDEX(Config!$E$9:$E$29,MATCH($B438,Config!$B$9:$B$29,0))),""),""))</f>
        <v/>
      </c>
      <c r="AI438" s="19" t="str">
        <f>IF($B438="","",IFERROR(INDEX(Config!$D$9:$D$29,MATCH($B438,Config!$B$9:$B$29,0))&amp;"",""))</f>
        <v/>
      </c>
    </row>
    <row r="439">
      <c r="X439" s="20" t="str">
        <f>IF($B439="","",IFERROR(IF(INDEX(Config!$D$9:$D$29,MATCH($B439,Config!$B$9:$B$29,0))="Contrato",IF(INDEX(Config!$E$9:$E$29,MATCH($B439,Config!$B$9:$B$29,0))="","",INDEX(Config!$E$9:$E$29,MATCH($B439,Config!$B$9:$B$29,0))),""),""))</f>
        <v/>
      </c>
      <c r="AI439" s="19" t="str">
        <f>IF($B439="","",IFERROR(INDEX(Config!$D$9:$D$29,MATCH($B439,Config!$B$9:$B$29,0))&amp;"",""))</f>
        <v/>
      </c>
    </row>
    <row r="440">
      <c r="X440" s="20" t="str">
        <f>IF($B440="","",IFERROR(IF(INDEX(Config!$D$9:$D$29,MATCH($B440,Config!$B$9:$B$29,0))="Contrato",IF(INDEX(Config!$E$9:$E$29,MATCH($B440,Config!$B$9:$B$29,0))="","",INDEX(Config!$E$9:$E$29,MATCH($B440,Config!$B$9:$B$29,0))),""),""))</f>
        <v/>
      </c>
      <c r="AI440" s="19" t="str">
        <f>IF($B440="","",IFERROR(INDEX(Config!$D$9:$D$29,MATCH($B440,Config!$B$9:$B$29,0))&amp;"",""))</f>
        <v/>
      </c>
    </row>
    <row r="441">
      <c r="X441" s="20" t="str">
        <f>IF($B441="","",IFERROR(IF(INDEX(Config!$D$9:$D$29,MATCH($B441,Config!$B$9:$B$29,0))="Contrato",IF(INDEX(Config!$E$9:$E$29,MATCH($B441,Config!$B$9:$B$29,0))="","",INDEX(Config!$E$9:$E$29,MATCH($B441,Config!$B$9:$B$29,0))),""),""))</f>
        <v/>
      </c>
      <c r="AI441" s="19" t="str">
        <f>IF($B441="","",IFERROR(INDEX(Config!$D$9:$D$29,MATCH($B441,Config!$B$9:$B$29,0))&amp;"",""))</f>
        <v/>
      </c>
    </row>
    <row r="442">
      <c r="X442" s="20" t="str">
        <f>IF($B442="","",IFERROR(IF(INDEX(Config!$D$9:$D$29,MATCH($B442,Config!$B$9:$B$29,0))="Contrato",IF(INDEX(Config!$E$9:$E$29,MATCH($B442,Config!$B$9:$B$29,0))="","",INDEX(Config!$E$9:$E$29,MATCH($B442,Config!$B$9:$B$29,0))),""),""))</f>
        <v/>
      </c>
      <c r="AI442" s="19" t="str">
        <f>IF($B442="","",IFERROR(INDEX(Config!$D$9:$D$29,MATCH($B442,Config!$B$9:$B$29,0))&amp;"",""))</f>
        <v/>
      </c>
    </row>
    <row r="443">
      <c r="X443" s="20" t="str">
        <f>IF($B443="","",IFERROR(IF(INDEX(Config!$D$9:$D$29,MATCH($B443,Config!$B$9:$B$29,0))="Contrato",IF(INDEX(Config!$E$9:$E$29,MATCH($B443,Config!$B$9:$B$29,0))="","",INDEX(Config!$E$9:$E$29,MATCH($B443,Config!$B$9:$B$29,0))),""),""))</f>
        <v/>
      </c>
      <c r="AI443" s="19" t="str">
        <f>IF($B443="","",IFERROR(INDEX(Config!$D$9:$D$29,MATCH($B443,Config!$B$9:$B$29,0))&amp;"",""))</f>
        <v/>
      </c>
    </row>
    <row r="444">
      <c r="X444" s="20" t="str">
        <f>IF($B444="","",IFERROR(IF(INDEX(Config!$D$9:$D$29,MATCH($B444,Config!$B$9:$B$29,0))="Contrato",IF(INDEX(Config!$E$9:$E$29,MATCH($B444,Config!$B$9:$B$29,0))="","",INDEX(Config!$E$9:$E$29,MATCH($B444,Config!$B$9:$B$29,0))),""),""))</f>
        <v/>
      </c>
      <c r="AI444" s="19" t="str">
        <f>IF($B444="","",IFERROR(INDEX(Config!$D$9:$D$29,MATCH($B444,Config!$B$9:$B$29,0))&amp;"",""))</f>
        <v/>
      </c>
    </row>
    <row r="445">
      <c r="X445" s="20" t="str">
        <f>IF($B445="","",IFERROR(IF(INDEX(Config!$D$9:$D$29,MATCH($B445,Config!$B$9:$B$29,0))="Contrato",IF(INDEX(Config!$E$9:$E$29,MATCH($B445,Config!$B$9:$B$29,0))="","",INDEX(Config!$E$9:$E$29,MATCH($B445,Config!$B$9:$B$29,0))),""),""))</f>
        <v/>
      </c>
      <c r="AI445" s="19" t="str">
        <f>IF($B445="","",IFERROR(INDEX(Config!$D$9:$D$29,MATCH($B445,Config!$B$9:$B$29,0))&amp;"",""))</f>
        <v/>
      </c>
    </row>
    <row r="446">
      <c r="X446" s="20" t="str">
        <f>IF($B446="","",IFERROR(IF(INDEX(Config!$D$9:$D$29,MATCH($B446,Config!$B$9:$B$29,0))="Contrato",IF(INDEX(Config!$E$9:$E$29,MATCH($B446,Config!$B$9:$B$29,0))="","",INDEX(Config!$E$9:$E$29,MATCH($B446,Config!$B$9:$B$29,0))),""),""))</f>
        <v/>
      </c>
      <c r="AI446" s="19" t="str">
        <f>IF($B446="","",IFERROR(INDEX(Config!$D$9:$D$29,MATCH($B446,Config!$B$9:$B$29,0))&amp;"",""))</f>
        <v/>
      </c>
    </row>
    <row r="447">
      <c r="X447" s="20" t="str">
        <f>IF($B447="","",IFERROR(IF(INDEX(Config!$D$9:$D$29,MATCH($B447,Config!$B$9:$B$29,0))="Contrato",IF(INDEX(Config!$E$9:$E$29,MATCH($B447,Config!$B$9:$B$29,0))="","",INDEX(Config!$E$9:$E$29,MATCH($B447,Config!$B$9:$B$29,0))),""),""))</f>
        <v/>
      </c>
      <c r="AI447" s="19" t="str">
        <f>IF($B447="","",IFERROR(INDEX(Config!$D$9:$D$29,MATCH($B447,Config!$B$9:$B$29,0))&amp;"",""))</f>
        <v/>
      </c>
    </row>
    <row r="448">
      <c r="X448" s="20" t="str">
        <f>IF($B448="","",IFERROR(IF(INDEX(Config!$D$9:$D$29,MATCH($B448,Config!$B$9:$B$29,0))="Contrato",IF(INDEX(Config!$E$9:$E$29,MATCH($B448,Config!$B$9:$B$29,0))="","",INDEX(Config!$E$9:$E$29,MATCH($B448,Config!$B$9:$B$29,0))),""),""))</f>
        <v/>
      </c>
      <c r="AI448" s="19" t="str">
        <f>IF($B448="","",IFERROR(INDEX(Config!$D$9:$D$29,MATCH($B448,Config!$B$9:$B$29,0))&amp;"",""))</f>
        <v/>
      </c>
    </row>
    <row r="449">
      <c r="X449" s="20" t="str">
        <f>IF($B449="","",IFERROR(IF(INDEX(Config!$D$9:$D$29,MATCH($B449,Config!$B$9:$B$29,0))="Contrato",IF(INDEX(Config!$E$9:$E$29,MATCH($B449,Config!$B$9:$B$29,0))="","",INDEX(Config!$E$9:$E$29,MATCH($B449,Config!$B$9:$B$29,0))),""),""))</f>
        <v/>
      </c>
      <c r="AI449" s="19" t="str">
        <f>IF($B449="","",IFERROR(INDEX(Config!$D$9:$D$29,MATCH($B449,Config!$B$9:$B$29,0))&amp;"",""))</f>
        <v/>
      </c>
    </row>
    <row r="450">
      <c r="X450" s="20" t="str">
        <f>IF($B450="","",IFERROR(IF(INDEX(Config!$D$9:$D$29,MATCH($B450,Config!$B$9:$B$29,0))="Contrato",IF(INDEX(Config!$E$9:$E$29,MATCH($B450,Config!$B$9:$B$29,0))="","",INDEX(Config!$E$9:$E$29,MATCH($B450,Config!$B$9:$B$29,0))),""),""))</f>
        <v/>
      </c>
      <c r="AI450" s="19" t="str">
        <f>IF($B450="","",IFERROR(INDEX(Config!$D$9:$D$29,MATCH($B450,Config!$B$9:$B$29,0))&amp;"",""))</f>
        <v/>
      </c>
    </row>
    <row r="451">
      <c r="X451" s="20" t="str">
        <f>IF($B451="","",IFERROR(IF(INDEX(Config!$D$9:$D$29,MATCH($B451,Config!$B$9:$B$29,0))="Contrato",IF(INDEX(Config!$E$9:$E$29,MATCH($B451,Config!$B$9:$B$29,0))="","",INDEX(Config!$E$9:$E$29,MATCH($B451,Config!$B$9:$B$29,0))),""),""))</f>
        <v/>
      </c>
      <c r="AI451" s="19" t="str">
        <f>IF($B451="","",IFERROR(INDEX(Config!$D$9:$D$29,MATCH($B451,Config!$B$9:$B$29,0))&amp;"",""))</f>
        <v/>
      </c>
    </row>
    <row r="452">
      <c r="X452" s="20" t="str">
        <f>IF($B452="","",IFERROR(IF(INDEX(Config!$D$9:$D$29,MATCH($B452,Config!$B$9:$B$29,0))="Contrato",IF(INDEX(Config!$E$9:$E$29,MATCH($B452,Config!$B$9:$B$29,0))="","",INDEX(Config!$E$9:$E$29,MATCH($B452,Config!$B$9:$B$29,0))),""),""))</f>
        <v/>
      </c>
      <c r="AI452" s="19" t="str">
        <f>IF($B452="","",IFERROR(INDEX(Config!$D$9:$D$29,MATCH($B452,Config!$B$9:$B$29,0))&amp;"",""))</f>
        <v/>
      </c>
    </row>
    <row r="453">
      <c r="X453" s="20" t="str">
        <f>IF($B453="","",IFERROR(IF(INDEX(Config!$D$9:$D$29,MATCH($B453,Config!$B$9:$B$29,0))="Contrato",IF(INDEX(Config!$E$9:$E$29,MATCH($B453,Config!$B$9:$B$29,0))="","",INDEX(Config!$E$9:$E$29,MATCH($B453,Config!$B$9:$B$29,0))),""),""))</f>
        <v/>
      </c>
      <c r="AI453" s="19" t="str">
        <f>IF($B453="","",IFERROR(INDEX(Config!$D$9:$D$29,MATCH($B453,Config!$B$9:$B$29,0))&amp;"",""))</f>
        <v/>
      </c>
    </row>
    <row r="454">
      <c r="X454" s="20" t="str">
        <f>IF($B454="","",IFERROR(IF(INDEX(Config!$D$9:$D$29,MATCH($B454,Config!$B$9:$B$29,0))="Contrato",IF(INDEX(Config!$E$9:$E$29,MATCH($B454,Config!$B$9:$B$29,0))="","",INDEX(Config!$E$9:$E$29,MATCH($B454,Config!$B$9:$B$29,0))),""),""))</f>
        <v/>
      </c>
      <c r="AI454" s="19" t="str">
        <f>IF($B454="","",IFERROR(INDEX(Config!$D$9:$D$29,MATCH($B454,Config!$B$9:$B$29,0))&amp;"",""))</f>
        <v/>
      </c>
    </row>
    <row r="455">
      <c r="X455" s="20" t="str">
        <f>IF($B455="","",IFERROR(IF(INDEX(Config!$D$9:$D$29,MATCH($B455,Config!$B$9:$B$29,0))="Contrato",IF(INDEX(Config!$E$9:$E$29,MATCH($B455,Config!$B$9:$B$29,0))="","",INDEX(Config!$E$9:$E$29,MATCH($B455,Config!$B$9:$B$29,0))),""),""))</f>
        <v/>
      </c>
      <c r="AI455" s="19" t="str">
        <f>IF($B455="","",IFERROR(INDEX(Config!$D$9:$D$29,MATCH($B455,Config!$B$9:$B$29,0))&amp;"",""))</f>
        <v/>
      </c>
    </row>
    <row r="456">
      <c r="X456" s="20" t="str">
        <f>IF($B456="","",IFERROR(IF(INDEX(Config!$D$9:$D$29,MATCH($B456,Config!$B$9:$B$29,0))="Contrato",IF(INDEX(Config!$E$9:$E$29,MATCH($B456,Config!$B$9:$B$29,0))="","",INDEX(Config!$E$9:$E$29,MATCH($B456,Config!$B$9:$B$29,0))),""),""))</f>
        <v/>
      </c>
      <c r="AI456" s="19" t="str">
        <f>IF($B456="","",IFERROR(INDEX(Config!$D$9:$D$29,MATCH($B456,Config!$B$9:$B$29,0))&amp;"",""))</f>
        <v/>
      </c>
    </row>
    <row r="457">
      <c r="X457" s="20" t="str">
        <f>IF($B457="","",IFERROR(IF(INDEX(Config!$D$9:$D$29,MATCH($B457,Config!$B$9:$B$29,0))="Contrato",IF(INDEX(Config!$E$9:$E$29,MATCH($B457,Config!$B$9:$B$29,0))="","",INDEX(Config!$E$9:$E$29,MATCH($B457,Config!$B$9:$B$29,0))),""),""))</f>
        <v/>
      </c>
      <c r="AI457" s="19" t="str">
        <f>IF($B457="","",IFERROR(INDEX(Config!$D$9:$D$29,MATCH($B457,Config!$B$9:$B$29,0))&amp;"",""))</f>
        <v/>
      </c>
    </row>
    <row r="458">
      <c r="X458" s="20" t="str">
        <f>IF($B458="","",IFERROR(IF(INDEX(Config!$D$9:$D$29,MATCH($B458,Config!$B$9:$B$29,0))="Contrato",IF(INDEX(Config!$E$9:$E$29,MATCH($B458,Config!$B$9:$B$29,0))="","",INDEX(Config!$E$9:$E$29,MATCH($B458,Config!$B$9:$B$29,0))),""),""))</f>
        <v/>
      </c>
      <c r="AI458" s="19" t="str">
        <f>IF($B458="","",IFERROR(INDEX(Config!$D$9:$D$29,MATCH($B458,Config!$B$9:$B$29,0))&amp;"",""))</f>
        <v/>
      </c>
    </row>
    <row r="459">
      <c r="X459" s="20" t="str">
        <f>IF($B459="","",IFERROR(IF(INDEX(Config!$D$9:$D$29,MATCH($B459,Config!$B$9:$B$29,0))="Contrato",IF(INDEX(Config!$E$9:$E$29,MATCH($B459,Config!$B$9:$B$29,0))="","",INDEX(Config!$E$9:$E$29,MATCH($B459,Config!$B$9:$B$29,0))),""),""))</f>
        <v/>
      </c>
      <c r="AI459" s="19" t="str">
        <f>IF($B459="","",IFERROR(INDEX(Config!$D$9:$D$29,MATCH($B459,Config!$B$9:$B$29,0))&amp;"",""))</f>
        <v/>
      </c>
    </row>
    <row r="460">
      <c r="X460" s="20" t="str">
        <f>IF($B460="","",IFERROR(IF(INDEX(Config!$D$9:$D$29,MATCH($B460,Config!$B$9:$B$29,0))="Contrato",IF(INDEX(Config!$E$9:$E$29,MATCH($B460,Config!$B$9:$B$29,0))="","",INDEX(Config!$E$9:$E$29,MATCH($B460,Config!$B$9:$B$29,0))),""),""))</f>
        <v/>
      </c>
      <c r="AI460" s="19" t="str">
        <f>IF($B460="","",IFERROR(INDEX(Config!$D$9:$D$29,MATCH($B460,Config!$B$9:$B$29,0))&amp;"",""))</f>
        <v/>
      </c>
    </row>
    <row r="461">
      <c r="X461" s="20" t="str">
        <f>IF($B461="","",IFERROR(IF(INDEX(Config!$D$9:$D$29,MATCH($B461,Config!$B$9:$B$29,0))="Contrato",IF(INDEX(Config!$E$9:$E$29,MATCH($B461,Config!$B$9:$B$29,0))="","",INDEX(Config!$E$9:$E$29,MATCH($B461,Config!$B$9:$B$29,0))),""),""))</f>
        <v/>
      </c>
      <c r="AI461" s="19" t="str">
        <f>IF($B461="","",IFERROR(INDEX(Config!$D$9:$D$29,MATCH($B461,Config!$B$9:$B$29,0))&amp;"",""))</f>
        <v/>
      </c>
    </row>
    <row r="462">
      <c r="X462" s="20" t="str">
        <f>IF($B462="","",IFERROR(IF(INDEX(Config!$D$9:$D$29,MATCH($B462,Config!$B$9:$B$29,0))="Contrato",IF(INDEX(Config!$E$9:$E$29,MATCH($B462,Config!$B$9:$B$29,0))="","",INDEX(Config!$E$9:$E$29,MATCH($B462,Config!$B$9:$B$29,0))),""),""))</f>
        <v/>
      </c>
      <c r="AI462" s="19" t="str">
        <f>IF($B462="","",IFERROR(INDEX(Config!$D$9:$D$29,MATCH($B462,Config!$B$9:$B$29,0))&amp;"",""))</f>
        <v/>
      </c>
    </row>
    <row r="463">
      <c r="X463" s="20" t="str">
        <f>IF($B463="","",IFERROR(IF(INDEX(Config!$D$9:$D$29,MATCH($B463,Config!$B$9:$B$29,0))="Contrato",IF(INDEX(Config!$E$9:$E$29,MATCH($B463,Config!$B$9:$B$29,0))="","",INDEX(Config!$E$9:$E$29,MATCH($B463,Config!$B$9:$B$29,0))),""),""))</f>
        <v/>
      </c>
      <c r="AI463" s="19" t="str">
        <f>IF($B463="","",IFERROR(INDEX(Config!$D$9:$D$29,MATCH($B463,Config!$B$9:$B$29,0))&amp;"",""))</f>
        <v/>
      </c>
    </row>
    <row r="464">
      <c r="X464" s="20" t="str">
        <f>IF($B464="","",IFERROR(IF(INDEX(Config!$D$9:$D$29,MATCH($B464,Config!$B$9:$B$29,0))="Contrato",IF(INDEX(Config!$E$9:$E$29,MATCH($B464,Config!$B$9:$B$29,0))="","",INDEX(Config!$E$9:$E$29,MATCH($B464,Config!$B$9:$B$29,0))),""),""))</f>
        <v/>
      </c>
      <c r="AI464" s="19" t="str">
        <f>IF($B464="","",IFERROR(INDEX(Config!$D$9:$D$29,MATCH($B464,Config!$B$9:$B$29,0))&amp;"",""))</f>
        <v/>
      </c>
    </row>
    <row r="465">
      <c r="X465" s="20" t="str">
        <f>IF($B465="","",IFERROR(IF(INDEX(Config!$D$9:$D$29,MATCH($B465,Config!$B$9:$B$29,0))="Contrato",IF(INDEX(Config!$E$9:$E$29,MATCH($B465,Config!$B$9:$B$29,0))="","",INDEX(Config!$E$9:$E$29,MATCH($B465,Config!$B$9:$B$29,0))),""),""))</f>
        <v/>
      </c>
      <c r="AI465" s="19" t="str">
        <f>IF($B465="","",IFERROR(INDEX(Config!$D$9:$D$29,MATCH($B465,Config!$B$9:$B$29,0))&amp;"",""))</f>
        <v/>
      </c>
    </row>
    <row r="466">
      <c r="X466" s="20" t="str">
        <f>IF($B466="","",IFERROR(IF(INDEX(Config!$D$9:$D$29,MATCH($B466,Config!$B$9:$B$29,0))="Contrato",IF(INDEX(Config!$E$9:$E$29,MATCH($B466,Config!$B$9:$B$29,0))="","",INDEX(Config!$E$9:$E$29,MATCH($B466,Config!$B$9:$B$29,0))),""),""))</f>
        <v/>
      </c>
      <c r="AI466" s="19" t="str">
        <f>IF($B466="","",IFERROR(INDEX(Config!$D$9:$D$29,MATCH($B466,Config!$B$9:$B$29,0))&amp;"",""))</f>
        <v/>
      </c>
    </row>
    <row r="467">
      <c r="X467" s="20" t="str">
        <f>IF($B467="","",IFERROR(IF(INDEX(Config!$D$9:$D$29,MATCH($B467,Config!$B$9:$B$29,0))="Contrato",IF(INDEX(Config!$E$9:$E$29,MATCH($B467,Config!$B$9:$B$29,0))="","",INDEX(Config!$E$9:$E$29,MATCH($B467,Config!$B$9:$B$29,0))),""),""))</f>
        <v/>
      </c>
      <c r="AI467" s="19" t="str">
        <f>IF($B467="","",IFERROR(INDEX(Config!$D$9:$D$29,MATCH($B467,Config!$B$9:$B$29,0))&amp;"",""))</f>
        <v/>
      </c>
    </row>
    <row r="468">
      <c r="X468" s="20" t="str">
        <f>IF($B468="","",IFERROR(IF(INDEX(Config!$D$9:$D$29,MATCH($B468,Config!$B$9:$B$29,0))="Contrato",IF(INDEX(Config!$E$9:$E$29,MATCH($B468,Config!$B$9:$B$29,0))="","",INDEX(Config!$E$9:$E$29,MATCH($B468,Config!$B$9:$B$29,0))),""),""))</f>
        <v/>
      </c>
      <c r="AI468" s="19" t="str">
        <f>IF($B468="","",IFERROR(INDEX(Config!$D$9:$D$29,MATCH($B468,Config!$B$9:$B$29,0))&amp;"",""))</f>
        <v/>
      </c>
    </row>
    <row r="469">
      <c r="X469" s="20" t="str">
        <f>IF($B469="","",IFERROR(IF(INDEX(Config!$D$9:$D$29,MATCH($B469,Config!$B$9:$B$29,0))="Contrato",IF(INDEX(Config!$E$9:$E$29,MATCH($B469,Config!$B$9:$B$29,0))="","",INDEX(Config!$E$9:$E$29,MATCH($B469,Config!$B$9:$B$29,0))),""),""))</f>
        <v/>
      </c>
      <c r="AI469" s="19" t="str">
        <f>IF($B469="","",IFERROR(INDEX(Config!$D$9:$D$29,MATCH($B469,Config!$B$9:$B$29,0))&amp;"",""))</f>
        <v/>
      </c>
    </row>
    <row r="470">
      <c r="X470" s="20" t="str">
        <f>IF($B470="","",IFERROR(IF(INDEX(Config!$D$9:$D$29,MATCH($B470,Config!$B$9:$B$29,0))="Contrato",IF(INDEX(Config!$E$9:$E$29,MATCH($B470,Config!$B$9:$B$29,0))="","",INDEX(Config!$E$9:$E$29,MATCH($B470,Config!$B$9:$B$29,0))),""),""))</f>
        <v/>
      </c>
      <c r="AI470" s="19" t="str">
        <f>IF($B470="","",IFERROR(INDEX(Config!$D$9:$D$29,MATCH($B470,Config!$B$9:$B$29,0))&amp;"",""))</f>
        <v/>
      </c>
    </row>
    <row r="471">
      <c r="X471" s="20" t="str">
        <f>IF($B471="","",IFERROR(IF(INDEX(Config!$D$9:$D$29,MATCH($B471,Config!$B$9:$B$29,0))="Contrato",IF(INDEX(Config!$E$9:$E$29,MATCH($B471,Config!$B$9:$B$29,0))="","",INDEX(Config!$E$9:$E$29,MATCH($B471,Config!$B$9:$B$29,0))),""),""))</f>
        <v/>
      </c>
      <c r="AI471" s="19" t="str">
        <f>IF($B471="","",IFERROR(INDEX(Config!$D$9:$D$29,MATCH($B471,Config!$B$9:$B$29,0))&amp;"",""))</f>
        <v/>
      </c>
    </row>
    <row r="472">
      <c r="X472" s="20" t="str">
        <f>IF($B472="","",IFERROR(IF(INDEX(Config!$D$9:$D$29,MATCH($B472,Config!$B$9:$B$29,0))="Contrato",IF(INDEX(Config!$E$9:$E$29,MATCH($B472,Config!$B$9:$B$29,0))="","",INDEX(Config!$E$9:$E$29,MATCH($B472,Config!$B$9:$B$29,0))),""),""))</f>
        <v/>
      </c>
      <c r="AI472" s="19" t="str">
        <f>IF($B472="","",IFERROR(INDEX(Config!$D$9:$D$29,MATCH($B472,Config!$B$9:$B$29,0))&amp;"",""))</f>
        <v/>
      </c>
    </row>
    <row r="473">
      <c r="X473" s="20" t="str">
        <f>IF($B473="","",IFERROR(IF(INDEX(Config!$D$9:$D$29,MATCH($B473,Config!$B$9:$B$29,0))="Contrato",IF(INDEX(Config!$E$9:$E$29,MATCH($B473,Config!$B$9:$B$29,0))="","",INDEX(Config!$E$9:$E$29,MATCH($B473,Config!$B$9:$B$29,0))),""),""))</f>
        <v/>
      </c>
      <c r="AI473" s="19" t="str">
        <f>IF($B473="","",IFERROR(INDEX(Config!$D$9:$D$29,MATCH($B473,Config!$B$9:$B$29,0))&amp;"",""))</f>
        <v/>
      </c>
    </row>
    <row r="474">
      <c r="X474" s="20" t="str">
        <f>IF($B474="","",IFERROR(IF(INDEX(Config!$D$9:$D$29,MATCH($B474,Config!$B$9:$B$29,0))="Contrato",IF(INDEX(Config!$E$9:$E$29,MATCH($B474,Config!$B$9:$B$29,0))="","",INDEX(Config!$E$9:$E$29,MATCH($B474,Config!$B$9:$B$29,0))),""),""))</f>
        <v/>
      </c>
      <c r="AI474" s="19" t="str">
        <f>IF($B474="","",IFERROR(INDEX(Config!$D$9:$D$29,MATCH($B474,Config!$B$9:$B$29,0))&amp;"",""))</f>
        <v/>
      </c>
    </row>
    <row r="475">
      <c r="X475" s="20" t="str">
        <f>IF($B475="","",IFERROR(IF(INDEX(Config!$D$9:$D$29,MATCH($B475,Config!$B$9:$B$29,0))="Contrato",IF(INDEX(Config!$E$9:$E$29,MATCH($B475,Config!$B$9:$B$29,0))="","",INDEX(Config!$E$9:$E$29,MATCH($B475,Config!$B$9:$B$29,0))),""),""))</f>
        <v/>
      </c>
      <c r="AI475" s="19" t="str">
        <f>IF($B475="","",IFERROR(INDEX(Config!$D$9:$D$29,MATCH($B475,Config!$B$9:$B$29,0))&amp;"",""))</f>
        <v/>
      </c>
    </row>
    <row r="476">
      <c r="X476" s="20" t="str">
        <f>IF($B476="","",IFERROR(IF(INDEX(Config!$D$9:$D$29,MATCH($B476,Config!$B$9:$B$29,0))="Contrato",IF(INDEX(Config!$E$9:$E$29,MATCH($B476,Config!$B$9:$B$29,0))="","",INDEX(Config!$E$9:$E$29,MATCH($B476,Config!$B$9:$B$29,0))),""),""))</f>
        <v/>
      </c>
      <c r="AI476" s="19" t="str">
        <f>IF($B476="","",IFERROR(INDEX(Config!$D$9:$D$29,MATCH($B476,Config!$B$9:$B$29,0))&amp;"",""))</f>
        <v/>
      </c>
    </row>
    <row r="477">
      <c r="X477" s="20" t="str">
        <f>IF($B477="","",IFERROR(IF(INDEX(Config!$D$9:$D$29,MATCH($B477,Config!$B$9:$B$29,0))="Contrato",IF(INDEX(Config!$E$9:$E$29,MATCH($B477,Config!$B$9:$B$29,0))="","",INDEX(Config!$E$9:$E$29,MATCH($B477,Config!$B$9:$B$29,0))),""),""))</f>
        <v/>
      </c>
      <c r="AI477" s="19" t="str">
        <f>IF($B477="","",IFERROR(INDEX(Config!$D$9:$D$29,MATCH($B477,Config!$B$9:$B$29,0))&amp;"",""))</f>
        <v/>
      </c>
    </row>
    <row r="478">
      <c r="X478" s="20" t="str">
        <f>IF($B478="","",IFERROR(IF(INDEX(Config!$D$9:$D$29,MATCH($B478,Config!$B$9:$B$29,0))="Contrato",IF(INDEX(Config!$E$9:$E$29,MATCH($B478,Config!$B$9:$B$29,0))="","",INDEX(Config!$E$9:$E$29,MATCH($B478,Config!$B$9:$B$29,0))),""),""))</f>
        <v/>
      </c>
      <c r="AI478" s="19" t="str">
        <f>IF($B478="","",IFERROR(INDEX(Config!$D$9:$D$29,MATCH($B478,Config!$B$9:$B$29,0))&amp;"",""))</f>
        <v/>
      </c>
    </row>
    <row r="479">
      <c r="X479" s="20" t="str">
        <f>IF($B479="","",IFERROR(IF(INDEX(Config!$D$9:$D$29,MATCH($B479,Config!$B$9:$B$29,0))="Contrato",IF(INDEX(Config!$E$9:$E$29,MATCH($B479,Config!$B$9:$B$29,0))="","",INDEX(Config!$E$9:$E$29,MATCH($B479,Config!$B$9:$B$29,0))),""),""))</f>
        <v/>
      </c>
      <c r="AI479" s="19" t="str">
        <f>IF($B479="","",IFERROR(INDEX(Config!$D$9:$D$29,MATCH($B479,Config!$B$9:$B$29,0))&amp;"",""))</f>
        <v/>
      </c>
    </row>
    <row r="480">
      <c r="X480" s="20" t="str">
        <f>IF($B480="","",IFERROR(IF(INDEX(Config!$D$9:$D$29,MATCH($B480,Config!$B$9:$B$29,0))="Contrato",IF(INDEX(Config!$E$9:$E$29,MATCH($B480,Config!$B$9:$B$29,0))="","",INDEX(Config!$E$9:$E$29,MATCH($B480,Config!$B$9:$B$29,0))),""),""))</f>
        <v/>
      </c>
      <c r="AI480" s="19" t="str">
        <f>IF($B480="","",IFERROR(INDEX(Config!$D$9:$D$29,MATCH($B480,Config!$B$9:$B$29,0))&amp;"",""))</f>
        <v/>
      </c>
    </row>
    <row r="481">
      <c r="X481" s="20" t="str">
        <f>IF($B481="","",IFERROR(IF(INDEX(Config!$D$9:$D$29,MATCH($B481,Config!$B$9:$B$29,0))="Contrato",IF(INDEX(Config!$E$9:$E$29,MATCH($B481,Config!$B$9:$B$29,0))="","",INDEX(Config!$E$9:$E$29,MATCH($B481,Config!$B$9:$B$29,0))),""),""))</f>
        <v/>
      </c>
      <c r="AI481" s="19" t="str">
        <f>IF($B481="","",IFERROR(INDEX(Config!$D$9:$D$29,MATCH($B481,Config!$B$9:$B$29,0))&amp;"",""))</f>
        <v/>
      </c>
    </row>
    <row r="482">
      <c r="X482" s="20" t="str">
        <f>IF($B482="","",IFERROR(IF(INDEX(Config!$D$9:$D$29,MATCH($B482,Config!$B$9:$B$29,0))="Contrato",IF(INDEX(Config!$E$9:$E$29,MATCH($B482,Config!$B$9:$B$29,0))="","",INDEX(Config!$E$9:$E$29,MATCH($B482,Config!$B$9:$B$29,0))),""),""))</f>
        <v/>
      </c>
      <c r="AI482" s="19" t="str">
        <f>IF($B482="","",IFERROR(INDEX(Config!$D$9:$D$29,MATCH($B482,Config!$B$9:$B$29,0))&amp;"",""))</f>
        <v/>
      </c>
    </row>
    <row r="483">
      <c r="X483" s="20" t="str">
        <f>IF($B483="","",IFERROR(IF(INDEX(Config!$D$9:$D$29,MATCH($B483,Config!$B$9:$B$29,0))="Contrato",IF(INDEX(Config!$E$9:$E$29,MATCH($B483,Config!$B$9:$B$29,0))="","",INDEX(Config!$E$9:$E$29,MATCH($B483,Config!$B$9:$B$29,0))),""),""))</f>
        <v/>
      </c>
      <c r="AI483" s="19" t="str">
        <f>IF($B483="","",IFERROR(INDEX(Config!$D$9:$D$29,MATCH($B483,Config!$B$9:$B$29,0))&amp;"",""))</f>
        <v/>
      </c>
    </row>
    <row r="484">
      <c r="X484" s="20" t="str">
        <f>IF($B484="","",IFERROR(IF(INDEX(Config!$D$9:$D$29,MATCH($B484,Config!$B$9:$B$29,0))="Contrato",IF(INDEX(Config!$E$9:$E$29,MATCH($B484,Config!$B$9:$B$29,0))="","",INDEX(Config!$E$9:$E$29,MATCH($B484,Config!$B$9:$B$29,0))),""),""))</f>
        <v/>
      </c>
      <c r="AI484" s="19" t="str">
        <f>IF($B484="","",IFERROR(INDEX(Config!$D$9:$D$29,MATCH($B484,Config!$B$9:$B$29,0))&amp;"",""))</f>
        <v/>
      </c>
    </row>
    <row r="485">
      <c r="X485" s="20" t="str">
        <f>IF($B485="","",IFERROR(IF(INDEX(Config!$D$9:$D$29,MATCH($B485,Config!$B$9:$B$29,0))="Contrato",IF(INDEX(Config!$E$9:$E$29,MATCH($B485,Config!$B$9:$B$29,0))="","",INDEX(Config!$E$9:$E$29,MATCH($B485,Config!$B$9:$B$29,0))),""),""))</f>
        <v/>
      </c>
      <c r="AI485" s="19" t="str">
        <f>IF($B485="","",IFERROR(INDEX(Config!$D$9:$D$29,MATCH($B485,Config!$B$9:$B$29,0))&amp;"",""))</f>
        <v/>
      </c>
    </row>
    <row r="486">
      <c r="X486" s="20" t="str">
        <f>IF($B486="","",IFERROR(IF(INDEX(Config!$D$9:$D$29,MATCH($B486,Config!$B$9:$B$29,0))="Contrato",IF(INDEX(Config!$E$9:$E$29,MATCH($B486,Config!$B$9:$B$29,0))="","",INDEX(Config!$E$9:$E$29,MATCH($B486,Config!$B$9:$B$29,0))),""),""))</f>
        <v/>
      </c>
      <c r="AI486" s="19" t="str">
        <f>IF($B486="","",IFERROR(INDEX(Config!$D$9:$D$29,MATCH($B486,Config!$B$9:$B$29,0))&amp;"",""))</f>
        <v/>
      </c>
    </row>
    <row r="487">
      <c r="X487" s="20" t="str">
        <f>IF($B487="","",IFERROR(IF(INDEX(Config!$D$9:$D$29,MATCH($B487,Config!$B$9:$B$29,0))="Contrato",IF(INDEX(Config!$E$9:$E$29,MATCH($B487,Config!$B$9:$B$29,0))="","",INDEX(Config!$E$9:$E$29,MATCH($B487,Config!$B$9:$B$29,0))),""),""))</f>
        <v/>
      </c>
      <c r="AI487" s="19" t="str">
        <f>IF($B487="","",IFERROR(INDEX(Config!$D$9:$D$29,MATCH($B487,Config!$B$9:$B$29,0))&amp;"",""))</f>
        <v/>
      </c>
    </row>
    <row r="488">
      <c r="X488" s="20" t="str">
        <f>IF($B488="","",IFERROR(IF(INDEX(Config!$D$9:$D$29,MATCH($B488,Config!$B$9:$B$29,0))="Contrato",IF(INDEX(Config!$E$9:$E$29,MATCH($B488,Config!$B$9:$B$29,0))="","",INDEX(Config!$E$9:$E$29,MATCH($B488,Config!$B$9:$B$29,0))),""),""))</f>
        <v/>
      </c>
      <c r="AI488" s="19" t="str">
        <f>IF($B488="","",IFERROR(INDEX(Config!$D$9:$D$29,MATCH($B488,Config!$B$9:$B$29,0))&amp;"",""))</f>
        <v/>
      </c>
    </row>
    <row r="489">
      <c r="X489" s="20" t="str">
        <f>IF($B489="","",IFERROR(IF(INDEX(Config!$D$9:$D$29,MATCH($B489,Config!$B$9:$B$29,0))="Contrato",IF(INDEX(Config!$E$9:$E$29,MATCH($B489,Config!$B$9:$B$29,0))="","",INDEX(Config!$E$9:$E$29,MATCH($B489,Config!$B$9:$B$29,0))),""),""))</f>
        <v/>
      </c>
      <c r="AI489" s="19" t="str">
        <f>IF($B489="","",IFERROR(INDEX(Config!$D$9:$D$29,MATCH($B489,Config!$B$9:$B$29,0))&amp;"",""))</f>
        <v/>
      </c>
    </row>
    <row r="490">
      <c r="X490" s="20" t="str">
        <f>IF($B490="","",IFERROR(IF(INDEX(Config!$D$9:$D$29,MATCH($B490,Config!$B$9:$B$29,0))="Contrato",IF(INDEX(Config!$E$9:$E$29,MATCH($B490,Config!$B$9:$B$29,0))="","",INDEX(Config!$E$9:$E$29,MATCH($B490,Config!$B$9:$B$29,0))),""),""))</f>
        <v/>
      </c>
      <c r="AI490" s="19" t="str">
        <f>IF($B490="","",IFERROR(INDEX(Config!$D$9:$D$29,MATCH($B490,Config!$B$9:$B$29,0))&amp;"",""))</f>
        <v/>
      </c>
    </row>
    <row r="491">
      <c r="X491" s="20" t="str">
        <f>IF($B491="","",IFERROR(IF(INDEX(Config!$D$9:$D$29,MATCH($B491,Config!$B$9:$B$29,0))="Contrato",IF(INDEX(Config!$E$9:$E$29,MATCH($B491,Config!$B$9:$B$29,0))="","",INDEX(Config!$E$9:$E$29,MATCH($B491,Config!$B$9:$B$29,0))),""),""))</f>
        <v/>
      </c>
      <c r="AI491" s="19" t="str">
        <f>IF($B491="","",IFERROR(INDEX(Config!$D$9:$D$29,MATCH($B491,Config!$B$9:$B$29,0))&amp;"",""))</f>
        <v/>
      </c>
    </row>
    <row r="492">
      <c r="X492" s="20" t="str">
        <f>IF($B492="","",IFERROR(IF(INDEX(Config!$D$9:$D$29,MATCH($B492,Config!$B$9:$B$29,0))="Contrato",IF(INDEX(Config!$E$9:$E$29,MATCH($B492,Config!$B$9:$B$29,0))="","",INDEX(Config!$E$9:$E$29,MATCH($B492,Config!$B$9:$B$29,0))),""),""))</f>
        <v/>
      </c>
      <c r="AI492" s="19" t="str">
        <f>IF($B492="","",IFERROR(INDEX(Config!$D$9:$D$29,MATCH($B492,Config!$B$9:$B$29,0))&amp;"",""))</f>
        <v/>
      </c>
    </row>
    <row r="493">
      <c r="X493" s="20" t="str">
        <f>IF($B493="","",IFERROR(IF(INDEX(Config!$D$9:$D$29,MATCH($B493,Config!$B$9:$B$29,0))="Contrato",IF(INDEX(Config!$E$9:$E$29,MATCH($B493,Config!$B$9:$B$29,0))="","",INDEX(Config!$E$9:$E$29,MATCH($B493,Config!$B$9:$B$29,0))),""),""))</f>
        <v/>
      </c>
      <c r="AI493" s="19" t="str">
        <f>IF($B493="","",IFERROR(INDEX(Config!$D$9:$D$29,MATCH($B493,Config!$B$9:$B$29,0))&amp;"",""))</f>
        <v/>
      </c>
    </row>
    <row r="494">
      <c r="X494" s="20" t="str">
        <f>IF($B494="","",IFERROR(IF(INDEX(Config!$D$9:$D$29,MATCH($B494,Config!$B$9:$B$29,0))="Contrato",IF(INDEX(Config!$E$9:$E$29,MATCH($B494,Config!$B$9:$B$29,0))="","",INDEX(Config!$E$9:$E$29,MATCH($B494,Config!$B$9:$B$29,0))),""),""))</f>
        <v/>
      </c>
      <c r="AI494" s="19" t="str">
        <f>IF($B494="","",IFERROR(INDEX(Config!$D$9:$D$29,MATCH($B494,Config!$B$9:$B$29,0))&amp;"",""))</f>
        <v/>
      </c>
    </row>
    <row r="495">
      <c r="X495" s="20" t="str">
        <f>IF($B495="","",IFERROR(IF(INDEX(Config!$D$9:$D$29,MATCH($B495,Config!$B$9:$B$29,0))="Contrato",IF(INDEX(Config!$E$9:$E$29,MATCH($B495,Config!$B$9:$B$29,0))="","",INDEX(Config!$E$9:$E$29,MATCH($B495,Config!$B$9:$B$29,0))),""),""))</f>
        <v/>
      </c>
      <c r="AI495" s="19" t="str">
        <f>IF($B495="","",IFERROR(INDEX(Config!$D$9:$D$29,MATCH($B495,Config!$B$9:$B$29,0))&amp;"",""))</f>
        <v/>
      </c>
    </row>
    <row r="496">
      <c r="X496" s="20" t="str">
        <f>IF($B496="","",IFERROR(IF(INDEX(Config!$D$9:$D$29,MATCH($B496,Config!$B$9:$B$29,0))="Contrato",IF(INDEX(Config!$E$9:$E$29,MATCH($B496,Config!$B$9:$B$29,0))="","",INDEX(Config!$E$9:$E$29,MATCH($B496,Config!$B$9:$B$29,0))),""),""))</f>
        <v/>
      </c>
      <c r="AI496" s="19" t="str">
        <f>IF($B496="","",IFERROR(INDEX(Config!$D$9:$D$29,MATCH($B496,Config!$B$9:$B$29,0))&amp;"",""))</f>
        <v/>
      </c>
    </row>
    <row r="497">
      <c r="X497" s="20" t="str">
        <f>IF($B497="","",IFERROR(IF(INDEX(Config!$D$9:$D$29,MATCH($B497,Config!$B$9:$B$29,0))="Contrato",IF(INDEX(Config!$E$9:$E$29,MATCH($B497,Config!$B$9:$B$29,0))="","",INDEX(Config!$E$9:$E$29,MATCH($B497,Config!$B$9:$B$29,0))),""),""))</f>
        <v/>
      </c>
      <c r="AI497" s="19" t="str">
        <f>IF($B497="","",IFERROR(INDEX(Config!$D$9:$D$29,MATCH($B497,Config!$B$9:$B$29,0))&amp;"",""))</f>
        <v/>
      </c>
    </row>
    <row r="498">
      <c r="X498" s="20" t="str">
        <f>IF($B498="","",IFERROR(IF(INDEX(Config!$D$9:$D$29,MATCH($B498,Config!$B$9:$B$29,0))="Contrato",IF(INDEX(Config!$E$9:$E$29,MATCH($B498,Config!$B$9:$B$29,0))="","",INDEX(Config!$E$9:$E$29,MATCH($B498,Config!$B$9:$B$29,0))),""),""))</f>
        <v/>
      </c>
      <c r="AI498" s="19" t="str">
        <f>IF($B498="","",IFERROR(INDEX(Config!$D$9:$D$29,MATCH($B498,Config!$B$9:$B$29,0))&amp;"",""))</f>
        <v/>
      </c>
    </row>
    <row r="499">
      <c r="X499" s="20" t="str">
        <f>IF($B499="","",IFERROR(IF(INDEX(Config!$D$9:$D$29,MATCH($B499,Config!$B$9:$B$29,0))="Contrato",IF(INDEX(Config!$E$9:$E$29,MATCH($B499,Config!$B$9:$B$29,0))="","",INDEX(Config!$E$9:$E$29,MATCH($B499,Config!$B$9:$B$29,0))),""),""))</f>
        <v/>
      </c>
      <c r="AI499" s="19" t="str">
        <f>IF($B499="","",IFERROR(INDEX(Config!$D$9:$D$29,MATCH($B499,Config!$B$9:$B$29,0))&amp;"",""))</f>
        <v/>
      </c>
    </row>
    <row r="500">
      <c r="X500" s="20" t="str">
        <f>IF($B500="","",IFERROR(IF(INDEX(Config!$D$9:$D$29,MATCH($B500,Config!$B$9:$B$29,0))="Contrato",IF(INDEX(Config!$E$9:$E$29,MATCH($B500,Config!$B$9:$B$29,0))="","",INDEX(Config!$E$9:$E$29,MATCH($B500,Config!$B$9:$B$29,0))),""),""))</f>
        <v/>
      </c>
      <c r="AI500" s="19" t="str">
        <f>IF($B500="","",IFERROR(INDEX(Config!$D$9:$D$29,MATCH($B500,Config!$B$9:$B$29,0))&amp;"",""))</f>
        <v/>
      </c>
    </row>
    <row r="501">
      <c r="X501" s="20" t="str">
        <f>IF($B501="","",IFERROR(IF(INDEX(Config!$D$9:$D$29,MATCH($B501,Config!$B$9:$B$29,0))="Contrato",IF(INDEX(Config!$E$9:$E$29,MATCH($B501,Config!$B$9:$B$29,0))="","",INDEX(Config!$E$9:$E$29,MATCH($B501,Config!$B$9:$B$29,0))),""),""))</f>
        <v/>
      </c>
      <c r="AI501" s="19" t="str">
        <f>IF($B501="","",IFERROR(INDEX(Config!$D$9:$D$29,MATCH($B501,Config!$B$9:$B$29,0))&amp;"",""))</f>
        <v/>
      </c>
    </row>
    <row r="502">
      <c r="X502" s="20" t="str">
        <f>IF($B502="","",IFERROR(IF(INDEX(Config!$D$9:$D$29,MATCH($B502,Config!$B$9:$B$29,0))="Contrato",IF(INDEX(Config!$E$9:$E$29,MATCH($B502,Config!$B$9:$B$29,0))="","",INDEX(Config!$E$9:$E$29,MATCH($B502,Config!$B$9:$B$29,0))),""),""))</f>
        <v/>
      </c>
      <c r="AI502" s="19" t="str">
        <f>IF($B502="","",IFERROR(INDEX(Config!$D$9:$D$29,MATCH($B502,Config!$B$9:$B$29,0))&amp;"",""))</f>
        <v/>
      </c>
    </row>
    <row r="503">
      <c r="X503" s="20" t="str">
        <f>IF($B503="","",IFERROR(IF(INDEX(Config!$D$9:$D$29,MATCH($B503,Config!$B$9:$B$29,0))="Contrato",IF(INDEX(Config!$E$9:$E$29,MATCH($B503,Config!$B$9:$B$29,0))="","",INDEX(Config!$E$9:$E$29,MATCH($B503,Config!$B$9:$B$29,0))),""),""))</f>
        <v/>
      </c>
      <c r="AI503" s="19" t="str">
        <f>IF($B503="","",IFERROR(INDEX(Config!$D$9:$D$29,MATCH($B503,Config!$B$9:$B$29,0))&amp;"",""))</f>
        <v/>
      </c>
    </row>
    <row r="504">
      <c r="X504" s="20" t="str">
        <f>IF($B504="","",IFERROR(IF(INDEX(Config!$D$9:$D$29,MATCH($B504,Config!$B$9:$B$29,0))="Contrato",IF(INDEX(Config!$E$9:$E$29,MATCH($B504,Config!$B$9:$B$29,0))="","",INDEX(Config!$E$9:$E$29,MATCH($B504,Config!$B$9:$B$29,0))),""),""))</f>
        <v/>
      </c>
      <c r="AI504" s="19" t="str">
        <f>IF($B504="","",IFERROR(INDEX(Config!$D$9:$D$29,MATCH($B504,Config!$B$9:$B$29,0))&amp;"",""))</f>
        <v/>
      </c>
    </row>
    <row r="505">
      <c r="X505" s="20" t="str">
        <f>IF($B505="","",IFERROR(IF(INDEX(Config!$D$9:$D$29,MATCH($B505,Config!$B$9:$B$29,0))="Contrato",IF(INDEX(Config!$E$9:$E$29,MATCH($B505,Config!$B$9:$B$29,0))="","",INDEX(Config!$E$9:$E$29,MATCH($B505,Config!$B$9:$B$29,0))),""),""))</f>
        <v/>
      </c>
      <c r="AI505" s="19" t="str">
        <f>IF($B505="","",IFERROR(INDEX(Config!$D$9:$D$29,MATCH($B505,Config!$B$9:$B$29,0))&amp;"",""))</f>
        <v/>
      </c>
    </row>
    <row r="506">
      <c r="X506" s="20" t="str">
        <f>IF($B506="","",IFERROR(IF(INDEX(Config!$D$9:$D$29,MATCH($B506,Config!$B$9:$B$29,0))="Contrato",IF(INDEX(Config!$E$9:$E$29,MATCH($B506,Config!$B$9:$B$29,0))="","",INDEX(Config!$E$9:$E$29,MATCH($B506,Config!$B$9:$B$29,0))),""),""))</f>
        <v/>
      </c>
      <c r="AI506" s="19" t="str">
        <f>IF($B506="","",IFERROR(INDEX(Config!$D$9:$D$29,MATCH($B506,Config!$B$9:$B$29,0))&amp;"",""))</f>
        <v/>
      </c>
    </row>
    <row r="507">
      <c r="X507" s="20" t="str">
        <f>IF($B507="","",IFERROR(IF(INDEX(Config!$D$9:$D$29,MATCH($B507,Config!$B$9:$B$29,0))="Contrato",IF(INDEX(Config!$E$9:$E$29,MATCH($B507,Config!$B$9:$B$29,0))="","",INDEX(Config!$E$9:$E$29,MATCH($B507,Config!$B$9:$B$29,0))),""),""))</f>
        <v/>
      </c>
      <c r="AI507" s="19" t="str">
        <f>IF($B507="","",IFERROR(INDEX(Config!$D$9:$D$29,MATCH($B507,Config!$B$9:$B$29,0))&amp;"",""))</f>
        <v/>
      </c>
    </row>
    <row r="508">
      <c r="X508" s="20" t="str">
        <f>IF($B508="","",IFERROR(IF(INDEX(Config!$D$9:$D$29,MATCH($B508,Config!$B$9:$B$29,0))="Contrato",IF(INDEX(Config!$E$9:$E$29,MATCH($B508,Config!$B$9:$B$29,0))="","",INDEX(Config!$E$9:$E$29,MATCH($B508,Config!$B$9:$B$29,0))),""),""))</f>
        <v/>
      </c>
      <c r="AI508" s="19" t="str">
        <f>IF($B508="","",IFERROR(INDEX(Config!$D$9:$D$29,MATCH($B508,Config!$B$9:$B$29,0))&amp;"",""))</f>
        <v/>
      </c>
    </row>
    <row r="509">
      <c r="X509" s="20" t="str">
        <f>IF($B509="","",IFERROR(IF(INDEX(Config!$D$9:$D$29,MATCH($B509,Config!$B$9:$B$29,0))="Contrato",IF(INDEX(Config!$E$9:$E$29,MATCH($B509,Config!$B$9:$B$29,0))="","",INDEX(Config!$E$9:$E$29,MATCH($B509,Config!$B$9:$B$29,0))),""),""))</f>
        <v/>
      </c>
      <c r="AI509" s="19" t="str">
        <f>IF($B509="","",IFERROR(INDEX(Config!$D$9:$D$29,MATCH($B509,Config!$B$9:$B$29,0))&amp;"",""))</f>
        <v/>
      </c>
    </row>
    <row r="510">
      <c r="X510" s="20" t="str">
        <f>IF($B510="","",IFERROR(IF(INDEX(Config!$D$9:$D$29,MATCH($B510,Config!$B$9:$B$29,0))="Contrato",IF(INDEX(Config!$E$9:$E$29,MATCH($B510,Config!$B$9:$B$29,0))="","",INDEX(Config!$E$9:$E$29,MATCH($B510,Config!$B$9:$B$29,0))),""),""))</f>
        <v/>
      </c>
      <c r="AI510" s="19" t="str">
        <f>IF($B510="","",IFERROR(INDEX(Config!$D$9:$D$29,MATCH($B510,Config!$B$9:$B$29,0))&amp;"",""))</f>
        <v/>
      </c>
    </row>
    <row r="511">
      <c r="X511" s="20" t="str">
        <f>IF($B511="","",IFERROR(IF(INDEX(Config!$D$9:$D$29,MATCH($B511,Config!$B$9:$B$29,0))="Contrato",IF(INDEX(Config!$E$9:$E$29,MATCH($B511,Config!$B$9:$B$29,0))="","",INDEX(Config!$E$9:$E$29,MATCH($B511,Config!$B$9:$B$29,0))),""),""))</f>
        <v/>
      </c>
      <c r="AI511" s="19" t="str">
        <f>IF($B511="","",IFERROR(INDEX(Config!$D$9:$D$29,MATCH($B511,Config!$B$9:$B$29,0))&amp;"",""))</f>
        <v/>
      </c>
    </row>
    <row r="512">
      <c r="X512" s="20" t="str">
        <f>IF($B512="","",IFERROR(IF(INDEX(Config!$D$9:$D$29,MATCH($B512,Config!$B$9:$B$29,0))="Contrato",IF(INDEX(Config!$E$9:$E$29,MATCH($B512,Config!$B$9:$B$29,0))="","",INDEX(Config!$E$9:$E$29,MATCH($B512,Config!$B$9:$B$29,0))),""),""))</f>
        <v/>
      </c>
      <c r="AI512" s="19" t="str">
        <f>IF($B512="","",IFERROR(INDEX(Config!$D$9:$D$29,MATCH($B512,Config!$B$9:$B$29,0))&amp;"",""))</f>
        <v/>
      </c>
    </row>
    <row r="513">
      <c r="X513" s="20" t="str">
        <f>IF($B513="","",IFERROR(IF(INDEX(Config!$D$9:$D$29,MATCH($B513,Config!$B$9:$B$29,0))="Contrato",IF(INDEX(Config!$E$9:$E$29,MATCH($B513,Config!$B$9:$B$29,0))="","",INDEX(Config!$E$9:$E$29,MATCH($B513,Config!$B$9:$B$29,0))),""),""))</f>
        <v/>
      </c>
      <c r="AI513" s="19" t="str">
        <f>IF($B513="","",IFERROR(INDEX(Config!$D$9:$D$29,MATCH($B513,Config!$B$9:$B$29,0))&amp;"",""))</f>
        <v/>
      </c>
    </row>
    <row r="514">
      <c r="X514" s="20" t="str">
        <f>IF($B514="","",IFERROR(IF(INDEX(Config!$D$9:$D$29,MATCH($B514,Config!$B$9:$B$29,0))="Contrato",IF(INDEX(Config!$E$9:$E$29,MATCH($B514,Config!$B$9:$B$29,0))="","",INDEX(Config!$E$9:$E$29,MATCH($B514,Config!$B$9:$B$29,0))),""),""))</f>
        <v/>
      </c>
      <c r="AI514" s="19" t="str">
        <f>IF($B514="","",IFERROR(INDEX(Config!$D$9:$D$29,MATCH($B514,Config!$B$9:$B$29,0))&amp;"",""))</f>
        <v/>
      </c>
    </row>
    <row r="515">
      <c r="X515" s="20" t="str">
        <f>IF($B515="","",IFERROR(IF(INDEX(Config!$D$9:$D$29,MATCH($B515,Config!$B$9:$B$29,0))="Contrato",IF(INDEX(Config!$E$9:$E$29,MATCH($B515,Config!$B$9:$B$29,0))="","",INDEX(Config!$E$9:$E$29,MATCH($B515,Config!$B$9:$B$29,0))),""),""))</f>
        <v/>
      </c>
      <c r="AI515" s="19" t="str">
        <f>IF($B515="","",IFERROR(INDEX(Config!$D$9:$D$29,MATCH($B515,Config!$B$9:$B$29,0))&amp;"",""))</f>
        <v/>
      </c>
    </row>
    <row r="516">
      <c r="X516" s="20" t="str">
        <f>IF($B516="","",IFERROR(IF(INDEX(Config!$D$9:$D$29,MATCH($B516,Config!$B$9:$B$29,0))="Contrato",IF(INDEX(Config!$E$9:$E$29,MATCH($B516,Config!$B$9:$B$29,0))="","",INDEX(Config!$E$9:$E$29,MATCH($B516,Config!$B$9:$B$29,0))),""),""))</f>
        <v/>
      </c>
      <c r="AI516" s="19" t="str">
        <f>IF($B516="","",IFERROR(INDEX(Config!$D$9:$D$29,MATCH($B516,Config!$B$9:$B$29,0))&amp;"",""))</f>
        <v/>
      </c>
    </row>
    <row r="517">
      <c r="X517" s="20" t="str">
        <f>IF($B517="","",IFERROR(IF(INDEX(Config!$D$9:$D$29,MATCH($B517,Config!$B$9:$B$29,0))="Contrato",IF(INDEX(Config!$E$9:$E$29,MATCH($B517,Config!$B$9:$B$29,0))="","",INDEX(Config!$E$9:$E$29,MATCH($B517,Config!$B$9:$B$29,0))),""),""))</f>
        <v/>
      </c>
      <c r="AI517" s="19" t="str">
        <f>IF($B517="","",IFERROR(INDEX(Config!$D$9:$D$29,MATCH($B517,Config!$B$9:$B$29,0))&amp;"",""))</f>
        <v/>
      </c>
    </row>
    <row r="518">
      <c r="X518" s="20" t="str">
        <f>IF($B518="","",IFERROR(IF(INDEX(Config!$D$9:$D$29,MATCH($B518,Config!$B$9:$B$29,0))="Contrato",IF(INDEX(Config!$E$9:$E$29,MATCH($B518,Config!$B$9:$B$29,0))="","",INDEX(Config!$E$9:$E$29,MATCH($B518,Config!$B$9:$B$29,0))),""),""))</f>
        <v/>
      </c>
      <c r="AI518" s="19" t="str">
        <f>IF($B518="","",IFERROR(INDEX(Config!$D$9:$D$29,MATCH($B518,Config!$B$9:$B$29,0))&amp;"",""))</f>
        <v/>
      </c>
    </row>
    <row r="519">
      <c r="X519" s="20" t="str">
        <f>IF($B519="","",IFERROR(IF(INDEX(Config!$D$9:$D$29,MATCH($B519,Config!$B$9:$B$29,0))="Contrato",IF(INDEX(Config!$E$9:$E$29,MATCH($B519,Config!$B$9:$B$29,0))="","",INDEX(Config!$E$9:$E$29,MATCH($B519,Config!$B$9:$B$29,0))),""),""))</f>
        <v/>
      </c>
      <c r="AI519" s="19" t="str">
        <f>IF($B519="","",IFERROR(INDEX(Config!$D$9:$D$29,MATCH($B519,Config!$B$9:$B$29,0))&amp;"",""))</f>
        <v/>
      </c>
    </row>
    <row r="520">
      <c r="X520" s="20" t="str">
        <f>IF($B520="","",IFERROR(IF(INDEX(Config!$D$9:$D$29,MATCH($B520,Config!$B$9:$B$29,0))="Contrato",IF(INDEX(Config!$E$9:$E$29,MATCH($B520,Config!$B$9:$B$29,0))="","",INDEX(Config!$E$9:$E$29,MATCH($B520,Config!$B$9:$B$29,0))),""),""))</f>
        <v/>
      </c>
      <c r="AI520" s="19" t="str">
        <f>IF($B520="","",IFERROR(INDEX(Config!$D$9:$D$29,MATCH($B520,Config!$B$9:$B$29,0))&amp;"",""))</f>
        <v/>
      </c>
    </row>
    <row r="521">
      <c r="X521" s="20" t="str">
        <f>IF($B521="","",IFERROR(IF(INDEX(Config!$D$9:$D$29,MATCH($B521,Config!$B$9:$B$29,0))="Contrato",IF(INDEX(Config!$E$9:$E$29,MATCH($B521,Config!$B$9:$B$29,0))="","",INDEX(Config!$E$9:$E$29,MATCH($B521,Config!$B$9:$B$29,0))),""),""))</f>
        <v/>
      </c>
      <c r="AI521" s="19" t="str">
        <f>IF($B521="","",IFERROR(INDEX(Config!$D$9:$D$29,MATCH($B521,Config!$B$9:$B$29,0))&amp;"",""))</f>
        <v/>
      </c>
    </row>
    <row r="522">
      <c r="X522" s="20" t="str">
        <f>IF($B522="","",IFERROR(IF(INDEX(Config!$D$9:$D$29,MATCH($B522,Config!$B$9:$B$29,0))="Contrato",IF(INDEX(Config!$E$9:$E$29,MATCH($B522,Config!$B$9:$B$29,0))="","",INDEX(Config!$E$9:$E$29,MATCH($B522,Config!$B$9:$B$29,0))),""),""))</f>
        <v/>
      </c>
      <c r="AI522" s="19" t="str">
        <f>IF($B522="","",IFERROR(INDEX(Config!$D$9:$D$29,MATCH($B522,Config!$B$9:$B$29,0))&amp;"",""))</f>
        <v/>
      </c>
    </row>
    <row r="523">
      <c r="X523" s="20" t="str">
        <f>IF($B523="","",IFERROR(IF(INDEX(Config!$D$9:$D$29,MATCH($B523,Config!$B$9:$B$29,0))="Contrato",IF(INDEX(Config!$E$9:$E$29,MATCH($B523,Config!$B$9:$B$29,0))="","",INDEX(Config!$E$9:$E$29,MATCH($B523,Config!$B$9:$B$29,0))),""),""))</f>
        <v/>
      </c>
      <c r="AI523" s="19" t="str">
        <f>IF($B523="","",IFERROR(INDEX(Config!$D$9:$D$29,MATCH($B523,Config!$B$9:$B$29,0))&amp;"",""))</f>
        <v/>
      </c>
    </row>
    <row r="524">
      <c r="X524" s="20" t="str">
        <f>IF($B524="","",IFERROR(IF(INDEX(Config!$D$9:$D$29,MATCH($B524,Config!$B$9:$B$29,0))="Contrato",IF(INDEX(Config!$E$9:$E$29,MATCH($B524,Config!$B$9:$B$29,0))="","",INDEX(Config!$E$9:$E$29,MATCH($B524,Config!$B$9:$B$29,0))),""),""))</f>
        <v/>
      </c>
      <c r="AI524" s="19" t="str">
        <f>IF($B524="","",IFERROR(INDEX(Config!$D$9:$D$29,MATCH($B524,Config!$B$9:$B$29,0))&amp;"",""))</f>
        <v/>
      </c>
    </row>
    <row r="525">
      <c r="X525" s="20" t="str">
        <f>IF($B525="","",IFERROR(IF(INDEX(Config!$D$9:$D$29,MATCH($B525,Config!$B$9:$B$29,0))="Contrato",IF(INDEX(Config!$E$9:$E$29,MATCH($B525,Config!$B$9:$B$29,0))="","",INDEX(Config!$E$9:$E$29,MATCH($B525,Config!$B$9:$B$29,0))),""),""))</f>
        <v/>
      </c>
      <c r="AI525" s="19" t="str">
        <f>IF($B525="","",IFERROR(INDEX(Config!$D$9:$D$29,MATCH($B525,Config!$B$9:$B$29,0))&amp;"",""))</f>
        <v/>
      </c>
    </row>
    <row r="526">
      <c r="X526" s="20" t="str">
        <f>IF($B526="","",IFERROR(IF(INDEX(Config!$D$9:$D$29,MATCH($B526,Config!$B$9:$B$29,0))="Contrato",IF(INDEX(Config!$E$9:$E$29,MATCH($B526,Config!$B$9:$B$29,0))="","",INDEX(Config!$E$9:$E$29,MATCH($B526,Config!$B$9:$B$29,0))),""),""))</f>
        <v/>
      </c>
      <c r="AI526" s="19" t="str">
        <f>IF($B526="","",IFERROR(INDEX(Config!$D$9:$D$29,MATCH($B526,Config!$B$9:$B$29,0))&amp;"",""))</f>
        <v/>
      </c>
    </row>
    <row r="527">
      <c r="X527" s="20" t="str">
        <f>IF($B527="","",IFERROR(IF(INDEX(Config!$D$9:$D$29,MATCH($B527,Config!$B$9:$B$29,0))="Contrato",IF(INDEX(Config!$E$9:$E$29,MATCH($B527,Config!$B$9:$B$29,0))="","",INDEX(Config!$E$9:$E$29,MATCH($B527,Config!$B$9:$B$29,0))),""),""))</f>
        <v/>
      </c>
      <c r="AI527" s="19" t="str">
        <f>IF($B527="","",IFERROR(INDEX(Config!$D$9:$D$29,MATCH($B527,Config!$B$9:$B$29,0))&amp;"",""))</f>
        <v/>
      </c>
    </row>
    <row r="528">
      <c r="X528" s="20" t="str">
        <f>IF($B528="","",IFERROR(IF(INDEX(Config!$D$9:$D$29,MATCH($B528,Config!$B$9:$B$29,0))="Contrato",IF(INDEX(Config!$E$9:$E$29,MATCH($B528,Config!$B$9:$B$29,0))="","",INDEX(Config!$E$9:$E$29,MATCH($B528,Config!$B$9:$B$29,0))),""),""))</f>
        <v/>
      </c>
      <c r="AI528" s="19" t="str">
        <f>IF($B528="","",IFERROR(INDEX(Config!$D$9:$D$29,MATCH($B528,Config!$B$9:$B$29,0))&amp;"",""))</f>
        <v/>
      </c>
    </row>
    <row r="529">
      <c r="X529" s="20" t="str">
        <f>IF($B529="","",IFERROR(IF(INDEX(Config!$D$9:$D$29,MATCH($B529,Config!$B$9:$B$29,0))="Contrato",IF(INDEX(Config!$E$9:$E$29,MATCH($B529,Config!$B$9:$B$29,0))="","",INDEX(Config!$E$9:$E$29,MATCH($B529,Config!$B$9:$B$29,0))),""),""))</f>
        <v/>
      </c>
      <c r="AI529" s="19" t="str">
        <f>IF($B529="","",IFERROR(INDEX(Config!$D$9:$D$29,MATCH($B529,Config!$B$9:$B$29,0))&amp;"",""))</f>
        <v/>
      </c>
    </row>
    <row r="530">
      <c r="X530" s="20" t="str">
        <f>IF($B530="","",IFERROR(IF(INDEX(Config!$D$9:$D$29,MATCH($B530,Config!$B$9:$B$29,0))="Contrato",IF(INDEX(Config!$E$9:$E$29,MATCH($B530,Config!$B$9:$B$29,0))="","",INDEX(Config!$E$9:$E$29,MATCH($B530,Config!$B$9:$B$29,0))),""),""))</f>
        <v/>
      </c>
      <c r="AI530" s="19" t="str">
        <f>IF($B530="","",IFERROR(INDEX(Config!$D$9:$D$29,MATCH($B530,Config!$B$9:$B$29,0))&amp;"",""))</f>
        <v/>
      </c>
    </row>
    <row r="531">
      <c r="X531" s="20" t="str">
        <f>IF($B531="","",IFERROR(IF(INDEX(Config!$D$9:$D$29,MATCH($B531,Config!$B$9:$B$29,0))="Contrato",IF(INDEX(Config!$E$9:$E$29,MATCH($B531,Config!$B$9:$B$29,0))="","",INDEX(Config!$E$9:$E$29,MATCH($B531,Config!$B$9:$B$29,0))),""),""))</f>
        <v/>
      </c>
      <c r="AI531" s="19" t="str">
        <f>IF($B531="","",IFERROR(INDEX(Config!$D$9:$D$29,MATCH($B531,Config!$B$9:$B$29,0))&amp;"",""))</f>
        <v/>
      </c>
    </row>
    <row r="532">
      <c r="X532" s="20" t="str">
        <f>IF($B532="","",IFERROR(IF(INDEX(Config!$D$9:$D$29,MATCH($B532,Config!$B$9:$B$29,0))="Contrato",IF(INDEX(Config!$E$9:$E$29,MATCH($B532,Config!$B$9:$B$29,0))="","",INDEX(Config!$E$9:$E$29,MATCH($B532,Config!$B$9:$B$29,0))),""),""))</f>
        <v/>
      </c>
      <c r="AI532" s="19" t="str">
        <f>IF($B532="","",IFERROR(INDEX(Config!$D$9:$D$29,MATCH($B532,Config!$B$9:$B$29,0))&amp;"",""))</f>
        <v/>
      </c>
    </row>
    <row r="533">
      <c r="X533" s="20" t="str">
        <f>IF($B533="","",IFERROR(IF(INDEX(Config!$D$9:$D$29,MATCH($B533,Config!$B$9:$B$29,0))="Contrato",IF(INDEX(Config!$E$9:$E$29,MATCH($B533,Config!$B$9:$B$29,0))="","",INDEX(Config!$E$9:$E$29,MATCH($B533,Config!$B$9:$B$29,0))),""),""))</f>
        <v/>
      </c>
      <c r="AI533" s="19" t="str">
        <f>IF($B533="","",IFERROR(INDEX(Config!$D$9:$D$29,MATCH($B533,Config!$B$9:$B$29,0))&amp;"",""))</f>
        <v/>
      </c>
    </row>
    <row r="534">
      <c r="X534" s="20" t="str">
        <f>IF($B534="","",IFERROR(IF(INDEX(Config!$D$9:$D$29,MATCH($B534,Config!$B$9:$B$29,0))="Contrato",IF(INDEX(Config!$E$9:$E$29,MATCH($B534,Config!$B$9:$B$29,0))="","",INDEX(Config!$E$9:$E$29,MATCH($B534,Config!$B$9:$B$29,0))),""),""))</f>
        <v/>
      </c>
      <c r="AI534" s="19" t="str">
        <f>IF($B534="","",IFERROR(INDEX(Config!$D$9:$D$29,MATCH($B534,Config!$B$9:$B$29,0))&amp;"",""))</f>
        <v/>
      </c>
    </row>
    <row r="535">
      <c r="X535" s="20" t="str">
        <f>IF($B535="","",IFERROR(IF(INDEX(Config!$D$9:$D$29,MATCH($B535,Config!$B$9:$B$29,0))="Contrato",IF(INDEX(Config!$E$9:$E$29,MATCH($B535,Config!$B$9:$B$29,0))="","",INDEX(Config!$E$9:$E$29,MATCH($B535,Config!$B$9:$B$29,0))),""),""))</f>
        <v/>
      </c>
      <c r="AI535" s="19" t="str">
        <f>IF($B535="","",IFERROR(INDEX(Config!$D$9:$D$29,MATCH($B535,Config!$B$9:$B$29,0))&amp;"",""))</f>
        <v/>
      </c>
    </row>
    <row r="536">
      <c r="X536" s="20" t="str">
        <f>IF($B536="","",IFERROR(IF(INDEX(Config!$D$9:$D$29,MATCH($B536,Config!$B$9:$B$29,0))="Contrato",IF(INDEX(Config!$E$9:$E$29,MATCH($B536,Config!$B$9:$B$29,0))="","",INDEX(Config!$E$9:$E$29,MATCH($B536,Config!$B$9:$B$29,0))),""),""))</f>
        <v/>
      </c>
      <c r="AI536" s="19" t="str">
        <f>IF($B536="","",IFERROR(INDEX(Config!$D$9:$D$29,MATCH($B536,Config!$B$9:$B$29,0))&amp;"",""))</f>
        <v/>
      </c>
    </row>
    <row r="537">
      <c r="X537" s="20" t="str">
        <f>IF($B537="","",IFERROR(IF(INDEX(Config!$D$9:$D$29,MATCH($B537,Config!$B$9:$B$29,0))="Contrato",IF(INDEX(Config!$E$9:$E$29,MATCH($B537,Config!$B$9:$B$29,0))="","",INDEX(Config!$E$9:$E$29,MATCH($B537,Config!$B$9:$B$29,0))),""),""))</f>
        <v/>
      </c>
      <c r="AI537" s="19" t="str">
        <f>IF($B537="","",IFERROR(INDEX(Config!$D$9:$D$29,MATCH($B537,Config!$B$9:$B$29,0))&amp;"",""))</f>
        <v/>
      </c>
    </row>
    <row r="538">
      <c r="X538" s="20" t="str">
        <f>IF($B538="","",IFERROR(IF(INDEX(Config!$D$9:$D$29,MATCH($B538,Config!$B$9:$B$29,0))="Contrato",IF(INDEX(Config!$E$9:$E$29,MATCH($B538,Config!$B$9:$B$29,0))="","",INDEX(Config!$E$9:$E$29,MATCH($B538,Config!$B$9:$B$29,0))),""),""))</f>
        <v/>
      </c>
      <c r="AI538" s="19" t="str">
        <f>IF($B538="","",IFERROR(INDEX(Config!$D$9:$D$29,MATCH($B538,Config!$B$9:$B$29,0))&amp;"",""))</f>
        <v/>
      </c>
    </row>
    <row r="539">
      <c r="X539" s="20" t="str">
        <f>IF($B539="","",IFERROR(IF(INDEX(Config!$D$9:$D$29,MATCH($B539,Config!$B$9:$B$29,0))="Contrato",IF(INDEX(Config!$E$9:$E$29,MATCH($B539,Config!$B$9:$B$29,0))="","",INDEX(Config!$E$9:$E$29,MATCH($B539,Config!$B$9:$B$29,0))),""),""))</f>
        <v/>
      </c>
      <c r="AI539" s="19" t="str">
        <f>IF($B539="","",IFERROR(INDEX(Config!$D$9:$D$29,MATCH($B539,Config!$B$9:$B$29,0))&amp;"",""))</f>
        <v/>
      </c>
    </row>
    <row r="540">
      <c r="X540" s="20" t="str">
        <f>IF($B540="","",IFERROR(IF(INDEX(Config!$D$9:$D$29,MATCH($B540,Config!$B$9:$B$29,0))="Contrato",IF(INDEX(Config!$E$9:$E$29,MATCH($B540,Config!$B$9:$B$29,0))="","",INDEX(Config!$E$9:$E$29,MATCH($B540,Config!$B$9:$B$29,0))),""),""))</f>
        <v/>
      </c>
      <c r="AI540" s="19" t="str">
        <f>IF($B540="","",IFERROR(INDEX(Config!$D$9:$D$29,MATCH($B540,Config!$B$9:$B$29,0))&amp;"",""))</f>
        <v/>
      </c>
    </row>
    <row r="541">
      <c r="X541" s="20" t="str">
        <f>IF($B541="","",IFERROR(IF(INDEX(Config!$D$9:$D$29,MATCH($B541,Config!$B$9:$B$29,0))="Contrato",IF(INDEX(Config!$E$9:$E$29,MATCH($B541,Config!$B$9:$B$29,0))="","",INDEX(Config!$E$9:$E$29,MATCH($B541,Config!$B$9:$B$29,0))),""),""))</f>
        <v/>
      </c>
      <c r="AI541" s="19" t="str">
        <f>IF($B541="","",IFERROR(INDEX(Config!$D$9:$D$29,MATCH($B541,Config!$B$9:$B$29,0))&amp;"",""))</f>
        <v/>
      </c>
    </row>
    <row r="542">
      <c r="X542" s="20" t="str">
        <f>IF($B542="","",IFERROR(IF(INDEX(Config!$D$9:$D$29,MATCH($B542,Config!$B$9:$B$29,0))="Contrato",IF(INDEX(Config!$E$9:$E$29,MATCH($B542,Config!$B$9:$B$29,0))="","",INDEX(Config!$E$9:$E$29,MATCH($B542,Config!$B$9:$B$29,0))),""),""))</f>
        <v/>
      </c>
      <c r="AI542" s="19" t="str">
        <f>IF($B542="","",IFERROR(INDEX(Config!$D$9:$D$29,MATCH($B542,Config!$B$9:$B$29,0))&amp;"",""))</f>
        <v/>
      </c>
    </row>
    <row r="543">
      <c r="X543" s="20" t="str">
        <f>IF($B543="","",IFERROR(IF(INDEX(Config!$D$9:$D$29,MATCH($B543,Config!$B$9:$B$29,0))="Contrato",IF(INDEX(Config!$E$9:$E$29,MATCH($B543,Config!$B$9:$B$29,0))="","",INDEX(Config!$E$9:$E$29,MATCH($B543,Config!$B$9:$B$29,0))),""),""))</f>
        <v/>
      </c>
      <c r="AI543" s="19" t="str">
        <f>IF($B543="","",IFERROR(INDEX(Config!$D$9:$D$29,MATCH($B543,Config!$B$9:$B$29,0))&amp;"",""))</f>
        <v/>
      </c>
    </row>
    <row r="544">
      <c r="X544" s="20" t="str">
        <f>IF($B544="","",IFERROR(IF(INDEX(Config!$D$9:$D$29,MATCH($B544,Config!$B$9:$B$29,0))="Contrato",IF(INDEX(Config!$E$9:$E$29,MATCH($B544,Config!$B$9:$B$29,0))="","",INDEX(Config!$E$9:$E$29,MATCH($B544,Config!$B$9:$B$29,0))),""),""))</f>
        <v/>
      </c>
      <c r="AI544" s="19" t="str">
        <f>IF($B544="","",IFERROR(INDEX(Config!$D$9:$D$29,MATCH($B544,Config!$B$9:$B$29,0))&amp;"",""))</f>
        <v/>
      </c>
    </row>
    <row r="545">
      <c r="X545" s="20" t="str">
        <f>IF($B545="","",IFERROR(IF(INDEX(Config!$D$9:$D$29,MATCH($B545,Config!$B$9:$B$29,0))="Contrato",IF(INDEX(Config!$E$9:$E$29,MATCH($B545,Config!$B$9:$B$29,0))="","",INDEX(Config!$E$9:$E$29,MATCH($B545,Config!$B$9:$B$29,0))),""),""))</f>
        <v/>
      </c>
      <c r="AI545" s="19" t="str">
        <f>IF($B545="","",IFERROR(INDEX(Config!$D$9:$D$29,MATCH($B545,Config!$B$9:$B$29,0))&amp;"",""))</f>
        <v/>
      </c>
    </row>
    <row r="546">
      <c r="X546" s="20" t="str">
        <f>IF($B546="","",IFERROR(IF(INDEX(Config!$D$9:$D$29,MATCH($B546,Config!$B$9:$B$29,0))="Contrato",IF(INDEX(Config!$E$9:$E$29,MATCH($B546,Config!$B$9:$B$29,0))="","",INDEX(Config!$E$9:$E$29,MATCH($B546,Config!$B$9:$B$29,0))),""),""))</f>
        <v/>
      </c>
      <c r="AI546" s="19" t="str">
        <f>IF($B546="","",IFERROR(INDEX(Config!$D$9:$D$29,MATCH($B546,Config!$B$9:$B$29,0))&amp;"",""))</f>
        <v/>
      </c>
    </row>
    <row r="547">
      <c r="X547" s="20" t="str">
        <f>IF($B547="","",IFERROR(IF(INDEX(Config!$D$9:$D$29,MATCH($B547,Config!$B$9:$B$29,0))="Contrato",IF(INDEX(Config!$E$9:$E$29,MATCH($B547,Config!$B$9:$B$29,0))="","",INDEX(Config!$E$9:$E$29,MATCH($B547,Config!$B$9:$B$29,0))),""),""))</f>
        <v/>
      </c>
      <c r="AI547" s="19" t="str">
        <f>IF($B547="","",IFERROR(INDEX(Config!$D$9:$D$29,MATCH($B547,Config!$B$9:$B$29,0))&amp;"",""))</f>
        <v/>
      </c>
    </row>
    <row r="548">
      <c r="X548" s="20" t="str">
        <f>IF($B548="","",IFERROR(IF(INDEX(Config!$D$9:$D$29,MATCH($B548,Config!$B$9:$B$29,0))="Contrato",IF(INDEX(Config!$E$9:$E$29,MATCH($B548,Config!$B$9:$B$29,0))="","",INDEX(Config!$E$9:$E$29,MATCH($B548,Config!$B$9:$B$29,0))),""),""))</f>
        <v/>
      </c>
      <c r="AI548" s="19" t="str">
        <f>IF($B548="","",IFERROR(INDEX(Config!$D$9:$D$29,MATCH($B548,Config!$B$9:$B$29,0))&amp;"",""))</f>
        <v/>
      </c>
    </row>
    <row r="549">
      <c r="X549" s="20" t="str">
        <f>IF($B549="","",IFERROR(IF(INDEX(Config!$D$9:$D$29,MATCH($B549,Config!$B$9:$B$29,0))="Contrato",IF(INDEX(Config!$E$9:$E$29,MATCH($B549,Config!$B$9:$B$29,0))="","",INDEX(Config!$E$9:$E$29,MATCH($B549,Config!$B$9:$B$29,0))),""),""))</f>
        <v/>
      </c>
      <c r="AI549" s="19" t="str">
        <f>IF($B549="","",IFERROR(INDEX(Config!$D$9:$D$29,MATCH($B549,Config!$B$9:$B$29,0))&amp;"",""))</f>
        <v/>
      </c>
    </row>
    <row r="550">
      <c r="X550" s="20" t="str">
        <f>IF($B550="","",IFERROR(IF(INDEX(Config!$D$9:$D$29,MATCH($B550,Config!$B$9:$B$29,0))="Contrato",IF(INDEX(Config!$E$9:$E$29,MATCH($B550,Config!$B$9:$B$29,0))="","",INDEX(Config!$E$9:$E$29,MATCH($B550,Config!$B$9:$B$29,0))),""),""))</f>
        <v/>
      </c>
      <c r="AI550" s="19" t="str">
        <f>IF($B550="","",IFERROR(INDEX(Config!$D$9:$D$29,MATCH($B550,Config!$B$9:$B$29,0))&amp;"",""))</f>
        <v/>
      </c>
    </row>
    <row r="551">
      <c r="X551" s="20" t="str">
        <f>IF($B551="","",IFERROR(IF(INDEX(Config!$D$9:$D$29,MATCH($B551,Config!$B$9:$B$29,0))="Contrato",IF(INDEX(Config!$E$9:$E$29,MATCH($B551,Config!$B$9:$B$29,0))="","",INDEX(Config!$E$9:$E$29,MATCH($B551,Config!$B$9:$B$29,0))),""),""))</f>
        <v/>
      </c>
      <c r="AI551" s="19" t="str">
        <f>IF($B551="","",IFERROR(INDEX(Config!$D$9:$D$29,MATCH($B551,Config!$B$9:$B$29,0))&amp;"",""))</f>
        <v/>
      </c>
    </row>
    <row r="552">
      <c r="X552" s="20" t="str">
        <f>IF($B552="","",IFERROR(IF(INDEX(Config!$D$9:$D$29,MATCH($B552,Config!$B$9:$B$29,0))="Contrato",IF(INDEX(Config!$E$9:$E$29,MATCH($B552,Config!$B$9:$B$29,0))="","",INDEX(Config!$E$9:$E$29,MATCH($B552,Config!$B$9:$B$29,0))),""),""))</f>
        <v/>
      </c>
      <c r="AI552" s="19" t="str">
        <f>IF($B552="","",IFERROR(INDEX(Config!$D$9:$D$29,MATCH($B552,Config!$B$9:$B$29,0))&amp;"",""))</f>
        <v/>
      </c>
    </row>
    <row r="553">
      <c r="X553" s="20" t="str">
        <f>IF($B553="","",IFERROR(IF(INDEX(Config!$D$9:$D$29,MATCH($B553,Config!$B$9:$B$29,0))="Contrato",IF(INDEX(Config!$E$9:$E$29,MATCH($B553,Config!$B$9:$B$29,0))="","",INDEX(Config!$E$9:$E$29,MATCH($B553,Config!$B$9:$B$29,0))),""),""))</f>
        <v/>
      </c>
      <c r="AI553" s="19" t="str">
        <f>IF($B553="","",IFERROR(INDEX(Config!$D$9:$D$29,MATCH($B553,Config!$B$9:$B$29,0))&amp;"",""))</f>
        <v/>
      </c>
    </row>
    <row r="554">
      <c r="X554" s="20" t="str">
        <f>IF($B554="","",IFERROR(IF(INDEX(Config!$D$9:$D$29,MATCH($B554,Config!$B$9:$B$29,0))="Contrato",IF(INDEX(Config!$E$9:$E$29,MATCH($B554,Config!$B$9:$B$29,0))="","",INDEX(Config!$E$9:$E$29,MATCH($B554,Config!$B$9:$B$29,0))),""),""))</f>
        <v/>
      </c>
      <c r="AI554" s="19" t="str">
        <f>IF($B554="","",IFERROR(INDEX(Config!$D$9:$D$29,MATCH($B554,Config!$B$9:$B$29,0))&amp;"",""))</f>
        <v/>
      </c>
    </row>
    <row r="555">
      <c r="X555" s="20" t="str">
        <f>IF($B555="","",IFERROR(IF(INDEX(Config!$D$9:$D$29,MATCH($B555,Config!$B$9:$B$29,0))="Contrato",IF(INDEX(Config!$E$9:$E$29,MATCH($B555,Config!$B$9:$B$29,0))="","",INDEX(Config!$E$9:$E$29,MATCH($B555,Config!$B$9:$B$29,0))),""),""))</f>
        <v/>
      </c>
      <c r="AI555" s="19" t="str">
        <f>IF($B555="","",IFERROR(INDEX(Config!$D$9:$D$29,MATCH($B555,Config!$B$9:$B$29,0))&amp;"",""))</f>
        <v/>
      </c>
    </row>
    <row r="556">
      <c r="X556" s="20" t="str">
        <f>IF($B556="","",IFERROR(IF(INDEX(Config!$D$9:$D$29,MATCH($B556,Config!$B$9:$B$29,0))="Contrato",IF(INDEX(Config!$E$9:$E$29,MATCH($B556,Config!$B$9:$B$29,0))="","",INDEX(Config!$E$9:$E$29,MATCH($B556,Config!$B$9:$B$29,0))),""),""))</f>
        <v/>
      </c>
      <c r="AI556" s="19" t="str">
        <f>IF($B556="","",IFERROR(INDEX(Config!$D$9:$D$29,MATCH($B556,Config!$B$9:$B$29,0))&amp;"",""))</f>
        <v/>
      </c>
    </row>
    <row r="557">
      <c r="X557" s="20" t="str">
        <f>IF($B557="","",IFERROR(IF(INDEX(Config!$D$9:$D$29,MATCH($B557,Config!$B$9:$B$29,0))="Contrato",IF(INDEX(Config!$E$9:$E$29,MATCH($B557,Config!$B$9:$B$29,0))="","",INDEX(Config!$E$9:$E$29,MATCH($B557,Config!$B$9:$B$29,0))),""),""))</f>
        <v/>
      </c>
      <c r="AI557" s="19" t="str">
        <f>IF($B557="","",IFERROR(INDEX(Config!$D$9:$D$29,MATCH($B557,Config!$B$9:$B$29,0))&amp;"",""))</f>
        <v/>
      </c>
    </row>
    <row r="558">
      <c r="X558" s="20" t="str">
        <f>IF($B558="","",IFERROR(IF(INDEX(Config!$D$9:$D$29,MATCH($B558,Config!$B$9:$B$29,0))="Contrato",IF(INDEX(Config!$E$9:$E$29,MATCH($B558,Config!$B$9:$B$29,0))="","",INDEX(Config!$E$9:$E$29,MATCH($B558,Config!$B$9:$B$29,0))),""),""))</f>
        <v/>
      </c>
      <c r="AI558" s="19" t="str">
        <f>IF($B558="","",IFERROR(INDEX(Config!$D$9:$D$29,MATCH($B558,Config!$B$9:$B$29,0))&amp;"",""))</f>
        <v/>
      </c>
    </row>
    <row r="559">
      <c r="X559" s="20" t="str">
        <f>IF($B559="","",IFERROR(IF(INDEX(Config!$D$9:$D$29,MATCH($B559,Config!$B$9:$B$29,0))="Contrato",IF(INDEX(Config!$E$9:$E$29,MATCH($B559,Config!$B$9:$B$29,0))="","",INDEX(Config!$E$9:$E$29,MATCH($B559,Config!$B$9:$B$29,0))),""),""))</f>
        <v/>
      </c>
      <c r="AI559" s="19" t="str">
        <f>IF($B559="","",IFERROR(INDEX(Config!$D$9:$D$29,MATCH($B559,Config!$B$9:$B$29,0))&amp;"",""))</f>
        <v/>
      </c>
    </row>
    <row r="560">
      <c r="X560" s="20" t="str">
        <f>IF($B560="","",IFERROR(IF(INDEX(Config!$D$9:$D$29,MATCH($B560,Config!$B$9:$B$29,0))="Contrato",IF(INDEX(Config!$E$9:$E$29,MATCH($B560,Config!$B$9:$B$29,0))="","",INDEX(Config!$E$9:$E$29,MATCH($B560,Config!$B$9:$B$29,0))),""),""))</f>
        <v/>
      </c>
      <c r="AI560" s="19" t="str">
        <f>IF($B560="","",IFERROR(INDEX(Config!$D$9:$D$29,MATCH($B560,Config!$B$9:$B$29,0))&amp;"",""))</f>
        <v/>
      </c>
    </row>
    <row r="561">
      <c r="X561" s="20" t="str">
        <f>IF($B561="","",IFERROR(IF(INDEX(Config!$D$9:$D$29,MATCH($B561,Config!$B$9:$B$29,0))="Contrato",IF(INDEX(Config!$E$9:$E$29,MATCH($B561,Config!$B$9:$B$29,0))="","",INDEX(Config!$E$9:$E$29,MATCH($B561,Config!$B$9:$B$29,0))),""),""))</f>
        <v/>
      </c>
      <c r="AI561" s="19" t="str">
        <f>IF($B561="","",IFERROR(INDEX(Config!$D$9:$D$29,MATCH($B561,Config!$B$9:$B$29,0))&amp;"",""))</f>
        <v/>
      </c>
    </row>
    <row r="562">
      <c r="X562" s="20" t="str">
        <f>IF($B562="","",IFERROR(IF(INDEX(Config!$D$9:$D$29,MATCH($B562,Config!$B$9:$B$29,0))="Contrato",IF(INDEX(Config!$E$9:$E$29,MATCH($B562,Config!$B$9:$B$29,0))="","",INDEX(Config!$E$9:$E$29,MATCH($B562,Config!$B$9:$B$29,0))),""),""))</f>
        <v/>
      </c>
      <c r="AI562" s="19" t="str">
        <f>IF($B562="","",IFERROR(INDEX(Config!$D$9:$D$29,MATCH($B562,Config!$B$9:$B$29,0))&amp;"",""))</f>
        <v/>
      </c>
    </row>
    <row r="563">
      <c r="X563" s="20" t="str">
        <f>IF($B563="","",IFERROR(IF(INDEX(Config!$D$9:$D$29,MATCH($B563,Config!$B$9:$B$29,0))="Contrato",IF(INDEX(Config!$E$9:$E$29,MATCH($B563,Config!$B$9:$B$29,0))="","",INDEX(Config!$E$9:$E$29,MATCH($B563,Config!$B$9:$B$29,0))),""),""))</f>
        <v/>
      </c>
      <c r="AI563" s="19" t="str">
        <f>IF($B563="","",IFERROR(INDEX(Config!$D$9:$D$29,MATCH($B563,Config!$B$9:$B$29,0))&amp;"",""))</f>
        <v/>
      </c>
    </row>
    <row r="564">
      <c r="X564" s="20" t="str">
        <f>IF($B564="","",IFERROR(IF(INDEX(Config!$D$9:$D$29,MATCH($B564,Config!$B$9:$B$29,0))="Contrato",IF(INDEX(Config!$E$9:$E$29,MATCH($B564,Config!$B$9:$B$29,0))="","",INDEX(Config!$E$9:$E$29,MATCH($B564,Config!$B$9:$B$29,0))),""),""))</f>
        <v/>
      </c>
      <c r="AI564" s="19" t="str">
        <f>IF($B564="","",IFERROR(INDEX(Config!$D$9:$D$29,MATCH($B564,Config!$B$9:$B$29,0))&amp;"",""))</f>
        <v/>
      </c>
    </row>
    <row r="565">
      <c r="X565" s="20" t="str">
        <f>IF($B565="","",IFERROR(IF(INDEX(Config!$D$9:$D$29,MATCH($B565,Config!$B$9:$B$29,0))="Contrato",IF(INDEX(Config!$E$9:$E$29,MATCH($B565,Config!$B$9:$B$29,0))="","",INDEX(Config!$E$9:$E$29,MATCH($B565,Config!$B$9:$B$29,0))),""),""))</f>
        <v/>
      </c>
      <c r="AI565" s="19" t="str">
        <f>IF($B565="","",IFERROR(INDEX(Config!$D$9:$D$29,MATCH($B565,Config!$B$9:$B$29,0))&amp;"",""))</f>
        <v/>
      </c>
    </row>
    <row r="566">
      <c r="X566" s="20" t="str">
        <f>IF($B566="","",IFERROR(IF(INDEX(Config!$D$9:$D$29,MATCH($B566,Config!$B$9:$B$29,0))="Contrato",IF(INDEX(Config!$E$9:$E$29,MATCH($B566,Config!$B$9:$B$29,0))="","",INDEX(Config!$E$9:$E$29,MATCH($B566,Config!$B$9:$B$29,0))),""),""))</f>
        <v/>
      </c>
      <c r="AI566" s="19" t="str">
        <f>IF($B566="","",IFERROR(INDEX(Config!$D$9:$D$29,MATCH($B566,Config!$B$9:$B$29,0))&amp;"",""))</f>
        <v/>
      </c>
    </row>
    <row r="567">
      <c r="X567" s="20" t="str">
        <f>IF($B567="","",IFERROR(IF(INDEX(Config!$D$9:$D$29,MATCH($B567,Config!$B$9:$B$29,0))="Contrato",IF(INDEX(Config!$E$9:$E$29,MATCH($B567,Config!$B$9:$B$29,0))="","",INDEX(Config!$E$9:$E$29,MATCH($B567,Config!$B$9:$B$29,0))),""),""))</f>
        <v/>
      </c>
      <c r="AI567" s="19" t="str">
        <f>IF($B567="","",IFERROR(INDEX(Config!$D$9:$D$29,MATCH($B567,Config!$B$9:$B$29,0))&amp;"",""))</f>
        <v/>
      </c>
    </row>
    <row r="568">
      <c r="X568" s="20" t="str">
        <f>IF($B568="","",IFERROR(IF(INDEX(Config!$D$9:$D$29,MATCH($B568,Config!$B$9:$B$29,0))="Contrato",IF(INDEX(Config!$E$9:$E$29,MATCH($B568,Config!$B$9:$B$29,0))="","",INDEX(Config!$E$9:$E$29,MATCH($B568,Config!$B$9:$B$29,0))),""),""))</f>
        <v/>
      </c>
      <c r="AI568" s="19" t="str">
        <f>IF($B568="","",IFERROR(INDEX(Config!$D$9:$D$29,MATCH($B568,Config!$B$9:$B$29,0))&amp;"",""))</f>
        <v/>
      </c>
    </row>
    <row r="569">
      <c r="X569" s="20" t="str">
        <f>IF($B569="","",IFERROR(IF(INDEX(Config!$D$9:$D$29,MATCH($B569,Config!$B$9:$B$29,0))="Contrato",IF(INDEX(Config!$E$9:$E$29,MATCH($B569,Config!$B$9:$B$29,0))="","",INDEX(Config!$E$9:$E$29,MATCH($B569,Config!$B$9:$B$29,0))),""),""))</f>
        <v/>
      </c>
      <c r="AI569" s="19" t="str">
        <f>IF($B569="","",IFERROR(INDEX(Config!$D$9:$D$29,MATCH($B569,Config!$B$9:$B$29,0))&amp;"",""))</f>
        <v/>
      </c>
    </row>
    <row r="570">
      <c r="X570" s="20" t="str">
        <f>IF($B570="","",IFERROR(IF(INDEX(Config!$D$9:$D$29,MATCH($B570,Config!$B$9:$B$29,0))="Contrato",IF(INDEX(Config!$E$9:$E$29,MATCH($B570,Config!$B$9:$B$29,0))="","",INDEX(Config!$E$9:$E$29,MATCH($B570,Config!$B$9:$B$29,0))),""),""))</f>
        <v/>
      </c>
      <c r="AI570" s="19" t="str">
        <f>IF($B570="","",IFERROR(INDEX(Config!$D$9:$D$29,MATCH($B570,Config!$B$9:$B$29,0))&amp;"",""))</f>
        <v/>
      </c>
    </row>
    <row r="571">
      <c r="X571" s="20" t="str">
        <f>IF($B571="","",IFERROR(IF(INDEX(Config!$D$9:$D$29,MATCH($B571,Config!$B$9:$B$29,0))="Contrato",IF(INDEX(Config!$E$9:$E$29,MATCH($B571,Config!$B$9:$B$29,0))="","",INDEX(Config!$E$9:$E$29,MATCH($B571,Config!$B$9:$B$29,0))),""),""))</f>
        <v/>
      </c>
      <c r="AI571" s="19" t="str">
        <f>IF($B571="","",IFERROR(INDEX(Config!$D$9:$D$29,MATCH($B571,Config!$B$9:$B$29,0))&amp;"",""))</f>
        <v/>
      </c>
    </row>
    <row r="572">
      <c r="X572" s="20" t="str">
        <f>IF($B572="","",IFERROR(IF(INDEX(Config!$D$9:$D$29,MATCH($B572,Config!$B$9:$B$29,0))="Contrato",IF(INDEX(Config!$E$9:$E$29,MATCH($B572,Config!$B$9:$B$29,0))="","",INDEX(Config!$E$9:$E$29,MATCH($B572,Config!$B$9:$B$29,0))),""),""))</f>
        <v/>
      </c>
      <c r="AI572" s="19" t="str">
        <f>IF($B572="","",IFERROR(INDEX(Config!$D$9:$D$29,MATCH($B572,Config!$B$9:$B$29,0))&amp;"",""))</f>
        <v/>
      </c>
    </row>
    <row r="573">
      <c r="X573" s="20" t="str">
        <f>IF($B573="","",IFERROR(IF(INDEX(Config!$D$9:$D$29,MATCH($B573,Config!$B$9:$B$29,0))="Contrato",IF(INDEX(Config!$E$9:$E$29,MATCH($B573,Config!$B$9:$B$29,0))="","",INDEX(Config!$E$9:$E$29,MATCH($B573,Config!$B$9:$B$29,0))),""),""))</f>
        <v/>
      </c>
      <c r="AI573" s="19" t="str">
        <f>IF($B573="","",IFERROR(INDEX(Config!$D$9:$D$29,MATCH($B573,Config!$B$9:$B$29,0))&amp;"",""))</f>
        <v/>
      </c>
    </row>
    <row r="574">
      <c r="X574" s="20" t="str">
        <f>IF($B574="","",IFERROR(IF(INDEX(Config!$D$9:$D$29,MATCH($B574,Config!$B$9:$B$29,0))="Contrato",IF(INDEX(Config!$E$9:$E$29,MATCH($B574,Config!$B$9:$B$29,0))="","",INDEX(Config!$E$9:$E$29,MATCH($B574,Config!$B$9:$B$29,0))),""),""))</f>
        <v/>
      </c>
      <c r="AI574" s="19" t="str">
        <f>IF($B574="","",IFERROR(INDEX(Config!$D$9:$D$29,MATCH($B574,Config!$B$9:$B$29,0))&amp;"",""))</f>
        <v/>
      </c>
    </row>
    <row r="575">
      <c r="X575" s="20" t="str">
        <f>IF($B575="","",IFERROR(IF(INDEX(Config!$D$9:$D$29,MATCH($B575,Config!$B$9:$B$29,0))="Contrato",IF(INDEX(Config!$E$9:$E$29,MATCH($B575,Config!$B$9:$B$29,0))="","",INDEX(Config!$E$9:$E$29,MATCH($B575,Config!$B$9:$B$29,0))),""),""))</f>
        <v/>
      </c>
      <c r="AI575" s="19" t="str">
        <f>IF($B575="","",IFERROR(INDEX(Config!$D$9:$D$29,MATCH($B575,Config!$B$9:$B$29,0))&amp;"",""))</f>
        <v/>
      </c>
    </row>
    <row r="576">
      <c r="X576" s="20" t="str">
        <f>IF($B576="","",IFERROR(IF(INDEX(Config!$D$9:$D$29,MATCH($B576,Config!$B$9:$B$29,0))="Contrato",IF(INDEX(Config!$E$9:$E$29,MATCH($B576,Config!$B$9:$B$29,0))="","",INDEX(Config!$E$9:$E$29,MATCH($B576,Config!$B$9:$B$29,0))),""),""))</f>
        <v/>
      </c>
      <c r="AI576" s="19" t="str">
        <f>IF($B576="","",IFERROR(INDEX(Config!$D$9:$D$29,MATCH($B576,Config!$B$9:$B$29,0))&amp;"",""))</f>
        <v/>
      </c>
    </row>
    <row r="577">
      <c r="X577" s="20" t="str">
        <f>IF($B577="","",IFERROR(IF(INDEX(Config!$D$9:$D$29,MATCH($B577,Config!$B$9:$B$29,0))="Contrato",IF(INDEX(Config!$E$9:$E$29,MATCH($B577,Config!$B$9:$B$29,0))="","",INDEX(Config!$E$9:$E$29,MATCH($B577,Config!$B$9:$B$29,0))),""),""))</f>
        <v/>
      </c>
      <c r="AI577" s="19" t="str">
        <f>IF($B577="","",IFERROR(INDEX(Config!$D$9:$D$29,MATCH($B577,Config!$B$9:$B$29,0))&amp;"",""))</f>
        <v/>
      </c>
    </row>
    <row r="578">
      <c r="X578" s="20" t="str">
        <f>IF($B578="","",IFERROR(IF(INDEX(Config!$D$9:$D$29,MATCH($B578,Config!$B$9:$B$29,0))="Contrato",IF(INDEX(Config!$E$9:$E$29,MATCH($B578,Config!$B$9:$B$29,0))="","",INDEX(Config!$E$9:$E$29,MATCH($B578,Config!$B$9:$B$29,0))),""),""))</f>
        <v/>
      </c>
      <c r="AI578" s="19" t="str">
        <f>IF($B578="","",IFERROR(INDEX(Config!$D$9:$D$29,MATCH($B578,Config!$B$9:$B$29,0))&amp;"",""))</f>
        <v/>
      </c>
    </row>
    <row r="579">
      <c r="X579" s="20" t="str">
        <f>IF($B579="","",IFERROR(IF(INDEX(Config!$D$9:$D$29,MATCH($B579,Config!$B$9:$B$29,0))="Contrato",IF(INDEX(Config!$E$9:$E$29,MATCH($B579,Config!$B$9:$B$29,0))="","",INDEX(Config!$E$9:$E$29,MATCH($B579,Config!$B$9:$B$29,0))),""),""))</f>
        <v/>
      </c>
      <c r="AI579" s="19" t="str">
        <f>IF($B579="","",IFERROR(INDEX(Config!$D$9:$D$29,MATCH($B579,Config!$B$9:$B$29,0))&amp;"",""))</f>
        <v/>
      </c>
    </row>
    <row r="580">
      <c r="X580" s="20" t="str">
        <f>IF($B580="","",IFERROR(IF(INDEX(Config!$D$9:$D$29,MATCH($B580,Config!$B$9:$B$29,0))="Contrato",IF(INDEX(Config!$E$9:$E$29,MATCH($B580,Config!$B$9:$B$29,0))="","",INDEX(Config!$E$9:$E$29,MATCH($B580,Config!$B$9:$B$29,0))),""),""))</f>
        <v/>
      </c>
      <c r="AI580" s="19" t="str">
        <f>IF($B580="","",IFERROR(INDEX(Config!$D$9:$D$29,MATCH($B580,Config!$B$9:$B$29,0))&amp;"",""))</f>
        <v/>
      </c>
    </row>
    <row r="581">
      <c r="X581" s="20" t="str">
        <f>IF($B581="","",IFERROR(IF(INDEX(Config!$D$9:$D$29,MATCH($B581,Config!$B$9:$B$29,0))="Contrato",IF(INDEX(Config!$E$9:$E$29,MATCH($B581,Config!$B$9:$B$29,0))="","",INDEX(Config!$E$9:$E$29,MATCH($B581,Config!$B$9:$B$29,0))),""),""))</f>
        <v/>
      </c>
      <c r="AI581" s="19" t="str">
        <f>IF($B581="","",IFERROR(INDEX(Config!$D$9:$D$29,MATCH($B581,Config!$B$9:$B$29,0))&amp;"",""))</f>
        <v/>
      </c>
    </row>
    <row r="582">
      <c r="X582" s="20" t="str">
        <f>IF($B582="","",IFERROR(IF(INDEX(Config!$D$9:$D$29,MATCH($B582,Config!$B$9:$B$29,0))="Contrato",IF(INDEX(Config!$E$9:$E$29,MATCH($B582,Config!$B$9:$B$29,0))="","",INDEX(Config!$E$9:$E$29,MATCH($B582,Config!$B$9:$B$29,0))),""),""))</f>
        <v/>
      </c>
      <c r="AI582" s="19" t="str">
        <f>IF($B582="","",IFERROR(INDEX(Config!$D$9:$D$29,MATCH($B582,Config!$B$9:$B$29,0))&amp;"",""))</f>
        <v/>
      </c>
    </row>
    <row r="583">
      <c r="X583" s="20" t="str">
        <f>IF($B583="","",IFERROR(IF(INDEX(Config!$D$9:$D$29,MATCH($B583,Config!$B$9:$B$29,0))="Contrato",IF(INDEX(Config!$E$9:$E$29,MATCH($B583,Config!$B$9:$B$29,0))="","",INDEX(Config!$E$9:$E$29,MATCH($B583,Config!$B$9:$B$29,0))),""),""))</f>
        <v/>
      </c>
      <c r="AI583" s="19" t="str">
        <f>IF($B583="","",IFERROR(INDEX(Config!$D$9:$D$29,MATCH($B583,Config!$B$9:$B$29,0))&amp;"",""))</f>
        <v/>
      </c>
    </row>
    <row r="584">
      <c r="X584" s="20" t="str">
        <f>IF($B584="","",IFERROR(IF(INDEX(Config!$D$9:$D$29,MATCH($B584,Config!$B$9:$B$29,0))="Contrato",IF(INDEX(Config!$E$9:$E$29,MATCH($B584,Config!$B$9:$B$29,0))="","",INDEX(Config!$E$9:$E$29,MATCH($B584,Config!$B$9:$B$29,0))),""),""))</f>
        <v/>
      </c>
      <c r="AI584" s="19" t="str">
        <f>IF($B584="","",IFERROR(INDEX(Config!$D$9:$D$29,MATCH($B584,Config!$B$9:$B$29,0))&amp;"",""))</f>
        <v/>
      </c>
    </row>
    <row r="585">
      <c r="X585" s="20" t="str">
        <f>IF($B585="","",IFERROR(IF(INDEX(Config!$D$9:$D$29,MATCH($B585,Config!$B$9:$B$29,0))="Contrato",IF(INDEX(Config!$E$9:$E$29,MATCH($B585,Config!$B$9:$B$29,0))="","",INDEX(Config!$E$9:$E$29,MATCH($B585,Config!$B$9:$B$29,0))),""),""))</f>
        <v/>
      </c>
      <c r="AI585" s="19" t="str">
        <f>IF($B585="","",IFERROR(INDEX(Config!$D$9:$D$29,MATCH($B585,Config!$B$9:$B$29,0))&amp;"",""))</f>
        <v/>
      </c>
    </row>
    <row r="586">
      <c r="X586" s="20" t="str">
        <f>IF($B586="","",IFERROR(IF(INDEX(Config!$D$9:$D$29,MATCH($B586,Config!$B$9:$B$29,0))="Contrato",IF(INDEX(Config!$E$9:$E$29,MATCH($B586,Config!$B$9:$B$29,0))="","",INDEX(Config!$E$9:$E$29,MATCH($B586,Config!$B$9:$B$29,0))),""),""))</f>
        <v/>
      </c>
      <c r="AI586" s="19" t="str">
        <f>IF($B586="","",IFERROR(INDEX(Config!$D$9:$D$29,MATCH($B586,Config!$B$9:$B$29,0))&amp;"",""))</f>
        <v/>
      </c>
    </row>
    <row r="587">
      <c r="X587" s="20" t="str">
        <f>IF($B587="","",IFERROR(IF(INDEX(Config!$D$9:$D$29,MATCH($B587,Config!$B$9:$B$29,0))="Contrato",IF(INDEX(Config!$E$9:$E$29,MATCH($B587,Config!$B$9:$B$29,0))="","",INDEX(Config!$E$9:$E$29,MATCH($B587,Config!$B$9:$B$29,0))),""),""))</f>
        <v/>
      </c>
      <c r="AI587" s="19" t="str">
        <f>IF($B587="","",IFERROR(INDEX(Config!$D$9:$D$29,MATCH($B587,Config!$B$9:$B$29,0))&amp;"",""))</f>
        <v/>
      </c>
    </row>
    <row r="588">
      <c r="X588" s="20" t="str">
        <f>IF($B588="","",IFERROR(IF(INDEX(Config!$D$9:$D$29,MATCH($B588,Config!$B$9:$B$29,0))="Contrato",IF(INDEX(Config!$E$9:$E$29,MATCH($B588,Config!$B$9:$B$29,0))="","",INDEX(Config!$E$9:$E$29,MATCH($B588,Config!$B$9:$B$29,0))),""),""))</f>
        <v/>
      </c>
      <c r="AI588" s="19" t="str">
        <f>IF($B588="","",IFERROR(INDEX(Config!$D$9:$D$29,MATCH($B588,Config!$B$9:$B$29,0))&amp;"",""))</f>
        <v/>
      </c>
    </row>
    <row r="589">
      <c r="X589" s="20" t="str">
        <f>IF($B589="","",IFERROR(IF(INDEX(Config!$D$9:$D$29,MATCH($B589,Config!$B$9:$B$29,0))="Contrato",IF(INDEX(Config!$E$9:$E$29,MATCH($B589,Config!$B$9:$B$29,0))="","",INDEX(Config!$E$9:$E$29,MATCH($B589,Config!$B$9:$B$29,0))),""),""))</f>
        <v/>
      </c>
      <c r="AI589" s="19" t="str">
        <f>IF($B589="","",IFERROR(INDEX(Config!$D$9:$D$29,MATCH($B589,Config!$B$9:$B$29,0))&amp;"",""))</f>
        <v/>
      </c>
    </row>
    <row r="590">
      <c r="X590" s="20" t="str">
        <f>IF($B590="","",IFERROR(IF(INDEX(Config!$D$9:$D$29,MATCH($B590,Config!$B$9:$B$29,0))="Contrato",IF(INDEX(Config!$E$9:$E$29,MATCH($B590,Config!$B$9:$B$29,0))="","",INDEX(Config!$E$9:$E$29,MATCH($B590,Config!$B$9:$B$29,0))),""),""))</f>
        <v/>
      </c>
      <c r="AI590" s="19" t="str">
        <f>IF($B590="","",IFERROR(INDEX(Config!$D$9:$D$29,MATCH($B590,Config!$B$9:$B$29,0))&amp;"",""))</f>
        <v/>
      </c>
    </row>
    <row r="591">
      <c r="X591" s="20" t="str">
        <f>IF($B591="","",IFERROR(IF(INDEX(Config!$D$9:$D$29,MATCH($B591,Config!$B$9:$B$29,0))="Contrato",IF(INDEX(Config!$E$9:$E$29,MATCH($B591,Config!$B$9:$B$29,0))="","",INDEX(Config!$E$9:$E$29,MATCH($B591,Config!$B$9:$B$29,0))),""),""))</f>
        <v/>
      </c>
      <c r="AI591" s="19" t="str">
        <f>IF($B591="","",IFERROR(INDEX(Config!$D$9:$D$29,MATCH($B591,Config!$B$9:$B$29,0))&amp;"",""))</f>
        <v/>
      </c>
    </row>
    <row r="592">
      <c r="X592" s="20" t="str">
        <f>IF($B592="","",IFERROR(IF(INDEX(Config!$D$9:$D$29,MATCH($B592,Config!$B$9:$B$29,0))="Contrato",IF(INDEX(Config!$E$9:$E$29,MATCH($B592,Config!$B$9:$B$29,0))="","",INDEX(Config!$E$9:$E$29,MATCH($B592,Config!$B$9:$B$29,0))),""),""))</f>
        <v/>
      </c>
      <c r="AI592" s="19" t="str">
        <f>IF($B592="","",IFERROR(INDEX(Config!$D$9:$D$29,MATCH($B592,Config!$B$9:$B$29,0))&amp;"",""))</f>
        <v/>
      </c>
    </row>
    <row r="593">
      <c r="X593" s="20" t="str">
        <f>IF($B593="","",IFERROR(IF(INDEX(Config!$D$9:$D$29,MATCH($B593,Config!$B$9:$B$29,0))="Contrato",IF(INDEX(Config!$E$9:$E$29,MATCH($B593,Config!$B$9:$B$29,0))="","",INDEX(Config!$E$9:$E$29,MATCH($B593,Config!$B$9:$B$29,0))),""),""))</f>
        <v/>
      </c>
      <c r="AI593" s="19" t="str">
        <f>IF($B593="","",IFERROR(INDEX(Config!$D$9:$D$29,MATCH($B593,Config!$B$9:$B$29,0))&amp;"",""))</f>
        <v/>
      </c>
    </row>
    <row r="594">
      <c r="X594" s="20" t="str">
        <f>IF($B594="","",IFERROR(IF(INDEX(Config!$D$9:$D$29,MATCH($B594,Config!$B$9:$B$29,0))="Contrato",IF(INDEX(Config!$E$9:$E$29,MATCH($B594,Config!$B$9:$B$29,0))="","",INDEX(Config!$E$9:$E$29,MATCH($B594,Config!$B$9:$B$29,0))),""),""))</f>
        <v/>
      </c>
      <c r="AI594" s="19" t="str">
        <f>IF($B594="","",IFERROR(INDEX(Config!$D$9:$D$29,MATCH($B594,Config!$B$9:$B$29,0))&amp;"",""))</f>
        <v/>
      </c>
    </row>
    <row r="595">
      <c r="X595" s="20" t="str">
        <f>IF($B595="","",IFERROR(IF(INDEX(Config!$D$9:$D$29,MATCH($B595,Config!$B$9:$B$29,0))="Contrato",IF(INDEX(Config!$E$9:$E$29,MATCH($B595,Config!$B$9:$B$29,0))="","",INDEX(Config!$E$9:$E$29,MATCH($B595,Config!$B$9:$B$29,0))),""),""))</f>
        <v/>
      </c>
      <c r="AI595" s="19" t="str">
        <f>IF($B595="","",IFERROR(INDEX(Config!$D$9:$D$29,MATCH($B595,Config!$B$9:$B$29,0))&amp;"",""))</f>
        <v/>
      </c>
    </row>
    <row r="596">
      <c r="X596" s="20" t="str">
        <f>IF($B596="","",IFERROR(IF(INDEX(Config!$D$9:$D$29,MATCH($B596,Config!$B$9:$B$29,0))="Contrato",IF(INDEX(Config!$E$9:$E$29,MATCH($B596,Config!$B$9:$B$29,0))="","",INDEX(Config!$E$9:$E$29,MATCH($B596,Config!$B$9:$B$29,0))),""),""))</f>
        <v/>
      </c>
      <c r="AI596" s="19" t="str">
        <f>IF($B596="","",IFERROR(INDEX(Config!$D$9:$D$29,MATCH($B596,Config!$B$9:$B$29,0))&amp;"",""))</f>
        <v/>
      </c>
    </row>
    <row r="597">
      <c r="X597" s="20" t="str">
        <f>IF($B597="","",IFERROR(IF(INDEX(Config!$D$9:$D$29,MATCH($B597,Config!$B$9:$B$29,0))="Contrato",IF(INDEX(Config!$E$9:$E$29,MATCH($B597,Config!$B$9:$B$29,0))="","",INDEX(Config!$E$9:$E$29,MATCH($B597,Config!$B$9:$B$29,0))),""),""))</f>
        <v/>
      </c>
      <c r="AI597" s="19" t="str">
        <f>IF($B597="","",IFERROR(INDEX(Config!$D$9:$D$29,MATCH($B597,Config!$B$9:$B$29,0))&amp;"",""))</f>
        <v/>
      </c>
    </row>
    <row r="598">
      <c r="X598" s="20" t="str">
        <f>IF($B598="","",IFERROR(IF(INDEX(Config!$D$9:$D$29,MATCH($B598,Config!$B$9:$B$29,0))="Contrato",IF(INDEX(Config!$E$9:$E$29,MATCH($B598,Config!$B$9:$B$29,0))="","",INDEX(Config!$E$9:$E$29,MATCH($B598,Config!$B$9:$B$29,0))),""),""))</f>
        <v/>
      </c>
      <c r="AI598" s="19" t="str">
        <f>IF($B598="","",IFERROR(INDEX(Config!$D$9:$D$29,MATCH($B598,Config!$B$9:$B$29,0))&amp;"",""))</f>
        <v/>
      </c>
    </row>
    <row r="599">
      <c r="X599" s="20" t="str">
        <f>IF($B599="","",IFERROR(IF(INDEX(Config!$D$9:$D$29,MATCH($B599,Config!$B$9:$B$29,0))="Contrato",IF(INDEX(Config!$E$9:$E$29,MATCH($B599,Config!$B$9:$B$29,0))="","",INDEX(Config!$E$9:$E$29,MATCH($B599,Config!$B$9:$B$29,0))),""),""))</f>
        <v/>
      </c>
      <c r="AI599" s="19" t="str">
        <f>IF($B599="","",IFERROR(INDEX(Config!$D$9:$D$29,MATCH($B599,Config!$B$9:$B$29,0))&amp;"",""))</f>
        <v/>
      </c>
    </row>
    <row r="600">
      <c r="X600" s="20" t="str">
        <f>IF($B600="","",IFERROR(IF(INDEX(Config!$D$9:$D$29,MATCH($B600,Config!$B$9:$B$29,0))="Contrato",IF(INDEX(Config!$E$9:$E$29,MATCH($B600,Config!$B$9:$B$29,0))="","",INDEX(Config!$E$9:$E$29,MATCH($B600,Config!$B$9:$B$29,0))),""),""))</f>
        <v/>
      </c>
      <c r="AI600" s="19" t="str">
        <f>IF($B600="","",IFERROR(INDEX(Config!$D$9:$D$29,MATCH($B600,Config!$B$9:$B$29,0))&amp;"",""))</f>
        <v/>
      </c>
    </row>
    <row r="601">
      <c r="X601" s="20" t="str">
        <f>IF($B601="","",IFERROR(IF(INDEX(Config!$D$9:$D$29,MATCH($B601,Config!$B$9:$B$29,0))="Contrato",IF(INDEX(Config!$E$9:$E$29,MATCH($B601,Config!$B$9:$B$29,0))="","",INDEX(Config!$E$9:$E$29,MATCH($B601,Config!$B$9:$B$29,0))),""),""))</f>
        <v/>
      </c>
      <c r="AI601" s="19" t="str">
        <f>IF($B601="","",IFERROR(INDEX(Config!$D$9:$D$29,MATCH($B601,Config!$B$9:$B$29,0))&amp;"",""))</f>
        <v/>
      </c>
    </row>
    <row r="602">
      <c r="X602" s="20" t="str">
        <f>IF($B602="","",IFERROR(IF(INDEX(Config!$D$9:$D$29,MATCH($B602,Config!$B$9:$B$29,0))="Contrato",IF(INDEX(Config!$E$9:$E$29,MATCH($B602,Config!$B$9:$B$29,0))="","",INDEX(Config!$E$9:$E$29,MATCH($B602,Config!$B$9:$B$29,0))),""),""))</f>
        <v/>
      </c>
      <c r="AI602" s="19" t="str">
        <f>IF($B602="","",IFERROR(INDEX(Config!$D$9:$D$29,MATCH($B602,Config!$B$9:$B$29,0))&amp;"",""))</f>
        <v/>
      </c>
    </row>
    <row r="603">
      <c r="X603" s="20" t="str">
        <f>IF($B603="","",IFERROR(IF(INDEX(Config!$D$9:$D$29,MATCH($B603,Config!$B$9:$B$29,0))="Contrato",IF(INDEX(Config!$E$9:$E$29,MATCH($B603,Config!$B$9:$B$29,0))="","",INDEX(Config!$E$9:$E$29,MATCH($B603,Config!$B$9:$B$29,0))),""),""))</f>
        <v/>
      </c>
      <c r="AI603" s="19" t="str">
        <f>IF($B603="","",IFERROR(INDEX(Config!$D$9:$D$29,MATCH($B603,Config!$B$9:$B$29,0))&amp;"",""))</f>
        <v/>
      </c>
    </row>
    <row r="604">
      <c r="X604" s="20" t="str">
        <f>IF($B604="","",IFERROR(IF(INDEX(Config!$D$9:$D$29,MATCH($B604,Config!$B$9:$B$29,0))="Contrato",IF(INDEX(Config!$E$9:$E$29,MATCH($B604,Config!$B$9:$B$29,0))="","",INDEX(Config!$E$9:$E$29,MATCH($B604,Config!$B$9:$B$29,0))),""),""))</f>
        <v/>
      </c>
      <c r="AI604" s="19" t="str">
        <f>IF($B604="","",IFERROR(INDEX(Config!$D$9:$D$29,MATCH($B604,Config!$B$9:$B$29,0))&amp;"",""))</f>
        <v/>
      </c>
    </row>
    <row r="605">
      <c r="X605" s="20" t="str">
        <f>IF($B605="","",IFERROR(IF(INDEX(Config!$D$9:$D$29,MATCH($B605,Config!$B$9:$B$29,0))="Contrato",IF(INDEX(Config!$E$9:$E$29,MATCH($B605,Config!$B$9:$B$29,0))="","",INDEX(Config!$E$9:$E$29,MATCH($B605,Config!$B$9:$B$29,0))),""),""))</f>
        <v/>
      </c>
      <c r="AI605" s="19" t="str">
        <f>IF($B605="","",IFERROR(INDEX(Config!$D$9:$D$29,MATCH($B605,Config!$B$9:$B$29,0))&amp;"",""))</f>
        <v/>
      </c>
    </row>
    <row r="606">
      <c r="X606" s="20" t="str">
        <f>IF($B606="","",IFERROR(IF(INDEX(Config!$D$9:$D$29,MATCH($B606,Config!$B$9:$B$29,0))="Contrato",IF(INDEX(Config!$E$9:$E$29,MATCH($B606,Config!$B$9:$B$29,0))="","",INDEX(Config!$E$9:$E$29,MATCH($B606,Config!$B$9:$B$29,0))),""),""))</f>
        <v/>
      </c>
      <c r="AI606" s="19" t="str">
        <f>IF($B606="","",IFERROR(INDEX(Config!$D$9:$D$29,MATCH($B606,Config!$B$9:$B$29,0))&amp;"",""))</f>
        <v/>
      </c>
    </row>
    <row r="607">
      <c r="X607" s="20" t="str">
        <f>IF($B607="","",IFERROR(IF(INDEX(Config!$D$9:$D$29,MATCH($B607,Config!$B$9:$B$29,0))="Contrato",IF(INDEX(Config!$E$9:$E$29,MATCH($B607,Config!$B$9:$B$29,0))="","",INDEX(Config!$E$9:$E$29,MATCH($B607,Config!$B$9:$B$29,0))),""),""))</f>
        <v/>
      </c>
      <c r="AI607" s="19" t="str">
        <f>IF($B607="","",IFERROR(INDEX(Config!$D$9:$D$29,MATCH($B607,Config!$B$9:$B$29,0))&amp;"",""))</f>
        <v/>
      </c>
    </row>
    <row r="608">
      <c r="X608" s="20" t="str">
        <f>IF($B608="","",IFERROR(IF(INDEX(Config!$D$9:$D$29,MATCH($B608,Config!$B$9:$B$29,0))="Contrato",IF(INDEX(Config!$E$9:$E$29,MATCH($B608,Config!$B$9:$B$29,0))="","",INDEX(Config!$E$9:$E$29,MATCH($B608,Config!$B$9:$B$29,0))),""),""))</f>
        <v/>
      </c>
      <c r="AI608" s="19" t="str">
        <f>IF($B608="","",IFERROR(INDEX(Config!$D$9:$D$29,MATCH($B608,Config!$B$9:$B$29,0))&amp;"",""))</f>
        <v/>
      </c>
    </row>
    <row r="609">
      <c r="X609" s="20" t="str">
        <f>IF($B609="","",IFERROR(IF(INDEX(Config!$D$9:$D$29,MATCH($B609,Config!$B$9:$B$29,0))="Contrato",IF(INDEX(Config!$E$9:$E$29,MATCH($B609,Config!$B$9:$B$29,0))="","",INDEX(Config!$E$9:$E$29,MATCH($B609,Config!$B$9:$B$29,0))),""),""))</f>
        <v/>
      </c>
      <c r="AI609" s="19" t="str">
        <f>IF($B609="","",IFERROR(INDEX(Config!$D$9:$D$29,MATCH($B609,Config!$B$9:$B$29,0))&amp;"",""))</f>
        <v/>
      </c>
    </row>
    <row r="610">
      <c r="X610" s="20" t="str">
        <f>IF($B610="","",IFERROR(IF(INDEX(Config!$D$9:$D$29,MATCH($B610,Config!$B$9:$B$29,0))="Contrato",IF(INDEX(Config!$E$9:$E$29,MATCH($B610,Config!$B$9:$B$29,0))="","",INDEX(Config!$E$9:$E$29,MATCH($B610,Config!$B$9:$B$29,0))),""),""))</f>
        <v/>
      </c>
      <c r="AI610" s="19" t="str">
        <f>IF($B610="","",IFERROR(INDEX(Config!$D$9:$D$29,MATCH($B610,Config!$B$9:$B$29,0))&amp;"",""))</f>
        <v/>
      </c>
    </row>
    <row r="611">
      <c r="X611" s="20" t="str">
        <f>IF($B611="","",IFERROR(IF(INDEX(Config!$D$9:$D$29,MATCH($B611,Config!$B$9:$B$29,0))="Contrato",IF(INDEX(Config!$E$9:$E$29,MATCH($B611,Config!$B$9:$B$29,0))="","",INDEX(Config!$E$9:$E$29,MATCH($B611,Config!$B$9:$B$29,0))),""),""))</f>
        <v/>
      </c>
      <c r="AI611" s="19" t="str">
        <f>IF($B611="","",IFERROR(INDEX(Config!$D$9:$D$29,MATCH($B611,Config!$B$9:$B$29,0))&amp;"",""))</f>
        <v/>
      </c>
    </row>
    <row r="612">
      <c r="X612" s="20" t="str">
        <f>IF($B612="","",IFERROR(IF(INDEX(Config!$D$9:$D$29,MATCH($B612,Config!$B$9:$B$29,0))="Contrato",IF(INDEX(Config!$E$9:$E$29,MATCH($B612,Config!$B$9:$B$29,0))="","",INDEX(Config!$E$9:$E$29,MATCH($B612,Config!$B$9:$B$29,0))),""),""))</f>
        <v/>
      </c>
      <c r="AI612" s="19" t="str">
        <f>IF($B612="","",IFERROR(INDEX(Config!$D$9:$D$29,MATCH($B612,Config!$B$9:$B$29,0))&amp;"",""))</f>
        <v/>
      </c>
    </row>
    <row r="613">
      <c r="X613" s="20" t="str">
        <f>IF($B613="","",IFERROR(IF(INDEX(Config!$D$9:$D$29,MATCH($B613,Config!$B$9:$B$29,0))="Contrato",IF(INDEX(Config!$E$9:$E$29,MATCH($B613,Config!$B$9:$B$29,0))="","",INDEX(Config!$E$9:$E$29,MATCH($B613,Config!$B$9:$B$29,0))),""),""))</f>
        <v/>
      </c>
      <c r="AI613" s="19" t="str">
        <f>IF($B613="","",IFERROR(INDEX(Config!$D$9:$D$29,MATCH($B613,Config!$B$9:$B$29,0))&amp;"",""))</f>
        <v/>
      </c>
    </row>
    <row r="614">
      <c r="X614" s="20" t="str">
        <f>IF($B614="","",IFERROR(IF(INDEX(Config!$D$9:$D$29,MATCH($B614,Config!$B$9:$B$29,0))="Contrato",IF(INDEX(Config!$E$9:$E$29,MATCH($B614,Config!$B$9:$B$29,0))="","",INDEX(Config!$E$9:$E$29,MATCH($B614,Config!$B$9:$B$29,0))),""),""))</f>
        <v/>
      </c>
      <c r="AI614" s="19" t="str">
        <f>IF($B614="","",IFERROR(INDEX(Config!$D$9:$D$29,MATCH($B614,Config!$B$9:$B$29,0))&amp;"",""))</f>
        <v/>
      </c>
    </row>
    <row r="615">
      <c r="X615" s="20" t="str">
        <f>IF($B615="","",IFERROR(IF(INDEX(Config!$D$9:$D$29,MATCH($B615,Config!$B$9:$B$29,0))="Contrato",IF(INDEX(Config!$E$9:$E$29,MATCH($B615,Config!$B$9:$B$29,0))="","",INDEX(Config!$E$9:$E$29,MATCH($B615,Config!$B$9:$B$29,0))),""),""))</f>
        <v/>
      </c>
      <c r="AI615" s="19" t="str">
        <f>IF($B615="","",IFERROR(INDEX(Config!$D$9:$D$29,MATCH($B615,Config!$B$9:$B$29,0))&amp;"",""))</f>
        <v/>
      </c>
    </row>
    <row r="616">
      <c r="X616" s="20" t="str">
        <f>IF($B616="","",IFERROR(IF(INDEX(Config!$D$9:$D$29,MATCH($B616,Config!$B$9:$B$29,0))="Contrato",IF(INDEX(Config!$E$9:$E$29,MATCH($B616,Config!$B$9:$B$29,0))="","",INDEX(Config!$E$9:$E$29,MATCH($B616,Config!$B$9:$B$29,0))),""),""))</f>
        <v/>
      </c>
      <c r="AI616" s="19" t="str">
        <f>IF($B616="","",IFERROR(INDEX(Config!$D$9:$D$29,MATCH($B616,Config!$B$9:$B$29,0))&amp;"",""))</f>
        <v/>
      </c>
    </row>
    <row r="617">
      <c r="X617" s="20" t="str">
        <f>IF($B617="","",IFERROR(IF(INDEX(Config!$D$9:$D$29,MATCH($B617,Config!$B$9:$B$29,0))="Contrato",IF(INDEX(Config!$E$9:$E$29,MATCH($B617,Config!$B$9:$B$29,0))="","",INDEX(Config!$E$9:$E$29,MATCH($B617,Config!$B$9:$B$29,0))),""),""))</f>
        <v/>
      </c>
      <c r="AI617" s="19" t="str">
        <f>IF($B617="","",IFERROR(INDEX(Config!$D$9:$D$29,MATCH($B617,Config!$B$9:$B$29,0))&amp;"",""))</f>
        <v/>
      </c>
    </row>
    <row r="618">
      <c r="X618" s="20" t="str">
        <f>IF($B618="","",IFERROR(IF(INDEX(Config!$D$9:$D$29,MATCH($B618,Config!$B$9:$B$29,0))="Contrato",IF(INDEX(Config!$E$9:$E$29,MATCH($B618,Config!$B$9:$B$29,0))="","",INDEX(Config!$E$9:$E$29,MATCH($B618,Config!$B$9:$B$29,0))),""),""))</f>
        <v/>
      </c>
      <c r="AI618" s="19" t="str">
        <f>IF($B618="","",IFERROR(INDEX(Config!$D$9:$D$29,MATCH($B618,Config!$B$9:$B$29,0))&amp;"",""))</f>
        <v/>
      </c>
    </row>
    <row r="619">
      <c r="X619" s="20" t="str">
        <f>IF($B619="","",IFERROR(IF(INDEX(Config!$D$9:$D$29,MATCH($B619,Config!$B$9:$B$29,0))="Contrato",IF(INDEX(Config!$E$9:$E$29,MATCH($B619,Config!$B$9:$B$29,0))="","",INDEX(Config!$E$9:$E$29,MATCH($B619,Config!$B$9:$B$29,0))),""),""))</f>
        <v/>
      </c>
      <c r="AI619" s="19" t="str">
        <f>IF($B619="","",IFERROR(INDEX(Config!$D$9:$D$29,MATCH($B619,Config!$B$9:$B$29,0))&amp;"",""))</f>
        <v/>
      </c>
    </row>
    <row r="620">
      <c r="X620" s="20" t="str">
        <f>IF($B620="","",IFERROR(IF(INDEX(Config!$D$9:$D$29,MATCH($B620,Config!$B$9:$B$29,0))="Contrato",IF(INDEX(Config!$E$9:$E$29,MATCH($B620,Config!$B$9:$B$29,0))="","",INDEX(Config!$E$9:$E$29,MATCH($B620,Config!$B$9:$B$29,0))),""),""))</f>
        <v/>
      </c>
      <c r="AI620" s="19" t="str">
        <f>IF($B620="","",IFERROR(INDEX(Config!$D$9:$D$29,MATCH($B620,Config!$B$9:$B$29,0))&amp;"",""))</f>
        <v/>
      </c>
    </row>
    <row r="621">
      <c r="X621" s="20" t="str">
        <f>IF($B621="","",IFERROR(IF(INDEX(Config!$D$9:$D$29,MATCH($B621,Config!$B$9:$B$29,0))="Contrato",IF(INDEX(Config!$E$9:$E$29,MATCH($B621,Config!$B$9:$B$29,0))="","",INDEX(Config!$E$9:$E$29,MATCH($B621,Config!$B$9:$B$29,0))),""),""))</f>
        <v/>
      </c>
      <c r="AI621" s="19" t="str">
        <f>IF($B621="","",IFERROR(INDEX(Config!$D$9:$D$29,MATCH($B621,Config!$B$9:$B$29,0))&amp;"",""))</f>
        <v/>
      </c>
    </row>
    <row r="622">
      <c r="X622" s="20" t="str">
        <f>IF($B622="","",IFERROR(IF(INDEX(Config!$D$9:$D$29,MATCH($B622,Config!$B$9:$B$29,0))="Contrato",IF(INDEX(Config!$E$9:$E$29,MATCH($B622,Config!$B$9:$B$29,0))="","",INDEX(Config!$E$9:$E$29,MATCH($B622,Config!$B$9:$B$29,0))),""),""))</f>
        <v/>
      </c>
      <c r="AI622" s="19" t="str">
        <f>IF($B622="","",IFERROR(INDEX(Config!$D$9:$D$29,MATCH($B622,Config!$B$9:$B$29,0))&amp;"",""))</f>
        <v/>
      </c>
    </row>
    <row r="623">
      <c r="X623" s="20" t="str">
        <f>IF($B623="","",IFERROR(IF(INDEX(Config!$D$9:$D$29,MATCH($B623,Config!$B$9:$B$29,0))="Contrato",IF(INDEX(Config!$E$9:$E$29,MATCH($B623,Config!$B$9:$B$29,0))="","",INDEX(Config!$E$9:$E$29,MATCH($B623,Config!$B$9:$B$29,0))),""),""))</f>
        <v/>
      </c>
      <c r="AI623" s="19" t="str">
        <f>IF($B623="","",IFERROR(INDEX(Config!$D$9:$D$29,MATCH($B623,Config!$B$9:$B$29,0))&amp;"",""))</f>
        <v/>
      </c>
    </row>
    <row r="624">
      <c r="X624" s="20" t="str">
        <f>IF($B624="","",IFERROR(IF(INDEX(Config!$D$9:$D$29,MATCH($B624,Config!$B$9:$B$29,0))="Contrato",IF(INDEX(Config!$E$9:$E$29,MATCH($B624,Config!$B$9:$B$29,0))="","",INDEX(Config!$E$9:$E$29,MATCH($B624,Config!$B$9:$B$29,0))),""),""))</f>
        <v/>
      </c>
      <c r="AI624" s="19" t="str">
        <f>IF($B624="","",IFERROR(INDEX(Config!$D$9:$D$29,MATCH($B624,Config!$B$9:$B$29,0))&amp;"",""))</f>
        <v/>
      </c>
    </row>
    <row r="625">
      <c r="X625" s="20" t="str">
        <f>IF($B625="","",IFERROR(IF(INDEX(Config!$D$9:$D$29,MATCH($B625,Config!$B$9:$B$29,0))="Contrato",IF(INDEX(Config!$E$9:$E$29,MATCH($B625,Config!$B$9:$B$29,0))="","",INDEX(Config!$E$9:$E$29,MATCH($B625,Config!$B$9:$B$29,0))),""),""))</f>
        <v/>
      </c>
      <c r="AI625" s="19" t="str">
        <f>IF($B625="","",IFERROR(INDEX(Config!$D$9:$D$29,MATCH($B625,Config!$B$9:$B$29,0))&amp;"",""))</f>
        <v/>
      </c>
    </row>
    <row r="626">
      <c r="X626" s="20" t="str">
        <f>IF($B626="","",IFERROR(IF(INDEX(Config!$D$9:$D$29,MATCH($B626,Config!$B$9:$B$29,0))="Contrato",IF(INDEX(Config!$E$9:$E$29,MATCH($B626,Config!$B$9:$B$29,0))="","",INDEX(Config!$E$9:$E$29,MATCH($B626,Config!$B$9:$B$29,0))),""),""))</f>
        <v/>
      </c>
      <c r="AI626" s="19" t="str">
        <f>IF($B626="","",IFERROR(INDEX(Config!$D$9:$D$29,MATCH($B626,Config!$B$9:$B$29,0))&amp;"",""))</f>
        <v/>
      </c>
    </row>
    <row r="627">
      <c r="X627" s="20" t="str">
        <f>IF($B627="","",IFERROR(IF(INDEX(Config!$D$9:$D$29,MATCH($B627,Config!$B$9:$B$29,0))="Contrato",IF(INDEX(Config!$E$9:$E$29,MATCH($B627,Config!$B$9:$B$29,0))="","",INDEX(Config!$E$9:$E$29,MATCH($B627,Config!$B$9:$B$29,0))),""),""))</f>
        <v/>
      </c>
      <c r="AI627" s="19" t="str">
        <f>IF($B627="","",IFERROR(INDEX(Config!$D$9:$D$29,MATCH($B627,Config!$B$9:$B$29,0))&amp;"",""))</f>
        <v/>
      </c>
    </row>
    <row r="628">
      <c r="X628" s="20" t="str">
        <f>IF($B628="","",IFERROR(IF(INDEX(Config!$D$9:$D$29,MATCH($B628,Config!$B$9:$B$29,0))="Contrato",IF(INDEX(Config!$E$9:$E$29,MATCH($B628,Config!$B$9:$B$29,0))="","",INDEX(Config!$E$9:$E$29,MATCH($B628,Config!$B$9:$B$29,0))),""),""))</f>
        <v/>
      </c>
      <c r="AI628" s="19" t="str">
        <f>IF($B628="","",IFERROR(INDEX(Config!$D$9:$D$29,MATCH($B628,Config!$B$9:$B$29,0))&amp;"",""))</f>
        <v/>
      </c>
    </row>
    <row r="629">
      <c r="X629" s="20" t="str">
        <f>IF($B629="","",IFERROR(IF(INDEX(Config!$D$9:$D$29,MATCH($B629,Config!$B$9:$B$29,0))="Contrato",IF(INDEX(Config!$E$9:$E$29,MATCH($B629,Config!$B$9:$B$29,0))="","",INDEX(Config!$E$9:$E$29,MATCH($B629,Config!$B$9:$B$29,0))),""),""))</f>
        <v/>
      </c>
      <c r="AI629" s="19" t="str">
        <f>IF($B629="","",IFERROR(INDEX(Config!$D$9:$D$29,MATCH($B629,Config!$B$9:$B$29,0))&amp;"",""))</f>
        <v/>
      </c>
    </row>
    <row r="630">
      <c r="X630" s="20" t="str">
        <f>IF($B630="","",IFERROR(IF(INDEX(Config!$D$9:$D$29,MATCH($B630,Config!$B$9:$B$29,0))="Contrato",IF(INDEX(Config!$E$9:$E$29,MATCH($B630,Config!$B$9:$B$29,0))="","",INDEX(Config!$E$9:$E$29,MATCH($B630,Config!$B$9:$B$29,0))),""),""))</f>
        <v/>
      </c>
      <c r="AI630" s="19" t="str">
        <f>IF($B630="","",IFERROR(INDEX(Config!$D$9:$D$29,MATCH($B630,Config!$B$9:$B$29,0))&amp;"",""))</f>
        <v/>
      </c>
    </row>
    <row r="631">
      <c r="X631" s="20" t="str">
        <f>IF($B631="","",IFERROR(IF(INDEX(Config!$D$9:$D$29,MATCH($B631,Config!$B$9:$B$29,0))="Contrato",IF(INDEX(Config!$E$9:$E$29,MATCH($B631,Config!$B$9:$B$29,0))="","",INDEX(Config!$E$9:$E$29,MATCH($B631,Config!$B$9:$B$29,0))),""),""))</f>
        <v/>
      </c>
      <c r="AI631" s="19" t="str">
        <f>IF($B631="","",IFERROR(INDEX(Config!$D$9:$D$29,MATCH($B631,Config!$B$9:$B$29,0))&amp;"",""))</f>
        <v/>
      </c>
    </row>
    <row r="632">
      <c r="X632" s="20" t="str">
        <f>IF($B632="","",IFERROR(IF(INDEX(Config!$D$9:$D$29,MATCH($B632,Config!$B$9:$B$29,0))="Contrato",IF(INDEX(Config!$E$9:$E$29,MATCH($B632,Config!$B$9:$B$29,0))="","",INDEX(Config!$E$9:$E$29,MATCH($B632,Config!$B$9:$B$29,0))),""),""))</f>
        <v/>
      </c>
      <c r="AI632" s="19" t="str">
        <f>IF($B632="","",IFERROR(INDEX(Config!$D$9:$D$29,MATCH($B632,Config!$B$9:$B$29,0))&amp;"",""))</f>
        <v/>
      </c>
    </row>
    <row r="633">
      <c r="X633" s="20" t="str">
        <f>IF($B633="","",IFERROR(IF(INDEX(Config!$D$9:$D$29,MATCH($B633,Config!$B$9:$B$29,0))="Contrato",IF(INDEX(Config!$E$9:$E$29,MATCH($B633,Config!$B$9:$B$29,0))="","",INDEX(Config!$E$9:$E$29,MATCH($B633,Config!$B$9:$B$29,0))),""),""))</f>
        <v/>
      </c>
      <c r="AI633" s="19" t="str">
        <f>IF($B633="","",IFERROR(INDEX(Config!$D$9:$D$29,MATCH($B633,Config!$B$9:$B$29,0))&amp;"",""))</f>
        <v/>
      </c>
    </row>
    <row r="634">
      <c r="X634" s="20" t="str">
        <f>IF($B634="","",IFERROR(IF(INDEX(Config!$D$9:$D$29,MATCH($B634,Config!$B$9:$B$29,0))="Contrato",IF(INDEX(Config!$E$9:$E$29,MATCH($B634,Config!$B$9:$B$29,0))="","",INDEX(Config!$E$9:$E$29,MATCH($B634,Config!$B$9:$B$29,0))),""),""))</f>
        <v/>
      </c>
      <c r="AI634" s="19" t="str">
        <f>IF($B634="","",IFERROR(INDEX(Config!$D$9:$D$29,MATCH($B634,Config!$B$9:$B$29,0))&amp;"",""))</f>
        <v/>
      </c>
    </row>
    <row r="635">
      <c r="X635" s="20" t="str">
        <f>IF($B635="","",IFERROR(IF(INDEX(Config!$D$9:$D$29,MATCH($B635,Config!$B$9:$B$29,0))="Contrato",IF(INDEX(Config!$E$9:$E$29,MATCH($B635,Config!$B$9:$B$29,0))="","",INDEX(Config!$E$9:$E$29,MATCH($B635,Config!$B$9:$B$29,0))),""),""))</f>
        <v/>
      </c>
      <c r="AI635" s="19" t="str">
        <f>IF($B635="","",IFERROR(INDEX(Config!$D$9:$D$29,MATCH($B635,Config!$B$9:$B$29,0))&amp;"",""))</f>
        <v/>
      </c>
    </row>
    <row r="636">
      <c r="X636" s="20" t="str">
        <f>IF($B636="","",IFERROR(IF(INDEX(Config!$D$9:$D$29,MATCH($B636,Config!$B$9:$B$29,0))="Contrato",IF(INDEX(Config!$E$9:$E$29,MATCH($B636,Config!$B$9:$B$29,0))="","",INDEX(Config!$E$9:$E$29,MATCH($B636,Config!$B$9:$B$29,0))),""),""))</f>
        <v/>
      </c>
      <c r="AI636" s="19" t="str">
        <f>IF($B636="","",IFERROR(INDEX(Config!$D$9:$D$29,MATCH($B636,Config!$B$9:$B$29,0))&amp;"",""))</f>
        <v/>
      </c>
    </row>
    <row r="637">
      <c r="X637" s="20" t="str">
        <f>IF($B637="","",IFERROR(IF(INDEX(Config!$D$9:$D$29,MATCH($B637,Config!$B$9:$B$29,0))="Contrato",IF(INDEX(Config!$E$9:$E$29,MATCH($B637,Config!$B$9:$B$29,0))="","",INDEX(Config!$E$9:$E$29,MATCH($B637,Config!$B$9:$B$29,0))),""),""))</f>
        <v/>
      </c>
      <c r="AI637" s="19" t="str">
        <f>IF($B637="","",IFERROR(INDEX(Config!$D$9:$D$29,MATCH($B637,Config!$B$9:$B$29,0))&amp;"",""))</f>
        <v/>
      </c>
    </row>
    <row r="638">
      <c r="X638" s="20" t="str">
        <f>IF($B638="","",IFERROR(IF(INDEX(Config!$D$9:$D$29,MATCH($B638,Config!$B$9:$B$29,0))="Contrato",IF(INDEX(Config!$E$9:$E$29,MATCH($B638,Config!$B$9:$B$29,0))="","",INDEX(Config!$E$9:$E$29,MATCH($B638,Config!$B$9:$B$29,0))),""),""))</f>
        <v/>
      </c>
      <c r="AI638" s="19" t="str">
        <f>IF($B638="","",IFERROR(INDEX(Config!$D$9:$D$29,MATCH($B638,Config!$B$9:$B$29,0))&amp;"",""))</f>
        <v/>
      </c>
    </row>
    <row r="639">
      <c r="X639" s="20" t="str">
        <f>IF($B639="","",IFERROR(IF(INDEX(Config!$D$9:$D$29,MATCH($B639,Config!$B$9:$B$29,0))="Contrato",IF(INDEX(Config!$E$9:$E$29,MATCH($B639,Config!$B$9:$B$29,0))="","",INDEX(Config!$E$9:$E$29,MATCH($B639,Config!$B$9:$B$29,0))),""),""))</f>
        <v/>
      </c>
      <c r="AI639" s="19" t="str">
        <f>IF($B639="","",IFERROR(INDEX(Config!$D$9:$D$29,MATCH($B639,Config!$B$9:$B$29,0))&amp;"",""))</f>
        <v/>
      </c>
    </row>
    <row r="640">
      <c r="X640" s="20" t="str">
        <f>IF($B640="","",IFERROR(IF(INDEX(Config!$D$9:$D$29,MATCH($B640,Config!$B$9:$B$29,0))="Contrato",IF(INDEX(Config!$E$9:$E$29,MATCH($B640,Config!$B$9:$B$29,0))="","",INDEX(Config!$E$9:$E$29,MATCH($B640,Config!$B$9:$B$29,0))),""),""))</f>
        <v/>
      </c>
      <c r="AI640" s="19" t="str">
        <f>IF($B640="","",IFERROR(INDEX(Config!$D$9:$D$29,MATCH($B640,Config!$B$9:$B$29,0))&amp;"",""))</f>
        <v/>
      </c>
    </row>
    <row r="641">
      <c r="X641" s="20" t="str">
        <f>IF($B641="","",IFERROR(IF(INDEX(Config!$D$9:$D$29,MATCH($B641,Config!$B$9:$B$29,0))="Contrato",IF(INDEX(Config!$E$9:$E$29,MATCH($B641,Config!$B$9:$B$29,0))="","",INDEX(Config!$E$9:$E$29,MATCH($B641,Config!$B$9:$B$29,0))),""),""))</f>
        <v/>
      </c>
      <c r="AI641" s="19" t="str">
        <f>IF($B641="","",IFERROR(INDEX(Config!$D$9:$D$29,MATCH($B641,Config!$B$9:$B$29,0))&amp;"",""))</f>
        <v/>
      </c>
    </row>
    <row r="642">
      <c r="X642" s="20" t="str">
        <f>IF($B642="","",IFERROR(IF(INDEX(Config!$D$9:$D$29,MATCH($B642,Config!$B$9:$B$29,0))="Contrato",IF(INDEX(Config!$E$9:$E$29,MATCH($B642,Config!$B$9:$B$29,0))="","",INDEX(Config!$E$9:$E$29,MATCH($B642,Config!$B$9:$B$29,0))),""),""))</f>
        <v/>
      </c>
      <c r="AI642" s="19" t="str">
        <f>IF($B642="","",IFERROR(INDEX(Config!$D$9:$D$29,MATCH($B642,Config!$B$9:$B$29,0))&amp;"",""))</f>
        <v/>
      </c>
    </row>
    <row r="643">
      <c r="X643" s="20" t="str">
        <f>IF($B643="","",IFERROR(IF(INDEX(Config!$D$9:$D$29,MATCH($B643,Config!$B$9:$B$29,0))="Contrato",IF(INDEX(Config!$E$9:$E$29,MATCH($B643,Config!$B$9:$B$29,0))="","",INDEX(Config!$E$9:$E$29,MATCH($B643,Config!$B$9:$B$29,0))),""),""))</f>
        <v/>
      </c>
      <c r="AI643" s="19" t="str">
        <f>IF($B643="","",IFERROR(INDEX(Config!$D$9:$D$29,MATCH($B643,Config!$B$9:$B$29,0))&amp;"",""))</f>
        <v/>
      </c>
    </row>
    <row r="644">
      <c r="X644" s="20" t="str">
        <f>IF($B644="","",IFERROR(IF(INDEX(Config!$D$9:$D$29,MATCH($B644,Config!$B$9:$B$29,0))="Contrato",IF(INDEX(Config!$E$9:$E$29,MATCH($B644,Config!$B$9:$B$29,0))="","",INDEX(Config!$E$9:$E$29,MATCH($B644,Config!$B$9:$B$29,0))),""),""))</f>
        <v/>
      </c>
      <c r="AI644" s="19" t="str">
        <f>IF($B644="","",IFERROR(INDEX(Config!$D$9:$D$29,MATCH($B644,Config!$B$9:$B$29,0))&amp;"",""))</f>
        <v/>
      </c>
    </row>
    <row r="645">
      <c r="X645" s="20" t="str">
        <f>IF($B645="","",IFERROR(IF(INDEX(Config!$D$9:$D$29,MATCH($B645,Config!$B$9:$B$29,0))="Contrato",IF(INDEX(Config!$E$9:$E$29,MATCH($B645,Config!$B$9:$B$29,0))="","",INDEX(Config!$E$9:$E$29,MATCH($B645,Config!$B$9:$B$29,0))),""),""))</f>
        <v/>
      </c>
      <c r="AI645" s="19" t="str">
        <f>IF($B645="","",IFERROR(INDEX(Config!$D$9:$D$29,MATCH($B645,Config!$B$9:$B$29,0))&amp;"",""))</f>
        <v/>
      </c>
    </row>
    <row r="646">
      <c r="X646" s="20" t="str">
        <f>IF($B646="","",IFERROR(IF(INDEX(Config!$D$9:$D$29,MATCH($B646,Config!$B$9:$B$29,0))="Contrato",IF(INDEX(Config!$E$9:$E$29,MATCH($B646,Config!$B$9:$B$29,0))="","",INDEX(Config!$E$9:$E$29,MATCH($B646,Config!$B$9:$B$29,0))),""),""))</f>
        <v/>
      </c>
      <c r="AI646" s="19" t="str">
        <f>IF($B646="","",IFERROR(INDEX(Config!$D$9:$D$29,MATCH($B646,Config!$B$9:$B$29,0))&amp;"",""))</f>
        <v/>
      </c>
    </row>
    <row r="647">
      <c r="X647" s="20" t="str">
        <f>IF($B647="","",IFERROR(IF(INDEX(Config!$D$9:$D$29,MATCH($B647,Config!$B$9:$B$29,0))="Contrato",IF(INDEX(Config!$E$9:$E$29,MATCH($B647,Config!$B$9:$B$29,0))="","",INDEX(Config!$E$9:$E$29,MATCH($B647,Config!$B$9:$B$29,0))),""),""))</f>
        <v/>
      </c>
      <c r="AI647" s="19" t="str">
        <f>IF($B647="","",IFERROR(INDEX(Config!$D$9:$D$29,MATCH($B647,Config!$B$9:$B$29,0))&amp;"",""))</f>
        <v/>
      </c>
    </row>
    <row r="648">
      <c r="X648" s="20" t="str">
        <f>IF($B648="","",IFERROR(IF(INDEX(Config!$D$9:$D$29,MATCH($B648,Config!$B$9:$B$29,0))="Contrato",IF(INDEX(Config!$E$9:$E$29,MATCH($B648,Config!$B$9:$B$29,0))="","",INDEX(Config!$E$9:$E$29,MATCH($B648,Config!$B$9:$B$29,0))),""),""))</f>
        <v/>
      </c>
      <c r="AI648" s="19" t="str">
        <f>IF($B648="","",IFERROR(INDEX(Config!$D$9:$D$29,MATCH($B648,Config!$B$9:$B$29,0))&amp;"",""))</f>
        <v/>
      </c>
    </row>
    <row r="649">
      <c r="X649" s="20" t="str">
        <f>IF($B649="","",IFERROR(IF(INDEX(Config!$D$9:$D$29,MATCH($B649,Config!$B$9:$B$29,0))="Contrato",IF(INDEX(Config!$E$9:$E$29,MATCH($B649,Config!$B$9:$B$29,0))="","",INDEX(Config!$E$9:$E$29,MATCH($B649,Config!$B$9:$B$29,0))),""),""))</f>
        <v/>
      </c>
      <c r="AI649" s="19" t="str">
        <f>IF($B649="","",IFERROR(INDEX(Config!$D$9:$D$29,MATCH($B649,Config!$B$9:$B$29,0))&amp;"",""))</f>
        <v/>
      </c>
    </row>
    <row r="650">
      <c r="X650" s="20" t="str">
        <f>IF($B650="","",IFERROR(IF(INDEX(Config!$D$9:$D$29,MATCH($B650,Config!$B$9:$B$29,0))="Contrato",IF(INDEX(Config!$E$9:$E$29,MATCH($B650,Config!$B$9:$B$29,0))="","",INDEX(Config!$E$9:$E$29,MATCH($B650,Config!$B$9:$B$29,0))),""),""))</f>
        <v/>
      </c>
      <c r="AI650" s="19" t="str">
        <f>IF($B650="","",IFERROR(INDEX(Config!$D$9:$D$29,MATCH($B650,Config!$B$9:$B$29,0))&amp;"",""))</f>
        <v/>
      </c>
    </row>
    <row r="651">
      <c r="X651" s="20" t="str">
        <f>IF($B651="","",IFERROR(IF(INDEX(Config!$D$9:$D$29,MATCH($B651,Config!$B$9:$B$29,0))="Contrato",IF(INDEX(Config!$E$9:$E$29,MATCH($B651,Config!$B$9:$B$29,0))="","",INDEX(Config!$E$9:$E$29,MATCH($B651,Config!$B$9:$B$29,0))),""),""))</f>
        <v/>
      </c>
      <c r="AI651" s="19" t="str">
        <f>IF($B651="","",IFERROR(INDEX(Config!$D$9:$D$29,MATCH($B651,Config!$B$9:$B$29,0))&amp;"",""))</f>
        <v/>
      </c>
    </row>
    <row r="652">
      <c r="X652" s="20" t="str">
        <f>IF($B652="","",IFERROR(IF(INDEX(Config!$D$9:$D$29,MATCH($B652,Config!$B$9:$B$29,0))="Contrato",IF(INDEX(Config!$E$9:$E$29,MATCH($B652,Config!$B$9:$B$29,0))="","",INDEX(Config!$E$9:$E$29,MATCH($B652,Config!$B$9:$B$29,0))),""),""))</f>
        <v/>
      </c>
      <c r="AI652" s="19" t="str">
        <f>IF($B652="","",IFERROR(INDEX(Config!$D$9:$D$29,MATCH($B652,Config!$B$9:$B$29,0))&amp;"",""))</f>
        <v/>
      </c>
    </row>
    <row r="653">
      <c r="X653" s="20" t="str">
        <f>IF($B653="","",IFERROR(IF(INDEX(Config!$D$9:$D$29,MATCH($B653,Config!$B$9:$B$29,0))="Contrato",IF(INDEX(Config!$E$9:$E$29,MATCH($B653,Config!$B$9:$B$29,0))="","",INDEX(Config!$E$9:$E$29,MATCH($B653,Config!$B$9:$B$29,0))),""),""))</f>
        <v/>
      </c>
      <c r="AI653" s="19" t="str">
        <f>IF($B653="","",IFERROR(INDEX(Config!$D$9:$D$29,MATCH($B653,Config!$B$9:$B$29,0))&amp;"",""))</f>
        <v/>
      </c>
    </row>
    <row r="654">
      <c r="X654" s="20" t="str">
        <f>IF($B654="","",IFERROR(IF(INDEX(Config!$D$9:$D$29,MATCH($B654,Config!$B$9:$B$29,0))="Contrato",IF(INDEX(Config!$E$9:$E$29,MATCH($B654,Config!$B$9:$B$29,0))="","",INDEX(Config!$E$9:$E$29,MATCH($B654,Config!$B$9:$B$29,0))),""),""))</f>
        <v/>
      </c>
      <c r="AI654" s="19" t="str">
        <f>IF($B654="","",IFERROR(INDEX(Config!$D$9:$D$29,MATCH($B654,Config!$B$9:$B$29,0))&amp;"",""))</f>
        <v/>
      </c>
    </row>
    <row r="655">
      <c r="X655" s="20" t="str">
        <f>IF($B655="","",IFERROR(IF(INDEX(Config!$D$9:$D$29,MATCH($B655,Config!$B$9:$B$29,0))="Contrato",IF(INDEX(Config!$E$9:$E$29,MATCH($B655,Config!$B$9:$B$29,0))="","",INDEX(Config!$E$9:$E$29,MATCH($B655,Config!$B$9:$B$29,0))),""),""))</f>
        <v/>
      </c>
      <c r="AI655" s="19" t="str">
        <f>IF($B655="","",IFERROR(INDEX(Config!$D$9:$D$29,MATCH($B655,Config!$B$9:$B$29,0))&amp;"",""))</f>
        <v/>
      </c>
    </row>
    <row r="656">
      <c r="X656" s="20" t="str">
        <f>IF($B656="","",IFERROR(IF(INDEX(Config!$D$9:$D$29,MATCH($B656,Config!$B$9:$B$29,0))="Contrato",IF(INDEX(Config!$E$9:$E$29,MATCH($B656,Config!$B$9:$B$29,0))="","",INDEX(Config!$E$9:$E$29,MATCH($B656,Config!$B$9:$B$29,0))),""),""))</f>
        <v/>
      </c>
      <c r="AI656" s="19" t="str">
        <f>IF($B656="","",IFERROR(INDEX(Config!$D$9:$D$29,MATCH($B656,Config!$B$9:$B$29,0))&amp;"",""))</f>
        <v/>
      </c>
    </row>
    <row r="657">
      <c r="X657" s="20" t="str">
        <f>IF($B657="","",IFERROR(IF(INDEX(Config!$D$9:$D$29,MATCH($B657,Config!$B$9:$B$29,0))="Contrato",IF(INDEX(Config!$E$9:$E$29,MATCH($B657,Config!$B$9:$B$29,0))="","",INDEX(Config!$E$9:$E$29,MATCH($B657,Config!$B$9:$B$29,0))),""),""))</f>
        <v/>
      </c>
      <c r="AI657" s="19" t="str">
        <f>IF($B657="","",IFERROR(INDEX(Config!$D$9:$D$29,MATCH($B657,Config!$B$9:$B$29,0))&amp;"",""))</f>
        <v/>
      </c>
    </row>
    <row r="658">
      <c r="X658" s="20" t="str">
        <f>IF($B658="","",IFERROR(IF(INDEX(Config!$D$9:$D$29,MATCH($B658,Config!$B$9:$B$29,0))="Contrato",IF(INDEX(Config!$E$9:$E$29,MATCH($B658,Config!$B$9:$B$29,0))="","",INDEX(Config!$E$9:$E$29,MATCH($B658,Config!$B$9:$B$29,0))),""),""))</f>
        <v/>
      </c>
      <c r="AI658" s="19" t="str">
        <f>IF($B658="","",IFERROR(INDEX(Config!$D$9:$D$29,MATCH($B658,Config!$B$9:$B$29,0))&amp;"",""))</f>
        <v/>
      </c>
    </row>
    <row r="659">
      <c r="X659" s="20" t="str">
        <f>IF($B659="","",IFERROR(IF(INDEX(Config!$D$9:$D$29,MATCH($B659,Config!$B$9:$B$29,0))="Contrato",IF(INDEX(Config!$E$9:$E$29,MATCH($B659,Config!$B$9:$B$29,0))="","",INDEX(Config!$E$9:$E$29,MATCH($B659,Config!$B$9:$B$29,0))),""),""))</f>
        <v/>
      </c>
      <c r="AI659" s="19" t="str">
        <f>IF($B659="","",IFERROR(INDEX(Config!$D$9:$D$29,MATCH($B659,Config!$B$9:$B$29,0))&amp;"",""))</f>
        <v/>
      </c>
    </row>
    <row r="660">
      <c r="X660" s="20" t="str">
        <f>IF($B660="","",IFERROR(IF(INDEX(Config!$D$9:$D$29,MATCH($B660,Config!$B$9:$B$29,0))="Contrato",IF(INDEX(Config!$E$9:$E$29,MATCH($B660,Config!$B$9:$B$29,0))="","",INDEX(Config!$E$9:$E$29,MATCH($B660,Config!$B$9:$B$29,0))),""),""))</f>
        <v/>
      </c>
      <c r="AI660" s="19" t="str">
        <f>IF($B660="","",IFERROR(INDEX(Config!$D$9:$D$29,MATCH($B660,Config!$B$9:$B$29,0))&amp;"",""))</f>
        <v/>
      </c>
    </row>
    <row r="661">
      <c r="X661" s="20" t="str">
        <f>IF($B661="","",IFERROR(IF(INDEX(Config!$D$9:$D$29,MATCH($B661,Config!$B$9:$B$29,0))="Contrato",IF(INDEX(Config!$E$9:$E$29,MATCH($B661,Config!$B$9:$B$29,0))="","",INDEX(Config!$E$9:$E$29,MATCH($B661,Config!$B$9:$B$29,0))),""),""))</f>
        <v/>
      </c>
      <c r="AI661" s="19" t="str">
        <f>IF($B661="","",IFERROR(INDEX(Config!$D$9:$D$29,MATCH($B661,Config!$B$9:$B$29,0))&amp;"",""))</f>
        <v/>
      </c>
    </row>
    <row r="662">
      <c r="X662" s="20" t="str">
        <f>IF($B662="","",IFERROR(IF(INDEX(Config!$D$9:$D$29,MATCH($B662,Config!$B$9:$B$29,0))="Contrato",IF(INDEX(Config!$E$9:$E$29,MATCH($B662,Config!$B$9:$B$29,0))="","",INDEX(Config!$E$9:$E$29,MATCH($B662,Config!$B$9:$B$29,0))),""),""))</f>
        <v/>
      </c>
      <c r="AI662" s="19" t="str">
        <f>IF($B662="","",IFERROR(INDEX(Config!$D$9:$D$29,MATCH($B662,Config!$B$9:$B$29,0))&amp;"",""))</f>
        <v/>
      </c>
    </row>
    <row r="663">
      <c r="X663" s="20" t="str">
        <f>IF($B663="","",IFERROR(IF(INDEX(Config!$D$9:$D$29,MATCH($B663,Config!$B$9:$B$29,0))="Contrato",IF(INDEX(Config!$E$9:$E$29,MATCH($B663,Config!$B$9:$B$29,0))="","",INDEX(Config!$E$9:$E$29,MATCH($B663,Config!$B$9:$B$29,0))),""),""))</f>
        <v/>
      </c>
      <c r="AI663" s="19" t="str">
        <f>IF($B663="","",IFERROR(INDEX(Config!$D$9:$D$29,MATCH($B663,Config!$B$9:$B$29,0))&amp;"",""))</f>
        <v/>
      </c>
    </row>
    <row r="664">
      <c r="X664" s="20" t="str">
        <f>IF($B664="","",IFERROR(IF(INDEX(Config!$D$9:$D$29,MATCH($B664,Config!$B$9:$B$29,0))="Contrato",IF(INDEX(Config!$E$9:$E$29,MATCH($B664,Config!$B$9:$B$29,0))="","",INDEX(Config!$E$9:$E$29,MATCH($B664,Config!$B$9:$B$29,0))),""),""))</f>
        <v/>
      </c>
      <c r="AI664" s="19" t="str">
        <f>IF($B664="","",IFERROR(INDEX(Config!$D$9:$D$29,MATCH($B664,Config!$B$9:$B$29,0))&amp;"",""))</f>
        <v/>
      </c>
    </row>
    <row r="665">
      <c r="X665" s="20" t="str">
        <f>IF($B665="","",IFERROR(IF(INDEX(Config!$D$9:$D$29,MATCH($B665,Config!$B$9:$B$29,0))="Contrato",IF(INDEX(Config!$E$9:$E$29,MATCH($B665,Config!$B$9:$B$29,0))="","",INDEX(Config!$E$9:$E$29,MATCH($B665,Config!$B$9:$B$29,0))),""),""))</f>
        <v/>
      </c>
      <c r="AI665" s="19" t="str">
        <f>IF($B665="","",IFERROR(INDEX(Config!$D$9:$D$29,MATCH($B665,Config!$B$9:$B$29,0))&amp;"",""))</f>
        <v/>
      </c>
    </row>
    <row r="666">
      <c r="X666" s="20" t="str">
        <f>IF($B666="","",IFERROR(IF(INDEX(Config!$D$9:$D$29,MATCH($B666,Config!$B$9:$B$29,0))="Contrato",IF(INDEX(Config!$E$9:$E$29,MATCH($B666,Config!$B$9:$B$29,0))="","",INDEX(Config!$E$9:$E$29,MATCH($B666,Config!$B$9:$B$29,0))),""),""))</f>
        <v/>
      </c>
      <c r="AI666" s="19" t="str">
        <f>IF($B666="","",IFERROR(INDEX(Config!$D$9:$D$29,MATCH($B666,Config!$B$9:$B$29,0))&amp;"",""))</f>
        <v/>
      </c>
    </row>
    <row r="667">
      <c r="X667" s="20" t="str">
        <f>IF($B667="","",IFERROR(IF(INDEX(Config!$D$9:$D$29,MATCH($B667,Config!$B$9:$B$29,0))="Contrato",IF(INDEX(Config!$E$9:$E$29,MATCH($B667,Config!$B$9:$B$29,0))="","",INDEX(Config!$E$9:$E$29,MATCH($B667,Config!$B$9:$B$29,0))),""),""))</f>
        <v/>
      </c>
      <c r="AI667" s="19" t="str">
        <f>IF($B667="","",IFERROR(INDEX(Config!$D$9:$D$29,MATCH($B667,Config!$B$9:$B$29,0))&amp;"",""))</f>
        <v/>
      </c>
    </row>
    <row r="668">
      <c r="X668" s="20" t="str">
        <f>IF($B668="","",IFERROR(IF(INDEX(Config!$D$9:$D$29,MATCH($B668,Config!$B$9:$B$29,0))="Contrato",IF(INDEX(Config!$E$9:$E$29,MATCH($B668,Config!$B$9:$B$29,0))="","",INDEX(Config!$E$9:$E$29,MATCH($B668,Config!$B$9:$B$29,0))),""),""))</f>
        <v/>
      </c>
      <c r="AI668" s="19" t="str">
        <f>IF($B668="","",IFERROR(INDEX(Config!$D$9:$D$29,MATCH($B668,Config!$B$9:$B$29,0))&amp;"",""))</f>
        <v/>
      </c>
    </row>
    <row r="669">
      <c r="X669" s="20" t="str">
        <f>IF($B669="","",IFERROR(IF(INDEX(Config!$D$9:$D$29,MATCH($B669,Config!$B$9:$B$29,0))="Contrato",IF(INDEX(Config!$E$9:$E$29,MATCH($B669,Config!$B$9:$B$29,0))="","",INDEX(Config!$E$9:$E$29,MATCH($B669,Config!$B$9:$B$29,0))),""),""))</f>
        <v/>
      </c>
      <c r="AI669" s="19" t="str">
        <f>IF($B669="","",IFERROR(INDEX(Config!$D$9:$D$29,MATCH($B669,Config!$B$9:$B$29,0))&amp;"",""))</f>
        <v/>
      </c>
    </row>
    <row r="670">
      <c r="X670" s="20" t="str">
        <f>IF($B670="","",IFERROR(IF(INDEX(Config!$D$9:$D$29,MATCH($B670,Config!$B$9:$B$29,0))="Contrato",IF(INDEX(Config!$E$9:$E$29,MATCH($B670,Config!$B$9:$B$29,0))="","",INDEX(Config!$E$9:$E$29,MATCH($B670,Config!$B$9:$B$29,0))),""),""))</f>
        <v/>
      </c>
      <c r="AI670" s="19" t="str">
        <f>IF($B670="","",IFERROR(INDEX(Config!$D$9:$D$29,MATCH($B670,Config!$B$9:$B$29,0))&amp;"",""))</f>
        <v/>
      </c>
    </row>
    <row r="671">
      <c r="X671" s="20" t="str">
        <f>IF($B671="","",IFERROR(IF(INDEX(Config!$D$9:$D$29,MATCH($B671,Config!$B$9:$B$29,0))="Contrato",IF(INDEX(Config!$E$9:$E$29,MATCH($B671,Config!$B$9:$B$29,0))="","",INDEX(Config!$E$9:$E$29,MATCH($B671,Config!$B$9:$B$29,0))),""),""))</f>
        <v/>
      </c>
      <c r="AI671" s="19" t="str">
        <f>IF($B671="","",IFERROR(INDEX(Config!$D$9:$D$29,MATCH($B671,Config!$B$9:$B$29,0))&amp;"",""))</f>
        <v/>
      </c>
    </row>
    <row r="672">
      <c r="X672" s="20" t="str">
        <f>IF($B672="","",IFERROR(IF(INDEX(Config!$D$9:$D$29,MATCH($B672,Config!$B$9:$B$29,0))="Contrato",IF(INDEX(Config!$E$9:$E$29,MATCH($B672,Config!$B$9:$B$29,0))="","",INDEX(Config!$E$9:$E$29,MATCH($B672,Config!$B$9:$B$29,0))),""),""))</f>
        <v/>
      </c>
      <c r="AI672" s="19" t="str">
        <f>IF($B672="","",IFERROR(INDEX(Config!$D$9:$D$29,MATCH($B672,Config!$B$9:$B$29,0))&amp;"",""))</f>
        <v/>
      </c>
    </row>
    <row r="673">
      <c r="X673" s="20" t="str">
        <f>IF($B673="","",IFERROR(IF(INDEX(Config!$D$9:$D$29,MATCH($B673,Config!$B$9:$B$29,0))="Contrato",IF(INDEX(Config!$E$9:$E$29,MATCH($B673,Config!$B$9:$B$29,0))="","",INDEX(Config!$E$9:$E$29,MATCH($B673,Config!$B$9:$B$29,0))),""),""))</f>
        <v/>
      </c>
      <c r="AI673" s="19" t="str">
        <f>IF($B673="","",IFERROR(INDEX(Config!$D$9:$D$29,MATCH($B673,Config!$B$9:$B$29,0))&amp;"",""))</f>
        <v/>
      </c>
    </row>
    <row r="674">
      <c r="X674" s="20" t="str">
        <f>IF($B674="","",IFERROR(IF(INDEX(Config!$D$9:$D$29,MATCH($B674,Config!$B$9:$B$29,0))="Contrato",IF(INDEX(Config!$E$9:$E$29,MATCH($B674,Config!$B$9:$B$29,0))="","",INDEX(Config!$E$9:$E$29,MATCH($B674,Config!$B$9:$B$29,0))),""),""))</f>
        <v/>
      </c>
      <c r="AI674" s="19" t="str">
        <f>IF($B674="","",IFERROR(INDEX(Config!$D$9:$D$29,MATCH($B674,Config!$B$9:$B$29,0))&amp;"",""))</f>
        <v/>
      </c>
    </row>
    <row r="675">
      <c r="X675" s="20" t="str">
        <f>IF($B675="","",IFERROR(IF(INDEX(Config!$D$9:$D$29,MATCH($B675,Config!$B$9:$B$29,0))="Contrato",IF(INDEX(Config!$E$9:$E$29,MATCH($B675,Config!$B$9:$B$29,0))="","",INDEX(Config!$E$9:$E$29,MATCH($B675,Config!$B$9:$B$29,0))),""),""))</f>
        <v/>
      </c>
      <c r="AI675" s="19" t="str">
        <f>IF($B675="","",IFERROR(INDEX(Config!$D$9:$D$29,MATCH($B675,Config!$B$9:$B$29,0))&amp;"",""))</f>
        <v/>
      </c>
    </row>
    <row r="676">
      <c r="X676" s="20" t="str">
        <f>IF($B676="","",IFERROR(IF(INDEX(Config!$D$9:$D$29,MATCH($B676,Config!$B$9:$B$29,0))="Contrato",IF(INDEX(Config!$E$9:$E$29,MATCH($B676,Config!$B$9:$B$29,0))="","",INDEX(Config!$E$9:$E$29,MATCH($B676,Config!$B$9:$B$29,0))),""),""))</f>
        <v/>
      </c>
      <c r="AI676" s="19" t="str">
        <f>IF($B676="","",IFERROR(INDEX(Config!$D$9:$D$29,MATCH($B676,Config!$B$9:$B$29,0))&amp;"",""))</f>
        <v/>
      </c>
    </row>
    <row r="677">
      <c r="X677" s="20" t="str">
        <f>IF($B677="","",IFERROR(IF(INDEX(Config!$D$9:$D$29,MATCH($B677,Config!$B$9:$B$29,0))="Contrato",IF(INDEX(Config!$E$9:$E$29,MATCH($B677,Config!$B$9:$B$29,0))="","",INDEX(Config!$E$9:$E$29,MATCH($B677,Config!$B$9:$B$29,0))),""),""))</f>
        <v/>
      </c>
      <c r="AI677" s="19" t="str">
        <f>IF($B677="","",IFERROR(INDEX(Config!$D$9:$D$29,MATCH($B677,Config!$B$9:$B$29,0))&amp;"",""))</f>
        <v/>
      </c>
    </row>
    <row r="678">
      <c r="X678" s="20" t="str">
        <f>IF($B678="","",IFERROR(IF(INDEX(Config!$D$9:$D$29,MATCH($B678,Config!$B$9:$B$29,0))="Contrato",IF(INDEX(Config!$E$9:$E$29,MATCH($B678,Config!$B$9:$B$29,0))="","",INDEX(Config!$E$9:$E$29,MATCH($B678,Config!$B$9:$B$29,0))),""),""))</f>
        <v/>
      </c>
      <c r="AI678" s="19" t="str">
        <f>IF($B678="","",IFERROR(INDEX(Config!$D$9:$D$29,MATCH($B678,Config!$B$9:$B$29,0))&amp;"",""))</f>
        <v/>
      </c>
    </row>
    <row r="679">
      <c r="X679" s="20" t="str">
        <f>IF($B679="","",IFERROR(IF(INDEX(Config!$D$9:$D$29,MATCH($B679,Config!$B$9:$B$29,0))="Contrato",IF(INDEX(Config!$E$9:$E$29,MATCH($B679,Config!$B$9:$B$29,0))="","",INDEX(Config!$E$9:$E$29,MATCH($B679,Config!$B$9:$B$29,0))),""),""))</f>
        <v/>
      </c>
      <c r="AI679" s="19" t="str">
        <f>IF($B679="","",IFERROR(INDEX(Config!$D$9:$D$29,MATCH($B679,Config!$B$9:$B$29,0))&amp;"",""))</f>
        <v/>
      </c>
    </row>
    <row r="680">
      <c r="X680" s="20" t="str">
        <f>IF($B680="","",IFERROR(IF(INDEX(Config!$D$9:$D$29,MATCH($B680,Config!$B$9:$B$29,0))="Contrato",IF(INDEX(Config!$E$9:$E$29,MATCH($B680,Config!$B$9:$B$29,0))="","",INDEX(Config!$E$9:$E$29,MATCH($B680,Config!$B$9:$B$29,0))),""),""))</f>
        <v/>
      </c>
      <c r="AI680" s="19" t="str">
        <f>IF($B680="","",IFERROR(INDEX(Config!$D$9:$D$29,MATCH($B680,Config!$B$9:$B$29,0))&amp;"",""))</f>
        <v/>
      </c>
    </row>
    <row r="681">
      <c r="X681" s="20" t="str">
        <f>IF($B681="","",IFERROR(IF(INDEX(Config!$D$9:$D$29,MATCH($B681,Config!$B$9:$B$29,0))="Contrato",IF(INDEX(Config!$E$9:$E$29,MATCH($B681,Config!$B$9:$B$29,0))="","",INDEX(Config!$E$9:$E$29,MATCH($B681,Config!$B$9:$B$29,0))),""),""))</f>
        <v/>
      </c>
      <c r="AI681" s="19" t="str">
        <f>IF($B681="","",IFERROR(INDEX(Config!$D$9:$D$29,MATCH($B681,Config!$B$9:$B$29,0))&amp;"",""))</f>
        <v/>
      </c>
    </row>
    <row r="682">
      <c r="X682" s="20" t="str">
        <f>IF($B682="","",IFERROR(IF(INDEX(Config!$D$9:$D$29,MATCH($B682,Config!$B$9:$B$29,0))="Contrato",IF(INDEX(Config!$E$9:$E$29,MATCH($B682,Config!$B$9:$B$29,0))="","",INDEX(Config!$E$9:$E$29,MATCH($B682,Config!$B$9:$B$29,0))),""),""))</f>
        <v/>
      </c>
      <c r="AI682" s="19" t="str">
        <f>IF($B682="","",IFERROR(INDEX(Config!$D$9:$D$29,MATCH($B682,Config!$B$9:$B$29,0))&amp;"",""))</f>
        <v/>
      </c>
    </row>
    <row r="683">
      <c r="X683" s="20" t="str">
        <f>IF($B683="","",IFERROR(IF(INDEX(Config!$D$9:$D$29,MATCH($B683,Config!$B$9:$B$29,0))="Contrato",IF(INDEX(Config!$E$9:$E$29,MATCH($B683,Config!$B$9:$B$29,0))="","",INDEX(Config!$E$9:$E$29,MATCH($B683,Config!$B$9:$B$29,0))),""),""))</f>
        <v/>
      </c>
      <c r="AI683" s="19" t="str">
        <f>IF($B683="","",IFERROR(INDEX(Config!$D$9:$D$29,MATCH($B683,Config!$B$9:$B$29,0))&amp;"",""))</f>
        <v/>
      </c>
    </row>
    <row r="684">
      <c r="X684" s="20" t="str">
        <f>IF($B684="","",IFERROR(IF(INDEX(Config!$D$9:$D$29,MATCH($B684,Config!$B$9:$B$29,0))="Contrato",IF(INDEX(Config!$E$9:$E$29,MATCH($B684,Config!$B$9:$B$29,0))="","",INDEX(Config!$E$9:$E$29,MATCH($B684,Config!$B$9:$B$29,0))),""),""))</f>
        <v/>
      </c>
      <c r="AI684" s="19" t="str">
        <f>IF($B684="","",IFERROR(INDEX(Config!$D$9:$D$29,MATCH($B684,Config!$B$9:$B$29,0))&amp;"",""))</f>
        <v/>
      </c>
    </row>
    <row r="685">
      <c r="X685" s="20" t="str">
        <f>IF($B685="","",IFERROR(IF(INDEX(Config!$D$9:$D$29,MATCH($B685,Config!$B$9:$B$29,0))="Contrato",IF(INDEX(Config!$E$9:$E$29,MATCH($B685,Config!$B$9:$B$29,0))="","",INDEX(Config!$E$9:$E$29,MATCH($B685,Config!$B$9:$B$29,0))),""),""))</f>
        <v/>
      </c>
      <c r="AI685" s="19" t="str">
        <f>IF($B685="","",IFERROR(INDEX(Config!$D$9:$D$29,MATCH($B685,Config!$B$9:$B$29,0))&amp;"",""))</f>
        <v/>
      </c>
    </row>
    <row r="686">
      <c r="X686" s="20" t="str">
        <f>IF($B686="","",IFERROR(IF(INDEX(Config!$D$9:$D$29,MATCH($B686,Config!$B$9:$B$29,0))="Contrato",IF(INDEX(Config!$E$9:$E$29,MATCH($B686,Config!$B$9:$B$29,0))="","",INDEX(Config!$E$9:$E$29,MATCH($B686,Config!$B$9:$B$29,0))),""),""))</f>
        <v/>
      </c>
      <c r="AI686" s="19" t="str">
        <f>IF($B686="","",IFERROR(INDEX(Config!$D$9:$D$29,MATCH($B686,Config!$B$9:$B$29,0))&amp;"",""))</f>
        <v/>
      </c>
    </row>
    <row r="687">
      <c r="X687" s="20" t="str">
        <f>IF($B687="","",IFERROR(IF(INDEX(Config!$D$9:$D$29,MATCH($B687,Config!$B$9:$B$29,0))="Contrato",IF(INDEX(Config!$E$9:$E$29,MATCH($B687,Config!$B$9:$B$29,0))="","",INDEX(Config!$E$9:$E$29,MATCH($B687,Config!$B$9:$B$29,0))),""),""))</f>
        <v/>
      </c>
      <c r="AI687" s="19" t="str">
        <f>IF($B687="","",IFERROR(INDEX(Config!$D$9:$D$29,MATCH($B687,Config!$B$9:$B$29,0))&amp;"",""))</f>
        <v/>
      </c>
    </row>
    <row r="688">
      <c r="X688" s="20" t="str">
        <f>IF($B688="","",IFERROR(IF(INDEX(Config!$D$9:$D$29,MATCH($B688,Config!$B$9:$B$29,0))="Contrato",IF(INDEX(Config!$E$9:$E$29,MATCH($B688,Config!$B$9:$B$29,0))="","",INDEX(Config!$E$9:$E$29,MATCH($B688,Config!$B$9:$B$29,0))),""),""))</f>
        <v/>
      </c>
      <c r="AI688" s="19" t="str">
        <f>IF($B688="","",IFERROR(INDEX(Config!$D$9:$D$29,MATCH($B688,Config!$B$9:$B$29,0))&amp;"",""))</f>
        <v/>
      </c>
    </row>
    <row r="689">
      <c r="X689" s="20" t="str">
        <f>IF($B689="","",IFERROR(IF(INDEX(Config!$D$9:$D$29,MATCH($B689,Config!$B$9:$B$29,0))="Contrato",IF(INDEX(Config!$E$9:$E$29,MATCH($B689,Config!$B$9:$B$29,0))="","",INDEX(Config!$E$9:$E$29,MATCH($B689,Config!$B$9:$B$29,0))),""),""))</f>
        <v/>
      </c>
      <c r="AI689" s="19" t="str">
        <f>IF($B689="","",IFERROR(INDEX(Config!$D$9:$D$29,MATCH($B689,Config!$B$9:$B$29,0))&amp;"",""))</f>
        <v/>
      </c>
    </row>
    <row r="690">
      <c r="X690" s="20" t="str">
        <f>IF($B690="","",IFERROR(IF(INDEX(Config!$D$9:$D$29,MATCH($B690,Config!$B$9:$B$29,0))="Contrato",IF(INDEX(Config!$E$9:$E$29,MATCH($B690,Config!$B$9:$B$29,0))="","",INDEX(Config!$E$9:$E$29,MATCH($B690,Config!$B$9:$B$29,0))),""),""))</f>
        <v/>
      </c>
      <c r="AI690" s="19" t="str">
        <f>IF($B690="","",IFERROR(INDEX(Config!$D$9:$D$29,MATCH($B690,Config!$B$9:$B$29,0))&amp;"",""))</f>
        <v/>
      </c>
    </row>
    <row r="691">
      <c r="X691" s="20" t="str">
        <f>IF($B691="","",IFERROR(IF(INDEX(Config!$D$9:$D$29,MATCH($B691,Config!$B$9:$B$29,0))="Contrato",IF(INDEX(Config!$E$9:$E$29,MATCH($B691,Config!$B$9:$B$29,0))="","",INDEX(Config!$E$9:$E$29,MATCH($B691,Config!$B$9:$B$29,0))),""),""))</f>
        <v/>
      </c>
      <c r="AI691" s="19" t="str">
        <f>IF($B691="","",IFERROR(INDEX(Config!$D$9:$D$29,MATCH($B691,Config!$B$9:$B$29,0))&amp;"",""))</f>
        <v/>
      </c>
    </row>
    <row r="692">
      <c r="X692" s="20" t="str">
        <f>IF($B692="","",IFERROR(IF(INDEX(Config!$D$9:$D$29,MATCH($B692,Config!$B$9:$B$29,0))="Contrato",IF(INDEX(Config!$E$9:$E$29,MATCH($B692,Config!$B$9:$B$29,0))="","",INDEX(Config!$E$9:$E$29,MATCH($B692,Config!$B$9:$B$29,0))),""),""))</f>
        <v/>
      </c>
      <c r="AI692" s="19" t="str">
        <f>IF($B692="","",IFERROR(INDEX(Config!$D$9:$D$29,MATCH($B692,Config!$B$9:$B$29,0))&amp;"",""))</f>
        <v/>
      </c>
    </row>
    <row r="693">
      <c r="X693" s="20" t="str">
        <f>IF($B693="","",IFERROR(IF(INDEX(Config!$D$9:$D$29,MATCH($B693,Config!$B$9:$B$29,0))="Contrato",IF(INDEX(Config!$E$9:$E$29,MATCH($B693,Config!$B$9:$B$29,0))="","",INDEX(Config!$E$9:$E$29,MATCH($B693,Config!$B$9:$B$29,0))),""),""))</f>
        <v/>
      </c>
      <c r="AI693" s="19" t="str">
        <f>IF($B693="","",IFERROR(INDEX(Config!$D$9:$D$29,MATCH($B693,Config!$B$9:$B$29,0))&amp;"",""))</f>
        <v/>
      </c>
    </row>
    <row r="694">
      <c r="X694" s="20" t="str">
        <f>IF($B694="","",IFERROR(IF(INDEX(Config!$D$9:$D$29,MATCH($B694,Config!$B$9:$B$29,0))="Contrato",IF(INDEX(Config!$E$9:$E$29,MATCH($B694,Config!$B$9:$B$29,0))="","",INDEX(Config!$E$9:$E$29,MATCH($B694,Config!$B$9:$B$29,0))),""),""))</f>
        <v/>
      </c>
      <c r="AI694" s="19" t="str">
        <f>IF($B694="","",IFERROR(INDEX(Config!$D$9:$D$29,MATCH($B694,Config!$B$9:$B$29,0))&amp;"",""))</f>
        <v/>
      </c>
    </row>
    <row r="695">
      <c r="X695" s="20" t="str">
        <f>IF($B695="","",IFERROR(IF(INDEX(Config!$D$9:$D$29,MATCH($B695,Config!$B$9:$B$29,0))="Contrato",IF(INDEX(Config!$E$9:$E$29,MATCH($B695,Config!$B$9:$B$29,0))="","",INDEX(Config!$E$9:$E$29,MATCH($B695,Config!$B$9:$B$29,0))),""),""))</f>
        <v/>
      </c>
      <c r="AI695" s="19" t="str">
        <f>IF($B695="","",IFERROR(INDEX(Config!$D$9:$D$29,MATCH($B695,Config!$B$9:$B$29,0))&amp;"",""))</f>
        <v/>
      </c>
    </row>
    <row r="696">
      <c r="X696" s="20" t="str">
        <f>IF($B696="","",IFERROR(IF(INDEX(Config!$D$9:$D$29,MATCH($B696,Config!$B$9:$B$29,0))="Contrato",IF(INDEX(Config!$E$9:$E$29,MATCH($B696,Config!$B$9:$B$29,0))="","",INDEX(Config!$E$9:$E$29,MATCH($B696,Config!$B$9:$B$29,0))),""),""))</f>
        <v/>
      </c>
      <c r="AI696" s="19" t="str">
        <f>IF($B696="","",IFERROR(INDEX(Config!$D$9:$D$29,MATCH($B696,Config!$B$9:$B$29,0))&amp;"",""))</f>
        <v/>
      </c>
    </row>
    <row r="697">
      <c r="X697" s="20" t="str">
        <f>IF($B697="","",IFERROR(IF(INDEX(Config!$D$9:$D$29,MATCH($B697,Config!$B$9:$B$29,0))="Contrato",IF(INDEX(Config!$E$9:$E$29,MATCH($B697,Config!$B$9:$B$29,0))="","",INDEX(Config!$E$9:$E$29,MATCH($B697,Config!$B$9:$B$29,0))),""),""))</f>
        <v/>
      </c>
      <c r="AI697" s="19" t="str">
        <f>IF($B697="","",IFERROR(INDEX(Config!$D$9:$D$29,MATCH($B697,Config!$B$9:$B$29,0))&amp;"",""))</f>
        <v/>
      </c>
    </row>
    <row r="698">
      <c r="X698" s="20" t="str">
        <f>IF($B698="","",IFERROR(IF(INDEX(Config!$D$9:$D$29,MATCH($B698,Config!$B$9:$B$29,0))="Contrato",IF(INDEX(Config!$E$9:$E$29,MATCH($B698,Config!$B$9:$B$29,0))="","",INDEX(Config!$E$9:$E$29,MATCH($B698,Config!$B$9:$B$29,0))),""),""))</f>
        <v/>
      </c>
      <c r="AI698" s="19" t="str">
        <f>IF($B698="","",IFERROR(INDEX(Config!$D$9:$D$29,MATCH($B698,Config!$B$9:$B$29,0))&amp;"",""))</f>
        <v/>
      </c>
    </row>
    <row r="699">
      <c r="X699" s="20" t="str">
        <f>IF($B699="","",IFERROR(IF(INDEX(Config!$D$9:$D$29,MATCH($B699,Config!$B$9:$B$29,0))="Contrato",IF(INDEX(Config!$E$9:$E$29,MATCH($B699,Config!$B$9:$B$29,0))="","",INDEX(Config!$E$9:$E$29,MATCH($B699,Config!$B$9:$B$29,0))),""),""))</f>
        <v/>
      </c>
      <c r="AI699" s="19" t="str">
        <f>IF($B699="","",IFERROR(INDEX(Config!$D$9:$D$29,MATCH($B699,Config!$B$9:$B$29,0))&amp;"",""))</f>
        <v/>
      </c>
    </row>
    <row r="700">
      <c r="X700" s="20" t="str">
        <f>IF($B700="","",IFERROR(IF(INDEX(Config!$D$9:$D$29,MATCH($B700,Config!$B$9:$B$29,0))="Contrato",IF(INDEX(Config!$E$9:$E$29,MATCH($B700,Config!$B$9:$B$29,0))="","",INDEX(Config!$E$9:$E$29,MATCH($B700,Config!$B$9:$B$29,0))),""),""))</f>
        <v/>
      </c>
      <c r="AI700" s="19" t="str">
        <f>IF($B700="","",IFERROR(INDEX(Config!$D$9:$D$29,MATCH($B700,Config!$B$9:$B$29,0))&amp;"",""))</f>
        <v/>
      </c>
    </row>
    <row r="701">
      <c r="X701" s="20" t="str">
        <f>IF($B701="","",IFERROR(IF(INDEX(Config!$D$9:$D$29,MATCH($B701,Config!$B$9:$B$29,0))="Contrato",IF(INDEX(Config!$E$9:$E$29,MATCH($B701,Config!$B$9:$B$29,0))="","",INDEX(Config!$E$9:$E$29,MATCH($B701,Config!$B$9:$B$29,0))),""),""))</f>
        <v/>
      </c>
      <c r="AI701" s="19" t="str">
        <f>IF($B701="","",IFERROR(INDEX(Config!$D$9:$D$29,MATCH($B701,Config!$B$9:$B$29,0))&amp;"",""))</f>
        <v/>
      </c>
    </row>
    <row r="702">
      <c r="X702" s="20" t="str">
        <f>IF($B702="","",IFERROR(IF(INDEX(Config!$D$9:$D$29,MATCH($B702,Config!$B$9:$B$29,0))="Contrato",IF(INDEX(Config!$E$9:$E$29,MATCH($B702,Config!$B$9:$B$29,0))="","",INDEX(Config!$E$9:$E$29,MATCH($B702,Config!$B$9:$B$29,0))),""),""))</f>
        <v/>
      </c>
      <c r="AI702" s="19" t="str">
        <f>IF($B702="","",IFERROR(INDEX(Config!$D$9:$D$29,MATCH($B702,Config!$B$9:$B$29,0))&amp;"",""))</f>
        <v/>
      </c>
    </row>
    <row r="703">
      <c r="X703" s="20" t="str">
        <f>IF($B703="","",IFERROR(IF(INDEX(Config!$D$9:$D$29,MATCH($B703,Config!$B$9:$B$29,0))="Contrato",IF(INDEX(Config!$E$9:$E$29,MATCH($B703,Config!$B$9:$B$29,0))="","",INDEX(Config!$E$9:$E$29,MATCH($B703,Config!$B$9:$B$29,0))),""),""))</f>
        <v/>
      </c>
      <c r="AI703" s="19" t="str">
        <f>IF($B703="","",IFERROR(INDEX(Config!$D$9:$D$29,MATCH($B703,Config!$B$9:$B$29,0))&amp;"",""))</f>
        <v/>
      </c>
    </row>
    <row r="704">
      <c r="X704" s="20" t="str">
        <f>IF($B704="","",IFERROR(IF(INDEX(Config!$D$9:$D$29,MATCH($B704,Config!$B$9:$B$29,0))="Contrato",IF(INDEX(Config!$E$9:$E$29,MATCH($B704,Config!$B$9:$B$29,0))="","",INDEX(Config!$E$9:$E$29,MATCH($B704,Config!$B$9:$B$29,0))),""),""))</f>
        <v/>
      </c>
      <c r="AI704" s="19" t="str">
        <f>IF($B704="","",IFERROR(INDEX(Config!$D$9:$D$29,MATCH($B704,Config!$B$9:$B$29,0))&amp;"",""))</f>
        <v/>
      </c>
    </row>
    <row r="705">
      <c r="X705" s="20" t="str">
        <f>IF($B705="","",IFERROR(IF(INDEX(Config!$D$9:$D$29,MATCH($B705,Config!$B$9:$B$29,0))="Contrato",IF(INDEX(Config!$E$9:$E$29,MATCH($B705,Config!$B$9:$B$29,0))="","",INDEX(Config!$E$9:$E$29,MATCH($B705,Config!$B$9:$B$29,0))),""),""))</f>
        <v/>
      </c>
      <c r="AI705" s="19" t="str">
        <f>IF($B705="","",IFERROR(INDEX(Config!$D$9:$D$29,MATCH($B705,Config!$B$9:$B$29,0))&amp;"",""))</f>
        <v/>
      </c>
    </row>
    <row r="706">
      <c r="X706" s="20" t="str">
        <f>IF($B706="","",IFERROR(IF(INDEX(Config!$D$9:$D$29,MATCH($B706,Config!$B$9:$B$29,0))="Contrato",IF(INDEX(Config!$E$9:$E$29,MATCH($B706,Config!$B$9:$B$29,0))="","",INDEX(Config!$E$9:$E$29,MATCH($B706,Config!$B$9:$B$29,0))),""),""))</f>
        <v/>
      </c>
      <c r="AI706" s="19" t="str">
        <f>IF($B706="","",IFERROR(INDEX(Config!$D$9:$D$29,MATCH($B706,Config!$B$9:$B$29,0))&amp;"",""))</f>
        <v/>
      </c>
    </row>
    <row r="707">
      <c r="X707" s="20" t="str">
        <f>IF($B707="","",IFERROR(IF(INDEX(Config!$D$9:$D$29,MATCH($B707,Config!$B$9:$B$29,0))="Contrato",IF(INDEX(Config!$E$9:$E$29,MATCH($B707,Config!$B$9:$B$29,0))="","",INDEX(Config!$E$9:$E$29,MATCH($B707,Config!$B$9:$B$29,0))),""),""))</f>
        <v/>
      </c>
      <c r="AI707" s="19" t="str">
        <f>IF($B707="","",IFERROR(INDEX(Config!$D$9:$D$29,MATCH($B707,Config!$B$9:$B$29,0))&amp;"",""))</f>
        <v/>
      </c>
    </row>
    <row r="708">
      <c r="X708" s="20" t="str">
        <f>IF($B708="","",IFERROR(IF(INDEX(Config!$D$9:$D$29,MATCH($B708,Config!$B$9:$B$29,0))="Contrato",IF(INDEX(Config!$E$9:$E$29,MATCH($B708,Config!$B$9:$B$29,0))="","",INDEX(Config!$E$9:$E$29,MATCH($B708,Config!$B$9:$B$29,0))),""),""))</f>
        <v/>
      </c>
      <c r="AI708" s="19" t="str">
        <f>IF($B708="","",IFERROR(INDEX(Config!$D$9:$D$29,MATCH($B708,Config!$B$9:$B$29,0))&amp;"",""))</f>
        <v/>
      </c>
    </row>
    <row r="709">
      <c r="X709" s="20" t="str">
        <f>IF($B709="","",IFERROR(IF(INDEX(Config!$D$9:$D$29,MATCH($B709,Config!$B$9:$B$29,0))="Contrato",IF(INDEX(Config!$E$9:$E$29,MATCH($B709,Config!$B$9:$B$29,0))="","",INDEX(Config!$E$9:$E$29,MATCH($B709,Config!$B$9:$B$29,0))),""),""))</f>
        <v/>
      </c>
      <c r="AI709" s="19" t="str">
        <f>IF($B709="","",IFERROR(INDEX(Config!$D$9:$D$29,MATCH($B709,Config!$B$9:$B$29,0))&amp;"",""))</f>
        <v/>
      </c>
    </row>
    <row r="710">
      <c r="X710" s="20" t="str">
        <f>IF($B710="","",IFERROR(IF(INDEX(Config!$D$9:$D$29,MATCH($B710,Config!$B$9:$B$29,0))="Contrato",IF(INDEX(Config!$E$9:$E$29,MATCH($B710,Config!$B$9:$B$29,0))="","",INDEX(Config!$E$9:$E$29,MATCH($B710,Config!$B$9:$B$29,0))),""),""))</f>
        <v/>
      </c>
      <c r="AI710" s="19" t="str">
        <f>IF($B710="","",IFERROR(INDEX(Config!$D$9:$D$29,MATCH($B710,Config!$B$9:$B$29,0))&amp;"",""))</f>
        <v/>
      </c>
    </row>
    <row r="711">
      <c r="X711" s="20" t="str">
        <f>IF($B711="","",IFERROR(IF(INDEX(Config!$D$9:$D$29,MATCH($B711,Config!$B$9:$B$29,0))="Contrato",IF(INDEX(Config!$E$9:$E$29,MATCH($B711,Config!$B$9:$B$29,0))="","",INDEX(Config!$E$9:$E$29,MATCH($B711,Config!$B$9:$B$29,0))),""),""))</f>
        <v/>
      </c>
      <c r="AI711" s="19" t="str">
        <f>IF($B711="","",IFERROR(INDEX(Config!$D$9:$D$29,MATCH($B711,Config!$B$9:$B$29,0))&amp;"",""))</f>
        <v/>
      </c>
    </row>
    <row r="712">
      <c r="X712" s="20" t="str">
        <f>IF($B712="","",IFERROR(IF(INDEX(Config!$D$9:$D$29,MATCH($B712,Config!$B$9:$B$29,0))="Contrato",IF(INDEX(Config!$E$9:$E$29,MATCH($B712,Config!$B$9:$B$29,0))="","",INDEX(Config!$E$9:$E$29,MATCH($B712,Config!$B$9:$B$29,0))),""),""))</f>
        <v/>
      </c>
      <c r="AI712" s="19" t="str">
        <f>IF($B712="","",IFERROR(INDEX(Config!$D$9:$D$29,MATCH($B712,Config!$B$9:$B$29,0))&amp;"",""))</f>
        <v/>
      </c>
    </row>
    <row r="713">
      <c r="X713" s="20" t="str">
        <f>IF($B713="","",IFERROR(IF(INDEX(Config!$D$9:$D$29,MATCH($B713,Config!$B$9:$B$29,0))="Contrato",IF(INDEX(Config!$E$9:$E$29,MATCH($B713,Config!$B$9:$B$29,0))="","",INDEX(Config!$E$9:$E$29,MATCH($B713,Config!$B$9:$B$29,0))),""),""))</f>
        <v/>
      </c>
      <c r="AI713" s="19" t="str">
        <f>IF($B713="","",IFERROR(INDEX(Config!$D$9:$D$29,MATCH($B713,Config!$B$9:$B$29,0))&amp;"",""))</f>
        <v/>
      </c>
    </row>
    <row r="714">
      <c r="X714" s="20" t="str">
        <f>IF($B714="","",IFERROR(IF(INDEX(Config!$D$9:$D$29,MATCH($B714,Config!$B$9:$B$29,0))="Contrato",IF(INDEX(Config!$E$9:$E$29,MATCH($B714,Config!$B$9:$B$29,0))="","",INDEX(Config!$E$9:$E$29,MATCH($B714,Config!$B$9:$B$29,0))),""),""))</f>
        <v/>
      </c>
      <c r="AI714" s="19" t="str">
        <f>IF($B714="","",IFERROR(INDEX(Config!$D$9:$D$29,MATCH($B714,Config!$B$9:$B$29,0))&amp;"",""))</f>
        <v/>
      </c>
    </row>
    <row r="715">
      <c r="X715" s="20" t="str">
        <f>IF($B715="","",IFERROR(IF(INDEX(Config!$D$9:$D$29,MATCH($B715,Config!$B$9:$B$29,0))="Contrato",IF(INDEX(Config!$E$9:$E$29,MATCH($B715,Config!$B$9:$B$29,0))="","",INDEX(Config!$E$9:$E$29,MATCH($B715,Config!$B$9:$B$29,0))),""),""))</f>
        <v/>
      </c>
      <c r="AI715" s="19" t="str">
        <f>IF($B715="","",IFERROR(INDEX(Config!$D$9:$D$29,MATCH($B715,Config!$B$9:$B$29,0))&amp;"",""))</f>
        <v/>
      </c>
    </row>
    <row r="716">
      <c r="X716" s="20" t="str">
        <f>IF($B716="","",IFERROR(IF(INDEX(Config!$D$9:$D$29,MATCH($B716,Config!$B$9:$B$29,0))="Contrato",IF(INDEX(Config!$E$9:$E$29,MATCH($B716,Config!$B$9:$B$29,0))="","",INDEX(Config!$E$9:$E$29,MATCH($B716,Config!$B$9:$B$29,0))),""),""))</f>
        <v/>
      </c>
      <c r="AI716" s="19" t="str">
        <f>IF($B716="","",IFERROR(INDEX(Config!$D$9:$D$29,MATCH($B716,Config!$B$9:$B$29,0))&amp;"",""))</f>
        <v/>
      </c>
    </row>
    <row r="717">
      <c r="X717" s="20" t="str">
        <f>IF($B717="","",IFERROR(IF(INDEX(Config!$D$9:$D$29,MATCH($B717,Config!$B$9:$B$29,0))="Contrato",IF(INDEX(Config!$E$9:$E$29,MATCH($B717,Config!$B$9:$B$29,0))="","",INDEX(Config!$E$9:$E$29,MATCH($B717,Config!$B$9:$B$29,0))),""),""))</f>
        <v/>
      </c>
      <c r="AI717" s="19" t="str">
        <f>IF($B717="","",IFERROR(INDEX(Config!$D$9:$D$29,MATCH($B717,Config!$B$9:$B$29,0))&amp;"",""))</f>
        <v/>
      </c>
    </row>
    <row r="718">
      <c r="X718" s="20" t="str">
        <f>IF($B718="","",IFERROR(IF(INDEX(Config!$D$9:$D$29,MATCH($B718,Config!$B$9:$B$29,0))="Contrato",IF(INDEX(Config!$E$9:$E$29,MATCH($B718,Config!$B$9:$B$29,0))="","",INDEX(Config!$E$9:$E$29,MATCH($B718,Config!$B$9:$B$29,0))),""),""))</f>
        <v/>
      </c>
      <c r="AI718" s="19" t="str">
        <f>IF($B718="","",IFERROR(INDEX(Config!$D$9:$D$29,MATCH($B718,Config!$B$9:$B$29,0))&amp;"",""))</f>
        <v/>
      </c>
    </row>
    <row r="719">
      <c r="X719" s="20" t="str">
        <f>IF($B719="","",IFERROR(IF(INDEX(Config!$D$9:$D$29,MATCH($B719,Config!$B$9:$B$29,0))="Contrato",IF(INDEX(Config!$E$9:$E$29,MATCH($B719,Config!$B$9:$B$29,0))="","",INDEX(Config!$E$9:$E$29,MATCH($B719,Config!$B$9:$B$29,0))),""),""))</f>
        <v/>
      </c>
      <c r="AI719" s="19" t="str">
        <f>IF($B719="","",IFERROR(INDEX(Config!$D$9:$D$29,MATCH($B719,Config!$B$9:$B$29,0))&amp;"",""))</f>
        <v/>
      </c>
    </row>
    <row r="720">
      <c r="X720" s="20" t="str">
        <f>IF($B720="","",IFERROR(IF(INDEX(Config!$D$9:$D$29,MATCH($B720,Config!$B$9:$B$29,0))="Contrato",IF(INDEX(Config!$E$9:$E$29,MATCH($B720,Config!$B$9:$B$29,0))="","",INDEX(Config!$E$9:$E$29,MATCH($B720,Config!$B$9:$B$29,0))),""),""))</f>
        <v/>
      </c>
      <c r="AI720" s="19" t="str">
        <f>IF($B720="","",IFERROR(INDEX(Config!$D$9:$D$29,MATCH($B720,Config!$B$9:$B$29,0))&amp;"",""))</f>
        <v/>
      </c>
    </row>
    <row r="721">
      <c r="X721" s="20" t="str">
        <f>IF($B721="","",IFERROR(IF(INDEX(Config!$D$9:$D$29,MATCH($B721,Config!$B$9:$B$29,0))="Contrato",IF(INDEX(Config!$E$9:$E$29,MATCH($B721,Config!$B$9:$B$29,0))="","",INDEX(Config!$E$9:$E$29,MATCH($B721,Config!$B$9:$B$29,0))),""),""))</f>
        <v/>
      </c>
      <c r="AI721" s="19" t="str">
        <f>IF($B721="","",IFERROR(INDEX(Config!$D$9:$D$29,MATCH($B721,Config!$B$9:$B$29,0))&amp;"",""))</f>
        <v/>
      </c>
    </row>
    <row r="722">
      <c r="X722" s="20" t="str">
        <f>IF($B722="","",IFERROR(IF(INDEX(Config!$D$9:$D$29,MATCH($B722,Config!$B$9:$B$29,0))="Contrato",IF(INDEX(Config!$E$9:$E$29,MATCH($B722,Config!$B$9:$B$29,0))="","",INDEX(Config!$E$9:$E$29,MATCH($B722,Config!$B$9:$B$29,0))),""),""))</f>
        <v/>
      </c>
      <c r="AI722" s="19" t="str">
        <f>IF($B722="","",IFERROR(INDEX(Config!$D$9:$D$29,MATCH($B722,Config!$B$9:$B$29,0))&amp;"",""))</f>
        <v/>
      </c>
    </row>
    <row r="723">
      <c r="X723" s="20" t="str">
        <f>IF($B723="","",IFERROR(IF(INDEX(Config!$D$9:$D$29,MATCH($B723,Config!$B$9:$B$29,0))="Contrato",IF(INDEX(Config!$E$9:$E$29,MATCH($B723,Config!$B$9:$B$29,0))="","",INDEX(Config!$E$9:$E$29,MATCH($B723,Config!$B$9:$B$29,0))),""),""))</f>
        <v/>
      </c>
      <c r="AI723" s="19" t="str">
        <f>IF($B723="","",IFERROR(INDEX(Config!$D$9:$D$29,MATCH($B723,Config!$B$9:$B$29,0))&amp;"",""))</f>
        <v/>
      </c>
    </row>
    <row r="724">
      <c r="X724" s="20" t="str">
        <f>IF($B724="","",IFERROR(IF(INDEX(Config!$D$9:$D$29,MATCH($B724,Config!$B$9:$B$29,0))="Contrato",IF(INDEX(Config!$E$9:$E$29,MATCH($B724,Config!$B$9:$B$29,0))="","",INDEX(Config!$E$9:$E$29,MATCH($B724,Config!$B$9:$B$29,0))),""),""))</f>
        <v/>
      </c>
      <c r="AI724" s="19" t="str">
        <f>IF($B724="","",IFERROR(INDEX(Config!$D$9:$D$29,MATCH($B724,Config!$B$9:$B$29,0))&amp;"",""))</f>
        <v/>
      </c>
    </row>
    <row r="725">
      <c r="X725" s="20" t="str">
        <f>IF($B725="","",IFERROR(IF(INDEX(Config!$D$9:$D$29,MATCH($B725,Config!$B$9:$B$29,0))="Contrato",IF(INDEX(Config!$E$9:$E$29,MATCH($B725,Config!$B$9:$B$29,0))="","",INDEX(Config!$E$9:$E$29,MATCH($B725,Config!$B$9:$B$29,0))),""),""))</f>
        <v/>
      </c>
      <c r="AI725" s="19" t="str">
        <f>IF($B725="","",IFERROR(INDEX(Config!$D$9:$D$29,MATCH($B725,Config!$B$9:$B$29,0))&amp;"",""))</f>
        <v/>
      </c>
    </row>
    <row r="726">
      <c r="X726" s="20" t="str">
        <f>IF($B726="","",IFERROR(IF(INDEX(Config!$D$9:$D$29,MATCH($B726,Config!$B$9:$B$29,0))="Contrato",IF(INDEX(Config!$E$9:$E$29,MATCH($B726,Config!$B$9:$B$29,0))="","",INDEX(Config!$E$9:$E$29,MATCH($B726,Config!$B$9:$B$29,0))),""),""))</f>
        <v/>
      </c>
      <c r="AI726" s="19" t="str">
        <f>IF($B726="","",IFERROR(INDEX(Config!$D$9:$D$29,MATCH($B726,Config!$B$9:$B$29,0))&amp;"",""))</f>
        <v/>
      </c>
    </row>
    <row r="727">
      <c r="X727" s="20" t="str">
        <f>IF($B727="","",IFERROR(IF(INDEX(Config!$D$9:$D$29,MATCH($B727,Config!$B$9:$B$29,0))="Contrato",IF(INDEX(Config!$E$9:$E$29,MATCH($B727,Config!$B$9:$B$29,0))="","",INDEX(Config!$E$9:$E$29,MATCH($B727,Config!$B$9:$B$29,0))),""),""))</f>
        <v/>
      </c>
      <c r="AI727" s="19" t="str">
        <f>IF($B727="","",IFERROR(INDEX(Config!$D$9:$D$29,MATCH($B727,Config!$B$9:$B$29,0))&amp;"",""))</f>
        <v/>
      </c>
    </row>
    <row r="728">
      <c r="X728" s="20" t="str">
        <f>IF($B728="","",IFERROR(IF(INDEX(Config!$D$9:$D$29,MATCH($B728,Config!$B$9:$B$29,0))="Contrato",IF(INDEX(Config!$E$9:$E$29,MATCH($B728,Config!$B$9:$B$29,0))="","",INDEX(Config!$E$9:$E$29,MATCH($B728,Config!$B$9:$B$29,0))),""),""))</f>
        <v/>
      </c>
      <c r="AI728" s="19" t="str">
        <f>IF($B728="","",IFERROR(INDEX(Config!$D$9:$D$29,MATCH($B728,Config!$B$9:$B$29,0))&amp;"",""))</f>
        <v/>
      </c>
    </row>
    <row r="729">
      <c r="X729" s="20" t="str">
        <f>IF($B729="","",IFERROR(IF(INDEX(Config!$D$9:$D$29,MATCH($B729,Config!$B$9:$B$29,0))="Contrato",IF(INDEX(Config!$E$9:$E$29,MATCH($B729,Config!$B$9:$B$29,0))="","",INDEX(Config!$E$9:$E$29,MATCH($B729,Config!$B$9:$B$29,0))),""),""))</f>
        <v/>
      </c>
      <c r="AI729" s="19" t="str">
        <f>IF($B729="","",IFERROR(INDEX(Config!$D$9:$D$29,MATCH($B729,Config!$B$9:$B$29,0))&amp;"",""))</f>
        <v/>
      </c>
    </row>
    <row r="730">
      <c r="X730" s="20" t="str">
        <f>IF($B730="","",IFERROR(IF(INDEX(Config!$D$9:$D$29,MATCH($B730,Config!$B$9:$B$29,0))="Contrato",IF(INDEX(Config!$E$9:$E$29,MATCH($B730,Config!$B$9:$B$29,0))="","",INDEX(Config!$E$9:$E$29,MATCH($B730,Config!$B$9:$B$29,0))),""),""))</f>
        <v/>
      </c>
      <c r="AI730" s="19" t="str">
        <f>IF($B730="","",IFERROR(INDEX(Config!$D$9:$D$29,MATCH($B730,Config!$B$9:$B$29,0))&amp;"",""))</f>
        <v/>
      </c>
    </row>
    <row r="731">
      <c r="X731" s="20" t="str">
        <f>IF($B731="","",IFERROR(IF(INDEX(Config!$D$9:$D$29,MATCH($B731,Config!$B$9:$B$29,0))="Contrato",IF(INDEX(Config!$E$9:$E$29,MATCH($B731,Config!$B$9:$B$29,0))="","",INDEX(Config!$E$9:$E$29,MATCH($B731,Config!$B$9:$B$29,0))),""),""))</f>
        <v/>
      </c>
      <c r="AI731" s="19" t="str">
        <f>IF($B731="","",IFERROR(INDEX(Config!$D$9:$D$29,MATCH($B731,Config!$B$9:$B$29,0))&amp;"",""))</f>
        <v/>
      </c>
    </row>
    <row r="732">
      <c r="X732" s="20" t="str">
        <f>IF($B732="","",IFERROR(IF(INDEX(Config!$D$9:$D$29,MATCH($B732,Config!$B$9:$B$29,0))="Contrato",IF(INDEX(Config!$E$9:$E$29,MATCH($B732,Config!$B$9:$B$29,0))="","",INDEX(Config!$E$9:$E$29,MATCH($B732,Config!$B$9:$B$29,0))),""),""))</f>
        <v/>
      </c>
      <c r="AI732" s="19" t="str">
        <f>IF($B732="","",IFERROR(INDEX(Config!$D$9:$D$29,MATCH($B732,Config!$B$9:$B$29,0))&amp;"",""))</f>
        <v/>
      </c>
    </row>
    <row r="733">
      <c r="X733" s="20" t="str">
        <f>IF($B733="","",IFERROR(IF(INDEX(Config!$D$9:$D$29,MATCH($B733,Config!$B$9:$B$29,0))="Contrato",IF(INDEX(Config!$E$9:$E$29,MATCH($B733,Config!$B$9:$B$29,0))="","",INDEX(Config!$E$9:$E$29,MATCH($B733,Config!$B$9:$B$29,0))),""),""))</f>
        <v/>
      </c>
      <c r="AI733" s="19" t="str">
        <f>IF($B733="","",IFERROR(INDEX(Config!$D$9:$D$29,MATCH($B733,Config!$B$9:$B$29,0))&amp;"",""))</f>
        <v/>
      </c>
    </row>
    <row r="734">
      <c r="X734" s="20" t="str">
        <f>IF($B734="","",IFERROR(IF(INDEX(Config!$D$9:$D$29,MATCH($B734,Config!$B$9:$B$29,0))="Contrato",IF(INDEX(Config!$E$9:$E$29,MATCH($B734,Config!$B$9:$B$29,0))="","",INDEX(Config!$E$9:$E$29,MATCH($B734,Config!$B$9:$B$29,0))),""),""))</f>
        <v/>
      </c>
      <c r="AI734" s="19" t="str">
        <f>IF($B734="","",IFERROR(INDEX(Config!$D$9:$D$29,MATCH($B734,Config!$B$9:$B$29,0))&amp;"",""))</f>
        <v/>
      </c>
    </row>
    <row r="735">
      <c r="X735" s="20" t="str">
        <f>IF($B735="","",IFERROR(IF(INDEX(Config!$D$9:$D$29,MATCH($B735,Config!$B$9:$B$29,0))="Contrato",IF(INDEX(Config!$E$9:$E$29,MATCH($B735,Config!$B$9:$B$29,0))="","",INDEX(Config!$E$9:$E$29,MATCH($B735,Config!$B$9:$B$29,0))),""),""))</f>
        <v/>
      </c>
      <c r="AI735" s="19" t="str">
        <f>IF($B735="","",IFERROR(INDEX(Config!$D$9:$D$29,MATCH($B735,Config!$B$9:$B$29,0))&amp;"",""))</f>
        <v/>
      </c>
    </row>
    <row r="736">
      <c r="X736" s="20" t="str">
        <f>IF($B736="","",IFERROR(IF(INDEX(Config!$D$9:$D$29,MATCH($B736,Config!$B$9:$B$29,0))="Contrato",IF(INDEX(Config!$E$9:$E$29,MATCH($B736,Config!$B$9:$B$29,0))="","",INDEX(Config!$E$9:$E$29,MATCH($B736,Config!$B$9:$B$29,0))),""),""))</f>
        <v/>
      </c>
      <c r="AI736" s="19" t="str">
        <f>IF($B736="","",IFERROR(INDEX(Config!$D$9:$D$29,MATCH($B736,Config!$B$9:$B$29,0))&amp;"",""))</f>
        <v/>
      </c>
    </row>
    <row r="737">
      <c r="X737" s="20" t="str">
        <f>IF($B737="","",IFERROR(IF(INDEX(Config!$D$9:$D$29,MATCH($B737,Config!$B$9:$B$29,0))="Contrato",IF(INDEX(Config!$E$9:$E$29,MATCH($B737,Config!$B$9:$B$29,0))="","",INDEX(Config!$E$9:$E$29,MATCH($B737,Config!$B$9:$B$29,0))),""),""))</f>
        <v/>
      </c>
      <c r="AI737" s="19" t="str">
        <f>IF($B737="","",IFERROR(INDEX(Config!$D$9:$D$29,MATCH($B737,Config!$B$9:$B$29,0))&amp;"",""))</f>
        <v/>
      </c>
    </row>
    <row r="738">
      <c r="X738" s="20" t="str">
        <f>IF($B738="","",IFERROR(IF(INDEX(Config!$D$9:$D$29,MATCH($B738,Config!$B$9:$B$29,0))="Contrato",IF(INDEX(Config!$E$9:$E$29,MATCH($B738,Config!$B$9:$B$29,0))="","",INDEX(Config!$E$9:$E$29,MATCH($B738,Config!$B$9:$B$29,0))),""),""))</f>
        <v/>
      </c>
      <c r="AI738" s="19" t="str">
        <f>IF($B738="","",IFERROR(INDEX(Config!$D$9:$D$29,MATCH($B738,Config!$B$9:$B$29,0))&amp;"",""))</f>
        <v/>
      </c>
    </row>
    <row r="739">
      <c r="X739" s="20" t="str">
        <f>IF($B739="","",IFERROR(IF(INDEX(Config!$D$9:$D$29,MATCH($B739,Config!$B$9:$B$29,0))="Contrato",IF(INDEX(Config!$E$9:$E$29,MATCH($B739,Config!$B$9:$B$29,0))="","",INDEX(Config!$E$9:$E$29,MATCH($B739,Config!$B$9:$B$29,0))),""),""))</f>
        <v/>
      </c>
      <c r="AI739" s="19" t="str">
        <f>IF($B739="","",IFERROR(INDEX(Config!$D$9:$D$29,MATCH($B739,Config!$B$9:$B$29,0))&amp;"",""))</f>
        <v/>
      </c>
    </row>
    <row r="740">
      <c r="X740" s="20" t="str">
        <f>IF($B740="","",IFERROR(IF(INDEX(Config!$D$9:$D$29,MATCH($B740,Config!$B$9:$B$29,0))="Contrato",IF(INDEX(Config!$E$9:$E$29,MATCH($B740,Config!$B$9:$B$29,0))="","",INDEX(Config!$E$9:$E$29,MATCH($B740,Config!$B$9:$B$29,0))),""),""))</f>
        <v/>
      </c>
      <c r="AI740" s="19" t="str">
        <f>IF($B740="","",IFERROR(INDEX(Config!$D$9:$D$29,MATCH($B740,Config!$B$9:$B$29,0))&amp;"",""))</f>
        <v/>
      </c>
    </row>
    <row r="741">
      <c r="X741" s="20" t="str">
        <f>IF($B741="","",IFERROR(IF(INDEX(Config!$D$9:$D$29,MATCH($B741,Config!$B$9:$B$29,0))="Contrato",IF(INDEX(Config!$E$9:$E$29,MATCH($B741,Config!$B$9:$B$29,0))="","",INDEX(Config!$E$9:$E$29,MATCH($B741,Config!$B$9:$B$29,0))),""),""))</f>
        <v/>
      </c>
      <c r="AI741" s="19" t="str">
        <f>IF($B741="","",IFERROR(INDEX(Config!$D$9:$D$29,MATCH($B741,Config!$B$9:$B$29,0))&amp;"",""))</f>
        <v/>
      </c>
    </row>
    <row r="742">
      <c r="X742" s="20" t="str">
        <f>IF($B742="","",IFERROR(IF(INDEX(Config!$D$9:$D$29,MATCH($B742,Config!$B$9:$B$29,0))="Contrato",IF(INDEX(Config!$E$9:$E$29,MATCH($B742,Config!$B$9:$B$29,0))="","",INDEX(Config!$E$9:$E$29,MATCH($B742,Config!$B$9:$B$29,0))),""),""))</f>
        <v/>
      </c>
      <c r="AI742" s="19" t="str">
        <f>IF($B742="","",IFERROR(INDEX(Config!$D$9:$D$29,MATCH($B742,Config!$B$9:$B$29,0))&amp;"",""))</f>
        <v/>
      </c>
    </row>
    <row r="743">
      <c r="X743" s="20" t="str">
        <f>IF($B743="","",IFERROR(IF(INDEX(Config!$D$9:$D$29,MATCH($B743,Config!$B$9:$B$29,0))="Contrato",IF(INDEX(Config!$E$9:$E$29,MATCH($B743,Config!$B$9:$B$29,0))="","",INDEX(Config!$E$9:$E$29,MATCH($B743,Config!$B$9:$B$29,0))),""),""))</f>
        <v/>
      </c>
      <c r="AI743" s="19" t="str">
        <f>IF($B743="","",IFERROR(INDEX(Config!$D$9:$D$29,MATCH($B743,Config!$B$9:$B$29,0))&amp;"",""))</f>
        <v/>
      </c>
    </row>
    <row r="744">
      <c r="X744" s="20" t="str">
        <f>IF($B744="","",IFERROR(IF(INDEX(Config!$D$9:$D$29,MATCH($B744,Config!$B$9:$B$29,0))="Contrato",IF(INDEX(Config!$E$9:$E$29,MATCH($B744,Config!$B$9:$B$29,0))="","",INDEX(Config!$E$9:$E$29,MATCH($B744,Config!$B$9:$B$29,0))),""),""))</f>
        <v/>
      </c>
      <c r="AI744" s="19" t="str">
        <f>IF($B744="","",IFERROR(INDEX(Config!$D$9:$D$29,MATCH($B744,Config!$B$9:$B$29,0))&amp;"",""))</f>
        <v/>
      </c>
    </row>
    <row r="745">
      <c r="X745" s="20" t="str">
        <f>IF($B745="","",IFERROR(IF(INDEX(Config!$D$9:$D$29,MATCH($B745,Config!$B$9:$B$29,0))="Contrato",IF(INDEX(Config!$E$9:$E$29,MATCH($B745,Config!$B$9:$B$29,0))="","",INDEX(Config!$E$9:$E$29,MATCH($B745,Config!$B$9:$B$29,0))),""),""))</f>
        <v/>
      </c>
      <c r="AI745" s="19" t="str">
        <f>IF($B745="","",IFERROR(INDEX(Config!$D$9:$D$29,MATCH($B745,Config!$B$9:$B$29,0))&amp;"",""))</f>
        <v/>
      </c>
    </row>
    <row r="746">
      <c r="X746" s="20" t="str">
        <f>IF($B746="","",IFERROR(IF(INDEX(Config!$D$9:$D$29,MATCH($B746,Config!$B$9:$B$29,0))="Contrato",IF(INDEX(Config!$E$9:$E$29,MATCH($B746,Config!$B$9:$B$29,0))="","",INDEX(Config!$E$9:$E$29,MATCH($B746,Config!$B$9:$B$29,0))),""),""))</f>
        <v/>
      </c>
      <c r="AI746" s="19" t="str">
        <f>IF($B746="","",IFERROR(INDEX(Config!$D$9:$D$29,MATCH($B746,Config!$B$9:$B$29,0))&amp;"",""))</f>
        <v/>
      </c>
    </row>
    <row r="747">
      <c r="X747" s="20" t="str">
        <f>IF($B747="","",IFERROR(IF(INDEX(Config!$D$9:$D$29,MATCH($B747,Config!$B$9:$B$29,0))="Contrato",IF(INDEX(Config!$E$9:$E$29,MATCH($B747,Config!$B$9:$B$29,0))="","",INDEX(Config!$E$9:$E$29,MATCH($B747,Config!$B$9:$B$29,0))),""),""))</f>
        <v/>
      </c>
      <c r="AI747" s="19" t="str">
        <f>IF($B747="","",IFERROR(INDEX(Config!$D$9:$D$29,MATCH($B747,Config!$B$9:$B$29,0))&amp;"",""))</f>
        <v/>
      </c>
    </row>
    <row r="748">
      <c r="X748" s="20" t="str">
        <f>IF($B748="","",IFERROR(IF(INDEX(Config!$D$9:$D$29,MATCH($B748,Config!$B$9:$B$29,0))="Contrato",IF(INDEX(Config!$E$9:$E$29,MATCH($B748,Config!$B$9:$B$29,0))="","",INDEX(Config!$E$9:$E$29,MATCH($B748,Config!$B$9:$B$29,0))),""),""))</f>
        <v/>
      </c>
      <c r="AI748" s="19" t="str">
        <f>IF($B748="","",IFERROR(INDEX(Config!$D$9:$D$29,MATCH($B748,Config!$B$9:$B$29,0))&amp;"",""))</f>
        <v/>
      </c>
    </row>
    <row r="749">
      <c r="X749" s="20" t="str">
        <f>IF($B749="","",IFERROR(IF(INDEX(Config!$D$9:$D$29,MATCH($B749,Config!$B$9:$B$29,0))="Contrato",IF(INDEX(Config!$E$9:$E$29,MATCH($B749,Config!$B$9:$B$29,0))="","",INDEX(Config!$E$9:$E$29,MATCH($B749,Config!$B$9:$B$29,0))),""),""))</f>
        <v/>
      </c>
      <c r="AI749" s="19" t="str">
        <f>IF($B749="","",IFERROR(INDEX(Config!$D$9:$D$29,MATCH($B749,Config!$B$9:$B$29,0))&amp;"",""))</f>
        <v/>
      </c>
    </row>
    <row r="750">
      <c r="X750" s="20" t="str">
        <f>IF($B750="","",IFERROR(IF(INDEX(Config!$D$9:$D$29,MATCH($B750,Config!$B$9:$B$29,0))="Contrato",IF(INDEX(Config!$E$9:$E$29,MATCH($B750,Config!$B$9:$B$29,0))="","",INDEX(Config!$E$9:$E$29,MATCH($B750,Config!$B$9:$B$29,0))),""),""))</f>
        <v/>
      </c>
      <c r="AI750" s="19" t="str">
        <f>IF($B750="","",IFERROR(INDEX(Config!$D$9:$D$29,MATCH($B750,Config!$B$9:$B$29,0))&amp;"",""))</f>
        <v/>
      </c>
    </row>
    <row r="751">
      <c r="X751" s="20" t="str">
        <f>IF($B751="","",IFERROR(IF(INDEX(Config!$D$9:$D$29,MATCH($B751,Config!$B$9:$B$29,0))="Contrato",IF(INDEX(Config!$E$9:$E$29,MATCH($B751,Config!$B$9:$B$29,0))="","",INDEX(Config!$E$9:$E$29,MATCH($B751,Config!$B$9:$B$29,0))),""),""))</f>
        <v/>
      </c>
      <c r="AI751" s="19" t="str">
        <f>IF($B751="","",IFERROR(INDEX(Config!$D$9:$D$29,MATCH($B751,Config!$B$9:$B$29,0))&amp;"",""))</f>
        <v/>
      </c>
    </row>
    <row r="752">
      <c r="X752" s="20" t="str">
        <f>IF($B752="","",IFERROR(IF(INDEX(Config!$D$9:$D$29,MATCH($B752,Config!$B$9:$B$29,0))="Contrato",IF(INDEX(Config!$E$9:$E$29,MATCH($B752,Config!$B$9:$B$29,0))="","",INDEX(Config!$E$9:$E$29,MATCH($B752,Config!$B$9:$B$29,0))),""),""))</f>
        <v/>
      </c>
      <c r="AI752" s="19" t="str">
        <f>IF($B752="","",IFERROR(INDEX(Config!$D$9:$D$29,MATCH($B752,Config!$B$9:$B$29,0))&amp;"",""))</f>
        <v/>
      </c>
    </row>
    <row r="753">
      <c r="X753" s="20" t="str">
        <f>IF($B753="","",IFERROR(IF(INDEX(Config!$D$9:$D$29,MATCH($B753,Config!$B$9:$B$29,0))="Contrato",IF(INDEX(Config!$E$9:$E$29,MATCH($B753,Config!$B$9:$B$29,0))="","",INDEX(Config!$E$9:$E$29,MATCH($B753,Config!$B$9:$B$29,0))),""),""))</f>
        <v/>
      </c>
      <c r="AI753" s="19" t="str">
        <f>IF($B753="","",IFERROR(INDEX(Config!$D$9:$D$29,MATCH($B753,Config!$B$9:$B$29,0))&amp;"",""))</f>
        <v/>
      </c>
    </row>
    <row r="754">
      <c r="X754" s="20" t="str">
        <f>IF($B754="","",IFERROR(IF(INDEX(Config!$D$9:$D$29,MATCH($B754,Config!$B$9:$B$29,0))="Contrato",IF(INDEX(Config!$E$9:$E$29,MATCH($B754,Config!$B$9:$B$29,0))="","",INDEX(Config!$E$9:$E$29,MATCH($B754,Config!$B$9:$B$29,0))),""),""))</f>
        <v/>
      </c>
      <c r="AI754" s="19" t="str">
        <f>IF($B754="","",IFERROR(INDEX(Config!$D$9:$D$29,MATCH($B754,Config!$B$9:$B$29,0))&amp;"",""))</f>
        <v/>
      </c>
    </row>
    <row r="755">
      <c r="X755" s="20" t="str">
        <f>IF($B755="","",IFERROR(IF(INDEX(Config!$D$9:$D$29,MATCH($B755,Config!$B$9:$B$29,0))="Contrato",IF(INDEX(Config!$E$9:$E$29,MATCH($B755,Config!$B$9:$B$29,0))="","",INDEX(Config!$E$9:$E$29,MATCH($B755,Config!$B$9:$B$29,0))),""),""))</f>
        <v/>
      </c>
      <c r="AI755" s="19" t="str">
        <f>IF($B755="","",IFERROR(INDEX(Config!$D$9:$D$29,MATCH($B755,Config!$B$9:$B$29,0))&amp;"",""))</f>
        <v/>
      </c>
    </row>
    <row r="756">
      <c r="X756" s="20" t="str">
        <f>IF($B756="","",IFERROR(IF(INDEX(Config!$D$9:$D$29,MATCH($B756,Config!$B$9:$B$29,0))="Contrato",IF(INDEX(Config!$E$9:$E$29,MATCH($B756,Config!$B$9:$B$29,0))="","",INDEX(Config!$E$9:$E$29,MATCH($B756,Config!$B$9:$B$29,0))),""),""))</f>
        <v/>
      </c>
      <c r="AI756" s="19" t="str">
        <f>IF($B756="","",IFERROR(INDEX(Config!$D$9:$D$29,MATCH($B756,Config!$B$9:$B$29,0))&amp;"",""))</f>
        <v/>
      </c>
    </row>
    <row r="757">
      <c r="X757" s="20" t="str">
        <f>IF($B757="","",IFERROR(IF(INDEX(Config!$D$9:$D$29,MATCH($B757,Config!$B$9:$B$29,0))="Contrato",IF(INDEX(Config!$E$9:$E$29,MATCH($B757,Config!$B$9:$B$29,0))="","",INDEX(Config!$E$9:$E$29,MATCH($B757,Config!$B$9:$B$29,0))),""),""))</f>
        <v/>
      </c>
      <c r="AI757" s="19" t="str">
        <f>IF($B757="","",IFERROR(INDEX(Config!$D$9:$D$29,MATCH($B757,Config!$B$9:$B$29,0))&amp;"",""))</f>
        <v/>
      </c>
    </row>
    <row r="758">
      <c r="X758" s="20" t="str">
        <f>IF($B758="","",IFERROR(IF(INDEX(Config!$D$9:$D$29,MATCH($B758,Config!$B$9:$B$29,0))="Contrato",IF(INDEX(Config!$E$9:$E$29,MATCH($B758,Config!$B$9:$B$29,0))="","",INDEX(Config!$E$9:$E$29,MATCH($B758,Config!$B$9:$B$29,0))),""),""))</f>
        <v/>
      </c>
      <c r="AI758" s="19" t="str">
        <f>IF($B758="","",IFERROR(INDEX(Config!$D$9:$D$29,MATCH($B758,Config!$B$9:$B$29,0))&amp;"",""))</f>
        <v/>
      </c>
    </row>
    <row r="759">
      <c r="X759" s="20" t="str">
        <f>IF($B759="","",IFERROR(IF(INDEX(Config!$D$9:$D$29,MATCH($B759,Config!$B$9:$B$29,0))="Contrato",IF(INDEX(Config!$E$9:$E$29,MATCH($B759,Config!$B$9:$B$29,0))="","",INDEX(Config!$E$9:$E$29,MATCH($B759,Config!$B$9:$B$29,0))),""),""))</f>
        <v/>
      </c>
      <c r="AI759" s="19" t="str">
        <f>IF($B759="","",IFERROR(INDEX(Config!$D$9:$D$29,MATCH($B759,Config!$B$9:$B$29,0))&amp;"",""))</f>
        <v/>
      </c>
    </row>
    <row r="760">
      <c r="X760" s="20" t="str">
        <f>IF($B760="","",IFERROR(IF(INDEX(Config!$D$9:$D$29,MATCH($B760,Config!$B$9:$B$29,0))="Contrato",IF(INDEX(Config!$E$9:$E$29,MATCH($B760,Config!$B$9:$B$29,0))="","",INDEX(Config!$E$9:$E$29,MATCH($B760,Config!$B$9:$B$29,0))),""),""))</f>
        <v/>
      </c>
      <c r="AI760" s="19" t="str">
        <f>IF($B760="","",IFERROR(INDEX(Config!$D$9:$D$29,MATCH($B760,Config!$B$9:$B$29,0))&amp;"",""))</f>
        <v/>
      </c>
    </row>
    <row r="761">
      <c r="X761" s="20" t="str">
        <f>IF($B761="","",IFERROR(IF(INDEX(Config!$D$9:$D$29,MATCH($B761,Config!$B$9:$B$29,0))="Contrato",IF(INDEX(Config!$E$9:$E$29,MATCH($B761,Config!$B$9:$B$29,0))="","",INDEX(Config!$E$9:$E$29,MATCH($B761,Config!$B$9:$B$29,0))),""),""))</f>
        <v/>
      </c>
      <c r="AI761" s="19" t="str">
        <f>IF($B761="","",IFERROR(INDEX(Config!$D$9:$D$29,MATCH($B761,Config!$B$9:$B$29,0))&amp;"",""))</f>
        <v/>
      </c>
    </row>
    <row r="762">
      <c r="X762" s="20" t="str">
        <f>IF($B762="","",IFERROR(IF(INDEX(Config!$D$9:$D$29,MATCH($B762,Config!$B$9:$B$29,0))="Contrato",IF(INDEX(Config!$E$9:$E$29,MATCH($B762,Config!$B$9:$B$29,0))="","",INDEX(Config!$E$9:$E$29,MATCH($B762,Config!$B$9:$B$29,0))),""),""))</f>
        <v/>
      </c>
      <c r="AI762" s="19" t="str">
        <f>IF($B762="","",IFERROR(INDEX(Config!$D$9:$D$29,MATCH($B762,Config!$B$9:$B$29,0))&amp;"",""))</f>
        <v/>
      </c>
    </row>
    <row r="763">
      <c r="X763" s="20" t="str">
        <f>IF($B763="","",IFERROR(IF(INDEX(Config!$D$9:$D$29,MATCH($B763,Config!$B$9:$B$29,0))="Contrato",IF(INDEX(Config!$E$9:$E$29,MATCH($B763,Config!$B$9:$B$29,0))="","",INDEX(Config!$E$9:$E$29,MATCH($B763,Config!$B$9:$B$29,0))),""),""))</f>
        <v/>
      </c>
      <c r="AI763" s="19" t="str">
        <f>IF($B763="","",IFERROR(INDEX(Config!$D$9:$D$29,MATCH($B763,Config!$B$9:$B$29,0))&amp;"",""))</f>
        <v/>
      </c>
    </row>
    <row r="764">
      <c r="X764" s="20" t="str">
        <f>IF($B764="","",IFERROR(IF(INDEX(Config!$D$9:$D$29,MATCH($B764,Config!$B$9:$B$29,0))="Contrato",IF(INDEX(Config!$E$9:$E$29,MATCH($B764,Config!$B$9:$B$29,0))="","",INDEX(Config!$E$9:$E$29,MATCH($B764,Config!$B$9:$B$29,0))),""),""))</f>
        <v/>
      </c>
      <c r="AI764" s="19" t="str">
        <f>IF($B764="","",IFERROR(INDEX(Config!$D$9:$D$29,MATCH($B764,Config!$B$9:$B$29,0))&amp;"",""))</f>
        <v/>
      </c>
    </row>
    <row r="765">
      <c r="X765" s="20" t="str">
        <f>IF($B765="","",IFERROR(IF(INDEX(Config!$D$9:$D$29,MATCH($B765,Config!$B$9:$B$29,0))="Contrato",IF(INDEX(Config!$E$9:$E$29,MATCH($B765,Config!$B$9:$B$29,0))="","",INDEX(Config!$E$9:$E$29,MATCH($B765,Config!$B$9:$B$29,0))),""),""))</f>
        <v/>
      </c>
      <c r="AI765" s="19" t="str">
        <f>IF($B765="","",IFERROR(INDEX(Config!$D$9:$D$29,MATCH($B765,Config!$B$9:$B$29,0))&amp;"",""))</f>
        <v/>
      </c>
    </row>
    <row r="766">
      <c r="X766" s="20" t="str">
        <f>IF($B766="","",IFERROR(IF(INDEX(Config!$D$9:$D$29,MATCH($B766,Config!$B$9:$B$29,0))="Contrato",IF(INDEX(Config!$E$9:$E$29,MATCH($B766,Config!$B$9:$B$29,0))="","",INDEX(Config!$E$9:$E$29,MATCH($B766,Config!$B$9:$B$29,0))),""),""))</f>
        <v/>
      </c>
      <c r="AI766" s="19" t="str">
        <f>IF($B766="","",IFERROR(INDEX(Config!$D$9:$D$29,MATCH($B766,Config!$B$9:$B$29,0))&amp;"",""))</f>
        <v/>
      </c>
    </row>
    <row r="767">
      <c r="X767" s="20" t="str">
        <f>IF($B767="","",IFERROR(IF(INDEX(Config!$D$9:$D$29,MATCH($B767,Config!$B$9:$B$29,0))="Contrato",IF(INDEX(Config!$E$9:$E$29,MATCH($B767,Config!$B$9:$B$29,0))="","",INDEX(Config!$E$9:$E$29,MATCH($B767,Config!$B$9:$B$29,0))),""),""))</f>
        <v/>
      </c>
      <c r="AI767" s="19" t="str">
        <f>IF($B767="","",IFERROR(INDEX(Config!$D$9:$D$29,MATCH($B767,Config!$B$9:$B$29,0))&amp;"",""))</f>
        <v/>
      </c>
    </row>
    <row r="768">
      <c r="X768" s="20" t="str">
        <f>IF($B768="","",IFERROR(IF(INDEX(Config!$D$9:$D$29,MATCH($B768,Config!$B$9:$B$29,0))="Contrato",IF(INDEX(Config!$E$9:$E$29,MATCH($B768,Config!$B$9:$B$29,0))="","",INDEX(Config!$E$9:$E$29,MATCH($B768,Config!$B$9:$B$29,0))),""),""))</f>
        <v/>
      </c>
      <c r="AI768" s="19" t="str">
        <f>IF($B768="","",IFERROR(INDEX(Config!$D$9:$D$29,MATCH($B768,Config!$B$9:$B$29,0))&amp;"",""))</f>
        <v/>
      </c>
    </row>
    <row r="769">
      <c r="X769" s="20" t="str">
        <f>IF($B769="","",IFERROR(IF(INDEX(Config!$D$9:$D$29,MATCH($B769,Config!$B$9:$B$29,0))="Contrato",IF(INDEX(Config!$E$9:$E$29,MATCH($B769,Config!$B$9:$B$29,0))="","",INDEX(Config!$E$9:$E$29,MATCH($B769,Config!$B$9:$B$29,0))),""),""))</f>
        <v/>
      </c>
      <c r="AI769" s="19" t="str">
        <f>IF($B769="","",IFERROR(INDEX(Config!$D$9:$D$29,MATCH($B769,Config!$B$9:$B$29,0))&amp;"",""))</f>
        <v/>
      </c>
    </row>
    <row r="770">
      <c r="X770" s="20" t="str">
        <f>IF($B770="","",IFERROR(IF(INDEX(Config!$D$9:$D$29,MATCH($B770,Config!$B$9:$B$29,0))="Contrato",IF(INDEX(Config!$E$9:$E$29,MATCH($B770,Config!$B$9:$B$29,0))="","",INDEX(Config!$E$9:$E$29,MATCH($B770,Config!$B$9:$B$29,0))),""),""))</f>
        <v/>
      </c>
      <c r="AI770" s="19" t="str">
        <f>IF($B770="","",IFERROR(INDEX(Config!$D$9:$D$29,MATCH($B770,Config!$B$9:$B$29,0))&amp;"",""))</f>
        <v/>
      </c>
    </row>
    <row r="771">
      <c r="X771" s="20" t="str">
        <f>IF($B771="","",IFERROR(IF(INDEX(Config!$D$9:$D$29,MATCH($B771,Config!$B$9:$B$29,0))="Contrato",IF(INDEX(Config!$E$9:$E$29,MATCH($B771,Config!$B$9:$B$29,0))="","",INDEX(Config!$E$9:$E$29,MATCH($B771,Config!$B$9:$B$29,0))),""),""))</f>
        <v/>
      </c>
      <c r="AI771" s="19" t="str">
        <f>IF($B771="","",IFERROR(INDEX(Config!$D$9:$D$29,MATCH($B771,Config!$B$9:$B$29,0))&amp;"",""))</f>
        <v/>
      </c>
    </row>
    <row r="772">
      <c r="X772" s="20" t="str">
        <f>IF($B772="","",IFERROR(IF(INDEX(Config!$D$9:$D$29,MATCH($B772,Config!$B$9:$B$29,0))="Contrato",IF(INDEX(Config!$E$9:$E$29,MATCH($B772,Config!$B$9:$B$29,0))="","",INDEX(Config!$E$9:$E$29,MATCH($B772,Config!$B$9:$B$29,0))),""),""))</f>
        <v/>
      </c>
      <c r="AI772" s="19" t="str">
        <f>IF($B772="","",IFERROR(INDEX(Config!$D$9:$D$29,MATCH($B772,Config!$B$9:$B$29,0))&amp;"",""))</f>
        <v/>
      </c>
    </row>
    <row r="773">
      <c r="X773" s="20" t="str">
        <f>IF($B773="","",IFERROR(IF(INDEX(Config!$D$9:$D$29,MATCH($B773,Config!$B$9:$B$29,0))="Contrato",IF(INDEX(Config!$E$9:$E$29,MATCH($B773,Config!$B$9:$B$29,0))="","",INDEX(Config!$E$9:$E$29,MATCH($B773,Config!$B$9:$B$29,0))),""),""))</f>
        <v/>
      </c>
      <c r="AI773" s="19" t="str">
        <f>IF($B773="","",IFERROR(INDEX(Config!$D$9:$D$29,MATCH($B773,Config!$B$9:$B$29,0))&amp;"",""))</f>
        <v/>
      </c>
    </row>
    <row r="774">
      <c r="X774" s="20" t="str">
        <f>IF($B774="","",IFERROR(IF(INDEX(Config!$D$9:$D$29,MATCH($B774,Config!$B$9:$B$29,0))="Contrato",IF(INDEX(Config!$E$9:$E$29,MATCH($B774,Config!$B$9:$B$29,0))="","",INDEX(Config!$E$9:$E$29,MATCH($B774,Config!$B$9:$B$29,0))),""),""))</f>
        <v/>
      </c>
      <c r="AI774" s="19" t="str">
        <f>IF($B774="","",IFERROR(INDEX(Config!$D$9:$D$29,MATCH($B774,Config!$B$9:$B$29,0))&amp;"",""))</f>
        <v/>
      </c>
    </row>
    <row r="775">
      <c r="X775" s="20" t="str">
        <f>IF($B775="","",IFERROR(IF(INDEX(Config!$D$9:$D$29,MATCH($B775,Config!$B$9:$B$29,0))="Contrato",IF(INDEX(Config!$E$9:$E$29,MATCH($B775,Config!$B$9:$B$29,0))="","",INDEX(Config!$E$9:$E$29,MATCH($B775,Config!$B$9:$B$29,0))),""),""))</f>
        <v/>
      </c>
      <c r="AI775" s="19" t="str">
        <f>IF($B775="","",IFERROR(INDEX(Config!$D$9:$D$29,MATCH($B775,Config!$B$9:$B$29,0))&amp;"",""))</f>
        <v/>
      </c>
    </row>
    <row r="776">
      <c r="X776" s="20" t="str">
        <f>IF($B776="","",IFERROR(IF(INDEX(Config!$D$9:$D$29,MATCH($B776,Config!$B$9:$B$29,0))="Contrato",IF(INDEX(Config!$E$9:$E$29,MATCH($B776,Config!$B$9:$B$29,0))="","",INDEX(Config!$E$9:$E$29,MATCH($B776,Config!$B$9:$B$29,0))),""),""))</f>
        <v/>
      </c>
      <c r="AI776" s="19" t="str">
        <f>IF($B776="","",IFERROR(INDEX(Config!$D$9:$D$29,MATCH($B776,Config!$B$9:$B$29,0))&amp;"",""))</f>
        <v/>
      </c>
    </row>
    <row r="777">
      <c r="X777" s="20" t="str">
        <f>IF($B777="","",IFERROR(IF(INDEX(Config!$D$9:$D$29,MATCH($B777,Config!$B$9:$B$29,0))="Contrato",IF(INDEX(Config!$E$9:$E$29,MATCH($B777,Config!$B$9:$B$29,0))="","",INDEX(Config!$E$9:$E$29,MATCH($B777,Config!$B$9:$B$29,0))),""),""))</f>
        <v/>
      </c>
      <c r="AI777" s="19" t="str">
        <f>IF($B777="","",IFERROR(INDEX(Config!$D$9:$D$29,MATCH($B777,Config!$B$9:$B$29,0))&amp;"",""))</f>
        <v/>
      </c>
    </row>
    <row r="778">
      <c r="X778" s="20" t="str">
        <f>IF($B778="","",IFERROR(IF(INDEX(Config!$D$9:$D$29,MATCH($B778,Config!$B$9:$B$29,0))="Contrato",IF(INDEX(Config!$E$9:$E$29,MATCH($B778,Config!$B$9:$B$29,0))="","",INDEX(Config!$E$9:$E$29,MATCH($B778,Config!$B$9:$B$29,0))),""),""))</f>
        <v/>
      </c>
      <c r="AI778" s="19" t="str">
        <f>IF($B778="","",IFERROR(INDEX(Config!$D$9:$D$29,MATCH($B778,Config!$B$9:$B$29,0))&amp;"",""))</f>
        <v/>
      </c>
    </row>
    <row r="779">
      <c r="X779" s="20" t="str">
        <f>IF($B779="","",IFERROR(IF(INDEX(Config!$D$9:$D$29,MATCH($B779,Config!$B$9:$B$29,0))="Contrato",IF(INDEX(Config!$E$9:$E$29,MATCH($B779,Config!$B$9:$B$29,0))="","",INDEX(Config!$E$9:$E$29,MATCH($B779,Config!$B$9:$B$29,0))),""),""))</f>
        <v/>
      </c>
      <c r="AI779" s="19" t="str">
        <f>IF($B779="","",IFERROR(INDEX(Config!$D$9:$D$29,MATCH($B779,Config!$B$9:$B$29,0))&amp;"",""))</f>
        <v/>
      </c>
    </row>
    <row r="780">
      <c r="X780" s="20" t="str">
        <f>IF($B780="","",IFERROR(IF(INDEX(Config!$D$9:$D$29,MATCH($B780,Config!$B$9:$B$29,0))="Contrato",IF(INDEX(Config!$E$9:$E$29,MATCH($B780,Config!$B$9:$B$29,0))="","",INDEX(Config!$E$9:$E$29,MATCH($B780,Config!$B$9:$B$29,0))),""),""))</f>
        <v/>
      </c>
      <c r="AI780" s="19" t="str">
        <f>IF($B780="","",IFERROR(INDEX(Config!$D$9:$D$29,MATCH($B780,Config!$B$9:$B$29,0))&amp;"",""))</f>
        <v/>
      </c>
    </row>
    <row r="781">
      <c r="X781" s="20" t="str">
        <f>IF($B781="","",IFERROR(IF(INDEX(Config!$D$9:$D$29,MATCH($B781,Config!$B$9:$B$29,0))="Contrato",IF(INDEX(Config!$E$9:$E$29,MATCH($B781,Config!$B$9:$B$29,0))="","",INDEX(Config!$E$9:$E$29,MATCH($B781,Config!$B$9:$B$29,0))),""),""))</f>
        <v/>
      </c>
      <c r="AI781" s="19" t="str">
        <f>IF($B781="","",IFERROR(INDEX(Config!$D$9:$D$29,MATCH($B781,Config!$B$9:$B$29,0))&amp;"",""))</f>
        <v/>
      </c>
    </row>
    <row r="782">
      <c r="X782" s="20" t="str">
        <f>IF($B782="","",IFERROR(IF(INDEX(Config!$D$9:$D$29,MATCH($B782,Config!$B$9:$B$29,0))="Contrato",IF(INDEX(Config!$E$9:$E$29,MATCH($B782,Config!$B$9:$B$29,0))="","",INDEX(Config!$E$9:$E$29,MATCH($B782,Config!$B$9:$B$29,0))),""),""))</f>
        <v/>
      </c>
      <c r="AI782" s="19" t="str">
        <f>IF($B782="","",IFERROR(INDEX(Config!$D$9:$D$29,MATCH($B782,Config!$B$9:$B$29,0))&amp;"",""))</f>
        <v/>
      </c>
    </row>
    <row r="783">
      <c r="X783" s="20" t="str">
        <f>IF($B783="","",IFERROR(IF(INDEX(Config!$D$9:$D$29,MATCH($B783,Config!$B$9:$B$29,0))="Contrato",IF(INDEX(Config!$E$9:$E$29,MATCH($B783,Config!$B$9:$B$29,0))="","",INDEX(Config!$E$9:$E$29,MATCH($B783,Config!$B$9:$B$29,0))),""),""))</f>
        <v/>
      </c>
      <c r="AI783" s="19" t="str">
        <f>IF($B783="","",IFERROR(INDEX(Config!$D$9:$D$29,MATCH($B783,Config!$B$9:$B$29,0))&amp;"",""))</f>
        <v/>
      </c>
    </row>
    <row r="784">
      <c r="X784" s="20" t="str">
        <f>IF($B784="","",IFERROR(IF(INDEX(Config!$D$9:$D$29,MATCH($B784,Config!$B$9:$B$29,0))="Contrato",IF(INDEX(Config!$E$9:$E$29,MATCH($B784,Config!$B$9:$B$29,0))="","",INDEX(Config!$E$9:$E$29,MATCH($B784,Config!$B$9:$B$29,0))),""),""))</f>
        <v/>
      </c>
      <c r="AI784" s="19" t="str">
        <f>IF($B784="","",IFERROR(INDEX(Config!$D$9:$D$29,MATCH($B784,Config!$B$9:$B$29,0))&amp;"",""))</f>
        <v/>
      </c>
    </row>
    <row r="785">
      <c r="X785" s="20" t="str">
        <f>IF($B785="","",IFERROR(IF(INDEX(Config!$D$9:$D$29,MATCH($B785,Config!$B$9:$B$29,0))="Contrato",IF(INDEX(Config!$E$9:$E$29,MATCH($B785,Config!$B$9:$B$29,0))="","",INDEX(Config!$E$9:$E$29,MATCH($B785,Config!$B$9:$B$29,0))),""),""))</f>
        <v/>
      </c>
      <c r="AI785" s="19" t="str">
        <f>IF($B785="","",IFERROR(INDEX(Config!$D$9:$D$29,MATCH($B785,Config!$B$9:$B$29,0))&amp;"",""))</f>
        <v/>
      </c>
    </row>
    <row r="786">
      <c r="X786" s="20" t="str">
        <f>IF($B786="","",IFERROR(IF(INDEX(Config!$D$9:$D$29,MATCH($B786,Config!$B$9:$B$29,0))="Contrato",IF(INDEX(Config!$E$9:$E$29,MATCH($B786,Config!$B$9:$B$29,0))="","",INDEX(Config!$E$9:$E$29,MATCH($B786,Config!$B$9:$B$29,0))),""),""))</f>
        <v/>
      </c>
      <c r="AI786" s="19" t="str">
        <f>IF($B786="","",IFERROR(INDEX(Config!$D$9:$D$29,MATCH($B786,Config!$B$9:$B$29,0))&amp;"",""))</f>
        <v/>
      </c>
    </row>
    <row r="787">
      <c r="X787" s="20" t="str">
        <f>IF($B787="","",IFERROR(IF(INDEX(Config!$D$9:$D$29,MATCH($B787,Config!$B$9:$B$29,0))="Contrato",IF(INDEX(Config!$E$9:$E$29,MATCH($B787,Config!$B$9:$B$29,0))="","",INDEX(Config!$E$9:$E$29,MATCH($B787,Config!$B$9:$B$29,0))),""),""))</f>
        <v/>
      </c>
      <c r="AI787" s="19" t="str">
        <f>IF($B787="","",IFERROR(INDEX(Config!$D$9:$D$29,MATCH($B787,Config!$B$9:$B$29,0))&amp;"",""))</f>
        <v/>
      </c>
    </row>
    <row r="788">
      <c r="X788" s="20" t="str">
        <f>IF($B788="","",IFERROR(IF(INDEX(Config!$D$9:$D$29,MATCH($B788,Config!$B$9:$B$29,0))="Contrato",IF(INDEX(Config!$E$9:$E$29,MATCH($B788,Config!$B$9:$B$29,0))="","",INDEX(Config!$E$9:$E$29,MATCH($B788,Config!$B$9:$B$29,0))),""),""))</f>
        <v/>
      </c>
      <c r="AI788" s="19" t="str">
        <f>IF($B788="","",IFERROR(INDEX(Config!$D$9:$D$29,MATCH($B788,Config!$B$9:$B$29,0))&amp;"",""))</f>
        <v/>
      </c>
    </row>
    <row r="789">
      <c r="X789" s="20" t="str">
        <f>IF($B789="","",IFERROR(IF(INDEX(Config!$D$9:$D$29,MATCH($B789,Config!$B$9:$B$29,0))="Contrato",IF(INDEX(Config!$E$9:$E$29,MATCH($B789,Config!$B$9:$B$29,0))="","",INDEX(Config!$E$9:$E$29,MATCH($B789,Config!$B$9:$B$29,0))),""),""))</f>
        <v/>
      </c>
      <c r="AI789" s="19" t="str">
        <f>IF($B789="","",IFERROR(INDEX(Config!$D$9:$D$29,MATCH($B789,Config!$B$9:$B$29,0))&amp;"",""))</f>
        <v/>
      </c>
    </row>
    <row r="790">
      <c r="X790" s="20" t="str">
        <f>IF($B790="","",IFERROR(IF(INDEX(Config!$D$9:$D$29,MATCH($B790,Config!$B$9:$B$29,0))="Contrato",IF(INDEX(Config!$E$9:$E$29,MATCH($B790,Config!$B$9:$B$29,0))="","",INDEX(Config!$E$9:$E$29,MATCH($B790,Config!$B$9:$B$29,0))),""),""))</f>
        <v/>
      </c>
      <c r="AI790" s="19" t="str">
        <f>IF($B790="","",IFERROR(INDEX(Config!$D$9:$D$29,MATCH($B790,Config!$B$9:$B$29,0))&amp;"",""))</f>
        <v/>
      </c>
    </row>
    <row r="791">
      <c r="X791" s="20" t="str">
        <f>IF($B791="","",IFERROR(IF(INDEX(Config!$D$9:$D$29,MATCH($B791,Config!$B$9:$B$29,0))="Contrato",IF(INDEX(Config!$E$9:$E$29,MATCH($B791,Config!$B$9:$B$29,0))="","",INDEX(Config!$E$9:$E$29,MATCH($B791,Config!$B$9:$B$29,0))),""),""))</f>
        <v/>
      </c>
      <c r="AI791" s="19" t="str">
        <f>IF($B791="","",IFERROR(INDEX(Config!$D$9:$D$29,MATCH($B791,Config!$B$9:$B$29,0))&amp;"",""))</f>
        <v/>
      </c>
    </row>
    <row r="792">
      <c r="X792" s="20" t="str">
        <f>IF($B792="","",IFERROR(IF(INDEX(Config!$D$9:$D$29,MATCH($B792,Config!$B$9:$B$29,0))="Contrato",IF(INDEX(Config!$E$9:$E$29,MATCH($B792,Config!$B$9:$B$29,0))="","",INDEX(Config!$E$9:$E$29,MATCH($B792,Config!$B$9:$B$29,0))),""),""))</f>
        <v/>
      </c>
      <c r="AI792" s="19" t="str">
        <f>IF($B792="","",IFERROR(INDEX(Config!$D$9:$D$29,MATCH($B792,Config!$B$9:$B$29,0))&amp;"",""))</f>
        <v/>
      </c>
    </row>
    <row r="793">
      <c r="X793" s="20" t="str">
        <f>IF($B793="","",IFERROR(IF(INDEX(Config!$D$9:$D$29,MATCH($B793,Config!$B$9:$B$29,0))="Contrato",IF(INDEX(Config!$E$9:$E$29,MATCH($B793,Config!$B$9:$B$29,0))="","",INDEX(Config!$E$9:$E$29,MATCH($B793,Config!$B$9:$B$29,0))),""),""))</f>
        <v/>
      </c>
      <c r="AI793" s="19" t="str">
        <f>IF($B793="","",IFERROR(INDEX(Config!$D$9:$D$29,MATCH($B793,Config!$B$9:$B$29,0))&amp;"",""))</f>
        <v/>
      </c>
    </row>
    <row r="794">
      <c r="X794" s="20" t="str">
        <f>IF($B794="","",IFERROR(IF(INDEX(Config!$D$9:$D$29,MATCH($B794,Config!$B$9:$B$29,0))="Contrato",IF(INDEX(Config!$E$9:$E$29,MATCH($B794,Config!$B$9:$B$29,0))="","",INDEX(Config!$E$9:$E$29,MATCH($B794,Config!$B$9:$B$29,0))),""),""))</f>
        <v/>
      </c>
      <c r="AI794" s="19" t="str">
        <f>IF($B794="","",IFERROR(INDEX(Config!$D$9:$D$29,MATCH($B794,Config!$B$9:$B$29,0))&amp;"",""))</f>
        <v/>
      </c>
    </row>
    <row r="795">
      <c r="X795" s="20" t="str">
        <f>IF($B795="","",IFERROR(IF(INDEX(Config!$D$9:$D$29,MATCH($B795,Config!$B$9:$B$29,0))="Contrato",IF(INDEX(Config!$E$9:$E$29,MATCH($B795,Config!$B$9:$B$29,0))="","",INDEX(Config!$E$9:$E$29,MATCH($B795,Config!$B$9:$B$29,0))),""),""))</f>
        <v/>
      </c>
      <c r="AI795" s="19" t="str">
        <f>IF($B795="","",IFERROR(INDEX(Config!$D$9:$D$29,MATCH($B795,Config!$B$9:$B$29,0))&amp;"",""))</f>
        <v/>
      </c>
    </row>
    <row r="796">
      <c r="X796" s="20" t="str">
        <f>IF($B796="","",IFERROR(IF(INDEX(Config!$D$9:$D$29,MATCH($B796,Config!$B$9:$B$29,0))="Contrato",IF(INDEX(Config!$E$9:$E$29,MATCH($B796,Config!$B$9:$B$29,0))="","",INDEX(Config!$E$9:$E$29,MATCH($B796,Config!$B$9:$B$29,0))),""),""))</f>
        <v/>
      </c>
      <c r="AI796" s="19" t="str">
        <f>IF($B796="","",IFERROR(INDEX(Config!$D$9:$D$29,MATCH($B796,Config!$B$9:$B$29,0))&amp;"",""))</f>
        <v/>
      </c>
    </row>
    <row r="797">
      <c r="X797" s="20" t="str">
        <f>IF($B797="","",IFERROR(IF(INDEX(Config!$D$9:$D$29,MATCH($B797,Config!$B$9:$B$29,0))="Contrato",IF(INDEX(Config!$E$9:$E$29,MATCH($B797,Config!$B$9:$B$29,0))="","",INDEX(Config!$E$9:$E$29,MATCH($B797,Config!$B$9:$B$29,0))),""),""))</f>
        <v/>
      </c>
      <c r="AI797" s="19" t="str">
        <f>IF($B797="","",IFERROR(INDEX(Config!$D$9:$D$29,MATCH($B797,Config!$B$9:$B$29,0))&amp;"",""))</f>
        <v/>
      </c>
    </row>
    <row r="798">
      <c r="X798" s="20" t="str">
        <f>IF($B798="","",IFERROR(IF(INDEX(Config!$D$9:$D$29,MATCH($B798,Config!$B$9:$B$29,0))="Contrato",IF(INDEX(Config!$E$9:$E$29,MATCH($B798,Config!$B$9:$B$29,0))="","",INDEX(Config!$E$9:$E$29,MATCH($B798,Config!$B$9:$B$29,0))),""),""))</f>
        <v/>
      </c>
      <c r="AI798" s="19" t="str">
        <f>IF($B798="","",IFERROR(INDEX(Config!$D$9:$D$29,MATCH($B798,Config!$B$9:$B$29,0))&amp;"",""))</f>
        <v/>
      </c>
    </row>
    <row r="799">
      <c r="X799" s="20" t="str">
        <f>IF($B799="","",IFERROR(IF(INDEX(Config!$D$9:$D$29,MATCH($B799,Config!$B$9:$B$29,0))="Contrato",IF(INDEX(Config!$E$9:$E$29,MATCH($B799,Config!$B$9:$B$29,0))="","",INDEX(Config!$E$9:$E$29,MATCH($B799,Config!$B$9:$B$29,0))),""),""))</f>
        <v/>
      </c>
      <c r="AI799" s="19" t="str">
        <f>IF($B799="","",IFERROR(INDEX(Config!$D$9:$D$29,MATCH($B799,Config!$B$9:$B$29,0))&amp;"",""))</f>
        <v/>
      </c>
    </row>
    <row r="800">
      <c r="X800" s="20" t="str">
        <f>IF($B800="","",IFERROR(IF(INDEX(Config!$D$9:$D$29,MATCH($B800,Config!$B$9:$B$29,0))="Contrato",IF(INDEX(Config!$E$9:$E$29,MATCH($B800,Config!$B$9:$B$29,0))="","",INDEX(Config!$E$9:$E$29,MATCH($B800,Config!$B$9:$B$29,0))),""),""))</f>
        <v/>
      </c>
      <c r="AI800" s="19" t="str">
        <f>IF($B800="","",IFERROR(INDEX(Config!$D$9:$D$29,MATCH($B800,Config!$B$9:$B$29,0))&amp;"",""))</f>
        <v/>
      </c>
    </row>
    <row r="801">
      <c r="X801" s="20" t="str">
        <f>IF($B801="","",IFERROR(IF(INDEX(Config!$D$9:$D$29,MATCH($B801,Config!$B$9:$B$29,0))="Contrato",IF(INDEX(Config!$E$9:$E$29,MATCH($B801,Config!$B$9:$B$29,0))="","",INDEX(Config!$E$9:$E$29,MATCH($B801,Config!$B$9:$B$29,0))),""),""))</f>
        <v/>
      </c>
      <c r="AI801" s="19" t="str">
        <f>IF($B801="","",IFERROR(INDEX(Config!$D$9:$D$29,MATCH($B801,Config!$B$9:$B$29,0))&amp;"",""))</f>
        <v/>
      </c>
    </row>
    <row r="802">
      <c r="X802" s="20" t="str">
        <f>IF($B802="","",IFERROR(IF(INDEX(Config!$D$9:$D$29,MATCH($B802,Config!$B$9:$B$29,0))="Contrato",IF(INDEX(Config!$E$9:$E$29,MATCH($B802,Config!$B$9:$B$29,0))="","",INDEX(Config!$E$9:$E$29,MATCH($B802,Config!$B$9:$B$29,0))),""),""))</f>
        <v/>
      </c>
      <c r="AI802" s="19" t="str">
        <f>IF($B802="","",IFERROR(INDEX(Config!$D$9:$D$29,MATCH($B802,Config!$B$9:$B$29,0))&amp;"",""))</f>
        <v/>
      </c>
    </row>
    <row r="803">
      <c r="X803" s="20" t="str">
        <f>IF($B803="","",IFERROR(IF(INDEX(Config!$D$9:$D$29,MATCH($B803,Config!$B$9:$B$29,0))="Contrato",IF(INDEX(Config!$E$9:$E$29,MATCH($B803,Config!$B$9:$B$29,0))="","",INDEX(Config!$E$9:$E$29,MATCH($B803,Config!$B$9:$B$29,0))),""),""))</f>
        <v/>
      </c>
      <c r="AI803" s="19" t="str">
        <f>IF($B803="","",IFERROR(INDEX(Config!$D$9:$D$29,MATCH($B803,Config!$B$9:$B$29,0))&amp;"",""))</f>
        <v/>
      </c>
    </row>
    <row r="804">
      <c r="X804" s="20" t="str">
        <f>IF($B804="","",IFERROR(IF(INDEX(Config!$D$9:$D$29,MATCH($B804,Config!$B$9:$B$29,0))="Contrato",IF(INDEX(Config!$E$9:$E$29,MATCH($B804,Config!$B$9:$B$29,0))="","",INDEX(Config!$E$9:$E$29,MATCH($B804,Config!$B$9:$B$29,0))),""),""))</f>
        <v/>
      </c>
      <c r="AI804" s="19" t="str">
        <f>IF($B804="","",IFERROR(INDEX(Config!$D$9:$D$29,MATCH($B804,Config!$B$9:$B$29,0))&amp;"",""))</f>
        <v/>
      </c>
    </row>
    <row r="805">
      <c r="X805" s="20" t="str">
        <f>IF($B805="","",IFERROR(IF(INDEX(Config!$D$9:$D$29,MATCH($B805,Config!$B$9:$B$29,0))="Contrato",IF(INDEX(Config!$E$9:$E$29,MATCH($B805,Config!$B$9:$B$29,0))="","",INDEX(Config!$E$9:$E$29,MATCH($B805,Config!$B$9:$B$29,0))),""),""))</f>
        <v/>
      </c>
      <c r="AI805" s="19" t="str">
        <f>IF($B805="","",IFERROR(INDEX(Config!$D$9:$D$29,MATCH($B805,Config!$B$9:$B$29,0))&amp;"",""))</f>
        <v/>
      </c>
    </row>
    <row r="806">
      <c r="X806" s="20" t="str">
        <f>IF($B806="","",IFERROR(IF(INDEX(Config!$D$9:$D$29,MATCH($B806,Config!$B$9:$B$29,0))="Contrato",IF(INDEX(Config!$E$9:$E$29,MATCH($B806,Config!$B$9:$B$29,0))="","",INDEX(Config!$E$9:$E$29,MATCH($B806,Config!$B$9:$B$29,0))),""),""))</f>
        <v/>
      </c>
      <c r="AI806" s="19" t="str">
        <f>IF($B806="","",IFERROR(INDEX(Config!$D$9:$D$29,MATCH($B806,Config!$B$9:$B$29,0))&amp;"",""))</f>
        <v/>
      </c>
    </row>
    <row r="807">
      <c r="X807" s="20" t="str">
        <f>IF($B807="","",IFERROR(IF(INDEX(Config!$D$9:$D$29,MATCH($B807,Config!$B$9:$B$29,0))="Contrato",IF(INDEX(Config!$E$9:$E$29,MATCH($B807,Config!$B$9:$B$29,0))="","",INDEX(Config!$E$9:$E$29,MATCH($B807,Config!$B$9:$B$29,0))),""),""))</f>
        <v/>
      </c>
      <c r="AI807" s="19" t="str">
        <f>IF($B807="","",IFERROR(INDEX(Config!$D$9:$D$29,MATCH($B807,Config!$B$9:$B$29,0))&amp;"",""))</f>
        <v/>
      </c>
    </row>
    <row r="808">
      <c r="X808" s="20" t="str">
        <f>IF($B808="","",IFERROR(IF(INDEX(Config!$D$9:$D$29,MATCH($B808,Config!$B$9:$B$29,0))="Contrato",IF(INDEX(Config!$E$9:$E$29,MATCH($B808,Config!$B$9:$B$29,0))="","",INDEX(Config!$E$9:$E$29,MATCH($B808,Config!$B$9:$B$29,0))),""),""))</f>
        <v/>
      </c>
      <c r="AI808" s="19" t="str">
        <f>IF($B808="","",IFERROR(INDEX(Config!$D$9:$D$29,MATCH($B808,Config!$B$9:$B$29,0))&amp;"",""))</f>
        <v/>
      </c>
    </row>
    <row r="809">
      <c r="X809" s="20" t="str">
        <f>IF($B809="","",IFERROR(IF(INDEX(Config!$D$9:$D$29,MATCH($B809,Config!$B$9:$B$29,0))="Contrato",IF(INDEX(Config!$E$9:$E$29,MATCH($B809,Config!$B$9:$B$29,0))="","",INDEX(Config!$E$9:$E$29,MATCH($B809,Config!$B$9:$B$29,0))),""),""))</f>
        <v/>
      </c>
      <c r="AI809" s="19" t="str">
        <f>IF($B809="","",IFERROR(INDEX(Config!$D$9:$D$29,MATCH($B809,Config!$B$9:$B$29,0))&amp;"",""))</f>
        <v/>
      </c>
    </row>
    <row r="810">
      <c r="X810" s="20" t="str">
        <f>IF($B810="","",IFERROR(IF(INDEX(Config!$D$9:$D$29,MATCH($B810,Config!$B$9:$B$29,0))="Contrato",IF(INDEX(Config!$E$9:$E$29,MATCH($B810,Config!$B$9:$B$29,0))="","",INDEX(Config!$E$9:$E$29,MATCH($B810,Config!$B$9:$B$29,0))),""),""))</f>
        <v/>
      </c>
      <c r="AI810" s="19" t="str">
        <f>IF($B810="","",IFERROR(INDEX(Config!$D$9:$D$29,MATCH($B810,Config!$B$9:$B$29,0))&amp;"",""))</f>
        <v/>
      </c>
    </row>
    <row r="811">
      <c r="X811" s="20" t="str">
        <f>IF($B811="","",IFERROR(IF(INDEX(Config!$D$9:$D$29,MATCH($B811,Config!$B$9:$B$29,0))="Contrato",IF(INDEX(Config!$E$9:$E$29,MATCH($B811,Config!$B$9:$B$29,0))="","",INDEX(Config!$E$9:$E$29,MATCH($B811,Config!$B$9:$B$29,0))),""),""))</f>
        <v/>
      </c>
      <c r="AI811" s="19" t="str">
        <f>IF($B811="","",IFERROR(INDEX(Config!$D$9:$D$29,MATCH($B811,Config!$B$9:$B$29,0))&amp;"",""))</f>
        <v/>
      </c>
    </row>
    <row r="812">
      <c r="X812" s="20" t="str">
        <f>IF($B812="","",IFERROR(IF(INDEX(Config!$D$9:$D$29,MATCH($B812,Config!$B$9:$B$29,0))="Contrato",IF(INDEX(Config!$E$9:$E$29,MATCH($B812,Config!$B$9:$B$29,0))="","",INDEX(Config!$E$9:$E$29,MATCH($B812,Config!$B$9:$B$29,0))),""),""))</f>
        <v/>
      </c>
      <c r="AI812" s="19" t="str">
        <f>IF($B812="","",IFERROR(INDEX(Config!$D$9:$D$29,MATCH($B812,Config!$B$9:$B$29,0))&amp;"",""))</f>
        <v/>
      </c>
    </row>
    <row r="813">
      <c r="X813" s="20" t="str">
        <f>IF($B813="","",IFERROR(IF(INDEX(Config!$D$9:$D$29,MATCH($B813,Config!$B$9:$B$29,0))="Contrato",IF(INDEX(Config!$E$9:$E$29,MATCH($B813,Config!$B$9:$B$29,0))="","",INDEX(Config!$E$9:$E$29,MATCH($B813,Config!$B$9:$B$29,0))),""),""))</f>
        <v/>
      </c>
      <c r="AI813" s="19" t="str">
        <f>IF($B813="","",IFERROR(INDEX(Config!$D$9:$D$29,MATCH($B813,Config!$B$9:$B$29,0))&amp;"",""))</f>
        <v/>
      </c>
    </row>
    <row r="814">
      <c r="X814" s="20" t="str">
        <f>IF($B814="","",IFERROR(IF(INDEX(Config!$D$9:$D$29,MATCH($B814,Config!$B$9:$B$29,0))="Contrato",IF(INDEX(Config!$E$9:$E$29,MATCH($B814,Config!$B$9:$B$29,0))="","",INDEX(Config!$E$9:$E$29,MATCH($B814,Config!$B$9:$B$29,0))),""),""))</f>
        <v/>
      </c>
      <c r="AI814" s="19" t="str">
        <f>IF($B814="","",IFERROR(INDEX(Config!$D$9:$D$29,MATCH($B814,Config!$B$9:$B$29,0))&amp;"",""))</f>
        <v/>
      </c>
    </row>
    <row r="815">
      <c r="X815" s="20" t="str">
        <f>IF($B815="","",IFERROR(IF(INDEX(Config!$D$9:$D$29,MATCH($B815,Config!$B$9:$B$29,0))="Contrato",IF(INDEX(Config!$E$9:$E$29,MATCH($B815,Config!$B$9:$B$29,0))="","",INDEX(Config!$E$9:$E$29,MATCH($B815,Config!$B$9:$B$29,0))),""),""))</f>
        <v/>
      </c>
      <c r="AI815" s="19" t="str">
        <f>IF($B815="","",IFERROR(INDEX(Config!$D$9:$D$29,MATCH($B815,Config!$B$9:$B$29,0))&amp;"",""))</f>
        <v/>
      </c>
    </row>
    <row r="816">
      <c r="X816" s="20" t="str">
        <f>IF($B816="","",IFERROR(IF(INDEX(Config!$D$9:$D$29,MATCH($B816,Config!$B$9:$B$29,0))="Contrato",IF(INDEX(Config!$E$9:$E$29,MATCH($B816,Config!$B$9:$B$29,0))="","",INDEX(Config!$E$9:$E$29,MATCH($B816,Config!$B$9:$B$29,0))),""),""))</f>
        <v/>
      </c>
      <c r="AI816" s="19" t="str">
        <f>IF($B816="","",IFERROR(INDEX(Config!$D$9:$D$29,MATCH($B816,Config!$B$9:$B$29,0))&amp;"",""))</f>
        <v/>
      </c>
    </row>
    <row r="817">
      <c r="X817" s="20" t="str">
        <f>IF($B817="","",IFERROR(IF(INDEX(Config!$D$9:$D$29,MATCH($B817,Config!$B$9:$B$29,0))="Contrato",IF(INDEX(Config!$E$9:$E$29,MATCH($B817,Config!$B$9:$B$29,0))="","",INDEX(Config!$E$9:$E$29,MATCH($B817,Config!$B$9:$B$29,0))),""),""))</f>
        <v/>
      </c>
      <c r="AI817" s="19" t="str">
        <f>IF($B817="","",IFERROR(INDEX(Config!$D$9:$D$29,MATCH($B817,Config!$B$9:$B$29,0))&amp;"",""))</f>
        <v/>
      </c>
    </row>
    <row r="818">
      <c r="X818" s="20" t="str">
        <f>IF($B818="","",IFERROR(IF(INDEX(Config!$D$9:$D$29,MATCH($B818,Config!$B$9:$B$29,0))="Contrato",IF(INDEX(Config!$E$9:$E$29,MATCH($B818,Config!$B$9:$B$29,0))="","",INDEX(Config!$E$9:$E$29,MATCH($B818,Config!$B$9:$B$29,0))),""),""))</f>
        <v/>
      </c>
      <c r="AI818" s="19" t="str">
        <f>IF($B818="","",IFERROR(INDEX(Config!$D$9:$D$29,MATCH($B818,Config!$B$9:$B$29,0))&amp;"",""))</f>
        <v/>
      </c>
    </row>
    <row r="819">
      <c r="X819" s="20" t="str">
        <f>IF($B819="","",IFERROR(IF(INDEX(Config!$D$9:$D$29,MATCH($B819,Config!$B$9:$B$29,0))="Contrato",IF(INDEX(Config!$E$9:$E$29,MATCH($B819,Config!$B$9:$B$29,0))="","",INDEX(Config!$E$9:$E$29,MATCH($B819,Config!$B$9:$B$29,0))),""),""))</f>
        <v/>
      </c>
      <c r="AI819" s="19" t="str">
        <f>IF($B819="","",IFERROR(INDEX(Config!$D$9:$D$29,MATCH($B819,Config!$B$9:$B$29,0))&amp;"",""))</f>
        <v/>
      </c>
    </row>
    <row r="820">
      <c r="X820" s="20" t="str">
        <f>IF($B820="","",IFERROR(IF(INDEX(Config!$D$9:$D$29,MATCH($B820,Config!$B$9:$B$29,0))="Contrato",IF(INDEX(Config!$E$9:$E$29,MATCH($B820,Config!$B$9:$B$29,0))="","",INDEX(Config!$E$9:$E$29,MATCH($B820,Config!$B$9:$B$29,0))),""),""))</f>
        <v/>
      </c>
      <c r="AI820" s="19" t="str">
        <f>IF($B820="","",IFERROR(INDEX(Config!$D$9:$D$29,MATCH($B820,Config!$B$9:$B$29,0))&amp;"",""))</f>
        <v/>
      </c>
    </row>
    <row r="821">
      <c r="X821" s="20" t="str">
        <f>IF($B821="","",IFERROR(IF(INDEX(Config!$D$9:$D$29,MATCH($B821,Config!$B$9:$B$29,0))="Contrato",IF(INDEX(Config!$E$9:$E$29,MATCH($B821,Config!$B$9:$B$29,0))="","",INDEX(Config!$E$9:$E$29,MATCH($B821,Config!$B$9:$B$29,0))),""),""))</f>
        <v/>
      </c>
      <c r="AI821" s="19" t="str">
        <f>IF($B821="","",IFERROR(INDEX(Config!$D$9:$D$29,MATCH($B821,Config!$B$9:$B$29,0))&amp;"",""))</f>
        <v/>
      </c>
    </row>
    <row r="822">
      <c r="X822" s="20" t="str">
        <f>IF($B822="","",IFERROR(IF(INDEX(Config!$D$9:$D$29,MATCH($B822,Config!$B$9:$B$29,0))="Contrato",IF(INDEX(Config!$E$9:$E$29,MATCH($B822,Config!$B$9:$B$29,0))="","",INDEX(Config!$E$9:$E$29,MATCH($B822,Config!$B$9:$B$29,0))),""),""))</f>
        <v/>
      </c>
      <c r="AI822" s="19" t="str">
        <f>IF($B822="","",IFERROR(INDEX(Config!$D$9:$D$29,MATCH($B822,Config!$B$9:$B$29,0))&amp;"",""))</f>
        <v/>
      </c>
    </row>
    <row r="823">
      <c r="X823" s="20" t="str">
        <f>IF($B823="","",IFERROR(IF(INDEX(Config!$D$9:$D$29,MATCH($B823,Config!$B$9:$B$29,0))="Contrato",IF(INDEX(Config!$E$9:$E$29,MATCH($B823,Config!$B$9:$B$29,0))="","",INDEX(Config!$E$9:$E$29,MATCH($B823,Config!$B$9:$B$29,0))),""),""))</f>
        <v/>
      </c>
      <c r="AI823" s="19" t="str">
        <f>IF($B823="","",IFERROR(INDEX(Config!$D$9:$D$29,MATCH($B823,Config!$B$9:$B$29,0))&amp;"",""))</f>
        <v/>
      </c>
    </row>
    <row r="824">
      <c r="X824" s="20" t="str">
        <f>IF($B824="","",IFERROR(IF(INDEX(Config!$D$9:$D$29,MATCH($B824,Config!$B$9:$B$29,0))="Contrato",IF(INDEX(Config!$E$9:$E$29,MATCH($B824,Config!$B$9:$B$29,0))="","",INDEX(Config!$E$9:$E$29,MATCH($B824,Config!$B$9:$B$29,0))),""),""))</f>
        <v/>
      </c>
      <c r="AI824" s="19" t="str">
        <f>IF($B824="","",IFERROR(INDEX(Config!$D$9:$D$29,MATCH($B824,Config!$B$9:$B$29,0))&amp;"",""))</f>
        <v/>
      </c>
    </row>
    <row r="825">
      <c r="X825" s="20" t="str">
        <f>IF($B825="","",IFERROR(IF(INDEX(Config!$D$9:$D$29,MATCH($B825,Config!$B$9:$B$29,0))="Contrato",IF(INDEX(Config!$E$9:$E$29,MATCH($B825,Config!$B$9:$B$29,0))="","",INDEX(Config!$E$9:$E$29,MATCH($B825,Config!$B$9:$B$29,0))),""),""))</f>
        <v/>
      </c>
      <c r="AI825" s="19" t="str">
        <f>IF($B825="","",IFERROR(INDEX(Config!$D$9:$D$29,MATCH($B825,Config!$B$9:$B$29,0))&amp;"",""))</f>
        <v/>
      </c>
    </row>
    <row r="826">
      <c r="X826" s="20" t="str">
        <f>IF($B826="","",IFERROR(IF(INDEX(Config!$D$9:$D$29,MATCH($B826,Config!$B$9:$B$29,0))="Contrato",IF(INDEX(Config!$E$9:$E$29,MATCH($B826,Config!$B$9:$B$29,0))="","",INDEX(Config!$E$9:$E$29,MATCH($B826,Config!$B$9:$B$29,0))),""),""))</f>
        <v/>
      </c>
      <c r="AI826" s="19" t="str">
        <f>IF($B826="","",IFERROR(INDEX(Config!$D$9:$D$29,MATCH($B826,Config!$B$9:$B$29,0))&amp;"",""))</f>
        <v/>
      </c>
    </row>
    <row r="827">
      <c r="X827" s="20" t="str">
        <f>IF($B827="","",IFERROR(IF(INDEX(Config!$D$9:$D$29,MATCH($B827,Config!$B$9:$B$29,0))="Contrato",IF(INDEX(Config!$E$9:$E$29,MATCH($B827,Config!$B$9:$B$29,0))="","",INDEX(Config!$E$9:$E$29,MATCH($B827,Config!$B$9:$B$29,0))),""),""))</f>
        <v/>
      </c>
      <c r="AI827" s="19" t="str">
        <f>IF($B827="","",IFERROR(INDEX(Config!$D$9:$D$29,MATCH($B827,Config!$B$9:$B$29,0))&amp;"",""))</f>
        <v/>
      </c>
    </row>
    <row r="828">
      <c r="X828" s="20" t="str">
        <f>IF($B828="","",IFERROR(IF(INDEX(Config!$D$9:$D$29,MATCH($B828,Config!$B$9:$B$29,0))="Contrato",IF(INDEX(Config!$E$9:$E$29,MATCH($B828,Config!$B$9:$B$29,0))="","",INDEX(Config!$E$9:$E$29,MATCH($B828,Config!$B$9:$B$29,0))),""),""))</f>
        <v/>
      </c>
      <c r="AI828" s="19" t="str">
        <f>IF($B828="","",IFERROR(INDEX(Config!$D$9:$D$29,MATCH($B828,Config!$B$9:$B$29,0))&amp;"",""))</f>
        <v/>
      </c>
    </row>
    <row r="829">
      <c r="X829" s="20" t="str">
        <f>IF($B829="","",IFERROR(IF(INDEX(Config!$D$9:$D$29,MATCH($B829,Config!$B$9:$B$29,0))="Contrato",IF(INDEX(Config!$E$9:$E$29,MATCH($B829,Config!$B$9:$B$29,0))="","",INDEX(Config!$E$9:$E$29,MATCH($B829,Config!$B$9:$B$29,0))),""),""))</f>
        <v/>
      </c>
      <c r="AI829" s="19" t="str">
        <f>IF($B829="","",IFERROR(INDEX(Config!$D$9:$D$29,MATCH($B829,Config!$B$9:$B$29,0))&amp;"",""))</f>
        <v/>
      </c>
    </row>
    <row r="830">
      <c r="X830" s="20" t="str">
        <f>IF($B830="","",IFERROR(IF(INDEX(Config!$D$9:$D$29,MATCH($B830,Config!$B$9:$B$29,0))="Contrato",IF(INDEX(Config!$E$9:$E$29,MATCH($B830,Config!$B$9:$B$29,0))="","",INDEX(Config!$E$9:$E$29,MATCH($B830,Config!$B$9:$B$29,0))),""),""))</f>
        <v/>
      </c>
      <c r="AI830" s="19" t="str">
        <f>IF($B830="","",IFERROR(INDEX(Config!$D$9:$D$29,MATCH($B830,Config!$B$9:$B$29,0))&amp;"",""))</f>
        <v/>
      </c>
    </row>
    <row r="831">
      <c r="X831" s="20" t="str">
        <f>IF($B831="","",IFERROR(IF(INDEX(Config!$D$9:$D$29,MATCH($B831,Config!$B$9:$B$29,0))="Contrato",IF(INDEX(Config!$E$9:$E$29,MATCH($B831,Config!$B$9:$B$29,0))="","",INDEX(Config!$E$9:$E$29,MATCH($B831,Config!$B$9:$B$29,0))),""),""))</f>
        <v/>
      </c>
      <c r="AI831" s="19" t="str">
        <f>IF($B831="","",IFERROR(INDEX(Config!$D$9:$D$29,MATCH($B831,Config!$B$9:$B$29,0))&amp;"",""))</f>
        <v/>
      </c>
    </row>
    <row r="832">
      <c r="X832" s="20" t="str">
        <f>IF($B832="","",IFERROR(IF(INDEX(Config!$D$9:$D$29,MATCH($B832,Config!$B$9:$B$29,0))="Contrato",IF(INDEX(Config!$E$9:$E$29,MATCH($B832,Config!$B$9:$B$29,0))="","",INDEX(Config!$E$9:$E$29,MATCH($B832,Config!$B$9:$B$29,0))),""),""))</f>
        <v/>
      </c>
      <c r="AI832" s="19" t="str">
        <f>IF($B832="","",IFERROR(INDEX(Config!$D$9:$D$29,MATCH($B832,Config!$B$9:$B$29,0))&amp;"",""))</f>
        <v/>
      </c>
    </row>
    <row r="833">
      <c r="X833" s="20" t="str">
        <f>IF($B833="","",IFERROR(IF(INDEX(Config!$D$9:$D$29,MATCH($B833,Config!$B$9:$B$29,0))="Contrato",IF(INDEX(Config!$E$9:$E$29,MATCH($B833,Config!$B$9:$B$29,0))="","",INDEX(Config!$E$9:$E$29,MATCH($B833,Config!$B$9:$B$29,0))),""),""))</f>
        <v/>
      </c>
      <c r="AI833" s="19" t="str">
        <f>IF($B833="","",IFERROR(INDEX(Config!$D$9:$D$29,MATCH($B833,Config!$B$9:$B$29,0))&amp;"",""))</f>
        <v/>
      </c>
    </row>
    <row r="834">
      <c r="X834" s="20" t="str">
        <f>IF($B834="","",IFERROR(IF(INDEX(Config!$D$9:$D$29,MATCH($B834,Config!$B$9:$B$29,0))="Contrato",IF(INDEX(Config!$E$9:$E$29,MATCH($B834,Config!$B$9:$B$29,0))="","",INDEX(Config!$E$9:$E$29,MATCH($B834,Config!$B$9:$B$29,0))),""),""))</f>
        <v/>
      </c>
      <c r="AI834" s="19" t="str">
        <f>IF($B834="","",IFERROR(INDEX(Config!$D$9:$D$29,MATCH($B834,Config!$B$9:$B$29,0))&amp;"",""))</f>
        <v/>
      </c>
    </row>
    <row r="835">
      <c r="X835" s="20" t="str">
        <f>IF($B835="","",IFERROR(IF(INDEX(Config!$D$9:$D$29,MATCH($B835,Config!$B$9:$B$29,0))="Contrato",IF(INDEX(Config!$E$9:$E$29,MATCH($B835,Config!$B$9:$B$29,0))="","",INDEX(Config!$E$9:$E$29,MATCH($B835,Config!$B$9:$B$29,0))),""),""))</f>
        <v/>
      </c>
      <c r="AI835" s="19" t="str">
        <f>IF($B835="","",IFERROR(INDEX(Config!$D$9:$D$29,MATCH($B835,Config!$B$9:$B$29,0))&amp;"",""))</f>
        <v/>
      </c>
    </row>
    <row r="836">
      <c r="X836" s="20" t="str">
        <f>IF($B836="","",IFERROR(IF(INDEX(Config!$D$9:$D$29,MATCH($B836,Config!$B$9:$B$29,0))="Contrato",IF(INDEX(Config!$E$9:$E$29,MATCH($B836,Config!$B$9:$B$29,0))="","",INDEX(Config!$E$9:$E$29,MATCH($B836,Config!$B$9:$B$29,0))),""),""))</f>
        <v/>
      </c>
      <c r="AI836" s="19" t="str">
        <f>IF($B836="","",IFERROR(INDEX(Config!$D$9:$D$29,MATCH($B836,Config!$B$9:$B$29,0))&amp;"",""))</f>
        <v/>
      </c>
    </row>
    <row r="837">
      <c r="X837" s="20" t="str">
        <f>IF($B837="","",IFERROR(IF(INDEX(Config!$D$9:$D$29,MATCH($B837,Config!$B$9:$B$29,0))="Contrato",IF(INDEX(Config!$E$9:$E$29,MATCH($B837,Config!$B$9:$B$29,0))="","",INDEX(Config!$E$9:$E$29,MATCH($B837,Config!$B$9:$B$29,0))),""),""))</f>
        <v/>
      </c>
      <c r="AI837" s="19" t="str">
        <f>IF($B837="","",IFERROR(INDEX(Config!$D$9:$D$29,MATCH($B837,Config!$B$9:$B$29,0))&amp;"",""))</f>
        <v/>
      </c>
    </row>
    <row r="838">
      <c r="X838" s="20" t="str">
        <f>IF($B838="","",IFERROR(IF(INDEX(Config!$D$9:$D$29,MATCH($B838,Config!$B$9:$B$29,0))="Contrato",IF(INDEX(Config!$E$9:$E$29,MATCH($B838,Config!$B$9:$B$29,0))="","",INDEX(Config!$E$9:$E$29,MATCH($B838,Config!$B$9:$B$29,0))),""),""))</f>
        <v/>
      </c>
      <c r="AI838" s="19" t="str">
        <f>IF($B838="","",IFERROR(INDEX(Config!$D$9:$D$29,MATCH($B838,Config!$B$9:$B$29,0))&amp;"",""))</f>
        <v/>
      </c>
    </row>
    <row r="839">
      <c r="X839" s="20" t="str">
        <f>IF($B839="","",IFERROR(IF(INDEX(Config!$D$9:$D$29,MATCH($B839,Config!$B$9:$B$29,0))="Contrato",IF(INDEX(Config!$E$9:$E$29,MATCH($B839,Config!$B$9:$B$29,0))="","",INDEX(Config!$E$9:$E$29,MATCH($B839,Config!$B$9:$B$29,0))),""),""))</f>
        <v/>
      </c>
      <c r="AI839" s="19" t="str">
        <f>IF($B839="","",IFERROR(INDEX(Config!$D$9:$D$29,MATCH($B839,Config!$B$9:$B$29,0))&amp;"",""))</f>
        <v/>
      </c>
    </row>
    <row r="840">
      <c r="X840" s="20" t="str">
        <f>IF($B840="","",IFERROR(IF(INDEX(Config!$D$9:$D$29,MATCH($B840,Config!$B$9:$B$29,0))="Contrato",IF(INDEX(Config!$E$9:$E$29,MATCH($B840,Config!$B$9:$B$29,0))="","",INDEX(Config!$E$9:$E$29,MATCH($B840,Config!$B$9:$B$29,0))),""),""))</f>
        <v/>
      </c>
      <c r="AI840" s="19" t="str">
        <f>IF($B840="","",IFERROR(INDEX(Config!$D$9:$D$29,MATCH($B840,Config!$B$9:$B$29,0))&amp;"",""))</f>
        <v/>
      </c>
    </row>
    <row r="841">
      <c r="X841" s="20" t="str">
        <f>IF($B841="","",IFERROR(IF(INDEX(Config!$D$9:$D$29,MATCH($B841,Config!$B$9:$B$29,0))="Contrato",IF(INDEX(Config!$E$9:$E$29,MATCH($B841,Config!$B$9:$B$29,0))="","",INDEX(Config!$E$9:$E$29,MATCH($B841,Config!$B$9:$B$29,0))),""),""))</f>
        <v/>
      </c>
      <c r="AI841" s="19" t="str">
        <f>IF($B841="","",IFERROR(INDEX(Config!$D$9:$D$29,MATCH($B841,Config!$B$9:$B$29,0))&amp;"",""))</f>
        <v/>
      </c>
    </row>
    <row r="842">
      <c r="X842" s="20" t="str">
        <f>IF($B842="","",IFERROR(IF(INDEX(Config!$D$9:$D$29,MATCH($B842,Config!$B$9:$B$29,0))="Contrato",IF(INDEX(Config!$E$9:$E$29,MATCH($B842,Config!$B$9:$B$29,0))="","",INDEX(Config!$E$9:$E$29,MATCH($B842,Config!$B$9:$B$29,0))),""),""))</f>
        <v/>
      </c>
      <c r="AI842" s="19" t="str">
        <f>IF($B842="","",IFERROR(INDEX(Config!$D$9:$D$29,MATCH($B842,Config!$B$9:$B$29,0))&amp;"",""))</f>
        <v/>
      </c>
    </row>
    <row r="843">
      <c r="X843" s="20" t="str">
        <f>IF($B843="","",IFERROR(IF(INDEX(Config!$D$9:$D$29,MATCH($B843,Config!$B$9:$B$29,0))="Contrato",IF(INDEX(Config!$E$9:$E$29,MATCH($B843,Config!$B$9:$B$29,0))="","",INDEX(Config!$E$9:$E$29,MATCH($B843,Config!$B$9:$B$29,0))),""),""))</f>
        <v/>
      </c>
      <c r="AI843" s="19" t="str">
        <f>IF($B843="","",IFERROR(INDEX(Config!$D$9:$D$29,MATCH($B843,Config!$B$9:$B$29,0))&amp;"",""))</f>
        <v/>
      </c>
    </row>
    <row r="844">
      <c r="X844" s="20" t="str">
        <f>IF($B844="","",IFERROR(IF(INDEX(Config!$D$9:$D$29,MATCH($B844,Config!$B$9:$B$29,0))="Contrato",IF(INDEX(Config!$E$9:$E$29,MATCH($B844,Config!$B$9:$B$29,0))="","",INDEX(Config!$E$9:$E$29,MATCH($B844,Config!$B$9:$B$29,0))),""),""))</f>
        <v/>
      </c>
      <c r="AI844" s="19" t="str">
        <f>IF($B844="","",IFERROR(INDEX(Config!$D$9:$D$29,MATCH($B844,Config!$B$9:$B$29,0))&amp;"",""))</f>
        <v/>
      </c>
    </row>
    <row r="845">
      <c r="X845" s="20" t="str">
        <f>IF($B845="","",IFERROR(IF(INDEX(Config!$D$9:$D$29,MATCH($B845,Config!$B$9:$B$29,0))="Contrato",IF(INDEX(Config!$E$9:$E$29,MATCH($B845,Config!$B$9:$B$29,0))="","",INDEX(Config!$E$9:$E$29,MATCH($B845,Config!$B$9:$B$29,0))),""),""))</f>
        <v/>
      </c>
      <c r="AI845" s="19" t="str">
        <f>IF($B845="","",IFERROR(INDEX(Config!$D$9:$D$29,MATCH($B845,Config!$B$9:$B$29,0))&amp;"",""))</f>
        <v/>
      </c>
    </row>
    <row r="846">
      <c r="X846" s="20" t="str">
        <f>IF($B846="","",IFERROR(IF(INDEX(Config!$D$9:$D$29,MATCH($B846,Config!$B$9:$B$29,0))="Contrato",IF(INDEX(Config!$E$9:$E$29,MATCH($B846,Config!$B$9:$B$29,0))="","",INDEX(Config!$E$9:$E$29,MATCH($B846,Config!$B$9:$B$29,0))),""),""))</f>
        <v/>
      </c>
      <c r="AI846" s="19" t="str">
        <f>IF($B846="","",IFERROR(INDEX(Config!$D$9:$D$29,MATCH($B846,Config!$B$9:$B$29,0))&amp;"",""))</f>
        <v/>
      </c>
    </row>
    <row r="847">
      <c r="X847" s="20" t="str">
        <f>IF($B847="","",IFERROR(IF(INDEX(Config!$D$9:$D$29,MATCH($B847,Config!$B$9:$B$29,0))="Contrato",IF(INDEX(Config!$E$9:$E$29,MATCH($B847,Config!$B$9:$B$29,0))="","",INDEX(Config!$E$9:$E$29,MATCH($B847,Config!$B$9:$B$29,0))),""),""))</f>
        <v/>
      </c>
      <c r="AI847" s="19" t="str">
        <f>IF($B847="","",IFERROR(INDEX(Config!$D$9:$D$29,MATCH($B847,Config!$B$9:$B$29,0))&amp;"",""))</f>
        <v/>
      </c>
    </row>
    <row r="848">
      <c r="X848" s="20" t="str">
        <f>IF($B848="","",IFERROR(IF(INDEX(Config!$D$9:$D$29,MATCH($B848,Config!$B$9:$B$29,0))="Contrato",IF(INDEX(Config!$E$9:$E$29,MATCH($B848,Config!$B$9:$B$29,0))="","",INDEX(Config!$E$9:$E$29,MATCH($B848,Config!$B$9:$B$29,0))),""),""))</f>
        <v/>
      </c>
      <c r="AI848" s="19" t="str">
        <f>IF($B848="","",IFERROR(INDEX(Config!$D$9:$D$29,MATCH($B848,Config!$B$9:$B$29,0))&amp;"",""))</f>
        <v/>
      </c>
    </row>
    <row r="849">
      <c r="X849" s="20" t="str">
        <f>IF($B849="","",IFERROR(IF(INDEX(Config!$D$9:$D$29,MATCH($B849,Config!$B$9:$B$29,0))="Contrato",IF(INDEX(Config!$E$9:$E$29,MATCH($B849,Config!$B$9:$B$29,0))="","",INDEX(Config!$E$9:$E$29,MATCH($B849,Config!$B$9:$B$29,0))),""),""))</f>
        <v/>
      </c>
      <c r="AI849" s="19" t="str">
        <f>IF($B849="","",IFERROR(INDEX(Config!$D$9:$D$29,MATCH($B849,Config!$B$9:$B$29,0))&amp;"",""))</f>
        <v/>
      </c>
    </row>
    <row r="850">
      <c r="X850" s="20" t="str">
        <f>IF($B850="","",IFERROR(IF(INDEX(Config!$D$9:$D$29,MATCH($B850,Config!$B$9:$B$29,0))="Contrato",IF(INDEX(Config!$E$9:$E$29,MATCH($B850,Config!$B$9:$B$29,0))="","",INDEX(Config!$E$9:$E$29,MATCH($B850,Config!$B$9:$B$29,0))),""),""))</f>
        <v/>
      </c>
      <c r="AI850" s="19" t="str">
        <f>IF($B850="","",IFERROR(INDEX(Config!$D$9:$D$29,MATCH($B850,Config!$B$9:$B$29,0))&amp;"",""))</f>
        <v/>
      </c>
    </row>
    <row r="851">
      <c r="X851" s="20" t="str">
        <f>IF($B851="","",IFERROR(IF(INDEX(Config!$D$9:$D$29,MATCH($B851,Config!$B$9:$B$29,0))="Contrato",IF(INDEX(Config!$E$9:$E$29,MATCH($B851,Config!$B$9:$B$29,0))="","",INDEX(Config!$E$9:$E$29,MATCH($B851,Config!$B$9:$B$29,0))),""),""))</f>
        <v/>
      </c>
      <c r="AI851" s="19" t="str">
        <f>IF($B851="","",IFERROR(INDEX(Config!$D$9:$D$29,MATCH($B851,Config!$B$9:$B$29,0))&amp;"",""))</f>
        <v/>
      </c>
    </row>
    <row r="852">
      <c r="X852" s="20" t="str">
        <f>IF($B852="","",IFERROR(IF(INDEX(Config!$D$9:$D$29,MATCH($B852,Config!$B$9:$B$29,0))="Contrato",IF(INDEX(Config!$E$9:$E$29,MATCH($B852,Config!$B$9:$B$29,0))="","",INDEX(Config!$E$9:$E$29,MATCH($B852,Config!$B$9:$B$29,0))),""),""))</f>
        <v/>
      </c>
      <c r="AI852" s="19" t="str">
        <f>IF($B852="","",IFERROR(INDEX(Config!$D$9:$D$29,MATCH($B852,Config!$B$9:$B$29,0))&amp;"",""))</f>
        <v/>
      </c>
    </row>
    <row r="853">
      <c r="X853" s="20" t="str">
        <f>IF($B853="","",IFERROR(IF(INDEX(Config!$D$9:$D$29,MATCH($B853,Config!$B$9:$B$29,0))="Contrato",IF(INDEX(Config!$E$9:$E$29,MATCH($B853,Config!$B$9:$B$29,0))="","",INDEX(Config!$E$9:$E$29,MATCH($B853,Config!$B$9:$B$29,0))),""),""))</f>
        <v/>
      </c>
      <c r="AI853" s="19" t="str">
        <f>IF($B853="","",IFERROR(INDEX(Config!$D$9:$D$29,MATCH($B853,Config!$B$9:$B$29,0))&amp;"",""))</f>
        <v/>
      </c>
    </row>
    <row r="854">
      <c r="X854" s="20" t="str">
        <f>IF($B854="","",IFERROR(IF(INDEX(Config!$D$9:$D$29,MATCH($B854,Config!$B$9:$B$29,0))="Contrato",IF(INDEX(Config!$E$9:$E$29,MATCH($B854,Config!$B$9:$B$29,0))="","",INDEX(Config!$E$9:$E$29,MATCH($B854,Config!$B$9:$B$29,0))),""),""))</f>
        <v/>
      </c>
      <c r="AI854" s="19" t="str">
        <f>IF($B854="","",IFERROR(INDEX(Config!$D$9:$D$29,MATCH($B854,Config!$B$9:$B$29,0))&amp;"",""))</f>
        <v/>
      </c>
    </row>
    <row r="855">
      <c r="X855" s="20" t="str">
        <f>IF($B855="","",IFERROR(IF(INDEX(Config!$D$9:$D$29,MATCH($B855,Config!$B$9:$B$29,0))="Contrato",IF(INDEX(Config!$E$9:$E$29,MATCH($B855,Config!$B$9:$B$29,0))="","",INDEX(Config!$E$9:$E$29,MATCH($B855,Config!$B$9:$B$29,0))),""),""))</f>
        <v/>
      </c>
      <c r="AI855" s="19" t="str">
        <f>IF($B855="","",IFERROR(INDEX(Config!$D$9:$D$29,MATCH($B855,Config!$B$9:$B$29,0))&amp;"",""))</f>
        <v/>
      </c>
    </row>
    <row r="856">
      <c r="X856" s="20" t="str">
        <f>IF($B856="","",IFERROR(IF(INDEX(Config!$D$9:$D$29,MATCH($B856,Config!$B$9:$B$29,0))="Contrato",IF(INDEX(Config!$E$9:$E$29,MATCH($B856,Config!$B$9:$B$29,0))="","",INDEX(Config!$E$9:$E$29,MATCH($B856,Config!$B$9:$B$29,0))),""),""))</f>
        <v/>
      </c>
      <c r="AI856" s="19" t="str">
        <f>IF($B856="","",IFERROR(INDEX(Config!$D$9:$D$29,MATCH($B856,Config!$B$9:$B$29,0))&amp;"",""))</f>
        <v/>
      </c>
    </row>
    <row r="857">
      <c r="X857" s="20" t="str">
        <f>IF($B857="","",IFERROR(IF(INDEX(Config!$D$9:$D$29,MATCH($B857,Config!$B$9:$B$29,0))="Contrato",IF(INDEX(Config!$E$9:$E$29,MATCH($B857,Config!$B$9:$B$29,0))="","",INDEX(Config!$E$9:$E$29,MATCH($B857,Config!$B$9:$B$29,0))),""),""))</f>
        <v/>
      </c>
      <c r="AI857" s="19" t="str">
        <f>IF($B857="","",IFERROR(INDEX(Config!$D$9:$D$29,MATCH($B857,Config!$B$9:$B$29,0))&amp;"",""))</f>
        <v/>
      </c>
    </row>
    <row r="858">
      <c r="X858" s="20" t="str">
        <f>IF($B858="","",IFERROR(IF(INDEX(Config!$D$9:$D$29,MATCH($B858,Config!$B$9:$B$29,0))="Contrato",IF(INDEX(Config!$E$9:$E$29,MATCH($B858,Config!$B$9:$B$29,0))="","",INDEX(Config!$E$9:$E$29,MATCH($B858,Config!$B$9:$B$29,0))),""),""))</f>
        <v/>
      </c>
      <c r="AI858" s="19" t="str">
        <f>IF($B858="","",IFERROR(INDEX(Config!$D$9:$D$29,MATCH($B858,Config!$B$9:$B$29,0))&amp;"",""))</f>
        <v/>
      </c>
    </row>
    <row r="859">
      <c r="X859" s="20" t="str">
        <f>IF($B859="","",IFERROR(IF(INDEX(Config!$D$9:$D$29,MATCH($B859,Config!$B$9:$B$29,0))="Contrato",IF(INDEX(Config!$E$9:$E$29,MATCH($B859,Config!$B$9:$B$29,0))="","",INDEX(Config!$E$9:$E$29,MATCH($B859,Config!$B$9:$B$29,0))),""),""))</f>
        <v/>
      </c>
      <c r="AI859" s="19" t="str">
        <f>IF($B859="","",IFERROR(INDEX(Config!$D$9:$D$29,MATCH($B859,Config!$B$9:$B$29,0))&amp;"",""))</f>
        <v/>
      </c>
    </row>
    <row r="860">
      <c r="X860" s="20" t="str">
        <f>IF($B860="","",IFERROR(IF(INDEX(Config!$D$9:$D$29,MATCH($B860,Config!$B$9:$B$29,0))="Contrato",IF(INDEX(Config!$E$9:$E$29,MATCH($B860,Config!$B$9:$B$29,0))="","",INDEX(Config!$E$9:$E$29,MATCH($B860,Config!$B$9:$B$29,0))),""),""))</f>
        <v/>
      </c>
      <c r="AI860" s="19" t="str">
        <f>IF($B860="","",IFERROR(INDEX(Config!$D$9:$D$29,MATCH($B860,Config!$B$9:$B$29,0))&amp;"",""))</f>
        <v/>
      </c>
    </row>
    <row r="861">
      <c r="X861" s="20" t="str">
        <f>IF($B861="","",IFERROR(IF(INDEX(Config!$D$9:$D$29,MATCH($B861,Config!$B$9:$B$29,0))="Contrato",IF(INDEX(Config!$E$9:$E$29,MATCH($B861,Config!$B$9:$B$29,0))="","",INDEX(Config!$E$9:$E$29,MATCH($B861,Config!$B$9:$B$29,0))),""),""))</f>
        <v/>
      </c>
      <c r="AI861" s="19" t="str">
        <f>IF($B861="","",IFERROR(INDEX(Config!$D$9:$D$29,MATCH($B861,Config!$B$9:$B$29,0))&amp;"",""))</f>
        <v/>
      </c>
    </row>
    <row r="862">
      <c r="X862" s="20" t="str">
        <f>IF($B862="","",IFERROR(IF(INDEX(Config!$D$9:$D$29,MATCH($B862,Config!$B$9:$B$29,0))="Contrato",IF(INDEX(Config!$E$9:$E$29,MATCH($B862,Config!$B$9:$B$29,0))="","",INDEX(Config!$E$9:$E$29,MATCH($B862,Config!$B$9:$B$29,0))),""),""))</f>
        <v/>
      </c>
      <c r="AI862" s="19" t="str">
        <f>IF($B862="","",IFERROR(INDEX(Config!$D$9:$D$29,MATCH($B862,Config!$B$9:$B$29,0))&amp;"",""))</f>
        <v/>
      </c>
    </row>
    <row r="863">
      <c r="X863" s="20" t="str">
        <f>IF($B863="","",IFERROR(IF(INDEX(Config!$D$9:$D$29,MATCH($B863,Config!$B$9:$B$29,0))="Contrato",IF(INDEX(Config!$E$9:$E$29,MATCH($B863,Config!$B$9:$B$29,0))="","",INDEX(Config!$E$9:$E$29,MATCH($B863,Config!$B$9:$B$29,0))),""),""))</f>
        <v/>
      </c>
      <c r="AI863" s="19" t="str">
        <f>IF($B863="","",IFERROR(INDEX(Config!$D$9:$D$29,MATCH($B863,Config!$B$9:$B$29,0))&amp;"",""))</f>
        <v/>
      </c>
    </row>
    <row r="864">
      <c r="X864" s="20" t="str">
        <f>IF($B864="","",IFERROR(IF(INDEX(Config!$D$9:$D$29,MATCH($B864,Config!$B$9:$B$29,0))="Contrato",IF(INDEX(Config!$E$9:$E$29,MATCH($B864,Config!$B$9:$B$29,0))="","",INDEX(Config!$E$9:$E$29,MATCH($B864,Config!$B$9:$B$29,0))),""),""))</f>
        <v/>
      </c>
      <c r="AI864" s="19" t="str">
        <f>IF($B864="","",IFERROR(INDEX(Config!$D$9:$D$29,MATCH($B864,Config!$B$9:$B$29,0))&amp;"",""))</f>
        <v/>
      </c>
    </row>
    <row r="865">
      <c r="X865" s="20" t="str">
        <f>IF($B865="","",IFERROR(IF(INDEX(Config!$D$9:$D$29,MATCH($B865,Config!$B$9:$B$29,0))="Contrato",IF(INDEX(Config!$E$9:$E$29,MATCH($B865,Config!$B$9:$B$29,0))="","",INDEX(Config!$E$9:$E$29,MATCH($B865,Config!$B$9:$B$29,0))),""),""))</f>
        <v/>
      </c>
      <c r="AI865" s="19" t="str">
        <f>IF($B865="","",IFERROR(INDEX(Config!$D$9:$D$29,MATCH($B865,Config!$B$9:$B$29,0))&amp;"",""))</f>
        <v/>
      </c>
    </row>
    <row r="866">
      <c r="X866" s="20" t="str">
        <f>IF($B866="","",IFERROR(IF(INDEX(Config!$D$9:$D$29,MATCH($B866,Config!$B$9:$B$29,0))="Contrato",IF(INDEX(Config!$E$9:$E$29,MATCH($B866,Config!$B$9:$B$29,0))="","",INDEX(Config!$E$9:$E$29,MATCH($B866,Config!$B$9:$B$29,0))),""),""))</f>
        <v/>
      </c>
      <c r="AI866" s="19" t="str">
        <f>IF($B866="","",IFERROR(INDEX(Config!$D$9:$D$29,MATCH($B866,Config!$B$9:$B$29,0))&amp;"",""))</f>
        <v/>
      </c>
    </row>
    <row r="867">
      <c r="X867" s="20" t="str">
        <f>IF($B867="","",IFERROR(IF(INDEX(Config!$D$9:$D$29,MATCH($B867,Config!$B$9:$B$29,0))="Contrato",IF(INDEX(Config!$E$9:$E$29,MATCH($B867,Config!$B$9:$B$29,0))="","",INDEX(Config!$E$9:$E$29,MATCH($B867,Config!$B$9:$B$29,0))),""),""))</f>
        <v/>
      </c>
      <c r="AI867" s="19" t="str">
        <f>IF($B867="","",IFERROR(INDEX(Config!$D$9:$D$29,MATCH($B867,Config!$B$9:$B$29,0))&amp;"",""))</f>
        <v/>
      </c>
    </row>
    <row r="868">
      <c r="X868" s="20" t="str">
        <f>IF($B868="","",IFERROR(IF(INDEX(Config!$D$9:$D$29,MATCH($B868,Config!$B$9:$B$29,0))="Contrato",IF(INDEX(Config!$E$9:$E$29,MATCH($B868,Config!$B$9:$B$29,0))="","",INDEX(Config!$E$9:$E$29,MATCH($B868,Config!$B$9:$B$29,0))),""),""))</f>
        <v/>
      </c>
      <c r="AI868" s="19" t="str">
        <f>IF($B868="","",IFERROR(INDEX(Config!$D$9:$D$29,MATCH($B868,Config!$B$9:$B$29,0))&amp;"",""))</f>
        <v/>
      </c>
    </row>
    <row r="869">
      <c r="X869" s="20" t="str">
        <f>IF($B869="","",IFERROR(IF(INDEX(Config!$D$9:$D$29,MATCH($B869,Config!$B$9:$B$29,0))="Contrato",IF(INDEX(Config!$E$9:$E$29,MATCH($B869,Config!$B$9:$B$29,0))="","",INDEX(Config!$E$9:$E$29,MATCH($B869,Config!$B$9:$B$29,0))),""),""))</f>
        <v/>
      </c>
      <c r="AI869" s="19" t="str">
        <f>IF($B869="","",IFERROR(INDEX(Config!$D$9:$D$29,MATCH($B869,Config!$B$9:$B$29,0))&amp;"",""))</f>
        <v/>
      </c>
    </row>
    <row r="870">
      <c r="X870" s="20" t="str">
        <f>IF($B870="","",IFERROR(IF(INDEX(Config!$D$9:$D$29,MATCH($B870,Config!$B$9:$B$29,0))="Contrato",IF(INDEX(Config!$E$9:$E$29,MATCH($B870,Config!$B$9:$B$29,0))="","",INDEX(Config!$E$9:$E$29,MATCH($B870,Config!$B$9:$B$29,0))),""),""))</f>
        <v/>
      </c>
      <c r="AI870" s="19" t="str">
        <f>IF($B870="","",IFERROR(INDEX(Config!$D$9:$D$29,MATCH($B870,Config!$B$9:$B$29,0))&amp;"",""))</f>
        <v/>
      </c>
    </row>
    <row r="871">
      <c r="X871" s="20" t="str">
        <f>IF($B871="","",IFERROR(IF(INDEX(Config!$D$9:$D$29,MATCH($B871,Config!$B$9:$B$29,0))="Contrato",IF(INDEX(Config!$E$9:$E$29,MATCH($B871,Config!$B$9:$B$29,0))="","",INDEX(Config!$E$9:$E$29,MATCH($B871,Config!$B$9:$B$29,0))),""),""))</f>
        <v/>
      </c>
      <c r="AI871" s="19" t="str">
        <f>IF($B871="","",IFERROR(INDEX(Config!$D$9:$D$29,MATCH($B871,Config!$B$9:$B$29,0))&amp;"",""))</f>
        <v/>
      </c>
    </row>
    <row r="872">
      <c r="X872" s="20" t="str">
        <f>IF($B872="","",IFERROR(IF(INDEX(Config!$D$9:$D$29,MATCH($B872,Config!$B$9:$B$29,0))="Contrato",IF(INDEX(Config!$E$9:$E$29,MATCH($B872,Config!$B$9:$B$29,0))="","",INDEX(Config!$E$9:$E$29,MATCH($B872,Config!$B$9:$B$29,0))),""),""))</f>
        <v/>
      </c>
      <c r="AI872" s="19" t="str">
        <f>IF($B872="","",IFERROR(INDEX(Config!$D$9:$D$29,MATCH($B872,Config!$B$9:$B$29,0))&amp;"",""))</f>
        <v/>
      </c>
    </row>
    <row r="873">
      <c r="X873" s="20" t="str">
        <f>IF($B873="","",IFERROR(IF(INDEX(Config!$D$9:$D$29,MATCH($B873,Config!$B$9:$B$29,0))="Contrato",IF(INDEX(Config!$E$9:$E$29,MATCH($B873,Config!$B$9:$B$29,0))="","",INDEX(Config!$E$9:$E$29,MATCH($B873,Config!$B$9:$B$29,0))),""),""))</f>
        <v/>
      </c>
      <c r="AI873" s="19" t="str">
        <f>IF($B873="","",IFERROR(INDEX(Config!$D$9:$D$29,MATCH($B873,Config!$B$9:$B$29,0))&amp;"",""))</f>
        <v/>
      </c>
    </row>
    <row r="874">
      <c r="X874" s="20" t="str">
        <f>IF($B874="","",IFERROR(IF(INDEX(Config!$D$9:$D$29,MATCH($B874,Config!$B$9:$B$29,0))="Contrato",IF(INDEX(Config!$E$9:$E$29,MATCH($B874,Config!$B$9:$B$29,0))="","",INDEX(Config!$E$9:$E$29,MATCH($B874,Config!$B$9:$B$29,0))),""),""))</f>
        <v/>
      </c>
      <c r="AI874" s="19" t="str">
        <f>IF($B874="","",IFERROR(INDEX(Config!$D$9:$D$29,MATCH($B874,Config!$B$9:$B$29,0))&amp;"",""))</f>
        <v/>
      </c>
    </row>
    <row r="875">
      <c r="X875" s="20" t="str">
        <f>IF($B875="","",IFERROR(IF(INDEX(Config!$D$9:$D$29,MATCH($B875,Config!$B$9:$B$29,0))="Contrato",IF(INDEX(Config!$E$9:$E$29,MATCH($B875,Config!$B$9:$B$29,0))="","",INDEX(Config!$E$9:$E$29,MATCH($B875,Config!$B$9:$B$29,0))),""),""))</f>
        <v/>
      </c>
      <c r="AI875" s="19" t="str">
        <f>IF($B875="","",IFERROR(INDEX(Config!$D$9:$D$29,MATCH($B875,Config!$B$9:$B$29,0))&amp;"",""))</f>
        <v/>
      </c>
    </row>
    <row r="876">
      <c r="X876" s="20" t="str">
        <f>IF($B876="","",IFERROR(IF(INDEX(Config!$D$9:$D$29,MATCH($B876,Config!$B$9:$B$29,0))="Contrato",IF(INDEX(Config!$E$9:$E$29,MATCH($B876,Config!$B$9:$B$29,0))="","",INDEX(Config!$E$9:$E$29,MATCH($B876,Config!$B$9:$B$29,0))),""),""))</f>
        <v/>
      </c>
      <c r="AI876" s="19" t="str">
        <f>IF($B876="","",IFERROR(INDEX(Config!$D$9:$D$29,MATCH($B876,Config!$B$9:$B$29,0))&amp;"",""))</f>
        <v/>
      </c>
    </row>
    <row r="877">
      <c r="X877" s="20" t="str">
        <f>IF($B877="","",IFERROR(IF(INDEX(Config!$D$9:$D$29,MATCH($B877,Config!$B$9:$B$29,0))="Contrato",IF(INDEX(Config!$E$9:$E$29,MATCH($B877,Config!$B$9:$B$29,0))="","",INDEX(Config!$E$9:$E$29,MATCH($B877,Config!$B$9:$B$29,0))),""),""))</f>
        <v/>
      </c>
      <c r="AI877" s="19" t="str">
        <f>IF($B877="","",IFERROR(INDEX(Config!$D$9:$D$29,MATCH($B877,Config!$B$9:$B$29,0))&amp;"",""))</f>
        <v/>
      </c>
    </row>
    <row r="878">
      <c r="X878" s="20" t="str">
        <f>IF($B878="","",IFERROR(IF(INDEX(Config!$D$9:$D$29,MATCH($B878,Config!$B$9:$B$29,0))="Contrato",IF(INDEX(Config!$E$9:$E$29,MATCH($B878,Config!$B$9:$B$29,0))="","",INDEX(Config!$E$9:$E$29,MATCH($B878,Config!$B$9:$B$29,0))),""),""))</f>
        <v/>
      </c>
      <c r="AI878" s="19" t="str">
        <f>IF($B878="","",IFERROR(INDEX(Config!$D$9:$D$29,MATCH($B878,Config!$B$9:$B$29,0))&amp;"",""))</f>
        <v/>
      </c>
    </row>
    <row r="879">
      <c r="X879" s="20" t="str">
        <f>IF($B879="","",IFERROR(IF(INDEX(Config!$D$9:$D$29,MATCH($B879,Config!$B$9:$B$29,0))="Contrato",IF(INDEX(Config!$E$9:$E$29,MATCH($B879,Config!$B$9:$B$29,0))="","",INDEX(Config!$E$9:$E$29,MATCH($B879,Config!$B$9:$B$29,0))),""),""))</f>
        <v/>
      </c>
      <c r="AI879" s="19" t="str">
        <f>IF($B879="","",IFERROR(INDEX(Config!$D$9:$D$29,MATCH($B879,Config!$B$9:$B$29,0))&amp;"",""))</f>
        <v/>
      </c>
    </row>
    <row r="880">
      <c r="X880" s="20" t="str">
        <f>IF($B880="","",IFERROR(IF(INDEX(Config!$D$9:$D$29,MATCH($B880,Config!$B$9:$B$29,0))="Contrato",IF(INDEX(Config!$E$9:$E$29,MATCH($B880,Config!$B$9:$B$29,0))="","",INDEX(Config!$E$9:$E$29,MATCH($B880,Config!$B$9:$B$29,0))),""),""))</f>
        <v/>
      </c>
      <c r="AI880" s="19" t="str">
        <f>IF($B880="","",IFERROR(INDEX(Config!$D$9:$D$29,MATCH($B880,Config!$B$9:$B$29,0))&amp;"",""))</f>
        <v/>
      </c>
    </row>
    <row r="881">
      <c r="X881" s="20" t="str">
        <f>IF($B881="","",IFERROR(IF(INDEX(Config!$D$9:$D$29,MATCH($B881,Config!$B$9:$B$29,0))="Contrato",IF(INDEX(Config!$E$9:$E$29,MATCH($B881,Config!$B$9:$B$29,0))="","",INDEX(Config!$E$9:$E$29,MATCH($B881,Config!$B$9:$B$29,0))),""),""))</f>
        <v/>
      </c>
      <c r="AI881" s="19" t="str">
        <f>IF($B881="","",IFERROR(INDEX(Config!$D$9:$D$29,MATCH($B881,Config!$B$9:$B$29,0))&amp;"",""))</f>
        <v/>
      </c>
    </row>
    <row r="882">
      <c r="X882" s="20" t="str">
        <f>IF($B882="","",IFERROR(IF(INDEX(Config!$D$9:$D$29,MATCH($B882,Config!$B$9:$B$29,0))="Contrato",IF(INDEX(Config!$E$9:$E$29,MATCH($B882,Config!$B$9:$B$29,0))="","",INDEX(Config!$E$9:$E$29,MATCH($B882,Config!$B$9:$B$29,0))),""),""))</f>
        <v/>
      </c>
      <c r="AI882" s="19" t="str">
        <f>IF($B882="","",IFERROR(INDEX(Config!$D$9:$D$29,MATCH($B882,Config!$B$9:$B$29,0))&amp;"",""))</f>
        <v/>
      </c>
    </row>
    <row r="883">
      <c r="X883" s="20" t="str">
        <f>IF($B883="","",IFERROR(IF(INDEX(Config!$D$9:$D$29,MATCH($B883,Config!$B$9:$B$29,0))="Contrato",IF(INDEX(Config!$E$9:$E$29,MATCH($B883,Config!$B$9:$B$29,0))="","",INDEX(Config!$E$9:$E$29,MATCH($B883,Config!$B$9:$B$29,0))),""),""))</f>
        <v/>
      </c>
      <c r="AI883" s="19" t="str">
        <f>IF($B883="","",IFERROR(INDEX(Config!$D$9:$D$29,MATCH($B883,Config!$B$9:$B$29,0))&amp;"",""))</f>
        <v/>
      </c>
    </row>
    <row r="884">
      <c r="X884" s="20" t="str">
        <f>IF($B884="","",IFERROR(IF(INDEX(Config!$D$9:$D$29,MATCH($B884,Config!$B$9:$B$29,0))="Contrato",IF(INDEX(Config!$E$9:$E$29,MATCH($B884,Config!$B$9:$B$29,0))="","",INDEX(Config!$E$9:$E$29,MATCH($B884,Config!$B$9:$B$29,0))),""),""))</f>
        <v/>
      </c>
      <c r="AI884" s="19" t="str">
        <f>IF($B884="","",IFERROR(INDEX(Config!$D$9:$D$29,MATCH($B884,Config!$B$9:$B$29,0))&amp;"",""))</f>
        <v/>
      </c>
    </row>
    <row r="885">
      <c r="X885" s="20" t="str">
        <f>IF($B885="","",IFERROR(IF(INDEX(Config!$D$9:$D$29,MATCH($B885,Config!$B$9:$B$29,0))="Contrato",IF(INDEX(Config!$E$9:$E$29,MATCH($B885,Config!$B$9:$B$29,0))="","",INDEX(Config!$E$9:$E$29,MATCH($B885,Config!$B$9:$B$29,0))),""),""))</f>
        <v/>
      </c>
      <c r="AI885" s="19" t="str">
        <f>IF($B885="","",IFERROR(INDEX(Config!$D$9:$D$29,MATCH($B885,Config!$B$9:$B$29,0))&amp;"",""))</f>
        <v/>
      </c>
    </row>
    <row r="886">
      <c r="X886" s="20" t="str">
        <f>IF($B886="","",IFERROR(IF(INDEX(Config!$D$9:$D$29,MATCH($B886,Config!$B$9:$B$29,0))="Contrato",IF(INDEX(Config!$E$9:$E$29,MATCH($B886,Config!$B$9:$B$29,0))="","",INDEX(Config!$E$9:$E$29,MATCH($B886,Config!$B$9:$B$29,0))),""),""))</f>
        <v/>
      </c>
      <c r="AI886" s="19" t="str">
        <f>IF($B886="","",IFERROR(INDEX(Config!$D$9:$D$29,MATCH($B886,Config!$B$9:$B$29,0))&amp;"",""))</f>
        <v/>
      </c>
    </row>
    <row r="887">
      <c r="X887" s="20" t="str">
        <f>IF($B887="","",IFERROR(IF(INDEX(Config!$D$9:$D$29,MATCH($B887,Config!$B$9:$B$29,0))="Contrato",IF(INDEX(Config!$E$9:$E$29,MATCH($B887,Config!$B$9:$B$29,0))="","",INDEX(Config!$E$9:$E$29,MATCH($B887,Config!$B$9:$B$29,0))),""),""))</f>
        <v/>
      </c>
      <c r="AI887" s="19" t="str">
        <f>IF($B887="","",IFERROR(INDEX(Config!$D$9:$D$29,MATCH($B887,Config!$B$9:$B$29,0))&amp;"",""))</f>
        <v/>
      </c>
    </row>
    <row r="888">
      <c r="X888" s="20" t="str">
        <f>IF($B888="","",IFERROR(IF(INDEX(Config!$D$9:$D$29,MATCH($B888,Config!$B$9:$B$29,0))="Contrato",IF(INDEX(Config!$E$9:$E$29,MATCH($B888,Config!$B$9:$B$29,0))="","",INDEX(Config!$E$9:$E$29,MATCH($B888,Config!$B$9:$B$29,0))),""),""))</f>
        <v/>
      </c>
      <c r="AI888" s="19" t="str">
        <f>IF($B888="","",IFERROR(INDEX(Config!$D$9:$D$29,MATCH($B888,Config!$B$9:$B$29,0))&amp;"",""))</f>
        <v/>
      </c>
    </row>
    <row r="889">
      <c r="X889" s="20" t="str">
        <f>IF($B889="","",IFERROR(IF(INDEX(Config!$D$9:$D$29,MATCH($B889,Config!$B$9:$B$29,0))="Contrato",IF(INDEX(Config!$E$9:$E$29,MATCH($B889,Config!$B$9:$B$29,0))="","",INDEX(Config!$E$9:$E$29,MATCH($B889,Config!$B$9:$B$29,0))),""),""))</f>
        <v/>
      </c>
      <c r="AI889" s="19" t="str">
        <f>IF($B889="","",IFERROR(INDEX(Config!$D$9:$D$29,MATCH($B889,Config!$B$9:$B$29,0))&amp;"",""))</f>
        <v/>
      </c>
    </row>
    <row r="890">
      <c r="X890" s="20" t="str">
        <f>IF($B890="","",IFERROR(IF(INDEX(Config!$D$9:$D$29,MATCH($B890,Config!$B$9:$B$29,0))="Contrato",IF(INDEX(Config!$E$9:$E$29,MATCH($B890,Config!$B$9:$B$29,0))="","",INDEX(Config!$E$9:$E$29,MATCH($B890,Config!$B$9:$B$29,0))),""),""))</f>
        <v/>
      </c>
      <c r="AI890" s="19" t="str">
        <f>IF($B890="","",IFERROR(INDEX(Config!$D$9:$D$29,MATCH($B890,Config!$B$9:$B$29,0))&amp;"",""))</f>
        <v/>
      </c>
    </row>
    <row r="891">
      <c r="X891" s="20" t="str">
        <f>IF($B891="","",IFERROR(IF(INDEX(Config!$D$9:$D$29,MATCH($B891,Config!$B$9:$B$29,0))="Contrato",IF(INDEX(Config!$E$9:$E$29,MATCH($B891,Config!$B$9:$B$29,0))="","",INDEX(Config!$E$9:$E$29,MATCH($B891,Config!$B$9:$B$29,0))),""),""))</f>
        <v/>
      </c>
      <c r="AI891" s="19" t="str">
        <f>IF($B891="","",IFERROR(INDEX(Config!$D$9:$D$29,MATCH($B891,Config!$B$9:$B$29,0))&amp;"",""))</f>
        <v/>
      </c>
    </row>
    <row r="892">
      <c r="X892" s="20" t="str">
        <f>IF($B892="","",IFERROR(IF(INDEX(Config!$D$9:$D$29,MATCH($B892,Config!$B$9:$B$29,0))="Contrato",IF(INDEX(Config!$E$9:$E$29,MATCH($B892,Config!$B$9:$B$29,0))="","",INDEX(Config!$E$9:$E$29,MATCH($B892,Config!$B$9:$B$29,0))),""),""))</f>
        <v/>
      </c>
      <c r="AI892" s="19" t="str">
        <f>IF($B892="","",IFERROR(INDEX(Config!$D$9:$D$29,MATCH($B892,Config!$B$9:$B$29,0))&amp;"",""))</f>
        <v/>
      </c>
    </row>
    <row r="893">
      <c r="X893" s="20" t="str">
        <f>IF($B893="","",IFERROR(IF(INDEX(Config!$D$9:$D$29,MATCH($B893,Config!$B$9:$B$29,0))="Contrato",IF(INDEX(Config!$E$9:$E$29,MATCH($B893,Config!$B$9:$B$29,0))="","",INDEX(Config!$E$9:$E$29,MATCH($B893,Config!$B$9:$B$29,0))),""),""))</f>
        <v/>
      </c>
      <c r="AI893" s="19" t="str">
        <f>IF($B893="","",IFERROR(INDEX(Config!$D$9:$D$29,MATCH($B893,Config!$B$9:$B$29,0))&amp;"",""))</f>
        <v/>
      </c>
    </row>
    <row r="894">
      <c r="X894" s="20" t="str">
        <f>IF($B894="","",IFERROR(IF(INDEX(Config!$D$9:$D$29,MATCH($B894,Config!$B$9:$B$29,0))="Contrato",IF(INDEX(Config!$E$9:$E$29,MATCH($B894,Config!$B$9:$B$29,0))="","",INDEX(Config!$E$9:$E$29,MATCH($B894,Config!$B$9:$B$29,0))),""),""))</f>
        <v/>
      </c>
      <c r="AI894" s="19" t="str">
        <f>IF($B894="","",IFERROR(INDEX(Config!$D$9:$D$29,MATCH($B894,Config!$B$9:$B$29,0))&amp;"",""))</f>
        <v/>
      </c>
    </row>
    <row r="895">
      <c r="X895" s="20" t="str">
        <f>IF($B895="","",IFERROR(IF(INDEX(Config!$D$9:$D$29,MATCH($B895,Config!$B$9:$B$29,0))="Contrato",IF(INDEX(Config!$E$9:$E$29,MATCH($B895,Config!$B$9:$B$29,0))="","",INDEX(Config!$E$9:$E$29,MATCH($B895,Config!$B$9:$B$29,0))),""),""))</f>
        <v/>
      </c>
      <c r="AI895" s="19" t="str">
        <f>IF($B895="","",IFERROR(INDEX(Config!$D$9:$D$29,MATCH($B895,Config!$B$9:$B$29,0))&amp;"",""))</f>
        <v/>
      </c>
    </row>
    <row r="896">
      <c r="X896" s="20" t="str">
        <f>IF($B896="","",IFERROR(IF(INDEX(Config!$D$9:$D$29,MATCH($B896,Config!$B$9:$B$29,0))="Contrato",IF(INDEX(Config!$E$9:$E$29,MATCH($B896,Config!$B$9:$B$29,0))="","",INDEX(Config!$E$9:$E$29,MATCH($B896,Config!$B$9:$B$29,0))),""),""))</f>
        <v/>
      </c>
      <c r="AI896" s="19" t="str">
        <f>IF($B896="","",IFERROR(INDEX(Config!$D$9:$D$29,MATCH($B896,Config!$B$9:$B$29,0))&amp;"",""))</f>
        <v/>
      </c>
    </row>
    <row r="897">
      <c r="X897" s="20" t="str">
        <f>IF($B897="","",IFERROR(IF(INDEX(Config!$D$9:$D$29,MATCH($B897,Config!$B$9:$B$29,0))="Contrato",IF(INDEX(Config!$E$9:$E$29,MATCH($B897,Config!$B$9:$B$29,0))="","",INDEX(Config!$E$9:$E$29,MATCH($B897,Config!$B$9:$B$29,0))),""),""))</f>
        <v/>
      </c>
      <c r="AI897" s="19" t="str">
        <f>IF($B897="","",IFERROR(INDEX(Config!$D$9:$D$29,MATCH($B897,Config!$B$9:$B$29,0))&amp;"",""))</f>
        <v/>
      </c>
    </row>
    <row r="898">
      <c r="X898" s="20" t="str">
        <f>IF($B898="","",IFERROR(IF(INDEX(Config!$D$9:$D$29,MATCH($B898,Config!$B$9:$B$29,0))="Contrato",IF(INDEX(Config!$E$9:$E$29,MATCH($B898,Config!$B$9:$B$29,0))="","",INDEX(Config!$E$9:$E$29,MATCH($B898,Config!$B$9:$B$29,0))),""),""))</f>
        <v/>
      </c>
      <c r="AI898" s="19" t="str">
        <f>IF($B898="","",IFERROR(INDEX(Config!$D$9:$D$29,MATCH($B898,Config!$B$9:$B$29,0))&amp;"",""))</f>
        <v/>
      </c>
    </row>
    <row r="899">
      <c r="X899" s="20" t="str">
        <f>IF($B899="","",IFERROR(IF(INDEX(Config!$D$9:$D$29,MATCH($B899,Config!$B$9:$B$29,0))="Contrato",IF(INDEX(Config!$E$9:$E$29,MATCH($B899,Config!$B$9:$B$29,0))="","",INDEX(Config!$E$9:$E$29,MATCH($B899,Config!$B$9:$B$29,0))),""),""))</f>
        <v/>
      </c>
      <c r="AI899" s="19" t="str">
        <f>IF($B899="","",IFERROR(INDEX(Config!$D$9:$D$29,MATCH($B899,Config!$B$9:$B$29,0))&amp;"",""))</f>
        <v/>
      </c>
    </row>
    <row r="900">
      <c r="X900" s="20" t="str">
        <f>IF($B900="","",IFERROR(IF(INDEX(Config!$D$9:$D$29,MATCH($B900,Config!$B$9:$B$29,0))="Contrato",IF(INDEX(Config!$E$9:$E$29,MATCH($B900,Config!$B$9:$B$29,0))="","",INDEX(Config!$E$9:$E$29,MATCH($B900,Config!$B$9:$B$29,0))),""),""))</f>
        <v/>
      </c>
      <c r="AI900" s="19" t="str">
        <f>IF($B900="","",IFERROR(INDEX(Config!$D$9:$D$29,MATCH($B900,Config!$B$9:$B$29,0))&amp;"",""))</f>
        <v/>
      </c>
    </row>
    <row r="901">
      <c r="X901" s="20" t="str">
        <f>IF($B901="","",IFERROR(IF(INDEX(Config!$D$9:$D$29,MATCH($B901,Config!$B$9:$B$29,0))="Contrato",IF(INDEX(Config!$E$9:$E$29,MATCH($B901,Config!$B$9:$B$29,0))="","",INDEX(Config!$E$9:$E$29,MATCH($B901,Config!$B$9:$B$29,0))),""),""))</f>
        <v/>
      </c>
      <c r="AI901" s="19" t="str">
        <f>IF($B901="","",IFERROR(INDEX(Config!$D$9:$D$29,MATCH($B901,Config!$B$9:$B$29,0))&amp;"",""))</f>
        <v/>
      </c>
    </row>
    <row r="902">
      <c r="X902" s="20" t="str">
        <f>IF($B902="","",IFERROR(IF(INDEX(Config!$D$9:$D$29,MATCH($B902,Config!$B$9:$B$29,0))="Contrato",IF(INDEX(Config!$E$9:$E$29,MATCH($B902,Config!$B$9:$B$29,0))="","",INDEX(Config!$E$9:$E$29,MATCH($B902,Config!$B$9:$B$29,0))),""),""))</f>
        <v/>
      </c>
      <c r="AI902" s="19" t="str">
        <f>IF($B902="","",IFERROR(INDEX(Config!$D$9:$D$29,MATCH($B902,Config!$B$9:$B$29,0))&amp;"",""))</f>
        <v/>
      </c>
    </row>
    <row r="903">
      <c r="X903" s="20" t="str">
        <f>IF($B903="","",IFERROR(IF(INDEX(Config!$D$9:$D$29,MATCH($B903,Config!$B$9:$B$29,0))="Contrato",IF(INDEX(Config!$E$9:$E$29,MATCH($B903,Config!$B$9:$B$29,0))="","",INDEX(Config!$E$9:$E$29,MATCH($B903,Config!$B$9:$B$29,0))),""),""))</f>
        <v/>
      </c>
      <c r="AI903" s="19" t="str">
        <f>IF($B903="","",IFERROR(INDEX(Config!$D$9:$D$29,MATCH($B903,Config!$B$9:$B$29,0))&amp;"",""))</f>
        <v/>
      </c>
    </row>
    <row r="904">
      <c r="X904" s="20" t="str">
        <f>IF($B904="","",IFERROR(IF(INDEX(Config!$D$9:$D$29,MATCH($B904,Config!$B$9:$B$29,0))="Contrato",IF(INDEX(Config!$E$9:$E$29,MATCH($B904,Config!$B$9:$B$29,0))="","",INDEX(Config!$E$9:$E$29,MATCH($B904,Config!$B$9:$B$29,0))),""),""))</f>
        <v/>
      </c>
      <c r="AI904" s="19" t="str">
        <f>IF($B904="","",IFERROR(INDEX(Config!$D$9:$D$29,MATCH($B904,Config!$B$9:$B$29,0))&amp;"",""))</f>
        <v/>
      </c>
    </row>
    <row r="905">
      <c r="X905" s="20" t="str">
        <f>IF($B905="","",IFERROR(IF(INDEX(Config!$D$9:$D$29,MATCH($B905,Config!$B$9:$B$29,0))="Contrato",IF(INDEX(Config!$E$9:$E$29,MATCH($B905,Config!$B$9:$B$29,0))="","",INDEX(Config!$E$9:$E$29,MATCH($B905,Config!$B$9:$B$29,0))),""),""))</f>
        <v/>
      </c>
      <c r="AI905" s="19" t="str">
        <f>IF($B905="","",IFERROR(INDEX(Config!$D$9:$D$29,MATCH($B905,Config!$B$9:$B$29,0))&amp;"",""))</f>
        <v/>
      </c>
    </row>
    <row r="906">
      <c r="X906" s="20" t="str">
        <f>IF($B906="","",IFERROR(IF(INDEX(Config!$D$9:$D$29,MATCH($B906,Config!$B$9:$B$29,0))="Contrato",IF(INDEX(Config!$E$9:$E$29,MATCH($B906,Config!$B$9:$B$29,0))="","",INDEX(Config!$E$9:$E$29,MATCH($B906,Config!$B$9:$B$29,0))),""),""))</f>
        <v/>
      </c>
      <c r="AI906" s="19" t="str">
        <f>IF($B906="","",IFERROR(INDEX(Config!$D$9:$D$29,MATCH($B906,Config!$B$9:$B$29,0))&amp;"",""))</f>
        <v/>
      </c>
    </row>
    <row r="907">
      <c r="X907" s="20" t="str">
        <f>IF($B907="","",IFERROR(IF(INDEX(Config!$D$9:$D$29,MATCH($B907,Config!$B$9:$B$29,0))="Contrato",IF(INDEX(Config!$E$9:$E$29,MATCH($B907,Config!$B$9:$B$29,0))="","",INDEX(Config!$E$9:$E$29,MATCH($B907,Config!$B$9:$B$29,0))),""),""))</f>
        <v/>
      </c>
      <c r="AI907" s="19" t="str">
        <f>IF($B907="","",IFERROR(INDEX(Config!$D$9:$D$29,MATCH($B907,Config!$B$9:$B$29,0))&amp;"",""))</f>
        <v/>
      </c>
    </row>
    <row r="908">
      <c r="X908" s="20" t="str">
        <f>IF($B908="","",IFERROR(IF(INDEX(Config!$D$9:$D$29,MATCH($B908,Config!$B$9:$B$29,0))="Contrato",IF(INDEX(Config!$E$9:$E$29,MATCH($B908,Config!$B$9:$B$29,0))="","",INDEX(Config!$E$9:$E$29,MATCH($B908,Config!$B$9:$B$29,0))),""),""))</f>
        <v/>
      </c>
      <c r="AI908" s="19" t="str">
        <f>IF($B908="","",IFERROR(INDEX(Config!$D$9:$D$29,MATCH($B908,Config!$B$9:$B$29,0))&amp;"",""))</f>
        <v/>
      </c>
    </row>
    <row r="909">
      <c r="X909" s="20" t="str">
        <f>IF($B909="","",IFERROR(IF(INDEX(Config!$D$9:$D$29,MATCH($B909,Config!$B$9:$B$29,0))="Contrato",IF(INDEX(Config!$E$9:$E$29,MATCH($B909,Config!$B$9:$B$29,0))="","",INDEX(Config!$E$9:$E$29,MATCH($B909,Config!$B$9:$B$29,0))),""),""))</f>
        <v/>
      </c>
      <c r="AI909" s="19" t="str">
        <f>IF($B909="","",IFERROR(INDEX(Config!$D$9:$D$29,MATCH($B909,Config!$B$9:$B$29,0))&amp;"",""))</f>
        <v/>
      </c>
    </row>
    <row r="910">
      <c r="X910" s="20" t="str">
        <f>IF($B910="","",IFERROR(IF(INDEX(Config!$D$9:$D$29,MATCH($B910,Config!$B$9:$B$29,0))="Contrato",IF(INDEX(Config!$E$9:$E$29,MATCH($B910,Config!$B$9:$B$29,0))="","",INDEX(Config!$E$9:$E$29,MATCH($B910,Config!$B$9:$B$29,0))),""),""))</f>
        <v/>
      </c>
      <c r="AI910" s="19" t="str">
        <f>IF($B910="","",IFERROR(INDEX(Config!$D$9:$D$29,MATCH($B910,Config!$B$9:$B$29,0))&amp;"",""))</f>
        <v/>
      </c>
    </row>
    <row r="911">
      <c r="X911" s="20" t="str">
        <f>IF($B911="","",IFERROR(IF(INDEX(Config!$D$9:$D$29,MATCH($B911,Config!$B$9:$B$29,0))="Contrato",IF(INDEX(Config!$E$9:$E$29,MATCH($B911,Config!$B$9:$B$29,0))="","",INDEX(Config!$E$9:$E$29,MATCH($B911,Config!$B$9:$B$29,0))),""),""))</f>
        <v/>
      </c>
      <c r="AI911" s="19" t="str">
        <f>IF($B911="","",IFERROR(INDEX(Config!$D$9:$D$29,MATCH($B911,Config!$B$9:$B$29,0))&amp;"",""))</f>
        <v/>
      </c>
    </row>
    <row r="912">
      <c r="X912" s="20" t="str">
        <f>IF($B912="","",IFERROR(IF(INDEX(Config!$D$9:$D$29,MATCH($B912,Config!$B$9:$B$29,0))="Contrato",IF(INDEX(Config!$E$9:$E$29,MATCH($B912,Config!$B$9:$B$29,0))="","",INDEX(Config!$E$9:$E$29,MATCH($B912,Config!$B$9:$B$29,0))),""),""))</f>
        <v/>
      </c>
      <c r="AI912" s="19" t="str">
        <f>IF($B912="","",IFERROR(INDEX(Config!$D$9:$D$29,MATCH($B912,Config!$B$9:$B$29,0))&amp;"",""))</f>
        <v/>
      </c>
    </row>
    <row r="913">
      <c r="X913" s="20" t="str">
        <f>IF($B913="","",IFERROR(IF(INDEX(Config!$D$9:$D$29,MATCH($B913,Config!$B$9:$B$29,0))="Contrato",IF(INDEX(Config!$E$9:$E$29,MATCH($B913,Config!$B$9:$B$29,0))="","",INDEX(Config!$E$9:$E$29,MATCH($B913,Config!$B$9:$B$29,0))),""),""))</f>
        <v/>
      </c>
      <c r="AI913" s="19" t="str">
        <f>IF($B913="","",IFERROR(INDEX(Config!$D$9:$D$29,MATCH($B913,Config!$B$9:$B$29,0))&amp;"",""))</f>
        <v/>
      </c>
    </row>
    <row r="914">
      <c r="X914" s="20" t="str">
        <f>IF($B914="","",IFERROR(IF(INDEX(Config!$D$9:$D$29,MATCH($B914,Config!$B$9:$B$29,0))="Contrato",IF(INDEX(Config!$E$9:$E$29,MATCH($B914,Config!$B$9:$B$29,0))="","",INDEX(Config!$E$9:$E$29,MATCH($B914,Config!$B$9:$B$29,0))),""),""))</f>
        <v/>
      </c>
      <c r="AI914" s="19" t="str">
        <f>IF($B914="","",IFERROR(INDEX(Config!$D$9:$D$29,MATCH($B914,Config!$B$9:$B$29,0))&amp;"",""))</f>
        <v/>
      </c>
    </row>
    <row r="915">
      <c r="X915" s="20" t="str">
        <f>IF($B915="","",IFERROR(IF(INDEX(Config!$D$9:$D$29,MATCH($B915,Config!$B$9:$B$29,0))="Contrato",IF(INDEX(Config!$E$9:$E$29,MATCH($B915,Config!$B$9:$B$29,0))="","",INDEX(Config!$E$9:$E$29,MATCH($B915,Config!$B$9:$B$29,0))),""),""))</f>
        <v/>
      </c>
      <c r="AI915" s="19" t="str">
        <f>IF($B915="","",IFERROR(INDEX(Config!$D$9:$D$29,MATCH($B915,Config!$B$9:$B$29,0))&amp;"",""))</f>
        <v/>
      </c>
    </row>
    <row r="916">
      <c r="X916" s="20" t="str">
        <f>IF($B916="","",IFERROR(IF(INDEX(Config!$D$9:$D$29,MATCH($B916,Config!$B$9:$B$29,0))="Contrato",IF(INDEX(Config!$E$9:$E$29,MATCH($B916,Config!$B$9:$B$29,0))="","",INDEX(Config!$E$9:$E$29,MATCH($B916,Config!$B$9:$B$29,0))),""),""))</f>
        <v/>
      </c>
      <c r="AI916" s="19" t="str">
        <f>IF($B916="","",IFERROR(INDEX(Config!$D$9:$D$29,MATCH($B916,Config!$B$9:$B$29,0))&amp;"",""))</f>
        <v/>
      </c>
    </row>
    <row r="917">
      <c r="X917" s="20" t="str">
        <f>IF($B917="","",IFERROR(IF(INDEX(Config!$D$9:$D$29,MATCH($B917,Config!$B$9:$B$29,0))="Contrato",IF(INDEX(Config!$E$9:$E$29,MATCH($B917,Config!$B$9:$B$29,0))="","",INDEX(Config!$E$9:$E$29,MATCH($B917,Config!$B$9:$B$29,0))),""),""))</f>
        <v/>
      </c>
      <c r="AI917" s="19" t="str">
        <f>IF($B917="","",IFERROR(INDEX(Config!$D$9:$D$29,MATCH($B917,Config!$B$9:$B$29,0))&amp;"",""))</f>
        <v/>
      </c>
    </row>
    <row r="918">
      <c r="X918" s="20" t="str">
        <f>IF($B918="","",IFERROR(IF(INDEX(Config!$D$9:$D$29,MATCH($B918,Config!$B$9:$B$29,0))="Contrato",IF(INDEX(Config!$E$9:$E$29,MATCH($B918,Config!$B$9:$B$29,0))="","",INDEX(Config!$E$9:$E$29,MATCH($B918,Config!$B$9:$B$29,0))),""),""))</f>
        <v/>
      </c>
      <c r="AI918" s="19" t="str">
        <f>IF($B918="","",IFERROR(INDEX(Config!$D$9:$D$29,MATCH($B918,Config!$B$9:$B$29,0))&amp;"",""))</f>
        <v/>
      </c>
    </row>
    <row r="919">
      <c r="X919" s="20" t="str">
        <f>IF($B919="","",IFERROR(IF(INDEX(Config!$D$9:$D$29,MATCH($B919,Config!$B$9:$B$29,0))="Contrato",IF(INDEX(Config!$E$9:$E$29,MATCH($B919,Config!$B$9:$B$29,0))="","",INDEX(Config!$E$9:$E$29,MATCH($B919,Config!$B$9:$B$29,0))),""),""))</f>
        <v/>
      </c>
      <c r="AI919" s="19" t="str">
        <f>IF($B919="","",IFERROR(INDEX(Config!$D$9:$D$29,MATCH($B919,Config!$B$9:$B$29,0))&amp;"",""))</f>
        <v/>
      </c>
    </row>
    <row r="920">
      <c r="X920" s="20" t="str">
        <f>IF($B920="","",IFERROR(IF(INDEX(Config!$D$9:$D$29,MATCH($B920,Config!$B$9:$B$29,0))="Contrato",IF(INDEX(Config!$E$9:$E$29,MATCH($B920,Config!$B$9:$B$29,0))="","",INDEX(Config!$E$9:$E$29,MATCH($B920,Config!$B$9:$B$29,0))),""),""))</f>
        <v/>
      </c>
      <c r="AI920" s="19" t="str">
        <f>IF($B920="","",IFERROR(INDEX(Config!$D$9:$D$29,MATCH($B920,Config!$B$9:$B$29,0))&amp;"",""))</f>
        <v/>
      </c>
    </row>
    <row r="921">
      <c r="X921" s="20" t="str">
        <f>IF($B921="","",IFERROR(IF(INDEX(Config!$D$9:$D$29,MATCH($B921,Config!$B$9:$B$29,0))="Contrato",IF(INDEX(Config!$E$9:$E$29,MATCH($B921,Config!$B$9:$B$29,0))="","",INDEX(Config!$E$9:$E$29,MATCH($B921,Config!$B$9:$B$29,0))),""),""))</f>
        <v/>
      </c>
      <c r="AI921" s="19" t="str">
        <f>IF($B921="","",IFERROR(INDEX(Config!$D$9:$D$29,MATCH($B921,Config!$B$9:$B$29,0))&amp;"",""))</f>
        <v/>
      </c>
    </row>
    <row r="922">
      <c r="X922" s="20" t="str">
        <f>IF($B922="","",IFERROR(IF(INDEX(Config!$D$9:$D$29,MATCH($B922,Config!$B$9:$B$29,0))="Contrato",IF(INDEX(Config!$E$9:$E$29,MATCH($B922,Config!$B$9:$B$29,0))="","",INDEX(Config!$E$9:$E$29,MATCH($B922,Config!$B$9:$B$29,0))),""),""))</f>
        <v/>
      </c>
      <c r="AI922" s="19" t="str">
        <f>IF($B922="","",IFERROR(INDEX(Config!$D$9:$D$29,MATCH($B922,Config!$B$9:$B$29,0))&amp;"",""))</f>
        <v/>
      </c>
    </row>
    <row r="923">
      <c r="X923" s="20" t="str">
        <f>IF($B923="","",IFERROR(IF(INDEX(Config!$D$9:$D$29,MATCH($B923,Config!$B$9:$B$29,0))="Contrato",IF(INDEX(Config!$E$9:$E$29,MATCH($B923,Config!$B$9:$B$29,0))="","",INDEX(Config!$E$9:$E$29,MATCH($B923,Config!$B$9:$B$29,0))),""),""))</f>
        <v/>
      </c>
      <c r="AI923" s="19" t="str">
        <f>IF($B923="","",IFERROR(INDEX(Config!$D$9:$D$29,MATCH($B923,Config!$B$9:$B$29,0))&amp;"",""))</f>
        <v/>
      </c>
    </row>
    <row r="924">
      <c r="X924" s="20" t="str">
        <f>IF($B924="","",IFERROR(IF(INDEX(Config!$D$9:$D$29,MATCH($B924,Config!$B$9:$B$29,0))="Contrato",IF(INDEX(Config!$E$9:$E$29,MATCH($B924,Config!$B$9:$B$29,0))="","",INDEX(Config!$E$9:$E$29,MATCH($B924,Config!$B$9:$B$29,0))),""),""))</f>
        <v/>
      </c>
      <c r="AI924" s="19" t="str">
        <f>IF($B924="","",IFERROR(INDEX(Config!$D$9:$D$29,MATCH($B924,Config!$B$9:$B$29,0))&amp;"",""))</f>
        <v/>
      </c>
    </row>
    <row r="925">
      <c r="X925" s="20" t="str">
        <f>IF($B925="","",IFERROR(IF(INDEX(Config!$D$9:$D$29,MATCH($B925,Config!$B$9:$B$29,0))="Contrato",IF(INDEX(Config!$E$9:$E$29,MATCH($B925,Config!$B$9:$B$29,0))="","",INDEX(Config!$E$9:$E$29,MATCH($B925,Config!$B$9:$B$29,0))),""),""))</f>
        <v/>
      </c>
      <c r="AI925" s="19" t="str">
        <f>IF($B925="","",IFERROR(INDEX(Config!$D$9:$D$29,MATCH($B925,Config!$B$9:$B$29,0))&amp;"",""))</f>
        <v/>
      </c>
    </row>
    <row r="926">
      <c r="X926" s="20" t="str">
        <f>IF($B926="","",IFERROR(IF(INDEX(Config!$D$9:$D$29,MATCH($B926,Config!$B$9:$B$29,0))="Contrato",IF(INDEX(Config!$E$9:$E$29,MATCH($B926,Config!$B$9:$B$29,0))="","",INDEX(Config!$E$9:$E$29,MATCH($B926,Config!$B$9:$B$29,0))),""),""))</f>
        <v/>
      </c>
      <c r="AI926" s="19" t="str">
        <f>IF($B926="","",IFERROR(INDEX(Config!$D$9:$D$29,MATCH($B926,Config!$B$9:$B$29,0))&amp;"",""))</f>
        <v/>
      </c>
    </row>
    <row r="927">
      <c r="X927" s="20" t="str">
        <f>IF($B927="","",IFERROR(IF(INDEX(Config!$D$9:$D$29,MATCH($B927,Config!$B$9:$B$29,0))="Contrato",IF(INDEX(Config!$E$9:$E$29,MATCH($B927,Config!$B$9:$B$29,0))="","",INDEX(Config!$E$9:$E$29,MATCH($B927,Config!$B$9:$B$29,0))),""),""))</f>
        <v/>
      </c>
      <c r="AI927" s="19" t="str">
        <f>IF($B927="","",IFERROR(INDEX(Config!$D$9:$D$29,MATCH($B927,Config!$B$9:$B$29,0))&amp;"",""))</f>
        <v/>
      </c>
    </row>
    <row r="928">
      <c r="X928" s="20" t="str">
        <f>IF($B928="","",IFERROR(IF(INDEX(Config!$D$9:$D$29,MATCH($B928,Config!$B$9:$B$29,0))="Contrato",IF(INDEX(Config!$E$9:$E$29,MATCH($B928,Config!$B$9:$B$29,0))="","",INDEX(Config!$E$9:$E$29,MATCH($B928,Config!$B$9:$B$29,0))),""),""))</f>
        <v/>
      </c>
      <c r="AI928" s="19" t="str">
        <f>IF($B928="","",IFERROR(INDEX(Config!$D$9:$D$29,MATCH($B928,Config!$B$9:$B$29,0))&amp;"",""))</f>
        <v/>
      </c>
    </row>
    <row r="929">
      <c r="X929" s="20" t="str">
        <f>IF($B929="","",IFERROR(IF(INDEX(Config!$D$9:$D$29,MATCH($B929,Config!$B$9:$B$29,0))="Contrato",IF(INDEX(Config!$E$9:$E$29,MATCH($B929,Config!$B$9:$B$29,0))="","",INDEX(Config!$E$9:$E$29,MATCH($B929,Config!$B$9:$B$29,0))),""),""))</f>
        <v/>
      </c>
      <c r="AI929" s="19" t="str">
        <f>IF($B929="","",IFERROR(INDEX(Config!$D$9:$D$29,MATCH($B929,Config!$B$9:$B$29,0))&amp;"",""))</f>
        <v/>
      </c>
    </row>
    <row r="930">
      <c r="X930" s="20" t="str">
        <f>IF($B930="","",IFERROR(IF(INDEX(Config!$D$9:$D$29,MATCH($B930,Config!$B$9:$B$29,0))="Contrato",IF(INDEX(Config!$E$9:$E$29,MATCH($B930,Config!$B$9:$B$29,0))="","",INDEX(Config!$E$9:$E$29,MATCH($B930,Config!$B$9:$B$29,0))),""),""))</f>
        <v/>
      </c>
      <c r="AI930" s="19" t="str">
        <f>IF($B930="","",IFERROR(INDEX(Config!$D$9:$D$29,MATCH($B930,Config!$B$9:$B$29,0))&amp;"",""))</f>
        <v/>
      </c>
    </row>
    <row r="931">
      <c r="X931" s="20" t="str">
        <f>IF($B931="","",IFERROR(IF(INDEX(Config!$D$9:$D$29,MATCH($B931,Config!$B$9:$B$29,0))="Contrato",IF(INDEX(Config!$E$9:$E$29,MATCH($B931,Config!$B$9:$B$29,0))="","",INDEX(Config!$E$9:$E$29,MATCH($B931,Config!$B$9:$B$29,0))),""),""))</f>
        <v/>
      </c>
      <c r="AI931" s="19" t="str">
        <f>IF($B931="","",IFERROR(INDEX(Config!$D$9:$D$29,MATCH($B931,Config!$B$9:$B$29,0))&amp;"",""))</f>
        <v/>
      </c>
    </row>
    <row r="932">
      <c r="X932" s="20" t="str">
        <f>IF($B932="","",IFERROR(IF(INDEX(Config!$D$9:$D$29,MATCH($B932,Config!$B$9:$B$29,0))="Contrato",IF(INDEX(Config!$E$9:$E$29,MATCH($B932,Config!$B$9:$B$29,0))="","",INDEX(Config!$E$9:$E$29,MATCH($B932,Config!$B$9:$B$29,0))),""),""))</f>
        <v/>
      </c>
      <c r="AI932" s="19" t="str">
        <f>IF($B932="","",IFERROR(INDEX(Config!$D$9:$D$29,MATCH($B932,Config!$B$9:$B$29,0))&amp;"",""))</f>
        <v/>
      </c>
    </row>
    <row r="933">
      <c r="X933" s="20" t="str">
        <f>IF($B933="","",IFERROR(IF(INDEX(Config!$D$9:$D$29,MATCH($B933,Config!$B$9:$B$29,0))="Contrato",IF(INDEX(Config!$E$9:$E$29,MATCH($B933,Config!$B$9:$B$29,0))="","",INDEX(Config!$E$9:$E$29,MATCH($B933,Config!$B$9:$B$29,0))),""),""))</f>
        <v/>
      </c>
      <c r="AI933" s="19" t="str">
        <f>IF($B933="","",IFERROR(INDEX(Config!$D$9:$D$29,MATCH($B933,Config!$B$9:$B$29,0))&amp;"",""))</f>
        <v/>
      </c>
    </row>
    <row r="934">
      <c r="X934" s="20" t="str">
        <f>IF($B934="","",IFERROR(IF(INDEX(Config!$D$9:$D$29,MATCH($B934,Config!$B$9:$B$29,0))="Contrato",IF(INDEX(Config!$E$9:$E$29,MATCH($B934,Config!$B$9:$B$29,0))="","",INDEX(Config!$E$9:$E$29,MATCH($B934,Config!$B$9:$B$29,0))),""),""))</f>
        <v/>
      </c>
      <c r="AI934" s="19" t="str">
        <f>IF($B934="","",IFERROR(INDEX(Config!$D$9:$D$29,MATCH($B934,Config!$B$9:$B$29,0))&amp;"",""))</f>
        <v/>
      </c>
    </row>
    <row r="935">
      <c r="X935" s="20" t="str">
        <f>IF($B935="","",IFERROR(IF(INDEX(Config!$D$9:$D$29,MATCH($B935,Config!$B$9:$B$29,0))="Contrato",IF(INDEX(Config!$E$9:$E$29,MATCH($B935,Config!$B$9:$B$29,0))="","",INDEX(Config!$E$9:$E$29,MATCH($B935,Config!$B$9:$B$29,0))),""),""))</f>
        <v/>
      </c>
      <c r="AI935" s="19" t="str">
        <f>IF($B935="","",IFERROR(INDEX(Config!$D$9:$D$29,MATCH($B935,Config!$B$9:$B$29,0))&amp;"",""))</f>
        <v/>
      </c>
    </row>
    <row r="936">
      <c r="X936" s="20" t="str">
        <f>IF($B936="","",IFERROR(IF(INDEX(Config!$D$9:$D$29,MATCH($B936,Config!$B$9:$B$29,0))="Contrato",IF(INDEX(Config!$E$9:$E$29,MATCH($B936,Config!$B$9:$B$29,0))="","",INDEX(Config!$E$9:$E$29,MATCH($B936,Config!$B$9:$B$29,0))),""),""))</f>
        <v/>
      </c>
      <c r="AI936" s="19" t="str">
        <f>IF($B936="","",IFERROR(INDEX(Config!$D$9:$D$29,MATCH($B936,Config!$B$9:$B$29,0))&amp;"",""))</f>
        <v/>
      </c>
    </row>
    <row r="937">
      <c r="X937" s="20" t="str">
        <f>IF($B937="","",IFERROR(IF(INDEX(Config!$D$9:$D$29,MATCH($B937,Config!$B$9:$B$29,0))="Contrato",IF(INDEX(Config!$E$9:$E$29,MATCH($B937,Config!$B$9:$B$29,0))="","",INDEX(Config!$E$9:$E$29,MATCH($B937,Config!$B$9:$B$29,0))),""),""))</f>
        <v/>
      </c>
      <c r="AI937" s="19" t="str">
        <f>IF($B937="","",IFERROR(INDEX(Config!$D$9:$D$29,MATCH($B937,Config!$B$9:$B$29,0))&amp;"",""))</f>
        <v/>
      </c>
    </row>
    <row r="938">
      <c r="X938" s="20" t="str">
        <f>IF($B938="","",IFERROR(IF(INDEX(Config!$D$9:$D$29,MATCH($B938,Config!$B$9:$B$29,0))="Contrato",IF(INDEX(Config!$E$9:$E$29,MATCH($B938,Config!$B$9:$B$29,0))="","",INDEX(Config!$E$9:$E$29,MATCH($B938,Config!$B$9:$B$29,0))),""),""))</f>
        <v/>
      </c>
      <c r="AI938" s="19" t="str">
        <f>IF($B938="","",IFERROR(INDEX(Config!$D$9:$D$29,MATCH($B938,Config!$B$9:$B$29,0))&amp;"",""))</f>
        <v/>
      </c>
    </row>
    <row r="939">
      <c r="X939" s="20" t="str">
        <f>IF($B939="","",IFERROR(IF(INDEX(Config!$D$9:$D$29,MATCH($B939,Config!$B$9:$B$29,0))="Contrato",IF(INDEX(Config!$E$9:$E$29,MATCH($B939,Config!$B$9:$B$29,0))="","",INDEX(Config!$E$9:$E$29,MATCH($B939,Config!$B$9:$B$29,0))),""),""))</f>
        <v/>
      </c>
      <c r="AI939" s="19" t="str">
        <f>IF($B939="","",IFERROR(INDEX(Config!$D$9:$D$29,MATCH($B939,Config!$B$9:$B$29,0))&amp;"",""))</f>
        <v/>
      </c>
    </row>
    <row r="940">
      <c r="X940" s="20" t="str">
        <f>IF($B940="","",IFERROR(IF(INDEX(Config!$D$9:$D$29,MATCH($B940,Config!$B$9:$B$29,0))="Contrato",IF(INDEX(Config!$E$9:$E$29,MATCH($B940,Config!$B$9:$B$29,0))="","",INDEX(Config!$E$9:$E$29,MATCH($B940,Config!$B$9:$B$29,0))),""),""))</f>
        <v/>
      </c>
      <c r="AI940" s="19" t="str">
        <f>IF($B940="","",IFERROR(INDEX(Config!$D$9:$D$29,MATCH($B940,Config!$B$9:$B$29,0))&amp;"",""))</f>
        <v/>
      </c>
    </row>
    <row r="941">
      <c r="X941" s="20" t="str">
        <f>IF($B941="","",IFERROR(IF(INDEX(Config!$D$9:$D$29,MATCH($B941,Config!$B$9:$B$29,0))="Contrato",IF(INDEX(Config!$E$9:$E$29,MATCH($B941,Config!$B$9:$B$29,0))="","",INDEX(Config!$E$9:$E$29,MATCH($B941,Config!$B$9:$B$29,0))),""),""))</f>
        <v/>
      </c>
      <c r="AI941" s="19" t="str">
        <f>IF($B941="","",IFERROR(INDEX(Config!$D$9:$D$29,MATCH($B941,Config!$B$9:$B$29,0))&amp;"",""))</f>
        <v/>
      </c>
    </row>
    <row r="942">
      <c r="X942" s="20" t="str">
        <f>IF($B942="","",IFERROR(IF(INDEX(Config!$D$9:$D$29,MATCH($B942,Config!$B$9:$B$29,0))="Contrato",IF(INDEX(Config!$E$9:$E$29,MATCH($B942,Config!$B$9:$B$29,0))="","",INDEX(Config!$E$9:$E$29,MATCH($B942,Config!$B$9:$B$29,0))),""),""))</f>
        <v/>
      </c>
      <c r="AI942" s="19" t="str">
        <f>IF($B942="","",IFERROR(INDEX(Config!$D$9:$D$29,MATCH($B942,Config!$B$9:$B$29,0))&amp;"",""))</f>
        <v/>
      </c>
    </row>
    <row r="943">
      <c r="X943" s="20" t="str">
        <f>IF($B943="","",IFERROR(IF(INDEX(Config!$D$9:$D$29,MATCH($B943,Config!$B$9:$B$29,0))="Contrato",IF(INDEX(Config!$E$9:$E$29,MATCH($B943,Config!$B$9:$B$29,0))="","",INDEX(Config!$E$9:$E$29,MATCH($B943,Config!$B$9:$B$29,0))),""),""))</f>
        <v/>
      </c>
      <c r="AI943" s="19" t="str">
        <f>IF($B943="","",IFERROR(INDEX(Config!$D$9:$D$29,MATCH($B943,Config!$B$9:$B$29,0))&amp;"",""))</f>
        <v/>
      </c>
    </row>
    <row r="944">
      <c r="X944" s="20" t="str">
        <f>IF($B944="","",IFERROR(IF(INDEX(Config!$D$9:$D$29,MATCH($B944,Config!$B$9:$B$29,0))="Contrato",IF(INDEX(Config!$E$9:$E$29,MATCH($B944,Config!$B$9:$B$29,0))="","",INDEX(Config!$E$9:$E$29,MATCH($B944,Config!$B$9:$B$29,0))),""),""))</f>
        <v/>
      </c>
      <c r="AI944" s="19" t="str">
        <f>IF($B944="","",IFERROR(INDEX(Config!$D$9:$D$29,MATCH($B944,Config!$B$9:$B$29,0))&amp;"",""))</f>
        <v/>
      </c>
    </row>
    <row r="945">
      <c r="X945" s="20" t="str">
        <f>IF($B945="","",IFERROR(IF(INDEX(Config!$D$9:$D$29,MATCH($B945,Config!$B$9:$B$29,0))="Contrato",IF(INDEX(Config!$E$9:$E$29,MATCH($B945,Config!$B$9:$B$29,0))="","",INDEX(Config!$E$9:$E$29,MATCH($B945,Config!$B$9:$B$29,0))),""),""))</f>
        <v/>
      </c>
      <c r="AI945" s="19" t="str">
        <f>IF($B945="","",IFERROR(INDEX(Config!$D$9:$D$29,MATCH($B945,Config!$B$9:$B$29,0))&amp;"",""))</f>
        <v/>
      </c>
    </row>
    <row r="946">
      <c r="X946" s="20" t="str">
        <f>IF($B946="","",IFERROR(IF(INDEX(Config!$D$9:$D$29,MATCH($B946,Config!$B$9:$B$29,0))="Contrato",IF(INDEX(Config!$E$9:$E$29,MATCH($B946,Config!$B$9:$B$29,0))="","",INDEX(Config!$E$9:$E$29,MATCH($B946,Config!$B$9:$B$29,0))),""),""))</f>
        <v/>
      </c>
      <c r="AI946" s="19" t="str">
        <f>IF($B946="","",IFERROR(INDEX(Config!$D$9:$D$29,MATCH($B946,Config!$B$9:$B$29,0))&amp;"",""))</f>
        <v/>
      </c>
    </row>
    <row r="947">
      <c r="X947" s="20" t="str">
        <f>IF($B947="","",IFERROR(IF(INDEX(Config!$D$9:$D$29,MATCH($B947,Config!$B$9:$B$29,0))="Contrato",IF(INDEX(Config!$E$9:$E$29,MATCH($B947,Config!$B$9:$B$29,0))="","",INDEX(Config!$E$9:$E$29,MATCH($B947,Config!$B$9:$B$29,0))),""),""))</f>
        <v/>
      </c>
      <c r="AI947" s="19" t="str">
        <f>IF($B947="","",IFERROR(INDEX(Config!$D$9:$D$29,MATCH($B947,Config!$B$9:$B$29,0))&amp;"",""))</f>
        <v/>
      </c>
    </row>
    <row r="948">
      <c r="X948" s="20" t="str">
        <f>IF($B948="","",IFERROR(IF(INDEX(Config!$D$9:$D$29,MATCH($B948,Config!$B$9:$B$29,0))="Contrato",IF(INDEX(Config!$E$9:$E$29,MATCH($B948,Config!$B$9:$B$29,0))="","",INDEX(Config!$E$9:$E$29,MATCH($B948,Config!$B$9:$B$29,0))),""),""))</f>
        <v/>
      </c>
      <c r="AI948" s="19" t="str">
        <f>IF($B948="","",IFERROR(INDEX(Config!$D$9:$D$29,MATCH($B948,Config!$B$9:$B$29,0))&amp;"",""))</f>
        <v/>
      </c>
    </row>
    <row r="949">
      <c r="X949" s="20" t="str">
        <f>IF($B949="","",IFERROR(IF(INDEX(Config!$D$9:$D$29,MATCH($B949,Config!$B$9:$B$29,0))="Contrato",IF(INDEX(Config!$E$9:$E$29,MATCH($B949,Config!$B$9:$B$29,0))="","",INDEX(Config!$E$9:$E$29,MATCH($B949,Config!$B$9:$B$29,0))),""),""))</f>
        <v/>
      </c>
      <c r="AI949" s="19" t="str">
        <f>IF($B949="","",IFERROR(INDEX(Config!$D$9:$D$29,MATCH($B949,Config!$B$9:$B$29,0))&amp;"",""))</f>
        <v/>
      </c>
    </row>
    <row r="950">
      <c r="X950" s="20" t="str">
        <f>IF($B950="","",IFERROR(IF(INDEX(Config!$D$9:$D$29,MATCH($B950,Config!$B$9:$B$29,0))="Contrato",IF(INDEX(Config!$E$9:$E$29,MATCH($B950,Config!$B$9:$B$29,0))="","",INDEX(Config!$E$9:$E$29,MATCH($B950,Config!$B$9:$B$29,0))),""),""))</f>
        <v/>
      </c>
      <c r="AI950" s="19" t="str">
        <f>IF($B950="","",IFERROR(INDEX(Config!$D$9:$D$29,MATCH($B950,Config!$B$9:$B$29,0))&amp;"",""))</f>
        <v/>
      </c>
    </row>
    <row r="951">
      <c r="X951" s="20" t="str">
        <f>IF($B951="","",IFERROR(IF(INDEX(Config!$D$9:$D$29,MATCH($B951,Config!$B$9:$B$29,0))="Contrato",IF(INDEX(Config!$E$9:$E$29,MATCH($B951,Config!$B$9:$B$29,0))="","",INDEX(Config!$E$9:$E$29,MATCH($B951,Config!$B$9:$B$29,0))),""),""))</f>
        <v/>
      </c>
      <c r="AI951" s="19" t="str">
        <f>IF($B951="","",IFERROR(INDEX(Config!$D$9:$D$29,MATCH($B951,Config!$B$9:$B$29,0))&amp;"",""))</f>
        <v/>
      </c>
    </row>
    <row r="952">
      <c r="X952" s="20" t="str">
        <f>IF($B952="","",IFERROR(IF(INDEX(Config!$D$9:$D$29,MATCH($B952,Config!$B$9:$B$29,0))="Contrato",IF(INDEX(Config!$E$9:$E$29,MATCH($B952,Config!$B$9:$B$29,0))="","",INDEX(Config!$E$9:$E$29,MATCH($B952,Config!$B$9:$B$29,0))),""),""))</f>
        <v/>
      </c>
      <c r="AI952" s="19" t="str">
        <f>IF($B952="","",IFERROR(INDEX(Config!$D$9:$D$29,MATCH($B952,Config!$B$9:$B$29,0))&amp;"",""))</f>
        <v/>
      </c>
    </row>
    <row r="953">
      <c r="X953" s="20" t="str">
        <f>IF($B953="","",IFERROR(IF(INDEX(Config!$D$9:$D$29,MATCH($B953,Config!$B$9:$B$29,0))="Contrato",IF(INDEX(Config!$E$9:$E$29,MATCH($B953,Config!$B$9:$B$29,0))="","",INDEX(Config!$E$9:$E$29,MATCH($B953,Config!$B$9:$B$29,0))),""),""))</f>
        <v/>
      </c>
      <c r="AI953" s="19" t="str">
        <f>IF($B953="","",IFERROR(INDEX(Config!$D$9:$D$29,MATCH($B953,Config!$B$9:$B$29,0))&amp;"",""))</f>
        <v/>
      </c>
    </row>
    <row r="954">
      <c r="X954" s="20" t="str">
        <f>IF($B954="","",IFERROR(IF(INDEX(Config!$D$9:$D$29,MATCH($B954,Config!$B$9:$B$29,0))="Contrato",IF(INDEX(Config!$E$9:$E$29,MATCH($B954,Config!$B$9:$B$29,0))="","",INDEX(Config!$E$9:$E$29,MATCH($B954,Config!$B$9:$B$29,0))),""),""))</f>
        <v/>
      </c>
      <c r="AI954" s="19" t="str">
        <f>IF($B954="","",IFERROR(INDEX(Config!$D$9:$D$29,MATCH($B954,Config!$B$9:$B$29,0))&amp;"",""))</f>
        <v/>
      </c>
    </row>
    <row r="955">
      <c r="X955" s="20" t="str">
        <f>IF($B955="","",IFERROR(IF(INDEX(Config!$D$9:$D$29,MATCH($B955,Config!$B$9:$B$29,0))="Contrato",IF(INDEX(Config!$E$9:$E$29,MATCH($B955,Config!$B$9:$B$29,0))="","",INDEX(Config!$E$9:$E$29,MATCH($B955,Config!$B$9:$B$29,0))),""),""))</f>
        <v/>
      </c>
      <c r="AI955" s="19" t="str">
        <f>IF($B955="","",IFERROR(INDEX(Config!$D$9:$D$29,MATCH($B955,Config!$B$9:$B$29,0))&amp;"",""))</f>
        <v/>
      </c>
    </row>
    <row r="956">
      <c r="X956" s="20" t="str">
        <f>IF($B956="","",IFERROR(IF(INDEX(Config!$D$9:$D$29,MATCH($B956,Config!$B$9:$B$29,0))="Contrato",IF(INDEX(Config!$E$9:$E$29,MATCH($B956,Config!$B$9:$B$29,0))="","",INDEX(Config!$E$9:$E$29,MATCH($B956,Config!$B$9:$B$29,0))),""),""))</f>
        <v/>
      </c>
      <c r="AI956" s="19" t="str">
        <f>IF($B956="","",IFERROR(INDEX(Config!$D$9:$D$29,MATCH($B956,Config!$B$9:$B$29,0))&amp;"",""))</f>
        <v/>
      </c>
    </row>
    <row r="957">
      <c r="X957" s="20" t="str">
        <f>IF($B957="","",IFERROR(IF(INDEX(Config!$D$9:$D$29,MATCH($B957,Config!$B$9:$B$29,0))="Contrato",IF(INDEX(Config!$E$9:$E$29,MATCH($B957,Config!$B$9:$B$29,0))="","",INDEX(Config!$E$9:$E$29,MATCH($B957,Config!$B$9:$B$29,0))),""),""))</f>
        <v/>
      </c>
      <c r="AI957" s="19" t="str">
        <f>IF($B957="","",IFERROR(INDEX(Config!$D$9:$D$29,MATCH($B957,Config!$B$9:$B$29,0))&amp;"",""))</f>
        <v/>
      </c>
    </row>
    <row r="958">
      <c r="X958" s="20" t="str">
        <f>IF($B958="","",IFERROR(IF(INDEX(Config!$D$9:$D$29,MATCH($B958,Config!$B$9:$B$29,0))="Contrato",IF(INDEX(Config!$E$9:$E$29,MATCH($B958,Config!$B$9:$B$29,0))="","",INDEX(Config!$E$9:$E$29,MATCH($B958,Config!$B$9:$B$29,0))),""),""))</f>
        <v/>
      </c>
      <c r="AI958" s="19" t="str">
        <f>IF($B958="","",IFERROR(INDEX(Config!$D$9:$D$29,MATCH($B958,Config!$B$9:$B$29,0))&amp;"",""))</f>
        <v/>
      </c>
    </row>
    <row r="959">
      <c r="X959" s="20" t="str">
        <f>IF($B959="","",IFERROR(IF(INDEX(Config!$D$9:$D$29,MATCH($B959,Config!$B$9:$B$29,0))="Contrato",IF(INDEX(Config!$E$9:$E$29,MATCH($B959,Config!$B$9:$B$29,0))="","",INDEX(Config!$E$9:$E$29,MATCH($B959,Config!$B$9:$B$29,0))),""),""))</f>
        <v/>
      </c>
      <c r="AI959" s="19" t="str">
        <f>IF($B959="","",IFERROR(INDEX(Config!$D$9:$D$29,MATCH($B959,Config!$B$9:$B$29,0))&amp;"",""))</f>
        <v/>
      </c>
    </row>
    <row r="960">
      <c r="X960" s="20" t="str">
        <f>IF($B960="","",IFERROR(IF(INDEX(Config!$D$9:$D$29,MATCH($B960,Config!$B$9:$B$29,0))="Contrato",IF(INDEX(Config!$E$9:$E$29,MATCH($B960,Config!$B$9:$B$29,0))="","",INDEX(Config!$E$9:$E$29,MATCH($B960,Config!$B$9:$B$29,0))),""),""))</f>
        <v/>
      </c>
      <c r="AI960" s="19" t="str">
        <f>IF($B960="","",IFERROR(INDEX(Config!$D$9:$D$29,MATCH($B960,Config!$B$9:$B$29,0))&amp;"",""))</f>
        <v/>
      </c>
    </row>
    <row r="961">
      <c r="X961" s="20" t="str">
        <f>IF($B961="","",IFERROR(IF(INDEX(Config!$D$9:$D$29,MATCH($B961,Config!$B$9:$B$29,0))="Contrato",IF(INDEX(Config!$E$9:$E$29,MATCH($B961,Config!$B$9:$B$29,0))="","",INDEX(Config!$E$9:$E$29,MATCH($B961,Config!$B$9:$B$29,0))),""),""))</f>
        <v/>
      </c>
      <c r="AI961" s="19" t="str">
        <f>IF($B961="","",IFERROR(INDEX(Config!$D$9:$D$29,MATCH($B961,Config!$B$9:$B$29,0))&amp;"",""))</f>
        <v/>
      </c>
    </row>
    <row r="962">
      <c r="X962" s="20" t="str">
        <f>IF($B962="","",IFERROR(IF(INDEX(Config!$D$9:$D$29,MATCH($B962,Config!$B$9:$B$29,0))="Contrato",IF(INDEX(Config!$E$9:$E$29,MATCH($B962,Config!$B$9:$B$29,0))="","",INDEX(Config!$E$9:$E$29,MATCH($B962,Config!$B$9:$B$29,0))),""),""))</f>
        <v/>
      </c>
      <c r="AI962" s="19" t="str">
        <f>IF($B962="","",IFERROR(INDEX(Config!$D$9:$D$29,MATCH($B962,Config!$B$9:$B$29,0))&amp;"",""))</f>
        <v/>
      </c>
    </row>
    <row r="963">
      <c r="X963" s="20" t="str">
        <f>IF($B963="","",IFERROR(IF(INDEX(Config!$D$9:$D$29,MATCH($B963,Config!$B$9:$B$29,0))="Contrato",IF(INDEX(Config!$E$9:$E$29,MATCH($B963,Config!$B$9:$B$29,0))="","",INDEX(Config!$E$9:$E$29,MATCH($B963,Config!$B$9:$B$29,0))),""),""))</f>
        <v/>
      </c>
      <c r="AI963" s="19" t="str">
        <f>IF($B963="","",IFERROR(INDEX(Config!$D$9:$D$29,MATCH($B963,Config!$B$9:$B$29,0))&amp;"",""))</f>
        <v/>
      </c>
    </row>
    <row r="964">
      <c r="X964" s="20" t="str">
        <f>IF($B964="","",IFERROR(IF(INDEX(Config!$D$9:$D$29,MATCH($B964,Config!$B$9:$B$29,0))="Contrato",IF(INDEX(Config!$E$9:$E$29,MATCH($B964,Config!$B$9:$B$29,0))="","",INDEX(Config!$E$9:$E$29,MATCH($B964,Config!$B$9:$B$29,0))),""),""))</f>
        <v/>
      </c>
      <c r="AI964" s="19" t="str">
        <f>IF($B964="","",IFERROR(INDEX(Config!$D$9:$D$29,MATCH($B964,Config!$B$9:$B$29,0))&amp;"",""))</f>
        <v/>
      </c>
    </row>
    <row r="965">
      <c r="X965" s="20" t="str">
        <f>IF($B965="","",IFERROR(IF(INDEX(Config!$D$9:$D$29,MATCH($B965,Config!$B$9:$B$29,0))="Contrato",IF(INDEX(Config!$E$9:$E$29,MATCH($B965,Config!$B$9:$B$29,0))="","",INDEX(Config!$E$9:$E$29,MATCH($B965,Config!$B$9:$B$29,0))),""),""))</f>
        <v/>
      </c>
      <c r="AI965" s="19" t="str">
        <f>IF($B965="","",IFERROR(INDEX(Config!$D$9:$D$29,MATCH($B965,Config!$B$9:$B$29,0))&amp;"",""))</f>
        <v/>
      </c>
    </row>
    <row r="966">
      <c r="X966" s="20" t="str">
        <f>IF($B966="","",IFERROR(IF(INDEX(Config!$D$9:$D$29,MATCH($B966,Config!$B$9:$B$29,0))="Contrato",IF(INDEX(Config!$E$9:$E$29,MATCH($B966,Config!$B$9:$B$29,0))="","",INDEX(Config!$E$9:$E$29,MATCH($B966,Config!$B$9:$B$29,0))),""),""))</f>
        <v/>
      </c>
      <c r="AI966" s="19" t="str">
        <f>IF($B966="","",IFERROR(INDEX(Config!$D$9:$D$29,MATCH($B966,Config!$B$9:$B$29,0))&amp;"",""))</f>
        <v/>
      </c>
    </row>
    <row r="967">
      <c r="X967" s="20" t="str">
        <f>IF($B967="","",IFERROR(IF(INDEX(Config!$D$9:$D$29,MATCH($B967,Config!$B$9:$B$29,0))="Contrato",IF(INDEX(Config!$E$9:$E$29,MATCH($B967,Config!$B$9:$B$29,0))="","",INDEX(Config!$E$9:$E$29,MATCH($B967,Config!$B$9:$B$29,0))),""),""))</f>
        <v/>
      </c>
      <c r="AI967" s="19" t="str">
        <f>IF($B967="","",IFERROR(INDEX(Config!$D$9:$D$29,MATCH($B967,Config!$B$9:$B$29,0))&amp;"",""))</f>
        <v/>
      </c>
    </row>
    <row r="968">
      <c r="X968" s="20" t="str">
        <f>IF($B968="","",IFERROR(IF(INDEX(Config!$D$9:$D$29,MATCH($B968,Config!$B$9:$B$29,0))="Contrato",IF(INDEX(Config!$E$9:$E$29,MATCH($B968,Config!$B$9:$B$29,0))="","",INDEX(Config!$E$9:$E$29,MATCH($B968,Config!$B$9:$B$29,0))),""),""))</f>
        <v/>
      </c>
      <c r="AI968" s="19" t="str">
        <f>IF($B968="","",IFERROR(INDEX(Config!$D$9:$D$29,MATCH($B968,Config!$B$9:$B$29,0))&amp;"",""))</f>
        <v/>
      </c>
    </row>
    <row r="969">
      <c r="X969" s="20" t="str">
        <f>IF($B969="","",IFERROR(IF(INDEX(Config!$D$9:$D$29,MATCH($B969,Config!$B$9:$B$29,0))="Contrato",IF(INDEX(Config!$E$9:$E$29,MATCH($B969,Config!$B$9:$B$29,0))="","",INDEX(Config!$E$9:$E$29,MATCH($B969,Config!$B$9:$B$29,0))),""),""))</f>
        <v/>
      </c>
      <c r="AI969" s="19" t="str">
        <f>IF($B969="","",IFERROR(INDEX(Config!$D$9:$D$29,MATCH($B969,Config!$B$9:$B$29,0))&amp;"",""))</f>
        <v/>
      </c>
    </row>
    <row r="970">
      <c r="X970" s="20" t="str">
        <f>IF($B970="","",IFERROR(IF(INDEX(Config!$D$9:$D$29,MATCH($B970,Config!$B$9:$B$29,0))="Contrato",IF(INDEX(Config!$E$9:$E$29,MATCH($B970,Config!$B$9:$B$29,0))="","",INDEX(Config!$E$9:$E$29,MATCH($B970,Config!$B$9:$B$29,0))),""),""))</f>
        <v/>
      </c>
      <c r="AI970" s="19" t="str">
        <f>IF($B970="","",IFERROR(INDEX(Config!$D$9:$D$29,MATCH($B970,Config!$B$9:$B$29,0))&amp;"",""))</f>
        <v/>
      </c>
    </row>
    <row r="971">
      <c r="X971" s="20" t="str">
        <f>IF($B971="","",IFERROR(IF(INDEX(Config!$D$9:$D$29,MATCH($B971,Config!$B$9:$B$29,0))="Contrato",IF(INDEX(Config!$E$9:$E$29,MATCH($B971,Config!$B$9:$B$29,0))="","",INDEX(Config!$E$9:$E$29,MATCH($B971,Config!$B$9:$B$29,0))),""),""))</f>
        <v/>
      </c>
      <c r="AI971" s="19" t="str">
        <f>IF($B971="","",IFERROR(INDEX(Config!$D$9:$D$29,MATCH($B971,Config!$B$9:$B$29,0))&amp;"",""))</f>
        <v/>
      </c>
    </row>
    <row r="972">
      <c r="X972" s="20" t="str">
        <f>IF($B972="","",IFERROR(IF(INDEX(Config!$D$9:$D$29,MATCH($B972,Config!$B$9:$B$29,0))="Contrato",IF(INDEX(Config!$E$9:$E$29,MATCH($B972,Config!$B$9:$B$29,0))="","",INDEX(Config!$E$9:$E$29,MATCH($B972,Config!$B$9:$B$29,0))),""),""))</f>
        <v/>
      </c>
      <c r="AI972" s="19" t="str">
        <f>IF($B972="","",IFERROR(INDEX(Config!$D$9:$D$29,MATCH($B972,Config!$B$9:$B$29,0))&amp;"",""))</f>
        <v/>
      </c>
    </row>
    <row r="973">
      <c r="X973" s="20" t="str">
        <f>IF($B973="","",IFERROR(IF(INDEX(Config!$D$9:$D$29,MATCH($B973,Config!$B$9:$B$29,0))="Contrato",IF(INDEX(Config!$E$9:$E$29,MATCH($B973,Config!$B$9:$B$29,0))="","",INDEX(Config!$E$9:$E$29,MATCH($B973,Config!$B$9:$B$29,0))),""),""))</f>
        <v/>
      </c>
      <c r="AI973" s="19" t="str">
        <f>IF($B973="","",IFERROR(INDEX(Config!$D$9:$D$29,MATCH($B973,Config!$B$9:$B$29,0))&amp;"",""))</f>
        <v/>
      </c>
    </row>
    <row r="974">
      <c r="X974" s="20" t="str">
        <f>IF($B974="","",IFERROR(IF(INDEX(Config!$D$9:$D$29,MATCH($B974,Config!$B$9:$B$29,0))="Contrato",IF(INDEX(Config!$E$9:$E$29,MATCH($B974,Config!$B$9:$B$29,0))="","",INDEX(Config!$E$9:$E$29,MATCH($B974,Config!$B$9:$B$29,0))),""),""))</f>
        <v/>
      </c>
      <c r="AI974" s="19" t="str">
        <f>IF($B974="","",IFERROR(INDEX(Config!$D$9:$D$29,MATCH($B974,Config!$B$9:$B$29,0))&amp;"",""))</f>
        <v/>
      </c>
    </row>
    <row r="975">
      <c r="X975" s="20" t="str">
        <f>IF($B975="","",IFERROR(IF(INDEX(Config!$D$9:$D$29,MATCH($B975,Config!$B$9:$B$29,0))="Contrato",IF(INDEX(Config!$E$9:$E$29,MATCH($B975,Config!$B$9:$B$29,0))="","",INDEX(Config!$E$9:$E$29,MATCH($B975,Config!$B$9:$B$29,0))),""),""))</f>
        <v/>
      </c>
      <c r="AI975" s="19" t="str">
        <f>IF($B975="","",IFERROR(INDEX(Config!$D$9:$D$29,MATCH($B975,Config!$B$9:$B$29,0))&amp;"",""))</f>
        <v/>
      </c>
    </row>
    <row r="976">
      <c r="X976" s="20" t="str">
        <f>IF($B976="","",IFERROR(IF(INDEX(Config!$D$9:$D$29,MATCH($B976,Config!$B$9:$B$29,0))="Contrato",IF(INDEX(Config!$E$9:$E$29,MATCH($B976,Config!$B$9:$B$29,0))="","",INDEX(Config!$E$9:$E$29,MATCH($B976,Config!$B$9:$B$29,0))),""),""))</f>
        <v/>
      </c>
      <c r="AI976" s="19" t="str">
        <f>IF($B976="","",IFERROR(INDEX(Config!$D$9:$D$29,MATCH($B976,Config!$B$9:$B$29,0))&amp;"",""))</f>
        <v/>
      </c>
    </row>
    <row r="977">
      <c r="X977" s="20" t="str">
        <f>IF($B977="","",IFERROR(IF(INDEX(Config!$D$9:$D$29,MATCH($B977,Config!$B$9:$B$29,0))="Contrato",IF(INDEX(Config!$E$9:$E$29,MATCH($B977,Config!$B$9:$B$29,0))="","",INDEX(Config!$E$9:$E$29,MATCH($B977,Config!$B$9:$B$29,0))),""),""))</f>
        <v/>
      </c>
      <c r="AI977" s="19" t="str">
        <f>IF($B977="","",IFERROR(INDEX(Config!$D$9:$D$29,MATCH($B977,Config!$B$9:$B$29,0))&amp;"",""))</f>
        <v/>
      </c>
    </row>
    <row r="978">
      <c r="X978" s="20" t="str">
        <f>IF($B978="","",IFERROR(IF(INDEX(Config!$D$9:$D$29,MATCH($B978,Config!$B$9:$B$29,0))="Contrato",IF(INDEX(Config!$E$9:$E$29,MATCH($B978,Config!$B$9:$B$29,0))="","",INDEX(Config!$E$9:$E$29,MATCH($B978,Config!$B$9:$B$29,0))),""),""))</f>
        <v/>
      </c>
      <c r="AI978" s="19" t="str">
        <f>IF($B978="","",IFERROR(INDEX(Config!$D$9:$D$29,MATCH($B978,Config!$B$9:$B$29,0))&amp;"",""))</f>
        <v/>
      </c>
    </row>
    <row r="979">
      <c r="X979" s="20" t="str">
        <f>IF($B979="","",IFERROR(IF(INDEX(Config!$D$9:$D$29,MATCH($B979,Config!$B$9:$B$29,0))="Contrato",IF(INDEX(Config!$E$9:$E$29,MATCH($B979,Config!$B$9:$B$29,0))="","",INDEX(Config!$E$9:$E$29,MATCH($B979,Config!$B$9:$B$29,0))),""),""))</f>
        <v/>
      </c>
      <c r="AI979" s="19" t="str">
        <f>IF($B979="","",IFERROR(INDEX(Config!$D$9:$D$29,MATCH($B979,Config!$B$9:$B$29,0))&amp;"",""))</f>
        <v/>
      </c>
    </row>
    <row r="980">
      <c r="X980" s="20" t="str">
        <f>IF($B980="","",IFERROR(IF(INDEX(Config!$D$9:$D$29,MATCH($B980,Config!$B$9:$B$29,0))="Contrato",IF(INDEX(Config!$E$9:$E$29,MATCH($B980,Config!$B$9:$B$29,0))="","",INDEX(Config!$E$9:$E$29,MATCH($B980,Config!$B$9:$B$29,0))),""),""))</f>
        <v/>
      </c>
      <c r="AI980" s="19" t="str">
        <f>IF($B980="","",IFERROR(INDEX(Config!$D$9:$D$29,MATCH($B980,Config!$B$9:$B$29,0))&amp;"",""))</f>
        <v/>
      </c>
    </row>
    <row r="981">
      <c r="X981" s="20" t="str">
        <f>IF($B981="","",IFERROR(IF(INDEX(Config!$D$9:$D$29,MATCH($B981,Config!$B$9:$B$29,0))="Contrato",IF(INDEX(Config!$E$9:$E$29,MATCH($B981,Config!$B$9:$B$29,0))="","",INDEX(Config!$E$9:$E$29,MATCH($B981,Config!$B$9:$B$29,0))),""),""))</f>
        <v/>
      </c>
      <c r="AI981" s="19" t="str">
        <f>IF($B981="","",IFERROR(INDEX(Config!$D$9:$D$29,MATCH($B981,Config!$B$9:$B$29,0))&amp;"",""))</f>
        <v/>
      </c>
    </row>
    <row r="982">
      <c r="X982" s="20" t="str">
        <f>IF($B982="","",IFERROR(IF(INDEX(Config!$D$9:$D$29,MATCH($B982,Config!$B$9:$B$29,0))="Contrato",IF(INDEX(Config!$E$9:$E$29,MATCH($B982,Config!$B$9:$B$29,0))="","",INDEX(Config!$E$9:$E$29,MATCH($B982,Config!$B$9:$B$29,0))),""),""))</f>
        <v/>
      </c>
      <c r="AI982" s="19" t="str">
        <f>IF($B982="","",IFERROR(INDEX(Config!$D$9:$D$29,MATCH($B982,Config!$B$9:$B$29,0))&amp;"",""))</f>
        <v/>
      </c>
    </row>
    <row r="983">
      <c r="X983" s="20" t="str">
        <f>IF($B983="","",IFERROR(IF(INDEX(Config!$D$9:$D$29,MATCH($B983,Config!$B$9:$B$29,0))="Contrato",IF(INDEX(Config!$E$9:$E$29,MATCH($B983,Config!$B$9:$B$29,0))="","",INDEX(Config!$E$9:$E$29,MATCH($B983,Config!$B$9:$B$29,0))),""),""))</f>
        <v/>
      </c>
      <c r="AI983" s="19" t="str">
        <f>IF($B983="","",IFERROR(INDEX(Config!$D$9:$D$29,MATCH($B983,Config!$B$9:$B$29,0))&amp;"",""))</f>
        <v/>
      </c>
    </row>
    <row r="984">
      <c r="X984" s="20" t="str">
        <f>IF($B984="","",IFERROR(IF(INDEX(Config!$D$9:$D$29,MATCH($B984,Config!$B$9:$B$29,0))="Contrato",IF(INDEX(Config!$E$9:$E$29,MATCH($B984,Config!$B$9:$B$29,0))="","",INDEX(Config!$E$9:$E$29,MATCH($B984,Config!$B$9:$B$29,0))),""),""))</f>
        <v/>
      </c>
      <c r="AI984" s="19" t="str">
        <f>IF($B984="","",IFERROR(INDEX(Config!$D$9:$D$29,MATCH($B984,Config!$B$9:$B$29,0))&amp;"",""))</f>
        <v/>
      </c>
    </row>
    <row r="985">
      <c r="X985" s="20" t="str">
        <f>IF($B985="","",IFERROR(IF(INDEX(Config!$D$9:$D$29,MATCH($B985,Config!$B$9:$B$29,0))="Contrato",IF(INDEX(Config!$E$9:$E$29,MATCH($B985,Config!$B$9:$B$29,0))="","",INDEX(Config!$E$9:$E$29,MATCH($B985,Config!$B$9:$B$29,0))),""),""))</f>
        <v/>
      </c>
      <c r="AI985" s="19" t="str">
        <f>IF($B985="","",IFERROR(INDEX(Config!$D$9:$D$29,MATCH($B985,Config!$B$9:$B$29,0))&amp;"",""))</f>
        <v/>
      </c>
    </row>
    <row r="986">
      <c r="X986" s="20" t="str">
        <f>IF($B986="","",IFERROR(IF(INDEX(Config!$D$9:$D$29,MATCH($B986,Config!$B$9:$B$29,0))="Contrato",IF(INDEX(Config!$E$9:$E$29,MATCH($B986,Config!$B$9:$B$29,0))="","",INDEX(Config!$E$9:$E$29,MATCH($B986,Config!$B$9:$B$29,0))),""),""))</f>
        <v/>
      </c>
      <c r="AI986" s="19" t="str">
        <f>IF($B986="","",IFERROR(INDEX(Config!$D$9:$D$29,MATCH($B986,Config!$B$9:$B$29,0))&amp;"",""))</f>
        <v/>
      </c>
    </row>
    <row r="987">
      <c r="X987" s="20" t="str">
        <f>IF($B987="","",IFERROR(IF(INDEX(Config!$D$9:$D$29,MATCH($B987,Config!$B$9:$B$29,0))="Contrato",IF(INDEX(Config!$E$9:$E$29,MATCH($B987,Config!$B$9:$B$29,0))="","",INDEX(Config!$E$9:$E$29,MATCH($B987,Config!$B$9:$B$29,0))),""),""))</f>
        <v/>
      </c>
      <c r="AI987" s="19" t="str">
        <f>IF($B987="","",IFERROR(INDEX(Config!$D$9:$D$29,MATCH($B987,Config!$B$9:$B$29,0))&amp;"",""))</f>
        <v/>
      </c>
    </row>
    <row r="988">
      <c r="X988" s="20" t="str">
        <f>IF($B988="","",IFERROR(IF(INDEX(Config!$D$9:$D$29,MATCH($B988,Config!$B$9:$B$29,0))="Contrato",IF(INDEX(Config!$E$9:$E$29,MATCH($B988,Config!$B$9:$B$29,0))="","",INDEX(Config!$E$9:$E$29,MATCH($B988,Config!$B$9:$B$29,0))),""),""))</f>
        <v/>
      </c>
      <c r="AI988" s="19" t="str">
        <f>IF($B988="","",IFERROR(INDEX(Config!$D$9:$D$29,MATCH($B988,Config!$B$9:$B$29,0))&amp;"",""))</f>
        <v/>
      </c>
    </row>
    <row r="989">
      <c r="X989" s="20" t="str">
        <f>IF($B989="","",IFERROR(IF(INDEX(Config!$D$9:$D$29,MATCH($B989,Config!$B$9:$B$29,0))="Contrato",IF(INDEX(Config!$E$9:$E$29,MATCH($B989,Config!$B$9:$B$29,0))="","",INDEX(Config!$E$9:$E$29,MATCH($B989,Config!$B$9:$B$29,0))),""),""))</f>
        <v/>
      </c>
      <c r="AI989" s="19" t="str">
        <f>IF($B989="","",IFERROR(INDEX(Config!$D$9:$D$29,MATCH($B989,Config!$B$9:$B$29,0))&amp;"",""))</f>
        <v/>
      </c>
    </row>
    <row r="990">
      <c r="X990" s="20" t="str">
        <f>IF($B990="","",IFERROR(IF(INDEX(Config!$D$9:$D$29,MATCH($B990,Config!$B$9:$B$29,0))="Contrato",IF(INDEX(Config!$E$9:$E$29,MATCH($B990,Config!$B$9:$B$29,0))="","",INDEX(Config!$E$9:$E$29,MATCH($B990,Config!$B$9:$B$29,0))),""),""))</f>
        <v/>
      </c>
      <c r="AI990" s="19" t="str">
        <f>IF($B990="","",IFERROR(INDEX(Config!$D$9:$D$29,MATCH($B990,Config!$B$9:$B$29,0))&amp;"",""))</f>
        <v/>
      </c>
    </row>
    <row r="991">
      <c r="X991" s="20" t="str">
        <f>IF($B991="","",IFERROR(IF(INDEX(Config!$D$9:$D$29,MATCH($B991,Config!$B$9:$B$29,0))="Contrato",IF(INDEX(Config!$E$9:$E$29,MATCH($B991,Config!$B$9:$B$29,0))="","",INDEX(Config!$E$9:$E$29,MATCH($B991,Config!$B$9:$B$29,0))),""),""))</f>
        <v/>
      </c>
      <c r="AI991" s="19" t="str">
        <f>IF($B991="","",IFERROR(INDEX(Config!$D$9:$D$29,MATCH($B991,Config!$B$9:$B$29,0))&amp;"",""))</f>
        <v/>
      </c>
    </row>
    <row r="992">
      <c r="X992" s="20" t="str">
        <f>IF($B992="","",IFERROR(IF(INDEX(Config!$D$9:$D$29,MATCH($B992,Config!$B$9:$B$29,0))="Contrato",IF(INDEX(Config!$E$9:$E$29,MATCH($B992,Config!$B$9:$B$29,0))="","",INDEX(Config!$E$9:$E$29,MATCH($B992,Config!$B$9:$B$29,0))),""),""))</f>
        <v/>
      </c>
      <c r="AI992" s="19" t="str">
        <f>IF($B992="","",IFERROR(INDEX(Config!$D$9:$D$29,MATCH($B992,Config!$B$9:$B$29,0))&amp;"",""))</f>
        <v/>
      </c>
    </row>
    <row r="993">
      <c r="X993" s="20" t="str">
        <f>IF($B993="","",IFERROR(IF(INDEX(Config!$D$9:$D$29,MATCH($B993,Config!$B$9:$B$29,0))="Contrato",IF(INDEX(Config!$E$9:$E$29,MATCH($B993,Config!$B$9:$B$29,0))="","",INDEX(Config!$E$9:$E$29,MATCH($B993,Config!$B$9:$B$29,0))),""),""))</f>
        <v/>
      </c>
      <c r="AI993" s="19" t="str">
        <f>IF($B993="","",IFERROR(INDEX(Config!$D$9:$D$29,MATCH($B993,Config!$B$9:$B$29,0))&amp;"",""))</f>
        <v/>
      </c>
    </row>
    <row r="994">
      <c r="X994" s="20" t="str">
        <f>IF($B994="","",IFERROR(IF(INDEX(Config!$D$9:$D$29,MATCH($B994,Config!$B$9:$B$29,0))="Contrato",IF(INDEX(Config!$E$9:$E$29,MATCH($B994,Config!$B$9:$B$29,0))="","",INDEX(Config!$E$9:$E$29,MATCH($B994,Config!$B$9:$B$29,0))),""),""))</f>
        <v/>
      </c>
      <c r="AI994" s="19" t="str">
        <f>IF($B994="","",IFERROR(INDEX(Config!$D$9:$D$29,MATCH($B994,Config!$B$9:$B$29,0))&amp;"",""))</f>
        <v/>
      </c>
    </row>
    <row r="995">
      <c r="X995" s="20" t="str">
        <f>IF($B995="","",IFERROR(IF(INDEX(Config!$D$9:$D$29,MATCH($B995,Config!$B$9:$B$29,0))="Contrato",IF(INDEX(Config!$E$9:$E$29,MATCH($B995,Config!$B$9:$B$29,0))="","",INDEX(Config!$E$9:$E$29,MATCH($B995,Config!$B$9:$B$29,0))),""),""))</f>
        <v/>
      </c>
      <c r="AI995" s="19" t="str">
        <f>IF($B995="","",IFERROR(INDEX(Config!$D$9:$D$29,MATCH($B995,Config!$B$9:$B$29,0))&amp;"",""))</f>
        <v/>
      </c>
    </row>
    <row r="996">
      <c r="X996" s="20" t="str">
        <f>IF($B996="","",IFERROR(IF(INDEX(Config!$D$9:$D$29,MATCH($B996,Config!$B$9:$B$29,0))="Contrato",IF(INDEX(Config!$E$9:$E$29,MATCH($B996,Config!$B$9:$B$29,0))="","",INDEX(Config!$E$9:$E$29,MATCH($B996,Config!$B$9:$B$29,0))),""),""))</f>
        <v/>
      </c>
      <c r="AI996" s="19" t="str">
        <f>IF($B996="","",IFERROR(INDEX(Config!$D$9:$D$29,MATCH($B996,Config!$B$9:$B$29,0))&amp;"",""))</f>
        <v/>
      </c>
    </row>
    <row r="997">
      <c r="X997" s="20" t="str">
        <f>IF($B997="","",IFERROR(IF(INDEX(Config!$D$9:$D$29,MATCH($B997,Config!$B$9:$B$29,0))="Contrato",IF(INDEX(Config!$E$9:$E$29,MATCH($B997,Config!$B$9:$B$29,0))="","",INDEX(Config!$E$9:$E$29,MATCH($B997,Config!$B$9:$B$29,0))),""),""))</f>
        <v/>
      </c>
      <c r="AI997" s="19" t="str">
        <f>IF($B997="","",IFERROR(INDEX(Config!$D$9:$D$29,MATCH($B997,Config!$B$9:$B$29,0))&amp;"",""))</f>
        <v/>
      </c>
    </row>
    <row r="998">
      <c r="X998" s="20" t="str">
        <f>IF($B998="","",IFERROR(IF(INDEX(Config!$D$9:$D$29,MATCH($B998,Config!$B$9:$B$29,0))="Contrato",IF(INDEX(Config!$E$9:$E$29,MATCH($B998,Config!$B$9:$B$29,0))="","",INDEX(Config!$E$9:$E$29,MATCH($B998,Config!$B$9:$B$29,0))),""),""))</f>
        <v/>
      </c>
      <c r="AI998" s="19" t="str">
        <f>IF($B998="","",IFERROR(INDEX(Config!$D$9:$D$29,MATCH($B998,Config!$B$9:$B$29,0))&amp;"",""))</f>
        <v/>
      </c>
    </row>
    <row r="999">
      <c r="X999" s="20" t="str">
        <f>IF($B999="","",IFERROR(IF(INDEX(Config!$D$9:$D$29,MATCH($B999,Config!$B$9:$B$29,0))="Contrato",IF(INDEX(Config!$E$9:$E$29,MATCH($B999,Config!$B$9:$B$29,0))="","",INDEX(Config!$E$9:$E$29,MATCH($B999,Config!$B$9:$B$29,0))),""),""))</f>
        <v/>
      </c>
      <c r="AI999" s="19" t="str">
        <f>IF($B999="","",IFERROR(INDEX(Config!$D$9:$D$29,MATCH($B999,Config!$B$9:$B$29,0))&amp;"",""))</f>
        <v/>
      </c>
    </row>
    <row r="1000">
      <c r="X1000" s="20" t="str">
        <f>IF($B1000="","",IFERROR(IF(INDEX(Config!$D$9:$D$29,MATCH($B1000,Config!$B$9:$B$29,0))="Contrato",IF(INDEX(Config!$E$9:$E$29,MATCH($B1000,Config!$B$9:$B$29,0))="","",INDEX(Config!$E$9:$E$29,MATCH($B1000,Config!$B$9:$B$29,0))),""),""))</f>
        <v/>
      </c>
      <c r="AI1000" s="19" t="str">
        <f>IF($B1000="","",IFERROR(INDEX(Config!$D$9:$D$29,MATCH($B1000,Config!$B$9:$B$29,0))&amp;"",""))</f>
        <v/>
      </c>
    </row>
    <row r="1001">
      <c r="X1001" s="20" t="str">
        <f>IF($B1001="","",IFERROR(IF(INDEX(Config!$D$9:$D$29,MATCH($B1001,Config!$B$9:$B$29,0))="Contrato",IF(INDEX(Config!$E$9:$E$29,MATCH($B1001,Config!$B$9:$B$29,0))="","",INDEX(Config!$E$9:$E$29,MATCH($B1001,Config!$B$9:$B$29,0))),""),""))</f>
        <v/>
      </c>
      <c r="AI1001" s="19" t="str">
        <f>IF($B1001="","",IFERROR(INDEX(Config!$D$9:$D$29,MATCH($B1001,Config!$B$9:$B$29,0))&amp;"",""))</f>
        <v/>
      </c>
    </row>
    <row r="1002">
      <c r="X1002" s="20" t="str">
        <f>IF($B1002="","",IFERROR(IF(INDEX(Config!$D$9:$D$29,MATCH($B1002,Config!$B$9:$B$29,0))="Contrato",IF(INDEX(Config!$E$9:$E$29,MATCH($B1002,Config!$B$9:$B$29,0))="","",INDEX(Config!$E$9:$E$29,MATCH($B1002,Config!$B$9:$B$29,0))),""),""))</f>
        <v/>
      </c>
      <c r="AI1002" s="19" t="str">
        <f>IF($B1002="","",IFERROR(INDEX(Config!$D$9:$D$29,MATCH($B1002,Config!$B$9:$B$29,0))&amp;"",""))</f>
        <v/>
      </c>
    </row>
    <row r="1003">
      <c r="X1003" s="20" t="str">
        <f>IF($B1003="","",IFERROR(IF(INDEX(Config!$D$9:$D$29,MATCH($B1003,Config!$B$9:$B$29,0))="Contrato",IF(INDEX(Config!$E$9:$E$29,MATCH($B1003,Config!$B$9:$B$29,0))="","",INDEX(Config!$E$9:$E$29,MATCH($B1003,Config!$B$9:$B$29,0))),""),""))</f>
        <v/>
      </c>
      <c r="AI1003" s="19" t="str">
        <f>IF($B1003="","",IFERROR(INDEX(Config!$D$9:$D$29,MATCH($B1003,Config!$B$9:$B$29,0))&amp;"",""))</f>
        <v/>
      </c>
    </row>
    <row r="1004">
      <c r="X1004" s="20" t="str">
        <f>IF($B1004="","",IFERROR(IF(INDEX(Config!$D$9:$D$29,MATCH($B1004,Config!$B$9:$B$29,0))="Contrato",IF(INDEX(Config!$E$9:$E$29,MATCH($B1004,Config!$B$9:$B$29,0))="","",INDEX(Config!$E$9:$E$29,MATCH($B1004,Config!$B$9:$B$29,0))),""),""))</f>
        <v/>
      </c>
      <c r="AI1004" s="19" t="str">
        <f>IF($B1004="","",IFERROR(INDEX(Config!$D$9:$D$29,MATCH($B1004,Config!$B$9:$B$29,0))&amp;"",""))</f>
        <v/>
      </c>
    </row>
    <row r="1005">
      <c r="X1005" s="20" t="str">
        <f>IF($B1005="","",IFERROR(IF(INDEX(Config!$D$9:$D$29,MATCH($B1005,Config!$B$9:$B$29,0))="Contrato",IF(INDEX(Config!$E$9:$E$29,MATCH($B1005,Config!$B$9:$B$29,0))="","",INDEX(Config!$E$9:$E$29,MATCH($B1005,Config!$B$9:$B$29,0))),""),""))</f>
        <v/>
      </c>
      <c r="AI1005" s="19" t="str">
        <f>IF($B1005="","",IFERROR(INDEX(Config!$D$9:$D$29,MATCH($B1005,Config!$B$9:$B$29,0))&amp;"",""))</f>
        <v/>
      </c>
    </row>
    <row r="1006">
      <c r="X1006" s="20" t="str">
        <f>IF($B1006="","",IFERROR(IF(INDEX(Config!$D$9:$D$29,MATCH($B1006,Config!$B$9:$B$29,0))="Contrato",IF(INDEX(Config!$E$9:$E$29,MATCH($B1006,Config!$B$9:$B$29,0))="","",INDEX(Config!$E$9:$E$29,MATCH($B1006,Config!$B$9:$B$29,0))),""),""))</f>
        <v/>
      </c>
      <c r="AI1006" s="19" t="str">
        <f>IF($B1006="","",IFERROR(INDEX(Config!$D$9:$D$29,MATCH($B1006,Config!$B$9:$B$29,0))&amp;"",""))</f>
        <v/>
      </c>
    </row>
    <row r="1007">
      <c r="X1007" s="20" t="str">
        <f>IF($B1007="","",IFERROR(IF(INDEX(Config!$D$9:$D$29,MATCH($B1007,Config!$B$9:$B$29,0))="Contrato",IF(INDEX(Config!$E$9:$E$29,MATCH($B1007,Config!$B$9:$B$29,0))="","",INDEX(Config!$E$9:$E$29,MATCH($B1007,Config!$B$9:$B$29,0))),""),""))</f>
        <v/>
      </c>
      <c r="AI1007" s="19" t="str">
        <f>IF($B1007="","",IFERROR(INDEX(Config!$D$9:$D$29,MATCH($B1007,Config!$B$9:$B$29,0))&amp;"",""))</f>
        <v/>
      </c>
    </row>
    <row r="1008">
      <c r="X1008" s="20" t="str">
        <f>IF($B1008="","",IFERROR(IF(INDEX(Config!$D$9:$D$29,MATCH($B1008,Config!$B$9:$B$29,0))="Contrato",IF(INDEX(Config!$E$9:$E$29,MATCH($B1008,Config!$B$9:$B$29,0))="","",INDEX(Config!$E$9:$E$29,MATCH($B1008,Config!$B$9:$B$29,0))),""),""))</f>
        <v/>
      </c>
      <c r="AI1008" s="19" t="str">
        <f>IF($B1008="","",IFERROR(INDEX(Config!$D$9:$D$29,MATCH($B1008,Config!$B$9:$B$29,0))&amp;"",""))</f>
        <v/>
      </c>
    </row>
    <row r="1009">
      <c r="X1009" s="20" t="str">
        <f>IF($B1009="","",IFERROR(IF(INDEX(Config!$D$9:$D$29,MATCH($B1009,Config!$B$9:$B$29,0))="Contrato",IF(INDEX(Config!$E$9:$E$29,MATCH($B1009,Config!$B$9:$B$29,0))="","",INDEX(Config!$E$9:$E$29,MATCH($B1009,Config!$B$9:$B$29,0))),""),""))</f>
        <v/>
      </c>
      <c r="AI1009" s="19" t="str">
        <f>IF($B1009="","",IFERROR(INDEX(Config!$D$9:$D$29,MATCH($B1009,Config!$B$9:$B$29,0))&amp;"",""))</f>
        <v/>
      </c>
    </row>
    <row r="1010">
      <c r="X1010" s="20" t="str">
        <f>IF($B1010="","",IFERROR(IF(INDEX(Config!$D$9:$D$29,MATCH($B1010,Config!$B$9:$B$29,0))="Contrato",IF(INDEX(Config!$E$9:$E$29,MATCH($B1010,Config!$B$9:$B$29,0))="","",INDEX(Config!$E$9:$E$29,MATCH($B1010,Config!$B$9:$B$29,0))),""),""))</f>
        <v/>
      </c>
      <c r="AI1010" s="19" t="str">
        <f>IF($B1010="","",IFERROR(INDEX(Config!$D$9:$D$29,MATCH($B1010,Config!$B$9:$B$29,0))&amp;"",""))</f>
        <v/>
      </c>
    </row>
    <row r="1011">
      <c r="X1011" s="20" t="str">
        <f>IF($B1011="","",IFERROR(IF(INDEX(Config!$D$9:$D$29,MATCH($B1011,Config!$B$9:$B$29,0))="Contrato",IF(INDEX(Config!$E$9:$E$29,MATCH($B1011,Config!$B$9:$B$29,0))="","",INDEX(Config!$E$9:$E$29,MATCH($B1011,Config!$B$9:$B$29,0))),""),""))</f>
        <v/>
      </c>
      <c r="AI1011" s="19" t="str">
        <f>IF($B1011="","",IFERROR(INDEX(Config!$D$9:$D$29,MATCH($B1011,Config!$B$9:$B$29,0))&amp;"",""))</f>
        <v/>
      </c>
    </row>
    <row r="1012">
      <c r="X1012" s="20" t="str">
        <f>IF($B1012="","",IFERROR(IF(INDEX(Config!$D$9:$D$29,MATCH($B1012,Config!$B$9:$B$29,0))="Contrato",IF(INDEX(Config!$E$9:$E$29,MATCH($B1012,Config!$B$9:$B$29,0))="","",INDEX(Config!$E$9:$E$29,MATCH($B1012,Config!$B$9:$B$29,0))),""),""))</f>
        <v/>
      </c>
      <c r="AI1012" s="19" t="str">
        <f>IF($B1012="","",IFERROR(INDEX(Config!$D$9:$D$29,MATCH($B1012,Config!$B$9:$B$29,0))&amp;"",""))</f>
        <v/>
      </c>
    </row>
    <row r="1013">
      <c r="X1013" s="20" t="str">
        <f>IF($B1013="","",IFERROR(IF(INDEX(Config!$D$9:$D$29,MATCH($B1013,Config!$B$9:$B$29,0))="Contrato",IF(INDEX(Config!$E$9:$E$29,MATCH($B1013,Config!$B$9:$B$29,0))="","",INDEX(Config!$E$9:$E$29,MATCH($B1013,Config!$B$9:$B$29,0))),""),""))</f>
        <v/>
      </c>
      <c r="AI1013" s="19" t="str">
        <f>IF($B1013="","",IFERROR(INDEX(Config!$D$9:$D$29,MATCH($B1013,Config!$B$9:$B$29,0))&amp;"",""))</f>
        <v/>
      </c>
    </row>
    <row r="1014">
      <c r="X1014" s="20" t="str">
        <f>IF($B1014="","",IFERROR(IF(INDEX(Config!$D$9:$D$29,MATCH($B1014,Config!$B$9:$B$29,0))="Contrato",IF(INDEX(Config!$E$9:$E$29,MATCH($B1014,Config!$B$9:$B$29,0))="","",INDEX(Config!$E$9:$E$29,MATCH($B1014,Config!$B$9:$B$29,0))),""),""))</f>
        <v/>
      </c>
      <c r="AI1014" s="19" t="str">
        <f>IF($B1014="","",IFERROR(INDEX(Config!$D$9:$D$29,MATCH($B1014,Config!$B$9:$B$29,0))&amp;"",""))</f>
        <v/>
      </c>
    </row>
    <row r="1015">
      <c r="X1015" s="20" t="str">
        <f>IF($B1015="","",IFERROR(IF(INDEX(Config!$D$9:$D$29,MATCH($B1015,Config!$B$9:$B$29,0))="Contrato",IF(INDEX(Config!$E$9:$E$29,MATCH($B1015,Config!$B$9:$B$29,0))="","",INDEX(Config!$E$9:$E$29,MATCH($B1015,Config!$B$9:$B$29,0))),""),""))</f>
        <v/>
      </c>
      <c r="AI1015" s="19" t="str">
        <f>IF($B1015="","",IFERROR(INDEX(Config!$D$9:$D$29,MATCH($B1015,Config!$B$9:$B$29,0))&amp;"",""))</f>
        <v/>
      </c>
    </row>
    <row r="1016">
      <c r="X1016" s="20" t="str">
        <f>IF($B1016="","",IFERROR(IF(INDEX(Config!$D$9:$D$29,MATCH($B1016,Config!$B$9:$B$29,0))="Contrato",IF(INDEX(Config!$E$9:$E$29,MATCH($B1016,Config!$B$9:$B$29,0))="","",INDEX(Config!$E$9:$E$29,MATCH($B1016,Config!$B$9:$B$29,0))),""),""))</f>
        <v/>
      </c>
      <c r="AI1016" s="19" t="str">
        <f>IF($B1016="","",IFERROR(INDEX(Config!$D$9:$D$29,MATCH($B1016,Config!$B$9:$B$29,0))&amp;"",""))</f>
        <v/>
      </c>
    </row>
    <row r="1017">
      <c r="X1017" s="20" t="str">
        <f>IF($B1017="","",IFERROR(IF(INDEX(Config!$D$9:$D$29,MATCH($B1017,Config!$B$9:$B$29,0))="Contrato",IF(INDEX(Config!$E$9:$E$29,MATCH($B1017,Config!$B$9:$B$29,0))="","",INDEX(Config!$E$9:$E$29,MATCH($B1017,Config!$B$9:$B$29,0))),""),""))</f>
        <v/>
      </c>
      <c r="AI1017" s="19" t="str">
        <f>IF($B1017="","",IFERROR(INDEX(Config!$D$9:$D$29,MATCH($B1017,Config!$B$9:$B$29,0))&amp;"",""))</f>
        <v/>
      </c>
    </row>
    <row r="1018">
      <c r="X1018" s="20" t="str">
        <f>IF($B1018="","",IFERROR(IF(INDEX(Config!$D$9:$D$29,MATCH($B1018,Config!$B$9:$B$29,0))="Contrato",IF(INDEX(Config!$E$9:$E$29,MATCH($B1018,Config!$B$9:$B$29,0))="","",INDEX(Config!$E$9:$E$29,MATCH($B1018,Config!$B$9:$B$29,0))),""),""))</f>
        <v/>
      </c>
      <c r="AI1018" s="19" t="str">
        <f>IF($B1018="","",IFERROR(INDEX(Config!$D$9:$D$29,MATCH($B1018,Config!$B$9:$B$29,0))&amp;"",""))</f>
        <v/>
      </c>
    </row>
    <row r="1019">
      <c r="X1019" s="20" t="str">
        <f>IF($B1019="","",IFERROR(IF(INDEX(Config!$D$9:$D$29,MATCH($B1019,Config!$B$9:$B$29,0))="Contrato",IF(INDEX(Config!$E$9:$E$29,MATCH($B1019,Config!$B$9:$B$29,0))="","",INDEX(Config!$E$9:$E$29,MATCH($B1019,Config!$B$9:$B$29,0))),""),""))</f>
        <v/>
      </c>
      <c r="AI1019" s="19" t="str">
        <f>IF($B1019="","",IFERROR(INDEX(Config!$D$9:$D$29,MATCH($B1019,Config!$B$9:$B$29,0))&amp;"",""))</f>
        <v/>
      </c>
    </row>
    <row r="1020">
      <c r="X1020" s="20" t="str">
        <f>IF($B1020="","",IFERROR(IF(INDEX(Config!$D$9:$D$29,MATCH($B1020,Config!$B$9:$B$29,0))="Contrato",IF(INDEX(Config!$E$9:$E$29,MATCH($B1020,Config!$B$9:$B$29,0))="","",INDEX(Config!$E$9:$E$29,MATCH($B1020,Config!$B$9:$B$29,0))),""),""))</f>
        <v/>
      </c>
      <c r="AI1020" s="19" t="str">
        <f>IF($B1020="","",IFERROR(INDEX(Config!$D$9:$D$29,MATCH($B1020,Config!$B$9:$B$29,0))&amp;"",""))</f>
        <v/>
      </c>
    </row>
    <row r="1021">
      <c r="X1021" s="20" t="str">
        <f>IF($B1021="","",IFERROR(IF(INDEX(Config!$D$9:$D$29,MATCH($B1021,Config!$B$9:$B$29,0))="Contrato",IF(INDEX(Config!$E$9:$E$29,MATCH($B1021,Config!$B$9:$B$29,0))="","",INDEX(Config!$E$9:$E$29,MATCH($B1021,Config!$B$9:$B$29,0))),""),""))</f>
        <v/>
      </c>
      <c r="AI1021" s="19" t="str">
        <f>IF($B1021="","",IFERROR(INDEX(Config!$D$9:$D$29,MATCH($B1021,Config!$B$9:$B$29,0))&amp;"",""))</f>
        <v/>
      </c>
    </row>
    <row r="1022">
      <c r="X1022" s="20" t="str">
        <f>IF($B1022="","",IFERROR(IF(INDEX(Config!$D$9:$D$29,MATCH($B1022,Config!$B$9:$B$29,0))="Contrato",IF(INDEX(Config!$E$9:$E$29,MATCH($B1022,Config!$B$9:$B$29,0))="","",INDEX(Config!$E$9:$E$29,MATCH($B1022,Config!$B$9:$B$29,0))),""),""))</f>
        <v/>
      </c>
      <c r="AI1022" s="19" t="str">
        <f>IF($B1022="","",IFERROR(INDEX(Config!$D$9:$D$29,MATCH($B1022,Config!$B$9:$B$29,0))&amp;"",""))</f>
        <v/>
      </c>
    </row>
    <row r="1023">
      <c r="X1023" s="20" t="str">
        <f>IF($B1023="","",IFERROR(IF(INDEX(Config!$D$9:$D$29,MATCH($B1023,Config!$B$9:$B$29,0))="Contrato",IF(INDEX(Config!$E$9:$E$29,MATCH($B1023,Config!$B$9:$B$29,0))="","",INDEX(Config!$E$9:$E$29,MATCH($B1023,Config!$B$9:$B$29,0))),""),""))</f>
        <v/>
      </c>
      <c r="AI1023" s="19" t="str">
        <f>IF($B1023="","",IFERROR(INDEX(Config!$D$9:$D$29,MATCH($B1023,Config!$B$9:$B$29,0))&amp;"",""))</f>
        <v/>
      </c>
    </row>
    <row r="1024">
      <c r="X1024" s="20" t="str">
        <f>IF($B1024="","",IFERROR(IF(INDEX(Config!$D$9:$D$29,MATCH($B1024,Config!$B$9:$B$29,0))="Contrato",IF(INDEX(Config!$E$9:$E$29,MATCH($B1024,Config!$B$9:$B$29,0))="","",INDEX(Config!$E$9:$E$29,MATCH($B1024,Config!$B$9:$B$29,0))),""),""))</f>
        <v/>
      </c>
      <c r="AI1024" s="19" t="str">
        <f>IF($B1024="","",IFERROR(INDEX(Config!$D$9:$D$29,MATCH($B1024,Config!$B$9:$B$29,0))&amp;"",""))</f>
        <v/>
      </c>
    </row>
    <row r="1025">
      <c r="X1025" s="20" t="str">
        <f>IF($B1025="","",IFERROR(IF(INDEX(Config!$D$9:$D$29,MATCH($B1025,Config!$B$9:$B$29,0))="Contrato",IF(INDEX(Config!$E$9:$E$29,MATCH($B1025,Config!$B$9:$B$29,0))="","",INDEX(Config!$E$9:$E$29,MATCH($B1025,Config!$B$9:$B$29,0))),""),""))</f>
        <v/>
      </c>
      <c r="AI1025" s="19" t="str">
        <f>IF($B1025="","",IFERROR(INDEX(Config!$D$9:$D$29,MATCH($B1025,Config!$B$9:$B$29,0))&amp;"",""))</f>
        <v/>
      </c>
    </row>
    <row r="1026">
      <c r="X1026" s="20" t="str">
        <f>IF($B1026="","",IFERROR(IF(INDEX(Config!$D$9:$D$29,MATCH($B1026,Config!$B$9:$B$29,0))="Contrato",IF(INDEX(Config!$E$9:$E$29,MATCH($B1026,Config!$B$9:$B$29,0))="","",INDEX(Config!$E$9:$E$29,MATCH($B1026,Config!$B$9:$B$29,0))),""),""))</f>
        <v/>
      </c>
      <c r="AI1026" s="19" t="str">
        <f>IF($B1026="","",IFERROR(INDEX(Config!$D$9:$D$29,MATCH($B1026,Config!$B$9:$B$29,0))&amp;"",""))</f>
        <v/>
      </c>
    </row>
    <row r="1027">
      <c r="X1027" s="20" t="str">
        <f>IF($B1027="","",IFERROR(IF(INDEX(Config!$D$9:$D$29,MATCH($B1027,Config!$B$9:$B$29,0))="Contrato",IF(INDEX(Config!$E$9:$E$29,MATCH($B1027,Config!$B$9:$B$29,0))="","",INDEX(Config!$E$9:$E$29,MATCH($B1027,Config!$B$9:$B$29,0))),""),""))</f>
        <v/>
      </c>
      <c r="AI1027" s="19" t="str">
        <f>IF($B1027="","",IFERROR(INDEX(Config!$D$9:$D$29,MATCH($B1027,Config!$B$9:$B$29,0))&amp;"",""))</f>
        <v/>
      </c>
    </row>
    <row r="1028">
      <c r="X1028" s="20" t="str">
        <f>IF($B1028="","",IFERROR(IF(INDEX(Config!$D$9:$D$29,MATCH($B1028,Config!$B$9:$B$29,0))="Contrato",IF(INDEX(Config!$E$9:$E$29,MATCH($B1028,Config!$B$9:$B$29,0))="","",INDEX(Config!$E$9:$E$29,MATCH($B1028,Config!$B$9:$B$29,0))),""),""))</f>
        <v/>
      </c>
      <c r="AI1028" s="19" t="str">
        <f>IF($B1028="","",IFERROR(INDEX(Config!$D$9:$D$29,MATCH($B1028,Config!$B$9:$B$29,0))&amp;"",""))</f>
        <v/>
      </c>
    </row>
    <row r="1029">
      <c r="X1029" s="20" t="str">
        <f>IF($B1029="","",IFERROR(IF(INDEX(Config!$D$9:$D$29,MATCH($B1029,Config!$B$9:$B$29,0))="Contrato",IF(INDEX(Config!$E$9:$E$29,MATCH($B1029,Config!$B$9:$B$29,0))="","",INDEX(Config!$E$9:$E$29,MATCH($B1029,Config!$B$9:$B$29,0))),""),""))</f>
        <v/>
      </c>
      <c r="AI1029" s="19" t="str">
        <f>IF($B1029="","",IFERROR(INDEX(Config!$D$9:$D$29,MATCH($B1029,Config!$B$9:$B$29,0))&amp;"",""))</f>
        <v/>
      </c>
    </row>
    <row r="1030">
      <c r="X1030" s="20" t="str">
        <f>IF($B1030="","",IFERROR(IF(INDEX(Config!$D$9:$D$29,MATCH($B1030,Config!$B$9:$B$29,0))="Contrato",IF(INDEX(Config!$E$9:$E$29,MATCH($B1030,Config!$B$9:$B$29,0))="","",INDEX(Config!$E$9:$E$29,MATCH($B1030,Config!$B$9:$B$29,0))),""),""))</f>
        <v/>
      </c>
      <c r="AI1030" s="19" t="str">
        <f>IF($B1030="","",IFERROR(INDEX(Config!$D$9:$D$29,MATCH($B1030,Config!$B$9:$B$29,0))&amp;"",""))</f>
        <v/>
      </c>
    </row>
    <row r="1031">
      <c r="X1031" s="20" t="str">
        <f>IF($B1031="","",IFERROR(IF(INDEX(Config!$D$9:$D$29,MATCH($B1031,Config!$B$9:$B$29,0))="Contrato",IF(INDEX(Config!$E$9:$E$29,MATCH($B1031,Config!$B$9:$B$29,0))="","",INDEX(Config!$E$9:$E$29,MATCH($B1031,Config!$B$9:$B$29,0))),""),""))</f>
        <v/>
      </c>
      <c r="AI1031" s="19" t="str">
        <f>IF($B1031="","",IFERROR(INDEX(Config!$D$9:$D$29,MATCH($B1031,Config!$B$9:$B$29,0))&amp;"",""))</f>
        <v/>
      </c>
    </row>
    <row r="1032">
      <c r="X1032" s="20" t="str">
        <f>IF($B1032="","",IFERROR(IF(INDEX(Config!$D$9:$D$29,MATCH($B1032,Config!$B$9:$B$29,0))="Contrato",IF(INDEX(Config!$E$9:$E$29,MATCH($B1032,Config!$B$9:$B$29,0))="","",INDEX(Config!$E$9:$E$29,MATCH($B1032,Config!$B$9:$B$29,0))),""),""))</f>
        <v/>
      </c>
      <c r="AI1032" s="19" t="str">
        <f>IF($B1032="","",IFERROR(INDEX(Config!$D$9:$D$29,MATCH($B1032,Config!$B$9:$B$29,0))&amp;"",""))</f>
        <v/>
      </c>
    </row>
    <row r="1033">
      <c r="X1033" s="20" t="str">
        <f>IF($B1033="","",IFERROR(IF(INDEX(Config!$D$9:$D$29,MATCH($B1033,Config!$B$9:$B$29,0))="Contrato",IF(INDEX(Config!$E$9:$E$29,MATCH($B1033,Config!$B$9:$B$29,0))="","",INDEX(Config!$E$9:$E$29,MATCH($B1033,Config!$B$9:$B$29,0))),""),""))</f>
        <v/>
      </c>
      <c r="AI1033" s="19" t="str">
        <f>IF($B1033="","",IFERROR(INDEX(Config!$D$9:$D$29,MATCH($B1033,Config!$B$9:$B$29,0))&amp;"",""))</f>
        <v/>
      </c>
    </row>
    <row r="1034">
      <c r="X1034" s="20" t="str">
        <f>IF($B1034="","",IFERROR(IF(INDEX(Config!$D$9:$D$29,MATCH($B1034,Config!$B$9:$B$29,0))="Contrato",IF(INDEX(Config!$E$9:$E$29,MATCH($B1034,Config!$B$9:$B$29,0))="","",INDEX(Config!$E$9:$E$29,MATCH($B1034,Config!$B$9:$B$29,0))),""),""))</f>
        <v/>
      </c>
      <c r="AI1034" s="19" t="str">
        <f>IF($B1034="","",IFERROR(INDEX(Config!$D$9:$D$29,MATCH($B1034,Config!$B$9:$B$29,0))&amp;"",""))</f>
        <v/>
      </c>
    </row>
    <row r="1035">
      <c r="X1035" s="20" t="str">
        <f>IF($B1035="","",IFERROR(IF(INDEX(Config!$D$9:$D$29,MATCH($B1035,Config!$B$9:$B$29,0))="Contrato",IF(INDEX(Config!$E$9:$E$29,MATCH($B1035,Config!$B$9:$B$29,0))="","",INDEX(Config!$E$9:$E$29,MATCH($B1035,Config!$B$9:$B$29,0))),""),""))</f>
        <v/>
      </c>
      <c r="AI1035" s="19" t="str">
        <f>IF($B1035="","",IFERROR(INDEX(Config!$D$9:$D$29,MATCH($B1035,Config!$B$9:$B$29,0))&amp;"",""))</f>
        <v/>
      </c>
    </row>
    <row r="1036">
      <c r="X1036" s="20" t="str">
        <f>IF($B1036="","",IFERROR(IF(INDEX(Config!$D$9:$D$29,MATCH($B1036,Config!$B$9:$B$29,0))="Contrato",IF(INDEX(Config!$E$9:$E$29,MATCH($B1036,Config!$B$9:$B$29,0))="","",INDEX(Config!$E$9:$E$29,MATCH($B1036,Config!$B$9:$B$29,0))),""),""))</f>
        <v/>
      </c>
      <c r="AI1036" s="19" t="str">
        <f>IF($B1036="","",IFERROR(INDEX(Config!$D$9:$D$29,MATCH($B1036,Config!$B$9:$B$29,0))&amp;"",""))</f>
        <v/>
      </c>
    </row>
    <row r="1037">
      <c r="X1037" s="20" t="str">
        <f>IF($B1037="","",IFERROR(IF(INDEX(Config!$D$9:$D$29,MATCH($B1037,Config!$B$9:$B$29,0))="Contrato",IF(INDEX(Config!$E$9:$E$29,MATCH($B1037,Config!$B$9:$B$29,0))="","",INDEX(Config!$E$9:$E$29,MATCH($B1037,Config!$B$9:$B$29,0))),""),""))</f>
        <v/>
      </c>
      <c r="AI1037" s="19" t="str">
        <f>IF($B1037="","",IFERROR(INDEX(Config!$D$9:$D$29,MATCH($B1037,Config!$B$9:$B$29,0))&amp;"",""))</f>
        <v/>
      </c>
    </row>
    <row r="1038">
      <c r="X1038" s="20" t="str">
        <f>IF($B1038="","",IFERROR(IF(INDEX(Config!$D$9:$D$29,MATCH($B1038,Config!$B$9:$B$29,0))="Contrato",IF(INDEX(Config!$E$9:$E$29,MATCH($B1038,Config!$B$9:$B$29,0))="","",INDEX(Config!$E$9:$E$29,MATCH($B1038,Config!$B$9:$B$29,0))),""),""))</f>
        <v/>
      </c>
      <c r="AI1038" s="19" t="str">
        <f>IF($B1038="","",IFERROR(INDEX(Config!$D$9:$D$29,MATCH($B1038,Config!$B$9:$B$29,0))&amp;"",""))</f>
        <v/>
      </c>
    </row>
    <row r="1039">
      <c r="X1039" s="20" t="str">
        <f>IF($B1039="","",IFERROR(IF(INDEX(Config!$D$9:$D$29,MATCH($B1039,Config!$B$9:$B$29,0))="Contrato",IF(INDEX(Config!$E$9:$E$29,MATCH($B1039,Config!$B$9:$B$29,0))="","",INDEX(Config!$E$9:$E$29,MATCH($B1039,Config!$B$9:$B$29,0))),""),""))</f>
        <v/>
      </c>
      <c r="AI1039" s="19" t="str">
        <f>IF($B1039="","",IFERROR(INDEX(Config!$D$9:$D$29,MATCH($B1039,Config!$B$9:$B$29,0))&amp;"",""))</f>
        <v/>
      </c>
    </row>
    <row r="1040">
      <c r="X1040" s="20" t="str">
        <f>IF($B1040="","",IFERROR(IF(INDEX(Config!$D$9:$D$29,MATCH($B1040,Config!$B$9:$B$29,0))="Contrato",IF(INDEX(Config!$E$9:$E$29,MATCH($B1040,Config!$B$9:$B$29,0))="","",INDEX(Config!$E$9:$E$29,MATCH($B1040,Config!$B$9:$B$29,0))),""),""))</f>
        <v/>
      </c>
      <c r="AI1040" s="19" t="str">
        <f>IF($B1040="","",IFERROR(INDEX(Config!$D$9:$D$29,MATCH($B1040,Config!$B$9:$B$29,0))&amp;"",""))</f>
        <v/>
      </c>
    </row>
    <row r="1041">
      <c r="X1041" s="20" t="str">
        <f>IF($B1041="","",IFERROR(IF(INDEX(Config!$D$9:$D$29,MATCH($B1041,Config!$B$9:$B$29,0))="Contrato",IF(INDEX(Config!$E$9:$E$29,MATCH($B1041,Config!$B$9:$B$29,0))="","",INDEX(Config!$E$9:$E$29,MATCH($B1041,Config!$B$9:$B$29,0))),""),""))</f>
        <v/>
      </c>
      <c r="AI1041" s="19" t="str">
        <f>IF($B1041="","",IFERROR(INDEX(Config!$D$9:$D$29,MATCH($B1041,Config!$B$9:$B$29,0))&amp;"",""))</f>
        <v/>
      </c>
    </row>
    <row r="1042">
      <c r="X1042" s="20" t="str">
        <f>IF($B1042="","",IFERROR(IF(INDEX(Config!$D$9:$D$29,MATCH($B1042,Config!$B$9:$B$29,0))="Contrato",IF(INDEX(Config!$E$9:$E$29,MATCH($B1042,Config!$B$9:$B$29,0))="","",INDEX(Config!$E$9:$E$29,MATCH($B1042,Config!$B$9:$B$29,0))),""),""))</f>
        <v/>
      </c>
      <c r="AI1042" s="19" t="str">
        <f>IF($B1042="","",IFERROR(INDEX(Config!$D$9:$D$29,MATCH($B1042,Config!$B$9:$B$29,0))&amp;"",""))</f>
        <v/>
      </c>
    </row>
    <row r="1043">
      <c r="X1043" s="20" t="str">
        <f>IF($B1043="","",IFERROR(IF(INDEX(Config!$D$9:$D$29,MATCH($B1043,Config!$B$9:$B$29,0))="Contrato",IF(INDEX(Config!$E$9:$E$29,MATCH($B1043,Config!$B$9:$B$29,0))="","",INDEX(Config!$E$9:$E$29,MATCH($B1043,Config!$B$9:$B$29,0))),""),""))</f>
        <v/>
      </c>
      <c r="AI1043" s="19" t="str">
        <f>IF($B1043="","",IFERROR(INDEX(Config!$D$9:$D$29,MATCH($B1043,Config!$B$9:$B$29,0))&amp;"",""))</f>
        <v/>
      </c>
    </row>
    <row r="1044">
      <c r="X1044" s="20" t="str">
        <f>IF($B1044="","",IFERROR(IF(INDEX(Config!$D$9:$D$29,MATCH($B1044,Config!$B$9:$B$29,0))="Contrato",IF(INDEX(Config!$E$9:$E$29,MATCH($B1044,Config!$B$9:$B$29,0))="","",INDEX(Config!$E$9:$E$29,MATCH($B1044,Config!$B$9:$B$29,0))),""),""))</f>
        <v/>
      </c>
      <c r="AI1044" s="19" t="str">
        <f>IF($B1044="","",IFERROR(INDEX(Config!$D$9:$D$29,MATCH($B1044,Config!$B$9:$B$29,0))&amp;"",""))</f>
        <v/>
      </c>
    </row>
    <row r="1045">
      <c r="X1045" s="20" t="str">
        <f>IF($B1045="","",IFERROR(IF(INDEX(Config!$D$9:$D$29,MATCH($B1045,Config!$B$9:$B$29,0))="Contrato",IF(INDEX(Config!$E$9:$E$29,MATCH($B1045,Config!$B$9:$B$29,0))="","",INDEX(Config!$E$9:$E$29,MATCH($B1045,Config!$B$9:$B$29,0))),""),""))</f>
        <v/>
      </c>
      <c r="AI1045" s="19" t="str">
        <f>IF($B1045="","",IFERROR(INDEX(Config!$D$9:$D$29,MATCH($B1045,Config!$B$9:$B$29,0))&amp;"",""))</f>
        <v/>
      </c>
    </row>
    <row r="1046">
      <c r="X1046" s="20" t="str">
        <f>IF($B1046="","",IFERROR(IF(INDEX(Config!$D$9:$D$29,MATCH($B1046,Config!$B$9:$B$29,0))="Contrato",IF(INDEX(Config!$E$9:$E$29,MATCH($B1046,Config!$B$9:$B$29,0))="","",INDEX(Config!$E$9:$E$29,MATCH($B1046,Config!$B$9:$B$29,0))),""),""))</f>
        <v/>
      </c>
      <c r="AI1046" s="19" t="str">
        <f>IF($B1046="","",IFERROR(INDEX(Config!$D$9:$D$29,MATCH($B1046,Config!$B$9:$B$29,0))&amp;"",""))</f>
        <v/>
      </c>
    </row>
    <row r="1047">
      <c r="X1047" s="20" t="str">
        <f>IF($B1047="","",IFERROR(IF(INDEX(Config!$D$9:$D$29,MATCH($B1047,Config!$B$9:$B$29,0))="Contrato",IF(INDEX(Config!$E$9:$E$29,MATCH($B1047,Config!$B$9:$B$29,0))="","",INDEX(Config!$E$9:$E$29,MATCH($B1047,Config!$B$9:$B$29,0))),""),""))</f>
        <v/>
      </c>
      <c r="AI1047" s="19" t="str">
        <f>IF($B1047="","",IFERROR(INDEX(Config!$D$9:$D$29,MATCH($B1047,Config!$B$9:$B$29,0))&amp;"",""))</f>
        <v/>
      </c>
    </row>
    <row r="1048">
      <c r="X1048" s="20" t="str">
        <f>IF($B1048="","",IFERROR(IF(INDEX(Config!$D$9:$D$29,MATCH($B1048,Config!$B$9:$B$29,0))="Contrato",IF(INDEX(Config!$E$9:$E$29,MATCH($B1048,Config!$B$9:$B$29,0))="","",INDEX(Config!$E$9:$E$29,MATCH($B1048,Config!$B$9:$B$29,0))),""),""))</f>
        <v/>
      </c>
      <c r="AI1048" s="19" t="str">
        <f>IF($B1048="","",IFERROR(INDEX(Config!$D$9:$D$29,MATCH($B1048,Config!$B$9:$B$29,0))&amp;"",""))</f>
        <v/>
      </c>
    </row>
    <row r="1049">
      <c r="X1049" s="20" t="str">
        <f>IF($B1049="","",IFERROR(IF(INDEX(Config!$D$9:$D$29,MATCH($B1049,Config!$B$9:$B$29,0))="Contrato",IF(INDEX(Config!$E$9:$E$29,MATCH($B1049,Config!$B$9:$B$29,0))="","",INDEX(Config!$E$9:$E$29,MATCH($B1049,Config!$B$9:$B$29,0))),""),""))</f>
        <v/>
      </c>
      <c r="AI1049" s="19" t="str">
        <f>IF($B1049="","",IFERROR(INDEX(Config!$D$9:$D$29,MATCH($B1049,Config!$B$9:$B$29,0))&amp;"",""))</f>
        <v/>
      </c>
    </row>
    <row r="1050">
      <c r="X1050" s="20" t="str">
        <f>IF($B1050="","",IFERROR(IF(INDEX(Config!$D$9:$D$29,MATCH($B1050,Config!$B$9:$B$29,0))="Contrato",IF(INDEX(Config!$E$9:$E$29,MATCH($B1050,Config!$B$9:$B$29,0))="","",INDEX(Config!$E$9:$E$29,MATCH($B1050,Config!$B$9:$B$29,0))),""),""))</f>
        <v/>
      </c>
      <c r="AI1050" s="19" t="str">
        <f>IF($B1050="","",IFERROR(INDEX(Config!$D$9:$D$29,MATCH($B1050,Config!$B$9:$B$29,0))&amp;"",""))</f>
        <v/>
      </c>
    </row>
    <row r="1051">
      <c r="X1051" s="20" t="str">
        <f>IF($B1051="","",IFERROR(IF(INDEX(Config!$D$9:$D$29,MATCH($B1051,Config!$B$9:$B$29,0))="Contrato",IF(INDEX(Config!$E$9:$E$29,MATCH($B1051,Config!$B$9:$B$29,0))="","",INDEX(Config!$E$9:$E$29,MATCH($B1051,Config!$B$9:$B$29,0))),""),""))</f>
        <v/>
      </c>
      <c r="AI1051" s="19" t="str">
        <f>IF($B1051="","",IFERROR(INDEX(Config!$D$9:$D$29,MATCH($B1051,Config!$B$9:$B$29,0))&amp;"",""))</f>
        <v/>
      </c>
    </row>
    <row r="1052">
      <c r="X1052" s="20" t="str">
        <f>IF($B1052="","",IFERROR(IF(INDEX(Config!$D$9:$D$29,MATCH($B1052,Config!$B$9:$B$29,0))="Contrato",IF(INDEX(Config!$E$9:$E$29,MATCH($B1052,Config!$B$9:$B$29,0))="","",INDEX(Config!$E$9:$E$29,MATCH($B1052,Config!$B$9:$B$29,0))),""),""))</f>
        <v/>
      </c>
      <c r="AI1052" s="19" t="str">
        <f>IF($B1052="","",IFERROR(INDEX(Config!$D$9:$D$29,MATCH($B1052,Config!$B$9:$B$29,0))&amp;"",""))</f>
        <v/>
      </c>
    </row>
    <row r="1053">
      <c r="X1053" s="20" t="str">
        <f>IF($B1053="","",IFERROR(IF(INDEX(Config!$D$9:$D$29,MATCH($B1053,Config!$B$9:$B$29,0))="Contrato",IF(INDEX(Config!$E$9:$E$29,MATCH($B1053,Config!$B$9:$B$29,0))="","",INDEX(Config!$E$9:$E$29,MATCH($B1053,Config!$B$9:$B$29,0))),""),""))</f>
        <v/>
      </c>
      <c r="AI1053" s="19" t="str">
        <f>IF($B1053="","",IFERROR(INDEX(Config!$D$9:$D$29,MATCH($B1053,Config!$B$9:$B$29,0))&amp;"",""))</f>
        <v/>
      </c>
    </row>
    <row r="1054">
      <c r="X1054" s="20" t="str">
        <f>IF($B1054="","",IFERROR(IF(INDEX(Config!$D$9:$D$29,MATCH($B1054,Config!$B$9:$B$29,0))="Contrato",IF(INDEX(Config!$E$9:$E$29,MATCH($B1054,Config!$B$9:$B$29,0))="","",INDEX(Config!$E$9:$E$29,MATCH($B1054,Config!$B$9:$B$29,0))),""),""))</f>
        <v/>
      </c>
      <c r="AI1054" s="19" t="str">
        <f>IF($B1054="","",IFERROR(INDEX(Config!$D$9:$D$29,MATCH($B1054,Config!$B$9:$B$29,0))&amp;"",""))</f>
        <v/>
      </c>
    </row>
    <row r="1055">
      <c r="X1055" s="20" t="str">
        <f>IF($B1055="","",IFERROR(IF(INDEX(Config!$D$9:$D$29,MATCH($B1055,Config!$B$9:$B$29,0))="Contrato",IF(INDEX(Config!$E$9:$E$29,MATCH($B1055,Config!$B$9:$B$29,0))="","",INDEX(Config!$E$9:$E$29,MATCH($B1055,Config!$B$9:$B$29,0))),""),""))</f>
        <v/>
      </c>
      <c r="AI1055" s="19" t="str">
        <f>IF($B1055="","",IFERROR(INDEX(Config!$D$9:$D$29,MATCH($B1055,Config!$B$9:$B$29,0))&amp;"",""))</f>
        <v/>
      </c>
    </row>
    <row r="1056">
      <c r="X1056" s="20" t="str">
        <f>IF($B1056="","",IFERROR(IF(INDEX(Config!$D$9:$D$29,MATCH($B1056,Config!$B$9:$B$29,0))="Contrato",IF(INDEX(Config!$E$9:$E$29,MATCH($B1056,Config!$B$9:$B$29,0))="","",INDEX(Config!$E$9:$E$29,MATCH($B1056,Config!$B$9:$B$29,0))),""),""))</f>
        <v/>
      </c>
      <c r="AI1056" s="19" t="str">
        <f>IF($B1056="","",IFERROR(INDEX(Config!$D$9:$D$29,MATCH($B1056,Config!$B$9:$B$29,0))&amp;"",""))</f>
        <v/>
      </c>
    </row>
    <row r="1057">
      <c r="X1057" s="20" t="str">
        <f>IF($B1057="","",IFERROR(IF(INDEX(Config!$D$9:$D$29,MATCH($B1057,Config!$B$9:$B$29,0))="Contrato",IF(INDEX(Config!$E$9:$E$29,MATCH($B1057,Config!$B$9:$B$29,0))="","",INDEX(Config!$E$9:$E$29,MATCH($B1057,Config!$B$9:$B$29,0))),""),""))</f>
        <v/>
      </c>
      <c r="AI1057" s="19" t="str">
        <f>IF($B1057="","",IFERROR(INDEX(Config!$D$9:$D$29,MATCH($B1057,Config!$B$9:$B$29,0))&amp;"",""))</f>
        <v/>
      </c>
    </row>
    <row r="1058">
      <c r="X1058" s="20" t="str">
        <f>IF($B1058="","",IFERROR(IF(INDEX(Config!$D$9:$D$29,MATCH($B1058,Config!$B$9:$B$29,0))="Contrato",IF(INDEX(Config!$E$9:$E$29,MATCH($B1058,Config!$B$9:$B$29,0))="","",INDEX(Config!$E$9:$E$29,MATCH($B1058,Config!$B$9:$B$29,0))),""),""))</f>
        <v/>
      </c>
      <c r="AI1058" s="19" t="str">
        <f>IF($B1058="","",IFERROR(INDEX(Config!$D$9:$D$29,MATCH($B1058,Config!$B$9:$B$29,0))&amp;"",""))</f>
        <v/>
      </c>
    </row>
    <row r="1059">
      <c r="X1059" s="20" t="str">
        <f>IF($B1059="","",IFERROR(IF(INDEX(Config!$D$9:$D$29,MATCH($B1059,Config!$B$9:$B$29,0))="Contrato",IF(INDEX(Config!$E$9:$E$29,MATCH($B1059,Config!$B$9:$B$29,0))="","",INDEX(Config!$E$9:$E$29,MATCH($B1059,Config!$B$9:$B$29,0))),""),""))</f>
        <v/>
      </c>
      <c r="AI1059" s="19" t="str">
        <f>IF($B1059="","",IFERROR(INDEX(Config!$D$9:$D$29,MATCH($B1059,Config!$B$9:$B$29,0))&amp;"",""))</f>
        <v/>
      </c>
    </row>
    <row r="1060">
      <c r="X1060" s="20" t="str">
        <f>IF($B1060="","",IFERROR(IF(INDEX(Config!$D$9:$D$29,MATCH($B1060,Config!$B$9:$B$29,0))="Contrato",IF(INDEX(Config!$E$9:$E$29,MATCH($B1060,Config!$B$9:$B$29,0))="","",INDEX(Config!$E$9:$E$29,MATCH($B1060,Config!$B$9:$B$29,0))),""),""))</f>
        <v/>
      </c>
      <c r="AI1060" s="19" t="str">
        <f>IF($B1060="","",IFERROR(INDEX(Config!$D$9:$D$29,MATCH($B1060,Config!$B$9:$B$29,0))&amp;"",""))</f>
        <v/>
      </c>
    </row>
    <row r="1061">
      <c r="X1061" s="20" t="str">
        <f>IF($B1061="","",IFERROR(IF(INDEX(Config!$D$9:$D$29,MATCH($B1061,Config!$B$9:$B$29,0))="Contrato",IF(INDEX(Config!$E$9:$E$29,MATCH($B1061,Config!$B$9:$B$29,0))="","",INDEX(Config!$E$9:$E$29,MATCH($B1061,Config!$B$9:$B$29,0))),""),""))</f>
        <v/>
      </c>
      <c r="AI1061" s="19" t="str">
        <f>IF($B1061="","",IFERROR(INDEX(Config!$D$9:$D$29,MATCH($B1061,Config!$B$9:$B$29,0))&amp;"",""))</f>
        <v/>
      </c>
    </row>
    <row r="1062">
      <c r="X1062" s="20" t="str">
        <f>IF($B1062="","",IFERROR(IF(INDEX(Config!$D$9:$D$29,MATCH($B1062,Config!$B$9:$B$29,0))="Contrato",IF(INDEX(Config!$E$9:$E$29,MATCH($B1062,Config!$B$9:$B$29,0))="","",INDEX(Config!$E$9:$E$29,MATCH($B1062,Config!$B$9:$B$29,0))),""),""))</f>
        <v/>
      </c>
      <c r="AI1062" s="19" t="str">
        <f>IF($B1062="","",IFERROR(INDEX(Config!$D$9:$D$29,MATCH($B1062,Config!$B$9:$B$29,0))&amp;"",""))</f>
        <v/>
      </c>
    </row>
    <row r="1063">
      <c r="X1063" s="20" t="str">
        <f>IF($B1063="","",IFERROR(IF(INDEX(Config!$D$9:$D$29,MATCH($B1063,Config!$B$9:$B$29,0))="Contrato",IF(INDEX(Config!$E$9:$E$29,MATCH($B1063,Config!$B$9:$B$29,0))="","",INDEX(Config!$E$9:$E$29,MATCH($B1063,Config!$B$9:$B$29,0))),""),""))</f>
        <v/>
      </c>
      <c r="AI1063" s="19" t="str">
        <f>IF($B1063="","",IFERROR(INDEX(Config!$D$9:$D$29,MATCH($B1063,Config!$B$9:$B$29,0))&amp;"",""))</f>
        <v/>
      </c>
    </row>
    <row r="1064">
      <c r="X1064" s="20" t="str">
        <f>IF($B1064="","",IFERROR(IF(INDEX(Config!$D$9:$D$29,MATCH($B1064,Config!$B$9:$B$29,0))="Contrato",IF(INDEX(Config!$E$9:$E$29,MATCH($B1064,Config!$B$9:$B$29,0))="","",INDEX(Config!$E$9:$E$29,MATCH($B1064,Config!$B$9:$B$29,0))),""),""))</f>
        <v/>
      </c>
      <c r="AI1064" s="19" t="str">
        <f>IF($B1064="","",IFERROR(INDEX(Config!$D$9:$D$29,MATCH($B1064,Config!$B$9:$B$29,0))&amp;"",""))</f>
        <v/>
      </c>
    </row>
    <row r="1065">
      <c r="X1065" s="20" t="str">
        <f>IF($B1065="","",IFERROR(IF(INDEX(Config!$D$9:$D$29,MATCH($B1065,Config!$B$9:$B$29,0))="Contrato",IF(INDEX(Config!$E$9:$E$29,MATCH($B1065,Config!$B$9:$B$29,0))="","",INDEX(Config!$E$9:$E$29,MATCH($B1065,Config!$B$9:$B$29,0))),""),""))</f>
        <v/>
      </c>
      <c r="AI1065" s="19" t="str">
        <f>IF($B1065="","",IFERROR(INDEX(Config!$D$9:$D$29,MATCH($B1065,Config!$B$9:$B$29,0))&amp;"",""))</f>
        <v/>
      </c>
    </row>
    <row r="1066">
      <c r="X1066" s="20" t="str">
        <f>IF($B1066="","",IFERROR(IF(INDEX(Config!$D$9:$D$29,MATCH($B1066,Config!$B$9:$B$29,0))="Contrato",IF(INDEX(Config!$E$9:$E$29,MATCH($B1066,Config!$B$9:$B$29,0))="","",INDEX(Config!$E$9:$E$29,MATCH($B1066,Config!$B$9:$B$29,0))),""),""))</f>
        <v/>
      </c>
      <c r="AI1066" s="19" t="str">
        <f>IF($B1066="","",IFERROR(INDEX(Config!$D$9:$D$29,MATCH($B1066,Config!$B$9:$B$29,0))&amp;"",""))</f>
        <v/>
      </c>
    </row>
    <row r="1067">
      <c r="X1067" s="20" t="str">
        <f>IF($B1067="","",IFERROR(IF(INDEX(Config!$D$9:$D$29,MATCH($B1067,Config!$B$9:$B$29,0))="Contrato",IF(INDEX(Config!$E$9:$E$29,MATCH($B1067,Config!$B$9:$B$29,0))="","",INDEX(Config!$E$9:$E$29,MATCH($B1067,Config!$B$9:$B$29,0))),""),""))</f>
        <v/>
      </c>
      <c r="AI1067" s="19" t="str">
        <f>IF($B1067="","",IFERROR(INDEX(Config!$D$9:$D$29,MATCH($B1067,Config!$B$9:$B$29,0))&amp;"",""))</f>
        <v/>
      </c>
    </row>
    <row r="1068">
      <c r="X1068" s="20" t="str">
        <f>IF($B1068="","",IFERROR(IF(INDEX(Config!$D$9:$D$29,MATCH($B1068,Config!$B$9:$B$29,0))="Contrato",IF(INDEX(Config!$E$9:$E$29,MATCH($B1068,Config!$B$9:$B$29,0))="","",INDEX(Config!$E$9:$E$29,MATCH($B1068,Config!$B$9:$B$29,0))),""),""))</f>
        <v/>
      </c>
      <c r="AI1068" s="19" t="str">
        <f>IF($B1068="","",IFERROR(INDEX(Config!$D$9:$D$29,MATCH($B1068,Config!$B$9:$B$29,0))&amp;"",""))</f>
        <v/>
      </c>
    </row>
    <row r="1069">
      <c r="X1069" s="20" t="str">
        <f>IF($B1069="","",IFERROR(IF(INDEX(Config!$D$9:$D$29,MATCH($B1069,Config!$B$9:$B$29,0))="Contrato",IF(INDEX(Config!$E$9:$E$29,MATCH($B1069,Config!$B$9:$B$29,0))="","",INDEX(Config!$E$9:$E$29,MATCH($B1069,Config!$B$9:$B$29,0))),""),""))</f>
        <v/>
      </c>
      <c r="AI1069" s="19" t="str">
        <f>IF($B1069="","",IFERROR(INDEX(Config!$D$9:$D$29,MATCH($B1069,Config!$B$9:$B$29,0))&amp;"",""))</f>
        <v/>
      </c>
    </row>
    <row r="1070">
      <c r="X1070" s="20" t="str">
        <f>IF($B1070="","",IFERROR(IF(INDEX(Config!$D$9:$D$29,MATCH($B1070,Config!$B$9:$B$29,0))="Contrato",IF(INDEX(Config!$E$9:$E$29,MATCH($B1070,Config!$B$9:$B$29,0))="","",INDEX(Config!$E$9:$E$29,MATCH($B1070,Config!$B$9:$B$29,0))),""),""))</f>
        <v/>
      </c>
      <c r="AI1070" s="19" t="str">
        <f>IF($B1070="","",IFERROR(INDEX(Config!$D$9:$D$29,MATCH($B1070,Config!$B$9:$B$29,0))&amp;"",""))</f>
        <v/>
      </c>
    </row>
    <row r="1071">
      <c r="X1071" s="20" t="str">
        <f>IF($B1071="","",IFERROR(IF(INDEX(Config!$D$9:$D$29,MATCH($B1071,Config!$B$9:$B$29,0))="Contrato",IF(INDEX(Config!$E$9:$E$29,MATCH($B1071,Config!$B$9:$B$29,0))="","",INDEX(Config!$E$9:$E$29,MATCH($B1071,Config!$B$9:$B$29,0))),""),""))</f>
        <v/>
      </c>
      <c r="AI1071" s="19" t="str">
        <f>IF($B1071="","",IFERROR(INDEX(Config!$D$9:$D$29,MATCH($B1071,Config!$B$9:$B$29,0))&amp;"",""))</f>
        <v/>
      </c>
    </row>
    <row r="1072">
      <c r="X1072" s="20" t="str">
        <f>IF($B1072="","",IFERROR(IF(INDEX(Config!$D$9:$D$29,MATCH($B1072,Config!$B$9:$B$29,0))="Contrato",IF(INDEX(Config!$E$9:$E$29,MATCH($B1072,Config!$B$9:$B$29,0))="","",INDEX(Config!$E$9:$E$29,MATCH($B1072,Config!$B$9:$B$29,0))),""),""))</f>
        <v/>
      </c>
      <c r="AI1072" s="19" t="str">
        <f>IF($B1072="","",IFERROR(INDEX(Config!$D$9:$D$29,MATCH($B1072,Config!$B$9:$B$29,0))&amp;"",""))</f>
        <v/>
      </c>
    </row>
    <row r="1073">
      <c r="X1073" s="20" t="str">
        <f>IF($B1073="","",IFERROR(IF(INDEX(Config!$D$9:$D$29,MATCH($B1073,Config!$B$9:$B$29,0))="Contrato",IF(INDEX(Config!$E$9:$E$29,MATCH($B1073,Config!$B$9:$B$29,0))="","",INDEX(Config!$E$9:$E$29,MATCH($B1073,Config!$B$9:$B$29,0))),""),""))</f>
        <v/>
      </c>
      <c r="AI1073" s="19" t="str">
        <f>IF($B1073="","",IFERROR(INDEX(Config!$D$9:$D$29,MATCH($B1073,Config!$B$9:$B$29,0))&amp;"",""))</f>
        <v/>
      </c>
    </row>
    <row r="1074">
      <c r="X1074" s="20" t="str">
        <f>IF($B1074="","",IFERROR(IF(INDEX(Config!$D$9:$D$29,MATCH($B1074,Config!$B$9:$B$29,0))="Contrato",IF(INDEX(Config!$E$9:$E$29,MATCH($B1074,Config!$B$9:$B$29,0))="","",INDEX(Config!$E$9:$E$29,MATCH($B1074,Config!$B$9:$B$29,0))),""),""))</f>
        <v/>
      </c>
      <c r="AI1074" s="19" t="str">
        <f>IF($B1074="","",IFERROR(INDEX(Config!$D$9:$D$29,MATCH($B1074,Config!$B$9:$B$29,0))&amp;"",""))</f>
        <v/>
      </c>
    </row>
    <row r="1075">
      <c r="X1075" s="20" t="str">
        <f>IF($B1075="","",IFERROR(IF(INDEX(Config!$D$9:$D$29,MATCH($B1075,Config!$B$9:$B$29,0))="Contrato",IF(INDEX(Config!$E$9:$E$29,MATCH($B1075,Config!$B$9:$B$29,0))="","",INDEX(Config!$E$9:$E$29,MATCH($B1075,Config!$B$9:$B$29,0))),""),""))</f>
        <v/>
      </c>
      <c r="AI1075" s="19" t="str">
        <f>IF($B1075="","",IFERROR(INDEX(Config!$D$9:$D$29,MATCH($B1075,Config!$B$9:$B$29,0))&amp;"",""))</f>
        <v/>
      </c>
    </row>
    <row r="1076">
      <c r="X1076" s="20" t="str">
        <f>IF($B1076="","",IFERROR(IF(INDEX(Config!$D$9:$D$29,MATCH($B1076,Config!$B$9:$B$29,0))="Contrato",IF(INDEX(Config!$E$9:$E$29,MATCH($B1076,Config!$B$9:$B$29,0))="","",INDEX(Config!$E$9:$E$29,MATCH($B1076,Config!$B$9:$B$29,0))),""),""))</f>
        <v/>
      </c>
      <c r="AI1076" s="19" t="str">
        <f>IF($B1076="","",IFERROR(INDEX(Config!$D$9:$D$29,MATCH($B1076,Config!$B$9:$B$29,0))&amp;"",""))</f>
        <v/>
      </c>
    </row>
    <row r="1077">
      <c r="X1077" s="20" t="str">
        <f>IF($B1077="","",IFERROR(IF(INDEX(Config!$D$9:$D$29,MATCH($B1077,Config!$B$9:$B$29,0))="Contrato",IF(INDEX(Config!$E$9:$E$29,MATCH($B1077,Config!$B$9:$B$29,0))="","",INDEX(Config!$E$9:$E$29,MATCH($B1077,Config!$B$9:$B$29,0))),""),""))</f>
        <v/>
      </c>
      <c r="AI1077" s="19" t="str">
        <f>IF($B1077="","",IFERROR(INDEX(Config!$D$9:$D$29,MATCH($B1077,Config!$B$9:$B$29,0))&amp;"",""))</f>
        <v/>
      </c>
    </row>
    <row r="1078">
      <c r="X1078" s="20" t="str">
        <f>IF($B1078="","",IFERROR(IF(INDEX(Config!$D$9:$D$29,MATCH($B1078,Config!$B$9:$B$29,0))="Contrato",IF(INDEX(Config!$E$9:$E$29,MATCH($B1078,Config!$B$9:$B$29,0))="","",INDEX(Config!$E$9:$E$29,MATCH($B1078,Config!$B$9:$B$29,0))),""),""))</f>
        <v/>
      </c>
      <c r="AI1078" s="19" t="str">
        <f>IF($B1078="","",IFERROR(INDEX(Config!$D$9:$D$29,MATCH($B1078,Config!$B$9:$B$29,0))&amp;"",""))</f>
        <v/>
      </c>
    </row>
    <row r="1079">
      <c r="X1079" s="20" t="str">
        <f>IF($B1079="","",IFERROR(IF(INDEX(Config!$D$9:$D$29,MATCH($B1079,Config!$B$9:$B$29,0))="Contrato",IF(INDEX(Config!$E$9:$E$29,MATCH($B1079,Config!$B$9:$B$29,0))="","",INDEX(Config!$E$9:$E$29,MATCH($B1079,Config!$B$9:$B$29,0))),""),""))</f>
        <v/>
      </c>
      <c r="AI1079" s="19" t="str">
        <f>IF($B1079="","",IFERROR(INDEX(Config!$D$9:$D$29,MATCH($B1079,Config!$B$9:$B$29,0))&amp;"",""))</f>
        <v/>
      </c>
    </row>
    <row r="1080">
      <c r="X1080" s="20" t="str">
        <f>IF($B1080="","",IFERROR(IF(INDEX(Config!$D$9:$D$29,MATCH($B1080,Config!$B$9:$B$29,0))="Contrato",IF(INDEX(Config!$E$9:$E$29,MATCH($B1080,Config!$B$9:$B$29,0))="","",INDEX(Config!$E$9:$E$29,MATCH($B1080,Config!$B$9:$B$29,0))),""),""))</f>
        <v/>
      </c>
      <c r="AI1080" s="19" t="str">
        <f>IF($B1080="","",IFERROR(INDEX(Config!$D$9:$D$29,MATCH($B1080,Config!$B$9:$B$29,0))&amp;"",""))</f>
        <v/>
      </c>
    </row>
    <row r="1081">
      <c r="X1081" s="20" t="str">
        <f>IF($B1081="","",IFERROR(IF(INDEX(Config!$D$9:$D$29,MATCH($B1081,Config!$B$9:$B$29,0))="Contrato",IF(INDEX(Config!$E$9:$E$29,MATCH($B1081,Config!$B$9:$B$29,0))="","",INDEX(Config!$E$9:$E$29,MATCH($B1081,Config!$B$9:$B$29,0))),""),""))</f>
        <v/>
      </c>
      <c r="AI1081" s="19" t="str">
        <f>IF($B1081="","",IFERROR(INDEX(Config!$D$9:$D$29,MATCH($B1081,Config!$B$9:$B$29,0))&amp;"",""))</f>
        <v/>
      </c>
    </row>
    <row r="1082">
      <c r="X1082" s="20" t="str">
        <f>IF($B1082="","",IFERROR(IF(INDEX(Config!$D$9:$D$29,MATCH($B1082,Config!$B$9:$B$29,0))="Contrato",IF(INDEX(Config!$E$9:$E$29,MATCH($B1082,Config!$B$9:$B$29,0))="","",INDEX(Config!$E$9:$E$29,MATCH($B1082,Config!$B$9:$B$29,0))),""),""))</f>
        <v/>
      </c>
      <c r="AI1082" s="19" t="str">
        <f>IF($B1082="","",IFERROR(INDEX(Config!$D$9:$D$29,MATCH($B1082,Config!$B$9:$B$29,0))&amp;"",""))</f>
        <v/>
      </c>
    </row>
    <row r="1083">
      <c r="X1083" s="20" t="str">
        <f>IF($B1083="","",IFERROR(IF(INDEX(Config!$D$9:$D$29,MATCH($B1083,Config!$B$9:$B$29,0))="Contrato",IF(INDEX(Config!$E$9:$E$29,MATCH($B1083,Config!$B$9:$B$29,0))="","",INDEX(Config!$E$9:$E$29,MATCH($B1083,Config!$B$9:$B$29,0))),""),""))</f>
        <v/>
      </c>
      <c r="AI1083" s="19" t="str">
        <f>IF($B1083="","",IFERROR(INDEX(Config!$D$9:$D$29,MATCH($B1083,Config!$B$9:$B$29,0))&amp;"",""))</f>
        <v/>
      </c>
    </row>
    <row r="1084">
      <c r="X1084" s="20" t="str">
        <f>IF($B1084="","",IFERROR(IF(INDEX(Config!$D$9:$D$29,MATCH($B1084,Config!$B$9:$B$29,0))="Contrato",IF(INDEX(Config!$E$9:$E$29,MATCH($B1084,Config!$B$9:$B$29,0))="","",INDEX(Config!$E$9:$E$29,MATCH($B1084,Config!$B$9:$B$29,0))),""),""))</f>
        <v/>
      </c>
      <c r="AI1084" s="19" t="str">
        <f>IF($B1084="","",IFERROR(INDEX(Config!$D$9:$D$29,MATCH($B1084,Config!$B$9:$B$29,0))&amp;"",""))</f>
        <v/>
      </c>
    </row>
    <row r="1085">
      <c r="X1085" s="20" t="str">
        <f>IF($B1085="","",IFERROR(IF(INDEX(Config!$D$9:$D$29,MATCH($B1085,Config!$B$9:$B$29,0))="Contrato",IF(INDEX(Config!$E$9:$E$29,MATCH($B1085,Config!$B$9:$B$29,0))="","",INDEX(Config!$E$9:$E$29,MATCH($B1085,Config!$B$9:$B$29,0))),""),""))</f>
        <v/>
      </c>
      <c r="AI1085" s="19" t="str">
        <f>IF($B1085="","",IFERROR(INDEX(Config!$D$9:$D$29,MATCH($B1085,Config!$B$9:$B$29,0))&amp;"",""))</f>
        <v/>
      </c>
    </row>
    <row r="1086">
      <c r="X1086" s="20" t="str">
        <f>IF($B1086="","",IFERROR(IF(INDEX(Config!$D$9:$D$29,MATCH($B1086,Config!$B$9:$B$29,0))="Contrato",IF(INDEX(Config!$E$9:$E$29,MATCH($B1086,Config!$B$9:$B$29,0))="","",INDEX(Config!$E$9:$E$29,MATCH($B1086,Config!$B$9:$B$29,0))),""),""))</f>
        <v/>
      </c>
      <c r="AI1086" s="19" t="str">
        <f>IF($B1086="","",IFERROR(INDEX(Config!$D$9:$D$29,MATCH($B1086,Config!$B$9:$B$29,0))&amp;"",""))</f>
        <v/>
      </c>
    </row>
    <row r="1087">
      <c r="X1087" s="20" t="str">
        <f>IF($B1087="","",IFERROR(IF(INDEX(Config!$D$9:$D$29,MATCH($B1087,Config!$B$9:$B$29,0))="Contrato",IF(INDEX(Config!$E$9:$E$29,MATCH($B1087,Config!$B$9:$B$29,0))="","",INDEX(Config!$E$9:$E$29,MATCH($B1087,Config!$B$9:$B$29,0))),""),""))</f>
        <v/>
      </c>
      <c r="AI1087" s="19" t="str">
        <f>IF($B1087="","",IFERROR(INDEX(Config!$D$9:$D$29,MATCH($B1087,Config!$B$9:$B$29,0))&amp;"",""))</f>
        <v/>
      </c>
    </row>
    <row r="1088">
      <c r="X1088" s="20" t="str">
        <f>IF($B1088="","",IFERROR(IF(INDEX(Config!$D$9:$D$29,MATCH($B1088,Config!$B$9:$B$29,0))="Contrato",IF(INDEX(Config!$E$9:$E$29,MATCH($B1088,Config!$B$9:$B$29,0))="","",INDEX(Config!$E$9:$E$29,MATCH($B1088,Config!$B$9:$B$29,0))),""),""))</f>
        <v/>
      </c>
      <c r="AI1088" s="19" t="str">
        <f>IF($B1088="","",IFERROR(INDEX(Config!$D$9:$D$29,MATCH($B1088,Config!$B$9:$B$29,0))&amp;"",""))</f>
        <v/>
      </c>
    </row>
    <row r="1089">
      <c r="X1089" s="20" t="str">
        <f>IF($B1089="","",IFERROR(IF(INDEX(Config!$D$9:$D$29,MATCH($B1089,Config!$B$9:$B$29,0))="Contrato",IF(INDEX(Config!$E$9:$E$29,MATCH($B1089,Config!$B$9:$B$29,0))="","",INDEX(Config!$E$9:$E$29,MATCH($B1089,Config!$B$9:$B$29,0))),""),""))</f>
        <v/>
      </c>
      <c r="AI1089" s="19" t="str">
        <f>IF($B1089="","",IFERROR(INDEX(Config!$D$9:$D$29,MATCH($B1089,Config!$B$9:$B$29,0))&amp;"",""))</f>
        <v/>
      </c>
    </row>
    <row r="1090">
      <c r="X1090" s="20" t="str">
        <f>IF($B1090="","",IFERROR(IF(INDEX(Config!$D$9:$D$29,MATCH($B1090,Config!$B$9:$B$29,0))="Contrato",IF(INDEX(Config!$E$9:$E$29,MATCH($B1090,Config!$B$9:$B$29,0))="","",INDEX(Config!$E$9:$E$29,MATCH($B1090,Config!$B$9:$B$29,0))),""),""))</f>
        <v/>
      </c>
      <c r="AI1090" s="19" t="str">
        <f>IF($B1090="","",IFERROR(INDEX(Config!$D$9:$D$29,MATCH($B1090,Config!$B$9:$B$29,0))&amp;"",""))</f>
        <v/>
      </c>
    </row>
    <row r="1091">
      <c r="X1091" s="20" t="str">
        <f>IF($B1091="","",IFERROR(IF(INDEX(Config!$D$9:$D$29,MATCH($B1091,Config!$B$9:$B$29,0))="Contrato",IF(INDEX(Config!$E$9:$E$29,MATCH($B1091,Config!$B$9:$B$29,0))="","",INDEX(Config!$E$9:$E$29,MATCH($B1091,Config!$B$9:$B$29,0))),""),""))</f>
        <v/>
      </c>
      <c r="AI1091" s="19" t="str">
        <f>IF($B1091="","",IFERROR(INDEX(Config!$D$9:$D$29,MATCH($B1091,Config!$B$9:$B$29,0))&amp;"",""))</f>
        <v/>
      </c>
    </row>
    <row r="1092">
      <c r="X1092" s="20" t="str">
        <f>IF($B1092="","",IFERROR(IF(INDEX(Config!$D$9:$D$29,MATCH($B1092,Config!$B$9:$B$29,0))="Contrato",IF(INDEX(Config!$E$9:$E$29,MATCH($B1092,Config!$B$9:$B$29,0))="","",INDEX(Config!$E$9:$E$29,MATCH($B1092,Config!$B$9:$B$29,0))),""),""))</f>
        <v/>
      </c>
      <c r="AI1092" s="19" t="str">
        <f>IF($B1092="","",IFERROR(INDEX(Config!$D$9:$D$29,MATCH($B1092,Config!$B$9:$B$29,0))&amp;"",""))</f>
        <v/>
      </c>
    </row>
    <row r="1093">
      <c r="X1093" s="20" t="str">
        <f>IF($B1093="","",IFERROR(IF(INDEX(Config!$D$9:$D$29,MATCH($B1093,Config!$B$9:$B$29,0))="Contrato",IF(INDEX(Config!$E$9:$E$29,MATCH($B1093,Config!$B$9:$B$29,0))="","",INDEX(Config!$E$9:$E$29,MATCH($B1093,Config!$B$9:$B$29,0))),""),""))</f>
        <v/>
      </c>
      <c r="AI1093" s="19" t="str">
        <f>IF($B1093="","",IFERROR(INDEX(Config!$D$9:$D$29,MATCH($B1093,Config!$B$9:$B$29,0))&amp;"",""))</f>
        <v/>
      </c>
    </row>
    <row r="1094">
      <c r="X1094" s="20" t="str">
        <f>IF($B1094="","",IFERROR(IF(INDEX(Config!$D$9:$D$29,MATCH($B1094,Config!$B$9:$B$29,0))="Contrato",IF(INDEX(Config!$E$9:$E$29,MATCH($B1094,Config!$B$9:$B$29,0))="","",INDEX(Config!$E$9:$E$29,MATCH($B1094,Config!$B$9:$B$29,0))),""),""))</f>
        <v/>
      </c>
      <c r="AI1094" s="19" t="str">
        <f>IF($B1094="","",IFERROR(INDEX(Config!$D$9:$D$29,MATCH($B1094,Config!$B$9:$B$29,0))&amp;"",""))</f>
        <v/>
      </c>
    </row>
    <row r="1095">
      <c r="X1095" s="20" t="str">
        <f>IF($B1095="","",IFERROR(IF(INDEX(Config!$D$9:$D$29,MATCH($B1095,Config!$B$9:$B$29,0))="Contrato",IF(INDEX(Config!$E$9:$E$29,MATCH($B1095,Config!$B$9:$B$29,0))="","",INDEX(Config!$E$9:$E$29,MATCH($B1095,Config!$B$9:$B$29,0))),""),""))</f>
        <v/>
      </c>
      <c r="AI1095" s="19" t="str">
        <f>IF($B1095="","",IFERROR(INDEX(Config!$D$9:$D$29,MATCH($B1095,Config!$B$9:$B$29,0))&amp;"",""))</f>
        <v/>
      </c>
    </row>
    <row r="1096">
      <c r="X1096" s="20" t="str">
        <f>IF($B1096="","",IFERROR(IF(INDEX(Config!$D$9:$D$29,MATCH($B1096,Config!$B$9:$B$29,0))="Contrato",IF(INDEX(Config!$E$9:$E$29,MATCH($B1096,Config!$B$9:$B$29,0))="","",INDEX(Config!$E$9:$E$29,MATCH($B1096,Config!$B$9:$B$29,0))),""),""))</f>
        <v/>
      </c>
      <c r="AI1096" s="19" t="str">
        <f>IF($B1096="","",IFERROR(INDEX(Config!$D$9:$D$29,MATCH($B1096,Config!$B$9:$B$29,0))&amp;"",""))</f>
        <v/>
      </c>
    </row>
    <row r="1097">
      <c r="X1097" s="20" t="str">
        <f>IF($B1097="","",IFERROR(IF(INDEX(Config!$D$9:$D$29,MATCH($B1097,Config!$B$9:$B$29,0))="Contrato",IF(INDEX(Config!$E$9:$E$29,MATCH($B1097,Config!$B$9:$B$29,0))="","",INDEX(Config!$E$9:$E$29,MATCH($B1097,Config!$B$9:$B$29,0))),""),""))</f>
        <v/>
      </c>
      <c r="AI1097" s="19" t="str">
        <f>IF($B1097="","",IFERROR(INDEX(Config!$D$9:$D$29,MATCH($B1097,Config!$B$9:$B$29,0))&amp;"",""))</f>
        <v/>
      </c>
    </row>
    <row r="1098">
      <c r="X1098" s="20" t="str">
        <f>IF($B1098="","",IFERROR(IF(INDEX(Config!$D$9:$D$29,MATCH($B1098,Config!$B$9:$B$29,0))="Contrato",IF(INDEX(Config!$E$9:$E$29,MATCH($B1098,Config!$B$9:$B$29,0))="","",INDEX(Config!$E$9:$E$29,MATCH($B1098,Config!$B$9:$B$29,0))),""),""))</f>
        <v/>
      </c>
      <c r="AI1098" s="19" t="str">
        <f>IF($B1098="","",IFERROR(INDEX(Config!$D$9:$D$29,MATCH($B1098,Config!$B$9:$B$29,0))&amp;"",""))</f>
        <v/>
      </c>
    </row>
    <row r="1099">
      <c r="X1099" s="20" t="str">
        <f>IF($B1099="","",IFERROR(IF(INDEX(Config!$D$9:$D$29,MATCH($B1099,Config!$B$9:$B$29,0))="Contrato",IF(INDEX(Config!$E$9:$E$29,MATCH($B1099,Config!$B$9:$B$29,0))="","",INDEX(Config!$E$9:$E$29,MATCH($B1099,Config!$B$9:$B$29,0))),""),""))</f>
        <v/>
      </c>
      <c r="AI1099" s="19" t="str">
        <f>IF($B1099="","",IFERROR(INDEX(Config!$D$9:$D$29,MATCH($B1099,Config!$B$9:$B$29,0))&amp;"",""))</f>
        <v/>
      </c>
    </row>
    <row r="1100">
      <c r="X1100" s="20" t="str">
        <f>IF($B1100="","",IFERROR(IF(INDEX(Config!$D$9:$D$29,MATCH($B1100,Config!$B$9:$B$29,0))="Contrato",IF(INDEX(Config!$E$9:$E$29,MATCH($B1100,Config!$B$9:$B$29,0))="","",INDEX(Config!$E$9:$E$29,MATCH($B1100,Config!$B$9:$B$29,0))),""),""))</f>
        <v/>
      </c>
      <c r="AI1100" s="19" t="str">
        <f>IF($B1100="","",IFERROR(INDEX(Config!$D$9:$D$29,MATCH($B1100,Config!$B$9:$B$29,0))&amp;"",""))</f>
        <v/>
      </c>
    </row>
    <row r="1101">
      <c r="X1101" s="20" t="str">
        <f>IF($B1101="","",IFERROR(IF(INDEX(Config!$D$9:$D$29,MATCH($B1101,Config!$B$9:$B$29,0))="Contrato",IF(INDEX(Config!$E$9:$E$29,MATCH($B1101,Config!$B$9:$B$29,0))="","",INDEX(Config!$E$9:$E$29,MATCH($B1101,Config!$B$9:$B$29,0))),""),""))</f>
        <v/>
      </c>
      <c r="AI1101" s="19" t="str">
        <f>IF($B1101="","",IFERROR(INDEX(Config!$D$9:$D$29,MATCH($B1101,Config!$B$9:$B$29,0))&amp;"",""))</f>
        <v/>
      </c>
    </row>
    <row r="1102">
      <c r="X1102" s="20" t="str">
        <f>IF($B1102="","",IFERROR(IF(INDEX(Config!$D$9:$D$29,MATCH($B1102,Config!$B$9:$B$29,0))="Contrato",IF(INDEX(Config!$E$9:$E$29,MATCH($B1102,Config!$B$9:$B$29,0))="","",INDEX(Config!$E$9:$E$29,MATCH($B1102,Config!$B$9:$B$29,0))),""),""))</f>
        <v/>
      </c>
      <c r="AI1102" s="19" t="str">
        <f>IF($B1102="","",IFERROR(INDEX(Config!$D$9:$D$29,MATCH($B1102,Config!$B$9:$B$29,0))&amp;"",""))</f>
        <v/>
      </c>
    </row>
    <row r="1103">
      <c r="X1103" s="20" t="str">
        <f>IF($B1103="","",IFERROR(IF(INDEX(Config!$D$9:$D$29,MATCH($B1103,Config!$B$9:$B$29,0))="Contrato",IF(INDEX(Config!$E$9:$E$29,MATCH($B1103,Config!$B$9:$B$29,0))="","",INDEX(Config!$E$9:$E$29,MATCH($B1103,Config!$B$9:$B$29,0))),""),""))</f>
        <v/>
      </c>
      <c r="AI1103" s="19" t="str">
        <f>IF($B1103="","",IFERROR(INDEX(Config!$D$9:$D$29,MATCH($B1103,Config!$B$9:$B$29,0))&amp;"",""))</f>
        <v/>
      </c>
    </row>
    <row r="1104">
      <c r="X1104" s="20" t="str">
        <f>IF($B1104="","",IFERROR(IF(INDEX(Config!$D$9:$D$29,MATCH($B1104,Config!$B$9:$B$29,0))="Contrato",IF(INDEX(Config!$E$9:$E$29,MATCH($B1104,Config!$B$9:$B$29,0))="","",INDEX(Config!$E$9:$E$29,MATCH($B1104,Config!$B$9:$B$29,0))),""),""))</f>
        <v/>
      </c>
      <c r="AI1104" s="19" t="str">
        <f>IF($B1104="","",IFERROR(INDEX(Config!$D$9:$D$29,MATCH($B1104,Config!$B$9:$B$29,0))&amp;"",""))</f>
        <v/>
      </c>
    </row>
    <row r="1105">
      <c r="X1105" s="20" t="str">
        <f>IF($B1105="","",IFERROR(IF(INDEX(Config!$D$9:$D$29,MATCH($B1105,Config!$B$9:$B$29,0))="Contrato",IF(INDEX(Config!$E$9:$E$29,MATCH($B1105,Config!$B$9:$B$29,0))="","",INDEX(Config!$E$9:$E$29,MATCH($B1105,Config!$B$9:$B$29,0))),""),""))</f>
        <v/>
      </c>
      <c r="AI1105" s="19" t="str">
        <f>IF($B1105="","",IFERROR(INDEX(Config!$D$9:$D$29,MATCH($B1105,Config!$B$9:$B$29,0))&amp;"",""))</f>
        <v/>
      </c>
    </row>
    <row r="1106">
      <c r="X1106" s="20" t="str">
        <f>IF($B1106="","",IFERROR(IF(INDEX(Config!$D$9:$D$29,MATCH($B1106,Config!$B$9:$B$29,0))="Contrato",IF(INDEX(Config!$E$9:$E$29,MATCH($B1106,Config!$B$9:$B$29,0))="","",INDEX(Config!$E$9:$E$29,MATCH($B1106,Config!$B$9:$B$29,0))),""),""))</f>
        <v/>
      </c>
      <c r="AI1106" s="19" t="str">
        <f>IF($B1106="","",IFERROR(INDEX(Config!$D$9:$D$29,MATCH($B1106,Config!$B$9:$B$29,0))&amp;"",""))</f>
        <v/>
      </c>
    </row>
    <row r="1107">
      <c r="X1107" s="20" t="str">
        <f>IF($B1107="","",IFERROR(IF(INDEX(Config!$D$9:$D$29,MATCH($B1107,Config!$B$9:$B$29,0))="Contrato",IF(INDEX(Config!$E$9:$E$29,MATCH($B1107,Config!$B$9:$B$29,0))="","",INDEX(Config!$E$9:$E$29,MATCH($B1107,Config!$B$9:$B$29,0))),""),""))</f>
        <v/>
      </c>
      <c r="AI1107" s="19" t="str">
        <f>IF($B1107="","",IFERROR(INDEX(Config!$D$9:$D$29,MATCH($B1107,Config!$B$9:$B$29,0))&amp;"",""))</f>
        <v/>
      </c>
    </row>
    <row r="1108">
      <c r="X1108" s="20" t="str">
        <f>IF($B1108="","",IFERROR(IF(INDEX(Config!$D$9:$D$29,MATCH($B1108,Config!$B$9:$B$29,0))="Contrato",IF(INDEX(Config!$E$9:$E$29,MATCH($B1108,Config!$B$9:$B$29,0))="","",INDEX(Config!$E$9:$E$29,MATCH($B1108,Config!$B$9:$B$29,0))),""),""))</f>
        <v/>
      </c>
      <c r="AI1108" s="19" t="str">
        <f>IF($B1108="","",IFERROR(INDEX(Config!$D$9:$D$29,MATCH($B1108,Config!$B$9:$B$29,0))&amp;"",""))</f>
        <v/>
      </c>
    </row>
    <row r="1109">
      <c r="X1109" s="20" t="str">
        <f>IF($B1109="","",IFERROR(IF(INDEX(Config!$D$9:$D$29,MATCH($B1109,Config!$B$9:$B$29,0))="Contrato",IF(INDEX(Config!$E$9:$E$29,MATCH($B1109,Config!$B$9:$B$29,0))="","",INDEX(Config!$E$9:$E$29,MATCH($B1109,Config!$B$9:$B$29,0))),""),""))</f>
        <v/>
      </c>
      <c r="AI1109" s="19" t="str">
        <f>IF($B1109="","",IFERROR(INDEX(Config!$D$9:$D$29,MATCH($B1109,Config!$B$9:$B$29,0))&amp;"",""))</f>
        <v/>
      </c>
    </row>
    <row r="1110">
      <c r="X1110" s="20" t="str">
        <f>IF($B1110="","",IFERROR(IF(INDEX(Config!$D$9:$D$29,MATCH($B1110,Config!$B$9:$B$29,0))="Contrato",IF(INDEX(Config!$E$9:$E$29,MATCH($B1110,Config!$B$9:$B$29,0))="","",INDEX(Config!$E$9:$E$29,MATCH($B1110,Config!$B$9:$B$29,0))),""),""))</f>
        <v/>
      </c>
      <c r="AI1110" s="19" t="str">
        <f>IF($B1110="","",IFERROR(INDEX(Config!$D$9:$D$29,MATCH($B1110,Config!$B$9:$B$29,0))&amp;"",""))</f>
        <v/>
      </c>
    </row>
    <row r="1111">
      <c r="X1111" s="20" t="str">
        <f>IF($B1111="","",IFERROR(IF(INDEX(Config!$D$9:$D$29,MATCH($B1111,Config!$B$9:$B$29,0))="Contrato",IF(INDEX(Config!$E$9:$E$29,MATCH($B1111,Config!$B$9:$B$29,0))="","",INDEX(Config!$E$9:$E$29,MATCH($B1111,Config!$B$9:$B$29,0))),""),""))</f>
        <v/>
      </c>
      <c r="AI1111" s="19" t="str">
        <f>IF($B1111="","",IFERROR(INDEX(Config!$D$9:$D$29,MATCH($B1111,Config!$B$9:$B$29,0))&amp;"",""))</f>
        <v/>
      </c>
    </row>
    <row r="1112">
      <c r="X1112" s="20" t="str">
        <f>IF($B1112="","",IFERROR(IF(INDEX(Config!$D$9:$D$29,MATCH($B1112,Config!$B$9:$B$29,0))="Contrato",IF(INDEX(Config!$E$9:$E$29,MATCH($B1112,Config!$B$9:$B$29,0))="","",INDEX(Config!$E$9:$E$29,MATCH($B1112,Config!$B$9:$B$29,0))),""),""))</f>
        <v/>
      </c>
      <c r="AI1112" s="19" t="str">
        <f>IF($B1112="","",IFERROR(INDEX(Config!$D$9:$D$29,MATCH($B1112,Config!$B$9:$B$29,0))&amp;"",""))</f>
        <v/>
      </c>
    </row>
    <row r="1113">
      <c r="X1113" s="20" t="str">
        <f>IF($B1113="","",IFERROR(IF(INDEX(Config!$D$9:$D$29,MATCH($B1113,Config!$B$9:$B$29,0))="Contrato",IF(INDEX(Config!$E$9:$E$29,MATCH($B1113,Config!$B$9:$B$29,0))="","",INDEX(Config!$E$9:$E$29,MATCH($B1113,Config!$B$9:$B$29,0))),""),""))</f>
        <v/>
      </c>
      <c r="AI1113" s="19" t="str">
        <f>IF($B1113="","",IFERROR(INDEX(Config!$D$9:$D$29,MATCH($B1113,Config!$B$9:$B$29,0))&amp;"",""))</f>
        <v/>
      </c>
    </row>
    <row r="1114">
      <c r="X1114" s="20" t="str">
        <f>IF($B1114="","",IFERROR(IF(INDEX(Config!$D$9:$D$29,MATCH($B1114,Config!$B$9:$B$29,0))="Contrato",IF(INDEX(Config!$E$9:$E$29,MATCH($B1114,Config!$B$9:$B$29,0))="","",INDEX(Config!$E$9:$E$29,MATCH($B1114,Config!$B$9:$B$29,0))),""),""))</f>
        <v/>
      </c>
      <c r="AI1114" s="19" t="str">
        <f>IF($B1114="","",IFERROR(INDEX(Config!$D$9:$D$29,MATCH($B1114,Config!$B$9:$B$29,0))&amp;"",""))</f>
        <v/>
      </c>
    </row>
    <row r="1115">
      <c r="X1115" s="20" t="str">
        <f>IF($B1115="","",IFERROR(IF(INDEX(Config!$D$9:$D$29,MATCH($B1115,Config!$B$9:$B$29,0))="Contrato",IF(INDEX(Config!$E$9:$E$29,MATCH($B1115,Config!$B$9:$B$29,0))="","",INDEX(Config!$E$9:$E$29,MATCH($B1115,Config!$B$9:$B$29,0))),""),""))</f>
        <v/>
      </c>
      <c r="AI1115" s="19" t="str">
        <f>IF($B1115="","",IFERROR(INDEX(Config!$D$9:$D$29,MATCH($B1115,Config!$B$9:$B$29,0))&amp;"",""))</f>
        <v/>
      </c>
    </row>
    <row r="1116">
      <c r="X1116" s="20" t="str">
        <f>IF($B1116="","",IFERROR(IF(INDEX(Config!$D$9:$D$29,MATCH($B1116,Config!$B$9:$B$29,0))="Contrato",IF(INDEX(Config!$E$9:$E$29,MATCH($B1116,Config!$B$9:$B$29,0))="","",INDEX(Config!$E$9:$E$29,MATCH($B1116,Config!$B$9:$B$29,0))),""),""))</f>
        <v/>
      </c>
      <c r="AI1116" s="19" t="str">
        <f>IF($B1116="","",IFERROR(INDEX(Config!$D$9:$D$29,MATCH($B1116,Config!$B$9:$B$29,0))&amp;"",""))</f>
        <v/>
      </c>
    </row>
    <row r="1117">
      <c r="X1117" s="20" t="str">
        <f>IF($B1117="","",IFERROR(IF(INDEX(Config!$D$9:$D$29,MATCH($B1117,Config!$B$9:$B$29,0))="Contrato",IF(INDEX(Config!$E$9:$E$29,MATCH($B1117,Config!$B$9:$B$29,0))="","",INDEX(Config!$E$9:$E$29,MATCH($B1117,Config!$B$9:$B$29,0))),""),""))</f>
        <v/>
      </c>
      <c r="AI1117" s="19" t="str">
        <f>IF($B1117="","",IFERROR(INDEX(Config!$D$9:$D$29,MATCH($B1117,Config!$B$9:$B$29,0))&amp;"",""))</f>
        <v/>
      </c>
    </row>
    <row r="1118">
      <c r="X1118" s="20" t="str">
        <f>IF($B1118="","",IFERROR(IF(INDEX(Config!$D$9:$D$29,MATCH($B1118,Config!$B$9:$B$29,0))="Contrato",IF(INDEX(Config!$E$9:$E$29,MATCH($B1118,Config!$B$9:$B$29,0))="","",INDEX(Config!$E$9:$E$29,MATCH($B1118,Config!$B$9:$B$29,0))),""),""))</f>
        <v/>
      </c>
      <c r="AI1118" s="19" t="str">
        <f>IF($B1118="","",IFERROR(INDEX(Config!$D$9:$D$29,MATCH($B1118,Config!$B$9:$B$29,0))&amp;"",""))</f>
        <v/>
      </c>
    </row>
    <row r="1119">
      <c r="X1119" s="20" t="str">
        <f>IF($B1119="","",IFERROR(IF(INDEX(Config!$D$9:$D$29,MATCH($B1119,Config!$B$9:$B$29,0))="Contrato",IF(INDEX(Config!$E$9:$E$29,MATCH($B1119,Config!$B$9:$B$29,0))="","",INDEX(Config!$E$9:$E$29,MATCH($B1119,Config!$B$9:$B$29,0))),""),""))</f>
        <v/>
      </c>
      <c r="AI1119" s="19" t="str">
        <f>IF($B1119="","",IFERROR(INDEX(Config!$D$9:$D$29,MATCH($B1119,Config!$B$9:$B$29,0))&amp;"",""))</f>
        <v/>
      </c>
    </row>
    <row r="1120">
      <c r="X1120" s="20" t="str">
        <f>IF($B1120="","",IFERROR(IF(INDEX(Config!$D$9:$D$29,MATCH($B1120,Config!$B$9:$B$29,0))="Contrato",IF(INDEX(Config!$E$9:$E$29,MATCH($B1120,Config!$B$9:$B$29,0))="","",INDEX(Config!$E$9:$E$29,MATCH($B1120,Config!$B$9:$B$29,0))),""),""))</f>
        <v/>
      </c>
      <c r="AI1120" s="19" t="str">
        <f>IF($B1120="","",IFERROR(INDEX(Config!$D$9:$D$29,MATCH($B1120,Config!$B$9:$B$29,0))&amp;"",""))</f>
        <v/>
      </c>
    </row>
    <row r="1121">
      <c r="X1121" s="20" t="str">
        <f>IF($B1121="","",IFERROR(IF(INDEX(Config!$D$9:$D$29,MATCH($B1121,Config!$B$9:$B$29,0))="Contrato",IF(INDEX(Config!$E$9:$E$29,MATCH($B1121,Config!$B$9:$B$29,0))="","",INDEX(Config!$E$9:$E$29,MATCH($B1121,Config!$B$9:$B$29,0))),""),""))</f>
        <v/>
      </c>
      <c r="AI1121" s="19" t="str">
        <f>IF($B1121="","",IFERROR(INDEX(Config!$D$9:$D$29,MATCH($B1121,Config!$B$9:$B$29,0))&amp;"",""))</f>
        <v/>
      </c>
    </row>
    <row r="1122">
      <c r="X1122" s="20" t="str">
        <f>IF($B1122="","",IFERROR(IF(INDEX(Config!$D$9:$D$29,MATCH($B1122,Config!$B$9:$B$29,0))="Contrato",IF(INDEX(Config!$E$9:$E$29,MATCH($B1122,Config!$B$9:$B$29,0))="","",INDEX(Config!$E$9:$E$29,MATCH($B1122,Config!$B$9:$B$29,0))),""),""))</f>
        <v/>
      </c>
      <c r="AI1122" s="19" t="str">
        <f>IF($B1122="","",IFERROR(INDEX(Config!$D$9:$D$29,MATCH($B1122,Config!$B$9:$B$29,0))&amp;"",""))</f>
        <v/>
      </c>
    </row>
    <row r="1123">
      <c r="X1123" s="20" t="str">
        <f>IF($B1123="","",IFERROR(IF(INDEX(Config!$D$9:$D$29,MATCH($B1123,Config!$B$9:$B$29,0))="Contrato",IF(INDEX(Config!$E$9:$E$29,MATCH($B1123,Config!$B$9:$B$29,0))="","",INDEX(Config!$E$9:$E$29,MATCH($B1123,Config!$B$9:$B$29,0))),""),""))</f>
        <v/>
      </c>
      <c r="AI1123" s="19" t="str">
        <f>IF($B1123="","",IFERROR(INDEX(Config!$D$9:$D$29,MATCH($B1123,Config!$B$9:$B$29,0))&amp;"",""))</f>
        <v/>
      </c>
    </row>
    <row r="1124">
      <c r="X1124" s="20" t="str">
        <f>IF($B1124="","",IFERROR(IF(INDEX(Config!$D$9:$D$29,MATCH($B1124,Config!$B$9:$B$29,0))="Contrato",IF(INDEX(Config!$E$9:$E$29,MATCH($B1124,Config!$B$9:$B$29,0))="","",INDEX(Config!$E$9:$E$29,MATCH($B1124,Config!$B$9:$B$29,0))),""),""))</f>
        <v/>
      </c>
      <c r="AI1124" s="19" t="str">
        <f>IF($B1124="","",IFERROR(INDEX(Config!$D$9:$D$29,MATCH($B1124,Config!$B$9:$B$29,0))&amp;"",""))</f>
        <v/>
      </c>
    </row>
    <row r="1125">
      <c r="X1125" s="20" t="str">
        <f>IF($B1125="","",IFERROR(IF(INDEX(Config!$D$9:$D$29,MATCH($B1125,Config!$B$9:$B$29,0))="Contrato",IF(INDEX(Config!$E$9:$E$29,MATCH($B1125,Config!$B$9:$B$29,0))="","",INDEX(Config!$E$9:$E$29,MATCH($B1125,Config!$B$9:$B$29,0))),""),""))</f>
        <v/>
      </c>
      <c r="AI1125" s="19" t="str">
        <f>IF($B1125="","",IFERROR(INDEX(Config!$D$9:$D$29,MATCH($B1125,Config!$B$9:$B$29,0))&amp;"",""))</f>
        <v/>
      </c>
    </row>
    <row r="1126">
      <c r="X1126" s="20" t="str">
        <f>IF($B1126="","",IFERROR(IF(INDEX(Config!$D$9:$D$29,MATCH($B1126,Config!$B$9:$B$29,0))="Contrato",IF(INDEX(Config!$E$9:$E$29,MATCH($B1126,Config!$B$9:$B$29,0))="","",INDEX(Config!$E$9:$E$29,MATCH($B1126,Config!$B$9:$B$29,0))),""),""))</f>
        <v/>
      </c>
      <c r="AI1126" s="19" t="str">
        <f>IF($B1126="","",IFERROR(INDEX(Config!$D$9:$D$29,MATCH($B1126,Config!$B$9:$B$29,0))&amp;"",""))</f>
        <v/>
      </c>
    </row>
    <row r="1127">
      <c r="X1127" s="20" t="str">
        <f>IF($B1127="","",IFERROR(IF(INDEX(Config!$D$9:$D$29,MATCH($B1127,Config!$B$9:$B$29,0))="Contrato",IF(INDEX(Config!$E$9:$E$29,MATCH($B1127,Config!$B$9:$B$29,0))="","",INDEX(Config!$E$9:$E$29,MATCH($B1127,Config!$B$9:$B$29,0))),""),""))</f>
        <v/>
      </c>
      <c r="AI1127" s="19" t="str">
        <f>IF($B1127="","",IFERROR(INDEX(Config!$D$9:$D$29,MATCH($B1127,Config!$B$9:$B$29,0))&amp;"",""))</f>
        <v/>
      </c>
    </row>
    <row r="1128">
      <c r="X1128" s="20" t="str">
        <f>IF($B1128="","",IFERROR(IF(INDEX(Config!$D$9:$D$29,MATCH($B1128,Config!$B$9:$B$29,0))="Contrato",IF(INDEX(Config!$E$9:$E$29,MATCH($B1128,Config!$B$9:$B$29,0))="","",INDEX(Config!$E$9:$E$29,MATCH($B1128,Config!$B$9:$B$29,0))),""),""))</f>
        <v/>
      </c>
      <c r="AI1128" s="19" t="str">
        <f>IF($B1128="","",IFERROR(INDEX(Config!$D$9:$D$29,MATCH($B1128,Config!$B$9:$B$29,0))&amp;"",""))</f>
        <v/>
      </c>
    </row>
    <row r="1129">
      <c r="X1129" s="20" t="str">
        <f>IF($B1129="","",IFERROR(IF(INDEX(Config!$D$9:$D$29,MATCH($B1129,Config!$B$9:$B$29,0))="Contrato",IF(INDEX(Config!$E$9:$E$29,MATCH($B1129,Config!$B$9:$B$29,0))="","",INDEX(Config!$E$9:$E$29,MATCH($B1129,Config!$B$9:$B$29,0))),""),""))</f>
        <v/>
      </c>
      <c r="AI1129" s="19" t="str">
        <f>IF($B1129="","",IFERROR(INDEX(Config!$D$9:$D$29,MATCH($B1129,Config!$B$9:$B$29,0))&amp;"",""))</f>
        <v/>
      </c>
    </row>
    <row r="1130">
      <c r="X1130" s="20" t="str">
        <f>IF($B1130="","",IFERROR(IF(INDEX(Config!$D$9:$D$29,MATCH($B1130,Config!$B$9:$B$29,0))="Contrato",IF(INDEX(Config!$E$9:$E$29,MATCH($B1130,Config!$B$9:$B$29,0))="","",INDEX(Config!$E$9:$E$29,MATCH($B1130,Config!$B$9:$B$29,0))),""),""))</f>
        <v/>
      </c>
      <c r="AI1130" s="19" t="str">
        <f>IF($B1130="","",IFERROR(INDEX(Config!$D$9:$D$29,MATCH($B1130,Config!$B$9:$B$29,0))&amp;"",""))</f>
        <v/>
      </c>
    </row>
    <row r="1131">
      <c r="X1131" s="20" t="str">
        <f>IF($B1131="","",IFERROR(IF(INDEX(Config!$D$9:$D$29,MATCH($B1131,Config!$B$9:$B$29,0))="Contrato",IF(INDEX(Config!$E$9:$E$29,MATCH($B1131,Config!$B$9:$B$29,0))="","",INDEX(Config!$E$9:$E$29,MATCH($B1131,Config!$B$9:$B$29,0))),""),""))</f>
        <v/>
      </c>
      <c r="AI1131" s="19" t="str">
        <f>IF($B1131="","",IFERROR(INDEX(Config!$D$9:$D$29,MATCH($B1131,Config!$B$9:$B$29,0))&amp;"",""))</f>
        <v/>
      </c>
    </row>
    <row r="1132">
      <c r="X1132" s="20" t="str">
        <f>IF($B1132="","",IFERROR(IF(INDEX(Config!$D$9:$D$29,MATCH($B1132,Config!$B$9:$B$29,0))="Contrato",IF(INDEX(Config!$E$9:$E$29,MATCH($B1132,Config!$B$9:$B$29,0))="","",INDEX(Config!$E$9:$E$29,MATCH($B1132,Config!$B$9:$B$29,0))),""),""))</f>
        <v/>
      </c>
      <c r="AI1132" s="19" t="str">
        <f>IF($B1132="","",IFERROR(INDEX(Config!$D$9:$D$29,MATCH($B1132,Config!$B$9:$B$29,0))&amp;"",""))</f>
        <v/>
      </c>
    </row>
    <row r="1133">
      <c r="X1133" s="20" t="str">
        <f>IF($B1133="","",IFERROR(IF(INDEX(Config!$D$9:$D$29,MATCH($B1133,Config!$B$9:$B$29,0))="Contrato",IF(INDEX(Config!$E$9:$E$29,MATCH($B1133,Config!$B$9:$B$29,0))="","",INDEX(Config!$E$9:$E$29,MATCH($B1133,Config!$B$9:$B$29,0))),""),""))</f>
        <v/>
      </c>
      <c r="AI1133" s="19" t="str">
        <f>IF($B1133="","",IFERROR(INDEX(Config!$D$9:$D$29,MATCH($B1133,Config!$B$9:$B$29,0))&amp;"",""))</f>
        <v/>
      </c>
    </row>
    <row r="1134">
      <c r="X1134" s="20" t="str">
        <f>IF($B1134="","",IFERROR(IF(INDEX(Config!$D$9:$D$29,MATCH($B1134,Config!$B$9:$B$29,0))="Contrato",IF(INDEX(Config!$E$9:$E$29,MATCH($B1134,Config!$B$9:$B$29,0))="","",INDEX(Config!$E$9:$E$29,MATCH($B1134,Config!$B$9:$B$29,0))),""),""))</f>
        <v/>
      </c>
      <c r="AI1134" s="19" t="str">
        <f>IF($B1134="","",IFERROR(INDEX(Config!$D$9:$D$29,MATCH($B1134,Config!$B$9:$B$29,0))&amp;"",""))</f>
        <v/>
      </c>
    </row>
    <row r="1135">
      <c r="X1135" s="20" t="str">
        <f>IF($B1135="","",IFERROR(IF(INDEX(Config!$D$9:$D$29,MATCH($B1135,Config!$B$9:$B$29,0))="Contrato",IF(INDEX(Config!$E$9:$E$29,MATCH($B1135,Config!$B$9:$B$29,0))="","",INDEX(Config!$E$9:$E$29,MATCH($B1135,Config!$B$9:$B$29,0))),""),""))</f>
        <v/>
      </c>
      <c r="AI1135" s="19" t="str">
        <f>IF($B1135="","",IFERROR(INDEX(Config!$D$9:$D$29,MATCH($B1135,Config!$B$9:$B$29,0))&amp;"",""))</f>
        <v/>
      </c>
    </row>
    <row r="1136">
      <c r="X1136" s="20" t="str">
        <f>IF($B1136="","",IFERROR(IF(INDEX(Config!$D$9:$D$29,MATCH($B1136,Config!$B$9:$B$29,0))="Contrato",IF(INDEX(Config!$E$9:$E$29,MATCH($B1136,Config!$B$9:$B$29,0))="","",INDEX(Config!$E$9:$E$29,MATCH($B1136,Config!$B$9:$B$29,0))),""),""))</f>
        <v/>
      </c>
      <c r="AI1136" s="19" t="str">
        <f>IF($B1136="","",IFERROR(INDEX(Config!$D$9:$D$29,MATCH($B1136,Config!$B$9:$B$29,0))&amp;"",""))</f>
        <v/>
      </c>
    </row>
    <row r="1137">
      <c r="X1137" s="20" t="str">
        <f>IF($B1137="","",IFERROR(IF(INDEX(Config!$D$9:$D$29,MATCH($B1137,Config!$B$9:$B$29,0))="Contrato",IF(INDEX(Config!$E$9:$E$29,MATCH($B1137,Config!$B$9:$B$29,0))="","",INDEX(Config!$E$9:$E$29,MATCH($B1137,Config!$B$9:$B$29,0))),""),""))</f>
        <v/>
      </c>
      <c r="AI1137" s="19" t="str">
        <f>IF($B1137="","",IFERROR(INDEX(Config!$D$9:$D$29,MATCH($B1137,Config!$B$9:$B$29,0))&amp;"",""))</f>
        <v/>
      </c>
    </row>
    <row r="1138">
      <c r="X1138" s="20" t="str">
        <f>IF($B1138="","",IFERROR(IF(INDEX(Config!$D$9:$D$29,MATCH($B1138,Config!$B$9:$B$29,0))="Contrato",IF(INDEX(Config!$E$9:$E$29,MATCH($B1138,Config!$B$9:$B$29,0))="","",INDEX(Config!$E$9:$E$29,MATCH($B1138,Config!$B$9:$B$29,0))),""),""))</f>
        <v/>
      </c>
      <c r="AI1138" s="19" t="str">
        <f>IF($B1138="","",IFERROR(INDEX(Config!$D$9:$D$29,MATCH($B1138,Config!$B$9:$B$29,0))&amp;"",""))</f>
        <v/>
      </c>
    </row>
    <row r="1139">
      <c r="X1139" s="20" t="str">
        <f>IF($B1139="","",IFERROR(IF(INDEX(Config!$D$9:$D$29,MATCH($B1139,Config!$B$9:$B$29,0))="Contrato",IF(INDEX(Config!$E$9:$E$29,MATCH($B1139,Config!$B$9:$B$29,0))="","",INDEX(Config!$E$9:$E$29,MATCH($B1139,Config!$B$9:$B$29,0))),""),""))</f>
        <v/>
      </c>
      <c r="AI1139" s="19" t="str">
        <f>IF($B1139="","",IFERROR(INDEX(Config!$D$9:$D$29,MATCH($B1139,Config!$B$9:$B$29,0))&amp;"",""))</f>
        <v/>
      </c>
    </row>
    <row r="1140">
      <c r="X1140" s="20" t="str">
        <f>IF($B1140="","",IFERROR(IF(INDEX(Config!$D$9:$D$29,MATCH($B1140,Config!$B$9:$B$29,0))="Contrato",IF(INDEX(Config!$E$9:$E$29,MATCH($B1140,Config!$B$9:$B$29,0))="","",INDEX(Config!$E$9:$E$29,MATCH($B1140,Config!$B$9:$B$29,0))),""),""))</f>
        <v/>
      </c>
      <c r="AI1140" s="19" t="str">
        <f>IF($B1140="","",IFERROR(INDEX(Config!$D$9:$D$29,MATCH($B1140,Config!$B$9:$B$29,0))&amp;"",""))</f>
        <v/>
      </c>
    </row>
    <row r="1141">
      <c r="X1141" s="20" t="str">
        <f>IF($B1141="","",IFERROR(IF(INDEX(Config!$D$9:$D$29,MATCH($B1141,Config!$B$9:$B$29,0))="Contrato",IF(INDEX(Config!$E$9:$E$29,MATCH($B1141,Config!$B$9:$B$29,0))="","",INDEX(Config!$E$9:$E$29,MATCH($B1141,Config!$B$9:$B$29,0))),""),""))</f>
        <v/>
      </c>
      <c r="AI1141" s="19" t="str">
        <f>IF($B1141="","",IFERROR(INDEX(Config!$D$9:$D$29,MATCH($B1141,Config!$B$9:$B$29,0))&amp;"",""))</f>
        <v/>
      </c>
    </row>
    <row r="1142">
      <c r="X1142" s="20" t="str">
        <f>IF($B1142="","",IFERROR(IF(INDEX(Config!$D$9:$D$29,MATCH($B1142,Config!$B$9:$B$29,0))="Contrato",IF(INDEX(Config!$E$9:$E$29,MATCH($B1142,Config!$B$9:$B$29,0))="","",INDEX(Config!$E$9:$E$29,MATCH($B1142,Config!$B$9:$B$29,0))),""),""))</f>
        <v/>
      </c>
      <c r="AI1142" s="19" t="str">
        <f>IF($B1142="","",IFERROR(INDEX(Config!$D$9:$D$29,MATCH($B1142,Config!$B$9:$B$29,0))&amp;"",""))</f>
        <v/>
      </c>
    </row>
    <row r="1143">
      <c r="X1143" s="20" t="str">
        <f>IF($B1143="","",IFERROR(IF(INDEX(Config!$D$9:$D$29,MATCH($B1143,Config!$B$9:$B$29,0))="Contrato",IF(INDEX(Config!$E$9:$E$29,MATCH($B1143,Config!$B$9:$B$29,0))="","",INDEX(Config!$E$9:$E$29,MATCH($B1143,Config!$B$9:$B$29,0))),""),""))</f>
        <v/>
      </c>
      <c r="AI1143" s="19" t="str">
        <f>IF($B1143="","",IFERROR(INDEX(Config!$D$9:$D$29,MATCH($B1143,Config!$B$9:$B$29,0))&amp;"",""))</f>
        <v/>
      </c>
    </row>
    <row r="1144">
      <c r="X1144" s="20" t="str">
        <f>IF($B1144="","",IFERROR(IF(INDEX(Config!$D$9:$D$29,MATCH($B1144,Config!$B$9:$B$29,0))="Contrato",IF(INDEX(Config!$E$9:$E$29,MATCH($B1144,Config!$B$9:$B$29,0))="","",INDEX(Config!$E$9:$E$29,MATCH($B1144,Config!$B$9:$B$29,0))),""),""))</f>
        <v/>
      </c>
      <c r="AI1144" s="19" t="str">
        <f>IF($B1144="","",IFERROR(INDEX(Config!$D$9:$D$29,MATCH($B1144,Config!$B$9:$B$29,0))&amp;"",""))</f>
        <v/>
      </c>
    </row>
    <row r="1145">
      <c r="X1145" s="20" t="str">
        <f>IF($B1145="","",IFERROR(IF(INDEX(Config!$D$9:$D$29,MATCH($B1145,Config!$B$9:$B$29,0))="Contrato",IF(INDEX(Config!$E$9:$E$29,MATCH($B1145,Config!$B$9:$B$29,0))="","",INDEX(Config!$E$9:$E$29,MATCH($B1145,Config!$B$9:$B$29,0))),""),""))</f>
        <v/>
      </c>
      <c r="AI1145" s="19" t="str">
        <f>IF($B1145="","",IFERROR(INDEX(Config!$D$9:$D$29,MATCH($B1145,Config!$B$9:$B$29,0))&amp;"",""))</f>
        <v/>
      </c>
    </row>
    <row r="1146">
      <c r="X1146" s="20" t="str">
        <f>IF($B1146="","",IFERROR(IF(INDEX(Config!$D$9:$D$29,MATCH($B1146,Config!$B$9:$B$29,0))="Contrato",IF(INDEX(Config!$E$9:$E$29,MATCH($B1146,Config!$B$9:$B$29,0))="","",INDEX(Config!$E$9:$E$29,MATCH($B1146,Config!$B$9:$B$29,0))),""),""))</f>
        <v/>
      </c>
      <c r="AI1146" s="19" t="str">
        <f>IF($B1146="","",IFERROR(INDEX(Config!$D$9:$D$29,MATCH($B1146,Config!$B$9:$B$29,0))&amp;"",""))</f>
        <v/>
      </c>
    </row>
    <row r="1147">
      <c r="X1147" s="20" t="str">
        <f>IF($B1147="","",IFERROR(IF(INDEX(Config!$D$9:$D$29,MATCH($B1147,Config!$B$9:$B$29,0))="Contrato",IF(INDEX(Config!$E$9:$E$29,MATCH($B1147,Config!$B$9:$B$29,0))="","",INDEX(Config!$E$9:$E$29,MATCH($B1147,Config!$B$9:$B$29,0))),""),""))</f>
        <v/>
      </c>
      <c r="AI1147" s="19" t="str">
        <f>IF($B1147="","",IFERROR(INDEX(Config!$D$9:$D$29,MATCH($B1147,Config!$B$9:$B$29,0))&amp;"",""))</f>
        <v/>
      </c>
    </row>
    <row r="1148">
      <c r="X1148" s="20" t="str">
        <f>IF($B1148="","",IFERROR(IF(INDEX(Config!$D$9:$D$29,MATCH($B1148,Config!$B$9:$B$29,0))="Contrato",IF(INDEX(Config!$E$9:$E$29,MATCH($B1148,Config!$B$9:$B$29,0))="","",INDEX(Config!$E$9:$E$29,MATCH($B1148,Config!$B$9:$B$29,0))),""),""))</f>
        <v/>
      </c>
      <c r="AI1148" s="19" t="str">
        <f>IF($B1148="","",IFERROR(INDEX(Config!$D$9:$D$29,MATCH($B1148,Config!$B$9:$B$29,0))&amp;"",""))</f>
        <v/>
      </c>
    </row>
    <row r="1149">
      <c r="X1149" s="20" t="str">
        <f>IF($B1149="","",IFERROR(IF(INDEX(Config!$D$9:$D$29,MATCH($B1149,Config!$B$9:$B$29,0))="Contrato",IF(INDEX(Config!$E$9:$E$29,MATCH($B1149,Config!$B$9:$B$29,0))="","",INDEX(Config!$E$9:$E$29,MATCH($B1149,Config!$B$9:$B$29,0))),""),""))</f>
        <v/>
      </c>
      <c r="AI1149" s="19" t="str">
        <f>IF($B1149="","",IFERROR(INDEX(Config!$D$9:$D$29,MATCH($B1149,Config!$B$9:$B$29,0))&amp;"",""))</f>
        <v/>
      </c>
    </row>
    <row r="1150">
      <c r="X1150" s="20" t="str">
        <f>IF($B1150="","",IFERROR(IF(INDEX(Config!$D$9:$D$29,MATCH($B1150,Config!$B$9:$B$29,0))="Contrato",IF(INDEX(Config!$E$9:$E$29,MATCH($B1150,Config!$B$9:$B$29,0))="","",INDEX(Config!$E$9:$E$29,MATCH($B1150,Config!$B$9:$B$29,0))),""),""))</f>
        <v/>
      </c>
      <c r="AI1150" s="19" t="str">
        <f>IF($B1150="","",IFERROR(INDEX(Config!$D$9:$D$29,MATCH($B1150,Config!$B$9:$B$29,0))&amp;"",""))</f>
        <v/>
      </c>
    </row>
    <row r="1151">
      <c r="X1151" s="20" t="str">
        <f>IF($B1151="","",IFERROR(IF(INDEX(Config!$D$9:$D$29,MATCH($B1151,Config!$B$9:$B$29,0))="Contrato",IF(INDEX(Config!$E$9:$E$29,MATCH($B1151,Config!$B$9:$B$29,0))="","",INDEX(Config!$E$9:$E$29,MATCH($B1151,Config!$B$9:$B$29,0))),""),""))</f>
        <v/>
      </c>
      <c r="AI1151" s="19" t="str">
        <f>IF($B1151="","",IFERROR(INDEX(Config!$D$9:$D$29,MATCH($B1151,Config!$B$9:$B$29,0))&amp;"",""))</f>
        <v/>
      </c>
    </row>
    <row r="1152">
      <c r="X1152" s="20" t="str">
        <f>IF($B1152="","",IFERROR(IF(INDEX(Config!$D$9:$D$29,MATCH($B1152,Config!$B$9:$B$29,0))="Contrato",IF(INDEX(Config!$E$9:$E$29,MATCH($B1152,Config!$B$9:$B$29,0))="","",INDEX(Config!$E$9:$E$29,MATCH($B1152,Config!$B$9:$B$29,0))),""),""))</f>
        <v/>
      </c>
      <c r="AI1152" s="19" t="str">
        <f>IF($B1152="","",IFERROR(INDEX(Config!$D$9:$D$29,MATCH($B1152,Config!$B$9:$B$29,0))&amp;"",""))</f>
        <v/>
      </c>
    </row>
    <row r="1153">
      <c r="X1153" s="20" t="str">
        <f>IF($B1153="","",IFERROR(IF(INDEX(Config!$D$9:$D$29,MATCH($B1153,Config!$B$9:$B$29,0))="Contrato",IF(INDEX(Config!$E$9:$E$29,MATCH($B1153,Config!$B$9:$B$29,0))="","",INDEX(Config!$E$9:$E$29,MATCH($B1153,Config!$B$9:$B$29,0))),""),""))</f>
        <v/>
      </c>
      <c r="AI1153" s="19" t="str">
        <f>IF($B1153="","",IFERROR(INDEX(Config!$D$9:$D$29,MATCH($B1153,Config!$B$9:$B$29,0))&amp;"",""))</f>
        <v/>
      </c>
    </row>
    <row r="1154">
      <c r="X1154" s="20" t="str">
        <f>IF($B1154="","",IFERROR(IF(INDEX(Config!$D$9:$D$29,MATCH($B1154,Config!$B$9:$B$29,0))="Contrato",IF(INDEX(Config!$E$9:$E$29,MATCH($B1154,Config!$B$9:$B$29,0))="","",INDEX(Config!$E$9:$E$29,MATCH($B1154,Config!$B$9:$B$29,0))),""),""))</f>
        <v/>
      </c>
      <c r="AI1154" s="19" t="str">
        <f>IF($B1154="","",IFERROR(INDEX(Config!$D$9:$D$29,MATCH($B1154,Config!$B$9:$B$29,0))&amp;"",""))</f>
        <v/>
      </c>
    </row>
    <row r="1155">
      <c r="X1155" s="20" t="str">
        <f>IF($B1155="","",IFERROR(IF(INDEX(Config!$D$9:$D$29,MATCH($B1155,Config!$B$9:$B$29,0))="Contrato",IF(INDEX(Config!$E$9:$E$29,MATCH($B1155,Config!$B$9:$B$29,0))="","",INDEX(Config!$E$9:$E$29,MATCH($B1155,Config!$B$9:$B$29,0))),""),""))</f>
        <v/>
      </c>
      <c r="AI1155" s="19" t="str">
        <f>IF($B1155="","",IFERROR(INDEX(Config!$D$9:$D$29,MATCH($B1155,Config!$B$9:$B$29,0))&amp;"",""))</f>
        <v/>
      </c>
    </row>
    <row r="1156">
      <c r="X1156" s="20" t="str">
        <f>IF($B1156="","",IFERROR(IF(INDEX(Config!$D$9:$D$29,MATCH($B1156,Config!$B$9:$B$29,0))="Contrato",IF(INDEX(Config!$E$9:$E$29,MATCH($B1156,Config!$B$9:$B$29,0))="","",INDEX(Config!$E$9:$E$29,MATCH($B1156,Config!$B$9:$B$29,0))),""),""))</f>
        <v/>
      </c>
      <c r="AI1156" s="19" t="str">
        <f>IF($B1156="","",IFERROR(INDEX(Config!$D$9:$D$29,MATCH($B1156,Config!$B$9:$B$29,0))&amp;"",""))</f>
        <v/>
      </c>
    </row>
    <row r="1157">
      <c r="X1157" s="20" t="str">
        <f>IF($B1157="","",IFERROR(IF(INDEX(Config!$D$9:$D$29,MATCH($B1157,Config!$B$9:$B$29,0))="Contrato",IF(INDEX(Config!$E$9:$E$29,MATCH($B1157,Config!$B$9:$B$29,0))="","",INDEX(Config!$E$9:$E$29,MATCH($B1157,Config!$B$9:$B$29,0))),""),""))</f>
        <v/>
      </c>
      <c r="AI1157" s="19" t="str">
        <f>IF($B1157="","",IFERROR(INDEX(Config!$D$9:$D$29,MATCH($B1157,Config!$B$9:$B$29,0))&amp;"",""))</f>
        <v/>
      </c>
    </row>
    <row r="1158">
      <c r="X1158" s="20" t="str">
        <f>IF($B1158="","",IFERROR(IF(INDEX(Config!$D$9:$D$29,MATCH($B1158,Config!$B$9:$B$29,0))="Contrato",IF(INDEX(Config!$E$9:$E$29,MATCH($B1158,Config!$B$9:$B$29,0))="","",INDEX(Config!$E$9:$E$29,MATCH($B1158,Config!$B$9:$B$29,0))),""),""))</f>
        <v/>
      </c>
      <c r="AI1158" s="19" t="str">
        <f>IF($B1158="","",IFERROR(INDEX(Config!$D$9:$D$29,MATCH($B1158,Config!$B$9:$B$29,0))&amp;"",""))</f>
        <v/>
      </c>
    </row>
    <row r="1159">
      <c r="X1159" s="20" t="str">
        <f>IF($B1159="","",IFERROR(IF(INDEX(Config!$D$9:$D$29,MATCH($B1159,Config!$B$9:$B$29,0))="Contrato",IF(INDEX(Config!$E$9:$E$29,MATCH($B1159,Config!$B$9:$B$29,0))="","",INDEX(Config!$E$9:$E$29,MATCH($B1159,Config!$B$9:$B$29,0))),""),""))</f>
        <v/>
      </c>
      <c r="AI1159" s="19" t="str">
        <f>IF($B1159="","",IFERROR(INDEX(Config!$D$9:$D$29,MATCH($B1159,Config!$B$9:$B$29,0))&amp;"",""))</f>
        <v/>
      </c>
    </row>
    <row r="1160">
      <c r="X1160" s="20" t="str">
        <f>IF($B1160="","",IFERROR(IF(INDEX(Config!$D$9:$D$29,MATCH($B1160,Config!$B$9:$B$29,0))="Contrato",IF(INDEX(Config!$E$9:$E$29,MATCH($B1160,Config!$B$9:$B$29,0))="","",INDEX(Config!$E$9:$E$29,MATCH($B1160,Config!$B$9:$B$29,0))),""),""))</f>
        <v/>
      </c>
      <c r="AI1160" s="19" t="str">
        <f>IF($B1160="","",IFERROR(INDEX(Config!$D$9:$D$29,MATCH($B1160,Config!$B$9:$B$29,0))&amp;"",""))</f>
        <v/>
      </c>
    </row>
    <row r="1161">
      <c r="X1161" s="20" t="str">
        <f>IF($B1161="","",IFERROR(IF(INDEX(Config!$D$9:$D$29,MATCH($B1161,Config!$B$9:$B$29,0))="Contrato",IF(INDEX(Config!$E$9:$E$29,MATCH($B1161,Config!$B$9:$B$29,0))="","",INDEX(Config!$E$9:$E$29,MATCH($B1161,Config!$B$9:$B$29,0))),""),""))</f>
        <v/>
      </c>
      <c r="AI1161" s="19" t="str">
        <f>IF($B1161="","",IFERROR(INDEX(Config!$D$9:$D$29,MATCH($B1161,Config!$B$9:$B$29,0))&amp;"",""))</f>
        <v/>
      </c>
    </row>
    <row r="1162">
      <c r="X1162" s="20" t="str">
        <f>IF($B1162="","",IFERROR(IF(INDEX(Config!$D$9:$D$29,MATCH($B1162,Config!$B$9:$B$29,0))="Contrato",IF(INDEX(Config!$E$9:$E$29,MATCH($B1162,Config!$B$9:$B$29,0))="","",INDEX(Config!$E$9:$E$29,MATCH($B1162,Config!$B$9:$B$29,0))),""),""))</f>
        <v/>
      </c>
      <c r="AI1162" s="19" t="str">
        <f>IF($B1162="","",IFERROR(INDEX(Config!$D$9:$D$29,MATCH($B1162,Config!$B$9:$B$29,0))&amp;"",""))</f>
        <v/>
      </c>
    </row>
    <row r="1163">
      <c r="X1163" s="20" t="str">
        <f>IF($B1163="","",IFERROR(IF(INDEX(Config!$D$9:$D$29,MATCH($B1163,Config!$B$9:$B$29,0))="Contrato",IF(INDEX(Config!$E$9:$E$29,MATCH($B1163,Config!$B$9:$B$29,0))="","",INDEX(Config!$E$9:$E$29,MATCH($B1163,Config!$B$9:$B$29,0))),""),""))</f>
        <v/>
      </c>
      <c r="AI1163" s="19" t="str">
        <f>IF($B1163="","",IFERROR(INDEX(Config!$D$9:$D$29,MATCH($B1163,Config!$B$9:$B$29,0))&amp;"",""))</f>
        <v/>
      </c>
    </row>
    <row r="1164">
      <c r="X1164" s="20" t="str">
        <f>IF($B1164="","",IFERROR(IF(INDEX(Config!$D$9:$D$29,MATCH($B1164,Config!$B$9:$B$29,0))="Contrato",IF(INDEX(Config!$E$9:$E$29,MATCH($B1164,Config!$B$9:$B$29,0))="","",INDEX(Config!$E$9:$E$29,MATCH($B1164,Config!$B$9:$B$29,0))),""),""))</f>
        <v/>
      </c>
      <c r="AI1164" s="19" t="str">
        <f>IF($B1164="","",IFERROR(INDEX(Config!$D$9:$D$29,MATCH($B1164,Config!$B$9:$B$29,0))&amp;"",""))</f>
        <v/>
      </c>
    </row>
    <row r="1165">
      <c r="X1165" s="20" t="str">
        <f>IF($B1165="","",IFERROR(IF(INDEX(Config!$D$9:$D$29,MATCH($B1165,Config!$B$9:$B$29,0))="Contrato",IF(INDEX(Config!$E$9:$E$29,MATCH($B1165,Config!$B$9:$B$29,0))="","",INDEX(Config!$E$9:$E$29,MATCH($B1165,Config!$B$9:$B$29,0))),""),""))</f>
        <v/>
      </c>
      <c r="AI1165" s="19" t="str">
        <f>IF($B1165="","",IFERROR(INDEX(Config!$D$9:$D$29,MATCH($B1165,Config!$B$9:$B$29,0))&amp;"",""))</f>
        <v/>
      </c>
    </row>
    <row r="1166">
      <c r="X1166" s="20" t="str">
        <f>IF($B1166="","",IFERROR(IF(INDEX(Config!$D$9:$D$29,MATCH($B1166,Config!$B$9:$B$29,0))="Contrato",IF(INDEX(Config!$E$9:$E$29,MATCH($B1166,Config!$B$9:$B$29,0))="","",INDEX(Config!$E$9:$E$29,MATCH($B1166,Config!$B$9:$B$29,0))),""),""))</f>
        <v/>
      </c>
      <c r="AI1166" s="19" t="str">
        <f>IF($B1166="","",IFERROR(INDEX(Config!$D$9:$D$29,MATCH($B1166,Config!$B$9:$B$29,0))&amp;"",""))</f>
        <v/>
      </c>
    </row>
    <row r="1167">
      <c r="X1167" s="20" t="str">
        <f>IF($B1167="","",IFERROR(IF(INDEX(Config!$D$9:$D$29,MATCH($B1167,Config!$B$9:$B$29,0))="Contrato",IF(INDEX(Config!$E$9:$E$29,MATCH($B1167,Config!$B$9:$B$29,0))="","",INDEX(Config!$E$9:$E$29,MATCH($B1167,Config!$B$9:$B$29,0))),""),""))</f>
        <v/>
      </c>
      <c r="AI1167" s="19" t="str">
        <f>IF($B1167="","",IFERROR(INDEX(Config!$D$9:$D$29,MATCH($B1167,Config!$B$9:$B$29,0))&amp;"",""))</f>
        <v/>
      </c>
    </row>
    <row r="1168">
      <c r="X1168" s="20" t="str">
        <f>IF($B1168="","",IFERROR(IF(INDEX(Config!$D$9:$D$29,MATCH($B1168,Config!$B$9:$B$29,0))="Contrato",IF(INDEX(Config!$E$9:$E$29,MATCH($B1168,Config!$B$9:$B$29,0))="","",INDEX(Config!$E$9:$E$29,MATCH($B1168,Config!$B$9:$B$29,0))),""),""))</f>
        <v/>
      </c>
      <c r="AI1168" s="19" t="str">
        <f>IF($B1168="","",IFERROR(INDEX(Config!$D$9:$D$29,MATCH($B1168,Config!$B$9:$B$29,0))&amp;"",""))</f>
        <v/>
      </c>
    </row>
    <row r="1169">
      <c r="X1169" s="20" t="str">
        <f>IF($B1169="","",IFERROR(IF(INDEX(Config!$D$9:$D$29,MATCH($B1169,Config!$B$9:$B$29,0))="Contrato",IF(INDEX(Config!$E$9:$E$29,MATCH($B1169,Config!$B$9:$B$29,0))="","",INDEX(Config!$E$9:$E$29,MATCH($B1169,Config!$B$9:$B$29,0))),""),""))</f>
        <v/>
      </c>
      <c r="AI1169" s="19" t="str">
        <f>IF($B1169="","",IFERROR(INDEX(Config!$D$9:$D$29,MATCH($B1169,Config!$B$9:$B$29,0))&amp;"",""))</f>
        <v/>
      </c>
    </row>
    <row r="1170">
      <c r="X1170" s="20" t="str">
        <f>IF($B1170="","",IFERROR(IF(INDEX(Config!$D$9:$D$29,MATCH($B1170,Config!$B$9:$B$29,0))="Contrato",IF(INDEX(Config!$E$9:$E$29,MATCH($B1170,Config!$B$9:$B$29,0))="","",INDEX(Config!$E$9:$E$29,MATCH($B1170,Config!$B$9:$B$29,0))),""),""))</f>
        <v/>
      </c>
      <c r="AI1170" s="19" t="str">
        <f>IF($B1170="","",IFERROR(INDEX(Config!$D$9:$D$29,MATCH($B1170,Config!$B$9:$B$29,0))&amp;"",""))</f>
        <v/>
      </c>
    </row>
    <row r="1171">
      <c r="X1171" s="20" t="str">
        <f>IF($B1171="","",IFERROR(IF(INDEX(Config!$D$9:$D$29,MATCH($B1171,Config!$B$9:$B$29,0))="Contrato",IF(INDEX(Config!$E$9:$E$29,MATCH($B1171,Config!$B$9:$B$29,0))="","",INDEX(Config!$E$9:$E$29,MATCH($B1171,Config!$B$9:$B$29,0))),""),""))</f>
        <v/>
      </c>
      <c r="AI1171" s="19" t="str">
        <f>IF($B1171="","",IFERROR(INDEX(Config!$D$9:$D$29,MATCH($B1171,Config!$B$9:$B$29,0))&amp;"",""))</f>
        <v/>
      </c>
    </row>
    <row r="1172">
      <c r="X1172" s="20" t="str">
        <f>IF($B1172="","",IFERROR(IF(INDEX(Config!$D$9:$D$29,MATCH($B1172,Config!$B$9:$B$29,0))="Contrato",IF(INDEX(Config!$E$9:$E$29,MATCH($B1172,Config!$B$9:$B$29,0))="","",INDEX(Config!$E$9:$E$29,MATCH($B1172,Config!$B$9:$B$29,0))),""),""))</f>
        <v/>
      </c>
      <c r="AI1172" s="19" t="str">
        <f>IF($B1172="","",IFERROR(INDEX(Config!$D$9:$D$29,MATCH($B1172,Config!$B$9:$B$29,0))&amp;"",""))</f>
        <v/>
      </c>
    </row>
    <row r="1173">
      <c r="X1173" s="20" t="str">
        <f>IF($B1173="","",IFERROR(IF(INDEX(Config!$D$9:$D$29,MATCH($B1173,Config!$B$9:$B$29,0))="Contrato",IF(INDEX(Config!$E$9:$E$29,MATCH($B1173,Config!$B$9:$B$29,0))="","",INDEX(Config!$E$9:$E$29,MATCH($B1173,Config!$B$9:$B$29,0))),""),""))</f>
        <v/>
      </c>
      <c r="AI1173" s="19" t="str">
        <f>IF($B1173="","",IFERROR(INDEX(Config!$D$9:$D$29,MATCH($B1173,Config!$B$9:$B$29,0))&amp;"",""))</f>
        <v/>
      </c>
    </row>
    <row r="1174">
      <c r="X1174" s="20" t="str">
        <f>IF($B1174="","",IFERROR(IF(INDEX(Config!$D$9:$D$29,MATCH($B1174,Config!$B$9:$B$29,0))="Contrato",IF(INDEX(Config!$E$9:$E$29,MATCH($B1174,Config!$B$9:$B$29,0))="","",INDEX(Config!$E$9:$E$29,MATCH($B1174,Config!$B$9:$B$29,0))),""),""))</f>
        <v/>
      </c>
      <c r="AI1174" s="19" t="str">
        <f>IF($B1174="","",IFERROR(INDEX(Config!$D$9:$D$29,MATCH($B1174,Config!$B$9:$B$29,0))&amp;"",""))</f>
        <v/>
      </c>
    </row>
    <row r="1175">
      <c r="X1175" s="20" t="str">
        <f>IF($B1175="","",IFERROR(IF(INDEX(Config!$D$9:$D$29,MATCH($B1175,Config!$B$9:$B$29,0))="Contrato",IF(INDEX(Config!$E$9:$E$29,MATCH($B1175,Config!$B$9:$B$29,0))="","",INDEX(Config!$E$9:$E$29,MATCH($B1175,Config!$B$9:$B$29,0))),""),""))</f>
        <v/>
      </c>
      <c r="AI1175" s="19" t="str">
        <f>IF($B1175="","",IFERROR(INDEX(Config!$D$9:$D$29,MATCH($B1175,Config!$B$9:$B$29,0))&amp;"",""))</f>
        <v/>
      </c>
    </row>
    <row r="1176">
      <c r="X1176" s="20" t="str">
        <f>IF($B1176="","",IFERROR(IF(INDEX(Config!$D$9:$D$29,MATCH($B1176,Config!$B$9:$B$29,0))="Contrato",IF(INDEX(Config!$E$9:$E$29,MATCH($B1176,Config!$B$9:$B$29,0))="","",INDEX(Config!$E$9:$E$29,MATCH($B1176,Config!$B$9:$B$29,0))),""),""))</f>
        <v/>
      </c>
      <c r="AI1176" s="19" t="str">
        <f>IF($B1176="","",IFERROR(INDEX(Config!$D$9:$D$29,MATCH($B1176,Config!$B$9:$B$29,0))&amp;"",""))</f>
        <v/>
      </c>
    </row>
    <row r="1177">
      <c r="X1177" s="20" t="str">
        <f>IF($B1177="","",IFERROR(IF(INDEX(Config!$D$9:$D$29,MATCH($B1177,Config!$B$9:$B$29,0))="Contrato",IF(INDEX(Config!$E$9:$E$29,MATCH($B1177,Config!$B$9:$B$29,0))="","",INDEX(Config!$E$9:$E$29,MATCH($B1177,Config!$B$9:$B$29,0))),""),""))</f>
        <v/>
      </c>
      <c r="AI1177" s="19" t="str">
        <f>IF($B1177="","",IFERROR(INDEX(Config!$D$9:$D$29,MATCH($B1177,Config!$B$9:$B$29,0))&amp;"",""))</f>
        <v/>
      </c>
    </row>
    <row r="1178">
      <c r="X1178" s="20" t="str">
        <f>IF($B1178="","",IFERROR(IF(INDEX(Config!$D$9:$D$29,MATCH($B1178,Config!$B$9:$B$29,0))="Contrato",IF(INDEX(Config!$E$9:$E$29,MATCH($B1178,Config!$B$9:$B$29,0))="","",INDEX(Config!$E$9:$E$29,MATCH($B1178,Config!$B$9:$B$29,0))),""),""))</f>
        <v/>
      </c>
      <c r="AI1178" s="19" t="str">
        <f>IF($B1178="","",IFERROR(INDEX(Config!$D$9:$D$29,MATCH($B1178,Config!$B$9:$B$29,0))&amp;"",""))</f>
        <v/>
      </c>
    </row>
    <row r="1179">
      <c r="X1179" s="20" t="str">
        <f>IF($B1179="","",IFERROR(IF(INDEX(Config!$D$9:$D$29,MATCH($B1179,Config!$B$9:$B$29,0))="Contrato",IF(INDEX(Config!$E$9:$E$29,MATCH($B1179,Config!$B$9:$B$29,0))="","",INDEX(Config!$E$9:$E$29,MATCH($B1179,Config!$B$9:$B$29,0))),""),""))</f>
        <v/>
      </c>
      <c r="AI1179" s="19" t="str">
        <f>IF($B1179="","",IFERROR(INDEX(Config!$D$9:$D$29,MATCH($B1179,Config!$B$9:$B$29,0))&amp;"",""))</f>
        <v/>
      </c>
    </row>
    <row r="1180">
      <c r="X1180" s="20" t="str">
        <f>IF($B1180="","",IFERROR(IF(INDEX(Config!$D$9:$D$29,MATCH($B1180,Config!$B$9:$B$29,0))="Contrato",IF(INDEX(Config!$E$9:$E$29,MATCH($B1180,Config!$B$9:$B$29,0))="","",INDEX(Config!$E$9:$E$29,MATCH($B1180,Config!$B$9:$B$29,0))),""),""))</f>
        <v/>
      </c>
      <c r="AI1180" s="19" t="str">
        <f>IF($B1180="","",IFERROR(INDEX(Config!$D$9:$D$29,MATCH($B1180,Config!$B$9:$B$29,0))&amp;"",""))</f>
        <v/>
      </c>
    </row>
    <row r="1181">
      <c r="X1181" s="20" t="str">
        <f>IF($B1181="","",IFERROR(IF(INDEX(Config!$D$9:$D$29,MATCH($B1181,Config!$B$9:$B$29,0))="Contrato",IF(INDEX(Config!$E$9:$E$29,MATCH($B1181,Config!$B$9:$B$29,0))="","",INDEX(Config!$E$9:$E$29,MATCH($B1181,Config!$B$9:$B$29,0))),""),""))</f>
        <v/>
      </c>
      <c r="AI1181" s="19" t="str">
        <f>IF($B1181="","",IFERROR(INDEX(Config!$D$9:$D$29,MATCH($B1181,Config!$B$9:$B$29,0))&amp;"",""))</f>
        <v/>
      </c>
    </row>
    <row r="1182">
      <c r="X1182" s="20" t="str">
        <f>IF($B1182="","",IFERROR(IF(INDEX(Config!$D$9:$D$29,MATCH($B1182,Config!$B$9:$B$29,0))="Contrato",IF(INDEX(Config!$E$9:$E$29,MATCH($B1182,Config!$B$9:$B$29,0))="","",INDEX(Config!$E$9:$E$29,MATCH($B1182,Config!$B$9:$B$29,0))),""),""))</f>
        <v/>
      </c>
      <c r="AI1182" s="19" t="str">
        <f>IF($B1182="","",IFERROR(INDEX(Config!$D$9:$D$29,MATCH($B1182,Config!$B$9:$B$29,0))&amp;"",""))</f>
        <v/>
      </c>
    </row>
    <row r="1183">
      <c r="X1183" s="20" t="str">
        <f>IF($B1183="","",IFERROR(IF(INDEX(Config!$D$9:$D$29,MATCH($B1183,Config!$B$9:$B$29,0))="Contrato",IF(INDEX(Config!$E$9:$E$29,MATCH($B1183,Config!$B$9:$B$29,0))="","",INDEX(Config!$E$9:$E$29,MATCH($B1183,Config!$B$9:$B$29,0))),""),""))</f>
        <v/>
      </c>
      <c r="AI1183" s="19" t="str">
        <f>IF($B1183="","",IFERROR(INDEX(Config!$D$9:$D$29,MATCH($B1183,Config!$B$9:$B$29,0))&amp;"",""))</f>
        <v/>
      </c>
    </row>
    <row r="1184">
      <c r="X1184" s="20" t="str">
        <f>IF($B1184="","",IFERROR(IF(INDEX(Config!$D$9:$D$29,MATCH($B1184,Config!$B$9:$B$29,0))="Contrato",IF(INDEX(Config!$E$9:$E$29,MATCH($B1184,Config!$B$9:$B$29,0))="","",INDEX(Config!$E$9:$E$29,MATCH($B1184,Config!$B$9:$B$29,0))),""),""))</f>
        <v/>
      </c>
      <c r="AI1184" s="19" t="str">
        <f>IF($B1184="","",IFERROR(INDEX(Config!$D$9:$D$29,MATCH($B1184,Config!$B$9:$B$29,0))&amp;"",""))</f>
        <v/>
      </c>
    </row>
    <row r="1185">
      <c r="X1185" s="20" t="str">
        <f>IF($B1185="","",IFERROR(IF(INDEX(Config!$D$9:$D$29,MATCH($B1185,Config!$B$9:$B$29,0))="Contrato",IF(INDEX(Config!$E$9:$E$29,MATCH($B1185,Config!$B$9:$B$29,0))="","",INDEX(Config!$E$9:$E$29,MATCH($B1185,Config!$B$9:$B$29,0))),""),""))</f>
        <v/>
      </c>
      <c r="AI1185" s="19" t="str">
        <f>IF($B1185="","",IFERROR(INDEX(Config!$D$9:$D$29,MATCH($B1185,Config!$B$9:$B$29,0))&amp;"",""))</f>
        <v/>
      </c>
    </row>
    <row r="1186">
      <c r="X1186" s="20" t="str">
        <f>IF($B1186="","",IFERROR(IF(INDEX(Config!$D$9:$D$29,MATCH($B1186,Config!$B$9:$B$29,0))="Contrato",IF(INDEX(Config!$E$9:$E$29,MATCH($B1186,Config!$B$9:$B$29,0))="","",INDEX(Config!$E$9:$E$29,MATCH($B1186,Config!$B$9:$B$29,0))),""),""))</f>
        <v/>
      </c>
      <c r="AI1186" s="19" t="str">
        <f>IF($B1186="","",IFERROR(INDEX(Config!$D$9:$D$29,MATCH($B1186,Config!$B$9:$B$29,0))&amp;"",""))</f>
        <v/>
      </c>
    </row>
    <row r="1187">
      <c r="X1187" s="20" t="str">
        <f>IF($B1187="","",IFERROR(IF(INDEX(Config!$D$9:$D$29,MATCH($B1187,Config!$B$9:$B$29,0))="Contrato",IF(INDEX(Config!$E$9:$E$29,MATCH($B1187,Config!$B$9:$B$29,0))="","",INDEX(Config!$E$9:$E$29,MATCH($B1187,Config!$B$9:$B$29,0))),""),""))</f>
        <v/>
      </c>
      <c r="AI1187" s="19" t="str">
        <f>IF($B1187="","",IFERROR(INDEX(Config!$D$9:$D$29,MATCH($B1187,Config!$B$9:$B$29,0))&amp;"",""))</f>
        <v/>
      </c>
    </row>
    <row r="1188">
      <c r="X1188" s="20" t="str">
        <f>IF($B1188="","",IFERROR(IF(INDEX(Config!$D$9:$D$29,MATCH($B1188,Config!$B$9:$B$29,0))="Contrato",IF(INDEX(Config!$E$9:$E$29,MATCH($B1188,Config!$B$9:$B$29,0))="","",INDEX(Config!$E$9:$E$29,MATCH($B1188,Config!$B$9:$B$29,0))),""),""))</f>
        <v/>
      </c>
      <c r="AI1188" s="19" t="str">
        <f>IF($B1188="","",IFERROR(INDEX(Config!$D$9:$D$29,MATCH($B1188,Config!$B$9:$B$29,0))&amp;"",""))</f>
        <v/>
      </c>
    </row>
    <row r="1189">
      <c r="X1189" s="20" t="str">
        <f>IF($B1189="","",IFERROR(IF(INDEX(Config!$D$9:$D$29,MATCH($B1189,Config!$B$9:$B$29,0))="Contrato",IF(INDEX(Config!$E$9:$E$29,MATCH($B1189,Config!$B$9:$B$29,0))="","",INDEX(Config!$E$9:$E$29,MATCH($B1189,Config!$B$9:$B$29,0))),""),""))</f>
        <v/>
      </c>
      <c r="AI1189" s="19" t="str">
        <f>IF($B1189="","",IFERROR(INDEX(Config!$D$9:$D$29,MATCH($B1189,Config!$B$9:$B$29,0))&amp;"",""))</f>
        <v/>
      </c>
    </row>
    <row r="1190">
      <c r="X1190" s="20" t="str">
        <f>IF($B1190="","",IFERROR(IF(INDEX(Config!$D$9:$D$29,MATCH($B1190,Config!$B$9:$B$29,0))="Contrato",IF(INDEX(Config!$E$9:$E$29,MATCH($B1190,Config!$B$9:$B$29,0))="","",INDEX(Config!$E$9:$E$29,MATCH($B1190,Config!$B$9:$B$29,0))),""),""))</f>
        <v/>
      </c>
      <c r="AI1190" s="19" t="str">
        <f>IF($B1190="","",IFERROR(INDEX(Config!$D$9:$D$29,MATCH($B1190,Config!$B$9:$B$29,0))&amp;"",""))</f>
        <v/>
      </c>
    </row>
    <row r="1191">
      <c r="X1191" s="20" t="str">
        <f>IF($B1191="","",IFERROR(IF(INDEX(Config!$D$9:$D$29,MATCH($B1191,Config!$B$9:$B$29,0))="Contrato",IF(INDEX(Config!$E$9:$E$29,MATCH($B1191,Config!$B$9:$B$29,0))="","",INDEX(Config!$E$9:$E$29,MATCH($B1191,Config!$B$9:$B$29,0))),""),""))</f>
        <v/>
      </c>
      <c r="AI1191" s="19" t="str">
        <f>IF($B1191="","",IFERROR(INDEX(Config!$D$9:$D$29,MATCH($B1191,Config!$B$9:$B$29,0))&amp;"",""))</f>
        <v/>
      </c>
    </row>
    <row r="1192">
      <c r="X1192" s="20" t="str">
        <f>IF($B1192="","",IFERROR(IF(INDEX(Config!$D$9:$D$29,MATCH($B1192,Config!$B$9:$B$29,0))="Contrato",IF(INDEX(Config!$E$9:$E$29,MATCH($B1192,Config!$B$9:$B$29,0))="","",INDEX(Config!$E$9:$E$29,MATCH($B1192,Config!$B$9:$B$29,0))),""),""))</f>
        <v/>
      </c>
      <c r="AI1192" s="19" t="str">
        <f>IF($B1192="","",IFERROR(INDEX(Config!$D$9:$D$29,MATCH($B1192,Config!$B$9:$B$29,0))&amp;"",""))</f>
        <v/>
      </c>
    </row>
    <row r="1193">
      <c r="X1193" s="20" t="str">
        <f>IF($B1193="","",IFERROR(IF(INDEX(Config!$D$9:$D$29,MATCH($B1193,Config!$B$9:$B$29,0))="Contrato",IF(INDEX(Config!$E$9:$E$29,MATCH($B1193,Config!$B$9:$B$29,0))="","",INDEX(Config!$E$9:$E$29,MATCH($B1193,Config!$B$9:$B$29,0))),""),""))</f>
        <v/>
      </c>
      <c r="AI1193" s="19" t="str">
        <f>IF($B1193="","",IFERROR(INDEX(Config!$D$9:$D$29,MATCH($B1193,Config!$B$9:$B$29,0))&amp;"",""))</f>
        <v/>
      </c>
    </row>
    <row r="1194">
      <c r="X1194" s="20" t="str">
        <f>IF($B1194="","",IFERROR(IF(INDEX(Config!$D$9:$D$29,MATCH($B1194,Config!$B$9:$B$29,0))="Contrato",IF(INDEX(Config!$E$9:$E$29,MATCH($B1194,Config!$B$9:$B$29,0))="","",INDEX(Config!$E$9:$E$29,MATCH($B1194,Config!$B$9:$B$29,0))),""),""))</f>
        <v/>
      </c>
      <c r="AI1194" s="19" t="str">
        <f>IF($B1194="","",IFERROR(INDEX(Config!$D$9:$D$29,MATCH($B1194,Config!$B$9:$B$29,0))&amp;"",""))</f>
        <v/>
      </c>
    </row>
    <row r="1195">
      <c r="X1195" s="20" t="str">
        <f>IF($B1195="","",IFERROR(IF(INDEX(Config!$D$9:$D$29,MATCH($B1195,Config!$B$9:$B$29,0))="Contrato",IF(INDEX(Config!$E$9:$E$29,MATCH($B1195,Config!$B$9:$B$29,0))="","",INDEX(Config!$E$9:$E$29,MATCH($B1195,Config!$B$9:$B$29,0))),""),""))</f>
        <v/>
      </c>
      <c r="AI1195" s="19" t="str">
        <f>IF($B1195="","",IFERROR(INDEX(Config!$D$9:$D$29,MATCH($B1195,Config!$B$9:$B$29,0))&amp;"",""))</f>
        <v/>
      </c>
    </row>
    <row r="1196">
      <c r="X1196" s="20" t="str">
        <f>IF($B1196="","",IFERROR(IF(INDEX(Config!$D$9:$D$29,MATCH($B1196,Config!$B$9:$B$29,0))="Contrato",IF(INDEX(Config!$E$9:$E$29,MATCH($B1196,Config!$B$9:$B$29,0))="","",INDEX(Config!$E$9:$E$29,MATCH($B1196,Config!$B$9:$B$29,0))),""),""))</f>
        <v/>
      </c>
      <c r="AI1196" s="19" t="str">
        <f>IF($B1196="","",IFERROR(INDEX(Config!$D$9:$D$29,MATCH($B1196,Config!$B$9:$B$29,0))&amp;"",""))</f>
        <v/>
      </c>
    </row>
    <row r="1197">
      <c r="X1197" s="20" t="str">
        <f>IF($B1197="","",IFERROR(IF(INDEX(Config!$D$9:$D$29,MATCH($B1197,Config!$B$9:$B$29,0))="Contrato",IF(INDEX(Config!$E$9:$E$29,MATCH($B1197,Config!$B$9:$B$29,0))="","",INDEX(Config!$E$9:$E$29,MATCH($B1197,Config!$B$9:$B$29,0))),""),""))</f>
        <v/>
      </c>
      <c r="AI1197" s="19" t="str">
        <f>IF($B1197="","",IFERROR(INDEX(Config!$D$9:$D$29,MATCH($B1197,Config!$B$9:$B$29,0))&amp;"",""))</f>
        <v/>
      </c>
    </row>
    <row r="1198">
      <c r="X1198" s="20" t="str">
        <f>IF($B1198="","",IFERROR(IF(INDEX(Config!$D$9:$D$29,MATCH($B1198,Config!$B$9:$B$29,0))="Contrato",IF(INDEX(Config!$E$9:$E$29,MATCH($B1198,Config!$B$9:$B$29,0))="","",INDEX(Config!$E$9:$E$29,MATCH($B1198,Config!$B$9:$B$29,0))),""),""))</f>
        <v/>
      </c>
      <c r="AI1198" s="19" t="str">
        <f>IF($B1198="","",IFERROR(INDEX(Config!$D$9:$D$29,MATCH($B1198,Config!$B$9:$B$29,0))&amp;"",""))</f>
        <v/>
      </c>
    </row>
    <row r="1199">
      <c r="X1199" s="20" t="str">
        <f>IF($B1199="","",IFERROR(IF(INDEX(Config!$D$9:$D$29,MATCH($B1199,Config!$B$9:$B$29,0))="Contrato",IF(INDEX(Config!$E$9:$E$29,MATCH($B1199,Config!$B$9:$B$29,0))="","",INDEX(Config!$E$9:$E$29,MATCH($B1199,Config!$B$9:$B$29,0))),""),""))</f>
        <v/>
      </c>
      <c r="AI1199" s="19" t="str">
        <f>IF($B1199="","",IFERROR(INDEX(Config!$D$9:$D$29,MATCH($B1199,Config!$B$9:$B$29,0))&amp;"",""))</f>
        <v/>
      </c>
    </row>
    <row r="1200">
      <c r="X1200" s="20" t="str">
        <f>IF($B1200="","",IFERROR(IF(INDEX(Config!$D$9:$D$29,MATCH($B1200,Config!$B$9:$B$29,0))="Contrato",IF(INDEX(Config!$E$9:$E$29,MATCH($B1200,Config!$B$9:$B$29,0))="","",INDEX(Config!$E$9:$E$29,MATCH($B1200,Config!$B$9:$B$29,0))),""),""))</f>
        <v/>
      </c>
      <c r="AI1200" s="19" t="str">
        <f>IF($B1200="","",IFERROR(INDEX(Config!$D$9:$D$29,MATCH($B1200,Config!$B$9:$B$29,0))&amp;"",""))</f>
        <v/>
      </c>
    </row>
    <row r="1201">
      <c r="X1201" s="20" t="str">
        <f>IF($B1201="","",IFERROR(IF(INDEX(Config!$D$9:$D$29,MATCH($B1201,Config!$B$9:$B$29,0))="Contrato",IF(INDEX(Config!$E$9:$E$29,MATCH($B1201,Config!$B$9:$B$29,0))="","",INDEX(Config!$E$9:$E$29,MATCH($B1201,Config!$B$9:$B$29,0))),""),""))</f>
        <v/>
      </c>
      <c r="AI1201" s="19" t="str">
        <f>IF($B1201="","",IFERROR(INDEX(Config!$D$9:$D$29,MATCH($B1201,Config!$B$9:$B$29,0))&amp;"",""))</f>
        <v/>
      </c>
    </row>
    <row r="1202">
      <c r="X1202" s="20" t="str">
        <f>IF($B1202="","",IFERROR(IF(INDEX(Config!$D$9:$D$29,MATCH($B1202,Config!$B$9:$B$29,0))="Contrato",IF(INDEX(Config!$E$9:$E$29,MATCH($B1202,Config!$B$9:$B$29,0))="","",INDEX(Config!$E$9:$E$29,MATCH($B1202,Config!$B$9:$B$29,0))),""),""))</f>
        <v/>
      </c>
      <c r="AI1202" s="19" t="str">
        <f>IF($B1202="","",IFERROR(INDEX(Config!$D$9:$D$29,MATCH($B1202,Config!$B$9:$B$29,0))&amp;"",""))</f>
        <v/>
      </c>
    </row>
    <row r="1203">
      <c r="X1203" s="20" t="str">
        <f>IF($B1203="","",IFERROR(IF(INDEX(Config!$D$9:$D$29,MATCH($B1203,Config!$B$9:$B$29,0))="Contrato",IF(INDEX(Config!$E$9:$E$29,MATCH($B1203,Config!$B$9:$B$29,0))="","",INDEX(Config!$E$9:$E$29,MATCH($B1203,Config!$B$9:$B$29,0))),""),""))</f>
        <v/>
      </c>
      <c r="AI1203" s="19" t="str">
        <f>IF($B1203="","",IFERROR(INDEX(Config!$D$9:$D$29,MATCH($B1203,Config!$B$9:$B$29,0))&amp;"",""))</f>
        <v/>
      </c>
    </row>
    <row r="1204">
      <c r="X1204" s="20" t="str">
        <f>IF($B1204="","",IFERROR(IF(INDEX(Config!$D$9:$D$29,MATCH($B1204,Config!$B$9:$B$29,0))="Contrato",IF(INDEX(Config!$E$9:$E$29,MATCH($B1204,Config!$B$9:$B$29,0))="","",INDEX(Config!$E$9:$E$29,MATCH($B1204,Config!$B$9:$B$29,0))),""),""))</f>
        <v/>
      </c>
      <c r="AI1204" s="19" t="str">
        <f>IF($B1204="","",IFERROR(INDEX(Config!$D$9:$D$29,MATCH($B1204,Config!$B$9:$B$29,0))&amp;"",""))</f>
        <v/>
      </c>
    </row>
    <row r="1205">
      <c r="X1205" s="20" t="str">
        <f>IF($B1205="","",IFERROR(IF(INDEX(Config!$D$9:$D$29,MATCH($B1205,Config!$B$9:$B$29,0))="Contrato",IF(INDEX(Config!$E$9:$E$29,MATCH($B1205,Config!$B$9:$B$29,0))="","",INDEX(Config!$E$9:$E$29,MATCH($B1205,Config!$B$9:$B$29,0))),""),""))</f>
        <v/>
      </c>
      <c r="AI1205" s="19" t="str">
        <f>IF($B1205="","",IFERROR(INDEX(Config!$D$9:$D$29,MATCH($B1205,Config!$B$9:$B$29,0))&amp;"",""))</f>
        <v/>
      </c>
    </row>
    <row r="1206">
      <c r="X1206" s="20" t="str">
        <f>IF($B1206="","",IFERROR(IF(INDEX(Config!$D$9:$D$29,MATCH($B1206,Config!$B$9:$B$29,0))="Contrato",IF(INDEX(Config!$E$9:$E$29,MATCH($B1206,Config!$B$9:$B$29,0))="","",INDEX(Config!$E$9:$E$29,MATCH($B1206,Config!$B$9:$B$29,0))),""),""))</f>
        <v/>
      </c>
      <c r="AI1206" s="19" t="str">
        <f>IF($B1206="","",IFERROR(INDEX(Config!$D$9:$D$29,MATCH($B1206,Config!$B$9:$B$29,0))&amp;"",""))</f>
        <v/>
      </c>
    </row>
    <row r="1207">
      <c r="X1207" s="20" t="str">
        <f>IF($B1207="","",IFERROR(IF(INDEX(Config!$D$9:$D$29,MATCH($B1207,Config!$B$9:$B$29,0))="Contrato",IF(INDEX(Config!$E$9:$E$29,MATCH($B1207,Config!$B$9:$B$29,0))="","",INDEX(Config!$E$9:$E$29,MATCH($B1207,Config!$B$9:$B$29,0))),""),""))</f>
        <v/>
      </c>
      <c r="AI1207" s="19" t="str">
        <f>IF($B1207="","",IFERROR(INDEX(Config!$D$9:$D$29,MATCH($B1207,Config!$B$9:$B$29,0))&amp;"",""))</f>
        <v/>
      </c>
    </row>
    <row r="1208">
      <c r="X1208" s="20" t="str">
        <f>IF($B1208="","",IFERROR(IF(INDEX(Config!$D$9:$D$29,MATCH($B1208,Config!$B$9:$B$29,0))="Contrato",IF(INDEX(Config!$E$9:$E$29,MATCH($B1208,Config!$B$9:$B$29,0))="","",INDEX(Config!$E$9:$E$29,MATCH($B1208,Config!$B$9:$B$29,0))),""),""))</f>
        <v/>
      </c>
      <c r="AI1208" s="19" t="str">
        <f>IF($B1208="","",IFERROR(INDEX(Config!$D$9:$D$29,MATCH($B1208,Config!$B$9:$B$29,0))&amp;"",""))</f>
        <v/>
      </c>
    </row>
    <row r="1209">
      <c r="X1209" s="20" t="str">
        <f>IF($B1209="","",IFERROR(IF(INDEX(Config!$D$9:$D$29,MATCH($B1209,Config!$B$9:$B$29,0))="Contrato",IF(INDEX(Config!$E$9:$E$29,MATCH($B1209,Config!$B$9:$B$29,0))="","",INDEX(Config!$E$9:$E$29,MATCH($B1209,Config!$B$9:$B$29,0))),""),""))</f>
        <v/>
      </c>
      <c r="AI1209" s="19" t="str">
        <f>IF($B1209="","",IFERROR(INDEX(Config!$D$9:$D$29,MATCH($B1209,Config!$B$9:$B$29,0))&amp;"",""))</f>
        <v/>
      </c>
    </row>
    <row r="1210">
      <c r="X1210" s="20" t="str">
        <f>IF($B1210="","",IFERROR(IF(INDEX(Config!$D$9:$D$29,MATCH($B1210,Config!$B$9:$B$29,0))="Contrato",IF(INDEX(Config!$E$9:$E$29,MATCH($B1210,Config!$B$9:$B$29,0))="","",INDEX(Config!$E$9:$E$29,MATCH($B1210,Config!$B$9:$B$29,0))),""),""))</f>
        <v/>
      </c>
      <c r="AI1210" s="19" t="str">
        <f>IF($B1210="","",IFERROR(INDEX(Config!$D$9:$D$29,MATCH($B1210,Config!$B$9:$B$29,0))&amp;"",""))</f>
        <v/>
      </c>
    </row>
    <row r="1211">
      <c r="X1211" s="20" t="str">
        <f>IF($B1211="","",IFERROR(IF(INDEX(Config!$D$9:$D$29,MATCH($B1211,Config!$B$9:$B$29,0))="Contrato",IF(INDEX(Config!$E$9:$E$29,MATCH($B1211,Config!$B$9:$B$29,0))="","",INDEX(Config!$E$9:$E$29,MATCH($B1211,Config!$B$9:$B$29,0))),""),""))</f>
        <v/>
      </c>
      <c r="AI1211" s="19" t="str">
        <f>IF($B1211="","",IFERROR(INDEX(Config!$D$9:$D$29,MATCH($B1211,Config!$B$9:$B$29,0))&amp;"",""))</f>
        <v/>
      </c>
    </row>
    <row r="1212">
      <c r="X1212" s="20" t="str">
        <f>IF($B1212="","",IFERROR(IF(INDEX(Config!$D$9:$D$29,MATCH($B1212,Config!$B$9:$B$29,0))="Contrato",IF(INDEX(Config!$E$9:$E$29,MATCH($B1212,Config!$B$9:$B$29,0))="","",INDEX(Config!$E$9:$E$29,MATCH($B1212,Config!$B$9:$B$29,0))),""),""))</f>
        <v/>
      </c>
      <c r="AI1212" s="19" t="str">
        <f>IF($B1212="","",IFERROR(INDEX(Config!$D$9:$D$29,MATCH($B1212,Config!$B$9:$B$29,0))&amp;"",""))</f>
        <v/>
      </c>
    </row>
    <row r="1213">
      <c r="X1213" s="20" t="str">
        <f>IF($B1213="","",IFERROR(IF(INDEX(Config!$D$9:$D$29,MATCH($B1213,Config!$B$9:$B$29,0))="Contrato",IF(INDEX(Config!$E$9:$E$29,MATCH($B1213,Config!$B$9:$B$29,0))="","",INDEX(Config!$E$9:$E$29,MATCH($B1213,Config!$B$9:$B$29,0))),""),""))</f>
        <v/>
      </c>
      <c r="AI1213" s="19" t="str">
        <f>IF($B1213="","",IFERROR(INDEX(Config!$D$9:$D$29,MATCH($B1213,Config!$B$9:$B$29,0))&amp;"",""))</f>
        <v/>
      </c>
    </row>
    <row r="1214">
      <c r="X1214" s="20" t="str">
        <f>IF($B1214="","",IFERROR(IF(INDEX(Config!$D$9:$D$29,MATCH($B1214,Config!$B$9:$B$29,0))="Contrato",IF(INDEX(Config!$E$9:$E$29,MATCH($B1214,Config!$B$9:$B$29,0))="","",INDEX(Config!$E$9:$E$29,MATCH($B1214,Config!$B$9:$B$29,0))),""),""))</f>
        <v/>
      </c>
      <c r="AI1214" s="19" t="str">
        <f>IF($B1214="","",IFERROR(INDEX(Config!$D$9:$D$29,MATCH($B1214,Config!$B$9:$B$29,0))&amp;"",""))</f>
        <v/>
      </c>
    </row>
    <row r="1215">
      <c r="X1215" s="20" t="str">
        <f>IF($B1215="","",IFERROR(IF(INDEX(Config!$D$9:$D$29,MATCH($B1215,Config!$B$9:$B$29,0))="Contrato",IF(INDEX(Config!$E$9:$E$29,MATCH($B1215,Config!$B$9:$B$29,0))="","",INDEX(Config!$E$9:$E$29,MATCH($B1215,Config!$B$9:$B$29,0))),""),""))</f>
        <v/>
      </c>
      <c r="AI1215" s="19" t="str">
        <f>IF($B1215="","",IFERROR(INDEX(Config!$D$9:$D$29,MATCH($B1215,Config!$B$9:$B$29,0))&amp;"",""))</f>
        <v/>
      </c>
    </row>
    <row r="1216">
      <c r="X1216" s="20" t="str">
        <f>IF($B1216="","",IFERROR(IF(INDEX(Config!$D$9:$D$29,MATCH($B1216,Config!$B$9:$B$29,0))="Contrato",IF(INDEX(Config!$E$9:$E$29,MATCH($B1216,Config!$B$9:$B$29,0))="","",INDEX(Config!$E$9:$E$29,MATCH($B1216,Config!$B$9:$B$29,0))),""),""))</f>
        <v/>
      </c>
      <c r="AI1216" s="19" t="str">
        <f>IF($B1216="","",IFERROR(INDEX(Config!$D$9:$D$29,MATCH($B1216,Config!$B$9:$B$29,0))&amp;"",""))</f>
        <v/>
      </c>
    </row>
    <row r="1217">
      <c r="X1217" s="20" t="str">
        <f>IF($B1217="","",IFERROR(IF(INDEX(Config!$D$9:$D$29,MATCH($B1217,Config!$B$9:$B$29,0))="Contrato",IF(INDEX(Config!$E$9:$E$29,MATCH($B1217,Config!$B$9:$B$29,0))="","",INDEX(Config!$E$9:$E$29,MATCH($B1217,Config!$B$9:$B$29,0))),""),""))</f>
        <v/>
      </c>
      <c r="AI1217" s="19" t="str">
        <f>IF($B1217="","",IFERROR(INDEX(Config!$D$9:$D$29,MATCH($B1217,Config!$B$9:$B$29,0))&amp;"",""))</f>
        <v/>
      </c>
    </row>
    <row r="1218">
      <c r="X1218" s="20" t="str">
        <f>IF($B1218="","",IFERROR(IF(INDEX(Config!$D$9:$D$29,MATCH($B1218,Config!$B$9:$B$29,0))="Contrato",IF(INDEX(Config!$E$9:$E$29,MATCH($B1218,Config!$B$9:$B$29,0))="","",INDEX(Config!$E$9:$E$29,MATCH($B1218,Config!$B$9:$B$29,0))),""),""))</f>
        <v/>
      </c>
      <c r="AI1218" s="19" t="str">
        <f>IF($B1218="","",IFERROR(INDEX(Config!$D$9:$D$29,MATCH($B1218,Config!$B$9:$B$29,0))&amp;"",""))</f>
        <v/>
      </c>
    </row>
    <row r="1219">
      <c r="X1219" s="20" t="str">
        <f>IF($B1219="","",IFERROR(IF(INDEX(Config!$D$9:$D$29,MATCH($B1219,Config!$B$9:$B$29,0))="Contrato",IF(INDEX(Config!$E$9:$E$29,MATCH($B1219,Config!$B$9:$B$29,0))="","",INDEX(Config!$E$9:$E$29,MATCH($B1219,Config!$B$9:$B$29,0))),""),""))</f>
        <v/>
      </c>
      <c r="AI1219" s="19" t="str">
        <f>IF($B1219="","",IFERROR(INDEX(Config!$D$9:$D$29,MATCH($B1219,Config!$B$9:$B$29,0))&amp;"",""))</f>
        <v/>
      </c>
    </row>
    <row r="1220">
      <c r="X1220" s="20" t="str">
        <f>IF($B1220="","",IFERROR(IF(INDEX(Config!$D$9:$D$29,MATCH($B1220,Config!$B$9:$B$29,0))="Contrato",IF(INDEX(Config!$E$9:$E$29,MATCH($B1220,Config!$B$9:$B$29,0))="","",INDEX(Config!$E$9:$E$29,MATCH($B1220,Config!$B$9:$B$29,0))),""),""))</f>
        <v/>
      </c>
      <c r="AI1220" s="19" t="str">
        <f>IF($B1220="","",IFERROR(INDEX(Config!$D$9:$D$29,MATCH($B1220,Config!$B$9:$B$29,0))&amp;"",""))</f>
        <v/>
      </c>
    </row>
    <row r="1221">
      <c r="X1221" s="20" t="str">
        <f>IF($B1221="","",IFERROR(IF(INDEX(Config!$D$9:$D$29,MATCH($B1221,Config!$B$9:$B$29,0))="Contrato",IF(INDEX(Config!$E$9:$E$29,MATCH($B1221,Config!$B$9:$B$29,0))="","",INDEX(Config!$E$9:$E$29,MATCH($B1221,Config!$B$9:$B$29,0))),""),""))</f>
        <v/>
      </c>
      <c r="AI1221" s="19" t="str">
        <f>IF($B1221="","",IFERROR(INDEX(Config!$D$9:$D$29,MATCH($B1221,Config!$B$9:$B$29,0))&amp;"",""))</f>
        <v/>
      </c>
    </row>
    <row r="1222">
      <c r="X1222" s="20" t="str">
        <f>IF($B1222="","",IFERROR(IF(INDEX(Config!$D$9:$D$29,MATCH($B1222,Config!$B$9:$B$29,0))="Contrato",IF(INDEX(Config!$E$9:$E$29,MATCH($B1222,Config!$B$9:$B$29,0))="","",INDEX(Config!$E$9:$E$29,MATCH($B1222,Config!$B$9:$B$29,0))),""),""))</f>
        <v/>
      </c>
      <c r="AI1222" s="19" t="str">
        <f>IF($B1222="","",IFERROR(INDEX(Config!$D$9:$D$29,MATCH($B1222,Config!$B$9:$B$29,0))&amp;"",""))</f>
        <v/>
      </c>
    </row>
    <row r="1223">
      <c r="X1223" s="20" t="str">
        <f>IF($B1223="","",IFERROR(IF(INDEX(Config!$D$9:$D$29,MATCH($B1223,Config!$B$9:$B$29,0))="Contrato",IF(INDEX(Config!$E$9:$E$29,MATCH($B1223,Config!$B$9:$B$29,0))="","",INDEX(Config!$E$9:$E$29,MATCH($B1223,Config!$B$9:$B$29,0))),""),""))</f>
        <v/>
      </c>
      <c r="AI1223" s="19" t="str">
        <f>IF($B1223="","",IFERROR(INDEX(Config!$D$9:$D$29,MATCH($B1223,Config!$B$9:$B$29,0))&amp;"",""))</f>
        <v/>
      </c>
    </row>
    <row r="1224">
      <c r="X1224" s="20" t="str">
        <f>IF($B1224="","",IFERROR(IF(INDEX(Config!$D$9:$D$29,MATCH($B1224,Config!$B$9:$B$29,0))="Contrato",IF(INDEX(Config!$E$9:$E$29,MATCH($B1224,Config!$B$9:$B$29,0))="","",INDEX(Config!$E$9:$E$29,MATCH($B1224,Config!$B$9:$B$29,0))),""),""))</f>
        <v/>
      </c>
      <c r="AI1224" s="19" t="str">
        <f>IF($B1224="","",IFERROR(INDEX(Config!$D$9:$D$29,MATCH($B1224,Config!$B$9:$B$29,0))&amp;"",""))</f>
        <v/>
      </c>
    </row>
    <row r="1225">
      <c r="X1225" s="20" t="str">
        <f>IF($B1225="","",IFERROR(IF(INDEX(Config!$D$9:$D$29,MATCH($B1225,Config!$B$9:$B$29,0))="Contrato",IF(INDEX(Config!$E$9:$E$29,MATCH($B1225,Config!$B$9:$B$29,0))="","",INDEX(Config!$E$9:$E$29,MATCH($B1225,Config!$B$9:$B$29,0))),""),""))</f>
        <v/>
      </c>
      <c r="AI1225" s="19" t="str">
        <f>IF($B1225="","",IFERROR(INDEX(Config!$D$9:$D$29,MATCH($B1225,Config!$B$9:$B$29,0))&amp;"",""))</f>
        <v/>
      </c>
    </row>
    <row r="1226">
      <c r="X1226" s="20" t="str">
        <f>IF($B1226="","",IFERROR(IF(INDEX(Config!$D$9:$D$29,MATCH($B1226,Config!$B$9:$B$29,0))="Contrato",IF(INDEX(Config!$E$9:$E$29,MATCH($B1226,Config!$B$9:$B$29,0))="","",INDEX(Config!$E$9:$E$29,MATCH($B1226,Config!$B$9:$B$29,0))),""),""))</f>
        <v/>
      </c>
      <c r="AI1226" s="19" t="str">
        <f>IF($B1226="","",IFERROR(INDEX(Config!$D$9:$D$29,MATCH($B1226,Config!$B$9:$B$29,0))&amp;"",""))</f>
        <v/>
      </c>
    </row>
    <row r="1227">
      <c r="X1227" s="20" t="str">
        <f>IF($B1227="","",IFERROR(IF(INDEX(Config!$D$9:$D$29,MATCH($B1227,Config!$B$9:$B$29,0))="Contrato",IF(INDEX(Config!$E$9:$E$29,MATCH($B1227,Config!$B$9:$B$29,0))="","",INDEX(Config!$E$9:$E$29,MATCH($B1227,Config!$B$9:$B$29,0))),""),""))</f>
        <v/>
      </c>
      <c r="AI1227" s="19" t="str">
        <f>IF($B1227="","",IFERROR(INDEX(Config!$D$9:$D$29,MATCH($B1227,Config!$B$9:$B$29,0))&amp;"",""))</f>
        <v/>
      </c>
    </row>
    <row r="1228">
      <c r="X1228" s="20" t="str">
        <f>IF($B1228="","",IFERROR(IF(INDEX(Config!$D$9:$D$29,MATCH($B1228,Config!$B$9:$B$29,0))="Contrato",IF(INDEX(Config!$E$9:$E$29,MATCH($B1228,Config!$B$9:$B$29,0))="","",INDEX(Config!$E$9:$E$29,MATCH($B1228,Config!$B$9:$B$29,0))),""),""))</f>
        <v/>
      </c>
      <c r="AI1228" s="19" t="str">
        <f>IF($B1228="","",IFERROR(INDEX(Config!$D$9:$D$29,MATCH($B1228,Config!$B$9:$B$29,0))&amp;"",""))</f>
        <v/>
      </c>
    </row>
    <row r="1229">
      <c r="X1229" s="20" t="str">
        <f>IF($B1229="","",IFERROR(IF(INDEX(Config!$D$9:$D$29,MATCH($B1229,Config!$B$9:$B$29,0))="Contrato",IF(INDEX(Config!$E$9:$E$29,MATCH($B1229,Config!$B$9:$B$29,0))="","",INDEX(Config!$E$9:$E$29,MATCH($B1229,Config!$B$9:$B$29,0))),""),""))</f>
        <v/>
      </c>
      <c r="AI1229" s="19" t="str">
        <f>IF($B1229="","",IFERROR(INDEX(Config!$D$9:$D$29,MATCH($B1229,Config!$B$9:$B$29,0))&amp;"",""))</f>
        <v/>
      </c>
    </row>
    <row r="1230">
      <c r="X1230" s="20" t="str">
        <f>IF($B1230="","",IFERROR(IF(INDEX(Config!$D$9:$D$29,MATCH($B1230,Config!$B$9:$B$29,0))="Contrato",IF(INDEX(Config!$E$9:$E$29,MATCH($B1230,Config!$B$9:$B$29,0))="","",INDEX(Config!$E$9:$E$29,MATCH($B1230,Config!$B$9:$B$29,0))),""),""))</f>
        <v/>
      </c>
      <c r="AI1230" s="19" t="str">
        <f>IF($B1230="","",IFERROR(INDEX(Config!$D$9:$D$29,MATCH($B1230,Config!$B$9:$B$29,0))&amp;"",""))</f>
        <v/>
      </c>
    </row>
    <row r="1231">
      <c r="X1231" s="20" t="str">
        <f>IF($B1231="","",IFERROR(IF(INDEX(Config!$D$9:$D$29,MATCH($B1231,Config!$B$9:$B$29,0))="Contrato",IF(INDEX(Config!$E$9:$E$29,MATCH($B1231,Config!$B$9:$B$29,0))="","",INDEX(Config!$E$9:$E$29,MATCH($B1231,Config!$B$9:$B$29,0))),""),""))</f>
        <v/>
      </c>
      <c r="AI1231" s="19" t="str">
        <f>IF($B1231="","",IFERROR(INDEX(Config!$D$9:$D$29,MATCH($B1231,Config!$B$9:$B$29,0))&amp;"",""))</f>
        <v/>
      </c>
    </row>
    <row r="1232">
      <c r="X1232" s="20" t="str">
        <f>IF($B1232="","",IFERROR(IF(INDEX(Config!$D$9:$D$29,MATCH($B1232,Config!$B$9:$B$29,0))="Contrato",IF(INDEX(Config!$E$9:$E$29,MATCH($B1232,Config!$B$9:$B$29,0))="","",INDEX(Config!$E$9:$E$29,MATCH($B1232,Config!$B$9:$B$29,0))),""),""))</f>
        <v/>
      </c>
      <c r="AI1232" s="19" t="str">
        <f>IF($B1232="","",IFERROR(INDEX(Config!$D$9:$D$29,MATCH($B1232,Config!$B$9:$B$29,0))&amp;"",""))</f>
        <v/>
      </c>
    </row>
    <row r="1233">
      <c r="X1233" s="20" t="str">
        <f>IF($B1233="","",IFERROR(IF(INDEX(Config!$D$9:$D$29,MATCH($B1233,Config!$B$9:$B$29,0))="Contrato",IF(INDEX(Config!$E$9:$E$29,MATCH($B1233,Config!$B$9:$B$29,0))="","",INDEX(Config!$E$9:$E$29,MATCH($B1233,Config!$B$9:$B$29,0))),""),""))</f>
        <v/>
      </c>
      <c r="AI1233" s="19" t="str">
        <f>IF($B1233="","",IFERROR(INDEX(Config!$D$9:$D$29,MATCH($B1233,Config!$B$9:$B$29,0))&amp;"",""))</f>
        <v/>
      </c>
    </row>
    <row r="1234">
      <c r="X1234" s="20" t="str">
        <f>IF($B1234="","",IFERROR(IF(INDEX(Config!$D$9:$D$29,MATCH($B1234,Config!$B$9:$B$29,0))="Contrato",IF(INDEX(Config!$E$9:$E$29,MATCH($B1234,Config!$B$9:$B$29,0))="","",INDEX(Config!$E$9:$E$29,MATCH($B1234,Config!$B$9:$B$29,0))),""),""))</f>
        <v/>
      </c>
      <c r="AI1234" s="19" t="str">
        <f>IF($B1234="","",IFERROR(INDEX(Config!$D$9:$D$29,MATCH($B1234,Config!$B$9:$B$29,0))&amp;"",""))</f>
        <v/>
      </c>
    </row>
    <row r="1235">
      <c r="X1235" s="20" t="str">
        <f>IF($B1235="","",IFERROR(IF(INDEX(Config!$D$9:$D$29,MATCH($B1235,Config!$B$9:$B$29,0))="Contrato",IF(INDEX(Config!$E$9:$E$29,MATCH($B1235,Config!$B$9:$B$29,0))="","",INDEX(Config!$E$9:$E$29,MATCH($B1235,Config!$B$9:$B$29,0))),""),""))</f>
        <v/>
      </c>
      <c r="AI1235" s="19" t="str">
        <f>IF($B1235="","",IFERROR(INDEX(Config!$D$9:$D$29,MATCH($B1235,Config!$B$9:$B$29,0))&amp;"",""))</f>
        <v/>
      </c>
    </row>
    <row r="1236">
      <c r="X1236" s="20" t="str">
        <f>IF($B1236="","",IFERROR(IF(INDEX(Config!$D$9:$D$29,MATCH($B1236,Config!$B$9:$B$29,0))="Contrato",IF(INDEX(Config!$E$9:$E$29,MATCH($B1236,Config!$B$9:$B$29,0))="","",INDEX(Config!$E$9:$E$29,MATCH($B1236,Config!$B$9:$B$29,0))),""),""))</f>
        <v/>
      </c>
      <c r="AI1236" s="19" t="str">
        <f>IF($B1236="","",IFERROR(INDEX(Config!$D$9:$D$29,MATCH($B1236,Config!$B$9:$B$29,0))&amp;"",""))</f>
        <v/>
      </c>
    </row>
    <row r="1237">
      <c r="X1237" s="20" t="str">
        <f>IF($B1237="","",IFERROR(IF(INDEX(Config!$D$9:$D$29,MATCH($B1237,Config!$B$9:$B$29,0))="Contrato",IF(INDEX(Config!$E$9:$E$29,MATCH($B1237,Config!$B$9:$B$29,0))="","",INDEX(Config!$E$9:$E$29,MATCH($B1237,Config!$B$9:$B$29,0))),""),""))</f>
        <v/>
      </c>
      <c r="AI1237" s="19" t="str">
        <f>IF($B1237="","",IFERROR(INDEX(Config!$D$9:$D$29,MATCH($B1237,Config!$B$9:$B$29,0))&amp;"",""))</f>
        <v/>
      </c>
    </row>
    <row r="1238">
      <c r="X1238" s="20" t="str">
        <f>IF($B1238="","",IFERROR(IF(INDEX(Config!$D$9:$D$29,MATCH($B1238,Config!$B$9:$B$29,0))="Contrato",IF(INDEX(Config!$E$9:$E$29,MATCH($B1238,Config!$B$9:$B$29,0))="","",INDEX(Config!$E$9:$E$29,MATCH($B1238,Config!$B$9:$B$29,0))),""),""))</f>
        <v/>
      </c>
      <c r="AI1238" s="19" t="str">
        <f>IF($B1238="","",IFERROR(INDEX(Config!$D$9:$D$29,MATCH($B1238,Config!$B$9:$B$29,0))&amp;"",""))</f>
        <v/>
      </c>
    </row>
    <row r="1239">
      <c r="X1239" s="20" t="str">
        <f>IF($B1239="","",IFERROR(IF(INDEX(Config!$D$9:$D$29,MATCH($B1239,Config!$B$9:$B$29,0))="Contrato",IF(INDEX(Config!$E$9:$E$29,MATCH($B1239,Config!$B$9:$B$29,0))="","",INDEX(Config!$E$9:$E$29,MATCH($B1239,Config!$B$9:$B$29,0))),""),""))</f>
        <v/>
      </c>
      <c r="AI1239" s="19" t="str">
        <f>IF($B1239="","",IFERROR(INDEX(Config!$D$9:$D$29,MATCH($B1239,Config!$B$9:$B$29,0))&amp;"",""))</f>
        <v/>
      </c>
    </row>
    <row r="1240">
      <c r="X1240" s="20" t="str">
        <f>IF($B1240="","",IFERROR(IF(INDEX(Config!$D$9:$D$29,MATCH($B1240,Config!$B$9:$B$29,0))="Contrato",IF(INDEX(Config!$E$9:$E$29,MATCH($B1240,Config!$B$9:$B$29,0))="","",INDEX(Config!$E$9:$E$29,MATCH($B1240,Config!$B$9:$B$29,0))),""),""))</f>
        <v/>
      </c>
      <c r="AI1240" s="19" t="str">
        <f>IF($B1240="","",IFERROR(INDEX(Config!$D$9:$D$29,MATCH($B1240,Config!$B$9:$B$29,0))&amp;"",""))</f>
        <v/>
      </c>
    </row>
    <row r="1241">
      <c r="X1241" s="20" t="str">
        <f>IF($B1241="","",IFERROR(IF(INDEX(Config!$D$9:$D$29,MATCH($B1241,Config!$B$9:$B$29,0))="Contrato",IF(INDEX(Config!$E$9:$E$29,MATCH($B1241,Config!$B$9:$B$29,0))="","",INDEX(Config!$E$9:$E$29,MATCH($B1241,Config!$B$9:$B$29,0))),""),""))</f>
        <v/>
      </c>
      <c r="AI1241" s="19" t="str">
        <f>IF($B1241="","",IFERROR(INDEX(Config!$D$9:$D$29,MATCH($B1241,Config!$B$9:$B$29,0))&amp;"",""))</f>
        <v/>
      </c>
    </row>
    <row r="1242">
      <c r="X1242" s="20" t="str">
        <f>IF($B1242="","",IFERROR(IF(INDEX(Config!$D$9:$D$29,MATCH($B1242,Config!$B$9:$B$29,0))="Contrato",IF(INDEX(Config!$E$9:$E$29,MATCH($B1242,Config!$B$9:$B$29,0))="","",INDEX(Config!$E$9:$E$29,MATCH($B1242,Config!$B$9:$B$29,0))),""),""))</f>
        <v/>
      </c>
      <c r="AI1242" s="19" t="str">
        <f>IF($B1242="","",IFERROR(INDEX(Config!$D$9:$D$29,MATCH($B1242,Config!$B$9:$B$29,0))&amp;"",""))</f>
        <v/>
      </c>
    </row>
    <row r="1243">
      <c r="X1243" s="20" t="str">
        <f>IF($B1243="","",IFERROR(IF(INDEX(Config!$D$9:$D$29,MATCH($B1243,Config!$B$9:$B$29,0))="Contrato",IF(INDEX(Config!$E$9:$E$29,MATCH($B1243,Config!$B$9:$B$29,0))="","",INDEX(Config!$E$9:$E$29,MATCH($B1243,Config!$B$9:$B$29,0))),""),""))</f>
        <v/>
      </c>
      <c r="AI1243" s="19" t="str">
        <f>IF($B1243="","",IFERROR(INDEX(Config!$D$9:$D$29,MATCH($B1243,Config!$B$9:$B$29,0))&amp;"",""))</f>
        <v/>
      </c>
    </row>
    <row r="1244">
      <c r="X1244" s="20" t="str">
        <f>IF($B1244="","",IFERROR(IF(INDEX(Config!$D$9:$D$29,MATCH($B1244,Config!$B$9:$B$29,0))="Contrato",IF(INDEX(Config!$E$9:$E$29,MATCH($B1244,Config!$B$9:$B$29,0))="","",INDEX(Config!$E$9:$E$29,MATCH($B1244,Config!$B$9:$B$29,0))),""),""))</f>
        <v/>
      </c>
      <c r="AI1244" s="19" t="str">
        <f>IF($B1244="","",IFERROR(INDEX(Config!$D$9:$D$29,MATCH($B1244,Config!$B$9:$B$29,0))&amp;"",""))</f>
        <v/>
      </c>
    </row>
    <row r="1245">
      <c r="X1245" s="20" t="str">
        <f>IF($B1245="","",IFERROR(IF(INDEX(Config!$D$9:$D$29,MATCH($B1245,Config!$B$9:$B$29,0))="Contrato",IF(INDEX(Config!$E$9:$E$29,MATCH($B1245,Config!$B$9:$B$29,0))="","",INDEX(Config!$E$9:$E$29,MATCH($B1245,Config!$B$9:$B$29,0))),""),""))</f>
        <v/>
      </c>
      <c r="AI1245" s="19" t="str">
        <f>IF($B1245="","",IFERROR(INDEX(Config!$D$9:$D$29,MATCH($B1245,Config!$B$9:$B$29,0))&amp;"",""))</f>
        <v/>
      </c>
    </row>
    <row r="1246">
      <c r="X1246" s="20" t="str">
        <f>IF($B1246="","",IFERROR(IF(INDEX(Config!$D$9:$D$29,MATCH($B1246,Config!$B$9:$B$29,0))="Contrato",IF(INDEX(Config!$E$9:$E$29,MATCH($B1246,Config!$B$9:$B$29,0))="","",INDEX(Config!$E$9:$E$29,MATCH($B1246,Config!$B$9:$B$29,0))),""),""))</f>
        <v/>
      </c>
      <c r="AI1246" s="19" t="str">
        <f>IF($B1246="","",IFERROR(INDEX(Config!$D$9:$D$29,MATCH($B1246,Config!$B$9:$B$29,0))&amp;"",""))</f>
        <v/>
      </c>
    </row>
    <row r="1247">
      <c r="X1247" s="20" t="str">
        <f>IF($B1247="","",IFERROR(IF(INDEX(Config!$D$9:$D$29,MATCH($B1247,Config!$B$9:$B$29,0))="Contrato",IF(INDEX(Config!$E$9:$E$29,MATCH($B1247,Config!$B$9:$B$29,0))="","",INDEX(Config!$E$9:$E$29,MATCH($B1247,Config!$B$9:$B$29,0))),""),""))</f>
        <v/>
      </c>
      <c r="AI1247" s="19" t="str">
        <f>IF($B1247="","",IFERROR(INDEX(Config!$D$9:$D$29,MATCH($B1247,Config!$B$9:$B$29,0))&amp;"",""))</f>
        <v/>
      </c>
    </row>
    <row r="1248">
      <c r="X1248" s="20" t="str">
        <f>IF($B1248="","",IFERROR(IF(INDEX(Config!$D$9:$D$29,MATCH($B1248,Config!$B$9:$B$29,0))="Contrato",IF(INDEX(Config!$E$9:$E$29,MATCH($B1248,Config!$B$9:$B$29,0))="","",INDEX(Config!$E$9:$E$29,MATCH($B1248,Config!$B$9:$B$29,0))),""),""))</f>
        <v/>
      </c>
      <c r="AI1248" s="19" t="str">
        <f>IF($B1248="","",IFERROR(INDEX(Config!$D$9:$D$29,MATCH($B1248,Config!$B$9:$B$29,0))&amp;"",""))</f>
        <v/>
      </c>
    </row>
    <row r="1249">
      <c r="X1249" s="20" t="str">
        <f>IF($B1249="","",IFERROR(IF(INDEX(Config!$D$9:$D$29,MATCH($B1249,Config!$B$9:$B$29,0))="Contrato",IF(INDEX(Config!$E$9:$E$29,MATCH($B1249,Config!$B$9:$B$29,0))="","",INDEX(Config!$E$9:$E$29,MATCH($B1249,Config!$B$9:$B$29,0))),""),""))</f>
        <v/>
      </c>
      <c r="AI1249" s="19" t="str">
        <f>IF($B1249="","",IFERROR(INDEX(Config!$D$9:$D$29,MATCH($B1249,Config!$B$9:$B$29,0))&amp;"",""))</f>
        <v/>
      </c>
    </row>
    <row r="1250">
      <c r="X1250" s="20" t="str">
        <f>IF($B1250="","",IFERROR(IF(INDEX(Config!$D$9:$D$29,MATCH($B1250,Config!$B$9:$B$29,0))="Contrato",IF(INDEX(Config!$E$9:$E$29,MATCH($B1250,Config!$B$9:$B$29,0))="","",INDEX(Config!$E$9:$E$29,MATCH($B1250,Config!$B$9:$B$29,0))),""),""))</f>
        <v/>
      </c>
      <c r="AI1250" s="19" t="str">
        <f>IF($B1250="","",IFERROR(INDEX(Config!$D$9:$D$29,MATCH($B1250,Config!$B$9:$B$29,0))&amp;"",""))</f>
        <v/>
      </c>
    </row>
    <row r="1251">
      <c r="X1251" s="20" t="str">
        <f>IF($B1251="","",IFERROR(IF(INDEX(Config!$D$9:$D$29,MATCH($B1251,Config!$B$9:$B$29,0))="Contrato",IF(INDEX(Config!$E$9:$E$29,MATCH($B1251,Config!$B$9:$B$29,0))="","",INDEX(Config!$E$9:$E$29,MATCH($B1251,Config!$B$9:$B$29,0))),""),""))</f>
        <v/>
      </c>
      <c r="AI1251" s="19" t="str">
        <f>IF($B1251="","",IFERROR(INDEX(Config!$D$9:$D$29,MATCH($B1251,Config!$B$9:$B$29,0))&amp;"",""))</f>
        <v/>
      </c>
    </row>
    <row r="1252">
      <c r="X1252" s="20" t="str">
        <f>IF($B1252="","",IFERROR(IF(INDEX(Config!$D$9:$D$29,MATCH($B1252,Config!$B$9:$B$29,0))="Contrato",IF(INDEX(Config!$E$9:$E$29,MATCH($B1252,Config!$B$9:$B$29,0))="","",INDEX(Config!$E$9:$E$29,MATCH($B1252,Config!$B$9:$B$29,0))),""),""))</f>
        <v/>
      </c>
      <c r="AI1252" s="19" t="str">
        <f>IF($B1252="","",IFERROR(INDEX(Config!$D$9:$D$29,MATCH($B1252,Config!$B$9:$B$29,0))&amp;"",""))</f>
        <v/>
      </c>
    </row>
    <row r="1253">
      <c r="X1253" s="20" t="str">
        <f>IF($B1253="","",IFERROR(IF(INDEX(Config!$D$9:$D$29,MATCH($B1253,Config!$B$9:$B$29,0))="Contrato",IF(INDEX(Config!$E$9:$E$29,MATCH($B1253,Config!$B$9:$B$29,0))="","",INDEX(Config!$E$9:$E$29,MATCH($B1253,Config!$B$9:$B$29,0))),""),""))</f>
        <v/>
      </c>
      <c r="AI1253" s="19" t="str">
        <f>IF($B1253="","",IFERROR(INDEX(Config!$D$9:$D$29,MATCH($B1253,Config!$B$9:$B$29,0))&amp;"",""))</f>
        <v/>
      </c>
    </row>
    <row r="1254">
      <c r="X1254" s="20" t="str">
        <f>IF($B1254="","",IFERROR(IF(INDEX(Config!$D$9:$D$29,MATCH($B1254,Config!$B$9:$B$29,0))="Contrato",IF(INDEX(Config!$E$9:$E$29,MATCH($B1254,Config!$B$9:$B$29,0))="","",INDEX(Config!$E$9:$E$29,MATCH($B1254,Config!$B$9:$B$29,0))),""),""))</f>
        <v/>
      </c>
      <c r="AI1254" s="19" t="str">
        <f>IF($B1254="","",IFERROR(INDEX(Config!$D$9:$D$29,MATCH($B1254,Config!$B$9:$B$29,0))&amp;"",""))</f>
        <v/>
      </c>
    </row>
    <row r="1255">
      <c r="X1255" s="20" t="str">
        <f>IF($B1255="","",IFERROR(IF(INDEX(Config!$D$9:$D$29,MATCH($B1255,Config!$B$9:$B$29,0))="Contrato",IF(INDEX(Config!$E$9:$E$29,MATCH($B1255,Config!$B$9:$B$29,0))="","",INDEX(Config!$E$9:$E$29,MATCH($B1255,Config!$B$9:$B$29,0))),""),""))</f>
        <v/>
      </c>
      <c r="AI1255" s="19" t="str">
        <f>IF($B1255="","",IFERROR(INDEX(Config!$D$9:$D$29,MATCH($B1255,Config!$B$9:$B$29,0))&amp;"",""))</f>
        <v/>
      </c>
    </row>
    <row r="1256">
      <c r="X1256" s="20" t="str">
        <f>IF($B1256="","",IFERROR(IF(INDEX(Config!$D$9:$D$29,MATCH($B1256,Config!$B$9:$B$29,0))="Contrato",IF(INDEX(Config!$E$9:$E$29,MATCH($B1256,Config!$B$9:$B$29,0))="","",INDEX(Config!$E$9:$E$29,MATCH($B1256,Config!$B$9:$B$29,0))),""),""))</f>
        <v/>
      </c>
      <c r="AI1256" s="19" t="str">
        <f>IF($B1256="","",IFERROR(INDEX(Config!$D$9:$D$29,MATCH($B1256,Config!$B$9:$B$29,0))&amp;"",""))</f>
        <v/>
      </c>
    </row>
    <row r="1257">
      <c r="X1257" s="20" t="str">
        <f>IF($B1257="","",IFERROR(IF(INDEX(Config!$D$9:$D$29,MATCH($B1257,Config!$B$9:$B$29,0))="Contrato",IF(INDEX(Config!$E$9:$E$29,MATCH($B1257,Config!$B$9:$B$29,0))="","",INDEX(Config!$E$9:$E$29,MATCH($B1257,Config!$B$9:$B$29,0))),""),""))</f>
        <v/>
      </c>
      <c r="AI1257" s="19" t="str">
        <f>IF($B1257="","",IFERROR(INDEX(Config!$D$9:$D$29,MATCH($B1257,Config!$B$9:$B$29,0))&amp;"",""))</f>
        <v/>
      </c>
    </row>
    <row r="1258">
      <c r="X1258" s="20" t="str">
        <f>IF($B1258="","",IFERROR(IF(INDEX(Config!$D$9:$D$29,MATCH($B1258,Config!$B$9:$B$29,0))="Contrato",IF(INDEX(Config!$E$9:$E$29,MATCH($B1258,Config!$B$9:$B$29,0))="","",INDEX(Config!$E$9:$E$29,MATCH($B1258,Config!$B$9:$B$29,0))),""),""))</f>
        <v/>
      </c>
      <c r="AI1258" s="19" t="str">
        <f>IF($B1258="","",IFERROR(INDEX(Config!$D$9:$D$29,MATCH($B1258,Config!$B$9:$B$29,0))&amp;"",""))</f>
        <v/>
      </c>
    </row>
    <row r="1259">
      <c r="X1259" s="20" t="str">
        <f>IF($B1259="","",IFERROR(IF(INDEX(Config!$D$9:$D$29,MATCH($B1259,Config!$B$9:$B$29,0))="Contrato",IF(INDEX(Config!$E$9:$E$29,MATCH($B1259,Config!$B$9:$B$29,0))="","",INDEX(Config!$E$9:$E$29,MATCH($B1259,Config!$B$9:$B$29,0))),""),""))</f>
        <v/>
      </c>
      <c r="AI1259" s="19" t="str">
        <f>IF($B1259="","",IFERROR(INDEX(Config!$D$9:$D$29,MATCH($B1259,Config!$B$9:$B$29,0))&amp;"",""))</f>
        <v/>
      </c>
    </row>
    <row r="1260">
      <c r="X1260" s="20" t="str">
        <f>IF($B1260="","",IFERROR(IF(INDEX(Config!$D$9:$D$29,MATCH($B1260,Config!$B$9:$B$29,0))="Contrato",IF(INDEX(Config!$E$9:$E$29,MATCH($B1260,Config!$B$9:$B$29,0))="","",INDEX(Config!$E$9:$E$29,MATCH($B1260,Config!$B$9:$B$29,0))),""),""))</f>
        <v/>
      </c>
      <c r="AI1260" s="19" t="str">
        <f>IF($B1260="","",IFERROR(INDEX(Config!$D$9:$D$29,MATCH($B1260,Config!$B$9:$B$29,0))&amp;"",""))</f>
        <v/>
      </c>
    </row>
    <row r="1261">
      <c r="X1261" s="20" t="str">
        <f>IF($B1261="","",IFERROR(IF(INDEX(Config!$D$9:$D$29,MATCH($B1261,Config!$B$9:$B$29,0))="Contrato",IF(INDEX(Config!$E$9:$E$29,MATCH($B1261,Config!$B$9:$B$29,0))="","",INDEX(Config!$E$9:$E$29,MATCH($B1261,Config!$B$9:$B$29,0))),""),""))</f>
        <v/>
      </c>
      <c r="AI1261" s="19" t="str">
        <f>IF($B1261="","",IFERROR(INDEX(Config!$D$9:$D$29,MATCH($B1261,Config!$B$9:$B$29,0))&amp;"",""))</f>
        <v/>
      </c>
    </row>
    <row r="1262">
      <c r="X1262" s="20" t="str">
        <f>IF($B1262="","",IFERROR(IF(INDEX(Config!$D$9:$D$29,MATCH($B1262,Config!$B$9:$B$29,0))="Contrato",IF(INDEX(Config!$E$9:$E$29,MATCH($B1262,Config!$B$9:$B$29,0))="","",INDEX(Config!$E$9:$E$29,MATCH($B1262,Config!$B$9:$B$29,0))),""),""))</f>
        <v/>
      </c>
      <c r="AI1262" s="19" t="str">
        <f>IF($B1262="","",IFERROR(INDEX(Config!$D$9:$D$29,MATCH($B1262,Config!$B$9:$B$29,0))&amp;"",""))</f>
        <v/>
      </c>
    </row>
    <row r="1263">
      <c r="X1263" s="20" t="str">
        <f>IF($B1263="","",IFERROR(IF(INDEX(Config!$D$9:$D$29,MATCH($B1263,Config!$B$9:$B$29,0))="Contrato",IF(INDEX(Config!$E$9:$E$29,MATCH($B1263,Config!$B$9:$B$29,0))="","",INDEX(Config!$E$9:$E$29,MATCH($B1263,Config!$B$9:$B$29,0))),""),""))</f>
        <v/>
      </c>
      <c r="AI1263" s="19" t="str">
        <f>IF($B1263="","",IFERROR(INDEX(Config!$D$9:$D$29,MATCH($B1263,Config!$B$9:$B$29,0))&amp;"",""))</f>
        <v/>
      </c>
    </row>
    <row r="1264">
      <c r="X1264" s="20" t="str">
        <f>IF($B1264="","",IFERROR(IF(INDEX(Config!$D$9:$D$29,MATCH($B1264,Config!$B$9:$B$29,0))="Contrato",IF(INDEX(Config!$E$9:$E$29,MATCH($B1264,Config!$B$9:$B$29,0))="","",INDEX(Config!$E$9:$E$29,MATCH($B1264,Config!$B$9:$B$29,0))),""),""))</f>
        <v/>
      </c>
      <c r="AI1264" s="19" t="str">
        <f>IF($B1264="","",IFERROR(INDEX(Config!$D$9:$D$29,MATCH($B1264,Config!$B$9:$B$29,0))&amp;"",""))</f>
        <v/>
      </c>
    </row>
    <row r="1265">
      <c r="X1265" s="20" t="str">
        <f>IF($B1265="","",IFERROR(IF(INDEX(Config!$D$9:$D$29,MATCH($B1265,Config!$B$9:$B$29,0))="Contrato",IF(INDEX(Config!$E$9:$E$29,MATCH($B1265,Config!$B$9:$B$29,0))="","",INDEX(Config!$E$9:$E$29,MATCH($B1265,Config!$B$9:$B$29,0))),""),""))</f>
        <v/>
      </c>
      <c r="AI1265" s="19" t="str">
        <f>IF($B1265="","",IFERROR(INDEX(Config!$D$9:$D$29,MATCH($B1265,Config!$B$9:$B$29,0))&amp;"",""))</f>
        <v/>
      </c>
    </row>
    <row r="1266">
      <c r="X1266" s="20" t="str">
        <f>IF($B1266="","",IFERROR(IF(INDEX(Config!$D$9:$D$29,MATCH($B1266,Config!$B$9:$B$29,0))="Contrato",IF(INDEX(Config!$E$9:$E$29,MATCH($B1266,Config!$B$9:$B$29,0))="","",INDEX(Config!$E$9:$E$29,MATCH($B1266,Config!$B$9:$B$29,0))),""),""))</f>
        <v/>
      </c>
      <c r="AI1266" s="19" t="str">
        <f>IF($B1266="","",IFERROR(INDEX(Config!$D$9:$D$29,MATCH($B1266,Config!$B$9:$B$29,0))&amp;"",""))</f>
        <v/>
      </c>
    </row>
    <row r="1267">
      <c r="X1267" s="20" t="str">
        <f>IF($B1267="","",IFERROR(IF(INDEX(Config!$D$9:$D$29,MATCH($B1267,Config!$B$9:$B$29,0))="Contrato",IF(INDEX(Config!$E$9:$E$29,MATCH($B1267,Config!$B$9:$B$29,0))="","",INDEX(Config!$E$9:$E$29,MATCH($B1267,Config!$B$9:$B$29,0))),""),""))</f>
        <v/>
      </c>
      <c r="AI1267" s="19" t="str">
        <f>IF($B1267="","",IFERROR(INDEX(Config!$D$9:$D$29,MATCH($B1267,Config!$B$9:$B$29,0))&amp;"",""))</f>
        <v/>
      </c>
    </row>
    <row r="1268">
      <c r="X1268" s="20" t="str">
        <f>IF($B1268="","",IFERROR(IF(INDEX(Config!$D$9:$D$29,MATCH($B1268,Config!$B$9:$B$29,0))="Contrato",IF(INDEX(Config!$E$9:$E$29,MATCH($B1268,Config!$B$9:$B$29,0))="","",INDEX(Config!$E$9:$E$29,MATCH($B1268,Config!$B$9:$B$29,0))),""),""))</f>
        <v/>
      </c>
      <c r="AI1268" s="19" t="str">
        <f>IF($B1268="","",IFERROR(INDEX(Config!$D$9:$D$29,MATCH($B1268,Config!$B$9:$B$29,0))&amp;"",""))</f>
        <v/>
      </c>
    </row>
    <row r="1269">
      <c r="X1269" s="20" t="str">
        <f>IF($B1269="","",IFERROR(IF(INDEX(Config!$D$9:$D$29,MATCH($B1269,Config!$B$9:$B$29,0))="Contrato",IF(INDEX(Config!$E$9:$E$29,MATCH($B1269,Config!$B$9:$B$29,0))="","",INDEX(Config!$E$9:$E$29,MATCH($B1269,Config!$B$9:$B$29,0))),""),""))</f>
        <v/>
      </c>
      <c r="AI1269" s="19" t="str">
        <f>IF($B1269="","",IFERROR(INDEX(Config!$D$9:$D$29,MATCH($B1269,Config!$B$9:$B$29,0))&amp;"",""))</f>
        <v/>
      </c>
    </row>
    <row r="1270">
      <c r="X1270" s="20" t="str">
        <f>IF($B1270="","",IFERROR(IF(INDEX(Config!$D$9:$D$29,MATCH($B1270,Config!$B$9:$B$29,0))="Contrato",IF(INDEX(Config!$E$9:$E$29,MATCH($B1270,Config!$B$9:$B$29,0))="","",INDEX(Config!$E$9:$E$29,MATCH($B1270,Config!$B$9:$B$29,0))),""),""))</f>
        <v/>
      </c>
      <c r="AI1270" s="19" t="str">
        <f>IF($B1270="","",IFERROR(INDEX(Config!$D$9:$D$29,MATCH($B1270,Config!$B$9:$B$29,0))&amp;"",""))</f>
        <v/>
      </c>
    </row>
    <row r="1271">
      <c r="X1271" s="20" t="str">
        <f>IF($B1271="","",IFERROR(IF(INDEX(Config!$D$9:$D$29,MATCH($B1271,Config!$B$9:$B$29,0))="Contrato",IF(INDEX(Config!$E$9:$E$29,MATCH($B1271,Config!$B$9:$B$29,0))="","",INDEX(Config!$E$9:$E$29,MATCH($B1271,Config!$B$9:$B$29,0))),""),""))</f>
        <v/>
      </c>
      <c r="AI1271" s="19" t="str">
        <f>IF($B1271="","",IFERROR(INDEX(Config!$D$9:$D$29,MATCH($B1271,Config!$B$9:$B$29,0))&amp;"",""))</f>
        <v/>
      </c>
    </row>
    <row r="1272">
      <c r="X1272" s="20" t="str">
        <f>IF($B1272="","",IFERROR(IF(INDEX(Config!$D$9:$D$29,MATCH($B1272,Config!$B$9:$B$29,0))="Contrato",IF(INDEX(Config!$E$9:$E$29,MATCH($B1272,Config!$B$9:$B$29,0))="","",INDEX(Config!$E$9:$E$29,MATCH($B1272,Config!$B$9:$B$29,0))),""),""))</f>
        <v/>
      </c>
      <c r="AI1272" s="19" t="str">
        <f>IF($B1272="","",IFERROR(INDEX(Config!$D$9:$D$29,MATCH($B1272,Config!$B$9:$B$29,0))&amp;"",""))</f>
        <v/>
      </c>
    </row>
    <row r="1273">
      <c r="X1273" s="20" t="str">
        <f>IF($B1273="","",IFERROR(IF(INDEX(Config!$D$9:$D$29,MATCH($B1273,Config!$B$9:$B$29,0))="Contrato",IF(INDEX(Config!$E$9:$E$29,MATCH($B1273,Config!$B$9:$B$29,0))="","",INDEX(Config!$E$9:$E$29,MATCH($B1273,Config!$B$9:$B$29,0))),""),""))</f>
        <v/>
      </c>
      <c r="AI1273" s="19" t="str">
        <f>IF($B1273="","",IFERROR(INDEX(Config!$D$9:$D$29,MATCH($B1273,Config!$B$9:$B$29,0))&amp;"",""))</f>
        <v/>
      </c>
    </row>
    <row r="1274">
      <c r="X1274" s="20" t="str">
        <f>IF($B1274="","",IFERROR(IF(INDEX(Config!$D$9:$D$29,MATCH($B1274,Config!$B$9:$B$29,0))="Contrato",IF(INDEX(Config!$E$9:$E$29,MATCH($B1274,Config!$B$9:$B$29,0))="","",INDEX(Config!$E$9:$E$29,MATCH($B1274,Config!$B$9:$B$29,0))),""),""))</f>
        <v/>
      </c>
      <c r="AI1274" s="19" t="str">
        <f>IF($B1274="","",IFERROR(INDEX(Config!$D$9:$D$29,MATCH($B1274,Config!$B$9:$B$29,0))&amp;"",""))</f>
        <v/>
      </c>
    </row>
    <row r="1275">
      <c r="X1275" s="20" t="str">
        <f>IF($B1275="","",IFERROR(IF(INDEX(Config!$D$9:$D$29,MATCH($B1275,Config!$B$9:$B$29,0))="Contrato",IF(INDEX(Config!$E$9:$E$29,MATCH($B1275,Config!$B$9:$B$29,0))="","",INDEX(Config!$E$9:$E$29,MATCH($B1275,Config!$B$9:$B$29,0))),""),""))</f>
        <v/>
      </c>
      <c r="AI1275" s="19" t="str">
        <f>IF($B1275="","",IFERROR(INDEX(Config!$D$9:$D$29,MATCH($B1275,Config!$B$9:$B$29,0))&amp;"",""))</f>
        <v/>
      </c>
    </row>
    <row r="1276">
      <c r="X1276" s="20" t="str">
        <f>IF($B1276="","",IFERROR(IF(INDEX(Config!$D$9:$D$29,MATCH($B1276,Config!$B$9:$B$29,0))="Contrato",IF(INDEX(Config!$E$9:$E$29,MATCH($B1276,Config!$B$9:$B$29,0))="","",INDEX(Config!$E$9:$E$29,MATCH($B1276,Config!$B$9:$B$29,0))),""),""))</f>
        <v/>
      </c>
      <c r="AI1276" s="19" t="str">
        <f>IF($B1276="","",IFERROR(INDEX(Config!$D$9:$D$29,MATCH($B1276,Config!$B$9:$B$29,0))&amp;"",""))</f>
        <v/>
      </c>
    </row>
    <row r="1277">
      <c r="X1277" s="20" t="str">
        <f>IF($B1277="","",IFERROR(IF(INDEX(Config!$D$9:$D$29,MATCH($B1277,Config!$B$9:$B$29,0))="Contrato",IF(INDEX(Config!$E$9:$E$29,MATCH($B1277,Config!$B$9:$B$29,0))="","",INDEX(Config!$E$9:$E$29,MATCH($B1277,Config!$B$9:$B$29,0))),""),""))</f>
        <v/>
      </c>
      <c r="AI1277" s="19" t="str">
        <f>IF($B1277="","",IFERROR(INDEX(Config!$D$9:$D$29,MATCH($B1277,Config!$B$9:$B$29,0))&amp;"",""))</f>
        <v/>
      </c>
    </row>
    <row r="1278">
      <c r="X1278" s="20" t="str">
        <f>IF($B1278="","",IFERROR(IF(INDEX(Config!$D$9:$D$29,MATCH($B1278,Config!$B$9:$B$29,0))="Contrato",IF(INDEX(Config!$E$9:$E$29,MATCH($B1278,Config!$B$9:$B$29,0))="","",INDEX(Config!$E$9:$E$29,MATCH($B1278,Config!$B$9:$B$29,0))),""),""))</f>
        <v/>
      </c>
      <c r="AI1278" s="19" t="str">
        <f>IF($B1278="","",IFERROR(INDEX(Config!$D$9:$D$29,MATCH($B1278,Config!$B$9:$B$29,0))&amp;"",""))</f>
        <v/>
      </c>
    </row>
    <row r="1279">
      <c r="X1279" s="20" t="str">
        <f>IF($B1279="","",IFERROR(IF(INDEX(Config!$D$9:$D$29,MATCH($B1279,Config!$B$9:$B$29,0))="Contrato",IF(INDEX(Config!$E$9:$E$29,MATCH($B1279,Config!$B$9:$B$29,0))="","",INDEX(Config!$E$9:$E$29,MATCH($B1279,Config!$B$9:$B$29,0))),""),""))</f>
        <v/>
      </c>
      <c r="AI1279" s="19" t="str">
        <f>IF($B1279="","",IFERROR(INDEX(Config!$D$9:$D$29,MATCH($B1279,Config!$B$9:$B$29,0))&amp;"",""))</f>
        <v/>
      </c>
    </row>
    <row r="1280">
      <c r="X1280" s="20" t="str">
        <f>IF($B1280="","",IFERROR(IF(INDEX(Config!$D$9:$D$29,MATCH($B1280,Config!$B$9:$B$29,0))="Contrato",IF(INDEX(Config!$E$9:$E$29,MATCH($B1280,Config!$B$9:$B$29,0))="","",INDEX(Config!$E$9:$E$29,MATCH($B1280,Config!$B$9:$B$29,0))),""),""))</f>
        <v/>
      </c>
      <c r="AI1280" s="19" t="str">
        <f>IF($B1280="","",IFERROR(INDEX(Config!$D$9:$D$29,MATCH($B1280,Config!$B$9:$B$29,0))&amp;"",""))</f>
        <v/>
      </c>
    </row>
    <row r="1281">
      <c r="X1281" s="20" t="str">
        <f>IF($B1281="","",IFERROR(IF(INDEX(Config!$D$9:$D$29,MATCH($B1281,Config!$B$9:$B$29,0))="Contrato",IF(INDEX(Config!$E$9:$E$29,MATCH($B1281,Config!$B$9:$B$29,0))="","",INDEX(Config!$E$9:$E$29,MATCH($B1281,Config!$B$9:$B$29,0))),""),""))</f>
        <v/>
      </c>
      <c r="AI1281" s="19" t="str">
        <f>IF($B1281="","",IFERROR(INDEX(Config!$D$9:$D$29,MATCH($B1281,Config!$B$9:$B$29,0))&amp;"",""))</f>
        <v/>
      </c>
    </row>
    <row r="1282">
      <c r="X1282" s="20" t="str">
        <f>IF($B1282="","",IFERROR(IF(INDEX(Config!$D$9:$D$29,MATCH($B1282,Config!$B$9:$B$29,0))="Contrato",IF(INDEX(Config!$E$9:$E$29,MATCH($B1282,Config!$B$9:$B$29,0))="","",INDEX(Config!$E$9:$E$29,MATCH($B1282,Config!$B$9:$B$29,0))),""),""))</f>
        <v/>
      </c>
      <c r="AI1282" s="19" t="str">
        <f>IF($B1282="","",IFERROR(INDEX(Config!$D$9:$D$29,MATCH($B1282,Config!$B$9:$B$29,0))&amp;"",""))</f>
        <v/>
      </c>
    </row>
    <row r="1283">
      <c r="X1283" s="20" t="str">
        <f>IF($B1283="","",IFERROR(IF(INDEX(Config!$D$9:$D$29,MATCH($B1283,Config!$B$9:$B$29,0))="Contrato",IF(INDEX(Config!$E$9:$E$29,MATCH($B1283,Config!$B$9:$B$29,0))="","",INDEX(Config!$E$9:$E$29,MATCH($B1283,Config!$B$9:$B$29,0))),""),""))</f>
        <v/>
      </c>
      <c r="AI1283" s="19" t="str">
        <f>IF($B1283="","",IFERROR(INDEX(Config!$D$9:$D$29,MATCH($B1283,Config!$B$9:$B$29,0))&amp;"",""))</f>
        <v/>
      </c>
    </row>
    <row r="1284">
      <c r="X1284" s="20" t="str">
        <f>IF($B1284="","",IFERROR(IF(INDEX(Config!$D$9:$D$29,MATCH($B1284,Config!$B$9:$B$29,0))="Contrato",IF(INDEX(Config!$E$9:$E$29,MATCH($B1284,Config!$B$9:$B$29,0))="","",INDEX(Config!$E$9:$E$29,MATCH($B1284,Config!$B$9:$B$29,0))),""),""))</f>
        <v/>
      </c>
      <c r="AI1284" s="19" t="str">
        <f>IF($B1284="","",IFERROR(INDEX(Config!$D$9:$D$29,MATCH($B1284,Config!$B$9:$B$29,0))&amp;"",""))</f>
        <v/>
      </c>
    </row>
    <row r="1285">
      <c r="X1285" s="20" t="str">
        <f>IF($B1285="","",IFERROR(IF(INDEX(Config!$D$9:$D$29,MATCH($B1285,Config!$B$9:$B$29,0))="Contrato",IF(INDEX(Config!$E$9:$E$29,MATCH($B1285,Config!$B$9:$B$29,0))="","",INDEX(Config!$E$9:$E$29,MATCH($B1285,Config!$B$9:$B$29,0))),""),""))</f>
        <v/>
      </c>
      <c r="AI1285" s="19" t="str">
        <f>IF($B1285="","",IFERROR(INDEX(Config!$D$9:$D$29,MATCH($B1285,Config!$B$9:$B$29,0))&amp;"",""))</f>
        <v/>
      </c>
    </row>
    <row r="1286">
      <c r="X1286" s="20" t="str">
        <f>IF($B1286="","",IFERROR(IF(INDEX(Config!$D$9:$D$29,MATCH($B1286,Config!$B$9:$B$29,0))="Contrato",IF(INDEX(Config!$E$9:$E$29,MATCH($B1286,Config!$B$9:$B$29,0))="","",INDEX(Config!$E$9:$E$29,MATCH($B1286,Config!$B$9:$B$29,0))),""),""))</f>
        <v/>
      </c>
      <c r="AI1286" s="19" t="str">
        <f>IF($B1286="","",IFERROR(INDEX(Config!$D$9:$D$29,MATCH($B1286,Config!$B$9:$B$29,0))&amp;"",""))</f>
        <v/>
      </c>
    </row>
    <row r="1287">
      <c r="X1287" s="20" t="str">
        <f>IF($B1287="","",IFERROR(IF(INDEX(Config!$D$9:$D$29,MATCH($B1287,Config!$B$9:$B$29,0))="Contrato",IF(INDEX(Config!$E$9:$E$29,MATCH($B1287,Config!$B$9:$B$29,0))="","",INDEX(Config!$E$9:$E$29,MATCH($B1287,Config!$B$9:$B$29,0))),""),""))</f>
        <v/>
      </c>
      <c r="AI1287" s="19" t="str">
        <f>IF($B1287="","",IFERROR(INDEX(Config!$D$9:$D$29,MATCH($B1287,Config!$B$9:$B$29,0))&amp;"",""))</f>
        <v/>
      </c>
    </row>
    <row r="1288">
      <c r="X1288" s="20" t="str">
        <f>IF($B1288="","",IFERROR(IF(INDEX(Config!$D$9:$D$29,MATCH($B1288,Config!$B$9:$B$29,0))="Contrato",IF(INDEX(Config!$E$9:$E$29,MATCH($B1288,Config!$B$9:$B$29,0))="","",INDEX(Config!$E$9:$E$29,MATCH($B1288,Config!$B$9:$B$29,0))),""),""))</f>
        <v/>
      </c>
      <c r="AI1288" s="19" t="str">
        <f>IF($B1288="","",IFERROR(INDEX(Config!$D$9:$D$29,MATCH($B1288,Config!$B$9:$B$29,0))&amp;"",""))</f>
        <v/>
      </c>
    </row>
    <row r="1289">
      <c r="X1289" s="20" t="str">
        <f>IF($B1289="","",IFERROR(IF(INDEX(Config!$D$9:$D$29,MATCH($B1289,Config!$B$9:$B$29,0))="Contrato",IF(INDEX(Config!$E$9:$E$29,MATCH($B1289,Config!$B$9:$B$29,0))="","",INDEX(Config!$E$9:$E$29,MATCH($B1289,Config!$B$9:$B$29,0))),""),""))</f>
        <v/>
      </c>
      <c r="AI1289" s="19" t="str">
        <f>IF($B1289="","",IFERROR(INDEX(Config!$D$9:$D$29,MATCH($B1289,Config!$B$9:$B$29,0))&amp;"",""))</f>
        <v/>
      </c>
    </row>
    <row r="1290">
      <c r="X1290" s="20" t="str">
        <f>IF($B1290="","",IFERROR(IF(INDEX(Config!$D$9:$D$29,MATCH($B1290,Config!$B$9:$B$29,0))="Contrato",IF(INDEX(Config!$E$9:$E$29,MATCH($B1290,Config!$B$9:$B$29,0))="","",INDEX(Config!$E$9:$E$29,MATCH($B1290,Config!$B$9:$B$29,0))),""),""))</f>
        <v/>
      </c>
      <c r="AI1290" s="19" t="str">
        <f>IF($B1290="","",IFERROR(INDEX(Config!$D$9:$D$29,MATCH($B1290,Config!$B$9:$B$29,0))&amp;"",""))</f>
        <v/>
      </c>
    </row>
    <row r="1291">
      <c r="X1291" s="20" t="str">
        <f>IF($B1291="","",IFERROR(IF(INDEX(Config!$D$9:$D$29,MATCH($B1291,Config!$B$9:$B$29,0))="Contrato",IF(INDEX(Config!$E$9:$E$29,MATCH($B1291,Config!$B$9:$B$29,0))="","",INDEX(Config!$E$9:$E$29,MATCH($B1291,Config!$B$9:$B$29,0))),""),""))</f>
        <v/>
      </c>
      <c r="AI1291" s="19" t="str">
        <f>IF($B1291="","",IFERROR(INDEX(Config!$D$9:$D$29,MATCH($B1291,Config!$B$9:$B$29,0))&amp;"",""))</f>
        <v/>
      </c>
    </row>
    <row r="1292">
      <c r="X1292" s="20" t="str">
        <f>IF($B1292="","",IFERROR(IF(INDEX(Config!$D$9:$D$29,MATCH($B1292,Config!$B$9:$B$29,0))="Contrato",IF(INDEX(Config!$E$9:$E$29,MATCH($B1292,Config!$B$9:$B$29,0))="","",INDEX(Config!$E$9:$E$29,MATCH($B1292,Config!$B$9:$B$29,0))),""),""))</f>
        <v/>
      </c>
      <c r="AI1292" s="19" t="str">
        <f>IF($B1292="","",IFERROR(INDEX(Config!$D$9:$D$29,MATCH($B1292,Config!$B$9:$B$29,0))&amp;"",""))</f>
        <v/>
      </c>
    </row>
    <row r="1293">
      <c r="X1293" s="20" t="str">
        <f>IF($B1293="","",IFERROR(IF(INDEX(Config!$D$9:$D$29,MATCH($B1293,Config!$B$9:$B$29,0))="Contrato",IF(INDEX(Config!$E$9:$E$29,MATCH($B1293,Config!$B$9:$B$29,0))="","",INDEX(Config!$E$9:$E$29,MATCH($B1293,Config!$B$9:$B$29,0))),""),""))</f>
        <v/>
      </c>
      <c r="AI1293" s="19" t="str">
        <f>IF($B1293="","",IFERROR(INDEX(Config!$D$9:$D$29,MATCH($B1293,Config!$B$9:$B$29,0))&amp;"",""))</f>
        <v/>
      </c>
    </row>
    <row r="1294">
      <c r="X1294" s="20" t="str">
        <f>IF($B1294="","",IFERROR(IF(INDEX(Config!$D$9:$D$29,MATCH($B1294,Config!$B$9:$B$29,0))="Contrato",IF(INDEX(Config!$E$9:$E$29,MATCH($B1294,Config!$B$9:$B$29,0))="","",INDEX(Config!$E$9:$E$29,MATCH($B1294,Config!$B$9:$B$29,0))),""),""))</f>
        <v/>
      </c>
      <c r="AI1294" s="19" t="str">
        <f>IF($B1294="","",IFERROR(INDEX(Config!$D$9:$D$29,MATCH($B1294,Config!$B$9:$B$29,0))&amp;"",""))</f>
        <v/>
      </c>
    </row>
    <row r="1295">
      <c r="X1295" s="20" t="str">
        <f>IF($B1295="","",IFERROR(IF(INDEX(Config!$D$9:$D$29,MATCH($B1295,Config!$B$9:$B$29,0))="Contrato",IF(INDEX(Config!$E$9:$E$29,MATCH($B1295,Config!$B$9:$B$29,0))="","",INDEX(Config!$E$9:$E$29,MATCH($B1295,Config!$B$9:$B$29,0))),""),""))</f>
        <v/>
      </c>
      <c r="AI1295" s="19" t="str">
        <f>IF($B1295="","",IFERROR(INDEX(Config!$D$9:$D$29,MATCH($B1295,Config!$B$9:$B$29,0))&amp;"",""))</f>
        <v/>
      </c>
    </row>
    <row r="1296">
      <c r="X1296" s="20" t="str">
        <f>IF($B1296="","",IFERROR(IF(INDEX(Config!$D$9:$D$29,MATCH($B1296,Config!$B$9:$B$29,0))="Contrato",IF(INDEX(Config!$E$9:$E$29,MATCH($B1296,Config!$B$9:$B$29,0))="","",INDEX(Config!$E$9:$E$29,MATCH($B1296,Config!$B$9:$B$29,0))),""),""))</f>
        <v/>
      </c>
      <c r="AI1296" s="19" t="str">
        <f>IF($B1296="","",IFERROR(INDEX(Config!$D$9:$D$29,MATCH($B1296,Config!$B$9:$B$29,0))&amp;"",""))</f>
        <v/>
      </c>
    </row>
    <row r="1297">
      <c r="X1297" s="20" t="str">
        <f>IF($B1297="","",IFERROR(IF(INDEX(Config!$D$9:$D$29,MATCH($B1297,Config!$B$9:$B$29,0))="Contrato",IF(INDEX(Config!$E$9:$E$29,MATCH($B1297,Config!$B$9:$B$29,0))="","",INDEX(Config!$E$9:$E$29,MATCH($B1297,Config!$B$9:$B$29,0))),""),""))</f>
        <v/>
      </c>
      <c r="AI1297" s="19" t="str">
        <f>IF($B1297="","",IFERROR(INDEX(Config!$D$9:$D$29,MATCH($B1297,Config!$B$9:$B$29,0))&amp;"",""))</f>
        <v/>
      </c>
    </row>
    <row r="1298">
      <c r="X1298" s="20" t="str">
        <f>IF($B1298="","",IFERROR(IF(INDEX(Config!$D$9:$D$29,MATCH($B1298,Config!$B$9:$B$29,0))="Contrato",IF(INDEX(Config!$E$9:$E$29,MATCH($B1298,Config!$B$9:$B$29,0))="","",INDEX(Config!$E$9:$E$29,MATCH($B1298,Config!$B$9:$B$29,0))),""),""))</f>
        <v/>
      </c>
      <c r="AI1298" s="19" t="str">
        <f>IF($B1298="","",IFERROR(INDEX(Config!$D$9:$D$29,MATCH($B1298,Config!$B$9:$B$29,0))&amp;"",""))</f>
        <v/>
      </c>
    </row>
    <row r="1299">
      <c r="X1299" s="20" t="str">
        <f>IF($B1299="","",IFERROR(IF(INDEX(Config!$D$9:$D$29,MATCH($B1299,Config!$B$9:$B$29,0))="Contrato",IF(INDEX(Config!$E$9:$E$29,MATCH($B1299,Config!$B$9:$B$29,0))="","",INDEX(Config!$E$9:$E$29,MATCH($B1299,Config!$B$9:$B$29,0))),""),""))</f>
        <v/>
      </c>
      <c r="AI1299" s="19" t="str">
        <f>IF($B1299="","",IFERROR(INDEX(Config!$D$9:$D$29,MATCH($B1299,Config!$B$9:$B$29,0))&amp;"",""))</f>
        <v/>
      </c>
    </row>
    <row r="1300">
      <c r="X1300" s="20" t="str">
        <f>IF($B1300="","",IFERROR(IF(INDEX(Config!$D$9:$D$29,MATCH($B1300,Config!$B$9:$B$29,0))="Contrato",IF(INDEX(Config!$E$9:$E$29,MATCH($B1300,Config!$B$9:$B$29,0))="","",INDEX(Config!$E$9:$E$29,MATCH($B1300,Config!$B$9:$B$29,0))),""),""))</f>
        <v/>
      </c>
      <c r="AI1300" s="19" t="str">
        <f>IF($B1300="","",IFERROR(INDEX(Config!$D$9:$D$29,MATCH($B1300,Config!$B$9:$B$29,0))&amp;"",""))</f>
        <v/>
      </c>
    </row>
    <row r="1301">
      <c r="X1301" s="20" t="str">
        <f>IF($B1301="","",IFERROR(IF(INDEX(Config!$D$9:$D$29,MATCH($B1301,Config!$B$9:$B$29,0))="Contrato",IF(INDEX(Config!$E$9:$E$29,MATCH($B1301,Config!$B$9:$B$29,0))="","",INDEX(Config!$E$9:$E$29,MATCH($B1301,Config!$B$9:$B$29,0))),""),""))</f>
        <v/>
      </c>
      <c r="AI1301" s="19" t="str">
        <f>IF($B1301="","",IFERROR(INDEX(Config!$D$9:$D$29,MATCH($B1301,Config!$B$9:$B$29,0))&amp;"",""))</f>
        <v/>
      </c>
    </row>
    <row r="1302">
      <c r="X1302" s="20" t="str">
        <f>IF($B1302="","",IFERROR(IF(INDEX(Config!$D$9:$D$29,MATCH($B1302,Config!$B$9:$B$29,0))="Contrato",IF(INDEX(Config!$E$9:$E$29,MATCH($B1302,Config!$B$9:$B$29,0))="","",INDEX(Config!$E$9:$E$29,MATCH($B1302,Config!$B$9:$B$29,0))),""),""))</f>
        <v/>
      </c>
      <c r="AI1302" s="19" t="str">
        <f>IF($B1302="","",IFERROR(INDEX(Config!$D$9:$D$29,MATCH($B1302,Config!$B$9:$B$29,0))&amp;"",""))</f>
        <v/>
      </c>
    </row>
    <row r="1303">
      <c r="X1303" s="20" t="str">
        <f>IF($B1303="","",IFERROR(IF(INDEX(Config!$D$9:$D$29,MATCH($B1303,Config!$B$9:$B$29,0))="Contrato",IF(INDEX(Config!$E$9:$E$29,MATCH($B1303,Config!$B$9:$B$29,0))="","",INDEX(Config!$E$9:$E$29,MATCH($B1303,Config!$B$9:$B$29,0))),""),""))</f>
        <v/>
      </c>
      <c r="AI1303" s="19" t="str">
        <f>IF($B1303="","",IFERROR(INDEX(Config!$D$9:$D$29,MATCH($B1303,Config!$B$9:$B$29,0))&amp;"",""))</f>
        <v/>
      </c>
    </row>
    <row r="1304">
      <c r="X1304" s="20" t="str">
        <f>IF($B1304="","",IFERROR(IF(INDEX(Config!$D$9:$D$29,MATCH($B1304,Config!$B$9:$B$29,0))="Contrato",IF(INDEX(Config!$E$9:$E$29,MATCH($B1304,Config!$B$9:$B$29,0))="","",INDEX(Config!$E$9:$E$29,MATCH($B1304,Config!$B$9:$B$29,0))),""),""))</f>
        <v/>
      </c>
      <c r="AI1304" s="19" t="str">
        <f>IF($B1304="","",IFERROR(INDEX(Config!$D$9:$D$29,MATCH($B1304,Config!$B$9:$B$29,0))&amp;"",""))</f>
        <v/>
      </c>
    </row>
    <row r="1305">
      <c r="X1305" s="20" t="str">
        <f>IF($B1305="","",IFERROR(IF(INDEX(Config!$D$9:$D$29,MATCH($B1305,Config!$B$9:$B$29,0))="Contrato",IF(INDEX(Config!$E$9:$E$29,MATCH($B1305,Config!$B$9:$B$29,0))="","",INDEX(Config!$E$9:$E$29,MATCH($B1305,Config!$B$9:$B$29,0))),""),""))</f>
        <v/>
      </c>
      <c r="AI1305" s="19" t="str">
        <f>IF($B1305="","",IFERROR(INDEX(Config!$D$9:$D$29,MATCH($B1305,Config!$B$9:$B$29,0))&amp;"",""))</f>
        <v/>
      </c>
    </row>
    <row r="1306">
      <c r="X1306" s="20" t="str">
        <f>IF($B1306="","",IFERROR(IF(INDEX(Config!$D$9:$D$29,MATCH($B1306,Config!$B$9:$B$29,0))="Contrato",IF(INDEX(Config!$E$9:$E$29,MATCH($B1306,Config!$B$9:$B$29,0))="","",INDEX(Config!$E$9:$E$29,MATCH($B1306,Config!$B$9:$B$29,0))),""),""))</f>
        <v/>
      </c>
      <c r="AI1306" s="19" t="str">
        <f>IF($B1306="","",IFERROR(INDEX(Config!$D$9:$D$29,MATCH($B1306,Config!$B$9:$B$29,0))&amp;"",""))</f>
        <v/>
      </c>
    </row>
    <row r="1307">
      <c r="X1307" s="20" t="str">
        <f>IF($B1307="","",IFERROR(IF(INDEX(Config!$D$9:$D$29,MATCH($B1307,Config!$B$9:$B$29,0))="Contrato",IF(INDEX(Config!$E$9:$E$29,MATCH($B1307,Config!$B$9:$B$29,0))="","",INDEX(Config!$E$9:$E$29,MATCH($B1307,Config!$B$9:$B$29,0))),""),""))</f>
        <v/>
      </c>
      <c r="AI1307" s="19" t="str">
        <f>IF($B1307="","",IFERROR(INDEX(Config!$D$9:$D$29,MATCH($B1307,Config!$B$9:$B$29,0))&amp;"",""))</f>
        <v/>
      </c>
    </row>
    <row r="1308">
      <c r="X1308" s="20" t="str">
        <f>IF($B1308="","",IFERROR(IF(INDEX(Config!$D$9:$D$29,MATCH($B1308,Config!$B$9:$B$29,0))="Contrato",IF(INDEX(Config!$E$9:$E$29,MATCH($B1308,Config!$B$9:$B$29,0))="","",INDEX(Config!$E$9:$E$29,MATCH($B1308,Config!$B$9:$B$29,0))),""),""))</f>
        <v/>
      </c>
      <c r="AI1308" s="19" t="str">
        <f>IF($B1308="","",IFERROR(INDEX(Config!$D$9:$D$29,MATCH($B1308,Config!$B$9:$B$29,0))&amp;"",""))</f>
        <v/>
      </c>
    </row>
    <row r="1309">
      <c r="X1309" s="20" t="str">
        <f>IF($B1309="","",IFERROR(IF(INDEX(Config!$D$9:$D$29,MATCH($B1309,Config!$B$9:$B$29,0))="Contrato",IF(INDEX(Config!$E$9:$E$29,MATCH($B1309,Config!$B$9:$B$29,0))="","",INDEX(Config!$E$9:$E$29,MATCH($B1309,Config!$B$9:$B$29,0))),""),""))</f>
        <v/>
      </c>
      <c r="AI1309" s="19" t="str">
        <f>IF($B1309="","",IFERROR(INDEX(Config!$D$9:$D$29,MATCH($B1309,Config!$B$9:$B$29,0))&amp;"",""))</f>
        <v/>
      </c>
    </row>
    <row r="1310">
      <c r="X1310" s="20" t="str">
        <f>IF($B1310="","",IFERROR(IF(INDEX(Config!$D$9:$D$29,MATCH($B1310,Config!$B$9:$B$29,0))="Contrato",IF(INDEX(Config!$E$9:$E$29,MATCH($B1310,Config!$B$9:$B$29,0))="","",INDEX(Config!$E$9:$E$29,MATCH($B1310,Config!$B$9:$B$29,0))),""),""))</f>
        <v/>
      </c>
      <c r="AI1310" s="19" t="str">
        <f>IF($B1310="","",IFERROR(INDEX(Config!$D$9:$D$29,MATCH($B1310,Config!$B$9:$B$29,0))&amp;"",""))</f>
        <v/>
      </c>
    </row>
    <row r="1311">
      <c r="X1311" s="20" t="str">
        <f>IF($B1311="","",IFERROR(IF(INDEX(Config!$D$9:$D$29,MATCH($B1311,Config!$B$9:$B$29,0))="Contrato",IF(INDEX(Config!$E$9:$E$29,MATCH($B1311,Config!$B$9:$B$29,0))="","",INDEX(Config!$E$9:$E$29,MATCH($B1311,Config!$B$9:$B$29,0))),""),""))</f>
        <v/>
      </c>
      <c r="AI1311" s="19" t="str">
        <f>IF($B1311="","",IFERROR(INDEX(Config!$D$9:$D$29,MATCH($B1311,Config!$B$9:$B$29,0))&amp;"",""))</f>
        <v/>
      </c>
    </row>
    <row r="1312">
      <c r="X1312" s="20" t="str">
        <f>IF($B1312="","",IFERROR(IF(INDEX(Config!$D$9:$D$29,MATCH($B1312,Config!$B$9:$B$29,0))="Contrato",IF(INDEX(Config!$E$9:$E$29,MATCH($B1312,Config!$B$9:$B$29,0))="","",INDEX(Config!$E$9:$E$29,MATCH($B1312,Config!$B$9:$B$29,0))),""),""))</f>
        <v/>
      </c>
      <c r="AI1312" s="19" t="str">
        <f>IF($B1312="","",IFERROR(INDEX(Config!$D$9:$D$29,MATCH($B1312,Config!$B$9:$B$29,0))&amp;"",""))</f>
        <v/>
      </c>
    </row>
    <row r="1313">
      <c r="X1313" s="20" t="str">
        <f>IF($B1313="","",IFERROR(IF(INDEX(Config!$D$9:$D$29,MATCH($B1313,Config!$B$9:$B$29,0))="Contrato",IF(INDEX(Config!$E$9:$E$29,MATCH($B1313,Config!$B$9:$B$29,0))="","",INDEX(Config!$E$9:$E$29,MATCH($B1313,Config!$B$9:$B$29,0))),""),""))</f>
        <v/>
      </c>
      <c r="AI1313" s="19" t="str">
        <f>IF($B1313="","",IFERROR(INDEX(Config!$D$9:$D$29,MATCH($B1313,Config!$B$9:$B$29,0))&amp;"",""))</f>
        <v/>
      </c>
    </row>
    <row r="1314">
      <c r="X1314" s="20" t="str">
        <f>IF($B1314="","",IFERROR(IF(INDEX(Config!$D$9:$D$29,MATCH($B1314,Config!$B$9:$B$29,0))="Contrato",IF(INDEX(Config!$E$9:$E$29,MATCH($B1314,Config!$B$9:$B$29,0))="","",INDEX(Config!$E$9:$E$29,MATCH($B1314,Config!$B$9:$B$29,0))),""),""))</f>
        <v/>
      </c>
      <c r="AI1314" s="19" t="str">
        <f>IF($B1314="","",IFERROR(INDEX(Config!$D$9:$D$29,MATCH($B1314,Config!$B$9:$B$29,0))&amp;"",""))</f>
        <v/>
      </c>
    </row>
    <row r="1315">
      <c r="X1315" s="20" t="str">
        <f>IF($B1315="","",IFERROR(IF(INDEX(Config!$D$9:$D$29,MATCH($B1315,Config!$B$9:$B$29,0))="Contrato",IF(INDEX(Config!$E$9:$E$29,MATCH($B1315,Config!$B$9:$B$29,0))="","",INDEX(Config!$E$9:$E$29,MATCH($B1315,Config!$B$9:$B$29,0))),""),""))</f>
        <v/>
      </c>
      <c r="AI1315" s="19" t="str">
        <f>IF($B1315="","",IFERROR(INDEX(Config!$D$9:$D$29,MATCH($B1315,Config!$B$9:$B$29,0))&amp;"",""))</f>
        <v/>
      </c>
    </row>
    <row r="1316">
      <c r="X1316" s="20" t="str">
        <f>IF($B1316="","",IFERROR(IF(INDEX(Config!$D$9:$D$29,MATCH($B1316,Config!$B$9:$B$29,0))="Contrato",IF(INDEX(Config!$E$9:$E$29,MATCH($B1316,Config!$B$9:$B$29,0))="","",INDEX(Config!$E$9:$E$29,MATCH($B1316,Config!$B$9:$B$29,0))),""),""))</f>
        <v/>
      </c>
      <c r="AI1316" s="19" t="str">
        <f>IF($B1316="","",IFERROR(INDEX(Config!$D$9:$D$29,MATCH($B1316,Config!$B$9:$B$29,0))&amp;"",""))</f>
        <v/>
      </c>
    </row>
    <row r="1317">
      <c r="X1317" s="20" t="str">
        <f>IF($B1317="","",IFERROR(IF(INDEX(Config!$D$9:$D$29,MATCH($B1317,Config!$B$9:$B$29,0))="Contrato",IF(INDEX(Config!$E$9:$E$29,MATCH($B1317,Config!$B$9:$B$29,0))="","",INDEX(Config!$E$9:$E$29,MATCH($B1317,Config!$B$9:$B$29,0))),""),""))</f>
        <v/>
      </c>
      <c r="AI1317" s="19" t="str">
        <f>IF($B1317="","",IFERROR(INDEX(Config!$D$9:$D$29,MATCH($B1317,Config!$B$9:$B$29,0))&amp;"",""))</f>
        <v/>
      </c>
    </row>
    <row r="1318">
      <c r="X1318" s="20" t="str">
        <f>IF($B1318="","",IFERROR(IF(INDEX(Config!$D$9:$D$29,MATCH($B1318,Config!$B$9:$B$29,0))="Contrato",IF(INDEX(Config!$E$9:$E$29,MATCH($B1318,Config!$B$9:$B$29,0))="","",INDEX(Config!$E$9:$E$29,MATCH($B1318,Config!$B$9:$B$29,0))),""),""))</f>
        <v/>
      </c>
      <c r="AI1318" s="19" t="str">
        <f>IF($B1318="","",IFERROR(INDEX(Config!$D$9:$D$29,MATCH($B1318,Config!$B$9:$B$29,0))&amp;"",""))</f>
        <v/>
      </c>
    </row>
    <row r="1319">
      <c r="X1319" s="20" t="str">
        <f>IF($B1319="","",IFERROR(IF(INDEX(Config!$D$9:$D$29,MATCH($B1319,Config!$B$9:$B$29,0))="Contrato",IF(INDEX(Config!$E$9:$E$29,MATCH($B1319,Config!$B$9:$B$29,0))="","",INDEX(Config!$E$9:$E$29,MATCH($B1319,Config!$B$9:$B$29,0))),""),""))</f>
        <v/>
      </c>
      <c r="AI1319" s="19" t="str">
        <f>IF($B1319="","",IFERROR(INDEX(Config!$D$9:$D$29,MATCH($B1319,Config!$B$9:$B$29,0))&amp;"",""))</f>
        <v/>
      </c>
    </row>
    <row r="1320">
      <c r="X1320" s="20" t="str">
        <f>IF($B1320="","",IFERROR(IF(INDEX(Config!$D$9:$D$29,MATCH($B1320,Config!$B$9:$B$29,0))="Contrato",IF(INDEX(Config!$E$9:$E$29,MATCH($B1320,Config!$B$9:$B$29,0))="","",INDEX(Config!$E$9:$E$29,MATCH($B1320,Config!$B$9:$B$29,0))),""),""))</f>
        <v/>
      </c>
      <c r="AI1320" s="19" t="str">
        <f>IF($B1320="","",IFERROR(INDEX(Config!$D$9:$D$29,MATCH($B1320,Config!$B$9:$B$29,0))&amp;"",""))</f>
        <v/>
      </c>
    </row>
    <row r="1321">
      <c r="X1321" s="20" t="str">
        <f>IF($B1321="","",IFERROR(IF(INDEX(Config!$D$9:$D$29,MATCH($B1321,Config!$B$9:$B$29,0))="Contrato",IF(INDEX(Config!$E$9:$E$29,MATCH($B1321,Config!$B$9:$B$29,0))="","",INDEX(Config!$E$9:$E$29,MATCH($B1321,Config!$B$9:$B$29,0))),""),""))</f>
        <v/>
      </c>
      <c r="AI1321" s="19" t="str">
        <f>IF($B1321="","",IFERROR(INDEX(Config!$D$9:$D$29,MATCH($B1321,Config!$B$9:$B$29,0))&amp;"",""))</f>
        <v/>
      </c>
    </row>
    <row r="1322">
      <c r="X1322" s="20" t="str">
        <f>IF($B1322="","",IFERROR(IF(INDEX(Config!$D$9:$D$29,MATCH($B1322,Config!$B$9:$B$29,0))="Contrato",IF(INDEX(Config!$E$9:$E$29,MATCH($B1322,Config!$B$9:$B$29,0))="","",INDEX(Config!$E$9:$E$29,MATCH($B1322,Config!$B$9:$B$29,0))),""),""))</f>
        <v/>
      </c>
      <c r="AI1322" s="19" t="str">
        <f>IF($B1322="","",IFERROR(INDEX(Config!$D$9:$D$29,MATCH($B1322,Config!$B$9:$B$29,0))&amp;"",""))</f>
        <v/>
      </c>
    </row>
    <row r="1323">
      <c r="X1323" s="20" t="str">
        <f>IF($B1323="","",IFERROR(IF(INDEX(Config!$D$9:$D$29,MATCH($B1323,Config!$B$9:$B$29,0))="Contrato",IF(INDEX(Config!$E$9:$E$29,MATCH($B1323,Config!$B$9:$B$29,0))="","",INDEX(Config!$E$9:$E$29,MATCH($B1323,Config!$B$9:$B$29,0))),""),""))</f>
        <v/>
      </c>
      <c r="AI1323" s="19" t="str">
        <f>IF($B1323="","",IFERROR(INDEX(Config!$D$9:$D$29,MATCH($B1323,Config!$B$9:$B$29,0))&amp;"",""))</f>
        <v/>
      </c>
    </row>
    <row r="1324">
      <c r="X1324" s="20" t="str">
        <f>IF($B1324="","",IFERROR(IF(INDEX(Config!$D$9:$D$29,MATCH($B1324,Config!$B$9:$B$29,0))="Contrato",IF(INDEX(Config!$E$9:$E$29,MATCH($B1324,Config!$B$9:$B$29,0))="","",INDEX(Config!$E$9:$E$29,MATCH($B1324,Config!$B$9:$B$29,0))),""),""))</f>
        <v/>
      </c>
      <c r="AI1324" s="19" t="str">
        <f>IF($B1324="","",IFERROR(INDEX(Config!$D$9:$D$29,MATCH($B1324,Config!$B$9:$B$29,0))&amp;"",""))</f>
        <v/>
      </c>
    </row>
    <row r="1325">
      <c r="X1325" s="20" t="str">
        <f>IF($B1325="","",IFERROR(IF(INDEX(Config!$D$9:$D$29,MATCH($B1325,Config!$B$9:$B$29,0))="Contrato",IF(INDEX(Config!$E$9:$E$29,MATCH($B1325,Config!$B$9:$B$29,0))="","",INDEX(Config!$E$9:$E$29,MATCH($B1325,Config!$B$9:$B$29,0))),""),""))</f>
        <v/>
      </c>
      <c r="AI1325" s="19" t="str">
        <f>IF($B1325="","",IFERROR(INDEX(Config!$D$9:$D$29,MATCH($B1325,Config!$B$9:$B$29,0))&amp;"",""))</f>
        <v/>
      </c>
    </row>
    <row r="1326">
      <c r="X1326" s="20" t="str">
        <f>IF($B1326="","",IFERROR(IF(INDEX(Config!$D$9:$D$29,MATCH($B1326,Config!$B$9:$B$29,0))="Contrato",IF(INDEX(Config!$E$9:$E$29,MATCH($B1326,Config!$B$9:$B$29,0))="","",INDEX(Config!$E$9:$E$29,MATCH($B1326,Config!$B$9:$B$29,0))),""),""))</f>
        <v/>
      </c>
      <c r="AI1326" s="19" t="str">
        <f>IF($B1326="","",IFERROR(INDEX(Config!$D$9:$D$29,MATCH($B1326,Config!$B$9:$B$29,0))&amp;"",""))</f>
        <v/>
      </c>
    </row>
    <row r="1327">
      <c r="X1327" s="20" t="str">
        <f>IF($B1327="","",IFERROR(IF(INDEX(Config!$D$9:$D$29,MATCH($B1327,Config!$B$9:$B$29,0))="Contrato",IF(INDEX(Config!$E$9:$E$29,MATCH($B1327,Config!$B$9:$B$29,0))="","",INDEX(Config!$E$9:$E$29,MATCH($B1327,Config!$B$9:$B$29,0))),""),""))</f>
        <v/>
      </c>
      <c r="AI1327" s="19" t="str">
        <f>IF($B1327="","",IFERROR(INDEX(Config!$D$9:$D$29,MATCH($B1327,Config!$B$9:$B$29,0))&amp;"",""))</f>
        <v/>
      </c>
    </row>
    <row r="1328">
      <c r="X1328" s="20" t="str">
        <f>IF($B1328="","",IFERROR(IF(INDEX(Config!$D$9:$D$29,MATCH($B1328,Config!$B$9:$B$29,0))="Contrato",IF(INDEX(Config!$E$9:$E$29,MATCH($B1328,Config!$B$9:$B$29,0))="","",INDEX(Config!$E$9:$E$29,MATCH($B1328,Config!$B$9:$B$29,0))),""),""))</f>
        <v/>
      </c>
      <c r="AI1328" s="19" t="str">
        <f>IF($B1328="","",IFERROR(INDEX(Config!$D$9:$D$29,MATCH($B1328,Config!$B$9:$B$29,0))&amp;"",""))</f>
        <v/>
      </c>
    </row>
    <row r="1329">
      <c r="X1329" s="20" t="str">
        <f>IF($B1329="","",IFERROR(IF(INDEX(Config!$D$9:$D$29,MATCH($B1329,Config!$B$9:$B$29,0))="Contrato",IF(INDEX(Config!$E$9:$E$29,MATCH($B1329,Config!$B$9:$B$29,0))="","",INDEX(Config!$E$9:$E$29,MATCH($B1329,Config!$B$9:$B$29,0))),""),""))</f>
        <v/>
      </c>
      <c r="AI1329" s="19" t="str">
        <f>IF($B1329="","",IFERROR(INDEX(Config!$D$9:$D$29,MATCH($B1329,Config!$B$9:$B$29,0))&amp;"",""))</f>
        <v/>
      </c>
    </row>
    <row r="1330">
      <c r="X1330" s="20" t="str">
        <f>IF($B1330="","",IFERROR(IF(INDEX(Config!$D$9:$D$29,MATCH($B1330,Config!$B$9:$B$29,0))="Contrato",IF(INDEX(Config!$E$9:$E$29,MATCH($B1330,Config!$B$9:$B$29,0))="","",INDEX(Config!$E$9:$E$29,MATCH($B1330,Config!$B$9:$B$29,0))),""),""))</f>
        <v/>
      </c>
      <c r="AI1330" s="19" t="str">
        <f>IF($B1330="","",IFERROR(INDEX(Config!$D$9:$D$29,MATCH($B1330,Config!$B$9:$B$29,0))&amp;"",""))</f>
        <v/>
      </c>
    </row>
    <row r="1331">
      <c r="X1331" s="20" t="str">
        <f>IF($B1331="","",IFERROR(IF(INDEX(Config!$D$9:$D$29,MATCH($B1331,Config!$B$9:$B$29,0))="Contrato",IF(INDEX(Config!$E$9:$E$29,MATCH($B1331,Config!$B$9:$B$29,0))="","",INDEX(Config!$E$9:$E$29,MATCH($B1331,Config!$B$9:$B$29,0))),""),""))</f>
        <v/>
      </c>
      <c r="AI1331" s="19" t="str">
        <f>IF($B1331="","",IFERROR(INDEX(Config!$D$9:$D$29,MATCH($B1331,Config!$B$9:$B$29,0))&amp;"",""))</f>
        <v/>
      </c>
    </row>
    <row r="1332">
      <c r="X1332" s="20" t="str">
        <f>IF($B1332="","",IFERROR(IF(INDEX(Config!$D$9:$D$29,MATCH($B1332,Config!$B$9:$B$29,0))="Contrato",IF(INDEX(Config!$E$9:$E$29,MATCH($B1332,Config!$B$9:$B$29,0))="","",INDEX(Config!$E$9:$E$29,MATCH($B1332,Config!$B$9:$B$29,0))),""),""))</f>
        <v/>
      </c>
      <c r="AI1332" s="19" t="str">
        <f>IF($B1332="","",IFERROR(INDEX(Config!$D$9:$D$29,MATCH($B1332,Config!$B$9:$B$29,0))&amp;"",""))</f>
        <v/>
      </c>
    </row>
    <row r="1333">
      <c r="X1333" s="20" t="str">
        <f>IF($B1333="","",IFERROR(IF(INDEX(Config!$D$9:$D$29,MATCH($B1333,Config!$B$9:$B$29,0))="Contrato",IF(INDEX(Config!$E$9:$E$29,MATCH($B1333,Config!$B$9:$B$29,0))="","",INDEX(Config!$E$9:$E$29,MATCH($B1333,Config!$B$9:$B$29,0))),""),""))</f>
        <v/>
      </c>
      <c r="AI1333" s="19" t="str">
        <f>IF($B1333="","",IFERROR(INDEX(Config!$D$9:$D$29,MATCH($B1333,Config!$B$9:$B$29,0))&amp;"",""))</f>
        <v/>
      </c>
    </row>
    <row r="1334">
      <c r="X1334" s="20" t="str">
        <f>IF($B1334="","",IFERROR(IF(INDEX(Config!$D$9:$D$29,MATCH($B1334,Config!$B$9:$B$29,0))="Contrato",IF(INDEX(Config!$E$9:$E$29,MATCH($B1334,Config!$B$9:$B$29,0))="","",INDEX(Config!$E$9:$E$29,MATCH($B1334,Config!$B$9:$B$29,0))),""),""))</f>
        <v/>
      </c>
      <c r="AI1334" s="19" t="str">
        <f>IF($B1334="","",IFERROR(INDEX(Config!$D$9:$D$29,MATCH($B1334,Config!$B$9:$B$29,0))&amp;"",""))</f>
        <v/>
      </c>
    </row>
    <row r="1335">
      <c r="X1335" s="20" t="str">
        <f>IF($B1335="","",IFERROR(IF(INDEX(Config!$D$9:$D$29,MATCH($B1335,Config!$B$9:$B$29,0))="Contrato",IF(INDEX(Config!$E$9:$E$29,MATCH($B1335,Config!$B$9:$B$29,0))="","",INDEX(Config!$E$9:$E$29,MATCH($B1335,Config!$B$9:$B$29,0))),""),""))</f>
        <v/>
      </c>
      <c r="AI1335" s="19" t="str">
        <f>IF($B1335="","",IFERROR(INDEX(Config!$D$9:$D$29,MATCH($B1335,Config!$B$9:$B$29,0))&amp;"",""))</f>
        <v/>
      </c>
    </row>
    <row r="1336">
      <c r="X1336" s="20" t="str">
        <f>IF($B1336="","",IFERROR(IF(INDEX(Config!$D$9:$D$29,MATCH($B1336,Config!$B$9:$B$29,0))="Contrato",IF(INDEX(Config!$E$9:$E$29,MATCH($B1336,Config!$B$9:$B$29,0))="","",INDEX(Config!$E$9:$E$29,MATCH($B1336,Config!$B$9:$B$29,0))),""),""))</f>
        <v/>
      </c>
      <c r="AI1336" s="19" t="str">
        <f>IF($B1336="","",IFERROR(INDEX(Config!$D$9:$D$29,MATCH($B1336,Config!$B$9:$B$29,0))&amp;"",""))</f>
        <v/>
      </c>
    </row>
    <row r="1337">
      <c r="X1337" s="20" t="str">
        <f>IF($B1337="","",IFERROR(IF(INDEX(Config!$D$9:$D$29,MATCH($B1337,Config!$B$9:$B$29,0))="Contrato",IF(INDEX(Config!$E$9:$E$29,MATCH($B1337,Config!$B$9:$B$29,0))="","",INDEX(Config!$E$9:$E$29,MATCH($B1337,Config!$B$9:$B$29,0))),""),""))</f>
        <v/>
      </c>
      <c r="AI1337" s="19" t="str">
        <f>IF($B1337="","",IFERROR(INDEX(Config!$D$9:$D$29,MATCH($B1337,Config!$B$9:$B$29,0))&amp;"",""))</f>
        <v/>
      </c>
    </row>
    <row r="1338">
      <c r="X1338" s="20" t="str">
        <f>IF($B1338="","",IFERROR(IF(INDEX(Config!$D$9:$D$29,MATCH($B1338,Config!$B$9:$B$29,0))="Contrato",IF(INDEX(Config!$E$9:$E$29,MATCH($B1338,Config!$B$9:$B$29,0))="","",INDEX(Config!$E$9:$E$29,MATCH($B1338,Config!$B$9:$B$29,0))),""),""))</f>
        <v/>
      </c>
      <c r="AI1338" s="19" t="str">
        <f>IF($B1338="","",IFERROR(INDEX(Config!$D$9:$D$29,MATCH($B1338,Config!$B$9:$B$29,0))&amp;"",""))</f>
        <v/>
      </c>
    </row>
    <row r="1339">
      <c r="X1339" s="20" t="str">
        <f>IF($B1339="","",IFERROR(IF(INDEX(Config!$D$9:$D$29,MATCH($B1339,Config!$B$9:$B$29,0))="Contrato",IF(INDEX(Config!$E$9:$E$29,MATCH($B1339,Config!$B$9:$B$29,0))="","",INDEX(Config!$E$9:$E$29,MATCH($B1339,Config!$B$9:$B$29,0))),""),""))</f>
        <v/>
      </c>
      <c r="AI1339" s="19" t="str">
        <f>IF($B1339="","",IFERROR(INDEX(Config!$D$9:$D$29,MATCH($B1339,Config!$B$9:$B$29,0))&amp;"",""))</f>
        <v/>
      </c>
    </row>
    <row r="1340">
      <c r="X1340" s="20" t="str">
        <f>IF($B1340="","",IFERROR(IF(INDEX(Config!$D$9:$D$29,MATCH($B1340,Config!$B$9:$B$29,0))="Contrato",IF(INDEX(Config!$E$9:$E$29,MATCH($B1340,Config!$B$9:$B$29,0))="","",INDEX(Config!$E$9:$E$29,MATCH($B1340,Config!$B$9:$B$29,0))),""),""))</f>
        <v/>
      </c>
      <c r="AI1340" s="19" t="str">
        <f>IF($B1340="","",IFERROR(INDEX(Config!$D$9:$D$29,MATCH($B1340,Config!$B$9:$B$29,0))&amp;"",""))</f>
        <v/>
      </c>
    </row>
    <row r="1341">
      <c r="X1341" s="20" t="str">
        <f>IF($B1341="","",IFERROR(IF(INDEX(Config!$D$9:$D$29,MATCH($B1341,Config!$B$9:$B$29,0))="Contrato",IF(INDEX(Config!$E$9:$E$29,MATCH($B1341,Config!$B$9:$B$29,0))="","",INDEX(Config!$E$9:$E$29,MATCH($B1341,Config!$B$9:$B$29,0))),""),""))</f>
        <v/>
      </c>
      <c r="AI1341" s="19" t="str">
        <f>IF($B1341="","",IFERROR(INDEX(Config!$D$9:$D$29,MATCH($B1341,Config!$B$9:$B$29,0))&amp;"",""))</f>
        <v/>
      </c>
    </row>
    <row r="1342">
      <c r="X1342" s="20" t="str">
        <f>IF($B1342="","",IFERROR(IF(INDEX(Config!$D$9:$D$29,MATCH($B1342,Config!$B$9:$B$29,0))="Contrato",IF(INDEX(Config!$E$9:$E$29,MATCH($B1342,Config!$B$9:$B$29,0))="","",INDEX(Config!$E$9:$E$29,MATCH($B1342,Config!$B$9:$B$29,0))),""),""))</f>
        <v/>
      </c>
      <c r="AI1342" s="19" t="str">
        <f>IF($B1342="","",IFERROR(INDEX(Config!$D$9:$D$29,MATCH($B1342,Config!$B$9:$B$29,0))&amp;"",""))</f>
        <v/>
      </c>
    </row>
    <row r="1343">
      <c r="X1343" s="20" t="str">
        <f>IF($B1343="","",IFERROR(IF(INDEX(Config!$D$9:$D$29,MATCH($B1343,Config!$B$9:$B$29,0))="Contrato",IF(INDEX(Config!$E$9:$E$29,MATCH($B1343,Config!$B$9:$B$29,0))="","",INDEX(Config!$E$9:$E$29,MATCH($B1343,Config!$B$9:$B$29,0))),""),""))</f>
        <v/>
      </c>
      <c r="AI1343" s="19" t="str">
        <f>IF($B1343="","",IFERROR(INDEX(Config!$D$9:$D$29,MATCH($B1343,Config!$B$9:$B$29,0))&amp;"",""))</f>
        <v/>
      </c>
    </row>
    <row r="1344">
      <c r="X1344" s="20" t="str">
        <f>IF($B1344="","",IFERROR(IF(INDEX(Config!$D$9:$D$29,MATCH($B1344,Config!$B$9:$B$29,0))="Contrato",IF(INDEX(Config!$E$9:$E$29,MATCH($B1344,Config!$B$9:$B$29,0))="","",INDEX(Config!$E$9:$E$29,MATCH($B1344,Config!$B$9:$B$29,0))),""),""))</f>
        <v/>
      </c>
      <c r="AI1344" s="19" t="str">
        <f>IF($B1344="","",IFERROR(INDEX(Config!$D$9:$D$29,MATCH($B1344,Config!$B$9:$B$29,0))&amp;"",""))</f>
        <v/>
      </c>
    </row>
    <row r="1345">
      <c r="X1345" s="20" t="str">
        <f>IF($B1345="","",IFERROR(IF(INDEX(Config!$D$9:$D$29,MATCH($B1345,Config!$B$9:$B$29,0))="Contrato",IF(INDEX(Config!$E$9:$E$29,MATCH($B1345,Config!$B$9:$B$29,0))="","",INDEX(Config!$E$9:$E$29,MATCH($B1345,Config!$B$9:$B$29,0))),""),""))</f>
        <v/>
      </c>
      <c r="AI1345" s="19" t="str">
        <f>IF($B1345="","",IFERROR(INDEX(Config!$D$9:$D$29,MATCH($B1345,Config!$B$9:$B$29,0))&amp;"",""))</f>
        <v/>
      </c>
    </row>
    <row r="1346">
      <c r="X1346" s="20" t="str">
        <f>IF($B1346="","",IFERROR(IF(INDEX(Config!$D$9:$D$29,MATCH($B1346,Config!$B$9:$B$29,0))="Contrato",IF(INDEX(Config!$E$9:$E$29,MATCH($B1346,Config!$B$9:$B$29,0))="","",INDEX(Config!$E$9:$E$29,MATCH($B1346,Config!$B$9:$B$29,0))),""),""))</f>
        <v/>
      </c>
      <c r="AI1346" s="19" t="str">
        <f>IF($B1346="","",IFERROR(INDEX(Config!$D$9:$D$29,MATCH($B1346,Config!$B$9:$B$29,0))&amp;"",""))</f>
        <v/>
      </c>
    </row>
    <row r="1347">
      <c r="X1347" s="20" t="str">
        <f>IF($B1347="","",IFERROR(IF(INDEX(Config!$D$9:$D$29,MATCH($B1347,Config!$B$9:$B$29,0))="Contrato",IF(INDEX(Config!$E$9:$E$29,MATCH($B1347,Config!$B$9:$B$29,0))="","",INDEX(Config!$E$9:$E$29,MATCH($B1347,Config!$B$9:$B$29,0))),""),""))</f>
        <v/>
      </c>
      <c r="AI1347" s="19" t="str">
        <f>IF($B1347="","",IFERROR(INDEX(Config!$D$9:$D$29,MATCH($B1347,Config!$B$9:$B$29,0))&amp;"",""))</f>
        <v/>
      </c>
    </row>
    <row r="1348">
      <c r="X1348" s="20" t="str">
        <f>IF($B1348="","",IFERROR(IF(INDEX(Config!$D$9:$D$29,MATCH($B1348,Config!$B$9:$B$29,0))="Contrato",IF(INDEX(Config!$E$9:$E$29,MATCH($B1348,Config!$B$9:$B$29,0))="","",INDEX(Config!$E$9:$E$29,MATCH($B1348,Config!$B$9:$B$29,0))),""),""))</f>
        <v/>
      </c>
      <c r="AI1348" s="19" t="str">
        <f>IF($B1348="","",IFERROR(INDEX(Config!$D$9:$D$29,MATCH($B1348,Config!$B$9:$B$29,0))&amp;"",""))</f>
        <v/>
      </c>
    </row>
    <row r="1349">
      <c r="X1349" s="20" t="str">
        <f>IF($B1349="","",IFERROR(IF(INDEX(Config!$D$9:$D$29,MATCH($B1349,Config!$B$9:$B$29,0))="Contrato",IF(INDEX(Config!$E$9:$E$29,MATCH($B1349,Config!$B$9:$B$29,0))="","",INDEX(Config!$E$9:$E$29,MATCH($B1349,Config!$B$9:$B$29,0))),""),""))</f>
        <v/>
      </c>
      <c r="AI1349" s="19" t="str">
        <f>IF($B1349="","",IFERROR(INDEX(Config!$D$9:$D$29,MATCH($B1349,Config!$B$9:$B$29,0))&amp;"",""))</f>
        <v/>
      </c>
    </row>
    <row r="1350">
      <c r="X1350" s="20" t="str">
        <f>IF($B1350="","",IFERROR(IF(INDEX(Config!$D$9:$D$29,MATCH($B1350,Config!$B$9:$B$29,0))="Contrato",IF(INDEX(Config!$E$9:$E$29,MATCH($B1350,Config!$B$9:$B$29,0))="","",INDEX(Config!$E$9:$E$29,MATCH($B1350,Config!$B$9:$B$29,0))),""),""))</f>
        <v/>
      </c>
      <c r="AI1350" s="19" t="str">
        <f>IF($B1350="","",IFERROR(INDEX(Config!$D$9:$D$29,MATCH($B1350,Config!$B$9:$B$29,0))&amp;"",""))</f>
        <v/>
      </c>
    </row>
    <row r="1351">
      <c r="X1351" s="20" t="str">
        <f>IF($B1351="","",IFERROR(IF(INDEX(Config!$D$9:$D$29,MATCH($B1351,Config!$B$9:$B$29,0))="Contrato",IF(INDEX(Config!$E$9:$E$29,MATCH($B1351,Config!$B$9:$B$29,0))="","",INDEX(Config!$E$9:$E$29,MATCH($B1351,Config!$B$9:$B$29,0))),""),""))</f>
        <v/>
      </c>
      <c r="AI1351" s="19" t="str">
        <f>IF($B1351="","",IFERROR(INDEX(Config!$D$9:$D$29,MATCH($B1351,Config!$B$9:$B$29,0))&amp;"",""))</f>
        <v/>
      </c>
    </row>
    <row r="1352">
      <c r="X1352" s="20" t="str">
        <f>IF($B1352="","",IFERROR(IF(INDEX(Config!$D$9:$D$29,MATCH($B1352,Config!$B$9:$B$29,0))="Contrato",IF(INDEX(Config!$E$9:$E$29,MATCH($B1352,Config!$B$9:$B$29,0))="","",INDEX(Config!$E$9:$E$29,MATCH($B1352,Config!$B$9:$B$29,0))),""),""))</f>
        <v/>
      </c>
      <c r="AI1352" s="19" t="str">
        <f>IF($B1352="","",IFERROR(INDEX(Config!$D$9:$D$29,MATCH($B1352,Config!$B$9:$B$29,0))&amp;"",""))</f>
        <v/>
      </c>
    </row>
    <row r="1353">
      <c r="X1353" s="20" t="str">
        <f>IF($B1353="","",IFERROR(IF(INDEX(Config!$D$9:$D$29,MATCH($B1353,Config!$B$9:$B$29,0))="Contrato",IF(INDEX(Config!$E$9:$E$29,MATCH($B1353,Config!$B$9:$B$29,0))="","",INDEX(Config!$E$9:$E$29,MATCH($B1353,Config!$B$9:$B$29,0))),""),""))</f>
        <v/>
      </c>
      <c r="AI1353" s="19" t="str">
        <f>IF($B1353="","",IFERROR(INDEX(Config!$D$9:$D$29,MATCH($B1353,Config!$B$9:$B$29,0))&amp;"",""))</f>
        <v/>
      </c>
    </row>
    <row r="1354">
      <c r="X1354" s="20" t="str">
        <f>IF($B1354="","",IFERROR(IF(INDEX(Config!$D$9:$D$29,MATCH($B1354,Config!$B$9:$B$29,0))="Contrato",IF(INDEX(Config!$E$9:$E$29,MATCH($B1354,Config!$B$9:$B$29,0))="","",INDEX(Config!$E$9:$E$29,MATCH($B1354,Config!$B$9:$B$29,0))),""),""))</f>
        <v/>
      </c>
      <c r="AI1354" s="19" t="str">
        <f>IF($B1354="","",IFERROR(INDEX(Config!$D$9:$D$29,MATCH($B1354,Config!$B$9:$B$29,0))&amp;"",""))</f>
        <v/>
      </c>
    </row>
    <row r="1355">
      <c r="X1355" s="20" t="str">
        <f>IF($B1355="","",IFERROR(IF(INDEX(Config!$D$9:$D$29,MATCH($B1355,Config!$B$9:$B$29,0))="Contrato",IF(INDEX(Config!$E$9:$E$29,MATCH($B1355,Config!$B$9:$B$29,0))="","",INDEX(Config!$E$9:$E$29,MATCH($B1355,Config!$B$9:$B$29,0))),""),""))</f>
        <v/>
      </c>
      <c r="AI1355" s="19" t="str">
        <f>IF($B1355="","",IFERROR(INDEX(Config!$D$9:$D$29,MATCH($B1355,Config!$B$9:$B$29,0))&amp;"",""))</f>
        <v/>
      </c>
    </row>
    <row r="1356">
      <c r="X1356" s="20" t="str">
        <f>IF($B1356="","",IFERROR(IF(INDEX(Config!$D$9:$D$29,MATCH($B1356,Config!$B$9:$B$29,0))="Contrato",IF(INDEX(Config!$E$9:$E$29,MATCH($B1356,Config!$B$9:$B$29,0))="","",INDEX(Config!$E$9:$E$29,MATCH($B1356,Config!$B$9:$B$29,0))),""),""))</f>
        <v/>
      </c>
      <c r="AI1356" s="19" t="str">
        <f>IF($B1356="","",IFERROR(INDEX(Config!$D$9:$D$29,MATCH($B1356,Config!$B$9:$B$29,0))&amp;"",""))</f>
        <v/>
      </c>
    </row>
    <row r="1357">
      <c r="X1357" s="20" t="str">
        <f>IF($B1357="","",IFERROR(IF(INDEX(Config!$D$9:$D$29,MATCH($B1357,Config!$B$9:$B$29,0))="Contrato",IF(INDEX(Config!$E$9:$E$29,MATCH($B1357,Config!$B$9:$B$29,0))="","",INDEX(Config!$E$9:$E$29,MATCH($B1357,Config!$B$9:$B$29,0))),""),""))</f>
        <v/>
      </c>
      <c r="AI1357" s="19" t="str">
        <f>IF($B1357="","",IFERROR(INDEX(Config!$D$9:$D$29,MATCH($B1357,Config!$B$9:$B$29,0))&amp;"",""))</f>
        <v/>
      </c>
    </row>
    <row r="1358">
      <c r="X1358" s="20" t="str">
        <f>IF($B1358="","",IFERROR(IF(INDEX(Config!$D$9:$D$29,MATCH($B1358,Config!$B$9:$B$29,0))="Contrato",IF(INDEX(Config!$E$9:$E$29,MATCH($B1358,Config!$B$9:$B$29,0))="","",INDEX(Config!$E$9:$E$29,MATCH($B1358,Config!$B$9:$B$29,0))),""),""))</f>
        <v/>
      </c>
      <c r="AI1358" s="19" t="str">
        <f>IF($B1358="","",IFERROR(INDEX(Config!$D$9:$D$29,MATCH($B1358,Config!$B$9:$B$29,0))&amp;"",""))</f>
        <v/>
      </c>
    </row>
    <row r="1359">
      <c r="X1359" s="20" t="str">
        <f>IF($B1359="","",IFERROR(IF(INDEX(Config!$D$9:$D$29,MATCH($B1359,Config!$B$9:$B$29,0))="Contrato",IF(INDEX(Config!$E$9:$E$29,MATCH($B1359,Config!$B$9:$B$29,0))="","",INDEX(Config!$E$9:$E$29,MATCH($B1359,Config!$B$9:$B$29,0))),""),""))</f>
        <v/>
      </c>
      <c r="AI1359" s="19" t="str">
        <f>IF($B1359="","",IFERROR(INDEX(Config!$D$9:$D$29,MATCH($B1359,Config!$B$9:$B$29,0))&amp;"",""))</f>
        <v/>
      </c>
    </row>
    <row r="1360">
      <c r="X1360" s="20" t="str">
        <f>IF($B1360="","",IFERROR(IF(INDEX(Config!$D$9:$D$29,MATCH($B1360,Config!$B$9:$B$29,0))="Contrato",IF(INDEX(Config!$E$9:$E$29,MATCH($B1360,Config!$B$9:$B$29,0))="","",INDEX(Config!$E$9:$E$29,MATCH($B1360,Config!$B$9:$B$29,0))),""),""))</f>
        <v/>
      </c>
      <c r="AI1360" s="19" t="str">
        <f>IF($B1360="","",IFERROR(INDEX(Config!$D$9:$D$29,MATCH($B1360,Config!$B$9:$B$29,0))&amp;"",""))</f>
        <v/>
      </c>
    </row>
    <row r="1361">
      <c r="X1361" s="20" t="str">
        <f>IF($B1361="","",IFERROR(IF(INDEX(Config!$D$9:$D$29,MATCH($B1361,Config!$B$9:$B$29,0))="Contrato",IF(INDEX(Config!$E$9:$E$29,MATCH($B1361,Config!$B$9:$B$29,0))="","",INDEX(Config!$E$9:$E$29,MATCH($B1361,Config!$B$9:$B$29,0))),""),""))</f>
        <v/>
      </c>
      <c r="AI1361" s="19" t="str">
        <f>IF($B1361="","",IFERROR(INDEX(Config!$D$9:$D$29,MATCH($B1361,Config!$B$9:$B$29,0))&amp;"",""))</f>
        <v/>
      </c>
    </row>
    <row r="1362">
      <c r="X1362" s="20" t="str">
        <f>IF($B1362="","",IFERROR(IF(INDEX(Config!$D$9:$D$29,MATCH($B1362,Config!$B$9:$B$29,0))="Contrato",IF(INDEX(Config!$E$9:$E$29,MATCH($B1362,Config!$B$9:$B$29,0))="","",INDEX(Config!$E$9:$E$29,MATCH($B1362,Config!$B$9:$B$29,0))),""),""))</f>
        <v/>
      </c>
      <c r="AI1362" s="19" t="str">
        <f>IF($B1362="","",IFERROR(INDEX(Config!$D$9:$D$29,MATCH($B1362,Config!$B$9:$B$29,0))&amp;"",""))</f>
        <v/>
      </c>
    </row>
    <row r="1363">
      <c r="X1363" s="20" t="str">
        <f>IF($B1363="","",IFERROR(IF(INDEX(Config!$D$9:$D$29,MATCH($B1363,Config!$B$9:$B$29,0))="Contrato",IF(INDEX(Config!$E$9:$E$29,MATCH($B1363,Config!$B$9:$B$29,0))="","",INDEX(Config!$E$9:$E$29,MATCH($B1363,Config!$B$9:$B$29,0))),""),""))</f>
        <v/>
      </c>
      <c r="AI1363" s="19" t="str">
        <f>IF($B1363="","",IFERROR(INDEX(Config!$D$9:$D$29,MATCH($B1363,Config!$B$9:$B$29,0))&amp;"",""))</f>
        <v/>
      </c>
    </row>
    <row r="1364">
      <c r="X1364" s="20" t="str">
        <f>IF($B1364="","",IFERROR(IF(INDEX(Config!$D$9:$D$29,MATCH($B1364,Config!$B$9:$B$29,0))="Contrato",IF(INDEX(Config!$E$9:$E$29,MATCH($B1364,Config!$B$9:$B$29,0))="","",INDEX(Config!$E$9:$E$29,MATCH($B1364,Config!$B$9:$B$29,0))),""),""))</f>
        <v/>
      </c>
      <c r="AI1364" s="19" t="str">
        <f>IF($B1364="","",IFERROR(INDEX(Config!$D$9:$D$29,MATCH($B1364,Config!$B$9:$B$29,0))&amp;"",""))</f>
        <v/>
      </c>
    </row>
    <row r="1365">
      <c r="X1365" s="20" t="str">
        <f>IF($B1365="","",IFERROR(IF(INDEX(Config!$D$9:$D$29,MATCH($B1365,Config!$B$9:$B$29,0))="Contrato",IF(INDEX(Config!$E$9:$E$29,MATCH($B1365,Config!$B$9:$B$29,0))="","",INDEX(Config!$E$9:$E$29,MATCH($B1365,Config!$B$9:$B$29,0))),""),""))</f>
        <v/>
      </c>
      <c r="AI1365" s="19" t="str">
        <f>IF($B1365="","",IFERROR(INDEX(Config!$D$9:$D$29,MATCH($B1365,Config!$B$9:$B$29,0))&amp;"",""))</f>
        <v/>
      </c>
    </row>
    <row r="1366">
      <c r="X1366" s="20" t="str">
        <f>IF($B1366="","",IFERROR(IF(INDEX(Config!$D$9:$D$29,MATCH($B1366,Config!$B$9:$B$29,0))="Contrato",IF(INDEX(Config!$E$9:$E$29,MATCH($B1366,Config!$B$9:$B$29,0))="","",INDEX(Config!$E$9:$E$29,MATCH($B1366,Config!$B$9:$B$29,0))),""),""))</f>
        <v/>
      </c>
      <c r="AI1366" s="19" t="str">
        <f>IF($B1366="","",IFERROR(INDEX(Config!$D$9:$D$29,MATCH($B1366,Config!$B$9:$B$29,0))&amp;"",""))</f>
        <v/>
      </c>
    </row>
    <row r="1367">
      <c r="X1367" s="20" t="str">
        <f>IF($B1367="","",IFERROR(IF(INDEX(Config!$D$9:$D$29,MATCH($B1367,Config!$B$9:$B$29,0))="Contrato",IF(INDEX(Config!$E$9:$E$29,MATCH($B1367,Config!$B$9:$B$29,0))="","",INDEX(Config!$E$9:$E$29,MATCH($B1367,Config!$B$9:$B$29,0))),""),""))</f>
        <v/>
      </c>
      <c r="AI1367" s="19" t="str">
        <f>IF($B1367="","",IFERROR(INDEX(Config!$D$9:$D$29,MATCH($B1367,Config!$B$9:$B$29,0))&amp;"",""))</f>
        <v/>
      </c>
    </row>
    <row r="1368">
      <c r="X1368" s="20" t="str">
        <f>IF($B1368="","",IFERROR(IF(INDEX(Config!$D$9:$D$29,MATCH($B1368,Config!$B$9:$B$29,0))="Contrato",IF(INDEX(Config!$E$9:$E$29,MATCH($B1368,Config!$B$9:$B$29,0))="","",INDEX(Config!$E$9:$E$29,MATCH($B1368,Config!$B$9:$B$29,0))),""),""))</f>
        <v/>
      </c>
      <c r="AI1368" s="19" t="str">
        <f>IF($B1368="","",IFERROR(INDEX(Config!$D$9:$D$29,MATCH($B1368,Config!$B$9:$B$29,0))&amp;"",""))</f>
        <v/>
      </c>
    </row>
    <row r="1369">
      <c r="X1369" s="20" t="str">
        <f>IF($B1369="","",IFERROR(IF(INDEX(Config!$D$9:$D$29,MATCH($B1369,Config!$B$9:$B$29,0))="Contrato",IF(INDEX(Config!$E$9:$E$29,MATCH($B1369,Config!$B$9:$B$29,0))="","",INDEX(Config!$E$9:$E$29,MATCH($B1369,Config!$B$9:$B$29,0))),""),""))</f>
        <v/>
      </c>
      <c r="AI1369" s="19" t="str">
        <f>IF($B1369="","",IFERROR(INDEX(Config!$D$9:$D$29,MATCH($B1369,Config!$B$9:$B$29,0))&amp;"",""))</f>
        <v/>
      </c>
    </row>
    <row r="1370">
      <c r="X1370" s="20" t="str">
        <f>IF($B1370="","",IFERROR(IF(INDEX(Config!$D$9:$D$29,MATCH($B1370,Config!$B$9:$B$29,0))="Contrato",IF(INDEX(Config!$E$9:$E$29,MATCH($B1370,Config!$B$9:$B$29,0))="","",INDEX(Config!$E$9:$E$29,MATCH($B1370,Config!$B$9:$B$29,0))),""),""))</f>
        <v/>
      </c>
      <c r="AI1370" s="19" t="str">
        <f>IF($B1370="","",IFERROR(INDEX(Config!$D$9:$D$29,MATCH($B1370,Config!$B$9:$B$29,0))&amp;"",""))</f>
        <v/>
      </c>
    </row>
    <row r="1371">
      <c r="X1371" s="20" t="str">
        <f>IF($B1371="","",IFERROR(IF(INDEX(Config!$D$9:$D$29,MATCH($B1371,Config!$B$9:$B$29,0))="Contrato",IF(INDEX(Config!$E$9:$E$29,MATCH($B1371,Config!$B$9:$B$29,0))="","",INDEX(Config!$E$9:$E$29,MATCH($B1371,Config!$B$9:$B$29,0))),""),""))</f>
        <v/>
      </c>
      <c r="AI1371" s="19" t="str">
        <f>IF($B1371="","",IFERROR(INDEX(Config!$D$9:$D$29,MATCH($B1371,Config!$B$9:$B$29,0))&amp;"",""))</f>
        <v/>
      </c>
    </row>
    <row r="1372">
      <c r="X1372" s="20" t="str">
        <f>IF($B1372="","",IFERROR(IF(INDEX(Config!$D$9:$D$29,MATCH($B1372,Config!$B$9:$B$29,0))="Contrato",IF(INDEX(Config!$E$9:$E$29,MATCH($B1372,Config!$B$9:$B$29,0))="","",INDEX(Config!$E$9:$E$29,MATCH($B1372,Config!$B$9:$B$29,0))),""),""))</f>
        <v/>
      </c>
      <c r="AI1372" s="19" t="str">
        <f>IF($B1372="","",IFERROR(INDEX(Config!$D$9:$D$29,MATCH($B1372,Config!$B$9:$B$29,0))&amp;"",""))</f>
        <v/>
      </c>
    </row>
    <row r="1373">
      <c r="X1373" s="20" t="str">
        <f>IF($B1373="","",IFERROR(IF(INDEX(Config!$D$9:$D$29,MATCH($B1373,Config!$B$9:$B$29,0))="Contrato",IF(INDEX(Config!$E$9:$E$29,MATCH($B1373,Config!$B$9:$B$29,0))="","",INDEX(Config!$E$9:$E$29,MATCH($B1373,Config!$B$9:$B$29,0))),""),""))</f>
        <v/>
      </c>
      <c r="AI1373" s="19" t="str">
        <f>IF($B1373="","",IFERROR(INDEX(Config!$D$9:$D$29,MATCH($B1373,Config!$B$9:$B$29,0))&amp;"",""))</f>
        <v/>
      </c>
    </row>
    <row r="1374">
      <c r="X1374" s="20" t="str">
        <f>IF($B1374="","",IFERROR(IF(INDEX(Config!$D$9:$D$29,MATCH($B1374,Config!$B$9:$B$29,0))="Contrato",IF(INDEX(Config!$E$9:$E$29,MATCH($B1374,Config!$B$9:$B$29,0))="","",INDEX(Config!$E$9:$E$29,MATCH($B1374,Config!$B$9:$B$29,0))),""),""))</f>
        <v/>
      </c>
      <c r="AI1374" s="19" t="str">
        <f>IF($B1374="","",IFERROR(INDEX(Config!$D$9:$D$29,MATCH($B1374,Config!$B$9:$B$29,0))&amp;"",""))</f>
        <v/>
      </c>
    </row>
    <row r="1375">
      <c r="X1375" s="20" t="str">
        <f>IF($B1375="","",IFERROR(IF(INDEX(Config!$D$9:$D$29,MATCH($B1375,Config!$B$9:$B$29,0))="Contrato",IF(INDEX(Config!$E$9:$E$29,MATCH($B1375,Config!$B$9:$B$29,0))="","",INDEX(Config!$E$9:$E$29,MATCH($B1375,Config!$B$9:$B$29,0))),""),""))</f>
        <v/>
      </c>
      <c r="AI1375" s="19" t="str">
        <f>IF($B1375="","",IFERROR(INDEX(Config!$D$9:$D$29,MATCH($B1375,Config!$B$9:$B$29,0))&amp;"",""))</f>
        <v/>
      </c>
    </row>
    <row r="1376">
      <c r="X1376" s="20" t="str">
        <f>IF($B1376="","",IFERROR(IF(INDEX(Config!$D$9:$D$29,MATCH($B1376,Config!$B$9:$B$29,0))="Contrato",IF(INDEX(Config!$E$9:$E$29,MATCH($B1376,Config!$B$9:$B$29,0))="","",INDEX(Config!$E$9:$E$29,MATCH($B1376,Config!$B$9:$B$29,0))),""),""))</f>
        <v/>
      </c>
      <c r="AI1376" s="19" t="str">
        <f>IF($B1376="","",IFERROR(INDEX(Config!$D$9:$D$29,MATCH($B1376,Config!$B$9:$B$29,0))&amp;"",""))</f>
        <v/>
      </c>
    </row>
    <row r="1377">
      <c r="X1377" s="20" t="str">
        <f>IF($B1377="","",IFERROR(IF(INDEX(Config!$D$9:$D$29,MATCH($B1377,Config!$B$9:$B$29,0))="Contrato",IF(INDEX(Config!$E$9:$E$29,MATCH($B1377,Config!$B$9:$B$29,0))="","",INDEX(Config!$E$9:$E$29,MATCH($B1377,Config!$B$9:$B$29,0))),""),""))</f>
        <v/>
      </c>
      <c r="AI1377" s="19" t="str">
        <f>IF($B1377="","",IFERROR(INDEX(Config!$D$9:$D$29,MATCH($B1377,Config!$B$9:$B$29,0))&amp;"",""))</f>
        <v/>
      </c>
    </row>
    <row r="1378">
      <c r="X1378" s="20" t="str">
        <f>IF($B1378="","",IFERROR(IF(INDEX(Config!$D$9:$D$29,MATCH($B1378,Config!$B$9:$B$29,0))="Contrato",IF(INDEX(Config!$E$9:$E$29,MATCH($B1378,Config!$B$9:$B$29,0))="","",INDEX(Config!$E$9:$E$29,MATCH($B1378,Config!$B$9:$B$29,0))),""),""))</f>
        <v/>
      </c>
      <c r="AI1378" s="19" t="str">
        <f>IF($B1378="","",IFERROR(INDEX(Config!$D$9:$D$29,MATCH($B1378,Config!$B$9:$B$29,0))&amp;"",""))</f>
        <v/>
      </c>
    </row>
    <row r="1379">
      <c r="X1379" s="20" t="str">
        <f>IF($B1379="","",IFERROR(IF(INDEX(Config!$D$9:$D$29,MATCH($B1379,Config!$B$9:$B$29,0))="Contrato",IF(INDEX(Config!$E$9:$E$29,MATCH($B1379,Config!$B$9:$B$29,0))="","",INDEX(Config!$E$9:$E$29,MATCH($B1379,Config!$B$9:$B$29,0))),""),""))</f>
        <v/>
      </c>
      <c r="AI1379" s="19" t="str">
        <f>IF($B1379="","",IFERROR(INDEX(Config!$D$9:$D$29,MATCH($B1379,Config!$B$9:$B$29,0))&amp;"",""))</f>
        <v/>
      </c>
    </row>
    <row r="1380">
      <c r="X1380" s="20" t="str">
        <f>IF($B1380="","",IFERROR(IF(INDEX(Config!$D$9:$D$29,MATCH($B1380,Config!$B$9:$B$29,0))="Contrato",IF(INDEX(Config!$E$9:$E$29,MATCH($B1380,Config!$B$9:$B$29,0))="","",INDEX(Config!$E$9:$E$29,MATCH($B1380,Config!$B$9:$B$29,0))),""),""))</f>
        <v/>
      </c>
      <c r="AI1380" s="19" t="str">
        <f>IF($B1380="","",IFERROR(INDEX(Config!$D$9:$D$29,MATCH($B1380,Config!$B$9:$B$29,0))&amp;"",""))</f>
        <v/>
      </c>
    </row>
    <row r="1381">
      <c r="X1381" s="20" t="str">
        <f>IF($B1381="","",IFERROR(IF(INDEX(Config!$D$9:$D$29,MATCH($B1381,Config!$B$9:$B$29,0))="Contrato",IF(INDEX(Config!$E$9:$E$29,MATCH($B1381,Config!$B$9:$B$29,0))="","",INDEX(Config!$E$9:$E$29,MATCH($B1381,Config!$B$9:$B$29,0))),""),""))</f>
        <v/>
      </c>
      <c r="AI1381" s="19" t="str">
        <f>IF($B1381="","",IFERROR(INDEX(Config!$D$9:$D$29,MATCH($B1381,Config!$B$9:$B$29,0))&amp;"",""))</f>
        <v/>
      </c>
    </row>
    <row r="1382">
      <c r="X1382" s="20" t="str">
        <f>IF($B1382="","",IFERROR(IF(INDEX(Config!$D$9:$D$29,MATCH($B1382,Config!$B$9:$B$29,0))="Contrato",IF(INDEX(Config!$E$9:$E$29,MATCH($B1382,Config!$B$9:$B$29,0))="","",INDEX(Config!$E$9:$E$29,MATCH($B1382,Config!$B$9:$B$29,0))),""),""))</f>
        <v/>
      </c>
      <c r="AI1382" s="19" t="str">
        <f>IF($B1382="","",IFERROR(INDEX(Config!$D$9:$D$29,MATCH($B1382,Config!$B$9:$B$29,0))&amp;"",""))</f>
        <v/>
      </c>
    </row>
    <row r="1383">
      <c r="X1383" s="20" t="str">
        <f>IF($B1383="","",IFERROR(IF(INDEX(Config!$D$9:$D$29,MATCH($B1383,Config!$B$9:$B$29,0))="Contrato",IF(INDEX(Config!$E$9:$E$29,MATCH($B1383,Config!$B$9:$B$29,0))="","",INDEX(Config!$E$9:$E$29,MATCH($B1383,Config!$B$9:$B$29,0))),""),""))</f>
        <v/>
      </c>
      <c r="AI1383" s="19" t="str">
        <f>IF($B1383="","",IFERROR(INDEX(Config!$D$9:$D$29,MATCH($B1383,Config!$B$9:$B$29,0))&amp;"",""))</f>
        <v/>
      </c>
    </row>
    <row r="1384">
      <c r="X1384" s="20" t="str">
        <f>IF($B1384="","",IFERROR(IF(INDEX(Config!$D$9:$D$29,MATCH($B1384,Config!$B$9:$B$29,0))="Contrato",IF(INDEX(Config!$E$9:$E$29,MATCH($B1384,Config!$B$9:$B$29,0))="","",INDEX(Config!$E$9:$E$29,MATCH($B1384,Config!$B$9:$B$29,0))),""),""))</f>
        <v/>
      </c>
      <c r="AI1384" s="19" t="str">
        <f>IF($B1384="","",IFERROR(INDEX(Config!$D$9:$D$29,MATCH($B1384,Config!$B$9:$B$29,0))&amp;"",""))</f>
        <v/>
      </c>
    </row>
    <row r="1385">
      <c r="X1385" s="20" t="str">
        <f>IF($B1385="","",IFERROR(IF(INDEX(Config!$D$9:$D$29,MATCH($B1385,Config!$B$9:$B$29,0))="Contrato",IF(INDEX(Config!$E$9:$E$29,MATCH($B1385,Config!$B$9:$B$29,0))="","",INDEX(Config!$E$9:$E$29,MATCH($B1385,Config!$B$9:$B$29,0))),""),""))</f>
        <v/>
      </c>
      <c r="AI1385" s="19" t="str">
        <f>IF($B1385="","",IFERROR(INDEX(Config!$D$9:$D$29,MATCH($B1385,Config!$B$9:$B$29,0))&amp;"",""))</f>
        <v/>
      </c>
    </row>
    <row r="1386">
      <c r="X1386" s="20" t="str">
        <f>IF($B1386="","",IFERROR(IF(INDEX(Config!$D$9:$D$29,MATCH($B1386,Config!$B$9:$B$29,0))="Contrato",IF(INDEX(Config!$E$9:$E$29,MATCH($B1386,Config!$B$9:$B$29,0))="","",INDEX(Config!$E$9:$E$29,MATCH($B1386,Config!$B$9:$B$29,0))),""),""))</f>
        <v/>
      </c>
      <c r="AI1386" s="19" t="str">
        <f>IF($B1386="","",IFERROR(INDEX(Config!$D$9:$D$29,MATCH($B1386,Config!$B$9:$B$29,0))&amp;"",""))</f>
        <v/>
      </c>
    </row>
    <row r="1387">
      <c r="X1387" s="20" t="str">
        <f>IF($B1387="","",IFERROR(IF(INDEX(Config!$D$9:$D$29,MATCH($B1387,Config!$B$9:$B$29,0))="Contrato",IF(INDEX(Config!$E$9:$E$29,MATCH($B1387,Config!$B$9:$B$29,0))="","",INDEX(Config!$E$9:$E$29,MATCH($B1387,Config!$B$9:$B$29,0))),""),""))</f>
        <v/>
      </c>
      <c r="AI1387" s="19" t="str">
        <f>IF($B1387="","",IFERROR(INDEX(Config!$D$9:$D$29,MATCH($B1387,Config!$B$9:$B$29,0))&amp;"",""))</f>
        <v/>
      </c>
    </row>
    <row r="1388">
      <c r="X1388" s="20" t="str">
        <f>IF($B1388="","",IFERROR(IF(INDEX(Config!$D$9:$D$29,MATCH($B1388,Config!$B$9:$B$29,0))="Contrato",IF(INDEX(Config!$E$9:$E$29,MATCH($B1388,Config!$B$9:$B$29,0))="","",INDEX(Config!$E$9:$E$29,MATCH($B1388,Config!$B$9:$B$29,0))),""),""))</f>
        <v/>
      </c>
      <c r="AI1388" s="19" t="str">
        <f>IF($B1388="","",IFERROR(INDEX(Config!$D$9:$D$29,MATCH($B1388,Config!$B$9:$B$29,0))&amp;"",""))</f>
        <v/>
      </c>
    </row>
    <row r="1389">
      <c r="X1389" s="20" t="str">
        <f>IF($B1389="","",IFERROR(IF(INDEX(Config!$D$9:$D$29,MATCH($B1389,Config!$B$9:$B$29,0))="Contrato",IF(INDEX(Config!$E$9:$E$29,MATCH($B1389,Config!$B$9:$B$29,0))="","",INDEX(Config!$E$9:$E$29,MATCH($B1389,Config!$B$9:$B$29,0))),""),""))</f>
        <v/>
      </c>
      <c r="AI1389" s="19" t="str">
        <f>IF($B1389="","",IFERROR(INDEX(Config!$D$9:$D$29,MATCH($B1389,Config!$B$9:$B$29,0))&amp;"",""))</f>
        <v/>
      </c>
    </row>
    <row r="1390">
      <c r="X1390" s="20" t="str">
        <f>IF($B1390="","",IFERROR(IF(INDEX(Config!$D$9:$D$29,MATCH($B1390,Config!$B$9:$B$29,0))="Contrato",IF(INDEX(Config!$E$9:$E$29,MATCH($B1390,Config!$B$9:$B$29,0))="","",INDEX(Config!$E$9:$E$29,MATCH($B1390,Config!$B$9:$B$29,0))),""),""))</f>
        <v/>
      </c>
      <c r="AI1390" s="19" t="str">
        <f>IF($B1390="","",IFERROR(INDEX(Config!$D$9:$D$29,MATCH($B1390,Config!$B$9:$B$29,0))&amp;"",""))</f>
        <v/>
      </c>
    </row>
    <row r="1391">
      <c r="X1391" s="20" t="str">
        <f>IF($B1391="","",IFERROR(IF(INDEX(Config!$D$9:$D$29,MATCH($B1391,Config!$B$9:$B$29,0))="Contrato",IF(INDEX(Config!$E$9:$E$29,MATCH($B1391,Config!$B$9:$B$29,0))="","",INDEX(Config!$E$9:$E$29,MATCH($B1391,Config!$B$9:$B$29,0))),""),""))</f>
        <v/>
      </c>
      <c r="AI1391" s="19" t="str">
        <f>IF($B1391="","",IFERROR(INDEX(Config!$D$9:$D$29,MATCH($B1391,Config!$B$9:$B$29,0))&amp;"",""))</f>
        <v/>
      </c>
    </row>
    <row r="1392">
      <c r="X1392" s="20" t="str">
        <f>IF($B1392="","",IFERROR(IF(INDEX(Config!$D$9:$D$29,MATCH($B1392,Config!$B$9:$B$29,0))="Contrato",IF(INDEX(Config!$E$9:$E$29,MATCH($B1392,Config!$B$9:$B$29,0))="","",INDEX(Config!$E$9:$E$29,MATCH($B1392,Config!$B$9:$B$29,0))),""),""))</f>
        <v/>
      </c>
      <c r="AI1392" s="19" t="str">
        <f>IF($B1392="","",IFERROR(INDEX(Config!$D$9:$D$29,MATCH($B1392,Config!$B$9:$B$29,0))&amp;"",""))</f>
        <v/>
      </c>
    </row>
    <row r="1393">
      <c r="X1393" s="20" t="str">
        <f>IF($B1393="","",IFERROR(IF(INDEX(Config!$D$9:$D$29,MATCH($B1393,Config!$B$9:$B$29,0))="Contrato",IF(INDEX(Config!$E$9:$E$29,MATCH($B1393,Config!$B$9:$B$29,0))="","",INDEX(Config!$E$9:$E$29,MATCH($B1393,Config!$B$9:$B$29,0))),""),""))</f>
        <v/>
      </c>
      <c r="AI1393" s="19" t="str">
        <f>IF($B1393="","",IFERROR(INDEX(Config!$D$9:$D$29,MATCH($B1393,Config!$B$9:$B$29,0))&amp;"",""))</f>
        <v/>
      </c>
    </row>
    <row r="1394">
      <c r="X1394" s="20" t="str">
        <f>IF($B1394="","",IFERROR(IF(INDEX(Config!$D$9:$D$29,MATCH($B1394,Config!$B$9:$B$29,0))="Contrato",IF(INDEX(Config!$E$9:$E$29,MATCH($B1394,Config!$B$9:$B$29,0))="","",INDEX(Config!$E$9:$E$29,MATCH($B1394,Config!$B$9:$B$29,0))),""),""))</f>
        <v/>
      </c>
      <c r="AI1394" s="19" t="str">
        <f>IF($B1394="","",IFERROR(INDEX(Config!$D$9:$D$29,MATCH($B1394,Config!$B$9:$B$29,0))&amp;"",""))</f>
        <v/>
      </c>
    </row>
    <row r="1395">
      <c r="X1395" s="20" t="str">
        <f>IF($B1395="","",IFERROR(IF(INDEX(Config!$D$9:$D$29,MATCH($B1395,Config!$B$9:$B$29,0))="Contrato",IF(INDEX(Config!$E$9:$E$29,MATCH($B1395,Config!$B$9:$B$29,0))="","",INDEX(Config!$E$9:$E$29,MATCH($B1395,Config!$B$9:$B$29,0))),""),""))</f>
        <v/>
      </c>
      <c r="AI1395" s="19" t="str">
        <f>IF($B1395="","",IFERROR(INDEX(Config!$D$9:$D$29,MATCH($B1395,Config!$B$9:$B$29,0))&amp;"",""))</f>
        <v/>
      </c>
    </row>
    <row r="1396">
      <c r="X1396" s="20" t="str">
        <f>IF($B1396="","",IFERROR(IF(INDEX(Config!$D$9:$D$29,MATCH($B1396,Config!$B$9:$B$29,0))="Contrato",IF(INDEX(Config!$E$9:$E$29,MATCH($B1396,Config!$B$9:$B$29,0))="","",INDEX(Config!$E$9:$E$29,MATCH($B1396,Config!$B$9:$B$29,0))),""),""))</f>
        <v/>
      </c>
      <c r="AI1396" s="19" t="str">
        <f>IF($B1396="","",IFERROR(INDEX(Config!$D$9:$D$29,MATCH($B1396,Config!$B$9:$B$29,0))&amp;"",""))</f>
        <v/>
      </c>
    </row>
    <row r="1397">
      <c r="X1397" s="20" t="str">
        <f>IF($B1397="","",IFERROR(IF(INDEX(Config!$D$9:$D$29,MATCH($B1397,Config!$B$9:$B$29,0))="Contrato",IF(INDEX(Config!$E$9:$E$29,MATCH($B1397,Config!$B$9:$B$29,0))="","",INDEX(Config!$E$9:$E$29,MATCH($B1397,Config!$B$9:$B$29,0))),""),""))</f>
        <v/>
      </c>
      <c r="AI1397" s="19" t="str">
        <f>IF($B1397="","",IFERROR(INDEX(Config!$D$9:$D$29,MATCH($B1397,Config!$B$9:$B$29,0))&amp;"",""))</f>
        <v/>
      </c>
    </row>
    <row r="1398">
      <c r="X1398" s="20" t="str">
        <f>IF($B1398="","",IFERROR(IF(INDEX(Config!$D$9:$D$29,MATCH($B1398,Config!$B$9:$B$29,0))="Contrato",IF(INDEX(Config!$E$9:$E$29,MATCH($B1398,Config!$B$9:$B$29,0))="","",INDEX(Config!$E$9:$E$29,MATCH($B1398,Config!$B$9:$B$29,0))),""),""))</f>
        <v/>
      </c>
      <c r="AI1398" s="19" t="str">
        <f>IF($B1398="","",IFERROR(INDEX(Config!$D$9:$D$29,MATCH($B1398,Config!$B$9:$B$29,0))&amp;"",""))</f>
        <v/>
      </c>
    </row>
    <row r="1399">
      <c r="X1399" s="20" t="str">
        <f>IF($B1399="","",IFERROR(IF(INDEX(Config!$D$9:$D$29,MATCH($B1399,Config!$B$9:$B$29,0))="Contrato",IF(INDEX(Config!$E$9:$E$29,MATCH($B1399,Config!$B$9:$B$29,0))="","",INDEX(Config!$E$9:$E$29,MATCH($B1399,Config!$B$9:$B$29,0))),""),""))</f>
        <v/>
      </c>
      <c r="AI1399" s="19" t="str">
        <f>IF($B1399="","",IFERROR(INDEX(Config!$D$9:$D$29,MATCH($B1399,Config!$B$9:$B$29,0))&amp;"",""))</f>
        <v/>
      </c>
    </row>
    <row r="1400">
      <c r="X1400" s="20" t="str">
        <f>IF($B1400="","",IFERROR(IF(INDEX(Config!$D$9:$D$29,MATCH($B1400,Config!$B$9:$B$29,0))="Contrato",IF(INDEX(Config!$E$9:$E$29,MATCH($B1400,Config!$B$9:$B$29,0))="","",INDEX(Config!$E$9:$E$29,MATCH($B1400,Config!$B$9:$B$29,0))),""),""))</f>
        <v/>
      </c>
      <c r="AI1400" s="19" t="str">
        <f>IF($B1400="","",IFERROR(INDEX(Config!$D$9:$D$29,MATCH($B1400,Config!$B$9:$B$29,0))&amp;"",""))</f>
        <v/>
      </c>
    </row>
    <row r="1401">
      <c r="X1401" s="20" t="str">
        <f>IF($B1401="","",IFERROR(IF(INDEX(Config!$D$9:$D$29,MATCH($B1401,Config!$B$9:$B$29,0))="Contrato",IF(INDEX(Config!$E$9:$E$29,MATCH($B1401,Config!$B$9:$B$29,0))="","",INDEX(Config!$E$9:$E$29,MATCH($B1401,Config!$B$9:$B$29,0))),""),""))</f>
        <v/>
      </c>
      <c r="AI1401" s="19" t="str">
        <f>IF($B1401="","",IFERROR(INDEX(Config!$D$9:$D$29,MATCH($B1401,Config!$B$9:$B$29,0))&amp;"",""))</f>
        <v/>
      </c>
    </row>
    <row r="1402">
      <c r="X1402" s="20" t="str">
        <f>IF($B1402="","",IFERROR(IF(INDEX(Config!$D$9:$D$29,MATCH($B1402,Config!$B$9:$B$29,0))="Contrato",IF(INDEX(Config!$E$9:$E$29,MATCH($B1402,Config!$B$9:$B$29,0))="","",INDEX(Config!$E$9:$E$29,MATCH($B1402,Config!$B$9:$B$29,0))),""),""))</f>
        <v/>
      </c>
      <c r="AI1402" s="19" t="str">
        <f>IF($B1402="","",IFERROR(INDEX(Config!$D$9:$D$29,MATCH($B1402,Config!$B$9:$B$29,0))&amp;"",""))</f>
        <v/>
      </c>
    </row>
    <row r="1403">
      <c r="X1403" s="20" t="str">
        <f>IF($B1403="","",IFERROR(IF(INDEX(Config!$D$9:$D$29,MATCH($B1403,Config!$B$9:$B$29,0))="Contrato",IF(INDEX(Config!$E$9:$E$29,MATCH($B1403,Config!$B$9:$B$29,0))="","",INDEX(Config!$E$9:$E$29,MATCH($B1403,Config!$B$9:$B$29,0))),""),""))</f>
        <v/>
      </c>
      <c r="AI1403" s="19" t="str">
        <f>IF($B1403="","",IFERROR(INDEX(Config!$D$9:$D$29,MATCH($B1403,Config!$B$9:$B$29,0))&amp;"",""))</f>
        <v/>
      </c>
    </row>
    <row r="1404">
      <c r="X1404" s="20" t="str">
        <f>IF($B1404="","",IFERROR(IF(INDEX(Config!$D$9:$D$29,MATCH($B1404,Config!$B$9:$B$29,0))="Contrato",IF(INDEX(Config!$E$9:$E$29,MATCH($B1404,Config!$B$9:$B$29,0))="","",INDEX(Config!$E$9:$E$29,MATCH($B1404,Config!$B$9:$B$29,0))),""),""))</f>
        <v/>
      </c>
      <c r="AI1404" s="19" t="str">
        <f>IF($B1404="","",IFERROR(INDEX(Config!$D$9:$D$29,MATCH($B1404,Config!$B$9:$B$29,0))&amp;"",""))</f>
        <v/>
      </c>
    </row>
    <row r="1405">
      <c r="X1405" s="20" t="str">
        <f>IF($B1405="","",IFERROR(IF(INDEX(Config!$D$9:$D$29,MATCH($B1405,Config!$B$9:$B$29,0))="Contrato",IF(INDEX(Config!$E$9:$E$29,MATCH($B1405,Config!$B$9:$B$29,0))="","",INDEX(Config!$E$9:$E$29,MATCH($B1405,Config!$B$9:$B$29,0))),""),""))</f>
        <v/>
      </c>
      <c r="AI1405" s="19" t="str">
        <f>IF($B1405="","",IFERROR(INDEX(Config!$D$9:$D$29,MATCH($B1405,Config!$B$9:$B$29,0))&amp;"",""))</f>
        <v/>
      </c>
    </row>
    <row r="1406">
      <c r="X1406" s="20" t="str">
        <f>IF($B1406="","",IFERROR(IF(INDEX(Config!$D$9:$D$29,MATCH($B1406,Config!$B$9:$B$29,0))="Contrato",IF(INDEX(Config!$E$9:$E$29,MATCH($B1406,Config!$B$9:$B$29,0))="","",INDEX(Config!$E$9:$E$29,MATCH($B1406,Config!$B$9:$B$29,0))),""),""))</f>
        <v/>
      </c>
      <c r="AI1406" s="19" t="str">
        <f>IF($B1406="","",IFERROR(INDEX(Config!$D$9:$D$29,MATCH($B1406,Config!$B$9:$B$29,0))&amp;"",""))</f>
        <v/>
      </c>
    </row>
    <row r="1407">
      <c r="X1407" s="20" t="str">
        <f>IF($B1407="","",IFERROR(IF(INDEX(Config!$D$9:$D$29,MATCH($B1407,Config!$B$9:$B$29,0))="Contrato",IF(INDEX(Config!$E$9:$E$29,MATCH($B1407,Config!$B$9:$B$29,0))="","",INDEX(Config!$E$9:$E$29,MATCH($B1407,Config!$B$9:$B$29,0))),""),""))</f>
        <v/>
      </c>
      <c r="AI1407" s="19" t="str">
        <f>IF($B1407="","",IFERROR(INDEX(Config!$D$9:$D$29,MATCH($B1407,Config!$B$9:$B$29,0))&amp;"",""))</f>
        <v/>
      </c>
    </row>
    <row r="1408">
      <c r="X1408" s="20" t="str">
        <f>IF($B1408="","",IFERROR(IF(INDEX(Config!$D$9:$D$29,MATCH($B1408,Config!$B$9:$B$29,0))="Contrato",IF(INDEX(Config!$E$9:$E$29,MATCH($B1408,Config!$B$9:$B$29,0))="","",INDEX(Config!$E$9:$E$29,MATCH($B1408,Config!$B$9:$B$29,0))),""),""))</f>
        <v/>
      </c>
      <c r="AI1408" s="19" t="str">
        <f>IF($B1408="","",IFERROR(INDEX(Config!$D$9:$D$29,MATCH($B1408,Config!$B$9:$B$29,0))&amp;"",""))</f>
        <v/>
      </c>
    </row>
    <row r="1409">
      <c r="X1409" s="20" t="str">
        <f>IF($B1409="","",IFERROR(IF(INDEX(Config!$D$9:$D$29,MATCH($B1409,Config!$B$9:$B$29,0))="Contrato",IF(INDEX(Config!$E$9:$E$29,MATCH($B1409,Config!$B$9:$B$29,0))="","",INDEX(Config!$E$9:$E$29,MATCH($B1409,Config!$B$9:$B$29,0))),""),""))</f>
        <v/>
      </c>
      <c r="AI1409" s="19" t="str">
        <f>IF($B1409="","",IFERROR(INDEX(Config!$D$9:$D$29,MATCH($B1409,Config!$B$9:$B$29,0))&amp;"",""))</f>
        <v/>
      </c>
    </row>
    <row r="1410">
      <c r="X1410" s="20" t="str">
        <f>IF($B1410="","",IFERROR(IF(INDEX(Config!$D$9:$D$29,MATCH($B1410,Config!$B$9:$B$29,0))="Contrato",IF(INDEX(Config!$E$9:$E$29,MATCH($B1410,Config!$B$9:$B$29,0))="","",INDEX(Config!$E$9:$E$29,MATCH($B1410,Config!$B$9:$B$29,0))),""),""))</f>
        <v/>
      </c>
      <c r="AI1410" s="19" t="str">
        <f>IF($B1410="","",IFERROR(INDEX(Config!$D$9:$D$29,MATCH($B1410,Config!$B$9:$B$29,0))&amp;"",""))</f>
        <v/>
      </c>
    </row>
    <row r="1411">
      <c r="X1411" s="20" t="str">
        <f>IF($B1411="","",IFERROR(IF(INDEX(Config!$D$9:$D$29,MATCH($B1411,Config!$B$9:$B$29,0))="Contrato",IF(INDEX(Config!$E$9:$E$29,MATCH($B1411,Config!$B$9:$B$29,0))="","",INDEX(Config!$E$9:$E$29,MATCH($B1411,Config!$B$9:$B$29,0))),""),""))</f>
        <v/>
      </c>
      <c r="AI1411" s="19" t="str">
        <f>IF($B1411="","",IFERROR(INDEX(Config!$D$9:$D$29,MATCH($B1411,Config!$B$9:$B$29,0))&amp;"",""))</f>
        <v/>
      </c>
    </row>
    <row r="1412">
      <c r="X1412" s="20" t="str">
        <f>IF($B1412="","",IFERROR(IF(INDEX(Config!$D$9:$D$29,MATCH($B1412,Config!$B$9:$B$29,0))="Contrato",IF(INDEX(Config!$E$9:$E$29,MATCH($B1412,Config!$B$9:$B$29,0))="","",INDEX(Config!$E$9:$E$29,MATCH($B1412,Config!$B$9:$B$29,0))),""),""))</f>
        <v/>
      </c>
      <c r="AI1412" s="19" t="str">
        <f>IF($B1412="","",IFERROR(INDEX(Config!$D$9:$D$29,MATCH($B1412,Config!$B$9:$B$29,0))&amp;"",""))</f>
        <v/>
      </c>
    </row>
    <row r="1413">
      <c r="X1413" s="20" t="str">
        <f>IF($B1413="","",IFERROR(IF(INDEX(Config!$D$9:$D$29,MATCH($B1413,Config!$B$9:$B$29,0))="Contrato",IF(INDEX(Config!$E$9:$E$29,MATCH($B1413,Config!$B$9:$B$29,0))="","",INDEX(Config!$E$9:$E$29,MATCH($B1413,Config!$B$9:$B$29,0))),""),""))</f>
        <v/>
      </c>
      <c r="AI1413" s="19" t="str">
        <f>IF($B1413="","",IFERROR(INDEX(Config!$D$9:$D$29,MATCH($B1413,Config!$B$9:$B$29,0))&amp;"",""))</f>
        <v/>
      </c>
    </row>
    <row r="1414">
      <c r="X1414" s="20" t="str">
        <f>IF($B1414="","",IFERROR(IF(INDEX(Config!$D$9:$D$29,MATCH($B1414,Config!$B$9:$B$29,0))="Contrato",IF(INDEX(Config!$E$9:$E$29,MATCH($B1414,Config!$B$9:$B$29,0))="","",INDEX(Config!$E$9:$E$29,MATCH($B1414,Config!$B$9:$B$29,0))),""),""))</f>
        <v/>
      </c>
      <c r="AI1414" s="19" t="str">
        <f>IF($B1414="","",IFERROR(INDEX(Config!$D$9:$D$29,MATCH($B1414,Config!$B$9:$B$29,0))&amp;"",""))</f>
        <v/>
      </c>
    </row>
    <row r="1415">
      <c r="X1415" s="20" t="str">
        <f>IF($B1415="","",IFERROR(IF(INDEX(Config!$D$9:$D$29,MATCH($B1415,Config!$B$9:$B$29,0))="Contrato",IF(INDEX(Config!$E$9:$E$29,MATCH($B1415,Config!$B$9:$B$29,0))="","",INDEX(Config!$E$9:$E$29,MATCH($B1415,Config!$B$9:$B$29,0))),""),""))</f>
        <v/>
      </c>
      <c r="AI1415" s="19" t="str">
        <f>IF($B1415="","",IFERROR(INDEX(Config!$D$9:$D$29,MATCH($B1415,Config!$B$9:$B$29,0))&amp;"",""))</f>
        <v/>
      </c>
    </row>
    <row r="1416">
      <c r="X1416" s="20" t="str">
        <f>IF($B1416="","",IFERROR(IF(INDEX(Config!$D$9:$D$29,MATCH($B1416,Config!$B$9:$B$29,0))="Contrato",IF(INDEX(Config!$E$9:$E$29,MATCH($B1416,Config!$B$9:$B$29,0))="","",INDEX(Config!$E$9:$E$29,MATCH($B1416,Config!$B$9:$B$29,0))),""),""))</f>
        <v/>
      </c>
      <c r="AI1416" s="19" t="str">
        <f>IF($B1416="","",IFERROR(INDEX(Config!$D$9:$D$29,MATCH($B1416,Config!$B$9:$B$29,0))&amp;"",""))</f>
        <v/>
      </c>
    </row>
    <row r="1417">
      <c r="X1417" s="20" t="str">
        <f>IF($B1417="","",IFERROR(IF(INDEX(Config!$D$9:$D$29,MATCH($B1417,Config!$B$9:$B$29,0))="Contrato",IF(INDEX(Config!$E$9:$E$29,MATCH($B1417,Config!$B$9:$B$29,0))="","",INDEX(Config!$E$9:$E$29,MATCH($B1417,Config!$B$9:$B$29,0))),""),""))</f>
        <v/>
      </c>
      <c r="AI1417" s="19" t="str">
        <f>IF($B1417="","",IFERROR(INDEX(Config!$D$9:$D$29,MATCH($B1417,Config!$B$9:$B$29,0))&amp;"",""))</f>
        <v/>
      </c>
    </row>
    <row r="1418">
      <c r="X1418" s="20" t="str">
        <f>IF($B1418="","",IFERROR(IF(INDEX(Config!$D$9:$D$29,MATCH($B1418,Config!$B$9:$B$29,0))="Contrato",IF(INDEX(Config!$E$9:$E$29,MATCH($B1418,Config!$B$9:$B$29,0))="","",INDEX(Config!$E$9:$E$29,MATCH($B1418,Config!$B$9:$B$29,0))),""),""))</f>
        <v/>
      </c>
      <c r="AI1418" s="19" t="str">
        <f>IF($B1418="","",IFERROR(INDEX(Config!$D$9:$D$29,MATCH($B1418,Config!$B$9:$B$29,0))&amp;"",""))</f>
        <v/>
      </c>
    </row>
    <row r="1419">
      <c r="X1419" s="20" t="str">
        <f>IF($B1419="","",IFERROR(IF(INDEX(Config!$D$9:$D$29,MATCH($B1419,Config!$B$9:$B$29,0))="Contrato",IF(INDEX(Config!$E$9:$E$29,MATCH($B1419,Config!$B$9:$B$29,0))="","",INDEX(Config!$E$9:$E$29,MATCH($B1419,Config!$B$9:$B$29,0))),""),""))</f>
        <v/>
      </c>
      <c r="AI1419" s="19" t="str">
        <f>IF($B1419="","",IFERROR(INDEX(Config!$D$9:$D$29,MATCH($B1419,Config!$B$9:$B$29,0))&amp;"",""))</f>
        <v/>
      </c>
    </row>
    <row r="1420">
      <c r="X1420" s="20" t="str">
        <f>IF($B1420="","",IFERROR(IF(INDEX(Config!$D$9:$D$29,MATCH($B1420,Config!$B$9:$B$29,0))="Contrato",IF(INDEX(Config!$E$9:$E$29,MATCH($B1420,Config!$B$9:$B$29,0))="","",INDEX(Config!$E$9:$E$29,MATCH($B1420,Config!$B$9:$B$29,0))),""),""))</f>
        <v/>
      </c>
      <c r="AI1420" s="19" t="str">
        <f>IF($B1420="","",IFERROR(INDEX(Config!$D$9:$D$29,MATCH($B1420,Config!$B$9:$B$29,0))&amp;"",""))</f>
        <v/>
      </c>
    </row>
    <row r="1421">
      <c r="X1421" s="20" t="str">
        <f>IF($B1421="","",IFERROR(IF(INDEX(Config!$D$9:$D$29,MATCH($B1421,Config!$B$9:$B$29,0))="Contrato",IF(INDEX(Config!$E$9:$E$29,MATCH($B1421,Config!$B$9:$B$29,0))="","",INDEX(Config!$E$9:$E$29,MATCH($B1421,Config!$B$9:$B$29,0))),""),""))</f>
        <v/>
      </c>
      <c r="AI1421" s="19" t="str">
        <f>IF($B1421="","",IFERROR(INDEX(Config!$D$9:$D$29,MATCH($B1421,Config!$B$9:$B$29,0))&amp;"",""))</f>
        <v/>
      </c>
    </row>
    <row r="1422">
      <c r="X1422" s="20" t="str">
        <f>IF($B1422="","",IFERROR(IF(INDEX(Config!$D$9:$D$29,MATCH($B1422,Config!$B$9:$B$29,0))="Contrato",IF(INDEX(Config!$E$9:$E$29,MATCH($B1422,Config!$B$9:$B$29,0))="","",INDEX(Config!$E$9:$E$29,MATCH($B1422,Config!$B$9:$B$29,0))),""),""))</f>
        <v/>
      </c>
      <c r="AI1422" s="19" t="str">
        <f>IF($B1422="","",IFERROR(INDEX(Config!$D$9:$D$29,MATCH($B1422,Config!$B$9:$B$29,0))&amp;"",""))</f>
        <v/>
      </c>
    </row>
    <row r="1423">
      <c r="X1423" s="20" t="str">
        <f>IF($B1423="","",IFERROR(IF(INDEX(Config!$D$9:$D$29,MATCH($B1423,Config!$B$9:$B$29,0))="Contrato",IF(INDEX(Config!$E$9:$E$29,MATCH($B1423,Config!$B$9:$B$29,0))="","",INDEX(Config!$E$9:$E$29,MATCH($B1423,Config!$B$9:$B$29,0))),""),""))</f>
        <v/>
      </c>
      <c r="AI1423" s="19" t="str">
        <f>IF($B1423="","",IFERROR(INDEX(Config!$D$9:$D$29,MATCH($B1423,Config!$B$9:$B$29,0))&amp;"",""))</f>
        <v/>
      </c>
    </row>
    <row r="1424">
      <c r="X1424" s="20" t="str">
        <f>IF($B1424="","",IFERROR(IF(INDEX(Config!$D$9:$D$29,MATCH($B1424,Config!$B$9:$B$29,0))="Contrato",IF(INDEX(Config!$E$9:$E$29,MATCH($B1424,Config!$B$9:$B$29,0))="","",INDEX(Config!$E$9:$E$29,MATCH($B1424,Config!$B$9:$B$29,0))),""),""))</f>
        <v/>
      </c>
      <c r="AI1424" s="19" t="str">
        <f>IF($B1424="","",IFERROR(INDEX(Config!$D$9:$D$29,MATCH($B1424,Config!$B$9:$B$29,0))&amp;"",""))</f>
        <v/>
      </c>
    </row>
    <row r="1425">
      <c r="X1425" s="20" t="str">
        <f>IF($B1425="","",IFERROR(IF(INDEX(Config!$D$9:$D$29,MATCH($B1425,Config!$B$9:$B$29,0))="Contrato",IF(INDEX(Config!$E$9:$E$29,MATCH($B1425,Config!$B$9:$B$29,0))="","",INDEX(Config!$E$9:$E$29,MATCH($B1425,Config!$B$9:$B$29,0))),""),""))</f>
        <v/>
      </c>
      <c r="AI1425" s="19" t="str">
        <f>IF($B1425="","",IFERROR(INDEX(Config!$D$9:$D$29,MATCH($B1425,Config!$B$9:$B$29,0))&amp;"",""))</f>
        <v/>
      </c>
    </row>
    <row r="1426">
      <c r="X1426" s="20" t="str">
        <f>IF($B1426="","",IFERROR(IF(INDEX(Config!$D$9:$D$29,MATCH($B1426,Config!$B$9:$B$29,0))="Contrato",IF(INDEX(Config!$E$9:$E$29,MATCH($B1426,Config!$B$9:$B$29,0))="","",INDEX(Config!$E$9:$E$29,MATCH($B1426,Config!$B$9:$B$29,0))),""),""))</f>
        <v/>
      </c>
      <c r="AI1426" s="19" t="str">
        <f>IF($B1426="","",IFERROR(INDEX(Config!$D$9:$D$29,MATCH($B1426,Config!$B$9:$B$29,0))&amp;"",""))</f>
        <v/>
      </c>
    </row>
    <row r="1427">
      <c r="X1427" s="20" t="str">
        <f>IF($B1427="","",IFERROR(IF(INDEX(Config!$D$9:$D$29,MATCH($B1427,Config!$B$9:$B$29,0))="Contrato",IF(INDEX(Config!$E$9:$E$29,MATCH($B1427,Config!$B$9:$B$29,0))="","",INDEX(Config!$E$9:$E$29,MATCH($B1427,Config!$B$9:$B$29,0))),""),""))</f>
        <v/>
      </c>
      <c r="AI1427" s="19" t="str">
        <f>IF($B1427="","",IFERROR(INDEX(Config!$D$9:$D$29,MATCH($B1427,Config!$B$9:$B$29,0))&amp;"",""))</f>
        <v/>
      </c>
    </row>
    <row r="1428">
      <c r="X1428" s="20" t="str">
        <f>IF($B1428="","",IFERROR(IF(INDEX(Config!$D$9:$D$29,MATCH($B1428,Config!$B$9:$B$29,0))="Contrato",IF(INDEX(Config!$E$9:$E$29,MATCH($B1428,Config!$B$9:$B$29,0))="","",INDEX(Config!$E$9:$E$29,MATCH($B1428,Config!$B$9:$B$29,0))),""),""))</f>
        <v/>
      </c>
      <c r="AI1428" s="19" t="str">
        <f>IF($B1428="","",IFERROR(INDEX(Config!$D$9:$D$29,MATCH($B1428,Config!$B$9:$B$29,0))&amp;"",""))</f>
        <v/>
      </c>
    </row>
    <row r="1429">
      <c r="X1429" s="20" t="str">
        <f>IF($B1429="","",IFERROR(IF(INDEX(Config!$D$9:$D$29,MATCH($B1429,Config!$B$9:$B$29,0))="Contrato",IF(INDEX(Config!$E$9:$E$29,MATCH($B1429,Config!$B$9:$B$29,0))="","",INDEX(Config!$E$9:$E$29,MATCH($B1429,Config!$B$9:$B$29,0))),""),""))</f>
        <v/>
      </c>
      <c r="AI1429" s="19" t="str">
        <f>IF($B1429="","",IFERROR(INDEX(Config!$D$9:$D$29,MATCH($B1429,Config!$B$9:$B$29,0))&amp;"",""))</f>
        <v/>
      </c>
    </row>
    <row r="1430">
      <c r="X1430" s="20" t="str">
        <f>IF($B1430="","",IFERROR(IF(INDEX(Config!$D$9:$D$29,MATCH($B1430,Config!$B$9:$B$29,0))="Contrato",IF(INDEX(Config!$E$9:$E$29,MATCH($B1430,Config!$B$9:$B$29,0))="","",INDEX(Config!$E$9:$E$29,MATCH($B1430,Config!$B$9:$B$29,0))),""),""))</f>
        <v/>
      </c>
      <c r="AI1430" s="19" t="str">
        <f>IF($B1430="","",IFERROR(INDEX(Config!$D$9:$D$29,MATCH($B1430,Config!$B$9:$B$29,0))&amp;"",""))</f>
        <v/>
      </c>
    </row>
    <row r="1431">
      <c r="X1431" s="20" t="str">
        <f>IF($B1431="","",IFERROR(IF(INDEX(Config!$D$9:$D$29,MATCH($B1431,Config!$B$9:$B$29,0))="Contrato",IF(INDEX(Config!$E$9:$E$29,MATCH($B1431,Config!$B$9:$B$29,0))="","",INDEX(Config!$E$9:$E$29,MATCH($B1431,Config!$B$9:$B$29,0))),""),""))</f>
        <v/>
      </c>
      <c r="AI1431" s="19" t="str">
        <f>IF($B1431="","",IFERROR(INDEX(Config!$D$9:$D$29,MATCH($B1431,Config!$B$9:$B$29,0))&amp;"",""))</f>
        <v/>
      </c>
    </row>
    <row r="1432">
      <c r="X1432" s="20" t="str">
        <f>IF($B1432="","",IFERROR(IF(INDEX(Config!$D$9:$D$29,MATCH($B1432,Config!$B$9:$B$29,0))="Contrato",IF(INDEX(Config!$E$9:$E$29,MATCH($B1432,Config!$B$9:$B$29,0))="","",INDEX(Config!$E$9:$E$29,MATCH($B1432,Config!$B$9:$B$29,0))),""),""))</f>
        <v/>
      </c>
      <c r="AI1432" s="19" t="str">
        <f>IF($B1432="","",IFERROR(INDEX(Config!$D$9:$D$29,MATCH($B1432,Config!$B$9:$B$29,0))&amp;"",""))</f>
        <v/>
      </c>
    </row>
    <row r="1433">
      <c r="X1433" s="20" t="str">
        <f>IF($B1433="","",IFERROR(IF(INDEX(Config!$D$9:$D$29,MATCH($B1433,Config!$B$9:$B$29,0))="Contrato",IF(INDEX(Config!$E$9:$E$29,MATCH($B1433,Config!$B$9:$B$29,0))="","",INDEX(Config!$E$9:$E$29,MATCH($B1433,Config!$B$9:$B$29,0))),""),""))</f>
        <v/>
      </c>
      <c r="AI1433" s="19" t="str">
        <f>IF($B1433="","",IFERROR(INDEX(Config!$D$9:$D$29,MATCH($B1433,Config!$B$9:$B$29,0))&amp;"",""))</f>
        <v/>
      </c>
    </row>
    <row r="1434">
      <c r="X1434" s="20" t="str">
        <f>IF($B1434="","",IFERROR(IF(INDEX(Config!$D$9:$D$29,MATCH($B1434,Config!$B$9:$B$29,0))="Contrato",IF(INDEX(Config!$E$9:$E$29,MATCH($B1434,Config!$B$9:$B$29,0))="","",INDEX(Config!$E$9:$E$29,MATCH($B1434,Config!$B$9:$B$29,0))),""),""))</f>
        <v/>
      </c>
      <c r="AI1434" s="19" t="str">
        <f>IF($B1434="","",IFERROR(INDEX(Config!$D$9:$D$29,MATCH($B1434,Config!$B$9:$B$29,0))&amp;"",""))</f>
        <v/>
      </c>
    </row>
    <row r="1435">
      <c r="X1435" s="20" t="str">
        <f>IF($B1435="","",IFERROR(IF(INDEX(Config!$D$9:$D$29,MATCH($B1435,Config!$B$9:$B$29,0))="Contrato",IF(INDEX(Config!$E$9:$E$29,MATCH($B1435,Config!$B$9:$B$29,0))="","",INDEX(Config!$E$9:$E$29,MATCH($B1435,Config!$B$9:$B$29,0))),""),""))</f>
        <v/>
      </c>
      <c r="AI1435" s="19" t="str">
        <f>IF($B1435="","",IFERROR(INDEX(Config!$D$9:$D$29,MATCH($B1435,Config!$B$9:$B$29,0))&amp;"",""))</f>
        <v/>
      </c>
    </row>
    <row r="1436">
      <c r="X1436" s="20" t="str">
        <f>IF($B1436="","",IFERROR(IF(INDEX(Config!$D$9:$D$29,MATCH($B1436,Config!$B$9:$B$29,0))="Contrato",IF(INDEX(Config!$E$9:$E$29,MATCH($B1436,Config!$B$9:$B$29,0))="","",INDEX(Config!$E$9:$E$29,MATCH($B1436,Config!$B$9:$B$29,0))),""),""))</f>
        <v/>
      </c>
      <c r="AI1436" s="19" t="str">
        <f>IF($B1436="","",IFERROR(INDEX(Config!$D$9:$D$29,MATCH($B1436,Config!$B$9:$B$29,0))&amp;"",""))</f>
        <v/>
      </c>
    </row>
    <row r="1437">
      <c r="X1437" s="20" t="str">
        <f>IF($B1437="","",IFERROR(IF(INDEX(Config!$D$9:$D$29,MATCH($B1437,Config!$B$9:$B$29,0))="Contrato",IF(INDEX(Config!$E$9:$E$29,MATCH($B1437,Config!$B$9:$B$29,0))="","",INDEX(Config!$E$9:$E$29,MATCH($B1437,Config!$B$9:$B$29,0))),""),""))</f>
        <v/>
      </c>
      <c r="AI1437" s="19" t="str">
        <f>IF($B1437="","",IFERROR(INDEX(Config!$D$9:$D$29,MATCH($B1437,Config!$B$9:$B$29,0))&amp;"",""))</f>
        <v/>
      </c>
    </row>
    <row r="1438">
      <c r="X1438" s="20" t="str">
        <f>IF($B1438="","",IFERROR(IF(INDEX(Config!$D$9:$D$29,MATCH($B1438,Config!$B$9:$B$29,0))="Contrato",IF(INDEX(Config!$E$9:$E$29,MATCH($B1438,Config!$B$9:$B$29,0))="","",INDEX(Config!$E$9:$E$29,MATCH($B1438,Config!$B$9:$B$29,0))),""),""))</f>
        <v/>
      </c>
      <c r="AI1438" s="19" t="str">
        <f>IF($B1438="","",IFERROR(INDEX(Config!$D$9:$D$29,MATCH($B1438,Config!$B$9:$B$29,0))&amp;"",""))</f>
        <v/>
      </c>
    </row>
    <row r="1439">
      <c r="X1439" s="20" t="str">
        <f>IF($B1439="","",IFERROR(IF(INDEX(Config!$D$9:$D$29,MATCH($B1439,Config!$B$9:$B$29,0))="Contrato",IF(INDEX(Config!$E$9:$E$29,MATCH($B1439,Config!$B$9:$B$29,0))="","",INDEX(Config!$E$9:$E$29,MATCH($B1439,Config!$B$9:$B$29,0))),""),""))</f>
        <v/>
      </c>
      <c r="AI1439" s="19" t="str">
        <f>IF($B1439="","",IFERROR(INDEX(Config!$D$9:$D$29,MATCH($B1439,Config!$B$9:$B$29,0))&amp;"",""))</f>
        <v/>
      </c>
    </row>
    <row r="1440">
      <c r="X1440" s="20" t="str">
        <f>IF($B1440="","",IFERROR(IF(INDEX(Config!$D$9:$D$29,MATCH($B1440,Config!$B$9:$B$29,0))="Contrato",IF(INDEX(Config!$E$9:$E$29,MATCH($B1440,Config!$B$9:$B$29,0))="","",INDEX(Config!$E$9:$E$29,MATCH($B1440,Config!$B$9:$B$29,0))),""),""))</f>
        <v/>
      </c>
      <c r="AI1440" s="19" t="str">
        <f>IF($B1440="","",IFERROR(INDEX(Config!$D$9:$D$29,MATCH($B1440,Config!$B$9:$B$29,0))&amp;"",""))</f>
        <v/>
      </c>
    </row>
    <row r="1441">
      <c r="X1441" s="20" t="str">
        <f>IF($B1441="","",IFERROR(IF(INDEX(Config!$D$9:$D$29,MATCH($B1441,Config!$B$9:$B$29,0))="Contrato",IF(INDEX(Config!$E$9:$E$29,MATCH($B1441,Config!$B$9:$B$29,0))="","",INDEX(Config!$E$9:$E$29,MATCH($B1441,Config!$B$9:$B$29,0))),""),""))</f>
        <v/>
      </c>
      <c r="AI1441" s="19" t="str">
        <f>IF($B1441="","",IFERROR(INDEX(Config!$D$9:$D$29,MATCH($B1441,Config!$B$9:$B$29,0))&amp;"",""))</f>
        <v/>
      </c>
    </row>
    <row r="1442">
      <c r="X1442" s="20" t="str">
        <f>IF($B1442="","",IFERROR(IF(INDEX(Config!$D$9:$D$29,MATCH($B1442,Config!$B$9:$B$29,0))="Contrato",IF(INDEX(Config!$E$9:$E$29,MATCH($B1442,Config!$B$9:$B$29,0))="","",INDEX(Config!$E$9:$E$29,MATCH($B1442,Config!$B$9:$B$29,0))),""),""))</f>
        <v/>
      </c>
      <c r="AI1442" s="19" t="str">
        <f>IF($B1442="","",IFERROR(INDEX(Config!$D$9:$D$29,MATCH($B1442,Config!$B$9:$B$29,0))&amp;"",""))</f>
        <v/>
      </c>
    </row>
    <row r="1443">
      <c r="X1443" s="20" t="str">
        <f>IF($B1443="","",IFERROR(IF(INDEX(Config!$D$9:$D$29,MATCH($B1443,Config!$B$9:$B$29,0))="Contrato",IF(INDEX(Config!$E$9:$E$29,MATCH($B1443,Config!$B$9:$B$29,0))="","",INDEX(Config!$E$9:$E$29,MATCH($B1443,Config!$B$9:$B$29,0))),""),""))</f>
        <v/>
      </c>
      <c r="AI1443" s="19" t="str">
        <f>IF($B1443="","",IFERROR(INDEX(Config!$D$9:$D$29,MATCH($B1443,Config!$B$9:$B$29,0))&amp;"",""))</f>
        <v/>
      </c>
    </row>
    <row r="1444">
      <c r="X1444" s="20" t="str">
        <f>IF($B1444="","",IFERROR(IF(INDEX(Config!$D$9:$D$29,MATCH($B1444,Config!$B$9:$B$29,0))="Contrato",IF(INDEX(Config!$E$9:$E$29,MATCH($B1444,Config!$B$9:$B$29,0))="","",INDEX(Config!$E$9:$E$29,MATCH($B1444,Config!$B$9:$B$29,0))),""),""))</f>
        <v/>
      </c>
      <c r="AI1444" s="19" t="str">
        <f>IF($B1444="","",IFERROR(INDEX(Config!$D$9:$D$29,MATCH($B1444,Config!$B$9:$B$29,0))&amp;"",""))</f>
        <v/>
      </c>
    </row>
    <row r="1445">
      <c r="X1445" s="20" t="str">
        <f>IF($B1445="","",IFERROR(IF(INDEX(Config!$D$9:$D$29,MATCH($B1445,Config!$B$9:$B$29,0))="Contrato",IF(INDEX(Config!$E$9:$E$29,MATCH($B1445,Config!$B$9:$B$29,0))="","",INDEX(Config!$E$9:$E$29,MATCH($B1445,Config!$B$9:$B$29,0))),""),""))</f>
        <v/>
      </c>
      <c r="AI1445" s="19" t="str">
        <f>IF($B1445="","",IFERROR(INDEX(Config!$D$9:$D$29,MATCH($B1445,Config!$B$9:$B$29,0))&amp;"",""))</f>
        <v/>
      </c>
    </row>
    <row r="1446">
      <c r="X1446" s="20" t="str">
        <f>IF($B1446="","",IFERROR(IF(INDEX(Config!$D$9:$D$29,MATCH($B1446,Config!$B$9:$B$29,0))="Contrato",IF(INDEX(Config!$E$9:$E$29,MATCH($B1446,Config!$B$9:$B$29,0))="","",INDEX(Config!$E$9:$E$29,MATCH($B1446,Config!$B$9:$B$29,0))),""),""))</f>
        <v/>
      </c>
      <c r="AI1446" s="19" t="str">
        <f>IF($B1446="","",IFERROR(INDEX(Config!$D$9:$D$29,MATCH($B1446,Config!$B$9:$B$29,0))&amp;"",""))</f>
        <v/>
      </c>
    </row>
    <row r="1447">
      <c r="X1447" s="20" t="str">
        <f>IF($B1447="","",IFERROR(IF(INDEX(Config!$D$9:$D$29,MATCH($B1447,Config!$B$9:$B$29,0))="Contrato",IF(INDEX(Config!$E$9:$E$29,MATCH($B1447,Config!$B$9:$B$29,0))="","",INDEX(Config!$E$9:$E$29,MATCH($B1447,Config!$B$9:$B$29,0))),""),""))</f>
        <v/>
      </c>
      <c r="AI1447" s="19" t="str">
        <f>IF($B1447="","",IFERROR(INDEX(Config!$D$9:$D$29,MATCH($B1447,Config!$B$9:$B$29,0))&amp;"",""))</f>
        <v/>
      </c>
    </row>
    <row r="1448">
      <c r="X1448" s="20" t="str">
        <f>IF($B1448="","",IFERROR(IF(INDEX(Config!$D$9:$D$29,MATCH($B1448,Config!$B$9:$B$29,0))="Contrato",IF(INDEX(Config!$E$9:$E$29,MATCH($B1448,Config!$B$9:$B$29,0))="","",INDEX(Config!$E$9:$E$29,MATCH($B1448,Config!$B$9:$B$29,0))),""),""))</f>
        <v/>
      </c>
      <c r="AI1448" s="19" t="str">
        <f>IF($B1448="","",IFERROR(INDEX(Config!$D$9:$D$29,MATCH($B1448,Config!$B$9:$B$29,0))&amp;"",""))</f>
        <v/>
      </c>
    </row>
    <row r="1449">
      <c r="X1449" s="20" t="str">
        <f>IF($B1449="","",IFERROR(IF(INDEX(Config!$D$9:$D$29,MATCH($B1449,Config!$B$9:$B$29,0))="Contrato",IF(INDEX(Config!$E$9:$E$29,MATCH($B1449,Config!$B$9:$B$29,0))="","",INDEX(Config!$E$9:$E$29,MATCH($B1449,Config!$B$9:$B$29,0))),""),""))</f>
        <v/>
      </c>
      <c r="AI1449" s="19" t="str">
        <f>IF($B1449="","",IFERROR(INDEX(Config!$D$9:$D$29,MATCH($B1449,Config!$B$9:$B$29,0))&amp;"",""))</f>
        <v/>
      </c>
    </row>
    <row r="1450">
      <c r="X1450" s="20" t="str">
        <f>IF($B1450="","",IFERROR(IF(INDEX(Config!$D$9:$D$29,MATCH($B1450,Config!$B$9:$B$29,0))="Contrato",IF(INDEX(Config!$E$9:$E$29,MATCH($B1450,Config!$B$9:$B$29,0))="","",INDEX(Config!$E$9:$E$29,MATCH($B1450,Config!$B$9:$B$29,0))),""),""))</f>
        <v/>
      </c>
      <c r="AI1450" s="19" t="str">
        <f>IF($B1450="","",IFERROR(INDEX(Config!$D$9:$D$29,MATCH($B1450,Config!$B$9:$B$29,0))&amp;"",""))</f>
        <v/>
      </c>
    </row>
    <row r="1451">
      <c r="X1451" s="20" t="str">
        <f>IF($B1451="","",IFERROR(IF(INDEX(Config!$D$9:$D$29,MATCH($B1451,Config!$B$9:$B$29,0))="Contrato",IF(INDEX(Config!$E$9:$E$29,MATCH($B1451,Config!$B$9:$B$29,0))="","",INDEX(Config!$E$9:$E$29,MATCH($B1451,Config!$B$9:$B$29,0))),""),""))</f>
        <v/>
      </c>
      <c r="AI1451" s="19" t="str">
        <f>IF($B1451="","",IFERROR(INDEX(Config!$D$9:$D$29,MATCH($B1451,Config!$B$9:$B$29,0))&amp;"",""))</f>
        <v/>
      </c>
    </row>
    <row r="1452">
      <c r="X1452" s="20" t="str">
        <f>IF($B1452="","",IFERROR(IF(INDEX(Config!$D$9:$D$29,MATCH($B1452,Config!$B$9:$B$29,0))="Contrato",IF(INDEX(Config!$E$9:$E$29,MATCH($B1452,Config!$B$9:$B$29,0))="","",INDEX(Config!$E$9:$E$29,MATCH($B1452,Config!$B$9:$B$29,0))),""),""))</f>
        <v/>
      </c>
      <c r="AI1452" s="19" t="str">
        <f>IF($B1452="","",IFERROR(INDEX(Config!$D$9:$D$29,MATCH($B1452,Config!$B$9:$B$29,0))&amp;"",""))</f>
        <v/>
      </c>
    </row>
    <row r="1453">
      <c r="X1453" s="20" t="str">
        <f>IF($B1453="","",IFERROR(IF(INDEX(Config!$D$9:$D$29,MATCH($B1453,Config!$B$9:$B$29,0))="Contrato",IF(INDEX(Config!$E$9:$E$29,MATCH($B1453,Config!$B$9:$B$29,0))="","",INDEX(Config!$E$9:$E$29,MATCH($B1453,Config!$B$9:$B$29,0))),""),""))</f>
        <v/>
      </c>
      <c r="AI1453" s="19" t="str">
        <f>IF($B1453="","",IFERROR(INDEX(Config!$D$9:$D$29,MATCH($B1453,Config!$B$9:$B$29,0))&amp;"",""))</f>
        <v/>
      </c>
    </row>
    <row r="1454">
      <c r="X1454" s="20" t="str">
        <f>IF($B1454="","",IFERROR(IF(INDEX(Config!$D$9:$D$29,MATCH($B1454,Config!$B$9:$B$29,0))="Contrato",IF(INDEX(Config!$E$9:$E$29,MATCH($B1454,Config!$B$9:$B$29,0))="","",INDEX(Config!$E$9:$E$29,MATCH($B1454,Config!$B$9:$B$29,0))),""),""))</f>
        <v/>
      </c>
      <c r="AI1454" s="19" t="str">
        <f>IF($B1454="","",IFERROR(INDEX(Config!$D$9:$D$29,MATCH($B1454,Config!$B$9:$B$29,0))&amp;"",""))</f>
        <v/>
      </c>
    </row>
    <row r="1455">
      <c r="X1455" s="20" t="str">
        <f>IF($B1455="","",IFERROR(IF(INDEX(Config!$D$9:$D$29,MATCH($B1455,Config!$B$9:$B$29,0))="Contrato",IF(INDEX(Config!$E$9:$E$29,MATCH($B1455,Config!$B$9:$B$29,0))="","",INDEX(Config!$E$9:$E$29,MATCH($B1455,Config!$B$9:$B$29,0))),""),""))</f>
        <v/>
      </c>
      <c r="AI1455" s="19" t="str">
        <f>IF($B1455="","",IFERROR(INDEX(Config!$D$9:$D$29,MATCH($B1455,Config!$B$9:$B$29,0))&amp;"",""))</f>
        <v/>
      </c>
    </row>
    <row r="1456">
      <c r="X1456" s="20" t="str">
        <f>IF($B1456="","",IFERROR(IF(INDEX(Config!$D$9:$D$29,MATCH($B1456,Config!$B$9:$B$29,0))="Contrato",IF(INDEX(Config!$E$9:$E$29,MATCH($B1456,Config!$B$9:$B$29,0))="","",INDEX(Config!$E$9:$E$29,MATCH($B1456,Config!$B$9:$B$29,0))),""),""))</f>
        <v/>
      </c>
      <c r="AI1456" s="19" t="str">
        <f>IF($B1456="","",IFERROR(INDEX(Config!$D$9:$D$29,MATCH($B1456,Config!$B$9:$B$29,0))&amp;"",""))</f>
        <v/>
      </c>
    </row>
    <row r="1457">
      <c r="X1457" s="20" t="str">
        <f>IF($B1457="","",IFERROR(IF(INDEX(Config!$D$9:$D$29,MATCH($B1457,Config!$B$9:$B$29,0))="Contrato",IF(INDEX(Config!$E$9:$E$29,MATCH($B1457,Config!$B$9:$B$29,0))="","",INDEX(Config!$E$9:$E$29,MATCH($B1457,Config!$B$9:$B$29,0))),""),""))</f>
        <v/>
      </c>
      <c r="AI1457" s="19" t="str">
        <f>IF($B1457="","",IFERROR(INDEX(Config!$D$9:$D$29,MATCH($B1457,Config!$B$9:$B$29,0))&amp;"",""))</f>
        <v/>
      </c>
    </row>
    <row r="1458">
      <c r="X1458" s="20" t="str">
        <f>IF($B1458="","",IFERROR(IF(INDEX(Config!$D$9:$D$29,MATCH($B1458,Config!$B$9:$B$29,0))="Contrato",IF(INDEX(Config!$E$9:$E$29,MATCH($B1458,Config!$B$9:$B$29,0))="","",INDEX(Config!$E$9:$E$29,MATCH($B1458,Config!$B$9:$B$29,0))),""),""))</f>
        <v/>
      </c>
      <c r="AI1458" s="19" t="str">
        <f>IF($B1458="","",IFERROR(INDEX(Config!$D$9:$D$29,MATCH($B1458,Config!$B$9:$B$29,0))&amp;"",""))</f>
        <v/>
      </c>
    </row>
    <row r="1459">
      <c r="X1459" s="20" t="str">
        <f>IF($B1459="","",IFERROR(IF(INDEX(Config!$D$9:$D$29,MATCH($B1459,Config!$B$9:$B$29,0))="Contrato",IF(INDEX(Config!$E$9:$E$29,MATCH($B1459,Config!$B$9:$B$29,0))="","",INDEX(Config!$E$9:$E$29,MATCH($B1459,Config!$B$9:$B$29,0))),""),""))</f>
        <v/>
      </c>
      <c r="AI1459" s="19" t="str">
        <f>IF($B1459="","",IFERROR(INDEX(Config!$D$9:$D$29,MATCH($B1459,Config!$B$9:$B$29,0))&amp;"",""))</f>
        <v/>
      </c>
    </row>
    <row r="1460">
      <c r="X1460" s="20" t="str">
        <f>IF($B1460="","",IFERROR(IF(INDEX(Config!$D$9:$D$29,MATCH($B1460,Config!$B$9:$B$29,0))="Contrato",IF(INDEX(Config!$E$9:$E$29,MATCH($B1460,Config!$B$9:$B$29,0))="","",INDEX(Config!$E$9:$E$29,MATCH($B1460,Config!$B$9:$B$29,0))),""),""))</f>
        <v/>
      </c>
      <c r="AI1460" s="19" t="str">
        <f>IF($B1460="","",IFERROR(INDEX(Config!$D$9:$D$29,MATCH($B1460,Config!$B$9:$B$29,0))&amp;"",""))</f>
        <v/>
      </c>
    </row>
    <row r="1461">
      <c r="X1461" s="20" t="str">
        <f>IF($B1461="","",IFERROR(IF(INDEX(Config!$D$9:$D$29,MATCH($B1461,Config!$B$9:$B$29,0))="Contrato",IF(INDEX(Config!$E$9:$E$29,MATCH($B1461,Config!$B$9:$B$29,0))="","",INDEX(Config!$E$9:$E$29,MATCH($B1461,Config!$B$9:$B$29,0))),""),""))</f>
        <v/>
      </c>
      <c r="AI1461" s="19" t="str">
        <f>IF($B1461="","",IFERROR(INDEX(Config!$D$9:$D$29,MATCH($B1461,Config!$B$9:$B$29,0))&amp;"",""))</f>
        <v/>
      </c>
    </row>
    <row r="1462">
      <c r="X1462" s="20" t="str">
        <f>IF($B1462="","",IFERROR(IF(INDEX(Config!$D$9:$D$29,MATCH($B1462,Config!$B$9:$B$29,0))="Contrato",IF(INDEX(Config!$E$9:$E$29,MATCH($B1462,Config!$B$9:$B$29,0))="","",INDEX(Config!$E$9:$E$29,MATCH($B1462,Config!$B$9:$B$29,0))),""),""))</f>
        <v/>
      </c>
      <c r="AI1462" s="19" t="str">
        <f>IF($B1462="","",IFERROR(INDEX(Config!$D$9:$D$29,MATCH($B1462,Config!$B$9:$B$29,0))&amp;"",""))</f>
        <v/>
      </c>
    </row>
    <row r="1463">
      <c r="X1463" s="20" t="str">
        <f>IF($B1463="","",IFERROR(IF(INDEX(Config!$D$9:$D$29,MATCH($B1463,Config!$B$9:$B$29,0))="Contrato",IF(INDEX(Config!$E$9:$E$29,MATCH($B1463,Config!$B$9:$B$29,0))="","",INDEX(Config!$E$9:$E$29,MATCH($B1463,Config!$B$9:$B$29,0))),""),""))</f>
        <v/>
      </c>
      <c r="AI1463" s="19" t="str">
        <f>IF($B1463="","",IFERROR(INDEX(Config!$D$9:$D$29,MATCH($B1463,Config!$B$9:$B$29,0))&amp;"",""))</f>
        <v/>
      </c>
    </row>
    <row r="1464">
      <c r="X1464" s="20" t="str">
        <f>IF($B1464="","",IFERROR(IF(INDEX(Config!$D$9:$D$29,MATCH($B1464,Config!$B$9:$B$29,0))="Contrato",IF(INDEX(Config!$E$9:$E$29,MATCH($B1464,Config!$B$9:$B$29,0))="","",INDEX(Config!$E$9:$E$29,MATCH($B1464,Config!$B$9:$B$29,0))),""),""))</f>
        <v/>
      </c>
      <c r="AI1464" s="19" t="str">
        <f>IF($B1464="","",IFERROR(INDEX(Config!$D$9:$D$29,MATCH($B1464,Config!$B$9:$B$29,0))&amp;"",""))</f>
        <v/>
      </c>
    </row>
    <row r="1465">
      <c r="X1465" s="20" t="str">
        <f>IF($B1465="","",IFERROR(IF(INDEX(Config!$D$9:$D$29,MATCH($B1465,Config!$B$9:$B$29,0))="Contrato",IF(INDEX(Config!$E$9:$E$29,MATCH($B1465,Config!$B$9:$B$29,0))="","",INDEX(Config!$E$9:$E$29,MATCH($B1465,Config!$B$9:$B$29,0))),""),""))</f>
        <v/>
      </c>
      <c r="AI1465" s="19" t="str">
        <f>IF($B1465="","",IFERROR(INDEX(Config!$D$9:$D$29,MATCH($B1465,Config!$B$9:$B$29,0))&amp;"",""))</f>
        <v/>
      </c>
    </row>
    <row r="1466">
      <c r="X1466" s="20" t="str">
        <f>IF($B1466="","",IFERROR(IF(INDEX(Config!$D$9:$D$29,MATCH($B1466,Config!$B$9:$B$29,0))="Contrato",IF(INDEX(Config!$E$9:$E$29,MATCH($B1466,Config!$B$9:$B$29,0))="","",INDEX(Config!$E$9:$E$29,MATCH($B1466,Config!$B$9:$B$29,0))),""),""))</f>
        <v/>
      </c>
      <c r="AI1466" s="19" t="str">
        <f>IF($B1466="","",IFERROR(INDEX(Config!$D$9:$D$29,MATCH($B1466,Config!$B$9:$B$29,0))&amp;"",""))</f>
        <v/>
      </c>
    </row>
    <row r="1467">
      <c r="X1467" s="20" t="str">
        <f>IF($B1467="","",IFERROR(IF(INDEX(Config!$D$9:$D$29,MATCH($B1467,Config!$B$9:$B$29,0))="Contrato",IF(INDEX(Config!$E$9:$E$29,MATCH($B1467,Config!$B$9:$B$29,0))="","",INDEX(Config!$E$9:$E$29,MATCH($B1467,Config!$B$9:$B$29,0))),""),""))</f>
        <v/>
      </c>
      <c r="AI1467" s="19" t="str">
        <f>IF($B1467="","",IFERROR(INDEX(Config!$D$9:$D$29,MATCH($B1467,Config!$B$9:$B$29,0))&amp;"",""))</f>
        <v/>
      </c>
    </row>
    <row r="1468">
      <c r="X1468" s="20" t="str">
        <f>IF($B1468="","",IFERROR(IF(INDEX(Config!$D$9:$D$29,MATCH($B1468,Config!$B$9:$B$29,0))="Contrato",IF(INDEX(Config!$E$9:$E$29,MATCH($B1468,Config!$B$9:$B$29,0))="","",INDEX(Config!$E$9:$E$29,MATCH($B1468,Config!$B$9:$B$29,0))),""),""))</f>
        <v/>
      </c>
      <c r="AI1468" s="19" t="str">
        <f>IF($B1468="","",IFERROR(INDEX(Config!$D$9:$D$29,MATCH($B1468,Config!$B$9:$B$29,0))&amp;"",""))</f>
        <v/>
      </c>
    </row>
    <row r="1469">
      <c r="X1469" s="20" t="str">
        <f>IF($B1469="","",IFERROR(IF(INDEX(Config!$D$9:$D$29,MATCH($B1469,Config!$B$9:$B$29,0))="Contrato",IF(INDEX(Config!$E$9:$E$29,MATCH($B1469,Config!$B$9:$B$29,0))="","",INDEX(Config!$E$9:$E$29,MATCH($B1469,Config!$B$9:$B$29,0))),""),""))</f>
        <v/>
      </c>
      <c r="AI1469" s="19" t="str">
        <f>IF($B1469="","",IFERROR(INDEX(Config!$D$9:$D$29,MATCH($B1469,Config!$B$9:$B$29,0))&amp;"",""))</f>
        <v/>
      </c>
    </row>
    <row r="1470">
      <c r="X1470" s="20" t="str">
        <f>IF($B1470="","",IFERROR(IF(INDEX(Config!$D$9:$D$29,MATCH($B1470,Config!$B$9:$B$29,0))="Contrato",IF(INDEX(Config!$E$9:$E$29,MATCH($B1470,Config!$B$9:$B$29,0))="","",INDEX(Config!$E$9:$E$29,MATCH($B1470,Config!$B$9:$B$29,0))),""),""))</f>
        <v/>
      </c>
      <c r="AI1470" s="19" t="str">
        <f>IF($B1470="","",IFERROR(INDEX(Config!$D$9:$D$29,MATCH($B1470,Config!$B$9:$B$29,0))&amp;"",""))</f>
        <v/>
      </c>
    </row>
    <row r="1471">
      <c r="X1471" s="20" t="str">
        <f>IF($B1471="","",IFERROR(IF(INDEX(Config!$D$9:$D$29,MATCH($B1471,Config!$B$9:$B$29,0))="Contrato",IF(INDEX(Config!$E$9:$E$29,MATCH($B1471,Config!$B$9:$B$29,0))="","",INDEX(Config!$E$9:$E$29,MATCH($B1471,Config!$B$9:$B$29,0))),""),""))</f>
        <v/>
      </c>
      <c r="AI1471" s="19" t="str">
        <f>IF($B1471="","",IFERROR(INDEX(Config!$D$9:$D$29,MATCH($B1471,Config!$B$9:$B$29,0))&amp;"",""))</f>
        <v/>
      </c>
    </row>
    <row r="1472">
      <c r="X1472" s="20" t="str">
        <f>IF($B1472="","",IFERROR(IF(INDEX(Config!$D$9:$D$29,MATCH($B1472,Config!$B$9:$B$29,0))="Contrato",IF(INDEX(Config!$E$9:$E$29,MATCH($B1472,Config!$B$9:$B$29,0))="","",INDEX(Config!$E$9:$E$29,MATCH($B1472,Config!$B$9:$B$29,0))),""),""))</f>
        <v/>
      </c>
      <c r="AI1472" s="19" t="str">
        <f>IF($B1472="","",IFERROR(INDEX(Config!$D$9:$D$29,MATCH($B1472,Config!$B$9:$B$29,0))&amp;"",""))</f>
        <v/>
      </c>
    </row>
    <row r="1473">
      <c r="X1473" s="20" t="str">
        <f>IF($B1473="","",IFERROR(IF(INDEX(Config!$D$9:$D$29,MATCH($B1473,Config!$B$9:$B$29,0))="Contrato",IF(INDEX(Config!$E$9:$E$29,MATCH($B1473,Config!$B$9:$B$29,0))="","",INDEX(Config!$E$9:$E$29,MATCH($B1473,Config!$B$9:$B$29,0))),""),""))</f>
        <v/>
      </c>
      <c r="AI1473" s="19" t="str">
        <f>IF($B1473="","",IFERROR(INDEX(Config!$D$9:$D$29,MATCH($B1473,Config!$B$9:$B$29,0))&amp;"",""))</f>
        <v/>
      </c>
    </row>
    <row r="1474">
      <c r="X1474" s="20" t="str">
        <f>IF($B1474="","",IFERROR(IF(INDEX(Config!$D$9:$D$29,MATCH($B1474,Config!$B$9:$B$29,0))="Contrato",IF(INDEX(Config!$E$9:$E$29,MATCH($B1474,Config!$B$9:$B$29,0))="","",INDEX(Config!$E$9:$E$29,MATCH($B1474,Config!$B$9:$B$29,0))),""),""))</f>
        <v/>
      </c>
      <c r="AI1474" s="19" t="str">
        <f>IF($B1474="","",IFERROR(INDEX(Config!$D$9:$D$29,MATCH($B1474,Config!$B$9:$B$29,0))&amp;"",""))</f>
        <v/>
      </c>
    </row>
    <row r="1475">
      <c r="X1475" s="20" t="str">
        <f>IF($B1475="","",IFERROR(IF(INDEX(Config!$D$9:$D$29,MATCH($B1475,Config!$B$9:$B$29,0))="Contrato",IF(INDEX(Config!$E$9:$E$29,MATCH($B1475,Config!$B$9:$B$29,0))="","",INDEX(Config!$E$9:$E$29,MATCH($B1475,Config!$B$9:$B$29,0))),""),""))</f>
        <v/>
      </c>
      <c r="AI1475" s="19" t="str">
        <f>IF($B1475="","",IFERROR(INDEX(Config!$D$9:$D$29,MATCH($B1475,Config!$B$9:$B$29,0))&amp;"",""))</f>
        <v/>
      </c>
    </row>
    <row r="1476">
      <c r="X1476" s="20" t="str">
        <f>IF($B1476="","",IFERROR(IF(INDEX(Config!$D$9:$D$29,MATCH($B1476,Config!$B$9:$B$29,0))="Contrato",IF(INDEX(Config!$E$9:$E$29,MATCH($B1476,Config!$B$9:$B$29,0))="","",INDEX(Config!$E$9:$E$29,MATCH($B1476,Config!$B$9:$B$29,0))),""),""))</f>
        <v/>
      </c>
      <c r="AI1476" s="19" t="str">
        <f>IF($B1476="","",IFERROR(INDEX(Config!$D$9:$D$29,MATCH($B1476,Config!$B$9:$B$29,0))&amp;"",""))</f>
        <v/>
      </c>
    </row>
    <row r="1477">
      <c r="X1477" s="20" t="str">
        <f>IF($B1477="","",IFERROR(IF(INDEX(Config!$D$9:$D$29,MATCH($B1477,Config!$B$9:$B$29,0))="Contrato",IF(INDEX(Config!$E$9:$E$29,MATCH($B1477,Config!$B$9:$B$29,0))="","",INDEX(Config!$E$9:$E$29,MATCH($B1477,Config!$B$9:$B$29,0))),""),""))</f>
        <v/>
      </c>
      <c r="AI1477" s="19" t="str">
        <f>IF($B1477="","",IFERROR(INDEX(Config!$D$9:$D$29,MATCH($B1477,Config!$B$9:$B$29,0))&amp;"",""))</f>
        <v/>
      </c>
    </row>
    <row r="1478">
      <c r="X1478" s="20" t="str">
        <f>IF($B1478="","",IFERROR(IF(INDEX(Config!$D$9:$D$29,MATCH($B1478,Config!$B$9:$B$29,0))="Contrato",IF(INDEX(Config!$E$9:$E$29,MATCH($B1478,Config!$B$9:$B$29,0))="","",INDEX(Config!$E$9:$E$29,MATCH($B1478,Config!$B$9:$B$29,0))),""),""))</f>
        <v/>
      </c>
      <c r="AI1478" s="19" t="str">
        <f>IF($B1478="","",IFERROR(INDEX(Config!$D$9:$D$29,MATCH($B1478,Config!$B$9:$B$29,0))&amp;"",""))</f>
        <v/>
      </c>
    </row>
    <row r="1479">
      <c r="X1479" s="20" t="str">
        <f>IF($B1479="","",IFERROR(IF(INDEX(Config!$D$9:$D$29,MATCH($B1479,Config!$B$9:$B$29,0))="Contrato",IF(INDEX(Config!$E$9:$E$29,MATCH($B1479,Config!$B$9:$B$29,0))="","",INDEX(Config!$E$9:$E$29,MATCH($B1479,Config!$B$9:$B$29,0))),""),""))</f>
        <v/>
      </c>
      <c r="AI1479" s="19" t="str">
        <f>IF($B1479="","",IFERROR(INDEX(Config!$D$9:$D$29,MATCH($B1479,Config!$B$9:$B$29,0))&amp;"",""))</f>
        <v/>
      </c>
    </row>
    <row r="1480">
      <c r="X1480" s="20" t="str">
        <f>IF($B1480="","",IFERROR(IF(INDEX(Config!$D$9:$D$29,MATCH($B1480,Config!$B$9:$B$29,0))="Contrato",IF(INDEX(Config!$E$9:$E$29,MATCH($B1480,Config!$B$9:$B$29,0))="","",INDEX(Config!$E$9:$E$29,MATCH($B1480,Config!$B$9:$B$29,0))),""),""))</f>
        <v/>
      </c>
      <c r="AI1480" s="19" t="str">
        <f>IF($B1480="","",IFERROR(INDEX(Config!$D$9:$D$29,MATCH($B1480,Config!$B$9:$B$29,0))&amp;"",""))</f>
        <v/>
      </c>
    </row>
    <row r="1481">
      <c r="X1481" s="20" t="str">
        <f>IF($B1481="","",IFERROR(IF(INDEX(Config!$D$9:$D$29,MATCH($B1481,Config!$B$9:$B$29,0))="Contrato",IF(INDEX(Config!$E$9:$E$29,MATCH($B1481,Config!$B$9:$B$29,0))="","",INDEX(Config!$E$9:$E$29,MATCH($B1481,Config!$B$9:$B$29,0))),""),""))</f>
        <v/>
      </c>
      <c r="AI1481" s="19" t="str">
        <f>IF($B1481="","",IFERROR(INDEX(Config!$D$9:$D$29,MATCH($B1481,Config!$B$9:$B$29,0))&amp;"",""))</f>
        <v/>
      </c>
    </row>
    <row r="1482">
      <c r="X1482" s="20" t="str">
        <f>IF($B1482="","",IFERROR(IF(INDEX(Config!$D$9:$D$29,MATCH($B1482,Config!$B$9:$B$29,0))="Contrato",IF(INDEX(Config!$E$9:$E$29,MATCH($B1482,Config!$B$9:$B$29,0))="","",INDEX(Config!$E$9:$E$29,MATCH($B1482,Config!$B$9:$B$29,0))),""),""))</f>
        <v/>
      </c>
      <c r="AI1482" s="19" t="str">
        <f>IF($B1482="","",IFERROR(INDEX(Config!$D$9:$D$29,MATCH($B1482,Config!$B$9:$B$29,0))&amp;"",""))</f>
        <v/>
      </c>
    </row>
    <row r="1483">
      <c r="X1483" s="20" t="str">
        <f>IF($B1483="","",IFERROR(IF(INDEX(Config!$D$9:$D$29,MATCH($B1483,Config!$B$9:$B$29,0))="Contrato",IF(INDEX(Config!$E$9:$E$29,MATCH($B1483,Config!$B$9:$B$29,0))="","",INDEX(Config!$E$9:$E$29,MATCH($B1483,Config!$B$9:$B$29,0))),""),""))</f>
        <v/>
      </c>
      <c r="AI1483" s="19" t="str">
        <f>IF($B1483="","",IFERROR(INDEX(Config!$D$9:$D$29,MATCH($B1483,Config!$B$9:$B$29,0))&amp;"",""))</f>
        <v/>
      </c>
    </row>
    <row r="1484">
      <c r="X1484" s="20" t="str">
        <f>IF($B1484="","",IFERROR(IF(INDEX(Config!$D$9:$D$29,MATCH($B1484,Config!$B$9:$B$29,0))="Contrato",IF(INDEX(Config!$E$9:$E$29,MATCH($B1484,Config!$B$9:$B$29,0))="","",INDEX(Config!$E$9:$E$29,MATCH($B1484,Config!$B$9:$B$29,0))),""),""))</f>
        <v/>
      </c>
      <c r="AI1484" s="19" t="str">
        <f>IF($B1484="","",IFERROR(INDEX(Config!$D$9:$D$29,MATCH($B1484,Config!$B$9:$B$29,0))&amp;"",""))</f>
        <v/>
      </c>
    </row>
    <row r="1485">
      <c r="X1485" s="20" t="str">
        <f>IF($B1485="","",IFERROR(IF(INDEX(Config!$D$9:$D$29,MATCH($B1485,Config!$B$9:$B$29,0))="Contrato",IF(INDEX(Config!$E$9:$E$29,MATCH($B1485,Config!$B$9:$B$29,0))="","",INDEX(Config!$E$9:$E$29,MATCH($B1485,Config!$B$9:$B$29,0))),""),""))</f>
        <v/>
      </c>
      <c r="AI1485" s="19" t="str">
        <f>IF($B1485="","",IFERROR(INDEX(Config!$D$9:$D$29,MATCH($B1485,Config!$B$9:$B$29,0))&amp;"",""))</f>
        <v/>
      </c>
    </row>
    <row r="1486">
      <c r="X1486" s="20" t="str">
        <f>IF($B1486="","",IFERROR(IF(INDEX(Config!$D$9:$D$29,MATCH($B1486,Config!$B$9:$B$29,0))="Contrato",IF(INDEX(Config!$E$9:$E$29,MATCH($B1486,Config!$B$9:$B$29,0))="","",INDEX(Config!$E$9:$E$29,MATCH($B1486,Config!$B$9:$B$29,0))),""),""))</f>
        <v/>
      </c>
      <c r="AI1486" s="19" t="str">
        <f>IF($B1486="","",IFERROR(INDEX(Config!$D$9:$D$29,MATCH($B1486,Config!$B$9:$B$29,0))&amp;"",""))</f>
        <v/>
      </c>
    </row>
    <row r="1487">
      <c r="X1487" s="20" t="str">
        <f>IF($B1487="","",IFERROR(IF(INDEX(Config!$D$9:$D$29,MATCH($B1487,Config!$B$9:$B$29,0))="Contrato",IF(INDEX(Config!$E$9:$E$29,MATCH($B1487,Config!$B$9:$B$29,0))="","",INDEX(Config!$E$9:$E$29,MATCH($B1487,Config!$B$9:$B$29,0))),""),""))</f>
        <v/>
      </c>
      <c r="AI1487" s="19" t="str">
        <f>IF($B1487="","",IFERROR(INDEX(Config!$D$9:$D$29,MATCH($B1487,Config!$B$9:$B$29,0))&amp;"",""))</f>
        <v/>
      </c>
    </row>
    <row r="1488">
      <c r="X1488" s="20" t="str">
        <f>IF($B1488="","",IFERROR(IF(INDEX(Config!$D$9:$D$29,MATCH($B1488,Config!$B$9:$B$29,0))="Contrato",IF(INDEX(Config!$E$9:$E$29,MATCH($B1488,Config!$B$9:$B$29,0))="","",INDEX(Config!$E$9:$E$29,MATCH($B1488,Config!$B$9:$B$29,0))),""),""))</f>
        <v/>
      </c>
      <c r="AI1488" s="19" t="str">
        <f>IF($B1488="","",IFERROR(INDEX(Config!$D$9:$D$29,MATCH($B1488,Config!$B$9:$B$29,0))&amp;"",""))</f>
        <v/>
      </c>
    </row>
    <row r="1489">
      <c r="X1489" s="20" t="str">
        <f>IF($B1489="","",IFERROR(IF(INDEX(Config!$D$9:$D$29,MATCH($B1489,Config!$B$9:$B$29,0))="Contrato",IF(INDEX(Config!$E$9:$E$29,MATCH($B1489,Config!$B$9:$B$29,0))="","",INDEX(Config!$E$9:$E$29,MATCH($B1489,Config!$B$9:$B$29,0))),""),""))</f>
        <v/>
      </c>
      <c r="AI1489" s="19" t="str">
        <f>IF($B1489="","",IFERROR(INDEX(Config!$D$9:$D$29,MATCH($B1489,Config!$B$9:$B$29,0))&amp;"",""))</f>
        <v/>
      </c>
    </row>
    <row r="1490">
      <c r="X1490" s="20" t="str">
        <f>IF($B1490="","",IFERROR(IF(INDEX(Config!$D$9:$D$29,MATCH($B1490,Config!$B$9:$B$29,0))="Contrato",IF(INDEX(Config!$E$9:$E$29,MATCH($B1490,Config!$B$9:$B$29,0))="","",INDEX(Config!$E$9:$E$29,MATCH($B1490,Config!$B$9:$B$29,0))),""),""))</f>
        <v/>
      </c>
      <c r="AI1490" s="19" t="str">
        <f>IF($B1490="","",IFERROR(INDEX(Config!$D$9:$D$29,MATCH($B1490,Config!$B$9:$B$29,0))&amp;"",""))</f>
        <v/>
      </c>
    </row>
    <row r="1491">
      <c r="X1491" s="20" t="str">
        <f>IF($B1491="","",IFERROR(IF(INDEX(Config!$D$9:$D$29,MATCH($B1491,Config!$B$9:$B$29,0))="Contrato",IF(INDEX(Config!$E$9:$E$29,MATCH($B1491,Config!$B$9:$B$29,0))="","",INDEX(Config!$E$9:$E$29,MATCH($B1491,Config!$B$9:$B$29,0))),""),""))</f>
        <v/>
      </c>
      <c r="AI1491" s="19" t="str">
        <f>IF($B1491="","",IFERROR(INDEX(Config!$D$9:$D$29,MATCH($B1491,Config!$B$9:$B$29,0))&amp;"",""))</f>
        <v/>
      </c>
    </row>
    <row r="1492">
      <c r="X1492" s="20" t="str">
        <f>IF($B1492="","",IFERROR(IF(INDEX(Config!$D$9:$D$29,MATCH($B1492,Config!$B$9:$B$29,0))="Contrato",IF(INDEX(Config!$E$9:$E$29,MATCH($B1492,Config!$B$9:$B$29,0))="","",INDEX(Config!$E$9:$E$29,MATCH($B1492,Config!$B$9:$B$29,0))),""),""))</f>
        <v/>
      </c>
      <c r="AI1492" s="19" t="str">
        <f>IF($B1492="","",IFERROR(INDEX(Config!$D$9:$D$29,MATCH($B1492,Config!$B$9:$B$29,0))&amp;"",""))</f>
        <v/>
      </c>
    </row>
    <row r="1493">
      <c r="X1493" s="20" t="str">
        <f>IF($B1493="","",IFERROR(IF(INDEX(Config!$D$9:$D$29,MATCH($B1493,Config!$B$9:$B$29,0))="Contrato",IF(INDEX(Config!$E$9:$E$29,MATCH($B1493,Config!$B$9:$B$29,0))="","",INDEX(Config!$E$9:$E$29,MATCH($B1493,Config!$B$9:$B$29,0))),""),""))</f>
        <v/>
      </c>
      <c r="AI1493" s="19" t="str">
        <f>IF($B1493="","",IFERROR(INDEX(Config!$D$9:$D$29,MATCH($B1493,Config!$B$9:$B$29,0))&amp;"",""))</f>
        <v/>
      </c>
    </row>
    <row r="1494">
      <c r="X1494" s="20" t="str">
        <f>IF($B1494="","",IFERROR(IF(INDEX(Config!$D$9:$D$29,MATCH($B1494,Config!$B$9:$B$29,0))="Contrato",IF(INDEX(Config!$E$9:$E$29,MATCH($B1494,Config!$B$9:$B$29,0))="","",INDEX(Config!$E$9:$E$29,MATCH($B1494,Config!$B$9:$B$29,0))),""),""))</f>
        <v/>
      </c>
      <c r="AI1494" s="19" t="str">
        <f>IF($B1494="","",IFERROR(INDEX(Config!$D$9:$D$29,MATCH($B1494,Config!$B$9:$B$29,0))&amp;"",""))</f>
        <v/>
      </c>
    </row>
    <row r="1495">
      <c r="X1495" s="20" t="str">
        <f>IF($B1495="","",IFERROR(IF(INDEX(Config!$D$9:$D$29,MATCH($B1495,Config!$B$9:$B$29,0))="Contrato",IF(INDEX(Config!$E$9:$E$29,MATCH($B1495,Config!$B$9:$B$29,0))="","",INDEX(Config!$E$9:$E$29,MATCH($B1495,Config!$B$9:$B$29,0))),""),""))</f>
        <v/>
      </c>
      <c r="AI1495" s="19" t="str">
        <f>IF($B1495="","",IFERROR(INDEX(Config!$D$9:$D$29,MATCH($B1495,Config!$B$9:$B$29,0))&amp;"",""))</f>
        <v/>
      </c>
    </row>
    <row r="1496">
      <c r="X1496" s="20" t="str">
        <f>IF($B1496="","",IFERROR(IF(INDEX(Config!$D$9:$D$29,MATCH($B1496,Config!$B$9:$B$29,0))="Contrato",IF(INDEX(Config!$E$9:$E$29,MATCH($B1496,Config!$B$9:$B$29,0))="","",INDEX(Config!$E$9:$E$29,MATCH($B1496,Config!$B$9:$B$29,0))),""),""))</f>
        <v/>
      </c>
      <c r="AI1496" s="19" t="str">
        <f>IF($B1496="","",IFERROR(INDEX(Config!$D$9:$D$29,MATCH($B1496,Config!$B$9:$B$29,0))&amp;"",""))</f>
        <v/>
      </c>
    </row>
    <row r="1497">
      <c r="X1497" s="20" t="str">
        <f>IF($B1497="","",IFERROR(IF(INDEX(Config!$D$9:$D$29,MATCH($B1497,Config!$B$9:$B$29,0))="Contrato",IF(INDEX(Config!$E$9:$E$29,MATCH($B1497,Config!$B$9:$B$29,0))="","",INDEX(Config!$E$9:$E$29,MATCH($B1497,Config!$B$9:$B$29,0))),""),""))</f>
        <v/>
      </c>
      <c r="AI1497" s="19" t="str">
        <f>IF($B1497="","",IFERROR(INDEX(Config!$D$9:$D$29,MATCH($B1497,Config!$B$9:$B$29,0))&amp;"",""))</f>
        <v/>
      </c>
    </row>
    <row r="1498">
      <c r="X1498" s="20" t="str">
        <f>IF($B1498="","",IFERROR(IF(INDEX(Config!$D$9:$D$29,MATCH($B1498,Config!$B$9:$B$29,0))="Contrato",IF(INDEX(Config!$E$9:$E$29,MATCH($B1498,Config!$B$9:$B$29,0))="","",INDEX(Config!$E$9:$E$29,MATCH($B1498,Config!$B$9:$B$29,0))),""),""))</f>
        <v/>
      </c>
      <c r="AI1498" s="19" t="str">
        <f>IF($B1498="","",IFERROR(INDEX(Config!$D$9:$D$29,MATCH($B1498,Config!$B$9:$B$29,0))&amp;"",""))</f>
        <v/>
      </c>
    </row>
    <row r="1499">
      <c r="X1499" s="20" t="str">
        <f>IF($B1499="","",IFERROR(IF(INDEX(Config!$D$9:$D$29,MATCH($B1499,Config!$B$9:$B$29,0))="Contrato",IF(INDEX(Config!$E$9:$E$29,MATCH($B1499,Config!$B$9:$B$29,0))="","",INDEX(Config!$E$9:$E$29,MATCH($B1499,Config!$B$9:$B$29,0))),""),""))</f>
        <v/>
      </c>
      <c r="AI1499" s="19" t="str">
        <f>IF($B1499="","",IFERROR(INDEX(Config!$D$9:$D$29,MATCH($B1499,Config!$B$9:$B$29,0))&amp;"",""))</f>
        <v/>
      </c>
    </row>
    <row r="1500">
      <c r="X1500" s="20" t="str">
        <f>IF($B1500="","",IFERROR(IF(INDEX(Config!$D$9:$D$29,MATCH($B1500,Config!$B$9:$B$29,0))="Contrato",IF(INDEX(Config!$E$9:$E$29,MATCH($B1500,Config!$B$9:$B$29,0))="","",INDEX(Config!$E$9:$E$29,MATCH($B1500,Config!$B$9:$B$29,0))),""),""))</f>
        <v/>
      </c>
      <c r="AI1500" s="19" t="str">
        <f>IF($B1500="","",IFERROR(INDEX(Config!$D$9:$D$29,MATCH($B1500,Config!$B$9:$B$29,0))&amp;"",""))</f>
        <v/>
      </c>
    </row>
    <row r="1501">
      <c r="X1501" s="20" t="str">
        <f>IF($B1501="","",IFERROR(IF(INDEX(Config!$D$9:$D$29,MATCH($B1501,Config!$B$9:$B$29,0))="Contrato",IF(INDEX(Config!$E$9:$E$29,MATCH($B1501,Config!$B$9:$B$29,0))="","",INDEX(Config!$E$9:$E$29,MATCH($B1501,Config!$B$9:$B$29,0))),""),""))</f>
        <v/>
      </c>
      <c r="AI1501" s="19" t="str">
        <f>IF($B1501="","",IFERROR(INDEX(Config!$D$9:$D$29,MATCH($B1501,Config!$B$9:$B$29,0))&amp;"",""))</f>
        <v/>
      </c>
    </row>
    <row r="1502">
      <c r="X1502" s="20" t="str">
        <f>IF($B1502="","",IFERROR(IF(INDEX(Config!$D$9:$D$29,MATCH($B1502,Config!$B$9:$B$29,0))="Contrato",IF(INDEX(Config!$E$9:$E$29,MATCH($B1502,Config!$B$9:$B$29,0))="","",INDEX(Config!$E$9:$E$29,MATCH($B1502,Config!$B$9:$B$29,0))),""),""))</f>
        <v/>
      </c>
      <c r="AI1502" s="19" t="str">
        <f>IF($B1502="","",IFERROR(INDEX(Config!$D$9:$D$29,MATCH($B1502,Config!$B$9:$B$29,0))&amp;"",""))</f>
        <v/>
      </c>
    </row>
    <row r="1503">
      <c r="X1503" s="20" t="str">
        <f>IF($B1503="","",IFERROR(IF(INDEX(Config!$D$9:$D$29,MATCH($B1503,Config!$B$9:$B$29,0))="Contrato",IF(INDEX(Config!$E$9:$E$29,MATCH($B1503,Config!$B$9:$B$29,0))="","",INDEX(Config!$E$9:$E$29,MATCH($B1503,Config!$B$9:$B$29,0))),""),""))</f>
        <v/>
      </c>
      <c r="AI1503" s="19" t="str">
        <f>IF($B1503="","",IFERROR(INDEX(Config!$D$9:$D$29,MATCH($B1503,Config!$B$9:$B$29,0))&amp;"",""))</f>
        <v/>
      </c>
    </row>
    <row r="1504">
      <c r="X1504" s="20" t="str">
        <f>IF($B1504="","",IFERROR(IF(INDEX(Config!$D$9:$D$29,MATCH($B1504,Config!$B$9:$B$29,0))="Contrato",IF(INDEX(Config!$E$9:$E$29,MATCH($B1504,Config!$B$9:$B$29,0))="","",INDEX(Config!$E$9:$E$29,MATCH($B1504,Config!$B$9:$B$29,0))),""),""))</f>
        <v/>
      </c>
      <c r="AI1504" s="19" t="str">
        <f>IF($B1504="","",IFERROR(INDEX(Config!$D$9:$D$29,MATCH($B1504,Config!$B$9:$B$29,0))&amp;"",""))</f>
        <v/>
      </c>
    </row>
    <row r="1505">
      <c r="X1505" s="20" t="str">
        <f>IF($B1505="","",IFERROR(IF(INDEX(Config!$D$9:$D$29,MATCH($B1505,Config!$B$9:$B$29,0))="Contrato",IF(INDEX(Config!$E$9:$E$29,MATCH($B1505,Config!$B$9:$B$29,0))="","",INDEX(Config!$E$9:$E$29,MATCH($B1505,Config!$B$9:$B$29,0))),""),""))</f>
        <v/>
      </c>
      <c r="AI1505" s="19" t="str">
        <f>IF($B1505="","",IFERROR(INDEX(Config!$D$9:$D$29,MATCH($B1505,Config!$B$9:$B$29,0))&amp;"",""))</f>
        <v/>
      </c>
    </row>
    <row r="1506">
      <c r="X1506" s="20" t="str">
        <f>IF($B1506="","",IFERROR(IF(INDEX(Config!$D$9:$D$29,MATCH($B1506,Config!$B$9:$B$29,0))="Contrato",IF(INDEX(Config!$E$9:$E$29,MATCH($B1506,Config!$B$9:$B$29,0))="","",INDEX(Config!$E$9:$E$29,MATCH($B1506,Config!$B$9:$B$29,0))),""),""))</f>
        <v/>
      </c>
      <c r="AI1506" s="19" t="str">
        <f>IF($B1506="","",IFERROR(INDEX(Config!$D$9:$D$29,MATCH($B1506,Config!$B$9:$B$29,0))&amp;"",""))</f>
        <v/>
      </c>
    </row>
    <row r="1507">
      <c r="X1507" s="20" t="str">
        <f>IF($B1507="","",IFERROR(IF(INDEX(Config!$D$9:$D$29,MATCH($B1507,Config!$B$9:$B$29,0))="Contrato",IF(INDEX(Config!$E$9:$E$29,MATCH($B1507,Config!$B$9:$B$29,0))="","",INDEX(Config!$E$9:$E$29,MATCH($B1507,Config!$B$9:$B$29,0))),""),""))</f>
        <v/>
      </c>
      <c r="AI1507" s="19" t="str">
        <f>IF($B1507="","",IFERROR(INDEX(Config!$D$9:$D$29,MATCH($B1507,Config!$B$9:$B$29,0))&amp;"",""))</f>
        <v/>
      </c>
    </row>
    <row r="1508">
      <c r="X1508" s="20" t="str">
        <f>IF($B1508="","",IFERROR(IF(INDEX(Config!$D$9:$D$29,MATCH($B1508,Config!$B$9:$B$29,0))="Contrato",IF(INDEX(Config!$E$9:$E$29,MATCH($B1508,Config!$B$9:$B$29,0))="","",INDEX(Config!$E$9:$E$29,MATCH($B1508,Config!$B$9:$B$29,0))),""),""))</f>
        <v/>
      </c>
      <c r="AI1508" s="19" t="str">
        <f>IF($B1508="","",IFERROR(INDEX(Config!$D$9:$D$29,MATCH($B1508,Config!$B$9:$B$29,0))&amp;"",""))</f>
        <v/>
      </c>
    </row>
    <row r="1509">
      <c r="X1509" s="20" t="str">
        <f>IF($B1509="","",IFERROR(IF(INDEX(Config!$D$9:$D$29,MATCH($B1509,Config!$B$9:$B$29,0))="Contrato",IF(INDEX(Config!$E$9:$E$29,MATCH($B1509,Config!$B$9:$B$29,0))="","",INDEX(Config!$E$9:$E$29,MATCH($B1509,Config!$B$9:$B$29,0))),""),""))</f>
        <v/>
      </c>
      <c r="AI1509" s="19" t="str">
        <f>IF($B1509="","",IFERROR(INDEX(Config!$D$9:$D$29,MATCH($B1509,Config!$B$9:$B$29,0))&amp;"",""))</f>
        <v/>
      </c>
    </row>
    <row r="1510">
      <c r="X1510" s="20" t="str">
        <f>IF($B1510="","",IFERROR(IF(INDEX(Config!$D$9:$D$29,MATCH($B1510,Config!$B$9:$B$29,0))="Contrato",IF(INDEX(Config!$E$9:$E$29,MATCH($B1510,Config!$B$9:$B$29,0))="","",INDEX(Config!$E$9:$E$29,MATCH($B1510,Config!$B$9:$B$29,0))),""),""))</f>
        <v/>
      </c>
      <c r="AI1510" s="19" t="str">
        <f>IF($B1510="","",IFERROR(INDEX(Config!$D$9:$D$29,MATCH($B1510,Config!$B$9:$B$29,0))&amp;"",""))</f>
        <v/>
      </c>
    </row>
    <row r="1511">
      <c r="X1511" s="20" t="str">
        <f>IF($B1511="","",IFERROR(IF(INDEX(Config!$D$9:$D$29,MATCH($B1511,Config!$B$9:$B$29,0))="Contrato",IF(INDEX(Config!$E$9:$E$29,MATCH($B1511,Config!$B$9:$B$29,0))="","",INDEX(Config!$E$9:$E$29,MATCH($B1511,Config!$B$9:$B$29,0))),""),""))</f>
        <v/>
      </c>
      <c r="AI1511" s="19" t="str">
        <f>IF($B1511="","",IFERROR(INDEX(Config!$D$9:$D$29,MATCH($B1511,Config!$B$9:$B$29,0))&amp;"",""))</f>
        <v/>
      </c>
    </row>
    <row r="1512">
      <c r="X1512" s="20" t="str">
        <f>IF($B1512="","",IFERROR(IF(INDEX(Config!$D$9:$D$29,MATCH($B1512,Config!$B$9:$B$29,0))="Contrato",IF(INDEX(Config!$E$9:$E$29,MATCH($B1512,Config!$B$9:$B$29,0))="","",INDEX(Config!$E$9:$E$29,MATCH($B1512,Config!$B$9:$B$29,0))),""),""))</f>
        <v/>
      </c>
      <c r="AI1512" s="19" t="str">
        <f>IF($B1512="","",IFERROR(INDEX(Config!$D$9:$D$29,MATCH($B1512,Config!$B$9:$B$29,0))&amp;"",""))</f>
        <v/>
      </c>
    </row>
    <row r="1513">
      <c r="X1513" s="20" t="str">
        <f>IF($B1513="","",IFERROR(IF(INDEX(Config!$D$9:$D$29,MATCH($B1513,Config!$B$9:$B$29,0))="Contrato",IF(INDEX(Config!$E$9:$E$29,MATCH($B1513,Config!$B$9:$B$29,0))="","",INDEX(Config!$E$9:$E$29,MATCH($B1513,Config!$B$9:$B$29,0))),""),""))</f>
        <v/>
      </c>
      <c r="AI1513" s="19" t="str">
        <f>IF($B1513="","",IFERROR(INDEX(Config!$D$9:$D$29,MATCH($B1513,Config!$B$9:$B$29,0))&amp;"",""))</f>
        <v/>
      </c>
    </row>
    <row r="1514">
      <c r="X1514" s="20" t="str">
        <f>IF($B1514="","",IFERROR(IF(INDEX(Config!$D$9:$D$29,MATCH($B1514,Config!$B$9:$B$29,0))="Contrato",IF(INDEX(Config!$E$9:$E$29,MATCH($B1514,Config!$B$9:$B$29,0))="","",INDEX(Config!$E$9:$E$29,MATCH($B1514,Config!$B$9:$B$29,0))),""),""))</f>
        <v/>
      </c>
      <c r="AI1514" s="19" t="str">
        <f>IF($B1514="","",IFERROR(INDEX(Config!$D$9:$D$29,MATCH($B1514,Config!$B$9:$B$29,0))&amp;"",""))</f>
        <v/>
      </c>
    </row>
    <row r="1515">
      <c r="X1515" s="20" t="str">
        <f>IF($B1515="","",IFERROR(IF(INDEX(Config!$D$9:$D$29,MATCH($B1515,Config!$B$9:$B$29,0))="Contrato",IF(INDEX(Config!$E$9:$E$29,MATCH($B1515,Config!$B$9:$B$29,0))="","",INDEX(Config!$E$9:$E$29,MATCH($B1515,Config!$B$9:$B$29,0))),""),""))</f>
        <v/>
      </c>
      <c r="AI1515" s="19" t="str">
        <f>IF($B1515="","",IFERROR(INDEX(Config!$D$9:$D$29,MATCH($B1515,Config!$B$9:$B$29,0))&amp;"",""))</f>
        <v/>
      </c>
    </row>
    <row r="1516">
      <c r="X1516" s="20" t="str">
        <f>IF($B1516="","",IFERROR(IF(INDEX(Config!$D$9:$D$29,MATCH($B1516,Config!$B$9:$B$29,0))="Contrato",IF(INDEX(Config!$E$9:$E$29,MATCH($B1516,Config!$B$9:$B$29,0))="","",INDEX(Config!$E$9:$E$29,MATCH($B1516,Config!$B$9:$B$29,0))),""),""))</f>
        <v/>
      </c>
      <c r="AI1516" s="19" t="str">
        <f>IF($B1516="","",IFERROR(INDEX(Config!$D$9:$D$29,MATCH($B1516,Config!$B$9:$B$29,0))&amp;"",""))</f>
        <v/>
      </c>
    </row>
    <row r="1517">
      <c r="X1517" s="20" t="str">
        <f>IF($B1517="","",IFERROR(IF(INDEX(Config!$D$9:$D$29,MATCH($B1517,Config!$B$9:$B$29,0))="Contrato",IF(INDEX(Config!$E$9:$E$29,MATCH($B1517,Config!$B$9:$B$29,0))="","",INDEX(Config!$E$9:$E$29,MATCH($B1517,Config!$B$9:$B$29,0))),""),""))</f>
        <v/>
      </c>
      <c r="AI1517" s="19" t="str">
        <f>IF($B1517="","",IFERROR(INDEX(Config!$D$9:$D$29,MATCH($B1517,Config!$B$9:$B$29,0))&amp;"",""))</f>
        <v/>
      </c>
    </row>
    <row r="1518">
      <c r="X1518" s="20" t="str">
        <f>IF($B1518="","",IFERROR(IF(INDEX(Config!$D$9:$D$29,MATCH($B1518,Config!$B$9:$B$29,0))="Contrato",IF(INDEX(Config!$E$9:$E$29,MATCH($B1518,Config!$B$9:$B$29,0))="","",INDEX(Config!$E$9:$E$29,MATCH($B1518,Config!$B$9:$B$29,0))),""),""))</f>
        <v/>
      </c>
      <c r="AI1518" s="19" t="str">
        <f>IF($B1518="","",IFERROR(INDEX(Config!$D$9:$D$29,MATCH($B1518,Config!$B$9:$B$29,0))&amp;"",""))</f>
        <v/>
      </c>
    </row>
    <row r="1519">
      <c r="X1519" s="20" t="str">
        <f>IF($B1519="","",IFERROR(IF(INDEX(Config!$D$9:$D$29,MATCH($B1519,Config!$B$9:$B$29,0))="Contrato",IF(INDEX(Config!$E$9:$E$29,MATCH($B1519,Config!$B$9:$B$29,0))="","",INDEX(Config!$E$9:$E$29,MATCH($B1519,Config!$B$9:$B$29,0))),""),""))</f>
        <v/>
      </c>
      <c r="AI1519" s="19" t="str">
        <f>IF($B1519="","",IFERROR(INDEX(Config!$D$9:$D$29,MATCH($B1519,Config!$B$9:$B$29,0))&amp;"",""))</f>
        <v/>
      </c>
    </row>
    <row r="1520">
      <c r="X1520" s="20" t="str">
        <f>IF($B1520="","",IFERROR(IF(INDEX(Config!$D$9:$D$29,MATCH($B1520,Config!$B$9:$B$29,0))="Contrato",IF(INDEX(Config!$E$9:$E$29,MATCH($B1520,Config!$B$9:$B$29,0))="","",INDEX(Config!$E$9:$E$29,MATCH($B1520,Config!$B$9:$B$29,0))),""),""))</f>
        <v/>
      </c>
      <c r="AI1520" s="19" t="str">
        <f>IF($B1520="","",IFERROR(INDEX(Config!$D$9:$D$29,MATCH($B1520,Config!$B$9:$B$29,0))&amp;"",""))</f>
        <v/>
      </c>
    </row>
    <row r="1521">
      <c r="X1521" s="20" t="str">
        <f>IF($B1521="","",IFERROR(IF(INDEX(Config!$D$9:$D$29,MATCH($B1521,Config!$B$9:$B$29,0))="Contrato",IF(INDEX(Config!$E$9:$E$29,MATCH($B1521,Config!$B$9:$B$29,0))="","",INDEX(Config!$E$9:$E$29,MATCH($B1521,Config!$B$9:$B$29,0))),""),""))</f>
        <v/>
      </c>
      <c r="AI1521" s="19" t="str">
        <f>IF($B1521="","",IFERROR(INDEX(Config!$D$9:$D$29,MATCH($B1521,Config!$B$9:$B$29,0))&amp;"",""))</f>
        <v/>
      </c>
    </row>
    <row r="1522">
      <c r="X1522" s="20" t="str">
        <f>IF($B1522="","",IFERROR(IF(INDEX(Config!$D$9:$D$29,MATCH($B1522,Config!$B$9:$B$29,0))="Contrato",IF(INDEX(Config!$E$9:$E$29,MATCH($B1522,Config!$B$9:$B$29,0))="","",INDEX(Config!$E$9:$E$29,MATCH($B1522,Config!$B$9:$B$29,0))),""),""))</f>
        <v/>
      </c>
      <c r="AI1522" s="19" t="str">
        <f>IF($B1522="","",IFERROR(INDEX(Config!$D$9:$D$29,MATCH($B1522,Config!$B$9:$B$29,0))&amp;"",""))</f>
        <v/>
      </c>
    </row>
    <row r="1523">
      <c r="X1523" s="20" t="str">
        <f>IF($B1523="","",IFERROR(IF(INDEX(Config!$D$9:$D$29,MATCH($B1523,Config!$B$9:$B$29,0))="Contrato",IF(INDEX(Config!$E$9:$E$29,MATCH($B1523,Config!$B$9:$B$29,0))="","",INDEX(Config!$E$9:$E$29,MATCH($B1523,Config!$B$9:$B$29,0))),""),""))</f>
        <v/>
      </c>
      <c r="AI1523" s="19" t="str">
        <f>IF($B1523="","",IFERROR(INDEX(Config!$D$9:$D$29,MATCH($B1523,Config!$B$9:$B$29,0))&amp;"",""))</f>
        <v/>
      </c>
    </row>
    <row r="1524">
      <c r="X1524" s="20" t="str">
        <f>IF($B1524="","",IFERROR(IF(INDEX(Config!$D$9:$D$29,MATCH($B1524,Config!$B$9:$B$29,0))="Contrato",IF(INDEX(Config!$E$9:$E$29,MATCH($B1524,Config!$B$9:$B$29,0))="","",INDEX(Config!$E$9:$E$29,MATCH($B1524,Config!$B$9:$B$29,0))),""),""))</f>
        <v/>
      </c>
      <c r="AI1524" s="19" t="str">
        <f>IF($B1524="","",IFERROR(INDEX(Config!$D$9:$D$29,MATCH($B1524,Config!$B$9:$B$29,0))&amp;"",""))</f>
        <v/>
      </c>
    </row>
    <row r="1525">
      <c r="X1525" s="20" t="str">
        <f>IF($B1525="","",IFERROR(IF(INDEX(Config!$D$9:$D$29,MATCH($B1525,Config!$B$9:$B$29,0))="Contrato",IF(INDEX(Config!$E$9:$E$29,MATCH($B1525,Config!$B$9:$B$29,0))="","",INDEX(Config!$E$9:$E$29,MATCH($B1525,Config!$B$9:$B$29,0))),""),""))</f>
        <v/>
      </c>
      <c r="AI1525" s="19" t="str">
        <f>IF($B1525="","",IFERROR(INDEX(Config!$D$9:$D$29,MATCH($B1525,Config!$B$9:$B$29,0))&amp;"",""))</f>
        <v/>
      </c>
    </row>
    <row r="1526">
      <c r="X1526" s="20" t="str">
        <f>IF($B1526="","",IFERROR(IF(INDEX(Config!$D$9:$D$29,MATCH($B1526,Config!$B$9:$B$29,0))="Contrato",IF(INDEX(Config!$E$9:$E$29,MATCH($B1526,Config!$B$9:$B$29,0))="","",INDEX(Config!$E$9:$E$29,MATCH($B1526,Config!$B$9:$B$29,0))),""),""))</f>
        <v/>
      </c>
      <c r="AI1526" s="19" t="str">
        <f>IF($B1526="","",IFERROR(INDEX(Config!$D$9:$D$29,MATCH($B1526,Config!$B$9:$B$29,0))&amp;"",""))</f>
        <v/>
      </c>
    </row>
    <row r="1527">
      <c r="X1527" s="20" t="str">
        <f>IF($B1527="","",IFERROR(IF(INDEX(Config!$D$9:$D$29,MATCH($B1527,Config!$B$9:$B$29,0))="Contrato",IF(INDEX(Config!$E$9:$E$29,MATCH($B1527,Config!$B$9:$B$29,0))="","",INDEX(Config!$E$9:$E$29,MATCH($B1527,Config!$B$9:$B$29,0))),""),""))</f>
        <v/>
      </c>
      <c r="AI1527" s="19" t="str">
        <f>IF($B1527="","",IFERROR(INDEX(Config!$D$9:$D$29,MATCH($B1527,Config!$B$9:$B$29,0))&amp;"",""))</f>
        <v/>
      </c>
    </row>
    <row r="1528">
      <c r="X1528" s="20" t="str">
        <f>IF($B1528="","",IFERROR(IF(INDEX(Config!$D$9:$D$29,MATCH($B1528,Config!$B$9:$B$29,0))="Contrato",IF(INDEX(Config!$E$9:$E$29,MATCH($B1528,Config!$B$9:$B$29,0))="","",INDEX(Config!$E$9:$E$29,MATCH($B1528,Config!$B$9:$B$29,0))),""),""))</f>
        <v/>
      </c>
      <c r="AI1528" s="19" t="str">
        <f>IF($B1528="","",IFERROR(INDEX(Config!$D$9:$D$29,MATCH($B1528,Config!$B$9:$B$29,0))&amp;"",""))</f>
        <v/>
      </c>
    </row>
    <row r="1529">
      <c r="X1529" s="20" t="str">
        <f>IF($B1529="","",IFERROR(IF(INDEX(Config!$D$9:$D$29,MATCH($B1529,Config!$B$9:$B$29,0))="Contrato",IF(INDEX(Config!$E$9:$E$29,MATCH($B1529,Config!$B$9:$B$29,0))="","",INDEX(Config!$E$9:$E$29,MATCH($B1529,Config!$B$9:$B$29,0))),""),""))</f>
        <v/>
      </c>
      <c r="AI1529" s="19" t="str">
        <f>IF($B1529="","",IFERROR(INDEX(Config!$D$9:$D$29,MATCH($B1529,Config!$B$9:$B$29,0))&amp;"",""))</f>
        <v/>
      </c>
    </row>
    <row r="1530">
      <c r="X1530" s="20" t="str">
        <f>IF($B1530="","",IFERROR(IF(INDEX(Config!$D$9:$D$29,MATCH($B1530,Config!$B$9:$B$29,0))="Contrato",IF(INDEX(Config!$E$9:$E$29,MATCH($B1530,Config!$B$9:$B$29,0))="","",INDEX(Config!$E$9:$E$29,MATCH($B1530,Config!$B$9:$B$29,0))),""),""))</f>
        <v/>
      </c>
      <c r="AI1530" s="19" t="str">
        <f>IF($B1530="","",IFERROR(INDEX(Config!$D$9:$D$29,MATCH($B1530,Config!$B$9:$B$29,0))&amp;"",""))</f>
        <v/>
      </c>
    </row>
    <row r="1531">
      <c r="X1531" s="20" t="str">
        <f>IF($B1531="","",IFERROR(IF(INDEX(Config!$D$9:$D$29,MATCH($B1531,Config!$B$9:$B$29,0))="Contrato",IF(INDEX(Config!$E$9:$E$29,MATCH($B1531,Config!$B$9:$B$29,0))="","",INDEX(Config!$E$9:$E$29,MATCH($B1531,Config!$B$9:$B$29,0))),""),""))</f>
        <v/>
      </c>
      <c r="AI1531" s="19" t="str">
        <f>IF($B1531="","",IFERROR(INDEX(Config!$D$9:$D$29,MATCH($B1531,Config!$B$9:$B$29,0))&amp;"",""))</f>
        <v/>
      </c>
    </row>
    <row r="1532">
      <c r="X1532" s="20" t="str">
        <f>IF($B1532="","",IFERROR(IF(INDEX(Config!$D$9:$D$29,MATCH($B1532,Config!$B$9:$B$29,0))="Contrato",IF(INDEX(Config!$E$9:$E$29,MATCH($B1532,Config!$B$9:$B$29,0))="","",INDEX(Config!$E$9:$E$29,MATCH($B1532,Config!$B$9:$B$29,0))),""),""))</f>
        <v/>
      </c>
      <c r="AI1532" s="19" t="str">
        <f>IF($B1532="","",IFERROR(INDEX(Config!$D$9:$D$29,MATCH($B1532,Config!$B$9:$B$29,0))&amp;"",""))</f>
        <v/>
      </c>
    </row>
    <row r="1533">
      <c r="X1533" s="20" t="str">
        <f>IF($B1533="","",IFERROR(IF(INDEX(Config!$D$9:$D$29,MATCH($B1533,Config!$B$9:$B$29,0))="Contrato",IF(INDEX(Config!$E$9:$E$29,MATCH($B1533,Config!$B$9:$B$29,0))="","",INDEX(Config!$E$9:$E$29,MATCH($B1533,Config!$B$9:$B$29,0))),""),""))</f>
        <v/>
      </c>
      <c r="AI1533" s="19" t="str">
        <f>IF($B1533="","",IFERROR(INDEX(Config!$D$9:$D$29,MATCH($B1533,Config!$B$9:$B$29,0))&amp;"",""))</f>
        <v/>
      </c>
    </row>
    <row r="1534">
      <c r="X1534" s="20" t="str">
        <f>IF($B1534="","",IFERROR(IF(INDEX(Config!$D$9:$D$29,MATCH($B1534,Config!$B$9:$B$29,0))="Contrato",IF(INDEX(Config!$E$9:$E$29,MATCH($B1534,Config!$B$9:$B$29,0))="","",INDEX(Config!$E$9:$E$29,MATCH($B1534,Config!$B$9:$B$29,0))),""),""))</f>
        <v/>
      </c>
      <c r="AI1534" s="19" t="str">
        <f>IF($B1534="","",IFERROR(INDEX(Config!$D$9:$D$29,MATCH($B1534,Config!$B$9:$B$29,0))&amp;"",""))</f>
        <v/>
      </c>
    </row>
    <row r="1535">
      <c r="X1535" s="20" t="str">
        <f>IF($B1535="","",IFERROR(IF(INDEX(Config!$D$9:$D$29,MATCH($B1535,Config!$B$9:$B$29,0))="Contrato",IF(INDEX(Config!$E$9:$E$29,MATCH($B1535,Config!$B$9:$B$29,0))="","",INDEX(Config!$E$9:$E$29,MATCH($B1535,Config!$B$9:$B$29,0))),""),""))</f>
        <v/>
      </c>
      <c r="AI1535" s="19" t="str">
        <f>IF($B1535="","",IFERROR(INDEX(Config!$D$9:$D$29,MATCH($B1535,Config!$B$9:$B$29,0))&amp;"",""))</f>
        <v/>
      </c>
    </row>
    <row r="1536">
      <c r="X1536" s="20" t="str">
        <f>IF($B1536="","",IFERROR(IF(INDEX(Config!$D$9:$D$29,MATCH($B1536,Config!$B$9:$B$29,0))="Contrato",IF(INDEX(Config!$E$9:$E$29,MATCH($B1536,Config!$B$9:$B$29,0))="","",INDEX(Config!$E$9:$E$29,MATCH($B1536,Config!$B$9:$B$29,0))),""),""))</f>
        <v/>
      </c>
      <c r="AI1536" s="19" t="str">
        <f>IF($B1536="","",IFERROR(INDEX(Config!$D$9:$D$29,MATCH($B1536,Config!$B$9:$B$29,0))&amp;"",""))</f>
        <v/>
      </c>
    </row>
    <row r="1537">
      <c r="X1537" s="20" t="str">
        <f>IF($B1537="","",IFERROR(IF(INDEX(Config!$D$9:$D$29,MATCH($B1537,Config!$B$9:$B$29,0))="Contrato",IF(INDEX(Config!$E$9:$E$29,MATCH($B1537,Config!$B$9:$B$29,0))="","",INDEX(Config!$E$9:$E$29,MATCH($B1537,Config!$B$9:$B$29,0))),""),""))</f>
        <v/>
      </c>
      <c r="AI1537" s="19" t="str">
        <f>IF($B1537="","",IFERROR(INDEX(Config!$D$9:$D$29,MATCH($B1537,Config!$B$9:$B$29,0))&amp;"",""))</f>
        <v/>
      </c>
    </row>
    <row r="1538">
      <c r="X1538" s="20" t="str">
        <f>IF($B1538="","",IFERROR(IF(INDEX(Config!$D$9:$D$29,MATCH($B1538,Config!$B$9:$B$29,0))="Contrato",IF(INDEX(Config!$E$9:$E$29,MATCH($B1538,Config!$B$9:$B$29,0))="","",INDEX(Config!$E$9:$E$29,MATCH($B1538,Config!$B$9:$B$29,0))),""),""))</f>
        <v/>
      </c>
      <c r="AI1538" s="19" t="str">
        <f>IF($B1538="","",IFERROR(INDEX(Config!$D$9:$D$29,MATCH($B1538,Config!$B$9:$B$29,0))&amp;"",""))</f>
        <v/>
      </c>
    </row>
    <row r="1539">
      <c r="X1539" s="20" t="str">
        <f>IF($B1539="","",IFERROR(IF(INDEX(Config!$D$9:$D$29,MATCH($B1539,Config!$B$9:$B$29,0))="Contrato",IF(INDEX(Config!$E$9:$E$29,MATCH($B1539,Config!$B$9:$B$29,0))="","",INDEX(Config!$E$9:$E$29,MATCH($B1539,Config!$B$9:$B$29,0))),""),""))</f>
        <v/>
      </c>
      <c r="AI1539" s="19" t="str">
        <f>IF($B1539="","",IFERROR(INDEX(Config!$D$9:$D$29,MATCH($B1539,Config!$B$9:$B$29,0))&amp;"",""))</f>
        <v/>
      </c>
    </row>
    <row r="1540">
      <c r="X1540" s="20" t="str">
        <f>IF($B1540="","",IFERROR(IF(INDEX(Config!$D$9:$D$29,MATCH($B1540,Config!$B$9:$B$29,0))="Contrato",IF(INDEX(Config!$E$9:$E$29,MATCH($B1540,Config!$B$9:$B$29,0))="","",INDEX(Config!$E$9:$E$29,MATCH($B1540,Config!$B$9:$B$29,0))),""),""))</f>
        <v/>
      </c>
      <c r="AI1540" s="19" t="str">
        <f>IF($B1540="","",IFERROR(INDEX(Config!$D$9:$D$29,MATCH($B1540,Config!$B$9:$B$29,0))&amp;"",""))</f>
        <v/>
      </c>
    </row>
    <row r="1541">
      <c r="X1541" s="20" t="str">
        <f>IF($B1541="","",IFERROR(IF(INDEX(Config!$D$9:$D$29,MATCH($B1541,Config!$B$9:$B$29,0))="Contrato",IF(INDEX(Config!$E$9:$E$29,MATCH($B1541,Config!$B$9:$B$29,0))="","",INDEX(Config!$E$9:$E$29,MATCH($B1541,Config!$B$9:$B$29,0))),""),""))</f>
        <v/>
      </c>
      <c r="AI1541" s="19" t="str">
        <f>IF($B1541="","",IFERROR(INDEX(Config!$D$9:$D$29,MATCH($B1541,Config!$B$9:$B$29,0))&amp;"",""))</f>
        <v/>
      </c>
    </row>
    <row r="1542">
      <c r="X1542" s="20" t="str">
        <f>IF($B1542="","",IFERROR(IF(INDEX(Config!$D$9:$D$29,MATCH($B1542,Config!$B$9:$B$29,0))="Contrato",IF(INDEX(Config!$E$9:$E$29,MATCH($B1542,Config!$B$9:$B$29,0))="","",INDEX(Config!$E$9:$E$29,MATCH($B1542,Config!$B$9:$B$29,0))),""),""))</f>
        <v/>
      </c>
      <c r="AI1542" s="19" t="str">
        <f>IF($B1542="","",IFERROR(INDEX(Config!$D$9:$D$29,MATCH($B1542,Config!$B$9:$B$29,0))&amp;"",""))</f>
        <v/>
      </c>
    </row>
    <row r="1543">
      <c r="X1543" s="20" t="str">
        <f>IF($B1543="","",IFERROR(IF(INDEX(Config!$D$9:$D$29,MATCH($B1543,Config!$B$9:$B$29,0))="Contrato",IF(INDEX(Config!$E$9:$E$29,MATCH($B1543,Config!$B$9:$B$29,0))="","",INDEX(Config!$E$9:$E$29,MATCH($B1543,Config!$B$9:$B$29,0))),""),""))</f>
        <v/>
      </c>
      <c r="AI1543" s="19" t="str">
        <f>IF($B1543="","",IFERROR(INDEX(Config!$D$9:$D$29,MATCH($B1543,Config!$B$9:$B$29,0))&amp;"",""))</f>
        <v/>
      </c>
    </row>
    <row r="1544">
      <c r="X1544" s="20" t="str">
        <f>IF($B1544="","",IFERROR(IF(INDEX(Config!$D$9:$D$29,MATCH($B1544,Config!$B$9:$B$29,0))="Contrato",IF(INDEX(Config!$E$9:$E$29,MATCH($B1544,Config!$B$9:$B$29,0))="","",INDEX(Config!$E$9:$E$29,MATCH($B1544,Config!$B$9:$B$29,0))),""),""))</f>
        <v/>
      </c>
      <c r="AI1544" s="19" t="str">
        <f>IF($B1544="","",IFERROR(INDEX(Config!$D$9:$D$29,MATCH($B1544,Config!$B$9:$B$29,0))&amp;"",""))</f>
        <v/>
      </c>
    </row>
    <row r="1545">
      <c r="X1545" s="20" t="str">
        <f>IF($B1545="","",IFERROR(IF(INDEX(Config!$D$9:$D$29,MATCH($B1545,Config!$B$9:$B$29,0))="Contrato",IF(INDEX(Config!$E$9:$E$29,MATCH($B1545,Config!$B$9:$B$29,0))="","",INDEX(Config!$E$9:$E$29,MATCH($B1545,Config!$B$9:$B$29,0))),""),""))</f>
        <v/>
      </c>
      <c r="AI1545" s="19" t="str">
        <f>IF($B1545="","",IFERROR(INDEX(Config!$D$9:$D$29,MATCH($B1545,Config!$B$9:$B$29,0))&amp;"",""))</f>
        <v/>
      </c>
    </row>
    <row r="1546">
      <c r="X1546" s="20" t="str">
        <f>IF($B1546="","",IFERROR(IF(INDEX(Config!$D$9:$D$29,MATCH($B1546,Config!$B$9:$B$29,0))="Contrato",IF(INDEX(Config!$E$9:$E$29,MATCH($B1546,Config!$B$9:$B$29,0))="","",INDEX(Config!$E$9:$E$29,MATCH($B1546,Config!$B$9:$B$29,0))),""),""))</f>
        <v/>
      </c>
      <c r="AI1546" s="19" t="str">
        <f>IF($B1546="","",IFERROR(INDEX(Config!$D$9:$D$29,MATCH($B1546,Config!$B$9:$B$29,0))&amp;"",""))</f>
        <v/>
      </c>
    </row>
    <row r="1547">
      <c r="X1547" s="20" t="str">
        <f>IF($B1547="","",IFERROR(IF(INDEX(Config!$D$9:$D$29,MATCH($B1547,Config!$B$9:$B$29,0))="Contrato",IF(INDEX(Config!$E$9:$E$29,MATCH($B1547,Config!$B$9:$B$29,0))="","",INDEX(Config!$E$9:$E$29,MATCH($B1547,Config!$B$9:$B$29,0))),""),""))</f>
        <v/>
      </c>
      <c r="AI1547" s="19" t="str">
        <f>IF($B1547="","",IFERROR(INDEX(Config!$D$9:$D$29,MATCH($B1547,Config!$B$9:$B$29,0))&amp;"",""))</f>
        <v/>
      </c>
    </row>
    <row r="1548">
      <c r="X1548" s="20" t="str">
        <f>IF($B1548="","",IFERROR(IF(INDEX(Config!$D$9:$D$29,MATCH($B1548,Config!$B$9:$B$29,0))="Contrato",IF(INDEX(Config!$E$9:$E$29,MATCH($B1548,Config!$B$9:$B$29,0))="","",INDEX(Config!$E$9:$E$29,MATCH($B1548,Config!$B$9:$B$29,0))),""),""))</f>
        <v/>
      </c>
      <c r="AI1548" s="19" t="str">
        <f>IF($B1548="","",IFERROR(INDEX(Config!$D$9:$D$29,MATCH($B1548,Config!$B$9:$B$29,0))&amp;"",""))</f>
        <v/>
      </c>
    </row>
    <row r="1549">
      <c r="X1549" s="20" t="str">
        <f>IF($B1549="","",IFERROR(IF(INDEX(Config!$D$9:$D$29,MATCH($B1549,Config!$B$9:$B$29,0))="Contrato",IF(INDEX(Config!$E$9:$E$29,MATCH($B1549,Config!$B$9:$B$29,0))="","",INDEX(Config!$E$9:$E$29,MATCH($B1549,Config!$B$9:$B$29,0))),""),""))</f>
        <v/>
      </c>
      <c r="AI1549" s="19" t="str">
        <f>IF($B1549="","",IFERROR(INDEX(Config!$D$9:$D$29,MATCH($B1549,Config!$B$9:$B$29,0))&amp;"",""))</f>
        <v/>
      </c>
    </row>
    <row r="1550">
      <c r="X1550" s="20" t="str">
        <f>IF($B1550="","",IFERROR(IF(INDEX(Config!$D$9:$D$29,MATCH($B1550,Config!$B$9:$B$29,0))="Contrato",IF(INDEX(Config!$E$9:$E$29,MATCH($B1550,Config!$B$9:$B$29,0))="","",INDEX(Config!$E$9:$E$29,MATCH($B1550,Config!$B$9:$B$29,0))),""),""))</f>
        <v/>
      </c>
      <c r="AI1550" s="19" t="str">
        <f>IF($B1550="","",IFERROR(INDEX(Config!$D$9:$D$29,MATCH($B1550,Config!$B$9:$B$29,0))&amp;"",""))</f>
        <v/>
      </c>
    </row>
    <row r="1551">
      <c r="X1551" s="20" t="str">
        <f>IF($B1551="","",IFERROR(IF(INDEX(Config!$D$9:$D$29,MATCH($B1551,Config!$B$9:$B$29,0))="Contrato",IF(INDEX(Config!$E$9:$E$29,MATCH($B1551,Config!$B$9:$B$29,0))="","",INDEX(Config!$E$9:$E$29,MATCH($B1551,Config!$B$9:$B$29,0))),""),""))</f>
        <v/>
      </c>
      <c r="AI1551" s="19" t="str">
        <f>IF($B1551="","",IFERROR(INDEX(Config!$D$9:$D$29,MATCH($B1551,Config!$B$9:$B$29,0))&amp;"",""))</f>
        <v/>
      </c>
    </row>
    <row r="1552">
      <c r="X1552" s="20" t="str">
        <f>IF($B1552="","",IFERROR(IF(INDEX(Config!$D$9:$D$29,MATCH($B1552,Config!$B$9:$B$29,0))="Contrato",IF(INDEX(Config!$E$9:$E$29,MATCH($B1552,Config!$B$9:$B$29,0))="","",INDEX(Config!$E$9:$E$29,MATCH($B1552,Config!$B$9:$B$29,0))),""),""))</f>
        <v/>
      </c>
      <c r="AI1552" s="19" t="str">
        <f>IF($B1552="","",IFERROR(INDEX(Config!$D$9:$D$29,MATCH($B1552,Config!$B$9:$B$29,0))&amp;"",""))</f>
        <v/>
      </c>
    </row>
    <row r="1553">
      <c r="X1553" s="20" t="str">
        <f>IF($B1553="","",IFERROR(IF(INDEX(Config!$D$9:$D$29,MATCH($B1553,Config!$B$9:$B$29,0))="Contrato",IF(INDEX(Config!$E$9:$E$29,MATCH($B1553,Config!$B$9:$B$29,0))="","",INDEX(Config!$E$9:$E$29,MATCH($B1553,Config!$B$9:$B$29,0))),""),""))</f>
        <v/>
      </c>
      <c r="AI1553" s="19" t="str">
        <f>IF($B1553="","",IFERROR(INDEX(Config!$D$9:$D$29,MATCH($B1553,Config!$B$9:$B$29,0))&amp;"",""))</f>
        <v/>
      </c>
    </row>
    <row r="1554">
      <c r="X1554" s="20" t="str">
        <f>IF($B1554="","",IFERROR(IF(INDEX(Config!$D$9:$D$29,MATCH($B1554,Config!$B$9:$B$29,0))="Contrato",IF(INDEX(Config!$E$9:$E$29,MATCH($B1554,Config!$B$9:$B$29,0))="","",INDEX(Config!$E$9:$E$29,MATCH($B1554,Config!$B$9:$B$29,0))),""),""))</f>
        <v/>
      </c>
      <c r="AI1554" s="19" t="str">
        <f>IF($B1554="","",IFERROR(INDEX(Config!$D$9:$D$29,MATCH($B1554,Config!$B$9:$B$29,0))&amp;"",""))</f>
        <v/>
      </c>
    </row>
    <row r="1555">
      <c r="X1555" s="20" t="str">
        <f>IF($B1555="","",IFERROR(IF(INDEX(Config!$D$9:$D$29,MATCH($B1555,Config!$B$9:$B$29,0))="Contrato",IF(INDEX(Config!$E$9:$E$29,MATCH($B1555,Config!$B$9:$B$29,0))="","",INDEX(Config!$E$9:$E$29,MATCH($B1555,Config!$B$9:$B$29,0))),""),""))</f>
        <v/>
      </c>
      <c r="AI1555" s="19" t="str">
        <f>IF($B1555="","",IFERROR(INDEX(Config!$D$9:$D$29,MATCH($B1555,Config!$B$9:$B$29,0))&amp;"",""))</f>
        <v/>
      </c>
    </row>
    <row r="1556">
      <c r="X1556" s="20" t="str">
        <f>IF($B1556="","",IFERROR(IF(INDEX(Config!$D$9:$D$29,MATCH($B1556,Config!$B$9:$B$29,0))="Contrato",IF(INDEX(Config!$E$9:$E$29,MATCH($B1556,Config!$B$9:$B$29,0))="","",INDEX(Config!$E$9:$E$29,MATCH($B1556,Config!$B$9:$B$29,0))),""),""))</f>
        <v/>
      </c>
      <c r="AI1556" s="19" t="str">
        <f>IF($B1556="","",IFERROR(INDEX(Config!$D$9:$D$29,MATCH($B1556,Config!$B$9:$B$29,0))&amp;"",""))</f>
        <v/>
      </c>
    </row>
    <row r="1557">
      <c r="X1557" s="20" t="str">
        <f>IF($B1557="","",IFERROR(IF(INDEX(Config!$D$9:$D$29,MATCH($B1557,Config!$B$9:$B$29,0))="Contrato",IF(INDEX(Config!$E$9:$E$29,MATCH($B1557,Config!$B$9:$B$29,0))="","",INDEX(Config!$E$9:$E$29,MATCH($B1557,Config!$B$9:$B$29,0))),""),""))</f>
        <v/>
      </c>
      <c r="AI1557" s="19" t="str">
        <f>IF($B1557="","",IFERROR(INDEX(Config!$D$9:$D$29,MATCH($B1557,Config!$B$9:$B$29,0))&amp;"",""))</f>
        <v/>
      </c>
    </row>
    <row r="1558">
      <c r="X1558" s="20" t="str">
        <f>IF($B1558="","",IFERROR(IF(INDEX(Config!$D$9:$D$29,MATCH($B1558,Config!$B$9:$B$29,0))="Contrato",IF(INDEX(Config!$E$9:$E$29,MATCH($B1558,Config!$B$9:$B$29,0))="","",INDEX(Config!$E$9:$E$29,MATCH($B1558,Config!$B$9:$B$29,0))),""),""))</f>
        <v/>
      </c>
      <c r="AI1558" s="19" t="str">
        <f>IF($B1558="","",IFERROR(INDEX(Config!$D$9:$D$29,MATCH($B1558,Config!$B$9:$B$29,0))&amp;"",""))</f>
        <v/>
      </c>
    </row>
    <row r="1559">
      <c r="X1559" s="20" t="str">
        <f>IF($B1559="","",IFERROR(IF(INDEX(Config!$D$9:$D$29,MATCH($B1559,Config!$B$9:$B$29,0))="Contrato",IF(INDEX(Config!$E$9:$E$29,MATCH($B1559,Config!$B$9:$B$29,0))="","",INDEX(Config!$E$9:$E$29,MATCH($B1559,Config!$B$9:$B$29,0))),""),""))</f>
        <v/>
      </c>
      <c r="AI1559" s="19" t="str">
        <f>IF($B1559="","",IFERROR(INDEX(Config!$D$9:$D$29,MATCH($B1559,Config!$B$9:$B$29,0))&amp;"",""))</f>
        <v/>
      </c>
    </row>
    <row r="1560">
      <c r="X1560" s="20" t="str">
        <f>IF($B1560="","",IFERROR(IF(INDEX(Config!$D$9:$D$29,MATCH($B1560,Config!$B$9:$B$29,0))="Contrato",IF(INDEX(Config!$E$9:$E$29,MATCH($B1560,Config!$B$9:$B$29,0))="","",INDEX(Config!$E$9:$E$29,MATCH($B1560,Config!$B$9:$B$29,0))),""),""))</f>
        <v/>
      </c>
      <c r="AI1560" s="19" t="str">
        <f>IF($B1560="","",IFERROR(INDEX(Config!$D$9:$D$29,MATCH($B1560,Config!$B$9:$B$29,0))&amp;"",""))</f>
        <v/>
      </c>
    </row>
    <row r="1561">
      <c r="X1561" s="20" t="str">
        <f>IF($B1561="","",IFERROR(IF(INDEX(Config!$D$9:$D$29,MATCH($B1561,Config!$B$9:$B$29,0))="Contrato",IF(INDEX(Config!$E$9:$E$29,MATCH($B1561,Config!$B$9:$B$29,0))="","",INDEX(Config!$E$9:$E$29,MATCH($B1561,Config!$B$9:$B$29,0))),""),""))</f>
        <v/>
      </c>
      <c r="AI1561" s="19" t="str">
        <f>IF($B1561="","",IFERROR(INDEX(Config!$D$9:$D$29,MATCH($B1561,Config!$B$9:$B$29,0))&amp;"",""))</f>
        <v/>
      </c>
    </row>
    <row r="1562">
      <c r="X1562" s="20" t="str">
        <f>IF($B1562="","",IFERROR(IF(INDEX(Config!$D$9:$D$29,MATCH($B1562,Config!$B$9:$B$29,0))="Contrato",IF(INDEX(Config!$E$9:$E$29,MATCH($B1562,Config!$B$9:$B$29,0))="","",INDEX(Config!$E$9:$E$29,MATCH($B1562,Config!$B$9:$B$29,0))),""),""))</f>
        <v/>
      </c>
      <c r="AI1562" s="19" t="str">
        <f>IF($B1562="","",IFERROR(INDEX(Config!$D$9:$D$29,MATCH($B1562,Config!$B$9:$B$29,0))&amp;"",""))</f>
        <v/>
      </c>
    </row>
    <row r="1563">
      <c r="X1563" s="20" t="str">
        <f>IF($B1563="","",IFERROR(IF(INDEX(Config!$D$9:$D$29,MATCH($B1563,Config!$B$9:$B$29,0))="Contrato",IF(INDEX(Config!$E$9:$E$29,MATCH($B1563,Config!$B$9:$B$29,0))="","",INDEX(Config!$E$9:$E$29,MATCH($B1563,Config!$B$9:$B$29,0))),""),""))</f>
        <v/>
      </c>
      <c r="AI1563" s="19" t="str">
        <f>IF($B1563="","",IFERROR(INDEX(Config!$D$9:$D$29,MATCH($B1563,Config!$B$9:$B$29,0))&amp;"",""))</f>
        <v/>
      </c>
    </row>
    <row r="1564">
      <c r="X1564" s="20" t="str">
        <f>IF($B1564="","",IFERROR(IF(INDEX(Config!$D$9:$D$29,MATCH($B1564,Config!$B$9:$B$29,0))="Contrato",IF(INDEX(Config!$E$9:$E$29,MATCH($B1564,Config!$B$9:$B$29,0))="","",INDEX(Config!$E$9:$E$29,MATCH($B1564,Config!$B$9:$B$29,0))),""),""))</f>
        <v/>
      </c>
      <c r="AI1564" s="19" t="str">
        <f>IF($B1564="","",IFERROR(INDEX(Config!$D$9:$D$29,MATCH($B1564,Config!$B$9:$B$29,0))&amp;"",""))</f>
        <v/>
      </c>
    </row>
    <row r="1565">
      <c r="X1565" s="20" t="str">
        <f>IF($B1565="","",IFERROR(IF(INDEX(Config!$D$9:$D$29,MATCH($B1565,Config!$B$9:$B$29,0))="Contrato",IF(INDEX(Config!$E$9:$E$29,MATCH($B1565,Config!$B$9:$B$29,0))="","",INDEX(Config!$E$9:$E$29,MATCH($B1565,Config!$B$9:$B$29,0))),""),""))</f>
        <v/>
      </c>
      <c r="AI1565" s="19" t="str">
        <f>IF($B1565="","",IFERROR(INDEX(Config!$D$9:$D$29,MATCH($B1565,Config!$B$9:$B$29,0))&amp;"",""))</f>
        <v/>
      </c>
    </row>
    <row r="1566">
      <c r="X1566" s="20" t="str">
        <f>IF($B1566="","",IFERROR(IF(INDEX(Config!$D$9:$D$29,MATCH($B1566,Config!$B$9:$B$29,0))="Contrato",IF(INDEX(Config!$E$9:$E$29,MATCH($B1566,Config!$B$9:$B$29,0))="","",INDEX(Config!$E$9:$E$29,MATCH($B1566,Config!$B$9:$B$29,0))),""),""))</f>
        <v/>
      </c>
      <c r="AI1566" s="19" t="str">
        <f>IF($B1566="","",IFERROR(INDEX(Config!$D$9:$D$29,MATCH($B1566,Config!$B$9:$B$29,0))&amp;"",""))</f>
        <v/>
      </c>
    </row>
    <row r="1567">
      <c r="X1567" s="20" t="str">
        <f>IF($B1567="","",IFERROR(IF(INDEX(Config!$D$9:$D$29,MATCH($B1567,Config!$B$9:$B$29,0))="Contrato",IF(INDEX(Config!$E$9:$E$29,MATCH($B1567,Config!$B$9:$B$29,0))="","",INDEX(Config!$E$9:$E$29,MATCH($B1567,Config!$B$9:$B$29,0))),""),""))</f>
        <v/>
      </c>
      <c r="AI1567" s="19" t="str">
        <f>IF($B1567="","",IFERROR(INDEX(Config!$D$9:$D$29,MATCH($B1567,Config!$B$9:$B$29,0))&amp;"",""))</f>
        <v/>
      </c>
    </row>
    <row r="1568">
      <c r="X1568" s="20" t="str">
        <f>IF($B1568="","",IFERROR(IF(INDEX(Config!$D$9:$D$29,MATCH($B1568,Config!$B$9:$B$29,0))="Contrato",IF(INDEX(Config!$E$9:$E$29,MATCH($B1568,Config!$B$9:$B$29,0))="","",INDEX(Config!$E$9:$E$29,MATCH($B1568,Config!$B$9:$B$29,0))),""),""))</f>
        <v/>
      </c>
      <c r="AI1568" s="19" t="str">
        <f>IF($B1568="","",IFERROR(INDEX(Config!$D$9:$D$29,MATCH($B1568,Config!$B$9:$B$29,0))&amp;"",""))</f>
        <v/>
      </c>
    </row>
    <row r="1569">
      <c r="X1569" s="20" t="str">
        <f>IF($B1569="","",IFERROR(IF(INDEX(Config!$D$9:$D$29,MATCH($B1569,Config!$B$9:$B$29,0))="Contrato",IF(INDEX(Config!$E$9:$E$29,MATCH($B1569,Config!$B$9:$B$29,0))="","",INDEX(Config!$E$9:$E$29,MATCH($B1569,Config!$B$9:$B$29,0))),""),""))</f>
        <v/>
      </c>
      <c r="AI1569" s="19" t="str">
        <f>IF($B1569="","",IFERROR(INDEX(Config!$D$9:$D$29,MATCH($B1569,Config!$B$9:$B$29,0))&amp;"",""))</f>
        <v/>
      </c>
    </row>
    <row r="1570">
      <c r="X1570" s="20" t="str">
        <f>IF($B1570="","",IFERROR(IF(INDEX(Config!$D$9:$D$29,MATCH($B1570,Config!$B$9:$B$29,0))="Contrato",IF(INDEX(Config!$E$9:$E$29,MATCH($B1570,Config!$B$9:$B$29,0))="","",INDEX(Config!$E$9:$E$29,MATCH($B1570,Config!$B$9:$B$29,0))),""),""))</f>
        <v/>
      </c>
      <c r="AI1570" s="19" t="str">
        <f>IF($B1570="","",IFERROR(INDEX(Config!$D$9:$D$29,MATCH($B1570,Config!$B$9:$B$29,0))&amp;"",""))</f>
        <v/>
      </c>
    </row>
    <row r="1571">
      <c r="X1571" s="20" t="str">
        <f>IF($B1571="","",IFERROR(IF(INDEX(Config!$D$9:$D$29,MATCH($B1571,Config!$B$9:$B$29,0))="Contrato",IF(INDEX(Config!$E$9:$E$29,MATCH($B1571,Config!$B$9:$B$29,0))="","",INDEX(Config!$E$9:$E$29,MATCH($B1571,Config!$B$9:$B$29,0))),""),""))</f>
        <v/>
      </c>
      <c r="AI1571" s="19" t="str">
        <f>IF($B1571="","",IFERROR(INDEX(Config!$D$9:$D$29,MATCH($B1571,Config!$B$9:$B$29,0))&amp;"",""))</f>
        <v/>
      </c>
    </row>
    <row r="1572">
      <c r="X1572" s="20" t="str">
        <f>IF($B1572="","",IFERROR(IF(INDEX(Config!$D$9:$D$29,MATCH($B1572,Config!$B$9:$B$29,0))="Contrato",IF(INDEX(Config!$E$9:$E$29,MATCH($B1572,Config!$B$9:$B$29,0))="","",INDEX(Config!$E$9:$E$29,MATCH($B1572,Config!$B$9:$B$29,0))),""),""))</f>
        <v/>
      </c>
      <c r="AI1572" s="19" t="str">
        <f>IF($B1572="","",IFERROR(INDEX(Config!$D$9:$D$29,MATCH($B1572,Config!$B$9:$B$29,0))&amp;"",""))</f>
        <v/>
      </c>
    </row>
    <row r="1573">
      <c r="X1573" s="20" t="str">
        <f>IF($B1573="","",IFERROR(IF(INDEX(Config!$D$9:$D$29,MATCH($B1573,Config!$B$9:$B$29,0))="Contrato",IF(INDEX(Config!$E$9:$E$29,MATCH($B1573,Config!$B$9:$B$29,0))="","",INDEX(Config!$E$9:$E$29,MATCH($B1573,Config!$B$9:$B$29,0))),""),""))</f>
        <v/>
      </c>
      <c r="AI1573" s="19" t="str">
        <f>IF($B1573="","",IFERROR(INDEX(Config!$D$9:$D$29,MATCH($B1573,Config!$B$9:$B$29,0))&amp;"",""))</f>
        <v/>
      </c>
    </row>
    <row r="1574">
      <c r="X1574" s="20" t="str">
        <f>IF($B1574="","",IFERROR(IF(INDEX(Config!$D$9:$D$29,MATCH($B1574,Config!$B$9:$B$29,0))="Contrato",IF(INDEX(Config!$E$9:$E$29,MATCH($B1574,Config!$B$9:$B$29,0))="","",INDEX(Config!$E$9:$E$29,MATCH($B1574,Config!$B$9:$B$29,0))),""),""))</f>
        <v/>
      </c>
      <c r="AI1574" s="19" t="str">
        <f>IF($B1574="","",IFERROR(INDEX(Config!$D$9:$D$29,MATCH($B1574,Config!$B$9:$B$29,0))&amp;"",""))</f>
        <v/>
      </c>
    </row>
    <row r="1575">
      <c r="X1575" s="20" t="str">
        <f>IF($B1575="","",IFERROR(IF(INDEX(Config!$D$9:$D$29,MATCH($B1575,Config!$B$9:$B$29,0))="Contrato",IF(INDEX(Config!$E$9:$E$29,MATCH($B1575,Config!$B$9:$B$29,0))="","",INDEX(Config!$E$9:$E$29,MATCH($B1575,Config!$B$9:$B$29,0))),""),""))</f>
        <v/>
      </c>
      <c r="AI1575" s="19" t="str">
        <f>IF($B1575="","",IFERROR(INDEX(Config!$D$9:$D$29,MATCH($B1575,Config!$B$9:$B$29,0))&amp;"",""))</f>
        <v/>
      </c>
    </row>
    <row r="1576">
      <c r="X1576" s="20" t="str">
        <f>IF($B1576="","",IFERROR(IF(INDEX(Config!$D$9:$D$29,MATCH($B1576,Config!$B$9:$B$29,0))="Contrato",IF(INDEX(Config!$E$9:$E$29,MATCH($B1576,Config!$B$9:$B$29,0))="","",INDEX(Config!$E$9:$E$29,MATCH($B1576,Config!$B$9:$B$29,0))),""),""))</f>
        <v/>
      </c>
      <c r="AI1576" s="19" t="str">
        <f>IF($B1576="","",IFERROR(INDEX(Config!$D$9:$D$29,MATCH($B1576,Config!$B$9:$B$29,0))&amp;"",""))</f>
        <v/>
      </c>
    </row>
    <row r="1577">
      <c r="X1577" s="20" t="str">
        <f>IF($B1577="","",IFERROR(IF(INDEX(Config!$D$9:$D$29,MATCH($B1577,Config!$B$9:$B$29,0))="Contrato",IF(INDEX(Config!$E$9:$E$29,MATCH($B1577,Config!$B$9:$B$29,0))="","",INDEX(Config!$E$9:$E$29,MATCH($B1577,Config!$B$9:$B$29,0))),""),""))</f>
        <v/>
      </c>
      <c r="AI1577" s="19" t="str">
        <f>IF($B1577="","",IFERROR(INDEX(Config!$D$9:$D$29,MATCH($B1577,Config!$B$9:$B$29,0))&amp;"",""))</f>
        <v/>
      </c>
    </row>
    <row r="1578">
      <c r="X1578" s="20" t="str">
        <f>IF($B1578="","",IFERROR(IF(INDEX(Config!$D$9:$D$29,MATCH($B1578,Config!$B$9:$B$29,0))="Contrato",IF(INDEX(Config!$E$9:$E$29,MATCH($B1578,Config!$B$9:$B$29,0))="","",INDEX(Config!$E$9:$E$29,MATCH($B1578,Config!$B$9:$B$29,0))),""),""))</f>
        <v/>
      </c>
      <c r="AI1578" s="19" t="str">
        <f>IF($B1578="","",IFERROR(INDEX(Config!$D$9:$D$29,MATCH($B1578,Config!$B$9:$B$29,0))&amp;"",""))</f>
        <v/>
      </c>
    </row>
    <row r="1579">
      <c r="X1579" s="20" t="str">
        <f>IF($B1579="","",IFERROR(IF(INDEX(Config!$D$9:$D$29,MATCH($B1579,Config!$B$9:$B$29,0))="Contrato",IF(INDEX(Config!$E$9:$E$29,MATCH($B1579,Config!$B$9:$B$29,0))="","",INDEX(Config!$E$9:$E$29,MATCH($B1579,Config!$B$9:$B$29,0))),""),""))</f>
        <v/>
      </c>
      <c r="AI1579" s="19" t="str">
        <f>IF($B1579="","",IFERROR(INDEX(Config!$D$9:$D$29,MATCH($B1579,Config!$B$9:$B$29,0))&amp;"",""))</f>
        <v/>
      </c>
    </row>
    <row r="1580">
      <c r="X1580" s="20" t="str">
        <f>IF($B1580="","",IFERROR(IF(INDEX(Config!$D$9:$D$29,MATCH($B1580,Config!$B$9:$B$29,0))="Contrato",IF(INDEX(Config!$E$9:$E$29,MATCH($B1580,Config!$B$9:$B$29,0))="","",INDEX(Config!$E$9:$E$29,MATCH($B1580,Config!$B$9:$B$29,0))),""),""))</f>
        <v/>
      </c>
      <c r="AI1580" s="19" t="str">
        <f>IF($B1580="","",IFERROR(INDEX(Config!$D$9:$D$29,MATCH($B1580,Config!$B$9:$B$29,0))&amp;"",""))</f>
        <v/>
      </c>
    </row>
    <row r="1581">
      <c r="X1581" s="20" t="str">
        <f>IF($B1581="","",IFERROR(IF(INDEX(Config!$D$9:$D$29,MATCH($B1581,Config!$B$9:$B$29,0))="Contrato",IF(INDEX(Config!$E$9:$E$29,MATCH($B1581,Config!$B$9:$B$29,0))="","",INDEX(Config!$E$9:$E$29,MATCH($B1581,Config!$B$9:$B$29,0))),""),""))</f>
        <v/>
      </c>
      <c r="AI1581" s="19" t="str">
        <f>IF($B1581="","",IFERROR(INDEX(Config!$D$9:$D$29,MATCH($B1581,Config!$B$9:$B$29,0))&amp;"",""))</f>
        <v/>
      </c>
    </row>
    <row r="1582">
      <c r="X1582" s="20" t="str">
        <f>IF($B1582="","",IFERROR(IF(INDEX(Config!$D$9:$D$29,MATCH($B1582,Config!$B$9:$B$29,0))="Contrato",IF(INDEX(Config!$E$9:$E$29,MATCH($B1582,Config!$B$9:$B$29,0))="","",INDEX(Config!$E$9:$E$29,MATCH($B1582,Config!$B$9:$B$29,0))),""),""))</f>
        <v/>
      </c>
      <c r="AI1582" s="19" t="str">
        <f>IF($B1582="","",IFERROR(INDEX(Config!$D$9:$D$29,MATCH($B1582,Config!$B$9:$B$29,0))&amp;"",""))</f>
        <v/>
      </c>
    </row>
    <row r="1583">
      <c r="X1583" s="20" t="str">
        <f>IF($B1583="","",IFERROR(IF(INDEX(Config!$D$9:$D$29,MATCH($B1583,Config!$B$9:$B$29,0))="Contrato",IF(INDEX(Config!$E$9:$E$29,MATCH($B1583,Config!$B$9:$B$29,0))="","",INDEX(Config!$E$9:$E$29,MATCH($B1583,Config!$B$9:$B$29,0))),""),""))</f>
        <v/>
      </c>
      <c r="AI1583" s="19" t="str">
        <f>IF($B1583="","",IFERROR(INDEX(Config!$D$9:$D$29,MATCH($B1583,Config!$B$9:$B$29,0))&amp;"",""))</f>
        <v/>
      </c>
    </row>
    <row r="1584">
      <c r="X1584" s="20" t="str">
        <f>IF($B1584="","",IFERROR(IF(INDEX(Config!$D$9:$D$29,MATCH($B1584,Config!$B$9:$B$29,0))="Contrato",IF(INDEX(Config!$E$9:$E$29,MATCH($B1584,Config!$B$9:$B$29,0))="","",INDEX(Config!$E$9:$E$29,MATCH($B1584,Config!$B$9:$B$29,0))),""),""))</f>
        <v/>
      </c>
      <c r="AI1584" s="19" t="str">
        <f>IF($B1584="","",IFERROR(INDEX(Config!$D$9:$D$29,MATCH($B1584,Config!$B$9:$B$29,0))&amp;"",""))</f>
        <v/>
      </c>
    </row>
    <row r="1585">
      <c r="X1585" s="20" t="str">
        <f>IF($B1585="","",IFERROR(IF(INDEX(Config!$D$9:$D$29,MATCH($B1585,Config!$B$9:$B$29,0))="Contrato",IF(INDEX(Config!$E$9:$E$29,MATCH($B1585,Config!$B$9:$B$29,0))="","",INDEX(Config!$E$9:$E$29,MATCH($B1585,Config!$B$9:$B$29,0))),""),""))</f>
        <v/>
      </c>
      <c r="AI1585" s="19" t="str">
        <f>IF($B1585="","",IFERROR(INDEX(Config!$D$9:$D$29,MATCH($B1585,Config!$B$9:$B$29,0))&amp;"",""))</f>
        <v/>
      </c>
    </row>
    <row r="1586">
      <c r="X1586" s="20" t="str">
        <f>IF($B1586="","",IFERROR(IF(INDEX(Config!$D$9:$D$29,MATCH($B1586,Config!$B$9:$B$29,0))="Contrato",IF(INDEX(Config!$E$9:$E$29,MATCH($B1586,Config!$B$9:$B$29,0))="","",INDEX(Config!$E$9:$E$29,MATCH($B1586,Config!$B$9:$B$29,0))),""),""))</f>
        <v/>
      </c>
      <c r="AI1586" s="19" t="str">
        <f>IF($B1586="","",IFERROR(INDEX(Config!$D$9:$D$29,MATCH($B1586,Config!$B$9:$B$29,0))&amp;"",""))</f>
        <v/>
      </c>
    </row>
    <row r="1587">
      <c r="X1587" s="20" t="str">
        <f>IF($B1587="","",IFERROR(IF(INDEX(Config!$D$9:$D$29,MATCH($B1587,Config!$B$9:$B$29,0))="Contrato",IF(INDEX(Config!$E$9:$E$29,MATCH($B1587,Config!$B$9:$B$29,0))="","",INDEX(Config!$E$9:$E$29,MATCH($B1587,Config!$B$9:$B$29,0))),""),""))</f>
        <v/>
      </c>
      <c r="AI1587" s="19" t="str">
        <f>IF($B1587="","",IFERROR(INDEX(Config!$D$9:$D$29,MATCH($B1587,Config!$B$9:$B$29,0))&amp;"",""))</f>
        <v/>
      </c>
    </row>
    <row r="1588">
      <c r="X1588" s="20" t="str">
        <f>IF($B1588="","",IFERROR(IF(INDEX(Config!$D$9:$D$29,MATCH($B1588,Config!$B$9:$B$29,0))="Contrato",IF(INDEX(Config!$E$9:$E$29,MATCH($B1588,Config!$B$9:$B$29,0))="","",INDEX(Config!$E$9:$E$29,MATCH($B1588,Config!$B$9:$B$29,0))),""),""))</f>
        <v/>
      </c>
      <c r="AI1588" s="19" t="str">
        <f>IF($B1588="","",IFERROR(INDEX(Config!$D$9:$D$29,MATCH($B1588,Config!$B$9:$B$29,0))&amp;"",""))</f>
        <v/>
      </c>
    </row>
    <row r="1589">
      <c r="X1589" s="20" t="str">
        <f>IF($B1589="","",IFERROR(IF(INDEX(Config!$D$9:$D$29,MATCH($B1589,Config!$B$9:$B$29,0))="Contrato",IF(INDEX(Config!$E$9:$E$29,MATCH($B1589,Config!$B$9:$B$29,0))="","",INDEX(Config!$E$9:$E$29,MATCH($B1589,Config!$B$9:$B$29,0))),""),""))</f>
        <v/>
      </c>
      <c r="AI1589" s="19" t="str">
        <f>IF($B1589="","",IFERROR(INDEX(Config!$D$9:$D$29,MATCH($B1589,Config!$B$9:$B$29,0))&amp;"",""))</f>
        <v/>
      </c>
    </row>
    <row r="1590">
      <c r="X1590" s="20" t="str">
        <f>IF($B1590="","",IFERROR(IF(INDEX(Config!$D$9:$D$29,MATCH($B1590,Config!$B$9:$B$29,0))="Contrato",IF(INDEX(Config!$E$9:$E$29,MATCH($B1590,Config!$B$9:$B$29,0))="","",INDEX(Config!$E$9:$E$29,MATCH($B1590,Config!$B$9:$B$29,0))),""),""))</f>
        <v/>
      </c>
      <c r="AI1590" s="19" t="str">
        <f>IF($B1590="","",IFERROR(INDEX(Config!$D$9:$D$29,MATCH($B1590,Config!$B$9:$B$29,0))&amp;"",""))</f>
        <v/>
      </c>
    </row>
    <row r="1591">
      <c r="X1591" s="20" t="str">
        <f>IF($B1591="","",IFERROR(IF(INDEX(Config!$D$9:$D$29,MATCH($B1591,Config!$B$9:$B$29,0))="Contrato",IF(INDEX(Config!$E$9:$E$29,MATCH($B1591,Config!$B$9:$B$29,0))="","",INDEX(Config!$E$9:$E$29,MATCH($B1591,Config!$B$9:$B$29,0))),""),""))</f>
        <v/>
      </c>
      <c r="AI1591" s="19" t="str">
        <f>IF($B1591="","",IFERROR(INDEX(Config!$D$9:$D$29,MATCH($B1591,Config!$B$9:$B$29,0))&amp;"",""))</f>
        <v/>
      </c>
    </row>
    <row r="1592">
      <c r="X1592" s="20" t="str">
        <f>IF($B1592="","",IFERROR(IF(INDEX(Config!$D$9:$D$29,MATCH($B1592,Config!$B$9:$B$29,0))="Contrato",IF(INDEX(Config!$E$9:$E$29,MATCH($B1592,Config!$B$9:$B$29,0))="","",INDEX(Config!$E$9:$E$29,MATCH($B1592,Config!$B$9:$B$29,0))),""),""))</f>
        <v/>
      </c>
      <c r="AI1592" s="19" t="str">
        <f>IF($B1592="","",IFERROR(INDEX(Config!$D$9:$D$29,MATCH($B1592,Config!$B$9:$B$29,0))&amp;"",""))</f>
        <v/>
      </c>
    </row>
    <row r="1593">
      <c r="X1593" s="20" t="str">
        <f>IF($B1593="","",IFERROR(IF(INDEX(Config!$D$9:$D$29,MATCH($B1593,Config!$B$9:$B$29,0))="Contrato",IF(INDEX(Config!$E$9:$E$29,MATCH($B1593,Config!$B$9:$B$29,0))="","",INDEX(Config!$E$9:$E$29,MATCH($B1593,Config!$B$9:$B$29,0))),""),""))</f>
        <v/>
      </c>
      <c r="AI1593" s="19" t="str">
        <f>IF($B1593="","",IFERROR(INDEX(Config!$D$9:$D$29,MATCH($B1593,Config!$B$9:$B$29,0))&amp;"",""))</f>
        <v/>
      </c>
    </row>
    <row r="1594">
      <c r="X1594" s="20" t="str">
        <f>IF($B1594="","",IFERROR(IF(INDEX(Config!$D$9:$D$29,MATCH($B1594,Config!$B$9:$B$29,0))="Contrato",IF(INDEX(Config!$E$9:$E$29,MATCH($B1594,Config!$B$9:$B$29,0))="","",INDEX(Config!$E$9:$E$29,MATCH($B1594,Config!$B$9:$B$29,0))),""),""))</f>
        <v/>
      </c>
      <c r="AI1594" s="19" t="str">
        <f>IF($B1594="","",IFERROR(INDEX(Config!$D$9:$D$29,MATCH($B1594,Config!$B$9:$B$29,0))&amp;"",""))</f>
        <v/>
      </c>
    </row>
    <row r="1595">
      <c r="X1595" s="20" t="str">
        <f>IF($B1595="","",IFERROR(IF(INDEX(Config!$D$9:$D$29,MATCH($B1595,Config!$B$9:$B$29,0))="Contrato",IF(INDEX(Config!$E$9:$E$29,MATCH($B1595,Config!$B$9:$B$29,0))="","",INDEX(Config!$E$9:$E$29,MATCH($B1595,Config!$B$9:$B$29,0))),""),""))</f>
        <v/>
      </c>
      <c r="AI1595" s="19" t="str">
        <f>IF($B1595="","",IFERROR(INDEX(Config!$D$9:$D$29,MATCH($B1595,Config!$B$9:$B$29,0))&amp;"",""))</f>
        <v/>
      </c>
    </row>
    <row r="1596">
      <c r="X1596" s="20" t="str">
        <f>IF($B1596="","",IFERROR(IF(INDEX(Config!$D$9:$D$29,MATCH($B1596,Config!$B$9:$B$29,0))="Contrato",IF(INDEX(Config!$E$9:$E$29,MATCH($B1596,Config!$B$9:$B$29,0))="","",INDEX(Config!$E$9:$E$29,MATCH($B1596,Config!$B$9:$B$29,0))),""),""))</f>
        <v/>
      </c>
      <c r="AI1596" s="19" t="str">
        <f>IF($B1596="","",IFERROR(INDEX(Config!$D$9:$D$29,MATCH($B1596,Config!$B$9:$B$29,0))&amp;"",""))</f>
        <v/>
      </c>
    </row>
    <row r="1597">
      <c r="X1597" s="20" t="str">
        <f>IF($B1597="","",IFERROR(IF(INDEX(Config!$D$9:$D$29,MATCH($B1597,Config!$B$9:$B$29,0))="Contrato",IF(INDEX(Config!$E$9:$E$29,MATCH($B1597,Config!$B$9:$B$29,0))="","",INDEX(Config!$E$9:$E$29,MATCH($B1597,Config!$B$9:$B$29,0))),""),""))</f>
        <v/>
      </c>
      <c r="AI1597" s="19" t="str">
        <f>IF($B1597="","",IFERROR(INDEX(Config!$D$9:$D$29,MATCH($B1597,Config!$B$9:$B$29,0))&amp;"",""))</f>
        <v/>
      </c>
    </row>
    <row r="1598">
      <c r="X1598" s="20" t="str">
        <f>IF($B1598="","",IFERROR(IF(INDEX(Config!$D$9:$D$29,MATCH($B1598,Config!$B$9:$B$29,0))="Contrato",IF(INDEX(Config!$E$9:$E$29,MATCH($B1598,Config!$B$9:$B$29,0))="","",INDEX(Config!$E$9:$E$29,MATCH($B1598,Config!$B$9:$B$29,0))),""),""))</f>
        <v/>
      </c>
      <c r="AI1598" s="19" t="str">
        <f>IF($B1598="","",IFERROR(INDEX(Config!$D$9:$D$29,MATCH($B1598,Config!$B$9:$B$29,0))&amp;"",""))</f>
        <v/>
      </c>
    </row>
    <row r="1599">
      <c r="X1599" s="20" t="str">
        <f>IF($B1599="","",IFERROR(IF(INDEX(Config!$D$9:$D$29,MATCH($B1599,Config!$B$9:$B$29,0))="Contrato",IF(INDEX(Config!$E$9:$E$29,MATCH($B1599,Config!$B$9:$B$29,0))="","",INDEX(Config!$E$9:$E$29,MATCH($B1599,Config!$B$9:$B$29,0))),""),""))</f>
        <v/>
      </c>
      <c r="AI1599" s="19" t="str">
        <f>IF($B1599="","",IFERROR(INDEX(Config!$D$9:$D$29,MATCH($B1599,Config!$B$9:$B$29,0))&amp;"",""))</f>
        <v/>
      </c>
    </row>
    <row r="1600">
      <c r="X1600" s="20" t="str">
        <f>IF($B1600="","",IFERROR(IF(INDEX(Config!$D$9:$D$29,MATCH($B1600,Config!$B$9:$B$29,0))="Contrato",IF(INDEX(Config!$E$9:$E$29,MATCH($B1600,Config!$B$9:$B$29,0))="","",INDEX(Config!$E$9:$E$29,MATCH($B1600,Config!$B$9:$B$29,0))),""),""))</f>
        <v/>
      </c>
      <c r="AI1600" s="19" t="str">
        <f>IF($B1600="","",IFERROR(INDEX(Config!$D$9:$D$29,MATCH($B1600,Config!$B$9:$B$29,0))&amp;"",""))</f>
        <v/>
      </c>
    </row>
    <row r="1601">
      <c r="X1601" s="20" t="str">
        <f>IF($B1601="","",IFERROR(IF(INDEX(Config!$D$9:$D$29,MATCH($B1601,Config!$B$9:$B$29,0))="Contrato",IF(INDEX(Config!$E$9:$E$29,MATCH($B1601,Config!$B$9:$B$29,0))="","",INDEX(Config!$E$9:$E$29,MATCH($B1601,Config!$B$9:$B$29,0))),""),""))</f>
        <v/>
      </c>
      <c r="AI1601" s="19" t="str">
        <f>IF($B1601="","",IFERROR(INDEX(Config!$D$9:$D$29,MATCH($B1601,Config!$B$9:$B$29,0))&amp;"",""))</f>
        <v/>
      </c>
    </row>
    <row r="1602">
      <c r="X1602" s="20" t="str">
        <f>IF($B1602="","",IFERROR(IF(INDEX(Config!$D$9:$D$29,MATCH($B1602,Config!$B$9:$B$29,0))="Contrato",IF(INDEX(Config!$E$9:$E$29,MATCH($B1602,Config!$B$9:$B$29,0))="","",INDEX(Config!$E$9:$E$29,MATCH($B1602,Config!$B$9:$B$29,0))),""),""))</f>
        <v/>
      </c>
      <c r="AI1602" s="19" t="str">
        <f>IF($B1602="","",IFERROR(INDEX(Config!$D$9:$D$29,MATCH($B1602,Config!$B$9:$B$29,0))&amp;"",""))</f>
        <v/>
      </c>
    </row>
    <row r="1603">
      <c r="X1603" s="20" t="str">
        <f>IF($B1603="","",IFERROR(IF(INDEX(Config!$D$9:$D$29,MATCH($B1603,Config!$B$9:$B$29,0))="Contrato",IF(INDEX(Config!$E$9:$E$29,MATCH($B1603,Config!$B$9:$B$29,0))="","",INDEX(Config!$E$9:$E$29,MATCH($B1603,Config!$B$9:$B$29,0))),""),""))</f>
        <v/>
      </c>
      <c r="AI1603" s="19" t="str">
        <f>IF($B1603="","",IFERROR(INDEX(Config!$D$9:$D$29,MATCH($B1603,Config!$B$9:$B$29,0))&amp;"",""))</f>
        <v/>
      </c>
    </row>
    <row r="1604">
      <c r="X1604" s="20" t="str">
        <f>IF($B1604="","",IFERROR(IF(INDEX(Config!$D$9:$D$29,MATCH($B1604,Config!$B$9:$B$29,0))="Contrato",IF(INDEX(Config!$E$9:$E$29,MATCH($B1604,Config!$B$9:$B$29,0))="","",INDEX(Config!$E$9:$E$29,MATCH($B1604,Config!$B$9:$B$29,0))),""),""))</f>
        <v/>
      </c>
      <c r="AI1604" s="19" t="str">
        <f>IF($B1604="","",IFERROR(INDEX(Config!$D$9:$D$29,MATCH($B1604,Config!$B$9:$B$29,0))&amp;"",""))</f>
        <v/>
      </c>
    </row>
    <row r="1605">
      <c r="X1605" s="20" t="str">
        <f>IF($B1605="","",IFERROR(IF(INDEX(Config!$D$9:$D$29,MATCH($B1605,Config!$B$9:$B$29,0))="Contrato",IF(INDEX(Config!$E$9:$E$29,MATCH($B1605,Config!$B$9:$B$29,0))="","",INDEX(Config!$E$9:$E$29,MATCH($B1605,Config!$B$9:$B$29,0))),""),""))</f>
        <v/>
      </c>
      <c r="AI1605" s="19" t="str">
        <f>IF($B1605="","",IFERROR(INDEX(Config!$D$9:$D$29,MATCH($B1605,Config!$B$9:$B$29,0))&amp;"",""))</f>
        <v/>
      </c>
    </row>
    <row r="1606">
      <c r="X1606" s="20" t="str">
        <f>IF($B1606="","",IFERROR(IF(INDEX(Config!$D$9:$D$29,MATCH($B1606,Config!$B$9:$B$29,0))="Contrato",IF(INDEX(Config!$E$9:$E$29,MATCH($B1606,Config!$B$9:$B$29,0))="","",INDEX(Config!$E$9:$E$29,MATCH($B1606,Config!$B$9:$B$29,0))),""),""))</f>
        <v/>
      </c>
      <c r="AI1606" s="19" t="str">
        <f>IF($B1606="","",IFERROR(INDEX(Config!$D$9:$D$29,MATCH($B1606,Config!$B$9:$B$29,0))&amp;"",""))</f>
        <v/>
      </c>
    </row>
    <row r="1607">
      <c r="X1607" s="20" t="str">
        <f>IF($B1607="","",IFERROR(IF(INDEX(Config!$D$9:$D$29,MATCH($B1607,Config!$B$9:$B$29,0))="Contrato",IF(INDEX(Config!$E$9:$E$29,MATCH($B1607,Config!$B$9:$B$29,0))="","",INDEX(Config!$E$9:$E$29,MATCH($B1607,Config!$B$9:$B$29,0))),""),""))</f>
        <v/>
      </c>
      <c r="AI1607" s="19" t="str">
        <f>IF($B1607="","",IFERROR(INDEX(Config!$D$9:$D$29,MATCH($B1607,Config!$B$9:$B$29,0))&amp;"",""))</f>
        <v/>
      </c>
    </row>
    <row r="1608">
      <c r="X1608" s="20" t="str">
        <f>IF($B1608="","",IFERROR(IF(INDEX(Config!$D$9:$D$29,MATCH($B1608,Config!$B$9:$B$29,0))="Contrato",IF(INDEX(Config!$E$9:$E$29,MATCH($B1608,Config!$B$9:$B$29,0))="","",INDEX(Config!$E$9:$E$29,MATCH($B1608,Config!$B$9:$B$29,0))),""),""))</f>
        <v/>
      </c>
      <c r="AI1608" s="19" t="str">
        <f>IF($B1608="","",IFERROR(INDEX(Config!$D$9:$D$29,MATCH($B1608,Config!$B$9:$B$29,0))&amp;"",""))</f>
        <v/>
      </c>
    </row>
    <row r="1609">
      <c r="X1609" s="20" t="str">
        <f>IF($B1609="","",IFERROR(IF(INDEX(Config!$D$9:$D$29,MATCH($B1609,Config!$B$9:$B$29,0))="Contrato",IF(INDEX(Config!$E$9:$E$29,MATCH($B1609,Config!$B$9:$B$29,0))="","",INDEX(Config!$E$9:$E$29,MATCH($B1609,Config!$B$9:$B$29,0))),""),""))</f>
        <v/>
      </c>
      <c r="AI1609" s="19" t="str">
        <f>IF($B1609="","",IFERROR(INDEX(Config!$D$9:$D$29,MATCH($B1609,Config!$B$9:$B$29,0))&amp;"",""))</f>
        <v/>
      </c>
    </row>
    <row r="1610">
      <c r="X1610" s="20" t="str">
        <f>IF($B1610="","",IFERROR(IF(INDEX(Config!$D$9:$D$29,MATCH($B1610,Config!$B$9:$B$29,0))="Contrato",IF(INDEX(Config!$E$9:$E$29,MATCH($B1610,Config!$B$9:$B$29,0))="","",INDEX(Config!$E$9:$E$29,MATCH($B1610,Config!$B$9:$B$29,0))),""),""))</f>
        <v/>
      </c>
      <c r="AI1610" s="19" t="str">
        <f>IF($B1610="","",IFERROR(INDEX(Config!$D$9:$D$29,MATCH($B1610,Config!$B$9:$B$29,0))&amp;"",""))</f>
        <v/>
      </c>
    </row>
    <row r="1611">
      <c r="X1611" s="20" t="str">
        <f>IF($B1611="","",IFERROR(IF(INDEX(Config!$D$9:$D$29,MATCH($B1611,Config!$B$9:$B$29,0))="Contrato",IF(INDEX(Config!$E$9:$E$29,MATCH($B1611,Config!$B$9:$B$29,0))="","",INDEX(Config!$E$9:$E$29,MATCH($B1611,Config!$B$9:$B$29,0))),""),""))</f>
        <v/>
      </c>
      <c r="AI1611" s="19" t="str">
        <f>IF($B1611="","",IFERROR(INDEX(Config!$D$9:$D$29,MATCH($B1611,Config!$B$9:$B$29,0))&amp;"",""))</f>
        <v/>
      </c>
    </row>
    <row r="1612">
      <c r="X1612" s="20" t="str">
        <f>IF($B1612="","",IFERROR(IF(INDEX(Config!$D$9:$D$29,MATCH($B1612,Config!$B$9:$B$29,0))="Contrato",IF(INDEX(Config!$E$9:$E$29,MATCH($B1612,Config!$B$9:$B$29,0))="","",INDEX(Config!$E$9:$E$29,MATCH($B1612,Config!$B$9:$B$29,0))),""),""))</f>
        <v/>
      </c>
      <c r="AI1612" s="19" t="str">
        <f>IF($B1612="","",IFERROR(INDEX(Config!$D$9:$D$29,MATCH($B1612,Config!$B$9:$B$29,0))&amp;"",""))</f>
        <v/>
      </c>
    </row>
    <row r="1613">
      <c r="X1613" s="20" t="str">
        <f>IF($B1613="","",IFERROR(IF(INDEX(Config!$D$9:$D$29,MATCH($B1613,Config!$B$9:$B$29,0))="Contrato",IF(INDEX(Config!$E$9:$E$29,MATCH($B1613,Config!$B$9:$B$29,0))="","",INDEX(Config!$E$9:$E$29,MATCH($B1613,Config!$B$9:$B$29,0))),""),""))</f>
        <v/>
      </c>
      <c r="AI1613" s="19" t="str">
        <f>IF($B1613="","",IFERROR(INDEX(Config!$D$9:$D$29,MATCH($B1613,Config!$B$9:$B$29,0))&amp;"",""))</f>
        <v/>
      </c>
    </row>
    <row r="1614">
      <c r="X1614" s="20" t="str">
        <f>IF($B1614="","",IFERROR(IF(INDEX(Config!$D$9:$D$29,MATCH($B1614,Config!$B$9:$B$29,0))="Contrato",IF(INDEX(Config!$E$9:$E$29,MATCH($B1614,Config!$B$9:$B$29,0))="","",INDEX(Config!$E$9:$E$29,MATCH($B1614,Config!$B$9:$B$29,0))),""),""))</f>
        <v/>
      </c>
      <c r="AI1614" s="19" t="str">
        <f>IF($B1614="","",IFERROR(INDEX(Config!$D$9:$D$29,MATCH($B1614,Config!$B$9:$B$29,0))&amp;"",""))</f>
        <v/>
      </c>
    </row>
    <row r="1615">
      <c r="X1615" s="20" t="str">
        <f>IF($B1615="","",IFERROR(IF(INDEX(Config!$D$9:$D$29,MATCH($B1615,Config!$B$9:$B$29,0))="Contrato",IF(INDEX(Config!$E$9:$E$29,MATCH($B1615,Config!$B$9:$B$29,0))="","",INDEX(Config!$E$9:$E$29,MATCH($B1615,Config!$B$9:$B$29,0))),""),""))</f>
        <v/>
      </c>
      <c r="AI1615" s="19" t="str">
        <f>IF($B1615="","",IFERROR(INDEX(Config!$D$9:$D$29,MATCH($B1615,Config!$B$9:$B$29,0))&amp;"",""))</f>
        <v/>
      </c>
    </row>
    <row r="1616">
      <c r="X1616" s="20" t="str">
        <f>IF($B1616="","",IFERROR(IF(INDEX(Config!$D$9:$D$29,MATCH($B1616,Config!$B$9:$B$29,0))="Contrato",IF(INDEX(Config!$E$9:$E$29,MATCH($B1616,Config!$B$9:$B$29,0))="","",INDEX(Config!$E$9:$E$29,MATCH($B1616,Config!$B$9:$B$29,0))),""),""))</f>
        <v/>
      </c>
      <c r="AI1616" s="19" t="str">
        <f>IF($B1616="","",IFERROR(INDEX(Config!$D$9:$D$29,MATCH($B1616,Config!$B$9:$B$29,0))&amp;"",""))</f>
        <v/>
      </c>
    </row>
    <row r="1617">
      <c r="X1617" s="20" t="str">
        <f>IF($B1617="","",IFERROR(IF(INDEX(Config!$D$9:$D$29,MATCH($B1617,Config!$B$9:$B$29,0))="Contrato",IF(INDEX(Config!$E$9:$E$29,MATCH($B1617,Config!$B$9:$B$29,0))="","",INDEX(Config!$E$9:$E$29,MATCH($B1617,Config!$B$9:$B$29,0))),""),""))</f>
        <v/>
      </c>
      <c r="AI1617" s="19" t="str">
        <f>IF($B1617="","",IFERROR(INDEX(Config!$D$9:$D$29,MATCH($B1617,Config!$B$9:$B$29,0))&amp;"",""))</f>
        <v/>
      </c>
    </row>
    <row r="1618">
      <c r="X1618" s="20" t="str">
        <f>IF($B1618="","",IFERROR(IF(INDEX(Config!$D$9:$D$29,MATCH($B1618,Config!$B$9:$B$29,0))="Contrato",IF(INDEX(Config!$E$9:$E$29,MATCH($B1618,Config!$B$9:$B$29,0))="","",INDEX(Config!$E$9:$E$29,MATCH($B1618,Config!$B$9:$B$29,0))),""),""))</f>
        <v/>
      </c>
      <c r="AI1618" s="19" t="str">
        <f>IF($B1618="","",IFERROR(INDEX(Config!$D$9:$D$29,MATCH($B1618,Config!$B$9:$B$29,0))&amp;"",""))</f>
        <v/>
      </c>
    </row>
    <row r="1619">
      <c r="X1619" s="20" t="str">
        <f>IF($B1619="","",IFERROR(IF(INDEX(Config!$D$9:$D$29,MATCH($B1619,Config!$B$9:$B$29,0))="Contrato",IF(INDEX(Config!$E$9:$E$29,MATCH($B1619,Config!$B$9:$B$29,0))="","",INDEX(Config!$E$9:$E$29,MATCH($B1619,Config!$B$9:$B$29,0))),""),""))</f>
        <v/>
      </c>
      <c r="AI1619" s="19" t="str">
        <f>IF($B1619="","",IFERROR(INDEX(Config!$D$9:$D$29,MATCH($B1619,Config!$B$9:$B$29,0))&amp;"",""))</f>
        <v/>
      </c>
    </row>
    <row r="1620">
      <c r="X1620" s="20" t="str">
        <f>IF($B1620="","",IFERROR(IF(INDEX(Config!$D$9:$D$29,MATCH($B1620,Config!$B$9:$B$29,0))="Contrato",IF(INDEX(Config!$E$9:$E$29,MATCH($B1620,Config!$B$9:$B$29,0))="","",INDEX(Config!$E$9:$E$29,MATCH($B1620,Config!$B$9:$B$29,0))),""),""))</f>
        <v/>
      </c>
      <c r="AI1620" s="19" t="str">
        <f>IF($B1620="","",IFERROR(INDEX(Config!$D$9:$D$29,MATCH($B1620,Config!$B$9:$B$29,0))&amp;"",""))</f>
        <v/>
      </c>
    </row>
    <row r="1621">
      <c r="X1621" s="20" t="str">
        <f>IF($B1621="","",IFERROR(IF(INDEX(Config!$D$9:$D$29,MATCH($B1621,Config!$B$9:$B$29,0))="Contrato",IF(INDEX(Config!$E$9:$E$29,MATCH($B1621,Config!$B$9:$B$29,0))="","",INDEX(Config!$E$9:$E$29,MATCH($B1621,Config!$B$9:$B$29,0))),""),""))</f>
        <v/>
      </c>
      <c r="AI1621" s="19" t="str">
        <f>IF($B1621="","",IFERROR(INDEX(Config!$D$9:$D$29,MATCH($B1621,Config!$B$9:$B$29,0))&amp;"",""))</f>
        <v/>
      </c>
    </row>
    <row r="1622">
      <c r="X1622" s="20" t="str">
        <f>IF($B1622="","",IFERROR(IF(INDEX(Config!$D$9:$D$29,MATCH($B1622,Config!$B$9:$B$29,0))="Contrato",IF(INDEX(Config!$E$9:$E$29,MATCH($B1622,Config!$B$9:$B$29,0))="","",INDEX(Config!$E$9:$E$29,MATCH($B1622,Config!$B$9:$B$29,0))),""),""))</f>
        <v/>
      </c>
      <c r="AI1622" s="19" t="str">
        <f>IF($B1622="","",IFERROR(INDEX(Config!$D$9:$D$29,MATCH($B1622,Config!$B$9:$B$29,0))&amp;"",""))</f>
        <v/>
      </c>
    </row>
    <row r="1623">
      <c r="X1623" s="20" t="str">
        <f>IF($B1623="","",IFERROR(IF(INDEX(Config!$D$9:$D$29,MATCH($B1623,Config!$B$9:$B$29,0))="Contrato",IF(INDEX(Config!$E$9:$E$29,MATCH($B1623,Config!$B$9:$B$29,0))="","",INDEX(Config!$E$9:$E$29,MATCH($B1623,Config!$B$9:$B$29,0))),""),""))</f>
        <v/>
      </c>
      <c r="AI1623" s="19" t="str">
        <f>IF($B1623="","",IFERROR(INDEX(Config!$D$9:$D$29,MATCH($B1623,Config!$B$9:$B$29,0))&amp;"",""))</f>
        <v/>
      </c>
    </row>
    <row r="1624">
      <c r="X1624" s="20" t="str">
        <f>IF($B1624="","",IFERROR(IF(INDEX(Config!$D$9:$D$29,MATCH($B1624,Config!$B$9:$B$29,0))="Contrato",IF(INDEX(Config!$E$9:$E$29,MATCH($B1624,Config!$B$9:$B$29,0))="","",INDEX(Config!$E$9:$E$29,MATCH($B1624,Config!$B$9:$B$29,0))),""),""))</f>
        <v/>
      </c>
      <c r="AI1624" s="19" t="str">
        <f>IF($B1624="","",IFERROR(INDEX(Config!$D$9:$D$29,MATCH($B1624,Config!$B$9:$B$29,0))&amp;"",""))</f>
        <v/>
      </c>
    </row>
    <row r="1625">
      <c r="X1625" s="20" t="str">
        <f>IF($B1625="","",IFERROR(IF(INDEX(Config!$D$9:$D$29,MATCH($B1625,Config!$B$9:$B$29,0))="Contrato",IF(INDEX(Config!$E$9:$E$29,MATCH($B1625,Config!$B$9:$B$29,0))="","",INDEX(Config!$E$9:$E$29,MATCH($B1625,Config!$B$9:$B$29,0))),""),""))</f>
        <v/>
      </c>
      <c r="AI1625" s="19" t="str">
        <f>IF($B1625="","",IFERROR(INDEX(Config!$D$9:$D$29,MATCH($B1625,Config!$B$9:$B$29,0))&amp;"",""))</f>
        <v/>
      </c>
    </row>
    <row r="1626">
      <c r="X1626" s="20" t="str">
        <f>IF($B1626="","",IFERROR(IF(INDEX(Config!$D$9:$D$29,MATCH($B1626,Config!$B$9:$B$29,0))="Contrato",IF(INDEX(Config!$E$9:$E$29,MATCH($B1626,Config!$B$9:$B$29,0))="","",INDEX(Config!$E$9:$E$29,MATCH($B1626,Config!$B$9:$B$29,0))),""),""))</f>
        <v/>
      </c>
      <c r="AI1626" s="19" t="str">
        <f>IF($B1626="","",IFERROR(INDEX(Config!$D$9:$D$29,MATCH($B1626,Config!$B$9:$B$29,0))&amp;"",""))</f>
        <v/>
      </c>
    </row>
    <row r="1627">
      <c r="X1627" s="20" t="str">
        <f>IF($B1627="","",IFERROR(IF(INDEX(Config!$D$9:$D$29,MATCH($B1627,Config!$B$9:$B$29,0))="Contrato",IF(INDEX(Config!$E$9:$E$29,MATCH($B1627,Config!$B$9:$B$29,0))="","",INDEX(Config!$E$9:$E$29,MATCH($B1627,Config!$B$9:$B$29,0))),""),""))</f>
        <v/>
      </c>
      <c r="AI1627" s="19" t="str">
        <f>IF($B1627="","",IFERROR(INDEX(Config!$D$9:$D$29,MATCH($B1627,Config!$B$9:$B$29,0))&amp;"",""))</f>
        <v/>
      </c>
    </row>
    <row r="1628">
      <c r="X1628" s="20" t="str">
        <f>IF($B1628="","",IFERROR(IF(INDEX(Config!$D$9:$D$29,MATCH($B1628,Config!$B$9:$B$29,0))="Contrato",IF(INDEX(Config!$E$9:$E$29,MATCH($B1628,Config!$B$9:$B$29,0))="","",INDEX(Config!$E$9:$E$29,MATCH($B1628,Config!$B$9:$B$29,0))),""),""))</f>
        <v/>
      </c>
      <c r="AI1628" s="19" t="str">
        <f>IF($B1628="","",IFERROR(INDEX(Config!$D$9:$D$29,MATCH($B1628,Config!$B$9:$B$29,0))&amp;"",""))</f>
        <v/>
      </c>
    </row>
    <row r="1629">
      <c r="X1629" s="20" t="str">
        <f>IF($B1629="","",IFERROR(IF(INDEX(Config!$D$9:$D$29,MATCH($B1629,Config!$B$9:$B$29,0))="Contrato",IF(INDEX(Config!$E$9:$E$29,MATCH($B1629,Config!$B$9:$B$29,0))="","",INDEX(Config!$E$9:$E$29,MATCH($B1629,Config!$B$9:$B$29,0))),""),""))</f>
        <v/>
      </c>
      <c r="AI1629" s="19" t="str">
        <f>IF($B1629="","",IFERROR(INDEX(Config!$D$9:$D$29,MATCH($B1629,Config!$B$9:$B$29,0))&amp;"",""))</f>
        <v/>
      </c>
    </row>
    <row r="1630">
      <c r="X1630" s="20" t="str">
        <f>IF($B1630="","",IFERROR(IF(INDEX(Config!$D$9:$D$29,MATCH($B1630,Config!$B$9:$B$29,0))="Contrato",IF(INDEX(Config!$E$9:$E$29,MATCH($B1630,Config!$B$9:$B$29,0))="","",INDEX(Config!$E$9:$E$29,MATCH($B1630,Config!$B$9:$B$29,0))),""),""))</f>
        <v/>
      </c>
      <c r="AI1630" s="19" t="str">
        <f>IF($B1630="","",IFERROR(INDEX(Config!$D$9:$D$29,MATCH($B1630,Config!$B$9:$B$29,0))&amp;"",""))</f>
        <v/>
      </c>
    </row>
    <row r="1631">
      <c r="X1631" s="20" t="str">
        <f>IF($B1631="","",IFERROR(IF(INDEX(Config!$D$9:$D$29,MATCH($B1631,Config!$B$9:$B$29,0))="Contrato",IF(INDEX(Config!$E$9:$E$29,MATCH($B1631,Config!$B$9:$B$29,0))="","",INDEX(Config!$E$9:$E$29,MATCH($B1631,Config!$B$9:$B$29,0))),""),""))</f>
        <v/>
      </c>
      <c r="AI1631" s="19" t="str">
        <f>IF($B1631="","",IFERROR(INDEX(Config!$D$9:$D$29,MATCH($B1631,Config!$B$9:$B$29,0))&amp;"",""))</f>
        <v/>
      </c>
    </row>
    <row r="1632">
      <c r="X1632" s="20" t="str">
        <f>IF($B1632="","",IFERROR(IF(INDEX(Config!$D$9:$D$29,MATCH($B1632,Config!$B$9:$B$29,0))="Contrato",IF(INDEX(Config!$E$9:$E$29,MATCH($B1632,Config!$B$9:$B$29,0))="","",INDEX(Config!$E$9:$E$29,MATCH($B1632,Config!$B$9:$B$29,0))),""),""))</f>
        <v/>
      </c>
      <c r="AI1632" s="19" t="str">
        <f>IF($B1632="","",IFERROR(INDEX(Config!$D$9:$D$29,MATCH($B1632,Config!$B$9:$B$29,0))&amp;"",""))</f>
        <v/>
      </c>
    </row>
    <row r="1633">
      <c r="X1633" s="20" t="str">
        <f>IF($B1633="","",IFERROR(IF(INDEX(Config!$D$9:$D$29,MATCH($B1633,Config!$B$9:$B$29,0))="Contrato",IF(INDEX(Config!$E$9:$E$29,MATCH($B1633,Config!$B$9:$B$29,0))="","",INDEX(Config!$E$9:$E$29,MATCH($B1633,Config!$B$9:$B$29,0))),""),""))</f>
        <v/>
      </c>
      <c r="AI1633" s="19" t="str">
        <f>IF($B1633="","",IFERROR(INDEX(Config!$D$9:$D$29,MATCH($B1633,Config!$B$9:$B$29,0))&amp;"",""))</f>
        <v/>
      </c>
    </row>
    <row r="1634">
      <c r="X1634" s="20" t="str">
        <f>IF($B1634="","",IFERROR(IF(INDEX(Config!$D$9:$D$29,MATCH($B1634,Config!$B$9:$B$29,0))="Contrato",IF(INDEX(Config!$E$9:$E$29,MATCH($B1634,Config!$B$9:$B$29,0))="","",INDEX(Config!$E$9:$E$29,MATCH($B1634,Config!$B$9:$B$29,0))),""),""))</f>
        <v/>
      </c>
      <c r="AI1634" s="19" t="str">
        <f>IF($B1634="","",IFERROR(INDEX(Config!$D$9:$D$29,MATCH($B1634,Config!$B$9:$B$29,0))&amp;"",""))</f>
        <v/>
      </c>
    </row>
    <row r="1635">
      <c r="X1635" s="20" t="str">
        <f>IF($B1635="","",IFERROR(IF(INDEX(Config!$D$9:$D$29,MATCH($B1635,Config!$B$9:$B$29,0))="Contrato",IF(INDEX(Config!$E$9:$E$29,MATCH($B1635,Config!$B$9:$B$29,0))="","",INDEX(Config!$E$9:$E$29,MATCH($B1635,Config!$B$9:$B$29,0))),""),""))</f>
        <v/>
      </c>
      <c r="AI1635" s="19" t="str">
        <f>IF($B1635="","",IFERROR(INDEX(Config!$D$9:$D$29,MATCH($B1635,Config!$B$9:$B$29,0))&amp;"",""))</f>
        <v/>
      </c>
    </row>
    <row r="1636">
      <c r="X1636" s="20" t="str">
        <f>IF($B1636="","",IFERROR(IF(INDEX(Config!$D$9:$D$29,MATCH($B1636,Config!$B$9:$B$29,0))="Contrato",IF(INDEX(Config!$E$9:$E$29,MATCH($B1636,Config!$B$9:$B$29,0))="","",INDEX(Config!$E$9:$E$29,MATCH($B1636,Config!$B$9:$B$29,0))),""),""))</f>
        <v/>
      </c>
      <c r="AI1636" s="19" t="str">
        <f>IF($B1636="","",IFERROR(INDEX(Config!$D$9:$D$29,MATCH($B1636,Config!$B$9:$B$29,0))&amp;"",""))</f>
        <v/>
      </c>
    </row>
    <row r="1637">
      <c r="X1637" s="20" t="str">
        <f>IF($B1637="","",IFERROR(IF(INDEX(Config!$D$9:$D$29,MATCH($B1637,Config!$B$9:$B$29,0))="Contrato",IF(INDEX(Config!$E$9:$E$29,MATCH($B1637,Config!$B$9:$B$29,0))="","",INDEX(Config!$E$9:$E$29,MATCH($B1637,Config!$B$9:$B$29,0))),""),""))</f>
        <v/>
      </c>
      <c r="AI1637" s="19" t="str">
        <f>IF($B1637="","",IFERROR(INDEX(Config!$D$9:$D$29,MATCH($B1637,Config!$B$9:$B$29,0))&amp;"",""))</f>
        <v/>
      </c>
    </row>
    <row r="1638">
      <c r="X1638" s="20" t="str">
        <f>IF($B1638="","",IFERROR(IF(INDEX(Config!$D$9:$D$29,MATCH($B1638,Config!$B$9:$B$29,0))="Contrato",IF(INDEX(Config!$E$9:$E$29,MATCH($B1638,Config!$B$9:$B$29,0))="","",INDEX(Config!$E$9:$E$29,MATCH($B1638,Config!$B$9:$B$29,0))),""),""))</f>
        <v/>
      </c>
      <c r="AI1638" s="19" t="str">
        <f>IF($B1638="","",IFERROR(INDEX(Config!$D$9:$D$29,MATCH($B1638,Config!$B$9:$B$29,0))&amp;"",""))</f>
        <v/>
      </c>
    </row>
    <row r="1639">
      <c r="X1639" s="20" t="str">
        <f>IF($B1639="","",IFERROR(IF(INDEX(Config!$D$9:$D$29,MATCH($B1639,Config!$B$9:$B$29,0))="Contrato",IF(INDEX(Config!$E$9:$E$29,MATCH($B1639,Config!$B$9:$B$29,0))="","",INDEX(Config!$E$9:$E$29,MATCH($B1639,Config!$B$9:$B$29,0))),""),""))</f>
        <v/>
      </c>
      <c r="AI1639" s="19" t="str">
        <f>IF($B1639="","",IFERROR(INDEX(Config!$D$9:$D$29,MATCH($B1639,Config!$B$9:$B$29,0))&amp;"",""))</f>
        <v/>
      </c>
    </row>
    <row r="1640">
      <c r="X1640" s="20" t="str">
        <f>IF($B1640="","",IFERROR(IF(INDEX(Config!$D$9:$D$29,MATCH($B1640,Config!$B$9:$B$29,0))="Contrato",IF(INDEX(Config!$E$9:$E$29,MATCH($B1640,Config!$B$9:$B$29,0))="","",INDEX(Config!$E$9:$E$29,MATCH($B1640,Config!$B$9:$B$29,0))),""),""))</f>
        <v/>
      </c>
      <c r="AI1640" s="19" t="str">
        <f>IF($B1640="","",IFERROR(INDEX(Config!$D$9:$D$29,MATCH($B1640,Config!$B$9:$B$29,0))&amp;"",""))</f>
        <v/>
      </c>
    </row>
    <row r="1641">
      <c r="X1641" s="20" t="str">
        <f>IF($B1641="","",IFERROR(IF(INDEX(Config!$D$9:$D$29,MATCH($B1641,Config!$B$9:$B$29,0))="Contrato",IF(INDEX(Config!$E$9:$E$29,MATCH($B1641,Config!$B$9:$B$29,0))="","",INDEX(Config!$E$9:$E$29,MATCH($B1641,Config!$B$9:$B$29,0))),""),""))</f>
        <v/>
      </c>
      <c r="AI1641" s="19" t="str">
        <f>IF($B1641="","",IFERROR(INDEX(Config!$D$9:$D$29,MATCH($B1641,Config!$B$9:$B$29,0))&amp;"",""))</f>
        <v/>
      </c>
    </row>
    <row r="1642">
      <c r="X1642" s="20" t="str">
        <f>IF($B1642="","",IFERROR(IF(INDEX(Config!$D$9:$D$29,MATCH($B1642,Config!$B$9:$B$29,0))="Contrato",IF(INDEX(Config!$E$9:$E$29,MATCH($B1642,Config!$B$9:$B$29,0))="","",INDEX(Config!$E$9:$E$29,MATCH($B1642,Config!$B$9:$B$29,0))),""),""))</f>
        <v/>
      </c>
      <c r="AI1642" s="19" t="str">
        <f>IF($B1642="","",IFERROR(INDEX(Config!$D$9:$D$29,MATCH($B1642,Config!$B$9:$B$29,0))&amp;"",""))</f>
        <v/>
      </c>
    </row>
    <row r="1643">
      <c r="X1643" s="20" t="str">
        <f>IF($B1643="","",IFERROR(IF(INDEX(Config!$D$9:$D$29,MATCH($B1643,Config!$B$9:$B$29,0))="Contrato",IF(INDEX(Config!$E$9:$E$29,MATCH($B1643,Config!$B$9:$B$29,0))="","",INDEX(Config!$E$9:$E$29,MATCH($B1643,Config!$B$9:$B$29,0))),""),""))</f>
        <v/>
      </c>
      <c r="AI1643" s="19" t="str">
        <f>IF($B1643="","",IFERROR(INDEX(Config!$D$9:$D$29,MATCH($B1643,Config!$B$9:$B$29,0))&amp;"",""))</f>
        <v/>
      </c>
    </row>
    <row r="1644">
      <c r="X1644" s="20" t="str">
        <f>IF($B1644="","",IFERROR(IF(INDEX(Config!$D$9:$D$29,MATCH($B1644,Config!$B$9:$B$29,0))="Contrato",IF(INDEX(Config!$E$9:$E$29,MATCH($B1644,Config!$B$9:$B$29,0))="","",INDEX(Config!$E$9:$E$29,MATCH($B1644,Config!$B$9:$B$29,0))),""),""))</f>
        <v/>
      </c>
      <c r="AI1644" s="19" t="str">
        <f>IF($B1644="","",IFERROR(INDEX(Config!$D$9:$D$29,MATCH($B1644,Config!$B$9:$B$29,0))&amp;"",""))</f>
        <v/>
      </c>
    </row>
    <row r="1645">
      <c r="X1645" s="20" t="str">
        <f>IF($B1645="","",IFERROR(IF(INDEX(Config!$D$9:$D$29,MATCH($B1645,Config!$B$9:$B$29,0))="Contrato",IF(INDEX(Config!$E$9:$E$29,MATCH($B1645,Config!$B$9:$B$29,0))="","",INDEX(Config!$E$9:$E$29,MATCH($B1645,Config!$B$9:$B$29,0))),""),""))</f>
        <v/>
      </c>
      <c r="AI1645" s="19" t="str">
        <f>IF($B1645="","",IFERROR(INDEX(Config!$D$9:$D$29,MATCH($B1645,Config!$B$9:$B$29,0))&amp;"",""))</f>
        <v/>
      </c>
    </row>
    <row r="1646">
      <c r="X1646" s="20" t="str">
        <f>IF($B1646="","",IFERROR(IF(INDEX(Config!$D$9:$D$29,MATCH($B1646,Config!$B$9:$B$29,0))="Contrato",IF(INDEX(Config!$E$9:$E$29,MATCH($B1646,Config!$B$9:$B$29,0))="","",INDEX(Config!$E$9:$E$29,MATCH($B1646,Config!$B$9:$B$29,0))),""),""))</f>
        <v/>
      </c>
      <c r="AI1646" s="19" t="str">
        <f>IF($B1646="","",IFERROR(INDEX(Config!$D$9:$D$29,MATCH($B1646,Config!$B$9:$B$29,0))&amp;"",""))</f>
        <v/>
      </c>
    </row>
    <row r="1647">
      <c r="X1647" s="20" t="str">
        <f>IF($B1647="","",IFERROR(IF(INDEX(Config!$D$9:$D$29,MATCH($B1647,Config!$B$9:$B$29,0))="Contrato",IF(INDEX(Config!$E$9:$E$29,MATCH($B1647,Config!$B$9:$B$29,0))="","",INDEX(Config!$E$9:$E$29,MATCH($B1647,Config!$B$9:$B$29,0))),""),""))</f>
        <v/>
      </c>
      <c r="AI1647" s="19" t="str">
        <f>IF($B1647="","",IFERROR(INDEX(Config!$D$9:$D$29,MATCH($B1647,Config!$B$9:$B$29,0))&amp;"",""))</f>
        <v/>
      </c>
    </row>
    <row r="1648">
      <c r="X1648" s="20" t="str">
        <f>IF($B1648="","",IFERROR(IF(INDEX(Config!$D$9:$D$29,MATCH($B1648,Config!$B$9:$B$29,0))="Contrato",IF(INDEX(Config!$E$9:$E$29,MATCH($B1648,Config!$B$9:$B$29,0))="","",INDEX(Config!$E$9:$E$29,MATCH($B1648,Config!$B$9:$B$29,0))),""),""))</f>
        <v/>
      </c>
      <c r="AI1648" s="19" t="str">
        <f>IF($B1648="","",IFERROR(INDEX(Config!$D$9:$D$29,MATCH($B1648,Config!$B$9:$B$29,0))&amp;"",""))</f>
        <v/>
      </c>
    </row>
    <row r="1649">
      <c r="X1649" s="20" t="str">
        <f>IF($B1649="","",IFERROR(IF(INDEX(Config!$D$9:$D$29,MATCH($B1649,Config!$B$9:$B$29,0))="Contrato",IF(INDEX(Config!$E$9:$E$29,MATCH($B1649,Config!$B$9:$B$29,0))="","",INDEX(Config!$E$9:$E$29,MATCH($B1649,Config!$B$9:$B$29,0))),""),""))</f>
        <v/>
      </c>
      <c r="AI1649" s="19" t="str">
        <f>IF($B1649="","",IFERROR(INDEX(Config!$D$9:$D$29,MATCH($B1649,Config!$B$9:$B$29,0))&amp;"",""))</f>
        <v/>
      </c>
    </row>
    <row r="1650">
      <c r="X1650" s="20" t="str">
        <f>IF($B1650="","",IFERROR(IF(INDEX(Config!$D$9:$D$29,MATCH($B1650,Config!$B$9:$B$29,0))="Contrato",IF(INDEX(Config!$E$9:$E$29,MATCH($B1650,Config!$B$9:$B$29,0))="","",INDEX(Config!$E$9:$E$29,MATCH($B1650,Config!$B$9:$B$29,0))),""),""))</f>
        <v/>
      </c>
      <c r="AI1650" s="19" t="str">
        <f>IF($B1650="","",IFERROR(INDEX(Config!$D$9:$D$29,MATCH($B1650,Config!$B$9:$B$29,0))&amp;"",""))</f>
        <v/>
      </c>
    </row>
    <row r="1651">
      <c r="X1651" s="20" t="str">
        <f>IF($B1651="","",IFERROR(IF(INDEX(Config!$D$9:$D$29,MATCH($B1651,Config!$B$9:$B$29,0))="Contrato",IF(INDEX(Config!$E$9:$E$29,MATCH($B1651,Config!$B$9:$B$29,0))="","",INDEX(Config!$E$9:$E$29,MATCH($B1651,Config!$B$9:$B$29,0))),""),""))</f>
        <v/>
      </c>
      <c r="AI1651" s="19" t="str">
        <f>IF($B1651="","",IFERROR(INDEX(Config!$D$9:$D$29,MATCH($B1651,Config!$B$9:$B$29,0))&amp;"",""))</f>
        <v/>
      </c>
    </row>
    <row r="1652">
      <c r="X1652" s="20" t="str">
        <f>IF($B1652="","",IFERROR(IF(INDEX(Config!$D$9:$D$29,MATCH($B1652,Config!$B$9:$B$29,0))="Contrato",IF(INDEX(Config!$E$9:$E$29,MATCH($B1652,Config!$B$9:$B$29,0))="","",INDEX(Config!$E$9:$E$29,MATCH($B1652,Config!$B$9:$B$29,0))),""),""))</f>
        <v/>
      </c>
      <c r="AI1652" s="19" t="str">
        <f>IF($B1652="","",IFERROR(INDEX(Config!$D$9:$D$29,MATCH($B1652,Config!$B$9:$B$29,0))&amp;"",""))</f>
        <v/>
      </c>
    </row>
    <row r="1653">
      <c r="X1653" s="20" t="str">
        <f>IF($B1653="","",IFERROR(IF(INDEX(Config!$D$9:$D$29,MATCH($B1653,Config!$B$9:$B$29,0))="Contrato",IF(INDEX(Config!$E$9:$E$29,MATCH($B1653,Config!$B$9:$B$29,0))="","",INDEX(Config!$E$9:$E$29,MATCH($B1653,Config!$B$9:$B$29,0))),""),""))</f>
        <v/>
      </c>
      <c r="AI1653" s="19" t="str">
        <f>IF($B1653="","",IFERROR(INDEX(Config!$D$9:$D$29,MATCH($B1653,Config!$B$9:$B$29,0))&amp;"",""))</f>
        <v/>
      </c>
    </row>
    <row r="1654">
      <c r="X1654" s="20" t="str">
        <f>IF($B1654="","",IFERROR(IF(INDEX(Config!$D$9:$D$29,MATCH($B1654,Config!$B$9:$B$29,0))="Contrato",IF(INDEX(Config!$E$9:$E$29,MATCH($B1654,Config!$B$9:$B$29,0))="","",INDEX(Config!$E$9:$E$29,MATCH($B1654,Config!$B$9:$B$29,0))),""),""))</f>
        <v/>
      </c>
      <c r="AI1654" s="19" t="str">
        <f>IF($B1654="","",IFERROR(INDEX(Config!$D$9:$D$29,MATCH($B1654,Config!$B$9:$B$29,0))&amp;"",""))</f>
        <v/>
      </c>
    </row>
    <row r="1655">
      <c r="X1655" s="20" t="str">
        <f>IF($B1655="","",IFERROR(IF(INDEX(Config!$D$9:$D$29,MATCH($B1655,Config!$B$9:$B$29,0))="Contrato",IF(INDEX(Config!$E$9:$E$29,MATCH($B1655,Config!$B$9:$B$29,0))="","",INDEX(Config!$E$9:$E$29,MATCH($B1655,Config!$B$9:$B$29,0))),""),""))</f>
        <v/>
      </c>
      <c r="AI1655" s="19" t="str">
        <f>IF($B1655="","",IFERROR(INDEX(Config!$D$9:$D$29,MATCH($B1655,Config!$B$9:$B$29,0))&amp;"",""))</f>
        <v/>
      </c>
    </row>
    <row r="1656">
      <c r="X1656" s="20" t="str">
        <f>IF($B1656="","",IFERROR(IF(INDEX(Config!$D$9:$D$29,MATCH($B1656,Config!$B$9:$B$29,0))="Contrato",IF(INDEX(Config!$E$9:$E$29,MATCH($B1656,Config!$B$9:$B$29,0))="","",INDEX(Config!$E$9:$E$29,MATCH($B1656,Config!$B$9:$B$29,0))),""),""))</f>
        <v/>
      </c>
      <c r="AI1656" s="19" t="str">
        <f>IF($B1656="","",IFERROR(INDEX(Config!$D$9:$D$29,MATCH($B1656,Config!$B$9:$B$29,0))&amp;"",""))</f>
        <v/>
      </c>
    </row>
    <row r="1657">
      <c r="X1657" s="20" t="str">
        <f>IF($B1657="","",IFERROR(IF(INDEX(Config!$D$9:$D$29,MATCH($B1657,Config!$B$9:$B$29,0))="Contrato",IF(INDEX(Config!$E$9:$E$29,MATCH($B1657,Config!$B$9:$B$29,0))="","",INDEX(Config!$E$9:$E$29,MATCH($B1657,Config!$B$9:$B$29,0))),""),""))</f>
        <v/>
      </c>
      <c r="AI1657" s="19" t="str">
        <f>IF($B1657="","",IFERROR(INDEX(Config!$D$9:$D$29,MATCH($B1657,Config!$B$9:$B$29,0))&amp;"",""))</f>
        <v/>
      </c>
    </row>
    <row r="1658">
      <c r="X1658" s="20" t="str">
        <f>IF($B1658="","",IFERROR(IF(INDEX(Config!$D$9:$D$29,MATCH($B1658,Config!$B$9:$B$29,0))="Contrato",IF(INDEX(Config!$E$9:$E$29,MATCH($B1658,Config!$B$9:$B$29,0))="","",INDEX(Config!$E$9:$E$29,MATCH($B1658,Config!$B$9:$B$29,0))),""),""))</f>
        <v/>
      </c>
      <c r="AI1658" s="19" t="str">
        <f>IF($B1658="","",IFERROR(INDEX(Config!$D$9:$D$29,MATCH($B1658,Config!$B$9:$B$29,0))&amp;"",""))</f>
        <v/>
      </c>
    </row>
    <row r="1659">
      <c r="X1659" s="20" t="str">
        <f>IF($B1659="","",IFERROR(IF(INDEX(Config!$D$9:$D$29,MATCH($B1659,Config!$B$9:$B$29,0))="Contrato",IF(INDEX(Config!$E$9:$E$29,MATCH($B1659,Config!$B$9:$B$29,0))="","",INDEX(Config!$E$9:$E$29,MATCH($B1659,Config!$B$9:$B$29,0))),""),""))</f>
        <v/>
      </c>
      <c r="AI1659" s="19" t="str">
        <f>IF($B1659="","",IFERROR(INDEX(Config!$D$9:$D$29,MATCH($B1659,Config!$B$9:$B$29,0))&amp;"",""))</f>
        <v/>
      </c>
    </row>
    <row r="1660">
      <c r="X1660" s="20" t="str">
        <f>IF($B1660="","",IFERROR(IF(INDEX(Config!$D$9:$D$29,MATCH($B1660,Config!$B$9:$B$29,0))="Contrato",IF(INDEX(Config!$E$9:$E$29,MATCH($B1660,Config!$B$9:$B$29,0))="","",INDEX(Config!$E$9:$E$29,MATCH($B1660,Config!$B$9:$B$29,0))),""),""))</f>
        <v/>
      </c>
      <c r="AI1660" s="19" t="str">
        <f>IF($B1660="","",IFERROR(INDEX(Config!$D$9:$D$29,MATCH($B1660,Config!$B$9:$B$29,0))&amp;"",""))</f>
        <v/>
      </c>
    </row>
    <row r="1661">
      <c r="X1661" s="20" t="str">
        <f>IF($B1661="","",IFERROR(IF(INDEX(Config!$D$9:$D$29,MATCH($B1661,Config!$B$9:$B$29,0))="Contrato",IF(INDEX(Config!$E$9:$E$29,MATCH($B1661,Config!$B$9:$B$29,0))="","",INDEX(Config!$E$9:$E$29,MATCH($B1661,Config!$B$9:$B$29,0))),""),""))</f>
        <v/>
      </c>
      <c r="AI1661" s="19" t="str">
        <f>IF($B1661="","",IFERROR(INDEX(Config!$D$9:$D$29,MATCH($B1661,Config!$B$9:$B$29,0))&amp;"",""))</f>
        <v/>
      </c>
    </row>
    <row r="1662">
      <c r="X1662" s="20" t="str">
        <f>IF($B1662="","",IFERROR(IF(INDEX(Config!$D$9:$D$29,MATCH($B1662,Config!$B$9:$B$29,0))="Contrato",IF(INDEX(Config!$E$9:$E$29,MATCH($B1662,Config!$B$9:$B$29,0))="","",INDEX(Config!$E$9:$E$29,MATCH($B1662,Config!$B$9:$B$29,0))),""),""))</f>
        <v/>
      </c>
      <c r="AI1662" s="19" t="str">
        <f>IF($B1662="","",IFERROR(INDEX(Config!$D$9:$D$29,MATCH($B1662,Config!$B$9:$B$29,0))&amp;"",""))</f>
        <v/>
      </c>
    </row>
    <row r="1663">
      <c r="X1663" s="20" t="str">
        <f>IF($B1663="","",IFERROR(IF(INDEX(Config!$D$9:$D$29,MATCH($B1663,Config!$B$9:$B$29,0))="Contrato",IF(INDEX(Config!$E$9:$E$29,MATCH($B1663,Config!$B$9:$B$29,0))="","",INDEX(Config!$E$9:$E$29,MATCH($B1663,Config!$B$9:$B$29,0))),""),""))</f>
        <v/>
      </c>
      <c r="AI1663" s="19" t="str">
        <f>IF($B1663="","",IFERROR(INDEX(Config!$D$9:$D$29,MATCH($B1663,Config!$B$9:$B$29,0))&amp;"",""))</f>
        <v/>
      </c>
    </row>
    <row r="1664">
      <c r="X1664" s="20" t="str">
        <f>IF($B1664="","",IFERROR(IF(INDEX(Config!$D$9:$D$29,MATCH($B1664,Config!$B$9:$B$29,0))="Contrato",IF(INDEX(Config!$E$9:$E$29,MATCH($B1664,Config!$B$9:$B$29,0))="","",INDEX(Config!$E$9:$E$29,MATCH($B1664,Config!$B$9:$B$29,0))),""),""))</f>
        <v/>
      </c>
      <c r="AI1664" s="19" t="str">
        <f>IF($B1664="","",IFERROR(INDEX(Config!$D$9:$D$29,MATCH($B1664,Config!$B$9:$B$29,0))&amp;"",""))</f>
        <v/>
      </c>
    </row>
    <row r="1665">
      <c r="X1665" s="20" t="str">
        <f>IF($B1665="","",IFERROR(IF(INDEX(Config!$D$9:$D$29,MATCH($B1665,Config!$B$9:$B$29,0))="Contrato",IF(INDEX(Config!$E$9:$E$29,MATCH($B1665,Config!$B$9:$B$29,0))="","",INDEX(Config!$E$9:$E$29,MATCH($B1665,Config!$B$9:$B$29,0))),""),""))</f>
        <v/>
      </c>
      <c r="AI1665" s="19" t="str">
        <f>IF($B1665="","",IFERROR(INDEX(Config!$D$9:$D$29,MATCH($B1665,Config!$B$9:$B$29,0))&amp;"",""))</f>
        <v/>
      </c>
    </row>
    <row r="1666">
      <c r="X1666" s="20" t="str">
        <f>IF($B1666="","",IFERROR(IF(INDEX(Config!$D$9:$D$29,MATCH($B1666,Config!$B$9:$B$29,0))="Contrato",IF(INDEX(Config!$E$9:$E$29,MATCH($B1666,Config!$B$9:$B$29,0))="","",INDEX(Config!$E$9:$E$29,MATCH($B1666,Config!$B$9:$B$29,0))),""),""))</f>
        <v/>
      </c>
      <c r="AI1666" s="19" t="str">
        <f>IF($B1666="","",IFERROR(INDEX(Config!$D$9:$D$29,MATCH($B1666,Config!$B$9:$B$29,0))&amp;"",""))</f>
        <v/>
      </c>
    </row>
    <row r="1667">
      <c r="X1667" s="20" t="str">
        <f>IF($B1667="","",IFERROR(IF(INDEX(Config!$D$9:$D$29,MATCH($B1667,Config!$B$9:$B$29,0))="Contrato",IF(INDEX(Config!$E$9:$E$29,MATCH($B1667,Config!$B$9:$B$29,0))="","",INDEX(Config!$E$9:$E$29,MATCH($B1667,Config!$B$9:$B$29,0))),""),""))</f>
        <v/>
      </c>
      <c r="AI1667" s="19" t="str">
        <f>IF($B1667="","",IFERROR(INDEX(Config!$D$9:$D$29,MATCH($B1667,Config!$B$9:$B$29,0))&amp;"",""))</f>
        <v/>
      </c>
    </row>
    <row r="1668">
      <c r="X1668" s="20" t="str">
        <f>IF($B1668="","",IFERROR(IF(INDEX(Config!$D$9:$D$29,MATCH($B1668,Config!$B$9:$B$29,0))="Contrato",IF(INDEX(Config!$E$9:$E$29,MATCH($B1668,Config!$B$9:$B$29,0))="","",INDEX(Config!$E$9:$E$29,MATCH($B1668,Config!$B$9:$B$29,0))),""),""))</f>
        <v/>
      </c>
      <c r="AI1668" s="19" t="str">
        <f>IF($B1668="","",IFERROR(INDEX(Config!$D$9:$D$29,MATCH($B1668,Config!$B$9:$B$29,0))&amp;"",""))</f>
        <v/>
      </c>
    </row>
    <row r="1669">
      <c r="X1669" s="20" t="str">
        <f>IF($B1669="","",IFERROR(IF(INDEX(Config!$D$9:$D$29,MATCH($B1669,Config!$B$9:$B$29,0))="Contrato",IF(INDEX(Config!$E$9:$E$29,MATCH($B1669,Config!$B$9:$B$29,0))="","",INDEX(Config!$E$9:$E$29,MATCH($B1669,Config!$B$9:$B$29,0))),""),""))</f>
        <v/>
      </c>
      <c r="AI1669" s="19" t="str">
        <f>IF($B1669="","",IFERROR(INDEX(Config!$D$9:$D$29,MATCH($B1669,Config!$B$9:$B$29,0))&amp;"",""))</f>
        <v/>
      </c>
    </row>
    <row r="1670">
      <c r="X1670" s="20" t="str">
        <f>IF($B1670="","",IFERROR(IF(INDEX(Config!$D$9:$D$29,MATCH($B1670,Config!$B$9:$B$29,0))="Contrato",IF(INDEX(Config!$E$9:$E$29,MATCH($B1670,Config!$B$9:$B$29,0))="","",INDEX(Config!$E$9:$E$29,MATCH($B1670,Config!$B$9:$B$29,0))),""),""))</f>
        <v/>
      </c>
      <c r="AI1670" s="19" t="str">
        <f>IF($B1670="","",IFERROR(INDEX(Config!$D$9:$D$29,MATCH($B1670,Config!$B$9:$B$29,0))&amp;"",""))</f>
        <v/>
      </c>
    </row>
    <row r="1671">
      <c r="X1671" s="20" t="str">
        <f>IF($B1671="","",IFERROR(IF(INDEX(Config!$D$9:$D$29,MATCH($B1671,Config!$B$9:$B$29,0))="Contrato",IF(INDEX(Config!$E$9:$E$29,MATCH($B1671,Config!$B$9:$B$29,0))="","",INDEX(Config!$E$9:$E$29,MATCH($B1671,Config!$B$9:$B$29,0))),""),""))</f>
        <v/>
      </c>
      <c r="AI1671" s="19" t="str">
        <f>IF($B1671="","",IFERROR(INDEX(Config!$D$9:$D$29,MATCH($B1671,Config!$B$9:$B$29,0))&amp;"",""))</f>
        <v/>
      </c>
    </row>
    <row r="1672">
      <c r="X1672" s="20" t="str">
        <f>IF($B1672="","",IFERROR(IF(INDEX(Config!$D$9:$D$29,MATCH($B1672,Config!$B$9:$B$29,0))="Contrato",IF(INDEX(Config!$E$9:$E$29,MATCH($B1672,Config!$B$9:$B$29,0))="","",INDEX(Config!$E$9:$E$29,MATCH($B1672,Config!$B$9:$B$29,0))),""),""))</f>
        <v/>
      </c>
      <c r="AI1672" s="19" t="str">
        <f>IF($B1672="","",IFERROR(INDEX(Config!$D$9:$D$29,MATCH($B1672,Config!$B$9:$B$29,0))&amp;"",""))</f>
        <v/>
      </c>
    </row>
    <row r="1673">
      <c r="X1673" s="20" t="str">
        <f>IF($B1673="","",IFERROR(IF(INDEX(Config!$D$9:$D$29,MATCH($B1673,Config!$B$9:$B$29,0))="Contrato",IF(INDEX(Config!$E$9:$E$29,MATCH($B1673,Config!$B$9:$B$29,0))="","",INDEX(Config!$E$9:$E$29,MATCH($B1673,Config!$B$9:$B$29,0))),""),""))</f>
        <v/>
      </c>
      <c r="AI1673" s="19" t="str">
        <f>IF($B1673="","",IFERROR(INDEX(Config!$D$9:$D$29,MATCH($B1673,Config!$B$9:$B$29,0))&amp;"",""))</f>
        <v/>
      </c>
    </row>
    <row r="1674">
      <c r="X1674" s="20" t="str">
        <f>IF($B1674="","",IFERROR(IF(INDEX(Config!$D$9:$D$29,MATCH($B1674,Config!$B$9:$B$29,0))="Contrato",IF(INDEX(Config!$E$9:$E$29,MATCH($B1674,Config!$B$9:$B$29,0))="","",INDEX(Config!$E$9:$E$29,MATCH($B1674,Config!$B$9:$B$29,0))),""),""))</f>
        <v/>
      </c>
      <c r="AI1674" s="19" t="str">
        <f>IF($B1674="","",IFERROR(INDEX(Config!$D$9:$D$29,MATCH($B1674,Config!$B$9:$B$29,0))&amp;"",""))</f>
        <v/>
      </c>
    </row>
    <row r="1675">
      <c r="X1675" s="20" t="str">
        <f>IF($B1675="","",IFERROR(IF(INDEX(Config!$D$9:$D$29,MATCH($B1675,Config!$B$9:$B$29,0))="Contrato",IF(INDEX(Config!$E$9:$E$29,MATCH($B1675,Config!$B$9:$B$29,0))="","",INDEX(Config!$E$9:$E$29,MATCH($B1675,Config!$B$9:$B$29,0))),""),""))</f>
        <v/>
      </c>
      <c r="AI1675" s="19" t="str">
        <f>IF($B1675="","",IFERROR(INDEX(Config!$D$9:$D$29,MATCH($B1675,Config!$B$9:$B$29,0))&amp;"",""))</f>
        <v/>
      </c>
    </row>
    <row r="1676">
      <c r="X1676" s="20" t="str">
        <f>IF($B1676="","",IFERROR(IF(INDEX(Config!$D$9:$D$29,MATCH($B1676,Config!$B$9:$B$29,0))="Contrato",IF(INDEX(Config!$E$9:$E$29,MATCH($B1676,Config!$B$9:$B$29,0))="","",INDEX(Config!$E$9:$E$29,MATCH($B1676,Config!$B$9:$B$29,0))),""),""))</f>
        <v/>
      </c>
      <c r="AI1676" s="19" t="str">
        <f>IF($B1676="","",IFERROR(INDEX(Config!$D$9:$D$29,MATCH($B1676,Config!$B$9:$B$29,0))&amp;"",""))</f>
        <v/>
      </c>
    </row>
    <row r="1677">
      <c r="X1677" s="20" t="str">
        <f>IF($B1677="","",IFERROR(IF(INDEX(Config!$D$9:$D$29,MATCH($B1677,Config!$B$9:$B$29,0))="Contrato",IF(INDEX(Config!$E$9:$E$29,MATCH($B1677,Config!$B$9:$B$29,0))="","",INDEX(Config!$E$9:$E$29,MATCH($B1677,Config!$B$9:$B$29,0))),""),""))</f>
        <v/>
      </c>
      <c r="AI1677" s="19" t="str">
        <f>IF($B1677="","",IFERROR(INDEX(Config!$D$9:$D$29,MATCH($B1677,Config!$B$9:$B$29,0))&amp;"",""))</f>
        <v/>
      </c>
    </row>
    <row r="1678">
      <c r="X1678" s="20" t="str">
        <f>IF($B1678="","",IFERROR(IF(INDEX(Config!$D$9:$D$29,MATCH($B1678,Config!$B$9:$B$29,0))="Contrato",IF(INDEX(Config!$E$9:$E$29,MATCH($B1678,Config!$B$9:$B$29,0))="","",INDEX(Config!$E$9:$E$29,MATCH($B1678,Config!$B$9:$B$29,0))),""),""))</f>
        <v/>
      </c>
      <c r="AI1678" s="19" t="str">
        <f>IF($B1678="","",IFERROR(INDEX(Config!$D$9:$D$29,MATCH($B1678,Config!$B$9:$B$29,0))&amp;"",""))</f>
        <v/>
      </c>
    </row>
    <row r="1679">
      <c r="X1679" s="20" t="str">
        <f>IF($B1679="","",IFERROR(IF(INDEX(Config!$D$9:$D$29,MATCH($B1679,Config!$B$9:$B$29,0))="Contrato",IF(INDEX(Config!$E$9:$E$29,MATCH($B1679,Config!$B$9:$B$29,0))="","",INDEX(Config!$E$9:$E$29,MATCH($B1679,Config!$B$9:$B$29,0))),""),""))</f>
        <v/>
      </c>
      <c r="AI1679" s="19" t="str">
        <f>IF($B1679="","",IFERROR(INDEX(Config!$D$9:$D$29,MATCH($B1679,Config!$B$9:$B$29,0))&amp;"",""))</f>
        <v/>
      </c>
    </row>
    <row r="1680">
      <c r="X1680" s="20" t="str">
        <f>IF($B1680="","",IFERROR(IF(INDEX(Config!$D$9:$D$29,MATCH($B1680,Config!$B$9:$B$29,0))="Contrato",IF(INDEX(Config!$E$9:$E$29,MATCH($B1680,Config!$B$9:$B$29,0))="","",INDEX(Config!$E$9:$E$29,MATCH($B1680,Config!$B$9:$B$29,0))),""),""))</f>
        <v/>
      </c>
      <c r="AI1680" s="19" t="str">
        <f>IF($B1680="","",IFERROR(INDEX(Config!$D$9:$D$29,MATCH($B1680,Config!$B$9:$B$29,0))&amp;"",""))</f>
        <v/>
      </c>
    </row>
    <row r="1681">
      <c r="X1681" s="20" t="str">
        <f>IF($B1681="","",IFERROR(IF(INDEX(Config!$D$9:$D$29,MATCH($B1681,Config!$B$9:$B$29,0))="Contrato",IF(INDEX(Config!$E$9:$E$29,MATCH($B1681,Config!$B$9:$B$29,0))="","",INDEX(Config!$E$9:$E$29,MATCH($B1681,Config!$B$9:$B$29,0))),""),""))</f>
        <v/>
      </c>
      <c r="AI1681" s="19" t="str">
        <f>IF($B1681="","",IFERROR(INDEX(Config!$D$9:$D$29,MATCH($B1681,Config!$B$9:$B$29,0))&amp;"",""))</f>
        <v/>
      </c>
    </row>
    <row r="1682">
      <c r="X1682" s="20" t="str">
        <f>IF($B1682="","",IFERROR(IF(INDEX(Config!$D$9:$D$29,MATCH($B1682,Config!$B$9:$B$29,0))="Contrato",IF(INDEX(Config!$E$9:$E$29,MATCH($B1682,Config!$B$9:$B$29,0))="","",INDEX(Config!$E$9:$E$29,MATCH($B1682,Config!$B$9:$B$29,0))),""),""))</f>
        <v/>
      </c>
      <c r="AI1682" s="19" t="str">
        <f>IF($B1682="","",IFERROR(INDEX(Config!$D$9:$D$29,MATCH($B1682,Config!$B$9:$B$29,0))&amp;"",""))</f>
        <v/>
      </c>
    </row>
    <row r="1683">
      <c r="X1683" s="20" t="str">
        <f>IF($B1683="","",IFERROR(IF(INDEX(Config!$D$9:$D$29,MATCH($B1683,Config!$B$9:$B$29,0))="Contrato",IF(INDEX(Config!$E$9:$E$29,MATCH($B1683,Config!$B$9:$B$29,0))="","",INDEX(Config!$E$9:$E$29,MATCH($B1683,Config!$B$9:$B$29,0))),""),""))</f>
        <v/>
      </c>
      <c r="AI1683" s="19" t="str">
        <f>IF($B1683="","",IFERROR(INDEX(Config!$D$9:$D$29,MATCH($B1683,Config!$B$9:$B$29,0))&amp;"",""))</f>
        <v/>
      </c>
    </row>
    <row r="1684">
      <c r="X1684" s="20" t="str">
        <f>IF($B1684="","",IFERROR(IF(INDEX(Config!$D$9:$D$29,MATCH($B1684,Config!$B$9:$B$29,0))="Contrato",IF(INDEX(Config!$E$9:$E$29,MATCH($B1684,Config!$B$9:$B$29,0))="","",INDEX(Config!$E$9:$E$29,MATCH($B1684,Config!$B$9:$B$29,0))),""),""))</f>
        <v/>
      </c>
      <c r="AI1684" s="19" t="str">
        <f>IF($B1684="","",IFERROR(INDEX(Config!$D$9:$D$29,MATCH($B1684,Config!$B$9:$B$29,0))&amp;"",""))</f>
        <v/>
      </c>
    </row>
    <row r="1685">
      <c r="X1685" s="20" t="str">
        <f>IF($B1685="","",IFERROR(IF(INDEX(Config!$D$9:$D$29,MATCH($B1685,Config!$B$9:$B$29,0))="Contrato",IF(INDEX(Config!$E$9:$E$29,MATCH($B1685,Config!$B$9:$B$29,0))="","",INDEX(Config!$E$9:$E$29,MATCH($B1685,Config!$B$9:$B$29,0))),""),""))</f>
        <v/>
      </c>
      <c r="AI1685" s="19" t="str">
        <f>IF($B1685="","",IFERROR(INDEX(Config!$D$9:$D$29,MATCH($B1685,Config!$B$9:$B$29,0))&amp;"",""))</f>
        <v/>
      </c>
    </row>
    <row r="1686">
      <c r="X1686" s="20" t="str">
        <f>IF($B1686="","",IFERROR(IF(INDEX(Config!$D$9:$D$29,MATCH($B1686,Config!$B$9:$B$29,0))="Contrato",IF(INDEX(Config!$E$9:$E$29,MATCH($B1686,Config!$B$9:$B$29,0))="","",INDEX(Config!$E$9:$E$29,MATCH($B1686,Config!$B$9:$B$29,0))),""),""))</f>
        <v/>
      </c>
      <c r="AI1686" s="19" t="str">
        <f>IF($B1686="","",IFERROR(INDEX(Config!$D$9:$D$29,MATCH($B1686,Config!$B$9:$B$29,0))&amp;"",""))</f>
        <v/>
      </c>
    </row>
    <row r="1687">
      <c r="X1687" s="20" t="str">
        <f>IF($B1687="","",IFERROR(IF(INDEX(Config!$D$9:$D$29,MATCH($B1687,Config!$B$9:$B$29,0))="Contrato",IF(INDEX(Config!$E$9:$E$29,MATCH($B1687,Config!$B$9:$B$29,0))="","",INDEX(Config!$E$9:$E$29,MATCH($B1687,Config!$B$9:$B$29,0))),""),""))</f>
        <v/>
      </c>
      <c r="AI1687" s="19" t="str">
        <f>IF($B1687="","",IFERROR(INDEX(Config!$D$9:$D$29,MATCH($B1687,Config!$B$9:$B$29,0))&amp;"",""))</f>
        <v/>
      </c>
    </row>
    <row r="1688">
      <c r="X1688" s="20" t="str">
        <f>IF($B1688="","",IFERROR(IF(INDEX(Config!$D$9:$D$29,MATCH($B1688,Config!$B$9:$B$29,0))="Contrato",IF(INDEX(Config!$E$9:$E$29,MATCH($B1688,Config!$B$9:$B$29,0))="","",INDEX(Config!$E$9:$E$29,MATCH($B1688,Config!$B$9:$B$29,0))),""),""))</f>
        <v/>
      </c>
      <c r="AI1688" s="19" t="str">
        <f>IF($B1688="","",IFERROR(INDEX(Config!$D$9:$D$29,MATCH($B1688,Config!$B$9:$B$29,0))&amp;"",""))</f>
        <v/>
      </c>
    </row>
    <row r="1689">
      <c r="X1689" s="20" t="str">
        <f>IF($B1689="","",IFERROR(IF(INDEX(Config!$D$9:$D$29,MATCH($B1689,Config!$B$9:$B$29,0))="Contrato",IF(INDEX(Config!$E$9:$E$29,MATCH($B1689,Config!$B$9:$B$29,0))="","",INDEX(Config!$E$9:$E$29,MATCH($B1689,Config!$B$9:$B$29,0))),""),""))</f>
        <v/>
      </c>
      <c r="AI1689" s="19" t="str">
        <f>IF($B1689="","",IFERROR(INDEX(Config!$D$9:$D$29,MATCH($B1689,Config!$B$9:$B$29,0))&amp;"",""))</f>
        <v/>
      </c>
    </row>
    <row r="1690">
      <c r="X1690" s="20" t="str">
        <f>IF($B1690="","",IFERROR(IF(INDEX(Config!$D$9:$D$29,MATCH($B1690,Config!$B$9:$B$29,0))="Contrato",IF(INDEX(Config!$E$9:$E$29,MATCH($B1690,Config!$B$9:$B$29,0))="","",INDEX(Config!$E$9:$E$29,MATCH($B1690,Config!$B$9:$B$29,0))),""),""))</f>
        <v/>
      </c>
      <c r="AI1690" s="19" t="str">
        <f>IF($B1690="","",IFERROR(INDEX(Config!$D$9:$D$29,MATCH($B1690,Config!$B$9:$B$29,0))&amp;"",""))</f>
        <v/>
      </c>
    </row>
    <row r="1691">
      <c r="X1691" s="20" t="str">
        <f>IF($B1691="","",IFERROR(IF(INDEX(Config!$D$9:$D$29,MATCH($B1691,Config!$B$9:$B$29,0))="Contrato",IF(INDEX(Config!$E$9:$E$29,MATCH($B1691,Config!$B$9:$B$29,0))="","",INDEX(Config!$E$9:$E$29,MATCH($B1691,Config!$B$9:$B$29,0))),""),""))</f>
        <v/>
      </c>
      <c r="AI1691" s="19" t="str">
        <f>IF($B1691="","",IFERROR(INDEX(Config!$D$9:$D$29,MATCH($B1691,Config!$B$9:$B$29,0))&amp;"",""))</f>
        <v/>
      </c>
    </row>
    <row r="1692">
      <c r="X1692" s="20" t="str">
        <f>IF($B1692="","",IFERROR(IF(INDEX(Config!$D$9:$D$29,MATCH($B1692,Config!$B$9:$B$29,0))="Contrato",IF(INDEX(Config!$E$9:$E$29,MATCH($B1692,Config!$B$9:$B$29,0))="","",INDEX(Config!$E$9:$E$29,MATCH($B1692,Config!$B$9:$B$29,0))),""),""))</f>
        <v/>
      </c>
      <c r="AI1692" s="19" t="str">
        <f>IF($B1692="","",IFERROR(INDEX(Config!$D$9:$D$29,MATCH($B1692,Config!$B$9:$B$29,0))&amp;"",""))</f>
        <v/>
      </c>
    </row>
    <row r="1693">
      <c r="X1693" s="20" t="str">
        <f>IF($B1693="","",IFERROR(IF(INDEX(Config!$D$9:$D$29,MATCH($B1693,Config!$B$9:$B$29,0))="Contrato",IF(INDEX(Config!$E$9:$E$29,MATCH($B1693,Config!$B$9:$B$29,0))="","",INDEX(Config!$E$9:$E$29,MATCH($B1693,Config!$B$9:$B$29,0))),""),""))</f>
        <v/>
      </c>
      <c r="AI1693" s="19" t="str">
        <f>IF($B1693="","",IFERROR(INDEX(Config!$D$9:$D$29,MATCH($B1693,Config!$B$9:$B$29,0))&amp;"",""))</f>
        <v/>
      </c>
    </row>
    <row r="1694">
      <c r="X1694" s="20" t="str">
        <f>IF($B1694="","",IFERROR(IF(INDEX(Config!$D$9:$D$29,MATCH($B1694,Config!$B$9:$B$29,0))="Contrato",IF(INDEX(Config!$E$9:$E$29,MATCH($B1694,Config!$B$9:$B$29,0))="","",INDEX(Config!$E$9:$E$29,MATCH($B1694,Config!$B$9:$B$29,0))),""),""))</f>
        <v/>
      </c>
      <c r="AI1694" s="19" t="str">
        <f>IF($B1694="","",IFERROR(INDEX(Config!$D$9:$D$29,MATCH($B1694,Config!$B$9:$B$29,0))&amp;"",""))</f>
        <v/>
      </c>
    </row>
    <row r="1695">
      <c r="X1695" s="20" t="str">
        <f>IF($B1695="","",IFERROR(IF(INDEX(Config!$D$9:$D$29,MATCH($B1695,Config!$B$9:$B$29,0))="Contrato",IF(INDEX(Config!$E$9:$E$29,MATCH($B1695,Config!$B$9:$B$29,0))="","",INDEX(Config!$E$9:$E$29,MATCH($B1695,Config!$B$9:$B$29,0))),""),""))</f>
        <v/>
      </c>
      <c r="AI1695" s="19" t="str">
        <f>IF($B1695="","",IFERROR(INDEX(Config!$D$9:$D$29,MATCH($B1695,Config!$B$9:$B$29,0))&amp;"",""))</f>
        <v/>
      </c>
    </row>
    <row r="1696">
      <c r="X1696" s="20" t="str">
        <f>IF($B1696="","",IFERROR(IF(INDEX(Config!$D$9:$D$29,MATCH($B1696,Config!$B$9:$B$29,0))="Contrato",IF(INDEX(Config!$E$9:$E$29,MATCH($B1696,Config!$B$9:$B$29,0))="","",INDEX(Config!$E$9:$E$29,MATCH($B1696,Config!$B$9:$B$29,0))),""),""))</f>
        <v/>
      </c>
      <c r="AI1696" s="19" t="str">
        <f>IF($B1696="","",IFERROR(INDEX(Config!$D$9:$D$29,MATCH($B1696,Config!$B$9:$B$29,0))&amp;"",""))</f>
        <v/>
      </c>
    </row>
    <row r="1697">
      <c r="X1697" s="20" t="str">
        <f>IF($B1697="","",IFERROR(IF(INDEX(Config!$D$9:$D$29,MATCH($B1697,Config!$B$9:$B$29,0))="Contrato",IF(INDEX(Config!$E$9:$E$29,MATCH($B1697,Config!$B$9:$B$29,0))="","",INDEX(Config!$E$9:$E$29,MATCH($B1697,Config!$B$9:$B$29,0))),""),""))</f>
        <v/>
      </c>
      <c r="AI1697" s="19" t="str">
        <f>IF($B1697="","",IFERROR(INDEX(Config!$D$9:$D$29,MATCH($B1697,Config!$B$9:$B$29,0))&amp;"",""))</f>
        <v/>
      </c>
    </row>
    <row r="1698">
      <c r="X1698" s="20" t="str">
        <f>IF($B1698="","",IFERROR(IF(INDEX(Config!$D$9:$D$29,MATCH($B1698,Config!$B$9:$B$29,0))="Contrato",IF(INDEX(Config!$E$9:$E$29,MATCH($B1698,Config!$B$9:$B$29,0))="","",INDEX(Config!$E$9:$E$29,MATCH($B1698,Config!$B$9:$B$29,0))),""),""))</f>
        <v/>
      </c>
      <c r="AI1698" s="19" t="str">
        <f>IF($B1698="","",IFERROR(INDEX(Config!$D$9:$D$29,MATCH($B1698,Config!$B$9:$B$29,0))&amp;"",""))</f>
        <v/>
      </c>
    </row>
    <row r="1699">
      <c r="X1699" s="20" t="str">
        <f>IF($B1699="","",IFERROR(IF(INDEX(Config!$D$9:$D$29,MATCH($B1699,Config!$B$9:$B$29,0))="Contrato",IF(INDEX(Config!$E$9:$E$29,MATCH($B1699,Config!$B$9:$B$29,0))="","",INDEX(Config!$E$9:$E$29,MATCH($B1699,Config!$B$9:$B$29,0))),""),""))</f>
        <v/>
      </c>
      <c r="AI1699" s="19" t="str">
        <f>IF($B1699="","",IFERROR(INDEX(Config!$D$9:$D$29,MATCH($B1699,Config!$B$9:$B$29,0))&amp;"",""))</f>
        <v/>
      </c>
    </row>
    <row r="1700">
      <c r="X1700" s="20" t="str">
        <f>IF($B1700="","",IFERROR(IF(INDEX(Config!$D$9:$D$29,MATCH($B1700,Config!$B$9:$B$29,0))="Contrato",IF(INDEX(Config!$E$9:$E$29,MATCH($B1700,Config!$B$9:$B$29,0))="","",INDEX(Config!$E$9:$E$29,MATCH($B1700,Config!$B$9:$B$29,0))),""),""))</f>
        <v/>
      </c>
      <c r="AI1700" s="19" t="str">
        <f>IF($B1700="","",IFERROR(INDEX(Config!$D$9:$D$29,MATCH($B1700,Config!$B$9:$B$29,0))&amp;"",""))</f>
        <v/>
      </c>
    </row>
    <row r="1701">
      <c r="X1701" s="20" t="str">
        <f>IF($B1701="","",IFERROR(IF(INDEX(Config!$D$9:$D$29,MATCH($B1701,Config!$B$9:$B$29,0))="Contrato",IF(INDEX(Config!$E$9:$E$29,MATCH($B1701,Config!$B$9:$B$29,0))="","",INDEX(Config!$E$9:$E$29,MATCH($B1701,Config!$B$9:$B$29,0))),""),""))</f>
        <v/>
      </c>
      <c r="AI1701" s="19" t="str">
        <f>IF($B1701="","",IFERROR(INDEX(Config!$D$9:$D$29,MATCH($B1701,Config!$B$9:$B$29,0))&amp;"",""))</f>
        <v/>
      </c>
    </row>
    <row r="1702">
      <c r="X1702" s="20" t="str">
        <f>IF($B1702="","",IFERROR(IF(INDEX(Config!$D$9:$D$29,MATCH($B1702,Config!$B$9:$B$29,0))="Contrato",IF(INDEX(Config!$E$9:$E$29,MATCH($B1702,Config!$B$9:$B$29,0))="","",INDEX(Config!$E$9:$E$29,MATCH($B1702,Config!$B$9:$B$29,0))),""),""))</f>
        <v/>
      </c>
      <c r="AI1702" s="19" t="str">
        <f>IF($B1702="","",IFERROR(INDEX(Config!$D$9:$D$29,MATCH($B1702,Config!$B$9:$B$29,0))&amp;"",""))</f>
        <v/>
      </c>
    </row>
    <row r="1703">
      <c r="X1703" s="20" t="str">
        <f>IF($B1703="","",IFERROR(IF(INDEX(Config!$D$9:$D$29,MATCH($B1703,Config!$B$9:$B$29,0))="Contrato",IF(INDEX(Config!$E$9:$E$29,MATCH($B1703,Config!$B$9:$B$29,0))="","",INDEX(Config!$E$9:$E$29,MATCH($B1703,Config!$B$9:$B$29,0))),""),""))</f>
        <v/>
      </c>
      <c r="AI1703" s="19" t="str">
        <f>IF($B1703="","",IFERROR(INDEX(Config!$D$9:$D$29,MATCH($B1703,Config!$B$9:$B$29,0))&amp;"",""))</f>
        <v/>
      </c>
    </row>
    <row r="1704">
      <c r="X1704" s="20" t="str">
        <f>IF($B1704="","",IFERROR(IF(INDEX(Config!$D$9:$D$29,MATCH($B1704,Config!$B$9:$B$29,0))="Contrato",IF(INDEX(Config!$E$9:$E$29,MATCH($B1704,Config!$B$9:$B$29,0))="","",INDEX(Config!$E$9:$E$29,MATCH($B1704,Config!$B$9:$B$29,0))),""),""))</f>
        <v/>
      </c>
      <c r="AI1704" s="19" t="str">
        <f>IF($B1704="","",IFERROR(INDEX(Config!$D$9:$D$29,MATCH($B1704,Config!$B$9:$B$29,0))&amp;"",""))</f>
        <v/>
      </c>
    </row>
    <row r="1705">
      <c r="X1705" s="20" t="str">
        <f>IF($B1705="","",IFERROR(IF(INDEX(Config!$D$9:$D$29,MATCH($B1705,Config!$B$9:$B$29,0))="Contrato",IF(INDEX(Config!$E$9:$E$29,MATCH($B1705,Config!$B$9:$B$29,0))="","",INDEX(Config!$E$9:$E$29,MATCH($B1705,Config!$B$9:$B$29,0))),""),""))</f>
        <v/>
      </c>
      <c r="AI1705" s="19" t="str">
        <f>IF($B1705="","",IFERROR(INDEX(Config!$D$9:$D$29,MATCH($B1705,Config!$B$9:$B$29,0))&amp;"",""))</f>
        <v/>
      </c>
    </row>
    <row r="1706">
      <c r="X1706" s="20" t="str">
        <f>IF($B1706="","",IFERROR(IF(INDEX(Config!$D$9:$D$29,MATCH($B1706,Config!$B$9:$B$29,0))="Contrato",IF(INDEX(Config!$E$9:$E$29,MATCH($B1706,Config!$B$9:$B$29,0))="","",INDEX(Config!$E$9:$E$29,MATCH($B1706,Config!$B$9:$B$29,0))),""),""))</f>
        <v/>
      </c>
      <c r="AI1706" s="19" t="str">
        <f>IF($B1706="","",IFERROR(INDEX(Config!$D$9:$D$29,MATCH($B1706,Config!$B$9:$B$29,0))&amp;"",""))</f>
        <v/>
      </c>
    </row>
    <row r="1707">
      <c r="X1707" s="20" t="str">
        <f>IF($B1707="","",IFERROR(IF(INDEX(Config!$D$9:$D$29,MATCH($B1707,Config!$B$9:$B$29,0))="Contrato",IF(INDEX(Config!$E$9:$E$29,MATCH($B1707,Config!$B$9:$B$29,0))="","",INDEX(Config!$E$9:$E$29,MATCH($B1707,Config!$B$9:$B$29,0))),""),""))</f>
        <v/>
      </c>
      <c r="AI1707" s="19" t="str">
        <f>IF($B1707="","",IFERROR(INDEX(Config!$D$9:$D$29,MATCH($B1707,Config!$B$9:$B$29,0))&amp;"",""))</f>
        <v/>
      </c>
    </row>
    <row r="1708">
      <c r="X1708" s="20" t="str">
        <f>IF($B1708="","",IFERROR(IF(INDEX(Config!$D$9:$D$29,MATCH($B1708,Config!$B$9:$B$29,0))="Contrato",IF(INDEX(Config!$E$9:$E$29,MATCH($B1708,Config!$B$9:$B$29,0))="","",INDEX(Config!$E$9:$E$29,MATCH($B1708,Config!$B$9:$B$29,0))),""),""))</f>
        <v/>
      </c>
      <c r="AI1708" s="19" t="str">
        <f>IF($B1708="","",IFERROR(INDEX(Config!$D$9:$D$29,MATCH($B1708,Config!$B$9:$B$29,0))&amp;"",""))</f>
        <v/>
      </c>
    </row>
    <row r="1709">
      <c r="X1709" s="20" t="str">
        <f>IF($B1709="","",IFERROR(IF(INDEX(Config!$D$9:$D$29,MATCH($B1709,Config!$B$9:$B$29,0))="Contrato",IF(INDEX(Config!$E$9:$E$29,MATCH($B1709,Config!$B$9:$B$29,0))="","",INDEX(Config!$E$9:$E$29,MATCH($B1709,Config!$B$9:$B$29,0))),""),""))</f>
        <v/>
      </c>
      <c r="AI1709" s="19" t="str">
        <f>IF($B1709="","",IFERROR(INDEX(Config!$D$9:$D$29,MATCH($B1709,Config!$B$9:$B$29,0))&amp;"",""))</f>
        <v/>
      </c>
    </row>
    <row r="1710">
      <c r="X1710" s="20" t="str">
        <f>IF($B1710="","",IFERROR(IF(INDEX(Config!$D$9:$D$29,MATCH($B1710,Config!$B$9:$B$29,0))="Contrato",IF(INDEX(Config!$E$9:$E$29,MATCH($B1710,Config!$B$9:$B$29,0))="","",INDEX(Config!$E$9:$E$29,MATCH($B1710,Config!$B$9:$B$29,0))),""),""))</f>
        <v/>
      </c>
      <c r="AI1710" s="19" t="str">
        <f>IF($B1710="","",IFERROR(INDEX(Config!$D$9:$D$29,MATCH($B1710,Config!$B$9:$B$29,0))&amp;"",""))</f>
        <v/>
      </c>
    </row>
    <row r="1711">
      <c r="X1711" s="20" t="str">
        <f>IF($B1711="","",IFERROR(IF(INDEX(Config!$D$9:$D$29,MATCH($B1711,Config!$B$9:$B$29,0))="Contrato",IF(INDEX(Config!$E$9:$E$29,MATCH($B1711,Config!$B$9:$B$29,0))="","",INDEX(Config!$E$9:$E$29,MATCH($B1711,Config!$B$9:$B$29,0))),""),""))</f>
        <v/>
      </c>
      <c r="AI1711" s="19" t="str">
        <f>IF($B1711="","",IFERROR(INDEX(Config!$D$9:$D$29,MATCH($B1711,Config!$B$9:$B$29,0))&amp;"",""))</f>
        <v/>
      </c>
    </row>
    <row r="1712">
      <c r="X1712" s="20" t="str">
        <f>IF($B1712="","",IFERROR(IF(INDEX(Config!$D$9:$D$29,MATCH($B1712,Config!$B$9:$B$29,0))="Contrato",IF(INDEX(Config!$E$9:$E$29,MATCH($B1712,Config!$B$9:$B$29,0))="","",INDEX(Config!$E$9:$E$29,MATCH($B1712,Config!$B$9:$B$29,0))),""),""))</f>
        <v/>
      </c>
      <c r="AI1712" s="19" t="str">
        <f>IF($B1712="","",IFERROR(INDEX(Config!$D$9:$D$29,MATCH($B1712,Config!$B$9:$B$29,0))&amp;"",""))</f>
        <v/>
      </c>
    </row>
    <row r="1713">
      <c r="X1713" s="20" t="str">
        <f>IF($B1713="","",IFERROR(IF(INDEX(Config!$D$9:$D$29,MATCH($B1713,Config!$B$9:$B$29,0))="Contrato",IF(INDEX(Config!$E$9:$E$29,MATCH($B1713,Config!$B$9:$B$29,0))="","",INDEX(Config!$E$9:$E$29,MATCH($B1713,Config!$B$9:$B$29,0))),""),""))</f>
        <v/>
      </c>
      <c r="AI1713" s="19" t="str">
        <f>IF($B1713="","",IFERROR(INDEX(Config!$D$9:$D$29,MATCH($B1713,Config!$B$9:$B$29,0))&amp;"",""))</f>
        <v/>
      </c>
    </row>
    <row r="1714">
      <c r="X1714" s="20" t="str">
        <f>IF($B1714="","",IFERROR(IF(INDEX(Config!$D$9:$D$29,MATCH($B1714,Config!$B$9:$B$29,0))="Contrato",IF(INDEX(Config!$E$9:$E$29,MATCH($B1714,Config!$B$9:$B$29,0))="","",INDEX(Config!$E$9:$E$29,MATCH($B1714,Config!$B$9:$B$29,0))),""),""))</f>
        <v/>
      </c>
      <c r="AI1714" s="19" t="str">
        <f>IF($B1714="","",IFERROR(INDEX(Config!$D$9:$D$29,MATCH($B1714,Config!$B$9:$B$29,0))&amp;"",""))</f>
        <v/>
      </c>
    </row>
    <row r="1715">
      <c r="X1715" s="20" t="str">
        <f>IF($B1715="","",IFERROR(IF(INDEX(Config!$D$9:$D$29,MATCH($B1715,Config!$B$9:$B$29,0))="Contrato",IF(INDEX(Config!$E$9:$E$29,MATCH($B1715,Config!$B$9:$B$29,0))="","",INDEX(Config!$E$9:$E$29,MATCH($B1715,Config!$B$9:$B$29,0))),""),""))</f>
        <v/>
      </c>
      <c r="AI1715" s="19" t="str">
        <f>IF($B1715="","",IFERROR(INDEX(Config!$D$9:$D$29,MATCH($B1715,Config!$B$9:$B$29,0))&amp;"",""))</f>
        <v/>
      </c>
    </row>
    <row r="1716">
      <c r="X1716" s="20" t="str">
        <f>IF($B1716="","",IFERROR(IF(INDEX(Config!$D$9:$D$29,MATCH($B1716,Config!$B$9:$B$29,0))="Contrato",IF(INDEX(Config!$E$9:$E$29,MATCH($B1716,Config!$B$9:$B$29,0))="","",INDEX(Config!$E$9:$E$29,MATCH($B1716,Config!$B$9:$B$29,0))),""),""))</f>
        <v/>
      </c>
      <c r="AI1716" s="19" t="str">
        <f>IF($B1716="","",IFERROR(INDEX(Config!$D$9:$D$29,MATCH($B1716,Config!$B$9:$B$29,0))&amp;"",""))</f>
        <v/>
      </c>
    </row>
    <row r="1717">
      <c r="X1717" s="20" t="str">
        <f>IF($B1717="","",IFERROR(IF(INDEX(Config!$D$9:$D$29,MATCH($B1717,Config!$B$9:$B$29,0))="Contrato",IF(INDEX(Config!$E$9:$E$29,MATCH($B1717,Config!$B$9:$B$29,0))="","",INDEX(Config!$E$9:$E$29,MATCH($B1717,Config!$B$9:$B$29,0))),""),""))</f>
        <v/>
      </c>
      <c r="AI1717" s="19" t="str">
        <f>IF($B1717="","",IFERROR(INDEX(Config!$D$9:$D$29,MATCH($B1717,Config!$B$9:$B$29,0))&amp;"",""))</f>
        <v/>
      </c>
    </row>
    <row r="1718">
      <c r="X1718" s="20" t="str">
        <f>IF($B1718="","",IFERROR(IF(INDEX(Config!$D$9:$D$29,MATCH($B1718,Config!$B$9:$B$29,0))="Contrato",IF(INDEX(Config!$E$9:$E$29,MATCH($B1718,Config!$B$9:$B$29,0))="","",INDEX(Config!$E$9:$E$29,MATCH($B1718,Config!$B$9:$B$29,0))),""),""))</f>
        <v/>
      </c>
      <c r="AI1718" s="19" t="str">
        <f>IF($B1718="","",IFERROR(INDEX(Config!$D$9:$D$29,MATCH($B1718,Config!$B$9:$B$29,0))&amp;"",""))</f>
        <v/>
      </c>
    </row>
    <row r="1719">
      <c r="X1719" s="20" t="str">
        <f>IF($B1719="","",IFERROR(IF(INDEX(Config!$D$9:$D$29,MATCH($B1719,Config!$B$9:$B$29,0))="Contrato",IF(INDEX(Config!$E$9:$E$29,MATCH($B1719,Config!$B$9:$B$29,0))="","",INDEX(Config!$E$9:$E$29,MATCH($B1719,Config!$B$9:$B$29,0))),""),""))</f>
        <v/>
      </c>
      <c r="AI1719" s="19" t="str">
        <f>IF($B1719="","",IFERROR(INDEX(Config!$D$9:$D$29,MATCH($B1719,Config!$B$9:$B$29,0))&amp;"",""))</f>
        <v/>
      </c>
    </row>
    <row r="1720">
      <c r="X1720" s="20" t="str">
        <f>IF($B1720="","",IFERROR(IF(INDEX(Config!$D$9:$D$29,MATCH($B1720,Config!$B$9:$B$29,0))="Contrato",IF(INDEX(Config!$E$9:$E$29,MATCH($B1720,Config!$B$9:$B$29,0))="","",INDEX(Config!$E$9:$E$29,MATCH($B1720,Config!$B$9:$B$29,0))),""),""))</f>
        <v/>
      </c>
      <c r="AI1720" s="19" t="str">
        <f>IF($B1720="","",IFERROR(INDEX(Config!$D$9:$D$29,MATCH($B1720,Config!$B$9:$B$29,0))&amp;"",""))</f>
        <v/>
      </c>
    </row>
    <row r="1721">
      <c r="X1721" s="20" t="str">
        <f>IF($B1721="","",IFERROR(IF(INDEX(Config!$D$9:$D$29,MATCH($B1721,Config!$B$9:$B$29,0))="Contrato",IF(INDEX(Config!$E$9:$E$29,MATCH($B1721,Config!$B$9:$B$29,0))="","",INDEX(Config!$E$9:$E$29,MATCH($B1721,Config!$B$9:$B$29,0))),""),""))</f>
        <v/>
      </c>
      <c r="AI1721" s="19" t="str">
        <f>IF($B1721="","",IFERROR(INDEX(Config!$D$9:$D$29,MATCH($B1721,Config!$B$9:$B$29,0))&amp;"",""))</f>
        <v/>
      </c>
    </row>
    <row r="1722">
      <c r="X1722" s="20" t="str">
        <f>IF($B1722="","",IFERROR(IF(INDEX(Config!$D$9:$D$29,MATCH($B1722,Config!$B$9:$B$29,0))="Contrato",IF(INDEX(Config!$E$9:$E$29,MATCH($B1722,Config!$B$9:$B$29,0))="","",INDEX(Config!$E$9:$E$29,MATCH($B1722,Config!$B$9:$B$29,0))),""),""))</f>
        <v/>
      </c>
      <c r="AI1722" s="19" t="str">
        <f>IF($B1722="","",IFERROR(INDEX(Config!$D$9:$D$29,MATCH($B1722,Config!$B$9:$B$29,0))&amp;"",""))</f>
        <v/>
      </c>
    </row>
    <row r="1723">
      <c r="X1723" s="20" t="str">
        <f>IF($B1723="","",IFERROR(IF(INDEX(Config!$D$9:$D$29,MATCH($B1723,Config!$B$9:$B$29,0))="Contrato",IF(INDEX(Config!$E$9:$E$29,MATCH($B1723,Config!$B$9:$B$29,0))="","",INDEX(Config!$E$9:$E$29,MATCH($B1723,Config!$B$9:$B$29,0))),""),""))</f>
        <v/>
      </c>
      <c r="AI1723" s="19" t="str">
        <f>IF($B1723="","",IFERROR(INDEX(Config!$D$9:$D$29,MATCH($B1723,Config!$B$9:$B$29,0))&amp;"",""))</f>
        <v/>
      </c>
    </row>
    <row r="1724">
      <c r="X1724" s="20" t="str">
        <f>IF($B1724="","",IFERROR(IF(INDEX(Config!$D$9:$D$29,MATCH($B1724,Config!$B$9:$B$29,0))="Contrato",IF(INDEX(Config!$E$9:$E$29,MATCH($B1724,Config!$B$9:$B$29,0))="","",INDEX(Config!$E$9:$E$29,MATCH($B1724,Config!$B$9:$B$29,0))),""),""))</f>
        <v/>
      </c>
      <c r="AI1724" s="19" t="str">
        <f>IF($B1724="","",IFERROR(INDEX(Config!$D$9:$D$29,MATCH($B1724,Config!$B$9:$B$29,0))&amp;"",""))</f>
        <v/>
      </c>
    </row>
    <row r="1725">
      <c r="X1725" s="20" t="str">
        <f>IF($B1725="","",IFERROR(IF(INDEX(Config!$D$9:$D$29,MATCH($B1725,Config!$B$9:$B$29,0))="Contrato",IF(INDEX(Config!$E$9:$E$29,MATCH($B1725,Config!$B$9:$B$29,0))="","",INDEX(Config!$E$9:$E$29,MATCH($B1725,Config!$B$9:$B$29,0))),""),""))</f>
        <v/>
      </c>
      <c r="AI1725" s="19" t="str">
        <f>IF($B1725="","",IFERROR(INDEX(Config!$D$9:$D$29,MATCH($B1725,Config!$B$9:$B$29,0))&amp;"",""))</f>
        <v/>
      </c>
    </row>
    <row r="1726">
      <c r="X1726" s="20" t="str">
        <f>IF($B1726="","",IFERROR(IF(INDEX(Config!$D$9:$D$29,MATCH($B1726,Config!$B$9:$B$29,0))="Contrato",IF(INDEX(Config!$E$9:$E$29,MATCH($B1726,Config!$B$9:$B$29,0))="","",INDEX(Config!$E$9:$E$29,MATCH($B1726,Config!$B$9:$B$29,0))),""),""))</f>
        <v/>
      </c>
      <c r="AI1726" s="19" t="str">
        <f>IF($B1726="","",IFERROR(INDEX(Config!$D$9:$D$29,MATCH($B1726,Config!$B$9:$B$29,0))&amp;"",""))</f>
        <v/>
      </c>
    </row>
    <row r="1727">
      <c r="X1727" s="20" t="str">
        <f>IF($B1727="","",IFERROR(IF(INDEX(Config!$D$9:$D$29,MATCH($B1727,Config!$B$9:$B$29,0))="Contrato",IF(INDEX(Config!$E$9:$E$29,MATCH($B1727,Config!$B$9:$B$29,0))="","",INDEX(Config!$E$9:$E$29,MATCH($B1727,Config!$B$9:$B$29,0))),""),""))</f>
        <v/>
      </c>
      <c r="AI1727" s="19" t="str">
        <f>IF($B1727="","",IFERROR(INDEX(Config!$D$9:$D$29,MATCH($B1727,Config!$B$9:$B$29,0))&amp;"",""))</f>
        <v/>
      </c>
    </row>
    <row r="1728">
      <c r="X1728" s="20" t="str">
        <f>IF($B1728="","",IFERROR(IF(INDEX(Config!$D$9:$D$29,MATCH($B1728,Config!$B$9:$B$29,0))="Contrato",IF(INDEX(Config!$E$9:$E$29,MATCH($B1728,Config!$B$9:$B$29,0))="","",INDEX(Config!$E$9:$E$29,MATCH($B1728,Config!$B$9:$B$29,0))),""),""))</f>
        <v/>
      </c>
      <c r="AI1728" s="19" t="str">
        <f>IF($B1728="","",IFERROR(INDEX(Config!$D$9:$D$29,MATCH($B1728,Config!$B$9:$B$29,0))&amp;"",""))</f>
        <v/>
      </c>
    </row>
    <row r="1729">
      <c r="X1729" s="20" t="str">
        <f>IF($B1729="","",IFERROR(IF(INDEX(Config!$D$9:$D$29,MATCH($B1729,Config!$B$9:$B$29,0))="Contrato",IF(INDEX(Config!$E$9:$E$29,MATCH($B1729,Config!$B$9:$B$29,0))="","",INDEX(Config!$E$9:$E$29,MATCH($B1729,Config!$B$9:$B$29,0))),""),""))</f>
        <v/>
      </c>
      <c r="AI1729" s="19" t="str">
        <f>IF($B1729="","",IFERROR(INDEX(Config!$D$9:$D$29,MATCH($B1729,Config!$B$9:$B$29,0))&amp;"",""))</f>
        <v/>
      </c>
    </row>
    <row r="1730">
      <c r="X1730" s="20" t="str">
        <f>IF($B1730="","",IFERROR(IF(INDEX(Config!$D$9:$D$29,MATCH($B1730,Config!$B$9:$B$29,0))="Contrato",IF(INDEX(Config!$E$9:$E$29,MATCH($B1730,Config!$B$9:$B$29,0))="","",INDEX(Config!$E$9:$E$29,MATCH($B1730,Config!$B$9:$B$29,0))),""),""))</f>
        <v/>
      </c>
      <c r="AI1730" s="19" t="str">
        <f>IF($B1730="","",IFERROR(INDEX(Config!$D$9:$D$29,MATCH($B1730,Config!$B$9:$B$29,0))&amp;"",""))</f>
        <v/>
      </c>
    </row>
    <row r="1731">
      <c r="X1731" s="20" t="str">
        <f>IF($B1731="","",IFERROR(IF(INDEX(Config!$D$9:$D$29,MATCH($B1731,Config!$B$9:$B$29,0))="Contrato",IF(INDEX(Config!$E$9:$E$29,MATCH($B1731,Config!$B$9:$B$29,0))="","",INDEX(Config!$E$9:$E$29,MATCH($B1731,Config!$B$9:$B$29,0))),""),""))</f>
        <v/>
      </c>
      <c r="AI1731" s="19" t="str">
        <f>IF($B1731="","",IFERROR(INDEX(Config!$D$9:$D$29,MATCH($B1731,Config!$B$9:$B$29,0))&amp;"",""))</f>
        <v/>
      </c>
    </row>
    <row r="1732">
      <c r="X1732" s="20" t="str">
        <f>IF($B1732="","",IFERROR(IF(INDEX(Config!$D$9:$D$29,MATCH($B1732,Config!$B$9:$B$29,0))="Contrato",IF(INDEX(Config!$E$9:$E$29,MATCH($B1732,Config!$B$9:$B$29,0))="","",INDEX(Config!$E$9:$E$29,MATCH($B1732,Config!$B$9:$B$29,0))),""),""))</f>
        <v/>
      </c>
      <c r="AI1732" s="19" t="str">
        <f>IF($B1732="","",IFERROR(INDEX(Config!$D$9:$D$29,MATCH($B1732,Config!$B$9:$B$29,0))&amp;"",""))</f>
        <v/>
      </c>
    </row>
    <row r="1733">
      <c r="X1733" s="20" t="str">
        <f>IF($B1733="","",IFERROR(IF(INDEX(Config!$D$9:$D$29,MATCH($B1733,Config!$B$9:$B$29,0))="Contrato",IF(INDEX(Config!$E$9:$E$29,MATCH($B1733,Config!$B$9:$B$29,0))="","",INDEX(Config!$E$9:$E$29,MATCH($B1733,Config!$B$9:$B$29,0))),""),""))</f>
        <v/>
      </c>
      <c r="AI1733" s="19" t="str">
        <f>IF($B1733="","",IFERROR(INDEX(Config!$D$9:$D$29,MATCH($B1733,Config!$B$9:$B$29,0))&amp;"",""))</f>
        <v/>
      </c>
    </row>
    <row r="1734">
      <c r="X1734" s="20" t="str">
        <f>IF($B1734="","",IFERROR(IF(INDEX(Config!$D$9:$D$29,MATCH($B1734,Config!$B$9:$B$29,0))="Contrato",IF(INDEX(Config!$E$9:$E$29,MATCH($B1734,Config!$B$9:$B$29,0))="","",INDEX(Config!$E$9:$E$29,MATCH($B1734,Config!$B$9:$B$29,0))),""),""))</f>
        <v/>
      </c>
      <c r="AI1734" s="19" t="str">
        <f>IF($B1734="","",IFERROR(INDEX(Config!$D$9:$D$29,MATCH($B1734,Config!$B$9:$B$29,0))&amp;"",""))</f>
        <v/>
      </c>
    </row>
    <row r="1735">
      <c r="X1735" s="20" t="str">
        <f>IF($B1735="","",IFERROR(IF(INDEX(Config!$D$9:$D$29,MATCH($B1735,Config!$B$9:$B$29,0))="Contrato",IF(INDEX(Config!$E$9:$E$29,MATCH($B1735,Config!$B$9:$B$29,0))="","",INDEX(Config!$E$9:$E$29,MATCH($B1735,Config!$B$9:$B$29,0))),""),""))</f>
        <v/>
      </c>
      <c r="AI1735" s="19" t="str">
        <f>IF($B1735="","",IFERROR(INDEX(Config!$D$9:$D$29,MATCH($B1735,Config!$B$9:$B$29,0))&amp;"",""))</f>
        <v/>
      </c>
    </row>
    <row r="1736">
      <c r="X1736" s="20" t="str">
        <f>IF($B1736="","",IFERROR(IF(INDEX(Config!$D$9:$D$29,MATCH($B1736,Config!$B$9:$B$29,0))="Contrato",IF(INDEX(Config!$E$9:$E$29,MATCH($B1736,Config!$B$9:$B$29,0))="","",INDEX(Config!$E$9:$E$29,MATCH($B1736,Config!$B$9:$B$29,0))),""),""))</f>
        <v/>
      </c>
      <c r="AI1736" s="19" t="str">
        <f>IF($B1736="","",IFERROR(INDEX(Config!$D$9:$D$29,MATCH($B1736,Config!$B$9:$B$29,0))&amp;"",""))</f>
        <v/>
      </c>
    </row>
    <row r="1737">
      <c r="X1737" s="20" t="str">
        <f>IF($B1737="","",IFERROR(IF(INDEX(Config!$D$9:$D$29,MATCH($B1737,Config!$B$9:$B$29,0))="Contrato",IF(INDEX(Config!$E$9:$E$29,MATCH($B1737,Config!$B$9:$B$29,0))="","",INDEX(Config!$E$9:$E$29,MATCH($B1737,Config!$B$9:$B$29,0))),""),""))</f>
        <v/>
      </c>
      <c r="AI1737" s="19" t="str">
        <f>IF($B1737="","",IFERROR(INDEX(Config!$D$9:$D$29,MATCH($B1737,Config!$B$9:$B$29,0))&amp;"",""))</f>
        <v/>
      </c>
    </row>
    <row r="1738">
      <c r="X1738" s="20" t="str">
        <f>IF($B1738="","",IFERROR(IF(INDEX(Config!$D$9:$D$29,MATCH($B1738,Config!$B$9:$B$29,0))="Contrato",IF(INDEX(Config!$E$9:$E$29,MATCH($B1738,Config!$B$9:$B$29,0))="","",INDEX(Config!$E$9:$E$29,MATCH($B1738,Config!$B$9:$B$29,0))),""),""))</f>
        <v/>
      </c>
      <c r="AI1738" s="19" t="str">
        <f>IF($B1738="","",IFERROR(INDEX(Config!$D$9:$D$29,MATCH($B1738,Config!$B$9:$B$29,0))&amp;"",""))</f>
        <v/>
      </c>
    </row>
    <row r="1739">
      <c r="X1739" s="20" t="str">
        <f>IF($B1739="","",IFERROR(IF(INDEX(Config!$D$9:$D$29,MATCH($B1739,Config!$B$9:$B$29,0))="Contrato",IF(INDEX(Config!$E$9:$E$29,MATCH($B1739,Config!$B$9:$B$29,0))="","",INDEX(Config!$E$9:$E$29,MATCH($B1739,Config!$B$9:$B$29,0))),""),""))</f>
        <v/>
      </c>
      <c r="AI1739" s="19" t="str">
        <f>IF($B1739="","",IFERROR(INDEX(Config!$D$9:$D$29,MATCH($B1739,Config!$B$9:$B$29,0))&amp;"",""))</f>
        <v/>
      </c>
    </row>
    <row r="1740">
      <c r="X1740" s="20" t="str">
        <f>IF($B1740="","",IFERROR(IF(INDEX(Config!$D$9:$D$29,MATCH($B1740,Config!$B$9:$B$29,0))="Contrato",IF(INDEX(Config!$E$9:$E$29,MATCH($B1740,Config!$B$9:$B$29,0))="","",INDEX(Config!$E$9:$E$29,MATCH($B1740,Config!$B$9:$B$29,0))),""),""))</f>
        <v/>
      </c>
      <c r="AI1740" s="19" t="str">
        <f>IF($B1740="","",IFERROR(INDEX(Config!$D$9:$D$29,MATCH($B1740,Config!$B$9:$B$29,0))&amp;"",""))</f>
        <v/>
      </c>
    </row>
    <row r="1741">
      <c r="X1741" s="20" t="str">
        <f>IF($B1741="","",IFERROR(IF(INDEX(Config!$D$9:$D$29,MATCH($B1741,Config!$B$9:$B$29,0))="Contrato",IF(INDEX(Config!$E$9:$E$29,MATCH($B1741,Config!$B$9:$B$29,0))="","",INDEX(Config!$E$9:$E$29,MATCH($B1741,Config!$B$9:$B$29,0))),""),""))</f>
        <v/>
      </c>
      <c r="AI1741" s="19" t="str">
        <f>IF($B1741="","",IFERROR(INDEX(Config!$D$9:$D$29,MATCH($B1741,Config!$B$9:$B$29,0))&amp;"",""))</f>
        <v/>
      </c>
    </row>
    <row r="1742">
      <c r="X1742" s="20" t="str">
        <f>IF($B1742="","",IFERROR(IF(INDEX(Config!$D$9:$D$29,MATCH($B1742,Config!$B$9:$B$29,0))="Contrato",IF(INDEX(Config!$E$9:$E$29,MATCH($B1742,Config!$B$9:$B$29,0))="","",INDEX(Config!$E$9:$E$29,MATCH($B1742,Config!$B$9:$B$29,0))),""),""))</f>
        <v/>
      </c>
      <c r="AI1742" s="19" t="str">
        <f>IF($B1742="","",IFERROR(INDEX(Config!$D$9:$D$29,MATCH($B1742,Config!$B$9:$B$29,0))&amp;"",""))</f>
        <v/>
      </c>
    </row>
    <row r="1743">
      <c r="X1743" s="20" t="str">
        <f>IF($B1743="","",IFERROR(IF(INDEX(Config!$D$9:$D$29,MATCH($B1743,Config!$B$9:$B$29,0))="Contrato",IF(INDEX(Config!$E$9:$E$29,MATCH($B1743,Config!$B$9:$B$29,0))="","",INDEX(Config!$E$9:$E$29,MATCH($B1743,Config!$B$9:$B$29,0))),""),""))</f>
        <v/>
      </c>
      <c r="AI1743" s="19" t="str">
        <f>IF($B1743="","",IFERROR(INDEX(Config!$D$9:$D$29,MATCH($B1743,Config!$B$9:$B$29,0))&amp;"",""))</f>
        <v/>
      </c>
    </row>
    <row r="1744">
      <c r="X1744" s="20" t="str">
        <f>IF($B1744="","",IFERROR(IF(INDEX(Config!$D$9:$D$29,MATCH($B1744,Config!$B$9:$B$29,0))="Contrato",IF(INDEX(Config!$E$9:$E$29,MATCH($B1744,Config!$B$9:$B$29,0))="","",INDEX(Config!$E$9:$E$29,MATCH($B1744,Config!$B$9:$B$29,0))),""),""))</f>
        <v/>
      </c>
      <c r="AI1744" s="19" t="str">
        <f>IF($B1744="","",IFERROR(INDEX(Config!$D$9:$D$29,MATCH($B1744,Config!$B$9:$B$29,0))&amp;"",""))</f>
        <v/>
      </c>
    </row>
    <row r="1745">
      <c r="X1745" s="20" t="str">
        <f>IF($B1745="","",IFERROR(IF(INDEX(Config!$D$9:$D$29,MATCH($B1745,Config!$B$9:$B$29,0))="Contrato",IF(INDEX(Config!$E$9:$E$29,MATCH($B1745,Config!$B$9:$B$29,0))="","",INDEX(Config!$E$9:$E$29,MATCH($B1745,Config!$B$9:$B$29,0))),""),""))</f>
        <v/>
      </c>
      <c r="AI1745" s="19" t="str">
        <f>IF($B1745="","",IFERROR(INDEX(Config!$D$9:$D$29,MATCH($B1745,Config!$B$9:$B$29,0))&amp;"",""))</f>
        <v/>
      </c>
    </row>
    <row r="1746">
      <c r="X1746" s="20" t="str">
        <f>IF($B1746="","",IFERROR(IF(INDEX(Config!$D$9:$D$29,MATCH($B1746,Config!$B$9:$B$29,0))="Contrato",IF(INDEX(Config!$E$9:$E$29,MATCH($B1746,Config!$B$9:$B$29,0))="","",INDEX(Config!$E$9:$E$29,MATCH($B1746,Config!$B$9:$B$29,0))),""),""))</f>
        <v/>
      </c>
      <c r="AI1746" s="19" t="str">
        <f>IF($B1746="","",IFERROR(INDEX(Config!$D$9:$D$29,MATCH($B1746,Config!$B$9:$B$29,0))&amp;"",""))</f>
        <v/>
      </c>
    </row>
    <row r="1747">
      <c r="X1747" s="20" t="str">
        <f>IF($B1747="","",IFERROR(IF(INDEX(Config!$D$9:$D$29,MATCH($B1747,Config!$B$9:$B$29,0))="Contrato",IF(INDEX(Config!$E$9:$E$29,MATCH($B1747,Config!$B$9:$B$29,0))="","",INDEX(Config!$E$9:$E$29,MATCH($B1747,Config!$B$9:$B$29,0))),""),""))</f>
        <v/>
      </c>
      <c r="AI1747" s="19" t="str">
        <f>IF($B1747="","",IFERROR(INDEX(Config!$D$9:$D$29,MATCH($B1747,Config!$B$9:$B$29,0))&amp;"",""))</f>
        <v/>
      </c>
    </row>
    <row r="1748">
      <c r="X1748" s="20" t="str">
        <f>IF($B1748="","",IFERROR(IF(INDEX(Config!$D$9:$D$29,MATCH($B1748,Config!$B$9:$B$29,0))="Contrato",IF(INDEX(Config!$E$9:$E$29,MATCH($B1748,Config!$B$9:$B$29,0))="","",INDEX(Config!$E$9:$E$29,MATCH($B1748,Config!$B$9:$B$29,0))),""),""))</f>
        <v/>
      </c>
      <c r="AI1748" s="19" t="str">
        <f>IF($B1748="","",IFERROR(INDEX(Config!$D$9:$D$29,MATCH($B1748,Config!$B$9:$B$29,0))&amp;"",""))</f>
        <v/>
      </c>
    </row>
    <row r="1749">
      <c r="X1749" s="20" t="str">
        <f>IF($B1749="","",IFERROR(IF(INDEX(Config!$D$9:$D$29,MATCH($B1749,Config!$B$9:$B$29,0))="Contrato",IF(INDEX(Config!$E$9:$E$29,MATCH($B1749,Config!$B$9:$B$29,0))="","",INDEX(Config!$E$9:$E$29,MATCH($B1749,Config!$B$9:$B$29,0))),""),""))</f>
        <v/>
      </c>
      <c r="AI1749" s="19" t="str">
        <f>IF($B1749="","",IFERROR(INDEX(Config!$D$9:$D$29,MATCH($B1749,Config!$B$9:$B$29,0))&amp;"",""))</f>
        <v/>
      </c>
    </row>
    <row r="1750">
      <c r="X1750" s="20" t="str">
        <f>IF($B1750="","",IFERROR(IF(INDEX(Config!$D$9:$D$29,MATCH($B1750,Config!$B$9:$B$29,0))="Contrato",IF(INDEX(Config!$E$9:$E$29,MATCH($B1750,Config!$B$9:$B$29,0))="","",INDEX(Config!$E$9:$E$29,MATCH($B1750,Config!$B$9:$B$29,0))),""),""))</f>
        <v/>
      </c>
      <c r="AI1750" s="19" t="str">
        <f>IF($B1750="","",IFERROR(INDEX(Config!$D$9:$D$29,MATCH($B1750,Config!$B$9:$B$29,0))&amp;"",""))</f>
        <v/>
      </c>
    </row>
    <row r="1751">
      <c r="X1751" s="20" t="str">
        <f>IF($B1751="","",IFERROR(IF(INDEX(Config!$D$9:$D$29,MATCH($B1751,Config!$B$9:$B$29,0))="Contrato",IF(INDEX(Config!$E$9:$E$29,MATCH($B1751,Config!$B$9:$B$29,0))="","",INDEX(Config!$E$9:$E$29,MATCH($B1751,Config!$B$9:$B$29,0))),""),""))</f>
        <v/>
      </c>
      <c r="AI1751" s="19" t="str">
        <f>IF($B1751="","",IFERROR(INDEX(Config!$D$9:$D$29,MATCH($B1751,Config!$B$9:$B$29,0))&amp;"",""))</f>
        <v/>
      </c>
    </row>
    <row r="1752">
      <c r="X1752" s="20" t="str">
        <f>IF($B1752="","",IFERROR(IF(INDEX(Config!$D$9:$D$29,MATCH($B1752,Config!$B$9:$B$29,0))="Contrato",IF(INDEX(Config!$E$9:$E$29,MATCH($B1752,Config!$B$9:$B$29,0))="","",INDEX(Config!$E$9:$E$29,MATCH($B1752,Config!$B$9:$B$29,0))),""),""))</f>
        <v/>
      </c>
      <c r="AI1752" s="19" t="str">
        <f>IF($B1752="","",IFERROR(INDEX(Config!$D$9:$D$29,MATCH($B1752,Config!$B$9:$B$29,0))&amp;"",""))</f>
        <v/>
      </c>
    </row>
    <row r="1753">
      <c r="X1753" s="20" t="str">
        <f>IF($B1753="","",IFERROR(IF(INDEX(Config!$D$9:$D$29,MATCH($B1753,Config!$B$9:$B$29,0))="Contrato",IF(INDEX(Config!$E$9:$E$29,MATCH($B1753,Config!$B$9:$B$29,0))="","",INDEX(Config!$E$9:$E$29,MATCH($B1753,Config!$B$9:$B$29,0))),""),""))</f>
        <v/>
      </c>
      <c r="AI1753" s="19" t="str">
        <f>IF($B1753="","",IFERROR(INDEX(Config!$D$9:$D$29,MATCH($B1753,Config!$B$9:$B$29,0))&amp;"",""))</f>
        <v/>
      </c>
    </row>
    <row r="1754">
      <c r="X1754" s="20" t="str">
        <f>IF($B1754="","",IFERROR(IF(INDEX(Config!$D$9:$D$29,MATCH($B1754,Config!$B$9:$B$29,0))="Contrato",IF(INDEX(Config!$E$9:$E$29,MATCH($B1754,Config!$B$9:$B$29,0))="","",INDEX(Config!$E$9:$E$29,MATCH($B1754,Config!$B$9:$B$29,0))),""),""))</f>
        <v/>
      </c>
      <c r="AI1754" s="19" t="str">
        <f>IF($B1754="","",IFERROR(INDEX(Config!$D$9:$D$29,MATCH($B1754,Config!$B$9:$B$29,0))&amp;"",""))</f>
        <v/>
      </c>
    </row>
    <row r="1755">
      <c r="X1755" s="20" t="str">
        <f>IF($B1755="","",IFERROR(IF(INDEX(Config!$D$9:$D$29,MATCH($B1755,Config!$B$9:$B$29,0))="Contrato",IF(INDEX(Config!$E$9:$E$29,MATCH($B1755,Config!$B$9:$B$29,0))="","",INDEX(Config!$E$9:$E$29,MATCH($B1755,Config!$B$9:$B$29,0))),""),""))</f>
        <v/>
      </c>
      <c r="AI1755" s="19" t="str">
        <f>IF($B1755="","",IFERROR(INDEX(Config!$D$9:$D$29,MATCH($B1755,Config!$B$9:$B$29,0))&amp;"",""))</f>
        <v/>
      </c>
    </row>
    <row r="1756">
      <c r="X1756" s="20" t="str">
        <f>IF($B1756="","",IFERROR(IF(INDEX(Config!$D$9:$D$29,MATCH($B1756,Config!$B$9:$B$29,0))="Contrato",IF(INDEX(Config!$E$9:$E$29,MATCH($B1756,Config!$B$9:$B$29,0))="","",INDEX(Config!$E$9:$E$29,MATCH($B1756,Config!$B$9:$B$29,0))),""),""))</f>
        <v/>
      </c>
      <c r="AI1756" s="19" t="str">
        <f>IF($B1756="","",IFERROR(INDEX(Config!$D$9:$D$29,MATCH($B1756,Config!$B$9:$B$29,0))&amp;"",""))</f>
        <v/>
      </c>
    </row>
    <row r="1757">
      <c r="X1757" s="20" t="str">
        <f>IF($B1757="","",IFERROR(IF(INDEX(Config!$D$9:$D$29,MATCH($B1757,Config!$B$9:$B$29,0))="Contrato",IF(INDEX(Config!$E$9:$E$29,MATCH($B1757,Config!$B$9:$B$29,0))="","",INDEX(Config!$E$9:$E$29,MATCH($B1757,Config!$B$9:$B$29,0))),""),""))</f>
        <v/>
      </c>
      <c r="AI1757" s="19" t="str">
        <f>IF($B1757="","",IFERROR(INDEX(Config!$D$9:$D$29,MATCH($B1757,Config!$B$9:$B$29,0))&amp;"",""))</f>
        <v/>
      </c>
    </row>
    <row r="1758">
      <c r="X1758" s="20" t="str">
        <f>IF($B1758="","",IFERROR(IF(INDEX(Config!$D$9:$D$29,MATCH($B1758,Config!$B$9:$B$29,0))="Contrato",IF(INDEX(Config!$E$9:$E$29,MATCH($B1758,Config!$B$9:$B$29,0))="","",INDEX(Config!$E$9:$E$29,MATCH($B1758,Config!$B$9:$B$29,0))),""),""))</f>
        <v/>
      </c>
      <c r="AI1758" s="19" t="str">
        <f>IF($B1758="","",IFERROR(INDEX(Config!$D$9:$D$29,MATCH($B1758,Config!$B$9:$B$29,0))&amp;"",""))</f>
        <v/>
      </c>
    </row>
    <row r="1759">
      <c r="X1759" s="20" t="str">
        <f>IF($B1759="","",IFERROR(IF(INDEX(Config!$D$9:$D$29,MATCH($B1759,Config!$B$9:$B$29,0))="Contrato",IF(INDEX(Config!$E$9:$E$29,MATCH($B1759,Config!$B$9:$B$29,0))="","",INDEX(Config!$E$9:$E$29,MATCH($B1759,Config!$B$9:$B$29,0))),""),""))</f>
        <v/>
      </c>
      <c r="AI1759" s="19" t="str">
        <f>IF($B1759="","",IFERROR(INDEX(Config!$D$9:$D$29,MATCH($B1759,Config!$B$9:$B$29,0))&amp;"",""))</f>
        <v/>
      </c>
    </row>
    <row r="1760">
      <c r="X1760" s="20" t="str">
        <f>IF($B1760="","",IFERROR(IF(INDEX(Config!$D$9:$D$29,MATCH($B1760,Config!$B$9:$B$29,0))="Contrato",IF(INDEX(Config!$E$9:$E$29,MATCH($B1760,Config!$B$9:$B$29,0))="","",INDEX(Config!$E$9:$E$29,MATCH($B1760,Config!$B$9:$B$29,0))),""),""))</f>
        <v/>
      </c>
      <c r="AI1760" s="19" t="str">
        <f>IF($B1760="","",IFERROR(INDEX(Config!$D$9:$D$29,MATCH($B1760,Config!$B$9:$B$29,0))&amp;"",""))</f>
        <v/>
      </c>
    </row>
    <row r="1761">
      <c r="X1761" s="20" t="str">
        <f>IF($B1761="","",IFERROR(IF(INDEX(Config!$D$9:$D$29,MATCH($B1761,Config!$B$9:$B$29,0))="Contrato",IF(INDEX(Config!$E$9:$E$29,MATCH($B1761,Config!$B$9:$B$29,0))="","",INDEX(Config!$E$9:$E$29,MATCH($B1761,Config!$B$9:$B$29,0))),""),""))</f>
        <v/>
      </c>
      <c r="AI1761" s="19" t="str">
        <f>IF($B1761="","",IFERROR(INDEX(Config!$D$9:$D$29,MATCH($B1761,Config!$B$9:$B$29,0))&amp;"",""))</f>
        <v/>
      </c>
    </row>
    <row r="1762">
      <c r="X1762" s="20" t="str">
        <f>IF($B1762="","",IFERROR(IF(INDEX(Config!$D$9:$D$29,MATCH($B1762,Config!$B$9:$B$29,0))="Contrato",IF(INDEX(Config!$E$9:$E$29,MATCH($B1762,Config!$B$9:$B$29,0))="","",INDEX(Config!$E$9:$E$29,MATCH($B1762,Config!$B$9:$B$29,0))),""),""))</f>
        <v/>
      </c>
      <c r="AI1762" s="19" t="str">
        <f>IF($B1762="","",IFERROR(INDEX(Config!$D$9:$D$29,MATCH($B1762,Config!$B$9:$B$29,0))&amp;"",""))</f>
        <v/>
      </c>
    </row>
    <row r="1763">
      <c r="X1763" s="20" t="str">
        <f>IF($B1763="","",IFERROR(IF(INDEX(Config!$D$9:$D$29,MATCH($B1763,Config!$B$9:$B$29,0))="Contrato",IF(INDEX(Config!$E$9:$E$29,MATCH($B1763,Config!$B$9:$B$29,0))="","",INDEX(Config!$E$9:$E$29,MATCH($B1763,Config!$B$9:$B$29,0))),""),""))</f>
        <v/>
      </c>
      <c r="AI1763" s="19" t="str">
        <f>IF($B1763="","",IFERROR(INDEX(Config!$D$9:$D$29,MATCH($B1763,Config!$B$9:$B$29,0))&amp;"",""))</f>
        <v/>
      </c>
    </row>
    <row r="1764">
      <c r="X1764" s="20" t="str">
        <f>IF($B1764="","",IFERROR(IF(INDEX(Config!$D$9:$D$29,MATCH($B1764,Config!$B$9:$B$29,0))="Contrato",IF(INDEX(Config!$E$9:$E$29,MATCH($B1764,Config!$B$9:$B$29,0))="","",INDEX(Config!$E$9:$E$29,MATCH($B1764,Config!$B$9:$B$29,0))),""),""))</f>
        <v/>
      </c>
      <c r="AI1764" s="19" t="str">
        <f>IF($B1764="","",IFERROR(INDEX(Config!$D$9:$D$29,MATCH($B1764,Config!$B$9:$B$29,0))&amp;"",""))</f>
        <v/>
      </c>
    </row>
    <row r="1765">
      <c r="X1765" s="20" t="str">
        <f>IF($B1765="","",IFERROR(IF(INDEX(Config!$D$9:$D$29,MATCH($B1765,Config!$B$9:$B$29,0))="Contrato",IF(INDEX(Config!$E$9:$E$29,MATCH($B1765,Config!$B$9:$B$29,0))="","",INDEX(Config!$E$9:$E$29,MATCH($B1765,Config!$B$9:$B$29,0))),""),""))</f>
        <v/>
      </c>
      <c r="AI1765" s="19" t="str">
        <f>IF($B1765="","",IFERROR(INDEX(Config!$D$9:$D$29,MATCH($B1765,Config!$B$9:$B$29,0))&amp;"",""))</f>
        <v/>
      </c>
    </row>
    <row r="1766">
      <c r="X1766" s="20" t="str">
        <f>IF($B1766="","",IFERROR(IF(INDEX(Config!$D$9:$D$29,MATCH($B1766,Config!$B$9:$B$29,0))="Contrato",IF(INDEX(Config!$E$9:$E$29,MATCH($B1766,Config!$B$9:$B$29,0))="","",INDEX(Config!$E$9:$E$29,MATCH($B1766,Config!$B$9:$B$29,0))),""),""))</f>
        <v/>
      </c>
      <c r="AI1766" s="19" t="str">
        <f>IF($B1766="","",IFERROR(INDEX(Config!$D$9:$D$29,MATCH($B1766,Config!$B$9:$B$29,0))&amp;"",""))</f>
        <v/>
      </c>
    </row>
    <row r="1767">
      <c r="X1767" s="20" t="str">
        <f>IF($B1767="","",IFERROR(IF(INDEX(Config!$D$9:$D$29,MATCH($B1767,Config!$B$9:$B$29,0))="Contrato",IF(INDEX(Config!$E$9:$E$29,MATCH($B1767,Config!$B$9:$B$29,0))="","",INDEX(Config!$E$9:$E$29,MATCH($B1767,Config!$B$9:$B$29,0))),""),""))</f>
        <v/>
      </c>
      <c r="AI1767" s="19" t="str">
        <f>IF($B1767="","",IFERROR(INDEX(Config!$D$9:$D$29,MATCH($B1767,Config!$B$9:$B$29,0))&amp;"",""))</f>
        <v/>
      </c>
    </row>
    <row r="1768">
      <c r="X1768" s="20" t="str">
        <f>IF($B1768="","",IFERROR(IF(INDEX(Config!$D$9:$D$29,MATCH($B1768,Config!$B$9:$B$29,0))="Contrato",IF(INDEX(Config!$E$9:$E$29,MATCH($B1768,Config!$B$9:$B$29,0))="","",INDEX(Config!$E$9:$E$29,MATCH($B1768,Config!$B$9:$B$29,0))),""),""))</f>
        <v/>
      </c>
      <c r="AI1768" s="19" t="str">
        <f>IF($B1768="","",IFERROR(INDEX(Config!$D$9:$D$29,MATCH($B1768,Config!$B$9:$B$29,0))&amp;"",""))</f>
        <v/>
      </c>
    </row>
    <row r="1769">
      <c r="X1769" s="20" t="str">
        <f>IF($B1769="","",IFERROR(IF(INDEX(Config!$D$9:$D$29,MATCH($B1769,Config!$B$9:$B$29,0))="Contrato",IF(INDEX(Config!$E$9:$E$29,MATCH($B1769,Config!$B$9:$B$29,0))="","",INDEX(Config!$E$9:$E$29,MATCH($B1769,Config!$B$9:$B$29,0))),""),""))</f>
        <v/>
      </c>
      <c r="AI1769" s="19" t="str">
        <f>IF($B1769="","",IFERROR(INDEX(Config!$D$9:$D$29,MATCH($B1769,Config!$B$9:$B$29,0))&amp;"",""))</f>
        <v/>
      </c>
    </row>
    <row r="1770">
      <c r="X1770" s="20" t="str">
        <f>IF($B1770="","",IFERROR(IF(INDEX(Config!$D$9:$D$29,MATCH($B1770,Config!$B$9:$B$29,0))="Contrato",IF(INDEX(Config!$E$9:$E$29,MATCH($B1770,Config!$B$9:$B$29,0))="","",INDEX(Config!$E$9:$E$29,MATCH($B1770,Config!$B$9:$B$29,0))),""),""))</f>
        <v/>
      </c>
      <c r="AI1770" s="19" t="str">
        <f>IF($B1770="","",IFERROR(INDEX(Config!$D$9:$D$29,MATCH($B1770,Config!$B$9:$B$29,0))&amp;"",""))</f>
        <v/>
      </c>
    </row>
    <row r="1771">
      <c r="X1771" s="20" t="str">
        <f>IF($B1771="","",IFERROR(IF(INDEX(Config!$D$9:$D$29,MATCH($B1771,Config!$B$9:$B$29,0))="Contrato",IF(INDEX(Config!$E$9:$E$29,MATCH($B1771,Config!$B$9:$B$29,0))="","",INDEX(Config!$E$9:$E$29,MATCH($B1771,Config!$B$9:$B$29,0))),""),""))</f>
        <v/>
      </c>
      <c r="AI1771" s="19" t="str">
        <f>IF($B1771="","",IFERROR(INDEX(Config!$D$9:$D$29,MATCH($B1771,Config!$B$9:$B$29,0))&amp;"",""))</f>
        <v/>
      </c>
    </row>
    <row r="1772">
      <c r="X1772" s="20" t="str">
        <f>IF($B1772="","",IFERROR(IF(INDEX(Config!$D$9:$D$29,MATCH($B1772,Config!$B$9:$B$29,0))="Contrato",IF(INDEX(Config!$E$9:$E$29,MATCH($B1772,Config!$B$9:$B$29,0))="","",INDEX(Config!$E$9:$E$29,MATCH($B1772,Config!$B$9:$B$29,0))),""),""))</f>
        <v/>
      </c>
      <c r="AI1772" s="19" t="str">
        <f>IF($B1772="","",IFERROR(INDEX(Config!$D$9:$D$29,MATCH($B1772,Config!$B$9:$B$29,0))&amp;"",""))</f>
        <v/>
      </c>
    </row>
    <row r="1773">
      <c r="X1773" s="20" t="str">
        <f>IF($B1773="","",IFERROR(IF(INDEX(Config!$D$9:$D$29,MATCH($B1773,Config!$B$9:$B$29,0))="Contrato",IF(INDEX(Config!$E$9:$E$29,MATCH($B1773,Config!$B$9:$B$29,0))="","",INDEX(Config!$E$9:$E$29,MATCH($B1773,Config!$B$9:$B$29,0))),""),""))</f>
        <v/>
      </c>
      <c r="AI1773" s="19" t="str">
        <f>IF($B1773="","",IFERROR(INDEX(Config!$D$9:$D$29,MATCH($B1773,Config!$B$9:$B$29,0))&amp;"",""))</f>
        <v/>
      </c>
    </row>
    <row r="1774">
      <c r="X1774" s="20" t="str">
        <f>IF($B1774="","",IFERROR(IF(INDEX(Config!$D$9:$D$29,MATCH($B1774,Config!$B$9:$B$29,0))="Contrato",IF(INDEX(Config!$E$9:$E$29,MATCH($B1774,Config!$B$9:$B$29,0))="","",INDEX(Config!$E$9:$E$29,MATCH($B1774,Config!$B$9:$B$29,0))),""),""))</f>
        <v/>
      </c>
      <c r="AI1774" s="19" t="str">
        <f>IF($B1774="","",IFERROR(INDEX(Config!$D$9:$D$29,MATCH($B1774,Config!$B$9:$B$29,0))&amp;"",""))</f>
        <v/>
      </c>
    </row>
    <row r="1775">
      <c r="X1775" s="20" t="str">
        <f>IF($B1775="","",IFERROR(IF(INDEX(Config!$D$9:$D$29,MATCH($B1775,Config!$B$9:$B$29,0))="Contrato",IF(INDEX(Config!$E$9:$E$29,MATCH($B1775,Config!$B$9:$B$29,0))="","",INDEX(Config!$E$9:$E$29,MATCH($B1775,Config!$B$9:$B$29,0))),""),""))</f>
        <v/>
      </c>
      <c r="AI1775" s="19" t="str">
        <f>IF($B1775="","",IFERROR(INDEX(Config!$D$9:$D$29,MATCH($B1775,Config!$B$9:$B$29,0))&amp;"",""))</f>
        <v/>
      </c>
    </row>
    <row r="1776">
      <c r="X1776" s="20" t="str">
        <f>IF($B1776="","",IFERROR(IF(INDEX(Config!$D$9:$D$29,MATCH($B1776,Config!$B$9:$B$29,0))="Contrato",IF(INDEX(Config!$E$9:$E$29,MATCH($B1776,Config!$B$9:$B$29,0))="","",INDEX(Config!$E$9:$E$29,MATCH($B1776,Config!$B$9:$B$29,0))),""),""))</f>
        <v/>
      </c>
      <c r="AI1776" s="19" t="str">
        <f>IF($B1776="","",IFERROR(INDEX(Config!$D$9:$D$29,MATCH($B1776,Config!$B$9:$B$29,0))&amp;"",""))</f>
        <v/>
      </c>
    </row>
    <row r="1777">
      <c r="X1777" s="20" t="str">
        <f>IF($B1777="","",IFERROR(IF(INDEX(Config!$D$9:$D$29,MATCH($B1777,Config!$B$9:$B$29,0))="Contrato",IF(INDEX(Config!$E$9:$E$29,MATCH($B1777,Config!$B$9:$B$29,0))="","",INDEX(Config!$E$9:$E$29,MATCH($B1777,Config!$B$9:$B$29,0))),""),""))</f>
        <v/>
      </c>
      <c r="AI1777" s="19" t="str">
        <f>IF($B1777="","",IFERROR(INDEX(Config!$D$9:$D$29,MATCH($B1777,Config!$B$9:$B$29,0))&amp;"",""))</f>
        <v/>
      </c>
    </row>
    <row r="1778">
      <c r="X1778" s="20" t="str">
        <f>IF($B1778="","",IFERROR(IF(INDEX(Config!$D$9:$D$29,MATCH($B1778,Config!$B$9:$B$29,0))="Contrato",IF(INDEX(Config!$E$9:$E$29,MATCH($B1778,Config!$B$9:$B$29,0))="","",INDEX(Config!$E$9:$E$29,MATCH($B1778,Config!$B$9:$B$29,0))),""),""))</f>
        <v/>
      </c>
      <c r="AI1778" s="19" t="str">
        <f>IF($B1778="","",IFERROR(INDEX(Config!$D$9:$D$29,MATCH($B1778,Config!$B$9:$B$29,0))&amp;"",""))</f>
        <v/>
      </c>
    </row>
    <row r="1779">
      <c r="X1779" s="20" t="str">
        <f>IF($B1779="","",IFERROR(IF(INDEX(Config!$D$9:$D$29,MATCH($B1779,Config!$B$9:$B$29,0))="Contrato",IF(INDEX(Config!$E$9:$E$29,MATCH($B1779,Config!$B$9:$B$29,0))="","",INDEX(Config!$E$9:$E$29,MATCH($B1779,Config!$B$9:$B$29,0))),""),""))</f>
        <v/>
      </c>
      <c r="AI1779" s="19" t="str">
        <f>IF($B1779="","",IFERROR(INDEX(Config!$D$9:$D$29,MATCH($B1779,Config!$B$9:$B$29,0))&amp;"",""))</f>
        <v/>
      </c>
    </row>
    <row r="1780">
      <c r="X1780" s="20" t="str">
        <f>IF($B1780="","",IFERROR(IF(INDEX(Config!$D$9:$D$29,MATCH($B1780,Config!$B$9:$B$29,0))="Contrato",IF(INDEX(Config!$E$9:$E$29,MATCH($B1780,Config!$B$9:$B$29,0))="","",INDEX(Config!$E$9:$E$29,MATCH($B1780,Config!$B$9:$B$29,0))),""),""))</f>
        <v/>
      </c>
      <c r="AI1780" s="19" t="str">
        <f>IF($B1780="","",IFERROR(INDEX(Config!$D$9:$D$29,MATCH($B1780,Config!$B$9:$B$29,0))&amp;"",""))</f>
        <v/>
      </c>
    </row>
    <row r="1781">
      <c r="X1781" s="20" t="str">
        <f>IF($B1781="","",IFERROR(IF(INDEX(Config!$D$9:$D$29,MATCH($B1781,Config!$B$9:$B$29,0))="Contrato",IF(INDEX(Config!$E$9:$E$29,MATCH($B1781,Config!$B$9:$B$29,0))="","",INDEX(Config!$E$9:$E$29,MATCH($B1781,Config!$B$9:$B$29,0))),""),""))</f>
        <v/>
      </c>
      <c r="AI1781" s="19" t="str">
        <f>IF($B1781="","",IFERROR(INDEX(Config!$D$9:$D$29,MATCH($B1781,Config!$B$9:$B$29,0))&amp;"",""))</f>
        <v/>
      </c>
    </row>
    <row r="1782">
      <c r="X1782" s="20" t="str">
        <f>IF($B1782="","",IFERROR(IF(INDEX(Config!$D$9:$D$29,MATCH($B1782,Config!$B$9:$B$29,0))="Contrato",IF(INDEX(Config!$E$9:$E$29,MATCH($B1782,Config!$B$9:$B$29,0))="","",INDEX(Config!$E$9:$E$29,MATCH($B1782,Config!$B$9:$B$29,0))),""),""))</f>
        <v/>
      </c>
      <c r="AI1782" s="19" t="str">
        <f>IF($B1782="","",IFERROR(INDEX(Config!$D$9:$D$29,MATCH($B1782,Config!$B$9:$B$29,0))&amp;"",""))</f>
        <v/>
      </c>
    </row>
    <row r="1783">
      <c r="X1783" s="20" t="str">
        <f>IF($B1783="","",IFERROR(IF(INDEX(Config!$D$9:$D$29,MATCH($B1783,Config!$B$9:$B$29,0))="Contrato",IF(INDEX(Config!$E$9:$E$29,MATCH($B1783,Config!$B$9:$B$29,0))="","",INDEX(Config!$E$9:$E$29,MATCH($B1783,Config!$B$9:$B$29,0))),""),""))</f>
        <v/>
      </c>
      <c r="AI1783" s="19" t="str">
        <f>IF($B1783="","",IFERROR(INDEX(Config!$D$9:$D$29,MATCH($B1783,Config!$B$9:$B$29,0))&amp;"",""))</f>
        <v/>
      </c>
    </row>
    <row r="1784">
      <c r="X1784" s="20" t="str">
        <f>IF($B1784="","",IFERROR(IF(INDEX(Config!$D$9:$D$29,MATCH($B1784,Config!$B$9:$B$29,0))="Contrato",IF(INDEX(Config!$E$9:$E$29,MATCH($B1784,Config!$B$9:$B$29,0))="","",INDEX(Config!$E$9:$E$29,MATCH($B1784,Config!$B$9:$B$29,0))),""),""))</f>
        <v/>
      </c>
      <c r="AI1784" s="19" t="str">
        <f>IF($B1784="","",IFERROR(INDEX(Config!$D$9:$D$29,MATCH($B1784,Config!$B$9:$B$29,0))&amp;"",""))</f>
        <v/>
      </c>
    </row>
    <row r="1785">
      <c r="X1785" s="20" t="str">
        <f>IF($B1785="","",IFERROR(IF(INDEX(Config!$D$9:$D$29,MATCH($B1785,Config!$B$9:$B$29,0))="Contrato",IF(INDEX(Config!$E$9:$E$29,MATCH($B1785,Config!$B$9:$B$29,0))="","",INDEX(Config!$E$9:$E$29,MATCH($B1785,Config!$B$9:$B$29,0))),""),""))</f>
        <v/>
      </c>
      <c r="AI1785" s="19" t="str">
        <f>IF($B1785="","",IFERROR(INDEX(Config!$D$9:$D$29,MATCH($B1785,Config!$B$9:$B$29,0))&amp;"",""))</f>
        <v/>
      </c>
    </row>
    <row r="1786">
      <c r="X1786" s="20" t="str">
        <f>IF($B1786="","",IFERROR(IF(INDEX(Config!$D$9:$D$29,MATCH($B1786,Config!$B$9:$B$29,0))="Contrato",IF(INDEX(Config!$E$9:$E$29,MATCH($B1786,Config!$B$9:$B$29,0))="","",INDEX(Config!$E$9:$E$29,MATCH($B1786,Config!$B$9:$B$29,0))),""),""))</f>
        <v/>
      </c>
      <c r="AI1786" s="19" t="str">
        <f>IF($B1786="","",IFERROR(INDEX(Config!$D$9:$D$29,MATCH($B1786,Config!$B$9:$B$29,0))&amp;"",""))</f>
        <v/>
      </c>
    </row>
    <row r="1787">
      <c r="X1787" s="20" t="str">
        <f>IF($B1787="","",IFERROR(IF(INDEX(Config!$D$9:$D$29,MATCH($B1787,Config!$B$9:$B$29,0))="Contrato",IF(INDEX(Config!$E$9:$E$29,MATCH($B1787,Config!$B$9:$B$29,0))="","",INDEX(Config!$E$9:$E$29,MATCH($B1787,Config!$B$9:$B$29,0))),""),""))</f>
        <v/>
      </c>
      <c r="AI1787" s="19" t="str">
        <f>IF($B1787="","",IFERROR(INDEX(Config!$D$9:$D$29,MATCH($B1787,Config!$B$9:$B$29,0))&amp;"",""))</f>
        <v/>
      </c>
    </row>
    <row r="1788">
      <c r="X1788" s="20" t="str">
        <f>IF($B1788="","",IFERROR(IF(INDEX(Config!$D$9:$D$29,MATCH($B1788,Config!$B$9:$B$29,0))="Contrato",IF(INDEX(Config!$E$9:$E$29,MATCH($B1788,Config!$B$9:$B$29,0))="","",INDEX(Config!$E$9:$E$29,MATCH($B1788,Config!$B$9:$B$29,0))),""),""))</f>
        <v/>
      </c>
      <c r="AI1788" s="19" t="str">
        <f>IF($B1788="","",IFERROR(INDEX(Config!$D$9:$D$29,MATCH($B1788,Config!$B$9:$B$29,0))&amp;"",""))</f>
        <v/>
      </c>
    </row>
    <row r="1789">
      <c r="X1789" s="20" t="str">
        <f>IF($B1789="","",IFERROR(IF(INDEX(Config!$D$9:$D$29,MATCH($B1789,Config!$B$9:$B$29,0))="Contrato",IF(INDEX(Config!$E$9:$E$29,MATCH($B1789,Config!$B$9:$B$29,0))="","",INDEX(Config!$E$9:$E$29,MATCH($B1789,Config!$B$9:$B$29,0))),""),""))</f>
        <v/>
      </c>
      <c r="AI1789" s="19" t="str">
        <f>IF($B1789="","",IFERROR(INDEX(Config!$D$9:$D$29,MATCH($B1789,Config!$B$9:$B$29,0))&amp;"",""))</f>
        <v/>
      </c>
    </row>
    <row r="1790">
      <c r="X1790" s="20" t="str">
        <f>IF($B1790="","",IFERROR(IF(INDEX(Config!$D$9:$D$29,MATCH($B1790,Config!$B$9:$B$29,0))="Contrato",IF(INDEX(Config!$E$9:$E$29,MATCH($B1790,Config!$B$9:$B$29,0))="","",INDEX(Config!$E$9:$E$29,MATCH($B1790,Config!$B$9:$B$29,0))),""),""))</f>
        <v/>
      </c>
      <c r="AI1790" s="19" t="str">
        <f>IF($B1790="","",IFERROR(INDEX(Config!$D$9:$D$29,MATCH($B1790,Config!$B$9:$B$29,0))&amp;"",""))</f>
        <v/>
      </c>
    </row>
    <row r="1791">
      <c r="X1791" s="20" t="str">
        <f>IF($B1791="","",IFERROR(IF(INDEX(Config!$D$9:$D$29,MATCH($B1791,Config!$B$9:$B$29,0))="Contrato",IF(INDEX(Config!$E$9:$E$29,MATCH($B1791,Config!$B$9:$B$29,0))="","",INDEX(Config!$E$9:$E$29,MATCH($B1791,Config!$B$9:$B$29,0))),""),""))</f>
        <v/>
      </c>
      <c r="AI1791" s="19" t="str">
        <f>IF($B1791="","",IFERROR(INDEX(Config!$D$9:$D$29,MATCH($B1791,Config!$B$9:$B$29,0))&amp;"",""))</f>
        <v/>
      </c>
    </row>
    <row r="1792">
      <c r="X1792" s="20" t="str">
        <f>IF($B1792="","",IFERROR(IF(INDEX(Config!$D$9:$D$29,MATCH($B1792,Config!$B$9:$B$29,0))="Contrato",IF(INDEX(Config!$E$9:$E$29,MATCH($B1792,Config!$B$9:$B$29,0))="","",INDEX(Config!$E$9:$E$29,MATCH($B1792,Config!$B$9:$B$29,0))),""),""))</f>
        <v/>
      </c>
      <c r="AI1792" s="19" t="str">
        <f>IF($B1792="","",IFERROR(INDEX(Config!$D$9:$D$29,MATCH($B1792,Config!$B$9:$B$29,0))&amp;"",""))</f>
        <v/>
      </c>
    </row>
    <row r="1793">
      <c r="X1793" s="20" t="str">
        <f>IF($B1793="","",IFERROR(IF(INDEX(Config!$D$9:$D$29,MATCH($B1793,Config!$B$9:$B$29,0))="Contrato",IF(INDEX(Config!$E$9:$E$29,MATCH($B1793,Config!$B$9:$B$29,0))="","",INDEX(Config!$E$9:$E$29,MATCH($B1793,Config!$B$9:$B$29,0))),""),""))</f>
        <v/>
      </c>
      <c r="AI1793" s="19" t="str">
        <f>IF($B1793="","",IFERROR(INDEX(Config!$D$9:$D$29,MATCH($B1793,Config!$B$9:$B$29,0))&amp;"",""))</f>
        <v/>
      </c>
    </row>
    <row r="1794">
      <c r="X1794" s="20" t="str">
        <f>IF($B1794="","",IFERROR(IF(INDEX(Config!$D$9:$D$29,MATCH($B1794,Config!$B$9:$B$29,0))="Contrato",IF(INDEX(Config!$E$9:$E$29,MATCH($B1794,Config!$B$9:$B$29,0))="","",INDEX(Config!$E$9:$E$29,MATCH($B1794,Config!$B$9:$B$29,0))),""),""))</f>
        <v/>
      </c>
      <c r="AI1794" s="19" t="str">
        <f>IF($B1794="","",IFERROR(INDEX(Config!$D$9:$D$29,MATCH($B1794,Config!$B$9:$B$29,0))&amp;"",""))</f>
        <v/>
      </c>
    </row>
    <row r="1795">
      <c r="X1795" s="20" t="str">
        <f>IF($B1795="","",IFERROR(IF(INDEX(Config!$D$9:$D$29,MATCH($B1795,Config!$B$9:$B$29,0))="Contrato",IF(INDEX(Config!$E$9:$E$29,MATCH($B1795,Config!$B$9:$B$29,0))="","",INDEX(Config!$E$9:$E$29,MATCH($B1795,Config!$B$9:$B$29,0))),""),""))</f>
        <v/>
      </c>
      <c r="AI1795" s="19" t="str">
        <f>IF($B1795="","",IFERROR(INDEX(Config!$D$9:$D$29,MATCH($B1795,Config!$B$9:$B$29,0))&amp;"",""))</f>
        <v/>
      </c>
    </row>
    <row r="1796">
      <c r="X1796" s="20" t="str">
        <f>IF($B1796="","",IFERROR(IF(INDEX(Config!$D$9:$D$29,MATCH($B1796,Config!$B$9:$B$29,0))="Contrato",IF(INDEX(Config!$E$9:$E$29,MATCH($B1796,Config!$B$9:$B$29,0))="","",INDEX(Config!$E$9:$E$29,MATCH($B1796,Config!$B$9:$B$29,0))),""),""))</f>
        <v/>
      </c>
      <c r="AI1796" s="19" t="str">
        <f>IF($B1796="","",IFERROR(INDEX(Config!$D$9:$D$29,MATCH($B1796,Config!$B$9:$B$29,0))&amp;"",""))</f>
        <v/>
      </c>
    </row>
    <row r="1797">
      <c r="X1797" s="20" t="str">
        <f>IF($B1797="","",IFERROR(IF(INDEX(Config!$D$9:$D$29,MATCH($B1797,Config!$B$9:$B$29,0))="Contrato",IF(INDEX(Config!$E$9:$E$29,MATCH($B1797,Config!$B$9:$B$29,0))="","",INDEX(Config!$E$9:$E$29,MATCH($B1797,Config!$B$9:$B$29,0))),""),""))</f>
        <v/>
      </c>
      <c r="AI1797" s="19" t="str">
        <f>IF($B1797="","",IFERROR(INDEX(Config!$D$9:$D$29,MATCH($B1797,Config!$B$9:$B$29,0))&amp;"",""))</f>
        <v/>
      </c>
    </row>
    <row r="1798">
      <c r="X1798" s="20" t="str">
        <f>IF($B1798="","",IFERROR(IF(INDEX(Config!$D$9:$D$29,MATCH($B1798,Config!$B$9:$B$29,0))="Contrato",IF(INDEX(Config!$E$9:$E$29,MATCH($B1798,Config!$B$9:$B$29,0))="","",INDEX(Config!$E$9:$E$29,MATCH($B1798,Config!$B$9:$B$29,0))),""),""))</f>
        <v/>
      </c>
      <c r="AI1798" s="19" t="str">
        <f>IF($B1798="","",IFERROR(INDEX(Config!$D$9:$D$29,MATCH($B1798,Config!$B$9:$B$29,0))&amp;"",""))</f>
        <v/>
      </c>
    </row>
    <row r="1799">
      <c r="X1799" s="20" t="str">
        <f>IF($B1799="","",IFERROR(IF(INDEX(Config!$D$9:$D$29,MATCH($B1799,Config!$B$9:$B$29,0))="Contrato",IF(INDEX(Config!$E$9:$E$29,MATCH($B1799,Config!$B$9:$B$29,0))="","",INDEX(Config!$E$9:$E$29,MATCH($B1799,Config!$B$9:$B$29,0))),""),""))</f>
        <v/>
      </c>
      <c r="AI1799" s="19" t="str">
        <f>IF($B1799="","",IFERROR(INDEX(Config!$D$9:$D$29,MATCH($B1799,Config!$B$9:$B$29,0))&amp;"",""))</f>
        <v/>
      </c>
    </row>
    <row r="1800">
      <c r="X1800" s="20" t="str">
        <f>IF($B1800="","",IFERROR(IF(INDEX(Config!$D$9:$D$29,MATCH($B1800,Config!$B$9:$B$29,0))="Contrato",IF(INDEX(Config!$E$9:$E$29,MATCH($B1800,Config!$B$9:$B$29,0))="","",INDEX(Config!$E$9:$E$29,MATCH($B1800,Config!$B$9:$B$29,0))),""),""))</f>
        <v/>
      </c>
      <c r="AI1800" s="19" t="str">
        <f>IF($B1800="","",IFERROR(INDEX(Config!$D$9:$D$29,MATCH($B1800,Config!$B$9:$B$29,0))&amp;"",""))</f>
        <v/>
      </c>
    </row>
    <row r="1801">
      <c r="X1801" s="20" t="str">
        <f>IF($B1801="","",IFERROR(IF(INDEX(Config!$D$9:$D$29,MATCH($B1801,Config!$B$9:$B$29,0))="Contrato",IF(INDEX(Config!$E$9:$E$29,MATCH($B1801,Config!$B$9:$B$29,0))="","",INDEX(Config!$E$9:$E$29,MATCH($B1801,Config!$B$9:$B$29,0))),""),""))</f>
        <v/>
      </c>
      <c r="AI1801" s="19" t="str">
        <f>IF($B1801="","",IFERROR(INDEX(Config!$D$9:$D$29,MATCH($B1801,Config!$B$9:$B$29,0))&amp;"",""))</f>
        <v/>
      </c>
    </row>
    <row r="1802">
      <c r="X1802" s="20" t="str">
        <f>IF($B1802="","",IFERROR(IF(INDEX(Config!$D$9:$D$29,MATCH($B1802,Config!$B$9:$B$29,0))="Contrato",IF(INDEX(Config!$E$9:$E$29,MATCH($B1802,Config!$B$9:$B$29,0))="","",INDEX(Config!$E$9:$E$29,MATCH($B1802,Config!$B$9:$B$29,0))),""),""))</f>
        <v/>
      </c>
      <c r="AI1802" s="19" t="str">
        <f>IF($B1802="","",IFERROR(INDEX(Config!$D$9:$D$29,MATCH($B1802,Config!$B$9:$B$29,0))&amp;"",""))</f>
        <v/>
      </c>
    </row>
    <row r="1803">
      <c r="X1803" s="20" t="str">
        <f>IF($B1803="","",IFERROR(IF(INDEX(Config!$D$9:$D$29,MATCH($B1803,Config!$B$9:$B$29,0))="Contrato",IF(INDEX(Config!$E$9:$E$29,MATCH($B1803,Config!$B$9:$B$29,0))="","",INDEX(Config!$E$9:$E$29,MATCH($B1803,Config!$B$9:$B$29,0))),""),""))</f>
        <v/>
      </c>
      <c r="AI1803" s="19" t="str">
        <f>IF($B1803="","",IFERROR(INDEX(Config!$D$9:$D$29,MATCH($B1803,Config!$B$9:$B$29,0))&amp;"",""))</f>
        <v/>
      </c>
    </row>
    <row r="1804">
      <c r="X1804" s="20" t="str">
        <f>IF($B1804="","",IFERROR(IF(INDEX(Config!$D$9:$D$29,MATCH($B1804,Config!$B$9:$B$29,0))="Contrato",IF(INDEX(Config!$E$9:$E$29,MATCH($B1804,Config!$B$9:$B$29,0))="","",INDEX(Config!$E$9:$E$29,MATCH($B1804,Config!$B$9:$B$29,0))),""),""))</f>
        <v/>
      </c>
      <c r="AI1804" s="19" t="str">
        <f>IF($B1804="","",IFERROR(INDEX(Config!$D$9:$D$29,MATCH($B1804,Config!$B$9:$B$29,0))&amp;"",""))</f>
        <v/>
      </c>
    </row>
    <row r="1805">
      <c r="X1805" s="20" t="str">
        <f>IF($B1805="","",IFERROR(IF(INDEX(Config!$D$9:$D$29,MATCH($B1805,Config!$B$9:$B$29,0))="Contrato",IF(INDEX(Config!$E$9:$E$29,MATCH($B1805,Config!$B$9:$B$29,0))="","",INDEX(Config!$E$9:$E$29,MATCH($B1805,Config!$B$9:$B$29,0))),""),""))</f>
        <v/>
      </c>
      <c r="AI1805" s="19" t="str">
        <f>IF($B1805="","",IFERROR(INDEX(Config!$D$9:$D$29,MATCH($B1805,Config!$B$9:$B$29,0))&amp;"",""))</f>
        <v/>
      </c>
    </row>
    <row r="1806">
      <c r="X1806" s="20" t="str">
        <f>IF($B1806="","",IFERROR(IF(INDEX(Config!$D$9:$D$29,MATCH($B1806,Config!$B$9:$B$29,0))="Contrato",IF(INDEX(Config!$E$9:$E$29,MATCH($B1806,Config!$B$9:$B$29,0))="","",INDEX(Config!$E$9:$E$29,MATCH($B1806,Config!$B$9:$B$29,0))),""),""))</f>
        <v/>
      </c>
      <c r="AI1806" s="19" t="str">
        <f>IF($B1806="","",IFERROR(INDEX(Config!$D$9:$D$29,MATCH($B1806,Config!$B$9:$B$29,0))&amp;"",""))</f>
        <v/>
      </c>
    </row>
    <row r="1807">
      <c r="X1807" s="20" t="str">
        <f>IF($B1807="","",IFERROR(IF(INDEX(Config!$D$9:$D$29,MATCH($B1807,Config!$B$9:$B$29,0))="Contrato",IF(INDEX(Config!$E$9:$E$29,MATCH($B1807,Config!$B$9:$B$29,0))="","",INDEX(Config!$E$9:$E$29,MATCH($B1807,Config!$B$9:$B$29,0))),""),""))</f>
        <v/>
      </c>
      <c r="AI1807" s="19" t="str">
        <f>IF($B1807="","",IFERROR(INDEX(Config!$D$9:$D$29,MATCH($B1807,Config!$B$9:$B$29,0))&amp;"",""))</f>
        <v/>
      </c>
    </row>
    <row r="1808">
      <c r="X1808" s="20" t="str">
        <f>IF($B1808="","",IFERROR(IF(INDEX(Config!$D$9:$D$29,MATCH($B1808,Config!$B$9:$B$29,0))="Contrato",IF(INDEX(Config!$E$9:$E$29,MATCH($B1808,Config!$B$9:$B$29,0))="","",INDEX(Config!$E$9:$E$29,MATCH($B1808,Config!$B$9:$B$29,0))),""),""))</f>
        <v/>
      </c>
      <c r="AI1808" s="19" t="str">
        <f>IF($B1808="","",IFERROR(INDEX(Config!$D$9:$D$29,MATCH($B1808,Config!$B$9:$B$29,0))&amp;"",""))</f>
        <v/>
      </c>
    </row>
    <row r="1809">
      <c r="X1809" s="20" t="str">
        <f>IF($B1809="","",IFERROR(IF(INDEX(Config!$D$9:$D$29,MATCH($B1809,Config!$B$9:$B$29,0))="Contrato",IF(INDEX(Config!$E$9:$E$29,MATCH($B1809,Config!$B$9:$B$29,0))="","",INDEX(Config!$E$9:$E$29,MATCH($B1809,Config!$B$9:$B$29,0))),""),""))</f>
        <v/>
      </c>
      <c r="AI1809" s="19" t="str">
        <f>IF($B1809="","",IFERROR(INDEX(Config!$D$9:$D$29,MATCH($B1809,Config!$B$9:$B$29,0))&amp;"",""))</f>
        <v/>
      </c>
    </row>
    <row r="1810">
      <c r="X1810" s="20" t="str">
        <f>IF($B1810="","",IFERROR(IF(INDEX(Config!$D$9:$D$29,MATCH($B1810,Config!$B$9:$B$29,0))="Contrato",IF(INDEX(Config!$E$9:$E$29,MATCH($B1810,Config!$B$9:$B$29,0))="","",INDEX(Config!$E$9:$E$29,MATCH($B1810,Config!$B$9:$B$29,0))),""),""))</f>
        <v/>
      </c>
      <c r="AI1810" s="19" t="str">
        <f>IF($B1810="","",IFERROR(INDEX(Config!$D$9:$D$29,MATCH($B1810,Config!$B$9:$B$29,0))&amp;"",""))</f>
        <v/>
      </c>
    </row>
    <row r="1811">
      <c r="X1811" s="20" t="str">
        <f>IF($B1811="","",IFERROR(IF(INDEX(Config!$D$9:$D$29,MATCH($B1811,Config!$B$9:$B$29,0))="Contrato",IF(INDEX(Config!$E$9:$E$29,MATCH($B1811,Config!$B$9:$B$29,0))="","",INDEX(Config!$E$9:$E$29,MATCH($B1811,Config!$B$9:$B$29,0))),""),""))</f>
        <v/>
      </c>
      <c r="AI1811" s="19" t="str">
        <f>IF($B1811="","",IFERROR(INDEX(Config!$D$9:$D$29,MATCH($B1811,Config!$B$9:$B$29,0))&amp;"",""))</f>
        <v/>
      </c>
    </row>
    <row r="1812">
      <c r="X1812" s="20" t="str">
        <f>IF($B1812="","",IFERROR(IF(INDEX(Config!$D$9:$D$29,MATCH($B1812,Config!$B$9:$B$29,0))="Contrato",IF(INDEX(Config!$E$9:$E$29,MATCH($B1812,Config!$B$9:$B$29,0))="","",INDEX(Config!$E$9:$E$29,MATCH($B1812,Config!$B$9:$B$29,0))),""),""))</f>
        <v/>
      </c>
      <c r="AI1812" s="19" t="str">
        <f>IF($B1812="","",IFERROR(INDEX(Config!$D$9:$D$29,MATCH($B1812,Config!$B$9:$B$29,0))&amp;"",""))</f>
        <v/>
      </c>
    </row>
    <row r="1813">
      <c r="X1813" s="20" t="str">
        <f>IF($B1813="","",IFERROR(IF(INDEX(Config!$D$9:$D$29,MATCH($B1813,Config!$B$9:$B$29,0))="Contrato",IF(INDEX(Config!$E$9:$E$29,MATCH($B1813,Config!$B$9:$B$29,0))="","",INDEX(Config!$E$9:$E$29,MATCH($B1813,Config!$B$9:$B$29,0))),""),""))</f>
        <v/>
      </c>
      <c r="AI1813" s="19" t="str">
        <f>IF($B1813="","",IFERROR(INDEX(Config!$D$9:$D$29,MATCH($B1813,Config!$B$9:$B$29,0))&amp;"",""))</f>
        <v/>
      </c>
    </row>
    <row r="1814">
      <c r="X1814" s="20" t="str">
        <f>IF($B1814="","",IFERROR(IF(INDEX(Config!$D$9:$D$29,MATCH($B1814,Config!$B$9:$B$29,0))="Contrato",IF(INDEX(Config!$E$9:$E$29,MATCH($B1814,Config!$B$9:$B$29,0))="","",INDEX(Config!$E$9:$E$29,MATCH($B1814,Config!$B$9:$B$29,0))),""),""))</f>
        <v/>
      </c>
      <c r="AI1814" s="19" t="str">
        <f>IF($B1814="","",IFERROR(INDEX(Config!$D$9:$D$29,MATCH($B1814,Config!$B$9:$B$29,0))&amp;"",""))</f>
        <v/>
      </c>
    </row>
    <row r="1815">
      <c r="X1815" s="20" t="str">
        <f>IF($B1815="","",IFERROR(IF(INDEX(Config!$D$9:$D$29,MATCH($B1815,Config!$B$9:$B$29,0))="Contrato",IF(INDEX(Config!$E$9:$E$29,MATCH($B1815,Config!$B$9:$B$29,0))="","",INDEX(Config!$E$9:$E$29,MATCH($B1815,Config!$B$9:$B$29,0))),""),""))</f>
        <v/>
      </c>
      <c r="AI1815" s="19" t="str">
        <f>IF($B1815="","",IFERROR(INDEX(Config!$D$9:$D$29,MATCH($B1815,Config!$B$9:$B$29,0))&amp;"",""))</f>
        <v/>
      </c>
    </row>
    <row r="1816">
      <c r="X1816" s="20" t="str">
        <f>IF($B1816="","",IFERROR(IF(INDEX(Config!$D$9:$D$29,MATCH($B1816,Config!$B$9:$B$29,0))="Contrato",IF(INDEX(Config!$E$9:$E$29,MATCH($B1816,Config!$B$9:$B$29,0))="","",INDEX(Config!$E$9:$E$29,MATCH($B1816,Config!$B$9:$B$29,0))),""),""))</f>
        <v/>
      </c>
      <c r="AI1816" s="19" t="str">
        <f>IF($B1816="","",IFERROR(INDEX(Config!$D$9:$D$29,MATCH($B1816,Config!$B$9:$B$29,0))&amp;"",""))</f>
        <v/>
      </c>
    </row>
    <row r="1817">
      <c r="X1817" s="20" t="str">
        <f>IF($B1817="","",IFERROR(IF(INDEX(Config!$D$9:$D$29,MATCH($B1817,Config!$B$9:$B$29,0))="Contrato",IF(INDEX(Config!$E$9:$E$29,MATCH($B1817,Config!$B$9:$B$29,0))="","",INDEX(Config!$E$9:$E$29,MATCH($B1817,Config!$B$9:$B$29,0))),""),""))</f>
        <v/>
      </c>
      <c r="AI1817" s="19" t="str">
        <f>IF($B1817="","",IFERROR(INDEX(Config!$D$9:$D$29,MATCH($B1817,Config!$B$9:$B$29,0))&amp;"",""))</f>
        <v/>
      </c>
    </row>
    <row r="1818">
      <c r="X1818" s="20" t="str">
        <f>IF($B1818="","",IFERROR(IF(INDEX(Config!$D$9:$D$29,MATCH($B1818,Config!$B$9:$B$29,0))="Contrato",IF(INDEX(Config!$E$9:$E$29,MATCH($B1818,Config!$B$9:$B$29,0))="","",INDEX(Config!$E$9:$E$29,MATCH($B1818,Config!$B$9:$B$29,0))),""),""))</f>
        <v/>
      </c>
      <c r="AI1818" s="19" t="str">
        <f>IF($B1818="","",IFERROR(INDEX(Config!$D$9:$D$29,MATCH($B1818,Config!$B$9:$B$29,0))&amp;"",""))</f>
        <v/>
      </c>
    </row>
    <row r="1819">
      <c r="X1819" s="20" t="str">
        <f>IF($B1819="","",IFERROR(IF(INDEX(Config!$D$9:$D$29,MATCH($B1819,Config!$B$9:$B$29,0))="Contrato",IF(INDEX(Config!$E$9:$E$29,MATCH($B1819,Config!$B$9:$B$29,0))="","",INDEX(Config!$E$9:$E$29,MATCH($B1819,Config!$B$9:$B$29,0))),""),""))</f>
        <v/>
      </c>
      <c r="AI1819" s="19" t="str">
        <f>IF($B1819="","",IFERROR(INDEX(Config!$D$9:$D$29,MATCH($B1819,Config!$B$9:$B$29,0))&amp;"",""))</f>
        <v/>
      </c>
    </row>
    <row r="1820">
      <c r="X1820" s="20" t="str">
        <f>IF($B1820="","",IFERROR(IF(INDEX(Config!$D$9:$D$29,MATCH($B1820,Config!$B$9:$B$29,0))="Contrato",IF(INDEX(Config!$E$9:$E$29,MATCH($B1820,Config!$B$9:$B$29,0))="","",INDEX(Config!$E$9:$E$29,MATCH($B1820,Config!$B$9:$B$29,0))),""),""))</f>
        <v/>
      </c>
      <c r="AI1820" s="19" t="str">
        <f>IF($B1820="","",IFERROR(INDEX(Config!$D$9:$D$29,MATCH($B1820,Config!$B$9:$B$29,0))&amp;"",""))</f>
        <v/>
      </c>
    </row>
    <row r="1821">
      <c r="X1821" s="20" t="str">
        <f>IF($B1821="","",IFERROR(IF(INDEX(Config!$D$9:$D$29,MATCH($B1821,Config!$B$9:$B$29,0))="Contrato",IF(INDEX(Config!$E$9:$E$29,MATCH($B1821,Config!$B$9:$B$29,0))="","",INDEX(Config!$E$9:$E$29,MATCH($B1821,Config!$B$9:$B$29,0))),""),""))</f>
        <v/>
      </c>
      <c r="AI1821" s="19" t="str">
        <f>IF($B1821="","",IFERROR(INDEX(Config!$D$9:$D$29,MATCH($B1821,Config!$B$9:$B$29,0))&amp;"",""))</f>
        <v/>
      </c>
    </row>
    <row r="1822">
      <c r="X1822" s="20" t="str">
        <f>IF($B1822="","",IFERROR(IF(INDEX(Config!$D$9:$D$29,MATCH($B1822,Config!$B$9:$B$29,0))="Contrato",IF(INDEX(Config!$E$9:$E$29,MATCH($B1822,Config!$B$9:$B$29,0))="","",INDEX(Config!$E$9:$E$29,MATCH($B1822,Config!$B$9:$B$29,0))),""),""))</f>
        <v/>
      </c>
      <c r="AI1822" s="19" t="str">
        <f>IF($B1822="","",IFERROR(INDEX(Config!$D$9:$D$29,MATCH($B1822,Config!$B$9:$B$29,0))&amp;"",""))</f>
        <v/>
      </c>
    </row>
    <row r="1823">
      <c r="X1823" s="20" t="str">
        <f>IF($B1823="","",IFERROR(IF(INDEX(Config!$D$9:$D$29,MATCH($B1823,Config!$B$9:$B$29,0))="Contrato",IF(INDEX(Config!$E$9:$E$29,MATCH($B1823,Config!$B$9:$B$29,0))="","",INDEX(Config!$E$9:$E$29,MATCH($B1823,Config!$B$9:$B$29,0))),""),""))</f>
        <v/>
      </c>
      <c r="AI1823" s="19" t="str">
        <f>IF($B1823="","",IFERROR(INDEX(Config!$D$9:$D$29,MATCH($B1823,Config!$B$9:$B$29,0))&amp;"",""))</f>
        <v/>
      </c>
    </row>
    <row r="1824">
      <c r="X1824" s="20" t="str">
        <f>IF($B1824="","",IFERROR(IF(INDEX(Config!$D$9:$D$29,MATCH($B1824,Config!$B$9:$B$29,0))="Contrato",IF(INDEX(Config!$E$9:$E$29,MATCH($B1824,Config!$B$9:$B$29,0))="","",INDEX(Config!$E$9:$E$29,MATCH($B1824,Config!$B$9:$B$29,0))),""),""))</f>
        <v/>
      </c>
      <c r="AI1824" s="19" t="str">
        <f>IF($B1824="","",IFERROR(INDEX(Config!$D$9:$D$29,MATCH($B1824,Config!$B$9:$B$29,0))&amp;"",""))</f>
        <v/>
      </c>
    </row>
    <row r="1825">
      <c r="X1825" s="20" t="str">
        <f>IF($B1825="","",IFERROR(IF(INDEX(Config!$D$9:$D$29,MATCH($B1825,Config!$B$9:$B$29,0))="Contrato",IF(INDEX(Config!$E$9:$E$29,MATCH($B1825,Config!$B$9:$B$29,0))="","",INDEX(Config!$E$9:$E$29,MATCH($B1825,Config!$B$9:$B$29,0))),""),""))</f>
        <v/>
      </c>
      <c r="AI1825" s="19" t="str">
        <f>IF($B1825="","",IFERROR(INDEX(Config!$D$9:$D$29,MATCH($B1825,Config!$B$9:$B$29,0))&amp;"",""))</f>
        <v/>
      </c>
    </row>
    <row r="1826">
      <c r="X1826" s="20" t="str">
        <f>IF($B1826="","",IFERROR(IF(INDEX(Config!$D$9:$D$29,MATCH($B1826,Config!$B$9:$B$29,0))="Contrato",IF(INDEX(Config!$E$9:$E$29,MATCH($B1826,Config!$B$9:$B$29,0))="","",INDEX(Config!$E$9:$E$29,MATCH($B1826,Config!$B$9:$B$29,0))),""),""))</f>
        <v/>
      </c>
      <c r="AI1826" s="19" t="str">
        <f>IF($B1826="","",IFERROR(INDEX(Config!$D$9:$D$29,MATCH($B1826,Config!$B$9:$B$29,0))&amp;"",""))</f>
        <v/>
      </c>
    </row>
    <row r="1827">
      <c r="X1827" s="20" t="str">
        <f>IF($B1827="","",IFERROR(IF(INDEX(Config!$D$9:$D$29,MATCH($B1827,Config!$B$9:$B$29,0))="Contrato",IF(INDEX(Config!$E$9:$E$29,MATCH($B1827,Config!$B$9:$B$29,0))="","",INDEX(Config!$E$9:$E$29,MATCH($B1827,Config!$B$9:$B$29,0))),""),""))</f>
        <v/>
      </c>
      <c r="AI1827" s="19" t="str">
        <f>IF($B1827="","",IFERROR(INDEX(Config!$D$9:$D$29,MATCH($B1827,Config!$B$9:$B$29,0))&amp;"",""))</f>
        <v/>
      </c>
    </row>
    <row r="1828">
      <c r="X1828" s="20" t="str">
        <f>IF($B1828="","",IFERROR(IF(INDEX(Config!$D$9:$D$29,MATCH($B1828,Config!$B$9:$B$29,0))="Contrato",IF(INDEX(Config!$E$9:$E$29,MATCH($B1828,Config!$B$9:$B$29,0))="","",INDEX(Config!$E$9:$E$29,MATCH($B1828,Config!$B$9:$B$29,0))),""),""))</f>
        <v/>
      </c>
      <c r="AI1828" s="19" t="str">
        <f>IF($B1828="","",IFERROR(INDEX(Config!$D$9:$D$29,MATCH($B1828,Config!$B$9:$B$29,0))&amp;"",""))</f>
        <v/>
      </c>
    </row>
    <row r="1829">
      <c r="X1829" s="20" t="str">
        <f>IF($B1829="","",IFERROR(IF(INDEX(Config!$D$9:$D$29,MATCH($B1829,Config!$B$9:$B$29,0))="Contrato",IF(INDEX(Config!$E$9:$E$29,MATCH($B1829,Config!$B$9:$B$29,0))="","",INDEX(Config!$E$9:$E$29,MATCH($B1829,Config!$B$9:$B$29,0))),""),""))</f>
        <v/>
      </c>
      <c r="AI1829" s="19" t="str">
        <f>IF($B1829="","",IFERROR(INDEX(Config!$D$9:$D$29,MATCH($B1829,Config!$B$9:$B$29,0))&amp;"",""))</f>
        <v/>
      </c>
    </row>
    <row r="1830">
      <c r="X1830" s="20" t="str">
        <f>IF($B1830="","",IFERROR(IF(INDEX(Config!$D$9:$D$29,MATCH($B1830,Config!$B$9:$B$29,0))="Contrato",IF(INDEX(Config!$E$9:$E$29,MATCH($B1830,Config!$B$9:$B$29,0))="","",INDEX(Config!$E$9:$E$29,MATCH($B1830,Config!$B$9:$B$29,0))),""),""))</f>
        <v/>
      </c>
      <c r="AI1830" s="19" t="str">
        <f>IF($B1830="","",IFERROR(INDEX(Config!$D$9:$D$29,MATCH($B1830,Config!$B$9:$B$29,0))&amp;"",""))</f>
        <v/>
      </c>
    </row>
    <row r="1831">
      <c r="X1831" s="20" t="str">
        <f>IF($B1831="","",IFERROR(IF(INDEX(Config!$D$9:$D$29,MATCH($B1831,Config!$B$9:$B$29,0))="Contrato",IF(INDEX(Config!$E$9:$E$29,MATCH($B1831,Config!$B$9:$B$29,0))="","",INDEX(Config!$E$9:$E$29,MATCH($B1831,Config!$B$9:$B$29,0))),""),""))</f>
        <v/>
      </c>
      <c r="AI1831" s="19" t="str">
        <f>IF($B1831="","",IFERROR(INDEX(Config!$D$9:$D$29,MATCH($B1831,Config!$B$9:$B$29,0))&amp;"",""))</f>
        <v/>
      </c>
    </row>
    <row r="1832">
      <c r="X1832" s="20" t="str">
        <f>IF($B1832="","",IFERROR(IF(INDEX(Config!$D$9:$D$29,MATCH($B1832,Config!$B$9:$B$29,0))="Contrato",IF(INDEX(Config!$E$9:$E$29,MATCH($B1832,Config!$B$9:$B$29,0))="","",INDEX(Config!$E$9:$E$29,MATCH($B1832,Config!$B$9:$B$29,0))),""),""))</f>
        <v/>
      </c>
      <c r="AI1832" s="19" t="str">
        <f>IF($B1832="","",IFERROR(INDEX(Config!$D$9:$D$29,MATCH($B1832,Config!$B$9:$B$29,0))&amp;"",""))</f>
        <v/>
      </c>
    </row>
    <row r="1833">
      <c r="X1833" s="20" t="str">
        <f>IF($B1833="","",IFERROR(IF(INDEX(Config!$D$9:$D$29,MATCH($B1833,Config!$B$9:$B$29,0))="Contrato",IF(INDEX(Config!$E$9:$E$29,MATCH($B1833,Config!$B$9:$B$29,0))="","",INDEX(Config!$E$9:$E$29,MATCH($B1833,Config!$B$9:$B$29,0))),""),""))</f>
        <v/>
      </c>
      <c r="AI1833" s="19" t="str">
        <f>IF($B1833="","",IFERROR(INDEX(Config!$D$9:$D$29,MATCH($B1833,Config!$B$9:$B$29,0))&amp;"",""))</f>
        <v/>
      </c>
    </row>
    <row r="1834">
      <c r="X1834" s="20" t="str">
        <f>IF($B1834="","",IFERROR(IF(INDEX(Config!$D$9:$D$29,MATCH($B1834,Config!$B$9:$B$29,0))="Contrato",IF(INDEX(Config!$E$9:$E$29,MATCH($B1834,Config!$B$9:$B$29,0))="","",INDEX(Config!$E$9:$E$29,MATCH($B1834,Config!$B$9:$B$29,0))),""),""))</f>
        <v/>
      </c>
      <c r="AI1834" s="19" t="str">
        <f>IF($B1834="","",IFERROR(INDEX(Config!$D$9:$D$29,MATCH($B1834,Config!$B$9:$B$29,0))&amp;"",""))</f>
        <v/>
      </c>
    </row>
    <row r="1835">
      <c r="X1835" s="20" t="str">
        <f>IF($B1835="","",IFERROR(IF(INDEX(Config!$D$9:$D$29,MATCH($B1835,Config!$B$9:$B$29,0))="Contrato",IF(INDEX(Config!$E$9:$E$29,MATCH($B1835,Config!$B$9:$B$29,0))="","",INDEX(Config!$E$9:$E$29,MATCH($B1835,Config!$B$9:$B$29,0))),""),""))</f>
        <v/>
      </c>
      <c r="AI1835" s="19" t="str">
        <f>IF($B1835="","",IFERROR(INDEX(Config!$D$9:$D$29,MATCH($B1835,Config!$B$9:$B$29,0))&amp;"",""))</f>
        <v/>
      </c>
    </row>
    <row r="1836">
      <c r="X1836" s="20" t="str">
        <f>IF($B1836="","",IFERROR(IF(INDEX(Config!$D$9:$D$29,MATCH($B1836,Config!$B$9:$B$29,0))="Contrato",IF(INDEX(Config!$E$9:$E$29,MATCH($B1836,Config!$B$9:$B$29,0))="","",INDEX(Config!$E$9:$E$29,MATCH($B1836,Config!$B$9:$B$29,0))),""),""))</f>
        <v/>
      </c>
      <c r="AI1836" s="19" t="str">
        <f>IF($B1836="","",IFERROR(INDEX(Config!$D$9:$D$29,MATCH($B1836,Config!$B$9:$B$29,0))&amp;"",""))</f>
        <v/>
      </c>
    </row>
    <row r="1837">
      <c r="X1837" s="20" t="str">
        <f>IF($B1837="","",IFERROR(IF(INDEX(Config!$D$9:$D$29,MATCH($B1837,Config!$B$9:$B$29,0))="Contrato",IF(INDEX(Config!$E$9:$E$29,MATCH($B1837,Config!$B$9:$B$29,0))="","",INDEX(Config!$E$9:$E$29,MATCH($B1837,Config!$B$9:$B$29,0))),""),""))</f>
        <v/>
      </c>
      <c r="AI1837" s="19" t="str">
        <f>IF($B1837="","",IFERROR(INDEX(Config!$D$9:$D$29,MATCH($B1837,Config!$B$9:$B$29,0))&amp;"",""))</f>
        <v/>
      </c>
    </row>
    <row r="1838">
      <c r="X1838" s="20" t="str">
        <f>IF($B1838="","",IFERROR(IF(INDEX(Config!$D$9:$D$29,MATCH($B1838,Config!$B$9:$B$29,0))="Contrato",IF(INDEX(Config!$E$9:$E$29,MATCH($B1838,Config!$B$9:$B$29,0))="","",INDEX(Config!$E$9:$E$29,MATCH($B1838,Config!$B$9:$B$29,0))),""),""))</f>
        <v/>
      </c>
      <c r="AI1838" s="19" t="str">
        <f>IF($B1838="","",IFERROR(INDEX(Config!$D$9:$D$29,MATCH($B1838,Config!$B$9:$B$29,0))&amp;"",""))</f>
        <v/>
      </c>
    </row>
    <row r="1839">
      <c r="X1839" s="20" t="str">
        <f>IF($B1839="","",IFERROR(IF(INDEX(Config!$D$9:$D$29,MATCH($B1839,Config!$B$9:$B$29,0))="Contrato",IF(INDEX(Config!$E$9:$E$29,MATCH($B1839,Config!$B$9:$B$29,0))="","",INDEX(Config!$E$9:$E$29,MATCH($B1839,Config!$B$9:$B$29,0))),""),""))</f>
        <v/>
      </c>
      <c r="AI1839" s="19" t="str">
        <f>IF($B1839="","",IFERROR(INDEX(Config!$D$9:$D$29,MATCH($B1839,Config!$B$9:$B$29,0))&amp;"",""))</f>
        <v/>
      </c>
    </row>
    <row r="1840">
      <c r="X1840" s="20" t="str">
        <f>IF($B1840="","",IFERROR(IF(INDEX(Config!$D$9:$D$29,MATCH($B1840,Config!$B$9:$B$29,0))="Contrato",IF(INDEX(Config!$E$9:$E$29,MATCH($B1840,Config!$B$9:$B$29,0))="","",INDEX(Config!$E$9:$E$29,MATCH($B1840,Config!$B$9:$B$29,0))),""),""))</f>
        <v/>
      </c>
      <c r="AI1840" s="19" t="str">
        <f>IF($B1840="","",IFERROR(INDEX(Config!$D$9:$D$29,MATCH($B1840,Config!$B$9:$B$29,0))&amp;"",""))</f>
        <v/>
      </c>
    </row>
    <row r="1841">
      <c r="X1841" s="20" t="str">
        <f>IF($B1841="","",IFERROR(IF(INDEX(Config!$D$9:$D$29,MATCH($B1841,Config!$B$9:$B$29,0))="Contrato",IF(INDEX(Config!$E$9:$E$29,MATCH($B1841,Config!$B$9:$B$29,0))="","",INDEX(Config!$E$9:$E$29,MATCH($B1841,Config!$B$9:$B$29,0))),""),""))</f>
        <v/>
      </c>
      <c r="AI1841" s="19" t="str">
        <f>IF($B1841="","",IFERROR(INDEX(Config!$D$9:$D$29,MATCH($B1841,Config!$B$9:$B$29,0))&amp;"",""))</f>
        <v/>
      </c>
    </row>
    <row r="1842">
      <c r="X1842" s="20" t="str">
        <f>IF($B1842="","",IFERROR(IF(INDEX(Config!$D$9:$D$29,MATCH($B1842,Config!$B$9:$B$29,0))="Contrato",IF(INDEX(Config!$E$9:$E$29,MATCH($B1842,Config!$B$9:$B$29,0))="","",INDEX(Config!$E$9:$E$29,MATCH($B1842,Config!$B$9:$B$29,0))),""),""))</f>
        <v/>
      </c>
      <c r="AI1842" s="19" t="str">
        <f>IF($B1842="","",IFERROR(INDEX(Config!$D$9:$D$29,MATCH($B1842,Config!$B$9:$B$29,0))&amp;"",""))</f>
        <v/>
      </c>
    </row>
    <row r="1843">
      <c r="X1843" s="20" t="str">
        <f>IF($B1843="","",IFERROR(IF(INDEX(Config!$D$9:$D$29,MATCH($B1843,Config!$B$9:$B$29,0))="Contrato",IF(INDEX(Config!$E$9:$E$29,MATCH($B1843,Config!$B$9:$B$29,0))="","",INDEX(Config!$E$9:$E$29,MATCH($B1843,Config!$B$9:$B$29,0))),""),""))</f>
        <v/>
      </c>
      <c r="AI1843" s="19" t="str">
        <f>IF($B1843="","",IFERROR(INDEX(Config!$D$9:$D$29,MATCH($B1843,Config!$B$9:$B$29,0))&amp;"",""))</f>
        <v/>
      </c>
    </row>
    <row r="1844">
      <c r="X1844" s="20" t="str">
        <f>IF($B1844="","",IFERROR(IF(INDEX(Config!$D$9:$D$29,MATCH($B1844,Config!$B$9:$B$29,0))="Contrato",IF(INDEX(Config!$E$9:$E$29,MATCH($B1844,Config!$B$9:$B$29,0))="","",INDEX(Config!$E$9:$E$29,MATCH($B1844,Config!$B$9:$B$29,0))),""),""))</f>
        <v/>
      </c>
      <c r="AI1844" s="19" t="str">
        <f>IF($B1844="","",IFERROR(INDEX(Config!$D$9:$D$29,MATCH($B1844,Config!$B$9:$B$29,0))&amp;"",""))</f>
        <v/>
      </c>
    </row>
    <row r="1845">
      <c r="X1845" s="20" t="str">
        <f>IF($B1845="","",IFERROR(IF(INDEX(Config!$D$9:$D$29,MATCH($B1845,Config!$B$9:$B$29,0))="Contrato",IF(INDEX(Config!$E$9:$E$29,MATCH($B1845,Config!$B$9:$B$29,0))="","",INDEX(Config!$E$9:$E$29,MATCH($B1845,Config!$B$9:$B$29,0))),""),""))</f>
        <v/>
      </c>
      <c r="AI1845" s="19" t="str">
        <f>IF($B1845="","",IFERROR(INDEX(Config!$D$9:$D$29,MATCH($B1845,Config!$B$9:$B$29,0))&amp;"",""))</f>
        <v/>
      </c>
    </row>
    <row r="1846">
      <c r="X1846" s="20" t="str">
        <f>IF($B1846="","",IFERROR(IF(INDEX(Config!$D$9:$D$29,MATCH($B1846,Config!$B$9:$B$29,0))="Contrato",IF(INDEX(Config!$E$9:$E$29,MATCH($B1846,Config!$B$9:$B$29,0))="","",INDEX(Config!$E$9:$E$29,MATCH($B1846,Config!$B$9:$B$29,0))),""),""))</f>
        <v/>
      </c>
      <c r="AI1846" s="19" t="str">
        <f>IF($B1846="","",IFERROR(INDEX(Config!$D$9:$D$29,MATCH($B1846,Config!$B$9:$B$29,0))&amp;"",""))</f>
        <v/>
      </c>
    </row>
    <row r="1847">
      <c r="X1847" s="20" t="str">
        <f>IF($B1847="","",IFERROR(IF(INDEX(Config!$D$9:$D$29,MATCH($B1847,Config!$B$9:$B$29,0))="Contrato",IF(INDEX(Config!$E$9:$E$29,MATCH($B1847,Config!$B$9:$B$29,0))="","",INDEX(Config!$E$9:$E$29,MATCH($B1847,Config!$B$9:$B$29,0))),""),""))</f>
        <v/>
      </c>
      <c r="AI1847" s="19" t="str">
        <f>IF($B1847="","",IFERROR(INDEX(Config!$D$9:$D$29,MATCH($B1847,Config!$B$9:$B$29,0))&amp;"",""))</f>
        <v/>
      </c>
    </row>
    <row r="1848">
      <c r="X1848" s="20" t="str">
        <f>IF($B1848="","",IFERROR(IF(INDEX(Config!$D$9:$D$29,MATCH($B1848,Config!$B$9:$B$29,0))="Contrato",IF(INDEX(Config!$E$9:$E$29,MATCH($B1848,Config!$B$9:$B$29,0))="","",INDEX(Config!$E$9:$E$29,MATCH($B1848,Config!$B$9:$B$29,0))),""),""))</f>
        <v/>
      </c>
      <c r="AI1848" s="19" t="str">
        <f>IF($B1848="","",IFERROR(INDEX(Config!$D$9:$D$29,MATCH($B1848,Config!$B$9:$B$29,0))&amp;"",""))</f>
        <v/>
      </c>
    </row>
    <row r="1849">
      <c r="X1849" s="20" t="str">
        <f>IF($B1849="","",IFERROR(IF(INDEX(Config!$D$9:$D$29,MATCH($B1849,Config!$B$9:$B$29,0))="Contrato",IF(INDEX(Config!$E$9:$E$29,MATCH($B1849,Config!$B$9:$B$29,0))="","",INDEX(Config!$E$9:$E$29,MATCH($B1849,Config!$B$9:$B$29,0))),""),""))</f>
        <v/>
      </c>
      <c r="AI1849" s="19" t="str">
        <f>IF($B1849="","",IFERROR(INDEX(Config!$D$9:$D$29,MATCH($B1849,Config!$B$9:$B$29,0))&amp;"",""))</f>
        <v/>
      </c>
    </row>
    <row r="1850">
      <c r="X1850" s="20" t="str">
        <f>IF($B1850="","",IFERROR(IF(INDEX(Config!$D$9:$D$29,MATCH($B1850,Config!$B$9:$B$29,0))="Contrato",IF(INDEX(Config!$E$9:$E$29,MATCH($B1850,Config!$B$9:$B$29,0))="","",INDEX(Config!$E$9:$E$29,MATCH($B1850,Config!$B$9:$B$29,0))),""),""))</f>
        <v/>
      </c>
      <c r="AI1850" s="19" t="str">
        <f>IF($B1850="","",IFERROR(INDEX(Config!$D$9:$D$29,MATCH($B1850,Config!$B$9:$B$29,0))&amp;"",""))</f>
        <v/>
      </c>
    </row>
    <row r="1851">
      <c r="X1851" s="20" t="str">
        <f>IF($B1851="","",IFERROR(IF(INDEX(Config!$D$9:$D$29,MATCH($B1851,Config!$B$9:$B$29,0))="Contrato",IF(INDEX(Config!$E$9:$E$29,MATCH($B1851,Config!$B$9:$B$29,0))="","",INDEX(Config!$E$9:$E$29,MATCH($B1851,Config!$B$9:$B$29,0))),""),""))</f>
        <v/>
      </c>
      <c r="AI1851" s="19" t="str">
        <f>IF($B1851="","",IFERROR(INDEX(Config!$D$9:$D$29,MATCH($B1851,Config!$B$9:$B$29,0))&amp;"",""))</f>
        <v/>
      </c>
    </row>
    <row r="1852">
      <c r="X1852" s="20" t="str">
        <f>IF($B1852="","",IFERROR(IF(INDEX(Config!$D$9:$D$29,MATCH($B1852,Config!$B$9:$B$29,0))="Contrato",IF(INDEX(Config!$E$9:$E$29,MATCH($B1852,Config!$B$9:$B$29,0))="","",INDEX(Config!$E$9:$E$29,MATCH($B1852,Config!$B$9:$B$29,0))),""),""))</f>
        <v/>
      </c>
      <c r="AI1852" s="19" t="str">
        <f>IF($B1852="","",IFERROR(INDEX(Config!$D$9:$D$29,MATCH($B1852,Config!$B$9:$B$29,0))&amp;"",""))</f>
        <v/>
      </c>
    </row>
    <row r="1853">
      <c r="X1853" s="20" t="str">
        <f>IF($B1853="","",IFERROR(IF(INDEX(Config!$D$9:$D$29,MATCH($B1853,Config!$B$9:$B$29,0))="Contrato",IF(INDEX(Config!$E$9:$E$29,MATCH($B1853,Config!$B$9:$B$29,0))="","",INDEX(Config!$E$9:$E$29,MATCH($B1853,Config!$B$9:$B$29,0))),""),""))</f>
        <v/>
      </c>
      <c r="AI1853" s="19" t="str">
        <f>IF($B1853="","",IFERROR(INDEX(Config!$D$9:$D$29,MATCH($B1853,Config!$B$9:$B$29,0))&amp;"",""))</f>
        <v/>
      </c>
    </row>
    <row r="1854">
      <c r="X1854" s="20" t="str">
        <f>IF($B1854="","",IFERROR(IF(INDEX(Config!$D$9:$D$29,MATCH($B1854,Config!$B$9:$B$29,0))="Contrato",IF(INDEX(Config!$E$9:$E$29,MATCH($B1854,Config!$B$9:$B$29,0))="","",INDEX(Config!$E$9:$E$29,MATCH($B1854,Config!$B$9:$B$29,0))),""),""))</f>
        <v/>
      </c>
      <c r="AI1854" s="19" t="str">
        <f>IF($B1854="","",IFERROR(INDEX(Config!$D$9:$D$29,MATCH($B1854,Config!$B$9:$B$29,0))&amp;"",""))</f>
        <v/>
      </c>
    </row>
    <row r="1855">
      <c r="X1855" s="20" t="str">
        <f>IF($B1855="","",IFERROR(IF(INDEX(Config!$D$9:$D$29,MATCH($B1855,Config!$B$9:$B$29,0))="Contrato",IF(INDEX(Config!$E$9:$E$29,MATCH($B1855,Config!$B$9:$B$29,0))="","",INDEX(Config!$E$9:$E$29,MATCH($B1855,Config!$B$9:$B$29,0))),""),""))</f>
        <v/>
      </c>
      <c r="AI1855" s="19" t="str">
        <f>IF($B1855="","",IFERROR(INDEX(Config!$D$9:$D$29,MATCH($B1855,Config!$B$9:$B$29,0))&amp;"",""))</f>
        <v/>
      </c>
    </row>
    <row r="1856">
      <c r="X1856" s="20" t="str">
        <f>IF($B1856="","",IFERROR(IF(INDEX(Config!$D$9:$D$29,MATCH($B1856,Config!$B$9:$B$29,0))="Contrato",IF(INDEX(Config!$E$9:$E$29,MATCH($B1856,Config!$B$9:$B$29,0))="","",INDEX(Config!$E$9:$E$29,MATCH($B1856,Config!$B$9:$B$29,0))),""),""))</f>
        <v/>
      </c>
      <c r="AI1856" s="19" t="str">
        <f>IF($B1856="","",IFERROR(INDEX(Config!$D$9:$D$29,MATCH($B1856,Config!$B$9:$B$29,0))&amp;"",""))</f>
        <v/>
      </c>
    </row>
    <row r="1857">
      <c r="X1857" s="20" t="str">
        <f>IF($B1857="","",IFERROR(IF(INDEX(Config!$D$9:$D$29,MATCH($B1857,Config!$B$9:$B$29,0))="Contrato",IF(INDEX(Config!$E$9:$E$29,MATCH($B1857,Config!$B$9:$B$29,0))="","",INDEX(Config!$E$9:$E$29,MATCH($B1857,Config!$B$9:$B$29,0))),""),""))</f>
        <v/>
      </c>
      <c r="AI1857" s="19" t="str">
        <f>IF($B1857="","",IFERROR(INDEX(Config!$D$9:$D$29,MATCH($B1857,Config!$B$9:$B$29,0))&amp;"",""))</f>
        <v/>
      </c>
    </row>
    <row r="1858">
      <c r="X1858" s="20" t="str">
        <f>IF($B1858="","",IFERROR(IF(INDEX(Config!$D$9:$D$29,MATCH($B1858,Config!$B$9:$B$29,0))="Contrato",IF(INDEX(Config!$E$9:$E$29,MATCH($B1858,Config!$B$9:$B$29,0))="","",INDEX(Config!$E$9:$E$29,MATCH($B1858,Config!$B$9:$B$29,0))),""),""))</f>
        <v/>
      </c>
      <c r="AI1858" s="19" t="str">
        <f>IF($B1858="","",IFERROR(INDEX(Config!$D$9:$D$29,MATCH($B1858,Config!$B$9:$B$29,0))&amp;"",""))</f>
        <v/>
      </c>
    </row>
    <row r="1859">
      <c r="X1859" s="20" t="str">
        <f>IF($B1859="","",IFERROR(IF(INDEX(Config!$D$9:$D$29,MATCH($B1859,Config!$B$9:$B$29,0))="Contrato",IF(INDEX(Config!$E$9:$E$29,MATCH($B1859,Config!$B$9:$B$29,0))="","",INDEX(Config!$E$9:$E$29,MATCH($B1859,Config!$B$9:$B$29,0))),""),""))</f>
        <v/>
      </c>
      <c r="AI1859" s="19" t="str">
        <f>IF($B1859="","",IFERROR(INDEX(Config!$D$9:$D$29,MATCH($B1859,Config!$B$9:$B$29,0))&amp;"",""))</f>
        <v/>
      </c>
    </row>
    <row r="1860">
      <c r="X1860" s="20" t="str">
        <f>IF($B1860="","",IFERROR(IF(INDEX(Config!$D$9:$D$29,MATCH($B1860,Config!$B$9:$B$29,0))="Contrato",IF(INDEX(Config!$E$9:$E$29,MATCH($B1860,Config!$B$9:$B$29,0))="","",INDEX(Config!$E$9:$E$29,MATCH($B1860,Config!$B$9:$B$29,0))),""),""))</f>
        <v/>
      </c>
      <c r="AI1860" s="19" t="str">
        <f>IF($B1860="","",IFERROR(INDEX(Config!$D$9:$D$29,MATCH($B1860,Config!$B$9:$B$29,0))&amp;"",""))</f>
        <v/>
      </c>
    </row>
    <row r="1861">
      <c r="X1861" s="20" t="str">
        <f>IF($B1861="","",IFERROR(IF(INDEX(Config!$D$9:$D$29,MATCH($B1861,Config!$B$9:$B$29,0))="Contrato",IF(INDEX(Config!$E$9:$E$29,MATCH($B1861,Config!$B$9:$B$29,0))="","",INDEX(Config!$E$9:$E$29,MATCH($B1861,Config!$B$9:$B$29,0))),""),""))</f>
        <v/>
      </c>
      <c r="AI1861" s="19" t="str">
        <f>IF($B1861="","",IFERROR(INDEX(Config!$D$9:$D$29,MATCH($B1861,Config!$B$9:$B$29,0))&amp;"",""))</f>
        <v/>
      </c>
    </row>
    <row r="1862">
      <c r="X1862" s="20" t="str">
        <f>IF($B1862="","",IFERROR(IF(INDEX(Config!$D$9:$D$29,MATCH($B1862,Config!$B$9:$B$29,0))="Contrato",IF(INDEX(Config!$E$9:$E$29,MATCH($B1862,Config!$B$9:$B$29,0))="","",INDEX(Config!$E$9:$E$29,MATCH($B1862,Config!$B$9:$B$29,0))),""),""))</f>
        <v/>
      </c>
      <c r="AI1862" s="19" t="str">
        <f>IF($B1862="","",IFERROR(INDEX(Config!$D$9:$D$29,MATCH($B1862,Config!$B$9:$B$29,0))&amp;"",""))</f>
        <v/>
      </c>
    </row>
    <row r="1863">
      <c r="X1863" s="20" t="str">
        <f>IF($B1863="","",IFERROR(IF(INDEX(Config!$D$9:$D$29,MATCH($B1863,Config!$B$9:$B$29,0))="Contrato",IF(INDEX(Config!$E$9:$E$29,MATCH($B1863,Config!$B$9:$B$29,0))="","",INDEX(Config!$E$9:$E$29,MATCH($B1863,Config!$B$9:$B$29,0))),""),""))</f>
        <v/>
      </c>
      <c r="AI1863" s="19" t="str">
        <f>IF($B1863="","",IFERROR(INDEX(Config!$D$9:$D$29,MATCH($B1863,Config!$B$9:$B$29,0))&amp;"",""))</f>
        <v/>
      </c>
    </row>
    <row r="1864">
      <c r="X1864" s="20" t="str">
        <f>IF($B1864="","",IFERROR(IF(INDEX(Config!$D$9:$D$29,MATCH($B1864,Config!$B$9:$B$29,0))="Contrato",IF(INDEX(Config!$E$9:$E$29,MATCH($B1864,Config!$B$9:$B$29,0))="","",INDEX(Config!$E$9:$E$29,MATCH($B1864,Config!$B$9:$B$29,0))),""),""))</f>
        <v/>
      </c>
      <c r="AI1864" s="19" t="str">
        <f>IF($B1864="","",IFERROR(INDEX(Config!$D$9:$D$29,MATCH($B1864,Config!$B$9:$B$29,0))&amp;"",""))</f>
        <v/>
      </c>
    </row>
    <row r="1865">
      <c r="X1865" s="20" t="str">
        <f>IF($B1865="","",IFERROR(IF(INDEX(Config!$D$9:$D$29,MATCH($B1865,Config!$B$9:$B$29,0))="Contrato",IF(INDEX(Config!$E$9:$E$29,MATCH($B1865,Config!$B$9:$B$29,0))="","",INDEX(Config!$E$9:$E$29,MATCH($B1865,Config!$B$9:$B$29,0))),""),""))</f>
        <v/>
      </c>
      <c r="AI1865" s="19" t="str">
        <f>IF($B1865="","",IFERROR(INDEX(Config!$D$9:$D$29,MATCH($B1865,Config!$B$9:$B$29,0))&amp;"",""))</f>
        <v/>
      </c>
    </row>
    <row r="1866">
      <c r="X1866" s="20" t="str">
        <f>IF($B1866="","",IFERROR(IF(INDEX(Config!$D$9:$D$29,MATCH($B1866,Config!$B$9:$B$29,0))="Contrato",IF(INDEX(Config!$E$9:$E$29,MATCH($B1866,Config!$B$9:$B$29,0))="","",INDEX(Config!$E$9:$E$29,MATCH($B1866,Config!$B$9:$B$29,0))),""),""))</f>
        <v/>
      </c>
      <c r="AI1866" s="19" t="str">
        <f>IF($B1866="","",IFERROR(INDEX(Config!$D$9:$D$29,MATCH($B1866,Config!$B$9:$B$29,0))&amp;"",""))</f>
        <v/>
      </c>
    </row>
    <row r="1867">
      <c r="X1867" s="20" t="str">
        <f>IF($B1867="","",IFERROR(IF(INDEX(Config!$D$9:$D$29,MATCH($B1867,Config!$B$9:$B$29,0))="Contrato",IF(INDEX(Config!$E$9:$E$29,MATCH($B1867,Config!$B$9:$B$29,0))="","",INDEX(Config!$E$9:$E$29,MATCH($B1867,Config!$B$9:$B$29,0))),""),""))</f>
        <v/>
      </c>
      <c r="AI1867" s="19" t="str">
        <f>IF($B1867="","",IFERROR(INDEX(Config!$D$9:$D$29,MATCH($B1867,Config!$B$9:$B$29,0))&amp;"",""))</f>
        <v/>
      </c>
    </row>
    <row r="1868">
      <c r="X1868" s="20" t="str">
        <f>IF($B1868="","",IFERROR(IF(INDEX(Config!$D$9:$D$29,MATCH($B1868,Config!$B$9:$B$29,0))="Contrato",IF(INDEX(Config!$E$9:$E$29,MATCH($B1868,Config!$B$9:$B$29,0))="","",INDEX(Config!$E$9:$E$29,MATCH($B1868,Config!$B$9:$B$29,0))),""),""))</f>
        <v/>
      </c>
      <c r="AI1868" s="19" t="str">
        <f>IF($B1868="","",IFERROR(INDEX(Config!$D$9:$D$29,MATCH($B1868,Config!$B$9:$B$29,0))&amp;"",""))</f>
        <v/>
      </c>
    </row>
    <row r="1869">
      <c r="X1869" s="20" t="str">
        <f>IF($B1869="","",IFERROR(IF(INDEX(Config!$D$9:$D$29,MATCH($B1869,Config!$B$9:$B$29,0))="Contrato",IF(INDEX(Config!$E$9:$E$29,MATCH($B1869,Config!$B$9:$B$29,0))="","",INDEX(Config!$E$9:$E$29,MATCH($B1869,Config!$B$9:$B$29,0))),""),""))</f>
        <v/>
      </c>
      <c r="AI1869" s="19" t="str">
        <f>IF($B1869="","",IFERROR(INDEX(Config!$D$9:$D$29,MATCH($B1869,Config!$B$9:$B$29,0))&amp;"",""))</f>
        <v/>
      </c>
    </row>
    <row r="1870">
      <c r="X1870" s="20" t="str">
        <f>IF($B1870="","",IFERROR(IF(INDEX(Config!$D$9:$D$29,MATCH($B1870,Config!$B$9:$B$29,0))="Contrato",IF(INDEX(Config!$E$9:$E$29,MATCH($B1870,Config!$B$9:$B$29,0))="","",INDEX(Config!$E$9:$E$29,MATCH($B1870,Config!$B$9:$B$29,0))),""),""))</f>
        <v/>
      </c>
      <c r="AI1870" s="19" t="str">
        <f>IF($B1870="","",IFERROR(INDEX(Config!$D$9:$D$29,MATCH($B1870,Config!$B$9:$B$29,0))&amp;"",""))</f>
        <v/>
      </c>
    </row>
    <row r="1871">
      <c r="X1871" s="20" t="str">
        <f>IF($B1871="","",IFERROR(IF(INDEX(Config!$D$9:$D$29,MATCH($B1871,Config!$B$9:$B$29,0))="Contrato",IF(INDEX(Config!$E$9:$E$29,MATCH($B1871,Config!$B$9:$B$29,0))="","",INDEX(Config!$E$9:$E$29,MATCH($B1871,Config!$B$9:$B$29,0))),""),""))</f>
        <v/>
      </c>
      <c r="AI1871" s="19" t="str">
        <f>IF($B1871="","",IFERROR(INDEX(Config!$D$9:$D$29,MATCH($B1871,Config!$B$9:$B$29,0))&amp;"",""))</f>
        <v/>
      </c>
    </row>
    <row r="1872">
      <c r="X1872" s="20" t="str">
        <f>IF($B1872="","",IFERROR(IF(INDEX(Config!$D$9:$D$29,MATCH($B1872,Config!$B$9:$B$29,0))="Contrato",IF(INDEX(Config!$E$9:$E$29,MATCH($B1872,Config!$B$9:$B$29,0))="","",INDEX(Config!$E$9:$E$29,MATCH($B1872,Config!$B$9:$B$29,0))),""),""))</f>
        <v/>
      </c>
      <c r="AI1872" s="19" t="str">
        <f>IF($B1872="","",IFERROR(INDEX(Config!$D$9:$D$29,MATCH($B1872,Config!$B$9:$B$29,0))&amp;"",""))</f>
        <v/>
      </c>
    </row>
    <row r="1873">
      <c r="X1873" s="20" t="str">
        <f>IF($B1873="","",IFERROR(IF(INDEX(Config!$D$9:$D$29,MATCH($B1873,Config!$B$9:$B$29,0))="Contrato",IF(INDEX(Config!$E$9:$E$29,MATCH($B1873,Config!$B$9:$B$29,0))="","",INDEX(Config!$E$9:$E$29,MATCH($B1873,Config!$B$9:$B$29,0))),""),""))</f>
        <v/>
      </c>
      <c r="AI1873" s="19" t="str">
        <f>IF($B1873="","",IFERROR(INDEX(Config!$D$9:$D$29,MATCH($B1873,Config!$B$9:$B$29,0))&amp;"",""))</f>
        <v/>
      </c>
    </row>
    <row r="1874">
      <c r="X1874" s="20" t="str">
        <f>IF($B1874="","",IFERROR(IF(INDEX(Config!$D$9:$D$29,MATCH($B1874,Config!$B$9:$B$29,0))="Contrato",IF(INDEX(Config!$E$9:$E$29,MATCH($B1874,Config!$B$9:$B$29,0))="","",INDEX(Config!$E$9:$E$29,MATCH($B1874,Config!$B$9:$B$29,0))),""),""))</f>
        <v/>
      </c>
      <c r="AI1874" s="19" t="str">
        <f>IF($B1874="","",IFERROR(INDEX(Config!$D$9:$D$29,MATCH($B1874,Config!$B$9:$B$29,0))&amp;"",""))</f>
        <v/>
      </c>
    </row>
    <row r="1875">
      <c r="X1875" s="20" t="str">
        <f>IF($B1875="","",IFERROR(IF(INDEX(Config!$D$9:$D$29,MATCH($B1875,Config!$B$9:$B$29,0))="Contrato",IF(INDEX(Config!$E$9:$E$29,MATCH($B1875,Config!$B$9:$B$29,0))="","",INDEX(Config!$E$9:$E$29,MATCH($B1875,Config!$B$9:$B$29,0))),""),""))</f>
        <v/>
      </c>
      <c r="AI1875" s="19" t="str">
        <f>IF($B1875="","",IFERROR(INDEX(Config!$D$9:$D$29,MATCH($B1875,Config!$B$9:$B$29,0))&amp;"",""))</f>
        <v/>
      </c>
    </row>
    <row r="1876">
      <c r="X1876" s="20" t="str">
        <f>IF($B1876="","",IFERROR(IF(INDEX(Config!$D$9:$D$29,MATCH($B1876,Config!$B$9:$B$29,0))="Contrato",IF(INDEX(Config!$E$9:$E$29,MATCH($B1876,Config!$B$9:$B$29,0))="","",INDEX(Config!$E$9:$E$29,MATCH($B1876,Config!$B$9:$B$29,0))),""),""))</f>
        <v/>
      </c>
      <c r="AI1876" s="19" t="str">
        <f>IF($B1876="","",IFERROR(INDEX(Config!$D$9:$D$29,MATCH($B1876,Config!$B$9:$B$29,0))&amp;"",""))</f>
        <v/>
      </c>
    </row>
    <row r="1877">
      <c r="X1877" s="20" t="str">
        <f>IF($B1877="","",IFERROR(IF(INDEX(Config!$D$9:$D$29,MATCH($B1877,Config!$B$9:$B$29,0))="Contrato",IF(INDEX(Config!$E$9:$E$29,MATCH($B1877,Config!$B$9:$B$29,0))="","",INDEX(Config!$E$9:$E$29,MATCH($B1877,Config!$B$9:$B$29,0))),""),""))</f>
        <v/>
      </c>
      <c r="AI1877" s="19" t="str">
        <f>IF($B1877="","",IFERROR(INDEX(Config!$D$9:$D$29,MATCH($B1877,Config!$B$9:$B$29,0))&amp;"",""))</f>
        <v/>
      </c>
    </row>
    <row r="1878">
      <c r="X1878" s="20" t="str">
        <f>IF($B1878="","",IFERROR(IF(INDEX(Config!$D$9:$D$29,MATCH($B1878,Config!$B$9:$B$29,0))="Contrato",IF(INDEX(Config!$E$9:$E$29,MATCH($B1878,Config!$B$9:$B$29,0))="","",INDEX(Config!$E$9:$E$29,MATCH($B1878,Config!$B$9:$B$29,0))),""),""))</f>
        <v/>
      </c>
      <c r="AI1878" s="19" t="str">
        <f>IF($B1878="","",IFERROR(INDEX(Config!$D$9:$D$29,MATCH($B1878,Config!$B$9:$B$29,0))&amp;"",""))</f>
        <v/>
      </c>
    </row>
    <row r="1879">
      <c r="X1879" s="20" t="str">
        <f>IF($B1879="","",IFERROR(IF(INDEX(Config!$D$9:$D$29,MATCH($B1879,Config!$B$9:$B$29,0))="Contrato",IF(INDEX(Config!$E$9:$E$29,MATCH($B1879,Config!$B$9:$B$29,0))="","",INDEX(Config!$E$9:$E$29,MATCH($B1879,Config!$B$9:$B$29,0))),""),""))</f>
        <v/>
      </c>
      <c r="AI1879" s="19" t="str">
        <f>IF($B1879="","",IFERROR(INDEX(Config!$D$9:$D$29,MATCH($B1879,Config!$B$9:$B$29,0))&amp;"",""))</f>
        <v/>
      </c>
    </row>
    <row r="1880">
      <c r="X1880" s="20" t="str">
        <f>IF($B1880="","",IFERROR(IF(INDEX(Config!$D$9:$D$29,MATCH($B1880,Config!$B$9:$B$29,0))="Contrato",IF(INDEX(Config!$E$9:$E$29,MATCH($B1880,Config!$B$9:$B$29,0))="","",INDEX(Config!$E$9:$E$29,MATCH($B1880,Config!$B$9:$B$29,0))),""),""))</f>
        <v/>
      </c>
      <c r="AI1880" s="19" t="str">
        <f>IF($B1880="","",IFERROR(INDEX(Config!$D$9:$D$29,MATCH($B1880,Config!$B$9:$B$29,0))&amp;"",""))</f>
        <v/>
      </c>
    </row>
    <row r="1881">
      <c r="X1881" s="20" t="str">
        <f>IF($B1881="","",IFERROR(IF(INDEX(Config!$D$9:$D$29,MATCH($B1881,Config!$B$9:$B$29,0))="Contrato",IF(INDEX(Config!$E$9:$E$29,MATCH($B1881,Config!$B$9:$B$29,0))="","",INDEX(Config!$E$9:$E$29,MATCH($B1881,Config!$B$9:$B$29,0))),""),""))</f>
        <v/>
      </c>
      <c r="AI1881" s="19" t="str">
        <f>IF($B1881="","",IFERROR(INDEX(Config!$D$9:$D$29,MATCH($B1881,Config!$B$9:$B$29,0))&amp;"",""))</f>
        <v/>
      </c>
    </row>
    <row r="1882">
      <c r="X1882" s="20" t="str">
        <f>IF($B1882="","",IFERROR(IF(INDEX(Config!$D$9:$D$29,MATCH($B1882,Config!$B$9:$B$29,0))="Contrato",IF(INDEX(Config!$E$9:$E$29,MATCH($B1882,Config!$B$9:$B$29,0))="","",INDEX(Config!$E$9:$E$29,MATCH($B1882,Config!$B$9:$B$29,0))),""),""))</f>
        <v/>
      </c>
      <c r="AI1882" s="19" t="str">
        <f>IF($B1882="","",IFERROR(INDEX(Config!$D$9:$D$29,MATCH($B1882,Config!$B$9:$B$29,0))&amp;"",""))</f>
        <v/>
      </c>
    </row>
    <row r="1883">
      <c r="X1883" s="20" t="str">
        <f>IF($B1883="","",IFERROR(IF(INDEX(Config!$D$9:$D$29,MATCH($B1883,Config!$B$9:$B$29,0))="Contrato",IF(INDEX(Config!$E$9:$E$29,MATCH($B1883,Config!$B$9:$B$29,0))="","",INDEX(Config!$E$9:$E$29,MATCH($B1883,Config!$B$9:$B$29,0))),""),""))</f>
        <v/>
      </c>
      <c r="AI1883" s="19" t="str">
        <f>IF($B1883="","",IFERROR(INDEX(Config!$D$9:$D$29,MATCH($B1883,Config!$B$9:$B$29,0))&amp;"",""))</f>
        <v/>
      </c>
    </row>
    <row r="1884">
      <c r="X1884" s="20" t="str">
        <f>IF($B1884="","",IFERROR(IF(INDEX(Config!$D$9:$D$29,MATCH($B1884,Config!$B$9:$B$29,0))="Contrato",IF(INDEX(Config!$E$9:$E$29,MATCH($B1884,Config!$B$9:$B$29,0))="","",INDEX(Config!$E$9:$E$29,MATCH($B1884,Config!$B$9:$B$29,0))),""),""))</f>
        <v/>
      </c>
      <c r="AI1884" s="19" t="str">
        <f>IF($B1884="","",IFERROR(INDEX(Config!$D$9:$D$29,MATCH($B1884,Config!$B$9:$B$29,0))&amp;"",""))</f>
        <v/>
      </c>
    </row>
    <row r="1885">
      <c r="X1885" s="20" t="str">
        <f>IF($B1885="","",IFERROR(IF(INDEX(Config!$D$9:$D$29,MATCH($B1885,Config!$B$9:$B$29,0))="Contrato",IF(INDEX(Config!$E$9:$E$29,MATCH($B1885,Config!$B$9:$B$29,0))="","",INDEX(Config!$E$9:$E$29,MATCH($B1885,Config!$B$9:$B$29,0))),""),""))</f>
        <v/>
      </c>
      <c r="AI1885" s="19" t="str">
        <f>IF($B1885="","",IFERROR(INDEX(Config!$D$9:$D$29,MATCH($B1885,Config!$B$9:$B$29,0))&amp;"",""))</f>
        <v/>
      </c>
    </row>
    <row r="1886">
      <c r="X1886" s="20" t="str">
        <f>IF($B1886="","",IFERROR(IF(INDEX(Config!$D$9:$D$29,MATCH($B1886,Config!$B$9:$B$29,0))="Contrato",IF(INDEX(Config!$E$9:$E$29,MATCH($B1886,Config!$B$9:$B$29,0))="","",INDEX(Config!$E$9:$E$29,MATCH($B1886,Config!$B$9:$B$29,0))),""),""))</f>
        <v/>
      </c>
      <c r="AI1886" s="19" t="str">
        <f>IF($B1886="","",IFERROR(INDEX(Config!$D$9:$D$29,MATCH($B1886,Config!$B$9:$B$29,0))&amp;"",""))</f>
        <v/>
      </c>
    </row>
    <row r="1887">
      <c r="X1887" s="20" t="str">
        <f>IF($B1887="","",IFERROR(IF(INDEX(Config!$D$9:$D$29,MATCH($B1887,Config!$B$9:$B$29,0))="Contrato",IF(INDEX(Config!$E$9:$E$29,MATCH($B1887,Config!$B$9:$B$29,0))="","",INDEX(Config!$E$9:$E$29,MATCH($B1887,Config!$B$9:$B$29,0))),""),""))</f>
        <v/>
      </c>
      <c r="AI1887" s="19" t="str">
        <f>IF($B1887="","",IFERROR(INDEX(Config!$D$9:$D$29,MATCH($B1887,Config!$B$9:$B$29,0))&amp;"",""))</f>
        <v/>
      </c>
    </row>
    <row r="1888">
      <c r="X1888" s="20" t="str">
        <f>IF($B1888="","",IFERROR(IF(INDEX(Config!$D$9:$D$29,MATCH($B1888,Config!$B$9:$B$29,0))="Contrato",IF(INDEX(Config!$E$9:$E$29,MATCH($B1888,Config!$B$9:$B$29,0))="","",INDEX(Config!$E$9:$E$29,MATCH($B1888,Config!$B$9:$B$29,0))),""),""))</f>
        <v/>
      </c>
      <c r="AI1888" s="19" t="str">
        <f>IF($B1888="","",IFERROR(INDEX(Config!$D$9:$D$29,MATCH($B1888,Config!$B$9:$B$29,0))&amp;"",""))</f>
        <v/>
      </c>
    </row>
    <row r="1889">
      <c r="X1889" s="20" t="str">
        <f>IF($B1889="","",IFERROR(IF(INDEX(Config!$D$9:$D$29,MATCH($B1889,Config!$B$9:$B$29,0))="Contrato",IF(INDEX(Config!$E$9:$E$29,MATCH($B1889,Config!$B$9:$B$29,0))="","",INDEX(Config!$E$9:$E$29,MATCH($B1889,Config!$B$9:$B$29,0))),""),""))</f>
        <v/>
      </c>
      <c r="AI1889" s="19" t="str">
        <f>IF($B1889="","",IFERROR(INDEX(Config!$D$9:$D$29,MATCH($B1889,Config!$B$9:$B$29,0))&amp;"",""))</f>
        <v/>
      </c>
    </row>
    <row r="1890">
      <c r="X1890" s="20" t="str">
        <f>IF($B1890="","",IFERROR(IF(INDEX(Config!$D$9:$D$29,MATCH($B1890,Config!$B$9:$B$29,0))="Contrato",IF(INDEX(Config!$E$9:$E$29,MATCH($B1890,Config!$B$9:$B$29,0))="","",INDEX(Config!$E$9:$E$29,MATCH($B1890,Config!$B$9:$B$29,0))),""),""))</f>
        <v/>
      </c>
      <c r="AI1890" s="19" t="str">
        <f>IF($B1890="","",IFERROR(INDEX(Config!$D$9:$D$29,MATCH($B1890,Config!$B$9:$B$29,0))&amp;"",""))</f>
        <v/>
      </c>
    </row>
    <row r="1891">
      <c r="X1891" s="20" t="str">
        <f>IF($B1891="","",IFERROR(IF(INDEX(Config!$D$9:$D$29,MATCH($B1891,Config!$B$9:$B$29,0))="Contrato",IF(INDEX(Config!$E$9:$E$29,MATCH($B1891,Config!$B$9:$B$29,0))="","",INDEX(Config!$E$9:$E$29,MATCH($B1891,Config!$B$9:$B$29,0))),""),""))</f>
        <v/>
      </c>
      <c r="AI1891" s="19" t="str">
        <f>IF($B1891="","",IFERROR(INDEX(Config!$D$9:$D$29,MATCH($B1891,Config!$B$9:$B$29,0))&amp;"",""))</f>
        <v/>
      </c>
    </row>
    <row r="1892">
      <c r="X1892" s="20" t="str">
        <f>IF($B1892="","",IFERROR(IF(INDEX(Config!$D$9:$D$29,MATCH($B1892,Config!$B$9:$B$29,0))="Contrato",IF(INDEX(Config!$E$9:$E$29,MATCH($B1892,Config!$B$9:$B$29,0))="","",INDEX(Config!$E$9:$E$29,MATCH($B1892,Config!$B$9:$B$29,0))),""),""))</f>
        <v/>
      </c>
      <c r="AI1892" s="19" t="str">
        <f>IF($B1892="","",IFERROR(INDEX(Config!$D$9:$D$29,MATCH($B1892,Config!$B$9:$B$29,0))&amp;"",""))</f>
        <v/>
      </c>
    </row>
    <row r="1893">
      <c r="X1893" s="20" t="str">
        <f>IF($B1893="","",IFERROR(IF(INDEX(Config!$D$9:$D$29,MATCH($B1893,Config!$B$9:$B$29,0))="Contrato",IF(INDEX(Config!$E$9:$E$29,MATCH($B1893,Config!$B$9:$B$29,0))="","",INDEX(Config!$E$9:$E$29,MATCH($B1893,Config!$B$9:$B$29,0))),""),""))</f>
        <v/>
      </c>
      <c r="AI1893" s="19" t="str">
        <f>IF($B1893="","",IFERROR(INDEX(Config!$D$9:$D$29,MATCH($B1893,Config!$B$9:$B$29,0))&amp;"",""))</f>
        <v/>
      </c>
    </row>
    <row r="1894">
      <c r="X1894" s="20" t="str">
        <f>IF($B1894="","",IFERROR(IF(INDEX(Config!$D$9:$D$29,MATCH($B1894,Config!$B$9:$B$29,0))="Contrato",IF(INDEX(Config!$E$9:$E$29,MATCH($B1894,Config!$B$9:$B$29,0))="","",INDEX(Config!$E$9:$E$29,MATCH($B1894,Config!$B$9:$B$29,0))),""),""))</f>
        <v/>
      </c>
      <c r="AI1894" s="19" t="str">
        <f>IF($B1894="","",IFERROR(INDEX(Config!$D$9:$D$29,MATCH($B1894,Config!$B$9:$B$29,0))&amp;"",""))</f>
        <v/>
      </c>
    </row>
    <row r="1895">
      <c r="X1895" s="20" t="str">
        <f>IF($B1895="","",IFERROR(IF(INDEX(Config!$D$9:$D$29,MATCH($B1895,Config!$B$9:$B$29,0))="Contrato",IF(INDEX(Config!$E$9:$E$29,MATCH($B1895,Config!$B$9:$B$29,0))="","",INDEX(Config!$E$9:$E$29,MATCH($B1895,Config!$B$9:$B$29,0))),""),""))</f>
        <v/>
      </c>
      <c r="AI1895" s="19" t="str">
        <f>IF($B1895="","",IFERROR(INDEX(Config!$D$9:$D$29,MATCH($B1895,Config!$B$9:$B$29,0))&amp;"",""))</f>
        <v/>
      </c>
    </row>
    <row r="1896">
      <c r="X1896" s="20" t="str">
        <f>IF($B1896="","",IFERROR(IF(INDEX(Config!$D$9:$D$29,MATCH($B1896,Config!$B$9:$B$29,0))="Contrato",IF(INDEX(Config!$E$9:$E$29,MATCH($B1896,Config!$B$9:$B$29,0))="","",INDEX(Config!$E$9:$E$29,MATCH($B1896,Config!$B$9:$B$29,0))),""),""))</f>
        <v/>
      </c>
      <c r="AI1896" s="19" t="str">
        <f>IF($B1896="","",IFERROR(INDEX(Config!$D$9:$D$29,MATCH($B1896,Config!$B$9:$B$29,0))&amp;"",""))</f>
        <v/>
      </c>
    </row>
    <row r="1897">
      <c r="X1897" s="20" t="str">
        <f>IF($B1897="","",IFERROR(IF(INDEX(Config!$D$9:$D$29,MATCH($B1897,Config!$B$9:$B$29,0))="Contrato",IF(INDEX(Config!$E$9:$E$29,MATCH($B1897,Config!$B$9:$B$29,0))="","",INDEX(Config!$E$9:$E$29,MATCH($B1897,Config!$B$9:$B$29,0))),""),""))</f>
        <v/>
      </c>
      <c r="AI1897" s="19" t="str">
        <f>IF($B1897="","",IFERROR(INDEX(Config!$D$9:$D$29,MATCH($B1897,Config!$B$9:$B$29,0))&amp;"",""))</f>
        <v/>
      </c>
    </row>
    <row r="1898">
      <c r="X1898" s="20" t="str">
        <f>IF($B1898="","",IFERROR(IF(INDEX(Config!$D$9:$D$29,MATCH($B1898,Config!$B$9:$B$29,0))="Contrato",IF(INDEX(Config!$E$9:$E$29,MATCH($B1898,Config!$B$9:$B$29,0))="","",INDEX(Config!$E$9:$E$29,MATCH($B1898,Config!$B$9:$B$29,0))),""),""))</f>
        <v/>
      </c>
      <c r="AI1898" s="19" t="str">
        <f>IF($B1898="","",IFERROR(INDEX(Config!$D$9:$D$29,MATCH($B1898,Config!$B$9:$B$29,0))&amp;"",""))</f>
        <v/>
      </c>
    </row>
    <row r="1899">
      <c r="X1899" s="20" t="str">
        <f>IF($B1899="","",IFERROR(IF(INDEX(Config!$D$9:$D$29,MATCH($B1899,Config!$B$9:$B$29,0))="Contrato",IF(INDEX(Config!$E$9:$E$29,MATCH($B1899,Config!$B$9:$B$29,0))="","",INDEX(Config!$E$9:$E$29,MATCH($B1899,Config!$B$9:$B$29,0))),""),""))</f>
        <v/>
      </c>
      <c r="AI1899" s="19" t="str">
        <f>IF($B1899="","",IFERROR(INDEX(Config!$D$9:$D$29,MATCH($B1899,Config!$B$9:$B$29,0))&amp;"",""))</f>
        <v/>
      </c>
    </row>
    <row r="1900">
      <c r="X1900" s="20" t="str">
        <f>IF($B1900="","",IFERROR(IF(INDEX(Config!$D$9:$D$29,MATCH($B1900,Config!$B$9:$B$29,0))="Contrato",IF(INDEX(Config!$E$9:$E$29,MATCH($B1900,Config!$B$9:$B$29,0))="","",INDEX(Config!$E$9:$E$29,MATCH($B1900,Config!$B$9:$B$29,0))),""),""))</f>
        <v/>
      </c>
      <c r="AI1900" s="19" t="str">
        <f>IF($B1900="","",IFERROR(INDEX(Config!$D$9:$D$29,MATCH($B1900,Config!$B$9:$B$29,0))&amp;"",""))</f>
        <v/>
      </c>
    </row>
    <row r="1901">
      <c r="X1901" s="20" t="str">
        <f>IF($B1901="","",IFERROR(IF(INDEX(Config!$D$9:$D$29,MATCH($B1901,Config!$B$9:$B$29,0))="Contrato",IF(INDEX(Config!$E$9:$E$29,MATCH($B1901,Config!$B$9:$B$29,0))="","",INDEX(Config!$E$9:$E$29,MATCH($B1901,Config!$B$9:$B$29,0))),""),""))</f>
        <v/>
      </c>
      <c r="AI1901" s="19" t="str">
        <f>IF($B1901="","",IFERROR(INDEX(Config!$D$9:$D$29,MATCH($B1901,Config!$B$9:$B$29,0))&amp;"",""))</f>
        <v/>
      </c>
    </row>
    <row r="1902">
      <c r="X1902" s="20" t="str">
        <f>IF($B1902="","",IFERROR(IF(INDEX(Config!$D$9:$D$29,MATCH($B1902,Config!$B$9:$B$29,0))="Contrato",IF(INDEX(Config!$E$9:$E$29,MATCH($B1902,Config!$B$9:$B$29,0))="","",INDEX(Config!$E$9:$E$29,MATCH($B1902,Config!$B$9:$B$29,0))),""),""))</f>
        <v/>
      </c>
      <c r="AI1902" s="19" t="str">
        <f>IF($B1902="","",IFERROR(INDEX(Config!$D$9:$D$29,MATCH($B1902,Config!$B$9:$B$29,0))&amp;"",""))</f>
        <v/>
      </c>
    </row>
    <row r="1903">
      <c r="X1903" s="20" t="str">
        <f>IF($B1903="","",IFERROR(IF(INDEX(Config!$D$9:$D$29,MATCH($B1903,Config!$B$9:$B$29,0))="Contrato",IF(INDEX(Config!$E$9:$E$29,MATCH($B1903,Config!$B$9:$B$29,0))="","",INDEX(Config!$E$9:$E$29,MATCH($B1903,Config!$B$9:$B$29,0))),""),""))</f>
        <v/>
      </c>
      <c r="AI1903" s="19" t="str">
        <f>IF($B1903="","",IFERROR(INDEX(Config!$D$9:$D$29,MATCH($B1903,Config!$B$9:$B$29,0))&amp;"",""))</f>
        <v/>
      </c>
    </row>
    <row r="1904">
      <c r="X1904" s="20" t="str">
        <f>IF($B1904="","",IFERROR(IF(INDEX(Config!$D$9:$D$29,MATCH($B1904,Config!$B$9:$B$29,0))="Contrato",IF(INDEX(Config!$E$9:$E$29,MATCH($B1904,Config!$B$9:$B$29,0))="","",INDEX(Config!$E$9:$E$29,MATCH($B1904,Config!$B$9:$B$29,0))),""),""))</f>
        <v/>
      </c>
      <c r="AI1904" s="19" t="str">
        <f>IF($B1904="","",IFERROR(INDEX(Config!$D$9:$D$29,MATCH($B1904,Config!$B$9:$B$29,0))&amp;"",""))</f>
        <v/>
      </c>
    </row>
    <row r="1905">
      <c r="X1905" s="20" t="str">
        <f>IF($B1905="","",IFERROR(IF(INDEX(Config!$D$9:$D$29,MATCH($B1905,Config!$B$9:$B$29,0))="Contrato",IF(INDEX(Config!$E$9:$E$29,MATCH($B1905,Config!$B$9:$B$29,0))="","",INDEX(Config!$E$9:$E$29,MATCH($B1905,Config!$B$9:$B$29,0))),""),""))</f>
        <v/>
      </c>
      <c r="AI1905" s="19" t="str">
        <f>IF($B1905="","",IFERROR(INDEX(Config!$D$9:$D$29,MATCH($B1905,Config!$B$9:$B$29,0))&amp;"",""))</f>
        <v/>
      </c>
    </row>
    <row r="1906">
      <c r="X1906" s="20" t="str">
        <f>IF($B1906="","",IFERROR(IF(INDEX(Config!$D$9:$D$29,MATCH($B1906,Config!$B$9:$B$29,0))="Contrato",IF(INDEX(Config!$E$9:$E$29,MATCH($B1906,Config!$B$9:$B$29,0))="","",INDEX(Config!$E$9:$E$29,MATCH($B1906,Config!$B$9:$B$29,0))),""),""))</f>
        <v/>
      </c>
      <c r="AI1906" s="19" t="str">
        <f>IF($B1906="","",IFERROR(INDEX(Config!$D$9:$D$29,MATCH($B1906,Config!$B$9:$B$29,0))&amp;"",""))</f>
        <v/>
      </c>
    </row>
    <row r="1907">
      <c r="X1907" s="20" t="str">
        <f>IF($B1907="","",IFERROR(IF(INDEX(Config!$D$9:$D$29,MATCH($B1907,Config!$B$9:$B$29,0))="Contrato",IF(INDEX(Config!$E$9:$E$29,MATCH($B1907,Config!$B$9:$B$29,0))="","",INDEX(Config!$E$9:$E$29,MATCH($B1907,Config!$B$9:$B$29,0))),""),""))</f>
        <v/>
      </c>
      <c r="AI1907" s="19" t="str">
        <f>IF($B1907="","",IFERROR(INDEX(Config!$D$9:$D$29,MATCH($B1907,Config!$B$9:$B$29,0))&amp;"",""))</f>
        <v/>
      </c>
    </row>
    <row r="1908">
      <c r="X1908" s="20" t="str">
        <f>IF($B1908="","",IFERROR(IF(INDEX(Config!$D$9:$D$29,MATCH($B1908,Config!$B$9:$B$29,0))="Contrato",IF(INDEX(Config!$E$9:$E$29,MATCH($B1908,Config!$B$9:$B$29,0))="","",INDEX(Config!$E$9:$E$29,MATCH($B1908,Config!$B$9:$B$29,0))),""),""))</f>
        <v/>
      </c>
      <c r="AI1908" s="19" t="str">
        <f>IF($B1908="","",IFERROR(INDEX(Config!$D$9:$D$29,MATCH($B1908,Config!$B$9:$B$29,0))&amp;"",""))</f>
        <v/>
      </c>
    </row>
    <row r="1909">
      <c r="X1909" s="20" t="str">
        <f>IF($B1909="","",IFERROR(IF(INDEX(Config!$D$9:$D$29,MATCH($B1909,Config!$B$9:$B$29,0))="Contrato",IF(INDEX(Config!$E$9:$E$29,MATCH($B1909,Config!$B$9:$B$29,0))="","",INDEX(Config!$E$9:$E$29,MATCH($B1909,Config!$B$9:$B$29,0))),""),""))</f>
        <v/>
      </c>
      <c r="AI1909" s="19" t="str">
        <f>IF($B1909="","",IFERROR(INDEX(Config!$D$9:$D$29,MATCH($B1909,Config!$B$9:$B$29,0))&amp;"",""))</f>
        <v/>
      </c>
    </row>
    <row r="1910">
      <c r="X1910" s="20" t="str">
        <f>IF($B1910="","",IFERROR(IF(INDEX(Config!$D$9:$D$29,MATCH($B1910,Config!$B$9:$B$29,0))="Contrato",IF(INDEX(Config!$E$9:$E$29,MATCH($B1910,Config!$B$9:$B$29,0))="","",INDEX(Config!$E$9:$E$29,MATCH($B1910,Config!$B$9:$B$29,0))),""),""))</f>
        <v/>
      </c>
      <c r="AI1910" s="19" t="str">
        <f>IF($B1910="","",IFERROR(INDEX(Config!$D$9:$D$29,MATCH($B1910,Config!$B$9:$B$29,0))&amp;"",""))</f>
        <v/>
      </c>
    </row>
    <row r="1911">
      <c r="X1911" s="20" t="str">
        <f>IF($B1911="","",IFERROR(IF(INDEX(Config!$D$9:$D$29,MATCH($B1911,Config!$B$9:$B$29,0))="Contrato",IF(INDEX(Config!$E$9:$E$29,MATCH($B1911,Config!$B$9:$B$29,0))="","",INDEX(Config!$E$9:$E$29,MATCH($B1911,Config!$B$9:$B$29,0))),""),""))</f>
        <v/>
      </c>
      <c r="AI1911" s="19" t="str">
        <f>IF($B1911="","",IFERROR(INDEX(Config!$D$9:$D$29,MATCH($B1911,Config!$B$9:$B$29,0))&amp;"",""))</f>
        <v/>
      </c>
    </row>
    <row r="1912">
      <c r="X1912" s="20" t="str">
        <f>IF($B1912="","",IFERROR(IF(INDEX(Config!$D$9:$D$29,MATCH($B1912,Config!$B$9:$B$29,0))="Contrato",IF(INDEX(Config!$E$9:$E$29,MATCH($B1912,Config!$B$9:$B$29,0))="","",INDEX(Config!$E$9:$E$29,MATCH($B1912,Config!$B$9:$B$29,0))),""),""))</f>
        <v/>
      </c>
      <c r="AI1912" s="19" t="str">
        <f>IF($B1912="","",IFERROR(INDEX(Config!$D$9:$D$29,MATCH($B1912,Config!$B$9:$B$29,0))&amp;"",""))</f>
        <v/>
      </c>
    </row>
    <row r="1913">
      <c r="X1913" s="20" t="str">
        <f>IF($B1913="","",IFERROR(IF(INDEX(Config!$D$9:$D$29,MATCH($B1913,Config!$B$9:$B$29,0))="Contrato",IF(INDEX(Config!$E$9:$E$29,MATCH($B1913,Config!$B$9:$B$29,0))="","",INDEX(Config!$E$9:$E$29,MATCH($B1913,Config!$B$9:$B$29,0))),""),""))</f>
        <v/>
      </c>
      <c r="AI1913" s="19" t="str">
        <f>IF($B1913="","",IFERROR(INDEX(Config!$D$9:$D$29,MATCH($B1913,Config!$B$9:$B$29,0))&amp;"",""))</f>
        <v/>
      </c>
    </row>
    <row r="1914">
      <c r="X1914" s="20" t="str">
        <f>IF($B1914="","",IFERROR(IF(INDEX(Config!$D$9:$D$29,MATCH($B1914,Config!$B$9:$B$29,0))="Contrato",IF(INDEX(Config!$E$9:$E$29,MATCH($B1914,Config!$B$9:$B$29,0))="","",INDEX(Config!$E$9:$E$29,MATCH($B1914,Config!$B$9:$B$29,0))),""),""))</f>
        <v/>
      </c>
      <c r="AI1914" s="19" t="str">
        <f>IF($B1914="","",IFERROR(INDEX(Config!$D$9:$D$29,MATCH($B1914,Config!$B$9:$B$29,0))&amp;"",""))</f>
        <v/>
      </c>
    </row>
    <row r="1915">
      <c r="X1915" s="20" t="str">
        <f>IF($B1915="","",IFERROR(IF(INDEX(Config!$D$9:$D$29,MATCH($B1915,Config!$B$9:$B$29,0))="Contrato",IF(INDEX(Config!$E$9:$E$29,MATCH($B1915,Config!$B$9:$B$29,0))="","",INDEX(Config!$E$9:$E$29,MATCH($B1915,Config!$B$9:$B$29,0))),""),""))</f>
        <v/>
      </c>
      <c r="AI1915" s="19" t="str">
        <f>IF($B1915="","",IFERROR(INDEX(Config!$D$9:$D$29,MATCH($B1915,Config!$B$9:$B$29,0))&amp;"",""))</f>
        <v/>
      </c>
    </row>
    <row r="1916">
      <c r="X1916" s="20" t="str">
        <f>IF($B1916="","",IFERROR(IF(INDEX(Config!$D$9:$D$29,MATCH($B1916,Config!$B$9:$B$29,0))="Contrato",IF(INDEX(Config!$E$9:$E$29,MATCH($B1916,Config!$B$9:$B$29,0))="","",INDEX(Config!$E$9:$E$29,MATCH($B1916,Config!$B$9:$B$29,0))),""),""))</f>
        <v/>
      </c>
      <c r="AI1916" s="19" t="str">
        <f>IF($B1916="","",IFERROR(INDEX(Config!$D$9:$D$29,MATCH($B1916,Config!$B$9:$B$29,0))&amp;"",""))</f>
        <v/>
      </c>
    </row>
    <row r="1917">
      <c r="X1917" s="20" t="str">
        <f>IF($B1917="","",IFERROR(IF(INDEX(Config!$D$9:$D$29,MATCH($B1917,Config!$B$9:$B$29,0))="Contrato",IF(INDEX(Config!$E$9:$E$29,MATCH($B1917,Config!$B$9:$B$29,0))="","",INDEX(Config!$E$9:$E$29,MATCH($B1917,Config!$B$9:$B$29,0))),""),""))</f>
        <v/>
      </c>
      <c r="AI1917" s="19" t="str">
        <f>IF($B1917="","",IFERROR(INDEX(Config!$D$9:$D$29,MATCH($B1917,Config!$B$9:$B$29,0))&amp;"",""))</f>
        <v/>
      </c>
    </row>
    <row r="1918">
      <c r="X1918" s="20" t="str">
        <f>IF($B1918="","",IFERROR(IF(INDEX(Config!$D$9:$D$29,MATCH($B1918,Config!$B$9:$B$29,0))="Contrato",IF(INDEX(Config!$E$9:$E$29,MATCH($B1918,Config!$B$9:$B$29,0))="","",INDEX(Config!$E$9:$E$29,MATCH($B1918,Config!$B$9:$B$29,0))),""),""))</f>
        <v/>
      </c>
      <c r="AI1918" s="19" t="str">
        <f>IF($B1918="","",IFERROR(INDEX(Config!$D$9:$D$29,MATCH($B1918,Config!$B$9:$B$29,0))&amp;"",""))</f>
        <v/>
      </c>
    </row>
    <row r="1919">
      <c r="X1919" s="20" t="str">
        <f>IF($B1919="","",IFERROR(IF(INDEX(Config!$D$9:$D$29,MATCH($B1919,Config!$B$9:$B$29,0))="Contrato",IF(INDEX(Config!$E$9:$E$29,MATCH($B1919,Config!$B$9:$B$29,0))="","",INDEX(Config!$E$9:$E$29,MATCH($B1919,Config!$B$9:$B$29,0))),""),""))</f>
        <v/>
      </c>
      <c r="AI1919" s="19" t="str">
        <f>IF($B1919="","",IFERROR(INDEX(Config!$D$9:$D$29,MATCH($B1919,Config!$B$9:$B$29,0))&amp;"",""))</f>
        <v/>
      </c>
    </row>
    <row r="1920">
      <c r="X1920" s="20" t="str">
        <f>IF($B1920="","",IFERROR(IF(INDEX(Config!$D$9:$D$29,MATCH($B1920,Config!$B$9:$B$29,0))="Contrato",IF(INDEX(Config!$E$9:$E$29,MATCH($B1920,Config!$B$9:$B$29,0))="","",INDEX(Config!$E$9:$E$29,MATCH($B1920,Config!$B$9:$B$29,0))),""),""))</f>
        <v/>
      </c>
      <c r="AI1920" s="19" t="str">
        <f>IF($B1920="","",IFERROR(INDEX(Config!$D$9:$D$29,MATCH($B1920,Config!$B$9:$B$29,0))&amp;"",""))</f>
        <v/>
      </c>
    </row>
    <row r="1921">
      <c r="X1921" s="20" t="str">
        <f>IF($B1921="","",IFERROR(IF(INDEX(Config!$D$9:$D$29,MATCH($B1921,Config!$B$9:$B$29,0))="Contrato",IF(INDEX(Config!$E$9:$E$29,MATCH($B1921,Config!$B$9:$B$29,0))="","",INDEX(Config!$E$9:$E$29,MATCH($B1921,Config!$B$9:$B$29,0))),""),""))</f>
        <v/>
      </c>
      <c r="AI1921" s="19" t="str">
        <f>IF($B1921="","",IFERROR(INDEX(Config!$D$9:$D$29,MATCH($B1921,Config!$B$9:$B$29,0))&amp;"",""))</f>
        <v/>
      </c>
    </row>
    <row r="1922">
      <c r="X1922" s="20" t="str">
        <f>IF($B1922="","",IFERROR(IF(INDEX(Config!$D$9:$D$29,MATCH($B1922,Config!$B$9:$B$29,0))="Contrato",IF(INDEX(Config!$E$9:$E$29,MATCH($B1922,Config!$B$9:$B$29,0))="","",INDEX(Config!$E$9:$E$29,MATCH($B1922,Config!$B$9:$B$29,0))),""),""))</f>
        <v/>
      </c>
      <c r="AI1922" s="19" t="str">
        <f>IF($B1922="","",IFERROR(INDEX(Config!$D$9:$D$29,MATCH($B1922,Config!$B$9:$B$29,0))&amp;"",""))</f>
        <v/>
      </c>
    </row>
    <row r="1923">
      <c r="X1923" s="20" t="str">
        <f>IF($B1923="","",IFERROR(IF(INDEX(Config!$D$9:$D$29,MATCH($B1923,Config!$B$9:$B$29,0))="Contrato",IF(INDEX(Config!$E$9:$E$29,MATCH($B1923,Config!$B$9:$B$29,0))="","",INDEX(Config!$E$9:$E$29,MATCH($B1923,Config!$B$9:$B$29,0))),""),""))</f>
        <v/>
      </c>
      <c r="AI1923" s="19" t="str">
        <f>IF($B1923="","",IFERROR(INDEX(Config!$D$9:$D$29,MATCH($B1923,Config!$B$9:$B$29,0))&amp;"",""))</f>
        <v/>
      </c>
    </row>
    <row r="1924">
      <c r="X1924" s="20" t="str">
        <f>IF($B1924="","",IFERROR(IF(INDEX(Config!$D$9:$D$29,MATCH($B1924,Config!$B$9:$B$29,0))="Contrato",IF(INDEX(Config!$E$9:$E$29,MATCH($B1924,Config!$B$9:$B$29,0))="","",INDEX(Config!$E$9:$E$29,MATCH($B1924,Config!$B$9:$B$29,0))),""),""))</f>
        <v/>
      </c>
      <c r="AI1924" s="19" t="str">
        <f>IF($B1924="","",IFERROR(INDEX(Config!$D$9:$D$29,MATCH($B1924,Config!$B$9:$B$29,0))&amp;"",""))</f>
        <v/>
      </c>
    </row>
    <row r="1925">
      <c r="X1925" s="20" t="str">
        <f>IF($B1925="","",IFERROR(IF(INDEX(Config!$D$9:$D$29,MATCH($B1925,Config!$B$9:$B$29,0))="Contrato",IF(INDEX(Config!$E$9:$E$29,MATCH($B1925,Config!$B$9:$B$29,0))="","",INDEX(Config!$E$9:$E$29,MATCH($B1925,Config!$B$9:$B$29,0))),""),""))</f>
        <v/>
      </c>
      <c r="AI1925" s="19" t="str">
        <f>IF($B1925="","",IFERROR(INDEX(Config!$D$9:$D$29,MATCH($B1925,Config!$B$9:$B$29,0))&amp;"",""))</f>
        <v/>
      </c>
    </row>
    <row r="1926">
      <c r="X1926" s="20" t="str">
        <f>IF($B1926="","",IFERROR(IF(INDEX(Config!$D$9:$D$29,MATCH($B1926,Config!$B$9:$B$29,0))="Contrato",IF(INDEX(Config!$E$9:$E$29,MATCH($B1926,Config!$B$9:$B$29,0))="","",INDEX(Config!$E$9:$E$29,MATCH($B1926,Config!$B$9:$B$29,0))),""),""))</f>
        <v/>
      </c>
      <c r="AI1926" s="19" t="str">
        <f>IF($B1926="","",IFERROR(INDEX(Config!$D$9:$D$29,MATCH($B1926,Config!$B$9:$B$29,0))&amp;"",""))</f>
        <v/>
      </c>
    </row>
    <row r="1927">
      <c r="X1927" s="20" t="str">
        <f>IF($B1927="","",IFERROR(IF(INDEX(Config!$D$9:$D$29,MATCH($B1927,Config!$B$9:$B$29,0))="Contrato",IF(INDEX(Config!$E$9:$E$29,MATCH($B1927,Config!$B$9:$B$29,0))="","",INDEX(Config!$E$9:$E$29,MATCH($B1927,Config!$B$9:$B$29,0))),""),""))</f>
        <v/>
      </c>
      <c r="AI1927" s="19" t="str">
        <f>IF($B1927="","",IFERROR(INDEX(Config!$D$9:$D$29,MATCH($B1927,Config!$B$9:$B$29,0))&amp;"",""))</f>
        <v/>
      </c>
    </row>
    <row r="1928">
      <c r="X1928" s="20" t="str">
        <f>IF($B1928="","",IFERROR(IF(INDEX(Config!$D$9:$D$29,MATCH($B1928,Config!$B$9:$B$29,0))="Contrato",IF(INDEX(Config!$E$9:$E$29,MATCH($B1928,Config!$B$9:$B$29,0))="","",INDEX(Config!$E$9:$E$29,MATCH($B1928,Config!$B$9:$B$29,0))),""),""))</f>
        <v/>
      </c>
      <c r="AI1928" s="19" t="str">
        <f>IF($B1928="","",IFERROR(INDEX(Config!$D$9:$D$29,MATCH($B1928,Config!$B$9:$B$29,0))&amp;"",""))</f>
        <v/>
      </c>
    </row>
    <row r="1929">
      <c r="X1929" s="20" t="str">
        <f>IF($B1929="","",IFERROR(IF(INDEX(Config!$D$9:$D$29,MATCH($B1929,Config!$B$9:$B$29,0))="Contrato",IF(INDEX(Config!$E$9:$E$29,MATCH($B1929,Config!$B$9:$B$29,0))="","",INDEX(Config!$E$9:$E$29,MATCH($B1929,Config!$B$9:$B$29,0))),""),""))</f>
        <v/>
      </c>
      <c r="AI1929" s="19" t="str">
        <f>IF($B1929="","",IFERROR(INDEX(Config!$D$9:$D$29,MATCH($B1929,Config!$B$9:$B$29,0))&amp;"",""))</f>
        <v/>
      </c>
    </row>
    <row r="1930">
      <c r="X1930" s="20" t="str">
        <f>IF($B1930="","",IFERROR(IF(INDEX(Config!$D$9:$D$29,MATCH($B1930,Config!$B$9:$B$29,0))="Contrato",IF(INDEX(Config!$E$9:$E$29,MATCH($B1930,Config!$B$9:$B$29,0))="","",INDEX(Config!$E$9:$E$29,MATCH($B1930,Config!$B$9:$B$29,0))),""),""))</f>
        <v/>
      </c>
      <c r="AI1930" s="19" t="str">
        <f>IF($B1930="","",IFERROR(INDEX(Config!$D$9:$D$29,MATCH($B1930,Config!$B$9:$B$29,0))&amp;"",""))</f>
        <v/>
      </c>
    </row>
    <row r="1931">
      <c r="X1931" s="20" t="str">
        <f>IF($B1931="","",IFERROR(IF(INDEX(Config!$D$9:$D$29,MATCH($B1931,Config!$B$9:$B$29,0))="Contrato",IF(INDEX(Config!$E$9:$E$29,MATCH($B1931,Config!$B$9:$B$29,0))="","",INDEX(Config!$E$9:$E$29,MATCH($B1931,Config!$B$9:$B$29,0))),""),""))</f>
        <v/>
      </c>
      <c r="AI1931" s="19" t="str">
        <f>IF($B1931="","",IFERROR(INDEX(Config!$D$9:$D$29,MATCH($B1931,Config!$B$9:$B$29,0))&amp;"",""))</f>
        <v/>
      </c>
    </row>
    <row r="1932">
      <c r="X1932" s="20" t="str">
        <f>IF($B1932="","",IFERROR(IF(INDEX(Config!$D$9:$D$29,MATCH($B1932,Config!$B$9:$B$29,0))="Contrato",IF(INDEX(Config!$E$9:$E$29,MATCH($B1932,Config!$B$9:$B$29,0))="","",INDEX(Config!$E$9:$E$29,MATCH($B1932,Config!$B$9:$B$29,0))),""),""))</f>
        <v/>
      </c>
      <c r="AI1932" s="19" t="str">
        <f>IF($B1932="","",IFERROR(INDEX(Config!$D$9:$D$29,MATCH($B1932,Config!$B$9:$B$29,0))&amp;"",""))</f>
        <v/>
      </c>
    </row>
    <row r="1933">
      <c r="X1933" s="20" t="str">
        <f>IF($B1933="","",IFERROR(IF(INDEX(Config!$D$9:$D$29,MATCH($B1933,Config!$B$9:$B$29,0))="Contrato",IF(INDEX(Config!$E$9:$E$29,MATCH($B1933,Config!$B$9:$B$29,0))="","",INDEX(Config!$E$9:$E$29,MATCH($B1933,Config!$B$9:$B$29,0))),""),""))</f>
        <v/>
      </c>
      <c r="AI1933" s="19" t="str">
        <f>IF($B1933="","",IFERROR(INDEX(Config!$D$9:$D$29,MATCH($B1933,Config!$B$9:$B$29,0))&amp;"",""))</f>
        <v/>
      </c>
    </row>
    <row r="1934">
      <c r="X1934" s="20" t="str">
        <f>IF($B1934="","",IFERROR(IF(INDEX(Config!$D$9:$D$29,MATCH($B1934,Config!$B$9:$B$29,0))="Contrato",IF(INDEX(Config!$E$9:$E$29,MATCH($B1934,Config!$B$9:$B$29,0))="","",INDEX(Config!$E$9:$E$29,MATCH($B1934,Config!$B$9:$B$29,0))),""),""))</f>
        <v/>
      </c>
      <c r="AI1934" s="19" t="str">
        <f>IF($B1934="","",IFERROR(INDEX(Config!$D$9:$D$29,MATCH($B1934,Config!$B$9:$B$29,0))&amp;"",""))</f>
        <v/>
      </c>
    </row>
    <row r="1935">
      <c r="X1935" s="20" t="str">
        <f>IF($B1935="","",IFERROR(IF(INDEX(Config!$D$9:$D$29,MATCH($B1935,Config!$B$9:$B$29,0))="Contrato",IF(INDEX(Config!$E$9:$E$29,MATCH($B1935,Config!$B$9:$B$29,0))="","",INDEX(Config!$E$9:$E$29,MATCH($B1935,Config!$B$9:$B$29,0))),""),""))</f>
        <v/>
      </c>
      <c r="AI1935" s="19" t="str">
        <f>IF($B1935="","",IFERROR(INDEX(Config!$D$9:$D$29,MATCH($B1935,Config!$B$9:$B$29,0))&amp;"",""))</f>
        <v/>
      </c>
    </row>
    <row r="1936">
      <c r="X1936" s="20" t="str">
        <f>IF($B1936="","",IFERROR(IF(INDEX(Config!$D$9:$D$29,MATCH($B1936,Config!$B$9:$B$29,0))="Contrato",IF(INDEX(Config!$E$9:$E$29,MATCH($B1936,Config!$B$9:$B$29,0))="","",INDEX(Config!$E$9:$E$29,MATCH($B1936,Config!$B$9:$B$29,0))),""),""))</f>
        <v/>
      </c>
      <c r="AI1936" s="19" t="str">
        <f>IF($B1936="","",IFERROR(INDEX(Config!$D$9:$D$29,MATCH($B1936,Config!$B$9:$B$29,0))&amp;"",""))</f>
        <v/>
      </c>
    </row>
    <row r="1937">
      <c r="X1937" s="20" t="str">
        <f>IF($B1937="","",IFERROR(IF(INDEX(Config!$D$9:$D$29,MATCH($B1937,Config!$B$9:$B$29,0))="Contrato",IF(INDEX(Config!$E$9:$E$29,MATCH($B1937,Config!$B$9:$B$29,0))="","",INDEX(Config!$E$9:$E$29,MATCH($B1937,Config!$B$9:$B$29,0))),""),""))</f>
        <v/>
      </c>
      <c r="AI1937" s="19" t="str">
        <f>IF($B1937="","",IFERROR(INDEX(Config!$D$9:$D$29,MATCH($B1937,Config!$B$9:$B$29,0))&amp;"",""))</f>
        <v/>
      </c>
    </row>
    <row r="1938">
      <c r="X1938" s="20" t="str">
        <f>IF($B1938="","",IFERROR(IF(INDEX(Config!$D$9:$D$29,MATCH($B1938,Config!$B$9:$B$29,0))="Contrato",IF(INDEX(Config!$E$9:$E$29,MATCH($B1938,Config!$B$9:$B$29,0))="","",INDEX(Config!$E$9:$E$29,MATCH($B1938,Config!$B$9:$B$29,0))),""),""))</f>
        <v/>
      </c>
      <c r="AI1938" s="19" t="str">
        <f>IF($B1938="","",IFERROR(INDEX(Config!$D$9:$D$29,MATCH($B1938,Config!$B$9:$B$29,0))&amp;"",""))</f>
        <v/>
      </c>
    </row>
    <row r="1939">
      <c r="X1939" s="20" t="str">
        <f>IF($B1939="","",IFERROR(IF(INDEX(Config!$D$9:$D$29,MATCH($B1939,Config!$B$9:$B$29,0))="Contrato",IF(INDEX(Config!$E$9:$E$29,MATCH($B1939,Config!$B$9:$B$29,0))="","",INDEX(Config!$E$9:$E$29,MATCH($B1939,Config!$B$9:$B$29,0))),""),""))</f>
        <v/>
      </c>
      <c r="AI1939" s="19" t="str">
        <f>IF($B1939="","",IFERROR(INDEX(Config!$D$9:$D$29,MATCH($B1939,Config!$B$9:$B$29,0))&amp;"",""))</f>
        <v/>
      </c>
    </row>
    <row r="1940">
      <c r="X1940" s="20" t="str">
        <f>IF($B1940="","",IFERROR(IF(INDEX(Config!$D$9:$D$29,MATCH($B1940,Config!$B$9:$B$29,0))="Contrato",IF(INDEX(Config!$E$9:$E$29,MATCH($B1940,Config!$B$9:$B$29,0))="","",INDEX(Config!$E$9:$E$29,MATCH($B1940,Config!$B$9:$B$29,0))),""),""))</f>
        <v/>
      </c>
      <c r="AI1940" s="19" t="str">
        <f>IF($B1940="","",IFERROR(INDEX(Config!$D$9:$D$29,MATCH($B1940,Config!$B$9:$B$29,0))&amp;"",""))</f>
        <v/>
      </c>
    </row>
    <row r="1941">
      <c r="X1941" s="20" t="str">
        <f>IF($B1941="","",IFERROR(IF(INDEX(Config!$D$9:$D$29,MATCH($B1941,Config!$B$9:$B$29,0))="Contrato",IF(INDEX(Config!$E$9:$E$29,MATCH($B1941,Config!$B$9:$B$29,0))="","",INDEX(Config!$E$9:$E$29,MATCH($B1941,Config!$B$9:$B$29,0))),""),""))</f>
        <v/>
      </c>
      <c r="AI1941" s="19" t="str">
        <f>IF($B1941="","",IFERROR(INDEX(Config!$D$9:$D$29,MATCH($B1941,Config!$B$9:$B$29,0))&amp;"",""))</f>
        <v/>
      </c>
    </row>
    <row r="1942">
      <c r="X1942" s="20" t="str">
        <f>IF($B1942="","",IFERROR(IF(INDEX(Config!$D$9:$D$29,MATCH($B1942,Config!$B$9:$B$29,0))="Contrato",IF(INDEX(Config!$E$9:$E$29,MATCH($B1942,Config!$B$9:$B$29,0))="","",INDEX(Config!$E$9:$E$29,MATCH($B1942,Config!$B$9:$B$29,0))),""),""))</f>
        <v/>
      </c>
      <c r="AI1942" s="19" t="str">
        <f>IF($B1942="","",IFERROR(INDEX(Config!$D$9:$D$29,MATCH($B1942,Config!$B$9:$B$29,0))&amp;"",""))</f>
        <v/>
      </c>
    </row>
    <row r="1943">
      <c r="X1943" s="20" t="str">
        <f>IF($B1943="","",IFERROR(IF(INDEX(Config!$D$9:$D$29,MATCH($B1943,Config!$B$9:$B$29,0))="Contrato",IF(INDEX(Config!$E$9:$E$29,MATCH($B1943,Config!$B$9:$B$29,0))="","",INDEX(Config!$E$9:$E$29,MATCH($B1943,Config!$B$9:$B$29,0))),""),""))</f>
        <v/>
      </c>
      <c r="AI1943" s="19" t="str">
        <f>IF($B1943="","",IFERROR(INDEX(Config!$D$9:$D$29,MATCH($B1943,Config!$B$9:$B$29,0))&amp;"",""))</f>
        <v/>
      </c>
    </row>
    <row r="1944">
      <c r="X1944" s="20" t="str">
        <f>IF($B1944="","",IFERROR(IF(INDEX(Config!$D$9:$D$29,MATCH($B1944,Config!$B$9:$B$29,0))="Contrato",IF(INDEX(Config!$E$9:$E$29,MATCH($B1944,Config!$B$9:$B$29,0))="","",INDEX(Config!$E$9:$E$29,MATCH($B1944,Config!$B$9:$B$29,0))),""),""))</f>
        <v/>
      </c>
      <c r="AI1944" s="19" t="str">
        <f>IF($B1944="","",IFERROR(INDEX(Config!$D$9:$D$29,MATCH($B1944,Config!$B$9:$B$29,0))&amp;"",""))</f>
        <v/>
      </c>
    </row>
    <row r="1945">
      <c r="X1945" s="20" t="str">
        <f>IF($B1945="","",IFERROR(IF(INDEX(Config!$D$9:$D$29,MATCH($B1945,Config!$B$9:$B$29,0))="Contrato",IF(INDEX(Config!$E$9:$E$29,MATCH($B1945,Config!$B$9:$B$29,0))="","",INDEX(Config!$E$9:$E$29,MATCH($B1945,Config!$B$9:$B$29,0))),""),""))</f>
        <v/>
      </c>
      <c r="AI1945" s="19" t="str">
        <f>IF($B1945="","",IFERROR(INDEX(Config!$D$9:$D$29,MATCH($B1945,Config!$B$9:$B$29,0))&amp;"",""))</f>
        <v/>
      </c>
    </row>
    <row r="1946">
      <c r="X1946" s="20" t="str">
        <f>IF($B1946="","",IFERROR(IF(INDEX(Config!$D$9:$D$29,MATCH($B1946,Config!$B$9:$B$29,0))="Contrato",IF(INDEX(Config!$E$9:$E$29,MATCH($B1946,Config!$B$9:$B$29,0))="","",INDEX(Config!$E$9:$E$29,MATCH($B1946,Config!$B$9:$B$29,0))),""),""))</f>
        <v/>
      </c>
      <c r="AI1946" s="19" t="str">
        <f>IF($B1946="","",IFERROR(INDEX(Config!$D$9:$D$29,MATCH($B1946,Config!$B$9:$B$29,0))&amp;"",""))</f>
        <v/>
      </c>
    </row>
    <row r="1947">
      <c r="X1947" s="20" t="str">
        <f>IF($B1947="","",IFERROR(IF(INDEX(Config!$D$9:$D$29,MATCH($B1947,Config!$B$9:$B$29,0))="Contrato",IF(INDEX(Config!$E$9:$E$29,MATCH($B1947,Config!$B$9:$B$29,0))="","",INDEX(Config!$E$9:$E$29,MATCH($B1947,Config!$B$9:$B$29,0))),""),""))</f>
        <v/>
      </c>
      <c r="AI1947" s="19" t="str">
        <f>IF($B1947="","",IFERROR(INDEX(Config!$D$9:$D$29,MATCH($B1947,Config!$B$9:$B$29,0))&amp;"",""))</f>
        <v/>
      </c>
    </row>
    <row r="1948">
      <c r="X1948" s="20" t="str">
        <f>IF($B1948="","",IFERROR(IF(INDEX(Config!$D$9:$D$29,MATCH($B1948,Config!$B$9:$B$29,0))="Contrato",IF(INDEX(Config!$E$9:$E$29,MATCH($B1948,Config!$B$9:$B$29,0))="","",INDEX(Config!$E$9:$E$29,MATCH($B1948,Config!$B$9:$B$29,0))),""),""))</f>
        <v/>
      </c>
      <c r="AI1948" s="19" t="str">
        <f>IF($B1948="","",IFERROR(INDEX(Config!$D$9:$D$29,MATCH($B1948,Config!$B$9:$B$29,0))&amp;"",""))</f>
        <v/>
      </c>
    </row>
    <row r="1949">
      <c r="X1949" s="20" t="str">
        <f>IF($B1949="","",IFERROR(IF(INDEX(Config!$D$9:$D$29,MATCH($B1949,Config!$B$9:$B$29,0))="Contrato",IF(INDEX(Config!$E$9:$E$29,MATCH($B1949,Config!$B$9:$B$29,0))="","",INDEX(Config!$E$9:$E$29,MATCH($B1949,Config!$B$9:$B$29,0))),""),""))</f>
        <v/>
      </c>
      <c r="AI1949" s="19" t="str">
        <f>IF($B1949="","",IFERROR(INDEX(Config!$D$9:$D$29,MATCH($B1949,Config!$B$9:$B$29,0))&amp;"",""))</f>
        <v/>
      </c>
    </row>
    <row r="1950">
      <c r="X1950" s="20" t="str">
        <f>IF($B1950="","",IFERROR(IF(INDEX(Config!$D$9:$D$29,MATCH($B1950,Config!$B$9:$B$29,0))="Contrato",IF(INDEX(Config!$E$9:$E$29,MATCH($B1950,Config!$B$9:$B$29,0))="","",INDEX(Config!$E$9:$E$29,MATCH($B1950,Config!$B$9:$B$29,0))),""),""))</f>
        <v/>
      </c>
      <c r="AI1950" s="19" t="str">
        <f>IF($B1950="","",IFERROR(INDEX(Config!$D$9:$D$29,MATCH($B1950,Config!$B$9:$B$29,0))&amp;"",""))</f>
        <v/>
      </c>
    </row>
    <row r="1951">
      <c r="X1951" s="20" t="str">
        <f>IF($B1951="","",IFERROR(IF(INDEX(Config!$D$9:$D$29,MATCH($B1951,Config!$B$9:$B$29,0))="Contrato",IF(INDEX(Config!$E$9:$E$29,MATCH($B1951,Config!$B$9:$B$29,0))="","",INDEX(Config!$E$9:$E$29,MATCH($B1951,Config!$B$9:$B$29,0))),""),""))</f>
        <v/>
      </c>
      <c r="AI1951" s="19" t="str">
        <f>IF($B1951="","",IFERROR(INDEX(Config!$D$9:$D$29,MATCH($B1951,Config!$B$9:$B$29,0))&amp;"",""))</f>
        <v/>
      </c>
    </row>
    <row r="1952">
      <c r="X1952" s="20" t="str">
        <f>IF($B1952="","",IFERROR(IF(INDEX(Config!$D$9:$D$29,MATCH($B1952,Config!$B$9:$B$29,0))="Contrato",IF(INDEX(Config!$E$9:$E$29,MATCH($B1952,Config!$B$9:$B$29,0))="","",INDEX(Config!$E$9:$E$29,MATCH($B1952,Config!$B$9:$B$29,0))),""),""))</f>
        <v/>
      </c>
      <c r="AI1952" s="19" t="str">
        <f>IF($B1952="","",IFERROR(INDEX(Config!$D$9:$D$29,MATCH($B1952,Config!$B$9:$B$29,0))&amp;"",""))</f>
        <v/>
      </c>
    </row>
    <row r="1953">
      <c r="X1953" s="20" t="str">
        <f>IF($B1953="","",IFERROR(IF(INDEX(Config!$D$9:$D$29,MATCH($B1953,Config!$B$9:$B$29,0))="Contrato",IF(INDEX(Config!$E$9:$E$29,MATCH($B1953,Config!$B$9:$B$29,0))="","",INDEX(Config!$E$9:$E$29,MATCH($B1953,Config!$B$9:$B$29,0))),""),""))</f>
        <v/>
      </c>
      <c r="AI1953" s="19" t="str">
        <f>IF($B1953="","",IFERROR(INDEX(Config!$D$9:$D$29,MATCH($B1953,Config!$B$9:$B$29,0))&amp;"",""))</f>
        <v/>
      </c>
    </row>
    <row r="1954">
      <c r="X1954" s="20" t="str">
        <f>IF($B1954="","",IFERROR(IF(INDEX(Config!$D$9:$D$29,MATCH($B1954,Config!$B$9:$B$29,0))="Contrato",IF(INDEX(Config!$E$9:$E$29,MATCH($B1954,Config!$B$9:$B$29,0))="","",INDEX(Config!$E$9:$E$29,MATCH($B1954,Config!$B$9:$B$29,0))),""),""))</f>
        <v/>
      </c>
      <c r="AI1954" s="19" t="str">
        <f>IF($B1954="","",IFERROR(INDEX(Config!$D$9:$D$29,MATCH($B1954,Config!$B$9:$B$29,0))&amp;"",""))</f>
        <v/>
      </c>
    </row>
    <row r="1955">
      <c r="X1955" s="20" t="str">
        <f>IF($B1955="","",IFERROR(IF(INDEX(Config!$D$9:$D$29,MATCH($B1955,Config!$B$9:$B$29,0))="Contrato",IF(INDEX(Config!$E$9:$E$29,MATCH($B1955,Config!$B$9:$B$29,0))="","",INDEX(Config!$E$9:$E$29,MATCH($B1955,Config!$B$9:$B$29,0))),""),""))</f>
        <v/>
      </c>
      <c r="AI1955" s="19" t="str">
        <f>IF($B1955="","",IFERROR(INDEX(Config!$D$9:$D$29,MATCH($B1955,Config!$B$9:$B$29,0))&amp;"",""))</f>
        <v/>
      </c>
    </row>
    <row r="1956">
      <c r="X1956" s="20" t="str">
        <f>IF($B1956="","",IFERROR(IF(INDEX(Config!$D$9:$D$29,MATCH($B1956,Config!$B$9:$B$29,0))="Contrato",IF(INDEX(Config!$E$9:$E$29,MATCH($B1956,Config!$B$9:$B$29,0))="","",INDEX(Config!$E$9:$E$29,MATCH($B1956,Config!$B$9:$B$29,0))),""),""))</f>
        <v/>
      </c>
      <c r="AI1956" s="19" t="str">
        <f>IF($B1956="","",IFERROR(INDEX(Config!$D$9:$D$29,MATCH($B1956,Config!$B$9:$B$29,0))&amp;"",""))</f>
        <v/>
      </c>
    </row>
    <row r="1957">
      <c r="X1957" s="20" t="str">
        <f>IF($B1957="","",IFERROR(IF(INDEX(Config!$D$9:$D$29,MATCH($B1957,Config!$B$9:$B$29,0))="Contrato",IF(INDEX(Config!$E$9:$E$29,MATCH($B1957,Config!$B$9:$B$29,0))="","",INDEX(Config!$E$9:$E$29,MATCH($B1957,Config!$B$9:$B$29,0))),""),""))</f>
        <v/>
      </c>
      <c r="AI1957" s="19" t="str">
        <f>IF($B1957="","",IFERROR(INDEX(Config!$D$9:$D$29,MATCH($B1957,Config!$B$9:$B$29,0))&amp;"",""))</f>
        <v/>
      </c>
    </row>
    <row r="1958">
      <c r="X1958" s="20" t="str">
        <f>IF($B1958="","",IFERROR(IF(INDEX(Config!$D$9:$D$29,MATCH($B1958,Config!$B$9:$B$29,0))="Contrato",IF(INDEX(Config!$E$9:$E$29,MATCH($B1958,Config!$B$9:$B$29,0))="","",INDEX(Config!$E$9:$E$29,MATCH($B1958,Config!$B$9:$B$29,0))),""),""))</f>
        <v/>
      </c>
      <c r="AI1958" s="19" t="str">
        <f>IF($B1958="","",IFERROR(INDEX(Config!$D$9:$D$29,MATCH($B1958,Config!$B$9:$B$29,0))&amp;"",""))</f>
        <v/>
      </c>
    </row>
    <row r="1959">
      <c r="X1959" s="20" t="str">
        <f>IF($B1959="","",IFERROR(IF(INDEX(Config!$D$9:$D$29,MATCH($B1959,Config!$B$9:$B$29,0))="Contrato",IF(INDEX(Config!$E$9:$E$29,MATCH($B1959,Config!$B$9:$B$29,0))="","",INDEX(Config!$E$9:$E$29,MATCH($B1959,Config!$B$9:$B$29,0))),""),""))</f>
        <v/>
      </c>
      <c r="AI1959" s="19" t="str">
        <f>IF($B1959="","",IFERROR(INDEX(Config!$D$9:$D$29,MATCH($B1959,Config!$B$9:$B$29,0))&amp;"",""))</f>
        <v/>
      </c>
    </row>
    <row r="1960">
      <c r="X1960" s="20" t="str">
        <f>IF($B1960="","",IFERROR(IF(INDEX(Config!$D$9:$D$29,MATCH($B1960,Config!$B$9:$B$29,0))="Contrato",IF(INDEX(Config!$E$9:$E$29,MATCH($B1960,Config!$B$9:$B$29,0))="","",INDEX(Config!$E$9:$E$29,MATCH($B1960,Config!$B$9:$B$29,0))),""),""))</f>
        <v/>
      </c>
      <c r="AI1960" s="19" t="str">
        <f>IF($B1960="","",IFERROR(INDEX(Config!$D$9:$D$29,MATCH($B1960,Config!$B$9:$B$29,0))&amp;"",""))</f>
        <v/>
      </c>
    </row>
    <row r="1961">
      <c r="X1961" s="20" t="str">
        <f>IF($B1961="","",IFERROR(IF(INDEX(Config!$D$9:$D$29,MATCH($B1961,Config!$B$9:$B$29,0))="Contrato",IF(INDEX(Config!$E$9:$E$29,MATCH($B1961,Config!$B$9:$B$29,0))="","",INDEX(Config!$E$9:$E$29,MATCH($B1961,Config!$B$9:$B$29,0))),""),""))</f>
        <v/>
      </c>
      <c r="AI1961" s="19" t="str">
        <f>IF($B1961="","",IFERROR(INDEX(Config!$D$9:$D$29,MATCH($B1961,Config!$B$9:$B$29,0))&amp;"",""))</f>
        <v/>
      </c>
    </row>
    <row r="1962">
      <c r="X1962" s="20" t="str">
        <f>IF($B1962="","",IFERROR(IF(INDEX(Config!$D$9:$D$29,MATCH($B1962,Config!$B$9:$B$29,0))="Contrato",IF(INDEX(Config!$E$9:$E$29,MATCH($B1962,Config!$B$9:$B$29,0))="","",INDEX(Config!$E$9:$E$29,MATCH($B1962,Config!$B$9:$B$29,0))),""),""))</f>
        <v/>
      </c>
      <c r="AI1962" s="19" t="str">
        <f>IF($B1962="","",IFERROR(INDEX(Config!$D$9:$D$29,MATCH($B1962,Config!$B$9:$B$29,0))&amp;"",""))</f>
        <v/>
      </c>
    </row>
    <row r="1963">
      <c r="X1963" s="20" t="str">
        <f>IF($B1963="","",IFERROR(IF(INDEX(Config!$D$9:$D$29,MATCH($B1963,Config!$B$9:$B$29,0))="Contrato",IF(INDEX(Config!$E$9:$E$29,MATCH($B1963,Config!$B$9:$B$29,0))="","",INDEX(Config!$E$9:$E$29,MATCH($B1963,Config!$B$9:$B$29,0))),""),""))</f>
        <v/>
      </c>
      <c r="AI1963" s="19" t="str">
        <f>IF($B1963="","",IFERROR(INDEX(Config!$D$9:$D$29,MATCH($B1963,Config!$B$9:$B$29,0))&amp;"",""))</f>
        <v/>
      </c>
    </row>
    <row r="1964">
      <c r="X1964" s="20" t="str">
        <f>IF($B1964="","",IFERROR(IF(INDEX(Config!$D$9:$D$29,MATCH($B1964,Config!$B$9:$B$29,0))="Contrato",IF(INDEX(Config!$E$9:$E$29,MATCH($B1964,Config!$B$9:$B$29,0))="","",INDEX(Config!$E$9:$E$29,MATCH($B1964,Config!$B$9:$B$29,0))),""),""))</f>
        <v/>
      </c>
      <c r="AI1964" s="19" t="str">
        <f>IF($B1964="","",IFERROR(INDEX(Config!$D$9:$D$29,MATCH($B1964,Config!$B$9:$B$29,0))&amp;"",""))</f>
        <v/>
      </c>
    </row>
    <row r="1965">
      <c r="X1965" s="20" t="str">
        <f>IF($B1965="","",IFERROR(IF(INDEX(Config!$D$9:$D$29,MATCH($B1965,Config!$B$9:$B$29,0))="Contrato",IF(INDEX(Config!$E$9:$E$29,MATCH($B1965,Config!$B$9:$B$29,0))="","",INDEX(Config!$E$9:$E$29,MATCH($B1965,Config!$B$9:$B$29,0))),""),""))</f>
        <v/>
      </c>
      <c r="AI1965" s="19" t="str">
        <f>IF($B1965="","",IFERROR(INDEX(Config!$D$9:$D$29,MATCH($B1965,Config!$B$9:$B$29,0))&amp;"",""))</f>
        <v/>
      </c>
    </row>
    <row r="1966">
      <c r="X1966" s="20" t="str">
        <f>IF($B1966="","",IFERROR(IF(INDEX(Config!$D$9:$D$29,MATCH($B1966,Config!$B$9:$B$29,0))="Contrato",IF(INDEX(Config!$E$9:$E$29,MATCH($B1966,Config!$B$9:$B$29,0))="","",INDEX(Config!$E$9:$E$29,MATCH($B1966,Config!$B$9:$B$29,0))),""),""))</f>
        <v/>
      </c>
      <c r="AI1966" s="19" t="str">
        <f>IF($B1966="","",IFERROR(INDEX(Config!$D$9:$D$29,MATCH($B1966,Config!$B$9:$B$29,0))&amp;"",""))</f>
        <v/>
      </c>
    </row>
    <row r="1967">
      <c r="X1967" s="20" t="str">
        <f>IF($B1967="","",IFERROR(IF(INDEX(Config!$D$9:$D$29,MATCH($B1967,Config!$B$9:$B$29,0))="Contrato",IF(INDEX(Config!$E$9:$E$29,MATCH($B1967,Config!$B$9:$B$29,0))="","",INDEX(Config!$E$9:$E$29,MATCH($B1967,Config!$B$9:$B$29,0))),""),""))</f>
        <v/>
      </c>
      <c r="AI1967" s="19" t="str">
        <f>IF($B1967="","",IFERROR(INDEX(Config!$D$9:$D$29,MATCH($B1967,Config!$B$9:$B$29,0))&amp;"",""))</f>
        <v/>
      </c>
    </row>
    <row r="1968">
      <c r="X1968" s="20" t="str">
        <f>IF($B1968="","",IFERROR(IF(INDEX(Config!$D$9:$D$29,MATCH($B1968,Config!$B$9:$B$29,0))="Contrato",IF(INDEX(Config!$E$9:$E$29,MATCH($B1968,Config!$B$9:$B$29,0))="","",INDEX(Config!$E$9:$E$29,MATCH($B1968,Config!$B$9:$B$29,0))),""),""))</f>
        <v/>
      </c>
      <c r="AI1968" s="19" t="str">
        <f>IF($B1968="","",IFERROR(INDEX(Config!$D$9:$D$29,MATCH($B1968,Config!$B$9:$B$29,0))&amp;"",""))</f>
        <v/>
      </c>
    </row>
    <row r="1969">
      <c r="X1969" s="20" t="str">
        <f>IF($B1969="","",IFERROR(IF(INDEX(Config!$D$9:$D$29,MATCH($B1969,Config!$B$9:$B$29,0))="Contrato",IF(INDEX(Config!$E$9:$E$29,MATCH($B1969,Config!$B$9:$B$29,0))="","",INDEX(Config!$E$9:$E$29,MATCH($B1969,Config!$B$9:$B$29,0))),""),""))</f>
        <v/>
      </c>
      <c r="AI1969" s="19" t="str">
        <f>IF($B1969="","",IFERROR(INDEX(Config!$D$9:$D$29,MATCH($B1969,Config!$B$9:$B$29,0))&amp;"",""))</f>
        <v/>
      </c>
    </row>
    <row r="1970">
      <c r="X1970" s="20" t="str">
        <f>IF($B1970="","",IFERROR(IF(INDEX(Config!$D$9:$D$29,MATCH($B1970,Config!$B$9:$B$29,0))="Contrato",IF(INDEX(Config!$E$9:$E$29,MATCH($B1970,Config!$B$9:$B$29,0))="","",INDEX(Config!$E$9:$E$29,MATCH($B1970,Config!$B$9:$B$29,0))),""),""))</f>
        <v/>
      </c>
      <c r="AI1970" s="19" t="str">
        <f>IF($B1970="","",IFERROR(INDEX(Config!$D$9:$D$29,MATCH($B1970,Config!$B$9:$B$29,0))&amp;"",""))</f>
        <v/>
      </c>
    </row>
    <row r="1971">
      <c r="X1971" s="20" t="str">
        <f>IF($B1971="","",IFERROR(IF(INDEX(Config!$D$9:$D$29,MATCH($B1971,Config!$B$9:$B$29,0))="Contrato",IF(INDEX(Config!$E$9:$E$29,MATCH($B1971,Config!$B$9:$B$29,0))="","",INDEX(Config!$E$9:$E$29,MATCH($B1971,Config!$B$9:$B$29,0))),""),""))</f>
        <v/>
      </c>
      <c r="AI1971" s="19" t="str">
        <f>IF($B1971="","",IFERROR(INDEX(Config!$D$9:$D$29,MATCH($B1971,Config!$B$9:$B$29,0))&amp;"",""))</f>
        <v/>
      </c>
    </row>
    <row r="1972">
      <c r="X1972" s="20" t="str">
        <f>IF($B1972="","",IFERROR(IF(INDEX(Config!$D$9:$D$29,MATCH($B1972,Config!$B$9:$B$29,0))="Contrato",IF(INDEX(Config!$E$9:$E$29,MATCH($B1972,Config!$B$9:$B$29,0))="","",INDEX(Config!$E$9:$E$29,MATCH($B1972,Config!$B$9:$B$29,0))),""),""))</f>
        <v/>
      </c>
      <c r="AI1972" s="19" t="str">
        <f>IF($B1972="","",IFERROR(INDEX(Config!$D$9:$D$29,MATCH($B1972,Config!$B$9:$B$29,0))&amp;"",""))</f>
        <v/>
      </c>
    </row>
    <row r="1973">
      <c r="X1973" s="20" t="str">
        <f>IF($B1973="","",IFERROR(IF(INDEX(Config!$D$9:$D$29,MATCH($B1973,Config!$B$9:$B$29,0))="Contrato",IF(INDEX(Config!$E$9:$E$29,MATCH($B1973,Config!$B$9:$B$29,0))="","",INDEX(Config!$E$9:$E$29,MATCH($B1973,Config!$B$9:$B$29,0))),""),""))</f>
        <v/>
      </c>
      <c r="AI1973" s="19" t="str">
        <f>IF($B1973="","",IFERROR(INDEX(Config!$D$9:$D$29,MATCH($B1973,Config!$B$9:$B$29,0))&amp;"",""))</f>
        <v/>
      </c>
    </row>
    <row r="1974">
      <c r="X1974" s="20" t="str">
        <f>IF($B1974="","",IFERROR(IF(INDEX(Config!$D$9:$D$29,MATCH($B1974,Config!$B$9:$B$29,0))="Contrato",IF(INDEX(Config!$E$9:$E$29,MATCH($B1974,Config!$B$9:$B$29,0))="","",INDEX(Config!$E$9:$E$29,MATCH($B1974,Config!$B$9:$B$29,0))),""),""))</f>
        <v/>
      </c>
      <c r="AI1974" s="19" t="str">
        <f>IF($B1974="","",IFERROR(INDEX(Config!$D$9:$D$29,MATCH($B1974,Config!$B$9:$B$29,0))&amp;"",""))</f>
        <v/>
      </c>
    </row>
    <row r="1975">
      <c r="X1975" s="20" t="str">
        <f>IF($B1975="","",IFERROR(IF(INDEX(Config!$D$9:$D$29,MATCH($B1975,Config!$B$9:$B$29,0))="Contrato",IF(INDEX(Config!$E$9:$E$29,MATCH($B1975,Config!$B$9:$B$29,0))="","",INDEX(Config!$E$9:$E$29,MATCH($B1975,Config!$B$9:$B$29,0))),""),""))</f>
        <v/>
      </c>
      <c r="AI1975" s="19" t="str">
        <f>IF($B1975="","",IFERROR(INDEX(Config!$D$9:$D$29,MATCH($B1975,Config!$B$9:$B$29,0))&amp;"",""))</f>
        <v/>
      </c>
    </row>
    <row r="1976">
      <c r="X1976" s="20" t="str">
        <f>IF($B1976="","",IFERROR(IF(INDEX(Config!$D$9:$D$29,MATCH($B1976,Config!$B$9:$B$29,0))="Contrato",IF(INDEX(Config!$E$9:$E$29,MATCH($B1976,Config!$B$9:$B$29,0))="","",INDEX(Config!$E$9:$E$29,MATCH($B1976,Config!$B$9:$B$29,0))),""),""))</f>
        <v/>
      </c>
      <c r="AI1976" s="19" t="str">
        <f>IF($B1976="","",IFERROR(INDEX(Config!$D$9:$D$29,MATCH($B1976,Config!$B$9:$B$29,0))&amp;"",""))</f>
        <v/>
      </c>
    </row>
    <row r="1977">
      <c r="X1977" s="20" t="str">
        <f>IF($B1977="","",IFERROR(IF(INDEX(Config!$D$9:$D$29,MATCH($B1977,Config!$B$9:$B$29,0))="Contrato",IF(INDEX(Config!$E$9:$E$29,MATCH($B1977,Config!$B$9:$B$29,0))="","",INDEX(Config!$E$9:$E$29,MATCH($B1977,Config!$B$9:$B$29,0))),""),""))</f>
        <v/>
      </c>
      <c r="AI1977" s="19" t="str">
        <f>IF($B1977="","",IFERROR(INDEX(Config!$D$9:$D$29,MATCH($B1977,Config!$B$9:$B$29,0))&amp;"",""))</f>
        <v/>
      </c>
    </row>
    <row r="1978">
      <c r="X1978" s="20" t="str">
        <f>IF($B1978="","",IFERROR(IF(INDEX(Config!$D$9:$D$29,MATCH($B1978,Config!$B$9:$B$29,0))="Contrato",IF(INDEX(Config!$E$9:$E$29,MATCH($B1978,Config!$B$9:$B$29,0))="","",INDEX(Config!$E$9:$E$29,MATCH($B1978,Config!$B$9:$B$29,0))),""),""))</f>
        <v/>
      </c>
      <c r="AI1978" s="19" t="str">
        <f>IF($B1978="","",IFERROR(INDEX(Config!$D$9:$D$29,MATCH($B1978,Config!$B$9:$B$29,0))&amp;"",""))</f>
        <v/>
      </c>
    </row>
    <row r="1979">
      <c r="X1979" s="20" t="str">
        <f>IF($B1979="","",IFERROR(IF(INDEX(Config!$D$9:$D$29,MATCH($B1979,Config!$B$9:$B$29,0))="Contrato",IF(INDEX(Config!$E$9:$E$29,MATCH($B1979,Config!$B$9:$B$29,0))="","",INDEX(Config!$E$9:$E$29,MATCH($B1979,Config!$B$9:$B$29,0))),""),""))</f>
        <v/>
      </c>
      <c r="AI1979" s="19" t="str">
        <f>IF($B1979="","",IFERROR(INDEX(Config!$D$9:$D$29,MATCH($B1979,Config!$B$9:$B$29,0))&amp;"",""))</f>
        <v/>
      </c>
    </row>
    <row r="1980">
      <c r="X1980" s="20" t="str">
        <f>IF($B1980="","",IFERROR(IF(INDEX(Config!$D$9:$D$29,MATCH($B1980,Config!$B$9:$B$29,0))="Contrato",IF(INDEX(Config!$E$9:$E$29,MATCH($B1980,Config!$B$9:$B$29,0))="","",INDEX(Config!$E$9:$E$29,MATCH($B1980,Config!$B$9:$B$29,0))),""),""))</f>
        <v/>
      </c>
      <c r="AI1980" s="19" t="str">
        <f>IF($B1980="","",IFERROR(INDEX(Config!$D$9:$D$29,MATCH($B1980,Config!$B$9:$B$29,0))&amp;"",""))</f>
        <v/>
      </c>
    </row>
    <row r="1981">
      <c r="X1981" s="20" t="str">
        <f>IF($B1981="","",IFERROR(IF(INDEX(Config!$D$9:$D$29,MATCH($B1981,Config!$B$9:$B$29,0))="Contrato",IF(INDEX(Config!$E$9:$E$29,MATCH($B1981,Config!$B$9:$B$29,0))="","",INDEX(Config!$E$9:$E$29,MATCH($B1981,Config!$B$9:$B$29,0))),""),""))</f>
        <v/>
      </c>
      <c r="AI1981" s="19" t="str">
        <f>IF($B1981="","",IFERROR(INDEX(Config!$D$9:$D$29,MATCH($B1981,Config!$B$9:$B$29,0))&amp;"",""))</f>
        <v/>
      </c>
    </row>
    <row r="1982">
      <c r="X1982" s="20" t="str">
        <f>IF($B1982="","",IFERROR(IF(INDEX(Config!$D$9:$D$29,MATCH($B1982,Config!$B$9:$B$29,0))="Contrato",IF(INDEX(Config!$E$9:$E$29,MATCH($B1982,Config!$B$9:$B$29,0))="","",INDEX(Config!$E$9:$E$29,MATCH($B1982,Config!$B$9:$B$29,0))),""),""))</f>
        <v/>
      </c>
      <c r="AI1982" s="19" t="str">
        <f>IF($B1982="","",IFERROR(INDEX(Config!$D$9:$D$29,MATCH($B1982,Config!$B$9:$B$29,0))&amp;"",""))</f>
        <v/>
      </c>
    </row>
    <row r="1983">
      <c r="X1983" s="20" t="str">
        <f>IF($B1983="","",IFERROR(IF(INDEX(Config!$D$9:$D$29,MATCH($B1983,Config!$B$9:$B$29,0))="Contrato",IF(INDEX(Config!$E$9:$E$29,MATCH($B1983,Config!$B$9:$B$29,0))="","",INDEX(Config!$E$9:$E$29,MATCH($B1983,Config!$B$9:$B$29,0))),""),""))</f>
        <v/>
      </c>
      <c r="AI1983" s="19" t="str">
        <f>IF($B1983="","",IFERROR(INDEX(Config!$D$9:$D$29,MATCH($B1983,Config!$B$9:$B$29,0))&amp;"",""))</f>
        <v/>
      </c>
    </row>
    <row r="1984">
      <c r="X1984" s="20" t="str">
        <f>IF($B1984="","",IFERROR(IF(INDEX(Config!$D$9:$D$29,MATCH($B1984,Config!$B$9:$B$29,0))="Contrato",IF(INDEX(Config!$E$9:$E$29,MATCH($B1984,Config!$B$9:$B$29,0))="","",INDEX(Config!$E$9:$E$29,MATCH($B1984,Config!$B$9:$B$29,0))),""),""))</f>
        <v/>
      </c>
      <c r="AI1984" s="19" t="str">
        <f>IF($B1984="","",IFERROR(INDEX(Config!$D$9:$D$29,MATCH($B1984,Config!$B$9:$B$29,0))&amp;"",""))</f>
        <v/>
      </c>
    </row>
    <row r="1985">
      <c r="X1985" s="20" t="str">
        <f>IF($B1985="","",IFERROR(IF(INDEX(Config!$D$9:$D$29,MATCH($B1985,Config!$B$9:$B$29,0))="Contrato",IF(INDEX(Config!$E$9:$E$29,MATCH($B1985,Config!$B$9:$B$29,0))="","",INDEX(Config!$E$9:$E$29,MATCH($B1985,Config!$B$9:$B$29,0))),""),""))</f>
        <v/>
      </c>
      <c r="AI1985" s="19" t="str">
        <f>IF($B1985="","",IFERROR(INDEX(Config!$D$9:$D$29,MATCH($B1985,Config!$B$9:$B$29,0))&amp;"",""))</f>
        <v/>
      </c>
    </row>
    <row r="1986">
      <c r="X1986" s="20" t="str">
        <f>IF($B1986="","",IFERROR(IF(INDEX(Config!$D$9:$D$29,MATCH($B1986,Config!$B$9:$B$29,0))="Contrato",IF(INDEX(Config!$E$9:$E$29,MATCH($B1986,Config!$B$9:$B$29,0))="","",INDEX(Config!$E$9:$E$29,MATCH($B1986,Config!$B$9:$B$29,0))),""),""))</f>
        <v/>
      </c>
      <c r="AI1986" s="19" t="str">
        <f>IF($B1986="","",IFERROR(INDEX(Config!$D$9:$D$29,MATCH($B1986,Config!$B$9:$B$29,0))&amp;"",""))</f>
        <v/>
      </c>
    </row>
    <row r="1987">
      <c r="X1987" s="20" t="str">
        <f>IF($B1987="","",IFERROR(IF(INDEX(Config!$D$9:$D$29,MATCH($B1987,Config!$B$9:$B$29,0))="Contrato",IF(INDEX(Config!$E$9:$E$29,MATCH($B1987,Config!$B$9:$B$29,0))="","",INDEX(Config!$E$9:$E$29,MATCH($B1987,Config!$B$9:$B$29,0))),""),""))</f>
        <v/>
      </c>
      <c r="AI1987" s="19" t="str">
        <f>IF($B1987="","",IFERROR(INDEX(Config!$D$9:$D$29,MATCH($B1987,Config!$B$9:$B$29,0))&amp;"",""))</f>
        <v/>
      </c>
    </row>
    <row r="1988">
      <c r="X1988" s="20" t="str">
        <f>IF($B1988="","",IFERROR(IF(INDEX(Config!$D$9:$D$29,MATCH($B1988,Config!$B$9:$B$29,0))="Contrato",IF(INDEX(Config!$E$9:$E$29,MATCH($B1988,Config!$B$9:$B$29,0))="","",INDEX(Config!$E$9:$E$29,MATCH($B1988,Config!$B$9:$B$29,0))),""),""))</f>
        <v/>
      </c>
      <c r="AI1988" s="19" t="str">
        <f>IF($B1988="","",IFERROR(INDEX(Config!$D$9:$D$29,MATCH($B1988,Config!$B$9:$B$29,0))&amp;"",""))</f>
        <v/>
      </c>
    </row>
    <row r="1989">
      <c r="X1989" s="20" t="str">
        <f>IF($B1989="","",IFERROR(IF(INDEX(Config!$D$9:$D$29,MATCH($B1989,Config!$B$9:$B$29,0))="Contrato",IF(INDEX(Config!$E$9:$E$29,MATCH($B1989,Config!$B$9:$B$29,0))="","",INDEX(Config!$E$9:$E$29,MATCH($B1989,Config!$B$9:$B$29,0))),""),""))</f>
        <v/>
      </c>
      <c r="AI1989" s="19" t="str">
        <f>IF($B1989="","",IFERROR(INDEX(Config!$D$9:$D$29,MATCH($B1989,Config!$B$9:$B$29,0))&amp;"",""))</f>
        <v/>
      </c>
    </row>
    <row r="1990">
      <c r="X1990" s="20" t="str">
        <f>IF($B1990="","",IFERROR(IF(INDEX(Config!$D$9:$D$29,MATCH($B1990,Config!$B$9:$B$29,0))="Contrato",IF(INDEX(Config!$E$9:$E$29,MATCH($B1990,Config!$B$9:$B$29,0))="","",INDEX(Config!$E$9:$E$29,MATCH($B1990,Config!$B$9:$B$29,0))),""),""))</f>
        <v/>
      </c>
      <c r="AI1990" s="19" t="str">
        <f>IF($B1990="","",IFERROR(INDEX(Config!$D$9:$D$29,MATCH($B1990,Config!$B$9:$B$29,0))&amp;"",""))</f>
        <v/>
      </c>
    </row>
    <row r="1991">
      <c r="X1991" s="20" t="str">
        <f>IF($B1991="","",IFERROR(IF(INDEX(Config!$D$9:$D$29,MATCH($B1991,Config!$B$9:$B$29,0))="Contrato",IF(INDEX(Config!$E$9:$E$29,MATCH($B1991,Config!$B$9:$B$29,0))="","",INDEX(Config!$E$9:$E$29,MATCH($B1991,Config!$B$9:$B$29,0))),""),""))</f>
        <v/>
      </c>
      <c r="AI1991" s="19" t="str">
        <f>IF($B1991="","",IFERROR(INDEX(Config!$D$9:$D$29,MATCH($B1991,Config!$B$9:$B$29,0))&amp;"",""))</f>
        <v/>
      </c>
    </row>
    <row r="1992">
      <c r="X1992" s="20" t="str">
        <f>IF($B1992="","",IFERROR(IF(INDEX(Config!$D$9:$D$29,MATCH($B1992,Config!$B$9:$B$29,0))="Contrato",IF(INDEX(Config!$E$9:$E$29,MATCH($B1992,Config!$B$9:$B$29,0))="","",INDEX(Config!$E$9:$E$29,MATCH($B1992,Config!$B$9:$B$29,0))),""),""))</f>
        <v/>
      </c>
      <c r="AI1992" s="19" t="str">
        <f>IF($B1992="","",IFERROR(INDEX(Config!$D$9:$D$29,MATCH($B1992,Config!$B$9:$B$29,0))&amp;"",""))</f>
        <v/>
      </c>
    </row>
    <row r="1993">
      <c r="X1993" s="20" t="str">
        <f>IF($B1993="","",IFERROR(IF(INDEX(Config!$D$9:$D$29,MATCH($B1993,Config!$B$9:$B$29,0))="Contrato",IF(INDEX(Config!$E$9:$E$29,MATCH($B1993,Config!$B$9:$B$29,0))="","",INDEX(Config!$E$9:$E$29,MATCH($B1993,Config!$B$9:$B$29,0))),""),""))</f>
        <v/>
      </c>
      <c r="AI1993" s="19" t="str">
        <f>IF($B1993="","",IFERROR(INDEX(Config!$D$9:$D$29,MATCH($B1993,Config!$B$9:$B$29,0))&amp;"",""))</f>
        <v/>
      </c>
    </row>
    <row r="1994">
      <c r="X1994" s="20" t="str">
        <f>IF($B1994="","",IFERROR(IF(INDEX(Config!$D$9:$D$29,MATCH($B1994,Config!$B$9:$B$29,0))="Contrato",IF(INDEX(Config!$E$9:$E$29,MATCH($B1994,Config!$B$9:$B$29,0))="","",INDEX(Config!$E$9:$E$29,MATCH($B1994,Config!$B$9:$B$29,0))),""),""))</f>
        <v/>
      </c>
      <c r="AI1994" s="19" t="str">
        <f>IF($B1994="","",IFERROR(INDEX(Config!$D$9:$D$29,MATCH($B1994,Config!$B$9:$B$29,0))&amp;"",""))</f>
        <v/>
      </c>
    </row>
    <row r="1995">
      <c r="X1995" s="20" t="str">
        <f>IF($B1995="","",IFERROR(IF(INDEX(Config!$D$9:$D$29,MATCH($B1995,Config!$B$9:$B$29,0))="Contrato",IF(INDEX(Config!$E$9:$E$29,MATCH($B1995,Config!$B$9:$B$29,0))="","",INDEX(Config!$E$9:$E$29,MATCH($B1995,Config!$B$9:$B$29,0))),""),""))</f>
        <v/>
      </c>
      <c r="AI1995" s="19" t="str">
        <f>IF($B1995="","",IFERROR(INDEX(Config!$D$9:$D$29,MATCH($B1995,Config!$B$9:$B$29,0))&amp;"",""))</f>
        <v/>
      </c>
    </row>
    <row r="1996">
      <c r="X1996" s="20" t="str">
        <f>IF($B1996="","",IFERROR(IF(INDEX(Config!$D$9:$D$29,MATCH($B1996,Config!$B$9:$B$29,0))="Contrato",IF(INDEX(Config!$E$9:$E$29,MATCH($B1996,Config!$B$9:$B$29,0))="","",INDEX(Config!$E$9:$E$29,MATCH($B1996,Config!$B$9:$B$29,0))),""),""))</f>
        <v/>
      </c>
      <c r="AI1996" s="19" t="str">
        <f>IF($B1996="","",IFERROR(INDEX(Config!$D$9:$D$29,MATCH($B1996,Config!$B$9:$B$29,0))&amp;"",""))</f>
        <v/>
      </c>
    </row>
    <row r="1997">
      <c r="X1997" s="20" t="str">
        <f>IF($B1997="","",IFERROR(IF(INDEX(Config!$D$9:$D$29,MATCH($B1997,Config!$B$9:$B$29,0))="Contrato",IF(INDEX(Config!$E$9:$E$29,MATCH($B1997,Config!$B$9:$B$29,0))="","",INDEX(Config!$E$9:$E$29,MATCH($B1997,Config!$B$9:$B$29,0))),""),""))</f>
        <v/>
      </c>
      <c r="AI1997" s="19" t="str">
        <f>IF($B1997="","",IFERROR(INDEX(Config!$D$9:$D$29,MATCH($B1997,Config!$B$9:$B$29,0))&amp;"",""))</f>
        <v/>
      </c>
    </row>
    <row r="1998">
      <c r="X1998" s="20" t="str">
        <f>IF($B1998="","",IFERROR(IF(INDEX(Config!$D$9:$D$29,MATCH($B1998,Config!$B$9:$B$29,0))="Contrato",IF(INDEX(Config!$E$9:$E$29,MATCH($B1998,Config!$B$9:$B$29,0))="","",INDEX(Config!$E$9:$E$29,MATCH($B1998,Config!$B$9:$B$29,0))),""),""))</f>
        <v/>
      </c>
      <c r="AI1998" s="19" t="str">
        <f>IF($B1998="","",IFERROR(INDEX(Config!$D$9:$D$29,MATCH($B1998,Config!$B$9:$B$29,0))&amp;"",""))</f>
        <v/>
      </c>
    </row>
    <row r="1999">
      <c r="X1999" s="20" t="str">
        <f>IF($B1999="","",IFERROR(IF(INDEX(Config!$D$9:$D$29,MATCH($B1999,Config!$B$9:$B$29,0))="Contrato",IF(INDEX(Config!$E$9:$E$29,MATCH($B1999,Config!$B$9:$B$29,0))="","",INDEX(Config!$E$9:$E$29,MATCH($B1999,Config!$B$9:$B$29,0))),""),""))</f>
        <v/>
      </c>
      <c r="AI1999" s="19" t="str">
        <f>IF($B1999="","",IFERROR(INDEX(Config!$D$9:$D$29,MATCH($B1999,Config!$B$9:$B$29,0))&amp;"",""))</f>
        <v/>
      </c>
    </row>
    <row r="2000">
      <c r="X2000" s="20" t="str">
        <f>IF($B2000="","",IFERROR(IF(INDEX(Config!$D$9:$D$29,MATCH($B2000,Config!$B$9:$B$29,0))="Contrato",IF(INDEX(Config!$E$9:$E$29,MATCH($B2000,Config!$B$9:$B$29,0))="","",INDEX(Config!$E$9:$E$29,MATCH($B2000,Config!$B$9:$B$29,0))),""),""))</f>
        <v/>
      </c>
      <c r="AI2000" s="19" t="str">
        <f>IF($B2000="","",IFERROR(INDEX(Config!$D$9:$D$29,MATCH($B2000,Config!$B$9:$B$29,0))&amp;"",""))</f>
        <v/>
      </c>
    </row>
    <row r="2001">
      <c r="X2001" s="20" t="str">
        <f>IF($B2001="","",IFERROR(IF(INDEX(Config!$D$9:$D$29,MATCH($B2001,Config!$B$9:$B$29,0))="Contrato",IF(INDEX(Config!$E$9:$E$29,MATCH($B2001,Config!$B$9:$B$29,0))="","",INDEX(Config!$E$9:$E$29,MATCH($B2001,Config!$B$9:$B$29,0))),""),""))</f>
        <v/>
      </c>
      <c r="AI2001" s="19" t="str">
        <f>IF($B2001="","",IFERROR(INDEX(Config!$D$9:$D$29,MATCH($B2001,Config!$B$9:$B$29,0))&amp;"",""))</f>
        <v/>
      </c>
    </row>
    <row r="2002">
      <c r="X2002" s="20" t="str">
        <f>IF($B2002="","",IFERROR(IF(INDEX(Config!$D$9:$D$29,MATCH($B2002,Config!$B$9:$B$29,0))="Contrato",IF(INDEX(Config!$E$9:$E$29,MATCH($B2002,Config!$B$9:$B$29,0))="","",INDEX(Config!$E$9:$E$29,MATCH($B2002,Config!$B$9:$B$29,0))),""),""))</f>
        <v/>
      </c>
      <c r="AI2002" s="19" t="str">
        <f>IF($B2002="","",IFERROR(INDEX(Config!$D$9:$D$29,MATCH($B2002,Config!$B$9:$B$29,0))&amp;"",""))</f>
        <v/>
      </c>
    </row>
    <row r="2003">
      <c r="X2003" s="20" t="str">
        <f>IF($B2003="","",IFERROR(IF(INDEX(Config!$D$9:$D$29,MATCH($B2003,Config!$B$9:$B$29,0))="Contrato",IF(INDEX(Config!$E$9:$E$29,MATCH($B2003,Config!$B$9:$B$29,0))="","",INDEX(Config!$E$9:$E$29,MATCH($B2003,Config!$B$9:$B$29,0))),""),""))</f>
        <v/>
      </c>
      <c r="AI2003" s="19" t="str">
        <f>IF($B2003="","",IFERROR(INDEX(Config!$D$9:$D$29,MATCH($B2003,Config!$B$9:$B$29,0))&amp;"",""))</f>
        <v/>
      </c>
    </row>
    <row r="2004">
      <c r="X2004" s="20" t="str">
        <f>IF($B2004="","",IFERROR(IF(INDEX(Config!$D$9:$D$29,MATCH($B2004,Config!$B$9:$B$29,0))="Contrato",IF(INDEX(Config!$E$9:$E$29,MATCH($B2004,Config!$B$9:$B$29,0))="","",INDEX(Config!$E$9:$E$29,MATCH($B2004,Config!$B$9:$B$29,0))),""),""))</f>
        <v/>
      </c>
      <c r="AI2004" s="19" t="str">
        <f>IF($B2004="","",IFERROR(INDEX(Config!$D$9:$D$29,MATCH($B2004,Config!$B$9:$B$29,0))&amp;"",""))</f>
        <v/>
      </c>
    </row>
    <row r="2005">
      <c r="X2005" s="20" t="str">
        <f>IF($B2005="","",IFERROR(IF(INDEX(Config!$D$9:$D$29,MATCH($B2005,Config!$B$9:$B$29,0))="Contrato",IF(INDEX(Config!$E$9:$E$29,MATCH($B2005,Config!$B$9:$B$29,0))="","",INDEX(Config!$E$9:$E$29,MATCH($B2005,Config!$B$9:$B$29,0))),""),""))</f>
        <v/>
      </c>
      <c r="AI2005" s="19" t="str">
        <f>IF($B2005="","",IFERROR(INDEX(Config!$D$9:$D$29,MATCH($B2005,Config!$B$9:$B$29,0))&amp;"",""))</f>
        <v/>
      </c>
    </row>
    <row r="2006">
      <c r="X2006" s="20" t="str">
        <f>IF($B2006="","",IFERROR(IF(INDEX(Config!$D$9:$D$29,MATCH($B2006,Config!$B$9:$B$29,0))="Contrato",IF(INDEX(Config!$E$9:$E$29,MATCH($B2006,Config!$B$9:$B$29,0))="","",INDEX(Config!$E$9:$E$29,MATCH($B2006,Config!$B$9:$B$29,0))),""),""))</f>
        <v/>
      </c>
      <c r="AI2006" s="19" t="str">
        <f>IF($B2006="","",IFERROR(INDEX(Config!$D$9:$D$29,MATCH($B2006,Config!$B$9:$B$29,0))&amp;"",""))</f>
        <v/>
      </c>
    </row>
    <row r="2007">
      <c r="X2007" s="20" t="str">
        <f>IF($B2007="","",IFERROR(IF(INDEX(Config!$D$9:$D$29,MATCH($B2007,Config!$B$9:$B$29,0))="Contrato",IF(INDEX(Config!$E$9:$E$29,MATCH($B2007,Config!$B$9:$B$29,0))="","",INDEX(Config!$E$9:$E$29,MATCH($B2007,Config!$B$9:$B$29,0))),""),""))</f>
        <v/>
      </c>
      <c r="AI2007" s="19" t="str">
        <f>IF($B2007="","",IFERROR(INDEX(Config!$D$9:$D$29,MATCH($B2007,Config!$B$9:$B$29,0))&amp;"",""))</f>
        <v/>
      </c>
    </row>
    <row r="2008">
      <c r="X2008" s="20" t="str">
        <f>IF($B2008="","",IFERROR(IF(INDEX(Config!$D$9:$D$29,MATCH($B2008,Config!$B$9:$B$29,0))="Contrato",IF(INDEX(Config!$E$9:$E$29,MATCH($B2008,Config!$B$9:$B$29,0))="","",INDEX(Config!$E$9:$E$29,MATCH($B2008,Config!$B$9:$B$29,0))),""),""))</f>
        <v/>
      </c>
      <c r="AI2008" s="19" t="str">
        <f>IF($B2008="","",IFERROR(INDEX(Config!$D$9:$D$29,MATCH($B2008,Config!$B$9:$B$29,0))&amp;"",""))</f>
        <v/>
      </c>
    </row>
    <row r="2009">
      <c r="X2009" s="20" t="str">
        <f>IF($B2009="","",IFERROR(IF(INDEX(Config!$D$9:$D$29,MATCH($B2009,Config!$B$9:$B$29,0))="Contrato",IF(INDEX(Config!$E$9:$E$29,MATCH($B2009,Config!$B$9:$B$29,0))="","",INDEX(Config!$E$9:$E$29,MATCH($B2009,Config!$B$9:$B$29,0))),""),""))</f>
        <v/>
      </c>
      <c r="AI2009" s="19" t="str">
        <f>IF($B2009="","",IFERROR(INDEX(Config!$D$9:$D$29,MATCH($B2009,Config!$B$9:$B$29,0))&amp;"",""))</f>
        <v/>
      </c>
    </row>
    <row r="2010">
      <c r="X2010" s="20" t="str">
        <f>IF($B2010="","",IFERROR(IF(INDEX(Config!$D$9:$D$29,MATCH($B2010,Config!$B$9:$B$29,0))="Contrato",IF(INDEX(Config!$E$9:$E$29,MATCH($B2010,Config!$B$9:$B$29,0))="","",INDEX(Config!$E$9:$E$29,MATCH($B2010,Config!$B$9:$B$29,0))),""),""))</f>
        <v/>
      </c>
      <c r="AI2010" s="19" t="str">
        <f>IF($B2010="","",IFERROR(INDEX(Config!$D$9:$D$29,MATCH($B2010,Config!$B$9:$B$29,0))&amp;"",""))</f>
        <v/>
      </c>
    </row>
    <row r="2011">
      <c r="X2011" s="20" t="str">
        <f>IF($B2011="","",IFERROR(IF(INDEX(Config!$D$9:$D$29,MATCH($B2011,Config!$B$9:$B$29,0))="Contrato",IF(INDEX(Config!$E$9:$E$29,MATCH($B2011,Config!$B$9:$B$29,0))="","",INDEX(Config!$E$9:$E$29,MATCH($B2011,Config!$B$9:$B$29,0))),""),""))</f>
        <v/>
      </c>
      <c r="AI2011" s="19" t="str">
        <f>IF($B2011="","",IFERROR(INDEX(Config!$D$9:$D$29,MATCH($B2011,Config!$B$9:$B$29,0))&amp;"",""))</f>
        <v/>
      </c>
    </row>
    <row r="2012">
      <c r="X2012" s="20" t="str">
        <f>IF($B2012="","",IFERROR(IF(INDEX(Config!$D$9:$D$29,MATCH($B2012,Config!$B$9:$B$29,0))="Contrato",IF(INDEX(Config!$E$9:$E$29,MATCH($B2012,Config!$B$9:$B$29,0))="","",INDEX(Config!$E$9:$E$29,MATCH($B2012,Config!$B$9:$B$29,0))),""),""))</f>
        <v/>
      </c>
      <c r="AI2012" s="19" t="str">
        <f>IF($B2012="","",IFERROR(INDEX(Config!$D$9:$D$29,MATCH($B2012,Config!$B$9:$B$29,0))&amp;"",""))</f>
        <v/>
      </c>
    </row>
    <row r="2013">
      <c r="X2013" s="20" t="str">
        <f>IF($B2013="","",IFERROR(IF(INDEX(Config!$D$9:$D$29,MATCH($B2013,Config!$B$9:$B$29,0))="Contrato",IF(INDEX(Config!$E$9:$E$29,MATCH($B2013,Config!$B$9:$B$29,0))="","",INDEX(Config!$E$9:$E$29,MATCH($B2013,Config!$B$9:$B$29,0))),""),""))</f>
        <v/>
      </c>
      <c r="AI2013" s="19" t="str">
        <f>IF($B2013="","",IFERROR(INDEX(Config!$D$9:$D$29,MATCH($B2013,Config!$B$9:$B$29,0))&amp;"",""))</f>
        <v/>
      </c>
    </row>
    <row r="2014">
      <c r="X2014" s="20" t="str">
        <f>IF($B2014="","",IFERROR(IF(INDEX(Config!$D$9:$D$29,MATCH($B2014,Config!$B$9:$B$29,0))="Contrato",IF(INDEX(Config!$E$9:$E$29,MATCH($B2014,Config!$B$9:$B$29,0))="","",INDEX(Config!$E$9:$E$29,MATCH($B2014,Config!$B$9:$B$29,0))),""),""))</f>
        <v/>
      </c>
      <c r="AI2014" s="19" t="str">
        <f>IF($B2014="","",IFERROR(INDEX(Config!$D$9:$D$29,MATCH($B2014,Config!$B$9:$B$29,0))&amp;"",""))</f>
        <v/>
      </c>
    </row>
    <row r="2015">
      <c r="X2015" s="20" t="str">
        <f>IF($B2015="","",IFERROR(IF(INDEX(Config!$D$9:$D$29,MATCH($B2015,Config!$B$9:$B$29,0))="Contrato",IF(INDEX(Config!$E$9:$E$29,MATCH($B2015,Config!$B$9:$B$29,0))="","",INDEX(Config!$E$9:$E$29,MATCH($B2015,Config!$B$9:$B$29,0))),""),""))</f>
        <v/>
      </c>
      <c r="AI2015" s="19" t="str">
        <f>IF($B2015="","",IFERROR(INDEX(Config!$D$9:$D$29,MATCH($B2015,Config!$B$9:$B$29,0))&amp;"",""))</f>
        <v/>
      </c>
    </row>
    <row r="2016">
      <c r="X2016" s="20" t="str">
        <f>IF($B2016="","",IFERROR(IF(INDEX(Config!$D$9:$D$29,MATCH($B2016,Config!$B$9:$B$29,0))="Contrato",IF(INDEX(Config!$E$9:$E$29,MATCH($B2016,Config!$B$9:$B$29,0))="","",INDEX(Config!$E$9:$E$29,MATCH($B2016,Config!$B$9:$B$29,0))),""),""))</f>
        <v/>
      </c>
      <c r="AI2016" s="19" t="str">
        <f>IF($B2016="","",IFERROR(INDEX(Config!$D$9:$D$29,MATCH($B2016,Config!$B$9:$B$29,0))&amp;"",""))</f>
        <v/>
      </c>
    </row>
    <row r="2017">
      <c r="X2017" s="20" t="str">
        <f>IF($B2017="","",IFERROR(IF(INDEX(Config!$D$9:$D$29,MATCH($B2017,Config!$B$9:$B$29,0))="Contrato",IF(INDEX(Config!$E$9:$E$29,MATCH($B2017,Config!$B$9:$B$29,0))="","",INDEX(Config!$E$9:$E$29,MATCH($B2017,Config!$B$9:$B$29,0))),""),""))</f>
        <v/>
      </c>
      <c r="AI2017" s="19" t="str">
        <f>IF($B2017="","",IFERROR(INDEX(Config!$D$9:$D$29,MATCH($B2017,Config!$B$9:$B$29,0))&amp;"",""))</f>
        <v/>
      </c>
    </row>
    <row r="2018">
      <c r="X2018" s="20" t="str">
        <f>IF($B2018="","",IFERROR(IF(INDEX(Config!$D$9:$D$29,MATCH($B2018,Config!$B$9:$B$29,0))="Contrato",IF(INDEX(Config!$E$9:$E$29,MATCH($B2018,Config!$B$9:$B$29,0))="","",INDEX(Config!$E$9:$E$29,MATCH($B2018,Config!$B$9:$B$29,0))),""),""))</f>
        <v/>
      </c>
      <c r="AI2018" s="19" t="str">
        <f>IF($B2018="","",IFERROR(INDEX(Config!$D$9:$D$29,MATCH($B2018,Config!$B$9:$B$29,0))&amp;"",""))</f>
        <v/>
      </c>
    </row>
    <row r="2019">
      <c r="X2019" s="20" t="str">
        <f>IF($B2019="","",IFERROR(IF(INDEX(Config!$D$9:$D$29,MATCH($B2019,Config!$B$9:$B$29,0))="Contrato",IF(INDEX(Config!$E$9:$E$29,MATCH($B2019,Config!$B$9:$B$29,0))="","",INDEX(Config!$E$9:$E$29,MATCH($B2019,Config!$B$9:$B$29,0))),""),""))</f>
        <v/>
      </c>
      <c r="AI2019" s="19" t="str">
        <f>IF($B2019="","",IFERROR(INDEX(Config!$D$9:$D$29,MATCH($B2019,Config!$B$9:$B$29,0))&amp;"",""))</f>
        <v/>
      </c>
    </row>
    <row r="2020">
      <c r="X2020" s="20" t="str">
        <f>IF($B2020="","",IFERROR(IF(INDEX(Config!$D$9:$D$29,MATCH($B2020,Config!$B$9:$B$29,0))="Contrato",IF(INDEX(Config!$E$9:$E$29,MATCH($B2020,Config!$B$9:$B$29,0))="","",INDEX(Config!$E$9:$E$29,MATCH($B2020,Config!$B$9:$B$29,0))),""),""))</f>
        <v/>
      </c>
      <c r="AI2020" s="19" t="str">
        <f>IF($B2020="","",IFERROR(INDEX(Config!$D$9:$D$29,MATCH($B2020,Config!$B$9:$B$29,0))&amp;"",""))</f>
        <v/>
      </c>
    </row>
    <row r="2021">
      <c r="X2021" s="20" t="str">
        <f>IF($B2021="","",IFERROR(IF(INDEX(Config!$D$9:$D$29,MATCH($B2021,Config!$B$9:$B$29,0))="Contrato",IF(INDEX(Config!$E$9:$E$29,MATCH($B2021,Config!$B$9:$B$29,0))="","",INDEX(Config!$E$9:$E$29,MATCH($B2021,Config!$B$9:$B$29,0))),""),""))</f>
        <v/>
      </c>
      <c r="AI2021" s="19" t="str">
        <f>IF($B2021="","",IFERROR(INDEX(Config!$D$9:$D$29,MATCH($B2021,Config!$B$9:$B$29,0))&amp;"",""))</f>
        <v/>
      </c>
    </row>
    <row r="2022">
      <c r="X2022" s="20" t="str">
        <f>IF($B2022="","",IFERROR(IF(INDEX(Config!$D$9:$D$29,MATCH($B2022,Config!$B$9:$B$29,0))="Contrato",IF(INDEX(Config!$E$9:$E$29,MATCH($B2022,Config!$B$9:$B$29,0))="","",INDEX(Config!$E$9:$E$29,MATCH($B2022,Config!$B$9:$B$29,0))),""),""))</f>
        <v/>
      </c>
      <c r="AI2022" s="19" t="str">
        <f>IF($B2022="","",IFERROR(INDEX(Config!$D$9:$D$29,MATCH($B2022,Config!$B$9:$B$29,0))&amp;"",""))</f>
        <v/>
      </c>
    </row>
    <row r="2023">
      <c r="X2023" s="20" t="str">
        <f>IF($B2023="","",IFERROR(IF(INDEX(Config!$D$9:$D$29,MATCH($B2023,Config!$B$9:$B$29,0))="Contrato",IF(INDEX(Config!$E$9:$E$29,MATCH($B2023,Config!$B$9:$B$29,0))="","",INDEX(Config!$E$9:$E$29,MATCH($B2023,Config!$B$9:$B$29,0))),""),""))</f>
        <v/>
      </c>
      <c r="AI2023" s="19" t="str">
        <f>IF($B2023="","",IFERROR(INDEX(Config!$D$9:$D$29,MATCH($B2023,Config!$B$9:$B$29,0))&amp;"",""))</f>
        <v/>
      </c>
    </row>
    <row r="2024">
      <c r="X2024" s="20" t="str">
        <f>IF($B2024="","",IFERROR(IF(INDEX(Config!$D$9:$D$29,MATCH($B2024,Config!$B$9:$B$29,0))="Contrato",IF(INDEX(Config!$E$9:$E$29,MATCH($B2024,Config!$B$9:$B$29,0))="","",INDEX(Config!$E$9:$E$29,MATCH($B2024,Config!$B$9:$B$29,0))),""),""))</f>
        <v/>
      </c>
      <c r="AI2024" s="19" t="str">
        <f>IF($B2024="","",IFERROR(INDEX(Config!$D$9:$D$29,MATCH($B2024,Config!$B$9:$B$29,0))&amp;"",""))</f>
        <v/>
      </c>
    </row>
    <row r="2025">
      <c r="X2025" s="20" t="str">
        <f>IF($B2025="","",IFERROR(IF(INDEX(Config!$D$9:$D$29,MATCH($B2025,Config!$B$9:$B$29,0))="Contrato",IF(INDEX(Config!$E$9:$E$29,MATCH($B2025,Config!$B$9:$B$29,0))="","",INDEX(Config!$E$9:$E$29,MATCH($B2025,Config!$B$9:$B$29,0))),""),""))</f>
        <v/>
      </c>
      <c r="AI2025" s="19" t="str">
        <f>IF($B2025="","",IFERROR(INDEX(Config!$D$9:$D$29,MATCH($B2025,Config!$B$9:$B$29,0))&amp;"",""))</f>
        <v/>
      </c>
    </row>
    <row r="2026">
      <c r="X2026" s="20" t="str">
        <f>IF($B2026="","",IFERROR(IF(INDEX(Config!$D$9:$D$29,MATCH($B2026,Config!$B$9:$B$29,0))="Contrato",IF(INDEX(Config!$E$9:$E$29,MATCH($B2026,Config!$B$9:$B$29,0))="","",INDEX(Config!$E$9:$E$29,MATCH($B2026,Config!$B$9:$B$29,0))),""),""))</f>
        <v/>
      </c>
      <c r="AI2026" s="19" t="str">
        <f>IF($B2026="","",IFERROR(INDEX(Config!$D$9:$D$29,MATCH($B2026,Config!$B$9:$B$29,0))&amp;"",""))</f>
        <v/>
      </c>
    </row>
    <row r="2027">
      <c r="X2027" s="20" t="str">
        <f>IF($B2027="","",IFERROR(IF(INDEX(Config!$D$9:$D$29,MATCH($B2027,Config!$B$9:$B$29,0))="Contrato",IF(INDEX(Config!$E$9:$E$29,MATCH($B2027,Config!$B$9:$B$29,0))="","",INDEX(Config!$E$9:$E$29,MATCH($B2027,Config!$B$9:$B$29,0))),""),""))</f>
        <v/>
      </c>
      <c r="AI2027" s="19" t="str">
        <f>IF($B2027="","",IFERROR(INDEX(Config!$D$9:$D$29,MATCH($B2027,Config!$B$9:$B$29,0))&amp;"",""))</f>
        <v/>
      </c>
    </row>
    <row r="2028">
      <c r="X2028" s="20" t="str">
        <f>IF($B2028="","",IFERROR(IF(INDEX(Config!$D$9:$D$29,MATCH($B2028,Config!$B$9:$B$29,0))="Contrato",IF(INDEX(Config!$E$9:$E$29,MATCH($B2028,Config!$B$9:$B$29,0))="","",INDEX(Config!$E$9:$E$29,MATCH($B2028,Config!$B$9:$B$29,0))),""),""))</f>
        <v/>
      </c>
      <c r="AI2028" s="19" t="str">
        <f>IF($B2028="","",IFERROR(INDEX(Config!$D$9:$D$29,MATCH($B2028,Config!$B$9:$B$29,0))&amp;"",""))</f>
        <v/>
      </c>
    </row>
    <row r="2029">
      <c r="X2029" s="20" t="str">
        <f>IF($B2029="","",IFERROR(IF(INDEX(Config!$D$9:$D$29,MATCH($B2029,Config!$B$9:$B$29,0))="Contrato",IF(INDEX(Config!$E$9:$E$29,MATCH($B2029,Config!$B$9:$B$29,0))="","",INDEX(Config!$E$9:$E$29,MATCH($B2029,Config!$B$9:$B$29,0))),""),""))</f>
        <v/>
      </c>
      <c r="AI2029" s="19" t="str">
        <f>IF($B2029="","",IFERROR(INDEX(Config!$D$9:$D$29,MATCH($B2029,Config!$B$9:$B$29,0))&amp;"",""))</f>
        <v/>
      </c>
    </row>
    <row r="2030">
      <c r="X2030" s="20" t="str">
        <f>IF($B2030="","",IFERROR(IF(INDEX(Config!$D$9:$D$29,MATCH($B2030,Config!$B$9:$B$29,0))="Contrato",IF(INDEX(Config!$E$9:$E$29,MATCH($B2030,Config!$B$9:$B$29,0))="","",INDEX(Config!$E$9:$E$29,MATCH($B2030,Config!$B$9:$B$29,0))),""),""))</f>
        <v/>
      </c>
      <c r="AI2030" s="19" t="str">
        <f>IF($B2030="","",IFERROR(INDEX(Config!$D$9:$D$29,MATCH($B2030,Config!$B$9:$B$29,0))&amp;"",""))</f>
        <v/>
      </c>
    </row>
    <row r="2031">
      <c r="X2031" s="20" t="str">
        <f>IF($B2031="","",IFERROR(IF(INDEX(Config!$D$9:$D$29,MATCH($B2031,Config!$B$9:$B$29,0))="Contrato",IF(INDEX(Config!$E$9:$E$29,MATCH($B2031,Config!$B$9:$B$29,0))="","",INDEX(Config!$E$9:$E$29,MATCH($B2031,Config!$B$9:$B$29,0))),""),""))</f>
        <v/>
      </c>
      <c r="AI2031" s="19" t="str">
        <f>IF($B2031="","",IFERROR(INDEX(Config!$D$9:$D$29,MATCH($B2031,Config!$B$9:$B$29,0))&amp;"",""))</f>
        <v/>
      </c>
    </row>
    <row r="2032">
      <c r="X2032" s="20" t="str">
        <f>IF($B2032="","",IFERROR(IF(INDEX(Config!$D$9:$D$29,MATCH($B2032,Config!$B$9:$B$29,0))="Contrato",IF(INDEX(Config!$E$9:$E$29,MATCH($B2032,Config!$B$9:$B$29,0))="","",INDEX(Config!$E$9:$E$29,MATCH($B2032,Config!$B$9:$B$29,0))),""),""))</f>
        <v/>
      </c>
      <c r="AI2032" s="19" t="str">
        <f>IF($B2032="","",IFERROR(INDEX(Config!$D$9:$D$29,MATCH($B2032,Config!$B$9:$B$29,0))&amp;"",""))</f>
        <v/>
      </c>
    </row>
    <row r="2033">
      <c r="X2033" s="20" t="str">
        <f>IF($B2033="","",IFERROR(IF(INDEX(Config!$D$9:$D$29,MATCH($B2033,Config!$B$9:$B$29,0))="Contrato",IF(INDEX(Config!$E$9:$E$29,MATCH($B2033,Config!$B$9:$B$29,0))="","",INDEX(Config!$E$9:$E$29,MATCH($B2033,Config!$B$9:$B$29,0))),""),""))</f>
        <v/>
      </c>
      <c r="AI2033" s="19" t="str">
        <f>IF($B2033="","",IFERROR(INDEX(Config!$D$9:$D$29,MATCH($B2033,Config!$B$9:$B$29,0))&amp;"",""))</f>
        <v/>
      </c>
    </row>
    <row r="2034">
      <c r="X2034" s="20" t="str">
        <f>IF($B2034="","",IFERROR(IF(INDEX(Config!$D$9:$D$29,MATCH($B2034,Config!$B$9:$B$29,0))="Contrato",IF(INDEX(Config!$E$9:$E$29,MATCH($B2034,Config!$B$9:$B$29,0))="","",INDEX(Config!$E$9:$E$29,MATCH($B2034,Config!$B$9:$B$29,0))),""),""))</f>
        <v/>
      </c>
      <c r="AI2034" s="19" t="str">
        <f>IF($B2034="","",IFERROR(INDEX(Config!$D$9:$D$29,MATCH($B2034,Config!$B$9:$B$29,0))&amp;"",""))</f>
        <v/>
      </c>
    </row>
    <row r="2035">
      <c r="X2035" s="20" t="str">
        <f>IF($B2035="","",IFERROR(IF(INDEX(Config!$D$9:$D$29,MATCH($B2035,Config!$B$9:$B$29,0))="Contrato",IF(INDEX(Config!$E$9:$E$29,MATCH($B2035,Config!$B$9:$B$29,0))="","",INDEX(Config!$E$9:$E$29,MATCH($B2035,Config!$B$9:$B$29,0))),""),""))</f>
        <v/>
      </c>
      <c r="AI2035" s="19" t="str">
        <f>IF($B2035="","",IFERROR(INDEX(Config!$D$9:$D$29,MATCH($B2035,Config!$B$9:$B$29,0))&amp;"",""))</f>
        <v/>
      </c>
    </row>
    <row r="2036">
      <c r="X2036" s="20" t="str">
        <f>IF($B2036="","",IFERROR(IF(INDEX(Config!$D$9:$D$29,MATCH($B2036,Config!$B$9:$B$29,0))="Contrato",IF(INDEX(Config!$E$9:$E$29,MATCH($B2036,Config!$B$9:$B$29,0))="","",INDEX(Config!$E$9:$E$29,MATCH($B2036,Config!$B$9:$B$29,0))),""),""))</f>
        <v/>
      </c>
      <c r="AI2036" s="19" t="str">
        <f>IF($B2036="","",IFERROR(INDEX(Config!$D$9:$D$29,MATCH($B2036,Config!$B$9:$B$29,0))&amp;"",""))</f>
        <v/>
      </c>
    </row>
    <row r="2037">
      <c r="X2037" s="20" t="str">
        <f>IF($B2037="","",IFERROR(IF(INDEX(Config!$D$9:$D$29,MATCH($B2037,Config!$B$9:$B$29,0))="Contrato",IF(INDEX(Config!$E$9:$E$29,MATCH($B2037,Config!$B$9:$B$29,0))="","",INDEX(Config!$E$9:$E$29,MATCH($B2037,Config!$B$9:$B$29,0))),""),""))</f>
        <v/>
      </c>
      <c r="AI2037" s="19" t="str">
        <f>IF($B2037="","",IFERROR(INDEX(Config!$D$9:$D$29,MATCH($B2037,Config!$B$9:$B$29,0))&amp;"",""))</f>
        <v/>
      </c>
    </row>
    <row r="2038">
      <c r="X2038" s="20" t="str">
        <f>IF($B2038="","",IFERROR(IF(INDEX(Config!$D$9:$D$29,MATCH($B2038,Config!$B$9:$B$29,0))="Contrato",IF(INDEX(Config!$E$9:$E$29,MATCH($B2038,Config!$B$9:$B$29,0))="","",INDEX(Config!$E$9:$E$29,MATCH($B2038,Config!$B$9:$B$29,0))),""),""))</f>
        <v/>
      </c>
      <c r="AI2038" s="19" t="str">
        <f>IF($B2038="","",IFERROR(INDEX(Config!$D$9:$D$29,MATCH($B2038,Config!$B$9:$B$29,0))&amp;"",""))</f>
        <v/>
      </c>
    </row>
    <row r="2039">
      <c r="X2039" s="20" t="str">
        <f>IF($B2039="","",IFERROR(IF(INDEX(Config!$D$9:$D$29,MATCH($B2039,Config!$B$9:$B$29,0))="Contrato",IF(INDEX(Config!$E$9:$E$29,MATCH($B2039,Config!$B$9:$B$29,0))="","",INDEX(Config!$E$9:$E$29,MATCH($B2039,Config!$B$9:$B$29,0))),""),""))</f>
        <v/>
      </c>
      <c r="AI2039" s="19" t="str">
        <f>IF($B2039="","",IFERROR(INDEX(Config!$D$9:$D$29,MATCH($B2039,Config!$B$9:$B$29,0))&amp;"",""))</f>
        <v/>
      </c>
    </row>
    <row r="2040">
      <c r="X2040" s="20" t="str">
        <f>IF($B2040="","",IFERROR(IF(INDEX(Config!$D$9:$D$29,MATCH($B2040,Config!$B$9:$B$29,0))="Contrato",IF(INDEX(Config!$E$9:$E$29,MATCH($B2040,Config!$B$9:$B$29,0))="","",INDEX(Config!$E$9:$E$29,MATCH($B2040,Config!$B$9:$B$29,0))),""),""))</f>
        <v/>
      </c>
      <c r="AI2040" s="19" t="str">
        <f>IF($B2040="","",IFERROR(INDEX(Config!$D$9:$D$29,MATCH($B2040,Config!$B$9:$B$29,0))&amp;"",""))</f>
        <v/>
      </c>
    </row>
    <row r="2041">
      <c r="X2041" s="20" t="str">
        <f>IF($B2041="","",IFERROR(IF(INDEX(Config!$D$9:$D$29,MATCH($B2041,Config!$B$9:$B$29,0))="Contrato",IF(INDEX(Config!$E$9:$E$29,MATCH($B2041,Config!$B$9:$B$29,0))="","",INDEX(Config!$E$9:$E$29,MATCH($B2041,Config!$B$9:$B$29,0))),""),""))</f>
        <v/>
      </c>
      <c r="AI2041" s="19" t="str">
        <f>IF($B2041="","",IFERROR(INDEX(Config!$D$9:$D$29,MATCH($B2041,Config!$B$9:$B$29,0))&amp;"",""))</f>
        <v/>
      </c>
    </row>
    <row r="2042">
      <c r="X2042" s="20" t="str">
        <f>IF($B2042="","",IFERROR(IF(INDEX(Config!$D$9:$D$29,MATCH($B2042,Config!$B$9:$B$29,0))="Contrato",IF(INDEX(Config!$E$9:$E$29,MATCH($B2042,Config!$B$9:$B$29,0))="","",INDEX(Config!$E$9:$E$29,MATCH($B2042,Config!$B$9:$B$29,0))),""),""))</f>
        <v/>
      </c>
      <c r="AI2042" s="19" t="str">
        <f>IF($B2042="","",IFERROR(INDEX(Config!$D$9:$D$29,MATCH($B2042,Config!$B$9:$B$29,0))&amp;"",""))</f>
        <v/>
      </c>
    </row>
    <row r="2043">
      <c r="X2043" s="20" t="str">
        <f>IF($B2043="","",IFERROR(IF(INDEX(Config!$D$9:$D$29,MATCH($B2043,Config!$B$9:$B$29,0))="Contrato",IF(INDEX(Config!$E$9:$E$29,MATCH($B2043,Config!$B$9:$B$29,0))="","",INDEX(Config!$E$9:$E$29,MATCH($B2043,Config!$B$9:$B$29,0))),""),""))</f>
        <v/>
      </c>
      <c r="AI2043" s="19" t="str">
        <f>IF($B2043="","",IFERROR(INDEX(Config!$D$9:$D$29,MATCH($B2043,Config!$B$9:$B$29,0))&amp;"",""))</f>
        <v/>
      </c>
    </row>
    <row r="2044">
      <c r="X2044" s="20" t="str">
        <f>IF($B2044="","",IFERROR(IF(INDEX(Config!$D$9:$D$29,MATCH($B2044,Config!$B$9:$B$29,0))="Contrato",IF(INDEX(Config!$E$9:$E$29,MATCH($B2044,Config!$B$9:$B$29,0))="","",INDEX(Config!$E$9:$E$29,MATCH($B2044,Config!$B$9:$B$29,0))),""),""))</f>
        <v/>
      </c>
      <c r="AI2044" s="19" t="str">
        <f>IF($B2044="","",IFERROR(INDEX(Config!$D$9:$D$29,MATCH($B2044,Config!$B$9:$B$29,0))&amp;"",""))</f>
        <v/>
      </c>
    </row>
    <row r="2045">
      <c r="X2045" s="20" t="str">
        <f>IF($B2045="","",IFERROR(IF(INDEX(Config!$D$9:$D$29,MATCH($B2045,Config!$B$9:$B$29,0))="Contrato",IF(INDEX(Config!$E$9:$E$29,MATCH($B2045,Config!$B$9:$B$29,0))="","",INDEX(Config!$E$9:$E$29,MATCH($B2045,Config!$B$9:$B$29,0))),""),""))</f>
        <v/>
      </c>
      <c r="AI2045" s="19" t="str">
        <f>IF($B2045="","",IFERROR(INDEX(Config!$D$9:$D$29,MATCH($B2045,Config!$B$9:$B$29,0))&amp;"",""))</f>
        <v/>
      </c>
    </row>
    <row r="2046">
      <c r="X2046" s="20" t="str">
        <f>IF($B2046="","",IFERROR(IF(INDEX(Config!$D$9:$D$29,MATCH($B2046,Config!$B$9:$B$29,0))="Contrato",IF(INDEX(Config!$E$9:$E$29,MATCH($B2046,Config!$B$9:$B$29,0))="","",INDEX(Config!$E$9:$E$29,MATCH($B2046,Config!$B$9:$B$29,0))),""),""))</f>
        <v/>
      </c>
      <c r="AI2046" s="19" t="str">
        <f>IF($B2046="","",IFERROR(INDEX(Config!$D$9:$D$29,MATCH($B2046,Config!$B$9:$B$29,0))&amp;"",""))</f>
        <v/>
      </c>
    </row>
    <row r="2047">
      <c r="X2047" s="20" t="str">
        <f>IF($B2047="","",IFERROR(IF(INDEX(Config!$D$9:$D$29,MATCH($B2047,Config!$B$9:$B$29,0))="Contrato",IF(INDEX(Config!$E$9:$E$29,MATCH($B2047,Config!$B$9:$B$29,0))="","",INDEX(Config!$E$9:$E$29,MATCH($B2047,Config!$B$9:$B$29,0))),""),""))</f>
        <v/>
      </c>
      <c r="AI2047" s="19" t="str">
        <f>IF($B2047="","",IFERROR(INDEX(Config!$D$9:$D$29,MATCH($B2047,Config!$B$9:$B$29,0))&amp;"",""))</f>
        <v/>
      </c>
    </row>
    <row r="2048">
      <c r="X2048" s="20" t="str">
        <f>IF($B2048="","",IFERROR(IF(INDEX(Config!$D$9:$D$29,MATCH($B2048,Config!$B$9:$B$29,0))="Contrato",IF(INDEX(Config!$E$9:$E$29,MATCH($B2048,Config!$B$9:$B$29,0))="","",INDEX(Config!$E$9:$E$29,MATCH($B2048,Config!$B$9:$B$29,0))),""),""))</f>
        <v/>
      </c>
      <c r="AI2048" s="19" t="str">
        <f>IF($B2048="","",IFERROR(INDEX(Config!$D$9:$D$29,MATCH($B2048,Config!$B$9:$B$29,0))&amp;"",""))</f>
        <v/>
      </c>
    </row>
    <row r="2049">
      <c r="X2049" s="20" t="str">
        <f>IF($B2049="","",IFERROR(IF(INDEX(Config!$D$9:$D$29,MATCH($B2049,Config!$B$9:$B$29,0))="Contrato",IF(INDEX(Config!$E$9:$E$29,MATCH($B2049,Config!$B$9:$B$29,0))="","",INDEX(Config!$E$9:$E$29,MATCH($B2049,Config!$B$9:$B$29,0))),""),""))</f>
        <v/>
      </c>
      <c r="AI2049" s="19" t="str">
        <f>IF($B2049="","",IFERROR(INDEX(Config!$D$9:$D$29,MATCH($B2049,Config!$B$9:$B$29,0))&amp;"",""))</f>
        <v/>
      </c>
    </row>
    <row r="2050">
      <c r="X2050" s="20" t="str">
        <f>IF($B2050="","",IFERROR(IF(INDEX(Config!$D$9:$D$29,MATCH($B2050,Config!$B$9:$B$29,0))="Contrato",IF(INDEX(Config!$E$9:$E$29,MATCH($B2050,Config!$B$9:$B$29,0))="","",INDEX(Config!$E$9:$E$29,MATCH($B2050,Config!$B$9:$B$29,0))),""),""))</f>
        <v/>
      </c>
      <c r="AI2050" s="19" t="str">
        <f>IF($B2050="","",IFERROR(INDEX(Config!$D$9:$D$29,MATCH($B2050,Config!$B$9:$B$29,0))&amp;"",""))</f>
        <v/>
      </c>
    </row>
    <row r="2051">
      <c r="X2051" s="20" t="str">
        <f>IF($B2051="","",IFERROR(IF(INDEX(Config!$D$9:$D$29,MATCH($B2051,Config!$B$9:$B$29,0))="Contrato",IF(INDEX(Config!$E$9:$E$29,MATCH($B2051,Config!$B$9:$B$29,0))="","",INDEX(Config!$E$9:$E$29,MATCH($B2051,Config!$B$9:$B$29,0))),""),""))</f>
        <v/>
      </c>
      <c r="AI2051" s="19" t="str">
        <f>IF($B2051="","",IFERROR(INDEX(Config!$D$9:$D$29,MATCH($B2051,Config!$B$9:$B$29,0))&amp;"",""))</f>
        <v/>
      </c>
    </row>
    <row r="2052">
      <c r="X2052" s="20" t="str">
        <f>IF($B2052="","",IFERROR(IF(INDEX(Config!$D$9:$D$29,MATCH($B2052,Config!$B$9:$B$29,0))="Contrato",IF(INDEX(Config!$E$9:$E$29,MATCH($B2052,Config!$B$9:$B$29,0))="","",INDEX(Config!$E$9:$E$29,MATCH($B2052,Config!$B$9:$B$29,0))),""),""))</f>
        <v/>
      </c>
      <c r="AI2052" s="19" t="str">
        <f>IF($B2052="","",IFERROR(INDEX(Config!$D$9:$D$29,MATCH($B2052,Config!$B$9:$B$29,0))&amp;"",""))</f>
        <v/>
      </c>
    </row>
    <row r="2053">
      <c r="X2053" s="20" t="str">
        <f>IF($B2053="","",IFERROR(IF(INDEX(Config!$D$9:$D$29,MATCH($B2053,Config!$B$9:$B$29,0))="Contrato",IF(INDEX(Config!$E$9:$E$29,MATCH($B2053,Config!$B$9:$B$29,0))="","",INDEX(Config!$E$9:$E$29,MATCH($B2053,Config!$B$9:$B$29,0))),""),""))</f>
        <v/>
      </c>
      <c r="AI2053" s="19" t="str">
        <f>IF($B2053="","",IFERROR(INDEX(Config!$D$9:$D$29,MATCH($B2053,Config!$B$9:$B$29,0))&amp;"",""))</f>
        <v/>
      </c>
    </row>
    <row r="2054">
      <c r="X2054" s="20" t="str">
        <f>IF($B2054="","",IFERROR(IF(INDEX(Config!$D$9:$D$29,MATCH($B2054,Config!$B$9:$B$29,0))="Contrato",IF(INDEX(Config!$E$9:$E$29,MATCH($B2054,Config!$B$9:$B$29,0))="","",INDEX(Config!$E$9:$E$29,MATCH($B2054,Config!$B$9:$B$29,0))),""),""))</f>
        <v/>
      </c>
      <c r="AI2054" s="19" t="str">
        <f>IF($B2054="","",IFERROR(INDEX(Config!$D$9:$D$29,MATCH($B2054,Config!$B$9:$B$29,0))&amp;"",""))</f>
        <v/>
      </c>
    </row>
    <row r="2055">
      <c r="X2055" s="20" t="str">
        <f>IF($B2055="","",IFERROR(IF(INDEX(Config!$D$9:$D$29,MATCH($B2055,Config!$B$9:$B$29,0))="Contrato",IF(INDEX(Config!$E$9:$E$29,MATCH($B2055,Config!$B$9:$B$29,0))="","",INDEX(Config!$E$9:$E$29,MATCH($B2055,Config!$B$9:$B$29,0))),""),""))</f>
        <v/>
      </c>
      <c r="AI2055" s="19" t="str">
        <f>IF($B2055="","",IFERROR(INDEX(Config!$D$9:$D$29,MATCH($B2055,Config!$B$9:$B$29,0))&amp;"",""))</f>
        <v/>
      </c>
    </row>
    <row r="2056">
      <c r="X2056" s="20" t="str">
        <f>IF($B2056="","",IFERROR(IF(INDEX(Config!$D$9:$D$29,MATCH($B2056,Config!$B$9:$B$29,0))="Contrato",IF(INDEX(Config!$E$9:$E$29,MATCH($B2056,Config!$B$9:$B$29,0))="","",INDEX(Config!$E$9:$E$29,MATCH($B2056,Config!$B$9:$B$29,0))),""),""))</f>
        <v/>
      </c>
      <c r="AI2056" s="19" t="str">
        <f>IF($B2056="","",IFERROR(INDEX(Config!$D$9:$D$29,MATCH($B2056,Config!$B$9:$B$29,0))&amp;"",""))</f>
        <v/>
      </c>
    </row>
    <row r="2057">
      <c r="X2057" s="20" t="str">
        <f>IF($B2057="","",IFERROR(IF(INDEX(Config!$D$9:$D$29,MATCH($B2057,Config!$B$9:$B$29,0))="Contrato",IF(INDEX(Config!$E$9:$E$29,MATCH($B2057,Config!$B$9:$B$29,0))="","",INDEX(Config!$E$9:$E$29,MATCH($B2057,Config!$B$9:$B$29,0))),""),""))</f>
        <v/>
      </c>
      <c r="AI2057" s="19" t="str">
        <f>IF($B2057="","",IFERROR(INDEX(Config!$D$9:$D$29,MATCH($B2057,Config!$B$9:$B$29,0))&amp;"",""))</f>
        <v/>
      </c>
    </row>
    <row r="2058">
      <c r="X2058" s="20" t="str">
        <f>IF($B2058="","",IFERROR(IF(INDEX(Config!$D$9:$D$29,MATCH($B2058,Config!$B$9:$B$29,0))="Contrato",IF(INDEX(Config!$E$9:$E$29,MATCH($B2058,Config!$B$9:$B$29,0))="","",INDEX(Config!$E$9:$E$29,MATCH($B2058,Config!$B$9:$B$29,0))),""),""))</f>
        <v/>
      </c>
      <c r="AI2058" s="19" t="str">
        <f>IF($B2058="","",IFERROR(INDEX(Config!$D$9:$D$29,MATCH($B2058,Config!$B$9:$B$29,0))&amp;"",""))</f>
        <v/>
      </c>
    </row>
    <row r="2059">
      <c r="X2059" s="20" t="str">
        <f>IF($B2059="","",IFERROR(IF(INDEX(Config!$D$9:$D$29,MATCH($B2059,Config!$B$9:$B$29,0))="Contrato",IF(INDEX(Config!$E$9:$E$29,MATCH($B2059,Config!$B$9:$B$29,0))="","",INDEX(Config!$E$9:$E$29,MATCH($B2059,Config!$B$9:$B$29,0))),""),""))</f>
        <v/>
      </c>
      <c r="AI2059" s="19" t="str">
        <f>IF($B2059="","",IFERROR(INDEX(Config!$D$9:$D$29,MATCH($B2059,Config!$B$9:$B$29,0))&amp;"",""))</f>
        <v/>
      </c>
    </row>
    <row r="2060">
      <c r="X2060" s="20" t="str">
        <f>IF($B2060="","",IFERROR(IF(INDEX(Config!$D$9:$D$29,MATCH($B2060,Config!$B$9:$B$29,0))="Contrato",IF(INDEX(Config!$E$9:$E$29,MATCH($B2060,Config!$B$9:$B$29,0))="","",INDEX(Config!$E$9:$E$29,MATCH($B2060,Config!$B$9:$B$29,0))),""),""))</f>
        <v/>
      </c>
      <c r="AI2060" s="19" t="str">
        <f>IF($B2060="","",IFERROR(INDEX(Config!$D$9:$D$29,MATCH($B2060,Config!$B$9:$B$29,0))&amp;"",""))</f>
        <v/>
      </c>
    </row>
    <row r="2061">
      <c r="X2061" s="20" t="str">
        <f>IF($B2061="","",IFERROR(IF(INDEX(Config!$D$9:$D$29,MATCH($B2061,Config!$B$9:$B$29,0))="Contrato",IF(INDEX(Config!$E$9:$E$29,MATCH($B2061,Config!$B$9:$B$29,0))="","",INDEX(Config!$E$9:$E$29,MATCH($B2061,Config!$B$9:$B$29,0))),""),""))</f>
        <v/>
      </c>
      <c r="AI2061" s="19" t="str">
        <f>IF($B2061="","",IFERROR(INDEX(Config!$D$9:$D$29,MATCH($B2061,Config!$B$9:$B$29,0))&amp;"",""))</f>
        <v/>
      </c>
    </row>
    <row r="2062">
      <c r="X2062" s="20" t="str">
        <f>IF($B2062="","",IFERROR(IF(INDEX(Config!$D$9:$D$29,MATCH($B2062,Config!$B$9:$B$29,0))="Contrato",IF(INDEX(Config!$E$9:$E$29,MATCH($B2062,Config!$B$9:$B$29,0))="","",INDEX(Config!$E$9:$E$29,MATCH($B2062,Config!$B$9:$B$29,0))),""),""))</f>
        <v/>
      </c>
      <c r="AI2062" s="19" t="str">
        <f>IF($B2062="","",IFERROR(INDEX(Config!$D$9:$D$29,MATCH($B2062,Config!$B$9:$B$29,0))&amp;"",""))</f>
        <v/>
      </c>
    </row>
    <row r="2063">
      <c r="X2063" s="20" t="str">
        <f>IF($B2063="","",IFERROR(IF(INDEX(Config!$D$9:$D$29,MATCH($B2063,Config!$B$9:$B$29,0))="Contrato",IF(INDEX(Config!$E$9:$E$29,MATCH($B2063,Config!$B$9:$B$29,0))="","",INDEX(Config!$E$9:$E$29,MATCH($B2063,Config!$B$9:$B$29,0))),""),""))</f>
        <v/>
      </c>
      <c r="AI2063" s="19" t="str">
        <f>IF($B2063="","",IFERROR(INDEX(Config!$D$9:$D$29,MATCH($B2063,Config!$B$9:$B$29,0))&amp;"",""))</f>
        <v/>
      </c>
    </row>
    <row r="2064">
      <c r="X2064" s="20" t="str">
        <f>IF($B2064="","",IFERROR(IF(INDEX(Config!$D$9:$D$29,MATCH($B2064,Config!$B$9:$B$29,0))="Contrato",IF(INDEX(Config!$E$9:$E$29,MATCH($B2064,Config!$B$9:$B$29,0))="","",INDEX(Config!$E$9:$E$29,MATCH($B2064,Config!$B$9:$B$29,0))),""),""))</f>
        <v/>
      </c>
      <c r="AI2064" s="19" t="str">
        <f>IF($B2064="","",IFERROR(INDEX(Config!$D$9:$D$29,MATCH($B2064,Config!$B$9:$B$29,0))&amp;"",""))</f>
        <v/>
      </c>
    </row>
    <row r="2065">
      <c r="X2065" s="20" t="str">
        <f>IF($B2065="","",IFERROR(IF(INDEX(Config!$D$9:$D$29,MATCH($B2065,Config!$B$9:$B$29,0))="Contrato",IF(INDEX(Config!$E$9:$E$29,MATCH($B2065,Config!$B$9:$B$29,0))="","",INDEX(Config!$E$9:$E$29,MATCH($B2065,Config!$B$9:$B$29,0))),""),""))</f>
        <v/>
      </c>
      <c r="AI2065" s="19" t="str">
        <f>IF($B2065="","",IFERROR(INDEX(Config!$D$9:$D$29,MATCH($B2065,Config!$B$9:$B$29,0))&amp;"",""))</f>
        <v/>
      </c>
    </row>
    <row r="2066">
      <c r="X2066" s="20" t="str">
        <f>IF($B2066="","",IFERROR(IF(INDEX(Config!$D$9:$D$29,MATCH($B2066,Config!$B$9:$B$29,0))="Contrato",IF(INDEX(Config!$E$9:$E$29,MATCH($B2066,Config!$B$9:$B$29,0))="","",INDEX(Config!$E$9:$E$29,MATCH($B2066,Config!$B$9:$B$29,0))),""),""))</f>
        <v/>
      </c>
      <c r="AI2066" s="19" t="str">
        <f>IF($B2066="","",IFERROR(INDEX(Config!$D$9:$D$29,MATCH($B2066,Config!$B$9:$B$29,0))&amp;"",""))</f>
        <v/>
      </c>
    </row>
    <row r="2067">
      <c r="X2067" s="20" t="str">
        <f>IF($B2067="","",IFERROR(IF(INDEX(Config!$D$9:$D$29,MATCH($B2067,Config!$B$9:$B$29,0))="Contrato",IF(INDEX(Config!$E$9:$E$29,MATCH($B2067,Config!$B$9:$B$29,0))="","",INDEX(Config!$E$9:$E$29,MATCH($B2067,Config!$B$9:$B$29,0))),""),""))</f>
        <v/>
      </c>
      <c r="AI2067" s="19" t="str">
        <f>IF($B2067="","",IFERROR(INDEX(Config!$D$9:$D$29,MATCH($B2067,Config!$B$9:$B$29,0))&amp;"",""))</f>
        <v/>
      </c>
    </row>
    <row r="2068">
      <c r="X2068" s="20" t="str">
        <f>IF($B2068="","",IFERROR(IF(INDEX(Config!$D$9:$D$29,MATCH($B2068,Config!$B$9:$B$29,0))="Contrato",IF(INDEX(Config!$E$9:$E$29,MATCH($B2068,Config!$B$9:$B$29,0))="","",INDEX(Config!$E$9:$E$29,MATCH($B2068,Config!$B$9:$B$29,0))),""),""))</f>
        <v/>
      </c>
      <c r="AI2068" s="19" t="str">
        <f>IF($B2068="","",IFERROR(INDEX(Config!$D$9:$D$29,MATCH($B2068,Config!$B$9:$B$29,0))&amp;"",""))</f>
        <v/>
      </c>
    </row>
    <row r="2069">
      <c r="X2069" s="20" t="str">
        <f>IF($B2069="","",IFERROR(IF(INDEX(Config!$D$9:$D$29,MATCH($B2069,Config!$B$9:$B$29,0))="Contrato",IF(INDEX(Config!$E$9:$E$29,MATCH($B2069,Config!$B$9:$B$29,0))="","",INDEX(Config!$E$9:$E$29,MATCH($B2069,Config!$B$9:$B$29,0))),""),""))</f>
        <v/>
      </c>
      <c r="AI2069" s="19" t="str">
        <f>IF($B2069="","",IFERROR(INDEX(Config!$D$9:$D$29,MATCH($B2069,Config!$B$9:$B$29,0))&amp;"",""))</f>
        <v/>
      </c>
    </row>
    <row r="2070">
      <c r="X2070" s="20" t="str">
        <f>IF($B2070="","",IFERROR(IF(INDEX(Config!$D$9:$D$29,MATCH($B2070,Config!$B$9:$B$29,0))="Contrato",IF(INDEX(Config!$E$9:$E$29,MATCH($B2070,Config!$B$9:$B$29,0))="","",INDEX(Config!$E$9:$E$29,MATCH($B2070,Config!$B$9:$B$29,0))),""),""))</f>
        <v/>
      </c>
      <c r="AI2070" s="19" t="str">
        <f>IF($B2070="","",IFERROR(INDEX(Config!$D$9:$D$29,MATCH($B2070,Config!$B$9:$B$29,0))&amp;"",""))</f>
        <v/>
      </c>
    </row>
    <row r="2071">
      <c r="X2071" s="20" t="str">
        <f>IF($B2071="","",IFERROR(IF(INDEX(Config!$D$9:$D$29,MATCH($B2071,Config!$B$9:$B$29,0))="Contrato",IF(INDEX(Config!$E$9:$E$29,MATCH($B2071,Config!$B$9:$B$29,0))="","",INDEX(Config!$E$9:$E$29,MATCH($B2071,Config!$B$9:$B$29,0))),""),""))</f>
        <v/>
      </c>
      <c r="AI2071" s="19" t="str">
        <f>IF($B2071="","",IFERROR(INDEX(Config!$D$9:$D$29,MATCH($B2071,Config!$B$9:$B$29,0))&amp;"",""))</f>
        <v/>
      </c>
    </row>
    <row r="2072">
      <c r="X2072" s="20" t="str">
        <f>IF($B2072="","",IFERROR(IF(INDEX(Config!$D$9:$D$29,MATCH($B2072,Config!$B$9:$B$29,0))="Contrato",IF(INDEX(Config!$E$9:$E$29,MATCH($B2072,Config!$B$9:$B$29,0))="","",INDEX(Config!$E$9:$E$29,MATCH($B2072,Config!$B$9:$B$29,0))),""),""))</f>
        <v/>
      </c>
      <c r="AI2072" s="19" t="str">
        <f>IF($B2072="","",IFERROR(INDEX(Config!$D$9:$D$29,MATCH($B2072,Config!$B$9:$B$29,0))&amp;"",""))</f>
        <v/>
      </c>
    </row>
    <row r="2073">
      <c r="X2073" s="20" t="str">
        <f>IF($B2073="","",IFERROR(IF(INDEX(Config!$D$9:$D$29,MATCH($B2073,Config!$B$9:$B$29,0))="Contrato",IF(INDEX(Config!$E$9:$E$29,MATCH($B2073,Config!$B$9:$B$29,0))="","",INDEX(Config!$E$9:$E$29,MATCH($B2073,Config!$B$9:$B$29,0))),""),""))</f>
        <v/>
      </c>
      <c r="AI2073" s="19" t="str">
        <f>IF($B2073="","",IFERROR(INDEX(Config!$D$9:$D$29,MATCH($B2073,Config!$B$9:$B$29,0))&amp;"",""))</f>
        <v/>
      </c>
    </row>
    <row r="2074">
      <c r="X2074" s="20" t="str">
        <f>IF($B2074="","",IFERROR(IF(INDEX(Config!$D$9:$D$29,MATCH($B2074,Config!$B$9:$B$29,0))="Contrato",IF(INDEX(Config!$E$9:$E$29,MATCH($B2074,Config!$B$9:$B$29,0))="","",INDEX(Config!$E$9:$E$29,MATCH($B2074,Config!$B$9:$B$29,0))),""),""))</f>
        <v/>
      </c>
      <c r="AI2074" s="19" t="str">
        <f>IF($B2074="","",IFERROR(INDEX(Config!$D$9:$D$29,MATCH($B2074,Config!$B$9:$B$29,0))&amp;"",""))</f>
        <v/>
      </c>
    </row>
    <row r="2075">
      <c r="X2075" s="20" t="str">
        <f>IF($B2075="","",IFERROR(IF(INDEX(Config!$D$9:$D$29,MATCH($B2075,Config!$B$9:$B$29,0))="Contrato",IF(INDEX(Config!$E$9:$E$29,MATCH($B2075,Config!$B$9:$B$29,0))="","",INDEX(Config!$E$9:$E$29,MATCH($B2075,Config!$B$9:$B$29,0))),""),""))</f>
        <v/>
      </c>
      <c r="AI2075" s="19" t="str">
        <f>IF($B2075="","",IFERROR(INDEX(Config!$D$9:$D$29,MATCH($B2075,Config!$B$9:$B$29,0))&amp;"",""))</f>
        <v/>
      </c>
    </row>
    <row r="2076">
      <c r="X2076" s="20" t="str">
        <f>IF($B2076="","",IFERROR(IF(INDEX(Config!$D$9:$D$29,MATCH($B2076,Config!$B$9:$B$29,0))="Contrato",IF(INDEX(Config!$E$9:$E$29,MATCH($B2076,Config!$B$9:$B$29,0))="","",INDEX(Config!$E$9:$E$29,MATCH($B2076,Config!$B$9:$B$29,0))),""),""))</f>
        <v/>
      </c>
      <c r="AI2076" s="19" t="str">
        <f>IF($B2076="","",IFERROR(INDEX(Config!$D$9:$D$29,MATCH($B2076,Config!$B$9:$B$29,0))&amp;"",""))</f>
        <v/>
      </c>
    </row>
    <row r="2077">
      <c r="X2077" s="20" t="str">
        <f>IF($B2077="","",IFERROR(IF(INDEX(Config!$D$9:$D$29,MATCH($B2077,Config!$B$9:$B$29,0))="Contrato",IF(INDEX(Config!$E$9:$E$29,MATCH($B2077,Config!$B$9:$B$29,0))="","",INDEX(Config!$E$9:$E$29,MATCH($B2077,Config!$B$9:$B$29,0))),""),""))</f>
        <v/>
      </c>
      <c r="AI2077" s="19" t="str">
        <f>IF($B2077="","",IFERROR(INDEX(Config!$D$9:$D$29,MATCH($B2077,Config!$B$9:$B$29,0))&amp;"",""))</f>
        <v/>
      </c>
    </row>
    <row r="2078">
      <c r="X2078" s="20" t="str">
        <f>IF($B2078="","",IFERROR(IF(INDEX(Config!$D$9:$D$29,MATCH($B2078,Config!$B$9:$B$29,0))="Contrato",IF(INDEX(Config!$E$9:$E$29,MATCH($B2078,Config!$B$9:$B$29,0))="","",INDEX(Config!$E$9:$E$29,MATCH($B2078,Config!$B$9:$B$29,0))),""),""))</f>
        <v/>
      </c>
      <c r="AI2078" s="19" t="str">
        <f>IF($B2078="","",IFERROR(INDEX(Config!$D$9:$D$29,MATCH($B2078,Config!$B$9:$B$29,0))&amp;"",""))</f>
        <v/>
      </c>
    </row>
    <row r="2079">
      <c r="X2079" s="20" t="str">
        <f>IF($B2079="","",IFERROR(IF(INDEX(Config!$D$9:$D$29,MATCH($B2079,Config!$B$9:$B$29,0))="Contrato",IF(INDEX(Config!$E$9:$E$29,MATCH($B2079,Config!$B$9:$B$29,0))="","",INDEX(Config!$E$9:$E$29,MATCH($B2079,Config!$B$9:$B$29,0))),""),""))</f>
        <v/>
      </c>
      <c r="AI2079" s="19" t="str">
        <f>IF($B2079="","",IFERROR(INDEX(Config!$D$9:$D$29,MATCH($B2079,Config!$B$9:$B$29,0))&amp;"",""))</f>
        <v/>
      </c>
    </row>
    <row r="2080">
      <c r="X2080" s="20" t="str">
        <f>IF($B2080="","",IFERROR(IF(INDEX(Config!$D$9:$D$29,MATCH($B2080,Config!$B$9:$B$29,0))="Contrato",IF(INDEX(Config!$E$9:$E$29,MATCH($B2080,Config!$B$9:$B$29,0))="","",INDEX(Config!$E$9:$E$29,MATCH($B2080,Config!$B$9:$B$29,0))),""),""))</f>
        <v/>
      </c>
      <c r="AI2080" s="19" t="str">
        <f>IF($B2080="","",IFERROR(INDEX(Config!$D$9:$D$29,MATCH($B2080,Config!$B$9:$B$29,0))&amp;"",""))</f>
        <v/>
      </c>
    </row>
    <row r="2081">
      <c r="X2081" s="20" t="str">
        <f>IF($B2081="","",IFERROR(IF(INDEX(Config!$D$9:$D$29,MATCH($B2081,Config!$B$9:$B$29,0))="Contrato",IF(INDEX(Config!$E$9:$E$29,MATCH($B2081,Config!$B$9:$B$29,0))="","",INDEX(Config!$E$9:$E$29,MATCH($B2081,Config!$B$9:$B$29,0))),""),""))</f>
        <v/>
      </c>
      <c r="AI2081" s="19" t="str">
        <f>IF($B2081="","",IFERROR(INDEX(Config!$D$9:$D$29,MATCH($B2081,Config!$B$9:$B$29,0))&amp;"",""))</f>
        <v/>
      </c>
    </row>
    <row r="2082">
      <c r="X2082" s="20" t="str">
        <f>IF($B2082="","",IFERROR(IF(INDEX(Config!$D$9:$D$29,MATCH($B2082,Config!$B$9:$B$29,0))="Contrato",IF(INDEX(Config!$E$9:$E$29,MATCH($B2082,Config!$B$9:$B$29,0))="","",INDEX(Config!$E$9:$E$29,MATCH($B2082,Config!$B$9:$B$29,0))),""),""))</f>
        <v/>
      </c>
      <c r="AI2082" s="19" t="str">
        <f>IF($B2082="","",IFERROR(INDEX(Config!$D$9:$D$29,MATCH($B2082,Config!$B$9:$B$29,0))&amp;"",""))</f>
        <v/>
      </c>
    </row>
    <row r="2083">
      <c r="X2083" s="20" t="str">
        <f>IF($B2083="","",IFERROR(IF(INDEX(Config!$D$9:$D$29,MATCH($B2083,Config!$B$9:$B$29,0))="Contrato",IF(INDEX(Config!$E$9:$E$29,MATCH($B2083,Config!$B$9:$B$29,0))="","",INDEX(Config!$E$9:$E$29,MATCH($B2083,Config!$B$9:$B$29,0))),""),""))</f>
        <v/>
      </c>
      <c r="AI2083" s="19" t="str">
        <f>IF($B2083="","",IFERROR(INDEX(Config!$D$9:$D$29,MATCH($B2083,Config!$B$9:$B$29,0))&amp;"",""))</f>
        <v/>
      </c>
    </row>
    <row r="2084">
      <c r="X2084" s="20" t="str">
        <f>IF($B2084="","",IFERROR(IF(INDEX(Config!$D$9:$D$29,MATCH($B2084,Config!$B$9:$B$29,0))="Contrato",IF(INDEX(Config!$E$9:$E$29,MATCH($B2084,Config!$B$9:$B$29,0))="","",INDEX(Config!$E$9:$E$29,MATCH($B2084,Config!$B$9:$B$29,0))),""),""))</f>
        <v/>
      </c>
      <c r="AI2084" s="19" t="str">
        <f>IF($B2084="","",IFERROR(INDEX(Config!$D$9:$D$29,MATCH($B2084,Config!$B$9:$B$29,0))&amp;"",""))</f>
        <v/>
      </c>
    </row>
    <row r="2085">
      <c r="X2085" s="20" t="str">
        <f>IF($B2085="","",IFERROR(IF(INDEX(Config!$D$9:$D$29,MATCH($B2085,Config!$B$9:$B$29,0))="Contrato",IF(INDEX(Config!$E$9:$E$29,MATCH($B2085,Config!$B$9:$B$29,0))="","",INDEX(Config!$E$9:$E$29,MATCH($B2085,Config!$B$9:$B$29,0))),""),""))</f>
        <v/>
      </c>
      <c r="AI2085" s="19" t="str">
        <f>IF($B2085="","",IFERROR(INDEX(Config!$D$9:$D$29,MATCH($B2085,Config!$B$9:$B$29,0))&amp;"",""))</f>
        <v/>
      </c>
    </row>
    <row r="2086">
      <c r="X2086" s="20" t="str">
        <f>IF($B2086="","",IFERROR(IF(INDEX(Config!$D$9:$D$29,MATCH($B2086,Config!$B$9:$B$29,0))="Contrato",IF(INDEX(Config!$E$9:$E$29,MATCH($B2086,Config!$B$9:$B$29,0))="","",INDEX(Config!$E$9:$E$29,MATCH($B2086,Config!$B$9:$B$29,0))),""),""))</f>
        <v/>
      </c>
      <c r="AI2086" s="19" t="str">
        <f>IF($B2086="","",IFERROR(INDEX(Config!$D$9:$D$29,MATCH($B2086,Config!$B$9:$B$29,0))&amp;"",""))</f>
        <v/>
      </c>
    </row>
    <row r="2087">
      <c r="X2087" s="20" t="str">
        <f>IF($B2087="","",IFERROR(IF(INDEX(Config!$D$9:$D$29,MATCH($B2087,Config!$B$9:$B$29,0))="Contrato",IF(INDEX(Config!$E$9:$E$29,MATCH($B2087,Config!$B$9:$B$29,0))="","",INDEX(Config!$E$9:$E$29,MATCH($B2087,Config!$B$9:$B$29,0))),""),""))</f>
        <v/>
      </c>
      <c r="AI2087" s="19" t="str">
        <f>IF($B2087="","",IFERROR(INDEX(Config!$D$9:$D$29,MATCH($B2087,Config!$B$9:$B$29,0))&amp;"",""))</f>
        <v/>
      </c>
    </row>
    <row r="2088">
      <c r="X2088" s="20" t="str">
        <f>IF($B2088="","",IFERROR(IF(INDEX(Config!$D$9:$D$29,MATCH($B2088,Config!$B$9:$B$29,0))="Contrato",IF(INDEX(Config!$E$9:$E$29,MATCH($B2088,Config!$B$9:$B$29,0))="","",INDEX(Config!$E$9:$E$29,MATCH($B2088,Config!$B$9:$B$29,0))),""),""))</f>
        <v/>
      </c>
      <c r="AI2088" s="19" t="str">
        <f>IF($B2088="","",IFERROR(INDEX(Config!$D$9:$D$29,MATCH($B2088,Config!$B$9:$B$29,0))&amp;"",""))</f>
        <v/>
      </c>
    </row>
    <row r="2089">
      <c r="X2089" s="20" t="str">
        <f>IF($B2089="","",IFERROR(IF(INDEX(Config!$D$9:$D$29,MATCH($B2089,Config!$B$9:$B$29,0))="Contrato",IF(INDEX(Config!$E$9:$E$29,MATCH($B2089,Config!$B$9:$B$29,0))="","",INDEX(Config!$E$9:$E$29,MATCH($B2089,Config!$B$9:$B$29,0))),""),""))</f>
        <v/>
      </c>
      <c r="AI2089" s="19" t="str">
        <f>IF($B2089="","",IFERROR(INDEX(Config!$D$9:$D$29,MATCH($B2089,Config!$B$9:$B$29,0))&amp;"",""))</f>
        <v/>
      </c>
    </row>
    <row r="2090">
      <c r="X2090" s="20" t="str">
        <f>IF($B2090="","",IFERROR(IF(INDEX(Config!$D$9:$D$29,MATCH($B2090,Config!$B$9:$B$29,0))="Contrato",IF(INDEX(Config!$E$9:$E$29,MATCH($B2090,Config!$B$9:$B$29,0))="","",INDEX(Config!$E$9:$E$29,MATCH($B2090,Config!$B$9:$B$29,0))),""),""))</f>
        <v/>
      </c>
      <c r="AI2090" s="19" t="str">
        <f>IF($B2090="","",IFERROR(INDEX(Config!$D$9:$D$29,MATCH($B2090,Config!$B$9:$B$29,0))&amp;"",""))</f>
        <v/>
      </c>
    </row>
    <row r="2091">
      <c r="X2091" s="20" t="str">
        <f>IF($B2091="","",IFERROR(IF(INDEX(Config!$D$9:$D$29,MATCH($B2091,Config!$B$9:$B$29,0))="Contrato",IF(INDEX(Config!$E$9:$E$29,MATCH($B2091,Config!$B$9:$B$29,0))="","",INDEX(Config!$E$9:$E$29,MATCH($B2091,Config!$B$9:$B$29,0))),""),""))</f>
        <v/>
      </c>
      <c r="AI2091" s="19" t="str">
        <f>IF($B2091="","",IFERROR(INDEX(Config!$D$9:$D$29,MATCH($B2091,Config!$B$9:$B$29,0))&amp;"",""))</f>
        <v/>
      </c>
    </row>
    <row r="2092">
      <c r="X2092" s="20" t="str">
        <f>IF($B2092="","",IFERROR(IF(INDEX(Config!$D$9:$D$29,MATCH($B2092,Config!$B$9:$B$29,0))="Contrato",IF(INDEX(Config!$E$9:$E$29,MATCH($B2092,Config!$B$9:$B$29,0))="","",INDEX(Config!$E$9:$E$29,MATCH($B2092,Config!$B$9:$B$29,0))),""),""))</f>
        <v/>
      </c>
      <c r="AI2092" s="19" t="str">
        <f>IF($B2092="","",IFERROR(INDEX(Config!$D$9:$D$29,MATCH($B2092,Config!$B$9:$B$29,0))&amp;"",""))</f>
        <v/>
      </c>
    </row>
    <row r="2093">
      <c r="X2093" s="20" t="str">
        <f>IF($B2093="","",IFERROR(IF(INDEX(Config!$D$9:$D$29,MATCH($B2093,Config!$B$9:$B$29,0))="Contrato",IF(INDEX(Config!$E$9:$E$29,MATCH($B2093,Config!$B$9:$B$29,0))="","",INDEX(Config!$E$9:$E$29,MATCH($B2093,Config!$B$9:$B$29,0))),""),""))</f>
        <v/>
      </c>
      <c r="AI2093" s="19" t="str">
        <f>IF($B2093="","",IFERROR(INDEX(Config!$D$9:$D$29,MATCH($B2093,Config!$B$9:$B$29,0))&amp;"",""))</f>
        <v/>
      </c>
    </row>
    <row r="2094">
      <c r="X2094" s="20" t="str">
        <f>IF($B2094="","",IFERROR(IF(INDEX(Config!$D$9:$D$29,MATCH($B2094,Config!$B$9:$B$29,0))="Contrato",IF(INDEX(Config!$E$9:$E$29,MATCH($B2094,Config!$B$9:$B$29,0))="","",INDEX(Config!$E$9:$E$29,MATCH($B2094,Config!$B$9:$B$29,0))),""),""))</f>
        <v/>
      </c>
      <c r="AI2094" s="19" t="str">
        <f>IF($B2094="","",IFERROR(INDEX(Config!$D$9:$D$29,MATCH($B2094,Config!$B$9:$B$29,0))&amp;"",""))</f>
        <v/>
      </c>
    </row>
    <row r="2095">
      <c r="X2095" s="20" t="str">
        <f>IF($B2095="","",IFERROR(IF(INDEX(Config!$D$9:$D$29,MATCH($B2095,Config!$B$9:$B$29,0))="Contrato",IF(INDEX(Config!$E$9:$E$29,MATCH($B2095,Config!$B$9:$B$29,0))="","",INDEX(Config!$E$9:$E$29,MATCH($B2095,Config!$B$9:$B$29,0))),""),""))</f>
        <v/>
      </c>
      <c r="AI2095" s="19" t="str">
        <f>IF($B2095="","",IFERROR(INDEX(Config!$D$9:$D$29,MATCH($B2095,Config!$B$9:$B$29,0))&amp;"",""))</f>
        <v/>
      </c>
    </row>
    <row r="2096">
      <c r="X2096" s="20" t="str">
        <f>IF($B2096="","",IFERROR(IF(INDEX(Config!$D$9:$D$29,MATCH($B2096,Config!$B$9:$B$29,0))="Contrato",IF(INDEX(Config!$E$9:$E$29,MATCH($B2096,Config!$B$9:$B$29,0))="","",INDEX(Config!$E$9:$E$29,MATCH($B2096,Config!$B$9:$B$29,0))),""),""))</f>
        <v/>
      </c>
      <c r="AI2096" s="19" t="str">
        <f>IF($B2096="","",IFERROR(INDEX(Config!$D$9:$D$29,MATCH($B2096,Config!$B$9:$B$29,0))&amp;"",""))</f>
        <v/>
      </c>
    </row>
    <row r="2097">
      <c r="X2097" s="20" t="str">
        <f>IF($B2097="","",IFERROR(IF(INDEX(Config!$D$9:$D$29,MATCH($B2097,Config!$B$9:$B$29,0))="Contrato",IF(INDEX(Config!$E$9:$E$29,MATCH($B2097,Config!$B$9:$B$29,0))="","",INDEX(Config!$E$9:$E$29,MATCH($B2097,Config!$B$9:$B$29,0))),""),""))</f>
        <v/>
      </c>
      <c r="AI2097" s="19" t="str">
        <f>IF($B2097="","",IFERROR(INDEX(Config!$D$9:$D$29,MATCH($B2097,Config!$B$9:$B$29,0))&amp;"",""))</f>
        <v/>
      </c>
    </row>
    <row r="2098">
      <c r="X2098" s="20" t="str">
        <f>IF($B2098="","",IFERROR(IF(INDEX(Config!$D$9:$D$29,MATCH($B2098,Config!$B$9:$B$29,0))="Contrato",IF(INDEX(Config!$E$9:$E$29,MATCH($B2098,Config!$B$9:$B$29,0))="","",INDEX(Config!$E$9:$E$29,MATCH($B2098,Config!$B$9:$B$29,0))),""),""))</f>
        <v/>
      </c>
      <c r="AI2098" s="19" t="str">
        <f>IF($B2098="","",IFERROR(INDEX(Config!$D$9:$D$29,MATCH($B2098,Config!$B$9:$B$29,0))&amp;"",""))</f>
        <v/>
      </c>
    </row>
    <row r="2099">
      <c r="X2099" s="20" t="str">
        <f>IF($B2099="","",IFERROR(IF(INDEX(Config!$D$9:$D$29,MATCH($B2099,Config!$B$9:$B$29,0))="Contrato",IF(INDEX(Config!$E$9:$E$29,MATCH($B2099,Config!$B$9:$B$29,0))="","",INDEX(Config!$E$9:$E$29,MATCH($B2099,Config!$B$9:$B$29,0))),""),""))</f>
        <v/>
      </c>
      <c r="AI2099" s="19" t="str">
        <f>IF($B2099="","",IFERROR(INDEX(Config!$D$9:$D$29,MATCH($B2099,Config!$B$9:$B$29,0))&amp;"",""))</f>
        <v/>
      </c>
    </row>
    <row r="2100">
      <c r="X2100" s="20" t="str">
        <f>IF($B2100="","",IFERROR(IF(INDEX(Config!$D$9:$D$29,MATCH($B2100,Config!$B$9:$B$29,0))="Contrato",IF(INDEX(Config!$E$9:$E$29,MATCH($B2100,Config!$B$9:$B$29,0))="","",INDEX(Config!$E$9:$E$29,MATCH($B2100,Config!$B$9:$B$29,0))),""),""))</f>
        <v/>
      </c>
      <c r="AI2100" s="19" t="str">
        <f>IF($B2100="","",IFERROR(INDEX(Config!$D$9:$D$29,MATCH($B2100,Config!$B$9:$B$29,0))&amp;"",""))</f>
        <v/>
      </c>
    </row>
    <row r="2101">
      <c r="X2101" s="20" t="str">
        <f>IF($B2101="","",IFERROR(IF(INDEX(Config!$D$9:$D$29,MATCH($B2101,Config!$B$9:$B$29,0))="Contrato",IF(INDEX(Config!$E$9:$E$29,MATCH($B2101,Config!$B$9:$B$29,0))="","",INDEX(Config!$E$9:$E$29,MATCH($B2101,Config!$B$9:$B$29,0))),""),""))</f>
        <v/>
      </c>
      <c r="AI2101" s="19" t="str">
        <f>IF($B2101="","",IFERROR(INDEX(Config!$D$9:$D$29,MATCH($B2101,Config!$B$9:$B$29,0))&amp;"",""))</f>
        <v/>
      </c>
    </row>
    <row r="2102">
      <c r="X2102" s="20" t="str">
        <f>IF($B2102="","",IFERROR(IF(INDEX(Config!$D$9:$D$29,MATCH($B2102,Config!$B$9:$B$29,0))="Contrato",IF(INDEX(Config!$E$9:$E$29,MATCH($B2102,Config!$B$9:$B$29,0))="","",INDEX(Config!$E$9:$E$29,MATCH($B2102,Config!$B$9:$B$29,0))),""),""))</f>
        <v/>
      </c>
      <c r="AI2102" s="19" t="str">
        <f>IF($B2102="","",IFERROR(INDEX(Config!$D$9:$D$29,MATCH($B2102,Config!$B$9:$B$29,0))&amp;"",""))</f>
        <v/>
      </c>
    </row>
    <row r="2103">
      <c r="X2103" s="20" t="str">
        <f>IF($B2103="","",IFERROR(IF(INDEX(Config!$D$9:$D$29,MATCH($B2103,Config!$B$9:$B$29,0))="Contrato",IF(INDEX(Config!$E$9:$E$29,MATCH($B2103,Config!$B$9:$B$29,0))="","",INDEX(Config!$E$9:$E$29,MATCH($B2103,Config!$B$9:$B$29,0))),""),""))</f>
        <v/>
      </c>
      <c r="AI2103" s="19" t="str">
        <f>IF($B2103="","",IFERROR(INDEX(Config!$D$9:$D$29,MATCH($B2103,Config!$B$9:$B$29,0))&amp;"",""))</f>
        <v/>
      </c>
    </row>
    <row r="2104">
      <c r="X2104" s="20" t="str">
        <f>IF($B2104="","",IFERROR(IF(INDEX(Config!$D$9:$D$29,MATCH($B2104,Config!$B$9:$B$29,0))="Contrato",IF(INDEX(Config!$E$9:$E$29,MATCH($B2104,Config!$B$9:$B$29,0))="","",INDEX(Config!$E$9:$E$29,MATCH($B2104,Config!$B$9:$B$29,0))),""),""))</f>
        <v/>
      </c>
      <c r="AI2104" s="19" t="str">
        <f>IF($B2104="","",IFERROR(INDEX(Config!$D$9:$D$29,MATCH($B2104,Config!$B$9:$B$29,0))&amp;"",""))</f>
        <v/>
      </c>
    </row>
    <row r="2105">
      <c r="X2105" s="20" t="str">
        <f>IF($B2105="","",IFERROR(IF(INDEX(Config!$D$9:$D$29,MATCH($B2105,Config!$B$9:$B$29,0))="Contrato",IF(INDEX(Config!$E$9:$E$29,MATCH($B2105,Config!$B$9:$B$29,0))="","",INDEX(Config!$E$9:$E$29,MATCH($B2105,Config!$B$9:$B$29,0))),""),""))</f>
        <v/>
      </c>
      <c r="AI2105" s="19" t="str">
        <f>IF($B2105="","",IFERROR(INDEX(Config!$D$9:$D$29,MATCH($B2105,Config!$B$9:$B$29,0))&amp;"",""))</f>
        <v/>
      </c>
    </row>
    <row r="2106">
      <c r="X2106" s="20" t="str">
        <f>IF($B2106="","",IFERROR(IF(INDEX(Config!$D$9:$D$29,MATCH($B2106,Config!$B$9:$B$29,0))="Contrato",IF(INDEX(Config!$E$9:$E$29,MATCH($B2106,Config!$B$9:$B$29,0))="","",INDEX(Config!$E$9:$E$29,MATCH($B2106,Config!$B$9:$B$29,0))),""),""))</f>
        <v/>
      </c>
      <c r="AI2106" s="19" t="str">
        <f>IF($B2106="","",IFERROR(INDEX(Config!$D$9:$D$29,MATCH($B2106,Config!$B$9:$B$29,0))&amp;"",""))</f>
        <v/>
      </c>
    </row>
    <row r="2107">
      <c r="X2107" s="20" t="str">
        <f>IF($B2107="","",IFERROR(IF(INDEX(Config!$D$9:$D$29,MATCH($B2107,Config!$B$9:$B$29,0))="Contrato",IF(INDEX(Config!$E$9:$E$29,MATCH($B2107,Config!$B$9:$B$29,0))="","",INDEX(Config!$E$9:$E$29,MATCH($B2107,Config!$B$9:$B$29,0))),""),""))</f>
        <v/>
      </c>
      <c r="AI2107" s="19" t="str">
        <f>IF($B2107="","",IFERROR(INDEX(Config!$D$9:$D$29,MATCH($B2107,Config!$B$9:$B$29,0))&amp;"",""))</f>
        <v/>
      </c>
    </row>
    <row r="2108">
      <c r="X2108" s="20" t="str">
        <f>IF($B2108="","",IFERROR(IF(INDEX(Config!$D$9:$D$29,MATCH($B2108,Config!$B$9:$B$29,0))="Contrato",IF(INDEX(Config!$E$9:$E$29,MATCH($B2108,Config!$B$9:$B$29,0))="","",INDEX(Config!$E$9:$E$29,MATCH($B2108,Config!$B$9:$B$29,0))),""),""))</f>
        <v/>
      </c>
      <c r="AI2108" s="19" t="str">
        <f>IF($B2108="","",IFERROR(INDEX(Config!$D$9:$D$29,MATCH($B2108,Config!$B$9:$B$29,0))&amp;"",""))</f>
        <v/>
      </c>
    </row>
    <row r="2109">
      <c r="X2109" s="20" t="str">
        <f>IF($B2109="","",IFERROR(IF(INDEX(Config!$D$9:$D$29,MATCH($B2109,Config!$B$9:$B$29,0))="Contrato",IF(INDEX(Config!$E$9:$E$29,MATCH($B2109,Config!$B$9:$B$29,0))="","",INDEX(Config!$E$9:$E$29,MATCH($B2109,Config!$B$9:$B$29,0))),""),""))</f>
        <v/>
      </c>
      <c r="AI2109" s="19" t="str">
        <f>IF($B2109="","",IFERROR(INDEX(Config!$D$9:$D$29,MATCH($B2109,Config!$B$9:$B$29,0))&amp;"",""))</f>
        <v/>
      </c>
    </row>
    <row r="2110">
      <c r="X2110" s="20" t="str">
        <f>IF($B2110="","",IFERROR(IF(INDEX(Config!$D$9:$D$29,MATCH($B2110,Config!$B$9:$B$29,0))="Contrato",IF(INDEX(Config!$E$9:$E$29,MATCH($B2110,Config!$B$9:$B$29,0))="","",INDEX(Config!$E$9:$E$29,MATCH($B2110,Config!$B$9:$B$29,0))),""),""))</f>
        <v/>
      </c>
      <c r="AI2110" s="19" t="str">
        <f>IF($B2110="","",IFERROR(INDEX(Config!$D$9:$D$29,MATCH($B2110,Config!$B$9:$B$29,0))&amp;"",""))</f>
        <v/>
      </c>
    </row>
    <row r="2111">
      <c r="X2111" s="20" t="str">
        <f>IF($B2111="","",IFERROR(IF(INDEX(Config!$D$9:$D$29,MATCH($B2111,Config!$B$9:$B$29,0))="Contrato",IF(INDEX(Config!$E$9:$E$29,MATCH($B2111,Config!$B$9:$B$29,0))="","",INDEX(Config!$E$9:$E$29,MATCH($B2111,Config!$B$9:$B$29,0))),""),""))</f>
        <v/>
      </c>
      <c r="AI2111" s="19" t="str">
        <f>IF($B2111="","",IFERROR(INDEX(Config!$D$9:$D$29,MATCH($B2111,Config!$B$9:$B$29,0))&amp;"",""))</f>
        <v/>
      </c>
    </row>
    <row r="2112">
      <c r="X2112" s="20" t="str">
        <f>IF($B2112="","",IFERROR(IF(INDEX(Config!$D$9:$D$29,MATCH($B2112,Config!$B$9:$B$29,0))="Contrato",IF(INDEX(Config!$E$9:$E$29,MATCH($B2112,Config!$B$9:$B$29,0))="","",INDEX(Config!$E$9:$E$29,MATCH($B2112,Config!$B$9:$B$29,0))),""),""))</f>
        <v/>
      </c>
      <c r="AI2112" s="19" t="str">
        <f>IF($B2112="","",IFERROR(INDEX(Config!$D$9:$D$29,MATCH($B2112,Config!$B$9:$B$29,0))&amp;"",""))</f>
        <v/>
      </c>
    </row>
    <row r="2113">
      <c r="X2113" s="20" t="str">
        <f>IF($B2113="","",IFERROR(IF(INDEX(Config!$D$9:$D$29,MATCH($B2113,Config!$B$9:$B$29,0))="Contrato",IF(INDEX(Config!$E$9:$E$29,MATCH($B2113,Config!$B$9:$B$29,0))="","",INDEX(Config!$E$9:$E$29,MATCH($B2113,Config!$B$9:$B$29,0))),""),""))</f>
        <v/>
      </c>
      <c r="AI2113" s="19" t="str">
        <f>IF($B2113="","",IFERROR(INDEX(Config!$D$9:$D$29,MATCH($B2113,Config!$B$9:$B$29,0))&amp;"",""))</f>
        <v/>
      </c>
    </row>
    <row r="2114">
      <c r="X2114" s="20" t="str">
        <f>IF($B2114="","",IFERROR(IF(INDEX(Config!$D$9:$D$29,MATCH($B2114,Config!$B$9:$B$29,0))="Contrato",IF(INDEX(Config!$E$9:$E$29,MATCH($B2114,Config!$B$9:$B$29,0))="","",INDEX(Config!$E$9:$E$29,MATCH($B2114,Config!$B$9:$B$29,0))),""),""))</f>
        <v/>
      </c>
      <c r="AI2114" s="19" t="str">
        <f>IF($B2114="","",IFERROR(INDEX(Config!$D$9:$D$29,MATCH($B2114,Config!$B$9:$B$29,0))&amp;"",""))</f>
        <v/>
      </c>
    </row>
    <row r="2115">
      <c r="X2115" s="20" t="str">
        <f>IF($B2115="","",IFERROR(IF(INDEX(Config!$D$9:$D$29,MATCH($B2115,Config!$B$9:$B$29,0))="Contrato",IF(INDEX(Config!$E$9:$E$29,MATCH($B2115,Config!$B$9:$B$29,0))="","",INDEX(Config!$E$9:$E$29,MATCH($B2115,Config!$B$9:$B$29,0))),""),""))</f>
        <v/>
      </c>
      <c r="AI2115" s="19" t="str">
        <f>IF($B2115="","",IFERROR(INDEX(Config!$D$9:$D$29,MATCH($B2115,Config!$B$9:$B$29,0))&amp;"",""))</f>
        <v/>
      </c>
    </row>
    <row r="2116">
      <c r="X2116" s="20" t="str">
        <f>IF($B2116="","",IFERROR(IF(INDEX(Config!$D$9:$D$29,MATCH($B2116,Config!$B$9:$B$29,0))="Contrato",IF(INDEX(Config!$E$9:$E$29,MATCH($B2116,Config!$B$9:$B$29,0))="","",INDEX(Config!$E$9:$E$29,MATCH($B2116,Config!$B$9:$B$29,0))),""),""))</f>
        <v/>
      </c>
      <c r="AI2116" s="19" t="str">
        <f>IF($B2116="","",IFERROR(INDEX(Config!$D$9:$D$29,MATCH($B2116,Config!$B$9:$B$29,0))&amp;"",""))</f>
        <v/>
      </c>
    </row>
    <row r="2117">
      <c r="X2117" s="20" t="str">
        <f>IF($B2117="","",IFERROR(IF(INDEX(Config!$D$9:$D$29,MATCH($B2117,Config!$B$9:$B$29,0))="Contrato",IF(INDEX(Config!$E$9:$E$29,MATCH($B2117,Config!$B$9:$B$29,0))="","",INDEX(Config!$E$9:$E$29,MATCH($B2117,Config!$B$9:$B$29,0))),""),""))</f>
        <v/>
      </c>
      <c r="AI2117" s="19" t="str">
        <f>IF($B2117="","",IFERROR(INDEX(Config!$D$9:$D$29,MATCH($B2117,Config!$B$9:$B$29,0))&amp;"",""))</f>
        <v/>
      </c>
    </row>
    <row r="2118">
      <c r="X2118" s="20" t="str">
        <f>IF($B2118="","",IFERROR(IF(INDEX(Config!$D$9:$D$29,MATCH($B2118,Config!$B$9:$B$29,0))="Contrato",IF(INDEX(Config!$E$9:$E$29,MATCH($B2118,Config!$B$9:$B$29,0))="","",INDEX(Config!$E$9:$E$29,MATCH($B2118,Config!$B$9:$B$29,0))),""),""))</f>
        <v/>
      </c>
      <c r="AI2118" s="19" t="str">
        <f>IF($B2118="","",IFERROR(INDEX(Config!$D$9:$D$29,MATCH($B2118,Config!$B$9:$B$29,0))&amp;"",""))</f>
        <v/>
      </c>
    </row>
    <row r="2119">
      <c r="X2119" s="20" t="str">
        <f>IF($B2119="","",IFERROR(IF(INDEX(Config!$D$9:$D$29,MATCH($B2119,Config!$B$9:$B$29,0))="Contrato",IF(INDEX(Config!$E$9:$E$29,MATCH($B2119,Config!$B$9:$B$29,0))="","",INDEX(Config!$E$9:$E$29,MATCH($B2119,Config!$B$9:$B$29,0))),""),""))</f>
        <v/>
      </c>
      <c r="AI2119" s="19" t="str">
        <f>IF($B2119="","",IFERROR(INDEX(Config!$D$9:$D$29,MATCH($B2119,Config!$B$9:$B$29,0))&amp;"",""))</f>
        <v/>
      </c>
    </row>
    <row r="2120">
      <c r="X2120" s="20" t="str">
        <f>IF($B2120="","",IFERROR(IF(INDEX(Config!$D$9:$D$29,MATCH($B2120,Config!$B$9:$B$29,0))="Contrato",IF(INDEX(Config!$E$9:$E$29,MATCH($B2120,Config!$B$9:$B$29,0))="","",INDEX(Config!$E$9:$E$29,MATCH($B2120,Config!$B$9:$B$29,0))),""),""))</f>
        <v/>
      </c>
      <c r="AI2120" s="19" t="str">
        <f>IF($B2120="","",IFERROR(INDEX(Config!$D$9:$D$29,MATCH($B2120,Config!$B$9:$B$29,0))&amp;"",""))</f>
        <v/>
      </c>
    </row>
    <row r="2121">
      <c r="X2121" s="20" t="str">
        <f>IF($B2121="","",IFERROR(IF(INDEX(Config!$D$9:$D$29,MATCH($B2121,Config!$B$9:$B$29,0))="Contrato",IF(INDEX(Config!$E$9:$E$29,MATCH($B2121,Config!$B$9:$B$29,0))="","",INDEX(Config!$E$9:$E$29,MATCH($B2121,Config!$B$9:$B$29,0))),""),""))</f>
        <v/>
      </c>
      <c r="AI2121" s="19" t="str">
        <f>IF($B2121="","",IFERROR(INDEX(Config!$D$9:$D$29,MATCH($B2121,Config!$B$9:$B$29,0))&amp;"",""))</f>
        <v/>
      </c>
    </row>
    <row r="2122">
      <c r="X2122" s="20" t="str">
        <f>IF($B2122="","",IFERROR(IF(INDEX(Config!$D$9:$D$29,MATCH($B2122,Config!$B$9:$B$29,0))="Contrato",IF(INDEX(Config!$E$9:$E$29,MATCH($B2122,Config!$B$9:$B$29,0))="","",INDEX(Config!$E$9:$E$29,MATCH($B2122,Config!$B$9:$B$29,0))),""),""))</f>
        <v/>
      </c>
      <c r="AI2122" s="19" t="str">
        <f>IF($B2122="","",IFERROR(INDEX(Config!$D$9:$D$29,MATCH($B2122,Config!$B$9:$B$29,0))&amp;"",""))</f>
        <v/>
      </c>
    </row>
    <row r="2123">
      <c r="X2123" s="20" t="str">
        <f>IF($B2123="","",IFERROR(IF(INDEX(Config!$D$9:$D$29,MATCH($B2123,Config!$B$9:$B$29,0))="Contrato",IF(INDEX(Config!$E$9:$E$29,MATCH($B2123,Config!$B$9:$B$29,0))="","",INDEX(Config!$E$9:$E$29,MATCH($B2123,Config!$B$9:$B$29,0))),""),""))</f>
        <v/>
      </c>
      <c r="AI2123" s="19" t="str">
        <f>IF($B2123="","",IFERROR(INDEX(Config!$D$9:$D$29,MATCH($B2123,Config!$B$9:$B$29,0))&amp;"",""))</f>
        <v/>
      </c>
    </row>
    <row r="2124">
      <c r="X2124" s="20" t="str">
        <f>IF($B2124="","",IFERROR(IF(INDEX(Config!$D$9:$D$29,MATCH($B2124,Config!$B$9:$B$29,0))="Contrato",IF(INDEX(Config!$E$9:$E$29,MATCH($B2124,Config!$B$9:$B$29,0))="","",INDEX(Config!$E$9:$E$29,MATCH($B2124,Config!$B$9:$B$29,0))),""),""))</f>
        <v/>
      </c>
      <c r="AI2124" s="19" t="str">
        <f>IF($B2124="","",IFERROR(INDEX(Config!$D$9:$D$29,MATCH($B2124,Config!$B$9:$B$29,0))&amp;"",""))</f>
        <v/>
      </c>
    </row>
    <row r="2125">
      <c r="X2125" s="20" t="str">
        <f>IF($B2125="","",IFERROR(IF(INDEX(Config!$D$9:$D$29,MATCH($B2125,Config!$B$9:$B$29,0))="Contrato",IF(INDEX(Config!$E$9:$E$29,MATCH($B2125,Config!$B$9:$B$29,0))="","",INDEX(Config!$E$9:$E$29,MATCH($B2125,Config!$B$9:$B$29,0))),""),""))</f>
        <v/>
      </c>
      <c r="AI2125" s="19" t="str">
        <f>IF($B2125="","",IFERROR(INDEX(Config!$D$9:$D$29,MATCH($B2125,Config!$B$9:$B$29,0))&amp;"",""))</f>
        <v/>
      </c>
    </row>
    <row r="2126">
      <c r="X2126" s="20" t="str">
        <f>IF($B2126="","",IFERROR(IF(INDEX(Config!$D$9:$D$29,MATCH($B2126,Config!$B$9:$B$29,0))="Contrato",IF(INDEX(Config!$E$9:$E$29,MATCH($B2126,Config!$B$9:$B$29,0))="","",INDEX(Config!$E$9:$E$29,MATCH($B2126,Config!$B$9:$B$29,0))),""),""))</f>
        <v/>
      </c>
      <c r="AI2126" s="19" t="str">
        <f>IF($B2126="","",IFERROR(INDEX(Config!$D$9:$D$29,MATCH($B2126,Config!$B$9:$B$29,0))&amp;"",""))</f>
        <v/>
      </c>
    </row>
    <row r="2127">
      <c r="X2127" s="20" t="str">
        <f>IF($B2127="","",IFERROR(IF(INDEX(Config!$D$9:$D$29,MATCH($B2127,Config!$B$9:$B$29,0))="Contrato",IF(INDEX(Config!$E$9:$E$29,MATCH($B2127,Config!$B$9:$B$29,0))="","",INDEX(Config!$E$9:$E$29,MATCH($B2127,Config!$B$9:$B$29,0))),""),""))</f>
        <v/>
      </c>
      <c r="AI2127" s="19" t="str">
        <f>IF($B2127="","",IFERROR(INDEX(Config!$D$9:$D$29,MATCH($B2127,Config!$B$9:$B$29,0))&amp;"",""))</f>
        <v/>
      </c>
    </row>
    <row r="2128">
      <c r="X2128" s="20" t="str">
        <f>IF($B2128="","",IFERROR(IF(INDEX(Config!$D$9:$D$29,MATCH($B2128,Config!$B$9:$B$29,0))="Contrato",IF(INDEX(Config!$E$9:$E$29,MATCH($B2128,Config!$B$9:$B$29,0))="","",INDEX(Config!$E$9:$E$29,MATCH($B2128,Config!$B$9:$B$29,0))),""),""))</f>
        <v/>
      </c>
      <c r="AI2128" s="19" t="str">
        <f>IF($B2128="","",IFERROR(INDEX(Config!$D$9:$D$29,MATCH($B2128,Config!$B$9:$B$29,0))&amp;"",""))</f>
        <v/>
      </c>
    </row>
    <row r="2129">
      <c r="X2129" s="20" t="str">
        <f>IF($B2129="","",IFERROR(IF(INDEX(Config!$D$9:$D$29,MATCH($B2129,Config!$B$9:$B$29,0))="Contrato",IF(INDEX(Config!$E$9:$E$29,MATCH($B2129,Config!$B$9:$B$29,0))="","",INDEX(Config!$E$9:$E$29,MATCH($B2129,Config!$B$9:$B$29,0))),""),""))</f>
        <v/>
      </c>
      <c r="AI2129" s="19" t="str">
        <f>IF($B2129="","",IFERROR(INDEX(Config!$D$9:$D$29,MATCH($B2129,Config!$B$9:$B$29,0))&amp;"",""))</f>
        <v/>
      </c>
    </row>
    <row r="2130">
      <c r="X2130" s="20" t="str">
        <f>IF($B2130="","",IFERROR(IF(INDEX(Config!$D$9:$D$29,MATCH($B2130,Config!$B$9:$B$29,0))="Contrato",IF(INDEX(Config!$E$9:$E$29,MATCH($B2130,Config!$B$9:$B$29,0))="","",INDEX(Config!$E$9:$E$29,MATCH($B2130,Config!$B$9:$B$29,0))),""),""))</f>
        <v/>
      </c>
      <c r="AI2130" s="19" t="str">
        <f>IF($B2130="","",IFERROR(INDEX(Config!$D$9:$D$29,MATCH($B2130,Config!$B$9:$B$29,0))&amp;"",""))</f>
        <v/>
      </c>
    </row>
    <row r="2131">
      <c r="X2131" s="20" t="str">
        <f>IF($B2131="","",IFERROR(IF(INDEX(Config!$D$9:$D$29,MATCH($B2131,Config!$B$9:$B$29,0))="Contrato",IF(INDEX(Config!$E$9:$E$29,MATCH($B2131,Config!$B$9:$B$29,0))="","",INDEX(Config!$E$9:$E$29,MATCH($B2131,Config!$B$9:$B$29,0))),""),""))</f>
        <v/>
      </c>
      <c r="AI2131" s="19" t="str">
        <f>IF($B2131="","",IFERROR(INDEX(Config!$D$9:$D$29,MATCH($B2131,Config!$B$9:$B$29,0))&amp;"",""))</f>
        <v/>
      </c>
    </row>
    <row r="2132">
      <c r="X2132" s="20" t="str">
        <f>IF($B2132="","",IFERROR(IF(INDEX(Config!$D$9:$D$29,MATCH($B2132,Config!$B$9:$B$29,0))="Contrato",IF(INDEX(Config!$E$9:$E$29,MATCH($B2132,Config!$B$9:$B$29,0))="","",INDEX(Config!$E$9:$E$29,MATCH($B2132,Config!$B$9:$B$29,0))),""),""))</f>
        <v/>
      </c>
      <c r="AI2132" s="19" t="str">
        <f>IF($B2132="","",IFERROR(INDEX(Config!$D$9:$D$29,MATCH($B2132,Config!$B$9:$B$29,0))&amp;"",""))</f>
        <v/>
      </c>
    </row>
    <row r="2133">
      <c r="X2133" s="20" t="str">
        <f>IF($B2133="","",IFERROR(IF(INDEX(Config!$D$9:$D$29,MATCH($B2133,Config!$B$9:$B$29,0))="Contrato",IF(INDEX(Config!$E$9:$E$29,MATCH($B2133,Config!$B$9:$B$29,0))="","",INDEX(Config!$E$9:$E$29,MATCH($B2133,Config!$B$9:$B$29,0))),""),""))</f>
        <v/>
      </c>
      <c r="AI2133" s="19" t="str">
        <f>IF($B2133="","",IFERROR(INDEX(Config!$D$9:$D$29,MATCH($B2133,Config!$B$9:$B$29,0))&amp;"",""))</f>
        <v/>
      </c>
    </row>
    <row r="2134">
      <c r="X2134" s="20" t="str">
        <f>IF($B2134="","",IFERROR(IF(INDEX(Config!$D$9:$D$29,MATCH($B2134,Config!$B$9:$B$29,0))="Contrato",IF(INDEX(Config!$E$9:$E$29,MATCH($B2134,Config!$B$9:$B$29,0))="","",INDEX(Config!$E$9:$E$29,MATCH($B2134,Config!$B$9:$B$29,0))),""),""))</f>
        <v/>
      </c>
      <c r="AI2134" s="19" t="str">
        <f>IF($B2134="","",IFERROR(INDEX(Config!$D$9:$D$29,MATCH($B2134,Config!$B$9:$B$29,0))&amp;"",""))</f>
        <v/>
      </c>
    </row>
    <row r="2135">
      <c r="X2135" s="20" t="str">
        <f>IF($B2135="","",IFERROR(IF(INDEX(Config!$D$9:$D$29,MATCH($B2135,Config!$B$9:$B$29,0))="Contrato",IF(INDEX(Config!$E$9:$E$29,MATCH($B2135,Config!$B$9:$B$29,0))="","",INDEX(Config!$E$9:$E$29,MATCH($B2135,Config!$B$9:$B$29,0))),""),""))</f>
        <v/>
      </c>
      <c r="AI2135" s="19" t="str">
        <f>IF($B2135="","",IFERROR(INDEX(Config!$D$9:$D$29,MATCH($B2135,Config!$B$9:$B$29,0))&amp;"",""))</f>
        <v/>
      </c>
    </row>
    <row r="2136">
      <c r="X2136" s="20" t="str">
        <f>IF($B2136="","",IFERROR(IF(INDEX(Config!$D$9:$D$29,MATCH($B2136,Config!$B$9:$B$29,0))="Contrato",IF(INDEX(Config!$E$9:$E$29,MATCH($B2136,Config!$B$9:$B$29,0))="","",INDEX(Config!$E$9:$E$29,MATCH($B2136,Config!$B$9:$B$29,0))),""),""))</f>
        <v/>
      </c>
      <c r="AI2136" s="19" t="str">
        <f>IF($B2136="","",IFERROR(INDEX(Config!$D$9:$D$29,MATCH($B2136,Config!$B$9:$B$29,0))&amp;"",""))</f>
        <v/>
      </c>
    </row>
    <row r="2137">
      <c r="X2137" s="20" t="str">
        <f>IF($B2137="","",IFERROR(IF(INDEX(Config!$D$9:$D$29,MATCH($B2137,Config!$B$9:$B$29,0))="Contrato",IF(INDEX(Config!$E$9:$E$29,MATCH($B2137,Config!$B$9:$B$29,0))="","",INDEX(Config!$E$9:$E$29,MATCH($B2137,Config!$B$9:$B$29,0))),""),""))</f>
        <v/>
      </c>
      <c r="AI2137" s="19" t="str">
        <f>IF($B2137="","",IFERROR(INDEX(Config!$D$9:$D$29,MATCH($B2137,Config!$B$9:$B$29,0))&amp;"",""))</f>
        <v/>
      </c>
    </row>
    <row r="2138">
      <c r="X2138" s="20" t="str">
        <f>IF($B2138="","",IFERROR(IF(INDEX(Config!$D$9:$D$29,MATCH($B2138,Config!$B$9:$B$29,0))="Contrato",IF(INDEX(Config!$E$9:$E$29,MATCH($B2138,Config!$B$9:$B$29,0))="","",INDEX(Config!$E$9:$E$29,MATCH($B2138,Config!$B$9:$B$29,0))),""),""))</f>
        <v/>
      </c>
      <c r="AI2138" s="19" t="str">
        <f>IF($B2138="","",IFERROR(INDEX(Config!$D$9:$D$29,MATCH($B2138,Config!$B$9:$B$29,0))&amp;"",""))</f>
        <v/>
      </c>
    </row>
    <row r="2139">
      <c r="X2139" s="20" t="str">
        <f>IF($B2139="","",IFERROR(IF(INDEX(Config!$D$9:$D$29,MATCH($B2139,Config!$B$9:$B$29,0))="Contrato",IF(INDEX(Config!$E$9:$E$29,MATCH($B2139,Config!$B$9:$B$29,0))="","",INDEX(Config!$E$9:$E$29,MATCH($B2139,Config!$B$9:$B$29,0))),""),""))</f>
        <v/>
      </c>
      <c r="AI2139" s="19" t="str">
        <f>IF($B2139="","",IFERROR(INDEX(Config!$D$9:$D$29,MATCH($B2139,Config!$B$9:$B$29,0))&amp;"",""))</f>
        <v/>
      </c>
    </row>
    <row r="2140">
      <c r="X2140" s="20" t="str">
        <f>IF($B2140="","",IFERROR(IF(INDEX(Config!$D$9:$D$29,MATCH($B2140,Config!$B$9:$B$29,0))="Contrato",IF(INDEX(Config!$E$9:$E$29,MATCH($B2140,Config!$B$9:$B$29,0))="","",INDEX(Config!$E$9:$E$29,MATCH($B2140,Config!$B$9:$B$29,0))),""),""))</f>
        <v/>
      </c>
      <c r="AI2140" s="19" t="str">
        <f>IF($B2140="","",IFERROR(INDEX(Config!$D$9:$D$29,MATCH($B2140,Config!$B$9:$B$29,0))&amp;"",""))</f>
        <v/>
      </c>
    </row>
    <row r="2141">
      <c r="X2141" s="20" t="str">
        <f>IF($B2141="","",IFERROR(IF(INDEX(Config!$D$9:$D$29,MATCH($B2141,Config!$B$9:$B$29,0))="Contrato",IF(INDEX(Config!$E$9:$E$29,MATCH($B2141,Config!$B$9:$B$29,0))="","",INDEX(Config!$E$9:$E$29,MATCH($B2141,Config!$B$9:$B$29,0))),""),""))</f>
        <v/>
      </c>
      <c r="AI2141" s="19" t="str">
        <f>IF($B2141="","",IFERROR(INDEX(Config!$D$9:$D$29,MATCH($B2141,Config!$B$9:$B$29,0))&amp;"",""))</f>
        <v/>
      </c>
    </row>
    <row r="2142">
      <c r="X2142" s="20" t="str">
        <f>IF($B2142="","",IFERROR(IF(INDEX(Config!$D$9:$D$29,MATCH($B2142,Config!$B$9:$B$29,0))="Contrato",IF(INDEX(Config!$E$9:$E$29,MATCH($B2142,Config!$B$9:$B$29,0))="","",INDEX(Config!$E$9:$E$29,MATCH($B2142,Config!$B$9:$B$29,0))),""),""))</f>
        <v/>
      </c>
      <c r="AI2142" s="19" t="str">
        <f>IF($B2142="","",IFERROR(INDEX(Config!$D$9:$D$29,MATCH($B2142,Config!$B$9:$B$29,0))&amp;"",""))</f>
        <v/>
      </c>
    </row>
    <row r="2143">
      <c r="X2143" s="20" t="str">
        <f>IF($B2143="","",IFERROR(IF(INDEX(Config!$D$9:$D$29,MATCH($B2143,Config!$B$9:$B$29,0))="Contrato",IF(INDEX(Config!$E$9:$E$29,MATCH($B2143,Config!$B$9:$B$29,0))="","",INDEX(Config!$E$9:$E$29,MATCH($B2143,Config!$B$9:$B$29,0))),""),""))</f>
        <v/>
      </c>
      <c r="AI2143" s="19" t="str">
        <f>IF($B2143="","",IFERROR(INDEX(Config!$D$9:$D$29,MATCH($B2143,Config!$B$9:$B$29,0))&amp;"",""))</f>
        <v/>
      </c>
    </row>
    <row r="2144">
      <c r="X2144" s="20" t="str">
        <f>IF($B2144="","",IFERROR(IF(INDEX(Config!$D$9:$D$29,MATCH($B2144,Config!$B$9:$B$29,0))="Contrato",IF(INDEX(Config!$E$9:$E$29,MATCH($B2144,Config!$B$9:$B$29,0))="","",INDEX(Config!$E$9:$E$29,MATCH($B2144,Config!$B$9:$B$29,0))),""),""))</f>
        <v/>
      </c>
      <c r="AI2144" s="19" t="str">
        <f>IF($B2144="","",IFERROR(INDEX(Config!$D$9:$D$29,MATCH($B2144,Config!$B$9:$B$29,0))&amp;"",""))</f>
        <v/>
      </c>
    </row>
    <row r="2145">
      <c r="X2145" s="20" t="str">
        <f>IF($B2145="","",IFERROR(IF(INDEX(Config!$D$9:$D$29,MATCH($B2145,Config!$B$9:$B$29,0))="Contrato",IF(INDEX(Config!$E$9:$E$29,MATCH($B2145,Config!$B$9:$B$29,0))="","",INDEX(Config!$E$9:$E$29,MATCH($B2145,Config!$B$9:$B$29,0))),""),""))</f>
        <v/>
      </c>
      <c r="AI2145" s="19" t="str">
        <f>IF($B2145="","",IFERROR(INDEX(Config!$D$9:$D$29,MATCH($B2145,Config!$B$9:$B$29,0))&amp;"",""))</f>
        <v/>
      </c>
    </row>
    <row r="2146">
      <c r="X2146" s="20" t="str">
        <f>IF($B2146="","",IFERROR(IF(INDEX(Config!$D$9:$D$29,MATCH($B2146,Config!$B$9:$B$29,0))="Contrato",IF(INDEX(Config!$E$9:$E$29,MATCH($B2146,Config!$B$9:$B$29,0))="","",INDEX(Config!$E$9:$E$29,MATCH($B2146,Config!$B$9:$B$29,0))),""),""))</f>
        <v/>
      </c>
      <c r="AI2146" s="19" t="str">
        <f>IF($B2146="","",IFERROR(INDEX(Config!$D$9:$D$29,MATCH($B2146,Config!$B$9:$B$29,0))&amp;"",""))</f>
        <v/>
      </c>
    </row>
    <row r="2147">
      <c r="X2147" s="20" t="str">
        <f>IF($B2147="","",IFERROR(IF(INDEX(Config!$D$9:$D$29,MATCH($B2147,Config!$B$9:$B$29,0))="Contrato",IF(INDEX(Config!$E$9:$E$29,MATCH($B2147,Config!$B$9:$B$29,0))="","",INDEX(Config!$E$9:$E$29,MATCH($B2147,Config!$B$9:$B$29,0))),""),""))</f>
        <v/>
      </c>
      <c r="AI2147" s="19" t="str">
        <f>IF($B2147="","",IFERROR(INDEX(Config!$D$9:$D$29,MATCH($B2147,Config!$B$9:$B$29,0))&amp;"",""))</f>
        <v/>
      </c>
    </row>
    <row r="2148">
      <c r="X2148" s="20" t="str">
        <f>IF($B2148="","",IFERROR(IF(INDEX(Config!$D$9:$D$29,MATCH($B2148,Config!$B$9:$B$29,0))="Contrato",IF(INDEX(Config!$E$9:$E$29,MATCH($B2148,Config!$B$9:$B$29,0))="","",INDEX(Config!$E$9:$E$29,MATCH($B2148,Config!$B$9:$B$29,0))),""),""))</f>
        <v/>
      </c>
      <c r="AI2148" s="19" t="str">
        <f>IF($B2148="","",IFERROR(INDEX(Config!$D$9:$D$29,MATCH($B2148,Config!$B$9:$B$29,0))&amp;"",""))</f>
        <v/>
      </c>
    </row>
    <row r="2149">
      <c r="X2149" s="20" t="str">
        <f>IF($B2149="","",IFERROR(IF(INDEX(Config!$D$9:$D$29,MATCH($B2149,Config!$B$9:$B$29,0))="Contrato",IF(INDEX(Config!$E$9:$E$29,MATCH($B2149,Config!$B$9:$B$29,0))="","",INDEX(Config!$E$9:$E$29,MATCH($B2149,Config!$B$9:$B$29,0))),""),""))</f>
        <v/>
      </c>
      <c r="AI2149" s="19" t="str">
        <f>IF($B2149="","",IFERROR(INDEX(Config!$D$9:$D$29,MATCH($B2149,Config!$B$9:$B$29,0))&amp;"",""))</f>
        <v/>
      </c>
    </row>
    <row r="2150">
      <c r="X2150" s="20" t="str">
        <f>IF($B2150="","",IFERROR(IF(INDEX(Config!$D$9:$D$29,MATCH($B2150,Config!$B$9:$B$29,0))="Contrato",IF(INDEX(Config!$E$9:$E$29,MATCH($B2150,Config!$B$9:$B$29,0))="","",INDEX(Config!$E$9:$E$29,MATCH($B2150,Config!$B$9:$B$29,0))),""),""))</f>
        <v/>
      </c>
      <c r="AI2150" s="19" t="str">
        <f>IF($B2150="","",IFERROR(INDEX(Config!$D$9:$D$29,MATCH($B2150,Config!$B$9:$B$29,0))&amp;"",""))</f>
        <v/>
      </c>
    </row>
    <row r="2151">
      <c r="X2151" s="20" t="str">
        <f>IF($B2151="","",IFERROR(IF(INDEX(Config!$D$9:$D$29,MATCH($B2151,Config!$B$9:$B$29,0))="Contrato",IF(INDEX(Config!$E$9:$E$29,MATCH($B2151,Config!$B$9:$B$29,0))="","",INDEX(Config!$E$9:$E$29,MATCH($B2151,Config!$B$9:$B$29,0))),""),""))</f>
        <v/>
      </c>
      <c r="AI2151" s="19" t="str">
        <f>IF($B2151="","",IFERROR(INDEX(Config!$D$9:$D$29,MATCH($B2151,Config!$B$9:$B$29,0))&amp;"",""))</f>
        <v/>
      </c>
    </row>
    <row r="2152">
      <c r="X2152" s="20" t="str">
        <f>IF($B2152="","",IFERROR(IF(INDEX(Config!$D$9:$D$29,MATCH($B2152,Config!$B$9:$B$29,0))="Contrato",IF(INDEX(Config!$E$9:$E$29,MATCH($B2152,Config!$B$9:$B$29,0))="","",INDEX(Config!$E$9:$E$29,MATCH($B2152,Config!$B$9:$B$29,0))),""),""))</f>
        <v/>
      </c>
      <c r="AI2152" s="19" t="str">
        <f>IF($B2152="","",IFERROR(INDEX(Config!$D$9:$D$29,MATCH($B2152,Config!$B$9:$B$29,0))&amp;"",""))</f>
        <v/>
      </c>
    </row>
    <row r="2153">
      <c r="X2153" s="20" t="str">
        <f>IF($B2153="","",IFERROR(IF(INDEX(Config!$D$9:$D$29,MATCH($B2153,Config!$B$9:$B$29,0))="Contrato",IF(INDEX(Config!$E$9:$E$29,MATCH($B2153,Config!$B$9:$B$29,0))="","",INDEX(Config!$E$9:$E$29,MATCH($B2153,Config!$B$9:$B$29,0))),""),""))</f>
        <v/>
      </c>
      <c r="AI2153" s="19" t="str">
        <f>IF($B2153="","",IFERROR(INDEX(Config!$D$9:$D$29,MATCH($B2153,Config!$B$9:$B$29,0))&amp;"",""))</f>
        <v/>
      </c>
    </row>
    <row r="2154">
      <c r="X2154" s="20" t="str">
        <f>IF($B2154="","",IFERROR(IF(INDEX(Config!$D$9:$D$29,MATCH($B2154,Config!$B$9:$B$29,0))="Contrato",IF(INDEX(Config!$E$9:$E$29,MATCH($B2154,Config!$B$9:$B$29,0))="","",INDEX(Config!$E$9:$E$29,MATCH($B2154,Config!$B$9:$B$29,0))),""),""))</f>
        <v/>
      </c>
      <c r="AI2154" s="19" t="str">
        <f>IF($B2154="","",IFERROR(INDEX(Config!$D$9:$D$29,MATCH($B2154,Config!$B$9:$B$29,0))&amp;"",""))</f>
        <v/>
      </c>
    </row>
    <row r="2155">
      <c r="X2155" s="20" t="str">
        <f>IF($B2155="","",IFERROR(IF(INDEX(Config!$D$9:$D$29,MATCH($B2155,Config!$B$9:$B$29,0))="Contrato",IF(INDEX(Config!$E$9:$E$29,MATCH($B2155,Config!$B$9:$B$29,0))="","",INDEX(Config!$E$9:$E$29,MATCH($B2155,Config!$B$9:$B$29,0))),""),""))</f>
        <v/>
      </c>
      <c r="AI2155" s="19" t="str">
        <f>IF($B2155="","",IFERROR(INDEX(Config!$D$9:$D$29,MATCH($B2155,Config!$B$9:$B$29,0))&amp;"",""))</f>
        <v/>
      </c>
    </row>
    <row r="2156">
      <c r="X2156" s="20" t="str">
        <f>IF($B2156="","",IFERROR(IF(INDEX(Config!$D$9:$D$29,MATCH($B2156,Config!$B$9:$B$29,0))="Contrato",IF(INDEX(Config!$E$9:$E$29,MATCH($B2156,Config!$B$9:$B$29,0))="","",INDEX(Config!$E$9:$E$29,MATCH($B2156,Config!$B$9:$B$29,0))),""),""))</f>
        <v/>
      </c>
      <c r="AI2156" s="19" t="str">
        <f>IF($B2156="","",IFERROR(INDEX(Config!$D$9:$D$29,MATCH($B2156,Config!$B$9:$B$29,0))&amp;"",""))</f>
        <v/>
      </c>
    </row>
    <row r="2157">
      <c r="X2157" s="20" t="str">
        <f>IF($B2157="","",IFERROR(IF(INDEX(Config!$D$9:$D$29,MATCH($B2157,Config!$B$9:$B$29,0))="Contrato",IF(INDEX(Config!$E$9:$E$29,MATCH($B2157,Config!$B$9:$B$29,0))="","",INDEX(Config!$E$9:$E$29,MATCH($B2157,Config!$B$9:$B$29,0))),""),""))</f>
        <v/>
      </c>
      <c r="AI2157" s="19" t="str">
        <f>IF($B2157="","",IFERROR(INDEX(Config!$D$9:$D$29,MATCH($B2157,Config!$B$9:$B$29,0))&amp;"",""))</f>
        <v/>
      </c>
    </row>
    <row r="2158">
      <c r="X2158" s="20" t="str">
        <f>IF($B2158="","",IFERROR(IF(INDEX(Config!$D$9:$D$29,MATCH($B2158,Config!$B$9:$B$29,0))="Contrato",IF(INDEX(Config!$E$9:$E$29,MATCH($B2158,Config!$B$9:$B$29,0))="","",INDEX(Config!$E$9:$E$29,MATCH($B2158,Config!$B$9:$B$29,0))),""),""))</f>
        <v/>
      </c>
      <c r="AI2158" s="19" t="str">
        <f>IF($B2158="","",IFERROR(INDEX(Config!$D$9:$D$29,MATCH($B2158,Config!$B$9:$B$29,0))&amp;"",""))</f>
        <v/>
      </c>
    </row>
    <row r="2159">
      <c r="X2159" s="20" t="str">
        <f>IF($B2159="","",IFERROR(IF(INDEX(Config!$D$9:$D$29,MATCH($B2159,Config!$B$9:$B$29,0))="Contrato",IF(INDEX(Config!$E$9:$E$29,MATCH($B2159,Config!$B$9:$B$29,0))="","",INDEX(Config!$E$9:$E$29,MATCH($B2159,Config!$B$9:$B$29,0))),""),""))</f>
        <v/>
      </c>
      <c r="AI2159" s="19" t="str">
        <f>IF($B2159="","",IFERROR(INDEX(Config!$D$9:$D$29,MATCH($B2159,Config!$B$9:$B$29,0))&amp;"",""))</f>
        <v/>
      </c>
    </row>
    <row r="2160">
      <c r="X2160" s="20" t="str">
        <f>IF($B2160="","",IFERROR(IF(INDEX(Config!$D$9:$D$29,MATCH($B2160,Config!$B$9:$B$29,0))="Contrato",IF(INDEX(Config!$E$9:$E$29,MATCH($B2160,Config!$B$9:$B$29,0))="","",INDEX(Config!$E$9:$E$29,MATCH($B2160,Config!$B$9:$B$29,0))),""),""))</f>
        <v/>
      </c>
      <c r="AI2160" s="19" t="str">
        <f>IF($B2160="","",IFERROR(INDEX(Config!$D$9:$D$29,MATCH($B2160,Config!$B$9:$B$29,0))&amp;"",""))</f>
        <v/>
      </c>
    </row>
    <row r="2161">
      <c r="X2161" s="20" t="str">
        <f>IF($B2161="","",IFERROR(IF(INDEX(Config!$D$9:$D$29,MATCH($B2161,Config!$B$9:$B$29,0))="Contrato",IF(INDEX(Config!$E$9:$E$29,MATCH($B2161,Config!$B$9:$B$29,0))="","",INDEX(Config!$E$9:$E$29,MATCH($B2161,Config!$B$9:$B$29,0))),""),""))</f>
        <v/>
      </c>
      <c r="AI2161" s="19" t="str">
        <f>IF($B2161="","",IFERROR(INDEX(Config!$D$9:$D$29,MATCH($B2161,Config!$B$9:$B$29,0))&amp;"",""))</f>
        <v/>
      </c>
    </row>
    <row r="2162">
      <c r="X2162" s="20" t="str">
        <f>IF($B2162="","",IFERROR(IF(INDEX(Config!$D$9:$D$29,MATCH($B2162,Config!$B$9:$B$29,0))="Contrato",IF(INDEX(Config!$E$9:$E$29,MATCH($B2162,Config!$B$9:$B$29,0))="","",INDEX(Config!$E$9:$E$29,MATCH($B2162,Config!$B$9:$B$29,0))),""),""))</f>
        <v/>
      </c>
      <c r="AI2162" s="19" t="str">
        <f>IF($B2162="","",IFERROR(INDEX(Config!$D$9:$D$29,MATCH($B2162,Config!$B$9:$B$29,0))&amp;"",""))</f>
        <v/>
      </c>
    </row>
    <row r="2163">
      <c r="X2163" s="20" t="str">
        <f>IF($B2163="","",IFERROR(IF(INDEX(Config!$D$9:$D$29,MATCH($B2163,Config!$B$9:$B$29,0))="Contrato",IF(INDEX(Config!$E$9:$E$29,MATCH($B2163,Config!$B$9:$B$29,0))="","",INDEX(Config!$E$9:$E$29,MATCH($B2163,Config!$B$9:$B$29,0))),""),""))</f>
        <v/>
      </c>
      <c r="AI2163" s="19" t="str">
        <f>IF($B2163="","",IFERROR(INDEX(Config!$D$9:$D$29,MATCH($B2163,Config!$B$9:$B$29,0))&amp;"",""))</f>
        <v/>
      </c>
    </row>
    <row r="2164">
      <c r="X2164" s="20" t="str">
        <f>IF($B2164="","",IFERROR(IF(INDEX(Config!$D$9:$D$29,MATCH($B2164,Config!$B$9:$B$29,0))="Contrato",IF(INDEX(Config!$E$9:$E$29,MATCH($B2164,Config!$B$9:$B$29,0))="","",INDEX(Config!$E$9:$E$29,MATCH($B2164,Config!$B$9:$B$29,0))),""),""))</f>
        <v/>
      </c>
      <c r="AI2164" s="19" t="str">
        <f>IF($B2164="","",IFERROR(INDEX(Config!$D$9:$D$29,MATCH($B2164,Config!$B$9:$B$29,0))&amp;"",""))</f>
        <v/>
      </c>
    </row>
    <row r="2165">
      <c r="X2165" s="20" t="str">
        <f>IF($B2165="","",IFERROR(IF(INDEX(Config!$D$9:$D$29,MATCH($B2165,Config!$B$9:$B$29,0))="Contrato",IF(INDEX(Config!$E$9:$E$29,MATCH($B2165,Config!$B$9:$B$29,0))="","",INDEX(Config!$E$9:$E$29,MATCH($B2165,Config!$B$9:$B$29,0))),""),""))</f>
        <v/>
      </c>
      <c r="AI2165" s="19" t="str">
        <f>IF($B2165="","",IFERROR(INDEX(Config!$D$9:$D$29,MATCH($B2165,Config!$B$9:$B$29,0))&amp;"",""))</f>
        <v/>
      </c>
    </row>
    <row r="2166">
      <c r="X2166" s="20" t="str">
        <f>IF($B2166="","",IFERROR(IF(INDEX(Config!$D$9:$D$29,MATCH($B2166,Config!$B$9:$B$29,0))="Contrato",IF(INDEX(Config!$E$9:$E$29,MATCH($B2166,Config!$B$9:$B$29,0))="","",INDEX(Config!$E$9:$E$29,MATCH($B2166,Config!$B$9:$B$29,0))),""),""))</f>
        <v/>
      </c>
      <c r="AI2166" s="19" t="str">
        <f>IF($B2166="","",IFERROR(INDEX(Config!$D$9:$D$29,MATCH($B2166,Config!$B$9:$B$29,0))&amp;"",""))</f>
        <v/>
      </c>
    </row>
    <row r="2167">
      <c r="X2167" s="20" t="str">
        <f>IF($B2167="","",IFERROR(IF(INDEX(Config!$D$9:$D$29,MATCH($B2167,Config!$B$9:$B$29,0))="Contrato",IF(INDEX(Config!$E$9:$E$29,MATCH($B2167,Config!$B$9:$B$29,0))="","",INDEX(Config!$E$9:$E$29,MATCH($B2167,Config!$B$9:$B$29,0))),""),""))</f>
        <v/>
      </c>
      <c r="AI2167" s="19" t="str">
        <f>IF($B2167="","",IFERROR(INDEX(Config!$D$9:$D$29,MATCH($B2167,Config!$B$9:$B$29,0))&amp;"",""))</f>
        <v/>
      </c>
    </row>
    <row r="2168">
      <c r="X2168" s="20" t="str">
        <f>IF($B2168="","",IFERROR(IF(INDEX(Config!$D$9:$D$29,MATCH($B2168,Config!$B$9:$B$29,0))="Contrato",IF(INDEX(Config!$E$9:$E$29,MATCH($B2168,Config!$B$9:$B$29,0))="","",INDEX(Config!$E$9:$E$29,MATCH($B2168,Config!$B$9:$B$29,0))),""),""))</f>
        <v/>
      </c>
      <c r="AI2168" s="19" t="str">
        <f>IF($B2168="","",IFERROR(INDEX(Config!$D$9:$D$29,MATCH($B2168,Config!$B$9:$B$29,0))&amp;"",""))</f>
        <v/>
      </c>
    </row>
    <row r="2169">
      <c r="X2169" s="20" t="str">
        <f>IF($B2169="","",IFERROR(IF(INDEX(Config!$D$9:$D$29,MATCH($B2169,Config!$B$9:$B$29,0))="Contrato",IF(INDEX(Config!$E$9:$E$29,MATCH($B2169,Config!$B$9:$B$29,0))="","",INDEX(Config!$E$9:$E$29,MATCH($B2169,Config!$B$9:$B$29,0))),""),""))</f>
        <v/>
      </c>
      <c r="AI2169" s="19" t="str">
        <f>IF($B2169="","",IFERROR(INDEX(Config!$D$9:$D$29,MATCH($B2169,Config!$B$9:$B$29,0))&amp;"",""))</f>
        <v/>
      </c>
    </row>
    <row r="2170">
      <c r="X2170" s="20" t="str">
        <f>IF($B2170="","",IFERROR(IF(INDEX(Config!$D$9:$D$29,MATCH($B2170,Config!$B$9:$B$29,0))="Contrato",IF(INDEX(Config!$E$9:$E$29,MATCH($B2170,Config!$B$9:$B$29,0))="","",INDEX(Config!$E$9:$E$29,MATCH($B2170,Config!$B$9:$B$29,0))),""),""))</f>
        <v/>
      </c>
      <c r="AI2170" s="19" t="str">
        <f>IF($B2170="","",IFERROR(INDEX(Config!$D$9:$D$29,MATCH($B2170,Config!$B$9:$B$29,0))&amp;"",""))</f>
        <v/>
      </c>
    </row>
    <row r="2171">
      <c r="X2171" s="20" t="str">
        <f>IF($B2171="","",IFERROR(IF(INDEX(Config!$D$9:$D$29,MATCH($B2171,Config!$B$9:$B$29,0))="Contrato",IF(INDEX(Config!$E$9:$E$29,MATCH($B2171,Config!$B$9:$B$29,0))="","",INDEX(Config!$E$9:$E$29,MATCH($B2171,Config!$B$9:$B$29,0))),""),""))</f>
        <v/>
      </c>
      <c r="AI2171" s="19" t="str">
        <f>IF($B2171="","",IFERROR(INDEX(Config!$D$9:$D$29,MATCH($B2171,Config!$B$9:$B$29,0))&amp;"",""))</f>
        <v/>
      </c>
    </row>
    <row r="2172">
      <c r="X2172" s="20" t="str">
        <f>IF($B2172="","",IFERROR(IF(INDEX(Config!$D$9:$D$29,MATCH($B2172,Config!$B$9:$B$29,0))="Contrato",IF(INDEX(Config!$E$9:$E$29,MATCH($B2172,Config!$B$9:$B$29,0))="","",INDEX(Config!$E$9:$E$29,MATCH($B2172,Config!$B$9:$B$29,0))),""),""))</f>
        <v/>
      </c>
      <c r="AI2172" s="19" t="str">
        <f>IF($B2172="","",IFERROR(INDEX(Config!$D$9:$D$29,MATCH($B2172,Config!$B$9:$B$29,0))&amp;"",""))</f>
        <v/>
      </c>
    </row>
    <row r="2173">
      <c r="X2173" s="20" t="str">
        <f>IF($B2173="","",IFERROR(IF(INDEX(Config!$D$9:$D$29,MATCH($B2173,Config!$B$9:$B$29,0))="Contrato",IF(INDEX(Config!$E$9:$E$29,MATCH($B2173,Config!$B$9:$B$29,0))="","",INDEX(Config!$E$9:$E$29,MATCH($B2173,Config!$B$9:$B$29,0))),""),""))</f>
        <v/>
      </c>
      <c r="AI2173" s="19" t="str">
        <f>IF($B2173="","",IFERROR(INDEX(Config!$D$9:$D$29,MATCH($B2173,Config!$B$9:$B$29,0))&amp;"",""))</f>
        <v/>
      </c>
    </row>
    <row r="2174">
      <c r="X2174" s="20" t="str">
        <f>IF($B2174="","",IFERROR(IF(INDEX(Config!$D$9:$D$29,MATCH($B2174,Config!$B$9:$B$29,0))="Contrato",IF(INDEX(Config!$E$9:$E$29,MATCH($B2174,Config!$B$9:$B$29,0))="","",INDEX(Config!$E$9:$E$29,MATCH($B2174,Config!$B$9:$B$29,0))),""),""))</f>
        <v/>
      </c>
      <c r="AI2174" s="19" t="str">
        <f>IF($B2174="","",IFERROR(INDEX(Config!$D$9:$D$29,MATCH($B2174,Config!$B$9:$B$29,0))&amp;"",""))</f>
        <v/>
      </c>
    </row>
    <row r="2175">
      <c r="X2175" s="20" t="str">
        <f>IF($B2175="","",IFERROR(IF(INDEX(Config!$D$9:$D$29,MATCH($B2175,Config!$B$9:$B$29,0))="Contrato",IF(INDEX(Config!$E$9:$E$29,MATCH($B2175,Config!$B$9:$B$29,0))="","",INDEX(Config!$E$9:$E$29,MATCH($B2175,Config!$B$9:$B$29,0))),""),""))</f>
        <v/>
      </c>
      <c r="AI2175" s="19" t="str">
        <f>IF($B2175="","",IFERROR(INDEX(Config!$D$9:$D$29,MATCH($B2175,Config!$B$9:$B$29,0))&amp;"",""))</f>
        <v/>
      </c>
    </row>
    <row r="2176">
      <c r="X2176" s="20" t="str">
        <f>IF($B2176="","",IFERROR(IF(INDEX(Config!$D$9:$D$29,MATCH($B2176,Config!$B$9:$B$29,0))="Contrato",IF(INDEX(Config!$E$9:$E$29,MATCH($B2176,Config!$B$9:$B$29,0))="","",INDEX(Config!$E$9:$E$29,MATCH($B2176,Config!$B$9:$B$29,0))),""),""))</f>
        <v/>
      </c>
      <c r="AI2176" s="19" t="str">
        <f>IF($B2176="","",IFERROR(INDEX(Config!$D$9:$D$29,MATCH($B2176,Config!$B$9:$B$29,0))&amp;"",""))</f>
        <v/>
      </c>
    </row>
    <row r="2177">
      <c r="X2177" s="20" t="str">
        <f>IF($B2177="","",IFERROR(IF(INDEX(Config!$D$9:$D$29,MATCH($B2177,Config!$B$9:$B$29,0))="Contrato",IF(INDEX(Config!$E$9:$E$29,MATCH($B2177,Config!$B$9:$B$29,0))="","",INDEX(Config!$E$9:$E$29,MATCH($B2177,Config!$B$9:$B$29,0))),""),""))</f>
        <v/>
      </c>
      <c r="AI2177" s="19" t="str">
        <f>IF($B2177="","",IFERROR(INDEX(Config!$D$9:$D$29,MATCH($B2177,Config!$B$9:$B$29,0))&amp;"",""))</f>
        <v/>
      </c>
    </row>
    <row r="2178">
      <c r="X2178" s="20" t="str">
        <f>IF($B2178="","",IFERROR(IF(INDEX(Config!$D$9:$D$29,MATCH($B2178,Config!$B$9:$B$29,0))="Contrato",IF(INDEX(Config!$E$9:$E$29,MATCH($B2178,Config!$B$9:$B$29,0))="","",INDEX(Config!$E$9:$E$29,MATCH($B2178,Config!$B$9:$B$29,0))),""),""))</f>
        <v/>
      </c>
      <c r="AI2178" s="19" t="str">
        <f>IF($B2178="","",IFERROR(INDEX(Config!$D$9:$D$29,MATCH($B2178,Config!$B$9:$B$29,0))&amp;"",""))</f>
        <v/>
      </c>
    </row>
    <row r="2179">
      <c r="X2179" s="20" t="str">
        <f>IF($B2179="","",IFERROR(IF(INDEX(Config!$D$9:$D$29,MATCH($B2179,Config!$B$9:$B$29,0))="Contrato",IF(INDEX(Config!$E$9:$E$29,MATCH($B2179,Config!$B$9:$B$29,0))="","",INDEX(Config!$E$9:$E$29,MATCH($B2179,Config!$B$9:$B$29,0))),""),""))</f>
        <v/>
      </c>
      <c r="AI2179" s="19" t="str">
        <f>IF($B2179="","",IFERROR(INDEX(Config!$D$9:$D$29,MATCH($B2179,Config!$B$9:$B$29,0))&amp;"",""))</f>
        <v/>
      </c>
    </row>
    <row r="2180">
      <c r="X2180" s="20" t="str">
        <f>IF($B2180="","",IFERROR(IF(INDEX(Config!$D$9:$D$29,MATCH($B2180,Config!$B$9:$B$29,0))="Contrato",IF(INDEX(Config!$E$9:$E$29,MATCH($B2180,Config!$B$9:$B$29,0))="","",INDEX(Config!$E$9:$E$29,MATCH($B2180,Config!$B$9:$B$29,0))),""),""))</f>
        <v/>
      </c>
      <c r="AI2180" s="19" t="str">
        <f>IF($B2180="","",IFERROR(INDEX(Config!$D$9:$D$29,MATCH($B2180,Config!$B$9:$B$29,0))&amp;"",""))</f>
        <v/>
      </c>
    </row>
    <row r="2181">
      <c r="X2181" s="20" t="str">
        <f>IF($B2181="","",IFERROR(IF(INDEX(Config!$D$9:$D$29,MATCH($B2181,Config!$B$9:$B$29,0))="Contrato",IF(INDEX(Config!$E$9:$E$29,MATCH($B2181,Config!$B$9:$B$29,0))="","",INDEX(Config!$E$9:$E$29,MATCH($B2181,Config!$B$9:$B$29,0))),""),""))</f>
        <v/>
      </c>
      <c r="AI2181" s="19" t="str">
        <f>IF($B2181="","",IFERROR(INDEX(Config!$D$9:$D$29,MATCH($B2181,Config!$B$9:$B$29,0))&amp;"",""))</f>
        <v/>
      </c>
    </row>
    <row r="2182">
      <c r="X2182" s="20" t="str">
        <f>IF($B2182="","",IFERROR(IF(INDEX(Config!$D$9:$D$29,MATCH($B2182,Config!$B$9:$B$29,0))="Contrato",IF(INDEX(Config!$E$9:$E$29,MATCH($B2182,Config!$B$9:$B$29,0))="","",INDEX(Config!$E$9:$E$29,MATCH($B2182,Config!$B$9:$B$29,0))),""),""))</f>
        <v/>
      </c>
      <c r="AI2182" s="19" t="str">
        <f>IF($B2182="","",IFERROR(INDEX(Config!$D$9:$D$29,MATCH($B2182,Config!$B$9:$B$29,0))&amp;"",""))</f>
        <v/>
      </c>
    </row>
    <row r="2183">
      <c r="X2183" s="20" t="str">
        <f>IF($B2183="","",IFERROR(IF(INDEX(Config!$D$9:$D$29,MATCH($B2183,Config!$B$9:$B$29,0))="Contrato",IF(INDEX(Config!$E$9:$E$29,MATCH($B2183,Config!$B$9:$B$29,0))="","",INDEX(Config!$E$9:$E$29,MATCH($B2183,Config!$B$9:$B$29,0))),""),""))</f>
        <v/>
      </c>
      <c r="AI2183" s="19" t="str">
        <f>IF($B2183="","",IFERROR(INDEX(Config!$D$9:$D$29,MATCH($B2183,Config!$B$9:$B$29,0))&amp;"",""))</f>
        <v/>
      </c>
    </row>
    <row r="2184">
      <c r="X2184" s="20" t="str">
        <f>IF($B2184="","",IFERROR(IF(INDEX(Config!$D$9:$D$29,MATCH($B2184,Config!$B$9:$B$29,0))="Contrato",IF(INDEX(Config!$E$9:$E$29,MATCH($B2184,Config!$B$9:$B$29,0))="","",INDEX(Config!$E$9:$E$29,MATCH($B2184,Config!$B$9:$B$29,0))),""),""))</f>
        <v/>
      </c>
      <c r="AI2184" s="19" t="str">
        <f>IF($B2184="","",IFERROR(INDEX(Config!$D$9:$D$29,MATCH($B2184,Config!$B$9:$B$29,0))&amp;"",""))</f>
        <v/>
      </c>
    </row>
    <row r="2185">
      <c r="X2185" s="20" t="str">
        <f>IF($B2185="","",IFERROR(IF(INDEX(Config!$D$9:$D$29,MATCH($B2185,Config!$B$9:$B$29,0))="Contrato",IF(INDEX(Config!$E$9:$E$29,MATCH($B2185,Config!$B$9:$B$29,0))="","",INDEX(Config!$E$9:$E$29,MATCH($B2185,Config!$B$9:$B$29,0))),""),""))</f>
        <v/>
      </c>
      <c r="AI2185" s="19" t="str">
        <f>IF($B2185="","",IFERROR(INDEX(Config!$D$9:$D$29,MATCH($B2185,Config!$B$9:$B$29,0))&amp;"",""))</f>
        <v/>
      </c>
    </row>
    <row r="2186">
      <c r="X2186" s="20" t="str">
        <f>IF($B2186="","",IFERROR(IF(INDEX(Config!$D$9:$D$29,MATCH($B2186,Config!$B$9:$B$29,0))="Contrato",IF(INDEX(Config!$E$9:$E$29,MATCH($B2186,Config!$B$9:$B$29,0))="","",INDEX(Config!$E$9:$E$29,MATCH($B2186,Config!$B$9:$B$29,0))),""),""))</f>
        <v/>
      </c>
      <c r="AI2186" s="19" t="str">
        <f>IF($B2186="","",IFERROR(INDEX(Config!$D$9:$D$29,MATCH($B2186,Config!$B$9:$B$29,0))&amp;"",""))</f>
        <v/>
      </c>
    </row>
    <row r="2187">
      <c r="X2187" s="20" t="str">
        <f>IF($B2187="","",IFERROR(IF(INDEX(Config!$D$9:$D$29,MATCH($B2187,Config!$B$9:$B$29,0))="Contrato",IF(INDEX(Config!$E$9:$E$29,MATCH($B2187,Config!$B$9:$B$29,0))="","",INDEX(Config!$E$9:$E$29,MATCH($B2187,Config!$B$9:$B$29,0))),""),""))</f>
        <v/>
      </c>
      <c r="AI2187" s="19" t="str">
        <f>IF($B2187="","",IFERROR(INDEX(Config!$D$9:$D$29,MATCH($B2187,Config!$B$9:$B$29,0))&amp;"",""))</f>
        <v/>
      </c>
    </row>
    <row r="2188">
      <c r="X2188" s="20" t="str">
        <f>IF($B2188="","",IFERROR(IF(INDEX(Config!$D$9:$D$29,MATCH($B2188,Config!$B$9:$B$29,0))="Contrato",IF(INDEX(Config!$E$9:$E$29,MATCH($B2188,Config!$B$9:$B$29,0))="","",INDEX(Config!$E$9:$E$29,MATCH($B2188,Config!$B$9:$B$29,0))),""),""))</f>
        <v/>
      </c>
      <c r="AI2188" s="19" t="str">
        <f>IF($B2188="","",IFERROR(INDEX(Config!$D$9:$D$29,MATCH($B2188,Config!$B$9:$B$29,0))&amp;"",""))</f>
        <v/>
      </c>
    </row>
    <row r="2189">
      <c r="X2189" s="20" t="str">
        <f>IF($B2189="","",IFERROR(IF(INDEX(Config!$D$9:$D$29,MATCH($B2189,Config!$B$9:$B$29,0))="Contrato",IF(INDEX(Config!$E$9:$E$29,MATCH($B2189,Config!$B$9:$B$29,0))="","",INDEX(Config!$E$9:$E$29,MATCH($B2189,Config!$B$9:$B$29,0))),""),""))</f>
        <v/>
      </c>
      <c r="AI2189" s="19" t="str">
        <f>IF($B2189="","",IFERROR(INDEX(Config!$D$9:$D$29,MATCH($B2189,Config!$B$9:$B$29,0))&amp;"",""))</f>
        <v/>
      </c>
    </row>
    <row r="2190">
      <c r="X2190" s="20" t="str">
        <f>IF($B2190="","",IFERROR(IF(INDEX(Config!$D$9:$D$29,MATCH($B2190,Config!$B$9:$B$29,0))="Contrato",IF(INDEX(Config!$E$9:$E$29,MATCH($B2190,Config!$B$9:$B$29,0))="","",INDEX(Config!$E$9:$E$29,MATCH($B2190,Config!$B$9:$B$29,0))),""),""))</f>
        <v/>
      </c>
      <c r="AI2190" s="19" t="str">
        <f>IF($B2190="","",IFERROR(INDEX(Config!$D$9:$D$29,MATCH($B2190,Config!$B$9:$B$29,0))&amp;"",""))</f>
        <v/>
      </c>
    </row>
    <row r="2191">
      <c r="X2191" s="20" t="str">
        <f>IF($B2191="","",IFERROR(IF(INDEX(Config!$D$9:$D$29,MATCH($B2191,Config!$B$9:$B$29,0))="Contrato",IF(INDEX(Config!$E$9:$E$29,MATCH($B2191,Config!$B$9:$B$29,0))="","",INDEX(Config!$E$9:$E$29,MATCH($B2191,Config!$B$9:$B$29,0))),""),""))</f>
        <v/>
      </c>
      <c r="AI2191" s="19" t="str">
        <f>IF($B2191="","",IFERROR(INDEX(Config!$D$9:$D$29,MATCH($B2191,Config!$B$9:$B$29,0))&amp;"",""))</f>
        <v/>
      </c>
    </row>
    <row r="2192">
      <c r="X2192" s="20" t="str">
        <f>IF($B2192="","",IFERROR(IF(INDEX(Config!$D$9:$D$29,MATCH($B2192,Config!$B$9:$B$29,0))="Contrato",IF(INDEX(Config!$E$9:$E$29,MATCH($B2192,Config!$B$9:$B$29,0))="","",INDEX(Config!$E$9:$E$29,MATCH($B2192,Config!$B$9:$B$29,0))),""),""))</f>
        <v/>
      </c>
      <c r="AI2192" s="19" t="str">
        <f>IF($B2192="","",IFERROR(INDEX(Config!$D$9:$D$29,MATCH($B2192,Config!$B$9:$B$29,0))&amp;"",""))</f>
        <v/>
      </c>
    </row>
    <row r="2193">
      <c r="X2193" s="20" t="str">
        <f>IF($B2193="","",IFERROR(IF(INDEX(Config!$D$9:$D$29,MATCH($B2193,Config!$B$9:$B$29,0))="Contrato",IF(INDEX(Config!$E$9:$E$29,MATCH($B2193,Config!$B$9:$B$29,0))="","",INDEX(Config!$E$9:$E$29,MATCH($B2193,Config!$B$9:$B$29,0))),""),""))</f>
        <v/>
      </c>
      <c r="AI2193" s="19" t="str">
        <f>IF($B2193="","",IFERROR(INDEX(Config!$D$9:$D$29,MATCH($B2193,Config!$B$9:$B$29,0))&amp;"",""))</f>
        <v/>
      </c>
    </row>
    <row r="2194">
      <c r="X2194" s="20" t="str">
        <f>IF($B2194="","",IFERROR(IF(INDEX(Config!$D$9:$D$29,MATCH($B2194,Config!$B$9:$B$29,0))="Contrato",IF(INDEX(Config!$E$9:$E$29,MATCH($B2194,Config!$B$9:$B$29,0))="","",INDEX(Config!$E$9:$E$29,MATCH($B2194,Config!$B$9:$B$29,0))),""),""))</f>
        <v/>
      </c>
      <c r="AI2194" s="19" t="str">
        <f>IF($B2194="","",IFERROR(INDEX(Config!$D$9:$D$29,MATCH($B2194,Config!$B$9:$B$29,0))&amp;"",""))</f>
        <v/>
      </c>
    </row>
    <row r="2195">
      <c r="X2195" s="20" t="str">
        <f>IF($B2195="","",IFERROR(IF(INDEX(Config!$D$9:$D$29,MATCH($B2195,Config!$B$9:$B$29,0))="Contrato",IF(INDEX(Config!$E$9:$E$29,MATCH($B2195,Config!$B$9:$B$29,0))="","",INDEX(Config!$E$9:$E$29,MATCH($B2195,Config!$B$9:$B$29,0))),""),""))</f>
        <v/>
      </c>
      <c r="AI2195" s="19" t="str">
        <f>IF($B2195="","",IFERROR(INDEX(Config!$D$9:$D$29,MATCH($B2195,Config!$B$9:$B$29,0))&amp;"",""))</f>
        <v/>
      </c>
    </row>
    <row r="2196">
      <c r="X2196" s="20" t="str">
        <f>IF($B2196="","",IFERROR(IF(INDEX(Config!$D$9:$D$29,MATCH($B2196,Config!$B$9:$B$29,0))="Contrato",IF(INDEX(Config!$E$9:$E$29,MATCH($B2196,Config!$B$9:$B$29,0))="","",INDEX(Config!$E$9:$E$29,MATCH($B2196,Config!$B$9:$B$29,0))),""),""))</f>
        <v/>
      </c>
      <c r="AI2196" s="19" t="str">
        <f>IF($B2196="","",IFERROR(INDEX(Config!$D$9:$D$29,MATCH($B2196,Config!$B$9:$B$29,0))&amp;"",""))</f>
        <v/>
      </c>
    </row>
    <row r="2197">
      <c r="X2197" s="20" t="str">
        <f>IF($B2197="","",IFERROR(IF(INDEX(Config!$D$9:$D$29,MATCH($B2197,Config!$B$9:$B$29,0))="Contrato",IF(INDEX(Config!$E$9:$E$29,MATCH($B2197,Config!$B$9:$B$29,0))="","",INDEX(Config!$E$9:$E$29,MATCH($B2197,Config!$B$9:$B$29,0))),""),""))</f>
        <v/>
      </c>
      <c r="AI2197" s="19" t="str">
        <f>IF($B2197="","",IFERROR(INDEX(Config!$D$9:$D$29,MATCH($B2197,Config!$B$9:$B$29,0))&amp;"",""))</f>
        <v/>
      </c>
    </row>
    <row r="2198">
      <c r="X2198" s="20" t="str">
        <f>IF($B2198="","",IFERROR(IF(INDEX(Config!$D$9:$D$29,MATCH($B2198,Config!$B$9:$B$29,0))="Contrato",IF(INDEX(Config!$E$9:$E$29,MATCH($B2198,Config!$B$9:$B$29,0))="","",INDEX(Config!$E$9:$E$29,MATCH($B2198,Config!$B$9:$B$29,0))),""),""))</f>
        <v/>
      </c>
      <c r="AI2198" s="19" t="str">
        <f>IF($B2198="","",IFERROR(INDEX(Config!$D$9:$D$29,MATCH($B2198,Config!$B$9:$B$29,0))&amp;"",""))</f>
        <v/>
      </c>
    </row>
    <row r="2199">
      <c r="X2199" s="20" t="str">
        <f>IF($B2199="","",IFERROR(IF(INDEX(Config!$D$9:$D$29,MATCH($B2199,Config!$B$9:$B$29,0))="Contrato",IF(INDEX(Config!$E$9:$E$29,MATCH($B2199,Config!$B$9:$B$29,0))="","",INDEX(Config!$E$9:$E$29,MATCH($B2199,Config!$B$9:$B$29,0))),""),""))</f>
        <v/>
      </c>
      <c r="AI2199" s="19" t="str">
        <f>IF($B2199="","",IFERROR(INDEX(Config!$D$9:$D$29,MATCH($B2199,Config!$B$9:$B$29,0))&amp;"",""))</f>
        <v/>
      </c>
    </row>
    <row r="2200">
      <c r="X2200" s="20" t="str">
        <f>IF($B2200="","",IFERROR(IF(INDEX(Config!$D$9:$D$29,MATCH($B2200,Config!$B$9:$B$29,0))="Contrato",IF(INDEX(Config!$E$9:$E$29,MATCH($B2200,Config!$B$9:$B$29,0))="","",INDEX(Config!$E$9:$E$29,MATCH($B2200,Config!$B$9:$B$29,0))),""),""))</f>
        <v/>
      </c>
      <c r="AI2200" s="19" t="str">
        <f>IF($B2200="","",IFERROR(INDEX(Config!$D$9:$D$29,MATCH($B2200,Config!$B$9:$B$29,0))&amp;"",""))</f>
        <v/>
      </c>
    </row>
    <row r="2201">
      <c r="X2201" s="20" t="str">
        <f>IF($B2201="","",IFERROR(IF(INDEX(Config!$D$9:$D$29,MATCH($B2201,Config!$B$9:$B$29,0))="Contrato",IF(INDEX(Config!$E$9:$E$29,MATCH($B2201,Config!$B$9:$B$29,0))="","",INDEX(Config!$E$9:$E$29,MATCH($B2201,Config!$B$9:$B$29,0))),""),""))</f>
        <v/>
      </c>
      <c r="AI2201" s="19" t="str">
        <f>IF($B2201="","",IFERROR(INDEX(Config!$D$9:$D$29,MATCH($B2201,Config!$B$9:$B$29,0))&amp;"",""))</f>
        <v/>
      </c>
    </row>
    <row r="2202">
      <c r="X2202" s="20" t="str">
        <f>IF($B2202="","",IFERROR(IF(INDEX(Config!$D$9:$D$29,MATCH($B2202,Config!$B$9:$B$29,0))="Contrato",IF(INDEX(Config!$E$9:$E$29,MATCH($B2202,Config!$B$9:$B$29,0))="","",INDEX(Config!$E$9:$E$29,MATCH($B2202,Config!$B$9:$B$29,0))),""),""))</f>
        <v/>
      </c>
      <c r="AI2202" s="19" t="str">
        <f>IF($B2202="","",IFERROR(INDEX(Config!$D$9:$D$29,MATCH($B2202,Config!$B$9:$B$29,0))&amp;"",""))</f>
        <v/>
      </c>
    </row>
    <row r="2203">
      <c r="X2203" s="20" t="str">
        <f>IF($B2203="","",IFERROR(IF(INDEX(Config!$D$9:$D$29,MATCH($B2203,Config!$B$9:$B$29,0))="Contrato",IF(INDEX(Config!$E$9:$E$29,MATCH($B2203,Config!$B$9:$B$29,0))="","",INDEX(Config!$E$9:$E$29,MATCH($B2203,Config!$B$9:$B$29,0))),""),""))</f>
        <v/>
      </c>
      <c r="AI2203" s="19" t="str">
        <f>IF($B2203="","",IFERROR(INDEX(Config!$D$9:$D$29,MATCH($B2203,Config!$B$9:$B$29,0))&amp;"",""))</f>
        <v/>
      </c>
    </row>
    <row r="2204">
      <c r="X2204" s="20" t="str">
        <f>IF($B2204="","",IFERROR(IF(INDEX(Config!$D$9:$D$29,MATCH($B2204,Config!$B$9:$B$29,0))="Contrato",IF(INDEX(Config!$E$9:$E$29,MATCH($B2204,Config!$B$9:$B$29,0))="","",INDEX(Config!$E$9:$E$29,MATCH($B2204,Config!$B$9:$B$29,0))),""),""))</f>
        <v/>
      </c>
      <c r="AI2204" s="19" t="str">
        <f>IF($B2204="","",IFERROR(INDEX(Config!$D$9:$D$29,MATCH($B2204,Config!$B$9:$B$29,0))&amp;"",""))</f>
        <v/>
      </c>
    </row>
    <row r="2205">
      <c r="X2205" s="20" t="str">
        <f>IF($B2205="","",IFERROR(IF(INDEX(Config!$D$9:$D$29,MATCH($B2205,Config!$B$9:$B$29,0))="Contrato",IF(INDEX(Config!$E$9:$E$29,MATCH($B2205,Config!$B$9:$B$29,0))="","",INDEX(Config!$E$9:$E$29,MATCH($B2205,Config!$B$9:$B$29,0))),""),""))</f>
        <v/>
      </c>
      <c r="AI2205" s="19" t="str">
        <f>IF($B2205="","",IFERROR(INDEX(Config!$D$9:$D$29,MATCH($B2205,Config!$B$9:$B$29,0))&amp;"",""))</f>
        <v/>
      </c>
    </row>
    <row r="2206">
      <c r="X2206" s="20" t="str">
        <f>IF($B2206="","",IFERROR(IF(INDEX(Config!$D$9:$D$29,MATCH($B2206,Config!$B$9:$B$29,0))="Contrato",IF(INDEX(Config!$E$9:$E$29,MATCH($B2206,Config!$B$9:$B$29,0))="","",INDEX(Config!$E$9:$E$29,MATCH($B2206,Config!$B$9:$B$29,0))),""),""))</f>
        <v/>
      </c>
      <c r="AI2206" s="19" t="str">
        <f>IF($B2206="","",IFERROR(INDEX(Config!$D$9:$D$29,MATCH($B2206,Config!$B$9:$B$29,0))&amp;"",""))</f>
        <v/>
      </c>
    </row>
    <row r="2207">
      <c r="X2207" s="20" t="str">
        <f>IF($B2207="","",IFERROR(IF(INDEX(Config!$D$9:$D$29,MATCH($B2207,Config!$B$9:$B$29,0))="Contrato",IF(INDEX(Config!$E$9:$E$29,MATCH($B2207,Config!$B$9:$B$29,0))="","",INDEX(Config!$E$9:$E$29,MATCH($B2207,Config!$B$9:$B$29,0))),""),""))</f>
        <v/>
      </c>
      <c r="AI2207" s="19" t="str">
        <f>IF($B2207="","",IFERROR(INDEX(Config!$D$9:$D$29,MATCH($B2207,Config!$B$9:$B$29,0))&amp;"",""))</f>
        <v/>
      </c>
    </row>
    <row r="2208">
      <c r="X2208" s="20" t="str">
        <f>IF($B2208="","",IFERROR(IF(INDEX(Config!$D$9:$D$29,MATCH($B2208,Config!$B$9:$B$29,0))="Contrato",IF(INDEX(Config!$E$9:$E$29,MATCH($B2208,Config!$B$9:$B$29,0))="","",INDEX(Config!$E$9:$E$29,MATCH($B2208,Config!$B$9:$B$29,0))),""),""))</f>
        <v/>
      </c>
      <c r="AI2208" s="19" t="str">
        <f>IF($B2208="","",IFERROR(INDEX(Config!$D$9:$D$29,MATCH($B2208,Config!$B$9:$B$29,0))&amp;"",""))</f>
        <v/>
      </c>
    </row>
    <row r="2209">
      <c r="X2209" s="20" t="str">
        <f>IF($B2209="","",IFERROR(IF(INDEX(Config!$D$9:$D$29,MATCH($B2209,Config!$B$9:$B$29,0))="Contrato",IF(INDEX(Config!$E$9:$E$29,MATCH($B2209,Config!$B$9:$B$29,0))="","",INDEX(Config!$E$9:$E$29,MATCH($B2209,Config!$B$9:$B$29,0))),""),""))</f>
        <v/>
      </c>
      <c r="AI2209" s="19" t="str">
        <f>IF($B2209="","",IFERROR(INDEX(Config!$D$9:$D$29,MATCH($B2209,Config!$B$9:$B$29,0))&amp;"",""))</f>
        <v/>
      </c>
    </row>
    <row r="2210">
      <c r="X2210" s="20" t="str">
        <f>IF($B2210="","",IFERROR(IF(INDEX(Config!$D$9:$D$29,MATCH($B2210,Config!$B$9:$B$29,0))="Contrato",IF(INDEX(Config!$E$9:$E$29,MATCH($B2210,Config!$B$9:$B$29,0))="","",INDEX(Config!$E$9:$E$29,MATCH($B2210,Config!$B$9:$B$29,0))),""),""))</f>
        <v/>
      </c>
      <c r="AI2210" s="19" t="str">
        <f>IF($B2210="","",IFERROR(INDEX(Config!$D$9:$D$29,MATCH($B2210,Config!$B$9:$B$29,0))&amp;"",""))</f>
        <v/>
      </c>
    </row>
    <row r="2211">
      <c r="X2211" s="20" t="str">
        <f>IF($B2211="","",IFERROR(IF(INDEX(Config!$D$9:$D$29,MATCH($B2211,Config!$B$9:$B$29,0))="Contrato",IF(INDEX(Config!$E$9:$E$29,MATCH($B2211,Config!$B$9:$B$29,0))="","",INDEX(Config!$E$9:$E$29,MATCH($B2211,Config!$B$9:$B$29,0))),""),""))</f>
        <v/>
      </c>
      <c r="AI2211" s="19" t="str">
        <f>IF($B2211="","",IFERROR(INDEX(Config!$D$9:$D$29,MATCH($B2211,Config!$B$9:$B$29,0))&amp;"",""))</f>
        <v/>
      </c>
    </row>
    <row r="2212">
      <c r="X2212" s="20" t="str">
        <f>IF($B2212="","",IFERROR(IF(INDEX(Config!$D$9:$D$29,MATCH($B2212,Config!$B$9:$B$29,0))="Contrato",IF(INDEX(Config!$E$9:$E$29,MATCH($B2212,Config!$B$9:$B$29,0))="","",INDEX(Config!$E$9:$E$29,MATCH($B2212,Config!$B$9:$B$29,0))),""),""))</f>
        <v/>
      </c>
      <c r="AI2212" s="19" t="str">
        <f>IF($B2212="","",IFERROR(INDEX(Config!$D$9:$D$29,MATCH($B2212,Config!$B$9:$B$29,0))&amp;"",""))</f>
        <v/>
      </c>
    </row>
    <row r="2213">
      <c r="X2213" s="20" t="str">
        <f>IF($B2213="","",IFERROR(IF(INDEX(Config!$D$9:$D$29,MATCH($B2213,Config!$B$9:$B$29,0))="Contrato",IF(INDEX(Config!$E$9:$E$29,MATCH($B2213,Config!$B$9:$B$29,0))="","",INDEX(Config!$E$9:$E$29,MATCH($B2213,Config!$B$9:$B$29,0))),""),""))</f>
        <v/>
      </c>
      <c r="AI2213" s="19" t="str">
        <f>IF($B2213="","",IFERROR(INDEX(Config!$D$9:$D$29,MATCH($B2213,Config!$B$9:$B$29,0))&amp;"",""))</f>
        <v/>
      </c>
    </row>
    <row r="2214">
      <c r="X2214" s="20" t="str">
        <f>IF($B2214="","",IFERROR(IF(INDEX(Config!$D$9:$D$29,MATCH($B2214,Config!$B$9:$B$29,0))="Contrato",IF(INDEX(Config!$E$9:$E$29,MATCH($B2214,Config!$B$9:$B$29,0))="","",INDEX(Config!$E$9:$E$29,MATCH($B2214,Config!$B$9:$B$29,0))),""),""))</f>
        <v/>
      </c>
      <c r="AI2214" s="19" t="str">
        <f>IF($B2214="","",IFERROR(INDEX(Config!$D$9:$D$29,MATCH($B2214,Config!$B$9:$B$29,0))&amp;"",""))</f>
        <v/>
      </c>
    </row>
    <row r="2215">
      <c r="X2215" s="20" t="str">
        <f>IF($B2215="","",IFERROR(IF(INDEX(Config!$D$9:$D$29,MATCH($B2215,Config!$B$9:$B$29,0))="Contrato",IF(INDEX(Config!$E$9:$E$29,MATCH($B2215,Config!$B$9:$B$29,0))="","",INDEX(Config!$E$9:$E$29,MATCH($B2215,Config!$B$9:$B$29,0))),""),""))</f>
        <v/>
      </c>
      <c r="AI2215" s="19" t="str">
        <f>IF($B2215="","",IFERROR(INDEX(Config!$D$9:$D$29,MATCH($B2215,Config!$B$9:$B$29,0))&amp;"",""))</f>
        <v/>
      </c>
    </row>
    <row r="2216">
      <c r="X2216" s="20" t="str">
        <f>IF($B2216="","",IFERROR(IF(INDEX(Config!$D$9:$D$29,MATCH($B2216,Config!$B$9:$B$29,0))="Contrato",IF(INDEX(Config!$E$9:$E$29,MATCH($B2216,Config!$B$9:$B$29,0))="","",INDEX(Config!$E$9:$E$29,MATCH($B2216,Config!$B$9:$B$29,0))),""),""))</f>
        <v/>
      </c>
      <c r="AI2216" s="19" t="str">
        <f>IF($B2216="","",IFERROR(INDEX(Config!$D$9:$D$29,MATCH($B2216,Config!$B$9:$B$29,0))&amp;"",""))</f>
        <v/>
      </c>
    </row>
    <row r="2217">
      <c r="X2217" s="20" t="str">
        <f>IF($B2217="","",IFERROR(IF(INDEX(Config!$D$9:$D$29,MATCH($B2217,Config!$B$9:$B$29,0))="Contrato",IF(INDEX(Config!$E$9:$E$29,MATCH($B2217,Config!$B$9:$B$29,0))="","",INDEX(Config!$E$9:$E$29,MATCH($B2217,Config!$B$9:$B$29,0))),""),""))</f>
        <v/>
      </c>
      <c r="AI2217" s="19" t="str">
        <f>IF($B2217="","",IFERROR(INDEX(Config!$D$9:$D$29,MATCH($B2217,Config!$B$9:$B$29,0))&amp;"",""))</f>
        <v/>
      </c>
    </row>
    <row r="2218">
      <c r="X2218" s="20" t="str">
        <f>IF($B2218="","",IFERROR(IF(INDEX(Config!$D$9:$D$29,MATCH($B2218,Config!$B$9:$B$29,0))="Contrato",IF(INDEX(Config!$E$9:$E$29,MATCH($B2218,Config!$B$9:$B$29,0))="","",INDEX(Config!$E$9:$E$29,MATCH($B2218,Config!$B$9:$B$29,0))),""),""))</f>
        <v/>
      </c>
      <c r="AI2218" s="19" t="str">
        <f>IF($B2218="","",IFERROR(INDEX(Config!$D$9:$D$29,MATCH($B2218,Config!$B$9:$B$29,0))&amp;"",""))</f>
        <v/>
      </c>
    </row>
    <row r="2219">
      <c r="X2219" s="20" t="str">
        <f>IF($B2219="","",IFERROR(IF(INDEX(Config!$D$9:$D$29,MATCH($B2219,Config!$B$9:$B$29,0))="Contrato",IF(INDEX(Config!$E$9:$E$29,MATCH($B2219,Config!$B$9:$B$29,0))="","",INDEX(Config!$E$9:$E$29,MATCH($B2219,Config!$B$9:$B$29,0))),""),""))</f>
        <v/>
      </c>
      <c r="AI2219" s="19" t="str">
        <f>IF($B2219="","",IFERROR(INDEX(Config!$D$9:$D$29,MATCH($B2219,Config!$B$9:$B$29,0))&amp;"",""))</f>
        <v/>
      </c>
    </row>
    <row r="2220">
      <c r="X2220" s="20" t="str">
        <f>IF($B2220="","",IFERROR(IF(INDEX(Config!$D$9:$D$29,MATCH($B2220,Config!$B$9:$B$29,0))="Contrato",IF(INDEX(Config!$E$9:$E$29,MATCH($B2220,Config!$B$9:$B$29,0))="","",INDEX(Config!$E$9:$E$29,MATCH($B2220,Config!$B$9:$B$29,0))),""),""))</f>
        <v/>
      </c>
      <c r="AI2220" s="19" t="str">
        <f>IF($B2220="","",IFERROR(INDEX(Config!$D$9:$D$29,MATCH($B2220,Config!$B$9:$B$29,0))&amp;"",""))</f>
        <v/>
      </c>
    </row>
    <row r="2221">
      <c r="X2221" s="20" t="str">
        <f>IF($B2221="","",IFERROR(IF(INDEX(Config!$D$9:$D$29,MATCH($B2221,Config!$B$9:$B$29,0))="Contrato",IF(INDEX(Config!$E$9:$E$29,MATCH($B2221,Config!$B$9:$B$29,0))="","",INDEX(Config!$E$9:$E$29,MATCH($B2221,Config!$B$9:$B$29,0))),""),""))</f>
        <v/>
      </c>
      <c r="AI2221" s="19" t="str">
        <f>IF($B2221="","",IFERROR(INDEX(Config!$D$9:$D$29,MATCH($B2221,Config!$B$9:$B$29,0))&amp;"",""))</f>
        <v/>
      </c>
    </row>
    <row r="2222">
      <c r="X2222" s="20" t="str">
        <f>IF($B2222="","",IFERROR(IF(INDEX(Config!$D$9:$D$29,MATCH($B2222,Config!$B$9:$B$29,0))="Contrato",IF(INDEX(Config!$E$9:$E$29,MATCH($B2222,Config!$B$9:$B$29,0))="","",INDEX(Config!$E$9:$E$29,MATCH($B2222,Config!$B$9:$B$29,0))),""),""))</f>
        <v/>
      </c>
      <c r="AI2222" s="19" t="str">
        <f>IF($B2222="","",IFERROR(INDEX(Config!$D$9:$D$29,MATCH($B2222,Config!$B$9:$B$29,0))&amp;"",""))</f>
        <v/>
      </c>
    </row>
    <row r="2223">
      <c r="X2223" s="20" t="str">
        <f>IF($B2223="","",IFERROR(IF(INDEX(Config!$D$9:$D$29,MATCH($B2223,Config!$B$9:$B$29,0))="Contrato",IF(INDEX(Config!$E$9:$E$29,MATCH($B2223,Config!$B$9:$B$29,0))="","",INDEX(Config!$E$9:$E$29,MATCH($B2223,Config!$B$9:$B$29,0))),""),""))</f>
        <v/>
      </c>
      <c r="AI2223" s="19" t="str">
        <f>IF($B2223="","",IFERROR(INDEX(Config!$D$9:$D$29,MATCH($B2223,Config!$B$9:$B$29,0))&amp;"",""))</f>
        <v/>
      </c>
    </row>
    <row r="2224">
      <c r="X2224" s="20" t="str">
        <f>IF($B2224="","",IFERROR(IF(INDEX(Config!$D$9:$D$29,MATCH($B2224,Config!$B$9:$B$29,0))="Contrato",IF(INDEX(Config!$E$9:$E$29,MATCH($B2224,Config!$B$9:$B$29,0))="","",INDEX(Config!$E$9:$E$29,MATCH($B2224,Config!$B$9:$B$29,0))),""),""))</f>
        <v/>
      </c>
      <c r="AI2224" s="19" t="str">
        <f>IF($B2224="","",IFERROR(INDEX(Config!$D$9:$D$29,MATCH($B2224,Config!$B$9:$B$29,0))&amp;"",""))</f>
        <v/>
      </c>
    </row>
    <row r="2225">
      <c r="X2225" s="20" t="str">
        <f>IF($B2225="","",IFERROR(IF(INDEX(Config!$D$9:$D$29,MATCH($B2225,Config!$B$9:$B$29,0))="Contrato",IF(INDEX(Config!$E$9:$E$29,MATCH($B2225,Config!$B$9:$B$29,0))="","",INDEX(Config!$E$9:$E$29,MATCH($B2225,Config!$B$9:$B$29,0))),""),""))</f>
        <v/>
      </c>
      <c r="AI2225" s="19" t="str">
        <f>IF($B2225="","",IFERROR(INDEX(Config!$D$9:$D$29,MATCH($B2225,Config!$B$9:$B$29,0))&amp;"",""))</f>
        <v/>
      </c>
    </row>
    <row r="2226">
      <c r="X2226" s="20" t="str">
        <f>IF($B2226="","",IFERROR(IF(INDEX(Config!$D$9:$D$29,MATCH($B2226,Config!$B$9:$B$29,0))="Contrato",IF(INDEX(Config!$E$9:$E$29,MATCH($B2226,Config!$B$9:$B$29,0))="","",INDEX(Config!$E$9:$E$29,MATCH($B2226,Config!$B$9:$B$29,0))),""),""))</f>
        <v/>
      </c>
      <c r="AI2226" s="19" t="str">
        <f>IF($B2226="","",IFERROR(INDEX(Config!$D$9:$D$29,MATCH($B2226,Config!$B$9:$B$29,0))&amp;"",""))</f>
        <v/>
      </c>
    </row>
    <row r="2227">
      <c r="X2227" s="20" t="str">
        <f>IF($B2227="","",IFERROR(IF(INDEX(Config!$D$9:$D$29,MATCH($B2227,Config!$B$9:$B$29,0))="Contrato",IF(INDEX(Config!$E$9:$E$29,MATCH($B2227,Config!$B$9:$B$29,0))="","",INDEX(Config!$E$9:$E$29,MATCH($B2227,Config!$B$9:$B$29,0))),""),""))</f>
        <v/>
      </c>
      <c r="AI2227" s="19" t="str">
        <f>IF($B2227="","",IFERROR(INDEX(Config!$D$9:$D$29,MATCH($B2227,Config!$B$9:$B$29,0))&amp;"",""))</f>
        <v/>
      </c>
    </row>
    <row r="2228">
      <c r="X2228" s="20" t="str">
        <f>IF($B2228="","",IFERROR(IF(INDEX(Config!$D$9:$D$29,MATCH($B2228,Config!$B$9:$B$29,0))="Contrato",IF(INDEX(Config!$E$9:$E$29,MATCH($B2228,Config!$B$9:$B$29,0))="","",INDEX(Config!$E$9:$E$29,MATCH($B2228,Config!$B$9:$B$29,0))),""),""))</f>
        <v/>
      </c>
      <c r="AI2228" s="19" t="str">
        <f>IF($B2228="","",IFERROR(INDEX(Config!$D$9:$D$29,MATCH($B2228,Config!$B$9:$B$29,0))&amp;"",""))</f>
        <v/>
      </c>
    </row>
    <row r="2229">
      <c r="X2229" s="20" t="str">
        <f>IF($B2229="","",IFERROR(IF(INDEX(Config!$D$9:$D$29,MATCH($B2229,Config!$B$9:$B$29,0))="Contrato",IF(INDEX(Config!$E$9:$E$29,MATCH($B2229,Config!$B$9:$B$29,0))="","",INDEX(Config!$E$9:$E$29,MATCH($B2229,Config!$B$9:$B$29,0))),""),""))</f>
        <v/>
      </c>
      <c r="AI2229" s="19" t="str">
        <f>IF($B2229="","",IFERROR(INDEX(Config!$D$9:$D$29,MATCH($B2229,Config!$B$9:$B$29,0))&amp;"",""))</f>
        <v/>
      </c>
    </row>
    <row r="2230">
      <c r="X2230" s="20" t="str">
        <f>IF($B2230="","",IFERROR(IF(INDEX(Config!$D$9:$D$29,MATCH($B2230,Config!$B$9:$B$29,0))="Contrato",IF(INDEX(Config!$E$9:$E$29,MATCH($B2230,Config!$B$9:$B$29,0))="","",INDEX(Config!$E$9:$E$29,MATCH($B2230,Config!$B$9:$B$29,0))),""),""))</f>
        <v/>
      </c>
      <c r="AI2230" s="19" t="str">
        <f>IF($B2230="","",IFERROR(INDEX(Config!$D$9:$D$29,MATCH($B2230,Config!$B$9:$B$29,0))&amp;"",""))</f>
        <v/>
      </c>
    </row>
    <row r="2231">
      <c r="X2231" s="20" t="str">
        <f>IF($B2231="","",IFERROR(IF(INDEX(Config!$D$9:$D$29,MATCH($B2231,Config!$B$9:$B$29,0))="Contrato",IF(INDEX(Config!$E$9:$E$29,MATCH($B2231,Config!$B$9:$B$29,0))="","",INDEX(Config!$E$9:$E$29,MATCH($B2231,Config!$B$9:$B$29,0))),""),""))</f>
        <v/>
      </c>
      <c r="AI2231" s="19" t="str">
        <f>IF($B2231="","",IFERROR(INDEX(Config!$D$9:$D$29,MATCH($B2231,Config!$B$9:$B$29,0))&amp;"",""))</f>
        <v/>
      </c>
    </row>
    <row r="2232">
      <c r="X2232" s="20" t="str">
        <f>IF($B2232="","",IFERROR(IF(INDEX(Config!$D$9:$D$29,MATCH($B2232,Config!$B$9:$B$29,0))="Contrato",IF(INDEX(Config!$E$9:$E$29,MATCH($B2232,Config!$B$9:$B$29,0))="","",INDEX(Config!$E$9:$E$29,MATCH($B2232,Config!$B$9:$B$29,0))),""),""))</f>
        <v/>
      </c>
      <c r="AI2232" s="19" t="str">
        <f>IF($B2232="","",IFERROR(INDEX(Config!$D$9:$D$29,MATCH($B2232,Config!$B$9:$B$29,0))&amp;"",""))</f>
        <v/>
      </c>
    </row>
    <row r="2233">
      <c r="X2233" s="20" t="str">
        <f>IF($B2233="","",IFERROR(IF(INDEX(Config!$D$9:$D$29,MATCH($B2233,Config!$B$9:$B$29,0))="Contrato",IF(INDEX(Config!$E$9:$E$29,MATCH($B2233,Config!$B$9:$B$29,0))="","",INDEX(Config!$E$9:$E$29,MATCH($B2233,Config!$B$9:$B$29,0))),""),""))</f>
        <v/>
      </c>
      <c r="AI2233" s="19" t="str">
        <f>IF($B2233="","",IFERROR(INDEX(Config!$D$9:$D$29,MATCH($B2233,Config!$B$9:$B$29,0))&amp;"",""))</f>
        <v/>
      </c>
    </row>
    <row r="2234">
      <c r="X2234" s="20" t="str">
        <f>IF($B2234="","",IFERROR(IF(INDEX(Config!$D$9:$D$29,MATCH($B2234,Config!$B$9:$B$29,0))="Contrato",IF(INDEX(Config!$E$9:$E$29,MATCH($B2234,Config!$B$9:$B$29,0))="","",INDEX(Config!$E$9:$E$29,MATCH($B2234,Config!$B$9:$B$29,0))),""),""))</f>
        <v/>
      </c>
      <c r="AI2234" s="19" t="str">
        <f>IF($B2234="","",IFERROR(INDEX(Config!$D$9:$D$29,MATCH($B2234,Config!$B$9:$B$29,0))&amp;"",""))</f>
        <v/>
      </c>
    </row>
    <row r="2235">
      <c r="X2235" s="20" t="str">
        <f>IF($B2235="","",IFERROR(IF(INDEX(Config!$D$9:$D$29,MATCH($B2235,Config!$B$9:$B$29,0))="Contrato",IF(INDEX(Config!$E$9:$E$29,MATCH($B2235,Config!$B$9:$B$29,0))="","",INDEX(Config!$E$9:$E$29,MATCH($B2235,Config!$B$9:$B$29,0))),""),""))</f>
        <v/>
      </c>
      <c r="AI2235" s="19" t="str">
        <f>IF($B2235="","",IFERROR(INDEX(Config!$D$9:$D$29,MATCH($B2235,Config!$B$9:$B$29,0))&amp;"",""))</f>
        <v/>
      </c>
    </row>
    <row r="2236">
      <c r="X2236" s="20" t="str">
        <f>IF($B2236="","",IFERROR(IF(INDEX(Config!$D$9:$D$29,MATCH($B2236,Config!$B$9:$B$29,0))="Contrato",IF(INDEX(Config!$E$9:$E$29,MATCH($B2236,Config!$B$9:$B$29,0))="","",INDEX(Config!$E$9:$E$29,MATCH($B2236,Config!$B$9:$B$29,0))),""),""))</f>
        <v/>
      </c>
      <c r="AI2236" s="19" t="str">
        <f>IF($B2236="","",IFERROR(INDEX(Config!$D$9:$D$29,MATCH($B2236,Config!$B$9:$B$29,0))&amp;"",""))</f>
        <v/>
      </c>
    </row>
    <row r="2237">
      <c r="X2237" s="20" t="str">
        <f>IF($B2237="","",IFERROR(IF(INDEX(Config!$D$9:$D$29,MATCH($B2237,Config!$B$9:$B$29,0))="Contrato",IF(INDEX(Config!$E$9:$E$29,MATCH($B2237,Config!$B$9:$B$29,0))="","",INDEX(Config!$E$9:$E$29,MATCH($B2237,Config!$B$9:$B$29,0))),""),""))</f>
        <v/>
      </c>
      <c r="AI2237" s="19" t="str">
        <f>IF($B2237="","",IFERROR(INDEX(Config!$D$9:$D$29,MATCH($B2237,Config!$B$9:$B$29,0))&amp;"",""))</f>
        <v/>
      </c>
    </row>
    <row r="2238">
      <c r="X2238" s="20" t="str">
        <f>IF($B2238="","",IFERROR(IF(INDEX(Config!$D$9:$D$29,MATCH($B2238,Config!$B$9:$B$29,0))="Contrato",IF(INDEX(Config!$E$9:$E$29,MATCH($B2238,Config!$B$9:$B$29,0))="","",INDEX(Config!$E$9:$E$29,MATCH($B2238,Config!$B$9:$B$29,0))),""),""))</f>
        <v/>
      </c>
      <c r="AI2238" s="19" t="str">
        <f>IF($B2238="","",IFERROR(INDEX(Config!$D$9:$D$29,MATCH($B2238,Config!$B$9:$B$29,0))&amp;"",""))</f>
        <v/>
      </c>
    </row>
    <row r="2239">
      <c r="X2239" s="20" t="str">
        <f>IF($B2239="","",IFERROR(IF(INDEX(Config!$D$9:$D$29,MATCH($B2239,Config!$B$9:$B$29,0))="Contrato",IF(INDEX(Config!$E$9:$E$29,MATCH($B2239,Config!$B$9:$B$29,0))="","",INDEX(Config!$E$9:$E$29,MATCH($B2239,Config!$B$9:$B$29,0))),""),""))</f>
        <v/>
      </c>
      <c r="AI2239" s="19" t="str">
        <f>IF($B2239="","",IFERROR(INDEX(Config!$D$9:$D$29,MATCH($B2239,Config!$B$9:$B$29,0))&amp;"",""))</f>
        <v/>
      </c>
    </row>
    <row r="2240">
      <c r="X2240" s="20" t="str">
        <f>IF($B2240="","",IFERROR(IF(INDEX(Config!$D$9:$D$29,MATCH($B2240,Config!$B$9:$B$29,0))="Contrato",IF(INDEX(Config!$E$9:$E$29,MATCH($B2240,Config!$B$9:$B$29,0))="","",INDEX(Config!$E$9:$E$29,MATCH($B2240,Config!$B$9:$B$29,0))),""),""))</f>
        <v/>
      </c>
      <c r="AI2240" s="19" t="str">
        <f>IF($B2240="","",IFERROR(INDEX(Config!$D$9:$D$29,MATCH($B2240,Config!$B$9:$B$29,0))&amp;"",""))</f>
        <v/>
      </c>
    </row>
    <row r="2241">
      <c r="X2241" s="20" t="str">
        <f>IF($B2241="","",IFERROR(IF(INDEX(Config!$D$9:$D$29,MATCH($B2241,Config!$B$9:$B$29,0))="Contrato",IF(INDEX(Config!$E$9:$E$29,MATCH($B2241,Config!$B$9:$B$29,0))="","",INDEX(Config!$E$9:$E$29,MATCH($B2241,Config!$B$9:$B$29,0))),""),""))</f>
        <v/>
      </c>
      <c r="AI2241" s="19" t="str">
        <f>IF($B2241="","",IFERROR(INDEX(Config!$D$9:$D$29,MATCH($B2241,Config!$B$9:$B$29,0))&amp;"",""))</f>
        <v/>
      </c>
    </row>
    <row r="2242">
      <c r="X2242" s="20" t="str">
        <f>IF($B2242="","",IFERROR(IF(INDEX(Config!$D$9:$D$29,MATCH($B2242,Config!$B$9:$B$29,0))="Contrato",IF(INDEX(Config!$E$9:$E$29,MATCH($B2242,Config!$B$9:$B$29,0))="","",INDEX(Config!$E$9:$E$29,MATCH($B2242,Config!$B$9:$B$29,0))),""),""))</f>
        <v/>
      </c>
      <c r="AI2242" s="19" t="str">
        <f>IF($B2242="","",IFERROR(INDEX(Config!$D$9:$D$29,MATCH($B2242,Config!$B$9:$B$29,0))&amp;"",""))</f>
        <v/>
      </c>
    </row>
    <row r="2243">
      <c r="X2243" s="20" t="str">
        <f>IF($B2243="","",IFERROR(IF(INDEX(Config!$D$9:$D$29,MATCH($B2243,Config!$B$9:$B$29,0))="Contrato",IF(INDEX(Config!$E$9:$E$29,MATCH($B2243,Config!$B$9:$B$29,0))="","",INDEX(Config!$E$9:$E$29,MATCH($B2243,Config!$B$9:$B$29,0))),""),""))</f>
        <v/>
      </c>
      <c r="AI2243" s="19" t="str">
        <f>IF($B2243="","",IFERROR(INDEX(Config!$D$9:$D$29,MATCH($B2243,Config!$B$9:$B$29,0))&amp;"",""))</f>
        <v/>
      </c>
    </row>
    <row r="2244">
      <c r="X2244" s="20" t="str">
        <f>IF($B2244="","",IFERROR(IF(INDEX(Config!$D$9:$D$29,MATCH($B2244,Config!$B$9:$B$29,0))="Contrato",IF(INDEX(Config!$E$9:$E$29,MATCH($B2244,Config!$B$9:$B$29,0))="","",INDEX(Config!$E$9:$E$29,MATCH($B2244,Config!$B$9:$B$29,0))),""),""))</f>
        <v/>
      </c>
      <c r="AI2244" s="19" t="str">
        <f>IF($B2244="","",IFERROR(INDEX(Config!$D$9:$D$29,MATCH($B2244,Config!$B$9:$B$29,0))&amp;"",""))</f>
        <v/>
      </c>
    </row>
    <row r="2245">
      <c r="X2245" s="20" t="str">
        <f>IF($B2245="","",IFERROR(IF(INDEX(Config!$D$9:$D$29,MATCH($B2245,Config!$B$9:$B$29,0))="Contrato",IF(INDEX(Config!$E$9:$E$29,MATCH($B2245,Config!$B$9:$B$29,0))="","",INDEX(Config!$E$9:$E$29,MATCH($B2245,Config!$B$9:$B$29,0))),""),""))</f>
        <v/>
      </c>
      <c r="AI2245" s="19" t="str">
        <f>IF($B2245="","",IFERROR(INDEX(Config!$D$9:$D$29,MATCH($B2245,Config!$B$9:$B$29,0))&amp;"",""))</f>
        <v/>
      </c>
    </row>
    <row r="2246">
      <c r="X2246" s="20" t="str">
        <f>IF($B2246="","",IFERROR(IF(INDEX(Config!$D$9:$D$29,MATCH($B2246,Config!$B$9:$B$29,0))="Contrato",IF(INDEX(Config!$E$9:$E$29,MATCH($B2246,Config!$B$9:$B$29,0))="","",INDEX(Config!$E$9:$E$29,MATCH($B2246,Config!$B$9:$B$29,0))),""),""))</f>
        <v/>
      </c>
      <c r="AI2246" s="19" t="str">
        <f>IF($B2246="","",IFERROR(INDEX(Config!$D$9:$D$29,MATCH($B2246,Config!$B$9:$B$29,0))&amp;"",""))</f>
        <v/>
      </c>
    </row>
    <row r="2247">
      <c r="X2247" s="20" t="str">
        <f>IF($B2247="","",IFERROR(IF(INDEX(Config!$D$9:$D$29,MATCH($B2247,Config!$B$9:$B$29,0))="Contrato",IF(INDEX(Config!$E$9:$E$29,MATCH($B2247,Config!$B$9:$B$29,0))="","",INDEX(Config!$E$9:$E$29,MATCH($B2247,Config!$B$9:$B$29,0))),""),""))</f>
        <v/>
      </c>
      <c r="AI2247" s="19" t="str">
        <f>IF($B2247="","",IFERROR(INDEX(Config!$D$9:$D$29,MATCH($B2247,Config!$B$9:$B$29,0))&amp;"",""))</f>
        <v/>
      </c>
    </row>
    <row r="2248">
      <c r="X2248" s="20" t="str">
        <f>IF($B2248="","",IFERROR(IF(INDEX(Config!$D$9:$D$29,MATCH($B2248,Config!$B$9:$B$29,0))="Contrato",IF(INDEX(Config!$E$9:$E$29,MATCH($B2248,Config!$B$9:$B$29,0))="","",INDEX(Config!$E$9:$E$29,MATCH($B2248,Config!$B$9:$B$29,0))),""),""))</f>
        <v/>
      </c>
      <c r="AI2248" s="19" t="str">
        <f>IF($B2248="","",IFERROR(INDEX(Config!$D$9:$D$29,MATCH($B2248,Config!$B$9:$B$29,0))&amp;"",""))</f>
        <v/>
      </c>
    </row>
    <row r="2249">
      <c r="X2249" s="20" t="str">
        <f>IF($B2249="","",IFERROR(IF(INDEX(Config!$D$9:$D$29,MATCH($B2249,Config!$B$9:$B$29,0))="Contrato",IF(INDEX(Config!$E$9:$E$29,MATCH($B2249,Config!$B$9:$B$29,0))="","",INDEX(Config!$E$9:$E$29,MATCH($B2249,Config!$B$9:$B$29,0))),""),""))</f>
        <v/>
      </c>
      <c r="AI2249" s="19" t="str">
        <f>IF($B2249="","",IFERROR(INDEX(Config!$D$9:$D$29,MATCH($B2249,Config!$B$9:$B$29,0))&amp;"",""))</f>
        <v/>
      </c>
    </row>
    <row r="2250">
      <c r="X2250" s="20" t="str">
        <f>IF($B2250="","",IFERROR(IF(INDEX(Config!$D$9:$D$29,MATCH($B2250,Config!$B$9:$B$29,0))="Contrato",IF(INDEX(Config!$E$9:$E$29,MATCH($B2250,Config!$B$9:$B$29,0))="","",INDEX(Config!$E$9:$E$29,MATCH($B2250,Config!$B$9:$B$29,0))),""),""))</f>
        <v/>
      </c>
      <c r="AI2250" s="19" t="str">
        <f>IF($B2250="","",IFERROR(INDEX(Config!$D$9:$D$29,MATCH($B2250,Config!$B$9:$B$29,0))&amp;"",""))</f>
        <v/>
      </c>
    </row>
    <row r="2251">
      <c r="X2251" s="20" t="str">
        <f>IF($B2251="","",IFERROR(IF(INDEX(Config!$D$9:$D$29,MATCH($B2251,Config!$B$9:$B$29,0))="Contrato",IF(INDEX(Config!$E$9:$E$29,MATCH($B2251,Config!$B$9:$B$29,0))="","",INDEX(Config!$E$9:$E$29,MATCH($B2251,Config!$B$9:$B$29,0))),""),""))</f>
        <v/>
      </c>
      <c r="AI2251" s="19" t="str">
        <f>IF($B2251="","",IFERROR(INDEX(Config!$D$9:$D$29,MATCH($B2251,Config!$B$9:$B$29,0))&amp;"",""))</f>
        <v/>
      </c>
    </row>
    <row r="2252">
      <c r="X2252" s="20" t="str">
        <f>IF($B2252="","",IFERROR(IF(INDEX(Config!$D$9:$D$29,MATCH($B2252,Config!$B$9:$B$29,0))="Contrato",IF(INDEX(Config!$E$9:$E$29,MATCH($B2252,Config!$B$9:$B$29,0))="","",INDEX(Config!$E$9:$E$29,MATCH($B2252,Config!$B$9:$B$29,0))),""),""))</f>
        <v/>
      </c>
      <c r="AI2252" s="19" t="str">
        <f>IF($B2252="","",IFERROR(INDEX(Config!$D$9:$D$29,MATCH($B2252,Config!$B$9:$B$29,0))&amp;"",""))</f>
        <v/>
      </c>
    </row>
    <row r="2253">
      <c r="X2253" s="20" t="str">
        <f>IF($B2253="","",IFERROR(IF(INDEX(Config!$D$9:$D$29,MATCH($B2253,Config!$B$9:$B$29,0))="Contrato",IF(INDEX(Config!$E$9:$E$29,MATCH($B2253,Config!$B$9:$B$29,0))="","",INDEX(Config!$E$9:$E$29,MATCH($B2253,Config!$B$9:$B$29,0))),""),""))</f>
        <v/>
      </c>
      <c r="AI2253" s="19" t="str">
        <f>IF($B2253="","",IFERROR(INDEX(Config!$D$9:$D$29,MATCH($B2253,Config!$B$9:$B$29,0))&amp;"",""))</f>
        <v/>
      </c>
    </row>
    <row r="2254">
      <c r="X2254" s="20" t="str">
        <f>IF($B2254="","",IFERROR(IF(INDEX(Config!$D$9:$D$29,MATCH($B2254,Config!$B$9:$B$29,0))="Contrato",IF(INDEX(Config!$E$9:$E$29,MATCH($B2254,Config!$B$9:$B$29,0))="","",INDEX(Config!$E$9:$E$29,MATCH($B2254,Config!$B$9:$B$29,0))),""),""))</f>
        <v/>
      </c>
      <c r="AI2254" s="19" t="str">
        <f>IF($B2254="","",IFERROR(INDEX(Config!$D$9:$D$29,MATCH($B2254,Config!$B$9:$B$29,0))&amp;"",""))</f>
        <v/>
      </c>
    </row>
    <row r="2255">
      <c r="X2255" s="20" t="str">
        <f>IF($B2255="","",IFERROR(IF(INDEX(Config!$D$9:$D$29,MATCH($B2255,Config!$B$9:$B$29,0))="Contrato",IF(INDEX(Config!$E$9:$E$29,MATCH($B2255,Config!$B$9:$B$29,0))="","",INDEX(Config!$E$9:$E$29,MATCH($B2255,Config!$B$9:$B$29,0))),""),""))</f>
        <v/>
      </c>
      <c r="AI2255" s="19" t="str">
        <f>IF($B2255="","",IFERROR(INDEX(Config!$D$9:$D$29,MATCH($B2255,Config!$B$9:$B$29,0))&amp;"",""))</f>
        <v/>
      </c>
    </row>
    <row r="2256">
      <c r="X2256" s="20" t="str">
        <f>IF($B2256="","",IFERROR(IF(INDEX(Config!$D$9:$D$29,MATCH($B2256,Config!$B$9:$B$29,0))="Contrato",IF(INDEX(Config!$E$9:$E$29,MATCH($B2256,Config!$B$9:$B$29,0))="","",INDEX(Config!$E$9:$E$29,MATCH($B2256,Config!$B$9:$B$29,0))),""),""))</f>
        <v/>
      </c>
      <c r="AI2256" s="19" t="str">
        <f>IF($B2256="","",IFERROR(INDEX(Config!$D$9:$D$29,MATCH($B2256,Config!$B$9:$B$29,0))&amp;"",""))</f>
        <v/>
      </c>
    </row>
    <row r="2257">
      <c r="X2257" s="20" t="str">
        <f>IF($B2257="","",IFERROR(IF(INDEX(Config!$D$9:$D$29,MATCH($B2257,Config!$B$9:$B$29,0))="Contrato",IF(INDEX(Config!$E$9:$E$29,MATCH($B2257,Config!$B$9:$B$29,0))="","",INDEX(Config!$E$9:$E$29,MATCH($B2257,Config!$B$9:$B$29,0))),""),""))</f>
        <v/>
      </c>
      <c r="AI2257" s="19" t="str">
        <f>IF($B2257="","",IFERROR(INDEX(Config!$D$9:$D$29,MATCH($B2257,Config!$B$9:$B$29,0))&amp;"",""))</f>
        <v/>
      </c>
    </row>
    <row r="2258">
      <c r="X2258" s="20" t="str">
        <f>IF($B2258="","",IFERROR(IF(INDEX(Config!$D$9:$D$29,MATCH($B2258,Config!$B$9:$B$29,0))="Contrato",IF(INDEX(Config!$E$9:$E$29,MATCH($B2258,Config!$B$9:$B$29,0))="","",INDEX(Config!$E$9:$E$29,MATCH($B2258,Config!$B$9:$B$29,0))),""),""))</f>
        <v/>
      </c>
      <c r="AI2258" s="19" t="str">
        <f>IF($B2258="","",IFERROR(INDEX(Config!$D$9:$D$29,MATCH($B2258,Config!$B$9:$B$29,0))&amp;"",""))</f>
        <v/>
      </c>
    </row>
    <row r="2259">
      <c r="X2259" s="20" t="str">
        <f>IF($B2259="","",IFERROR(IF(INDEX(Config!$D$9:$D$29,MATCH($B2259,Config!$B$9:$B$29,0))="Contrato",IF(INDEX(Config!$E$9:$E$29,MATCH($B2259,Config!$B$9:$B$29,0))="","",INDEX(Config!$E$9:$E$29,MATCH($B2259,Config!$B$9:$B$29,0))),""),""))</f>
        <v/>
      </c>
      <c r="AI2259" s="19" t="str">
        <f>IF($B2259="","",IFERROR(INDEX(Config!$D$9:$D$29,MATCH($B2259,Config!$B$9:$B$29,0))&amp;"",""))</f>
        <v/>
      </c>
    </row>
    <row r="2260">
      <c r="X2260" s="20" t="str">
        <f>IF($B2260="","",IFERROR(IF(INDEX(Config!$D$9:$D$29,MATCH($B2260,Config!$B$9:$B$29,0))="Contrato",IF(INDEX(Config!$E$9:$E$29,MATCH($B2260,Config!$B$9:$B$29,0))="","",INDEX(Config!$E$9:$E$29,MATCH($B2260,Config!$B$9:$B$29,0))),""),""))</f>
        <v/>
      </c>
      <c r="AI2260" s="19" t="str">
        <f>IF($B2260="","",IFERROR(INDEX(Config!$D$9:$D$29,MATCH($B2260,Config!$B$9:$B$29,0))&amp;"",""))</f>
        <v/>
      </c>
    </row>
    <row r="2261">
      <c r="X2261" s="20" t="str">
        <f>IF($B2261="","",IFERROR(IF(INDEX(Config!$D$9:$D$29,MATCH($B2261,Config!$B$9:$B$29,0))="Contrato",IF(INDEX(Config!$E$9:$E$29,MATCH($B2261,Config!$B$9:$B$29,0))="","",INDEX(Config!$E$9:$E$29,MATCH($B2261,Config!$B$9:$B$29,0))),""),""))</f>
        <v/>
      </c>
      <c r="AI2261" s="19" t="str">
        <f>IF($B2261="","",IFERROR(INDEX(Config!$D$9:$D$29,MATCH($B2261,Config!$B$9:$B$29,0))&amp;"",""))</f>
        <v/>
      </c>
    </row>
    <row r="2262">
      <c r="X2262" s="20" t="str">
        <f>IF($B2262="","",IFERROR(IF(INDEX(Config!$D$9:$D$29,MATCH($B2262,Config!$B$9:$B$29,0))="Contrato",IF(INDEX(Config!$E$9:$E$29,MATCH($B2262,Config!$B$9:$B$29,0))="","",INDEX(Config!$E$9:$E$29,MATCH($B2262,Config!$B$9:$B$29,0))),""),""))</f>
        <v/>
      </c>
      <c r="AI2262" s="19" t="str">
        <f>IF($B2262="","",IFERROR(INDEX(Config!$D$9:$D$29,MATCH($B2262,Config!$B$9:$B$29,0))&amp;"",""))</f>
        <v/>
      </c>
    </row>
    <row r="2263">
      <c r="X2263" s="20" t="str">
        <f>IF($B2263="","",IFERROR(IF(INDEX(Config!$D$9:$D$29,MATCH($B2263,Config!$B$9:$B$29,0))="Contrato",IF(INDEX(Config!$E$9:$E$29,MATCH($B2263,Config!$B$9:$B$29,0))="","",INDEX(Config!$E$9:$E$29,MATCH($B2263,Config!$B$9:$B$29,0))),""),""))</f>
        <v/>
      </c>
      <c r="AI2263" s="19" t="str">
        <f>IF($B2263="","",IFERROR(INDEX(Config!$D$9:$D$29,MATCH($B2263,Config!$B$9:$B$29,0))&amp;"",""))</f>
        <v/>
      </c>
    </row>
    <row r="2264">
      <c r="X2264" s="20" t="str">
        <f>IF($B2264="","",IFERROR(IF(INDEX(Config!$D$9:$D$29,MATCH($B2264,Config!$B$9:$B$29,0))="Contrato",IF(INDEX(Config!$E$9:$E$29,MATCH($B2264,Config!$B$9:$B$29,0))="","",INDEX(Config!$E$9:$E$29,MATCH($B2264,Config!$B$9:$B$29,0))),""),""))</f>
        <v/>
      </c>
      <c r="AI2264" s="19" t="str">
        <f>IF($B2264="","",IFERROR(INDEX(Config!$D$9:$D$29,MATCH($B2264,Config!$B$9:$B$29,0))&amp;"",""))</f>
        <v/>
      </c>
    </row>
    <row r="2265">
      <c r="X2265" s="20" t="str">
        <f>IF($B2265="","",IFERROR(IF(INDEX(Config!$D$9:$D$29,MATCH($B2265,Config!$B$9:$B$29,0))="Contrato",IF(INDEX(Config!$E$9:$E$29,MATCH($B2265,Config!$B$9:$B$29,0))="","",INDEX(Config!$E$9:$E$29,MATCH($B2265,Config!$B$9:$B$29,0))),""),""))</f>
        <v/>
      </c>
      <c r="AI2265" s="19" t="str">
        <f>IF($B2265="","",IFERROR(INDEX(Config!$D$9:$D$29,MATCH($B2265,Config!$B$9:$B$29,0))&amp;"",""))</f>
        <v/>
      </c>
    </row>
    <row r="2266">
      <c r="X2266" s="20" t="str">
        <f>IF($B2266="","",IFERROR(IF(INDEX(Config!$D$9:$D$29,MATCH($B2266,Config!$B$9:$B$29,0))="Contrato",IF(INDEX(Config!$E$9:$E$29,MATCH($B2266,Config!$B$9:$B$29,0))="","",INDEX(Config!$E$9:$E$29,MATCH($B2266,Config!$B$9:$B$29,0))),""),""))</f>
        <v/>
      </c>
      <c r="AI2266" s="19" t="str">
        <f>IF($B2266="","",IFERROR(INDEX(Config!$D$9:$D$29,MATCH($B2266,Config!$B$9:$B$29,0))&amp;"",""))</f>
        <v/>
      </c>
    </row>
    <row r="2267">
      <c r="X2267" s="20" t="str">
        <f>IF($B2267="","",IFERROR(IF(INDEX(Config!$D$9:$D$29,MATCH($B2267,Config!$B$9:$B$29,0))="Contrato",IF(INDEX(Config!$E$9:$E$29,MATCH($B2267,Config!$B$9:$B$29,0))="","",INDEX(Config!$E$9:$E$29,MATCH($B2267,Config!$B$9:$B$29,0))),""),""))</f>
        <v/>
      </c>
      <c r="AI2267" s="19" t="str">
        <f>IF($B2267="","",IFERROR(INDEX(Config!$D$9:$D$29,MATCH($B2267,Config!$B$9:$B$29,0))&amp;"",""))</f>
        <v/>
      </c>
    </row>
    <row r="2268">
      <c r="X2268" s="20" t="str">
        <f>IF($B2268="","",IFERROR(IF(INDEX(Config!$D$9:$D$29,MATCH($B2268,Config!$B$9:$B$29,0))="Contrato",IF(INDEX(Config!$E$9:$E$29,MATCH($B2268,Config!$B$9:$B$29,0))="","",INDEX(Config!$E$9:$E$29,MATCH($B2268,Config!$B$9:$B$29,0))),""),""))</f>
        <v/>
      </c>
      <c r="AI2268" s="19" t="str">
        <f>IF($B2268="","",IFERROR(INDEX(Config!$D$9:$D$29,MATCH($B2268,Config!$B$9:$B$29,0))&amp;"",""))</f>
        <v/>
      </c>
    </row>
    <row r="2269">
      <c r="X2269" s="20" t="str">
        <f>IF($B2269="","",IFERROR(IF(INDEX(Config!$D$9:$D$29,MATCH($B2269,Config!$B$9:$B$29,0))="Contrato",IF(INDEX(Config!$E$9:$E$29,MATCH($B2269,Config!$B$9:$B$29,0))="","",INDEX(Config!$E$9:$E$29,MATCH($B2269,Config!$B$9:$B$29,0))),""),""))</f>
        <v/>
      </c>
      <c r="AI2269" s="19" t="str">
        <f>IF($B2269="","",IFERROR(INDEX(Config!$D$9:$D$29,MATCH($B2269,Config!$B$9:$B$29,0))&amp;"",""))</f>
        <v/>
      </c>
    </row>
    <row r="2270">
      <c r="X2270" s="20" t="str">
        <f>IF($B2270="","",IFERROR(IF(INDEX(Config!$D$9:$D$29,MATCH($B2270,Config!$B$9:$B$29,0))="Contrato",IF(INDEX(Config!$E$9:$E$29,MATCH($B2270,Config!$B$9:$B$29,0))="","",INDEX(Config!$E$9:$E$29,MATCH($B2270,Config!$B$9:$B$29,0))),""),""))</f>
        <v/>
      </c>
      <c r="AI2270" s="19" t="str">
        <f>IF($B2270="","",IFERROR(INDEX(Config!$D$9:$D$29,MATCH($B2270,Config!$B$9:$B$29,0))&amp;"",""))</f>
        <v/>
      </c>
    </row>
    <row r="2271">
      <c r="X2271" s="20" t="str">
        <f>IF($B2271="","",IFERROR(IF(INDEX(Config!$D$9:$D$29,MATCH($B2271,Config!$B$9:$B$29,0))="Contrato",IF(INDEX(Config!$E$9:$E$29,MATCH($B2271,Config!$B$9:$B$29,0))="","",INDEX(Config!$E$9:$E$29,MATCH($B2271,Config!$B$9:$B$29,0))),""),""))</f>
        <v/>
      </c>
      <c r="AI2271" s="19" t="str">
        <f>IF($B2271="","",IFERROR(INDEX(Config!$D$9:$D$29,MATCH($B2271,Config!$B$9:$B$29,0))&amp;"",""))</f>
        <v/>
      </c>
    </row>
    <row r="2272">
      <c r="X2272" s="20" t="str">
        <f>IF($B2272="","",IFERROR(IF(INDEX(Config!$D$9:$D$29,MATCH($B2272,Config!$B$9:$B$29,0))="Contrato",IF(INDEX(Config!$E$9:$E$29,MATCH($B2272,Config!$B$9:$B$29,0))="","",INDEX(Config!$E$9:$E$29,MATCH($B2272,Config!$B$9:$B$29,0))),""),""))</f>
        <v/>
      </c>
      <c r="AI2272" s="19" t="str">
        <f>IF($B2272="","",IFERROR(INDEX(Config!$D$9:$D$29,MATCH($B2272,Config!$B$9:$B$29,0))&amp;"",""))</f>
        <v/>
      </c>
    </row>
    <row r="2273">
      <c r="X2273" s="20" t="str">
        <f>IF($B2273="","",IFERROR(IF(INDEX(Config!$D$9:$D$29,MATCH($B2273,Config!$B$9:$B$29,0))="Contrato",IF(INDEX(Config!$E$9:$E$29,MATCH($B2273,Config!$B$9:$B$29,0))="","",INDEX(Config!$E$9:$E$29,MATCH($B2273,Config!$B$9:$B$29,0))),""),""))</f>
        <v/>
      </c>
      <c r="AI2273" s="19" t="str">
        <f>IF($B2273="","",IFERROR(INDEX(Config!$D$9:$D$29,MATCH($B2273,Config!$B$9:$B$29,0))&amp;"",""))</f>
        <v/>
      </c>
    </row>
    <row r="2274">
      <c r="X2274" s="20" t="str">
        <f>IF($B2274="","",IFERROR(IF(INDEX(Config!$D$9:$D$29,MATCH($B2274,Config!$B$9:$B$29,0))="Contrato",IF(INDEX(Config!$E$9:$E$29,MATCH($B2274,Config!$B$9:$B$29,0))="","",INDEX(Config!$E$9:$E$29,MATCH($B2274,Config!$B$9:$B$29,0))),""),""))</f>
        <v/>
      </c>
      <c r="AI2274" s="19" t="str">
        <f>IF($B2274="","",IFERROR(INDEX(Config!$D$9:$D$29,MATCH($B2274,Config!$B$9:$B$29,0))&amp;"",""))</f>
        <v/>
      </c>
    </row>
    <row r="2275">
      <c r="X2275" s="20" t="str">
        <f>IF($B2275="","",IFERROR(IF(INDEX(Config!$D$9:$D$29,MATCH($B2275,Config!$B$9:$B$29,0))="Contrato",IF(INDEX(Config!$E$9:$E$29,MATCH($B2275,Config!$B$9:$B$29,0))="","",INDEX(Config!$E$9:$E$29,MATCH($B2275,Config!$B$9:$B$29,0))),""),""))</f>
        <v/>
      </c>
      <c r="AI2275" s="19" t="str">
        <f>IF($B2275="","",IFERROR(INDEX(Config!$D$9:$D$29,MATCH($B2275,Config!$B$9:$B$29,0))&amp;"",""))</f>
        <v/>
      </c>
    </row>
    <row r="2276">
      <c r="X2276" s="20" t="str">
        <f>IF($B2276="","",IFERROR(IF(INDEX(Config!$D$9:$D$29,MATCH($B2276,Config!$B$9:$B$29,0))="Contrato",IF(INDEX(Config!$E$9:$E$29,MATCH($B2276,Config!$B$9:$B$29,0))="","",INDEX(Config!$E$9:$E$29,MATCH($B2276,Config!$B$9:$B$29,0))),""),""))</f>
        <v/>
      </c>
      <c r="AI2276" s="19" t="str">
        <f>IF($B2276="","",IFERROR(INDEX(Config!$D$9:$D$29,MATCH($B2276,Config!$B$9:$B$29,0))&amp;"",""))</f>
        <v/>
      </c>
    </row>
    <row r="2277">
      <c r="X2277" s="20" t="str">
        <f>IF($B2277="","",IFERROR(IF(INDEX(Config!$D$9:$D$29,MATCH($B2277,Config!$B$9:$B$29,0))="Contrato",IF(INDEX(Config!$E$9:$E$29,MATCH($B2277,Config!$B$9:$B$29,0))="","",INDEX(Config!$E$9:$E$29,MATCH($B2277,Config!$B$9:$B$29,0))),""),""))</f>
        <v/>
      </c>
      <c r="AI2277" s="19" t="str">
        <f>IF($B2277="","",IFERROR(INDEX(Config!$D$9:$D$29,MATCH($B2277,Config!$B$9:$B$29,0))&amp;"",""))</f>
        <v/>
      </c>
    </row>
    <row r="2278">
      <c r="X2278" s="20" t="str">
        <f>IF($B2278="","",IFERROR(IF(INDEX(Config!$D$9:$D$29,MATCH($B2278,Config!$B$9:$B$29,0))="Contrato",IF(INDEX(Config!$E$9:$E$29,MATCH($B2278,Config!$B$9:$B$29,0))="","",INDEX(Config!$E$9:$E$29,MATCH($B2278,Config!$B$9:$B$29,0))),""),""))</f>
        <v/>
      </c>
      <c r="AI2278" s="19" t="str">
        <f>IF($B2278="","",IFERROR(INDEX(Config!$D$9:$D$29,MATCH($B2278,Config!$B$9:$B$29,0))&amp;"",""))</f>
        <v/>
      </c>
    </row>
    <row r="2279">
      <c r="X2279" s="20" t="str">
        <f>IF($B2279="","",IFERROR(IF(INDEX(Config!$D$9:$D$29,MATCH($B2279,Config!$B$9:$B$29,0))="Contrato",IF(INDEX(Config!$E$9:$E$29,MATCH($B2279,Config!$B$9:$B$29,0))="","",INDEX(Config!$E$9:$E$29,MATCH($B2279,Config!$B$9:$B$29,0))),""),""))</f>
        <v/>
      </c>
      <c r="AI2279" s="19" t="str">
        <f>IF($B2279="","",IFERROR(INDEX(Config!$D$9:$D$29,MATCH($B2279,Config!$B$9:$B$29,0))&amp;"",""))</f>
        <v/>
      </c>
    </row>
    <row r="2280">
      <c r="X2280" s="20" t="str">
        <f>IF($B2280="","",IFERROR(IF(INDEX(Config!$D$9:$D$29,MATCH($B2280,Config!$B$9:$B$29,0))="Contrato",IF(INDEX(Config!$E$9:$E$29,MATCH($B2280,Config!$B$9:$B$29,0))="","",INDEX(Config!$E$9:$E$29,MATCH($B2280,Config!$B$9:$B$29,0))),""),""))</f>
        <v/>
      </c>
      <c r="AI2280" s="19" t="str">
        <f>IF($B2280="","",IFERROR(INDEX(Config!$D$9:$D$29,MATCH($B2280,Config!$B$9:$B$29,0))&amp;"",""))</f>
        <v/>
      </c>
    </row>
    <row r="2281">
      <c r="X2281" s="20" t="str">
        <f>IF($B2281="","",IFERROR(IF(INDEX(Config!$D$9:$D$29,MATCH($B2281,Config!$B$9:$B$29,0))="Contrato",IF(INDEX(Config!$E$9:$E$29,MATCH($B2281,Config!$B$9:$B$29,0))="","",INDEX(Config!$E$9:$E$29,MATCH($B2281,Config!$B$9:$B$29,0))),""),""))</f>
        <v/>
      </c>
      <c r="AI2281" s="19" t="str">
        <f>IF($B2281="","",IFERROR(INDEX(Config!$D$9:$D$29,MATCH($B2281,Config!$B$9:$B$29,0))&amp;"",""))</f>
        <v/>
      </c>
    </row>
    <row r="2282">
      <c r="X2282" s="20" t="str">
        <f>IF($B2282="","",IFERROR(IF(INDEX(Config!$D$9:$D$29,MATCH($B2282,Config!$B$9:$B$29,0))="Contrato",IF(INDEX(Config!$E$9:$E$29,MATCH($B2282,Config!$B$9:$B$29,0))="","",INDEX(Config!$E$9:$E$29,MATCH($B2282,Config!$B$9:$B$29,0))),""),""))</f>
        <v/>
      </c>
      <c r="AI2282" s="19" t="str">
        <f>IF($B2282="","",IFERROR(INDEX(Config!$D$9:$D$29,MATCH($B2282,Config!$B$9:$B$29,0))&amp;"",""))</f>
        <v/>
      </c>
    </row>
    <row r="2283">
      <c r="X2283" s="20" t="str">
        <f>IF($B2283="","",IFERROR(IF(INDEX(Config!$D$9:$D$29,MATCH($B2283,Config!$B$9:$B$29,0))="Contrato",IF(INDEX(Config!$E$9:$E$29,MATCH($B2283,Config!$B$9:$B$29,0))="","",INDEX(Config!$E$9:$E$29,MATCH($B2283,Config!$B$9:$B$29,0))),""),""))</f>
        <v/>
      </c>
      <c r="AI2283" s="19" t="str">
        <f>IF($B2283="","",IFERROR(INDEX(Config!$D$9:$D$29,MATCH($B2283,Config!$B$9:$B$29,0))&amp;"",""))</f>
        <v/>
      </c>
    </row>
    <row r="2284">
      <c r="X2284" s="20" t="str">
        <f>IF($B2284="","",IFERROR(IF(INDEX(Config!$D$9:$D$29,MATCH($B2284,Config!$B$9:$B$29,0))="Contrato",IF(INDEX(Config!$E$9:$E$29,MATCH($B2284,Config!$B$9:$B$29,0))="","",INDEX(Config!$E$9:$E$29,MATCH($B2284,Config!$B$9:$B$29,0))),""),""))</f>
        <v/>
      </c>
      <c r="AI2284" s="19" t="str">
        <f>IF($B2284="","",IFERROR(INDEX(Config!$D$9:$D$29,MATCH($B2284,Config!$B$9:$B$29,0))&amp;"",""))</f>
        <v/>
      </c>
    </row>
    <row r="2285">
      <c r="X2285" s="20" t="str">
        <f>IF($B2285="","",IFERROR(IF(INDEX(Config!$D$9:$D$29,MATCH($B2285,Config!$B$9:$B$29,0))="Contrato",IF(INDEX(Config!$E$9:$E$29,MATCH($B2285,Config!$B$9:$B$29,0))="","",INDEX(Config!$E$9:$E$29,MATCH($B2285,Config!$B$9:$B$29,0))),""),""))</f>
        <v/>
      </c>
      <c r="AI2285" s="19" t="str">
        <f>IF($B2285="","",IFERROR(INDEX(Config!$D$9:$D$29,MATCH($B2285,Config!$B$9:$B$29,0))&amp;"",""))</f>
        <v/>
      </c>
    </row>
    <row r="2286">
      <c r="X2286" s="20" t="str">
        <f>IF($B2286="","",IFERROR(IF(INDEX(Config!$D$9:$D$29,MATCH($B2286,Config!$B$9:$B$29,0))="Contrato",IF(INDEX(Config!$E$9:$E$29,MATCH($B2286,Config!$B$9:$B$29,0))="","",INDEX(Config!$E$9:$E$29,MATCH($B2286,Config!$B$9:$B$29,0))),""),""))</f>
        <v/>
      </c>
      <c r="AI2286" s="19" t="str">
        <f>IF($B2286="","",IFERROR(INDEX(Config!$D$9:$D$29,MATCH($B2286,Config!$B$9:$B$29,0))&amp;"",""))</f>
        <v/>
      </c>
    </row>
    <row r="2287">
      <c r="X2287" s="20" t="str">
        <f>IF($B2287="","",IFERROR(IF(INDEX(Config!$D$9:$D$29,MATCH($B2287,Config!$B$9:$B$29,0))="Contrato",IF(INDEX(Config!$E$9:$E$29,MATCH($B2287,Config!$B$9:$B$29,0))="","",INDEX(Config!$E$9:$E$29,MATCH($B2287,Config!$B$9:$B$29,0))),""),""))</f>
        <v/>
      </c>
      <c r="AI2287" s="19" t="str">
        <f>IF($B2287="","",IFERROR(INDEX(Config!$D$9:$D$29,MATCH($B2287,Config!$B$9:$B$29,0))&amp;"",""))</f>
        <v/>
      </c>
    </row>
    <row r="2288">
      <c r="X2288" s="20" t="str">
        <f>IF($B2288="","",IFERROR(IF(INDEX(Config!$D$9:$D$29,MATCH($B2288,Config!$B$9:$B$29,0))="Contrato",IF(INDEX(Config!$E$9:$E$29,MATCH($B2288,Config!$B$9:$B$29,0))="","",INDEX(Config!$E$9:$E$29,MATCH($B2288,Config!$B$9:$B$29,0))),""),""))</f>
        <v/>
      </c>
      <c r="AI2288" s="19" t="str">
        <f>IF($B2288="","",IFERROR(INDEX(Config!$D$9:$D$29,MATCH($B2288,Config!$B$9:$B$29,0))&amp;"",""))</f>
        <v/>
      </c>
    </row>
    <row r="2289">
      <c r="X2289" s="20" t="str">
        <f>IF($B2289="","",IFERROR(IF(INDEX(Config!$D$9:$D$29,MATCH($B2289,Config!$B$9:$B$29,0))="Contrato",IF(INDEX(Config!$E$9:$E$29,MATCH($B2289,Config!$B$9:$B$29,0))="","",INDEX(Config!$E$9:$E$29,MATCH($B2289,Config!$B$9:$B$29,0))),""),""))</f>
        <v/>
      </c>
      <c r="AI2289" s="19" t="str">
        <f>IF($B2289="","",IFERROR(INDEX(Config!$D$9:$D$29,MATCH($B2289,Config!$B$9:$B$29,0))&amp;"",""))</f>
        <v/>
      </c>
    </row>
    <row r="2290">
      <c r="X2290" s="20" t="str">
        <f>IF($B2290="","",IFERROR(IF(INDEX(Config!$D$9:$D$29,MATCH($B2290,Config!$B$9:$B$29,0))="Contrato",IF(INDEX(Config!$E$9:$E$29,MATCH($B2290,Config!$B$9:$B$29,0))="","",INDEX(Config!$E$9:$E$29,MATCH($B2290,Config!$B$9:$B$29,0))),""),""))</f>
        <v/>
      </c>
      <c r="AI2290" s="19" t="str">
        <f>IF($B2290="","",IFERROR(INDEX(Config!$D$9:$D$29,MATCH($B2290,Config!$B$9:$B$29,0))&amp;"",""))</f>
        <v/>
      </c>
    </row>
    <row r="2291">
      <c r="X2291" s="20" t="str">
        <f>IF($B2291="","",IFERROR(IF(INDEX(Config!$D$9:$D$29,MATCH($B2291,Config!$B$9:$B$29,0))="Contrato",IF(INDEX(Config!$E$9:$E$29,MATCH($B2291,Config!$B$9:$B$29,0))="","",INDEX(Config!$E$9:$E$29,MATCH($B2291,Config!$B$9:$B$29,0))),""),""))</f>
        <v/>
      </c>
      <c r="AI2291" s="19" t="str">
        <f>IF($B2291="","",IFERROR(INDEX(Config!$D$9:$D$29,MATCH($B2291,Config!$B$9:$B$29,0))&amp;"",""))</f>
        <v/>
      </c>
    </row>
    <row r="2292">
      <c r="X2292" s="20" t="str">
        <f>IF($B2292="","",IFERROR(IF(INDEX(Config!$D$9:$D$29,MATCH($B2292,Config!$B$9:$B$29,0))="Contrato",IF(INDEX(Config!$E$9:$E$29,MATCH($B2292,Config!$B$9:$B$29,0))="","",INDEX(Config!$E$9:$E$29,MATCH($B2292,Config!$B$9:$B$29,0))),""),""))</f>
        <v/>
      </c>
      <c r="AI2292" s="19" t="str">
        <f>IF($B2292="","",IFERROR(INDEX(Config!$D$9:$D$29,MATCH($B2292,Config!$B$9:$B$29,0))&amp;"",""))</f>
        <v/>
      </c>
    </row>
    <row r="2293">
      <c r="X2293" s="20" t="str">
        <f>IF($B2293="","",IFERROR(IF(INDEX(Config!$D$9:$D$29,MATCH($B2293,Config!$B$9:$B$29,0))="Contrato",IF(INDEX(Config!$E$9:$E$29,MATCH($B2293,Config!$B$9:$B$29,0))="","",INDEX(Config!$E$9:$E$29,MATCH($B2293,Config!$B$9:$B$29,0))),""),""))</f>
        <v/>
      </c>
      <c r="AI2293" s="19" t="str">
        <f>IF($B2293="","",IFERROR(INDEX(Config!$D$9:$D$29,MATCH($B2293,Config!$B$9:$B$29,0))&amp;"",""))</f>
        <v/>
      </c>
    </row>
    <row r="2294">
      <c r="X2294" s="20" t="str">
        <f>IF($B2294="","",IFERROR(IF(INDEX(Config!$D$9:$D$29,MATCH($B2294,Config!$B$9:$B$29,0))="Contrato",IF(INDEX(Config!$E$9:$E$29,MATCH($B2294,Config!$B$9:$B$29,0))="","",INDEX(Config!$E$9:$E$29,MATCH($B2294,Config!$B$9:$B$29,0))),""),""))</f>
        <v/>
      </c>
      <c r="AI2294" s="19" t="str">
        <f>IF($B2294="","",IFERROR(INDEX(Config!$D$9:$D$29,MATCH($B2294,Config!$B$9:$B$29,0))&amp;"",""))</f>
        <v/>
      </c>
    </row>
    <row r="2295">
      <c r="X2295" s="20" t="str">
        <f>IF($B2295="","",IFERROR(IF(INDEX(Config!$D$9:$D$29,MATCH($B2295,Config!$B$9:$B$29,0))="Contrato",IF(INDEX(Config!$E$9:$E$29,MATCH($B2295,Config!$B$9:$B$29,0))="","",INDEX(Config!$E$9:$E$29,MATCH($B2295,Config!$B$9:$B$29,0))),""),""))</f>
        <v/>
      </c>
      <c r="AI2295" s="19" t="str">
        <f>IF($B2295="","",IFERROR(INDEX(Config!$D$9:$D$29,MATCH($B2295,Config!$B$9:$B$29,0))&amp;"",""))</f>
        <v/>
      </c>
    </row>
    <row r="2296">
      <c r="X2296" s="20" t="str">
        <f>IF($B2296="","",IFERROR(IF(INDEX(Config!$D$9:$D$29,MATCH($B2296,Config!$B$9:$B$29,0))="Contrato",IF(INDEX(Config!$E$9:$E$29,MATCH($B2296,Config!$B$9:$B$29,0))="","",INDEX(Config!$E$9:$E$29,MATCH($B2296,Config!$B$9:$B$29,0))),""),""))</f>
        <v/>
      </c>
      <c r="AI2296" s="19" t="str">
        <f>IF($B2296="","",IFERROR(INDEX(Config!$D$9:$D$29,MATCH($B2296,Config!$B$9:$B$29,0))&amp;"",""))</f>
        <v/>
      </c>
    </row>
    <row r="2297">
      <c r="X2297" s="20" t="str">
        <f>IF($B2297="","",IFERROR(IF(INDEX(Config!$D$9:$D$29,MATCH($B2297,Config!$B$9:$B$29,0))="Contrato",IF(INDEX(Config!$E$9:$E$29,MATCH($B2297,Config!$B$9:$B$29,0))="","",INDEX(Config!$E$9:$E$29,MATCH($B2297,Config!$B$9:$B$29,0))),""),""))</f>
        <v/>
      </c>
      <c r="AI2297" s="19" t="str">
        <f>IF($B2297="","",IFERROR(INDEX(Config!$D$9:$D$29,MATCH($B2297,Config!$B$9:$B$29,0))&amp;"",""))</f>
        <v/>
      </c>
    </row>
    <row r="2298">
      <c r="X2298" s="20" t="str">
        <f>IF($B2298="","",IFERROR(IF(INDEX(Config!$D$9:$D$29,MATCH($B2298,Config!$B$9:$B$29,0))="Contrato",IF(INDEX(Config!$E$9:$E$29,MATCH($B2298,Config!$B$9:$B$29,0))="","",INDEX(Config!$E$9:$E$29,MATCH($B2298,Config!$B$9:$B$29,0))),""),""))</f>
        <v/>
      </c>
      <c r="AI2298" s="19" t="str">
        <f>IF($B2298="","",IFERROR(INDEX(Config!$D$9:$D$29,MATCH($B2298,Config!$B$9:$B$29,0))&amp;"",""))</f>
        <v/>
      </c>
    </row>
    <row r="2299">
      <c r="X2299" s="20" t="str">
        <f>IF($B2299="","",IFERROR(IF(INDEX(Config!$D$9:$D$29,MATCH($B2299,Config!$B$9:$B$29,0))="Contrato",IF(INDEX(Config!$E$9:$E$29,MATCH($B2299,Config!$B$9:$B$29,0))="","",INDEX(Config!$E$9:$E$29,MATCH($B2299,Config!$B$9:$B$29,0))),""),""))</f>
        <v/>
      </c>
      <c r="AI2299" s="19" t="str">
        <f>IF($B2299="","",IFERROR(INDEX(Config!$D$9:$D$29,MATCH($B2299,Config!$B$9:$B$29,0))&amp;"",""))</f>
        <v/>
      </c>
    </row>
    <row r="2300">
      <c r="X2300" s="20" t="str">
        <f>IF($B2300="","",IFERROR(IF(INDEX(Config!$D$9:$D$29,MATCH($B2300,Config!$B$9:$B$29,0))="Contrato",IF(INDEX(Config!$E$9:$E$29,MATCH($B2300,Config!$B$9:$B$29,0))="","",INDEX(Config!$E$9:$E$29,MATCH($B2300,Config!$B$9:$B$29,0))),""),""))</f>
        <v/>
      </c>
      <c r="AI2300" s="19" t="str">
        <f>IF($B2300="","",IFERROR(INDEX(Config!$D$9:$D$29,MATCH($B2300,Config!$B$9:$B$29,0))&amp;"",""))</f>
        <v/>
      </c>
    </row>
    <row r="2301">
      <c r="X2301" s="20" t="str">
        <f>IF($B2301="","",IFERROR(IF(INDEX(Config!$D$9:$D$29,MATCH($B2301,Config!$B$9:$B$29,0))="Contrato",IF(INDEX(Config!$E$9:$E$29,MATCH($B2301,Config!$B$9:$B$29,0))="","",INDEX(Config!$E$9:$E$29,MATCH($B2301,Config!$B$9:$B$29,0))),""),""))</f>
        <v/>
      </c>
      <c r="AI2301" s="19" t="str">
        <f>IF($B2301="","",IFERROR(INDEX(Config!$D$9:$D$29,MATCH($B2301,Config!$B$9:$B$29,0))&amp;"",""))</f>
        <v/>
      </c>
    </row>
    <row r="2302">
      <c r="X2302" s="20" t="str">
        <f>IF($B2302="","",IFERROR(IF(INDEX(Config!$D$9:$D$29,MATCH($B2302,Config!$B$9:$B$29,0))="Contrato",IF(INDEX(Config!$E$9:$E$29,MATCH($B2302,Config!$B$9:$B$29,0))="","",INDEX(Config!$E$9:$E$29,MATCH($B2302,Config!$B$9:$B$29,0))),""),""))</f>
        <v/>
      </c>
      <c r="AI2302" s="19" t="str">
        <f>IF($B2302="","",IFERROR(INDEX(Config!$D$9:$D$29,MATCH($B2302,Config!$B$9:$B$29,0))&amp;"",""))</f>
        <v/>
      </c>
    </row>
    <row r="2303">
      <c r="X2303" s="20" t="str">
        <f>IF($B2303="","",IFERROR(IF(INDEX(Config!$D$9:$D$29,MATCH($B2303,Config!$B$9:$B$29,0))="Contrato",IF(INDEX(Config!$E$9:$E$29,MATCH($B2303,Config!$B$9:$B$29,0))="","",INDEX(Config!$E$9:$E$29,MATCH($B2303,Config!$B$9:$B$29,0))),""),""))</f>
        <v/>
      </c>
      <c r="AI2303" s="19" t="str">
        <f>IF($B2303="","",IFERROR(INDEX(Config!$D$9:$D$29,MATCH($B2303,Config!$B$9:$B$29,0))&amp;"",""))</f>
        <v/>
      </c>
    </row>
    <row r="2304">
      <c r="X2304" s="20" t="str">
        <f>IF($B2304="","",IFERROR(IF(INDEX(Config!$D$9:$D$29,MATCH($B2304,Config!$B$9:$B$29,0))="Contrato",IF(INDEX(Config!$E$9:$E$29,MATCH($B2304,Config!$B$9:$B$29,0))="","",INDEX(Config!$E$9:$E$29,MATCH($B2304,Config!$B$9:$B$29,0))),""),""))</f>
        <v/>
      </c>
      <c r="AI2304" s="19" t="str">
        <f>IF($B2304="","",IFERROR(INDEX(Config!$D$9:$D$29,MATCH($B2304,Config!$B$9:$B$29,0))&amp;"",""))</f>
        <v/>
      </c>
    </row>
    <row r="2305">
      <c r="X2305" s="20" t="str">
        <f>IF($B2305="","",IFERROR(IF(INDEX(Config!$D$9:$D$29,MATCH($B2305,Config!$B$9:$B$29,0))="Contrato",IF(INDEX(Config!$E$9:$E$29,MATCH($B2305,Config!$B$9:$B$29,0))="","",INDEX(Config!$E$9:$E$29,MATCH($B2305,Config!$B$9:$B$29,0))),""),""))</f>
        <v/>
      </c>
      <c r="AI2305" s="19" t="str">
        <f>IF($B2305="","",IFERROR(INDEX(Config!$D$9:$D$29,MATCH($B2305,Config!$B$9:$B$29,0))&amp;"",""))</f>
        <v/>
      </c>
    </row>
    <row r="2306">
      <c r="X2306" s="20" t="str">
        <f>IF($B2306="","",IFERROR(IF(INDEX(Config!$D$9:$D$29,MATCH($B2306,Config!$B$9:$B$29,0))="Contrato",IF(INDEX(Config!$E$9:$E$29,MATCH($B2306,Config!$B$9:$B$29,0))="","",INDEX(Config!$E$9:$E$29,MATCH($B2306,Config!$B$9:$B$29,0))),""),""))</f>
        <v/>
      </c>
      <c r="AI2306" s="19" t="str">
        <f>IF($B2306="","",IFERROR(INDEX(Config!$D$9:$D$29,MATCH($B2306,Config!$B$9:$B$29,0))&amp;"",""))</f>
        <v/>
      </c>
    </row>
    <row r="2307">
      <c r="X2307" s="20" t="str">
        <f>IF($B2307="","",IFERROR(IF(INDEX(Config!$D$9:$D$29,MATCH($B2307,Config!$B$9:$B$29,0))="Contrato",IF(INDEX(Config!$E$9:$E$29,MATCH($B2307,Config!$B$9:$B$29,0))="","",INDEX(Config!$E$9:$E$29,MATCH($B2307,Config!$B$9:$B$29,0))),""),""))</f>
        <v/>
      </c>
      <c r="AI2307" s="19" t="str">
        <f>IF($B2307="","",IFERROR(INDEX(Config!$D$9:$D$29,MATCH($B2307,Config!$B$9:$B$29,0))&amp;"",""))</f>
        <v/>
      </c>
    </row>
    <row r="2308">
      <c r="X2308" s="20" t="str">
        <f>IF($B2308="","",IFERROR(IF(INDEX(Config!$D$9:$D$29,MATCH($B2308,Config!$B$9:$B$29,0))="Contrato",IF(INDEX(Config!$E$9:$E$29,MATCH($B2308,Config!$B$9:$B$29,0))="","",INDEX(Config!$E$9:$E$29,MATCH($B2308,Config!$B$9:$B$29,0))),""),""))</f>
        <v/>
      </c>
      <c r="AI2308" s="19" t="str">
        <f>IF($B2308="","",IFERROR(INDEX(Config!$D$9:$D$29,MATCH($B2308,Config!$B$9:$B$29,0))&amp;"",""))</f>
        <v/>
      </c>
    </row>
    <row r="2309">
      <c r="X2309" s="20" t="str">
        <f>IF($B2309="","",IFERROR(IF(INDEX(Config!$D$9:$D$29,MATCH($B2309,Config!$B$9:$B$29,0))="Contrato",IF(INDEX(Config!$E$9:$E$29,MATCH($B2309,Config!$B$9:$B$29,0))="","",INDEX(Config!$E$9:$E$29,MATCH($B2309,Config!$B$9:$B$29,0))),""),""))</f>
        <v/>
      </c>
      <c r="AI2309" s="19" t="str">
        <f>IF($B2309="","",IFERROR(INDEX(Config!$D$9:$D$29,MATCH($B2309,Config!$B$9:$B$29,0))&amp;"",""))</f>
        <v/>
      </c>
    </row>
    <row r="2310">
      <c r="X2310" s="20" t="str">
        <f>IF($B2310="","",IFERROR(IF(INDEX(Config!$D$9:$D$29,MATCH($B2310,Config!$B$9:$B$29,0))="Contrato",IF(INDEX(Config!$E$9:$E$29,MATCH($B2310,Config!$B$9:$B$29,0))="","",INDEX(Config!$E$9:$E$29,MATCH($B2310,Config!$B$9:$B$29,0))),""),""))</f>
        <v/>
      </c>
      <c r="AI2310" s="19" t="str">
        <f>IF($B2310="","",IFERROR(INDEX(Config!$D$9:$D$29,MATCH($B2310,Config!$B$9:$B$29,0))&amp;"",""))</f>
        <v/>
      </c>
    </row>
    <row r="2311">
      <c r="X2311" s="20" t="str">
        <f>IF($B2311="","",IFERROR(IF(INDEX(Config!$D$9:$D$29,MATCH($B2311,Config!$B$9:$B$29,0))="Contrato",IF(INDEX(Config!$E$9:$E$29,MATCH($B2311,Config!$B$9:$B$29,0))="","",INDEX(Config!$E$9:$E$29,MATCH($B2311,Config!$B$9:$B$29,0))),""),""))</f>
        <v/>
      </c>
      <c r="AI2311" s="19" t="str">
        <f>IF($B2311="","",IFERROR(INDEX(Config!$D$9:$D$29,MATCH($B2311,Config!$B$9:$B$29,0))&amp;"",""))</f>
        <v/>
      </c>
    </row>
    <row r="2312">
      <c r="X2312" s="20" t="str">
        <f>IF($B2312="","",IFERROR(IF(INDEX(Config!$D$9:$D$29,MATCH($B2312,Config!$B$9:$B$29,0))="Contrato",IF(INDEX(Config!$E$9:$E$29,MATCH($B2312,Config!$B$9:$B$29,0))="","",INDEX(Config!$E$9:$E$29,MATCH($B2312,Config!$B$9:$B$29,0))),""),""))</f>
        <v/>
      </c>
      <c r="AI2312" s="19" t="str">
        <f>IF($B2312="","",IFERROR(INDEX(Config!$D$9:$D$29,MATCH($B2312,Config!$B$9:$B$29,0))&amp;"",""))</f>
        <v/>
      </c>
    </row>
    <row r="2313">
      <c r="X2313" s="20" t="str">
        <f>IF($B2313="","",IFERROR(IF(INDEX(Config!$D$9:$D$29,MATCH($B2313,Config!$B$9:$B$29,0))="Contrato",IF(INDEX(Config!$E$9:$E$29,MATCH($B2313,Config!$B$9:$B$29,0))="","",INDEX(Config!$E$9:$E$29,MATCH($B2313,Config!$B$9:$B$29,0))),""),""))</f>
        <v/>
      </c>
      <c r="AI2313" s="19" t="str">
        <f>IF($B2313="","",IFERROR(INDEX(Config!$D$9:$D$29,MATCH($B2313,Config!$B$9:$B$29,0))&amp;"",""))</f>
        <v/>
      </c>
    </row>
    <row r="2314">
      <c r="X2314" s="20" t="str">
        <f>IF($B2314="","",IFERROR(IF(INDEX(Config!$D$9:$D$29,MATCH($B2314,Config!$B$9:$B$29,0))="Contrato",IF(INDEX(Config!$E$9:$E$29,MATCH($B2314,Config!$B$9:$B$29,0))="","",INDEX(Config!$E$9:$E$29,MATCH($B2314,Config!$B$9:$B$29,0))),""),""))</f>
        <v/>
      </c>
      <c r="AI2314" s="19" t="str">
        <f>IF($B2314="","",IFERROR(INDEX(Config!$D$9:$D$29,MATCH($B2314,Config!$B$9:$B$29,0))&amp;"",""))</f>
        <v/>
      </c>
    </row>
    <row r="2315">
      <c r="X2315" s="20" t="str">
        <f>IF($B2315="","",IFERROR(IF(INDEX(Config!$D$9:$D$29,MATCH($B2315,Config!$B$9:$B$29,0))="Contrato",IF(INDEX(Config!$E$9:$E$29,MATCH($B2315,Config!$B$9:$B$29,0))="","",INDEX(Config!$E$9:$E$29,MATCH($B2315,Config!$B$9:$B$29,0))),""),""))</f>
        <v/>
      </c>
      <c r="AI2315" s="19" t="str">
        <f>IF($B2315="","",IFERROR(INDEX(Config!$D$9:$D$29,MATCH($B2315,Config!$B$9:$B$29,0))&amp;"",""))</f>
        <v/>
      </c>
    </row>
    <row r="2316">
      <c r="X2316" s="20" t="str">
        <f>IF($B2316="","",IFERROR(IF(INDEX(Config!$D$9:$D$29,MATCH($B2316,Config!$B$9:$B$29,0))="Contrato",IF(INDEX(Config!$E$9:$E$29,MATCH($B2316,Config!$B$9:$B$29,0))="","",INDEX(Config!$E$9:$E$29,MATCH($B2316,Config!$B$9:$B$29,0))),""),""))</f>
        <v/>
      </c>
      <c r="AI2316" s="19" t="str">
        <f>IF($B2316="","",IFERROR(INDEX(Config!$D$9:$D$29,MATCH($B2316,Config!$B$9:$B$29,0))&amp;"",""))</f>
        <v/>
      </c>
    </row>
    <row r="2317">
      <c r="X2317" s="20" t="str">
        <f>IF($B2317="","",IFERROR(IF(INDEX(Config!$D$9:$D$29,MATCH($B2317,Config!$B$9:$B$29,0))="Contrato",IF(INDEX(Config!$E$9:$E$29,MATCH($B2317,Config!$B$9:$B$29,0))="","",INDEX(Config!$E$9:$E$29,MATCH($B2317,Config!$B$9:$B$29,0))),""),""))</f>
        <v/>
      </c>
      <c r="AI2317" s="19" t="str">
        <f>IF($B2317="","",IFERROR(INDEX(Config!$D$9:$D$29,MATCH($B2317,Config!$B$9:$B$29,0))&amp;"",""))</f>
        <v/>
      </c>
    </row>
    <row r="2318">
      <c r="X2318" s="20" t="str">
        <f>IF($B2318="","",IFERROR(IF(INDEX(Config!$D$9:$D$29,MATCH($B2318,Config!$B$9:$B$29,0))="Contrato",IF(INDEX(Config!$E$9:$E$29,MATCH($B2318,Config!$B$9:$B$29,0))="","",INDEX(Config!$E$9:$E$29,MATCH($B2318,Config!$B$9:$B$29,0))),""),""))</f>
        <v/>
      </c>
      <c r="AI2318" s="19" t="str">
        <f>IF($B2318="","",IFERROR(INDEX(Config!$D$9:$D$29,MATCH($B2318,Config!$B$9:$B$29,0))&amp;"",""))</f>
        <v/>
      </c>
    </row>
    <row r="2319">
      <c r="X2319" s="20" t="str">
        <f>IF($B2319="","",IFERROR(IF(INDEX(Config!$D$9:$D$29,MATCH($B2319,Config!$B$9:$B$29,0))="Contrato",IF(INDEX(Config!$E$9:$E$29,MATCH($B2319,Config!$B$9:$B$29,0))="","",INDEX(Config!$E$9:$E$29,MATCH($B2319,Config!$B$9:$B$29,0))),""),""))</f>
        <v/>
      </c>
      <c r="AI2319" s="19" t="str">
        <f>IF($B2319="","",IFERROR(INDEX(Config!$D$9:$D$29,MATCH($B2319,Config!$B$9:$B$29,0))&amp;"",""))</f>
        <v/>
      </c>
    </row>
    <row r="2320">
      <c r="X2320" s="20" t="str">
        <f>IF($B2320="","",IFERROR(IF(INDEX(Config!$D$9:$D$29,MATCH($B2320,Config!$B$9:$B$29,0))="Contrato",IF(INDEX(Config!$E$9:$E$29,MATCH($B2320,Config!$B$9:$B$29,0))="","",INDEX(Config!$E$9:$E$29,MATCH($B2320,Config!$B$9:$B$29,0))),""),""))</f>
        <v/>
      </c>
      <c r="AI2320" s="19" t="str">
        <f>IF($B2320="","",IFERROR(INDEX(Config!$D$9:$D$29,MATCH($B2320,Config!$B$9:$B$29,0))&amp;"",""))</f>
        <v/>
      </c>
    </row>
    <row r="2321">
      <c r="X2321" s="20" t="str">
        <f>IF($B2321="","",IFERROR(IF(INDEX(Config!$D$9:$D$29,MATCH($B2321,Config!$B$9:$B$29,0))="Contrato",IF(INDEX(Config!$E$9:$E$29,MATCH($B2321,Config!$B$9:$B$29,0))="","",INDEX(Config!$E$9:$E$29,MATCH($B2321,Config!$B$9:$B$29,0))),""),""))</f>
        <v/>
      </c>
      <c r="AI2321" s="19" t="str">
        <f>IF($B2321="","",IFERROR(INDEX(Config!$D$9:$D$29,MATCH($B2321,Config!$B$9:$B$29,0))&amp;"",""))</f>
        <v/>
      </c>
    </row>
    <row r="2322">
      <c r="X2322" s="20" t="str">
        <f>IF($B2322="","",IFERROR(IF(INDEX(Config!$D$9:$D$29,MATCH($B2322,Config!$B$9:$B$29,0))="Contrato",IF(INDEX(Config!$E$9:$E$29,MATCH($B2322,Config!$B$9:$B$29,0))="","",INDEX(Config!$E$9:$E$29,MATCH($B2322,Config!$B$9:$B$29,0))),""),""))</f>
        <v/>
      </c>
      <c r="AI2322" s="19" t="str">
        <f>IF($B2322="","",IFERROR(INDEX(Config!$D$9:$D$29,MATCH($B2322,Config!$B$9:$B$29,0))&amp;"",""))</f>
        <v/>
      </c>
    </row>
    <row r="2323">
      <c r="X2323" s="20" t="str">
        <f>IF($B2323="","",IFERROR(IF(INDEX(Config!$D$9:$D$29,MATCH($B2323,Config!$B$9:$B$29,0))="Contrato",IF(INDEX(Config!$E$9:$E$29,MATCH($B2323,Config!$B$9:$B$29,0))="","",INDEX(Config!$E$9:$E$29,MATCH($B2323,Config!$B$9:$B$29,0))),""),""))</f>
        <v/>
      </c>
      <c r="AI2323" s="19" t="str">
        <f>IF($B2323="","",IFERROR(INDEX(Config!$D$9:$D$29,MATCH($B2323,Config!$B$9:$B$29,0))&amp;"",""))</f>
        <v/>
      </c>
    </row>
    <row r="2324">
      <c r="X2324" s="20" t="str">
        <f>IF($B2324="","",IFERROR(IF(INDEX(Config!$D$9:$D$29,MATCH($B2324,Config!$B$9:$B$29,0))="Contrato",IF(INDEX(Config!$E$9:$E$29,MATCH($B2324,Config!$B$9:$B$29,0))="","",INDEX(Config!$E$9:$E$29,MATCH($B2324,Config!$B$9:$B$29,0))),""),""))</f>
        <v/>
      </c>
      <c r="AI2324" s="19" t="str">
        <f>IF($B2324="","",IFERROR(INDEX(Config!$D$9:$D$29,MATCH($B2324,Config!$B$9:$B$29,0))&amp;"",""))</f>
        <v/>
      </c>
    </row>
    <row r="2325">
      <c r="X2325" s="20" t="str">
        <f>IF($B2325="","",IFERROR(IF(INDEX(Config!$D$9:$D$29,MATCH($B2325,Config!$B$9:$B$29,0))="Contrato",IF(INDEX(Config!$E$9:$E$29,MATCH($B2325,Config!$B$9:$B$29,0))="","",INDEX(Config!$E$9:$E$29,MATCH($B2325,Config!$B$9:$B$29,0))),""),""))</f>
        <v/>
      </c>
      <c r="AI2325" s="19" t="str">
        <f>IF($B2325="","",IFERROR(INDEX(Config!$D$9:$D$29,MATCH($B2325,Config!$B$9:$B$29,0))&amp;"",""))</f>
        <v/>
      </c>
    </row>
    <row r="2326">
      <c r="X2326" s="20" t="str">
        <f>IF($B2326="","",IFERROR(IF(INDEX(Config!$D$9:$D$29,MATCH($B2326,Config!$B$9:$B$29,0))="Contrato",IF(INDEX(Config!$E$9:$E$29,MATCH($B2326,Config!$B$9:$B$29,0))="","",INDEX(Config!$E$9:$E$29,MATCH($B2326,Config!$B$9:$B$29,0))),""),""))</f>
        <v/>
      </c>
      <c r="AI2326" s="19" t="str">
        <f>IF($B2326="","",IFERROR(INDEX(Config!$D$9:$D$29,MATCH($B2326,Config!$B$9:$B$29,0))&amp;"",""))</f>
        <v/>
      </c>
    </row>
    <row r="2327">
      <c r="X2327" s="20" t="str">
        <f>IF($B2327="","",IFERROR(IF(INDEX(Config!$D$9:$D$29,MATCH($B2327,Config!$B$9:$B$29,0))="Contrato",IF(INDEX(Config!$E$9:$E$29,MATCH($B2327,Config!$B$9:$B$29,0))="","",INDEX(Config!$E$9:$E$29,MATCH($B2327,Config!$B$9:$B$29,0))),""),""))</f>
        <v/>
      </c>
      <c r="AI2327" s="19" t="str">
        <f>IF($B2327="","",IFERROR(INDEX(Config!$D$9:$D$29,MATCH($B2327,Config!$B$9:$B$29,0))&amp;"",""))</f>
        <v/>
      </c>
    </row>
    <row r="2328">
      <c r="X2328" s="20" t="str">
        <f>IF($B2328="","",IFERROR(IF(INDEX(Config!$D$9:$D$29,MATCH($B2328,Config!$B$9:$B$29,0))="Contrato",IF(INDEX(Config!$E$9:$E$29,MATCH($B2328,Config!$B$9:$B$29,0))="","",INDEX(Config!$E$9:$E$29,MATCH($B2328,Config!$B$9:$B$29,0))),""),""))</f>
        <v/>
      </c>
      <c r="AI2328" s="19" t="str">
        <f>IF($B2328="","",IFERROR(INDEX(Config!$D$9:$D$29,MATCH($B2328,Config!$B$9:$B$29,0))&amp;"",""))</f>
        <v/>
      </c>
    </row>
    <row r="2329">
      <c r="X2329" s="20" t="str">
        <f>IF($B2329="","",IFERROR(IF(INDEX(Config!$D$9:$D$29,MATCH($B2329,Config!$B$9:$B$29,0))="Contrato",IF(INDEX(Config!$E$9:$E$29,MATCH($B2329,Config!$B$9:$B$29,0))="","",INDEX(Config!$E$9:$E$29,MATCH($B2329,Config!$B$9:$B$29,0))),""),""))</f>
        <v/>
      </c>
      <c r="AI2329" s="19" t="str">
        <f>IF($B2329="","",IFERROR(INDEX(Config!$D$9:$D$29,MATCH($B2329,Config!$B$9:$B$29,0))&amp;"",""))</f>
        <v/>
      </c>
    </row>
    <row r="2330">
      <c r="X2330" s="20" t="str">
        <f>IF($B2330="","",IFERROR(IF(INDEX(Config!$D$9:$D$29,MATCH($B2330,Config!$B$9:$B$29,0))="Contrato",IF(INDEX(Config!$E$9:$E$29,MATCH($B2330,Config!$B$9:$B$29,0))="","",INDEX(Config!$E$9:$E$29,MATCH($B2330,Config!$B$9:$B$29,0))),""),""))</f>
        <v/>
      </c>
      <c r="AI2330" s="19" t="str">
        <f>IF($B2330="","",IFERROR(INDEX(Config!$D$9:$D$29,MATCH($B2330,Config!$B$9:$B$29,0))&amp;"",""))</f>
        <v/>
      </c>
    </row>
    <row r="2331">
      <c r="X2331" s="20" t="str">
        <f>IF($B2331="","",IFERROR(IF(INDEX(Config!$D$9:$D$29,MATCH($B2331,Config!$B$9:$B$29,0))="Contrato",IF(INDEX(Config!$E$9:$E$29,MATCH($B2331,Config!$B$9:$B$29,0))="","",INDEX(Config!$E$9:$E$29,MATCH($B2331,Config!$B$9:$B$29,0))),""),""))</f>
        <v/>
      </c>
      <c r="AI2331" s="19" t="str">
        <f>IF($B2331="","",IFERROR(INDEX(Config!$D$9:$D$29,MATCH($B2331,Config!$B$9:$B$29,0))&amp;"",""))</f>
        <v/>
      </c>
    </row>
    <row r="2332">
      <c r="X2332" s="20" t="str">
        <f>IF($B2332="","",IFERROR(IF(INDEX(Config!$D$9:$D$29,MATCH($B2332,Config!$B$9:$B$29,0))="Contrato",IF(INDEX(Config!$E$9:$E$29,MATCH($B2332,Config!$B$9:$B$29,0))="","",INDEX(Config!$E$9:$E$29,MATCH($B2332,Config!$B$9:$B$29,0))),""),""))</f>
        <v/>
      </c>
      <c r="AI2332" s="19" t="str">
        <f>IF($B2332="","",IFERROR(INDEX(Config!$D$9:$D$29,MATCH($B2332,Config!$B$9:$B$29,0))&amp;"",""))</f>
        <v/>
      </c>
    </row>
    <row r="2333">
      <c r="X2333" s="20" t="str">
        <f>IF($B2333="","",IFERROR(IF(INDEX(Config!$D$9:$D$29,MATCH($B2333,Config!$B$9:$B$29,0))="Contrato",IF(INDEX(Config!$E$9:$E$29,MATCH($B2333,Config!$B$9:$B$29,0))="","",INDEX(Config!$E$9:$E$29,MATCH($B2333,Config!$B$9:$B$29,0))),""),""))</f>
        <v/>
      </c>
      <c r="AI2333" s="19" t="str">
        <f>IF($B2333="","",IFERROR(INDEX(Config!$D$9:$D$29,MATCH($B2333,Config!$B$9:$B$29,0))&amp;"",""))</f>
        <v/>
      </c>
    </row>
    <row r="2334">
      <c r="X2334" s="20" t="str">
        <f>IF($B2334="","",IFERROR(IF(INDEX(Config!$D$9:$D$29,MATCH($B2334,Config!$B$9:$B$29,0))="Contrato",IF(INDEX(Config!$E$9:$E$29,MATCH($B2334,Config!$B$9:$B$29,0))="","",INDEX(Config!$E$9:$E$29,MATCH($B2334,Config!$B$9:$B$29,0))),""),""))</f>
        <v/>
      </c>
      <c r="AI2334" s="19" t="str">
        <f>IF($B2334="","",IFERROR(INDEX(Config!$D$9:$D$29,MATCH($B2334,Config!$B$9:$B$29,0))&amp;"",""))</f>
        <v/>
      </c>
    </row>
    <row r="2335">
      <c r="X2335" s="20" t="str">
        <f>IF($B2335="","",IFERROR(IF(INDEX(Config!$D$9:$D$29,MATCH($B2335,Config!$B$9:$B$29,0))="Contrato",IF(INDEX(Config!$E$9:$E$29,MATCH($B2335,Config!$B$9:$B$29,0))="","",INDEX(Config!$E$9:$E$29,MATCH($B2335,Config!$B$9:$B$29,0))),""),""))</f>
        <v/>
      </c>
      <c r="AI2335" s="19" t="str">
        <f>IF($B2335="","",IFERROR(INDEX(Config!$D$9:$D$29,MATCH($B2335,Config!$B$9:$B$29,0))&amp;"",""))</f>
        <v/>
      </c>
    </row>
    <row r="2336">
      <c r="X2336" s="20" t="str">
        <f>IF($B2336="","",IFERROR(IF(INDEX(Config!$D$9:$D$29,MATCH($B2336,Config!$B$9:$B$29,0))="Contrato",IF(INDEX(Config!$E$9:$E$29,MATCH($B2336,Config!$B$9:$B$29,0))="","",INDEX(Config!$E$9:$E$29,MATCH($B2336,Config!$B$9:$B$29,0))),""),""))</f>
        <v/>
      </c>
      <c r="AI2336" s="19" t="str">
        <f>IF($B2336="","",IFERROR(INDEX(Config!$D$9:$D$29,MATCH($B2336,Config!$B$9:$B$29,0))&amp;"",""))</f>
        <v/>
      </c>
    </row>
    <row r="2337">
      <c r="X2337" s="20" t="str">
        <f>IF($B2337="","",IFERROR(IF(INDEX(Config!$D$9:$D$29,MATCH($B2337,Config!$B$9:$B$29,0))="Contrato",IF(INDEX(Config!$E$9:$E$29,MATCH($B2337,Config!$B$9:$B$29,0))="","",INDEX(Config!$E$9:$E$29,MATCH($B2337,Config!$B$9:$B$29,0))),""),""))</f>
        <v/>
      </c>
      <c r="AI2337" s="19" t="str">
        <f>IF($B2337="","",IFERROR(INDEX(Config!$D$9:$D$29,MATCH($B2337,Config!$B$9:$B$29,0))&amp;"",""))</f>
        <v/>
      </c>
    </row>
    <row r="2338">
      <c r="X2338" s="20" t="str">
        <f>IF($B2338="","",IFERROR(IF(INDEX(Config!$D$9:$D$29,MATCH($B2338,Config!$B$9:$B$29,0))="Contrato",IF(INDEX(Config!$E$9:$E$29,MATCH($B2338,Config!$B$9:$B$29,0))="","",INDEX(Config!$E$9:$E$29,MATCH($B2338,Config!$B$9:$B$29,0))),""),""))</f>
        <v/>
      </c>
      <c r="AI2338" s="19" t="str">
        <f>IF($B2338="","",IFERROR(INDEX(Config!$D$9:$D$29,MATCH($B2338,Config!$B$9:$B$29,0))&amp;"",""))</f>
        <v/>
      </c>
    </row>
    <row r="2339">
      <c r="X2339" s="20" t="str">
        <f>IF($B2339="","",IFERROR(IF(INDEX(Config!$D$9:$D$29,MATCH($B2339,Config!$B$9:$B$29,0))="Contrato",IF(INDEX(Config!$E$9:$E$29,MATCH($B2339,Config!$B$9:$B$29,0))="","",INDEX(Config!$E$9:$E$29,MATCH($B2339,Config!$B$9:$B$29,0))),""),""))</f>
        <v/>
      </c>
      <c r="AI2339" s="19" t="str">
        <f>IF($B2339="","",IFERROR(INDEX(Config!$D$9:$D$29,MATCH($B2339,Config!$B$9:$B$29,0))&amp;"",""))</f>
        <v/>
      </c>
    </row>
    <row r="2340">
      <c r="X2340" s="20" t="str">
        <f>IF($B2340="","",IFERROR(IF(INDEX(Config!$D$9:$D$29,MATCH($B2340,Config!$B$9:$B$29,0))="Contrato",IF(INDEX(Config!$E$9:$E$29,MATCH($B2340,Config!$B$9:$B$29,0))="","",INDEX(Config!$E$9:$E$29,MATCH($B2340,Config!$B$9:$B$29,0))),""),""))</f>
        <v/>
      </c>
      <c r="AI2340" s="19" t="str">
        <f>IF($B2340="","",IFERROR(INDEX(Config!$D$9:$D$29,MATCH($B2340,Config!$B$9:$B$29,0))&amp;"",""))</f>
        <v/>
      </c>
    </row>
    <row r="2341">
      <c r="X2341" s="20" t="str">
        <f>IF($B2341="","",IFERROR(IF(INDEX(Config!$D$9:$D$29,MATCH($B2341,Config!$B$9:$B$29,0))="Contrato",IF(INDEX(Config!$E$9:$E$29,MATCH($B2341,Config!$B$9:$B$29,0))="","",INDEX(Config!$E$9:$E$29,MATCH($B2341,Config!$B$9:$B$29,0))),""),""))</f>
        <v/>
      </c>
      <c r="AI2341" s="19" t="str">
        <f>IF($B2341="","",IFERROR(INDEX(Config!$D$9:$D$29,MATCH($B2341,Config!$B$9:$B$29,0))&amp;"",""))</f>
        <v/>
      </c>
    </row>
    <row r="2342">
      <c r="X2342" s="20" t="str">
        <f>IF($B2342="","",IFERROR(IF(INDEX(Config!$D$9:$D$29,MATCH($B2342,Config!$B$9:$B$29,0))="Contrato",IF(INDEX(Config!$E$9:$E$29,MATCH($B2342,Config!$B$9:$B$29,0))="","",INDEX(Config!$E$9:$E$29,MATCH($B2342,Config!$B$9:$B$29,0))),""),""))</f>
        <v/>
      </c>
      <c r="AI2342" s="19" t="str">
        <f>IF($B2342="","",IFERROR(INDEX(Config!$D$9:$D$29,MATCH($B2342,Config!$B$9:$B$29,0))&amp;"",""))</f>
        <v/>
      </c>
    </row>
    <row r="2343">
      <c r="X2343" s="20" t="str">
        <f>IF($B2343="","",IFERROR(IF(INDEX(Config!$D$9:$D$29,MATCH($B2343,Config!$B$9:$B$29,0))="Contrato",IF(INDEX(Config!$E$9:$E$29,MATCH($B2343,Config!$B$9:$B$29,0))="","",INDEX(Config!$E$9:$E$29,MATCH($B2343,Config!$B$9:$B$29,0))),""),""))</f>
        <v/>
      </c>
      <c r="AI2343" s="19" t="str">
        <f>IF($B2343="","",IFERROR(INDEX(Config!$D$9:$D$29,MATCH($B2343,Config!$B$9:$B$29,0))&amp;"",""))</f>
        <v/>
      </c>
    </row>
    <row r="2344">
      <c r="X2344" s="20" t="str">
        <f>IF($B2344="","",IFERROR(IF(INDEX(Config!$D$9:$D$29,MATCH($B2344,Config!$B$9:$B$29,0))="Contrato",IF(INDEX(Config!$E$9:$E$29,MATCH($B2344,Config!$B$9:$B$29,0))="","",INDEX(Config!$E$9:$E$29,MATCH($B2344,Config!$B$9:$B$29,0))),""),""))</f>
        <v/>
      </c>
      <c r="AI2344" s="19" t="str">
        <f>IF($B2344="","",IFERROR(INDEX(Config!$D$9:$D$29,MATCH($B2344,Config!$B$9:$B$29,0))&amp;"",""))</f>
        <v/>
      </c>
    </row>
    <row r="2345">
      <c r="X2345" s="20" t="str">
        <f>IF($B2345="","",IFERROR(IF(INDEX(Config!$D$9:$D$29,MATCH($B2345,Config!$B$9:$B$29,0))="Contrato",IF(INDEX(Config!$E$9:$E$29,MATCH($B2345,Config!$B$9:$B$29,0))="","",INDEX(Config!$E$9:$E$29,MATCH($B2345,Config!$B$9:$B$29,0))),""),""))</f>
        <v/>
      </c>
      <c r="AI2345" s="19" t="str">
        <f>IF($B2345="","",IFERROR(INDEX(Config!$D$9:$D$29,MATCH($B2345,Config!$B$9:$B$29,0))&amp;"",""))</f>
        <v/>
      </c>
    </row>
    <row r="2346">
      <c r="X2346" s="20" t="str">
        <f>IF($B2346="","",IFERROR(IF(INDEX(Config!$D$9:$D$29,MATCH($B2346,Config!$B$9:$B$29,0))="Contrato",IF(INDEX(Config!$E$9:$E$29,MATCH($B2346,Config!$B$9:$B$29,0))="","",INDEX(Config!$E$9:$E$29,MATCH($B2346,Config!$B$9:$B$29,0))),""),""))</f>
        <v/>
      </c>
      <c r="AI2346" s="19" t="str">
        <f>IF($B2346="","",IFERROR(INDEX(Config!$D$9:$D$29,MATCH($B2346,Config!$B$9:$B$29,0))&amp;"",""))</f>
        <v/>
      </c>
    </row>
    <row r="2347">
      <c r="X2347" s="20" t="str">
        <f>IF($B2347="","",IFERROR(IF(INDEX(Config!$D$9:$D$29,MATCH($B2347,Config!$B$9:$B$29,0))="Contrato",IF(INDEX(Config!$E$9:$E$29,MATCH($B2347,Config!$B$9:$B$29,0))="","",INDEX(Config!$E$9:$E$29,MATCH($B2347,Config!$B$9:$B$29,0))),""),""))</f>
        <v/>
      </c>
      <c r="AI2347" s="19" t="str">
        <f>IF($B2347="","",IFERROR(INDEX(Config!$D$9:$D$29,MATCH($B2347,Config!$B$9:$B$29,0))&amp;"",""))</f>
        <v/>
      </c>
    </row>
    <row r="2348">
      <c r="X2348" s="20" t="str">
        <f>IF($B2348="","",IFERROR(IF(INDEX(Config!$D$9:$D$29,MATCH($B2348,Config!$B$9:$B$29,0))="Contrato",IF(INDEX(Config!$E$9:$E$29,MATCH($B2348,Config!$B$9:$B$29,0))="","",INDEX(Config!$E$9:$E$29,MATCH($B2348,Config!$B$9:$B$29,0))),""),""))</f>
        <v/>
      </c>
      <c r="AI2348" s="19" t="str">
        <f>IF($B2348="","",IFERROR(INDEX(Config!$D$9:$D$29,MATCH($B2348,Config!$B$9:$B$29,0))&amp;"",""))</f>
        <v/>
      </c>
    </row>
    <row r="2349">
      <c r="X2349" s="20" t="str">
        <f>IF($B2349="","",IFERROR(IF(INDEX(Config!$D$9:$D$29,MATCH($B2349,Config!$B$9:$B$29,0))="Contrato",IF(INDEX(Config!$E$9:$E$29,MATCH($B2349,Config!$B$9:$B$29,0))="","",INDEX(Config!$E$9:$E$29,MATCH($B2349,Config!$B$9:$B$29,0))),""),""))</f>
        <v/>
      </c>
      <c r="AI2349" s="19" t="str">
        <f>IF($B2349="","",IFERROR(INDEX(Config!$D$9:$D$29,MATCH($B2349,Config!$B$9:$B$29,0))&amp;"",""))</f>
        <v/>
      </c>
    </row>
    <row r="2350">
      <c r="X2350" s="20" t="str">
        <f>IF($B2350="","",IFERROR(IF(INDEX(Config!$D$9:$D$29,MATCH($B2350,Config!$B$9:$B$29,0))="Contrato",IF(INDEX(Config!$E$9:$E$29,MATCH($B2350,Config!$B$9:$B$29,0))="","",INDEX(Config!$E$9:$E$29,MATCH($B2350,Config!$B$9:$B$29,0))),""),""))</f>
        <v/>
      </c>
      <c r="AI2350" s="19" t="str">
        <f>IF($B2350="","",IFERROR(INDEX(Config!$D$9:$D$29,MATCH($B2350,Config!$B$9:$B$29,0))&amp;"",""))</f>
        <v/>
      </c>
    </row>
    <row r="2351">
      <c r="X2351" s="20" t="str">
        <f>IF($B2351="","",IFERROR(IF(INDEX(Config!$D$9:$D$29,MATCH($B2351,Config!$B$9:$B$29,0))="Contrato",IF(INDEX(Config!$E$9:$E$29,MATCH($B2351,Config!$B$9:$B$29,0))="","",INDEX(Config!$E$9:$E$29,MATCH($B2351,Config!$B$9:$B$29,0))),""),""))</f>
        <v/>
      </c>
      <c r="AI2351" s="19" t="str">
        <f>IF($B2351="","",IFERROR(INDEX(Config!$D$9:$D$29,MATCH($B2351,Config!$B$9:$B$29,0))&amp;"",""))</f>
        <v/>
      </c>
    </row>
    <row r="2352">
      <c r="X2352" s="20" t="str">
        <f>IF($B2352="","",IFERROR(IF(INDEX(Config!$D$9:$D$29,MATCH($B2352,Config!$B$9:$B$29,0))="Contrato",IF(INDEX(Config!$E$9:$E$29,MATCH($B2352,Config!$B$9:$B$29,0))="","",INDEX(Config!$E$9:$E$29,MATCH($B2352,Config!$B$9:$B$29,0))),""),""))</f>
        <v/>
      </c>
      <c r="AI2352" s="19" t="str">
        <f>IF($B2352="","",IFERROR(INDEX(Config!$D$9:$D$29,MATCH($B2352,Config!$B$9:$B$29,0))&amp;"",""))</f>
        <v/>
      </c>
    </row>
    <row r="2353">
      <c r="X2353" s="20" t="str">
        <f>IF($B2353="","",IFERROR(IF(INDEX(Config!$D$9:$D$29,MATCH($B2353,Config!$B$9:$B$29,0))="Contrato",IF(INDEX(Config!$E$9:$E$29,MATCH($B2353,Config!$B$9:$B$29,0))="","",INDEX(Config!$E$9:$E$29,MATCH($B2353,Config!$B$9:$B$29,0))),""),""))</f>
        <v/>
      </c>
      <c r="AI2353" s="19" t="str">
        <f>IF($B2353="","",IFERROR(INDEX(Config!$D$9:$D$29,MATCH($B2353,Config!$B$9:$B$29,0))&amp;"",""))</f>
        <v/>
      </c>
    </row>
    <row r="2354">
      <c r="X2354" s="20" t="str">
        <f>IF($B2354="","",IFERROR(IF(INDEX(Config!$D$9:$D$29,MATCH($B2354,Config!$B$9:$B$29,0))="Contrato",IF(INDEX(Config!$E$9:$E$29,MATCH($B2354,Config!$B$9:$B$29,0))="","",INDEX(Config!$E$9:$E$29,MATCH($B2354,Config!$B$9:$B$29,0))),""),""))</f>
        <v/>
      </c>
      <c r="AI2354" s="19" t="str">
        <f>IF($B2354="","",IFERROR(INDEX(Config!$D$9:$D$29,MATCH($B2354,Config!$B$9:$B$29,0))&amp;"",""))</f>
        <v/>
      </c>
    </row>
    <row r="2355">
      <c r="X2355" s="20" t="str">
        <f>IF($B2355="","",IFERROR(IF(INDEX(Config!$D$9:$D$29,MATCH($B2355,Config!$B$9:$B$29,0))="Contrato",IF(INDEX(Config!$E$9:$E$29,MATCH($B2355,Config!$B$9:$B$29,0))="","",INDEX(Config!$E$9:$E$29,MATCH($B2355,Config!$B$9:$B$29,0))),""),""))</f>
        <v/>
      </c>
      <c r="AI2355" s="19" t="str">
        <f>IF($B2355="","",IFERROR(INDEX(Config!$D$9:$D$29,MATCH($B2355,Config!$B$9:$B$29,0))&amp;"",""))</f>
        <v/>
      </c>
    </row>
    <row r="2356">
      <c r="X2356" s="20" t="str">
        <f>IF($B2356="","",IFERROR(IF(INDEX(Config!$D$9:$D$29,MATCH($B2356,Config!$B$9:$B$29,0))="Contrato",IF(INDEX(Config!$E$9:$E$29,MATCH($B2356,Config!$B$9:$B$29,0))="","",INDEX(Config!$E$9:$E$29,MATCH($B2356,Config!$B$9:$B$29,0))),""),""))</f>
        <v/>
      </c>
      <c r="AI2356" s="19" t="str">
        <f>IF($B2356="","",IFERROR(INDEX(Config!$D$9:$D$29,MATCH($B2356,Config!$B$9:$B$29,0))&amp;"",""))</f>
        <v/>
      </c>
    </row>
    <row r="2357">
      <c r="X2357" s="20" t="str">
        <f>IF($B2357="","",IFERROR(IF(INDEX(Config!$D$9:$D$29,MATCH($B2357,Config!$B$9:$B$29,0))="Contrato",IF(INDEX(Config!$E$9:$E$29,MATCH($B2357,Config!$B$9:$B$29,0))="","",INDEX(Config!$E$9:$E$29,MATCH($B2357,Config!$B$9:$B$29,0))),""),""))</f>
        <v/>
      </c>
      <c r="AI2357" s="19" t="str">
        <f>IF($B2357="","",IFERROR(INDEX(Config!$D$9:$D$29,MATCH($B2357,Config!$B$9:$B$29,0))&amp;"",""))</f>
        <v/>
      </c>
    </row>
    <row r="2358">
      <c r="X2358" s="20" t="str">
        <f>IF($B2358="","",IFERROR(IF(INDEX(Config!$D$9:$D$29,MATCH($B2358,Config!$B$9:$B$29,0))="Contrato",IF(INDEX(Config!$E$9:$E$29,MATCH($B2358,Config!$B$9:$B$29,0))="","",INDEX(Config!$E$9:$E$29,MATCH($B2358,Config!$B$9:$B$29,0))),""),""))</f>
        <v/>
      </c>
      <c r="AI2358" s="19" t="str">
        <f>IF($B2358="","",IFERROR(INDEX(Config!$D$9:$D$29,MATCH($B2358,Config!$B$9:$B$29,0))&amp;"",""))</f>
        <v/>
      </c>
    </row>
    <row r="2359">
      <c r="X2359" s="20" t="str">
        <f>IF($B2359="","",IFERROR(IF(INDEX(Config!$D$9:$D$29,MATCH($B2359,Config!$B$9:$B$29,0))="Contrato",IF(INDEX(Config!$E$9:$E$29,MATCH($B2359,Config!$B$9:$B$29,0))="","",INDEX(Config!$E$9:$E$29,MATCH($B2359,Config!$B$9:$B$29,0))),""),""))</f>
        <v/>
      </c>
      <c r="AI2359" s="19" t="str">
        <f>IF($B2359="","",IFERROR(INDEX(Config!$D$9:$D$29,MATCH($B2359,Config!$B$9:$B$29,0))&amp;"",""))</f>
        <v/>
      </c>
    </row>
    <row r="2360">
      <c r="X2360" s="20" t="str">
        <f>IF($B2360="","",IFERROR(IF(INDEX(Config!$D$9:$D$29,MATCH($B2360,Config!$B$9:$B$29,0))="Contrato",IF(INDEX(Config!$E$9:$E$29,MATCH($B2360,Config!$B$9:$B$29,0))="","",INDEX(Config!$E$9:$E$29,MATCH($B2360,Config!$B$9:$B$29,0))),""),""))</f>
        <v/>
      </c>
      <c r="AI2360" s="19" t="str">
        <f>IF($B2360="","",IFERROR(INDEX(Config!$D$9:$D$29,MATCH($B2360,Config!$B$9:$B$29,0))&amp;"",""))</f>
        <v/>
      </c>
    </row>
    <row r="2361">
      <c r="X2361" s="20" t="str">
        <f>IF($B2361="","",IFERROR(IF(INDEX(Config!$D$9:$D$29,MATCH($B2361,Config!$B$9:$B$29,0))="Contrato",IF(INDEX(Config!$E$9:$E$29,MATCH($B2361,Config!$B$9:$B$29,0))="","",INDEX(Config!$E$9:$E$29,MATCH($B2361,Config!$B$9:$B$29,0))),""),""))</f>
        <v/>
      </c>
      <c r="AI2361" s="19" t="str">
        <f>IF($B2361="","",IFERROR(INDEX(Config!$D$9:$D$29,MATCH($B2361,Config!$B$9:$B$29,0))&amp;"",""))</f>
        <v/>
      </c>
    </row>
    <row r="2362">
      <c r="X2362" s="20" t="str">
        <f>IF($B2362="","",IFERROR(IF(INDEX(Config!$D$9:$D$29,MATCH($B2362,Config!$B$9:$B$29,0))="Contrato",IF(INDEX(Config!$E$9:$E$29,MATCH($B2362,Config!$B$9:$B$29,0))="","",INDEX(Config!$E$9:$E$29,MATCH($B2362,Config!$B$9:$B$29,0))),""),""))</f>
        <v/>
      </c>
      <c r="AI2362" s="19" t="str">
        <f>IF($B2362="","",IFERROR(INDEX(Config!$D$9:$D$29,MATCH($B2362,Config!$B$9:$B$29,0))&amp;"",""))</f>
        <v/>
      </c>
    </row>
    <row r="2363">
      <c r="X2363" s="20" t="str">
        <f>IF($B2363="","",IFERROR(IF(INDEX(Config!$D$9:$D$29,MATCH($B2363,Config!$B$9:$B$29,0))="Contrato",IF(INDEX(Config!$E$9:$E$29,MATCH($B2363,Config!$B$9:$B$29,0))="","",INDEX(Config!$E$9:$E$29,MATCH($B2363,Config!$B$9:$B$29,0))),""),""))</f>
        <v/>
      </c>
      <c r="AI2363" s="19" t="str">
        <f>IF($B2363="","",IFERROR(INDEX(Config!$D$9:$D$29,MATCH($B2363,Config!$B$9:$B$29,0))&amp;"",""))</f>
        <v/>
      </c>
    </row>
    <row r="2364">
      <c r="X2364" s="20" t="str">
        <f>IF($B2364="","",IFERROR(IF(INDEX(Config!$D$9:$D$29,MATCH($B2364,Config!$B$9:$B$29,0))="Contrato",IF(INDEX(Config!$E$9:$E$29,MATCH($B2364,Config!$B$9:$B$29,0))="","",INDEX(Config!$E$9:$E$29,MATCH($B2364,Config!$B$9:$B$29,0))),""),""))</f>
        <v/>
      </c>
      <c r="AI2364" s="19" t="str">
        <f>IF($B2364="","",IFERROR(INDEX(Config!$D$9:$D$29,MATCH($B2364,Config!$B$9:$B$29,0))&amp;"",""))</f>
        <v/>
      </c>
    </row>
    <row r="2365">
      <c r="X2365" s="20" t="str">
        <f>IF($B2365="","",IFERROR(IF(INDEX(Config!$D$9:$D$29,MATCH($B2365,Config!$B$9:$B$29,0))="Contrato",IF(INDEX(Config!$E$9:$E$29,MATCH($B2365,Config!$B$9:$B$29,0))="","",INDEX(Config!$E$9:$E$29,MATCH($B2365,Config!$B$9:$B$29,0))),""),""))</f>
        <v/>
      </c>
      <c r="AI2365" s="19" t="str">
        <f>IF($B2365="","",IFERROR(INDEX(Config!$D$9:$D$29,MATCH($B2365,Config!$B$9:$B$29,0))&amp;"",""))</f>
        <v/>
      </c>
    </row>
    <row r="2366">
      <c r="X2366" s="20" t="str">
        <f>IF($B2366="","",IFERROR(IF(INDEX(Config!$D$9:$D$29,MATCH($B2366,Config!$B$9:$B$29,0))="Contrato",IF(INDEX(Config!$E$9:$E$29,MATCH($B2366,Config!$B$9:$B$29,0))="","",INDEX(Config!$E$9:$E$29,MATCH($B2366,Config!$B$9:$B$29,0))),""),""))</f>
        <v/>
      </c>
      <c r="AI2366" s="19" t="str">
        <f>IF($B2366="","",IFERROR(INDEX(Config!$D$9:$D$29,MATCH($B2366,Config!$B$9:$B$29,0))&amp;"",""))</f>
        <v/>
      </c>
    </row>
    <row r="2367">
      <c r="X2367" s="20" t="str">
        <f>IF($B2367="","",IFERROR(IF(INDEX(Config!$D$9:$D$29,MATCH($B2367,Config!$B$9:$B$29,0))="Contrato",IF(INDEX(Config!$E$9:$E$29,MATCH($B2367,Config!$B$9:$B$29,0))="","",INDEX(Config!$E$9:$E$29,MATCH($B2367,Config!$B$9:$B$29,0))),""),""))</f>
        <v/>
      </c>
      <c r="AI2367" s="19" t="str">
        <f>IF($B2367="","",IFERROR(INDEX(Config!$D$9:$D$29,MATCH($B2367,Config!$B$9:$B$29,0))&amp;"",""))</f>
        <v/>
      </c>
    </row>
    <row r="2368">
      <c r="X2368" s="20" t="str">
        <f>IF($B2368="","",IFERROR(IF(INDEX(Config!$D$9:$D$29,MATCH($B2368,Config!$B$9:$B$29,0))="Contrato",IF(INDEX(Config!$E$9:$E$29,MATCH($B2368,Config!$B$9:$B$29,0))="","",INDEX(Config!$E$9:$E$29,MATCH($B2368,Config!$B$9:$B$29,0))),""),""))</f>
        <v/>
      </c>
      <c r="AI2368" s="19" t="str">
        <f>IF($B2368="","",IFERROR(INDEX(Config!$D$9:$D$29,MATCH($B2368,Config!$B$9:$B$29,0))&amp;"",""))</f>
        <v/>
      </c>
    </row>
    <row r="2369">
      <c r="X2369" s="20" t="str">
        <f>IF($B2369="","",IFERROR(IF(INDEX(Config!$D$9:$D$29,MATCH($B2369,Config!$B$9:$B$29,0))="Contrato",IF(INDEX(Config!$E$9:$E$29,MATCH($B2369,Config!$B$9:$B$29,0))="","",INDEX(Config!$E$9:$E$29,MATCH($B2369,Config!$B$9:$B$29,0))),""),""))</f>
        <v/>
      </c>
      <c r="AI2369" s="19" t="str">
        <f>IF($B2369="","",IFERROR(INDEX(Config!$D$9:$D$29,MATCH($B2369,Config!$B$9:$B$29,0))&amp;"",""))</f>
        <v/>
      </c>
    </row>
    <row r="2370">
      <c r="X2370" s="20" t="str">
        <f>IF($B2370="","",IFERROR(IF(INDEX(Config!$D$9:$D$29,MATCH($B2370,Config!$B$9:$B$29,0))="Contrato",IF(INDEX(Config!$E$9:$E$29,MATCH($B2370,Config!$B$9:$B$29,0))="","",INDEX(Config!$E$9:$E$29,MATCH($B2370,Config!$B$9:$B$29,0))),""),""))</f>
        <v/>
      </c>
      <c r="AI2370" s="19" t="str">
        <f>IF($B2370="","",IFERROR(INDEX(Config!$D$9:$D$29,MATCH($B2370,Config!$B$9:$B$29,0))&amp;"",""))</f>
        <v/>
      </c>
    </row>
    <row r="2371">
      <c r="X2371" s="20" t="str">
        <f>IF($B2371="","",IFERROR(IF(INDEX(Config!$D$9:$D$29,MATCH($B2371,Config!$B$9:$B$29,0))="Contrato",IF(INDEX(Config!$E$9:$E$29,MATCH($B2371,Config!$B$9:$B$29,0))="","",INDEX(Config!$E$9:$E$29,MATCH($B2371,Config!$B$9:$B$29,0))),""),""))</f>
        <v/>
      </c>
      <c r="AI2371" s="19" t="str">
        <f>IF($B2371="","",IFERROR(INDEX(Config!$D$9:$D$29,MATCH($B2371,Config!$B$9:$B$29,0))&amp;"",""))</f>
        <v/>
      </c>
    </row>
    <row r="2372">
      <c r="X2372" s="20" t="str">
        <f>IF($B2372="","",IFERROR(IF(INDEX(Config!$D$9:$D$29,MATCH($B2372,Config!$B$9:$B$29,0))="Contrato",IF(INDEX(Config!$E$9:$E$29,MATCH($B2372,Config!$B$9:$B$29,0))="","",INDEX(Config!$E$9:$E$29,MATCH($B2372,Config!$B$9:$B$29,0))),""),""))</f>
        <v/>
      </c>
      <c r="AI2372" s="19" t="str">
        <f>IF($B2372="","",IFERROR(INDEX(Config!$D$9:$D$29,MATCH($B2372,Config!$B$9:$B$29,0))&amp;"",""))</f>
        <v/>
      </c>
    </row>
    <row r="2373">
      <c r="X2373" s="20" t="str">
        <f>IF($B2373="","",IFERROR(IF(INDEX(Config!$D$9:$D$29,MATCH($B2373,Config!$B$9:$B$29,0))="Contrato",IF(INDEX(Config!$E$9:$E$29,MATCH($B2373,Config!$B$9:$B$29,0))="","",INDEX(Config!$E$9:$E$29,MATCH($B2373,Config!$B$9:$B$29,0))),""),""))</f>
        <v/>
      </c>
      <c r="AI2373" s="19" t="str">
        <f>IF($B2373="","",IFERROR(INDEX(Config!$D$9:$D$29,MATCH($B2373,Config!$B$9:$B$29,0))&amp;"",""))</f>
        <v/>
      </c>
    </row>
    <row r="2374">
      <c r="X2374" s="20" t="str">
        <f>IF($B2374="","",IFERROR(IF(INDEX(Config!$D$9:$D$29,MATCH($B2374,Config!$B$9:$B$29,0))="Contrato",IF(INDEX(Config!$E$9:$E$29,MATCH($B2374,Config!$B$9:$B$29,0))="","",INDEX(Config!$E$9:$E$29,MATCH($B2374,Config!$B$9:$B$29,0))),""),""))</f>
        <v/>
      </c>
      <c r="AI2374" s="19" t="str">
        <f>IF($B2374="","",IFERROR(INDEX(Config!$D$9:$D$29,MATCH($B2374,Config!$B$9:$B$29,0))&amp;"",""))</f>
        <v/>
      </c>
    </row>
    <row r="2375">
      <c r="X2375" s="20" t="str">
        <f>IF($B2375="","",IFERROR(IF(INDEX(Config!$D$9:$D$29,MATCH($B2375,Config!$B$9:$B$29,0))="Contrato",IF(INDEX(Config!$E$9:$E$29,MATCH($B2375,Config!$B$9:$B$29,0))="","",INDEX(Config!$E$9:$E$29,MATCH($B2375,Config!$B$9:$B$29,0))),""),""))</f>
        <v/>
      </c>
      <c r="AI2375" s="19" t="str">
        <f>IF($B2375="","",IFERROR(INDEX(Config!$D$9:$D$29,MATCH($B2375,Config!$B$9:$B$29,0))&amp;"",""))</f>
        <v/>
      </c>
    </row>
    <row r="2376">
      <c r="X2376" s="20" t="str">
        <f>IF($B2376="","",IFERROR(IF(INDEX(Config!$D$9:$D$29,MATCH($B2376,Config!$B$9:$B$29,0))="Contrato",IF(INDEX(Config!$E$9:$E$29,MATCH($B2376,Config!$B$9:$B$29,0))="","",INDEX(Config!$E$9:$E$29,MATCH($B2376,Config!$B$9:$B$29,0))),""),""))</f>
        <v/>
      </c>
      <c r="AI2376" s="19" t="str">
        <f>IF($B2376="","",IFERROR(INDEX(Config!$D$9:$D$29,MATCH($B2376,Config!$B$9:$B$29,0))&amp;"",""))</f>
        <v/>
      </c>
    </row>
    <row r="2377">
      <c r="X2377" s="20" t="str">
        <f>IF($B2377="","",IFERROR(IF(INDEX(Config!$D$9:$D$29,MATCH($B2377,Config!$B$9:$B$29,0))="Contrato",IF(INDEX(Config!$E$9:$E$29,MATCH($B2377,Config!$B$9:$B$29,0))="","",INDEX(Config!$E$9:$E$29,MATCH($B2377,Config!$B$9:$B$29,0))),""),""))</f>
        <v/>
      </c>
      <c r="AI2377" s="19" t="str">
        <f>IF($B2377="","",IFERROR(INDEX(Config!$D$9:$D$29,MATCH($B2377,Config!$B$9:$B$29,0))&amp;"",""))</f>
        <v/>
      </c>
    </row>
    <row r="2378">
      <c r="X2378" s="20" t="str">
        <f>IF($B2378="","",IFERROR(IF(INDEX(Config!$D$9:$D$29,MATCH($B2378,Config!$B$9:$B$29,0))="Contrato",IF(INDEX(Config!$E$9:$E$29,MATCH($B2378,Config!$B$9:$B$29,0))="","",INDEX(Config!$E$9:$E$29,MATCH($B2378,Config!$B$9:$B$29,0))),""),""))</f>
        <v/>
      </c>
      <c r="AI2378" s="19" t="str">
        <f>IF($B2378="","",IFERROR(INDEX(Config!$D$9:$D$29,MATCH($B2378,Config!$B$9:$B$29,0))&amp;"",""))</f>
        <v/>
      </c>
    </row>
    <row r="2379">
      <c r="X2379" s="20" t="str">
        <f>IF($B2379="","",IFERROR(IF(INDEX(Config!$D$9:$D$29,MATCH($B2379,Config!$B$9:$B$29,0))="Contrato",IF(INDEX(Config!$E$9:$E$29,MATCH($B2379,Config!$B$9:$B$29,0))="","",INDEX(Config!$E$9:$E$29,MATCH($B2379,Config!$B$9:$B$29,0))),""),""))</f>
        <v/>
      </c>
      <c r="AI2379" s="19" t="str">
        <f>IF($B2379="","",IFERROR(INDEX(Config!$D$9:$D$29,MATCH($B2379,Config!$B$9:$B$29,0))&amp;"",""))</f>
        <v/>
      </c>
    </row>
    <row r="2380">
      <c r="X2380" s="20" t="str">
        <f>IF($B2380="","",IFERROR(IF(INDEX(Config!$D$9:$D$29,MATCH($B2380,Config!$B$9:$B$29,0))="Contrato",IF(INDEX(Config!$E$9:$E$29,MATCH($B2380,Config!$B$9:$B$29,0))="","",INDEX(Config!$E$9:$E$29,MATCH($B2380,Config!$B$9:$B$29,0))),""),""))</f>
        <v/>
      </c>
      <c r="AI2380" s="19" t="str">
        <f>IF($B2380="","",IFERROR(INDEX(Config!$D$9:$D$29,MATCH($B2380,Config!$B$9:$B$29,0))&amp;"",""))</f>
        <v/>
      </c>
    </row>
    <row r="2381">
      <c r="X2381" s="20" t="str">
        <f>IF($B2381="","",IFERROR(IF(INDEX(Config!$D$9:$D$29,MATCH($B2381,Config!$B$9:$B$29,0))="Contrato",IF(INDEX(Config!$E$9:$E$29,MATCH($B2381,Config!$B$9:$B$29,0))="","",INDEX(Config!$E$9:$E$29,MATCH($B2381,Config!$B$9:$B$29,0))),""),""))</f>
        <v/>
      </c>
      <c r="AI2381" s="19" t="str">
        <f>IF($B2381="","",IFERROR(INDEX(Config!$D$9:$D$29,MATCH($B2381,Config!$B$9:$B$29,0))&amp;"",""))</f>
        <v/>
      </c>
    </row>
    <row r="2382">
      <c r="X2382" s="20" t="str">
        <f>IF($B2382="","",IFERROR(IF(INDEX(Config!$D$9:$D$29,MATCH($B2382,Config!$B$9:$B$29,0))="Contrato",IF(INDEX(Config!$E$9:$E$29,MATCH($B2382,Config!$B$9:$B$29,0))="","",INDEX(Config!$E$9:$E$29,MATCH($B2382,Config!$B$9:$B$29,0))),""),""))</f>
        <v/>
      </c>
      <c r="AI2382" s="19" t="str">
        <f>IF($B2382="","",IFERROR(INDEX(Config!$D$9:$D$29,MATCH($B2382,Config!$B$9:$B$29,0))&amp;"",""))</f>
        <v/>
      </c>
    </row>
    <row r="2383">
      <c r="X2383" s="20" t="str">
        <f>IF($B2383="","",IFERROR(IF(INDEX(Config!$D$9:$D$29,MATCH($B2383,Config!$B$9:$B$29,0))="Contrato",IF(INDEX(Config!$E$9:$E$29,MATCH($B2383,Config!$B$9:$B$29,0))="","",INDEX(Config!$E$9:$E$29,MATCH($B2383,Config!$B$9:$B$29,0))),""),""))</f>
        <v/>
      </c>
      <c r="AI2383" s="19" t="str">
        <f>IF($B2383="","",IFERROR(INDEX(Config!$D$9:$D$29,MATCH($B2383,Config!$B$9:$B$29,0))&amp;"",""))</f>
        <v/>
      </c>
    </row>
    <row r="2384">
      <c r="X2384" s="20" t="str">
        <f>IF($B2384="","",IFERROR(IF(INDEX(Config!$D$9:$D$29,MATCH($B2384,Config!$B$9:$B$29,0))="Contrato",IF(INDEX(Config!$E$9:$E$29,MATCH($B2384,Config!$B$9:$B$29,0))="","",INDEX(Config!$E$9:$E$29,MATCH($B2384,Config!$B$9:$B$29,0))),""),""))</f>
        <v/>
      </c>
      <c r="AI2384" s="19" t="str">
        <f>IF($B2384="","",IFERROR(INDEX(Config!$D$9:$D$29,MATCH($B2384,Config!$B$9:$B$29,0))&amp;"",""))</f>
        <v/>
      </c>
    </row>
    <row r="2385">
      <c r="X2385" s="20" t="str">
        <f>IF($B2385="","",IFERROR(IF(INDEX(Config!$D$9:$D$29,MATCH($B2385,Config!$B$9:$B$29,0))="Contrato",IF(INDEX(Config!$E$9:$E$29,MATCH($B2385,Config!$B$9:$B$29,0))="","",INDEX(Config!$E$9:$E$29,MATCH($B2385,Config!$B$9:$B$29,0))),""),""))</f>
        <v/>
      </c>
      <c r="AI2385" s="19" t="str">
        <f>IF($B2385="","",IFERROR(INDEX(Config!$D$9:$D$29,MATCH($B2385,Config!$B$9:$B$29,0))&amp;"",""))</f>
        <v/>
      </c>
    </row>
    <row r="2386">
      <c r="X2386" s="20" t="str">
        <f>IF($B2386="","",IFERROR(IF(INDEX(Config!$D$9:$D$29,MATCH($B2386,Config!$B$9:$B$29,0))="Contrato",IF(INDEX(Config!$E$9:$E$29,MATCH($B2386,Config!$B$9:$B$29,0))="","",INDEX(Config!$E$9:$E$29,MATCH($B2386,Config!$B$9:$B$29,0))),""),""))</f>
        <v/>
      </c>
      <c r="AI2386" s="19" t="str">
        <f>IF($B2386="","",IFERROR(INDEX(Config!$D$9:$D$29,MATCH($B2386,Config!$B$9:$B$29,0))&amp;"",""))</f>
        <v/>
      </c>
    </row>
    <row r="2387">
      <c r="X2387" s="20" t="str">
        <f>IF($B2387="","",IFERROR(IF(INDEX(Config!$D$9:$D$29,MATCH($B2387,Config!$B$9:$B$29,0))="Contrato",IF(INDEX(Config!$E$9:$E$29,MATCH($B2387,Config!$B$9:$B$29,0))="","",INDEX(Config!$E$9:$E$29,MATCH($B2387,Config!$B$9:$B$29,0))),""),""))</f>
        <v/>
      </c>
      <c r="AI2387" s="19" t="str">
        <f>IF($B2387="","",IFERROR(INDEX(Config!$D$9:$D$29,MATCH($B2387,Config!$B$9:$B$29,0))&amp;"",""))</f>
        <v/>
      </c>
    </row>
    <row r="2388">
      <c r="X2388" s="20" t="str">
        <f>IF($B2388="","",IFERROR(IF(INDEX(Config!$D$9:$D$29,MATCH($B2388,Config!$B$9:$B$29,0))="Contrato",IF(INDEX(Config!$E$9:$E$29,MATCH($B2388,Config!$B$9:$B$29,0))="","",INDEX(Config!$E$9:$E$29,MATCH($B2388,Config!$B$9:$B$29,0))),""),""))</f>
        <v/>
      </c>
      <c r="AI2388" s="19" t="str">
        <f>IF($B2388="","",IFERROR(INDEX(Config!$D$9:$D$29,MATCH($B2388,Config!$B$9:$B$29,0))&amp;"",""))</f>
        <v/>
      </c>
    </row>
    <row r="2389">
      <c r="X2389" s="20" t="str">
        <f>IF($B2389="","",IFERROR(IF(INDEX(Config!$D$9:$D$29,MATCH($B2389,Config!$B$9:$B$29,0))="Contrato",IF(INDEX(Config!$E$9:$E$29,MATCH($B2389,Config!$B$9:$B$29,0))="","",INDEX(Config!$E$9:$E$29,MATCH($B2389,Config!$B$9:$B$29,0))),""),""))</f>
        <v/>
      </c>
      <c r="AI2389" s="19" t="str">
        <f>IF($B2389="","",IFERROR(INDEX(Config!$D$9:$D$29,MATCH($B2389,Config!$B$9:$B$29,0))&amp;"",""))</f>
        <v/>
      </c>
    </row>
    <row r="2390">
      <c r="X2390" s="20" t="str">
        <f>IF($B2390="","",IFERROR(IF(INDEX(Config!$D$9:$D$29,MATCH($B2390,Config!$B$9:$B$29,0))="Contrato",IF(INDEX(Config!$E$9:$E$29,MATCH($B2390,Config!$B$9:$B$29,0))="","",INDEX(Config!$E$9:$E$29,MATCH($B2390,Config!$B$9:$B$29,0))),""),""))</f>
        <v/>
      </c>
      <c r="AI2390" s="19" t="str">
        <f>IF($B2390="","",IFERROR(INDEX(Config!$D$9:$D$29,MATCH($B2390,Config!$B$9:$B$29,0))&amp;"",""))</f>
        <v/>
      </c>
    </row>
    <row r="2391">
      <c r="X2391" s="20" t="str">
        <f>IF($B2391="","",IFERROR(IF(INDEX(Config!$D$9:$D$29,MATCH($B2391,Config!$B$9:$B$29,0))="Contrato",IF(INDEX(Config!$E$9:$E$29,MATCH($B2391,Config!$B$9:$B$29,0))="","",INDEX(Config!$E$9:$E$29,MATCH($B2391,Config!$B$9:$B$29,0))),""),""))</f>
        <v/>
      </c>
      <c r="AI2391" s="19" t="str">
        <f>IF($B2391="","",IFERROR(INDEX(Config!$D$9:$D$29,MATCH($B2391,Config!$B$9:$B$29,0))&amp;"",""))</f>
        <v/>
      </c>
    </row>
    <row r="2392">
      <c r="X2392" s="20" t="str">
        <f>IF($B2392="","",IFERROR(IF(INDEX(Config!$D$9:$D$29,MATCH($B2392,Config!$B$9:$B$29,0))="Contrato",IF(INDEX(Config!$E$9:$E$29,MATCH($B2392,Config!$B$9:$B$29,0))="","",INDEX(Config!$E$9:$E$29,MATCH($B2392,Config!$B$9:$B$29,0))),""),""))</f>
        <v/>
      </c>
      <c r="AI2392" s="19" t="str">
        <f>IF($B2392="","",IFERROR(INDEX(Config!$D$9:$D$29,MATCH($B2392,Config!$B$9:$B$29,0))&amp;"",""))</f>
        <v/>
      </c>
    </row>
    <row r="2393">
      <c r="X2393" s="20" t="str">
        <f>IF($B2393="","",IFERROR(IF(INDEX(Config!$D$9:$D$29,MATCH($B2393,Config!$B$9:$B$29,0))="Contrato",IF(INDEX(Config!$E$9:$E$29,MATCH($B2393,Config!$B$9:$B$29,0))="","",INDEX(Config!$E$9:$E$29,MATCH($B2393,Config!$B$9:$B$29,0))),""),""))</f>
        <v/>
      </c>
      <c r="AI2393" s="19" t="str">
        <f>IF($B2393="","",IFERROR(INDEX(Config!$D$9:$D$29,MATCH($B2393,Config!$B$9:$B$29,0))&amp;"",""))</f>
        <v/>
      </c>
    </row>
    <row r="2394">
      <c r="X2394" s="20" t="str">
        <f>IF($B2394="","",IFERROR(IF(INDEX(Config!$D$9:$D$29,MATCH($B2394,Config!$B$9:$B$29,0))="Contrato",IF(INDEX(Config!$E$9:$E$29,MATCH($B2394,Config!$B$9:$B$29,0))="","",INDEX(Config!$E$9:$E$29,MATCH($B2394,Config!$B$9:$B$29,0))),""),""))</f>
        <v/>
      </c>
      <c r="AI2394" s="19" t="str">
        <f>IF($B2394="","",IFERROR(INDEX(Config!$D$9:$D$29,MATCH($B2394,Config!$B$9:$B$29,0))&amp;"",""))</f>
        <v/>
      </c>
    </row>
    <row r="2395">
      <c r="X2395" s="20" t="str">
        <f>IF($B2395="","",IFERROR(IF(INDEX(Config!$D$9:$D$29,MATCH($B2395,Config!$B$9:$B$29,0))="Contrato",IF(INDEX(Config!$E$9:$E$29,MATCH($B2395,Config!$B$9:$B$29,0))="","",INDEX(Config!$E$9:$E$29,MATCH($B2395,Config!$B$9:$B$29,0))),""),""))</f>
        <v/>
      </c>
      <c r="AI2395" s="19" t="str">
        <f>IF($B2395="","",IFERROR(INDEX(Config!$D$9:$D$29,MATCH($B2395,Config!$B$9:$B$29,0))&amp;"",""))</f>
        <v/>
      </c>
    </row>
    <row r="2396">
      <c r="X2396" s="20" t="str">
        <f>IF($B2396="","",IFERROR(IF(INDEX(Config!$D$9:$D$29,MATCH($B2396,Config!$B$9:$B$29,0))="Contrato",IF(INDEX(Config!$E$9:$E$29,MATCH($B2396,Config!$B$9:$B$29,0))="","",INDEX(Config!$E$9:$E$29,MATCH($B2396,Config!$B$9:$B$29,0))),""),""))</f>
        <v/>
      </c>
      <c r="AI2396" s="19" t="str">
        <f>IF($B2396="","",IFERROR(INDEX(Config!$D$9:$D$29,MATCH($B2396,Config!$B$9:$B$29,0))&amp;"",""))</f>
        <v/>
      </c>
    </row>
    <row r="2397">
      <c r="X2397" s="20" t="str">
        <f>IF($B2397="","",IFERROR(IF(INDEX(Config!$D$9:$D$29,MATCH($B2397,Config!$B$9:$B$29,0))="Contrato",IF(INDEX(Config!$E$9:$E$29,MATCH($B2397,Config!$B$9:$B$29,0))="","",INDEX(Config!$E$9:$E$29,MATCH($B2397,Config!$B$9:$B$29,0))),""),""))</f>
        <v/>
      </c>
      <c r="AI2397" s="19" t="str">
        <f>IF($B2397="","",IFERROR(INDEX(Config!$D$9:$D$29,MATCH($B2397,Config!$B$9:$B$29,0))&amp;"",""))</f>
        <v/>
      </c>
    </row>
    <row r="2398">
      <c r="X2398" s="20" t="str">
        <f>IF($B2398="","",IFERROR(IF(INDEX(Config!$D$9:$D$29,MATCH($B2398,Config!$B$9:$B$29,0))="Contrato",IF(INDEX(Config!$E$9:$E$29,MATCH($B2398,Config!$B$9:$B$29,0))="","",INDEX(Config!$E$9:$E$29,MATCH($B2398,Config!$B$9:$B$29,0))),""),""))</f>
        <v/>
      </c>
      <c r="AI2398" s="19" t="str">
        <f>IF($B2398="","",IFERROR(INDEX(Config!$D$9:$D$29,MATCH($B2398,Config!$B$9:$B$29,0))&amp;"",""))</f>
        <v/>
      </c>
    </row>
    <row r="2399">
      <c r="X2399" s="20" t="str">
        <f>IF($B2399="","",IFERROR(IF(INDEX(Config!$D$9:$D$29,MATCH($B2399,Config!$B$9:$B$29,0))="Contrato",IF(INDEX(Config!$E$9:$E$29,MATCH($B2399,Config!$B$9:$B$29,0))="","",INDEX(Config!$E$9:$E$29,MATCH($B2399,Config!$B$9:$B$29,0))),""),""))</f>
        <v/>
      </c>
      <c r="AI2399" s="19" t="str">
        <f>IF($B2399="","",IFERROR(INDEX(Config!$D$9:$D$29,MATCH($B2399,Config!$B$9:$B$29,0))&amp;"",""))</f>
        <v/>
      </c>
    </row>
    <row r="2400">
      <c r="X2400" s="20" t="str">
        <f>IF($B2400="","",IFERROR(IF(INDEX(Config!$D$9:$D$29,MATCH($B2400,Config!$B$9:$B$29,0))="Contrato",IF(INDEX(Config!$E$9:$E$29,MATCH($B2400,Config!$B$9:$B$29,0))="","",INDEX(Config!$E$9:$E$29,MATCH($B2400,Config!$B$9:$B$29,0))),""),""))</f>
        <v/>
      </c>
      <c r="AI2400" s="19" t="str">
        <f>IF($B2400="","",IFERROR(INDEX(Config!$D$9:$D$29,MATCH($B2400,Config!$B$9:$B$29,0))&amp;"",""))</f>
        <v/>
      </c>
    </row>
    <row r="2401">
      <c r="X2401" s="20" t="str">
        <f>IF($B2401="","",IFERROR(IF(INDEX(Config!$D$9:$D$29,MATCH($B2401,Config!$B$9:$B$29,0))="Contrato",IF(INDEX(Config!$E$9:$E$29,MATCH($B2401,Config!$B$9:$B$29,0))="","",INDEX(Config!$E$9:$E$29,MATCH($B2401,Config!$B$9:$B$29,0))),""),""))</f>
        <v/>
      </c>
      <c r="AI2401" s="19" t="str">
        <f>IF($B2401="","",IFERROR(INDEX(Config!$D$9:$D$29,MATCH($B2401,Config!$B$9:$B$29,0))&amp;"",""))</f>
        <v/>
      </c>
    </row>
    <row r="2402">
      <c r="X2402" s="20" t="str">
        <f>IF($B2402="","",IFERROR(IF(INDEX(Config!$D$9:$D$29,MATCH($B2402,Config!$B$9:$B$29,0))="Contrato",IF(INDEX(Config!$E$9:$E$29,MATCH($B2402,Config!$B$9:$B$29,0))="","",INDEX(Config!$E$9:$E$29,MATCH($B2402,Config!$B$9:$B$29,0))),""),""))</f>
        <v/>
      </c>
      <c r="AI2402" s="19" t="str">
        <f>IF($B2402="","",IFERROR(INDEX(Config!$D$9:$D$29,MATCH($B2402,Config!$B$9:$B$29,0))&amp;"",""))</f>
        <v/>
      </c>
    </row>
    <row r="2403">
      <c r="X2403" s="20" t="str">
        <f>IF($B2403="","",IFERROR(IF(INDEX(Config!$D$9:$D$29,MATCH($B2403,Config!$B$9:$B$29,0))="Contrato",IF(INDEX(Config!$E$9:$E$29,MATCH($B2403,Config!$B$9:$B$29,0))="","",INDEX(Config!$E$9:$E$29,MATCH($B2403,Config!$B$9:$B$29,0))),""),""))</f>
        <v/>
      </c>
      <c r="AI2403" s="19" t="str">
        <f>IF($B2403="","",IFERROR(INDEX(Config!$D$9:$D$29,MATCH($B2403,Config!$B$9:$B$29,0))&amp;"",""))</f>
        <v/>
      </c>
    </row>
    <row r="2404">
      <c r="X2404" s="20" t="str">
        <f>IF($B2404="","",IFERROR(IF(INDEX(Config!$D$9:$D$29,MATCH($B2404,Config!$B$9:$B$29,0))="Contrato",IF(INDEX(Config!$E$9:$E$29,MATCH($B2404,Config!$B$9:$B$29,0))="","",INDEX(Config!$E$9:$E$29,MATCH($B2404,Config!$B$9:$B$29,0))),""),""))</f>
        <v/>
      </c>
      <c r="AI2404" s="19" t="str">
        <f>IF($B2404="","",IFERROR(INDEX(Config!$D$9:$D$29,MATCH($B2404,Config!$B$9:$B$29,0))&amp;"",""))</f>
        <v/>
      </c>
    </row>
    <row r="2405">
      <c r="X2405" s="20" t="str">
        <f>IF($B2405="","",IFERROR(IF(INDEX(Config!$D$9:$D$29,MATCH($B2405,Config!$B$9:$B$29,0))="Contrato",IF(INDEX(Config!$E$9:$E$29,MATCH($B2405,Config!$B$9:$B$29,0))="","",INDEX(Config!$E$9:$E$29,MATCH($B2405,Config!$B$9:$B$29,0))),""),""))</f>
        <v/>
      </c>
      <c r="AI2405" s="19" t="str">
        <f>IF($B2405="","",IFERROR(INDEX(Config!$D$9:$D$29,MATCH($B2405,Config!$B$9:$B$29,0))&amp;"",""))</f>
        <v/>
      </c>
    </row>
    <row r="2406">
      <c r="X2406" s="20" t="str">
        <f>IF($B2406="","",IFERROR(IF(INDEX(Config!$D$9:$D$29,MATCH($B2406,Config!$B$9:$B$29,0))="Contrato",IF(INDEX(Config!$E$9:$E$29,MATCH($B2406,Config!$B$9:$B$29,0))="","",INDEX(Config!$E$9:$E$29,MATCH($B2406,Config!$B$9:$B$29,0))),""),""))</f>
        <v/>
      </c>
      <c r="AI2406" s="19" t="str">
        <f>IF($B2406="","",IFERROR(INDEX(Config!$D$9:$D$29,MATCH($B2406,Config!$B$9:$B$29,0))&amp;"",""))</f>
        <v/>
      </c>
    </row>
    <row r="2407">
      <c r="X2407" s="20" t="str">
        <f>IF($B2407="","",IFERROR(IF(INDEX(Config!$D$9:$D$29,MATCH($B2407,Config!$B$9:$B$29,0))="Contrato",IF(INDEX(Config!$E$9:$E$29,MATCH($B2407,Config!$B$9:$B$29,0))="","",INDEX(Config!$E$9:$E$29,MATCH($B2407,Config!$B$9:$B$29,0))),""),""))</f>
        <v/>
      </c>
      <c r="AI2407" s="19" t="str">
        <f>IF($B2407="","",IFERROR(INDEX(Config!$D$9:$D$29,MATCH($B2407,Config!$B$9:$B$29,0))&amp;"",""))</f>
        <v/>
      </c>
    </row>
    <row r="2408">
      <c r="X2408" s="20" t="str">
        <f>IF($B2408="","",IFERROR(IF(INDEX(Config!$D$9:$D$29,MATCH($B2408,Config!$B$9:$B$29,0))="Contrato",IF(INDEX(Config!$E$9:$E$29,MATCH($B2408,Config!$B$9:$B$29,0))="","",INDEX(Config!$E$9:$E$29,MATCH($B2408,Config!$B$9:$B$29,0))),""),""))</f>
        <v/>
      </c>
      <c r="AI2408" s="19" t="str">
        <f>IF($B2408="","",IFERROR(INDEX(Config!$D$9:$D$29,MATCH($B2408,Config!$B$9:$B$29,0))&amp;"",""))</f>
        <v/>
      </c>
    </row>
    <row r="2409">
      <c r="X2409" s="20" t="str">
        <f>IF($B2409="","",IFERROR(IF(INDEX(Config!$D$9:$D$29,MATCH($B2409,Config!$B$9:$B$29,0))="Contrato",IF(INDEX(Config!$E$9:$E$29,MATCH($B2409,Config!$B$9:$B$29,0))="","",INDEX(Config!$E$9:$E$29,MATCH($B2409,Config!$B$9:$B$29,0))),""),""))</f>
        <v/>
      </c>
      <c r="AI2409" s="19" t="str">
        <f>IF($B2409="","",IFERROR(INDEX(Config!$D$9:$D$29,MATCH($B2409,Config!$B$9:$B$29,0))&amp;"",""))</f>
        <v/>
      </c>
    </row>
    <row r="2410">
      <c r="X2410" s="20" t="str">
        <f>IF($B2410="","",IFERROR(IF(INDEX(Config!$D$9:$D$29,MATCH($B2410,Config!$B$9:$B$29,0))="Contrato",IF(INDEX(Config!$E$9:$E$29,MATCH($B2410,Config!$B$9:$B$29,0))="","",INDEX(Config!$E$9:$E$29,MATCH($B2410,Config!$B$9:$B$29,0))),""),""))</f>
        <v/>
      </c>
      <c r="AI2410" s="19" t="str">
        <f>IF($B2410="","",IFERROR(INDEX(Config!$D$9:$D$29,MATCH($B2410,Config!$B$9:$B$29,0))&amp;"",""))</f>
        <v/>
      </c>
    </row>
    <row r="2411">
      <c r="X2411" s="20" t="str">
        <f>IF($B2411="","",IFERROR(IF(INDEX(Config!$D$9:$D$29,MATCH($B2411,Config!$B$9:$B$29,0))="Contrato",IF(INDEX(Config!$E$9:$E$29,MATCH($B2411,Config!$B$9:$B$29,0))="","",INDEX(Config!$E$9:$E$29,MATCH($B2411,Config!$B$9:$B$29,0))),""),""))</f>
        <v/>
      </c>
      <c r="AI2411" s="19" t="str">
        <f>IF($B2411="","",IFERROR(INDEX(Config!$D$9:$D$29,MATCH($B2411,Config!$B$9:$B$29,0))&amp;"",""))</f>
        <v/>
      </c>
    </row>
    <row r="2412">
      <c r="X2412" s="20" t="str">
        <f>IF($B2412="","",IFERROR(IF(INDEX(Config!$D$9:$D$29,MATCH($B2412,Config!$B$9:$B$29,0))="Contrato",IF(INDEX(Config!$E$9:$E$29,MATCH($B2412,Config!$B$9:$B$29,0))="","",INDEX(Config!$E$9:$E$29,MATCH($B2412,Config!$B$9:$B$29,0))),""),""))</f>
        <v/>
      </c>
      <c r="AI2412" s="19" t="str">
        <f>IF($B2412="","",IFERROR(INDEX(Config!$D$9:$D$29,MATCH($B2412,Config!$B$9:$B$29,0))&amp;"",""))</f>
        <v/>
      </c>
    </row>
    <row r="2413">
      <c r="X2413" s="20" t="str">
        <f>IF($B2413="","",IFERROR(IF(INDEX(Config!$D$9:$D$29,MATCH($B2413,Config!$B$9:$B$29,0))="Contrato",IF(INDEX(Config!$E$9:$E$29,MATCH($B2413,Config!$B$9:$B$29,0))="","",INDEX(Config!$E$9:$E$29,MATCH($B2413,Config!$B$9:$B$29,0))),""),""))</f>
        <v/>
      </c>
      <c r="AI2413" s="19" t="str">
        <f>IF($B2413="","",IFERROR(INDEX(Config!$D$9:$D$29,MATCH($B2413,Config!$B$9:$B$29,0))&amp;"",""))</f>
        <v/>
      </c>
    </row>
    <row r="2414">
      <c r="X2414" s="20" t="str">
        <f>IF($B2414="","",IFERROR(IF(INDEX(Config!$D$9:$D$29,MATCH($B2414,Config!$B$9:$B$29,0))="Contrato",IF(INDEX(Config!$E$9:$E$29,MATCH($B2414,Config!$B$9:$B$29,0))="","",INDEX(Config!$E$9:$E$29,MATCH($B2414,Config!$B$9:$B$29,0))),""),""))</f>
        <v/>
      </c>
      <c r="AI2414" s="19" t="str">
        <f>IF($B2414="","",IFERROR(INDEX(Config!$D$9:$D$29,MATCH($B2414,Config!$B$9:$B$29,0))&amp;"",""))</f>
        <v/>
      </c>
    </row>
    <row r="2415">
      <c r="X2415" s="20" t="str">
        <f>IF($B2415="","",IFERROR(IF(INDEX(Config!$D$9:$D$29,MATCH($B2415,Config!$B$9:$B$29,0))="Contrato",IF(INDEX(Config!$E$9:$E$29,MATCH($B2415,Config!$B$9:$B$29,0))="","",INDEX(Config!$E$9:$E$29,MATCH($B2415,Config!$B$9:$B$29,0))),""),""))</f>
        <v/>
      </c>
      <c r="AI2415" s="19" t="str">
        <f>IF($B2415="","",IFERROR(INDEX(Config!$D$9:$D$29,MATCH($B2415,Config!$B$9:$B$29,0))&amp;"",""))</f>
        <v/>
      </c>
    </row>
    <row r="2416">
      <c r="X2416" s="20" t="str">
        <f>IF($B2416="","",IFERROR(IF(INDEX(Config!$D$9:$D$29,MATCH($B2416,Config!$B$9:$B$29,0))="Contrato",IF(INDEX(Config!$E$9:$E$29,MATCH($B2416,Config!$B$9:$B$29,0))="","",INDEX(Config!$E$9:$E$29,MATCH($B2416,Config!$B$9:$B$29,0))),""),""))</f>
        <v/>
      </c>
      <c r="AI2416" s="19" t="str">
        <f>IF($B2416="","",IFERROR(INDEX(Config!$D$9:$D$29,MATCH($B2416,Config!$B$9:$B$29,0))&amp;"",""))</f>
        <v/>
      </c>
    </row>
    <row r="2417">
      <c r="X2417" s="20" t="str">
        <f>IF($B2417="","",IFERROR(IF(INDEX(Config!$D$9:$D$29,MATCH($B2417,Config!$B$9:$B$29,0))="Contrato",IF(INDEX(Config!$E$9:$E$29,MATCH($B2417,Config!$B$9:$B$29,0))="","",INDEX(Config!$E$9:$E$29,MATCH($B2417,Config!$B$9:$B$29,0))),""),""))</f>
        <v/>
      </c>
      <c r="AI2417" s="19" t="str">
        <f>IF($B2417="","",IFERROR(INDEX(Config!$D$9:$D$29,MATCH($B2417,Config!$B$9:$B$29,0))&amp;"",""))</f>
        <v/>
      </c>
    </row>
    <row r="2418">
      <c r="X2418" s="20" t="str">
        <f>IF($B2418="","",IFERROR(IF(INDEX(Config!$D$9:$D$29,MATCH($B2418,Config!$B$9:$B$29,0))="Contrato",IF(INDEX(Config!$E$9:$E$29,MATCH($B2418,Config!$B$9:$B$29,0))="","",INDEX(Config!$E$9:$E$29,MATCH($B2418,Config!$B$9:$B$29,0))),""),""))</f>
        <v/>
      </c>
      <c r="AI2418" s="19" t="str">
        <f>IF($B2418="","",IFERROR(INDEX(Config!$D$9:$D$29,MATCH($B2418,Config!$B$9:$B$29,0))&amp;"",""))</f>
        <v/>
      </c>
    </row>
    <row r="2419">
      <c r="X2419" s="20" t="str">
        <f>IF($B2419="","",IFERROR(IF(INDEX(Config!$D$9:$D$29,MATCH($B2419,Config!$B$9:$B$29,0))="Contrato",IF(INDEX(Config!$E$9:$E$29,MATCH($B2419,Config!$B$9:$B$29,0))="","",INDEX(Config!$E$9:$E$29,MATCH($B2419,Config!$B$9:$B$29,0))),""),""))</f>
        <v/>
      </c>
      <c r="AI2419" s="19" t="str">
        <f>IF($B2419="","",IFERROR(INDEX(Config!$D$9:$D$29,MATCH($B2419,Config!$B$9:$B$29,0))&amp;"",""))</f>
        <v/>
      </c>
    </row>
    <row r="2420">
      <c r="X2420" s="20" t="str">
        <f>IF($B2420="","",IFERROR(IF(INDEX(Config!$D$9:$D$29,MATCH($B2420,Config!$B$9:$B$29,0))="Contrato",IF(INDEX(Config!$E$9:$E$29,MATCH($B2420,Config!$B$9:$B$29,0))="","",INDEX(Config!$E$9:$E$29,MATCH($B2420,Config!$B$9:$B$29,0))),""),""))</f>
        <v/>
      </c>
      <c r="AI2420" s="19" t="str">
        <f>IF($B2420="","",IFERROR(INDEX(Config!$D$9:$D$29,MATCH($B2420,Config!$B$9:$B$29,0))&amp;"",""))</f>
        <v/>
      </c>
    </row>
    <row r="2421">
      <c r="X2421" s="20" t="str">
        <f>IF($B2421="","",IFERROR(IF(INDEX(Config!$D$9:$D$29,MATCH($B2421,Config!$B$9:$B$29,0))="Contrato",IF(INDEX(Config!$E$9:$E$29,MATCH($B2421,Config!$B$9:$B$29,0))="","",INDEX(Config!$E$9:$E$29,MATCH($B2421,Config!$B$9:$B$29,0))),""),""))</f>
        <v/>
      </c>
      <c r="AI2421" s="19" t="str">
        <f>IF($B2421="","",IFERROR(INDEX(Config!$D$9:$D$29,MATCH($B2421,Config!$B$9:$B$29,0))&amp;"",""))</f>
        <v/>
      </c>
    </row>
    <row r="2422">
      <c r="X2422" s="20" t="str">
        <f>IF($B2422="","",IFERROR(IF(INDEX(Config!$D$9:$D$29,MATCH($B2422,Config!$B$9:$B$29,0))="Contrato",IF(INDEX(Config!$E$9:$E$29,MATCH($B2422,Config!$B$9:$B$29,0))="","",INDEX(Config!$E$9:$E$29,MATCH($B2422,Config!$B$9:$B$29,0))),""),""))</f>
        <v/>
      </c>
      <c r="AI2422" s="19" t="str">
        <f>IF($B2422="","",IFERROR(INDEX(Config!$D$9:$D$29,MATCH($B2422,Config!$B$9:$B$29,0))&amp;"",""))</f>
        <v/>
      </c>
    </row>
    <row r="2423">
      <c r="X2423" s="20" t="str">
        <f>IF($B2423="","",IFERROR(IF(INDEX(Config!$D$9:$D$29,MATCH($B2423,Config!$B$9:$B$29,0))="Contrato",IF(INDEX(Config!$E$9:$E$29,MATCH($B2423,Config!$B$9:$B$29,0))="","",INDEX(Config!$E$9:$E$29,MATCH($B2423,Config!$B$9:$B$29,0))),""),""))</f>
        <v/>
      </c>
      <c r="AI2423" s="19" t="str">
        <f>IF($B2423="","",IFERROR(INDEX(Config!$D$9:$D$29,MATCH($B2423,Config!$B$9:$B$29,0))&amp;"",""))</f>
        <v/>
      </c>
    </row>
    <row r="2424">
      <c r="X2424" s="20" t="str">
        <f>IF($B2424="","",IFERROR(IF(INDEX(Config!$D$9:$D$29,MATCH($B2424,Config!$B$9:$B$29,0))="Contrato",IF(INDEX(Config!$E$9:$E$29,MATCH($B2424,Config!$B$9:$B$29,0))="","",INDEX(Config!$E$9:$E$29,MATCH($B2424,Config!$B$9:$B$29,0))),""),""))</f>
        <v/>
      </c>
      <c r="AI2424" s="19" t="str">
        <f>IF($B2424="","",IFERROR(INDEX(Config!$D$9:$D$29,MATCH($B2424,Config!$B$9:$B$29,0))&amp;"",""))</f>
        <v/>
      </c>
    </row>
    <row r="2425">
      <c r="X2425" s="20" t="str">
        <f>IF($B2425="","",IFERROR(IF(INDEX(Config!$D$9:$D$29,MATCH($B2425,Config!$B$9:$B$29,0))="Contrato",IF(INDEX(Config!$E$9:$E$29,MATCH($B2425,Config!$B$9:$B$29,0))="","",INDEX(Config!$E$9:$E$29,MATCH($B2425,Config!$B$9:$B$29,0))),""),""))</f>
        <v/>
      </c>
      <c r="AI2425" s="19" t="str">
        <f>IF($B2425="","",IFERROR(INDEX(Config!$D$9:$D$29,MATCH($B2425,Config!$B$9:$B$29,0))&amp;"",""))</f>
        <v/>
      </c>
    </row>
    <row r="2426">
      <c r="X2426" s="20" t="str">
        <f>IF($B2426="","",IFERROR(IF(INDEX(Config!$D$9:$D$29,MATCH($B2426,Config!$B$9:$B$29,0))="Contrato",IF(INDEX(Config!$E$9:$E$29,MATCH($B2426,Config!$B$9:$B$29,0))="","",INDEX(Config!$E$9:$E$29,MATCH($B2426,Config!$B$9:$B$29,0))),""),""))</f>
        <v/>
      </c>
      <c r="AI2426" s="19" t="str">
        <f>IF($B2426="","",IFERROR(INDEX(Config!$D$9:$D$29,MATCH($B2426,Config!$B$9:$B$29,0))&amp;"",""))</f>
        <v/>
      </c>
    </row>
    <row r="2427">
      <c r="X2427" s="20" t="str">
        <f>IF($B2427="","",IFERROR(IF(INDEX(Config!$D$9:$D$29,MATCH($B2427,Config!$B$9:$B$29,0))="Contrato",IF(INDEX(Config!$E$9:$E$29,MATCH($B2427,Config!$B$9:$B$29,0))="","",INDEX(Config!$E$9:$E$29,MATCH($B2427,Config!$B$9:$B$29,0))),""),""))</f>
        <v/>
      </c>
      <c r="AI2427" s="19" t="str">
        <f>IF($B2427="","",IFERROR(INDEX(Config!$D$9:$D$29,MATCH($B2427,Config!$B$9:$B$29,0))&amp;"",""))</f>
        <v/>
      </c>
    </row>
    <row r="2428">
      <c r="X2428" s="20" t="str">
        <f>IF($B2428="","",IFERROR(IF(INDEX(Config!$D$9:$D$29,MATCH($B2428,Config!$B$9:$B$29,0))="Contrato",IF(INDEX(Config!$E$9:$E$29,MATCH($B2428,Config!$B$9:$B$29,0))="","",INDEX(Config!$E$9:$E$29,MATCH($B2428,Config!$B$9:$B$29,0))),""),""))</f>
        <v/>
      </c>
      <c r="AI2428" s="19" t="str">
        <f>IF($B2428="","",IFERROR(INDEX(Config!$D$9:$D$29,MATCH($B2428,Config!$B$9:$B$29,0))&amp;"",""))</f>
        <v/>
      </c>
    </row>
    <row r="2429">
      <c r="X2429" s="20" t="str">
        <f>IF($B2429="","",IFERROR(IF(INDEX(Config!$D$9:$D$29,MATCH($B2429,Config!$B$9:$B$29,0))="Contrato",IF(INDEX(Config!$E$9:$E$29,MATCH($B2429,Config!$B$9:$B$29,0))="","",INDEX(Config!$E$9:$E$29,MATCH($B2429,Config!$B$9:$B$29,0))),""),""))</f>
        <v/>
      </c>
      <c r="AI2429" s="19" t="str">
        <f>IF($B2429="","",IFERROR(INDEX(Config!$D$9:$D$29,MATCH($B2429,Config!$B$9:$B$29,0))&amp;"",""))</f>
        <v/>
      </c>
    </row>
    <row r="2430">
      <c r="X2430" s="20" t="str">
        <f>IF($B2430="","",IFERROR(IF(INDEX(Config!$D$9:$D$29,MATCH($B2430,Config!$B$9:$B$29,0))="Contrato",IF(INDEX(Config!$E$9:$E$29,MATCH($B2430,Config!$B$9:$B$29,0))="","",INDEX(Config!$E$9:$E$29,MATCH($B2430,Config!$B$9:$B$29,0))),""),""))</f>
        <v/>
      </c>
      <c r="AI2430" s="19" t="str">
        <f>IF($B2430="","",IFERROR(INDEX(Config!$D$9:$D$29,MATCH($B2430,Config!$B$9:$B$29,0))&amp;"",""))</f>
        <v/>
      </c>
    </row>
    <row r="2431">
      <c r="X2431" s="20" t="str">
        <f>IF($B2431="","",IFERROR(IF(INDEX(Config!$D$9:$D$29,MATCH($B2431,Config!$B$9:$B$29,0))="Contrato",IF(INDEX(Config!$E$9:$E$29,MATCH($B2431,Config!$B$9:$B$29,0))="","",INDEX(Config!$E$9:$E$29,MATCH($B2431,Config!$B$9:$B$29,0))),""),""))</f>
        <v/>
      </c>
      <c r="AI2431" s="19" t="str">
        <f>IF($B2431="","",IFERROR(INDEX(Config!$D$9:$D$29,MATCH($B2431,Config!$B$9:$B$29,0))&amp;"",""))</f>
        <v/>
      </c>
    </row>
    <row r="2432">
      <c r="X2432" s="20" t="str">
        <f>IF($B2432="","",IFERROR(IF(INDEX(Config!$D$9:$D$29,MATCH($B2432,Config!$B$9:$B$29,0))="Contrato",IF(INDEX(Config!$E$9:$E$29,MATCH($B2432,Config!$B$9:$B$29,0))="","",INDEX(Config!$E$9:$E$29,MATCH($B2432,Config!$B$9:$B$29,0))),""),""))</f>
        <v/>
      </c>
      <c r="AI2432" s="19" t="str">
        <f>IF($B2432="","",IFERROR(INDEX(Config!$D$9:$D$29,MATCH($B2432,Config!$B$9:$B$29,0))&amp;"",""))</f>
        <v/>
      </c>
    </row>
    <row r="2433">
      <c r="X2433" s="20" t="str">
        <f>IF($B2433="","",IFERROR(IF(INDEX(Config!$D$9:$D$29,MATCH($B2433,Config!$B$9:$B$29,0))="Contrato",IF(INDEX(Config!$E$9:$E$29,MATCH($B2433,Config!$B$9:$B$29,0))="","",INDEX(Config!$E$9:$E$29,MATCH($B2433,Config!$B$9:$B$29,0))),""),""))</f>
        <v/>
      </c>
      <c r="AI2433" s="19" t="str">
        <f>IF($B2433="","",IFERROR(INDEX(Config!$D$9:$D$29,MATCH($B2433,Config!$B$9:$B$29,0))&amp;"",""))</f>
        <v/>
      </c>
    </row>
    <row r="2434">
      <c r="X2434" s="20" t="str">
        <f>IF($B2434="","",IFERROR(IF(INDEX(Config!$D$9:$D$29,MATCH($B2434,Config!$B$9:$B$29,0))="Contrato",IF(INDEX(Config!$E$9:$E$29,MATCH($B2434,Config!$B$9:$B$29,0))="","",INDEX(Config!$E$9:$E$29,MATCH($B2434,Config!$B$9:$B$29,0))),""),""))</f>
        <v/>
      </c>
      <c r="AI2434" s="19" t="str">
        <f>IF($B2434="","",IFERROR(INDEX(Config!$D$9:$D$29,MATCH($B2434,Config!$B$9:$B$29,0))&amp;"",""))</f>
        <v/>
      </c>
    </row>
    <row r="2435">
      <c r="X2435" s="20" t="str">
        <f>IF($B2435="","",IFERROR(IF(INDEX(Config!$D$9:$D$29,MATCH($B2435,Config!$B$9:$B$29,0))="Contrato",IF(INDEX(Config!$E$9:$E$29,MATCH($B2435,Config!$B$9:$B$29,0))="","",INDEX(Config!$E$9:$E$29,MATCH($B2435,Config!$B$9:$B$29,0))),""),""))</f>
        <v/>
      </c>
      <c r="AI2435" s="19" t="str">
        <f>IF($B2435="","",IFERROR(INDEX(Config!$D$9:$D$29,MATCH($B2435,Config!$B$9:$B$29,0))&amp;"",""))</f>
        <v/>
      </c>
    </row>
    <row r="2436">
      <c r="X2436" s="20" t="str">
        <f>IF($B2436="","",IFERROR(IF(INDEX(Config!$D$9:$D$29,MATCH($B2436,Config!$B$9:$B$29,0))="Contrato",IF(INDEX(Config!$E$9:$E$29,MATCH($B2436,Config!$B$9:$B$29,0))="","",INDEX(Config!$E$9:$E$29,MATCH($B2436,Config!$B$9:$B$29,0))),""),""))</f>
        <v/>
      </c>
      <c r="AI2436" s="19" t="str">
        <f>IF($B2436="","",IFERROR(INDEX(Config!$D$9:$D$29,MATCH($B2436,Config!$B$9:$B$29,0))&amp;"",""))</f>
        <v/>
      </c>
    </row>
    <row r="2437">
      <c r="X2437" s="20" t="str">
        <f>IF($B2437="","",IFERROR(IF(INDEX(Config!$D$9:$D$29,MATCH($B2437,Config!$B$9:$B$29,0))="Contrato",IF(INDEX(Config!$E$9:$E$29,MATCH($B2437,Config!$B$9:$B$29,0))="","",INDEX(Config!$E$9:$E$29,MATCH($B2437,Config!$B$9:$B$29,0))),""),""))</f>
        <v/>
      </c>
      <c r="AI2437" s="19" t="str">
        <f>IF($B2437="","",IFERROR(INDEX(Config!$D$9:$D$29,MATCH($B2437,Config!$B$9:$B$29,0))&amp;"",""))</f>
        <v/>
      </c>
    </row>
    <row r="2438">
      <c r="X2438" s="20" t="str">
        <f>IF($B2438="","",IFERROR(IF(INDEX(Config!$D$9:$D$29,MATCH($B2438,Config!$B$9:$B$29,0))="Contrato",IF(INDEX(Config!$E$9:$E$29,MATCH($B2438,Config!$B$9:$B$29,0))="","",INDEX(Config!$E$9:$E$29,MATCH($B2438,Config!$B$9:$B$29,0))),""),""))</f>
        <v/>
      </c>
      <c r="AI2438" s="19" t="str">
        <f>IF($B2438="","",IFERROR(INDEX(Config!$D$9:$D$29,MATCH($B2438,Config!$B$9:$B$29,0))&amp;"",""))</f>
        <v/>
      </c>
    </row>
    <row r="2439">
      <c r="X2439" s="20" t="str">
        <f>IF($B2439="","",IFERROR(IF(INDEX(Config!$D$9:$D$29,MATCH($B2439,Config!$B$9:$B$29,0))="Contrato",IF(INDEX(Config!$E$9:$E$29,MATCH($B2439,Config!$B$9:$B$29,0))="","",INDEX(Config!$E$9:$E$29,MATCH($B2439,Config!$B$9:$B$29,0))),""),""))</f>
        <v/>
      </c>
      <c r="AI2439" s="19" t="str">
        <f>IF($B2439="","",IFERROR(INDEX(Config!$D$9:$D$29,MATCH($B2439,Config!$B$9:$B$29,0))&amp;"",""))</f>
        <v/>
      </c>
    </row>
    <row r="2440">
      <c r="X2440" s="20" t="str">
        <f>IF($B2440="","",IFERROR(IF(INDEX(Config!$D$9:$D$29,MATCH($B2440,Config!$B$9:$B$29,0))="Contrato",IF(INDEX(Config!$E$9:$E$29,MATCH($B2440,Config!$B$9:$B$29,0))="","",INDEX(Config!$E$9:$E$29,MATCH($B2440,Config!$B$9:$B$29,0))),""),""))</f>
        <v/>
      </c>
      <c r="AI2440" s="19" t="str">
        <f>IF($B2440="","",IFERROR(INDEX(Config!$D$9:$D$29,MATCH($B2440,Config!$B$9:$B$29,0))&amp;"",""))</f>
        <v/>
      </c>
    </row>
    <row r="2441">
      <c r="X2441" s="20" t="str">
        <f>IF($B2441="","",IFERROR(IF(INDEX(Config!$D$9:$D$29,MATCH($B2441,Config!$B$9:$B$29,0))="Contrato",IF(INDEX(Config!$E$9:$E$29,MATCH($B2441,Config!$B$9:$B$29,0))="","",INDEX(Config!$E$9:$E$29,MATCH($B2441,Config!$B$9:$B$29,0))),""),""))</f>
        <v/>
      </c>
      <c r="AI2441" s="19" t="str">
        <f>IF($B2441="","",IFERROR(INDEX(Config!$D$9:$D$29,MATCH($B2441,Config!$B$9:$B$29,0))&amp;"",""))</f>
        <v/>
      </c>
    </row>
    <row r="2442">
      <c r="X2442" s="20" t="str">
        <f>IF($B2442="","",IFERROR(IF(INDEX(Config!$D$9:$D$29,MATCH($B2442,Config!$B$9:$B$29,0))="Contrato",IF(INDEX(Config!$E$9:$E$29,MATCH($B2442,Config!$B$9:$B$29,0))="","",INDEX(Config!$E$9:$E$29,MATCH($B2442,Config!$B$9:$B$29,0))),""),""))</f>
        <v/>
      </c>
      <c r="AI2442" s="19" t="str">
        <f>IF($B2442="","",IFERROR(INDEX(Config!$D$9:$D$29,MATCH($B2442,Config!$B$9:$B$29,0))&amp;"",""))</f>
        <v/>
      </c>
    </row>
    <row r="2443">
      <c r="X2443" s="20" t="str">
        <f>IF($B2443="","",IFERROR(IF(INDEX(Config!$D$9:$D$29,MATCH($B2443,Config!$B$9:$B$29,0))="Contrato",IF(INDEX(Config!$E$9:$E$29,MATCH($B2443,Config!$B$9:$B$29,0))="","",INDEX(Config!$E$9:$E$29,MATCH($B2443,Config!$B$9:$B$29,0))),""),""))</f>
        <v/>
      </c>
      <c r="AI2443" s="19" t="str">
        <f>IF($B2443="","",IFERROR(INDEX(Config!$D$9:$D$29,MATCH($B2443,Config!$B$9:$B$29,0))&amp;"",""))</f>
        <v/>
      </c>
    </row>
    <row r="2444">
      <c r="X2444" s="20" t="str">
        <f>IF($B2444="","",IFERROR(IF(INDEX(Config!$D$9:$D$29,MATCH($B2444,Config!$B$9:$B$29,0))="Contrato",IF(INDEX(Config!$E$9:$E$29,MATCH($B2444,Config!$B$9:$B$29,0))="","",INDEX(Config!$E$9:$E$29,MATCH($B2444,Config!$B$9:$B$29,0))),""),""))</f>
        <v/>
      </c>
      <c r="AI2444" s="19" t="str">
        <f>IF($B2444="","",IFERROR(INDEX(Config!$D$9:$D$29,MATCH($B2444,Config!$B$9:$B$29,0))&amp;"",""))</f>
        <v/>
      </c>
    </row>
    <row r="2445">
      <c r="X2445" s="20" t="str">
        <f>IF($B2445="","",IFERROR(IF(INDEX(Config!$D$9:$D$29,MATCH($B2445,Config!$B$9:$B$29,0))="Contrato",IF(INDEX(Config!$E$9:$E$29,MATCH($B2445,Config!$B$9:$B$29,0))="","",INDEX(Config!$E$9:$E$29,MATCH($B2445,Config!$B$9:$B$29,0))),""),""))</f>
        <v/>
      </c>
      <c r="AI2445" s="19" t="str">
        <f>IF($B2445="","",IFERROR(INDEX(Config!$D$9:$D$29,MATCH($B2445,Config!$B$9:$B$29,0))&amp;"",""))</f>
        <v/>
      </c>
    </row>
    <row r="2446">
      <c r="X2446" s="20" t="str">
        <f>IF($B2446="","",IFERROR(IF(INDEX(Config!$D$9:$D$29,MATCH($B2446,Config!$B$9:$B$29,0))="Contrato",IF(INDEX(Config!$E$9:$E$29,MATCH($B2446,Config!$B$9:$B$29,0))="","",INDEX(Config!$E$9:$E$29,MATCH($B2446,Config!$B$9:$B$29,0))),""),""))</f>
        <v/>
      </c>
      <c r="AI2446" s="19" t="str">
        <f>IF($B2446="","",IFERROR(INDEX(Config!$D$9:$D$29,MATCH($B2446,Config!$B$9:$B$29,0))&amp;"",""))</f>
        <v/>
      </c>
    </row>
    <row r="2447">
      <c r="X2447" s="20" t="str">
        <f>IF($B2447="","",IFERROR(IF(INDEX(Config!$D$9:$D$29,MATCH($B2447,Config!$B$9:$B$29,0))="Contrato",IF(INDEX(Config!$E$9:$E$29,MATCH($B2447,Config!$B$9:$B$29,0))="","",INDEX(Config!$E$9:$E$29,MATCH($B2447,Config!$B$9:$B$29,0))),""),""))</f>
        <v/>
      </c>
      <c r="AI2447" s="19" t="str">
        <f>IF($B2447="","",IFERROR(INDEX(Config!$D$9:$D$29,MATCH($B2447,Config!$B$9:$B$29,0))&amp;"",""))</f>
        <v/>
      </c>
    </row>
    <row r="2448">
      <c r="X2448" s="20" t="str">
        <f>IF($B2448="","",IFERROR(IF(INDEX(Config!$D$9:$D$29,MATCH($B2448,Config!$B$9:$B$29,0))="Contrato",IF(INDEX(Config!$E$9:$E$29,MATCH($B2448,Config!$B$9:$B$29,0))="","",INDEX(Config!$E$9:$E$29,MATCH($B2448,Config!$B$9:$B$29,0))),""),""))</f>
        <v/>
      </c>
      <c r="AI2448" s="19" t="str">
        <f>IF($B2448="","",IFERROR(INDEX(Config!$D$9:$D$29,MATCH($B2448,Config!$B$9:$B$29,0))&amp;"",""))</f>
        <v/>
      </c>
    </row>
    <row r="2449">
      <c r="X2449" s="20" t="str">
        <f>IF($B2449="","",IFERROR(IF(INDEX(Config!$D$9:$D$29,MATCH($B2449,Config!$B$9:$B$29,0))="Contrato",IF(INDEX(Config!$E$9:$E$29,MATCH($B2449,Config!$B$9:$B$29,0))="","",INDEX(Config!$E$9:$E$29,MATCH($B2449,Config!$B$9:$B$29,0))),""),""))</f>
        <v/>
      </c>
      <c r="AI2449" s="19" t="str">
        <f>IF($B2449="","",IFERROR(INDEX(Config!$D$9:$D$29,MATCH($B2449,Config!$B$9:$B$29,0))&amp;"",""))</f>
        <v/>
      </c>
    </row>
    <row r="2450">
      <c r="X2450" s="20" t="str">
        <f>IF($B2450="","",IFERROR(IF(INDEX(Config!$D$9:$D$29,MATCH($B2450,Config!$B$9:$B$29,0))="Contrato",IF(INDEX(Config!$E$9:$E$29,MATCH($B2450,Config!$B$9:$B$29,0))="","",INDEX(Config!$E$9:$E$29,MATCH($B2450,Config!$B$9:$B$29,0))),""),""))</f>
        <v/>
      </c>
      <c r="AI2450" s="19" t="str">
        <f>IF($B2450="","",IFERROR(INDEX(Config!$D$9:$D$29,MATCH($B2450,Config!$B$9:$B$29,0))&amp;"",""))</f>
        <v/>
      </c>
    </row>
    <row r="2451">
      <c r="X2451" s="20" t="str">
        <f>IF($B2451="","",IFERROR(IF(INDEX(Config!$D$9:$D$29,MATCH($B2451,Config!$B$9:$B$29,0))="Contrato",IF(INDEX(Config!$E$9:$E$29,MATCH($B2451,Config!$B$9:$B$29,0))="","",INDEX(Config!$E$9:$E$29,MATCH($B2451,Config!$B$9:$B$29,0))),""),""))</f>
        <v/>
      </c>
      <c r="AI2451" s="19" t="str">
        <f>IF($B2451="","",IFERROR(INDEX(Config!$D$9:$D$29,MATCH($B2451,Config!$B$9:$B$29,0))&amp;"",""))</f>
        <v/>
      </c>
    </row>
    <row r="2452">
      <c r="X2452" s="20" t="str">
        <f>IF($B2452="","",IFERROR(IF(INDEX(Config!$D$9:$D$29,MATCH($B2452,Config!$B$9:$B$29,0))="Contrato",IF(INDEX(Config!$E$9:$E$29,MATCH($B2452,Config!$B$9:$B$29,0))="","",INDEX(Config!$E$9:$E$29,MATCH($B2452,Config!$B$9:$B$29,0))),""),""))</f>
        <v/>
      </c>
      <c r="AI2452" s="19" t="str">
        <f>IF($B2452="","",IFERROR(INDEX(Config!$D$9:$D$29,MATCH($B2452,Config!$B$9:$B$29,0))&amp;"",""))</f>
        <v/>
      </c>
    </row>
    <row r="2453">
      <c r="X2453" s="20" t="str">
        <f>IF($B2453="","",IFERROR(IF(INDEX(Config!$D$9:$D$29,MATCH($B2453,Config!$B$9:$B$29,0))="Contrato",IF(INDEX(Config!$E$9:$E$29,MATCH($B2453,Config!$B$9:$B$29,0))="","",INDEX(Config!$E$9:$E$29,MATCH($B2453,Config!$B$9:$B$29,0))),""),""))</f>
        <v/>
      </c>
      <c r="AI2453" s="19" t="str">
        <f>IF($B2453="","",IFERROR(INDEX(Config!$D$9:$D$29,MATCH($B2453,Config!$B$9:$B$29,0))&amp;"",""))</f>
        <v/>
      </c>
    </row>
    <row r="2454">
      <c r="X2454" s="20" t="str">
        <f>IF($B2454="","",IFERROR(IF(INDEX(Config!$D$9:$D$29,MATCH($B2454,Config!$B$9:$B$29,0))="Contrato",IF(INDEX(Config!$E$9:$E$29,MATCH($B2454,Config!$B$9:$B$29,0))="","",INDEX(Config!$E$9:$E$29,MATCH($B2454,Config!$B$9:$B$29,0))),""),""))</f>
        <v/>
      </c>
      <c r="AI2454" s="19" t="str">
        <f>IF($B2454="","",IFERROR(INDEX(Config!$D$9:$D$29,MATCH($B2454,Config!$B$9:$B$29,0))&amp;"",""))</f>
        <v/>
      </c>
    </row>
    <row r="2455">
      <c r="X2455" s="20" t="str">
        <f>IF($B2455="","",IFERROR(IF(INDEX(Config!$D$9:$D$29,MATCH($B2455,Config!$B$9:$B$29,0))="Contrato",IF(INDEX(Config!$E$9:$E$29,MATCH($B2455,Config!$B$9:$B$29,0))="","",INDEX(Config!$E$9:$E$29,MATCH($B2455,Config!$B$9:$B$29,0))),""),""))</f>
        <v/>
      </c>
      <c r="AI2455" s="19" t="str">
        <f>IF($B2455="","",IFERROR(INDEX(Config!$D$9:$D$29,MATCH($B2455,Config!$B$9:$B$29,0))&amp;"",""))</f>
        <v/>
      </c>
    </row>
    <row r="2456">
      <c r="X2456" s="20" t="str">
        <f>IF($B2456="","",IFERROR(IF(INDEX(Config!$D$9:$D$29,MATCH($B2456,Config!$B$9:$B$29,0))="Contrato",IF(INDEX(Config!$E$9:$E$29,MATCH($B2456,Config!$B$9:$B$29,0))="","",INDEX(Config!$E$9:$E$29,MATCH($B2456,Config!$B$9:$B$29,0))),""),""))</f>
        <v/>
      </c>
      <c r="AI2456" s="19" t="str">
        <f>IF($B2456="","",IFERROR(INDEX(Config!$D$9:$D$29,MATCH($B2456,Config!$B$9:$B$29,0))&amp;"",""))</f>
        <v/>
      </c>
    </row>
    <row r="2457">
      <c r="X2457" s="20" t="str">
        <f>IF($B2457="","",IFERROR(IF(INDEX(Config!$D$9:$D$29,MATCH($B2457,Config!$B$9:$B$29,0))="Contrato",IF(INDEX(Config!$E$9:$E$29,MATCH($B2457,Config!$B$9:$B$29,0))="","",INDEX(Config!$E$9:$E$29,MATCH($B2457,Config!$B$9:$B$29,0))),""),""))</f>
        <v/>
      </c>
      <c r="AI2457" s="19" t="str">
        <f>IF($B2457="","",IFERROR(INDEX(Config!$D$9:$D$29,MATCH($B2457,Config!$B$9:$B$29,0))&amp;"",""))</f>
        <v/>
      </c>
    </row>
    <row r="2458">
      <c r="X2458" s="20" t="str">
        <f>IF($B2458="","",IFERROR(IF(INDEX(Config!$D$9:$D$29,MATCH($B2458,Config!$B$9:$B$29,0))="Contrato",IF(INDEX(Config!$E$9:$E$29,MATCH($B2458,Config!$B$9:$B$29,0))="","",INDEX(Config!$E$9:$E$29,MATCH($B2458,Config!$B$9:$B$29,0))),""),""))</f>
        <v/>
      </c>
      <c r="AI2458" s="19" t="str">
        <f>IF($B2458="","",IFERROR(INDEX(Config!$D$9:$D$29,MATCH($B2458,Config!$B$9:$B$29,0))&amp;"",""))</f>
        <v/>
      </c>
    </row>
    <row r="2459">
      <c r="X2459" s="20" t="str">
        <f>IF($B2459="","",IFERROR(IF(INDEX(Config!$D$9:$D$29,MATCH($B2459,Config!$B$9:$B$29,0))="Contrato",IF(INDEX(Config!$E$9:$E$29,MATCH($B2459,Config!$B$9:$B$29,0))="","",INDEX(Config!$E$9:$E$29,MATCH($B2459,Config!$B$9:$B$29,0))),""),""))</f>
        <v/>
      </c>
      <c r="AI2459" s="19" t="str">
        <f>IF($B2459="","",IFERROR(INDEX(Config!$D$9:$D$29,MATCH($B2459,Config!$B$9:$B$29,0))&amp;"",""))</f>
        <v/>
      </c>
    </row>
    <row r="2460">
      <c r="X2460" s="20" t="str">
        <f>IF($B2460="","",IFERROR(IF(INDEX(Config!$D$9:$D$29,MATCH($B2460,Config!$B$9:$B$29,0))="Contrato",IF(INDEX(Config!$E$9:$E$29,MATCH($B2460,Config!$B$9:$B$29,0))="","",INDEX(Config!$E$9:$E$29,MATCH($B2460,Config!$B$9:$B$29,0))),""),""))</f>
        <v/>
      </c>
      <c r="AI2460" s="19" t="str">
        <f>IF($B2460="","",IFERROR(INDEX(Config!$D$9:$D$29,MATCH($B2460,Config!$B$9:$B$29,0))&amp;"",""))</f>
        <v/>
      </c>
    </row>
    <row r="2461">
      <c r="X2461" s="20" t="str">
        <f>IF($B2461="","",IFERROR(IF(INDEX(Config!$D$9:$D$29,MATCH($B2461,Config!$B$9:$B$29,0))="Contrato",IF(INDEX(Config!$E$9:$E$29,MATCH($B2461,Config!$B$9:$B$29,0))="","",INDEX(Config!$E$9:$E$29,MATCH($B2461,Config!$B$9:$B$29,0))),""),""))</f>
        <v/>
      </c>
      <c r="AI2461" s="19" t="str">
        <f>IF($B2461="","",IFERROR(INDEX(Config!$D$9:$D$29,MATCH($B2461,Config!$B$9:$B$29,0))&amp;"",""))</f>
        <v/>
      </c>
    </row>
    <row r="2462">
      <c r="X2462" s="20" t="str">
        <f>IF($B2462="","",IFERROR(IF(INDEX(Config!$D$9:$D$29,MATCH($B2462,Config!$B$9:$B$29,0))="Contrato",IF(INDEX(Config!$E$9:$E$29,MATCH($B2462,Config!$B$9:$B$29,0))="","",INDEX(Config!$E$9:$E$29,MATCH($B2462,Config!$B$9:$B$29,0))),""),""))</f>
        <v/>
      </c>
      <c r="AI2462" s="19" t="str">
        <f>IF($B2462="","",IFERROR(INDEX(Config!$D$9:$D$29,MATCH($B2462,Config!$B$9:$B$29,0))&amp;"",""))</f>
        <v/>
      </c>
    </row>
    <row r="2463">
      <c r="X2463" s="20" t="str">
        <f>IF($B2463="","",IFERROR(IF(INDEX(Config!$D$9:$D$29,MATCH($B2463,Config!$B$9:$B$29,0))="Contrato",IF(INDEX(Config!$E$9:$E$29,MATCH($B2463,Config!$B$9:$B$29,0))="","",INDEX(Config!$E$9:$E$29,MATCH($B2463,Config!$B$9:$B$29,0))),""),""))</f>
        <v/>
      </c>
      <c r="AI2463" s="19" t="str">
        <f>IF($B2463="","",IFERROR(INDEX(Config!$D$9:$D$29,MATCH($B2463,Config!$B$9:$B$29,0))&amp;"",""))</f>
        <v/>
      </c>
    </row>
    <row r="2464">
      <c r="X2464" s="20" t="str">
        <f>IF($B2464="","",IFERROR(IF(INDEX(Config!$D$9:$D$29,MATCH($B2464,Config!$B$9:$B$29,0))="Contrato",IF(INDEX(Config!$E$9:$E$29,MATCH($B2464,Config!$B$9:$B$29,0))="","",INDEX(Config!$E$9:$E$29,MATCH($B2464,Config!$B$9:$B$29,0))),""),""))</f>
        <v/>
      </c>
      <c r="AI2464" s="19" t="str">
        <f>IF($B2464="","",IFERROR(INDEX(Config!$D$9:$D$29,MATCH($B2464,Config!$B$9:$B$29,0))&amp;"",""))</f>
        <v/>
      </c>
    </row>
    <row r="2465">
      <c r="X2465" s="20" t="str">
        <f>IF($B2465="","",IFERROR(IF(INDEX(Config!$D$9:$D$29,MATCH($B2465,Config!$B$9:$B$29,0))="Contrato",IF(INDEX(Config!$E$9:$E$29,MATCH($B2465,Config!$B$9:$B$29,0))="","",INDEX(Config!$E$9:$E$29,MATCH($B2465,Config!$B$9:$B$29,0))),""),""))</f>
        <v/>
      </c>
      <c r="AI2465" s="19" t="str">
        <f>IF($B2465="","",IFERROR(INDEX(Config!$D$9:$D$29,MATCH($B2465,Config!$B$9:$B$29,0))&amp;"",""))</f>
        <v/>
      </c>
    </row>
    <row r="2466">
      <c r="X2466" s="20" t="str">
        <f>IF($B2466="","",IFERROR(IF(INDEX(Config!$D$9:$D$29,MATCH($B2466,Config!$B$9:$B$29,0))="Contrato",IF(INDEX(Config!$E$9:$E$29,MATCH($B2466,Config!$B$9:$B$29,0))="","",INDEX(Config!$E$9:$E$29,MATCH($B2466,Config!$B$9:$B$29,0))),""),""))</f>
        <v/>
      </c>
      <c r="AI2466" s="19" t="str">
        <f>IF($B2466="","",IFERROR(INDEX(Config!$D$9:$D$29,MATCH($B2466,Config!$B$9:$B$29,0))&amp;"",""))</f>
        <v/>
      </c>
    </row>
    <row r="2467">
      <c r="X2467" s="20" t="str">
        <f>IF($B2467="","",IFERROR(IF(INDEX(Config!$D$9:$D$29,MATCH($B2467,Config!$B$9:$B$29,0))="Contrato",IF(INDEX(Config!$E$9:$E$29,MATCH($B2467,Config!$B$9:$B$29,0))="","",INDEX(Config!$E$9:$E$29,MATCH($B2467,Config!$B$9:$B$29,0))),""),""))</f>
        <v/>
      </c>
      <c r="AI2467" s="19" t="str">
        <f>IF($B2467="","",IFERROR(INDEX(Config!$D$9:$D$29,MATCH($B2467,Config!$B$9:$B$29,0))&amp;"",""))</f>
        <v/>
      </c>
    </row>
    <row r="2468">
      <c r="X2468" s="20" t="str">
        <f>IF($B2468="","",IFERROR(IF(INDEX(Config!$D$9:$D$29,MATCH($B2468,Config!$B$9:$B$29,0))="Contrato",IF(INDEX(Config!$E$9:$E$29,MATCH($B2468,Config!$B$9:$B$29,0))="","",INDEX(Config!$E$9:$E$29,MATCH($B2468,Config!$B$9:$B$29,0))),""),""))</f>
        <v/>
      </c>
      <c r="AI2468" s="19" t="str">
        <f>IF($B2468="","",IFERROR(INDEX(Config!$D$9:$D$29,MATCH($B2468,Config!$B$9:$B$29,0))&amp;"",""))</f>
        <v/>
      </c>
    </row>
    <row r="2469">
      <c r="X2469" s="20" t="str">
        <f>IF($B2469="","",IFERROR(IF(INDEX(Config!$D$9:$D$29,MATCH($B2469,Config!$B$9:$B$29,0))="Contrato",IF(INDEX(Config!$E$9:$E$29,MATCH($B2469,Config!$B$9:$B$29,0))="","",INDEX(Config!$E$9:$E$29,MATCH($B2469,Config!$B$9:$B$29,0))),""),""))</f>
        <v/>
      </c>
      <c r="AI2469" s="19" t="str">
        <f>IF($B2469="","",IFERROR(INDEX(Config!$D$9:$D$29,MATCH($B2469,Config!$B$9:$B$29,0))&amp;"",""))</f>
        <v/>
      </c>
    </row>
    <row r="2470">
      <c r="X2470" s="20" t="str">
        <f>IF($B2470="","",IFERROR(IF(INDEX(Config!$D$9:$D$29,MATCH($B2470,Config!$B$9:$B$29,0))="Contrato",IF(INDEX(Config!$E$9:$E$29,MATCH($B2470,Config!$B$9:$B$29,0))="","",INDEX(Config!$E$9:$E$29,MATCH($B2470,Config!$B$9:$B$29,0))),""),""))</f>
        <v/>
      </c>
      <c r="AI2470" s="19" t="str">
        <f>IF($B2470="","",IFERROR(INDEX(Config!$D$9:$D$29,MATCH($B2470,Config!$B$9:$B$29,0))&amp;"",""))</f>
        <v/>
      </c>
    </row>
    <row r="2471">
      <c r="X2471" s="20" t="str">
        <f>IF($B2471="","",IFERROR(IF(INDEX(Config!$D$9:$D$29,MATCH($B2471,Config!$B$9:$B$29,0))="Contrato",IF(INDEX(Config!$E$9:$E$29,MATCH($B2471,Config!$B$9:$B$29,0))="","",INDEX(Config!$E$9:$E$29,MATCH($B2471,Config!$B$9:$B$29,0))),""),""))</f>
        <v/>
      </c>
      <c r="AI2471" s="19" t="str">
        <f>IF($B2471="","",IFERROR(INDEX(Config!$D$9:$D$29,MATCH($B2471,Config!$B$9:$B$29,0))&amp;"",""))</f>
        <v/>
      </c>
    </row>
    <row r="2472">
      <c r="X2472" s="20" t="str">
        <f>IF($B2472="","",IFERROR(IF(INDEX(Config!$D$9:$D$29,MATCH($B2472,Config!$B$9:$B$29,0))="Contrato",IF(INDEX(Config!$E$9:$E$29,MATCH($B2472,Config!$B$9:$B$29,0))="","",INDEX(Config!$E$9:$E$29,MATCH($B2472,Config!$B$9:$B$29,0))),""),""))</f>
        <v/>
      </c>
      <c r="AI2472" s="19" t="str">
        <f>IF($B2472="","",IFERROR(INDEX(Config!$D$9:$D$29,MATCH($B2472,Config!$B$9:$B$29,0))&amp;"",""))</f>
        <v/>
      </c>
    </row>
    <row r="2473">
      <c r="X2473" s="20" t="str">
        <f>IF($B2473="","",IFERROR(IF(INDEX(Config!$D$9:$D$29,MATCH($B2473,Config!$B$9:$B$29,0))="Contrato",IF(INDEX(Config!$E$9:$E$29,MATCH($B2473,Config!$B$9:$B$29,0))="","",INDEX(Config!$E$9:$E$29,MATCH($B2473,Config!$B$9:$B$29,0))),""),""))</f>
        <v/>
      </c>
      <c r="AI2473" s="19" t="str">
        <f>IF($B2473="","",IFERROR(INDEX(Config!$D$9:$D$29,MATCH($B2473,Config!$B$9:$B$29,0))&amp;"",""))</f>
        <v/>
      </c>
    </row>
    <row r="2474">
      <c r="X2474" s="20" t="str">
        <f>IF($B2474="","",IFERROR(IF(INDEX(Config!$D$9:$D$29,MATCH($B2474,Config!$B$9:$B$29,0))="Contrato",IF(INDEX(Config!$E$9:$E$29,MATCH($B2474,Config!$B$9:$B$29,0))="","",INDEX(Config!$E$9:$E$29,MATCH($B2474,Config!$B$9:$B$29,0))),""),""))</f>
        <v/>
      </c>
      <c r="AI2474" s="19" t="str">
        <f>IF($B2474="","",IFERROR(INDEX(Config!$D$9:$D$29,MATCH($B2474,Config!$B$9:$B$29,0))&amp;"",""))</f>
        <v/>
      </c>
    </row>
    <row r="2475">
      <c r="X2475" s="20" t="str">
        <f>IF($B2475="","",IFERROR(IF(INDEX(Config!$D$9:$D$29,MATCH($B2475,Config!$B$9:$B$29,0))="Contrato",IF(INDEX(Config!$E$9:$E$29,MATCH($B2475,Config!$B$9:$B$29,0))="","",INDEX(Config!$E$9:$E$29,MATCH($B2475,Config!$B$9:$B$29,0))),""),""))</f>
        <v/>
      </c>
      <c r="AI2475" s="19" t="str">
        <f>IF($B2475="","",IFERROR(INDEX(Config!$D$9:$D$29,MATCH($B2475,Config!$B$9:$B$29,0))&amp;"",""))</f>
        <v/>
      </c>
    </row>
    <row r="2476">
      <c r="X2476" s="20" t="str">
        <f>IF($B2476="","",IFERROR(IF(INDEX(Config!$D$9:$D$29,MATCH($B2476,Config!$B$9:$B$29,0))="Contrato",IF(INDEX(Config!$E$9:$E$29,MATCH($B2476,Config!$B$9:$B$29,0))="","",INDEX(Config!$E$9:$E$29,MATCH($B2476,Config!$B$9:$B$29,0))),""),""))</f>
        <v/>
      </c>
      <c r="AI2476" s="19" t="str">
        <f>IF($B2476="","",IFERROR(INDEX(Config!$D$9:$D$29,MATCH($B2476,Config!$B$9:$B$29,0))&amp;"",""))</f>
        <v/>
      </c>
    </row>
    <row r="2477">
      <c r="X2477" s="20" t="str">
        <f>IF($B2477="","",IFERROR(IF(INDEX(Config!$D$9:$D$29,MATCH($B2477,Config!$B$9:$B$29,0))="Contrato",IF(INDEX(Config!$E$9:$E$29,MATCH($B2477,Config!$B$9:$B$29,0))="","",INDEX(Config!$E$9:$E$29,MATCH($B2477,Config!$B$9:$B$29,0))),""),""))</f>
        <v/>
      </c>
      <c r="AI2477" s="19" t="str">
        <f>IF($B2477="","",IFERROR(INDEX(Config!$D$9:$D$29,MATCH($B2477,Config!$B$9:$B$29,0))&amp;"",""))</f>
        <v/>
      </c>
    </row>
    <row r="2478">
      <c r="X2478" s="20" t="str">
        <f>IF($B2478="","",IFERROR(IF(INDEX(Config!$D$9:$D$29,MATCH($B2478,Config!$B$9:$B$29,0))="Contrato",IF(INDEX(Config!$E$9:$E$29,MATCH($B2478,Config!$B$9:$B$29,0))="","",INDEX(Config!$E$9:$E$29,MATCH($B2478,Config!$B$9:$B$29,0))),""),""))</f>
        <v/>
      </c>
      <c r="AI2478" s="19" t="str">
        <f>IF($B2478="","",IFERROR(INDEX(Config!$D$9:$D$29,MATCH($B2478,Config!$B$9:$B$29,0))&amp;"",""))</f>
        <v/>
      </c>
    </row>
    <row r="2479">
      <c r="X2479" s="20" t="str">
        <f>IF($B2479="","",IFERROR(IF(INDEX(Config!$D$9:$D$29,MATCH($B2479,Config!$B$9:$B$29,0))="Contrato",IF(INDEX(Config!$E$9:$E$29,MATCH($B2479,Config!$B$9:$B$29,0))="","",INDEX(Config!$E$9:$E$29,MATCH($B2479,Config!$B$9:$B$29,0))),""),""))</f>
        <v/>
      </c>
      <c r="AI2479" s="19" t="str">
        <f>IF($B2479="","",IFERROR(INDEX(Config!$D$9:$D$29,MATCH($B2479,Config!$B$9:$B$29,0))&amp;"",""))</f>
        <v/>
      </c>
    </row>
    <row r="2480">
      <c r="X2480" s="20" t="str">
        <f>IF($B2480="","",IFERROR(IF(INDEX(Config!$D$9:$D$29,MATCH($B2480,Config!$B$9:$B$29,0))="Contrato",IF(INDEX(Config!$E$9:$E$29,MATCH($B2480,Config!$B$9:$B$29,0))="","",INDEX(Config!$E$9:$E$29,MATCH($B2480,Config!$B$9:$B$29,0))),""),""))</f>
        <v/>
      </c>
      <c r="AI2480" s="19" t="str">
        <f>IF($B2480="","",IFERROR(INDEX(Config!$D$9:$D$29,MATCH($B2480,Config!$B$9:$B$29,0))&amp;"",""))</f>
        <v/>
      </c>
    </row>
    <row r="2481">
      <c r="X2481" s="20" t="str">
        <f>IF($B2481="","",IFERROR(IF(INDEX(Config!$D$9:$D$29,MATCH($B2481,Config!$B$9:$B$29,0))="Contrato",IF(INDEX(Config!$E$9:$E$29,MATCH($B2481,Config!$B$9:$B$29,0))="","",INDEX(Config!$E$9:$E$29,MATCH($B2481,Config!$B$9:$B$29,0))),""),""))</f>
        <v/>
      </c>
      <c r="AI2481" s="19" t="str">
        <f>IF($B2481="","",IFERROR(INDEX(Config!$D$9:$D$29,MATCH($B2481,Config!$B$9:$B$29,0))&amp;"",""))</f>
        <v/>
      </c>
    </row>
    <row r="2482">
      <c r="X2482" s="20" t="str">
        <f>IF($B2482="","",IFERROR(IF(INDEX(Config!$D$9:$D$29,MATCH($B2482,Config!$B$9:$B$29,0))="Contrato",IF(INDEX(Config!$E$9:$E$29,MATCH($B2482,Config!$B$9:$B$29,0))="","",INDEX(Config!$E$9:$E$29,MATCH($B2482,Config!$B$9:$B$29,0))),""),""))</f>
        <v/>
      </c>
      <c r="AI2482" s="19" t="str">
        <f>IF($B2482="","",IFERROR(INDEX(Config!$D$9:$D$29,MATCH($B2482,Config!$B$9:$B$29,0))&amp;"",""))</f>
        <v/>
      </c>
    </row>
    <row r="2483">
      <c r="X2483" s="20" t="str">
        <f>IF($B2483="","",IFERROR(IF(INDEX(Config!$D$9:$D$29,MATCH($B2483,Config!$B$9:$B$29,0))="Contrato",IF(INDEX(Config!$E$9:$E$29,MATCH($B2483,Config!$B$9:$B$29,0))="","",INDEX(Config!$E$9:$E$29,MATCH($B2483,Config!$B$9:$B$29,0))),""),""))</f>
        <v/>
      </c>
      <c r="AI2483" s="19" t="str">
        <f>IF($B2483="","",IFERROR(INDEX(Config!$D$9:$D$29,MATCH($B2483,Config!$B$9:$B$29,0))&amp;"",""))</f>
        <v/>
      </c>
    </row>
    <row r="2484">
      <c r="X2484" s="20" t="str">
        <f>IF($B2484="","",IFERROR(IF(INDEX(Config!$D$9:$D$29,MATCH($B2484,Config!$B$9:$B$29,0))="Contrato",IF(INDEX(Config!$E$9:$E$29,MATCH($B2484,Config!$B$9:$B$29,0))="","",INDEX(Config!$E$9:$E$29,MATCH($B2484,Config!$B$9:$B$29,0))),""),""))</f>
        <v/>
      </c>
      <c r="AI2484" s="19" t="str">
        <f>IF($B2484="","",IFERROR(INDEX(Config!$D$9:$D$29,MATCH($B2484,Config!$B$9:$B$29,0))&amp;"",""))</f>
        <v/>
      </c>
    </row>
    <row r="2485">
      <c r="X2485" s="20" t="str">
        <f>IF($B2485="","",IFERROR(IF(INDEX(Config!$D$9:$D$29,MATCH($B2485,Config!$B$9:$B$29,0))="Contrato",IF(INDEX(Config!$E$9:$E$29,MATCH($B2485,Config!$B$9:$B$29,0))="","",INDEX(Config!$E$9:$E$29,MATCH($B2485,Config!$B$9:$B$29,0))),""),""))</f>
        <v/>
      </c>
      <c r="AI2485" s="19" t="str">
        <f>IF($B2485="","",IFERROR(INDEX(Config!$D$9:$D$29,MATCH($B2485,Config!$B$9:$B$29,0))&amp;"",""))</f>
        <v/>
      </c>
    </row>
    <row r="2486">
      <c r="X2486" s="20" t="str">
        <f>IF($B2486="","",IFERROR(IF(INDEX(Config!$D$9:$D$29,MATCH($B2486,Config!$B$9:$B$29,0))="Contrato",IF(INDEX(Config!$E$9:$E$29,MATCH($B2486,Config!$B$9:$B$29,0))="","",INDEX(Config!$E$9:$E$29,MATCH($B2486,Config!$B$9:$B$29,0))),""),""))</f>
        <v/>
      </c>
      <c r="AI2486" s="19" t="str">
        <f>IF($B2486="","",IFERROR(INDEX(Config!$D$9:$D$29,MATCH($B2486,Config!$B$9:$B$29,0))&amp;"",""))</f>
        <v/>
      </c>
    </row>
    <row r="2487">
      <c r="X2487" s="20" t="str">
        <f>IF($B2487="","",IFERROR(IF(INDEX(Config!$D$9:$D$29,MATCH($B2487,Config!$B$9:$B$29,0))="Contrato",IF(INDEX(Config!$E$9:$E$29,MATCH($B2487,Config!$B$9:$B$29,0))="","",INDEX(Config!$E$9:$E$29,MATCH($B2487,Config!$B$9:$B$29,0))),""),""))</f>
        <v/>
      </c>
      <c r="AI2487" s="19" t="str">
        <f>IF($B2487="","",IFERROR(INDEX(Config!$D$9:$D$29,MATCH($B2487,Config!$B$9:$B$29,0))&amp;"",""))</f>
        <v/>
      </c>
    </row>
    <row r="2488">
      <c r="X2488" s="20" t="str">
        <f>IF($B2488="","",IFERROR(IF(INDEX(Config!$D$9:$D$29,MATCH($B2488,Config!$B$9:$B$29,0))="Contrato",IF(INDEX(Config!$E$9:$E$29,MATCH($B2488,Config!$B$9:$B$29,0))="","",INDEX(Config!$E$9:$E$29,MATCH($B2488,Config!$B$9:$B$29,0))),""),""))</f>
        <v/>
      </c>
      <c r="AI2488" s="19" t="str">
        <f>IF($B2488="","",IFERROR(INDEX(Config!$D$9:$D$29,MATCH($B2488,Config!$B$9:$B$29,0))&amp;"",""))</f>
        <v/>
      </c>
    </row>
    <row r="2489">
      <c r="X2489" s="20" t="str">
        <f>IF($B2489="","",IFERROR(IF(INDEX(Config!$D$9:$D$29,MATCH($B2489,Config!$B$9:$B$29,0))="Contrato",IF(INDEX(Config!$E$9:$E$29,MATCH($B2489,Config!$B$9:$B$29,0))="","",INDEX(Config!$E$9:$E$29,MATCH($B2489,Config!$B$9:$B$29,0))),""),""))</f>
        <v/>
      </c>
      <c r="AI2489" s="19" t="str">
        <f>IF($B2489="","",IFERROR(INDEX(Config!$D$9:$D$29,MATCH($B2489,Config!$B$9:$B$29,0))&amp;"",""))</f>
        <v/>
      </c>
    </row>
    <row r="2490">
      <c r="X2490" s="20" t="str">
        <f>IF($B2490="","",IFERROR(IF(INDEX(Config!$D$9:$D$29,MATCH($B2490,Config!$B$9:$B$29,0))="Contrato",IF(INDEX(Config!$E$9:$E$29,MATCH($B2490,Config!$B$9:$B$29,0))="","",INDEX(Config!$E$9:$E$29,MATCH($B2490,Config!$B$9:$B$29,0))),""),""))</f>
        <v/>
      </c>
      <c r="AI2490" s="19" t="str">
        <f>IF($B2490="","",IFERROR(INDEX(Config!$D$9:$D$29,MATCH($B2490,Config!$B$9:$B$29,0))&amp;"",""))</f>
        <v/>
      </c>
    </row>
    <row r="2491">
      <c r="X2491" s="20" t="str">
        <f>IF($B2491="","",IFERROR(IF(INDEX(Config!$D$9:$D$29,MATCH($B2491,Config!$B$9:$B$29,0))="Contrato",IF(INDEX(Config!$E$9:$E$29,MATCH($B2491,Config!$B$9:$B$29,0))="","",INDEX(Config!$E$9:$E$29,MATCH($B2491,Config!$B$9:$B$29,0))),""),""))</f>
        <v/>
      </c>
      <c r="AI2491" s="19" t="str">
        <f>IF($B2491="","",IFERROR(INDEX(Config!$D$9:$D$29,MATCH($B2491,Config!$B$9:$B$29,0))&amp;"",""))</f>
        <v/>
      </c>
    </row>
    <row r="2492">
      <c r="X2492" s="20" t="str">
        <f>IF($B2492="","",IFERROR(IF(INDEX(Config!$D$9:$D$29,MATCH($B2492,Config!$B$9:$B$29,0))="Contrato",IF(INDEX(Config!$E$9:$E$29,MATCH($B2492,Config!$B$9:$B$29,0))="","",INDEX(Config!$E$9:$E$29,MATCH($B2492,Config!$B$9:$B$29,0))),""),""))</f>
        <v/>
      </c>
      <c r="AI2492" s="19" t="str">
        <f>IF($B2492="","",IFERROR(INDEX(Config!$D$9:$D$29,MATCH($B2492,Config!$B$9:$B$29,0))&amp;"",""))</f>
        <v/>
      </c>
    </row>
    <row r="2493">
      <c r="X2493" s="20" t="str">
        <f>IF($B2493="","",IFERROR(IF(INDEX(Config!$D$9:$D$29,MATCH($B2493,Config!$B$9:$B$29,0))="Contrato",IF(INDEX(Config!$E$9:$E$29,MATCH($B2493,Config!$B$9:$B$29,0))="","",INDEX(Config!$E$9:$E$29,MATCH($B2493,Config!$B$9:$B$29,0))),""),""))</f>
        <v/>
      </c>
      <c r="AI2493" s="19" t="str">
        <f>IF($B2493="","",IFERROR(INDEX(Config!$D$9:$D$29,MATCH($B2493,Config!$B$9:$B$29,0))&amp;"",""))</f>
        <v/>
      </c>
    </row>
    <row r="2494">
      <c r="X2494" s="20" t="str">
        <f>IF($B2494="","",IFERROR(IF(INDEX(Config!$D$9:$D$29,MATCH($B2494,Config!$B$9:$B$29,0))="Contrato",IF(INDEX(Config!$E$9:$E$29,MATCH($B2494,Config!$B$9:$B$29,0))="","",INDEX(Config!$E$9:$E$29,MATCH($B2494,Config!$B$9:$B$29,0))),""),""))</f>
        <v/>
      </c>
      <c r="AI2494" s="19" t="str">
        <f>IF($B2494="","",IFERROR(INDEX(Config!$D$9:$D$29,MATCH($B2494,Config!$B$9:$B$29,0))&amp;"",""))</f>
        <v/>
      </c>
    </row>
    <row r="2495">
      <c r="X2495" s="20" t="str">
        <f>IF($B2495="","",IFERROR(IF(INDEX(Config!$D$9:$D$29,MATCH($B2495,Config!$B$9:$B$29,0))="Contrato",IF(INDEX(Config!$E$9:$E$29,MATCH($B2495,Config!$B$9:$B$29,0))="","",INDEX(Config!$E$9:$E$29,MATCH($B2495,Config!$B$9:$B$29,0))),""),""))</f>
        <v/>
      </c>
      <c r="AI2495" s="19" t="str">
        <f>IF($B2495="","",IFERROR(INDEX(Config!$D$9:$D$29,MATCH($B2495,Config!$B$9:$B$29,0))&amp;"",""))</f>
        <v/>
      </c>
    </row>
    <row r="2496">
      <c r="X2496" s="20" t="str">
        <f>IF($B2496="","",IFERROR(IF(INDEX(Config!$D$9:$D$29,MATCH($B2496,Config!$B$9:$B$29,0))="Contrato",IF(INDEX(Config!$E$9:$E$29,MATCH($B2496,Config!$B$9:$B$29,0))="","",INDEX(Config!$E$9:$E$29,MATCH($B2496,Config!$B$9:$B$29,0))),""),""))</f>
        <v/>
      </c>
      <c r="AI2496" s="19" t="str">
        <f>IF($B2496="","",IFERROR(INDEX(Config!$D$9:$D$29,MATCH($B2496,Config!$B$9:$B$29,0))&amp;"",""))</f>
        <v/>
      </c>
    </row>
    <row r="2497">
      <c r="X2497" s="20" t="str">
        <f>IF($B2497="","",IFERROR(IF(INDEX(Config!$D$9:$D$29,MATCH($B2497,Config!$B$9:$B$29,0))="Contrato",IF(INDEX(Config!$E$9:$E$29,MATCH($B2497,Config!$B$9:$B$29,0))="","",INDEX(Config!$E$9:$E$29,MATCH($B2497,Config!$B$9:$B$29,0))),""),""))</f>
        <v/>
      </c>
      <c r="AI2497" s="19" t="str">
        <f>IF($B2497="","",IFERROR(INDEX(Config!$D$9:$D$29,MATCH($B2497,Config!$B$9:$B$29,0))&amp;"",""))</f>
        <v/>
      </c>
    </row>
    <row r="2498">
      <c r="X2498" s="20" t="str">
        <f>IF($B2498="","",IFERROR(IF(INDEX(Config!$D$9:$D$29,MATCH($B2498,Config!$B$9:$B$29,0))="Contrato",IF(INDEX(Config!$E$9:$E$29,MATCH($B2498,Config!$B$9:$B$29,0))="","",INDEX(Config!$E$9:$E$29,MATCH($B2498,Config!$B$9:$B$29,0))),""),""))</f>
        <v/>
      </c>
      <c r="AI2498" s="19" t="str">
        <f>IF($B2498="","",IFERROR(INDEX(Config!$D$9:$D$29,MATCH($B2498,Config!$B$9:$B$29,0))&amp;"",""))</f>
        <v/>
      </c>
    </row>
    <row r="2499">
      <c r="X2499" s="20" t="str">
        <f>IF($B2499="","",IFERROR(IF(INDEX(Config!$D$9:$D$29,MATCH($B2499,Config!$B$9:$B$29,0))="Contrato",IF(INDEX(Config!$E$9:$E$29,MATCH($B2499,Config!$B$9:$B$29,0))="","",INDEX(Config!$E$9:$E$29,MATCH($B2499,Config!$B$9:$B$29,0))),""),""))</f>
        <v/>
      </c>
      <c r="AI2499" s="19" t="str">
        <f>IF($B2499="","",IFERROR(INDEX(Config!$D$9:$D$29,MATCH($B2499,Config!$B$9:$B$29,0))&amp;"",""))</f>
        <v/>
      </c>
    </row>
    <row r="2500">
      <c r="X2500" s="20" t="str">
        <f>IF($B2500="","",IFERROR(IF(INDEX(Config!$D$9:$D$29,MATCH($B2500,Config!$B$9:$B$29,0))="Contrato",IF(INDEX(Config!$E$9:$E$29,MATCH($B2500,Config!$B$9:$B$29,0))="","",INDEX(Config!$E$9:$E$29,MATCH($B2500,Config!$B$9:$B$29,0))),""),""))</f>
        <v/>
      </c>
      <c r="AI2500" s="19" t="str">
        <f>IF($B2500="","",IFERROR(INDEX(Config!$D$9:$D$29,MATCH($B2500,Config!$B$9:$B$29,0))&amp;"",""))</f>
        <v/>
      </c>
    </row>
    <row r="2501">
      <c r="X2501" s="20" t="str">
        <f>IF($B2501="","",IFERROR(IF(INDEX(Config!$D$9:$D$29,MATCH($B2501,Config!$B$9:$B$29,0))="Contrato",IF(INDEX(Config!$E$9:$E$29,MATCH($B2501,Config!$B$9:$B$29,0))="","",INDEX(Config!$E$9:$E$29,MATCH($B2501,Config!$B$9:$B$29,0))),""),""))</f>
        <v/>
      </c>
      <c r="AI2501" s="19" t="str">
        <f>IF($B2501="","",IFERROR(INDEX(Config!$D$9:$D$29,MATCH($B2501,Config!$B$9:$B$29,0))&amp;"",""))</f>
        <v/>
      </c>
    </row>
    <row r="2502">
      <c r="X2502" s="20" t="str">
        <f>IF($B2502="","",IFERROR(IF(INDEX(Config!$D$9:$D$29,MATCH($B2502,Config!$B$9:$B$29,0))="Contrato",IF(INDEX(Config!$E$9:$E$29,MATCH($B2502,Config!$B$9:$B$29,0))="","",INDEX(Config!$E$9:$E$29,MATCH($B2502,Config!$B$9:$B$29,0))),""),""))</f>
        <v/>
      </c>
      <c r="AI2502" s="19" t="str">
        <f>IF($B2502="","",IFERROR(INDEX(Config!$D$9:$D$29,MATCH($B2502,Config!$B$9:$B$29,0))&amp;"",""))</f>
        <v/>
      </c>
    </row>
    <row r="2503">
      <c r="X2503" s="20" t="str">
        <f>IF($B2503="","",IFERROR(IF(INDEX(Config!$D$9:$D$29,MATCH($B2503,Config!$B$9:$B$29,0))="Contrato",IF(INDEX(Config!$E$9:$E$29,MATCH($B2503,Config!$B$9:$B$29,0))="","",INDEX(Config!$E$9:$E$29,MATCH($B2503,Config!$B$9:$B$29,0))),""),""))</f>
        <v/>
      </c>
      <c r="AI2503" s="19" t="str">
        <f>IF($B2503="","",IFERROR(INDEX(Config!$D$9:$D$29,MATCH($B2503,Config!$B$9:$B$29,0))&amp;"",""))</f>
        <v/>
      </c>
    </row>
    <row r="2504">
      <c r="X2504" s="20" t="str">
        <f>IF($B2504="","",IFERROR(IF(INDEX(Config!$D$9:$D$29,MATCH($B2504,Config!$B$9:$B$29,0))="Contrato",IF(INDEX(Config!$E$9:$E$29,MATCH($B2504,Config!$B$9:$B$29,0))="","",INDEX(Config!$E$9:$E$29,MATCH($B2504,Config!$B$9:$B$29,0))),""),""))</f>
        <v/>
      </c>
      <c r="AI2504" s="19" t="str">
        <f>IF($B2504="","",IFERROR(INDEX(Config!$D$9:$D$29,MATCH($B2504,Config!$B$9:$B$29,0))&amp;"",""))</f>
        <v/>
      </c>
    </row>
    <row r="2505">
      <c r="X2505" s="20" t="str">
        <f>IF($B2505="","",IFERROR(IF(INDEX(Config!$D$9:$D$29,MATCH($B2505,Config!$B$9:$B$29,0))="Contrato",IF(INDEX(Config!$E$9:$E$29,MATCH($B2505,Config!$B$9:$B$29,0))="","",INDEX(Config!$E$9:$E$29,MATCH($B2505,Config!$B$9:$B$29,0))),""),""))</f>
        <v/>
      </c>
      <c r="AI2505" s="19" t="str">
        <f>IF($B2505="","",IFERROR(INDEX(Config!$D$9:$D$29,MATCH($B2505,Config!$B$9:$B$29,0))&amp;"",""))</f>
        <v/>
      </c>
    </row>
    <row r="2506">
      <c r="X2506" s="20" t="str">
        <f>IF($B2506="","",IFERROR(IF(INDEX(Config!$D$9:$D$29,MATCH($B2506,Config!$B$9:$B$29,0))="Contrato",IF(INDEX(Config!$E$9:$E$29,MATCH($B2506,Config!$B$9:$B$29,0))="","",INDEX(Config!$E$9:$E$29,MATCH($B2506,Config!$B$9:$B$29,0))),""),""))</f>
        <v/>
      </c>
      <c r="AI2506" s="19" t="str">
        <f>IF($B2506="","",IFERROR(INDEX(Config!$D$9:$D$29,MATCH($B2506,Config!$B$9:$B$29,0))&amp;"",""))</f>
        <v/>
      </c>
    </row>
    <row r="2507">
      <c r="X2507" s="20" t="str">
        <f>IF($B2507="","",IFERROR(IF(INDEX(Config!$D$9:$D$29,MATCH($B2507,Config!$B$9:$B$29,0))="Contrato",IF(INDEX(Config!$E$9:$E$29,MATCH($B2507,Config!$B$9:$B$29,0))="","",INDEX(Config!$E$9:$E$29,MATCH($B2507,Config!$B$9:$B$29,0))),""),""))</f>
        <v/>
      </c>
      <c r="AI2507" s="19" t="str">
        <f>IF($B2507="","",IFERROR(INDEX(Config!$D$9:$D$29,MATCH($B2507,Config!$B$9:$B$29,0))&amp;"",""))</f>
        <v/>
      </c>
    </row>
    <row r="2508">
      <c r="X2508" s="20" t="str">
        <f>IF($B2508="","",IFERROR(IF(INDEX(Config!$D$9:$D$29,MATCH($B2508,Config!$B$9:$B$29,0))="Contrato",IF(INDEX(Config!$E$9:$E$29,MATCH($B2508,Config!$B$9:$B$29,0))="","",INDEX(Config!$E$9:$E$29,MATCH($B2508,Config!$B$9:$B$29,0))),""),""))</f>
        <v/>
      </c>
      <c r="AI2508" s="19" t="str">
        <f>IF($B2508="","",IFERROR(INDEX(Config!$D$9:$D$29,MATCH($B2508,Config!$B$9:$B$29,0))&amp;"",""))</f>
        <v/>
      </c>
    </row>
    <row r="2509">
      <c r="X2509" s="20" t="str">
        <f>IF($B2509="","",IFERROR(IF(INDEX(Config!$D$9:$D$29,MATCH($B2509,Config!$B$9:$B$29,0))="Contrato",IF(INDEX(Config!$E$9:$E$29,MATCH($B2509,Config!$B$9:$B$29,0))="","",INDEX(Config!$E$9:$E$29,MATCH($B2509,Config!$B$9:$B$29,0))),""),""))</f>
        <v/>
      </c>
      <c r="AI2509" s="19" t="str">
        <f>IF($B2509="","",IFERROR(INDEX(Config!$D$9:$D$29,MATCH($B2509,Config!$B$9:$B$29,0))&amp;"",""))</f>
        <v/>
      </c>
    </row>
    <row r="2510">
      <c r="X2510" s="20" t="str">
        <f>IF($B2510="","",IFERROR(IF(INDEX(Config!$D$9:$D$29,MATCH($B2510,Config!$B$9:$B$29,0))="Contrato",IF(INDEX(Config!$E$9:$E$29,MATCH($B2510,Config!$B$9:$B$29,0))="","",INDEX(Config!$E$9:$E$29,MATCH($B2510,Config!$B$9:$B$29,0))),""),""))</f>
        <v/>
      </c>
      <c r="AI2510" s="19" t="str">
        <f>IF($B2510="","",IFERROR(INDEX(Config!$D$9:$D$29,MATCH($B2510,Config!$B$9:$B$29,0))&amp;"",""))</f>
        <v/>
      </c>
    </row>
    <row r="2511">
      <c r="X2511" s="20" t="str">
        <f>IF($B2511="","",IFERROR(IF(INDEX(Config!$D$9:$D$29,MATCH($B2511,Config!$B$9:$B$29,0))="Contrato",IF(INDEX(Config!$E$9:$E$29,MATCH($B2511,Config!$B$9:$B$29,0))="","",INDEX(Config!$E$9:$E$29,MATCH($B2511,Config!$B$9:$B$29,0))),""),""))</f>
        <v/>
      </c>
      <c r="AI2511" s="19" t="str">
        <f>IF($B2511="","",IFERROR(INDEX(Config!$D$9:$D$29,MATCH($B2511,Config!$B$9:$B$29,0))&amp;"",""))</f>
        <v/>
      </c>
    </row>
    <row r="2512">
      <c r="X2512" s="20" t="str">
        <f>IF($B2512="","",IFERROR(IF(INDEX(Config!$D$9:$D$29,MATCH($B2512,Config!$B$9:$B$29,0))="Contrato",IF(INDEX(Config!$E$9:$E$29,MATCH($B2512,Config!$B$9:$B$29,0))="","",INDEX(Config!$E$9:$E$29,MATCH($B2512,Config!$B$9:$B$29,0))),""),""))</f>
        <v/>
      </c>
      <c r="AI2512" s="19" t="str">
        <f>IF($B2512="","",IFERROR(INDEX(Config!$D$9:$D$29,MATCH($B2512,Config!$B$9:$B$29,0))&amp;"",""))</f>
        <v/>
      </c>
    </row>
    <row r="2513">
      <c r="X2513" s="20" t="str">
        <f>IF($B2513="","",IFERROR(IF(INDEX(Config!$D$9:$D$29,MATCH($B2513,Config!$B$9:$B$29,0))="Contrato",IF(INDEX(Config!$E$9:$E$29,MATCH($B2513,Config!$B$9:$B$29,0))="","",INDEX(Config!$E$9:$E$29,MATCH($B2513,Config!$B$9:$B$29,0))),""),""))</f>
        <v/>
      </c>
      <c r="AI2513" s="19" t="str">
        <f>IF($B2513="","",IFERROR(INDEX(Config!$D$9:$D$29,MATCH($B2513,Config!$B$9:$B$29,0))&amp;"",""))</f>
        <v/>
      </c>
    </row>
    <row r="2514">
      <c r="X2514" s="20" t="str">
        <f>IF($B2514="","",IFERROR(IF(INDEX(Config!$D$9:$D$29,MATCH($B2514,Config!$B$9:$B$29,0))="Contrato",IF(INDEX(Config!$E$9:$E$29,MATCH($B2514,Config!$B$9:$B$29,0))="","",INDEX(Config!$E$9:$E$29,MATCH($B2514,Config!$B$9:$B$29,0))),""),""))</f>
        <v/>
      </c>
      <c r="AI2514" s="19" t="str">
        <f>IF($B2514="","",IFERROR(INDEX(Config!$D$9:$D$29,MATCH($B2514,Config!$B$9:$B$29,0))&amp;"",""))</f>
        <v/>
      </c>
    </row>
    <row r="2515">
      <c r="X2515" s="20" t="str">
        <f>IF($B2515="","",IFERROR(IF(INDEX(Config!$D$9:$D$29,MATCH($B2515,Config!$B$9:$B$29,0))="Contrato",IF(INDEX(Config!$E$9:$E$29,MATCH($B2515,Config!$B$9:$B$29,0))="","",INDEX(Config!$E$9:$E$29,MATCH($B2515,Config!$B$9:$B$29,0))),""),""))</f>
        <v/>
      </c>
      <c r="AI2515" s="19" t="str">
        <f>IF($B2515="","",IFERROR(INDEX(Config!$D$9:$D$29,MATCH($B2515,Config!$B$9:$B$29,0))&amp;"",""))</f>
        <v/>
      </c>
    </row>
    <row r="2516">
      <c r="X2516" s="20" t="str">
        <f>IF($B2516="","",IFERROR(IF(INDEX(Config!$D$9:$D$29,MATCH($B2516,Config!$B$9:$B$29,0))="Contrato",IF(INDEX(Config!$E$9:$E$29,MATCH($B2516,Config!$B$9:$B$29,0))="","",INDEX(Config!$E$9:$E$29,MATCH($B2516,Config!$B$9:$B$29,0))),""),""))</f>
        <v/>
      </c>
      <c r="AI2516" s="19" t="str">
        <f>IF($B2516="","",IFERROR(INDEX(Config!$D$9:$D$29,MATCH($B2516,Config!$B$9:$B$29,0))&amp;"",""))</f>
        <v/>
      </c>
    </row>
    <row r="2517">
      <c r="X2517" s="20" t="str">
        <f>IF($B2517="","",IFERROR(IF(INDEX(Config!$D$9:$D$29,MATCH($B2517,Config!$B$9:$B$29,0))="Contrato",IF(INDEX(Config!$E$9:$E$29,MATCH($B2517,Config!$B$9:$B$29,0))="","",INDEX(Config!$E$9:$E$29,MATCH($B2517,Config!$B$9:$B$29,0))),""),""))</f>
        <v/>
      </c>
      <c r="AI2517" s="19" t="str">
        <f>IF($B2517="","",IFERROR(INDEX(Config!$D$9:$D$29,MATCH($B2517,Config!$B$9:$B$29,0))&amp;"",""))</f>
        <v/>
      </c>
    </row>
    <row r="2518">
      <c r="X2518" s="20" t="str">
        <f>IF($B2518="","",IFERROR(IF(INDEX(Config!$D$9:$D$29,MATCH($B2518,Config!$B$9:$B$29,0))="Contrato",IF(INDEX(Config!$E$9:$E$29,MATCH($B2518,Config!$B$9:$B$29,0))="","",INDEX(Config!$E$9:$E$29,MATCH($B2518,Config!$B$9:$B$29,0))),""),""))</f>
        <v/>
      </c>
      <c r="AI2518" s="19" t="str">
        <f>IF($B2518="","",IFERROR(INDEX(Config!$D$9:$D$29,MATCH($B2518,Config!$B$9:$B$29,0))&amp;"",""))</f>
        <v/>
      </c>
    </row>
    <row r="2519">
      <c r="X2519" s="20" t="str">
        <f>IF($B2519="","",IFERROR(IF(INDEX(Config!$D$9:$D$29,MATCH($B2519,Config!$B$9:$B$29,0))="Contrato",IF(INDEX(Config!$E$9:$E$29,MATCH($B2519,Config!$B$9:$B$29,0))="","",INDEX(Config!$E$9:$E$29,MATCH($B2519,Config!$B$9:$B$29,0))),""),""))</f>
        <v/>
      </c>
      <c r="AI2519" s="19" t="str">
        <f>IF($B2519="","",IFERROR(INDEX(Config!$D$9:$D$29,MATCH($B2519,Config!$B$9:$B$29,0))&amp;"",""))</f>
        <v/>
      </c>
    </row>
    <row r="2520">
      <c r="X2520" s="20" t="str">
        <f>IF($B2520="","",IFERROR(IF(INDEX(Config!$D$9:$D$29,MATCH($B2520,Config!$B$9:$B$29,0))="Contrato",IF(INDEX(Config!$E$9:$E$29,MATCH($B2520,Config!$B$9:$B$29,0))="","",INDEX(Config!$E$9:$E$29,MATCH($B2520,Config!$B$9:$B$29,0))),""),""))</f>
        <v/>
      </c>
      <c r="AI2520" s="19" t="str">
        <f>IF($B2520="","",IFERROR(INDEX(Config!$D$9:$D$29,MATCH($B2520,Config!$B$9:$B$29,0))&amp;"",""))</f>
        <v/>
      </c>
    </row>
    <row r="2521">
      <c r="X2521" s="20" t="str">
        <f>IF($B2521="","",IFERROR(IF(INDEX(Config!$D$9:$D$29,MATCH($B2521,Config!$B$9:$B$29,0))="Contrato",IF(INDEX(Config!$E$9:$E$29,MATCH($B2521,Config!$B$9:$B$29,0))="","",INDEX(Config!$E$9:$E$29,MATCH($B2521,Config!$B$9:$B$29,0))),""),""))</f>
        <v/>
      </c>
      <c r="AI2521" s="19" t="str">
        <f>IF($B2521="","",IFERROR(INDEX(Config!$D$9:$D$29,MATCH($B2521,Config!$B$9:$B$29,0))&amp;"",""))</f>
        <v/>
      </c>
    </row>
    <row r="2522">
      <c r="X2522" s="20" t="str">
        <f>IF($B2522="","",IFERROR(IF(INDEX(Config!$D$9:$D$29,MATCH($B2522,Config!$B$9:$B$29,0))="Contrato",IF(INDEX(Config!$E$9:$E$29,MATCH($B2522,Config!$B$9:$B$29,0))="","",INDEX(Config!$E$9:$E$29,MATCH($B2522,Config!$B$9:$B$29,0))),""),""))</f>
        <v/>
      </c>
      <c r="AI2522" s="19" t="str">
        <f>IF($B2522="","",IFERROR(INDEX(Config!$D$9:$D$29,MATCH($B2522,Config!$B$9:$B$29,0))&amp;"",""))</f>
        <v/>
      </c>
    </row>
    <row r="2523">
      <c r="X2523" s="20" t="str">
        <f>IF($B2523="","",IFERROR(IF(INDEX(Config!$D$9:$D$29,MATCH($B2523,Config!$B$9:$B$29,0))="Contrato",IF(INDEX(Config!$E$9:$E$29,MATCH($B2523,Config!$B$9:$B$29,0))="","",INDEX(Config!$E$9:$E$29,MATCH($B2523,Config!$B$9:$B$29,0))),""),""))</f>
        <v/>
      </c>
      <c r="AI2523" s="19" t="str">
        <f>IF($B2523="","",IFERROR(INDEX(Config!$D$9:$D$29,MATCH($B2523,Config!$B$9:$B$29,0))&amp;"",""))</f>
        <v/>
      </c>
    </row>
    <row r="2524">
      <c r="X2524" s="20" t="str">
        <f>IF($B2524="","",IFERROR(IF(INDEX(Config!$D$9:$D$29,MATCH($B2524,Config!$B$9:$B$29,0))="Contrato",IF(INDEX(Config!$E$9:$E$29,MATCH($B2524,Config!$B$9:$B$29,0))="","",INDEX(Config!$E$9:$E$29,MATCH($B2524,Config!$B$9:$B$29,0))),""),""))</f>
        <v/>
      </c>
      <c r="AI2524" s="19" t="str">
        <f>IF($B2524="","",IFERROR(INDEX(Config!$D$9:$D$29,MATCH($B2524,Config!$B$9:$B$29,0))&amp;"",""))</f>
        <v/>
      </c>
    </row>
    <row r="2525">
      <c r="X2525" s="20" t="str">
        <f>IF($B2525="","",IFERROR(IF(INDEX(Config!$D$9:$D$29,MATCH($B2525,Config!$B$9:$B$29,0))="Contrato",IF(INDEX(Config!$E$9:$E$29,MATCH($B2525,Config!$B$9:$B$29,0))="","",INDEX(Config!$E$9:$E$29,MATCH($B2525,Config!$B$9:$B$29,0))),""),""))</f>
        <v/>
      </c>
      <c r="AI2525" s="19" t="str">
        <f>IF($B2525="","",IFERROR(INDEX(Config!$D$9:$D$29,MATCH($B2525,Config!$B$9:$B$29,0))&amp;"",""))</f>
        <v/>
      </c>
    </row>
    <row r="2526">
      <c r="X2526" s="20" t="str">
        <f>IF($B2526="","",IFERROR(IF(INDEX(Config!$D$9:$D$29,MATCH($B2526,Config!$B$9:$B$29,0))="Contrato",IF(INDEX(Config!$E$9:$E$29,MATCH($B2526,Config!$B$9:$B$29,0))="","",INDEX(Config!$E$9:$E$29,MATCH($B2526,Config!$B$9:$B$29,0))),""),""))</f>
        <v/>
      </c>
      <c r="AI2526" s="19" t="str">
        <f>IF($B2526="","",IFERROR(INDEX(Config!$D$9:$D$29,MATCH($B2526,Config!$B$9:$B$29,0))&amp;"",""))</f>
        <v/>
      </c>
    </row>
    <row r="2527">
      <c r="X2527" s="20" t="str">
        <f>IF($B2527="","",IFERROR(IF(INDEX(Config!$D$9:$D$29,MATCH($B2527,Config!$B$9:$B$29,0))="Contrato",IF(INDEX(Config!$E$9:$E$29,MATCH($B2527,Config!$B$9:$B$29,0))="","",INDEX(Config!$E$9:$E$29,MATCH($B2527,Config!$B$9:$B$29,0))),""),""))</f>
        <v/>
      </c>
      <c r="AI2527" s="19" t="str">
        <f>IF($B2527="","",IFERROR(INDEX(Config!$D$9:$D$29,MATCH($B2527,Config!$B$9:$B$29,0))&amp;"",""))</f>
        <v/>
      </c>
    </row>
    <row r="2528">
      <c r="X2528" s="20" t="str">
        <f>IF($B2528="","",IFERROR(IF(INDEX(Config!$D$9:$D$29,MATCH($B2528,Config!$B$9:$B$29,0))="Contrato",IF(INDEX(Config!$E$9:$E$29,MATCH($B2528,Config!$B$9:$B$29,0))="","",INDEX(Config!$E$9:$E$29,MATCH($B2528,Config!$B$9:$B$29,0))),""),""))</f>
        <v/>
      </c>
      <c r="AI2528" s="19" t="str">
        <f>IF($B2528="","",IFERROR(INDEX(Config!$D$9:$D$29,MATCH($B2528,Config!$B$9:$B$29,0))&amp;"",""))</f>
        <v/>
      </c>
    </row>
    <row r="2529">
      <c r="X2529" s="20" t="str">
        <f>IF($B2529="","",IFERROR(IF(INDEX(Config!$D$9:$D$29,MATCH($B2529,Config!$B$9:$B$29,0))="Contrato",IF(INDEX(Config!$E$9:$E$29,MATCH($B2529,Config!$B$9:$B$29,0))="","",INDEX(Config!$E$9:$E$29,MATCH($B2529,Config!$B$9:$B$29,0))),""),""))</f>
        <v/>
      </c>
      <c r="AI2529" s="19" t="str">
        <f>IF($B2529="","",IFERROR(INDEX(Config!$D$9:$D$29,MATCH($B2529,Config!$B$9:$B$29,0))&amp;"",""))</f>
        <v/>
      </c>
    </row>
    <row r="2530">
      <c r="X2530" s="20" t="str">
        <f>IF($B2530="","",IFERROR(IF(INDEX(Config!$D$9:$D$29,MATCH($B2530,Config!$B$9:$B$29,0))="Contrato",IF(INDEX(Config!$E$9:$E$29,MATCH($B2530,Config!$B$9:$B$29,0))="","",INDEX(Config!$E$9:$E$29,MATCH($B2530,Config!$B$9:$B$29,0))),""),""))</f>
        <v/>
      </c>
      <c r="AI2530" s="19" t="str">
        <f>IF($B2530="","",IFERROR(INDEX(Config!$D$9:$D$29,MATCH($B2530,Config!$B$9:$B$29,0))&amp;"",""))</f>
        <v/>
      </c>
    </row>
    <row r="2531">
      <c r="X2531" s="20" t="str">
        <f>IF($B2531="","",IFERROR(IF(INDEX(Config!$D$9:$D$29,MATCH($B2531,Config!$B$9:$B$29,0))="Contrato",IF(INDEX(Config!$E$9:$E$29,MATCH($B2531,Config!$B$9:$B$29,0))="","",INDEX(Config!$E$9:$E$29,MATCH($B2531,Config!$B$9:$B$29,0))),""),""))</f>
        <v/>
      </c>
      <c r="AI2531" s="19" t="str">
        <f>IF($B2531="","",IFERROR(INDEX(Config!$D$9:$D$29,MATCH($B2531,Config!$B$9:$B$29,0))&amp;"",""))</f>
        <v/>
      </c>
    </row>
    <row r="2532">
      <c r="X2532" s="20" t="str">
        <f>IF($B2532="","",IFERROR(IF(INDEX(Config!$D$9:$D$29,MATCH($B2532,Config!$B$9:$B$29,0))="Contrato",IF(INDEX(Config!$E$9:$E$29,MATCH($B2532,Config!$B$9:$B$29,0))="","",INDEX(Config!$E$9:$E$29,MATCH($B2532,Config!$B$9:$B$29,0))),""),""))</f>
        <v/>
      </c>
      <c r="AI2532" s="19" t="str">
        <f>IF($B2532="","",IFERROR(INDEX(Config!$D$9:$D$29,MATCH($B2532,Config!$B$9:$B$29,0))&amp;"",""))</f>
        <v/>
      </c>
    </row>
    <row r="2533">
      <c r="X2533" s="20" t="str">
        <f>IF($B2533="","",IFERROR(IF(INDEX(Config!$D$9:$D$29,MATCH($B2533,Config!$B$9:$B$29,0))="Contrato",IF(INDEX(Config!$E$9:$E$29,MATCH($B2533,Config!$B$9:$B$29,0))="","",INDEX(Config!$E$9:$E$29,MATCH($B2533,Config!$B$9:$B$29,0))),""),""))</f>
        <v/>
      </c>
      <c r="AI2533" s="19" t="str">
        <f>IF($B2533="","",IFERROR(INDEX(Config!$D$9:$D$29,MATCH($B2533,Config!$B$9:$B$29,0))&amp;"",""))</f>
        <v/>
      </c>
    </row>
    <row r="2534">
      <c r="X2534" s="20" t="str">
        <f>IF($B2534="","",IFERROR(IF(INDEX(Config!$D$9:$D$29,MATCH($B2534,Config!$B$9:$B$29,0))="Contrato",IF(INDEX(Config!$E$9:$E$29,MATCH($B2534,Config!$B$9:$B$29,0))="","",INDEX(Config!$E$9:$E$29,MATCH($B2534,Config!$B$9:$B$29,0))),""),""))</f>
        <v/>
      </c>
      <c r="AI2534" s="19" t="str">
        <f>IF($B2534="","",IFERROR(INDEX(Config!$D$9:$D$29,MATCH($B2534,Config!$B$9:$B$29,0))&amp;"",""))</f>
        <v/>
      </c>
    </row>
    <row r="2535">
      <c r="X2535" s="20" t="str">
        <f>IF($B2535="","",IFERROR(IF(INDEX(Config!$D$9:$D$29,MATCH($B2535,Config!$B$9:$B$29,0))="Contrato",IF(INDEX(Config!$E$9:$E$29,MATCH($B2535,Config!$B$9:$B$29,0))="","",INDEX(Config!$E$9:$E$29,MATCH($B2535,Config!$B$9:$B$29,0))),""),""))</f>
        <v/>
      </c>
      <c r="AI2535" s="19" t="str">
        <f>IF($B2535="","",IFERROR(INDEX(Config!$D$9:$D$29,MATCH($B2535,Config!$B$9:$B$29,0))&amp;"",""))</f>
        <v/>
      </c>
    </row>
    <row r="2536">
      <c r="X2536" s="20" t="str">
        <f>IF($B2536="","",IFERROR(IF(INDEX(Config!$D$9:$D$29,MATCH($B2536,Config!$B$9:$B$29,0))="Contrato",IF(INDEX(Config!$E$9:$E$29,MATCH($B2536,Config!$B$9:$B$29,0))="","",INDEX(Config!$E$9:$E$29,MATCH($B2536,Config!$B$9:$B$29,0))),""),""))</f>
        <v/>
      </c>
      <c r="AI2536" s="19" t="str">
        <f>IF($B2536="","",IFERROR(INDEX(Config!$D$9:$D$29,MATCH($B2536,Config!$B$9:$B$29,0))&amp;"",""))</f>
        <v/>
      </c>
    </row>
    <row r="2537">
      <c r="X2537" s="20" t="str">
        <f>IF($B2537="","",IFERROR(IF(INDEX(Config!$D$9:$D$29,MATCH($B2537,Config!$B$9:$B$29,0))="Contrato",IF(INDEX(Config!$E$9:$E$29,MATCH($B2537,Config!$B$9:$B$29,0))="","",INDEX(Config!$E$9:$E$29,MATCH($B2537,Config!$B$9:$B$29,0))),""),""))</f>
        <v/>
      </c>
      <c r="AI2537" s="19" t="str">
        <f>IF($B2537="","",IFERROR(INDEX(Config!$D$9:$D$29,MATCH($B2537,Config!$B$9:$B$29,0))&amp;"",""))</f>
        <v/>
      </c>
    </row>
    <row r="2538">
      <c r="X2538" s="20" t="str">
        <f>IF($B2538="","",IFERROR(IF(INDEX(Config!$D$9:$D$29,MATCH($B2538,Config!$B$9:$B$29,0))="Contrato",IF(INDEX(Config!$E$9:$E$29,MATCH($B2538,Config!$B$9:$B$29,0))="","",INDEX(Config!$E$9:$E$29,MATCH($B2538,Config!$B$9:$B$29,0))),""),""))</f>
        <v/>
      </c>
      <c r="AI2538" s="19" t="str">
        <f>IF($B2538="","",IFERROR(INDEX(Config!$D$9:$D$29,MATCH($B2538,Config!$B$9:$B$29,0))&amp;"",""))</f>
        <v/>
      </c>
    </row>
    <row r="2539">
      <c r="X2539" s="20" t="str">
        <f>IF($B2539="","",IFERROR(IF(INDEX(Config!$D$9:$D$29,MATCH($B2539,Config!$B$9:$B$29,0))="Contrato",IF(INDEX(Config!$E$9:$E$29,MATCH($B2539,Config!$B$9:$B$29,0))="","",INDEX(Config!$E$9:$E$29,MATCH($B2539,Config!$B$9:$B$29,0))),""),""))</f>
        <v/>
      </c>
      <c r="AI2539" s="19" t="str">
        <f>IF($B2539="","",IFERROR(INDEX(Config!$D$9:$D$29,MATCH($B2539,Config!$B$9:$B$29,0))&amp;"",""))</f>
        <v/>
      </c>
    </row>
    <row r="2540">
      <c r="X2540" s="20" t="str">
        <f>IF($B2540="","",IFERROR(IF(INDEX(Config!$D$9:$D$29,MATCH($B2540,Config!$B$9:$B$29,0))="Contrato",IF(INDEX(Config!$E$9:$E$29,MATCH($B2540,Config!$B$9:$B$29,0))="","",INDEX(Config!$E$9:$E$29,MATCH($B2540,Config!$B$9:$B$29,0))),""),""))</f>
        <v/>
      </c>
      <c r="AI2540" s="19" t="str">
        <f>IF($B2540="","",IFERROR(INDEX(Config!$D$9:$D$29,MATCH($B2540,Config!$B$9:$B$29,0))&amp;"",""))</f>
        <v/>
      </c>
    </row>
    <row r="2541">
      <c r="X2541" s="20" t="str">
        <f>IF($B2541="","",IFERROR(IF(INDEX(Config!$D$9:$D$29,MATCH($B2541,Config!$B$9:$B$29,0))="Contrato",IF(INDEX(Config!$E$9:$E$29,MATCH($B2541,Config!$B$9:$B$29,0))="","",INDEX(Config!$E$9:$E$29,MATCH($B2541,Config!$B$9:$B$29,0))),""),""))</f>
        <v/>
      </c>
      <c r="AI2541" s="19" t="str">
        <f>IF($B2541="","",IFERROR(INDEX(Config!$D$9:$D$29,MATCH($B2541,Config!$B$9:$B$29,0))&amp;"",""))</f>
        <v/>
      </c>
    </row>
    <row r="2542">
      <c r="X2542" s="20" t="str">
        <f>IF($B2542="","",IFERROR(IF(INDEX(Config!$D$9:$D$29,MATCH($B2542,Config!$B$9:$B$29,0))="Contrato",IF(INDEX(Config!$E$9:$E$29,MATCH($B2542,Config!$B$9:$B$29,0))="","",INDEX(Config!$E$9:$E$29,MATCH($B2542,Config!$B$9:$B$29,0))),""),""))</f>
        <v/>
      </c>
      <c r="AI2542" s="19" t="str">
        <f>IF($B2542="","",IFERROR(INDEX(Config!$D$9:$D$29,MATCH($B2542,Config!$B$9:$B$29,0))&amp;"",""))</f>
        <v/>
      </c>
    </row>
    <row r="2543">
      <c r="X2543" s="20" t="str">
        <f>IF($B2543="","",IFERROR(IF(INDEX(Config!$D$9:$D$29,MATCH($B2543,Config!$B$9:$B$29,0))="Contrato",IF(INDEX(Config!$E$9:$E$29,MATCH($B2543,Config!$B$9:$B$29,0))="","",INDEX(Config!$E$9:$E$29,MATCH($B2543,Config!$B$9:$B$29,0))),""),""))</f>
        <v/>
      </c>
      <c r="AI2543" s="19" t="str">
        <f>IF($B2543="","",IFERROR(INDEX(Config!$D$9:$D$29,MATCH($B2543,Config!$B$9:$B$29,0))&amp;"",""))</f>
        <v/>
      </c>
    </row>
    <row r="2544">
      <c r="X2544" s="20" t="str">
        <f>IF($B2544="","",IFERROR(IF(INDEX(Config!$D$9:$D$29,MATCH($B2544,Config!$B$9:$B$29,0))="Contrato",IF(INDEX(Config!$E$9:$E$29,MATCH($B2544,Config!$B$9:$B$29,0))="","",INDEX(Config!$E$9:$E$29,MATCH($B2544,Config!$B$9:$B$29,0))),""),""))</f>
        <v/>
      </c>
      <c r="AI2544" s="19" t="str">
        <f>IF($B2544="","",IFERROR(INDEX(Config!$D$9:$D$29,MATCH($B2544,Config!$B$9:$B$29,0))&amp;"",""))</f>
        <v/>
      </c>
    </row>
    <row r="2545">
      <c r="X2545" s="20" t="str">
        <f>IF($B2545="","",IFERROR(IF(INDEX(Config!$D$9:$D$29,MATCH($B2545,Config!$B$9:$B$29,0))="Contrato",IF(INDEX(Config!$E$9:$E$29,MATCH($B2545,Config!$B$9:$B$29,0))="","",INDEX(Config!$E$9:$E$29,MATCH($B2545,Config!$B$9:$B$29,0))),""),""))</f>
        <v/>
      </c>
      <c r="AI2545" s="19" t="str">
        <f>IF($B2545="","",IFERROR(INDEX(Config!$D$9:$D$29,MATCH($B2545,Config!$B$9:$B$29,0))&amp;"",""))</f>
        <v/>
      </c>
    </row>
    <row r="2546">
      <c r="X2546" s="20" t="str">
        <f>IF($B2546="","",IFERROR(IF(INDEX(Config!$D$9:$D$29,MATCH($B2546,Config!$B$9:$B$29,0))="Contrato",IF(INDEX(Config!$E$9:$E$29,MATCH($B2546,Config!$B$9:$B$29,0))="","",INDEX(Config!$E$9:$E$29,MATCH($B2546,Config!$B$9:$B$29,0))),""),""))</f>
        <v/>
      </c>
      <c r="AI2546" s="19" t="str">
        <f>IF($B2546="","",IFERROR(INDEX(Config!$D$9:$D$29,MATCH($B2546,Config!$B$9:$B$29,0))&amp;"",""))</f>
        <v/>
      </c>
    </row>
    <row r="2547">
      <c r="X2547" s="20" t="str">
        <f>IF($B2547="","",IFERROR(IF(INDEX(Config!$D$9:$D$29,MATCH($B2547,Config!$B$9:$B$29,0))="Contrato",IF(INDEX(Config!$E$9:$E$29,MATCH($B2547,Config!$B$9:$B$29,0))="","",INDEX(Config!$E$9:$E$29,MATCH($B2547,Config!$B$9:$B$29,0))),""),""))</f>
        <v/>
      </c>
      <c r="AI2547" s="19" t="str">
        <f>IF($B2547="","",IFERROR(INDEX(Config!$D$9:$D$29,MATCH($B2547,Config!$B$9:$B$29,0))&amp;"",""))</f>
        <v/>
      </c>
    </row>
    <row r="2548">
      <c r="X2548" s="20" t="str">
        <f>IF($B2548="","",IFERROR(IF(INDEX(Config!$D$9:$D$29,MATCH($B2548,Config!$B$9:$B$29,0))="Contrato",IF(INDEX(Config!$E$9:$E$29,MATCH($B2548,Config!$B$9:$B$29,0))="","",INDEX(Config!$E$9:$E$29,MATCH($B2548,Config!$B$9:$B$29,0))),""),""))</f>
        <v/>
      </c>
      <c r="AI2548" s="19" t="str">
        <f>IF($B2548="","",IFERROR(INDEX(Config!$D$9:$D$29,MATCH($B2548,Config!$B$9:$B$29,0))&amp;"",""))</f>
        <v/>
      </c>
    </row>
    <row r="2549">
      <c r="X2549" s="20" t="str">
        <f>IF($B2549="","",IFERROR(IF(INDEX(Config!$D$9:$D$29,MATCH($B2549,Config!$B$9:$B$29,0))="Contrato",IF(INDEX(Config!$E$9:$E$29,MATCH($B2549,Config!$B$9:$B$29,0))="","",INDEX(Config!$E$9:$E$29,MATCH($B2549,Config!$B$9:$B$29,0))),""),""))</f>
        <v/>
      </c>
      <c r="AI2549" s="19" t="str">
        <f>IF($B2549="","",IFERROR(INDEX(Config!$D$9:$D$29,MATCH($B2549,Config!$B$9:$B$29,0))&amp;"",""))</f>
        <v/>
      </c>
    </row>
    <row r="2550">
      <c r="X2550" s="20" t="str">
        <f>IF($B2550="","",IFERROR(IF(INDEX(Config!$D$9:$D$29,MATCH($B2550,Config!$B$9:$B$29,0))="Contrato",IF(INDEX(Config!$E$9:$E$29,MATCH($B2550,Config!$B$9:$B$29,0))="","",INDEX(Config!$E$9:$E$29,MATCH($B2550,Config!$B$9:$B$29,0))),""),""))</f>
        <v/>
      </c>
      <c r="AI2550" s="19" t="str">
        <f>IF($B2550="","",IFERROR(INDEX(Config!$D$9:$D$29,MATCH($B2550,Config!$B$9:$B$29,0))&amp;"",""))</f>
        <v/>
      </c>
    </row>
    <row r="2551">
      <c r="X2551" s="20" t="str">
        <f>IF($B2551="","",IFERROR(IF(INDEX(Config!$D$9:$D$29,MATCH($B2551,Config!$B$9:$B$29,0))="Contrato",IF(INDEX(Config!$E$9:$E$29,MATCH($B2551,Config!$B$9:$B$29,0))="","",INDEX(Config!$E$9:$E$29,MATCH($B2551,Config!$B$9:$B$29,0))),""),""))</f>
        <v/>
      </c>
      <c r="AI2551" s="19" t="str">
        <f>IF($B2551="","",IFERROR(INDEX(Config!$D$9:$D$29,MATCH($B2551,Config!$B$9:$B$29,0))&amp;"",""))</f>
        <v/>
      </c>
    </row>
    <row r="2552">
      <c r="X2552" s="20" t="str">
        <f>IF($B2552="","",IFERROR(IF(INDEX(Config!$D$9:$D$29,MATCH($B2552,Config!$B$9:$B$29,0))="Contrato",IF(INDEX(Config!$E$9:$E$29,MATCH($B2552,Config!$B$9:$B$29,0))="","",INDEX(Config!$E$9:$E$29,MATCH($B2552,Config!$B$9:$B$29,0))),""),""))</f>
        <v/>
      </c>
      <c r="AI2552" s="19" t="str">
        <f>IF($B2552="","",IFERROR(INDEX(Config!$D$9:$D$29,MATCH($B2552,Config!$B$9:$B$29,0))&amp;"",""))</f>
        <v/>
      </c>
    </row>
    <row r="2553">
      <c r="X2553" s="20" t="str">
        <f>IF($B2553="","",IFERROR(IF(INDEX(Config!$D$9:$D$29,MATCH($B2553,Config!$B$9:$B$29,0))="Contrato",IF(INDEX(Config!$E$9:$E$29,MATCH($B2553,Config!$B$9:$B$29,0))="","",INDEX(Config!$E$9:$E$29,MATCH($B2553,Config!$B$9:$B$29,0))),""),""))</f>
        <v/>
      </c>
      <c r="AI2553" s="19" t="str">
        <f>IF($B2553="","",IFERROR(INDEX(Config!$D$9:$D$29,MATCH($B2553,Config!$B$9:$B$29,0))&amp;"",""))</f>
        <v/>
      </c>
    </row>
    <row r="2554">
      <c r="X2554" s="20" t="str">
        <f>IF($B2554="","",IFERROR(IF(INDEX(Config!$D$9:$D$29,MATCH($B2554,Config!$B$9:$B$29,0))="Contrato",IF(INDEX(Config!$E$9:$E$29,MATCH($B2554,Config!$B$9:$B$29,0))="","",INDEX(Config!$E$9:$E$29,MATCH($B2554,Config!$B$9:$B$29,0))),""),""))</f>
        <v/>
      </c>
      <c r="AI2554" s="19" t="str">
        <f>IF($B2554="","",IFERROR(INDEX(Config!$D$9:$D$29,MATCH($B2554,Config!$B$9:$B$29,0))&amp;"",""))</f>
        <v/>
      </c>
    </row>
    <row r="2555">
      <c r="X2555" s="20" t="str">
        <f>IF($B2555="","",IFERROR(IF(INDEX(Config!$D$9:$D$29,MATCH($B2555,Config!$B$9:$B$29,0))="Contrato",IF(INDEX(Config!$E$9:$E$29,MATCH($B2555,Config!$B$9:$B$29,0))="","",INDEX(Config!$E$9:$E$29,MATCH($B2555,Config!$B$9:$B$29,0))),""),""))</f>
        <v/>
      </c>
      <c r="AI2555" s="19" t="str">
        <f>IF($B2555="","",IFERROR(INDEX(Config!$D$9:$D$29,MATCH($B2555,Config!$B$9:$B$29,0))&amp;"",""))</f>
        <v/>
      </c>
    </row>
    <row r="2556">
      <c r="X2556" s="20" t="str">
        <f>IF($B2556="","",IFERROR(IF(INDEX(Config!$D$9:$D$29,MATCH($B2556,Config!$B$9:$B$29,0))="Contrato",IF(INDEX(Config!$E$9:$E$29,MATCH($B2556,Config!$B$9:$B$29,0))="","",INDEX(Config!$E$9:$E$29,MATCH($B2556,Config!$B$9:$B$29,0))),""),""))</f>
        <v/>
      </c>
      <c r="AI2556" s="19" t="str">
        <f>IF($B2556="","",IFERROR(INDEX(Config!$D$9:$D$29,MATCH($B2556,Config!$B$9:$B$29,0))&amp;"",""))</f>
        <v/>
      </c>
    </row>
    <row r="2557">
      <c r="X2557" s="20" t="str">
        <f>IF($B2557="","",IFERROR(IF(INDEX(Config!$D$9:$D$29,MATCH($B2557,Config!$B$9:$B$29,0))="Contrato",IF(INDEX(Config!$E$9:$E$29,MATCH($B2557,Config!$B$9:$B$29,0))="","",INDEX(Config!$E$9:$E$29,MATCH($B2557,Config!$B$9:$B$29,0))),""),""))</f>
        <v/>
      </c>
      <c r="AI2557" s="19" t="str">
        <f>IF($B2557="","",IFERROR(INDEX(Config!$D$9:$D$29,MATCH($B2557,Config!$B$9:$B$29,0))&amp;"",""))</f>
        <v/>
      </c>
    </row>
    <row r="2558">
      <c r="X2558" s="20" t="str">
        <f>IF($B2558="","",IFERROR(IF(INDEX(Config!$D$9:$D$29,MATCH($B2558,Config!$B$9:$B$29,0))="Contrato",IF(INDEX(Config!$E$9:$E$29,MATCH($B2558,Config!$B$9:$B$29,0))="","",INDEX(Config!$E$9:$E$29,MATCH($B2558,Config!$B$9:$B$29,0))),""),""))</f>
        <v/>
      </c>
      <c r="AI2558" s="19" t="str">
        <f>IF($B2558="","",IFERROR(INDEX(Config!$D$9:$D$29,MATCH($B2558,Config!$B$9:$B$29,0))&amp;"",""))</f>
        <v/>
      </c>
    </row>
    <row r="2559">
      <c r="X2559" s="20" t="str">
        <f>IF($B2559="","",IFERROR(IF(INDEX(Config!$D$9:$D$29,MATCH($B2559,Config!$B$9:$B$29,0))="Contrato",IF(INDEX(Config!$E$9:$E$29,MATCH($B2559,Config!$B$9:$B$29,0))="","",INDEX(Config!$E$9:$E$29,MATCH($B2559,Config!$B$9:$B$29,0))),""),""))</f>
        <v/>
      </c>
      <c r="AI2559" s="19" t="str">
        <f>IF($B2559="","",IFERROR(INDEX(Config!$D$9:$D$29,MATCH($B2559,Config!$B$9:$B$29,0))&amp;"",""))</f>
        <v/>
      </c>
    </row>
    <row r="2560">
      <c r="X2560" s="20" t="str">
        <f>IF($B2560="","",IFERROR(IF(INDEX(Config!$D$9:$D$29,MATCH($B2560,Config!$B$9:$B$29,0))="Contrato",IF(INDEX(Config!$E$9:$E$29,MATCH($B2560,Config!$B$9:$B$29,0))="","",INDEX(Config!$E$9:$E$29,MATCH($B2560,Config!$B$9:$B$29,0))),""),""))</f>
        <v/>
      </c>
      <c r="AI2560" s="19" t="str">
        <f>IF($B2560="","",IFERROR(INDEX(Config!$D$9:$D$29,MATCH($B2560,Config!$B$9:$B$29,0))&amp;"",""))</f>
        <v/>
      </c>
    </row>
    <row r="2561">
      <c r="X2561" s="20" t="str">
        <f>IF($B2561="","",IFERROR(IF(INDEX(Config!$D$9:$D$29,MATCH($B2561,Config!$B$9:$B$29,0))="Contrato",IF(INDEX(Config!$E$9:$E$29,MATCH($B2561,Config!$B$9:$B$29,0))="","",INDEX(Config!$E$9:$E$29,MATCH($B2561,Config!$B$9:$B$29,0))),""),""))</f>
        <v/>
      </c>
      <c r="AI2561" s="19" t="str">
        <f>IF($B2561="","",IFERROR(INDEX(Config!$D$9:$D$29,MATCH($B2561,Config!$B$9:$B$29,0))&amp;"",""))</f>
        <v/>
      </c>
    </row>
    <row r="2562">
      <c r="X2562" s="20" t="str">
        <f>IF($B2562="","",IFERROR(IF(INDEX(Config!$D$9:$D$29,MATCH($B2562,Config!$B$9:$B$29,0))="Contrato",IF(INDEX(Config!$E$9:$E$29,MATCH($B2562,Config!$B$9:$B$29,0))="","",INDEX(Config!$E$9:$E$29,MATCH($B2562,Config!$B$9:$B$29,0))),""),""))</f>
        <v/>
      </c>
      <c r="AI2562" s="19" t="str">
        <f>IF($B2562="","",IFERROR(INDEX(Config!$D$9:$D$29,MATCH($B2562,Config!$B$9:$B$29,0))&amp;"",""))</f>
        <v/>
      </c>
    </row>
    <row r="2563">
      <c r="X2563" s="20" t="str">
        <f>IF($B2563="","",IFERROR(IF(INDEX(Config!$D$9:$D$29,MATCH($B2563,Config!$B$9:$B$29,0))="Contrato",IF(INDEX(Config!$E$9:$E$29,MATCH($B2563,Config!$B$9:$B$29,0))="","",INDEX(Config!$E$9:$E$29,MATCH($B2563,Config!$B$9:$B$29,0))),""),""))</f>
        <v/>
      </c>
      <c r="AI2563" s="19" t="str">
        <f>IF($B2563="","",IFERROR(INDEX(Config!$D$9:$D$29,MATCH($B2563,Config!$B$9:$B$29,0))&amp;"",""))</f>
        <v/>
      </c>
    </row>
    <row r="2564">
      <c r="X2564" s="20" t="str">
        <f>IF($B2564="","",IFERROR(IF(INDEX(Config!$D$9:$D$29,MATCH($B2564,Config!$B$9:$B$29,0))="Contrato",IF(INDEX(Config!$E$9:$E$29,MATCH($B2564,Config!$B$9:$B$29,0))="","",INDEX(Config!$E$9:$E$29,MATCH($B2564,Config!$B$9:$B$29,0))),""),""))</f>
        <v/>
      </c>
      <c r="AI2564" s="19" t="str">
        <f>IF($B2564="","",IFERROR(INDEX(Config!$D$9:$D$29,MATCH($B2564,Config!$B$9:$B$29,0))&amp;"",""))</f>
        <v/>
      </c>
    </row>
    <row r="2565">
      <c r="X2565" s="20" t="str">
        <f>IF($B2565="","",IFERROR(IF(INDEX(Config!$D$9:$D$29,MATCH($B2565,Config!$B$9:$B$29,0))="Contrato",IF(INDEX(Config!$E$9:$E$29,MATCH($B2565,Config!$B$9:$B$29,0))="","",INDEX(Config!$E$9:$E$29,MATCH($B2565,Config!$B$9:$B$29,0))),""),""))</f>
        <v/>
      </c>
      <c r="AI2565" s="19" t="str">
        <f>IF($B2565="","",IFERROR(INDEX(Config!$D$9:$D$29,MATCH($B2565,Config!$B$9:$B$29,0))&amp;"",""))</f>
        <v/>
      </c>
    </row>
    <row r="2566">
      <c r="X2566" s="20" t="str">
        <f>IF($B2566="","",IFERROR(IF(INDEX(Config!$D$9:$D$29,MATCH($B2566,Config!$B$9:$B$29,0))="Contrato",IF(INDEX(Config!$E$9:$E$29,MATCH($B2566,Config!$B$9:$B$29,0))="","",INDEX(Config!$E$9:$E$29,MATCH($B2566,Config!$B$9:$B$29,0))),""),""))</f>
        <v/>
      </c>
      <c r="AI2566" s="19" t="str">
        <f>IF($B2566="","",IFERROR(INDEX(Config!$D$9:$D$29,MATCH($B2566,Config!$B$9:$B$29,0))&amp;"",""))</f>
        <v/>
      </c>
    </row>
    <row r="2567">
      <c r="X2567" s="20" t="str">
        <f>IF($B2567="","",IFERROR(IF(INDEX(Config!$D$9:$D$29,MATCH($B2567,Config!$B$9:$B$29,0))="Contrato",IF(INDEX(Config!$E$9:$E$29,MATCH($B2567,Config!$B$9:$B$29,0))="","",INDEX(Config!$E$9:$E$29,MATCH($B2567,Config!$B$9:$B$29,0))),""),""))</f>
        <v/>
      </c>
      <c r="AI2567" s="19" t="str">
        <f>IF($B2567="","",IFERROR(INDEX(Config!$D$9:$D$29,MATCH($B2567,Config!$B$9:$B$29,0))&amp;"",""))</f>
        <v/>
      </c>
    </row>
    <row r="2568">
      <c r="X2568" s="20" t="str">
        <f>IF($B2568="","",IFERROR(IF(INDEX(Config!$D$9:$D$29,MATCH($B2568,Config!$B$9:$B$29,0))="Contrato",IF(INDEX(Config!$E$9:$E$29,MATCH($B2568,Config!$B$9:$B$29,0))="","",INDEX(Config!$E$9:$E$29,MATCH($B2568,Config!$B$9:$B$29,0))),""),""))</f>
        <v/>
      </c>
      <c r="AI2568" s="19" t="str">
        <f>IF($B2568="","",IFERROR(INDEX(Config!$D$9:$D$29,MATCH($B2568,Config!$B$9:$B$29,0))&amp;"",""))</f>
        <v/>
      </c>
    </row>
    <row r="2569">
      <c r="X2569" s="20" t="str">
        <f>IF($B2569="","",IFERROR(IF(INDEX(Config!$D$9:$D$29,MATCH($B2569,Config!$B$9:$B$29,0))="Contrato",IF(INDEX(Config!$E$9:$E$29,MATCH($B2569,Config!$B$9:$B$29,0))="","",INDEX(Config!$E$9:$E$29,MATCH($B2569,Config!$B$9:$B$29,0))),""),""))</f>
        <v/>
      </c>
      <c r="AI2569" s="19" t="str">
        <f>IF($B2569="","",IFERROR(INDEX(Config!$D$9:$D$29,MATCH($B2569,Config!$B$9:$B$29,0))&amp;"",""))</f>
        <v/>
      </c>
    </row>
    <row r="2570">
      <c r="X2570" s="20" t="str">
        <f>IF($B2570="","",IFERROR(IF(INDEX(Config!$D$9:$D$29,MATCH($B2570,Config!$B$9:$B$29,0))="Contrato",IF(INDEX(Config!$E$9:$E$29,MATCH($B2570,Config!$B$9:$B$29,0))="","",INDEX(Config!$E$9:$E$29,MATCH($B2570,Config!$B$9:$B$29,0))),""),""))</f>
        <v/>
      </c>
      <c r="AI2570" s="19" t="str">
        <f>IF($B2570="","",IFERROR(INDEX(Config!$D$9:$D$29,MATCH($B2570,Config!$B$9:$B$29,0))&amp;"",""))</f>
        <v/>
      </c>
    </row>
    <row r="2571">
      <c r="X2571" s="20" t="str">
        <f>IF($B2571="","",IFERROR(IF(INDEX(Config!$D$9:$D$29,MATCH($B2571,Config!$B$9:$B$29,0))="Contrato",IF(INDEX(Config!$E$9:$E$29,MATCH($B2571,Config!$B$9:$B$29,0))="","",INDEX(Config!$E$9:$E$29,MATCH($B2571,Config!$B$9:$B$29,0))),""),""))</f>
        <v/>
      </c>
      <c r="AI2571" s="19" t="str">
        <f>IF($B2571="","",IFERROR(INDEX(Config!$D$9:$D$29,MATCH($B2571,Config!$B$9:$B$29,0))&amp;"",""))</f>
        <v/>
      </c>
    </row>
    <row r="2572">
      <c r="X2572" s="20" t="str">
        <f>IF($B2572="","",IFERROR(IF(INDEX(Config!$D$9:$D$29,MATCH($B2572,Config!$B$9:$B$29,0))="Contrato",IF(INDEX(Config!$E$9:$E$29,MATCH($B2572,Config!$B$9:$B$29,0))="","",INDEX(Config!$E$9:$E$29,MATCH($B2572,Config!$B$9:$B$29,0))),""),""))</f>
        <v/>
      </c>
      <c r="AI2572" s="19" t="str">
        <f>IF($B2572="","",IFERROR(INDEX(Config!$D$9:$D$29,MATCH($B2572,Config!$B$9:$B$29,0))&amp;"",""))</f>
        <v/>
      </c>
    </row>
    <row r="2573">
      <c r="X2573" s="20" t="str">
        <f>IF($B2573="","",IFERROR(IF(INDEX(Config!$D$9:$D$29,MATCH($B2573,Config!$B$9:$B$29,0))="Contrato",IF(INDEX(Config!$E$9:$E$29,MATCH($B2573,Config!$B$9:$B$29,0))="","",INDEX(Config!$E$9:$E$29,MATCH($B2573,Config!$B$9:$B$29,0))),""),""))</f>
        <v/>
      </c>
      <c r="AI2573" s="19" t="str">
        <f>IF($B2573="","",IFERROR(INDEX(Config!$D$9:$D$29,MATCH($B2573,Config!$B$9:$B$29,0))&amp;"",""))</f>
        <v/>
      </c>
    </row>
    <row r="2574">
      <c r="X2574" s="20" t="str">
        <f>IF($B2574="","",IFERROR(IF(INDEX(Config!$D$9:$D$29,MATCH($B2574,Config!$B$9:$B$29,0))="Contrato",IF(INDEX(Config!$E$9:$E$29,MATCH($B2574,Config!$B$9:$B$29,0))="","",INDEX(Config!$E$9:$E$29,MATCH($B2574,Config!$B$9:$B$29,0))),""),""))</f>
        <v/>
      </c>
      <c r="AI2574" s="19" t="str">
        <f>IF($B2574="","",IFERROR(INDEX(Config!$D$9:$D$29,MATCH($B2574,Config!$B$9:$B$29,0))&amp;"",""))</f>
        <v/>
      </c>
    </row>
    <row r="2575">
      <c r="X2575" s="20" t="str">
        <f>IF($B2575="","",IFERROR(IF(INDEX(Config!$D$9:$D$29,MATCH($B2575,Config!$B$9:$B$29,0))="Contrato",IF(INDEX(Config!$E$9:$E$29,MATCH($B2575,Config!$B$9:$B$29,0))="","",INDEX(Config!$E$9:$E$29,MATCH($B2575,Config!$B$9:$B$29,0))),""),""))</f>
        <v/>
      </c>
      <c r="AI2575" s="19" t="str">
        <f>IF($B2575="","",IFERROR(INDEX(Config!$D$9:$D$29,MATCH($B2575,Config!$B$9:$B$29,0))&amp;"",""))</f>
        <v/>
      </c>
    </row>
    <row r="2576">
      <c r="X2576" s="20" t="str">
        <f>IF($B2576="","",IFERROR(IF(INDEX(Config!$D$9:$D$29,MATCH($B2576,Config!$B$9:$B$29,0))="Contrato",IF(INDEX(Config!$E$9:$E$29,MATCH($B2576,Config!$B$9:$B$29,0))="","",INDEX(Config!$E$9:$E$29,MATCH($B2576,Config!$B$9:$B$29,0))),""),""))</f>
        <v/>
      </c>
      <c r="AI2576" s="19" t="str">
        <f>IF($B2576="","",IFERROR(INDEX(Config!$D$9:$D$29,MATCH($B2576,Config!$B$9:$B$29,0))&amp;"",""))</f>
        <v/>
      </c>
    </row>
    <row r="2577">
      <c r="X2577" s="20" t="str">
        <f>IF($B2577="","",IFERROR(IF(INDEX(Config!$D$9:$D$29,MATCH($B2577,Config!$B$9:$B$29,0))="Contrato",IF(INDEX(Config!$E$9:$E$29,MATCH($B2577,Config!$B$9:$B$29,0))="","",INDEX(Config!$E$9:$E$29,MATCH($B2577,Config!$B$9:$B$29,0))),""),""))</f>
        <v/>
      </c>
      <c r="AI2577" s="19" t="str">
        <f>IF($B2577="","",IFERROR(INDEX(Config!$D$9:$D$29,MATCH($B2577,Config!$B$9:$B$29,0))&amp;"",""))</f>
        <v/>
      </c>
    </row>
    <row r="2578">
      <c r="X2578" s="20" t="str">
        <f>IF($B2578="","",IFERROR(IF(INDEX(Config!$D$9:$D$29,MATCH($B2578,Config!$B$9:$B$29,0))="Contrato",IF(INDEX(Config!$E$9:$E$29,MATCH($B2578,Config!$B$9:$B$29,0))="","",INDEX(Config!$E$9:$E$29,MATCH($B2578,Config!$B$9:$B$29,0))),""),""))</f>
        <v/>
      </c>
      <c r="AI2578" s="19" t="str">
        <f>IF($B2578="","",IFERROR(INDEX(Config!$D$9:$D$29,MATCH($B2578,Config!$B$9:$B$29,0))&amp;"",""))</f>
        <v/>
      </c>
    </row>
    <row r="2579">
      <c r="X2579" s="20" t="str">
        <f>IF($B2579="","",IFERROR(IF(INDEX(Config!$D$9:$D$29,MATCH($B2579,Config!$B$9:$B$29,0))="Contrato",IF(INDEX(Config!$E$9:$E$29,MATCH($B2579,Config!$B$9:$B$29,0))="","",INDEX(Config!$E$9:$E$29,MATCH($B2579,Config!$B$9:$B$29,0))),""),""))</f>
        <v/>
      </c>
      <c r="AI2579" s="19" t="str">
        <f>IF($B2579="","",IFERROR(INDEX(Config!$D$9:$D$29,MATCH($B2579,Config!$B$9:$B$29,0))&amp;"",""))</f>
        <v/>
      </c>
    </row>
    <row r="2580">
      <c r="X2580" s="20" t="str">
        <f>IF($B2580="","",IFERROR(IF(INDEX(Config!$D$9:$D$29,MATCH($B2580,Config!$B$9:$B$29,0))="Contrato",IF(INDEX(Config!$E$9:$E$29,MATCH($B2580,Config!$B$9:$B$29,0))="","",INDEX(Config!$E$9:$E$29,MATCH($B2580,Config!$B$9:$B$29,0))),""),""))</f>
        <v/>
      </c>
      <c r="AI2580" s="19" t="str">
        <f>IF($B2580="","",IFERROR(INDEX(Config!$D$9:$D$29,MATCH($B2580,Config!$B$9:$B$29,0))&amp;"",""))</f>
        <v/>
      </c>
    </row>
    <row r="2581">
      <c r="X2581" s="20" t="str">
        <f>IF($B2581="","",IFERROR(IF(INDEX(Config!$D$9:$D$29,MATCH($B2581,Config!$B$9:$B$29,0))="Contrato",IF(INDEX(Config!$E$9:$E$29,MATCH($B2581,Config!$B$9:$B$29,0))="","",INDEX(Config!$E$9:$E$29,MATCH($B2581,Config!$B$9:$B$29,0))),""),""))</f>
        <v/>
      </c>
      <c r="AI2581" s="19" t="str">
        <f>IF($B2581="","",IFERROR(INDEX(Config!$D$9:$D$29,MATCH($B2581,Config!$B$9:$B$29,0))&amp;"",""))</f>
        <v/>
      </c>
    </row>
    <row r="2582">
      <c r="X2582" s="20" t="str">
        <f>IF($B2582="","",IFERROR(IF(INDEX(Config!$D$9:$D$29,MATCH($B2582,Config!$B$9:$B$29,0))="Contrato",IF(INDEX(Config!$E$9:$E$29,MATCH($B2582,Config!$B$9:$B$29,0))="","",INDEX(Config!$E$9:$E$29,MATCH($B2582,Config!$B$9:$B$29,0))),""),""))</f>
        <v/>
      </c>
      <c r="AI2582" s="19" t="str">
        <f>IF($B2582="","",IFERROR(INDEX(Config!$D$9:$D$29,MATCH($B2582,Config!$B$9:$B$29,0))&amp;"",""))</f>
        <v/>
      </c>
    </row>
    <row r="2583">
      <c r="X2583" s="20" t="str">
        <f>IF($B2583="","",IFERROR(IF(INDEX(Config!$D$9:$D$29,MATCH($B2583,Config!$B$9:$B$29,0))="Contrato",IF(INDEX(Config!$E$9:$E$29,MATCH($B2583,Config!$B$9:$B$29,0))="","",INDEX(Config!$E$9:$E$29,MATCH($B2583,Config!$B$9:$B$29,0))),""),""))</f>
        <v/>
      </c>
      <c r="AI2583" s="19" t="str">
        <f>IF($B2583="","",IFERROR(INDEX(Config!$D$9:$D$29,MATCH($B2583,Config!$B$9:$B$29,0))&amp;"",""))</f>
        <v/>
      </c>
    </row>
    <row r="2584">
      <c r="X2584" s="20" t="str">
        <f>IF($B2584="","",IFERROR(IF(INDEX(Config!$D$9:$D$29,MATCH($B2584,Config!$B$9:$B$29,0))="Contrato",IF(INDEX(Config!$E$9:$E$29,MATCH($B2584,Config!$B$9:$B$29,0))="","",INDEX(Config!$E$9:$E$29,MATCH($B2584,Config!$B$9:$B$29,0))),""),""))</f>
        <v/>
      </c>
      <c r="AI2584" s="19" t="str">
        <f>IF($B2584="","",IFERROR(INDEX(Config!$D$9:$D$29,MATCH($B2584,Config!$B$9:$B$29,0))&amp;"",""))</f>
        <v/>
      </c>
    </row>
    <row r="2585">
      <c r="X2585" s="20" t="str">
        <f>IF($B2585="","",IFERROR(IF(INDEX(Config!$D$9:$D$29,MATCH($B2585,Config!$B$9:$B$29,0))="Contrato",IF(INDEX(Config!$E$9:$E$29,MATCH($B2585,Config!$B$9:$B$29,0))="","",INDEX(Config!$E$9:$E$29,MATCH($B2585,Config!$B$9:$B$29,0))),""),""))</f>
        <v/>
      </c>
      <c r="AI2585" s="19" t="str">
        <f>IF($B2585="","",IFERROR(INDEX(Config!$D$9:$D$29,MATCH($B2585,Config!$B$9:$B$29,0))&amp;"",""))</f>
        <v/>
      </c>
    </row>
    <row r="2586">
      <c r="X2586" s="20" t="str">
        <f>IF($B2586="","",IFERROR(IF(INDEX(Config!$D$9:$D$29,MATCH($B2586,Config!$B$9:$B$29,0))="Contrato",IF(INDEX(Config!$E$9:$E$29,MATCH($B2586,Config!$B$9:$B$29,0))="","",INDEX(Config!$E$9:$E$29,MATCH($B2586,Config!$B$9:$B$29,0))),""),""))</f>
        <v/>
      </c>
      <c r="AI2586" s="19" t="str">
        <f>IF($B2586="","",IFERROR(INDEX(Config!$D$9:$D$29,MATCH($B2586,Config!$B$9:$B$29,0))&amp;"",""))</f>
        <v/>
      </c>
    </row>
    <row r="2587">
      <c r="X2587" s="20" t="str">
        <f>IF($B2587="","",IFERROR(IF(INDEX(Config!$D$9:$D$29,MATCH($B2587,Config!$B$9:$B$29,0))="Contrato",IF(INDEX(Config!$E$9:$E$29,MATCH($B2587,Config!$B$9:$B$29,0))="","",INDEX(Config!$E$9:$E$29,MATCH($B2587,Config!$B$9:$B$29,0))),""),""))</f>
        <v/>
      </c>
      <c r="AI2587" s="19" t="str">
        <f>IF($B2587="","",IFERROR(INDEX(Config!$D$9:$D$29,MATCH($B2587,Config!$B$9:$B$29,0))&amp;"",""))</f>
        <v/>
      </c>
    </row>
    <row r="2588">
      <c r="X2588" s="20" t="str">
        <f>IF($B2588="","",IFERROR(IF(INDEX(Config!$D$9:$D$29,MATCH($B2588,Config!$B$9:$B$29,0))="Contrato",IF(INDEX(Config!$E$9:$E$29,MATCH($B2588,Config!$B$9:$B$29,0))="","",INDEX(Config!$E$9:$E$29,MATCH($B2588,Config!$B$9:$B$29,0))),""),""))</f>
        <v/>
      </c>
      <c r="AI2588" s="19" t="str">
        <f>IF($B2588="","",IFERROR(INDEX(Config!$D$9:$D$29,MATCH($B2588,Config!$B$9:$B$29,0))&amp;"",""))</f>
        <v/>
      </c>
    </row>
    <row r="2589">
      <c r="X2589" s="20" t="str">
        <f>IF($B2589="","",IFERROR(IF(INDEX(Config!$D$9:$D$29,MATCH($B2589,Config!$B$9:$B$29,0))="Contrato",IF(INDEX(Config!$E$9:$E$29,MATCH($B2589,Config!$B$9:$B$29,0))="","",INDEX(Config!$E$9:$E$29,MATCH($B2589,Config!$B$9:$B$29,0))),""),""))</f>
        <v/>
      </c>
      <c r="AI2589" s="19" t="str">
        <f>IF($B2589="","",IFERROR(INDEX(Config!$D$9:$D$29,MATCH($B2589,Config!$B$9:$B$29,0))&amp;"",""))</f>
        <v/>
      </c>
    </row>
    <row r="2590">
      <c r="X2590" s="20" t="str">
        <f>IF($B2590="","",IFERROR(IF(INDEX(Config!$D$9:$D$29,MATCH($B2590,Config!$B$9:$B$29,0))="Contrato",IF(INDEX(Config!$E$9:$E$29,MATCH($B2590,Config!$B$9:$B$29,0))="","",INDEX(Config!$E$9:$E$29,MATCH($B2590,Config!$B$9:$B$29,0))),""),""))</f>
        <v/>
      </c>
      <c r="AI2590" s="19" t="str">
        <f>IF($B2590="","",IFERROR(INDEX(Config!$D$9:$D$29,MATCH($B2590,Config!$B$9:$B$29,0))&amp;"",""))</f>
        <v/>
      </c>
    </row>
    <row r="2591">
      <c r="X2591" s="20" t="str">
        <f>IF($B2591="","",IFERROR(IF(INDEX(Config!$D$9:$D$29,MATCH($B2591,Config!$B$9:$B$29,0))="Contrato",IF(INDEX(Config!$E$9:$E$29,MATCH($B2591,Config!$B$9:$B$29,0))="","",INDEX(Config!$E$9:$E$29,MATCH($B2591,Config!$B$9:$B$29,0))),""),""))</f>
        <v/>
      </c>
      <c r="AI2591" s="19" t="str">
        <f>IF($B2591="","",IFERROR(INDEX(Config!$D$9:$D$29,MATCH($B2591,Config!$B$9:$B$29,0))&amp;"",""))</f>
        <v/>
      </c>
    </row>
    <row r="2592">
      <c r="X2592" s="20" t="str">
        <f>IF($B2592="","",IFERROR(IF(INDEX(Config!$D$9:$D$29,MATCH($B2592,Config!$B$9:$B$29,0))="Contrato",IF(INDEX(Config!$E$9:$E$29,MATCH($B2592,Config!$B$9:$B$29,0))="","",INDEX(Config!$E$9:$E$29,MATCH($B2592,Config!$B$9:$B$29,0))),""),""))</f>
        <v/>
      </c>
      <c r="AI2592" s="19" t="str">
        <f>IF($B2592="","",IFERROR(INDEX(Config!$D$9:$D$29,MATCH($B2592,Config!$B$9:$B$29,0))&amp;"",""))</f>
        <v/>
      </c>
    </row>
    <row r="2593">
      <c r="X2593" s="20" t="str">
        <f>IF($B2593="","",IFERROR(IF(INDEX(Config!$D$9:$D$29,MATCH($B2593,Config!$B$9:$B$29,0))="Contrato",IF(INDEX(Config!$E$9:$E$29,MATCH($B2593,Config!$B$9:$B$29,0))="","",INDEX(Config!$E$9:$E$29,MATCH($B2593,Config!$B$9:$B$29,0))),""),""))</f>
        <v/>
      </c>
      <c r="AI2593" s="19" t="str">
        <f>IF($B2593="","",IFERROR(INDEX(Config!$D$9:$D$29,MATCH($B2593,Config!$B$9:$B$29,0))&amp;"",""))</f>
        <v/>
      </c>
    </row>
    <row r="2594">
      <c r="X2594" s="20" t="str">
        <f>IF($B2594="","",IFERROR(IF(INDEX(Config!$D$9:$D$29,MATCH($B2594,Config!$B$9:$B$29,0))="Contrato",IF(INDEX(Config!$E$9:$E$29,MATCH($B2594,Config!$B$9:$B$29,0))="","",INDEX(Config!$E$9:$E$29,MATCH($B2594,Config!$B$9:$B$29,0))),""),""))</f>
        <v/>
      </c>
      <c r="AI2594" s="19" t="str">
        <f>IF($B2594="","",IFERROR(INDEX(Config!$D$9:$D$29,MATCH($B2594,Config!$B$9:$B$29,0))&amp;"",""))</f>
        <v/>
      </c>
    </row>
    <row r="2595">
      <c r="X2595" s="20" t="str">
        <f>IF($B2595="","",IFERROR(IF(INDEX(Config!$D$9:$D$29,MATCH($B2595,Config!$B$9:$B$29,0))="Contrato",IF(INDEX(Config!$E$9:$E$29,MATCH($B2595,Config!$B$9:$B$29,0))="","",INDEX(Config!$E$9:$E$29,MATCH($B2595,Config!$B$9:$B$29,0))),""),""))</f>
        <v/>
      </c>
      <c r="AI2595" s="19" t="str">
        <f>IF($B2595="","",IFERROR(INDEX(Config!$D$9:$D$29,MATCH($B2595,Config!$B$9:$B$29,0))&amp;"",""))</f>
        <v/>
      </c>
    </row>
    <row r="2596">
      <c r="X2596" s="20" t="str">
        <f>IF($B2596="","",IFERROR(IF(INDEX(Config!$D$9:$D$29,MATCH($B2596,Config!$B$9:$B$29,0))="Contrato",IF(INDEX(Config!$E$9:$E$29,MATCH($B2596,Config!$B$9:$B$29,0))="","",INDEX(Config!$E$9:$E$29,MATCH($B2596,Config!$B$9:$B$29,0))),""),""))</f>
        <v/>
      </c>
      <c r="AI2596" s="19" t="str">
        <f>IF($B2596="","",IFERROR(INDEX(Config!$D$9:$D$29,MATCH($B2596,Config!$B$9:$B$29,0))&amp;"",""))</f>
        <v/>
      </c>
    </row>
    <row r="2597">
      <c r="X2597" s="20" t="str">
        <f>IF($B2597="","",IFERROR(IF(INDEX(Config!$D$9:$D$29,MATCH($B2597,Config!$B$9:$B$29,0))="Contrato",IF(INDEX(Config!$E$9:$E$29,MATCH($B2597,Config!$B$9:$B$29,0))="","",INDEX(Config!$E$9:$E$29,MATCH($B2597,Config!$B$9:$B$29,0))),""),""))</f>
        <v/>
      </c>
      <c r="AI2597" s="19" t="str">
        <f>IF($B2597="","",IFERROR(INDEX(Config!$D$9:$D$29,MATCH($B2597,Config!$B$9:$B$29,0))&amp;"",""))</f>
        <v/>
      </c>
    </row>
    <row r="2598">
      <c r="X2598" s="20" t="str">
        <f>IF($B2598="","",IFERROR(IF(INDEX(Config!$D$9:$D$29,MATCH($B2598,Config!$B$9:$B$29,0))="Contrato",IF(INDEX(Config!$E$9:$E$29,MATCH($B2598,Config!$B$9:$B$29,0))="","",INDEX(Config!$E$9:$E$29,MATCH($B2598,Config!$B$9:$B$29,0))),""),""))</f>
        <v/>
      </c>
      <c r="AI2598" s="19" t="str">
        <f>IF($B2598="","",IFERROR(INDEX(Config!$D$9:$D$29,MATCH($B2598,Config!$B$9:$B$29,0))&amp;"",""))</f>
        <v/>
      </c>
    </row>
    <row r="2599">
      <c r="X2599" s="20" t="str">
        <f>IF($B2599="","",IFERROR(IF(INDEX(Config!$D$9:$D$29,MATCH($B2599,Config!$B$9:$B$29,0))="Contrato",IF(INDEX(Config!$E$9:$E$29,MATCH($B2599,Config!$B$9:$B$29,0))="","",INDEX(Config!$E$9:$E$29,MATCH($B2599,Config!$B$9:$B$29,0))),""),""))</f>
        <v/>
      </c>
      <c r="AI2599" s="19" t="str">
        <f>IF($B2599="","",IFERROR(INDEX(Config!$D$9:$D$29,MATCH($B2599,Config!$B$9:$B$29,0))&amp;"",""))</f>
        <v/>
      </c>
    </row>
    <row r="2600">
      <c r="X2600" s="20" t="str">
        <f>IF($B2600="","",IFERROR(IF(INDEX(Config!$D$9:$D$29,MATCH($B2600,Config!$B$9:$B$29,0))="Contrato",IF(INDEX(Config!$E$9:$E$29,MATCH($B2600,Config!$B$9:$B$29,0))="","",INDEX(Config!$E$9:$E$29,MATCH($B2600,Config!$B$9:$B$29,0))),""),""))</f>
        <v/>
      </c>
      <c r="AI2600" s="19" t="str">
        <f>IF($B2600="","",IFERROR(INDEX(Config!$D$9:$D$29,MATCH($B2600,Config!$B$9:$B$29,0))&amp;"",""))</f>
        <v/>
      </c>
    </row>
    <row r="2601">
      <c r="X2601" s="20" t="str">
        <f>IF($B2601="","",IFERROR(IF(INDEX(Config!$D$9:$D$29,MATCH($B2601,Config!$B$9:$B$29,0))="Contrato",IF(INDEX(Config!$E$9:$E$29,MATCH($B2601,Config!$B$9:$B$29,0))="","",INDEX(Config!$E$9:$E$29,MATCH($B2601,Config!$B$9:$B$29,0))),""),""))</f>
        <v/>
      </c>
      <c r="AI2601" s="19" t="str">
        <f>IF($B2601="","",IFERROR(INDEX(Config!$D$9:$D$29,MATCH($B2601,Config!$B$9:$B$29,0))&amp;"",""))</f>
        <v/>
      </c>
    </row>
    <row r="2602">
      <c r="X2602" s="20" t="str">
        <f>IF($B2602="","",IFERROR(IF(INDEX(Config!$D$9:$D$29,MATCH($B2602,Config!$B$9:$B$29,0))="Contrato",IF(INDEX(Config!$E$9:$E$29,MATCH($B2602,Config!$B$9:$B$29,0))="","",INDEX(Config!$E$9:$E$29,MATCH($B2602,Config!$B$9:$B$29,0))),""),""))</f>
        <v/>
      </c>
      <c r="AI2602" s="19" t="str">
        <f>IF($B2602="","",IFERROR(INDEX(Config!$D$9:$D$29,MATCH($B2602,Config!$B$9:$B$29,0))&amp;"",""))</f>
        <v/>
      </c>
    </row>
    <row r="2603">
      <c r="X2603" s="20" t="str">
        <f>IF($B2603="","",IFERROR(IF(INDEX(Config!$D$9:$D$29,MATCH($B2603,Config!$B$9:$B$29,0))="Contrato",IF(INDEX(Config!$E$9:$E$29,MATCH($B2603,Config!$B$9:$B$29,0))="","",INDEX(Config!$E$9:$E$29,MATCH($B2603,Config!$B$9:$B$29,0))),""),""))</f>
        <v/>
      </c>
      <c r="AI2603" s="19" t="str">
        <f>IF($B2603="","",IFERROR(INDEX(Config!$D$9:$D$29,MATCH($B2603,Config!$B$9:$B$29,0))&amp;"",""))</f>
        <v/>
      </c>
    </row>
    <row r="2604">
      <c r="X2604" s="20" t="str">
        <f>IF($B2604="","",IFERROR(IF(INDEX(Config!$D$9:$D$29,MATCH($B2604,Config!$B$9:$B$29,0))="Contrato",IF(INDEX(Config!$E$9:$E$29,MATCH($B2604,Config!$B$9:$B$29,0))="","",INDEX(Config!$E$9:$E$29,MATCH($B2604,Config!$B$9:$B$29,0))),""),""))</f>
        <v/>
      </c>
      <c r="AI2604" s="19" t="str">
        <f>IF($B2604="","",IFERROR(INDEX(Config!$D$9:$D$29,MATCH($B2604,Config!$B$9:$B$29,0))&amp;"",""))</f>
        <v/>
      </c>
    </row>
    <row r="2605">
      <c r="X2605" s="20" t="str">
        <f>IF($B2605="","",IFERROR(IF(INDEX(Config!$D$9:$D$29,MATCH($B2605,Config!$B$9:$B$29,0))="Contrato",IF(INDEX(Config!$E$9:$E$29,MATCH($B2605,Config!$B$9:$B$29,0))="","",INDEX(Config!$E$9:$E$29,MATCH($B2605,Config!$B$9:$B$29,0))),""),""))</f>
        <v/>
      </c>
      <c r="AI2605" s="19" t="str">
        <f>IF($B2605="","",IFERROR(INDEX(Config!$D$9:$D$29,MATCH($B2605,Config!$B$9:$B$29,0))&amp;"",""))</f>
        <v/>
      </c>
    </row>
    <row r="2606">
      <c r="X2606" s="20" t="str">
        <f>IF($B2606="","",IFERROR(IF(INDEX(Config!$D$9:$D$29,MATCH($B2606,Config!$B$9:$B$29,0))="Contrato",IF(INDEX(Config!$E$9:$E$29,MATCH($B2606,Config!$B$9:$B$29,0))="","",INDEX(Config!$E$9:$E$29,MATCH($B2606,Config!$B$9:$B$29,0))),""),""))</f>
        <v/>
      </c>
      <c r="AI2606" s="19" t="str">
        <f>IF($B2606="","",IFERROR(INDEX(Config!$D$9:$D$29,MATCH($B2606,Config!$B$9:$B$29,0))&amp;"",""))</f>
        <v/>
      </c>
    </row>
    <row r="2607">
      <c r="X2607" s="20" t="str">
        <f>IF($B2607="","",IFERROR(IF(INDEX(Config!$D$9:$D$29,MATCH($B2607,Config!$B$9:$B$29,0))="Contrato",IF(INDEX(Config!$E$9:$E$29,MATCH($B2607,Config!$B$9:$B$29,0))="","",INDEX(Config!$E$9:$E$29,MATCH($B2607,Config!$B$9:$B$29,0))),""),""))</f>
        <v/>
      </c>
      <c r="AI2607" s="19" t="str">
        <f>IF($B2607="","",IFERROR(INDEX(Config!$D$9:$D$29,MATCH($B2607,Config!$B$9:$B$29,0))&amp;"",""))</f>
        <v/>
      </c>
    </row>
    <row r="2608">
      <c r="X2608" s="20" t="str">
        <f>IF($B2608="","",IFERROR(IF(INDEX(Config!$D$9:$D$29,MATCH($B2608,Config!$B$9:$B$29,0))="Contrato",IF(INDEX(Config!$E$9:$E$29,MATCH($B2608,Config!$B$9:$B$29,0))="","",INDEX(Config!$E$9:$E$29,MATCH($B2608,Config!$B$9:$B$29,0))),""),""))</f>
        <v/>
      </c>
      <c r="AI2608" s="19" t="str">
        <f>IF($B2608="","",IFERROR(INDEX(Config!$D$9:$D$29,MATCH($B2608,Config!$B$9:$B$29,0))&amp;"",""))</f>
        <v/>
      </c>
    </row>
    <row r="2609">
      <c r="X2609" s="20" t="str">
        <f>IF($B2609="","",IFERROR(IF(INDEX(Config!$D$9:$D$29,MATCH($B2609,Config!$B$9:$B$29,0))="Contrato",IF(INDEX(Config!$E$9:$E$29,MATCH($B2609,Config!$B$9:$B$29,0))="","",INDEX(Config!$E$9:$E$29,MATCH($B2609,Config!$B$9:$B$29,0))),""),""))</f>
        <v/>
      </c>
      <c r="AI2609" s="19" t="str">
        <f>IF($B2609="","",IFERROR(INDEX(Config!$D$9:$D$29,MATCH($B2609,Config!$B$9:$B$29,0))&amp;"",""))</f>
        <v/>
      </c>
    </row>
    <row r="2610">
      <c r="X2610" s="20" t="str">
        <f>IF($B2610="","",IFERROR(IF(INDEX(Config!$D$9:$D$29,MATCH($B2610,Config!$B$9:$B$29,0))="Contrato",IF(INDEX(Config!$E$9:$E$29,MATCH($B2610,Config!$B$9:$B$29,0))="","",INDEX(Config!$E$9:$E$29,MATCH($B2610,Config!$B$9:$B$29,0))),""),""))</f>
        <v/>
      </c>
      <c r="AI2610" s="19" t="str">
        <f>IF($B2610="","",IFERROR(INDEX(Config!$D$9:$D$29,MATCH($B2610,Config!$B$9:$B$29,0))&amp;"",""))</f>
        <v/>
      </c>
    </row>
    <row r="2611">
      <c r="X2611" s="20" t="str">
        <f>IF($B2611="","",IFERROR(IF(INDEX(Config!$D$9:$D$29,MATCH($B2611,Config!$B$9:$B$29,0))="Contrato",IF(INDEX(Config!$E$9:$E$29,MATCH($B2611,Config!$B$9:$B$29,0))="","",INDEX(Config!$E$9:$E$29,MATCH($B2611,Config!$B$9:$B$29,0))),""),""))</f>
        <v/>
      </c>
      <c r="AI2611" s="19" t="str">
        <f>IF($B2611="","",IFERROR(INDEX(Config!$D$9:$D$29,MATCH($B2611,Config!$B$9:$B$29,0))&amp;"",""))</f>
        <v/>
      </c>
    </row>
    <row r="2612">
      <c r="X2612" s="20" t="str">
        <f>IF($B2612="","",IFERROR(IF(INDEX(Config!$D$9:$D$29,MATCH($B2612,Config!$B$9:$B$29,0))="Contrato",IF(INDEX(Config!$E$9:$E$29,MATCH($B2612,Config!$B$9:$B$29,0))="","",INDEX(Config!$E$9:$E$29,MATCH($B2612,Config!$B$9:$B$29,0))),""),""))</f>
        <v/>
      </c>
      <c r="AI2612" s="19" t="str">
        <f>IF($B2612="","",IFERROR(INDEX(Config!$D$9:$D$29,MATCH($B2612,Config!$B$9:$B$29,0))&amp;"",""))</f>
        <v/>
      </c>
    </row>
    <row r="2613">
      <c r="X2613" s="20" t="str">
        <f>IF($B2613="","",IFERROR(IF(INDEX(Config!$D$9:$D$29,MATCH($B2613,Config!$B$9:$B$29,0))="Contrato",IF(INDEX(Config!$E$9:$E$29,MATCH($B2613,Config!$B$9:$B$29,0))="","",INDEX(Config!$E$9:$E$29,MATCH($B2613,Config!$B$9:$B$29,0))),""),""))</f>
        <v/>
      </c>
      <c r="AI2613" s="19" t="str">
        <f>IF($B2613="","",IFERROR(INDEX(Config!$D$9:$D$29,MATCH($B2613,Config!$B$9:$B$29,0))&amp;"",""))</f>
        <v/>
      </c>
    </row>
    <row r="2614">
      <c r="X2614" s="20" t="str">
        <f>IF($B2614="","",IFERROR(IF(INDEX(Config!$D$9:$D$29,MATCH($B2614,Config!$B$9:$B$29,0))="Contrato",IF(INDEX(Config!$E$9:$E$29,MATCH($B2614,Config!$B$9:$B$29,0))="","",INDEX(Config!$E$9:$E$29,MATCH($B2614,Config!$B$9:$B$29,0))),""),""))</f>
        <v/>
      </c>
      <c r="AI2614" s="19" t="str">
        <f>IF($B2614="","",IFERROR(INDEX(Config!$D$9:$D$29,MATCH($B2614,Config!$B$9:$B$29,0))&amp;"",""))</f>
        <v/>
      </c>
    </row>
    <row r="2615">
      <c r="X2615" s="20" t="str">
        <f>IF($B2615="","",IFERROR(IF(INDEX(Config!$D$9:$D$29,MATCH($B2615,Config!$B$9:$B$29,0))="Contrato",IF(INDEX(Config!$E$9:$E$29,MATCH($B2615,Config!$B$9:$B$29,0))="","",INDEX(Config!$E$9:$E$29,MATCH($B2615,Config!$B$9:$B$29,0))),""),""))</f>
        <v/>
      </c>
      <c r="AI2615" s="19" t="str">
        <f>IF($B2615="","",IFERROR(INDEX(Config!$D$9:$D$29,MATCH($B2615,Config!$B$9:$B$29,0))&amp;"",""))</f>
        <v/>
      </c>
    </row>
    <row r="2616">
      <c r="X2616" s="20" t="str">
        <f>IF($B2616="","",IFERROR(IF(INDEX(Config!$D$9:$D$29,MATCH($B2616,Config!$B$9:$B$29,0))="Contrato",IF(INDEX(Config!$E$9:$E$29,MATCH($B2616,Config!$B$9:$B$29,0))="","",INDEX(Config!$E$9:$E$29,MATCH($B2616,Config!$B$9:$B$29,0))),""),""))</f>
        <v/>
      </c>
      <c r="AI2616" s="19" t="str">
        <f>IF($B2616="","",IFERROR(INDEX(Config!$D$9:$D$29,MATCH($B2616,Config!$B$9:$B$29,0))&amp;"",""))</f>
        <v/>
      </c>
    </row>
    <row r="2617">
      <c r="X2617" s="20" t="str">
        <f>IF($B2617="","",IFERROR(IF(INDEX(Config!$D$9:$D$29,MATCH($B2617,Config!$B$9:$B$29,0))="Contrato",IF(INDEX(Config!$E$9:$E$29,MATCH($B2617,Config!$B$9:$B$29,0))="","",INDEX(Config!$E$9:$E$29,MATCH($B2617,Config!$B$9:$B$29,0))),""),""))</f>
        <v/>
      </c>
      <c r="AI2617" s="19" t="str">
        <f>IF($B2617="","",IFERROR(INDEX(Config!$D$9:$D$29,MATCH($B2617,Config!$B$9:$B$29,0))&amp;"",""))</f>
        <v/>
      </c>
    </row>
    <row r="2618">
      <c r="X2618" s="20" t="str">
        <f>IF($B2618="","",IFERROR(IF(INDEX(Config!$D$9:$D$29,MATCH($B2618,Config!$B$9:$B$29,0))="Contrato",IF(INDEX(Config!$E$9:$E$29,MATCH($B2618,Config!$B$9:$B$29,0))="","",INDEX(Config!$E$9:$E$29,MATCH($B2618,Config!$B$9:$B$29,0))),""),""))</f>
        <v/>
      </c>
      <c r="AI2618" s="19" t="str">
        <f>IF($B2618="","",IFERROR(INDEX(Config!$D$9:$D$29,MATCH($B2618,Config!$B$9:$B$29,0))&amp;"",""))</f>
        <v/>
      </c>
    </row>
    <row r="2619">
      <c r="X2619" s="20" t="str">
        <f>IF($B2619="","",IFERROR(IF(INDEX(Config!$D$9:$D$29,MATCH($B2619,Config!$B$9:$B$29,0))="Contrato",IF(INDEX(Config!$E$9:$E$29,MATCH($B2619,Config!$B$9:$B$29,0))="","",INDEX(Config!$E$9:$E$29,MATCH($B2619,Config!$B$9:$B$29,0))),""),""))</f>
        <v/>
      </c>
      <c r="AI2619" s="19" t="str">
        <f>IF($B2619="","",IFERROR(INDEX(Config!$D$9:$D$29,MATCH($B2619,Config!$B$9:$B$29,0))&amp;"",""))</f>
        <v/>
      </c>
    </row>
    <row r="2620">
      <c r="X2620" s="20" t="str">
        <f>IF($B2620="","",IFERROR(IF(INDEX(Config!$D$9:$D$29,MATCH($B2620,Config!$B$9:$B$29,0))="Contrato",IF(INDEX(Config!$E$9:$E$29,MATCH($B2620,Config!$B$9:$B$29,0))="","",INDEX(Config!$E$9:$E$29,MATCH($B2620,Config!$B$9:$B$29,0))),""),""))</f>
        <v/>
      </c>
      <c r="AI2620" s="19" t="str">
        <f>IF($B2620="","",IFERROR(INDEX(Config!$D$9:$D$29,MATCH($B2620,Config!$B$9:$B$29,0))&amp;"",""))</f>
        <v/>
      </c>
    </row>
    <row r="2621">
      <c r="X2621" s="20" t="str">
        <f>IF($B2621="","",IFERROR(IF(INDEX(Config!$D$9:$D$29,MATCH($B2621,Config!$B$9:$B$29,0))="Contrato",IF(INDEX(Config!$E$9:$E$29,MATCH($B2621,Config!$B$9:$B$29,0))="","",INDEX(Config!$E$9:$E$29,MATCH($B2621,Config!$B$9:$B$29,0))),""),""))</f>
        <v/>
      </c>
      <c r="AI2621" s="19" t="str">
        <f>IF($B2621="","",IFERROR(INDEX(Config!$D$9:$D$29,MATCH($B2621,Config!$B$9:$B$29,0))&amp;"",""))</f>
        <v/>
      </c>
    </row>
    <row r="2622">
      <c r="X2622" s="20" t="str">
        <f>IF($B2622="","",IFERROR(IF(INDEX(Config!$D$9:$D$29,MATCH($B2622,Config!$B$9:$B$29,0))="Contrato",IF(INDEX(Config!$E$9:$E$29,MATCH($B2622,Config!$B$9:$B$29,0))="","",INDEX(Config!$E$9:$E$29,MATCH($B2622,Config!$B$9:$B$29,0))),""),""))</f>
        <v/>
      </c>
      <c r="AI2622" s="19" t="str">
        <f>IF($B2622="","",IFERROR(INDEX(Config!$D$9:$D$29,MATCH($B2622,Config!$B$9:$B$29,0))&amp;"",""))</f>
        <v/>
      </c>
    </row>
    <row r="2623">
      <c r="X2623" s="20" t="str">
        <f>IF($B2623="","",IFERROR(IF(INDEX(Config!$D$9:$D$29,MATCH($B2623,Config!$B$9:$B$29,0))="Contrato",IF(INDEX(Config!$E$9:$E$29,MATCH($B2623,Config!$B$9:$B$29,0))="","",INDEX(Config!$E$9:$E$29,MATCH($B2623,Config!$B$9:$B$29,0))),""),""))</f>
        <v/>
      </c>
      <c r="AI2623" s="19" t="str">
        <f>IF($B2623="","",IFERROR(INDEX(Config!$D$9:$D$29,MATCH($B2623,Config!$B$9:$B$29,0))&amp;"",""))</f>
        <v/>
      </c>
    </row>
    <row r="2624">
      <c r="X2624" s="20" t="str">
        <f>IF($B2624="","",IFERROR(IF(INDEX(Config!$D$9:$D$29,MATCH($B2624,Config!$B$9:$B$29,0))="Contrato",IF(INDEX(Config!$E$9:$E$29,MATCH($B2624,Config!$B$9:$B$29,0))="","",INDEX(Config!$E$9:$E$29,MATCH($B2624,Config!$B$9:$B$29,0))),""),""))</f>
        <v/>
      </c>
      <c r="AI2624" s="19" t="str">
        <f>IF($B2624="","",IFERROR(INDEX(Config!$D$9:$D$29,MATCH($B2624,Config!$B$9:$B$29,0))&amp;"",""))</f>
        <v/>
      </c>
    </row>
    <row r="2625">
      <c r="X2625" s="20" t="str">
        <f>IF($B2625="","",IFERROR(IF(INDEX(Config!$D$9:$D$29,MATCH($B2625,Config!$B$9:$B$29,0))="Contrato",IF(INDEX(Config!$E$9:$E$29,MATCH($B2625,Config!$B$9:$B$29,0))="","",INDEX(Config!$E$9:$E$29,MATCH($B2625,Config!$B$9:$B$29,0))),""),""))</f>
        <v/>
      </c>
      <c r="AI2625" s="19" t="str">
        <f>IF($B2625="","",IFERROR(INDEX(Config!$D$9:$D$29,MATCH($B2625,Config!$B$9:$B$29,0))&amp;"",""))</f>
        <v/>
      </c>
    </row>
    <row r="2626">
      <c r="X2626" s="20" t="str">
        <f>IF($B2626="","",IFERROR(IF(INDEX(Config!$D$9:$D$29,MATCH($B2626,Config!$B$9:$B$29,0))="Contrato",IF(INDEX(Config!$E$9:$E$29,MATCH($B2626,Config!$B$9:$B$29,0))="","",INDEX(Config!$E$9:$E$29,MATCH($B2626,Config!$B$9:$B$29,0))),""),""))</f>
        <v/>
      </c>
      <c r="AI2626" s="19" t="str">
        <f>IF($B2626="","",IFERROR(INDEX(Config!$D$9:$D$29,MATCH($B2626,Config!$B$9:$B$29,0))&amp;"",""))</f>
        <v/>
      </c>
    </row>
    <row r="2627">
      <c r="X2627" s="20" t="str">
        <f>IF($B2627="","",IFERROR(IF(INDEX(Config!$D$9:$D$29,MATCH($B2627,Config!$B$9:$B$29,0))="Contrato",IF(INDEX(Config!$E$9:$E$29,MATCH($B2627,Config!$B$9:$B$29,0))="","",INDEX(Config!$E$9:$E$29,MATCH($B2627,Config!$B$9:$B$29,0))),""),""))</f>
        <v/>
      </c>
      <c r="AI2627" s="19" t="str">
        <f>IF($B2627="","",IFERROR(INDEX(Config!$D$9:$D$29,MATCH($B2627,Config!$B$9:$B$29,0))&amp;"",""))</f>
        <v/>
      </c>
    </row>
    <row r="2628">
      <c r="X2628" s="20" t="str">
        <f>IF($B2628="","",IFERROR(IF(INDEX(Config!$D$9:$D$29,MATCH($B2628,Config!$B$9:$B$29,0))="Contrato",IF(INDEX(Config!$E$9:$E$29,MATCH($B2628,Config!$B$9:$B$29,0))="","",INDEX(Config!$E$9:$E$29,MATCH($B2628,Config!$B$9:$B$29,0))),""),""))</f>
        <v/>
      </c>
      <c r="AI2628" s="19" t="str">
        <f>IF($B2628="","",IFERROR(INDEX(Config!$D$9:$D$29,MATCH($B2628,Config!$B$9:$B$29,0))&amp;"",""))</f>
        <v/>
      </c>
    </row>
    <row r="2629">
      <c r="X2629" s="20" t="str">
        <f>IF($B2629="","",IFERROR(IF(INDEX(Config!$D$9:$D$29,MATCH($B2629,Config!$B$9:$B$29,0))="Contrato",IF(INDEX(Config!$E$9:$E$29,MATCH($B2629,Config!$B$9:$B$29,0))="","",INDEX(Config!$E$9:$E$29,MATCH($B2629,Config!$B$9:$B$29,0))),""),""))</f>
        <v/>
      </c>
      <c r="AI2629" s="19" t="str">
        <f>IF($B2629="","",IFERROR(INDEX(Config!$D$9:$D$29,MATCH($B2629,Config!$B$9:$B$29,0))&amp;"",""))</f>
        <v/>
      </c>
    </row>
    <row r="2630">
      <c r="X2630" s="20" t="str">
        <f>IF($B2630="","",IFERROR(IF(INDEX(Config!$D$9:$D$29,MATCH($B2630,Config!$B$9:$B$29,0))="Contrato",IF(INDEX(Config!$E$9:$E$29,MATCH($B2630,Config!$B$9:$B$29,0))="","",INDEX(Config!$E$9:$E$29,MATCH($B2630,Config!$B$9:$B$29,0))),""),""))</f>
        <v/>
      </c>
      <c r="AI2630" s="19" t="str">
        <f>IF($B2630="","",IFERROR(INDEX(Config!$D$9:$D$29,MATCH($B2630,Config!$B$9:$B$29,0))&amp;"",""))</f>
        <v/>
      </c>
    </row>
    <row r="2631">
      <c r="X2631" s="20" t="str">
        <f>IF($B2631="","",IFERROR(IF(INDEX(Config!$D$9:$D$29,MATCH($B2631,Config!$B$9:$B$29,0))="Contrato",IF(INDEX(Config!$E$9:$E$29,MATCH($B2631,Config!$B$9:$B$29,0))="","",INDEX(Config!$E$9:$E$29,MATCH($B2631,Config!$B$9:$B$29,0))),""),""))</f>
        <v/>
      </c>
      <c r="AI2631" s="19" t="str">
        <f>IF($B2631="","",IFERROR(INDEX(Config!$D$9:$D$29,MATCH($B2631,Config!$B$9:$B$29,0))&amp;"",""))</f>
        <v/>
      </c>
    </row>
    <row r="2632">
      <c r="X2632" s="20" t="str">
        <f>IF($B2632="","",IFERROR(IF(INDEX(Config!$D$9:$D$29,MATCH($B2632,Config!$B$9:$B$29,0))="Contrato",IF(INDEX(Config!$E$9:$E$29,MATCH($B2632,Config!$B$9:$B$29,0))="","",INDEX(Config!$E$9:$E$29,MATCH($B2632,Config!$B$9:$B$29,0))),""),""))</f>
        <v/>
      </c>
      <c r="AI2632" s="19" t="str">
        <f>IF($B2632="","",IFERROR(INDEX(Config!$D$9:$D$29,MATCH($B2632,Config!$B$9:$B$29,0))&amp;"",""))</f>
        <v/>
      </c>
    </row>
    <row r="2633">
      <c r="X2633" s="20" t="str">
        <f>IF($B2633="","",IFERROR(IF(INDEX(Config!$D$9:$D$29,MATCH($B2633,Config!$B$9:$B$29,0))="Contrato",IF(INDEX(Config!$E$9:$E$29,MATCH($B2633,Config!$B$9:$B$29,0))="","",INDEX(Config!$E$9:$E$29,MATCH($B2633,Config!$B$9:$B$29,0))),""),""))</f>
        <v/>
      </c>
      <c r="AI2633" s="19" t="str">
        <f>IF($B2633="","",IFERROR(INDEX(Config!$D$9:$D$29,MATCH($B2633,Config!$B$9:$B$29,0))&amp;"",""))</f>
        <v/>
      </c>
    </row>
    <row r="2634">
      <c r="X2634" s="20" t="str">
        <f>IF($B2634="","",IFERROR(IF(INDEX(Config!$D$9:$D$29,MATCH($B2634,Config!$B$9:$B$29,0))="Contrato",IF(INDEX(Config!$E$9:$E$29,MATCH($B2634,Config!$B$9:$B$29,0))="","",INDEX(Config!$E$9:$E$29,MATCH($B2634,Config!$B$9:$B$29,0))),""),""))</f>
        <v/>
      </c>
      <c r="AI2634" s="19" t="str">
        <f>IF($B2634="","",IFERROR(INDEX(Config!$D$9:$D$29,MATCH($B2634,Config!$B$9:$B$29,0))&amp;"",""))</f>
        <v/>
      </c>
    </row>
    <row r="2635">
      <c r="X2635" s="20" t="str">
        <f>IF($B2635="","",IFERROR(IF(INDEX(Config!$D$9:$D$29,MATCH($B2635,Config!$B$9:$B$29,0))="Contrato",IF(INDEX(Config!$E$9:$E$29,MATCH($B2635,Config!$B$9:$B$29,0))="","",INDEX(Config!$E$9:$E$29,MATCH($B2635,Config!$B$9:$B$29,0))),""),""))</f>
        <v/>
      </c>
      <c r="AI2635" s="19" t="str">
        <f>IF($B2635="","",IFERROR(INDEX(Config!$D$9:$D$29,MATCH($B2635,Config!$B$9:$B$29,0))&amp;"",""))</f>
        <v/>
      </c>
    </row>
    <row r="2636">
      <c r="X2636" s="20" t="str">
        <f>IF($B2636="","",IFERROR(IF(INDEX(Config!$D$9:$D$29,MATCH($B2636,Config!$B$9:$B$29,0))="Contrato",IF(INDEX(Config!$E$9:$E$29,MATCH($B2636,Config!$B$9:$B$29,0))="","",INDEX(Config!$E$9:$E$29,MATCH($B2636,Config!$B$9:$B$29,0))),""),""))</f>
        <v/>
      </c>
      <c r="AI2636" s="19" t="str">
        <f>IF($B2636="","",IFERROR(INDEX(Config!$D$9:$D$29,MATCH($B2636,Config!$B$9:$B$29,0))&amp;"",""))</f>
        <v/>
      </c>
    </row>
    <row r="2637">
      <c r="X2637" s="20" t="str">
        <f>IF($B2637="","",IFERROR(IF(INDEX(Config!$D$9:$D$29,MATCH($B2637,Config!$B$9:$B$29,0))="Contrato",IF(INDEX(Config!$E$9:$E$29,MATCH($B2637,Config!$B$9:$B$29,0))="","",INDEX(Config!$E$9:$E$29,MATCH($B2637,Config!$B$9:$B$29,0))),""),""))</f>
        <v/>
      </c>
      <c r="AI2637" s="19" t="str">
        <f>IF($B2637="","",IFERROR(INDEX(Config!$D$9:$D$29,MATCH($B2637,Config!$B$9:$B$29,0))&amp;"",""))</f>
        <v/>
      </c>
    </row>
    <row r="2638">
      <c r="X2638" s="20" t="str">
        <f>IF($B2638="","",IFERROR(IF(INDEX(Config!$D$9:$D$29,MATCH($B2638,Config!$B$9:$B$29,0))="Contrato",IF(INDEX(Config!$E$9:$E$29,MATCH($B2638,Config!$B$9:$B$29,0))="","",INDEX(Config!$E$9:$E$29,MATCH($B2638,Config!$B$9:$B$29,0))),""),""))</f>
        <v/>
      </c>
      <c r="AI2638" s="19" t="str">
        <f>IF($B2638="","",IFERROR(INDEX(Config!$D$9:$D$29,MATCH($B2638,Config!$B$9:$B$29,0))&amp;"",""))</f>
        <v/>
      </c>
    </row>
    <row r="2639">
      <c r="X2639" s="20" t="str">
        <f>IF($B2639="","",IFERROR(IF(INDEX(Config!$D$9:$D$29,MATCH($B2639,Config!$B$9:$B$29,0))="Contrato",IF(INDEX(Config!$E$9:$E$29,MATCH($B2639,Config!$B$9:$B$29,0))="","",INDEX(Config!$E$9:$E$29,MATCH($B2639,Config!$B$9:$B$29,0))),""),""))</f>
        <v/>
      </c>
      <c r="AI2639" s="19" t="str">
        <f>IF($B2639="","",IFERROR(INDEX(Config!$D$9:$D$29,MATCH($B2639,Config!$B$9:$B$29,0))&amp;"",""))</f>
        <v/>
      </c>
    </row>
    <row r="2640">
      <c r="X2640" s="20" t="str">
        <f>IF($B2640="","",IFERROR(IF(INDEX(Config!$D$9:$D$29,MATCH($B2640,Config!$B$9:$B$29,0))="Contrato",IF(INDEX(Config!$E$9:$E$29,MATCH($B2640,Config!$B$9:$B$29,0))="","",INDEX(Config!$E$9:$E$29,MATCH($B2640,Config!$B$9:$B$29,0))),""),""))</f>
        <v/>
      </c>
      <c r="AI2640" s="19" t="str">
        <f>IF($B2640="","",IFERROR(INDEX(Config!$D$9:$D$29,MATCH($B2640,Config!$B$9:$B$29,0))&amp;"",""))</f>
        <v/>
      </c>
    </row>
    <row r="2641">
      <c r="X2641" s="20" t="str">
        <f>IF($B2641="","",IFERROR(IF(INDEX(Config!$D$9:$D$29,MATCH($B2641,Config!$B$9:$B$29,0))="Contrato",IF(INDEX(Config!$E$9:$E$29,MATCH($B2641,Config!$B$9:$B$29,0))="","",INDEX(Config!$E$9:$E$29,MATCH($B2641,Config!$B$9:$B$29,0))),""),""))</f>
        <v/>
      </c>
      <c r="AI2641" s="19" t="str">
        <f>IF($B2641="","",IFERROR(INDEX(Config!$D$9:$D$29,MATCH($B2641,Config!$B$9:$B$29,0))&amp;"",""))</f>
        <v/>
      </c>
    </row>
    <row r="2642">
      <c r="X2642" s="20" t="str">
        <f>IF($B2642="","",IFERROR(IF(INDEX(Config!$D$9:$D$29,MATCH($B2642,Config!$B$9:$B$29,0))="Contrato",IF(INDEX(Config!$E$9:$E$29,MATCH($B2642,Config!$B$9:$B$29,0))="","",INDEX(Config!$E$9:$E$29,MATCH($B2642,Config!$B$9:$B$29,0))),""),""))</f>
        <v/>
      </c>
      <c r="AI2642" s="19" t="str">
        <f>IF($B2642="","",IFERROR(INDEX(Config!$D$9:$D$29,MATCH($B2642,Config!$B$9:$B$29,0))&amp;"",""))</f>
        <v/>
      </c>
    </row>
    <row r="2643">
      <c r="X2643" s="20" t="str">
        <f>IF($B2643="","",IFERROR(IF(INDEX(Config!$D$9:$D$29,MATCH($B2643,Config!$B$9:$B$29,0))="Contrato",IF(INDEX(Config!$E$9:$E$29,MATCH($B2643,Config!$B$9:$B$29,0))="","",INDEX(Config!$E$9:$E$29,MATCH($B2643,Config!$B$9:$B$29,0))),""),""))</f>
        <v/>
      </c>
      <c r="AI2643" s="19" t="str">
        <f>IF($B2643="","",IFERROR(INDEX(Config!$D$9:$D$29,MATCH($B2643,Config!$B$9:$B$29,0))&amp;"",""))</f>
        <v/>
      </c>
    </row>
    <row r="2644">
      <c r="X2644" s="20" t="str">
        <f>IF($B2644="","",IFERROR(IF(INDEX(Config!$D$9:$D$29,MATCH($B2644,Config!$B$9:$B$29,0))="Contrato",IF(INDEX(Config!$E$9:$E$29,MATCH($B2644,Config!$B$9:$B$29,0))="","",INDEX(Config!$E$9:$E$29,MATCH($B2644,Config!$B$9:$B$29,0))),""),""))</f>
        <v/>
      </c>
      <c r="AI2644" s="19" t="str">
        <f>IF($B2644="","",IFERROR(INDEX(Config!$D$9:$D$29,MATCH($B2644,Config!$B$9:$B$29,0))&amp;"",""))</f>
        <v/>
      </c>
    </row>
    <row r="2645">
      <c r="X2645" s="20" t="str">
        <f>IF($B2645="","",IFERROR(IF(INDEX(Config!$D$9:$D$29,MATCH($B2645,Config!$B$9:$B$29,0))="Contrato",IF(INDEX(Config!$E$9:$E$29,MATCH($B2645,Config!$B$9:$B$29,0))="","",INDEX(Config!$E$9:$E$29,MATCH($B2645,Config!$B$9:$B$29,0))),""),""))</f>
        <v/>
      </c>
      <c r="AI2645" s="19" t="str">
        <f>IF($B2645="","",IFERROR(INDEX(Config!$D$9:$D$29,MATCH($B2645,Config!$B$9:$B$29,0))&amp;"",""))</f>
        <v/>
      </c>
    </row>
    <row r="2646">
      <c r="X2646" s="20" t="str">
        <f>IF($B2646="","",IFERROR(IF(INDEX(Config!$D$9:$D$29,MATCH($B2646,Config!$B$9:$B$29,0))="Contrato",IF(INDEX(Config!$E$9:$E$29,MATCH($B2646,Config!$B$9:$B$29,0))="","",INDEX(Config!$E$9:$E$29,MATCH($B2646,Config!$B$9:$B$29,0))),""),""))</f>
        <v/>
      </c>
      <c r="AI2646" s="19" t="str">
        <f>IF($B2646="","",IFERROR(INDEX(Config!$D$9:$D$29,MATCH($B2646,Config!$B$9:$B$29,0))&amp;"",""))</f>
        <v/>
      </c>
    </row>
    <row r="2647">
      <c r="X2647" s="20" t="str">
        <f>IF($B2647="","",IFERROR(IF(INDEX(Config!$D$9:$D$29,MATCH($B2647,Config!$B$9:$B$29,0))="Contrato",IF(INDEX(Config!$E$9:$E$29,MATCH($B2647,Config!$B$9:$B$29,0))="","",INDEX(Config!$E$9:$E$29,MATCH($B2647,Config!$B$9:$B$29,0))),""),""))</f>
        <v/>
      </c>
      <c r="AI2647" s="19" t="str">
        <f>IF($B2647="","",IFERROR(INDEX(Config!$D$9:$D$29,MATCH($B2647,Config!$B$9:$B$29,0))&amp;"",""))</f>
        <v/>
      </c>
    </row>
    <row r="2648">
      <c r="X2648" s="20" t="str">
        <f>IF($B2648="","",IFERROR(IF(INDEX(Config!$D$9:$D$29,MATCH($B2648,Config!$B$9:$B$29,0))="Contrato",IF(INDEX(Config!$E$9:$E$29,MATCH($B2648,Config!$B$9:$B$29,0))="","",INDEX(Config!$E$9:$E$29,MATCH($B2648,Config!$B$9:$B$29,0))),""),""))</f>
        <v/>
      </c>
      <c r="AI2648" s="19" t="str">
        <f>IF($B2648="","",IFERROR(INDEX(Config!$D$9:$D$29,MATCH($B2648,Config!$B$9:$B$29,0))&amp;"",""))</f>
        <v/>
      </c>
    </row>
    <row r="2649">
      <c r="X2649" s="20" t="str">
        <f>IF($B2649="","",IFERROR(IF(INDEX(Config!$D$9:$D$29,MATCH($B2649,Config!$B$9:$B$29,0))="Contrato",IF(INDEX(Config!$E$9:$E$29,MATCH($B2649,Config!$B$9:$B$29,0))="","",INDEX(Config!$E$9:$E$29,MATCH($B2649,Config!$B$9:$B$29,0))),""),""))</f>
        <v/>
      </c>
      <c r="AI2649" s="19" t="str">
        <f>IF($B2649="","",IFERROR(INDEX(Config!$D$9:$D$29,MATCH($B2649,Config!$B$9:$B$29,0))&amp;"",""))</f>
        <v/>
      </c>
    </row>
    <row r="2650">
      <c r="X2650" s="20" t="str">
        <f>IF($B2650="","",IFERROR(IF(INDEX(Config!$D$9:$D$29,MATCH($B2650,Config!$B$9:$B$29,0))="Contrato",IF(INDEX(Config!$E$9:$E$29,MATCH($B2650,Config!$B$9:$B$29,0))="","",INDEX(Config!$E$9:$E$29,MATCH($B2650,Config!$B$9:$B$29,0))),""),""))</f>
        <v/>
      </c>
      <c r="AI2650" s="19" t="str">
        <f>IF($B2650="","",IFERROR(INDEX(Config!$D$9:$D$29,MATCH($B2650,Config!$B$9:$B$29,0))&amp;"",""))</f>
        <v/>
      </c>
    </row>
    <row r="2651">
      <c r="X2651" s="20" t="str">
        <f>IF($B2651="","",IFERROR(IF(INDEX(Config!$D$9:$D$29,MATCH($B2651,Config!$B$9:$B$29,0))="Contrato",IF(INDEX(Config!$E$9:$E$29,MATCH($B2651,Config!$B$9:$B$29,0))="","",INDEX(Config!$E$9:$E$29,MATCH($B2651,Config!$B$9:$B$29,0))),""),""))</f>
        <v/>
      </c>
      <c r="AI2651" s="19" t="str">
        <f>IF($B2651="","",IFERROR(INDEX(Config!$D$9:$D$29,MATCH($B2651,Config!$B$9:$B$29,0))&amp;"",""))</f>
        <v/>
      </c>
    </row>
    <row r="2652">
      <c r="X2652" s="20" t="str">
        <f>IF($B2652="","",IFERROR(IF(INDEX(Config!$D$9:$D$29,MATCH($B2652,Config!$B$9:$B$29,0))="Contrato",IF(INDEX(Config!$E$9:$E$29,MATCH($B2652,Config!$B$9:$B$29,0))="","",INDEX(Config!$E$9:$E$29,MATCH($B2652,Config!$B$9:$B$29,0))),""),""))</f>
        <v/>
      </c>
      <c r="AI2652" s="19" t="str">
        <f>IF($B2652="","",IFERROR(INDEX(Config!$D$9:$D$29,MATCH($B2652,Config!$B$9:$B$29,0))&amp;"",""))</f>
        <v/>
      </c>
    </row>
    <row r="2653">
      <c r="X2653" s="20" t="str">
        <f>IF($B2653="","",IFERROR(IF(INDEX(Config!$D$9:$D$29,MATCH($B2653,Config!$B$9:$B$29,0))="Contrato",IF(INDEX(Config!$E$9:$E$29,MATCH($B2653,Config!$B$9:$B$29,0))="","",INDEX(Config!$E$9:$E$29,MATCH($B2653,Config!$B$9:$B$29,0))),""),""))</f>
        <v/>
      </c>
      <c r="AI2653" s="19" t="str">
        <f>IF($B2653="","",IFERROR(INDEX(Config!$D$9:$D$29,MATCH($B2653,Config!$B$9:$B$29,0))&amp;"",""))</f>
        <v/>
      </c>
    </row>
    <row r="2654">
      <c r="X2654" s="20" t="str">
        <f>IF($B2654="","",IFERROR(IF(INDEX(Config!$D$9:$D$29,MATCH($B2654,Config!$B$9:$B$29,0))="Contrato",IF(INDEX(Config!$E$9:$E$29,MATCH($B2654,Config!$B$9:$B$29,0))="","",INDEX(Config!$E$9:$E$29,MATCH($B2654,Config!$B$9:$B$29,0))),""),""))</f>
        <v/>
      </c>
      <c r="AI2654" s="19" t="str">
        <f>IF($B2654="","",IFERROR(INDEX(Config!$D$9:$D$29,MATCH($B2654,Config!$B$9:$B$29,0))&amp;"",""))</f>
        <v/>
      </c>
    </row>
    <row r="2655">
      <c r="X2655" s="20" t="str">
        <f>IF($B2655="","",IFERROR(IF(INDEX(Config!$D$9:$D$29,MATCH($B2655,Config!$B$9:$B$29,0))="Contrato",IF(INDEX(Config!$E$9:$E$29,MATCH($B2655,Config!$B$9:$B$29,0))="","",INDEX(Config!$E$9:$E$29,MATCH($B2655,Config!$B$9:$B$29,0))),""),""))</f>
        <v/>
      </c>
      <c r="AI2655" s="19" t="str">
        <f>IF($B2655="","",IFERROR(INDEX(Config!$D$9:$D$29,MATCH($B2655,Config!$B$9:$B$29,0))&amp;"",""))</f>
        <v/>
      </c>
    </row>
    <row r="2656">
      <c r="X2656" s="20" t="str">
        <f>IF($B2656="","",IFERROR(IF(INDEX(Config!$D$9:$D$29,MATCH($B2656,Config!$B$9:$B$29,0))="Contrato",IF(INDEX(Config!$E$9:$E$29,MATCH($B2656,Config!$B$9:$B$29,0))="","",INDEX(Config!$E$9:$E$29,MATCH($B2656,Config!$B$9:$B$29,0))),""),""))</f>
        <v/>
      </c>
      <c r="AI2656" s="19" t="str">
        <f>IF($B2656="","",IFERROR(INDEX(Config!$D$9:$D$29,MATCH($B2656,Config!$B$9:$B$29,0))&amp;"",""))</f>
        <v/>
      </c>
    </row>
    <row r="2657">
      <c r="X2657" s="20" t="str">
        <f>IF($B2657="","",IFERROR(IF(INDEX(Config!$D$9:$D$29,MATCH($B2657,Config!$B$9:$B$29,0))="Contrato",IF(INDEX(Config!$E$9:$E$29,MATCH($B2657,Config!$B$9:$B$29,0))="","",INDEX(Config!$E$9:$E$29,MATCH($B2657,Config!$B$9:$B$29,0))),""),""))</f>
        <v/>
      </c>
      <c r="AI2657" s="19" t="str">
        <f>IF($B2657="","",IFERROR(INDEX(Config!$D$9:$D$29,MATCH($B2657,Config!$B$9:$B$29,0))&amp;"",""))</f>
        <v/>
      </c>
    </row>
    <row r="2658">
      <c r="X2658" s="20" t="str">
        <f>IF($B2658="","",IFERROR(IF(INDEX(Config!$D$9:$D$29,MATCH($B2658,Config!$B$9:$B$29,0))="Contrato",IF(INDEX(Config!$E$9:$E$29,MATCH($B2658,Config!$B$9:$B$29,0))="","",INDEX(Config!$E$9:$E$29,MATCH($B2658,Config!$B$9:$B$29,0))),""),""))</f>
        <v/>
      </c>
      <c r="AI2658" s="19" t="str">
        <f>IF($B2658="","",IFERROR(INDEX(Config!$D$9:$D$29,MATCH($B2658,Config!$B$9:$B$29,0))&amp;"",""))</f>
        <v/>
      </c>
    </row>
    <row r="2659">
      <c r="X2659" s="20" t="str">
        <f>IF($B2659="","",IFERROR(IF(INDEX(Config!$D$9:$D$29,MATCH($B2659,Config!$B$9:$B$29,0))="Contrato",IF(INDEX(Config!$E$9:$E$29,MATCH($B2659,Config!$B$9:$B$29,0))="","",INDEX(Config!$E$9:$E$29,MATCH($B2659,Config!$B$9:$B$29,0))),""),""))</f>
        <v/>
      </c>
      <c r="AI2659" s="19" t="str">
        <f>IF($B2659="","",IFERROR(INDEX(Config!$D$9:$D$29,MATCH($B2659,Config!$B$9:$B$29,0))&amp;"",""))</f>
        <v/>
      </c>
    </row>
    <row r="2660">
      <c r="X2660" s="20" t="str">
        <f>IF($B2660="","",IFERROR(IF(INDEX(Config!$D$9:$D$29,MATCH($B2660,Config!$B$9:$B$29,0))="Contrato",IF(INDEX(Config!$E$9:$E$29,MATCH($B2660,Config!$B$9:$B$29,0))="","",INDEX(Config!$E$9:$E$29,MATCH($B2660,Config!$B$9:$B$29,0))),""),""))</f>
        <v/>
      </c>
      <c r="AI2660" s="19" t="str">
        <f>IF($B2660="","",IFERROR(INDEX(Config!$D$9:$D$29,MATCH($B2660,Config!$B$9:$B$29,0))&amp;"",""))</f>
        <v/>
      </c>
    </row>
    <row r="2661">
      <c r="X2661" s="20" t="str">
        <f>IF($B2661="","",IFERROR(IF(INDEX(Config!$D$9:$D$29,MATCH($B2661,Config!$B$9:$B$29,0))="Contrato",IF(INDEX(Config!$E$9:$E$29,MATCH($B2661,Config!$B$9:$B$29,0))="","",INDEX(Config!$E$9:$E$29,MATCH($B2661,Config!$B$9:$B$29,0))),""),""))</f>
        <v/>
      </c>
      <c r="AI2661" s="19" t="str">
        <f>IF($B2661="","",IFERROR(INDEX(Config!$D$9:$D$29,MATCH($B2661,Config!$B$9:$B$29,0))&amp;"",""))</f>
        <v/>
      </c>
    </row>
    <row r="2662">
      <c r="X2662" s="20" t="str">
        <f>IF($B2662="","",IFERROR(IF(INDEX(Config!$D$9:$D$29,MATCH($B2662,Config!$B$9:$B$29,0))="Contrato",IF(INDEX(Config!$E$9:$E$29,MATCH($B2662,Config!$B$9:$B$29,0))="","",INDEX(Config!$E$9:$E$29,MATCH($B2662,Config!$B$9:$B$29,0))),""),""))</f>
        <v/>
      </c>
      <c r="AI2662" s="19" t="str">
        <f>IF($B2662="","",IFERROR(INDEX(Config!$D$9:$D$29,MATCH($B2662,Config!$B$9:$B$29,0))&amp;"",""))</f>
        <v/>
      </c>
    </row>
    <row r="2663">
      <c r="X2663" s="20" t="str">
        <f>IF($B2663="","",IFERROR(IF(INDEX(Config!$D$9:$D$29,MATCH($B2663,Config!$B$9:$B$29,0))="Contrato",IF(INDEX(Config!$E$9:$E$29,MATCH($B2663,Config!$B$9:$B$29,0))="","",INDEX(Config!$E$9:$E$29,MATCH($B2663,Config!$B$9:$B$29,0))),""),""))</f>
        <v/>
      </c>
      <c r="AI2663" s="19" t="str">
        <f>IF($B2663="","",IFERROR(INDEX(Config!$D$9:$D$29,MATCH($B2663,Config!$B$9:$B$29,0))&amp;"",""))</f>
        <v/>
      </c>
    </row>
    <row r="2664">
      <c r="X2664" s="20" t="str">
        <f>IF($B2664="","",IFERROR(IF(INDEX(Config!$D$9:$D$29,MATCH($B2664,Config!$B$9:$B$29,0))="Contrato",IF(INDEX(Config!$E$9:$E$29,MATCH($B2664,Config!$B$9:$B$29,0))="","",INDEX(Config!$E$9:$E$29,MATCH($B2664,Config!$B$9:$B$29,0))),""),""))</f>
        <v/>
      </c>
      <c r="AI2664" s="19" t="str">
        <f>IF($B2664="","",IFERROR(INDEX(Config!$D$9:$D$29,MATCH($B2664,Config!$B$9:$B$29,0))&amp;"",""))</f>
        <v/>
      </c>
    </row>
    <row r="2665">
      <c r="X2665" s="20" t="str">
        <f>IF($B2665="","",IFERROR(IF(INDEX(Config!$D$9:$D$29,MATCH($B2665,Config!$B$9:$B$29,0))="Contrato",IF(INDEX(Config!$E$9:$E$29,MATCH($B2665,Config!$B$9:$B$29,0))="","",INDEX(Config!$E$9:$E$29,MATCH($B2665,Config!$B$9:$B$29,0))),""),""))</f>
        <v/>
      </c>
      <c r="AI2665" s="19" t="str">
        <f>IF($B2665="","",IFERROR(INDEX(Config!$D$9:$D$29,MATCH($B2665,Config!$B$9:$B$29,0))&amp;"",""))</f>
        <v/>
      </c>
    </row>
    <row r="2666">
      <c r="X2666" s="20" t="str">
        <f>IF($B2666="","",IFERROR(IF(INDEX(Config!$D$9:$D$29,MATCH($B2666,Config!$B$9:$B$29,0))="Contrato",IF(INDEX(Config!$E$9:$E$29,MATCH($B2666,Config!$B$9:$B$29,0))="","",INDEX(Config!$E$9:$E$29,MATCH($B2666,Config!$B$9:$B$29,0))),""),""))</f>
        <v/>
      </c>
      <c r="AI2666" s="19" t="str">
        <f>IF($B2666="","",IFERROR(INDEX(Config!$D$9:$D$29,MATCH($B2666,Config!$B$9:$B$29,0))&amp;"",""))</f>
        <v/>
      </c>
    </row>
    <row r="2667">
      <c r="X2667" s="20" t="str">
        <f>IF($B2667="","",IFERROR(IF(INDEX(Config!$D$9:$D$29,MATCH($B2667,Config!$B$9:$B$29,0))="Contrato",IF(INDEX(Config!$E$9:$E$29,MATCH($B2667,Config!$B$9:$B$29,0))="","",INDEX(Config!$E$9:$E$29,MATCH($B2667,Config!$B$9:$B$29,0))),""),""))</f>
        <v/>
      </c>
      <c r="AI2667" s="19" t="str">
        <f>IF($B2667="","",IFERROR(INDEX(Config!$D$9:$D$29,MATCH($B2667,Config!$B$9:$B$29,0))&amp;"",""))</f>
        <v/>
      </c>
    </row>
    <row r="2668">
      <c r="X2668" s="20" t="str">
        <f>IF($B2668="","",IFERROR(IF(INDEX(Config!$D$9:$D$29,MATCH($B2668,Config!$B$9:$B$29,0))="Contrato",IF(INDEX(Config!$E$9:$E$29,MATCH($B2668,Config!$B$9:$B$29,0))="","",INDEX(Config!$E$9:$E$29,MATCH($B2668,Config!$B$9:$B$29,0))),""),""))</f>
        <v/>
      </c>
      <c r="AI2668" s="19" t="str">
        <f>IF($B2668="","",IFERROR(INDEX(Config!$D$9:$D$29,MATCH($B2668,Config!$B$9:$B$29,0))&amp;"",""))</f>
        <v/>
      </c>
    </row>
    <row r="2669">
      <c r="X2669" s="20" t="str">
        <f>IF($B2669="","",IFERROR(IF(INDEX(Config!$D$9:$D$29,MATCH($B2669,Config!$B$9:$B$29,0))="Contrato",IF(INDEX(Config!$E$9:$E$29,MATCH($B2669,Config!$B$9:$B$29,0))="","",INDEX(Config!$E$9:$E$29,MATCH($B2669,Config!$B$9:$B$29,0))),""),""))</f>
        <v/>
      </c>
      <c r="AI2669" s="19" t="str">
        <f>IF($B2669="","",IFERROR(INDEX(Config!$D$9:$D$29,MATCH($B2669,Config!$B$9:$B$29,0))&amp;"",""))</f>
        <v/>
      </c>
    </row>
    <row r="2670">
      <c r="X2670" s="20" t="str">
        <f>IF($B2670="","",IFERROR(IF(INDEX(Config!$D$9:$D$29,MATCH($B2670,Config!$B$9:$B$29,0))="Contrato",IF(INDEX(Config!$E$9:$E$29,MATCH($B2670,Config!$B$9:$B$29,0))="","",INDEX(Config!$E$9:$E$29,MATCH($B2670,Config!$B$9:$B$29,0))),""),""))</f>
        <v/>
      </c>
      <c r="AI2670" s="19" t="str">
        <f>IF($B2670="","",IFERROR(INDEX(Config!$D$9:$D$29,MATCH($B2670,Config!$B$9:$B$29,0))&amp;"",""))</f>
        <v/>
      </c>
    </row>
    <row r="2671">
      <c r="X2671" s="20" t="str">
        <f>IF($B2671="","",IFERROR(IF(INDEX(Config!$D$9:$D$29,MATCH($B2671,Config!$B$9:$B$29,0))="Contrato",IF(INDEX(Config!$E$9:$E$29,MATCH($B2671,Config!$B$9:$B$29,0))="","",INDEX(Config!$E$9:$E$29,MATCH($B2671,Config!$B$9:$B$29,0))),""),""))</f>
        <v/>
      </c>
      <c r="AI2671" s="19" t="str">
        <f>IF($B2671="","",IFERROR(INDEX(Config!$D$9:$D$29,MATCH($B2671,Config!$B$9:$B$29,0))&amp;"",""))</f>
        <v/>
      </c>
    </row>
    <row r="2672">
      <c r="X2672" s="20" t="str">
        <f>IF($B2672="","",IFERROR(IF(INDEX(Config!$D$9:$D$29,MATCH($B2672,Config!$B$9:$B$29,0))="Contrato",IF(INDEX(Config!$E$9:$E$29,MATCH($B2672,Config!$B$9:$B$29,0))="","",INDEX(Config!$E$9:$E$29,MATCH($B2672,Config!$B$9:$B$29,0))),""),""))</f>
        <v/>
      </c>
      <c r="AI2672" s="19" t="str">
        <f>IF($B2672="","",IFERROR(INDEX(Config!$D$9:$D$29,MATCH($B2672,Config!$B$9:$B$29,0))&amp;"",""))</f>
        <v/>
      </c>
    </row>
    <row r="2673">
      <c r="X2673" s="20" t="str">
        <f>IF($B2673="","",IFERROR(IF(INDEX(Config!$D$9:$D$29,MATCH($B2673,Config!$B$9:$B$29,0))="Contrato",IF(INDEX(Config!$E$9:$E$29,MATCH($B2673,Config!$B$9:$B$29,0))="","",INDEX(Config!$E$9:$E$29,MATCH($B2673,Config!$B$9:$B$29,0))),""),""))</f>
        <v/>
      </c>
      <c r="AI2673" s="19" t="str">
        <f>IF($B2673="","",IFERROR(INDEX(Config!$D$9:$D$29,MATCH($B2673,Config!$B$9:$B$29,0))&amp;"",""))</f>
        <v/>
      </c>
    </row>
    <row r="2674">
      <c r="X2674" s="20" t="str">
        <f>IF($B2674="","",IFERROR(IF(INDEX(Config!$D$9:$D$29,MATCH($B2674,Config!$B$9:$B$29,0))="Contrato",IF(INDEX(Config!$E$9:$E$29,MATCH($B2674,Config!$B$9:$B$29,0))="","",INDEX(Config!$E$9:$E$29,MATCH($B2674,Config!$B$9:$B$29,0))),""),""))</f>
        <v/>
      </c>
      <c r="AI2674" s="19" t="str">
        <f>IF($B2674="","",IFERROR(INDEX(Config!$D$9:$D$29,MATCH($B2674,Config!$B$9:$B$29,0))&amp;"",""))</f>
        <v/>
      </c>
    </row>
    <row r="2675">
      <c r="X2675" s="20" t="str">
        <f>IF($B2675="","",IFERROR(IF(INDEX(Config!$D$9:$D$29,MATCH($B2675,Config!$B$9:$B$29,0))="Contrato",IF(INDEX(Config!$E$9:$E$29,MATCH($B2675,Config!$B$9:$B$29,0))="","",INDEX(Config!$E$9:$E$29,MATCH($B2675,Config!$B$9:$B$29,0))),""),""))</f>
        <v/>
      </c>
      <c r="AI2675" s="19" t="str">
        <f>IF($B2675="","",IFERROR(INDEX(Config!$D$9:$D$29,MATCH($B2675,Config!$B$9:$B$29,0))&amp;"",""))</f>
        <v/>
      </c>
    </row>
    <row r="2676">
      <c r="X2676" s="20" t="str">
        <f>IF($B2676="","",IFERROR(IF(INDEX(Config!$D$9:$D$29,MATCH($B2676,Config!$B$9:$B$29,0))="Contrato",IF(INDEX(Config!$E$9:$E$29,MATCH($B2676,Config!$B$9:$B$29,0))="","",INDEX(Config!$E$9:$E$29,MATCH($B2676,Config!$B$9:$B$29,0))),""),""))</f>
        <v/>
      </c>
      <c r="AI2676" s="19" t="str">
        <f>IF($B2676="","",IFERROR(INDEX(Config!$D$9:$D$29,MATCH($B2676,Config!$B$9:$B$29,0))&amp;"",""))</f>
        <v/>
      </c>
    </row>
    <row r="2677">
      <c r="X2677" s="20" t="str">
        <f>IF($B2677="","",IFERROR(IF(INDEX(Config!$D$9:$D$29,MATCH($B2677,Config!$B$9:$B$29,0))="Contrato",IF(INDEX(Config!$E$9:$E$29,MATCH($B2677,Config!$B$9:$B$29,0))="","",INDEX(Config!$E$9:$E$29,MATCH($B2677,Config!$B$9:$B$29,0))),""),""))</f>
        <v/>
      </c>
      <c r="AI2677" s="19" t="str">
        <f>IF($B2677="","",IFERROR(INDEX(Config!$D$9:$D$29,MATCH($B2677,Config!$B$9:$B$29,0))&amp;"",""))</f>
        <v/>
      </c>
    </row>
    <row r="2678">
      <c r="X2678" s="20" t="str">
        <f>IF($B2678="","",IFERROR(IF(INDEX(Config!$D$9:$D$29,MATCH($B2678,Config!$B$9:$B$29,0))="Contrato",IF(INDEX(Config!$E$9:$E$29,MATCH($B2678,Config!$B$9:$B$29,0))="","",INDEX(Config!$E$9:$E$29,MATCH($B2678,Config!$B$9:$B$29,0))),""),""))</f>
        <v/>
      </c>
      <c r="AI2678" s="19" t="str">
        <f>IF($B2678="","",IFERROR(INDEX(Config!$D$9:$D$29,MATCH($B2678,Config!$B$9:$B$29,0))&amp;"",""))</f>
        <v/>
      </c>
    </row>
    <row r="2679">
      <c r="X2679" s="20" t="str">
        <f>IF($B2679="","",IFERROR(IF(INDEX(Config!$D$9:$D$29,MATCH($B2679,Config!$B$9:$B$29,0))="Contrato",IF(INDEX(Config!$E$9:$E$29,MATCH($B2679,Config!$B$9:$B$29,0))="","",INDEX(Config!$E$9:$E$29,MATCH($B2679,Config!$B$9:$B$29,0))),""),""))</f>
        <v/>
      </c>
      <c r="AI2679" s="19" t="str">
        <f>IF($B2679="","",IFERROR(INDEX(Config!$D$9:$D$29,MATCH($B2679,Config!$B$9:$B$29,0))&amp;"",""))</f>
        <v/>
      </c>
    </row>
    <row r="2680">
      <c r="X2680" s="20" t="str">
        <f>IF($B2680="","",IFERROR(IF(INDEX(Config!$D$9:$D$29,MATCH($B2680,Config!$B$9:$B$29,0))="Contrato",IF(INDEX(Config!$E$9:$E$29,MATCH($B2680,Config!$B$9:$B$29,0))="","",INDEX(Config!$E$9:$E$29,MATCH($B2680,Config!$B$9:$B$29,0))),""),""))</f>
        <v/>
      </c>
      <c r="AI2680" s="19" t="str">
        <f>IF($B2680="","",IFERROR(INDEX(Config!$D$9:$D$29,MATCH($B2680,Config!$B$9:$B$29,0))&amp;"",""))</f>
        <v/>
      </c>
    </row>
    <row r="2681">
      <c r="X2681" s="20" t="str">
        <f>IF($B2681="","",IFERROR(IF(INDEX(Config!$D$9:$D$29,MATCH($B2681,Config!$B$9:$B$29,0))="Contrato",IF(INDEX(Config!$E$9:$E$29,MATCH($B2681,Config!$B$9:$B$29,0))="","",INDEX(Config!$E$9:$E$29,MATCH($B2681,Config!$B$9:$B$29,0))),""),""))</f>
        <v/>
      </c>
      <c r="AI2681" s="19" t="str">
        <f>IF($B2681="","",IFERROR(INDEX(Config!$D$9:$D$29,MATCH($B2681,Config!$B$9:$B$29,0))&amp;"",""))</f>
        <v/>
      </c>
    </row>
    <row r="2682">
      <c r="X2682" s="20" t="str">
        <f>IF($B2682="","",IFERROR(IF(INDEX(Config!$D$9:$D$29,MATCH($B2682,Config!$B$9:$B$29,0))="Contrato",IF(INDEX(Config!$E$9:$E$29,MATCH($B2682,Config!$B$9:$B$29,0))="","",INDEX(Config!$E$9:$E$29,MATCH($B2682,Config!$B$9:$B$29,0))),""),""))</f>
        <v/>
      </c>
      <c r="AI2682" s="19" t="str">
        <f>IF($B2682="","",IFERROR(INDEX(Config!$D$9:$D$29,MATCH($B2682,Config!$B$9:$B$29,0))&amp;"",""))</f>
        <v/>
      </c>
    </row>
    <row r="2683">
      <c r="X2683" s="20" t="str">
        <f>IF($B2683="","",IFERROR(IF(INDEX(Config!$D$9:$D$29,MATCH($B2683,Config!$B$9:$B$29,0))="Contrato",IF(INDEX(Config!$E$9:$E$29,MATCH($B2683,Config!$B$9:$B$29,0))="","",INDEX(Config!$E$9:$E$29,MATCH($B2683,Config!$B$9:$B$29,0))),""),""))</f>
        <v/>
      </c>
      <c r="AI2683" s="19" t="str">
        <f>IF($B2683="","",IFERROR(INDEX(Config!$D$9:$D$29,MATCH($B2683,Config!$B$9:$B$29,0))&amp;"",""))</f>
        <v/>
      </c>
    </row>
    <row r="2684">
      <c r="X2684" s="20" t="str">
        <f>IF($B2684="","",IFERROR(IF(INDEX(Config!$D$9:$D$29,MATCH($B2684,Config!$B$9:$B$29,0))="Contrato",IF(INDEX(Config!$E$9:$E$29,MATCH($B2684,Config!$B$9:$B$29,0))="","",INDEX(Config!$E$9:$E$29,MATCH($B2684,Config!$B$9:$B$29,0))),""),""))</f>
        <v/>
      </c>
      <c r="AI2684" s="19" t="str">
        <f>IF($B2684="","",IFERROR(INDEX(Config!$D$9:$D$29,MATCH($B2684,Config!$B$9:$B$29,0))&amp;"",""))</f>
        <v/>
      </c>
    </row>
    <row r="2685">
      <c r="X2685" s="20" t="str">
        <f>IF($B2685="","",IFERROR(IF(INDEX(Config!$D$9:$D$29,MATCH($B2685,Config!$B$9:$B$29,0))="Contrato",IF(INDEX(Config!$E$9:$E$29,MATCH($B2685,Config!$B$9:$B$29,0))="","",INDEX(Config!$E$9:$E$29,MATCH($B2685,Config!$B$9:$B$29,0))),""),""))</f>
        <v/>
      </c>
      <c r="AI2685" s="19" t="str">
        <f>IF($B2685="","",IFERROR(INDEX(Config!$D$9:$D$29,MATCH($B2685,Config!$B$9:$B$29,0))&amp;"",""))</f>
        <v/>
      </c>
    </row>
    <row r="2686">
      <c r="X2686" s="20" t="str">
        <f>IF($B2686="","",IFERROR(IF(INDEX(Config!$D$9:$D$29,MATCH($B2686,Config!$B$9:$B$29,0))="Contrato",IF(INDEX(Config!$E$9:$E$29,MATCH($B2686,Config!$B$9:$B$29,0))="","",INDEX(Config!$E$9:$E$29,MATCH($B2686,Config!$B$9:$B$29,0))),""),""))</f>
        <v/>
      </c>
      <c r="AI2686" s="19" t="str">
        <f>IF($B2686="","",IFERROR(INDEX(Config!$D$9:$D$29,MATCH($B2686,Config!$B$9:$B$29,0))&amp;"",""))</f>
        <v/>
      </c>
    </row>
    <row r="2687">
      <c r="X2687" s="20" t="str">
        <f>IF($B2687="","",IFERROR(IF(INDEX(Config!$D$9:$D$29,MATCH($B2687,Config!$B$9:$B$29,0))="Contrato",IF(INDEX(Config!$E$9:$E$29,MATCH($B2687,Config!$B$9:$B$29,0))="","",INDEX(Config!$E$9:$E$29,MATCH($B2687,Config!$B$9:$B$29,0))),""),""))</f>
        <v/>
      </c>
      <c r="AI2687" s="19" t="str">
        <f>IF($B2687="","",IFERROR(INDEX(Config!$D$9:$D$29,MATCH($B2687,Config!$B$9:$B$29,0))&amp;"",""))</f>
        <v/>
      </c>
    </row>
    <row r="2688">
      <c r="X2688" s="20" t="str">
        <f>IF($B2688="","",IFERROR(IF(INDEX(Config!$D$9:$D$29,MATCH($B2688,Config!$B$9:$B$29,0))="Contrato",IF(INDEX(Config!$E$9:$E$29,MATCH($B2688,Config!$B$9:$B$29,0))="","",INDEX(Config!$E$9:$E$29,MATCH($B2688,Config!$B$9:$B$29,0))),""),""))</f>
        <v/>
      </c>
      <c r="AI2688" s="19" t="str">
        <f>IF($B2688="","",IFERROR(INDEX(Config!$D$9:$D$29,MATCH($B2688,Config!$B$9:$B$29,0))&amp;"",""))</f>
        <v/>
      </c>
    </row>
    <row r="2689">
      <c r="X2689" s="20" t="str">
        <f>IF($B2689="","",IFERROR(IF(INDEX(Config!$D$9:$D$29,MATCH($B2689,Config!$B$9:$B$29,0))="Contrato",IF(INDEX(Config!$E$9:$E$29,MATCH($B2689,Config!$B$9:$B$29,0))="","",INDEX(Config!$E$9:$E$29,MATCH($B2689,Config!$B$9:$B$29,0))),""),""))</f>
        <v/>
      </c>
      <c r="AI2689" s="19" t="str">
        <f>IF($B2689="","",IFERROR(INDEX(Config!$D$9:$D$29,MATCH($B2689,Config!$B$9:$B$29,0))&amp;"",""))</f>
        <v/>
      </c>
    </row>
    <row r="2690">
      <c r="X2690" s="20" t="str">
        <f>IF($B2690="","",IFERROR(IF(INDEX(Config!$D$9:$D$29,MATCH($B2690,Config!$B$9:$B$29,0))="Contrato",IF(INDEX(Config!$E$9:$E$29,MATCH($B2690,Config!$B$9:$B$29,0))="","",INDEX(Config!$E$9:$E$29,MATCH($B2690,Config!$B$9:$B$29,0))),""),""))</f>
        <v/>
      </c>
      <c r="AI2690" s="19" t="str">
        <f>IF($B2690="","",IFERROR(INDEX(Config!$D$9:$D$29,MATCH($B2690,Config!$B$9:$B$29,0))&amp;"",""))</f>
        <v/>
      </c>
    </row>
    <row r="2691">
      <c r="X2691" s="20" t="str">
        <f>IF($B2691="","",IFERROR(IF(INDEX(Config!$D$9:$D$29,MATCH($B2691,Config!$B$9:$B$29,0))="Contrato",IF(INDEX(Config!$E$9:$E$29,MATCH($B2691,Config!$B$9:$B$29,0))="","",INDEX(Config!$E$9:$E$29,MATCH($B2691,Config!$B$9:$B$29,0))),""),""))</f>
        <v/>
      </c>
      <c r="AI2691" s="19" t="str">
        <f>IF($B2691="","",IFERROR(INDEX(Config!$D$9:$D$29,MATCH($B2691,Config!$B$9:$B$29,0))&amp;"",""))</f>
        <v/>
      </c>
    </row>
    <row r="2692">
      <c r="X2692" s="20" t="str">
        <f>IF($B2692="","",IFERROR(IF(INDEX(Config!$D$9:$D$29,MATCH($B2692,Config!$B$9:$B$29,0))="Contrato",IF(INDEX(Config!$E$9:$E$29,MATCH($B2692,Config!$B$9:$B$29,0))="","",INDEX(Config!$E$9:$E$29,MATCH($B2692,Config!$B$9:$B$29,0))),""),""))</f>
        <v/>
      </c>
      <c r="AI2692" s="19" t="str">
        <f>IF($B2692="","",IFERROR(INDEX(Config!$D$9:$D$29,MATCH($B2692,Config!$B$9:$B$29,0))&amp;"",""))</f>
        <v/>
      </c>
    </row>
    <row r="2693">
      <c r="X2693" s="20" t="str">
        <f>IF($B2693="","",IFERROR(IF(INDEX(Config!$D$9:$D$29,MATCH($B2693,Config!$B$9:$B$29,0))="Contrato",IF(INDEX(Config!$E$9:$E$29,MATCH($B2693,Config!$B$9:$B$29,0))="","",INDEX(Config!$E$9:$E$29,MATCH($B2693,Config!$B$9:$B$29,0))),""),""))</f>
        <v/>
      </c>
      <c r="AI2693" s="19" t="str">
        <f>IF($B2693="","",IFERROR(INDEX(Config!$D$9:$D$29,MATCH($B2693,Config!$B$9:$B$29,0))&amp;"",""))</f>
        <v/>
      </c>
    </row>
    <row r="2694">
      <c r="X2694" s="20" t="str">
        <f>IF($B2694="","",IFERROR(IF(INDEX(Config!$D$9:$D$29,MATCH($B2694,Config!$B$9:$B$29,0))="Contrato",IF(INDEX(Config!$E$9:$E$29,MATCH($B2694,Config!$B$9:$B$29,0))="","",INDEX(Config!$E$9:$E$29,MATCH($B2694,Config!$B$9:$B$29,0))),""),""))</f>
        <v/>
      </c>
      <c r="AI2694" s="19" t="str">
        <f>IF($B2694="","",IFERROR(INDEX(Config!$D$9:$D$29,MATCH($B2694,Config!$B$9:$B$29,0))&amp;"",""))</f>
        <v/>
      </c>
    </row>
    <row r="2695">
      <c r="X2695" s="20" t="str">
        <f>IF($B2695="","",IFERROR(IF(INDEX(Config!$D$9:$D$29,MATCH($B2695,Config!$B$9:$B$29,0))="Contrato",IF(INDEX(Config!$E$9:$E$29,MATCH($B2695,Config!$B$9:$B$29,0))="","",INDEX(Config!$E$9:$E$29,MATCH($B2695,Config!$B$9:$B$29,0))),""),""))</f>
        <v/>
      </c>
      <c r="AI2695" s="19" t="str">
        <f>IF($B2695="","",IFERROR(INDEX(Config!$D$9:$D$29,MATCH($B2695,Config!$B$9:$B$29,0))&amp;"",""))</f>
        <v/>
      </c>
    </row>
    <row r="2696">
      <c r="X2696" s="20" t="str">
        <f>IF($B2696="","",IFERROR(IF(INDEX(Config!$D$9:$D$29,MATCH($B2696,Config!$B$9:$B$29,0))="Contrato",IF(INDEX(Config!$E$9:$E$29,MATCH($B2696,Config!$B$9:$B$29,0))="","",INDEX(Config!$E$9:$E$29,MATCH($B2696,Config!$B$9:$B$29,0))),""),""))</f>
        <v/>
      </c>
      <c r="AI2696" s="19" t="str">
        <f>IF($B2696="","",IFERROR(INDEX(Config!$D$9:$D$29,MATCH($B2696,Config!$B$9:$B$29,0))&amp;"",""))</f>
        <v/>
      </c>
    </row>
    <row r="2697">
      <c r="X2697" s="20" t="str">
        <f>IF($B2697="","",IFERROR(IF(INDEX(Config!$D$9:$D$29,MATCH($B2697,Config!$B$9:$B$29,0))="Contrato",IF(INDEX(Config!$E$9:$E$29,MATCH($B2697,Config!$B$9:$B$29,0))="","",INDEX(Config!$E$9:$E$29,MATCH($B2697,Config!$B$9:$B$29,0))),""),""))</f>
        <v/>
      </c>
      <c r="AI2697" s="19" t="str">
        <f>IF($B2697="","",IFERROR(INDEX(Config!$D$9:$D$29,MATCH($B2697,Config!$B$9:$B$29,0))&amp;"",""))</f>
        <v/>
      </c>
    </row>
    <row r="2698">
      <c r="X2698" s="20" t="str">
        <f>IF($B2698="","",IFERROR(IF(INDEX(Config!$D$9:$D$29,MATCH($B2698,Config!$B$9:$B$29,0))="Contrato",IF(INDEX(Config!$E$9:$E$29,MATCH($B2698,Config!$B$9:$B$29,0))="","",INDEX(Config!$E$9:$E$29,MATCH($B2698,Config!$B$9:$B$29,0))),""),""))</f>
        <v/>
      </c>
      <c r="AI2698" s="19" t="str">
        <f>IF($B2698="","",IFERROR(INDEX(Config!$D$9:$D$29,MATCH($B2698,Config!$B$9:$B$29,0))&amp;"",""))</f>
        <v/>
      </c>
    </row>
    <row r="2699">
      <c r="X2699" s="20" t="str">
        <f>IF($B2699="","",IFERROR(IF(INDEX(Config!$D$9:$D$29,MATCH($B2699,Config!$B$9:$B$29,0))="Contrato",IF(INDEX(Config!$E$9:$E$29,MATCH($B2699,Config!$B$9:$B$29,0))="","",INDEX(Config!$E$9:$E$29,MATCH($B2699,Config!$B$9:$B$29,0))),""),""))</f>
        <v/>
      </c>
      <c r="AI2699" s="19" t="str">
        <f>IF($B2699="","",IFERROR(INDEX(Config!$D$9:$D$29,MATCH($B2699,Config!$B$9:$B$29,0))&amp;"",""))</f>
        <v/>
      </c>
    </row>
    <row r="2700">
      <c r="X2700" s="20" t="str">
        <f>IF($B2700="","",IFERROR(IF(INDEX(Config!$D$9:$D$29,MATCH($B2700,Config!$B$9:$B$29,0))="Contrato",IF(INDEX(Config!$E$9:$E$29,MATCH($B2700,Config!$B$9:$B$29,0))="","",INDEX(Config!$E$9:$E$29,MATCH($B2700,Config!$B$9:$B$29,0))),""),""))</f>
        <v/>
      </c>
      <c r="AI2700" s="19" t="str">
        <f>IF($B2700="","",IFERROR(INDEX(Config!$D$9:$D$29,MATCH($B2700,Config!$B$9:$B$29,0))&amp;"",""))</f>
        <v/>
      </c>
    </row>
    <row r="2701">
      <c r="X2701" s="20" t="str">
        <f>IF($B2701="","",IFERROR(IF(INDEX(Config!$D$9:$D$29,MATCH($B2701,Config!$B$9:$B$29,0))="Contrato",IF(INDEX(Config!$E$9:$E$29,MATCH($B2701,Config!$B$9:$B$29,0))="","",INDEX(Config!$E$9:$E$29,MATCH($B2701,Config!$B$9:$B$29,0))),""),""))</f>
        <v/>
      </c>
      <c r="AI2701" s="19" t="str">
        <f>IF($B2701="","",IFERROR(INDEX(Config!$D$9:$D$29,MATCH($B2701,Config!$B$9:$B$29,0))&amp;"",""))</f>
        <v/>
      </c>
    </row>
    <row r="2702">
      <c r="X2702" s="20" t="str">
        <f>IF($B2702="","",IFERROR(IF(INDEX(Config!$D$9:$D$29,MATCH($B2702,Config!$B$9:$B$29,0))="Contrato",IF(INDEX(Config!$E$9:$E$29,MATCH($B2702,Config!$B$9:$B$29,0))="","",INDEX(Config!$E$9:$E$29,MATCH($B2702,Config!$B$9:$B$29,0))),""),""))</f>
        <v/>
      </c>
      <c r="AI2702" s="19" t="str">
        <f>IF($B2702="","",IFERROR(INDEX(Config!$D$9:$D$29,MATCH($B2702,Config!$B$9:$B$29,0))&amp;"",""))</f>
        <v/>
      </c>
    </row>
    <row r="2703">
      <c r="X2703" s="20" t="str">
        <f>IF($B2703="","",IFERROR(IF(INDEX(Config!$D$9:$D$29,MATCH($B2703,Config!$B$9:$B$29,0))="Contrato",IF(INDEX(Config!$E$9:$E$29,MATCH($B2703,Config!$B$9:$B$29,0))="","",INDEX(Config!$E$9:$E$29,MATCH($B2703,Config!$B$9:$B$29,0))),""),""))</f>
        <v/>
      </c>
      <c r="AI2703" s="19" t="str">
        <f>IF($B2703="","",IFERROR(INDEX(Config!$D$9:$D$29,MATCH($B2703,Config!$B$9:$B$29,0))&amp;"",""))</f>
        <v/>
      </c>
    </row>
    <row r="2704">
      <c r="X2704" s="20" t="str">
        <f>IF($B2704="","",IFERROR(IF(INDEX(Config!$D$9:$D$29,MATCH($B2704,Config!$B$9:$B$29,0))="Contrato",IF(INDEX(Config!$E$9:$E$29,MATCH($B2704,Config!$B$9:$B$29,0))="","",INDEX(Config!$E$9:$E$29,MATCH($B2704,Config!$B$9:$B$29,0))),""),""))</f>
        <v/>
      </c>
      <c r="AI2704" s="19" t="str">
        <f>IF($B2704="","",IFERROR(INDEX(Config!$D$9:$D$29,MATCH($B2704,Config!$B$9:$B$29,0))&amp;"",""))</f>
        <v/>
      </c>
    </row>
    <row r="2705">
      <c r="X2705" s="20" t="str">
        <f>IF($B2705="","",IFERROR(IF(INDEX(Config!$D$9:$D$29,MATCH($B2705,Config!$B$9:$B$29,0))="Contrato",IF(INDEX(Config!$E$9:$E$29,MATCH($B2705,Config!$B$9:$B$29,0))="","",INDEX(Config!$E$9:$E$29,MATCH($B2705,Config!$B$9:$B$29,0))),""),""))</f>
        <v/>
      </c>
      <c r="AI2705" s="19" t="str">
        <f>IF($B2705="","",IFERROR(INDEX(Config!$D$9:$D$29,MATCH($B2705,Config!$B$9:$B$29,0))&amp;"",""))</f>
        <v/>
      </c>
    </row>
    <row r="2706">
      <c r="X2706" s="20" t="str">
        <f>IF($B2706="","",IFERROR(IF(INDEX(Config!$D$9:$D$29,MATCH($B2706,Config!$B$9:$B$29,0))="Contrato",IF(INDEX(Config!$E$9:$E$29,MATCH($B2706,Config!$B$9:$B$29,0))="","",INDEX(Config!$E$9:$E$29,MATCH($B2706,Config!$B$9:$B$29,0))),""),""))</f>
        <v/>
      </c>
      <c r="AI2706" s="19" t="str">
        <f>IF($B2706="","",IFERROR(INDEX(Config!$D$9:$D$29,MATCH($B2706,Config!$B$9:$B$29,0))&amp;"",""))</f>
        <v/>
      </c>
    </row>
    <row r="2707">
      <c r="X2707" s="20" t="str">
        <f>IF($B2707="","",IFERROR(IF(INDEX(Config!$D$9:$D$29,MATCH($B2707,Config!$B$9:$B$29,0))="Contrato",IF(INDEX(Config!$E$9:$E$29,MATCH($B2707,Config!$B$9:$B$29,0))="","",INDEX(Config!$E$9:$E$29,MATCH($B2707,Config!$B$9:$B$29,0))),""),""))</f>
        <v/>
      </c>
      <c r="AI2707" s="19" t="str">
        <f>IF($B2707="","",IFERROR(INDEX(Config!$D$9:$D$29,MATCH($B2707,Config!$B$9:$B$29,0))&amp;"",""))</f>
        <v/>
      </c>
    </row>
    <row r="2708">
      <c r="X2708" s="20" t="str">
        <f>IF($B2708="","",IFERROR(IF(INDEX(Config!$D$9:$D$29,MATCH($B2708,Config!$B$9:$B$29,0))="Contrato",IF(INDEX(Config!$E$9:$E$29,MATCH($B2708,Config!$B$9:$B$29,0))="","",INDEX(Config!$E$9:$E$29,MATCH($B2708,Config!$B$9:$B$29,0))),""),""))</f>
        <v/>
      </c>
      <c r="AI2708" s="19" t="str">
        <f>IF($B2708="","",IFERROR(INDEX(Config!$D$9:$D$29,MATCH($B2708,Config!$B$9:$B$29,0))&amp;"",""))</f>
        <v/>
      </c>
    </row>
    <row r="2709">
      <c r="X2709" s="20" t="str">
        <f>IF($B2709="","",IFERROR(IF(INDEX(Config!$D$9:$D$29,MATCH($B2709,Config!$B$9:$B$29,0))="Contrato",IF(INDEX(Config!$E$9:$E$29,MATCH($B2709,Config!$B$9:$B$29,0))="","",INDEX(Config!$E$9:$E$29,MATCH($B2709,Config!$B$9:$B$29,0))),""),""))</f>
        <v/>
      </c>
      <c r="AI2709" s="19" t="str">
        <f>IF($B2709="","",IFERROR(INDEX(Config!$D$9:$D$29,MATCH($B2709,Config!$B$9:$B$29,0))&amp;"",""))</f>
        <v/>
      </c>
    </row>
    <row r="2710">
      <c r="X2710" s="20" t="str">
        <f>IF($B2710="","",IFERROR(IF(INDEX(Config!$D$9:$D$29,MATCH($B2710,Config!$B$9:$B$29,0))="Contrato",IF(INDEX(Config!$E$9:$E$29,MATCH($B2710,Config!$B$9:$B$29,0))="","",INDEX(Config!$E$9:$E$29,MATCH($B2710,Config!$B$9:$B$29,0))),""),""))</f>
        <v/>
      </c>
      <c r="AI2710" s="19" t="str">
        <f>IF($B2710="","",IFERROR(INDEX(Config!$D$9:$D$29,MATCH($B2710,Config!$B$9:$B$29,0))&amp;"",""))</f>
        <v/>
      </c>
    </row>
    <row r="2711">
      <c r="X2711" s="20" t="str">
        <f>IF($B2711="","",IFERROR(IF(INDEX(Config!$D$9:$D$29,MATCH($B2711,Config!$B$9:$B$29,0))="Contrato",IF(INDEX(Config!$E$9:$E$29,MATCH($B2711,Config!$B$9:$B$29,0))="","",INDEX(Config!$E$9:$E$29,MATCH($B2711,Config!$B$9:$B$29,0))),""),""))</f>
        <v/>
      </c>
      <c r="AI2711" s="19" t="str">
        <f>IF($B2711="","",IFERROR(INDEX(Config!$D$9:$D$29,MATCH($B2711,Config!$B$9:$B$29,0))&amp;"",""))</f>
        <v/>
      </c>
    </row>
    <row r="2712">
      <c r="X2712" s="20" t="str">
        <f>IF($B2712="","",IFERROR(IF(INDEX(Config!$D$9:$D$29,MATCH($B2712,Config!$B$9:$B$29,0))="Contrato",IF(INDEX(Config!$E$9:$E$29,MATCH($B2712,Config!$B$9:$B$29,0))="","",INDEX(Config!$E$9:$E$29,MATCH($B2712,Config!$B$9:$B$29,0))),""),""))</f>
        <v/>
      </c>
      <c r="AI2712" s="19" t="str">
        <f>IF($B2712="","",IFERROR(INDEX(Config!$D$9:$D$29,MATCH($B2712,Config!$B$9:$B$29,0))&amp;"",""))</f>
        <v/>
      </c>
    </row>
    <row r="2713">
      <c r="X2713" s="20" t="str">
        <f>IF($B2713="","",IFERROR(IF(INDEX(Config!$D$9:$D$29,MATCH($B2713,Config!$B$9:$B$29,0))="Contrato",IF(INDEX(Config!$E$9:$E$29,MATCH($B2713,Config!$B$9:$B$29,0))="","",INDEX(Config!$E$9:$E$29,MATCH($B2713,Config!$B$9:$B$29,0))),""),""))</f>
        <v/>
      </c>
      <c r="AI2713" s="19" t="str">
        <f>IF($B2713="","",IFERROR(INDEX(Config!$D$9:$D$29,MATCH($B2713,Config!$B$9:$B$29,0))&amp;"",""))</f>
        <v/>
      </c>
    </row>
    <row r="2714">
      <c r="X2714" s="20" t="str">
        <f>IF($B2714="","",IFERROR(IF(INDEX(Config!$D$9:$D$29,MATCH($B2714,Config!$B$9:$B$29,0))="Contrato",IF(INDEX(Config!$E$9:$E$29,MATCH($B2714,Config!$B$9:$B$29,0))="","",INDEX(Config!$E$9:$E$29,MATCH($B2714,Config!$B$9:$B$29,0))),""),""))</f>
        <v/>
      </c>
      <c r="AI2714" s="19" t="str">
        <f>IF($B2714="","",IFERROR(INDEX(Config!$D$9:$D$29,MATCH($B2714,Config!$B$9:$B$29,0))&amp;"",""))</f>
        <v/>
      </c>
    </row>
    <row r="2715">
      <c r="X2715" s="20" t="str">
        <f>IF($B2715="","",IFERROR(IF(INDEX(Config!$D$9:$D$29,MATCH($B2715,Config!$B$9:$B$29,0))="Contrato",IF(INDEX(Config!$E$9:$E$29,MATCH($B2715,Config!$B$9:$B$29,0))="","",INDEX(Config!$E$9:$E$29,MATCH($B2715,Config!$B$9:$B$29,0))),""),""))</f>
        <v/>
      </c>
      <c r="AI2715" s="19" t="str">
        <f>IF($B2715="","",IFERROR(INDEX(Config!$D$9:$D$29,MATCH($B2715,Config!$B$9:$B$29,0))&amp;"",""))</f>
        <v/>
      </c>
    </row>
    <row r="2716">
      <c r="X2716" s="20" t="str">
        <f>IF($B2716="","",IFERROR(IF(INDEX(Config!$D$9:$D$29,MATCH($B2716,Config!$B$9:$B$29,0))="Contrato",IF(INDEX(Config!$E$9:$E$29,MATCH($B2716,Config!$B$9:$B$29,0))="","",INDEX(Config!$E$9:$E$29,MATCH($B2716,Config!$B$9:$B$29,0))),""),""))</f>
        <v/>
      </c>
      <c r="AI2716" s="19" t="str">
        <f>IF($B2716="","",IFERROR(INDEX(Config!$D$9:$D$29,MATCH($B2716,Config!$B$9:$B$29,0))&amp;"",""))</f>
        <v/>
      </c>
    </row>
    <row r="2717">
      <c r="X2717" s="20" t="str">
        <f>IF($B2717="","",IFERROR(IF(INDEX(Config!$D$9:$D$29,MATCH($B2717,Config!$B$9:$B$29,0))="Contrato",IF(INDEX(Config!$E$9:$E$29,MATCH($B2717,Config!$B$9:$B$29,0))="","",INDEX(Config!$E$9:$E$29,MATCH($B2717,Config!$B$9:$B$29,0))),""),""))</f>
        <v/>
      </c>
      <c r="AI2717" s="19" t="str">
        <f>IF($B2717="","",IFERROR(INDEX(Config!$D$9:$D$29,MATCH($B2717,Config!$B$9:$B$29,0))&amp;"",""))</f>
        <v/>
      </c>
    </row>
    <row r="2718">
      <c r="X2718" s="20" t="str">
        <f>IF($B2718="","",IFERROR(IF(INDEX(Config!$D$9:$D$29,MATCH($B2718,Config!$B$9:$B$29,0))="Contrato",IF(INDEX(Config!$E$9:$E$29,MATCH($B2718,Config!$B$9:$B$29,0))="","",INDEX(Config!$E$9:$E$29,MATCH($B2718,Config!$B$9:$B$29,0))),""),""))</f>
        <v/>
      </c>
      <c r="AI2718" s="19" t="str">
        <f>IF($B2718="","",IFERROR(INDEX(Config!$D$9:$D$29,MATCH($B2718,Config!$B$9:$B$29,0))&amp;"",""))</f>
        <v/>
      </c>
    </row>
    <row r="2719">
      <c r="X2719" s="20" t="str">
        <f>IF($B2719="","",IFERROR(IF(INDEX(Config!$D$9:$D$29,MATCH($B2719,Config!$B$9:$B$29,0))="Contrato",IF(INDEX(Config!$E$9:$E$29,MATCH($B2719,Config!$B$9:$B$29,0))="","",INDEX(Config!$E$9:$E$29,MATCH($B2719,Config!$B$9:$B$29,0))),""),""))</f>
        <v/>
      </c>
      <c r="AI2719" s="19" t="str">
        <f>IF($B2719="","",IFERROR(INDEX(Config!$D$9:$D$29,MATCH($B2719,Config!$B$9:$B$29,0))&amp;"",""))</f>
        <v/>
      </c>
    </row>
    <row r="2720">
      <c r="X2720" s="20" t="str">
        <f>IF($B2720="","",IFERROR(IF(INDEX(Config!$D$9:$D$29,MATCH($B2720,Config!$B$9:$B$29,0))="Contrato",IF(INDEX(Config!$E$9:$E$29,MATCH($B2720,Config!$B$9:$B$29,0))="","",INDEX(Config!$E$9:$E$29,MATCH($B2720,Config!$B$9:$B$29,0))),""),""))</f>
        <v/>
      </c>
      <c r="AI2720" s="19" t="str">
        <f>IF($B2720="","",IFERROR(INDEX(Config!$D$9:$D$29,MATCH($B2720,Config!$B$9:$B$29,0))&amp;"",""))</f>
        <v/>
      </c>
    </row>
    <row r="2721">
      <c r="X2721" s="20" t="str">
        <f>IF($B2721="","",IFERROR(IF(INDEX(Config!$D$9:$D$29,MATCH($B2721,Config!$B$9:$B$29,0))="Contrato",IF(INDEX(Config!$E$9:$E$29,MATCH($B2721,Config!$B$9:$B$29,0))="","",INDEX(Config!$E$9:$E$29,MATCH($B2721,Config!$B$9:$B$29,0))),""),""))</f>
        <v/>
      </c>
      <c r="AI2721" s="19" t="str">
        <f>IF($B2721="","",IFERROR(INDEX(Config!$D$9:$D$29,MATCH($B2721,Config!$B$9:$B$29,0))&amp;"",""))</f>
        <v/>
      </c>
    </row>
    <row r="2722">
      <c r="X2722" s="20" t="str">
        <f>IF($B2722="","",IFERROR(IF(INDEX(Config!$D$9:$D$29,MATCH($B2722,Config!$B$9:$B$29,0))="Contrato",IF(INDEX(Config!$E$9:$E$29,MATCH($B2722,Config!$B$9:$B$29,0))="","",INDEX(Config!$E$9:$E$29,MATCH($B2722,Config!$B$9:$B$29,0))),""),""))</f>
        <v/>
      </c>
      <c r="AI2722" s="19" t="str">
        <f>IF($B2722="","",IFERROR(INDEX(Config!$D$9:$D$29,MATCH($B2722,Config!$B$9:$B$29,0))&amp;"",""))</f>
        <v/>
      </c>
    </row>
    <row r="2723">
      <c r="X2723" s="20" t="str">
        <f>IF($B2723="","",IFERROR(IF(INDEX(Config!$D$9:$D$29,MATCH($B2723,Config!$B$9:$B$29,0))="Contrato",IF(INDEX(Config!$E$9:$E$29,MATCH($B2723,Config!$B$9:$B$29,0))="","",INDEX(Config!$E$9:$E$29,MATCH($B2723,Config!$B$9:$B$29,0))),""),""))</f>
        <v/>
      </c>
      <c r="AI2723" s="19" t="str">
        <f>IF($B2723="","",IFERROR(INDEX(Config!$D$9:$D$29,MATCH($B2723,Config!$B$9:$B$29,0))&amp;"",""))</f>
        <v/>
      </c>
    </row>
    <row r="2724">
      <c r="X2724" s="20" t="str">
        <f>IF($B2724="","",IFERROR(IF(INDEX(Config!$D$9:$D$29,MATCH($B2724,Config!$B$9:$B$29,0))="Contrato",IF(INDEX(Config!$E$9:$E$29,MATCH($B2724,Config!$B$9:$B$29,0))="","",INDEX(Config!$E$9:$E$29,MATCH($B2724,Config!$B$9:$B$29,0))),""),""))</f>
        <v/>
      </c>
      <c r="AI2724" s="19" t="str">
        <f>IF($B2724="","",IFERROR(INDEX(Config!$D$9:$D$29,MATCH($B2724,Config!$B$9:$B$29,0))&amp;"",""))</f>
        <v/>
      </c>
    </row>
    <row r="2725">
      <c r="X2725" s="20" t="str">
        <f>IF($B2725="","",IFERROR(IF(INDEX(Config!$D$9:$D$29,MATCH($B2725,Config!$B$9:$B$29,0))="Contrato",IF(INDEX(Config!$E$9:$E$29,MATCH($B2725,Config!$B$9:$B$29,0))="","",INDEX(Config!$E$9:$E$29,MATCH($B2725,Config!$B$9:$B$29,0))),""),""))</f>
        <v/>
      </c>
      <c r="AI2725" s="19" t="str">
        <f>IF($B2725="","",IFERROR(INDEX(Config!$D$9:$D$29,MATCH($B2725,Config!$B$9:$B$29,0))&amp;"",""))</f>
        <v/>
      </c>
    </row>
    <row r="2726">
      <c r="X2726" s="20" t="str">
        <f>IF($B2726="","",IFERROR(IF(INDEX(Config!$D$9:$D$29,MATCH($B2726,Config!$B$9:$B$29,0))="Contrato",IF(INDEX(Config!$E$9:$E$29,MATCH($B2726,Config!$B$9:$B$29,0))="","",INDEX(Config!$E$9:$E$29,MATCH($B2726,Config!$B$9:$B$29,0))),""),""))</f>
        <v/>
      </c>
      <c r="AI2726" s="19" t="str">
        <f>IF($B2726="","",IFERROR(INDEX(Config!$D$9:$D$29,MATCH($B2726,Config!$B$9:$B$29,0))&amp;"",""))</f>
        <v/>
      </c>
    </row>
    <row r="2727">
      <c r="X2727" s="20" t="str">
        <f>IF($B2727="","",IFERROR(IF(INDEX(Config!$D$9:$D$29,MATCH($B2727,Config!$B$9:$B$29,0))="Contrato",IF(INDEX(Config!$E$9:$E$29,MATCH($B2727,Config!$B$9:$B$29,0))="","",INDEX(Config!$E$9:$E$29,MATCH($B2727,Config!$B$9:$B$29,0))),""),""))</f>
        <v/>
      </c>
      <c r="AI2727" s="19" t="str">
        <f>IF($B2727="","",IFERROR(INDEX(Config!$D$9:$D$29,MATCH($B2727,Config!$B$9:$B$29,0))&amp;"",""))</f>
        <v/>
      </c>
    </row>
    <row r="2728">
      <c r="X2728" s="20" t="str">
        <f>IF($B2728="","",IFERROR(IF(INDEX(Config!$D$9:$D$29,MATCH($B2728,Config!$B$9:$B$29,0))="Contrato",IF(INDEX(Config!$E$9:$E$29,MATCH($B2728,Config!$B$9:$B$29,0))="","",INDEX(Config!$E$9:$E$29,MATCH($B2728,Config!$B$9:$B$29,0))),""),""))</f>
        <v/>
      </c>
      <c r="AI2728" s="19" t="str">
        <f>IF($B2728="","",IFERROR(INDEX(Config!$D$9:$D$29,MATCH($B2728,Config!$B$9:$B$29,0))&amp;"",""))</f>
        <v/>
      </c>
    </row>
    <row r="2729">
      <c r="X2729" s="20" t="str">
        <f>IF($B2729="","",IFERROR(IF(INDEX(Config!$D$9:$D$29,MATCH($B2729,Config!$B$9:$B$29,0))="Contrato",IF(INDEX(Config!$E$9:$E$29,MATCH($B2729,Config!$B$9:$B$29,0))="","",INDEX(Config!$E$9:$E$29,MATCH($B2729,Config!$B$9:$B$29,0))),""),""))</f>
        <v/>
      </c>
      <c r="AI2729" s="19" t="str">
        <f>IF($B2729="","",IFERROR(INDEX(Config!$D$9:$D$29,MATCH($B2729,Config!$B$9:$B$29,0))&amp;"",""))</f>
        <v/>
      </c>
    </row>
    <row r="2730">
      <c r="X2730" s="20" t="str">
        <f>IF($B2730="","",IFERROR(IF(INDEX(Config!$D$9:$D$29,MATCH($B2730,Config!$B$9:$B$29,0))="Contrato",IF(INDEX(Config!$E$9:$E$29,MATCH($B2730,Config!$B$9:$B$29,0))="","",INDEX(Config!$E$9:$E$29,MATCH($B2730,Config!$B$9:$B$29,0))),""),""))</f>
        <v/>
      </c>
      <c r="AI2730" s="19" t="str">
        <f>IF($B2730="","",IFERROR(INDEX(Config!$D$9:$D$29,MATCH($B2730,Config!$B$9:$B$29,0))&amp;"",""))</f>
        <v/>
      </c>
    </row>
    <row r="2731">
      <c r="X2731" s="20" t="str">
        <f>IF($B2731="","",IFERROR(IF(INDEX(Config!$D$9:$D$29,MATCH($B2731,Config!$B$9:$B$29,0))="Contrato",IF(INDEX(Config!$E$9:$E$29,MATCH($B2731,Config!$B$9:$B$29,0))="","",INDEX(Config!$E$9:$E$29,MATCH($B2731,Config!$B$9:$B$29,0))),""),""))</f>
        <v/>
      </c>
      <c r="AI2731" s="19" t="str">
        <f>IF($B2731="","",IFERROR(INDEX(Config!$D$9:$D$29,MATCH($B2731,Config!$B$9:$B$29,0))&amp;"",""))</f>
        <v/>
      </c>
    </row>
    <row r="2732">
      <c r="X2732" s="20" t="str">
        <f>IF($B2732="","",IFERROR(IF(INDEX(Config!$D$9:$D$29,MATCH($B2732,Config!$B$9:$B$29,0))="Contrato",IF(INDEX(Config!$E$9:$E$29,MATCH($B2732,Config!$B$9:$B$29,0))="","",INDEX(Config!$E$9:$E$29,MATCH($B2732,Config!$B$9:$B$29,0))),""),""))</f>
        <v/>
      </c>
      <c r="AI2732" s="19" t="str">
        <f>IF($B2732="","",IFERROR(INDEX(Config!$D$9:$D$29,MATCH($B2732,Config!$B$9:$B$29,0))&amp;"",""))</f>
        <v/>
      </c>
    </row>
    <row r="2733">
      <c r="X2733" s="20" t="str">
        <f>IF($B2733="","",IFERROR(IF(INDEX(Config!$D$9:$D$29,MATCH($B2733,Config!$B$9:$B$29,0))="Contrato",IF(INDEX(Config!$E$9:$E$29,MATCH($B2733,Config!$B$9:$B$29,0))="","",INDEX(Config!$E$9:$E$29,MATCH($B2733,Config!$B$9:$B$29,0))),""),""))</f>
        <v/>
      </c>
      <c r="AI2733" s="19" t="str">
        <f>IF($B2733="","",IFERROR(INDEX(Config!$D$9:$D$29,MATCH($B2733,Config!$B$9:$B$29,0))&amp;"",""))</f>
        <v/>
      </c>
    </row>
    <row r="2734">
      <c r="X2734" s="20" t="str">
        <f>IF($B2734="","",IFERROR(IF(INDEX(Config!$D$9:$D$29,MATCH($B2734,Config!$B$9:$B$29,0))="Contrato",IF(INDEX(Config!$E$9:$E$29,MATCH($B2734,Config!$B$9:$B$29,0))="","",INDEX(Config!$E$9:$E$29,MATCH($B2734,Config!$B$9:$B$29,0))),""),""))</f>
        <v/>
      </c>
      <c r="AI2734" s="19" t="str">
        <f>IF($B2734="","",IFERROR(INDEX(Config!$D$9:$D$29,MATCH($B2734,Config!$B$9:$B$29,0))&amp;"",""))</f>
        <v/>
      </c>
    </row>
    <row r="2735">
      <c r="X2735" s="20" t="str">
        <f>IF($B2735="","",IFERROR(IF(INDEX(Config!$D$9:$D$29,MATCH($B2735,Config!$B$9:$B$29,0))="Contrato",IF(INDEX(Config!$E$9:$E$29,MATCH($B2735,Config!$B$9:$B$29,0))="","",INDEX(Config!$E$9:$E$29,MATCH($B2735,Config!$B$9:$B$29,0))),""),""))</f>
        <v/>
      </c>
      <c r="AI2735" s="19" t="str">
        <f>IF($B2735="","",IFERROR(INDEX(Config!$D$9:$D$29,MATCH($B2735,Config!$B$9:$B$29,0))&amp;"",""))</f>
        <v/>
      </c>
    </row>
    <row r="2736">
      <c r="X2736" s="20" t="str">
        <f>IF($B2736="","",IFERROR(IF(INDEX(Config!$D$9:$D$29,MATCH($B2736,Config!$B$9:$B$29,0))="Contrato",IF(INDEX(Config!$E$9:$E$29,MATCH($B2736,Config!$B$9:$B$29,0))="","",INDEX(Config!$E$9:$E$29,MATCH($B2736,Config!$B$9:$B$29,0))),""),""))</f>
        <v/>
      </c>
      <c r="AI2736" s="19" t="str">
        <f>IF($B2736="","",IFERROR(INDEX(Config!$D$9:$D$29,MATCH($B2736,Config!$B$9:$B$29,0))&amp;"",""))</f>
        <v/>
      </c>
    </row>
    <row r="2737">
      <c r="X2737" s="20" t="str">
        <f>IF($B2737="","",IFERROR(IF(INDEX(Config!$D$9:$D$29,MATCH($B2737,Config!$B$9:$B$29,0))="Contrato",IF(INDEX(Config!$E$9:$E$29,MATCH($B2737,Config!$B$9:$B$29,0))="","",INDEX(Config!$E$9:$E$29,MATCH($B2737,Config!$B$9:$B$29,0))),""),""))</f>
        <v/>
      </c>
      <c r="AI2737" s="19" t="str">
        <f>IF($B2737="","",IFERROR(INDEX(Config!$D$9:$D$29,MATCH($B2737,Config!$B$9:$B$29,0))&amp;"",""))</f>
        <v/>
      </c>
    </row>
    <row r="2738">
      <c r="X2738" s="20" t="str">
        <f>IF($B2738="","",IFERROR(IF(INDEX(Config!$D$9:$D$29,MATCH($B2738,Config!$B$9:$B$29,0))="Contrato",IF(INDEX(Config!$E$9:$E$29,MATCH($B2738,Config!$B$9:$B$29,0))="","",INDEX(Config!$E$9:$E$29,MATCH($B2738,Config!$B$9:$B$29,0))),""),""))</f>
        <v/>
      </c>
      <c r="AI2738" s="19" t="str">
        <f>IF($B2738="","",IFERROR(INDEX(Config!$D$9:$D$29,MATCH($B2738,Config!$B$9:$B$29,0))&amp;"",""))</f>
        <v/>
      </c>
    </row>
    <row r="2739">
      <c r="X2739" s="20" t="str">
        <f>IF($B2739="","",IFERROR(IF(INDEX(Config!$D$9:$D$29,MATCH($B2739,Config!$B$9:$B$29,0))="Contrato",IF(INDEX(Config!$E$9:$E$29,MATCH($B2739,Config!$B$9:$B$29,0))="","",INDEX(Config!$E$9:$E$29,MATCH($B2739,Config!$B$9:$B$29,0))),""),""))</f>
        <v/>
      </c>
      <c r="AI2739" s="19" t="str">
        <f>IF($B2739="","",IFERROR(INDEX(Config!$D$9:$D$29,MATCH($B2739,Config!$B$9:$B$29,0))&amp;"",""))</f>
        <v/>
      </c>
    </row>
    <row r="2740">
      <c r="X2740" s="20" t="str">
        <f>IF($B2740="","",IFERROR(IF(INDEX(Config!$D$9:$D$29,MATCH($B2740,Config!$B$9:$B$29,0))="Contrato",IF(INDEX(Config!$E$9:$E$29,MATCH($B2740,Config!$B$9:$B$29,0))="","",INDEX(Config!$E$9:$E$29,MATCH($B2740,Config!$B$9:$B$29,0))),""),""))</f>
        <v/>
      </c>
      <c r="AI2740" s="19" t="str">
        <f>IF($B2740="","",IFERROR(INDEX(Config!$D$9:$D$29,MATCH($B2740,Config!$B$9:$B$29,0))&amp;"",""))</f>
        <v/>
      </c>
    </row>
    <row r="2741">
      <c r="X2741" s="20" t="str">
        <f>IF($B2741="","",IFERROR(IF(INDEX(Config!$D$9:$D$29,MATCH($B2741,Config!$B$9:$B$29,0))="Contrato",IF(INDEX(Config!$E$9:$E$29,MATCH($B2741,Config!$B$9:$B$29,0))="","",INDEX(Config!$E$9:$E$29,MATCH($B2741,Config!$B$9:$B$29,0))),""),""))</f>
        <v/>
      </c>
      <c r="AI2741" s="19" t="str">
        <f>IF($B2741="","",IFERROR(INDEX(Config!$D$9:$D$29,MATCH($B2741,Config!$B$9:$B$29,0))&amp;"",""))</f>
        <v/>
      </c>
    </row>
    <row r="2742">
      <c r="X2742" s="20" t="str">
        <f>IF($B2742="","",IFERROR(IF(INDEX(Config!$D$9:$D$29,MATCH($B2742,Config!$B$9:$B$29,0))="Contrato",IF(INDEX(Config!$E$9:$E$29,MATCH($B2742,Config!$B$9:$B$29,0))="","",INDEX(Config!$E$9:$E$29,MATCH($B2742,Config!$B$9:$B$29,0))),""),""))</f>
        <v/>
      </c>
      <c r="AI2742" s="19" t="str">
        <f>IF($B2742="","",IFERROR(INDEX(Config!$D$9:$D$29,MATCH($B2742,Config!$B$9:$B$29,0))&amp;"",""))</f>
        <v/>
      </c>
    </row>
    <row r="2743">
      <c r="X2743" s="20" t="str">
        <f>IF($B2743="","",IFERROR(IF(INDEX(Config!$D$9:$D$29,MATCH($B2743,Config!$B$9:$B$29,0))="Contrato",IF(INDEX(Config!$E$9:$E$29,MATCH($B2743,Config!$B$9:$B$29,0))="","",INDEX(Config!$E$9:$E$29,MATCH($B2743,Config!$B$9:$B$29,0))),""),""))</f>
        <v/>
      </c>
      <c r="AI2743" s="19" t="str">
        <f>IF($B2743="","",IFERROR(INDEX(Config!$D$9:$D$29,MATCH($B2743,Config!$B$9:$B$29,0))&amp;"",""))</f>
        <v/>
      </c>
    </row>
    <row r="2744">
      <c r="X2744" s="20" t="str">
        <f>IF($B2744="","",IFERROR(IF(INDEX(Config!$D$9:$D$29,MATCH($B2744,Config!$B$9:$B$29,0))="Contrato",IF(INDEX(Config!$E$9:$E$29,MATCH($B2744,Config!$B$9:$B$29,0))="","",INDEX(Config!$E$9:$E$29,MATCH($B2744,Config!$B$9:$B$29,0))),""),""))</f>
        <v/>
      </c>
      <c r="AI2744" s="19" t="str">
        <f>IF($B2744="","",IFERROR(INDEX(Config!$D$9:$D$29,MATCH($B2744,Config!$B$9:$B$29,0))&amp;"",""))</f>
        <v/>
      </c>
    </row>
    <row r="2745">
      <c r="X2745" s="20" t="str">
        <f>IF($B2745="","",IFERROR(IF(INDEX(Config!$D$9:$D$29,MATCH($B2745,Config!$B$9:$B$29,0))="Contrato",IF(INDEX(Config!$E$9:$E$29,MATCH($B2745,Config!$B$9:$B$29,0))="","",INDEX(Config!$E$9:$E$29,MATCH($B2745,Config!$B$9:$B$29,0))),""),""))</f>
        <v/>
      </c>
      <c r="AI2745" s="19" t="str">
        <f>IF($B2745="","",IFERROR(INDEX(Config!$D$9:$D$29,MATCH($B2745,Config!$B$9:$B$29,0))&amp;"",""))</f>
        <v/>
      </c>
    </row>
    <row r="2746">
      <c r="X2746" s="20" t="str">
        <f>IF($B2746="","",IFERROR(IF(INDEX(Config!$D$9:$D$29,MATCH($B2746,Config!$B$9:$B$29,0))="Contrato",IF(INDEX(Config!$E$9:$E$29,MATCH($B2746,Config!$B$9:$B$29,0))="","",INDEX(Config!$E$9:$E$29,MATCH($B2746,Config!$B$9:$B$29,0))),""),""))</f>
        <v/>
      </c>
      <c r="AI2746" s="19" t="str">
        <f>IF($B2746="","",IFERROR(INDEX(Config!$D$9:$D$29,MATCH($B2746,Config!$B$9:$B$29,0))&amp;"",""))</f>
        <v/>
      </c>
    </row>
    <row r="2747">
      <c r="X2747" s="20" t="str">
        <f>IF($B2747="","",IFERROR(IF(INDEX(Config!$D$9:$D$29,MATCH($B2747,Config!$B$9:$B$29,0))="Contrato",IF(INDEX(Config!$E$9:$E$29,MATCH($B2747,Config!$B$9:$B$29,0))="","",INDEX(Config!$E$9:$E$29,MATCH($B2747,Config!$B$9:$B$29,0))),""),""))</f>
        <v/>
      </c>
      <c r="AI2747" s="19" t="str">
        <f>IF($B2747="","",IFERROR(INDEX(Config!$D$9:$D$29,MATCH($B2747,Config!$B$9:$B$29,0))&amp;"",""))</f>
        <v/>
      </c>
    </row>
    <row r="2748">
      <c r="X2748" s="20" t="str">
        <f>IF($B2748="","",IFERROR(IF(INDEX(Config!$D$9:$D$29,MATCH($B2748,Config!$B$9:$B$29,0))="Contrato",IF(INDEX(Config!$E$9:$E$29,MATCH($B2748,Config!$B$9:$B$29,0))="","",INDEX(Config!$E$9:$E$29,MATCH($B2748,Config!$B$9:$B$29,0))),""),""))</f>
        <v/>
      </c>
      <c r="AI2748" s="19" t="str">
        <f>IF($B2748="","",IFERROR(INDEX(Config!$D$9:$D$29,MATCH($B2748,Config!$B$9:$B$29,0))&amp;"",""))</f>
        <v/>
      </c>
    </row>
    <row r="2749">
      <c r="X2749" s="20" t="str">
        <f>IF($B2749="","",IFERROR(IF(INDEX(Config!$D$9:$D$29,MATCH($B2749,Config!$B$9:$B$29,0))="Contrato",IF(INDEX(Config!$E$9:$E$29,MATCH($B2749,Config!$B$9:$B$29,0))="","",INDEX(Config!$E$9:$E$29,MATCH($B2749,Config!$B$9:$B$29,0))),""),""))</f>
        <v/>
      </c>
      <c r="AI2749" s="19" t="str">
        <f>IF($B2749="","",IFERROR(INDEX(Config!$D$9:$D$29,MATCH($B2749,Config!$B$9:$B$29,0))&amp;"",""))</f>
        <v/>
      </c>
    </row>
    <row r="2750">
      <c r="X2750" s="20" t="str">
        <f>IF($B2750="","",IFERROR(IF(INDEX(Config!$D$9:$D$29,MATCH($B2750,Config!$B$9:$B$29,0))="Contrato",IF(INDEX(Config!$E$9:$E$29,MATCH($B2750,Config!$B$9:$B$29,0))="","",INDEX(Config!$E$9:$E$29,MATCH($B2750,Config!$B$9:$B$29,0))),""),""))</f>
        <v/>
      </c>
      <c r="AI2750" s="19" t="str">
        <f>IF($B2750="","",IFERROR(INDEX(Config!$D$9:$D$29,MATCH($B2750,Config!$B$9:$B$29,0))&amp;"",""))</f>
        <v/>
      </c>
    </row>
    <row r="2751">
      <c r="X2751" s="20" t="str">
        <f>IF($B2751="","",IFERROR(IF(INDEX(Config!$D$9:$D$29,MATCH($B2751,Config!$B$9:$B$29,0))="Contrato",IF(INDEX(Config!$E$9:$E$29,MATCH($B2751,Config!$B$9:$B$29,0))="","",INDEX(Config!$E$9:$E$29,MATCH($B2751,Config!$B$9:$B$29,0))),""),""))</f>
        <v/>
      </c>
      <c r="AI2751" s="19" t="str">
        <f>IF($B2751="","",IFERROR(INDEX(Config!$D$9:$D$29,MATCH($B2751,Config!$B$9:$B$29,0))&amp;"",""))</f>
        <v/>
      </c>
    </row>
    <row r="2752">
      <c r="X2752" s="20" t="str">
        <f>IF($B2752="","",IFERROR(IF(INDEX(Config!$D$9:$D$29,MATCH($B2752,Config!$B$9:$B$29,0))="Contrato",IF(INDEX(Config!$E$9:$E$29,MATCH($B2752,Config!$B$9:$B$29,0))="","",INDEX(Config!$E$9:$E$29,MATCH($B2752,Config!$B$9:$B$29,0))),""),""))</f>
        <v/>
      </c>
      <c r="AI2752" s="19" t="str">
        <f>IF($B2752="","",IFERROR(INDEX(Config!$D$9:$D$29,MATCH($B2752,Config!$B$9:$B$29,0))&amp;"",""))</f>
        <v/>
      </c>
    </row>
    <row r="2753">
      <c r="X2753" s="20" t="str">
        <f>IF($B2753="","",IFERROR(IF(INDEX(Config!$D$9:$D$29,MATCH($B2753,Config!$B$9:$B$29,0))="Contrato",IF(INDEX(Config!$E$9:$E$29,MATCH($B2753,Config!$B$9:$B$29,0))="","",INDEX(Config!$E$9:$E$29,MATCH($B2753,Config!$B$9:$B$29,0))),""),""))</f>
        <v/>
      </c>
      <c r="AI2753" s="19" t="str">
        <f>IF($B2753="","",IFERROR(INDEX(Config!$D$9:$D$29,MATCH($B2753,Config!$B$9:$B$29,0))&amp;"",""))</f>
        <v/>
      </c>
    </row>
    <row r="2754">
      <c r="X2754" s="20" t="str">
        <f>IF($B2754="","",IFERROR(IF(INDEX(Config!$D$9:$D$29,MATCH($B2754,Config!$B$9:$B$29,0))="Contrato",IF(INDEX(Config!$E$9:$E$29,MATCH($B2754,Config!$B$9:$B$29,0))="","",INDEX(Config!$E$9:$E$29,MATCH($B2754,Config!$B$9:$B$29,0))),""),""))</f>
        <v/>
      </c>
      <c r="AI2754" s="19" t="str">
        <f>IF($B2754="","",IFERROR(INDEX(Config!$D$9:$D$29,MATCH($B2754,Config!$B$9:$B$29,0))&amp;"",""))</f>
        <v/>
      </c>
    </row>
    <row r="2755">
      <c r="X2755" s="20" t="str">
        <f>IF($B2755="","",IFERROR(IF(INDEX(Config!$D$9:$D$29,MATCH($B2755,Config!$B$9:$B$29,0))="Contrato",IF(INDEX(Config!$E$9:$E$29,MATCH($B2755,Config!$B$9:$B$29,0))="","",INDEX(Config!$E$9:$E$29,MATCH($B2755,Config!$B$9:$B$29,0))),""),""))</f>
        <v/>
      </c>
      <c r="AI2755" s="19" t="str">
        <f>IF($B2755="","",IFERROR(INDEX(Config!$D$9:$D$29,MATCH($B2755,Config!$B$9:$B$29,0))&amp;"",""))</f>
        <v/>
      </c>
    </row>
    <row r="2756">
      <c r="X2756" s="20" t="str">
        <f>IF($B2756="","",IFERROR(IF(INDEX(Config!$D$9:$D$29,MATCH($B2756,Config!$B$9:$B$29,0))="Contrato",IF(INDEX(Config!$E$9:$E$29,MATCH($B2756,Config!$B$9:$B$29,0))="","",INDEX(Config!$E$9:$E$29,MATCH($B2756,Config!$B$9:$B$29,0))),""),""))</f>
        <v/>
      </c>
      <c r="AI2756" s="19" t="str">
        <f>IF($B2756="","",IFERROR(INDEX(Config!$D$9:$D$29,MATCH($B2756,Config!$B$9:$B$29,0))&amp;"",""))</f>
        <v/>
      </c>
    </row>
    <row r="2757">
      <c r="X2757" s="20" t="str">
        <f>IF($B2757="","",IFERROR(IF(INDEX(Config!$D$9:$D$29,MATCH($B2757,Config!$B$9:$B$29,0))="Contrato",IF(INDEX(Config!$E$9:$E$29,MATCH($B2757,Config!$B$9:$B$29,0))="","",INDEX(Config!$E$9:$E$29,MATCH($B2757,Config!$B$9:$B$29,0))),""),""))</f>
        <v/>
      </c>
      <c r="AI2757" s="19" t="str">
        <f>IF($B2757="","",IFERROR(INDEX(Config!$D$9:$D$29,MATCH($B2757,Config!$B$9:$B$29,0))&amp;"",""))</f>
        <v/>
      </c>
    </row>
    <row r="2758">
      <c r="X2758" s="20" t="str">
        <f>IF($B2758="","",IFERROR(IF(INDEX(Config!$D$9:$D$29,MATCH($B2758,Config!$B$9:$B$29,0))="Contrato",IF(INDEX(Config!$E$9:$E$29,MATCH($B2758,Config!$B$9:$B$29,0))="","",INDEX(Config!$E$9:$E$29,MATCH($B2758,Config!$B$9:$B$29,0))),""),""))</f>
        <v/>
      </c>
      <c r="AI2758" s="19" t="str">
        <f>IF($B2758="","",IFERROR(INDEX(Config!$D$9:$D$29,MATCH($B2758,Config!$B$9:$B$29,0))&amp;"",""))</f>
        <v/>
      </c>
    </row>
    <row r="2759">
      <c r="X2759" s="20" t="str">
        <f>IF($B2759="","",IFERROR(IF(INDEX(Config!$D$9:$D$29,MATCH($B2759,Config!$B$9:$B$29,0))="Contrato",IF(INDEX(Config!$E$9:$E$29,MATCH($B2759,Config!$B$9:$B$29,0))="","",INDEX(Config!$E$9:$E$29,MATCH($B2759,Config!$B$9:$B$29,0))),""),""))</f>
        <v/>
      </c>
      <c r="AI2759" s="19" t="str">
        <f>IF($B2759="","",IFERROR(INDEX(Config!$D$9:$D$29,MATCH($B2759,Config!$B$9:$B$29,0))&amp;"",""))</f>
        <v/>
      </c>
    </row>
    <row r="2760">
      <c r="X2760" s="20" t="str">
        <f>IF($B2760="","",IFERROR(IF(INDEX(Config!$D$9:$D$29,MATCH($B2760,Config!$B$9:$B$29,0))="Contrato",IF(INDEX(Config!$E$9:$E$29,MATCH($B2760,Config!$B$9:$B$29,0))="","",INDEX(Config!$E$9:$E$29,MATCH($B2760,Config!$B$9:$B$29,0))),""),""))</f>
        <v/>
      </c>
      <c r="AI2760" s="19" t="str">
        <f>IF($B2760="","",IFERROR(INDEX(Config!$D$9:$D$29,MATCH($B2760,Config!$B$9:$B$29,0))&amp;"",""))</f>
        <v/>
      </c>
    </row>
    <row r="2761">
      <c r="X2761" s="20" t="str">
        <f>IF($B2761="","",IFERROR(IF(INDEX(Config!$D$9:$D$29,MATCH($B2761,Config!$B$9:$B$29,0))="Contrato",IF(INDEX(Config!$E$9:$E$29,MATCH($B2761,Config!$B$9:$B$29,0))="","",INDEX(Config!$E$9:$E$29,MATCH($B2761,Config!$B$9:$B$29,0))),""),""))</f>
        <v/>
      </c>
      <c r="AI2761" s="19" t="str">
        <f>IF($B2761="","",IFERROR(INDEX(Config!$D$9:$D$29,MATCH($B2761,Config!$B$9:$B$29,0))&amp;"",""))</f>
        <v/>
      </c>
    </row>
    <row r="2762">
      <c r="X2762" s="20" t="str">
        <f>IF($B2762="","",IFERROR(IF(INDEX(Config!$D$9:$D$29,MATCH($B2762,Config!$B$9:$B$29,0))="Contrato",IF(INDEX(Config!$E$9:$E$29,MATCH($B2762,Config!$B$9:$B$29,0))="","",INDEX(Config!$E$9:$E$29,MATCH($B2762,Config!$B$9:$B$29,0))),""),""))</f>
        <v/>
      </c>
      <c r="AI2762" s="19" t="str">
        <f>IF($B2762="","",IFERROR(INDEX(Config!$D$9:$D$29,MATCH($B2762,Config!$B$9:$B$29,0))&amp;"",""))</f>
        <v/>
      </c>
    </row>
    <row r="2763">
      <c r="X2763" s="20" t="str">
        <f>IF($B2763="","",IFERROR(IF(INDEX(Config!$D$9:$D$29,MATCH($B2763,Config!$B$9:$B$29,0))="Contrato",IF(INDEX(Config!$E$9:$E$29,MATCH($B2763,Config!$B$9:$B$29,0))="","",INDEX(Config!$E$9:$E$29,MATCH($B2763,Config!$B$9:$B$29,0))),""),""))</f>
        <v/>
      </c>
      <c r="AI2763" s="19" t="str">
        <f>IF($B2763="","",IFERROR(INDEX(Config!$D$9:$D$29,MATCH($B2763,Config!$B$9:$B$29,0))&amp;"",""))</f>
        <v/>
      </c>
    </row>
    <row r="2764">
      <c r="X2764" s="20" t="str">
        <f>IF($B2764="","",IFERROR(IF(INDEX(Config!$D$9:$D$29,MATCH($B2764,Config!$B$9:$B$29,0))="Contrato",IF(INDEX(Config!$E$9:$E$29,MATCH($B2764,Config!$B$9:$B$29,0))="","",INDEX(Config!$E$9:$E$29,MATCH($B2764,Config!$B$9:$B$29,0))),""),""))</f>
        <v/>
      </c>
      <c r="AI2764" s="19" t="str">
        <f>IF($B2764="","",IFERROR(INDEX(Config!$D$9:$D$29,MATCH($B2764,Config!$B$9:$B$29,0))&amp;"",""))</f>
        <v/>
      </c>
    </row>
    <row r="2765">
      <c r="X2765" s="20" t="str">
        <f>IF($B2765="","",IFERROR(IF(INDEX(Config!$D$9:$D$29,MATCH($B2765,Config!$B$9:$B$29,0))="Contrato",IF(INDEX(Config!$E$9:$E$29,MATCH($B2765,Config!$B$9:$B$29,0))="","",INDEX(Config!$E$9:$E$29,MATCH($B2765,Config!$B$9:$B$29,0))),""),""))</f>
        <v/>
      </c>
      <c r="AI2765" s="19" t="str">
        <f>IF($B2765="","",IFERROR(INDEX(Config!$D$9:$D$29,MATCH($B2765,Config!$B$9:$B$29,0))&amp;"",""))</f>
        <v/>
      </c>
    </row>
    <row r="2766">
      <c r="X2766" s="20" t="str">
        <f>IF($B2766="","",IFERROR(IF(INDEX(Config!$D$9:$D$29,MATCH($B2766,Config!$B$9:$B$29,0))="Contrato",IF(INDEX(Config!$E$9:$E$29,MATCH($B2766,Config!$B$9:$B$29,0))="","",INDEX(Config!$E$9:$E$29,MATCH($B2766,Config!$B$9:$B$29,0))),""),""))</f>
        <v/>
      </c>
      <c r="AI2766" s="19" t="str">
        <f>IF($B2766="","",IFERROR(INDEX(Config!$D$9:$D$29,MATCH($B2766,Config!$B$9:$B$29,0))&amp;"",""))</f>
        <v/>
      </c>
    </row>
    <row r="2767">
      <c r="X2767" s="20" t="str">
        <f>IF($B2767="","",IFERROR(IF(INDEX(Config!$D$9:$D$29,MATCH($B2767,Config!$B$9:$B$29,0))="Contrato",IF(INDEX(Config!$E$9:$E$29,MATCH($B2767,Config!$B$9:$B$29,0))="","",INDEX(Config!$E$9:$E$29,MATCH($B2767,Config!$B$9:$B$29,0))),""),""))</f>
        <v/>
      </c>
      <c r="AI2767" s="19" t="str">
        <f>IF($B2767="","",IFERROR(INDEX(Config!$D$9:$D$29,MATCH($B2767,Config!$B$9:$B$29,0))&amp;"",""))</f>
        <v/>
      </c>
    </row>
    <row r="2768">
      <c r="X2768" s="20" t="str">
        <f>IF($B2768="","",IFERROR(IF(INDEX(Config!$D$9:$D$29,MATCH($B2768,Config!$B$9:$B$29,0))="Contrato",IF(INDEX(Config!$E$9:$E$29,MATCH($B2768,Config!$B$9:$B$29,0))="","",INDEX(Config!$E$9:$E$29,MATCH($B2768,Config!$B$9:$B$29,0))),""),""))</f>
        <v/>
      </c>
      <c r="AI2768" s="19" t="str">
        <f>IF($B2768="","",IFERROR(INDEX(Config!$D$9:$D$29,MATCH($B2768,Config!$B$9:$B$29,0))&amp;"",""))</f>
        <v/>
      </c>
    </row>
    <row r="2769">
      <c r="X2769" s="20" t="str">
        <f>IF($B2769="","",IFERROR(IF(INDEX(Config!$D$9:$D$29,MATCH($B2769,Config!$B$9:$B$29,0))="Contrato",IF(INDEX(Config!$E$9:$E$29,MATCH($B2769,Config!$B$9:$B$29,0))="","",INDEX(Config!$E$9:$E$29,MATCH($B2769,Config!$B$9:$B$29,0))),""),""))</f>
        <v/>
      </c>
      <c r="AI2769" s="19" t="str">
        <f>IF($B2769="","",IFERROR(INDEX(Config!$D$9:$D$29,MATCH($B2769,Config!$B$9:$B$29,0))&amp;"",""))</f>
        <v/>
      </c>
    </row>
    <row r="2770">
      <c r="X2770" s="20" t="str">
        <f>IF($B2770="","",IFERROR(IF(INDEX(Config!$D$9:$D$29,MATCH($B2770,Config!$B$9:$B$29,0))="Contrato",IF(INDEX(Config!$E$9:$E$29,MATCH($B2770,Config!$B$9:$B$29,0))="","",INDEX(Config!$E$9:$E$29,MATCH($B2770,Config!$B$9:$B$29,0))),""),""))</f>
        <v/>
      </c>
      <c r="AI2770" s="19" t="str">
        <f>IF($B2770="","",IFERROR(INDEX(Config!$D$9:$D$29,MATCH($B2770,Config!$B$9:$B$29,0))&amp;"",""))</f>
        <v/>
      </c>
    </row>
    <row r="2771">
      <c r="X2771" s="20" t="str">
        <f>IF($B2771="","",IFERROR(IF(INDEX(Config!$D$9:$D$29,MATCH($B2771,Config!$B$9:$B$29,0))="Contrato",IF(INDEX(Config!$E$9:$E$29,MATCH($B2771,Config!$B$9:$B$29,0))="","",INDEX(Config!$E$9:$E$29,MATCH($B2771,Config!$B$9:$B$29,0))),""),""))</f>
        <v/>
      </c>
      <c r="AI2771" s="19" t="str">
        <f>IF($B2771="","",IFERROR(INDEX(Config!$D$9:$D$29,MATCH($B2771,Config!$B$9:$B$29,0))&amp;"",""))</f>
        <v/>
      </c>
    </row>
    <row r="2772">
      <c r="X2772" s="20" t="str">
        <f>IF($B2772="","",IFERROR(IF(INDEX(Config!$D$9:$D$29,MATCH($B2772,Config!$B$9:$B$29,0))="Contrato",IF(INDEX(Config!$E$9:$E$29,MATCH($B2772,Config!$B$9:$B$29,0))="","",INDEX(Config!$E$9:$E$29,MATCH($B2772,Config!$B$9:$B$29,0))),""),""))</f>
        <v/>
      </c>
      <c r="AI2772" s="19" t="str">
        <f>IF($B2772="","",IFERROR(INDEX(Config!$D$9:$D$29,MATCH($B2772,Config!$B$9:$B$29,0))&amp;"",""))</f>
        <v/>
      </c>
    </row>
    <row r="2773">
      <c r="X2773" s="20" t="str">
        <f>IF($B2773="","",IFERROR(IF(INDEX(Config!$D$9:$D$29,MATCH($B2773,Config!$B$9:$B$29,0))="Contrato",IF(INDEX(Config!$E$9:$E$29,MATCH($B2773,Config!$B$9:$B$29,0))="","",INDEX(Config!$E$9:$E$29,MATCH($B2773,Config!$B$9:$B$29,0))),""),""))</f>
        <v/>
      </c>
      <c r="AI2773" s="19" t="str">
        <f>IF($B2773="","",IFERROR(INDEX(Config!$D$9:$D$29,MATCH($B2773,Config!$B$9:$B$29,0))&amp;"",""))</f>
        <v/>
      </c>
    </row>
    <row r="2774">
      <c r="X2774" s="20" t="str">
        <f>IF($B2774="","",IFERROR(IF(INDEX(Config!$D$9:$D$29,MATCH($B2774,Config!$B$9:$B$29,0))="Contrato",IF(INDEX(Config!$E$9:$E$29,MATCH($B2774,Config!$B$9:$B$29,0))="","",INDEX(Config!$E$9:$E$29,MATCH($B2774,Config!$B$9:$B$29,0))),""),""))</f>
        <v/>
      </c>
      <c r="AI2774" s="19" t="str">
        <f>IF($B2774="","",IFERROR(INDEX(Config!$D$9:$D$29,MATCH($B2774,Config!$B$9:$B$29,0))&amp;"",""))</f>
        <v/>
      </c>
    </row>
    <row r="2775">
      <c r="X2775" s="20" t="str">
        <f>IF($B2775="","",IFERROR(IF(INDEX(Config!$D$9:$D$29,MATCH($B2775,Config!$B$9:$B$29,0))="Contrato",IF(INDEX(Config!$E$9:$E$29,MATCH($B2775,Config!$B$9:$B$29,0))="","",INDEX(Config!$E$9:$E$29,MATCH($B2775,Config!$B$9:$B$29,0))),""),""))</f>
        <v/>
      </c>
      <c r="AI2775" s="19" t="str">
        <f>IF($B2775="","",IFERROR(INDEX(Config!$D$9:$D$29,MATCH($B2775,Config!$B$9:$B$29,0))&amp;"",""))</f>
        <v/>
      </c>
    </row>
    <row r="2776">
      <c r="X2776" s="20" t="str">
        <f>IF($B2776="","",IFERROR(IF(INDEX(Config!$D$9:$D$29,MATCH($B2776,Config!$B$9:$B$29,0))="Contrato",IF(INDEX(Config!$E$9:$E$29,MATCH($B2776,Config!$B$9:$B$29,0))="","",INDEX(Config!$E$9:$E$29,MATCH($B2776,Config!$B$9:$B$29,0))),""),""))</f>
        <v/>
      </c>
      <c r="AI2776" s="19" t="str">
        <f>IF($B2776="","",IFERROR(INDEX(Config!$D$9:$D$29,MATCH($B2776,Config!$B$9:$B$29,0))&amp;"",""))</f>
        <v/>
      </c>
    </row>
    <row r="2777">
      <c r="X2777" s="20" t="str">
        <f>IF($B2777="","",IFERROR(IF(INDEX(Config!$D$9:$D$29,MATCH($B2777,Config!$B$9:$B$29,0))="Contrato",IF(INDEX(Config!$E$9:$E$29,MATCH($B2777,Config!$B$9:$B$29,0))="","",INDEX(Config!$E$9:$E$29,MATCH($B2777,Config!$B$9:$B$29,0))),""),""))</f>
        <v/>
      </c>
      <c r="AI2777" s="19" t="str">
        <f>IF($B2777="","",IFERROR(INDEX(Config!$D$9:$D$29,MATCH($B2777,Config!$B$9:$B$29,0))&amp;"",""))</f>
        <v/>
      </c>
    </row>
    <row r="2778">
      <c r="X2778" s="20" t="str">
        <f>IF($B2778="","",IFERROR(IF(INDEX(Config!$D$9:$D$29,MATCH($B2778,Config!$B$9:$B$29,0))="Contrato",IF(INDEX(Config!$E$9:$E$29,MATCH($B2778,Config!$B$9:$B$29,0))="","",INDEX(Config!$E$9:$E$29,MATCH($B2778,Config!$B$9:$B$29,0))),""),""))</f>
        <v/>
      </c>
      <c r="AI2778" s="19" t="str">
        <f>IF($B2778="","",IFERROR(INDEX(Config!$D$9:$D$29,MATCH($B2778,Config!$B$9:$B$29,0))&amp;"",""))</f>
        <v/>
      </c>
    </row>
    <row r="2779">
      <c r="X2779" s="20" t="str">
        <f>IF($B2779="","",IFERROR(IF(INDEX(Config!$D$9:$D$29,MATCH($B2779,Config!$B$9:$B$29,0))="Contrato",IF(INDEX(Config!$E$9:$E$29,MATCH($B2779,Config!$B$9:$B$29,0))="","",INDEX(Config!$E$9:$E$29,MATCH($B2779,Config!$B$9:$B$29,0))),""),""))</f>
        <v/>
      </c>
      <c r="AI2779" s="19" t="str">
        <f>IF($B2779="","",IFERROR(INDEX(Config!$D$9:$D$29,MATCH($B2779,Config!$B$9:$B$29,0))&amp;"",""))</f>
        <v/>
      </c>
    </row>
    <row r="2780">
      <c r="X2780" s="20" t="str">
        <f>IF($B2780="","",IFERROR(IF(INDEX(Config!$D$9:$D$29,MATCH($B2780,Config!$B$9:$B$29,0))="Contrato",IF(INDEX(Config!$E$9:$E$29,MATCH($B2780,Config!$B$9:$B$29,0))="","",INDEX(Config!$E$9:$E$29,MATCH($B2780,Config!$B$9:$B$29,0))),""),""))</f>
        <v/>
      </c>
      <c r="AI2780" s="19" t="str">
        <f>IF($B2780="","",IFERROR(INDEX(Config!$D$9:$D$29,MATCH($B2780,Config!$B$9:$B$29,0))&amp;"",""))</f>
        <v/>
      </c>
    </row>
    <row r="2781">
      <c r="X2781" s="20" t="str">
        <f>IF($B2781="","",IFERROR(IF(INDEX(Config!$D$9:$D$29,MATCH($B2781,Config!$B$9:$B$29,0))="Contrato",IF(INDEX(Config!$E$9:$E$29,MATCH($B2781,Config!$B$9:$B$29,0))="","",INDEX(Config!$E$9:$E$29,MATCH($B2781,Config!$B$9:$B$29,0))),""),""))</f>
        <v/>
      </c>
      <c r="AI2781" s="19" t="str">
        <f>IF($B2781="","",IFERROR(INDEX(Config!$D$9:$D$29,MATCH($B2781,Config!$B$9:$B$29,0))&amp;"",""))</f>
        <v/>
      </c>
    </row>
    <row r="2782">
      <c r="X2782" s="20" t="str">
        <f>IF($B2782="","",IFERROR(IF(INDEX(Config!$D$9:$D$29,MATCH($B2782,Config!$B$9:$B$29,0))="Contrato",IF(INDEX(Config!$E$9:$E$29,MATCH($B2782,Config!$B$9:$B$29,0))="","",INDEX(Config!$E$9:$E$29,MATCH($B2782,Config!$B$9:$B$29,0))),""),""))</f>
        <v/>
      </c>
      <c r="AI2782" s="19" t="str">
        <f>IF($B2782="","",IFERROR(INDEX(Config!$D$9:$D$29,MATCH($B2782,Config!$B$9:$B$29,0))&amp;"",""))</f>
        <v/>
      </c>
    </row>
    <row r="2783">
      <c r="X2783" s="20" t="str">
        <f>IF($B2783="","",IFERROR(IF(INDEX(Config!$D$9:$D$29,MATCH($B2783,Config!$B$9:$B$29,0))="Contrato",IF(INDEX(Config!$E$9:$E$29,MATCH($B2783,Config!$B$9:$B$29,0))="","",INDEX(Config!$E$9:$E$29,MATCH($B2783,Config!$B$9:$B$29,0))),""),""))</f>
        <v/>
      </c>
      <c r="AI2783" s="19" t="str">
        <f>IF($B2783="","",IFERROR(INDEX(Config!$D$9:$D$29,MATCH($B2783,Config!$B$9:$B$29,0))&amp;"",""))</f>
        <v/>
      </c>
    </row>
    <row r="2784">
      <c r="X2784" s="20" t="str">
        <f>IF($B2784="","",IFERROR(IF(INDEX(Config!$D$9:$D$29,MATCH($B2784,Config!$B$9:$B$29,0))="Contrato",IF(INDEX(Config!$E$9:$E$29,MATCH($B2784,Config!$B$9:$B$29,0))="","",INDEX(Config!$E$9:$E$29,MATCH($B2784,Config!$B$9:$B$29,0))),""),""))</f>
        <v/>
      </c>
      <c r="AI2784" s="19" t="str">
        <f>IF($B2784="","",IFERROR(INDEX(Config!$D$9:$D$29,MATCH($B2784,Config!$B$9:$B$29,0))&amp;"",""))</f>
        <v/>
      </c>
    </row>
    <row r="2785">
      <c r="X2785" s="20" t="str">
        <f>IF($B2785="","",IFERROR(IF(INDEX(Config!$D$9:$D$29,MATCH($B2785,Config!$B$9:$B$29,0))="Contrato",IF(INDEX(Config!$E$9:$E$29,MATCH($B2785,Config!$B$9:$B$29,0))="","",INDEX(Config!$E$9:$E$29,MATCH($B2785,Config!$B$9:$B$29,0))),""),""))</f>
        <v/>
      </c>
      <c r="AI2785" s="19" t="str">
        <f>IF($B2785="","",IFERROR(INDEX(Config!$D$9:$D$29,MATCH($B2785,Config!$B$9:$B$29,0))&amp;"",""))</f>
        <v/>
      </c>
    </row>
    <row r="2786">
      <c r="X2786" s="20" t="str">
        <f>IF($B2786="","",IFERROR(IF(INDEX(Config!$D$9:$D$29,MATCH($B2786,Config!$B$9:$B$29,0))="Contrato",IF(INDEX(Config!$E$9:$E$29,MATCH($B2786,Config!$B$9:$B$29,0))="","",INDEX(Config!$E$9:$E$29,MATCH($B2786,Config!$B$9:$B$29,0))),""),""))</f>
        <v/>
      </c>
      <c r="AI2786" s="19" t="str">
        <f>IF($B2786="","",IFERROR(INDEX(Config!$D$9:$D$29,MATCH($B2786,Config!$B$9:$B$29,0))&amp;"",""))</f>
        <v/>
      </c>
    </row>
    <row r="2787">
      <c r="X2787" s="20" t="str">
        <f>IF($B2787="","",IFERROR(IF(INDEX(Config!$D$9:$D$29,MATCH($B2787,Config!$B$9:$B$29,0))="Contrato",IF(INDEX(Config!$E$9:$E$29,MATCH($B2787,Config!$B$9:$B$29,0))="","",INDEX(Config!$E$9:$E$29,MATCH($B2787,Config!$B$9:$B$29,0))),""),""))</f>
        <v/>
      </c>
      <c r="AI2787" s="19" t="str">
        <f>IF($B2787="","",IFERROR(INDEX(Config!$D$9:$D$29,MATCH($B2787,Config!$B$9:$B$29,0))&amp;"",""))</f>
        <v/>
      </c>
    </row>
    <row r="2788">
      <c r="X2788" s="20" t="str">
        <f>IF($B2788="","",IFERROR(IF(INDEX(Config!$D$9:$D$29,MATCH($B2788,Config!$B$9:$B$29,0))="Contrato",IF(INDEX(Config!$E$9:$E$29,MATCH($B2788,Config!$B$9:$B$29,0))="","",INDEX(Config!$E$9:$E$29,MATCH($B2788,Config!$B$9:$B$29,0))),""),""))</f>
        <v/>
      </c>
      <c r="AI2788" s="19" t="str">
        <f>IF($B2788="","",IFERROR(INDEX(Config!$D$9:$D$29,MATCH($B2788,Config!$B$9:$B$29,0))&amp;"",""))</f>
        <v/>
      </c>
    </row>
    <row r="2789">
      <c r="X2789" s="20" t="str">
        <f>IF($B2789="","",IFERROR(IF(INDEX(Config!$D$9:$D$29,MATCH($B2789,Config!$B$9:$B$29,0))="Contrato",IF(INDEX(Config!$E$9:$E$29,MATCH($B2789,Config!$B$9:$B$29,0))="","",INDEX(Config!$E$9:$E$29,MATCH($B2789,Config!$B$9:$B$29,0))),""),""))</f>
        <v/>
      </c>
      <c r="AI2789" s="19" t="str">
        <f>IF($B2789="","",IFERROR(INDEX(Config!$D$9:$D$29,MATCH($B2789,Config!$B$9:$B$29,0))&amp;"",""))</f>
        <v/>
      </c>
    </row>
    <row r="2790">
      <c r="X2790" s="20" t="str">
        <f>IF($B2790="","",IFERROR(IF(INDEX(Config!$D$9:$D$29,MATCH($B2790,Config!$B$9:$B$29,0))="Contrato",IF(INDEX(Config!$E$9:$E$29,MATCH($B2790,Config!$B$9:$B$29,0))="","",INDEX(Config!$E$9:$E$29,MATCH($B2790,Config!$B$9:$B$29,0))),""),""))</f>
        <v/>
      </c>
      <c r="AI2790" s="19" t="str">
        <f>IF($B2790="","",IFERROR(INDEX(Config!$D$9:$D$29,MATCH($B2790,Config!$B$9:$B$29,0))&amp;"",""))</f>
        <v/>
      </c>
    </row>
    <row r="2791">
      <c r="X2791" s="20" t="str">
        <f>IF($B2791="","",IFERROR(IF(INDEX(Config!$D$9:$D$29,MATCH($B2791,Config!$B$9:$B$29,0))="Contrato",IF(INDEX(Config!$E$9:$E$29,MATCH($B2791,Config!$B$9:$B$29,0))="","",INDEX(Config!$E$9:$E$29,MATCH($B2791,Config!$B$9:$B$29,0))),""),""))</f>
        <v/>
      </c>
      <c r="AI2791" s="19" t="str">
        <f>IF($B2791="","",IFERROR(INDEX(Config!$D$9:$D$29,MATCH($B2791,Config!$B$9:$B$29,0))&amp;"",""))</f>
        <v/>
      </c>
    </row>
    <row r="2792">
      <c r="X2792" s="20" t="str">
        <f>IF($B2792="","",IFERROR(IF(INDEX(Config!$D$9:$D$29,MATCH($B2792,Config!$B$9:$B$29,0))="Contrato",IF(INDEX(Config!$E$9:$E$29,MATCH($B2792,Config!$B$9:$B$29,0))="","",INDEX(Config!$E$9:$E$29,MATCH($B2792,Config!$B$9:$B$29,0))),""),""))</f>
        <v/>
      </c>
      <c r="AI2792" s="19" t="str">
        <f>IF($B2792="","",IFERROR(INDEX(Config!$D$9:$D$29,MATCH($B2792,Config!$B$9:$B$29,0))&amp;"",""))</f>
        <v/>
      </c>
    </row>
    <row r="2793">
      <c r="X2793" s="20" t="str">
        <f>IF($B2793="","",IFERROR(IF(INDEX(Config!$D$9:$D$29,MATCH($B2793,Config!$B$9:$B$29,0))="Contrato",IF(INDEX(Config!$E$9:$E$29,MATCH($B2793,Config!$B$9:$B$29,0))="","",INDEX(Config!$E$9:$E$29,MATCH($B2793,Config!$B$9:$B$29,0))),""),""))</f>
        <v/>
      </c>
      <c r="AI2793" s="19" t="str">
        <f>IF($B2793="","",IFERROR(INDEX(Config!$D$9:$D$29,MATCH($B2793,Config!$B$9:$B$29,0))&amp;"",""))</f>
        <v/>
      </c>
    </row>
    <row r="2794">
      <c r="X2794" s="20" t="str">
        <f>IF($B2794="","",IFERROR(IF(INDEX(Config!$D$9:$D$29,MATCH($B2794,Config!$B$9:$B$29,0))="Contrato",IF(INDEX(Config!$E$9:$E$29,MATCH($B2794,Config!$B$9:$B$29,0))="","",INDEX(Config!$E$9:$E$29,MATCH($B2794,Config!$B$9:$B$29,0))),""),""))</f>
        <v/>
      </c>
      <c r="AI2794" s="19" t="str">
        <f>IF($B2794="","",IFERROR(INDEX(Config!$D$9:$D$29,MATCH($B2794,Config!$B$9:$B$29,0))&amp;"",""))</f>
        <v/>
      </c>
    </row>
    <row r="2795">
      <c r="X2795" s="20" t="str">
        <f>IF($B2795="","",IFERROR(IF(INDEX(Config!$D$9:$D$29,MATCH($B2795,Config!$B$9:$B$29,0))="Contrato",IF(INDEX(Config!$E$9:$E$29,MATCH($B2795,Config!$B$9:$B$29,0))="","",INDEX(Config!$E$9:$E$29,MATCH($B2795,Config!$B$9:$B$29,0))),""),""))</f>
        <v/>
      </c>
      <c r="AI2795" s="19" t="str">
        <f>IF($B2795="","",IFERROR(INDEX(Config!$D$9:$D$29,MATCH($B2795,Config!$B$9:$B$29,0))&amp;"",""))</f>
        <v/>
      </c>
    </row>
    <row r="2796">
      <c r="X2796" s="20" t="str">
        <f>IF($B2796="","",IFERROR(IF(INDEX(Config!$D$9:$D$29,MATCH($B2796,Config!$B$9:$B$29,0))="Contrato",IF(INDEX(Config!$E$9:$E$29,MATCH($B2796,Config!$B$9:$B$29,0))="","",INDEX(Config!$E$9:$E$29,MATCH($B2796,Config!$B$9:$B$29,0))),""),""))</f>
        <v/>
      </c>
      <c r="AI2796" s="19" t="str">
        <f>IF($B2796="","",IFERROR(INDEX(Config!$D$9:$D$29,MATCH($B2796,Config!$B$9:$B$29,0))&amp;"",""))</f>
        <v/>
      </c>
    </row>
    <row r="2797">
      <c r="X2797" s="20" t="str">
        <f>IF($B2797="","",IFERROR(IF(INDEX(Config!$D$9:$D$29,MATCH($B2797,Config!$B$9:$B$29,0))="Contrato",IF(INDEX(Config!$E$9:$E$29,MATCH($B2797,Config!$B$9:$B$29,0))="","",INDEX(Config!$E$9:$E$29,MATCH($B2797,Config!$B$9:$B$29,0))),""),""))</f>
        <v/>
      </c>
      <c r="AI2797" s="19" t="str">
        <f>IF($B2797="","",IFERROR(INDEX(Config!$D$9:$D$29,MATCH($B2797,Config!$B$9:$B$29,0))&amp;"",""))</f>
        <v/>
      </c>
    </row>
    <row r="2798">
      <c r="X2798" s="20" t="str">
        <f>IF($B2798="","",IFERROR(IF(INDEX(Config!$D$9:$D$29,MATCH($B2798,Config!$B$9:$B$29,0))="Contrato",IF(INDEX(Config!$E$9:$E$29,MATCH($B2798,Config!$B$9:$B$29,0))="","",INDEX(Config!$E$9:$E$29,MATCH($B2798,Config!$B$9:$B$29,0))),""),""))</f>
        <v/>
      </c>
      <c r="AI2798" s="19" t="str">
        <f>IF($B2798="","",IFERROR(INDEX(Config!$D$9:$D$29,MATCH($B2798,Config!$B$9:$B$29,0))&amp;"",""))</f>
        <v/>
      </c>
    </row>
    <row r="2799">
      <c r="X2799" s="20" t="str">
        <f>IF($B2799="","",IFERROR(IF(INDEX(Config!$D$9:$D$29,MATCH($B2799,Config!$B$9:$B$29,0))="Contrato",IF(INDEX(Config!$E$9:$E$29,MATCH($B2799,Config!$B$9:$B$29,0))="","",INDEX(Config!$E$9:$E$29,MATCH($B2799,Config!$B$9:$B$29,0))),""),""))</f>
        <v/>
      </c>
      <c r="AI2799" s="19" t="str">
        <f>IF($B2799="","",IFERROR(INDEX(Config!$D$9:$D$29,MATCH($B2799,Config!$B$9:$B$29,0))&amp;"",""))</f>
        <v/>
      </c>
    </row>
    <row r="2800">
      <c r="X2800" s="20" t="str">
        <f>IF($B2800="","",IFERROR(IF(INDEX(Config!$D$9:$D$29,MATCH($B2800,Config!$B$9:$B$29,0))="Contrato",IF(INDEX(Config!$E$9:$E$29,MATCH($B2800,Config!$B$9:$B$29,0))="","",INDEX(Config!$E$9:$E$29,MATCH($B2800,Config!$B$9:$B$29,0))),""),""))</f>
        <v/>
      </c>
      <c r="AI2800" s="19" t="str">
        <f>IF($B2800="","",IFERROR(INDEX(Config!$D$9:$D$29,MATCH($B2800,Config!$B$9:$B$29,0))&amp;"",""))</f>
        <v/>
      </c>
    </row>
    <row r="2801">
      <c r="X2801" s="20" t="str">
        <f>IF($B2801="","",IFERROR(IF(INDEX(Config!$D$9:$D$29,MATCH($B2801,Config!$B$9:$B$29,0))="Contrato",IF(INDEX(Config!$E$9:$E$29,MATCH($B2801,Config!$B$9:$B$29,0))="","",INDEX(Config!$E$9:$E$29,MATCH($B2801,Config!$B$9:$B$29,0))),""),""))</f>
        <v/>
      </c>
      <c r="AI2801" s="19" t="str">
        <f>IF($B2801="","",IFERROR(INDEX(Config!$D$9:$D$29,MATCH($B2801,Config!$B$9:$B$29,0))&amp;"",""))</f>
        <v/>
      </c>
    </row>
    <row r="2802">
      <c r="X2802" s="20" t="str">
        <f>IF($B2802="","",IFERROR(IF(INDEX(Config!$D$9:$D$29,MATCH($B2802,Config!$B$9:$B$29,0))="Contrato",IF(INDEX(Config!$E$9:$E$29,MATCH($B2802,Config!$B$9:$B$29,0))="","",INDEX(Config!$E$9:$E$29,MATCH($B2802,Config!$B$9:$B$29,0))),""),""))</f>
        <v/>
      </c>
      <c r="AI2802" s="19" t="str">
        <f>IF($B2802="","",IFERROR(INDEX(Config!$D$9:$D$29,MATCH($B2802,Config!$B$9:$B$29,0))&amp;"",""))</f>
        <v/>
      </c>
    </row>
    <row r="2803">
      <c r="X2803" s="20" t="str">
        <f>IF($B2803="","",IFERROR(IF(INDEX(Config!$D$9:$D$29,MATCH($B2803,Config!$B$9:$B$29,0))="Contrato",IF(INDEX(Config!$E$9:$E$29,MATCH($B2803,Config!$B$9:$B$29,0))="","",INDEX(Config!$E$9:$E$29,MATCH($B2803,Config!$B$9:$B$29,0))),""),""))</f>
        <v/>
      </c>
      <c r="AI2803" s="19" t="str">
        <f>IF($B2803="","",IFERROR(INDEX(Config!$D$9:$D$29,MATCH($B2803,Config!$B$9:$B$29,0))&amp;"",""))</f>
        <v/>
      </c>
    </row>
    <row r="2804">
      <c r="X2804" s="20" t="str">
        <f>IF($B2804="","",IFERROR(IF(INDEX(Config!$D$9:$D$29,MATCH($B2804,Config!$B$9:$B$29,0))="Contrato",IF(INDEX(Config!$E$9:$E$29,MATCH($B2804,Config!$B$9:$B$29,0))="","",INDEX(Config!$E$9:$E$29,MATCH($B2804,Config!$B$9:$B$29,0))),""),""))</f>
        <v/>
      </c>
      <c r="AI2804" s="19" t="str">
        <f>IF($B2804="","",IFERROR(INDEX(Config!$D$9:$D$29,MATCH($B2804,Config!$B$9:$B$29,0))&amp;"",""))</f>
        <v/>
      </c>
    </row>
    <row r="2805">
      <c r="X2805" s="20" t="str">
        <f>IF($B2805="","",IFERROR(IF(INDEX(Config!$D$9:$D$29,MATCH($B2805,Config!$B$9:$B$29,0))="Contrato",IF(INDEX(Config!$E$9:$E$29,MATCH($B2805,Config!$B$9:$B$29,0))="","",INDEX(Config!$E$9:$E$29,MATCH($B2805,Config!$B$9:$B$29,0))),""),""))</f>
        <v/>
      </c>
      <c r="AI2805" s="19" t="str">
        <f>IF($B2805="","",IFERROR(INDEX(Config!$D$9:$D$29,MATCH($B2805,Config!$B$9:$B$29,0))&amp;"",""))</f>
        <v/>
      </c>
    </row>
    <row r="2806">
      <c r="X2806" s="20" t="str">
        <f>IF($B2806="","",IFERROR(IF(INDEX(Config!$D$9:$D$29,MATCH($B2806,Config!$B$9:$B$29,0))="Contrato",IF(INDEX(Config!$E$9:$E$29,MATCH($B2806,Config!$B$9:$B$29,0))="","",INDEX(Config!$E$9:$E$29,MATCH($B2806,Config!$B$9:$B$29,0))),""),""))</f>
        <v/>
      </c>
      <c r="AI2806" s="19" t="str">
        <f>IF($B2806="","",IFERROR(INDEX(Config!$D$9:$D$29,MATCH($B2806,Config!$B$9:$B$29,0))&amp;"",""))</f>
        <v/>
      </c>
    </row>
    <row r="2807">
      <c r="X2807" s="20" t="str">
        <f>IF($B2807="","",IFERROR(IF(INDEX(Config!$D$9:$D$29,MATCH($B2807,Config!$B$9:$B$29,0))="Contrato",IF(INDEX(Config!$E$9:$E$29,MATCH($B2807,Config!$B$9:$B$29,0))="","",INDEX(Config!$E$9:$E$29,MATCH($B2807,Config!$B$9:$B$29,0))),""),""))</f>
        <v/>
      </c>
      <c r="AI2807" s="19" t="str">
        <f>IF($B2807="","",IFERROR(INDEX(Config!$D$9:$D$29,MATCH($B2807,Config!$B$9:$B$29,0))&amp;"",""))</f>
        <v/>
      </c>
    </row>
    <row r="2808">
      <c r="X2808" s="20" t="str">
        <f>IF($B2808="","",IFERROR(IF(INDEX(Config!$D$9:$D$29,MATCH($B2808,Config!$B$9:$B$29,0))="Contrato",IF(INDEX(Config!$E$9:$E$29,MATCH($B2808,Config!$B$9:$B$29,0))="","",INDEX(Config!$E$9:$E$29,MATCH($B2808,Config!$B$9:$B$29,0))),""),""))</f>
        <v/>
      </c>
      <c r="AI2808" s="19" t="str">
        <f>IF($B2808="","",IFERROR(INDEX(Config!$D$9:$D$29,MATCH($B2808,Config!$B$9:$B$29,0))&amp;"",""))</f>
        <v/>
      </c>
    </row>
    <row r="2809">
      <c r="X2809" s="20" t="str">
        <f>IF($B2809="","",IFERROR(IF(INDEX(Config!$D$9:$D$29,MATCH($B2809,Config!$B$9:$B$29,0))="Contrato",IF(INDEX(Config!$E$9:$E$29,MATCH($B2809,Config!$B$9:$B$29,0))="","",INDEX(Config!$E$9:$E$29,MATCH($B2809,Config!$B$9:$B$29,0))),""),""))</f>
        <v/>
      </c>
      <c r="AI2809" s="19" t="str">
        <f>IF($B2809="","",IFERROR(INDEX(Config!$D$9:$D$29,MATCH($B2809,Config!$B$9:$B$29,0))&amp;"",""))</f>
        <v/>
      </c>
    </row>
    <row r="2810">
      <c r="X2810" s="20" t="str">
        <f>IF($B2810="","",IFERROR(IF(INDEX(Config!$D$9:$D$29,MATCH($B2810,Config!$B$9:$B$29,0))="Contrato",IF(INDEX(Config!$E$9:$E$29,MATCH($B2810,Config!$B$9:$B$29,0))="","",INDEX(Config!$E$9:$E$29,MATCH($B2810,Config!$B$9:$B$29,0))),""),""))</f>
        <v/>
      </c>
      <c r="AI2810" s="19" t="str">
        <f>IF($B2810="","",IFERROR(INDEX(Config!$D$9:$D$29,MATCH($B2810,Config!$B$9:$B$29,0))&amp;"",""))</f>
        <v/>
      </c>
    </row>
    <row r="2811">
      <c r="X2811" s="20" t="str">
        <f>IF($B2811="","",IFERROR(IF(INDEX(Config!$D$9:$D$29,MATCH($B2811,Config!$B$9:$B$29,0))="Contrato",IF(INDEX(Config!$E$9:$E$29,MATCH($B2811,Config!$B$9:$B$29,0))="","",INDEX(Config!$E$9:$E$29,MATCH($B2811,Config!$B$9:$B$29,0))),""),""))</f>
        <v/>
      </c>
      <c r="AI2811" s="19" t="str">
        <f>IF($B2811="","",IFERROR(INDEX(Config!$D$9:$D$29,MATCH($B2811,Config!$B$9:$B$29,0))&amp;"",""))</f>
        <v/>
      </c>
    </row>
    <row r="2812">
      <c r="X2812" s="20" t="str">
        <f>IF($B2812="","",IFERROR(IF(INDEX(Config!$D$9:$D$29,MATCH($B2812,Config!$B$9:$B$29,0))="Contrato",IF(INDEX(Config!$E$9:$E$29,MATCH($B2812,Config!$B$9:$B$29,0))="","",INDEX(Config!$E$9:$E$29,MATCH($B2812,Config!$B$9:$B$29,0))),""),""))</f>
        <v/>
      </c>
      <c r="AI2812" s="19" t="str">
        <f>IF($B2812="","",IFERROR(INDEX(Config!$D$9:$D$29,MATCH($B2812,Config!$B$9:$B$29,0))&amp;"",""))</f>
        <v/>
      </c>
    </row>
    <row r="2813">
      <c r="X2813" s="20" t="str">
        <f>IF($B2813="","",IFERROR(IF(INDEX(Config!$D$9:$D$29,MATCH($B2813,Config!$B$9:$B$29,0))="Contrato",IF(INDEX(Config!$E$9:$E$29,MATCH($B2813,Config!$B$9:$B$29,0))="","",INDEX(Config!$E$9:$E$29,MATCH($B2813,Config!$B$9:$B$29,0))),""),""))</f>
        <v/>
      </c>
      <c r="AI2813" s="19" t="str">
        <f>IF($B2813="","",IFERROR(INDEX(Config!$D$9:$D$29,MATCH($B2813,Config!$B$9:$B$29,0))&amp;"",""))</f>
        <v/>
      </c>
    </row>
    <row r="2814">
      <c r="X2814" s="20" t="str">
        <f>IF($B2814="","",IFERROR(IF(INDEX(Config!$D$9:$D$29,MATCH($B2814,Config!$B$9:$B$29,0))="Contrato",IF(INDEX(Config!$E$9:$E$29,MATCH($B2814,Config!$B$9:$B$29,0))="","",INDEX(Config!$E$9:$E$29,MATCH($B2814,Config!$B$9:$B$29,0))),""),""))</f>
        <v/>
      </c>
      <c r="AI2814" s="19" t="str">
        <f>IF($B2814="","",IFERROR(INDEX(Config!$D$9:$D$29,MATCH($B2814,Config!$B$9:$B$29,0))&amp;"",""))</f>
        <v/>
      </c>
    </row>
    <row r="2815">
      <c r="X2815" s="20" t="str">
        <f>IF($B2815="","",IFERROR(IF(INDEX(Config!$D$9:$D$29,MATCH($B2815,Config!$B$9:$B$29,0))="Contrato",IF(INDEX(Config!$E$9:$E$29,MATCH($B2815,Config!$B$9:$B$29,0))="","",INDEX(Config!$E$9:$E$29,MATCH($B2815,Config!$B$9:$B$29,0))),""),""))</f>
        <v/>
      </c>
      <c r="AI2815" s="19" t="str">
        <f>IF($B2815="","",IFERROR(INDEX(Config!$D$9:$D$29,MATCH($B2815,Config!$B$9:$B$29,0))&amp;"",""))</f>
        <v/>
      </c>
    </row>
    <row r="2816">
      <c r="X2816" s="20" t="str">
        <f>IF($B2816="","",IFERROR(IF(INDEX(Config!$D$9:$D$29,MATCH($B2816,Config!$B$9:$B$29,0))="Contrato",IF(INDEX(Config!$E$9:$E$29,MATCH($B2816,Config!$B$9:$B$29,0))="","",INDEX(Config!$E$9:$E$29,MATCH($B2816,Config!$B$9:$B$29,0))),""),""))</f>
        <v/>
      </c>
      <c r="AI2816" s="19" t="str">
        <f>IF($B2816="","",IFERROR(INDEX(Config!$D$9:$D$29,MATCH($B2816,Config!$B$9:$B$29,0))&amp;"",""))</f>
        <v/>
      </c>
    </row>
    <row r="2817">
      <c r="X2817" s="20" t="str">
        <f>IF($B2817="","",IFERROR(IF(INDEX(Config!$D$9:$D$29,MATCH($B2817,Config!$B$9:$B$29,0))="Contrato",IF(INDEX(Config!$E$9:$E$29,MATCH($B2817,Config!$B$9:$B$29,0))="","",INDEX(Config!$E$9:$E$29,MATCH($B2817,Config!$B$9:$B$29,0))),""),""))</f>
        <v/>
      </c>
      <c r="AI2817" s="19" t="str">
        <f>IF($B2817="","",IFERROR(INDEX(Config!$D$9:$D$29,MATCH($B2817,Config!$B$9:$B$29,0))&amp;"",""))</f>
        <v/>
      </c>
    </row>
    <row r="2818">
      <c r="X2818" s="20" t="str">
        <f>IF($B2818="","",IFERROR(IF(INDEX(Config!$D$9:$D$29,MATCH($B2818,Config!$B$9:$B$29,0))="Contrato",IF(INDEX(Config!$E$9:$E$29,MATCH($B2818,Config!$B$9:$B$29,0))="","",INDEX(Config!$E$9:$E$29,MATCH($B2818,Config!$B$9:$B$29,0))),""),""))</f>
        <v/>
      </c>
      <c r="AI2818" s="19" t="str">
        <f>IF($B2818="","",IFERROR(INDEX(Config!$D$9:$D$29,MATCH($B2818,Config!$B$9:$B$29,0))&amp;"",""))</f>
        <v/>
      </c>
    </row>
    <row r="2819">
      <c r="X2819" s="20" t="str">
        <f>IF($B2819="","",IFERROR(IF(INDEX(Config!$D$9:$D$29,MATCH($B2819,Config!$B$9:$B$29,0))="Contrato",IF(INDEX(Config!$E$9:$E$29,MATCH($B2819,Config!$B$9:$B$29,0))="","",INDEX(Config!$E$9:$E$29,MATCH($B2819,Config!$B$9:$B$29,0))),""),""))</f>
        <v/>
      </c>
      <c r="AI2819" s="19" t="str">
        <f>IF($B2819="","",IFERROR(INDEX(Config!$D$9:$D$29,MATCH($B2819,Config!$B$9:$B$29,0))&amp;"",""))</f>
        <v/>
      </c>
    </row>
    <row r="2820">
      <c r="X2820" s="20" t="str">
        <f>IF($B2820="","",IFERROR(IF(INDEX(Config!$D$9:$D$29,MATCH($B2820,Config!$B$9:$B$29,0))="Contrato",IF(INDEX(Config!$E$9:$E$29,MATCH($B2820,Config!$B$9:$B$29,0))="","",INDEX(Config!$E$9:$E$29,MATCH($B2820,Config!$B$9:$B$29,0))),""),""))</f>
        <v/>
      </c>
      <c r="AI2820" s="19" t="str">
        <f>IF($B2820="","",IFERROR(INDEX(Config!$D$9:$D$29,MATCH($B2820,Config!$B$9:$B$29,0))&amp;"",""))</f>
        <v/>
      </c>
    </row>
    <row r="2821">
      <c r="X2821" s="20" t="str">
        <f>IF($B2821="","",IFERROR(IF(INDEX(Config!$D$9:$D$29,MATCH($B2821,Config!$B$9:$B$29,0))="Contrato",IF(INDEX(Config!$E$9:$E$29,MATCH($B2821,Config!$B$9:$B$29,0))="","",INDEX(Config!$E$9:$E$29,MATCH($B2821,Config!$B$9:$B$29,0))),""),""))</f>
        <v/>
      </c>
      <c r="AI2821" s="19" t="str">
        <f>IF($B2821="","",IFERROR(INDEX(Config!$D$9:$D$29,MATCH($B2821,Config!$B$9:$B$29,0))&amp;"",""))</f>
        <v/>
      </c>
    </row>
    <row r="2822">
      <c r="X2822" s="20" t="str">
        <f>IF($B2822="","",IFERROR(IF(INDEX(Config!$D$9:$D$29,MATCH($B2822,Config!$B$9:$B$29,0))="Contrato",IF(INDEX(Config!$E$9:$E$29,MATCH($B2822,Config!$B$9:$B$29,0))="","",INDEX(Config!$E$9:$E$29,MATCH($B2822,Config!$B$9:$B$29,0))),""),""))</f>
        <v/>
      </c>
      <c r="AI2822" s="19" t="str">
        <f>IF($B2822="","",IFERROR(INDEX(Config!$D$9:$D$29,MATCH($B2822,Config!$B$9:$B$29,0))&amp;"",""))</f>
        <v/>
      </c>
    </row>
    <row r="2823">
      <c r="X2823" s="20" t="str">
        <f>IF($B2823="","",IFERROR(IF(INDEX(Config!$D$9:$D$29,MATCH($B2823,Config!$B$9:$B$29,0))="Contrato",IF(INDEX(Config!$E$9:$E$29,MATCH($B2823,Config!$B$9:$B$29,0))="","",INDEX(Config!$E$9:$E$29,MATCH($B2823,Config!$B$9:$B$29,0))),""),""))</f>
        <v/>
      </c>
      <c r="AI2823" s="19" t="str">
        <f>IF($B2823="","",IFERROR(INDEX(Config!$D$9:$D$29,MATCH($B2823,Config!$B$9:$B$29,0))&amp;"",""))</f>
        <v/>
      </c>
    </row>
    <row r="2824">
      <c r="X2824" s="20" t="str">
        <f>IF($B2824="","",IFERROR(IF(INDEX(Config!$D$9:$D$29,MATCH($B2824,Config!$B$9:$B$29,0))="Contrato",IF(INDEX(Config!$E$9:$E$29,MATCH($B2824,Config!$B$9:$B$29,0))="","",INDEX(Config!$E$9:$E$29,MATCH($B2824,Config!$B$9:$B$29,0))),""),""))</f>
        <v/>
      </c>
      <c r="AI2824" s="19" t="str">
        <f>IF($B2824="","",IFERROR(INDEX(Config!$D$9:$D$29,MATCH($B2824,Config!$B$9:$B$29,0))&amp;"",""))</f>
        <v/>
      </c>
    </row>
    <row r="2825">
      <c r="X2825" s="20" t="str">
        <f>IF($B2825="","",IFERROR(IF(INDEX(Config!$D$9:$D$29,MATCH($B2825,Config!$B$9:$B$29,0))="Contrato",IF(INDEX(Config!$E$9:$E$29,MATCH($B2825,Config!$B$9:$B$29,0))="","",INDEX(Config!$E$9:$E$29,MATCH($B2825,Config!$B$9:$B$29,0))),""),""))</f>
        <v/>
      </c>
      <c r="AI2825" s="19" t="str">
        <f>IF($B2825="","",IFERROR(INDEX(Config!$D$9:$D$29,MATCH($B2825,Config!$B$9:$B$29,0))&amp;"",""))</f>
        <v/>
      </c>
    </row>
    <row r="2826">
      <c r="X2826" s="20" t="str">
        <f>IF($B2826="","",IFERROR(IF(INDEX(Config!$D$9:$D$29,MATCH($B2826,Config!$B$9:$B$29,0))="Contrato",IF(INDEX(Config!$E$9:$E$29,MATCH($B2826,Config!$B$9:$B$29,0))="","",INDEX(Config!$E$9:$E$29,MATCH($B2826,Config!$B$9:$B$29,0))),""),""))</f>
        <v/>
      </c>
      <c r="AI2826" s="19" t="str">
        <f>IF($B2826="","",IFERROR(INDEX(Config!$D$9:$D$29,MATCH($B2826,Config!$B$9:$B$29,0))&amp;"",""))</f>
        <v/>
      </c>
    </row>
    <row r="2827">
      <c r="X2827" s="20" t="str">
        <f>IF($B2827="","",IFERROR(IF(INDEX(Config!$D$9:$D$29,MATCH($B2827,Config!$B$9:$B$29,0))="Contrato",IF(INDEX(Config!$E$9:$E$29,MATCH($B2827,Config!$B$9:$B$29,0))="","",INDEX(Config!$E$9:$E$29,MATCH($B2827,Config!$B$9:$B$29,0))),""),""))</f>
        <v/>
      </c>
      <c r="AI2827" s="19" t="str">
        <f>IF($B2827="","",IFERROR(INDEX(Config!$D$9:$D$29,MATCH($B2827,Config!$B$9:$B$29,0))&amp;"",""))</f>
        <v/>
      </c>
    </row>
    <row r="2828">
      <c r="X2828" s="20" t="str">
        <f>IF($B2828="","",IFERROR(IF(INDEX(Config!$D$9:$D$29,MATCH($B2828,Config!$B$9:$B$29,0))="Contrato",IF(INDEX(Config!$E$9:$E$29,MATCH($B2828,Config!$B$9:$B$29,0))="","",INDEX(Config!$E$9:$E$29,MATCH($B2828,Config!$B$9:$B$29,0))),""),""))</f>
        <v/>
      </c>
      <c r="AI2828" s="19" t="str">
        <f>IF($B2828="","",IFERROR(INDEX(Config!$D$9:$D$29,MATCH($B2828,Config!$B$9:$B$29,0))&amp;"",""))</f>
        <v/>
      </c>
    </row>
    <row r="2829">
      <c r="X2829" s="20" t="str">
        <f>IF($B2829="","",IFERROR(IF(INDEX(Config!$D$9:$D$29,MATCH($B2829,Config!$B$9:$B$29,0))="Contrato",IF(INDEX(Config!$E$9:$E$29,MATCH($B2829,Config!$B$9:$B$29,0))="","",INDEX(Config!$E$9:$E$29,MATCH($B2829,Config!$B$9:$B$29,0))),""),""))</f>
        <v/>
      </c>
      <c r="AI2829" s="19" t="str">
        <f>IF($B2829="","",IFERROR(INDEX(Config!$D$9:$D$29,MATCH($B2829,Config!$B$9:$B$29,0))&amp;"",""))</f>
        <v/>
      </c>
    </row>
    <row r="2830">
      <c r="X2830" s="20" t="str">
        <f>IF($B2830="","",IFERROR(IF(INDEX(Config!$D$9:$D$29,MATCH($B2830,Config!$B$9:$B$29,0))="Contrato",IF(INDEX(Config!$E$9:$E$29,MATCH($B2830,Config!$B$9:$B$29,0))="","",INDEX(Config!$E$9:$E$29,MATCH($B2830,Config!$B$9:$B$29,0))),""),""))</f>
        <v/>
      </c>
      <c r="AI2830" s="19" t="str">
        <f>IF($B2830="","",IFERROR(INDEX(Config!$D$9:$D$29,MATCH($B2830,Config!$B$9:$B$29,0))&amp;"",""))</f>
        <v/>
      </c>
    </row>
    <row r="2831">
      <c r="X2831" s="20" t="str">
        <f>IF($B2831="","",IFERROR(IF(INDEX(Config!$D$9:$D$29,MATCH($B2831,Config!$B$9:$B$29,0))="Contrato",IF(INDEX(Config!$E$9:$E$29,MATCH($B2831,Config!$B$9:$B$29,0))="","",INDEX(Config!$E$9:$E$29,MATCH($B2831,Config!$B$9:$B$29,0))),""),""))</f>
        <v/>
      </c>
      <c r="AI2831" s="19" t="str">
        <f>IF($B2831="","",IFERROR(INDEX(Config!$D$9:$D$29,MATCH($B2831,Config!$B$9:$B$29,0))&amp;"",""))</f>
        <v/>
      </c>
    </row>
    <row r="2832">
      <c r="X2832" s="20" t="str">
        <f>IF($B2832="","",IFERROR(IF(INDEX(Config!$D$9:$D$29,MATCH($B2832,Config!$B$9:$B$29,0))="Contrato",IF(INDEX(Config!$E$9:$E$29,MATCH($B2832,Config!$B$9:$B$29,0))="","",INDEX(Config!$E$9:$E$29,MATCH($B2832,Config!$B$9:$B$29,0))),""),""))</f>
        <v/>
      </c>
      <c r="AI2832" s="19" t="str">
        <f>IF($B2832="","",IFERROR(INDEX(Config!$D$9:$D$29,MATCH($B2832,Config!$B$9:$B$29,0))&amp;"",""))</f>
        <v/>
      </c>
    </row>
    <row r="2833">
      <c r="X2833" s="20" t="str">
        <f>IF($B2833="","",IFERROR(IF(INDEX(Config!$D$9:$D$29,MATCH($B2833,Config!$B$9:$B$29,0))="Contrato",IF(INDEX(Config!$E$9:$E$29,MATCH($B2833,Config!$B$9:$B$29,0))="","",INDEX(Config!$E$9:$E$29,MATCH($B2833,Config!$B$9:$B$29,0))),""),""))</f>
        <v/>
      </c>
      <c r="AI2833" s="19" t="str">
        <f>IF($B2833="","",IFERROR(INDEX(Config!$D$9:$D$29,MATCH($B2833,Config!$B$9:$B$29,0))&amp;"",""))</f>
        <v/>
      </c>
    </row>
    <row r="2834">
      <c r="X2834" s="20" t="str">
        <f>IF($B2834="","",IFERROR(IF(INDEX(Config!$D$9:$D$29,MATCH($B2834,Config!$B$9:$B$29,0))="Contrato",IF(INDEX(Config!$E$9:$E$29,MATCH($B2834,Config!$B$9:$B$29,0))="","",INDEX(Config!$E$9:$E$29,MATCH($B2834,Config!$B$9:$B$29,0))),""),""))</f>
        <v/>
      </c>
      <c r="AI2834" s="19" t="str">
        <f>IF($B2834="","",IFERROR(INDEX(Config!$D$9:$D$29,MATCH($B2834,Config!$B$9:$B$29,0))&amp;"",""))</f>
        <v/>
      </c>
    </row>
    <row r="2835">
      <c r="X2835" s="20" t="str">
        <f>IF($B2835="","",IFERROR(IF(INDEX(Config!$D$9:$D$29,MATCH($B2835,Config!$B$9:$B$29,0))="Contrato",IF(INDEX(Config!$E$9:$E$29,MATCH($B2835,Config!$B$9:$B$29,0))="","",INDEX(Config!$E$9:$E$29,MATCH($B2835,Config!$B$9:$B$29,0))),""),""))</f>
        <v/>
      </c>
      <c r="AI2835" s="19" t="str">
        <f>IF($B2835="","",IFERROR(INDEX(Config!$D$9:$D$29,MATCH($B2835,Config!$B$9:$B$29,0))&amp;"",""))</f>
        <v/>
      </c>
    </row>
    <row r="2836">
      <c r="X2836" s="20" t="str">
        <f>IF($B2836="","",IFERROR(IF(INDEX(Config!$D$9:$D$29,MATCH($B2836,Config!$B$9:$B$29,0))="Contrato",IF(INDEX(Config!$E$9:$E$29,MATCH($B2836,Config!$B$9:$B$29,0))="","",INDEX(Config!$E$9:$E$29,MATCH($B2836,Config!$B$9:$B$29,0))),""),""))</f>
        <v/>
      </c>
      <c r="AI2836" s="19" t="str">
        <f>IF($B2836="","",IFERROR(INDEX(Config!$D$9:$D$29,MATCH($B2836,Config!$B$9:$B$29,0))&amp;"",""))</f>
        <v/>
      </c>
    </row>
    <row r="2837">
      <c r="X2837" s="20" t="str">
        <f>IF($B2837="","",IFERROR(IF(INDEX(Config!$D$9:$D$29,MATCH($B2837,Config!$B$9:$B$29,0))="Contrato",IF(INDEX(Config!$E$9:$E$29,MATCH($B2837,Config!$B$9:$B$29,0))="","",INDEX(Config!$E$9:$E$29,MATCH($B2837,Config!$B$9:$B$29,0))),""),""))</f>
        <v/>
      </c>
      <c r="AI2837" s="19" t="str">
        <f>IF($B2837="","",IFERROR(INDEX(Config!$D$9:$D$29,MATCH($B2837,Config!$B$9:$B$29,0))&amp;"",""))</f>
        <v/>
      </c>
    </row>
    <row r="2838">
      <c r="X2838" s="20" t="str">
        <f>IF($B2838="","",IFERROR(IF(INDEX(Config!$D$9:$D$29,MATCH($B2838,Config!$B$9:$B$29,0))="Contrato",IF(INDEX(Config!$E$9:$E$29,MATCH($B2838,Config!$B$9:$B$29,0))="","",INDEX(Config!$E$9:$E$29,MATCH($B2838,Config!$B$9:$B$29,0))),""),""))</f>
        <v/>
      </c>
      <c r="AI2838" s="19" t="str">
        <f>IF($B2838="","",IFERROR(INDEX(Config!$D$9:$D$29,MATCH($B2838,Config!$B$9:$B$29,0))&amp;"",""))</f>
        <v/>
      </c>
    </row>
    <row r="2839">
      <c r="X2839" s="20" t="str">
        <f>IF($B2839="","",IFERROR(IF(INDEX(Config!$D$9:$D$29,MATCH($B2839,Config!$B$9:$B$29,0))="Contrato",IF(INDEX(Config!$E$9:$E$29,MATCH($B2839,Config!$B$9:$B$29,0))="","",INDEX(Config!$E$9:$E$29,MATCH($B2839,Config!$B$9:$B$29,0))),""),""))</f>
        <v/>
      </c>
      <c r="AI2839" s="19" t="str">
        <f>IF($B2839="","",IFERROR(INDEX(Config!$D$9:$D$29,MATCH($B2839,Config!$B$9:$B$29,0))&amp;"",""))</f>
        <v/>
      </c>
    </row>
    <row r="2840">
      <c r="X2840" s="20" t="str">
        <f>IF($B2840="","",IFERROR(IF(INDEX(Config!$D$9:$D$29,MATCH($B2840,Config!$B$9:$B$29,0))="Contrato",IF(INDEX(Config!$E$9:$E$29,MATCH($B2840,Config!$B$9:$B$29,0))="","",INDEX(Config!$E$9:$E$29,MATCH($B2840,Config!$B$9:$B$29,0))),""),""))</f>
        <v/>
      </c>
      <c r="AI2840" s="19" t="str">
        <f>IF($B2840="","",IFERROR(INDEX(Config!$D$9:$D$29,MATCH($B2840,Config!$B$9:$B$29,0))&amp;"",""))</f>
        <v/>
      </c>
    </row>
    <row r="2841">
      <c r="X2841" s="20" t="str">
        <f>IF($B2841="","",IFERROR(IF(INDEX(Config!$D$9:$D$29,MATCH($B2841,Config!$B$9:$B$29,0))="Contrato",IF(INDEX(Config!$E$9:$E$29,MATCH($B2841,Config!$B$9:$B$29,0))="","",INDEX(Config!$E$9:$E$29,MATCH($B2841,Config!$B$9:$B$29,0))),""),""))</f>
        <v/>
      </c>
      <c r="AI2841" s="19" t="str">
        <f>IF($B2841="","",IFERROR(INDEX(Config!$D$9:$D$29,MATCH($B2841,Config!$B$9:$B$29,0))&amp;"",""))</f>
        <v/>
      </c>
    </row>
    <row r="2842">
      <c r="X2842" s="20" t="str">
        <f>IF($B2842="","",IFERROR(IF(INDEX(Config!$D$9:$D$29,MATCH($B2842,Config!$B$9:$B$29,0))="Contrato",IF(INDEX(Config!$E$9:$E$29,MATCH($B2842,Config!$B$9:$B$29,0))="","",INDEX(Config!$E$9:$E$29,MATCH($B2842,Config!$B$9:$B$29,0))),""),""))</f>
        <v/>
      </c>
      <c r="AI2842" s="19" t="str">
        <f>IF($B2842="","",IFERROR(INDEX(Config!$D$9:$D$29,MATCH($B2842,Config!$B$9:$B$29,0))&amp;"",""))</f>
        <v/>
      </c>
    </row>
    <row r="2843">
      <c r="X2843" s="20" t="str">
        <f>IF($B2843="","",IFERROR(IF(INDEX(Config!$D$9:$D$29,MATCH($B2843,Config!$B$9:$B$29,0))="Contrato",IF(INDEX(Config!$E$9:$E$29,MATCH($B2843,Config!$B$9:$B$29,0))="","",INDEX(Config!$E$9:$E$29,MATCH($B2843,Config!$B$9:$B$29,0))),""),""))</f>
        <v/>
      </c>
      <c r="AI2843" s="19" t="str">
        <f>IF($B2843="","",IFERROR(INDEX(Config!$D$9:$D$29,MATCH($B2843,Config!$B$9:$B$29,0))&amp;"",""))</f>
        <v/>
      </c>
    </row>
    <row r="2844">
      <c r="X2844" s="20" t="str">
        <f>IF($B2844="","",IFERROR(IF(INDEX(Config!$D$9:$D$29,MATCH($B2844,Config!$B$9:$B$29,0))="Contrato",IF(INDEX(Config!$E$9:$E$29,MATCH($B2844,Config!$B$9:$B$29,0))="","",INDEX(Config!$E$9:$E$29,MATCH($B2844,Config!$B$9:$B$29,0))),""),""))</f>
        <v/>
      </c>
      <c r="AI2844" s="19" t="str">
        <f>IF($B2844="","",IFERROR(INDEX(Config!$D$9:$D$29,MATCH($B2844,Config!$B$9:$B$29,0))&amp;"",""))</f>
        <v/>
      </c>
    </row>
    <row r="2845">
      <c r="X2845" s="20" t="str">
        <f>IF($B2845="","",IFERROR(IF(INDEX(Config!$D$9:$D$29,MATCH($B2845,Config!$B$9:$B$29,0))="Contrato",IF(INDEX(Config!$E$9:$E$29,MATCH($B2845,Config!$B$9:$B$29,0))="","",INDEX(Config!$E$9:$E$29,MATCH($B2845,Config!$B$9:$B$29,0))),""),""))</f>
        <v/>
      </c>
      <c r="AI2845" s="19" t="str">
        <f>IF($B2845="","",IFERROR(INDEX(Config!$D$9:$D$29,MATCH($B2845,Config!$B$9:$B$29,0))&amp;"",""))</f>
        <v/>
      </c>
    </row>
    <row r="2846">
      <c r="X2846" s="20" t="str">
        <f>IF($B2846="","",IFERROR(IF(INDEX(Config!$D$9:$D$29,MATCH($B2846,Config!$B$9:$B$29,0))="Contrato",IF(INDEX(Config!$E$9:$E$29,MATCH($B2846,Config!$B$9:$B$29,0))="","",INDEX(Config!$E$9:$E$29,MATCH($B2846,Config!$B$9:$B$29,0))),""),""))</f>
        <v/>
      </c>
      <c r="AI2846" s="19" t="str">
        <f>IF($B2846="","",IFERROR(INDEX(Config!$D$9:$D$29,MATCH($B2846,Config!$B$9:$B$29,0))&amp;"",""))</f>
        <v/>
      </c>
    </row>
    <row r="2847">
      <c r="X2847" s="20" t="str">
        <f>IF($B2847="","",IFERROR(IF(INDEX(Config!$D$9:$D$29,MATCH($B2847,Config!$B$9:$B$29,0))="Contrato",IF(INDEX(Config!$E$9:$E$29,MATCH($B2847,Config!$B$9:$B$29,0))="","",INDEX(Config!$E$9:$E$29,MATCH($B2847,Config!$B$9:$B$29,0))),""),""))</f>
        <v/>
      </c>
      <c r="AI2847" s="19" t="str">
        <f>IF($B2847="","",IFERROR(INDEX(Config!$D$9:$D$29,MATCH($B2847,Config!$B$9:$B$29,0))&amp;"",""))</f>
        <v/>
      </c>
    </row>
    <row r="2848">
      <c r="X2848" s="20" t="str">
        <f>IF($B2848="","",IFERROR(IF(INDEX(Config!$D$9:$D$29,MATCH($B2848,Config!$B$9:$B$29,0))="Contrato",IF(INDEX(Config!$E$9:$E$29,MATCH($B2848,Config!$B$9:$B$29,0))="","",INDEX(Config!$E$9:$E$29,MATCH($B2848,Config!$B$9:$B$29,0))),""),""))</f>
        <v/>
      </c>
      <c r="AI2848" s="19" t="str">
        <f>IF($B2848="","",IFERROR(INDEX(Config!$D$9:$D$29,MATCH($B2848,Config!$B$9:$B$29,0))&amp;"",""))</f>
        <v/>
      </c>
    </row>
    <row r="2849">
      <c r="X2849" s="20" t="str">
        <f>IF($B2849="","",IFERROR(IF(INDEX(Config!$D$9:$D$29,MATCH($B2849,Config!$B$9:$B$29,0))="Contrato",IF(INDEX(Config!$E$9:$E$29,MATCH($B2849,Config!$B$9:$B$29,0))="","",INDEX(Config!$E$9:$E$29,MATCH($B2849,Config!$B$9:$B$29,0))),""),""))</f>
        <v/>
      </c>
      <c r="AI2849" s="19" t="str">
        <f>IF($B2849="","",IFERROR(INDEX(Config!$D$9:$D$29,MATCH($B2849,Config!$B$9:$B$29,0))&amp;"",""))</f>
        <v/>
      </c>
    </row>
    <row r="2850">
      <c r="X2850" s="20" t="str">
        <f>IF($B2850="","",IFERROR(IF(INDEX(Config!$D$9:$D$29,MATCH($B2850,Config!$B$9:$B$29,0))="Contrato",IF(INDEX(Config!$E$9:$E$29,MATCH($B2850,Config!$B$9:$B$29,0))="","",INDEX(Config!$E$9:$E$29,MATCH($B2850,Config!$B$9:$B$29,0))),""),""))</f>
        <v/>
      </c>
      <c r="AI2850" s="19" t="str">
        <f>IF($B2850="","",IFERROR(INDEX(Config!$D$9:$D$29,MATCH($B2850,Config!$B$9:$B$29,0))&amp;"",""))</f>
        <v/>
      </c>
    </row>
    <row r="2851">
      <c r="X2851" s="20" t="str">
        <f>IF($B2851="","",IFERROR(IF(INDEX(Config!$D$9:$D$29,MATCH($B2851,Config!$B$9:$B$29,0))="Contrato",IF(INDEX(Config!$E$9:$E$29,MATCH($B2851,Config!$B$9:$B$29,0))="","",INDEX(Config!$E$9:$E$29,MATCH($B2851,Config!$B$9:$B$29,0))),""),""))</f>
        <v/>
      </c>
      <c r="AI2851" s="19" t="str">
        <f>IF($B2851="","",IFERROR(INDEX(Config!$D$9:$D$29,MATCH($B2851,Config!$B$9:$B$29,0))&amp;"",""))</f>
        <v/>
      </c>
    </row>
    <row r="2852">
      <c r="X2852" s="20" t="str">
        <f>IF($B2852="","",IFERROR(IF(INDEX(Config!$D$9:$D$29,MATCH($B2852,Config!$B$9:$B$29,0))="Contrato",IF(INDEX(Config!$E$9:$E$29,MATCH($B2852,Config!$B$9:$B$29,0))="","",INDEX(Config!$E$9:$E$29,MATCH($B2852,Config!$B$9:$B$29,0))),""),""))</f>
        <v/>
      </c>
      <c r="AI2852" s="19" t="str">
        <f>IF($B2852="","",IFERROR(INDEX(Config!$D$9:$D$29,MATCH($B2852,Config!$B$9:$B$29,0))&amp;"",""))</f>
        <v/>
      </c>
    </row>
    <row r="2853">
      <c r="X2853" s="20" t="str">
        <f>IF($B2853="","",IFERROR(IF(INDEX(Config!$D$9:$D$29,MATCH($B2853,Config!$B$9:$B$29,0))="Contrato",IF(INDEX(Config!$E$9:$E$29,MATCH($B2853,Config!$B$9:$B$29,0))="","",INDEX(Config!$E$9:$E$29,MATCH($B2853,Config!$B$9:$B$29,0))),""),""))</f>
        <v/>
      </c>
      <c r="AI2853" s="19" t="str">
        <f>IF($B2853="","",IFERROR(INDEX(Config!$D$9:$D$29,MATCH($B2853,Config!$B$9:$B$29,0))&amp;"",""))</f>
        <v/>
      </c>
    </row>
    <row r="2854">
      <c r="X2854" s="20" t="str">
        <f>IF($B2854="","",IFERROR(IF(INDEX(Config!$D$9:$D$29,MATCH($B2854,Config!$B$9:$B$29,0))="Contrato",IF(INDEX(Config!$E$9:$E$29,MATCH($B2854,Config!$B$9:$B$29,0))="","",INDEX(Config!$E$9:$E$29,MATCH($B2854,Config!$B$9:$B$29,0))),""),""))</f>
        <v/>
      </c>
      <c r="AI2854" s="19" t="str">
        <f>IF($B2854="","",IFERROR(INDEX(Config!$D$9:$D$29,MATCH($B2854,Config!$B$9:$B$29,0))&amp;"",""))</f>
        <v/>
      </c>
    </row>
    <row r="2855">
      <c r="X2855" s="20" t="str">
        <f>IF($B2855="","",IFERROR(IF(INDEX(Config!$D$9:$D$29,MATCH($B2855,Config!$B$9:$B$29,0))="Contrato",IF(INDEX(Config!$E$9:$E$29,MATCH($B2855,Config!$B$9:$B$29,0))="","",INDEX(Config!$E$9:$E$29,MATCH($B2855,Config!$B$9:$B$29,0))),""),""))</f>
        <v/>
      </c>
      <c r="AI2855" s="19" t="str">
        <f>IF($B2855="","",IFERROR(INDEX(Config!$D$9:$D$29,MATCH($B2855,Config!$B$9:$B$29,0))&amp;"",""))</f>
        <v/>
      </c>
    </row>
    <row r="2856">
      <c r="X2856" s="20" t="str">
        <f>IF($B2856="","",IFERROR(IF(INDEX(Config!$D$9:$D$29,MATCH($B2856,Config!$B$9:$B$29,0))="Contrato",IF(INDEX(Config!$E$9:$E$29,MATCH($B2856,Config!$B$9:$B$29,0))="","",INDEX(Config!$E$9:$E$29,MATCH($B2856,Config!$B$9:$B$29,0))),""),""))</f>
        <v/>
      </c>
      <c r="AI2856" s="19" t="str">
        <f>IF($B2856="","",IFERROR(INDEX(Config!$D$9:$D$29,MATCH($B2856,Config!$B$9:$B$29,0))&amp;"",""))</f>
        <v/>
      </c>
    </row>
    <row r="2857">
      <c r="X2857" s="20" t="str">
        <f>IF($B2857="","",IFERROR(IF(INDEX(Config!$D$9:$D$29,MATCH($B2857,Config!$B$9:$B$29,0))="Contrato",IF(INDEX(Config!$E$9:$E$29,MATCH($B2857,Config!$B$9:$B$29,0))="","",INDEX(Config!$E$9:$E$29,MATCH($B2857,Config!$B$9:$B$29,0))),""),""))</f>
        <v/>
      </c>
      <c r="AI2857" s="19" t="str">
        <f>IF($B2857="","",IFERROR(INDEX(Config!$D$9:$D$29,MATCH($B2857,Config!$B$9:$B$29,0))&amp;"",""))</f>
        <v/>
      </c>
    </row>
    <row r="2858">
      <c r="X2858" s="20" t="str">
        <f>IF($B2858="","",IFERROR(IF(INDEX(Config!$D$9:$D$29,MATCH($B2858,Config!$B$9:$B$29,0))="Contrato",IF(INDEX(Config!$E$9:$E$29,MATCH($B2858,Config!$B$9:$B$29,0))="","",INDEX(Config!$E$9:$E$29,MATCH($B2858,Config!$B$9:$B$29,0))),""),""))</f>
        <v/>
      </c>
      <c r="AI2858" s="19" t="str">
        <f>IF($B2858="","",IFERROR(INDEX(Config!$D$9:$D$29,MATCH($B2858,Config!$B$9:$B$29,0))&amp;"",""))</f>
        <v/>
      </c>
    </row>
    <row r="2859">
      <c r="X2859" s="20" t="str">
        <f>IF($B2859="","",IFERROR(IF(INDEX(Config!$D$9:$D$29,MATCH($B2859,Config!$B$9:$B$29,0))="Contrato",IF(INDEX(Config!$E$9:$E$29,MATCH($B2859,Config!$B$9:$B$29,0))="","",INDEX(Config!$E$9:$E$29,MATCH($B2859,Config!$B$9:$B$29,0))),""),""))</f>
        <v/>
      </c>
      <c r="AI2859" s="19" t="str">
        <f>IF($B2859="","",IFERROR(INDEX(Config!$D$9:$D$29,MATCH($B2859,Config!$B$9:$B$29,0))&amp;"",""))</f>
        <v/>
      </c>
    </row>
    <row r="2860">
      <c r="X2860" s="20" t="str">
        <f>IF($B2860="","",IFERROR(IF(INDEX(Config!$D$9:$D$29,MATCH($B2860,Config!$B$9:$B$29,0))="Contrato",IF(INDEX(Config!$E$9:$E$29,MATCH($B2860,Config!$B$9:$B$29,0))="","",INDEX(Config!$E$9:$E$29,MATCH($B2860,Config!$B$9:$B$29,0))),""),""))</f>
        <v/>
      </c>
      <c r="AI2860" s="19" t="str">
        <f>IF($B2860="","",IFERROR(INDEX(Config!$D$9:$D$29,MATCH($B2860,Config!$B$9:$B$29,0))&amp;"",""))</f>
        <v/>
      </c>
    </row>
    <row r="2861">
      <c r="X2861" s="20" t="str">
        <f>IF($B2861="","",IFERROR(IF(INDEX(Config!$D$9:$D$29,MATCH($B2861,Config!$B$9:$B$29,0))="Contrato",IF(INDEX(Config!$E$9:$E$29,MATCH($B2861,Config!$B$9:$B$29,0))="","",INDEX(Config!$E$9:$E$29,MATCH($B2861,Config!$B$9:$B$29,0))),""),""))</f>
        <v/>
      </c>
      <c r="AI2861" s="19" t="str">
        <f>IF($B2861="","",IFERROR(INDEX(Config!$D$9:$D$29,MATCH($B2861,Config!$B$9:$B$29,0))&amp;"",""))</f>
        <v/>
      </c>
    </row>
    <row r="2862">
      <c r="X2862" s="20" t="str">
        <f>IF($B2862="","",IFERROR(IF(INDEX(Config!$D$9:$D$29,MATCH($B2862,Config!$B$9:$B$29,0))="Contrato",IF(INDEX(Config!$E$9:$E$29,MATCH($B2862,Config!$B$9:$B$29,0))="","",INDEX(Config!$E$9:$E$29,MATCH($B2862,Config!$B$9:$B$29,0))),""),""))</f>
        <v/>
      </c>
      <c r="AI2862" s="19" t="str">
        <f>IF($B2862="","",IFERROR(INDEX(Config!$D$9:$D$29,MATCH($B2862,Config!$B$9:$B$29,0))&amp;"",""))</f>
        <v/>
      </c>
    </row>
    <row r="2863">
      <c r="X2863" s="20" t="str">
        <f>IF($B2863="","",IFERROR(IF(INDEX(Config!$D$9:$D$29,MATCH($B2863,Config!$B$9:$B$29,0))="Contrato",IF(INDEX(Config!$E$9:$E$29,MATCH($B2863,Config!$B$9:$B$29,0))="","",INDEX(Config!$E$9:$E$29,MATCH($B2863,Config!$B$9:$B$29,0))),""),""))</f>
        <v/>
      </c>
      <c r="AI2863" s="19" t="str">
        <f>IF($B2863="","",IFERROR(INDEX(Config!$D$9:$D$29,MATCH($B2863,Config!$B$9:$B$29,0))&amp;"",""))</f>
        <v/>
      </c>
    </row>
    <row r="2864">
      <c r="X2864" s="20" t="str">
        <f>IF($B2864="","",IFERROR(IF(INDEX(Config!$D$9:$D$29,MATCH($B2864,Config!$B$9:$B$29,0))="Contrato",IF(INDEX(Config!$E$9:$E$29,MATCH($B2864,Config!$B$9:$B$29,0))="","",INDEX(Config!$E$9:$E$29,MATCH($B2864,Config!$B$9:$B$29,0))),""),""))</f>
        <v/>
      </c>
      <c r="AI2864" s="19" t="str">
        <f>IF($B2864="","",IFERROR(INDEX(Config!$D$9:$D$29,MATCH($B2864,Config!$B$9:$B$29,0))&amp;"",""))</f>
        <v/>
      </c>
    </row>
    <row r="2865">
      <c r="X2865" s="20" t="str">
        <f>IF($B2865="","",IFERROR(IF(INDEX(Config!$D$9:$D$29,MATCH($B2865,Config!$B$9:$B$29,0))="Contrato",IF(INDEX(Config!$E$9:$E$29,MATCH($B2865,Config!$B$9:$B$29,0))="","",INDEX(Config!$E$9:$E$29,MATCH($B2865,Config!$B$9:$B$29,0))),""),""))</f>
        <v/>
      </c>
      <c r="AI2865" s="19" t="str">
        <f>IF($B2865="","",IFERROR(INDEX(Config!$D$9:$D$29,MATCH($B2865,Config!$B$9:$B$29,0))&amp;"",""))</f>
        <v/>
      </c>
    </row>
    <row r="2866">
      <c r="X2866" s="20" t="str">
        <f>IF($B2866="","",IFERROR(IF(INDEX(Config!$D$9:$D$29,MATCH($B2866,Config!$B$9:$B$29,0))="Contrato",IF(INDEX(Config!$E$9:$E$29,MATCH($B2866,Config!$B$9:$B$29,0))="","",INDEX(Config!$E$9:$E$29,MATCH($B2866,Config!$B$9:$B$29,0))),""),""))</f>
        <v/>
      </c>
      <c r="AI2866" s="19" t="str">
        <f>IF($B2866="","",IFERROR(INDEX(Config!$D$9:$D$29,MATCH($B2866,Config!$B$9:$B$29,0))&amp;"",""))</f>
        <v/>
      </c>
    </row>
    <row r="2867">
      <c r="X2867" s="20" t="str">
        <f>IF($B2867="","",IFERROR(IF(INDEX(Config!$D$9:$D$29,MATCH($B2867,Config!$B$9:$B$29,0))="Contrato",IF(INDEX(Config!$E$9:$E$29,MATCH($B2867,Config!$B$9:$B$29,0))="","",INDEX(Config!$E$9:$E$29,MATCH($B2867,Config!$B$9:$B$29,0))),""),""))</f>
        <v/>
      </c>
      <c r="AI2867" s="19" t="str">
        <f>IF($B2867="","",IFERROR(INDEX(Config!$D$9:$D$29,MATCH($B2867,Config!$B$9:$B$29,0))&amp;"",""))</f>
        <v/>
      </c>
    </row>
    <row r="2868">
      <c r="X2868" s="20" t="str">
        <f>IF($B2868="","",IFERROR(IF(INDEX(Config!$D$9:$D$29,MATCH($B2868,Config!$B$9:$B$29,0))="Contrato",IF(INDEX(Config!$E$9:$E$29,MATCH($B2868,Config!$B$9:$B$29,0))="","",INDEX(Config!$E$9:$E$29,MATCH($B2868,Config!$B$9:$B$29,0))),""),""))</f>
        <v/>
      </c>
      <c r="AI2868" s="19" t="str">
        <f>IF($B2868="","",IFERROR(INDEX(Config!$D$9:$D$29,MATCH($B2868,Config!$B$9:$B$29,0))&amp;"",""))</f>
        <v/>
      </c>
    </row>
    <row r="2869">
      <c r="X2869" s="20" t="str">
        <f>IF($B2869="","",IFERROR(IF(INDEX(Config!$D$9:$D$29,MATCH($B2869,Config!$B$9:$B$29,0))="Contrato",IF(INDEX(Config!$E$9:$E$29,MATCH($B2869,Config!$B$9:$B$29,0))="","",INDEX(Config!$E$9:$E$29,MATCH($B2869,Config!$B$9:$B$29,0))),""),""))</f>
        <v/>
      </c>
      <c r="AI2869" s="19" t="str">
        <f>IF($B2869="","",IFERROR(INDEX(Config!$D$9:$D$29,MATCH($B2869,Config!$B$9:$B$29,0))&amp;"",""))</f>
        <v/>
      </c>
    </row>
    <row r="2870">
      <c r="X2870" s="20" t="str">
        <f>IF($B2870="","",IFERROR(IF(INDEX(Config!$D$9:$D$29,MATCH($B2870,Config!$B$9:$B$29,0))="Contrato",IF(INDEX(Config!$E$9:$E$29,MATCH($B2870,Config!$B$9:$B$29,0))="","",INDEX(Config!$E$9:$E$29,MATCH($B2870,Config!$B$9:$B$29,0))),""),""))</f>
        <v/>
      </c>
      <c r="AI2870" s="19" t="str">
        <f>IF($B2870="","",IFERROR(INDEX(Config!$D$9:$D$29,MATCH($B2870,Config!$B$9:$B$29,0))&amp;"",""))</f>
        <v/>
      </c>
    </row>
    <row r="2871">
      <c r="X2871" s="20" t="str">
        <f>IF($B2871="","",IFERROR(IF(INDEX(Config!$D$9:$D$29,MATCH($B2871,Config!$B$9:$B$29,0))="Contrato",IF(INDEX(Config!$E$9:$E$29,MATCH($B2871,Config!$B$9:$B$29,0))="","",INDEX(Config!$E$9:$E$29,MATCH($B2871,Config!$B$9:$B$29,0))),""),""))</f>
        <v/>
      </c>
      <c r="AI2871" s="19" t="str">
        <f>IF($B2871="","",IFERROR(INDEX(Config!$D$9:$D$29,MATCH($B2871,Config!$B$9:$B$29,0))&amp;"",""))</f>
        <v/>
      </c>
    </row>
    <row r="2872">
      <c r="X2872" s="20" t="str">
        <f>IF($B2872="","",IFERROR(IF(INDEX(Config!$D$9:$D$29,MATCH($B2872,Config!$B$9:$B$29,0))="Contrato",IF(INDEX(Config!$E$9:$E$29,MATCH($B2872,Config!$B$9:$B$29,0))="","",INDEX(Config!$E$9:$E$29,MATCH($B2872,Config!$B$9:$B$29,0))),""),""))</f>
        <v/>
      </c>
      <c r="AI2872" s="19" t="str">
        <f>IF($B2872="","",IFERROR(INDEX(Config!$D$9:$D$29,MATCH($B2872,Config!$B$9:$B$29,0))&amp;"",""))</f>
        <v/>
      </c>
    </row>
    <row r="2873">
      <c r="X2873" s="20" t="str">
        <f>IF($B2873="","",IFERROR(IF(INDEX(Config!$D$9:$D$29,MATCH($B2873,Config!$B$9:$B$29,0))="Contrato",IF(INDEX(Config!$E$9:$E$29,MATCH($B2873,Config!$B$9:$B$29,0))="","",INDEX(Config!$E$9:$E$29,MATCH($B2873,Config!$B$9:$B$29,0))),""),""))</f>
        <v/>
      </c>
      <c r="AI2873" s="19" t="str">
        <f>IF($B2873="","",IFERROR(INDEX(Config!$D$9:$D$29,MATCH($B2873,Config!$B$9:$B$29,0))&amp;"",""))</f>
        <v/>
      </c>
    </row>
    <row r="2874">
      <c r="X2874" s="20" t="str">
        <f>IF($B2874="","",IFERROR(IF(INDEX(Config!$D$9:$D$29,MATCH($B2874,Config!$B$9:$B$29,0))="Contrato",IF(INDEX(Config!$E$9:$E$29,MATCH($B2874,Config!$B$9:$B$29,0))="","",INDEX(Config!$E$9:$E$29,MATCH($B2874,Config!$B$9:$B$29,0))),""),""))</f>
        <v/>
      </c>
      <c r="AI2874" s="19" t="str">
        <f>IF($B2874="","",IFERROR(INDEX(Config!$D$9:$D$29,MATCH($B2874,Config!$B$9:$B$29,0))&amp;"",""))</f>
        <v/>
      </c>
    </row>
    <row r="2875">
      <c r="X2875" s="20" t="str">
        <f>IF($B2875="","",IFERROR(IF(INDEX(Config!$D$9:$D$29,MATCH($B2875,Config!$B$9:$B$29,0))="Contrato",IF(INDEX(Config!$E$9:$E$29,MATCH($B2875,Config!$B$9:$B$29,0))="","",INDEX(Config!$E$9:$E$29,MATCH($B2875,Config!$B$9:$B$29,0))),""),""))</f>
        <v/>
      </c>
      <c r="AI2875" s="19" t="str">
        <f>IF($B2875="","",IFERROR(INDEX(Config!$D$9:$D$29,MATCH($B2875,Config!$B$9:$B$29,0))&amp;"",""))</f>
        <v/>
      </c>
    </row>
    <row r="2876">
      <c r="X2876" s="20" t="str">
        <f>IF($B2876="","",IFERROR(IF(INDEX(Config!$D$9:$D$29,MATCH($B2876,Config!$B$9:$B$29,0))="Contrato",IF(INDEX(Config!$E$9:$E$29,MATCH($B2876,Config!$B$9:$B$29,0))="","",INDEX(Config!$E$9:$E$29,MATCH($B2876,Config!$B$9:$B$29,0))),""),""))</f>
        <v/>
      </c>
      <c r="AI2876" s="19" t="str">
        <f>IF($B2876="","",IFERROR(INDEX(Config!$D$9:$D$29,MATCH($B2876,Config!$B$9:$B$29,0))&amp;"",""))</f>
        <v/>
      </c>
    </row>
    <row r="2877">
      <c r="X2877" s="20" t="str">
        <f>IF($B2877="","",IFERROR(IF(INDEX(Config!$D$9:$D$29,MATCH($B2877,Config!$B$9:$B$29,0))="Contrato",IF(INDEX(Config!$E$9:$E$29,MATCH($B2877,Config!$B$9:$B$29,0))="","",INDEX(Config!$E$9:$E$29,MATCH($B2877,Config!$B$9:$B$29,0))),""),""))</f>
        <v/>
      </c>
      <c r="AI2877" s="19" t="str">
        <f>IF($B2877="","",IFERROR(INDEX(Config!$D$9:$D$29,MATCH($B2877,Config!$B$9:$B$29,0))&amp;"",""))</f>
        <v/>
      </c>
    </row>
    <row r="2878">
      <c r="X2878" s="20" t="str">
        <f>IF($B2878="","",IFERROR(IF(INDEX(Config!$D$9:$D$29,MATCH($B2878,Config!$B$9:$B$29,0))="Contrato",IF(INDEX(Config!$E$9:$E$29,MATCH($B2878,Config!$B$9:$B$29,0))="","",INDEX(Config!$E$9:$E$29,MATCH($B2878,Config!$B$9:$B$29,0))),""),""))</f>
        <v/>
      </c>
      <c r="AI2878" s="19" t="str">
        <f>IF($B2878="","",IFERROR(INDEX(Config!$D$9:$D$29,MATCH($B2878,Config!$B$9:$B$29,0))&amp;"",""))</f>
        <v/>
      </c>
    </row>
    <row r="2879">
      <c r="X2879" s="20" t="str">
        <f>IF($B2879="","",IFERROR(IF(INDEX(Config!$D$9:$D$29,MATCH($B2879,Config!$B$9:$B$29,0))="Contrato",IF(INDEX(Config!$E$9:$E$29,MATCH($B2879,Config!$B$9:$B$29,0))="","",INDEX(Config!$E$9:$E$29,MATCH($B2879,Config!$B$9:$B$29,0))),""),""))</f>
        <v/>
      </c>
      <c r="AI2879" s="19" t="str">
        <f>IF($B2879="","",IFERROR(INDEX(Config!$D$9:$D$29,MATCH($B2879,Config!$B$9:$B$29,0))&amp;"",""))</f>
        <v/>
      </c>
    </row>
    <row r="2880">
      <c r="X2880" s="20" t="str">
        <f>IF($B2880="","",IFERROR(IF(INDEX(Config!$D$9:$D$29,MATCH($B2880,Config!$B$9:$B$29,0))="Contrato",IF(INDEX(Config!$E$9:$E$29,MATCH($B2880,Config!$B$9:$B$29,0))="","",INDEX(Config!$E$9:$E$29,MATCH($B2880,Config!$B$9:$B$29,0))),""),""))</f>
        <v/>
      </c>
      <c r="AI2880" s="19" t="str">
        <f>IF($B2880="","",IFERROR(INDEX(Config!$D$9:$D$29,MATCH($B2880,Config!$B$9:$B$29,0))&amp;"",""))</f>
        <v/>
      </c>
    </row>
    <row r="2881">
      <c r="X2881" s="20" t="str">
        <f>IF($B2881="","",IFERROR(IF(INDEX(Config!$D$9:$D$29,MATCH($B2881,Config!$B$9:$B$29,0))="Contrato",IF(INDEX(Config!$E$9:$E$29,MATCH($B2881,Config!$B$9:$B$29,0))="","",INDEX(Config!$E$9:$E$29,MATCH($B2881,Config!$B$9:$B$29,0))),""),""))</f>
        <v/>
      </c>
      <c r="AI2881" s="19" t="str">
        <f>IF($B2881="","",IFERROR(INDEX(Config!$D$9:$D$29,MATCH($B2881,Config!$B$9:$B$29,0))&amp;"",""))</f>
        <v/>
      </c>
    </row>
    <row r="2882">
      <c r="X2882" s="20" t="str">
        <f>IF($B2882="","",IFERROR(IF(INDEX(Config!$D$9:$D$29,MATCH($B2882,Config!$B$9:$B$29,0))="Contrato",IF(INDEX(Config!$E$9:$E$29,MATCH($B2882,Config!$B$9:$B$29,0))="","",INDEX(Config!$E$9:$E$29,MATCH($B2882,Config!$B$9:$B$29,0))),""),""))</f>
        <v/>
      </c>
      <c r="AI2882" s="19" t="str">
        <f>IF($B2882="","",IFERROR(INDEX(Config!$D$9:$D$29,MATCH($B2882,Config!$B$9:$B$29,0))&amp;"",""))</f>
        <v/>
      </c>
    </row>
    <row r="2883">
      <c r="X2883" s="20" t="str">
        <f>IF($B2883="","",IFERROR(IF(INDEX(Config!$D$9:$D$29,MATCH($B2883,Config!$B$9:$B$29,0))="Contrato",IF(INDEX(Config!$E$9:$E$29,MATCH($B2883,Config!$B$9:$B$29,0))="","",INDEX(Config!$E$9:$E$29,MATCH($B2883,Config!$B$9:$B$29,0))),""),""))</f>
        <v/>
      </c>
      <c r="AI2883" s="19" t="str">
        <f>IF($B2883="","",IFERROR(INDEX(Config!$D$9:$D$29,MATCH($B2883,Config!$B$9:$B$29,0))&amp;"",""))</f>
        <v/>
      </c>
    </row>
    <row r="2884">
      <c r="X2884" s="20" t="str">
        <f>IF($B2884="","",IFERROR(IF(INDEX(Config!$D$9:$D$29,MATCH($B2884,Config!$B$9:$B$29,0))="Contrato",IF(INDEX(Config!$E$9:$E$29,MATCH($B2884,Config!$B$9:$B$29,0))="","",INDEX(Config!$E$9:$E$29,MATCH($B2884,Config!$B$9:$B$29,0))),""),""))</f>
        <v/>
      </c>
      <c r="AI2884" s="19" t="str">
        <f>IF($B2884="","",IFERROR(INDEX(Config!$D$9:$D$29,MATCH($B2884,Config!$B$9:$B$29,0))&amp;"",""))</f>
        <v/>
      </c>
    </row>
    <row r="2885">
      <c r="X2885" s="20" t="str">
        <f>IF($B2885="","",IFERROR(IF(INDEX(Config!$D$9:$D$29,MATCH($B2885,Config!$B$9:$B$29,0))="Contrato",IF(INDEX(Config!$E$9:$E$29,MATCH($B2885,Config!$B$9:$B$29,0))="","",INDEX(Config!$E$9:$E$29,MATCH($B2885,Config!$B$9:$B$29,0))),""),""))</f>
        <v/>
      </c>
      <c r="AI2885" s="19" t="str">
        <f>IF($B2885="","",IFERROR(INDEX(Config!$D$9:$D$29,MATCH($B2885,Config!$B$9:$B$29,0))&amp;"",""))</f>
        <v/>
      </c>
    </row>
    <row r="2886">
      <c r="X2886" s="20" t="str">
        <f>IF($B2886="","",IFERROR(IF(INDEX(Config!$D$9:$D$29,MATCH($B2886,Config!$B$9:$B$29,0))="Contrato",IF(INDEX(Config!$E$9:$E$29,MATCH($B2886,Config!$B$9:$B$29,0))="","",INDEX(Config!$E$9:$E$29,MATCH($B2886,Config!$B$9:$B$29,0))),""),""))</f>
        <v/>
      </c>
      <c r="AI2886" s="19" t="str">
        <f>IF($B2886="","",IFERROR(INDEX(Config!$D$9:$D$29,MATCH($B2886,Config!$B$9:$B$29,0))&amp;"",""))</f>
        <v/>
      </c>
    </row>
    <row r="2887">
      <c r="X2887" s="20" t="str">
        <f>IF($B2887="","",IFERROR(IF(INDEX(Config!$D$9:$D$29,MATCH($B2887,Config!$B$9:$B$29,0))="Contrato",IF(INDEX(Config!$E$9:$E$29,MATCH($B2887,Config!$B$9:$B$29,0))="","",INDEX(Config!$E$9:$E$29,MATCH($B2887,Config!$B$9:$B$29,0))),""),""))</f>
        <v/>
      </c>
      <c r="AI2887" s="19" t="str">
        <f>IF($B2887="","",IFERROR(INDEX(Config!$D$9:$D$29,MATCH($B2887,Config!$B$9:$B$29,0))&amp;"",""))</f>
        <v/>
      </c>
    </row>
    <row r="2888">
      <c r="X2888" s="20" t="str">
        <f>IF($B2888="","",IFERROR(IF(INDEX(Config!$D$9:$D$29,MATCH($B2888,Config!$B$9:$B$29,0))="Contrato",IF(INDEX(Config!$E$9:$E$29,MATCH($B2888,Config!$B$9:$B$29,0))="","",INDEX(Config!$E$9:$E$29,MATCH($B2888,Config!$B$9:$B$29,0))),""),""))</f>
        <v/>
      </c>
      <c r="AI2888" s="19" t="str">
        <f>IF($B2888="","",IFERROR(INDEX(Config!$D$9:$D$29,MATCH($B2888,Config!$B$9:$B$29,0))&amp;"",""))</f>
        <v/>
      </c>
    </row>
    <row r="2889">
      <c r="X2889" s="20" t="str">
        <f>IF($B2889="","",IFERROR(IF(INDEX(Config!$D$9:$D$29,MATCH($B2889,Config!$B$9:$B$29,0))="Contrato",IF(INDEX(Config!$E$9:$E$29,MATCH($B2889,Config!$B$9:$B$29,0))="","",INDEX(Config!$E$9:$E$29,MATCH($B2889,Config!$B$9:$B$29,0))),""),""))</f>
        <v/>
      </c>
      <c r="AI2889" s="19" t="str">
        <f>IF($B2889="","",IFERROR(INDEX(Config!$D$9:$D$29,MATCH($B2889,Config!$B$9:$B$29,0))&amp;"",""))</f>
        <v/>
      </c>
    </row>
    <row r="2890">
      <c r="X2890" s="20" t="str">
        <f>IF($B2890="","",IFERROR(IF(INDEX(Config!$D$9:$D$29,MATCH($B2890,Config!$B$9:$B$29,0))="Contrato",IF(INDEX(Config!$E$9:$E$29,MATCH($B2890,Config!$B$9:$B$29,0))="","",INDEX(Config!$E$9:$E$29,MATCH($B2890,Config!$B$9:$B$29,0))),""),""))</f>
        <v/>
      </c>
      <c r="AI2890" s="19" t="str">
        <f>IF($B2890="","",IFERROR(INDEX(Config!$D$9:$D$29,MATCH($B2890,Config!$B$9:$B$29,0))&amp;"",""))</f>
        <v/>
      </c>
    </row>
    <row r="2891">
      <c r="X2891" s="20" t="str">
        <f>IF($B2891="","",IFERROR(IF(INDEX(Config!$D$9:$D$29,MATCH($B2891,Config!$B$9:$B$29,0))="Contrato",IF(INDEX(Config!$E$9:$E$29,MATCH($B2891,Config!$B$9:$B$29,0))="","",INDEX(Config!$E$9:$E$29,MATCH($B2891,Config!$B$9:$B$29,0))),""),""))</f>
        <v/>
      </c>
      <c r="AI2891" s="19" t="str">
        <f>IF($B2891="","",IFERROR(INDEX(Config!$D$9:$D$29,MATCH($B2891,Config!$B$9:$B$29,0))&amp;"",""))</f>
        <v/>
      </c>
    </row>
    <row r="2892">
      <c r="X2892" s="20" t="str">
        <f>IF($B2892="","",IFERROR(IF(INDEX(Config!$D$9:$D$29,MATCH($B2892,Config!$B$9:$B$29,0))="Contrato",IF(INDEX(Config!$E$9:$E$29,MATCH($B2892,Config!$B$9:$B$29,0))="","",INDEX(Config!$E$9:$E$29,MATCH($B2892,Config!$B$9:$B$29,0))),""),""))</f>
        <v/>
      </c>
      <c r="AI2892" s="19" t="str">
        <f>IF($B2892="","",IFERROR(INDEX(Config!$D$9:$D$29,MATCH($B2892,Config!$B$9:$B$29,0))&amp;"",""))</f>
        <v/>
      </c>
    </row>
    <row r="2893">
      <c r="X2893" s="20" t="str">
        <f>IF($B2893="","",IFERROR(IF(INDEX(Config!$D$9:$D$29,MATCH($B2893,Config!$B$9:$B$29,0))="Contrato",IF(INDEX(Config!$E$9:$E$29,MATCH($B2893,Config!$B$9:$B$29,0))="","",INDEX(Config!$E$9:$E$29,MATCH($B2893,Config!$B$9:$B$29,0))),""),""))</f>
        <v/>
      </c>
      <c r="AI2893" s="19" t="str">
        <f>IF($B2893="","",IFERROR(INDEX(Config!$D$9:$D$29,MATCH($B2893,Config!$B$9:$B$29,0))&amp;"",""))</f>
        <v/>
      </c>
    </row>
    <row r="2894">
      <c r="X2894" s="20" t="str">
        <f>IF($B2894="","",IFERROR(IF(INDEX(Config!$D$9:$D$29,MATCH($B2894,Config!$B$9:$B$29,0))="Contrato",IF(INDEX(Config!$E$9:$E$29,MATCH($B2894,Config!$B$9:$B$29,0))="","",INDEX(Config!$E$9:$E$29,MATCH($B2894,Config!$B$9:$B$29,0))),""),""))</f>
        <v/>
      </c>
      <c r="AI2894" s="19" t="str">
        <f>IF($B2894="","",IFERROR(INDEX(Config!$D$9:$D$29,MATCH($B2894,Config!$B$9:$B$29,0))&amp;"",""))</f>
        <v/>
      </c>
    </row>
    <row r="2895">
      <c r="X2895" s="20" t="str">
        <f>IF($B2895="","",IFERROR(IF(INDEX(Config!$D$9:$D$29,MATCH($B2895,Config!$B$9:$B$29,0))="Contrato",IF(INDEX(Config!$E$9:$E$29,MATCH($B2895,Config!$B$9:$B$29,0))="","",INDEX(Config!$E$9:$E$29,MATCH($B2895,Config!$B$9:$B$29,0))),""),""))</f>
        <v/>
      </c>
      <c r="AI2895" s="19" t="str">
        <f>IF($B2895="","",IFERROR(INDEX(Config!$D$9:$D$29,MATCH($B2895,Config!$B$9:$B$29,0))&amp;"",""))</f>
        <v/>
      </c>
    </row>
    <row r="2896">
      <c r="X2896" s="20" t="str">
        <f>IF($B2896="","",IFERROR(IF(INDEX(Config!$D$9:$D$29,MATCH($B2896,Config!$B$9:$B$29,0))="Contrato",IF(INDEX(Config!$E$9:$E$29,MATCH($B2896,Config!$B$9:$B$29,0))="","",INDEX(Config!$E$9:$E$29,MATCH($B2896,Config!$B$9:$B$29,0))),""),""))</f>
        <v/>
      </c>
      <c r="AI2896" s="19" t="str">
        <f>IF($B2896="","",IFERROR(INDEX(Config!$D$9:$D$29,MATCH($B2896,Config!$B$9:$B$29,0))&amp;"",""))</f>
        <v/>
      </c>
    </row>
    <row r="2897">
      <c r="X2897" s="20" t="str">
        <f>IF($B2897="","",IFERROR(IF(INDEX(Config!$D$9:$D$29,MATCH($B2897,Config!$B$9:$B$29,0))="Contrato",IF(INDEX(Config!$E$9:$E$29,MATCH($B2897,Config!$B$9:$B$29,0))="","",INDEX(Config!$E$9:$E$29,MATCH($B2897,Config!$B$9:$B$29,0))),""),""))</f>
        <v/>
      </c>
      <c r="AI2897" s="19" t="str">
        <f>IF($B2897="","",IFERROR(INDEX(Config!$D$9:$D$29,MATCH($B2897,Config!$B$9:$B$29,0))&amp;"",""))</f>
        <v/>
      </c>
    </row>
    <row r="2898">
      <c r="X2898" s="20" t="str">
        <f>IF($B2898="","",IFERROR(IF(INDEX(Config!$D$9:$D$29,MATCH($B2898,Config!$B$9:$B$29,0))="Contrato",IF(INDEX(Config!$E$9:$E$29,MATCH($B2898,Config!$B$9:$B$29,0))="","",INDEX(Config!$E$9:$E$29,MATCH($B2898,Config!$B$9:$B$29,0))),""),""))</f>
        <v/>
      </c>
      <c r="AI2898" s="19" t="str">
        <f>IF($B2898="","",IFERROR(INDEX(Config!$D$9:$D$29,MATCH($B2898,Config!$B$9:$B$29,0))&amp;"",""))</f>
        <v/>
      </c>
    </row>
    <row r="2899">
      <c r="X2899" s="20" t="str">
        <f>IF($B2899="","",IFERROR(IF(INDEX(Config!$D$9:$D$29,MATCH($B2899,Config!$B$9:$B$29,0))="Contrato",IF(INDEX(Config!$E$9:$E$29,MATCH($B2899,Config!$B$9:$B$29,0))="","",INDEX(Config!$E$9:$E$29,MATCH($B2899,Config!$B$9:$B$29,0))),""),""))</f>
        <v/>
      </c>
      <c r="AI2899" s="19" t="str">
        <f>IF($B2899="","",IFERROR(INDEX(Config!$D$9:$D$29,MATCH($B2899,Config!$B$9:$B$29,0))&amp;"",""))</f>
        <v/>
      </c>
    </row>
    <row r="2900">
      <c r="X2900" s="20" t="str">
        <f>IF($B2900="","",IFERROR(IF(INDEX(Config!$D$9:$D$29,MATCH($B2900,Config!$B$9:$B$29,0))="Contrato",IF(INDEX(Config!$E$9:$E$29,MATCH($B2900,Config!$B$9:$B$29,0))="","",INDEX(Config!$E$9:$E$29,MATCH($B2900,Config!$B$9:$B$29,0))),""),""))</f>
        <v/>
      </c>
      <c r="AI2900" s="19" t="str">
        <f>IF($B2900="","",IFERROR(INDEX(Config!$D$9:$D$29,MATCH($B2900,Config!$B$9:$B$29,0))&amp;"",""))</f>
        <v/>
      </c>
    </row>
    <row r="2901">
      <c r="X2901" s="20" t="str">
        <f>IF($B2901="","",IFERROR(IF(INDEX(Config!$D$9:$D$29,MATCH($B2901,Config!$B$9:$B$29,0))="Contrato",IF(INDEX(Config!$E$9:$E$29,MATCH($B2901,Config!$B$9:$B$29,0))="","",INDEX(Config!$E$9:$E$29,MATCH($B2901,Config!$B$9:$B$29,0))),""),""))</f>
        <v/>
      </c>
      <c r="AI2901" s="19" t="str">
        <f>IF($B2901="","",IFERROR(INDEX(Config!$D$9:$D$29,MATCH($B2901,Config!$B$9:$B$29,0))&amp;"",""))</f>
        <v/>
      </c>
    </row>
    <row r="2902">
      <c r="X2902" s="20" t="str">
        <f>IF($B2902="","",IFERROR(IF(INDEX(Config!$D$9:$D$29,MATCH($B2902,Config!$B$9:$B$29,0))="Contrato",IF(INDEX(Config!$E$9:$E$29,MATCH($B2902,Config!$B$9:$B$29,0))="","",INDEX(Config!$E$9:$E$29,MATCH($B2902,Config!$B$9:$B$29,0))),""),""))</f>
        <v/>
      </c>
      <c r="AI2902" s="19" t="str">
        <f>IF($B2902="","",IFERROR(INDEX(Config!$D$9:$D$29,MATCH($B2902,Config!$B$9:$B$29,0))&amp;"",""))</f>
        <v/>
      </c>
    </row>
    <row r="2903">
      <c r="X2903" s="20" t="str">
        <f>IF($B2903="","",IFERROR(IF(INDEX(Config!$D$9:$D$29,MATCH($B2903,Config!$B$9:$B$29,0))="Contrato",IF(INDEX(Config!$E$9:$E$29,MATCH($B2903,Config!$B$9:$B$29,0))="","",INDEX(Config!$E$9:$E$29,MATCH($B2903,Config!$B$9:$B$29,0))),""),""))</f>
        <v/>
      </c>
      <c r="AI2903" s="19" t="str">
        <f>IF($B2903="","",IFERROR(INDEX(Config!$D$9:$D$29,MATCH($B2903,Config!$B$9:$B$29,0))&amp;"",""))</f>
        <v/>
      </c>
    </row>
    <row r="2904">
      <c r="X2904" s="20" t="str">
        <f>IF($B2904="","",IFERROR(IF(INDEX(Config!$D$9:$D$29,MATCH($B2904,Config!$B$9:$B$29,0))="Contrato",IF(INDEX(Config!$E$9:$E$29,MATCH($B2904,Config!$B$9:$B$29,0))="","",INDEX(Config!$E$9:$E$29,MATCH($B2904,Config!$B$9:$B$29,0))),""),""))</f>
        <v/>
      </c>
      <c r="AI2904" s="19" t="str">
        <f>IF($B2904="","",IFERROR(INDEX(Config!$D$9:$D$29,MATCH($B2904,Config!$B$9:$B$29,0))&amp;"",""))</f>
        <v/>
      </c>
    </row>
    <row r="2905">
      <c r="X2905" s="20" t="str">
        <f>IF($B2905="","",IFERROR(IF(INDEX(Config!$D$9:$D$29,MATCH($B2905,Config!$B$9:$B$29,0))="Contrato",IF(INDEX(Config!$E$9:$E$29,MATCH($B2905,Config!$B$9:$B$29,0))="","",INDEX(Config!$E$9:$E$29,MATCH($B2905,Config!$B$9:$B$29,0))),""),""))</f>
        <v/>
      </c>
      <c r="AI2905" s="19" t="str">
        <f>IF($B2905="","",IFERROR(INDEX(Config!$D$9:$D$29,MATCH($B2905,Config!$B$9:$B$29,0))&amp;"",""))</f>
        <v/>
      </c>
    </row>
    <row r="2906">
      <c r="X2906" s="20" t="str">
        <f>IF($B2906="","",IFERROR(IF(INDEX(Config!$D$9:$D$29,MATCH($B2906,Config!$B$9:$B$29,0))="Contrato",IF(INDEX(Config!$E$9:$E$29,MATCH($B2906,Config!$B$9:$B$29,0))="","",INDEX(Config!$E$9:$E$29,MATCH($B2906,Config!$B$9:$B$29,0))),""),""))</f>
        <v/>
      </c>
      <c r="AI2906" s="19" t="str">
        <f>IF($B2906="","",IFERROR(INDEX(Config!$D$9:$D$29,MATCH($B2906,Config!$B$9:$B$29,0))&amp;"",""))</f>
        <v/>
      </c>
    </row>
    <row r="2907">
      <c r="X2907" s="20" t="str">
        <f>IF($B2907="","",IFERROR(IF(INDEX(Config!$D$9:$D$29,MATCH($B2907,Config!$B$9:$B$29,0))="Contrato",IF(INDEX(Config!$E$9:$E$29,MATCH($B2907,Config!$B$9:$B$29,0))="","",INDEX(Config!$E$9:$E$29,MATCH($B2907,Config!$B$9:$B$29,0))),""),""))</f>
        <v/>
      </c>
      <c r="AI2907" s="19" t="str">
        <f>IF($B2907="","",IFERROR(INDEX(Config!$D$9:$D$29,MATCH($B2907,Config!$B$9:$B$29,0))&amp;"",""))</f>
        <v/>
      </c>
    </row>
    <row r="2908">
      <c r="X2908" s="20" t="str">
        <f>IF($B2908="","",IFERROR(IF(INDEX(Config!$D$9:$D$29,MATCH($B2908,Config!$B$9:$B$29,0))="Contrato",IF(INDEX(Config!$E$9:$E$29,MATCH($B2908,Config!$B$9:$B$29,0))="","",INDEX(Config!$E$9:$E$29,MATCH($B2908,Config!$B$9:$B$29,0))),""),""))</f>
        <v/>
      </c>
      <c r="AI2908" s="19" t="str">
        <f>IF($B2908="","",IFERROR(INDEX(Config!$D$9:$D$29,MATCH($B2908,Config!$B$9:$B$29,0))&amp;"",""))</f>
        <v/>
      </c>
    </row>
    <row r="2909">
      <c r="X2909" s="20" t="str">
        <f>IF($B2909="","",IFERROR(IF(INDEX(Config!$D$9:$D$29,MATCH($B2909,Config!$B$9:$B$29,0))="Contrato",IF(INDEX(Config!$E$9:$E$29,MATCH($B2909,Config!$B$9:$B$29,0))="","",INDEX(Config!$E$9:$E$29,MATCH($B2909,Config!$B$9:$B$29,0))),""),""))</f>
        <v/>
      </c>
      <c r="AI2909" s="19" t="str">
        <f>IF($B2909="","",IFERROR(INDEX(Config!$D$9:$D$29,MATCH($B2909,Config!$B$9:$B$29,0))&amp;"",""))</f>
        <v/>
      </c>
    </row>
    <row r="2910">
      <c r="X2910" s="20" t="str">
        <f>IF($B2910="","",IFERROR(IF(INDEX(Config!$D$9:$D$29,MATCH($B2910,Config!$B$9:$B$29,0))="Contrato",IF(INDEX(Config!$E$9:$E$29,MATCH($B2910,Config!$B$9:$B$29,0))="","",INDEX(Config!$E$9:$E$29,MATCH($B2910,Config!$B$9:$B$29,0))),""),""))</f>
        <v/>
      </c>
      <c r="AI2910" s="19" t="str">
        <f>IF($B2910="","",IFERROR(INDEX(Config!$D$9:$D$29,MATCH($B2910,Config!$B$9:$B$29,0))&amp;"",""))</f>
        <v/>
      </c>
    </row>
    <row r="2911">
      <c r="X2911" s="20" t="str">
        <f>IF($B2911="","",IFERROR(IF(INDEX(Config!$D$9:$D$29,MATCH($B2911,Config!$B$9:$B$29,0))="Contrato",IF(INDEX(Config!$E$9:$E$29,MATCH($B2911,Config!$B$9:$B$29,0))="","",INDEX(Config!$E$9:$E$29,MATCH($B2911,Config!$B$9:$B$29,0))),""),""))</f>
        <v/>
      </c>
      <c r="AI2911" s="19" t="str">
        <f>IF($B2911="","",IFERROR(INDEX(Config!$D$9:$D$29,MATCH($B2911,Config!$B$9:$B$29,0))&amp;"",""))</f>
        <v/>
      </c>
    </row>
    <row r="2912">
      <c r="X2912" s="20" t="str">
        <f>IF($B2912="","",IFERROR(IF(INDEX(Config!$D$9:$D$29,MATCH($B2912,Config!$B$9:$B$29,0))="Contrato",IF(INDEX(Config!$E$9:$E$29,MATCH($B2912,Config!$B$9:$B$29,0))="","",INDEX(Config!$E$9:$E$29,MATCH($B2912,Config!$B$9:$B$29,0))),""),""))</f>
        <v/>
      </c>
      <c r="AI2912" s="19" t="str">
        <f>IF($B2912="","",IFERROR(INDEX(Config!$D$9:$D$29,MATCH($B2912,Config!$B$9:$B$29,0))&amp;"",""))</f>
        <v/>
      </c>
    </row>
    <row r="2913">
      <c r="X2913" s="20" t="str">
        <f>IF($B2913="","",IFERROR(IF(INDEX(Config!$D$9:$D$29,MATCH($B2913,Config!$B$9:$B$29,0))="Contrato",IF(INDEX(Config!$E$9:$E$29,MATCH($B2913,Config!$B$9:$B$29,0))="","",INDEX(Config!$E$9:$E$29,MATCH($B2913,Config!$B$9:$B$29,0))),""),""))</f>
        <v/>
      </c>
      <c r="AI2913" s="19" t="str">
        <f>IF($B2913="","",IFERROR(INDEX(Config!$D$9:$D$29,MATCH($B2913,Config!$B$9:$B$29,0))&amp;"",""))</f>
        <v/>
      </c>
    </row>
    <row r="2914">
      <c r="X2914" s="20" t="str">
        <f>IF($B2914="","",IFERROR(IF(INDEX(Config!$D$9:$D$29,MATCH($B2914,Config!$B$9:$B$29,0))="Contrato",IF(INDEX(Config!$E$9:$E$29,MATCH($B2914,Config!$B$9:$B$29,0))="","",INDEX(Config!$E$9:$E$29,MATCH($B2914,Config!$B$9:$B$29,0))),""),""))</f>
        <v/>
      </c>
      <c r="AI2914" s="19" t="str">
        <f>IF($B2914="","",IFERROR(INDEX(Config!$D$9:$D$29,MATCH($B2914,Config!$B$9:$B$29,0))&amp;"",""))</f>
        <v/>
      </c>
    </row>
    <row r="2915">
      <c r="X2915" s="20" t="str">
        <f>IF($B2915="","",IFERROR(IF(INDEX(Config!$D$9:$D$29,MATCH($B2915,Config!$B$9:$B$29,0))="Contrato",IF(INDEX(Config!$E$9:$E$29,MATCH($B2915,Config!$B$9:$B$29,0))="","",INDEX(Config!$E$9:$E$29,MATCH($B2915,Config!$B$9:$B$29,0))),""),""))</f>
        <v/>
      </c>
      <c r="AI2915" s="19" t="str">
        <f>IF($B2915="","",IFERROR(INDEX(Config!$D$9:$D$29,MATCH($B2915,Config!$B$9:$B$29,0))&amp;"",""))</f>
        <v/>
      </c>
    </row>
    <row r="2916">
      <c r="X2916" s="20" t="str">
        <f>IF($B2916="","",IFERROR(IF(INDEX(Config!$D$9:$D$29,MATCH($B2916,Config!$B$9:$B$29,0))="Contrato",IF(INDEX(Config!$E$9:$E$29,MATCH($B2916,Config!$B$9:$B$29,0))="","",INDEX(Config!$E$9:$E$29,MATCH($B2916,Config!$B$9:$B$29,0))),""),""))</f>
        <v/>
      </c>
      <c r="AI2916" s="19" t="str">
        <f>IF($B2916="","",IFERROR(INDEX(Config!$D$9:$D$29,MATCH($B2916,Config!$B$9:$B$29,0))&amp;"",""))</f>
        <v/>
      </c>
    </row>
    <row r="2917">
      <c r="X2917" s="20" t="str">
        <f>IF($B2917="","",IFERROR(IF(INDEX(Config!$D$9:$D$29,MATCH($B2917,Config!$B$9:$B$29,0))="Contrato",IF(INDEX(Config!$E$9:$E$29,MATCH($B2917,Config!$B$9:$B$29,0))="","",INDEX(Config!$E$9:$E$29,MATCH($B2917,Config!$B$9:$B$29,0))),""),""))</f>
        <v/>
      </c>
      <c r="AI2917" s="19" t="str">
        <f>IF($B2917="","",IFERROR(INDEX(Config!$D$9:$D$29,MATCH($B2917,Config!$B$9:$B$29,0))&amp;"",""))</f>
        <v/>
      </c>
    </row>
    <row r="2918">
      <c r="X2918" s="20" t="str">
        <f>IF($B2918="","",IFERROR(IF(INDEX(Config!$D$9:$D$29,MATCH($B2918,Config!$B$9:$B$29,0))="Contrato",IF(INDEX(Config!$E$9:$E$29,MATCH($B2918,Config!$B$9:$B$29,0))="","",INDEX(Config!$E$9:$E$29,MATCH($B2918,Config!$B$9:$B$29,0))),""),""))</f>
        <v/>
      </c>
      <c r="AI2918" s="19" t="str">
        <f>IF($B2918="","",IFERROR(INDEX(Config!$D$9:$D$29,MATCH($B2918,Config!$B$9:$B$29,0))&amp;"",""))</f>
        <v/>
      </c>
    </row>
    <row r="2919">
      <c r="X2919" s="20" t="str">
        <f>IF($B2919="","",IFERROR(IF(INDEX(Config!$D$9:$D$29,MATCH($B2919,Config!$B$9:$B$29,0))="Contrato",IF(INDEX(Config!$E$9:$E$29,MATCH($B2919,Config!$B$9:$B$29,0))="","",INDEX(Config!$E$9:$E$29,MATCH($B2919,Config!$B$9:$B$29,0))),""),""))</f>
        <v/>
      </c>
      <c r="AI2919" s="19" t="str">
        <f>IF($B2919="","",IFERROR(INDEX(Config!$D$9:$D$29,MATCH($B2919,Config!$B$9:$B$29,0))&amp;"",""))</f>
        <v/>
      </c>
    </row>
    <row r="2920">
      <c r="X2920" s="20" t="str">
        <f>IF($B2920="","",IFERROR(IF(INDEX(Config!$D$9:$D$29,MATCH($B2920,Config!$B$9:$B$29,0))="Contrato",IF(INDEX(Config!$E$9:$E$29,MATCH($B2920,Config!$B$9:$B$29,0))="","",INDEX(Config!$E$9:$E$29,MATCH($B2920,Config!$B$9:$B$29,0))),""),""))</f>
        <v/>
      </c>
      <c r="AI2920" s="19" t="str">
        <f>IF($B2920="","",IFERROR(INDEX(Config!$D$9:$D$29,MATCH($B2920,Config!$B$9:$B$29,0))&amp;"",""))</f>
        <v/>
      </c>
    </row>
    <row r="2921">
      <c r="X2921" s="20" t="str">
        <f>IF($B2921="","",IFERROR(IF(INDEX(Config!$D$9:$D$29,MATCH($B2921,Config!$B$9:$B$29,0))="Contrato",IF(INDEX(Config!$E$9:$E$29,MATCH($B2921,Config!$B$9:$B$29,0))="","",INDEX(Config!$E$9:$E$29,MATCH($B2921,Config!$B$9:$B$29,0))),""),""))</f>
        <v/>
      </c>
      <c r="AI2921" s="19" t="str">
        <f>IF($B2921="","",IFERROR(INDEX(Config!$D$9:$D$29,MATCH($B2921,Config!$B$9:$B$29,0))&amp;"",""))</f>
        <v/>
      </c>
    </row>
    <row r="2922">
      <c r="X2922" s="20" t="str">
        <f>IF($B2922="","",IFERROR(IF(INDEX(Config!$D$9:$D$29,MATCH($B2922,Config!$B$9:$B$29,0))="Contrato",IF(INDEX(Config!$E$9:$E$29,MATCH($B2922,Config!$B$9:$B$29,0))="","",INDEX(Config!$E$9:$E$29,MATCH($B2922,Config!$B$9:$B$29,0))),""),""))</f>
        <v/>
      </c>
      <c r="AI2922" s="19" t="str">
        <f>IF($B2922="","",IFERROR(INDEX(Config!$D$9:$D$29,MATCH($B2922,Config!$B$9:$B$29,0))&amp;"",""))</f>
        <v/>
      </c>
    </row>
    <row r="2923">
      <c r="X2923" s="20" t="str">
        <f>IF($B2923="","",IFERROR(IF(INDEX(Config!$D$9:$D$29,MATCH($B2923,Config!$B$9:$B$29,0))="Contrato",IF(INDEX(Config!$E$9:$E$29,MATCH($B2923,Config!$B$9:$B$29,0))="","",INDEX(Config!$E$9:$E$29,MATCH($B2923,Config!$B$9:$B$29,0))),""),""))</f>
        <v/>
      </c>
      <c r="AI2923" s="19" t="str">
        <f>IF($B2923="","",IFERROR(INDEX(Config!$D$9:$D$29,MATCH($B2923,Config!$B$9:$B$29,0))&amp;"",""))</f>
        <v/>
      </c>
    </row>
    <row r="2924">
      <c r="X2924" s="20" t="str">
        <f>IF($B2924="","",IFERROR(IF(INDEX(Config!$D$9:$D$29,MATCH($B2924,Config!$B$9:$B$29,0))="Contrato",IF(INDEX(Config!$E$9:$E$29,MATCH($B2924,Config!$B$9:$B$29,0))="","",INDEX(Config!$E$9:$E$29,MATCH($B2924,Config!$B$9:$B$29,0))),""),""))</f>
        <v/>
      </c>
      <c r="AI2924" s="19" t="str">
        <f>IF($B2924="","",IFERROR(INDEX(Config!$D$9:$D$29,MATCH($B2924,Config!$B$9:$B$29,0))&amp;"",""))</f>
        <v/>
      </c>
    </row>
    <row r="2925">
      <c r="X2925" s="20" t="str">
        <f>IF($B2925="","",IFERROR(IF(INDEX(Config!$D$9:$D$29,MATCH($B2925,Config!$B$9:$B$29,0))="Contrato",IF(INDEX(Config!$E$9:$E$29,MATCH($B2925,Config!$B$9:$B$29,0))="","",INDEX(Config!$E$9:$E$29,MATCH($B2925,Config!$B$9:$B$29,0))),""),""))</f>
        <v/>
      </c>
      <c r="AI2925" s="19" t="str">
        <f>IF($B2925="","",IFERROR(INDEX(Config!$D$9:$D$29,MATCH($B2925,Config!$B$9:$B$29,0))&amp;"",""))</f>
        <v/>
      </c>
    </row>
    <row r="2926">
      <c r="X2926" s="20" t="str">
        <f>IF($B2926="","",IFERROR(IF(INDEX(Config!$D$9:$D$29,MATCH($B2926,Config!$B$9:$B$29,0))="Contrato",IF(INDEX(Config!$E$9:$E$29,MATCH($B2926,Config!$B$9:$B$29,0))="","",INDEX(Config!$E$9:$E$29,MATCH($B2926,Config!$B$9:$B$29,0))),""),""))</f>
        <v/>
      </c>
      <c r="AI2926" s="19" t="str">
        <f>IF($B2926="","",IFERROR(INDEX(Config!$D$9:$D$29,MATCH($B2926,Config!$B$9:$B$29,0))&amp;"",""))</f>
        <v/>
      </c>
    </row>
    <row r="2927">
      <c r="X2927" s="20" t="str">
        <f>IF($B2927="","",IFERROR(IF(INDEX(Config!$D$9:$D$29,MATCH($B2927,Config!$B$9:$B$29,0))="Contrato",IF(INDEX(Config!$E$9:$E$29,MATCH($B2927,Config!$B$9:$B$29,0))="","",INDEX(Config!$E$9:$E$29,MATCH($B2927,Config!$B$9:$B$29,0))),""),""))</f>
        <v/>
      </c>
      <c r="AI2927" s="19" t="str">
        <f>IF($B2927="","",IFERROR(INDEX(Config!$D$9:$D$29,MATCH($B2927,Config!$B$9:$B$29,0))&amp;"",""))</f>
        <v/>
      </c>
    </row>
    <row r="2928">
      <c r="X2928" s="20" t="str">
        <f>IF($B2928="","",IFERROR(IF(INDEX(Config!$D$9:$D$29,MATCH($B2928,Config!$B$9:$B$29,0))="Contrato",IF(INDEX(Config!$E$9:$E$29,MATCH($B2928,Config!$B$9:$B$29,0))="","",INDEX(Config!$E$9:$E$29,MATCH($B2928,Config!$B$9:$B$29,0))),""),""))</f>
        <v/>
      </c>
      <c r="AI2928" s="19" t="str">
        <f>IF($B2928="","",IFERROR(INDEX(Config!$D$9:$D$29,MATCH($B2928,Config!$B$9:$B$29,0))&amp;"",""))</f>
        <v/>
      </c>
    </row>
    <row r="2929">
      <c r="X2929" s="20" t="str">
        <f>IF($B2929="","",IFERROR(IF(INDEX(Config!$D$9:$D$29,MATCH($B2929,Config!$B$9:$B$29,0))="Contrato",IF(INDEX(Config!$E$9:$E$29,MATCH($B2929,Config!$B$9:$B$29,0))="","",INDEX(Config!$E$9:$E$29,MATCH($B2929,Config!$B$9:$B$29,0))),""),""))</f>
        <v/>
      </c>
      <c r="AI2929" s="19" t="str">
        <f>IF($B2929="","",IFERROR(INDEX(Config!$D$9:$D$29,MATCH($B2929,Config!$B$9:$B$29,0))&amp;"",""))</f>
        <v/>
      </c>
    </row>
    <row r="2930">
      <c r="X2930" s="20" t="str">
        <f>IF($B2930="","",IFERROR(IF(INDEX(Config!$D$9:$D$29,MATCH($B2930,Config!$B$9:$B$29,0))="Contrato",IF(INDEX(Config!$E$9:$E$29,MATCH($B2930,Config!$B$9:$B$29,0))="","",INDEX(Config!$E$9:$E$29,MATCH($B2930,Config!$B$9:$B$29,0))),""),""))</f>
        <v/>
      </c>
      <c r="AI2930" s="19" t="str">
        <f>IF($B2930="","",IFERROR(INDEX(Config!$D$9:$D$29,MATCH($B2930,Config!$B$9:$B$29,0))&amp;"",""))</f>
        <v/>
      </c>
    </row>
    <row r="2931">
      <c r="X2931" s="20" t="str">
        <f>IF($B2931="","",IFERROR(IF(INDEX(Config!$D$9:$D$29,MATCH($B2931,Config!$B$9:$B$29,0))="Contrato",IF(INDEX(Config!$E$9:$E$29,MATCH($B2931,Config!$B$9:$B$29,0))="","",INDEX(Config!$E$9:$E$29,MATCH($B2931,Config!$B$9:$B$29,0))),""),""))</f>
        <v/>
      </c>
      <c r="AI2931" s="19" t="str">
        <f>IF($B2931="","",IFERROR(INDEX(Config!$D$9:$D$29,MATCH($B2931,Config!$B$9:$B$29,0))&amp;"",""))</f>
        <v/>
      </c>
    </row>
    <row r="2932">
      <c r="X2932" s="20" t="str">
        <f>IF($B2932="","",IFERROR(IF(INDEX(Config!$D$9:$D$29,MATCH($B2932,Config!$B$9:$B$29,0))="Contrato",IF(INDEX(Config!$E$9:$E$29,MATCH($B2932,Config!$B$9:$B$29,0))="","",INDEX(Config!$E$9:$E$29,MATCH($B2932,Config!$B$9:$B$29,0))),""),""))</f>
        <v/>
      </c>
      <c r="AI2932" s="19" t="str">
        <f>IF($B2932="","",IFERROR(INDEX(Config!$D$9:$D$29,MATCH($B2932,Config!$B$9:$B$29,0))&amp;"",""))</f>
        <v/>
      </c>
    </row>
    <row r="2933">
      <c r="X2933" s="20" t="str">
        <f>IF($B2933="","",IFERROR(IF(INDEX(Config!$D$9:$D$29,MATCH($B2933,Config!$B$9:$B$29,0))="Contrato",IF(INDEX(Config!$E$9:$E$29,MATCH($B2933,Config!$B$9:$B$29,0))="","",INDEX(Config!$E$9:$E$29,MATCH($B2933,Config!$B$9:$B$29,0))),""),""))</f>
        <v/>
      </c>
      <c r="AI2933" s="19" t="str">
        <f>IF($B2933="","",IFERROR(INDEX(Config!$D$9:$D$29,MATCH($B2933,Config!$B$9:$B$29,0))&amp;"",""))</f>
        <v/>
      </c>
    </row>
    <row r="2934">
      <c r="X2934" s="20" t="str">
        <f>IF($B2934="","",IFERROR(IF(INDEX(Config!$D$9:$D$29,MATCH($B2934,Config!$B$9:$B$29,0))="Contrato",IF(INDEX(Config!$E$9:$E$29,MATCH($B2934,Config!$B$9:$B$29,0))="","",INDEX(Config!$E$9:$E$29,MATCH($B2934,Config!$B$9:$B$29,0))),""),""))</f>
        <v/>
      </c>
      <c r="AI2934" s="19" t="str">
        <f>IF($B2934="","",IFERROR(INDEX(Config!$D$9:$D$29,MATCH($B2934,Config!$B$9:$B$29,0))&amp;"",""))</f>
        <v/>
      </c>
    </row>
    <row r="2935">
      <c r="X2935" s="20" t="str">
        <f>IF($B2935="","",IFERROR(IF(INDEX(Config!$D$9:$D$29,MATCH($B2935,Config!$B$9:$B$29,0))="Contrato",IF(INDEX(Config!$E$9:$E$29,MATCH($B2935,Config!$B$9:$B$29,0))="","",INDEX(Config!$E$9:$E$29,MATCH($B2935,Config!$B$9:$B$29,0))),""),""))</f>
        <v/>
      </c>
      <c r="AI2935" s="19" t="str">
        <f>IF($B2935="","",IFERROR(INDEX(Config!$D$9:$D$29,MATCH($B2935,Config!$B$9:$B$29,0))&amp;"",""))</f>
        <v/>
      </c>
    </row>
    <row r="2936">
      <c r="X2936" s="20" t="str">
        <f>IF($B2936="","",IFERROR(IF(INDEX(Config!$D$9:$D$29,MATCH($B2936,Config!$B$9:$B$29,0))="Contrato",IF(INDEX(Config!$E$9:$E$29,MATCH($B2936,Config!$B$9:$B$29,0))="","",INDEX(Config!$E$9:$E$29,MATCH($B2936,Config!$B$9:$B$29,0))),""),""))</f>
        <v/>
      </c>
      <c r="AI2936" s="19" t="str">
        <f>IF($B2936="","",IFERROR(INDEX(Config!$D$9:$D$29,MATCH($B2936,Config!$B$9:$B$29,0))&amp;"",""))</f>
        <v/>
      </c>
    </row>
    <row r="2937">
      <c r="X2937" s="20" t="str">
        <f>IF($B2937="","",IFERROR(IF(INDEX(Config!$D$9:$D$29,MATCH($B2937,Config!$B$9:$B$29,0))="Contrato",IF(INDEX(Config!$E$9:$E$29,MATCH($B2937,Config!$B$9:$B$29,0))="","",INDEX(Config!$E$9:$E$29,MATCH($B2937,Config!$B$9:$B$29,0))),""),""))</f>
        <v/>
      </c>
      <c r="AI2937" s="19" t="str">
        <f>IF($B2937="","",IFERROR(INDEX(Config!$D$9:$D$29,MATCH($B2937,Config!$B$9:$B$29,0))&amp;"",""))</f>
        <v/>
      </c>
    </row>
    <row r="2938">
      <c r="X2938" s="20" t="str">
        <f>IF($B2938="","",IFERROR(IF(INDEX(Config!$D$9:$D$29,MATCH($B2938,Config!$B$9:$B$29,0))="Contrato",IF(INDEX(Config!$E$9:$E$29,MATCH($B2938,Config!$B$9:$B$29,0))="","",INDEX(Config!$E$9:$E$29,MATCH($B2938,Config!$B$9:$B$29,0))),""),""))</f>
        <v/>
      </c>
      <c r="AI2938" s="19" t="str">
        <f>IF($B2938="","",IFERROR(INDEX(Config!$D$9:$D$29,MATCH($B2938,Config!$B$9:$B$29,0))&amp;"",""))</f>
        <v/>
      </c>
    </row>
    <row r="2939">
      <c r="X2939" s="20" t="str">
        <f>IF($B2939="","",IFERROR(IF(INDEX(Config!$D$9:$D$29,MATCH($B2939,Config!$B$9:$B$29,0))="Contrato",IF(INDEX(Config!$E$9:$E$29,MATCH($B2939,Config!$B$9:$B$29,0))="","",INDEX(Config!$E$9:$E$29,MATCH($B2939,Config!$B$9:$B$29,0))),""),""))</f>
        <v/>
      </c>
      <c r="AI2939" s="19" t="str">
        <f>IF($B2939="","",IFERROR(INDEX(Config!$D$9:$D$29,MATCH($B2939,Config!$B$9:$B$29,0))&amp;"",""))</f>
        <v/>
      </c>
    </row>
    <row r="2940">
      <c r="X2940" s="20" t="str">
        <f>IF($B2940="","",IFERROR(IF(INDEX(Config!$D$9:$D$29,MATCH($B2940,Config!$B$9:$B$29,0))="Contrato",IF(INDEX(Config!$E$9:$E$29,MATCH($B2940,Config!$B$9:$B$29,0))="","",INDEX(Config!$E$9:$E$29,MATCH($B2940,Config!$B$9:$B$29,0))),""),""))</f>
        <v/>
      </c>
      <c r="AI2940" s="19" t="str">
        <f>IF($B2940="","",IFERROR(INDEX(Config!$D$9:$D$29,MATCH($B2940,Config!$B$9:$B$29,0))&amp;"",""))</f>
        <v/>
      </c>
    </row>
    <row r="2941">
      <c r="X2941" s="20" t="str">
        <f>IF($B2941="","",IFERROR(IF(INDEX(Config!$D$9:$D$29,MATCH($B2941,Config!$B$9:$B$29,0))="Contrato",IF(INDEX(Config!$E$9:$E$29,MATCH($B2941,Config!$B$9:$B$29,0))="","",INDEX(Config!$E$9:$E$29,MATCH($B2941,Config!$B$9:$B$29,0))),""),""))</f>
        <v/>
      </c>
      <c r="AI2941" s="19" t="str">
        <f>IF($B2941="","",IFERROR(INDEX(Config!$D$9:$D$29,MATCH($B2941,Config!$B$9:$B$29,0))&amp;"",""))</f>
        <v/>
      </c>
    </row>
    <row r="2942">
      <c r="X2942" s="20" t="str">
        <f>IF($B2942="","",IFERROR(IF(INDEX(Config!$D$9:$D$29,MATCH($B2942,Config!$B$9:$B$29,0))="Contrato",IF(INDEX(Config!$E$9:$E$29,MATCH($B2942,Config!$B$9:$B$29,0))="","",INDEX(Config!$E$9:$E$29,MATCH($B2942,Config!$B$9:$B$29,0))),""),""))</f>
        <v/>
      </c>
      <c r="AI2942" s="19" t="str">
        <f>IF($B2942="","",IFERROR(INDEX(Config!$D$9:$D$29,MATCH($B2942,Config!$B$9:$B$29,0))&amp;"",""))</f>
        <v/>
      </c>
    </row>
    <row r="2943">
      <c r="X2943" s="20" t="str">
        <f>IF($B2943="","",IFERROR(IF(INDEX(Config!$D$9:$D$29,MATCH($B2943,Config!$B$9:$B$29,0))="Contrato",IF(INDEX(Config!$E$9:$E$29,MATCH($B2943,Config!$B$9:$B$29,0))="","",INDEX(Config!$E$9:$E$29,MATCH($B2943,Config!$B$9:$B$29,0))),""),""))</f>
        <v/>
      </c>
      <c r="AI2943" s="19" t="str">
        <f>IF($B2943="","",IFERROR(INDEX(Config!$D$9:$D$29,MATCH($B2943,Config!$B$9:$B$29,0))&amp;"",""))</f>
        <v/>
      </c>
    </row>
    <row r="2944">
      <c r="X2944" s="20" t="str">
        <f>IF($B2944="","",IFERROR(IF(INDEX(Config!$D$9:$D$29,MATCH($B2944,Config!$B$9:$B$29,0))="Contrato",IF(INDEX(Config!$E$9:$E$29,MATCH($B2944,Config!$B$9:$B$29,0))="","",INDEX(Config!$E$9:$E$29,MATCH($B2944,Config!$B$9:$B$29,0))),""),""))</f>
        <v/>
      </c>
      <c r="AI2944" s="19" t="str">
        <f>IF($B2944="","",IFERROR(INDEX(Config!$D$9:$D$29,MATCH($B2944,Config!$B$9:$B$29,0))&amp;"",""))</f>
        <v/>
      </c>
    </row>
    <row r="2945">
      <c r="X2945" s="20" t="str">
        <f>IF($B2945="","",IFERROR(IF(INDEX(Config!$D$9:$D$29,MATCH($B2945,Config!$B$9:$B$29,0))="Contrato",IF(INDEX(Config!$E$9:$E$29,MATCH($B2945,Config!$B$9:$B$29,0))="","",INDEX(Config!$E$9:$E$29,MATCH($B2945,Config!$B$9:$B$29,0))),""),""))</f>
        <v/>
      </c>
      <c r="AI2945" s="19" t="str">
        <f>IF($B2945="","",IFERROR(INDEX(Config!$D$9:$D$29,MATCH($B2945,Config!$B$9:$B$29,0))&amp;"",""))</f>
        <v/>
      </c>
    </row>
    <row r="2946">
      <c r="X2946" s="20" t="str">
        <f>IF($B2946="","",IFERROR(IF(INDEX(Config!$D$9:$D$29,MATCH($B2946,Config!$B$9:$B$29,0))="Contrato",IF(INDEX(Config!$E$9:$E$29,MATCH($B2946,Config!$B$9:$B$29,0))="","",INDEX(Config!$E$9:$E$29,MATCH($B2946,Config!$B$9:$B$29,0))),""),""))</f>
        <v/>
      </c>
      <c r="AI2946" s="19" t="str">
        <f>IF($B2946="","",IFERROR(INDEX(Config!$D$9:$D$29,MATCH($B2946,Config!$B$9:$B$29,0))&amp;"",""))</f>
        <v/>
      </c>
    </row>
    <row r="2947">
      <c r="X2947" s="20" t="str">
        <f>IF($B2947="","",IFERROR(IF(INDEX(Config!$D$9:$D$29,MATCH($B2947,Config!$B$9:$B$29,0))="Contrato",IF(INDEX(Config!$E$9:$E$29,MATCH($B2947,Config!$B$9:$B$29,0))="","",INDEX(Config!$E$9:$E$29,MATCH($B2947,Config!$B$9:$B$29,0))),""),""))</f>
        <v/>
      </c>
      <c r="AI2947" s="19" t="str">
        <f>IF($B2947="","",IFERROR(INDEX(Config!$D$9:$D$29,MATCH($B2947,Config!$B$9:$B$29,0))&amp;"",""))</f>
        <v/>
      </c>
    </row>
    <row r="2948">
      <c r="X2948" s="20" t="str">
        <f>IF($B2948="","",IFERROR(IF(INDEX(Config!$D$9:$D$29,MATCH($B2948,Config!$B$9:$B$29,0))="Contrato",IF(INDEX(Config!$E$9:$E$29,MATCH($B2948,Config!$B$9:$B$29,0))="","",INDEX(Config!$E$9:$E$29,MATCH($B2948,Config!$B$9:$B$29,0))),""),""))</f>
        <v/>
      </c>
      <c r="AI2948" s="19" t="str">
        <f>IF($B2948="","",IFERROR(INDEX(Config!$D$9:$D$29,MATCH($B2948,Config!$B$9:$B$29,0))&amp;"",""))</f>
        <v/>
      </c>
    </row>
    <row r="2949">
      <c r="X2949" s="20" t="str">
        <f>IF($B2949="","",IFERROR(IF(INDEX(Config!$D$9:$D$29,MATCH($B2949,Config!$B$9:$B$29,0))="Contrato",IF(INDEX(Config!$E$9:$E$29,MATCH($B2949,Config!$B$9:$B$29,0))="","",INDEX(Config!$E$9:$E$29,MATCH($B2949,Config!$B$9:$B$29,0))),""),""))</f>
        <v/>
      </c>
      <c r="AI2949" s="19" t="str">
        <f>IF($B2949="","",IFERROR(INDEX(Config!$D$9:$D$29,MATCH($B2949,Config!$B$9:$B$29,0))&amp;"",""))</f>
        <v/>
      </c>
    </row>
    <row r="2950">
      <c r="X2950" s="20" t="str">
        <f>IF($B2950="","",IFERROR(IF(INDEX(Config!$D$9:$D$29,MATCH($B2950,Config!$B$9:$B$29,0))="Contrato",IF(INDEX(Config!$E$9:$E$29,MATCH($B2950,Config!$B$9:$B$29,0))="","",INDEX(Config!$E$9:$E$29,MATCH($B2950,Config!$B$9:$B$29,0))),""),""))</f>
        <v/>
      </c>
      <c r="AI2950" s="19" t="str">
        <f>IF($B2950="","",IFERROR(INDEX(Config!$D$9:$D$29,MATCH($B2950,Config!$B$9:$B$29,0))&amp;"",""))</f>
        <v/>
      </c>
    </row>
    <row r="2951">
      <c r="X2951" s="20" t="str">
        <f>IF($B2951="","",IFERROR(IF(INDEX(Config!$D$9:$D$29,MATCH($B2951,Config!$B$9:$B$29,0))="Contrato",IF(INDEX(Config!$E$9:$E$29,MATCH($B2951,Config!$B$9:$B$29,0))="","",INDEX(Config!$E$9:$E$29,MATCH($B2951,Config!$B$9:$B$29,0))),""),""))</f>
        <v/>
      </c>
      <c r="AI2951" s="19" t="str">
        <f>IF($B2951="","",IFERROR(INDEX(Config!$D$9:$D$29,MATCH($B2951,Config!$B$9:$B$29,0))&amp;"",""))</f>
        <v/>
      </c>
    </row>
    <row r="2952">
      <c r="X2952" s="20" t="str">
        <f>IF($B2952="","",IFERROR(IF(INDEX(Config!$D$9:$D$29,MATCH($B2952,Config!$B$9:$B$29,0))="Contrato",IF(INDEX(Config!$E$9:$E$29,MATCH($B2952,Config!$B$9:$B$29,0))="","",INDEX(Config!$E$9:$E$29,MATCH($B2952,Config!$B$9:$B$29,0))),""),""))</f>
        <v/>
      </c>
      <c r="AI2952" s="19" t="str">
        <f>IF($B2952="","",IFERROR(INDEX(Config!$D$9:$D$29,MATCH($B2952,Config!$B$9:$B$29,0))&amp;"",""))</f>
        <v/>
      </c>
    </row>
    <row r="2953">
      <c r="X2953" s="20" t="str">
        <f>IF($B2953="","",IFERROR(IF(INDEX(Config!$D$9:$D$29,MATCH($B2953,Config!$B$9:$B$29,0))="Contrato",IF(INDEX(Config!$E$9:$E$29,MATCH($B2953,Config!$B$9:$B$29,0))="","",INDEX(Config!$E$9:$E$29,MATCH($B2953,Config!$B$9:$B$29,0))),""),""))</f>
        <v/>
      </c>
      <c r="AI2953" s="19" t="str">
        <f>IF($B2953="","",IFERROR(INDEX(Config!$D$9:$D$29,MATCH($B2953,Config!$B$9:$B$29,0))&amp;"",""))</f>
        <v/>
      </c>
    </row>
    <row r="2954">
      <c r="X2954" s="20" t="str">
        <f>IF($B2954="","",IFERROR(IF(INDEX(Config!$D$9:$D$29,MATCH($B2954,Config!$B$9:$B$29,0))="Contrato",IF(INDEX(Config!$E$9:$E$29,MATCH($B2954,Config!$B$9:$B$29,0))="","",INDEX(Config!$E$9:$E$29,MATCH($B2954,Config!$B$9:$B$29,0))),""),""))</f>
        <v/>
      </c>
      <c r="AI2954" s="19" t="str">
        <f>IF($B2954="","",IFERROR(INDEX(Config!$D$9:$D$29,MATCH($B2954,Config!$B$9:$B$29,0))&amp;"",""))</f>
        <v/>
      </c>
    </row>
    <row r="2955">
      <c r="X2955" s="20" t="str">
        <f>IF($B2955="","",IFERROR(IF(INDEX(Config!$D$9:$D$29,MATCH($B2955,Config!$B$9:$B$29,0))="Contrato",IF(INDEX(Config!$E$9:$E$29,MATCH($B2955,Config!$B$9:$B$29,0))="","",INDEX(Config!$E$9:$E$29,MATCH($B2955,Config!$B$9:$B$29,0))),""),""))</f>
        <v/>
      </c>
      <c r="AI2955" s="19" t="str">
        <f>IF($B2955="","",IFERROR(INDEX(Config!$D$9:$D$29,MATCH($B2955,Config!$B$9:$B$29,0))&amp;"",""))</f>
        <v/>
      </c>
    </row>
    <row r="2956">
      <c r="X2956" s="20" t="str">
        <f>IF($B2956="","",IFERROR(IF(INDEX(Config!$D$9:$D$29,MATCH($B2956,Config!$B$9:$B$29,0))="Contrato",IF(INDEX(Config!$E$9:$E$29,MATCH($B2956,Config!$B$9:$B$29,0))="","",INDEX(Config!$E$9:$E$29,MATCH($B2956,Config!$B$9:$B$29,0))),""),""))</f>
        <v/>
      </c>
      <c r="AI2956" s="19" t="str">
        <f>IF($B2956="","",IFERROR(INDEX(Config!$D$9:$D$29,MATCH($B2956,Config!$B$9:$B$29,0))&amp;"",""))</f>
        <v/>
      </c>
    </row>
    <row r="2957">
      <c r="X2957" s="20" t="str">
        <f>IF($B2957="","",IFERROR(IF(INDEX(Config!$D$9:$D$29,MATCH($B2957,Config!$B$9:$B$29,0))="Contrato",IF(INDEX(Config!$E$9:$E$29,MATCH($B2957,Config!$B$9:$B$29,0))="","",INDEX(Config!$E$9:$E$29,MATCH($B2957,Config!$B$9:$B$29,0))),""),""))</f>
        <v/>
      </c>
      <c r="AI2957" s="19" t="str">
        <f>IF($B2957="","",IFERROR(INDEX(Config!$D$9:$D$29,MATCH($B2957,Config!$B$9:$B$29,0))&amp;"",""))</f>
        <v/>
      </c>
    </row>
    <row r="2958">
      <c r="X2958" s="20" t="str">
        <f>IF($B2958="","",IFERROR(IF(INDEX(Config!$D$9:$D$29,MATCH($B2958,Config!$B$9:$B$29,0))="Contrato",IF(INDEX(Config!$E$9:$E$29,MATCH($B2958,Config!$B$9:$B$29,0))="","",INDEX(Config!$E$9:$E$29,MATCH($B2958,Config!$B$9:$B$29,0))),""),""))</f>
        <v/>
      </c>
      <c r="AI2958" s="19" t="str">
        <f>IF($B2958="","",IFERROR(INDEX(Config!$D$9:$D$29,MATCH($B2958,Config!$B$9:$B$29,0))&amp;"",""))</f>
        <v/>
      </c>
    </row>
    <row r="2959">
      <c r="X2959" s="20" t="str">
        <f>IF($B2959="","",IFERROR(IF(INDEX(Config!$D$9:$D$29,MATCH($B2959,Config!$B$9:$B$29,0))="Contrato",IF(INDEX(Config!$E$9:$E$29,MATCH($B2959,Config!$B$9:$B$29,0))="","",INDEX(Config!$E$9:$E$29,MATCH($B2959,Config!$B$9:$B$29,0))),""),""))</f>
        <v/>
      </c>
      <c r="AI2959" s="19" t="str">
        <f>IF($B2959="","",IFERROR(INDEX(Config!$D$9:$D$29,MATCH($B2959,Config!$B$9:$B$29,0))&amp;"",""))</f>
        <v/>
      </c>
    </row>
    <row r="2960">
      <c r="X2960" s="20" t="str">
        <f>IF($B2960="","",IFERROR(IF(INDEX(Config!$D$9:$D$29,MATCH($B2960,Config!$B$9:$B$29,0))="Contrato",IF(INDEX(Config!$E$9:$E$29,MATCH($B2960,Config!$B$9:$B$29,0))="","",INDEX(Config!$E$9:$E$29,MATCH($B2960,Config!$B$9:$B$29,0))),""),""))</f>
        <v/>
      </c>
      <c r="AI2960" s="19" t="str">
        <f>IF($B2960="","",IFERROR(INDEX(Config!$D$9:$D$29,MATCH($B2960,Config!$B$9:$B$29,0))&amp;"",""))</f>
        <v/>
      </c>
    </row>
    <row r="2961">
      <c r="X2961" s="20" t="str">
        <f>IF($B2961="","",IFERROR(IF(INDEX(Config!$D$9:$D$29,MATCH($B2961,Config!$B$9:$B$29,0))="Contrato",IF(INDEX(Config!$E$9:$E$29,MATCH($B2961,Config!$B$9:$B$29,0))="","",INDEX(Config!$E$9:$E$29,MATCH($B2961,Config!$B$9:$B$29,0))),""),""))</f>
        <v/>
      </c>
      <c r="AI2961" s="19" t="str">
        <f>IF($B2961="","",IFERROR(INDEX(Config!$D$9:$D$29,MATCH($B2961,Config!$B$9:$B$29,0))&amp;"",""))</f>
        <v/>
      </c>
    </row>
    <row r="2962">
      <c r="X2962" s="20" t="str">
        <f>IF($B2962="","",IFERROR(IF(INDEX(Config!$D$9:$D$29,MATCH($B2962,Config!$B$9:$B$29,0))="Contrato",IF(INDEX(Config!$E$9:$E$29,MATCH($B2962,Config!$B$9:$B$29,0))="","",INDEX(Config!$E$9:$E$29,MATCH($B2962,Config!$B$9:$B$29,0))),""),""))</f>
        <v/>
      </c>
      <c r="AI2962" s="19" t="str">
        <f>IF($B2962="","",IFERROR(INDEX(Config!$D$9:$D$29,MATCH($B2962,Config!$B$9:$B$29,0))&amp;"",""))</f>
        <v/>
      </c>
    </row>
    <row r="2963">
      <c r="X2963" s="20" t="str">
        <f>IF($B2963="","",IFERROR(IF(INDEX(Config!$D$9:$D$29,MATCH($B2963,Config!$B$9:$B$29,0))="Contrato",IF(INDEX(Config!$E$9:$E$29,MATCH($B2963,Config!$B$9:$B$29,0))="","",INDEX(Config!$E$9:$E$29,MATCH($B2963,Config!$B$9:$B$29,0))),""),""))</f>
        <v/>
      </c>
      <c r="AI2963" s="19" t="str">
        <f>IF($B2963="","",IFERROR(INDEX(Config!$D$9:$D$29,MATCH($B2963,Config!$B$9:$B$29,0))&amp;"",""))</f>
        <v/>
      </c>
    </row>
    <row r="2964">
      <c r="X2964" s="20" t="str">
        <f>IF($B2964="","",IFERROR(IF(INDEX(Config!$D$9:$D$29,MATCH($B2964,Config!$B$9:$B$29,0))="Contrato",IF(INDEX(Config!$E$9:$E$29,MATCH($B2964,Config!$B$9:$B$29,0))="","",INDEX(Config!$E$9:$E$29,MATCH($B2964,Config!$B$9:$B$29,0))),""),""))</f>
        <v/>
      </c>
      <c r="AI2964" s="19" t="str">
        <f>IF($B2964="","",IFERROR(INDEX(Config!$D$9:$D$29,MATCH($B2964,Config!$B$9:$B$29,0))&amp;"",""))</f>
        <v/>
      </c>
    </row>
    <row r="2965">
      <c r="X2965" s="20" t="str">
        <f>IF($B2965="","",IFERROR(IF(INDEX(Config!$D$9:$D$29,MATCH($B2965,Config!$B$9:$B$29,0))="Contrato",IF(INDEX(Config!$E$9:$E$29,MATCH($B2965,Config!$B$9:$B$29,0))="","",INDEX(Config!$E$9:$E$29,MATCH($B2965,Config!$B$9:$B$29,0))),""),""))</f>
        <v/>
      </c>
      <c r="AI2965" s="19" t="str">
        <f>IF($B2965="","",IFERROR(INDEX(Config!$D$9:$D$29,MATCH($B2965,Config!$B$9:$B$29,0))&amp;"",""))</f>
        <v/>
      </c>
    </row>
    <row r="2966">
      <c r="X2966" s="20" t="str">
        <f>IF($B2966="","",IFERROR(IF(INDEX(Config!$D$9:$D$29,MATCH($B2966,Config!$B$9:$B$29,0))="Contrato",IF(INDEX(Config!$E$9:$E$29,MATCH($B2966,Config!$B$9:$B$29,0))="","",INDEX(Config!$E$9:$E$29,MATCH($B2966,Config!$B$9:$B$29,0))),""),""))</f>
        <v/>
      </c>
      <c r="AI2966" s="19" t="str">
        <f>IF($B2966="","",IFERROR(INDEX(Config!$D$9:$D$29,MATCH($B2966,Config!$B$9:$B$29,0))&amp;"",""))</f>
        <v/>
      </c>
    </row>
    <row r="2967">
      <c r="X2967" s="20" t="str">
        <f>IF($B2967="","",IFERROR(IF(INDEX(Config!$D$9:$D$29,MATCH($B2967,Config!$B$9:$B$29,0))="Contrato",IF(INDEX(Config!$E$9:$E$29,MATCH($B2967,Config!$B$9:$B$29,0))="","",INDEX(Config!$E$9:$E$29,MATCH($B2967,Config!$B$9:$B$29,0))),""),""))</f>
        <v/>
      </c>
      <c r="AI2967" s="19" t="str">
        <f>IF($B2967="","",IFERROR(INDEX(Config!$D$9:$D$29,MATCH($B2967,Config!$B$9:$B$29,0))&amp;"",""))</f>
        <v/>
      </c>
    </row>
    <row r="2968">
      <c r="X2968" s="20" t="str">
        <f>IF($B2968="","",IFERROR(IF(INDEX(Config!$D$9:$D$29,MATCH($B2968,Config!$B$9:$B$29,0))="Contrato",IF(INDEX(Config!$E$9:$E$29,MATCH($B2968,Config!$B$9:$B$29,0))="","",INDEX(Config!$E$9:$E$29,MATCH($B2968,Config!$B$9:$B$29,0))),""),""))</f>
        <v/>
      </c>
      <c r="AI2968" s="19" t="str">
        <f>IF($B2968="","",IFERROR(INDEX(Config!$D$9:$D$29,MATCH($B2968,Config!$B$9:$B$29,0))&amp;"",""))</f>
        <v/>
      </c>
    </row>
    <row r="2969">
      <c r="X2969" s="20" t="str">
        <f>IF($B2969="","",IFERROR(IF(INDEX(Config!$D$9:$D$29,MATCH($B2969,Config!$B$9:$B$29,0))="Contrato",IF(INDEX(Config!$E$9:$E$29,MATCH($B2969,Config!$B$9:$B$29,0))="","",INDEX(Config!$E$9:$E$29,MATCH($B2969,Config!$B$9:$B$29,0))),""),""))</f>
        <v/>
      </c>
      <c r="AI2969" s="19" t="str">
        <f>IF($B2969="","",IFERROR(INDEX(Config!$D$9:$D$29,MATCH($B2969,Config!$B$9:$B$29,0))&amp;"",""))</f>
        <v/>
      </c>
    </row>
    <row r="2970">
      <c r="X2970" s="20" t="str">
        <f>IF($B2970="","",IFERROR(IF(INDEX(Config!$D$9:$D$29,MATCH($B2970,Config!$B$9:$B$29,0))="Contrato",IF(INDEX(Config!$E$9:$E$29,MATCH($B2970,Config!$B$9:$B$29,0))="","",INDEX(Config!$E$9:$E$29,MATCH($B2970,Config!$B$9:$B$29,0))),""),""))</f>
        <v/>
      </c>
      <c r="AI2970" s="19" t="str">
        <f>IF($B2970="","",IFERROR(INDEX(Config!$D$9:$D$29,MATCH($B2970,Config!$B$9:$B$29,0))&amp;"",""))</f>
        <v/>
      </c>
    </row>
    <row r="2971">
      <c r="X2971" s="20" t="str">
        <f>IF($B2971="","",IFERROR(IF(INDEX(Config!$D$9:$D$29,MATCH($B2971,Config!$B$9:$B$29,0))="Contrato",IF(INDEX(Config!$E$9:$E$29,MATCH($B2971,Config!$B$9:$B$29,0))="","",INDEX(Config!$E$9:$E$29,MATCH($B2971,Config!$B$9:$B$29,0))),""),""))</f>
        <v/>
      </c>
      <c r="AI2971" s="19" t="str">
        <f>IF($B2971="","",IFERROR(INDEX(Config!$D$9:$D$29,MATCH($B2971,Config!$B$9:$B$29,0))&amp;"",""))</f>
        <v/>
      </c>
    </row>
    <row r="2972">
      <c r="X2972" s="20" t="str">
        <f>IF($B2972="","",IFERROR(IF(INDEX(Config!$D$9:$D$29,MATCH($B2972,Config!$B$9:$B$29,0))="Contrato",IF(INDEX(Config!$E$9:$E$29,MATCH($B2972,Config!$B$9:$B$29,0))="","",INDEX(Config!$E$9:$E$29,MATCH($B2972,Config!$B$9:$B$29,0))),""),""))</f>
        <v/>
      </c>
      <c r="AI2972" s="19" t="str">
        <f>IF($B2972="","",IFERROR(INDEX(Config!$D$9:$D$29,MATCH($B2972,Config!$B$9:$B$29,0))&amp;"",""))</f>
        <v/>
      </c>
    </row>
    <row r="2973">
      <c r="X2973" s="20" t="str">
        <f>IF($B2973="","",IFERROR(IF(INDEX(Config!$D$9:$D$29,MATCH($B2973,Config!$B$9:$B$29,0))="Contrato",IF(INDEX(Config!$E$9:$E$29,MATCH($B2973,Config!$B$9:$B$29,0))="","",INDEX(Config!$E$9:$E$29,MATCH($B2973,Config!$B$9:$B$29,0))),""),""))</f>
        <v/>
      </c>
      <c r="AI2973" s="19" t="str">
        <f>IF($B2973="","",IFERROR(INDEX(Config!$D$9:$D$29,MATCH($B2973,Config!$B$9:$B$29,0))&amp;"",""))</f>
        <v/>
      </c>
    </row>
    <row r="2974">
      <c r="X2974" s="20" t="str">
        <f>IF($B2974="","",IFERROR(IF(INDEX(Config!$D$9:$D$29,MATCH($B2974,Config!$B$9:$B$29,0))="Contrato",IF(INDEX(Config!$E$9:$E$29,MATCH($B2974,Config!$B$9:$B$29,0))="","",INDEX(Config!$E$9:$E$29,MATCH($B2974,Config!$B$9:$B$29,0))),""),""))</f>
        <v/>
      </c>
      <c r="AI2974" s="19" t="str">
        <f>IF($B2974="","",IFERROR(INDEX(Config!$D$9:$D$29,MATCH($B2974,Config!$B$9:$B$29,0))&amp;"",""))</f>
        <v/>
      </c>
    </row>
    <row r="2975">
      <c r="X2975" s="20" t="str">
        <f>IF($B2975="","",IFERROR(IF(INDEX(Config!$D$9:$D$29,MATCH($B2975,Config!$B$9:$B$29,0))="Contrato",IF(INDEX(Config!$E$9:$E$29,MATCH($B2975,Config!$B$9:$B$29,0))="","",INDEX(Config!$E$9:$E$29,MATCH($B2975,Config!$B$9:$B$29,0))),""),""))</f>
        <v/>
      </c>
      <c r="AI2975" s="19" t="str">
        <f>IF($B2975="","",IFERROR(INDEX(Config!$D$9:$D$29,MATCH($B2975,Config!$B$9:$B$29,0))&amp;"",""))</f>
        <v/>
      </c>
    </row>
    <row r="2976">
      <c r="X2976" s="20" t="str">
        <f>IF($B2976="","",IFERROR(IF(INDEX(Config!$D$9:$D$29,MATCH($B2976,Config!$B$9:$B$29,0))="Contrato",IF(INDEX(Config!$E$9:$E$29,MATCH($B2976,Config!$B$9:$B$29,0))="","",INDEX(Config!$E$9:$E$29,MATCH($B2976,Config!$B$9:$B$29,0))),""),""))</f>
        <v/>
      </c>
      <c r="AI2976" s="19" t="str">
        <f>IF($B2976="","",IFERROR(INDEX(Config!$D$9:$D$29,MATCH($B2976,Config!$B$9:$B$29,0))&amp;"",""))</f>
        <v/>
      </c>
    </row>
    <row r="2977">
      <c r="X2977" s="20" t="str">
        <f>IF($B2977="","",IFERROR(IF(INDEX(Config!$D$9:$D$29,MATCH($B2977,Config!$B$9:$B$29,0))="Contrato",IF(INDEX(Config!$E$9:$E$29,MATCH($B2977,Config!$B$9:$B$29,0))="","",INDEX(Config!$E$9:$E$29,MATCH($B2977,Config!$B$9:$B$29,0))),""),""))</f>
        <v/>
      </c>
      <c r="AI2977" s="19" t="str">
        <f>IF($B2977="","",IFERROR(INDEX(Config!$D$9:$D$29,MATCH($B2977,Config!$B$9:$B$29,0))&amp;"",""))</f>
        <v/>
      </c>
    </row>
    <row r="2978">
      <c r="X2978" s="20" t="str">
        <f>IF($B2978="","",IFERROR(IF(INDEX(Config!$D$9:$D$29,MATCH($B2978,Config!$B$9:$B$29,0))="Contrato",IF(INDEX(Config!$E$9:$E$29,MATCH($B2978,Config!$B$9:$B$29,0))="","",INDEX(Config!$E$9:$E$29,MATCH($B2978,Config!$B$9:$B$29,0))),""),""))</f>
        <v/>
      </c>
      <c r="AI2978" s="19" t="str">
        <f>IF($B2978="","",IFERROR(INDEX(Config!$D$9:$D$29,MATCH($B2978,Config!$B$9:$B$29,0))&amp;"",""))</f>
        <v/>
      </c>
    </row>
    <row r="2979">
      <c r="X2979" s="20" t="str">
        <f>IF($B2979="","",IFERROR(IF(INDEX(Config!$D$9:$D$29,MATCH($B2979,Config!$B$9:$B$29,0))="Contrato",IF(INDEX(Config!$E$9:$E$29,MATCH($B2979,Config!$B$9:$B$29,0))="","",INDEX(Config!$E$9:$E$29,MATCH($B2979,Config!$B$9:$B$29,0))),""),""))</f>
        <v/>
      </c>
      <c r="AI2979" s="19" t="str">
        <f>IF($B2979="","",IFERROR(INDEX(Config!$D$9:$D$29,MATCH($B2979,Config!$B$9:$B$29,0))&amp;"",""))</f>
        <v/>
      </c>
    </row>
    <row r="2980">
      <c r="X2980" s="20" t="str">
        <f>IF($B2980="","",IFERROR(IF(INDEX(Config!$D$9:$D$29,MATCH($B2980,Config!$B$9:$B$29,0))="Contrato",IF(INDEX(Config!$E$9:$E$29,MATCH($B2980,Config!$B$9:$B$29,0))="","",INDEX(Config!$E$9:$E$29,MATCH($B2980,Config!$B$9:$B$29,0))),""),""))</f>
        <v/>
      </c>
      <c r="AI2980" s="19" t="str">
        <f>IF($B2980="","",IFERROR(INDEX(Config!$D$9:$D$29,MATCH($B2980,Config!$B$9:$B$29,0))&amp;"",""))</f>
        <v/>
      </c>
    </row>
    <row r="2981">
      <c r="X2981" s="20" t="str">
        <f>IF($B2981="","",IFERROR(IF(INDEX(Config!$D$9:$D$29,MATCH($B2981,Config!$B$9:$B$29,0))="Contrato",IF(INDEX(Config!$E$9:$E$29,MATCH($B2981,Config!$B$9:$B$29,0))="","",INDEX(Config!$E$9:$E$29,MATCH($B2981,Config!$B$9:$B$29,0))),""),""))</f>
        <v/>
      </c>
      <c r="AI2981" s="19" t="str">
        <f>IF($B2981="","",IFERROR(INDEX(Config!$D$9:$D$29,MATCH($B2981,Config!$B$9:$B$29,0))&amp;"",""))</f>
        <v/>
      </c>
    </row>
    <row r="2982">
      <c r="X2982" s="20" t="str">
        <f>IF($B2982="","",IFERROR(IF(INDEX(Config!$D$9:$D$29,MATCH($B2982,Config!$B$9:$B$29,0))="Contrato",IF(INDEX(Config!$E$9:$E$29,MATCH($B2982,Config!$B$9:$B$29,0))="","",INDEX(Config!$E$9:$E$29,MATCH($B2982,Config!$B$9:$B$29,0))),""),""))</f>
        <v/>
      </c>
      <c r="AI2982" s="19" t="str">
        <f>IF($B2982="","",IFERROR(INDEX(Config!$D$9:$D$29,MATCH($B2982,Config!$B$9:$B$29,0))&amp;"",""))</f>
        <v/>
      </c>
    </row>
    <row r="2983">
      <c r="X2983" s="20" t="str">
        <f>IF($B2983="","",IFERROR(IF(INDEX(Config!$D$9:$D$29,MATCH($B2983,Config!$B$9:$B$29,0))="Contrato",IF(INDEX(Config!$E$9:$E$29,MATCH($B2983,Config!$B$9:$B$29,0))="","",INDEX(Config!$E$9:$E$29,MATCH($B2983,Config!$B$9:$B$29,0))),""),""))</f>
        <v/>
      </c>
      <c r="AI2983" s="19" t="str">
        <f>IF($B2983="","",IFERROR(INDEX(Config!$D$9:$D$29,MATCH($B2983,Config!$B$9:$B$29,0))&amp;"",""))</f>
        <v/>
      </c>
    </row>
    <row r="2984">
      <c r="X2984" s="20" t="str">
        <f>IF($B2984="","",IFERROR(IF(INDEX(Config!$D$9:$D$29,MATCH($B2984,Config!$B$9:$B$29,0))="Contrato",IF(INDEX(Config!$E$9:$E$29,MATCH($B2984,Config!$B$9:$B$29,0))="","",INDEX(Config!$E$9:$E$29,MATCH($B2984,Config!$B$9:$B$29,0))),""),""))</f>
        <v/>
      </c>
      <c r="AI2984" s="19" t="str">
        <f>IF($B2984="","",IFERROR(INDEX(Config!$D$9:$D$29,MATCH($B2984,Config!$B$9:$B$29,0))&amp;"",""))</f>
        <v/>
      </c>
    </row>
    <row r="2985">
      <c r="X2985" s="20" t="str">
        <f>IF($B2985="","",IFERROR(IF(INDEX(Config!$D$9:$D$29,MATCH($B2985,Config!$B$9:$B$29,0))="Contrato",IF(INDEX(Config!$E$9:$E$29,MATCH($B2985,Config!$B$9:$B$29,0))="","",INDEX(Config!$E$9:$E$29,MATCH($B2985,Config!$B$9:$B$29,0))),""),""))</f>
        <v/>
      </c>
      <c r="AI2985" s="19" t="str">
        <f>IF($B2985="","",IFERROR(INDEX(Config!$D$9:$D$29,MATCH($B2985,Config!$B$9:$B$29,0))&amp;"",""))</f>
        <v/>
      </c>
    </row>
    <row r="2986">
      <c r="X2986" s="20" t="str">
        <f>IF($B2986="","",IFERROR(IF(INDEX(Config!$D$9:$D$29,MATCH($B2986,Config!$B$9:$B$29,0))="Contrato",IF(INDEX(Config!$E$9:$E$29,MATCH($B2986,Config!$B$9:$B$29,0))="","",INDEX(Config!$E$9:$E$29,MATCH($B2986,Config!$B$9:$B$29,0))),""),""))</f>
        <v/>
      </c>
      <c r="AI2986" s="19" t="str">
        <f>IF($B2986="","",IFERROR(INDEX(Config!$D$9:$D$29,MATCH($B2986,Config!$B$9:$B$29,0))&amp;"",""))</f>
        <v/>
      </c>
    </row>
    <row r="2987">
      <c r="X2987" s="20" t="str">
        <f>IF($B2987="","",IFERROR(IF(INDEX(Config!$D$9:$D$29,MATCH($B2987,Config!$B$9:$B$29,0))="Contrato",IF(INDEX(Config!$E$9:$E$29,MATCH($B2987,Config!$B$9:$B$29,0))="","",INDEX(Config!$E$9:$E$29,MATCH($B2987,Config!$B$9:$B$29,0))),""),""))</f>
        <v/>
      </c>
      <c r="AI2987" s="19" t="str">
        <f>IF($B2987="","",IFERROR(INDEX(Config!$D$9:$D$29,MATCH($B2987,Config!$B$9:$B$29,0))&amp;"",""))</f>
        <v/>
      </c>
    </row>
    <row r="2988">
      <c r="X2988" s="20" t="str">
        <f>IF($B2988="","",IFERROR(IF(INDEX(Config!$D$9:$D$29,MATCH($B2988,Config!$B$9:$B$29,0))="Contrato",IF(INDEX(Config!$E$9:$E$29,MATCH($B2988,Config!$B$9:$B$29,0))="","",INDEX(Config!$E$9:$E$29,MATCH($B2988,Config!$B$9:$B$29,0))),""),""))</f>
        <v/>
      </c>
      <c r="AI2988" s="19" t="str">
        <f>IF($B2988="","",IFERROR(INDEX(Config!$D$9:$D$29,MATCH($B2988,Config!$B$9:$B$29,0))&amp;"",""))</f>
        <v/>
      </c>
    </row>
    <row r="2989">
      <c r="X2989" s="20" t="str">
        <f>IF($B2989="","",IFERROR(IF(INDEX(Config!$D$9:$D$29,MATCH($B2989,Config!$B$9:$B$29,0))="Contrato",IF(INDEX(Config!$E$9:$E$29,MATCH($B2989,Config!$B$9:$B$29,0))="","",INDEX(Config!$E$9:$E$29,MATCH($B2989,Config!$B$9:$B$29,0))),""),""))</f>
        <v/>
      </c>
      <c r="AI2989" s="19" t="str">
        <f>IF($B2989="","",IFERROR(INDEX(Config!$D$9:$D$29,MATCH($B2989,Config!$B$9:$B$29,0))&amp;"",""))</f>
        <v/>
      </c>
    </row>
    <row r="2990">
      <c r="X2990" s="20" t="str">
        <f>IF($B2990="","",IFERROR(IF(INDEX(Config!$D$9:$D$29,MATCH($B2990,Config!$B$9:$B$29,0))="Contrato",IF(INDEX(Config!$E$9:$E$29,MATCH($B2990,Config!$B$9:$B$29,0))="","",INDEX(Config!$E$9:$E$29,MATCH($B2990,Config!$B$9:$B$29,0))),""),""))</f>
        <v/>
      </c>
      <c r="AI2990" s="19" t="str">
        <f>IF($B2990="","",IFERROR(INDEX(Config!$D$9:$D$29,MATCH($B2990,Config!$B$9:$B$29,0))&amp;"",""))</f>
        <v/>
      </c>
    </row>
    <row r="2991">
      <c r="X2991" s="20" t="str">
        <f>IF($B2991="","",IFERROR(IF(INDEX(Config!$D$9:$D$29,MATCH($B2991,Config!$B$9:$B$29,0))="Contrato",IF(INDEX(Config!$E$9:$E$29,MATCH($B2991,Config!$B$9:$B$29,0))="","",INDEX(Config!$E$9:$E$29,MATCH($B2991,Config!$B$9:$B$29,0))),""),""))</f>
        <v/>
      </c>
      <c r="AI2991" s="19" t="str">
        <f>IF($B2991="","",IFERROR(INDEX(Config!$D$9:$D$29,MATCH($B2991,Config!$B$9:$B$29,0))&amp;"",""))</f>
        <v/>
      </c>
    </row>
    <row r="2992">
      <c r="X2992" s="20" t="str">
        <f>IF($B2992="","",IFERROR(IF(INDEX(Config!$D$9:$D$29,MATCH($B2992,Config!$B$9:$B$29,0))="Contrato",IF(INDEX(Config!$E$9:$E$29,MATCH($B2992,Config!$B$9:$B$29,0))="","",INDEX(Config!$E$9:$E$29,MATCH($B2992,Config!$B$9:$B$29,0))),""),""))</f>
        <v/>
      </c>
      <c r="AI2992" s="19" t="str">
        <f>IF($B2992="","",IFERROR(INDEX(Config!$D$9:$D$29,MATCH($B2992,Config!$B$9:$B$29,0))&amp;"",""))</f>
        <v/>
      </c>
    </row>
    <row r="2993">
      <c r="X2993" s="20" t="str">
        <f>IF($B2993="","",IFERROR(IF(INDEX(Config!$D$9:$D$29,MATCH($B2993,Config!$B$9:$B$29,0))="Contrato",IF(INDEX(Config!$E$9:$E$29,MATCH($B2993,Config!$B$9:$B$29,0))="","",INDEX(Config!$E$9:$E$29,MATCH($B2993,Config!$B$9:$B$29,0))),""),""))</f>
        <v/>
      </c>
      <c r="AI2993" s="19" t="str">
        <f>IF($B2993="","",IFERROR(INDEX(Config!$D$9:$D$29,MATCH($B2993,Config!$B$9:$B$29,0))&amp;"",""))</f>
        <v/>
      </c>
    </row>
    <row r="2994">
      <c r="X2994" s="20" t="str">
        <f>IF($B2994="","",IFERROR(IF(INDEX(Config!$D$9:$D$29,MATCH($B2994,Config!$B$9:$B$29,0))="Contrato",IF(INDEX(Config!$E$9:$E$29,MATCH($B2994,Config!$B$9:$B$29,0))="","",INDEX(Config!$E$9:$E$29,MATCH($B2994,Config!$B$9:$B$29,0))),""),""))</f>
        <v/>
      </c>
      <c r="AI2994" s="19" t="str">
        <f>IF($B2994="","",IFERROR(INDEX(Config!$D$9:$D$29,MATCH($B2994,Config!$B$9:$B$29,0))&amp;"",""))</f>
        <v/>
      </c>
    </row>
    <row r="2995">
      <c r="X2995" s="20" t="str">
        <f>IF($B2995="","",IFERROR(IF(INDEX(Config!$D$9:$D$29,MATCH($B2995,Config!$B$9:$B$29,0))="Contrato",IF(INDEX(Config!$E$9:$E$29,MATCH($B2995,Config!$B$9:$B$29,0))="","",INDEX(Config!$E$9:$E$29,MATCH($B2995,Config!$B$9:$B$29,0))),""),""))</f>
        <v/>
      </c>
      <c r="AI2995" s="19" t="str">
        <f>IF($B2995="","",IFERROR(INDEX(Config!$D$9:$D$29,MATCH($B2995,Config!$B$9:$B$29,0))&amp;"",""))</f>
        <v/>
      </c>
    </row>
    <row r="2996">
      <c r="X2996" s="20" t="str">
        <f>IF($B2996="","",IFERROR(IF(INDEX(Config!$D$9:$D$29,MATCH($B2996,Config!$B$9:$B$29,0))="Contrato",IF(INDEX(Config!$E$9:$E$29,MATCH($B2996,Config!$B$9:$B$29,0))="","",INDEX(Config!$E$9:$E$29,MATCH($B2996,Config!$B$9:$B$29,0))),""),""))</f>
        <v/>
      </c>
      <c r="AI2996" s="19" t="str">
        <f>IF($B2996="","",IFERROR(INDEX(Config!$D$9:$D$29,MATCH($B2996,Config!$B$9:$B$29,0))&amp;"",""))</f>
        <v/>
      </c>
    </row>
    <row r="2997">
      <c r="X2997" s="20" t="str">
        <f>IF($B2997="","",IFERROR(IF(INDEX(Config!$D$9:$D$29,MATCH($B2997,Config!$B$9:$B$29,0))="Contrato",IF(INDEX(Config!$E$9:$E$29,MATCH($B2997,Config!$B$9:$B$29,0))="","",INDEX(Config!$E$9:$E$29,MATCH($B2997,Config!$B$9:$B$29,0))),""),""))</f>
        <v/>
      </c>
      <c r="AI2997" s="19" t="str">
        <f>IF($B2997="","",IFERROR(INDEX(Config!$D$9:$D$29,MATCH($B2997,Config!$B$9:$B$29,0))&amp;"",""))</f>
        <v/>
      </c>
    </row>
    <row r="2998">
      <c r="X2998" s="20" t="str">
        <f>IF($B2998="","",IFERROR(IF(INDEX(Config!$D$9:$D$29,MATCH($B2998,Config!$B$9:$B$29,0))="Contrato",IF(INDEX(Config!$E$9:$E$29,MATCH($B2998,Config!$B$9:$B$29,0))="","",INDEX(Config!$E$9:$E$29,MATCH($B2998,Config!$B$9:$B$29,0))),""),""))</f>
        <v/>
      </c>
      <c r="AI2998" s="19" t="str">
        <f>IF($B2998="","",IFERROR(INDEX(Config!$D$9:$D$29,MATCH($B2998,Config!$B$9:$B$29,0))&amp;"",""))</f>
        <v/>
      </c>
    </row>
    <row r="2999">
      <c r="X2999" s="20" t="str">
        <f>IF($B2999="","",IFERROR(IF(INDEX(Config!$D$9:$D$29,MATCH($B2999,Config!$B$9:$B$29,0))="Contrato",IF(INDEX(Config!$E$9:$E$29,MATCH($B2999,Config!$B$9:$B$29,0))="","",INDEX(Config!$E$9:$E$29,MATCH($B2999,Config!$B$9:$B$29,0))),""),""))</f>
        <v/>
      </c>
      <c r="AI2999" s="19" t="str">
        <f>IF($B2999="","",IFERROR(INDEX(Config!$D$9:$D$29,MATCH($B2999,Config!$B$9:$B$29,0))&amp;"",""))</f>
        <v/>
      </c>
    </row>
    <row r="3000">
      <c r="X3000" s="20" t="str">
        <f>IF($B3000="","",IFERROR(IF(INDEX(Config!$D$9:$D$29,MATCH($B3000,Config!$B$9:$B$29,0))="Contrato",IF(INDEX(Config!$E$9:$E$29,MATCH($B3000,Config!$B$9:$B$29,0))="","",INDEX(Config!$E$9:$E$29,MATCH($B3000,Config!$B$9:$B$29,0))),""),""))</f>
        <v/>
      </c>
      <c r="AI3000" s="19" t="str">
        <f>IF($B3000="","",IFERROR(INDEX(Config!$D$9:$D$29,MATCH($B3000,Config!$B$9:$B$29,0))&amp;"",""))</f>
        <v/>
      </c>
    </row>
    <row r="3001">
      <c r="X3001" s="20" t="str">
        <f>IF($B3001="","",IFERROR(IF(INDEX(Config!$D$9:$D$29,MATCH($B3001,Config!$B$9:$B$29,0))="Contrato",IF(INDEX(Config!$E$9:$E$29,MATCH($B3001,Config!$B$9:$B$29,0))="","",INDEX(Config!$E$9:$E$29,MATCH($B3001,Config!$B$9:$B$29,0))),""),""))</f>
        <v/>
      </c>
      <c r="AI3001" s="19" t="str">
        <f>IF($B3001="","",IFERROR(INDEX(Config!$D$9:$D$29,MATCH($B3001,Config!$B$9:$B$29,0))&amp;"",""))</f>
        <v/>
      </c>
    </row>
    <row r="3002">
      <c r="X3002" s="20" t="str">
        <f>IF($B3002="","",IFERROR(IF(INDEX(Config!$D$9:$D$29,MATCH($B3002,Config!$B$9:$B$29,0))="Contrato",IF(INDEX(Config!$E$9:$E$29,MATCH($B3002,Config!$B$9:$B$29,0))="","",INDEX(Config!$E$9:$E$29,MATCH($B3002,Config!$B$9:$B$29,0))),""),""))</f>
        <v/>
      </c>
      <c r="AI3002" s="19" t="str">
        <f>IF($B3002="","",IFERROR(INDEX(Config!$D$9:$D$29,MATCH($B3002,Config!$B$9:$B$29,0))&amp;"",""))</f>
        <v/>
      </c>
    </row>
    <row r="3003">
      <c r="X3003" s="20" t="str">
        <f>IF($B3003="","",IFERROR(IF(INDEX(Config!$D$9:$D$29,MATCH($B3003,Config!$B$9:$B$29,0))="Contrato",IF(INDEX(Config!$E$9:$E$29,MATCH($B3003,Config!$B$9:$B$29,0))="","",INDEX(Config!$E$9:$E$29,MATCH($B3003,Config!$B$9:$B$29,0))),""),""))</f>
        <v/>
      </c>
      <c r="AI3003" s="19" t="str">
        <f>IF($B3003="","",IFERROR(INDEX(Config!$D$9:$D$29,MATCH($B3003,Config!$B$9:$B$29,0))&amp;"",""))</f>
        <v/>
      </c>
    </row>
    <row r="3004">
      <c r="X3004" s="20" t="str">
        <f>IF($B3004="","",IFERROR(IF(INDEX(Config!$D$9:$D$29,MATCH($B3004,Config!$B$9:$B$29,0))="Contrato",IF(INDEX(Config!$E$9:$E$29,MATCH($B3004,Config!$B$9:$B$29,0))="","",INDEX(Config!$E$9:$E$29,MATCH($B3004,Config!$B$9:$B$29,0))),""),""))</f>
        <v/>
      </c>
      <c r="AI3004" s="19" t="str">
        <f>IF($B3004="","",IFERROR(INDEX(Config!$D$9:$D$29,MATCH($B3004,Config!$B$9:$B$29,0))&amp;"",""))</f>
        <v/>
      </c>
    </row>
    <row r="3005">
      <c r="X3005" s="20" t="str">
        <f>IF($B3005="","",IFERROR(IF(INDEX(Config!$D$9:$D$29,MATCH($B3005,Config!$B$9:$B$29,0))="Contrato",IF(INDEX(Config!$E$9:$E$29,MATCH($B3005,Config!$B$9:$B$29,0))="","",INDEX(Config!$E$9:$E$29,MATCH($B3005,Config!$B$9:$B$29,0))),""),""))</f>
        <v/>
      </c>
      <c r="AI3005" s="19" t="str">
        <f>IF($B3005="","",IFERROR(INDEX(Config!$D$9:$D$29,MATCH($B3005,Config!$B$9:$B$29,0))&amp;"",""))</f>
        <v/>
      </c>
    </row>
    <row r="3006">
      <c r="X3006" s="20" t="str">
        <f>IF($B3006="","",IFERROR(IF(INDEX(Config!$D$9:$D$29,MATCH($B3006,Config!$B$9:$B$29,0))="Contrato",IF(INDEX(Config!$E$9:$E$29,MATCH($B3006,Config!$B$9:$B$29,0))="","",INDEX(Config!$E$9:$E$29,MATCH($B3006,Config!$B$9:$B$29,0))),""),""))</f>
        <v/>
      </c>
      <c r="AI3006" s="19" t="str">
        <f>IF($B3006="","",IFERROR(INDEX(Config!$D$9:$D$29,MATCH($B3006,Config!$B$9:$B$29,0))&amp;"",""))</f>
        <v/>
      </c>
    </row>
    <row r="3007">
      <c r="X3007" s="20" t="str">
        <f>IF($B3007="","",IFERROR(IF(INDEX(Config!$D$9:$D$29,MATCH($B3007,Config!$B$9:$B$29,0))="Contrato",IF(INDEX(Config!$E$9:$E$29,MATCH($B3007,Config!$B$9:$B$29,0))="","",INDEX(Config!$E$9:$E$29,MATCH($B3007,Config!$B$9:$B$29,0))),""),""))</f>
        <v/>
      </c>
      <c r="AI3007" s="19" t="str">
        <f>IF($B3007="","",IFERROR(INDEX(Config!$D$9:$D$29,MATCH($B3007,Config!$B$9:$B$29,0))&amp;"",""))</f>
        <v/>
      </c>
    </row>
    <row r="3008">
      <c r="X3008" s="20" t="str">
        <f>IF($B3008="","",IFERROR(IF(INDEX(Config!$D$9:$D$29,MATCH($B3008,Config!$B$9:$B$29,0))="Contrato",IF(INDEX(Config!$E$9:$E$29,MATCH($B3008,Config!$B$9:$B$29,0))="","",INDEX(Config!$E$9:$E$29,MATCH($B3008,Config!$B$9:$B$29,0))),""),""))</f>
        <v/>
      </c>
      <c r="AI3008" s="19" t="str">
        <f>IF($B3008="","",IFERROR(INDEX(Config!$D$9:$D$29,MATCH($B3008,Config!$B$9:$B$29,0))&amp;"",""))</f>
        <v/>
      </c>
    </row>
    <row r="3009">
      <c r="X3009" s="20" t="str">
        <f>IF($B3009="","",IFERROR(IF(INDEX(Config!$D$9:$D$29,MATCH($B3009,Config!$B$9:$B$29,0))="Contrato",IF(INDEX(Config!$E$9:$E$29,MATCH($B3009,Config!$B$9:$B$29,0))="","",INDEX(Config!$E$9:$E$29,MATCH($B3009,Config!$B$9:$B$29,0))),""),""))</f>
        <v/>
      </c>
      <c r="AI3009" s="19" t="str">
        <f>IF($B3009="","",IFERROR(INDEX(Config!$D$9:$D$29,MATCH($B3009,Config!$B$9:$B$29,0))&amp;"",""))</f>
        <v/>
      </c>
    </row>
    <row r="3010">
      <c r="X3010" s="20" t="str">
        <f>IF($B3010="","",IFERROR(IF(INDEX(Config!$D$9:$D$29,MATCH($B3010,Config!$B$9:$B$29,0))="Contrato",IF(INDEX(Config!$E$9:$E$29,MATCH($B3010,Config!$B$9:$B$29,0))="","",INDEX(Config!$E$9:$E$29,MATCH($B3010,Config!$B$9:$B$29,0))),""),""))</f>
        <v/>
      </c>
      <c r="AI3010" s="19" t="str">
        <f>IF($B3010="","",IFERROR(INDEX(Config!$D$9:$D$29,MATCH($B3010,Config!$B$9:$B$29,0))&amp;"",""))</f>
        <v/>
      </c>
    </row>
    <row r="3011">
      <c r="X3011" s="20" t="str">
        <f>IF($B3011="","",IFERROR(IF(INDEX(Config!$D$9:$D$29,MATCH($B3011,Config!$B$9:$B$29,0))="Contrato",IF(INDEX(Config!$E$9:$E$29,MATCH($B3011,Config!$B$9:$B$29,0))="","",INDEX(Config!$E$9:$E$29,MATCH($B3011,Config!$B$9:$B$29,0))),""),""))</f>
        <v/>
      </c>
      <c r="AI3011" s="19" t="str">
        <f>IF($B3011="","",IFERROR(INDEX(Config!$D$9:$D$29,MATCH($B3011,Config!$B$9:$B$29,0))&amp;"",""))</f>
        <v/>
      </c>
    </row>
    <row r="3012">
      <c r="X3012" s="20" t="str">
        <f>IF($B3012="","",IFERROR(IF(INDEX(Config!$D$9:$D$29,MATCH($B3012,Config!$B$9:$B$29,0))="Contrato",IF(INDEX(Config!$E$9:$E$29,MATCH($B3012,Config!$B$9:$B$29,0))="","",INDEX(Config!$E$9:$E$29,MATCH($B3012,Config!$B$9:$B$29,0))),""),""))</f>
        <v/>
      </c>
      <c r="AI3012" s="19" t="str">
        <f>IF($B3012="","",IFERROR(INDEX(Config!$D$9:$D$29,MATCH($B3012,Config!$B$9:$B$29,0))&amp;"",""))</f>
        <v/>
      </c>
    </row>
    <row r="3013">
      <c r="X3013" s="20" t="str">
        <f>IF($B3013="","",IFERROR(IF(INDEX(Config!$D$9:$D$29,MATCH($B3013,Config!$B$9:$B$29,0))="Contrato",IF(INDEX(Config!$E$9:$E$29,MATCH($B3013,Config!$B$9:$B$29,0))="","",INDEX(Config!$E$9:$E$29,MATCH($B3013,Config!$B$9:$B$29,0))),""),""))</f>
        <v/>
      </c>
      <c r="AI3013" s="19" t="str">
        <f>IF($B3013="","",IFERROR(INDEX(Config!$D$9:$D$29,MATCH($B3013,Config!$B$9:$B$29,0))&amp;"",""))</f>
        <v/>
      </c>
    </row>
    <row r="3014">
      <c r="X3014" s="20" t="str">
        <f>IF($B3014="","",IFERROR(IF(INDEX(Config!$D$9:$D$29,MATCH($B3014,Config!$B$9:$B$29,0))="Contrato",IF(INDEX(Config!$E$9:$E$29,MATCH($B3014,Config!$B$9:$B$29,0))="","",INDEX(Config!$E$9:$E$29,MATCH($B3014,Config!$B$9:$B$29,0))),""),""))</f>
        <v/>
      </c>
      <c r="AI3014" s="19" t="str">
        <f>IF($B3014="","",IFERROR(INDEX(Config!$D$9:$D$29,MATCH($B3014,Config!$B$9:$B$29,0))&amp;"",""))</f>
        <v/>
      </c>
    </row>
    <row r="3015">
      <c r="X3015" s="20" t="str">
        <f>IF($B3015="","",IFERROR(IF(INDEX(Config!$D$9:$D$29,MATCH($B3015,Config!$B$9:$B$29,0))="Contrato",IF(INDEX(Config!$E$9:$E$29,MATCH($B3015,Config!$B$9:$B$29,0))="","",INDEX(Config!$E$9:$E$29,MATCH($B3015,Config!$B$9:$B$29,0))),""),""))</f>
        <v/>
      </c>
      <c r="AI3015" s="19" t="str">
        <f>IF($B3015="","",IFERROR(INDEX(Config!$D$9:$D$29,MATCH($B3015,Config!$B$9:$B$29,0))&amp;"",""))</f>
        <v/>
      </c>
    </row>
    <row r="3016">
      <c r="X3016" s="20" t="str">
        <f>IF($B3016="","",IFERROR(IF(INDEX(Config!$D$9:$D$29,MATCH($B3016,Config!$B$9:$B$29,0))="Contrato",IF(INDEX(Config!$E$9:$E$29,MATCH($B3016,Config!$B$9:$B$29,0))="","",INDEX(Config!$E$9:$E$29,MATCH($B3016,Config!$B$9:$B$29,0))),""),""))</f>
        <v/>
      </c>
      <c r="AI3016" s="19" t="str">
        <f>IF($B3016="","",IFERROR(INDEX(Config!$D$9:$D$29,MATCH($B3016,Config!$B$9:$B$29,0))&amp;"",""))</f>
        <v/>
      </c>
    </row>
    <row r="3017">
      <c r="X3017" s="20" t="str">
        <f>IF($B3017="","",IFERROR(IF(INDEX(Config!$D$9:$D$29,MATCH($B3017,Config!$B$9:$B$29,0))="Contrato",IF(INDEX(Config!$E$9:$E$29,MATCH($B3017,Config!$B$9:$B$29,0))="","",INDEX(Config!$E$9:$E$29,MATCH($B3017,Config!$B$9:$B$29,0))),""),""))</f>
        <v/>
      </c>
      <c r="AI3017" s="19" t="str">
        <f>IF($B3017="","",IFERROR(INDEX(Config!$D$9:$D$29,MATCH($B3017,Config!$B$9:$B$29,0))&amp;"",""))</f>
        <v/>
      </c>
    </row>
    <row r="3018">
      <c r="X3018" s="20" t="str">
        <f>IF($B3018="","",IFERROR(IF(INDEX(Config!$D$9:$D$29,MATCH($B3018,Config!$B$9:$B$29,0))="Contrato",IF(INDEX(Config!$E$9:$E$29,MATCH($B3018,Config!$B$9:$B$29,0))="","",INDEX(Config!$E$9:$E$29,MATCH($B3018,Config!$B$9:$B$29,0))),""),""))</f>
        <v/>
      </c>
      <c r="AI3018" s="19" t="str">
        <f>IF($B3018="","",IFERROR(INDEX(Config!$D$9:$D$29,MATCH($B3018,Config!$B$9:$B$29,0))&amp;"",""))</f>
        <v/>
      </c>
    </row>
    <row r="3019">
      <c r="X3019" s="20" t="str">
        <f>IF($B3019="","",IFERROR(IF(INDEX(Config!$D$9:$D$29,MATCH($B3019,Config!$B$9:$B$29,0))="Contrato",IF(INDEX(Config!$E$9:$E$29,MATCH($B3019,Config!$B$9:$B$29,0))="","",INDEX(Config!$E$9:$E$29,MATCH($B3019,Config!$B$9:$B$29,0))),""),""))</f>
        <v/>
      </c>
      <c r="AI3019" s="19" t="str">
        <f>IF($B3019="","",IFERROR(INDEX(Config!$D$9:$D$29,MATCH($B3019,Config!$B$9:$B$29,0))&amp;"",""))</f>
        <v/>
      </c>
    </row>
    <row r="3020">
      <c r="X3020" s="20" t="str">
        <f>IF($B3020="","",IFERROR(IF(INDEX(Config!$D$9:$D$29,MATCH($B3020,Config!$B$9:$B$29,0))="Contrato",IF(INDEX(Config!$E$9:$E$29,MATCH($B3020,Config!$B$9:$B$29,0))="","",INDEX(Config!$E$9:$E$29,MATCH($B3020,Config!$B$9:$B$29,0))),""),""))</f>
        <v/>
      </c>
      <c r="AI3020" s="19" t="str">
        <f>IF($B3020="","",IFERROR(INDEX(Config!$D$9:$D$29,MATCH($B3020,Config!$B$9:$B$29,0))&amp;"",""))</f>
        <v/>
      </c>
    </row>
    <row r="3021">
      <c r="X3021" s="20" t="str">
        <f>IF($B3021="","",IFERROR(IF(INDEX(Config!$D$9:$D$29,MATCH($B3021,Config!$B$9:$B$29,0))="Contrato",IF(INDEX(Config!$E$9:$E$29,MATCH($B3021,Config!$B$9:$B$29,0))="","",INDEX(Config!$E$9:$E$29,MATCH($B3021,Config!$B$9:$B$29,0))),""),""))</f>
        <v/>
      </c>
      <c r="AI3021" s="19" t="str">
        <f>IF($B3021="","",IFERROR(INDEX(Config!$D$9:$D$29,MATCH($B3021,Config!$B$9:$B$29,0))&amp;"",""))</f>
        <v/>
      </c>
    </row>
    <row r="3022">
      <c r="X3022" s="20" t="str">
        <f>IF($B3022="","",IFERROR(IF(INDEX(Config!$D$9:$D$29,MATCH($B3022,Config!$B$9:$B$29,0))="Contrato",IF(INDEX(Config!$E$9:$E$29,MATCH($B3022,Config!$B$9:$B$29,0))="","",INDEX(Config!$E$9:$E$29,MATCH($B3022,Config!$B$9:$B$29,0))),""),""))</f>
        <v/>
      </c>
      <c r="AI3022" s="19" t="str">
        <f>IF($B3022="","",IFERROR(INDEX(Config!$D$9:$D$29,MATCH($B3022,Config!$B$9:$B$29,0))&amp;"",""))</f>
        <v/>
      </c>
    </row>
    <row r="3023">
      <c r="X3023" s="20" t="str">
        <f>IF($B3023="","",IFERROR(IF(INDEX(Config!$D$9:$D$29,MATCH($B3023,Config!$B$9:$B$29,0))="Contrato",IF(INDEX(Config!$E$9:$E$29,MATCH($B3023,Config!$B$9:$B$29,0))="","",INDEX(Config!$E$9:$E$29,MATCH($B3023,Config!$B$9:$B$29,0))),""),""))</f>
        <v/>
      </c>
      <c r="AI3023" s="19" t="str">
        <f>IF($B3023="","",IFERROR(INDEX(Config!$D$9:$D$29,MATCH($B3023,Config!$B$9:$B$29,0))&amp;"",""))</f>
        <v/>
      </c>
    </row>
    <row r="3024">
      <c r="X3024" s="20" t="str">
        <f>IF($B3024="","",IFERROR(IF(INDEX(Config!$D$9:$D$29,MATCH($B3024,Config!$B$9:$B$29,0))="Contrato",IF(INDEX(Config!$E$9:$E$29,MATCH($B3024,Config!$B$9:$B$29,0))="","",INDEX(Config!$E$9:$E$29,MATCH($B3024,Config!$B$9:$B$29,0))),""),""))</f>
        <v/>
      </c>
      <c r="AI3024" s="19" t="str">
        <f>IF($B3024="","",IFERROR(INDEX(Config!$D$9:$D$29,MATCH($B3024,Config!$B$9:$B$29,0))&amp;"",""))</f>
        <v/>
      </c>
    </row>
    <row r="3025">
      <c r="X3025" s="20" t="str">
        <f>IF($B3025="","",IFERROR(IF(INDEX(Config!$D$9:$D$29,MATCH($B3025,Config!$B$9:$B$29,0))="Contrato",IF(INDEX(Config!$E$9:$E$29,MATCH($B3025,Config!$B$9:$B$29,0))="","",INDEX(Config!$E$9:$E$29,MATCH($B3025,Config!$B$9:$B$29,0))),""),""))</f>
        <v/>
      </c>
      <c r="AI3025" s="19" t="str">
        <f>IF($B3025="","",IFERROR(INDEX(Config!$D$9:$D$29,MATCH($B3025,Config!$B$9:$B$29,0))&amp;"",""))</f>
        <v/>
      </c>
    </row>
    <row r="3026">
      <c r="X3026" s="20" t="str">
        <f>IF($B3026="","",IFERROR(IF(INDEX(Config!$D$9:$D$29,MATCH($B3026,Config!$B$9:$B$29,0))="Contrato",IF(INDEX(Config!$E$9:$E$29,MATCH($B3026,Config!$B$9:$B$29,0))="","",INDEX(Config!$E$9:$E$29,MATCH($B3026,Config!$B$9:$B$29,0))),""),""))</f>
        <v/>
      </c>
      <c r="AI3026" s="19" t="str">
        <f>IF($B3026="","",IFERROR(INDEX(Config!$D$9:$D$29,MATCH($B3026,Config!$B$9:$B$29,0))&amp;"",""))</f>
        <v/>
      </c>
    </row>
    <row r="3027">
      <c r="X3027" s="20" t="str">
        <f>IF($B3027="","",IFERROR(IF(INDEX(Config!$D$9:$D$29,MATCH($B3027,Config!$B$9:$B$29,0))="Contrato",IF(INDEX(Config!$E$9:$E$29,MATCH($B3027,Config!$B$9:$B$29,0))="","",INDEX(Config!$E$9:$E$29,MATCH($B3027,Config!$B$9:$B$29,0))),""),""))</f>
        <v/>
      </c>
      <c r="AI3027" s="19" t="str">
        <f>IF($B3027="","",IFERROR(INDEX(Config!$D$9:$D$29,MATCH($B3027,Config!$B$9:$B$29,0))&amp;"",""))</f>
        <v/>
      </c>
    </row>
    <row r="3028">
      <c r="X3028" s="20" t="str">
        <f>IF($B3028="","",IFERROR(IF(INDEX(Config!$D$9:$D$29,MATCH($B3028,Config!$B$9:$B$29,0))="Contrato",IF(INDEX(Config!$E$9:$E$29,MATCH($B3028,Config!$B$9:$B$29,0))="","",INDEX(Config!$E$9:$E$29,MATCH($B3028,Config!$B$9:$B$29,0))),""),""))</f>
        <v/>
      </c>
      <c r="AI3028" s="19" t="str">
        <f>IF($B3028="","",IFERROR(INDEX(Config!$D$9:$D$29,MATCH($B3028,Config!$B$9:$B$29,0))&amp;"",""))</f>
        <v/>
      </c>
    </row>
    <row r="3029">
      <c r="X3029" s="20" t="str">
        <f>IF($B3029="","",IFERROR(IF(INDEX(Config!$D$9:$D$29,MATCH($B3029,Config!$B$9:$B$29,0))="Contrato",IF(INDEX(Config!$E$9:$E$29,MATCH($B3029,Config!$B$9:$B$29,0))="","",INDEX(Config!$E$9:$E$29,MATCH($B3029,Config!$B$9:$B$29,0))),""),""))</f>
        <v/>
      </c>
      <c r="AI3029" s="19" t="str">
        <f>IF($B3029="","",IFERROR(INDEX(Config!$D$9:$D$29,MATCH($B3029,Config!$B$9:$B$29,0))&amp;"",""))</f>
        <v/>
      </c>
    </row>
    <row r="3030">
      <c r="X3030" s="20" t="str">
        <f>IF($B3030="","",IFERROR(IF(INDEX(Config!$D$9:$D$29,MATCH($B3030,Config!$B$9:$B$29,0))="Contrato",IF(INDEX(Config!$E$9:$E$29,MATCH($B3030,Config!$B$9:$B$29,0))="","",INDEX(Config!$E$9:$E$29,MATCH($B3030,Config!$B$9:$B$29,0))),""),""))</f>
        <v/>
      </c>
      <c r="AI3030" s="19" t="str">
        <f>IF($B3030="","",IFERROR(INDEX(Config!$D$9:$D$29,MATCH($B3030,Config!$B$9:$B$29,0))&amp;"",""))</f>
        <v/>
      </c>
    </row>
    <row r="3031">
      <c r="X3031" s="20" t="str">
        <f>IF($B3031="","",IFERROR(IF(INDEX(Config!$D$9:$D$29,MATCH($B3031,Config!$B$9:$B$29,0))="Contrato",IF(INDEX(Config!$E$9:$E$29,MATCH($B3031,Config!$B$9:$B$29,0))="","",INDEX(Config!$E$9:$E$29,MATCH($B3031,Config!$B$9:$B$29,0))),""),""))</f>
        <v/>
      </c>
      <c r="AI3031" s="19" t="str">
        <f>IF($B3031="","",IFERROR(INDEX(Config!$D$9:$D$29,MATCH($B3031,Config!$B$9:$B$29,0))&amp;"",""))</f>
        <v/>
      </c>
    </row>
    <row r="3032">
      <c r="X3032" s="20" t="str">
        <f>IF($B3032="","",IFERROR(IF(INDEX(Config!$D$9:$D$29,MATCH($B3032,Config!$B$9:$B$29,0))="Contrato",IF(INDEX(Config!$E$9:$E$29,MATCH($B3032,Config!$B$9:$B$29,0))="","",INDEX(Config!$E$9:$E$29,MATCH($B3032,Config!$B$9:$B$29,0))),""),""))</f>
        <v/>
      </c>
      <c r="AI3032" s="19" t="str">
        <f>IF($B3032="","",IFERROR(INDEX(Config!$D$9:$D$29,MATCH($B3032,Config!$B$9:$B$29,0))&amp;"",""))</f>
        <v/>
      </c>
    </row>
    <row r="3033">
      <c r="X3033" s="20" t="str">
        <f>IF($B3033="","",IFERROR(IF(INDEX(Config!$D$9:$D$29,MATCH($B3033,Config!$B$9:$B$29,0))="Contrato",IF(INDEX(Config!$E$9:$E$29,MATCH($B3033,Config!$B$9:$B$29,0))="","",INDEX(Config!$E$9:$E$29,MATCH($B3033,Config!$B$9:$B$29,0))),""),""))</f>
        <v/>
      </c>
      <c r="AI3033" s="19" t="str">
        <f>IF($B3033="","",IFERROR(INDEX(Config!$D$9:$D$29,MATCH($B3033,Config!$B$9:$B$29,0))&amp;"",""))</f>
        <v/>
      </c>
    </row>
    <row r="3034">
      <c r="X3034" s="20" t="str">
        <f>IF($B3034="","",IFERROR(IF(INDEX(Config!$D$9:$D$29,MATCH($B3034,Config!$B$9:$B$29,0))="Contrato",IF(INDEX(Config!$E$9:$E$29,MATCH($B3034,Config!$B$9:$B$29,0))="","",INDEX(Config!$E$9:$E$29,MATCH($B3034,Config!$B$9:$B$29,0))),""),""))</f>
        <v/>
      </c>
      <c r="AI3034" s="19" t="str">
        <f>IF($B3034="","",IFERROR(INDEX(Config!$D$9:$D$29,MATCH($B3034,Config!$B$9:$B$29,0))&amp;"",""))</f>
        <v/>
      </c>
    </row>
    <row r="3035">
      <c r="X3035" s="20" t="str">
        <f>IF($B3035="","",IFERROR(IF(INDEX(Config!$D$9:$D$29,MATCH($B3035,Config!$B$9:$B$29,0))="Contrato",IF(INDEX(Config!$E$9:$E$29,MATCH($B3035,Config!$B$9:$B$29,0))="","",INDEX(Config!$E$9:$E$29,MATCH($B3035,Config!$B$9:$B$29,0))),""),""))</f>
        <v/>
      </c>
      <c r="AI3035" s="19" t="str">
        <f>IF($B3035="","",IFERROR(INDEX(Config!$D$9:$D$29,MATCH($B3035,Config!$B$9:$B$29,0))&amp;"",""))</f>
        <v/>
      </c>
    </row>
    <row r="3036">
      <c r="X3036" s="20" t="str">
        <f>IF($B3036="","",IFERROR(IF(INDEX(Config!$D$9:$D$29,MATCH($B3036,Config!$B$9:$B$29,0))="Contrato",IF(INDEX(Config!$E$9:$E$29,MATCH($B3036,Config!$B$9:$B$29,0))="","",INDEX(Config!$E$9:$E$29,MATCH($B3036,Config!$B$9:$B$29,0))),""),""))</f>
        <v/>
      </c>
      <c r="AI3036" s="19" t="str">
        <f>IF($B3036="","",IFERROR(INDEX(Config!$D$9:$D$29,MATCH($B3036,Config!$B$9:$B$29,0))&amp;"",""))</f>
        <v/>
      </c>
    </row>
    <row r="3037">
      <c r="X3037" s="20" t="str">
        <f>IF($B3037="","",IFERROR(IF(INDEX(Config!$D$9:$D$29,MATCH($B3037,Config!$B$9:$B$29,0))="Contrato",IF(INDEX(Config!$E$9:$E$29,MATCH($B3037,Config!$B$9:$B$29,0))="","",INDEX(Config!$E$9:$E$29,MATCH($B3037,Config!$B$9:$B$29,0))),""),""))</f>
        <v/>
      </c>
      <c r="AI3037" s="19" t="str">
        <f>IF($B3037="","",IFERROR(INDEX(Config!$D$9:$D$29,MATCH($B3037,Config!$B$9:$B$29,0))&amp;"",""))</f>
        <v/>
      </c>
    </row>
    <row r="3038">
      <c r="X3038" s="20" t="str">
        <f>IF($B3038="","",IFERROR(IF(INDEX(Config!$D$9:$D$29,MATCH($B3038,Config!$B$9:$B$29,0))="Contrato",IF(INDEX(Config!$E$9:$E$29,MATCH($B3038,Config!$B$9:$B$29,0))="","",INDEX(Config!$E$9:$E$29,MATCH($B3038,Config!$B$9:$B$29,0))),""),""))</f>
        <v/>
      </c>
      <c r="AI3038" s="19" t="str">
        <f>IF($B3038="","",IFERROR(INDEX(Config!$D$9:$D$29,MATCH($B3038,Config!$B$9:$B$29,0))&amp;"",""))</f>
        <v/>
      </c>
    </row>
    <row r="3039">
      <c r="X3039" s="20" t="str">
        <f>IF($B3039="","",IFERROR(IF(INDEX(Config!$D$9:$D$29,MATCH($B3039,Config!$B$9:$B$29,0))="Contrato",IF(INDEX(Config!$E$9:$E$29,MATCH($B3039,Config!$B$9:$B$29,0))="","",INDEX(Config!$E$9:$E$29,MATCH($B3039,Config!$B$9:$B$29,0))),""),""))</f>
        <v/>
      </c>
      <c r="AI3039" s="19" t="str">
        <f>IF($B3039="","",IFERROR(INDEX(Config!$D$9:$D$29,MATCH($B3039,Config!$B$9:$B$29,0))&amp;"",""))</f>
        <v/>
      </c>
    </row>
    <row r="3040">
      <c r="X3040" s="20" t="str">
        <f>IF($B3040="","",IFERROR(IF(INDEX(Config!$D$9:$D$29,MATCH($B3040,Config!$B$9:$B$29,0))="Contrato",IF(INDEX(Config!$E$9:$E$29,MATCH($B3040,Config!$B$9:$B$29,0))="","",INDEX(Config!$E$9:$E$29,MATCH($B3040,Config!$B$9:$B$29,0))),""),""))</f>
        <v/>
      </c>
      <c r="AI3040" s="19" t="str">
        <f>IF($B3040="","",IFERROR(INDEX(Config!$D$9:$D$29,MATCH($B3040,Config!$B$9:$B$29,0))&amp;"",""))</f>
        <v/>
      </c>
    </row>
    <row r="3041">
      <c r="X3041" s="20" t="str">
        <f>IF($B3041="","",IFERROR(IF(INDEX(Config!$D$9:$D$29,MATCH($B3041,Config!$B$9:$B$29,0))="Contrato",IF(INDEX(Config!$E$9:$E$29,MATCH($B3041,Config!$B$9:$B$29,0))="","",INDEX(Config!$E$9:$E$29,MATCH($B3041,Config!$B$9:$B$29,0))),""),""))</f>
        <v/>
      </c>
      <c r="AI3041" s="19" t="str">
        <f>IF($B3041="","",IFERROR(INDEX(Config!$D$9:$D$29,MATCH($B3041,Config!$B$9:$B$29,0))&amp;"",""))</f>
        <v/>
      </c>
    </row>
    <row r="3042">
      <c r="X3042" s="20" t="str">
        <f>IF($B3042="","",IFERROR(IF(INDEX(Config!$D$9:$D$29,MATCH($B3042,Config!$B$9:$B$29,0))="Contrato",IF(INDEX(Config!$E$9:$E$29,MATCH($B3042,Config!$B$9:$B$29,0))="","",INDEX(Config!$E$9:$E$29,MATCH($B3042,Config!$B$9:$B$29,0))),""),""))</f>
        <v/>
      </c>
      <c r="AI3042" s="19" t="str">
        <f>IF($B3042="","",IFERROR(INDEX(Config!$D$9:$D$29,MATCH($B3042,Config!$B$9:$B$29,0))&amp;"",""))</f>
        <v/>
      </c>
    </row>
    <row r="3043">
      <c r="X3043" s="20" t="str">
        <f>IF($B3043="","",IFERROR(IF(INDEX(Config!$D$9:$D$29,MATCH($B3043,Config!$B$9:$B$29,0))="Contrato",IF(INDEX(Config!$E$9:$E$29,MATCH($B3043,Config!$B$9:$B$29,0))="","",INDEX(Config!$E$9:$E$29,MATCH($B3043,Config!$B$9:$B$29,0))),""),""))</f>
        <v/>
      </c>
      <c r="AI3043" s="19" t="str">
        <f>IF($B3043="","",IFERROR(INDEX(Config!$D$9:$D$29,MATCH($B3043,Config!$B$9:$B$29,0))&amp;"",""))</f>
        <v/>
      </c>
    </row>
    <row r="3044">
      <c r="X3044" s="20" t="str">
        <f>IF($B3044="","",IFERROR(IF(INDEX(Config!$D$9:$D$29,MATCH($B3044,Config!$B$9:$B$29,0))="Contrato",IF(INDEX(Config!$E$9:$E$29,MATCH($B3044,Config!$B$9:$B$29,0))="","",INDEX(Config!$E$9:$E$29,MATCH($B3044,Config!$B$9:$B$29,0))),""),""))</f>
        <v/>
      </c>
      <c r="AI3044" s="19" t="str">
        <f>IF($B3044="","",IFERROR(INDEX(Config!$D$9:$D$29,MATCH($B3044,Config!$B$9:$B$29,0))&amp;"",""))</f>
        <v/>
      </c>
    </row>
    <row r="3045">
      <c r="X3045" s="20" t="str">
        <f>IF($B3045="","",IFERROR(IF(INDEX(Config!$D$9:$D$29,MATCH($B3045,Config!$B$9:$B$29,0))="Contrato",IF(INDEX(Config!$E$9:$E$29,MATCH($B3045,Config!$B$9:$B$29,0))="","",INDEX(Config!$E$9:$E$29,MATCH($B3045,Config!$B$9:$B$29,0))),""),""))</f>
        <v/>
      </c>
      <c r="AI3045" s="19" t="str">
        <f>IF($B3045="","",IFERROR(INDEX(Config!$D$9:$D$29,MATCH($B3045,Config!$B$9:$B$29,0))&amp;"",""))</f>
        <v/>
      </c>
    </row>
    <row r="3046">
      <c r="X3046" s="20" t="str">
        <f>IF($B3046="","",IFERROR(IF(INDEX(Config!$D$9:$D$29,MATCH($B3046,Config!$B$9:$B$29,0))="Contrato",IF(INDEX(Config!$E$9:$E$29,MATCH($B3046,Config!$B$9:$B$29,0))="","",INDEX(Config!$E$9:$E$29,MATCH($B3046,Config!$B$9:$B$29,0))),""),""))</f>
        <v/>
      </c>
      <c r="AI3046" s="19" t="str">
        <f>IF($B3046="","",IFERROR(INDEX(Config!$D$9:$D$29,MATCH($B3046,Config!$B$9:$B$29,0))&amp;"",""))</f>
        <v/>
      </c>
    </row>
    <row r="3047">
      <c r="X3047" s="20" t="str">
        <f>IF($B3047="","",IFERROR(IF(INDEX(Config!$D$9:$D$29,MATCH($B3047,Config!$B$9:$B$29,0))="Contrato",IF(INDEX(Config!$E$9:$E$29,MATCH($B3047,Config!$B$9:$B$29,0))="","",INDEX(Config!$E$9:$E$29,MATCH($B3047,Config!$B$9:$B$29,0))),""),""))</f>
        <v/>
      </c>
      <c r="AI3047" s="19" t="str">
        <f>IF($B3047="","",IFERROR(INDEX(Config!$D$9:$D$29,MATCH($B3047,Config!$B$9:$B$29,0))&amp;"",""))</f>
        <v/>
      </c>
    </row>
    <row r="3048">
      <c r="X3048" s="20" t="str">
        <f>IF($B3048="","",IFERROR(IF(INDEX(Config!$D$9:$D$29,MATCH($B3048,Config!$B$9:$B$29,0))="Contrato",IF(INDEX(Config!$E$9:$E$29,MATCH($B3048,Config!$B$9:$B$29,0))="","",INDEX(Config!$E$9:$E$29,MATCH($B3048,Config!$B$9:$B$29,0))),""),""))</f>
        <v/>
      </c>
      <c r="AI3048" s="19" t="str">
        <f>IF($B3048="","",IFERROR(INDEX(Config!$D$9:$D$29,MATCH($B3048,Config!$B$9:$B$29,0))&amp;"",""))</f>
        <v/>
      </c>
    </row>
    <row r="3049">
      <c r="X3049" s="20" t="str">
        <f>IF($B3049="","",IFERROR(IF(INDEX(Config!$D$9:$D$29,MATCH($B3049,Config!$B$9:$B$29,0))="Contrato",IF(INDEX(Config!$E$9:$E$29,MATCH($B3049,Config!$B$9:$B$29,0))="","",INDEX(Config!$E$9:$E$29,MATCH($B3049,Config!$B$9:$B$29,0))),""),""))</f>
        <v/>
      </c>
      <c r="AI3049" s="19" t="str">
        <f>IF($B3049="","",IFERROR(INDEX(Config!$D$9:$D$29,MATCH($B3049,Config!$B$9:$B$29,0))&amp;"",""))</f>
        <v/>
      </c>
    </row>
    <row r="3050">
      <c r="X3050" s="20" t="str">
        <f>IF($B3050="","",IFERROR(IF(INDEX(Config!$D$9:$D$29,MATCH($B3050,Config!$B$9:$B$29,0))="Contrato",IF(INDEX(Config!$E$9:$E$29,MATCH($B3050,Config!$B$9:$B$29,0))="","",INDEX(Config!$E$9:$E$29,MATCH($B3050,Config!$B$9:$B$29,0))),""),""))</f>
        <v/>
      </c>
      <c r="AI3050" s="19" t="str">
        <f>IF($B3050="","",IFERROR(INDEX(Config!$D$9:$D$29,MATCH($B3050,Config!$B$9:$B$29,0))&amp;"",""))</f>
        <v/>
      </c>
    </row>
    <row r="3051">
      <c r="X3051" s="20" t="str">
        <f>IF($B3051="","",IFERROR(IF(INDEX(Config!$D$9:$D$29,MATCH($B3051,Config!$B$9:$B$29,0))="Contrato",IF(INDEX(Config!$E$9:$E$29,MATCH($B3051,Config!$B$9:$B$29,0))="","",INDEX(Config!$E$9:$E$29,MATCH($B3051,Config!$B$9:$B$29,0))),""),""))</f>
        <v/>
      </c>
      <c r="AI3051" s="19" t="str">
        <f>IF($B3051="","",IFERROR(INDEX(Config!$D$9:$D$29,MATCH($B3051,Config!$B$9:$B$29,0))&amp;"",""))</f>
        <v/>
      </c>
    </row>
    <row r="3052">
      <c r="X3052" s="20" t="str">
        <f>IF($B3052="","",IFERROR(IF(INDEX(Config!$D$9:$D$29,MATCH($B3052,Config!$B$9:$B$29,0))="Contrato",IF(INDEX(Config!$E$9:$E$29,MATCH($B3052,Config!$B$9:$B$29,0))="","",INDEX(Config!$E$9:$E$29,MATCH($B3052,Config!$B$9:$B$29,0))),""),""))</f>
        <v/>
      </c>
      <c r="AI3052" s="19" t="str">
        <f>IF($B3052="","",IFERROR(INDEX(Config!$D$9:$D$29,MATCH($B3052,Config!$B$9:$B$29,0))&amp;"",""))</f>
        <v/>
      </c>
    </row>
    <row r="3053">
      <c r="X3053" s="20" t="str">
        <f>IF($B3053="","",IFERROR(IF(INDEX(Config!$D$9:$D$29,MATCH($B3053,Config!$B$9:$B$29,0))="Contrato",IF(INDEX(Config!$E$9:$E$29,MATCH($B3053,Config!$B$9:$B$29,0))="","",INDEX(Config!$E$9:$E$29,MATCH($B3053,Config!$B$9:$B$29,0))),""),""))</f>
        <v/>
      </c>
      <c r="AI3053" s="19" t="str">
        <f>IF($B3053="","",IFERROR(INDEX(Config!$D$9:$D$29,MATCH($B3053,Config!$B$9:$B$29,0))&amp;"",""))</f>
        <v/>
      </c>
    </row>
    <row r="3054">
      <c r="X3054" s="20" t="str">
        <f>IF($B3054="","",IFERROR(IF(INDEX(Config!$D$9:$D$29,MATCH($B3054,Config!$B$9:$B$29,0))="Contrato",IF(INDEX(Config!$E$9:$E$29,MATCH($B3054,Config!$B$9:$B$29,0))="","",INDEX(Config!$E$9:$E$29,MATCH($B3054,Config!$B$9:$B$29,0))),""),""))</f>
        <v/>
      </c>
      <c r="AI3054" s="19" t="str">
        <f>IF($B3054="","",IFERROR(INDEX(Config!$D$9:$D$29,MATCH($B3054,Config!$B$9:$B$29,0))&amp;"",""))</f>
        <v/>
      </c>
    </row>
    <row r="3055">
      <c r="X3055" s="20" t="str">
        <f>IF($B3055="","",IFERROR(IF(INDEX(Config!$D$9:$D$29,MATCH($B3055,Config!$B$9:$B$29,0))="Contrato",IF(INDEX(Config!$E$9:$E$29,MATCH($B3055,Config!$B$9:$B$29,0))="","",INDEX(Config!$E$9:$E$29,MATCH($B3055,Config!$B$9:$B$29,0))),""),""))</f>
        <v/>
      </c>
      <c r="AI3055" s="19" t="str">
        <f>IF($B3055="","",IFERROR(INDEX(Config!$D$9:$D$29,MATCH($B3055,Config!$B$9:$B$29,0))&amp;"",""))</f>
        <v/>
      </c>
    </row>
    <row r="3056">
      <c r="X3056" s="20" t="str">
        <f>IF($B3056="","",IFERROR(IF(INDEX(Config!$D$9:$D$29,MATCH($B3056,Config!$B$9:$B$29,0))="Contrato",IF(INDEX(Config!$E$9:$E$29,MATCH($B3056,Config!$B$9:$B$29,0))="","",INDEX(Config!$E$9:$E$29,MATCH($B3056,Config!$B$9:$B$29,0))),""),""))</f>
        <v/>
      </c>
      <c r="AI3056" s="19" t="str">
        <f>IF($B3056="","",IFERROR(INDEX(Config!$D$9:$D$29,MATCH($B3056,Config!$B$9:$B$29,0))&amp;"",""))</f>
        <v/>
      </c>
    </row>
    <row r="3057">
      <c r="X3057" s="20" t="str">
        <f>IF($B3057="","",IFERROR(IF(INDEX(Config!$D$9:$D$29,MATCH($B3057,Config!$B$9:$B$29,0))="Contrato",IF(INDEX(Config!$E$9:$E$29,MATCH($B3057,Config!$B$9:$B$29,0))="","",INDEX(Config!$E$9:$E$29,MATCH($B3057,Config!$B$9:$B$29,0))),""),""))</f>
        <v/>
      </c>
      <c r="AI3057" s="19" t="str">
        <f>IF($B3057="","",IFERROR(INDEX(Config!$D$9:$D$29,MATCH($B3057,Config!$B$9:$B$29,0))&amp;"",""))</f>
        <v/>
      </c>
    </row>
    <row r="3058">
      <c r="X3058" s="20" t="str">
        <f>IF($B3058="","",IFERROR(IF(INDEX(Config!$D$9:$D$29,MATCH($B3058,Config!$B$9:$B$29,0))="Contrato",IF(INDEX(Config!$E$9:$E$29,MATCH($B3058,Config!$B$9:$B$29,0))="","",INDEX(Config!$E$9:$E$29,MATCH($B3058,Config!$B$9:$B$29,0))),""),""))</f>
        <v/>
      </c>
      <c r="AI3058" s="19" t="str">
        <f>IF($B3058="","",IFERROR(INDEX(Config!$D$9:$D$29,MATCH($B3058,Config!$B$9:$B$29,0))&amp;"",""))</f>
        <v/>
      </c>
    </row>
    <row r="3059">
      <c r="X3059" s="20" t="str">
        <f>IF($B3059="","",IFERROR(IF(INDEX(Config!$D$9:$D$29,MATCH($B3059,Config!$B$9:$B$29,0))="Contrato",IF(INDEX(Config!$E$9:$E$29,MATCH($B3059,Config!$B$9:$B$29,0))="","",INDEX(Config!$E$9:$E$29,MATCH($B3059,Config!$B$9:$B$29,0))),""),""))</f>
        <v/>
      </c>
      <c r="AI3059" s="19" t="str">
        <f>IF($B3059="","",IFERROR(INDEX(Config!$D$9:$D$29,MATCH($B3059,Config!$B$9:$B$29,0))&amp;"",""))</f>
        <v/>
      </c>
    </row>
    <row r="3060">
      <c r="X3060" s="20" t="str">
        <f>IF($B3060="","",IFERROR(IF(INDEX(Config!$D$9:$D$29,MATCH($B3060,Config!$B$9:$B$29,0))="Contrato",IF(INDEX(Config!$E$9:$E$29,MATCH($B3060,Config!$B$9:$B$29,0))="","",INDEX(Config!$E$9:$E$29,MATCH($B3060,Config!$B$9:$B$29,0))),""),""))</f>
        <v/>
      </c>
      <c r="AI3060" s="19" t="str">
        <f>IF($B3060="","",IFERROR(INDEX(Config!$D$9:$D$29,MATCH($B3060,Config!$B$9:$B$29,0))&amp;"",""))</f>
        <v/>
      </c>
    </row>
    <row r="3061">
      <c r="X3061" s="20" t="str">
        <f>IF($B3061="","",IFERROR(IF(INDEX(Config!$D$9:$D$29,MATCH($B3061,Config!$B$9:$B$29,0))="Contrato",IF(INDEX(Config!$E$9:$E$29,MATCH($B3061,Config!$B$9:$B$29,0))="","",INDEX(Config!$E$9:$E$29,MATCH($B3061,Config!$B$9:$B$29,0))),""),""))</f>
        <v/>
      </c>
      <c r="AI3061" s="19" t="str">
        <f>IF($B3061="","",IFERROR(INDEX(Config!$D$9:$D$29,MATCH($B3061,Config!$B$9:$B$29,0))&amp;"",""))</f>
        <v/>
      </c>
    </row>
    <row r="3062">
      <c r="X3062" s="20" t="str">
        <f>IF($B3062="","",IFERROR(IF(INDEX(Config!$D$9:$D$29,MATCH($B3062,Config!$B$9:$B$29,0))="Contrato",IF(INDEX(Config!$E$9:$E$29,MATCH($B3062,Config!$B$9:$B$29,0))="","",INDEX(Config!$E$9:$E$29,MATCH($B3062,Config!$B$9:$B$29,0))),""),""))</f>
        <v/>
      </c>
      <c r="AI3062" s="19" t="str">
        <f>IF($B3062="","",IFERROR(INDEX(Config!$D$9:$D$29,MATCH($B3062,Config!$B$9:$B$29,0))&amp;"",""))</f>
        <v/>
      </c>
    </row>
    <row r="3063">
      <c r="X3063" s="20" t="str">
        <f>IF($B3063="","",IFERROR(IF(INDEX(Config!$D$9:$D$29,MATCH($B3063,Config!$B$9:$B$29,0))="Contrato",IF(INDEX(Config!$E$9:$E$29,MATCH($B3063,Config!$B$9:$B$29,0))="","",INDEX(Config!$E$9:$E$29,MATCH($B3063,Config!$B$9:$B$29,0))),""),""))</f>
        <v/>
      </c>
      <c r="AI3063" s="19" t="str">
        <f>IF($B3063="","",IFERROR(INDEX(Config!$D$9:$D$29,MATCH($B3063,Config!$B$9:$B$29,0))&amp;"",""))</f>
        <v/>
      </c>
    </row>
    <row r="3064">
      <c r="X3064" s="20" t="str">
        <f>IF($B3064="","",IFERROR(IF(INDEX(Config!$D$9:$D$29,MATCH($B3064,Config!$B$9:$B$29,0))="Contrato",IF(INDEX(Config!$E$9:$E$29,MATCH($B3064,Config!$B$9:$B$29,0))="","",INDEX(Config!$E$9:$E$29,MATCH($B3064,Config!$B$9:$B$29,0))),""),""))</f>
        <v/>
      </c>
      <c r="AI3064" s="19" t="str">
        <f>IF($B3064="","",IFERROR(INDEX(Config!$D$9:$D$29,MATCH($B3064,Config!$B$9:$B$29,0))&amp;"",""))</f>
        <v/>
      </c>
    </row>
    <row r="3065">
      <c r="X3065" s="20" t="str">
        <f>IF($B3065="","",IFERROR(IF(INDEX(Config!$D$9:$D$29,MATCH($B3065,Config!$B$9:$B$29,0))="Contrato",IF(INDEX(Config!$E$9:$E$29,MATCH($B3065,Config!$B$9:$B$29,0))="","",INDEX(Config!$E$9:$E$29,MATCH($B3065,Config!$B$9:$B$29,0))),""),""))</f>
        <v/>
      </c>
      <c r="AI3065" s="19" t="str">
        <f>IF($B3065="","",IFERROR(INDEX(Config!$D$9:$D$29,MATCH($B3065,Config!$B$9:$B$29,0))&amp;"",""))</f>
        <v/>
      </c>
    </row>
    <row r="3066">
      <c r="X3066" s="20" t="str">
        <f>IF($B3066="","",IFERROR(IF(INDEX(Config!$D$9:$D$29,MATCH($B3066,Config!$B$9:$B$29,0))="Contrato",IF(INDEX(Config!$E$9:$E$29,MATCH($B3066,Config!$B$9:$B$29,0))="","",INDEX(Config!$E$9:$E$29,MATCH($B3066,Config!$B$9:$B$29,0))),""),""))</f>
        <v/>
      </c>
      <c r="AI3066" s="19" t="str">
        <f>IF($B3066="","",IFERROR(INDEX(Config!$D$9:$D$29,MATCH($B3066,Config!$B$9:$B$29,0))&amp;"",""))</f>
        <v/>
      </c>
    </row>
    <row r="3067">
      <c r="X3067" s="20" t="str">
        <f>IF($B3067="","",IFERROR(IF(INDEX(Config!$D$9:$D$29,MATCH($B3067,Config!$B$9:$B$29,0))="Contrato",IF(INDEX(Config!$E$9:$E$29,MATCH($B3067,Config!$B$9:$B$29,0))="","",INDEX(Config!$E$9:$E$29,MATCH($B3067,Config!$B$9:$B$29,0))),""),""))</f>
        <v/>
      </c>
      <c r="AI3067" s="19" t="str">
        <f>IF($B3067="","",IFERROR(INDEX(Config!$D$9:$D$29,MATCH($B3067,Config!$B$9:$B$29,0))&amp;"",""))</f>
        <v/>
      </c>
    </row>
    <row r="3068">
      <c r="X3068" s="20" t="str">
        <f>IF($B3068="","",IFERROR(IF(INDEX(Config!$D$9:$D$29,MATCH($B3068,Config!$B$9:$B$29,0))="Contrato",IF(INDEX(Config!$E$9:$E$29,MATCH($B3068,Config!$B$9:$B$29,0))="","",INDEX(Config!$E$9:$E$29,MATCH($B3068,Config!$B$9:$B$29,0))),""),""))</f>
        <v/>
      </c>
      <c r="AI3068" s="19" t="str">
        <f>IF($B3068="","",IFERROR(INDEX(Config!$D$9:$D$29,MATCH($B3068,Config!$B$9:$B$29,0))&amp;"",""))</f>
        <v/>
      </c>
    </row>
    <row r="3069">
      <c r="X3069" s="20" t="str">
        <f>IF($B3069="","",IFERROR(IF(INDEX(Config!$D$9:$D$29,MATCH($B3069,Config!$B$9:$B$29,0))="Contrato",IF(INDEX(Config!$E$9:$E$29,MATCH($B3069,Config!$B$9:$B$29,0))="","",INDEX(Config!$E$9:$E$29,MATCH($B3069,Config!$B$9:$B$29,0))),""),""))</f>
        <v/>
      </c>
      <c r="AI3069" s="19" t="str">
        <f>IF($B3069="","",IFERROR(INDEX(Config!$D$9:$D$29,MATCH($B3069,Config!$B$9:$B$29,0))&amp;"",""))</f>
        <v/>
      </c>
    </row>
    <row r="3070">
      <c r="X3070" s="20" t="str">
        <f>IF($B3070="","",IFERROR(IF(INDEX(Config!$D$9:$D$29,MATCH($B3070,Config!$B$9:$B$29,0))="Contrato",IF(INDEX(Config!$E$9:$E$29,MATCH($B3070,Config!$B$9:$B$29,0))="","",INDEX(Config!$E$9:$E$29,MATCH($B3070,Config!$B$9:$B$29,0))),""),""))</f>
        <v/>
      </c>
      <c r="AI3070" s="19" t="str">
        <f>IF($B3070="","",IFERROR(INDEX(Config!$D$9:$D$29,MATCH($B3070,Config!$B$9:$B$29,0))&amp;"",""))</f>
        <v/>
      </c>
    </row>
    <row r="3071">
      <c r="X3071" s="20" t="str">
        <f>IF($B3071="","",IFERROR(IF(INDEX(Config!$D$9:$D$29,MATCH($B3071,Config!$B$9:$B$29,0))="Contrato",IF(INDEX(Config!$E$9:$E$29,MATCH($B3071,Config!$B$9:$B$29,0))="","",INDEX(Config!$E$9:$E$29,MATCH($B3071,Config!$B$9:$B$29,0))),""),""))</f>
        <v/>
      </c>
      <c r="AI3071" s="19" t="str">
        <f>IF($B3071="","",IFERROR(INDEX(Config!$D$9:$D$29,MATCH($B3071,Config!$B$9:$B$29,0))&amp;"",""))</f>
        <v/>
      </c>
    </row>
    <row r="3072">
      <c r="X3072" s="20" t="str">
        <f>IF($B3072="","",IFERROR(IF(INDEX(Config!$D$9:$D$29,MATCH($B3072,Config!$B$9:$B$29,0))="Contrato",IF(INDEX(Config!$E$9:$E$29,MATCH($B3072,Config!$B$9:$B$29,0))="","",INDEX(Config!$E$9:$E$29,MATCH($B3072,Config!$B$9:$B$29,0))),""),""))</f>
        <v/>
      </c>
      <c r="AI3072" s="19" t="str">
        <f>IF($B3072="","",IFERROR(INDEX(Config!$D$9:$D$29,MATCH($B3072,Config!$B$9:$B$29,0))&amp;"",""))</f>
        <v/>
      </c>
    </row>
    <row r="3073">
      <c r="X3073" s="20" t="str">
        <f>IF($B3073="","",IFERROR(IF(INDEX(Config!$D$9:$D$29,MATCH($B3073,Config!$B$9:$B$29,0))="Contrato",IF(INDEX(Config!$E$9:$E$29,MATCH($B3073,Config!$B$9:$B$29,0))="","",INDEX(Config!$E$9:$E$29,MATCH($B3073,Config!$B$9:$B$29,0))),""),""))</f>
        <v/>
      </c>
      <c r="AI3073" s="19" t="str">
        <f>IF($B3073="","",IFERROR(INDEX(Config!$D$9:$D$29,MATCH($B3073,Config!$B$9:$B$29,0))&amp;"",""))</f>
        <v/>
      </c>
    </row>
    <row r="3074">
      <c r="X3074" s="20" t="str">
        <f>IF($B3074="","",IFERROR(IF(INDEX(Config!$D$9:$D$29,MATCH($B3074,Config!$B$9:$B$29,0))="Contrato",IF(INDEX(Config!$E$9:$E$29,MATCH($B3074,Config!$B$9:$B$29,0))="","",INDEX(Config!$E$9:$E$29,MATCH($B3074,Config!$B$9:$B$29,0))),""),""))</f>
        <v/>
      </c>
      <c r="AI3074" s="19" t="str">
        <f>IF($B3074="","",IFERROR(INDEX(Config!$D$9:$D$29,MATCH($B3074,Config!$B$9:$B$29,0))&amp;"",""))</f>
        <v/>
      </c>
    </row>
    <row r="3075">
      <c r="X3075" s="20" t="str">
        <f>IF($B3075="","",IFERROR(IF(INDEX(Config!$D$9:$D$29,MATCH($B3075,Config!$B$9:$B$29,0))="Contrato",IF(INDEX(Config!$E$9:$E$29,MATCH($B3075,Config!$B$9:$B$29,0))="","",INDEX(Config!$E$9:$E$29,MATCH($B3075,Config!$B$9:$B$29,0))),""),""))</f>
        <v/>
      </c>
      <c r="AI3075" s="19" t="str">
        <f>IF($B3075="","",IFERROR(INDEX(Config!$D$9:$D$29,MATCH($B3075,Config!$B$9:$B$29,0))&amp;"",""))</f>
        <v/>
      </c>
    </row>
    <row r="3076">
      <c r="X3076" s="20" t="str">
        <f>IF($B3076="","",IFERROR(IF(INDEX(Config!$D$9:$D$29,MATCH($B3076,Config!$B$9:$B$29,0))="Contrato",IF(INDEX(Config!$E$9:$E$29,MATCH($B3076,Config!$B$9:$B$29,0))="","",INDEX(Config!$E$9:$E$29,MATCH($B3076,Config!$B$9:$B$29,0))),""),""))</f>
        <v/>
      </c>
      <c r="AI3076" s="19" t="str">
        <f>IF($B3076="","",IFERROR(INDEX(Config!$D$9:$D$29,MATCH($B3076,Config!$B$9:$B$29,0))&amp;"",""))</f>
        <v/>
      </c>
    </row>
    <row r="3077">
      <c r="X3077" s="20" t="str">
        <f>IF($B3077="","",IFERROR(IF(INDEX(Config!$D$9:$D$29,MATCH($B3077,Config!$B$9:$B$29,0))="Contrato",IF(INDEX(Config!$E$9:$E$29,MATCH($B3077,Config!$B$9:$B$29,0))="","",INDEX(Config!$E$9:$E$29,MATCH($B3077,Config!$B$9:$B$29,0))),""),""))</f>
        <v/>
      </c>
      <c r="AI3077" s="19" t="str">
        <f>IF($B3077="","",IFERROR(INDEX(Config!$D$9:$D$29,MATCH($B3077,Config!$B$9:$B$29,0))&amp;"",""))</f>
        <v/>
      </c>
    </row>
    <row r="3078">
      <c r="X3078" s="20" t="str">
        <f>IF($B3078="","",IFERROR(IF(INDEX(Config!$D$9:$D$29,MATCH($B3078,Config!$B$9:$B$29,0))="Contrato",IF(INDEX(Config!$E$9:$E$29,MATCH($B3078,Config!$B$9:$B$29,0))="","",INDEX(Config!$E$9:$E$29,MATCH($B3078,Config!$B$9:$B$29,0))),""),""))</f>
        <v/>
      </c>
      <c r="AI3078" s="19" t="str">
        <f>IF($B3078="","",IFERROR(INDEX(Config!$D$9:$D$29,MATCH($B3078,Config!$B$9:$B$29,0))&amp;"",""))</f>
        <v/>
      </c>
    </row>
    <row r="3079">
      <c r="X3079" s="20" t="str">
        <f>IF($B3079="","",IFERROR(IF(INDEX(Config!$D$9:$D$29,MATCH($B3079,Config!$B$9:$B$29,0))="Contrato",IF(INDEX(Config!$E$9:$E$29,MATCH($B3079,Config!$B$9:$B$29,0))="","",INDEX(Config!$E$9:$E$29,MATCH($B3079,Config!$B$9:$B$29,0))),""),""))</f>
        <v/>
      </c>
      <c r="AI3079" s="19" t="str">
        <f>IF($B3079="","",IFERROR(INDEX(Config!$D$9:$D$29,MATCH($B3079,Config!$B$9:$B$29,0))&amp;"",""))</f>
        <v/>
      </c>
    </row>
    <row r="3080">
      <c r="X3080" s="20" t="str">
        <f>IF($B3080="","",IFERROR(IF(INDEX(Config!$D$9:$D$29,MATCH($B3080,Config!$B$9:$B$29,0))="Contrato",IF(INDEX(Config!$E$9:$E$29,MATCH($B3080,Config!$B$9:$B$29,0))="","",INDEX(Config!$E$9:$E$29,MATCH($B3080,Config!$B$9:$B$29,0))),""),""))</f>
        <v/>
      </c>
      <c r="AI3080" s="19" t="str">
        <f>IF($B3080="","",IFERROR(INDEX(Config!$D$9:$D$29,MATCH($B3080,Config!$B$9:$B$29,0))&amp;"",""))</f>
        <v/>
      </c>
    </row>
    <row r="3081">
      <c r="X3081" s="20" t="str">
        <f>IF($B3081="","",IFERROR(IF(INDEX(Config!$D$9:$D$29,MATCH($B3081,Config!$B$9:$B$29,0))="Contrato",IF(INDEX(Config!$E$9:$E$29,MATCH($B3081,Config!$B$9:$B$29,0))="","",INDEX(Config!$E$9:$E$29,MATCH($B3081,Config!$B$9:$B$29,0))),""),""))</f>
        <v/>
      </c>
      <c r="AI3081" s="19" t="str">
        <f>IF($B3081="","",IFERROR(INDEX(Config!$D$9:$D$29,MATCH($B3081,Config!$B$9:$B$29,0))&amp;"",""))</f>
        <v/>
      </c>
    </row>
    <row r="3082">
      <c r="X3082" s="20" t="str">
        <f>IF($B3082="","",IFERROR(IF(INDEX(Config!$D$9:$D$29,MATCH($B3082,Config!$B$9:$B$29,0))="Contrato",IF(INDEX(Config!$E$9:$E$29,MATCH($B3082,Config!$B$9:$B$29,0))="","",INDEX(Config!$E$9:$E$29,MATCH($B3082,Config!$B$9:$B$29,0))),""),""))</f>
        <v/>
      </c>
      <c r="AI3082" s="19" t="str">
        <f>IF($B3082="","",IFERROR(INDEX(Config!$D$9:$D$29,MATCH($B3082,Config!$B$9:$B$29,0))&amp;"",""))</f>
        <v/>
      </c>
    </row>
    <row r="3083">
      <c r="X3083" s="20" t="str">
        <f>IF($B3083="","",IFERROR(IF(INDEX(Config!$D$9:$D$29,MATCH($B3083,Config!$B$9:$B$29,0))="Contrato",IF(INDEX(Config!$E$9:$E$29,MATCH($B3083,Config!$B$9:$B$29,0))="","",INDEX(Config!$E$9:$E$29,MATCH($B3083,Config!$B$9:$B$29,0))),""),""))</f>
        <v/>
      </c>
      <c r="AI3083" s="19" t="str">
        <f>IF($B3083="","",IFERROR(INDEX(Config!$D$9:$D$29,MATCH($B3083,Config!$B$9:$B$29,0))&amp;"",""))</f>
        <v/>
      </c>
    </row>
    <row r="3084">
      <c r="X3084" s="20" t="str">
        <f>IF($B3084="","",IFERROR(IF(INDEX(Config!$D$9:$D$29,MATCH($B3084,Config!$B$9:$B$29,0))="Contrato",IF(INDEX(Config!$E$9:$E$29,MATCH($B3084,Config!$B$9:$B$29,0))="","",INDEX(Config!$E$9:$E$29,MATCH($B3084,Config!$B$9:$B$29,0))),""),""))</f>
        <v/>
      </c>
      <c r="AI3084" s="19" t="str">
        <f>IF($B3084="","",IFERROR(INDEX(Config!$D$9:$D$29,MATCH($B3084,Config!$B$9:$B$29,0))&amp;"",""))</f>
        <v/>
      </c>
    </row>
    <row r="3085">
      <c r="X3085" s="20" t="str">
        <f>IF($B3085="","",IFERROR(IF(INDEX(Config!$D$9:$D$29,MATCH($B3085,Config!$B$9:$B$29,0))="Contrato",IF(INDEX(Config!$E$9:$E$29,MATCH($B3085,Config!$B$9:$B$29,0))="","",INDEX(Config!$E$9:$E$29,MATCH($B3085,Config!$B$9:$B$29,0))),""),""))</f>
        <v/>
      </c>
      <c r="AI3085" s="19" t="str">
        <f>IF($B3085="","",IFERROR(INDEX(Config!$D$9:$D$29,MATCH($B3085,Config!$B$9:$B$29,0))&amp;"",""))</f>
        <v/>
      </c>
    </row>
    <row r="3086">
      <c r="X3086" s="20" t="str">
        <f>IF($B3086="","",IFERROR(IF(INDEX(Config!$D$9:$D$29,MATCH($B3086,Config!$B$9:$B$29,0))="Contrato",IF(INDEX(Config!$E$9:$E$29,MATCH($B3086,Config!$B$9:$B$29,0))="","",INDEX(Config!$E$9:$E$29,MATCH($B3086,Config!$B$9:$B$29,0))),""),""))</f>
        <v/>
      </c>
      <c r="AI3086" s="19" t="str">
        <f>IF($B3086="","",IFERROR(INDEX(Config!$D$9:$D$29,MATCH($B3086,Config!$B$9:$B$29,0))&amp;"",""))</f>
        <v/>
      </c>
    </row>
    <row r="3087">
      <c r="X3087" s="20" t="str">
        <f>IF($B3087="","",IFERROR(IF(INDEX(Config!$D$9:$D$29,MATCH($B3087,Config!$B$9:$B$29,0))="Contrato",IF(INDEX(Config!$E$9:$E$29,MATCH($B3087,Config!$B$9:$B$29,0))="","",INDEX(Config!$E$9:$E$29,MATCH($B3087,Config!$B$9:$B$29,0))),""),""))</f>
        <v/>
      </c>
      <c r="AI3087" s="19" t="str">
        <f>IF($B3087="","",IFERROR(INDEX(Config!$D$9:$D$29,MATCH($B3087,Config!$B$9:$B$29,0))&amp;"",""))</f>
        <v/>
      </c>
    </row>
    <row r="3088">
      <c r="X3088" s="20" t="str">
        <f>IF($B3088="","",IFERROR(IF(INDEX(Config!$D$9:$D$29,MATCH($B3088,Config!$B$9:$B$29,0))="Contrato",IF(INDEX(Config!$E$9:$E$29,MATCH($B3088,Config!$B$9:$B$29,0))="","",INDEX(Config!$E$9:$E$29,MATCH($B3088,Config!$B$9:$B$29,0))),""),""))</f>
        <v/>
      </c>
      <c r="AI3088" s="19" t="str">
        <f>IF($B3088="","",IFERROR(INDEX(Config!$D$9:$D$29,MATCH($B3088,Config!$B$9:$B$29,0))&amp;"",""))</f>
        <v/>
      </c>
    </row>
    <row r="3089">
      <c r="X3089" s="20" t="str">
        <f>IF($B3089="","",IFERROR(IF(INDEX(Config!$D$9:$D$29,MATCH($B3089,Config!$B$9:$B$29,0))="Contrato",IF(INDEX(Config!$E$9:$E$29,MATCH($B3089,Config!$B$9:$B$29,0))="","",INDEX(Config!$E$9:$E$29,MATCH($B3089,Config!$B$9:$B$29,0))),""),""))</f>
        <v/>
      </c>
      <c r="AI3089" s="19" t="str">
        <f>IF($B3089="","",IFERROR(INDEX(Config!$D$9:$D$29,MATCH($B3089,Config!$B$9:$B$29,0))&amp;"",""))</f>
        <v/>
      </c>
    </row>
    <row r="3090">
      <c r="X3090" s="20" t="str">
        <f>IF($B3090="","",IFERROR(IF(INDEX(Config!$D$9:$D$29,MATCH($B3090,Config!$B$9:$B$29,0))="Contrato",IF(INDEX(Config!$E$9:$E$29,MATCH($B3090,Config!$B$9:$B$29,0))="","",INDEX(Config!$E$9:$E$29,MATCH($B3090,Config!$B$9:$B$29,0))),""),""))</f>
        <v/>
      </c>
      <c r="AI3090" s="19" t="str">
        <f>IF($B3090="","",IFERROR(INDEX(Config!$D$9:$D$29,MATCH($B3090,Config!$B$9:$B$29,0))&amp;"",""))</f>
        <v/>
      </c>
    </row>
    <row r="3091">
      <c r="X3091" s="20" t="str">
        <f>IF($B3091="","",IFERROR(IF(INDEX(Config!$D$9:$D$29,MATCH($B3091,Config!$B$9:$B$29,0))="Contrato",IF(INDEX(Config!$E$9:$E$29,MATCH($B3091,Config!$B$9:$B$29,0))="","",INDEX(Config!$E$9:$E$29,MATCH($B3091,Config!$B$9:$B$29,0))),""),""))</f>
        <v/>
      </c>
      <c r="AI3091" s="19" t="str">
        <f>IF($B3091="","",IFERROR(INDEX(Config!$D$9:$D$29,MATCH($B3091,Config!$B$9:$B$29,0))&amp;"",""))</f>
        <v/>
      </c>
    </row>
    <row r="3092">
      <c r="X3092" s="20" t="str">
        <f>IF($B3092="","",IFERROR(IF(INDEX(Config!$D$9:$D$29,MATCH($B3092,Config!$B$9:$B$29,0))="Contrato",IF(INDEX(Config!$E$9:$E$29,MATCH($B3092,Config!$B$9:$B$29,0))="","",INDEX(Config!$E$9:$E$29,MATCH($B3092,Config!$B$9:$B$29,0))),""),""))</f>
        <v/>
      </c>
      <c r="AI3092" s="19" t="str">
        <f>IF($B3092="","",IFERROR(INDEX(Config!$D$9:$D$29,MATCH($B3092,Config!$B$9:$B$29,0))&amp;"",""))</f>
        <v/>
      </c>
    </row>
    <row r="3093">
      <c r="X3093" s="20" t="str">
        <f>IF($B3093="","",IFERROR(IF(INDEX(Config!$D$9:$D$29,MATCH($B3093,Config!$B$9:$B$29,0))="Contrato",IF(INDEX(Config!$E$9:$E$29,MATCH($B3093,Config!$B$9:$B$29,0))="","",INDEX(Config!$E$9:$E$29,MATCH($B3093,Config!$B$9:$B$29,0))),""),""))</f>
        <v/>
      </c>
      <c r="AI3093" s="19" t="str">
        <f>IF($B3093="","",IFERROR(INDEX(Config!$D$9:$D$29,MATCH($B3093,Config!$B$9:$B$29,0))&amp;"",""))</f>
        <v/>
      </c>
    </row>
    <row r="3094">
      <c r="X3094" s="20" t="str">
        <f>IF($B3094="","",IFERROR(IF(INDEX(Config!$D$9:$D$29,MATCH($B3094,Config!$B$9:$B$29,0))="Contrato",IF(INDEX(Config!$E$9:$E$29,MATCH($B3094,Config!$B$9:$B$29,0))="","",INDEX(Config!$E$9:$E$29,MATCH($B3094,Config!$B$9:$B$29,0))),""),""))</f>
        <v/>
      </c>
      <c r="AI3094" s="19" t="str">
        <f>IF($B3094="","",IFERROR(INDEX(Config!$D$9:$D$29,MATCH($B3094,Config!$B$9:$B$29,0))&amp;"",""))</f>
        <v/>
      </c>
    </row>
    <row r="3095">
      <c r="X3095" s="20" t="str">
        <f>IF($B3095="","",IFERROR(IF(INDEX(Config!$D$9:$D$29,MATCH($B3095,Config!$B$9:$B$29,0))="Contrato",IF(INDEX(Config!$E$9:$E$29,MATCH($B3095,Config!$B$9:$B$29,0))="","",INDEX(Config!$E$9:$E$29,MATCH($B3095,Config!$B$9:$B$29,0))),""),""))</f>
        <v/>
      </c>
      <c r="AI3095" s="19" t="str">
        <f>IF($B3095="","",IFERROR(INDEX(Config!$D$9:$D$29,MATCH($B3095,Config!$B$9:$B$29,0))&amp;"",""))</f>
        <v/>
      </c>
    </row>
    <row r="3096">
      <c r="X3096" s="20" t="str">
        <f>IF($B3096="","",IFERROR(IF(INDEX(Config!$D$9:$D$29,MATCH($B3096,Config!$B$9:$B$29,0))="Contrato",IF(INDEX(Config!$E$9:$E$29,MATCH($B3096,Config!$B$9:$B$29,0))="","",INDEX(Config!$E$9:$E$29,MATCH($B3096,Config!$B$9:$B$29,0))),""),""))</f>
        <v/>
      </c>
      <c r="AI3096" s="19" t="str">
        <f>IF($B3096="","",IFERROR(INDEX(Config!$D$9:$D$29,MATCH($B3096,Config!$B$9:$B$29,0))&amp;"",""))</f>
        <v/>
      </c>
    </row>
    <row r="3097">
      <c r="X3097" s="20" t="str">
        <f>IF($B3097="","",IFERROR(IF(INDEX(Config!$D$9:$D$29,MATCH($B3097,Config!$B$9:$B$29,0))="Contrato",IF(INDEX(Config!$E$9:$E$29,MATCH($B3097,Config!$B$9:$B$29,0))="","",INDEX(Config!$E$9:$E$29,MATCH($B3097,Config!$B$9:$B$29,0))),""),""))</f>
        <v/>
      </c>
      <c r="AI3097" s="19" t="str">
        <f>IF($B3097="","",IFERROR(INDEX(Config!$D$9:$D$29,MATCH($B3097,Config!$B$9:$B$29,0))&amp;"",""))</f>
        <v/>
      </c>
    </row>
    <row r="3098">
      <c r="X3098" s="20" t="str">
        <f>IF($B3098="","",IFERROR(IF(INDEX(Config!$D$9:$D$29,MATCH($B3098,Config!$B$9:$B$29,0))="Contrato",IF(INDEX(Config!$E$9:$E$29,MATCH($B3098,Config!$B$9:$B$29,0))="","",INDEX(Config!$E$9:$E$29,MATCH($B3098,Config!$B$9:$B$29,0))),""),""))</f>
        <v/>
      </c>
      <c r="AI3098" s="19" t="str">
        <f>IF($B3098="","",IFERROR(INDEX(Config!$D$9:$D$29,MATCH($B3098,Config!$B$9:$B$29,0))&amp;"",""))</f>
        <v/>
      </c>
    </row>
    <row r="3099">
      <c r="X3099" s="20" t="str">
        <f>IF($B3099="","",IFERROR(IF(INDEX(Config!$D$9:$D$29,MATCH($B3099,Config!$B$9:$B$29,0))="Contrato",IF(INDEX(Config!$E$9:$E$29,MATCH($B3099,Config!$B$9:$B$29,0))="","",INDEX(Config!$E$9:$E$29,MATCH($B3099,Config!$B$9:$B$29,0))),""),""))</f>
        <v/>
      </c>
      <c r="AI3099" s="19" t="str">
        <f>IF($B3099="","",IFERROR(INDEX(Config!$D$9:$D$29,MATCH($B3099,Config!$B$9:$B$29,0))&amp;"",""))</f>
        <v/>
      </c>
    </row>
    <row r="3100">
      <c r="X3100" s="20" t="str">
        <f>IF($B3100="","",IFERROR(IF(INDEX(Config!$D$9:$D$29,MATCH($B3100,Config!$B$9:$B$29,0))="Contrato",IF(INDEX(Config!$E$9:$E$29,MATCH($B3100,Config!$B$9:$B$29,0))="","",INDEX(Config!$E$9:$E$29,MATCH($B3100,Config!$B$9:$B$29,0))),""),""))</f>
        <v/>
      </c>
      <c r="AI3100" s="19" t="str">
        <f>IF($B3100="","",IFERROR(INDEX(Config!$D$9:$D$29,MATCH($B3100,Config!$B$9:$B$29,0))&amp;"",""))</f>
        <v/>
      </c>
    </row>
    <row r="3101">
      <c r="X3101" s="20" t="str">
        <f>IF($B3101="","",IFERROR(IF(INDEX(Config!$D$9:$D$29,MATCH($B3101,Config!$B$9:$B$29,0))="Contrato",IF(INDEX(Config!$E$9:$E$29,MATCH($B3101,Config!$B$9:$B$29,0))="","",INDEX(Config!$E$9:$E$29,MATCH($B3101,Config!$B$9:$B$29,0))),""),""))</f>
        <v/>
      </c>
      <c r="AI3101" s="19" t="str">
        <f>IF($B3101="","",IFERROR(INDEX(Config!$D$9:$D$29,MATCH($B3101,Config!$B$9:$B$29,0))&amp;"",""))</f>
        <v/>
      </c>
    </row>
    <row r="3102">
      <c r="X3102" s="20" t="str">
        <f>IF($B3102="","",IFERROR(IF(INDEX(Config!$D$9:$D$29,MATCH($B3102,Config!$B$9:$B$29,0))="Contrato",IF(INDEX(Config!$E$9:$E$29,MATCH($B3102,Config!$B$9:$B$29,0))="","",INDEX(Config!$E$9:$E$29,MATCH($B3102,Config!$B$9:$B$29,0))),""),""))</f>
        <v/>
      </c>
      <c r="AI3102" s="19" t="str">
        <f>IF($B3102="","",IFERROR(INDEX(Config!$D$9:$D$29,MATCH($B3102,Config!$B$9:$B$29,0))&amp;"",""))</f>
        <v/>
      </c>
    </row>
    <row r="3103">
      <c r="X3103" s="20" t="str">
        <f>IF($B3103="","",IFERROR(IF(INDEX(Config!$D$9:$D$29,MATCH($B3103,Config!$B$9:$B$29,0))="Contrato",IF(INDEX(Config!$E$9:$E$29,MATCH($B3103,Config!$B$9:$B$29,0))="","",INDEX(Config!$E$9:$E$29,MATCH($B3103,Config!$B$9:$B$29,0))),""),""))</f>
        <v/>
      </c>
      <c r="AI3103" s="19" t="str">
        <f>IF($B3103="","",IFERROR(INDEX(Config!$D$9:$D$29,MATCH($B3103,Config!$B$9:$B$29,0))&amp;"",""))</f>
        <v/>
      </c>
    </row>
    <row r="3104">
      <c r="X3104" s="20" t="str">
        <f>IF($B3104="","",IFERROR(IF(INDEX(Config!$D$9:$D$29,MATCH($B3104,Config!$B$9:$B$29,0))="Contrato",IF(INDEX(Config!$E$9:$E$29,MATCH($B3104,Config!$B$9:$B$29,0))="","",INDEX(Config!$E$9:$E$29,MATCH($B3104,Config!$B$9:$B$29,0))),""),""))</f>
        <v/>
      </c>
      <c r="AI3104" s="19" t="str">
        <f>IF($B3104="","",IFERROR(INDEX(Config!$D$9:$D$29,MATCH($B3104,Config!$B$9:$B$29,0))&amp;"",""))</f>
        <v/>
      </c>
    </row>
    <row r="3105">
      <c r="X3105" s="20" t="str">
        <f>IF($B3105="","",IFERROR(IF(INDEX(Config!$D$9:$D$29,MATCH($B3105,Config!$B$9:$B$29,0))="Contrato",IF(INDEX(Config!$E$9:$E$29,MATCH($B3105,Config!$B$9:$B$29,0))="","",INDEX(Config!$E$9:$E$29,MATCH($B3105,Config!$B$9:$B$29,0))),""),""))</f>
        <v/>
      </c>
      <c r="AI3105" s="19" t="str">
        <f>IF($B3105="","",IFERROR(INDEX(Config!$D$9:$D$29,MATCH($B3105,Config!$B$9:$B$29,0))&amp;"",""))</f>
        <v/>
      </c>
    </row>
    <row r="3106">
      <c r="X3106" s="20" t="str">
        <f>IF($B3106="","",IFERROR(IF(INDEX(Config!$D$9:$D$29,MATCH($B3106,Config!$B$9:$B$29,0))="Contrato",IF(INDEX(Config!$E$9:$E$29,MATCH($B3106,Config!$B$9:$B$29,0))="","",INDEX(Config!$E$9:$E$29,MATCH($B3106,Config!$B$9:$B$29,0))),""),""))</f>
        <v/>
      </c>
      <c r="AI3106" s="19" t="str">
        <f>IF($B3106="","",IFERROR(INDEX(Config!$D$9:$D$29,MATCH($B3106,Config!$B$9:$B$29,0))&amp;"",""))</f>
        <v/>
      </c>
    </row>
    <row r="3107">
      <c r="X3107" s="20" t="str">
        <f>IF($B3107="","",IFERROR(IF(INDEX(Config!$D$9:$D$29,MATCH($B3107,Config!$B$9:$B$29,0))="Contrato",IF(INDEX(Config!$E$9:$E$29,MATCH($B3107,Config!$B$9:$B$29,0))="","",INDEX(Config!$E$9:$E$29,MATCH($B3107,Config!$B$9:$B$29,0))),""),""))</f>
        <v/>
      </c>
      <c r="AI3107" s="19" t="str">
        <f>IF($B3107="","",IFERROR(INDEX(Config!$D$9:$D$29,MATCH($B3107,Config!$B$9:$B$29,0))&amp;"",""))</f>
        <v/>
      </c>
    </row>
    <row r="3108">
      <c r="X3108" s="20" t="str">
        <f>IF($B3108="","",IFERROR(IF(INDEX(Config!$D$9:$D$29,MATCH($B3108,Config!$B$9:$B$29,0))="Contrato",IF(INDEX(Config!$E$9:$E$29,MATCH($B3108,Config!$B$9:$B$29,0))="","",INDEX(Config!$E$9:$E$29,MATCH($B3108,Config!$B$9:$B$29,0))),""),""))</f>
        <v/>
      </c>
      <c r="AI3108" s="19" t="str">
        <f>IF($B3108="","",IFERROR(INDEX(Config!$D$9:$D$29,MATCH($B3108,Config!$B$9:$B$29,0))&amp;"",""))</f>
        <v/>
      </c>
    </row>
    <row r="3109">
      <c r="X3109" s="20" t="str">
        <f>IF($B3109="","",IFERROR(IF(INDEX(Config!$D$9:$D$29,MATCH($B3109,Config!$B$9:$B$29,0))="Contrato",IF(INDEX(Config!$E$9:$E$29,MATCH($B3109,Config!$B$9:$B$29,0))="","",INDEX(Config!$E$9:$E$29,MATCH($B3109,Config!$B$9:$B$29,0))),""),""))</f>
        <v/>
      </c>
      <c r="AI3109" s="19" t="str">
        <f>IF($B3109="","",IFERROR(INDEX(Config!$D$9:$D$29,MATCH($B3109,Config!$B$9:$B$29,0))&amp;"",""))</f>
        <v/>
      </c>
    </row>
    <row r="3110">
      <c r="X3110" s="20" t="str">
        <f>IF($B3110="","",IFERROR(IF(INDEX(Config!$D$9:$D$29,MATCH($B3110,Config!$B$9:$B$29,0))="Contrato",IF(INDEX(Config!$E$9:$E$29,MATCH($B3110,Config!$B$9:$B$29,0))="","",INDEX(Config!$E$9:$E$29,MATCH($B3110,Config!$B$9:$B$29,0))),""),""))</f>
        <v/>
      </c>
      <c r="AI3110" s="19" t="str">
        <f>IF($B3110="","",IFERROR(INDEX(Config!$D$9:$D$29,MATCH($B3110,Config!$B$9:$B$29,0))&amp;"",""))</f>
        <v/>
      </c>
    </row>
    <row r="3111">
      <c r="X3111" s="20" t="str">
        <f>IF($B3111="","",IFERROR(IF(INDEX(Config!$D$9:$D$29,MATCH($B3111,Config!$B$9:$B$29,0))="Contrato",IF(INDEX(Config!$E$9:$E$29,MATCH($B3111,Config!$B$9:$B$29,0))="","",INDEX(Config!$E$9:$E$29,MATCH($B3111,Config!$B$9:$B$29,0))),""),""))</f>
        <v/>
      </c>
      <c r="AI3111" s="19" t="str">
        <f>IF($B3111="","",IFERROR(INDEX(Config!$D$9:$D$29,MATCH($B3111,Config!$B$9:$B$29,0))&amp;"",""))</f>
        <v/>
      </c>
    </row>
    <row r="3112">
      <c r="X3112" s="20" t="str">
        <f>IF($B3112="","",IFERROR(IF(INDEX(Config!$D$9:$D$29,MATCH($B3112,Config!$B$9:$B$29,0))="Contrato",IF(INDEX(Config!$E$9:$E$29,MATCH($B3112,Config!$B$9:$B$29,0))="","",INDEX(Config!$E$9:$E$29,MATCH($B3112,Config!$B$9:$B$29,0))),""),""))</f>
        <v/>
      </c>
      <c r="AI3112" s="19" t="str">
        <f>IF($B3112="","",IFERROR(INDEX(Config!$D$9:$D$29,MATCH($B3112,Config!$B$9:$B$29,0))&amp;"",""))</f>
        <v/>
      </c>
    </row>
    <row r="3113">
      <c r="X3113" s="20" t="str">
        <f>IF($B3113="","",IFERROR(IF(INDEX(Config!$D$9:$D$29,MATCH($B3113,Config!$B$9:$B$29,0))="Contrato",IF(INDEX(Config!$E$9:$E$29,MATCH($B3113,Config!$B$9:$B$29,0))="","",INDEX(Config!$E$9:$E$29,MATCH($B3113,Config!$B$9:$B$29,0))),""),""))</f>
        <v/>
      </c>
      <c r="AI3113" s="19" t="str">
        <f>IF($B3113="","",IFERROR(INDEX(Config!$D$9:$D$29,MATCH($B3113,Config!$B$9:$B$29,0))&amp;"",""))</f>
        <v/>
      </c>
    </row>
    <row r="3114">
      <c r="X3114" s="20" t="str">
        <f>IF($B3114="","",IFERROR(IF(INDEX(Config!$D$9:$D$29,MATCH($B3114,Config!$B$9:$B$29,0))="Contrato",IF(INDEX(Config!$E$9:$E$29,MATCH($B3114,Config!$B$9:$B$29,0))="","",INDEX(Config!$E$9:$E$29,MATCH($B3114,Config!$B$9:$B$29,0))),""),""))</f>
        <v/>
      </c>
      <c r="AI3114" s="19" t="str">
        <f>IF($B3114="","",IFERROR(INDEX(Config!$D$9:$D$29,MATCH($B3114,Config!$B$9:$B$29,0))&amp;"",""))</f>
        <v/>
      </c>
    </row>
    <row r="3115">
      <c r="X3115" s="20" t="str">
        <f>IF($B3115="","",IFERROR(IF(INDEX(Config!$D$9:$D$29,MATCH($B3115,Config!$B$9:$B$29,0))="Contrato",IF(INDEX(Config!$E$9:$E$29,MATCH($B3115,Config!$B$9:$B$29,0))="","",INDEX(Config!$E$9:$E$29,MATCH($B3115,Config!$B$9:$B$29,0))),""),""))</f>
        <v/>
      </c>
      <c r="AI3115" s="19" t="str">
        <f>IF($B3115="","",IFERROR(INDEX(Config!$D$9:$D$29,MATCH($B3115,Config!$B$9:$B$29,0))&amp;"",""))</f>
        <v/>
      </c>
    </row>
    <row r="3116">
      <c r="X3116" s="20" t="str">
        <f>IF($B3116="","",IFERROR(IF(INDEX(Config!$D$9:$D$29,MATCH($B3116,Config!$B$9:$B$29,0))="Contrato",IF(INDEX(Config!$E$9:$E$29,MATCH($B3116,Config!$B$9:$B$29,0))="","",INDEX(Config!$E$9:$E$29,MATCH($B3116,Config!$B$9:$B$29,0))),""),""))</f>
        <v/>
      </c>
      <c r="AI3116" s="19" t="str">
        <f>IF($B3116="","",IFERROR(INDEX(Config!$D$9:$D$29,MATCH($B3116,Config!$B$9:$B$29,0))&amp;"",""))</f>
        <v/>
      </c>
    </row>
    <row r="3117">
      <c r="X3117" s="20" t="str">
        <f>IF($B3117="","",IFERROR(IF(INDEX(Config!$D$9:$D$29,MATCH($B3117,Config!$B$9:$B$29,0))="Contrato",IF(INDEX(Config!$E$9:$E$29,MATCH($B3117,Config!$B$9:$B$29,0))="","",INDEX(Config!$E$9:$E$29,MATCH($B3117,Config!$B$9:$B$29,0))),""),""))</f>
        <v/>
      </c>
      <c r="AI3117" s="19" t="str">
        <f>IF($B3117="","",IFERROR(INDEX(Config!$D$9:$D$29,MATCH($B3117,Config!$B$9:$B$29,0))&amp;"",""))</f>
        <v/>
      </c>
    </row>
    <row r="3118">
      <c r="X3118" s="20" t="str">
        <f>IF($B3118="","",IFERROR(IF(INDEX(Config!$D$9:$D$29,MATCH($B3118,Config!$B$9:$B$29,0))="Contrato",IF(INDEX(Config!$E$9:$E$29,MATCH($B3118,Config!$B$9:$B$29,0))="","",INDEX(Config!$E$9:$E$29,MATCH($B3118,Config!$B$9:$B$29,0))),""),""))</f>
        <v/>
      </c>
      <c r="AI3118" s="19" t="str">
        <f>IF($B3118="","",IFERROR(INDEX(Config!$D$9:$D$29,MATCH($B3118,Config!$B$9:$B$29,0))&amp;"",""))</f>
        <v/>
      </c>
    </row>
    <row r="3119">
      <c r="X3119" s="20" t="str">
        <f>IF($B3119="","",IFERROR(IF(INDEX(Config!$D$9:$D$29,MATCH($B3119,Config!$B$9:$B$29,0))="Contrato",IF(INDEX(Config!$E$9:$E$29,MATCH($B3119,Config!$B$9:$B$29,0))="","",INDEX(Config!$E$9:$E$29,MATCH($B3119,Config!$B$9:$B$29,0))),""),""))</f>
        <v/>
      </c>
      <c r="AI3119" s="19" t="str">
        <f>IF($B3119="","",IFERROR(INDEX(Config!$D$9:$D$29,MATCH($B3119,Config!$B$9:$B$29,0))&amp;"",""))</f>
        <v/>
      </c>
    </row>
    <row r="3120">
      <c r="X3120" s="20" t="str">
        <f>IF($B3120="","",IFERROR(IF(INDEX(Config!$D$9:$D$29,MATCH($B3120,Config!$B$9:$B$29,0))="Contrato",IF(INDEX(Config!$E$9:$E$29,MATCH($B3120,Config!$B$9:$B$29,0))="","",INDEX(Config!$E$9:$E$29,MATCH($B3120,Config!$B$9:$B$29,0))),""),""))</f>
        <v/>
      </c>
      <c r="AI3120" s="19" t="str">
        <f>IF($B3120="","",IFERROR(INDEX(Config!$D$9:$D$29,MATCH($B3120,Config!$B$9:$B$29,0))&amp;"",""))</f>
        <v/>
      </c>
    </row>
    <row r="3121">
      <c r="X3121" s="20" t="str">
        <f>IF($B3121="","",IFERROR(IF(INDEX(Config!$D$9:$D$29,MATCH($B3121,Config!$B$9:$B$29,0))="Contrato",IF(INDEX(Config!$E$9:$E$29,MATCH($B3121,Config!$B$9:$B$29,0))="","",INDEX(Config!$E$9:$E$29,MATCH($B3121,Config!$B$9:$B$29,0))),""),""))</f>
        <v/>
      </c>
      <c r="AI3121" s="19" t="str">
        <f>IF($B3121="","",IFERROR(INDEX(Config!$D$9:$D$29,MATCH($B3121,Config!$B$9:$B$29,0))&amp;"",""))</f>
        <v/>
      </c>
    </row>
    <row r="3122">
      <c r="X3122" s="20" t="str">
        <f>IF($B3122="","",IFERROR(IF(INDEX(Config!$D$9:$D$29,MATCH($B3122,Config!$B$9:$B$29,0))="Contrato",IF(INDEX(Config!$E$9:$E$29,MATCH($B3122,Config!$B$9:$B$29,0))="","",INDEX(Config!$E$9:$E$29,MATCH($B3122,Config!$B$9:$B$29,0))),""),""))</f>
        <v/>
      </c>
      <c r="AI3122" s="19" t="str">
        <f>IF($B3122="","",IFERROR(INDEX(Config!$D$9:$D$29,MATCH($B3122,Config!$B$9:$B$29,0))&amp;"",""))</f>
        <v/>
      </c>
    </row>
    <row r="3123">
      <c r="X3123" s="20" t="str">
        <f>IF($B3123="","",IFERROR(IF(INDEX(Config!$D$9:$D$29,MATCH($B3123,Config!$B$9:$B$29,0))="Contrato",IF(INDEX(Config!$E$9:$E$29,MATCH($B3123,Config!$B$9:$B$29,0))="","",INDEX(Config!$E$9:$E$29,MATCH($B3123,Config!$B$9:$B$29,0))),""),""))</f>
        <v/>
      </c>
      <c r="AI3123" s="19" t="str">
        <f>IF($B3123="","",IFERROR(INDEX(Config!$D$9:$D$29,MATCH($B3123,Config!$B$9:$B$29,0))&amp;"",""))</f>
        <v/>
      </c>
    </row>
    <row r="3124">
      <c r="X3124" s="20" t="str">
        <f>IF($B3124="","",IFERROR(IF(INDEX(Config!$D$9:$D$29,MATCH($B3124,Config!$B$9:$B$29,0))="Contrato",IF(INDEX(Config!$E$9:$E$29,MATCH($B3124,Config!$B$9:$B$29,0))="","",INDEX(Config!$E$9:$E$29,MATCH($B3124,Config!$B$9:$B$29,0))),""),""))</f>
        <v/>
      </c>
      <c r="AI3124" s="19" t="str">
        <f>IF($B3124="","",IFERROR(INDEX(Config!$D$9:$D$29,MATCH($B3124,Config!$B$9:$B$29,0))&amp;"",""))</f>
        <v/>
      </c>
    </row>
    <row r="3125">
      <c r="X3125" s="20" t="str">
        <f>IF($B3125="","",IFERROR(IF(INDEX(Config!$D$9:$D$29,MATCH($B3125,Config!$B$9:$B$29,0))="Contrato",IF(INDEX(Config!$E$9:$E$29,MATCH($B3125,Config!$B$9:$B$29,0))="","",INDEX(Config!$E$9:$E$29,MATCH($B3125,Config!$B$9:$B$29,0))),""),""))</f>
        <v/>
      </c>
      <c r="AI3125" s="19" t="str">
        <f>IF($B3125="","",IFERROR(INDEX(Config!$D$9:$D$29,MATCH($B3125,Config!$B$9:$B$29,0))&amp;"",""))</f>
        <v/>
      </c>
    </row>
    <row r="3126">
      <c r="X3126" s="20" t="str">
        <f>IF($B3126="","",IFERROR(IF(INDEX(Config!$D$9:$D$29,MATCH($B3126,Config!$B$9:$B$29,0))="Contrato",IF(INDEX(Config!$E$9:$E$29,MATCH($B3126,Config!$B$9:$B$29,0))="","",INDEX(Config!$E$9:$E$29,MATCH($B3126,Config!$B$9:$B$29,0))),""),""))</f>
        <v/>
      </c>
      <c r="AI3126" s="19" t="str">
        <f>IF($B3126="","",IFERROR(INDEX(Config!$D$9:$D$29,MATCH($B3126,Config!$B$9:$B$29,0))&amp;"",""))</f>
        <v/>
      </c>
    </row>
    <row r="3127">
      <c r="X3127" s="20" t="str">
        <f>IF($B3127="","",IFERROR(IF(INDEX(Config!$D$9:$D$29,MATCH($B3127,Config!$B$9:$B$29,0))="Contrato",IF(INDEX(Config!$E$9:$E$29,MATCH($B3127,Config!$B$9:$B$29,0))="","",INDEX(Config!$E$9:$E$29,MATCH($B3127,Config!$B$9:$B$29,0))),""),""))</f>
        <v/>
      </c>
      <c r="AI3127" s="19" t="str">
        <f>IF($B3127="","",IFERROR(INDEX(Config!$D$9:$D$29,MATCH($B3127,Config!$B$9:$B$29,0))&amp;"",""))</f>
        <v/>
      </c>
    </row>
    <row r="3128">
      <c r="X3128" s="20" t="str">
        <f>IF($B3128="","",IFERROR(IF(INDEX(Config!$D$9:$D$29,MATCH($B3128,Config!$B$9:$B$29,0))="Contrato",IF(INDEX(Config!$E$9:$E$29,MATCH($B3128,Config!$B$9:$B$29,0))="","",INDEX(Config!$E$9:$E$29,MATCH($B3128,Config!$B$9:$B$29,0))),""),""))</f>
        <v/>
      </c>
      <c r="AI3128" s="19" t="str">
        <f>IF($B3128="","",IFERROR(INDEX(Config!$D$9:$D$29,MATCH($B3128,Config!$B$9:$B$29,0))&amp;"",""))</f>
        <v/>
      </c>
    </row>
    <row r="3129">
      <c r="X3129" s="20" t="str">
        <f>IF($B3129="","",IFERROR(IF(INDEX(Config!$D$9:$D$29,MATCH($B3129,Config!$B$9:$B$29,0))="Contrato",IF(INDEX(Config!$E$9:$E$29,MATCH($B3129,Config!$B$9:$B$29,0))="","",INDEX(Config!$E$9:$E$29,MATCH($B3129,Config!$B$9:$B$29,0))),""),""))</f>
        <v/>
      </c>
      <c r="AI3129" s="19" t="str">
        <f>IF($B3129="","",IFERROR(INDEX(Config!$D$9:$D$29,MATCH($B3129,Config!$B$9:$B$29,0))&amp;"",""))</f>
        <v/>
      </c>
    </row>
    <row r="3130">
      <c r="X3130" s="20" t="str">
        <f>IF($B3130="","",IFERROR(IF(INDEX(Config!$D$9:$D$29,MATCH($B3130,Config!$B$9:$B$29,0))="Contrato",IF(INDEX(Config!$E$9:$E$29,MATCH($B3130,Config!$B$9:$B$29,0))="","",INDEX(Config!$E$9:$E$29,MATCH($B3130,Config!$B$9:$B$29,0))),""),""))</f>
        <v/>
      </c>
      <c r="AI3130" s="19" t="str">
        <f>IF($B3130="","",IFERROR(INDEX(Config!$D$9:$D$29,MATCH($B3130,Config!$B$9:$B$29,0))&amp;"",""))</f>
        <v/>
      </c>
    </row>
    <row r="3131">
      <c r="X3131" s="20" t="str">
        <f>IF($B3131="","",IFERROR(IF(INDEX(Config!$D$9:$D$29,MATCH($B3131,Config!$B$9:$B$29,0))="Contrato",IF(INDEX(Config!$E$9:$E$29,MATCH($B3131,Config!$B$9:$B$29,0))="","",INDEX(Config!$E$9:$E$29,MATCH($B3131,Config!$B$9:$B$29,0))),""),""))</f>
        <v/>
      </c>
      <c r="AI3131" s="19" t="str">
        <f>IF($B3131="","",IFERROR(INDEX(Config!$D$9:$D$29,MATCH($B3131,Config!$B$9:$B$29,0))&amp;"",""))</f>
        <v/>
      </c>
    </row>
    <row r="3132">
      <c r="X3132" s="20" t="str">
        <f>IF($B3132="","",IFERROR(IF(INDEX(Config!$D$9:$D$29,MATCH($B3132,Config!$B$9:$B$29,0))="Contrato",IF(INDEX(Config!$E$9:$E$29,MATCH($B3132,Config!$B$9:$B$29,0))="","",INDEX(Config!$E$9:$E$29,MATCH($B3132,Config!$B$9:$B$29,0))),""),""))</f>
        <v/>
      </c>
      <c r="AI3132" s="19" t="str">
        <f>IF($B3132="","",IFERROR(INDEX(Config!$D$9:$D$29,MATCH($B3132,Config!$B$9:$B$29,0))&amp;"",""))</f>
        <v/>
      </c>
    </row>
    <row r="3133">
      <c r="X3133" s="20" t="str">
        <f>IF($B3133="","",IFERROR(IF(INDEX(Config!$D$9:$D$29,MATCH($B3133,Config!$B$9:$B$29,0))="Contrato",IF(INDEX(Config!$E$9:$E$29,MATCH($B3133,Config!$B$9:$B$29,0))="","",INDEX(Config!$E$9:$E$29,MATCH($B3133,Config!$B$9:$B$29,0))),""),""))</f>
        <v/>
      </c>
      <c r="AI3133" s="19" t="str">
        <f>IF($B3133="","",IFERROR(INDEX(Config!$D$9:$D$29,MATCH($B3133,Config!$B$9:$B$29,0))&amp;"",""))</f>
        <v/>
      </c>
    </row>
    <row r="3134">
      <c r="X3134" s="20" t="str">
        <f>IF($B3134="","",IFERROR(IF(INDEX(Config!$D$9:$D$29,MATCH($B3134,Config!$B$9:$B$29,0))="Contrato",IF(INDEX(Config!$E$9:$E$29,MATCH($B3134,Config!$B$9:$B$29,0))="","",INDEX(Config!$E$9:$E$29,MATCH($B3134,Config!$B$9:$B$29,0))),""),""))</f>
        <v/>
      </c>
      <c r="AI3134" s="19" t="str">
        <f>IF($B3134="","",IFERROR(INDEX(Config!$D$9:$D$29,MATCH($B3134,Config!$B$9:$B$29,0))&amp;"",""))</f>
        <v/>
      </c>
    </row>
    <row r="3135">
      <c r="X3135" s="20" t="str">
        <f>IF($B3135="","",IFERROR(IF(INDEX(Config!$D$9:$D$29,MATCH($B3135,Config!$B$9:$B$29,0))="Contrato",IF(INDEX(Config!$E$9:$E$29,MATCH($B3135,Config!$B$9:$B$29,0))="","",INDEX(Config!$E$9:$E$29,MATCH($B3135,Config!$B$9:$B$29,0))),""),""))</f>
        <v/>
      </c>
      <c r="AI3135" s="19" t="str">
        <f>IF($B3135="","",IFERROR(INDEX(Config!$D$9:$D$29,MATCH($B3135,Config!$B$9:$B$29,0))&amp;"",""))</f>
        <v/>
      </c>
    </row>
    <row r="3136">
      <c r="X3136" s="20" t="str">
        <f>IF($B3136="","",IFERROR(IF(INDEX(Config!$D$9:$D$29,MATCH($B3136,Config!$B$9:$B$29,0))="Contrato",IF(INDEX(Config!$E$9:$E$29,MATCH($B3136,Config!$B$9:$B$29,0))="","",INDEX(Config!$E$9:$E$29,MATCH($B3136,Config!$B$9:$B$29,0))),""),""))</f>
        <v/>
      </c>
      <c r="AI3136" s="19" t="str">
        <f>IF($B3136="","",IFERROR(INDEX(Config!$D$9:$D$29,MATCH($B3136,Config!$B$9:$B$29,0))&amp;"",""))</f>
        <v/>
      </c>
    </row>
    <row r="3137">
      <c r="X3137" s="20" t="str">
        <f>IF($B3137="","",IFERROR(IF(INDEX(Config!$D$9:$D$29,MATCH($B3137,Config!$B$9:$B$29,0))="Contrato",IF(INDEX(Config!$E$9:$E$29,MATCH($B3137,Config!$B$9:$B$29,0))="","",INDEX(Config!$E$9:$E$29,MATCH($B3137,Config!$B$9:$B$29,0))),""),""))</f>
        <v/>
      </c>
      <c r="AI3137" s="19" t="str">
        <f>IF($B3137="","",IFERROR(INDEX(Config!$D$9:$D$29,MATCH($B3137,Config!$B$9:$B$29,0))&amp;"",""))</f>
        <v/>
      </c>
    </row>
    <row r="3138">
      <c r="X3138" s="20" t="str">
        <f>IF($B3138="","",IFERROR(IF(INDEX(Config!$D$9:$D$29,MATCH($B3138,Config!$B$9:$B$29,0))="Contrato",IF(INDEX(Config!$E$9:$E$29,MATCH($B3138,Config!$B$9:$B$29,0))="","",INDEX(Config!$E$9:$E$29,MATCH($B3138,Config!$B$9:$B$29,0))),""),""))</f>
        <v/>
      </c>
      <c r="AI3138" s="19" t="str">
        <f>IF($B3138="","",IFERROR(INDEX(Config!$D$9:$D$29,MATCH($B3138,Config!$B$9:$B$29,0))&amp;"",""))</f>
        <v/>
      </c>
    </row>
    <row r="3139">
      <c r="X3139" s="20" t="str">
        <f>IF($B3139="","",IFERROR(IF(INDEX(Config!$D$9:$D$29,MATCH($B3139,Config!$B$9:$B$29,0))="Contrato",IF(INDEX(Config!$E$9:$E$29,MATCH($B3139,Config!$B$9:$B$29,0))="","",INDEX(Config!$E$9:$E$29,MATCH($B3139,Config!$B$9:$B$29,0))),""),""))</f>
        <v/>
      </c>
      <c r="AI3139" s="19" t="str">
        <f>IF($B3139="","",IFERROR(INDEX(Config!$D$9:$D$29,MATCH($B3139,Config!$B$9:$B$29,0))&amp;"",""))</f>
        <v/>
      </c>
    </row>
    <row r="3140">
      <c r="X3140" s="20" t="str">
        <f>IF($B3140="","",IFERROR(IF(INDEX(Config!$D$9:$D$29,MATCH($B3140,Config!$B$9:$B$29,0))="Contrato",IF(INDEX(Config!$E$9:$E$29,MATCH($B3140,Config!$B$9:$B$29,0))="","",INDEX(Config!$E$9:$E$29,MATCH($B3140,Config!$B$9:$B$29,0))),""),""))</f>
        <v/>
      </c>
      <c r="AI3140" s="19" t="str">
        <f>IF($B3140="","",IFERROR(INDEX(Config!$D$9:$D$29,MATCH($B3140,Config!$B$9:$B$29,0))&amp;"",""))</f>
        <v/>
      </c>
    </row>
    <row r="3141">
      <c r="X3141" s="20" t="str">
        <f>IF($B3141="","",IFERROR(IF(INDEX(Config!$D$9:$D$29,MATCH($B3141,Config!$B$9:$B$29,0))="Contrato",IF(INDEX(Config!$E$9:$E$29,MATCH($B3141,Config!$B$9:$B$29,0))="","",INDEX(Config!$E$9:$E$29,MATCH($B3141,Config!$B$9:$B$29,0))),""),""))</f>
        <v/>
      </c>
      <c r="AI3141" s="19" t="str">
        <f>IF($B3141="","",IFERROR(INDEX(Config!$D$9:$D$29,MATCH($B3141,Config!$B$9:$B$29,0))&amp;"",""))</f>
        <v/>
      </c>
    </row>
    <row r="3142">
      <c r="X3142" s="20" t="str">
        <f>IF($B3142="","",IFERROR(IF(INDEX(Config!$D$9:$D$29,MATCH($B3142,Config!$B$9:$B$29,0))="Contrato",IF(INDEX(Config!$E$9:$E$29,MATCH($B3142,Config!$B$9:$B$29,0))="","",INDEX(Config!$E$9:$E$29,MATCH($B3142,Config!$B$9:$B$29,0))),""),""))</f>
        <v/>
      </c>
      <c r="AI3142" s="19" t="str">
        <f>IF($B3142="","",IFERROR(INDEX(Config!$D$9:$D$29,MATCH($B3142,Config!$B$9:$B$29,0))&amp;"",""))</f>
        <v/>
      </c>
    </row>
    <row r="3143">
      <c r="X3143" s="20" t="str">
        <f>IF($B3143="","",IFERROR(IF(INDEX(Config!$D$9:$D$29,MATCH($B3143,Config!$B$9:$B$29,0))="Contrato",IF(INDEX(Config!$E$9:$E$29,MATCH($B3143,Config!$B$9:$B$29,0))="","",INDEX(Config!$E$9:$E$29,MATCH($B3143,Config!$B$9:$B$29,0))),""),""))</f>
        <v/>
      </c>
      <c r="AI3143" s="19" t="str">
        <f>IF($B3143="","",IFERROR(INDEX(Config!$D$9:$D$29,MATCH($B3143,Config!$B$9:$B$29,0))&amp;"",""))</f>
        <v/>
      </c>
    </row>
    <row r="3144">
      <c r="X3144" s="20" t="str">
        <f>IF($B3144="","",IFERROR(IF(INDEX(Config!$D$9:$D$29,MATCH($B3144,Config!$B$9:$B$29,0))="Contrato",IF(INDEX(Config!$E$9:$E$29,MATCH($B3144,Config!$B$9:$B$29,0))="","",INDEX(Config!$E$9:$E$29,MATCH($B3144,Config!$B$9:$B$29,0))),""),""))</f>
        <v/>
      </c>
      <c r="AI3144" s="19" t="str">
        <f>IF($B3144="","",IFERROR(INDEX(Config!$D$9:$D$29,MATCH($B3144,Config!$B$9:$B$29,0))&amp;"",""))</f>
        <v/>
      </c>
    </row>
    <row r="3145">
      <c r="X3145" s="20" t="str">
        <f>IF($B3145="","",IFERROR(IF(INDEX(Config!$D$9:$D$29,MATCH($B3145,Config!$B$9:$B$29,0))="Contrato",IF(INDEX(Config!$E$9:$E$29,MATCH($B3145,Config!$B$9:$B$29,0))="","",INDEX(Config!$E$9:$E$29,MATCH($B3145,Config!$B$9:$B$29,0))),""),""))</f>
        <v/>
      </c>
      <c r="AI3145" s="19" t="str">
        <f>IF($B3145="","",IFERROR(INDEX(Config!$D$9:$D$29,MATCH($B3145,Config!$B$9:$B$29,0))&amp;"",""))</f>
        <v/>
      </c>
    </row>
    <row r="3146">
      <c r="X3146" s="20" t="str">
        <f>IF($B3146="","",IFERROR(IF(INDEX(Config!$D$9:$D$29,MATCH($B3146,Config!$B$9:$B$29,0))="Contrato",IF(INDEX(Config!$E$9:$E$29,MATCH($B3146,Config!$B$9:$B$29,0))="","",INDEX(Config!$E$9:$E$29,MATCH($B3146,Config!$B$9:$B$29,0))),""),""))</f>
        <v/>
      </c>
      <c r="AI3146" s="19" t="str">
        <f>IF($B3146="","",IFERROR(INDEX(Config!$D$9:$D$29,MATCH($B3146,Config!$B$9:$B$29,0))&amp;"",""))</f>
        <v/>
      </c>
    </row>
    <row r="3147">
      <c r="X3147" s="20" t="str">
        <f>IF($B3147="","",IFERROR(IF(INDEX(Config!$D$9:$D$29,MATCH($B3147,Config!$B$9:$B$29,0))="Contrato",IF(INDEX(Config!$E$9:$E$29,MATCH($B3147,Config!$B$9:$B$29,0))="","",INDEX(Config!$E$9:$E$29,MATCH($B3147,Config!$B$9:$B$29,0))),""),""))</f>
        <v/>
      </c>
      <c r="AI3147" s="19" t="str">
        <f>IF($B3147="","",IFERROR(INDEX(Config!$D$9:$D$29,MATCH($B3147,Config!$B$9:$B$29,0))&amp;"",""))</f>
        <v/>
      </c>
    </row>
    <row r="3148">
      <c r="X3148" s="20" t="str">
        <f>IF($B3148="","",IFERROR(IF(INDEX(Config!$D$9:$D$29,MATCH($B3148,Config!$B$9:$B$29,0))="Contrato",IF(INDEX(Config!$E$9:$E$29,MATCH($B3148,Config!$B$9:$B$29,0))="","",INDEX(Config!$E$9:$E$29,MATCH($B3148,Config!$B$9:$B$29,0))),""),""))</f>
        <v/>
      </c>
      <c r="AI3148" s="19" t="str">
        <f>IF($B3148="","",IFERROR(INDEX(Config!$D$9:$D$29,MATCH($B3148,Config!$B$9:$B$29,0))&amp;"",""))</f>
        <v/>
      </c>
    </row>
    <row r="3149">
      <c r="X3149" s="20" t="str">
        <f>IF($B3149="","",IFERROR(IF(INDEX(Config!$D$9:$D$29,MATCH($B3149,Config!$B$9:$B$29,0))="Contrato",IF(INDEX(Config!$E$9:$E$29,MATCH($B3149,Config!$B$9:$B$29,0))="","",INDEX(Config!$E$9:$E$29,MATCH($B3149,Config!$B$9:$B$29,0))),""),""))</f>
        <v/>
      </c>
      <c r="AI3149" s="19" t="str">
        <f>IF($B3149="","",IFERROR(INDEX(Config!$D$9:$D$29,MATCH($B3149,Config!$B$9:$B$29,0))&amp;"",""))</f>
        <v/>
      </c>
    </row>
    <row r="3150">
      <c r="X3150" s="20" t="str">
        <f>IF($B3150="","",IFERROR(IF(INDEX(Config!$D$9:$D$29,MATCH($B3150,Config!$B$9:$B$29,0))="Contrato",IF(INDEX(Config!$E$9:$E$29,MATCH($B3150,Config!$B$9:$B$29,0))="","",INDEX(Config!$E$9:$E$29,MATCH($B3150,Config!$B$9:$B$29,0))),""),""))</f>
        <v/>
      </c>
      <c r="AI3150" s="19" t="str">
        <f>IF($B3150="","",IFERROR(INDEX(Config!$D$9:$D$29,MATCH($B3150,Config!$B$9:$B$29,0))&amp;"",""))</f>
        <v/>
      </c>
    </row>
    <row r="3151">
      <c r="X3151" s="20" t="str">
        <f>IF($B3151="","",IFERROR(IF(INDEX(Config!$D$9:$D$29,MATCH($B3151,Config!$B$9:$B$29,0))="Contrato",IF(INDEX(Config!$E$9:$E$29,MATCH($B3151,Config!$B$9:$B$29,0))="","",INDEX(Config!$E$9:$E$29,MATCH($B3151,Config!$B$9:$B$29,0))),""),""))</f>
        <v/>
      </c>
      <c r="AI3151" s="19" t="str">
        <f>IF($B3151="","",IFERROR(INDEX(Config!$D$9:$D$29,MATCH($B3151,Config!$B$9:$B$29,0))&amp;"",""))</f>
        <v/>
      </c>
    </row>
    <row r="3152">
      <c r="X3152" s="20" t="str">
        <f>IF($B3152="","",IFERROR(IF(INDEX(Config!$D$9:$D$29,MATCH($B3152,Config!$B$9:$B$29,0))="Contrato",IF(INDEX(Config!$E$9:$E$29,MATCH($B3152,Config!$B$9:$B$29,0))="","",INDEX(Config!$E$9:$E$29,MATCH($B3152,Config!$B$9:$B$29,0))),""),""))</f>
        <v/>
      </c>
      <c r="AI3152" s="19" t="str">
        <f>IF($B3152="","",IFERROR(INDEX(Config!$D$9:$D$29,MATCH($B3152,Config!$B$9:$B$29,0))&amp;"",""))</f>
        <v/>
      </c>
    </row>
    <row r="3153">
      <c r="X3153" s="20" t="str">
        <f>IF($B3153="","",IFERROR(IF(INDEX(Config!$D$9:$D$29,MATCH($B3153,Config!$B$9:$B$29,0))="Contrato",IF(INDEX(Config!$E$9:$E$29,MATCH($B3153,Config!$B$9:$B$29,0))="","",INDEX(Config!$E$9:$E$29,MATCH($B3153,Config!$B$9:$B$29,0))),""),""))</f>
        <v/>
      </c>
      <c r="AI3153" s="19" t="str">
        <f>IF($B3153="","",IFERROR(INDEX(Config!$D$9:$D$29,MATCH($B3153,Config!$B$9:$B$29,0))&amp;"",""))</f>
        <v/>
      </c>
    </row>
    <row r="3154">
      <c r="X3154" s="20" t="str">
        <f>IF($B3154="","",IFERROR(IF(INDEX(Config!$D$9:$D$29,MATCH($B3154,Config!$B$9:$B$29,0))="Contrato",IF(INDEX(Config!$E$9:$E$29,MATCH($B3154,Config!$B$9:$B$29,0))="","",INDEX(Config!$E$9:$E$29,MATCH($B3154,Config!$B$9:$B$29,0))),""),""))</f>
        <v/>
      </c>
      <c r="AI3154" s="19" t="str">
        <f>IF($B3154="","",IFERROR(INDEX(Config!$D$9:$D$29,MATCH($B3154,Config!$B$9:$B$29,0))&amp;"",""))</f>
        <v/>
      </c>
    </row>
    <row r="3155">
      <c r="X3155" s="20" t="str">
        <f>IF($B3155="","",IFERROR(IF(INDEX(Config!$D$9:$D$29,MATCH($B3155,Config!$B$9:$B$29,0))="Contrato",IF(INDEX(Config!$E$9:$E$29,MATCH($B3155,Config!$B$9:$B$29,0))="","",INDEX(Config!$E$9:$E$29,MATCH($B3155,Config!$B$9:$B$29,0))),""),""))</f>
        <v/>
      </c>
      <c r="AI3155" s="19" t="str">
        <f>IF($B3155="","",IFERROR(INDEX(Config!$D$9:$D$29,MATCH($B3155,Config!$B$9:$B$29,0))&amp;"",""))</f>
        <v/>
      </c>
    </row>
    <row r="3156">
      <c r="X3156" s="20" t="str">
        <f>IF($B3156="","",IFERROR(IF(INDEX(Config!$D$9:$D$29,MATCH($B3156,Config!$B$9:$B$29,0))="Contrato",IF(INDEX(Config!$E$9:$E$29,MATCH($B3156,Config!$B$9:$B$29,0))="","",INDEX(Config!$E$9:$E$29,MATCH($B3156,Config!$B$9:$B$29,0))),""),""))</f>
        <v/>
      </c>
      <c r="AI3156" s="19" t="str">
        <f>IF($B3156="","",IFERROR(INDEX(Config!$D$9:$D$29,MATCH($B3156,Config!$B$9:$B$29,0))&amp;"",""))</f>
        <v/>
      </c>
    </row>
    <row r="3157">
      <c r="X3157" s="20" t="str">
        <f>IF($B3157="","",IFERROR(IF(INDEX(Config!$D$9:$D$29,MATCH($B3157,Config!$B$9:$B$29,0))="Contrato",IF(INDEX(Config!$E$9:$E$29,MATCH($B3157,Config!$B$9:$B$29,0))="","",INDEX(Config!$E$9:$E$29,MATCH($B3157,Config!$B$9:$B$29,0))),""),""))</f>
        <v/>
      </c>
      <c r="AI3157" s="19" t="str">
        <f>IF($B3157="","",IFERROR(INDEX(Config!$D$9:$D$29,MATCH($B3157,Config!$B$9:$B$29,0))&amp;"",""))</f>
        <v/>
      </c>
    </row>
    <row r="3158">
      <c r="X3158" s="20" t="str">
        <f>IF($B3158="","",IFERROR(IF(INDEX(Config!$D$9:$D$29,MATCH($B3158,Config!$B$9:$B$29,0))="Contrato",IF(INDEX(Config!$E$9:$E$29,MATCH($B3158,Config!$B$9:$B$29,0))="","",INDEX(Config!$E$9:$E$29,MATCH($B3158,Config!$B$9:$B$29,0))),""),""))</f>
        <v/>
      </c>
      <c r="AI3158" s="19" t="str">
        <f>IF($B3158="","",IFERROR(INDEX(Config!$D$9:$D$29,MATCH($B3158,Config!$B$9:$B$29,0))&amp;"",""))</f>
        <v/>
      </c>
    </row>
    <row r="3159">
      <c r="X3159" s="20" t="str">
        <f>IF($B3159="","",IFERROR(IF(INDEX(Config!$D$9:$D$29,MATCH($B3159,Config!$B$9:$B$29,0))="Contrato",IF(INDEX(Config!$E$9:$E$29,MATCH($B3159,Config!$B$9:$B$29,0))="","",INDEX(Config!$E$9:$E$29,MATCH($B3159,Config!$B$9:$B$29,0))),""),""))</f>
        <v/>
      </c>
      <c r="AI3159" s="19" t="str">
        <f>IF($B3159="","",IFERROR(INDEX(Config!$D$9:$D$29,MATCH($B3159,Config!$B$9:$B$29,0))&amp;"",""))</f>
        <v/>
      </c>
    </row>
    <row r="3160">
      <c r="X3160" s="20" t="str">
        <f>IF($B3160="","",IFERROR(IF(INDEX(Config!$D$9:$D$29,MATCH($B3160,Config!$B$9:$B$29,0))="Contrato",IF(INDEX(Config!$E$9:$E$29,MATCH($B3160,Config!$B$9:$B$29,0))="","",INDEX(Config!$E$9:$E$29,MATCH($B3160,Config!$B$9:$B$29,0))),""),""))</f>
        <v/>
      </c>
      <c r="AI3160" s="19" t="str">
        <f>IF($B3160="","",IFERROR(INDEX(Config!$D$9:$D$29,MATCH($B3160,Config!$B$9:$B$29,0))&amp;"",""))</f>
        <v/>
      </c>
    </row>
    <row r="3161">
      <c r="X3161" s="20" t="str">
        <f>IF($B3161="","",IFERROR(IF(INDEX(Config!$D$9:$D$29,MATCH($B3161,Config!$B$9:$B$29,0))="Contrato",IF(INDEX(Config!$E$9:$E$29,MATCH($B3161,Config!$B$9:$B$29,0))="","",INDEX(Config!$E$9:$E$29,MATCH($B3161,Config!$B$9:$B$29,0))),""),""))</f>
        <v/>
      </c>
      <c r="AI3161" s="19" t="str">
        <f>IF($B3161="","",IFERROR(INDEX(Config!$D$9:$D$29,MATCH($B3161,Config!$B$9:$B$29,0))&amp;"",""))</f>
        <v/>
      </c>
    </row>
    <row r="3162">
      <c r="X3162" s="20" t="str">
        <f>IF($B3162="","",IFERROR(IF(INDEX(Config!$D$9:$D$29,MATCH($B3162,Config!$B$9:$B$29,0))="Contrato",IF(INDEX(Config!$E$9:$E$29,MATCH($B3162,Config!$B$9:$B$29,0))="","",INDEX(Config!$E$9:$E$29,MATCH($B3162,Config!$B$9:$B$29,0))),""),""))</f>
        <v/>
      </c>
      <c r="AI3162" s="19" t="str">
        <f>IF($B3162="","",IFERROR(INDEX(Config!$D$9:$D$29,MATCH($B3162,Config!$B$9:$B$29,0))&amp;"",""))</f>
        <v/>
      </c>
    </row>
    <row r="3163">
      <c r="X3163" s="20" t="str">
        <f>IF($B3163="","",IFERROR(IF(INDEX(Config!$D$9:$D$29,MATCH($B3163,Config!$B$9:$B$29,0))="Contrato",IF(INDEX(Config!$E$9:$E$29,MATCH($B3163,Config!$B$9:$B$29,0))="","",INDEX(Config!$E$9:$E$29,MATCH($B3163,Config!$B$9:$B$29,0))),""),""))</f>
        <v/>
      </c>
      <c r="AI3163" s="19" t="str">
        <f>IF($B3163="","",IFERROR(INDEX(Config!$D$9:$D$29,MATCH($B3163,Config!$B$9:$B$29,0))&amp;"",""))</f>
        <v/>
      </c>
    </row>
    <row r="3164">
      <c r="X3164" s="20" t="str">
        <f>IF($B3164="","",IFERROR(IF(INDEX(Config!$D$9:$D$29,MATCH($B3164,Config!$B$9:$B$29,0))="Contrato",IF(INDEX(Config!$E$9:$E$29,MATCH($B3164,Config!$B$9:$B$29,0))="","",INDEX(Config!$E$9:$E$29,MATCH($B3164,Config!$B$9:$B$29,0))),""),""))</f>
        <v/>
      </c>
      <c r="AI3164" s="19" t="str">
        <f>IF($B3164="","",IFERROR(INDEX(Config!$D$9:$D$29,MATCH($B3164,Config!$B$9:$B$29,0))&amp;"",""))</f>
        <v/>
      </c>
    </row>
    <row r="3165">
      <c r="X3165" s="20" t="str">
        <f>IF($B3165="","",IFERROR(IF(INDEX(Config!$D$9:$D$29,MATCH($B3165,Config!$B$9:$B$29,0))="Contrato",IF(INDEX(Config!$E$9:$E$29,MATCH($B3165,Config!$B$9:$B$29,0))="","",INDEX(Config!$E$9:$E$29,MATCH($B3165,Config!$B$9:$B$29,0))),""),""))</f>
        <v/>
      </c>
      <c r="AI3165" s="19" t="str">
        <f>IF($B3165="","",IFERROR(INDEX(Config!$D$9:$D$29,MATCH($B3165,Config!$B$9:$B$29,0))&amp;"",""))</f>
        <v/>
      </c>
    </row>
    <row r="3166">
      <c r="X3166" s="20" t="str">
        <f>IF($B3166="","",IFERROR(IF(INDEX(Config!$D$9:$D$29,MATCH($B3166,Config!$B$9:$B$29,0))="Contrato",IF(INDEX(Config!$E$9:$E$29,MATCH($B3166,Config!$B$9:$B$29,0))="","",INDEX(Config!$E$9:$E$29,MATCH($B3166,Config!$B$9:$B$29,0))),""),""))</f>
        <v/>
      </c>
      <c r="AI3166" s="19" t="str">
        <f>IF($B3166="","",IFERROR(INDEX(Config!$D$9:$D$29,MATCH($B3166,Config!$B$9:$B$29,0))&amp;"",""))</f>
        <v/>
      </c>
    </row>
    <row r="3167">
      <c r="X3167" s="20" t="str">
        <f>IF($B3167="","",IFERROR(IF(INDEX(Config!$D$9:$D$29,MATCH($B3167,Config!$B$9:$B$29,0))="Contrato",IF(INDEX(Config!$E$9:$E$29,MATCH($B3167,Config!$B$9:$B$29,0))="","",INDEX(Config!$E$9:$E$29,MATCH($B3167,Config!$B$9:$B$29,0))),""),""))</f>
        <v/>
      </c>
      <c r="AI3167" s="19" t="str">
        <f>IF($B3167="","",IFERROR(INDEX(Config!$D$9:$D$29,MATCH($B3167,Config!$B$9:$B$29,0))&amp;"",""))</f>
        <v/>
      </c>
    </row>
    <row r="3168">
      <c r="X3168" s="20" t="str">
        <f>IF($B3168="","",IFERROR(IF(INDEX(Config!$D$9:$D$29,MATCH($B3168,Config!$B$9:$B$29,0))="Contrato",IF(INDEX(Config!$E$9:$E$29,MATCH($B3168,Config!$B$9:$B$29,0))="","",INDEX(Config!$E$9:$E$29,MATCH($B3168,Config!$B$9:$B$29,0))),""),""))</f>
        <v/>
      </c>
      <c r="AI3168" s="19" t="str">
        <f>IF($B3168="","",IFERROR(INDEX(Config!$D$9:$D$29,MATCH($B3168,Config!$B$9:$B$29,0))&amp;"",""))</f>
        <v/>
      </c>
    </row>
    <row r="3169">
      <c r="X3169" s="20" t="str">
        <f>IF($B3169="","",IFERROR(IF(INDEX(Config!$D$9:$D$29,MATCH($B3169,Config!$B$9:$B$29,0))="Contrato",IF(INDEX(Config!$E$9:$E$29,MATCH($B3169,Config!$B$9:$B$29,0))="","",INDEX(Config!$E$9:$E$29,MATCH($B3169,Config!$B$9:$B$29,0))),""),""))</f>
        <v/>
      </c>
      <c r="AI3169" s="19" t="str">
        <f>IF($B3169="","",IFERROR(INDEX(Config!$D$9:$D$29,MATCH($B3169,Config!$B$9:$B$29,0))&amp;"",""))</f>
        <v/>
      </c>
    </row>
    <row r="3170">
      <c r="X3170" s="20" t="str">
        <f>IF($B3170="","",IFERROR(IF(INDEX(Config!$D$9:$D$29,MATCH($B3170,Config!$B$9:$B$29,0))="Contrato",IF(INDEX(Config!$E$9:$E$29,MATCH($B3170,Config!$B$9:$B$29,0))="","",INDEX(Config!$E$9:$E$29,MATCH($B3170,Config!$B$9:$B$29,0))),""),""))</f>
        <v/>
      </c>
      <c r="AI3170" s="19" t="str">
        <f>IF($B3170="","",IFERROR(INDEX(Config!$D$9:$D$29,MATCH($B3170,Config!$B$9:$B$29,0))&amp;"",""))</f>
        <v/>
      </c>
    </row>
    <row r="3171">
      <c r="X3171" s="20" t="str">
        <f>IF($B3171="","",IFERROR(IF(INDEX(Config!$D$9:$D$29,MATCH($B3171,Config!$B$9:$B$29,0))="Contrato",IF(INDEX(Config!$E$9:$E$29,MATCH($B3171,Config!$B$9:$B$29,0))="","",INDEX(Config!$E$9:$E$29,MATCH($B3171,Config!$B$9:$B$29,0))),""),""))</f>
        <v/>
      </c>
      <c r="AI3171" s="19" t="str">
        <f>IF($B3171="","",IFERROR(INDEX(Config!$D$9:$D$29,MATCH($B3171,Config!$B$9:$B$29,0))&amp;"",""))</f>
        <v/>
      </c>
    </row>
    <row r="3172">
      <c r="X3172" s="20" t="str">
        <f>IF($B3172="","",IFERROR(IF(INDEX(Config!$D$9:$D$29,MATCH($B3172,Config!$B$9:$B$29,0))="Contrato",IF(INDEX(Config!$E$9:$E$29,MATCH($B3172,Config!$B$9:$B$29,0))="","",INDEX(Config!$E$9:$E$29,MATCH($B3172,Config!$B$9:$B$29,0))),""),""))</f>
        <v/>
      </c>
      <c r="AI3172" s="19" t="str">
        <f>IF($B3172="","",IFERROR(INDEX(Config!$D$9:$D$29,MATCH($B3172,Config!$B$9:$B$29,0))&amp;"",""))</f>
        <v/>
      </c>
    </row>
    <row r="3173">
      <c r="X3173" s="20" t="str">
        <f>IF($B3173="","",IFERROR(IF(INDEX(Config!$D$9:$D$29,MATCH($B3173,Config!$B$9:$B$29,0))="Contrato",IF(INDEX(Config!$E$9:$E$29,MATCH($B3173,Config!$B$9:$B$29,0))="","",INDEX(Config!$E$9:$E$29,MATCH($B3173,Config!$B$9:$B$29,0))),""),""))</f>
        <v/>
      </c>
      <c r="AI3173" s="19" t="str">
        <f>IF($B3173="","",IFERROR(INDEX(Config!$D$9:$D$29,MATCH($B3173,Config!$B$9:$B$29,0))&amp;"",""))</f>
        <v/>
      </c>
    </row>
    <row r="3174">
      <c r="X3174" s="20" t="str">
        <f>IF($B3174="","",IFERROR(IF(INDEX(Config!$D$9:$D$29,MATCH($B3174,Config!$B$9:$B$29,0))="Contrato",IF(INDEX(Config!$E$9:$E$29,MATCH($B3174,Config!$B$9:$B$29,0))="","",INDEX(Config!$E$9:$E$29,MATCH($B3174,Config!$B$9:$B$29,0))),""),""))</f>
        <v/>
      </c>
      <c r="AI3174" s="19" t="str">
        <f>IF($B3174="","",IFERROR(INDEX(Config!$D$9:$D$29,MATCH($B3174,Config!$B$9:$B$29,0))&amp;"",""))</f>
        <v/>
      </c>
    </row>
    <row r="3175">
      <c r="X3175" s="20" t="str">
        <f>IF($B3175="","",IFERROR(IF(INDEX(Config!$D$9:$D$29,MATCH($B3175,Config!$B$9:$B$29,0))="Contrato",IF(INDEX(Config!$E$9:$E$29,MATCH($B3175,Config!$B$9:$B$29,0))="","",INDEX(Config!$E$9:$E$29,MATCH($B3175,Config!$B$9:$B$29,0))),""),""))</f>
        <v/>
      </c>
      <c r="AI3175" s="19" t="str">
        <f>IF($B3175="","",IFERROR(INDEX(Config!$D$9:$D$29,MATCH($B3175,Config!$B$9:$B$29,0))&amp;"",""))</f>
        <v/>
      </c>
    </row>
    <row r="3176">
      <c r="X3176" s="20" t="str">
        <f>IF($B3176="","",IFERROR(IF(INDEX(Config!$D$9:$D$29,MATCH($B3176,Config!$B$9:$B$29,0))="Contrato",IF(INDEX(Config!$E$9:$E$29,MATCH($B3176,Config!$B$9:$B$29,0))="","",INDEX(Config!$E$9:$E$29,MATCH($B3176,Config!$B$9:$B$29,0))),""),""))</f>
        <v/>
      </c>
      <c r="AI3176" s="19" t="str">
        <f>IF($B3176="","",IFERROR(INDEX(Config!$D$9:$D$29,MATCH($B3176,Config!$B$9:$B$29,0))&amp;"",""))</f>
        <v/>
      </c>
    </row>
    <row r="3177">
      <c r="X3177" s="20" t="str">
        <f>IF($B3177="","",IFERROR(IF(INDEX(Config!$D$9:$D$29,MATCH($B3177,Config!$B$9:$B$29,0))="Contrato",IF(INDEX(Config!$E$9:$E$29,MATCH($B3177,Config!$B$9:$B$29,0))="","",INDEX(Config!$E$9:$E$29,MATCH($B3177,Config!$B$9:$B$29,0))),""),""))</f>
        <v/>
      </c>
      <c r="AI3177" s="19" t="str">
        <f>IF($B3177="","",IFERROR(INDEX(Config!$D$9:$D$29,MATCH($B3177,Config!$B$9:$B$29,0))&amp;"",""))</f>
        <v/>
      </c>
    </row>
    <row r="3178">
      <c r="X3178" s="20" t="str">
        <f>IF($B3178="","",IFERROR(IF(INDEX(Config!$D$9:$D$29,MATCH($B3178,Config!$B$9:$B$29,0))="Contrato",IF(INDEX(Config!$E$9:$E$29,MATCH($B3178,Config!$B$9:$B$29,0))="","",INDEX(Config!$E$9:$E$29,MATCH($B3178,Config!$B$9:$B$29,0))),""),""))</f>
        <v/>
      </c>
      <c r="AI3178" s="19" t="str">
        <f>IF($B3178="","",IFERROR(INDEX(Config!$D$9:$D$29,MATCH($B3178,Config!$B$9:$B$29,0))&amp;"",""))</f>
        <v/>
      </c>
    </row>
    <row r="3179">
      <c r="X3179" s="20" t="str">
        <f>IF($B3179="","",IFERROR(IF(INDEX(Config!$D$9:$D$29,MATCH($B3179,Config!$B$9:$B$29,0))="Contrato",IF(INDEX(Config!$E$9:$E$29,MATCH($B3179,Config!$B$9:$B$29,0))="","",INDEX(Config!$E$9:$E$29,MATCH($B3179,Config!$B$9:$B$29,0))),""),""))</f>
        <v/>
      </c>
      <c r="AI3179" s="19" t="str">
        <f>IF($B3179="","",IFERROR(INDEX(Config!$D$9:$D$29,MATCH($B3179,Config!$B$9:$B$29,0))&amp;"",""))</f>
        <v/>
      </c>
    </row>
    <row r="3180">
      <c r="X3180" s="20" t="str">
        <f>IF($B3180="","",IFERROR(IF(INDEX(Config!$D$9:$D$29,MATCH($B3180,Config!$B$9:$B$29,0))="Contrato",IF(INDEX(Config!$E$9:$E$29,MATCH($B3180,Config!$B$9:$B$29,0))="","",INDEX(Config!$E$9:$E$29,MATCH($B3180,Config!$B$9:$B$29,0))),""),""))</f>
        <v/>
      </c>
      <c r="AI3180" s="19" t="str">
        <f>IF($B3180="","",IFERROR(INDEX(Config!$D$9:$D$29,MATCH($B3180,Config!$B$9:$B$29,0))&amp;"",""))</f>
        <v/>
      </c>
    </row>
    <row r="3181">
      <c r="X3181" s="20" t="str">
        <f>IF($B3181="","",IFERROR(IF(INDEX(Config!$D$9:$D$29,MATCH($B3181,Config!$B$9:$B$29,0))="Contrato",IF(INDEX(Config!$E$9:$E$29,MATCH($B3181,Config!$B$9:$B$29,0))="","",INDEX(Config!$E$9:$E$29,MATCH($B3181,Config!$B$9:$B$29,0))),""),""))</f>
        <v/>
      </c>
      <c r="AI3181" s="19" t="str">
        <f>IF($B3181="","",IFERROR(INDEX(Config!$D$9:$D$29,MATCH($B3181,Config!$B$9:$B$29,0))&amp;"",""))</f>
        <v/>
      </c>
    </row>
    <row r="3182">
      <c r="X3182" s="20" t="str">
        <f>IF($B3182="","",IFERROR(IF(INDEX(Config!$D$9:$D$29,MATCH($B3182,Config!$B$9:$B$29,0))="Contrato",IF(INDEX(Config!$E$9:$E$29,MATCH($B3182,Config!$B$9:$B$29,0))="","",INDEX(Config!$E$9:$E$29,MATCH($B3182,Config!$B$9:$B$29,0))),""),""))</f>
        <v/>
      </c>
      <c r="AI3182" s="19" t="str">
        <f>IF($B3182="","",IFERROR(INDEX(Config!$D$9:$D$29,MATCH($B3182,Config!$B$9:$B$29,0))&amp;"",""))</f>
        <v/>
      </c>
    </row>
    <row r="3183">
      <c r="X3183" s="20" t="str">
        <f>IF($B3183="","",IFERROR(IF(INDEX(Config!$D$9:$D$29,MATCH($B3183,Config!$B$9:$B$29,0))="Contrato",IF(INDEX(Config!$E$9:$E$29,MATCH($B3183,Config!$B$9:$B$29,0))="","",INDEX(Config!$E$9:$E$29,MATCH($B3183,Config!$B$9:$B$29,0))),""),""))</f>
        <v/>
      </c>
      <c r="AI3183" s="19" t="str">
        <f>IF($B3183="","",IFERROR(INDEX(Config!$D$9:$D$29,MATCH($B3183,Config!$B$9:$B$29,0))&amp;"",""))</f>
        <v/>
      </c>
    </row>
    <row r="3184">
      <c r="X3184" s="20" t="str">
        <f>IF($B3184="","",IFERROR(IF(INDEX(Config!$D$9:$D$29,MATCH($B3184,Config!$B$9:$B$29,0))="Contrato",IF(INDEX(Config!$E$9:$E$29,MATCH($B3184,Config!$B$9:$B$29,0))="","",INDEX(Config!$E$9:$E$29,MATCH($B3184,Config!$B$9:$B$29,0))),""),""))</f>
        <v/>
      </c>
      <c r="AI3184" s="19" t="str">
        <f>IF($B3184="","",IFERROR(INDEX(Config!$D$9:$D$29,MATCH($B3184,Config!$B$9:$B$29,0))&amp;"",""))</f>
        <v/>
      </c>
    </row>
    <row r="3185">
      <c r="X3185" s="20" t="str">
        <f>IF($B3185="","",IFERROR(IF(INDEX(Config!$D$9:$D$29,MATCH($B3185,Config!$B$9:$B$29,0))="Contrato",IF(INDEX(Config!$E$9:$E$29,MATCH($B3185,Config!$B$9:$B$29,0))="","",INDEX(Config!$E$9:$E$29,MATCH($B3185,Config!$B$9:$B$29,0))),""),""))</f>
        <v/>
      </c>
      <c r="AI3185" s="19" t="str">
        <f>IF($B3185="","",IFERROR(INDEX(Config!$D$9:$D$29,MATCH($B3185,Config!$B$9:$B$29,0))&amp;"",""))</f>
        <v/>
      </c>
    </row>
    <row r="3186">
      <c r="X3186" s="20" t="str">
        <f>IF($B3186="","",IFERROR(IF(INDEX(Config!$D$9:$D$29,MATCH($B3186,Config!$B$9:$B$29,0))="Contrato",IF(INDEX(Config!$E$9:$E$29,MATCH($B3186,Config!$B$9:$B$29,0))="","",INDEX(Config!$E$9:$E$29,MATCH($B3186,Config!$B$9:$B$29,0))),""),""))</f>
        <v/>
      </c>
      <c r="AI3186" s="19" t="str">
        <f>IF($B3186="","",IFERROR(INDEX(Config!$D$9:$D$29,MATCH($B3186,Config!$B$9:$B$29,0))&amp;"",""))</f>
        <v/>
      </c>
    </row>
    <row r="3187">
      <c r="X3187" s="20" t="str">
        <f>IF($B3187="","",IFERROR(IF(INDEX(Config!$D$9:$D$29,MATCH($B3187,Config!$B$9:$B$29,0))="Contrato",IF(INDEX(Config!$E$9:$E$29,MATCH($B3187,Config!$B$9:$B$29,0))="","",INDEX(Config!$E$9:$E$29,MATCH($B3187,Config!$B$9:$B$29,0))),""),""))</f>
        <v/>
      </c>
      <c r="AI3187" s="19" t="str">
        <f>IF($B3187="","",IFERROR(INDEX(Config!$D$9:$D$29,MATCH($B3187,Config!$B$9:$B$29,0))&amp;"",""))</f>
        <v/>
      </c>
    </row>
    <row r="3188">
      <c r="X3188" s="20" t="str">
        <f>IF($B3188="","",IFERROR(IF(INDEX(Config!$D$9:$D$29,MATCH($B3188,Config!$B$9:$B$29,0))="Contrato",IF(INDEX(Config!$E$9:$E$29,MATCH($B3188,Config!$B$9:$B$29,0))="","",INDEX(Config!$E$9:$E$29,MATCH($B3188,Config!$B$9:$B$29,0))),""),""))</f>
        <v/>
      </c>
      <c r="AI3188" s="19" t="str">
        <f>IF($B3188="","",IFERROR(INDEX(Config!$D$9:$D$29,MATCH($B3188,Config!$B$9:$B$29,0))&amp;"",""))</f>
        <v/>
      </c>
    </row>
    <row r="3189">
      <c r="X3189" s="20" t="str">
        <f>IF($B3189="","",IFERROR(IF(INDEX(Config!$D$9:$D$29,MATCH($B3189,Config!$B$9:$B$29,0))="Contrato",IF(INDEX(Config!$E$9:$E$29,MATCH($B3189,Config!$B$9:$B$29,0))="","",INDEX(Config!$E$9:$E$29,MATCH($B3189,Config!$B$9:$B$29,0))),""),""))</f>
        <v/>
      </c>
      <c r="AI3189" s="19" t="str">
        <f>IF($B3189="","",IFERROR(INDEX(Config!$D$9:$D$29,MATCH($B3189,Config!$B$9:$B$29,0))&amp;"",""))</f>
        <v/>
      </c>
    </row>
    <row r="3190">
      <c r="X3190" s="20" t="str">
        <f>IF($B3190="","",IFERROR(IF(INDEX(Config!$D$9:$D$29,MATCH($B3190,Config!$B$9:$B$29,0))="Contrato",IF(INDEX(Config!$E$9:$E$29,MATCH($B3190,Config!$B$9:$B$29,0))="","",INDEX(Config!$E$9:$E$29,MATCH($B3190,Config!$B$9:$B$29,0))),""),""))</f>
        <v/>
      </c>
      <c r="AI3190" s="19" t="str">
        <f>IF($B3190="","",IFERROR(INDEX(Config!$D$9:$D$29,MATCH($B3190,Config!$B$9:$B$29,0))&amp;"",""))</f>
        <v/>
      </c>
    </row>
    <row r="3191">
      <c r="X3191" s="20" t="str">
        <f>IF($B3191="","",IFERROR(IF(INDEX(Config!$D$9:$D$29,MATCH($B3191,Config!$B$9:$B$29,0))="Contrato",IF(INDEX(Config!$E$9:$E$29,MATCH($B3191,Config!$B$9:$B$29,0))="","",INDEX(Config!$E$9:$E$29,MATCH($B3191,Config!$B$9:$B$29,0))),""),""))</f>
        <v/>
      </c>
      <c r="AI3191" s="19" t="str">
        <f>IF($B3191="","",IFERROR(INDEX(Config!$D$9:$D$29,MATCH($B3191,Config!$B$9:$B$29,0))&amp;"",""))</f>
        <v/>
      </c>
    </row>
    <row r="3192">
      <c r="X3192" s="20" t="str">
        <f>IF($B3192="","",IFERROR(IF(INDEX(Config!$D$9:$D$29,MATCH($B3192,Config!$B$9:$B$29,0))="Contrato",IF(INDEX(Config!$E$9:$E$29,MATCH($B3192,Config!$B$9:$B$29,0))="","",INDEX(Config!$E$9:$E$29,MATCH($B3192,Config!$B$9:$B$29,0))),""),""))</f>
        <v/>
      </c>
      <c r="AI3192" s="19" t="str">
        <f>IF($B3192="","",IFERROR(INDEX(Config!$D$9:$D$29,MATCH($B3192,Config!$B$9:$B$29,0))&amp;"",""))</f>
        <v/>
      </c>
    </row>
    <row r="3193">
      <c r="X3193" s="20" t="str">
        <f>IF($B3193="","",IFERROR(IF(INDEX(Config!$D$9:$D$29,MATCH($B3193,Config!$B$9:$B$29,0))="Contrato",IF(INDEX(Config!$E$9:$E$29,MATCH($B3193,Config!$B$9:$B$29,0))="","",INDEX(Config!$E$9:$E$29,MATCH($B3193,Config!$B$9:$B$29,0))),""),""))</f>
        <v/>
      </c>
      <c r="AI3193" s="19" t="str">
        <f>IF($B3193="","",IFERROR(INDEX(Config!$D$9:$D$29,MATCH($B3193,Config!$B$9:$B$29,0))&amp;"",""))</f>
        <v/>
      </c>
    </row>
    <row r="3194">
      <c r="X3194" s="20" t="str">
        <f>IF($B3194="","",IFERROR(IF(INDEX(Config!$D$9:$D$29,MATCH($B3194,Config!$B$9:$B$29,0))="Contrato",IF(INDEX(Config!$E$9:$E$29,MATCH($B3194,Config!$B$9:$B$29,0))="","",INDEX(Config!$E$9:$E$29,MATCH($B3194,Config!$B$9:$B$29,0))),""),""))</f>
        <v/>
      </c>
      <c r="AI3194" s="19" t="str">
        <f>IF($B3194="","",IFERROR(INDEX(Config!$D$9:$D$29,MATCH($B3194,Config!$B$9:$B$29,0))&amp;"",""))</f>
        <v/>
      </c>
    </row>
    <row r="3195">
      <c r="X3195" s="20" t="str">
        <f>IF($B3195="","",IFERROR(IF(INDEX(Config!$D$9:$D$29,MATCH($B3195,Config!$B$9:$B$29,0))="Contrato",IF(INDEX(Config!$E$9:$E$29,MATCH($B3195,Config!$B$9:$B$29,0))="","",INDEX(Config!$E$9:$E$29,MATCH($B3195,Config!$B$9:$B$29,0))),""),""))</f>
        <v/>
      </c>
      <c r="AI3195" s="19" t="str">
        <f>IF($B3195="","",IFERROR(INDEX(Config!$D$9:$D$29,MATCH($B3195,Config!$B$9:$B$29,0))&amp;"",""))</f>
        <v/>
      </c>
    </row>
    <row r="3196">
      <c r="X3196" s="20" t="str">
        <f>IF($B3196="","",IFERROR(IF(INDEX(Config!$D$9:$D$29,MATCH($B3196,Config!$B$9:$B$29,0))="Contrato",IF(INDEX(Config!$E$9:$E$29,MATCH($B3196,Config!$B$9:$B$29,0))="","",INDEX(Config!$E$9:$E$29,MATCH($B3196,Config!$B$9:$B$29,0))),""),""))</f>
        <v/>
      </c>
      <c r="AI3196" s="19" t="str">
        <f>IF($B3196="","",IFERROR(INDEX(Config!$D$9:$D$29,MATCH($B3196,Config!$B$9:$B$29,0))&amp;"",""))</f>
        <v/>
      </c>
    </row>
    <row r="3197">
      <c r="X3197" s="20" t="str">
        <f>IF($B3197="","",IFERROR(IF(INDEX(Config!$D$9:$D$29,MATCH($B3197,Config!$B$9:$B$29,0))="Contrato",IF(INDEX(Config!$E$9:$E$29,MATCH($B3197,Config!$B$9:$B$29,0))="","",INDEX(Config!$E$9:$E$29,MATCH($B3197,Config!$B$9:$B$29,0))),""),""))</f>
        <v/>
      </c>
      <c r="AI3197" s="19" t="str">
        <f>IF($B3197="","",IFERROR(INDEX(Config!$D$9:$D$29,MATCH($B3197,Config!$B$9:$B$29,0))&amp;"",""))</f>
        <v/>
      </c>
    </row>
    <row r="3198">
      <c r="X3198" s="20" t="str">
        <f>IF($B3198="","",IFERROR(IF(INDEX(Config!$D$9:$D$29,MATCH($B3198,Config!$B$9:$B$29,0))="Contrato",IF(INDEX(Config!$E$9:$E$29,MATCH($B3198,Config!$B$9:$B$29,0))="","",INDEX(Config!$E$9:$E$29,MATCH($B3198,Config!$B$9:$B$29,0))),""),""))</f>
        <v/>
      </c>
      <c r="AI3198" s="19" t="str">
        <f>IF($B3198="","",IFERROR(INDEX(Config!$D$9:$D$29,MATCH($B3198,Config!$B$9:$B$29,0))&amp;"",""))</f>
        <v/>
      </c>
    </row>
    <row r="3199">
      <c r="X3199" s="20" t="str">
        <f>IF($B3199="","",IFERROR(IF(INDEX(Config!$D$9:$D$29,MATCH($B3199,Config!$B$9:$B$29,0))="Contrato",IF(INDEX(Config!$E$9:$E$29,MATCH($B3199,Config!$B$9:$B$29,0))="","",INDEX(Config!$E$9:$E$29,MATCH($B3199,Config!$B$9:$B$29,0))),""),""))</f>
        <v/>
      </c>
      <c r="AI3199" s="19" t="str">
        <f>IF($B3199="","",IFERROR(INDEX(Config!$D$9:$D$29,MATCH($B3199,Config!$B$9:$B$29,0))&amp;"",""))</f>
        <v/>
      </c>
    </row>
    <row r="3200">
      <c r="X3200" s="20" t="str">
        <f>IF($B3200="","",IFERROR(IF(INDEX(Config!$D$9:$D$29,MATCH($B3200,Config!$B$9:$B$29,0))="Contrato",IF(INDEX(Config!$E$9:$E$29,MATCH($B3200,Config!$B$9:$B$29,0))="","",INDEX(Config!$E$9:$E$29,MATCH($B3200,Config!$B$9:$B$29,0))),""),""))</f>
        <v/>
      </c>
      <c r="AI3200" s="19" t="str">
        <f>IF($B3200="","",IFERROR(INDEX(Config!$D$9:$D$29,MATCH($B3200,Config!$B$9:$B$29,0))&amp;"",""))</f>
        <v/>
      </c>
    </row>
    <row r="3201">
      <c r="X3201" s="20" t="str">
        <f>IF($B3201="","",IFERROR(IF(INDEX(Config!$D$9:$D$29,MATCH($B3201,Config!$B$9:$B$29,0))="Contrato",IF(INDEX(Config!$E$9:$E$29,MATCH($B3201,Config!$B$9:$B$29,0))="","",INDEX(Config!$E$9:$E$29,MATCH($B3201,Config!$B$9:$B$29,0))),""),""))</f>
        <v/>
      </c>
      <c r="AI3201" s="19" t="str">
        <f>IF($B3201="","",IFERROR(INDEX(Config!$D$9:$D$29,MATCH($B3201,Config!$B$9:$B$29,0))&amp;"",""))</f>
        <v/>
      </c>
    </row>
    <row r="3202">
      <c r="X3202" s="20" t="str">
        <f>IF($B3202="","",IFERROR(IF(INDEX(Config!$D$9:$D$29,MATCH($B3202,Config!$B$9:$B$29,0))="Contrato",IF(INDEX(Config!$E$9:$E$29,MATCH($B3202,Config!$B$9:$B$29,0))="","",INDEX(Config!$E$9:$E$29,MATCH($B3202,Config!$B$9:$B$29,0))),""),""))</f>
        <v/>
      </c>
      <c r="AI3202" s="19" t="str">
        <f>IF($B3202="","",IFERROR(INDEX(Config!$D$9:$D$29,MATCH($B3202,Config!$B$9:$B$29,0))&amp;"",""))</f>
        <v/>
      </c>
    </row>
    <row r="3203">
      <c r="X3203" s="20" t="str">
        <f>IF($B3203="","",IFERROR(IF(INDEX(Config!$D$9:$D$29,MATCH($B3203,Config!$B$9:$B$29,0))="Contrato",IF(INDEX(Config!$E$9:$E$29,MATCH($B3203,Config!$B$9:$B$29,0))="","",INDEX(Config!$E$9:$E$29,MATCH($B3203,Config!$B$9:$B$29,0))),""),""))</f>
        <v/>
      </c>
      <c r="AI3203" s="19" t="str">
        <f>IF($B3203="","",IFERROR(INDEX(Config!$D$9:$D$29,MATCH($B3203,Config!$B$9:$B$29,0))&amp;"",""))</f>
        <v/>
      </c>
    </row>
    <row r="3204">
      <c r="X3204" s="20" t="str">
        <f>IF($B3204="","",IFERROR(IF(INDEX(Config!$D$9:$D$29,MATCH($B3204,Config!$B$9:$B$29,0))="Contrato",IF(INDEX(Config!$E$9:$E$29,MATCH($B3204,Config!$B$9:$B$29,0))="","",INDEX(Config!$E$9:$E$29,MATCH($B3204,Config!$B$9:$B$29,0))),""),""))</f>
        <v/>
      </c>
      <c r="AI3204" s="19" t="str">
        <f>IF($B3204="","",IFERROR(INDEX(Config!$D$9:$D$29,MATCH($B3204,Config!$B$9:$B$29,0))&amp;"",""))</f>
        <v/>
      </c>
    </row>
    <row r="3205">
      <c r="X3205" s="20" t="str">
        <f>IF($B3205="","",IFERROR(IF(INDEX(Config!$D$9:$D$29,MATCH($B3205,Config!$B$9:$B$29,0))="Contrato",IF(INDEX(Config!$E$9:$E$29,MATCH($B3205,Config!$B$9:$B$29,0))="","",INDEX(Config!$E$9:$E$29,MATCH($B3205,Config!$B$9:$B$29,0))),""),""))</f>
        <v/>
      </c>
      <c r="AI3205" s="19" t="str">
        <f>IF($B3205="","",IFERROR(INDEX(Config!$D$9:$D$29,MATCH($B3205,Config!$B$9:$B$29,0))&amp;"",""))</f>
        <v/>
      </c>
    </row>
    <row r="3206">
      <c r="X3206" s="20" t="str">
        <f>IF($B3206="","",IFERROR(IF(INDEX(Config!$D$9:$D$29,MATCH($B3206,Config!$B$9:$B$29,0))="Contrato",IF(INDEX(Config!$E$9:$E$29,MATCH($B3206,Config!$B$9:$B$29,0))="","",INDEX(Config!$E$9:$E$29,MATCH($B3206,Config!$B$9:$B$29,0))),""),""))</f>
        <v/>
      </c>
      <c r="AI3206" s="19" t="str">
        <f>IF($B3206="","",IFERROR(INDEX(Config!$D$9:$D$29,MATCH($B3206,Config!$B$9:$B$29,0))&amp;"",""))</f>
        <v/>
      </c>
    </row>
    <row r="3207">
      <c r="X3207" s="20" t="str">
        <f>IF($B3207="","",IFERROR(IF(INDEX(Config!$D$9:$D$29,MATCH($B3207,Config!$B$9:$B$29,0))="Contrato",IF(INDEX(Config!$E$9:$E$29,MATCH($B3207,Config!$B$9:$B$29,0))="","",INDEX(Config!$E$9:$E$29,MATCH($B3207,Config!$B$9:$B$29,0))),""),""))</f>
        <v/>
      </c>
      <c r="AI3207" s="19" t="str">
        <f>IF($B3207="","",IFERROR(INDEX(Config!$D$9:$D$29,MATCH($B3207,Config!$B$9:$B$29,0))&amp;"",""))</f>
        <v/>
      </c>
    </row>
    <row r="3208">
      <c r="X3208" s="20" t="str">
        <f>IF($B3208="","",IFERROR(IF(INDEX(Config!$D$9:$D$29,MATCH($B3208,Config!$B$9:$B$29,0))="Contrato",IF(INDEX(Config!$E$9:$E$29,MATCH($B3208,Config!$B$9:$B$29,0))="","",INDEX(Config!$E$9:$E$29,MATCH($B3208,Config!$B$9:$B$29,0))),""),""))</f>
        <v/>
      </c>
      <c r="AI3208" s="19" t="str">
        <f>IF($B3208="","",IFERROR(INDEX(Config!$D$9:$D$29,MATCH($B3208,Config!$B$9:$B$29,0))&amp;"",""))</f>
        <v/>
      </c>
    </row>
    <row r="3209">
      <c r="X3209" s="20" t="str">
        <f>IF($B3209="","",IFERROR(IF(INDEX(Config!$D$9:$D$29,MATCH($B3209,Config!$B$9:$B$29,0))="Contrato",IF(INDEX(Config!$E$9:$E$29,MATCH($B3209,Config!$B$9:$B$29,0))="","",INDEX(Config!$E$9:$E$29,MATCH($B3209,Config!$B$9:$B$29,0))),""),""))</f>
        <v/>
      </c>
      <c r="AI3209" s="19" t="str">
        <f>IF($B3209="","",IFERROR(INDEX(Config!$D$9:$D$29,MATCH($B3209,Config!$B$9:$B$29,0))&amp;"",""))</f>
        <v/>
      </c>
    </row>
    <row r="3210">
      <c r="X3210" s="20" t="str">
        <f>IF($B3210="","",IFERROR(IF(INDEX(Config!$D$9:$D$29,MATCH($B3210,Config!$B$9:$B$29,0))="Contrato",IF(INDEX(Config!$E$9:$E$29,MATCH($B3210,Config!$B$9:$B$29,0))="","",INDEX(Config!$E$9:$E$29,MATCH($B3210,Config!$B$9:$B$29,0))),""),""))</f>
        <v/>
      </c>
      <c r="AI3210" s="19" t="str">
        <f>IF($B3210="","",IFERROR(INDEX(Config!$D$9:$D$29,MATCH($B3210,Config!$B$9:$B$29,0))&amp;"",""))</f>
        <v/>
      </c>
    </row>
    <row r="3211">
      <c r="X3211" s="20" t="str">
        <f>IF($B3211="","",IFERROR(IF(INDEX(Config!$D$9:$D$29,MATCH($B3211,Config!$B$9:$B$29,0))="Contrato",IF(INDEX(Config!$E$9:$E$29,MATCH($B3211,Config!$B$9:$B$29,0))="","",INDEX(Config!$E$9:$E$29,MATCH($B3211,Config!$B$9:$B$29,0))),""),""))</f>
        <v/>
      </c>
      <c r="AI3211" s="19" t="str">
        <f>IF($B3211="","",IFERROR(INDEX(Config!$D$9:$D$29,MATCH($B3211,Config!$B$9:$B$29,0))&amp;"",""))</f>
        <v/>
      </c>
    </row>
    <row r="3212">
      <c r="X3212" s="20" t="str">
        <f>IF($B3212="","",IFERROR(IF(INDEX(Config!$D$9:$D$29,MATCH($B3212,Config!$B$9:$B$29,0))="Contrato",IF(INDEX(Config!$E$9:$E$29,MATCH($B3212,Config!$B$9:$B$29,0))="","",INDEX(Config!$E$9:$E$29,MATCH($B3212,Config!$B$9:$B$29,0))),""),""))</f>
        <v/>
      </c>
      <c r="AI3212" s="19" t="str">
        <f>IF($B3212="","",IFERROR(INDEX(Config!$D$9:$D$29,MATCH($B3212,Config!$B$9:$B$29,0))&amp;"",""))</f>
        <v/>
      </c>
    </row>
    <row r="3213">
      <c r="X3213" s="20" t="str">
        <f>IF($B3213="","",IFERROR(IF(INDEX(Config!$D$9:$D$29,MATCH($B3213,Config!$B$9:$B$29,0))="Contrato",IF(INDEX(Config!$E$9:$E$29,MATCH($B3213,Config!$B$9:$B$29,0))="","",INDEX(Config!$E$9:$E$29,MATCH($B3213,Config!$B$9:$B$29,0))),""),""))</f>
        <v/>
      </c>
      <c r="AI3213" s="19" t="str">
        <f>IF($B3213="","",IFERROR(INDEX(Config!$D$9:$D$29,MATCH($B3213,Config!$B$9:$B$29,0))&amp;"",""))</f>
        <v/>
      </c>
    </row>
    <row r="3214">
      <c r="X3214" s="20" t="str">
        <f>IF($B3214="","",IFERROR(IF(INDEX(Config!$D$9:$D$29,MATCH($B3214,Config!$B$9:$B$29,0))="Contrato",IF(INDEX(Config!$E$9:$E$29,MATCH($B3214,Config!$B$9:$B$29,0))="","",INDEX(Config!$E$9:$E$29,MATCH($B3214,Config!$B$9:$B$29,0))),""),""))</f>
        <v/>
      </c>
      <c r="AI3214" s="19" t="str">
        <f>IF($B3214="","",IFERROR(INDEX(Config!$D$9:$D$29,MATCH($B3214,Config!$B$9:$B$29,0))&amp;"",""))</f>
        <v/>
      </c>
    </row>
    <row r="3215">
      <c r="X3215" s="20" t="str">
        <f>IF($B3215="","",IFERROR(IF(INDEX(Config!$D$9:$D$29,MATCH($B3215,Config!$B$9:$B$29,0))="Contrato",IF(INDEX(Config!$E$9:$E$29,MATCH($B3215,Config!$B$9:$B$29,0))="","",INDEX(Config!$E$9:$E$29,MATCH($B3215,Config!$B$9:$B$29,0))),""),""))</f>
        <v/>
      </c>
      <c r="AI3215" s="19" t="str">
        <f>IF($B3215="","",IFERROR(INDEX(Config!$D$9:$D$29,MATCH($B3215,Config!$B$9:$B$29,0))&amp;"",""))</f>
        <v/>
      </c>
    </row>
    <row r="3216">
      <c r="X3216" s="20" t="str">
        <f>IF($B3216="","",IFERROR(IF(INDEX(Config!$D$9:$D$29,MATCH($B3216,Config!$B$9:$B$29,0))="Contrato",IF(INDEX(Config!$E$9:$E$29,MATCH($B3216,Config!$B$9:$B$29,0))="","",INDEX(Config!$E$9:$E$29,MATCH($B3216,Config!$B$9:$B$29,0))),""),""))</f>
        <v/>
      </c>
      <c r="AI3216" s="19" t="str">
        <f>IF($B3216="","",IFERROR(INDEX(Config!$D$9:$D$29,MATCH($B3216,Config!$B$9:$B$29,0))&amp;"",""))</f>
        <v/>
      </c>
    </row>
    <row r="3217">
      <c r="X3217" s="20" t="str">
        <f>IF($B3217="","",IFERROR(IF(INDEX(Config!$D$9:$D$29,MATCH($B3217,Config!$B$9:$B$29,0))="Contrato",IF(INDEX(Config!$E$9:$E$29,MATCH($B3217,Config!$B$9:$B$29,0))="","",INDEX(Config!$E$9:$E$29,MATCH($B3217,Config!$B$9:$B$29,0))),""),""))</f>
        <v/>
      </c>
      <c r="AI3217" s="19" t="str">
        <f>IF($B3217="","",IFERROR(INDEX(Config!$D$9:$D$29,MATCH($B3217,Config!$B$9:$B$29,0))&amp;"",""))</f>
        <v/>
      </c>
    </row>
    <row r="3218">
      <c r="X3218" s="20" t="str">
        <f>IF($B3218="","",IFERROR(IF(INDEX(Config!$D$9:$D$29,MATCH($B3218,Config!$B$9:$B$29,0))="Contrato",IF(INDEX(Config!$E$9:$E$29,MATCH($B3218,Config!$B$9:$B$29,0))="","",INDEX(Config!$E$9:$E$29,MATCH($B3218,Config!$B$9:$B$29,0))),""),""))</f>
        <v/>
      </c>
      <c r="AI3218" s="19" t="str">
        <f>IF($B3218="","",IFERROR(INDEX(Config!$D$9:$D$29,MATCH($B3218,Config!$B$9:$B$29,0))&amp;"",""))</f>
        <v/>
      </c>
    </row>
    <row r="3219">
      <c r="X3219" s="20" t="str">
        <f>IF($B3219="","",IFERROR(IF(INDEX(Config!$D$9:$D$29,MATCH($B3219,Config!$B$9:$B$29,0))="Contrato",IF(INDEX(Config!$E$9:$E$29,MATCH($B3219,Config!$B$9:$B$29,0))="","",INDEX(Config!$E$9:$E$29,MATCH($B3219,Config!$B$9:$B$29,0))),""),""))</f>
        <v/>
      </c>
      <c r="AI3219" s="19" t="str">
        <f>IF($B3219="","",IFERROR(INDEX(Config!$D$9:$D$29,MATCH($B3219,Config!$B$9:$B$29,0))&amp;"",""))</f>
        <v/>
      </c>
    </row>
    <row r="3220">
      <c r="X3220" s="20" t="str">
        <f>IF($B3220="","",IFERROR(IF(INDEX(Config!$D$9:$D$29,MATCH($B3220,Config!$B$9:$B$29,0))="Contrato",IF(INDEX(Config!$E$9:$E$29,MATCH($B3220,Config!$B$9:$B$29,0))="","",INDEX(Config!$E$9:$E$29,MATCH($B3220,Config!$B$9:$B$29,0))),""),""))</f>
        <v/>
      </c>
      <c r="AI3220" s="19" t="str">
        <f>IF($B3220="","",IFERROR(INDEX(Config!$D$9:$D$29,MATCH($B3220,Config!$B$9:$B$29,0))&amp;"",""))</f>
        <v/>
      </c>
    </row>
    <row r="3221">
      <c r="X3221" s="20" t="str">
        <f>IF($B3221="","",IFERROR(IF(INDEX(Config!$D$9:$D$29,MATCH($B3221,Config!$B$9:$B$29,0))="Contrato",IF(INDEX(Config!$E$9:$E$29,MATCH($B3221,Config!$B$9:$B$29,0))="","",INDEX(Config!$E$9:$E$29,MATCH($B3221,Config!$B$9:$B$29,0))),""),""))</f>
        <v/>
      </c>
      <c r="AI3221" s="19" t="str">
        <f>IF($B3221="","",IFERROR(INDEX(Config!$D$9:$D$29,MATCH($B3221,Config!$B$9:$B$29,0))&amp;"",""))</f>
        <v/>
      </c>
    </row>
    <row r="3222">
      <c r="X3222" s="20" t="str">
        <f>IF($B3222="","",IFERROR(IF(INDEX(Config!$D$9:$D$29,MATCH($B3222,Config!$B$9:$B$29,0))="Contrato",IF(INDEX(Config!$E$9:$E$29,MATCH($B3222,Config!$B$9:$B$29,0))="","",INDEX(Config!$E$9:$E$29,MATCH($B3222,Config!$B$9:$B$29,0))),""),""))</f>
        <v/>
      </c>
      <c r="AI3222" s="19" t="str">
        <f>IF($B3222="","",IFERROR(INDEX(Config!$D$9:$D$29,MATCH($B3222,Config!$B$9:$B$29,0))&amp;"",""))</f>
        <v/>
      </c>
    </row>
    <row r="3223">
      <c r="X3223" s="20" t="str">
        <f>IF($B3223="","",IFERROR(IF(INDEX(Config!$D$9:$D$29,MATCH($B3223,Config!$B$9:$B$29,0))="Contrato",IF(INDEX(Config!$E$9:$E$29,MATCH($B3223,Config!$B$9:$B$29,0))="","",INDEX(Config!$E$9:$E$29,MATCH($B3223,Config!$B$9:$B$29,0))),""),""))</f>
        <v/>
      </c>
      <c r="AI3223" s="19" t="str">
        <f>IF($B3223="","",IFERROR(INDEX(Config!$D$9:$D$29,MATCH($B3223,Config!$B$9:$B$29,0))&amp;"",""))</f>
        <v/>
      </c>
    </row>
    <row r="3224">
      <c r="X3224" s="20" t="str">
        <f>IF($B3224="","",IFERROR(IF(INDEX(Config!$D$9:$D$29,MATCH($B3224,Config!$B$9:$B$29,0))="Contrato",IF(INDEX(Config!$E$9:$E$29,MATCH($B3224,Config!$B$9:$B$29,0))="","",INDEX(Config!$E$9:$E$29,MATCH($B3224,Config!$B$9:$B$29,0))),""),""))</f>
        <v/>
      </c>
      <c r="AI3224" s="19" t="str">
        <f>IF($B3224="","",IFERROR(INDEX(Config!$D$9:$D$29,MATCH($B3224,Config!$B$9:$B$29,0))&amp;"",""))</f>
        <v/>
      </c>
    </row>
    <row r="3225">
      <c r="X3225" s="20" t="str">
        <f>IF($B3225="","",IFERROR(IF(INDEX(Config!$D$9:$D$29,MATCH($B3225,Config!$B$9:$B$29,0))="Contrato",IF(INDEX(Config!$E$9:$E$29,MATCH($B3225,Config!$B$9:$B$29,0))="","",INDEX(Config!$E$9:$E$29,MATCH($B3225,Config!$B$9:$B$29,0))),""),""))</f>
        <v/>
      </c>
      <c r="AI3225" s="19" t="str">
        <f>IF($B3225="","",IFERROR(INDEX(Config!$D$9:$D$29,MATCH($B3225,Config!$B$9:$B$29,0))&amp;"",""))</f>
        <v/>
      </c>
    </row>
    <row r="3226">
      <c r="X3226" s="20" t="str">
        <f>IF($B3226="","",IFERROR(IF(INDEX(Config!$D$9:$D$29,MATCH($B3226,Config!$B$9:$B$29,0))="Contrato",IF(INDEX(Config!$E$9:$E$29,MATCH($B3226,Config!$B$9:$B$29,0))="","",INDEX(Config!$E$9:$E$29,MATCH($B3226,Config!$B$9:$B$29,0))),""),""))</f>
        <v/>
      </c>
      <c r="AI3226" s="19" t="str">
        <f>IF($B3226="","",IFERROR(INDEX(Config!$D$9:$D$29,MATCH($B3226,Config!$B$9:$B$29,0))&amp;"",""))</f>
        <v/>
      </c>
    </row>
    <row r="3227">
      <c r="X3227" s="20" t="str">
        <f>IF($B3227="","",IFERROR(IF(INDEX(Config!$D$9:$D$29,MATCH($B3227,Config!$B$9:$B$29,0))="Contrato",IF(INDEX(Config!$E$9:$E$29,MATCH($B3227,Config!$B$9:$B$29,0))="","",INDEX(Config!$E$9:$E$29,MATCH($B3227,Config!$B$9:$B$29,0))),""),""))</f>
        <v/>
      </c>
      <c r="AI3227" s="19" t="str">
        <f>IF($B3227="","",IFERROR(INDEX(Config!$D$9:$D$29,MATCH($B3227,Config!$B$9:$B$29,0))&amp;"",""))</f>
        <v/>
      </c>
    </row>
    <row r="3228">
      <c r="X3228" s="20" t="str">
        <f>IF($B3228="","",IFERROR(IF(INDEX(Config!$D$9:$D$29,MATCH($B3228,Config!$B$9:$B$29,0))="Contrato",IF(INDEX(Config!$E$9:$E$29,MATCH($B3228,Config!$B$9:$B$29,0))="","",INDEX(Config!$E$9:$E$29,MATCH($B3228,Config!$B$9:$B$29,0))),""),""))</f>
        <v/>
      </c>
      <c r="AI3228" s="19" t="str">
        <f>IF($B3228="","",IFERROR(INDEX(Config!$D$9:$D$29,MATCH($B3228,Config!$B$9:$B$29,0))&amp;"",""))</f>
        <v/>
      </c>
    </row>
    <row r="3229">
      <c r="X3229" s="20" t="str">
        <f>IF($B3229="","",IFERROR(IF(INDEX(Config!$D$9:$D$29,MATCH($B3229,Config!$B$9:$B$29,0))="Contrato",IF(INDEX(Config!$E$9:$E$29,MATCH($B3229,Config!$B$9:$B$29,0))="","",INDEX(Config!$E$9:$E$29,MATCH($B3229,Config!$B$9:$B$29,0))),""),""))</f>
        <v/>
      </c>
      <c r="AI3229" s="19" t="str">
        <f>IF($B3229="","",IFERROR(INDEX(Config!$D$9:$D$29,MATCH($B3229,Config!$B$9:$B$29,0))&amp;"",""))</f>
        <v/>
      </c>
    </row>
    <row r="3230">
      <c r="X3230" s="20" t="str">
        <f>IF($B3230="","",IFERROR(IF(INDEX(Config!$D$9:$D$29,MATCH($B3230,Config!$B$9:$B$29,0))="Contrato",IF(INDEX(Config!$E$9:$E$29,MATCH($B3230,Config!$B$9:$B$29,0))="","",INDEX(Config!$E$9:$E$29,MATCH($B3230,Config!$B$9:$B$29,0))),""),""))</f>
        <v/>
      </c>
      <c r="AI3230" s="19" t="str">
        <f>IF($B3230="","",IFERROR(INDEX(Config!$D$9:$D$29,MATCH($B3230,Config!$B$9:$B$29,0))&amp;"",""))</f>
        <v/>
      </c>
    </row>
    <row r="3231">
      <c r="X3231" s="20" t="str">
        <f>IF($B3231="","",IFERROR(IF(INDEX(Config!$D$9:$D$29,MATCH($B3231,Config!$B$9:$B$29,0))="Contrato",IF(INDEX(Config!$E$9:$E$29,MATCH($B3231,Config!$B$9:$B$29,0))="","",INDEX(Config!$E$9:$E$29,MATCH($B3231,Config!$B$9:$B$29,0))),""),""))</f>
        <v/>
      </c>
      <c r="AI3231" s="19" t="str">
        <f>IF($B3231="","",IFERROR(INDEX(Config!$D$9:$D$29,MATCH($B3231,Config!$B$9:$B$29,0))&amp;"",""))</f>
        <v/>
      </c>
    </row>
    <row r="3232">
      <c r="X3232" s="20" t="str">
        <f>IF($B3232="","",IFERROR(IF(INDEX(Config!$D$9:$D$29,MATCH($B3232,Config!$B$9:$B$29,0))="Contrato",IF(INDEX(Config!$E$9:$E$29,MATCH($B3232,Config!$B$9:$B$29,0))="","",INDEX(Config!$E$9:$E$29,MATCH($B3232,Config!$B$9:$B$29,0))),""),""))</f>
        <v/>
      </c>
      <c r="AI3232" s="19" t="str">
        <f>IF($B3232="","",IFERROR(INDEX(Config!$D$9:$D$29,MATCH($B3232,Config!$B$9:$B$29,0))&amp;"",""))</f>
        <v/>
      </c>
    </row>
    <row r="3233">
      <c r="X3233" s="20" t="str">
        <f>IF($B3233="","",IFERROR(IF(INDEX(Config!$D$9:$D$29,MATCH($B3233,Config!$B$9:$B$29,0))="Contrato",IF(INDEX(Config!$E$9:$E$29,MATCH($B3233,Config!$B$9:$B$29,0))="","",INDEX(Config!$E$9:$E$29,MATCH($B3233,Config!$B$9:$B$29,0))),""),""))</f>
        <v/>
      </c>
      <c r="AI3233" s="19" t="str">
        <f>IF($B3233="","",IFERROR(INDEX(Config!$D$9:$D$29,MATCH($B3233,Config!$B$9:$B$29,0))&amp;"",""))</f>
        <v/>
      </c>
    </row>
    <row r="3234">
      <c r="X3234" s="20" t="str">
        <f>IF($B3234="","",IFERROR(IF(INDEX(Config!$D$9:$D$29,MATCH($B3234,Config!$B$9:$B$29,0))="Contrato",IF(INDEX(Config!$E$9:$E$29,MATCH($B3234,Config!$B$9:$B$29,0))="","",INDEX(Config!$E$9:$E$29,MATCH($B3234,Config!$B$9:$B$29,0))),""),""))</f>
        <v/>
      </c>
      <c r="AI3234" s="19" t="str">
        <f>IF($B3234="","",IFERROR(INDEX(Config!$D$9:$D$29,MATCH($B3234,Config!$B$9:$B$29,0))&amp;"",""))</f>
        <v/>
      </c>
    </row>
    <row r="3235">
      <c r="X3235" s="20" t="str">
        <f>IF($B3235="","",IFERROR(IF(INDEX(Config!$D$9:$D$29,MATCH($B3235,Config!$B$9:$B$29,0))="Contrato",IF(INDEX(Config!$E$9:$E$29,MATCH($B3235,Config!$B$9:$B$29,0))="","",INDEX(Config!$E$9:$E$29,MATCH($B3235,Config!$B$9:$B$29,0))),""),""))</f>
        <v/>
      </c>
      <c r="AI3235" s="19" t="str">
        <f>IF($B3235="","",IFERROR(INDEX(Config!$D$9:$D$29,MATCH($B3235,Config!$B$9:$B$29,0))&amp;"",""))</f>
        <v/>
      </c>
    </row>
    <row r="3236">
      <c r="X3236" s="20" t="str">
        <f>IF($B3236="","",IFERROR(IF(INDEX(Config!$D$9:$D$29,MATCH($B3236,Config!$B$9:$B$29,0))="Contrato",IF(INDEX(Config!$E$9:$E$29,MATCH($B3236,Config!$B$9:$B$29,0))="","",INDEX(Config!$E$9:$E$29,MATCH($B3236,Config!$B$9:$B$29,0))),""),""))</f>
        <v/>
      </c>
      <c r="AI3236" s="19" t="str">
        <f>IF($B3236="","",IFERROR(INDEX(Config!$D$9:$D$29,MATCH($B3236,Config!$B$9:$B$29,0))&amp;"",""))</f>
        <v/>
      </c>
    </row>
    <row r="3237">
      <c r="X3237" s="20" t="str">
        <f>IF($B3237="","",IFERROR(IF(INDEX(Config!$D$9:$D$29,MATCH($B3237,Config!$B$9:$B$29,0))="Contrato",IF(INDEX(Config!$E$9:$E$29,MATCH($B3237,Config!$B$9:$B$29,0))="","",INDEX(Config!$E$9:$E$29,MATCH($B3237,Config!$B$9:$B$29,0))),""),""))</f>
        <v/>
      </c>
      <c r="AI3237" s="19" t="str">
        <f>IF($B3237="","",IFERROR(INDEX(Config!$D$9:$D$29,MATCH($B3237,Config!$B$9:$B$29,0))&amp;"",""))</f>
        <v/>
      </c>
    </row>
    <row r="3238">
      <c r="X3238" s="20" t="str">
        <f>IF($B3238="","",IFERROR(IF(INDEX(Config!$D$9:$D$29,MATCH($B3238,Config!$B$9:$B$29,0))="Contrato",IF(INDEX(Config!$E$9:$E$29,MATCH($B3238,Config!$B$9:$B$29,0))="","",INDEX(Config!$E$9:$E$29,MATCH($B3238,Config!$B$9:$B$29,0))),""),""))</f>
        <v/>
      </c>
      <c r="AI3238" s="19" t="str">
        <f>IF($B3238="","",IFERROR(INDEX(Config!$D$9:$D$29,MATCH($B3238,Config!$B$9:$B$29,0))&amp;"",""))</f>
        <v/>
      </c>
    </row>
    <row r="3239">
      <c r="X3239" s="20" t="str">
        <f>IF($B3239="","",IFERROR(IF(INDEX(Config!$D$9:$D$29,MATCH($B3239,Config!$B$9:$B$29,0))="Contrato",IF(INDEX(Config!$E$9:$E$29,MATCH($B3239,Config!$B$9:$B$29,0))="","",INDEX(Config!$E$9:$E$29,MATCH($B3239,Config!$B$9:$B$29,0))),""),""))</f>
        <v/>
      </c>
      <c r="AI3239" s="19" t="str">
        <f>IF($B3239="","",IFERROR(INDEX(Config!$D$9:$D$29,MATCH($B3239,Config!$B$9:$B$29,0))&amp;"",""))</f>
        <v/>
      </c>
    </row>
    <row r="3240">
      <c r="X3240" s="20" t="str">
        <f>IF($B3240="","",IFERROR(IF(INDEX(Config!$D$9:$D$29,MATCH($B3240,Config!$B$9:$B$29,0))="Contrato",IF(INDEX(Config!$E$9:$E$29,MATCH($B3240,Config!$B$9:$B$29,0))="","",INDEX(Config!$E$9:$E$29,MATCH($B3240,Config!$B$9:$B$29,0))),""),""))</f>
        <v/>
      </c>
      <c r="AI3240" s="19" t="str">
        <f>IF($B3240="","",IFERROR(INDEX(Config!$D$9:$D$29,MATCH($B3240,Config!$B$9:$B$29,0))&amp;"",""))</f>
        <v/>
      </c>
    </row>
    <row r="3241">
      <c r="X3241" s="20" t="str">
        <f>IF($B3241="","",IFERROR(IF(INDEX(Config!$D$9:$D$29,MATCH($B3241,Config!$B$9:$B$29,0))="Contrato",IF(INDEX(Config!$E$9:$E$29,MATCH($B3241,Config!$B$9:$B$29,0))="","",INDEX(Config!$E$9:$E$29,MATCH($B3241,Config!$B$9:$B$29,0))),""),""))</f>
        <v/>
      </c>
      <c r="AI3241" s="19" t="str">
        <f>IF($B3241="","",IFERROR(INDEX(Config!$D$9:$D$29,MATCH($B3241,Config!$B$9:$B$29,0))&amp;"",""))</f>
        <v/>
      </c>
    </row>
    <row r="3242">
      <c r="X3242" s="20" t="str">
        <f>IF($B3242="","",IFERROR(IF(INDEX(Config!$D$9:$D$29,MATCH($B3242,Config!$B$9:$B$29,0))="Contrato",IF(INDEX(Config!$E$9:$E$29,MATCH($B3242,Config!$B$9:$B$29,0))="","",INDEX(Config!$E$9:$E$29,MATCH($B3242,Config!$B$9:$B$29,0))),""),""))</f>
        <v/>
      </c>
      <c r="AI3242" s="19" t="str">
        <f>IF($B3242="","",IFERROR(INDEX(Config!$D$9:$D$29,MATCH($B3242,Config!$B$9:$B$29,0))&amp;"",""))</f>
        <v/>
      </c>
    </row>
    <row r="3243">
      <c r="X3243" s="20" t="str">
        <f>IF($B3243="","",IFERROR(IF(INDEX(Config!$D$9:$D$29,MATCH($B3243,Config!$B$9:$B$29,0))="Contrato",IF(INDEX(Config!$E$9:$E$29,MATCH($B3243,Config!$B$9:$B$29,0))="","",INDEX(Config!$E$9:$E$29,MATCH($B3243,Config!$B$9:$B$29,0))),""),""))</f>
        <v/>
      </c>
      <c r="AI3243" s="19" t="str">
        <f>IF($B3243="","",IFERROR(INDEX(Config!$D$9:$D$29,MATCH($B3243,Config!$B$9:$B$29,0))&amp;"",""))</f>
        <v/>
      </c>
    </row>
    <row r="3244">
      <c r="X3244" s="20" t="str">
        <f>IF($B3244="","",IFERROR(IF(INDEX(Config!$D$9:$D$29,MATCH($B3244,Config!$B$9:$B$29,0))="Contrato",IF(INDEX(Config!$E$9:$E$29,MATCH($B3244,Config!$B$9:$B$29,0))="","",INDEX(Config!$E$9:$E$29,MATCH($B3244,Config!$B$9:$B$29,0))),""),""))</f>
        <v/>
      </c>
      <c r="AI3244" s="19" t="str">
        <f>IF($B3244="","",IFERROR(INDEX(Config!$D$9:$D$29,MATCH($B3244,Config!$B$9:$B$29,0))&amp;"",""))</f>
        <v/>
      </c>
    </row>
    <row r="3245">
      <c r="X3245" s="20" t="str">
        <f>IF($B3245="","",IFERROR(IF(INDEX(Config!$D$9:$D$29,MATCH($B3245,Config!$B$9:$B$29,0))="Contrato",IF(INDEX(Config!$E$9:$E$29,MATCH($B3245,Config!$B$9:$B$29,0))="","",INDEX(Config!$E$9:$E$29,MATCH($B3245,Config!$B$9:$B$29,0))),""),""))</f>
        <v/>
      </c>
      <c r="AI3245" s="19" t="str">
        <f>IF($B3245="","",IFERROR(INDEX(Config!$D$9:$D$29,MATCH($B3245,Config!$B$9:$B$29,0))&amp;"",""))</f>
        <v/>
      </c>
    </row>
    <row r="3246">
      <c r="X3246" s="20" t="str">
        <f>IF($B3246="","",IFERROR(IF(INDEX(Config!$D$9:$D$29,MATCH($B3246,Config!$B$9:$B$29,0))="Contrato",IF(INDEX(Config!$E$9:$E$29,MATCH($B3246,Config!$B$9:$B$29,0))="","",INDEX(Config!$E$9:$E$29,MATCH($B3246,Config!$B$9:$B$29,0))),""),""))</f>
        <v/>
      </c>
      <c r="AI3246" s="19" t="str">
        <f>IF($B3246="","",IFERROR(INDEX(Config!$D$9:$D$29,MATCH($B3246,Config!$B$9:$B$29,0))&amp;"",""))</f>
        <v/>
      </c>
    </row>
    <row r="3247">
      <c r="X3247" s="20" t="str">
        <f>IF($B3247="","",IFERROR(IF(INDEX(Config!$D$9:$D$29,MATCH($B3247,Config!$B$9:$B$29,0))="Contrato",IF(INDEX(Config!$E$9:$E$29,MATCH($B3247,Config!$B$9:$B$29,0))="","",INDEX(Config!$E$9:$E$29,MATCH($B3247,Config!$B$9:$B$29,0))),""),""))</f>
        <v/>
      </c>
      <c r="AI3247" s="19" t="str">
        <f>IF($B3247="","",IFERROR(INDEX(Config!$D$9:$D$29,MATCH($B3247,Config!$B$9:$B$29,0))&amp;"",""))</f>
        <v/>
      </c>
    </row>
    <row r="3248">
      <c r="X3248" s="20" t="str">
        <f>IF($B3248="","",IFERROR(IF(INDEX(Config!$D$9:$D$29,MATCH($B3248,Config!$B$9:$B$29,0))="Contrato",IF(INDEX(Config!$E$9:$E$29,MATCH($B3248,Config!$B$9:$B$29,0))="","",INDEX(Config!$E$9:$E$29,MATCH($B3248,Config!$B$9:$B$29,0))),""),""))</f>
        <v/>
      </c>
      <c r="AI3248" s="19" t="str">
        <f>IF($B3248="","",IFERROR(INDEX(Config!$D$9:$D$29,MATCH($B3248,Config!$B$9:$B$29,0))&amp;"",""))</f>
        <v/>
      </c>
    </row>
    <row r="3249">
      <c r="X3249" s="20" t="str">
        <f>IF($B3249="","",IFERROR(IF(INDEX(Config!$D$9:$D$29,MATCH($B3249,Config!$B$9:$B$29,0))="Contrato",IF(INDEX(Config!$E$9:$E$29,MATCH($B3249,Config!$B$9:$B$29,0))="","",INDEX(Config!$E$9:$E$29,MATCH($B3249,Config!$B$9:$B$29,0))),""),""))</f>
        <v/>
      </c>
      <c r="AI3249" s="19" t="str">
        <f>IF($B3249="","",IFERROR(INDEX(Config!$D$9:$D$29,MATCH($B3249,Config!$B$9:$B$29,0))&amp;"",""))</f>
        <v/>
      </c>
    </row>
    <row r="3250">
      <c r="X3250" s="20" t="str">
        <f>IF($B3250="","",IFERROR(IF(INDEX(Config!$D$9:$D$29,MATCH($B3250,Config!$B$9:$B$29,0))="Contrato",IF(INDEX(Config!$E$9:$E$29,MATCH($B3250,Config!$B$9:$B$29,0))="","",INDEX(Config!$E$9:$E$29,MATCH($B3250,Config!$B$9:$B$29,0))),""),""))</f>
        <v/>
      </c>
      <c r="AI3250" s="19" t="str">
        <f>IF($B3250="","",IFERROR(INDEX(Config!$D$9:$D$29,MATCH($B3250,Config!$B$9:$B$29,0))&amp;"",""))</f>
        <v/>
      </c>
    </row>
    <row r="3251">
      <c r="X3251" s="20" t="str">
        <f>IF($B3251="","",IFERROR(IF(INDEX(Config!$D$9:$D$29,MATCH($B3251,Config!$B$9:$B$29,0))="Contrato",IF(INDEX(Config!$E$9:$E$29,MATCH($B3251,Config!$B$9:$B$29,0))="","",INDEX(Config!$E$9:$E$29,MATCH($B3251,Config!$B$9:$B$29,0))),""),""))</f>
        <v/>
      </c>
      <c r="AI3251" s="19" t="str">
        <f>IF($B3251="","",IFERROR(INDEX(Config!$D$9:$D$29,MATCH($B3251,Config!$B$9:$B$29,0))&amp;"",""))</f>
        <v/>
      </c>
    </row>
    <row r="3252">
      <c r="X3252" s="20" t="str">
        <f>IF($B3252="","",IFERROR(IF(INDEX(Config!$D$9:$D$29,MATCH($B3252,Config!$B$9:$B$29,0))="Contrato",IF(INDEX(Config!$E$9:$E$29,MATCH($B3252,Config!$B$9:$B$29,0))="","",INDEX(Config!$E$9:$E$29,MATCH($B3252,Config!$B$9:$B$29,0))),""),""))</f>
        <v/>
      </c>
      <c r="AI3252" s="19" t="str">
        <f>IF($B3252="","",IFERROR(INDEX(Config!$D$9:$D$29,MATCH($B3252,Config!$B$9:$B$29,0))&amp;"",""))</f>
        <v/>
      </c>
    </row>
    <row r="3253">
      <c r="X3253" s="20" t="str">
        <f>IF($B3253="","",IFERROR(IF(INDEX(Config!$D$9:$D$29,MATCH($B3253,Config!$B$9:$B$29,0))="Contrato",IF(INDEX(Config!$E$9:$E$29,MATCH($B3253,Config!$B$9:$B$29,0))="","",INDEX(Config!$E$9:$E$29,MATCH($B3253,Config!$B$9:$B$29,0))),""),""))</f>
        <v/>
      </c>
      <c r="AI3253" s="19" t="str">
        <f>IF($B3253="","",IFERROR(INDEX(Config!$D$9:$D$29,MATCH($B3253,Config!$B$9:$B$29,0))&amp;"",""))</f>
        <v/>
      </c>
    </row>
    <row r="3254">
      <c r="X3254" s="20" t="str">
        <f>IF($B3254="","",IFERROR(IF(INDEX(Config!$D$9:$D$29,MATCH($B3254,Config!$B$9:$B$29,0))="Contrato",IF(INDEX(Config!$E$9:$E$29,MATCH($B3254,Config!$B$9:$B$29,0))="","",INDEX(Config!$E$9:$E$29,MATCH($B3254,Config!$B$9:$B$29,0))),""),""))</f>
        <v/>
      </c>
      <c r="AI3254" s="19" t="str">
        <f>IF($B3254="","",IFERROR(INDEX(Config!$D$9:$D$29,MATCH($B3254,Config!$B$9:$B$29,0))&amp;"",""))</f>
        <v/>
      </c>
    </row>
    <row r="3255">
      <c r="X3255" s="20" t="str">
        <f>IF($B3255="","",IFERROR(IF(INDEX(Config!$D$9:$D$29,MATCH($B3255,Config!$B$9:$B$29,0))="Contrato",IF(INDEX(Config!$E$9:$E$29,MATCH($B3255,Config!$B$9:$B$29,0))="","",INDEX(Config!$E$9:$E$29,MATCH($B3255,Config!$B$9:$B$29,0))),""),""))</f>
        <v/>
      </c>
      <c r="AI3255" s="19" t="str">
        <f>IF($B3255="","",IFERROR(INDEX(Config!$D$9:$D$29,MATCH($B3255,Config!$B$9:$B$29,0))&amp;"",""))</f>
        <v/>
      </c>
    </row>
    <row r="3256">
      <c r="X3256" s="20" t="str">
        <f>IF($B3256="","",IFERROR(IF(INDEX(Config!$D$9:$D$29,MATCH($B3256,Config!$B$9:$B$29,0))="Contrato",IF(INDEX(Config!$E$9:$E$29,MATCH($B3256,Config!$B$9:$B$29,0))="","",INDEX(Config!$E$9:$E$29,MATCH($B3256,Config!$B$9:$B$29,0))),""),""))</f>
        <v/>
      </c>
      <c r="AI3256" s="19" t="str">
        <f>IF($B3256="","",IFERROR(INDEX(Config!$D$9:$D$29,MATCH($B3256,Config!$B$9:$B$29,0))&amp;"",""))</f>
        <v/>
      </c>
    </row>
    <row r="3257">
      <c r="X3257" s="20" t="str">
        <f>IF($B3257="","",IFERROR(IF(INDEX(Config!$D$9:$D$29,MATCH($B3257,Config!$B$9:$B$29,0))="Contrato",IF(INDEX(Config!$E$9:$E$29,MATCH($B3257,Config!$B$9:$B$29,0))="","",INDEX(Config!$E$9:$E$29,MATCH($B3257,Config!$B$9:$B$29,0))),""),""))</f>
        <v/>
      </c>
      <c r="AI3257" s="19" t="str">
        <f>IF($B3257="","",IFERROR(INDEX(Config!$D$9:$D$29,MATCH($B3257,Config!$B$9:$B$29,0))&amp;"",""))</f>
        <v/>
      </c>
    </row>
    <row r="3258">
      <c r="X3258" s="20" t="str">
        <f>IF($B3258="","",IFERROR(IF(INDEX(Config!$D$9:$D$29,MATCH($B3258,Config!$B$9:$B$29,0))="Contrato",IF(INDEX(Config!$E$9:$E$29,MATCH($B3258,Config!$B$9:$B$29,0))="","",INDEX(Config!$E$9:$E$29,MATCH($B3258,Config!$B$9:$B$29,0))),""),""))</f>
        <v/>
      </c>
      <c r="AI3258" s="19" t="str">
        <f>IF($B3258="","",IFERROR(INDEX(Config!$D$9:$D$29,MATCH($B3258,Config!$B$9:$B$29,0))&amp;"",""))</f>
        <v/>
      </c>
    </row>
    <row r="3259">
      <c r="X3259" s="20" t="str">
        <f>IF($B3259="","",IFERROR(IF(INDEX(Config!$D$9:$D$29,MATCH($B3259,Config!$B$9:$B$29,0))="Contrato",IF(INDEX(Config!$E$9:$E$29,MATCH($B3259,Config!$B$9:$B$29,0))="","",INDEX(Config!$E$9:$E$29,MATCH($B3259,Config!$B$9:$B$29,0))),""),""))</f>
        <v/>
      </c>
      <c r="AI3259" s="19" t="str">
        <f>IF($B3259="","",IFERROR(INDEX(Config!$D$9:$D$29,MATCH($B3259,Config!$B$9:$B$29,0))&amp;"",""))</f>
        <v/>
      </c>
    </row>
    <row r="3260">
      <c r="X3260" s="20" t="str">
        <f>IF($B3260="","",IFERROR(IF(INDEX(Config!$D$9:$D$29,MATCH($B3260,Config!$B$9:$B$29,0))="Contrato",IF(INDEX(Config!$E$9:$E$29,MATCH($B3260,Config!$B$9:$B$29,0))="","",INDEX(Config!$E$9:$E$29,MATCH($B3260,Config!$B$9:$B$29,0))),""),""))</f>
        <v/>
      </c>
      <c r="AI3260" s="19" t="str">
        <f>IF($B3260="","",IFERROR(INDEX(Config!$D$9:$D$29,MATCH($B3260,Config!$B$9:$B$29,0))&amp;"",""))</f>
        <v/>
      </c>
    </row>
    <row r="3261">
      <c r="X3261" s="20" t="str">
        <f>IF($B3261="","",IFERROR(IF(INDEX(Config!$D$9:$D$29,MATCH($B3261,Config!$B$9:$B$29,0))="Contrato",IF(INDEX(Config!$E$9:$E$29,MATCH($B3261,Config!$B$9:$B$29,0))="","",INDEX(Config!$E$9:$E$29,MATCH($B3261,Config!$B$9:$B$29,0))),""),""))</f>
        <v/>
      </c>
      <c r="AI3261" s="19" t="str">
        <f>IF($B3261="","",IFERROR(INDEX(Config!$D$9:$D$29,MATCH($B3261,Config!$B$9:$B$29,0))&amp;"",""))</f>
        <v/>
      </c>
    </row>
    <row r="3262">
      <c r="X3262" s="20" t="str">
        <f>IF($B3262="","",IFERROR(IF(INDEX(Config!$D$9:$D$29,MATCH($B3262,Config!$B$9:$B$29,0))="Contrato",IF(INDEX(Config!$E$9:$E$29,MATCH($B3262,Config!$B$9:$B$29,0))="","",INDEX(Config!$E$9:$E$29,MATCH($B3262,Config!$B$9:$B$29,0))),""),""))</f>
        <v/>
      </c>
      <c r="AI3262" s="19" t="str">
        <f>IF($B3262="","",IFERROR(INDEX(Config!$D$9:$D$29,MATCH($B3262,Config!$B$9:$B$29,0))&amp;"",""))</f>
        <v/>
      </c>
    </row>
    <row r="3263">
      <c r="X3263" s="20" t="str">
        <f>IF($B3263="","",IFERROR(IF(INDEX(Config!$D$9:$D$29,MATCH($B3263,Config!$B$9:$B$29,0))="Contrato",IF(INDEX(Config!$E$9:$E$29,MATCH($B3263,Config!$B$9:$B$29,0))="","",INDEX(Config!$E$9:$E$29,MATCH($B3263,Config!$B$9:$B$29,0))),""),""))</f>
        <v/>
      </c>
      <c r="AI3263" s="19" t="str">
        <f>IF($B3263="","",IFERROR(INDEX(Config!$D$9:$D$29,MATCH($B3263,Config!$B$9:$B$29,0))&amp;"",""))</f>
        <v/>
      </c>
    </row>
    <row r="3264">
      <c r="X3264" s="20" t="str">
        <f>IF($B3264="","",IFERROR(IF(INDEX(Config!$D$9:$D$29,MATCH($B3264,Config!$B$9:$B$29,0))="Contrato",IF(INDEX(Config!$E$9:$E$29,MATCH($B3264,Config!$B$9:$B$29,0))="","",INDEX(Config!$E$9:$E$29,MATCH($B3264,Config!$B$9:$B$29,0))),""),""))</f>
        <v/>
      </c>
      <c r="AI3264" s="19" t="str">
        <f>IF($B3264="","",IFERROR(INDEX(Config!$D$9:$D$29,MATCH($B3264,Config!$B$9:$B$29,0))&amp;"",""))</f>
        <v/>
      </c>
    </row>
    <row r="3265">
      <c r="X3265" s="20" t="str">
        <f>IF($B3265="","",IFERROR(IF(INDEX(Config!$D$9:$D$29,MATCH($B3265,Config!$B$9:$B$29,0))="Contrato",IF(INDEX(Config!$E$9:$E$29,MATCH($B3265,Config!$B$9:$B$29,0))="","",INDEX(Config!$E$9:$E$29,MATCH($B3265,Config!$B$9:$B$29,0))),""),""))</f>
        <v/>
      </c>
      <c r="AI3265" s="19" t="str">
        <f>IF($B3265="","",IFERROR(INDEX(Config!$D$9:$D$29,MATCH($B3265,Config!$B$9:$B$29,0))&amp;"",""))</f>
        <v/>
      </c>
    </row>
    <row r="3266">
      <c r="X3266" s="20" t="str">
        <f>IF($B3266="","",IFERROR(IF(INDEX(Config!$D$9:$D$29,MATCH($B3266,Config!$B$9:$B$29,0))="Contrato",IF(INDEX(Config!$E$9:$E$29,MATCH($B3266,Config!$B$9:$B$29,0))="","",INDEX(Config!$E$9:$E$29,MATCH($B3266,Config!$B$9:$B$29,0))),""),""))</f>
        <v/>
      </c>
      <c r="AI3266" s="19" t="str">
        <f>IF($B3266="","",IFERROR(INDEX(Config!$D$9:$D$29,MATCH($B3266,Config!$B$9:$B$29,0))&amp;"",""))</f>
        <v/>
      </c>
    </row>
    <row r="3267">
      <c r="X3267" s="20" t="str">
        <f>IF($B3267="","",IFERROR(IF(INDEX(Config!$D$9:$D$29,MATCH($B3267,Config!$B$9:$B$29,0))="Contrato",IF(INDEX(Config!$E$9:$E$29,MATCH($B3267,Config!$B$9:$B$29,0))="","",INDEX(Config!$E$9:$E$29,MATCH($B3267,Config!$B$9:$B$29,0))),""),""))</f>
        <v/>
      </c>
      <c r="AI3267" s="19" t="str">
        <f>IF($B3267="","",IFERROR(INDEX(Config!$D$9:$D$29,MATCH($B3267,Config!$B$9:$B$29,0))&amp;"",""))</f>
        <v/>
      </c>
    </row>
    <row r="3268">
      <c r="X3268" s="20" t="str">
        <f>IF($B3268="","",IFERROR(IF(INDEX(Config!$D$9:$D$29,MATCH($B3268,Config!$B$9:$B$29,0))="Contrato",IF(INDEX(Config!$E$9:$E$29,MATCH($B3268,Config!$B$9:$B$29,0))="","",INDEX(Config!$E$9:$E$29,MATCH($B3268,Config!$B$9:$B$29,0))),""),""))</f>
        <v/>
      </c>
      <c r="AI3268" s="19" t="str">
        <f>IF($B3268="","",IFERROR(INDEX(Config!$D$9:$D$29,MATCH($B3268,Config!$B$9:$B$29,0))&amp;"",""))</f>
        <v/>
      </c>
    </row>
    <row r="3269">
      <c r="X3269" s="20" t="str">
        <f>IF($B3269="","",IFERROR(IF(INDEX(Config!$D$9:$D$29,MATCH($B3269,Config!$B$9:$B$29,0))="Contrato",IF(INDEX(Config!$E$9:$E$29,MATCH($B3269,Config!$B$9:$B$29,0))="","",INDEX(Config!$E$9:$E$29,MATCH($B3269,Config!$B$9:$B$29,0))),""),""))</f>
        <v/>
      </c>
      <c r="AI3269" s="19" t="str">
        <f>IF($B3269="","",IFERROR(INDEX(Config!$D$9:$D$29,MATCH($B3269,Config!$B$9:$B$29,0))&amp;"",""))</f>
        <v/>
      </c>
    </row>
    <row r="3270">
      <c r="X3270" s="20" t="str">
        <f>IF($B3270="","",IFERROR(IF(INDEX(Config!$D$9:$D$29,MATCH($B3270,Config!$B$9:$B$29,0))="Contrato",IF(INDEX(Config!$E$9:$E$29,MATCH($B3270,Config!$B$9:$B$29,0))="","",INDEX(Config!$E$9:$E$29,MATCH($B3270,Config!$B$9:$B$29,0))),""),""))</f>
        <v/>
      </c>
      <c r="AI3270" s="19" t="str">
        <f>IF($B3270="","",IFERROR(INDEX(Config!$D$9:$D$29,MATCH($B3270,Config!$B$9:$B$29,0))&amp;"",""))</f>
        <v/>
      </c>
    </row>
    <row r="3271">
      <c r="X3271" s="20" t="str">
        <f>IF($B3271="","",IFERROR(IF(INDEX(Config!$D$9:$D$29,MATCH($B3271,Config!$B$9:$B$29,0))="Contrato",IF(INDEX(Config!$E$9:$E$29,MATCH($B3271,Config!$B$9:$B$29,0))="","",INDEX(Config!$E$9:$E$29,MATCH($B3271,Config!$B$9:$B$29,0))),""),""))</f>
        <v/>
      </c>
      <c r="AI3271" s="19" t="str">
        <f>IF($B3271="","",IFERROR(INDEX(Config!$D$9:$D$29,MATCH($B3271,Config!$B$9:$B$29,0))&amp;"",""))</f>
        <v/>
      </c>
    </row>
    <row r="3272">
      <c r="X3272" s="20" t="str">
        <f>IF($B3272="","",IFERROR(IF(INDEX(Config!$D$9:$D$29,MATCH($B3272,Config!$B$9:$B$29,0))="Contrato",IF(INDEX(Config!$E$9:$E$29,MATCH($B3272,Config!$B$9:$B$29,0))="","",INDEX(Config!$E$9:$E$29,MATCH($B3272,Config!$B$9:$B$29,0))),""),""))</f>
        <v/>
      </c>
      <c r="AI3272" s="19" t="str">
        <f>IF($B3272="","",IFERROR(INDEX(Config!$D$9:$D$29,MATCH($B3272,Config!$B$9:$B$29,0))&amp;"",""))</f>
        <v/>
      </c>
    </row>
    <row r="3273">
      <c r="X3273" s="20" t="str">
        <f>IF($B3273="","",IFERROR(IF(INDEX(Config!$D$9:$D$29,MATCH($B3273,Config!$B$9:$B$29,0))="Contrato",IF(INDEX(Config!$E$9:$E$29,MATCH($B3273,Config!$B$9:$B$29,0))="","",INDEX(Config!$E$9:$E$29,MATCH($B3273,Config!$B$9:$B$29,0))),""),""))</f>
        <v/>
      </c>
      <c r="AI3273" s="19" t="str">
        <f>IF($B3273="","",IFERROR(INDEX(Config!$D$9:$D$29,MATCH($B3273,Config!$B$9:$B$29,0))&amp;"",""))</f>
        <v/>
      </c>
    </row>
    <row r="3274">
      <c r="X3274" s="20" t="str">
        <f>IF($B3274="","",IFERROR(IF(INDEX(Config!$D$9:$D$29,MATCH($B3274,Config!$B$9:$B$29,0))="Contrato",IF(INDEX(Config!$E$9:$E$29,MATCH($B3274,Config!$B$9:$B$29,0))="","",INDEX(Config!$E$9:$E$29,MATCH($B3274,Config!$B$9:$B$29,0))),""),""))</f>
        <v/>
      </c>
      <c r="AI3274" s="19" t="str">
        <f>IF($B3274="","",IFERROR(INDEX(Config!$D$9:$D$29,MATCH($B3274,Config!$B$9:$B$29,0))&amp;"",""))</f>
        <v/>
      </c>
    </row>
    <row r="3275">
      <c r="X3275" s="20" t="str">
        <f>IF($B3275="","",IFERROR(IF(INDEX(Config!$D$9:$D$29,MATCH($B3275,Config!$B$9:$B$29,0))="Contrato",IF(INDEX(Config!$E$9:$E$29,MATCH($B3275,Config!$B$9:$B$29,0))="","",INDEX(Config!$E$9:$E$29,MATCH($B3275,Config!$B$9:$B$29,0))),""),""))</f>
        <v/>
      </c>
      <c r="AI3275" s="19" t="str">
        <f>IF($B3275="","",IFERROR(INDEX(Config!$D$9:$D$29,MATCH($B3275,Config!$B$9:$B$29,0))&amp;"",""))</f>
        <v/>
      </c>
    </row>
    <row r="3276">
      <c r="X3276" s="20" t="str">
        <f>IF($B3276="","",IFERROR(IF(INDEX(Config!$D$9:$D$29,MATCH($B3276,Config!$B$9:$B$29,0))="Contrato",IF(INDEX(Config!$E$9:$E$29,MATCH($B3276,Config!$B$9:$B$29,0))="","",INDEX(Config!$E$9:$E$29,MATCH($B3276,Config!$B$9:$B$29,0))),""),""))</f>
        <v/>
      </c>
      <c r="AI3276" s="19" t="str">
        <f>IF($B3276="","",IFERROR(INDEX(Config!$D$9:$D$29,MATCH($B3276,Config!$B$9:$B$29,0))&amp;"",""))</f>
        <v/>
      </c>
    </row>
    <row r="3277">
      <c r="X3277" s="20" t="str">
        <f>IF($B3277="","",IFERROR(IF(INDEX(Config!$D$9:$D$29,MATCH($B3277,Config!$B$9:$B$29,0))="Contrato",IF(INDEX(Config!$E$9:$E$29,MATCH($B3277,Config!$B$9:$B$29,0))="","",INDEX(Config!$E$9:$E$29,MATCH($B3277,Config!$B$9:$B$29,0))),""),""))</f>
        <v/>
      </c>
      <c r="AI3277" s="19" t="str">
        <f>IF($B3277="","",IFERROR(INDEX(Config!$D$9:$D$29,MATCH($B3277,Config!$B$9:$B$29,0))&amp;"",""))</f>
        <v/>
      </c>
    </row>
    <row r="3278">
      <c r="X3278" s="20" t="str">
        <f>IF($B3278="","",IFERROR(IF(INDEX(Config!$D$9:$D$29,MATCH($B3278,Config!$B$9:$B$29,0))="Contrato",IF(INDEX(Config!$E$9:$E$29,MATCH($B3278,Config!$B$9:$B$29,0))="","",INDEX(Config!$E$9:$E$29,MATCH($B3278,Config!$B$9:$B$29,0))),""),""))</f>
        <v/>
      </c>
      <c r="AI3278" s="19" t="str">
        <f>IF($B3278="","",IFERROR(INDEX(Config!$D$9:$D$29,MATCH($B3278,Config!$B$9:$B$29,0))&amp;"",""))</f>
        <v/>
      </c>
    </row>
    <row r="3279">
      <c r="X3279" s="20" t="str">
        <f>IF($B3279="","",IFERROR(IF(INDEX(Config!$D$9:$D$29,MATCH($B3279,Config!$B$9:$B$29,0))="Contrato",IF(INDEX(Config!$E$9:$E$29,MATCH($B3279,Config!$B$9:$B$29,0))="","",INDEX(Config!$E$9:$E$29,MATCH($B3279,Config!$B$9:$B$29,0))),""),""))</f>
        <v/>
      </c>
      <c r="AI3279" s="19" t="str">
        <f>IF($B3279="","",IFERROR(INDEX(Config!$D$9:$D$29,MATCH($B3279,Config!$B$9:$B$29,0))&amp;"",""))</f>
        <v/>
      </c>
    </row>
    <row r="3280">
      <c r="X3280" s="20" t="str">
        <f>IF($B3280="","",IFERROR(IF(INDEX(Config!$D$9:$D$29,MATCH($B3280,Config!$B$9:$B$29,0))="Contrato",IF(INDEX(Config!$E$9:$E$29,MATCH($B3280,Config!$B$9:$B$29,0))="","",INDEX(Config!$E$9:$E$29,MATCH($B3280,Config!$B$9:$B$29,0))),""),""))</f>
        <v/>
      </c>
      <c r="AI3280" s="19" t="str">
        <f>IF($B3280="","",IFERROR(INDEX(Config!$D$9:$D$29,MATCH($B3280,Config!$B$9:$B$29,0))&amp;"",""))</f>
        <v/>
      </c>
    </row>
    <row r="3281">
      <c r="X3281" s="20" t="str">
        <f>IF($B3281="","",IFERROR(IF(INDEX(Config!$D$9:$D$29,MATCH($B3281,Config!$B$9:$B$29,0))="Contrato",IF(INDEX(Config!$E$9:$E$29,MATCH($B3281,Config!$B$9:$B$29,0))="","",INDEX(Config!$E$9:$E$29,MATCH($B3281,Config!$B$9:$B$29,0))),""),""))</f>
        <v/>
      </c>
      <c r="AI3281" s="19" t="str">
        <f>IF($B3281="","",IFERROR(INDEX(Config!$D$9:$D$29,MATCH($B3281,Config!$B$9:$B$29,0))&amp;"",""))</f>
        <v/>
      </c>
    </row>
    <row r="3282">
      <c r="X3282" s="20" t="str">
        <f>IF($B3282="","",IFERROR(IF(INDEX(Config!$D$9:$D$29,MATCH($B3282,Config!$B$9:$B$29,0))="Contrato",IF(INDEX(Config!$E$9:$E$29,MATCH($B3282,Config!$B$9:$B$29,0))="","",INDEX(Config!$E$9:$E$29,MATCH($B3282,Config!$B$9:$B$29,0))),""),""))</f>
        <v/>
      </c>
      <c r="AI3282" s="19" t="str">
        <f>IF($B3282="","",IFERROR(INDEX(Config!$D$9:$D$29,MATCH($B3282,Config!$B$9:$B$29,0))&amp;"",""))</f>
        <v/>
      </c>
    </row>
    <row r="3283">
      <c r="X3283" s="20" t="str">
        <f>IF($B3283="","",IFERROR(IF(INDEX(Config!$D$9:$D$29,MATCH($B3283,Config!$B$9:$B$29,0))="Contrato",IF(INDEX(Config!$E$9:$E$29,MATCH($B3283,Config!$B$9:$B$29,0))="","",INDEX(Config!$E$9:$E$29,MATCH($B3283,Config!$B$9:$B$29,0))),""),""))</f>
        <v/>
      </c>
      <c r="AI3283" s="19" t="str">
        <f>IF($B3283="","",IFERROR(INDEX(Config!$D$9:$D$29,MATCH($B3283,Config!$B$9:$B$29,0))&amp;"",""))</f>
        <v/>
      </c>
    </row>
    <row r="3284">
      <c r="X3284" s="20" t="str">
        <f>IF($B3284="","",IFERROR(IF(INDEX(Config!$D$9:$D$29,MATCH($B3284,Config!$B$9:$B$29,0))="Contrato",IF(INDEX(Config!$E$9:$E$29,MATCH($B3284,Config!$B$9:$B$29,0))="","",INDEX(Config!$E$9:$E$29,MATCH($B3284,Config!$B$9:$B$29,0))),""),""))</f>
        <v/>
      </c>
      <c r="AI3284" s="19" t="str">
        <f>IF($B3284="","",IFERROR(INDEX(Config!$D$9:$D$29,MATCH($B3284,Config!$B$9:$B$29,0))&amp;"",""))</f>
        <v/>
      </c>
    </row>
    <row r="3285">
      <c r="X3285" s="20" t="str">
        <f>IF($B3285="","",IFERROR(IF(INDEX(Config!$D$9:$D$29,MATCH($B3285,Config!$B$9:$B$29,0))="Contrato",IF(INDEX(Config!$E$9:$E$29,MATCH($B3285,Config!$B$9:$B$29,0))="","",INDEX(Config!$E$9:$E$29,MATCH($B3285,Config!$B$9:$B$29,0))),""),""))</f>
        <v/>
      </c>
      <c r="AI3285" s="19" t="str">
        <f>IF($B3285="","",IFERROR(INDEX(Config!$D$9:$D$29,MATCH($B3285,Config!$B$9:$B$29,0))&amp;"",""))</f>
        <v/>
      </c>
    </row>
    <row r="3286">
      <c r="X3286" s="20" t="str">
        <f>IF($B3286="","",IFERROR(IF(INDEX(Config!$D$9:$D$29,MATCH($B3286,Config!$B$9:$B$29,0))="Contrato",IF(INDEX(Config!$E$9:$E$29,MATCH($B3286,Config!$B$9:$B$29,0))="","",INDEX(Config!$E$9:$E$29,MATCH($B3286,Config!$B$9:$B$29,0))),""),""))</f>
        <v/>
      </c>
      <c r="AI3286" s="19" t="str">
        <f>IF($B3286="","",IFERROR(INDEX(Config!$D$9:$D$29,MATCH($B3286,Config!$B$9:$B$29,0))&amp;"",""))</f>
        <v/>
      </c>
    </row>
    <row r="3287">
      <c r="X3287" s="20" t="str">
        <f>IF($B3287="","",IFERROR(IF(INDEX(Config!$D$9:$D$29,MATCH($B3287,Config!$B$9:$B$29,0))="Contrato",IF(INDEX(Config!$E$9:$E$29,MATCH($B3287,Config!$B$9:$B$29,0))="","",INDEX(Config!$E$9:$E$29,MATCH($B3287,Config!$B$9:$B$29,0))),""),""))</f>
        <v/>
      </c>
      <c r="AI3287" s="19" t="str">
        <f>IF($B3287="","",IFERROR(INDEX(Config!$D$9:$D$29,MATCH($B3287,Config!$B$9:$B$29,0))&amp;"",""))</f>
        <v/>
      </c>
    </row>
    <row r="3288">
      <c r="X3288" s="20" t="str">
        <f>IF($B3288="","",IFERROR(IF(INDEX(Config!$D$9:$D$29,MATCH($B3288,Config!$B$9:$B$29,0))="Contrato",IF(INDEX(Config!$E$9:$E$29,MATCH($B3288,Config!$B$9:$B$29,0))="","",INDEX(Config!$E$9:$E$29,MATCH($B3288,Config!$B$9:$B$29,0))),""),""))</f>
        <v/>
      </c>
      <c r="AI3288" s="19" t="str">
        <f>IF($B3288="","",IFERROR(INDEX(Config!$D$9:$D$29,MATCH($B3288,Config!$B$9:$B$29,0))&amp;"",""))</f>
        <v/>
      </c>
    </row>
    <row r="3289">
      <c r="X3289" s="20" t="str">
        <f>IF($B3289="","",IFERROR(IF(INDEX(Config!$D$9:$D$29,MATCH($B3289,Config!$B$9:$B$29,0))="Contrato",IF(INDEX(Config!$E$9:$E$29,MATCH($B3289,Config!$B$9:$B$29,0))="","",INDEX(Config!$E$9:$E$29,MATCH($B3289,Config!$B$9:$B$29,0))),""),""))</f>
        <v/>
      </c>
      <c r="AI3289" s="19" t="str">
        <f>IF($B3289="","",IFERROR(INDEX(Config!$D$9:$D$29,MATCH($B3289,Config!$B$9:$B$29,0))&amp;"",""))</f>
        <v/>
      </c>
    </row>
    <row r="3290">
      <c r="X3290" s="20" t="str">
        <f>IF($B3290="","",IFERROR(IF(INDEX(Config!$D$9:$D$29,MATCH($B3290,Config!$B$9:$B$29,0))="Contrato",IF(INDEX(Config!$E$9:$E$29,MATCH($B3290,Config!$B$9:$B$29,0))="","",INDEX(Config!$E$9:$E$29,MATCH($B3290,Config!$B$9:$B$29,0))),""),""))</f>
        <v/>
      </c>
      <c r="AI3290" s="19" t="str">
        <f>IF($B3290="","",IFERROR(INDEX(Config!$D$9:$D$29,MATCH($B3290,Config!$B$9:$B$29,0))&amp;"",""))</f>
        <v/>
      </c>
    </row>
    <row r="3291">
      <c r="X3291" s="20" t="str">
        <f>IF($B3291="","",IFERROR(IF(INDEX(Config!$D$9:$D$29,MATCH($B3291,Config!$B$9:$B$29,0))="Contrato",IF(INDEX(Config!$E$9:$E$29,MATCH($B3291,Config!$B$9:$B$29,0))="","",INDEX(Config!$E$9:$E$29,MATCH($B3291,Config!$B$9:$B$29,0))),""),""))</f>
        <v/>
      </c>
      <c r="AI3291" s="19" t="str">
        <f>IF($B3291="","",IFERROR(INDEX(Config!$D$9:$D$29,MATCH($B3291,Config!$B$9:$B$29,0))&amp;"",""))</f>
        <v/>
      </c>
    </row>
    <row r="3292">
      <c r="X3292" s="20" t="str">
        <f>IF($B3292="","",IFERROR(IF(INDEX(Config!$D$9:$D$29,MATCH($B3292,Config!$B$9:$B$29,0))="Contrato",IF(INDEX(Config!$E$9:$E$29,MATCH($B3292,Config!$B$9:$B$29,0))="","",INDEX(Config!$E$9:$E$29,MATCH($B3292,Config!$B$9:$B$29,0))),""),""))</f>
        <v/>
      </c>
      <c r="AI3292" s="19" t="str">
        <f>IF($B3292="","",IFERROR(INDEX(Config!$D$9:$D$29,MATCH($B3292,Config!$B$9:$B$29,0))&amp;"",""))</f>
        <v/>
      </c>
    </row>
    <row r="3293">
      <c r="X3293" s="20" t="str">
        <f>IF($B3293="","",IFERROR(IF(INDEX(Config!$D$9:$D$29,MATCH($B3293,Config!$B$9:$B$29,0))="Contrato",IF(INDEX(Config!$E$9:$E$29,MATCH($B3293,Config!$B$9:$B$29,0))="","",INDEX(Config!$E$9:$E$29,MATCH($B3293,Config!$B$9:$B$29,0))),""),""))</f>
        <v/>
      </c>
      <c r="AI3293" s="19" t="str">
        <f>IF($B3293="","",IFERROR(INDEX(Config!$D$9:$D$29,MATCH($B3293,Config!$B$9:$B$29,0))&amp;"",""))</f>
        <v/>
      </c>
    </row>
    <row r="3294">
      <c r="X3294" s="20" t="str">
        <f>IF($B3294="","",IFERROR(IF(INDEX(Config!$D$9:$D$29,MATCH($B3294,Config!$B$9:$B$29,0))="Contrato",IF(INDEX(Config!$E$9:$E$29,MATCH($B3294,Config!$B$9:$B$29,0))="","",INDEX(Config!$E$9:$E$29,MATCH($B3294,Config!$B$9:$B$29,0))),""),""))</f>
        <v/>
      </c>
      <c r="AI3294" s="19" t="str">
        <f>IF($B3294="","",IFERROR(INDEX(Config!$D$9:$D$29,MATCH($B3294,Config!$B$9:$B$29,0))&amp;"",""))</f>
        <v/>
      </c>
    </row>
    <row r="3295">
      <c r="X3295" s="20" t="str">
        <f>IF($B3295="","",IFERROR(IF(INDEX(Config!$D$9:$D$29,MATCH($B3295,Config!$B$9:$B$29,0))="Contrato",IF(INDEX(Config!$E$9:$E$29,MATCH($B3295,Config!$B$9:$B$29,0))="","",INDEX(Config!$E$9:$E$29,MATCH($B3295,Config!$B$9:$B$29,0))),""),""))</f>
        <v/>
      </c>
      <c r="AI3295" s="19" t="str">
        <f>IF($B3295="","",IFERROR(INDEX(Config!$D$9:$D$29,MATCH($B3295,Config!$B$9:$B$29,0))&amp;"",""))</f>
        <v/>
      </c>
    </row>
    <row r="3296">
      <c r="X3296" s="20" t="str">
        <f>IF($B3296="","",IFERROR(IF(INDEX(Config!$D$9:$D$29,MATCH($B3296,Config!$B$9:$B$29,0))="Contrato",IF(INDEX(Config!$E$9:$E$29,MATCH($B3296,Config!$B$9:$B$29,0))="","",INDEX(Config!$E$9:$E$29,MATCH($B3296,Config!$B$9:$B$29,0))),""),""))</f>
        <v/>
      </c>
      <c r="AI3296" s="19" t="str">
        <f>IF($B3296="","",IFERROR(INDEX(Config!$D$9:$D$29,MATCH($B3296,Config!$B$9:$B$29,0))&amp;"",""))</f>
        <v/>
      </c>
    </row>
    <row r="3297">
      <c r="X3297" s="20" t="str">
        <f>IF($B3297="","",IFERROR(IF(INDEX(Config!$D$9:$D$29,MATCH($B3297,Config!$B$9:$B$29,0))="Contrato",IF(INDEX(Config!$E$9:$E$29,MATCH($B3297,Config!$B$9:$B$29,0))="","",INDEX(Config!$E$9:$E$29,MATCH($B3297,Config!$B$9:$B$29,0))),""),""))</f>
        <v/>
      </c>
      <c r="AI3297" s="19" t="str">
        <f>IF($B3297="","",IFERROR(INDEX(Config!$D$9:$D$29,MATCH($B3297,Config!$B$9:$B$29,0))&amp;"",""))</f>
        <v/>
      </c>
    </row>
    <row r="3298">
      <c r="X3298" s="20" t="str">
        <f>IF($B3298="","",IFERROR(IF(INDEX(Config!$D$9:$D$29,MATCH($B3298,Config!$B$9:$B$29,0))="Contrato",IF(INDEX(Config!$E$9:$E$29,MATCH($B3298,Config!$B$9:$B$29,0))="","",INDEX(Config!$E$9:$E$29,MATCH($B3298,Config!$B$9:$B$29,0))),""),""))</f>
        <v/>
      </c>
      <c r="AI3298" s="19" t="str">
        <f>IF($B3298="","",IFERROR(INDEX(Config!$D$9:$D$29,MATCH($B3298,Config!$B$9:$B$29,0))&amp;"",""))</f>
        <v/>
      </c>
    </row>
    <row r="3299">
      <c r="X3299" s="20" t="str">
        <f>IF($B3299="","",IFERROR(IF(INDEX(Config!$D$9:$D$29,MATCH($B3299,Config!$B$9:$B$29,0))="Contrato",IF(INDEX(Config!$E$9:$E$29,MATCH($B3299,Config!$B$9:$B$29,0))="","",INDEX(Config!$E$9:$E$29,MATCH($B3299,Config!$B$9:$B$29,0))),""),""))</f>
        <v/>
      </c>
      <c r="AI3299" s="19" t="str">
        <f>IF($B3299="","",IFERROR(INDEX(Config!$D$9:$D$29,MATCH($B3299,Config!$B$9:$B$29,0))&amp;"",""))</f>
        <v/>
      </c>
    </row>
    <row r="3300">
      <c r="X3300" s="20" t="str">
        <f>IF($B3300="","",IFERROR(IF(INDEX(Config!$D$9:$D$29,MATCH($B3300,Config!$B$9:$B$29,0))="Contrato",IF(INDEX(Config!$E$9:$E$29,MATCH($B3300,Config!$B$9:$B$29,0))="","",INDEX(Config!$E$9:$E$29,MATCH($B3300,Config!$B$9:$B$29,0))),""),""))</f>
        <v/>
      </c>
      <c r="AI3300" s="19" t="str">
        <f>IF($B3300="","",IFERROR(INDEX(Config!$D$9:$D$29,MATCH($B3300,Config!$B$9:$B$29,0))&amp;"",""))</f>
        <v/>
      </c>
    </row>
    <row r="3301">
      <c r="X3301" s="20" t="str">
        <f>IF($B3301="","",IFERROR(IF(INDEX(Config!$D$9:$D$29,MATCH($B3301,Config!$B$9:$B$29,0))="Contrato",IF(INDEX(Config!$E$9:$E$29,MATCH($B3301,Config!$B$9:$B$29,0))="","",INDEX(Config!$E$9:$E$29,MATCH($B3301,Config!$B$9:$B$29,0))),""),""))</f>
        <v/>
      </c>
      <c r="AI3301" s="19" t="str">
        <f>IF($B3301="","",IFERROR(INDEX(Config!$D$9:$D$29,MATCH($B3301,Config!$B$9:$B$29,0))&amp;"",""))</f>
        <v/>
      </c>
    </row>
    <row r="3302">
      <c r="X3302" s="20" t="str">
        <f>IF($B3302="","",IFERROR(IF(INDEX(Config!$D$9:$D$29,MATCH($B3302,Config!$B$9:$B$29,0))="Contrato",IF(INDEX(Config!$E$9:$E$29,MATCH($B3302,Config!$B$9:$B$29,0))="","",INDEX(Config!$E$9:$E$29,MATCH($B3302,Config!$B$9:$B$29,0))),""),""))</f>
        <v/>
      </c>
      <c r="AI3302" s="19" t="str">
        <f>IF($B3302="","",IFERROR(INDEX(Config!$D$9:$D$29,MATCH($B3302,Config!$B$9:$B$29,0))&amp;"",""))</f>
        <v/>
      </c>
    </row>
    <row r="3303">
      <c r="X3303" s="20" t="str">
        <f>IF($B3303="","",IFERROR(IF(INDEX(Config!$D$9:$D$29,MATCH($B3303,Config!$B$9:$B$29,0))="Contrato",IF(INDEX(Config!$E$9:$E$29,MATCH($B3303,Config!$B$9:$B$29,0))="","",INDEX(Config!$E$9:$E$29,MATCH($B3303,Config!$B$9:$B$29,0))),""),""))</f>
        <v/>
      </c>
      <c r="AI3303" s="19" t="str">
        <f>IF($B3303="","",IFERROR(INDEX(Config!$D$9:$D$29,MATCH($B3303,Config!$B$9:$B$29,0))&amp;"",""))</f>
        <v/>
      </c>
    </row>
    <row r="3304">
      <c r="X3304" s="20" t="str">
        <f>IF($B3304="","",IFERROR(IF(INDEX(Config!$D$9:$D$29,MATCH($B3304,Config!$B$9:$B$29,0))="Contrato",IF(INDEX(Config!$E$9:$E$29,MATCH($B3304,Config!$B$9:$B$29,0))="","",INDEX(Config!$E$9:$E$29,MATCH($B3304,Config!$B$9:$B$29,0))),""),""))</f>
        <v/>
      </c>
      <c r="AI3304" s="19" t="str">
        <f>IF($B3304="","",IFERROR(INDEX(Config!$D$9:$D$29,MATCH($B3304,Config!$B$9:$B$29,0))&amp;"",""))</f>
        <v/>
      </c>
    </row>
    <row r="3305">
      <c r="X3305" s="20" t="str">
        <f>IF($B3305="","",IFERROR(IF(INDEX(Config!$D$9:$D$29,MATCH($B3305,Config!$B$9:$B$29,0))="Contrato",IF(INDEX(Config!$E$9:$E$29,MATCH($B3305,Config!$B$9:$B$29,0))="","",INDEX(Config!$E$9:$E$29,MATCH($B3305,Config!$B$9:$B$29,0))),""),""))</f>
        <v/>
      </c>
      <c r="AI3305" s="19" t="str">
        <f>IF($B3305="","",IFERROR(INDEX(Config!$D$9:$D$29,MATCH($B3305,Config!$B$9:$B$29,0))&amp;"",""))</f>
        <v/>
      </c>
    </row>
    <row r="3306">
      <c r="X3306" s="20" t="str">
        <f>IF($B3306="","",IFERROR(IF(INDEX(Config!$D$9:$D$29,MATCH($B3306,Config!$B$9:$B$29,0))="Contrato",IF(INDEX(Config!$E$9:$E$29,MATCH($B3306,Config!$B$9:$B$29,0))="","",INDEX(Config!$E$9:$E$29,MATCH($B3306,Config!$B$9:$B$29,0))),""),""))</f>
        <v/>
      </c>
      <c r="AI3306" s="19" t="str">
        <f>IF($B3306="","",IFERROR(INDEX(Config!$D$9:$D$29,MATCH($B3306,Config!$B$9:$B$29,0))&amp;"",""))</f>
        <v/>
      </c>
    </row>
    <row r="3307">
      <c r="X3307" s="20" t="str">
        <f>IF($B3307="","",IFERROR(IF(INDEX(Config!$D$9:$D$29,MATCH($B3307,Config!$B$9:$B$29,0))="Contrato",IF(INDEX(Config!$E$9:$E$29,MATCH($B3307,Config!$B$9:$B$29,0))="","",INDEX(Config!$E$9:$E$29,MATCH($B3307,Config!$B$9:$B$29,0))),""),""))</f>
        <v/>
      </c>
      <c r="AI3307" s="19" t="str">
        <f>IF($B3307="","",IFERROR(INDEX(Config!$D$9:$D$29,MATCH($B3307,Config!$B$9:$B$29,0))&amp;"",""))</f>
        <v/>
      </c>
    </row>
    <row r="3308">
      <c r="X3308" s="20" t="str">
        <f>IF($B3308="","",IFERROR(IF(INDEX(Config!$D$9:$D$29,MATCH($B3308,Config!$B$9:$B$29,0))="Contrato",IF(INDEX(Config!$E$9:$E$29,MATCH($B3308,Config!$B$9:$B$29,0))="","",INDEX(Config!$E$9:$E$29,MATCH($B3308,Config!$B$9:$B$29,0))),""),""))</f>
        <v/>
      </c>
      <c r="AI3308" s="19" t="str">
        <f>IF($B3308="","",IFERROR(INDEX(Config!$D$9:$D$29,MATCH($B3308,Config!$B$9:$B$29,0))&amp;"",""))</f>
        <v/>
      </c>
    </row>
    <row r="3309">
      <c r="X3309" s="20" t="str">
        <f>IF($B3309="","",IFERROR(IF(INDEX(Config!$D$9:$D$29,MATCH($B3309,Config!$B$9:$B$29,0))="Contrato",IF(INDEX(Config!$E$9:$E$29,MATCH($B3309,Config!$B$9:$B$29,0))="","",INDEX(Config!$E$9:$E$29,MATCH($B3309,Config!$B$9:$B$29,0))),""),""))</f>
        <v/>
      </c>
      <c r="AI3309" s="19" t="str">
        <f>IF($B3309="","",IFERROR(INDEX(Config!$D$9:$D$29,MATCH($B3309,Config!$B$9:$B$29,0))&amp;"",""))</f>
        <v/>
      </c>
    </row>
    <row r="3310">
      <c r="X3310" s="20" t="str">
        <f>IF($B3310="","",IFERROR(IF(INDEX(Config!$D$9:$D$29,MATCH($B3310,Config!$B$9:$B$29,0))="Contrato",IF(INDEX(Config!$E$9:$E$29,MATCH($B3310,Config!$B$9:$B$29,0))="","",INDEX(Config!$E$9:$E$29,MATCH($B3310,Config!$B$9:$B$29,0))),""),""))</f>
        <v/>
      </c>
      <c r="AI3310" s="19" t="str">
        <f>IF($B3310="","",IFERROR(INDEX(Config!$D$9:$D$29,MATCH($B3310,Config!$B$9:$B$29,0))&amp;"",""))</f>
        <v/>
      </c>
    </row>
    <row r="3311">
      <c r="X3311" s="20" t="str">
        <f>IF($B3311="","",IFERROR(IF(INDEX(Config!$D$9:$D$29,MATCH($B3311,Config!$B$9:$B$29,0))="Contrato",IF(INDEX(Config!$E$9:$E$29,MATCH($B3311,Config!$B$9:$B$29,0))="","",INDEX(Config!$E$9:$E$29,MATCH($B3311,Config!$B$9:$B$29,0))),""),""))</f>
        <v/>
      </c>
      <c r="AI3311" s="19" t="str">
        <f>IF($B3311="","",IFERROR(INDEX(Config!$D$9:$D$29,MATCH($B3311,Config!$B$9:$B$29,0))&amp;"",""))</f>
        <v/>
      </c>
    </row>
    <row r="3312">
      <c r="X3312" s="20" t="str">
        <f>IF($B3312="","",IFERROR(IF(INDEX(Config!$D$9:$D$29,MATCH($B3312,Config!$B$9:$B$29,0))="Contrato",IF(INDEX(Config!$E$9:$E$29,MATCH($B3312,Config!$B$9:$B$29,0))="","",INDEX(Config!$E$9:$E$29,MATCH($B3312,Config!$B$9:$B$29,0))),""),""))</f>
        <v/>
      </c>
      <c r="AI3312" s="19" t="str">
        <f>IF($B3312="","",IFERROR(INDEX(Config!$D$9:$D$29,MATCH($B3312,Config!$B$9:$B$29,0))&amp;"",""))</f>
        <v/>
      </c>
    </row>
    <row r="3313">
      <c r="X3313" s="20" t="str">
        <f>IF($B3313="","",IFERROR(IF(INDEX(Config!$D$9:$D$29,MATCH($B3313,Config!$B$9:$B$29,0))="Contrato",IF(INDEX(Config!$E$9:$E$29,MATCH($B3313,Config!$B$9:$B$29,0))="","",INDEX(Config!$E$9:$E$29,MATCH($B3313,Config!$B$9:$B$29,0))),""),""))</f>
        <v/>
      </c>
      <c r="AI3313" s="19" t="str">
        <f>IF($B3313="","",IFERROR(INDEX(Config!$D$9:$D$29,MATCH($B3313,Config!$B$9:$B$29,0))&amp;"",""))</f>
        <v/>
      </c>
    </row>
    <row r="3314">
      <c r="X3314" s="20" t="str">
        <f>IF($B3314="","",IFERROR(IF(INDEX(Config!$D$9:$D$29,MATCH($B3314,Config!$B$9:$B$29,0))="Contrato",IF(INDEX(Config!$E$9:$E$29,MATCH($B3314,Config!$B$9:$B$29,0))="","",INDEX(Config!$E$9:$E$29,MATCH($B3314,Config!$B$9:$B$29,0))),""),""))</f>
        <v/>
      </c>
      <c r="AI3314" s="19" t="str">
        <f>IF($B3314="","",IFERROR(INDEX(Config!$D$9:$D$29,MATCH($B3314,Config!$B$9:$B$29,0))&amp;"",""))</f>
        <v/>
      </c>
    </row>
    <row r="3315">
      <c r="X3315" s="20" t="str">
        <f>IF($B3315="","",IFERROR(IF(INDEX(Config!$D$9:$D$29,MATCH($B3315,Config!$B$9:$B$29,0))="Contrato",IF(INDEX(Config!$E$9:$E$29,MATCH($B3315,Config!$B$9:$B$29,0))="","",INDEX(Config!$E$9:$E$29,MATCH($B3315,Config!$B$9:$B$29,0))),""),""))</f>
        <v/>
      </c>
      <c r="AI3315" s="19" t="str">
        <f>IF($B3315="","",IFERROR(INDEX(Config!$D$9:$D$29,MATCH($B3315,Config!$B$9:$B$29,0))&amp;"",""))</f>
        <v/>
      </c>
    </row>
    <row r="3316">
      <c r="X3316" s="20" t="str">
        <f>IF($B3316="","",IFERROR(IF(INDEX(Config!$D$9:$D$29,MATCH($B3316,Config!$B$9:$B$29,0))="Contrato",IF(INDEX(Config!$E$9:$E$29,MATCH($B3316,Config!$B$9:$B$29,0))="","",INDEX(Config!$E$9:$E$29,MATCH($B3316,Config!$B$9:$B$29,0))),""),""))</f>
        <v/>
      </c>
      <c r="AI3316" s="19" t="str">
        <f>IF($B3316="","",IFERROR(INDEX(Config!$D$9:$D$29,MATCH($B3316,Config!$B$9:$B$29,0))&amp;"",""))</f>
        <v/>
      </c>
    </row>
    <row r="3317">
      <c r="X3317" s="20" t="str">
        <f>IF($B3317="","",IFERROR(IF(INDEX(Config!$D$9:$D$29,MATCH($B3317,Config!$B$9:$B$29,0))="Contrato",IF(INDEX(Config!$E$9:$E$29,MATCH($B3317,Config!$B$9:$B$29,0))="","",INDEX(Config!$E$9:$E$29,MATCH($B3317,Config!$B$9:$B$29,0))),""),""))</f>
        <v/>
      </c>
      <c r="AI3317" s="19" t="str">
        <f>IF($B3317="","",IFERROR(INDEX(Config!$D$9:$D$29,MATCH($B3317,Config!$B$9:$B$29,0))&amp;"",""))</f>
        <v/>
      </c>
    </row>
    <row r="3318">
      <c r="X3318" s="20" t="str">
        <f>IF($B3318="","",IFERROR(IF(INDEX(Config!$D$9:$D$29,MATCH($B3318,Config!$B$9:$B$29,0))="Contrato",IF(INDEX(Config!$E$9:$E$29,MATCH($B3318,Config!$B$9:$B$29,0))="","",INDEX(Config!$E$9:$E$29,MATCH($B3318,Config!$B$9:$B$29,0))),""),""))</f>
        <v/>
      </c>
      <c r="AI3318" s="19" t="str">
        <f>IF($B3318="","",IFERROR(INDEX(Config!$D$9:$D$29,MATCH($B3318,Config!$B$9:$B$29,0))&amp;"",""))</f>
        <v/>
      </c>
    </row>
    <row r="3319">
      <c r="X3319" s="20" t="str">
        <f>IF($B3319="","",IFERROR(IF(INDEX(Config!$D$9:$D$29,MATCH($B3319,Config!$B$9:$B$29,0))="Contrato",IF(INDEX(Config!$E$9:$E$29,MATCH($B3319,Config!$B$9:$B$29,0))="","",INDEX(Config!$E$9:$E$29,MATCH($B3319,Config!$B$9:$B$29,0))),""),""))</f>
        <v/>
      </c>
      <c r="AI3319" s="19" t="str">
        <f>IF($B3319="","",IFERROR(INDEX(Config!$D$9:$D$29,MATCH($B3319,Config!$B$9:$B$29,0))&amp;"",""))</f>
        <v/>
      </c>
    </row>
    <row r="3320">
      <c r="X3320" s="20" t="str">
        <f>IF($B3320="","",IFERROR(IF(INDEX(Config!$D$9:$D$29,MATCH($B3320,Config!$B$9:$B$29,0))="Contrato",IF(INDEX(Config!$E$9:$E$29,MATCH($B3320,Config!$B$9:$B$29,0))="","",INDEX(Config!$E$9:$E$29,MATCH($B3320,Config!$B$9:$B$29,0))),""),""))</f>
        <v/>
      </c>
      <c r="AI3320" s="19" t="str">
        <f>IF($B3320="","",IFERROR(INDEX(Config!$D$9:$D$29,MATCH($B3320,Config!$B$9:$B$29,0))&amp;"",""))</f>
        <v/>
      </c>
    </row>
    <row r="3321">
      <c r="X3321" s="20" t="str">
        <f>IF($B3321="","",IFERROR(IF(INDEX(Config!$D$9:$D$29,MATCH($B3321,Config!$B$9:$B$29,0))="Contrato",IF(INDEX(Config!$E$9:$E$29,MATCH($B3321,Config!$B$9:$B$29,0))="","",INDEX(Config!$E$9:$E$29,MATCH($B3321,Config!$B$9:$B$29,0))),""),""))</f>
        <v/>
      </c>
      <c r="AI3321" s="19" t="str">
        <f>IF($B3321="","",IFERROR(INDEX(Config!$D$9:$D$29,MATCH($B3321,Config!$B$9:$B$29,0))&amp;"",""))</f>
        <v/>
      </c>
    </row>
    <row r="3322">
      <c r="X3322" s="20" t="str">
        <f>IF($B3322="","",IFERROR(IF(INDEX(Config!$D$9:$D$29,MATCH($B3322,Config!$B$9:$B$29,0))="Contrato",IF(INDEX(Config!$E$9:$E$29,MATCH($B3322,Config!$B$9:$B$29,0))="","",INDEX(Config!$E$9:$E$29,MATCH($B3322,Config!$B$9:$B$29,0))),""),""))</f>
        <v/>
      </c>
      <c r="AI3322" s="19" t="str">
        <f>IF($B3322="","",IFERROR(INDEX(Config!$D$9:$D$29,MATCH($B3322,Config!$B$9:$B$29,0))&amp;"",""))</f>
        <v/>
      </c>
    </row>
    <row r="3323">
      <c r="X3323" s="20" t="str">
        <f>IF($B3323="","",IFERROR(IF(INDEX(Config!$D$9:$D$29,MATCH($B3323,Config!$B$9:$B$29,0))="Contrato",IF(INDEX(Config!$E$9:$E$29,MATCH($B3323,Config!$B$9:$B$29,0))="","",INDEX(Config!$E$9:$E$29,MATCH($B3323,Config!$B$9:$B$29,0))),""),""))</f>
        <v/>
      </c>
      <c r="AI3323" s="19" t="str">
        <f>IF($B3323="","",IFERROR(INDEX(Config!$D$9:$D$29,MATCH($B3323,Config!$B$9:$B$29,0))&amp;"",""))</f>
        <v/>
      </c>
    </row>
    <row r="3324">
      <c r="X3324" s="20" t="str">
        <f>IF($B3324="","",IFERROR(IF(INDEX(Config!$D$9:$D$29,MATCH($B3324,Config!$B$9:$B$29,0))="Contrato",IF(INDEX(Config!$E$9:$E$29,MATCH($B3324,Config!$B$9:$B$29,0))="","",INDEX(Config!$E$9:$E$29,MATCH($B3324,Config!$B$9:$B$29,0))),""),""))</f>
        <v/>
      </c>
      <c r="AI3324" s="19" t="str">
        <f>IF($B3324="","",IFERROR(INDEX(Config!$D$9:$D$29,MATCH($B3324,Config!$B$9:$B$29,0))&amp;"",""))</f>
        <v/>
      </c>
    </row>
    <row r="3325">
      <c r="X3325" s="20" t="str">
        <f>IF($B3325="","",IFERROR(IF(INDEX(Config!$D$9:$D$29,MATCH($B3325,Config!$B$9:$B$29,0))="Contrato",IF(INDEX(Config!$E$9:$E$29,MATCH($B3325,Config!$B$9:$B$29,0))="","",INDEX(Config!$E$9:$E$29,MATCH($B3325,Config!$B$9:$B$29,0))),""),""))</f>
        <v/>
      </c>
      <c r="AI3325" s="19" t="str">
        <f>IF($B3325="","",IFERROR(INDEX(Config!$D$9:$D$29,MATCH($B3325,Config!$B$9:$B$29,0))&amp;"",""))</f>
        <v/>
      </c>
    </row>
    <row r="3326">
      <c r="X3326" s="20" t="str">
        <f>IF($B3326="","",IFERROR(IF(INDEX(Config!$D$9:$D$29,MATCH($B3326,Config!$B$9:$B$29,0))="Contrato",IF(INDEX(Config!$E$9:$E$29,MATCH($B3326,Config!$B$9:$B$29,0))="","",INDEX(Config!$E$9:$E$29,MATCH($B3326,Config!$B$9:$B$29,0))),""),""))</f>
        <v/>
      </c>
      <c r="AI3326" s="19" t="str">
        <f>IF($B3326="","",IFERROR(INDEX(Config!$D$9:$D$29,MATCH($B3326,Config!$B$9:$B$29,0))&amp;"",""))</f>
        <v/>
      </c>
    </row>
    <row r="3327">
      <c r="X3327" s="20" t="str">
        <f>IF($B3327="","",IFERROR(IF(INDEX(Config!$D$9:$D$29,MATCH($B3327,Config!$B$9:$B$29,0))="Contrato",IF(INDEX(Config!$E$9:$E$29,MATCH($B3327,Config!$B$9:$B$29,0))="","",INDEX(Config!$E$9:$E$29,MATCH($B3327,Config!$B$9:$B$29,0))),""),""))</f>
        <v/>
      </c>
      <c r="AI3327" s="19" t="str">
        <f>IF($B3327="","",IFERROR(INDEX(Config!$D$9:$D$29,MATCH($B3327,Config!$B$9:$B$29,0))&amp;"",""))</f>
        <v/>
      </c>
    </row>
    <row r="3328">
      <c r="X3328" s="20" t="str">
        <f>IF($B3328="","",IFERROR(IF(INDEX(Config!$D$9:$D$29,MATCH($B3328,Config!$B$9:$B$29,0))="Contrato",IF(INDEX(Config!$E$9:$E$29,MATCH($B3328,Config!$B$9:$B$29,0))="","",INDEX(Config!$E$9:$E$29,MATCH($B3328,Config!$B$9:$B$29,0))),""),""))</f>
        <v/>
      </c>
      <c r="AI3328" s="19" t="str">
        <f>IF($B3328="","",IFERROR(INDEX(Config!$D$9:$D$29,MATCH($B3328,Config!$B$9:$B$29,0))&amp;"",""))</f>
        <v/>
      </c>
    </row>
    <row r="3329">
      <c r="X3329" s="20" t="str">
        <f>IF($B3329="","",IFERROR(IF(INDEX(Config!$D$9:$D$29,MATCH($B3329,Config!$B$9:$B$29,0))="Contrato",IF(INDEX(Config!$E$9:$E$29,MATCH($B3329,Config!$B$9:$B$29,0))="","",INDEX(Config!$E$9:$E$29,MATCH($B3329,Config!$B$9:$B$29,0))),""),""))</f>
        <v/>
      </c>
      <c r="AI3329" s="19" t="str">
        <f>IF($B3329="","",IFERROR(INDEX(Config!$D$9:$D$29,MATCH($B3329,Config!$B$9:$B$29,0))&amp;"",""))</f>
        <v/>
      </c>
    </row>
    <row r="3330">
      <c r="X3330" s="20" t="str">
        <f>IF($B3330="","",IFERROR(IF(INDEX(Config!$D$9:$D$29,MATCH($B3330,Config!$B$9:$B$29,0))="Contrato",IF(INDEX(Config!$E$9:$E$29,MATCH($B3330,Config!$B$9:$B$29,0))="","",INDEX(Config!$E$9:$E$29,MATCH($B3330,Config!$B$9:$B$29,0))),""),""))</f>
        <v/>
      </c>
      <c r="AI3330" s="19" t="str">
        <f>IF($B3330="","",IFERROR(INDEX(Config!$D$9:$D$29,MATCH($B3330,Config!$B$9:$B$29,0))&amp;"",""))</f>
        <v/>
      </c>
    </row>
    <row r="3331">
      <c r="X3331" s="20" t="str">
        <f>IF($B3331="","",IFERROR(IF(INDEX(Config!$D$9:$D$29,MATCH($B3331,Config!$B$9:$B$29,0))="Contrato",IF(INDEX(Config!$E$9:$E$29,MATCH($B3331,Config!$B$9:$B$29,0))="","",INDEX(Config!$E$9:$E$29,MATCH($B3331,Config!$B$9:$B$29,0))),""),""))</f>
        <v/>
      </c>
      <c r="AI3331" s="19" t="str">
        <f>IF($B3331="","",IFERROR(INDEX(Config!$D$9:$D$29,MATCH($B3331,Config!$B$9:$B$29,0))&amp;"",""))</f>
        <v/>
      </c>
    </row>
    <row r="3332">
      <c r="X3332" s="20" t="str">
        <f>IF($B3332="","",IFERROR(IF(INDEX(Config!$D$9:$D$29,MATCH($B3332,Config!$B$9:$B$29,0))="Contrato",IF(INDEX(Config!$E$9:$E$29,MATCH($B3332,Config!$B$9:$B$29,0))="","",INDEX(Config!$E$9:$E$29,MATCH($B3332,Config!$B$9:$B$29,0))),""),""))</f>
        <v/>
      </c>
      <c r="AI3332" s="19" t="str">
        <f>IF($B3332="","",IFERROR(INDEX(Config!$D$9:$D$29,MATCH($B3332,Config!$B$9:$B$29,0))&amp;"",""))</f>
        <v/>
      </c>
    </row>
    <row r="3333">
      <c r="X3333" s="20" t="str">
        <f>IF($B3333="","",IFERROR(IF(INDEX(Config!$D$9:$D$29,MATCH($B3333,Config!$B$9:$B$29,0))="Contrato",IF(INDEX(Config!$E$9:$E$29,MATCH($B3333,Config!$B$9:$B$29,0))="","",INDEX(Config!$E$9:$E$29,MATCH($B3333,Config!$B$9:$B$29,0))),""),""))</f>
        <v/>
      </c>
      <c r="AI3333" s="19" t="str">
        <f>IF($B3333="","",IFERROR(INDEX(Config!$D$9:$D$29,MATCH($B3333,Config!$B$9:$B$29,0))&amp;"",""))</f>
        <v/>
      </c>
    </row>
    <row r="3334">
      <c r="X3334" s="20" t="str">
        <f>IF($B3334="","",IFERROR(IF(INDEX(Config!$D$9:$D$29,MATCH($B3334,Config!$B$9:$B$29,0))="Contrato",IF(INDEX(Config!$E$9:$E$29,MATCH($B3334,Config!$B$9:$B$29,0))="","",INDEX(Config!$E$9:$E$29,MATCH($B3334,Config!$B$9:$B$29,0))),""),""))</f>
        <v/>
      </c>
      <c r="AI3334" s="19" t="str">
        <f>IF($B3334="","",IFERROR(INDEX(Config!$D$9:$D$29,MATCH($B3334,Config!$B$9:$B$29,0))&amp;"",""))</f>
        <v/>
      </c>
    </row>
    <row r="3335">
      <c r="X3335" s="20" t="str">
        <f>IF($B3335="","",IFERROR(IF(INDEX(Config!$D$9:$D$29,MATCH($B3335,Config!$B$9:$B$29,0))="Contrato",IF(INDEX(Config!$E$9:$E$29,MATCH($B3335,Config!$B$9:$B$29,0))="","",INDEX(Config!$E$9:$E$29,MATCH($B3335,Config!$B$9:$B$29,0))),""),""))</f>
        <v/>
      </c>
      <c r="AI3335" s="19" t="str">
        <f>IF($B3335="","",IFERROR(INDEX(Config!$D$9:$D$29,MATCH($B3335,Config!$B$9:$B$29,0))&amp;"",""))</f>
        <v/>
      </c>
    </row>
    <row r="3336">
      <c r="X3336" s="20" t="str">
        <f>IF($B3336="","",IFERROR(IF(INDEX(Config!$D$9:$D$29,MATCH($B3336,Config!$B$9:$B$29,0))="Contrato",IF(INDEX(Config!$E$9:$E$29,MATCH($B3336,Config!$B$9:$B$29,0))="","",INDEX(Config!$E$9:$E$29,MATCH($B3336,Config!$B$9:$B$29,0))),""),""))</f>
        <v/>
      </c>
      <c r="AI3336" s="19" t="str">
        <f>IF($B3336="","",IFERROR(INDEX(Config!$D$9:$D$29,MATCH($B3336,Config!$B$9:$B$29,0))&amp;"",""))</f>
        <v/>
      </c>
    </row>
    <row r="3337">
      <c r="X3337" s="20" t="str">
        <f>IF($B3337="","",IFERROR(IF(INDEX(Config!$D$9:$D$29,MATCH($B3337,Config!$B$9:$B$29,0))="Contrato",IF(INDEX(Config!$E$9:$E$29,MATCH($B3337,Config!$B$9:$B$29,0))="","",INDEX(Config!$E$9:$E$29,MATCH($B3337,Config!$B$9:$B$29,0))),""),""))</f>
        <v/>
      </c>
      <c r="AI3337" s="19" t="str">
        <f>IF($B3337="","",IFERROR(INDEX(Config!$D$9:$D$29,MATCH($B3337,Config!$B$9:$B$29,0))&amp;"",""))</f>
        <v/>
      </c>
    </row>
    <row r="3338">
      <c r="X3338" s="20" t="str">
        <f>IF($B3338="","",IFERROR(IF(INDEX(Config!$D$9:$D$29,MATCH($B3338,Config!$B$9:$B$29,0))="Contrato",IF(INDEX(Config!$E$9:$E$29,MATCH($B3338,Config!$B$9:$B$29,0))="","",INDEX(Config!$E$9:$E$29,MATCH($B3338,Config!$B$9:$B$29,0))),""),""))</f>
        <v/>
      </c>
      <c r="AI3338" s="19" t="str">
        <f>IF($B3338="","",IFERROR(INDEX(Config!$D$9:$D$29,MATCH($B3338,Config!$B$9:$B$29,0))&amp;"",""))</f>
        <v/>
      </c>
    </row>
    <row r="3339">
      <c r="X3339" s="20" t="str">
        <f>IF($B3339="","",IFERROR(IF(INDEX(Config!$D$9:$D$29,MATCH($B3339,Config!$B$9:$B$29,0))="Contrato",IF(INDEX(Config!$E$9:$E$29,MATCH($B3339,Config!$B$9:$B$29,0))="","",INDEX(Config!$E$9:$E$29,MATCH($B3339,Config!$B$9:$B$29,0))),""),""))</f>
        <v/>
      </c>
      <c r="AI3339" s="19" t="str">
        <f>IF($B3339="","",IFERROR(INDEX(Config!$D$9:$D$29,MATCH($B3339,Config!$B$9:$B$29,0))&amp;"",""))</f>
        <v/>
      </c>
    </row>
    <row r="3340">
      <c r="X3340" s="20" t="str">
        <f>IF($B3340="","",IFERROR(IF(INDEX(Config!$D$9:$D$29,MATCH($B3340,Config!$B$9:$B$29,0))="Contrato",IF(INDEX(Config!$E$9:$E$29,MATCH($B3340,Config!$B$9:$B$29,0))="","",INDEX(Config!$E$9:$E$29,MATCH($B3340,Config!$B$9:$B$29,0))),""),""))</f>
        <v/>
      </c>
      <c r="AI3340" s="19" t="str">
        <f>IF($B3340="","",IFERROR(INDEX(Config!$D$9:$D$29,MATCH($B3340,Config!$B$9:$B$29,0))&amp;"",""))</f>
        <v/>
      </c>
    </row>
    <row r="3341">
      <c r="X3341" s="20" t="str">
        <f>IF($B3341="","",IFERROR(IF(INDEX(Config!$D$9:$D$29,MATCH($B3341,Config!$B$9:$B$29,0))="Contrato",IF(INDEX(Config!$E$9:$E$29,MATCH($B3341,Config!$B$9:$B$29,0))="","",INDEX(Config!$E$9:$E$29,MATCH($B3341,Config!$B$9:$B$29,0))),""),""))</f>
        <v/>
      </c>
      <c r="AI3341" s="19" t="str">
        <f>IF($B3341="","",IFERROR(INDEX(Config!$D$9:$D$29,MATCH($B3341,Config!$B$9:$B$29,0))&amp;"",""))</f>
        <v/>
      </c>
    </row>
    <row r="3342">
      <c r="X3342" s="20" t="str">
        <f>IF($B3342="","",IFERROR(IF(INDEX(Config!$D$9:$D$29,MATCH($B3342,Config!$B$9:$B$29,0))="Contrato",IF(INDEX(Config!$E$9:$E$29,MATCH($B3342,Config!$B$9:$B$29,0))="","",INDEX(Config!$E$9:$E$29,MATCH($B3342,Config!$B$9:$B$29,0))),""),""))</f>
        <v/>
      </c>
      <c r="AI3342" s="19" t="str">
        <f>IF($B3342="","",IFERROR(INDEX(Config!$D$9:$D$29,MATCH($B3342,Config!$B$9:$B$29,0))&amp;"",""))</f>
        <v/>
      </c>
    </row>
    <row r="3343">
      <c r="X3343" s="20" t="str">
        <f>IF($B3343="","",IFERROR(IF(INDEX(Config!$D$9:$D$29,MATCH($B3343,Config!$B$9:$B$29,0))="Contrato",IF(INDEX(Config!$E$9:$E$29,MATCH($B3343,Config!$B$9:$B$29,0))="","",INDEX(Config!$E$9:$E$29,MATCH($B3343,Config!$B$9:$B$29,0))),""),""))</f>
        <v/>
      </c>
      <c r="AI3343" s="19" t="str">
        <f>IF($B3343="","",IFERROR(INDEX(Config!$D$9:$D$29,MATCH($B3343,Config!$B$9:$B$29,0))&amp;"",""))</f>
        <v/>
      </c>
    </row>
    <row r="3344">
      <c r="X3344" s="20" t="str">
        <f>IF($B3344="","",IFERROR(IF(INDEX(Config!$D$9:$D$29,MATCH($B3344,Config!$B$9:$B$29,0))="Contrato",IF(INDEX(Config!$E$9:$E$29,MATCH($B3344,Config!$B$9:$B$29,0))="","",INDEX(Config!$E$9:$E$29,MATCH($B3344,Config!$B$9:$B$29,0))),""),""))</f>
        <v/>
      </c>
      <c r="AI3344" s="19" t="str">
        <f>IF($B3344="","",IFERROR(INDEX(Config!$D$9:$D$29,MATCH($B3344,Config!$B$9:$B$29,0))&amp;"",""))</f>
        <v/>
      </c>
    </row>
    <row r="3345">
      <c r="X3345" s="20" t="str">
        <f>IF($B3345="","",IFERROR(IF(INDEX(Config!$D$9:$D$29,MATCH($B3345,Config!$B$9:$B$29,0))="Contrato",IF(INDEX(Config!$E$9:$E$29,MATCH($B3345,Config!$B$9:$B$29,0))="","",INDEX(Config!$E$9:$E$29,MATCH($B3345,Config!$B$9:$B$29,0))),""),""))</f>
        <v/>
      </c>
      <c r="AI3345" s="19" t="str">
        <f>IF($B3345="","",IFERROR(INDEX(Config!$D$9:$D$29,MATCH($B3345,Config!$B$9:$B$29,0))&amp;"",""))</f>
        <v/>
      </c>
    </row>
    <row r="3346">
      <c r="X3346" s="20" t="str">
        <f>IF($B3346="","",IFERROR(IF(INDEX(Config!$D$9:$D$29,MATCH($B3346,Config!$B$9:$B$29,0))="Contrato",IF(INDEX(Config!$E$9:$E$29,MATCH($B3346,Config!$B$9:$B$29,0))="","",INDEX(Config!$E$9:$E$29,MATCH($B3346,Config!$B$9:$B$29,0))),""),""))</f>
        <v/>
      </c>
      <c r="AI3346" s="19" t="str">
        <f>IF($B3346="","",IFERROR(INDEX(Config!$D$9:$D$29,MATCH($B3346,Config!$B$9:$B$29,0))&amp;"",""))</f>
        <v/>
      </c>
    </row>
    <row r="3347">
      <c r="X3347" s="20" t="str">
        <f>IF($B3347="","",IFERROR(IF(INDEX(Config!$D$9:$D$29,MATCH($B3347,Config!$B$9:$B$29,0))="Contrato",IF(INDEX(Config!$E$9:$E$29,MATCH($B3347,Config!$B$9:$B$29,0))="","",INDEX(Config!$E$9:$E$29,MATCH($B3347,Config!$B$9:$B$29,0))),""),""))</f>
        <v/>
      </c>
      <c r="AI3347" s="19" t="str">
        <f>IF($B3347="","",IFERROR(INDEX(Config!$D$9:$D$29,MATCH($B3347,Config!$B$9:$B$29,0))&amp;"",""))</f>
        <v/>
      </c>
    </row>
    <row r="3348">
      <c r="X3348" s="20" t="str">
        <f>IF($B3348="","",IFERROR(IF(INDEX(Config!$D$9:$D$29,MATCH($B3348,Config!$B$9:$B$29,0))="Contrato",IF(INDEX(Config!$E$9:$E$29,MATCH($B3348,Config!$B$9:$B$29,0))="","",INDEX(Config!$E$9:$E$29,MATCH($B3348,Config!$B$9:$B$29,0))),""),""))</f>
        <v/>
      </c>
      <c r="AI3348" s="19" t="str">
        <f>IF($B3348="","",IFERROR(INDEX(Config!$D$9:$D$29,MATCH($B3348,Config!$B$9:$B$29,0))&amp;"",""))</f>
        <v/>
      </c>
    </row>
    <row r="3349">
      <c r="X3349" s="20" t="str">
        <f>IF($B3349="","",IFERROR(IF(INDEX(Config!$D$9:$D$29,MATCH($B3349,Config!$B$9:$B$29,0))="Contrato",IF(INDEX(Config!$E$9:$E$29,MATCH($B3349,Config!$B$9:$B$29,0))="","",INDEX(Config!$E$9:$E$29,MATCH($B3349,Config!$B$9:$B$29,0))),""),""))</f>
        <v/>
      </c>
      <c r="AI3349" s="19" t="str">
        <f>IF($B3349="","",IFERROR(INDEX(Config!$D$9:$D$29,MATCH($B3349,Config!$B$9:$B$29,0))&amp;"",""))</f>
        <v/>
      </c>
    </row>
    <row r="3350">
      <c r="X3350" s="20" t="str">
        <f>IF($B3350="","",IFERROR(IF(INDEX(Config!$D$9:$D$29,MATCH($B3350,Config!$B$9:$B$29,0))="Contrato",IF(INDEX(Config!$E$9:$E$29,MATCH($B3350,Config!$B$9:$B$29,0))="","",INDEX(Config!$E$9:$E$29,MATCH($B3350,Config!$B$9:$B$29,0))),""),""))</f>
        <v/>
      </c>
      <c r="AI3350" s="19" t="str">
        <f>IF($B3350="","",IFERROR(INDEX(Config!$D$9:$D$29,MATCH($B3350,Config!$B$9:$B$29,0))&amp;"",""))</f>
        <v/>
      </c>
    </row>
    <row r="3351">
      <c r="X3351" s="20" t="str">
        <f>IF($B3351="","",IFERROR(IF(INDEX(Config!$D$9:$D$29,MATCH($B3351,Config!$B$9:$B$29,0))="Contrato",IF(INDEX(Config!$E$9:$E$29,MATCH($B3351,Config!$B$9:$B$29,0))="","",INDEX(Config!$E$9:$E$29,MATCH($B3351,Config!$B$9:$B$29,0))),""),""))</f>
        <v/>
      </c>
      <c r="AI3351" s="19" t="str">
        <f>IF($B3351="","",IFERROR(INDEX(Config!$D$9:$D$29,MATCH($B3351,Config!$B$9:$B$29,0))&amp;"",""))</f>
        <v/>
      </c>
    </row>
    <row r="3352">
      <c r="X3352" s="20" t="str">
        <f>IF($B3352="","",IFERROR(IF(INDEX(Config!$D$9:$D$29,MATCH($B3352,Config!$B$9:$B$29,0))="Contrato",IF(INDEX(Config!$E$9:$E$29,MATCH($B3352,Config!$B$9:$B$29,0))="","",INDEX(Config!$E$9:$E$29,MATCH($B3352,Config!$B$9:$B$29,0))),""),""))</f>
        <v/>
      </c>
      <c r="AI3352" s="19" t="str">
        <f>IF($B3352="","",IFERROR(INDEX(Config!$D$9:$D$29,MATCH($B3352,Config!$B$9:$B$29,0))&amp;"",""))</f>
        <v/>
      </c>
    </row>
    <row r="3353">
      <c r="X3353" s="20" t="str">
        <f>IF($B3353="","",IFERROR(IF(INDEX(Config!$D$9:$D$29,MATCH($B3353,Config!$B$9:$B$29,0))="Contrato",IF(INDEX(Config!$E$9:$E$29,MATCH($B3353,Config!$B$9:$B$29,0))="","",INDEX(Config!$E$9:$E$29,MATCH($B3353,Config!$B$9:$B$29,0))),""),""))</f>
        <v/>
      </c>
      <c r="AI3353" s="19" t="str">
        <f>IF($B3353="","",IFERROR(INDEX(Config!$D$9:$D$29,MATCH($B3353,Config!$B$9:$B$29,0))&amp;"",""))</f>
        <v/>
      </c>
    </row>
    <row r="3354">
      <c r="X3354" s="20" t="str">
        <f>IF($B3354="","",IFERROR(IF(INDEX(Config!$D$9:$D$29,MATCH($B3354,Config!$B$9:$B$29,0))="Contrato",IF(INDEX(Config!$E$9:$E$29,MATCH($B3354,Config!$B$9:$B$29,0))="","",INDEX(Config!$E$9:$E$29,MATCH($B3354,Config!$B$9:$B$29,0))),""),""))</f>
        <v/>
      </c>
      <c r="AI3354" s="19" t="str">
        <f>IF($B3354="","",IFERROR(INDEX(Config!$D$9:$D$29,MATCH($B3354,Config!$B$9:$B$29,0))&amp;"",""))</f>
        <v/>
      </c>
    </row>
    <row r="3355">
      <c r="X3355" s="20" t="str">
        <f>IF($B3355="","",IFERROR(IF(INDEX(Config!$D$9:$D$29,MATCH($B3355,Config!$B$9:$B$29,0))="Contrato",IF(INDEX(Config!$E$9:$E$29,MATCH($B3355,Config!$B$9:$B$29,0))="","",INDEX(Config!$E$9:$E$29,MATCH($B3355,Config!$B$9:$B$29,0))),""),""))</f>
        <v/>
      </c>
      <c r="AI3355" s="19" t="str">
        <f>IF($B3355="","",IFERROR(INDEX(Config!$D$9:$D$29,MATCH($B3355,Config!$B$9:$B$29,0))&amp;"",""))</f>
        <v/>
      </c>
    </row>
    <row r="3356">
      <c r="X3356" s="20" t="str">
        <f>IF($B3356="","",IFERROR(IF(INDEX(Config!$D$9:$D$29,MATCH($B3356,Config!$B$9:$B$29,0))="Contrato",IF(INDEX(Config!$E$9:$E$29,MATCH($B3356,Config!$B$9:$B$29,0))="","",INDEX(Config!$E$9:$E$29,MATCH($B3356,Config!$B$9:$B$29,0))),""),""))</f>
        <v/>
      </c>
      <c r="AI3356" s="19" t="str">
        <f>IF($B3356="","",IFERROR(INDEX(Config!$D$9:$D$29,MATCH($B3356,Config!$B$9:$B$29,0))&amp;"",""))</f>
        <v/>
      </c>
    </row>
    <row r="3357">
      <c r="X3357" s="20" t="str">
        <f>IF($B3357="","",IFERROR(IF(INDEX(Config!$D$9:$D$29,MATCH($B3357,Config!$B$9:$B$29,0))="Contrato",IF(INDEX(Config!$E$9:$E$29,MATCH($B3357,Config!$B$9:$B$29,0))="","",INDEX(Config!$E$9:$E$29,MATCH($B3357,Config!$B$9:$B$29,0))),""),""))</f>
        <v/>
      </c>
      <c r="AI3357" s="19" t="str">
        <f>IF($B3357="","",IFERROR(INDEX(Config!$D$9:$D$29,MATCH($B3357,Config!$B$9:$B$29,0))&amp;"",""))</f>
        <v/>
      </c>
    </row>
    <row r="3358">
      <c r="X3358" s="20" t="str">
        <f>IF($B3358="","",IFERROR(IF(INDEX(Config!$D$9:$D$29,MATCH($B3358,Config!$B$9:$B$29,0))="Contrato",IF(INDEX(Config!$E$9:$E$29,MATCH($B3358,Config!$B$9:$B$29,0))="","",INDEX(Config!$E$9:$E$29,MATCH($B3358,Config!$B$9:$B$29,0))),""),""))</f>
        <v/>
      </c>
      <c r="AI3358" s="19" t="str">
        <f>IF($B3358="","",IFERROR(INDEX(Config!$D$9:$D$29,MATCH($B3358,Config!$B$9:$B$29,0))&amp;"",""))</f>
        <v/>
      </c>
    </row>
    <row r="3359">
      <c r="X3359" s="20" t="str">
        <f>IF($B3359="","",IFERROR(IF(INDEX(Config!$D$9:$D$29,MATCH($B3359,Config!$B$9:$B$29,0))="Contrato",IF(INDEX(Config!$E$9:$E$29,MATCH($B3359,Config!$B$9:$B$29,0))="","",INDEX(Config!$E$9:$E$29,MATCH($B3359,Config!$B$9:$B$29,0))),""),""))</f>
        <v/>
      </c>
      <c r="AI3359" s="19" t="str">
        <f>IF($B3359="","",IFERROR(INDEX(Config!$D$9:$D$29,MATCH($B3359,Config!$B$9:$B$29,0))&amp;"",""))</f>
        <v/>
      </c>
    </row>
    <row r="3360">
      <c r="X3360" s="20" t="str">
        <f>IF($B3360="","",IFERROR(IF(INDEX(Config!$D$9:$D$29,MATCH($B3360,Config!$B$9:$B$29,0))="Contrato",IF(INDEX(Config!$E$9:$E$29,MATCH($B3360,Config!$B$9:$B$29,0))="","",INDEX(Config!$E$9:$E$29,MATCH($B3360,Config!$B$9:$B$29,0))),""),""))</f>
        <v/>
      </c>
      <c r="AI3360" s="19" t="str">
        <f>IF($B3360="","",IFERROR(INDEX(Config!$D$9:$D$29,MATCH($B3360,Config!$B$9:$B$29,0))&amp;"",""))</f>
        <v/>
      </c>
    </row>
    <row r="3361">
      <c r="X3361" s="20" t="str">
        <f>IF($B3361="","",IFERROR(IF(INDEX(Config!$D$9:$D$29,MATCH($B3361,Config!$B$9:$B$29,0))="Contrato",IF(INDEX(Config!$E$9:$E$29,MATCH($B3361,Config!$B$9:$B$29,0))="","",INDEX(Config!$E$9:$E$29,MATCH($B3361,Config!$B$9:$B$29,0))),""),""))</f>
        <v/>
      </c>
      <c r="AI3361" s="19" t="str">
        <f>IF($B3361="","",IFERROR(INDEX(Config!$D$9:$D$29,MATCH($B3361,Config!$B$9:$B$29,0))&amp;"",""))</f>
        <v/>
      </c>
    </row>
    <row r="3362">
      <c r="X3362" s="20" t="str">
        <f>IF($B3362="","",IFERROR(IF(INDEX(Config!$D$9:$D$29,MATCH($B3362,Config!$B$9:$B$29,0))="Contrato",IF(INDEX(Config!$E$9:$E$29,MATCH($B3362,Config!$B$9:$B$29,0))="","",INDEX(Config!$E$9:$E$29,MATCH($B3362,Config!$B$9:$B$29,0))),""),""))</f>
        <v/>
      </c>
      <c r="AI3362" s="19" t="str">
        <f>IF($B3362="","",IFERROR(INDEX(Config!$D$9:$D$29,MATCH($B3362,Config!$B$9:$B$29,0))&amp;"",""))</f>
        <v/>
      </c>
    </row>
    <row r="3363">
      <c r="X3363" s="20" t="str">
        <f>IF($B3363="","",IFERROR(IF(INDEX(Config!$D$9:$D$29,MATCH($B3363,Config!$B$9:$B$29,0))="Contrato",IF(INDEX(Config!$E$9:$E$29,MATCH($B3363,Config!$B$9:$B$29,0))="","",INDEX(Config!$E$9:$E$29,MATCH($B3363,Config!$B$9:$B$29,0))),""),""))</f>
        <v/>
      </c>
      <c r="AI3363" s="19" t="str">
        <f>IF($B3363="","",IFERROR(INDEX(Config!$D$9:$D$29,MATCH($B3363,Config!$B$9:$B$29,0))&amp;"",""))</f>
        <v/>
      </c>
    </row>
    <row r="3364">
      <c r="X3364" s="20" t="str">
        <f>IF($B3364="","",IFERROR(IF(INDEX(Config!$D$9:$D$29,MATCH($B3364,Config!$B$9:$B$29,0))="Contrato",IF(INDEX(Config!$E$9:$E$29,MATCH($B3364,Config!$B$9:$B$29,0))="","",INDEX(Config!$E$9:$E$29,MATCH($B3364,Config!$B$9:$B$29,0))),""),""))</f>
        <v/>
      </c>
      <c r="AI3364" s="19" t="str">
        <f>IF($B3364="","",IFERROR(INDEX(Config!$D$9:$D$29,MATCH($B3364,Config!$B$9:$B$29,0))&amp;"",""))</f>
        <v/>
      </c>
    </row>
    <row r="3365">
      <c r="X3365" s="20" t="str">
        <f>IF($B3365="","",IFERROR(IF(INDEX(Config!$D$9:$D$29,MATCH($B3365,Config!$B$9:$B$29,0))="Contrato",IF(INDEX(Config!$E$9:$E$29,MATCH($B3365,Config!$B$9:$B$29,0))="","",INDEX(Config!$E$9:$E$29,MATCH($B3365,Config!$B$9:$B$29,0))),""),""))</f>
        <v/>
      </c>
      <c r="AI3365" s="19" t="str">
        <f>IF($B3365="","",IFERROR(INDEX(Config!$D$9:$D$29,MATCH($B3365,Config!$B$9:$B$29,0))&amp;"",""))</f>
        <v/>
      </c>
    </row>
    <row r="3366">
      <c r="X3366" s="20" t="str">
        <f>IF($B3366="","",IFERROR(IF(INDEX(Config!$D$9:$D$29,MATCH($B3366,Config!$B$9:$B$29,0))="Contrato",IF(INDEX(Config!$E$9:$E$29,MATCH($B3366,Config!$B$9:$B$29,0))="","",INDEX(Config!$E$9:$E$29,MATCH($B3366,Config!$B$9:$B$29,0))),""),""))</f>
        <v/>
      </c>
      <c r="AI3366" s="19" t="str">
        <f>IF($B3366="","",IFERROR(INDEX(Config!$D$9:$D$29,MATCH($B3366,Config!$B$9:$B$29,0))&amp;"",""))</f>
        <v/>
      </c>
    </row>
    <row r="3367">
      <c r="X3367" s="20" t="str">
        <f>IF($B3367="","",IFERROR(IF(INDEX(Config!$D$9:$D$29,MATCH($B3367,Config!$B$9:$B$29,0))="Contrato",IF(INDEX(Config!$E$9:$E$29,MATCH($B3367,Config!$B$9:$B$29,0))="","",INDEX(Config!$E$9:$E$29,MATCH($B3367,Config!$B$9:$B$29,0))),""),""))</f>
        <v/>
      </c>
      <c r="AI3367" s="19" t="str">
        <f>IF($B3367="","",IFERROR(INDEX(Config!$D$9:$D$29,MATCH($B3367,Config!$B$9:$B$29,0))&amp;"",""))</f>
        <v/>
      </c>
    </row>
    <row r="3368">
      <c r="X3368" s="20" t="str">
        <f>IF($B3368="","",IFERROR(IF(INDEX(Config!$D$9:$D$29,MATCH($B3368,Config!$B$9:$B$29,0))="Contrato",IF(INDEX(Config!$E$9:$E$29,MATCH($B3368,Config!$B$9:$B$29,0))="","",INDEX(Config!$E$9:$E$29,MATCH($B3368,Config!$B$9:$B$29,0))),""),""))</f>
        <v/>
      </c>
      <c r="AI3368" s="19" t="str">
        <f>IF($B3368="","",IFERROR(INDEX(Config!$D$9:$D$29,MATCH($B3368,Config!$B$9:$B$29,0))&amp;"",""))</f>
        <v/>
      </c>
    </row>
    <row r="3369">
      <c r="X3369" s="20" t="str">
        <f>IF($B3369="","",IFERROR(IF(INDEX(Config!$D$9:$D$29,MATCH($B3369,Config!$B$9:$B$29,0))="Contrato",IF(INDEX(Config!$E$9:$E$29,MATCH($B3369,Config!$B$9:$B$29,0))="","",INDEX(Config!$E$9:$E$29,MATCH($B3369,Config!$B$9:$B$29,0))),""),""))</f>
        <v/>
      </c>
      <c r="AI3369" s="19" t="str">
        <f>IF($B3369="","",IFERROR(INDEX(Config!$D$9:$D$29,MATCH($B3369,Config!$B$9:$B$29,0))&amp;"",""))</f>
        <v/>
      </c>
    </row>
    <row r="3370">
      <c r="X3370" s="20" t="str">
        <f>IF($B3370="","",IFERROR(IF(INDEX(Config!$D$9:$D$29,MATCH($B3370,Config!$B$9:$B$29,0))="Contrato",IF(INDEX(Config!$E$9:$E$29,MATCH($B3370,Config!$B$9:$B$29,0))="","",INDEX(Config!$E$9:$E$29,MATCH($B3370,Config!$B$9:$B$29,0))),""),""))</f>
        <v/>
      </c>
      <c r="AI3370" s="19" t="str">
        <f>IF($B3370="","",IFERROR(INDEX(Config!$D$9:$D$29,MATCH($B3370,Config!$B$9:$B$29,0))&amp;"",""))</f>
        <v/>
      </c>
    </row>
    <row r="3371">
      <c r="X3371" s="20" t="str">
        <f>IF($B3371="","",IFERROR(IF(INDEX(Config!$D$9:$D$29,MATCH($B3371,Config!$B$9:$B$29,0))="Contrato",IF(INDEX(Config!$E$9:$E$29,MATCH($B3371,Config!$B$9:$B$29,0))="","",INDEX(Config!$E$9:$E$29,MATCH($B3371,Config!$B$9:$B$29,0))),""),""))</f>
        <v/>
      </c>
      <c r="AI3371" s="19" t="str">
        <f>IF($B3371="","",IFERROR(INDEX(Config!$D$9:$D$29,MATCH($B3371,Config!$B$9:$B$29,0))&amp;"",""))</f>
        <v/>
      </c>
    </row>
    <row r="3372">
      <c r="X3372" s="20" t="str">
        <f>IF($B3372="","",IFERROR(IF(INDEX(Config!$D$9:$D$29,MATCH($B3372,Config!$B$9:$B$29,0))="Contrato",IF(INDEX(Config!$E$9:$E$29,MATCH($B3372,Config!$B$9:$B$29,0))="","",INDEX(Config!$E$9:$E$29,MATCH($B3372,Config!$B$9:$B$29,0))),""),""))</f>
        <v/>
      </c>
      <c r="AI3372" s="19" t="str">
        <f>IF($B3372="","",IFERROR(INDEX(Config!$D$9:$D$29,MATCH($B3372,Config!$B$9:$B$29,0))&amp;"",""))</f>
        <v/>
      </c>
    </row>
    <row r="3373">
      <c r="X3373" s="20" t="str">
        <f>IF($B3373="","",IFERROR(IF(INDEX(Config!$D$9:$D$29,MATCH($B3373,Config!$B$9:$B$29,0))="Contrato",IF(INDEX(Config!$E$9:$E$29,MATCH($B3373,Config!$B$9:$B$29,0))="","",INDEX(Config!$E$9:$E$29,MATCH($B3373,Config!$B$9:$B$29,0))),""),""))</f>
        <v/>
      </c>
      <c r="AI3373" s="19" t="str">
        <f>IF($B3373="","",IFERROR(INDEX(Config!$D$9:$D$29,MATCH($B3373,Config!$B$9:$B$29,0))&amp;"",""))</f>
        <v/>
      </c>
    </row>
    <row r="3374">
      <c r="X3374" s="20" t="str">
        <f>IF($B3374="","",IFERROR(IF(INDEX(Config!$D$9:$D$29,MATCH($B3374,Config!$B$9:$B$29,0))="Contrato",IF(INDEX(Config!$E$9:$E$29,MATCH($B3374,Config!$B$9:$B$29,0))="","",INDEX(Config!$E$9:$E$29,MATCH($B3374,Config!$B$9:$B$29,0))),""),""))</f>
        <v/>
      </c>
      <c r="AI3374" s="19" t="str">
        <f>IF($B3374="","",IFERROR(INDEX(Config!$D$9:$D$29,MATCH($B3374,Config!$B$9:$B$29,0))&amp;"",""))</f>
        <v/>
      </c>
    </row>
    <row r="3375">
      <c r="X3375" s="20" t="str">
        <f>IF($B3375="","",IFERROR(IF(INDEX(Config!$D$9:$D$29,MATCH($B3375,Config!$B$9:$B$29,0))="Contrato",IF(INDEX(Config!$E$9:$E$29,MATCH($B3375,Config!$B$9:$B$29,0))="","",INDEX(Config!$E$9:$E$29,MATCH($B3375,Config!$B$9:$B$29,0))),""),""))</f>
        <v/>
      </c>
      <c r="AI3375" s="19" t="str">
        <f>IF($B3375="","",IFERROR(INDEX(Config!$D$9:$D$29,MATCH($B3375,Config!$B$9:$B$29,0))&amp;"",""))</f>
        <v/>
      </c>
    </row>
    <row r="3376">
      <c r="X3376" s="20" t="str">
        <f>IF($B3376="","",IFERROR(IF(INDEX(Config!$D$9:$D$29,MATCH($B3376,Config!$B$9:$B$29,0))="Contrato",IF(INDEX(Config!$E$9:$E$29,MATCH($B3376,Config!$B$9:$B$29,0))="","",INDEX(Config!$E$9:$E$29,MATCH($B3376,Config!$B$9:$B$29,0))),""),""))</f>
        <v/>
      </c>
      <c r="AI3376" s="19" t="str">
        <f>IF($B3376="","",IFERROR(INDEX(Config!$D$9:$D$29,MATCH($B3376,Config!$B$9:$B$29,0))&amp;"",""))</f>
        <v/>
      </c>
    </row>
    <row r="3377">
      <c r="X3377" s="20" t="str">
        <f>IF($B3377="","",IFERROR(IF(INDEX(Config!$D$9:$D$29,MATCH($B3377,Config!$B$9:$B$29,0))="Contrato",IF(INDEX(Config!$E$9:$E$29,MATCH($B3377,Config!$B$9:$B$29,0))="","",INDEX(Config!$E$9:$E$29,MATCH($B3377,Config!$B$9:$B$29,0))),""),""))</f>
        <v/>
      </c>
      <c r="AI3377" s="19" t="str">
        <f>IF($B3377="","",IFERROR(INDEX(Config!$D$9:$D$29,MATCH($B3377,Config!$B$9:$B$29,0))&amp;"",""))</f>
        <v/>
      </c>
    </row>
    <row r="3378">
      <c r="X3378" s="20" t="str">
        <f>IF($B3378="","",IFERROR(IF(INDEX(Config!$D$9:$D$29,MATCH($B3378,Config!$B$9:$B$29,0))="Contrato",IF(INDEX(Config!$E$9:$E$29,MATCH($B3378,Config!$B$9:$B$29,0))="","",INDEX(Config!$E$9:$E$29,MATCH($B3378,Config!$B$9:$B$29,0))),""),""))</f>
        <v/>
      </c>
      <c r="AI3378" s="19" t="str">
        <f>IF($B3378="","",IFERROR(INDEX(Config!$D$9:$D$29,MATCH($B3378,Config!$B$9:$B$29,0))&amp;"",""))</f>
        <v/>
      </c>
    </row>
    <row r="3379">
      <c r="X3379" s="20" t="str">
        <f>IF($B3379="","",IFERROR(IF(INDEX(Config!$D$9:$D$29,MATCH($B3379,Config!$B$9:$B$29,0))="Contrato",IF(INDEX(Config!$E$9:$E$29,MATCH($B3379,Config!$B$9:$B$29,0))="","",INDEX(Config!$E$9:$E$29,MATCH($B3379,Config!$B$9:$B$29,0))),""),""))</f>
        <v/>
      </c>
      <c r="AI3379" s="19" t="str">
        <f>IF($B3379="","",IFERROR(INDEX(Config!$D$9:$D$29,MATCH($B3379,Config!$B$9:$B$29,0))&amp;"",""))</f>
        <v/>
      </c>
    </row>
    <row r="3380">
      <c r="X3380" s="20" t="str">
        <f>IF($B3380="","",IFERROR(IF(INDEX(Config!$D$9:$D$29,MATCH($B3380,Config!$B$9:$B$29,0))="Contrato",IF(INDEX(Config!$E$9:$E$29,MATCH($B3380,Config!$B$9:$B$29,0))="","",INDEX(Config!$E$9:$E$29,MATCH($B3380,Config!$B$9:$B$29,0))),""),""))</f>
        <v/>
      </c>
      <c r="AI3380" s="19" t="str">
        <f>IF($B3380="","",IFERROR(INDEX(Config!$D$9:$D$29,MATCH($B3380,Config!$B$9:$B$29,0))&amp;"",""))</f>
        <v/>
      </c>
    </row>
    <row r="3381">
      <c r="X3381" s="20" t="str">
        <f>IF($B3381="","",IFERROR(IF(INDEX(Config!$D$9:$D$29,MATCH($B3381,Config!$B$9:$B$29,0))="Contrato",IF(INDEX(Config!$E$9:$E$29,MATCH($B3381,Config!$B$9:$B$29,0))="","",INDEX(Config!$E$9:$E$29,MATCH($B3381,Config!$B$9:$B$29,0))),""),""))</f>
        <v/>
      </c>
      <c r="AI3381" s="19" t="str">
        <f>IF($B3381="","",IFERROR(INDEX(Config!$D$9:$D$29,MATCH($B3381,Config!$B$9:$B$29,0))&amp;"",""))</f>
        <v/>
      </c>
    </row>
    <row r="3382">
      <c r="X3382" s="20" t="str">
        <f>IF($B3382="","",IFERROR(IF(INDEX(Config!$D$9:$D$29,MATCH($B3382,Config!$B$9:$B$29,0))="Contrato",IF(INDEX(Config!$E$9:$E$29,MATCH($B3382,Config!$B$9:$B$29,0))="","",INDEX(Config!$E$9:$E$29,MATCH($B3382,Config!$B$9:$B$29,0))),""),""))</f>
        <v/>
      </c>
      <c r="AI3382" s="19" t="str">
        <f>IF($B3382="","",IFERROR(INDEX(Config!$D$9:$D$29,MATCH($B3382,Config!$B$9:$B$29,0))&amp;"",""))</f>
        <v/>
      </c>
    </row>
    <row r="3383">
      <c r="X3383" s="20" t="str">
        <f>IF($B3383="","",IFERROR(IF(INDEX(Config!$D$9:$D$29,MATCH($B3383,Config!$B$9:$B$29,0))="Contrato",IF(INDEX(Config!$E$9:$E$29,MATCH($B3383,Config!$B$9:$B$29,0))="","",INDEX(Config!$E$9:$E$29,MATCH($B3383,Config!$B$9:$B$29,0))),""),""))</f>
        <v/>
      </c>
      <c r="AI3383" s="19" t="str">
        <f>IF($B3383="","",IFERROR(INDEX(Config!$D$9:$D$29,MATCH($B3383,Config!$B$9:$B$29,0))&amp;"",""))</f>
        <v/>
      </c>
    </row>
    <row r="3384">
      <c r="X3384" s="20" t="str">
        <f>IF($B3384="","",IFERROR(IF(INDEX(Config!$D$9:$D$29,MATCH($B3384,Config!$B$9:$B$29,0))="Contrato",IF(INDEX(Config!$E$9:$E$29,MATCH($B3384,Config!$B$9:$B$29,0))="","",INDEX(Config!$E$9:$E$29,MATCH($B3384,Config!$B$9:$B$29,0))),""),""))</f>
        <v/>
      </c>
      <c r="AI3384" s="19" t="str">
        <f>IF($B3384="","",IFERROR(INDEX(Config!$D$9:$D$29,MATCH($B3384,Config!$B$9:$B$29,0))&amp;"",""))</f>
        <v/>
      </c>
    </row>
    <row r="3385">
      <c r="X3385" s="20" t="str">
        <f>IF($B3385="","",IFERROR(IF(INDEX(Config!$D$9:$D$29,MATCH($B3385,Config!$B$9:$B$29,0))="Contrato",IF(INDEX(Config!$E$9:$E$29,MATCH($B3385,Config!$B$9:$B$29,0))="","",INDEX(Config!$E$9:$E$29,MATCH($B3385,Config!$B$9:$B$29,0))),""),""))</f>
        <v/>
      </c>
      <c r="AI3385" s="19" t="str">
        <f>IF($B3385="","",IFERROR(INDEX(Config!$D$9:$D$29,MATCH($B3385,Config!$B$9:$B$29,0))&amp;"",""))</f>
        <v/>
      </c>
    </row>
    <row r="3386">
      <c r="X3386" s="20" t="str">
        <f>IF($B3386="","",IFERROR(IF(INDEX(Config!$D$9:$D$29,MATCH($B3386,Config!$B$9:$B$29,0))="Contrato",IF(INDEX(Config!$E$9:$E$29,MATCH($B3386,Config!$B$9:$B$29,0))="","",INDEX(Config!$E$9:$E$29,MATCH($B3386,Config!$B$9:$B$29,0))),""),""))</f>
        <v/>
      </c>
      <c r="AI3386" s="19" t="str">
        <f>IF($B3386="","",IFERROR(INDEX(Config!$D$9:$D$29,MATCH($B3386,Config!$B$9:$B$29,0))&amp;"",""))</f>
        <v/>
      </c>
    </row>
    <row r="3387">
      <c r="X3387" s="20" t="str">
        <f>IF($B3387="","",IFERROR(IF(INDEX(Config!$D$9:$D$29,MATCH($B3387,Config!$B$9:$B$29,0))="Contrato",IF(INDEX(Config!$E$9:$E$29,MATCH($B3387,Config!$B$9:$B$29,0))="","",INDEX(Config!$E$9:$E$29,MATCH($B3387,Config!$B$9:$B$29,0))),""),""))</f>
        <v/>
      </c>
      <c r="AI3387" s="19" t="str">
        <f>IF($B3387="","",IFERROR(INDEX(Config!$D$9:$D$29,MATCH($B3387,Config!$B$9:$B$29,0))&amp;"",""))</f>
        <v/>
      </c>
    </row>
    <row r="3388">
      <c r="X3388" s="20" t="str">
        <f>IF($B3388="","",IFERROR(IF(INDEX(Config!$D$9:$D$29,MATCH($B3388,Config!$B$9:$B$29,0))="Contrato",IF(INDEX(Config!$E$9:$E$29,MATCH($B3388,Config!$B$9:$B$29,0))="","",INDEX(Config!$E$9:$E$29,MATCH($B3388,Config!$B$9:$B$29,0))),""),""))</f>
        <v/>
      </c>
      <c r="AI3388" s="19" t="str">
        <f>IF($B3388="","",IFERROR(INDEX(Config!$D$9:$D$29,MATCH($B3388,Config!$B$9:$B$29,0))&amp;"",""))</f>
        <v/>
      </c>
    </row>
    <row r="3389">
      <c r="X3389" s="20" t="str">
        <f>IF($B3389="","",IFERROR(IF(INDEX(Config!$D$9:$D$29,MATCH($B3389,Config!$B$9:$B$29,0))="Contrato",IF(INDEX(Config!$E$9:$E$29,MATCH($B3389,Config!$B$9:$B$29,0))="","",INDEX(Config!$E$9:$E$29,MATCH($B3389,Config!$B$9:$B$29,0))),""),""))</f>
        <v/>
      </c>
      <c r="AI3389" s="19" t="str">
        <f>IF($B3389="","",IFERROR(INDEX(Config!$D$9:$D$29,MATCH($B3389,Config!$B$9:$B$29,0))&amp;"",""))</f>
        <v/>
      </c>
    </row>
    <row r="3390">
      <c r="X3390" s="20" t="str">
        <f>IF($B3390="","",IFERROR(IF(INDEX(Config!$D$9:$D$29,MATCH($B3390,Config!$B$9:$B$29,0))="Contrato",IF(INDEX(Config!$E$9:$E$29,MATCH($B3390,Config!$B$9:$B$29,0))="","",INDEX(Config!$E$9:$E$29,MATCH($B3390,Config!$B$9:$B$29,0))),""),""))</f>
        <v/>
      </c>
      <c r="AI3390" s="19" t="str">
        <f>IF($B3390="","",IFERROR(INDEX(Config!$D$9:$D$29,MATCH($B3390,Config!$B$9:$B$29,0))&amp;"",""))</f>
        <v/>
      </c>
    </row>
    <row r="3391">
      <c r="X3391" s="20" t="str">
        <f>IF($B3391="","",IFERROR(IF(INDEX(Config!$D$9:$D$29,MATCH($B3391,Config!$B$9:$B$29,0))="Contrato",IF(INDEX(Config!$E$9:$E$29,MATCH($B3391,Config!$B$9:$B$29,0))="","",INDEX(Config!$E$9:$E$29,MATCH($B3391,Config!$B$9:$B$29,0))),""),""))</f>
        <v/>
      </c>
      <c r="AI3391" s="19" t="str">
        <f>IF($B3391="","",IFERROR(INDEX(Config!$D$9:$D$29,MATCH($B3391,Config!$B$9:$B$29,0))&amp;"",""))</f>
        <v/>
      </c>
    </row>
    <row r="3392">
      <c r="X3392" s="20" t="str">
        <f>IF($B3392="","",IFERROR(IF(INDEX(Config!$D$9:$D$29,MATCH($B3392,Config!$B$9:$B$29,0))="Contrato",IF(INDEX(Config!$E$9:$E$29,MATCH($B3392,Config!$B$9:$B$29,0))="","",INDEX(Config!$E$9:$E$29,MATCH($B3392,Config!$B$9:$B$29,0))),""),""))</f>
        <v/>
      </c>
      <c r="AI3392" s="19" t="str">
        <f>IF($B3392="","",IFERROR(INDEX(Config!$D$9:$D$29,MATCH($B3392,Config!$B$9:$B$29,0))&amp;"",""))</f>
        <v/>
      </c>
    </row>
    <row r="3393">
      <c r="X3393" s="20" t="str">
        <f>IF($B3393="","",IFERROR(IF(INDEX(Config!$D$9:$D$29,MATCH($B3393,Config!$B$9:$B$29,0))="Contrato",IF(INDEX(Config!$E$9:$E$29,MATCH($B3393,Config!$B$9:$B$29,0))="","",INDEX(Config!$E$9:$E$29,MATCH($B3393,Config!$B$9:$B$29,0))),""),""))</f>
        <v/>
      </c>
      <c r="AI3393" s="19" t="str">
        <f>IF($B3393="","",IFERROR(INDEX(Config!$D$9:$D$29,MATCH($B3393,Config!$B$9:$B$29,0))&amp;"",""))</f>
        <v/>
      </c>
    </row>
    <row r="3394">
      <c r="X3394" s="20" t="str">
        <f>IF($B3394="","",IFERROR(IF(INDEX(Config!$D$9:$D$29,MATCH($B3394,Config!$B$9:$B$29,0))="Contrato",IF(INDEX(Config!$E$9:$E$29,MATCH($B3394,Config!$B$9:$B$29,0))="","",INDEX(Config!$E$9:$E$29,MATCH($B3394,Config!$B$9:$B$29,0))),""),""))</f>
        <v/>
      </c>
      <c r="AI3394" s="19" t="str">
        <f>IF($B3394="","",IFERROR(INDEX(Config!$D$9:$D$29,MATCH($B3394,Config!$B$9:$B$29,0))&amp;"",""))</f>
        <v/>
      </c>
    </row>
    <row r="3395">
      <c r="X3395" s="20" t="str">
        <f>IF($B3395="","",IFERROR(IF(INDEX(Config!$D$9:$D$29,MATCH($B3395,Config!$B$9:$B$29,0))="Contrato",IF(INDEX(Config!$E$9:$E$29,MATCH($B3395,Config!$B$9:$B$29,0))="","",INDEX(Config!$E$9:$E$29,MATCH($B3395,Config!$B$9:$B$29,0))),""),""))</f>
        <v/>
      </c>
      <c r="AI3395" s="19" t="str">
        <f>IF($B3395="","",IFERROR(INDEX(Config!$D$9:$D$29,MATCH($B3395,Config!$B$9:$B$29,0))&amp;"",""))</f>
        <v/>
      </c>
    </row>
    <row r="3396">
      <c r="X3396" s="20" t="str">
        <f>IF($B3396="","",IFERROR(IF(INDEX(Config!$D$9:$D$29,MATCH($B3396,Config!$B$9:$B$29,0))="Contrato",IF(INDEX(Config!$E$9:$E$29,MATCH($B3396,Config!$B$9:$B$29,0))="","",INDEX(Config!$E$9:$E$29,MATCH($B3396,Config!$B$9:$B$29,0))),""),""))</f>
        <v/>
      </c>
      <c r="AI3396" s="19" t="str">
        <f>IF($B3396="","",IFERROR(INDEX(Config!$D$9:$D$29,MATCH($B3396,Config!$B$9:$B$29,0))&amp;"",""))</f>
        <v/>
      </c>
    </row>
    <row r="3397">
      <c r="X3397" s="20" t="str">
        <f>IF($B3397="","",IFERROR(IF(INDEX(Config!$D$9:$D$29,MATCH($B3397,Config!$B$9:$B$29,0))="Contrato",IF(INDEX(Config!$E$9:$E$29,MATCH($B3397,Config!$B$9:$B$29,0))="","",INDEX(Config!$E$9:$E$29,MATCH($B3397,Config!$B$9:$B$29,0))),""),""))</f>
        <v/>
      </c>
      <c r="AI3397" s="19" t="str">
        <f>IF($B3397="","",IFERROR(INDEX(Config!$D$9:$D$29,MATCH($B3397,Config!$B$9:$B$29,0))&amp;"",""))</f>
        <v/>
      </c>
    </row>
    <row r="3398">
      <c r="X3398" s="20" t="str">
        <f>IF($B3398="","",IFERROR(IF(INDEX(Config!$D$9:$D$29,MATCH($B3398,Config!$B$9:$B$29,0))="Contrato",IF(INDEX(Config!$E$9:$E$29,MATCH($B3398,Config!$B$9:$B$29,0))="","",INDEX(Config!$E$9:$E$29,MATCH($B3398,Config!$B$9:$B$29,0))),""),""))</f>
        <v/>
      </c>
      <c r="AI3398" s="19" t="str">
        <f>IF($B3398="","",IFERROR(INDEX(Config!$D$9:$D$29,MATCH($B3398,Config!$B$9:$B$29,0))&amp;"",""))</f>
        <v/>
      </c>
    </row>
    <row r="3399">
      <c r="X3399" s="20" t="str">
        <f>IF($B3399="","",IFERROR(IF(INDEX(Config!$D$9:$D$29,MATCH($B3399,Config!$B$9:$B$29,0))="Contrato",IF(INDEX(Config!$E$9:$E$29,MATCH($B3399,Config!$B$9:$B$29,0))="","",INDEX(Config!$E$9:$E$29,MATCH($B3399,Config!$B$9:$B$29,0))),""),""))</f>
        <v/>
      </c>
      <c r="AI3399" s="19" t="str">
        <f>IF($B3399="","",IFERROR(INDEX(Config!$D$9:$D$29,MATCH($B3399,Config!$B$9:$B$29,0))&amp;"",""))</f>
        <v/>
      </c>
    </row>
    <row r="3400">
      <c r="X3400" s="20" t="str">
        <f>IF($B3400="","",IFERROR(IF(INDEX(Config!$D$9:$D$29,MATCH($B3400,Config!$B$9:$B$29,0))="Contrato",IF(INDEX(Config!$E$9:$E$29,MATCH($B3400,Config!$B$9:$B$29,0))="","",INDEX(Config!$E$9:$E$29,MATCH($B3400,Config!$B$9:$B$29,0))),""),""))</f>
        <v/>
      </c>
      <c r="AI3400" s="19" t="str">
        <f>IF($B3400="","",IFERROR(INDEX(Config!$D$9:$D$29,MATCH($B3400,Config!$B$9:$B$29,0))&amp;"",""))</f>
        <v/>
      </c>
    </row>
    <row r="3401">
      <c r="X3401" s="20" t="str">
        <f>IF($B3401="","",IFERROR(IF(INDEX(Config!$D$9:$D$29,MATCH($B3401,Config!$B$9:$B$29,0))="Contrato",IF(INDEX(Config!$E$9:$E$29,MATCH($B3401,Config!$B$9:$B$29,0))="","",INDEX(Config!$E$9:$E$29,MATCH($B3401,Config!$B$9:$B$29,0))),""),""))</f>
        <v/>
      </c>
      <c r="AI3401" s="19" t="str">
        <f>IF($B3401="","",IFERROR(INDEX(Config!$D$9:$D$29,MATCH($B3401,Config!$B$9:$B$29,0))&amp;"",""))</f>
        <v/>
      </c>
    </row>
    <row r="3402">
      <c r="X3402" s="20" t="str">
        <f>IF($B3402="","",IFERROR(IF(INDEX(Config!$D$9:$D$29,MATCH($B3402,Config!$B$9:$B$29,0))="Contrato",IF(INDEX(Config!$E$9:$E$29,MATCH($B3402,Config!$B$9:$B$29,0))="","",INDEX(Config!$E$9:$E$29,MATCH($B3402,Config!$B$9:$B$29,0))),""),""))</f>
        <v/>
      </c>
      <c r="AI3402" s="19" t="str">
        <f>IF($B3402="","",IFERROR(INDEX(Config!$D$9:$D$29,MATCH($B3402,Config!$B$9:$B$29,0))&amp;"",""))</f>
        <v/>
      </c>
    </row>
    <row r="3403">
      <c r="X3403" s="20" t="str">
        <f>IF($B3403="","",IFERROR(IF(INDEX(Config!$D$9:$D$29,MATCH($B3403,Config!$B$9:$B$29,0))="Contrato",IF(INDEX(Config!$E$9:$E$29,MATCH($B3403,Config!$B$9:$B$29,0))="","",INDEX(Config!$E$9:$E$29,MATCH($B3403,Config!$B$9:$B$29,0))),""),""))</f>
        <v/>
      </c>
      <c r="AI3403" s="19" t="str">
        <f>IF($B3403="","",IFERROR(INDEX(Config!$D$9:$D$29,MATCH($B3403,Config!$B$9:$B$29,0))&amp;"",""))</f>
        <v/>
      </c>
    </row>
    <row r="3404">
      <c r="X3404" s="20" t="str">
        <f>IF($B3404="","",IFERROR(IF(INDEX(Config!$D$9:$D$29,MATCH($B3404,Config!$B$9:$B$29,0))="Contrato",IF(INDEX(Config!$E$9:$E$29,MATCH($B3404,Config!$B$9:$B$29,0))="","",INDEX(Config!$E$9:$E$29,MATCH($B3404,Config!$B$9:$B$29,0))),""),""))</f>
        <v/>
      </c>
      <c r="AI3404" s="19" t="str">
        <f>IF($B3404="","",IFERROR(INDEX(Config!$D$9:$D$29,MATCH($B3404,Config!$B$9:$B$29,0))&amp;"",""))</f>
        <v/>
      </c>
    </row>
    <row r="3405">
      <c r="X3405" s="20" t="str">
        <f>IF($B3405="","",IFERROR(IF(INDEX(Config!$D$9:$D$29,MATCH($B3405,Config!$B$9:$B$29,0))="Contrato",IF(INDEX(Config!$E$9:$E$29,MATCH($B3405,Config!$B$9:$B$29,0))="","",INDEX(Config!$E$9:$E$29,MATCH($B3405,Config!$B$9:$B$29,0))),""),""))</f>
        <v/>
      </c>
      <c r="AI3405" s="19" t="str">
        <f>IF($B3405="","",IFERROR(INDEX(Config!$D$9:$D$29,MATCH($B3405,Config!$B$9:$B$29,0))&amp;"",""))</f>
        <v/>
      </c>
    </row>
    <row r="3406">
      <c r="X3406" s="20" t="str">
        <f>IF($B3406="","",IFERROR(IF(INDEX(Config!$D$9:$D$29,MATCH($B3406,Config!$B$9:$B$29,0))="Contrato",IF(INDEX(Config!$E$9:$E$29,MATCH($B3406,Config!$B$9:$B$29,0))="","",INDEX(Config!$E$9:$E$29,MATCH($B3406,Config!$B$9:$B$29,0))),""),""))</f>
        <v/>
      </c>
      <c r="AI3406" s="19" t="str">
        <f>IF($B3406="","",IFERROR(INDEX(Config!$D$9:$D$29,MATCH($B3406,Config!$B$9:$B$29,0))&amp;"",""))</f>
        <v/>
      </c>
    </row>
    <row r="3407">
      <c r="X3407" s="20" t="str">
        <f>IF($B3407="","",IFERROR(IF(INDEX(Config!$D$9:$D$29,MATCH($B3407,Config!$B$9:$B$29,0))="Contrato",IF(INDEX(Config!$E$9:$E$29,MATCH($B3407,Config!$B$9:$B$29,0))="","",INDEX(Config!$E$9:$E$29,MATCH($B3407,Config!$B$9:$B$29,0))),""),""))</f>
        <v/>
      </c>
      <c r="AI3407" s="19" t="str">
        <f>IF($B3407="","",IFERROR(INDEX(Config!$D$9:$D$29,MATCH($B3407,Config!$B$9:$B$29,0))&amp;"",""))</f>
        <v/>
      </c>
    </row>
    <row r="3408">
      <c r="X3408" s="20" t="str">
        <f>IF($B3408="","",IFERROR(IF(INDEX(Config!$D$9:$D$29,MATCH($B3408,Config!$B$9:$B$29,0))="Contrato",IF(INDEX(Config!$E$9:$E$29,MATCH($B3408,Config!$B$9:$B$29,0))="","",INDEX(Config!$E$9:$E$29,MATCH($B3408,Config!$B$9:$B$29,0))),""),""))</f>
        <v/>
      </c>
      <c r="AI3408" s="19" t="str">
        <f>IF($B3408="","",IFERROR(INDEX(Config!$D$9:$D$29,MATCH($B3408,Config!$B$9:$B$29,0))&amp;"",""))</f>
        <v/>
      </c>
    </row>
    <row r="3409">
      <c r="X3409" s="20" t="str">
        <f>IF($B3409="","",IFERROR(IF(INDEX(Config!$D$9:$D$29,MATCH($B3409,Config!$B$9:$B$29,0))="Contrato",IF(INDEX(Config!$E$9:$E$29,MATCH($B3409,Config!$B$9:$B$29,0))="","",INDEX(Config!$E$9:$E$29,MATCH($B3409,Config!$B$9:$B$29,0))),""),""))</f>
        <v/>
      </c>
      <c r="AI3409" s="19" t="str">
        <f>IF($B3409="","",IFERROR(INDEX(Config!$D$9:$D$29,MATCH($B3409,Config!$B$9:$B$29,0))&amp;"",""))</f>
        <v/>
      </c>
    </row>
    <row r="3410">
      <c r="X3410" s="20" t="str">
        <f>IF($B3410="","",IFERROR(IF(INDEX(Config!$D$9:$D$29,MATCH($B3410,Config!$B$9:$B$29,0))="Contrato",IF(INDEX(Config!$E$9:$E$29,MATCH($B3410,Config!$B$9:$B$29,0))="","",INDEX(Config!$E$9:$E$29,MATCH($B3410,Config!$B$9:$B$29,0))),""),""))</f>
        <v/>
      </c>
      <c r="AI3410" s="19" t="str">
        <f>IF($B3410="","",IFERROR(INDEX(Config!$D$9:$D$29,MATCH($B3410,Config!$B$9:$B$29,0))&amp;"",""))</f>
        <v/>
      </c>
    </row>
    <row r="3411">
      <c r="X3411" s="20" t="str">
        <f>IF($B3411="","",IFERROR(IF(INDEX(Config!$D$9:$D$29,MATCH($B3411,Config!$B$9:$B$29,0))="Contrato",IF(INDEX(Config!$E$9:$E$29,MATCH($B3411,Config!$B$9:$B$29,0))="","",INDEX(Config!$E$9:$E$29,MATCH($B3411,Config!$B$9:$B$29,0))),""),""))</f>
        <v/>
      </c>
      <c r="AI3411" s="19" t="str">
        <f>IF($B3411="","",IFERROR(INDEX(Config!$D$9:$D$29,MATCH($B3411,Config!$B$9:$B$29,0))&amp;"",""))</f>
        <v/>
      </c>
    </row>
    <row r="3412">
      <c r="X3412" s="20" t="str">
        <f>IF($B3412="","",IFERROR(IF(INDEX(Config!$D$9:$D$29,MATCH($B3412,Config!$B$9:$B$29,0))="Contrato",IF(INDEX(Config!$E$9:$E$29,MATCH($B3412,Config!$B$9:$B$29,0))="","",INDEX(Config!$E$9:$E$29,MATCH($B3412,Config!$B$9:$B$29,0))),""),""))</f>
        <v/>
      </c>
      <c r="AI3412" s="19" t="str">
        <f>IF($B3412="","",IFERROR(INDEX(Config!$D$9:$D$29,MATCH($B3412,Config!$B$9:$B$29,0))&amp;"",""))</f>
        <v/>
      </c>
    </row>
    <row r="3413">
      <c r="X3413" s="20" t="str">
        <f>IF($B3413="","",IFERROR(IF(INDEX(Config!$D$9:$D$29,MATCH($B3413,Config!$B$9:$B$29,0))="Contrato",IF(INDEX(Config!$E$9:$E$29,MATCH($B3413,Config!$B$9:$B$29,0))="","",INDEX(Config!$E$9:$E$29,MATCH($B3413,Config!$B$9:$B$29,0))),""),""))</f>
        <v/>
      </c>
      <c r="AI3413" s="19" t="str">
        <f>IF($B3413="","",IFERROR(INDEX(Config!$D$9:$D$29,MATCH($B3413,Config!$B$9:$B$29,0))&amp;"",""))</f>
        <v/>
      </c>
    </row>
    <row r="3414">
      <c r="X3414" s="20" t="str">
        <f>IF($B3414="","",IFERROR(IF(INDEX(Config!$D$9:$D$29,MATCH($B3414,Config!$B$9:$B$29,0))="Contrato",IF(INDEX(Config!$E$9:$E$29,MATCH($B3414,Config!$B$9:$B$29,0))="","",INDEX(Config!$E$9:$E$29,MATCH($B3414,Config!$B$9:$B$29,0))),""),""))</f>
        <v/>
      </c>
      <c r="AI3414" s="19" t="str">
        <f>IF($B3414="","",IFERROR(INDEX(Config!$D$9:$D$29,MATCH($B3414,Config!$B$9:$B$29,0))&amp;"",""))</f>
        <v/>
      </c>
    </row>
    <row r="3415">
      <c r="X3415" s="20" t="str">
        <f>IF($B3415="","",IFERROR(IF(INDEX(Config!$D$9:$D$29,MATCH($B3415,Config!$B$9:$B$29,0))="Contrato",IF(INDEX(Config!$E$9:$E$29,MATCH($B3415,Config!$B$9:$B$29,0))="","",INDEX(Config!$E$9:$E$29,MATCH($B3415,Config!$B$9:$B$29,0))),""),""))</f>
        <v/>
      </c>
      <c r="AI3415" s="19" t="str">
        <f>IF($B3415="","",IFERROR(INDEX(Config!$D$9:$D$29,MATCH($B3415,Config!$B$9:$B$29,0))&amp;"",""))</f>
        <v/>
      </c>
    </row>
    <row r="3416">
      <c r="X3416" s="20" t="str">
        <f>IF($B3416="","",IFERROR(IF(INDEX(Config!$D$9:$D$29,MATCH($B3416,Config!$B$9:$B$29,0))="Contrato",IF(INDEX(Config!$E$9:$E$29,MATCH($B3416,Config!$B$9:$B$29,0))="","",INDEX(Config!$E$9:$E$29,MATCH($B3416,Config!$B$9:$B$29,0))),""),""))</f>
        <v/>
      </c>
      <c r="AI3416" s="19" t="str">
        <f>IF($B3416="","",IFERROR(INDEX(Config!$D$9:$D$29,MATCH($B3416,Config!$B$9:$B$29,0))&amp;"",""))</f>
        <v/>
      </c>
    </row>
    <row r="3417">
      <c r="X3417" s="20" t="str">
        <f>IF($B3417="","",IFERROR(IF(INDEX(Config!$D$9:$D$29,MATCH($B3417,Config!$B$9:$B$29,0))="Contrato",IF(INDEX(Config!$E$9:$E$29,MATCH($B3417,Config!$B$9:$B$29,0))="","",INDEX(Config!$E$9:$E$29,MATCH($B3417,Config!$B$9:$B$29,0))),""),""))</f>
        <v/>
      </c>
      <c r="AI3417" s="19" t="str">
        <f>IF($B3417="","",IFERROR(INDEX(Config!$D$9:$D$29,MATCH($B3417,Config!$B$9:$B$29,0))&amp;"",""))</f>
        <v/>
      </c>
    </row>
    <row r="3418">
      <c r="X3418" s="20" t="str">
        <f>IF($B3418="","",IFERROR(IF(INDEX(Config!$D$9:$D$29,MATCH($B3418,Config!$B$9:$B$29,0))="Contrato",IF(INDEX(Config!$E$9:$E$29,MATCH($B3418,Config!$B$9:$B$29,0))="","",INDEX(Config!$E$9:$E$29,MATCH($B3418,Config!$B$9:$B$29,0))),""),""))</f>
        <v/>
      </c>
      <c r="AI3418" s="19" t="str">
        <f>IF($B3418="","",IFERROR(INDEX(Config!$D$9:$D$29,MATCH($B3418,Config!$B$9:$B$29,0))&amp;"",""))</f>
        <v/>
      </c>
    </row>
    <row r="3419">
      <c r="X3419" s="20" t="str">
        <f>IF($B3419="","",IFERROR(IF(INDEX(Config!$D$9:$D$29,MATCH($B3419,Config!$B$9:$B$29,0))="Contrato",IF(INDEX(Config!$E$9:$E$29,MATCH($B3419,Config!$B$9:$B$29,0))="","",INDEX(Config!$E$9:$E$29,MATCH($B3419,Config!$B$9:$B$29,0))),""),""))</f>
        <v/>
      </c>
      <c r="AI3419" s="19" t="str">
        <f>IF($B3419="","",IFERROR(INDEX(Config!$D$9:$D$29,MATCH($B3419,Config!$B$9:$B$29,0))&amp;"",""))</f>
        <v/>
      </c>
    </row>
    <row r="3420">
      <c r="X3420" s="20" t="str">
        <f>IF($B3420="","",IFERROR(IF(INDEX(Config!$D$9:$D$29,MATCH($B3420,Config!$B$9:$B$29,0))="Contrato",IF(INDEX(Config!$E$9:$E$29,MATCH($B3420,Config!$B$9:$B$29,0))="","",INDEX(Config!$E$9:$E$29,MATCH($B3420,Config!$B$9:$B$29,0))),""),""))</f>
        <v/>
      </c>
      <c r="AI3420" s="19" t="str">
        <f>IF($B3420="","",IFERROR(INDEX(Config!$D$9:$D$29,MATCH($B3420,Config!$B$9:$B$29,0))&amp;"",""))</f>
        <v/>
      </c>
    </row>
    <row r="3421">
      <c r="X3421" s="20" t="str">
        <f>IF($B3421="","",IFERROR(IF(INDEX(Config!$D$9:$D$29,MATCH($B3421,Config!$B$9:$B$29,0))="Contrato",IF(INDEX(Config!$E$9:$E$29,MATCH($B3421,Config!$B$9:$B$29,0))="","",INDEX(Config!$E$9:$E$29,MATCH($B3421,Config!$B$9:$B$29,0))),""),""))</f>
        <v/>
      </c>
      <c r="AI3421" s="19" t="str">
        <f>IF($B3421="","",IFERROR(INDEX(Config!$D$9:$D$29,MATCH($B3421,Config!$B$9:$B$29,0))&amp;"",""))</f>
        <v/>
      </c>
    </row>
    <row r="3422">
      <c r="X3422" s="20" t="str">
        <f>IF($B3422="","",IFERROR(IF(INDEX(Config!$D$9:$D$29,MATCH($B3422,Config!$B$9:$B$29,0))="Contrato",IF(INDEX(Config!$E$9:$E$29,MATCH($B3422,Config!$B$9:$B$29,0))="","",INDEX(Config!$E$9:$E$29,MATCH($B3422,Config!$B$9:$B$29,0))),""),""))</f>
        <v/>
      </c>
      <c r="AI3422" s="19" t="str">
        <f>IF($B3422="","",IFERROR(INDEX(Config!$D$9:$D$29,MATCH($B3422,Config!$B$9:$B$29,0))&amp;"",""))</f>
        <v/>
      </c>
    </row>
    <row r="3423">
      <c r="X3423" s="20" t="str">
        <f>IF($B3423="","",IFERROR(IF(INDEX(Config!$D$9:$D$29,MATCH($B3423,Config!$B$9:$B$29,0))="Contrato",IF(INDEX(Config!$E$9:$E$29,MATCH($B3423,Config!$B$9:$B$29,0))="","",INDEX(Config!$E$9:$E$29,MATCH($B3423,Config!$B$9:$B$29,0))),""),""))</f>
        <v/>
      </c>
      <c r="AI3423" s="19" t="str">
        <f>IF($B3423="","",IFERROR(INDEX(Config!$D$9:$D$29,MATCH($B3423,Config!$B$9:$B$29,0))&amp;"",""))</f>
        <v/>
      </c>
    </row>
    <row r="3424">
      <c r="X3424" s="20" t="str">
        <f>IF($B3424="","",IFERROR(IF(INDEX(Config!$D$9:$D$29,MATCH($B3424,Config!$B$9:$B$29,0))="Contrato",IF(INDEX(Config!$E$9:$E$29,MATCH($B3424,Config!$B$9:$B$29,0))="","",INDEX(Config!$E$9:$E$29,MATCH($B3424,Config!$B$9:$B$29,0))),""),""))</f>
        <v/>
      </c>
      <c r="AI3424" s="19" t="str">
        <f>IF($B3424="","",IFERROR(INDEX(Config!$D$9:$D$29,MATCH($B3424,Config!$B$9:$B$29,0))&amp;"",""))</f>
        <v/>
      </c>
    </row>
    <row r="3425">
      <c r="X3425" s="20" t="str">
        <f>IF($B3425="","",IFERROR(IF(INDEX(Config!$D$9:$D$29,MATCH($B3425,Config!$B$9:$B$29,0))="Contrato",IF(INDEX(Config!$E$9:$E$29,MATCH($B3425,Config!$B$9:$B$29,0))="","",INDEX(Config!$E$9:$E$29,MATCH($B3425,Config!$B$9:$B$29,0))),""),""))</f>
        <v/>
      </c>
      <c r="AI3425" s="19" t="str">
        <f>IF($B3425="","",IFERROR(INDEX(Config!$D$9:$D$29,MATCH($B3425,Config!$B$9:$B$29,0))&amp;"",""))</f>
        <v/>
      </c>
    </row>
    <row r="3426">
      <c r="X3426" s="20" t="str">
        <f>IF($B3426="","",IFERROR(IF(INDEX(Config!$D$9:$D$29,MATCH($B3426,Config!$B$9:$B$29,0))="Contrato",IF(INDEX(Config!$E$9:$E$29,MATCH($B3426,Config!$B$9:$B$29,0))="","",INDEX(Config!$E$9:$E$29,MATCH($B3426,Config!$B$9:$B$29,0))),""),""))</f>
        <v/>
      </c>
      <c r="AI3426" s="19" t="str">
        <f>IF($B3426="","",IFERROR(INDEX(Config!$D$9:$D$29,MATCH($B3426,Config!$B$9:$B$29,0))&amp;"",""))</f>
        <v/>
      </c>
    </row>
    <row r="3427">
      <c r="X3427" s="20" t="str">
        <f>IF($B3427="","",IFERROR(IF(INDEX(Config!$D$9:$D$29,MATCH($B3427,Config!$B$9:$B$29,0))="Contrato",IF(INDEX(Config!$E$9:$E$29,MATCH($B3427,Config!$B$9:$B$29,0))="","",INDEX(Config!$E$9:$E$29,MATCH($B3427,Config!$B$9:$B$29,0))),""),""))</f>
        <v/>
      </c>
      <c r="AI3427" s="19" t="str">
        <f>IF($B3427="","",IFERROR(INDEX(Config!$D$9:$D$29,MATCH($B3427,Config!$B$9:$B$29,0))&amp;"",""))</f>
        <v/>
      </c>
    </row>
    <row r="3428">
      <c r="X3428" s="20" t="str">
        <f>IF($B3428="","",IFERROR(IF(INDEX(Config!$D$9:$D$29,MATCH($B3428,Config!$B$9:$B$29,0))="Contrato",IF(INDEX(Config!$E$9:$E$29,MATCH($B3428,Config!$B$9:$B$29,0))="","",INDEX(Config!$E$9:$E$29,MATCH($B3428,Config!$B$9:$B$29,0))),""),""))</f>
        <v/>
      </c>
      <c r="AI3428" s="19" t="str">
        <f>IF($B3428="","",IFERROR(INDEX(Config!$D$9:$D$29,MATCH($B3428,Config!$B$9:$B$29,0))&amp;"",""))</f>
        <v/>
      </c>
    </row>
    <row r="3429">
      <c r="X3429" s="20" t="str">
        <f>IF($B3429="","",IFERROR(IF(INDEX(Config!$D$9:$D$29,MATCH($B3429,Config!$B$9:$B$29,0))="Contrato",IF(INDEX(Config!$E$9:$E$29,MATCH($B3429,Config!$B$9:$B$29,0))="","",INDEX(Config!$E$9:$E$29,MATCH($B3429,Config!$B$9:$B$29,0))),""),""))</f>
        <v/>
      </c>
      <c r="AI3429" s="19" t="str">
        <f>IF($B3429="","",IFERROR(INDEX(Config!$D$9:$D$29,MATCH($B3429,Config!$B$9:$B$29,0))&amp;"",""))</f>
        <v/>
      </c>
    </row>
    <row r="3430">
      <c r="X3430" s="20" t="str">
        <f>IF($B3430="","",IFERROR(IF(INDEX(Config!$D$9:$D$29,MATCH($B3430,Config!$B$9:$B$29,0))="Contrato",IF(INDEX(Config!$E$9:$E$29,MATCH($B3430,Config!$B$9:$B$29,0))="","",INDEX(Config!$E$9:$E$29,MATCH($B3430,Config!$B$9:$B$29,0))),""),""))</f>
        <v/>
      </c>
      <c r="AI3430" s="19" t="str">
        <f>IF($B3430="","",IFERROR(INDEX(Config!$D$9:$D$29,MATCH($B3430,Config!$B$9:$B$29,0))&amp;"",""))</f>
        <v/>
      </c>
    </row>
    <row r="3431">
      <c r="X3431" s="20" t="str">
        <f>IF($B3431="","",IFERROR(IF(INDEX(Config!$D$9:$D$29,MATCH($B3431,Config!$B$9:$B$29,0))="Contrato",IF(INDEX(Config!$E$9:$E$29,MATCH($B3431,Config!$B$9:$B$29,0))="","",INDEX(Config!$E$9:$E$29,MATCH($B3431,Config!$B$9:$B$29,0))),""),""))</f>
        <v/>
      </c>
      <c r="AI3431" s="19" t="str">
        <f>IF($B3431="","",IFERROR(INDEX(Config!$D$9:$D$29,MATCH($B3431,Config!$B$9:$B$29,0))&amp;"",""))</f>
        <v/>
      </c>
    </row>
    <row r="3432">
      <c r="X3432" s="20" t="str">
        <f>IF($B3432="","",IFERROR(IF(INDEX(Config!$D$9:$D$29,MATCH($B3432,Config!$B$9:$B$29,0))="Contrato",IF(INDEX(Config!$E$9:$E$29,MATCH($B3432,Config!$B$9:$B$29,0))="","",INDEX(Config!$E$9:$E$29,MATCH($B3432,Config!$B$9:$B$29,0))),""),""))</f>
        <v/>
      </c>
      <c r="AI3432" s="19" t="str">
        <f>IF($B3432="","",IFERROR(INDEX(Config!$D$9:$D$29,MATCH($B3432,Config!$B$9:$B$29,0))&amp;"",""))</f>
        <v/>
      </c>
    </row>
    <row r="3433">
      <c r="X3433" s="20" t="str">
        <f>IF($B3433="","",IFERROR(IF(INDEX(Config!$D$9:$D$29,MATCH($B3433,Config!$B$9:$B$29,0))="Contrato",IF(INDEX(Config!$E$9:$E$29,MATCH($B3433,Config!$B$9:$B$29,0))="","",INDEX(Config!$E$9:$E$29,MATCH($B3433,Config!$B$9:$B$29,0))),""),""))</f>
        <v/>
      </c>
      <c r="AI3433" s="19" t="str">
        <f>IF($B3433="","",IFERROR(INDEX(Config!$D$9:$D$29,MATCH($B3433,Config!$B$9:$B$29,0))&amp;"",""))</f>
        <v/>
      </c>
    </row>
    <row r="3434">
      <c r="X3434" s="20" t="str">
        <f>IF($B3434="","",IFERROR(IF(INDEX(Config!$D$9:$D$29,MATCH($B3434,Config!$B$9:$B$29,0))="Contrato",IF(INDEX(Config!$E$9:$E$29,MATCH($B3434,Config!$B$9:$B$29,0))="","",INDEX(Config!$E$9:$E$29,MATCH($B3434,Config!$B$9:$B$29,0))),""),""))</f>
        <v/>
      </c>
      <c r="AI3434" s="19" t="str">
        <f>IF($B3434="","",IFERROR(INDEX(Config!$D$9:$D$29,MATCH($B3434,Config!$B$9:$B$29,0))&amp;"",""))</f>
        <v/>
      </c>
    </row>
    <row r="3435">
      <c r="X3435" s="20" t="str">
        <f>IF($B3435="","",IFERROR(IF(INDEX(Config!$D$9:$D$29,MATCH($B3435,Config!$B$9:$B$29,0))="Contrato",IF(INDEX(Config!$E$9:$E$29,MATCH($B3435,Config!$B$9:$B$29,0))="","",INDEX(Config!$E$9:$E$29,MATCH($B3435,Config!$B$9:$B$29,0))),""),""))</f>
        <v/>
      </c>
      <c r="AI3435" s="19" t="str">
        <f>IF($B3435="","",IFERROR(INDEX(Config!$D$9:$D$29,MATCH($B3435,Config!$B$9:$B$29,0))&amp;"",""))</f>
        <v/>
      </c>
    </row>
    <row r="3436">
      <c r="X3436" s="20" t="str">
        <f>IF($B3436="","",IFERROR(IF(INDEX(Config!$D$9:$D$29,MATCH($B3436,Config!$B$9:$B$29,0))="Contrato",IF(INDEX(Config!$E$9:$E$29,MATCH($B3436,Config!$B$9:$B$29,0))="","",INDEX(Config!$E$9:$E$29,MATCH($B3436,Config!$B$9:$B$29,0))),""),""))</f>
        <v/>
      </c>
      <c r="AI3436" s="19" t="str">
        <f>IF($B3436="","",IFERROR(INDEX(Config!$D$9:$D$29,MATCH($B3436,Config!$B$9:$B$29,0))&amp;"",""))</f>
        <v/>
      </c>
    </row>
    <row r="3437">
      <c r="X3437" s="20" t="str">
        <f>IF($B3437="","",IFERROR(IF(INDEX(Config!$D$9:$D$29,MATCH($B3437,Config!$B$9:$B$29,0))="Contrato",IF(INDEX(Config!$E$9:$E$29,MATCH($B3437,Config!$B$9:$B$29,0))="","",INDEX(Config!$E$9:$E$29,MATCH($B3437,Config!$B$9:$B$29,0))),""),""))</f>
        <v/>
      </c>
      <c r="AI3437" s="19" t="str">
        <f>IF($B3437="","",IFERROR(INDEX(Config!$D$9:$D$29,MATCH($B3437,Config!$B$9:$B$29,0))&amp;"",""))</f>
        <v/>
      </c>
    </row>
    <row r="3438">
      <c r="X3438" s="20" t="str">
        <f>IF($B3438="","",IFERROR(IF(INDEX(Config!$D$9:$D$29,MATCH($B3438,Config!$B$9:$B$29,0))="Contrato",IF(INDEX(Config!$E$9:$E$29,MATCH($B3438,Config!$B$9:$B$29,0))="","",INDEX(Config!$E$9:$E$29,MATCH($B3438,Config!$B$9:$B$29,0))),""),""))</f>
        <v/>
      </c>
      <c r="AI3438" s="19" t="str">
        <f>IF($B3438="","",IFERROR(INDEX(Config!$D$9:$D$29,MATCH($B3438,Config!$B$9:$B$29,0))&amp;"",""))</f>
        <v/>
      </c>
    </row>
    <row r="3439">
      <c r="X3439" s="20" t="str">
        <f>IF($B3439="","",IFERROR(IF(INDEX(Config!$D$9:$D$29,MATCH($B3439,Config!$B$9:$B$29,0))="Contrato",IF(INDEX(Config!$E$9:$E$29,MATCH($B3439,Config!$B$9:$B$29,0))="","",INDEX(Config!$E$9:$E$29,MATCH($B3439,Config!$B$9:$B$29,0))),""),""))</f>
        <v/>
      </c>
      <c r="AI3439" s="19" t="str">
        <f>IF($B3439="","",IFERROR(INDEX(Config!$D$9:$D$29,MATCH($B3439,Config!$B$9:$B$29,0))&amp;"",""))</f>
        <v/>
      </c>
    </row>
    <row r="3440">
      <c r="X3440" s="20" t="str">
        <f>IF($B3440="","",IFERROR(IF(INDEX(Config!$D$9:$D$29,MATCH($B3440,Config!$B$9:$B$29,0))="Contrato",IF(INDEX(Config!$E$9:$E$29,MATCH($B3440,Config!$B$9:$B$29,0))="","",INDEX(Config!$E$9:$E$29,MATCH($B3440,Config!$B$9:$B$29,0))),""),""))</f>
        <v/>
      </c>
      <c r="AI3440" s="19" t="str">
        <f>IF($B3440="","",IFERROR(INDEX(Config!$D$9:$D$29,MATCH($B3440,Config!$B$9:$B$29,0))&amp;"",""))</f>
        <v/>
      </c>
    </row>
    <row r="3441">
      <c r="X3441" s="20" t="str">
        <f>IF($B3441="","",IFERROR(IF(INDEX(Config!$D$9:$D$29,MATCH($B3441,Config!$B$9:$B$29,0))="Contrato",IF(INDEX(Config!$E$9:$E$29,MATCH($B3441,Config!$B$9:$B$29,0))="","",INDEX(Config!$E$9:$E$29,MATCH($B3441,Config!$B$9:$B$29,0))),""),""))</f>
        <v/>
      </c>
      <c r="AI3441" s="19" t="str">
        <f>IF($B3441="","",IFERROR(INDEX(Config!$D$9:$D$29,MATCH($B3441,Config!$B$9:$B$29,0))&amp;"",""))</f>
        <v/>
      </c>
    </row>
    <row r="3442">
      <c r="X3442" s="20" t="str">
        <f>IF($B3442="","",IFERROR(IF(INDEX(Config!$D$9:$D$29,MATCH($B3442,Config!$B$9:$B$29,0))="Contrato",IF(INDEX(Config!$E$9:$E$29,MATCH($B3442,Config!$B$9:$B$29,0))="","",INDEX(Config!$E$9:$E$29,MATCH($B3442,Config!$B$9:$B$29,0))),""),""))</f>
        <v/>
      </c>
      <c r="AI3442" s="19" t="str">
        <f>IF($B3442="","",IFERROR(INDEX(Config!$D$9:$D$29,MATCH($B3442,Config!$B$9:$B$29,0))&amp;"",""))</f>
        <v/>
      </c>
    </row>
    <row r="3443">
      <c r="X3443" s="20" t="str">
        <f>IF($B3443="","",IFERROR(IF(INDEX(Config!$D$9:$D$29,MATCH($B3443,Config!$B$9:$B$29,0))="Contrato",IF(INDEX(Config!$E$9:$E$29,MATCH($B3443,Config!$B$9:$B$29,0))="","",INDEX(Config!$E$9:$E$29,MATCH($B3443,Config!$B$9:$B$29,0))),""),""))</f>
        <v/>
      </c>
      <c r="AI3443" s="19" t="str">
        <f>IF($B3443="","",IFERROR(INDEX(Config!$D$9:$D$29,MATCH($B3443,Config!$B$9:$B$29,0))&amp;"",""))</f>
        <v/>
      </c>
    </row>
    <row r="3444">
      <c r="X3444" s="20" t="str">
        <f>IF($B3444="","",IFERROR(IF(INDEX(Config!$D$9:$D$29,MATCH($B3444,Config!$B$9:$B$29,0))="Contrato",IF(INDEX(Config!$E$9:$E$29,MATCH($B3444,Config!$B$9:$B$29,0))="","",INDEX(Config!$E$9:$E$29,MATCH($B3444,Config!$B$9:$B$29,0))),""),""))</f>
        <v/>
      </c>
      <c r="AI3444" s="19" t="str">
        <f>IF($B3444="","",IFERROR(INDEX(Config!$D$9:$D$29,MATCH($B3444,Config!$B$9:$B$29,0))&amp;"",""))</f>
        <v/>
      </c>
    </row>
    <row r="3445">
      <c r="X3445" s="20" t="str">
        <f>IF($B3445="","",IFERROR(IF(INDEX(Config!$D$9:$D$29,MATCH($B3445,Config!$B$9:$B$29,0))="Contrato",IF(INDEX(Config!$E$9:$E$29,MATCH($B3445,Config!$B$9:$B$29,0))="","",INDEX(Config!$E$9:$E$29,MATCH($B3445,Config!$B$9:$B$29,0))),""),""))</f>
        <v/>
      </c>
      <c r="AI3445" s="19" t="str">
        <f>IF($B3445="","",IFERROR(INDEX(Config!$D$9:$D$29,MATCH($B3445,Config!$B$9:$B$29,0))&amp;"",""))</f>
        <v/>
      </c>
    </row>
    <row r="3446">
      <c r="X3446" s="20" t="str">
        <f>IF($B3446="","",IFERROR(IF(INDEX(Config!$D$9:$D$29,MATCH($B3446,Config!$B$9:$B$29,0))="Contrato",IF(INDEX(Config!$E$9:$E$29,MATCH($B3446,Config!$B$9:$B$29,0))="","",INDEX(Config!$E$9:$E$29,MATCH($B3446,Config!$B$9:$B$29,0))),""),""))</f>
        <v/>
      </c>
      <c r="AI3446" s="19" t="str">
        <f>IF($B3446="","",IFERROR(INDEX(Config!$D$9:$D$29,MATCH($B3446,Config!$B$9:$B$29,0))&amp;"",""))</f>
        <v/>
      </c>
    </row>
    <row r="3447">
      <c r="X3447" s="20" t="str">
        <f>IF($B3447="","",IFERROR(IF(INDEX(Config!$D$9:$D$29,MATCH($B3447,Config!$B$9:$B$29,0))="Contrato",IF(INDEX(Config!$E$9:$E$29,MATCH($B3447,Config!$B$9:$B$29,0))="","",INDEX(Config!$E$9:$E$29,MATCH($B3447,Config!$B$9:$B$29,0))),""),""))</f>
        <v/>
      </c>
      <c r="AI3447" s="19" t="str">
        <f>IF($B3447="","",IFERROR(INDEX(Config!$D$9:$D$29,MATCH($B3447,Config!$B$9:$B$29,0))&amp;"",""))</f>
        <v/>
      </c>
    </row>
    <row r="3448">
      <c r="X3448" s="20" t="str">
        <f>IF($B3448="","",IFERROR(IF(INDEX(Config!$D$9:$D$29,MATCH($B3448,Config!$B$9:$B$29,0))="Contrato",IF(INDEX(Config!$E$9:$E$29,MATCH($B3448,Config!$B$9:$B$29,0))="","",INDEX(Config!$E$9:$E$29,MATCH($B3448,Config!$B$9:$B$29,0))),""),""))</f>
        <v/>
      </c>
      <c r="AI3448" s="19" t="str">
        <f>IF($B3448="","",IFERROR(INDEX(Config!$D$9:$D$29,MATCH($B3448,Config!$B$9:$B$29,0))&amp;"",""))</f>
        <v/>
      </c>
    </row>
    <row r="3449">
      <c r="X3449" s="20" t="str">
        <f>IF($B3449="","",IFERROR(IF(INDEX(Config!$D$9:$D$29,MATCH($B3449,Config!$B$9:$B$29,0))="Contrato",IF(INDEX(Config!$E$9:$E$29,MATCH($B3449,Config!$B$9:$B$29,0))="","",INDEX(Config!$E$9:$E$29,MATCH($B3449,Config!$B$9:$B$29,0))),""),""))</f>
        <v/>
      </c>
      <c r="AI3449" s="19" t="str">
        <f>IF($B3449="","",IFERROR(INDEX(Config!$D$9:$D$29,MATCH($B3449,Config!$B$9:$B$29,0))&amp;"",""))</f>
        <v/>
      </c>
    </row>
    <row r="3450">
      <c r="X3450" s="20" t="str">
        <f>IF($B3450="","",IFERROR(IF(INDEX(Config!$D$9:$D$29,MATCH($B3450,Config!$B$9:$B$29,0))="Contrato",IF(INDEX(Config!$E$9:$E$29,MATCH($B3450,Config!$B$9:$B$29,0))="","",INDEX(Config!$E$9:$E$29,MATCH($B3450,Config!$B$9:$B$29,0))),""),""))</f>
        <v/>
      </c>
      <c r="AI3450" s="19" t="str">
        <f>IF($B3450="","",IFERROR(INDEX(Config!$D$9:$D$29,MATCH($B3450,Config!$B$9:$B$29,0))&amp;"",""))</f>
        <v/>
      </c>
    </row>
    <row r="3451">
      <c r="X3451" s="20" t="str">
        <f>IF($B3451="","",IFERROR(IF(INDEX(Config!$D$9:$D$29,MATCH($B3451,Config!$B$9:$B$29,0))="Contrato",IF(INDEX(Config!$E$9:$E$29,MATCH($B3451,Config!$B$9:$B$29,0))="","",INDEX(Config!$E$9:$E$29,MATCH($B3451,Config!$B$9:$B$29,0))),""),""))</f>
        <v/>
      </c>
      <c r="AI3451" s="19" t="str">
        <f>IF($B3451="","",IFERROR(INDEX(Config!$D$9:$D$29,MATCH($B3451,Config!$B$9:$B$29,0))&amp;"",""))</f>
        <v/>
      </c>
    </row>
    <row r="3452">
      <c r="X3452" s="20" t="str">
        <f>IF($B3452="","",IFERROR(IF(INDEX(Config!$D$9:$D$29,MATCH($B3452,Config!$B$9:$B$29,0))="Contrato",IF(INDEX(Config!$E$9:$E$29,MATCH($B3452,Config!$B$9:$B$29,0))="","",INDEX(Config!$E$9:$E$29,MATCH($B3452,Config!$B$9:$B$29,0))),""),""))</f>
        <v/>
      </c>
      <c r="AI3452" s="19" t="str">
        <f>IF($B3452="","",IFERROR(INDEX(Config!$D$9:$D$29,MATCH($B3452,Config!$B$9:$B$29,0))&amp;"",""))</f>
        <v/>
      </c>
    </row>
    <row r="3453">
      <c r="X3453" s="20" t="str">
        <f>IF($B3453="","",IFERROR(IF(INDEX(Config!$D$9:$D$29,MATCH($B3453,Config!$B$9:$B$29,0))="Contrato",IF(INDEX(Config!$E$9:$E$29,MATCH($B3453,Config!$B$9:$B$29,0))="","",INDEX(Config!$E$9:$E$29,MATCH($B3453,Config!$B$9:$B$29,0))),""),""))</f>
        <v/>
      </c>
      <c r="AI3453" s="19" t="str">
        <f>IF($B3453="","",IFERROR(INDEX(Config!$D$9:$D$29,MATCH($B3453,Config!$B$9:$B$29,0))&amp;"",""))</f>
        <v/>
      </c>
    </row>
    <row r="3454">
      <c r="X3454" s="20" t="str">
        <f>IF($B3454="","",IFERROR(IF(INDEX(Config!$D$9:$D$29,MATCH($B3454,Config!$B$9:$B$29,0))="Contrato",IF(INDEX(Config!$E$9:$E$29,MATCH($B3454,Config!$B$9:$B$29,0))="","",INDEX(Config!$E$9:$E$29,MATCH($B3454,Config!$B$9:$B$29,0))),""),""))</f>
        <v/>
      </c>
      <c r="AI3454" s="19" t="str">
        <f>IF($B3454="","",IFERROR(INDEX(Config!$D$9:$D$29,MATCH($B3454,Config!$B$9:$B$29,0))&amp;"",""))</f>
        <v/>
      </c>
    </row>
    <row r="3455">
      <c r="X3455" s="20" t="str">
        <f>IF($B3455="","",IFERROR(IF(INDEX(Config!$D$9:$D$29,MATCH($B3455,Config!$B$9:$B$29,0))="Contrato",IF(INDEX(Config!$E$9:$E$29,MATCH($B3455,Config!$B$9:$B$29,0))="","",INDEX(Config!$E$9:$E$29,MATCH($B3455,Config!$B$9:$B$29,0))),""),""))</f>
        <v/>
      </c>
      <c r="AI3455" s="19" t="str">
        <f>IF($B3455="","",IFERROR(INDEX(Config!$D$9:$D$29,MATCH($B3455,Config!$B$9:$B$29,0))&amp;"",""))</f>
        <v/>
      </c>
    </row>
    <row r="3456">
      <c r="X3456" s="20" t="str">
        <f>IF($B3456="","",IFERROR(IF(INDEX(Config!$D$9:$D$29,MATCH($B3456,Config!$B$9:$B$29,0))="Contrato",IF(INDEX(Config!$E$9:$E$29,MATCH($B3456,Config!$B$9:$B$29,0))="","",INDEX(Config!$E$9:$E$29,MATCH($B3456,Config!$B$9:$B$29,0))),""),""))</f>
        <v/>
      </c>
      <c r="AI3456" s="19" t="str">
        <f>IF($B3456="","",IFERROR(INDEX(Config!$D$9:$D$29,MATCH($B3456,Config!$B$9:$B$29,0))&amp;"",""))</f>
        <v/>
      </c>
    </row>
    <row r="3457">
      <c r="X3457" s="20" t="str">
        <f>IF($B3457="","",IFERROR(IF(INDEX(Config!$D$9:$D$29,MATCH($B3457,Config!$B$9:$B$29,0))="Contrato",IF(INDEX(Config!$E$9:$E$29,MATCH($B3457,Config!$B$9:$B$29,0))="","",INDEX(Config!$E$9:$E$29,MATCH($B3457,Config!$B$9:$B$29,0))),""),""))</f>
        <v/>
      </c>
      <c r="AI3457" s="19" t="str">
        <f>IF($B3457="","",IFERROR(INDEX(Config!$D$9:$D$29,MATCH($B3457,Config!$B$9:$B$29,0))&amp;"",""))</f>
        <v/>
      </c>
    </row>
    <row r="3458">
      <c r="X3458" s="20" t="str">
        <f>IF($B3458="","",IFERROR(IF(INDEX(Config!$D$9:$D$29,MATCH($B3458,Config!$B$9:$B$29,0))="Contrato",IF(INDEX(Config!$E$9:$E$29,MATCH($B3458,Config!$B$9:$B$29,0))="","",INDEX(Config!$E$9:$E$29,MATCH($B3458,Config!$B$9:$B$29,0))),""),""))</f>
        <v/>
      </c>
      <c r="AI3458" s="19" t="str">
        <f>IF($B3458="","",IFERROR(INDEX(Config!$D$9:$D$29,MATCH($B3458,Config!$B$9:$B$29,0))&amp;"",""))</f>
        <v/>
      </c>
    </row>
    <row r="3459">
      <c r="X3459" s="20" t="str">
        <f>IF($B3459="","",IFERROR(IF(INDEX(Config!$D$9:$D$29,MATCH($B3459,Config!$B$9:$B$29,0))="Contrato",IF(INDEX(Config!$E$9:$E$29,MATCH($B3459,Config!$B$9:$B$29,0))="","",INDEX(Config!$E$9:$E$29,MATCH($B3459,Config!$B$9:$B$29,0))),""),""))</f>
        <v/>
      </c>
      <c r="AI3459" s="19" t="str">
        <f>IF($B3459="","",IFERROR(INDEX(Config!$D$9:$D$29,MATCH($B3459,Config!$B$9:$B$29,0))&amp;"",""))</f>
        <v/>
      </c>
    </row>
    <row r="3460">
      <c r="X3460" s="20" t="str">
        <f>IF($B3460="","",IFERROR(IF(INDEX(Config!$D$9:$D$29,MATCH($B3460,Config!$B$9:$B$29,0))="Contrato",IF(INDEX(Config!$E$9:$E$29,MATCH($B3460,Config!$B$9:$B$29,0))="","",INDEX(Config!$E$9:$E$29,MATCH($B3460,Config!$B$9:$B$29,0))),""),""))</f>
        <v/>
      </c>
      <c r="AI3460" s="19" t="str">
        <f>IF($B3460="","",IFERROR(INDEX(Config!$D$9:$D$29,MATCH($B3460,Config!$B$9:$B$29,0))&amp;"",""))</f>
        <v/>
      </c>
    </row>
    <row r="3461">
      <c r="X3461" s="20" t="str">
        <f>IF($B3461="","",IFERROR(IF(INDEX(Config!$D$9:$D$29,MATCH($B3461,Config!$B$9:$B$29,0))="Contrato",IF(INDEX(Config!$E$9:$E$29,MATCH($B3461,Config!$B$9:$B$29,0))="","",INDEX(Config!$E$9:$E$29,MATCH($B3461,Config!$B$9:$B$29,0))),""),""))</f>
        <v/>
      </c>
      <c r="AI3461" s="19" t="str">
        <f>IF($B3461="","",IFERROR(INDEX(Config!$D$9:$D$29,MATCH($B3461,Config!$B$9:$B$29,0))&amp;"",""))</f>
        <v/>
      </c>
    </row>
    <row r="3462">
      <c r="X3462" s="20" t="str">
        <f>IF($B3462="","",IFERROR(IF(INDEX(Config!$D$9:$D$29,MATCH($B3462,Config!$B$9:$B$29,0))="Contrato",IF(INDEX(Config!$E$9:$E$29,MATCH($B3462,Config!$B$9:$B$29,0))="","",INDEX(Config!$E$9:$E$29,MATCH($B3462,Config!$B$9:$B$29,0))),""),""))</f>
        <v/>
      </c>
      <c r="AI3462" s="19" t="str">
        <f>IF($B3462="","",IFERROR(INDEX(Config!$D$9:$D$29,MATCH($B3462,Config!$B$9:$B$29,0))&amp;"",""))</f>
        <v/>
      </c>
    </row>
    <row r="3463">
      <c r="X3463" s="20" t="str">
        <f>IF($B3463="","",IFERROR(IF(INDEX(Config!$D$9:$D$29,MATCH($B3463,Config!$B$9:$B$29,0))="Contrato",IF(INDEX(Config!$E$9:$E$29,MATCH($B3463,Config!$B$9:$B$29,0))="","",INDEX(Config!$E$9:$E$29,MATCH($B3463,Config!$B$9:$B$29,0))),""),""))</f>
        <v/>
      </c>
      <c r="AI3463" s="19" t="str">
        <f>IF($B3463="","",IFERROR(INDEX(Config!$D$9:$D$29,MATCH($B3463,Config!$B$9:$B$29,0))&amp;"",""))</f>
        <v/>
      </c>
    </row>
    <row r="3464">
      <c r="X3464" s="20" t="str">
        <f>IF($B3464="","",IFERROR(IF(INDEX(Config!$D$9:$D$29,MATCH($B3464,Config!$B$9:$B$29,0))="Contrato",IF(INDEX(Config!$E$9:$E$29,MATCH($B3464,Config!$B$9:$B$29,0))="","",INDEX(Config!$E$9:$E$29,MATCH($B3464,Config!$B$9:$B$29,0))),""),""))</f>
        <v/>
      </c>
      <c r="AI3464" s="19" t="str">
        <f>IF($B3464="","",IFERROR(INDEX(Config!$D$9:$D$29,MATCH($B3464,Config!$B$9:$B$29,0))&amp;"",""))</f>
        <v/>
      </c>
    </row>
    <row r="3465">
      <c r="X3465" s="20" t="str">
        <f>IF($B3465="","",IFERROR(IF(INDEX(Config!$D$9:$D$29,MATCH($B3465,Config!$B$9:$B$29,0))="Contrato",IF(INDEX(Config!$E$9:$E$29,MATCH($B3465,Config!$B$9:$B$29,0))="","",INDEX(Config!$E$9:$E$29,MATCH($B3465,Config!$B$9:$B$29,0))),""),""))</f>
        <v/>
      </c>
      <c r="AI3465" s="19" t="str">
        <f>IF($B3465="","",IFERROR(INDEX(Config!$D$9:$D$29,MATCH($B3465,Config!$B$9:$B$29,0))&amp;"",""))</f>
        <v/>
      </c>
    </row>
    <row r="3466">
      <c r="X3466" s="20" t="str">
        <f>IF($B3466="","",IFERROR(IF(INDEX(Config!$D$9:$D$29,MATCH($B3466,Config!$B$9:$B$29,0))="Contrato",IF(INDEX(Config!$E$9:$E$29,MATCH($B3466,Config!$B$9:$B$29,0))="","",INDEX(Config!$E$9:$E$29,MATCH($B3466,Config!$B$9:$B$29,0))),""),""))</f>
        <v/>
      </c>
      <c r="AI3466" s="19" t="str">
        <f>IF($B3466="","",IFERROR(INDEX(Config!$D$9:$D$29,MATCH($B3466,Config!$B$9:$B$29,0))&amp;"",""))</f>
        <v/>
      </c>
    </row>
    <row r="3467">
      <c r="X3467" s="20" t="str">
        <f>IF($B3467="","",IFERROR(IF(INDEX(Config!$D$9:$D$29,MATCH($B3467,Config!$B$9:$B$29,0))="Contrato",IF(INDEX(Config!$E$9:$E$29,MATCH($B3467,Config!$B$9:$B$29,0))="","",INDEX(Config!$E$9:$E$29,MATCH($B3467,Config!$B$9:$B$29,0))),""),""))</f>
        <v/>
      </c>
      <c r="AI3467" s="19" t="str">
        <f>IF($B3467="","",IFERROR(INDEX(Config!$D$9:$D$29,MATCH($B3467,Config!$B$9:$B$29,0))&amp;"",""))</f>
        <v/>
      </c>
    </row>
    <row r="3468">
      <c r="X3468" s="20" t="str">
        <f>IF($B3468="","",IFERROR(IF(INDEX(Config!$D$9:$D$29,MATCH($B3468,Config!$B$9:$B$29,0))="Contrato",IF(INDEX(Config!$E$9:$E$29,MATCH($B3468,Config!$B$9:$B$29,0))="","",INDEX(Config!$E$9:$E$29,MATCH($B3468,Config!$B$9:$B$29,0))),""),""))</f>
        <v/>
      </c>
      <c r="AI3468" s="19" t="str">
        <f>IF($B3468="","",IFERROR(INDEX(Config!$D$9:$D$29,MATCH($B3468,Config!$B$9:$B$29,0))&amp;"",""))</f>
        <v/>
      </c>
    </row>
    <row r="3469">
      <c r="X3469" s="20" t="str">
        <f>IF($B3469="","",IFERROR(IF(INDEX(Config!$D$9:$D$29,MATCH($B3469,Config!$B$9:$B$29,0))="Contrato",IF(INDEX(Config!$E$9:$E$29,MATCH($B3469,Config!$B$9:$B$29,0))="","",INDEX(Config!$E$9:$E$29,MATCH($B3469,Config!$B$9:$B$29,0))),""),""))</f>
        <v/>
      </c>
      <c r="AI3469" s="19" t="str">
        <f>IF($B3469="","",IFERROR(INDEX(Config!$D$9:$D$29,MATCH($B3469,Config!$B$9:$B$29,0))&amp;"",""))</f>
        <v/>
      </c>
    </row>
    <row r="3470">
      <c r="X3470" s="20" t="str">
        <f>IF($B3470="","",IFERROR(IF(INDEX(Config!$D$9:$D$29,MATCH($B3470,Config!$B$9:$B$29,0))="Contrato",IF(INDEX(Config!$E$9:$E$29,MATCH($B3470,Config!$B$9:$B$29,0))="","",INDEX(Config!$E$9:$E$29,MATCH($B3470,Config!$B$9:$B$29,0))),""),""))</f>
        <v/>
      </c>
      <c r="AI3470" s="19" t="str">
        <f>IF($B3470="","",IFERROR(INDEX(Config!$D$9:$D$29,MATCH($B3470,Config!$B$9:$B$29,0))&amp;"",""))</f>
        <v/>
      </c>
    </row>
    <row r="3471">
      <c r="X3471" s="20" t="str">
        <f>IF($B3471="","",IFERROR(IF(INDEX(Config!$D$9:$D$29,MATCH($B3471,Config!$B$9:$B$29,0))="Contrato",IF(INDEX(Config!$E$9:$E$29,MATCH($B3471,Config!$B$9:$B$29,0))="","",INDEX(Config!$E$9:$E$29,MATCH($B3471,Config!$B$9:$B$29,0))),""),""))</f>
        <v/>
      </c>
      <c r="AI3471" s="19" t="str">
        <f>IF($B3471="","",IFERROR(INDEX(Config!$D$9:$D$29,MATCH($B3471,Config!$B$9:$B$29,0))&amp;"",""))</f>
        <v/>
      </c>
    </row>
    <row r="3472">
      <c r="X3472" s="20" t="str">
        <f>IF($B3472="","",IFERROR(IF(INDEX(Config!$D$9:$D$29,MATCH($B3472,Config!$B$9:$B$29,0))="Contrato",IF(INDEX(Config!$E$9:$E$29,MATCH($B3472,Config!$B$9:$B$29,0))="","",INDEX(Config!$E$9:$E$29,MATCH($B3472,Config!$B$9:$B$29,0))),""),""))</f>
        <v/>
      </c>
      <c r="AI3472" s="19" t="str">
        <f>IF($B3472="","",IFERROR(INDEX(Config!$D$9:$D$29,MATCH($B3472,Config!$B$9:$B$29,0))&amp;"",""))</f>
        <v/>
      </c>
    </row>
    <row r="3473">
      <c r="X3473" s="20" t="str">
        <f>IF($B3473="","",IFERROR(IF(INDEX(Config!$D$9:$D$29,MATCH($B3473,Config!$B$9:$B$29,0))="Contrato",IF(INDEX(Config!$E$9:$E$29,MATCH($B3473,Config!$B$9:$B$29,0))="","",INDEX(Config!$E$9:$E$29,MATCH($B3473,Config!$B$9:$B$29,0))),""),""))</f>
        <v/>
      </c>
      <c r="AI3473" s="19" t="str">
        <f>IF($B3473="","",IFERROR(INDEX(Config!$D$9:$D$29,MATCH($B3473,Config!$B$9:$B$29,0))&amp;"",""))</f>
        <v/>
      </c>
    </row>
    <row r="3474">
      <c r="X3474" s="20" t="str">
        <f>IF($B3474="","",IFERROR(IF(INDEX(Config!$D$9:$D$29,MATCH($B3474,Config!$B$9:$B$29,0))="Contrato",IF(INDEX(Config!$E$9:$E$29,MATCH($B3474,Config!$B$9:$B$29,0))="","",INDEX(Config!$E$9:$E$29,MATCH($B3474,Config!$B$9:$B$29,0))),""),""))</f>
        <v/>
      </c>
      <c r="AI3474" s="19" t="str">
        <f>IF($B3474="","",IFERROR(INDEX(Config!$D$9:$D$29,MATCH($B3474,Config!$B$9:$B$29,0))&amp;"",""))</f>
        <v/>
      </c>
    </row>
    <row r="3475">
      <c r="X3475" s="20" t="str">
        <f>IF($B3475="","",IFERROR(IF(INDEX(Config!$D$9:$D$29,MATCH($B3475,Config!$B$9:$B$29,0))="Contrato",IF(INDEX(Config!$E$9:$E$29,MATCH($B3475,Config!$B$9:$B$29,0))="","",INDEX(Config!$E$9:$E$29,MATCH($B3475,Config!$B$9:$B$29,0))),""),""))</f>
        <v/>
      </c>
      <c r="AI3475" s="19" t="str">
        <f>IF($B3475="","",IFERROR(INDEX(Config!$D$9:$D$29,MATCH($B3475,Config!$B$9:$B$29,0))&amp;"",""))</f>
        <v/>
      </c>
    </row>
    <row r="3476">
      <c r="X3476" s="20" t="str">
        <f>IF($B3476="","",IFERROR(IF(INDEX(Config!$D$9:$D$29,MATCH($B3476,Config!$B$9:$B$29,0))="Contrato",IF(INDEX(Config!$E$9:$E$29,MATCH($B3476,Config!$B$9:$B$29,0))="","",INDEX(Config!$E$9:$E$29,MATCH($B3476,Config!$B$9:$B$29,0))),""),""))</f>
        <v/>
      </c>
      <c r="AI3476" s="19" t="str">
        <f>IF($B3476="","",IFERROR(INDEX(Config!$D$9:$D$29,MATCH($B3476,Config!$B$9:$B$29,0))&amp;"",""))</f>
        <v/>
      </c>
    </row>
    <row r="3477">
      <c r="X3477" s="20" t="str">
        <f>IF($B3477="","",IFERROR(IF(INDEX(Config!$D$9:$D$29,MATCH($B3477,Config!$B$9:$B$29,0))="Contrato",IF(INDEX(Config!$E$9:$E$29,MATCH($B3477,Config!$B$9:$B$29,0))="","",INDEX(Config!$E$9:$E$29,MATCH($B3477,Config!$B$9:$B$29,0))),""),""))</f>
        <v/>
      </c>
      <c r="AI3477" s="19" t="str">
        <f>IF($B3477="","",IFERROR(INDEX(Config!$D$9:$D$29,MATCH($B3477,Config!$B$9:$B$29,0))&amp;"",""))</f>
        <v/>
      </c>
    </row>
    <row r="3478">
      <c r="X3478" s="20" t="str">
        <f>IF($B3478="","",IFERROR(IF(INDEX(Config!$D$9:$D$29,MATCH($B3478,Config!$B$9:$B$29,0))="Contrato",IF(INDEX(Config!$E$9:$E$29,MATCH($B3478,Config!$B$9:$B$29,0))="","",INDEX(Config!$E$9:$E$29,MATCH($B3478,Config!$B$9:$B$29,0))),""),""))</f>
        <v/>
      </c>
      <c r="AI3478" s="19" t="str">
        <f>IF($B3478="","",IFERROR(INDEX(Config!$D$9:$D$29,MATCH($B3478,Config!$B$9:$B$29,0))&amp;"",""))</f>
        <v/>
      </c>
    </row>
    <row r="3479">
      <c r="X3479" s="20" t="str">
        <f>IF($B3479="","",IFERROR(IF(INDEX(Config!$D$9:$D$29,MATCH($B3479,Config!$B$9:$B$29,0))="Contrato",IF(INDEX(Config!$E$9:$E$29,MATCH($B3479,Config!$B$9:$B$29,0))="","",INDEX(Config!$E$9:$E$29,MATCH($B3479,Config!$B$9:$B$29,0))),""),""))</f>
        <v/>
      </c>
      <c r="AI3479" s="19" t="str">
        <f>IF($B3479="","",IFERROR(INDEX(Config!$D$9:$D$29,MATCH($B3479,Config!$B$9:$B$29,0))&amp;"",""))</f>
        <v/>
      </c>
    </row>
    <row r="3480">
      <c r="X3480" s="20" t="str">
        <f>IF($B3480="","",IFERROR(IF(INDEX(Config!$D$9:$D$29,MATCH($B3480,Config!$B$9:$B$29,0))="Contrato",IF(INDEX(Config!$E$9:$E$29,MATCH($B3480,Config!$B$9:$B$29,0))="","",INDEX(Config!$E$9:$E$29,MATCH($B3480,Config!$B$9:$B$29,0))),""),""))</f>
        <v/>
      </c>
      <c r="AI3480" s="19" t="str">
        <f>IF($B3480="","",IFERROR(INDEX(Config!$D$9:$D$29,MATCH($B3480,Config!$B$9:$B$29,0))&amp;"",""))</f>
        <v/>
      </c>
    </row>
    <row r="3481">
      <c r="X3481" s="20" t="str">
        <f>IF($B3481="","",IFERROR(IF(INDEX(Config!$D$9:$D$29,MATCH($B3481,Config!$B$9:$B$29,0))="Contrato",IF(INDEX(Config!$E$9:$E$29,MATCH($B3481,Config!$B$9:$B$29,0))="","",INDEX(Config!$E$9:$E$29,MATCH($B3481,Config!$B$9:$B$29,0))),""),""))</f>
        <v/>
      </c>
      <c r="AI3481" s="19" t="str">
        <f>IF($B3481="","",IFERROR(INDEX(Config!$D$9:$D$29,MATCH($B3481,Config!$B$9:$B$29,0))&amp;"",""))</f>
        <v/>
      </c>
    </row>
    <row r="3482">
      <c r="X3482" s="20" t="str">
        <f>IF($B3482="","",IFERROR(IF(INDEX(Config!$D$9:$D$29,MATCH($B3482,Config!$B$9:$B$29,0))="Contrato",IF(INDEX(Config!$E$9:$E$29,MATCH($B3482,Config!$B$9:$B$29,0))="","",INDEX(Config!$E$9:$E$29,MATCH($B3482,Config!$B$9:$B$29,0))),""),""))</f>
        <v/>
      </c>
      <c r="AI3482" s="19" t="str">
        <f>IF($B3482="","",IFERROR(INDEX(Config!$D$9:$D$29,MATCH($B3482,Config!$B$9:$B$29,0))&amp;"",""))</f>
        <v/>
      </c>
    </row>
    <row r="3483">
      <c r="X3483" s="20" t="str">
        <f>IF($B3483="","",IFERROR(IF(INDEX(Config!$D$9:$D$29,MATCH($B3483,Config!$B$9:$B$29,0))="Contrato",IF(INDEX(Config!$E$9:$E$29,MATCH($B3483,Config!$B$9:$B$29,0))="","",INDEX(Config!$E$9:$E$29,MATCH($B3483,Config!$B$9:$B$29,0))),""),""))</f>
        <v/>
      </c>
      <c r="AI3483" s="19" t="str">
        <f>IF($B3483="","",IFERROR(INDEX(Config!$D$9:$D$29,MATCH($B3483,Config!$B$9:$B$29,0))&amp;"",""))</f>
        <v/>
      </c>
    </row>
    <row r="3484">
      <c r="X3484" s="20" t="str">
        <f>IF($B3484="","",IFERROR(IF(INDEX(Config!$D$9:$D$29,MATCH($B3484,Config!$B$9:$B$29,0))="Contrato",IF(INDEX(Config!$E$9:$E$29,MATCH($B3484,Config!$B$9:$B$29,0))="","",INDEX(Config!$E$9:$E$29,MATCH($B3484,Config!$B$9:$B$29,0))),""),""))</f>
        <v/>
      </c>
      <c r="AI3484" s="19" t="str">
        <f>IF($B3484="","",IFERROR(INDEX(Config!$D$9:$D$29,MATCH($B3484,Config!$B$9:$B$29,0))&amp;"",""))</f>
        <v/>
      </c>
    </row>
    <row r="3485">
      <c r="X3485" s="20" t="str">
        <f>IF($B3485="","",IFERROR(IF(INDEX(Config!$D$9:$D$29,MATCH($B3485,Config!$B$9:$B$29,0))="Contrato",IF(INDEX(Config!$E$9:$E$29,MATCH($B3485,Config!$B$9:$B$29,0))="","",INDEX(Config!$E$9:$E$29,MATCH($B3485,Config!$B$9:$B$29,0))),""),""))</f>
        <v/>
      </c>
      <c r="AI3485" s="19" t="str">
        <f>IF($B3485="","",IFERROR(INDEX(Config!$D$9:$D$29,MATCH($B3485,Config!$B$9:$B$29,0))&amp;"",""))</f>
        <v/>
      </c>
    </row>
    <row r="3486">
      <c r="X3486" s="20" t="str">
        <f>IF($B3486="","",IFERROR(IF(INDEX(Config!$D$9:$D$29,MATCH($B3486,Config!$B$9:$B$29,0))="Contrato",IF(INDEX(Config!$E$9:$E$29,MATCH($B3486,Config!$B$9:$B$29,0))="","",INDEX(Config!$E$9:$E$29,MATCH($B3486,Config!$B$9:$B$29,0))),""),""))</f>
        <v/>
      </c>
      <c r="AI3486" s="19" t="str">
        <f>IF($B3486="","",IFERROR(INDEX(Config!$D$9:$D$29,MATCH($B3486,Config!$B$9:$B$29,0))&amp;"",""))</f>
        <v/>
      </c>
    </row>
    <row r="3487">
      <c r="X3487" s="20" t="str">
        <f>IF($B3487="","",IFERROR(IF(INDEX(Config!$D$9:$D$29,MATCH($B3487,Config!$B$9:$B$29,0))="Contrato",IF(INDEX(Config!$E$9:$E$29,MATCH($B3487,Config!$B$9:$B$29,0))="","",INDEX(Config!$E$9:$E$29,MATCH($B3487,Config!$B$9:$B$29,0))),""),""))</f>
        <v/>
      </c>
      <c r="AI3487" s="19" t="str">
        <f>IF($B3487="","",IFERROR(INDEX(Config!$D$9:$D$29,MATCH($B3487,Config!$B$9:$B$29,0))&amp;"",""))</f>
        <v/>
      </c>
    </row>
    <row r="3488">
      <c r="X3488" s="20" t="str">
        <f>IF($B3488="","",IFERROR(IF(INDEX(Config!$D$9:$D$29,MATCH($B3488,Config!$B$9:$B$29,0))="Contrato",IF(INDEX(Config!$E$9:$E$29,MATCH($B3488,Config!$B$9:$B$29,0))="","",INDEX(Config!$E$9:$E$29,MATCH($B3488,Config!$B$9:$B$29,0))),""),""))</f>
        <v/>
      </c>
      <c r="AI3488" s="19" t="str">
        <f>IF($B3488="","",IFERROR(INDEX(Config!$D$9:$D$29,MATCH($B3488,Config!$B$9:$B$29,0))&amp;"",""))</f>
        <v/>
      </c>
    </row>
    <row r="3489">
      <c r="X3489" s="20" t="str">
        <f>IF($B3489="","",IFERROR(IF(INDEX(Config!$D$9:$D$29,MATCH($B3489,Config!$B$9:$B$29,0))="Contrato",IF(INDEX(Config!$E$9:$E$29,MATCH($B3489,Config!$B$9:$B$29,0))="","",INDEX(Config!$E$9:$E$29,MATCH($B3489,Config!$B$9:$B$29,0))),""),""))</f>
        <v/>
      </c>
      <c r="AI3489" s="19" t="str">
        <f>IF($B3489="","",IFERROR(INDEX(Config!$D$9:$D$29,MATCH($B3489,Config!$B$9:$B$29,0))&amp;"",""))</f>
        <v/>
      </c>
    </row>
    <row r="3490">
      <c r="X3490" s="20" t="str">
        <f>IF($B3490="","",IFERROR(IF(INDEX(Config!$D$9:$D$29,MATCH($B3490,Config!$B$9:$B$29,0))="Contrato",IF(INDEX(Config!$E$9:$E$29,MATCH($B3490,Config!$B$9:$B$29,0))="","",INDEX(Config!$E$9:$E$29,MATCH($B3490,Config!$B$9:$B$29,0))),""),""))</f>
        <v/>
      </c>
      <c r="AI3490" s="19" t="str">
        <f>IF($B3490="","",IFERROR(INDEX(Config!$D$9:$D$29,MATCH($B3490,Config!$B$9:$B$29,0))&amp;"",""))</f>
        <v/>
      </c>
    </row>
    <row r="3491">
      <c r="X3491" s="20" t="str">
        <f>IF($B3491="","",IFERROR(IF(INDEX(Config!$D$9:$D$29,MATCH($B3491,Config!$B$9:$B$29,0))="Contrato",IF(INDEX(Config!$E$9:$E$29,MATCH($B3491,Config!$B$9:$B$29,0))="","",INDEX(Config!$E$9:$E$29,MATCH($B3491,Config!$B$9:$B$29,0))),""),""))</f>
        <v/>
      </c>
      <c r="AI3491" s="19" t="str">
        <f>IF($B3491="","",IFERROR(INDEX(Config!$D$9:$D$29,MATCH($B3491,Config!$B$9:$B$29,0))&amp;"",""))</f>
        <v/>
      </c>
    </row>
    <row r="3492">
      <c r="X3492" s="20" t="str">
        <f>IF($B3492="","",IFERROR(IF(INDEX(Config!$D$9:$D$29,MATCH($B3492,Config!$B$9:$B$29,0))="Contrato",IF(INDEX(Config!$E$9:$E$29,MATCH($B3492,Config!$B$9:$B$29,0))="","",INDEX(Config!$E$9:$E$29,MATCH($B3492,Config!$B$9:$B$29,0))),""),""))</f>
        <v/>
      </c>
      <c r="AI3492" s="19" t="str">
        <f>IF($B3492="","",IFERROR(INDEX(Config!$D$9:$D$29,MATCH($B3492,Config!$B$9:$B$29,0))&amp;"",""))</f>
        <v/>
      </c>
    </row>
    <row r="3493">
      <c r="X3493" s="20" t="str">
        <f>IF($B3493="","",IFERROR(IF(INDEX(Config!$D$9:$D$29,MATCH($B3493,Config!$B$9:$B$29,0))="Contrato",IF(INDEX(Config!$E$9:$E$29,MATCH($B3493,Config!$B$9:$B$29,0))="","",INDEX(Config!$E$9:$E$29,MATCH($B3493,Config!$B$9:$B$29,0))),""),""))</f>
        <v/>
      </c>
      <c r="AI3493" s="19" t="str">
        <f>IF($B3493="","",IFERROR(INDEX(Config!$D$9:$D$29,MATCH($B3493,Config!$B$9:$B$29,0))&amp;"",""))</f>
        <v/>
      </c>
    </row>
    <row r="3494">
      <c r="X3494" s="20" t="str">
        <f>IF($B3494="","",IFERROR(IF(INDEX(Config!$D$9:$D$29,MATCH($B3494,Config!$B$9:$B$29,0))="Contrato",IF(INDEX(Config!$E$9:$E$29,MATCH($B3494,Config!$B$9:$B$29,0))="","",INDEX(Config!$E$9:$E$29,MATCH($B3494,Config!$B$9:$B$29,0))),""),""))</f>
        <v/>
      </c>
      <c r="AI3494" s="19" t="str">
        <f>IF($B3494="","",IFERROR(INDEX(Config!$D$9:$D$29,MATCH($B3494,Config!$B$9:$B$29,0))&amp;"",""))</f>
        <v/>
      </c>
    </row>
    <row r="3495">
      <c r="X3495" s="20" t="str">
        <f>IF($B3495="","",IFERROR(IF(INDEX(Config!$D$9:$D$29,MATCH($B3495,Config!$B$9:$B$29,0))="Contrato",IF(INDEX(Config!$E$9:$E$29,MATCH($B3495,Config!$B$9:$B$29,0))="","",INDEX(Config!$E$9:$E$29,MATCH($B3495,Config!$B$9:$B$29,0))),""),""))</f>
        <v/>
      </c>
      <c r="AI3495" s="19" t="str">
        <f>IF($B3495="","",IFERROR(INDEX(Config!$D$9:$D$29,MATCH($B3495,Config!$B$9:$B$29,0))&amp;"",""))</f>
        <v/>
      </c>
    </row>
    <row r="3496">
      <c r="X3496" s="20" t="str">
        <f>IF($B3496="","",IFERROR(IF(INDEX(Config!$D$9:$D$29,MATCH($B3496,Config!$B$9:$B$29,0))="Contrato",IF(INDEX(Config!$E$9:$E$29,MATCH($B3496,Config!$B$9:$B$29,0))="","",INDEX(Config!$E$9:$E$29,MATCH($B3496,Config!$B$9:$B$29,0))),""),""))</f>
        <v/>
      </c>
      <c r="AI3496" s="19" t="str">
        <f>IF($B3496="","",IFERROR(INDEX(Config!$D$9:$D$29,MATCH($B3496,Config!$B$9:$B$29,0))&amp;"",""))</f>
        <v/>
      </c>
    </row>
    <row r="3497">
      <c r="X3497" s="20" t="str">
        <f>IF($B3497="","",IFERROR(IF(INDEX(Config!$D$9:$D$29,MATCH($B3497,Config!$B$9:$B$29,0))="Contrato",IF(INDEX(Config!$E$9:$E$29,MATCH($B3497,Config!$B$9:$B$29,0))="","",INDEX(Config!$E$9:$E$29,MATCH($B3497,Config!$B$9:$B$29,0))),""),""))</f>
        <v/>
      </c>
      <c r="AI3497" s="19" t="str">
        <f>IF($B3497="","",IFERROR(INDEX(Config!$D$9:$D$29,MATCH($B3497,Config!$B$9:$B$29,0))&amp;"",""))</f>
        <v/>
      </c>
    </row>
    <row r="3498">
      <c r="X3498" s="20" t="str">
        <f>IF($B3498="","",IFERROR(IF(INDEX(Config!$D$9:$D$29,MATCH($B3498,Config!$B$9:$B$29,0))="Contrato",IF(INDEX(Config!$E$9:$E$29,MATCH($B3498,Config!$B$9:$B$29,0))="","",INDEX(Config!$E$9:$E$29,MATCH($B3498,Config!$B$9:$B$29,0))),""),""))</f>
        <v/>
      </c>
      <c r="AI3498" s="19" t="str">
        <f>IF($B3498="","",IFERROR(INDEX(Config!$D$9:$D$29,MATCH($B3498,Config!$B$9:$B$29,0))&amp;"",""))</f>
        <v/>
      </c>
    </row>
    <row r="3499">
      <c r="X3499" s="20" t="str">
        <f>IF($B3499="","",IFERROR(IF(INDEX(Config!$D$9:$D$29,MATCH($B3499,Config!$B$9:$B$29,0))="Contrato",IF(INDEX(Config!$E$9:$E$29,MATCH($B3499,Config!$B$9:$B$29,0))="","",INDEX(Config!$E$9:$E$29,MATCH($B3499,Config!$B$9:$B$29,0))),""),""))</f>
        <v/>
      </c>
      <c r="AI3499" s="19" t="str">
        <f>IF($B3499="","",IFERROR(INDEX(Config!$D$9:$D$29,MATCH($B3499,Config!$B$9:$B$29,0))&amp;"",""))</f>
        <v/>
      </c>
    </row>
    <row r="3500">
      <c r="X3500" s="20" t="str">
        <f>IF($B3500="","",IFERROR(IF(INDEX(Config!$D$9:$D$29,MATCH($B3500,Config!$B$9:$B$29,0))="Contrato",IF(INDEX(Config!$E$9:$E$29,MATCH($B3500,Config!$B$9:$B$29,0))="","",INDEX(Config!$E$9:$E$29,MATCH($B3500,Config!$B$9:$B$29,0))),""),""))</f>
        <v/>
      </c>
      <c r="AI3500" s="19" t="str">
        <f>IF($B3500="","",IFERROR(INDEX(Config!$D$9:$D$29,MATCH($B3500,Config!$B$9:$B$29,0))&amp;"",""))</f>
        <v/>
      </c>
    </row>
    <row r="3501">
      <c r="X3501" s="20" t="str">
        <f>IF($B3501="","",IFERROR(IF(INDEX(Config!$D$9:$D$29,MATCH($B3501,Config!$B$9:$B$29,0))="Contrato",IF(INDEX(Config!$E$9:$E$29,MATCH($B3501,Config!$B$9:$B$29,0))="","",INDEX(Config!$E$9:$E$29,MATCH($B3501,Config!$B$9:$B$29,0))),""),""))</f>
        <v/>
      </c>
      <c r="AI3501" s="19" t="str">
        <f>IF($B3501="","",IFERROR(INDEX(Config!$D$9:$D$29,MATCH($B3501,Config!$B$9:$B$29,0))&amp;"",""))</f>
        <v/>
      </c>
    </row>
    <row r="3502">
      <c r="X3502" s="20" t="str">
        <f>IF($B3502="","",IFERROR(IF(INDEX(Config!$D$9:$D$29,MATCH($B3502,Config!$B$9:$B$29,0))="Contrato",IF(INDEX(Config!$E$9:$E$29,MATCH($B3502,Config!$B$9:$B$29,0))="","",INDEX(Config!$E$9:$E$29,MATCH($B3502,Config!$B$9:$B$29,0))),""),""))</f>
        <v/>
      </c>
      <c r="AI3502" s="19" t="str">
        <f>IF($B3502="","",IFERROR(INDEX(Config!$D$9:$D$29,MATCH($B3502,Config!$B$9:$B$29,0))&amp;"",""))</f>
        <v/>
      </c>
    </row>
    <row r="3503">
      <c r="X3503" s="20" t="str">
        <f>IF($B3503="","",IFERROR(IF(INDEX(Config!$D$9:$D$29,MATCH($B3503,Config!$B$9:$B$29,0))="Contrato",IF(INDEX(Config!$E$9:$E$29,MATCH($B3503,Config!$B$9:$B$29,0))="","",INDEX(Config!$E$9:$E$29,MATCH($B3503,Config!$B$9:$B$29,0))),""),""))</f>
        <v/>
      </c>
      <c r="AI3503" s="19" t="str">
        <f>IF($B3503="","",IFERROR(INDEX(Config!$D$9:$D$29,MATCH($B3503,Config!$B$9:$B$29,0))&amp;"",""))</f>
        <v/>
      </c>
    </row>
    <row r="3504">
      <c r="X3504" s="20" t="str">
        <f>IF($B3504="","",IFERROR(IF(INDEX(Config!$D$9:$D$29,MATCH($B3504,Config!$B$9:$B$29,0))="Contrato",IF(INDEX(Config!$E$9:$E$29,MATCH($B3504,Config!$B$9:$B$29,0))="","",INDEX(Config!$E$9:$E$29,MATCH($B3504,Config!$B$9:$B$29,0))),""),""))</f>
        <v/>
      </c>
      <c r="AI3504" s="19" t="str">
        <f>IF($B3504="","",IFERROR(INDEX(Config!$D$9:$D$29,MATCH($B3504,Config!$B$9:$B$29,0))&amp;"",""))</f>
        <v/>
      </c>
    </row>
    <row r="3505">
      <c r="X3505" s="20" t="str">
        <f>IF($B3505="","",IFERROR(IF(INDEX(Config!$D$9:$D$29,MATCH($B3505,Config!$B$9:$B$29,0))="Contrato",IF(INDEX(Config!$E$9:$E$29,MATCH($B3505,Config!$B$9:$B$29,0))="","",INDEX(Config!$E$9:$E$29,MATCH($B3505,Config!$B$9:$B$29,0))),""),""))</f>
        <v/>
      </c>
      <c r="AI3505" s="19" t="str">
        <f>IF($B3505="","",IFERROR(INDEX(Config!$D$9:$D$29,MATCH($B3505,Config!$B$9:$B$29,0))&amp;"",""))</f>
        <v/>
      </c>
    </row>
    <row r="3506">
      <c r="X3506" s="20" t="str">
        <f>IF($B3506="","",IFERROR(IF(INDEX(Config!$D$9:$D$29,MATCH($B3506,Config!$B$9:$B$29,0))="Contrato",IF(INDEX(Config!$E$9:$E$29,MATCH($B3506,Config!$B$9:$B$29,0))="","",INDEX(Config!$E$9:$E$29,MATCH($B3506,Config!$B$9:$B$29,0))),""),""))</f>
        <v/>
      </c>
      <c r="AI3506" s="19" t="str">
        <f>IF($B3506="","",IFERROR(INDEX(Config!$D$9:$D$29,MATCH($B3506,Config!$B$9:$B$29,0))&amp;"",""))</f>
        <v/>
      </c>
    </row>
    <row r="3507">
      <c r="X3507" s="20" t="str">
        <f>IF($B3507="","",IFERROR(IF(INDEX(Config!$D$9:$D$29,MATCH($B3507,Config!$B$9:$B$29,0))="Contrato",IF(INDEX(Config!$E$9:$E$29,MATCH($B3507,Config!$B$9:$B$29,0))="","",INDEX(Config!$E$9:$E$29,MATCH($B3507,Config!$B$9:$B$29,0))),""),""))</f>
        <v/>
      </c>
      <c r="AI3507" s="19" t="str">
        <f>IF($B3507="","",IFERROR(INDEX(Config!$D$9:$D$29,MATCH($B3507,Config!$B$9:$B$29,0))&amp;"",""))</f>
        <v/>
      </c>
    </row>
    <row r="3508">
      <c r="X3508" s="20" t="str">
        <f>IF($B3508="","",IFERROR(IF(INDEX(Config!$D$9:$D$29,MATCH($B3508,Config!$B$9:$B$29,0))="Contrato",IF(INDEX(Config!$E$9:$E$29,MATCH($B3508,Config!$B$9:$B$29,0))="","",INDEX(Config!$E$9:$E$29,MATCH($B3508,Config!$B$9:$B$29,0))),""),""))</f>
        <v/>
      </c>
      <c r="AI3508" s="19" t="str">
        <f>IF($B3508="","",IFERROR(INDEX(Config!$D$9:$D$29,MATCH($B3508,Config!$B$9:$B$29,0))&amp;"",""))</f>
        <v/>
      </c>
    </row>
    <row r="3509">
      <c r="X3509" s="20" t="str">
        <f>IF($B3509="","",IFERROR(IF(INDEX(Config!$D$9:$D$29,MATCH($B3509,Config!$B$9:$B$29,0))="Contrato",IF(INDEX(Config!$E$9:$E$29,MATCH($B3509,Config!$B$9:$B$29,0))="","",INDEX(Config!$E$9:$E$29,MATCH($B3509,Config!$B$9:$B$29,0))),""),""))</f>
        <v/>
      </c>
      <c r="AI3509" s="19" t="str">
        <f>IF($B3509="","",IFERROR(INDEX(Config!$D$9:$D$29,MATCH($B3509,Config!$B$9:$B$29,0))&amp;"",""))</f>
        <v/>
      </c>
    </row>
    <row r="3510">
      <c r="X3510" s="20" t="str">
        <f>IF($B3510="","",IFERROR(IF(INDEX(Config!$D$9:$D$29,MATCH($B3510,Config!$B$9:$B$29,0))="Contrato",IF(INDEX(Config!$E$9:$E$29,MATCH($B3510,Config!$B$9:$B$29,0))="","",INDEX(Config!$E$9:$E$29,MATCH($B3510,Config!$B$9:$B$29,0))),""),""))</f>
        <v/>
      </c>
      <c r="AI3510" s="19" t="str">
        <f>IF($B3510="","",IFERROR(INDEX(Config!$D$9:$D$29,MATCH($B3510,Config!$B$9:$B$29,0))&amp;"",""))</f>
        <v/>
      </c>
    </row>
    <row r="3511">
      <c r="X3511" s="20" t="str">
        <f>IF($B3511="","",IFERROR(IF(INDEX(Config!$D$9:$D$29,MATCH($B3511,Config!$B$9:$B$29,0))="Contrato",IF(INDEX(Config!$E$9:$E$29,MATCH($B3511,Config!$B$9:$B$29,0))="","",INDEX(Config!$E$9:$E$29,MATCH($B3511,Config!$B$9:$B$29,0))),""),""))</f>
        <v/>
      </c>
      <c r="AI3511" s="19" t="str">
        <f>IF($B3511="","",IFERROR(INDEX(Config!$D$9:$D$29,MATCH($B3511,Config!$B$9:$B$29,0))&amp;"",""))</f>
        <v/>
      </c>
    </row>
    <row r="3512">
      <c r="X3512" s="20" t="str">
        <f>IF($B3512="","",IFERROR(IF(INDEX(Config!$D$9:$D$29,MATCH($B3512,Config!$B$9:$B$29,0))="Contrato",IF(INDEX(Config!$E$9:$E$29,MATCH($B3512,Config!$B$9:$B$29,0))="","",INDEX(Config!$E$9:$E$29,MATCH($B3512,Config!$B$9:$B$29,0))),""),""))</f>
        <v/>
      </c>
      <c r="AI3512" s="19" t="str">
        <f>IF($B3512="","",IFERROR(INDEX(Config!$D$9:$D$29,MATCH($B3512,Config!$B$9:$B$29,0))&amp;"",""))</f>
        <v/>
      </c>
    </row>
    <row r="3513">
      <c r="X3513" s="20" t="str">
        <f>IF($B3513="","",IFERROR(IF(INDEX(Config!$D$9:$D$29,MATCH($B3513,Config!$B$9:$B$29,0))="Contrato",IF(INDEX(Config!$E$9:$E$29,MATCH($B3513,Config!$B$9:$B$29,0))="","",INDEX(Config!$E$9:$E$29,MATCH($B3513,Config!$B$9:$B$29,0))),""),""))</f>
        <v/>
      </c>
      <c r="AI3513" s="19" t="str">
        <f>IF($B3513="","",IFERROR(INDEX(Config!$D$9:$D$29,MATCH($B3513,Config!$B$9:$B$29,0))&amp;"",""))</f>
        <v/>
      </c>
    </row>
    <row r="3514">
      <c r="X3514" s="20" t="str">
        <f>IF($B3514="","",IFERROR(IF(INDEX(Config!$D$9:$D$29,MATCH($B3514,Config!$B$9:$B$29,0))="Contrato",IF(INDEX(Config!$E$9:$E$29,MATCH($B3514,Config!$B$9:$B$29,0))="","",INDEX(Config!$E$9:$E$29,MATCH($B3514,Config!$B$9:$B$29,0))),""),""))</f>
        <v/>
      </c>
      <c r="AI3514" s="19" t="str">
        <f>IF($B3514="","",IFERROR(INDEX(Config!$D$9:$D$29,MATCH($B3514,Config!$B$9:$B$29,0))&amp;"",""))</f>
        <v/>
      </c>
    </row>
    <row r="3515">
      <c r="X3515" s="20" t="str">
        <f>IF($B3515="","",IFERROR(IF(INDEX(Config!$D$9:$D$29,MATCH($B3515,Config!$B$9:$B$29,0))="Contrato",IF(INDEX(Config!$E$9:$E$29,MATCH($B3515,Config!$B$9:$B$29,0))="","",INDEX(Config!$E$9:$E$29,MATCH($B3515,Config!$B$9:$B$29,0))),""),""))</f>
        <v/>
      </c>
      <c r="AI3515" s="19" t="str">
        <f>IF($B3515="","",IFERROR(INDEX(Config!$D$9:$D$29,MATCH($B3515,Config!$B$9:$B$29,0))&amp;"",""))</f>
        <v/>
      </c>
    </row>
    <row r="3516">
      <c r="X3516" s="20" t="str">
        <f>IF($B3516="","",IFERROR(IF(INDEX(Config!$D$9:$D$29,MATCH($B3516,Config!$B$9:$B$29,0))="Contrato",IF(INDEX(Config!$E$9:$E$29,MATCH($B3516,Config!$B$9:$B$29,0))="","",INDEX(Config!$E$9:$E$29,MATCH($B3516,Config!$B$9:$B$29,0))),""),""))</f>
        <v/>
      </c>
      <c r="AI3516" s="19" t="str">
        <f>IF($B3516="","",IFERROR(INDEX(Config!$D$9:$D$29,MATCH($B3516,Config!$B$9:$B$29,0))&amp;"",""))</f>
        <v/>
      </c>
    </row>
    <row r="3517">
      <c r="X3517" s="20" t="str">
        <f>IF($B3517="","",IFERROR(IF(INDEX(Config!$D$9:$D$29,MATCH($B3517,Config!$B$9:$B$29,0))="Contrato",IF(INDEX(Config!$E$9:$E$29,MATCH($B3517,Config!$B$9:$B$29,0))="","",INDEX(Config!$E$9:$E$29,MATCH($B3517,Config!$B$9:$B$29,0))),""),""))</f>
        <v/>
      </c>
      <c r="AI3517" s="19" t="str">
        <f>IF($B3517="","",IFERROR(INDEX(Config!$D$9:$D$29,MATCH($B3517,Config!$B$9:$B$29,0))&amp;"",""))</f>
        <v/>
      </c>
    </row>
    <row r="3518">
      <c r="X3518" s="20" t="str">
        <f>IF($B3518="","",IFERROR(IF(INDEX(Config!$D$9:$D$29,MATCH($B3518,Config!$B$9:$B$29,0))="Contrato",IF(INDEX(Config!$E$9:$E$29,MATCH($B3518,Config!$B$9:$B$29,0))="","",INDEX(Config!$E$9:$E$29,MATCH($B3518,Config!$B$9:$B$29,0))),""),""))</f>
        <v/>
      </c>
      <c r="AI3518" s="19" t="str">
        <f>IF($B3518="","",IFERROR(INDEX(Config!$D$9:$D$29,MATCH($B3518,Config!$B$9:$B$29,0))&amp;"",""))</f>
        <v/>
      </c>
    </row>
    <row r="3519">
      <c r="X3519" s="20" t="str">
        <f>IF($B3519="","",IFERROR(IF(INDEX(Config!$D$9:$D$29,MATCH($B3519,Config!$B$9:$B$29,0))="Contrato",IF(INDEX(Config!$E$9:$E$29,MATCH($B3519,Config!$B$9:$B$29,0))="","",INDEX(Config!$E$9:$E$29,MATCH($B3519,Config!$B$9:$B$29,0))),""),""))</f>
        <v/>
      </c>
      <c r="AI3519" s="19" t="str">
        <f>IF($B3519="","",IFERROR(INDEX(Config!$D$9:$D$29,MATCH($B3519,Config!$B$9:$B$29,0))&amp;"",""))</f>
        <v/>
      </c>
    </row>
    <row r="3520">
      <c r="X3520" s="20" t="str">
        <f>IF($B3520="","",IFERROR(IF(INDEX(Config!$D$9:$D$29,MATCH($B3520,Config!$B$9:$B$29,0))="Contrato",IF(INDEX(Config!$E$9:$E$29,MATCH($B3520,Config!$B$9:$B$29,0))="","",INDEX(Config!$E$9:$E$29,MATCH($B3520,Config!$B$9:$B$29,0))),""),""))</f>
        <v/>
      </c>
      <c r="AI3520" s="19" t="str">
        <f>IF($B3520="","",IFERROR(INDEX(Config!$D$9:$D$29,MATCH($B3520,Config!$B$9:$B$29,0))&amp;"",""))</f>
        <v/>
      </c>
    </row>
    <row r="3521">
      <c r="X3521" s="20" t="str">
        <f>IF($B3521="","",IFERROR(IF(INDEX(Config!$D$9:$D$29,MATCH($B3521,Config!$B$9:$B$29,0))="Contrato",IF(INDEX(Config!$E$9:$E$29,MATCH($B3521,Config!$B$9:$B$29,0))="","",INDEX(Config!$E$9:$E$29,MATCH($B3521,Config!$B$9:$B$29,0))),""),""))</f>
        <v/>
      </c>
      <c r="AI3521" s="19" t="str">
        <f>IF($B3521="","",IFERROR(INDEX(Config!$D$9:$D$29,MATCH($B3521,Config!$B$9:$B$29,0))&amp;"",""))</f>
        <v/>
      </c>
    </row>
    <row r="3522">
      <c r="X3522" s="20" t="str">
        <f>IF($B3522="","",IFERROR(IF(INDEX(Config!$D$9:$D$29,MATCH($B3522,Config!$B$9:$B$29,0))="Contrato",IF(INDEX(Config!$E$9:$E$29,MATCH($B3522,Config!$B$9:$B$29,0))="","",INDEX(Config!$E$9:$E$29,MATCH($B3522,Config!$B$9:$B$29,0))),""),""))</f>
        <v/>
      </c>
      <c r="AI3522" s="19" t="str">
        <f>IF($B3522="","",IFERROR(INDEX(Config!$D$9:$D$29,MATCH($B3522,Config!$B$9:$B$29,0))&amp;"",""))</f>
        <v/>
      </c>
    </row>
    <row r="3523">
      <c r="X3523" s="20" t="str">
        <f>IF($B3523="","",IFERROR(IF(INDEX(Config!$D$9:$D$29,MATCH($B3523,Config!$B$9:$B$29,0))="Contrato",IF(INDEX(Config!$E$9:$E$29,MATCH($B3523,Config!$B$9:$B$29,0))="","",INDEX(Config!$E$9:$E$29,MATCH($B3523,Config!$B$9:$B$29,0))),""),""))</f>
        <v/>
      </c>
      <c r="AI3523" s="19" t="str">
        <f>IF($B3523="","",IFERROR(INDEX(Config!$D$9:$D$29,MATCH($B3523,Config!$B$9:$B$29,0))&amp;"",""))</f>
        <v/>
      </c>
    </row>
    <row r="3524">
      <c r="X3524" s="20" t="str">
        <f>IF($B3524="","",IFERROR(IF(INDEX(Config!$D$9:$D$29,MATCH($B3524,Config!$B$9:$B$29,0))="Contrato",IF(INDEX(Config!$E$9:$E$29,MATCH($B3524,Config!$B$9:$B$29,0))="","",INDEX(Config!$E$9:$E$29,MATCH($B3524,Config!$B$9:$B$29,0))),""),""))</f>
        <v/>
      </c>
      <c r="AI3524" s="19" t="str">
        <f>IF($B3524="","",IFERROR(INDEX(Config!$D$9:$D$29,MATCH($B3524,Config!$B$9:$B$29,0))&amp;"",""))</f>
        <v/>
      </c>
    </row>
    <row r="3525">
      <c r="X3525" s="20" t="str">
        <f>IF($B3525="","",IFERROR(IF(INDEX(Config!$D$9:$D$29,MATCH($B3525,Config!$B$9:$B$29,0))="Contrato",IF(INDEX(Config!$E$9:$E$29,MATCH($B3525,Config!$B$9:$B$29,0))="","",INDEX(Config!$E$9:$E$29,MATCH($B3525,Config!$B$9:$B$29,0))),""),""))</f>
        <v/>
      </c>
      <c r="AI3525" s="19" t="str">
        <f>IF($B3525="","",IFERROR(INDEX(Config!$D$9:$D$29,MATCH($B3525,Config!$B$9:$B$29,0))&amp;"",""))</f>
        <v/>
      </c>
    </row>
    <row r="3526">
      <c r="X3526" s="20" t="str">
        <f>IF($B3526="","",IFERROR(IF(INDEX(Config!$D$9:$D$29,MATCH($B3526,Config!$B$9:$B$29,0))="Contrato",IF(INDEX(Config!$E$9:$E$29,MATCH($B3526,Config!$B$9:$B$29,0))="","",INDEX(Config!$E$9:$E$29,MATCH($B3526,Config!$B$9:$B$29,0))),""),""))</f>
        <v/>
      </c>
      <c r="AI3526" s="19" t="str">
        <f>IF($B3526="","",IFERROR(INDEX(Config!$D$9:$D$29,MATCH($B3526,Config!$B$9:$B$29,0))&amp;"",""))</f>
        <v/>
      </c>
    </row>
    <row r="3527">
      <c r="X3527" s="20" t="str">
        <f>IF($B3527="","",IFERROR(IF(INDEX(Config!$D$9:$D$29,MATCH($B3527,Config!$B$9:$B$29,0))="Contrato",IF(INDEX(Config!$E$9:$E$29,MATCH($B3527,Config!$B$9:$B$29,0))="","",INDEX(Config!$E$9:$E$29,MATCH($B3527,Config!$B$9:$B$29,0))),""),""))</f>
        <v/>
      </c>
      <c r="AI3527" s="19" t="str">
        <f>IF($B3527="","",IFERROR(INDEX(Config!$D$9:$D$29,MATCH($B3527,Config!$B$9:$B$29,0))&amp;"",""))</f>
        <v/>
      </c>
    </row>
    <row r="3528">
      <c r="X3528" s="20" t="str">
        <f>IF($B3528="","",IFERROR(IF(INDEX(Config!$D$9:$D$29,MATCH($B3528,Config!$B$9:$B$29,0))="Contrato",IF(INDEX(Config!$E$9:$E$29,MATCH($B3528,Config!$B$9:$B$29,0))="","",INDEX(Config!$E$9:$E$29,MATCH($B3528,Config!$B$9:$B$29,0))),""),""))</f>
        <v/>
      </c>
      <c r="AI3528" s="19" t="str">
        <f>IF($B3528="","",IFERROR(INDEX(Config!$D$9:$D$29,MATCH($B3528,Config!$B$9:$B$29,0))&amp;"",""))</f>
        <v/>
      </c>
    </row>
    <row r="3529">
      <c r="X3529" s="20" t="str">
        <f>IF($B3529="","",IFERROR(IF(INDEX(Config!$D$9:$D$29,MATCH($B3529,Config!$B$9:$B$29,0))="Contrato",IF(INDEX(Config!$E$9:$E$29,MATCH($B3529,Config!$B$9:$B$29,0))="","",INDEX(Config!$E$9:$E$29,MATCH($B3529,Config!$B$9:$B$29,0))),""),""))</f>
        <v/>
      </c>
      <c r="AI3529" s="19" t="str">
        <f>IF($B3529="","",IFERROR(INDEX(Config!$D$9:$D$29,MATCH($B3529,Config!$B$9:$B$29,0))&amp;"",""))</f>
        <v/>
      </c>
    </row>
    <row r="3530">
      <c r="X3530" s="20" t="str">
        <f>IF($B3530="","",IFERROR(IF(INDEX(Config!$D$9:$D$29,MATCH($B3530,Config!$B$9:$B$29,0))="Contrato",IF(INDEX(Config!$E$9:$E$29,MATCH($B3530,Config!$B$9:$B$29,0))="","",INDEX(Config!$E$9:$E$29,MATCH($B3530,Config!$B$9:$B$29,0))),""),""))</f>
        <v/>
      </c>
      <c r="AI3530" s="19" t="str">
        <f>IF($B3530="","",IFERROR(INDEX(Config!$D$9:$D$29,MATCH($B3530,Config!$B$9:$B$29,0))&amp;"",""))</f>
        <v/>
      </c>
    </row>
    <row r="3531">
      <c r="X3531" s="20" t="str">
        <f>IF($B3531="","",IFERROR(IF(INDEX(Config!$D$9:$D$29,MATCH($B3531,Config!$B$9:$B$29,0))="Contrato",IF(INDEX(Config!$E$9:$E$29,MATCH($B3531,Config!$B$9:$B$29,0))="","",INDEX(Config!$E$9:$E$29,MATCH($B3531,Config!$B$9:$B$29,0))),""),""))</f>
        <v/>
      </c>
      <c r="AI3531" s="19" t="str">
        <f>IF($B3531="","",IFERROR(INDEX(Config!$D$9:$D$29,MATCH($B3531,Config!$B$9:$B$29,0))&amp;"",""))</f>
        <v/>
      </c>
    </row>
    <row r="3532">
      <c r="X3532" s="20" t="str">
        <f>IF($B3532="","",IFERROR(IF(INDEX(Config!$D$9:$D$29,MATCH($B3532,Config!$B$9:$B$29,0))="Contrato",IF(INDEX(Config!$E$9:$E$29,MATCH($B3532,Config!$B$9:$B$29,0))="","",INDEX(Config!$E$9:$E$29,MATCH($B3532,Config!$B$9:$B$29,0))),""),""))</f>
        <v/>
      </c>
      <c r="AI3532" s="19" t="str">
        <f>IF($B3532="","",IFERROR(INDEX(Config!$D$9:$D$29,MATCH($B3532,Config!$B$9:$B$29,0))&amp;"",""))</f>
        <v/>
      </c>
    </row>
    <row r="3533">
      <c r="X3533" s="20" t="str">
        <f>IF($B3533="","",IFERROR(IF(INDEX(Config!$D$9:$D$29,MATCH($B3533,Config!$B$9:$B$29,0))="Contrato",IF(INDEX(Config!$E$9:$E$29,MATCH($B3533,Config!$B$9:$B$29,0))="","",INDEX(Config!$E$9:$E$29,MATCH($B3533,Config!$B$9:$B$29,0))),""),""))</f>
        <v/>
      </c>
      <c r="AI3533" s="19" t="str">
        <f>IF($B3533="","",IFERROR(INDEX(Config!$D$9:$D$29,MATCH($B3533,Config!$B$9:$B$29,0))&amp;"",""))</f>
        <v/>
      </c>
    </row>
    <row r="3534">
      <c r="X3534" s="20" t="str">
        <f>IF($B3534="","",IFERROR(IF(INDEX(Config!$D$9:$D$29,MATCH($B3534,Config!$B$9:$B$29,0))="Contrato",IF(INDEX(Config!$E$9:$E$29,MATCH($B3534,Config!$B$9:$B$29,0))="","",INDEX(Config!$E$9:$E$29,MATCH($B3534,Config!$B$9:$B$29,0))),""),""))</f>
        <v/>
      </c>
      <c r="AI3534" s="19" t="str">
        <f>IF($B3534="","",IFERROR(INDEX(Config!$D$9:$D$29,MATCH($B3534,Config!$B$9:$B$29,0))&amp;"",""))</f>
        <v/>
      </c>
    </row>
    <row r="3535">
      <c r="X3535" s="20" t="str">
        <f>IF($B3535="","",IFERROR(IF(INDEX(Config!$D$9:$D$29,MATCH($B3535,Config!$B$9:$B$29,0))="Contrato",IF(INDEX(Config!$E$9:$E$29,MATCH($B3535,Config!$B$9:$B$29,0))="","",INDEX(Config!$E$9:$E$29,MATCH($B3535,Config!$B$9:$B$29,0))),""),""))</f>
        <v/>
      </c>
      <c r="AI3535" s="19" t="str">
        <f>IF($B3535="","",IFERROR(INDEX(Config!$D$9:$D$29,MATCH($B3535,Config!$B$9:$B$29,0))&amp;"",""))</f>
        <v/>
      </c>
    </row>
    <row r="3536">
      <c r="X3536" s="20" t="str">
        <f>IF($B3536="","",IFERROR(IF(INDEX(Config!$D$9:$D$29,MATCH($B3536,Config!$B$9:$B$29,0))="Contrato",IF(INDEX(Config!$E$9:$E$29,MATCH($B3536,Config!$B$9:$B$29,0))="","",INDEX(Config!$E$9:$E$29,MATCH($B3536,Config!$B$9:$B$29,0))),""),""))</f>
        <v/>
      </c>
      <c r="AI3536" s="19" t="str">
        <f>IF($B3536="","",IFERROR(INDEX(Config!$D$9:$D$29,MATCH($B3536,Config!$B$9:$B$29,0))&amp;"",""))</f>
        <v/>
      </c>
    </row>
    <row r="3537">
      <c r="X3537" s="20" t="str">
        <f>IF($B3537="","",IFERROR(IF(INDEX(Config!$D$9:$D$29,MATCH($B3537,Config!$B$9:$B$29,0))="Contrato",IF(INDEX(Config!$E$9:$E$29,MATCH($B3537,Config!$B$9:$B$29,0))="","",INDEX(Config!$E$9:$E$29,MATCH($B3537,Config!$B$9:$B$29,0))),""),""))</f>
        <v/>
      </c>
      <c r="AI3537" s="19" t="str">
        <f>IF($B3537="","",IFERROR(INDEX(Config!$D$9:$D$29,MATCH($B3537,Config!$B$9:$B$29,0))&amp;"",""))</f>
        <v/>
      </c>
    </row>
    <row r="3538">
      <c r="X3538" s="20" t="str">
        <f>IF($B3538="","",IFERROR(IF(INDEX(Config!$D$9:$D$29,MATCH($B3538,Config!$B$9:$B$29,0))="Contrato",IF(INDEX(Config!$E$9:$E$29,MATCH($B3538,Config!$B$9:$B$29,0))="","",INDEX(Config!$E$9:$E$29,MATCH($B3538,Config!$B$9:$B$29,0))),""),""))</f>
        <v/>
      </c>
      <c r="AI3538" s="19" t="str">
        <f>IF($B3538="","",IFERROR(INDEX(Config!$D$9:$D$29,MATCH($B3538,Config!$B$9:$B$29,0))&amp;"",""))</f>
        <v/>
      </c>
    </row>
    <row r="3539">
      <c r="X3539" s="20" t="str">
        <f>IF($B3539="","",IFERROR(IF(INDEX(Config!$D$9:$D$29,MATCH($B3539,Config!$B$9:$B$29,0))="Contrato",IF(INDEX(Config!$E$9:$E$29,MATCH($B3539,Config!$B$9:$B$29,0))="","",INDEX(Config!$E$9:$E$29,MATCH($B3539,Config!$B$9:$B$29,0))),""),""))</f>
        <v/>
      </c>
      <c r="AI3539" s="19" t="str">
        <f>IF($B3539="","",IFERROR(INDEX(Config!$D$9:$D$29,MATCH($B3539,Config!$B$9:$B$29,0))&amp;"",""))</f>
        <v/>
      </c>
    </row>
    <row r="3540">
      <c r="X3540" s="20" t="str">
        <f>IF($B3540="","",IFERROR(IF(INDEX(Config!$D$9:$D$29,MATCH($B3540,Config!$B$9:$B$29,0))="Contrato",IF(INDEX(Config!$E$9:$E$29,MATCH($B3540,Config!$B$9:$B$29,0))="","",INDEX(Config!$E$9:$E$29,MATCH($B3540,Config!$B$9:$B$29,0))),""),""))</f>
        <v/>
      </c>
      <c r="AI3540" s="19" t="str">
        <f>IF($B3540="","",IFERROR(INDEX(Config!$D$9:$D$29,MATCH($B3540,Config!$B$9:$B$29,0))&amp;"",""))</f>
        <v/>
      </c>
    </row>
    <row r="3541">
      <c r="X3541" s="20" t="str">
        <f>IF($B3541="","",IFERROR(IF(INDEX(Config!$D$9:$D$29,MATCH($B3541,Config!$B$9:$B$29,0))="Contrato",IF(INDEX(Config!$E$9:$E$29,MATCH($B3541,Config!$B$9:$B$29,0))="","",INDEX(Config!$E$9:$E$29,MATCH($B3541,Config!$B$9:$B$29,0))),""),""))</f>
        <v/>
      </c>
      <c r="AI3541" s="19" t="str">
        <f>IF($B3541="","",IFERROR(INDEX(Config!$D$9:$D$29,MATCH($B3541,Config!$B$9:$B$29,0))&amp;"",""))</f>
        <v/>
      </c>
    </row>
    <row r="3542">
      <c r="X3542" s="20" t="str">
        <f>IF($B3542="","",IFERROR(IF(INDEX(Config!$D$9:$D$29,MATCH($B3542,Config!$B$9:$B$29,0))="Contrato",IF(INDEX(Config!$E$9:$E$29,MATCH($B3542,Config!$B$9:$B$29,0))="","",INDEX(Config!$E$9:$E$29,MATCH($B3542,Config!$B$9:$B$29,0))),""),""))</f>
        <v/>
      </c>
      <c r="AI3542" s="19" t="str">
        <f>IF($B3542="","",IFERROR(INDEX(Config!$D$9:$D$29,MATCH($B3542,Config!$B$9:$B$29,0))&amp;"",""))</f>
        <v/>
      </c>
    </row>
    <row r="3543">
      <c r="X3543" s="20" t="str">
        <f>IF($B3543="","",IFERROR(IF(INDEX(Config!$D$9:$D$29,MATCH($B3543,Config!$B$9:$B$29,0))="Contrato",IF(INDEX(Config!$E$9:$E$29,MATCH($B3543,Config!$B$9:$B$29,0))="","",INDEX(Config!$E$9:$E$29,MATCH($B3543,Config!$B$9:$B$29,0))),""),""))</f>
        <v/>
      </c>
      <c r="AI3543" s="19" t="str">
        <f>IF($B3543="","",IFERROR(INDEX(Config!$D$9:$D$29,MATCH($B3543,Config!$B$9:$B$29,0))&amp;"",""))</f>
        <v/>
      </c>
    </row>
    <row r="3544">
      <c r="X3544" s="20" t="str">
        <f>IF($B3544="","",IFERROR(IF(INDEX(Config!$D$9:$D$29,MATCH($B3544,Config!$B$9:$B$29,0))="Contrato",IF(INDEX(Config!$E$9:$E$29,MATCH($B3544,Config!$B$9:$B$29,0))="","",INDEX(Config!$E$9:$E$29,MATCH($B3544,Config!$B$9:$B$29,0))),""),""))</f>
        <v/>
      </c>
      <c r="AI3544" s="19" t="str">
        <f>IF($B3544="","",IFERROR(INDEX(Config!$D$9:$D$29,MATCH($B3544,Config!$B$9:$B$29,0))&amp;"",""))</f>
        <v/>
      </c>
    </row>
    <row r="3545">
      <c r="X3545" s="20" t="str">
        <f>IF($B3545="","",IFERROR(IF(INDEX(Config!$D$9:$D$29,MATCH($B3545,Config!$B$9:$B$29,0))="Contrato",IF(INDEX(Config!$E$9:$E$29,MATCH($B3545,Config!$B$9:$B$29,0))="","",INDEX(Config!$E$9:$E$29,MATCH($B3545,Config!$B$9:$B$29,0))),""),""))</f>
        <v/>
      </c>
      <c r="AI3545" s="19" t="str">
        <f>IF($B3545="","",IFERROR(INDEX(Config!$D$9:$D$29,MATCH($B3545,Config!$B$9:$B$29,0))&amp;"",""))</f>
        <v/>
      </c>
    </row>
    <row r="3546">
      <c r="X3546" s="20" t="str">
        <f>IF($B3546="","",IFERROR(IF(INDEX(Config!$D$9:$D$29,MATCH($B3546,Config!$B$9:$B$29,0))="Contrato",IF(INDEX(Config!$E$9:$E$29,MATCH($B3546,Config!$B$9:$B$29,0))="","",INDEX(Config!$E$9:$E$29,MATCH($B3546,Config!$B$9:$B$29,0))),""),""))</f>
        <v/>
      </c>
      <c r="AI3546" s="19" t="str">
        <f>IF($B3546="","",IFERROR(INDEX(Config!$D$9:$D$29,MATCH($B3546,Config!$B$9:$B$29,0))&amp;"",""))</f>
        <v/>
      </c>
    </row>
    <row r="3547">
      <c r="X3547" s="20" t="str">
        <f>IF($B3547="","",IFERROR(IF(INDEX(Config!$D$9:$D$29,MATCH($B3547,Config!$B$9:$B$29,0))="Contrato",IF(INDEX(Config!$E$9:$E$29,MATCH($B3547,Config!$B$9:$B$29,0))="","",INDEX(Config!$E$9:$E$29,MATCH($B3547,Config!$B$9:$B$29,0))),""),""))</f>
        <v/>
      </c>
      <c r="AI3547" s="19" t="str">
        <f>IF($B3547="","",IFERROR(INDEX(Config!$D$9:$D$29,MATCH($B3547,Config!$B$9:$B$29,0))&amp;"",""))</f>
        <v/>
      </c>
    </row>
    <row r="3548">
      <c r="X3548" s="20" t="str">
        <f>IF($B3548="","",IFERROR(IF(INDEX(Config!$D$9:$D$29,MATCH($B3548,Config!$B$9:$B$29,0))="Contrato",IF(INDEX(Config!$E$9:$E$29,MATCH($B3548,Config!$B$9:$B$29,0))="","",INDEX(Config!$E$9:$E$29,MATCH($B3548,Config!$B$9:$B$29,0))),""),""))</f>
        <v/>
      </c>
      <c r="AI3548" s="19" t="str">
        <f>IF($B3548="","",IFERROR(INDEX(Config!$D$9:$D$29,MATCH($B3548,Config!$B$9:$B$29,0))&amp;"",""))</f>
        <v/>
      </c>
    </row>
    <row r="3549">
      <c r="X3549" s="20" t="str">
        <f>IF($B3549="","",IFERROR(IF(INDEX(Config!$D$9:$D$29,MATCH($B3549,Config!$B$9:$B$29,0))="Contrato",IF(INDEX(Config!$E$9:$E$29,MATCH($B3549,Config!$B$9:$B$29,0))="","",INDEX(Config!$E$9:$E$29,MATCH($B3549,Config!$B$9:$B$29,0))),""),""))</f>
        <v/>
      </c>
      <c r="AI3549" s="19" t="str">
        <f>IF($B3549="","",IFERROR(INDEX(Config!$D$9:$D$29,MATCH($B3549,Config!$B$9:$B$29,0))&amp;"",""))</f>
        <v/>
      </c>
    </row>
    <row r="3550">
      <c r="X3550" s="20" t="str">
        <f>IF($B3550="","",IFERROR(IF(INDEX(Config!$D$9:$D$29,MATCH($B3550,Config!$B$9:$B$29,0))="Contrato",IF(INDEX(Config!$E$9:$E$29,MATCH($B3550,Config!$B$9:$B$29,0))="","",INDEX(Config!$E$9:$E$29,MATCH($B3550,Config!$B$9:$B$29,0))),""),""))</f>
        <v/>
      </c>
      <c r="AI3550" s="19" t="str">
        <f>IF($B3550="","",IFERROR(INDEX(Config!$D$9:$D$29,MATCH($B3550,Config!$B$9:$B$29,0))&amp;"",""))</f>
        <v/>
      </c>
    </row>
    <row r="3551">
      <c r="X3551" s="20" t="str">
        <f>IF($B3551="","",IFERROR(IF(INDEX(Config!$D$9:$D$29,MATCH($B3551,Config!$B$9:$B$29,0))="Contrato",IF(INDEX(Config!$E$9:$E$29,MATCH($B3551,Config!$B$9:$B$29,0))="","",INDEX(Config!$E$9:$E$29,MATCH($B3551,Config!$B$9:$B$29,0))),""),""))</f>
        <v/>
      </c>
      <c r="AI3551" s="19" t="str">
        <f>IF($B3551="","",IFERROR(INDEX(Config!$D$9:$D$29,MATCH($B3551,Config!$B$9:$B$29,0))&amp;"",""))</f>
        <v/>
      </c>
    </row>
    <row r="3552">
      <c r="X3552" s="20" t="str">
        <f>IF($B3552="","",IFERROR(IF(INDEX(Config!$D$9:$D$29,MATCH($B3552,Config!$B$9:$B$29,0))="Contrato",IF(INDEX(Config!$E$9:$E$29,MATCH($B3552,Config!$B$9:$B$29,0))="","",INDEX(Config!$E$9:$E$29,MATCH($B3552,Config!$B$9:$B$29,0))),""),""))</f>
        <v/>
      </c>
      <c r="AI3552" s="19" t="str">
        <f>IF($B3552="","",IFERROR(INDEX(Config!$D$9:$D$29,MATCH($B3552,Config!$B$9:$B$29,0))&amp;"",""))</f>
        <v/>
      </c>
    </row>
    <row r="3553">
      <c r="X3553" s="20" t="str">
        <f>IF($B3553="","",IFERROR(IF(INDEX(Config!$D$9:$D$29,MATCH($B3553,Config!$B$9:$B$29,0))="Contrato",IF(INDEX(Config!$E$9:$E$29,MATCH($B3553,Config!$B$9:$B$29,0))="","",INDEX(Config!$E$9:$E$29,MATCH($B3553,Config!$B$9:$B$29,0))),""),""))</f>
        <v/>
      </c>
      <c r="AI3553" s="19" t="str">
        <f>IF($B3553="","",IFERROR(INDEX(Config!$D$9:$D$29,MATCH($B3553,Config!$B$9:$B$29,0))&amp;"",""))</f>
        <v/>
      </c>
    </row>
    <row r="3554">
      <c r="X3554" s="20" t="str">
        <f>IF($B3554="","",IFERROR(IF(INDEX(Config!$D$9:$D$29,MATCH($B3554,Config!$B$9:$B$29,0))="Contrato",IF(INDEX(Config!$E$9:$E$29,MATCH($B3554,Config!$B$9:$B$29,0))="","",INDEX(Config!$E$9:$E$29,MATCH($B3554,Config!$B$9:$B$29,0))),""),""))</f>
        <v/>
      </c>
      <c r="AI3554" s="19" t="str">
        <f>IF($B3554="","",IFERROR(INDEX(Config!$D$9:$D$29,MATCH($B3554,Config!$B$9:$B$29,0))&amp;"",""))</f>
        <v/>
      </c>
    </row>
    <row r="3555">
      <c r="X3555" s="20" t="str">
        <f>IF($B3555="","",IFERROR(IF(INDEX(Config!$D$9:$D$29,MATCH($B3555,Config!$B$9:$B$29,0))="Contrato",IF(INDEX(Config!$E$9:$E$29,MATCH($B3555,Config!$B$9:$B$29,0))="","",INDEX(Config!$E$9:$E$29,MATCH($B3555,Config!$B$9:$B$29,0))),""),""))</f>
        <v/>
      </c>
      <c r="AI3555" s="19" t="str">
        <f>IF($B3555="","",IFERROR(INDEX(Config!$D$9:$D$29,MATCH($B3555,Config!$B$9:$B$29,0))&amp;"",""))</f>
        <v/>
      </c>
    </row>
    <row r="3556">
      <c r="X3556" s="20" t="str">
        <f>IF($B3556="","",IFERROR(IF(INDEX(Config!$D$9:$D$29,MATCH($B3556,Config!$B$9:$B$29,0))="Contrato",IF(INDEX(Config!$E$9:$E$29,MATCH($B3556,Config!$B$9:$B$29,0))="","",INDEX(Config!$E$9:$E$29,MATCH($B3556,Config!$B$9:$B$29,0))),""),""))</f>
        <v/>
      </c>
      <c r="AI3556" s="19" t="str">
        <f>IF($B3556="","",IFERROR(INDEX(Config!$D$9:$D$29,MATCH($B3556,Config!$B$9:$B$29,0))&amp;"",""))</f>
        <v/>
      </c>
    </row>
    <row r="3557">
      <c r="X3557" s="20" t="str">
        <f>IF($B3557="","",IFERROR(IF(INDEX(Config!$D$9:$D$29,MATCH($B3557,Config!$B$9:$B$29,0))="Contrato",IF(INDEX(Config!$E$9:$E$29,MATCH($B3557,Config!$B$9:$B$29,0))="","",INDEX(Config!$E$9:$E$29,MATCH($B3557,Config!$B$9:$B$29,0))),""),""))</f>
        <v/>
      </c>
      <c r="AI3557" s="19" t="str">
        <f>IF($B3557="","",IFERROR(INDEX(Config!$D$9:$D$29,MATCH($B3557,Config!$B$9:$B$29,0))&amp;"",""))</f>
        <v/>
      </c>
    </row>
    <row r="3558">
      <c r="X3558" s="20" t="str">
        <f>IF($B3558="","",IFERROR(IF(INDEX(Config!$D$9:$D$29,MATCH($B3558,Config!$B$9:$B$29,0))="Contrato",IF(INDEX(Config!$E$9:$E$29,MATCH($B3558,Config!$B$9:$B$29,0))="","",INDEX(Config!$E$9:$E$29,MATCH($B3558,Config!$B$9:$B$29,0))),""),""))</f>
        <v/>
      </c>
      <c r="AI3558" s="19" t="str">
        <f>IF($B3558="","",IFERROR(INDEX(Config!$D$9:$D$29,MATCH($B3558,Config!$B$9:$B$29,0))&amp;"",""))</f>
        <v/>
      </c>
    </row>
    <row r="3559">
      <c r="X3559" s="20" t="str">
        <f>IF($B3559="","",IFERROR(IF(INDEX(Config!$D$9:$D$29,MATCH($B3559,Config!$B$9:$B$29,0))="Contrato",IF(INDEX(Config!$E$9:$E$29,MATCH($B3559,Config!$B$9:$B$29,0))="","",INDEX(Config!$E$9:$E$29,MATCH($B3559,Config!$B$9:$B$29,0))),""),""))</f>
        <v/>
      </c>
      <c r="AI3559" s="19" t="str">
        <f>IF($B3559="","",IFERROR(INDEX(Config!$D$9:$D$29,MATCH($B3559,Config!$B$9:$B$29,0))&amp;"",""))</f>
        <v/>
      </c>
    </row>
    <row r="3560">
      <c r="X3560" s="20" t="str">
        <f>IF($B3560="","",IFERROR(IF(INDEX(Config!$D$9:$D$29,MATCH($B3560,Config!$B$9:$B$29,0))="Contrato",IF(INDEX(Config!$E$9:$E$29,MATCH($B3560,Config!$B$9:$B$29,0))="","",INDEX(Config!$E$9:$E$29,MATCH($B3560,Config!$B$9:$B$29,0))),""),""))</f>
        <v/>
      </c>
      <c r="AI3560" s="19" t="str">
        <f>IF($B3560="","",IFERROR(INDEX(Config!$D$9:$D$29,MATCH($B3560,Config!$B$9:$B$29,0))&amp;"",""))</f>
        <v/>
      </c>
    </row>
    <row r="3561">
      <c r="X3561" s="20" t="str">
        <f>IF($B3561="","",IFERROR(IF(INDEX(Config!$D$9:$D$29,MATCH($B3561,Config!$B$9:$B$29,0))="Contrato",IF(INDEX(Config!$E$9:$E$29,MATCH($B3561,Config!$B$9:$B$29,0))="","",INDEX(Config!$E$9:$E$29,MATCH($B3561,Config!$B$9:$B$29,0))),""),""))</f>
        <v/>
      </c>
      <c r="AI3561" s="19" t="str">
        <f>IF($B3561="","",IFERROR(INDEX(Config!$D$9:$D$29,MATCH($B3561,Config!$B$9:$B$29,0))&amp;"",""))</f>
        <v/>
      </c>
    </row>
    <row r="3562">
      <c r="X3562" s="20" t="str">
        <f>IF($B3562="","",IFERROR(IF(INDEX(Config!$D$9:$D$29,MATCH($B3562,Config!$B$9:$B$29,0))="Contrato",IF(INDEX(Config!$E$9:$E$29,MATCH($B3562,Config!$B$9:$B$29,0))="","",INDEX(Config!$E$9:$E$29,MATCH($B3562,Config!$B$9:$B$29,0))),""),""))</f>
        <v/>
      </c>
      <c r="AI3562" s="19" t="str">
        <f>IF($B3562="","",IFERROR(INDEX(Config!$D$9:$D$29,MATCH($B3562,Config!$B$9:$B$29,0))&amp;"",""))</f>
        <v/>
      </c>
    </row>
    <row r="3563">
      <c r="X3563" s="20" t="str">
        <f>IF($B3563="","",IFERROR(IF(INDEX(Config!$D$9:$D$29,MATCH($B3563,Config!$B$9:$B$29,0))="Contrato",IF(INDEX(Config!$E$9:$E$29,MATCH($B3563,Config!$B$9:$B$29,0))="","",INDEX(Config!$E$9:$E$29,MATCH($B3563,Config!$B$9:$B$29,0))),""),""))</f>
        <v/>
      </c>
      <c r="AI3563" s="19" t="str">
        <f>IF($B3563="","",IFERROR(INDEX(Config!$D$9:$D$29,MATCH($B3563,Config!$B$9:$B$29,0))&amp;"",""))</f>
        <v/>
      </c>
    </row>
    <row r="3564">
      <c r="X3564" s="20" t="str">
        <f>IF($B3564="","",IFERROR(IF(INDEX(Config!$D$9:$D$29,MATCH($B3564,Config!$B$9:$B$29,0))="Contrato",IF(INDEX(Config!$E$9:$E$29,MATCH($B3564,Config!$B$9:$B$29,0))="","",INDEX(Config!$E$9:$E$29,MATCH($B3564,Config!$B$9:$B$29,0))),""),""))</f>
        <v/>
      </c>
      <c r="AI3564" s="19" t="str">
        <f>IF($B3564="","",IFERROR(INDEX(Config!$D$9:$D$29,MATCH($B3564,Config!$B$9:$B$29,0))&amp;"",""))</f>
        <v/>
      </c>
    </row>
    <row r="3565">
      <c r="X3565" s="20" t="str">
        <f>IF($B3565="","",IFERROR(IF(INDEX(Config!$D$9:$D$29,MATCH($B3565,Config!$B$9:$B$29,0))="Contrato",IF(INDEX(Config!$E$9:$E$29,MATCH($B3565,Config!$B$9:$B$29,0))="","",INDEX(Config!$E$9:$E$29,MATCH($B3565,Config!$B$9:$B$29,0))),""),""))</f>
        <v/>
      </c>
      <c r="AI3565" s="19" t="str">
        <f>IF($B3565="","",IFERROR(INDEX(Config!$D$9:$D$29,MATCH($B3565,Config!$B$9:$B$29,0))&amp;"",""))</f>
        <v/>
      </c>
    </row>
    <row r="3566">
      <c r="X3566" s="20" t="str">
        <f>IF($B3566="","",IFERROR(IF(INDEX(Config!$D$9:$D$29,MATCH($B3566,Config!$B$9:$B$29,0))="Contrato",IF(INDEX(Config!$E$9:$E$29,MATCH($B3566,Config!$B$9:$B$29,0))="","",INDEX(Config!$E$9:$E$29,MATCH($B3566,Config!$B$9:$B$29,0))),""),""))</f>
        <v/>
      </c>
      <c r="AI3566" s="19" t="str">
        <f>IF($B3566="","",IFERROR(INDEX(Config!$D$9:$D$29,MATCH($B3566,Config!$B$9:$B$29,0))&amp;"",""))</f>
        <v/>
      </c>
    </row>
    <row r="3567">
      <c r="X3567" s="20" t="str">
        <f>IF($B3567="","",IFERROR(IF(INDEX(Config!$D$9:$D$29,MATCH($B3567,Config!$B$9:$B$29,0))="Contrato",IF(INDEX(Config!$E$9:$E$29,MATCH($B3567,Config!$B$9:$B$29,0))="","",INDEX(Config!$E$9:$E$29,MATCH($B3567,Config!$B$9:$B$29,0))),""),""))</f>
        <v/>
      </c>
      <c r="AI3567" s="19" t="str">
        <f>IF($B3567="","",IFERROR(INDEX(Config!$D$9:$D$29,MATCH($B3567,Config!$B$9:$B$29,0))&amp;"",""))</f>
        <v/>
      </c>
    </row>
    <row r="3568">
      <c r="X3568" s="20" t="str">
        <f>IF($B3568="","",IFERROR(IF(INDEX(Config!$D$9:$D$29,MATCH($B3568,Config!$B$9:$B$29,0))="Contrato",IF(INDEX(Config!$E$9:$E$29,MATCH($B3568,Config!$B$9:$B$29,0))="","",INDEX(Config!$E$9:$E$29,MATCH($B3568,Config!$B$9:$B$29,0))),""),""))</f>
        <v/>
      </c>
      <c r="AI3568" s="19" t="str">
        <f>IF($B3568="","",IFERROR(INDEX(Config!$D$9:$D$29,MATCH($B3568,Config!$B$9:$B$29,0))&amp;"",""))</f>
        <v/>
      </c>
    </row>
    <row r="3569">
      <c r="X3569" s="20" t="str">
        <f>IF($B3569="","",IFERROR(IF(INDEX(Config!$D$9:$D$29,MATCH($B3569,Config!$B$9:$B$29,0))="Contrato",IF(INDEX(Config!$E$9:$E$29,MATCH($B3569,Config!$B$9:$B$29,0))="","",INDEX(Config!$E$9:$E$29,MATCH($B3569,Config!$B$9:$B$29,0))),""),""))</f>
        <v/>
      </c>
      <c r="AI3569" s="19" t="str">
        <f>IF($B3569="","",IFERROR(INDEX(Config!$D$9:$D$29,MATCH($B3569,Config!$B$9:$B$29,0))&amp;"",""))</f>
        <v/>
      </c>
    </row>
    <row r="3570">
      <c r="X3570" s="20" t="str">
        <f>IF($B3570="","",IFERROR(IF(INDEX(Config!$D$9:$D$29,MATCH($B3570,Config!$B$9:$B$29,0))="Contrato",IF(INDEX(Config!$E$9:$E$29,MATCH($B3570,Config!$B$9:$B$29,0))="","",INDEX(Config!$E$9:$E$29,MATCH($B3570,Config!$B$9:$B$29,0))),""),""))</f>
        <v/>
      </c>
      <c r="AI3570" s="19" t="str">
        <f>IF($B3570="","",IFERROR(INDEX(Config!$D$9:$D$29,MATCH($B3570,Config!$B$9:$B$29,0))&amp;"",""))</f>
        <v/>
      </c>
    </row>
    <row r="3571">
      <c r="X3571" s="20" t="str">
        <f>IF($B3571="","",IFERROR(IF(INDEX(Config!$D$9:$D$29,MATCH($B3571,Config!$B$9:$B$29,0))="Contrato",IF(INDEX(Config!$E$9:$E$29,MATCH($B3571,Config!$B$9:$B$29,0))="","",INDEX(Config!$E$9:$E$29,MATCH($B3571,Config!$B$9:$B$29,0))),""),""))</f>
        <v/>
      </c>
      <c r="AI3571" s="19" t="str">
        <f>IF($B3571="","",IFERROR(INDEX(Config!$D$9:$D$29,MATCH($B3571,Config!$B$9:$B$29,0))&amp;"",""))</f>
        <v/>
      </c>
    </row>
    <row r="3572">
      <c r="X3572" s="20" t="str">
        <f>IF($B3572="","",IFERROR(IF(INDEX(Config!$D$9:$D$29,MATCH($B3572,Config!$B$9:$B$29,0))="Contrato",IF(INDEX(Config!$E$9:$E$29,MATCH($B3572,Config!$B$9:$B$29,0))="","",INDEX(Config!$E$9:$E$29,MATCH($B3572,Config!$B$9:$B$29,0))),""),""))</f>
        <v/>
      </c>
      <c r="AI3572" s="19" t="str">
        <f>IF($B3572="","",IFERROR(INDEX(Config!$D$9:$D$29,MATCH($B3572,Config!$B$9:$B$29,0))&amp;"",""))</f>
        <v/>
      </c>
    </row>
    <row r="3573">
      <c r="X3573" s="20" t="str">
        <f>IF($B3573="","",IFERROR(IF(INDEX(Config!$D$9:$D$29,MATCH($B3573,Config!$B$9:$B$29,0))="Contrato",IF(INDEX(Config!$E$9:$E$29,MATCH($B3573,Config!$B$9:$B$29,0))="","",INDEX(Config!$E$9:$E$29,MATCH($B3573,Config!$B$9:$B$29,0))),""),""))</f>
        <v/>
      </c>
      <c r="AI3573" s="19" t="str">
        <f>IF($B3573="","",IFERROR(INDEX(Config!$D$9:$D$29,MATCH($B3573,Config!$B$9:$B$29,0))&amp;"",""))</f>
        <v/>
      </c>
    </row>
    <row r="3574">
      <c r="X3574" s="20" t="str">
        <f>IF($B3574="","",IFERROR(IF(INDEX(Config!$D$9:$D$29,MATCH($B3574,Config!$B$9:$B$29,0))="Contrato",IF(INDEX(Config!$E$9:$E$29,MATCH($B3574,Config!$B$9:$B$29,0))="","",INDEX(Config!$E$9:$E$29,MATCH($B3574,Config!$B$9:$B$29,0))),""),""))</f>
        <v/>
      </c>
      <c r="AI3574" s="19" t="str">
        <f>IF($B3574="","",IFERROR(INDEX(Config!$D$9:$D$29,MATCH($B3574,Config!$B$9:$B$29,0))&amp;"",""))</f>
        <v/>
      </c>
    </row>
    <row r="3575">
      <c r="X3575" s="20" t="str">
        <f>IF($B3575="","",IFERROR(IF(INDEX(Config!$D$9:$D$29,MATCH($B3575,Config!$B$9:$B$29,0))="Contrato",IF(INDEX(Config!$E$9:$E$29,MATCH($B3575,Config!$B$9:$B$29,0))="","",INDEX(Config!$E$9:$E$29,MATCH($B3575,Config!$B$9:$B$29,0))),""),""))</f>
        <v/>
      </c>
      <c r="AI3575" s="19" t="str">
        <f>IF($B3575="","",IFERROR(INDEX(Config!$D$9:$D$29,MATCH($B3575,Config!$B$9:$B$29,0))&amp;"",""))</f>
        <v/>
      </c>
    </row>
    <row r="3576">
      <c r="X3576" s="20" t="str">
        <f>IF($B3576="","",IFERROR(IF(INDEX(Config!$D$9:$D$29,MATCH($B3576,Config!$B$9:$B$29,0))="Contrato",IF(INDEX(Config!$E$9:$E$29,MATCH($B3576,Config!$B$9:$B$29,0))="","",INDEX(Config!$E$9:$E$29,MATCH($B3576,Config!$B$9:$B$29,0))),""),""))</f>
        <v/>
      </c>
      <c r="AI3576" s="19" t="str">
        <f>IF($B3576="","",IFERROR(INDEX(Config!$D$9:$D$29,MATCH($B3576,Config!$B$9:$B$29,0))&amp;"",""))</f>
        <v/>
      </c>
    </row>
    <row r="3577">
      <c r="X3577" s="20" t="str">
        <f>IF($B3577="","",IFERROR(IF(INDEX(Config!$D$9:$D$29,MATCH($B3577,Config!$B$9:$B$29,0))="Contrato",IF(INDEX(Config!$E$9:$E$29,MATCH($B3577,Config!$B$9:$B$29,0))="","",INDEX(Config!$E$9:$E$29,MATCH($B3577,Config!$B$9:$B$29,0))),""),""))</f>
        <v/>
      </c>
      <c r="AI3577" s="19" t="str">
        <f>IF($B3577="","",IFERROR(INDEX(Config!$D$9:$D$29,MATCH($B3577,Config!$B$9:$B$29,0))&amp;"",""))</f>
        <v/>
      </c>
    </row>
    <row r="3578">
      <c r="X3578" s="20" t="str">
        <f>IF($B3578="","",IFERROR(IF(INDEX(Config!$D$9:$D$29,MATCH($B3578,Config!$B$9:$B$29,0))="Contrato",IF(INDEX(Config!$E$9:$E$29,MATCH($B3578,Config!$B$9:$B$29,0))="","",INDEX(Config!$E$9:$E$29,MATCH($B3578,Config!$B$9:$B$29,0))),""),""))</f>
        <v/>
      </c>
      <c r="AI3578" s="19" t="str">
        <f>IF($B3578="","",IFERROR(INDEX(Config!$D$9:$D$29,MATCH($B3578,Config!$B$9:$B$29,0))&amp;"",""))</f>
        <v/>
      </c>
    </row>
    <row r="3579">
      <c r="X3579" s="20" t="str">
        <f>IF($B3579="","",IFERROR(IF(INDEX(Config!$D$9:$D$29,MATCH($B3579,Config!$B$9:$B$29,0))="Contrato",IF(INDEX(Config!$E$9:$E$29,MATCH($B3579,Config!$B$9:$B$29,0))="","",INDEX(Config!$E$9:$E$29,MATCH($B3579,Config!$B$9:$B$29,0))),""),""))</f>
        <v/>
      </c>
      <c r="AI3579" s="19" t="str">
        <f>IF($B3579="","",IFERROR(INDEX(Config!$D$9:$D$29,MATCH($B3579,Config!$B$9:$B$29,0))&amp;"",""))</f>
        <v/>
      </c>
    </row>
    <row r="3580">
      <c r="X3580" s="20" t="str">
        <f>IF($B3580="","",IFERROR(IF(INDEX(Config!$D$9:$D$29,MATCH($B3580,Config!$B$9:$B$29,0))="Contrato",IF(INDEX(Config!$E$9:$E$29,MATCH($B3580,Config!$B$9:$B$29,0))="","",INDEX(Config!$E$9:$E$29,MATCH($B3580,Config!$B$9:$B$29,0))),""),""))</f>
        <v/>
      </c>
      <c r="AI3580" s="19" t="str">
        <f>IF($B3580="","",IFERROR(INDEX(Config!$D$9:$D$29,MATCH($B3580,Config!$B$9:$B$29,0))&amp;"",""))</f>
        <v/>
      </c>
    </row>
    <row r="3581">
      <c r="X3581" s="20" t="str">
        <f>IF($B3581="","",IFERROR(IF(INDEX(Config!$D$9:$D$29,MATCH($B3581,Config!$B$9:$B$29,0))="Contrato",IF(INDEX(Config!$E$9:$E$29,MATCH($B3581,Config!$B$9:$B$29,0))="","",INDEX(Config!$E$9:$E$29,MATCH($B3581,Config!$B$9:$B$29,0))),""),""))</f>
        <v/>
      </c>
      <c r="AI3581" s="19" t="str">
        <f>IF($B3581="","",IFERROR(INDEX(Config!$D$9:$D$29,MATCH($B3581,Config!$B$9:$B$29,0))&amp;"",""))</f>
        <v/>
      </c>
    </row>
    <row r="3582">
      <c r="X3582" s="20" t="str">
        <f>IF($B3582="","",IFERROR(IF(INDEX(Config!$D$9:$D$29,MATCH($B3582,Config!$B$9:$B$29,0))="Contrato",IF(INDEX(Config!$E$9:$E$29,MATCH($B3582,Config!$B$9:$B$29,0))="","",INDEX(Config!$E$9:$E$29,MATCH($B3582,Config!$B$9:$B$29,0))),""),""))</f>
        <v/>
      </c>
      <c r="AI3582" s="19" t="str">
        <f>IF($B3582="","",IFERROR(INDEX(Config!$D$9:$D$29,MATCH($B3582,Config!$B$9:$B$29,0))&amp;"",""))</f>
        <v/>
      </c>
    </row>
    <row r="3583">
      <c r="X3583" s="20" t="str">
        <f>IF($B3583="","",IFERROR(IF(INDEX(Config!$D$9:$D$29,MATCH($B3583,Config!$B$9:$B$29,0))="Contrato",IF(INDEX(Config!$E$9:$E$29,MATCH($B3583,Config!$B$9:$B$29,0))="","",INDEX(Config!$E$9:$E$29,MATCH($B3583,Config!$B$9:$B$29,0))),""),""))</f>
        <v/>
      </c>
      <c r="AI3583" s="19" t="str">
        <f>IF($B3583="","",IFERROR(INDEX(Config!$D$9:$D$29,MATCH($B3583,Config!$B$9:$B$29,0))&amp;"",""))</f>
        <v/>
      </c>
    </row>
    <row r="3584">
      <c r="X3584" s="20" t="str">
        <f>IF($B3584="","",IFERROR(IF(INDEX(Config!$D$9:$D$29,MATCH($B3584,Config!$B$9:$B$29,0))="Contrato",IF(INDEX(Config!$E$9:$E$29,MATCH($B3584,Config!$B$9:$B$29,0))="","",INDEX(Config!$E$9:$E$29,MATCH($B3584,Config!$B$9:$B$29,0))),""),""))</f>
        <v/>
      </c>
      <c r="AI3584" s="19" t="str">
        <f>IF($B3584="","",IFERROR(INDEX(Config!$D$9:$D$29,MATCH($B3584,Config!$B$9:$B$29,0))&amp;"",""))</f>
        <v/>
      </c>
    </row>
    <row r="3585">
      <c r="X3585" s="20" t="str">
        <f>IF($B3585="","",IFERROR(IF(INDEX(Config!$D$9:$D$29,MATCH($B3585,Config!$B$9:$B$29,0))="Contrato",IF(INDEX(Config!$E$9:$E$29,MATCH($B3585,Config!$B$9:$B$29,0))="","",INDEX(Config!$E$9:$E$29,MATCH($B3585,Config!$B$9:$B$29,0))),""),""))</f>
        <v/>
      </c>
      <c r="AI3585" s="19" t="str">
        <f>IF($B3585="","",IFERROR(INDEX(Config!$D$9:$D$29,MATCH($B3585,Config!$B$9:$B$29,0))&amp;"",""))</f>
        <v/>
      </c>
    </row>
    <row r="3586">
      <c r="X3586" s="20" t="str">
        <f>IF($B3586="","",IFERROR(IF(INDEX(Config!$D$9:$D$29,MATCH($B3586,Config!$B$9:$B$29,0))="Contrato",IF(INDEX(Config!$E$9:$E$29,MATCH($B3586,Config!$B$9:$B$29,0))="","",INDEX(Config!$E$9:$E$29,MATCH($B3586,Config!$B$9:$B$29,0))),""),""))</f>
        <v/>
      </c>
      <c r="AI3586" s="19" t="str">
        <f>IF($B3586="","",IFERROR(INDEX(Config!$D$9:$D$29,MATCH($B3586,Config!$B$9:$B$29,0))&amp;"",""))</f>
        <v/>
      </c>
    </row>
    <row r="3587">
      <c r="X3587" s="20" t="str">
        <f>IF($B3587="","",IFERROR(IF(INDEX(Config!$D$9:$D$29,MATCH($B3587,Config!$B$9:$B$29,0))="Contrato",IF(INDEX(Config!$E$9:$E$29,MATCH($B3587,Config!$B$9:$B$29,0))="","",INDEX(Config!$E$9:$E$29,MATCH($B3587,Config!$B$9:$B$29,0))),""),""))</f>
        <v/>
      </c>
      <c r="AI3587" s="19" t="str">
        <f>IF($B3587="","",IFERROR(INDEX(Config!$D$9:$D$29,MATCH($B3587,Config!$B$9:$B$29,0))&amp;"",""))</f>
        <v/>
      </c>
    </row>
    <row r="3588">
      <c r="X3588" s="20" t="str">
        <f>IF($B3588="","",IFERROR(IF(INDEX(Config!$D$9:$D$29,MATCH($B3588,Config!$B$9:$B$29,0))="Contrato",IF(INDEX(Config!$E$9:$E$29,MATCH($B3588,Config!$B$9:$B$29,0))="","",INDEX(Config!$E$9:$E$29,MATCH($B3588,Config!$B$9:$B$29,0))),""),""))</f>
        <v/>
      </c>
      <c r="AI3588" s="19" t="str">
        <f>IF($B3588="","",IFERROR(INDEX(Config!$D$9:$D$29,MATCH($B3588,Config!$B$9:$B$29,0))&amp;"",""))</f>
        <v/>
      </c>
    </row>
    <row r="3589">
      <c r="X3589" s="20" t="str">
        <f>IF($B3589="","",IFERROR(IF(INDEX(Config!$D$9:$D$29,MATCH($B3589,Config!$B$9:$B$29,0))="Contrato",IF(INDEX(Config!$E$9:$E$29,MATCH($B3589,Config!$B$9:$B$29,0))="","",INDEX(Config!$E$9:$E$29,MATCH($B3589,Config!$B$9:$B$29,0))),""),""))</f>
        <v/>
      </c>
      <c r="AI3589" s="19" t="str">
        <f>IF($B3589="","",IFERROR(INDEX(Config!$D$9:$D$29,MATCH($B3589,Config!$B$9:$B$29,0))&amp;"",""))</f>
        <v/>
      </c>
    </row>
    <row r="3590">
      <c r="X3590" s="20" t="str">
        <f>IF($B3590="","",IFERROR(IF(INDEX(Config!$D$9:$D$29,MATCH($B3590,Config!$B$9:$B$29,0))="Contrato",IF(INDEX(Config!$E$9:$E$29,MATCH($B3590,Config!$B$9:$B$29,0))="","",INDEX(Config!$E$9:$E$29,MATCH($B3590,Config!$B$9:$B$29,0))),""),""))</f>
        <v/>
      </c>
      <c r="AI3590" s="19" t="str">
        <f>IF($B3590="","",IFERROR(INDEX(Config!$D$9:$D$29,MATCH($B3590,Config!$B$9:$B$29,0))&amp;"",""))</f>
        <v/>
      </c>
    </row>
    <row r="3591">
      <c r="X3591" s="20" t="str">
        <f>IF($B3591="","",IFERROR(IF(INDEX(Config!$D$9:$D$29,MATCH($B3591,Config!$B$9:$B$29,0))="Contrato",IF(INDEX(Config!$E$9:$E$29,MATCH($B3591,Config!$B$9:$B$29,0))="","",INDEX(Config!$E$9:$E$29,MATCH($B3591,Config!$B$9:$B$29,0))),""),""))</f>
        <v/>
      </c>
      <c r="AI3591" s="19" t="str">
        <f>IF($B3591="","",IFERROR(INDEX(Config!$D$9:$D$29,MATCH($B3591,Config!$B$9:$B$29,0))&amp;"",""))</f>
        <v/>
      </c>
    </row>
    <row r="3592">
      <c r="X3592" s="20" t="str">
        <f>IF($B3592="","",IFERROR(IF(INDEX(Config!$D$9:$D$29,MATCH($B3592,Config!$B$9:$B$29,0))="Contrato",IF(INDEX(Config!$E$9:$E$29,MATCH($B3592,Config!$B$9:$B$29,0))="","",INDEX(Config!$E$9:$E$29,MATCH($B3592,Config!$B$9:$B$29,0))),""),""))</f>
        <v/>
      </c>
      <c r="AI3592" s="19" t="str">
        <f>IF($B3592="","",IFERROR(INDEX(Config!$D$9:$D$29,MATCH($B3592,Config!$B$9:$B$29,0))&amp;"",""))</f>
        <v/>
      </c>
    </row>
    <row r="3593">
      <c r="X3593" s="20" t="str">
        <f>IF($B3593="","",IFERROR(IF(INDEX(Config!$D$9:$D$29,MATCH($B3593,Config!$B$9:$B$29,0))="Contrato",IF(INDEX(Config!$E$9:$E$29,MATCH($B3593,Config!$B$9:$B$29,0))="","",INDEX(Config!$E$9:$E$29,MATCH($B3593,Config!$B$9:$B$29,0))),""),""))</f>
        <v/>
      </c>
      <c r="AI3593" s="19" t="str">
        <f>IF($B3593="","",IFERROR(INDEX(Config!$D$9:$D$29,MATCH($B3593,Config!$B$9:$B$29,0))&amp;"",""))</f>
        <v/>
      </c>
    </row>
    <row r="3594">
      <c r="X3594" s="20" t="str">
        <f>IF($B3594="","",IFERROR(IF(INDEX(Config!$D$9:$D$29,MATCH($B3594,Config!$B$9:$B$29,0))="Contrato",IF(INDEX(Config!$E$9:$E$29,MATCH($B3594,Config!$B$9:$B$29,0))="","",INDEX(Config!$E$9:$E$29,MATCH($B3594,Config!$B$9:$B$29,0))),""),""))</f>
        <v/>
      </c>
      <c r="AI3594" s="19" t="str">
        <f>IF($B3594="","",IFERROR(INDEX(Config!$D$9:$D$29,MATCH($B3594,Config!$B$9:$B$29,0))&amp;"",""))</f>
        <v/>
      </c>
    </row>
    <row r="3595">
      <c r="X3595" s="20" t="str">
        <f>IF($B3595="","",IFERROR(IF(INDEX(Config!$D$9:$D$29,MATCH($B3595,Config!$B$9:$B$29,0))="Contrato",IF(INDEX(Config!$E$9:$E$29,MATCH($B3595,Config!$B$9:$B$29,0))="","",INDEX(Config!$E$9:$E$29,MATCH($B3595,Config!$B$9:$B$29,0))),""),""))</f>
        <v/>
      </c>
      <c r="AI3595" s="19" t="str">
        <f>IF($B3595="","",IFERROR(INDEX(Config!$D$9:$D$29,MATCH($B3595,Config!$B$9:$B$29,0))&amp;"",""))</f>
        <v/>
      </c>
    </row>
    <row r="3596">
      <c r="X3596" s="20" t="str">
        <f>IF($B3596="","",IFERROR(IF(INDEX(Config!$D$9:$D$29,MATCH($B3596,Config!$B$9:$B$29,0))="Contrato",IF(INDEX(Config!$E$9:$E$29,MATCH($B3596,Config!$B$9:$B$29,0))="","",INDEX(Config!$E$9:$E$29,MATCH($B3596,Config!$B$9:$B$29,0))),""),""))</f>
        <v/>
      </c>
      <c r="AI3596" s="19" t="str">
        <f>IF($B3596="","",IFERROR(INDEX(Config!$D$9:$D$29,MATCH($B3596,Config!$B$9:$B$29,0))&amp;"",""))</f>
        <v/>
      </c>
    </row>
    <row r="3597">
      <c r="X3597" s="20" t="str">
        <f>IF($B3597="","",IFERROR(IF(INDEX(Config!$D$9:$D$29,MATCH($B3597,Config!$B$9:$B$29,0))="Contrato",IF(INDEX(Config!$E$9:$E$29,MATCH($B3597,Config!$B$9:$B$29,0))="","",INDEX(Config!$E$9:$E$29,MATCH($B3597,Config!$B$9:$B$29,0))),""),""))</f>
        <v/>
      </c>
      <c r="AI3597" s="19" t="str">
        <f>IF($B3597="","",IFERROR(INDEX(Config!$D$9:$D$29,MATCH($B3597,Config!$B$9:$B$29,0))&amp;"",""))</f>
        <v/>
      </c>
    </row>
    <row r="3598">
      <c r="X3598" s="20" t="str">
        <f>IF($B3598="","",IFERROR(IF(INDEX(Config!$D$9:$D$29,MATCH($B3598,Config!$B$9:$B$29,0))="Contrato",IF(INDEX(Config!$E$9:$E$29,MATCH($B3598,Config!$B$9:$B$29,0))="","",INDEX(Config!$E$9:$E$29,MATCH($B3598,Config!$B$9:$B$29,0))),""),""))</f>
        <v/>
      </c>
      <c r="AI3598" s="19" t="str">
        <f>IF($B3598="","",IFERROR(INDEX(Config!$D$9:$D$29,MATCH($B3598,Config!$B$9:$B$29,0))&amp;"",""))</f>
        <v/>
      </c>
    </row>
    <row r="3599">
      <c r="X3599" s="20" t="str">
        <f>IF($B3599="","",IFERROR(IF(INDEX(Config!$D$9:$D$29,MATCH($B3599,Config!$B$9:$B$29,0))="Contrato",IF(INDEX(Config!$E$9:$E$29,MATCH($B3599,Config!$B$9:$B$29,0))="","",INDEX(Config!$E$9:$E$29,MATCH($B3599,Config!$B$9:$B$29,0))),""),""))</f>
        <v/>
      </c>
      <c r="AI3599" s="19" t="str">
        <f>IF($B3599="","",IFERROR(INDEX(Config!$D$9:$D$29,MATCH($B3599,Config!$B$9:$B$29,0))&amp;"",""))</f>
        <v/>
      </c>
    </row>
    <row r="3600">
      <c r="X3600" s="20" t="str">
        <f>IF($B3600="","",IFERROR(IF(INDEX(Config!$D$9:$D$29,MATCH($B3600,Config!$B$9:$B$29,0))="Contrato",IF(INDEX(Config!$E$9:$E$29,MATCH($B3600,Config!$B$9:$B$29,0))="","",INDEX(Config!$E$9:$E$29,MATCH($B3600,Config!$B$9:$B$29,0))),""),""))</f>
        <v/>
      </c>
      <c r="AI3600" s="19" t="str">
        <f>IF($B3600="","",IFERROR(INDEX(Config!$D$9:$D$29,MATCH($B3600,Config!$B$9:$B$29,0))&amp;"",""))</f>
        <v/>
      </c>
    </row>
    <row r="3601">
      <c r="X3601" s="20" t="str">
        <f>IF($B3601="","",IFERROR(IF(INDEX(Config!$D$9:$D$29,MATCH($B3601,Config!$B$9:$B$29,0))="Contrato",IF(INDEX(Config!$E$9:$E$29,MATCH($B3601,Config!$B$9:$B$29,0))="","",INDEX(Config!$E$9:$E$29,MATCH($B3601,Config!$B$9:$B$29,0))),""),""))</f>
        <v/>
      </c>
      <c r="AI3601" s="19" t="str">
        <f>IF($B3601="","",IFERROR(INDEX(Config!$D$9:$D$29,MATCH($B3601,Config!$B$9:$B$29,0))&amp;"",""))</f>
        <v/>
      </c>
    </row>
    <row r="3602">
      <c r="X3602" s="20" t="str">
        <f>IF($B3602="","",IFERROR(IF(INDEX(Config!$D$9:$D$29,MATCH($B3602,Config!$B$9:$B$29,0))="Contrato",IF(INDEX(Config!$E$9:$E$29,MATCH($B3602,Config!$B$9:$B$29,0))="","",INDEX(Config!$E$9:$E$29,MATCH($B3602,Config!$B$9:$B$29,0))),""),""))</f>
        <v/>
      </c>
      <c r="AI3602" s="19" t="str">
        <f>IF($B3602="","",IFERROR(INDEX(Config!$D$9:$D$29,MATCH($B3602,Config!$B$9:$B$29,0))&amp;"",""))</f>
        <v/>
      </c>
    </row>
    <row r="3603">
      <c r="X3603" s="20" t="str">
        <f>IF($B3603="","",IFERROR(IF(INDEX(Config!$D$9:$D$29,MATCH($B3603,Config!$B$9:$B$29,0))="Contrato",IF(INDEX(Config!$E$9:$E$29,MATCH($B3603,Config!$B$9:$B$29,0))="","",INDEX(Config!$E$9:$E$29,MATCH($B3603,Config!$B$9:$B$29,0))),""),""))</f>
        <v/>
      </c>
      <c r="AI3603" s="19" t="str">
        <f>IF($B3603="","",IFERROR(INDEX(Config!$D$9:$D$29,MATCH($B3603,Config!$B$9:$B$29,0))&amp;"",""))</f>
        <v/>
      </c>
    </row>
    <row r="3604">
      <c r="X3604" s="20" t="str">
        <f>IF($B3604="","",IFERROR(IF(INDEX(Config!$D$9:$D$29,MATCH($B3604,Config!$B$9:$B$29,0))="Contrato",IF(INDEX(Config!$E$9:$E$29,MATCH($B3604,Config!$B$9:$B$29,0))="","",INDEX(Config!$E$9:$E$29,MATCH($B3604,Config!$B$9:$B$29,0))),""),""))</f>
        <v/>
      </c>
      <c r="AI3604" s="19" t="str">
        <f>IF($B3604="","",IFERROR(INDEX(Config!$D$9:$D$29,MATCH($B3604,Config!$B$9:$B$29,0))&amp;"",""))</f>
        <v/>
      </c>
    </row>
    <row r="3605">
      <c r="X3605" s="20" t="str">
        <f>IF($B3605="","",IFERROR(IF(INDEX(Config!$D$9:$D$29,MATCH($B3605,Config!$B$9:$B$29,0))="Contrato",IF(INDEX(Config!$E$9:$E$29,MATCH($B3605,Config!$B$9:$B$29,0))="","",INDEX(Config!$E$9:$E$29,MATCH($B3605,Config!$B$9:$B$29,0))),""),""))</f>
        <v/>
      </c>
      <c r="AI3605" s="19" t="str">
        <f>IF($B3605="","",IFERROR(INDEX(Config!$D$9:$D$29,MATCH($B3605,Config!$B$9:$B$29,0))&amp;"",""))</f>
        <v/>
      </c>
    </row>
    <row r="3606">
      <c r="X3606" s="20" t="str">
        <f>IF($B3606="","",IFERROR(IF(INDEX(Config!$D$9:$D$29,MATCH($B3606,Config!$B$9:$B$29,0))="Contrato",IF(INDEX(Config!$E$9:$E$29,MATCH($B3606,Config!$B$9:$B$29,0))="","",INDEX(Config!$E$9:$E$29,MATCH($B3606,Config!$B$9:$B$29,0))),""),""))</f>
        <v/>
      </c>
      <c r="AI3606" s="19" t="str">
        <f>IF($B3606="","",IFERROR(INDEX(Config!$D$9:$D$29,MATCH($B3606,Config!$B$9:$B$29,0))&amp;"",""))</f>
        <v/>
      </c>
    </row>
    <row r="3607">
      <c r="X3607" s="20" t="str">
        <f>IF($B3607="","",IFERROR(IF(INDEX(Config!$D$9:$D$29,MATCH($B3607,Config!$B$9:$B$29,0))="Contrato",IF(INDEX(Config!$E$9:$E$29,MATCH($B3607,Config!$B$9:$B$29,0))="","",INDEX(Config!$E$9:$E$29,MATCH($B3607,Config!$B$9:$B$29,0))),""),""))</f>
        <v/>
      </c>
      <c r="AI3607" s="19" t="str">
        <f>IF($B3607="","",IFERROR(INDEX(Config!$D$9:$D$29,MATCH($B3607,Config!$B$9:$B$29,0))&amp;"",""))</f>
        <v/>
      </c>
    </row>
    <row r="3608">
      <c r="X3608" s="20" t="str">
        <f>IF($B3608="","",IFERROR(IF(INDEX(Config!$D$9:$D$29,MATCH($B3608,Config!$B$9:$B$29,0))="Contrato",IF(INDEX(Config!$E$9:$E$29,MATCH($B3608,Config!$B$9:$B$29,0))="","",INDEX(Config!$E$9:$E$29,MATCH($B3608,Config!$B$9:$B$29,0))),""),""))</f>
        <v/>
      </c>
      <c r="AI3608" s="19" t="str">
        <f>IF($B3608="","",IFERROR(INDEX(Config!$D$9:$D$29,MATCH($B3608,Config!$B$9:$B$29,0))&amp;"",""))</f>
        <v/>
      </c>
    </row>
    <row r="3609">
      <c r="X3609" s="20" t="str">
        <f>IF($B3609="","",IFERROR(IF(INDEX(Config!$D$9:$D$29,MATCH($B3609,Config!$B$9:$B$29,0))="Contrato",IF(INDEX(Config!$E$9:$E$29,MATCH($B3609,Config!$B$9:$B$29,0))="","",INDEX(Config!$E$9:$E$29,MATCH($B3609,Config!$B$9:$B$29,0))),""),""))</f>
        <v/>
      </c>
      <c r="AI3609" s="19" t="str">
        <f>IF($B3609="","",IFERROR(INDEX(Config!$D$9:$D$29,MATCH($B3609,Config!$B$9:$B$29,0))&amp;"",""))</f>
        <v/>
      </c>
    </row>
    <row r="3610">
      <c r="X3610" s="20" t="str">
        <f>IF($B3610="","",IFERROR(IF(INDEX(Config!$D$9:$D$29,MATCH($B3610,Config!$B$9:$B$29,0))="Contrato",IF(INDEX(Config!$E$9:$E$29,MATCH($B3610,Config!$B$9:$B$29,0))="","",INDEX(Config!$E$9:$E$29,MATCH($B3610,Config!$B$9:$B$29,0))),""),""))</f>
        <v/>
      </c>
      <c r="AI3610" s="19" t="str">
        <f>IF($B3610="","",IFERROR(INDEX(Config!$D$9:$D$29,MATCH($B3610,Config!$B$9:$B$29,0))&amp;"",""))</f>
        <v/>
      </c>
    </row>
    <row r="3611">
      <c r="X3611" s="20" t="str">
        <f>IF($B3611="","",IFERROR(IF(INDEX(Config!$D$9:$D$29,MATCH($B3611,Config!$B$9:$B$29,0))="Contrato",IF(INDEX(Config!$E$9:$E$29,MATCH($B3611,Config!$B$9:$B$29,0))="","",INDEX(Config!$E$9:$E$29,MATCH($B3611,Config!$B$9:$B$29,0))),""),""))</f>
        <v/>
      </c>
      <c r="AI3611" s="19" t="str">
        <f>IF($B3611="","",IFERROR(INDEX(Config!$D$9:$D$29,MATCH($B3611,Config!$B$9:$B$29,0))&amp;"",""))</f>
        <v/>
      </c>
    </row>
    <row r="3612">
      <c r="X3612" s="20" t="str">
        <f>IF($B3612="","",IFERROR(IF(INDEX(Config!$D$9:$D$29,MATCH($B3612,Config!$B$9:$B$29,0))="Contrato",IF(INDEX(Config!$E$9:$E$29,MATCH($B3612,Config!$B$9:$B$29,0))="","",INDEX(Config!$E$9:$E$29,MATCH($B3612,Config!$B$9:$B$29,0))),""),""))</f>
        <v/>
      </c>
      <c r="AI3612" s="19" t="str">
        <f>IF($B3612="","",IFERROR(INDEX(Config!$D$9:$D$29,MATCH($B3612,Config!$B$9:$B$29,0))&amp;"",""))</f>
        <v/>
      </c>
    </row>
    <row r="3613">
      <c r="X3613" s="20" t="str">
        <f>IF($B3613="","",IFERROR(IF(INDEX(Config!$D$9:$D$29,MATCH($B3613,Config!$B$9:$B$29,0))="Contrato",IF(INDEX(Config!$E$9:$E$29,MATCH($B3613,Config!$B$9:$B$29,0))="","",INDEX(Config!$E$9:$E$29,MATCH($B3613,Config!$B$9:$B$29,0))),""),""))</f>
        <v/>
      </c>
      <c r="AI3613" s="19" t="str">
        <f>IF($B3613="","",IFERROR(INDEX(Config!$D$9:$D$29,MATCH($B3613,Config!$B$9:$B$29,0))&amp;"",""))</f>
        <v/>
      </c>
    </row>
    <row r="3614">
      <c r="X3614" s="20" t="str">
        <f>IF($B3614="","",IFERROR(IF(INDEX(Config!$D$9:$D$29,MATCH($B3614,Config!$B$9:$B$29,0))="Contrato",IF(INDEX(Config!$E$9:$E$29,MATCH($B3614,Config!$B$9:$B$29,0))="","",INDEX(Config!$E$9:$E$29,MATCH($B3614,Config!$B$9:$B$29,0))),""),""))</f>
        <v/>
      </c>
      <c r="AI3614" s="19" t="str">
        <f>IF($B3614="","",IFERROR(INDEX(Config!$D$9:$D$29,MATCH($B3614,Config!$B$9:$B$29,0))&amp;"",""))</f>
        <v/>
      </c>
    </row>
    <row r="3615">
      <c r="X3615" s="20" t="str">
        <f>IF($B3615="","",IFERROR(IF(INDEX(Config!$D$9:$D$29,MATCH($B3615,Config!$B$9:$B$29,0))="Contrato",IF(INDEX(Config!$E$9:$E$29,MATCH($B3615,Config!$B$9:$B$29,0))="","",INDEX(Config!$E$9:$E$29,MATCH($B3615,Config!$B$9:$B$29,0))),""),""))</f>
        <v/>
      </c>
      <c r="AI3615" s="19" t="str">
        <f>IF($B3615="","",IFERROR(INDEX(Config!$D$9:$D$29,MATCH($B3615,Config!$B$9:$B$29,0))&amp;"",""))</f>
        <v/>
      </c>
    </row>
    <row r="3616">
      <c r="X3616" s="20" t="str">
        <f>IF($B3616="","",IFERROR(IF(INDEX(Config!$D$9:$D$29,MATCH($B3616,Config!$B$9:$B$29,0))="Contrato",IF(INDEX(Config!$E$9:$E$29,MATCH($B3616,Config!$B$9:$B$29,0))="","",INDEX(Config!$E$9:$E$29,MATCH($B3616,Config!$B$9:$B$29,0))),""),""))</f>
        <v/>
      </c>
      <c r="AI3616" s="19" t="str">
        <f>IF($B3616="","",IFERROR(INDEX(Config!$D$9:$D$29,MATCH($B3616,Config!$B$9:$B$29,0))&amp;"",""))</f>
        <v/>
      </c>
    </row>
    <row r="3617">
      <c r="X3617" s="20" t="str">
        <f>IF($B3617="","",IFERROR(IF(INDEX(Config!$D$9:$D$29,MATCH($B3617,Config!$B$9:$B$29,0))="Contrato",IF(INDEX(Config!$E$9:$E$29,MATCH($B3617,Config!$B$9:$B$29,0))="","",INDEX(Config!$E$9:$E$29,MATCH($B3617,Config!$B$9:$B$29,0))),""),""))</f>
        <v/>
      </c>
      <c r="AI3617" s="19" t="str">
        <f>IF($B3617="","",IFERROR(INDEX(Config!$D$9:$D$29,MATCH($B3617,Config!$B$9:$B$29,0))&amp;"",""))</f>
        <v/>
      </c>
    </row>
    <row r="3618">
      <c r="X3618" s="20" t="str">
        <f>IF($B3618="","",IFERROR(IF(INDEX(Config!$D$9:$D$29,MATCH($B3618,Config!$B$9:$B$29,0))="Contrato",IF(INDEX(Config!$E$9:$E$29,MATCH($B3618,Config!$B$9:$B$29,0))="","",INDEX(Config!$E$9:$E$29,MATCH($B3618,Config!$B$9:$B$29,0))),""),""))</f>
        <v/>
      </c>
      <c r="AI3618" s="19" t="str">
        <f>IF($B3618="","",IFERROR(INDEX(Config!$D$9:$D$29,MATCH($B3618,Config!$B$9:$B$29,0))&amp;"",""))</f>
        <v/>
      </c>
    </row>
    <row r="3619">
      <c r="X3619" s="20" t="str">
        <f>IF($B3619="","",IFERROR(IF(INDEX(Config!$D$9:$D$29,MATCH($B3619,Config!$B$9:$B$29,0))="Contrato",IF(INDEX(Config!$E$9:$E$29,MATCH($B3619,Config!$B$9:$B$29,0))="","",INDEX(Config!$E$9:$E$29,MATCH($B3619,Config!$B$9:$B$29,0))),""),""))</f>
        <v/>
      </c>
      <c r="AI3619" s="19" t="str">
        <f>IF($B3619="","",IFERROR(INDEX(Config!$D$9:$D$29,MATCH($B3619,Config!$B$9:$B$29,0))&amp;"",""))</f>
        <v/>
      </c>
    </row>
    <row r="3620">
      <c r="X3620" s="20" t="str">
        <f>IF($B3620="","",IFERROR(IF(INDEX(Config!$D$9:$D$29,MATCH($B3620,Config!$B$9:$B$29,0))="Contrato",IF(INDEX(Config!$E$9:$E$29,MATCH($B3620,Config!$B$9:$B$29,0))="","",INDEX(Config!$E$9:$E$29,MATCH($B3620,Config!$B$9:$B$29,0))),""),""))</f>
        <v/>
      </c>
      <c r="AI3620" s="19" t="str">
        <f>IF($B3620="","",IFERROR(INDEX(Config!$D$9:$D$29,MATCH($B3620,Config!$B$9:$B$29,0))&amp;"",""))</f>
        <v/>
      </c>
    </row>
    <row r="3621">
      <c r="X3621" s="20" t="str">
        <f>IF($B3621="","",IFERROR(IF(INDEX(Config!$D$9:$D$29,MATCH($B3621,Config!$B$9:$B$29,0))="Contrato",IF(INDEX(Config!$E$9:$E$29,MATCH($B3621,Config!$B$9:$B$29,0))="","",INDEX(Config!$E$9:$E$29,MATCH($B3621,Config!$B$9:$B$29,0))),""),""))</f>
        <v/>
      </c>
      <c r="AI3621" s="19" t="str">
        <f>IF($B3621="","",IFERROR(INDEX(Config!$D$9:$D$29,MATCH($B3621,Config!$B$9:$B$29,0))&amp;"",""))</f>
        <v/>
      </c>
    </row>
    <row r="3622">
      <c r="X3622" s="20" t="str">
        <f>IF($B3622="","",IFERROR(IF(INDEX(Config!$D$9:$D$29,MATCH($B3622,Config!$B$9:$B$29,0))="Contrato",IF(INDEX(Config!$E$9:$E$29,MATCH($B3622,Config!$B$9:$B$29,0))="","",INDEX(Config!$E$9:$E$29,MATCH($B3622,Config!$B$9:$B$29,0))),""),""))</f>
        <v/>
      </c>
      <c r="AI3622" s="19" t="str">
        <f>IF($B3622="","",IFERROR(INDEX(Config!$D$9:$D$29,MATCH($B3622,Config!$B$9:$B$29,0))&amp;"",""))</f>
        <v/>
      </c>
    </row>
    <row r="3623">
      <c r="X3623" s="20" t="str">
        <f>IF($B3623="","",IFERROR(IF(INDEX(Config!$D$9:$D$29,MATCH($B3623,Config!$B$9:$B$29,0))="Contrato",IF(INDEX(Config!$E$9:$E$29,MATCH($B3623,Config!$B$9:$B$29,0))="","",INDEX(Config!$E$9:$E$29,MATCH($B3623,Config!$B$9:$B$29,0))),""),""))</f>
        <v/>
      </c>
      <c r="AI3623" s="19" t="str">
        <f>IF($B3623="","",IFERROR(INDEX(Config!$D$9:$D$29,MATCH($B3623,Config!$B$9:$B$29,0))&amp;"",""))</f>
        <v/>
      </c>
    </row>
    <row r="3624">
      <c r="X3624" s="20" t="str">
        <f>IF($B3624="","",IFERROR(IF(INDEX(Config!$D$9:$D$29,MATCH($B3624,Config!$B$9:$B$29,0))="Contrato",IF(INDEX(Config!$E$9:$E$29,MATCH($B3624,Config!$B$9:$B$29,0))="","",INDEX(Config!$E$9:$E$29,MATCH($B3624,Config!$B$9:$B$29,0))),""),""))</f>
        <v/>
      </c>
      <c r="AI3624" s="19" t="str">
        <f>IF($B3624="","",IFERROR(INDEX(Config!$D$9:$D$29,MATCH($B3624,Config!$B$9:$B$29,0))&amp;"",""))</f>
        <v/>
      </c>
    </row>
    <row r="3625">
      <c r="X3625" s="20" t="str">
        <f>IF($B3625="","",IFERROR(IF(INDEX(Config!$D$9:$D$29,MATCH($B3625,Config!$B$9:$B$29,0))="Contrato",IF(INDEX(Config!$E$9:$E$29,MATCH($B3625,Config!$B$9:$B$29,0))="","",INDEX(Config!$E$9:$E$29,MATCH($B3625,Config!$B$9:$B$29,0))),""),""))</f>
        <v/>
      </c>
      <c r="AI3625" s="19" t="str">
        <f>IF($B3625="","",IFERROR(INDEX(Config!$D$9:$D$29,MATCH($B3625,Config!$B$9:$B$29,0))&amp;"",""))</f>
        <v/>
      </c>
    </row>
    <row r="3626">
      <c r="X3626" s="20" t="str">
        <f>IF($B3626="","",IFERROR(IF(INDEX(Config!$D$9:$D$29,MATCH($B3626,Config!$B$9:$B$29,0))="Contrato",IF(INDEX(Config!$E$9:$E$29,MATCH($B3626,Config!$B$9:$B$29,0))="","",INDEX(Config!$E$9:$E$29,MATCH($B3626,Config!$B$9:$B$29,0))),""),""))</f>
        <v/>
      </c>
      <c r="AI3626" s="19" t="str">
        <f>IF($B3626="","",IFERROR(INDEX(Config!$D$9:$D$29,MATCH($B3626,Config!$B$9:$B$29,0))&amp;"",""))</f>
        <v/>
      </c>
    </row>
    <row r="3627">
      <c r="X3627" s="20" t="str">
        <f>IF($B3627="","",IFERROR(IF(INDEX(Config!$D$9:$D$29,MATCH($B3627,Config!$B$9:$B$29,0))="Contrato",IF(INDEX(Config!$E$9:$E$29,MATCH($B3627,Config!$B$9:$B$29,0))="","",INDEX(Config!$E$9:$E$29,MATCH($B3627,Config!$B$9:$B$29,0))),""),""))</f>
        <v/>
      </c>
      <c r="AI3627" s="19" t="str">
        <f>IF($B3627="","",IFERROR(INDEX(Config!$D$9:$D$29,MATCH($B3627,Config!$B$9:$B$29,0))&amp;"",""))</f>
        <v/>
      </c>
    </row>
    <row r="3628">
      <c r="X3628" s="20" t="str">
        <f>IF($B3628="","",IFERROR(IF(INDEX(Config!$D$9:$D$29,MATCH($B3628,Config!$B$9:$B$29,0))="Contrato",IF(INDEX(Config!$E$9:$E$29,MATCH($B3628,Config!$B$9:$B$29,0))="","",INDEX(Config!$E$9:$E$29,MATCH($B3628,Config!$B$9:$B$29,0))),""),""))</f>
        <v/>
      </c>
      <c r="AI3628" s="19" t="str">
        <f>IF($B3628="","",IFERROR(INDEX(Config!$D$9:$D$29,MATCH($B3628,Config!$B$9:$B$29,0))&amp;"",""))</f>
        <v/>
      </c>
    </row>
    <row r="3629">
      <c r="X3629" s="20" t="str">
        <f>IF($B3629="","",IFERROR(IF(INDEX(Config!$D$9:$D$29,MATCH($B3629,Config!$B$9:$B$29,0))="Contrato",IF(INDEX(Config!$E$9:$E$29,MATCH($B3629,Config!$B$9:$B$29,0))="","",INDEX(Config!$E$9:$E$29,MATCH($B3629,Config!$B$9:$B$29,0))),""),""))</f>
        <v/>
      </c>
      <c r="AI3629" s="19" t="str">
        <f>IF($B3629="","",IFERROR(INDEX(Config!$D$9:$D$29,MATCH($B3629,Config!$B$9:$B$29,0))&amp;"",""))</f>
        <v/>
      </c>
    </row>
    <row r="3630">
      <c r="X3630" s="20" t="str">
        <f>IF($B3630="","",IFERROR(IF(INDEX(Config!$D$9:$D$29,MATCH($B3630,Config!$B$9:$B$29,0))="Contrato",IF(INDEX(Config!$E$9:$E$29,MATCH($B3630,Config!$B$9:$B$29,0))="","",INDEX(Config!$E$9:$E$29,MATCH($B3630,Config!$B$9:$B$29,0))),""),""))</f>
        <v/>
      </c>
      <c r="AI3630" s="19" t="str">
        <f>IF($B3630="","",IFERROR(INDEX(Config!$D$9:$D$29,MATCH($B3630,Config!$B$9:$B$29,0))&amp;"",""))</f>
        <v/>
      </c>
    </row>
    <row r="3631">
      <c r="X3631" s="20" t="str">
        <f>IF($B3631="","",IFERROR(IF(INDEX(Config!$D$9:$D$29,MATCH($B3631,Config!$B$9:$B$29,0))="Contrato",IF(INDEX(Config!$E$9:$E$29,MATCH($B3631,Config!$B$9:$B$29,0))="","",INDEX(Config!$E$9:$E$29,MATCH($B3631,Config!$B$9:$B$29,0))),""),""))</f>
        <v/>
      </c>
      <c r="AI3631" s="19" t="str">
        <f>IF($B3631="","",IFERROR(INDEX(Config!$D$9:$D$29,MATCH($B3631,Config!$B$9:$B$29,0))&amp;"",""))</f>
        <v/>
      </c>
    </row>
    <row r="3632">
      <c r="X3632" s="20" t="str">
        <f>IF($B3632="","",IFERROR(IF(INDEX(Config!$D$9:$D$29,MATCH($B3632,Config!$B$9:$B$29,0))="Contrato",IF(INDEX(Config!$E$9:$E$29,MATCH($B3632,Config!$B$9:$B$29,0))="","",INDEX(Config!$E$9:$E$29,MATCH($B3632,Config!$B$9:$B$29,0))),""),""))</f>
        <v/>
      </c>
      <c r="AI3632" s="19" t="str">
        <f>IF($B3632="","",IFERROR(INDEX(Config!$D$9:$D$29,MATCH($B3632,Config!$B$9:$B$29,0))&amp;"",""))</f>
        <v/>
      </c>
    </row>
    <row r="3633">
      <c r="X3633" s="20" t="str">
        <f>IF($B3633="","",IFERROR(IF(INDEX(Config!$D$9:$D$29,MATCH($B3633,Config!$B$9:$B$29,0))="Contrato",IF(INDEX(Config!$E$9:$E$29,MATCH($B3633,Config!$B$9:$B$29,0))="","",INDEX(Config!$E$9:$E$29,MATCH($B3633,Config!$B$9:$B$29,0))),""),""))</f>
        <v/>
      </c>
      <c r="AI3633" s="19" t="str">
        <f>IF($B3633="","",IFERROR(INDEX(Config!$D$9:$D$29,MATCH($B3633,Config!$B$9:$B$29,0))&amp;"",""))</f>
        <v/>
      </c>
    </row>
    <row r="3634">
      <c r="X3634" s="20" t="str">
        <f>IF($B3634="","",IFERROR(IF(INDEX(Config!$D$9:$D$29,MATCH($B3634,Config!$B$9:$B$29,0))="Contrato",IF(INDEX(Config!$E$9:$E$29,MATCH($B3634,Config!$B$9:$B$29,0))="","",INDEX(Config!$E$9:$E$29,MATCH($B3634,Config!$B$9:$B$29,0))),""),""))</f>
        <v/>
      </c>
      <c r="AI3634" s="19" t="str">
        <f>IF($B3634="","",IFERROR(INDEX(Config!$D$9:$D$29,MATCH($B3634,Config!$B$9:$B$29,0))&amp;"",""))</f>
        <v/>
      </c>
    </row>
    <row r="3635">
      <c r="X3635" s="20" t="str">
        <f>IF($B3635="","",IFERROR(IF(INDEX(Config!$D$9:$D$29,MATCH($B3635,Config!$B$9:$B$29,0))="Contrato",IF(INDEX(Config!$E$9:$E$29,MATCH($B3635,Config!$B$9:$B$29,0))="","",INDEX(Config!$E$9:$E$29,MATCH($B3635,Config!$B$9:$B$29,0))),""),""))</f>
        <v/>
      </c>
      <c r="AI3635" s="19" t="str">
        <f>IF($B3635="","",IFERROR(INDEX(Config!$D$9:$D$29,MATCH($B3635,Config!$B$9:$B$29,0))&amp;"",""))</f>
        <v/>
      </c>
    </row>
    <row r="3636">
      <c r="X3636" s="20" t="str">
        <f>IF($B3636="","",IFERROR(IF(INDEX(Config!$D$9:$D$29,MATCH($B3636,Config!$B$9:$B$29,0))="Contrato",IF(INDEX(Config!$E$9:$E$29,MATCH($B3636,Config!$B$9:$B$29,0))="","",INDEX(Config!$E$9:$E$29,MATCH($B3636,Config!$B$9:$B$29,0))),""),""))</f>
        <v/>
      </c>
      <c r="AI3636" s="19" t="str">
        <f>IF($B3636="","",IFERROR(INDEX(Config!$D$9:$D$29,MATCH($B3636,Config!$B$9:$B$29,0))&amp;"",""))</f>
        <v/>
      </c>
    </row>
    <row r="3637">
      <c r="X3637" s="20" t="str">
        <f>IF($B3637="","",IFERROR(IF(INDEX(Config!$D$9:$D$29,MATCH($B3637,Config!$B$9:$B$29,0))="Contrato",IF(INDEX(Config!$E$9:$E$29,MATCH($B3637,Config!$B$9:$B$29,0))="","",INDEX(Config!$E$9:$E$29,MATCH($B3637,Config!$B$9:$B$29,0))),""),""))</f>
        <v/>
      </c>
      <c r="AI3637" s="19" t="str">
        <f>IF($B3637="","",IFERROR(INDEX(Config!$D$9:$D$29,MATCH($B3637,Config!$B$9:$B$29,0))&amp;"",""))</f>
        <v/>
      </c>
    </row>
    <row r="3638">
      <c r="X3638" s="20" t="str">
        <f>IF($B3638="","",IFERROR(IF(INDEX(Config!$D$9:$D$29,MATCH($B3638,Config!$B$9:$B$29,0))="Contrato",IF(INDEX(Config!$E$9:$E$29,MATCH($B3638,Config!$B$9:$B$29,0))="","",INDEX(Config!$E$9:$E$29,MATCH($B3638,Config!$B$9:$B$29,0))),""),""))</f>
        <v/>
      </c>
      <c r="AI3638" s="19" t="str">
        <f>IF($B3638="","",IFERROR(INDEX(Config!$D$9:$D$29,MATCH($B3638,Config!$B$9:$B$29,0))&amp;"",""))</f>
        <v/>
      </c>
    </row>
    <row r="3639">
      <c r="X3639" s="20" t="str">
        <f>IF($B3639="","",IFERROR(IF(INDEX(Config!$D$9:$D$29,MATCH($B3639,Config!$B$9:$B$29,0))="Contrato",IF(INDEX(Config!$E$9:$E$29,MATCH($B3639,Config!$B$9:$B$29,0))="","",INDEX(Config!$E$9:$E$29,MATCH($B3639,Config!$B$9:$B$29,0))),""),""))</f>
        <v/>
      </c>
      <c r="AI3639" s="19" t="str">
        <f>IF($B3639="","",IFERROR(INDEX(Config!$D$9:$D$29,MATCH($B3639,Config!$B$9:$B$29,0))&amp;"",""))</f>
        <v/>
      </c>
    </row>
    <row r="3640">
      <c r="X3640" s="20" t="str">
        <f>IF($B3640="","",IFERROR(IF(INDEX(Config!$D$9:$D$29,MATCH($B3640,Config!$B$9:$B$29,0))="Contrato",IF(INDEX(Config!$E$9:$E$29,MATCH($B3640,Config!$B$9:$B$29,0))="","",INDEX(Config!$E$9:$E$29,MATCH($B3640,Config!$B$9:$B$29,0))),""),""))</f>
        <v/>
      </c>
      <c r="AI3640" s="19" t="str">
        <f>IF($B3640="","",IFERROR(INDEX(Config!$D$9:$D$29,MATCH($B3640,Config!$B$9:$B$29,0))&amp;"",""))</f>
        <v/>
      </c>
    </row>
    <row r="3641">
      <c r="X3641" s="20" t="str">
        <f>IF($B3641="","",IFERROR(IF(INDEX(Config!$D$9:$D$29,MATCH($B3641,Config!$B$9:$B$29,0))="Contrato",IF(INDEX(Config!$E$9:$E$29,MATCH($B3641,Config!$B$9:$B$29,0))="","",INDEX(Config!$E$9:$E$29,MATCH($B3641,Config!$B$9:$B$29,0))),""),""))</f>
        <v/>
      </c>
      <c r="AI3641" s="19" t="str">
        <f>IF($B3641="","",IFERROR(INDEX(Config!$D$9:$D$29,MATCH($B3641,Config!$B$9:$B$29,0))&amp;"",""))</f>
        <v/>
      </c>
    </row>
    <row r="3642">
      <c r="X3642" s="20" t="str">
        <f>IF($B3642="","",IFERROR(IF(INDEX(Config!$D$9:$D$29,MATCH($B3642,Config!$B$9:$B$29,0))="Contrato",IF(INDEX(Config!$E$9:$E$29,MATCH($B3642,Config!$B$9:$B$29,0))="","",INDEX(Config!$E$9:$E$29,MATCH($B3642,Config!$B$9:$B$29,0))),""),""))</f>
        <v/>
      </c>
      <c r="AI3642" s="19" t="str">
        <f>IF($B3642="","",IFERROR(INDEX(Config!$D$9:$D$29,MATCH($B3642,Config!$B$9:$B$29,0))&amp;"",""))</f>
        <v/>
      </c>
    </row>
    <row r="3643">
      <c r="X3643" s="20" t="str">
        <f>IF($B3643="","",IFERROR(IF(INDEX(Config!$D$9:$D$29,MATCH($B3643,Config!$B$9:$B$29,0))="Contrato",IF(INDEX(Config!$E$9:$E$29,MATCH($B3643,Config!$B$9:$B$29,0))="","",INDEX(Config!$E$9:$E$29,MATCH($B3643,Config!$B$9:$B$29,0))),""),""))</f>
        <v/>
      </c>
      <c r="AI3643" s="19" t="str">
        <f>IF($B3643="","",IFERROR(INDEX(Config!$D$9:$D$29,MATCH($B3643,Config!$B$9:$B$29,0))&amp;"",""))</f>
        <v/>
      </c>
    </row>
    <row r="3644">
      <c r="X3644" s="20" t="str">
        <f>IF($B3644="","",IFERROR(IF(INDEX(Config!$D$9:$D$29,MATCH($B3644,Config!$B$9:$B$29,0))="Contrato",IF(INDEX(Config!$E$9:$E$29,MATCH($B3644,Config!$B$9:$B$29,0))="","",INDEX(Config!$E$9:$E$29,MATCH($B3644,Config!$B$9:$B$29,0))),""),""))</f>
        <v/>
      </c>
      <c r="AI3644" s="19" t="str">
        <f>IF($B3644="","",IFERROR(INDEX(Config!$D$9:$D$29,MATCH($B3644,Config!$B$9:$B$29,0))&amp;"",""))</f>
        <v/>
      </c>
    </row>
    <row r="3645">
      <c r="X3645" s="20" t="str">
        <f>IF($B3645="","",IFERROR(IF(INDEX(Config!$D$9:$D$29,MATCH($B3645,Config!$B$9:$B$29,0))="Contrato",IF(INDEX(Config!$E$9:$E$29,MATCH($B3645,Config!$B$9:$B$29,0))="","",INDEX(Config!$E$9:$E$29,MATCH($B3645,Config!$B$9:$B$29,0))),""),""))</f>
        <v/>
      </c>
      <c r="AI3645" s="19" t="str">
        <f>IF($B3645="","",IFERROR(INDEX(Config!$D$9:$D$29,MATCH($B3645,Config!$B$9:$B$29,0))&amp;"",""))</f>
        <v/>
      </c>
    </row>
    <row r="3646">
      <c r="X3646" s="20" t="str">
        <f>IF($B3646="","",IFERROR(IF(INDEX(Config!$D$9:$D$29,MATCH($B3646,Config!$B$9:$B$29,0))="Contrato",IF(INDEX(Config!$E$9:$E$29,MATCH($B3646,Config!$B$9:$B$29,0))="","",INDEX(Config!$E$9:$E$29,MATCH($B3646,Config!$B$9:$B$29,0))),""),""))</f>
        <v/>
      </c>
      <c r="AI3646" s="19" t="str">
        <f>IF($B3646="","",IFERROR(INDEX(Config!$D$9:$D$29,MATCH($B3646,Config!$B$9:$B$29,0))&amp;"",""))</f>
        <v/>
      </c>
    </row>
    <row r="3647">
      <c r="X3647" s="20" t="str">
        <f>IF($B3647="","",IFERROR(IF(INDEX(Config!$D$9:$D$29,MATCH($B3647,Config!$B$9:$B$29,0))="Contrato",IF(INDEX(Config!$E$9:$E$29,MATCH($B3647,Config!$B$9:$B$29,0))="","",INDEX(Config!$E$9:$E$29,MATCH($B3647,Config!$B$9:$B$29,0))),""),""))</f>
        <v/>
      </c>
      <c r="AI3647" s="19" t="str">
        <f>IF($B3647="","",IFERROR(INDEX(Config!$D$9:$D$29,MATCH($B3647,Config!$B$9:$B$29,0))&amp;"",""))</f>
        <v/>
      </c>
    </row>
    <row r="3648">
      <c r="X3648" s="20" t="str">
        <f>IF($B3648="","",IFERROR(IF(INDEX(Config!$D$9:$D$29,MATCH($B3648,Config!$B$9:$B$29,0))="Contrato",IF(INDEX(Config!$E$9:$E$29,MATCH($B3648,Config!$B$9:$B$29,0))="","",INDEX(Config!$E$9:$E$29,MATCH($B3648,Config!$B$9:$B$29,0))),""),""))</f>
        <v/>
      </c>
      <c r="AI3648" s="19" t="str">
        <f>IF($B3648="","",IFERROR(INDEX(Config!$D$9:$D$29,MATCH($B3648,Config!$B$9:$B$29,0))&amp;"",""))</f>
        <v/>
      </c>
    </row>
    <row r="3649">
      <c r="X3649" s="20" t="str">
        <f>IF($B3649="","",IFERROR(IF(INDEX(Config!$D$9:$D$29,MATCH($B3649,Config!$B$9:$B$29,0))="Contrato",IF(INDEX(Config!$E$9:$E$29,MATCH($B3649,Config!$B$9:$B$29,0))="","",INDEX(Config!$E$9:$E$29,MATCH($B3649,Config!$B$9:$B$29,0))),""),""))</f>
        <v/>
      </c>
      <c r="AI3649" s="19" t="str">
        <f>IF($B3649="","",IFERROR(INDEX(Config!$D$9:$D$29,MATCH($B3649,Config!$B$9:$B$29,0))&amp;"",""))</f>
        <v/>
      </c>
    </row>
    <row r="3650">
      <c r="X3650" s="20" t="str">
        <f>IF($B3650="","",IFERROR(IF(INDEX(Config!$D$9:$D$29,MATCH($B3650,Config!$B$9:$B$29,0))="Contrato",IF(INDEX(Config!$E$9:$E$29,MATCH($B3650,Config!$B$9:$B$29,0))="","",INDEX(Config!$E$9:$E$29,MATCH($B3650,Config!$B$9:$B$29,0))),""),""))</f>
        <v/>
      </c>
      <c r="AI3650" s="19" t="str">
        <f>IF($B3650="","",IFERROR(INDEX(Config!$D$9:$D$29,MATCH($B3650,Config!$B$9:$B$29,0))&amp;"",""))</f>
        <v/>
      </c>
    </row>
    <row r="3651">
      <c r="X3651" s="20" t="str">
        <f>IF($B3651="","",IFERROR(IF(INDEX(Config!$D$9:$D$29,MATCH($B3651,Config!$B$9:$B$29,0))="Contrato",IF(INDEX(Config!$E$9:$E$29,MATCH($B3651,Config!$B$9:$B$29,0))="","",INDEX(Config!$E$9:$E$29,MATCH($B3651,Config!$B$9:$B$29,0))),""),""))</f>
        <v/>
      </c>
      <c r="AI3651" s="19" t="str">
        <f>IF($B3651="","",IFERROR(INDEX(Config!$D$9:$D$29,MATCH($B3651,Config!$B$9:$B$29,0))&amp;"",""))</f>
        <v/>
      </c>
    </row>
    <row r="3652">
      <c r="X3652" s="20" t="str">
        <f>IF($B3652="","",IFERROR(IF(INDEX(Config!$D$9:$D$29,MATCH($B3652,Config!$B$9:$B$29,0))="Contrato",IF(INDEX(Config!$E$9:$E$29,MATCH($B3652,Config!$B$9:$B$29,0))="","",INDEX(Config!$E$9:$E$29,MATCH($B3652,Config!$B$9:$B$29,0))),""),""))</f>
        <v/>
      </c>
      <c r="AI3652" s="19" t="str">
        <f>IF($B3652="","",IFERROR(INDEX(Config!$D$9:$D$29,MATCH($B3652,Config!$B$9:$B$29,0))&amp;"",""))</f>
        <v/>
      </c>
    </row>
    <row r="3653">
      <c r="X3653" s="20" t="str">
        <f>IF($B3653="","",IFERROR(IF(INDEX(Config!$D$9:$D$29,MATCH($B3653,Config!$B$9:$B$29,0))="Contrato",IF(INDEX(Config!$E$9:$E$29,MATCH($B3653,Config!$B$9:$B$29,0))="","",INDEX(Config!$E$9:$E$29,MATCH($B3653,Config!$B$9:$B$29,0))),""),""))</f>
        <v/>
      </c>
      <c r="AI3653" s="19" t="str">
        <f>IF($B3653="","",IFERROR(INDEX(Config!$D$9:$D$29,MATCH($B3653,Config!$B$9:$B$29,0))&amp;"",""))</f>
        <v/>
      </c>
    </row>
    <row r="3654">
      <c r="X3654" s="20" t="str">
        <f>IF($B3654="","",IFERROR(IF(INDEX(Config!$D$9:$D$29,MATCH($B3654,Config!$B$9:$B$29,0))="Contrato",IF(INDEX(Config!$E$9:$E$29,MATCH($B3654,Config!$B$9:$B$29,0))="","",INDEX(Config!$E$9:$E$29,MATCH($B3654,Config!$B$9:$B$29,0))),""),""))</f>
        <v/>
      </c>
      <c r="AI3654" s="19" t="str">
        <f>IF($B3654="","",IFERROR(INDEX(Config!$D$9:$D$29,MATCH($B3654,Config!$B$9:$B$29,0))&amp;"",""))</f>
        <v/>
      </c>
    </row>
    <row r="3655">
      <c r="X3655" s="20" t="str">
        <f>IF($B3655="","",IFERROR(IF(INDEX(Config!$D$9:$D$29,MATCH($B3655,Config!$B$9:$B$29,0))="Contrato",IF(INDEX(Config!$E$9:$E$29,MATCH($B3655,Config!$B$9:$B$29,0))="","",INDEX(Config!$E$9:$E$29,MATCH($B3655,Config!$B$9:$B$29,0))),""),""))</f>
        <v/>
      </c>
      <c r="AI3655" s="19" t="str">
        <f>IF($B3655="","",IFERROR(INDEX(Config!$D$9:$D$29,MATCH($B3655,Config!$B$9:$B$29,0))&amp;"",""))</f>
        <v/>
      </c>
    </row>
    <row r="3656">
      <c r="X3656" s="20" t="str">
        <f>IF($B3656="","",IFERROR(IF(INDEX(Config!$D$9:$D$29,MATCH($B3656,Config!$B$9:$B$29,0))="Contrato",IF(INDEX(Config!$E$9:$E$29,MATCH($B3656,Config!$B$9:$B$29,0))="","",INDEX(Config!$E$9:$E$29,MATCH($B3656,Config!$B$9:$B$29,0))),""),""))</f>
        <v/>
      </c>
      <c r="AI3656" s="19" t="str">
        <f>IF($B3656="","",IFERROR(INDEX(Config!$D$9:$D$29,MATCH($B3656,Config!$B$9:$B$29,0))&amp;"",""))</f>
        <v/>
      </c>
    </row>
    <row r="3657">
      <c r="X3657" s="20" t="str">
        <f>IF($B3657="","",IFERROR(IF(INDEX(Config!$D$9:$D$29,MATCH($B3657,Config!$B$9:$B$29,0))="Contrato",IF(INDEX(Config!$E$9:$E$29,MATCH($B3657,Config!$B$9:$B$29,0))="","",INDEX(Config!$E$9:$E$29,MATCH($B3657,Config!$B$9:$B$29,0))),""),""))</f>
        <v/>
      </c>
      <c r="AI3657" s="19" t="str">
        <f>IF($B3657="","",IFERROR(INDEX(Config!$D$9:$D$29,MATCH($B3657,Config!$B$9:$B$29,0))&amp;"",""))</f>
        <v/>
      </c>
    </row>
    <row r="3658">
      <c r="X3658" s="20" t="str">
        <f>IF($B3658="","",IFERROR(IF(INDEX(Config!$D$9:$D$29,MATCH($B3658,Config!$B$9:$B$29,0))="Contrato",IF(INDEX(Config!$E$9:$E$29,MATCH($B3658,Config!$B$9:$B$29,0))="","",INDEX(Config!$E$9:$E$29,MATCH($B3658,Config!$B$9:$B$29,0))),""),""))</f>
        <v/>
      </c>
      <c r="AI3658" s="19" t="str">
        <f>IF($B3658="","",IFERROR(INDEX(Config!$D$9:$D$29,MATCH($B3658,Config!$B$9:$B$29,0))&amp;"",""))</f>
        <v/>
      </c>
    </row>
    <row r="3659">
      <c r="X3659" s="20" t="str">
        <f>IF($B3659="","",IFERROR(IF(INDEX(Config!$D$9:$D$29,MATCH($B3659,Config!$B$9:$B$29,0))="Contrato",IF(INDEX(Config!$E$9:$E$29,MATCH($B3659,Config!$B$9:$B$29,0))="","",INDEX(Config!$E$9:$E$29,MATCH($B3659,Config!$B$9:$B$29,0))),""),""))</f>
        <v/>
      </c>
      <c r="AI3659" s="19" t="str">
        <f>IF($B3659="","",IFERROR(INDEX(Config!$D$9:$D$29,MATCH($B3659,Config!$B$9:$B$29,0))&amp;"",""))</f>
        <v/>
      </c>
    </row>
    <row r="3660">
      <c r="X3660" s="20" t="str">
        <f>IF($B3660="","",IFERROR(IF(INDEX(Config!$D$9:$D$29,MATCH($B3660,Config!$B$9:$B$29,0))="Contrato",IF(INDEX(Config!$E$9:$E$29,MATCH($B3660,Config!$B$9:$B$29,0))="","",INDEX(Config!$E$9:$E$29,MATCH($B3660,Config!$B$9:$B$29,0))),""),""))</f>
        <v/>
      </c>
      <c r="AI3660" s="19" t="str">
        <f>IF($B3660="","",IFERROR(INDEX(Config!$D$9:$D$29,MATCH($B3660,Config!$B$9:$B$29,0))&amp;"",""))</f>
        <v/>
      </c>
    </row>
    <row r="3661">
      <c r="X3661" s="20" t="str">
        <f>IF($B3661="","",IFERROR(IF(INDEX(Config!$D$9:$D$29,MATCH($B3661,Config!$B$9:$B$29,0))="Contrato",IF(INDEX(Config!$E$9:$E$29,MATCH($B3661,Config!$B$9:$B$29,0))="","",INDEX(Config!$E$9:$E$29,MATCH($B3661,Config!$B$9:$B$29,0))),""),""))</f>
        <v/>
      </c>
      <c r="AI3661" s="19" t="str">
        <f>IF($B3661="","",IFERROR(INDEX(Config!$D$9:$D$29,MATCH($B3661,Config!$B$9:$B$29,0))&amp;"",""))</f>
        <v/>
      </c>
    </row>
    <row r="3662">
      <c r="X3662" s="20" t="str">
        <f>IF($B3662="","",IFERROR(IF(INDEX(Config!$D$9:$D$29,MATCH($B3662,Config!$B$9:$B$29,0))="Contrato",IF(INDEX(Config!$E$9:$E$29,MATCH($B3662,Config!$B$9:$B$29,0))="","",INDEX(Config!$E$9:$E$29,MATCH($B3662,Config!$B$9:$B$29,0))),""),""))</f>
        <v/>
      </c>
      <c r="AI3662" s="19" t="str">
        <f>IF($B3662="","",IFERROR(INDEX(Config!$D$9:$D$29,MATCH($B3662,Config!$B$9:$B$29,0))&amp;"",""))</f>
        <v/>
      </c>
    </row>
    <row r="3663">
      <c r="X3663" s="20" t="str">
        <f>IF($B3663="","",IFERROR(IF(INDEX(Config!$D$9:$D$29,MATCH($B3663,Config!$B$9:$B$29,0))="Contrato",IF(INDEX(Config!$E$9:$E$29,MATCH($B3663,Config!$B$9:$B$29,0))="","",INDEX(Config!$E$9:$E$29,MATCH($B3663,Config!$B$9:$B$29,0))),""),""))</f>
        <v/>
      </c>
      <c r="AI3663" s="19" t="str">
        <f>IF($B3663="","",IFERROR(INDEX(Config!$D$9:$D$29,MATCH($B3663,Config!$B$9:$B$29,0))&amp;"",""))</f>
        <v/>
      </c>
    </row>
    <row r="3664">
      <c r="X3664" s="20" t="str">
        <f>IF($B3664="","",IFERROR(IF(INDEX(Config!$D$9:$D$29,MATCH($B3664,Config!$B$9:$B$29,0))="Contrato",IF(INDEX(Config!$E$9:$E$29,MATCH($B3664,Config!$B$9:$B$29,0))="","",INDEX(Config!$E$9:$E$29,MATCH($B3664,Config!$B$9:$B$29,0))),""),""))</f>
        <v/>
      </c>
      <c r="AI3664" s="19" t="str">
        <f>IF($B3664="","",IFERROR(INDEX(Config!$D$9:$D$29,MATCH($B3664,Config!$B$9:$B$29,0))&amp;"",""))</f>
        <v/>
      </c>
    </row>
    <row r="3665">
      <c r="X3665" s="20" t="str">
        <f>IF($B3665="","",IFERROR(IF(INDEX(Config!$D$9:$D$29,MATCH($B3665,Config!$B$9:$B$29,0))="Contrato",IF(INDEX(Config!$E$9:$E$29,MATCH($B3665,Config!$B$9:$B$29,0))="","",INDEX(Config!$E$9:$E$29,MATCH($B3665,Config!$B$9:$B$29,0))),""),""))</f>
        <v/>
      </c>
      <c r="AI3665" s="19" t="str">
        <f>IF($B3665="","",IFERROR(INDEX(Config!$D$9:$D$29,MATCH($B3665,Config!$B$9:$B$29,0))&amp;"",""))</f>
        <v/>
      </c>
    </row>
    <row r="3666">
      <c r="X3666" s="20" t="str">
        <f>IF($B3666="","",IFERROR(IF(INDEX(Config!$D$9:$D$29,MATCH($B3666,Config!$B$9:$B$29,0))="Contrato",IF(INDEX(Config!$E$9:$E$29,MATCH($B3666,Config!$B$9:$B$29,0))="","",INDEX(Config!$E$9:$E$29,MATCH($B3666,Config!$B$9:$B$29,0))),""),""))</f>
        <v/>
      </c>
      <c r="AI3666" s="19" t="str">
        <f>IF($B3666="","",IFERROR(INDEX(Config!$D$9:$D$29,MATCH($B3666,Config!$B$9:$B$29,0))&amp;"",""))</f>
        <v/>
      </c>
    </row>
    <row r="3667">
      <c r="X3667" s="20" t="str">
        <f>IF($B3667="","",IFERROR(IF(INDEX(Config!$D$9:$D$29,MATCH($B3667,Config!$B$9:$B$29,0))="Contrato",IF(INDEX(Config!$E$9:$E$29,MATCH($B3667,Config!$B$9:$B$29,0))="","",INDEX(Config!$E$9:$E$29,MATCH($B3667,Config!$B$9:$B$29,0))),""),""))</f>
        <v/>
      </c>
      <c r="AI3667" s="19" t="str">
        <f>IF($B3667="","",IFERROR(INDEX(Config!$D$9:$D$29,MATCH($B3667,Config!$B$9:$B$29,0))&amp;"",""))</f>
        <v/>
      </c>
    </row>
    <row r="3668">
      <c r="X3668" s="20" t="str">
        <f>IF($B3668="","",IFERROR(IF(INDEX(Config!$D$9:$D$29,MATCH($B3668,Config!$B$9:$B$29,0))="Contrato",IF(INDEX(Config!$E$9:$E$29,MATCH($B3668,Config!$B$9:$B$29,0))="","",INDEX(Config!$E$9:$E$29,MATCH($B3668,Config!$B$9:$B$29,0))),""),""))</f>
        <v/>
      </c>
      <c r="AI3668" s="19" t="str">
        <f>IF($B3668="","",IFERROR(INDEX(Config!$D$9:$D$29,MATCH($B3668,Config!$B$9:$B$29,0))&amp;"",""))</f>
        <v/>
      </c>
    </row>
    <row r="3669">
      <c r="X3669" s="20" t="str">
        <f>IF($B3669="","",IFERROR(IF(INDEX(Config!$D$9:$D$29,MATCH($B3669,Config!$B$9:$B$29,0))="Contrato",IF(INDEX(Config!$E$9:$E$29,MATCH($B3669,Config!$B$9:$B$29,0))="","",INDEX(Config!$E$9:$E$29,MATCH($B3669,Config!$B$9:$B$29,0))),""),""))</f>
        <v/>
      </c>
      <c r="AI3669" s="19" t="str">
        <f>IF($B3669="","",IFERROR(INDEX(Config!$D$9:$D$29,MATCH($B3669,Config!$B$9:$B$29,0))&amp;"",""))</f>
        <v/>
      </c>
    </row>
    <row r="3670">
      <c r="X3670" s="20" t="str">
        <f>IF($B3670="","",IFERROR(IF(INDEX(Config!$D$9:$D$29,MATCH($B3670,Config!$B$9:$B$29,0))="Contrato",IF(INDEX(Config!$E$9:$E$29,MATCH($B3670,Config!$B$9:$B$29,0))="","",INDEX(Config!$E$9:$E$29,MATCH($B3670,Config!$B$9:$B$29,0))),""),""))</f>
        <v/>
      </c>
      <c r="AI3670" s="19" t="str">
        <f>IF($B3670="","",IFERROR(INDEX(Config!$D$9:$D$29,MATCH($B3670,Config!$B$9:$B$29,0))&amp;"",""))</f>
        <v/>
      </c>
    </row>
    <row r="3671">
      <c r="X3671" s="20" t="str">
        <f>IF($B3671="","",IFERROR(IF(INDEX(Config!$D$9:$D$29,MATCH($B3671,Config!$B$9:$B$29,0))="Contrato",IF(INDEX(Config!$E$9:$E$29,MATCH($B3671,Config!$B$9:$B$29,0))="","",INDEX(Config!$E$9:$E$29,MATCH($B3671,Config!$B$9:$B$29,0))),""),""))</f>
        <v/>
      </c>
      <c r="AI3671" s="19" t="str">
        <f>IF($B3671="","",IFERROR(INDEX(Config!$D$9:$D$29,MATCH($B3671,Config!$B$9:$B$29,0))&amp;"",""))</f>
        <v/>
      </c>
    </row>
    <row r="3672">
      <c r="X3672" s="20" t="str">
        <f>IF($B3672="","",IFERROR(IF(INDEX(Config!$D$9:$D$29,MATCH($B3672,Config!$B$9:$B$29,0))="Contrato",IF(INDEX(Config!$E$9:$E$29,MATCH($B3672,Config!$B$9:$B$29,0))="","",INDEX(Config!$E$9:$E$29,MATCH($B3672,Config!$B$9:$B$29,0))),""),""))</f>
        <v/>
      </c>
      <c r="AI3672" s="19" t="str">
        <f>IF($B3672="","",IFERROR(INDEX(Config!$D$9:$D$29,MATCH($B3672,Config!$B$9:$B$29,0))&amp;"",""))</f>
        <v/>
      </c>
    </row>
    <row r="3673">
      <c r="X3673" s="20" t="str">
        <f>IF($B3673="","",IFERROR(IF(INDEX(Config!$D$9:$D$29,MATCH($B3673,Config!$B$9:$B$29,0))="Contrato",IF(INDEX(Config!$E$9:$E$29,MATCH($B3673,Config!$B$9:$B$29,0))="","",INDEX(Config!$E$9:$E$29,MATCH($B3673,Config!$B$9:$B$29,0))),""),""))</f>
        <v/>
      </c>
      <c r="AI3673" s="19" t="str">
        <f>IF($B3673="","",IFERROR(INDEX(Config!$D$9:$D$29,MATCH($B3673,Config!$B$9:$B$29,0))&amp;"",""))</f>
        <v/>
      </c>
    </row>
    <row r="3674">
      <c r="X3674" s="20" t="str">
        <f>IF($B3674="","",IFERROR(IF(INDEX(Config!$D$9:$D$29,MATCH($B3674,Config!$B$9:$B$29,0))="Contrato",IF(INDEX(Config!$E$9:$E$29,MATCH($B3674,Config!$B$9:$B$29,0))="","",INDEX(Config!$E$9:$E$29,MATCH($B3674,Config!$B$9:$B$29,0))),""),""))</f>
        <v/>
      </c>
      <c r="AI3674" s="19" t="str">
        <f>IF($B3674="","",IFERROR(INDEX(Config!$D$9:$D$29,MATCH($B3674,Config!$B$9:$B$29,0))&amp;"",""))</f>
        <v/>
      </c>
    </row>
    <row r="3675">
      <c r="X3675" s="20" t="str">
        <f>IF($B3675="","",IFERROR(IF(INDEX(Config!$D$9:$D$29,MATCH($B3675,Config!$B$9:$B$29,0))="Contrato",IF(INDEX(Config!$E$9:$E$29,MATCH($B3675,Config!$B$9:$B$29,0))="","",INDEX(Config!$E$9:$E$29,MATCH($B3675,Config!$B$9:$B$29,0))),""),""))</f>
        <v/>
      </c>
      <c r="AI3675" s="19" t="str">
        <f>IF($B3675="","",IFERROR(INDEX(Config!$D$9:$D$29,MATCH($B3675,Config!$B$9:$B$29,0))&amp;"",""))</f>
        <v/>
      </c>
    </row>
    <row r="3676">
      <c r="X3676" s="20" t="str">
        <f>IF($B3676="","",IFERROR(IF(INDEX(Config!$D$9:$D$29,MATCH($B3676,Config!$B$9:$B$29,0))="Contrato",IF(INDEX(Config!$E$9:$E$29,MATCH($B3676,Config!$B$9:$B$29,0))="","",INDEX(Config!$E$9:$E$29,MATCH($B3676,Config!$B$9:$B$29,0))),""),""))</f>
        <v/>
      </c>
      <c r="AI3676" s="19" t="str">
        <f>IF($B3676="","",IFERROR(INDEX(Config!$D$9:$D$29,MATCH($B3676,Config!$B$9:$B$29,0))&amp;"",""))</f>
        <v/>
      </c>
    </row>
    <row r="3677">
      <c r="X3677" s="20" t="str">
        <f>IF($B3677="","",IFERROR(IF(INDEX(Config!$D$9:$D$29,MATCH($B3677,Config!$B$9:$B$29,0))="Contrato",IF(INDEX(Config!$E$9:$E$29,MATCH($B3677,Config!$B$9:$B$29,0))="","",INDEX(Config!$E$9:$E$29,MATCH($B3677,Config!$B$9:$B$29,0))),""),""))</f>
        <v/>
      </c>
      <c r="AI3677" s="19" t="str">
        <f>IF($B3677="","",IFERROR(INDEX(Config!$D$9:$D$29,MATCH($B3677,Config!$B$9:$B$29,0))&amp;"",""))</f>
        <v/>
      </c>
    </row>
    <row r="3678">
      <c r="X3678" s="20" t="str">
        <f>IF($B3678="","",IFERROR(IF(INDEX(Config!$D$9:$D$29,MATCH($B3678,Config!$B$9:$B$29,0))="Contrato",IF(INDEX(Config!$E$9:$E$29,MATCH($B3678,Config!$B$9:$B$29,0))="","",INDEX(Config!$E$9:$E$29,MATCH($B3678,Config!$B$9:$B$29,0))),""),""))</f>
        <v/>
      </c>
      <c r="AI3678" s="19" t="str">
        <f>IF($B3678="","",IFERROR(INDEX(Config!$D$9:$D$29,MATCH($B3678,Config!$B$9:$B$29,0))&amp;"",""))</f>
        <v/>
      </c>
    </row>
    <row r="3679">
      <c r="X3679" s="20" t="str">
        <f>IF($B3679="","",IFERROR(IF(INDEX(Config!$D$9:$D$29,MATCH($B3679,Config!$B$9:$B$29,0))="Contrato",IF(INDEX(Config!$E$9:$E$29,MATCH($B3679,Config!$B$9:$B$29,0))="","",INDEX(Config!$E$9:$E$29,MATCH($B3679,Config!$B$9:$B$29,0))),""),""))</f>
        <v/>
      </c>
      <c r="AI3679" s="19" t="str">
        <f>IF($B3679="","",IFERROR(INDEX(Config!$D$9:$D$29,MATCH($B3679,Config!$B$9:$B$29,0))&amp;"",""))</f>
        <v/>
      </c>
    </row>
    <row r="3680">
      <c r="X3680" s="20" t="str">
        <f>IF($B3680="","",IFERROR(IF(INDEX(Config!$D$9:$D$29,MATCH($B3680,Config!$B$9:$B$29,0))="Contrato",IF(INDEX(Config!$E$9:$E$29,MATCH($B3680,Config!$B$9:$B$29,0))="","",INDEX(Config!$E$9:$E$29,MATCH($B3680,Config!$B$9:$B$29,0))),""),""))</f>
        <v/>
      </c>
      <c r="AI3680" s="19" t="str">
        <f>IF($B3680="","",IFERROR(INDEX(Config!$D$9:$D$29,MATCH($B3680,Config!$B$9:$B$29,0))&amp;"",""))</f>
        <v/>
      </c>
    </row>
    <row r="3681">
      <c r="X3681" s="20" t="str">
        <f>IF($B3681="","",IFERROR(IF(INDEX(Config!$D$9:$D$29,MATCH($B3681,Config!$B$9:$B$29,0))="Contrato",IF(INDEX(Config!$E$9:$E$29,MATCH($B3681,Config!$B$9:$B$29,0))="","",INDEX(Config!$E$9:$E$29,MATCH($B3681,Config!$B$9:$B$29,0))),""),""))</f>
        <v/>
      </c>
      <c r="AI3681" s="19" t="str">
        <f>IF($B3681="","",IFERROR(INDEX(Config!$D$9:$D$29,MATCH($B3681,Config!$B$9:$B$29,0))&amp;"",""))</f>
        <v/>
      </c>
    </row>
    <row r="3682">
      <c r="X3682" s="20" t="str">
        <f>IF($B3682="","",IFERROR(IF(INDEX(Config!$D$9:$D$29,MATCH($B3682,Config!$B$9:$B$29,0))="Contrato",IF(INDEX(Config!$E$9:$E$29,MATCH($B3682,Config!$B$9:$B$29,0))="","",INDEX(Config!$E$9:$E$29,MATCH($B3682,Config!$B$9:$B$29,0))),""),""))</f>
        <v/>
      </c>
      <c r="AI3682" s="19" t="str">
        <f>IF($B3682="","",IFERROR(INDEX(Config!$D$9:$D$29,MATCH($B3682,Config!$B$9:$B$29,0))&amp;"",""))</f>
        <v/>
      </c>
    </row>
    <row r="3683">
      <c r="X3683" s="20" t="str">
        <f>IF($B3683="","",IFERROR(IF(INDEX(Config!$D$9:$D$29,MATCH($B3683,Config!$B$9:$B$29,0))="Contrato",IF(INDEX(Config!$E$9:$E$29,MATCH($B3683,Config!$B$9:$B$29,0))="","",INDEX(Config!$E$9:$E$29,MATCH($B3683,Config!$B$9:$B$29,0))),""),""))</f>
        <v/>
      </c>
      <c r="AI3683" s="19" t="str">
        <f>IF($B3683="","",IFERROR(INDEX(Config!$D$9:$D$29,MATCH($B3683,Config!$B$9:$B$29,0))&amp;"",""))</f>
        <v/>
      </c>
    </row>
    <row r="3684">
      <c r="X3684" s="20" t="str">
        <f>IF($B3684="","",IFERROR(IF(INDEX(Config!$D$9:$D$29,MATCH($B3684,Config!$B$9:$B$29,0))="Contrato",IF(INDEX(Config!$E$9:$E$29,MATCH($B3684,Config!$B$9:$B$29,0))="","",INDEX(Config!$E$9:$E$29,MATCH($B3684,Config!$B$9:$B$29,0))),""),""))</f>
        <v/>
      </c>
      <c r="AI3684" s="19" t="str">
        <f>IF($B3684="","",IFERROR(INDEX(Config!$D$9:$D$29,MATCH($B3684,Config!$B$9:$B$29,0))&amp;"",""))</f>
        <v/>
      </c>
    </row>
    <row r="3685">
      <c r="X3685" s="20" t="str">
        <f>IF($B3685="","",IFERROR(IF(INDEX(Config!$D$9:$D$29,MATCH($B3685,Config!$B$9:$B$29,0))="Contrato",IF(INDEX(Config!$E$9:$E$29,MATCH($B3685,Config!$B$9:$B$29,0))="","",INDEX(Config!$E$9:$E$29,MATCH($B3685,Config!$B$9:$B$29,0))),""),""))</f>
        <v/>
      </c>
      <c r="AI3685" s="19" t="str">
        <f>IF($B3685="","",IFERROR(INDEX(Config!$D$9:$D$29,MATCH($B3685,Config!$B$9:$B$29,0))&amp;"",""))</f>
        <v/>
      </c>
    </row>
    <row r="3686">
      <c r="X3686" s="20" t="str">
        <f>IF($B3686="","",IFERROR(IF(INDEX(Config!$D$9:$D$29,MATCH($B3686,Config!$B$9:$B$29,0))="Contrato",IF(INDEX(Config!$E$9:$E$29,MATCH($B3686,Config!$B$9:$B$29,0))="","",INDEX(Config!$E$9:$E$29,MATCH($B3686,Config!$B$9:$B$29,0))),""),""))</f>
        <v/>
      </c>
      <c r="AI3686" s="19" t="str">
        <f>IF($B3686="","",IFERROR(INDEX(Config!$D$9:$D$29,MATCH($B3686,Config!$B$9:$B$29,0))&amp;"",""))</f>
        <v/>
      </c>
    </row>
    <row r="3687">
      <c r="X3687" s="20" t="str">
        <f>IF($B3687="","",IFERROR(IF(INDEX(Config!$D$9:$D$29,MATCH($B3687,Config!$B$9:$B$29,0))="Contrato",IF(INDEX(Config!$E$9:$E$29,MATCH($B3687,Config!$B$9:$B$29,0))="","",INDEX(Config!$E$9:$E$29,MATCH($B3687,Config!$B$9:$B$29,0))),""),""))</f>
        <v/>
      </c>
      <c r="AI3687" s="19" t="str">
        <f>IF($B3687="","",IFERROR(INDEX(Config!$D$9:$D$29,MATCH($B3687,Config!$B$9:$B$29,0))&amp;"",""))</f>
        <v/>
      </c>
    </row>
    <row r="3688">
      <c r="X3688" s="20" t="str">
        <f>IF($B3688="","",IFERROR(IF(INDEX(Config!$D$9:$D$29,MATCH($B3688,Config!$B$9:$B$29,0))="Contrato",IF(INDEX(Config!$E$9:$E$29,MATCH($B3688,Config!$B$9:$B$29,0))="","",INDEX(Config!$E$9:$E$29,MATCH($B3688,Config!$B$9:$B$29,0))),""),""))</f>
        <v/>
      </c>
      <c r="AI3688" s="19" t="str">
        <f>IF($B3688="","",IFERROR(INDEX(Config!$D$9:$D$29,MATCH($B3688,Config!$B$9:$B$29,0))&amp;"",""))</f>
        <v/>
      </c>
    </row>
    <row r="3689">
      <c r="X3689" s="20" t="str">
        <f>IF($B3689="","",IFERROR(IF(INDEX(Config!$D$9:$D$29,MATCH($B3689,Config!$B$9:$B$29,0))="Contrato",IF(INDEX(Config!$E$9:$E$29,MATCH($B3689,Config!$B$9:$B$29,0))="","",INDEX(Config!$E$9:$E$29,MATCH($B3689,Config!$B$9:$B$29,0))),""),""))</f>
        <v/>
      </c>
      <c r="AI3689" s="19" t="str">
        <f>IF($B3689="","",IFERROR(INDEX(Config!$D$9:$D$29,MATCH($B3689,Config!$B$9:$B$29,0))&amp;"",""))</f>
        <v/>
      </c>
    </row>
    <row r="3690">
      <c r="X3690" s="20" t="str">
        <f>IF($B3690="","",IFERROR(IF(INDEX(Config!$D$9:$D$29,MATCH($B3690,Config!$B$9:$B$29,0))="Contrato",IF(INDEX(Config!$E$9:$E$29,MATCH($B3690,Config!$B$9:$B$29,0))="","",INDEX(Config!$E$9:$E$29,MATCH($B3690,Config!$B$9:$B$29,0))),""),""))</f>
        <v/>
      </c>
      <c r="AI3690" s="19" t="str">
        <f>IF($B3690="","",IFERROR(INDEX(Config!$D$9:$D$29,MATCH($B3690,Config!$B$9:$B$29,0))&amp;"",""))</f>
        <v/>
      </c>
    </row>
    <row r="3691">
      <c r="X3691" s="20" t="str">
        <f>IF($B3691="","",IFERROR(IF(INDEX(Config!$D$9:$D$29,MATCH($B3691,Config!$B$9:$B$29,0))="Contrato",IF(INDEX(Config!$E$9:$E$29,MATCH($B3691,Config!$B$9:$B$29,0))="","",INDEX(Config!$E$9:$E$29,MATCH($B3691,Config!$B$9:$B$29,0))),""),""))</f>
        <v/>
      </c>
      <c r="AI3691" s="19" t="str">
        <f>IF($B3691="","",IFERROR(INDEX(Config!$D$9:$D$29,MATCH($B3691,Config!$B$9:$B$29,0))&amp;"",""))</f>
        <v/>
      </c>
    </row>
    <row r="3692">
      <c r="X3692" s="20" t="str">
        <f>IF($B3692="","",IFERROR(IF(INDEX(Config!$D$9:$D$29,MATCH($B3692,Config!$B$9:$B$29,0))="Contrato",IF(INDEX(Config!$E$9:$E$29,MATCH($B3692,Config!$B$9:$B$29,0))="","",INDEX(Config!$E$9:$E$29,MATCH($B3692,Config!$B$9:$B$29,0))),""),""))</f>
        <v/>
      </c>
      <c r="AI3692" s="19" t="str">
        <f>IF($B3692="","",IFERROR(INDEX(Config!$D$9:$D$29,MATCH($B3692,Config!$B$9:$B$29,0))&amp;"",""))</f>
        <v/>
      </c>
    </row>
    <row r="3693">
      <c r="X3693" s="20" t="str">
        <f>IF($B3693="","",IFERROR(IF(INDEX(Config!$D$9:$D$29,MATCH($B3693,Config!$B$9:$B$29,0))="Contrato",IF(INDEX(Config!$E$9:$E$29,MATCH($B3693,Config!$B$9:$B$29,0))="","",INDEX(Config!$E$9:$E$29,MATCH($B3693,Config!$B$9:$B$29,0))),""),""))</f>
        <v/>
      </c>
      <c r="AI3693" s="19" t="str">
        <f>IF($B3693="","",IFERROR(INDEX(Config!$D$9:$D$29,MATCH($B3693,Config!$B$9:$B$29,0))&amp;"",""))</f>
        <v/>
      </c>
    </row>
    <row r="3694">
      <c r="X3694" s="20" t="str">
        <f>IF($B3694="","",IFERROR(IF(INDEX(Config!$D$9:$D$29,MATCH($B3694,Config!$B$9:$B$29,0))="Contrato",IF(INDEX(Config!$E$9:$E$29,MATCH($B3694,Config!$B$9:$B$29,0))="","",INDEX(Config!$E$9:$E$29,MATCH($B3694,Config!$B$9:$B$29,0))),""),""))</f>
        <v/>
      </c>
      <c r="AI3694" s="19" t="str">
        <f>IF($B3694="","",IFERROR(INDEX(Config!$D$9:$D$29,MATCH($B3694,Config!$B$9:$B$29,0))&amp;"",""))</f>
        <v/>
      </c>
    </row>
    <row r="3695">
      <c r="X3695" s="20" t="str">
        <f>IF($B3695="","",IFERROR(IF(INDEX(Config!$D$9:$D$29,MATCH($B3695,Config!$B$9:$B$29,0))="Contrato",IF(INDEX(Config!$E$9:$E$29,MATCH($B3695,Config!$B$9:$B$29,0))="","",INDEX(Config!$E$9:$E$29,MATCH($B3695,Config!$B$9:$B$29,0))),""),""))</f>
        <v/>
      </c>
      <c r="AI3695" s="19" t="str">
        <f>IF($B3695="","",IFERROR(INDEX(Config!$D$9:$D$29,MATCH($B3695,Config!$B$9:$B$29,0))&amp;"",""))</f>
        <v/>
      </c>
    </row>
    <row r="3696">
      <c r="X3696" s="20" t="str">
        <f>IF($B3696="","",IFERROR(IF(INDEX(Config!$D$9:$D$29,MATCH($B3696,Config!$B$9:$B$29,0))="Contrato",IF(INDEX(Config!$E$9:$E$29,MATCH($B3696,Config!$B$9:$B$29,0))="","",INDEX(Config!$E$9:$E$29,MATCH($B3696,Config!$B$9:$B$29,0))),""),""))</f>
        <v/>
      </c>
      <c r="AI3696" s="19" t="str">
        <f>IF($B3696="","",IFERROR(INDEX(Config!$D$9:$D$29,MATCH($B3696,Config!$B$9:$B$29,0))&amp;"",""))</f>
        <v/>
      </c>
    </row>
    <row r="3697">
      <c r="X3697" s="20" t="str">
        <f>IF($B3697="","",IFERROR(IF(INDEX(Config!$D$9:$D$29,MATCH($B3697,Config!$B$9:$B$29,0))="Contrato",IF(INDEX(Config!$E$9:$E$29,MATCH($B3697,Config!$B$9:$B$29,0))="","",INDEX(Config!$E$9:$E$29,MATCH($B3697,Config!$B$9:$B$29,0))),""),""))</f>
        <v/>
      </c>
      <c r="AI3697" s="19" t="str">
        <f>IF($B3697="","",IFERROR(INDEX(Config!$D$9:$D$29,MATCH($B3697,Config!$B$9:$B$29,0))&amp;"",""))</f>
        <v/>
      </c>
    </row>
    <row r="3698">
      <c r="X3698" s="20" t="str">
        <f>IF($B3698="","",IFERROR(IF(INDEX(Config!$D$9:$D$29,MATCH($B3698,Config!$B$9:$B$29,0))="Contrato",IF(INDEX(Config!$E$9:$E$29,MATCH($B3698,Config!$B$9:$B$29,0))="","",INDEX(Config!$E$9:$E$29,MATCH($B3698,Config!$B$9:$B$29,0))),""),""))</f>
        <v/>
      </c>
      <c r="AI3698" s="19" t="str">
        <f>IF($B3698="","",IFERROR(INDEX(Config!$D$9:$D$29,MATCH($B3698,Config!$B$9:$B$29,0))&amp;"",""))</f>
        <v/>
      </c>
    </row>
    <row r="3699">
      <c r="X3699" s="20" t="str">
        <f>IF($B3699="","",IFERROR(IF(INDEX(Config!$D$9:$D$29,MATCH($B3699,Config!$B$9:$B$29,0))="Contrato",IF(INDEX(Config!$E$9:$E$29,MATCH($B3699,Config!$B$9:$B$29,0))="","",INDEX(Config!$E$9:$E$29,MATCH($B3699,Config!$B$9:$B$29,0))),""),""))</f>
        <v/>
      </c>
      <c r="AI3699" s="19" t="str">
        <f>IF($B3699="","",IFERROR(INDEX(Config!$D$9:$D$29,MATCH($B3699,Config!$B$9:$B$29,0))&amp;"",""))</f>
        <v/>
      </c>
    </row>
    <row r="3700">
      <c r="X3700" s="20" t="str">
        <f>IF($B3700="","",IFERROR(IF(INDEX(Config!$D$9:$D$29,MATCH($B3700,Config!$B$9:$B$29,0))="Contrato",IF(INDEX(Config!$E$9:$E$29,MATCH($B3700,Config!$B$9:$B$29,0))="","",INDEX(Config!$E$9:$E$29,MATCH($B3700,Config!$B$9:$B$29,0))),""),""))</f>
        <v/>
      </c>
      <c r="AI3700" s="19" t="str">
        <f>IF($B3700="","",IFERROR(INDEX(Config!$D$9:$D$29,MATCH($B3700,Config!$B$9:$B$29,0))&amp;"",""))</f>
        <v/>
      </c>
    </row>
    <row r="3701">
      <c r="X3701" s="20" t="str">
        <f>IF($B3701="","",IFERROR(IF(INDEX(Config!$D$9:$D$29,MATCH($B3701,Config!$B$9:$B$29,0))="Contrato",IF(INDEX(Config!$E$9:$E$29,MATCH($B3701,Config!$B$9:$B$29,0))="","",INDEX(Config!$E$9:$E$29,MATCH($B3701,Config!$B$9:$B$29,0))),""),""))</f>
        <v/>
      </c>
      <c r="AI3701" s="19" t="str">
        <f>IF($B3701="","",IFERROR(INDEX(Config!$D$9:$D$29,MATCH($B3701,Config!$B$9:$B$29,0))&amp;"",""))</f>
        <v/>
      </c>
    </row>
    <row r="3702">
      <c r="X3702" s="20" t="str">
        <f>IF($B3702="","",IFERROR(IF(INDEX(Config!$D$9:$D$29,MATCH($B3702,Config!$B$9:$B$29,0))="Contrato",IF(INDEX(Config!$E$9:$E$29,MATCH($B3702,Config!$B$9:$B$29,0))="","",INDEX(Config!$E$9:$E$29,MATCH($B3702,Config!$B$9:$B$29,0))),""),""))</f>
        <v/>
      </c>
      <c r="AI3702" s="19" t="str">
        <f>IF($B3702="","",IFERROR(INDEX(Config!$D$9:$D$29,MATCH($B3702,Config!$B$9:$B$29,0))&amp;"",""))</f>
        <v/>
      </c>
    </row>
    <row r="3703">
      <c r="X3703" s="20" t="str">
        <f>IF($B3703="","",IFERROR(IF(INDEX(Config!$D$9:$D$29,MATCH($B3703,Config!$B$9:$B$29,0))="Contrato",IF(INDEX(Config!$E$9:$E$29,MATCH($B3703,Config!$B$9:$B$29,0))="","",INDEX(Config!$E$9:$E$29,MATCH($B3703,Config!$B$9:$B$29,0))),""),""))</f>
        <v/>
      </c>
      <c r="AI3703" s="19" t="str">
        <f>IF($B3703="","",IFERROR(INDEX(Config!$D$9:$D$29,MATCH($B3703,Config!$B$9:$B$29,0))&amp;"",""))</f>
        <v/>
      </c>
    </row>
    <row r="3704">
      <c r="X3704" s="20" t="str">
        <f>IF($B3704="","",IFERROR(IF(INDEX(Config!$D$9:$D$29,MATCH($B3704,Config!$B$9:$B$29,0))="Contrato",IF(INDEX(Config!$E$9:$E$29,MATCH($B3704,Config!$B$9:$B$29,0))="","",INDEX(Config!$E$9:$E$29,MATCH($B3704,Config!$B$9:$B$29,0))),""),""))</f>
        <v/>
      </c>
      <c r="AI3704" s="19" t="str">
        <f>IF($B3704="","",IFERROR(INDEX(Config!$D$9:$D$29,MATCH($B3704,Config!$B$9:$B$29,0))&amp;"",""))</f>
        <v/>
      </c>
    </row>
    <row r="3705">
      <c r="X3705" s="20" t="str">
        <f>IF($B3705="","",IFERROR(IF(INDEX(Config!$D$9:$D$29,MATCH($B3705,Config!$B$9:$B$29,0))="Contrato",IF(INDEX(Config!$E$9:$E$29,MATCH($B3705,Config!$B$9:$B$29,0))="","",INDEX(Config!$E$9:$E$29,MATCH($B3705,Config!$B$9:$B$29,0))),""),""))</f>
        <v/>
      </c>
      <c r="AI3705" s="19" t="str">
        <f>IF($B3705="","",IFERROR(INDEX(Config!$D$9:$D$29,MATCH($B3705,Config!$B$9:$B$29,0))&amp;"",""))</f>
        <v/>
      </c>
    </row>
    <row r="3706">
      <c r="X3706" s="20" t="str">
        <f>IF($B3706="","",IFERROR(IF(INDEX(Config!$D$9:$D$29,MATCH($B3706,Config!$B$9:$B$29,0))="Contrato",IF(INDEX(Config!$E$9:$E$29,MATCH($B3706,Config!$B$9:$B$29,0))="","",INDEX(Config!$E$9:$E$29,MATCH($B3706,Config!$B$9:$B$29,0))),""),""))</f>
        <v/>
      </c>
      <c r="AI3706" s="19" t="str">
        <f>IF($B3706="","",IFERROR(INDEX(Config!$D$9:$D$29,MATCH($B3706,Config!$B$9:$B$29,0))&amp;"",""))</f>
        <v/>
      </c>
    </row>
    <row r="3707">
      <c r="X3707" s="20" t="str">
        <f>IF($B3707="","",IFERROR(IF(INDEX(Config!$D$9:$D$29,MATCH($B3707,Config!$B$9:$B$29,0))="Contrato",IF(INDEX(Config!$E$9:$E$29,MATCH($B3707,Config!$B$9:$B$29,0))="","",INDEX(Config!$E$9:$E$29,MATCH($B3707,Config!$B$9:$B$29,0))),""),""))</f>
        <v/>
      </c>
      <c r="AI3707" s="19" t="str">
        <f>IF($B3707="","",IFERROR(INDEX(Config!$D$9:$D$29,MATCH($B3707,Config!$B$9:$B$29,0))&amp;"",""))</f>
        <v/>
      </c>
    </row>
    <row r="3708">
      <c r="X3708" s="20" t="str">
        <f>IF($B3708="","",IFERROR(IF(INDEX(Config!$D$9:$D$29,MATCH($B3708,Config!$B$9:$B$29,0))="Contrato",IF(INDEX(Config!$E$9:$E$29,MATCH($B3708,Config!$B$9:$B$29,0))="","",INDEX(Config!$E$9:$E$29,MATCH($B3708,Config!$B$9:$B$29,0))),""),""))</f>
        <v/>
      </c>
      <c r="AI3708" s="19" t="str">
        <f>IF($B3708="","",IFERROR(INDEX(Config!$D$9:$D$29,MATCH($B3708,Config!$B$9:$B$29,0))&amp;"",""))</f>
        <v/>
      </c>
    </row>
    <row r="3709">
      <c r="X3709" s="20" t="str">
        <f>IF($B3709="","",IFERROR(IF(INDEX(Config!$D$9:$D$29,MATCH($B3709,Config!$B$9:$B$29,0))="Contrato",IF(INDEX(Config!$E$9:$E$29,MATCH($B3709,Config!$B$9:$B$29,0))="","",INDEX(Config!$E$9:$E$29,MATCH($B3709,Config!$B$9:$B$29,0))),""),""))</f>
        <v/>
      </c>
      <c r="AI3709" s="19" t="str">
        <f>IF($B3709="","",IFERROR(INDEX(Config!$D$9:$D$29,MATCH($B3709,Config!$B$9:$B$29,0))&amp;"",""))</f>
        <v/>
      </c>
    </row>
    <row r="3710">
      <c r="X3710" s="20" t="str">
        <f>IF($B3710="","",IFERROR(IF(INDEX(Config!$D$9:$D$29,MATCH($B3710,Config!$B$9:$B$29,0))="Contrato",IF(INDEX(Config!$E$9:$E$29,MATCH($B3710,Config!$B$9:$B$29,0))="","",INDEX(Config!$E$9:$E$29,MATCH($B3710,Config!$B$9:$B$29,0))),""),""))</f>
        <v/>
      </c>
      <c r="AI3710" s="19" t="str">
        <f>IF($B3710="","",IFERROR(INDEX(Config!$D$9:$D$29,MATCH($B3710,Config!$B$9:$B$29,0))&amp;"",""))</f>
        <v/>
      </c>
    </row>
    <row r="3711">
      <c r="X3711" s="20" t="str">
        <f>IF($B3711="","",IFERROR(IF(INDEX(Config!$D$9:$D$29,MATCH($B3711,Config!$B$9:$B$29,0))="Contrato",IF(INDEX(Config!$E$9:$E$29,MATCH($B3711,Config!$B$9:$B$29,0))="","",INDEX(Config!$E$9:$E$29,MATCH($B3711,Config!$B$9:$B$29,0))),""),""))</f>
        <v/>
      </c>
      <c r="AI3711" s="19" t="str">
        <f>IF($B3711="","",IFERROR(INDEX(Config!$D$9:$D$29,MATCH($B3711,Config!$B$9:$B$29,0))&amp;"",""))</f>
        <v/>
      </c>
    </row>
    <row r="3712">
      <c r="X3712" s="20" t="str">
        <f>IF($B3712="","",IFERROR(IF(INDEX(Config!$D$9:$D$29,MATCH($B3712,Config!$B$9:$B$29,0))="Contrato",IF(INDEX(Config!$E$9:$E$29,MATCH($B3712,Config!$B$9:$B$29,0))="","",INDEX(Config!$E$9:$E$29,MATCH($B3712,Config!$B$9:$B$29,0))),""),""))</f>
        <v/>
      </c>
      <c r="AI3712" s="19" t="str">
        <f>IF($B3712="","",IFERROR(INDEX(Config!$D$9:$D$29,MATCH($B3712,Config!$B$9:$B$29,0))&amp;"",""))</f>
        <v/>
      </c>
    </row>
    <row r="3713">
      <c r="X3713" s="20" t="str">
        <f>IF($B3713="","",IFERROR(IF(INDEX(Config!$D$9:$D$29,MATCH($B3713,Config!$B$9:$B$29,0))="Contrato",IF(INDEX(Config!$E$9:$E$29,MATCH($B3713,Config!$B$9:$B$29,0))="","",INDEX(Config!$E$9:$E$29,MATCH($B3713,Config!$B$9:$B$29,0))),""),""))</f>
        <v/>
      </c>
      <c r="AI3713" s="19" t="str">
        <f>IF($B3713="","",IFERROR(INDEX(Config!$D$9:$D$29,MATCH($B3713,Config!$B$9:$B$29,0))&amp;"",""))</f>
        <v/>
      </c>
    </row>
    <row r="3714">
      <c r="X3714" s="20" t="str">
        <f>IF($B3714="","",IFERROR(IF(INDEX(Config!$D$9:$D$29,MATCH($B3714,Config!$B$9:$B$29,0))="Contrato",IF(INDEX(Config!$E$9:$E$29,MATCH($B3714,Config!$B$9:$B$29,0))="","",INDEX(Config!$E$9:$E$29,MATCH($B3714,Config!$B$9:$B$29,0))),""),""))</f>
        <v/>
      </c>
      <c r="AI3714" s="19" t="str">
        <f>IF($B3714="","",IFERROR(INDEX(Config!$D$9:$D$29,MATCH($B3714,Config!$B$9:$B$29,0))&amp;"",""))</f>
        <v/>
      </c>
    </row>
    <row r="3715">
      <c r="X3715" s="20" t="str">
        <f>IF($B3715="","",IFERROR(IF(INDEX(Config!$D$9:$D$29,MATCH($B3715,Config!$B$9:$B$29,0))="Contrato",IF(INDEX(Config!$E$9:$E$29,MATCH($B3715,Config!$B$9:$B$29,0))="","",INDEX(Config!$E$9:$E$29,MATCH($B3715,Config!$B$9:$B$29,0))),""),""))</f>
        <v/>
      </c>
      <c r="AI3715" s="19" t="str">
        <f>IF($B3715="","",IFERROR(INDEX(Config!$D$9:$D$29,MATCH($B3715,Config!$B$9:$B$29,0))&amp;"",""))</f>
        <v/>
      </c>
    </row>
    <row r="3716">
      <c r="X3716" s="20" t="str">
        <f>IF($B3716="","",IFERROR(IF(INDEX(Config!$D$9:$D$29,MATCH($B3716,Config!$B$9:$B$29,0))="Contrato",IF(INDEX(Config!$E$9:$E$29,MATCH($B3716,Config!$B$9:$B$29,0))="","",INDEX(Config!$E$9:$E$29,MATCH($B3716,Config!$B$9:$B$29,0))),""),""))</f>
        <v/>
      </c>
      <c r="AI3716" s="19" t="str">
        <f>IF($B3716="","",IFERROR(INDEX(Config!$D$9:$D$29,MATCH($B3716,Config!$B$9:$B$29,0))&amp;"",""))</f>
        <v/>
      </c>
    </row>
    <row r="3717">
      <c r="X3717" s="20" t="str">
        <f>IF($B3717="","",IFERROR(IF(INDEX(Config!$D$9:$D$29,MATCH($B3717,Config!$B$9:$B$29,0))="Contrato",IF(INDEX(Config!$E$9:$E$29,MATCH($B3717,Config!$B$9:$B$29,0))="","",INDEX(Config!$E$9:$E$29,MATCH($B3717,Config!$B$9:$B$29,0))),""),""))</f>
        <v/>
      </c>
      <c r="AI3717" s="19" t="str">
        <f>IF($B3717="","",IFERROR(INDEX(Config!$D$9:$D$29,MATCH($B3717,Config!$B$9:$B$29,0))&amp;"",""))</f>
        <v/>
      </c>
    </row>
    <row r="3718">
      <c r="X3718" s="20" t="str">
        <f>IF($B3718="","",IFERROR(IF(INDEX(Config!$D$9:$D$29,MATCH($B3718,Config!$B$9:$B$29,0))="Contrato",IF(INDEX(Config!$E$9:$E$29,MATCH($B3718,Config!$B$9:$B$29,0))="","",INDEX(Config!$E$9:$E$29,MATCH($B3718,Config!$B$9:$B$29,0))),""),""))</f>
        <v/>
      </c>
      <c r="AI3718" s="19" t="str">
        <f>IF($B3718="","",IFERROR(INDEX(Config!$D$9:$D$29,MATCH($B3718,Config!$B$9:$B$29,0))&amp;"",""))</f>
        <v/>
      </c>
    </row>
    <row r="3719">
      <c r="X3719" s="20" t="str">
        <f>IF($B3719="","",IFERROR(IF(INDEX(Config!$D$9:$D$29,MATCH($B3719,Config!$B$9:$B$29,0))="Contrato",IF(INDEX(Config!$E$9:$E$29,MATCH($B3719,Config!$B$9:$B$29,0))="","",INDEX(Config!$E$9:$E$29,MATCH($B3719,Config!$B$9:$B$29,0))),""),""))</f>
        <v/>
      </c>
      <c r="AI3719" s="19" t="str">
        <f>IF($B3719="","",IFERROR(INDEX(Config!$D$9:$D$29,MATCH($B3719,Config!$B$9:$B$29,0))&amp;"",""))</f>
        <v/>
      </c>
    </row>
    <row r="3720">
      <c r="X3720" s="20" t="str">
        <f>IF($B3720="","",IFERROR(IF(INDEX(Config!$D$9:$D$29,MATCH($B3720,Config!$B$9:$B$29,0))="Contrato",IF(INDEX(Config!$E$9:$E$29,MATCH($B3720,Config!$B$9:$B$29,0))="","",INDEX(Config!$E$9:$E$29,MATCH($B3720,Config!$B$9:$B$29,0))),""),""))</f>
        <v/>
      </c>
      <c r="AI3720" s="19" t="str">
        <f>IF($B3720="","",IFERROR(INDEX(Config!$D$9:$D$29,MATCH($B3720,Config!$B$9:$B$29,0))&amp;"",""))</f>
        <v/>
      </c>
    </row>
    <row r="3721">
      <c r="X3721" s="20" t="str">
        <f>IF($B3721="","",IFERROR(IF(INDEX(Config!$D$9:$D$29,MATCH($B3721,Config!$B$9:$B$29,0))="Contrato",IF(INDEX(Config!$E$9:$E$29,MATCH($B3721,Config!$B$9:$B$29,0))="","",INDEX(Config!$E$9:$E$29,MATCH($B3721,Config!$B$9:$B$29,0))),""),""))</f>
        <v/>
      </c>
      <c r="AI3721" s="19" t="str">
        <f>IF($B3721="","",IFERROR(INDEX(Config!$D$9:$D$29,MATCH($B3721,Config!$B$9:$B$29,0))&amp;"",""))</f>
        <v/>
      </c>
    </row>
    <row r="3722">
      <c r="X3722" s="20" t="str">
        <f>IF($B3722="","",IFERROR(IF(INDEX(Config!$D$9:$D$29,MATCH($B3722,Config!$B$9:$B$29,0))="Contrato",IF(INDEX(Config!$E$9:$E$29,MATCH($B3722,Config!$B$9:$B$29,0))="","",INDEX(Config!$E$9:$E$29,MATCH($B3722,Config!$B$9:$B$29,0))),""),""))</f>
        <v/>
      </c>
      <c r="AI3722" s="19" t="str">
        <f>IF($B3722="","",IFERROR(INDEX(Config!$D$9:$D$29,MATCH($B3722,Config!$B$9:$B$29,0))&amp;"",""))</f>
        <v/>
      </c>
    </row>
    <row r="3723">
      <c r="X3723" s="20" t="str">
        <f>IF($B3723="","",IFERROR(IF(INDEX(Config!$D$9:$D$29,MATCH($B3723,Config!$B$9:$B$29,0))="Contrato",IF(INDEX(Config!$E$9:$E$29,MATCH($B3723,Config!$B$9:$B$29,0))="","",INDEX(Config!$E$9:$E$29,MATCH($B3723,Config!$B$9:$B$29,0))),""),""))</f>
        <v/>
      </c>
      <c r="AI3723" s="19" t="str">
        <f>IF($B3723="","",IFERROR(INDEX(Config!$D$9:$D$29,MATCH($B3723,Config!$B$9:$B$29,0))&amp;"",""))</f>
        <v/>
      </c>
    </row>
    <row r="3724">
      <c r="X3724" s="20" t="str">
        <f>IF($B3724="","",IFERROR(IF(INDEX(Config!$D$9:$D$29,MATCH($B3724,Config!$B$9:$B$29,0))="Contrato",IF(INDEX(Config!$E$9:$E$29,MATCH($B3724,Config!$B$9:$B$29,0))="","",INDEX(Config!$E$9:$E$29,MATCH($B3724,Config!$B$9:$B$29,0))),""),""))</f>
        <v/>
      </c>
      <c r="AI3724" s="19" t="str">
        <f>IF($B3724="","",IFERROR(INDEX(Config!$D$9:$D$29,MATCH($B3724,Config!$B$9:$B$29,0))&amp;"",""))</f>
        <v/>
      </c>
    </row>
    <row r="3725">
      <c r="X3725" s="20" t="str">
        <f>IF($B3725="","",IFERROR(IF(INDEX(Config!$D$9:$D$29,MATCH($B3725,Config!$B$9:$B$29,0))="Contrato",IF(INDEX(Config!$E$9:$E$29,MATCH($B3725,Config!$B$9:$B$29,0))="","",INDEX(Config!$E$9:$E$29,MATCH($B3725,Config!$B$9:$B$29,0))),""),""))</f>
        <v/>
      </c>
      <c r="AI3725" s="19" t="str">
        <f>IF($B3725="","",IFERROR(INDEX(Config!$D$9:$D$29,MATCH($B3725,Config!$B$9:$B$29,0))&amp;"",""))</f>
        <v/>
      </c>
    </row>
    <row r="3726">
      <c r="X3726" s="20" t="str">
        <f>IF($B3726="","",IFERROR(IF(INDEX(Config!$D$9:$D$29,MATCH($B3726,Config!$B$9:$B$29,0))="Contrato",IF(INDEX(Config!$E$9:$E$29,MATCH($B3726,Config!$B$9:$B$29,0))="","",INDEX(Config!$E$9:$E$29,MATCH($B3726,Config!$B$9:$B$29,0))),""),""))</f>
        <v/>
      </c>
      <c r="AI3726" s="19" t="str">
        <f>IF($B3726="","",IFERROR(INDEX(Config!$D$9:$D$29,MATCH($B3726,Config!$B$9:$B$29,0))&amp;"",""))</f>
        <v/>
      </c>
    </row>
    <row r="3727">
      <c r="X3727" s="20" t="str">
        <f>IF($B3727="","",IFERROR(IF(INDEX(Config!$D$9:$D$29,MATCH($B3727,Config!$B$9:$B$29,0))="Contrato",IF(INDEX(Config!$E$9:$E$29,MATCH($B3727,Config!$B$9:$B$29,0))="","",INDEX(Config!$E$9:$E$29,MATCH($B3727,Config!$B$9:$B$29,0))),""),""))</f>
        <v/>
      </c>
      <c r="AI3727" s="19" t="str">
        <f>IF($B3727="","",IFERROR(INDEX(Config!$D$9:$D$29,MATCH($B3727,Config!$B$9:$B$29,0))&amp;"",""))</f>
        <v/>
      </c>
    </row>
    <row r="3728">
      <c r="X3728" s="20" t="str">
        <f>IF($B3728="","",IFERROR(IF(INDEX(Config!$D$9:$D$29,MATCH($B3728,Config!$B$9:$B$29,0))="Contrato",IF(INDEX(Config!$E$9:$E$29,MATCH($B3728,Config!$B$9:$B$29,0))="","",INDEX(Config!$E$9:$E$29,MATCH($B3728,Config!$B$9:$B$29,0))),""),""))</f>
        <v/>
      </c>
      <c r="AI3728" s="19" t="str">
        <f>IF($B3728="","",IFERROR(INDEX(Config!$D$9:$D$29,MATCH($B3728,Config!$B$9:$B$29,0))&amp;"",""))</f>
        <v/>
      </c>
    </row>
    <row r="3729">
      <c r="X3729" s="20" t="str">
        <f>IF($B3729="","",IFERROR(IF(INDEX(Config!$D$9:$D$29,MATCH($B3729,Config!$B$9:$B$29,0))="Contrato",IF(INDEX(Config!$E$9:$E$29,MATCH($B3729,Config!$B$9:$B$29,0))="","",INDEX(Config!$E$9:$E$29,MATCH($B3729,Config!$B$9:$B$29,0))),""),""))</f>
        <v/>
      </c>
      <c r="AI3729" s="19" t="str">
        <f>IF($B3729="","",IFERROR(INDEX(Config!$D$9:$D$29,MATCH($B3729,Config!$B$9:$B$29,0))&amp;"",""))</f>
        <v/>
      </c>
    </row>
    <row r="3730">
      <c r="X3730" s="20" t="str">
        <f>IF($B3730="","",IFERROR(IF(INDEX(Config!$D$9:$D$29,MATCH($B3730,Config!$B$9:$B$29,0))="Contrato",IF(INDEX(Config!$E$9:$E$29,MATCH($B3730,Config!$B$9:$B$29,0))="","",INDEX(Config!$E$9:$E$29,MATCH($B3730,Config!$B$9:$B$29,0))),""),""))</f>
        <v/>
      </c>
      <c r="AI3730" s="19" t="str">
        <f>IF($B3730="","",IFERROR(INDEX(Config!$D$9:$D$29,MATCH($B3730,Config!$B$9:$B$29,0))&amp;"",""))</f>
        <v/>
      </c>
    </row>
    <row r="3731">
      <c r="X3731" s="20" t="str">
        <f>IF($B3731="","",IFERROR(IF(INDEX(Config!$D$9:$D$29,MATCH($B3731,Config!$B$9:$B$29,0))="Contrato",IF(INDEX(Config!$E$9:$E$29,MATCH($B3731,Config!$B$9:$B$29,0))="","",INDEX(Config!$E$9:$E$29,MATCH($B3731,Config!$B$9:$B$29,0))),""),""))</f>
        <v/>
      </c>
      <c r="AI3731" s="19" t="str">
        <f>IF($B3731="","",IFERROR(INDEX(Config!$D$9:$D$29,MATCH($B3731,Config!$B$9:$B$29,0))&amp;"",""))</f>
        <v/>
      </c>
    </row>
    <row r="3732">
      <c r="X3732" s="20" t="str">
        <f>IF($B3732="","",IFERROR(IF(INDEX(Config!$D$9:$D$29,MATCH($B3732,Config!$B$9:$B$29,0))="Contrato",IF(INDEX(Config!$E$9:$E$29,MATCH($B3732,Config!$B$9:$B$29,0))="","",INDEX(Config!$E$9:$E$29,MATCH($B3732,Config!$B$9:$B$29,0))),""),""))</f>
        <v/>
      </c>
      <c r="AI3732" s="19" t="str">
        <f>IF($B3732="","",IFERROR(INDEX(Config!$D$9:$D$29,MATCH($B3732,Config!$B$9:$B$29,0))&amp;"",""))</f>
        <v/>
      </c>
    </row>
    <row r="3733">
      <c r="X3733" s="20" t="str">
        <f>IF($B3733="","",IFERROR(IF(INDEX(Config!$D$9:$D$29,MATCH($B3733,Config!$B$9:$B$29,0))="Contrato",IF(INDEX(Config!$E$9:$E$29,MATCH($B3733,Config!$B$9:$B$29,0))="","",INDEX(Config!$E$9:$E$29,MATCH($B3733,Config!$B$9:$B$29,0))),""),""))</f>
        <v/>
      </c>
      <c r="AI3733" s="19" t="str">
        <f>IF($B3733="","",IFERROR(INDEX(Config!$D$9:$D$29,MATCH($B3733,Config!$B$9:$B$29,0))&amp;"",""))</f>
        <v/>
      </c>
    </row>
    <row r="3734">
      <c r="X3734" s="20" t="str">
        <f>IF($B3734="","",IFERROR(IF(INDEX(Config!$D$9:$D$29,MATCH($B3734,Config!$B$9:$B$29,0))="Contrato",IF(INDEX(Config!$E$9:$E$29,MATCH($B3734,Config!$B$9:$B$29,0))="","",INDEX(Config!$E$9:$E$29,MATCH($B3734,Config!$B$9:$B$29,0))),""),""))</f>
        <v/>
      </c>
      <c r="AI3734" s="19" t="str">
        <f>IF($B3734="","",IFERROR(INDEX(Config!$D$9:$D$29,MATCH($B3734,Config!$B$9:$B$29,0))&amp;"",""))</f>
        <v/>
      </c>
    </row>
    <row r="3735">
      <c r="X3735" s="20" t="str">
        <f>IF($B3735="","",IFERROR(IF(INDEX(Config!$D$9:$D$29,MATCH($B3735,Config!$B$9:$B$29,0))="Contrato",IF(INDEX(Config!$E$9:$E$29,MATCH($B3735,Config!$B$9:$B$29,0))="","",INDEX(Config!$E$9:$E$29,MATCH($B3735,Config!$B$9:$B$29,0))),""),""))</f>
        <v/>
      </c>
      <c r="AI3735" s="19" t="str">
        <f>IF($B3735="","",IFERROR(INDEX(Config!$D$9:$D$29,MATCH($B3735,Config!$B$9:$B$29,0))&amp;"",""))</f>
        <v/>
      </c>
    </row>
    <row r="3736">
      <c r="X3736" s="20" t="str">
        <f>IF($B3736="","",IFERROR(IF(INDEX(Config!$D$9:$D$29,MATCH($B3736,Config!$B$9:$B$29,0))="Contrato",IF(INDEX(Config!$E$9:$E$29,MATCH($B3736,Config!$B$9:$B$29,0))="","",INDEX(Config!$E$9:$E$29,MATCH($B3736,Config!$B$9:$B$29,0))),""),""))</f>
        <v/>
      </c>
      <c r="AI3736" s="19" t="str">
        <f>IF($B3736="","",IFERROR(INDEX(Config!$D$9:$D$29,MATCH($B3736,Config!$B$9:$B$29,0))&amp;"",""))</f>
        <v/>
      </c>
    </row>
    <row r="3737">
      <c r="X3737" s="20" t="str">
        <f>IF($B3737="","",IFERROR(IF(INDEX(Config!$D$9:$D$29,MATCH($B3737,Config!$B$9:$B$29,0))="Contrato",IF(INDEX(Config!$E$9:$E$29,MATCH($B3737,Config!$B$9:$B$29,0))="","",INDEX(Config!$E$9:$E$29,MATCH($B3737,Config!$B$9:$B$29,0))),""),""))</f>
        <v/>
      </c>
      <c r="AI3737" s="19" t="str">
        <f>IF($B3737="","",IFERROR(INDEX(Config!$D$9:$D$29,MATCH($B3737,Config!$B$9:$B$29,0))&amp;"",""))</f>
        <v/>
      </c>
    </row>
    <row r="3738">
      <c r="X3738" s="20" t="str">
        <f>IF($B3738="","",IFERROR(IF(INDEX(Config!$D$9:$D$29,MATCH($B3738,Config!$B$9:$B$29,0))="Contrato",IF(INDEX(Config!$E$9:$E$29,MATCH($B3738,Config!$B$9:$B$29,0))="","",INDEX(Config!$E$9:$E$29,MATCH($B3738,Config!$B$9:$B$29,0))),""),""))</f>
        <v/>
      </c>
      <c r="AI3738" s="19" t="str">
        <f>IF($B3738="","",IFERROR(INDEX(Config!$D$9:$D$29,MATCH($B3738,Config!$B$9:$B$29,0))&amp;"",""))</f>
        <v/>
      </c>
    </row>
    <row r="3739">
      <c r="X3739" s="20" t="str">
        <f>IF($B3739="","",IFERROR(IF(INDEX(Config!$D$9:$D$29,MATCH($B3739,Config!$B$9:$B$29,0))="Contrato",IF(INDEX(Config!$E$9:$E$29,MATCH($B3739,Config!$B$9:$B$29,0))="","",INDEX(Config!$E$9:$E$29,MATCH($B3739,Config!$B$9:$B$29,0))),""),""))</f>
        <v/>
      </c>
      <c r="AI3739" s="19" t="str">
        <f>IF($B3739="","",IFERROR(INDEX(Config!$D$9:$D$29,MATCH($B3739,Config!$B$9:$B$29,0))&amp;"",""))</f>
        <v/>
      </c>
    </row>
    <row r="3740">
      <c r="X3740" s="20" t="str">
        <f>IF($B3740="","",IFERROR(IF(INDEX(Config!$D$9:$D$29,MATCH($B3740,Config!$B$9:$B$29,0))="Contrato",IF(INDEX(Config!$E$9:$E$29,MATCH($B3740,Config!$B$9:$B$29,0))="","",INDEX(Config!$E$9:$E$29,MATCH($B3740,Config!$B$9:$B$29,0))),""),""))</f>
        <v/>
      </c>
      <c r="AI3740" s="19" t="str">
        <f>IF($B3740="","",IFERROR(INDEX(Config!$D$9:$D$29,MATCH($B3740,Config!$B$9:$B$29,0))&amp;"",""))</f>
        <v/>
      </c>
    </row>
    <row r="3741">
      <c r="X3741" s="20" t="str">
        <f>IF($B3741="","",IFERROR(IF(INDEX(Config!$D$9:$D$29,MATCH($B3741,Config!$B$9:$B$29,0))="Contrato",IF(INDEX(Config!$E$9:$E$29,MATCH($B3741,Config!$B$9:$B$29,0))="","",INDEX(Config!$E$9:$E$29,MATCH($B3741,Config!$B$9:$B$29,0))),""),""))</f>
        <v/>
      </c>
      <c r="AI3741" s="19" t="str">
        <f>IF($B3741="","",IFERROR(INDEX(Config!$D$9:$D$29,MATCH($B3741,Config!$B$9:$B$29,0))&amp;"",""))</f>
        <v/>
      </c>
    </row>
    <row r="3742">
      <c r="X3742" s="20" t="str">
        <f>IF($B3742="","",IFERROR(IF(INDEX(Config!$D$9:$D$29,MATCH($B3742,Config!$B$9:$B$29,0))="Contrato",IF(INDEX(Config!$E$9:$E$29,MATCH($B3742,Config!$B$9:$B$29,0))="","",INDEX(Config!$E$9:$E$29,MATCH($B3742,Config!$B$9:$B$29,0))),""),""))</f>
        <v/>
      </c>
      <c r="AI3742" s="19" t="str">
        <f>IF($B3742="","",IFERROR(INDEX(Config!$D$9:$D$29,MATCH($B3742,Config!$B$9:$B$29,0))&amp;"",""))</f>
        <v/>
      </c>
    </row>
    <row r="3743">
      <c r="X3743" s="20" t="str">
        <f>IF($B3743="","",IFERROR(IF(INDEX(Config!$D$9:$D$29,MATCH($B3743,Config!$B$9:$B$29,0))="Contrato",IF(INDEX(Config!$E$9:$E$29,MATCH($B3743,Config!$B$9:$B$29,0))="","",INDEX(Config!$E$9:$E$29,MATCH($B3743,Config!$B$9:$B$29,0))),""),""))</f>
        <v/>
      </c>
      <c r="AI3743" s="19" t="str">
        <f>IF($B3743="","",IFERROR(INDEX(Config!$D$9:$D$29,MATCH($B3743,Config!$B$9:$B$29,0))&amp;"",""))</f>
        <v/>
      </c>
    </row>
    <row r="3744">
      <c r="X3744" s="20" t="str">
        <f>IF($B3744="","",IFERROR(IF(INDEX(Config!$D$9:$D$29,MATCH($B3744,Config!$B$9:$B$29,0))="Contrato",IF(INDEX(Config!$E$9:$E$29,MATCH($B3744,Config!$B$9:$B$29,0))="","",INDEX(Config!$E$9:$E$29,MATCH($B3744,Config!$B$9:$B$29,0))),""),""))</f>
        <v/>
      </c>
      <c r="AI3744" s="19" t="str">
        <f>IF($B3744="","",IFERROR(INDEX(Config!$D$9:$D$29,MATCH($B3744,Config!$B$9:$B$29,0))&amp;"",""))</f>
        <v/>
      </c>
    </row>
    <row r="3745">
      <c r="X3745" s="20" t="str">
        <f>IF($B3745="","",IFERROR(IF(INDEX(Config!$D$9:$D$29,MATCH($B3745,Config!$B$9:$B$29,0))="Contrato",IF(INDEX(Config!$E$9:$E$29,MATCH($B3745,Config!$B$9:$B$29,0))="","",INDEX(Config!$E$9:$E$29,MATCH($B3745,Config!$B$9:$B$29,0))),""),""))</f>
        <v/>
      </c>
      <c r="AI3745" s="19" t="str">
        <f>IF($B3745="","",IFERROR(INDEX(Config!$D$9:$D$29,MATCH($B3745,Config!$B$9:$B$29,0))&amp;"",""))</f>
        <v/>
      </c>
    </row>
    <row r="3746">
      <c r="X3746" s="20" t="str">
        <f>IF($B3746="","",IFERROR(IF(INDEX(Config!$D$9:$D$29,MATCH($B3746,Config!$B$9:$B$29,0))="Contrato",IF(INDEX(Config!$E$9:$E$29,MATCH($B3746,Config!$B$9:$B$29,0))="","",INDEX(Config!$E$9:$E$29,MATCH($B3746,Config!$B$9:$B$29,0))),""),""))</f>
        <v/>
      </c>
      <c r="AI3746" s="19" t="str">
        <f>IF($B3746="","",IFERROR(INDEX(Config!$D$9:$D$29,MATCH($B3746,Config!$B$9:$B$29,0))&amp;"",""))</f>
        <v/>
      </c>
    </row>
    <row r="3747">
      <c r="X3747" s="20" t="str">
        <f>IF($B3747="","",IFERROR(IF(INDEX(Config!$D$9:$D$29,MATCH($B3747,Config!$B$9:$B$29,0))="Contrato",IF(INDEX(Config!$E$9:$E$29,MATCH($B3747,Config!$B$9:$B$29,0))="","",INDEX(Config!$E$9:$E$29,MATCH($B3747,Config!$B$9:$B$29,0))),""),""))</f>
        <v/>
      </c>
      <c r="AI3747" s="19" t="str">
        <f>IF($B3747="","",IFERROR(INDEX(Config!$D$9:$D$29,MATCH($B3747,Config!$B$9:$B$29,0))&amp;"",""))</f>
        <v/>
      </c>
    </row>
    <row r="3748">
      <c r="X3748" s="20" t="str">
        <f>IF($B3748="","",IFERROR(IF(INDEX(Config!$D$9:$D$29,MATCH($B3748,Config!$B$9:$B$29,0))="Contrato",IF(INDEX(Config!$E$9:$E$29,MATCH($B3748,Config!$B$9:$B$29,0))="","",INDEX(Config!$E$9:$E$29,MATCH($B3748,Config!$B$9:$B$29,0))),""),""))</f>
        <v/>
      </c>
      <c r="AI3748" s="19" t="str">
        <f>IF($B3748="","",IFERROR(INDEX(Config!$D$9:$D$29,MATCH($B3748,Config!$B$9:$B$29,0))&amp;"",""))</f>
        <v/>
      </c>
    </row>
    <row r="3749">
      <c r="X3749" s="20" t="str">
        <f>IF($B3749="","",IFERROR(IF(INDEX(Config!$D$9:$D$29,MATCH($B3749,Config!$B$9:$B$29,0))="Contrato",IF(INDEX(Config!$E$9:$E$29,MATCH($B3749,Config!$B$9:$B$29,0))="","",INDEX(Config!$E$9:$E$29,MATCH($B3749,Config!$B$9:$B$29,0))),""),""))</f>
        <v/>
      </c>
      <c r="AI3749" s="19" t="str">
        <f>IF($B3749="","",IFERROR(INDEX(Config!$D$9:$D$29,MATCH($B3749,Config!$B$9:$B$29,0))&amp;"",""))</f>
        <v/>
      </c>
    </row>
    <row r="3750">
      <c r="X3750" s="20" t="str">
        <f>IF($B3750="","",IFERROR(IF(INDEX(Config!$D$9:$D$29,MATCH($B3750,Config!$B$9:$B$29,0))="Contrato",IF(INDEX(Config!$E$9:$E$29,MATCH($B3750,Config!$B$9:$B$29,0))="","",INDEX(Config!$E$9:$E$29,MATCH($B3750,Config!$B$9:$B$29,0))),""),""))</f>
        <v/>
      </c>
      <c r="AI3750" s="19" t="str">
        <f>IF($B3750="","",IFERROR(INDEX(Config!$D$9:$D$29,MATCH($B3750,Config!$B$9:$B$29,0))&amp;"",""))</f>
        <v/>
      </c>
    </row>
    <row r="3751">
      <c r="X3751" s="20" t="str">
        <f>IF($B3751="","",IFERROR(IF(INDEX(Config!$D$9:$D$29,MATCH($B3751,Config!$B$9:$B$29,0))="Contrato",IF(INDEX(Config!$E$9:$E$29,MATCH($B3751,Config!$B$9:$B$29,0))="","",INDEX(Config!$E$9:$E$29,MATCH($B3751,Config!$B$9:$B$29,0))),""),""))</f>
        <v/>
      </c>
      <c r="AI3751" s="19" t="str">
        <f>IF($B3751="","",IFERROR(INDEX(Config!$D$9:$D$29,MATCH($B3751,Config!$B$9:$B$29,0))&amp;"",""))</f>
        <v/>
      </c>
    </row>
    <row r="3752">
      <c r="X3752" s="20" t="str">
        <f>IF($B3752="","",IFERROR(IF(INDEX(Config!$D$9:$D$29,MATCH($B3752,Config!$B$9:$B$29,0))="Contrato",IF(INDEX(Config!$E$9:$E$29,MATCH($B3752,Config!$B$9:$B$29,0))="","",INDEX(Config!$E$9:$E$29,MATCH($B3752,Config!$B$9:$B$29,0))),""),""))</f>
        <v/>
      </c>
      <c r="AI3752" s="19" t="str">
        <f>IF($B3752="","",IFERROR(INDEX(Config!$D$9:$D$29,MATCH($B3752,Config!$B$9:$B$29,0))&amp;"",""))</f>
        <v/>
      </c>
    </row>
    <row r="3753">
      <c r="X3753" s="20" t="str">
        <f>IF($B3753="","",IFERROR(IF(INDEX(Config!$D$9:$D$29,MATCH($B3753,Config!$B$9:$B$29,0))="Contrato",IF(INDEX(Config!$E$9:$E$29,MATCH($B3753,Config!$B$9:$B$29,0))="","",INDEX(Config!$E$9:$E$29,MATCH($B3753,Config!$B$9:$B$29,0))),""),""))</f>
        <v/>
      </c>
      <c r="AI3753" s="19" t="str">
        <f>IF($B3753="","",IFERROR(INDEX(Config!$D$9:$D$29,MATCH($B3753,Config!$B$9:$B$29,0))&amp;"",""))</f>
        <v/>
      </c>
    </row>
    <row r="3754">
      <c r="X3754" s="20" t="str">
        <f>IF($B3754="","",IFERROR(IF(INDEX(Config!$D$9:$D$29,MATCH($B3754,Config!$B$9:$B$29,0))="Contrato",IF(INDEX(Config!$E$9:$E$29,MATCH($B3754,Config!$B$9:$B$29,0))="","",INDEX(Config!$E$9:$E$29,MATCH($B3754,Config!$B$9:$B$29,0))),""),""))</f>
        <v/>
      </c>
      <c r="AI3754" s="19" t="str">
        <f>IF($B3754="","",IFERROR(INDEX(Config!$D$9:$D$29,MATCH($B3754,Config!$B$9:$B$29,0))&amp;"",""))</f>
        <v/>
      </c>
    </row>
    <row r="3755">
      <c r="X3755" s="20" t="str">
        <f>IF($B3755="","",IFERROR(IF(INDEX(Config!$D$9:$D$29,MATCH($B3755,Config!$B$9:$B$29,0))="Contrato",IF(INDEX(Config!$E$9:$E$29,MATCH($B3755,Config!$B$9:$B$29,0))="","",INDEX(Config!$E$9:$E$29,MATCH($B3755,Config!$B$9:$B$29,0))),""),""))</f>
        <v/>
      </c>
      <c r="AI3755" s="19" t="str">
        <f>IF($B3755="","",IFERROR(INDEX(Config!$D$9:$D$29,MATCH($B3755,Config!$B$9:$B$29,0))&amp;"",""))</f>
        <v/>
      </c>
    </row>
    <row r="3756">
      <c r="X3756" s="20" t="str">
        <f>IF($B3756="","",IFERROR(IF(INDEX(Config!$D$9:$D$29,MATCH($B3756,Config!$B$9:$B$29,0))="Contrato",IF(INDEX(Config!$E$9:$E$29,MATCH($B3756,Config!$B$9:$B$29,0))="","",INDEX(Config!$E$9:$E$29,MATCH($B3756,Config!$B$9:$B$29,0))),""),""))</f>
        <v/>
      </c>
      <c r="AI3756" s="19" t="str">
        <f>IF($B3756="","",IFERROR(INDEX(Config!$D$9:$D$29,MATCH($B3756,Config!$B$9:$B$29,0))&amp;"",""))</f>
        <v/>
      </c>
    </row>
    <row r="3757">
      <c r="X3757" s="20" t="str">
        <f>IF($B3757="","",IFERROR(IF(INDEX(Config!$D$9:$D$29,MATCH($B3757,Config!$B$9:$B$29,0))="Contrato",IF(INDEX(Config!$E$9:$E$29,MATCH($B3757,Config!$B$9:$B$29,0))="","",INDEX(Config!$E$9:$E$29,MATCH($B3757,Config!$B$9:$B$29,0))),""),""))</f>
        <v/>
      </c>
      <c r="AI3757" s="19" t="str">
        <f>IF($B3757="","",IFERROR(INDEX(Config!$D$9:$D$29,MATCH($B3757,Config!$B$9:$B$29,0))&amp;"",""))</f>
        <v/>
      </c>
    </row>
    <row r="3758">
      <c r="X3758" s="20" t="str">
        <f>IF($B3758="","",IFERROR(IF(INDEX(Config!$D$9:$D$29,MATCH($B3758,Config!$B$9:$B$29,0))="Contrato",IF(INDEX(Config!$E$9:$E$29,MATCH($B3758,Config!$B$9:$B$29,0))="","",INDEX(Config!$E$9:$E$29,MATCH($B3758,Config!$B$9:$B$29,0))),""),""))</f>
        <v/>
      </c>
      <c r="AI3758" s="19" t="str">
        <f>IF($B3758="","",IFERROR(INDEX(Config!$D$9:$D$29,MATCH($B3758,Config!$B$9:$B$29,0))&amp;"",""))</f>
        <v/>
      </c>
    </row>
    <row r="3759">
      <c r="X3759" s="20" t="str">
        <f>IF($B3759="","",IFERROR(IF(INDEX(Config!$D$9:$D$29,MATCH($B3759,Config!$B$9:$B$29,0))="Contrato",IF(INDEX(Config!$E$9:$E$29,MATCH($B3759,Config!$B$9:$B$29,0))="","",INDEX(Config!$E$9:$E$29,MATCH($B3759,Config!$B$9:$B$29,0))),""),""))</f>
        <v/>
      </c>
      <c r="AI3759" s="19" t="str">
        <f>IF($B3759="","",IFERROR(INDEX(Config!$D$9:$D$29,MATCH($B3759,Config!$B$9:$B$29,0))&amp;"",""))</f>
        <v/>
      </c>
    </row>
    <row r="3760">
      <c r="X3760" s="20" t="str">
        <f>IF($B3760="","",IFERROR(IF(INDEX(Config!$D$9:$D$29,MATCH($B3760,Config!$B$9:$B$29,0))="Contrato",IF(INDEX(Config!$E$9:$E$29,MATCH($B3760,Config!$B$9:$B$29,0))="","",INDEX(Config!$E$9:$E$29,MATCH($B3760,Config!$B$9:$B$29,0))),""),""))</f>
        <v/>
      </c>
      <c r="AI3760" s="19" t="str">
        <f>IF($B3760="","",IFERROR(INDEX(Config!$D$9:$D$29,MATCH($B3760,Config!$B$9:$B$29,0))&amp;"",""))</f>
        <v/>
      </c>
    </row>
    <row r="3761">
      <c r="X3761" s="20" t="str">
        <f>IF($B3761="","",IFERROR(IF(INDEX(Config!$D$9:$D$29,MATCH($B3761,Config!$B$9:$B$29,0))="Contrato",IF(INDEX(Config!$E$9:$E$29,MATCH($B3761,Config!$B$9:$B$29,0))="","",INDEX(Config!$E$9:$E$29,MATCH($B3761,Config!$B$9:$B$29,0))),""),""))</f>
        <v/>
      </c>
      <c r="AI3761" s="19" t="str">
        <f>IF($B3761="","",IFERROR(INDEX(Config!$D$9:$D$29,MATCH($B3761,Config!$B$9:$B$29,0))&amp;"",""))</f>
        <v/>
      </c>
    </row>
    <row r="3762">
      <c r="X3762" s="20" t="str">
        <f>IF($B3762="","",IFERROR(IF(INDEX(Config!$D$9:$D$29,MATCH($B3762,Config!$B$9:$B$29,0))="Contrato",IF(INDEX(Config!$E$9:$E$29,MATCH($B3762,Config!$B$9:$B$29,0))="","",INDEX(Config!$E$9:$E$29,MATCH($B3762,Config!$B$9:$B$29,0))),""),""))</f>
        <v/>
      </c>
      <c r="AI3762" s="19" t="str">
        <f>IF($B3762="","",IFERROR(INDEX(Config!$D$9:$D$29,MATCH($B3762,Config!$B$9:$B$29,0))&amp;"",""))</f>
        <v/>
      </c>
    </row>
    <row r="3763">
      <c r="X3763" s="20" t="str">
        <f>IF($B3763="","",IFERROR(IF(INDEX(Config!$D$9:$D$29,MATCH($B3763,Config!$B$9:$B$29,0))="Contrato",IF(INDEX(Config!$E$9:$E$29,MATCH($B3763,Config!$B$9:$B$29,0))="","",INDEX(Config!$E$9:$E$29,MATCH($B3763,Config!$B$9:$B$29,0))),""),""))</f>
        <v/>
      </c>
      <c r="AI3763" s="19" t="str">
        <f>IF($B3763="","",IFERROR(INDEX(Config!$D$9:$D$29,MATCH($B3763,Config!$B$9:$B$29,0))&amp;"",""))</f>
        <v/>
      </c>
    </row>
    <row r="3764">
      <c r="X3764" s="20" t="str">
        <f>IF($B3764="","",IFERROR(IF(INDEX(Config!$D$9:$D$29,MATCH($B3764,Config!$B$9:$B$29,0))="Contrato",IF(INDEX(Config!$E$9:$E$29,MATCH($B3764,Config!$B$9:$B$29,0))="","",INDEX(Config!$E$9:$E$29,MATCH($B3764,Config!$B$9:$B$29,0))),""),""))</f>
        <v/>
      </c>
      <c r="AI3764" s="19" t="str">
        <f>IF($B3764="","",IFERROR(INDEX(Config!$D$9:$D$29,MATCH($B3764,Config!$B$9:$B$29,0))&amp;"",""))</f>
        <v/>
      </c>
    </row>
    <row r="3765">
      <c r="X3765" s="20" t="str">
        <f>IF($B3765="","",IFERROR(IF(INDEX(Config!$D$9:$D$29,MATCH($B3765,Config!$B$9:$B$29,0))="Contrato",IF(INDEX(Config!$E$9:$E$29,MATCH($B3765,Config!$B$9:$B$29,0))="","",INDEX(Config!$E$9:$E$29,MATCH($B3765,Config!$B$9:$B$29,0))),""),""))</f>
        <v/>
      </c>
      <c r="AI3765" s="19" t="str">
        <f>IF($B3765="","",IFERROR(INDEX(Config!$D$9:$D$29,MATCH($B3765,Config!$B$9:$B$29,0))&amp;"",""))</f>
        <v/>
      </c>
    </row>
    <row r="3766">
      <c r="X3766" s="20" t="str">
        <f>IF($B3766="","",IFERROR(IF(INDEX(Config!$D$9:$D$29,MATCH($B3766,Config!$B$9:$B$29,0))="Contrato",IF(INDEX(Config!$E$9:$E$29,MATCH($B3766,Config!$B$9:$B$29,0))="","",INDEX(Config!$E$9:$E$29,MATCH($B3766,Config!$B$9:$B$29,0))),""),""))</f>
        <v/>
      </c>
      <c r="AI3766" s="19" t="str">
        <f>IF($B3766="","",IFERROR(INDEX(Config!$D$9:$D$29,MATCH($B3766,Config!$B$9:$B$29,0))&amp;"",""))</f>
        <v/>
      </c>
    </row>
    <row r="3767">
      <c r="X3767" s="20" t="str">
        <f>IF($B3767="","",IFERROR(IF(INDEX(Config!$D$9:$D$29,MATCH($B3767,Config!$B$9:$B$29,0))="Contrato",IF(INDEX(Config!$E$9:$E$29,MATCH($B3767,Config!$B$9:$B$29,0))="","",INDEX(Config!$E$9:$E$29,MATCH($B3767,Config!$B$9:$B$29,0))),""),""))</f>
        <v/>
      </c>
      <c r="AI3767" s="19" t="str">
        <f>IF($B3767="","",IFERROR(INDEX(Config!$D$9:$D$29,MATCH($B3767,Config!$B$9:$B$29,0))&amp;"",""))</f>
        <v/>
      </c>
    </row>
    <row r="3768">
      <c r="X3768" s="20" t="str">
        <f>IF($B3768="","",IFERROR(IF(INDEX(Config!$D$9:$D$29,MATCH($B3768,Config!$B$9:$B$29,0))="Contrato",IF(INDEX(Config!$E$9:$E$29,MATCH($B3768,Config!$B$9:$B$29,0))="","",INDEX(Config!$E$9:$E$29,MATCH($B3768,Config!$B$9:$B$29,0))),""),""))</f>
        <v/>
      </c>
      <c r="AI3768" s="19" t="str">
        <f>IF($B3768="","",IFERROR(INDEX(Config!$D$9:$D$29,MATCH($B3768,Config!$B$9:$B$29,0))&amp;"",""))</f>
        <v/>
      </c>
    </row>
    <row r="3769">
      <c r="X3769" s="20" t="str">
        <f>IF($B3769="","",IFERROR(IF(INDEX(Config!$D$9:$D$29,MATCH($B3769,Config!$B$9:$B$29,0))="Contrato",IF(INDEX(Config!$E$9:$E$29,MATCH($B3769,Config!$B$9:$B$29,0))="","",INDEX(Config!$E$9:$E$29,MATCH($B3769,Config!$B$9:$B$29,0))),""),""))</f>
        <v/>
      </c>
      <c r="AI3769" s="19" t="str">
        <f>IF($B3769="","",IFERROR(INDEX(Config!$D$9:$D$29,MATCH($B3769,Config!$B$9:$B$29,0))&amp;"",""))</f>
        <v/>
      </c>
    </row>
    <row r="3770">
      <c r="X3770" s="20" t="str">
        <f>IF($B3770="","",IFERROR(IF(INDEX(Config!$D$9:$D$29,MATCH($B3770,Config!$B$9:$B$29,0))="Contrato",IF(INDEX(Config!$E$9:$E$29,MATCH($B3770,Config!$B$9:$B$29,0))="","",INDEX(Config!$E$9:$E$29,MATCH($B3770,Config!$B$9:$B$29,0))),""),""))</f>
        <v/>
      </c>
      <c r="AI3770" s="19" t="str">
        <f>IF($B3770="","",IFERROR(INDEX(Config!$D$9:$D$29,MATCH($B3770,Config!$B$9:$B$29,0))&amp;"",""))</f>
        <v/>
      </c>
    </row>
    <row r="3771">
      <c r="X3771" s="20" t="str">
        <f>IF($B3771="","",IFERROR(IF(INDEX(Config!$D$9:$D$29,MATCH($B3771,Config!$B$9:$B$29,0))="Contrato",IF(INDEX(Config!$E$9:$E$29,MATCH($B3771,Config!$B$9:$B$29,0))="","",INDEX(Config!$E$9:$E$29,MATCH($B3771,Config!$B$9:$B$29,0))),""),""))</f>
        <v/>
      </c>
      <c r="AI3771" s="19" t="str">
        <f>IF($B3771="","",IFERROR(INDEX(Config!$D$9:$D$29,MATCH($B3771,Config!$B$9:$B$29,0))&amp;"",""))</f>
        <v/>
      </c>
    </row>
    <row r="3772">
      <c r="X3772" s="20" t="str">
        <f>IF($B3772="","",IFERROR(IF(INDEX(Config!$D$9:$D$29,MATCH($B3772,Config!$B$9:$B$29,0))="Contrato",IF(INDEX(Config!$E$9:$E$29,MATCH($B3772,Config!$B$9:$B$29,0))="","",INDEX(Config!$E$9:$E$29,MATCH($B3772,Config!$B$9:$B$29,0))),""),""))</f>
        <v/>
      </c>
      <c r="AI3772" s="19" t="str">
        <f>IF($B3772="","",IFERROR(INDEX(Config!$D$9:$D$29,MATCH($B3772,Config!$B$9:$B$29,0))&amp;"",""))</f>
        <v/>
      </c>
    </row>
    <row r="3773">
      <c r="X3773" s="20" t="str">
        <f>IF($B3773="","",IFERROR(IF(INDEX(Config!$D$9:$D$29,MATCH($B3773,Config!$B$9:$B$29,0))="Contrato",IF(INDEX(Config!$E$9:$E$29,MATCH($B3773,Config!$B$9:$B$29,0))="","",INDEX(Config!$E$9:$E$29,MATCH($B3773,Config!$B$9:$B$29,0))),""),""))</f>
        <v/>
      </c>
      <c r="AI3773" s="19" t="str">
        <f>IF($B3773="","",IFERROR(INDEX(Config!$D$9:$D$29,MATCH($B3773,Config!$B$9:$B$29,0))&amp;"",""))</f>
        <v/>
      </c>
    </row>
    <row r="3774">
      <c r="X3774" s="20" t="str">
        <f>IF($B3774="","",IFERROR(IF(INDEX(Config!$D$9:$D$29,MATCH($B3774,Config!$B$9:$B$29,0))="Contrato",IF(INDEX(Config!$E$9:$E$29,MATCH($B3774,Config!$B$9:$B$29,0))="","",INDEX(Config!$E$9:$E$29,MATCH($B3774,Config!$B$9:$B$29,0))),""),""))</f>
        <v/>
      </c>
      <c r="AI3774" s="19" t="str">
        <f>IF($B3774="","",IFERROR(INDEX(Config!$D$9:$D$29,MATCH($B3774,Config!$B$9:$B$29,0))&amp;"",""))</f>
        <v/>
      </c>
    </row>
    <row r="3775">
      <c r="X3775" s="20" t="str">
        <f>IF($B3775="","",IFERROR(IF(INDEX(Config!$D$9:$D$29,MATCH($B3775,Config!$B$9:$B$29,0))="Contrato",IF(INDEX(Config!$E$9:$E$29,MATCH($B3775,Config!$B$9:$B$29,0))="","",INDEX(Config!$E$9:$E$29,MATCH($B3775,Config!$B$9:$B$29,0))),""),""))</f>
        <v/>
      </c>
      <c r="AI3775" s="19" t="str">
        <f>IF($B3775="","",IFERROR(INDEX(Config!$D$9:$D$29,MATCH($B3775,Config!$B$9:$B$29,0))&amp;"",""))</f>
        <v/>
      </c>
    </row>
    <row r="3776">
      <c r="X3776" s="20" t="str">
        <f>IF($B3776="","",IFERROR(IF(INDEX(Config!$D$9:$D$29,MATCH($B3776,Config!$B$9:$B$29,0))="Contrato",IF(INDEX(Config!$E$9:$E$29,MATCH($B3776,Config!$B$9:$B$29,0))="","",INDEX(Config!$E$9:$E$29,MATCH($B3776,Config!$B$9:$B$29,0))),""),""))</f>
        <v/>
      </c>
      <c r="AI3776" s="19" t="str">
        <f>IF($B3776="","",IFERROR(INDEX(Config!$D$9:$D$29,MATCH($B3776,Config!$B$9:$B$29,0))&amp;"",""))</f>
        <v/>
      </c>
    </row>
    <row r="3777">
      <c r="X3777" s="20" t="str">
        <f>IF($B3777="","",IFERROR(IF(INDEX(Config!$D$9:$D$29,MATCH($B3777,Config!$B$9:$B$29,0))="Contrato",IF(INDEX(Config!$E$9:$E$29,MATCH($B3777,Config!$B$9:$B$29,0))="","",INDEX(Config!$E$9:$E$29,MATCH($B3777,Config!$B$9:$B$29,0))),""),""))</f>
        <v/>
      </c>
      <c r="AI3777" s="19" t="str">
        <f>IF($B3777="","",IFERROR(INDEX(Config!$D$9:$D$29,MATCH($B3777,Config!$B$9:$B$29,0))&amp;"",""))</f>
        <v/>
      </c>
    </row>
    <row r="3778">
      <c r="X3778" s="20" t="str">
        <f>IF($B3778="","",IFERROR(IF(INDEX(Config!$D$9:$D$29,MATCH($B3778,Config!$B$9:$B$29,0))="Contrato",IF(INDEX(Config!$E$9:$E$29,MATCH($B3778,Config!$B$9:$B$29,0))="","",INDEX(Config!$E$9:$E$29,MATCH($B3778,Config!$B$9:$B$29,0))),""),""))</f>
        <v/>
      </c>
      <c r="AI3778" s="19" t="str">
        <f>IF($B3778="","",IFERROR(INDEX(Config!$D$9:$D$29,MATCH($B3778,Config!$B$9:$B$29,0))&amp;"",""))</f>
        <v/>
      </c>
    </row>
    <row r="3779">
      <c r="X3779" s="20" t="str">
        <f>IF($B3779="","",IFERROR(IF(INDEX(Config!$D$9:$D$29,MATCH($B3779,Config!$B$9:$B$29,0))="Contrato",IF(INDEX(Config!$E$9:$E$29,MATCH($B3779,Config!$B$9:$B$29,0))="","",INDEX(Config!$E$9:$E$29,MATCH($B3779,Config!$B$9:$B$29,0))),""),""))</f>
        <v/>
      </c>
      <c r="AI3779" s="19" t="str">
        <f>IF($B3779="","",IFERROR(INDEX(Config!$D$9:$D$29,MATCH($B3779,Config!$B$9:$B$29,0))&amp;"",""))</f>
        <v/>
      </c>
    </row>
    <row r="3780">
      <c r="X3780" s="20" t="str">
        <f>IF($B3780="","",IFERROR(IF(INDEX(Config!$D$9:$D$29,MATCH($B3780,Config!$B$9:$B$29,0))="Contrato",IF(INDEX(Config!$E$9:$E$29,MATCH($B3780,Config!$B$9:$B$29,0))="","",INDEX(Config!$E$9:$E$29,MATCH($B3780,Config!$B$9:$B$29,0))),""),""))</f>
        <v/>
      </c>
      <c r="AI3780" s="19" t="str">
        <f>IF($B3780="","",IFERROR(INDEX(Config!$D$9:$D$29,MATCH($B3780,Config!$B$9:$B$29,0))&amp;"",""))</f>
        <v/>
      </c>
    </row>
    <row r="3781">
      <c r="X3781" s="20" t="str">
        <f>IF($B3781="","",IFERROR(IF(INDEX(Config!$D$9:$D$29,MATCH($B3781,Config!$B$9:$B$29,0))="Contrato",IF(INDEX(Config!$E$9:$E$29,MATCH($B3781,Config!$B$9:$B$29,0))="","",INDEX(Config!$E$9:$E$29,MATCH($B3781,Config!$B$9:$B$29,0))),""),""))</f>
        <v/>
      </c>
      <c r="AI3781" s="19" t="str">
        <f>IF($B3781="","",IFERROR(INDEX(Config!$D$9:$D$29,MATCH($B3781,Config!$B$9:$B$29,0))&amp;"",""))</f>
        <v/>
      </c>
    </row>
    <row r="3782">
      <c r="X3782" s="20" t="str">
        <f>IF($B3782="","",IFERROR(IF(INDEX(Config!$D$9:$D$29,MATCH($B3782,Config!$B$9:$B$29,0))="Contrato",IF(INDEX(Config!$E$9:$E$29,MATCH($B3782,Config!$B$9:$B$29,0))="","",INDEX(Config!$E$9:$E$29,MATCH($B3782,Config!$B$9:$B$29,0))),""),""))</f>
        <v/>
      </c>
      <c r="AI3782" s="19" t="str">
        <f>IF($B3782="","",IFERROR(INDEX(Config!$D$9:$D$29,MATCH($B3782,Config!$B$9:$B$29,0))&amp;"",""))</f>
        <v/>
      </c>
    </row>
    <row r="3783">
      <c r="X3783" s="20" t="str">
        <f>IF($B3783="","",IFERROR(IF(INDEX(Config!$D$9:$D$29,MATCH($B3783,Config!$B$9:$B$29,0))="Contrato",IF(INDEX(Config!$E$9:$E$29,MATCH($B3783,Config!$B$9:$B$29,0))="","",INDEX(Config!$E$9:$E$29,MATCH($B3783,Config!$B$9:$B$29,0))),""),""))</f>
        <v/>
      </c>
      <c r="AI3783" s="19" t="str">
        <f>IF($B3783="","",IFERROR(INDEX(Config!$D$9:$D$29,MATCH($B3783,Config!$B$9:$B$29,0))&amp;"",""))</f>
        <v/>
      </c>
    </row>
    <row r="3784">
      <c r="X3784" s="20" t="str">
        <f>IF($B3784="","",IFERROR(IF(INDEX(Config!$D$9:$D$29,MATCH($B3784,Config!$B$9:$B$29,0))="Contrato",IF(INDEX(Config!$E$9:$E$29,MATCH($B3784,Config!$B$9:$B$29,0))="","",INDEX(Config!$E$9:$E$29,MATCH($B3784,Config!$B$9:$B$29,0))),""),""))</f>
        <v/>
      </c>
      <c r="AI3784" s="19" t="str">
        <f>IF($B3784="","",IFERROR(INDEX(Config!$D$9:$D$29,MATCH($B3784,Config!$B$9:$B$29,0))&amp;"",""))</f>
        <v/>
      </c>
    </row>
    <row r="3785">
      <c r="X3785" s="20" t="str">
        <f>IF($B3785="","",IFERROR(IF(INDEX(Config!$D$9:$D$29,MATCH($B3785,Config!$B$9:$B$29,0))="Contrato",IF(INDEX(Config!$E$9:$E$29,MATCH($B3785,Config!$B$9:$B$29,0))="","",INDEX(Config!$E$9:$E$29,MATCH($B3785,Config!$B$9:$B$29,0))),""),""))</f>
        <v/>
      </c>
      <c r="AI3785" s="19" t="str">
        <f>IF($B3785="","",IFERROR(INDEX(Config!$D$9:$D$29,MATCH($B3785,Config!$B$9:$B$29,0))&amp;"",""))</f>
        <v/>
      </c>
    </row>
    <row r="3786">
      <c r="X3786" s="20" t="str">
        <f>IF($B3786="","",IFERROR(IF(INDEX(Config!$D$9:$D$29,MATCH($B3786,Config!$B$9:$B$29,0))="Contrato",IF(INDEX(Config!$E$9:$E$29,MATCH($B3786,Config!$B$9:$B$29,0))="","",INDEX(Config!$E$9:$E$29,MATCH($B3786,Config!$B$9:$B$29,0))),""),""))</f>
        <v/>
      </c>
      <c r="AI3786" s="19" t="str">
        <f>IF($B3786="","",IFERROR(INDEX(Config!$D$9:$D$29,MATCH($B3786,Config!$B$9:$B$29,0))&amp;"",""))</f>
        <v/>
      </c>
    </row>
    <row r="3787">
      <c r="X3787" s="20" t="str">
        <f>IF($B3787="","",IFERROR(IF(INDEX(Config!$D$9:$D$29,MATCH($B3787,Config!$B$9:$B$29,0))="Contrato",IF(INDEX(Config!$E$9:$E$29,MATCH($B3787,Config!$B$9:$B$29,0))="","",INDEX(Config!$E$9:$E$29,MATCH($B3787,Config!$B$9:$B$29,0))),""),""))</f>
        <v/>
      </c>
      <c r="AI3787" s="19" t="str">
        <f>IF($B3787="","",IFERROR(INDEX(Config!$D$9:$D$29,MATCH($B3787,Config!$B$9:$B$29,0))&amp;"",""))</f>
        <v/>
      </c>
    </row>
    <row r="3788">
      <c r="X3788" s="20" t="str">
        <f>IF($B3788="","",IFERROR(IF(INDEX(Config!$D$9:$D$29,MATCH($B3788,Config!$B$9:$B$29,0))="Contrato",IF(INDEX(Config!$E$9:$E$29,MATCH($B3788,Config!$B$9:$B$29,0))="","",INDEX(Config!$E$9:$E$29,MATCH($B3788,Config!$B$9:$B$29,0))),""),""))</f>
        <v/>
      </c>
      <c r="AI3788" s="19" t="str">
        <f>IF($B3788="","",IFERROR(INDEX(Config!$D$9:$D$29,MATCH($B3788,Config!$B$9:$B$29,0))&amp;"",""))</f>
        <v/>
      </c>
    </row>
    <row r="3789">
      <c r="X3789" s="20" t="str">
        <f>IF($B3789="","",IFERROR(IF(INDEX(Config!$D$9:$D$29,MATCH($B3789,Config!$B$9:$B$29,0))="Contrato",IF(INDEX(Config!$E$9:$E$29,MATCH($B3789,Config!$B$9:$B$29,0))="","",INDEX(Config!$E$9:$E$29,MATCH($B3789,Config!$B$9:$B$29,0))),""),""))</f>
        <v/>
      </c>
      <c r="AI3789" s="19" t="str">
        <f>IF($B3789="","",IFERROR(INDEX(Config!$D$9:$D$29,MATCH($B3789,Config!$B$9:$B$29,0))&amp;"",""))</f>
        <v/>
      </c>
    </row>
    <row r="3790">
      <c r="X3790" s="20" t="str">
        <f>IF($B3790="","",IFERROR(IF(INDEX(Config!$D$9:$D$29,MATCH($B3790,Config!$B$9:$B$29,0))="Contrato",IF(INDEX(Config!$E$9:$E$29,MATCH($B3790,Config!$B$9:$B$29,0))="","",INDEX(Config!$E$9:$E$29,MATCH($B3790,Config!$B$9:$B$29,0))),""),""))</f>
        <v/>
      </c>
      <c r="AI3790" s="19" t="str">
        <f>IF($B3790="","",IFERROR(INDEX(Config!$D$9:$D$29,MATCH($B3790,Config!$B$9:$B$29,0))&amp;"",""))</f>
        <v/>
      </c>
    </row>
    <row r="3791">
      <c r="X3791" s="20" t="str">
        <f>IF($B3791="","",IFERROR(IF(INDEX(Config!$D$9:$D$29,MATCH($B3791,Config!$B$9:$B$29,0))="Contrato",IF(INDEX(Config!$E$9:$E$29,MATCH($B3791,Config!$B$9:$B$29,0))="","",INDEX(Config!$E$9:$E$29,MATCH($B3791,Config!$B$9:$B$29,0))),""),""))</f>
        <v/>
      </c>
      <c r="AI3791" s="19" t="str">
        <f>IF($B3791="","",IFERROR(INDEX(Config!$D$9:$D$29,MATCH($B3791,Config!$B$9:$B$29,0))&amp;"",""))</f>
        <v/>
      </c>
    </row>
    <row r="3792">
      <c r="X3792" s="20" t="str">
        <f>IF($B3792="","",IFERROR(IF(INDEX(Config!$D$9:$D$29,MATCH($B3792,Config!$B$9:$B$29,0))="Contrato",IF(INDEX(Config!$E$9:$E$29,MATCH($B3792,Config!$B$9:$B$29,0))="","",INDEX(Config!$E$9:$E$29,MATCH($B3792,Config!$B$9:$B$29,0))),""),""))</f>
        <v/>
      </c>
      <c r="AI3792" s="19" t="str">
        <f>IF($B3792="","",IFERROR(INDEX(Config!$D$9:$D$29,MATCH($B3792,Config!$B$9:$B$29,0))&amp;"",""))</f>
        <v/>
      </c>
    </row>
    <row r="3793">
      <c r="X3793" s="20" t="str">
        <f>IF($B3793="","",IFERROR(IF(INDEX(Config!$D$9:$D$29,MATCH($B3793,Config!$B$9:$B$29,0))="Contrato",IF(INDEX(Config!$E$9:$E$29,MATCH($B3793,Config!$B$9:$B$29,0))="","",INDEX(Config!$E$9:$E$29,MATCH($B3793,Config!$B$9:$B$29,0))),""),""))</f>
        <v/>
      </c>
      <c r="AI3793" s="19" t="str">
        <f>IF($B3793="","",IFERROR(INDEX(Config!$D$9:$D$29,MATCH($B3793,Config!$B$9:$B$29,0))&amp;"",""))</f>
        <v/>
      </c>
    </row>
    <row r="3794">
      <c r="X3794" s="20" t="str">
        <f>IF($B3794="","",IFERROR(IF(INDEX(Config!$D$9:$D$29,MATCH($B3794,Config!$B$9:$B$29,0))="Contrato",IF(INDEX(Config!$E$9:$E$29,MATCH($B3794,Config!$B$9:$B$29,0))="","",INDEX(Config!$E$9:$E$29,MATCH($B3794,Config!$B$9:$B$29,0))),""),""))</f>
        <v/>
      </c>
      <c r="AI3794" s="19" t="str">
        <f>IF($B3794="","",IFERROR(INDEX(Config!$D$9:$D$29,MATCH($B3794,Config!$B$9:$B$29,0))&amp;"",""))</f>
        <v/>
      </c>
    </row>
    <row r="3795">
      <c r="X3795" s="20" t="str">
        <f>IF($B3795="","",IFERROR(IF(INDEX(Config!$D$9:$D$29,MATCH($B3795,Config!$B$9:$B$29,0))="Contrato",IF(INDEX(Config!$E$9:$E$29,MATCH($B3795,Config!$B$9:$B$29,0))="","",INDEX(Config!$E$9:$E$29,MATCH($B3795,Config!$B$9:$B$29,0))),""),""))</f>
        <v/>
      </c>
      <c r="AI3795" s="19" t="str">
        <f>IF($B3795="","",IFERROR(INDEX(Config!$D$9:$D$29,MATCH($B3795,Config!$B$9:$B$29,0))&amp;"",""))</f>
        <v/>
      </c>
    </row>
    <row r="3796">
      <c r="X3796" s="20" t="str">
        <f>IF($B3796="","",IFERROR(IF(INDEX(Config!$D$9:$D$29,MATCH($B3796,Config!$B$9:$B$29,0))="Contrato",IF(INDEX(Config!$E$9:$E$29,MATCH($B3796,Config!$B$9:$B$29,0))="","",INDEX(Config!$E$9:$E$29,MATCH($B3796,Config!$B$9:$B$29,0))),""),""))</f>
        <v/>
      </c>
      <c r="AI3796" s="19" t="str">
        <f>IF($B3796="","",IFERROR(INDEX(Config!$D$9:$D$29,MATCH($B3796,Config!$B$9:$B$29,0))&amp;"",""))</f>
        <v/>
      </c>
    </row>
    <row r="3797">
      <c r="X3797" s="20" t="str">
        <f>IF($B3797="","",IFERROR(IF(INDEX(Config!$D$9:$D$29,MATCH($B3797,Config!$B$9:$B$29,0))="Contrato",IF(INDEX(Config!$E$9:$E$29,MATCH($B3797,Config!$B$9:$B$29,0))="","",INDEX(Config!$E$9:$E$29,MATCH($B3797,Config!$B$9:$B$29,0))),""),""))</f>
        <v/>
      </c>
      <c r="AI3797" s="19" t="str">
        <f>IF($B3797="","",IFERROR(INDEX(Config!$D$9:$D$29,MATCH($B3797,Config!$B$9:$B$29,0))&amp;"",""))</f>
        <v/>
      </c>
    </row>
    <row r="3798">
      <c r="X3798" s="20" t="str">
        <f>IF($B3798="","",IFERROR(IF(INDEX(Config!$D$9:$D$29,MATCH($B3798,Config!$B$9:$B$29,0))="Contrato",IF(INDEX(Config!$E$9:$E$29,MATCH($B3798,Config!$B$9:$B$29,0))="","",INDEX(Config!$E$9:$E$29,MATCH($B3798,Config!$B$9:$B$29,0))),""),""))</f>
        <v/>
      </c>
      <c r="AI3798" s="19" t="str">
        <f>IF($B3798="","",IFERROR(INDEX(Config!$D$9:$D$29,MATCH($B3798,Config!$B$9:$B$29,0))&amp;"",""))</f>
        <v/>
      </c>
    </row>
    <row r="3799">
      <c r="X3799" s="20" t="str">
        <f>IF($B3799="","",IFERROR(IF(INDEX(Config!$D$9:$D$29,MATCH($B3799,Config!$B$9:$B$29,0))="Contrato",IF(INDEX(Config!$E$9:$E$29,MATCH($B3799,Config!$B$9:$B$29,0))="","",INDEX(Config!$E$9:$E$29,MATCH($B3799,Config!$B$9:$B$29,0))),""),""))</f>
        <v/>
      </c>
      <c r="AI3799" s="19" t="str">
        <f>IF($B3799="","",IFERROR(INDEX(Config!$D$9:$D$29,MATCH($B3799,Config!$B$9:$B$29,0))&amp;"",""))</f>
        <v/>
      </c>
    </row>
    <row r="3800">
      <c r="X3800" s="20" t="str">
        <f>IF($B3800="","",IFERROR(IF(INDEX(Config!$D$9:$D$29,MATCH($B3800,Config!$B$9:$B$29,0))="Contrato",IF(INDEX(Config!$E$9:$E$29,MATCH($B3800,Config!$B$9:$B$29,0))="","",INDEX(Config!$E$9:$E$29,MATCH($B3800,Config!$B$9:$B$29,0))),""),""))</f>
        <v/>
      </c>
      <c r="AI3800" s="19" t="str">
        <f>IF($B3800="","",IFERROR(INDEX(Config!$D$9:$D$29,MATCH($B3800,Config!$B$9:$B$29,0))&amp;"",""))</f>
        <v/>
      </c>
    </row>
    <row r="3801">
      <c r="X3801" s="20" t="str">
        <f>IF($B3801="","",IFERROR(IF(INDEX(Config!$D$9:$D$29,MATCH($B3801,Config!$B$9:$B$29,0))="Contrato",IF(INDEX(Config!$E$9:$E$29,MATCH($B3801,Config!$B$9:$B$29,0))="","",INDEX(Config!$E$9:$E$29,MATCH($B3801,Config!$B$9:$B$29,0))),""),""))</f>
        <v/>
      </c>
      <c r="AI3801" s="19" t="str">
        <f>IF($B3801="","",IFERROR(INDEX(Config!$D$9:$D$29,MATCH($B3801,Config!$B$9:$B$29,0))&amp;"",""))</f>
        <v/>
      </c>
    </row>
    <row r="3802">
      <c r="X3802" s="20" t="str">
        <f>IF($B3802="","",IFERROR(IF(INDEX(Config!$D$9:$D$29,MATCH($B3802,Config!$B$9:$B$29,0))="Contrato",IF(INDEX(Config!$E$9:$E$29,MATCH($B3802,Config!$B$9:$B$29,0))="","",INDEX(Config!$E$9:$E$29,MATCH($B3802,Config!$B$9:$B$29,0))),""),""))</f>
        <v/>
      </c>
      <c r="AI3802" s="19" t="str">
        <f>IF($B3802="","",IFERROR(INDEX(Config!$D$9:$D$29,MATCH($B3802,Config!$B$9:$B$29,0))&amp;"",""))</f>
        <v/>
      </c>
    </row>
    <row r="3803">
      <c r="X3803" s="20" t="str">
        <f>IF($B3803="","",IFERROR(IF(INDEX(Config!$D$9:$D$29,MATCH($B3803,Config!$B$9:$B$29,0))="Contrato",IF(INDEX(Config!$E$9:$E$29,MATCH($B3803,Config!$B$9:$B$29,0))="","",INDEX(Config!$E$9:$E$29,MATCH($B3803,Config!$B$9:$B$29,0))),""),""))</f>
        <v/>
      </c>
      <c r="AI3803" s="19" t="str">
        <f>IF($B3803="","",IFERROR(INDEX(Config!$D$9:$D$29,MATCH($B3803,Config!$B$9:$B$29,0))&amp;"",""))</f>
        <v/>
      </c>
    </row>
    <row r="3804">
      <c r="X3804" s="20" t="str">
        <f>IF($B3804="","",IFERROR(IF(INDEX(Config!$D$9:$D$29,MATCH($B3804,Config!$B$9:$B$29,0))="Contrato",IF(INDEX(Config!$E$9:$E$29,MATCH($B3804,Config!$B$9:$B$29,0))="","",INDEX(Config!$E$9:$E$29,MATCH($B3804,Config!$B$9:$B$29,0))),""),""))</f>
        <v/>
      </c>
      <c r="AI3804" s="19" t="str">
        <f>IF($B3804="","",IFERROR(INDEX(Config!$D$9:$D$29,MATCH($B3804,Config!$B$9:$B$29,0))&amp;"",""))</f>
        <v/>
      </c>
    </row>
    <row r="3805">
      <c r="X3805" s="20" t="str">
        <f>IF($B3805="","",IFERROR(IF(INDEX(Config!$D$9:$D$29,MATCH($B3805,Config!$B$9:$B$29,0))="Contrato",IF(INDEX(Config!$E$9:$E$29,MATCH($B3805,Config!$B$9:$B$29,0))="","",INDEX(Config!$E$9:$E$29,MATCH($B3805,Config!$B$9:$B$29,0))),""),""))</f>
        <v/>
      </c>
      <c r="AI3805" s="19" t="str">
        <f>IF($B3805="","",IFERROR(INDEX(Config!$D$9:$D$29,MATCH($B3805,Config!$B$9:$B$29,0))&amp;"",""))</f>
        <v/>
      </c>
    </row>
    <row r="3806">
      <c r="X3806" s="20" t="str">
        <f>IF($B3806="","",IFERROR(IF(INDEX(Config!$D$9:$D$29,MATCH($B3806,Config!$B$9:$B$29,0))="Contrato",IF(INDEX(Config!$E$9:$E$29,MATCH($B3806,Config!$B$9:$B$29,0))="","",INDEX(Config!$E$9:$E$29,MATCH($B3806,Config!$B$9:$B$29,0))),""),""))</f>
        <v/>
      </c>
      <c r="AI3806" s="19" t="str">
        <f>IF($B3806="","",IFERROR(INDEX(Config!$D$9:$D$29,MATCH($B3806,Config!$B$9:$B$29,0))&amp;"",""))</f>
        <v/>
      </c>
    </row>
    <row r="3807">
      <c r="X3807" s="20" t="str">
        <f>IF($B3807="","",IFERROR(IF(INDEX(Config!$D$9:$D$29,MATCH($B3807,Config!$B$9:$B$29,0))="Contrato",IF(INDEX(Config!$E$9:$E$29,MATCH($B3807,Config!$B$9:$B$29,0))="","",INDEX(Config!$E$9:$E$29,MATCH($B3807,Config!$B$9:$B$29,0))),""),""))</f>
        <v/>
      </c>
      <c r="AI3807" s="19" t="str">
        <f>IF($B3807="","",IFERROR(INDEX(Config!$D$9:$D$29,MATCH($B3807,Config!$B$9:$B$29,0))&amp;"",""))</f>
        <v/>
      </c>
    </row>
    <row r="3808">
      <c r="X3808" s="20" t="str">
        <f>IF($B3808="","",IFERROR(IF(INDEX(Config!$D$9:$D$29,MATCH($B3808,Config!$B$9:$B$29,0))="Contrato",IF(INDEX(Config!$E$9:$E$29,MATCH($B3808,Config!$B$9:$B$29,0))="","",INDEX(Config!$E$9:$E$29,MATCH($B3808,Config!$B$9:$B$29,0))),""),""))</f>
        <v/>
      </c>
      <c r="AI3808" s="19" t="str">
        <f>IF($B3808="","",IFERROR(INDEX(Config!$D$9:$D$29,MATCH($B3808,Config!$B$9:$B$29,0))&amp;"",""))</f>
        <v/>
      </c>
    </row>
    <row r="3809">
      <c r="X3809" s="20" t="str">
        <f>IF($B3809="","",IFERROR(IF(INDEX(Config!$D$9:$D$29,MATCH($B3809,Config!$B$9:$B$29,0))="Contrato",IF(INDEX(Config!$E$9:$E$29,MATCH($B3809,Config!$B$9:$B$29,0))="","",INDEX(Config!$E$9:$E$29,MATCH($B3809,Config!$B$9:$B$29,0))),""),""))</f>
        <v/>
      </c>
      <c r="AI3809" s="19" t="str">
        <f>IF($B3809="","",IFERROR(INDEX(Config!$D$9:$D$29,MATCH($B3809,Config!$B$9:$B$29,0))&amp;"",""))</f>
        <v/>
      </c>
    </row>
    <row r="3810">
      <c r="X3810" s="20" t="str">
        <f>IF($B3810="","",IFERROR(IF(INDEX(Config!$D$9:$D$29,MATCH($B3810,Config!$B$9:$B$29,0))="Contrato",IF(INDEX(Config!$E$9:$E$29,MATCH($B3810,Config!$B$9:$B$29,0))="","",INDEX(Config!$E$9:$E$29,MATCH($B3810,Config!$B$9:$B$29,0))),""),""))</f>
        <v/>
      </c>
      <c r="AI3810" s="19" t="str">
        <f>IF($B3810="","",IFERROR(INDEX(Config!$D$9:$D$29,MATCH($B3810,Config!$B$9:$B$29,0))&amp;"",""))</f>
        <v/>
      </c>
    </row>
    <row r="3811">
      <c r="X3811" s="20" t="str">
        <f>IF($B3811="","",IFERROR(IF(INDEX(Config!$D$9:$D$29,MATCH($B3811,Config!$B$9:$B$29,0))="Contrato",IF(INDEX(Config!$E$9:$E$29,MATCH($B3811,Config!$B$9:$B$29,0))="","",INDEX(Config!$E$9:$E$29,MATCH($B3811,Config!$B$9:$B$29,0))),""),""))</f>
        <v/>
      </c>
      <c r="AI3811" s="19" t="str">
        <f>IF($B3811="","",IFERROR(INDEX(Config!$D$9:$D$29,MATCH($B3811,Config!$B$9:$B$29,0))&amp;"",""))</f>
        <v/>
      </c>
    </row>
    <row r="3812">
      <c r="X3812" s="20" t="str">
        <f>IF($B3812="","",IFERROR(IF(INDEX(Config!$D$9:$D$29,MATCH($B3812,Config!$B$9:$B$29,0))="Contrato",IF(INDEX(Config!$E$9:$E$29,MATCH($B3812,Config!$B$9:$B$29,0))="","",INDEX(Config!$E$9:$E$29,MATCH($B3812,Config!$B$9:$B$29,0))),""),""))</f>
        <v/>
      </c>
      <c r="AI3812" s="19" t="str">
        <f>IF($B3812="","",IFERROR(INDEX(Config!$D$9:$D$29,MATCH($B3812,Config!$B$9:$B$29,0))&amp;"",""))</f>
        <v/>
      </c>
    </row>
    <row r="3813">
      <c r="X3813" s="20" t="str">
        <f>IF($B3813="","",IFERROR(IF(INDEX(Config!$D$9:$D$29,MATCH($B3813,Config!$B$9:$B$29,0))="Contrato",IF(INDEX(Config!$E$9:$E$29,MATCH($B3813,Config!$B$9:$B$29,0))="","",INDEX(Config!$E$9:$E$29,MATCH($B3813,Config!$B$9:$B$29,0))),""),""))</f>
        <v/>
      </c>
      <c r="AI3813" s="19" t="str">
        <f>IF($B3813="","",IFERROR(INDEX(Config!$D$9:$D$29,MATCH($B3813,Config!$B$9:$B$29,0))&amp;"",""))</f>
        <v/>
      </c>
    </row>
    <row r="3814">
      <c r="X3814" s="20" t="str">
        <f>IF($B3814="","",IFERROR(IF(INDEX(Config!$D$9:$D$29,MATCH($B3814,Config!$B$9:$B$29,0))="Contrato",IF(INDEX(Config!$E$9:$E$29,MATCH($B3814,Config!$B$9:$B$29,0))="","",INDEX(Config!$E$9:$E$29,MATCH($B3814,Config!$B$9:$B$29,0))),""),""))</f>
        <v/>
      </c>
      <c r="AI3814" s="19" t="str">
        <f>IF($B3814="","",IFERROR(INDEX(Config!$D$9:$D$29,MATCH($B3814,Config!$B$9:$B$29,0))&amp;"",""))</f>
        <v/>
      </c>
    </row>
    <row r="3815">
      <c r="X3815" s="20" t="str">
        <f>IF($B3815="","",IFERROR(IF(INDEX(Config!$D$9:$D$29,MATCH($B3815,Config!$B$9:$B$29,0))="Contrato",IF(INDEX(Config!$E$9:$E$29,MATCH($B3815,Config!$B$9:$B$29,0))="","",INDEX(Config!$E$9:$E$29,MATCH($B3815,Config!$B$9:$B$29,0))),""),""))</f>
        <v/>
      </c>
      <c r="AI3815" s="19" t="str">
        <f>IF($B3815="","",IFERROR(INDEX(Config!$D$9:$D$29,MATCH($B3815,Config!$B$9:$B$29,0))&amp;"",""))</f>
        <v/>
      </c>
    </row>
    <row r="3816">
      <c r="X3816" s="20" t="str">
        <f>IF($B3816="","",IFERROR(IF(INDEX(Config!$D$9:$D$29,MATCH($B3816,Config!$B$9:$B$29,0))="Contrato",IF(INDEX(Config!$E$9:$E$29,MATCH($B3816,Config!$B$9:$B$29,0))="","",INDEX(Config!$E$9:$E$29,MATCH($B3816,Config!$B$9:$B$29,0))),""),""))</f>
        <v/>
      </c>
      <c r="AI3816" s="19" t="str">
        <f>IF($B3816="","",IFERROR(INDEX(Config!$D$9:$D$29,MATCH($B3816,Config!$B$9:$B$29,0))&amp;"",""))</f>
        <v/>
      </c>
    </row>
    <row r="3817">
      <c r="X3817" s="20" t="str">
        <f>IF($B3817="","",IFERROR(IF(INDEX(Config!$D$9:$D$29,MATCH($B3817,Config!$B$9:$B$29,0))="Contrato",IF(INDEX(Config!$E$9:$E$29,MATCH($B3817,Config!$B$9:$B$29,0))="","",INDEX(Config!$E$9:$E$29,MATCH($B3817,Config!$B$9:$B$29,0))),""),""))</f>
        <v/>
      </c>
      <c r="AI3817" s="19" t="str">
        <f>IF($B3817="","",IFERROR(INDEX(Config!$D$9:$D$29,MATCH($B3817,Config!$B$9:$B$29,0))&amp;"",""))</f>
        <v/>
      </c>
    </row>
    <row r="3818">
      <c r="X3818" s="20" t="str">
        <f>IF($B3818="","",IFERROR(IF(INDEX(Config!$D$9:$D$29,MATCH($B3818,Config!$B$9:$B$29,0))="Contrato",IF(INDEX(Config!$E$9:$E$29,MATCH($B3818,Config!$B$9:$B$29,0))="","",INDEX(Config!$E$9:$E$29,MATCH($B3818,Config!$B$9:$B$29,0))),""),""))</f>
        <v/>
      </c>
      <c r="AI3818" s="19" t="str">
        <f>IF($B3818="","",IFERROR(INDEX(Config!$D$9:$D$29,MATCH($B3818,Config!$B$9:$B$29,0))&amp;"",""))</f>
        <v/>
      </c>
    </row>
    <row r="3819">
      <c r="X3819" s="20" t="str">
        <f>IF($B3819="","",IFERROR(IF(INDEX(Config!$D$9:$D$29,MATCH($B3819,Config!$B$9:$B$29,0))="Contrato",IF(INDEX(Config!$E$9:$E$29,MATCH($B3819,Config!$B$9:$B$29,0))="","",INDEX(Config!$E$9:$E$29,MATCH($B3819,Config!$B$9:$B$29,0))),""),""))</f>
        <v/>
      </c>
      <c r="AI3819" s="19" t="str">
        <f>IF($B3819="","",IFERROR(INDEX(Config!$D$9:$D$29,MATCH($B3819,Config!$B$9:$B$29,0))&amp;"",""))</f>
        <v/>
      </c>
    </row>
    <row r="3820">
      <c r="X3820" s="20" t="str">
        <f>IF($B3820="","",IFERROR(IF(INDEX(Config!$D$9:$D$29,MATCH($B3820,Config!$B$9:$B$29,0))="Contrato",IF(INDEX(Config!$E$9:$E$29,MATCH($B3820,Config!$B$9:$B$29,0))="","",INDEX(Config!$E$9:$E$29,MATCH($B3820,Config!$B$9:$B$29,0))),""),""))</f>
        <v/>
      </c>
      <c r="AI3820" s="19" t="str">
        <f>IF($B3820="","",IFERROR(INDEX(Config!$D$9:$D$29,MATCH($B3820,Config!$B$9:$B$29,0))&amp;"",""))</f>
        <v/>
      </c>
    </row>
    <row r="3821">
      <c r="X3821" s="20" t="str">
        <f>IF($B3821="","",IFERROR(IF(INDEX(Config!$D$9:$D$29,MATCH($B3821,Config!$B$9:$B$29,0))="Contrato",IF(INDEX(Config!$E$9:$E$29,MATCH($B3821,Config!$B$9:$B$29,0))="","",INDEX(Config!$E$9:$E$29,MATCH($B3821,Config!$B$9:$B$29,0))),""),""))</f>
        <v/>
      </c>
      <c r="AI3821" s="19" t="str">
        <f>IF($B3821="","",IFERROR(INDEX(Config!$D$9:$D$29,MATCH($B3821,Config!$B$9:$B$29,0))&amp;"",""))</f>
        <v/>
      </c>
    </row>
    <row r="3822">
      <c r="X3822" s="20" t="str">
        <f>IF($B3822="","",IFERROR(IF(INDEX(Config!$D$9:$D$29,MATCH($B3822,Config!$B$9:$B$29,0))="Contrato",IF(INDEX(Config!$E$9:$E$29,MATCH($B3822,Config!$B$9:$B$29,0))="","",INDEX(Config!$E$9:$E$29,MATCH($B3822,Config!$B$9:$B$29,0))),""),""))</f>
        <v/>
      </c>
      <c r="AI3822" s="19" t="str">
        <f>IF($B3822="","",IFERROR(INDEX(Config!$D$9:$D$29,MATCH($B3822,Config!$B$9:$B$29,0))&amp;"",""))</f>
        <v/>
      </c>
    </row>
    <row r="3823">
      <c r="X3823" s="20" t="str">
        <f>IF($B3823="","",IFERROR(IF(INDEX(Config!$D$9:$D$29,MATCH($B3823,Config!$B$9:$B$29,0))="Contrato",IF(INDEX(Config!$E$9:$E$29,MATCH($B3823,Config!$B$9:$B$29,0))="","",INDEX(Config!$E$9:$E$29,MATCH($B3823,Config!$B$9:$B$29,0))),""),""))</f>
        <v/>
      </c>
      <c r="AI3823" s="19" t="str">
        <f>IF($B3823="","",IFERROR(INDEX(Config!$D$9:$D$29,MATCH($B3823,Config!$B$9:$B$29,0))&amp;"",""))</f>
        <v/>
      </c>
    </row>
    <row r="3824">
      <c r="X3824" s="20" t="str">
        <f>IF($B3824="","",IFERROR(IF(INDEX(Config!$D$9:$D$29,MATCH($B3824,Config!$B$9:$B$29,0))="Contrato",IF(INDEX(Config!$E$9:$E$29,MATCH($B3824,Config!$B$9:$B$29,0))="","",INDEX(Config!$E$9:$E$29,MATCH($B3824,Config!$B$9:$B$29,0))),""),""))</f>
        <v/>
      </c>
      <c r="AI3824" s="19" t="str">
        <f>IF($B3824="","",IFERROR(INDEX(Config!$D$9:$D$29,MATCH($B3824,Config!$B$9:$B$29,0))&amp;"",""))</f>
        <v/>
      </c>
    </row>
    <row r="3825">
      <c r="X3825" s="20" t="str">
        <f>IF($B3825="","",IFERROR(IF(INDEX(Config!$D$9:$D$29,MATCH($B3825,Config!$B$9:$B$29,0))="Contrato",IF(INDEX(Config!$E$9:$E$29,MATCH($B3825,Config!$B$9:$B$29,0))="","",INDEX(Config!$E$9:$E$29,MATCH($B3825,Config!$B$9:$B$29,0))),""),""))</f>
        <v/>
      </c>
      <c r="AI3825" s="19" t="str">
        <f>IF($B3825="","",IFERROR(INDEX(Config!$D$9:$D$29,MATCH($B3825,Config!$B$9:$B$29,0))&amp;"",""))</f>
        <v/>
      </c>
    </row>
    <row r="3826">
      <c r="X3826" s="20" t="str">
        <f>IF($B3826="","",IFERROR(IF(INDEX(Config!$D$9:$D$29,MATCH($B3826,Config!$B$9:$B$29,0))="Contrato",IF(INDEX(Config!$E$9:$E$29,MATCH($B3826,Config!$B$9:$B$29,0))="","",INDEX(Config!$E$9:$E$29,MATCH($B3826,Config!$B$9:$B$29,0))),""),""))</f>
        <v/>
      </c>
      <c r="AI3826" s="19" t="str">
        <f>IF($B3826="","",IFERROR(INDEX(Config!$D$9:$D$29,MATCH($B3826,Config!$B$9:$B$29,0))&amp;"",""))</f>
        <v/>
      </c>
    </row>
    <row r="3827">
      <c r="X3827" s="20" t="str">
        <f>IF($B3827="","",IFERROR(IF(INDEX(Config!$D$9:$D$29,MATCH($B3827,Config!$B$9:$B$29,0))="Contrato",IF(INDEX(Config!$E$9:$E$29,MATCH($B3827,Config!$B$9:$B$29,0))="","",INDEX(Config!$E$9:$E$29,MATCH($B3827,Config!$B$9:$B$29,0))),""),""))</f>
        <v/>
      </c>
      <c r="AI3827" s="19" t="str">
        <f>IF($B3827="","",IFERROR(INDEX(Config!$D$9:$D$29,MATCH($B3827,Config!$B$9:$B$29,0))&amp;"",""))</f>
        <v/>
      </c>
    </row>
    <row r="3828">
      <c r="X3828" s="20" t="str">
        <f>IF($B3828="","",IFERROR(IF(INDEX(Config!$D$9:$D$29,MATCH($B3828,Config!$B$9:$B$29,0))="Contrato",IF(INDEX(Config!$E$9:$E$29,MATCH($B3828,Config!$B$9:$B$29,0))="","",INDEX(Config!$E$9:$E$29,MATCH($B3828,Config!$B$9:$B$29,0))),""),""))</f>
        <v/>
      </c>
      <c r="AI3828" s="19" t="str">
        <f>IF($B3828="","",IFERROR(INDEX(Config!$D$9:$D$29,MATCH($B3828,Config!$B$9:$B$29,0))&amp;"",""))</f>
        <v/>
      </c>
    </row>
    <row r="3829">
      <c r="X3829" s="20" t="str">
        <f>IF($B3829="","",IFERROR(IF(INDEX(Config!$D$9:$D$29,MATCH($B3829,Config!$B$9:$B$29,0))="Contrato",IF(INDEX(Config!$E$9:$E$29,MATCH($B3829,Config!$B$9:$B$29,0))="","",INDEX(Config!$E$9:$E$29,MATCH($B3829,Config!$B$9:$B$29,0))),""),""))</f>
        <v/>
      </c>
      <c r="AI3829" s="19" t="str">
        <f>IF($B3829="","",IFERROR(INDEX(Config!$D$9:$D$29,MATCH($B3829,Config!$B$9:$B$29,0))&amp;"",""))</f>
        <v/>
      </c>
    </row>
    <row r="3830">
      <c r="X3830" s="20" t="str">
        <f>IF($B3830="","",IFERROR(IF(INDEX(Config!$D$9:$D$29,MATCH($B3830,Config!$B$9:$B$29,0))="Contrato",IF(INDEX(Config!$E$9:$E$29,MATCH($B3830,Config!$B$9:$B$29,0))="","",INDEX(Config!$E$9:$E$29,MATCH($B3830,Config!$B$9:$B$29,0))),""),""))</f>
        <v/>
      </c>
      <c r="AI3830" s="19" t="str">
        <f>IF($B3830="","",IFERROR(INDEX(Config!$D$9:$D$29,MATCH($B3830,Config!$B$9:$B$29,0))&amp;"",""))</f>
        <v/>
      </c>
    </row>
    <row r="3831">
      <c r="X3831" s="20" t="str">
        <f>IF($B3831="","",IFERROR(IF(INDEX(Config!$D$9:$D$29,MATCH($B3831,Config!$B$9:$B$29,0))="Contrato",IF(INDEX(Config!$E$9:$E$29,MATCH($B3831,Config!$B$9:$B$29,0))="","",INDEX(Config!$E$9:$E$29,MATCH($B3831,Config!$B$9:$B$29,0))),""),""))</f>
        <v/>
      </c>
      <c r="AI3831" s="19" t="str">
        <f>IF($B3831="","",IFERROR(INDEX(Config!$D$9:$D$29,MATCH($B3831,Config!$B$9:$B$29,0))&amp;"",""))</f>
        <v/>
      </c>
    </row>
    <row r="3832">
      <c r="X3832" s="20" t="str">
        <f>IF($B3832="","",IFERROR(IF(INDEX(Config!$D$9:$D$29,MATCH($B3832,Config!$B$9:$B$29,0))="Contrato",IF(INDEX(Config!$E$9:$E$29,MATCH($B3832,Config!$B$9:$B$29,0))="","",INDEX(Config!$E$9:$E$29,MATCH($B3832,Config!$B$9:$B$29,0))),""),""))</f>
        <v/>
      </c>
      <c r="AI3832" s="19" t="str">
        <f>IF($B3832="","",IFERROR(INDEX(Config!$D$9:$D$29,MATCH($B3832,Config!$B$9:$B$29,0))&amp;"",""))</f>
        <v/>
      </c>
    </row>
    <row r="3833">
      <c r="X3833" s="20" t="str">
        <f>IF($B3833="","",IFERROR(IF(INDEX(Config!$D$9:$D$29,MATCH($B3833,Config!$B$9:$B$29,0))="Contrato",IF(INDEX(Config!$E$9:$E$29,MATCH($B3833,Config!$B$9:$B$29,0))="","",INDEX(Config!$E$9:$E$29,MATCH($B3833,Config!$B$9:$B$29,0))),""),""))</f>
        <v/>
      </c>
      <c r="AI3833" s="19" t="str">
        <f>IF($B3833="","",IFERROR(INDEX(Config!$D$9:$D$29,MATCH($B3833,Config!$B$9:$B$29,0))&amp;"",""))</f>
        <v/>
      </c>
    </row>
    <row r="3834">
      <c r="X3834" s="20" t="str">
        <f>IF($B3834="","",IFERROR(IF(INDEX(Config!$D$9:$D$29,MATCH($B3834,Config!$B$9:$B$29,0))="Contrato",IF(INDEX(Config!$E$9:$E$29,MATCH($B3834,Config!$B$9:$B$29,0))="","",INDEX(Config!$E$9:$E$29,MATCH($B3834,Config!$B$9:$B$29,0))),""),""))</f>
        <v/>
      </c>
      <c r="AI3834" s="19" t="str">
        <f>IF($B3834="","",IFERROR(INDEX(Config!$D$9:$D$29,MATCH($B3834,Config!$B$9:$B$29,0))&amp;"",""))</f>
        <v/>
      </c>
    </row>
    <row r="3835">
      <c r="X3835" s="20" t="str">
        <f>IF($B3835="","",IFERROR(IF(INDEX(Config!$D$9:$D$29,MATCH($B3835,Config!$B$9:$B$29,0))="Contrato",IF(INDEX(Config!$E$9:$E$29,MATCH($B3835,Config!$B$9:$B$29,0))="","",INDEX(Config!$E$9:$E$29,MATCH($B3835,Config!$B$9:$B$29,0))),""),""))</f>
        <v/>
      </c>
      <c r="AI3835" s="19" t="str">
        <f>IF($B3835="","",IFERROR(INDEX(Config!$D$9:$D$29,MATCH($B3835,Config!$B$9:$B$29,0))&amp;"",""))</f>
        <v/>
      </c>
    </row>
    <row r="3836">
      <c r="X3836" s="20" t="str">
        <f>IF($B3836="","",IFERROR(IF(INDEX(Config!$D$9:$D$29,MATCH($B3836,Config!$B$9:$B$29,0))="Contrato",IF(INDEX(Config!$E$9:$E$29,MATCH($B3836,Config!$B$9:$B$29,0))="","",INDEX(Config!$E$9:$E$29,MATCH($B3836,Config!$B$9:$B$29,0))),""),""))</f>
        <v/>
      </c>
      <c r="AI3836" s="19" t="str">
        <f>IF($B3836="","",IFERROR(INDEX(Config!$D$9:$D$29,MATCH($B3836,Config!$B$9:$B$29,0))&amp;"",""))</f>
        <v/>
      </c>
    </row>
    <row r="3837">
      <c r="X3837" s="20" t="str">
        <f>IF($B3837="","",IFERROR(IF(INDEX(Config!$D$9:$D$29,MATCH($B3837,Config!$B$9:$B$29,0))="Contrato",IF(INDEX(Config!$E$9:$E$29,MATCH($B3837,Config!$B$9:$B$29,0))="","",INDEX(Config!$E$9:$E$29,MATCH($B3837,Config!$B$9:$B$29,0))),""),""))</f>
        <v/>
      </c>
      <c r="AI3837" s="19" t="str">
        <f>IF($B3837="","",IFERROR(INDEX(Config!$D$9:$D$29,MATCH($B3837,Config!$B$9:$B$29,0))&amp;"",""))</f>
        <v/>
      </c>
    </row>
    <row r="3838">
      <c r="X3838" s="20" t="str">
        <f>IF($B3838="","",IFERROR(IF(INDEX(Config!$D$9:$D$29,MATCH($B3838,Config!$B$9:$B$29,0))="Contrato",IF(INDEX(Config!$E$9:$E$29,MATCH($B3838,Config!$B$9:$B$29,0))="","",INDEX(Config!$E$9:$E$29,MATCH($B3838,Config!$B$9:$B$29,0))),""),""))</f>
        <v/>
      </c>
      <c r="AI3838" s="19" t="str">
        <f>IF($B3838="","",IFERROR(INDEX(Config!$D$9:$D$29,MATCH($B3838,Config!$B$9:$B$29,0))&amp;"",""))</f>
        <v/>
      </c>
    </row>
    <row r="3839">
      <c r="X3839" s="20" t="str">
        <f>IF($B3839="","",IFERROR(IF(INDEX(Config!$D$9:$D$29,MATCH($B3839,Config!$B$9:$B$29,0))="Contrato",IF(INDEX(Config!$E$9:$E$29,MATCH($B3839,Config!$B$9:$B$29,0))="","",INDEX(Config!$E$9:$E$29,MATCH($B3839,Config!$B$9:$B$29,0))),""),""))</f>
        <v/>
      </c>
      <c r="AI3839" s="19" t="str">
        <f>IF($B3839="","",IFERROR(INDEX(Config!$D$9:$D$29,MATCH($B3839,Config!$B$9:$B$29,0))&amp;"",""))</f>
        <v/>
      </c>
    </row>
    <row r="3840">
      <c r="X3840" s="20" t="str">
        <f>IF($B3840="","",IFERROR(IF(INDEX(Config!$D$9:$D$29,MATCH($B3840,Config!$B$9:$B$29,0))="Contrato",IF(INDEX(Config!$E$9:$E$29,MATCH($B3840,Config!$B$9:$B$29,0))="","",INDEX(Config!$E$9:$E$29,MATCH($B3840,Config!$B$9:$B$29,0))),""),""))</f>
        <v/>
      </c>
      <c r="AI3840" s="19" t="str">
        <f>IF($B3840="","",IFERROR(INDEX(Config!$D$9:$D$29,MATCH($B3840,Config!$B$9:$B$29,0))&amp;"",""))</f>
        <v/>
      </c>
    </row>
    <row r="3841">
      <c r="X3841" s="20" t="str">
        <f>IF($B3841="","",IFERROR(IF(INDEX(Config!$D$9:$D$29,MATCH($B3841,Config!$B$9:$B$29,0))="Contrato",IF(INDEX(Config!$E$9:$E$29,MATCH($B3841,Config!$B$9:$B$29,0))="","",INDEX(Config!$E$9:$E$29,MATCH($B3841,Config!$B$9:$B$29,0))),""),""))</f>
        <v/>
      </c>
      <c r="AI3841" s="19" t="str">
        <f>IF($B3841="","",IFERROR(INDEX(Config!$D$9:$D$29,MATCH($B3841,Config!$B$9:$B$29,0))&amp;"",""))</f>
        <v/>
      </c>
    </row>
    <row r="3842">
      <c r="X3842" s="20" t="str">
        <f>IF($B3842="","",IFERROR(IF(INDEX(Config!$D$9:$D$29,MATCH($B3842,Config!$B$9:$B$29,0))="Contrato",IF(INDEX(Config!$E$9:$E$29,MATCH($B3842,Config!$B$9:$B$29,0))="","",INDEX(Config!$E$9:$E$29,MATCH($B3842,Config!$B$9:$B$29,0))),""),""))</f>
        <v/>
      </c>
      <c r="AI3842" s="19" t="str">
        <f>IF($B3842="","",IFERROR(INDEX(Config!$D$9:$D$29,MATCH($B3842,Config!$B$9:$B$29,0))&amp;"",""))</f>
        <v/>
      </c>
    </row>
    <row r="3843">
      <c r="X3843" s="20" t="str">
        <f>IF($B3843="","",IFERROR(IF(INDEX(Config!$D$9:$D$29,MATCH($B3843,Config!$B$9:$B$29,0))="Contrato",IF(INDEX(Config!$E$9:$E$29,MATCH($B3843,Config!$B$9:$B$29,0))="","",INDEX(Config!$E$9:$E$29,MATCH($B3843,Config!$B$9:$B$29,0))),""),""))</f>
        <v/>
      </c>
      <c r="AI3843" s="19" t="str">
        <f>IF($B3843="","",IFERROR(INDEX(Config!$D$9:$D$29,MATCH($B3843,Config!$B$9:$B$29,0))&amp;"",""))</f>
        <v/>
      </c>
    </row>
    <row r="3844">
      <c r="X3844" s="20" t="str">
        <f>IF($B3844="","",IFERROR(IF(INDEX(Config!$D$9:$D$29,MATCH($B3844,Config!$B$9:$B$29,0))="Contrato",IF(INDEX(Config!$E$9:$E$29,MATCH($B3844,Config!$B$9:$B$29,0))="","",INDEX(Config!$E$9:$E$29,MATCH($B3844,Config!$B$9:$B$29,0))),""),""))</f>
        <v/>
      </c>
      <c r="AI3844" s="19" t="str">
        <f>IF($B3844="","",IFERROR(INDEX(Config!$D$9:$D$29,MATCH($B3844,Config!$B$9:$B$29,0))&amp;"",""))</f>
        <v/>
      </c>
    </row>
    <row r="3845">
      <c r="X3845" s="20" t="str">
        <f>IF($B3845="","",IFERROR(IF(INDEX(Config!$D$9:$D$29,MATCH($B3845,Config!$B$9:$B$29,0))="Contrato",IF(INDEX(Config!$E$9:$E$29,MATCH($B3845,Config!$B$9:$B$29,0))="","",INDEX(Config!$E$9:$E$29,MATCH($B3845,Config!$B$9:$B$29,0))),""),""))</f>
        <v/>
      </c>
      <c r="AI3845" s="19" t="str">
        <f>IF($B3845="","",IFERROR(INDEX(Config!$D$9:$D$29,MATCH($B3845,Config!$B$9:$B$29,0))&amp;"",""))</f>
        <v/>
      </c>
    </row>
    <row r="3846">
      <c r="X3846" s="20" t="str">
        <f>IF($B3846="","",IFERROR(IF(INDEX(Config!$D$9:$D$29,MATCH($B3846,Config!$B$9:$B$29,0))="Contrato",IF(INDEX(Config!$E$9:$E$29,MATCH($B3846,Config!$B$9:$B$29,0))="","",INDEX(Config!$E$9:$E$29,MATCH($B3846,Config!$B$9:$B$29,0))),""),""))</f>
        <v/>
      </c>
      <c r="AI3846" s="19" t="str">
        <f>IF($B3846="","",IFERROR(INDEX(Config!$D$9:$D$29,MATCH($B3846,Config!$B$9:$B$29,0))&amp;"",""))</f>
        <v/>
      </c>
    </row>
    <row r="3847">
      <c r="X3847" s="20" t="str">
        <f>IF($B3847="","",IFERROR(IF(INDEX(Config!$D$9:$D$29,MATCH($B3847,Config!$B$9:$B$29,0))="Contrato",IF(INDEX(Config!$E$9:$E$29,MATCH($B3847,Config!$B$9:$B$29,0))="","",INDEX(Config!$E$9:$E$29,MATCH($B3847,Config!$B$9:$B$29,0))),""),""))</f>
        <v/>
      </c>
      <c r="AI3847" s="19" t="str">
        <f>IF($B3847="","",IFERROR(INDEX(Config!$D$9:$D$29,MATCH($B3847,Config!$B$9:$B$29,0))&amp;"",""))</f>
        <v/>
      </c>
    </row>
    <row r="3848">
      <c r="X3848" s="20" t="str">
        <f>IF($B3848="","",IFERROR(IF(INDEX(Config!$D$9:$D$29,MATCH($B3848,Config!$B$9:$B$29,0))="Contrato",IF(INDEX(Config!$E$9:$E$29,MATCH($B3848,Config!$B$9:$B$29,0))="","",INDEX(Config!$E$9:$E$29,MATCH($B3848,Config!$B$9:$B$29,0))),""),""))</f>
        <v/>
      </c>
      <c r="AI3848" s="19" t="str">
        <f>IF($B3848="","",IFERROR(INDEX(Config!$D$9:$D$29,MATCH($B3848,Config!$B$9:$B$29,0))&amp;"",""))</f>
        <v/>
      </c>
    </row>
    <row r="3849">
      <c r="X3849" s="20" t="str">
        <f>IF($B3849="","",IFERROR(IF(INDEX(Config!$D$9:$D$29,MATCH($B3849,Config!$B$9:$B$29,0))="Contrato",IF(INDEX(Config!$E$9:$E$29,MATCH($B3849,Config!$B$9:$B$29,0))="","",INDEX(Config!$E$9:$E$29,MATCH($B3849,Config!$B$9:$B$29,0))),""),""))</f>
        <v/>
      </c>
      <c r="AI3849" s="19" t="str">
        <f>IF($B3849="","",IFERROR(INDEX(Config!$D$9:$D$29,MATCH($B3849,Config!$B$9:$B$29,0))&amp;"",""))</f>
        <v/>
      </c>
    </row>
    <row r="3850">
      <c r="X3850" s="20" t="str">
        <f>IF($B3850="","",IFERROR(IF(INDEX(Config!$D$9:$D$29,MATCH($B3850,Config!$B$9:$B$29,0))="Contrato",IF(INDEX(Config!$E$9:$E$29,MATCH($B3850,Config!$B$9:$B$29,0))="","",INDEX(Config!$E$9:$E$29,MATCH($B3850,Config!$B$9:$B$29,0))),""),""))</f>
        <v/>
      </c>
      <c r="AI3850" s="19" t="str">
        <f>IF($B3850="","",IFERROR(INDEX(Config!$D$9:$D$29,MATCH($B3850,Config!$B$9:$B$29,0))&amp;"",""))</f>
        <v/>
      </c>
    </row>
    <row r="3851">
      <c r="X3851" s="20" t="str">
        <f>IF($B3851="","",IFERROR(IF(INDEX(Config!$D$9:$D$29,MATCH($B3851,Config!$B$9:$B$29,0))="Contrato",IF(INDEX(Config!$E$9:$E$29,MATCH($B3851,Config!$B$9:$B$29,0))="","",INDEX(Config!$E$9:$E$29,MATCH($B3851,Config!$B$9:$B$29,0))),""),""))</f>
        <v/>
      </c>
      <c r="AI3851" s="19" t="str">
        <f>IF($B3851="","",IFERROR(INDEX(Config!$D$9:$D$29,MATCH($B3851,Config!$B$9:$B$29,0))&amp;"",""))</f>
        <v/>
      </c>
    </row>
    <row r="3852">
      <c r="X3852" s="20" t="str">
        <f>IF($B3852="","",IFERROR(IF(INDEX(Config!$D$9:$D$29,MATCH($B3852,Config!$B$9:$B$29,0))="Contrato",IF(INDEX(Config!$E$9:$E$29,MATCH($B3852,Config!$B$9:$B$29,0))="","",INDEX(Config!$E$9:$E$29,MATCH($B3852,Config!$B$9:$B$29,0))),""),""))</f>
        <v/>
      </c>
      <c r="AI3852" s="19" t="str">
        <f>IF($B3852="","",IFERROR(INDEX(Config!$D$9:$D$29,MATCH($B3852,Config!$B$9:$B$29,0))&amp;"",""))</f>
        <v/>
      </c>
    </row>
    <row r="3853">
      <c r="X3853" s="20" t="str">
        <f>IF($B3853="","",IFERROR(IF(INDEX(Config!$D$9:$D$29,MATCH($B3853,Config!$B$9:$B$29,0))="Contrato",IF(INDEX(Config!$E$9:$E$29,MATCH($B3853,Config!$B$9:$B$29,0))="","",INDEX(Config!$E$9:$E$29,MATCH($B3853,Config!$B$9:$B$29,0))),""),""))</f>
        <v/>
      </c>
      <c r="AI3853" s="19" t="str">
        <f>IF($B3853="","",IFERROR(INDEX(Config!$D$9:$D$29,MATCH($B3853,Config!$B$9:$B$29,0))&amp;"",""))</f>
        <v/>
      </c>
    </row>
    <row r="3854">
      <c r="X3854" s="20" t="str">
        <f>IF($B3854="","",IFERROR(IF(INDEX(Config!$D$9:$D$29,MATCH($B3854,Config!$B$9:$B$29,0))="Contrato",IF(INDEX(Config!$E$9:$E$29,MATCH($B3854,Config!$B$9:$B$29,0))="","",INDEX(Config!$E$9:$E$29,MATCH($B3854,Config!$B$9:$B$29,0))),""),""))</f>
        <v/>
      </c>
      <c r="AI3854" s="19" t="str">
        <f>IF($B3854="","",IFERROR(INDEX(Config!$D$9:$D$29,MATCH($B3854,Config!$B$9:$B$29,0))&amp;"",""))</f>
        <v/>
      </c>
    </row>
    <row r="3855">
      <c r="X3855" s="20" t="str">
        <f>IF($B3855="","",IFERROR(IF(INDEX(Config!$D$9:$D$29,MATCH($B3855,Config!$B$9:$B$29,0))="Contrato",IF(INDEX(Config!$E$9:$E$29,MATCH($B3855,Config!$B$9:$B$29,0))="","",INDEX(Config!$E$9:$E$29,MATCH($B3855,Config!$B$9:$B$29,0))),""),""))</f>
        <v/>
      </c>
      <c r="AI3855" s="19" t="str">
        <f>IF($B3855="","",IFERROR(INDEX(Config!$D$9:$D$29,MATCH($B3855,Config!$B$9:$B$29,0))&amp;"",""))</f>
        <v/>
      </c>
    </row>
    <row r="3856">
      <c r="X3856" s="20" t="str">
        <f>IF($B3856="","",IFERROR(IF(INDEX(Config!$D$9:$D$29,MATCH($B3856,Config!$B$9:$B$29,0))="Contrato",IF(INDEX(Config!$E$9:$E$29,MATCH($B3856,Config!$B$9:$B$29,0))="","",INDEX(Config!$E$9:$E$29,MATCH($B3856,Config!$B$9:$B$29,0))),""),""))</f>
        <v/>
      </c>
      <c r="AI3856" s="19" t="str">
        <f>IF($B3856="","",IFERROR(INDEX(Config!$D$9:$D$29,MATCH($B3856,Config!$B$9:$B$29,0))&amp;"",""))</f>
        <v/>
      </c>
    </row>
    <row r="3857">
      <c r="X3857" s="20" t="str">
        <f>IF($B3857="","",IFERROR(IF(INDEX(Config!$D$9:$D$29,MATCH($B3857,Config!$B$9:$B$29,0))="Contrato",IF(INDEX(Config!$E$9:$E$29,MATCH($B3857,Config!$B$9:$B$29,0))="","",INDEX(Config!$E$9:$E$29,MATCH($B3857,Config!$B$9:$B$29,0))),""),""))</f>
        <v/>
      </c>
      <c r="AI3857" s="19" t="str">
        <f>IF($B3857="","",IFERROR(INDEX(Config!$D$9:$D$29,MATCH($B3857,Config!$B$9:$B$29,0))&amp;"",""))</f>
        <v/>
      </c>
    </row>
    <row r="3858">
      <c r="X3858" s="20" t="str">
        <f>IF($B3858="","",IFERROR(IF(INDEX(Config!$D$9:$D$29,MATCH($B3858,Config!$B$9:$B$29,0))="Contrato",IF(INDEX(Config!$E$9:$E$29,MATCH($B3858,Config!$B$9:$B$29,0))="","",INDEX(Config!$E$9:$E$29,MATCH($B3858,Config!$B$9:$B$29,0))),""),""))</f>
        <v/>
      </c>
      <c r="AI3858" s="19" t="str">
        <f>IF($B3858="","",IFERROR(INDEX(Config!$D$9:$D$29,MATCH($B3858,Config!$B$9:$B$29,0))&amp;"",""))</f>
        <v/>
      </c>
    </row>
    <row r="3859">
      <c r="X3859" s="20" t="str">
        <f>IF($B3859="","",IFERROR(IF(INDEX(Config!$D$9:$D$29,MATCH($B3859,Config!$B$9:$B$29,0))="Contrato",IF(INDEX(Config!$E$9:$E$29,MATCH($B3859,Config!$B$9:$B$29,0))="","",INDEX(Config!$E$9:$E$29,MATCH($B3859,Config!$B$9:$B$29,0))),""),""))</f>
        <v/>
      </c>
      <c r="AI3859" s="19" t="str">
        <f>IF($B3859="","",IFERROR(INDEX(Config!$D$9:$D$29,MATCH($B3859,Config!$B$9:$B$29,0))&amp;"",""))</f>
        <v/>
      </c>
    </row>
    <row r="3860">
      <c r="X3860" s="20" t="str">
        <f>IF($B3860="","",IFERROR(IF(INDEX(Config!$D$9:$D$29,MATCH($B3860,Config!$B$9:$B$29,0))="Contrato",IF(INDEX(Config!$E$9:$E$29,MATCH($B3860,Config!$B$9:$B$29,0))="","",INDEX(Config!$E$9:$E$29,MATCH($B3860,Config!$B$9:$B$29,0))),""),""))</f>
        <v/>
      </c>
      <c r="AI3860" s="19" t="str">
        <f>IF($B3860="","",IFERROR(INDEX(Config!$D$9:$D$29,MATCH($B3860,Config!$B$9:$B$29,0))&amp;"",""))</f>
        <v/>
      </c>
    </row>
    <row r="3861">
      <c r="X3861" s="20" t="str">
        <f>IF($B3861="","",IFERROR(IF(INDEX(Config!$D$9:$D$29,MATCH($B3861,Config!$B$9:$B$29,0))="Contrato",IF(INDEX(Config!$E$9:$E$29,MATCH($B3861,Config!$B$9:$B$29,0))="","",INDEX(Config!$E$9:$E$29,MATCH($B3861,Config!$B$9:$B$29,0))),""),""))</f>
        <v/>
      </c>
      <c r="AI3861" s="19" t="str">
        <f>IF($B3861="","",IFERROR(INDEX(Config!$D$9:$D$29,MATCH($B3861,Config!$B$9:$B$29,0))&amp;"",""))</f>
        <v/>
      </c>
    </row>
    <row r="3862">
      <c r="X3862" s="20" t="str">
        <f>IF($B3862="","",IFERROR(IF(INDEX(Config!$D$9:$D$29,MATCH($B3862,Config!$B$9:$B$29,0))="Contrato",IF(INDEX(Config!$E$9:$E$29,MATCH($B3862,Config!$B$9:$B$29,0))="","",INDEX(Config!$E$9:$E$29,MATCH($B3862,Config!$B$9:$B$29,0))),""),""))</f>
        <v/>
      </c>
      <c r="AI3862" s="19" t="str">
        <f>IF($B3862="","",IFERROR(INDEX(Config!$D$9:$D$29,MATCH($B3862,Config!$B$9:$B$29,0))&amp;"",""))</f>
        <v/>
      </c>
    </row>
    <row r="3863">
      <c r="X3863" s="20" t="str">
        <f>IF($B3863="","",IFERROR(IF(INDEX(Config!$D$9:$D$29,MATCH($B3863,Config!$B$9:$B$29,0))="Contrato",IF(INDEX(Config!$E$9:$E$29,MATCH($B3863,Config!$B$9:$B$29,0))="","",INDEX(Config!$E$9:$E$29,MATCH($B3863,Config!$B$9:$B$29,0))),""),""))</f>
        <v/>
      </c>
      <c r="AI3863" s="19" t="str">
        <f>IF($B3863="","",IFERROR(INDEX(Config!$D$9:$D$29,MATCH($B3863,Config!$B$9:$B$29,0))&amp;"",""))</f>
        <v/>
      </c>
    </row>
    <row r="3864">
      <c r="X3864" s="20" t="str">
        <f>IF($B3864="","",IFERROR(IF(INDEX(Config!$D$9:$D$29,MATCH($B3864,Config!$B$9:$B$29,0))="Contrato",IF(INDEX(Config!$E$9:$E$29,MATCH($B3864,Config!$B$9:$B$29,0))="","",INDEX(Config!$E$9:$E$29,MATCH($B3864,Config!$B$9:$B$29,0))),""),""))</f>
        <v/>
      </c>
      <c r="AI3864" s="19" t="str">
        <f>IF($B3864="","",IFERROR(INDEX(Config!$D$9:$D$29,MATCH($B3864,Config!$B$9:$B$29,0))&amp;"",""))</f>
        <v/>
      </c>
    </row>
    <row r="3865">
      <c r="X3865" s="20" t="str">
        <f>IF($B3865="","",IFERROR(IF(INDEX(Config!$D$9:$D$29,MATCH($B3865,Config!$B$9:$B$29,0))="Contrato",IF(INDEX(Config!$E$9:$E$29,MATCH($B3865,Config!$B$9:$B$29,0))="","",INDEX(Config!$E$9:$E$29,MATCH($B3865,Config!$B$9:$B$29,0))),""),""))</f>
        <v/>
      </c>
      <c r="AI3865" s="19" t="str">
        <f>IF($B3865="","",IFERROR(INDEX(Config!$D$9:$D$29,MATCH($B3865,Config!$B$9:$B$29,0))&amp;"",""))</f>
        <v/>
      </c>
    </row>
    <row r="3866">
      <c r="X3866" s="20" t="str">
        <f>IF($B3866="","",IFERROR(IF(INDEX(Config!$D$9:$D$29,MATCH($B3866,Config!$B$9:$B$29,0))="Contrato",IF(INDEX(Config!$E$9:$E$29,MATCH($B3866,Config!$B$9:$B$29,0))="","",INDEX(Config!$E$9:$E$29,MATCH($B3866,Config!$B$9:$B$29,0))),""),""))</f>
        <v/>
      </c>
      <c r="AI3866" s="19" t="str">
        <f>IF($B3866="","",IFERROR(INDEX(Config!$D$9:$D$29,MATCH($B3866,Config!$B$9:$B$29,0))&amp;"",""))</f>
        <v/>
      </c>
    </row>
    <row r="3867">
      <c r="X3867" s="20" t="str">
        <f>IF($B3867="","",IFERROR(IF(INDEX(Config!$D$9:$D$29,MATCH($B3867,Config!$B$9:$B$29,0))="Contrato",IF(INDEX(Config!$E$9:$E$29,MATCH($B3867,Config!$B$9:$B$29,0))="","",INDEX(Config!$E$9:$E$29,MATCH($B3867,Config!$B$9:$B$29,0))),""),""))</f>
        <v/>
      </c>
      <c r="AI3867" s="19" t="str">
        <f>IF($B3867="","",IFERROR(INDEX(Config!$D$9:$D$29,MATCH($B3867,Config!$B$9:$B$29,0))&amp;"",""))</f>
        <v/>
      </c>
    </row>
    <row r="3868">
      <c r="X3868" s="20" t="str">
        <f>IF($B3868="","",IFERROR(IF(INDEX(Config!$D$9:$D$29,MATCH($B3868,Config!$B$9:$B$29,0))="Contrato",IF(INDEX(Config!$E$9:$E$29,MATCH($B3868,Config!$B$9:$B$29,0))="","",INDEX(Config!$E$9:$E$29,MATCH($B3868,Config!$B$9:$B$29,0))),""),""))</f>
        <v/>
      </c>
      <c r="AI3868" s="19" t="str">
        <f>IF($B3868="","",IFERROR(INDEX(Config!$D$9:$D$29,MATCH($B3868,Config!$B$9:$B$29,0))&amp;"",""))</f>
        <v/>
      </c>
    </row>
    <row r="3869">
      <c r="X3869" s="20" t="str">
        <f>IF($B3869="","",IFERROR(IF(INDEX(Config!$D$9:$D$29,MATCH($B3869,Config!$B$9:$B$29,0))="Contrato",IF(INDEX(Config!$E$9:$E$29,MATCH($B3869,Config!$B$9:$B$29,0))="","",INDEX(Config!$E$9:$E$29,MATCH($B3869,Config!$B$9:$B$29,0))),""),""))</f>
        <v/>
      </c>
      <c r="AI3869" s="19" t="str">
        <f>IF($B3869="","",IFERROR(INDEX(Config!$D$9:$D$29,MATCH($B3869,Config!$B$9:$B$29,0))&amp;"",""))</f>
        <v/>
      </c>
    </row>
    <row r="3870">
      <c r="X3870" s="20" t="str">
        <f>IF($B3870="","",IFERROR(IF(INDEX(Config!$D$9:$D$29,MATCH($B3870,Config!$B$9:$B$29,0))="Contrato",IF(INDEX(Config!$E$9:$E$29,MATCH($B3870,Config!$B$9:$B$29,0))="","",INDEX(Config!$E$9:$E$29,MATCH($B3870,Config!$B$9:$B$29,0))),""),""))</f>
        <v/>
      </c>
      <c r="AI3870" s="19" t="str">
        <f>IF($B3870="","",IFERROR(INDEX(Config!$D$9:$D$29,MATCH($B3870,Config!$B$9:$B$29,0))&amp;"",""))</f>
        <v/>
      </c>
    </row>
    <row r="3871">
      <c r="X3871" s="20" t="str">
        <f>IF($B3871="","",IFERROR(IF(INDEX(Config!$D$9:$D$29,MATCH($B3871,Config!$B$9:$B$29,0))="Contrato",IF(INDEX(Config!$E$9:$E$29,MATCH($B3871,Config!$B$9:$B$29,0))="","",INDEX(Config!$E$9:$E$29,MATCH($B3871,Config!$B$9:$B$29,0))),""),""))</f>
        <v/>
      </c>
      <c r="AI3871" s="19" t="str">
        <f>IF($B3871="","",IFERROR(INDEX(Config!$D$9:$D$29,MATCH($B3871,Config!$B$9:$B$29,0))&amp;"",""))</f>
        <v/>
      </c>
    </row>
    <row r="3872">
      <c r="X3872" s="20" t="str">
        <f>IF($B3872="","",IFERROR(IF(INDEX(Config!$D$9:$D$29,MATCH($B3872,Config!$B$9:$B$29,0))="Contrato",IF(INDEX(Config!$E$9:$E$29,MATCH($B3872,Config!$B$9:$B$29,0))="","",INDEX(Config!$E$9:$E$29,MATCH($B3872,Config!$B$9:$B$29,0))),""),""))</f>
        <v/>
      </c>
      <c r="AI3872" s="19" t="str">
        <f>IF($B3872="","",IFERROR(INDEX(Config!$D$9:$D$29,MATCH($B3872,Config!$B$9:$B$29,0))&amp;"",""))</f>
        <v/>
      </c>
    </row>
    <row r="3873">
      <c r="X3873" s="20" t="str">
        <f>IF($B3873="","",IFERROR(IF(INDEX(Config!$D$9:$D$29,MATCH($B3873,Config!$B$9:$B$29,0))="Contrato",IF(INDEX(Config!$E$9:$E$29,MATCH($B3873,Config!$B$9:$B$29,0))="","",INDEX(Config!$E$9:$E$29,MATCH($B3873,Config!$B$9:$B$29,0))),""),""))</f>
        <v/>
      </c>
      <c r="AI3873" s="19" t="str">
        <f>IF($B3873="","",IFERROR(INDEX(Config!$D$9:$D$29,MATCH($B3873,Config!$B$9:$B$29,0))&amp;"",""))</f>
        <v/>
      </c>
    </row>
    <row r="3874">
      <c r="X3874" s="20" t="str">
        <f>IF($B3874="","",IFERROR(IF(INDEX(Config!$D$9:$D$29,MATCH($B3874,Config!$B$9:$B$29,0))="Contrato",IF(INDEX(Config!$E$9:$E$29,MATCH($B3874,Config!$B$9:$B$29,0))="","",INDEX(Config!$E$9:$E$29,MATCH($B3874,Config!$B$9:$B$29,0))),""),""))</f>
        <v/>
      </c>
      <c r="AI3874" s="19" t="str">
        <f>IF($B3874="","",IFERROR(INDEX(Config!$D$9:$D$29,MATCH($B3874,Config!$B$9:$B$29,0))&amp;"",""))</f>
        <v/>
      </c>
    </row>
    <row r="3875">
      <c r="X3875" s="20" t="str">
        <f>IF($B3875="","",IFERROR(IF(INDEX(Config!$D$9:$D$29,MATCH($B3875,Config!$B$9:$B$29,0))="Contrato",IF(INDEX(Config!$E$9:$E$29,MATCH($B3875,Config!$B$9:$B$29,0))="","",INDEX(Config!$E$9:$E$29,MATCH($B3875,Config!$B$9:$B$29,0))),""),""))</f>
        <v/>
      </c>
      <c r="AI3875" s="19" t="str">
        <f>IF($B3875="","",IFERROR(INDEX(Config!$D$9:$D$29,MATCH($B3875,Config!$B$9:$B$29,0))&amp;"",""))</f>
        <v/>
      </c>
    </row>
    <row r="3876">
      <c r="X3876" s="20" t="str">
        <f>IF($B3876="","",IFERROR(IF(INDEX(Config!$D$9:$D$29,MATCH($B3876,Config!$B$9:$B$29,0))="Contrato",IF(INDEX(Config!$E$9:$E$29,MATCH($B3876,Config!$B$9:$B$29,0))="","",INDEX(Config!$E$9:$E$29,MATCH($B3876,Config!$B$9:$B$29,0))),""),""))</f>
        <v/>
      </c>
      <c r="AI3876" s="19" t="str">
        <f>IF($B3876="","",IFERROR(INDEX(Config!$D$9:$D$29,MATCH($B3876,Config!$B$9:$B$29,0))&amp;"",""))</f>
        <v/>
      </c>
    </row>
    <row r="3877">
      <c r="X3877" s="20" t="str">
        <f>IF($B3877="","",IFERROR(IF(INDEX(Config!$D$9:$D$29,MATCH($B3877,Config!$B$9:$B$29,0))="Contrato",IF(INDEX(Config!$E$9:$E$29,MATCH($B3877,Config!$B$9:$B$29,0))="","",INDEX(Config!$E$9:$E$29,MATCH($B3877,Config!$B$9:$B$29,0))),""),""))</f>
        <v/>
      </c>
      <c r="AI3877" s="19" t="str">
        <f>IF($B3877="","",IFERROR(INDEX(Config!$D$9:$D$29,MATCH($B3877,Config!$B$9:$B$29,0))&amp;"",""))</f>
        <v/>
      </c>
    </row>
    <row r="3878">
      <c r="X3878" s="20" t="str">
        <f>IF($B3878="","",IFERROR(IF(INDEX(Config!$D$9:$D$29,MATCH($B3878,Config!$B$9:$B$29,0))="Contrato",IF(INDEX(Config!$E$9:$E$29,MATCH($B3878,Config!$B$9:$B$29,0))="","",INDEX(Config!$E$9:$E$29,MATCH($B3878,Config!$B$9:$B$29,0))),""),""))</f>
        <v/>
      </c>
      <c r="AI3878" s="19" t="str">
        <f>IF($B3878="","",IFERROR(INDEX(Config!$D$9:$D$29,MATCH($B3878,Config!$B$9:$B$29,0))&amp;"",""))</f>
        <v/>
      </c>
    </row>
    <row r="3879">
      <c r="X3879" s="20" t="str">
        <f>IF($B3879="","",IFERROR(IF(INDEX(Config!$D$9:$D$29,MATCH($B3879,Config!$B$9:$B$29,0))="Contrato",IF(INDEX(Config!$E$9:$E$29,MATCH($B3879,Config!$B$9:$B$29,0))="","",INDEX(Config!$E$9:$E$29,MATCH($B3879,Config!$B$9:$B$29,0))),""),""))</f>
        <v/>
      </c>
      <c r="AI3879" s="19" t="str">
        <f>IF($B3879="","",IFERROR(INDEX(Config!$D$9:$D$29,MATCH($B3879,Config!$B$9:$B$29,0))&amp;"",""))</f>
        <v/>
      </c>
    </row>
    <row r="3880">
      <c r="X3880" s="20" t="str">
        <f>IF($B3880="","",IFERROR(IF(INDEX(Config!$D$9:$D$29,MATCH($B3880,Config!$B$9:$B$29,0))="Contrato",IF(INDEX(Config!$E$9:$E$29,MATCH($B3880,Config!$B$9:$B$29,0))="","",INDEX(Config!$E$9:$E$29,MATCH($B3880,Config!$B$9:$B$29,0))),""),""))</f>
        <v/>
      </c>
      <c r="AI3880" s="19" t="str">
        <f>IF($B3880="","",IFERROR(INDEX(Config!$D$9:$D$29,MATCH($B3880,Config!$B$9:$B$29,0))&amp;"",""))</f>
        <v/>
      </c>
    </row>
    <row r="3881">
      <c r="X3881" s="20" t="str">
        <f>IF($B3881="","",IFERROR(IF(INDEX(Config!$D$9:$D$29,MATCH($B3881,Config!$B$9:$B$29,0))="Contrato",IF(INDEX(Config!$E$9:$E$29,MATCH($B3881,Config!$B$9:$B$29,0))="","",INDEX(Config!$E$9:$E$29,MATCH($B3881,Config!$B$9:$B$29,0))),""),""))</f>
        <v/>
      </c>
      <c r="AI3881" s="19" t="str">
        <f>IF($B3881="","",IFERROR(INDEX(Config!$D$9:$D$29,MATCH($B3881,Config!$B$9:$B$29,0))&amp;"",""))</f>
        <v/>
      </c>
    </row>
    <row r="3882">
      <c r="X3882" s="20" t="str">
        <f>IF($B3882="","",IFERROR(IF(INDEX(Config!$D$9:$D$29,MATCH($B3882,Config!$B$9:$B$29,0))="Contrato",IF(INDEX(Config!$E$9:$E$29,MATCH($B3882,Config!$B$9:$B$29,0))="","",INDEX(Config!$E$9:$E$29,MATCH($B3882,Config!$B$9:$B$29,0))),""),""))</f>
        <v/>
      </c>
      <c r="AI3882" s="19" t="str">
        <f>IF($B3882="","",IFERROR(INDEX(Config!$D$9:$D$29,MATCH($B3882,Config!$B$9:$B$29,0))&amp;"",""))</f>
        <v/>
      </c>
    </row>
    <row r="3883">
      <c r="X3883" s="20" t="str">
        <f>IF($B3883="","",IFERROR(IF(INDEX(Config!$D$9:$D$29,MATCH($B3883,Config!$B$9:$B$29,0))="Contrato",IF(INDEX(Config!$E$9:$E$29,MATCH($B3883,Config!$B$9:$B$29,0))="","",INDEX(Config!$E$9:$E$29,MATCH($B3883,Config!$B$9:$B$29,0))),""),""))</f>
        <v/>
      </c>
      <c r="AI3883" s="19" t="str">
        <f>IF($B3883="","",IFERROR(INDEX(Config!$D$9:$D$29,MATCH($B3883,Config!$B$9:$B$29,0))&amp;"",""))</f>
        <v/>
      </c>
    </row>
    <row r="3884">
      <c r="X3884" s="20" t="str">
        <f>IF($B3884="","",IFERROR(IF(INDEX(Config!$D$9:$D$29,MATCH($B3884,Config!$B$9:$B$29,0))="Contrato",IF(INDEX(Config!$E$9:$E$29,MATCH($B3884,Config!$B$9:$B$29,0))="","",INDEX(Config!$E$9:$E$29,MATCH($B3884,Config!$B$9:$B$29,0))),""),""))</f>
        <v/>
      </c>
      <c r="AI3884" s="19" t="str">
        <f>IF($B3884="","",IFERROR(INDEX(Config!$D$9:$D$29,MATCH($B3884,Config!$B$9:$B$29,0))&amp;"",""))</f>
        <v/>
      </c>
    </row>
    <row r="3885">
      <c r="X3885" s="20" t="str">
        <f>IF($B3885="","",IFERROR(IF(INDEX(Config!$D$9:$D$29,MATCH($B3885,Config!$B$9:$B$29,0))="Contrato",IF(INDEX(Config!$E$9:$E$29,MATCH($B3885,Config!$B$9:$B$29,0))="","",INDEX(Config!$E$9:$E$29,MATCH($B3885,Config!$B$9:$B$29,0))),""),""))</f>
        <v/>
      </c>
      <c r="AI3885" s="19" t="str">
        <f>IF($B3885="","",IFERROR(INDEX(Config!$D$9:$D$29,MATCH($B3885,Config!$B$9:$B$29,0))&amp;"",""))</f>
        <v/>
      </c>
    </row>
    <row r="3886">
      <c r="X3886" s="20" t="str">
        <f>IF($B3886="","",IFERROR(IF(INDEX(Config!$D$9:$D$29,MATCH($B3886,Config!$B$9:$B$29,0))="Contrato",IF(INDEX(Config!$E$9:$E$29,MATCH($B3886,Config!$B$9:$B$29,0))="","",INDEX(Config!$E$9:$E$29,MATCH($B3886,Config!$B$9:$B$29,0))),""),""))</f>
        <v/>
      </c>
      <c r="AI3886" s="19" t="str">
        <f>IF($B3886="","",IFERROR(INDEX(Config!$D$9:$D$29,MATCH($B3886,Config!$B$9:$B$29,0))&amp;"",""))</f>
        <v/>
      </c>
    </row>
    <row r="3887">
      <c r="X3887" s="20" t="str">
        <f>IF($B3887="","",IFERROR(IF(INDEX(Config!$D$9:$D$29,MATCH($B3887,Config!$B$9:$B$29,0))="Contrato",IF(INDEX(Config!$E$9:$E$29,MATCH($B3887,Config!$B$9:$B$29,0))="","",INDEX(Config!$E$9:$E$29,MATCH($B3887,Config!$B$9:$B$29,0))),""),""))</f>
        <v/>
      </c>
      <c r="AI3887" s="19" t="str">
        <f>IF($B3887="","",IFERROR(INDEX(Config!$D$9:$D$29,MATCH($B3887,Config!$B$9:$B$29,0))&amp;"",""))</f>
        <v/>
      </c>
    </row>
    <row r="3888">
      <c r="X3888" s="20" t="str">
        <f>IF($B3888="","",IFERROR(IF(INDEX(Config!$D$9:$D$29,MATCH($B3888,Config!$B$9:$B$29,0))="Contrato",IF(INDEX(Config!$E$9:$E$29,MATCH($B3888,Config!$B$9:$B$29,0))="","",INDEX(Config!$E$9:$E$29,MATCH($B3888,Config!$B$9:$B$29,0))),""),""))</f>
        <v/>
      </c>
      <c r="AI3888" s="19" t="str">
        <f>IF($B3888="","",IFERROR(INDEX(Config!$D$9:$D$29,MATCH($B3888,Config!$B$9:$B$29,0))&amp;"",""))</f>
        <v/>
      </c>
    </row>
    <row r="3889">
      <c r="X3889" s="20" t="str">
        <f>IF($B3889="","",IFERROR(IF(INDEX(Config!$D$9:$D$29,MATCH($B3889,Config!$B$9:$B$29,0))="Contrato",IF(INDEX(Config!$E$9:$E$29,MATCH($B3889,Config!$B$9:$B$29,0))="","",INDEX(Config!$E$9:$E$29,MATCH($B3889,Config!$B$9:$B$29,0))),""),""))</f>
        <v/>
      </c>
      <c r="AI3889" s="19" t="str">
        <f>IF($B3889="","",IFERROR(INDEX(Config!$D$9:$D$29,MATCH($B3889,Config!$B$9:$B$29,0))&amp;"",""))</f>
        <v/>
      </c>
    </row>
    <row r="3890">
      <c r="X3890" s="20" t="str">
        <f>IF($B3890="","",IFERROR(IF(INDEX(Config!$D$9:$D$29,MATCH($B3890,Config!$B$9:$B$29,0))="Contrato",IF(INDEX(Config!$E$9:$E$29,MATCH($B3890,Config!$B$9:$B$29,0))="","",INDEX(Config!$E$9:$E$29,MATCH($B3890,Config!$B$9:$B$29,0))),""),""))</f>
        <v/>
      </c>
      <c r="AI3890" s="19" t="str">
        <f>IF($B3890="","",IFERROR(INDEX(Config!$D$9:$D$29,MATCH($B3890,Config!$B$9:$B$29,0))&amp;"",""))</f>
        <v/>
      </c>
    </row>
    <row r="3891">
      <c r="X3891" s="20" t="str">
        <f>IF($B3891="","",IFERROR(IF(INDEX(Config!$D$9:$D$29,MATCH($B3891,Config!$B$9:$B$29,0))="Contrato",IF(INDEX(Config!$E$9:$E$29,MATCH($B3891,Config!$B$9:$B$29,0))="","",INDEX(Config!$E$9:$E$29,MATCH($B3891,Config!$B$9:$B$29,0))),""),""))</f>
        <v/>
      </c>
      <c r="AI3891" s="19" t="str">
        <f>IF($B3891="","",IFERROR(INDEX(Config!$D$9:$D$29,MATCH($B3891,Config!$B$9:$B$29,0))&amp;"",""))</f>
        <v/>
      </c>
    </row>
    <row r="3892">
      <c r="X3892" s="20" t="str">
        <f>IF($B3892="","",IFERROR(IF(INDEX(Config!$D$9:$D$29,MATCH($B3892,Config!$B$9:$B$29,0))="Contrato",IF(INDEX(Config!$E$9:$E$29,MATCH($B3892,Config!$B$9:$B$29,0))="","",INDEX(Config!$E$9:$E$29,MATCH($B3892,Config!$B$9:$B$29,0))),""),""))</f>
        <v/>
      </c>
      <c r="AI3892" s="19" t="str">
        <f>IF($B3892="","",IFERROR(INDEX(Config!$D$9:$D$29,MATCH($B3892,Config!$B$9:$B$29,0))&amp;"",""))</f>
        <v/>
      </c>
    </row>
    <row r="3893">
      <c r="X3893" s="20" t="str">
        <f>IF($B3893="","",IFERROR(IF(INDEX(Config!$D$9:$D$29,MATCH($B3893,Config!$B$9:$B$29,0))="Contrato",IF(INDEX(Config!$E$9:$E$29,MATCH($B3893,Config!$B$9:$B$29,0))="","",INDEX(Config!$E$9:$E$29,MATCH($B3893,Config!$B$9:$B$29,0))),""),""))</f>
        <v/>
      </c>
      <c r="AI3893" s="19" t="str">
        <f>IF($B3893="","",IFERROR(INDEX(Config!$D$9:$D$29,MATCH($B3893,Config!$B$9:$B$29,0))&amp;"",""))</f>
        <v/>
      </c>
    </row>
    <row r="3894">
      <c r="X3894" s="20" t="str">
        <f>IF($B3894="","",IFERROR(IF(INDEX(Config!$D$9:$D$29,MATCH($B3894,Config!$B$9:$B$29,0))="Contrato",IF(INDEX(Config!$E$9:$E$29,MATCH($B3894,Config!$B$9:$B$29,0))="","",INDEX(Config!$E$9:$E$29,MATCH($B3894,Config!$B$9:$B$29,0))),""),""))</f>
        <v/>
      </c>
      <c r="AI3894" s="19" t="str">
        <f>IF($B3894="","",IFERROR(INDEX(Config!$D$9:$D$29,MATCH($B3894,Config!$B$9:$B$29,0))&amp;"",""))</f>
        <v/>
      </c>
    </row>
    <row r="3895">
      <c r="X3895" s="20" t="str">
        <f>IF($B3895="","",IFERROR(IF(INDEX(Config!$D$9:$D$29,MATCH($B3895,Config!$B$9:$B$29,0))="Contrato",IF(INDEX(Config!$E$9:$E$29,MATCH($B3895,Config!$B$9:$B$29,0))="","",INDEX(Config!$E$9:$E$29,MATCH($B3895,Config!$B$9:$B$29,0))),""),""))</f>
        <v/>
      </c>
      <c r="AI3895" s="19" t="str">
        <f>IF($B3895="","",IFERROR(INDEX(Config!$D$9:$D$29,MATCH($B3895,Config!$B$9:$B$29,0))&amp;"",""))</f>
        <v/>
      </c>
    </row>
    <row r="3896">
      <c r="X3896" s="20" t="str">
        <f>IF($B3896="","",IFERROR(IF(INDEX(Config!$D$9:$D$29,MATCH($B3896,Config!$B$9:$B$29,0))="Contrato",IF(INDEX(Config!$E$9:$E$29,MATCH($B3896,Config!$B$9:$B$29,0))="","",INDEX(Config!$E$9:$E$29,MATCH($B3896,Config!$B$9:$B$29,0))),""),""))</f>
        <v/>
      </c>
      <c r="AI3896" s="19" t="str">
        <f>IF($B3896="","",IFERROR(INDEX(Config!$D$9:$D$29,MATCH($B3896,Config!$B$9:$B$29,0))&amp;"",""))</f>
        <v/>
      </c>
    </row>
    <row r="3897">
      <c r="X3897" s="20" t="str">
        <f>IF($B3897="","",IFERROR(IF(INDEX(Config!$D$9:$D$29,MATCH($B3897,Config!$B$9:$B$29,0))="Contrato",IF(INDEX(Config!$E$9:$E$29,MATCH($B3897,Config!$B$9:$B$29,0))="","",INDEX(Config!$E$9:$E$29,MATCH($B3897,Config!$B$9:$B$29,0))),""),""))</f>
        <v/>
      </c>
      <c r="AI3897" s="19" t="str">
        <f>IF($B3897="","",IFERROR(INDEX(Config!$D$9:$D$29,MATCH($B3897,Config!$B$9:$B$29,0))&amp;"",""))</f>
        <v/>
      </c>
    </row>
    <row r="3898">
      <c r="X3898" s="20" t="str">
        <f>IF($B3898="","",IFERROR(IF(INDEX(Config!$D$9:$D$29,MATCH($B3898,Config!$B$9:$B$29,0))="Contrato",IF(INDEX(Config!$E$9:$E$29,MATCH($B3898,Config!$B$9:$B$29,0))="","",INDEX(Config!$E$9:$E$29,MATCH($B3898,Config!$B$9:$B$29,0))),""),""))</f>
        <v/>
      </c>
      <c r="AI3898" s="19" t="str">
        <f>IF($B3898="","",IFERROR(INDEX(Config!$D$9:$D$29,MATCH($B3898,Config!$B$9:$B$29,0))&amp;"",""))</f>
        <v/>
      </c>
    </row>
    <row r="3899">
      <c r="X3899" s="20" t="str">
        <f>IF($B3899="","",IFERROR(IF(INDEX(Config!$D$9:$D$29,MATCH($B3899,Config!$B$9:$B$29,0))="Contrato",IF(INDEX(Config!$E$9:$E$29,MATCH($B3899,Config!$B$9:$B$29,0))="","",INDEX(Config!$E$9:$E$29,MATCH($B3899,Config!$B$9:$B$29,0))),""),""))</f>
        <v/>
      </c>
      <c r="AI3899" s="19" t="str">
        <f>IF($B3899="","",IFERROR(INDEX(Config!$D$9:$D$29,MATCH($B3899,Config!$B$9:$B$29,0))&amp;"",""))</f>
        <v/>
      </c>
    </row>
    <row r="3900">
      <c r="X3900" s="20" t="str">
        <f>IF($B3900="","",IFERROR(IF(INDEX(Config!$D$9:$D$29,MATCH($B3900,Config!$B$9:$B$29,0))="Contrato",IF(INDEX(Config!$E$9:$E$29,MATCH($B3900,Config!$B$9:$B$29,0))="","",INDEX(Config!$E$9:$E$29,MATCH($B3900,Config!$B$9:$B$29,0))),""),""))</f>
        <v/>
      </c>
      <c r="AI3900" s="19" t="str">
        <f>IF($B3900="","",IFERROR(INDEX(Config!$D$9:$D$29,MATCH($B3900,Config!$B$9:$B$29,0))&amp;"",""))</f>
        <v/>
      </c>
    </row>
    <row r="3901">
      <c r="X3901" s="20" t="str">
        <f>IF($B3901="","",IFERROR(IF(INDEX(Config!$D$9:$D$29,MATCH($B3901,Config!$B$9:$B$29,0))="Contrato",IF(INDEX(Config!$E$9:$E$29,MATCH($B3901,Config!$B$9:$B$29,0))="","",INDEX(Config!$E$9:$E$29,MATCH($B3901,Config!$B$9:$B$29,0))),""),""))</f>
        <v/>
      </c>
      <c r="AI3901" s="19" t="str">
        <f>IF($B3901="","",IFERROR(INDEX(Config!$D$9:$D$29,MATCH($B3901,Config!$B$9:$B$29,0))&amp;"",""))</f>
        <v/>
      </c>
    </row>
    <row r="3902">
      <c r="X3902" s="20" t="str">
        <f>IF($B3902="","",IFERROR(IF(INDEX(Config!$D$9:$D$29,MATCH($B3902,Config!$B$9:$B$29,0))="Contrato",IF(INDEX(Config!$E$9:$E$29,MATCH($B3902,Config!$B$9:$B$29,0))="","",INDEX(Config!$E$9:$E$29,MATCH($B3902,Config!$B$9:$B$29,0))),""),""))</f>
        <v/>
      </c>
      <c r="AI3902" s="19" t="str">
        <f>IF($B3902="","",IFERROR(INDEX(Config!$D$9:$D$29,MATCH($B3902,Config!$B$9:$B$29,0))&amp;"",""))</f>
        <v/>
      </c>
    </row>
    <row r="3903">
      <c r="X3903" s="20" t="str">
        <f>IF($B3903="","",IFERROR(IF(INDEX(Config!$D$9:$D$29,MATCH($B3903,Config!$B$9:$B$29,0))="Contrato",IF(INDEX(Config!$E$9:$E$29,MATCH($B3903,Config!$B$9:$B$29,0))="","",INDEX(Config!$E$9:$E$29,MATCH($B3903,Config!$B$9:$B$29,0))),""),""))</f>
        <v/>
      </c>
      <c r="AI3903" s="19" t="str">
        <f>IF($B3903="","",IFERROR(INDEX(Config!$D$9:$D$29,MATCH($B3903,Config!$B$9:$B$29,0))&amp;"",""))</f>
        <v/>
      </c>
    </row>
    <row r="3904">
      <c r="X3904" s="20" t="str">
        <f>IF($B3904="","",IFERROR(IF(INDEX(Config!$D$9:$D$29,MATCH($B3904,Config!$B$9:$B$29,0))="Contrato",IF(INDEX(Config!$E$9:$E$29,MATCH($B3904,Config!$B$9:$B$29,0))="","",INDEX(Config!$E$9:$E$29,MATCH($B3904,Config!$B$9:$B$29,0))),""),""))</f>
        <v/>
      </c>
      <c r="AI3904" s="19" t="str">
        <f>IF($B3904="","",IFERROR(INDEX(Config!$D$9:$D$29,MATCH($B3904,Config!$B$9:$B$29,0))&amp;"",""))</f>
        <v/>
      </c>
    </row>
    <row r="3905">
      <c r="X3905" s="20" t="str">
        <f>IF($B3905="","",IFERROR(IF(INDEX(Config!$D$9:$D$29,MATCH($B3905,Config!$B$9:$B$29,0))="Contrato",IF(INDEX(Config!$E$9:$E$29,MATCH($B3905,Config!$B$9:$B$29,0))="","",INDEX(Config!$E$9:$E$29,MATCH($B3905,Config!$B$9:$B$29,0))),""),""))</f>
        <v/>
      </c>
      <c r="AI3905" s="19" t="str">
        <f>IF($B3905="","",IFERROR(INDEX(Config!$D$9:$D$29,MATCH($B3905,Config!$B$9:$B$29,0))&amp;"",""))</f>
        <v/>
      </c>
    </row>
    <row r="3906">
      <c r="X3906" s="20" t="str">
        <f>IF($B3906="","",IFERROR(IF(INDEX(Config!$D$9:$D$29,MATCH($B3906,Config!$B$9:$B$29,0))="Contrato",IF(INDEX(Config!$E$9:$E$29,MATCH($B3906,Config!$B$9:$B$29,0))="","",INDEX(Config!$E$9:$E$29,MATCH($B3906,Config!$B$9:$B$29,0))),""),""))</f>
        <v/>
      </c>
      <c r="AI3906" s="19" t="str">
        <f>IF($B3906="","",IFERROR(INDEX(Config!$D$9:$D$29,MATCH($B3906,Config!$B$9:$B$29,0))&amp;"",""))</f>
        <v/>
      </c>
    </row>
    <row r="3907">
      <c r="X3907" s="20" t="str">
        <f>IF($B3907="","",IFERROR(IF(INDEX(Config!$D$9:$D$29,MATCH($B3907,Config!$B$9:$B$29,0))="Contrato",IF(INDEX(Config!$E$9:$E$29,MATCH($B3907,Config!$B$9:$B$29,0))="","",INDEX(Config!$E$9:$E$29,MATCH($B3907,Config!$B$9:$B$29,0))),""),""))</f>
        <v/>
      </c>
      <c r="AI3907" s="19" t="str">
        <f>IF($B3907="","",IFERROR(INDEX(Config!$D$9:$D$29,MATCH($B3907,Config!$B$9:$B$29,0))&amp;"",""))</f>
        <v/>
      </c>
    </row>
    <row r="3908">
      <c r="X3908" s="20" t="str">
        <f>IF($B3908="","",IFERROR(IF(INDEX(Config!$D$9:$D$29,MATCH($B3908,Config!$B$9:$B$29,0))="Contrato",IF(INDEX(Config!$E$9:$E$29,MATCH($B3908,Config!$B$9:$B$29,0))="","",INDEX(Config!$E$9:$E$29,MATCH($B3908,Config!$B$9:$B$29,0))),""),""))</f>
        <v/>
      </c>
      <c r="AI3908" s="19" t="str">
        <f>IF($B3908="","",IFERROR(INDEX(Config!$D$9:$D$29,MATCH($B3908,Config!$B$9:$B$29,0))&amp;"",""))</f>
        <v/>
      </c>
    </row>
    <row r="3909">
      <c r="X3909" s="20" t="str">
        <f>IF($B3909="","",IFERROR(IF(INDEX(Config!$D$9:$D$29,MATCH($B3909,Config!$B$9:$B$29,0))="Contrato",IF(INDEX(Config!$E$9:$E$29,MATCH($B3909,Config!$B$9:$B$29,0))="","",INDEX(Config!$E$9:$E$29,MATCH($B3909,Config!$B$9:$B$29,0))),""),""))</f>
        <v/>
      </c>
      <c r="AI3909" s="19" t="str">
        <f>IF($B3909="","",IFERROR(INDEX(Config!$D$9:$D$29,MATCH($B3909,Config!$B$9:$B$29,0))&amp;"",""))</f>
        <v/>
      </c>
    </row>
    <row r="3910">
      <c r="X3910" s="20" t="str">
        <f>IF($B3910="","",IFERROR(IF(INDEX(Config!$D$9:$D$29,MATCH($B3910,Config!$B$9:$B$29,0))="Contrato",IF(INDEX(Config!$E$9:$E$29,MATCH($B3910,Config!$B$9:$B$29,0))="","",INDEX(Config!$E$9:$E$29,MATCH($B3910,Config!$B$9:$B$29,0))),""),""))</f>
        <v/>
      </c>
      <c r="AI3910" s="19" t="str">
        <f>IF($B3910="","",IFERROR(INDEX(Config!$D$9:$D$29,MATCH($B3910,Config!$B$9:$B$29,0))&amp;"",""))</f>
        <v/>
      </c>
    </row>
    <row r="3911">
      <c r="X3911" s="20" t="str">
        <f>IF($B3911="","",IFERROR(IF(INDEX(Config!$D$9:$D$29,MATCH($B3911,Config!$B$9:$B$29,0))="Contrato",IF(INDEX(Config!$E$9:$E$29,MATCH($B3911,Config!$B$9:$B$29,0))="","",INDEX(Config!$E$9:$E$29,MATCH($B3911,Config!$B$9:$B$29,0))),""),""))</f>
        <v/>
      </c>
      <c r="AI3911" s="19" t="str">
        <f>IF($B3911="","",IFERROR(INDEX(Config!$D$9:$D$29,MATCH($B3911,Config!$B$9:$B$29,0))&amp;"",""))</f>
        <v/>
      </c>
    </row>
    <row r="3912">
      <c r="X3912" s="20" t="str">
        <f>IF($B3912="","",IFERROR(IF(INDEX(Config!$D$9:$D$29,MATCH($B3912,Config!$B$9:$B$29,0))="Contrato",IF(INDEX(Config!$E$9:$E$29,MATCH($B3912,Config!$B$9:$B$29,0))="","",INDEX(Config!$E$9:$E$29,MATCH($B3912,Config!$B$9:$B$29,0))),""),""))</f>
        <v/>
      </c>
      <c r="AI3912" s="19" t="str">
        <f>IF($B3912="","",IFERROR(INDEX(Config!$D$9:$D$29,MATCH($B3912,Config!$B$9:$B$29,0))&amp;"",""))</f>
        <v/>
      </c>
    </row>
    <row r="3913">
      <c r="X3913" s="20" t="str">
        <f>IF($B3913="","",IFERROR(IF(INDEX(Config!$D$9:$D$29,MATCH($B3913,Config!$B$9:$B$29,0))="Contrato",IF(INDEX(Config!$E$9:$E$29,MATCH($B3913,Config!$B$9:$B$29,0))="","",INDEX(Config!$E$9:$E$29,MATCH($B3913,Config!$B$9:$B$29,0))),""),""))</f>
        <v/>
      </c>
      <c r="AI3913" s="19" t="str">
        <f>IF($B3913="","",IFERROR(INDEX(Config!$D$9:$D$29,MATCH($B3913,Config!$B$9:$B$29,0))&amp;"",""))</f>
        <v/>
      </c>
    </row>
    <row r="3914">
      <c r="X3914" s="20" t="str">
        <f>IF($B3914="","",IFERROR(IF(INDEX(Config!$D$9:$D$29,MATCH($B3914,Config!$B$9:$B$29,0))="Contrato",IF(INDEX(Config!$E$9:$E$29,MATCH($B3914,Config!$B$9:$B$29,0))="","",INDEX(Config!$E$9:$E$29,MATCH($B3914,Config!$B$9:$B$29,0))),""),""))</f>
        <v/>
      </c>
      <c r="AI3914" s="19" t="str">
        <f>IF($B3914="","",IFERROR(INDEX(Config!$D$9:$D$29,MATCH($B3914,Config!$B$9:$B$29,0))&amp;"",""))</f>
        <v/>
      </c>
    </row>
    <row r="3915">
      <c r="X3915" s="20" t="str">
        <f>IF($B3915="","",IFERROR(IF(INDEX(Config!$D$9:$D$29,MATCH($B3915,Config!$B$9:$B$29,0))="Contrato",IF(INDEX(Config!$E$9:$E$29,MATCH($B3915,Config!$B$9:$B$29,0))="","",INDEX(Config!$E$9:$E$29,MATCH($B3915,Config!$B$9:$B$29,0))),""),""))</f>
        <v/>
      </c>
      <c r="AI3915" s="19" t="str">
        <f>IF($B3915="","",IFERROR(INDEX(Config!$D$9:$D$29,MATCH($B3915,Config!$B$9:$B$29,0))&amp;"",""))</f>
        <v/>
      </c>
    </row>
    <row r="3916">
      <c r="X3916" s="20" t="str">
        <f>IF($B3916="","",IFERROR(IF(INDEX(Config!$D$9:$D$29,MATCH($B3916,Config!$B$9:$B$29,0))="Contrato",IF(INDEX(Config!$E$9:$E$29,MATCH($B3916,Config!$B$9:$B$29,0))="","",INDEX(Config!$E$9:$E$29,MATCH($B3916,Config!$B$9:$B$29,0))),""),""))</f>
        <v/>
      </c>
      <c r="AI3916" s="19" t="str">
        <f>IF($B3916="","",IFERROR(INDEX(Config!$D$9:$D$29,MATCH($B3916,Config!$B$9:$B$29,0))&amp;"",""))</f>
        <v/>
      </c>
    </row>
    <row r="3917">
      <c r="X3917" s="20" t="str">
        <f>IF($B3917="","",IFERROR(IF(INDEX(Config!$D$9:$D$29,MATCH($B3917,Config!$B$9:$B$29,0))="Contrato",IF(INDEX(Config!$E$9:$E$29,MATCH($B3917,Config!$B$9:$B$29,0))="","",INDEX(Config!$E$9:$E$29,MATCH($B3917,Config!$B$9:$B$29,0))),""),""))</f>
        <v/>
      </c>
      <c r="AI3917" s="19" t="str">
        <f>IF($B3917="","",IFERROR(INDEX(Config!$D$9:$D$29,MATCH($B3917,Config!$B$9:$B$29,0))&amp;"",""))</f>
        <v/>
      </c>
    </row>
    <row r="3918">
      <c r="X3918" s="20" t="str">
        <f>IF($B3918="","",IFERROR(IF(INDEX(Config!$D$9:$D$29,MATCH($B3918,Config!$B$9:$B$29,0))="Contrato",IF(INDEX(Config!$E$9:$E$29,MATCH($B3918,Config!$B$9:$B$29,0))="","",INDEX(Config!$E$9:$E$29,MATCH($B3918,Config!$B$9:$B$29,0))),""),""))</f>
        <v/>
      </c>
      <c r="AI3918" s="19" t="str">
        <f>IF($B3918="","",IFERROR(INDEX(Config!$D$9:$D$29,MATCH($B3918,Config!$B$9:$B$29,0))&amp;"",""))</f>
        <v/>
      </c>
    </row>
    <row r="3919">
      <c r="X3919" s="20" t="str">
        <f>IF($B3919="","",IFERROR(IF(INDEX(Config!$D$9:$D$29,MATCH($B3919,Config!$B$9:$B$29,0))="Contrato",IF(INDEX(Config!$E$9:$E$29,MATCH($B3919,Config!$B$9:$B$29,0))="","",INDEX(Config!$E$9:$E$29,MATCH($B3919,Config!$B$9:$B$29,0))),""),""))</f>
        <v/>
      </c>
      <c r="AI3919" s="19" t="str">
        <f>IF($B3919="","",IFERROR(INDEX(Config!$D$9:$D$29,MATCH($B3919,Config!$B$9:$B$29,0))&amp;"",""))</f>
        <v/>
      </c>
    </row>
    <row r="3920">
      <c r="X3920" s="20" t="str">
        <f>IF($B3920="","",IFERROR(IF(INDEX(Config!$D$9:$D$29,MATCH($B3920,Config!$B$9:$B$29,0))="Contrato",IF(INDEX(Config!$E$9:$E$29,MATCH($B3920,Config!$B$9:$B$29,0))="","",INDEX(Config!$E$9:$E$29,MATCH($B3920,Config!$B$9:$B$29,0))),""),""))</f>
        <v/>
      </c>
      <c r="AI3920" s="19" t="str">
        <f>IF($B3920="","",IFERROR(INDEX(Config!$D$9:$D$29,MATCH($B3920,Config!$B$9:$B$29,0))&amp;"",""))</f>
        <v/>
      </c>
    </row>
    <row r="3921">
      <c r="X3921" s="20" t="str">
        <f>IF($B3921="","",IFERROR(IF(INDEX(Config!$D$9:$D$29,MATCH($B3921,Config!$B$9:$B$29,0))="Contrato",IF(INDEX(Config!$E$9:$E$29,MATCH($B3921,Config!$B$9:$B$29,0))="","",INDEX(Config!$E$9:$E$29,MATCH($B3921,Config!$B$9:$B$29,0))),""),""))</f>
        <v/>
      </c>
      <c r="AI3921" s="19" t="str">
        <f>IF($B3921="","",IFERROR(INDEX(Config!$D$9:$D$29,MATCH($B3921,Config!$B$9:$B$29,0))&amp;"",""))</f>
        <v/>
      </c>
    </row>
    <row r="3922">
      <c r="X3922" s="20" t="str">
        <f>IF($B3922="","",IFERROR(IF(INDEX(Config!$D$9:$D$29,MATCH($B3922,Config!$B$9:$B$29,0))="Contrato",IF(INDEX(Config!$E$9:$E$29,MATCH($B3922,Config!$B$9:$B$29,0))="","",INDEX(Config!$E$9:$E$29,MATCH($B3922,Config!$B$9:$B$29,0))),""),""))</f>
        <v/>
      </c>
      <c r="AI3922" s="19" t="str">
        <f>IF($B3922="","",IFERROR(INDEX(Config!$D$9:$D$29,MATCH($B3922,Config!$B$9:$B$29,0))&amp;"",""))</f>
        <v/>
      </c>
    </row>
    <row r="3923">
      <c r="X3923" s="20" t="str">
        <f>IF($B3923="","",IFERROR(IF(INDEX(Config!$D$9:$D$29,MATCH($B3923,Config!$B$9:$B$29,0))="Contrato",IF(INDEX(Config!$E$9:$E$29,MATCH($B3923,Config!$B$9:$B$29,0))="","",INDEX(Config!$E$9:$E$29,MATCH($B3923,Config!$B$9:$B$29,0))),""),""))</f>
        <v/>
      </c>
      <c r="AI3923" s="19" t="str">
        <f>IF($B3923="","",IFERROR(INDEX(Config!$D$9:$D$29,MATCH($B3923,Config!$B$9:$B$29,0))&amp;"",""))</f>
        <v/>
      </c>
    </row>
    <row r="3924">
      <c r="X3924" s="20" t="str">
        <f>IF($B3924="","",IFERROR(IF(INDEX(Config!$D$9:$D$29,MATCH($B3924,Config!$B$9:$B$29,0))="Contrato",IF(INDEX(Config!$E$9:$E$29,MATCH($B3924,Config!$B$9:$B$29,0))="","",INDEX(Config!$E$9:$E$29,MATCH($B3924,Config!$B$9:$B$29,0))),""),""))</f>
        <v/>
      </c>
      <c r="AI3924" s="19" t="str">
        <f>IF($B3924="","",IFERROR(INDEX(Config!$D$9:$D$29,MATCH($B3924,Config!$B$9:$B$29,0))&amp;"",""))</f>
        <v/>
      </c>
    </row>
    <row r="3925">
      <c r="X3925" s="20" t="str">
        <f>IF($B3925="","",IFERROR(IF(INDEX(Config!$D$9:$D$29,MATCH($B3925,Config!$B$9:$B$29,0))="Contrato",IF(INDEX(Config!$E$9:$E$29,MATCH($B3925,Config!$B$9:$B$29,0))="","",INDEX(Config!$E$9:$E$29,MATCH($B3925,Config!$B$9:$B$29,0))),""),""))</f>
        <v/>
      </c>
      <c r="AI3925" s="19" t="str">
        <f>IF($B3925="","",IFERROR(INDEX(Config!$D$9:$D$29,MATCH($B3925,Config!$B$9:$B$29,0))&amp;"",""))</f>
        <v/>
      </c>
    </row>
    <row r="3926">
      <c r="X3926" s="20" t="str">
        <f>IF($B3926="","",IFERROR(IF(INDEX(Config!$D$9:$D$29,MATCH($B3926,Config!$B$9:$B$29,0))="Contrato",IF(INDEX(Config!$E$9:$E$29,MATCH($B3926,Config!$B$9:$B$29,0))="","",INDEX(Config!$E$9:$E$29,MATCH($B3926,Config!$B$9:$B$29,0))),""),""))</f>
        <v/>
      </c>
      <c r="AI3926" s="19" t="str">
        <f>IF($B3926="","",IFERROR(INDEX(Config!$D$9:$D$29,MATCH($B3926,Config!$B$9:$B$29,0))&amp;"",""))</f>
        <v/>
      </c>
    </row>
    <row r="3927">
      <c r="X3927" s="20" t="str">
        <f>IF($B3927="","",IFERROR(IF(INDEX(Config!$D$9:$D$29,MATCH($B3927,Config!$B$9:$B$29,0))="Contrato",IF(INDEX(Config!$E$9:$E$29,MATCH($B3927,Config!$B$9:$B$29,0))="","",INDEX(Config!$E$9:$E$29,MATCH($B3927,Config!$B$9:$B$29,0))),""),""))</f>
        <v/>
      </c>
      <c r="AI3927" s="19" t="str">
        <f>IF($B3927="","",IFERROR(INDEX(Config!$D$9:$D$29,MATCH($B3927,Config!$B$9:$B$29,0))&amp;"",""))</f>
        <v/>
      </c>
    </row>
    <row r="3928">
      <c r="X3928" s="20" t="str">
        <f>IF($B3928="","",IFERROR(IF(INDEX(Config!$D$9:$D$29,MATCH($B3928,Config!$B$9:$B$29,0))="Contrato",IF(INDEX(Config!$E$9:$E$29,MATCH($B3928,Config!$B$9:$B$29,0))="","",INDEX(Config!$E$9:$E$29,MATCH($B3928,Config!$B$9:$B$29,0))),""),""))</f>
        <v/>
      </c>
      <c r="AI3928" s="19" t="str">
        <f>IF($B3928="","",IFERROR(INDEX(Config!$D$9:$D$29,MATCH($B3928,Config!$B$9:$B$29,0))&amp;"",""))</f>
        <v/>
      </c>
    </row>
    <row r="3929">
      <c r="X3929" s="20" t="str">
        <f>IF($B3929="","",IFERROR(IF(INDEX(Config!$D$9:$D$29,MATCH($B3929,Config!$B$9:$B$29,0))="Contrato",IF(INDEX(Config!$E$9:$E$29,MATCH($B3929,Config!$B$9:$B$29,0))="","",INDEX(Config!$E$9:$E$29,MATCH($B3929,Config!$B$9:$B$29,0))),""),""))</f>
        <v/>
      </c>
      <c r="AI3929" s="19" t="str">
        <f>IF($B3929="","",IFERROR(INDEX(Config!$D$9:$D$29,MATCH($B3929,Config!$B$9:$B$29,0))&amp;"",""))</f>
        <v/>
      </c>
    </row>
    <row r="3930">
      <c r="X3930" s="20" t="str">
        <f>IF($B3930="","",IFERROR(IF(INDEX(Config!$D$9:$D$29,MATCH($B3930,Config!$B$9:$B$29,0))="Contrato",IF(INDEX(Config!$E$9:$E$29,MATCH($B3930,Config!$B$9:$B$29,0))="","",INDEX(Config!$E$9:$E$29,MATCH($B3930,Config!$B$9:$B$29,0))),""),""))</f>
        <v/>
      </c>
      <c r="AI3930" s="19" t="str">
        <f>IF($B3930="","",IFERROR(INDEX(Config!$D$9:$D$29,MATCH($B3930,Config!$B$9:$B$29,0))&amp;"",""))</f>
        <v/>
      </c>
    </row>
    <row r="3931">
      <c r="X3931" s="20" t="str">
        <f>IF($B3931="","",IFERROR(IF(INDEX(Config!$D$9:$D$29,MATCH($B3931,Config!$B$9:$B$29,0))="Contrato",IF(INDEX(Config!$E$9:$E$29,MATCH($B3931,Config!$B$9:$B$29,0))="","",INDEX(Config!$E$9:$E$29,MATCH($B3931,Config!$B$9:$B$29,0))),""),""))</f>
        <v/>
      </c>
      <c r="AI3931" s="19" t="str">
        <f>IF($B3931="","",IFERROR(INDEX(Config!$D$9:$D$29,MATCH($B3931,Config!$B$9:$B$29,0))&amp;"",""))</f>
        <v/>
      </c>
    </row>
    <row r="3932">
      <c r="X3932" s="20" t="str">
        <f>IF($B3932="","",IFERROR(IF(INDEX(Config!$D$9:$D$29,MATCH($B3932,Config!$B$9:$B$29,0))="Contrato",IF(INDEX(Config!$E$9:$E$29,MATCH($B3932,Config!$B$9:$B$29,0))="","",INDEX(Config!$E$9:$E$29,MATCH($B3932,Config!$B$9:$B$29,0))),""),""))</f>
        <v/>
      </c>
      <c r="AI3932" s="19" t="str">
        <f>IF($B3932="","",IFERROR(INDEX(Config!$D$9:$D$29,MATCH($B3932,Config!$B$9:$B$29,0))&amp;"",""))</f>
        <v/>
      </c>
    </row>
    <row r="3933">
      <c r="X3933" s="20" t="str">
        <f>IF($B3933="","",IFERROR(IF(INDEX(Config!$D$9:$D$29,MATCH($B3933,Config!$B$9:$B$29,0))="Contrato",IF(INDEX(Config!$E$9:$E$29,MATCH($B3933,Config!$B$9:$B$29,0))="","",INDEX(Config!$E$9:$E$29,MATCH($B3933,Config!$B$9:$B$29,0))),""),""))</f>
        <v/>
      </c>
      <c r="AI3933" s="19" t="str">
        <f>IF($B3933="","",IFERROR(INDEX(Config!$D$9:$D$29,MATCH($B3933,Config!$B$9:$B$29,0))&amp;"",""))</f>
        <v/>
      </c>
    </row>
    <row r="3934">
      <c r="X3934" s="20" t="str">
        <f>IF($B3934="","",IFERROR(IF(INDEX(Config!$D$9:$D$29,MATCH($B3934,Config!$B$9:$B$29,0))="Contrato",IF(INDEX(Config!$E$9:$E$29,MATCH($B3934,Config!$B$9:$B$29,0))="","",INDEX(Config!$E$9:$E$29,MATCH($B3934,Config!$B$9:$B$29,0))),""),""))</f>
        <v/>
      </c>
      <c r="AI3934" s="19" t="str">
        <f>IF($B3934="","",IFERROR(INDEX(Config!$D$9:$D$29,MATCH($B3934,Config!$B$9:$B$29,0))&amp;"",""))</f>
        <v/>
      </c>
    </row>
    <row r="3935">
      <c r="X3935" s="20" t="str">
        <f>IF($B3935="","",IFERROR(IF(INDEX(Config!$D$9:$D$29,MATCH($B3935,Config!$B$9:$B$29,0))="Contrato",IF(INDEX(Config!$E$9:$E$29,MATCH($B3935,Config!$B$9:$B$29,0))="","",INDEX(Config!$E$9:$E$29,MATCH($B3935,Config!$B$9:$B$29,0))),""),""))</f>
        <v/>
      </c>
      <c r="AI3935" s="19" t="str">
        <f>IF($B3935="","",IFERROR(INDEX(Config!$D$9:$D$29,MATCH($B3935,Config!$B$9:$B$29,0))&amp;"",""))</f>
        <v/>
      </c>
    </row>
    <row r="3936">
      <c r="X3936" s="20" t="str">
        <f>IF($B3936="","",IFERROR(IF(INDEX(Config!$D$9:$D$29,MATCH($B3936,Config!$B$9:$B$29,0))="Contrato",IF(INDEX(Config!$E$9:$E$29,MATCH($B3936,Config!$B$9:$B$29,0))="","",INDEX(Config!$E$9:$E$29,MATCH($B3936,Config!$B$9:$B$29,0))),""),""))</f>
        <v/>
      </c>
      <c r="AI3936" s="19" t="str">
        <f>IF($B3936="","",IFERROR(INDEX(Config!$D$9:$D$29,MATCH($B3936,Config!$B$9:$B$29,0))&amp;"",""))</f>
        <v/>
      </c>
    </row>
    <row r="3937">
      <c r="X3937" s="20" t="str">
        <f>IF($B3937="","",IFERROR(IF(INDEX(Config!$D$9:$D$29,MATCH($B3937,Config!$B$9:$B$29,0))="Contrato",IF(INDEX(Config!$E$9:$E$29,MATCH($B3937,Config!$B$9:$B$29,0))="","",INDEX(Config!$E$9:$E$29,MATCH($B3937,Config!$B$9:$B$29,0))),""),""))</f>
        <v/>
      </c>
      <c r="AI3937" s="19" t="str">
        <f>IF($B3937="","",IFERROR(INDEX(Config!$D$9:$D$29,MATCH($B3937,Config!$B$9:$B$29,0))&amp;"",""))</f>
        <v/>
      </c>
    </row>
    <row r="3938">
      <c r="X3938" s="20" t="str">
        <f>IF($B3938="","",IFERROR(IF(INDEX(Config!$D$9:$D$29,MATCH($B3938,Config!$B$9:$B$29,0))="Contrato",IF(INDEX(Config!$E$9:$E$29,MATCH($B3938,Config!$B$9:$B$29,0))="","",INDEX(Config!$E$9:$E$29,MATCH($B3938,Config!$B$9:$B$29,0))),""),""))</f>
        <v/>
      </c>
      <c r="AI3938" s="19" t="str">
        <f>IF($B3938="","",IFERROR(INDEX(Config!$D$9:$D$29,MATCH($B3938,Config!$B$9:$B$29,0))&amp;"",""))</f>
        <v/>
      </c>
    </row>
    <row r="3939">
      <c r="X3939" s="20" t="str">
        <f>IF($B3939="","",IFERROR(IF(INDEX(Config!$D$9:$D$29,MATCH($B3939,Config!$B$9:$B$29,0))="Contrato",IF(INDEX(Config!$E$9:$E$29,MATCH($B3939,Config!$B$9:$B$29,0))="","",INDEX(Config!$E$9:$E$29,MATCH($B3939,Config!$B$9:$B$29,0))),""),""))</f>
        <v/>
      </c>
      <c r="AI3939" s="19" t="str">
        <f>IF($B3939="","",IFERROR(INDEX(Config!$D$9:$D$29,MATCH($B3939,Config!$B$9:$B$29,0))&amp;"",""))</f>
        <v/>
      </c>
    </row>
    <row r="3940">
      <c r="X3940" s="20" t="str">
        <f>IF($B3940="","",IFERROR(IF(INDEX(Config!$D$9:$D$29,MATCH($B3940,Config!$B$9:$B$29,0))="Contrato",IF(INDEX(Config!$E$9:$E$29,MATCH($B3940,Config!$B$9:$B$29,0))="","",INDEX(Config!$E$9:$E$29,MATCH($B3940,Config!$B$9:$B$29,0))),""),""))</f>
        <v/>
      </c>
      <c r="AI3940" s="19" t="str">
        <f>IF($B3940="","",IFERROR(INDEX(Config!$D$9:$D$29,MATCH($B3940,Config!$B$9:$B$29,0))&amp;"",""))</f>
        <v/>
      </c>
    </row>
    <row r="3941">
      <c r="X3941" s="20" t="str">
        <f>IF($B3941="","",IFERROR(IF(INDEX(Config!$D$9:$D$29,MATCH($B3941,Config!$B$9:$B$29,0))="Contrato",IF(INDEX(Config!$E$9:$E$29,MATCH($B3941,Config!$B$9:$B$29,0))="","",INDEX(Config!$E$9:$E$29,MATCH($B3941,Config!$B$9:$B$29,0))),""),""))</f>
        <v/>
      </c>
      <c r="AI3941" s="19" t="str">
        <f>IF($B3941="","",IFERROR(INDEX(Config!$D$9:$D$29,MATCH($B3941,Config!$B$9:$B$29,0))&amp;"",""))</f>
        <v/>
      </c>
    </row>
    <row r="3942">
      <c r="X3942" s="20" t="str">
        <f>IF($B3942="","",IFERROR(IF(INDEX(Config!$D$9:$D$29,MATCH($B3942,Config!$B$9:$B$29,0))="Contrato",IF(INDEX(Config!$E$9:$E$29,MATCH($B3942,Config!$B$9:$B$29,0))="","",INDEX(Config!$E$9:$E$29,MATCH($B3942,Config!$B$9:$B$29,0))),""),""))</f>
        <v/>
      </c>
      <c r="AI3942" s="19" t="str">
        <f>IF($B3942="","",IFERROR(INDEX(Config!$D$9:$D$29,MATCH($B3942,Config!$B$9:$B$29,0))&amp;"",""))</f>
        <v/>
      </c>
    </row>
    <row r="3943">
      <c r="X3943" s="20" t="str">
        <f>IF($B3943="","",IFERROR(IF(INDEX(Config!$D$9:$D$29,MATCH($B3943,Config!$B$9:$B$29,0))="Contrato",IF(INDEX(Config!$E$9:$E$29,MATCH($B3943,Config!$B$9:$B$29,0))="","",INDEX(Config!$E$9:$E$29,MATCH($B3943,Config!$B$9:$B$29,0))),""),""))</f>
        <v/>
      </c>
      <c r="AI3943" s="19" t="str">
        <f>IF($B3943="","",IFERROR(INDEX(Config!$D$9:$D$29,MATCH($B3943,Config!$B$9:$B$29,0))&amp;"",""))</f>
        <v/>
      </c>
    </row>
    <row r="3944">
      <c r="X3944" s="20" t="str">
        <f>IF($B3944="","",IFERROR(IF(INDEX(Config!$D$9:$D$29,MATCH($B3944,Config!$B$9:$B$29,0))="Contrato",IF(INDEX(Config!$E$9:$E$29,MATCH($B3944,Config!$B$9:$B$29,0))="","",INDEX(Config!$E$9:$E$29,MATCH($B3944,Config!$B$9:$B$29,0))),""),""))</f>
        <v/>
      </c>
      <c r="AI3944" s="19" t="str">
        <f>IF($B3944="","",IFERROR(INDEX(Config!$D$9:$D$29,MATCH($B3944,Config!$B$9:$B$29,0))&amp;"",""))</f>
        <v/>
      </c>
    </row>
    <row r="3945">
      <c r="X3945" s="20" t="str">
        <f>IF($B3945="","",IFERROR(IF(INDEX(Config!$D$9:$D$29,MATCH($B3945,Config!$B$9:$B$29,0))="Contrato",IF(INDEX(Config!$E$9:$E$29,MATCH($B3945,Config!$B$9:$B$29,0))="","",INDEX(Config!$E$9:$E$29,MATCH($B3945,Config!$B$9:$B$29,0))),""),""))</f>
        <v/>
      </c>
      <c r="AI3945" s="19" t="str">
        <f>IF($B3945="","",IFERROR(INDEX(Config!$D$9:$D$29,MATCH($B3945,Config!$B$9:$B$29,0))&amp;"",""))</f>
        <v/>
      </c>
    </row>
    <row r="3946">
      <c r="X3946" s="20" t="str">
        <f>IF($B3946="","",IFERROR(IF(INDEX(Config!$D$9:$D$29,MATCH($B3946,Config!$B$9:$B$29,0))="Contrato",IF(INDEX(Config!$E$9:$E$29,MATCH($B3946,Config!$B$9:$B$29,0))="","",INDEX(Config!$E$9:$E$29,MATCH($B3946,Config!$B$9:$B$29,0))),""),""))</f>
        <v/>
      </c>
      <c r="AI3946" s="19" t="str">
        <f>IF($B3946="","",IFERROR(INDEX(Config!$D$9:$D$29,MATCH($B3946,Config!$B$9:$B$29,0))&amp;"",""))</f>
        <v/>
      </c>
    </row>
    <row r="3947">
      <c r="X3947" s="20" t="str">
        <f>IF($B3947="","",IFERROR(IF(INDEX(Config!$D$9:$D$29,MATCH($B3947,Config!$B$9:$B$29,0))="Contrato",IF(INDEX(Config!$E$9:$E$29,MATCH($B3947,Config!$B$9:$B$29,0))="","",INDEX(Config!$E$9:$E$29,MATCH($B3947,Config!$B$9:$B$29,0))),""),""))</f>
        <v/>
      </c>
      <c r="AI3947" s="19" t="str">
        <f>IF($B3947="","",IFERROR(INDEX(Config!$D$9:$D$29,MATCH($B3947,Config!$B$9:$B$29,0))&amp;"",""))</f>
        <v/>
      </c>
    </row>
    <row r="3948">
      <c r="X3948" s="20" t="str">
        <f>IF($B3948="","",IFERROR(IF(INDEX(Config!$D$9:$D$29,MATCH($B3948,Config!$B$9:$B$29,0))="Contrato",IF(INDEX(Config!$E$9:$E$29,MATCH($B3948,Config!$B$9:$B$29,0))="","",INDEX(Config!$E$9:$E$29,MATCH($B3948,Config!$B$9:$B$29,0))),""),""))</f>
        <v/>
      </c>
      <c r="AI3948" s="19" t="str">
        <f>IF($B3948="","",IFERROR(INDEX(Config!$D$9:$D$29,MATCH($B3948,Config!$B$9:$B$29,0))&amp;"",""))</f>
        <v/>
      </c>
    </row>
    <row r="3949">
      <c r="X3949" s="20" t="str">
        <f>IF($B3949="","",IFERROR(IF(INDEX(Config!$D$9:$D$29,MATCH($B3949,Config!$B$9:$B$29,0))="Contrato",IF(INDEX(Config!$E$9:$E$29,MATCH($B3949,Config!$B$9:$B$29,0))="","",INDEX(Config!$E$9:$E$29,MATCH($B3949,Config!$B$9:$B$29,0))),""),""))</f>
        <v/>
      </c>
      <c r="AI3949" s="19" t="str">
        <f>IF($B3949="","",IFERROR(INDEX(Config!$D$9:$D$29,MATCH($B3949,Config!$B$9:$B$29,0))&amp;"",""))</f>
        <v/>
      </c>
    </row>
    <row r="3950">
      <c r="X3950" s="20" t="str">
        <f>IF($B3950="","",IFERROR(IF(INDEX(Config!$D$9:$D$29,MATCH($B3950,Config!$B$9:$B$29,0))="Contrato",IF(INDEX(Config!$E$9:$E$29,MATCH($B3950,Config!$B$9:$B$29,0))="","",INDEX(Config!$E$9:$E$29,MATCH($B3950,Config!$B$9:$B$29,0))),""),""))</f>
        <v/>
      </c>
      <c r="AI3950" s="19" t="str">
        <f>IF($B3950="","",IFERROR(INDEX(Config!$D$9:$D$29,MATCH($B3950,Config!$B$9:$B$29,0))&amp;"",""))</f>
        <v/>
      </c>
    </row>
    <row r="3951">
      <c r="X3951" s="20" t="str">
        <f>IF($B3951="","",IFERROR(IF(INDEX(Config!$D$9:$D$29,MATCH($B3951,Config!$B$9:$B$29,0))="Contrato",IF(INDEX(Config!$E$9:$E$29,MATCH($B3951,Config!$B$9:$B$29,0))="","",INDEX(Config!$E$9:$E$29,MATCH($B3951,Config!$B$9:$B$29,0))),""),""))</f>
        <v/>
      </c>
      <c r="AI3951" s="19" t="str">
        <f>IF($B3951="","",IFERROR(INDEX(Config!$D$9:$D$29,MATCH($B3951,Config!$B$9:$B$29,0))&amp;"",""))</f>
        <v/>
      </c>
    </row>
    <row r="3952">
      <c r="X3952" s="20" t="str">
        <f>IF($B3952="","",IFERROR(IF(INDEX(Config!$D$9:$D$29,MATCH($B3952,Config!$B$9:$B$29,0))="Contrato",IF(INDEX(Config!$E$9:$E$29,MATCH($B3952,Config!$B$9:$B$29,0))="","",INDEX(Config!$E$9:$E$29,MATCH($B3952,Config!$B$9:$B$29,0))),""),""))</f>
        <v/>
      </c>
      <c r="AI3952" s="19" t="str">
        <f>IF($B3952="","",IFERROR(INDEX(Config!$D$9:$D$29,MATCH($B3952,Config!$B$9:$B$29,0))&amp;"",""))</f>
        <v/>
      </c>
    </row>
    <row r="3953">
      <c r="X3953" s="20" t="str">
        <f>IF($B3953="","",IFERROR(IF(INDEX(Config!$D$9:$D$29,MATCH($B3953,Config!$B$9:$B$29,0))="Contrato",IF(INDEX(Config!$E$9:$E$29,MATCH($B3953,Config!$B$9:$B$29,0))="","",INDEX(Config!$E$9:$E$29,MATCH($B3953,Config!$B$9:$B$29,0))),""),""))</f>
        <v/>
      </c>
      <c r="AI3953" s="19" t="str">
        <f>IF($B3953="","",IFERROR(INDEX(Config!$D$9:$D$29,MATCH($B3953,Config!$B$9:$B$29,0))&amp;"",""))</f>
        <v/>
      </c>
    </row>
    <row r="3954">
      <c r="X3954" s="20" t="str">
        <f>IF($B3954="","",IFERROR(IF(INDEX(Config!$D$9:$D$29,MATCH($B3954,Config!$B$9:$B$29,0))="Contrato",IF(INDEX(Config!$E$9:$E$29,MATCH($B3954,Config!$B$9:$B$29,0))="","",INDEX(Config!$E$9:$E$29,MATCH($B3954,Config!$B$9:$B$29,0))),""),""))</f>
        <v/>
      </c>
      <c r="AI3954" s="19" t="str">
        <f>IF($B3954="","",IFERROR(INDEX(Config!$D$9:$D$29,MATCH($B3954,Config!$B$9:$B$29,0))&amp;"",""))</f>
        <v/>
      </c>
    </row>
    <row r="3955">
      <c r="X3955" s="20" t="str">
        <f>IF($B3955="","",IFERROR(IF(INDEX(Config!$D$9:$D$29,MATCH($B3955,Config!$B$9:$B$29,0))="Contrato",IF(INDEX(Config!$E$9:$E$29,MATCH($B3955,Config!$B$9:$B$29,0))="","",INDEX(Config!$E$9:$E$29,MATCH($B3955,Config!$B$9:$B$29,0))),""),""))</f>
        <v/>
      </c>
      <c r="AI3955" s="19" t="str">
        <f>IF($B3955="","",IFERROR(INDEX(Config!$D$9:$D$29,MATCH($B3955,Config!$B$9:$B$29,0))&amp;"",""))</f>
        <v/>
      </c>
    </row>
    <row r="3956">
      <c r="X3956" s="20" t="str">
        <f>IF($B3956="","",IFERROR(IF(INDEX(Config!$D$9:$D$29,MATCH($B3956,Config!$B$9:$B$29,0))="Contrato",IF(INDEX(Config!$E$9:$E$29,MATCH($B3956,Config!$B$9:$B$29,0))="","",INDEX(Config!$E$9:$E$29,MATCH($B3956,Config!$B$9:$B$29,0))),""),""))</f>
        <v/>
      </c>
      <c r="AI3956" s="19" t="str">
        <f>IF($B3956="","",IFERROR(INDEX(Config!$D$9:$D$29,MATCH($B3956,Config!$B$9:$B$29,0))&amp;"",""))</f>
        <v/>
      </c>
    </row>
    <row r="3957">
      <c r="X3957" s="20" t="str">
        <f>IF($B3957="","",IFERROR(IF(INDEX(Config!$D$9:$D$29,MATCH($B3957,Config!$B$9:$B$29,0))="Contrato",IF(INDEX(Config!$E$9:$E$29,MATCH($B3957,Config!$B$9:$B$29,0))="","",INDEX(Config!$E$9:$E$29,MATCH($B3957,Config!$B$9:$B$29,0))),""),""))</f>
        <v/>
      </c>
      <c r="AI3957" s="19" t="str">
        <f>IF($B3957="","",IFERROR(INDEX(Config!$D$9:$D$29,MATCH($B3957,Config!$B$9:$B$29,0))&amp;"",""))</f>
        <v/>
      </c>
    </row>
    <row r="3958">
      <c r="X3958" s="20" t="str">
        <f>IF($B3958="","",IFERROR(IF(INDEX(Config!$D$9:$D$29,MATCH($B3958,Config!$B$9:$B$29,0))="Contrato",IF(INDEX(Config!$E$9:$E$29,MATCH($B3958,Config!$B$9:$B$29,0))="","",INDEX(Config!$E$9:$E$29,MATCH($B3958,Config!$B$9:$B$29,0))),""),""))</f>
        <v/>
      </c>
      <c r="AI3958" s="19" t="str">
        <f>IF($B3958="","",IFERROR(INDEX(Config!$D$9:$D$29,MATCH($B3958,Config!$B$9:$B$29,0))&amp;"",""))</f>
        <v/>
      </c>
    </row>
    <row r="3959">
      <c r="X3959" s="20" t="str">
        <f>IF($B3959="","",IFERROR(IF(INDEX(Config!$D$9:$D$29,MATCH($B3959,Config!$B$9:$B$29,0))="Contrato",IF(INDEX(Config!$E$9:$E$29,MATCH($B3959,Config!$B$9:$B$29,0))="","",INDEX(Config!$E$9:$E$29,MATCH($B3959,Config!$B$9:$B$29,0))),""),""))</f>
        <v/>
      </c>
      <c r="AI3959" s="19" t="str">
        <f>IF($B3959="","",IFERROR(INDEX(Config!$D$9:$D$29,MATCH($B3959,Config!$B$9:$B$29,0))&amp;"",""))</f>
        <v/>
      </c>
    </row>
    <row r="3960">
      <c r="X3960" s="20" t="str">
        <f>IF($B3960="","",IFERROR(IF(INDEX(Config!$D$9:$D$29,MATCH($B3960,Config!$B$9:$B$29,0))="Contrato",IF(INDEX(Config!$E$9:$E$29,MATCH($B3960,Config!$B$9:$B$29,0))="","",INDEX(Config!$E$9:$E$29,MATCH($B3960,Config!$B$9:$B$29,0))),""),""))</f>
        <v/>
      </c>
      <c r="AI3960" s="19" t="str">
        <f>IF($B3960="","",IFERROR(INDEX(Config!$D$9:$D$29,MATCH($B3960,Config!$B$9:$B$29,0))&amp;"",""))</f>
        <v/>
      </c>
    </row>
    <row r="3961">
      <c r="X3961" s="20" t="str">
        <f>IF($B3961="","",IFERROR(IF(INDEX(Config!$D$9:$D$29,MATCH($B3961,Config!$B$9:$B$29,0))="Contrato",IF(INDEX(Config!$E$9:$E$29,MATCH($B3961,Config!$B$9:$B$29,0))="","",INDEX(Config!$E$9:$E$29,MATCH($B3961,Config!$B$9:$B$29,0))),""),""))</f>
        <v/>
      </c>
      <c r="AI3961" s="19" t="str">
        <f>IF($B3961="","",IFERROR(INDEX(Config!$D$9:$D$29,MATCH($B3961,Config!$B$9:$B$29,0))&amp;"",""))</f>
        <v/>
      </c>
    </row>
    <row r="3962">
      <c r="X3962" s="20" t="str">
        <f>IF($B3962="","",IFERROR(IF(INDEX(Config!$D$9:$D$29,MATCH($B3962,Config!$B$9:$B$29,0))="Contrato",IF(INDEX(Config!$E$9:$E$29,MATCH($B3962,Config!$B$9:$B$29,0))="","",INDEX(Config!$E$9:$E$29,MATCH($B3962,Config!$B$9:$B$29,0))),""),""))</f>
        <v/>
      </c>
      <c r="AI3962" s="19" t="str">
        <f>IF($B3962="","",IFERROR(INDEX(Config!$D$9:$D$29,MATCH($B3962,Config!$B$9:$B$29,0))&amp;"",""))</f>
        <v/>
      </c>
    </row>
    <row r="3963">
      <c r="X3963" s="20" t="str">
        <f>IF($B3963="","",IFERROR(IF(INDEX(Config!$D$9:$D$29,MATCH($B3963,Config!$B$9:$B$29,0))="Contrato",IF(INDEX(Config!$E$9:$E$29,MATCH($B3963,Config!$B$9:$B$29,0))="","",INDEX(Config!$E$9:$E$29,MATCH($B3963,Config!$B$9:$B$29,0))),""),""))</f>
        <v/>
      </c>
      <c r="AI3963" s="19" t="str">
        <f>IF($B3963="","",IFERROR(INDEX(Config!$D$9:$D$29,MATCH($B3963,Config!$B$9:$B$29,0))&amp;"",""))</f>
        <v/>
      </c>
    </row>
    <row r="3964">
      <c r="X3964" s="20" t="str">
        <f>IF($B3964="","",IFERROR(IF(INDEX(Config!$D$9:$D$29,MATCH($B3964,Config!$B$9:$B$29,0))="Contrato",IF(INDEX(Config!$E$9:$E$29,MATCH($B3964,Config!$B$9:$B$29,0))="","",INDEX(Config!$E$9:$E$29,MATCH($B3964,Config!$B$9:$B$29,0))),""),""))</f>
        <v/>
      </c>
      <c r="AI3964" s="19" t="str">
        <f>IF($B3964="","",IFERROR(INDEX(Config!$D$9:$D$29,MATCH($B3964,Config!$B$9:$B$29,0))&amp;"",""))</f>
        <v/>
      </c>
    </row>
    <row r="3965">
      <c r="X3965" s="20" t="str">
        <f>IF($B3965="","",IFERROR(IF(INDEX(Config!$D$9:$D$29,MATCH($B3965,Config!$B$9:$B$29,0))="Contrato",IF(INDEX(Config!$E$9:$E$29,MATCH($B3965,Config!$B$9:$B$29,0))="","",INDEX(Config!$E$9:$E$29,MATCH($B3965,Config!$B$9:$B$29,0))),""),""))</f>
        <v/>
      </c>
      <c r="AI3965" s="19" t="str">
        <f>IF($B3965="","",IFERROR(INDEX(Config!$D$9:$D$29,MATCH($B3965,Config!$B$9:$B$29,0))&amp;"",""))</f>
        <v/>
      </c>
    </row>
    <row r="3966">
      <c r="X3966" s="20" t="str">
        <f>IF($B3966="","",IFERROR(IF(INDEX(Config!$D$9:$D$29,MATCH($B3966,Config!$B$9:$B$29,0))="Contrato",IF(INDEX(Config!$E$9:$E$29,MATCH($B3966,Config!$B$9:$B$29,0))="","",INDEX(Config!$E$9:$E$29,MATCH($B3966,Config!$B$9:$B$29,0))),""),""))</f>
        <v/>
      </c>
      <c r="AI3966" s="19" t="str">
        <f>IF($B3966="","",IFERROR(INDEX(Config!$D$9:$D$29,MATCH($B3966,Config!$B$9:$B$29,0))&amp;"",""))</f>
        <v/>
      </c>
    </row>
    <row r="3967">
      <c r="X3967" s="20" t="str">
        <f>IF($B3967="","",IFERROR(IF(INDEX(Config!$D$9:$D$29,MATCH($B3967,Config!$B$9:$B$29,0))="Contrato",IF(INDEX(Config!$E$9:$E$29,MATCH($B3967,Config!$B$9:$B$29,0))="","",INDEX(Config!$E$9:$E$29,MATCH($B3967,Config!$B$9:$B$29,0))),""),""))</f>
        <v/>
      </c>
      <c r="AI3967" s="19" t="str">
        <f>IF($B3967="","",IFERROR(INDEX(Config!$D$9:$D$29,MATCH($B3967,Config!$B$9:$B$29,0))&amp;"",""))</f>
        <v/>
      </c>
    </row>
    <row r="3968">
      <c r="X3968" s="20" t="str">
        <f>IF($B3968="","",IFERROR(IF(INDEX(Config!$D$9:$D$29,MATCH($B3968,Config!$B$9:$B$29,0))="Contrato",IF(INDEX(Config!$E$9:$E$29,MATCH($B3968,Config!$B$9:$B$29,0))="","",INDEX(Config!$E$9:$E$29,MATCH($B3968,Config!$B$9:$B$29,0))),""),""))</f>
        <v/>
      </c>
      <c r="AI3968" s="19" t="str">
        <f>IF($B3968="","",IFERROR(INDEX(Config!$D$9:$D$29,MATCH($B3968,Config!$B$9:$B$29,0))&amp;"",""))</f>
        <v/>
      </c>
    </row>
    <row r="3969">
      <c r="X3969" s="20" t="str">
        <f>IF($B3969="","",IFERROR(IF(INDEX(Config!$D$9:$D$29,MATCH($B3969,Config!$B$9:$B$29,0))="Contrato",IF(INDEX(Config!$E$9:$E$29,MATCH($B3969,Config!$B$9:$B$29,0))="","",INDEX(Config!$E$9:$E$29,MATCH($B3969,Config!$B$9:$B$29,0))),""),""))</f>
        <v/>
      </c>
      <c r="AI3969" s="19" t="str">
        <f>IF($B3969="","",IFERROR(INDEX(Config!$D$9:$D$29,MATCH($B3969,Config!$B$9:$B$29,0))&amp;"",""))</f>
        <v/>
      </c>
    </row>
    <row r="3970">
      <c r="X3970" s="20" t="str">
        <f>IF($B3970="","",IFERROR(IF(INDEX(Config!$D$9:$D$29,MATCH($B3970,Config!$B$9:$B$29,0))="Contrato",IF(INDEX(Config!$E$9:$E$29,MATCH($B3970,Config!$B$9:$B$29,0))="","",INDEX(Config!$E$9:$E$29,MATCH($B3970,Config!$B$9:$B$29,0))),""),""))</f>
        <v/>
      </c>
      <c r="AI3970" s="19" t="str">
        <f>IF($B3970="","",IFERROR(INDEX(Config!$D$9:$D$29,MATCH($B3970,Config!$B$9:$B$29,0))&amp;"",""))</f>
        <v/>
      </c>
    </row>
    <row r="3971">
      <c r="X3971" s="20" t="str">
        <f>IF($B3971="","",IFERROR(IF(INDEX(Config!$D$9:$D$29,MATCH($B3971,Config!$B$9:$B$29,0))="Contrato",IF(INDEX(Config!$E$9:$E$29,MATCH($B3971,Config!$B$9:$B$29,0))="","",INDEX(Config!$E$9:$E$29,MATCH($B3971,Config!$B$9:$B$29,0))),""),""))</f>
        <v/>
      </c>
      <c r="AI3971" s="19" t="str">
        <f>IF($B3971="","",IFERROR(INDEX(Config!$D$9:$D$29,MATCH($B3971,Config!$B$9:$B$29,0))&amp;"",""))</f>
        <v/>
      </c>
    </row>
    <row r="3972">
      <c r="X3972" s="20" t="str">
        <f>IF($B3972="","",IFERROR(IF(INDEX(Config!$D$9:$D$29,MATCH($B3972,Config!$B$9:$B$29,0))="Contrato",IF(INDEX(Config!$E$9:$E$29,MATCH($B3972,Config!$B$9:$B$29,0))="","",INDEX(Config!$E$9:$E$29,MATCH($B3972,Config!$B$9:$B$29,0))),""),""))</f>
        <v/>
      </c>
      <c r="AI3972" s="19" t="str">
        <f>IF($B3972="","",IFERROR(INDEX(Config!$D$9:$D$29,MATCH($B3972,Config!$B$9:$B$29,0))&amp;"",""))</f>
        <v/>
      </c>
    </row>
    <row r="3973">
      <c r="X3973" s="20" t="str">
        <f>IF($B3973="","",IFERROR(IF(INDEX(Config!$D$9:$D$29,MATCH($B3973,Config!$B$9:$B$29,0))="Contrato",IF(INDEX(Config!$E$9:$E$29,MATCH($B3973,Config!$B$9:$B$29,0))="","",INDEX(Config!$E$9:$E$29,MATCH($B3973,Config!$B$9:$B$29,0))),""),""))</f>
        <v/>
      </c>
      <c r="AI3973" s="19" t="str">
        <f>IF($B3973="","",IFERROR(INDEX(Config!$D$9:$D$29,MATCH($B3973,Config!$B$9:$B$29,0))&amp;"",""))</f>
        <v/>
      </c>
    </row>
    <row r="3974">
      <c r="X3974" s="20" t="str">
        <f>IF($B3974="","",IFERROR(IF(INDEX(Config!$D$9:$D$29,MATCH($B3974,Config!$B$9:$B$29,0))="Contrato",IF(INDEX(Config!$E$9:$E$29,MATCH($B3974,Config!$B$9:$B$29,0))="","",INDEX(Config!$E$9:$E$29,MATCH($B3974,Config!$B$9:$B$29,0))),""),""))</f>
        <v/>
      </c>
      <c r="AI3974" s="19" t="str">
        <f>IF($B3974="","",IFERROR(INDEX(Config!$D$9:$D$29,MATCH($B3974,Config!$B$9:$B$29,0))&amp;"",""))</f>
        <v/>
      </c>
    </row>
    <row r="3975">
      <c r="X3975" s="20" t="str">
        <f>IF($B3975="","",IFERROR(IF(INDEX(Config!$D$9:$D$29,MATCH($B3975,Config!$B$9:$B$29,0))="Contrato",IF(INDEX(Config!$E$9:$E$29,MATCH($B3975,Config!$B$9:$B$29,0))="","",INDEX(Config!$E$9:$E$29,MATCH($B3975,Config!$B$9:$B$29,0))),""),""))</f>
        <v/>
      </c>
      <c r="AI3975" s="19" t="str">
        <f>IF($B3975="","",IFERROR(INDEX(Config!$D$9:$D$29,MATCH($B3975,Config!$B$9:$B$29,0))&amp;"",""))</f>
        <v/>
      </c>
    </row>
    <row r="3976">
      <c r="X3976" s="20" t="str">
        <f>IF($B3976="","",IFERROR(IF(INDEX(Config!$D$9:$D$29,MATCH($B3976,Config!$B$9:$B$29,0))="Contrato",IF(INDEX(Config!$E$9:$E$29,MATCH($B3976,Config!$B$9:$B$29,0))="","",INDEX(Config!$E$9:$E$29,MATCH($B3976,Config!$B$9:$B$29,0))),""),""))</f>
        <v/>
      </c>
      <c r="AI3976" s="19" t="str">
        <f>IF($B3976="","",IFERROR(INDEX(Config!$D$9:$D$29,MATCH($B3976,Config!$B$9:$B$29,0))&amp;"",""))</f>
        <v/>
      </c>
    </row>
    <row r="3977">
      <c r="X3977" s="20" t="str">
        <f>IF($B3977="","",IFERROR(IF(INDEX(Config!$D$9:$D$29,MATCH($B3977,Config!$B$9:$B$29,0))="Contrato",IF(INDEX(Config!$E$9:$E$29,MATCH($B3977,Config!$B$9:$B$29,0))="","",INDEX(Config!$E$9:$E$29,MATCH($B3977,Config!$B$9:$B$29,0))),""),""))</f>
        <v/>
      </c>
      <c r="AI3977" s="19" t="str">
        <f>IF($B3977="","",IFERROR(INDEX(Config!$D$9:$D$29,MATCH($B3977,Config!$B$9:$B$29,0))&amp;"",""))</f>
        <v/>
      </c>
    </row>
    <row r="3978">
      <c r="X3978" s="20" t="str">
        <f>IF($B3978="","",IFERROR(IF(INDEX(Config!$D$9:$D$29,MATCH($B3978,Config!$B$9:$B$29,0))="Contrato",IF(INDEX(Config!$E$9:$E$29,MATCH($B3978,Config!$B$9:$B$29,0))="","",INDEX(Config!$E$9:$E$29,MATCH($B3978,Config!$B$9:$B$29,0))),""),""))</f>
        <v/>
      </c>
      <c r="AI3978" s="19" t="str">
        <f>IF($B3978="","",IFERROR(INDEX(Config!$D$9:$D$29,MATCH($B3978,Config!$B$9:$B$29,0))&amp;"",""))</f>
        <v/>
      </c>
    </row>
    <row r="3979">
      <c r="X3979" s="20" t="str">
        <f>IF($B3979="","",IFERROR(IF(INDEX(Config!$D$9:$D$29,MATCH($B3979,Config!$B$9:$B$29,0))="Contrato",IF(INDEX(Config!$E$9:$E$29,MATCH($B3979,Config!$B$9:$B$29,0))="","",INDEX(Config!$E$9:$E$29,MATCH($B3979,Config!$B$9:$B$29,0))),""),""))</f>
        <v/>
      </c>
      <c r="AI3979" s="19" t="str">
        <f>IF($B3979="","",IFERROR(INDEX(Config!$D$9:$D$29,MATCH($B3979,Config!$B$9:$B$29,0))&amp;"",""))</f>
        <v/>
      </c>
    </row>
    <row r="3980">
      <c r="X3980" s="20" t="str">
        <f>IF($B3980="","",IFERROR(IF(INDEX(Config!$D$9:$D$29,MATCH($B3980,Config!$B$9:$B$29,0))="Contrato",IF(INDEX(Config!$E$9:$E$29,MATCH($B3980,Config!$B$9:$B$29,0))="","",INDEX(Config!$E$9:$E$29,MATCH($B3980,Config!$B$9:$B$29,0))),""),""))</f>
        <v/>
      </c>
      <c r="AI3980" s="19" t="str">
        <f>IF($B3980="","",IFERROR(INDEX(Config!$D$9:$D$29,MATCH($B3980,Config!$B$9:$B$29,0))&amp;"",""))</f>
        <v/>
      </c>
    </row>
    <row r="3981">
      <c r="X3981" s="20" t="str">
        <f>IF($B3981="","",IFERROR(IF(INDEX(Config!$D$9:$D$29,MATCH($B3981,Config!$B$9:$B$29,0))="Contrato",IF(INDEX(Config!$E$9:$E$29,MATCH($B3981,Config!$B$9:$B$29,0))="","",INDEX(Config!$E$9:$E$29,MATCH($B3981,Config!$B$9:$B$29,0))),""),""))</f>
        <v/>
      </c>
      <c r="AI3981" s="19" t="str">
        <f>IF($B3981="","",IFERROR(INDEX(Config!$D$9:$D$29,MATCH($B3981,Config!$B$9:$B$29,0))&amp;"",""))</f>
        <v/>
      </c>
    </row>
    <row r="3982">
      <c r="X3982" s="20" t="str">
        <f>IF($B3982="","",IFERROR(IF(INDEX(Config!$D$9:$D$29,MATCH($B3982,Config!$B$9:$B$29,0))="Contrato",IF(INDEX(Config!$E$9:$E$29,MATCH($B3982,Config!$B$9:$B$29,0))="","",INDEX(Config!$E$9:$E$29,MATCH($B3982,Config!$B$9:$B$29,0))),""),""))</f>
        <v/>
      </c>
      <c r="AI3982" s="19" t="str">
        <f>IF($B3982="","",IFERROR(INDEX(Config!$D$9:$D$29,MATCH($B3982,Config!$B$9:$B$29,0))&amp;"",""))</f>
        <v/>
      </c>
    </row>
    <row r="3983">
      <c r="X3983" s="20" t="str">
        <f>IF($B3983="","",IFERROR(IF(INDEX(Config!$D$9:$D$29,MATCH($B3983,Config!$B$9:$B$29,0))="Contrato",IF(INDEX(Config!$E$9:$E$29,MATCH($B3983,Config!$B$9:$B$29,0))="","",INDEX(Config!$E$9:$E$29,MATCH($B3983,Config!$B$9:$B$29,0))),""),""))</f>
        <v/>
      </c>
      <c r="AI3983" s="19" t="str">
        <f>IF($B3983="","",IFERROR(INDEX(Config!$D$9:$D$29,MATCH($B3983,Config!$B$9:$B$29,0))&amp;"",""))</f>
        <v/>
      </c>
    </row>
    <row r="3984">
      <c r="X3984" s="20" t="str">
        <f>IF($B3984="","",IFERROR(IF(INDEX(Config!$D$9:$D$29,MATCH($B3984,Config!$B$9:$B$29,0))="Contrato",IF(INDEX(Config!$E$9:$E$29,MATCH($B3984,Config!$B$9:$B$29,0))="","",INDEX(Config!$E$9:$E$29,MATCH($B3984,Config!$B$9:$B$29,0))),""),""))</f>
        <v/>
      </c>
      <c r="AI3984" s="19" t="str">
        <f>IF($B3984="","",IFERROR(INDEX(Config!$D$9:$D$29,MATCH($B3984,Config!$B$9:$B$29,0))&amp;"",""))</f>
        <v/>
      </c>
    </row>
    <row r="3985">
      <c r="X3985" s="20" t="str">
        <f>IF($B3985="","",IFERROR(IF(INDEX(Config!$D$9:$D$29,MATCH($B3985,Config!$B$9:$B$29,0))="Contrato",IF(INDEX(Config!$E$9:$E$29,MATCH($B3985,Config!$B$9:$B$29,0))="","",INDEX(Config!$E$9:$E$29,MATCH($B3985,Config!$B$9:$B$29,0))),""),""))</f>
        <v/>
      </c>
      <c r="AI3985" s="19" t="str">
        <f>IF($B3985="","",IFERROR(INDEX(Config!$D$9:$D$29,MATCH($B3985,Config!$B$9:$B$29,0))&amp;"",""))</f>
        <v/>
      </c>
    </row>
    <row r="3986">
      <c r="X3986" s="20" t="str">
        <f>IF($B3986="","",IFERROR(IF(INDEX(Config!$D$9:$D$29,MATCH($B3986,Config!$B$9:$B$29,0))="Contrato",IF(INDEX(Config!$E$9:$E$29,MATCH($B3986,Config!$B$9:$B$29,0))="","",INDEX(Config!$E$9:$E$29,MATCH($B3986,Config!$B$9:$B$29,0))),""),""))</f>
        <v/>
      </c>
      <c r="AI3986" s="19" t="str">
        <f>IF($B3986="","",IFERROR(INDEX(Config!$D$9:$D$29,MATCH($B3986,Config!$B$9:$B$29,0))&amp;"",""))</f>
        <v/>
      </c>
    </row>
    <row r="3987">
      <c r="X3987" s="20" t="str">
        <f>IF($B3987="","",IFERROR(IF(INDEX(Config!$D$9:$D$29,MATCH($B3987,Config!$B$9:$B$29,0))="Contrato",IF(INDEX(Config!$E$9:$E$29,MATCH($B3987,Config!$B$9:$B$29,0))="","",INDEX(Config!$E$9:$E$29,MATCH($B3987,Config!$B$9:$B$29,0))),""),""))</f>
        <v/>
      </c>
      <c r="AI3987" s="19" t="str">
        <f>IF($B3987="","",IFERROR(INDEX(Config!$D$9:$D$29,MATCH($B3987,Config!$B$9:$B$29,0))&amp;"",""))</f>
        <v/>
      </c>
    </row>
    <row r="3988">
      <c r="X3988" s="20" t="str">
        <f>IF($B3988="","",IFERROR(IF(INDEX(Config!$D$9:$D$29,MATCH($B3988,Config!$B$9:$B$29,0))="Contrato",IF(INDEX(Config!$E$9:$E$29,MATCH($B3988,Config!$B$9:$B$29,0))="","",INDEX(Config!$E$9:$E$29,MATCH($B3988,Config!$B$9:$B$29,0))),""),""))</f>
        <v/>
      </c>
      <c r="AI3988" s="19" t="str">
        <f>IF($B3988="","",IFERROR(INDEX(Config!$D$9:$D$29,MATCH($B3988,Config!$B$9:$B$29,0))&amp;"",""))</f>
        <v/>
      </c>
    </row>
    <row r="3989">
      <c r="X3989" s="20" t="str">
        <f>IF($B3989="","",IFERROR(IF(INDEX(Config!$D$9:$D$29,MATCH($B3989,Config!$B$9:$B$29,0))="Contrato",IF(INDEX(Config!$E$9:$E$29,MATCH($B3989,Config!$B$9:$B$29,0))="","",INDEX(Config!$E$9:$E$29,MATCH($B3989,Config!$B$9:$B$29,0))),""),""))</f>
        <v/>
      </c>
      <c r="AI3989" s="19" t="str">
        <f>IF($B3989="","",IFERROR(INDEX(Config!$D$9:$D$29,MATCH($B3989,Config!$B$9:$B$29,0))&amp;"",""))</f>
        <v/>
      </c>
    </row>
    <row r="3990">
      <c r="X3990" s="20" t="str">
        <f>IF($B3990="","",IFERROR(IF(INDEX(Config!$D$9:$D$29,MATCH($B3990,Config!$B$9:$B$29,0))="Contrato",IF(INDEX(Config!$E$9:$E$29,MATCH($B3990,Config!$B$9:$B$29,0))="","",INDEX(Config!$E$9:$E$29,MATCH($B3990,Config!$B$9:$B$29,0))),""),""))</f>
        <v/>
      </c>
      <c r="AI3990" s="19" t="str">
        <f>IF($B3990="","",IFERROR(INDEX(Config!$D$9:$D$29,MATCH($B3990,Config!$B$9:$B$29,0))&amp;"",""))</f>
        <v/>
      </c>
    </row>
    <row r="3991">
      <c r="X3991" s="20" t="str">
        <f>IF($B3991="","",IFERROR(IF(INDEX(Config!$D$9:$D$29,MATCH($B3991,Config!$B$9:$B$29,0))="Contrato",IF(INDEX(Config!$E$9:$E$29,MATCH($B3991,Config!$B$9:$B$29,0))="","",INDEX(Config!$E$9:$E$29,MATCH($B3991,Config!$B$9:$B$29,0))),""),""))</f>
        <v/>
      </c>
      <c r="AI3991" s="19" t="str">
        <f>IF($B3991="","",IFERROR(INDEX(Config!$D$9:$D$29,MATCH($B3991,Config!$B$9:$B$29,0))&amp;"",""))</f>
        <v/>
      </c>
    </row>
    <row r="3992">
      <c r="X3992" s="20" t="str">
        <f>IF($B3992="","",IFERROR(IF(INDEX(Config!$D$9:$D$29,MATCH($B3992,Config!$B$9:$B$29,0))="Contrato",IF(INDEX(Config!$E$9:$E$29,MATCH($B3992,Config!$B$9:$B$29,0))="","",INDEX(Config!$E$9:$E$29,MATCH($B3992,Config!$B$9:$B$29,0))),""),""))</f>
        <v/>
      </c>
      <c r="AI3992" s="19" t="str">
        <f>IF($B3992="","",IFERROR(INDEX(Config!$D$9:$D$29,MATCH($B3992,Config!$B$9:$B$29,0))&amp;"",""))</f>
        <v/>
      </c>
    </row>
    <row r="3993">
      <c r="X3993" s="20" t="str">
        <f>IF($B3993="","",IFERROR(IF(INDEX(Config!$D$9:$D$29,MATCH($B3993,Config!$B$9:$B$29,0))="Contrato",IF(INDEX(Config!$E$9:$E$29,MATCH($B3993,Config!$B$9:$B$29,0))="","",INDEX(Config!$E$9:$E$29,MATCH($B3993,Config!$B$9:$B$29,0))),""),""))</f>
        <v/>
      </c>
      <c r="AI3993" s="19" t="str">
        <f>IF($B3993="","",IFERROR(INDEX(Config!$D$9:$D$29,MATCH($B3993,Config!$B$9:$B$29,0))&amp;"",""))</f>
        <v/>
      </c>
    </row>
    <row r="3994">
      <c r="X3994" s="20" t="str">
        <f>IF($B3994="","",IFERROR(IF(INDEX(Config!$D$9:$D$29,MATCH($B3994,Config!$B$9:$B$29,0))="Contrato",IF(INDEX(Config!$E$9:$E$29,MATCH($B3994,Config!$B$9:$B$29,0))="","",INDEX(Config!$E$9:$E$29,MATCH($B3994,Config!$B$9:$B$29,0))),""),""))</f>
        <v/>
      </c>
      <c r="AI3994" s="19" t="str">
        <f>IF($B3994="","",IFERROR(INDEX(Config!$D$9:$D$29,MATCH($B3994,Config!$B$9:$B$29,0))&amp;"",""))</f>
        <v/>
      </c>
    </row>
    <row r="3995">
      <c r="X3995" s="20" t="str">
        <f>IF($B3995="","",IFERROR(IF(INDEX(Config!$D$9:$D$29,MATCH($B3995,Config!$B$9:$B$29,0))="Contrato",IF(INDEX(Config!$E$9:$E$29,MATCH($B3995,Config!$B$9:$B$29,0))="","",INDEX(Config!$E$9:$E$29,MATCH($B3995,Config!$B$9:$B$29,0))),""),""))</f>
        <v/>
      </c>
      <c r="AI3995" s="19" t="str">
        <f>IF($B3995="","",IFERROR(INDEX(Config!$D$9:$D$29,MATCH($B3995,Config!$B$9:$B$29,0))&amp;"",""))</f>
        <v/>
      </c>
    </row>
    <row r="3996">
      <c r="X3996" s="20" t="str">
        <f>IF($B3996="","",IFERROR(IF(INDEX(Config!$D$9:$D$29,MATCH($B3996,Config!$B$9:$B$29,0))="Contrato",IF(INDEX(Config!$E$9:$E$29,MATCH($B3996,Config!$B$9:$B$29,0))="","",INDEX(Config!$E$9:$E$29,MATCH($B3996,Config!$B$9:$B$29,0))),""),""))</f>
        <v/>
      </c>
      <c r="AI3996" s="19" t="str">
        <f>IF($B3996="","",IFERROR(INDEX(Config!$D$9:$D$29,MATCH($B3996,Config!$B$9:$B$29,0))&amp;"",""))</f>
        <v/>
      </c>
    </row>
    <row r="3997">
      <c r="X3997" s="20" t="str">
        <f>IF($B3997="","",IFERROR(IF(INDEX(Config!$D$9:$D$29,MATCH($B3997,Config!$B$9:$B$29,0))="Contrato",IF(INDEX(Config!$E$9:$E$29,MATCH($B3997,Config!$B$9:$B$29,0))="","",INDEX(Config!$E$9:$E$29,MATCH($B3997,Config!$B$9:$B$29,0))),""),""))</f>
        <v/>
      </c>
      <c r="AI3997" s="19" t="str">
        <f>IF($B3997="","",IFERROR(INDEX(Config!$D$9:$D$29,MATCH($B3997,Config!$B$9:$B$29,0))&amp;"",""))</f>
        <v/>
      </c>
    </row>
    <row r="3998">
      <c r="X3998" s="20" t="str">
        <f>IF($B3998="","",IFERROR(IF(INDEX(Config!$D$9:$D$29,MATCH($B3998,Config!$B$9:$B$29,0))="Contrato",IF(INDEX(Config!$E$9:$E$29,MATCH($B3998,Config!$B$9:$B$29,0))="","",INDEX(Config!$E$9:$E$29,MATCH($B3998,Config!$B$9:$B$29,0))),""),""))</f>
        <v/>
      </c>
      <c r="AI3998" s="19" t="str">
        <f>IF($B3998="","",IFERROR(INDEX(Config!$D$9:$D$29,MATCH($B3998,Config!$B$9:$B$29,0))&amp;"",""))</f>
        <v/>
      </c>
    </row>
    <row r="3999">
      <c r="X3999" s="20" t="str">
        <f>IF($B3999="","",IFERROR(IF(INDEX(Config!$D$9:$D$29,MATCH($B3999,Config!$B$9:$B$29,0))="Contrato",IF(INDEX(Config!$E$9:$E$29,MATCH($B3999,Config!$B$9:$B$29,0))="","",INDEX(Config!$E$9:$E$29,MATCH($B3999,Config!$B$9:$B$29,0))),""),""))</f>
        <v/>
      </c>
      <c r="AI3999" s="19" t="str">
        <f>IF($B3999="","",IFERROR(INDEX(Config!$D$9:$D$29,MATCH($B3999,Config!$B$9:$B$29,0))&amp;"",""))</f>
        <v/>
      </c>
    </row>
    <row r="4000">
      <c r="X4000" s="20" t="str">
        <f>IF($B4000="","",IFERROR(IF(INDEX(Config!$D$9:$D$29,MATCH($B4000,Config!$B$9:$B$29,0))="Contrato",IF(INDEX(Config!$E$9:$E$29,MATCH($B4000,Config!$B$9:$B$29,0))="","",INDEX(Config!$E$9:$E$29,MATCH($B4000,Config!$B$9:$B$29,0))),""),""))</f>
        <v/>
      </c>
      <c r="AI4000" s="19" t="str">
        <f>IF($B4000="","",IFERROR(INDEX(Config!$D$9:$D$29,MATCH($B4000,Config!$B$9:$B$29,0))&amp;"",""))</f>
        <v/>
      </c>
    </row>
    <row r="4001">
      <c r="X4001" s="20" t="str">
        <f>IF($B4001="","",IFERROR(IF(INDEX(Config!$D$9:$D$29,MATCH($B4001,Config!$B$9:$B$29,0))="Contrato",IF(INDEX(Config!$E$9:$E$29,MATCH($B4001,Config!$B$9:$B$29,0))="","",INDEX(Config!$E$9:$E$29,MATCH($B4001,Config!$B$9:$B$29,0))),""),""))</f>
        <v/>
      </c>
      <c r="AI4001" s="19" t="str">
        <f>IF($B4001="","",IFERROR(INDEX(Config!$D$9:$D$29,MATCH($B4001,Config!$B$9:$B$29,0))&amp;"",""))</f>
        <v/>
      </c>
    </row>
    <row r="4002">
      <c r="X4002" s="20" t="str">
        <f>IF($B4002="","",IFERROR(IF(INDEX(Config!$D$9:$D$29,MATCH($B4002,Config!$B$9:$B$29,0))="Contrato",IF(INDEX(Config!$E$9:$E$29,MATCH($B4002,Config!$B$9:$B$29,0))="","",INDEX(Config!$E$9:$E$29,MATCH($B4002,Config!$B$9:$B$29,0))),""),""))</f>
        <v/>
      </c>
      <c r="AI4002" s="19" t="str">
        <f>IF($B4002="","",IFERROR(INDEX(Config!$D$9:$D$29,MATCH($B4002,Config!$B$9:$B$29,0))&amp;"",""))</f>
        <v/>
      </c>
    </row>
    <row r="4003">
      <c r="X4003" s="20" t="str">
        <f>IF($B4003="","",IFERROR(IF(INDEX(Config!$D$9:$D$29,MATCH($B4003,Config!$B$9:$B$29,0))="Contrato",IF(INDEX(Config!$E$9:$E$29,MATCH($B4003,Config!$B$9:$B$29,0))="","",INDEX(Config!$E$9:$E$29,MATCH($B4003,Config!$B$9:$B$29,0))),""),""))</f>
        <v/>
      </c>
      <c r="AI4003" s="19" t="str">
        <f>IF($B4003="","",IFERROR(INDEX(Config!$D$9:$D$29,MATCH($B4003,Config!$B$9:$B$29,0))&amp;"",""))</f>
        <v/>
      </c>
    </row>
    <row r="4004">
      <c r="X4004" s="20" t="str">
        <f>IF($B4004="","",IFERROR(IF(INDEX(Config!$D$9:$D$29,MATCH($B4004,Config!$B$9:$B$29,0))="Contrato",IF(INDEX(Config!$E$9:$E$29,MATCH($B4004,Config!$B$9:$B$29,0))="","",INDEX(Config!$E$9:$E$29,MATCH($B4004,Config!$B$9:$B$29,0))),""),""))</f>
        <v/>
      </c>
      <c r="AI4004" s="19" t="str">
        <f>IF($B4004="","",IFERROR(INDEX(Config!$D$9:$D$29,MATCH($B4004,Config!$B$9:$B$29,0))&amp;"",""))</f>
        <v/>
      </c>
    </row>
    <row r="4005">
      <c r="X4005" s="20" t="str">
        <f>IF($B4005="","",IFERROR(IF(INDEX(Config!$D$9:$D$29,MATCH($B4005,Config!$B$9:$B$29,0))="Contrato",IF(INDEX(Config!$E$9:$E$29,MATCH($B4005,Config!$B$9:$B$29,0))="","",INDEX(Config!$E$9:$E$29,MATCH($B4005,Config!$B$9:$B$29,0))),""),""))</f>
        <v/>
      </c>
      <c r="AI4005" s="19" t="str">
        <f>IF($B4005="","",IFERROR(INDEX(Config!$D$9:$D$29,MATCH($B4005,Config!$B$9:$B$29,0))&amp;"",""))</f>
        <v/>
      </c>
    </row>
    <row r="4006">
      <c r="X4006" s="20" t="str">
        <f>IF($B4006="","",IFERROR(IF(INDEX(Config!$D$9:$D$29,MATCH($B4006,Config!$B$9:$B$29,0))="Contrato",IF(INDEX(Config!$E$9:$E$29,MATCH($B4006,Config!$B$9:$B$29,0))="","",INDEX(Config!$E$9:$E$29,MATCH($B4006,Config!$B$9:$B$29,0))),""),""))</f>
        <v/>
      </c>
      <c r="AI4006" s="19" t="str">
        <f>IF($B4006="","",IFERROR(INDEX(Config!$D$9:$D$29,MATCH($B4006,Config!$B$9:$B$29,0))&amp;"",""))</f>
        <v/>
      </c>
    </row>
    <row r="4007">
      <c r="X4007" s="20" t="str">
        <f>IF($B4007="","",IFERROR(IF(INDEX(Config!$D$9:$D$29,MATCH($B4007,Config!$B$9:$B$29,0))="Contrato",IF(INDEX(Config!$E$9:$E$29,MATCH($B4007,Config!$B$9:$B$29,0))="","",INDEX(Config!$E$9:$E$29,MATCH($B4007,Config!$B$9:$B$29,0))),""),""))</f>
        <v/>
      </c>
      <c r="AI4007" s="19" t="str">
        <f>IF($B4007="","",IFERROR(INDEX(Config!$D$9:$D$29,MATCH($B4007,Config!$B$9:$B$29,0))&amp;"",""))</f>
        <v/>
      </c>
    </row>
    <row r="4008">
      <c r="X4008" s="20" t="str">
        <f>IF($B4008="","",IFERROR(IF(INDEX(Config!$D$9:$D$29,MATCH($B4008,Config!$B$9:$B$29,0))="Contrato",IF(INDEX(Config!$E$9:$E$29,MATCH($B4008,Config!$B$9:$B$29,0))="","",INDEX(Config!$E$9:$E$29,MATCH($B4008,Config!$B$9:$B$29,0))),""),""))</f>
        <v/>
      </c>
      <c r="AI4008" s="19" t="str">
        <f>IF($B4008="","",IFERROR(INDEX(Config!$D$9:$D$29,MATCH($B4008,Config!$B$9:$B$29,0))&amp;"",""))</f>
        <v/>
      </c>
    </row>
    <row r="4009">
      <c r="X4009" s="20" t="str">
        <f>IF($B4009="","",IFERROR(IF(INDEX(Config!$D$9:$D$29,MATCH($B4009,Config!$B$9:$B$29,0))="Contrato",IF(INDEX(Config!$E$9:$E$29,MATCH($B4009,Config!$B$9:$B$29,0))="","",INDEX(Config!$E$9:$E$29,MATCH($B4009,Config!$B$9:$B$29,0))),""),""))</f>
        <v/>
      </c>
      <c r="AI4009" s="19" t="str">
        <f>IF($B4009="","",IFERROR(INDEX(Config!$D$9:$D$29,MATCH($B4009,Config!$B$9:$B$29,0))&amp;"",""))</f>
        <v/>
      </c>
    </row>
    <row r="4010">
      <c r="X4010" s="20" t="str">
        <f>IF($B4010="","",IFERROR(IF(INDEX(Config!$D$9:$D$29,MATCH($B4010,Config!$B$9:$B$29,0))="Contrato",IF(INDEX(Config!$E$9:$E$29,MATCH($B4010,Config!$B$9:$B$29,0))="","",INDEX(Config!$E$9:$E$29,MATCH($B4010,Config!$B$9:$B$29,0))),""),""))</f>
        <v/>
      </c>
      <c r="AI4010" s="19" t="str">
        <f>IF($B4010="","",IFERROR(INDEX(Config!$D$9:$D$29,MATCH($B4010,Config!$B$9:$B$29,0))&amp;"",""))</f>
        <v/>
      </c>
    </row>
    <row r="4011">
      <c r="X4011" s="20" t="str">
        <f>IF($B4011="","",IFERROR(IF(INDEX(Config!$D$9:$D$29,MATCH($B4011,Config!$B$9:$B$29,0))="Contrato",IF(INDEX(Config!$E$9:$E$29,MATCH($B4011,Config!$B$9:$B$29,0))="","",INDEX(Config!$E$9:$E$29,MATCH($B4011,Config!$B$9:$B$29,0))),""),""))</f>
        <v/>
      </c>
      <c r="AI4011" s="19" t="str">
        <f>IF($B4011="","",IFERROR(INDEX(Config!$D$9:$D$29,MATCH($B4011,Config!$B$9:$B$29,0))&amp;"",""))</f>
        <v/>
      </c>
    </row>
    <row r="4012">
      <c r="X4012" s="20" t="str">
        <f>IF($B4012="","",IFERROR(IF(INDEX(Config!$D$9:$D$29,MATCH($B4012,Config!$B$9:$B$29,0))="Contrato",IF(INDEX(Config!$E$9:$E$29,MATCH($B4012,Config!$B$9:$B$29,0))="","",INDEX(Config!$E$9:$E$29,MATCH($B4012,Config!$B$9:$B$29,0))),""),""))</f>
        <v/>
      </c>
      <c r="AI4012" s="19" t="str">
        <f>IF($B4012="","",IFERROR(INDEX(Config!$D$9:$D$29,MATCH($B4012,Config!$B$9:$B$29,0))&amp;"",""))</f>
        <v/>
      </c>
    </row>
    <row r="4013">
      <c r="X4013" s="20" t="str">
        <f>IF($B4013="","",IFERROR(IF(INDEX(Config!$D$9:$D$29,MATCH($B4013,Config!$B$9:$B$29,0))="Contrato",IF(INDEX(Config!$E$9:$E$29,MATCH($B4013,Config!$B$9:$B$29,0))="","",INDEX(Config!$E$9:$E$29,MATCH($B4013,Config!$B$9:$B$29,0))),""),""))</f>
        <v/>
      </c>
      <c r="AI4013" s="19" t="str">
        <f>IF($B4013="","",IFERROR(INDEX(Config!$D$9:$D$29,MATCH($B4013,Config!$B$9:$B$29,0))&amp;"",""))</f>
        <v/>
      </c>
    </row>
    <row r="4014">
      <c r="X4014" s="20" t="str">
        <f>IF($B4014="","",IFERROR(IF(INDEX(Config!$D$9:$D$29,MATCH($B4014,Config!$B$9:$B$29,0))="Contrato",IF(INDEX(Config!$E$9:$E$29,MATCH($B4014,Config!$B$9:$B$29,0))="","",INDEX(Config!$E$9:$E$29,MATCH($B4014,Config!$B$9:$B$29,0))),""),""))</f>
        <v/>
      </c>
      <c r="AI4014" s="19" t="str">
        <f>IF($B4014="","",IFERROR(INDEX(Config!$D$9:$D$29,MATCH($B4014,Config!$B$9:$B$29,0))&amp;"",""))</f>
        <v/>
      </c>
    </row>
    <row r="4015">
      <c r="X4015" s="20" t="str">
        <f>IF($B4015="","",IFERROR(IF(INDEX(Config!$D$9:$D$29,MATCH($B4015,Config!$B$9:$B$29,0))="Contrato",IF(INDEX(Config!$E$9:$E$29,MATCH($B4015,Config!$B$9:$B$29,0))="","",INDEX(Config!$E$9:$E$29,MATCH($B4015,Config!$B$9:$B$29,0))),""),""))</f>
        <v/>
      </c>
      <c r="AI4015" s="19" t="str">
        <f>IF($B4015="","",IFERROR(INDEX(Config!$D$9:$D$29,MATCH($B4015,Config!$B$9:$B$29,0))&amp;"",""))</f>
        <v/>
      </c>
    </row>
    <row r="4016">
      <c r="X4016" s="20" t="str">
        <f>IF($B4016="","",IFERROR(IF(INDEX(Config!$D$9:$D$29,MATCH($B4016,Config!$B$9:$B$29,0))="Contrato",IF(INDEX(Config!$E$9:$E$29,MATCH($B4016,Config!$B$9:$B$29,0))="","",INDEX(Config!$E$9:$E$29,MATCH($B4016,Config!$B$9:$B$29,0))),""),""))</f>
        <v/>
      </c>
      <c r="AI4016" s="19" t="str">
        <f>IF($B4016="","",IFERROR(INDEX(Config!$D$9:$D$29,MATCH($B4016,Config!$B$9:$B$29,0))&amp;"",""))</f>
        <v/>
      </c>
    </row>
    <row r="4017">
      <c r="X4017" s="20" t="str">
        <f>IF($B4017="","",IFERROR(IF(INDEX(Config!$D$9:$D$29,MATCH($B4017,Config!$B$9:$B$29,0))="Contrato",IF(INDEX(Config!$E$9:$E$29,MATCH($B4017,Config!$B$9:$B$29,0))="","",INDEX(Config!$E$9:$E$29,MATCH($B4017,Config!$B$9:$B$29,0))),""),""))</f>
        <v/>
      </c>
      <c r="AI4017" s="19" t="str">
        <f>IF($B4017="","",IFERROR(INDEX(Config!$D$9:$D$29,MATCH($B4017,Config!$B$9:$B$29,0))&amp;"",""))</f>
        <v/>
      </c>
    </row>
    <row r="4018">
      <c r="X4018" s="20" t="str">
        <f>IF($B4018="","",IFERROR(IF(INDEX(Config!$D$9:$D$29,MATCH($B4018,Config!$B$9:$B$29,0))="Contrato",IF(INDEX(Config!$E$9:$E$29,MATCH($B4018,Config!$B$9:$B$29,0))="","",INDEX(Config!$E$9:$E$29,MATCH($B4018,Config!$B$9:$B$29,0))),""),""))</f>
        <v/>
      </c>
      <c r="AI4018" s="19" t="str">
        <f>IF($B4018="","",IFERROR(INDEX(Config!$D$9:$D$29,MATCH($B4018,Config!$B$9:$B$29,0))&amp;"",""))</f>
        <v/>
      </c>
    </row>
    <row r="4019">
      <c r="X4019" s="20" t="str">
        <f>IF($B4019="","",IFERROR(IF(INDEX(Config!$D$9:$D$29,MATCH($B4019,Config!$B$9:$B$29,0))="Contrato",IF(INDEX(Config!$E$9:$E$29,MATCH($B4019,Config!$B$9:$B$29,0))="","",INDEX(Config!$E$9:$E$29,MATCH($B4019,Config!$B$9:$B$29,0))),""),""))</f>
        <v/>
      </c>
      <c r="AI4019" s="19" t="str">
        <f>IF($B4019="","",IFERROR(INDEX(Config!$D$9:$D$29,MATCH($B4019,Config!$B$9:$B$29,0))&amp;"",""))</f>
        <v/>
      </c>
    </row>
    <row r="4020">
      <c r="X4020" s="20" t="str">
        <f>IF($B4020="","",IFERROR(IF(INDEX(Config!$D$9:$D$29,MATCH($B4020,Config!$B$9:$B$29,0))="Contrato",IF(INDEX(Config!$E$9:$E$29,MATCH($B4020,Config!$B$9:$B$29,0))="","",INDEX(Config!$E$9:$E$29,MATCH($B4020,Config!$B$9:$B$29,0))),""),""))</f>
        <v/>
      </c>
      <c r="AI4020" s="19" t="str">
        <f>IF($B4020="","",IFERROR(INDEX(Config!$D$9:$D$29,MATCH($B4020,Config!$B$9:$B$29,0))&amp;"",""))</f>
        <v/>
      </c>
    </row>
    <row r="4021">
      <c r="X4021" s="20" t="str">
        <f>IF($B4021="","",IFERROR(IF(INDEX(Config!$D$9:$D$29,MATCH($B4021,Config!$B$9:$B$29,0))="Contrato",IF(INDEX(Config!$E$9:$E$29,MATCH($B4021,Config!$B$9:$B$29,0))="","",INDEX(Config!$E$9:$E$29,MATCH($B4021,Config!$B$9:$B$29,0))),""),""))</f>
        <v/>
      </c>
      <c r="AI4021" s="19" t="str">
        <f>IF($B4021="","",IFERROR(INDEX(Config!$D$9:$D$29,MATCH($B4021,Config!$B$9:$B$29,0))&amp;"",""))</f>
        <v/>
      </c>
    </row>
    <row r="4022">
      <c r="X4022" s="20" t="str">
        <f>IF($B4022="","",IFERROR(IF(INDEX(Config!$D$9:$D$29,MATCH($B4022,Config!$B$9:$B$29,0))="Contrato",IF(INDEX(Config!$E$9:$E$29,MATCH($B4022,Config!$B$9:$B$29,0))="","",INDEX(Config!$E$9:$E$29,MATCH($B4022,Config!$B$9:$B$29,0))),""),""))</f>
        <v/>
      </c>
      <c r="AI4022" s="19" t="str">
        <f>IF($B4022="","",IFERROR(INDEX(Config!$D$9:$D$29,MATCH($B4022,Config!$B$9:$B$29,0))&amp;"",""))</f>
        <v/>
      </c>
    </row>
    <row r="4023">
      <c r="X4023" s="20" t="str">
        <f>IF($B4023="","",IFERROR(IF(INDEX(Config!$D$9:$D$29,MATCH($B4023,Config!$B$9:$B$29,0))="Contrato",IF(INDEX(Config!$E$9:$E$29,MATCH($B4023,Config!$B$9:$B$29,0))="","",INDEX(Config!$E$9:$E$29,MATCH($B4023,Config!$B$9:$B$29,0))),""),""))</f>
        <v/>
      </c>
      <c r="AI4023" s="19" t="str">
        <f>IF($B4023="","",IFERROR(INDEX(Config!$D$9:$D$29,MATCH($B4023,Config!$B$9:$B$29,0))&amp;"",""))</f>
        <v/>
      </c>
    </row>
    <row r="4024">
      <c r="X4024" s="20" t="str">
        <f>IF($B4024="","",IFERROR(IF(INDEX(Config!$D$9:$D$29,MATCH($B4024,Config!$B$9:$B$29,0))="Contrato",IF(INDEX(Config!$E$9:$E$29,MATCH($B4024,Config!$B$9:$B$29,0))="","",INDEX(Config!$E$9:$E$29,MATCH($B4024,Config!$B$9:$B$29,0))),""),""))</f>
        <v/>
      </c>
      <c r="AI4024" s="19" t="str">
        <f>IF($B4024="","",IFERROR(INDEX(Config!$D$9:$D$29,MATCH($B4024,Config!$B$9:$B$29,0))&amp;"",""))</f>
        <v/>
      </c>
    </row>
    <row r="4025">
      <c r="X4025" s="20" t="str">
        <f>IF($B4025="","",IFERROR(IF(INDEX(Config!$D$9:$D$29,MATCH($B4025,Config!$B$9:$B$29,0))="Contrato",IF(INDEX(Config!$E$9:$E$29,MATCH($B4025,Config!$B$9:$B$29,0))="","",INDEX(Config!$E$9:$E$29,MATCH($B4025,Config!$B$9:$B$29,0))),""),""))</f>
        <v/>
      </c>
      <c r="AI4025" s="19" t="str">
        <f>IF($B4025="","",IFERROR(INDEX(Config!$D$9:$D$29,MATCH($B4025,Config!$B$9:$B$29,0))&amp;"",""))</f>
        <v/>
      </c>
    </row>
    <row r="4026">
      <c r="X4026" s="20" t="str">
        <f>IF($B4026="","",IFERROR(IF(INDEX(Config!$D$9:$D$29,MATCH($B4026,Config!$B$9:$B$29,0))="Contrato",IF(INDEX(Config!$E$9:$E$29,MATCH($B4026,Config!$B$9:$B$29,0))="","",INDEX(Config!$E$9:$E$29,MATCH($B4026,Config!$B$9:$B$29,0))),""),""))</f>
        <v/>
      </c>
      <c r="AI4026" s="19" t="str">
        <f>IF($B4026="","",IFERROR(INDEX(Config!$D$9:$D$29,MATCH($B4026,Config!$B$9:$B$29,0))&amp;"",""))</f>
        <v/>
      </c>
    </row>
    <row r="4027">
      <c r="X4027" s="20" t="str">
        <f>IF($B4027="","",IFERROR(IF(INDEX(Config!$D$9:$D$29,MATCH($B4027,Config!$B$9:$B$29,0))="Contrato",IF(INDEX(Config!$E$9:$E$29,MATCH($B4027,Config!$B$9:$B$29,0))="","",INDEX(Config!$E$9:$E$29,MATCH($B4027,Config!$B$9:$B$29,0))),""),""))</f>
        <v/>
      </c>
      <c r="AI4027" s="19" t="str">
        <f>IF($B4027="","",IFERROR(INDEX(Config!$D$9:$D$29,MATCH($B4027,Config!$B$9:$B$29,0))&amp;"",""))</f>
        <v/>
      </c>
    </row>
    <row r="4028">
      <c r="X4028" s="20" t="str">
        <f>IF($B4028="","",IFERROR(IF(INDEX(Config!$D$9:$D$29,MATCH($B4028,Config!$B$9:$B$29,0))="Contrato",IF(INDEX(Config!$E$9:$E$29,MATCH($B4028,Config!$B$9:$B$29,0))="","",INDEX(Config!$E$9:$E$29,MATCH($B4028,Config!$B$9:$B$29,0))),""),""))</f>
        <v/>
      </c>
      <c r="AI4028" s="19" t="str">
        <f>IF($B4028="","",IFERROR(INDEX(Config!$D$9:$D$29,MATCH($B4028,Config!$B$9:$B$29,0))&amp;"",""))</f>
        <v/>
      </c>
    </row>
    <row r="4029">
      <c r="X4029" s="20" t="str">
        <f>IF($B4029="","",IFERROR(IF(INDEX(Config!$D$9:$D$29,MATCH($B4029,Config!$B$9:$B$29,0))="Contrato",IF(INDEX(Config!$E$9:$E$29,MATCH($B4029,Config!$B$9:$B$29,0))="","",INDEX(Config!$E$9:$E$29,MATCH($B4029,Config!$B$9:$B$29,0))),""),""))</f>
        <v/>
      </c>
      <c r="AI4029" s="19" t="str">
        <f>IF($B4029="","",IFERROR(INDEX(Config!$D$9:$D$29,MATCH($B4029,Config!$B$9:$B$29,0))&amp;"",""))</f>
        <v/>
      </c>
    </row>
    <row r="4030">
      <c r="X4030" s="20" t="str">
        <f>IF($B4030="","",IFERROR(IF(INDEX(Config!$D$9:$D$29,MATCH($B4030,Config!$B$9:$B$29,0))="Contrato",IF(INDEX(Config!$E$9:$E$29,MATCH($B4030,Config!$B$9:$B$29,0))="","",INDEX(Config!$E$9:$E$29,MATCH($B4030,Config!$B$9:$B$29,0))),""),""))</f>
        <v/>
      </c>
      <c r="AI4030" s="19" t="str">
        <f>IF($B4030="","",IFERROR(INDEX(Config!$D$9:$D$29,MATCH($B4030,Config!$B$9:$B$29,0))&amp;"",""))</f>
        <v/>
      </c>
    </row>
    <row r="4031">
      <c r="X4031" s="20" t="str">
        <f>IF($B4031="","",IFERROR(IF(INDEX(Config!$D$9:$D$29,MATCH($B4031,Config!$B$9:$B$29,0))="Contrato",IF(INDEX(Config!$E$9:$E$29,MATCH($B4031,Config!$B$9:$B$29,0))="","",INDEX(Config!$E$9:$E$29,MATCH($B4031,Config!$B$9:$B$29,0))),""),""))</f>
        <v/>
      </c>
      <c r="AI4031" s="19" t="str">
        <f>IF($B4031="","",IFERROR(INDEX(Config!$D$9:$D$29,MATCH($B4031,Config!$B$9:$B$29,0))&amp;"",""))</f>
        <v/>
      </c>
    </row>
    <row r="4032">
      <c r="X4032" s="20" t="str">
        <f>IF($B4032="","",IFERROR(IF(INDEX(Config!$D$9:$D$29,MATCH($B4032,Config!$B$9:$B$29,0))="Contrato",IF(INDEX(Config!$E$9:$E$29,MATCH($B4032,Config!$B$9:$B$29,0))="","",INDEX(Config!$E$9:$E$29,MATCH($B4032,Config!$B$9:$B$29,0))),""),""))</f>
        <v/>
      </c>
      <c r="AI4032" s="19" t="str">
        <f>IF($B4032="","",IFERROR(INDEX(Config!$D$9:$D$29,MATCH($B4032,Config!$B$9:$B$29,0))&amp;"",""))</f>
        <v/>
      </c>
    </row>
    <row r="4033">
      <c r="X4033" s="20" t="str">
        <f>IF($B4033="","",IFERROR(IF(INDEX(Config!$D$9:$D$29,MATCH($B4033,Config!$B$9:$B$29,0))="Contrato",IF(INDEX(Config!$E$9:$E$29,MATCH($B4033,Config!$B$9:$B$29,0))="","",INDEX(Config!$E$9:$E$29,MATCH($B4033,Config!$B$9:$B$29,0))),""),""))</f>
        <v/>
      </c>
      <c r="AI4033" s="19" t="str">
        <f>IF($B4033="","",IFERROR(INDEX(Config!$D$9:$D$29,MATCH($B4033,Config!$B$9:$B$29,0))&amp;"",""))</f>
        <v/>
      </c>
    </row>
    <row r="4034">
      <c r="X4034" s="20" t="str">
        <f>IF($B4034="","",IFERROR(IF(INDEX(Config!$D$9:$D$29,MATCH($B4034,Config!$B$9:$B$29,0))="Contrato",IF(INDEX(Config!$E$9:$E$29,MATCH($B4034,Config!$B$9:$B$29,0))="","",INDEX(Config!$E$9:$E$29,MATCH($B4034,Config!$B$9:$B$29,0))),""),""))</f>
        <v/>
      </c>
      <c r="AI4034" s="19" t="str">
        <f>IF($B4034="","",IFERROR(INDEX(Config!$D$9:$D$29,MATCH($B4034,Config!$B$9:$B$29,0))&amp;"",""))</f>
        <v/>
      </c>
    </row>
    <row r="4035">
      <c r="X4035" s="20" t="str">
        <f>IF($B4035="","",IFERROR(IF(INDEX(Config!$D$9:$D$29,MATCH($B4035,Config!$B$9:$B$29,0))="Contrato",IF(INDEX(Config!$E$9:$E$29,MATCH($B4035,Config!$B$9:$B$29,0))="","",INDEX(Config!$E$9:$E$29,MATCH($B4035,Config!$B$9:$B$29,0))),""),""))</f>
        <v/>
      </c>
      <c r="AI4035" s="19" t="str">
        <f>IF($B4035="","",IFERROR(INDEX(Config!$D$9:$D$29,MATCH($B4035,Config!$B$9:$B$29,0))&amp;"",""))</f>
        <v/>
      </c>
    </row>
    <row r="4036">
      <c r="X4036" s="20" t="str">
        <f>IF($B4036="","",IFERROR(IF(INDEX(Config!$D$9:$D$29,MATCH($B4036,Config!$B$9:$B$29,0))="Contrato",IF(INDEX(Config!$E$9:$E$29,MATCH($B4036,Config!$B$9:$B$29,0))="","",INDEX(Config!$E$9:$E$29,MATCH($B4036,Config!$B$9:$B$29,0))),""),""))</f>
        <v/>
      </c>
      <c r="AI4036" s="19" t="str">
        <f>IF($B4036="","",IFERROR(INDEX(Config!$D$9:$D$29,MATCH($B4036,Config!$B$9:$B$29,0))&amp;"",""))</f>
        <v/>
      </c>
    </row>
    <row r="4037">
      <c r="X4037" s="20" t="str">
        <f>IF($B4037="","",IFERROR(IF(INDEX(Config!$D$9:$D$29,MATCH($B4037,Config!$B$9:$B$29,0))="Contrato",IF(INDEX(Config!$E$9:$E$29,MATCH($B4037,Config!$B$9:$B$29,0))="","",INDEX(Config!$E$9:$E$29,MATCH($B4037,Config!$B$9:$B$29,0))),""),""))</f>
        <v/>
      </c>
      <c r="AI4037" s="19" t="str">
        <f>IF($B4037="","",IFERROR(INDEX(Config!$D$9:$D$29,MATCH($B4037,Config!$B$9:$B$29,0))&amp;"",""))</f>
        <v/>
      </c>
    </row>
    <row r="4038">
      <c r="X4038" s="20" t="str">
        <f>IF($B4038="","",IFERROR(IF(INDEX(Config!$D$9:$D$29,MATCH($B4038,Config!$B$9:$B$29,0))="Contrato",IF(INDEX(Config!$E$9:$E$29,MATCH($B4038,Config!$B$9:$B$29,0))="","",INDEX(Config!$E$9:$E$29,MATCH($B4038,Config!$B$9:$B$29,0))),""),""))</f>
        <v/>
      </c>
      <c r="AI4038" s="19" t="str">
        <f>IF($B4038="","",IFERROR(INDEX(Config!$D$9:$D$29,MATCH($B4038,Config!$B$9:$B$29,0))&amp;"",""))</f>
        <v/>
      </c>
    </row>
    <row r="4039">
      <c r="X4039" s="20" t="str">
        <f>IF($B4039="","",IFERROR(IF(INDEX(Config!$D$9:$D$29,MATCH($B4039,Config!$B$9:$B$29,0))="Contrato",IF(INDEX(Config!$E$9:$E$29,MATCH($B4039,Config!$B$9:$B$29,0))="","",INDEX(Config!$E$9:$E$29,MATCH($B4039,Config!$B$9:$B$29,0))),""),""))</f>
        <v/>
      </c>
      <c r="AI4039" s="19" t="str">
        <f>IF($B4039="","",IFERROR(INDEX(Config!$D$9:$D$29,MATCH($B4039,Config!$B$9:$B$29,0))&amp;"",""))</f>
        <v/>
      </c>
    </row>
    <row r="4040">
      <c r="X4040" s="20" t="str">
        <f>IF($B4040="","",IFERROR(IF(INDEX(Config!$D$9:$D$29,MATCH($B4040,Config!$B$9:$B$29,0))="Contrato",IF(INDEX(Config!$E$9:$E$29,MATCH($B4040,Config!$B$9:$B$29,0))="","",INDEX(Config!$E$9:$E$29,MATCH($B4040,Config!$B$9:$B$29,0))),""),""))</f>
        <v/>
      </c>
      <c r="AI4040" s="19" t="str">
        <f>IF($B4040="","",IFERROR(INDEX(Config!$D$9:$D$29,MATCH($B4040,Config!$B$9:$B$29,0))&amp;"",""))</f>
        <v/>
      </c>
    </row>
    <row r="4041">
      <c r="X4041" s="20" t="str">
        <f>IF($B4041="","",IFERROR(IF(INDEX(Config!$D$9:$D$29,MATCH($B4041,Config!$B$9:$B$29,0))="Contrato",IF(INDEX(Config!$E$9:$E$29,MATCH($B4041,Config!$B$9:$B$29,0))="","",INDEX(Config!$E$9:$E$29,MATCH($B4041,Config!$B$9:$B$29,0))),""),""))</f>
        <v/>
      </c>
      <c r="AI4041" s="19" t="str">
        <f>IF($B4041="","",IFERROR(INDEX(Config!$D$9:$D$29,MATCH($B4041,Config!$B$9:$B$29,0))&amp;"",""))</f>
        <v/>
      </c>
    </row>
    <row r="4042">
      <c r="X4042" s="20" t="str">
        <f>IF($B4042="","",IFERROR(IF(INDEX(Config!$D$9:$D$29,MATCH($B4042,Config!$B$9:$B$29,0))="Contrato",IF(INDEX(Config!$E$9:$E$29,MATCH($B4042,Config!$B$9:$B$29,0))="","",INDEX(Config!$E$9:$E$29,MATCH($B4042,Config!$B$9:$B$29,0))),""),""))</f>
        <v/>
      </c>
      <c r="AI4042" s="19" t="str">
        <f>IF($B4042="","",IFERROR(INDEX(Config!$D$9:$D$29,MATCH($B4042,Config!$B$9:$B$29,0))&amp;"",""))</f>
        <v/>
      </c>
    </row>
    <row r="4043">
      <c r="X4043" s="20" t="str">
        <f>IF($B4043="","",IFERROR(IF(INDEX(Config!$D$9:$D$29,MATCH($B4043,Config!$B$9:$B$29,0))="Contrato",IF(INDEX(Config!$E$9:$E$29,MATCH($B4043,Config!$B$9:$B$29,0))="","",INDEX(Config!$E$9:$E$29,MATCH($B4043,Config!$B$9:$B$29,0))),""),""))</f>
        <v/>
      </c>
      <c r="AI4043" s="19" t="str">
        <f>IF($B4043="","",IFERROR(INDEX(Config!$D$9:$D$29,MATCH($B4043,Config!$B$9:$B$29,0))&amp;"",""))</f>
        <v/>
      </c>
    </row>
    <row r="4044">
      <c r="X4044" s="20" t="str">
        <f>IF($B4044="","",IFERROR(IF(INDEX(Config!$D$9:$D$29,MATCH($B4044,Config!$B$9:$B$29,0))="Contrato",IF(INDEX(Config!$E$9:$E$29,MATCH($B4044,Config!$B$9:$B$29,0))="","",INDEX(Config!$E$9:$E$29,MATCH($B4044,Config!$B$9:$B$29,0))),""),""))</f>
        <v/>
      </c>
      <c r="AI4044" s="19" t="str">
        <f>IF($B4044="","",IFERROR(INDEX(Config!$D$9:$D$29,MATCH($B4044,Config!$B$9:$B$29,0))&amp;"",""))</f>
        <v/>
      </c>
    </row>
    <row r="4045">
      <c r="X4045" s="20" t="str">
        <f>IF($B4045="","",IFERROR(IF(INDEX(Config!$D$9:$D$29,MATCH($B4045,Config!$B$9:$B$29,0))="Contrato",IF(INDEX(Config!$E$9:$E$29,MATCH($B4045,Config!$B$9:$B$29,0))="","",INDEX(Config!$E$9:$E$29,MATCH($B4045,Config!$B$9:$B$29,0))),""),""))</f>
        <v/>
      </c>
      <c r="AI4045" s="19" t="str">
        <f>IF($B4045="","",IFERROR(INDEX(Config!$D$9:$D$29,MATCH($B4045,Config!$B$9:$B$29,0))&amp;"",""))</f>
        <v/>
      </c>
    </row>
    <row r="4046">
      <c r="X4046" s="20" t="str">
        <f>IF($B4046="","",IFERROR(IF(INDEX(Config!$D$9:$D$29,MATCH($B4046,Config!$B$9:$B$29,0))="Contrato",IF(INDEX(Config!$E$9:$E$29,MATCH($B4046,Config!$B$9:$B$29,0))="","",INDEX(Config!$E$9:$E$29,MATCH($B4046,Config!$B$9:$B$29,0))),""),""))</f>
        <v/>
      </c>
      <c r="AI4046" s="19" t="str">
        <f>IF($B4046="","",IFERROR(INDEX(Config!$D$9:$D$29,MATCH($B4046,Config!$B$9:$B$29,0))&amp;"",""))</f>
        <v/>
      </c>
    </row>
    <row r="4047">
      <c r="X4047" s="20" t="str">
        <f>IF($B4047="","",IFERROR(IF(INDEX(Config!$D$9:$D$29,MATCH($B4047,Config!$B$9:$B$29,0))="Contrato",IF(INDEX(Config!$E$9:$E$29,MATCH($B4047,Config!$B$9:$B$29,0))="","",INDEX(Config!$E$9:$E$29,MATCH($B4047,Config!$B$9:$B$29,0))),""),""))</f>
        <v/>
      </c>
      <c r="AI4047" s="19" t="str">
        <f>IF($B4047="","",IFERROR(INDEX(Config!$D$9:$D$29,MATCH($B4047,Config!$B$9:$B$29,0))&amp;"",""))</f>
        <v/>
      </c>
    </row>
    <row r="4048">
      <c r="X4048" s="20" t="str">
        <f>IF($B4048="","",IFERROR(IF(INDEX(Config!$D$9:$D$29,MATCH($B4048,Config!$B$9:$B$29,0))="Contrato",IF(INDEX(Config!$E$9:$E$29,MATCH($B4048,Config!$B$9:$B$29,0))="","",INDEX(Config!$E$9:$E$29,MATCH($B4048,Config!$B$9:$B$29,0))),""),""))</f>
        <v/>
      </c>
      <c r="AI4048" s="19" t="str">
        <f>IF($B4048="","",IFERROR(INDEX(Config!$D$9:$D$29,MATCH($B4048,Config!$B$9:$B$29,0))&amp;"",""))</f>
        <v/>
      </c>
    </row>
    <row r="4049">
      <c r="X4049" s="20" t="str">
        <f>IF($B4049="","",IFERROR(IF(INDEX(Config!$D$9:$D$29,MATCH($B4049,Config!$B$9:$B$29,0))="Contrato",IF(INDEX(Config!$E$9:$E$29,MATCH($B4049,Config!$B$9:$B$29,0))="","",INDEX(Config!$E$9:$E$29,MATCH($B4049,Config!$B$9:$B$29,0))),""),""))</f>
        <v/>
      </c>
      <c r="AI4049" s="19" t="str">
        <f>IF($B4049="","",IFERROR(INDEX(Config!$D$9:$D$29,MATCH($B4049,Config!$B$9:$B$29,0))&amp;"",""))</f>
        <v/>
      </c>
    </row>
    <row r="4050">
      <c r="X4050" s="20" t="str">
        <f>IF($B4050="","",IFERROR(IF(INDEX(Config!$D$9:$D$29,MATCH($B4050,Config!$B$9:$B$29,0))="Contrato",IF(INDEX(Config!$E$9:$E$29,MATCH($B4050,Config!$B$9:$B$29,0))="","",INDEX(Config!$E$9:$E$29,MATCH($B4050,Config!$B$9:$B$29,0))),""),""))</f>
        <v/>
      </c>
      <c r="AI4050" s="19" t="str">
        <f>IF($B4050="","",IFERROR(INDEX(Config!$D$9:$D$29,MATCH($B4050,Config!$B$9:$B$29,0))&amp;"",""))</f>
        <v/>
      </c>
    </row>
    <row r="4051">
      <c r="X4051" s="20" t="str">
        <f>IF($B4051="","",IFERROR(IF(INDEX(Config!$D$9:$D$29,MATCH($B4051,Config!$B$9:$B$29,0))="Contrato",IF(INDEX(Config!$E$9:$E$29,MATCH($B4051,Config!$B$9:$B$29,0))="","",INDEX(Config!$E$9:$E$29,MATCH($B4051,Config!$B$9:$B$29,0))),""),""))</f>
        <v/>
      </c>
      <c r="AI4051" s="19" t="str">
        <f>IF($B4051="","",IFERROR(INDEX(Config!$D$9:$D$29,MATCH($B4051,Config!$B$9:$B$29,0))&amp;"",""))</f>
        <v/>
      </c>
    </row>
    <row r="4052">
      <c r="X4052" s="20" t="str">
        <f>IF($B4052="","",IFERROR(IF(INDEX(Config!$D$9:$D$29,MATCH($B4052,Config!$B$9:$B$29,0))="Contrato",IF(INDEX(Config!$E$9:$E$29,MATCH($B4052,Config!$B$9:$B$29,0))="","",INDEX(Config!$E$9:$E$29,MATCH($B4052,Config!$B$9:$B$29,0))),""),""))</f>
        <v/>
      </c>
      <c r="AI4052" s="19" t="str">
        <f>IF($B4052="","",IFERROR(INDEX(Config!$D$9:$D$29,MATCH($B4052,Config!$B$9:$B$29,0))&amp;"",""))</f>
        <v/>
      </c>
    </row>
    <row r="4053">
      <c r="X4053" s="20" t="str">
        <f>IF($B4053="","",IFERROR(IF(INDEX(Config!$D$9:$D$29,MATCH($B4053,Config!$B$9:$B$29,0))="Contrato",IF(INDEX(Config!$E$9:$E$29,MATCH($B4053,Config!$B$9:$B$29,0))="","",INDEX(Config!$E$9:$E$29,MATCH($B4053,Config!$B$9:$B$29,0))),""),""))</f>
        <v/>
      </c>
      <c r="AI4053" s="19" t="str">
        <f>IF($B4053="","",IFERROR(INDEX(Config!$D$9:$D$29,MATCH($B4053,Config!$B$9:$B$29,0))&amp;"",""))</f>
        <v/>
      </c>
    </row>
    <row r="4054">
      <c r="X4054" s="20" t="str">
        <f>IF($B4054="","",IFERROR(IF(INDEX(Config!$D$9:$D$29,MATCH($B4054,Config!$B$9:$B$29,0))="Contrato",IF(INDEX(Config!$E$9:$E$29,MATCH($B4054,Config!$B$9:$B$29,0))="","",INDEX(Config!$E$9:$E$29,MATCH($B4054,Config!$B$9:$B$29,0))),""),""))</f>
        <v/>
      </c>
      <c r="AI4054" s="19" t="str">
        <f>IF($B4054="","",IFERROR(INDEX(Config!$D$9:$D$29,MATCH($B4054,Config!$B$9:$B$29,0))&amp;"",""))</f>
        <v/>
      </c>
    </row>
    <row r="4055">
      <c r="X4055" s="20" t="str">
        <f>IF($B4055="","",IFERROR(IF(INDEX(Config!$D$9:$D$29,MATCH($B4055,Config!$B$9:$B$29,0))="Contrato",IF(INDEX(Config!$E$9:$E$29,MATCH($B4055,Config!$B$9:$B$29,0))="","",INDEX(Config!$E$9:$E$29,MATCH($B4055,Config!$B$9:$B$29,0))),""),""))</f>
        <v/>
      </c>
      <c r="AI4055" s="19" t="str">
        <f>IF($B4055="","",IFERROR(INDEX(Config!$D$9:$D$29,MATCH($B4055,Config!$B$9:$B$29,0))&amp;"",""))</f>
        <v/>
      </c>
    </row>
    <row r="4056">
      <c r="X4056" s="20" t="str">
        <f>IF($B4056="","",IFERROR(IF(INDEX(Config!$D$9:$D$29,MATCH($B4056,Config!$B$9:$B$29,0))="Contrato",IF(INDEX(Config!$E$9:$E$29,MATCH($B4056,Config!$B$9:$B$29,0))="","",INDEX(Config!$E$9:$E$29,MATCH($B4056,Config!$B$9:$B$29,0))),""),""))</f>
        <v/>
      </c>
      <c r="AI4056" s="19" t="str">
        <f>IF($B4056="","",IFERROR(INDEX(Config!$D$9:$D$29,MATCH($B4056,Config!$B$9:$B$29,0))&amp;"",""))</f>
        <v/>
      </c>
    </row>
    <row r="4057">
      <c r="X4057" s="20" t="str">
        <f>IF($B4057="","",IFERROR(IF(INDEX(Config!$D$9:$D$29,MATCH($B4057,Config!$B$9:$B$29,0))="Contrato",IF(INDEX(Config!$E$9:$E$29,MATCH($B4057,Config!$B$9:$B$29,0))="","",INDEX(Config!$E$9:$E$29,MATCH($B4057,Config!$B$9:$B$29,0))),""),""))</f>
        <v/>
      </c>
      <c r="AI4057" s="19" t="str">
        <f>IF($B4057="","",IFERROR(INDEX(Config!$D$9:$D$29,MATCH($B4057,Config!$B$9:$B$29,0))&amp;"",""))</f>
        <v/>
      </c>
    </row>
    <row r="4058">
      <c r="X4058" s="20" t="str">
        <f>IF($B4058="","",IFERROR(IF(INDEX(Config!$D$9:$D$29,MATCH($B4058,Config!$B$9:$B$29,0))="Contrato",IF(INDEX(Config!$E$9:$E$29,MATCH($B4058,Config!$B$9:$B$29,0))="","",INDEX(Config!$E$9:$E$29,MATCH($B4058,Config!$B$9:$B$29,0))),""),""))</f>
        <v/>
      </c>
      <c r="AI4058" s="19" t="str">
        <f>IF($B4058="","",IFERROR(INDEX(Config!$D$9:$D$29,MATCH($B4058,Config!$B$9:$B$29,0))&amp;"",""))</f>
        <v/>
      </c>
    </row>
    <row r="4059">
      <c r="X4059" s="20" t="str">
        <f>IF($B4059="","",IFERROR(IF(INDEX(Config!$D$9:$D$29,MATCH($B4059,Config!$B$9:$B$29,0))="Contrato",IF(INDEX(Config!$E$9:$E$29,MATCH($B4059,Config!$B$9:$B$29,0))="","",INDEX(Config!$E$9:$E$29,MATCH($B4059,Config!$B$9:$B$29,0))),""),""))</f>
        <v/>
      </c>
      <c r="AI4059" s="19" t="str">
        <f>IF($B4059="","",IFERROR(INDEX(Config!$D$9:$D$29,MATCH($B4059,Config!$B$9:$B$29,0))&amp;"",""))</f>
        <v/>
      </c>
    </row>
    <row r="4060">
      <c r="X4060" s="20" t="str">
        <f>IF($B4060="","",IFERROR(IF(INDEX(Config!$D$9:$D$29,MATCH($B4060,Config!$B$9:$B$29,0))="Contrato",IF(INDEX(Config!$E$9:$E$29,MATCH($B4060,Config!$B$9:$B$29,0))="","",INDEX(Config!$E$9:$E$29,MATCH($B4060,Config!$B$9:$B$29,0))),""),""))</f>
        <v/>
      </c>
      <c r="AI4060" s="19" t="str">
        <f>IF($B4060="","",IFERROR(INDEX(Config!$D$9:$D$29,MATCH($B4060,Config!$B$9:$B$29,0))&amp;"",""))</f>
        <v/>
      </c>
    </row>
    <row r="4061">
      <c r="X4061" s="20" t="str">
        <f>IF($B4061="","",IFERROR(IF(INDEX(Config!$D$9:$D$29,MATCH($B4061,Config!$B$9:$B$29,0))="Contrato",IF(INDEX(Config!$E$9:$E$29,MATCH($B4061,Config!$B$9:$B$29,0))="","",INDEX(Config!$E$9:$E$29,MATCH($B4061,Config!$B$9:$B$29,0))),""),""))</f>
        <v/>
      </c>
      <c r="AI4061" s="19" t="str">
        <f>IF($B4061="","",IFERROR(INDEX(Config!$D$9:$D$29,MATCH($B4061,Config!$B$9:$B$29,0))&amp;"",""))</f>
        <v/>
      </c>
    </row>
    <row r="4062">
      <c r="X4062" s="20" t="str">
        <f>IF($B4062="","",IFERROR(IF(INDEX(Config!$D$9:$D$29,MATCH($B4062,Config!$B$9:$B$29,0))="Contrato",IF(INDEX(Config!$E$9:$E$29,MATCH($B4062,Config!$B$9:$B$29,0))="","",INDEX(Config!$E$9:$E$29,MATCH($B4062,Config!$B$9:$B$29,0))),""),""))</f>
        <v/>
      </c>
      <c r="AI4062" s="19" t="str">
        <f>IF($B4062="","",IFERROR(INDEX(Config!$D$9:$D$29,MATCH($B4062,Config!$B$9:$B$29,0))&amp;"",""))</f>
        <v/>
      </c>
    </row>
    <row r="4063">
      <c r="X4063" s="20" t="str">
        <f>IF($B4063="","",IFERROR(IF(INDEX(Config!$D$9:$D$29,MATCH($B4063,Config!$B$9:$B$29,0))="Contrato",IF(INDEX(Config!$E$9:$E$29,MATCH($B4063,Config!$B$9:$B$29,0))="","",INDEX(Config!$E$9:$E$29,MATCH($B4063,Config!$B$9:$B$29,0))),""),""))</f>
        <v/>
      </c>
      <c r="AI4063" s="19" t="str">
        <f>IF($B4063="","",IFERROR(INDEX(Config!$D$9:$D$29,MATCH($B4063,Config!$B$9:$B$29,0))&amp;"",""))</f>
        <v/>
      </c>
    </row>
    <row r="4064">
      <c r="X4064" s="20" t="str">
        <f>IF($B4064="","",IFERROR(IF(INDEX(Config!$D$9:$D$29,MATCH($B4064,Config!$B$9:$B$29,0))="Contrato",IF(INDEX(Config!$E$9:$E$29,MATCH($B4064,Config!$B$9:$B$29,0))="","",INDEX(Config!$E$9:$E$29,MATCH($B4064,Config!$B$9:$B$29,0))),""),""))</f>
        <v/>
      </c>
      <c r="AI4064" s="19" t="str">
        <f>IF($B4064="","",IFERROR(INDEX(Config!$D$9:$D$29,MATCH($B4064,Config!$B$9:$B$29,0))&amp;"",""))</f>
        <v/>
      </c>
    </row>
    <row r="4065">
      <c r="X4065" s="20" t="str">
        <f>IF($B4065="","",IFERROR(IF(INDEX(Config!$D$9:$D$29,MATCH($B4065,Config!$B$9:$B$29,0))="Contrato",IF(INDEX(Config!$E$9:$E$29,MATCH($B4065,Config!$B$9:$B$29,0))="","",INDEX(Config!$E$9:$E$29,MATCH($B4065,Config!$B$9:$B$29,0))),""),""))</f>
        <v/>
      </c>
      <c r="AI4065" s="19" t="str">
        <f>IF($B4065="","",IFERROR(INDEX(Config!$D$9:$D$29,MATCH($B4065,Config!$B$9:$B$29,0))&amp;"",""))</f>
        <v/>
      </c>
    </row>
    <row r="4066">
      <c r="X4066" s="20" t="str">
        <f>IF($B4066="","",IFERROR(IF(INDEX(Config!$D$9:$D$29,MATCH($B4066,Config!$B$9:$B$29,0))="Contrato",IF(INDEX(Config!$E$9:$E$29,MATCH($B4066,Config!$B$9:$B$29,0))="","",INDEX(Config!$E$9:$E$29,MATCH($B4066,Config!$B$9:$B$29,0))),""),""))</f>
        <v/>
      </c>
      <c r="AI4066" s="19" t="str">
        <f>IF($B4066="","",IFERROR(INDEX(Config!$D$9:$D$29,MATCH($B4066,Config!$B$9:$B$29,0))&amp;"",""))</f>
        <v/>
      </c>
    </row>
    <row r="4067">
      <c r="X4067" s="20" t="str">
        <f>IF($B4067="","",IFERROR(IF(INDEX(Config!$D$9:$D$29,MATCH($B4067,Config!$B$9:$B$29,0))="Contrato",IF(INDEX(Config!$E$9:$E$29,MATCH($B4067,Config!$B$9:$B$29,0))="","",INDEX(Config!$E$9:$E$29,MATCH($B4067,Config!$B$9:$B$29,0))),""),""))</f>
        <v/>
      </c>
      <c r="AI4067" s="19" t="str">
        <f>IF($B4067="","",IFERROR(INDEX(Config!$D$9:$D$29,MATCH($B4067,Config!$B$9:$B$29,0))&amp;"",""))</f>
        <v/>
      </c>
    </row>
    <row r="4068">
      <c r="X4068" s="20" t="str">
        <f>IF($B4068="","",IFERROR(IF(INDEX(Config!$D$9:$D$29,MATCH($B4068,Config!$B$9:$B$29,0))="Contrato",IF(INDEX(Config!$E$9:$E$29,MATCH($B4068,Config!$B$9:$B$29,0))="","",INDEX(Config!$E$9:$E$29,MATCH($B4068,Config!$B$9:$B$29,0))),""),""))</f>
        <v/>
      </c>
      <c r="AI4068" s="19" t="str">
        <f>IF($B4068="","",IFERROR(INDEX(Config!$D$9:$D$29,MATCH($B4068,Config!$B$9:$B$29,0))&amp;"",""))</f>
        <v/>
      </c>
    </row>
    <row r="4069">
      <c r="X4069" s="20" t="str">
        <f>IF($B4069="","",IFERROR(IF(INDEX(Config!$D$9:$D$29,MATCH($B4069,Config!$B$9:$B$29,0))="Contrato",IF(INDEX(Config!$E$9:$E$29,MATCH($B4069,Config!$B$9:$B$29,0))="","",INDEX(Config!$E$9:$E$29,MATCH($B4069,Config!$B$9:$B$29,0))),""),""))</f>
        <v/>
      </c>
      <c r="AI4069" s="19" t="str">
        <f>IF($B4069="","",IFERROR(INDEX(Config!$D$9:$D$29,MATCH($B4069,Config!$B$9:$B$29,0))&amp;"",""))</f>
        <v/>
      </c>
    </row>
    <row r="4070">
      <c r="X4070" s="20" t="str">
        <f>IF($B4070="","",IFERROR(IF(INDEX(Config!$D$9:$D$29,MATCH($B4070,Config!$B$9:$B$29,0))="Contrato",IF(INDEX(Config!$E$9:$E$29,MATCH($B4070,Config!$B$9:$B$29,0))="","",INDEX(Config!$E$9:$E$29,MATCH($B4070,Config!$B$9:$B$29,0))),""),""))</f>
        <v/>
      </c>
      <c r="AI4070" s="19" t="str">
        <f>IF($B4070="","",IFERROR(INDEX(Config!$D$9:$D$29,MATCH($B4070,Config!$B$9:$B$29,0))&amp;"",""))</f>
        <v/>
      </c>
    </row>
    <row r="4071">
      <c r="X4071" s="20" t="str">
        <f>IF($B4071="","",IFERROR(IF(INDEX(Config!$D$9:$D$29,MATCH($B4071,Config!$B$9:$B$29,0))="Contrato",IF(INDEX(Config!$E$9:$E$29,MATCH($B4071,Config!$B$9:$B$29,0))="","",INDEX(Config!$E$9:$E$29,MATCH($B4071,Config!$B$9:$B$29,0))),""),""))</f>
        <v/>
      </c>
      <c r="AI4071" s="19" t="str">
        <f>IF($B4071="","",IFERROR(INDEX(Config!$D$9:$D$29,MATCH($B4071,Config!$B$9:$B$29,0))&amp;"",""))</f>
        <v/>
      </c>
    </row>
    <row r="4072">
      <c r="X4072" s="20" t="str">
        <f>IF($B4072="","",IFERROR(IF(INDEX(Config!$D$9:$D$29,MATCH($B4072,Config!$B$9:$B$29,0))="Contrato",IF(INDEX(Config!$E$9:$E$29,MATCH($B4072,Config!$B$9:$B$29,0))="","",INDEX(Config!$E$9:$E$29,MATCH($B4072,Config!$B$9:$B$29,0))),""),""))</f>
        <v/>
      </c>
      <c r="AI4072" s="19" t="str">
        <f>IF($B4072="","",IFERROR(INDEX(Config!$D$9:$D$29,MATCH($B4072,Config!$B$9:$B$29,0))&amp;"",""))</f>
        <v/>
      </c>
    </row>
    <row r="4073">
      <c r="X4073" s="20" t="str">
        <f>IF($B4073="","",IFERROR(IF(INDEX(Config!$D$9:$D$29,MATCH($B4073,Config!$B$9:$B$29,0))="Contrato",IF(INDEX(Config!$E$9:$E$29,MATCH($B4073,Config!$B$9:$B$29,0))="","",INDEX(Config!$E$9:$E$29,MATCH($B4073,Config!$B$9:$B$29,0))),""),""))</f>
        <v/>
      </c>
      <c r="AI4073" s="19" t="str">
        <f>IF($B4073="","",IFERROR(INDEX(Config!$D$9:$D$29,MATCH($B4073,Config!$B$9:$B$29,0))&amp;"",""))</f>
        <v/>
      </c>
    </row>
    <row r="4074">
      <c r="X4074" s="20" t="str">
        <f>IF($B4074="","",IFERROR(IF(INDEX(Config!$D$9:$D$29,MATCH($B4074,Config!$B$9:$B$29,0))="Contrato",IF(INDEX(Config!$E$9:$E$29,MATCH($B4074,Config!$B$9:$B$29,0))="","",INDEX(Config!$E$9:$E$29,MATCH($B4074,Config!$B$9:$B$29,0))),""),""))</f>
        <v/>
      </c>
      <c r="AI4074" s="19" t="str">
        <f>IF($B4074="","",IFERROR(INDEX(Config!$D$9:$D$29,MATCH($B4074,Config!$B$9:$B$29,0))&amp;"",""))</f>
        <v/>
      </c>
    </row>
    <row r="4075">
      <c r="X4075" s="20" t="str">
        <f>IF($B4075="","",IFERROR(IF(INDEX(Config!$D$9:$D$29,MATCH($B4075,Config!$B$9:$B$29,0))="Contrato",IF(INDEX(Config!$E$9:$E$29,MATCH($B4075,Config!$B$9:$B$29,0))="","",INDEX(Config!$E$9:$E$29,MATCH($B4075,Config!$B$9:$B$29,0))),""),""))</f>
        <v/>
      </c>
      <c r="AI4075" s="19" t="str">
        <f>IF($B4075="","",IFERROR(INDEX(Config!$D$9:$D$29,MATCH($B4075,Config!$B$9:$B$29,0))&amp;"",""))</f>
        <v/>
      </c>
    </row>
    <row r="4076">
      <c r="X4076" s="20" t="str">
        <f>IF($B4076="","",IFERROR(IF(INDEX(Config!$D$9:$D$29,MATCH($B4076,Config!$B$9:$B$29,0))="Contrato",IF(INDEX(Config!$E$9:$E$29,MATCH($B4076,Config!$B$9:$B$29,0))="","",INDEX(Config!$E$9:$E$29,MATCH($B4076,Config!$B$9:$B$29,0))),""),""))</f>
        <v/>
      </c>
      <c r="AI4076" s="19" t="str">
        <f>IF($B4076="","",IFERROR(INDEX(Config!$D$9:$D$29,MATCH($B4076,Config!$B$9:$B$29,0))&amp;"",""))</f>
        <v/>
      </c>
    </row>
    <row r="4077">
      <c r="X4077" s="20" t="str">
        <f>IF($B4077="","",IFERROR(IF(INDEX(Config!$D$9:$D$29,MATCH($B4077,Config!$B$9:$B$29,0))="Contrato",IF(INDEX(Config!$E$9:$E$29,MATCH($B4077,Config!$B$9:$B$29,0))="","",INDEX(Config!$E$9:$E$29,MATCH($B4077,Config!$B$9:$B$29,0))),""),""))</f>
        <v/>
      </c>
      <c r="AI4077" s="19" t="str">
        <f>IF($B4077="","",IFERROR(INDEX(Config!$D$9:$D$29,MATCH($B4077,Config!$B$9:$B$29,0))&amp;"",""))</f>
        <v/>
      </c>
    </row>
    <row r="4078">
      <c r="X4078" s="20" t="str">
        <f>IF($B4078="","",IFERROR(IF(INDEX(Config!$D$9:$D$29,MATCH($B4078,Config!$B$9:$B$29,0))="Contrato",IF(INDEX(Config!$E$9:$E$29,MATCH($B4078,Config!$B$9:$B$29,0))="","",INDEX(Config!$E$9:$E$29,MATCH($B4078,Config!$B$9:$B$29,0))),""),""))</f>
        <v/>
      </c>
      <c r="AI4078" s="19" t="str">
        <f>IF($B4078="","",IFERROR(INDEX(Config!$D$9:$D$29,MATCH($B4078,Config!$B$9:$B$29,0))&amp;"",""))</f>
        <v/>
      </c>
    </row>
    <row r="4079">
      <c r="X4079" s="20" t="str">
        <f>IF($B4079="","",IFERROR(IF(INDEX(Config!$D$9:$D$29,MATCH($B4079,Config!$B$9:$B$29,0))="Contrato",IF(INDEX(Config!$E$9:$E$29,MATCH($B4079,Config!$B$9:$B$29,0))="","",INDEX(Config!$E$9:$E$29,MATCH($B4079,Config!$B$9:$B$29,0))),""),""))</f>
        <v/>
      </c>
      <c r="AI4079" s="19" t="str">
        <f>IF($B4079="","",IFERROR(INDEX(Config!$D$9:$D$29,MATCH($B4079,Config!$B$9:$B$29,0))&amp;"",""))</f>
        <v/>
      </c>
    </row>
    <row r="4080">
      <c r="X4080" s="20" t="str">
        <f>IF($B4080="","",IFERROR(IF(INDEX(Config!$D$9:$D$29,MATCH($B4080,Config!$B$9:$B$29,0))="Contrato",IF(INDEX(Config!$E$9:$E$29,MATCH($B4080,Config!$B$9:$B$29,0))="","",INDEX(Config!$E$9:$E$29,MATCH($B4080,Config!$B$9:$B$29,0))),""),""))</f>
        <v/>
      </c>
      <c r="AI4080" s="19" t="str">
        <f>IF($B4080="","",IFERROR(INDEX(Config!$D$9:$D$29,MATCH($B4080,Config!$B$9:$B$29,0))&amp;"",""))</f>
        <v/>
      </c>
    </row>
    <row r="4081">
      <c r="X4081" s="20" t="str">
        <f>IF($B4081="","",IFERROR(IF(INDEX(Config!$D$9:$D$29,MATCH($B4081,Config!$B$9:$B$29,0))="Contrato",IF(INDEX(Config!$E$9:$E$29,MATCH($B4081,Config!$B$9:$B$29,0))="","",INDEX(Config!$E$9:$E$29,MATCH($B4081,Config!$B$9:$B$29,0))),""),""))</f>
        <v/>
      </c>
      <c r="AI4081" s="19" t="str">
        <f>IF($B4081="","",IFERROR(INDEX(Config!$D$9:$D$29,MATCH($B4081,Config!$B$9:$B$29,0))&amp;"",""))</f>
        <v/>
      </c>
    </row>
    <row r="4082">
      <c r="X4082" s="20" t="str">
        <f>IF($B4082="","",IFERROR(IF(INDEX(Config!$D$9:$D$29,MATCH($B4082,Config!$B$9:$B$29,0))="Contrato",IF(INDEX(Config!$E$9:$E$29,MATCH($B4082,Config!$B$9:$B$29,0))="","",INDEX(Config!$E$9:$E$29,MATCH($B4082,Config!$B$9:$B$29,0))),""),""))</f>
        <v/>
      </c>
      <c r="AI4082" s="19" t="str">
        <f>IF($B4082="","",IFERROR(INDEX(Config!$D$9:$D$29,MATCH($B4082,Config!$B$9:$B$29,0))&amp;"",""))</f>
        <v/>
      </c>
    </row>
    <row r="4083">
      <c r="X4083" s="20" t="str">
        <f>IF($B4083="","",IFERROR(IF(INDEX(Config!$D$9:$D$29,MATCH($B4083,Config!$B$9:$B$29,0))="Contrato",IF(INDEX(Config!$E$9:$E$29,MATCH($B4083,Config!$B$9:$B$29,0))="","",INDEX(Config!$E$9:$E$29,MATCH($B4083,Config!$B$9:$B$29,0))),""),""))</f>
        <v/>
      </c>
      <c r="AI4083" s="19" t="str">
        <f>IF($B4083="","",IFERROR(INDEX(Config!$D$9:$D$29,MATCH($B4083,Config!$B$9:$B$29,0))&amp;"",""))</f>
        <v/>
      </c>
    </row>
    <row r="4084">
      <c r="X4084" s="20" t="str">
        <f>IF($B4084="","",IFERROR(IF(INDEX(Config!$D$9:$D$29,MATCH($B4084,Config!$B$9:$B$29,0))="Contrato",IF(INDEX(Config!$E$9:$E$29,MATCH($B4084,Config!$B$9:$B$29,0))="","",INDEX(Config!$E$9:$E$29,MATCH($B4084,Config!$B$9:$B$29,0))),""),""))</f>
        <v/>
      </c>
      <c r="AI4084" s="19" t="str">
        <f>IF($B4084="","",IFERROR(INDEX(Config!$D$9:$D$29,MATCH($B4084,Config!$B$9:$B$29,0))&amp;"",""))</f>
        <v/>
      </c>
    </row>
    <row r="4085">
      <c r="X4085" s="20" t="str">
        <f>IF($B4085="","",IFERROR(IF(INDEX(Config!$D$9:$D$29,MATCH($B4085,Config!$B$9:$B$29,0))="Contrato",IF(INDEX(Config!$E$9:$E$29,MATCH($B4085,Config!$B$9:$B$29,0))="","",INDEX(Config!$E$9:$E$29,MATCH($B4085,Config!$B$9:$B$29,0))),""),""))</f>
        <v/>
      </c>
      <c r="AI4085" s="19" t="str">
        <f>IF($B4085="","",IFERROR(INDEX(Config!$D$9:$D$29,MATCH($B4085,Config!$B$9:$B$29,0))&amp;"",""))</f>
        <v/>
      </c>
    </row>
    <row r="4086">
      <c r="X4086" s="20" t="str">
        <f>IF($B4086="","",IFERROR(IF(INDEX(Config!$D$9:$D$29,MATCH($B4086,Config!$B$9:$B$29,0))="Contrato",IF(INDEX(Config!$E$9:$E$29,MATCH($B4086,Config!$B$9:$B$29,0))="","",INDEX(Config!$E$9:$E$29,MATCH($B4086,Config!$B$9:$B$29,0))),""),""))</f>
        <v/>
      </c>
      <c r="AI4086" s="19" t="str">
        <f>IF($B4086="","",IFERROR(INDEX(Config!$D$9:$D$29,MATCH($B4086,Config!$B$9:$B$29,0))&amp;"",""))</f>
        <v/>
      </c>
    </row>
    <row r="4087">
      <c r="X4087" s="20" t="str">
        <f>IF($B4087="","",IFERROR(IF(INDEX(Config!$D$9:$D$29,MATCH($B4087,Config!$B$9:$B$29,0))="Contrato",IF(INDEX(Config!$E$9:$E$29,MATCH($B4087,Config!$B$9:$B$29,0))="","",INDEX(Config!$E$9:$E$29,MATCH($B4087,Config!$B$9:$B$29,0))),""),""))</f>
        <v/>
      </c>
      <c r="AI4087" s="19" t="str">
        <f>IF($B4087="","",IFERROR(INDEX(Config!$D$9:$D$29,MATCH($B4087,Config!$B$9:$B$29,0))&amp;"",""))</f>
        <v/>
      </c>
    </row>
    <row r="4088">
      <c r="X4088" s="20" t="str">
        <f>IF($B4088="","",IFERROR(IF(INDEX(Config!$D$9:$D$29,MATCH($B4088,Config!$B$9:$B$29,0))="Contrato",IF(INDEX(Config!$E$9:$E$29,MATCH($B4088,Config!$B$9:$B$29,0))="","",INDEX(Config!$E$9:$E$29,MATCH($B4088,Config!$B$9:$B$29,0))),""),""))</f>
        <v/>
      </c>
      <c r="AI4088" s="19" t="str">
        <f>IF($B4088="","",IFERROR(INDEX(Config!$D$9:$D$29,MATCH($B4088,Config!$B$9:$B$29,0))&amp;"",""))</f>
        <v/>
      </c>
    </row>
    <row r="4089">
      <c r="X4089" s="20" t="str">
        <f>IF($B4089="","",IFERROR(IF(INDEX(Config!$D$9:$D$29,MATCH($B4089,Config!$B$9:$B$29,0))="Contrato",IF(INDEX(Config!$E$9:$E$29,MATCH($B4089,Config!$B$9:$B$29,0))="","",INDEX(Config!$E$9:$E$29,MATCH($B4089,Config!$B$9:$B$29,0))),""),""))</f>
        <v/>
      </c>
      <c r="AI4089" s="19" t="str">
        <f>IF($B4089="","",IFERROR(INDEX(Config!$D$9:$D$29,MATCH($B4089,Config!$B$9:$B$29,0))&amp;"",""))</f>
        <v/>
      </c>
    </row>
    <row r="4090">
      <c r="X4090" s="20" t="str">
        <f>IF($B4090="","",IFERROR(IF(INDEX(Config!$D$9:$D$29,MATCH($B4090,Config!$B$9:$B$29,0))="Contrato",IF(INDEX(Config!$E$9:$E$29,MATCH($B4090,Config!$B$9:$B$29,0))="","",INDEX(Config!$E$9:$E$29,MATCH($B4090,Config!$B$9:$B$29,0))),""),""))</f>
        <v/>
      </c>
      <c r="AI4090" s="19" t="str">
        <f>IF($B4090="","",IFERROR(INDEX(Config!$D$9:$D$29,MATCH($B4090,Config!$B$9:$B$29,0))&amp;"",""))</f>
        <v/>
      </c>
    </row>
    <row r="4091">
      <c r="X4091" s="20" t="str">
        <f>IF($B4091="","",IFERROR(IF(INDEX(Config!$D$9:$D$29,MATCH($B4091,Config!$B$9:$B$29,0))="Contrato",IF(INDEX(Config!$E$9:$E$29,MATCH($B4091,Config!$B$9:$B$29,0))="","",INDEX(Config!$E$9:$E$29,MATCH($B4091,Config!$B$9:$B$29,0))),""),""))</f>
        <v/>
      </c>
      <c r="AI4091" s="19" t="str">
        <f>IF($B4091="","",IFERROR(INDEX(Config!$D$9:$D$29,MATCH($B4091,Config!$B$9:$B$29,0))&amp;"",""))</f>
        <v/>
      </c>
    </row>
    <row r="4092">
      <c r="X4092" s="20" t="str">
        <f>IF($B4092="","",IFERROR(IF(INDEX(Config!$D$9:$D$29,MATCH($B4092,Config!$B$9:$B$29,0))="Contrato",IF(INDEX(Config!$E$9:$E$29,MATCH($B4092,Config!$B$9:$B$29,0))="","",INDEX(Config!$E$9:$E$29,MATCH($B4092,Config!$B$9:$B$29,0))),""),""))</f>
        <v/>
      </c>
      <c r="AI4092" s="19" t="str">
        <f>IF($B4092="","",IFERROR(INDEX(Config!$D$9:$D$29,MATCH($B4092,Config!$B$9:$B$29,0))&amp;"",""))</f>
        <v/>
      </c>
    </row>
    <row r="4093">
      <c r="X4093" s="20" t="str">
        <f>IF($B4093="","",IFERROR(IF(INDEX(Config!$D$9:$D$29,MATCH($B4093,Config!$B$9:$B$29,0))="Contrato",IF(INDEX(Config!$E$9:$E$29,MATCH($B4093,Config!$B$9:$B$29,0))="","",INDEX(Config!$E$9:$E$29,MATCH($B4093,Config!$B$9:$B$29,0))),""),""))</f>
        <v/>
      </c>
      <c r="AI4093" s="19" t="str">
        <f>IF($B4093="","",IFERROR(INDEX(Config!$D$9:$D$29,MATCH($B4093,Config!$B$9:$B$29,0))&amp;"",""))</f>
        <v/>
      </c>
    </row>
    <row r="4094">
      <c r="X4094" s="20" t="str">
        <f>IF($B4094="","",IFERROR(IF(INDEX(Config!$D$9:$D$29,MATCH($B4094,Config!$B$9:$B$29,0))="Contrato",IF(INDEX(Config!$E$9:$E$29,MATCH($B4094,Config!$B$9:$B$29,0))="","",INDEX(Config!$E$9:$E$29,MATCH($B4094,Config!$B$9:$B$29,0))),""),""))</f>
        <v/>
      </c>
      <c r="AI4094" s="19" t="str">
        <f>IF($B4094="","",IFERROR(INDEX(Config!$D$9:$D$29,MATCH($B4094,Config!$B$9:$B$29,0))&amp;"",""))</f>
        <v/>
      </c>
    </row>
    <row r="4095">
      <c r="X4095" s="20" t="str">
        <f>IF($B4095="","",IFERROR(IF(INDEX(Config!$D$9:$D$29,MATCH($B4095,Config!$B$9:$B$29,0))="Contrato",IF(INDEX(Config!$E$9:$E$29,MATCH($B4095,Config!$B$9:$B$29,0))="","",INDEX(Config!$E$9:$E$29,MATCH($B4095,Config!$B$9:$B$29,0))),""),""))</f>
        <v/>
      </c>
      <c r="AI4095" s="19" t="str">
        <f>IF($B4095="","",IFERROR(INDEX(Config!$D$9:$D$29,MATCH($B4095,Config!$B$9:$B$29,0))&amp;"",""))</f>
        <v/>
      </c>
    </row>
    <row r="4096">
      <c r="X4096" s="20" t="str">
        <f>IF($B4096="","",IFERROR(IF(INDEX(Config!$D$9:$D$29,MATCH($B4096,Config!$B$9:$B$29,0))="Contrato",IF(INDEX(Config!$E$9:$E$29,MATCH($B4096,Config!$B$9:$B$29,0))="","",INDEX(Config!$E$9:$E$29,MATCH($B4096,Config!$B$9:$B$29,0))),""),""))</f>
        <v/>
      </c>
      <c r="AI4096" s="19" t="str">
        <f>IF($B4096="","",IFERROR(INDEX(Config!$D$9:$D$29,MATCH($B4096,Config!$B$9:$B$29,0))&amp;"",""))</f>
        <v/>
      </c>
    </row>
    <row r="4097">
      <c r="X4097" s="20" t="str">
        <f>IF($B4097="","",IFERROR(IF(INDEX(Config!$D$9:$D$29,MATCH($B4097,Config!$B$9:$B$29,0))="Contrato",IF(INDEX(Config!$E$9:$E$29,MATCH($B4097,Config!$B$9:$B$29,0))="","",INDEX(Config!$E$9:$E$29,MATCH($B4097,Config!$B$9:$B$29,0))),""),""))</f>
        <v/>
      </c>
      <c r="AI4097" s="19" t="str">
        <f>IF($B4097="","",IFERROR(INDEX(Config!$D$9:$D$29,MATCH($B4097,Config!$B$9:$B$29,0))&amp;"",""))</f>
        <v/>
      </c>
    </row>
    <row r="4098">
      <c r="X4098" s="20" t="str">
        <f>IF($B4098="","",IFERROR(IF(INDEX(Config!$D$9:$D$29,MATCH($B4098,Config!$B$9:$B$29,0))="Contrato",IF(INDEX(Config!$E$9:$E$29,MATCH($B4098,Config!$B$9:$B$29,0))="","",INDEX(Config!$E$9:$E$29,MATCH($B4098,Config!$B$9:$B$29,0))),""),""))</f>
        <v/>
      </c>
      <c r="AI4098" s="19" t="str">
        <f>IF($B4098="","",IFERROR(INDEX(Config!$D$9:$D$29,MATCH($B4098,Config!$B$9:$B$29,0))&amp;"",""))</f>
        <v/>
      </c>
    </row>
    <row r="4099">
      <c r="X4099" s="20" t="str">
        <f>IF($B4099="","",IFERROR(IF(INDEX(Config!$D$9:$D$29,MATCH($B4099,Config!$B$9:$B$29,0))="Contrato",IF(INDEX(Config!$E$9:$E$29,MATCH($B4099,Config!$B$9:$B$29,0))="","",INDEX(Config!$E$9:$E$29,MATCH($B4099,Config!$B$9:$B$29,0))),""),""))</f>
        <v/>
      </c>
      <c r="AI4099" s="19" t="str">
        <f>IF($B4099="","",IFERROR(INDEX(Config!$D$9:$D$29,MATCH($B4099,Config!$B$9:$B$29,0))&amp;"",""))</f>
        <v/>
      </c>
    </row>
    <row r="4100">
      <c r="X4100" s="20" t="str">
        <f>IF($B4100="","",IFERROR(IF(INDEX(Config!$D$9:$D$29,MATCH($B4100,Config!$B$9:$B$29,0))="Contrato",IF(INDEX(Config!$E$9:$E$29,MATCH($B4100,Config!$B$9:$B$29,0))="","",INDEX(Config!$E$9:$E$29,MATCH($B4100,Config!$B$9:$B$29,0))),""),""))</f>
        <v/>
      </c>
      <c r="AI4100" s="19" t="str">
        <f>IF($B4100="","",IFERROR(INDEX(Config!$D$9:$D$29,MATCH($B4100,Config!$B$9:$B$29,0))&amp;"",""))</f>
        <v/>
      </c>
    </row>
    <row r="4101">
      <c r="X4101" s="20" t="str">
        <f>IF($B4101="","",IFERROR(IF(INDEX(Config!$D$9:$D$29,MATCH($B4101,Config!$B$9:$B$29,0))="Contrato",IF(INDEX(Config!$E$9:$E$29,MATCH($B4101,Config!$B$9:$B$29,0))="","",INDEX(Config!$E$9:$E$29,MATCH($B4101,Config!$B$9:$B$29,0))),""),""))</f>
        <v/>
      </c>
      <c r="AI4101" s="19" t="str">
        <f>IF($B4101="","",IFERROR(INDEX(Config!$D$9:$D$29,MATCH($B4101,Config!$B$9:$B$29,0))&amp;"",""))</f>
        <v/>
      </c>
    </row>
    <row r="4102">
      <c r="X4102" s="20" t="str">
        <f>IF($B4102="","",IFERROR(IF(INDEX(Config!$D$9:$D$29,MATCH($B4102,Config!$B$9:$B$29,0))="Contrato",IF(INDEX(Config!$E$9:$E$29,MATCH($B4102,Config!$B$9:$B$29,0))="","",INDEX(Config!$E$9:$E$29,MATCH($B4102,Config!$B$9:$B$29,0))),""),""))</f>
        <v/>
      </c>
      <c r="AI4102" s="19" t="str">
        <f>IF($B4102="","",IFERROR(INDEX(Config!$D$9:$D$29,MATCH($B4102,Config!$B$9:$B$29,0))&amp;"",""))</f>
        <v/>
      </c>
    </row>
    <row r="4103">
      <c r="X4103" s="20" t="str">
        <f>IF($B4103="","",IFERROR(IF(INDEX(Config!$D$9:$D$29,MATCH($B4103,Config!$B$9:$B$29,0))="Contrato",IF(INDEX(Config!$E$9:$E$29,MATCH($B4103,Config!$B$9:$B$29,0))="","",INDEX(Config!$E$9:$E$29,MATCH($B4103,Config!$B$9:$B$29,0))),""),""))</f>
        <v/>
      </c>
      <c r="AI4103" s="19" t="str">
        <f>IF($B4103="","",IFERROR(INDEX(Config!$D$9:$D$29,MATCH($B4103,Config!$B$9:$B$29,0))&amp;"",""))</f>
        <v/>
      </c>
    </row>
    <row r="4104">
      <c r="X4104" s="20" t="str">
        <f>IF($B4104="","",IFERROR(IF(INDEX(Config!$D$9:$D$29,MATCH($B4104,Config!$B$9:$B$29,0))="Contrato",IF(INDEX(Config!$E$9:$E$29,MATCH($B4104,Config!$B$9:$B$29,0))="","",INDEX(Config!$E$9:$E$29,MATCH($B4104,Config!$B$9:$B$29,0))),""),""))</f>
        <v/>
      </c>
      <c r="AI4104" s="19" t="str">
        <f>IF($B4104="","",IFERROR(INDEX(Config!$D$9:$D$29,MATCH($B4104,Config!$B$9:$B$29,0))&amp;"",""))</f>
        <v/>
      </c>
    </row>
    <row r="4105">
      <c r="X4105" s="20" t="str">
        <f>IF($B4105="","",IFERROR(IF(INDEX(Config!$D$9:$D$29,MATCH($B4105,Config!$B$9:$B$29,0))="Contrato",IF(INDEX(Config!$E$9:$E$29,MATCH($B4105,Config!$B$9:$B$29,0))="","",INDEX(Config!$E$9:$E$29,MATCH($B4105,Config!$B$9:$B$29,0))),""),""))</f>
        <v/>
      </c>
      <c r="AI4105" s="19" t="str">
        <f>IF($B4105="","",IFERROR(INDEX(Config!$D$9:$D$29,MATCH($B4105,Config!$B$9:$B$29,0))&amp;"",""))</f>
        <v/>
      </c>
    </row>
    <row r="4106">
      <c r="X4106" s="20" t="str">
        <f>IF($B4106="","",IFERROR(IF(INDEX(Config!$D$9:$D$29,MATCH($B4106,Config!$B$9:$B$29,0))="Contrato",IF(INDEX(Config!$E$9:$E$29,MATCH($B4106,Config!$B$9:$B$29,0))="","",INDEX(Config!$E$9:$E$29,MATCH($B4106,Config!$B$9:$B$29,0))),""),""))</f>
        <v/>
      </c>
      <c r="AI4106" s="19" t="str">
        <f>IF($B4106="","",IFERROR(INDEX(Config!$D$9:$D$29,MATCH($B4106,Config!$B$9:$B$29,0))&amp;"",""))</f>
        <v/>
      </c>
    </row>
    <row r="4107">
      <c r="X4107" s="20" t="str">
        <f>IF($B4107="","",IFERROR(IF(INDEX(Config!$D$9:$D$29,MATCH($B4107,Config!$B$9:$B$29,0))="Contrato",IF(INDEX(Config!$E$9:$E$29,MATCH($B4107,Config!$B$9:$B$29,0))="","",INDEX(Config!$E$9:$E$29,MATCH($B4107,Config!$B$9:$B$29,0))),""),""))</f>
        <v/>
      </c>
      <c r="AI4107" s="19" t="str">
        <f>IF($B4107="","",IFERROR(INDEX(Config!$D$9:$D$29,MATCH($B4107,Config!$B$9:$B$29,0))&amp;"",""))</f>
        <v/>
      </c>
    </row>
    <row r="4108">
      <c r="X4108" s="20" t="str">
        <f>IF($B4108="","",IFERROR(IF(INDEX(Config!$D$9:$D$29,MATCH($B4108,Config!$B$9:$B$29,0))="Contrato",IF(INDEX(Config!$E$9:$E$29,MATCH($B4108,Config!$B$9:$B$29,0))="","",INDEX(Config!$E$9:$E$29,MATCH($B4108,Config!$B$9:$B$29,0))),""),""))</f>
        <v/>
      </c>
      <c r="AI4108" s="19" t="str">
        <f>IF($B4108="","",IFERROR(INDEX(Config!$D$9:$D$29,MATCH($B4108,Config!$B$9:$B$29,0))&amp;"",""))</f>
        <v/>
      </c>
    </row>
    <row r="4109">
      <c r="X4109" s="20" t="str">
        <f>IF($B4109="","",IFERROR(IF(INDEX(Config!$D$9:$D$29,MATCH($B4109,Config!$B$9:$B$29,0))="Contrato",IF(INDEX(Config!$E$9:$E$29,MATCH($B4109,Config!$B$9:$B$29,0))="","",INDEX(Config!$E$9:$E$29,MATCH($B4109,Config!$B$9:$B$29,0))),""),""))</f>
        <v/>
      </c>
      <c r="AI4109" s="19" t="str">
        <f>IF($B4109="","",IFERROR(INDEX(Config!$D$9:$D$29,MATCH($B4109,Config!$B$9:$B$29,0))&amp;"",""))</f>
        <v/>
      </c>
    </row>
    <row r="4110">
      <c r="X4110" s="20" t="str">
        <f>IF($B4110="","",IFERROR(IF(INDEX(Config!$D$9:$D$29,MATCH($B4110,Config!$B$9:$B$29,0))="Contrato",IF(INDEX(Config!$E$9:$E$29,MATCH($B4110,Config!$B$9:$B$29,0))="","",INDEX(Config!$E$9:$E$29,MATCH($B4110,Config!$B$9:$B$29,0))),""),""))</f>
        <v/>
      </c>
      <c r="AI4110" s="19" t="str">
        <f>IF($B4110="","",IFERROR(INDEX(Config!$D$9:$D$29,MATCH($B4110,Config!$B$9:$B$29,0))&amp;"",""))</f>
        <v/>
      </c>
    </row>
    <row r="4111">
      <c r="X4111" s="20" t="str">
        <f>IF($B4111="","",IFERROR(IF(INDEX(Config!$D$9:$D$29,MATCH($B4111,Config!$B$9:$B$29,0))="Contrato",IF(INDEX(Config!$E$9:$E$29,MATCH($B4111,Config!$B$9:$B$29,0))="","",INDEX(Config!$E$9:$E$29,MATCH($B4111,Config!$B$9:$B$29,0))),""),""))</f>
        <v/>
      </c>
      <c r="AI4111" s="19" t="str">
        <f>IF($B4111="","",IFERROR(INDEX(Config!$D$9:$D$29,MATCH($B4111,Config!$B$9:$B$29,0))&amp;"",""))</f>
        <v/>
      </c>
    </row>
    <row r="4112">
      <c r="X4112" s="20" t="str">
        <f>IF($B4112="","",IFERROR(IF(INDEX(Config!$D$9:$D$29,MATCH($B4112,Config!$B$9:$B$29,0))="Contrato",IF(INDEX(Config!$E$9:$E$29,MATCH($B4112,Config!$B$9:$B$29,0))="","",INDEX(Config!$E$9:$E$29,MATCH($B4112,Config!$B$9:$B$29,0))),""),""))</f>
        <v/>
      </c>
      <c r="AI4112" s="19" t="str">
        <f>IF($B4112="","",IFERROR(INDEX(Config!$D$9:$D$29,MATCH($B4112,Config!$B$9:$B$29,0))&amp;"",""))</f>
        <v/>
      </c>
    </row>
    <row r="4113">
      <c r="X4113" s="20" t="str">
        <f>IF($B4113="","",IFERROR(IF(INDEX(Config!$D$9:$D$29,MATCH($B4113,Config!$B$9:$B$29,0))="Contrato",IF(INDEX(Config!$E$9:$E$29,MATCH($B4113,Config!$B$9:$B$29,0))="","",INDEX(Config!$E$9:$E$29,MATCH($B4113,Config!$B$9:$B$29,0))),""),""))</f>
        <v/>
      </c>
      <c r="AI4113" s="19" t="str">
        <f>IF($B4113="","",IFERROR(INDEX(Config!$D$9:$D$29,MATCH($B4113,Config!$B$9:$B$29,0))&amp;"",""))</f>
        <v/>
      </c>
    </row>
    <row r="4114">
      <c r="X4114" s="20" t="str">
        <f>IF($B4114="","",IFERROR(IF(INDEX(Config!$D$9:$D$29,MATCH($B4114,Config!$B$9:$B$29,0))="Contrato",IF(INDEX(Config!$E$9:$E$29,MATCH($B4114,Config!$B$9:$B$29,0))="","",INDEX(Config!$E$9:$E$29,MATCH($B4114,Config!$B$9:$B$29,0))),""),""))</f>
        <v/>
      </c>
      <c r="AI4114" s="19" t="str">
        <f>IF($B4114="","",IFERROR(INDEX(Config!$D$9:$D$29,MATCH($B4114,Config!$B$9:$B$29,0))&amp;"",""))</f>
        <v/>
      </c>
    </row>
    <row r="4115">
      <c r="X4115" s="20" t="str">
        <f>IF($B4115="","",IFERROR(IF(INDEX(Config!$D$9:$D$29,MATCH($B4115,Config!$B$9:$B$29,0))="Contrato",IF(INDEX(Config!$E$9:$E$29,MATCH($B4115,Config!$B$9:$B$29,0))="","",INDEX(Config!$E$9:$E$29,MATCH($B4115,Config!$B$9:$B$29,0))),""),""))</f>
        <v/>
      </c>
      <c r="AI4115" s="19" t="str">
        <f>IF($B4115="","",IFERROR(INDEX(Config!$D$9:$D$29,MATCH($B4115,Config!$B$9:$B$29,0))&amp;"",""))</f>
        <v/>
      </c>
    </row>
    <row r="4116">
      <c r="X4116" s="20" t="str">
        <f>IF($B4116="","",IFERROR(IF(INDEX(Config!$D$9:$D$29,MATCH($B4116,Config!$B$9:$B$29,0))="Contrato",IF(INDEX(Config!$E$9:$E$29,MATCH($B4116,Config!$B$9:$B$29,0))="","",INDEX(Config!$E$9:$E$29,MATCH($B4116,Config!$B$9:$B$29,0))),""),""))</f>
        <v/>
      </c>
      <c r="AI4116" s="19" t="str">
        <f>IF($B4116="","",IFERROR(INDEX(Config!$D$9:$D$29,MATCH($B4116,Config!$B$9:$B$29,0))&amp;"",""))</f>
        <v/>
      </c>
    </row>
    <row r="4117">
      <c r="X4117" s="20" t="str">
        <f>IF($B4117="","",IFERROR(IF(INDEX(Config!$D$9:$D$29,MATCH($B4117,Config!$B$9:$B$29,0))="Contrato",IF(INDEX(Config!$E$9:$E$29,MATCH($B4117,Config!$B$9:$B$29,0))="","",INDEX(Config!$E$9:$E$29,MATCH($B4117,Config!$B$9:$B$29,0))),""),""))</f>
        <v/>
      </c>
      <c r="AI4117" s="19" t="str">
        <f>IF($B4117="","",IFERROR(INDEX(Config!$D$9:$D$29,MATCH($B4117,Config!$B$9:$B$29,0))&amp;"",""))</f>
        <v/>
      </c>
    </row>
    <row r="4118">
      <c r="X4118" s="20" t="str">
        <f>IF($B4118="","",IFERROR(IF(INDEX(Config!$D$9:$D$29,MATCH($B4118,Config!$B$9:$B$29,0))="Contrato",IF(INDEX(Config!$E$9:$E$29,MATCH($B4118,Config!$B$9:$B$29,0))="","",INDEX(Config!$E$9:$E$29,MATCH($B4118,Config!$B$9:$B$29,0))),""),""))</f>
        <v/>
      </c>
      <c r="AI4118" s="19" t="str">
        <f>IF($B4118="","",IFERROR(INDEX(Config!$D$9:$D$29,MATCH($B4118,Config!$B$9:$B$29,0))&amp;"",""))</f>
        <v/>
      </c>
    </row>
    <row r="4119">
      <c r="X4119" s="20" t="str">
        <f>IF($B4119="","",IFERROR(IF(INDEX(Config!$D$9:$D$29,MATCH($B4119,Config!$B$9:$B$29,0))="Contrato",IF(INDEX(Config!$E$9:$E$29,MATCH($B4119,Config!$B$9:$B$29,0))="","",INDEX(Config!$E$9:$E$29,MATCH($B4119,Config!$B$9:$B$29,0))),""),""))</f>
        <v/>
      </c>
      <c r="AI4119" s="19" t="str">
        <f>IF($B4119="","",IFERROR(INDEX(Config!$D$9:$D$29,MATCH($B4119,Config!$B$9:$B$29,0))&amp;"",""))</f>
        <v/>
      </c>
    </row>
    <row r="4120">
      <c r="X4120" s="20" t="str">
        <f>IF($B4120="","",IFERROR(IF(INDEX(Config!$D$9:$D$29,MATCH($B4120,Config!$B$9:$B$29,0))="Contrato",IF(INDEX(Config!$E$9:$E$29,MATCH($B4120,Config!$B$9:$B$29,0))="","",INDEX(Config!$E$9:$E$29,MATCH($B4120,Config!$B$9:$B$29,0))),""),""))</f>
        <v/>
      </c>
      <c r="AI4120" s="19" t="str">
        <f>IF($B4120="","",IFERROR(INDEX(Config!$D$9:$D$29,MATCH($B4120,Config!$B$9:$B$29,0))&amp;"",""))</f>
        <v/>
      </c>
    </row>
    <row r="4121">
      <c r="X4121" s="20" t="str">
        <f>IF($B4121="","",IFERROR(IF(INDEX(Config!$D$9:$D$29,MATCH($B4121,Config!$B$9:$B$29,0))="Contrato",IF(INDEX(Config!$E$9:$E$29,MATCH($B4121,Config!$B$9:$B$29,0))="","",INDEX(Config!$E$9:$E$29,MATCH($B4121,Config!$B$9:$B$29,0))),""),""))</f>
        <v/>
      </c>
      <c r="AI4121" s="19" t="str">
        <f>IF($B4121="","",IFERROR(INDEX(Config!$D$9:$D$29,MATCH($B4121,Config!$B$9:$B$29,0))&amp;"",""))</f>
        <v/>
      </c>
    </row>
    <row r="4122">
      <c r="X4122" s="20" t="str">
        <f>IF($B4122="","",IFERROR(IF(INDEX(Config!$D$9:$D$29,MATCH($B4122,Config!$B$9:$B$29,0))="Contrato",IF(INDEX(Config!$E$9:$E$29,MATCH($B4122,Config!$B$9:$B$29,0))="","",INDEX(Config!$E$9:$E$29,MATCH($B4122,Config!$B$9:$B$29,0))),""),""))</f>
        <v/>
      </c>
      <c r="AI4122" s="19" t="str">
        <f>IF($B4122="","",IFERROR(INDEX(Config!$D$9:$D$29,MATCH($B4122,Config!$B$9:$B$29,0))&amp;"",""))</f>
        <v/>
      </c>
    </row>
    <row r="4123">
      <c r="X4123" s="20" t="str">
        <f>IF($B4123="","",IFERROR(IF(INDEX(Config!$D$9:$D$29,MATCH($B4123,Config!$B$9:$B$29,0))="Contrato",IF(INDEX(Config!$E$9:$E$29,MATCH($B4123,Config!$B$9:$B$29,0))="","",INDEX(Config!$E$9:$E$29,MATCH($B4123,Config!$B$9:$B$29,0))),""),""))</f>
        <v/>
      </c>
      <c r="AI4123" s="19" t="str">
        <f>IF($B4123="","",IFERROR(INDEX(Config!$D$9:$D$29,MATCH($B4123,Config!$B$9:$B$29,0))&amp;"",""))</f>
        <v/>
      </c>
    </row>
    <row r="4124">
      <c r="X4124" s="20" t="str">
        <f>IF($B4124="","",IFERROR(IF(INDEX(Config!$D$9:$D$29,MATCH($B4124,Config!$B$9:$B$29,0))="Contrato",IF(INDEX(Config!$E$9:$E$29,MATCH($B4124,Config!$B$9:$B$29,0))="","",INDEX(Config!$E$9:$E$29,MATCH($B4124,Config!$B$9:$B$29,0))),""),""))</f>
        <v/>
      </c>
      <c r="AI4124" s="19" t="str">
        <f>IF($B4124="","",IFERROR(INDEX(Config!$D$9:$D$29,MATCH($B4124,Config!$B$9:$B$29,0))&amp;"",""))</f>
        <v/>
      </c>
    </row>
    <row r="4125">
      <c r="X4125" s="20" t="str">
        <f>IF($B4125="","",IFERROR(IF(INDEX(Config!$D$9:$D$29,MATCH($B4125,Config!$B$9:$B$29,0))="Contrato",IF(INDEX(Config!$E$9:$E$29,MATCH($B4125,Config!$B$9:$B$29,0))="","",INDEX(Config!$E$9:$E$29,MATCH($B4125,Config!$B$9:$B$29,0))),""),""))</f>
        <v/>
      </c>
      <c r="AI4125" s="19" t="str">
        <f>IF($B4125="","",IFERROR(INDEX(Config!$D$9:$D$29,MATCH($B4125,Config!$B$9:$B$29,0))&amp;"",""))</f>
        <v/>
      </c>
    </row>
    <row r="4126">
      <c r="X4126" s="20" t="str">
        <f>IF($B4126="","",IFERROR(IF(INDEX(Config!$D$9:$D$29,MATCH($B4126,Config!$B$9:$B$29,0))="Contrato",IF(INDEX(Config!$E$9:$E$29,MATCH($B4126,Config!$B$9:$B$29,0))="","",INDEX(Config!$E$9:$E$29,MATCH($B4126,Config!$B$9:$B$29,0))),""),""))</f>
        <v/>
      </c>
      <c r="AI4126" s="19" t="str">
        <f>IF($B4126="","",IFERROR(INDEX(Config!$D$9:$D$29,MATCH($B4126,Config!$B$9:$B$29,0))&amp;"",""))</f>
        <v/>
      </c>
    </row>
    <row r="4127">
      <c r="X4127" s="20" t="str">
        <f>IF($B4127="","",IFERROR(IF(INDEX(Config!$D$9:$D$29,MATCH($B4127,Config!$B$9:$B$29,0))="Contrato",IF(INDEX(Config!$E$9:$E$29,MATCH($B4127,Config!$B$9:$B$29,0))="","",INDEX(Config!$E$9:$E$29,MATCH($B4127,Config!$B$9:$B$29,0))),""),""))</f>
        <v/>
      </c>
      <c r="AI4127" s="19" t="str">
        <f>IF($B4127="","",IFERROR(INDEX(Config!$D$9:$D$29,MATCH($B4127,Config!$B$9:$B$29,0))&amp;"",""))</f>
        <v/>
      </c>
    </row>
    <row r="4128">
      <c r="X4128" s="20" t="str">
        <f>IF($B4128="","",IFERROR(IF(INDEX(Config!$D$9:$D$29,MATCH($B4128,Config!$B$9:$B$29,0))="Contrato",IF(INDEX(Config!$E$9:$E$29,MATCH($B4128,Config!$B$9:$B$29,0))="","",INDEX(Config!$E$9:$E$29,MATCH($B4128,Config!$B$9:$B$29,0))),""),""))</f>
        <v/>
      </c>
      <c r="AI4128" s="19" t="str">
        <f>IF($B4128="","",IFERROR(INDEX(Config!$D$9:$D$29,MATCH($B4128,Config!$B$9:$B$29,0))&amp;"",""))</f>
        <v/>
      </c>
    </row>
    <row r="4129">
      <c r="X4129" s="20" t="str">
        <f>IF($B4129="","",IFERROR(IF(INDEX(Config!$D$9:$D$29,MATCH($B4129,Config!$B$9:$B$29,0))="Contrato",IF(INDEX(Config!$E$9:$E$29,MATCH($B4129,Config!$B$9:$B$29,0))="","",INDEX(Config!$E$9:$E$29,MATCH($B4129,Config!$B$9:$B$29,0))),""),""))</f>
        <v/>
      </c>
      <c r="AI4129" s="19" t="str">
        <f>IF($B4129="","",IFERROR(INDEX(Config!$D$9:$D$29,MATCH($B4129,Config!$B$9:$B$29,0))&amp;"",""))</f>
        <v/>
      </c>
    </row>
    <row r="4130">
      <c r="X4130" s="20" t="str">
        <f>IF($B4130="","",IFERROR(IF(INDEX(Config!$D$9:$D$29,MATCH($B4130,Config!$B$9:$B$29,0))="Contrato",IF(INDEX(Config!$E$9:$E$29,MATCH($B4130,Config!$B$9:$B$29,0))="","",INDEX(Config!$E$9:$E$29,MATCH($B4130,Config!$B$9:$B$29,0))),""),""))</f>
        <v/>
      </c>
      <c r="AI4130" s="19" t="str">
        <f>IF($B4130="","",IFERROR(INDEX(Config!$D$9:$D$29,MATCH($B4130,Config!$B$9:$B$29,0))&amp;"",""))</f>
        <v/>
      </c>
    </row>
    <row r="4131">
      <c r="X4131" s="20" t="str">
        <f>IF($B4131="","",IFERROR(IF(INDEX(Config!$D$9:$D$29,MATCH($B4131,Config!$B$9:$B$29,0))="Contrato",IF(INDEX(Config!$E$9:$E$29,MATCH($B4131,Config!$B$9:$B$29,0))="","",INDEX(Config!$E$9:$E$29,MATCH($B4131,Config!$B$9:$B$29,0))),""),""))</f>
        <v/>
      </c>
      <c r="AI4131" s="19" t="str">
        <f>IF($B4131="","",IFERROR(INDEX(Config!$D$9:$D$29,MATCH($B4131,Config!$B$9:$B$29,0))&amp;"",""))</f>
        <v/>
      </c>
    </row>
    <row r="4132">
      <c r="X4132" s="20" t="str">
        <f>IF($B4132="","",IFERROR(IF(INDEX(Config!$D$9:$D$29,MATCH($B4132,Config!$B$9:$B$29,0))="Contrato",IF(INDEX(Config!$E$9:$E$29,MATCH($B4132,Config!$B$9:$B$29,0))="","",INDEX(Config!$E$9:$E$29,MATCH($B4132,Config!$B$9:$B$29,0))),""),""))</f>
        <v/>
      </c>
      <c r="AI4132" s="19" t="str">
        <f>IF($B4132="","",IFERROR(INDEX(Config!$D$9:$D$29,MATCH($B4132,Config!$B$9:$B$29,0))&amp;"",""))</f>
        <v/>
      </c>
    </row>
    <row r="4133">
      <c r="X4133" s="20" t="str">
        <f>IF($B4133="","",IFERROR(IF(INDEX(Config!$D$9:$D$29,MATCH($B4133,Config!$B$9:$B$29,0))="Contrato",IF(INDEX(Config!$E$9:$E$29,MATCH($B4133,Config!$B$9:$B$29,0))="","",INDEX(Config!$E$9:$E$29,MATCH($B4133,Config!$B$9:$B$29,0))),""),""))</f>
        <v/>
      </c>
      <c r="AI4133" s="19" t="str">
        <f>IF($B4133="","",IFERROR(INDEX(Config!$D$9:$D$29,MATCH($B4133,Config!$B$9:$B$29,0))&amp;"",""))</f>
        <v/>
      </c>
    </row>
    <row r="4134">
      <c r="X4134" s="20" t="str">
        <f>IF($B4134="","",IFERROR(IF(INDEX(Config!$D$9:$D$29,MATCH($B4134,Config!$B$9:$B$29,0))="Contrato",IF(INDEX(Config!$E$9:$E$29,MATCH($B4134,Config!$B$9:$B$29,0))="","",INDEX(Config!$E$9:$E$29,MATCH($B4134,Config!$B$9:$B$29,0))),""),""))</f>
        <v/>
      </c>
      <c r="AI4134" s="19" t="str">
        <f>IF($B4134="","",IFERROR(INDEX(Config!$D$9:$D$29,MATCH($B4134,Config!$B$9:$B$29,0))&amp;"",""))</f>
        <v/>
      </c>
    </row>
    <row r="4135">
      <c r="X4135" s="20" t="str">
        <f>IF($B4135="","",IFERROR(IF(INDEX(Config!$D$9:$D$29,MATCH($B4135,Config!$B$9:$B$29,0))="Contrato",IF(INDEX(Config!$E$9:$E$29,MATCH($B4135,Config!$B$9:$B$29,0))="","",INDEX(Config!$E$9:$E$29,MATCH($B4135,Config!$B$9:$B$29,0))),""),""))</f>
        <v/>
      </c>
      <c r="AI4135" s="19" t="str">
        <f>IF($B4135="","",IFERROR(INDEX(Config!$D$9:$D$29,MATCH($B4135,Config!$B$9:$B$29,0))&amp;"",""))</f>
        <v/>
      </c>
    </row>
    <row r="4136">
      <c r="X4136" s="20" t="str">
        <f>IF($B4136="","",IFERROR(IF(INDEX(Config!$D$9:$D$29,MATCH($B4136,Config!$B$9:$B$29,0))="Contrato",IF(INDEX(Config!$E$9:$E$29,MATCH($B4136,Config!$B$9:$B$29,0))="","",INDEX(Config!$E$9:$E$29,MATCH($B4136,Config!$B$9:$B$29,0))),""),""))</f>
        <v/>
      </c>
      <c r="AI4136" s="19" t="str">
        <f>IF($B4136="","",IFERROR(INDEX(Config!$D$9:$D$29,MATCH($B4136,Config!$B$9:$B$29,0))&amp;"",""))</f>
        <v/>
      </c>
    </row>
    <row r="4137">
      <c r="X4137" s="20" t="str">
        <f>IF($B4137="","",IFERROR(IF(INDEX(Config!$D$9:$D$29,MATCH($B4137,Config!$B$9:$B$29,0))="Contrato",IF(INDEX(Config!$E$9:$E$29,MATCH($B4137,Config!$B$9:$B$29,0))="","",INDEX(Config!$E$9:$E$29,MATCH($B4137,Config!$B$9:$B$29,0))),""),""))</f>
        <v/>
      </c>
      <c r="AI4137" s="19" t="str">
        <f>IF($B4137="","",IFERROR(INDEX(Config!$D$9:$D$29,MATCH($B4137,Config!$B$9:$B$29,0))&amp;"",""))</f>
        <v/>
      </c>
    </row>
    <row r="4138">
      <c r="X4138" s="20" t="str">
        <f>IF($B4138="","",IFERROR(IF(INDEX(Config!$D$9:$D$29,MATCH($B4138,Config!$B$9:$B$29,0))="Contrato",IF(INDEX(Config!$E$9:$E$29,MATCH($B4138,Config!$B$9:$B$29,0))="","",INDEX(Config!$E$9:$E$29,MATCH($B4138,Config!$B$9:$B$29,0))),""),""))</f>
        <v/>
      </c>
      <c r="AI4138" s="19" t="str">
        <f>IF($B4138="","",IFERROR(INDEX(Config!$D$9:$D$29,MATCH($B4138,Config!$B$9:$B$29,0))&amp;"",""))</f>
        <v/>
      </c>
    </row>
    <row r="4139">
      <c r="X4139" s="20" t="str">
        <f>IF($B4139="","",IFERROR(IF(INDEX(Config!$D$9:$D$29,MATCH($B4139,Config!$B$9:$B$29,0))="Contrato",IF(INDEX(Config!$E$9:$E$29,MATCH($B4139,Config!$B$9:$B$29,0))="","",INDEX(Config!$E$9:$E$29,MATCH($B4139,Config!$B$9:$B$29,0))),""),""))</f>
        <v/>
      </c>
      <c r="AI4139" s="19" t="str">
        <f>IF($B4139="","",IFERROR(INDEX(Config!$D$9:$D$29,MATCH($B4139,Config!$B$9:$B$29,0))&amp;"",""))</f>
        <v/>
      </c>
    </row>
    <row r="4140">
      <c r="X4140" s="20" t="str">
        <f>IF($B4140="","",IFERROR(IF(INDEX(Config!$D$9:$D$29,MATCH($B4140,Config!$B$9:$B$29,0))="Contrato",IF(INDEX(Config!$E$9:$E$29,MATCH($B4140,Config!$B$9:$B$29,0))="","",INDEX(Config!$E$9:$E$29,MATCH($B4140,Config!$B$9:$B$29,0))),""),""))</f>
        <v/>
      </c>
      <c r="AI4140" s="19" t="str">
        <f>IF($B4140="","",IFERROR(INDEX(Config!$D$9:$D$29,MATCH($B4140,Config!$B$9:$B$29,0))&amp;"",""))</f>
        <v/>
      </c>
    </row>
    <row r="4141">
      <c r="X4141" s="20" t="str">
        <f>IF($B4141="","",IFERROR(IF(INDEX(Config!$D$9:$D$29,MATCH($B4141,Config!$B$9:$B$29,0))="Contrato",IF(INDEX(Config!$E$9:$E$29,MATCH($B4141,Config!$B$9:$B$29,0))="","",INDEX(Config!$E$9:$E$29,MATCH($B4141,Config!$B$9:$B$29,0))),""),""))</f>
        <v/>
      </c>
      <c r="AI4141" s="19" t="str">
        <f>IF($B4141="","",IFERROR(INDEX(Config!$D$9:$D$29,MATCH($B4141,Config!$B$9:$B$29,0))&amp;"",""))</f>
        <v/>
      </c>
    </row>
    <row r="4142">
      <c r="X4142" s="20" t="str">
        <f>IF($B4142="","",IFERROR(IF(INDEX(Config!$D$9:$D$29,MATCH($B4142,Config!$B$9:$B$29,0))="Contrato",IF(INDEX(Config!$E$9:$E$29,MATCH($B4142,Config!$B$9:$B$29,0))="","",INDEX(Config!$E$9:$E$29,MATCH($B4142,Config!$B$9:$B$29,0))),""),""))</f>
        <v/>
      </c>
      <c r="AI4142" s="19" t="str">
        <f>IF($B4142="","",IFERROR(INDEX(Config!$D$9:$D$29,MATCH($B4142,Config!$B$9:$B$29,0))&amp;"",""))</f>
        <v/>
      </c>
    </row>
    <row r="4143">
      <c r="X4143" s="20" t="str">
        <f>IF($B4143="","",IFERROR(IF(INDEX(Config!$D$9:$D$29,MATCH($B4143,Config!$B$9:$B$29,0))="Contrato",IF(INDEX(Config!$E$9:$E$29,MATCH($B4143,Config!$B$9:$B$29,0))="","",INDEX(Config!$E$9:$E$29,MATCH($B4143,Config!$B$9:$B$29,0))),""),""))</f>
        <v/>
      </c>
      <c r="AI4143" s="19" t="str">
        <f>IF($B4143="","",IFERROR(INDEX(Config!$D$9:$D$29,MATCH($B4143,Config!$B$9:$B$29,0))&amp;"",""))</f>
        <v/>
      </c>
    </row>
    <row r="4144">
      <c r="X4144" s="20" t="str">
        <f>IF($B4144="","",IFERROR(IF(INDEX(Config!$D$9:$D$29,MATCH($B4144,Config!$B$9:$B$29,0))="Contrato",IF(INDEX(Config!$E$9:$E$29,MATCH($B4144,Config!$B$9:$B$29,0))="","",INDEX(Config!$E$9:$E$29,MATCH($B4144,Config!$B$9:$B$29,0))),""),""))</f>
        <v/>
      </c>
      <c r="AI4144" s="19" t="str">
        <f>IF($B4144="","",IFERROR(INDEX(Config!$D$9:$D$29,MATCH($B4144,Config!$B$9:$B$29,0))&amp;"",""))</f>
        <v/>
      </c>
    </row>
    <row r="4145">
      <c r="X4145" s="20" t="str">
        <f>IF($B4145="","",IFERROR(IF(INDEX(Config!$D$9:$D$29,MATCH($B4145,Config!$B$9:$B$29,0))="Contrato",IF(INDEX(Config!$E$9:$E$29,MATCH($B4145,Config!$B$9:$B$29,0))="","",INDEX(Config!$E$9:$E$29,MATCH($B4145,Config!$B$9:$B$29,0))),""),""))</f>
        <v/>
      </c>
      <c r="AI4145" s="19" t="str">
        <f>IF($B4145="","",IFERROR(INDEX(Config!$D$9:$D$29,MATCH($B4145,Config!$B$9:$B$29,0))&amp;"",""))</f>
        <v/>
      </c>
    </row>
    <row r="4146">
      <c r="X4146" s="20" t="str">
        <f>IF($B4146="","",IFERROR(IF(INDEX(Config!$D$9:$D$29,MATCH($B4146,Config!$B$9:$B$29,0))="Contrato",IF(INDEX(Config!$E$9:$E$29,MATCH($B4146,Config!$B$9:$B$29,0))="","",INDEX(Config!$E$9:$E$29,MATCH($B4146,Config!$B$9:$B$29,0))),""),""))</f>
        <v/>
      </c>
      <c r="AI4146" s="19" t="str">
        <f>IF($B4146="","",IFERROR(INDEX(Config!$D$9:$D$29,MATCH($B4146,Config!$B$9:$B$29,0))&amp;"",""))</f>
        <v/>
      </c>
    </row>
    <row r="4147">
      <c r="X4147" s="20" t="str">
        <f>IF($B4147="","",IFERROR(IF(INDEX(Config!$D$9:$D$29,MATCH($B4147,Config!$B$9:$B$29,0))="Contrato",IF(INDEX(Config!$E$9:$E$29,MATCH($B4147,Config!$B$9:$B$29,0))="","",INDEX(Config!$E$9:$E$29,MATCH($B4147,Config!$B$9:$B$29,0))),""),""))</f>
        <v/>
      </c>
      <c r="AI4147" s="19" t="str">
        <f>IF($B4147="","",IFERROR(INDEX(Config!$D$9:$D$29,MATCH($B4147,Config!$B$9:$B$29,0))&amp;"",""))</f>
        <v/>
      </c>
    </row>
    <row r="4148">
      <c r="X4148" s="20" t="str">
        <f>IF($B4148="","",IFERROR(IF(INDEX(Config!$D$9:$D$29,MATCH($B4148,Config!$B$9:$B$29,0))="Contrato",IF(INDEX(Config!$E$9:$E$29,MATCH($B4148,Config!$B$9:$B$29,0))="","",INDEX(Config!$E$9:$E$29,MATCH($B4148,Config!$B$9:$B$29,0))),""),""))</f>
        <v/>
      </c>
      <c r="AI4148" s="19" t="str">
        <f>IF($B4148="","",IFERROR(INDEX(Config!$D$9:$D$29,MATCH($B4148,Config!$B$9:$B$29,0))&amp;"",""))</f>
        <v/>
      </c>
    </row>
    <row r="4149">
      <c r="X4149" s="20" t="str">
        <f>IF($B4149="","",IFERROR(IF(INDEX(Config!$D$9:$D$29,MATCH($B4149,Config!$B$9:$B$29,0))="Contrato",IF(INDEX(Config!$E$9:$E$29,MATCH($B4149,Config!$B$9:$B$29,0))="","",INDEX(Config!$E$9:$E$29,MATCH($B4149,Config!$B$9:$B$29,0))),""),""))</f>
        <v/>
      </c>
      <c r="AI4149" s="19" t="str">
        <f>IF($B4149="","",IFERROR(INDEX(Config!$D$9:$D$29,MATCH($B4149,Config!$B$9:$B$29,0))&amp;"",""))</f>
        <v/>
      </c>
    </row>
    <row r="4150">
      <c r="X4150" s="20" t="str">
        <f>IF($B4150="","",IFERROR(IF(INDEX(Config!$D$9:$D$29,MATCH($B4150,Config!$B$9:$B$29,0))="Contrato",IF(INDEX(Config!$E$9:$E$29,MATCH($B4150,Config!$B$9:$B$29,0))="","",INDEX(Config!$E$9:$E$29,MATCH($B4150,Config!$B$9:$B$29,0))),""),""))</f>
        <v/>
      </c>
      <c r="AI4150" s="19" t="str">
        <f>IF($B4150="","",IFERROR(INDEX(Config!$D$9:$D$29,MATCH($B4150,Config!$B$9:$B$29,0))&amp;"",""))</f>
        <v/>
      </c>
    </row>
    <row r="4151">
      <c r="X4151" s="20" t="str">
        <f>IF($B4151="","",IFERROR(IF(INDEX(Config!$D$9:$D$29,MATCH($B4151,Config!$B$9:$B$29,0))="Contrato",IF(INDEX(Config!$E$9:$E$29,MATCH($B4151,Config!$B$9:$B$29,0))="","",INDEX(Config!$E$9:$E$29,MATCH($B4151,Config!$B$9:$B$29,0))),""),""))</f>
        <v/>
      </c>
      <c r="AI4151" s="19" t="str">
        <f>IF($B4151="","",IFERROR(INDEX(Config!$D$9:$D$29,MATCH($B4151,Config!$B$9:$B$29,0))&amp;"",""))</f>
        <v/>
      </c>
    </row>
    <row r="4152">
      <c r="X4152" s="20" t="str">
        <f>IF($B4152="","",IFERROR(IF(INDEX(Config!$D$9:$D$29,MATCH($B4152,Config!$B$9:$B$29,0))="Contrato",IF(INDEX(Config!$E$9:$E$29,MATCH($B4152,Config!$B$9:$B$29,0))="","",INDEX(Config!$E$9:$E$29,MATCH($B4152,Config!$B$9:$B$29,0))),""),""))</f>
        <v/>
      </c>
      <c r="AI4152" s="19" t="str">
        <f>IF($B4152="","",IFERROR(INDEX(Config!$D$9:$D$29,MATCH($B4152,Config!$B$9:$B$29,0))&amp;"",""))</f>
        <v/>
      </c>
    </row>
    <row r="4153">
      <c r="X4153" s="20" t="str">
        <f>IF($B4153="","",IFERROR(IF(INDEX(Config!$D$9:$D$29,MATCH($B4153,Config!$B$9:$B$29,0))="Contrato",IF(INDEX(Config!$E$9:$E$29,MATCH($B4153,Config!$B$9:$B$29,0))="","",INDEX(Config!$E$9:$E$29,MATCH($B4153,Config!$B$9:$B$29,0))),""),""))</f>
        <v/>
      </c>
      <c r="AI4153" s="19" t="str">
        <f>IF($B4153="","",IFERROR(INDEX(Config!$D$9:$D$29,MATCH($B4153,Config!$B$9:$B$29,0))&amp;"",""))</f>
        <v/>
      </c>
    </row>
    <row r="4154">
      <c r="X4154" s="20" t="str">
        <f>IF($B4154="","",IFERROR(IF(INDEX(Config!$D$9:$D$29,MATCH($B4154,Config!$B$9:$B$29,0))="Contrato",IF(INDEX(Config!$E$9:$E$29,MATCH($B4154,Config!$B$9:$B$29,0))="","",INDEX(Config!$E$9:$E$29,MATCH($B4154,Config!$B$9:$B$29,0))),""),""))</f>
        <v/>
      </c>
      <c r="AI4154" s="19" t="str">
        <f>IF($B4154="","",IFERROR(INDEX(Config!$D$9:$D$29,MATCH($B4154,Config!$B$9:$B$29,0))&amp;"",""))</f>
        <v/>
      </c>
    </row>
    <row r="4155">
      <c r="X4155" s="20" t="str">
        <f>IF($B4155="","",IFERROR(IF(INDEX(Config!$D$9:$D$29,MATCH($B4155,Config!$B$9:$B$29,0))="Contrato",IF(INDEX(Config!$E$9:$E$29,MATCH($B4155,Config!$B$9:$B$29,0))="","",INDEX(Config!$E$9:$E$29,MATCH($B4155,Config!$B$9:$B$29,0))),""),""))</f>
        <v/>
      </c>
      <c r="AI4155" s="19" t="str">
        <f>IF($B4155="","",IFERROR(INDEX(Config!$D$9:$D$29,MATCH($B4155,Config!$B$9:$B$29,0))&amp;"",""))</f>
        <v/>
      </c>
    </row>
    <row r="4156">
      <c r="X4156" s="20" t="str">
        <f>IF($B4156="","",IFERROR(IF(INDEX(Config!$D$9:$D$29,MATCH($B4156,Config!$B$9:$B$29,0))="Contrato",IF(INDEX(Config!$E$9:$E$29,MATCH($B4156,Config!$B$9:$B$29,0))="","",INDEX(Config!$E$9:$E$29,MATCH($B4156,Config!$B$9:$B$29,0))),""),""))</f>
        <v/>
      </c>
      <c r="AI4156" s="19" t="str">
        <f>IF($B4156="","",IFERROR(INDEX(Config!$D$9:$D$29,MATCH($B4156,Config!$B$9:$B$29,0))&amp;"",""))</f>
        <v/>
      </c>
    </row>
    <row r="4157">
      <c r="X4157" s="20" t="str">
        <f>IF($B4157="","",IFERROR(IF(INDEX(Config!$D$9:$D$29,MATCH($B4157,Config!$B$9:$B$29,0))="Contrato",IF(INDEX(Config!$E$9:$E$29,MATCH($B4157,Config!$B$9:$B$29,0))="","",INDEX(Config!$E$9:$E$29,MATCH($B4157,Config!$B$9:$B$29,0))),""),""))</f>
        <v/>
      </c>
      <c r="AI4157" s="19" t="str">
        <f>IF($B4157="","",IFERROR(INDEX(Config!$D$9:$D$29,MATCH($B4157,Config!$B$9:$B$29,0))&amp;"",""))</f>
        <v/>
      </c>
    </row>
    <row r="4158">
      <c r="X4158" s="20" t="str">
        <f>IF($B4158="","",IFERROR(IF(INDEX(Config!$D$9:$D$29,MATCH($B4158,Config!$B$9:$B$29,0))="Contrato",IF(INDEX(Config!$E$9:$E$29,MATCH($B4158,Config!$B$9:$B$29,0))="","",INDEX(Config!$E$9:$E$29,MATCH($B4158,Config!$B$9:$B$29,0))),""),""))</f>
        <v/>
      </c>
      <c r="AI4158" s="19" t="str">
        <f>IF($B4158="","",IFERROR(INDEX(Config!$D$9:$D$29,MATCH($B4158,Config!$B$9:$B$29,0))&amp;"",""))</f>
        <v/>
      </c>
    </row>
    <row r="4159">
      <c r="X4159" s="20" t="str">
        <f>IF($B4159="","",IFERROR(IF(INDEX(Config!$D$9:$D$29,MATCH($B4159,Config!$B$9:$B$29,0))="Contrato",IF(INDEX(Config!$E$9:$E$29,MATCH($B4159,Config!$B$9:$B$29,0))="","",INDEX(Config!$E$9:$E$29,MATCH($B4159,Config!$B$9:$B$29,0))),""),""))</f>
        <v/>
      </c>
      <c r="AI4159" s="19" t="str">
        <f>IF($B4159="","",IFERROR(INDEX(Config!$D$9:$D$29,MATCH($B4159,Config!$B$9:$B$29,0))&amp;"",""))</f>
        <v/>
      </c>
    </row>
    <row r="4160">
      <c r="X4160" s="20" t="str">
        <f>IF($B4160="","",IFERROR(IF(INDEX(Config!$D$9:$D$29,MATCH($B4160,Config!$B$9:$B$29,0))="Contrato",IF(INDEX(Config!$E$9:$E$29,MATCH($B4160,Config!$B$9:$B$29,0))="","",INDEX(Config!$E$9:$E$29,MATCH($B4160,Config!$B$9:$B$29,0))),""),""))</f>
        <v/>
      </c>
      <c r="AI4160" s="19" t="str">
        <f>IF($B4160="","",IFERROR(INDEX(Config!$D$9:$D$29,MATCH($B4160,Config!$B$9:$B$29,0))&amp;"",""))</f>
        <v/>
      </c>
    </row>
    <row r="4161">
      <c r="X4161" s="20" t="str">
        <f>IF($B4161="","",IFERROR(IF(INDEX(Config!$D$9:$D$29,MATCH($B4161,Config!$B$9:$B$29,0))="Contrato",IF(INDEX(Config!$E$9:$E$29,MATCH($B4161,Config!$B$9:$B$29,0))="","",INDEX(Config!$E$9:$E$29,MATCH($B4161,Config!$B$9:$B$29,0))),""),""))</f>
        <v/>
      </c>
      <c r="AI4161" s="19" t="str">
        <f>IF($B4161="","",IFERROR(INDEX(Config!$D$9:$D$29,MATCH($B4161,Config!$B$9:$B$29,0))&amp;"",""))</f>
        <v/>
      </c>
    </row>
    <row r="4162">
      <c r="X4162" s="20" t="str">
        <f>IF($B4162="","",IFERROR(IF(INDEX(Config!$D$9:$D$29,MATCH($B4162,Config!$B$9:$B$29,0))="Contrato",IF(INDEX(Config!$E$9:$E$29,MATCH($B4162,Config!$B$9:$B$29,0))="","",INDEX(Config!$E$9:$E$29,MATCH($B4162,Config!$B$9:$B$29,0))),""),""))</f>
        <v/>
      </c>
      <c r="AI4162" s="19" t="str">
        <f>IF($B4162="","",IFERROR(INDEX(Config!$D$9:$D$29,MATCH($B4162,Config!$B$9:$B$29,0))&amp;"",""))</f>
        <v/>
      </c>
    </row>
    <row r="4163">
      <c r="X4163" s="20" t="str">
        <f>IF($B4163="","",IFERROR(IF(INDEX(Config!$D$9:$D$29,MATCH($B4163,Config!$B$9:$B$29,0))="Contrato",IF(INDEX(Config!$E$9:$E$29,MATCH($B4163,Config!$B$9:$B$29,0))="","",INDEX(Config!$E$9:$E$29,MATCH($B4163,Config!$B$9:$B$29,0))),""),""))</f>
        <v/>
      </c>
      <c r="AI4163" s="19" t="str">
        <f>IF($B4163="","",IFERROR(INDEX(Config!$D$9:$D$29,MATCH($B4163,Config!$B$9:$B$29,0))&amp;"",""))</f>
        <v/>
      </c>
    </row>
    <row r="4164">
      <c r="X4164" s="20" t="str">
        <f>IF($B4164="","",IFERROR(IF(INDEX(Config!$D$9:$D$29,MATCH($B4164,Config!$B$9:$B$29,0))="Contrato",IF(INDEX(Config!$E$9:$E$29,MATCH($B4164,Config!$B$9:$B$29,0))="","",INDEX(Config!$E$9:$E$29,MATCH($B4164,Config!$B$9:$B$29,0))),""),""))</f>
        <v/>
      </c>
      <c r="AI4164" s="19" t="str">
        <f>IF($B4164="","",IFERROR(INDEX(Config!$D$9:$D$29,MATCH($B4164,Config!$B$9:$B$29,0))&amp;"",""))</f>
        <v/>
      </c>
    </row>
    <row r="4165">
      <c r="X4165" s="20" t="str">
        <f>IF($B4165="","",IFERROR(IF(INDEX(Config!$D$9:$D$29,MATCH($B4165,Config!$B$9:$B$29,0))="Contrato",IF(INDEX(Config!$E$9:$E$29,MATCH($B4165,Config!$B$9:$B$29,0))="","",INDEX(Config!$E$9:$E$29,MATCH($B4165,Config!$B$9:$B$29,0))),""),""))</f>
        <v/>
      </c>
      <c r="AI4165" s="19" t="str">
        <f>IF($B4165="","",IFERROR(INDEX(Config!$D$9:$D$29,MATCH($B4165,Config!$B$9:$B$29,0))&amp;"",""))</f>
        <v/>
      </c>
    </row>
    <row r="4166">
      <c r="X4166" s="20" t="str">
        <f>IF($B4166="","",IFERROR(IF(INDEX(Config!$D$9:$D$29,MATCH($B4166,Config!$B$9:$B$29,0))="Contrato",IF(INDEX(Config!$E$9:$E$29,MATCH($B4166,Config!$B$9:$B$29,0))="","",INDEX(Config!$E$9:$E$29,MATCH($B4166,Config!$B$9:$B$29,0))),""),""))</f>
        <v/>
      </c>
      <c r="AI4166" s="19" t="str">
        <f>IF($B4166="","",IFERROR(INDEX(Config!$D$9:$D$29,MATCH($B4166,Config!$B$9:$B$29,0))&amp;"",""))</f>
        <v/>
      </c>
    </row>
    <row r="4167">
      <c r="X4167" s="20" t="str">
        <f>IF($B4167="","",IFERROR(IF(INDEX(Config!$D$9:$D$29,MATCH($B4167,Config!$B$9:$B$29,0))="Contrato",IF(INDEX(Config!$E$9:$E$29,MATCH($B4167,Config!$B$9:$B$29,0))="","",INDEX(Config!$E$9:$E$29,MATCH($B4167,Config!$B$9:$B$29,0))),""),""))</f>
        <v/>
      </c>
      <c r="AI4167" s="19" t="str">
        <f>IF($B4167="","",IFERROR(INDEX(Config!$D$9:$D$29,MATCH($B4167,Config!$B$9:$B$29,0))&amp;"",""))</f>
        <v/>
      </c>
    </row>
    <row r="4168">
      <c r="X4168" s="20" t="str">
        <f>IF($B4168="","",IFERROR(IF(INDEX(Config!$D$9:$D$29,MATCH($B4168,Config!$B$9:$B$29,0))="Contrato",IF(INDEX(Config!$E$9:$E$29,MATCH($B4168,Config!$B$9:$B$29,0))="","",INDEX(Config!$E$9:$E$29,MATCH($B4168,Config!$B$9:$B$29,0))),""),""))</f>
        <v/>
      </c>
      <c r="AI4168" s="19" t="str">
        <f>IF($B4168="","",IFERROR(INDEX(Config!$D$9:$D$29,MATCH($B4168,Config!$B$9:$B$29,0))&amp;"",""))</f>
        <v/>
      </c>
    </row>
    <row r="4169">
      <c r="X4169" s="20" t="str">
        <f>IF($B4169="","",IFERROR(IF(INDEX(Config!$D$9:$D$29,MATCH($B4169,Config!$B$9:$B$29,0))="Contrato",IF(INDEX(Config!$E$9:$E$29,MATCH($B4169,Config!$B$9:$B$29,0))="","",INDEX(Config!$E$9:$E$29,MATCH($B4169,Config!$B$9:$B$29,0))),""),""))</f>
        <v/>
      </c>
      <c r="AI4169" s="19" t="str">
        <f>IF($B4169="","",IFERROR(INDEX(Config!$D$9:$D$29,MATCH($B4169,Config!$B$9:$B$29,0))&amp;"",""))</f>
        <v/>
      </c>
    </row>
    <row r="4170">
      <c r="X4170" s="20" t="str">
        <f>IF($B4170="","",IFERROR(IF(INDEX(Config!$D$9:$D$29,MATCH($B4170,Config!$B$9:$B$29,0))="Contrato",IF(INDEX(Config!$E$9:$E$29,MATCH($B4170,Config!$B$9:$B$29,0))="","",INDEX(Config!$E$9:$E$29,MATCH($B4170,Config!$B$9:$B$29,0))),""),""))</f>
        <v/>
      </c>
      <c r="AI4170" s="19" t="str">
        <f>IF($B4170="","",IFERROR(INDEX(Config!$D$9:$D$29,MATCH($B4170,Config!$B$9:$B$29,0))&amp;"",""))</f>
        <v/>
      </c>
    </row>
    <row r="4171">
      <c r="X4171" s="20" t="str">
        <f>IF($B4171="","",IFERROR(IF(INDEX(Config!$D$9:$D$29,MATCH($B4171,Config!$B$9:$B$29,0))="Contrato",IF(INDEX(Config!$E$9:$E$29,MATCH($B4171,Config!$B$9:$B$29,0))="","",INDEX(Config!$E$9:$E$29,MATCH($B4171,Config!$B$9:$B$29,0))),""),""))</f>
        <v/>
      </c>
      <c r="AI4171" s="19" t="str">
        <f>IF($B4171="","",IFERROR(INDEX(Config!$D$9:$D$29,MATCH($B4171,Config!$B$9:$B$29,0))&amp;"",""))</f>
        <v/>
      </c>
    </row>
    <row r="4172">
      <c r="X4172" s="20" t="str">
        <f>IF($B4172="","",IFERROR(IF(INDEX(Config!$D$9:$D$29,MATCH($B4172,Config!$B$9:$B$29,0))="Contrato",IF(INDEX(Config!$E$9:$E$29,MATCH($B4172,Config!$B$9:$B$29,0))="","",INDEX(Config!$E$9:$E$29,MATCH($B4172,Config!$B$9:$B$29,0))),""),""))</f>
        <v/>
      </c>
      <c r="AI4172" s="19" t="str">
        <f>IF($B4172="","",IFERROR(INDEX(Config!$D$9:$D$29,MATCH($B4172,Config!$B$9:$B$29,0))&amp;"",""))</f>
        <v/>
      </c>
    </row>
    <row r="4173">
      <c r="X4173" s="20" t="str">
        <f>IF($B4173="","",IFERROR(IF(INDEX(Config!$D$9:$D$29,MATCH($B4173,Config!$B$9:$B$29,0))="Contrato",IF(INDEX(Config!$E$9:$E$29,MATCH($B4173,Config!$B$9:$B$29,0))="","",INDEX(Config!$E$9:$E$29,MATCH($B4173,Config!$B$9:$B$29,0))),""),""))</f>
        <v/>
      </c>
      <c r="AI4173" s="19" t="str">
        <f>IF($B4173="","",IFERROR(INDEX(Config!$D$9:$D$29,MATCH($B4173,Config!$B$9:$B$29,0))&amp;"",""))</f>
        <v/>
      </c>
    </row>
    <row r="4174">
      <c r="X4174" s="20" t="str">
        <f>IF($B4174="","",IFERROR(IF(INDEX(Config!$D$9:$D$29,MATCH($B4174,Config!$B$9:$B$29,0))="Contrato",IF(INDEX(Config!$E$9:$E$29,MATCH($B4174,Config!$B$9:$B$29,0))="","",INDEX(Config!$E$9:$E$29,MATCH($B4174,Config!$B$9:$B$29,0))),""),""))</f>
        <v/>
      </c>
      <c r="AI4174" s="19" t="str">
        <f>IF($B4174="","",IFERROR(INDEX(Config!$D$9:$D$29,MATCH($B4174,Config!$B$9:$B$29,0))&amp;"",""))</f>
        <v/>
      </c>
    </row>
    <row r="4175">
      <c r="X4175" s="20" t="str">
        <f>IF($B4175="","",IFERROR(IF(INDEX(Config!$D$9:$D$29,MATCH($B4175,Config!$B$9:$B$29,0))="Contrato",IF(INDEX(Config!$E$9:$E$29,MATCH($B4175,Config!$B$9:$B$29,0))="","",INDEX(Config!$E$9:$E$29,MATCH($B4175,Config!$B$9:$B$29,0))),""),""))</f>
        <v/>
      </c>
      <c r="AI4175" s="19" t="str">
        <f>IF($B4175="","",IFERROR(INDEX(Config!$D$9:$D$29,MATCH($B4175,Config!$B$9:$B$29,0))&amp;"",""))</f>
        <v/>
      </c>
    </row>
    <row r="4176">
      <c r="X4176" s="20" t="str">
        <f>IF($B4176="","",IFERROR(IF(INDEX(Config!$D$9:$D$29,MATCH($B4176,Config!$B$9:$B$29,0))="Contrato",IF(INDEX(Config!$E$9:$E$29,MATCH($B4176,Config!$B$9:$B$29,0))="","",INDEX(Config!$E$9:$E$29,MATCH($B4176,Config!$B$9:$B$29,0))),""),""))</f>
        <v/>
      </c>
      <c r="AI4176" s="19" t="str">
        <f>IF($B4176="","",IFERROR(INDEX(Config!$D$9:$D$29,MATCH($B4176,Config!$B$9:$B$29,0))&amp;"",""))</f>
        <v/>
      </c>
    </row>
    <row r="4177">
      <c r="X4177" s="20" t="str">
        <f>IF($B4177="","",IFERROR(IF(INDEX(Config!$D$9:$D$29,MATCH($B4177,Config!$B$9:$B$29,0))="Contrato",IF(INDEX(Config!$E$9:$E$29,MATCH($B4177,Config!$B$9:$B$29,0))="","",INDEX(Config!$E$9:$E$29,MATCH($B4177,Config!$B$9:$B$29,0))),""),""))</f>
        <v/>
      </c>
      <c r="AI4177" s="19" t="str">
        <f>IF($B4177="","",IFERROR(INDEX(Config!$D$9:$D$29,MATCH($B4177,Config!$B$9:$B$29,0))&amp;"",""))</f>
        <v/>
      </c>
    </row>
    <row r="4178">
      <c r="X4178" s="20" t="str">
        <f>IF($B4178="","",IFERROR(IF(INDEX(Config!$D$9:$D$29,MATCH($B4178,Config!$B$9:$B$29,0))="Contrato",IF(INDEX(Config!$E$9:$E$29,MATCH($B4178,Config!$B$9:$B$29,0))="","",INDEX(Config!$E$9:$E$29,MATCH($B4178,Config!$B$9:$B$29,0))),""),""))</f>
        <v/>
      </c>
      <c r="AI4178" s="19" t="str">
        <f>IF($B4178="","",IFERROR(INDEX(Config!$D$9:$D$29,MATCH($B4178,Config!$B$9:$B$29,0))&amp;"",""))</f>
        <v/>
      </c>
    </row>
    <row r="4179">
      <c r="X4179" s="20" t="str">
        <f>IF($B4179="","",IFERROR(IF(INDEX(Config!$D$9:$D$29,MATCH($B4179,Config!$B$9:$B$29,0))="Contrato",IF(INDEX(Config!$E$9:$E$29,MATCH($B4179,Config!$B$9:$B$29,0))="","",INDEX(Config!$E$9:$E$29,MATCH($B4179,Config!$B$9:$B$29,0))),""),""))</f>
        <v/>
      </c>
      <c r="AI4179" s="19" t="str">
        <f>IF($B4179="","",IFERROR(INDEX(Config!$D$9:$D$29,MATCH($B4179,Config!$B$9:$B$29,0))&amp;"",""))</f>
        <v/>
      </c>
    </row>
    <row r="4180">
      <c r="X4180" s="20" t="str">
        <f>IF($B4180="","",IFERROR(IF(INDEX(Config!$D$9:$D$29,MATCH($B4180,Config!$B$9:$B$29,0))="Contrato",IF(INDEX(Config!$E$9:$E$29,MATCH($B4180,Config!$B$9:$B$29,0))="","",INDEX(Config!$E$9:$E$29,MATCH($B4180,Config!$B$9:$B$29,0))),""),""))</f>
        <v/>
      </c>
      <c r="AI4180" s="19" t="str">
        <f>IF($B4180="","",IFERROR(INDEX(Config!$D$9:$D$29,MATCH($B4180,Config!$B$9:$B$29,0))&amp;"",""))</f>
        <v/>
      </c>
    </row>
    <row r="4181">
      <c r="X4181" s="20" t="str">
        <f>IF($B4181="","",IFERROR(IF(INDEX(Config!$D$9:$D$29,MATCH($B4181,Config!$B$9:$B$29,0))="Contrato",IF(INDEX(Config!$E$9:$E$29,MATCH($B4181,Config!$B$9:$B$29,0))="","",INDEX(Config!$E$9:$E$29,MATCH($B4181,Config!$B$9:$B$29,0))),""),""))</f>
        <v/>
      </c>
      <c r="AI4181" s="19" t="str">
        <f>IF($B4181="","",IFERROR(INDEX(Config!$D$9:$D$29,MATCH($B4181,Config!$B$9:$B$29,0))&amp;"",""))</f>
        <v/>
      </c>
    </row>
    <row r="4182">
      <c r="X4182" s="20" t="str">
        <f>IF($B4182="","",IFERROR(IF(INDEX(Config!$D$9:$D$29,MATCH($B4182,Config!$B$9:$B$29,0))="Contrato",IF(INDEX(Config!$E$9:$E$29,MATCH($B4182,Config!$B$9:$B$29,0))="","",INDEX(Config!$E$9:$E$29,MATCH($B4182,Config!$B$9:$B$29,0))),""),""))</f>
        <v/>
      </c>
      <c r="AI4182" s="19" t="str">
        <f>IF($B4182="","",IFERROR(INDEX(Config!$D$9:$D$29,MATCH($B4182,Config!$B$9:$B$29,0))&amp;"",""))</f>
        <v/>
      </c>
    </row>
    <row r="4183">
      <c r="X4183" s="20" t="str">
        <f>IF($B4183="","",IFERROR(IF(INDEX(Config!$D$9:$D$29,MATCH($B4183,Config!$B$9:$B$29,0))="Contrato",IF(INDEX(Config!$E$9:$E$29,MATCH($B4183,Config!$B$9:$B$29,0))="","",INDEX(Config!$E$9:$E$29,MATCH($B4183,Config!$B$9:$B$29,0))),""),""))</f>
        <v/>
      </c>
      <c r="AI4183" s="19" t="str">
        <f>IF($B4183="","",IFERROR(INDEX(Config!$D$9:$D$29,MATCH($B4183,Config!$B$9:$B$29,0))&amp;"",""))</f>
        <v/>
      </c>
    </row>
    <row r="4184">
      <c r="X4184" s="20" t="str">
        <f>IF($B4184="","",IFERROR(IF(INDEX(Config!$D$9:$D$29,MATCH($B4184,Config!$B$9:$B$29,0))="Contrato",IF(INDEX(Config!$E$9:$E$29,MATCH($B4184,Config!$B$9:$B$29,0))="","",INDEX(Config!$E$9:$E$29,MATCH($B4184,Config!$B$9:$B$29,0))),""),""))</f>
        <v/>
      </c>
      <c r="AI4184" s="19" t="str">
        <f>IF($B4184="","",IFERROR(INDEX(Config!$D$9:$D$29,MATCH($B4184,Config!$B$9:$B$29,0))&amp;"",""))</f>
        <v/>
      </c>
    </row>
    <row r="4185">
      <c r="X4185" s="20" t="str">
        <f>IF($B4185="","",IFERROR(IF(INDEX(Config!$D$9:$D$29,MATCH($B4185,Config!$B$9:$B$29,0))="Contrato",IF(INDEX(Config!$E$9:$E$29,MATCH($B4185,Config!$B$9:$B$29,0))="","",INDEX(Config!$E$9:$E$29,MATCH($B4185,Config!$B$9:$B$29,0))),""),""))</f>
        <v/>
      </c>
      <c r="AI4185" s="19" t="str">
        <f>IF($B4185="","",IFERROR(INDEX(Config!$D$9:$D$29,MATCH($B4185,Config!$B$9:$B$29,0))&amp;"",""))</f>
        <v/>
      </c>
    </row>
    <row r="4186">
      <c r="X4186" s="20" t="str">
        <f>IF($B4186="","",IFERROR(IF(INDEX(Config!$D$9:$D$29,MATCH($B4186,Config!$B$9:$B$29,0))="Contrato",IF(INDEX(Config!$E$9:$E$29,MATCH($B4186,Config!$B$9:$B$29,0))="","",INDEX(Config!$E$9:$E$29,MATCH($B4186,Config!$B$9:$B$29,0))),""),""))</f>
        <v/>
      </c>
      <c r="AI4186" s="19" t="str">
        <f>IF($B4186="","",IFERROR(INDEX(Config!$D$9:$D$29,MATCH($B4186,Config!$B$9:$B$29,0))&amp;"",""))</f>
        <v/>
      </c>
    </row>
    <row r="4187">
      <c r="X4187" s="20" t="str">
        <f>IF($B4187="","",IFERROR(IF(INDEX(Config!$D$9:$D$29,MATCH($B4187,Config!$B$9:$B$29,0))="Contrato",IF(INDEX(Config!$E$9:$E$29,MATCH($B4187,Config!$B$9:$B$29,0))="","",INDEX(Config!$E$9:$E$29,MATCH($B4187,Config!$B$9:$B$29,0))),""),""))</f>
        <v/>
      </c>
      <c r="AI4187" s="19" t="str">
        <f>IF($B4187="","",IFERROR(INDEX(Config!$D$9:$D$29,MATCH($B4187,Config!$B$9:$B$29,0))&amp;"",""))</f>
        <v/>
      </c>
    </row>
    <row r="4188">
      <c r="X4188" s="20" t="str">
        <f>IF($B4188="","",IFERROR(IF(INDEX(Config!$D$9:$D$29,MATCH($B4188,Config!$B$9:$B$29,0))="Contrato",IF(INDEX(Config!$E$9:$E$29,MATCH($B4188,Config!$B$9:$B$29,0))="","",INDEX(Config!$E$9:$E$29,MATCH($B4188,Config!$B$9:$B$29,0))),""),""))</f>
        <v/>
      </c>
      <c r="AI4188" s="19" t="str">
        <f>IF($B4188="","",IFERROR(INDEX(Config!$D$9:$D$29,MATCH($B4188,Config!$B$9:$B$29,0))&amp;"",""))</f>
        <v/>
      </c>
    </row>
    <row r="4189">
      <c r="X4189" s="20" t="str">
        <f>IF($B4189="","",IFERROR(IF(INDEX(Config!$D$9:$D$29,MATCH($B4189,Config!$B$9:$B$29,0))="Contrato",IF(INDEX(Config!$E$9:$E$29,MATCH($B4189,Config!$B$9:$B$29,0))="","",INDEX(Config!$E$9:$E$29,MATCH($B4189,Config!$B$9:$B$29,0))),""),""))</f>
        <v/>
      </c>
      <c r="AI4189" s="19" t="str">
        <f>IF($B4189="","",IFERROR(INDEX(Config!$D$9:$D$29,MATCH($B4189,Config!$B$9:$B$29,0))&amp;"",""))</f>
        <v/>
      </c>
    </row>
    <row r="4190">
      <c r="X4190" s="20" t="str">
        <f>IF($B4190="","",IFERROR(IF(INDEX(Config!$D$9:$D$29,MATCH($B4190,Config!$B$9:$B$29,0))="Contrato",IF(INDEX(Config!$E$9:$E$29,MATCH($B4190,Config!$B$9:$B$29,0))="","",INDEX(Config!$E$9:$E$29,MATCH($B4190,Config!$B$9:$B$29,0))),""),""))</f>
        <v/>
      </c>
      <c r="AI4190" s="19" t="str">
        <f>IF($B4190="","",IFERROR(INDEX(Config!$D$9:$D$29,MATCH($B4190,Config!$B$9:$B$29,0))&amp;"",""))</f>
        <v/>
      </c>
    </row>
    <row r="4191">
      <c r="X4191" s="20" t="str">
        <f>IF($B4191="","",IFERROR(IF(INDEX(Config!$D$9:$D$29,MATCH($B4191,Config!$B$9:$B$29,0))="Contrato",IF(INDEX(Config!$E$9:$E$29,MATCH($B4191,Config!$B$9:$B$29,0))="","",INDEX(Config!$E$9:$E$29,MATCH($B4191,Config!$B$9:$B$29,0))),""),""))</f>
        <v/>
      </c>
      <c r="AI4191" s="19" t="str">
        <f>IF($B4191="","",IFERROR(INDEX(Config!$D$9:$D$29,MATCH($B4191,Config!$B$9:$B$29,0))&amp;"",""))</f>
        <v/>
      </c>
    </row>
    <row r="4192">
      <c r="X4192" s="20" t="str">
        <f>IF($B4192="","",IFERROR(IF(INDEX(Config!$D$9:$D$29,MATCH($B4192,Config!$B$9:$B$29,0))="Contrato",IF(INDEX(Config!$E$9:$E$29,MATCH($B4192,Config!$B$9:$B$29,0))="","",INDEX(Config!$E$9:$E$29,MATCH($B4192,Config!$B$9:$B$29,0))),""),""))</f>
        <v/>
      </c>
      <c r="AI4192" s="19" t="str">
        <f>IF($B4192="","",IFERROR(INDEX(Config!$D$9:$D$29,MATCH($B4192,Config!$B$9:$B$29,0))&amp;"",""))</f>
        <v/>
      </c>
    </row>
    <row r="4193">
      <c r="X4193" s="20" t="str">
        <f>IF($B4193="","",IFERROR(IF(INDEX(Config!$D$9:$D$29,MATCH($B4193,Config!$B$9:$B$29,0))="Contrato",IF(INDEX(Config!$E$9:$E$29,MATCH($B4193,Config!$B$9:$B$29,0))="","",INDEX(Config!$E$9:$E$29,MATCH($B4193,Config!$B$9:$B$29,0))),""),""))</f>
        <v/>
      </c>
      <c r="AI4193" s="19" t="str">
        <f>IF($B4193="","",IFERROR(INDEX(Config!$D$9:$D$29,MATCH($B4193,Config!$B$9:$B$29,0))&amp;"",""))</f>
        <v/>
      </c>
    </row>
    <row r="4194">
      <c r="X4194" s="20" t="str">
        <f>IF($B4194="","",IFERROR(IF(INDEX(Config!$D$9:$D$29,MATCH($B4194,Config!$B$9:$B$29,0))="Contrato",IF(INDEX(Config!$E$9:$E$29,MATCH($B4194,Config!$B$9:$B$29,0))="","",INDEX(Config!$E$9:$E$29,MATCH($B4194,Config!$B$9:$B$29,0))),""),""))</f>
        <v/>
      </c>
      <c r="AI4194" s="19" t="str">
        <f>IF($B4194="","",IFERROR(INDEX(Config!$D$9:$D$29,MATCH($B4194,Config!$B$9:$B$29,0))&amp;"",""))</f>
        <v/>
      </c>
    </row>
    <row r="4195">
      <c r="X4195" s="20" t="str">
        <f>IF($B4195="","",IFERROR(IF(INDEX(Config!$D$9:$D$29,MATCH($B4195,Config!$B$9:$B$29,0))="Contrato",IF(INDEX(Config!$E$9:$E$29,MATCH($B4195,Config!$B$9:$B$29,0))="","",INDEX(Config!$E$9:$E$29,MATCH($B4195,Config!$B$9:$B$29,0))),""),""))</f>
        <v/>
      </c>
      <c r="AI4195" s="19" t="str">
        <f>IF($B4195="","",IFERROR(INDEX(Config!$D$9:$D$29,MATCH($B4195,Config!$B$9:$B$29,0))&amp;"",""))</f>
        <v/>
      </c>
    </row>
    <row r="4196">
      <c r="X4196" s="20" t="str">
        <f>IF($B4196="","",IFERROR(IF(INDEX(Config!$D$9:$D$29,MATCH($B4196,Config!$B$9:$B$29,0))="Contrato",IF(INDEX(Config!$E$9:$E$29,MATCH($B4196,Config!$B$9:$B$29,0))="","",INDEX(Config!$E$9:$E$29,MATCH($B4196,Config!$B$9:$B$29,0))),""),""))</f>
        <v/>
      </c>
      <c r="AI4196" s="19" t="str">
        <f>IF($B4196="","",IFERROR(INDEX(Config!$D$9:$D$29,MATCH($B4196,Config!$B$9:$B$29,0))&amp;"",""))</f>
        <v/>
      </c>
    </row>
    <row r="4197">
      <c r="X4197" s="20" t="str">
        <f>IF($B4197="","",IFERROR(IF(INDEX(Config!$D$9:$D$29,MATCH($B4197,Config!$B$9:$B$29,0))="Contrato",IF(INDEX(Config!$E$9:$E$29,MATCH($B4197,Config!$B$9:$B$29,0))="","",INDEX(Config!$E$9:$E$29,MATCH($B4197,Config!$B$9:$B$29,0))),""),""))</f>
        <v/>
      </c>
      <c r="AI4197" s="19" t="str">
        <f>IF($B4197="","",IFERROR(INDEX(Config!$D$9:$D$29,MATCH($B4197,Config!$B$9:$B$29,0))&amp;"",""))</f>
        <v/>
      </c>
    </row>
    <row r="4198">
      <c r="X4198" s="20" t="str">
        <f>IF($B4198="","",IFERROR(IF(INDEX(Config!$D$9:$D$29,MATCH($B4198,Config!$B$9:$B$29,0))="Contrato",IF(INDEX(Config!$E$9:$E$29,MATCH($B4198,Config!$B$9:$B$29,0))="","",INDEX(Config!$E$9:$E$29,MATCH($B4198,Config!$B$9:$B$29,0))),""),""))</f>
        <v/>
      </c>
      <c r="AI4198" s="19" t="str">
        <f>IF($B4198="","",IFERROR(INDEX(Config!$D$9:$D$29,MATCH($B4198,Config!$B$9:$B$29,0))&amp;"",""))</f>
        <v/>
      </c>
    </row>
    <row r="4199">
      <c r="X4199" s="20" t="str">
        <f>IF($B4199="","",IFERROR(IF(INDEX(Config!$D$9:$D$29,MATCH($B4199,Config!$B$9:$B$29,0))="Contrato",IF(INDEX(Config!$E$9:$E$29,MATCH($B4199,Config!$B$9:$B$29,0))="","",INDEX(Config!$E$9:$E$29,MATCH($B4199,Config!$B$9:$B$29,0))),""),""))</f>
        <v/>
      </c>
      <c r="AI4199" s="19" t="str">
        <f>IF($B4199="","",IFERROR(INDEX(Config!$D$9:$D$29,MATCH($B4199,Config!$B$9:$B$29,0))&amp;"",""))</f>
        <v/>
      </c>
    </row>
    <row r="4200">
      <c r="X4200" s="20" t="str">
        <f>IF($B4200="","",IFERROR(IF(INDEX(Config!$D$9:$D$29,MATCH($B4200,Config!$B$9:$B$29,0))="Contrato",IF(INDEX(Config!$E$9:$E$29,MATCH($B4200,Config!$B$9:$B$29,0))="","",INDEX(Config!$E$9:$E$29,MATCH($B4200,Config!$B$9:$B$29,0))),""),""))</f>
        <v/>
      </c>
      <c r="AI4200" s="19" t="str">
        <f>IF($B4200="","",IFERROR(INDEX(Config!$D$9:$D$29,MATCH($B4200,Config!$B$9:$B$29,0))&amp;"",""))</f>
        <v/>
      </c>
    </row>
    <row r="4201">
      <c r="X4201" s="20" t="str">
        <f>IF($B4201="","",IFERROR(IF(INDEX(Config!$D$9:$D$29,MATCH($B4201,Config!$B$9:$B$29,0))="Contrato",IF(INDEX(Config!$E$9:$E$29,MATCH($B4201,Config!$B$9:$B$29,0))="","",INDEX(Config!$E$9:$E$29,MATCH($B4201,Config!$B$9:$B$29,0))),""),""))</f>
        <v/>
      </c>
      <c r="AI4201" s="19" t="str">
        <f>IF($B4201="","",IFERROR(INDEX(Config!$D$9:$D$29,MATCH($B4201,Config!$B$9:$B$29,0))&amp;"",""))</f>
        <v/>
      </c>
    </row>
    <row r="4202">
      <c r="X4202" s="20" t="str">
        <f>IF($B4202="","",IFERROR(IF(INDEX(Config!$D$9:$D$29,MATCH($B4202,Config!$B$9:$B$29,0))="Contrato",IF(INDEX(Config!$E$9:$E$29,MATCH($B4202,Config!$B$9:$B$29,0))="","",INDEX(Config!$E$9:$E$29,MATCH($B4202,Config!$B$9:$B$29,0))),""),""))</f>
        <v/>
      </c>
      <c r="AI4202" s="19" t="str">
        <f>IF($B4202="","",IFERROR(INDEX(Config!$D$9:$D$29,MATCH($B4202,Config!$B$9:$B$29,0))&amp;"",""))</f>
        <v/>
      </c>
    </row>
    <row r="4203">
      <c r="X4203" s="20" t="str">
        <f>IF($B4203="","",IFERROR(IF(INDEX(Config!$D$9:$D$29,MATCH($B4203,Config!$B$9:$B$29,0))="Contrato",IF(INDEX(Config!$E$9:$E$29,MATCH($B4203,Config!$B$9:$B$29,0))="","",INDEX(Config!$E$9:$E$29,MATCH($B4203,Config!$B$9:$B$29,0))),""),""))</f>
        <v/>
      </c>
      <c r="AI4203" s="19" t="str">
        <f>IF($B4203="","",IFERROR(INDEX(Config!$D$9:$D$29,MATCH($B4203,Config!$B$9:$B$29,0))&amp;"",""))</f>
        <v/>
      </c>
    </row>
    <row r="4204">
      <c r="X4204" s="20" t="str">
        <f>IF($B4204="","",IFERROR(IF(INDEX(Config!$D$9:$D$29,MATCH($B4204,Config!$B$9:$B$29,0))="Contrato",IF(INDEX(Config!$E$9:$E$29,MATCH($B4204,Config!$B$9:$B$29,0))="","",INDEX(Config!$E$9:$E$29,MATCH($B4204,Config!$B$9:$B$29,0))),""),""))</f>
        <v/>
      </c>
      <c r="AI4204" s="19" t="str">
        <f>IF($B4204="","",IFERROR(INDEX(Config!$D$9:$D$29,MATCH($B4204,Config!$B$9:$B$29,0))&amp;"",""))</f>
        <v/>
      </c>
    </row>
    <row r="4205">
      <c r="X4205" s="20" t="str">
        <f>IF($B4205="","",IFERROR(IF(INDEX(Config!$D$9:$D$29,MATCH($B4205,Config!$B$9:$B$29,0))="Contrato",IF(INDEX(Config!$E$9:$E$29,MATCH($B4205,Config!$B$9:$B$29,0))="","",INDEX(Config!$E$9:$E$29,MATCH($B4205,Config!$B$9:$B$29,0))),""),""))</f>
        <v/>
      </c>
      <c r="AI4205" s="19" t="str">
        <f>IF($B4205="","",IFERROR(INDEX(Config!$D$9:$D$29,MATCH($B4205,Config!$B$9:$B$29,0))&amp;"",""))</f>
        <v/>
      </c>
    </row>
    <row r="4206">
      <c r="X4206" s="20" t="str">
        <f>IF($B4206="","",IFERROR(IF(INDEX(Config!$D$9:$D$29,MATCH($B4206,Config!$B$9:$B$29,0))="Contrato",IF(INDEX(Config!$E$9:$E$29,MATCH($B4206,Config!$B$9:$B$29,0))="","",INDEX(Config!$E$9:$E$29,MATCH($B4206,Config!$B$9:$B$29,0))),""),""))</f>
        <v/>
      </c>
      <c r="AI4206" s="19" t="str">
        <f>IF($B4206="","",IFERROR(INDEX(Config!$D$9:$D$29,MATCH($B4206,Config!$B$9:$B$29,0))&amp;"",""))</f>
        <v/>
      </c>
    </row>
    <row r="4207">
      <c r="X4207" s="20" t="str">
        <f>IF($B4207="","",IFERROR(IF(INDEX(Config!$D$9:$D$29,MATCH($B4207,Config!$B$9:$B$29,0))="Contrato",IF(INDEX(Config!$E$9:$E$29,MATCH($B4207,Config!$B$9:$B$29,0))="","",INDEX(Config!$E$9:$E$29,MATCH($B4207,Config!$B$9:$B$29,0))),""),""))</f>
        <v/>
      </c>
      <c r="AI4207" s="19" t="str">
        <f>IF($B4207="","",IFERROR(INDEX(Config!$D$9:$D$29,MATCH($B4207,Config!$B$9:$B$29,0))&amp;"",""))</f>
        <v/>
      </c>
    </row>
    <row r="4208">
      <c r="X4208" s="20" t="str">
        <f>IF($B4208="","",IFERROR(IF(INDEX(Config!$D$9:$D$29,MATCH($B4208,Config!$B$9:$B$29,0))="Contrato",IF(INDEX(Config!$E$9:$E$29,MATCH($B4208,Config!$B$9:$B$29,0))="","",INDEX(Config!$E$9:$E$29,MATCH($B4208,Config!$B$9:$B$29,0))),""),""))</f>
        <v/>
      </c>
      <c r="AI4208" s="19" t="str">
        <f>IF($B4208="","",IFERROR(INDEX(Config!$D$9:$D$29,MATCH($B4208,Config!$B$9:$B$29,0))&amp;"",""))</f>
        <v/>
      </c>
    </row>
    <row r="4209">
      <c r="X4209" s="20" t="str">
        <f>IF($B4209="","",IFERROR(IF(INDEX(Config!$D$9:$D$29,MATCH($B4209,Config!$B$9:$B$29,0))="Contrato",IF(INDEX(Config!$E$9:$E$29,MATCH($B4209,Config!$B$9:$B$29,0))="","",INDEX(Config!$E$9:$E$29,MATCH($B4209,Config!$B$9:$B$29,0))),""),""))</f>
        <v/>
      </c>
      <c r="AI4209" s="19" t="str">
        <f>IF($B4209="","",IFERROR(INDEX(Config!$D$9:$D$29,MATCH($B4209,Config!$B$9:$B$29,0))&amp;"",""))</f>
        <v/>
      </c>
    </row>
    <row r="4210">
      <c r="X4210" s="20" t="str">
        <f>IF($B4210="","",IFERROR(IF(INDEX(Config!$D$9:$D$29,MATCH($B4210,Config!$B$9:$B$29,0))="Contrato",IF(INDEX(Config!$E$9:$E$29,MATCH($B4210,Config!$B$9:$B$29,0))="","",INDEX(Config!$E$9:$E$29,MATCH($B4210,Config!$B$9:$B$29,0))),""),""))</f>
        <v/>
      </c>
      <c r="AI4210" s="19" t="str">
        <f>IF($B4210="","",IFERROR(INDEX(Config!$D$9:$D$29,MATCH($B4210,Config!$B$9:$B$29,0))&amp;"",""))</f>
        <v/>
      </c>
    </row>
    <row r="4211">
      <c r="X4211" s="20" t="str">
        <f>IF($B4211="","",IFERROR(IF(INDEX(Config!$D$9:$D$29,MATCH($B4211,Config!$B$9:$B$29,0))="Contrato",IF(INDEX(Config!$E$9:$E$29,MATCH($B4211,Config!$B$9:$B$29,0))="","",INDEX(Config!$E$9:$E$29,MATCH($B4211,Config!$B$9:$B$29,0))),""),""))</f>
        <v/>
      </c>
      <c r="AI4211" s="19" t="str">
        <f>IF($B4211="","",IFERROR(INDEX(Config!$D$9:$D$29,MATCH($B4211,Config!$B$9:$B$29,0))&amp;"",""))</f>
        <v/>
      </c>
    </row>
    <row r="4212">
      <c r="X4212" s="20" t="str">
        <f>IF($B4212="","",IFERROR(IF(INDEX(Config!$D$9:$D$29,MATCH($B4212,Config!$B$9:$B$29,0))="Contrato",IF(INDEX(Config!$E$9:$E$29,MATCH($B4212,Config!$B$9:$B$29,0))="","",INDEX(Config!$E$9:$E$29,MATCH($B4212,Config!$B$9:$B$29,0))),""),""))</f>
        <v/>
      </c>
      <c r="AI4212" s="19" t="str">
        <f>IF($B4212="","",IFERROR(INDEX(Config!$D$9:$D$29,MATCH($B4212,Config!$B$9:$B$29,0))&amp;"",""))</f>
        <v/>
      </c>
    </row>
    <row r="4213">
      <c r="X4213" s="20" t="str">
        <f>IF($B4213="","",IFERROR(IF(INDEX(Config!$D$9:$D$29,MATCH($B4213,Config!$B$9:$B$29,0))="Contrato",IF(INDEX(Config!$E$9:$E$29,MATCH($B4213,Config!$B$9:$B$29,0))="","",INDEX(Config!$E$9:$E$29,MATCH($B4213,Config!$B$9:$B$29,0))),""),""))</f>
        <v/>
      </c>
      <c r="AI4213" s="19" t="str">
        <f>IF($B4213="","",IFERROR(INDEX(Config!$D$9:$D$29,MATCH($B4213,Config!$B$9:$B$29,0))&amp;"",""))</f>
        <v/>
      </c>
    </row>
    <row r="4214">
      <c r="X4214" s="20" t="str">
        <f>IF($B4214="","",IFERROR(IF(INDEX(Config!$D$9:$D$29,MATCH($B4214,Config!$B$9:$B$29,0))="Contrato",IF(INDEX(Config!$E$9:$E$29,MATCH($B4214,Config!$B$9:$B$29,0))="","",INDEX(Config!$E$9:$E$29,MATCH($B4214,Config!$B$9:$B$29,0))),""),""))</f>
        <v/>
      </c>
      <c r="AI4214" s="19" t="str">
        <f>IF($B4214="","",IFERROR(INDEX(Config!$D$9:$D$29,MATCH($B4214,Config!$B$9:$B$29,0))&amp;"",""))</f>
        <v/>
      </c>
    </row>
    <row r="4215">
      <c r="X4215" s="20" t="str">
        <f>IF($B4215="","",IFERROR(IF(INDEX(Config!$D$9:$D$29,MATCH($B4215,Config!$B$9:$B$29,0))="Contrato",IF(INDEX(Config!$E$9:$E$29,MATCH($B4215,Config!$B$9:$B$29,0))="","",INDEX(Config!$E$9:$E$29,MATCH($B4215,Config!$B$9:$B$29,0))),""),""))</f>
        <v/>
      </c>
      <c r="AI4215" s="19" t="str">
        <f>IF($B4215="","",IFERROR(INDEX(Config!$D$9:$D$29,MATCH($B4215,Config!$B$9:$B$29,0))&amp;"",""))</f>
        <v/>
      </c>
    </row>
    <row r="4216">
      <c r="X4216" s="20" t="str">
        <f>IF($B4216="","",IFERROR(IF(INDEX(Config!$D$9:$D$29,MATCH($B4216,Config!$B$9:$B$29,0))="Contrato",IF(INDEX(Config!$E$9:$E$29,MATCH($B4216,Config!$B$9:$B$29,0))="","",INDEX(Config!$E$9:$E$29,MATCH($B4216,Config!$B$9:$B$29,0))),""),""))</f>
        <v/>
      </c>
      <c r="AI4216" s="19" t="str">
        <f>IF($B4216="","",IFERROR(INDEX(Config!$D$9:$D$29,MATCH($B4216,Config!$B$9:$B$29,0))&amp;"",""))</f>
        <v/>
      </c>
    </row>
    <row r="4217">
      <c r="X4217" s="20" t="str">
        <f>IF($B4217="","",IFERROR(IF(INDEX(Config!$D$9:$D$29,MATCH($B4217,Config!$B$9:$B$29,0))="Contrato",IF(INDEX(Config!$E$9:$E$29,MATCH($B4217,Config!$B$9:$B$29,0))="","",INDEX(Config!$E$9:$E$29,MATCH($B4217,Config!$B$9:$B$29,0))),""),""))</f>
        <v/>
      </c>
      <c r="AI4217" s="19" t="str">
        <f>IF($B4217="","",IFERROR(INDEX(Config!$D$9:$D$29,MATCH($B4217,Config!$B$9:$B$29,0))&amp;"",""))</f>
        <v/>
      </c>
    </row>
    <row r="4218">
      <c r="X4218" s="20" t="str">
        <f>IF($B4218="","",IFERROR(IF(INDEX(Config!$D$9:$D$29,MATCH($B4218,Config!$B$9:$B$29,0))="Contrato",IF(INDEX(Config!$E$9:$E$29,MATCH($B4218,Config!$B$9:$B$29,0))="","",INDEX(Config!$E$9:$E$29,MATCH($B4218,Config!$B$9:$B$29,0))),""),""))</f>
        <v/>
      </c>
      <c r="AI4218" s="19" t="str">
        <f>IF($B4218="","",IFERROR(INDEX(Config!$D$9:$D$29,MATCH($B4218,Config!$B$9:$B$29,0))&amp;"",""))</f>
        <v/>
      </c>
    </row>
    <row r="4219">
      <c r="X4219" s="20" t="str">
        <f>IF($B4219="","",IFERROR(IF(INDEX(Config!$D$9:$D$29,MATCH($B4219,Config!$B$9:$B$29,0))="Contrato",IF(INDEX(Config!$E$9:$E$29,MATCH($B4219,Config!$B$9:$B$29,0))="","",INDEX(Config!$E$9:$E$29,MATCH($B4219,Config!$B$9:$B$29,0))),""),""))</f>
        <v/>
      </c>
      <c r="AI4219" s="19" t="str">
        <f>IF($B4219="","",IFERROR(INDEX(Config!$D$9:$D$29,MATCH($B4219,Config!$B$9:$B$29,0))&amp;"",""))</f>
        <v/>
      </c>
    </row>
    <row r="4220">
      <c r="X4220" s="20" t="str">
        <f>IF($B4220="","",IFERROR(IF(INDEX(Config!$D$9:$D$29,MATCH($B4220,Config!$B$9:$B$29,0))="Contrato",IF(INDEX(Config!$E$9:$E$29,MATCH($B4220,Config!$B$9:$B$29,0))="","",INDEX(Config!$E$9:$E$29,MATCH($B4220,Config!$B$9:$B$29,0))),""),""))</f>
        <v/>
      </c>
      <c r="AI4220" s="19" t="str">
        <f>IF($B4220="","",IFERROR(INDEX(Config!$D$9:$D$29,MATCH($B4220,Config!$B$9:$B$29,0))&amp;"",""))</f>
        <v/>
      </c>
    </row>
    <row r="4221">
      <c r="X4221" s="20" t="str">
        <f>IF($B4221="","",IFERROR(IF(INDEX(Config!$D$9:$D$29,MATCH($B4221,Config!$B$9:$B$29,0))="Contrato",IF(INDEX(Config!$E$9:$E$29,MATCH($B4221,Config!$B$9:$B$29,0))="","",INDEX(Config!$E$9:$E$29,MATCH($B4221,Config!$B$9:$B$29,0))),""),""))</f>
        <v/>
      </c>
      <c r="AI4221" s="19" t="str">
        <f>IF($B4221="","",IFERROR(INDEX(Config!$D$9:$D$29,MATCH($B4221,Config!$B$9:$B$29,0))&amp;"",""))</f>
        <v/>
      </c>
    </row>
    <row r="4222">
      <c r="X4222" s="20" t="str">
        <f>IF($B4222="","",IFERROR(IF(INDEX(Config!$D$9:$D$29,MATCH($B4222,Config!$B$9:$B$29,0))="Contrato",IF(INDEX(Config!$E$9:$E$29,MATCH($B4222,Config!$B$9:$B$29,0))="","",INDEX(Config!$E$9:$E$29,MATCH($B4222,Config!$B$9:$B$29,0))),""),""))</f>
        <v/>
      </c>
      <c r="AI4222" s="19" t="str">
        <f>IF($B4222="","",IFERROR(INDEX(Config!$D$9:$D$29,MATCH($B4222,Config!$B$9:$B$29,0))&amp;"",""))</f>
        <v/>
      </c>
    </row>
    <row r="4223">
      <c r="X4223" s="20" t="str">
        <f>IF($B4223="","",IFERROR(IF(INDEX(Config!$D$9:$D$29,MATCH($B4223,Config!$B$9:$B$29,0))="Contrato",IF(INDEX(Config!$E$9:$E$29,MATCH($B4223,Config!$B$9:$B$29,0))="","",INDEX(Config!$E$9:$E$29,MATCH($B4223,Config!$B$9:$B$29,0))),""),""))</f>
        <v/>
      </c>
      <c r="AI4223" s="19" t="str">
        <f>IF($B4223="","",IFERROR(INDEX(Config!$D$9:$D$29,MATCH($B4223,Config!$B$9:$B$29,0))&amp;"",""))</f>
        <v/>
      </c>
    </row>
    <row r="4224">
      <c r="X4224" s="20" t="str">
        <f>IF($B4224="","",IFERROR(IF(INDEX(Config!$D$9:$D$29,MATCH($B4224,Config!$B$9:$B$29,0))="Contrato",IF(INDEX(Config!$E$9:$E$29,MATCH($B4224,Config!$B$9:$B$29,0))="","",INDEX(Config!$E$9:$E$29,MATCH($B4224,Config!$B$9:$B$29,0))),""),""))</f>
        <v/>
      </c>
      <c r="AI4224" s="19" t="str">
        <f>IF($B4224="","",IFERROR(INDEX(Config!$D$9:$D$29,MATCH($B4224,Config!$B$9:$B$29,0))&amp;"",""))</f>
        <v/>
      </c>
    </row>
    <row r="4225">
      <c r="X4225" s="20" t="str">
        <f>IF($B4225="","",IFERROR(IF(INDEX(Config!$D$9:$D$29,MATCH($B4225,Config!$B$9:$B$29,0))="Contrato",IF(INDEX(Config!$E$9:$E$29,MATCH($B4225,Config!$B$9:$B$29,0))="","",INDEX(Config!$E$9:$E$29,MATCH($B4225,Config!$B$9:$B$29,0))),""),""))</f>
        <v/>
      </c>
      <c r="AI4225" s="19" t="str">
        <f>IF($B4225="","",IFERROR(INDEX(Config!$D$9:$D$29,MATCH($B4225,Config!$B$9:$B$29,0))&amp;"",""))</f>
        <v/>
      </c>
    </row>
    <row r="4226">
      <c r="X4226" s="20" t="str">
        <f>IF($B4226="","",IFERROR(IF(INDEX(Config!$D$9:$D$29,MATCH($B4226,Config!$B$9:$B$29,0))="Contrato",IF(INDEX(Config!$E$9:$E$29,MATCH($B4226,Config!$B$9:$B$29,0))="","",INDEX(Config!$E$9:$E$29,MATCH($B4226,Config!$B$9:$B$29,0))),""),""))</f>
        <v/>
      </c>
      <c r="AI4226" s="19" t="str">
        <f>IF($B4226="","",IFERROR(INDEX(Config!$D$9:$D$29,MATCH($B4226,Config!$B$9:$B$29,0))&amp;"",""))</f>
        <v/>
      </c>
    </row>
    <row r="4227">
      <c r="X4227" s="20" t="str">
        <f>IF($B4227="","",IFERROR(IF(INDEX(Config!$D$9:$D$29,MATCH($B4227,Config!$B$9:$B$29,0))="Contrato",IF(INDEX(Config!$E$9:$E$29,MATCH($B4227,Config!$B$9:$B$29,0))="","",INDEX(Config!$E$9:$E$29,MATCH($B4227,Config!$B$9:$B$29,0))),""),""))</f>
        <v/>
      </c>
      <c r="AI4227" s="19" t="str">
        <f>IF($B4227="","",IFERROR(INDEX(Config!$D$9:$D$29,MATCH($B4227,Config!$B$9:$B$29,0))&amp;"",""))</f>
        <v/>
      </c>
    </row>
    <row r="4228">
      <c r="X4228" s="20" t="str">
        <f>IF($B4228="","",IFERROR(IF(INDEX(Config!$D$9:$D$29,MATCH($B4228,Config!$B$9:$B$29,0))="Contrato",IF(INDEX(Config!$E$9:$E$29,MATCH($B4228,Config!$B$9:$B$29,0))="","",INDEX(Config!$E$9:$E$29,MATCH($B4228,Config!$B$9:$B$29,0))),""),""))</f>
        <v/>
      </c>
      <c r="AI4228" s="19" t="str">
        <f>IF($B4228="","",IFERROR(INDEX(Config!$D$9:$D$29,MATCH($B4228,Config!$B$9:$B$29,0))&amp;"",""))</f>
        <v/>
      </c>
    </row>
    <row r="4229">
      <c r="X4229" s="20" t="str">
        <f>IF($B4229="","",IFERROR(IF(INDEX(Config!$D$9:$D$29,MATCH($B4229,Config!$B$9:$B$29,0))="Contrato",IF(INDEX(Config!$E$9:$E$29,MATCH($B4229,Config!$B$9:$B$29,0))="","",INDEX(Config!$E$9:$E$29,MATCH($B4229,Config!$B$9:$B$29,0))),""),""))</f>
        <v/>
      </c>
      <c r="AI4229" s="19" t="str">
        <f>IF($B4229="","",IFERROR(INDEX(Config!$D$9:$D$29,MATCH($B4229,Config!$B$9:$B$29,0))&amp;"",""))</f>
        <v/>
      </c>
    </row>
    <row r="4230">
      <c r="X4230" s="20" t="str">
        <f>IF($B4230="","",IFERROR(IF(INDEX(Config!$D$9:$D$29,MATCH($B4230,Config!$B$9:$B$29,0))="Contrato",IF(INDEX(Config!$E$9:$E$29,MATCH($B4230,Config!$B$9:$B$29,0))="","",INDEX(Config!$E$9:$E$29,MATCH($B4230,Config!$B$9:$B$29,0))),""),""))</f>
        <v/>
      </c>
      <c r="AI4230" s="19" t="str">
        <f>IF($B4230="","",IFERROR(INDEX(Config!$D$9:$D$29,MATCH($B4230,Config!$B$9:$B$29,0))&amp;"",""))</f>
        <v/>
      </c>
    </row>
    <row r="4231">
      <c r="X4231" s="20" t="str">
        <f>IF($B4231="","",IFERROR(IF(INDEX(Config!$D$9:$D$29,MATCH($B4231,Config!$B$9:$B$29,0))="Contrato",IF(INDEX(Config!$E$9:$E$29,MATCH($B4231,Config!$B$9:$B$29,0))="","",INDEX(Config!$E$9:$E$29,MATCH($B4231,Config!$B$9:$B$29,0))),""),""))</f>
        <v/>
      </c>
      <c r="AI4231" s="19" t="str">
        <f>IF($B4231="","",IFERROR(INDEX(Config!$D$9:$D$29,MATCH($B4231,Config!$B$9:$B$29,0))&amp;"",""))</f>
        <v/>
      </c>
    </row>
    <row r="4232">
      <c r="X4232" s="20" t="str">
        <f>IF($B4232="","",IFERROR(IF(INDEX(Config!$D$9:$D$29,MATCH($B4232,Config!$B$9:$B$29,0))="Contrato",IF(INDEX(Config!$E$9:$E$29,MATCH($B4232,Config!$B$9:$B$29,0))="","",INDEX(Config!$E$9:$E$29,MATCH($B4232,Config!$B$9:$B$29,0))),""),""))</f>
        <v/>
      </c>
      <c r="AI4232" s="19" t="str">
        <f>IF($B4232="","",IFERROR(INDEX(Config!$D$9:$D$29,MATCH($B4232,Config!$B$9:$B$29,0))&amp;"",""))</f>
        <v/>
      </c>
    </row>
    <row r="4233">
      <c r="X4233" s="20" t="str">
        <f>IF($B4233="","",IFERROR(IF(INDEX(Config!$D$9:$D$29,MATCH($B4233,Config!$B$9:$B$29,0))="Contrato",IF(INDEX(Config!$E$9:$E$29,MATCH($B4233,Config!$B$9:$B$29,0))="","",INDEX(Config!$E$9:$E$29,MATCH($B4233,Config!$B$9:$B$29,0))),""),""))</f>
        <v/>
      </c>
      <c r="AI4233" s="19" t="str">
        <f>IF($B4233="","",IFERROR(INDEX(Config!$D$9:$D$29,MATCH($B4233,Config!$B$9:$B$29,0))&amp;"",""))</f>
        <v/>
      </c>
    </row>
    <row r="4234">
      <c r="X4234" s="20" t="str">
        <f>IF($B4234="","",IFERROR(IF(INDEX(Config!$D$9:$D$29,MATCH($B4234,Config!$B$9:$B$29,0))="Contrato",IF(INDEX(Config!$E$9:$E$29,MATCH($B4234,Config!$B$9:$B$29,0))="","",INDEX(Config!$E$9:$E$29,MATCH($B4234,Config!$B$9:$B$29,0))),""),""))</f>
        <v/>
      </c>
      <c r="AI4234" s="19" t="str">
        <f>IF($B4234="","",IFERROR(INDEX(Config!$D$9:$D$29,MATCH($B4234,Config!$B$9:$B$29,0))&amp;"",""))</f>
        <v/>
      </c>
    </row>
    <row r="4235">
      <c r="X4235" s="20" t="str">
        <f>IF($B4235="","",IFERROR(IF(INDEX(Config!$D$9:$D$29,MATCH($B4235,Config!$B$9:$B$29,0))="Contrato",IF(INDEX(Config!$E$9:$E$29,MATCH($B4235,Config!$B$9:$B$29,0))="","",INDEX(Config!$E$9:$E$29,MATCH($B4235,Config!$B$9:$B$29,0))),""),""))</f>
        <v/>
      </c>
      <c r="AI4235" s="19" t="str">
        <f>IF($B4235="","",IFERROR(INDEX(Config!$D$9:$D$29,MATCH($B4235,Config!$B$9:$B$29,0))&amp;"",""))</f>
        <v/>
      </c>
    </row>
    <row r="4236">
      <c r="X4236" s="20" t="str">
        <f>IF($B4236="","",IFERROR(IF(INDEX(Config!$D$9:$D$29,MATCH($B4236,Config!$B$9:$B$29,0))="Contrato",IF(INDEX(Config!$E$9:$E$29,MATCH($B4236,Config!$B$9:$B$29,0))="","",INDEX(Config!$E$9:$E$29,MATCH($B4236,Config!$B$9:$B$29,0))),""),""))</f>
        <v/>
      </c>
      <c r="AI4236" s="19" t="str">
        <f>IF($B4236="","",IFERROR(INDEX(Config!$D$9:$D$29,MATCH($B4236,Config!$B$9:$B$29,0))&amp;"",""))</f>
        <v/>
      </c>
    </row>
    <row r="4237">
      <c r="X4237" s="20" t="str">
        <f>IF($B4237="","",IFERROR(IF(INDEX(Config!$D$9:$D$29,MATCH($B4237,Config!$B$9:$B$29,0))="Contrato",IF(INDEX(Config!$E$9:$E$29,MATCH($B4237,Config!$B$9:$B$29,0))="","",INDEX(Config!$E$9:$E$29,MATCH($B4237,Config!$B$9:$B$29,0))),""),""))</f>
        <v/>
      </c>
      <c r="AI4237" s="19" t="str">
        <f>IF($B4237="","",IFERROR(INDEX(Config!$D$9:$D$29,MATCH($B4237,Config!$B$9:$B$29,0))&amp;"",""))</f>
        <v/>
      </c>
    </row>
    <row r="4238">
      <c r="X4238" s="20" t="str">
        <f>IF($B4238="","",IFERROR(IF(INDEX(Config!$D$9:$D$29,MATCH($B4238,Config!$B$9:$B$29,0))="Contrato",IF(INDEX(Config!$E$9:$E$29,MATCH($B4238,Config!$B$9:$B$29,0))="","",INDEX(Config!$E$9:$E$29,MATCH($B4238,Config!$B$9:$B$29,0))),""),""))</f>
        <v/>
      </c>
      <c r="AI4238" s="19" t="str">
        <f>IF($B4238="","",IFERROR(INDEX(Config!$D$9:$D$29,MATCH($B4238,Config!$B$9:$B$29,0))&amp;"",""))</f>
        <v/>
      </c>
    </row>
    <row r="4239">
      <c r="X4239" s="20" t="str">
        <f>IF($B4239="","",IFERROR(IF(INDEX(Config!$D$9:$D$29,MATCH($B4239,Config!$B$9:$B$29,0))="Contrato",IF(INDEX(Config!$E$9:$E$29,MATCH($B4239,Config!$B$9:$B$29,0))="","",INDEX(Config!$E$9:$E$29,MATCH($B4239,Config!$B$9:$B$29,0))),""),""))</f>
        <v/>
      </c>
      <c r="AI4239" s="19" t="str">
        <f>IF($B4239="","",IFERROR(INDEX(Config!$D$9:$D$29,MATCH($B4239,Config!$B$9:$B$29,0))&amp;"",""))</f>
        <v/>
      </c>
    </row>
    <row r="4240">
      <c r="X4240" s="20" t="str">
        <f>IF($B4240="","",IFERROR(IF(INDEX(Config!$D$9:$D$29,MATCH($B4240,Config!$B$9:$B$29,0))="Contrato",IF(INDEX(Config!$E$9:$E$29,MATCH($B4240,Config!$B$9:$B$29,0))="","",INDEX(Config!$E$9:$E$29,MATCH($B4240,Config!$B$9:$B$29,0))),""),""))</f>
        <v/>
      </c>
      <c r="AI4240" s="19" t="str">
        <f>IF($B4240="","",IFERROR(INDEX(Config!$D$9:$D$29,MATCH($B4240,Config!$B$9:$B$29,0))&amp;"",""))</f>
        <v/>
      </c>
    </row>
    <row r="4241">
      <c r="X4241" s="20" t="str">
        <f>IF($B4241="","",IFERROR(IF(INDEX(Config!$D$9:$D$29,MATCH($B4241,Config!$B$9:$B$29,0))="Contrato",IF(INDEX(Config!$E$9:$E$29,MATCH($B4241,Config!$B$9:$B$29,0))="","",INDEX(Config!$E$9:$E$29,MATCH($B4241,Config!$B$9:$B$29,0))),""),""))</f>
        <v/>
      </c>
      <c r="AI4241" s="19" t="str">
        <f>IF($B4241="","",IFERROR(INDEX(Config!$D$9:$D$29,MATCH($B4241,Config!$B$9:$B$29,0))&amp;"",""))</f>
        <v/>
      </c>
    </row>
    <row r="4242">
      <c r="X4242" s="20" t="str">
        <f>IF($B4242="","",IFERROR(IF(INDEX(Config!$D$9:$D$29,MATCH($B4242,Config!$B$9:$B$29,0))="Contrato",IF(INDEX(Config!$E$9:$E$29,MATCH($B4242,Config!$B$9:$B$29,0))="","",INDEX(Config!$E$9:$E$29,MATCH($B4242,Config!$B$9:$B$29,0))),""),""))</f>
        <v/>
      </c>
      <c r="AI4242" s="19" t="str">
        <f>IF($B4242="","",IFERROR(INDEX(Config!$D$9:$D$29,MATCH($B4242,Config!$B$9:$B$29,0))&amp;"",""))</f>
        <v/>
      </c>
    </row>
    <row r="4243">
      <c r="X4243" s="20" t="str">
        <f>IF($B4243="","",IFERROR(IF(INDEX(Config!$D$9:$D$29,MATCH($B4243,Config!$B$9:$B$29,0))="Contrato",IF(INDEX(Config!$E$9:$E$29,MATCH($B4243,Config!$B$9:$B$29,0))="","",INDEX(Config!$E$9:$E$29,MATCH($B4243,Config!$B$9:$B$29,0))),""),""))</f>
        <v/>
      </c>
      <c r="AI4243" s="19" t="str">
        <f>IF($B4243="","",IFERROR(INDEX(Config!$D$9:$D$29,MATCH($B4243,Config!$B$9:$B$29,0))&amp;"",""))</f>
        <v/>
      </c>
    </row>
    <row r="4244">
      <c r="X4244" s="20" t="str">
        <f>IF($B4244="","",IFERROR(IF(INDEX(Config!$D$9:$D$29,MATCH($B4244,Config!$B$9:$B$29,0))="Contrato",IF(INDEX(Config!$E$9:$E$29,MATCH($B4244,Config!$B$9:$B$29,0))="","",INDEX(Config!$E$9:$E$29,MATCH($B4244,Config!$B$9:$B$29,0))),""),""))</f>
        <v/>
      </c>
      <c r="AI4244" s="19" t="str">
        <f>IF($B4244="","",IFERROR(INDEX(Config!$D$9:$D$29,MATCH($B4244,Config!$B$9:$B$29,0))&amp;"",""))</f>
        <v/>
      </c>
    </row>
    <row r="4245">
      <c r="X4245" s="20" t="str">
        <f>IF($B4245="","",IFERROR(IF(INDEX(Config!$D$9:$D$29,MATCH($B4245,Config!$B$9:$B$29,0))="Contrato",IF(INDEX(Config!$E$9:$E$29,MATCH($B4245,Config!$B$9:$B$29,0))="","",INDEX(Config!$E$9:$E$29,MATCH($B4245,Config!$B$9:$B$29,0))),""),""))</f>
        <v/>
      </c>
      <c r="AI4245" s="19" t="str">
        <f>IF($B4245="","",IFERROR(INDEX(Config!$D$9:$D$29,MATCH($B4245,Config!$B$9:$B$29,0))&amp;"",""))</f>
        <v/>
      </c>
    </row>
    <row r="4246">
      <c r="X4246" s="20" t="str">
        <f>IF($B4246="","",IFERROR(IF(INDEX(Config!$D$9:$D$29,MATCH($B4246,Config!$B$9:$B$29,0))="Contrato",IF(INDEX(Config!$E$9:$E$29,MATCH($B4246,Config!$B$9:$B$29,0))="","",INDEX(Config!$E$9:$E$29,MATCH($B4246,Config!$B$9:$B$29,0))),""),""))</f>
        <v/>
      </c>
      <c r="AI4246" s="19" t="str">
        <f>IF($B4246="","",IFERROR(INDEX(Config!$D$9:$D$29,MATCH($B4246,Config!$B$9:$B$29,0))&amp;"",""))</f>
        <v/>
      </c>
    </row>
    <row r="4247">
      <c r="X4247" s="20" t="str">
        <f>IF($B4247="","",IFERROR(IF(INDEX(Config!$D$9:$D$29,MATCH($B4247,Config!$B$9:$B$29,0))="Contrato",IF(INDEX(Config!$E$9:$E$29,MATCH($B4247,Config!$B$9:$B$29,0))="","",INDEX(Config!$E$9:$E$29,MATCH($B4247,Config!$B$9:$B$29,0))),""),""))</f>
        <v/>
      </c>
      <c r="AI4247" s="19" t="str">
        <f>IF($B4247="","",IFERROR(INDEX(Config!$D$9:$D$29,MATCH($B4247,Config!$B$9:$B$29,0))&amp;"",""))</f>
        <v/>
      </c>
    </row>
    <row r="4248">
      <c r="X4248" s="20" t="str">
        <f>IF($B4248="","",IFERROR(IF(INDEX(Config!$D$9:$D$29,MATCH($B4248,Config!$B$9:$B$29,0))="Contrato",IF(INDEX(Config!$E$9:$E$29,MATCH($B4248,Config!$B$9:$B$29,0))="","",INDEX(Config!$E$9:$E$29,MATCH($B4248,Config!$B$9:$B$29,0))),""),""))</f>
        <v/>
      </c>
      <c r="AI4248" s="19" t="str">
        <f>IF($B4248="","",IFERROR(INDEX(Config!$D$9:$D$29,MATCH($B4248,Config!$B$9:$B$29,0))&amp;"",""))</f>
        <v/>
      </c>
    </row>
    <row r="4249">
      <c r="X4249" s="20" t="str">
        <f>IF($B4249="","",IFERROR(IF(INDEX(Config!$D$9:$D$29,MATCH($B4249,Config!$B$9:$B$29,0))="Contrato",IF(INDEX(Config!$E$9:$E$29,MATCH($B4249,Config!$B$9:$B$29,0))="","",INDEX(Config!$E$9:$E$29,MATCH($B4249,Config!$B$9:$B$29,0))),""),""))</f>
        <v/>
      </c>
      <c r="AI4249" s="19" t="str">
        <f>IF($B4249="","",IFERROR(INDEX(Config!$D$9:$D$29,MATCH($B4249,Config!$B$9:$B$29,0))&amp;"",""))</f>
        <v/>
      </c>
    </row>
    <row r="4250">
      <c r="X4250" s="20" t="str">
        <f>IF($B4250="","",IFERROR(IF(INDEX(Config!$D$9:$D$29,MATCH($B4250,Config!$B$9:$B$29,0))="Contrato",IF(INDEX(Config!$E$9:$E$29,MATCH($B4250,Config!$B$9:$B$29,0))="","",INDEX(Config!$E$9:$E$29,MATCH($B4250,Config!$B$9:$B$29,0))),""),""))</f>
        <v/>
      </c>
      <c r="AI4250" s="19" t="str">
        <f>IF($B4250="","",IFERROR(INDEX(Config!$D$9:$D$29,MATCH($B4250,Config!$B$9:$B$29,0))&amp;"",""))</f>
        <v/>
      </c>
    </row>
    <row r="4251">
      <c r="X4251" s="20" t="str">
        <f>IF($B4251="","",IFERROR(IF(INDEX(Config!$D$9:$D$29,MATCH($B4251,Config!$B$9:$B$29,0))="Contrato",IF(INDEX(Config!$E$9:$E$29,MATCH($B4251,Config!$B$9:$B$29,0))="","",INDEX(Config!$E$9:$E$29,MATCH($B4251,Config!$B$9:$B$29,0))),""),""))</f>
        <v/>
      </c>
      <c r="AI4251" s="19" t="str">
        <f>IF($B4251="","",IFERROR(INDEX(Config!$D$9:$D$29,MATCH($B4251,Config!$B$9:$B$29,0))&amp;"",""))</f>
        <v/>
      </c>
    </row>
    <row r="4252">
      <c r="X4252" s="20" t="str">
        <f>IF($B4252="","",IFERROR(IF(INDEX(Config!$D$9:$D$29,MATCH($B4252,Config!$B$9:$B$29,0))="Contrato",IF(INDEX(Config!$E$9:$E$29,MATCH($B4252,Config!$B$9:$B$29,0))="","",INDEX(Config!$E$9:$E$29,MATCH($B4252,Config!$B$9:$B$29,0))),""),""))</f>
        <v/>
      </c>
      <c r="AI4252" s="19" t="str">
        <f>IF($B4252="","",IFERROR(INDEX(Config!$D$9:$D$29,MATCH($B4252,Config!$B$9:$B$29,0))&amp;"",""))</f>
        <v/>
      </c>
    </row>
    <row r="4253">
      <c r="X4253" s="20" t="str">
        <f>IF($B4253="","",IFERROR(IF(INDEX(Config!$D$9:$D$29,MATCH($B4253,Config!$B$9:$B$29,0))="Contrato",IF(INDEX(Config!$E$9:$E$29,MATCH($B4253,Config!$B$9:$B$29,0))="","",INDEX(Config!$E$9:$E$29,MATCH($B4253,Config!$B$9:$B$29,0))),""),""))</f>
        <v/>
      </c>
      <c r="AI4253" s="19" t="str">
        <f>IF($B4253="","",IFERROR(INDEX(Config!$D$9:$D$29,MATCH($B4253,Config!$B$9:$B$29,0))&amp;"",""))</f>
        <v/>
      </c>
    </row>
    <row r="4254">
      <c r="X4254" s="20" t="str">
        <f>IF($B4254="","",IFERROR(IF(INDEX(Config!$D$9:$D$29,MATCH($B4254,Config!$B$9:$B$29,0))="Contrato",IF(INDEX(Config!$E$9:$E$29,MATCH($B4254,Config!$B$9:$B$29,0))="","",INDEX(Config!$E$9:$E$29,MATCH($B4254,Config!$B$9:$B$29,0))),""),""))</f>
        <v/>
      </c>
      <c r="AI4254" s="19" t="str">
        <f>IF($B4254="","",IFERROR(INDEX(Config!$D$9:$D$29,MATCH($B4254,Config!$B$9:$B$29,0))&amp;"",""))</f>
        <v/>
      </c>
    </row>
    <row r="4255">
      <c r="X4255" s="20" t="str">
        <f>IF($B4255="","",IFERROR(IF(INDEX(Config!$D$9:$D$29,MATCH($B4255,Config!$B$9:$B$29,0))="Contrato",IF(INDEX(Config!$E$9:$E$29,MATCH($B4255,Config!$B$9:$B$29,0))="","",INDEX(Config!$E$9:$E$29,MATCH($B4255,Config!$B$9:$B$29,0))),""),""))</f>
        <v/>
      </c>
      <c r="AI4255" s="19" t="str">
        <f>IF($B4255="","",IFERROR(INDEX(Config!$D$9:$D$29,MATCH($B4255,Config!$B$9:$B$29,0))&amp;"",""))</f>
        <v/>
      </c>
    </row>
    <row r="4256">
      <c r="X4256" s="20" t="str">
        <f>IF($B4256="","",IFERROR(IF(INDEX(Config!$D$9:$D$29,MATCH($B4256,Config!$B$9:$B$29,0))="Contrato",IF(INDEX(Config!$E$9:$E$29,MATCH($B4256,Config!$B$9:$B$29,0))="","",INDEX(Config!$E$9:$E$29,MATCH($B4256,Config!$B$9:$B$29,0))),""),""))</f>
        <v/>
      </c>
      <c r="AI4256" s="19" t="str">
        <f>IF($B4256="","",IFERROR(INDEX(Config!$D$9:$D$29,MATCH($B4256,Config!$B$9:$B$29,0))&amp;"",""))</f>
        <v/>
      </c>
    </row>
    <row r="4257">
      <c r="X4257" s="20" t="str">
        <f>IF($B4257="","",IFERROR(IF(INDEX(Config!$D$9:$D$29,MATCH($B4257,Config!$B$9:$B$29,0))="Contrato",IF(INDEX(Config!$E$9:$E$29,MATCH($B4257,Config!$B$9:$B$29,0))="","",INDEX(Config!$E$9:$E$29,MATCH($B4257,Config!$B$9:$B$29,0))),""),""))</f>
        <v/>
      </c>
      <c r="AI4257" s="19" t="str">
        <f>IF($B4257="","",IFERROR(INDEX(Config!$D$9:$D$29,MATCH($B4257,Config!$B$9:$B$29,0))&amp;"",""))</f>
        <v/>
      </c>
    </row>
    <row r="4258">
      <c r="X4258" s="20" t="str">
        <f>IF($B4258="","",IFERROR(IF(INDEX(Config!$D$9:$D$29,MATCH($B4258,Config!$B$9:$B$29,0))="Contrato",IF(INDEX(Config!$E$9:$E$29,MATCH($B4258,Config!$B$9:$B$29,0))="","",INDEX(Config!$E$9:$E$29,MATCH($B4258,Config!$B$9:$B$29,0))),""),""))</f>
        <v/>
      </c>
      <c r="AI4258" s="19" t="str">
        <f>IF($B4258="","",IFERROR(INDEX(Config!$D$9:$D$29,MATCH($B4258,Config!$B$9:$B$29,0))&amp;"",""))</f>
        <v/>
      </c>
    </row>
    <row r="4259">
      <c r="X4259" s="20" t="str">
        <f>IF($B4259="","",IFERROR(IF(INDEX(Config!$D$9:$D$29,MATCH($B4259,Config!$B$9:$B$29,0))="Contrato",IF(INDEX(Config!$E$9:$E$29,MATCH($B4259,Config!$B$9:$B$29,0))="","",INDEX(Config!$E$9:$E$29,MATCH($B4259,Config!$B$9:$B$29,0))),""),""))</f>
        <v/>
      </c>
      <c r="AI4259" s="19" t="str">
        <f>IF($B4259="","",IFERROR(INDEX(Config!$D$9:$D$29,MATCH($B4259,Config!$B$9:$B$29,0))&amp;"",""))</f>
        <v/>
      </c>
    </row>
    <row r="4260">
      <c r="X4260" s="20" t="str">
        <f>IF($B4260="","",IFERROR(IF(INDEX(Config!$D$9:$D$29,MATCH($B4260,Config!$B$9:$B$29,0))="Contrato",IF(INDEX(Config!$E$9:$E$29,MATCH($B4260,Config!$B$9:$B$29,0))="","",INDEX(Config!$E$9:$E$29,MATCH($B4260,Config!$B$9:$B$29,0))),""),""))</f>
        <v/>
      </c>
      <c r="AI4260" s="19" t="str">
        <f>IF($B4260="","",IFERROR(INDEX(Config!$D$9:$D$29,MATCH($B4260,Config!$B$9:$B$29,0))&amp;"",""))</f>
        <v/>
      </c>
    </row>
    <row r="4261">
      <c r="X4261" s="20" t="str">
        <f>IF($B4261="","",IFERROR(IF(INDEX(Config!$D$9:$D$29,MATCH($B4261,Config!$B$9:$B$29,0))="Contrato",IF(INDEX(Config!$E$9:$E$29,MATCH($B4261,Config!$B$9:$B$29,0))="","",INDEX(Config!$E$9:$E$29,MATCH($B4261,Config!$B$9:$B$29,0))),""),""))</f>
        <v/>
      </c>
      <c r="AI4261" s="19" t="str">
        <f>IF($B4261="","",IFERROR(INDEX(Config!$D$9:$D$29,MATCH($B4261,Config!$B$9:$B$29,0))&amp;"",""))</f>
        <v/>
      </c>
    </row>
    <row r="4262">
      <c r="X4262" s="20" t="str">
        <f>IF($B4262="","",IFERROR(IF(INDEX(Config!$D$9:$D$29,MATCH($B4262,Config!$B$9:$B$29,0))="Contrato",IF(INDEX(Config!$E$9:$E$29,MATCH($B4262,Config!$B$9:$B$29,0))="","",INDEX(Config!$E$9:$E$29,MATCH($B4262,Config!$B$9:$B$29,0))),""),""))</f>
        <v/>
      </c>
      <c r="AI4262" s="19" t="str">
        <f>IF($B4262="","",IFERROR(INDEX(Config!$D$9:$D$29,MATCH($B4262,Config!$B$9:$B$29,0))&amp;"",""))</f>
        <v/>
      </c>
    </row>
    <row r="4263">
      <c r="X4263" s="20" t="str">
        <f>IF($B4263="","",IFERROR(IF(INDEX(Config!$D$9:$D$29,MATCH($B4263,Config!$B$9:$B$29,0))="Contrato",IF(INDEX(Config!$E$9:$E$29,MATCH($B4263,Config!$B$9:$B$29,0))="","",INDEX(Config!$E$9:$E$29,MATCH($B4263,Config!$B$9:$B$29,0))),""),""))</f>
        <v/>
      </c>
      <c r="AI4263" s="19" t="str">
        <f>IF($B4263="","",IFERROR(INDEX(Config!$D$9:$D$29,MATCH($B4263,Config!$B$9:$B$29,0))&amp;"",""))</f>
        <v/>
      </c>
    </row>
    <row r="4264">
      <c r="X4264" s="20" t="str">
        <f>IF($B4264="","",IFERROR(IF(INDEX(Config!$D$9:$D$29,MATCH($B4264,Config!$B$9:$B$29,0))="Contrato",IF(INDEX(Config!$E$9:$E$29,MATCH($B4264,Config!$B$9:$B$29,0))="","",INDEX(Config!$E$9:$E$29,MATCH($B4264,Config!$B$9:$B$29,0))),""),""))</f>
        <v/>
      </c>
      <c r="AI4264" s="19" t="str">
        <f>IF($B4264="","",IFERROR(INDEX(Config!$D$9:$D$29,MATCH($B4264,Config!$B$9:$B$29,0))&amp;"",""))</f>
        <v/>
      </c>
    </row>
    <row r="4265">
      <c r="X4265" s="20" t="str">
        <f>IF($B4265="","",IFERROR(IF(INDEX(Config!$D$9:$D$29,MATCH($B4265,Config!$B$9:$B$29,0))="Contrato",IF(INDEX(Config!$E$9:$E$29,MATCH($B4265,Config!$B$9:$B$29,0))="","",INDEX(Config!$E$9:$E$29,MATCH($B4265,Config!$B$9:$B$29,0))),""),""))</f>
        <v/>
      </c>
      <c r="AI4265" s="19" t="str">
        <f>IF($B4265="","",IFERROR(INDEX(Config!$D$9:$D$29,MATCH($B4265,Config!$B$9:$B$29,0))&amp;"",""))</f>
        <v/>
      </c>
    </row>
    <row r="4266">
      <c r="X4266" s="20" t="str">
        <f>IF($B4266="","",IFERROR(IF(INDEX(Config!$D$9:$D$29,MATCH($B4266,Config!$B$9:$B$29,0))="Contrato",IF(INDEX(Config!$E$9:$E$29,MATCH($B4266,Config!$B$9:$B$29,0))="","",INDEX(Config!$E$9:$E$29,MATCH($B4266,Config!$B$9:$B$29,0))),""),""))</f>
        <v/>
      </c>
      <c r="AI4266" s="19" t="str">
        <f>IF($B4266="","",IFERROR(INDEX(Config!$D$9:$D$29,MATCH($B4266,Config!$B$9:$B$29,0))&amp;"",""))</f>
        <v/>
      </c>
    </row>
    <row r="4267">
      <c r="X4267" s="20" t="str">
        <f>IF($B4267="","",IFERROR(IF(INDEX(Config!$D$9:$D$29,MATCH($B4267,Config!$B$9:$B$29,0))="Contrato",IF(INDEX(Config!$E$9:$E$29,MATCH($B4267,Config!$B$9:$B$29,0))="","",INDEX(Config!$E$9:$E$29,MATCH($B4267,Config!$B$9:$B$29,0))),""),""))</f>
        <v/>
      </c>
      <c r="AI4267" s="19" t="str">
        <f>IF($B4267="","",IFERROR(INDEX(Config!$D$9:$D$29,MATCH($B4267,Config!$B$9:$B$29,0))&amp;"",""))</f>
        <v/>
      </c>
    </row>
    <row r="4268">
      <c r="X4268" s="20" t="str">
        <f>IF($B4268="","",IFERROR(IF(INDEX(Config!$D$9:$D$29,MATCH($B4268,Config!$B$9:$B$29,0))="Contrato",IF(INDEX(Config!$E$9:$E$29,MATCH($B4268,Config!$B$9:$B$29,0))="","",INDEX(Config!$E$9:$E$29,MATCH($B4268,Config!$B$9:$B$29,0))),""),""))</f>
        <v/>
      </c>
      <c r="AI4268" s="19" t="str">
        <f>IF($B4268="","",IFERROR(INDEX(Config!$D$9:$D$29,MATCH($B4268,Config!$B$9:$B$29,0))&amp;"",""))</f>
        <v/>
      </c>
    </row>
    <row r="4269">
      <c r="X4269" s="20" t="str">
        <f>IF($B4269="","",IFERROR(IF(INDEX(Config!$D$9:$D$29,MATCH($B4269,Config!$B$9:$B$29,0))="Contrato",IF(INDEX(Config!$E$9:$E$29,MATCH($B4269,Config!$B$9:$B$29,0))="","",INDEX(Config!$E$9:$E$29,MATCH($B4269,Config!$B$9:$B$29,0))),""),""))</f>
        <v/>
      </c>
      <c r="AI4269" s="19" t="str">
        <f>IF($B4269="","",IFERROR(INDEX(Config!$D$9:$D$29,MATCH($B4269,Config!$B$9:$B$29,0))&amp;"",""))</f>
        <v/>
      </c>
    </row>
    <row r="4270">
      <c r="X4270" s="20" t="str">
        <f>IF($B4270="","",IFERROR(IF(INDEX(Config!$D$9:$D$29,MATCH($B4270,Config!$B$9:$B$29,0))="Contrato",IF(INDEX(Config!$E$9:$E$29,MATCH($B4270,Config!$B$9:$B$29,0))="","",INDEX(Config!$E$9:$E$29,MATCH($B4270,Config!$B$9:$B$29,0))),""),""))</f>
        <v/>
      </c>
      <c r="AI4270" s="19" t="str">
        <f>IF($B4270="","",IFERROR(INDEX(Config!$D$9:$D$29,MATCH($B4270,Config!$B$9:$B$29,0))&amp;"",""))</f>
        <v/>
      </c>
    </row>
    <row r="4271">
      <c r="X4271" s="20" t="str">
        <f>IF($B4271="","",IFERROR(IF(INDEX(Config!$D$9:$D$29,MATCH($B4271,Config!$B$9:$B$29,0))="Contrato",IF(INDEX(Config!$E$9:$E$29,MATCH($B4271,Config!$B$9:$B$29,0))="","",INDEX(Config!$E$9:$E$29,MATCH($B4271,Config!$B$9:$B$29,0))),""),""))</f>
        <v/>
      </c>
      <c r="AI4271" s="19" t="str">
        <f>IF($B4271="","",IFERROR(INDEX(Config!$D$9:$D$29,MATCH($B4271,Config!$B$9:$B$29,0))&amp;"",""))</f>
        <v/>
      </c>
    </row>
    <row r="4272">
      <c r="X4272" s="20" t="str">
        <f>IF($B4272="","",IFERROR(IF(INDEX(Config!$D$9:$D$29,MATCH($B4272,Config!$B$9:$B$29,0))="Contrato",IF(INDEX(Config!$E$9:$E$29,MATCH($B4272,Config!$B$9:$B$29,0))="","",INDEX(Config!$E$9:$E$29,MATCH($B4272,Config!$B$9:$B$29,0))),""),""))</f>
        <v/>
      </c>
      <c r="AI4272" s="19" t="str">
        <f>IF($B4272="","",IFERROR(INDEX(Config!$D$9:$D$29,MATCH($B4272,Config!$B$9:$B$29,0))&amp;"",""))</f>
        <v/>
      </c>
    </row>
    <row r="4273">
      <c r="X4273" s="20" t="str">
        <f>IF($B4273="","",IFERROR(IF(INDEX(Config!$D$9:$D$29,MATCH($B4273,Config!$B$9:$B$29,0))="Contrato",IF(INDEX(Config!$E$9:$E$29,MATCH($B4273,Config!$B$9:$B$29,0))="","",INDEX(Config!$E$9:$E$29,MATCH($B4273,Config!$B$9:$B$29,0))),""),""))</f>
        <v/>
      </c>
      <c r="AI4273" s="19" t="str">
        <f>IF($B4273="","",IFERROR(INDEX(Config!$D$9:$D$29,MATCH($B4273,Config!$B$9:$B$29,0))&amp;"",""))</f>
        <v/>
      </c>
    </row>
    <row r="4274">
      <c r="X4274" s="20" t="str">
        <f>IF($B4274="","",IFERROR(IF(INDEX(Config!$D$9:$D$29,MATCH($B4274,Config!$B$9:$B$29,0))="Contrato",IF(INDEX(Config!$E$9:$E$29,MATCH($B4274,Config!$B$9:$B$29,0))="","",INDEX(Config!$E$9:$E$29,MATCH($B4274,Config!$B$9:$B$29,0))),""),""))</f>
        <v/>
      </c>
      <c r="AI4274" s="19" t="str">
        <f>IF($B4274="","",IFERROR(INDEX(Config!$D$9:$D$29,MATCH($B4274,Config!$B$9:$B$29,0))&amp;"",""))</f>
        <v/>
      </c>
    </row>
    <row r="4275">
      <c r="X4275" s="20" t="str">
        <f>IF($B4275="","",IFERROR(IF(INDEX(Config!$D$9:$D$29,MATCH($B4275,Config!$B$9:$B$29,0))="Contrato",IF(INDEX(Config!$E$9:$E$29,MATCH($B4275,Config!$B$9:$B$29,0))="","",INDEX(Config!$E$9:$E$29,MATCH($B4275,Config!$B$9:$B$29,0))),""),""))</f>
        <v/>
      </c>
      <c r="AI4275" s="19" t="str">
        <f>IF($B4275="","",IFERROR(INDEX(Config!$D$9:$D$29,MATCH($B4275,Config!$B$9:$B$29,0))&amp;"",""))</f>
        <v/>
      </c>
    </row>
    <row r="4276">
      <c r="X4276" s="20" t="str">
        <f>IF($B4276="","",IFERROR(IF(INDEX(Config!$D$9:$D$29,MATCH($B4276,Config!$B$9:$B$29,0))="Contrato",IF(INDEX(Config!$E$9:$E$29,MATCH($B4276,Config!$B$9:$B$29,0))="","",INDEX(Config!$E$9:$E$29,MATCH($B4276,Config!$B$9:$B$29,0))),""),""))</f>
        <v/>
      </c>
      <c r="AI4276" s="19" t="str">
        <f>IF($B4276="","",IFERROR(INDEX(Config!$D$9:$D$29,MATCH($B4276,Config!$B$9:$B$29,0))&amp;"",""))</f>
        <v/>
      </c>
    </row>
    <row r="4277">
      <c r="X4277" s="20" t="str">
        <f>IF($B4277="","",IFERROR(IF(INDEX(Config!$D$9:$D$29,MATCH($B4277,Config!$B$9:$B$29,0))="Contrato",IF(INDEX(Config!$E$9:$E$29,MATCH($B4277,Config!$B$9:$B$29,0))="","",INDEX(Config!$E$9:$E$29,MATCH($B4277,Config!$B$9:$B$29,0))),""),""))</f>
        <v/>
      </c>
      <c r="AI4277" s="19" t="str">
        <f>IF($B4277="","",IFERROR(INDEX(Config!$D$9:$D$29,MATCH($B4277,Config!$B$9:$B$29,0))&amp;"",""))</f>
        <v/>
      </c>
    </row>
    <row r="4278">
      <c r="X4278" s="20" t="str">
        <f>IF($B4278="","",IFERROR(IF(INDEX(Config!$D$9:$D$29,MATCH($B4278,Config!$B$9:$B$29,0))="Contrato",IF(INDEX(Config!$E$9:$E$29,MATCH($B4278,Config!$B$9:$B$29,0))="","",INDEX(Config!$E$9:$E$29,MATCH($B4278,Config!$B$9:$B$29,0))),""),""))</f>
        <v/>
      </c>
      <c r="AI4278" s="19" t="str">
        <f>IF($B4278="","",IFERROR(INDEX(Config!$D$9:$D$29,MATCH($B4278,Config!$B$9:$B$29,0))&amp;"",""))</f>
        <v/>
      </c>
    </row>
    <row r="4279">
      <c r="X4279" s="20" t="str">
        <f>IF($B4279="","",IFERROR(IF(INDEX(Config!$D$9:$D$29,MATCH($B4279,Config!$B$9:$B$29,0))="Contrato",IF(INDEX(Config!$E$9:$E$29,MATCH($B4279,Config!$B$9:$B$29,0))="","",INDEX(Config!$E$9:$E$29,MATCH($B4279,Config!$B$9:$B$29,0))),""),""))</f>
        <v/>
      </c>
      <c r="AI4279" s="19" t="str">
        <f>IF($B4279="","",IFERROR(INDEX(Config!$D$9:$D$29,MATCH($B4279,Config!$B$9:$B$29,0))&amp;"",""))</f>
        <v/>
      </c>
    </row>
    <row r="4280">
      <c r="X4280" s="20" t="str">
        <f>IF($B4280="","",IFERROR(IF(INDEX(Config!$D$9:$D$29,MATCH($B4280,Config!$B$9:$B$29,0))="Contrato",IF(INDEX(Config!$E$9:$E$29,MATCH($B4280,Config!$B$9:$B$29,0))="","",INDEX(Config!$E$9:$E$29,MATCH($B4280,Config!$B$9:$B$29,0))),""),""))</f>
        <v/>
      </c>
      <c r="AI4280" s="19" t="str">
        <f>IF($B4280="","",IFERROR(INDEX(Config!$D$9:$D$29,MATCH($B4280,Config!$B$9:$B$29,0))&amp;"",""))</f>
        <v/>
      </c>
    </row>
    <row r="4281">
      <c r="X4281" s="20" t="str">
        <f>IF($B4281="","",IFERROR(IF(INDEX(Config!$D$9:$D$29,MATCH($B4281,Config!$B$9:$B$29,0))="Contrato",IF(INDEX(Config!$E$9:$E$29,MATCH($B4281,Config!$B$9:$B$29,0))="","",INDEX(Config!$E$9:$E$29,MATCH($B4281,Config!$B$9:$B$29,0))),""),""))</f>
        <v/>
      </c>
      <c r="AI4281" s="19" t="str">
        <f>IF($B4281="","",IFERROR(INDEX(Config!$D$9:$D$29,MATCH($B4281,Config!$B$9:$B$29,0))&amp;"",""))</f>
        <v/>
      </c>
    </row>
    <row r="4282">
      <c r="X4282" s="20" t="str">
        <f>IF($B4282="","",IFERROR(IF(INDEX(Config!$D$9:$D$29,MATCH($B4282,Config!$B$9:$B$29,0))="Contrato",IF(INDEX(Config!$E$9:$E$29,MATCH($B4282,Config!$B$9:$B$29,0))="","",INDEX(Config!$E$9:$E$29,MATCH($B4282,Config!$B$9:$B$29,0))),""),""))</f>
        <v/>
      </c>
      <c r="AI4282" s="19" t="str">
        <f>IF($B4282="","",IFERROR(INDEX(Config!$D$9:$D$29,MATCH($B4282,Config!$B$9:$B$29,0))&amp;"",""))</f>
        <v/>
      </c>
    </row>
    <row r="4283">
      <c r="X4283" s="20" t="str">
        <f>IF($B4283="","",IFERROR(IF(INDEX(Config!$D$9:$D$29,MATCH($B4283,Config!$B$9:$B$29,0))="Contrato",IF(INDEX(Config!$E$9:$E$29,MATCH($B4283,Config!$B$9:$B$29,0))="","",INDEX(Config!$E$9:$E$29,MATCH($B4283,Config!$B$9:$B$29,0))),""),""))</f>
        <v/>
      </c>
      <c r="AI4283" s="19" t="str">
        <f>IF($B4283="","",IFERROR(INDEX(Config!$D$9:$D$29,MATCH($B4283,Config!$B$9:$B$29,0))&amp;"",""))</f>
        <v/>
      </c>
    </row>
    <row r="4284">
      <c r="X4284" s="20" t="str">
        <f>IF($B4284="","",IFERROR(IF(INDEX(Config!$D$9:$D$29,MATCH($B4284,Config!$B$9:$B$29,0))="Contrato",IF(INDEX(Config!$E$9:$E$29,MATCH($B4284,Config!$B$9:$B$29,0))="","",INDEX(Config!$E$9:$E$29,MATCH($B4284,Config!$B$9:$B$29,0))),""),""))</f>
        <v/>
      </c>
      <c r="AI4284" s="19" t="str">
        <f>IF($B4284="","",IFERROR(INDEX(Config!$D$9:$D$29,MATCH($B4284,Config!$B$9:$B$29,0))&amp;"",""))</f>
        <v/>
      </c>
    </row>
    <row r="4285">
      <c r="X4285" s="20" t="str">
        <f>IF($B4285="","",IFERROR(IF(INDEX(Config!$D$9:$D$29,MATCH($B4285,Config!$B$9:$B$29,0))="Contrato",IF(INDEX(Config!$E$9:$E$29,MATCH($B4285,Config!$B$9:$B$29,0))="","",INDEX(Config!$E$9:$E$29,MATCH($B4285,Config!$B$9:$B$29,0))),""),""))</f>
        <v/>
      </c>
      <c r="AI4285" s="19" t="str">
        <f>IF($B4285="","",IFERROR(INDEX(Config!$D$9:$D$29,MATCH($B4285,Config!$B$9:$B$29,0))&amp;"",""))</f>
        <v/>
      </c>
    </row>
    <row r="4286">
      <c r="X4286" s="20" t="str">
        <f>IF($B4286="","",IFERROR(IF(INDEX(Config!$D$9:$D$29,MATCH($B4286,Config!$B$9:$B$29,0))="Contrato",IF(INDEX(Config!$E$9:$E$29,MATCH($B4286,Config!$B$9:$B$29,0))="","",INDEX(Config!$E$9:$E$29,MATCH($B4286,Config!$B$9:$B$29,0))),""),""))</f>
        <v/>
      </c>
      <c r="AI4286" s="19" t="str">
        <f>IF($B4286="","",IFERROR(INDEX(Config!$D$9:$D$29,MATCH($B4286,Config!$B$9:$B$29,0))&amp;"",""))</f>
        <v/>
      </c>
    </row>
    <row r="4287">
      <c r="X4287" s="20" t="str">
        <f>IF($B4287="","",IFERROR(IF(INDEX(Config!$D$9:$D$29,MATCH($B4287,Config!$B$9:$B$29,0))="Contrato",IF(INDEX(Config!$E$9:$E$29,MATCH($B4287,Config!$B$9:$B$29,0))="","",INDEX(Config!$E$9:$E$29,MATCH($B4287,Config!$B$9:$B$29,0))),""),""))</f>
        <v/>
      </c>
      <c r="AI4287" s="19" t="str">
        <f>IF($B4287="","",IFERROR(INDEX(Config!$D$9:$D$29,MATCH($B4287,Config!$B$9:$B$29,0))&amp;"",""))</f>
        <v/>
      </c>
    </row>
    <row r="4288">
      <c r="X4288" s="20" t="str">
        <f>IF($B4288="","",IFERROR(IF(INDEX(Config!$D$9:$D$29,MATCH($B4288,Config!$B$9:$B$29,0))="Contrato",IF(INDEX(Config!$E$9:$E$29,MATCH($B4288,Config!$B$9:$B$29,0))="","",INDEX(Config!$E$9:$E$29,MATCH($B4288,Config!$B$9:$B$29,0))),""),""))</f>
        <v/>
      </c>
      <c r="AI4288" s="19" t="str">
        <f>IF($B4288="","",IFERROR(INDEX(Config!$D$9:$D$29,MATCH($B4288,Config!$B$9:$B$29,0))&amp;"",""))</f>
        <v/>
      </c>
    </row>
    <row r="4289">
      <c r="X4289" s="20" t="str">
        <f>IF($B4289="","",IFERROR(IF(INDEX(Config!$D$9:$D$29,MATCH($B4289,Config!$B$9:$B$29,0))="Contrato",IF(INDEX(Config!$E$9:$E$29,MATCH($B4289,Config!$B$9:$B$29,0))="","",INDEX(Config!$E$9:$E$29,MATCH($B4289,Config!$B$9:$B$29,0))),""),""))</f>
        <v/>
      </c>
      <c r="AI4289" s="19" t="str">
        <f>IF($B4289="","",IFERROR(INDEX(Config!$D$9:$D$29,MATCH($B4289,Config!$B$9:$B$29,0))&amp;"",""))</f>
        <v/>
      </c>
    </row>
    <row r="4290">
      <c r="X4290" s="20" t="str">
        <f>IF($B4290="","",IFERROR(IF(INDEX(Config!$D$9:$D$29,MATCH($B4290,Config!$B$9:$B$29,0))="Contrato",IF(INDEX(Config!$E$9:$E$29,MATCH($B4290,Config!$B$9:$B$29,0))="","",INDEX(Config!$E$9:$E$29,MATCH($B4290,Config!$B$9:$B$29,0))),""),""))</f>
        <v/>
      </c>
      <c r="AI4290" s="19" t="str">
        <f>IF($B4290="","",IFERROR(INDEX(Config!$D$9:$D$29,MATCH($B4290,Config!$B$9:$B$29,0))&amp;"",""))</f>
        <v/>
      </c>
    </row>
    <row r="4291">
      <c r="X4291" s="20" t="str">
        <f>IF($B4291="","",IFERROR(IF(INDEX(Config!$D$9:$D$29,MATCH($B4291,Config!$B$9:$B$29,0))="Contrato",IF(INDEX(Config!$E$9:$E$29,MATCH($B4291,Config!$B$9:$B$29,0))="","",INDEX(Config!$E$9:$E$29,MATCH($B4291,Config!$B$9:$B$29,0))),""),""))</f>
        <v/>
      </c>
      <c r="AI4291" s="19" t="str">
        <f>IF($B4291="","",IFERROR(INDEX(Config!$D$9:$D$29,MATCH($B4291,Config!$B$9:$B$29,0))&amp;"",""))</f>
        <v/>
      </c>
    </row>
    <row r="4292">
      <c r="X4292" s="20" t="str">
        <f>IF($B4292="","",IFERROR(IF(INDEX(Config!$D$9:$D$29,MATCH($B4292,Config!$B$9:$B$29,0))="Contrato",IF(INDEX(Config!$E$9:$E$29,MATCH($B4292,Config!$B$9:$B$29,0))="","",INDEX(Config!$E$9:$E$29,MATCH($B4292,Config!$B$9:$B$29,0))),""),""))</f>
        <v/>
      </c>
      <c r="AI4292" s="19" t="str">
        <f>IF($B4292="","",IFERROR(INDEX(Config!$D$9:$D$29,MATCH($B4292,Config!$B$9:$B$29,0))&amp;"",""))</f>
        <v/>
      </c>
    </row>
    <row r="4293">
      <c r="X4293" s="20" t="str">
        <f>IF($B4293="","",IFERROR(IF(INDEX(Config!$D$9:$D$29,MATCH($B4293,Config!$B$9:$B$29,0))="Contrato",IF(INDEX(Config!$E$9:$E$29,MATCH($B4293,Config!$B$9:$B$29,0))="","",INDEX(Config!$E$9:$E$29,MATCH($B4293,Config!$B$9:$B$29,0))),""),""))</f>
        <v/>
      </c>
      <c r="AI4293" s="19" t="str">
        <f>IF($B4293="","",IFERROR(INDEX(Config!$D$9:$D$29,MATCH($B4293,Config!$B$9:$B$29,0))&amp;"",""))</f>
        <v/>
      </c>
    </row>
    <row r="4294">
      <c r="X4294" s="20" t="str">
        <f>IF($B4294="","",IFERROR(IF(INDEX(Config!$D$9:$D$29,MATCH($B4294,Config!$B$9:$B$29,0))="Contrato",IF(INDEX(Config!$E$9:$E$29,MATCH($B4294,Config!$B$9:$B$29,0))="","",INDEX(Config!$E$9:$E$29,MATCH($B4294,Config!$B$9:$B$29,0))),""),""))</f>
        <v/>
      </c>
      <c r="AI4294" s="19" t="str">
        <f>IF($B4294="","",IFERROR(INDEX(Config!$D$9:$D$29,MATCH($B4294,Config!$B$9:$B$29,0))&amp;"",""))</f>
        <v/>
      </c>
    </row>
    <row r="4295">
      <c r="X4295" s="20" t="str">
        <f>IF($B4295="","",IFERROR(IF(INDEX(Config!$D$9:$D$29,MATCH($B4295,Config!$B$9:$B$29,0))="Contrato",IF(INDEX(Config!$E$9:$E$29,MATCH($B4295,Config!$B$9:$B$29,0))="","",INDEX(Config!$E$9:$E$29,MATCH($B4295,Config!$B$9:$B$29,0))),""),""))</f>
        <v/>
      </c>
      <c r="AI4295" s="19" t="str">
        <f>IF($B4295="","",IFERROR(INDEX(Config!$D$9:$D$29,MATCH($B4295,Config!$B$9:$B$29,0))&amp;"",""))</f>
        <v/>
      </c>
    </row>
    <row r="4296">
      <c r="X4296" s="20" t="str">
        <f>IF($B4296="","",IFERROR(IF(INDEX(Config!$D$9:$D$29,MATCH($B4296,Config!$B$9:$B$29,0))="Contrato",IF(INDEX(Config!$E$9:$E$29,MATCH($B4296,Config!$B$9:$B$29,0))="","",INDEX(Config!$E$9:$E$29,MATCH($B4296,Config!$B$9:$B$29,0))),""),""))</f>
        <v/>
      </c>
      <c r="AI4296" s="19" t="str">
        <f>IF($B4296="","",IFERROR(INDEX(Config!$D$9:$D$29,MATCH($B4296,Config!$B$9:$B$29,0))&amp;"",""))</f>
        <v/>
      </c>
    </row>
    <row r="4297">
      <c r="X4297" s="20" t="str">
        <f>IF($B4297="","",IFERROR(IF(INDEX(Config!$D$9:$D$29,MATCH($B4297,Config!$B$9:$B$29,0))="Contrato",IF(INDEX(Config!$E$9:$E$29,MATCH($B4297,Config!$B$9:$B$29,0))="","",INDEX(Config!$E$9:$E$29,MATCH($B4297,Config!$B$9:$B$29,0))),""),""))</f>
        <v/>
      </c>
      <c r="AI4297" s="19" t="str">
        <f>IF($B4297="","",IFERROR(INDEX(Config!$D$9:$D$29,MATCH($B4297,Config!$B$9:$B$29,0))&amp;"",""))</f>
        <v/>
      </c>
    </row>
    <row r="4298">
      <c r="X4298" s="20" t="str">
        <f>IF($B4298="","",IFERROR(IF(INDEX(Config!$D$9:$D$29,MATCH($B4298,Config!$B$9:$B$29,0))="Contrato",IF(INDEX(Config!$E$9:$E$29,MATCH($B4298,Config!$B$9:$B$29,0))="","",INDEX(Config!$E$9:$E$29,MATCH($B4298,Config!$B$9:$B$29,0))),""),""))</f>
        <v/>
      </c>
      <c r="AI4298" s="19" t="str">
        <f>IF($B4298="","",IFERROR(INDEX(Config!$D$9:$D$29,MATCH($B4298,Config!$B$9:$B$29,0))&amp;"",""))</f>
        <v/>
      </c>
    </row>
    <row r="4299">
      <c r="X4299" s="20" t="str">
        <f>IF($B4299="","",IFERROR(IF(INDEX(Config!$D$9:$D$29,MATCH($B4299,Config!$B$9:$B$29,0))="Contrato",IF(INDEX(Config!$E$9:$E$29,MATCH($B4299,Config!$B$9:$B$29,0))="","",INDEX(Config!$E$9:$E$29,MATCH($B4299,Config!$B$9:$B$29,0))),""),""))</f>
        <v/>
      </c>
      <c r="AI4299" s="19" t="str">
        <f>IF($B4299="","",IFERROR(INDEX(Config!$D$9:$D$29,MATCH($B4299,Config!$B$9:$B$29,0))&amp;"",""))</f>
        <v/>
      </c>
    </row>
    <row r="4300">
      <c r="X4300" s="20" t="str">
        <f>IF($B4300="","",IFERROR(IF(INDEX(Config!$D$9:$D$29,MATCH($B4300,Config!$B$9:$B$29,0))="Contrato",IF(INDEX(Config!$E$9:$E$29,MATCH($B4300,Config!$B$9:$B$29,0))="","",INDEX(Config!$E$9:$E$29,MATCH($B4300,Config!$B$9:$B$29,0))),""),""))</f>
        <v/>
      </c>
      <c r="AI4300" s="19" t="str">
        <f>IF($B4300="","",IFERROR(INDEX(Config!$D$9:$D$29,MATCH($B4300,Config!$B$9:$B$29,0))&amp;"",""))</f>
        <v/>
      </c>
    </row>
    <row r="4301">
      <c r="X4301" s="20" t="str">
        <f>IF($B4301="","",IFERROR(IF(INDEX(Config!$D$9:$D$29,MATCH($B4301,Config!$B$9:$B$29,0))="Contrato",IF(INDEX(Config!$E$9:$E$29,MATCH($B4301,Config!$B$9:$B$29,0))="","",INDEX(Config!$E$9:$E$29,MATCH($B4301,Config!$B$9:$B$29,0))),""),""))</f>
        <v/>
      </c>
      <c r="AI4301" s="19" t="str">
        <f>IF($B4301="","",IFERROR(INDEX(Config!$D$9:$D$29,MATCH($B4301,Config!$B$9:$B$29,0))&amp;"",""))</f>
        <v/>
      </c>
    </row>
    <row r="4302">
      <c r="X4302" s="20" t="str">
        <f>IF($B4302="","",IFERROR(IF(INDEX(Config!$D$9:$D$29,MATCH($B4302,Config!$B$9:$B$29,0))="Contrato",IF(INDEX(Config!$E$9:$E$29,MATCH($B4302,Config!$B$9:$B$29,0))="","",INDEX(Config!$E$9:$E$29,MATCH($B4302,Config!$B$9:$B$29,0))),""),""))</f>
        <v/>
      </c>
      <c r="AI4302" s="19" t="str">
        <f>IF($B4302="","",IFERROR(INDEX(Config!$D$9:$D$29,MATCH($B4302,Config!$B$9:$B$29,0))&amp;"",""))</f>
        <v/>
      </c>
    </row>
    <row r="4303">
      <c r="X4303" s="20" t="str">
        <f>IF($B4303="","",IFERROR(IF(INDEX(Config!$D$9:$D$29,MATCH($B4303,Config!$B$9:$B$29,0))="Contrato",IF(INDEX(Config!$E$9:$E$29,MATCH($B4303,Config!$B$9:$B$29,0))="","",INDEX(Config!$E$9:$E$29,MATCH($B4303,Config!$B$9:$B$29,0))),""),""))</f>
        <v/>
      </c>
      <c r="AI4303" s="19" t="str">
        <f>IF($B4303="","",IFERROR(INDEX(Config!$D$9:$D$29,MATCH($B4303,Config!$B$9:$B$29,0))&amp;"",""))</f>
        <v/>
      </c>
    </row>
    <row r="4304">
      <c r="X4304" s="20" t="str">
        <f>IF($B4304="","",IFERROR(IF(INDEX(Config!$D$9:$D$29,MATCH($B4304,Config!$B$9:$B$29,0))="Contrato",IF(INDEX(Config!$E$9:$E$29,MATCH($B4304,Config!$B$9:$B$29,0))="","",INDEX(Config!$E$9:$E$29,MATCH($B4304,Config!$B$9:$B$29,0))),""),""))</f>
        <v/>
      </c>
      <c r="AI4304" s="19" t="str">
        <f>IF($B4304="","",IFERROR(INDEX(Config!$D$9:$D$29,MATCH($B4304,Config!$B$9:$B$29,0))&amp;"",""))</f>
        <v/>
      </c>
    </row>
    <row r="4305">
      <c r="X4305" s="20" t="str">
        <f>IF($B4305="","",IFERROR(IF(INDEX(Config!$D$9:$D$29,MATCH($B4305,Config!$B$9:$B$29,0))="Contrato",IF(INDEX(Config!$E$9:$E$29,MATCH($B4305,Config!$B$9:$B$29,0))="","",INDEX(Config!$E$9:$E$29,MATCH($B4305,Config!$B$9:$B$29,0))),""),""))</f>
        <v/>
      </c>
      <c r="AI4305" s="19" t="str">
        <f>IF($B4305="","",IFERROR(INDEX(Config!$D$9:$D$29,MATCH($B4305,Config!$B$9:$B$29,0))&amp;"",""))</f>
        <v/>
      </c>
    </row>
    <row r="4306">
      <c r="X4306" s="20" t="str">
        <f>IF($B4306="","",IFERROR(IF(INDEX(Config!$D$9:$D$29,MATCH($B4306,Config!$B$9:$B$29,0))="Contrato",IF(INDEX(Config!$E$9:$E$29,MATCH($B4306,Config!$B$9:$B$29,0))="","",INDEX(Config!$E$9:$E$29,MATCH($B4306,Config!$B$9:$B$29,0))),""),""))</f>
        <v/>
      </c>
      <c r="AI4306" s="19" t="str">
        <f>IF($B4306="","",IFERROR(INDEX(Config!$D$9:$D$29,MATCH($B4306,Config!$B$9:$B$29,0))&amp;"",""))</f>
        <v/>
      </c>
    </row>
    <row r="4307">
      <c r="X4307" s="20" t="str">
        <f>IF($B4307="","",IFERROR(IF(INDEX(Config!$D$9:$D$29,MATCH($B4307,Config!$B$9:$B$29,0))="Contrato",IF(INDEX(Config!$E$9:$E$29,MATCH($B4307,Config!$B$9:$B$29,0))="","",INDEX(Config!$E$9:$E$29,MATCH($B4307,Config!$B$9:$B$29,0))),""),""))</f>
        <v/>
      </c>
      <c r="AI4307" s="19" t="str">
        <f>IF($B4307="","",IFERROR(INDEX(Config!$D$9:$D$29,MATCH($B4307,Config!$B$9:$B$29,0))&amp;"",""))</f>
        <v/>
      </c>
    </row>
    <row r="4308">
      <c r="X4308" s="20" t="str">
        <f>IF($B4308="","",IFERROR(IF(INDEX(Config!$D$9:$D$29,MATCH($B4308,Config!$B$9:$B$29,0))="Contrato",IF(INDEX(Config!$E$9:$E$29,MATCH($B4308,Config!$B$9:$B$29,0))="","",INDEX(Config!$E$9:$E$29,MATCH($B4308,Config!$B$9:$B$29,0))),""),""))</f>
        <v/>
      </c>
      <c r="AI4308" s="19" t="str">
        <f>IF($B4308="","",IFERROR(INDEX(Config!$D$9:$D$29,MATCH($B4308,Config!$B$9:$B$29,0))&amp;"",""))</f>
        <v/>
      </c>
    </row>
    <row r="4309">
      <c r="X4309" s="20" t="str">
        <f>IF($B4309="","",IFERROR(IF(INDEX(Config!$D$9:$D$29,MATCH($B4309,Config!$B$9:$B$29,0))="Contrato",IF(INDEX(Config!$E$9:$E$29,MATCH($B4309,Config!$B$9:$B$29,0))="","",INDEX(Config!$E$9:$E$29,MATCH($B4309,Config!$B$9:$B$29,0))),""),""))</f>
        <v/>
      </c>
      <c r="AI4309" s="19" t="str">
        <f>IF($B4309="","",IFERROR(INDEX(Config!$D$9:$D$29,MATCH($B4309,Config!$B$9:$B$29,0))&amp;"",""))</f>
        <v/>
      </c>
    </row>
    <row r="4310">
      <c r="X4310" s="20" t="str">
        <f>IF($B4310="","",IFERROR(IF(INDEX(Config!$D$9:$D$29,MATCH($B4310,Config!$B$9:$B$29,0))="Contrato",IF(INDEX(Config!$E$9:$E$29,MATCH($B4310,Config!$B$9:$B$29,0))="","",INDEX(Config!$E$9:$E$29,MATCH($B4310,Config!$B$9:$B$29,0))),""),""))</f>
        <v/>
      </c>
      <c r="AI4310" s="19" t="str">
        <f>IF($B4310="","",IFERROR(INDEX(Config!$D$9:$D$29,MATCH($B4310,Config!$B$9:$B$29,0))&amp;"",""))</f>
        <v/>
      </c>
    </row>
    <row r="4311">
      <c r="X4311" s="20" t="str">
        <f>IF($B4311="","",IFERROR(IF(INDEX(Config!$D$9:$D$29,MATCH($B4311,Config!$B$9:$B$29,0))="Contrato",IF(INDEX(Config!$E$9:$E$29,MATCH($B4311,Config!$B$9:$B$29,0))="","",INDEX(Config!$E$9:$E$29,MATCH($B4311,Config!$B$9:$B$29,0))),""),""))</f>
        <v/>
      </c>
      <c r="AI4311" s="19" t="str">
        <f>IF($B4311="","",IFERROR(INDEX(Config!$D$9:$D$29,MATCH($B4311,Config!$B$9:$B$29,0))&amp;"",""))</f>
        <v/>
      </c>
    </row>
    <row r="4312">
      <c r="X4312" s="20" t="str">
        <f>IF($B4312="","",IFERROR(IF(INDEX(Config!$D$9:$D$29,MATCH($B4312,Config!$B$9:$B$29,0))="Contrato",IF(INDEX(Config!$E$9:$E$29,MATCH($B4312,Config!$B$9:$B$29,0))="","",INDEX(Config!$E$9:$E$29,MATCH($B4312,Config!$B$9:$B$29,0))),""),""))</f>
        <v/>
      </c>
      <c r="AI4312" s="19" t="str">
        <f>IF($B4312="","",IFERROR(INDEX(Config!$D$9:$D$29,MATCH($B4312,Config!$B$9:$B$29,0))&amp;"",""))</f>
        <v/>
      </c>
    </row>
    <row r="4313">
      <c r="X4313" s="20" t="str">
        <f>IF($B4313="","",IFERROR(IF(INDEX(Config!$D$9:$D$29,MATCH($B4313,Config!$B$9:$B$29,0))="Contrato",IF(INDEX(Config!$E$9:$E$29,MATCH($B4313,Config!$B$9:$B$29,0))="","",INDEX(Config!$E$9:$E$29,MATCH($B4313,Config!$B$9:$B$29,0))),""),""))</f>
        <v/>
      </c>
      <c r="AI4313" s="19" t="str">
        <f>IF($B4313="","",IFERROR(INDEX(Config!$D$9:$D$29,MATCH($B4313,Config!$B$9:$B$29,0))&amp;"",""))</f>
        <v/>
      </c>
    </row>
    <row r="4314">
      <c r="X4314" s="20" t="str">
        <f>IF($B4314="","",IFERROR(IF(INDEX(Config!$D$9:$D$29,MATCH($B4314,Config!$B$9:$B$29,0))="Contrato",IF(INDEX(Config!$E$9:$E$29,MATCH($B4314,Config!$B$9:$B$29,0))="","",INDEX(Config!$E$9:$E$29,MATCH($B4314,Config!$B$9:$B$29,0))),""),""))</f>
        <v/>
      </c>
      <c r="AI4314" s="19" t="str">
        <f>IF($B4314="","",IFERROR(INDEX(Config!$D$9:$D$29,MATCH($B4314,Config!$B$9:$B$29,0))&amp;"",""))</f>
        <v/>
      </c>
    </row>
    <row r="4315">
      <c r="X4315" s="20" t="str">
        <f>IF($B4315="","",IFERROR(IF(INDEX(Config!$D$9:$D$29,MATCH($B4315,Config!$B$9:$B$29,0))="Contrato",IF(INDEX(Config!$E$9:$E$29,MATCH($B4315,Config!$B$9:$B$29,0))="","",INDEX(Config!$E$9:$E$29,MATCH($B4315,Config!$B$9:$B$29,0))),""),""))</f>
        <v/>
      </c>
      <c r="AI4315" s="19" t="str">
        <f>IF($B4315="","",IFERROR(INDEX(Config!$D$9:$D$29,MATCH($B4315,Config!$B$9:$B$29,0))&amp;"",""))</f>
        <v/>
      </c>
    </row>
    <row r="4316">
      <c r="X4316" s="20" t="str">
        <f>IF($B4316="","",IFERROR(IF(INDEX(Config!$D$9:$D$29,MATCH($B4316,Config!$B$9:$B$29,0))="Contrato",IF(INDEX(Config!$E$9:$E$29,MATCH($B4316,Config!$B$9:$B$29,0))="","",INDEX(Config!$E$9:$E$29,MATCH($B4316,Config!$B$9:$B$29,0))),""),""))</f>
        <v/>
      </c>
      <c r="AI4316" s="19" t="str">
        <f>IF($B4316="","",IFERROR(INDEX(Config!$D$9:$D$29,MATCH($B4316,Config!$B$9:$B$29,0))&amp;"",""))</f>
        <v/>
      </c>
    </row>
    <row r="4317">
      <c r="X4317" s="20" t="str">
        <f>IF($B4317="","",IFERROR(IF(INDEX(Config!$D$9:$D$29,MATCH($B4317,Config!$B$9:$B$29,0))="Contrato",IF(INDEX(Config!$E$9:$E$29,MATCH($B4317,Config!$B$9:$B$29,0))="","",INDEX(Config!$E$9:$E$29,MATCH($B4317,Config!$B$9:$B$29,0))),""),""))</f>
        <v/>
      </c>
      <c r="AI4317" s="19" t="str">
        <f>IF($B4317="","",IFERROR(INDEX(Config!$D$9:$D$29,MATCH($B4317,Config!$B$9:$B$29,0))&amp;"",""))</f>
        <v/>
      </c>
    </row>
    <row r="4318">
      <c r="X4318" s="20" t="str">
        <f>IF($B4318="","",IFERROR(IF(INDEX(Config!$D$9:$D$29,MATCH($B4318,Config!$B$9:$B$29,0))="Contrato",IF(INDEX(Config!$E$9:$E$29,MATCH($B4318,Config!$B$9:$B$29,0))="","",INDEX(Config!$E$9:$E$29,MATCH($B4318,Config!$B$9:$B$29,0))),""),""))</f>
        <v/>
      </c>
      <c r="AI4318" s="19" t="str">
        <f>IF($B4318="","",IFERROR(INDEX(Config!$D$9:$D$29,MATCH($B4318,Config!$B$9:$B$29,0))&amp;"",""))</f>
        <v/>
      </c>
    </row>
    <row r="4319">
      <c r="X4319" s="20" t="str">
        <f>IF($B4319="","",IFERROR(IF(INDEX(Config!$D$9:$D$29,MATCH($B4319,Config!$B$9:$B$29,0))="Contrato",IF(INDEX(Config!$E$9:$E$29,MATCH($B4319,Config!$B$9:$B$29,0))="","",INDEX(Config!$E$9:$E$29,MATCH($B4319,Config!$B$9:$B$29,0))),""),""))</f>
        <v/>
      </c>
      <c r="AI4319" s="19" t="str">
        <f>IF($B4319="","",IFERROR(INDEX(Config!$D$9:$D$29,MATCH($B4319,Config!$B$9:$B$29,0))&amp;"",""))</f>
        <v/>
      </c>
    </row>
    <row r="4320">
      <c r="X4320" s="20" t="str">
        <f>IF($B4320="","",IFERROR(IF(INDEX(Config!$D$9:$D$29,MATCH($B4320,Config!$B$9:$B$29,0))="Contrato",IF(INDEX(Config!$E$9:$E$29,MATCH($B4320,Config!$B$9:$B$29,0))="","",INDEX(Config!$E$9:$E$29,MATCH($B4320,Config!$B$9:$B$29,0))),""),""))</f>
        <v/>
      </c>
      <c r="AI4320" s="19" t="str">
        <f>IF($B4320="","",IFERROR(INDEX(Config!$D$9:$D$29,MATCH($B4320,Config!$B$9:$B$29,0))&amp;"",""))</f>
        <v/>
      </c>
    </row>
    <row r="4321">
      <c r="X4321" s="20" t="str">
        <f>IF($B4321="","",IFERROR(IF(INDEX(Config!$D$9:$D$29,MATCH($B4321,Config!$B$9:$B$29,0))="Contrato",IF(INDEX(Config!$E$9:$E$29,MATCH($B4321,Config!$B$9:$B$29,0))="","",INDEX(Config!$E$9:$E$29,MATCH($B4321,Config!$B$9:$B$29,0))),""),""))</f>
        <v/>
      </c>
      <c r="AI4321" s="19" t="str">
        <f>IF($B4321="","",IFERROR(INDEX(Config!$D$9:$D$29,MATCH($B4321,Config!$B$9:$B$29,0))&amp;"",""))</f>
        <v/>
      </c>
    </row>
    <row r="4322">
      <c r="X4322" s="20" t="str">
        <f>IF($B4322="","",IFERROR(IF(INDEX(Config!$D$9:$D$29,MATCH($B4322,Config!$B$9:$B$29,0))="Contrato",IF(INDEX(Config!$E$9:$E$29,MATCH($B4322,Config!$B$9:$B$29,0))="","",INDEX(Config!$E$9:$E$29,MATCH($B4322,Config!$B$9:$B$29,0))),""),""))</f>
        <v/>
      </c>
      <c r="AI4322" s="19" t="str">
        <f>IF($B4322="","",IFERROR(INDEX(Config!$D$9:$D$29,MATCH($B4322,Config!$B$9:$B$29,0))&amp;"",""))</f>
        <v/>
      </c>
    </row>
    <row r="4323">
      <c r="X4323" s="20" t="str">
        <f>IF($B4323="","",IFERROR(IF(INDEX(Config!$D$9:$D$29,MATCH($B4323,Config!$B$9:$B$29,0))="Contrato",IF(INDEX(Config!$E$9:$E$29,MATCH($B4323,Config!$B$9:$B$29,0))="","",INDEX(Config!$E$9:$E$29,MATCH($B4323,Config!$B$9:$B$29,0))),""),""))</f>
        <v/>
      </c>
      <c r="AI4323" s="19" t="str">
        <f>IF($B4323="","",IFERROR(INDEX(Config!$D$9:$D$29,MATCH($B4323,Config!$B$9:$B$29,0))&amp;"",""))</f>
        <v/>
      </c>
    </row>
    <row r="4324">
      <c r="X4324" s="20" t="str">
        <f>IF($B4324="","",IFERROR(IF(INDEX(Config!$D$9:$D$29,MATCH($B4324,Config!$B$9:$B$29,0))="Contrato",IF(INDEX(Config!$E$9:$E$29,MATCH($B4324,Config!$B$9:$B$29,0))="","",INDEX(Config!$E$9:$E$29,MATCH($B4324,Config!$B$9:$B$29,0))),""),""))</f>
        <v/>
      </c>
      <c r="AI4324" s="19" t="str">
        <f>IF($B4324="","",IFERROR(INDEX(Config!$D$9:$D$29,MATCH($B4324,Config!$B$9:$B$29,0))&amp;"",""))</f>
        <v/>
      </c>
    </row>
    <row r="4325">
      <c r="X4325" s="20" t="str">
        <f>IF($B4325="","",IFERROR(IF(INDEX(Config!$D$9:$D$29,MATCH($B4325,Config!$B$9:$B$29,0))="Contrato",IF(INDEX(Config!$E$9:$E$29,MATCH($B4325,Config!$B$9:$B$29,0))="","",INDEX(Config!$E$9:$E$29,MATCH($B4325,Config!$B$9:$B$29,0))),""),""))</f>
        <v/>
      </c>
      <c r="AI4325" s="19" t="str">
        <f>IF($B4325="","",IFERROR(INDEX(Config!$D$9:$D$29,MATCH($B4325,Config!$B$9:$B$29,0))&amp;"",""))</f>
        <v/>
      </c>
    </row>
    <row r="4326">
      <c r="X4326" s="20" t="str">
        <f>IF($B4326="","",IFERROR(IF(INDEX(Config!$D$9:$D$29,MATCH($B4326,Config!$B$9:$B$29,0))="Contrato",IF(INDEX(Config!$E$9:$E$29,MATCH($B4326,Config!$B$9:$B$29,0))="","",INDEX(Config!$E$9:$E$29,MATCH($B4326,Config!$B$9:$B$29,0))),""),""))</f>
        <v/>
      </c>
      <c r="AI4326" s="19" t="str">
        <f>IF($B4326="","",IFERROR(INDEX(Config!$D$9:$D$29,MATCH($B4326,Config!$B$9:$B$29,0))&amp;"",""))</f>
        <v/>
      </c>
    </row>
    <row r="4327">
      <c r="X4327" s="20" t="str">
        <f>IF($B4327="","",IFERROR(IF(INDEX(Config!$D$9:$D$29,MATCH($B4327,Config!$B$9:$B$29,0))="Contrato",IF(INDEX(Config!$E$9:$E$29,MATCH($B4327,Config!$B$9:$B$29,0))="","",INDEX(Config!$E$9:$E$29,MATCH($B4327,Config!$B$9:$B$29,0))),""),""))</f>
        <v/>
      </c>
      <c r="AI4327" s="19" t="str">
        <f>IF($B4327="","",IFERROR(INDEX(Config!$D$9:$D$29,MATCH($B4327,Config!$B$9:$B$29,0))&amp;"",""))</f>
        <v/>
      </c>
    </row>
    <row r="4328">
      <c r="X4328" s="20" t="str">
        <f>IF($B4328="","",IFERROR(IF(INDEX(Config!$D$9:$D$29,MATCH($B4328,Config!$B$9:$B$29,0))="Contrato",IF(INDEX(Config!$E$9:$E$29,MATCH($B4328,Config!$B$9:$B$29,0))="","",INDEX(Config!$E$9:$E$29,MATCH($B4328,Config!$B$9:$B$29,0))),""),""))</f>
        <v/>
      </c>
      <c r="AI4328" s="19" t="str">
        <f>IF($B4328="","",IFERROR(INDEX(Config!$D$9:$D$29,MATCH($B4328,Config!$B$9:$B$29,0))&amp;"",""))</f>
        <v/>
      </c>
    </row>
    <row r="4329">
      <c r="X4329" s="20" t="str">
        <f>IF($B4329="","",IFERROR(IF(INDEX(Config!$D$9:$D$29,MATCH($B4329,Config!$B$9:$B$29,0))="Contrato",IF(INDEX(Config!$E$9:$E$29,MATCH($B4329,Config!$B$9:$B$29,0))="","",INDEX(Config!$E$9:$E$29,MATCH($B4329,Config!$B$9:$B$29,0))),""),""))</f>
        <v/>
      </c>
      <c r="AI4329" s="19" t="str">
        <f>IF($B4329="","",IFERROR(INDEX(Config!$D$9:$D$29,MATCH($B4329,Config!$B$9:$B$29,0))&amp;"",""))</f>
        <v/>
      </c>
    </row>
    <row r="4330">
      <c r="X4330" s="20" t="str">
        <f>IF($B4330="","",IFERROR(IF(INDEX(Config!$D$9:$D$29,MATCH($B4330,Config!$B$9:$B$29,0))="Contrato",IF(INDEX(Config!$E$9:$E$29,MATCH($B4330,Config!$B$9:$B$29,0))="","",INDEX(Config!$E$9:$E$29,MATCH($B4330,Config!$B$9:$B$29,0))),""),""))</f>
        <v/>
      </c>
      <c r="AI4330" s="19" t="str">
        <f>IF($B4330="","",IFERROR(INDEX(Config!$D$9:$D$29,MATCH($B4330,Config!$B$9:$B$29,0))&amp;"",""))</f>
        <v/>
      </c>
    </row>
    <row r="4331">
      <c r="X4331" s="20" t="str">
        <f>IF($B4331="","",IFERROR(IF(INDEX(Config!$D$9:$D$29,MATCH($B4331,Config!$B$9:$B$29,0))="Contrato",IF(INDEX(Config!$E$9:$E$29,MATCH($B4331,Config!$B$9:$B$29,0))="","",INDEX(Config!$E$9:$E$29,MATCH($B4331,Config!$B$9:$B$29,0))),""),""))</f>
        <v/>
      </c>
      <c r="AI4331" s="19" t="str">
        <f>IF($B4331="","",IFERROR(INDEX(Config!$D$9:$D$29,MATCH($B4331,Config!$B$9:$B$29,0))&amp;"",""))</f>
        <v/>
      </c>
    </row>
    <row r="4332">
      <c r="X4332" s="20" t="str">
        <f>IF($B4332="","",IFERROR(IF(INDEX(Config!$D$9:$D$29,MATCH($B4332,Config!$B$9:$B$29,0))="Contrato",IF(INDEX(Config!$E$9:$E$29,MATCH($B4332,Config!$B$9:$B$29,0))="","",INDEX(Config!$E$9:$E$29,MATCH($B4332,Config!$B$9:$B$29,0))),""),""))</f>
        <v/>
      </c>
      <c r="AI4332" s="19" t="str">
        <f>IF($B4332="","",IFERROR(INDEX(Config!$D$9:$D$29,MATCH($B4332,Config!$B$9:$B$29,0))&amp;"",""))</f>
        <v/>
      </c>
    </row>
    <row r="4333">
      <c r="X4333" s="20" t="str">
        <f>IF($B4333="","",IFERROR(IF(INDEX(Config!$D$9:$D$29,MATCH($B4333,Config!$B$9:$B$29,0))="Contrato",IF(INDEX(Config!$E$9:$E$29,MATCH($B4333,Config!$B$9:$B$29,0))="","",INDEX(Config!$E$9:$E$29,MATCH($B4333,Config!$B$9:$B$29,0))),""),""))</f>
        <v/>
      </c>
      <c r="AI4333" s="19" t="str">
        <f>IF($B4333="","",IFERROR(INDEX(Config!$D$9:$D$29,MATCH($B4333,Config!$B$9:$B$29,0))&amp;"",""))</f>
        <v/>
      </c>
    </row>
    <row r="4334">
      <c r="X4334" s="20" t="str">
        <f>IF($B4334="","",IFERROR(IF(INDEX(Config!$D$9:$D$29,MATCH($B4334,Config!$B$9:$B$29,0))="Contrato",IF(INDEX(Config!$E$9:$E$29,MATCH($B4334,Config!$B$9:$B$29,0))="","",INDEX(Config!$E$9:$E$29,MATCH($B4334,Config!$B$9:$B$29,0))),""),""))</f>
        <v/>
      </c>
      <c r="AI4334" s="19" t="str">
        <f>IF($B4334="","",IFERROR(INDEX(Config!$D$9:$D$29,MATCH($B4334,Config!$B$9:$B$29,0))&amp;"",""))</f>
        <v/>
      </c>
    </row>
    <row r="4335">
      <c r="X4335" s="20" t="str">
        <f>IF($B4335="","",IFERROR(IF(INDEX(Config!$D$9:$D$29,MATCH($B4335,Config!$B$9:$B$29,0))="Contrato",IF(INDEX(Config!$E$9:$E$29,MATCH($B4335,Config!$B$9:$B$29,0))="","",INDEX(Config!$E$9:$E$29,MATCH($B4335,Config!$B$9:$B$29,0))),""),""))</f>
        <v/>
      </c>
      <c r="AI4335" s="19" t="str">
        <f>IF($B4335="","",IFERROR(INDEX(Config!$D$9:$D$29,MATCH($B4335,Config!$B$9:$B$29,0))&amp;"",""))</f>
        <v/>
      </c>
    </row>
    <row r="4336">
      <c r="X4336" s="20" t="str">
        <f>IF($B4336="","",IFERROR(IF(INDEX(Config!$D$9:$D$29,MATCH($B4336,Config!$B$9:$B$29,0))="Contrato",IF(INDEX(Config!$E$9:$E$29,MATCH($B4336,Config!$B$9:$B$29,0))="","",INDEX(Config!$E$9:$E$29,MATCH($B4336,Config!$B$9:$B$29,0))),""),""))</f>
        <v/>
      </c>
      <c r="AI4336" s="19" t="str">
        <f>IF($B4336="","",IFERROR(INDEX(Config!$D$9:$D$29,MATCH($B4336,Config!$B$9:$B$29,0))&amp;"",""))</f>
        <v/>
      </c>
    </row>
    <row r="4337">
      <c r="X4337" s="20" t="str">
        <f>IF($B4337="","",IFERROR(IF(INDEX(Config!$D$9:$D$29,MATCH($B4337,Config!$B$9:$B$29,0))="Contrato",IF(INDEX(Config!$E$9:$E$29,MATCH($B4337,Config!$B$9:$B$29,0))="","",INDEX(Config!$E$9:$E$29,MATCH($B4337,Config!$B$9:$B$29,0))),""),""))</f>
        <v/>
      </c>
      <c r="AI4337" s="19" t="str">
        <f>IF($B4337="","",IFERROR(INDEX(Config!$D$9:$D$29,MATCH($B4337,Config!$B$9:$B$29,0))&amp;"",""))</f>
        <v/>
      </c>
    </row>
    <row r="4338">
      <c r="X4338" s="20" t="str">
        <f>IF($B4338="","",IFERROR(IF(INDEX(Config!$D$9:$D$29,MATCH($B4338,Config!$B$9:$B$29,0))="Contrato",IF(INDEX(Config!$E$9:$E$29,MATCH($B4338,Config!$B$9:$B$29,0))="","",INDEX(Config!$E$9:$E$29,MATCH($B4338,Config!$B$9:$B$29,0))),""),""))</f>
        <v/>
      </c>
      <c r="AI4338" s="19" t="str">
        <f>IF($B4338="","",IFERROR(INDEX(Config!$D$9:$D$29,MATCH($B4338,Config!$B$9:$B$29,0))&amp;"",""))</f>
        <v/>
      </c>
    </row>
    <row r="4339">
      <c r="X4339" s="20" t="str">
        <f>IF($B4339="","",IFERROR(IF(INDEX(Config!$D$9:$D$29,MATCH($B4339,Config!$B$9:$B$29,0))="Contrato",IF(INDEX(Config!$E$9:$E$29,MATCH($B4339,Config!$B$9:$B$29,0))="","",INDEX(Config!$E$9:$E$29,MATCH($B4339,Config!$B$9:$B$29,0))),""),""))</f>
        <v/>
      </c>
      <c r="AI4339" s="19" t="str">
        <f>IF($B4339="","",IFERROR(INDEX(Config!$D$9:$D$29,MATCH($B4339,Config!$B$9:$B$29,0))&amp;"",""))</f>
        <v/>
      </c>
    </row>
    <row r="4340">
      <c r="X4340" s="20" t="str">
        <f>IF($B4340="","",IFERROR(IF(INDEX(Config!$D$9:$D$29,MATCH($B4340,Config!$B$9:$B$29,0))="Contrato",IF(INDEX(Config!$E$9:$E$29,MATCH($B4340,Config!$B$9:$B$29,0))="","",INDEX(Config!$E$9:$E$29,MATCH($B4340,Config!$B$9:$B$29,0))),""),""))</f>
        <v/>
      </c>
      <c r="AI4340" s="19" t="str">
        <f>IF($B4340="","",IFERROR(INDEX(Config!$D$9:$D$29,MATCH($B4340,Config!$B$9:$B$29,0))&amp;"",""))</f>
        <v/>
      </c>
    </row>
    <row r="4341">
      <c r="X4341" s="20" t="str">
        <f>IF($B4341="","",IFERROR(IF(INDEX(Config!$D$9:$D$29,MATCH($B4341,Config!$B$9:$B$29,0))="Contrato",IF(INDEX(Config!$E$9:$E$29,MATCH($B4341,Config!$B$9:$B$29,0))="","",INDEX(Config!$E$9:$E$29,MATCH($B4341,Config!$B$9:$B$29,0))),""),""))</f>
        <v/>
      </c>
      <c r="AI4341" s="19" t="str">
        <f>IF($B4341="","",IFERROR(INDEX(Config!$D$9:$D$29,MATCH($B4341,Config!$B$9:$B$29,0))&amp;"",""))</f>
        <v/>
      </c>
    </row>
    <row r="4342">
      <c r="X4342" s="20" t="str">
        <f>IF($B4342="","",IFERROR(IF(INDEX(Config!$D$9:$D$29,MATCH($B4342,Config!$B$9:$B$29,0))="Contrato",IF(INDEX(Config!$E$9:$E$29,MATCH($B4342,Config!$B$9:$B$29,0))="","",INDEX(Config!$E$9:$E$29,MATCH($B4342,Config!$B$9:$B$29,0))),""),""))</f>
        <v/>
      </c>
      <c r="AI4342" s="19" t="str">
        <f>IF($B4342="","",IFERROR(INDEX(Config!$D$9:$D$29,MATCH($B4342,Config!$B$9:$B$29,0))&amp;"",""))</f>
        <v/>
      </c>
    </row>
    <row r="4343">
      <c r="X4343" s="20" t="str">
        <f>IF($B4343="","",IFERROR(IF(INDEX(Config!$D$9:$D$29,MATCH($B4343,Config!$B$9:$B$29,0))="Contrato",IF(INDEX(Config!$E$9:$E$29,MATCH($B4343,Config!$B$9:$B$29,0))="","",INDEX(Config!$E$9:$E$29,MATCH($B4343,Config!$B$9:$B$29,0))),""),""))</f>
        <v/>
      </c>
      <c r="AI4343" s="19" t="str">
        <f>IF($B4343="","",IFERROR(INDEX(Config!$D$9:$D$29,MATCH($B4343,Config!$B$9:$B$29,0))&amp;"",""))</f>
        <v/>
      </c>
    </row>
    <row r="4344">
      <c r="X4344" s="20" t="str">
        <f>IF($B4344="","",IFERROR(IF(INDEX(Config!$D$9:$D$29,MATCH($B4344,Config!$B$9:$B$29,0))="Contrato",IF(INDEX(Config!$E$9:$E$29,MATCH($B4344,Config!$B$9:$B$29,0))="","",INDEX(Config!$E$9:$E$29,MATCH($B4344,Config!$B$9:$B$29,0))),""),""))</f>
        <v/>
      </c>
      <c r="AI4344" s="19" t="str">
        <f>IF($B4344="","",IFERROR(INDEX(Config!$D$9:$D$29,MATCH($B4344,Config!$B$9:$B$29,0))&amp;"",""))</f>
        <v/>
      </c>
    </row>
    <row r="4345">
      <c r="X4345" s="20" t="str">
        <f>IF($B4345="","",IFERROR(IF(INDEX(Config!$D$9:$D$29,MATCH($B4345,Config!$B$9:$B$29,0))="Contrato",IF(INDEX(Config!$E$9:$E$29,MATCH($B4345,Config!$B$9:$B$29,0))="","",INDEX(Config!$E$9:$E$29,MATCH($B4345,Config!$B$9:$B$29,0))),""),""))</f>
        <v/>
      </c>
      <c r="AI4345" s="19" t="str">
        <f>IF($B4345="","",IFERROR(INDEX(Config!$D$9:$D$29,MATCH($B4345,Config!$B$9:$B$29,0))&amp;"",""))</f>
        <v/>
      </c>
    </row>
    <row r="4346">
      <c r="X4346" s="20" t="str">
        <f>IF($B4346="","",IFERROR(IF(INDEX(Config!$D$9:$D$29,MATCH($B4346,Config!$B$9:$B$29,0))="Contrato",IF(INDEX(Config!$E$9:$E$29,MATCH($B4346,Config!$B$9:$B$29,0))="","",INDEX(Config!$E$9:$E$29,MATCH($B4346,Config!$B$9:$B$29,0))),""),""))</f>
        <v/>
      </c>
      <c r="AI4346" s="19" t="str">
        <f>IF($B4346="","",IFERROR(INDEX(Config!$D$9:$D$29,MATCH($B4346,Config!$B$9:$B$29,0))&amp;"",""))</f>
        <v/>
      </c>
    </row>
    <row r="4347">
      <c r="X4347" s="20" t="str">
        <f>IF($B4347="","",IFERROR(IF(INDEX(Config!$D$9:$D$29,MATCH($B4347,Config!$B$9:$B$29,0))="Contrato",IF(INDEX(Config!$E$9:$E$29,MATCH($B4347,Config!$B$9:$B$29,0))="","",INDEX(Config!$E$9:$E$29,MATCH($B4347,Config!$B$9:$B$29,0))),""),""))</f>
        <v/>
      </c>
      <c r="AI4347" s="19" t="str">
        <f>IF($B4347="","",IFERROR(INDEX(Config!$D$9:$D$29,MATCH($B4347,Config!$B$9:$B$29,0))&amp;"",""))</f>
        <v/>
      </c>
    </row>
    <row r="4348">
      <c r="X4348" s="20" t="str">
        <f>IF($B4348="","",IFERROR(IF(INDEX(Config!$D$9:$D$29,MATCH($B4348,Config!$B$9:$B$29,0))="Contrato",IF(INDEX(Config!$E$9:$E$29,MATCH($B4348,Config!$B$9:$B$29,0))="","",INDEX(Config!$E$9:$E$29,MATCH($B4348,Config!$B$9:$B$29,0))),""),""))</f>
        <v/>
      </c>
      <c r="AI4348" s="19" t="str">
        <f>IF($B4348="","",IFERROR(INDEX(Config!$D$9:$D$29,MATCH($B4348,Config!$B$9:$B$29,0))&amp;"",""))</f>
        <v/>
      </c>
    </row>
    <row r="4349">
      <c r="X4349" s="20" t="str">
        <f>IF($B4349="","",IFERROR(IF(INDEX(Config!$D$9:$D$29,MATCH($B4349,Config!$B$9:$B$29,0))="Contrato",IF(INDEX(Config!$E$9:$E$29,MATCH($B4349,Config!$B$9:$B$29,0))="","",INDEX(Config!$E$9:$E$29,MATCH($B4349,Config!$B$9:$B$29,0))),""),""))</f>
        <v/>
      </c>
      <c r="AI4349" s="19" t="str">
        <f>IF($B4349="","",IFERROR(INDEX(Config!$D$9:$D$29,MATCH($B4349,Config!$B$9:$B$29,0))&amp;"",""))</f>
        <v/>
      </c>
    </row>
    <row r="4350">
      <c r="X4350" s="20" t="str">
        <f>IF($B4350="","",IFERROR(IF(INDEX(Config!$D$9:$D$29,MATCH($B4350,Config!$B$9:$B$29,0))="Contrato",IF(INDEX(Config!$E$9:$E$29,MATCH($B4350,Config!$B$9:$B$29,0))="","",INDEX(Config!$E$9:$E$29,MATCH($B4350,Config!$B$9:$B$29,0))),""),""))</f>
        <v/>
      </c>
      <c r="AI4350" s="19" t="str">
        <f>IF($B4350="","",IFERROR(INDEX(Config!$D$9:$D$29,MATCH($B4350,Config!$B$9:$B$29,0))&amp;"",""))</f>
        <v/>
      </c>
    </row>
    <row r="4351">
      <c r="X4351" s="20" t="str">
        <f>IF($B4351="","",IFERROR(IF(INDEX(Config!$D$9:$D$29,MATCH($B4351,Config!$B$9:$B$29,0))="Contrato",IF(INDEX(Config!$E$9:$E$29,MATCH($B4351,Config!$B$9:$B$29,0))="","",INDEX(Config!$E$9:$E$29,MATCH($B4351,Config!$B$9:$B$29,0))),""),""))</f>
        <v/>
      </c>
      <c r="AI4351" s="19" t="str">
        <f>IF($B4351="","",IFERROR(INDEX(Config!$D$9:$D$29,MATCH($B4351,Config!$B$9:$B$29,0))&amp;"",""))</f>
        <v/>
      </c>
    </row>
    <row r="4352">
      <c r="X4352" s="20" t="str">
        <f>IF($B4352="","",IFERROR(IF(INDEX(Config!$D$9:$D$29,MATCH($B4352,Config!$B$9:$B$29,0))="Contrato",IF(INDEX(Config!$E$9:$E$29,MATCH($B4352,Config!$B$9:$B$29,0))="","",INDEX(Config!$E$9:$E$29,MATCH($B4352,Config!$B$9:$B$29,0))),""),""))</f>
        <v/>
      </c>
      <c r="AI4352" s="19" t="str">
        <f>IF($B4352="","",IFERROR(INDEX(Config!$D$9:$D$29,MATCH($B4352,Config!$B$9:$B$29,0))&amp;"",""))</f>
        <v/>
      </c>
    </row>
    <row r="4353">
      <c r="X4353" s="20" t="str">
        <f>IF($B4353="","",IFERROR(IF(INDEX(Config!$D$9:$D$29,MATCH($B4353,Config!$B$9:$B$29,0))="Contrato",IF(INDEX(Config!$E$9:$E$29,MATCH($B4353,Config!$B$9:$B$29,0))="","",INDEX(Config!$E$9:$E$29,MATCH($B4353,Config!$B$9:$B$29,0))),""),""))</f>
        <v/>
      </c>
      <c r="AI4353" s="19" t="str">
        <f>IF($B4353="","",IFERROR(INDEX(Config!$D$9:$D$29,MATCH($B4353,Config!$B$9:$B$29,0))&amp;"",""))</f>
        <v/>
      </c>
    </row>
    <row r="4354">
      <c r="X4354" s="20" t="str">
        <f>IF($B4354="","",IFERROR(IF(INDEX(Config!$D$9:$D$29,MATCH($B4354,Config!$B$9:$B$29,0))="Contrato",IF(INDEX(Config!$E$9:$E$29,MATCH($B4354,Config!$B$9:$B$29,0))="","",INDEX(Config!$E$9:$E$29,MATCH($B4354,Config!$B$9:$B$29,0))),""),""))</f>
        <v/>
      </c>
      <c r="AI4354" s="19" t="str">
        <f>IF($B4354="","",IFERROR(INDEX(Config!$D$9:$D$29,MATCH($B4354,Config!$B$9:$B$29,0))&amp;"",""))</f>
        <v/>
      </c>
    </row>
    <row r="4355">
      <c r="X4355" s="20" t="str">
        <f>IF($B4355="","",IFERROR(IF(INDEX(Config!$D$9:$D$29,MATCH($B4355,Config!$B$9:$B$29,0))="Contrato",IF(INDEX(Config!$E$9:$E$29,MATCH($B4355,Config!$B$9:$B$29,0))="","",INDEX(Config!$E$9:$E$29,MATCH($B4355,Config!$B$9:$B$29,0))),""),""))</f>
        <v/>
      </c>
      <c r="AI4355" s="19" t="str">
        <f>IF($B4355="","",IFERROR(INDEX(Config!$D$9:$D$29,MATCH($B4355,Config!$B$9:$B$29,0))&amp;"",""))</f>
        <v/>
      </c>
    </row>
    <row r="4356">
      <c r="X4356" s="20" t="str">
        <f>IF($B4356="","",IFERROR(IF(INDEX(Config!$D$9:$D$29,MATCH($B4356,Config!$B$9:$B$29,0))="Contrato",IF(INDEX(Config!$E$9:$E$29,MATCH($B4356,Config!$B$9:$B$29,0))="","",INDEX(Config!$E$9:$E$29,MATCH($B4356,Config!$B$9:$B$29,0))),""),""))</f>
        <v/>
      </c>
      <c r="AI4356" s="19" t="str">
        <f>IF($B4356="","",IFERROR(INDEX(Config!$D$9:$D$29,MATCH($B4356,Config!$B$9:$B$29,0))&amp;"",""))</f>
        <v/>
      </c>
    </row>
    <row r="4357">
      <c r="X4357" s="20" t="str">
        <f>IF($B4357="","",IFERROR(IF(INDEX(Config!$D$9:$D$29,MATCH($B4357,Config!$B$9:$B$29,0))="Contrato",IF(INDEX(Config!$E$9:$E$29,MATCH($B4357,Config!$B$9:$B$29,0))="","",INDEX(Config!$E$9:$E$29,MATCH($B4357,Config!$B$9:$B$29,0))),""),""))</f>
        <v/>
      </c>
      <c r="AI4357" s="19" t="str">
        <f>IF($B4357="","",IFERROR(INDEX(Config!$D$9:$D$29,MATCH($B4357,Config!$B$9:$B$29,0))&amp;"",""))</f>
        <v/>
      </c>
    </row>
    <row r="4358">
      <c r="X4358" s="20" t="str">
        <f>IF($B4358="","",IFERROR(IF(INDEX(Config!$D$9:$D$29,MATCH($B4358,Config!$B$9:$B$29,0))="Contrato",IF(INDEX(Config!$E$9:$E$29,MATCH($B4358,Config!$B$9:$B$29,0))="","",INDEX(Config!$E$9:$E$29,MATCH($B4358,Config!$B$9:$B$29,0))),""),""))</f>
        <v/>
      </c>
      <c r="AI4358" s="19" t="str">
        <f>IF($B4358="","",IFERROR(INDEX(Config!$D$9:$D$29,MATCH($B4358,Config!$B$9:$B$29,0))&amp;"",""))</f>
        <v/>
      </c>
    </row>
    <row r="4359">
      <c r="X4359" s="20" t="str">
        <f>IF($B4359="","",IFERROR(IF(INDEX(Config!$D$9:$D$29,MATCH($B4359,Config!$B$9:$B$29,0))="Contrato",IF(INDEX(Config!$E$9:$E$29,MATCH($B4359,Config!$B$9:$B$29,0))="","",INDEX(Config!$E$9:$E$29,MATCH($B4359,Config!$B$9:$B$29,0))),""),""))</f>
        <v/>
      </c>
      <c r="AI4359" s="19" t="str">
        <f>IF($B4359="","",IFERROR(INDEX(Config!$D$9:$D$29,MATCH($B4359,Config!$B$9:$B$29,0))&amp;"",""))</f>
        <v/>
      </c>
    </row>
    <row r="4360">
      <c r="X4360" s="20" t="str">
        <f>IF($B4360="","",IFERROR(IF(INDEX(Config!$D$9:$D$29,MATCH($B4360,Config!$B$9:$B$29,0))="Contrato",IF(INDEX(Config!$E$9:$E$29,MATCH($B4360,Config!$B$9:$B$29,0))="","",INDEX(Config!$E$9:$E$29,MATCH($B4360,Config!$B$9:$B$29,0))),""),""))</f>
        <v/>
      </c>
      <c r="AI4360" s="19" t="str">
        <f>IF($B4360="","",IFERROR(INDEX(Config!$D$9:$D$29,MATCH($B4360,Config!$B$9:$B$29,0))&amp;"",""))</f>
        <v/>
      </c>
    </row>
    <row r="4361">
      <c r="X4361" s="20" t="str">
        <f>IF($B4361="","",IFERROR(IF(INDEX(Config!$D$9:$D$29,MATCH($B4361,Config!$B$9:$B$29,0))="Contrato",IF(INDEX(Config!$E$9:$E$29,MATCH($B4361,Config!$B$9:$B$29,0))="","",INDEX(Config!$E$9:$E$29,MATCH($B4361,Config!$B$9:$B$29,0))),""),""))</f>
        <v/>
      </c>
      <c r="AI4361" s="19" t="str">
        <f>IF($B4361="","",IFERROR(INDEX(Config!$D$9:$D$29,MATCH($B4361,Config!$B$9:$B$29,0))&amp;"",""))</f>
        <v/>
      </c>
    </row>
    <row r="4362">
      <c r="X4362" s="20" t="str">
        <f>IF($B4362="","",IFERROR(IF(INDEX(Config!$D$9:$D$29,MATCH($B4362,Config!$B$9:$B$29,0))="Contrato",IF(INDEX(Config!$E$9:$E$29,MATCH($B4362,Config!$B$9:$B$29,0))="","",INDEX(Config!$E$9:$E$29,MATCH($B4362,Config!$B$9:$B$29,0))),""),""))</f>
        <v/>
      </c>
      <c r="AI4362" s="19" t="str">
        <f>IF($B4362="","",IFERROR(INDEX(Config!$D$9:$D$29,MATCH($B4362,Config!$B$9:$B$29,0))&amp;"",""))</f>
        <v/>
      </c>
    </row>
    <row r="4363">
      <c r="X4363" s="20" t="str">
        <f>IF($B4363="","",IFERROR(IF(INDEX(Config!$D$9:$D$29,MATCH($B4363,Config!$B$9:$B$29,0))="Contrato",IF(INDEX(Config!$E$9:$E$29,MATCH($B4363,Config!$B$9:$B$29,0))="","",INDEX(Config!$E$9:$E$29,MATCH($B4363,Config!$B$9:$B$29,0))),""),""))</f>
        <v/>
      </c>
      <c r="AI4363" s="19" t="str">
        <f>IF($B4363="","",IFERROR(INDEX(Config!$D$9:$D$29,MATCH($B4363,Config!$B$9:$B$29,0))&amp;"",""))</f>
        <v/>
      </c>
    </row>
    <row r="4364">
      <c r="X4364" s="20" t="str">
        <f>IF($B4364="","",IFERROR(IF(INDEX(Config!$D$9:$D$29,MATCH($B4364,Config!$B$9:$B$29,0))="Contrato",IF(INDEX(Config!$E$9:$E$29,MATCH($B4364,Config!$B$9:$B$29,0))="","",INDEX(Config!$E$9:$E$29,MATCH($B4364,Config!$B$9:$B$29,0))),""),""))</f>
        <v/>
      </c>
      <c r="AI4364" s="19" t="str">
        <f>IF($B4364="","",IFERROR(INDEX(Config!$D$9:$D$29,MATCH($B4364,Config!$B$9:$B$29,0))&amp;"",""))</f>
        <v/>
      </c>
    </row>
    <row r="4365">
      <c r="X4365" s="20" t="str">
        <f>IF($B4365="","",IFERROR(IF(INDEX(Config!$D$9:$D$29,MATCH($B4365,Config!$B$9:$B$29,0))="Contrato",IF(INDEX(Config!$E$9:$E$29,MATCH($B4365,Config!$B$9:$B$29,0))="","",INDEX(Config!$E$9:$E$29,MATCH($B4365,Config!$B$9:$B$29,0))),""),""))</f>
        <v/>
      </c>
      <c r="AI4365" s="19" t="str">
        <f>IF($B4365="","",IFERROR(INDEX(Config!$D$9:$D$29,MATCH($B4365,Config!$B$9:$B$29,0))&amp;"",""))</f>
        <v/>
      </c>
    </row>
    <row r="4366">
      <c r="X4366" s="20" t="str">
        <f>IF($B4366="","",IFERROR(IF(INDEX(Config!$D$9:$D$29,MATCH($B4366,Config!$B$9:$B$29,0))="Contrato",IF(INDEX(Config!$E$9:$E$29,MATCH($B4366,Config!$B$9:$B$29,0))="","",INDEX(Config!$E$9:$E$29,MATCH($B4366,Config!$B$9:$B$29,0))),""),""))</f>
        <v/>
      </c>
      <c r="AI4366" s="19" t="str">
        <f>IF($B4366="","",IFERROR(INDEX(Config!$D$9:$D$29,MATCH($B4366,Config!$B$9:$B$29,0))&amp;"",""))</f>
        <v/>
      </c>
    </row>
    <row r="4367">
      <c r="X4367" s="20" t="str">
        <f>IF($B4367="","",IFERROR(IF(INDEX(Config!$D$9:$D$29,MATCH($B4367,Config!$B$9:$B$29,0))="Contrato",IF(INDEX(Config!$E$9:$E$29,MATCH($B4367,Config!$B$9:$B$29,0))="","",INDEX(Config!$E$9:$E$29,MATCH($B4367,Config!$B$9:$B$29,0))),""),""))</f>
        <v/>
      </c>
      <c r="AI4367" s="19" t="str">
        <f>IF($B4367="","",IFERROR(INDEX(Config!$D$9:$D$29,MATCH($B4367,Config!$B$9:$B$29,0))&amp;"",""))</f>
        <v/>
      </c>
    </row>
    <row r="4368">
      <c r="X4368" s="20" t="str">
        <f>IF($B4368="","",IFERROR(IF(INDEX(Config!$D$9:$D$29,MATCH($B4368,Config!$B$9:$B$29,0))="Contrato",IF(INDEX(Config!$E$9:$E$29,MATCH($B4368,Config!$B$9:$B$29,0))="","",INDEX(Config!$E$9:$E$29,MATCH($B4368,Config!$B$9:$B$29,0))),""),""))</f>
        <v/>
      </c>
      <c r="AI4368" s="19" t="str">
        <f>IF($B4368="","",IFERROR(INDEX(Config!$D$9:$D$29,MATCH($B4368,Config!$B$9:$B$29,0))&amp;"",""))</f>
        <v/>
      </c>
    </row>
    <row r="4369">
      <c r="X4369" s="20" t="str">
        <f>IF($B4369="","",IFERROR(IF(INDEX(Config!$D$9:$D$29,MATCH($B4369,Config!$B$9:$B$29,0))="Contrato",IF(INDEX(Config!$E$9:$E$29,MATCH($B4369,Config!$B$9:$B$29,0))="","",INDEX(Config!$E$9:$E$29,MATCH($B4369,Config!$B$9:$B$29,0))),""),""))</f>
        <v/>
      </c>
      <c r="AI4369" s="19" t="str">
        <f>IF($B4369="","",IFERROR(INDEX(Config!$D$9:$D$29,MATCH($B4369,Config!$B$9:$B$29,0))&amp;"",""))</f>
        <v/>
      </c>
    </row>
    <row r="4370">
      <c r="X4370" s="20" t="str">
        <f>IF($B4370="","",IFERROR(IF(INDEX(Config!$D$9:$D$29,MATCH($B4370,Config!$B$9:$B$29,0))="Contrato",IF(INDEX(Config!$E$9:$E$29,MATCH($B4370,Config!$B$9:$B$29,0))="","",INDEX(Config!$E$9:$E$29,MATCH($B4370,Config!$B$9:$B$29,0))),""),""))</f>
        <v/>
      </c>
      <c r="AI4370" s="19" t="str">
        <f>IF($B4370="","",IFERROR(INDEX(Config!$D$9:$D$29,MATCH($B4370,Config!$B$9:$B$29,0))&amp;"",""))</f>
        <v/>
      </c>
    </row>
    <row r="4371">
      <c r="X4371" s="20" t="str">
        <f>IF($B4371="","",IFERROR(IF(INDEX(Config!$D$9:$D$29,MATCH($B4371,Config!$B$9:$B$29,0))="Contrato",IF(INDEX(Config!$E$9:$E$29,MATCH($B4371,Config!$B$9:$B$29,0))="","",INDEX(Config!$E$9:$E$29,MATCH($B4371,Config!$B$9:$B$29,0))),""),""))</f>
        <v/>
      </c>
      <c r="AI4371" s="19" t="str">
        <f>IF($B4371="","",IFERROR(INDEX(Config!$D$9:$D$29,MATCH($B4371,Config!$B$9:$B$29,0))&amp;"",""))</f>
        <v/>
      </c>
    </row>
    <row r="4372">
      <c r="X4372" s="20" t="str">
        <f>IF($B4372="","",IFERROR(IF(INDEX(Config!$D$9:$D$29,MATCH($B4372,Config!$B$9:$B$29,0))="Contrato",IF(INDEX(Config!$E$9:$E$29,MATCH($B4372,Config!$B$9:$B$29,0))="","",INDEX(Config!$E$9:$E$29,MATCH($B4372,Config!$B$9:$B$29,0))),""),""))</f>
        <v/>
      </c>
      <c r="AI4372" s="19" t="str">
        <f>IF($B4372="","",IFERROR(INDEX(Config!$D$9:$D$29,MATCH($B4372,Config!$B$9:$B$29,0))&amp;"",""))</f>
        <v/>
      </c>
    </row>
    <row r="4373">
      <c r="X4373" s="20" t="str">
        <f>IF($B4373="","",IFERROR(IF(INDEX(Config!$D$9:$D$29,MATCH($B4373,Config!$B$9:$B$29,0))="Contrato",IF(INDEX(Config!$E$9:$E$29,MATCH($B4373,Config!$B$9:$B$29,0))="","",INDEX(Config!$E$9:$E$29,MATCH($B4373,Config!$B$9:$B$29,0))),""),""))</f>
        <v/>
      </c>
      <c r="AI4373" s="19" t="str">
        <f>IF($B4373="","",IFERROR(INDEX(Config!$D$9:$D$29,MATCH($B4373,Config!$B$9:$B$29,0))&amp;"",""))</f>
        <v/>
      </c>
    </row>
    <row r="4374">
      <c r="X4374" s="20" t="str">
        <f>IF($B4374="","",IFERROR(IF(INDEX(Config!$D$9:$D$29,MATCH($B4374,Config!$B$9:$B$29,0))="Contrato",IF(INDEX(Config!$E$9:$E$29,MATCH($B4374,Config!$B$9:$B$29,0))="","",INDEX(Config!$E$9:$E$29,MATCH($B4374,Config!$B$9:$B$29,0))),""),""))</f>
        <v/>
      </c>
      <c r="AI4374" s="19" t="str">
        <f>IF($B4374="","",IFERROR(INDEX(Config!$D$9:$D$29,MATCH($B4374,Config!$B$9:$B$29,0))&amp;"",""))</f>
        <v/>
      </c>
    </row>
    <row r="4375">
      <c r="X4375" s="20" t="str">
        <f>IF($B4375="","",IFERROR(IF(INDEX(Config!$D$9:$D$29,MATCH($B4375,Config!$B$9:$B$29,0))="Contrato",IF(INDEX(Config!$E$9:$E$29,MATCH($B4375,Config!$B$9:$B$29,0))="","",INDEX(Config!$E$9:$E$29,MATCH($B4375,Config!$B$9:$B$29,0))),""),""))</f>
        <v/>
      </c>
      <c r="AI4375" s="19" t="str">
        <f>IF($B4375="","",IFERROR(INDEX(Config!$D$9:$D$29,MATCH($B4375,Config!$B$9:$B$29,0))&amp;"",""))</f>
        <v/>
      </c>
    </row>
    <row r="4376">
      <c r="X4376" s="20" t="str">
        <f>IF($B4376="","",IFERROR(IF(INDEX(Config!$D$9:$D$29,MATCH($B4376,Config!$B$9:$B$29,0))="Contrato",IF(INDEX(Config!$E$9:$E$29,MATCH($B4376,Config!$B$9:$B$29,0))="","",INDEX(Config!$E$9:$E$29,MATCH($B4376,Config!$B$9:$B$29,0))),""),""))</f>
        <v/>
      </c>
      <c r="AI4376" s="19" t="str">
        <f>IF($B4376="","",IFERROR(INDEX(Config!$D$9:$D$29,MATCH($B4376,Config!$B$9:$B$29,0))&amp;"",""))</f>
        <v/>
      </c>
    </row>
    <row r="4377">
      <c r="X4377" s="20" t="str">
        <f>IF($B4377="","",IFERROR(IF(INDEX(Config!$D$9:$D$29,MATCH($B4377,Config!$B$9:$B$29,0))="Contrato",IF(INDEX(Config!$E$9:$E$29,MATCH($B4377,Config!$B$9:$B$29,0))="","",INDEX(Config!$E$9:$E$29,MATCH($B4377,Config!$B$9:$B$29,0))),""),""))</f>
        <v/>
      </c>
      <c r="AI4377" s="19" t="str">
        <f>IF($B4377="","",IFERROR(INDEX(Config!$D$9:$D$29,MATCH($B4377,Config!$B$9:$B$29,0))&amp;"",""))</f>
        <v/>
      </c>
    </row>
    <row r="4378">
      <c r="X4378" s="20" t="str">
        <f>IF($B4378="","",IFERROR(IF(INDEX(Config!$D$9:$D$29,MATCH($B4378,Config!$B$9:$B$29,0))="Contrato",IF(INDEX(Config!$E$9:$E$29,MATCH($B4378,Config!$B$9:$B$29,0))="","",INDEX(Config!$E$9:$E$29,MATCH($B4378,Config!$B$9:$B$29,0))),""),""))</f>
        <v/>
      </c>
      <c r="AI4378" s="19" t="str">
        <f>IF($B4378="","",IFERROR(INDEX(Config!$D$9:$D$29,MATCH($B4378,Config!$B$9:$B$29,0))&amp;"",""))</f>
        <v/>
      </c>
    </row>
    <row r="4379">
      <c r="X4379" s="20" t="str">
        <f>IF($B4379="","",IFERROR(IF(INDEX(Config!$D$9:$D$29,MATCH($B4379,Config!$B$9:$B$29,0))="Contrato",IF(INDEX(Config!$E$9:$E$29,MATCH($B4379,Config!$B$9:$B$29,0))="","",INDEX(Config!$E$9:$E$29,MATCH($B4379,Config!$B$9:$B$29,0))),""),""))</f>
        <v/>
      </c>
      <c r="AI4379" s="19" t="str">
        <f>IF($B4379="","",IFERROR(INDEX(Config!$D$9:$D$29,MATCH($B4379,Config!$B$9:$B$29,0))&amp;"",""))</f>
        <v/>
      </c>
    </row>
    <row r="4380">
      <c r="X4380" s="20" t="str">
        <f>IF($B4380="","",IFERROR(IF(INDEX(Config!$D$9:$D$29,MATCH($B4380,Config!$B$9:$B$29,0))="Contrato",IF(INDEX(Config!$E$9:$E$29,MATCH($B4380,Config!$B$9:$B$29,0))="","",INDEX(Config!$E$9:$E$29,MATCH($B4380,Config!$B$9:$B$29,0))),""),""))</f>
        <v/>
      </c>
      <c r="AI4380" s="19" t="str">
        <f>IF($B4380="","",IFERROR(INDEX(Config!$D$9:$D$29,MATCH($B4380,Config!$B$9:$B$29,0))&amp;"",""))</f>
        <v/>
      </c>
    </row>
    <row r="4381">
      <c r="X4381" s="20" t="str">
        <f>IF($B4381="","",IFERROR(IF(INDEX(Config!$D$9:$D$29,MATCH($B4381,Config!$B$9:$B$29,0))="Contrato",IF(INDEX(Config!$E$9:$E$29,MATCH($B4381,Config!$B$9:$B$29,0))="","",INDEX(Config!$E$9:$E$29,MATCH($B4381,Config!$B$9:$B$29,0))),""),""))</f>
        <v/>
      </c>
      <c r="AI4381" s="19" t="str">
        <f>IF($B4381="","",IFERROR(INDEX(Config!$D$9:$D$29,MATCH($B4381,Config!$B$9:$B$29,0))&amp;"",""))</f>
        <v/>
      </c>
    </row>
    <row r="4382">
      <c r="X4382" s="20" t="str">
        <f>IF($B4382="","",IFERROR(IF(INDEX(Config!$D$9:$D$29,MATCH($B4382,Config!$B$9:$B$29,0))="Contrato",IF(INDEX(Config!$E$9:$E$29,MATCH($B4382,Config!$B$9:$B$29,0))="","",INDEX(Config!$E$9:$E$29,MATCH($B4382,Config!$B$9:$B$29,0))),""),""))</f>
        <v/>
      </c>
      <c r="AI4382" s="19" t="str">
        <f>IF($B4382="","",IFERROR(INDEX(Config!$D$9:$D$29,MATCH($B4382,Config!$B$9:$B$29,0))&amp;"",""))</f>
        <v/>
      </c>
    </row>
    <row r="4383">
      <c r="X4383" s="20" t="str">
        <f>IF($B4383="","",IFERROR(IF(INDEX(Config!$D$9:$D$29,MATCH($B4383,Config!$B$9:$B$29,0))="Contrato",IF(INDEX(Config!$E$9:$E$29,MATCH($B4383,Config!$B$9:$B$29,0))="","",INDEX(Config!$E$9:$E$29,MATCH($B4383,Config!$B$9:$B$29,0))),""),""))</f>
        <v/>
      </c>
      <c r="AI4383" s="19" t="str">
        <f>IF($B4383="","",IFERROR(INDEX(Config!$D$9:$D$29,MATCH($B4383,Config!$B$9:$B$29,0))&amp;"",""))</f>
        <v/>
      </c>
    </row>
    <row r="4384">
      <c r="X4384" s="20" t="str">
        <f>IF($B4384="","",IFERROR(IF(INDEX(Config!$D$9:$D$29,MATCH($B4384,Config!$B$9:$B$29,0))="Contrato",IF(INDEX(Config!$E$9:$E$29,MATCH($B4384,Config!$B$9:$B$29,0))="","",INDEX(Config!$E$9:$E$29,MATCH($B4384,Config!$B$9:$B$29,0))),""),""))</f>
        <v/>
      </c>
      <c r="AI4384" s="19" t="str">
        <f>IF($B4384="","",IFERROR(INDEX(Config!$D$9:$D$29,MATCH($B4384,Config!$B$9:$B$29,0))&amp;"",""))</f>
        <v/>
      </c>
    </row>
    <row r="4385">
      <c r="X4385" s="20" t="str">
        <f>IF($B4385="","",IFERROR(IF(INDEX(Config!$D$9:$D$29,MATCH($B4385,Config!$B$9:$B$29,0))="Contrato",IF(INDEX(Config!$E$9:$E$29,MATCH($B4385,Config!$B$9:$B$29,0))="","",INDEX(Config!$E$9:$E$29,MATCH($B4385,Config!$B$9:$B$29,0))),""),""))</f>
        <v/>
      </c>
      <c r="AI4385" s="19" t="str">
        <f>IF($B4385="","",IFERROR(INDEX(Config!$D$9:$D$29,MATCH($B4385,Config!$B$9:$B$29,0))&amp;"",""))</f>
        <v/>
      </c>
    </row>
    <row r="4386">
      <c r="X4386" s="20" t="str">
        <f>IF($B4386="","",IFERROR(IF(INDEX(Config!$D$9:$D$29,MATCH($B4386,Config!$B$9:$B$29,0))="Contrato",IF(INDEX(Config!$E$9:$E$29,MATCH($B4386,Config!$B$9:$B$29,0))="","",INDEX(Config!$E$9:$E$29,MATCH($B4386,Config!$B$9:$B$29,0))),""),""))</f>
        <v/>
      </c>
      <c r="AI4386" s="19" t="str">
        <f>IF($B4386="","",IFERROR(INDEX(Config!$D$9:$D$29,MATCH($B4386,Config!$B$9:$B$29,0))&amp;"",""))</f>
        <v/>
      </c>
    </row>
    <row r="4387">
      <c r="X4387" s="20" t="str">
        <f>IF($B4387="","",IFERROR(IF(INDEX(Config!$D$9:$D$29,MATCH($B4387,Config!$B$9:$B$29,0))="Contrato",IF(INDEX(Config!$E$9:$E$29,MATCH($B4387,Config!$B$9:$B$29,0))="","",INDEX(Config!$E$9:$E$29,MATCH($B4387,Config!$B$9:$B$29,0))),""),""))</f>
        <v/>
      </c>
      <c r="AI4387" s="19" t="str">
        <f>IF($B4387="","",IFERROR(INDEX(Config!$D$9:$D$29,MATCH($B4387,Config!$B$9:$B$29,0))&amp;"",""))</f>
        <v/>
      </c>
    </row>
    <row r="4388">
      <c r="X4388" s="20" t="str">
        <f>IF($B4388="","",IFERROR(IF(INDEX(Config!$D$9:$D$29,MATCH($B4388,Config!$B$9:$B$29,0))="Contrato",IF(INDEX(Config!$E$9:$E$29,MATCH($B4388,Config!$B$9:$B$29,0))="","",INDEX(Config!$E$9:$E$29,MATCH($B4388,Config!$B$9:$B$29,0))),""),""))</f>
        <v/>
      </c>
      <c r="AI4388" s="19" t="str">
        <f>IF($B4388="","",IFERROR(INDEX(Config!$D$9:$D$29,MATCH($B4388,Config!$B$9:$B$29,0))&amp;"",""))</f>
        <v/>
      </c>
    </row>
    <row r="4389">
      <c r="X4389" s="20" t="str">
        <f>IF($B4389="","",IFERROR(IF(INDEX(Config!$D$9:$D$29,MATCH($B4389,Config!$B$9:$B$29,0))="Contrato",IF(INDEX(Config!$E$9:$E$29,MATCH($B4389,Config!$B$9:$B$29,0))="","",INDEX(Config!$E$9:$E$29,MATCH($B4389,Config!$B$9:$B$29,0))),""),""))</f>
        <v/>
      </c>
      <c r="AI4389" s="19" t="str">
        <f>IF($B4389="","",IFERROR(INDEX(Config!$D$9:$D$29,MATCH($B4389,Config!$B$9:$B$29,0))&amp;"",""))</f>
        <v/>
      </c>
    </row>
    <row r="4390">
      <c r="X4390" s="20" t="str">
        <f>IF($B4390="","",IFERROR(IF(INDEX(Config!$D$9:$D$29,MATCH($B4390,Config!$B$9:$B$29,0))="Contrato",IF(INDEX(Config!$E$9:$E$29,MATCH($B4390,Config!$B$9:$B$29,0))="","",INDEX(Config!$E$9:$E$29,MATCH($B4390,Config!$B$9:$B$29,0))),""),""))</f>
        <v/>
      </c>
      <c r="AI4390" s="19" t="str">
        <f>IF($B4390="","",IFERROR(INDEX(Config!$D$9:$D$29,MATCH($B4390,Config!$B$9:$B$29,0))&amp;"",""))</f>
        <v/>
      </c>
    </row>
    <row r="4391">
      <c r="X4391" s="20" t="str">
        <f>IF($B4391="","",IFERROR(IF(INDEX(Config!$D$9:$D$29,MATCH($B4391,Config!$B$9:$B$29,0))="Contrato",IF(INDEX(Config!$E$9:$E$29,MATCH($B4391,Config!$B$9:$B$29,0))="","",INDEX(Config!$E$9:$E$29,MATCH($B4391,Config!$B$9:$B$29,0))),""),""))</f>
        <v/>
      </c>
      <c r="AI4391" s="19" t="str">
        <f>IF($B4391="","",IFERROR(INDEX(Config!$D$9:$D$29,MATCH($B4391,Config!$B$9:$B$29,0))&amp;"",""))</f>
        <v/>
      </c>
    </row>
    <row r="4392">
      <c r="X4392" s="20" t="str">
        <f>IF($B4392="","",IFERROR(IF(INDEX(Config!$D$9:$D$29,MATCH($B4392,Config!$B$9:$B$29,0))="Contrato",IF(INDEX(Config!$E$9:$E$29,MATCH($B4392,Config!$B$9:$B$29,0))="","",INDEX(Config!$E$9:$E$29,MATCH($B4392,Config!$B$9:$B$29,0))),""),""))</f>
        <v/>
      </c>
      <c r="AI4392" s="19" t="str">
        <f>IF($B4392="","",IFERROR(INDEX(Config!$D$9:$D$29,MATCH($B4392,Config!$B$9:$B$29,0))&amp;"",""))</f>
        <v/>
      </c>
    </row>
    <row r="4393">
      <c r="X4393" s="20" t="str">
        <f>IF($B4393="","",IFERROR(IF(INDEX(Config!$D$9:$D$29,MATCH($B4393,Config!$B$9:$B$29,0))="Contrato",IF(INDEX(Config!$E$9:$E$29,MATCH($B4393,Config!$B$9:$B$29,0))="","",INDEX(Config!$E$9:$E$29,MATCH($B4393,Config!$B$9:$B$29,0))),""),""))</f>
        <v/>
      </c>
      <c r="AI4393" s="19" t="str">
        <f>IF($B4393="","",IFERROR(INDEX(Config!$D$9:$D$29,MATCH($B4393,Config!$B$9:$B$29,0))&amp;"",""))</f>
        <v/>
      </c>
    </row>
    <row r="4394">
      <c r="X4394" s="20" t="str">
        <f>IF($B4394="","",IFERROR(IF(INDEX(Config!$D$9:$D$29,MATCH($B4394,Config!$B$9:$B$29,0))="Contrato",IF(INDEX(Config!$E$9:$E$29,MATCH($B4394,Config!$B$9:$B$29,0))="","",INDEX(Config!$E$9:$E$29,MATCH($B4394,Config!$B$9:$B$29,0))),""),""))</f>
        <v/>
      </c>
      <c r="AI4394" s="19" t="str">
        <f>IF($B4394="","",IFERROR(INDEX(Config!$D$9:$D$29,MATCH($B4394,Config!$B$9:$B$29,0))&amp;"",""))</f>
        <v/>
      </c>
    </row>
    <row r="4395">
      <c r="X4395" s="20" t="str">
        <f>IF($B4395="","",IFERROR(IF(INDEX(Config!$D$9:$D$29,MATCH($B4395,Config!$B$9:$B$29,0))="Contrato",IF(INDEX(Config!$E$9:$E$29,MATCH($B4395,Config!$B$9:$B$29,0))="","",INDEX(Config!$E$9:$E$29,MATCH($B4395,Config!$B$9:$B$29,0))),""),""))</f>
        <v/>
      </c>
      <c r="AI4395" s="19" t="str">
        <f>IF($B4395="","",IFERROR(INDEX(Config!$D$9:$D$29,MATCH($B4395,Config!$B$9:$B$29,0))&amp;"",""))</f>
        <v/>
      </c>
    </row>
    <row r="4396">
      <c r="X4396" s="20" t="str">
        <f>IF($B4396="","",IFERROR(IF(INDEX(Config!$D$9:$D$29,MATCH($B4396,Config!$B$9:$B$29,0))="Contrato",IF(INDEX(Config!$E$9:$E$29,MATCH($B4396,Config!$B$9:$B$29,0))="","",INDEX(Config!$E$9:$E$29,MATCH($B4396,Config!$B$9:$B$29,0))),""),""))</f>
        <v/>
      </c>
      <c r="AI4396" s="19" t="str">
        <f>IF($B4396="","",IFERROR(INDEX(Config!$D$9:$D$29,MATCH($B4396,Config!$B$9:$B$29,0))&amp;"",""))</f>
        <v/>
      </c>
    </row>
    <row r="4397">
      <c r="X4397" s="20" t="str">
        <f>IF($B4397="","",IFERROR(IF(INDEX(Config!$D$9:$D$29,MATCH($B4397,Config!$B$9:$B$29,0))="Contrato",IF(INDEX(Config!$E$9:$E$29,MATCH($B4397,Config!$B$9:$B$29,0))="","",INDEX(Config!$E$9:$E$29,MATCH($B4397,Config!$B$9:$B$29,0))),""),""))</f>
        <v/>
      </c>
      <c r="AI4397" s="19" t="str">
        <f>IF($B4397="","",IFERROR(INDEX(Config!$D$9:$D$29,MATCH($B4397,Config!$B$9:$B$29,0))&amp;"",""))</f>
        <v/>
      </c>
    </row>
    <row r="4398">
      <c r="X4398" s="20" t="str">
        <f>IF($B4398="","",IFERROR(IF(INDEX(Config!$D$9:$D$29,MATCH($B4398,Config!$B$9:$B$29,0))="Contrato",IF(INDEX(Config!$E$9:$E$29,MATCH($B4398,Config!$B$9:$B$29,0))="","",INDEX(Config!$E$9:$E$29,MATCH($B4398,Config!$B$9:$B$29,0))),""),""))</f>
        <v/>
      </c>
      <c r="AI4398" s="19" t="str">
        <f>IF($B4398="","",IFERROR(INDEX(Config!$D$9:$D$29,MATCH($B4398,Config!$B$9:$B$29,0))&amp;"",""))</f>
        <v/>
      </c>
    </row>
    <row r="4399">
      <c r="X4399" s="20" t="str">
        <f>IF($B4399="","",IFERROR(IF(INDEX(Config!$D$9:$D$29,MATCH($B4399,Config!$B$9:$B$29,0))="Contrato",IF(INDEX(Config!$E$9:$E$29,MATCH($B4399,Config!$B$9:$B$29,0))="","",INDEX(Config!$E$9:$E$29,MATCH($B4399,Config!$B$9:$B$29,0))),""),""))</f>
        <v/>
      </c>
      <c r="AI4399" s="19" t="str">
        <f>IF($B4399="","",IFERROR(INDEX(Config!$D$9:$D$29,MATCH($B4399,Config!$B$9:$B$29,0))&amp;"",""))</f>
        <v/>
      </c>
    </row>
    <row r="4400">
      <c r="X4400" s="20" t="str">
        <f>IF($B4400="","",IFERROR(IF(INDEX(Config!$D$9:$D$29,MATCH($B4400,Config!$B$9:$B$29,0))="Contrato",IF(INDEX(Config!$E$9:$E$29,MATCH($B4400,Config!$B$9:$B$29,0))="","",INDEX(Config!$E$9:$E$29,MATCH($B4400,Config!$B$9:$B$29,0))),""),""))</f>
        <v/>
      </c>
      <c r="AI4400" s="19" t="str">
        <f>IF($B4400="","",IFERROR(INDEX(Config!$D$9:$D$29,MATCH($B4400,Config!$B$9:$B$29,0))&amp;"",""))</f>
        <v/>
      </c>
    </row>
    <row r="4401">
      <c r="X4401" s="20" t="str">
        <f>IF($B4401="","",IFERROR(IF(INDEX(Config!$D$9:$D$29,MATCH($B4401,Config!$B$9:$B$29,0))="Contrato",IF(INDEX(Config!$E$9:$E$29,MATCH($B4401,Config!$B$9:$B$29,0))="","",INDEX(Config!$E$9:$E$29,MATCH($B4401,Config!$B$9:$B$29,0))),""),""))</f>
        <v/>
      </c>
      <c r="AI4401" s="19" t="str">
        <f>IF($B4401="","",IFERROR(INDEX(Config!$D$9:$D$29,MATCH($B4401,Config!$B$9:$B$29,0))&amp;"",""))</f>
        <v/>
      </c>
    </row>
    <row r="4402">
      <c r="X4402" s="20" t="str">
        <f>IF($B4402="","",IFERROR(IF(INDEX(Config!$D$9:$D$29,MATCH($B4402,Config!$B$9:$B$29,0))="Contrato",IF(INDEX(Config!$E$9:$E$29,MATCH($B4402,Config!$B$9:$B$29,0))="","",INDEX(Config!$E$9:$E$29,MATCH($B4402,Config!$B$9:$B$29,0))),""),""))</f>
        <v/>
      </c>
      <c r="AI4402" s="19" t="str">
        <f>IF($B4402="","",IFERROR(INDEX(Config!$D$9:$D$29,MATCH($B4402,Config!$B$9:$B$29,0))&amp;"",""))</f>
        <v/>
      </c>
    </row>
    <row r="4403">
      <c r="X4403" s="20" t="str">
        <f>IF($B4403="","",IFERROR(IF(INDEX(Config!$D$9:$D$29,MATCH($B4403,Config!$B$9:$B$29,0))="Contrato",IF(INDEX(Config!$E$9:$E$29,MATCH($B4403,Config!$B$9:$B$29,0))="","",INDEX(Config!$E$9:$E$29,MATCH($B4403,Config!$B$9:$B$29,0))),""),""))</f>
        <v/>
      </c>
      <c r="AI4403" s="19" t="str">
        <f>IF($B4403="","",IFERROR(INDEX(Config!$D$9:$D$29,MATCH($B4403,Config!$B$9:$B$29,0))&amp;"",""))</f>
        <v/>
      </c>
    </row>
    <row r="4404">
      <c r="X4404" s="20" t="str">
        <f>IF($B4404="","",IFERROR(IF(INDEX(Config!$D$9:$D$29,MATCH($B4404,Config!$B$9:$B$29,0))="Contrato",IF(INDEX(Config!$E$9:$E$29,MATCH($B4404,Config!$B$9:$B$29,0))="","",INDEX(Config!$E$9:$E$29,MATCH($B4404,Config!$B$9:$B$29,0))),""),""))</f>
        <v/>
      </c>
      <c r="AI4404" s="19" t="str">
        <f>IF($B4404="","",IFERROR(INDEX(Config!$D$9:$D$29,MATCH($B4404,Config!$B$9:$B$29,0))&amp;"",""))</f>
        <v/>
      </c>
    </row>
    <row r="4405">
      <c r="X4405" s="20" t="str">
        <f>IF($B4405="","",IFERROR(IF(INDEX(Config!$D$9:$D$29,MATCH($B4405,Config!$B$9:$B$29,0))="Contrato",IF(INDEX(Config!$E$9:$E$29,MATCH($B4405,Config!$B$9:$B$29,0))="","",INDEX(Config!$E$9:$E$29,MATCH($B4405,Config!$B$9:$B$29,0))),""),""))</f>
        <v/>
      </c>
      <c r="AI4405" s="19" t="str">
        <f>IF($B4405="","",IFERROR(INDEX(Config!$D$9:$D$29,MATCH($B4405,Config!$B$9:$B$29,0))&amp;"",""))</f>
        <v/>
      </c>
    </row>
    <row r="4406">
      <c r="X4406" s="20" t="str">
        <f>IF($B4406="","",IFERROR(IF(INDEX(Config!$D$9:$D$29,MATCH($B4406,Config!$B$9:$B$29,0))="Contrato",IF(INDEX(Config!$E$9:$E$29,MATCH($B4406,Config!$B$9:$B$29,0))="","",INDEX(Config!$E$9:$E$29,MATCH($B4406,Config!$B$9:$B$29,0))),""),""))</f>
        <v/>
      </c>
      <c r="AI4406" s="19" t="str">
        <f>IF($B4406="","",IFERROR(INDEX(Config!$D$9:$D$29,MATCH($B4406,Config!$B$9:$B$29,0))&amp;"",""))</f>
        <v/>
      </c>
    </row>
    <row r="4407">
      <c r="X4407" s="20" t="str">
        <f>IF($B4407="","",IFERROR(IF(INDEX(Config!$D$9:$D$29,MATCH($B4407,Config!$B$9:$B$29,0))="Contrato",IF(INDEX(Config!$E$9:$E$29,MATCH($B4407,Config!$B$9:$B$29,0))="","",INDEX(Config!$E$9:$E$29,MATCH($B4407,Config!$B$9:$B$29,0))),""),""))</f>
        <v/>
      </c>
      <c r="AI4407" s="19" t="str">
        <f>IF($B4407="","",IFERROR(INDEX(Config!$D$9:$D$29,MATCH($B4407,Config!$B$9:$B$29,0))&amp;"",""))</f>
        <v/>
      </c>
    </row>
    <row r="4408">
      <c r="X4408" s="20" t="str">
        <f>IF($B4408="","",IFERROR(IF(INDEX(Config!$D$9:$D$29,MATCH($B4408,Config!$B$9:$B$29,0))="Contrato",IF(INDEX(Config!$E$9:$E$29,MATCH($B4408,Config!$B$9:$B$29,0))="","",INDEX(Config!$E$9:$E$29,MATCH($B4408,Config!$B$9:$B$29,0))),""),""))</f>
        <v/>
      </c>
      <c r="AI4408" s="19" t="str">
        <f>IF($B4408="","",IFERROR(INDEX(Config!$D$9:$D$29,MATCH($B4408,Config!$B$9:$B$29,0))&amp;"",""))</f>
        <v/>
      </c>
    </row>
    <row r="4409">
      <c r="X4409" s="20" t="str">
        <f>IF($B4409="","",IFERROR(IF(INDEX(Config!$D$9:$D$29,MATCH($B4409,Config!$B$9:$B$29,0))="Contrato",IF(INDEX(Config!$E$9:$E$29,MATCH($B4409,Config!$B$9:$B$29,0))="","",INDEX(Config!$E$9:$E$29,MATCH($B4409,Config!$B$9:$B$29,0))),""),""))</f>
        <v/>
      </c>
      <c r="AI4409" s="19" t="str">
        <f>IF($B4409="","",IFERROR(INDEX(Config!$D$9:$D$29,MATCH($B4409,Config!$B$9:$B$29,0))&amp;"",""))</f>
        <v/>
      </c>
    </row>
    <row r="4410">
      <c r="X4410" s="20" t="str">
        <f>IF($B4410="","",IFERROR(IF(INDEX(Config!$D$9:$D$29,MATCH($B4410,Config!$B$9:$B$29,0))="Contrato",IF(INDEX(Config!$E$9:$E$29,MATCH($B4410,Config!$B$9:$B$29,0))="","",INDEX(Config!$E$9:$E$29,MATCH($B4410,Config!$B$9:$B$29,0))),""),""))</f>
        <v/>
      </c>
      <c r="AI4410" s="19" t="str">
        <f>IF($B4410="","",IFERROR(INDEX(Config!$D$9:$D$29,MATCH($B4410,Config!$B$9:$B$29,0))&amp;"",""))</f>
        <v/>
      </c>
    </row>
    <row r="4411">
      <c r="X4411" s="20" t="str">
        <f>IF($B4411="","",IFERROR(IF(INDEX(Config!$D$9:$D$29,MATCH($B4411,Config!$B$9:$B$29,0))="Contrato",IF(INDEX(Config!$E$9:$E$29,MATCH($B4411,Config!$B$9:$B$29,0))="","",INDEX(Config!$E$9:$E$29,MATCH($B4411,Config!$B$9:$B$29,0))),""),""))</f>
        <v/>
      </c>
      <c r="AI4411" s="19" t="str">
        <f>IF($B4411="","",IFERROR(INDEX(Config!$D$9:$D$29,MATCH($B4411,Config!$B$9:$B$29,0))&amp;"",""))</f>
        <v/>
      </c>
    </row>
    <row r="4412">
      <c r="X4412" s="20" t="str">
        <f>IF($B4412="","",IFERROR(IF(INDEX(Config!$D$9:$D$29,MATCH($B4412,Config!$B$9:$B$29,0))="Contrato",IF(INDEX(Config!$E$9:$E$29,MATCH($B4412,Config!$B$9:$B$29,0))="","",INDEX(Config!$E$9:$E$29,MATCH($B4412,Config!$B$9:$B$29,0))),""),""))</f>
        <v/>
      </c>
      <c r="AI4412" s="19" t="str">
        <f>IF($B4412="","",IFERROR(INDEX(Config!$D$9:$D$29,MATCH($B4412,Config!$B$9:$B$29,0))&amp;"",""))</f>
        <v/>
      </c>
    </row>
    <row r="4413">
      <c r="X4413" s="20" t="str">
        <f>IF($B4413="","",IFERROR(IF(INDEX(Config!$D$9:$D$29,MATCH($B4413,Config!$B$9:$B$29,0))="Contrato",IF(INDEX(Config!$E$9:$E$29,MATCH($B4413,Config!$B$9:$B$29,0))="","",INDEX(Config!$E$9:$E$29,MATCH($B4413,Config!$B$9:$B$29,0))),""),""))</f>
        <v/>
      </c>
      <c r="AI4413" s="19" t="str">
        <f>IF($B4413="","",IFERROR(INDEX(Config!$D$9:$D$29,MATCH($B4413,Config!$B$9:$B$29,0))&amp;"",""))</f>
        <v/>
      </c>
    </row>
    <row r="4414">
      <c r="X4414" s="20" t="str">
        <f>IF($B4414="","",IFERROR(IF(INDEX(Config!$D$9:$D$29,MATCH($B4414,Config!$B$9:$B$29,0))="Contrato",IF(INDEX(Config!$E$9:$E$29,MATCH($B4414,Config!$B$9:$B$29,0))="","",INDEX(Config!$E$9:$E$29,MATCH($B4414,Config!$B$9:$B$29,0))),""),""))</f>
        <v/>
      </c>
      <c r="AI4414" s="19" t="str">
        <f>IF($B4414="","",IFERROR(INDEX(Config!$D$9:$D$29,MATCH($B4414,Config!$B$9:$B$29,0))&amp;"",""))</f>
        <v/>
      </c>
    </row>
    <row r="4415">
      <c r="X4415" s="20" t="str">
        <f>IF($B4415="","",IFERROR(IF(INDEX(Config!$D$9:$D$29,MATCH($B4415,Config!$B$9:$B$29,0))="Contrato",IF(INDEX(Config!$E$9:$E$29,MATCH($B4415,Config!$B$9:$B$29,0))="","",INDEX(Config!$E$9:$E$29,MATCH($B4415,Config!$B$9:$B$29,0))),""),""))</f>
        <v/>
      </c>
      <c r="AI4415" s="19" t="str">
        <f>IF($B4415="","",IFERROR(INDEX(Config!$D$9:$D$29,MATCH($B4415,Config!$B$9:$B$29,0))&amp;"",""))</f>
        <v/>
      </c>
    </row>
    <row r="4416">
      <c r="X4416" s="20" t="str">
        <f>IF($B4416="","",IFERROR(IF(INDEX(Config!$D$9:$D$29,MATCH($B4416,Config!$B$9:$B$29,0))="Contrato",IF(INDEX(Config!$E$9:$E$29,MATCH($B4416,Config!$B$9:$B$29,0))="","",INDEX(Config!$E$9:$E$29,MATCH($B4416,Config!$B$9:$B$29,0))),""),""))</f>
        <v/>
      </c>
      <c r="AI4416" s="19" t="str">
        <f>IF($B4416="","",IFERROR(INDEX(Config!$D$9:$D$29,MATCH($B4416,Config!$B$9:$B$29,0))&amp;"",""))</f>
        <v/>
      </c>
    </row>
    <row r="4417">
      <c r="X4417" s="20" t="str">
        <f>IF($B4417="","",IFERROR(IF(INDEX(Config!$D$9:$D$29,MATCH($B4417,Config!$B$9:$B$29,0))="Contrato",IF(INDEX(Config!$E$9:$E$29,MATCH($B4417,Config!$B$9:$B$29,0))="","",INDEX(Config!$E$9:$E$29,MATCH($B4417,Config!$B$9:$B$29,0))),""),""))</f>
        <v/>
      </c>
      <c r="AI4417" s="19" t="str">
        <f>IF($B4417="","",IFERROR(INDEX(Config!$D$9:$D$29,MATCH($B4417,Config!$B$9:$B$29,0))&amp;"",""))</f>
        <v/>
      </c>
    </row>
    <row r="4418">
      <c r="X4418" s="20" t="str">
        <f>IF($B4418="","",IFERROR(IF(INDEX(Config!$D$9:$D$29,MATCH($B4418,Config!$B$9:$B$29,0))="Contrato",IF(INDEX(Config!$E$9:$E$29,MATCH($B4418,Config!$B$9:$B$29,0))="","",INDEX(Config!$E$9:$E$29,MATCH($B4418,Config!$B$9:$B$29,0))),""),""))</f>
        <v/>
      </c>
      <c r="AI4418" s="19" t="str">
        <f>IF($B4418="","",IFERROR(INDEX(Config!$D$9:$D$29,MATCH($B4418,Config!$B$9:$B$29,0))&amp;"",""))</f>
        <v/>
      </c>
    </row>
    <row r="4419">
      <c r="X4419" s="20" t="str">
        <f>IF($B4419="","",IFERROR(IF(INDEX(Config!$D$9:$D$29,MATCH($B4419,Config!$B$9:$B$29,0))="Contrato",IF(INDEX(Config!$E$9:$E$29,MATCH($B4419,Config!$B$9:$B$29,0))="","",INDEX(Config!$E$9:$E$29,MATCH($B4419,Config!$B$9:$B$29,0))),""),""))</f>
        <v/>
      </c>
      <c r="AI4419" s="19" t="str">
        <f>IF($B4419="","",IFERROR(INDEX(Config!$D$9:$D$29,MATCH($B4419,Config!$B$9:$B$29,0))&amp;"",""))</f>
        <v/>
      </c>
    </row>
    <row r="4420">
      <c r="X4420" s="20" t="str">
        <f>IF($B4420="","",IFERROR(IF(INDEX(Config!$D$9:$D$29,MATCH($B4420,Config!$B$9:$B$29,0))="Contrato",IF(INDEX(Config!$E$9:$E$29,MATCH($B4420,Config!$B$9:$B$29,0))="","",INDEX(Config!$E$9:$E$29,MATCH($B4420,Config!$B$9:$B$29,0))),""),""))</f>
        <v/>
      </c>
      <c r="AI4420" s="19" t="str">
        <f>IF($B4420="","",IFERROR(INDEX(Config!$D$9:$D$29,MATCH($B4420,Config!$B$9:$B$29,0))&amp;"",""))</f>
        <v/>
      </c>
    </row>
    <row r="4421">
      <c r="X4421" s="20" t="str">
        <f>IF($B4421="","",IFERROR(IF(INDEX(Config!$D$9:$D$29,MATCH($B4421,Config!$B$9:$B$29,0))="Contrato",IF(INDEX(Config!$E$9:$E$29,MATCH($B4421,Config!$B$9:$B$29,0))="","",INDEX(Config!$E$9:$E$29,MATCH($B4421,Config!$B$9:$B$29,0))),""),""))</f>
        <v/>
      </c>
      <c r="AI4421" s="19" t="str">
        <f>IF($B4421="","",IFERROR(INDEX(Config!$D$9:$D$29,MATCH($B4421,Config!$B$9:$B$29,0))&amp;"",""))</f>
        <v/>
      </c>
    </row>
    <row r="4422">
      <c r="X4422" s="20" t="str">
        <f>IF($B4422="","",IFERROR(IF(INDEX(Config!$D$9:$D$29,MATCH($B4422,Config!$B$9:$B$29,0))="Contrato",IF(INDEX(Config!$E$9:$E$29,MATCH($B4422,Config!$B$9:$B$29,0))="","",INDEX(Config!$E$9:$E$29,MATCH($B4422,Config!$B$9:$B$29,0))),""),""))</f>
        <v/>
      </c>
      <c r="AI4422" s="19" t="str">
        <f>IF($B4422="","",IFERROR(INDEX(Config!$D$9:$D$29,MATCH($B4422,Config!$B$9:$B$29,0))&amp;"",""))</f>
        <v/>
      </c>
    </row>
    <row r="4423">
      <c r="X4423" s="20" t="str">
        <f>IF($B4423="","",IFERROR(IF(INDEX(Config!$D$9:$D$29,MATCH($B4423,Config!$B$9:$B$29,0))="Contrato",IF(INDEX(Config!$E$9:$E$29,MATCH($B4423,Config!$B$9:$B$29,0))="","",INDEX(Config!$E$9:$E$29,MATCH($B4423,Config!$B$9:$B$29,0))),""),""))</f>
        <v/>
      </c>
      <c r="AI4423" s="19" t="str">
        <f>IF($B4423="","",IFERROR(INDEX(Config!$D$9:$D$29,MATCH($B4423,Config!$B$9:$B$29,0))&amp;"",""))</f>
        <v/>
      </c>
    </row>
    <row r="4424">
      <c r="X4424" s="20" t="str">
        <f>IF($B4424="","",IFERROR(IF(INDEX(Config!$D$9:$D$29,MATCH($B4424,Config!$B$9:$B$29,0))="Contrato",IF(INDEX(Config!$E$9:$E$29,MATCH($B4424,Config!$B$9:$B$29,0))="","",INDEX(Config!$E$9:$E$29,MATCH($B4424,Config!$B$9:$B$29,0))),""),""))</f>
        <v/>
      </c>
      <c r="AI4424" s="19" t="str">
        <f>IF($B4424="","",IFERROR(INDEX(Config!$D$9:$D$29,MATCH($B4424,Config!$B$9:$B$29,0))&amp;"",""))</f>
        <v/>
      </c>
    </row>
    <row r="4425">
      <c r="X4425" s="20" t="str">
        <f>IF($B4425="","",IFERROR(IF(INDEX(Config!$D$9:$D$29,MATCH($B4425,Config!$B$9:$B$29,0))="Contrato",IF(INDEX(Config!$E$9:$E$29,MATCH($B4425,Config!$B$9:$B$29,0))="","",INDEX(Config!$E$9:$E$29,MATCH($B4425,Config!$B$9:$B$29,0))),""),""))</f>
        <v/>
      </c>
      <c r="AI4425" s="19" t="str">
        <f>IF($B4425="","",IFERROR(INDEX(Config!$D$9:$D$29,MATCH($B4425,Config!$B$9:$B$29,0))&amp;"",""))</f>
        <v/>
      </c>
    </row>
    <row r="4426">
      <c r="X4426" s="20" t="str">
        <f>IF($B4426="","",IFERROR(IF(INDEX(Config!$D$9:$D$29,MATCH($B4426,Config!$B$9:$B$29,0))="Contrato",IF(INDEX(Config!$E$9:$E$29,MATCH($B4426,Config!$B$9:$B$29,0))="","",INDEX(Config!$E$9:$E$29,MATCH($B4426,Config!$B$9:$B$29,0))),""),""))</f>
        <v/>
      </c>
      <c r="AI4426" s="19" t="str">
        <f>IF($B4426="","",IFERROR(INDEX(Config!$D$9:$D$29,MATCH($B4426,Config!$B$9:$B$29,0))&amp;"",""))</f>
        <v/>
      </c>
    </row>
    <row r="4427">
      <c r="X4427" s="20" t="str">
        <f>IF($B4427="","",IFERROR(IF(INDEX(Config!$D$9:$D$29,MATCH($B4427,Config!$B$9:$B$29,0))="Contrato",IF(INDEX(Config!$E$9:$E$29,MATCH($B4427,Config!$B$9:$B$29,0))="","",INDEX(Config!$E$9:$E$29,MATCH($B4427,Config!$B$9:$B$29,0))),""),""))</f>
        <v/>
      </c>
      <c r="AI4427" s="19" t="str">
        <f>IF($B4427="","",IFERROR(INDEX(Config!$D$9:$D$29,MATCH($B4427,Config!$B$9:$B$29,0))&amp;"",""))</f>
        <v/>
      </c>
    </row>
    <row r="4428">
      <c r="X4428" s="20" t="str">
        <f>IF($B4428="","",IFERROR(IF(INDEX(Config!$D$9:$D$29,MATCH($B4428,Config!$B$9:$B$29,0))="Contrato",IF(INDEX(Config!$E$9:$E$29,MATCH($B4428,Config!$B$9:$B$29,0))="","",INDEX(Config!$E$9:$E$29,MATCH($B4428,Config!$B$9:$B$29,0))),""),""))</f>
        <v/>
      </c>
      <c r="AI4428" s="19" t="str">
        <f>IF($B4428="","",IFERROR(INDEX(Config!$D$9:$D$29,MATCH($B4428,Config!$B$9:$B$29,0))&amp;"",""))</f>
        <v/>
      </c>
    </row>
    <row r="4429">
      <c r="X4429" s="20" t="str">
        <f>IF($B4429="","",IFERROR(IF(INDEX(Config!$D$9:$D$29,MATCH($B4429,Config!$B$9:$B$29,0))="Contrato",IF(INDEX(Config!$E$9:$E$29,MATCH($B4429,Config!$B$9:$B$29,0))="","",INDEX(Config!$E$9:$E$29,MATCH($B4429,Config!$B$9:$B$29,0))),""),""))</f>
        <v/>
      </c>
      <c r="AI4429" s="19" t="str">
        <f>IF($B4429="","",IFERROR(INDEX(Config!$D$9:$D$29,MATCH($B4429,Config!$B$9:$B$29,0))&amp;"",""))</f>
        <v/>
      </c>
    </row>
    <row r="4430">
      <c r="X4430" s="20" t="str">
        <f>IF($B4430="","",IFERROR(IF(INDEX(Config!$D$9:$D$29,MATCH($B4430,Config!$B$9:$B$29,0))="Contrato",IF(INDEX(Config!$E$9:$E$29,MATCH($B4430,Config!$B$9:$B$29,0))="","",INDEX(Config!$E$9:$E$29,MATCH($B4430,Config!$B$9:$B$29,0))),""),""))</f>
        <v/>
      </c>
      <c r="AI4430" s="19" t="str">
        <f>IF($B4430="","",IFERROR(INDEX(Config!$D$9:$D$29,MATCH($B4430,Config!$B$9:$B$29,0))&amp;"",""))</f>
        <v/>
      </c>
    </row>
    <row r="4431">
      <c r="X4431" s="20" t="str">
        <f>IF($B4431="","",IFERROR(IF(INDEX(Config!$D$9:$D$29,MATCH($B4431,Config!$B$9:$B$29,0))="Contrato",IF(INDEX(Config!$E$9:$E$29,MATCH($B4431,Config!$B$9:$B$29,0))="","",INDEX(Config!$E$9:$E$29,MATCH($B4431,Config!$B$9:$B$29,0))),""),""))</f>
        <v/>
      </c>
      <c r="AI4431" s="19" t="str">
        <f>IF($B4431="","",IFERROR(INDEX(Config!$D$9:$D$29,MATCH($B4431,Config!$B$9:$B$29,0))&amp;"",""))</f>
        <v/>
      </c>
    </row>
    <row r="4432">
      <c r="X4432" s="20" t="str">
        <f>IF($B4432="","",IFERROR(IF(INDEX(Config!$D$9:$D$29,MATCH($B4432,Config!$B$9:$B$29,0))="Contrato",IF(INDEX(Config!$E$9:$E$29,MATCH($B4432,Config!$B$9:$B$29,0))="","",INDEX(Config!$E$9:$E$29,MATCH($B4432,Config!$B$9:$B$29,0))),""),""))</f>
        <v/>
      </c>
      <c r="AI4432" s="19" t="str">
        <f>IF($B4432="","",IFERROR(INDEX(Config!$D$9:$D$29,MATCH($B4432,Config!$B$9:$B$29,0))&amp;"",""))</f>
        <v/>
      </c>
    </row>
    <row r="4433">
      <c r="X4433" s="20" t="str">
        <f>IF($B4433="","",IFERROR(IF(INDEX(Config!$D$9:$D$29,MATCH($B4433,Config!$B$9:$B$29,0))="Contrato",IF(INDEX(Config!$E$9:$E$29,MATCH($B4433,Config!$B$9:$B$29,0))="","",INDEX(Config!$E$9:$E$29,MATCH($B4433,Config!$B$9:$B$29,0))),""),""))</f>
        <v/>
      </c>
      <c r="AI4433" s="19" t="str">
        <f>IF($B4433="","",IFERROR(INDEX(Config!$D$9:$D$29,MATCH($B4433,Config!$B$9:$B$29,0))&amp;"",""))</f>
        <v/>
      </c>
    </row>
    <row r="4434">
      <c r="X4434" s="20" t="str">
        <f>IF($B4434="","",IFERROR(IF(INDEX(Config!$D$9:$D$29,MATCH($B4434,Config!$B$9:$B$29,0))="Contrato",IF(INDEX(Config!$E$9:$E$29,MATCH($B4434,Config!$B$9:$B$29,0))="","",INDEX(Config!$E$9:$E$29,MATCH($B4434,Config!$B$9:$B$29,0))),""),""))</f>
        <v/>
      </c>
      <c r="AI4434" s="19" t="str">
        <f>IF($B4434="","",IFERROR(INDEX(Config!$D$9:$D$29,MATCH($B4434,Config!$B$9:$B$29,0))&amp;"",""))</f>
        <v/>
      </c>
    </row>
    <row r="4435">
      <c r="X4435" s="20" t="str">
        <f>IF($B4435="","",IFERROR(IF(INDEX(Config!$D$9:$D$29,MATCH($B4435,Config!$B$9:$B$29,0))="Contrato",IF(INDEX(Config!$E$9:$E$29,MATCH($B4435,Config!$B$9:$B$29,0))="","",INDEX(Config!$E$9:$E$29,MATCH($B4435,Config!$B$9:$B$29,0))),""),""))</f>
        <v/>
      </c>
      <c r="AI4435" s="19" t="str">
        <f>IF($B4435="","",IFERROR(INDEX(Config!$D$9:$D$29,MATCH($B4435,Config!$B$9:$B$29,0))&amp;"",""))</f>
        <v/>
      </c>
    </row>
    <row r="4436">
      <c r="X4436" s="20" t="str">
        <f>IF($B4436="","",IFERROR(IF(INDEX(Config!$D$9:$D$29,MATCH($B4436,Config!$B$9:$B$29,0))="Contrato",IF(INDEX(Config!$E$9:$E$29,MATCH($B4436,Config!$B$9:$B$29,0))="","",INDEX(Config!$E$9:$E$29,MATCH($B4436,Config!$B$9:$B$29,0))),""),""))</f>
        <v/>
      </c>
      <c r="AI4436" s="19" t="str">
        <f>IF($B4436="","",IFERROR(INDEX(Config!$D$9:$D$29,MATCH($B4436,Config!$B$9:$B$29,0))&amp;"",""))</f>
        <v/>
      </c>
    </row>
    <row r="4437">
      <c r="X4437" s="20" t="str">
        <f>IF($B4437="","",IFERROR(IF(INDEX(Config!$D$9:$D$29,MATCH($B4437,Config!$B$9:$B$29,0))="Contrato",IF(INDEX(Config!$E$9:$E$29,MATCH($B4437,Config!$B$9:$B$29,0))="","",INDEX(Config!$E$9:$E$29,MATCH($B4437,Config!$B$9:$B$29,0))),""),""))</f>
        <v/>
      </c>
      <c r="AI4437" s="19" t="str">
        <f>IF($B4437="","",IFERROR(INDEX(Config!$D$9:$D$29,MATCH($B4437,Config!$B$9:$B$29,0))&amp;"",""))</f>
        <v/>
      </c>
    </row>
    <row r="4438">
      <c r="X4438" s="20" t="str">
        <f>IF($B4438="","",IFERROR(IF(INDEX(Config!$D$9:$D$29,MATCH($B4438,Config!$B$9:$B$29,0))="Contrato",IF(INDEX(Config!$E$9:$E$29,MATCH($B4438,Config!$B$9:$B$29,0))="","",INDEX(Config!$E$9:$E$29,MATCH($B4438,Config!$B$9:$B$29,0))),""),""))</f>
        <v/>
      </c>
      <c r="AI4438" s="19" t="str">
        <f>IF($B4438="","",IFERROR(INDEX(Config!$D$9:$D$29,MATCH($B4438,Config!$B$9:$B$29,0))&amp;"",""))</f>
        <v/>
      </c>
    </row>
    <row r="4439">
      <c r="X4439" s="20" t="str">
        <f>IF($B4439="","",IFERROR(IF(INDEX(Config!$D$9:$D$29,MATCH($B4439,Config!$B$9:$B$29,0))="Contrato",IF(INDEX(Config!$E$9:$E$29,MATCH($B4439,Config!$B$9:$B$29,0))="","",INDEX(Config!$E$9:$E$29,MATCH($B4439,Config!$B$9:$B$29,0))),""),""))</f>
        <v/>
      </c>
      <c r="AI4439" s="19" t="str">
        <f>IF($B4439="","",IFERROR(INDEX(Config!$D$9:$D$29,MATCH($B4439,Config!$B$9:$B$29,0))&amp;"",""))</f>
        <v/>
      </c>
    </row>
    <row r="4440">
      <c r="X4440" s="20" t="str">
        <f>IF($B4440="","",IFERROR(IF(INDEX(Config!$D$9:$D$29,MATCH($B4440,Config!$B$9:$B$29,0))="Contrato",IF(INDEX(Config!$E$9:$E$29,MATCH($B4440,Config!$B$9:$B$29,0))="","",INDEX(Config!$E$9:$E$29,MATCH($B4440,Config!$B$9:$B$29,0))),""),""))</f>
        <v/>
      </c>
      <c r="AI4440" s="19" t="str">
        <f>IF($B4440="","",IFERROR(INDEX(Config!$D$9:$D$29,MATCH($B4440,Config!$B$9:$B$29,0))&amp;"",""))</f>
        <v/>
      </c>
    </row>
    <row r="4441">
      <c r="X4441" s="20" t="str">
        <f>IF($B4441="","",IFERROR(IF(INDEX(Config!$D$9:$D$29,MATCH($B4441,Config!$B$9:$B$29,0))="Contrato",IF(INDEX(Config!$E$9:$E$29,MATCH($B4441,Config!$B$9:$B$29,0))="","",INDEX(Config!$E$9:$E$29,MATCH($B4441,Config!$B$9:$B$29,0))),""),""))</f>
        <v/>
      </c>
      <c r="AI4441" s="19" t="str">
        <f>IF($B4441="","",IFERROR(INDEX(Config!$D$9:$D$29,MATCH($B4441,Config!$B$9:$B$29,0))&amp;"",""))</f>
        <v/>
      </c>
    </row>
    <row r="4442">
      <c r="X4442" s="20" t="str">
        <f>IF($B4442="","",IFERROR(IF(INDEX(Config!$D$9:$D$29,MATCH($B4442,Config!$B$9:$B$29,0))="Contrato",IF(INDEX(Config!$E$9:$E$29,MATCH($B4442,Config!$B$9:$B$29,0))="","",INDEX(Config!$E$9:$E$29,MATCH($B4442,Config!$B$9:$B$29,0))),""),""))</f>
        <v/>
      </c>
      <c r="AI4442" s="19" t="str">
        <f>IF($B4442="","",IFERROR(INDEX(Config!$D$9:$D$29,MATCH($B4442,Config!$B$9:$B$29,0))&amp;"",""))</f>
        <v/>
      </c>
    </row>
    <row r="4443">
      <c r="X4443" s="20" t="str">
        <f>IF($B4443="","",IFERROR(IF(INDEX(Config!$D$9:$D$29,MATCH($B4443,Config!$B$9:$B$29,0))="Contrato",IF(INDEX(Config!$E$9:$E$29,MATCH($B4443,Config!$B$9:$B$29,0))="","",INDEX(Config!$E$9:$E$29,MATCH($B4443,Config!$B$9:$B$29,0))),""),""))</f>
        <v/>
      </c>
      <c r="AI4443" s="19" t="str">
        <f>IF($B4443="","",IFERROR(INDEX(Config!$D$9:$D$29,MATCH($B4443,Config!$B$9:$B$29,0))&amp;"",""))</f>
        <v/>
      </c>
    </row>
    <row r="4444">
      <c r="X4444" s="20" t="str">
        <f>IF($B4444="","",IFERROR(IF(INDEX(Config!$D$9:$D$29,MATCH($B4444,Config!$B$9:$B$29,0))="Contrato",IF(INDEX(Config!$E$9:$E$29,MATCH($B4444,Config!$B$9:$B$29,0))="","",INDEX(Config!$E$9:$E$29,MATCH($B4444,Config!$B$9:$B$29,0))),""),""))</f>
        <v/>
      </c>
      <c r="AI4444" s="19" t="str">
        <f>IF($B4444="","",IFERROR(INDEX(Config!$D$9:$D$29,MATCH($B4444,Config!$B$9:$B$29,0))&amp;"",""))</f>
        <v/>
      </c>
    </row>
    <row r="4445">
      <c r="X4445" s="20" t="str">
        <f>IF($B4445="","",IFERROR(IF(INDEX(Config!$D$9:$D$29,MATCH($B4445,Config!$B$9:$B$29,0))="Contrato",IF(INDEX(Config!$E$9:$E$29,MATCH($B4445,Config!$B$9:$B$29,0))="","",INDEX(Config!$E$9:$E$29,MATCH($B4445,Config!$B$9:$B$29,0))),""),""))</f>
        <v/>
      </c>
      <c r="AI4445" s="19" t="str">
        <f>IF($B4445="","",IFERROR(INDEX(Config!$D$9:$D$29,MATCH($B4445,Config!$B$9:$B$29,0))&amp;"",""))</f>
        <v/>
      </c>
    </row>
    <row r="4446">
      <c r="X4446" s="20" t="str">
        <f>IF($B4446="","",IFERROR(IF(INDEX(Config!$D$9:$D$29,MATCH($B4446,Config!$B$9:$B$29,0))="Contrato",IF(INDEX(Config!$E$9:$E$29,MATCH($B4446,Config!$B$9:$B$29,0))="","",INDEX(Config!$E$9:$E$29,MATCH($B4446,Config!$B$9:$B$29,0))),""),""))</f>
        <v/>
      </c>
      <c r="AI4446" s="19" t="str">
        <f>IF($B4446="","",IFERROR(INDEX(Config!$D$9:$D$29,MATCH($B4446,Config!$B$9:$B$29,0))&amp;"",""))</f>
        <v/>
      </c>
    </row>
    <row r="4447">
      <c r="X4447" s="20" t="str">
        <f>IF($B4447="","",IFERROR(IF(INDEX(Config!$D$9:$D$29,MATCH($B4447,Config!$B$9:$B$29,0))="Contrato",IF(INDEX(Config!$E$9:$E$29,MATCH($B4447,Config!$B$9:$B$29,0))="","",INDEX(Config!$E$9:$E$29,MATCH($B4447,Config!$B$9:$B$29,0))),""),""))</f>
        <v/>
      </c>
      <c r="AI4447" s="19" t="str">
        <f>IF($B4447="","",IFERROR(INDEX(Config!$D$9:$D$29,MATCH($B4447,Config!$B$9:$B$29,0))&amp;"",""))</f>
        <v/>
      </c>
    </row>
    <row r="4448">
      <c r="X4448" s="20" t="str">
        <f>IF($B4448="","",IFERROR(IF(INDEX(Config!$D$9:$D$29,MATCH($B4448,Config!$B$9:$B$29,0))="Contrato",IF(INDEX(Config!$E$9:$E$29,MATCH($B4448,Config!$B$9:$B$29,0))="","",INDEX(Config!$E$9:$E$29,MATCH($B4448,Config!$B$9:$B$29,0))),""),""))</f>
        <v/>
      </c>
      <c r="AI4448" s="19" t="str">
        <f>IF($B4448="","",IFERROR(INDEX(Config!$D$9:$D$29,MATCH($B4448,Config!$B$9:$B$29,0))&amp;"",""))</f>
        <v/>
      </c>
    </row>
    <row r="4449">
      <c r="X4449" s="20" t="str">
        <f>IF($B4449="","",IFERROR(IF(INDEX(Config!$D$9:$D$29,MATCH($B4449,Config!$B$9:$B$29,0))="Contrato",IF(INDEX(Config!$E$9:$E$29,MATCH($B4449,Config!$B$9:$B$29,0))="","",INDEX(Config!$E$9:$E$29,MATCH($B4449,Config!$B$9:$B$29,0))),""),""))</f>
        <v/>
      </c>
      <c r="AI4449" s="19" t="str">
        <f>IF($B4449="","",IFERROR(INDEX(Config!$D$9:$D$29,MATCH($B4449,Config!$B$9:$B$29,0))&amp;"",""))</f>
        <v/>
      </c>
    </row>
    <row r="4450">
      <c r="X4450" s="20" t="str">
        <f>IF($B4450="","",IFERROR(IF(INDEX(Config!$D$9:$D$29,MATCH($B4450,Config!$B$9:$B$29,0))="Contrato",IF(INDEX(Config!$E$9:$E$29,MATCH($B4450,Config!$B$9:$B$29,0))="","",INDEX(Config!$E$9:$E$29,MATCH($B4450,Config!$B$9:$B$29,0))),""),""))</f>
        <v/>
      </c>
      <c r="AI4450" s="19" t="str">
        <f>IF($B4450="","",IFERROR(INDEX(Config!$D$9:$D$29,MATCH($B4450,Config!$B$9:$B$29,0))&amp;"",""))</f>
        <v/>
      </c>
    </row>
    <row r="4451">
      <c r="X4451" s="20" t="str">
        <f>IF($B4451="","",IFERROR(IF(INDEX(Config!$D$9:$D$29,MATCH($B4451,Config!$B$9:$B$29,0))="Contrato",IF(INDEX(Config!$E$9:$E$29,MATCH($B4451,Config!$B$9:$B$29,0))="","",INDEX(Config!$E$9:$E$29,MATCH($B4451,Config!$B$9:$B$29,0))),""),""))</f>
        <v/>
      </c>
      <c r="AI4451" s="19" t="str">
        <f>IF($B4451="","",IFERROR(INDEX(Config!$D$9:$D$29,MATCH($B4451,Config!$B$9:$B$29,0))&amp;"",""))</f>
        <v/>
      </c>
    </row>
    <row r="4452">
      <c r="X4452" s="20" t="str">
        <f>IF($B4452="","",IFERROR(IF(INDEX(Config!$D$9:$D$29,MATCH($B4452,Config!$B$9:$B$29,0))="Contrato",IF(INDEX(Config!$E$9:$E$29,MATCH($B4452,Config!$B$9:$B$29,0))="","",INDEX(Config!$E$9:$E$29,MATCH($B4452,Config!$B$9:$B$29,0))),""),""))</f>
        <v/>
      </c>
      <c r="AI4452" s="19" t="str">
        <f>IF($B4452="","",IFERROR(INDEX(Config!$D$9:$D$29,MATCH($B4452,Config!$B$9:$B$29,0))&amp;"",""))</f>
        <v/>
      </c>
    </row>
    <row r="4453">
      <c r="X4453" s="20" t="str">
        <f>IF($B4453="","",IFERROR(IF(INDEX(Config!$D$9:$D$29,MATCH($B4453,Config!$B$9:$B$29,0))="Contrato",IF(INDEX(Config!$E$9:$E$29,MATCH($B4453,Config!$B$9:$B$29,0))="","",INDEX(Config!$E$9:$E$29,MATCH($B4453,Config!$B$9:$B$29,0))),""),""))</f>
        <v/>
      </c>
      <c r="AI4453" s="19" t="str">
        <f>IF($B4453="","",IFERROR(INDEX(Config!$D$9:$D$29,MATCH($B4453,Config!$B$9:$B$29,0))&amp;"",""))</f>
        <v/>
      </c>
    </row>
    <row r="4454">
      <c r="X4454" s="20" t="str">
        <f>IF($B4454="","",IFERROR(IF(INDEX(Config!$D$9:$D$29,MATCH($B4454,Config!$B$9:$B$29,0))="Contrato",IF(INDEX(Config!$E$9:$E$29,MATCH($B4454,Config!$B$9:$B$29,0))="","",INDEX(Config!$E$9:$E$29,MATCH($B4454,Config!$B$9:$B$29,0))),""),""))</f>
        <v/>
      </c>
      <c r="AI4454" s="19" t="str">
        <f>IF($B4454="","",IFERROR(INDEX(Config!$D$9:$D$29,MATCH($B4454,Config!$B$9:$B$29,0))&amp;"",""))</f>
        <v/>
      </c>
    </row>
    <row r="4455">
      <c r="X4455" s="20" t="str">
        <f>IF($B4455="","",IFERROR(IF(INDEX(Config!$D$9:$D$29,MATCH($B4455,Config!$B$9:$B$29,0))="Contrato",IF(INDEX(Config!$E$9:$E$29,MATCH($B4455,Config!$B$9:$B$29,0))="","",INDEX(Config!$E$9:$E$29,MATCH($B4455,Config!$B$9:$B$29,0))),""),""))</f>
        <v/>
      </c>
      <c r="AI4455" s="19" t="str">
        <f>IF($B4455="","",IFERROR(INDEX(Config!$D$9:$D$29,MATCH($B4455,Config!$B$9:$B$29,0))&amp;"",""))</f>
        <v/>
      </c>
    </row>
    <row r="4456">
      <c r="X4456" s="20" t="str">
        <f>IF($B4456="","",IFERROR(IF(INDEX(Config!$D$9:$D$29,MATCH($B4456,Config!$B$9:$B$29,0))="Contrato",IF(INDEX(Config!$E$9:$E$29,MATCH($B4456,Config!$B$9:$B$29,0))="","",INDEX(Config!$E$9:$E$29,MATCH($B4456,Config!$B$9:$B$29,0))),""),""))</f>
        <v/>
      </c>
      <c r="AI4456" s="19" t="str">
        <f>IF($B4456="","",IFERROR(INDEX(Config!$D$9:$D$29,MATCH($B4456,Config!$B$9:$B$29,0))&amp;"",""))</f>
        <v/>
      </c>
    </row>
    <row r="4457">
      <c r="X4457" s="20" t="str">
        <f>IF($B4457="","",IFERROR(IF(INDEX(Config!$D$9:$D$29,MATCH($B4457,Config!$B$9:$B$29,0))="Contrato",IF(INDEX(Config!$E$9:$E$29,MATCH($B4457,Config!$B$9:$B$29,0))="","",INDEX(Config!$E$9:$E$29,MATCH($B4457,Config!$B$9:$B$29,0))),""),""))</f>
        <v/>
      </c>
      <c r="AI4457" s="19" t="str">
        <f>IF($B4457="","",IFERROR(INDEX(Config!$D$9:$D$29,MATCH($B4457,Config!$B$9:$B$29,0))&amp;"",""))</f>
        <v/>
      </c>
    </row>
    <row r="4458">
      <c r="X4458" s="20" t="str">
        <f>IF($B4458="","",IFERROR(IF(INDEX(Config!$D$9:$D$29,MATCH($B4458,Config!$B$9:$B$29,0))="Contrato",IF(INDEX(Config!$E$9:$E$29,MATCH($B4458,Config!$B$9:$B$29,0))="","",INDEX(Config!$E$9:$E$29,MATCH($B4458,Config!$B$9:$B$29,0))),""),""))</f>
        <v/>
      </c>
      <c r="AI4458" s="19" t="str">
        <f>IF($B4458="","",IFERROR(INDEX(Config!$D$9:$D$29,MATCH($B4458,Config!$B$9:$B$29,0))&amp;"",""))</f>
        <v/>
      </c>
    </row>
    <row r="4459">
      <c r="X4459" s="20" t="str">
        <f>IF($B4459="","",IFERROR(IF(INDEX(Config!$D$9:$D$29,MATCH($B4459,Config!$B$9:$B$29,0))="Contrato",IF(INDEX(Config!$E$9:$E$29,MATCH($B4459,Config!$B$9:$B$29,0))="","",INDEX(Config!$E$9:$E$29,MATCH($B4459,Config!$B$9:$B$29,0))),""),""))</f>
        <v/>
      </c>
      <c r="AI4459" s="19" t="str">
        <f>IF($B4459="","",IFERROR(INDEX(Config!$D$9:$D$29,MATCH($B4459,Config!$B$9:$B$29,0))&amp;"",""))</f>
        <v/>
      </c>
    </row>
    <row r="4460">
      <c r="X4460" s="20" t="str">
        <f>IF($B4460="","",IFERROR(IF(INDEX(Config!$D$9:$D$29,MATCH($B4460,Config!$B$9:$B$29,0))="Contrato",IF(INDEX(Config!$E$9:$E$29,MATCH($B4460,Config!$B$9:$B$29,0))="","",INDEX(Config!$E$9:$E$29,MATCH($B4460,Config!$B$9:$B$29,0))),""),""))</f>
        <v/>
      </c>
      <c r="AI4460" s="19" t="str">
        <f>IF($B4460="","",IFERROR(INDEX(Config!$D$9:$D$29,MATCH($B4460,Config!$B$9:$B$29,0))&amp;"",""))</f>
        <v/>
      </c>
    </row>
    <row r="4461">
      <c r="X4461" s="20" t="str">
        <f>IF($B4461="","",IFERROR(IF(INDEX(Config!$D$9:$D$29,MATCH($B4461,Config!$B$9:$B$29,0))="Contrato",IF(INDEX(Config!$E$9:$E$29,MATCH($B4461,Config!$B$9:$B$29,0))="","",INDEX(Config!$E$9:$E$29,MATCH($B4461,Config!$B$9:$B$29,0))),""),""))</f>
        <v/>
      </c>
      <c r="AI4461" s="19" t="str">
        <f>IF($B4461="","",IFERROR(INDEX(Config!$D$9:$D$29,MATCH($B4461,Config!$B$9:$B$29,0))&amp;"",""))</f>
        <v/>
      </c>
    </row>
    <row r="4462">
      <c r="X4462" s="20" t="str">
        <f>IF($B4462="","",IFERROR(IF(INDEX(Config!$D$9:$D$29,MATCH($B4462,Config!$B$9:$B$29,0))="Contrato",IF(INDEX(Config!$E$9:$E$29,MATCH($B4462,Config!$B$9:$B$29,0))="","",INDEX(Config!$E$9:$E$29,MATCH($B4462,Config!$B$9:$B$29,0))),""),""))</f>
        <v/>
      </c>
      <c r="AI4462" s="19" t="str">
        <f>IF($B4462="","",IFERROR(INDEX(Config!$D$9:$D$29,MATCH($B4462,Config!$B$9:$B$29,0))&amp;"",""))</f>
        <v/>
      </c>
    </row>
    <row r="4463">
      <c r="X4463" s="20" t="str">
        <f>IF($B4463="","",IFERROR(IF(INDEX(Config!$D$9:$D$29,MATCH($B4463,Config!$B$9:$B$29,0))="Contrato",IF(INDEX(Config!$E$9:$E$29,MATCH($B4463,Config!$B$9:$B$29,0))="","",INDEX(Config!$E$9:$E$29,MATCH($B4463,Config!$B$9:$B$29,0))),""),""))</f>
        <v/>
      </c>
      <c r="AI4463" s="19" t="str">
        <f>IF($B4463="","",IFERROR(INDEX(Config!$D$9:$D$29,MATCH($B4463,Config!$B$9:$B$29,0))&amp;"",""))</f>
        <v/>
      </c>
    </row>
    <row r="4464">
      <c r="X4464" s="20" t="str">
        <f>IF($B4464="","",IFERROR(IF(INDEX(Config!$D$9:$D$29,MATCH($B4464,Config!$B$9:$B$29,0))="Contrato",IF(INDEX(Config!$E$9:$E$29,MATCH($B4464,Config!$B$9:$B$29,0))="","",INDEX(Config!$E$9:$E$29,MATCH($B4464,Config!$B$9:$B$29,0))),""),""))</f>
        <v/>
      </c>
      <c r="AI4464" s="19" t="str">
        <f>IF($B4464="","",IFERROR(INDEX(Config!$D$9:$D$29,MATCH($B4464,Config!$B$9:$B$29,0))&amp;"",""))</f>
        <v/>
      </c>
    </row>
    <row r="4465">
      <c r="X4465" s="20" t="str">
        <f>IF($B4465="","",IFERROR(IF(INDEX(Config!$D$9:$D$29,MATCH($B4465,Config!$B$9:$B$29,0))="Contrato",IF(INDEX(Config!$E$9:$E$29,MATCH($B4465,Config!$B$9:$B$29,0))="","",INDEX(Config!$E$9:$E$29,MATCH($B4465,Config!$B$9:$B$29,0))),""),""))</f>
        <v/>
      </c>
      <c r="AI4465" s="19" t="str">
        <f>IF($B4465="","",IFERROR(INDEX(Config!$D$9:$D$29,MATCH($B4465,Config!$B$9:$B$29,0))&amp;"",""))</f>
        <v/>
      </c>
    </row>
    <row r="4466">
      <c r="X4466" s="20" t="str">
        <f>IF($B4466="","",IFERROR(IF(INDEX(Config!$D$9:$D$29,MATCH($B4466,Config!$B$9:$B$29,0))="Contrato",IF(INDEX(Config!$E$9:$E$29,MATCH($B4466,Config!$B$9:$B$29,0))="","",INDEX(Config!$E$9:$E$29,MATCH($B4466,Config!$B$9:$B$29,0))),""),""))</f>
        <v/>
      </c>
      <c r="AI4466" s="19" t="str">
        <f>IF($B4466="","",IFERROR(INDEX(Config!$D$9:$D$29,MATCH($B4466,Config!$B$9:$B$29,0))&amp;"",""))</f>
        <v/>
      </c>
    </row>
    <row r="4467">
      <c r="X4467" s="20" t="str">
        <f>IF($B4467="","",IFERROR(IF(INDEX(Config!$D$9:$D$29,MATCH($B4467,Config!$B$9:$B$29,0))="Contrato",IF(INDEX(Config!$E$9:$E$29,MATCH($B4467,Config!$B$9:$B$29,0))="","",INDEX(Config!$E$9:$E$29,MATCH($B4467,Config!$B$9:$B$29,0))),""),""))</f>
        <v/>
      </c>
      <c r="AI4467" s="19" t="str">
        <f>IF($B4467="","",IFERROR(INDEX(Config!$D$9:$D$29,MATCH($B4467,Config!$B$9:$B$29,0))&amp;"",""))</f>
        <v/>
      </c>
    </row>
    <row r="4468">
      <c r="X4468" s="20" t="str">
        <f>IF($B4468="","",IFERROR(IF(INDEX(Config!$D$9:$D$29,MATCH($B4468,Config!$B$9:$B$29,0))="Contrato",IF(INDEX(Config!$E$9:$E$29,MATCH($B4468,Config!$B$9:$B$29,0))="","",INDEX(Config!$E$9:$E$29,MATCH($B4468,Config!$B$9:$B$29,0))),""),""))</f>
        <v/>
      </c>
      <c r="AI4468" s="19" t="str">
        <f>IF($B4468="","",IFERROR(INDEX(Config!$D$9:$D$29,MATCH($B4468,Config!$B$9:$B$29,0))&amp;"",""))</f>
        <v/>
      </c>
    </row>
    <row r="4469">
      <c r="X4469" s="20" t="str">
        <f>IF($B4469="","",IFERROR(IF(INDEX(Config!$D$9:$D$29,MATCH($B4469,Config!$B$9:$B$29,0))="Contrato",IF(INDEX(Config!$E$9:$E$29,MATCH($B4469,Config!$B$9:$B$29,0))="","",INDEX(Config!$E$9:$E$29,MATCH($B4469,Config!$B$9:$B$29,0))),""),""))</f>
        <v/>
      </c>
      <c r="AI4469" s="19" t="str">
        <f>IF($B4469="","",IFERROR(INDEX(Config!$D$9:$D$29,MATCH($B4469,Config!$B$9:$B$29,0))&amp;"",""))</f>
        <v/>
      </c>
    </row>
    <row r="4470">
      <c r="X4470" s="20" t="str">
        <f>IF($B4470="","",IFERROR(IF(INDEX(Config!$D$9:$D$29,MATCH($B4470,Config!$B$9:$B$29,0))="Contrato",IF(INDEX(Config!$E$9:$E$29,MATCH($B4470,Config!$B$9:$B$29,0))="","",INDEX(Config!$E$9:$E$29,MATCH($B4470,Config!$B$9:$B$29,0))),""),""))</f>
        <v/>
      </c>
      <c r="AI4470" s="19" t="str">
        <f>IF($B4470="","",IFERROR(INDEX(Config!$D$9:$D$29,MATCH($B4470,Config!$B$9:$B$29,0))&amp;"",""))</f>
        <v/>
      </c>
    </row>
    <row r="4471">
      <c r="X4471" s="20" t="str">
        <f>IF($B4471="","",IFERROR(IF(INDEX(Config!$D$9:$D$29,MATCH($B4471,Config!$B$9:$B$29,0))="Contrato",IF(INDEX(Config!$E$9:$E$29,MATCH($B4471,Config!$B$9:$B$29,0))="","",INDEX(Config!$E$9:$E$29,MATCH($B4471,Config!$B$9:$B$29,0))),""),""))</f>
        <v/>
      </c>
      <c r="AI4471" s="19" t="str">
        <f>IF($B4471="","",IFERROR(INDEX(Config!$D$9:$D$29,MATCH($B4471,Config!$B$9:$B$29,0))&amp;"",""))</f>
        <v/>
      </c>
    </row>
    <row r="4472">
      <c r="X4472" s="20" t="str">
        <f>IF($B4472="","",IFERROR(IF(INDEX(Config!$D$9:$D$29,MATCH($B4472,Config!$B$9:$B$29,0))="Contrato",IF(INDEX(Config!$E$9:$E$29,MATCH($B4472,Config!$B$9:$B$29,0))="","",INDEX(Config!$E$9:$E$29,MATCH($B4472,Config!$B$9:$B$29,0))),""),""))</f>
        <v/>
      </c>
      <c r="AI4472" s="19" t="str">
        <f>IF($B4472="","",IFERROR(INDEX(Config!$D$9:$D$29,MATCH($B4472,Config!$B$9:$B$29,0))&amp;"",""))</f>
        <v/>
      </c>
    </row>
    <row r="4473">
      <c r="X4473" s="20" t="str">
        <f>IF($B4473="","",IFERROR(IF(INDEX(Config!$D$9:$D$29,MATCH($B4473,Config!$B$9:$B$29,0))="Contrato",IF(INDEX(Config!$E$9:$E$29,MATCH($B4473,Config!$B$9:$B$29,0))="","",INDEX(Config!$E$9:$E$29,MATCH($B4473,Config!$B$9:$B$29,0))),""),""))</f>
        <v/>
      </c>
      <c r="AI4473" s="19" t="str">
        <f>IF($B4473="","",IFERROR(INDEX(Config!$D$9:$D$29,MATCH($B4473,Config!$B$9:$B$29,0))&amp;"",""))</f>
        <v/>
      </c>
    </row>
    <row r="4474">
      <c r="X4474" s="20" t="str">
        <f>IF($B4474="","",IFERROR(IF(INDEX(Config!$D$9:$D$29,MATCH($B4474,Config!$B$9:$B$29,0))="Contrato",IF(INDEX(Config!$E$9:$E$29,MATCH($B4474,Config!$B$9:$B$29,0))="","",INDEX(Config!$E$9:$E$29,MATCH($B4474,Config!$B$9:$B$29,0))),""),""))</f>
        <v/>
      </c>
      <c r="AI4474" s="19" t="str">
        <f>IF($B4474="","",IFERROR(INDEX(Config!$D$9:$D$29,MATCH($B4474,Config!$B$9:$B$29,0))&amp;"",""))</f>
        <v/>
      </c>
    </row>
    <row r="4475">
      <c r="X4475" s="20" t="str">
        <f>IF($B4475="","",IFERROR(IF(INDEX(Config!$D$9:$D$29,MATCH($B4475,Config!$B$9:$B$29,0))="Contrato",IF(INDEX(Config!$E$9:$E$29,MATCH($B4475,Config!$B$9:$B$29,0))="","",INDEX(Config!$E$9:$E$29,MATCH($B4475,Config!$B$9:$B$29,0))),""),""))</f>
        <v/>
      </c>
      <c r="AI4475" s="19" t="str">
        <f>IF($B4475="","",IFERROR(INDEX(Config!$D$9:$D$29,MATCH($B4475,Config!$B$9:$B$29,0))&amp;"",""))</f>
        <v/>
      </c>
    </row>
    <row r="4476">
      <c r="X4476" s="20" t="str">
        <f>IF($B4476="","",IFERROR(IF(INDEX(Config!$D$9:$D$29,MATCH($B4476,Config!$B$9:$B$29,0))="Contrato",IF(INDEX(Config!$E$9:$E$29,MATCH($B4476,Config!$B$9:$B$29,0))="","",INDEX(Config!$E$9:$E$29,MATCH($B4476,Config!$B$9:$B$29,0))),""),""))</f>
        <v/>
      </c>
      <c r="AI4476" s="19" t="str">
        <f>IF($B4476="","",IFERROR(INDEX(Config!$D$9:$D$29,MATCH($B4476,Config!$B$9:$B$29,0))&amp;"",""))</f>
        <v/>
      </c>
    </row>
    <row r="4477">
      <c r="X4477" s="20" t="str">
        <f>IF($B4477="","",IFERROR(IF(INDEX(Config!$D$9:$D$29,MATCH($B4477,Config!$B$9:$B$29,0))="Contrato",IF(INDEX(Config!$E$9:$E$29,MATCH($B4477,Config!$B$9:$B$29,0))="","",INDEX(Config!$E$9:$E$29,MATCH($B4477,Config!$B$9:$B$29,0))),""),""))</f>
        <v/>
      </c>
      <c r="AI4477" s="19" t="str">
        <f>IF($B4477="","",IFERROR(INDEX(Config!$D$9:$D$29,MATCH($B4477,Config!$B$9:$B$29,0))&amp;"",""))</f>
        <v/>
      </c>
    </row>
    <row r="4478">
      <c r="X4478" s="20" t="str">
        <f>IF($B4478="","",IFERROR(IF(INDEX(Config!$D$9:$D$29,MATCH($B4478,Config!$B$9:$B$29,0))="Contrato",IF(INDEX(Config!$E$9:$E$29,MATCH($B4478,Config!$B$9:$B$29,0))="","",INDEX(Config!$E$9:$E$29,MATCH($B4478,Config!$B$9:$B$29,0))),""),""))</f>
        <v/>
      </c>
      <c r="AI4478" s="19" t="str">
        <f>IF($B4478="","",IFERROR(INDEX(Config!$D$9:$D$29,MATCH($B4478,Config!$B$9:$B$29,0))&amp;"",""))</f>
        <v/>
      </c>
    </row>
    <row r="4479">
      <c r="X4479" s="20" t="str">
        <f>IF($B4479="","",IFERROR(IF(INDEX(Config!$D$9:$D$29,MATCH($B4479,Config!$B$9:$B$29,0))="Contrato",IF(INDEX(Config!$E$9:$E$29,MATCH($B4479,Config!$B$9:$B$29,0))="","",INDEX(Config!$E$9:$E$29,MATCH($B4479,Config!$B$9:$B$29,0))),""),""))</f>
        <v/>
      </c>
      <c r="AI4479" s="19" t="str">
        <f>IF($B4479="","",IFERROR(INDEX(Config!$D$9:$D$29,MATCH($B4479,Config!$B$9:$B$29,0))&amp;"",""))</f>
        <v/>
      </c>
    </row>
    <row r="4480">
      <c r="X4480" s="20" t="str">
        <f>IF($B4480="","",IFERROR(IF(INDEX(Config!$D$9:$D$29,MATCH($B4480,Config!$B$9:$B$29,0))="Contrato",IF(INDEX(Config!$E$9:$E$29,MATCH($B4480,Config!$B$9:$B$29,0))="","",INDEX(Config!$E$9:$E$29,MATCH($B4480,Config!$B$9:$B$29,0))),""),""))</f>
        <v/>
      </c>
      <c r="AI4480" s="19" t="str">
        <f>IF($B4480="","",IFERROR(INDEX(Config!$D$9:$D$29,MATCH($B4480,Config!$B$9:$B$29,0))&amp;"",""))</f>
        <v/>
      </c>
    </row>
    <row r="4481">
      <c r="X4481" s="20" t="str">
        <f>IF($B4481="","",IFERROR(IF(INDEX(Config!$D$9:$D$29,MATCH($B4481,Config!$B$9:$B$29,0))="Contrato",IF(INDEX(Config!$E$9:$E$29,MATCH($B4481,Config!$B$9:$B$29,0))="","",INDEX(Config!$E$9:$E$29,MATCH($B4481,Config!$B$9:$B$29,0))),""),""))</f>
        <v/>
      </c>
      <c r="AI4481" s="19" t="str">
        <f>IF($B4481="","",IFERROR(INDEX(Config!$D$9:$D$29,MATCH($B4481,Config!$B$9:$B$29,0))&amp;"",""))</f>
        <v/>
      </c>
    </row>
    <row r="4482">
      <c r="X4482" s="20" t="str">
        <f>IF($B4482="","",IFERROR(IF(INDEX(Config!$D$9:$D$29,MATCH($B4482,Config!$B$9:$B$29,0))="Contrato",IF(INDEX(Config!$E$9:$E$29,MATCH($B4482,Config!$B$9:$B$29,0))="","",INDEX(Config!$E$9:$E$29,MATCH($B4482,Config!$B$9:$B$29,0))),""),""))</f>
        <v/>
      </c>
      <c r="AI4482" s="19" t="str">
        <f>IF($B4482="","",IFERROR(INDEX(Config!$D$9:$D$29,MATCH($B4482,Config!$B$9:$B$29,0))&amp;"",""))</f>
        <v/>
      </c>
    </row>
    <row r="4483">
      <c r="X4483" s="20" t="str">
        <f>IF($B4483="","",IFERROR(IF(INDEX(Config!$D$9:$D$29,MATCH($B4483,Config!$B$9:$B$29,0))="Contrato",IF(INDEX(Config!$E$9:$E$29,MATCH($B4483,Config!$B$9:$B$29,0))="","",INDEX(Config!$E$9:$E$29,MATCH($B4483,Config!$B$9:$B$29,0))),""),""))</f>
        <v/>
      </c>
      <c r="AI4483" s="19" t="str">
        <f>IF($B4483="","",IFERROR(INDEX(Config!$D$9:$D$29,MATCH($B4483,Config!$B$9:$B$29,0))&amp;"",""))</f>
        <v/>
      </c>
    </row>
    <row r="4484">
      <c r="X4484" s="20" t="str">
        <f>IF($B4484="","",IFERROR(IF(INDEX(Config!$D$9:$D$29,MATCH($B4484,Config!$B$9:$B$29,0))="Contrato",IF(INDEX(Config!$E$9:$E$29,MATCH($B4484,Config!$B$9:$B$29,0))="","",INDEX(Config!$E$9:$E$29,MATCH($B4484,Config!$B$9:$B$29,0))),""),""))</f>
        <v/>
      </c>
      <c r="AI4484" s="19" t="str">
        <f>IF($B4484="","",IFERROR(INDEX(Config!$D$9:$D$29,MATCH($B4484,Config!$B$9:$B$29,0))&amp;"",""))</f>
        <v/>
      </c>
    </row>
    <row r="4485">
      <c r="X4485" s="20" t="str">
        <f>IF($B4485="","",IFERROR(IF(INDEX(Config!$D$9:$D$29,MATCH($B4485,Config!$B$9:$B$29,0))="Contrato",IF(INDEX(Config!$E$9:$E$29,MATCH($B4485,Config!$B$9:$B$29,0))="","",INDEX(Config!$E$9:$E$29,MATCH($B4485,Config!$B$9:$B$29,0))),""),""))</f>
        <v/>
      </c>
      <c r="AI4485" s="19" t="str">
        <f>IF($B4485="","",IFERROR(INDEX(Config!$D$9:$D$29,MATCH($B4485,Config!$B$9:$B$29,0))&amp;"",""))</f>
        <v/>
      </c>
    </row>
    <row r="4486">
      <c r="X4486" s="20" t="str">
        <f>IF($B4486="","",IFERROR(IF(INDEX(Config!$D$9:$D$29,MATCH($B4486,Config!$B$9:$B$29,0))="Contrato",IF(INDEX(Config!$E$9:$E$29,MATCH($B4486,Config!$B$9:$B$29,0))="","",INDEX(Config!$E$9:$E$29,MATCH($B4486,Config!$B$9:$B$29,0))),""),""))</f>
        <v/>
      </c>
      <c r="AI4486" s="19" t="str">
        <f>IF($B4486="","",IFERROR(INDEX(Config!$D$9:$D$29,MATCH($B4486,Config!$B$9:$B$29,0))&amp;"",""))</f>
        <v/>
      </c>
    </row>
    <row r="4487">
      <c r="X4487" s="20" t="str">
        <f>IF($B4487="","",IFERROR(IF(INDEX(Config!$D$9:$D$29,MATCH($B4487,Config!$B$9:$B$29,0))="Contrato",IF(INDEX(Config!$E$9:$E$29,MATCH($B4487,Config!$B$9:$B$29,0))="","",INDEX(Config!$E$9:$E$29,MATCH($B4487,Config!$B$9:$B$29,0))),""),""))</f>
        <v/>
      </c>
      <c r="AI4487" s="19" t="str">
        <f>IF($B4487="","",IFERROR(INDEX(Config!$D$9:$D$29,MATCH($B4487,Config!$B$9:$B$29,0))&amp;"",""))</f>
        <v/>
      </c>
    </row>
    <row r="4488">
      <c r="X4488" s="20" t="str">
        <f>IF($B4488="","",IFERROR(IF(INDEX(Config!$D$9:$D$29,MATCH($B4488,Config!$B$9:$B$29,0))="Contrato",IF(INDEX(Config!$E$9:$E$29,MATCH($B4488,Config!$B$9:$B$29,0))="","",INDEX(Config!$E$9:$E$29,MATCH($B4488,Config!$B$9:$B$29,0))),""),""))</f>
        <v/>
      </c>
      <c r="AI4488" s="19" t="str">
        <f>IF($B4488="","",IFERROR(INDEX(Config!$D$9:$D$29,MATCH($B4488,Config!$B$9:$B$29,0))&amp;"",""))</f>
        <v/>
      </c>
    </row>
    <row r="4489">
      <c r="X4489" s="20" t="str">
        <f>IF($B4489="","",IFERROR(IF(INDEX(Config!$D$9:$D$29,MATCH($B4489,Config!$B$9:$B$29,0))="Contrato",IF(INDEX(Config!$E$9:$E$29,MATCH($B4489,Config!$B$9:$B$29,0))="","",INDEX(Config!$E$9:$E$29,MATCH($B4489,Config!$B$9:$B$29,0))),""),""))</f>
        <v/>
      </c>
      <c r="AI4489" s="19" t="str">
        <f>IF($B4489="","",IFERROR(INDEX(Config!$D$9:$D$29,MATCH($B4489,Config!$B$9:$B$29,0))&amp;"",""))</f>
        <v/>
      </c>
    </row>
    <row r="4490">
      <c r="X4490" s="20" t="str">
        <f>IF($B4490="","",IFERROR(IF(INDEX(Config!$D$9:$D$29,MATCH($B4490,Config!$B$9:$B$29,0))="Contrato",IF(INDEX(Config!$E$9:$E$29,MATCH($B4490,Config!$B$9:$B$29,0))="","",INDEX(Config!$E$9:$E$29,MATCH($B4490,Config!$B$9:$B$29,0))),""),""))</f>
        <v/>
      </c>
      <c r="AI4490" s="19" t="str">
        <f>IF($B4490="","",IFERROR(INDEX(Config!$D$9:$D$29,MATCH($B4490,Config!$B$9:$B$29,0))&amp;"",""))</f>
        <v/>
      </c>
    </row>
    <row r="4491">
      <c r="X4491" s="20" t="str">
        <f>IF($B4491="","",IFERROR(IF(INDEX(Config!$D$9:$D$29,MATCH($B4491,Config!$B$9:$B$29,0))="Contrato",IF(INDEX(Config!$E$9:$E$29,MATCH($B4491,Config!$B$9:$B$29,0))="","",INDEX(Config!$E$9:$E$29,MATCH($B4491,Config!$B$9:$B$29,0))),""),""))</f>
        <v/>
      </c>
      <c r="AI4491" s="19" t="str">
        <f>IF($B4491="","",IFERROR(INDEX(Config!$D$9:$D$29,MATCH($B4491,Config!$B$9:$B$29,0))&amp;"",""))</f>
        <v/>
      </c>
    </row>
    <row r="4492">
      <c r="X4492" s="20" t="str">
        <f>IF($B4492="","",IFERROR(IF(INDEX(Config!$D$9:$D$29,MATCH($B4492,Config!$B$9:$B$29,0))="Contrato",IF(INDEX(Config!$E$9:$E$29,MATCH($B4492,Config!$B$9:$B$29,0))="","",INDEX(Config!$E$9:$E$29,MATCH($B4492,Config!$B$9:$B$29,0))),""),""))</f>
        <v/>
      </c>
      <c r="AI4492" s="19" t="str">
        <f>IF($B4492="","",IFERROR(INDEX(Config!$D$9:$D$29,MATCH($B4492,Config!$B$9:$B$29,0))&amp;"",""))</f>
        <v/>
      </c>
    </row>
    <row r="4493">
      <c r="X4493" s="20" t="str">
        <f>IF($B4493="","",IFERROR(IF(INDEX(Config!$D$9:$D$29,MATCH($B4493,Config!$B$9:$B$29,0))="Contrato",IF(INDEX(Config!$E$9:$E$29,MATCH($B4493,Config!$B$9:$B$29,0))="","",INDEX(Config!$E$9:$E$29,MATCH($B4493,Config!$B$9:$B$29,0))),""),""))</f>
        <v/>
      </c>
      <c r="AI4493" s="19" t="str">
        <f>IF($B4493="","",IFERROR(INDEX(Config!$D$9:$D$29,MATCH($B4493,Config!$B$9:$B$29,0))&amp;"",""))</f>
        <v/>
      </c>
    </row>
    <row r="4494">
      <c r="X4494" s="20" t="str">
        <f>IF($B4494="","",IFERROR(IF(INDEX(Config!$D$9:$D$29,MATCH($B4494,Config!$B$9:$B$29,0))="Contrato",IF(INDEX(Config!$E$9:$E$29,MATCH($B4494,Config!$B$9:$B$29,0))="","",INDEX(Config!$E$9:$E$29,MATCH($B4494,Config!$B$9:$B$29,0))),""),""))</f>
        <v/>
      </c>
      <c r="AI4494" s="19" t="str">
        <f>IF($B4494="","",IFERROR(INDEX(Config!$D$9:$D$29,MATCH($B4494,Config!$B$9:$B$29,0))&amp;"",""))</f>
        <v/>
      </c>
    </row>
    <row r="4495">
      <c r="X4495" s="20" t="str">
        <f>IF($B4495="","",IFERROR(IF(INDEX(Config!$D$9:$D$29,MATCH($B4495,Config!$B$9:$B$29,0))="Contrato",IF(INDEX(Config!$E$9:$E$29,MATCH($B4495,Config!$B$9:$B$29,0))="","",INDEX(Config!$E$9:$E$29,MATCH($B4495,Config!$B$9:$B$29,0))),""),""))</f>
        <v/>
      </c>
      <c r="AI4495" s="19" t="str">
        <f>IF($B4495="","",IFERROR(INDEX(Config!$D$9:$D$29,MATCH($B4495,Config!$B$9:$B$29,0))&amp;"",""))</f>
        <v/>
      </c>
    </row>
    <row r="4496">
      <c r="X4496" s="20" t="str">
        <f>IF($B4496="","",IFERROR(IF(INDEX(Config!$D$9:$D$29,MATCH($B4496,Config!$B$9:$B$29,0))="Contrato",IF(INDEX(Config!$E$9:$E$29,MATCH($B4496,Config!$B$9:$B$29,0))="","",INDEX(Config!$E$9:$E$29,MATCH($B4496,Config!$B$9:$B$29,0))),""),""))</f>
        <v/>
      </c>
      <c r="AI4496" s="19" t="str">
        <f>IF($B4496="","",IFERROR(INDEX(Config!$D$9:$D$29,MATCH($B4496,Config!$B$9:$B$29,0))&amp;"",""))</f>
        <v/>
      </c>
    </row>
    <row r="4497">
      <c r="X4497" s="20" t="str">
        <f>IF($B4497="","",IFERROR(IF(INDEX(Config!$D$9:$D$29,MATCH($B4497,Config!$B$9:$B$29,0))="Contrato",IF(INDEX(Config!$E$9:$E$29,MATCH($B4497,Config!$B$9:$B$29,0))="","",INDEX(Config!$E$9:$E$29,MATCH($B4497,Config!$B$9:$B$29,0))),""),""))</f>
        <v/>
      </c>
      <c r="AI4497" s="19" t="str">
        <f>IF($B4497="","",IFERROR(INDEX(Config!$D$9:$D$29,MATCH($B4497,Config!$B$9:$B$29,0))&amp;"",""))</f>
        <v/>
      </c>
    </row>
    <row r="4498">
      <c r="X4498" s="20" t="str">
        <f>IF($B4498="","",IFERROR(IF(INDEX(Config!$D$9:$D$29,MATCH($B4498,Config!$B$9:$B$29,0))="Contrato",IF(INDEX(Config!$E$9:$E$29,MATCH($B4498,Config!$B$9:$B$29,0))="","",INDEX(Config!$E$9:$E$29,MATCH($B4498,Config!$B$9:$B$29,0))),""),""))</f>
        <v/>
      </c>
      <c r="AI4498" s="19" t="str">
        <f>IF($B4498="","",IFERROR(INDEX(Config!$D$9:$D$29,MATCH($B4498,Config!$B$9:$B$29,0))&amp;"",""))</f>
        <v/>
      </c>
    </row>
    <row r="4499">
      <c r="X4499" s="20" t="str">
        <f>IF($B4499="","",IFERROR(IF(INDEX(Config!$D$9:$D$29,MATCH($B4499,Config!$B$9:$B$29,0))="Contrato",IF(INDEX(Config!$E$9:$E$29,MATCH($B4499,Config!$B$9:$B$29,0))="","",INDEX(Config!$E$9:$E$29,MATCH($B4499,Config!$B$9:$B$29,0))),""),""))</f>
        <v/>
      </c>
      <c r="AI4499" s="19" t="str">
        <f>IF($B4499="","",IFERROR(INDEX(Config!$D$9:$D$29,MATCH($B4499,Config!$B$9:$B$29,0))&amp;"",""))</f>
        <v/>
      </c>
    </row>
    <row r="4500">
      <c r="X4500" s="20" t="str">
        <f>IF($B4500="","",IFERROR(IF(INDEX(Config!$D$9:$D$29,MATCH($B4500,Config!$B$9:$B$29,0))="Contrato",IF(INDEX(Config!$E$9:$E$29,MATCH($B4500,Config!$B$9:$B$29,0))="","",INDEX(Config!$E$9:$E$29,MATCH($B4500,Config!$B$9:$B$29,0))),""),""))</f>
        <v/>
      </c>
      <c r="AI4500" s="19" t="str">
        <f>IF($B4500="","",IFERROR(INDEX(Config!$D$9:$D$29,MATCH($B4500,Config!$B$9:$B$29,0))&amp;"",""))</f>
        <v/>
      </c>
    </row>
    <row r="4501">
      <c r="X4501" s="20" t="str">
        <f>IF($B4501="","",IFERROR(IF(INDEX(Config!$D$9:$D$29,MATCH($B4501,Config!$B$9:$B$29,0))="Contrato",IF(INDEX(Config!$E$9:$E$29,MATCH($B4501,Config!$B$9:$B$29,0))="","",INDEX(Config!$E$9:$E$29,MATCH($B4501,Config!$B$9:$B$29,0))),""),""))</f>
        <v/>
      </c>
      <c r="AI4501" s="19" t="str">
        <f>IF($B4501="","",IFERROR(INDEX(Config!$D$9:$D$29,MATCH($B4501,Config!$B$9:$B$29,0))&amp;"",""))</f>
        <v/>
      </c>
    </row>
    <row r="4502">
      <c r="X4502" s="20" t="str">
        <f>IF($B4502="","",IFERROR(IF(INDEX(Config!$D$9:$D$29,MATCH($B4502,Config!$B$9:$B$29,0))="Contrato",IF(INDEX(Config!$E$9:$E$29,MATCH($B4502,Config!$B$9:$B$29,0))="","",INDEX(Config!$E$9:$E$29,MATCH($B4502,Config!$B$9:$B$29,0))),""),""))</f>
        <v/>
      </c>
      <c r="AI4502" s="19" t="str">
        <f>IF($B4502="","",IFERROR(INDEX(Config!$D$9:$D$29,MATCH($B4502,Config!$B$9:$B$29,0))&amp;"",""))</f>
        <v/>
      </c>
    </row>
    <row r="4503">
      <c r="X4503" s="20" t="str">
        <f>IF($B4503="","",IFERROR(IF(INDEX(Config!$D$9:$D$29,MATCH($B4503,Config!$B$9:$B$29,0))="Contrato",IF(INDEX(Config!$E$9:$E$29,MATCH($B4503,Config!$B$9:$B$29,0))="","",INDEX(Config!$E$9:$E$29,MATCH($B4503,Config!$B$9:$B$29,0))),""),""))</f>
        <v/>
      </c>
      <c r="AI4503" s="19" t="str">
        <f>IF($B4503="","",IFERROR(INDEX(Config!$D$9:$D$29,MATCH($B4503,Config!$B$9:$B$29,0))&amp;"",""))</f>
        <v/>
      </c>
    </row>
    <row r="4504">
      <c r="X4504" s="20" t="str">
        <f>IF($B4504="","",IFERROR(IF(INDEX(Config!$D$9:$D$29,MATCH($B4504,Config!$B$9:$B$29,0))="Contrato",IF(INDEX(Config!$E$9:$E$29,MATCH($B4504,Config!$B$9:$B$29,0))="","",INDEX(Config!$E$9:$E$29,MATCH($B4504,Config!$B$9:$B$29,0))),""),""))</f>
        <v/>
      </c>
      <c r="AI4504" s="19" t="str">
        <f>IF($B4504="","",IFERROR(INDEX(Config!$D$9:$D$29,MATCH($B4504,Config!$B$9:$B$29,0))&amp;"",""))</f>
        <v/>
      </c>
    </row>
    <row r="4505">
      <c r="X4505" s="20" t="str">
        <f>IF($B4505="","",IFERROR(IF(INDEX(Config!$D$9:$D$29,MATCH($B4505,Config!$B$9:$B$29,0))="Contrato",IF(INDEX(Config!$E$9:$E$29,MATCH($B4505,Config!$B$9:$B$29,0))="","",INDEX(Config!$E$9:$E$29,MATCH($B4505,Config!$B$9:$B$29,0))),""),""))</f>
        <v/>
      </c>
      <c r="AI4505" s="19" t="str">
        <f>IF($B4505="","",IFERROR(INDEX(Config!$D$9:$D$29,MATCH($B4505,Config!$B$9:$B$29,0))&amp;"",""))</f>
        <v/>
      </c>
    </row>
    <row r="4506">
      <c r="X4506" s="20" t="str">
        <f>IF($B4506="","",IFERROR(IF(INDEX(Config!$D$9:$D$29,MATCH($B4506,Config!$B$9:$B$29,0))="Contrato",IF(INDEX(Config!$E$9:$E$29,MATCH($B4506,Config!$B$9:$B$29,0))="","",INDEX(Config!$E$9:$E$29,MATCH($B4506,Config!$B$9:$B$29,0))),""),""))</f>
        <v/>
      </c>
      <c r="AI4506" s="19" t="str">
        <f>IF($B4506="","",IFERROR(INDEX(Config!$D$9:$D$29,MATCH($B4506,Config!$B$9:$B$29,0))&amp;"",""))</f>
        <v/>
      </c>
    </row>
    <row r="4507">
      <c r="X4507" s="20" t="str">
        <f>IF($B4507="","",IFERROR(IF(INDEX(Config!$D$9:$D$29,MATCH($B4507,Config!$B$9:$B$29,0))="Contrato",IF(INDEX(Config!$E$9:$E$29,MATCH($B4507,Config!$B$9:$B$29,0))="","",INDEX(Config!$E$9:$E$29,MATCH($B4507,Config!$B$9:$B$29,0))),""),""))</f>
        <v/>
      </c>
      <c r="AI4507" s="19" t="str">
        <f>IF($B4507="","",IFERROR(INDEX(Config!$D$9:$D$29,MATCH($B4507,Config!$B$9:$B$29,0))&amp;"",""))</f>
        <v/>
      </c>
    </row>
    <row r="4508">
      <c r="X4508" s="20" t="str">
        <f>IF($B4508="","",IFERROR(IF(INDEX(Config!$D$9:$D$29,MATCH($B4508,Config!$B$9:$B$29,0))="Contrato",IF(INDEX(Config!$E$9:$E$29,MATCH($B4508,Config!$B$9:$B$29,0))="","",INDEX(Config!$E$9:$E$29,MATCH($B4508,Config!$B$9:$B$29,0))),""),""))</f>
        <v/>
      </c>
      <c r="AI4508" s="19" t="str">
        <f>IF($B4508="","",IFERROR(INDEX(Config!$D$9:$D$29,MATCH($B4508,Config!$B$9:$B$29,0))&amp;"",""))</f>
        <v/>
      </c>
    </row>
    <row r="4509">
      <c r="X4509" s="20" t="str">
        <f>IF($B4509="","",IFERROR(IF(INDEX(Config!$D$9:$D$29,MATCH($B4509,Config!$B$9:$B$29,0))="Contrato",IF(INDEX(Config!$E$9:$E$29,MATCH($B4509,Config!$B$9:$B$29,0))="","",INDEX(Config!$E$9:$E$29,MATCH($B4509,Config!$B$9:$B$29,0))),""),""))</f>
        <v/>
      </c>
      <c r="AI4509" s="19" t="str">
        <f>IF($B4509="","",IFERROR(INDEX(Config!$D$9:$D$29,MATCH($B4509,Config!$B$9:$B$29,0))&amp;"",""))</f>
        <v/>
      </c>
    </row>
    <row r="4510">
      <c r="X4510" s="20" t="str">
        <f>IF($B4510="","",IFERROR(IF(INDEX(Config!$D$9:$D$29,MATCH($B4510,Config!$B$9:$B$29,0))="Contrato",IF(INDEX(Config!$E$9:$E$29,MATCH($B4510,Config!$B$9:$B$29,0))="","",INDEX(Config!$E$9:$E$29,MATCH($B4510,Config!$B$9:$B$29,0))),""),""))</f>
        <v/>
      </c>
      <c r="AI4510" s="19" t="str">
        <f>IF($B4510="","",IFERROR(INDEX(Config!$D$9:$D$29,MATCH($B4510,Config!$B$9:$B$29,0))&amp;"",""))</f>
        <v/>
      </c>
    </row>
    <row r="4511">
      <c r="X4511" s="20" t="str">
        <f>IF($B4511="","",IFERROR(IF(INDEX(Config!$D$9:$D$29,MATCH($B4511,Config!$B$9:$B$29,0))="Contrato",IF(INDEX(Config!$E$9:$E$29,MATCH($B4511,Config!$B$9:$B$29,0))="","",INDEX(Config!$E$9:$E$29,MATCH($B4511,Config!$B$9:$B$29,0))),""),""))</f>
        <v/>
      </c>
      <c r="AI4511" s="19" t="str">
        <f>IF($B4511="","",IFERROR(INDEX(Config!$D$9:$D$29,MATCH($B4511,Config!$B$9:$B$29,0))&amp;"",""))</f>
        <v/>
      </c>
    </row>
    <row r="4512">
      <c r="X4512" s="20" t="str">
        <f>IF($B4512="","",IFERROR(IF(INDEX(Config!$D$9:$D$29,MATCH($B4512,Config!$B$9:$B$29,0))="Contrato",IF(INDEX(Config!$E$9:$E$29,MATCH($B4512,Config!$B$9:$B$29,0))="","",INDEX(Config!$E$9:$E$29,MATCH($B4512,Config!$B$9:$B$29,0))),""),""))</f>
        <v/>
      </c>
      <c r="AI4512" s="19" t="str">
        <f>IF($B4512="","",IFERROR(INDEX(Config!$D$9:$D$29,MATCH($B4512,Config!$B$9:$B$29,0))&amp;"",""))</f>
        <v/>
      </c>
    </row>
    <row r="4513">
      <c r="X4513" s="20" t="str">
        <f>IF($B4513="","",IFERROR(IF(INDEX(Config!$D$9:$D$29,MATCH($B4513,Config!$B$9:$B$29,0))="Contrato",IF(INDEX(Config!$E$9:$E$29,MATCH($B4513,Config!$B$9:$B$29,0))="","",INDEX(Config!$E$9:$E$29,MATCH($B4513,Config!$B$9:$B$29,0))),""),""))</f>
        <v/>
      </c>
      <c r="AI4513" s="19" t="str">
        <f>IF($B4513="","",IFERROR(INDEX(Config!$D$9:$D$29,MATCH($B4513,Config!$B$9:$B$29,0))&amp;"",""))</f>
        <v/>
      </c>
    </row>
    <row r="4514">
      <c r="X4514" s="20" t="str">
        <f>IF($B4514="","",IFERROR(IF(INDEX(Config!$D$9:$D$29,MATCH($B4514,Config!$B$9:$B$29,0))="Contrato",IF(INDEX(Config!$E$9:$E$29,MATCH($B4514,Config!$B$9:$B$29,0))="","",INDEX(Config!$E$9:$E$29,MATCH($B4514,Config!$B$9:$B$29,0))),""),""))</f>
        <v/>
      </c>
      <c r="AI4514" s="19" t="str">
        <f>IF($B4514="","",IFERROR(INDEX(Config!$D$9:$D$29,MATCH($B4514,Config!$B$9:$B$29,0))&amp;"",""))</f>
        <v/>
      </c>
    </row>
    <row r="4515">
      <c r="X4515" s="20" t="str">
        <f>IF($B4515="","",IFERROR(IF(INDEX(Config!$D$9:$D$29,MATCH($B4515,Config!$B$9:$B$29,0))="Contrato",IF(INDEX(Config!$E$9:$E$29,MATCH($B4515,Config!$B$9:$B$29,0))="","",INDEX(Config!$E$9:$E$29,MATCH($B4515,Config!$B$9:$B$29,0))),""),""))</f>
        <v/>
      </c>
      <c r="AI4515" s="19" t="str">
        <f>IF($B4515="","",IFERROR(INDEX(Config!$D$9:$D$29,MATCH($B4515,Config!$B$9:$B$29,0))&amp;"",""))</f>
        <v/>
      </c>
    </row>
    <row r="4516">
      <c r="X4516" s="20" t="str">
        <f>IF($B4516="","",IFERROR(IF(INDEX(Config!$D$9:$D$29,MATCH($B4516,Config!$B$9:$B$29,0))="Contrato",IF(INDEX(Config!$E$9:$E$29,MATCH($B4516,Config!$B$9:$B$29,0))="","",INDEX(Config!$E$9:$E$29,MATCH($B4516,Config!$B$9:$B$29,0))),""),""))</f>
        <v/>
      </c>
      <c r="AI4516" s="19" t="str">
        <f>IF($B4516="","",IFERROR(INDEX(Config!$D$9:$D$29,MATCH($B4516,Config!$B$9:$B$29,0))&amp;"",""))</f>
        <v/>
      </c>
    </row>
    <row r="4517">
      <c r="X4517" s="20" t="str">
        <f>IF($B4517="","",IFERROR(IF(INDEX(Config!$D$9:$D$29,MATCH($B4517,Config!$B$9:$B$29,0))="Contrato",IF(INDEX(Config!$E$9:$E$29,MATCH($B4517,Config!$B$9:$B$29,0))="","",INDEX(Config!$E$9:$E$29,MATCH($B4517,Config!$B$9:$B$29,0))),""),""))</f>
        <v/>
      </c>
      <c r="AI4517" s="19" t="str">
        <f>IF($B4517="","",IFERROR(INDEX(Config!$D$9:$D$29,MATCH($B4517,Config!$B$9:$B$29,0))&amp;"",""))</f>
        <v/>
      </c>
    </row>
    <row r="4518">
      <c r="X4518" s="20" t="str">
        <f>IF($B4518="","",IFERROR(IF(INDEX(Config!$D$9:$D$29,MATCH($B4518,Config!$B$9:$B$29,0))="Contrato",IF(INDEX(Config!$E$9:$E$29,MATCH($B4518,Config!$B$9:$B$29,0))="","",INDEX(Config!$E$9:$E$29,MATCH($B4518,Config!$B$9:$B$29,0))),""),""))</f>
        <v/>
      </c>
      <c r="AI4518" s="19" t="str">
        <f>IF($B4518="","",IFERROR(INDEX(Config!$D$9:$D$29,MATCH($B4518,Config!$B$9:$B$29,0))&amp;"",""))</f>
        <v/>
      </c>
    </row>
    <row r="4519">
      <c r="X4519" s="20" t="str">
        <f>IF($B4519="","",IFERROR(IF(INDEX(Config!$D$9:$D$29,MATCH($B4519,Config!$B$9:$B$29,0))="Contrato",IF(INDEX(Config!$E$9:$E$29,MATCH($B4519,Config!$B$9:$B$29,0))="","",INDEX(Config!$E$9:$E$29,MATCH($B4519,Config!$B$9:$B$29,0))),""),""))</f>
        <v/>
      </c>
      <c r="AI4519" s="19" t="str">
        <f>IF($B4519="","",IFERROR(INDEX(Config!$D$9:$D$29,MATCH($B4519,Config!$B$9:$B$29,0))&amp;"",""))</f>
        <v/>
      </c>
    </row>
    <row r="4520">
      <c r="X4520" s="20" t="str">
        <f>IF($B4520="","",IFERROR(IF(INDEX(Config!$D$9:$D$29,MATCH($B4520,Config!$B$9:$B$29,0))="Contrato",IF(INDEX(Config!$E$9:$E$29,MATCH($B4520,Config!$B$9:$B$29,0))="","",INDEX(Config!$E$9:$E$29,MATCH($B4520,Config!$B$9:$B$29,0))),""),""))</f>
        <v/>
      </c>
      <c r="AI4520" s="19" t="str">
        <f>IF($B4520="","",IFERROR(INDEX(Config!$D$9:$D$29,MATCH($B4520,Config!$B$9:$B$29,0))&amp;"",""))</f>
        <v/>
      </c>
    </row>
    <row r="4521">
      <c r="X4521" s="20" t="str">
        <f>IF($B4521="","",IFERROR(IF(INDEX(Config!$D$9:$D$29,MATCH($B4521,Config!$B$9:$B$29,0))="Contrato",IF(INDEX(Config!$E$9:$E$29,MATCH($B4521,Config!$B$9:$B$29,0))="","",INDEX(Config!$E$9:$E$29,MATCH($B4521,Config!$B$9:$B$29,0))),""),""))</f>
        <v/>
      </c>
      <c r="AI4521" s="19" t="str">
        <f>IF($B4521="","",IFERROR(INDEX(Config!$D$9:$D$29,MATCH($B4521,Config!$B$9:$B$29,0))&amp;"",""))</f>
        <v/>
      </c>
    </row>
    <row r="4522">
      <c r="X4522" s="20" t="str">
        <f>IF($B4522="","",IFERROR(IF(INDEX(Config!$D$9:$D$29,MATCH($B4522,Config!$B$9:$B$29,0))="Contrato",IF(INDEX(Config!$E$9:$E$29,MATCH($B4522,Config!$B$9:$B$29,0))="","",INDEX(Config!$E$9:$E$29,MATCH($B4522,Config!$B$9:$B$29,0))),""),""))</f>
        <v/>
      </c>
      <c r="AI4522" s="19" t="str">
        <f>IF($B4522="","",IFERROR(INDEX(Config!$D$9:$D$29,MATCH($B4522,Config!$B$9:$B$29,0))&amp;"",""))</f>
        <v/>
      </c>
    </row>
    <row r="4523">
      <c r="X4523" s="20" t="str">
        <f>IF($B4523="","",IFERROR(IF(INDEX(Config!$D$9:$D$29,MATCH($B4523,Config!$B$9:$B$29,0))="Contrato",IF(INDEX(Config!$E$9:$E$29,MATCH($B4523,Config!$B$9:$B$29,0))="","",INDEX(Config!$E$9:$E$29,MATCH($B4523,Config!$B$9:$B$29,0))),""),""))</f>
        <v/>
      </c>
      <c r="AI4523" s="19" t="str">
        <f>IF($B4523="","",IFERROR(INDEX(Config!$D$9:$D$29,MATCH($B4523,Config!$B$9:$B$29,0))&amp;"",""))</f>
        <v/>
      </c>
    </row>
    <row r="4524">
      <c r="X4524" s="20" t="str">
        <f>IF($B4524="","",IFERROR(IF(INDEX(Config!$D$9:$D$29,MATCH($B4524,Config!$B$9:$B$29,0))="Contrato",IF(INDEX(Config!$E$9:$E$29,MATCH($B4524,Config!$B$9:$B$29,0))="","",INDEX(Config!$E$9:$E$29,MATCH($B4524,Config!$B$9:$B$29,0))),""),""))</f>
        <v/>
      </c>
      <c r="AI4524" s="19" t="str">
        <f>IF($B4524="","",IFERROR(INDEX(Config!$D$9:$D$29,MATCH($B4524,Config!$B$9:$B$29,0))&amp;"",""))</f>
        <v/>
      </c>
    </row>
    <row r="4525">
      <c r="X4525" s="20" t="str">
        <f>IF($B4525="","",IFERROR(IF(INDEX(Config!$D$9:$D$29,MATCH($B4525,Config!$B$9:$B$29,0))="Contrato",IF(INDEX(Config!$E$9:$E$29,MATCH($B4525,Config!$B$9:$B$29,0))="","",INDEX(Config!$E$9:$E$29,MATCH($B4525,Config!$B$9:$B$29,0))),""),""))</f>
        <v/>
      </c>
      <c r="AI4525" s="19" t="str">
        <f>IF($B4525="","",IFERROR(INDEX(Config!$D$9:$D$29,MATCH($B4525,Config!$B$9:$B$29,0))&amp;"",""))</f>
        <v/>
      </c>
    </row>
    <row r="4526">
      <c r="X4526" s="20" t="str">
        <f>IF($B4526="","",IFERROR(IF(INDEX(Config!$D$9:$D$29,MATCH($B4526,Config!$B$9:$B$29,0))="Contrato",IF(INDEX(Config!$E$9:$E$29,MATCH($B4526,Config!$B$9:$B$29,0))="","",INDEX(Config!$E$9:$E$29,MATCH($B4526,Config!$B$9:$B$29,0))),""),""))</f>
        <v/>
      </c>
      <c r="AI4526" s="19" t="str">
        <f>IF($B4526="","",IFERROR(INDEX(Config!$D$9:$D$29,MATCH($B4526,Config!$B$9:$B$29,0))&amp;"",""))</f>
        <v/>
      </c>
    </row>
    <row r="4527">
      <c r="X4527" s="20" t="str">
        <f>IF($B4527="","",IFERROR(IF(INDEX(Config!$D$9:$D$29,MATCH($B4527,Config!$B$9:$B$29,0))="Contrato",IF(INDEX(Config!$E$9:$E$29,MATCH($B4527,Config!$B$9:$B$29,0))="","",INDEX(Config!$E$9:$E$29,MATCH($B4527,Config!$B$9:$B$29,0))),""),""))</f>
        <v/>
      </c>
      <c r="AI4527" s="19" t="str">
        <f>IF($B4527="","",IFERROR(INDEX(Config!$D$9:$D$29,MATCH($B4527,Config!$B$9:$B$29,0))&amp;"",""))</f>
        <v/>
      </c>
    </row>
    <row r="4528">
      <c r="X4528" s="20" t="str">
        <f>IF($B4528="","",IFERROR(IF(INDEX(Config!$D$9:$D$29,MATCH($B4528,Config!$B$9:$B$29,0))="Contrato",IF(INDEX(Config!$E$9:$E$29,MATCH($B4528,Config!$B$9:$B$29,0))="","",INDEX(Config!$E$9:$E$29,MATCH($B4528,Config!$B$9:$B$29,0))),""),""))</f>
        <v/>
      </c>
      <c r="AI4528" s="19" t="str">
        <f>IF($B4528="","",IFERROR(INDEX(Config!$D$9:$D$29,MATCH($B4528,Config!$B$9:$B$29,0))&amp;"",""))</f>
        <v/>
      </c>
    </row>
    <row r="4529">
      <c r="X4529" s="20" t="str">
        <f>IF($B4529="","",IFERROR(IF(INDEX(Config!$D$9:$D$29,MATCH($B4529,Config!$B$9:$B$29,0))="Contrato",IF(INDEX(Config!$E$9:$E$29,MATCH($B4529,Config!$B$9:$B$29,0))="","",INDEX(Config!$E$9:$E$29,MATCH($B4529,Config!$B$9:$B$29,0))),""),""))</f>
        <v/>
      </c>
      <c r="AI4529" s="19" t="str">
        <f>IF($B4529="","",IFERROR(INDEX(Config!$D$9:$D$29,MATCH($B4529,Config!$B$9:$B$29,0))&amp;"",""))</f>
        <v/>
      </c>
    </row>
    <row r="4530">
      <c r="X4530" s="20" t="str">
        <f>IF($B4530="","",IFERROR(IF(INDEX(Config!$D$9:$D$29,MATCH($B4530,Config!$B$9:$B$29,0))="Contrato",IF(INDEX(Config!$E$9:$E$29,MATCH($B4530,Config!$B$9:$B$29,0))="","",INDEX(Config!$E$9:$E$29,MATCH($B4530,Config!$B$9:$B$29,0))),""),""))</f>
        <v/>
      </c>
      <c r="AI4530" s="19" t="str">
        <f>IF($B4530="","",IFERROR(INDEX(Config!$D$9:$D$29,MATCH($B4530,Config!$B$9:$B$29,0))&amp;"",""))</f>
        <v/>
      </c>
    </row>
    <row r="4531">
      <c r="X4531" s="20" t="str">
        <f>IF($B4531="","",IFERROR(IF(INDEX(Config!$D$9:$D$29,MATCH($B4531,Config!$B$9:$B$29,0))="Contrato",IF(INDEX(Config!$E$9:$E$29,MATCH($B4531,Config!$B$9:$B$29,0))="","",INDEX(Config!$E$9:$E$29,MATCH($B4531,Config!$B$9:$B$29,0))),""),""))</f>
        <v/>
      </c>
      <c r="AI4531" s="19" t="str">
        <f>IF($B4531="","",IFERROR(INDEX(Config!$D$9:$D$29,MATCH($B4531,Config!$B$9:$B$29,0))&amp;"",""))</f>
        <v/>
      </c>
    </row>
    <row r="4532">
      <c r="X4532" s="20" t="str">
        <f>IF($B4532="","",IFERROR(IF(INDEX(Config!$D$9:$D$29,MATCH($B4532,Config!$B$9:$B$29,0))="Contrato",IF(INDEX(Config!$E$9:$E$29,MATCH($B4532,Config!$B$9:$B$29,0))="","",INDEX(Config!$E$9:$E$29,MATCH($B4532,Config!$B$9:$B$29,0))),""),""))</f>
        <v/>
      </c>
      <c r="AI4532" s="19" t="str">
        <f>IF($B4532="","",IFERROR(INDEX(Config!$D$9:$D$29,MATCH($B4532,Config!$B$9:$B$29,0))&amp;"",""))</f>
        <v/>
      </c>
    </row>
    <row r="4533">
      <c r="X4533" s="20" t="str">
        <f>IF($B4533="","",IFERROR(IF(INDEX(Config!$D$9:$D$29,MATCH($B4533,Config!$B$9:$B$29,0))="Contrato",IF(INDEX(Config!$E$9:$E$29,MATCH($B4533,Config!$B$9:$B$29,0))="","",INDEX(Config!$E$9:$E$29,MATCH($B4533,Config!$B$9:$B$29,0))),""),""))</f>
        <v/>
      </c>
      <c r="AI4533" s="19" t="str">
        <f>IF($B4533="","",IFERROR(INDEX(Config!$D$9:$D$29,MATCH($B4533,Config!$B$9:$B$29,0))&amp;"",""))</f>
        <v/>
      </c>
    </row>
    <row r="4534">
      <c r="X4534" s="20" t="str">
        <f>IF($B4534="","",IFERROR(IF(INDEX(Config!$D$9:$D$29,MATCH($B4534,Config!$B$9:$B$29,0))="Contrato",IF(INDEX(Config!$E$9:$E$29,MATCH($B4534,Config!$B$9:$B$29,0))="","",INDEX(Config!$E$9:$E$29,MATCH($B4534,Config!$B$9:$B$29,0))),""),""))</f>
        <v/>
      </c>
      <c r="AI4534" s="19" t="str">
        <f>IF($B4534="","",IFERROR(INDEX(Config!$D$9:$D$29,MATCH($B4534,Config!$B$9:$B$29,0))&amp;"",""))</f>
        <v/>
      </c>
    </row>
    <row r="4535">
      <c r="X4535" s="20" t="str">
        <f>IF($B4535="","",IFERROR(IF(INDEX(Config!$D$9:$D$29,MATCH($B4535,Config!$B$9:$B$29,0))="Contrato",IF(INDEX(Config!$E$9:$E$29,MATCH($B4535,Config!$B$9:$B$29,0))="","",INDEX(Config!$E$9:$E$29,MATCH($B4535,Config!$B$9:$B$29,0))),""),""))</f>
        <v/>
      </c>
      <c r="AI4535" s="19" t="str">
        <f>IF($B4535="","",IFERROR(INDEX(Config!$D$9:$D$29,MATCH($B4535,Config!$B$9:$B$29,0))&amp;"",""))</f>
        <v/>
      </c>
    </row>
    <row r="4536">
      <c r="X4536" s="20" t="str">
        <f>IF($B4536="","",IFERROR(IF(INDEX(Config!$D$9:$D$29,MATCH($B4536,Config!$B$9:$B$29,0))="Contrato",IF(INDEX(Config!$E$9:$E$29,MATCH($B4536,Config!$B$9:$B$29,0))="","",INDEX(Config!$E$9:$E$29,MATCH($B4536,Config!$B$9:$B$29,0))),""),""))</f>
        <v/>
      </c>
      <c r="AI4536" s="19" t="str">
        <f>IF($B4536="","",IFERROR(INDEX(Config!$D$9:$D$29,MATCH($B4536,Config!$B$9:$B$29,0))&amp;"",""))</f>
        <v/>
      </c>
    </row>
    <row r="4537">
      <c r="X4537" s="20" t="str">
        <f>IF($B4537="","",IFERROR(IF(INDEX(Config!$D$9:$D$29,MATCH($B4537,Config!$B$9:$B$29,0))="Contrato",IF(INDEX(Config!$E$9:$E$29,MATCH($B4537,Config!$B$9:$B$29,0))="","",INDEX(Config!$E$9:$E$29,MATCH($B4537,Config!$B$9:$B$29,0))),""),""))</f>
        <v/>
      </c>
      <c r="AI4537" s="19" t="str">
        <f>IF($B4537="","",IFERROR(INDEX(Config!$D$9:$D$29,MATCH($B4537,Config!$B$9:$B$29,0))&amp;"",""))</f>
        <v/>
      </c>
    </row>
    <row r="4538">
      <c r="X4538" s="20" t="str">
        <f>IF($B4538="","",IFERROR(IF(INDEX(Config!$D$9:$D$29,MATCH($B4538,Config!$B$9:$B$29,0))="Contrato",IF(INDEX(Config!$E$9:$E$29,MATCH($B4538,Config!$B$9:$B$29,0))="","",INDEX(Config!$E$9:$E$29,MATCH($B4538,Config!$B$9:$B$29,0))),""),""))</f>
        <v/>
      </c>
      <c r="AI4538" s="19" t="str">
        <f>IF($B4538="","",IFERROR(INDEX(Config!$D$9:$D$29,MATCH($B4538,Config!$B$9:$B$29,0))&amp;"",""))</f>
        <v/>
      </c>
    </row>
    <row r="4539">
      <c r="X4539" s="20" t="str">
        <f>IF($B4539="","",IFERROR(IF(INDEX(Config!$D$9:$D$29,MATCH($B4539,Config!$B$9:$B$29,0))="Contrato",IF(INDEX(Config!$E$9:$E$29,MATCH($B4539,Config!$B$9:$B$29,0))="","",INDEX(Config!$E$9:$E$29,MATCH($B4539,Config!$B$9:$B$29,0))),""),""))</f>
        <v/>
      </c>
      <c r="AI4539" s="19" t="str">
        <f>IF($B4539="","",IFERROR(INDEX(Config!$D$9:$D$29,MATCH($B4539,Config!$B$9:$B$29,0))&amp;"",""))</f>
        <v/>
      </c>
    </row>
    <row r="4540">
      <c r="X4540" s="20" t="str">
        <f>IF($B4540="","",IFERROR(IF(INDEX(Config!$D$9:$D$29,MATCH($B4540,Config!$B$9:$B$29,0))="Contrato",IF(INDEX(Config!$E$9:$E$29,MATCH($B4540,Config!$B$9:$B$29,0))="","",INDEX(Config!$E$9:$E$29,MATCH($B4540,Config!$B$9:$B$29,0))),""),""))</f>
        <v/>
      </c>
      <c r="AI4540" s="19" t="str">
        <f>IF($B4540="","",IFERROR(INDEX(Config!$D$9:$D$29,MATCH($B4540,Config!$B$9:$B$29,0))&amp;"",""))</f>
        <v/>
      </c>
    </row>
    <row r="4541">
      <c r="X4541" s="20" t="str">
        <f>IF($B4541="","",IFERROR(IF(INDEX(Config!$D$9:$D$29,MATCH($B4541,Config!$B$9:$B$29,0))="Contrato",IF(INDEX(Config!$E$9:$E$29,MATCH($B4541,Config!$B$9:$B$29,0))="","",INDEX(Config!$E$9:$E$29,MATCH($B4541,Config!$B$9:$B$29,0))),""),""))</f>
        <v/>
      </c>
      <c r="AI4541" s="19" t="str">
        <f>IF($B4541="","",IFERROR(INDEX(Config!$D$9:$D$29,MATCH($B4541,Config!$B$9:$B$29,0))&amp;"",""))</f>
        <v/>
      </c>
    </row>
    <row r="4542">
      <c r="X4542" s="20" t="str">
        <f>IF($B4542="","",IFERROR(IF(INDEX(Config!$D$9:$D$29,MATCH($B4542,Config!$B$9:$B$29,0))="Contrato",IF(INDEX(Config!$E$9:$E$29,MATCH($B4542,Config!$B$9:$B$29,0))="","",INDEX(Config!$E$9:$E$29,MATCH($B4542,Config!$B$9:$B$29,0))),""),""))</f>
        <v/>
      </c>
      <c r="AI4542" s="19" t="str">
        <f>IF($B4542="","",IFERROR(INDEX(Config!$D$9:$D$29,MATCH($B4542,Config!$B$9:$B$29,0))&amp;"",""))</f>
        <v/>
      </c>
    </row>
    <row r="4543">
      <c r="X4543" s="20" t="str">
        <f>IF($B4543="","",IFERROR(IF(INDEX(Config!$D$9:$D$29,MATCH($B4543,Config!$B$9:$B$29,0))="Contrato",IF(INDEX(Config!$E$9:$E$29,MATCH($B4543,Config!$B$9:$B$29,0))="","",INDEX(Config!$E$9:$E$29,MATCH($B4543,Config!$B$9:$B$29,0))),""),""))</f>
        <v/>
      </c>
      <c r="AI4543" s="19" t="str">
        <f>IF($B4543="","",IFERROR(INDEX(Config!$D$9:$D$29,MATCH($B4543,Config!$B$9:$B$29,0))&amp;"",""))</f>
        <v/>
      </c>
    </row>
    <row r="4544">
      <c r="X4544" s="20" t="str">
        <f>IF($B4544="","",IFERROR(IF(INDEX(Config!$D$9:$D$29,MATCH($B4544,Config!$B$9:$B$29,0))="Contrato",IF(INDEX(Config!$E$9:$E$29,MATCH($B4544,Config!$B$9:$B$29,0))="","",INDEX(Config!$E$9:$E$29,MATCH($B4544,Config!$B$9:$B$29,0))),""),""))</f>
        <v/>
      </c>
      <c r="AI4544" s="19" t="str">
        <f>IF($B4544="","",IFERROR(INDEX(Config!$D$9:$D$29,MATCH($B4544,Config!$B$9:$B$29,0))&amp;"",""))</f>
        <v/>
      </c>
    </row>
    <row r="4545">
      <c r="X4545" s="20" t="str">
        <f>IF($B4545="","",IFERROR(IF(INDEX(Config!$D$9:$D$29,MATCH($B4545,Config!$B$9:$B$29,0))="Contrato",IF(INDEX(Config!$E$9:$E$29,MATCH($B4545,Config!$B$9:$B$29,0))="","",INDEX(Config!$E$9:$E$29,MATCH($B4545,Config!$B$9:$B$29,0))),""),""))</f>
        <v/>
      </c>
      <c r="AI4545" s="19" t="str">
        <f>IF($B4545="","",IFERROR(INDEX(Config!$D$9:$D$29,MATCH($B4545,Config!$B$9:$B$29,0))&amp;"",""))</f>
        <v/>
      </c>
    </row>
    <row r="4546">
      <c r="X4546" s="20" t="str">
        <f>IF($B4546="","",IFERROR(IF(INDEX(Config!$D$9:$D$29,MATCH($B4546,Config!$B$9:$B$29,0))="Contrato",IF(INDEX(Config!$E$9:$E$29,MATCH($B4546,Config!$B$9:$B$29,0))="","",INDEX(Config!$E$9:$E$29,MATCH($B4546,Config!$B$9:$B$29,0))),""),""))</f>
        <v/>
      </c>
      <c r="AI4546" s="19" t="str">
        <f>IF($B4546="","",IFERROR(INDEX(Config!$D$9:$D$29,MATCH($B4546,Config!$B$9:$B$29,0))&amp;"",""))</f>
        <v/>
      </c>
    </row>
    <row r="4547">
      <c r="X4547" s="20" t="str">
        <f>IF($B4547="","",IFERROR(IF(INDEX(Config!$D$9:$D$29,MATCH($B4547,Config!$B$9:$B$29,0))="Contrato",IF(INDEX(Config!$E$9:$E$29,MATCH($B4547,Config!$B$9:$B$29,0))="","",INDEX(Config!$E$9:$E$29,MATCH($B4547,Config!$B$9:$B$29,0))),""),""))</f>
        <v/>
      </c>
      <c r="AI4547" s="19" t="str">
        <f>IF($B4547="","",IFERROR(INDEX(Config!$D$9:$D$29,MATCH($B4547,Config!$B$9:$B$29,0))&amp;"",""))</f>
        <v/>
      </c>
    </row>
    <row r="4548">
      <c r="X4548" s="20" t="str">
        <f>IF($B4548="","",IFERROR(IF(INDEX(Config!$D$9:$D$29,MATCH($B4548,Config!$B$9:$B$29,0))="Contrato",IF(INDEX(Config!$E$9:$E$29,MATCH($B4548,Config!$B$9:$B$29,0))="","",INDEX(Config!$E$9:$E$29,MATCH($B4548,Config!$B$9:$B$29,0))),""),""))</f>
        <v/>
      </c>
      <c r="AI4548" s="19" t="str">
        <f>IF($B4548="","",IFERROR(INDEX(Config!$D$9:$D$29,MATCH($B4548,Config!$B$9:$B$29,0))&amp;"",""))</f>
        <v/>
      </c>
    </row>
    <row r="4549">
      <c r="X4549" s="20" t="str">
        <f>IF($B4549="","",IFERROR(IF(INDEX(Config!$D$9:$D$29,MATCH($B4549,Config!$B$9:$B$29,0))="Contrato",IF(INDEX(Config!$E$9:$E$29,MATCH($B4549,Config!$B$9:$B$29,0))="","",INDEX(Config!$E$9:$E$29,MATCH($B4549,Config!$B$9:$B$29,0))),""),""))</f>
        <v/>
      </c>
      <c r="AI4549" s="19" t="str">
        <f>IF($B4549="","",IFERROR(INDEX(Config!$D$9:$D$29,MATCH($B4549,Config!$B$9:$B$29,0))&amp;"",""))</f>
        <v/>
      </c>
    </row>
    <row r="4550">
      <c r="X4550" s="20" t="str">
        <f>IF($B4550="","",IFERROR(IF(INDEX(Config!$D$9:$D$29,MATCH($B4550,Config!$B$9:$B$29,0))="Contrato",IF(INDEX(Config!$E$9:$E$29,MATCH($B4550,Config!$B$9:$B$29,0))="","",INDEX(Config!$E$9:$E$29,MATCH($B4550,Config!$B$9:$B$29,0))),""),""))</f>
        <v/>
      </c>
      <c r="AI4550" s="19" t="str">
        <f>IF($B4550="","",IFERROR(INDEX(Config!$D$9:$D$29,MATCH($B4550,Config!$B$9:$B$29,0))&amp;"",""))</f>
        <v/>
      </c>
    </row>
    <row r="4551">
      <c r="X4551" s="20" t="str">
        <f>IF($B4551="","",IFERROR(IF(INDEX(Config!$D$9:$D$29,MATCH($B4551,Config!$B$9:$B$29,0))="Contrato",IF(INDEX(Config!$E$9:$E$29,MATCH($B4551,Config!$B$9:$B$29,0))="","",INDEX(Config!$E$9:$E$29,MATCH($B4551,Config!$B$9:$B$29,0))),""),""))</f>
        <v/>
      </c>
      <c r="AI4551" s="19" t="str">
        <f>IF($B4551="","",IFERROR(INDEX(Config!$D$9:$D$29,MATCH($B4551,Config!$B$9:$B$29,0))&amp;"",""))</f>
        <v/>
      </c>
    </row>
    <row r="4552">
      <c r="X4552" s="20" t="str">
        <f>IF($B4552="","",IFERROR(IF(INDEX(Config!$D$9:$D$29,MATCH($B4552,Config!$B$9:$B$29,0))="Contrato",IF(INDEX(Config!$E$9:$E$29,MATCH($B4552,Config!$B$9:$B$29,0))="","",INDEX(Config!$E$9:$E$29,MATCH($B4552,Config!$B$9:$B$29,0))),""),""))</f>
        <v/>
      </c>
      <c r="AI4552" s="19" t="str">
        <f>IF($B4552="","",IFERROR(INDEX(Config!$D$9:$D$29,MATCH($B4552,Config!$B$9:$B$29,0))&amp;"",""))</f>
        <v/>
      </c>
    </row>
    <row r="4553">
      <c r="X4553" s="20" t="str">
        <f>IF($B4553="","",IFERROR(IF(INDEX(Config!$D$9:$D$29,MATCH($B4553,Config!$B$9:$B$29,0))="Contrato",IF(INDEX(Config!$E$9:$E$29,MATCH($B4553,Config!$B$9:$B$29,0))="","",INDEX(Config!$E$9:$E$29,MATCH($B4553,Config!$B$9:$B$29,0))),""),""))</f>
        <v/>
      </c>
      <c r="AI4553" s="19" t="str">
        <f>IF($B4553="","",IFERROR(INDEX(Config!$D$9:$D$29,MATCH($B4553,Config!$B$9:$B$29,0))&amp;"",""))</f>
        <v/>
      </c>
    </row>
    <row r="4554">
      <c r="X4554" s="20" t="str">
        <f>IF($B4554="","",IFERROR(IF(INDEX(Config!$D$9:$D$29,MATCH($B4554,Config!$B$9:$B$29,0))="Contrato",IF(INDEX(Config!$E$9:$E$29,MATCH($B4554,Config!$B$9:$B$29,0))="","",INDEX(Config!$E$9:$E$29,MATCH($B4554,Config!$B$9:$B$29,0))),""),""))</f>
        <v/>
      </c>
      <c r="AI4554" s="19" t="str">
        <f>IF($B4554="","",IFERROR(INDEX(Config!$D$9:$D$29,MATCH($B4554,Config!$B$9:$B$29,0))&amp;"",""))</f>
        <v/>
      </c>
    </row>
    <row r="4555">
      <c r="X4555" s="20" t="str">
        <f>IF($B4555="","",IFERROR(IF(INDEX(Config!$D$9:$D$29,MATCH($B4555,Config!$B$9:$B$29,0))="Contrato",IF(INDEX(Config!$E$9:$E$29,MATCH($B4555,Config!$B$9:$B$29,0))="","",INDEX(Config!$E$9:$E$29,MATCH($B4555,Config!$B$9:$B$29,0))),""),""))</f>
        <v/>
      </c>
      <c r="AI4555" s="19" t="str">
        <f>IF($B4555="","",IFERROR(INDEX(Config!$D$9:$D$29,MATCH($B4555,Config!$B$9:$B$29,0))&amp;"",""))</f>
        <v/>
      </c>
    </row>
    <row r="4556">
      <c r="X4556" s="20" t="str">
        <f>IF($B4556="","",IFERROR(IF(INDEX(Config!$D$9:$D$29,MATCH($B4556,Config!$B$9:$B$29,0))="Contrato",IF(INDEX(Config!$E$9:$E$29,MATCH($B4556,Config!$B$9:$B$29,0))="","",INDEX(Config!$E$9:$E$29,MATCH($B4556,Config!$B$9:$B$29,0))),""),""))</f>
        <v/>
      </c>
      <c r="AI4556" s="19" t="str">
        <f>IF($B4556="","",IFERROR(INDEX(Config!$D$9:$D$29,MATCH($B4556,Config!$B$9:$B$29,0))&amp;"",""))</f>
        <v/>
      </c>
    </row>
    <row r="4557">
      <c r="X4557" s="20" t="str">
        <f>IF($B4557="","",IFERROR(IF(INDEX(Config!$D$9:$D$29,MATCH($B4557,Config!$B$9:$B$29,0))="Contrato",IF(INDEX(Config!$E$9:$E$29,MATCH($B4557,Config!$B$9:$B$29,0))="","",INDEX(Config!$E$9:$E$29,MATCH($B4557,Config!$B$9:$B$29,0))),""),""))</f>
        <v/>
      </c>
      <c r="AI4557" s="19" t="str">
        <f>IF($B4557="","",IFERROR(INDEX(Config!$D$9:$D$29,MATCH($B4557,Config!$B$9:$B$29,0))&amp;"",""))</f>
        <v/>
      </c>
    </row>
    <row r="4558">
      <c r="X4558" s="20" t="str">
        <f>IF($B4558="","",IFERROR(IF(INDEX(Config!$D$9:$D$29,MATCH($B4558,Config!$B$9:$B$29,0))="Contrato",IF(INDEX(Config!$E$9:$E$29,MATCH($B4558,Config!$B$9:$B$29,0))="","",INDEX(Config!$E$9:$E$29,MATCH($B4558,Config!$B$9:$B$29,0))),""),""))</f>
        <v/>
      </c>
      <c r="AI4558" s="19" t="str">
        <f>IF($B4558="","",IFERROR(INDEX(Config!$D$9:$D$29,MATCH($B4558,Config!$B$9:$B$29,0))&amp;"",""))</f>
        <v/>
      </c>
    </row>
    <row r="4559">
      <c r="X4559" s="20" t="str">
        <f>IF($B4559="","",IFERROR(IF(INDEX(Config!$D$9:$D$29,MATCH($B4559,Config!$B$9:$B$29,0))="Contrato",IF(INDEX(Config!$E$9:$E$29,MATCH($B4559,Config!$B$9:$B$29,0))="","",INDEX(Config!$E$9:$E$29,MATCH($B4559,Config!$B$9:$B$29,0))),""),""))</f>
        <v/>
      </c>
      <c r="AI4559" s="19" t="str">
        <f>IF($B4559="","",IFERROR(INDEX(Config!$D$9:$D$29,MATCH($B4559,Config!$B$9:$B$29,0))&amp;"",""))</f>
        <v/>
      </c>
    </row>
    <row r="4560">
      <c r="X4560" s="20" t="str">
        <f>IF($B4560="","",IFERROR(IF(INDEX(Config!$D$9:$D$29,MATCH($B4560,Config!$B$9:$B$29,0))="Contrato",IF(INDEX(Config!$E$9:$E$29,MATCH($B4560,Config!$B$9:$B$29,0))="","",INDEX(Config!$E$9:$E$29,MATCH($B4560,Config!$B$9:$B$29,0))),""),""))</f>
        <v/>
      </c>
      <c r="AI4560" s="19" t="str">
        <f>IF($B4560="","",IFERROR(INDEX(Config!$D$9:$D$29,MATCH($B4560,Config!$B$9:$B$29,0))&amp;"",""))</f>
        <v/>
      </c>
    </row>
    <row r="4561">
      <c r="X4561" s="20" t="str">
        <f>IF($B4561="","",IFERROR(IF(INDEX(Config!$D$9:$D$29,MATCH($B4561,Config!$B$9:$B$29,0))="Contrato",IF(INDEX(Config!$E$9:$E$29,MATCH($B4561,Config!$B$9:$B$29,0))="","",INDEX(Config!$E$9:$E$29,MATCH($B4561,Config!$B$9:$B$29,0))),""),""))</f>
        <v/>
      </c>
      <c r="AI4561" s="19" t="str">
        <f>IF($B4561="","",IFERROR(INDEX(Config!$D$9:$D$29,MATCH($B4561,Config!$B$9:$B$29,0))&amp;"",""))</f>
        <v/>
      </c>
    </row>
    <row r="4562">
      <c r="X4562" s="20" t="str">
        <f>IF($B4562="","",IFERROR(IF(INDEX(Config!$D$9:$D$29,MATCH($B4562,Config!$B$9:$B$29,0))="Contrato",IF(INDEX(Config!$E$9:$E$29,MATCH($B4562,Config!$B$9:$B$29,0))="","",INDEX(Config!$E$9:$E$29,MATCH($B4562,Config!$B$9:$B$29,0))),""),""))</f>
        <v/>
      </c>
      <c r="AI4562" s="19" t="str">
        <f>IF($B4562="","",IFERROR(INDEX(Config!$D$9:$D$29,MATCH($B4562,Config!$B$9:$B$29,0))&amp;"",""))</f>
        <v/>
      </c>
    </row>
    <row r="4563">
      <c r="X4563" s="20" t="str">
        <f>IF($B4563="","",IFERROR(IF(INDEX(Config!$D$9:$D$29,MATCH($B4563,Config!$B$9:$B$29,0))="Contrato",IF(INDEX(Config!$E$9:$E$29,MATCH($B4563,Config!$B$9:$B$29,0))="","",INDEX(Config!$E$9:$E$29,MATCH($B4563,Config!$B$9:$B$29,0))),""),""))</f>
        <v/>
      </c>
      <c r="AI4563" s="19" t="str">
        <f>IF($B4563="","",IFERROR(INDEX(Config!$D$9:$D$29,MATCH($B4563,Config!$B$9:$B$29,0))&amp;"",""))</f>
        <v/>
      </c>
    </row>
    <row r="4564">
      <c r="X4564" s="20" t="str">
        <f>IF($B4564="","",IFERROR(IF(INDEX(Config!$D$9:$D$29,MATCH($B4564,Config!$B$9:$B$29,0))="Contrato",IF(INDEX(Config!$E$9:$E$29,MATCH($B4564,Config!$B$9:$B$29,0))="","",INDEX(Config!$E$9:$E$29,MATCH($B4564,Config!$B$9:$B$29,0))),""),""))</f>
        <v/>
      </c>
      <c r="AI4564" s="19" t="str">
        <f>IF($B4564="","",IFERROR(INDEX(Config!$D$9:$D$29,MATCH($B4564,Config!$B$9:$B$29,0))&amp;"",""))</f>
        <v/>
      </c>
    </row>
    <row r="4565">
      <c r="X4565" s="20" t="str">
        <f>IF($B4565="","",IFERROR(IF(INDEX(Config!$D$9:$D$29,MATCH($B4565,Config!$B$9:$B$29,0))="Contrato",IF(INDEX(Config!$E$9:$E$29,MATCH($B4565,Config!$B$9:$B$29,0))="","",INDEX(Config!$E$9:$E$29,MATCH($B4565,Config!$B$9:$B$29,0))),""),""))</f>
        <v/>
      </c>
      <c r="AI4565" s="19" t="str">
        <f>IF($B4565="","",IFERROR(INDEX(Config!$D$9:$D$29,MATCH($B4565,Config!$B$9:$B$29,0))&amp;"",""))</f>
        <v/>
      </c>
    </row>
    <row r="4566">
      <c r="X4566" s="20" t="str">
        <f>IF($B4566="","",IFERROR(IF(INDEX(Config!$D$9:$D$29,MATCH($B4566,Config!$B$9:$B$29,0))="Contrato",IF(INDEX(Config!$E$9:$E$29,MATCH($B4566,Config!$B$9:$B$29,0))="","",INDEX(Config!$E$9:$E$29,MATCH($B4566,Config!$B$9:$B$29,0))),""),""))</f>
        <v/>
      </c>
      <c r="AI4566" s="19" t="str">
        <f>IF($B4566="","",IFERROR(INDEX(Config!$D$9:$D$29,MATCH($B4566,Config!$B$9:$B$29,0))&amp;"",""))</f>
        <v/>
      </c>
    </row>
    <row r="4567">
      <c r="X4567" s="20" t="str">
        <f>IF($B4567="","",IFERROR(IF(INDEX(Config!$D$9:$D$29,MATCH($B4567,Config!$B$9:$B$29,0))="Contrato",IF(INDEX(Config!$E$9:$E$29,MATCH($B4567,Config!$B$9:$B$29,0))="","",INDEX(Config!$E$9:$E$29,MATCH($B4567,Config!$B$9:$B$29,0))),""),""))</f>
        <v/>
      </c>
      <c r="AI4567" s="19" t="str">
        <f>IF($B4567="","",IFERROR(INDEX(Config!$D$9:$D$29,MATCH($B4567,Config!$B$9:$B$29,0))&amp;"",""))</f>
        <v/>
      </c>
    </row>
    <row r="4568">
      <c r="X4568" s="20" t="str">
        <f>IF($B4568="","",IFERROR(IF(INDEX(Config!$D$9:$D$29,MATCH($B4568,Config!$B$9:$B$29,0))="Contrato",IF(INDEX(Config!$E$9:$E$29,MATCH($B4568,Config!$B$9:$B$29,0))="","",INDEX(Config!$E$9:$E$29,MATCH($B4568,Config!$B$9:$B$29,0))),""),""))</f>
        <v/>
      </c>
      <c r="AI4568" s="19" t="str">
        <f>IF($B4568="","",IFERROR(INDEX(Config!$D$9:$D$29,MATCH($B4568,Config!$B$9:$B$29,0))&amp;"",""))</f>
        <v/>
      </c>
    </row>
    <row r="4569">
      <c r="X4569" s="20" t="str">
        <f>IF($B4569="","",IFERROR(IF(INDEX(Config!$D$9:$D$29,MATCH($B4569,Config!$B$9:$B$29,0))="Contrato",IF(INDEX(Config!$E$9:$E$29,MATCH($B4569,Config!$B$9:$B$29,0))="","",INDEX(Config!$E$9:$E$29,MATCH($B4569,Config!$B$9:$B$29,0))),""),""))</f>
        <v/>
      </c>
      <c r="AI4569" s="19" t="str">
        <f>IF($B4569="","",IFERROR(INDEX(Config!$D$9:$D$29,MATCH($B4569,Config!$B$9:$B$29,0))&amp;"",""))</f>
        <v/>
      </c>
    </row>
    <row r="4570">
      <c r="X4570" s="20" t="str">
        <f>IF($B4570="","",IFERROR(IF(INDEX(Config!$D$9:$D$29,MATCH($B4570,Config!$B$9:$B$29,0))="Contrato",IF(INDEX(Config!$E$9:$E$29,MATCH($B4570,Config!$B$9:$B$29,0))="","",INDEX(Config!$E$9:$E$29,MATCH($B4570,Config!$B$9:$B$29,0))),""),""))</f>
        <v/>
      </c>
      <c r="AI4570" s="19" t="str">
        <f>IF($B4570="","",IFERROR(INDEX(Config!$D$9:$D$29,MATCH($B4570,Config!$B$9:$B$29,0))&amp;"",""))</f>
        <v/>
      </c>
    </row>
    <row r="4571">
      <c r="X4571" s="20" t="str">
        <f>IF($B4571="","",IFERROR(IF(INDEX(Config!$D$9:$D$29,MATCH($B4571,Config!$B$9:$B$29,0))="Contrato",IF(INDEX(Config!$E$9:$E$29,MATCH($B4571,Config!$B$9:$B$29,0))="","",INDEX(Config!$E$9:$E$29,MATCH($B4571,Config!$B$9:$B$29,0))),""),""))</f>
        <v/>
      </c>
      <c r="AI4571" s="19" t="str">
        <f>IF($B4571="","",IFERROR(INDEX(Config!$D$9:$D$29,MATCH($B4571,Config!$B$9:$B$29,0))&amp;"",""))</f>
        <v/>
      </c>
    </row>
    <row r="4572">
      <c r="X4572" s="20" t="str">
        <f>IF($B4572="","",IFERROR(IF(INDEX(Config!$D$9:$D$29,MATCH($B4572,Config!$B$9:$B$29,0))="Contrato",IF(INDEX(Config!$E$9:$E$29,MATCH($B4572,Config!$B$9:$B$29,0))="","",INDEX(Config!$E$9:$E$29,MATCH($B4572,Config!$B$9:$B$29,0))),""),""))</f>
        <v/>
      </c>
      <c r="AI4572" s="19" t="str">
        <f>IF($B4572="","",IFERROR(INDEX(Config!$D$9:$D$29,MATCH($B4572,Config!$B$9:$B$29,0))&amp;"",""))</f>
        <v/>
      </c>
    </row>
    <row r="4573">
      <c r="X4573" s="20" t="str">
        <f>IF($B4573="","",IFERROR(IF(INDEX(Config!$D$9:$D$29,MATCH($B4573,Config!$B$9:$B$29,0))="Contrato",IF(INDEX(Config!$E$9:$E$29,MATCH($B4573,Config!$B$9:$B$29,0))="","",INDEX(Config!$E$9:$E$29,MATCH($B4573,Config!$B$9:$B$29,0))),""),""))</f>
        <v/>
      </c>
      <c r="AI4573" s="19" t="str">
        <f>IF($B4573="","",IFERROR(INDEX(Config!$D$9:$D$29,MATCH($B4573,Config!$B$9:$B$29,0))&amp;"",""))</f>
        <v/>
      </c>
    </row>
    <row r="4574">
      <c r="X4574" s="20" t="str">
        <f>IF($B4574="","",IFERROR(IF(INDEX(Config!$D$9:$D$29,MATCH($B4574,Config!$B$9:$B$29,0))="Contrato",IF(INDEX(Config!$E$9:$E$29,MATCH($B4574,Config!$B$9:$B$29,0))="","",INDEX(Config!$E$9:$E$29,MATCH($B4574,Config!$B$9:$B$29,0))),""),""))</f>
        <v/>
      </c>
      <c r="AI4574" s="19" t="str">
        <f>IF($B4574="","",IFERROR(INDEX(Config!$D$9:$D$29,MATCH($B4574,Config!$B$9:$B$29,0))&amp;"",""))</f>
        <v/>
      </c>
    </row>
    <row r="4575">
      <c r="X4575" s="20" t="str">
        <f>IF($B4575="","",IFERROR(IF(INDEX(Config!$D$9:$D$29,MATCH($B4575,Config!$B$9:$B$29,0))="Contrato",IF(INDEX(Config!$E$9:$E$29,MATCH($B4575,Config!$B$9:$B$29,0))="","",INDEX(Config!$E$9:$E$29,MATCH($B4575,Config!$B$9:$B$29,0))),""),""))</f>
        <v/>
      </c>
      <c r="AI4575" s="19" t="str">
        <f>IF($B4575="","",IFERROR(INDEX(Config!$D$9:$D$29,MATCH($B4575,Config!$B$9:$B$29,0))&amp;"",""))</f>
        <v/>
      </c>
    </row>
    <row r="4576">
      <c r="X4576" s="20" t="str">
        <f>IF($B4576="","",IFERROR(IF(INDEX(Config!$D$9:$D$29,MATCH($B4576,Config!$B$9:$B$29,0))="Contrato",IF(INDEX(Config!$E$9:$E$29,MATCH($B4576,Config!$B$9:$B$29,0))="","",INDEX(Config!$E$9:$E$29,MATCH($B4576,Config!$B$9:$B$29,0))),""),""))</f>
        <v/>
      </c>
      <c r="AI4576" s="19" t="str">
        <f>IF($B4576="","",IFERROR(INDEX(Config!$D$9:$D$29,MATCH($B4576,Config!$B$9:$B$29,0))&amp;"",""))</f>
        <v/>
      </c>
    </row>
    <row r="4577">
      <c r="X4577" s="20" t="str">
        <f>IF($B4577="","",IFERROR(IF(INDEX(Config!$D$9:$D$29,MATCH($B4577,Config!$B$9:$B$29,0))="Contrato",IF(INDEX(Config!$E$9:$E$29,MATCH($B4577,Config!$B$9:$B$29,0))="","",INDEX(Config!$E$9:$E$29,MATCH($B4577,Config!$B$9:$B$29,0))),""),""))</f>
        <v/>
      </c>
      <c r="AI4577" s="19" t="str">
        <f>IF($B4577="","",IFERROR(INDEX(Config!$D$9:$D$29,MATCH($B4577,Config!$B$9:$B$29,0))&amp;"",""))</f>
        <v/>
      </c>
    </row>
    <row r="4578">
      <c r="X4578" s="20" t="str">
        <f>IF($B4578="","",IFERROR(IF(INDEX(Config!$D$9:$D$29,MATCH($B4578,Config!$B$9:$B$29,0))="Contrato",IF(INDEX(Config!$E$9:$E$29,MATCH($B4578,Config!$B$9:$B$29,0))="","",INDEX(Config!$E$9:$E$29,MATCH($B4578,Config!$B$9:$B$29,0))),""),""))</f>
        <v/>
      </c>
      <c r="AI4578" s="19" t="str">
        <f>IF($B4578="","",IFERROR(INDEX(Config!$D$9:$D$29,MATCH($B4578,Config!$B$9:$B$29,0))&amp;"",""))</f>
        <v/>
      </c>
    </row>
    <row r="4579">
      <c r="X4579" s="20" t="str">
        <f>IF($B4579="","",IFERROR(IF(INDEX(Config!$D$9:$D$29,MATCH($B4579,Config!$B$9:$B$29,0))="Contrato",IF(INDEX(Config!$E$9:$E$29,MATCH($B4579,Config!$B$9:$B$29,0))="","",INDEX(Config!$E$9:$E$29,MATCH($B4579,Config!$B$9:$B$29,0))),""),""))</f>
        <v/>
      </c>
      <c r="AI4579" s="19" t="str">
        <f>IF($B4579="","",IFERROR(INDEX(Config!$D$9:$D$29,MATCH($B4579,Config!$B$9:$B$29,0))&amp;"",""))</f>
        <v/>
      </c>
    </row>
    <row r="4580">
      <c r="X4580" s="20" t="str">
        <f>IF($B4580="","",IFERROR(IF(INDEX(Config!$D$9:$D$29,MATCH($B4580,Config!$B$9:$B$29,0))="Contrato",IF(INDEX(Config!$E$9:$E$29,MATCH($B4580,Config!$B$9:$B$29,0))="","",INDEX(Config!$E$9:$E$29,MATCH($B4580,Config!$B$9:$B$29,0))),""),""))</f>
        <v/>
      </c>
      <c r="AI4580" s="19" t="str">
        <f>IF($B4580="","",IFERROR(INDEX(Config!$D$9:$D$29,MATCH($B4580,Config!$B$9:$B$29,0))&amp;"",""))</f>
        <v/>
      </c>
    </row>
    <row r="4581">
      <c r="X4581" s="20" t="str">
        <f>IF($B4581="","",IFERROR(IF(INDEX(Config!$D$9:$D$29,MATCH($B4581,Config!$B$9:$B$29,0))="Contrato",IF(INDEX(Config!$E$9:$E$29,MATCH($B4581,Config!$B$9:$B$29,0))="","",INDEX(Config!$E$9:$E$29,MATCH($B4581,Config!$B$9:$B$29,0))),""),""))</f>
        <v/>
      </c>
      <c r="AI4581" s="19" t="str">
        <f>IF($B4581="","",IFERROR(INDEX(Config!$D$9:$D$29,MATCH($B4581,Config!$B$9:$B$29,0))&amp;"",""))</f>
        <v/>
      </c>
    </row>
    <row r="4582">
      <c r="X4582" s="20" t="str">
        <f>IF($B4582="","",IFERROR(IF(INDEX(Config!$D$9:$D$29,MATCH($B4582,Config!$B$9:$B$29,0))="Contrato",IF(INDEX(Config!$E$9:$E$29,MATCH($B4582,Config!$B$9:$B$29,0))="","",INDEX(Config!$E$9:$E$29,MATCH($B4582,Config!$B$9:$B$29,0))),""),""))</f>
        <v/>
      </c>
      <c r="AI4582" s="19" t="str">
        <f>IF($B4582="","",IFERROR(INDEX(Config!$D$9:$D$29,MATCH($B4582,Config!$B$9:$B$29,0))&amp;"",""))</f>
        <v/>
      </c>
    </row>
    <row r="4583">
      <c r="X4583" s="20" t="str">
        <f>IF($B4583="","",IFERROR(IF(INDEX(Config!$D$9:$D$29,MATCH($B4583,Config!$B$9:$B$29,0))="Contrato",IF(INDEX(Config!$E$9:$E$29,MATCH($B4583,Config!$B$9:$B$29,0))="","",INDEX(Config!$E$9:$E$29,MATCH($B4583,Config!$B$9:$B$29,0))),""),""))</f>
        <v/>
      </c>
      <c r="AI4583" s="19" t="str">
        <f>IF($B4583="","",IFERROR(INDEX(Config!$D$9:$D$29,MATCH($B4583,Config!$B$9:$B$29,0))&amp;"",""))</f>
        <v/>
      </c>
    </row>
    <row r="4584">
      <c r="X4584" s="20" t="str">
        <f>IF($B4584="","",IFERROR(IF(INDEX(Config!$D$9:$D$29,MATCH($B4584,Config!$B$9:$B$29,0))="Contrato",IF(INDEX(Config!$E$9:$E$29,MATCH($B4584,Config!$B$9:$B$29,0))="","",INDEX(Config!$E$9:$E$29,MATCH($B4584,Config!$B$9:$B$29,0))),""),""))</f>
        <v/>
      </c>
      <c r="AI4584" s="19" t="str">
        <f>IF($B4584="","",IFERROR(INDEX(Config!$D$9:$D$29,MATCH($B4584,Config!$B$9:$B$29,0))&amp;"",""))</f>
        <v/>
      </c>
    </row>
    <row r="4585">
      <c r="X4585" s="20" t="str">
        <f>IF($B4585="","",IFERROR(IF(INDEX(Config!$D$9:$D$29,MATCH($B4585,Config!$B$9:$B$29,0))="Contrato",IF(INDEX(Config!$E$9:$E$29,MATCH($B4585,Config!$B$9:$B$29,0))="","",INDEX(Config!$E$9:$E$29,MATCH($B4585,Config!$B$9:$B$29,0))),""),""))</f>
        <v/>
      </c>
      <c r="AI4585" s="19" t="str">
        <f>IF($B4585="","",IFERROR(INDEX(Config!$D$9:$D$29,MATCH($B4585,Config!$B$9:$B$29,0))&amp;"",""))</f>
        <v/>
      </c>
    </row>
    <row r="4586">
      <c r="X4586" s="20" t="str">
        <f>IF($B4586="","",IFERROR(IF(INDEX(Config!$D$9:$D$29,MATCH($B4586,Config!$B$9:$B$29,0))="Contrato",IF(INDEX(Config!$E$9:$E$29,MATCH($B4586,Config!$B$9:$B$29,0))="","",INDEX(Config!$E$9:$E$29,MATCH($B4586,Config!$B$9:$B$29,0))),""),""))</f>
        <v/>
      </c>
      <c r="AI4586" s="19" t="str">
        <f>IF($B4586="","",IFERROR(INDEX(Config!$D$9:$D$29,MATCH($B4586,Config!$B$9:$B$29,0))&amp;"",""))</f>
        <v/>
      </c>
    </row>
    <row r="4587">
      <c r="X4587" s="20" t="str">
        <f>IF($B4587="","",IFERROR(IF(INDEX(Config!$D$9:$D$29,MATCH($B4587,Config!$B$9:$B$29,0))="Contrato",IF(INDEX(Config!$E$9:$E$29,MATCH($B4587,Config!$B$9:$B$29,0))="","",INDEX(Config!$E$9:$E$29,MATCH($B4587,Config!$B$9:$B$29,0))),""),""))</f>
        <v/>
      </c>
      <c r="AI4587" s="19" t="str">
        <f>IF($B4587="","",IFERROR(INDEX(Config!$D$9:$D$29,MATCH($B4587,Config!$B$9:$B$29,0))&amp;"",""))</f>
        <v/>
      </c>
    </row>
    <row r="4588">
      <c r="X4588" s="20" t="str">
        <f>IF($B4588="","",IFERROR(IF(INDEX(Config!$D$9:$D$29,MATCH($B4588,Config!$B$9:$B$29,0))="Contrato",IF(INDEX(Config!$E$9:$E$29,MATCH($B4588,Config!$B$9:$B$29,0))="","",INDEX(Config!$E$9:$E$29,MATCH($B4588,Config!$B$9:$B$29,0))),""),""))</f>
        <v/>
      </c>
      <c r="AI4588" s="19" t="str">
        <f>IF($B4588="","",IFERROR(INDEX(Config!$D$9:$D$29,MATCH($B4588,Config!$B$9:$B$29,0))&amp;"",""))</f>
        <v/>
      </c>
    </row>
    <row r="4589">
      <c r="X4589" s="20" t="str">
        <f>IF($B4589="","",IFERROR(IF(INDEX(Config!$D$9:$D$29,MATCH($B4589,Config!$B$9:$B$29,0))="Contrato",IF(INDEX(Config!$E$9:$E$29,MATCH($B4589,Config!$B$9:$B$29,0))="","",INDEX(Config!$E$9:$E$29,MATCH($B4589,Config!$B$9:$B$29,0))),""),""))</f>
        <v/>
      </c>
      <c r="AI4589" s="19" t="str">
        <f>IF($B4589="","",IFERROR(INDEX(Config!$D$9:$D$29,MATCH($B4589,Config!$B$9:$B$29,0))&amp;"",""))</f>
        <v/>
      </c>
    </row>
    <row r="4590">
      <c r="X4590" s="20" t="str">
        <f>IF($B4590="","",IFERROR(IF(INDEX(Config!$D$9:$D$29,MATCH($B4590,Config!$B$9:$B$29,0))="Contrato",IF(INDEX(Config!$E$9:$E$29,MATCH($B4590,Config!$B$9:$B$29,0))="","",INDEX(Config!$E$9:$E$29,MATCH($B4590,Config!$B$9:$B$29,0))),""),""))</f>
        <v/>
      </c>
      <c r="AI4590" s="19" t="str">
        <f>IF($B4590="","",IFERROR(INDEX(Config!$D$9:$D$29,MATCH($B4590,Config!$B$9:$B$29,0))&amp;"",""))</f>
        <v/>
      </c>
    </row>
    <row r="4591">
      <c r="X4591" s="20" t="str">
        <f>IF($B4591="","",IFERROR(IF(INDEX(Config!$D$9:$D$29,MATCH($B4591,Config!$B$9:$B$29,0))="Contrato",IF(INDEX(Config!$E$9:$E$29,MATCH($B4591,Config!$B$9:$B$29,0))="","",INDEX(Config!$E$9:$E$29,MATCH($B4591,Config!$B$9:$B$29,0))),""),""))</f>
        <v/>
      </c>
      <c r="AI4591" s="19" t="str">
        <f>IF($B4591="","",IFERROR(INDEX(Config!$D$9:$D$29,MATCH($B4591,Config!$B$9:$B$29,0))&amp;"",""))</f>
        <v/>
      </c>
    </row>
    <row r="4592">
      <c r="X4592" s="20" t="str">
        <f>IF($B4592="","",IFERROR(IF(INDEX(Config!$D$9:$D$29,MATCH($B4592,Config!$B$9:$B$29,0))="Contrato",IF(INDEX(Config!$E$9:$E$29,MATCH($B4592,Config!$B$9:$B$29,0))="","",INDEX(Config!$E$9:$E$29,MATCH($B4592,Config!$B$9:$B$29,0))),""),""))</f>
        <v/>
      </c>
      <c r="AI4592" s="19" t="str">
        <f>IF($B4592="","",IFERROR(INDEX(Config!$D$9:$D$29,MATCH($B4592,Config!$B$9:$B$29,0))&amp;"",""))</f>
        <v/>
      </c>
    </row>
    <row r="4593">
      <c r="X4593" s="20" t="str">
        <f>IF($B4593="","",IFERROR(IF(INDEX(Config!$D$9:$D$29,MATCH($B4593,Config!$B$9:$B$29,0))="Contrato",IF(INDEX(Config!$E$9:$E$29,MATCH($B4593,Config!$B$9:$B$29,0))="","",INDEX(Config!$E$9:$E$29,MATCH($B4593,Config!$B$9:$B$29,0))),""),""))</f>
        <v/>
      </c>
      <c r="AI4593" s="19" t="str">
        <f>IF($B4593="","",IFERROR(INDEX(Config!$D$9:$D$29,MATCH($B4593,Config!$B$9:$B$29,0))&amp;"",""))</f>
        <v/>
      </c>
    </row>
    <row r="4594">
      <c r="X4594" s="20" t="str">
        <f>IF($B4594="","",IFERROR(IF(INDEX(Config!$D$9:$D$29,MATCH($B4594,Config!$B$9:$B$29,0))="Contrato",IF(INDEX(Config!$E$9:$E$29,MATCH($B4594,Config!$B$9:$B$29,0))="","",INDEX(Config!$E$9:$E$29,MATCH($B4594,Config!$B$9:$B$29,0))),""),""))</f>
        <v/>
      </c>
      <c r="AI4594" s="19" t="str">
        <f>IF($B4594="","",IFERROR(INDEX(Config!$D$9:$D$29,MATCH($B4594,Config!$B$9:$B$29,0))&amp;"",""))</f>
        <v/>
      </c>
    </row>
    <row r="4595">
      <c r="X4595" s="20" t="str">
        <f>IF($B4595="","",IFERROR(IF(INDEX(Config!$D$9:$D$29,MATCH($B4595,Config!$B$9:$B$29,0))="Contrato",IF(INDEX(Config!$E$9:$E$29,MATCH($B4595,Config!$B$9:$B$29,0))="","",INDEX(Config!$E$9:$E$29,MATCH($B4595,Config!$B$9:$B$29,0))),""),""))</f>
        <v/>
      </c>
      <c r="AI4595" s="19" t="str">
        <f>IF($B4595="","",IFERROR(INDEX(Config!$D$9:$D$29,MATCH($B4595,Config!$B$9:$B$29,0))&amp;"",""))</f>
        <v/>
      </c>
    </row>
    <row r="4596">
      <c r="X4596" s="20" t="str">
        <f>IF($B4596="","",IFERROR(IF(INDEX(Config!$D$9:$D$29,MATCH($B4596,Config!$B$9:$B$29,0))="Contrato",IF(INDEX(Config!$E$9:$E$29,MATCH($B4596,Config!$B$9:$B$29,0))="","",INDEX(Config!$E$9:$E$29,MATCH($B4596,Config!$B$9:$B$29,0))),""),""))</f>
        <v/>
      </c>
      <c r="AI4596" s="19" t="str">
        <f>IF($B4596="","",IFERROR(INDEX(Config!$D$9:$D$29,MATCH($B4596,Config!$B$9:$B$29,0))&amp;"",""))</f>
        <v/>
      </c>
    </row>
    <row r="4597">
      <c r="X4597" s="20" t="str">
        <f>IF($B4597="","",IFERROR(IF(INDEX(Config!$D$9:$D$29,MATCH($B4597,Config!$B$9:$B$29,0))="Contrato",IF(INDEX(Config!$E$9:$E$29,MATCH($B4597,Config!$B$9:$B$29,0))="","",INDEX(Config!$E$9:$E$29,MATCH($B4597,Config!$B$9:$B$29,0))),""),""))</f>
        <v/>
      </c>
      <c r="AI4597" s="19" t="str">
        <f>IF($B4597="","",IFERROR(INDEX(Config!$D$9:$D$29,MATCH($B4597,Config!$B$9:$B$29,0))&amp;"",""))</f>
        <v/>
      </c>
    </row>
    <row r="4598">
      <c r="X4598" s="20" t="str">
        <f>IF($B4598="","",IFERROR(IF(INDEX(Config!$D$9:$D$29,MATCH($B4598,Config!$B$9:$B$29,0))="Contrato",IF(INDEX(Config!$E$9:$E$29,MATCH($B4598,Config!$B$9:$B$29,0))="","",INDEX(Config!$E$9:$E$29,MATCH($B4598,Config!$B$9:$B$29,0))),""),""))</f>
        <v/>
      </c>
      <c r="AI4598" s="19" t="str">
        <f>IF($B4598="","",IFERROR(INDEX(Config!$D$9:$D$29,MATCH($B4598,Config!$B$9:$B$29,0))&amp;"",""))</f>
        <v/>
      </c>
    </row>
    <row r="4599">
      <c r="X4599" s="20" t="str">
        <f>IF($B4599="","",IFERROR(IF(INDEX(Config!$D$9:$D$29,MATCH($B4599,Config!$B$9:$B$29,0))="Contrato",IF(INDEX(Config!$E$9:$E$29,MATCH($B4599,Config!$B$9:$B$29,0))="","",INDEX(Config!$E$9:$E$29,MATCH($B4599,Config!$B$9:$B$29,0))),""),""))</f>
        <v/>
      </c>
      <c r="AI4599" s="19" t="str">
        <f>IF($B4599="","",IFERROR(INDEX(Config!$D$9:$D$29,MATCH($B4599,Config!$B$9:$B$29,0))&amp;"",""))</f>
        <v/>
      </c>
    </row>
    <row r="4600">
      <c r="X4600" s="20" t="str">
        <f>IF($B4600="","",IFERROR(IF(INDEX(Config!$D$9:$D$29,MATCH($B4600,Config!$B$9:$B$29,0))="Contrato",IF(INDEX(Config!$E$9:$E$29,MATCH($B4600,Config!$B$9:$B$29,0))="","",INDEX(Config!$E$9:$E$29,MATCH($B4600,Config!$B$9:$B$29,0))),""),""))</f>
        <v/>
      </c>
      <c r="AI4600" s="19" t="str">
        <f>IF($B4600="","",IFERROR(INDEX(Config!$D$9:$D$29,MATCH($B4600,Config!$B$9:$B$29,0))&amp;"",""))</f>
        <v/>
      </c>
    </row>
    <row r="4601">
      <c r="X4601" s="20" t="str">
        <f>IF($B4601="","",IFERROR(IF(INDEX(Config!$D$9:$D$29,MATCH($B4601,Config!$B$9:$B$29,0))="Contrato",IF(INDEX(Config!$E$9:$E$29,MATCH($B4601,Config!$B$9:$B$29,0))="","",INDEX(Config!$E$9:$E$29,MATCH($B4601,Config!$B$9:$B$29,0))),""),""))</f>
        <v/>
      </c>
      <c r="AI4601" s="19" t="str">
        <f>IF($B4601="","",IFERROR(INDEX(Config!$D$9:$D$29,MATCH($B4601,Config!$B$9:$B$29,0))&amp;"",""))</f>
        <v/>
      </c>
    </row>
    <row r="4602">
      <c r="X4602" s="20" t="str">
        <f>IF($B4602="","",IFERROR(IF(INDEX(Config!$D$9:$D$29,MATCH($B4602,Config!$B$9:$B$29,0))="Contrato",IF(INDEX(Config!$E$9:$E$29,MATCH($B4602,Config!$B$9:$B$29,0))="","",INDEX(Config!$E$9:$E$29,MATCH($B4602,Config!$B$9:$B$29,0))),""),""))</f>
        <v/>
      </c>
      <c r="AI4602" s="19" t="str">
        <f>IF($B4602="","",IFERROR(INDEX(Config!$D$9:$D$29,MATCH($B4602,Config!$B$9:$B$29,0))&amp;"",""))</f>
        <v/>
      </c>
    </row>
    <row r="4603">
      <c r="X4603" s="20" t="str">
        <f>IF($B4603="","",IFERROR(IF(INDEX(Config!$D$9:$D$29,MATCH($B4603,Config!$B$9:$B$29,0))="Contrato",IF(INDEX(Config!$E$9:$E$29,MATCH($B4603,Config!$B$9:$B$29,0))="","",INDEX(Config!$E$9:$E$29,MATCH($B4603,Config!$B$9:$B$29,0))),""),""))</f>
        <v/>
      </c>
      <c r="AI4603" s="19" t="str">
        <f>IF($B4603="","",IFERROR(INDEX(Config!$D$9:$D$29,MATCH($B4603,Config!$B$9:$B$29,0))&amp;"",""))</f>
        <v/>
      </c>
    </row>
    <row r="4604">
      <c r="X4604" s="20" t="str">
        <f>IF($B4604="","",IFERROR(IF(INDEX(Config!$D$9:$D$29,MATCH($B4604,Config!$B$9:$B$29,0))="Contrato",IF(INDEX(Config!$E$9:$E$29,MATCH($B4604,Config!$B$9:$B$29,0))="","",INDEX(Config!$E$9:$E$29,MATCH($B4604,Config!$B$9:$B$29,0))),""),""))</f>
        <v/>
      </c>
      <c r="AI4604" s="19" t="str">
        <f>IF($B4604="","",IFERROR(INDEX(Config!$D$9:$D$29,MATCH($B4604,Config!$B$9:$B$29,0))&amp;"",""))</f>
        <v/>
      </c>
    </row>
    <row r="4605">
      <c r="X4605" s="20" t="str">
        <f>IF($B4605="","",IFERROR(IF(INDEX(Config!$D$9:$D$29,MATCH($B4605,Config!$B$9:$B$29,0))="Contrato",IF(INDEX(Config!$E$9:$E$29,MATCH($B4605,Config!$B$9:$B$29,0))="","",INDEX(Config!$E$9:$E$29,MATCH($B4605,Config!$B$9:$B$29,0))),""),""))</f>
        <v/>
      </c>
      <c r="AI4605" s="19" t="str">
        <f>IF($B4605="","",IFERROR(INDEX(Config!$D$9:$D$29,MATCH($B4605,Config!$B$9:$B$29,0))&amp;"",""))</f>
        <v/>
      </c>
    </row>
    <row r="4606">
      <c r="X4606" s="20" t="str">
        <f>IF($B4606="","",IFERROR(IF(INDEX(Config!$D$9:$D$29,MATCH($B4606,Config!$B$9:$B$29,0))="Contrato",IF(INDEX(Config!$E$9:$E$29,MATCH($B4606,Config!$B$9:$B$29,0))="","",INDEX(Config!$E$9:$E$29,MATCH($B4606,Config!$B$9:$B$29,0))),""),""))</f>
        <v/>
      </c>
      <c r="AI4606" s="19" t="str">
        <f>IF($B4606="","",IFERROR(INDEX(Config!$D$9:$D$29,MATCH($B4606,Config!$B$9:$B$29,0))&amp;"",""))</f>
        <v/>
      </c>
    </row>
    <row r="4607">
      <c r="X4607" s="20" t="str">
        <f>IF($B4607="","",IFERROR(IF(INDEX(Config!$D$9:$D$29,MATCH($B4607,Config!$B$9:$B$29,0))="Contrato",IF(INDEX(Config!$E$9:$E$29,MATCH($B4607,Config!$B$9:$B$29,0))="","",INDEX(Config!$E$9:$E$29,MATCH($B4607,Config!$B$9:$B$29,0))),""),""))</f>
        <v/>
      </c>
      <c r="AI4607" s="19" t="str">
        <f>IF($B4607="","",IFERROR(INDEX(Config!$D$9:$D$29,MATCH($B4607,Config!$B$9:$B$29,0))&amp;"",""))</f>
        <v/>
      </c>
    </row>
    <row r="4608">
      <c r="X4608" s="20" t="str">
        <f>IF($B4608="","",IFERROR(IF(INDEX(Config!$D$9:$D$29,MATCH($B4608,Config!$B$9:$B$29,0))="Contrato",IF(INDEX(Config!$E$9:$E$29,MATCH($B4608,Config!$B$9:$B$29,0))="","",INDEX(Config!$E$9:$E$29,MATCH($B4608,Config!$B$9:$B$29,0))),""),""))</f>
        <v/>
      </c>
      <c r="AI4608" s="19" t="str">
        <f>IF($B4608="","",IFERROR(INDEX(Config!$D$9:$D$29,MATCH($B4608,Config!$B$9:$B$29,0))&amp;"",""))</f>
        <v/>
      </c>
    </row>
    <row r="4609">
      <c r="X4609" s="20" t="str">
        <f>IF($B4609="","",IFERROR(IF(INDEX(Config!$D$9:$D$29,MATCH($B4609,Config!$B$9:$B$29,0))="Contrato",IF(INDEX(Config!$E$9:$E$29,MATCH($B4609,Config!$B$9:$B$29,0))="","",INDEX(Config!$E$9:$E$29,MATCH($B4609,Config!$B$9:$B$29,0))),""),""))</f>
        <v/>
      </c>
      <c r="AI4609" s="19" t="str">
        <f>IF($B4609="","",IFERROR(INDEX(Config!$D$9:$D$29,MATCH($B4609,Config!$B$9:$B$29,0))&amp;"",""))</f>
        <v/>
      </c>
    </row>
    <row r="4610">
      <c r="X4610" s="20" t="str">
        <f>IF($B4610="","",IFERROR(IF(INDEX(Config!$D$9:$D$29,MATCH($B4610,Config!$B$9:$B$29,0))="Contrato",IF(INDEX(Config!$E$9:$E$29,MATCH($B4610,Config!$B$9:$B$29,0))="","",INDEX(Config!$E$9:$E$29,MATCH($B4610,Config!$B$9:$B$29,0))),""),""))</f>
        <v/>
      </c>
      <c r="AI4610" s="19" t="str">
        <f>IF($B4610="","",IFERROR(INDEX(Config!$D$9:$D$29,MATCH($B4610,Config!$B$9:$B$29,0))&amp;"",""))</f>
        <v/>
      </c>
    </row>
    <row r="4611">
      <c r="X4611" s="20" t="str">
        <f>IF($B4611="","",IFERROR(IF(INDEX(Config!$D$9:$D$29,MATCH($B4611,Config!$B$9:$B$29,0))="Contrato",IF(INDEX(Config!$E$9:$E$29,MATCH($B4611,Config!$B$9:$B$29,0))="","",INDEX(Config!$E$9:$E$29,MATCH($B4611,Config!$B$9:$B$29,0))),""),""))</f>
        <v/>
      </c>
      <c r="AI4611" s="19" t="str">
        <f>IF($B4611="","",IFERROR(INDEX(Config!$D$9:$D$29,MATCH($B4611,Config!$B$9:$B$29,0))&amp;"",""))</f>
        <v/>
      </c>
    </row>
    <row r="4612">
      <c r="X4612" s="20" t="str">
        <f>IF($B4612="","",IFERROR(IF(INDEX(Config!$D$9:$D$29,MATCH($B4612,Config!$B$9:$B$29,0))="Contrato",IF(INDEX(Config!$E$9:$E$29,MATCH($B4612,Config!$B$9:$B$29,0))="","",INDEX(Config!$E$9:$E$29,MATCH($B4612,Config!$B$9:$B$29,0))),""),""))</f>
        <v/>
      </c>
      <c r="AI4612" s="19" t="str">
        <f>IF($B4612="","",IFERROR(INDEX(Config!$D$9:$D$29,MATCH($B4612,Config!$B$9:$B$29,0))&amp;"",""))</f>
        <v/>
      </c>
    </row>
    <row r="4613">
      <c r="X4613" s="20" t="str">
        <f>IF($B4613="","",IFERROR(IF(INDEX(Config!$D$9:$D$29,MATCH($B4613,Config!$B$9:$B$29,0))="Contrato",IF(INDEX(Config!$E$9:$E$29,MATCH($B4613,Config!$B$9:$B$29,0))="","",INDEX(Config!$E$9:$E$29,MATCH($B4613,Config!$B$9:$B$29,0))),""),""))</f>
        <v/>
      </c>
      <c r="AI4613" s="19" t="str">
        <f>IF($B4613="","",IFERROR(INDEX(Config!$D$9:$D$29,MATCH($B4613,Config!$B$9:$B$29,0))&amp;"",""))</f>
        <v/>
      </c>
    </row>
    <row r="4614">
      <c r="X4614" s="20" t="str">
        <f>IF($B4614="","",IFERROR(IF(INDEX(Config!$D$9:$D$29,MATCH($B4614,Config!$B$9:$B$29,0))="Contrato",IF(INDEX(Config!$E$9:$E$29,MATCH($B4614,Config!$B$9:$B$29,0))="","",INDEX(Config!$E$9:$E$29,MATCH($B4614,Config!$B$9:$B$29,0))),""),""))</f>
        <v/>
      </c>
      <c r="AI4614" s="19" t="str">
        <f>IF($B4614="","",IFERROR(INDEX(Config!$D$9:$D$29,MATCH($B4614,Config!$B$9:$B$29,0))&amp;"",""))</f>
        <v/>
      </c>
    </row>
    <row r="4615">
      <c r="X4615" s="20" t="str">
        <f>IF($B4615="","",IFERROR(IF(INDEX(Config!$D$9:$D$29,MATCH($B4615,Config!$B$9:$B$29,0))="Contrato",IF(INDEX(Config!$E$9:$E$29,MATCH($B4615,Config!$B$9:$B$29,0))="","",INDEX(Config!$E$9:$E$29,MATCH($B4615,Config!$B$9:$B$29,0))),""),""))</f>
        <v/>
      </c>
      <c r="AI4615" s="19" t="str">
        <f>IF($B4615="","",IFERROR(INDEX(Config!$D$9:$D$29,MATCH($B4615,Config!$B$9:$B$29,0))&amp;"",""))</f>
        <v/>
      </c>
    </row>
    <row r="4616">
      <c r="X4616" s="20" t="str">
        <f>IF($B4616="","",IFERROR(IF(INDEX(Config!$D$9:$D$29,MATCH($B4616,Config!$B$9:$B$29,0))="Contrato",IF(INDEX(Config!$E$9:$E$29,MATCH($B4616,Config!$B$9:$B$29,0))="","",INDEX(Config!$E$9:$E$29,MATCH($B4616,Config!$B$9:$B$29,0))),""),""))</f>
        <v/>
      </c>
      <c r="AI4616" s="19" t="str">
        <f>IF($B4616="","",IFERROR(INDEX(Config!$D$9:$D$29,MATCH($B4616,Config!$B$9:$B$29,0))&amp;"",""))</f>
        <v/>
      </c>
    </row>
    <row r="4617">
      <c r="X4617" s="20" t="str">
        <f>IF($B4617="","",IFERROR(IF(INDEX(Config!$D$9:$D$29,MATCH($B4617,Config!$B$9:$B$29,0))="Contrato",IF(INDEX(Config!$E$9:$E$29,MATCH($B4617,Config!$B$9:$B$29,0))="","",INDEX(Config!$E$9:$E$29,MATCH($B4617,Config!$B$9:$B$29,0))),""),""))</f>
        <v/>
      </c>
      <c r="AI4617" s="19" t="str">
        <f>IF($B4617="","",IFERROR(INDEX(Config!$D$9:$D$29,MATCH($B4617,Config!$B$9:$B$29,0))&amp;"",""))</f>
        <v/>
      </c>
    </row>
    <row r="4618">
      <c r="X4618" s="20" t="str">
        <f>IF($B4618="","",IFERROR(IF(INDEX(Config!$D$9:$D$29,MATCH($B4618,Config!$B$9:$B$29,0))="Contrato",IF(INDEX(Config!$E$9:$E$29,MATCH($B4618,Config!$B$9:$B$29,0))="","",INDEX(Config!$E$9:$E$29,MATCH($B4618,Config!$B$9:$B$29,0))),""),""))</f>
        <v/>
      </c>
      <c r="AI4618" s="19" t="str">
        <f>IF($B4618="","",IFERROR(INDEX(Config!$D$9:$D$29,MATCH($B4618,Config!$B$9:$B$29,0))&amp;"",""))</f>
        <v/>
      </c>
    </row>
    <row r="4619">
      <c r="X4619" s="20" t="str">
        <f>IF($B4619="","",IFERROR(IF(INDEX(Config!$D$9:$D$29,MATCH($B4619,Config!$B$9:$B$29,0))="Contrato",IF(INDEX(Config!$E$9:$E$29,MATCH($B4619,Config!$B$9:$B$29,0))="","",INDEX(Config!$E$9:$E$29,MATCH($B4619,Config!$B$9:$B$29,0))),""),""))</f>
        <v/>
      </c>
      <c r="AI4619" s="19" t="str">
        <f>IF($B4619="","",IFERROR(INDEX(Config!$D$9:$D$29,MATCH($B4619,Config!$B$9:$B$29,0))&amp;"",""))</f>
        <v/>
      </c>
    </row>
    <row r="4620">
      <c r="X4620" s="20" t="str">
        <f>IF($B4620="","",IFERROR(IF(INDEX(Config!$D$9:$D$29,MATCH($B4620,Config!$B$9:$B$29,0))="Contrato",IF(INDEX(Config!$E$9:$E$29,MATCH($B4620,Config!$B$9:$B$29,0))="","",INDEX(Config!$E$9:$E$29,MATCH($B4620,Config!$B$9:$B$29,0))),""),""))</f>
        <v/>
      </c>
      <c r="AI4620" s="19" t="str">
        <f>IF($B4620="","",IFERROR(INDEX(Config!$D$9:$D$29,MATCH($B4620,Config!$B$9:$B$29,0))&amp;"",""))</f>
        <v/>
      </c>
    </row>
    <row r="4621">
      <c r="X4621" s="20" t="str">
        <f>IF($B4621="","",IFERROR(IF(INDEX(Config!$D$9:$D$29,MATCH($B4621,Config!$B$9:$B$29,0))="Contrato",IF(INDEX(Config!$E$9:$E$29,MATCH($B4621,Config!$B$9:$B$29,0))="","",INDEX(Config!$E$9:$E$29,MATCH($B4621,Config!$B$9:$B$29,0))),""),""))</f>
        <v/>
      </c>
      <c r="AI4621" s="19" t="str">
        <f>IF($B4621="","",IFERROR(INDEX(Config!$D$9:$D$29,MATCH($B4621,Config!$B$9:$B$29,0))&amp;"",""))</f>
        <v/>
      </c>
    </row>
    <row r="4622">
      <c r="X4622" s="20" t="str">
        <f>IF($B4622="","",IFERROR(IF(INDEX(Config!$D$9:$D$29,MATCH($B4622,Config!$B$9:$B$29,0))="Contrato",IF(INDEX(Config!$E$9:$E$29,MATCH($B4622,Config!$B$9:$B$29,0))="","",INDEX(Config!$E$9:$E$29,MATCH($B4622,Config!$B$9:$B$29,0))),""),""))</f>
        <v/>
      </c>
      <c r="AI4622" s="19" t="str">
        <f>IF($B4622="","",IFERROR(INDEX(Config!$D$9:$D$29,MATCH($B4622,Config!$B$9:$B$29,0))&amp;"",""))</f>
        <v/>
      </c>
    </row>
    <row r="4623">
      <c r="X4623" s="20" t="str">
        <f>IF($B4623="","",IFERROR(IF(INDEX(Config!$D$9:$D$29,MATCH($B4623,Config!$B$9:$B$29,0))="Contrato",IF(INDEX(Config!$E$9:$E$29,MATCH($B4623,Config!$B$9:$B$29,0))="","",INDEX(Config!$E$9:$E$29,MATCH($B4623,Config!$B$9:$B$29,0))),""),""))</f>
        <v/>
      </c>
      <c r="AI4623" s="19" t="str">
        <f>IF($B4623="","",IFERROR(INDEX(Config!$D$9:$D$29,MATCH($B4623,Config!$B$9:$B$29,0))&amp;"",""))</f>
        <v/>
      </c>
    </row>
    <row r="4624">
      <c r="X4624" s="20" t="str">
        <f>IF($B4624="","",IFERROR(IF(INDEX(Config!$D$9:$D$29,MATCH($B4624,Config!$B$9:$B$29,0))="Contrato",IF(INDEX(Config!$E$9:$E$29,MATCH($B4624,Config!$B$9:$B$29,0))="","",INDEX(Config!$E$9:$E$29,MATCH($B4624,Config!$B$9:$B$29,0))),""),""))</f>
        <v/>
      </c>
      <c r="AI4624" s="19" t="str">
        <f>IF($B4624="","",IFERROR(INDEX(Config!$D$9:$D$29,MATCH($B4624,Config!$B$9:$B$29,0))&amp;"",""))</f>
        <v/>
      </c>
    </row>
    <row r="4625">
      <c r="X4625" s="20" t="str">
        <f>IF($B4625="","",IFERROR(IF(INDEX(Config!$D$9:$D$29,MATCH($B4625,Config!$B$9:$B$29,0))="Contrato",IF(INDEX(Config!$E$9:$E$29,MATCH($B4625,Config!$B$9:$B$29,0))="","",INDEX(Config!$E$9:$E$29,MATCH($B4625,Config!$B$9:$B$29,0))),""),""))</f>
        <v/>
      </c>
      <c r="AI4625" s="19" t="str">
        <f>IF($B4625="","",IFERROR(INDEX(Config!$D$9:$D$29,MATCH($B4625,Config!$B$9:$B$29,0))&amp;"",""))</f>
        <v/>
      </c>
    </row>
    <row r="4626">
      <c r="X4626" s="20" t="str">
        <f>IF($B4626="","",IFERROR(IF(INDEX(Config!$D$9:$D$29,MATCH($B4626,Config!$B$9:$B$29,0))="Contrato",IF(INDEX(Config!$E$9:$E$29,MATCH($B4626,Config!$B$9:$B$29,0))="","",INDEX(Config!$E$9:$E$29,MATCH($B4626,Config!$B$9:$B$29,0))),""),""))</f>
        <v/>
      </c>
      <c r="AI4626" s="19" t="str">
        <f>IF($B4626="","",IFERROR(INDEX(Config!$D$9:$D$29,MATCH($B4626,Config!$B$9:$B$29,0))&amp;"",""))</f>
        <v/>
      </c>
    </row>
    <row r="4627">
      <c r="X4627" s="20" t="str">
        <f>IF($B4627="","",IFERROR(IF(INDEX(Config!$D$9:$D$29,MATCH($B4627,Config!$B$9:$B$29,0))="Contrato",IF(INDEX(Config!$E$9:$E$29,MATCH($B4627,Config!$B$9:$B$29,0))="","",INDEX(Config!$E$9:$E$29,MATCH($B4627,Config!$B$9:$B$29,0))),""),""))</f>
        <v/>
      </c>
      <c r="AI4627" s="19" t="str">
        <f>IF($B4627="","",IFERROR(INDEX(Config!$D$9:$D$29,MATCH($B4627,Config!$B$9:$B$29,0))&amp;"",""))</f>
        <v/>
      </c>
    </row>
    <row r="4628">
      <c r="X4628" s="20" t="str">
        <f>IF($B4628="","",IFERROR(IF(INDEX(Config!$D$9:$D$29,MATCH($B4628,Config!$B$9:$B$29,0))="Contrato",IF(INDEX(Config!$E$9:$E$29,MATCH($B4628,Config!$B$9:$B$29,0))="","",INDEX(Config!$E$9:$E$29,MATCH($B4628,Config!$B$9:$B$29,0))),""),""))</f>
        <v/>
      </c>
      <c r="AI4628" s="19" t="str">
        <f>IF($B4628="","",IFERROR(INDEX(Config!$D$9:$D$29,MATCH($B4628,Config!$B$9:$B$29,0))&amp;"",""))</f>
        <v/>
      </c>
    </row>
    <row r="4629">
      <c r="X4629" s="20" t="str">
        <f>IF($B4629="","",IFERROR(IF(INDEX(Config!$D$9:$D$29,MATCH($B4629,Config!$B$9:$B$29,0))="Contrato",IF(INDEX(Config!$E$9:$E$29,MATCH($B4629,Config!$B$9:$B$29,0))="","",INDEX(Config!$E$9:$E$29,MATCH($B4629,Config!$B$9:$B$29,0))),""),""))</f>
        <v/>
      </c>
      <c r="AI4629" s="19" t="str">
        <f>IF($B4629="","",IFERROR(INDEX(Config!$D$9:$D$29,MATCH($B4629,Config!$B$9:$B$29,0))&amp;"",""))</f>
        <v/>
      </c>
    </row>
    <row r="4630">
      <c r="X4630" s="20" t="str">
        <f>IF($B4630="","",IFERROR(IF(INDEX(Config!$D$9:$D$29,MATCH($B4630,Config!$B$9:$B$29,0))="Contrato",IF(INDEX(Config!$E$9:$E$29,MATCH($B4630,Config!$B$9:$B$29,0))="","",INDEX(Config!$E$9:$E$29,MATCH($B4630,Config!$B$9:$B$29,0))),""),""))</f>
        <v/>
      </c>
      <c r="AI4630" s="19" t="str">
        <f>IF($B4630="","",IFERROR(INDEX(Config!$D$9:$D$29,MATCH($B4630,Config!$B$9:$B$29,0))&amp;"",""))</f>
        <v/>
      </c>
    </row>
    <row r="4631">
      <c r="X4631" s="20" t="str">
        <f>IF($B4631="","",IFERROR(IF(INDEX(Config!$D$9:$D$29,MATCH($B4631,Config!$B$9:$B$29,0))="Contrato",IF(INDEX(Config!$E$9:$E$29,MATCH($B4631,Config!$B$9:$B$29,0))="","",INDEX(Config!$E$9:$E$29,MATCH($B4631,Config!$B$9:$B$29,0))),""),""))</f>
        <v/>
      </c>
      <c r="AI4631" s="19" t="str">
        <f>IF($B4631="","",IFERROR(INDEX(Config!$D$9:$D$29,MATCH($B4631,Config!$B$9:$B$29,0))&amp;"",""))</f>
        <v/>
      </c>
    </row>
    <row r="4632">
      <c r="X4632" s="20" t="str">
        <f>IF($B4632="","",IFERROR(IF(INDEX(Config!$D$9:$D$29,MATCH($B4632,Config!$B$9:$B$29,0))="Contrato",IF(INDEX(Config!$E$9:$E$29,MATCH($B4632,Config!$B$9:$B$29,0))="","",INDEX(Config!$E$9:$E$29,MATCH($B4632,Config!$B$9:$B$29,0))),""),""))</f>
        <v/>
      </c>
      <c r="AI4632" s="19" t="str">
        <f>IF($B4632="","",IFERROR(INDEX(Config!$D$9:$D$29,MATCH($B4632,Config!$B$9:$B$29,0))&amp;"",""))</f>
        <v/>
      </c>
    </row>
    <row r="4633">
      <c r="X4633" s="20" t="str">
        <f>IF($B4633="","",IFERROR(IF(INDEX(Config!$D$9:$D$29,MATCH($B4633,Config!$B$9:$B$29,0))="Contrato",IF(INDEX(Config!$E$9:$E$29,MATCH($B4633,Config!$B$9:$B$29,0))="","",INDEX(Config!$E$9:$E$29,MATCH($B4633,Config!$B$9:$B$29,0))),""),""))</f>
        <v/>
      </c>
      <c r="AI4633" s="19" t="str">
        <f>IF($B4633="","",IFERROR(INDEX(Config!$D$9:$D$29,MATCH($B4633,Config!$B$9:$B$29,0))&amp;"",""))</f>
        <v/>
      </c>
    </row>
    <row r="4634">
      <c r="X4634" s="20" t="str">
        <f>IF($B4634="","",IFERROR(IF(INDEX(Config!$D$9:$D$29,MATCH($B4634,Config!$B$9:$B$29,0))="Contrato",IF(INDEX(Config!$E$9:$E$29,MATCH($B4634,Config!$B$9:$B$29,0))="","",INDEX(Config!$E$9:$E$29,MATCH($B4634,Config!$B$9:$B$29,0))),""),""))</f>
        <v/>
      </c>
      <c r="AI4634" s="19" t="str">
        <f>IF($B4634="","",IFERROR(INDEX(Config!$D$9:$D$29,MATCH($B4634,Config!$B$9:$B$29,0))&amp;"",""))</f>
        <v/>
      </c>
    </row>
    <row r="4635">
      <c r="X4635" s="20" t="str">
        <f>IF($B4635="","",IFERROR(IF(INDEX(Config!$D$9:$D$29,MATCH($B4635,Config!$B$9:$B$29,0))="Contrato",IF(INDEX(Config!$E$9:$E$29,MATCH($B4635,Config!$B$9:$B$29,0))="","",INDEX(Config!$E$9:$E$29,MATCH($B4635,Config!$B$9:$B$29,0))),""),""))</f>
        <v/>
      </c>
      <c r="AI4635" s="19" t="str">
        <f>IF($B4635="","",IFERROR(INDEX(Config!$D$9:$D$29,MATCH($B4635,Config!$B$9:$B$29,0))&amp;"",""))</f>
        <v/>
      </c>
    </row>
    <row r="4636">
      <c r="X4636" s="20" t="str">
        <f>IF($B4636="","",IFERROR(IF(INDEX(Config!$D$9:$D$29,MATCH($B4636,Config!$B$9:$B$29,0))="Contrato",IF(INDEX(Config!$E$9:$E$29,MATCH($B4636,Config!$B$9:$B$29,0))="","",INDEX(Config!$E$9:$E$29,MATCH($B4636,Config!$B$9:$B$29,0))),""),""))</f>
        <v/>
      </c>
      <c r="AI4636" s="19" t="str">
        <f>IF($B4636="","",IFERROR(INDEX(Config!$D$9:$D$29,MATCH($B4636,Config!$B$9:$B$29,0))&amp;"",""))</f>
        <v/>
      </c>
    </row>
    <row r="4637">
      <c r="X4637" s="20" t="str">
        <f>IF($B4637="","",IFERROR(IF(INDEX(Config!$D$9:$D$29,MATCH($B4637,Config!$B$9:$B$29,0))="Contrato",IF(INDEX(Config!$E$9:$E$29,MATCH($B4637,Config!$B$9:$B$29,0))="","",INDEX(Config!$E$9:$E$29,MATCH($B4637,Config!$B$9:$B$29,0))),""),""))</f>
        <v/>
      </c>
      <c r="AI4637" s="19" t="str">
        <f>IF($B4637="","",IFERROR(INDEX(Config!$D$9:$D$29,MATCH($B4637,Config!$B$9:$B$29,0))&amp;"",""))</f>
        <v/>
      </c>
    </row>
    <row r="4638">
      <c r="X4638" s="20" t="str">
        <f>IF($B4638="","",IFERROR(IF(INDEX(Config!$D$9:$D$29,MATCH($B4638,Config!$B$9:$B$29,0))="Contrato",IF(INDEX(Config!$E$9:$E$29,MATCH($B4638,Config!$B$9:$B$29,0))="","",INDEX(Config!$E$9:$E$29,MATCH($B4638,Config!$B$9:$B$29,0))),""),""))</f>
        <v/>
      </c>
      <c r="AI4638" s="19" t="str">
        <f>IF($B4638="","",IFERROR(INDEX(Config!$D$9:$D$29,MATCH($B4638,Config!$B$9:$B$29,0))&amp;"",""))</f>
        <v/>
      </c>
    </row>
    <row r="4639">
      <c r="X4639" s="20" t="str">
        <f>IF($B4639="","",IFERROR(IF(INDEX(Config!$D$9:$D$29,MATCH($B4639,Config!$B$9:$B$29,0))="Contrato",IF(INDEX(Config!$E$9:$E$29,MATCH($B4639,Config!$B$9:$B$29,0))="","",INDEX(Config!$E$9:$E$29,MATCH($B4639,Config!$B$9:$B$29,0))),""),""))</f>
        <v/>
      </c>
      <c r="AI4639" s="19" t="str">
        <f>IF($B4639="","",IFERROR(INDEX(Config!$D$9:$D$29,MATCH($B4639,Config!$B$9:$B$29,0))&amp;"",""))</f>
        <v/>
      </c>
    </row>
    <row r="4640">
      <c r="X4640" s="20" t="str">
        <f>IF($B4640="","",IFERROR(IF(INDEX(Config!$D$9:$D$29,MATCH($B4640,Config!$B$9:$B$29,0))="Contrato",IF(INDEX(Config!$E$9:$E$29,MATCH($B4640,Config!$B$9:$B$29,0))="","",INDEX(Config!$E$9:$E$29,MATCH($B4640,Config!$B$9:$B$29,0))),""),""))</f>
        <v/>
      </c>
      <c r="AI4640" s="19" t="str">
        <f>IF($B4640="","",IFERROR(INDEX(Config!$D$9:$D$29,MATCH($B4640,Config!$B$9:$B$29,0))&amp;"",""))</f>
        <v/>
      </c>
    </row>
    <row r="4641">
      <c r="X4641" s="20" t="str">
        <f>IF($B4641="","",IFERROR(IF(INDEX(Config!$D$9:$D$29,MATCH($B4641,Config!$B$9:$B$29,0))="Contrato",IF(INDEX(Config!$E$9:$E$29,MATCH($B4641,Config!$B$9:$B$29,0))="","",INDEX(Config!$E$9:$E$29,MATCH($B4641,Config!$B$9:$B$29,0))),""),""))</f>
        <v/>
      </c>
      <c r="AI4641" s="19" t="str">
        <f>IF($B4641="","",IFERROR(INDEX(Config!$D$9:$D$29,MATCH($B4641,Config!$B$9:$B$29,0))&amp;"",""))</f>
        <v/>
      </c>
    </row>
    <row r="4642">
      <c r="X4642" s="20" t="str">
        <f>IF($B4642="","",IFERROR(IF(INDEX(Config!$D$9:$D$29,MATCH($B4642,Config!$B$9:$B$29,0))="Contrato",IF(INDEX(Config!$E$9:$E$29,MATCH($B4642,Config!$B$9:$B$29,0))="","",INDEX(Config!$E$9:$E$29,MATCH($B4642,Config!$B$9:$B$29,0))),""),""))</f>
        <v/>
      </c>
      <c r="AI4642" s="19" t="str">
        <f>IF($B4642="","",IFERROR(INDEX(Config!$D$9:$D$29,MATCH($B4642,Config!$B$9:$B$29,0))&amp;"",""))</f>
        <v/>
      </c>
    </row>
    <row r="4643">
      <c r="X4643" s="20" t="str">
        <f>IF($B4643="","",IFERROR(IF(INDEX(Config!$D$9:$D$29,MATCH($B4643,Config!$B$9:$B$29,0))="Contrato",IF(INDEX(Config!$E$9:$E$29,MATCH($B4643,Config!$B$9:$B$29,0))="","",INDEX(Config!$E$9:$E$29,MATCH($B4643,Config!$B$9:$B$29,0))),""),""))</f>
        <v/>
      </c>
      <c r="AI4643" s="19" t="str">
        <f>IF($B4643="","",IFERROR(INDEX(Config!$D$9:$D$29,MATCH($B4643,Config!$B$9:$B$29,0))&amp;"",""))</f>
        <v/>
      </c>
    </row>
    <row r="4644">
      <c r="X4644" s="20" t="str">
        <f>IF($B4644="","",IFERROR(IF(INDEX(Config!$D$9:$D$29,MATCH($B4644,Config!$B$9:$B$29,0))="Contrato",IF(INDEX(Config!$E$9:$E$29,MATCH($B4644,Config!$B$9:$B$29,0))="","",INDEX(Config!$E$9:$E$29,MATCH($B4644,Config!$B$9:$B$29,0))),""),""))</f>
        <v/>
      </c>
      <c r="AI4644" s="19" t="str">
        <f>IF($B4644="","",IFERROR(INDEX(Config!$D$9:$D$29,MATCH($B4644,Config!$B$9:$B$29,0))&amp;"",""))</f>
        <v/>
      </c>
    </row>
    <row r="4645">
      <c r="X4645" s="20" t="str">
        <f>IF($B4645="","",IFERROR(IF(INDEX(Config!$D$9:$D$29,MATCH($B4645,Config!$B$9:$B$29,0))="Contrato",IF(INDEX(Config!$E$9:$E$29,MATCH($B4645,Config!$B$9:$B$29,0))="","",INDEX(Config!$E$9:$E$29,MATCH($B4645,Config!$B$9:$B$29,0))),""),""))</f>
        <v/>
      </c>
      <c r="AI4645" s="19" t="str">
        <f>IF($B4645="","",IFERROR(INDEX(Config!$D$9:$D$29,MATCH($B4645,Config!$B$9:$B$29,0))&amp;"",""))</f>
        <v/>
      </c>
    </row>
    <row r="4646">
      <c r="X4646" s="20" t="str">
        <f>IF($B4646="","",IFERROR(IF(INDEX(Config!$D$9:$D$29,MATCH($B4646,Config!$B$9:$B$29,0))="Contrato",IF(INDEX(Config!$E$9:$E$29,MATCH($B4646,Config!$B$9:$B$29,0))="","",INDEX(Config!$E$9:$E$29,MATCH($B4646,Config!$B$9:$B$29,0))),""),""))</f>
        <v/>
      </c>
      <c r="AI4646" s="19" t="str">
        <f>IF($B4646="","",IFERROR(INDEX(Config!$D$9:$D$29,MATCH($B4646,Config!$B$9:$B$29,0))&amp;"",""))</f>
        <v/>
      </c>
    </row>
    <row r="4647">
      <c r="X4647" s="20" t="str">
        <f>IF($B4647="","",IFERROR(IF(INDEX(Config!$D$9:$D$29,MATCH($B4647,Config!$B$9:$B$29,0))="Contrato",IF(INDEX(Config!$E$9:$E$29,MATCH($B4647,Config!$B$9:$B$29,0))="","",INDEX(Config!$E$9:$E$29,MATCH($B4647,Config!$B$9:$B$29,0))),""),""))</f>
        <v/>
      </c>
      <c r="AI4647" s="19" t="str">
        <f>IF($B4647="","",IFERROR(INDEX(Config!$D$9:$D$29,MATCH($B4647,Config!$B$9:$B$29,0))&amp;"",""))</f>
        <v/>
      </c>
    </row>
    <row r="4648">
      <c r="X4648" s="20" t="str">
        <f>IF($B4648="","",IFERROR(IF(INDEX(Config!$D$9:$D$29,MATCH($B4648,Config!$B$9:$B$29,0))="Contrato",IF(INDEX(Config!$E$9:$E$29,MATCH($B4648,Config!$B$9:$B$29,0))="","",INDEX(Config!$E$9:$E$29,MATCH($B4648,Config!$B$9:$B$29,0))),""),""))</f>
        <v/>
      </c>
      <c r="AI4648" s="19" t="str">
        <f>IF($B4648="","",IFERROR(INDEX(Config!$D$9:$D$29,MATCH($B4648,Config!$B$9:$B$29,0))&amp;"",""))</f>
        <v/>
      </c>
    </row>
    <row r="4649">
      <c r="X4649" s="20" t="str">
        <f>IF($B4649="","",IFERROR(IF(INDEX(Config!$D$9:$D$29,MATCH($B4649,Config!$B$9:$B$29,0))="Contrato",IF(INDEX(Config!$E$9:$E$29,MATCH($B4649,Config!$B$9:$B$29,0))="","",INDEX(Config!$E$9:$E$29,MATCH($B4649,Config!$B$9:$B$29,0))),""),""))</f>
        <v/>
      </c>
      <c r="AI4649" s="19" t="str">
        <f>IF($B4649="","",IFERROR(INDEX(Config!$D$9:$D$29,MATCH($B4649,Config!$B$9:$B$29,0))&amp;"",""))</f>
        <v/>
      </c>
    </row>
    <row r="4650">
      <c r="X4650" s="20" t="str">
        <f>IF($B4650="","",IFERROR(IF(INDEX(Config!$D$9:$D$29,MATCH($B4650,Config!$B$9:$B$29,0))="Contrato",IF(INDEX(Config!$E$9:$E$29,MATCH($B4650,Config!$B$9:$B$29,0))="","",INDEX(Config!$E$9:$E$29,MATCH($B4650,Config!$B$9:$B$29,0))),""),""))</f>
        <v/>
      </c>
      <c r="AI4650" s="19" t="str">
        <f>IF($B4650="","",IFERROR(INDEX(Config!$D$9:$D$29,MATCH($B4650,Config!$B$9:$B$29,0))&amp;"",""))</f>
        <v/>
      </c>
    </row>
    <row r="4651">
      <c r="X4651" s="20" t="str">
        <f>IF($B4651="","",IFERROR(IF(INDEX(Config!$D$9:$D$29,MATCH($B4651,Config!$B$9:$B$29,0))="Contrato",IF(INDEX(Config!$E$9:$E$29,MATCH($B4651,Config!$B$9:$B$29,0))="","",INDEX(Config!$E$9:$E$29,MATCH($B4651,Config!$B$9:$B$29,0))),""),""))</f>
        <v/>
      </c>
      <c r="AI4651" s="19" t="str">
        <f>IF($B4651="","",IFERROR(INDEX(Config!$D$9:$D$29,MATCH($B4651,Config!$B$9:$B$29,0))&amp;"",""))</f>
        <v/>
      </c>
    </row>
    <row r="4652">
      <c r="X4652" s="20" t="str">
        <f>IF($B4652="","",IFERROR(IF(INDEX(Config!$D$9:$D$29,MATCH($B4652,Config!$B$9:$B$29,0))="Contrato",IF(INDEX(Config!$E$9:$E$29,MATCH($B4652,Config!$B$9:$B$29,0))="","",INDEX(Config!$E$9:$E$29,MATCH($B4652,Config!$B$9:$B$29,0))),""),""))</f>
        <v/>
      </c>
      <c r="AI4652" s="19" t="str">
        <f>IF($B4652="","",IFERROR(INDEX(Config!$D$9:$D$29,MATCH($B4652,Config!$B$9:$B$29,0))&amp;"",""))</f>
        <v/>
      </c>
    </row>
    <row r="4653">
      <c r="X4653" s="20" t="str">
        <f>IF($B4653="","",IFERROR(IF(INDEX(Config!$D$9:$D$29,MATCH($B4653,Config!$B$9:$B$29,0))="Contrato",IF(INDEX(Config!$E$9:$E$29,MATCH($B4653,Config!$B$9:$B$29,0))="","",INDEX(Config!$E$9:$E$29,MATCH($B4653,Config!$B$9:$B$29,0))),""),""))</f>
        <v/>
      </c>
      <c r="AI4653" s="19" t="str">
        <f>IF($B4653="","",IFERROR(INDEX(Config!$D$9:$D$29,MATCH($B4653,Config!$B$9:$B$29,0))&amp;"",""))</f>
        <v/>
      </c>
    </row>
    <row r="4654">
      <c r="X4654" s="20" t="str">
        <f>IF($B4654="","",IFERROR(IF(INDEX(Config!$D$9:$D$29,MATCH($B4654,Config!$B$9:$B$29,0))="Contrato",IF(INDEX(Config!$E$9:$E$29,MATCH($B4654,Config!$B$9:$B$29,0))="","",INDEX(Config!$E$9:$E$29,MATCH($B4654,Config!$B$9:$B$29,0))),""),""))</f>
        <v/>
      </c>
      <c r="AI4654" s="19" t="str">
        <f>IF($B4654="","",IFERROR(INDEX(Config!$D$9:$D$29,MATCH($B4654,Config!$B$9:$B$29,0))&amp;"",""))</f>
        <v/>
      </c>
    </row>
    <row r="4655">
      <c r="X4655" s="20" t="str">
        <f>IF($B4655="","",IFERROR(IF(INDEX(Config!$D$9:$D$29,MATCH($B4655,Config!$B$9:$B$29,0))="Contrato",IF(INDEX(Config!$E$9:$E$29,MATCH($B4655,Config!$B$9:$B$29,0))="","",INDEX(Config!$E$9:$E$29,MATCH($B4655,Config!$B$9:$B$29,0))),""),""))</f>
        <v/>
      </c>
      <c r="AI4655" s="19" t="str">
        <f>IF($B4655="","",IFERROR(INDEX(Config!$D$9:$D$29,MATCH($B4655,Config!$B$9:$B$29,0))&amp;"",""))</f>
        <v/>
      </c>
    </row>
    <row r="4656">
      <c r="X4656" s="20" t="str">
        <f>IF($B4656="","",IFERROR(IF(INDEX(Config!$D$9:$D$29,MATCH($B4656,Config!$B$9:$B$29,0))="Contrato",IF(INDEX(Config!$E$9:$E$29,MATCH($B4656,Config!$B$9:$B$29,0))="","",INDEX(Config!$E$9:$E$29,MATCH($B4656,Config!$B$9:$B$29,0))),""),""))</f>
        <v/>
      </c>
      <c r="AI4656" s="19" t="str">
        <f>IF($B4656="","",IFERROR(INDEX(Config!$D$9:$D$29,MATCH($B4656,Config!$B$9:$B$29,0))&amp;"",""))</f>
        <v/>
      </c>
    </row>
    <row r="4657">
      <c r="X4657" s="20" t="str">
        <f>IF($B4657="","",IFERROR(IF(INDEX(Config!$D$9:$D$29,MATCH($B4657,Config!$B$9:$B$29,0))="Contrato",IF(INDEX(Config!$E$9:$E$29,MATCH($B4657,Config!$B$9:$B$29,0))="","",INDEX(Config!$E$9:$E$29,MATCH($B4657,Config!$B$9:$B$29,0))),""),""))</f>
        <v/>
      </c>
      <c r="AI4657" s="19" t="str">
        <f>IF($B4657="","",IFERROR(INDEX(Config!$D$9:$D$29,MATCH($B4657,Config!$B$9:$B$29,0))&amp;"",""))</f>
        <v/>
      </c>
    </row>
    <row r="4658">
      <c r="X4658" s="20" t="str">
        <f>IF($B4658="","",IFERROR(IF(INDEX(Config!$D$9:$D$29,MATCH($B4658,Config!$B$9:$B$29,0))="Contrato",IF(INDEX(Config!$E$9:$E$29,MATCH($B4658,Config!$B$9:$B$29,0))="","",INDEX(Config!$E$9:$E$29,MATCH($B4658,Config!$B$9:$B$29,0))),""),""))</f>
        <v/>
      </c>
      <c r="AI4658" s="19" t="str">
        <f>IF($B4658="","",IFERROR(INDEX(Config!$D$9:$D$29,MATCH($B4658,Config!$B$9:$B$29,0))&amp;"",""))</f>
        <v/>
      </c>
    </row>
    <row r="4659">
      <c r="X4659" s="20" t="str">
        <f>IF($B4659="","",IFERROR(IF(INDEX(Config!$D$9:$D$29,MATCH($B4659,Config!$B$9:$B$29,0))="Contrato",IF(INDEX(Config!$E$9:$E$29,MATCH($B4659,Config!$B$9:$B$29,0))="","",INDEX(Config!$E$9:$E$29,MATCH($B4659,Config!$B$9:$B$29,0))),""),""))</f>
        <v/>
      </c>
      <c r="AI4659" s="19" t="str">
        <f>IF($B4659="","",IFERROR(INDEX(Config!$D$9:$D$29,MATCH($B4659,Config!$B$9:$B$29,0))&amp;"",""))</f>
        <v/>
      </c>
    </row>
    <row r="4660">
      <c r="X4660" s="20" t="str">
        <f>IF($B4660="","",IFERROR(IF(INDEX(Config!$D$9:$D$29,MATCH($B4660,Config!$B$9:$B$29,0))="Contrato",IF(INDEX(Config!$E$9:$E$29,MATCH($B4660,Config!$B$9:$B$29,0))="","",INDEX(Config!$E$9:$E$29,MATCH($B4660,Config!$B$9:$B$29,0))),""),""))</f>
        <v/>
      </c>
      <c r="AI4660" s="19" t="str">
        <f>IF($B4660="","",IFERROR(INDEX(Config!$D$9:$D$29,MATCH($B4660,Config!$B$9:$B$29,0))&amp;"",""))</f>
        <v/>
      </c>
    </row>
    <row r="4661">
      <c r="X4661" s="20" t="str">
        <f>IF($B4661="","",IFERROR(IF(INDEX(Config!$D$9:$D$29,MATCH($B4661,Config!$B$9:$B$29,0))="Contrato",IF(INDEX(Config!$E$9:$E$29,MATCH($B4661,Config!$B$9:$B$29,0))="","",INDEX(Config!$E$9:$E$29,MATCH($B4661,Config!$B$9:$B$29,0))),""),""))</f>
        <v/>
      </c>
      <c r="AI4661" s="19" t="str">
        <f>IF($B4661="","",IFERROR(INDEX(Config!$D$9:$D$29,MATCH($B4661,Config!$B$9:$B$29,0))&amp;"",""))</f>
        <v/>
      </c>
    </row>
    <row r="4662">
      <c r="X4662" s="20" t="str">
        <f>IF($B4662="","",IFERROR(IF(INDEX(Config!$D$9:$D$29,MATCH($B4662,Config!$B$9:$B$29,0))="Contrato",IF(INDEX(Config!$E$9:$E$29,MATCH($B4662,Config!$B$9:$B$29,0))="","",INDEX(Config!$E$9:$E$29,MATCH($B4662,Config!$B$9:$B$29,0))),""),""))</f>
        <v/>
      </c>
      <c r="AI4662" s="19" t="str">
        <f>IF($B4662="","",IFERROR(INDEX(Config!$D$9:$D$29,MATCH($B4662,Config!$B$9:$B$29,0))&amp;"",""))</f>
        <v/>
      </c>
    </row>
    <row r="4663">
      <c r="X4663" s="20" t="str">
        <f>IF($B4663="","",IFERROR(IF(INDEX(Config!$D$9:$D$29,MATCH($B4663,Config!$B$9:$B$29,0))="Contrato",IF(INDEX(Config!$E$9:$E$29,MATCH($B4663,Config!$B$9:$B$29,0))="","",INDEX(Config!$E$9:$E$29,MATCH($B4663,Config!$B$9:$B$29,0))),""),""))</f>
        <v/>
      </c>
      <c r="AI4663" s="19" t="str">
        <f>IF($B4663="","",IFERROR(INDEX(Config!$D$9:$D$29,MATCH($B4663,Config!$B$9:$B$29,0))&amp;"",""))</f>
        <v/>
      </c>
    </row>
    <row r="4664">
      <c r="X4664" s="20" t="str">
        <f>IF($B4664="","",IFERROR(IF(INDEX(Config!$D$9:$D$29,MATCH($B4664,Config!$B$9:$B$29,0))="Contrato",IF(INDEX(Config!$E$9:$E$29,MATCH($B4664,Config!$B$9:$B$29,0))="","",INDEX(Config!$E$9:$E$29,MATCH($B4664,Config!$B$9:$B$29,0))),""),""))</f>
        <v/>
      </c>
      <c r="AI4664" s="19" t="str">
        <f>IF($B4664="","",IFERROR(INDEX(Config!$D$9:$D$29,MATCH($B4664,Config!$B$9:$B$29,0))&amp;"",""))</f>
        <v/>
      </c>
    </row>
    <row r="4665">
      <c r="X4665" s="20" t="str">
        <f>IF($B4665="","",IFERROR(IF(INDEX(Config!$D$9:$D$29,MATCH($B4665,Config!$B$9:$B$29,0))="Contrato",IF(INDEX(Config!$E$9:$E$29,MATCH($B4665,Config!$B$9:$B$29,0))="","",INDEX(Config!$E$9:$E$29,MATCH($B4665,Config!$B$9:$B$29,0))),""),""))</f>
        <v/>
      </c>
      <c r="AI4665" s="19" t="str">
        <f>IF($B4665="","",IFERROR(INDEX(Config!$D$9:$D$29,MATCH($B4665,Config!$B$9:$B$29,0))&amp;"",""))</f>
        <v/>
      </c>
    </row>
    <row r="4666">
      <c r="X4666" s="20" t="str">
        <f>IF($B4666="","",IFERROR(IF(INDEX(Config!$D$9:$D$29,MATCH($B4666,Config!$B$9:$B$29,0))="Contrato",IF(INDEX(Config!$E$9:$E$29,MATCH($B4666,Config!$B$9:$B$29,0))="","",INDEX(Config!$E$9:$E$29,MATCH($B4666,Config!$B$9:$B$29,0))),""),""))</f>
        <v/>
      </c>
      <c r="AI4666" s="19" t="str">
        <f>IF($B4666="","",IFERROR(INDEX(Config!$D$9:$D$29,MATCH($B4666,Config!$B$9:$B$29,0))&amp;"",""))</f>
        <v/>
      </c>
    </row>
    <row r="4667">
      <c r="X4667" s="20" t="str">
        <f>IF($B4667="","",IFERROR(IF(INDEX(Config!$D$9:$D$29,MATCH($B4667,Config!$B$9:$B$29,0))="Contrato",IF(INDEX(Config!$E$9:$E$29,MATCH($B4667,Config!$B$9:$B$29,0))="","",INDEX(Config!$E$9:$E$29,MATCH($B4667,Config!$B$9:$B$29,0))),""),""))</f>
        <v/>
      </c>
      <c r="AI4667" s="19" t="str">
        <f>IF($B4667="","",IFERROR(INDEX(Config!$D$9:$D$29,MATCH($B4667,Config!$B$9:$B$29,0))&amp;"",""))</f>
        <v/>
      </c>
    </row>
    <row r="4668">
      <c r="X4668" s="20" t="str">
        <f>IF($B4668="","",IFERROR(IF(INDEX(Config!$D$9:$D$29,MATCH($B4668,Config!$B$9:$B$29,0))="Contrato",IF(INDEX(Config!$E$9:$E$29,MATCH($B4668,Config!$B$9:$B$29,0))="","",INDEX(Config!$E$9:$E$29,MATCH($B4668,Config!$B$9:$B$29,0))),""),""))</f>
        <v/>
      </c>
      <c r="AI4668" s="19" t="str">
        <f>IF($B4668="","",IFERROR(INDEX(Config!$D$9:$D$29,MATCH($B4668,Config!$B$9:$B$29,0))&amp;"",""))</f>
        <v/>
      </c>
    </row>
    <row r="4669">
      <c r="X4669" s="20" t="str">
        <f>IF($B4669="","",IFERROR(IF(INDEX(Config!$D$9:$D$29,MATCH($B4669,Config!$B$9:$B$29,0))="Contrato",IF(INDEX(Config!$E$9:$E$29,MATCH($B4669,Config!$B$9:$B$29,0))="","",INDEX(Config!$E$9:$E$29,MATCH($B4669,Config!$B$9:$B$29,0))),""),""))</f>
        <v/>
      </c>
      <c r="AI4669" s="19" t="str">
        <f>IF($B4669="","",IFERROR(INDEX(Config!$D$9:$D$29,MATCH($B4669,Config!$B$9:$B$29,0))&amp;"",""))</f>
        <v/>
      </c>
    </row>
    <row r="4670">
      <c r="X4670" s="20" t="str">
        <f>IF($B4670="","",IFERROR(IF(INDEX(Config!$D$9:$D$29,MATCH($B4670,Config!$B$9:$B$29,0))="Contrato",IF(INDEX(Config!$E$9:$E$29,MATCH($B4670,Config!$B$9:$B$29,0))="","",INDEX(Config!$E$9:$E$29,MATCH($B4670,Config!$B$9:$B$29,0))),""),""))</f>
        <v/>
      </c>
      <c r="AI4670" s="19" t="str">
        <f>IF($B4670="","",IFERROR(INDEX(Config!$D$9:$D$29,MATCH($B4670,Config!$B$9:$B$29,0))&amp;"",""))</f>
        <v/>
      </c>
    </row>
    <row r="4671">
      <c r="X4671" s="20" t="str">
        <f>IF($B4671="","",IFERROR(IF(INDEX(Config!$D$9:$D$29,MATCH($B4671,Config!$B$9:$B$29,0))="Contrato",IF(INDEX(Config!$E$9:$E$29,MATCH($B4671,Config!$B$9:$B$29,0))="","",INDEX(Config!$E$9:$E$29,MATCH($B4671,Config!$B$9:$B$29,0))),""),""))</f>
        <v/>
      </c>
      <c r="AI4671" s="19" t="str">
        <f>IF($B4671="","",IFERROR(INDEX(Config!$D$9:$D$29,MATCH($B4671,Config!$B$9:$B$29,0))&amp;"",""))</f>
        <v/>
      </c>
    </row>
    <row r="4672">
      <c r="X4672" s="20" t="str">
        <f>IF($B4672="","",IFERROR(IF(INDEX(Config!$D$9:$D$29,MATCH($B4672,Config!$B$9:$B$29,0))="Contrato",IF(INDEX(Config!$E$9:$E$29,MATCH($B4672,Config!$B$9:$B$29,0))="","",INDEX(Config!$E$9:$E$29,MATCH($B4672,Config!$B$9:$B$29,0))),""),""))</f>
        <v/>
      </c>
      <c r="AI4672" s="19" t="str">
        <f>IF($B4672="","",IFERROR(INDEX(Config!$D$9:$D$29,MATCH($B4672,Config!$B$9:$B$29,0))&amp;"",""))</f>
        <v/>
      </c>
    </row>
    <row r="4673">
      <c r="X4673" s="20" t="str">
        <f>IF($B4673="","",IFERROR(IF(INDEX(Config!$D$9:$D$29,MATCH($B4673,Config!$B$9:$B$29,0))="Contrato",IF(INDEX(Config!$E$9:$E$29,MATCH($B4673,Config!$B$9:$B$29,0))="","",INDEX(Config!$E$9:$E$29,MATCH($B4673,Config!$B$9:$B$29,0))),""),""))</f>
        <v/>
      </c>
      <c r="AI4673" s="19" t="str">
        <f>IF($B4673="","",IFERROR(INDEX(Config!$D$9:$D$29,MATCH($B4673,Config!$B$9:$B$29,0))&amp;"",""))</f>
        <v/>
      </c>
    </row>
    <row r="4674">
      <c r="X4674" s="20" t="str">
        <f>IF($B4674="","",IFERROR(IF(INDEX(Config!$D$9:$D$29,MATCH($B4674,Config!$B$9:$B$29,0))="Contrato",IF(INDEX(Config!$E$9:$E$29,MATCH($B4674,Config!$B$9:$B$29,0))="","",INDEX(Config!$E$9:$E$29,MATCH($B4674,Config!$B$9:$B$29,0))),""),""))</f>
        <v/>
      </c>
      <c r="AI4674" s="19" t="str">
        <f>IF($B4674="","",IFERROR(INDEX(Config!$D$9:$D$29,MATCH($B4674,Config!$B$9:$B$29,0))&amp;"",""))</f>
        <v/>
      </c>
    </row>
    <row r="4675">
      <c r="X4675" s="20" t="str">
        <f>IF($B4675="","",IFERROR(IF(INDEX(Config!$D$9:$D$29,MATCH($B4675,Config!$B$9:$B$29,0))="Contrato",IF(INDEX(Config!$E$9:$E$29,MATCH($B4675,Config!$B$9:$B$29,0))="","",INDEX(Config!$E$9:$E$29,MATCH($B4675,Config!$B$9:$B$29,0))),""),""))</f>
        <v/>
      </c>
      <c r="AI4675" s="19" t="str">
        <f>IF($B4675="","",IFERROR(INDEX(Config!$D$9:$D$29,MATCH($B4675,Config!$B$9:$B$29,0))&amp;"",""))</f>
        <v/>
      </c>
    </row>
    <row r="4676">
      <c r="X4676" s="20" t="str">
        <f>IF($B4676="","",IFERROR(IF(INDEX(Config!$D$9:$D$29,MATCH($B4676,Config!$B$9:$B$29,0))="Contrato",IF(INDEX(Config!$E$9:$E$29,MATCH($B4676,Config!$B$9:$B$29,0))="","",INDEX(Config!$E$9:$E$29,MATCH($B4676,Config!$B$9:$B$29,0))),""),""))</f>
        <v/>
      </c>
      <c r="AI4676" s="19" t="str">
        <f>IF($B4676="","",IFERROR(INDEX(Config!$D$9:$D$29,MATCH($B4676,Config!$B$9:$B$29,0))&amp;"",""))</f>
        <v/>
      </c>
    </row>
    <row r="4677">
      <c r="X4677" s="20" t="str">
        <f>IF($B4677="","",IFERROR(IF(INDEX(Config!$D$9:$D$29,MATCH($B4677,Config!$B$9:$B$29,0))="Contrato",IF(INDEX(Config!$E$9:$E$29,MATCH($B4677,Config!$B$9:$B$29,0))="","",INDEX(Config!$E$9:$E$29,MATCH($B4677,Config!$B$9:$B$29,0))),""),""))</f>
        <v/>
      </c>
      <c r="AI4677" s="19" t="str">
        <f>IF($B4677="","",IFERROR(INDEX(Config!$D$9:$D$29,MATCH($B4677,Config!$B$9:$B$29,0))&amp;"",""))</f>
        <v/>
      </c>
    </row>
    <row r="4678">
      <c r="X4678" s="20" t="str">
        <f>IF($B4678="","",IFERROR(IF(INDEX(Config!$D$9:$D$29,MATCH($B4678,Config!$B$9:$B$29,0))="Contrato",IF(INDEX(Config!$E$9:$E$29,MATCH($B4678,Config!$B$9:$B$29,0))="","",INDEX(Config!$E$9:$E$29,MATCH($B4678,Config!$B$9:$B$29,0))),""),""))</f>
        <v/>
      </c>
      <c r="AI4678" s="19" t="str">
        <f>IF($B4678="","",IFERROR(INDEX(Config!$D$9:$D$29,MATCH($B4678,Config!$B$9:$B$29,0))&amp;"",""))</f>
        <v/>
      </c>
    </row>
    <row r="4679">
      <c r="X4679" s="20" t="str">
        <f>IF($B4679="","",IFERROR(IF(INDEX(Config!$D$9:$D$29,MATCH($B4679,Config!$B$9:$B$29,0))="Contrato",IF(INDEX(Config!$E$9:$E$29,MATCH($B4679,Config!$B$9:$B$29,0))="","",INDEX(Config!$E$9:$E$29,MATCH($B4679,Config!$B$9:$B$29,0))),""),""))</f>
        <v/>
      </c>
      <c r="AI4679" s="19" t="str">
        <f>IF($B4679="","",IFERROR(INDEX(Config!$D$9:$D$29,MATCH($B4679,Config!$B$9:$B$29,0))&amp;"",""))</f>
        <v/>
      </c>
    </row>
    <row r="4680">
      <c r="X4680" s="20" t="str">
        <f>IF($B4680="","",IFERROR(IF(INDEX(Config!$D$9:$D$29,MATCH($B4680,Config!$B$9:$B$29,0))="Contrato",IF(INDEX(Config!$E$9:$E$29,MATCH($B4680,Config!$B$9:$B$29,0))="","",INDEX(Config!$E$9:$E$29,MATCH($B4680,Config!$B$9:$B$29,0))),""),""))</f>
        <v/>
      </c>
      <c r="AI4680" s="19" t="str">
        <f>IF($B4680="","",IFERROR(INDEX(Config!$D$9:$D$29,MATCH($B4680,Config!$B$9:$B$29,0))&amp;"",""))</f>
        <v/>
      </c>
    </row>
    <row r="4681">
      <c r="X4681" s="20" t="str">
        <f>IF($B4681="","",IFERROR(IF(INDEX(Config!$D$9:$D$29,MATCH($B4681,Config!$B$9:$B$29,0))="Contrato",IF(INDEX(Config!$E$9:$E$29,MATCH($B4681,Config!$B$9:$B$29,0))="","",INDEX(Config!$E$9:$E$29,MATCH($B4681,Config!$B$9:$B$29,0))),""),""))</f>
        <v/>
      </c>
      <c r="AI4681" s="19" t="str">
        <f>IF($B4681="","",IFERROR(INDEX(Config!$D$9:$D$29,MATCH($B4681,Config!$B$9:$B$29,0))&amp;"",""))</f>
        <v/>
      </c>
    </row>
    <row r="4682">
      <c r="X4682" s="20" t="str">
        <f>IF($B4682="","",IFERROR(IF(INDEX(Config!$D$9:$D$29,MATCH($B4682,Config!$B$9:$B$29,0))="Contrato",IF(INDEX(Config!$E$9:$E$29,MATCH($B4682,Config!$B$9:$B$29,0))="","",INDEX(Config!$E$9:$E$29,MATCH($B4682,Config!$B$9:$B$29,0))),""),""))</f>
        <v/>
      </c>
      <c r="AI4682" s="19" t="str">
        <f>IF($B4682="","",IFERROR(INDEX(Config!$D$9:$D$29,MATCH($B4682,Config!$B$9:$B$29,0))&amp;"",""))</f>
        <v/>
      </c>
    </row>
    <row r="4683">
      <c r="X4683" s="20" t="str">
        <f>IF($B4683="","",IFERROR(IF(INDEX(Config!$D$9:$D$29,MATCH($B4683,Config!$B$9:$B$29,0))="Contrato",IF(INDEX(Config!$E$9:$E$29,MATCH($B4683,Config!$B$9:$B$29,0))="","",INDEX(Config!$E$9:$E$29,MATCH($B4683,Config!$B$9:$B$29,0))),""),""))</f>
        <v/>
      </c>
      <c r="AI4683" s="19" t="str">
        <f>IF($B4683="","",IFERROR(INDEX(Config!$D$9:$D$29,MATCH($B4683,Config!$B$9:$B$29,0))&amp;"",""))</f>
        <v/>
      </c>
    </row>
    <row r="4684">
      <c r="X4684" s="20" t="str">
        <f>IF($B4684="","",IFERROR(IF(INDEX(Config!$D$9:$D$29,MATCH($B4684,Config!$B$9:$B$29,0))="Contrato",IF(INDEX(Config!$E$9:$E$29,MATCH($B4684,Config!$B$9:$B$29,0))="","",INDEX(Config!$E$9:$E$29,MATCH($B4684,Config!$B$9:$B$29,0))),""),""))</f>
        <v/>
      </c>
      <c r="AI4684" s="19" t="str">
        <f>IF($B4684="","",IFERROR(INDEX(Config!$D$9:$D$29,MATCH($B4684,Config!$B$9:$B$29,0))&amp;"",""))</f>
        <v/>
      </c>
    </row>
    <row r="4685">
      <c r="X4685" s="20" t="str">
        <f>IF($B4685="","",IFERROR(IF(INDEX(Config!$D$9:$D$29,MATCH($B4685,Config!$B$9:$B$29,0))="Contrato",IF(INDEX(Config!$E$9:$E$29,MATCH($B4685,Config!$B$9:$B$29,0))="","",INDEX(Config!$E$9:$E$29,MATCH($B4685,Config!$B$9:$B$29,0))),""),""))</f>
        <v/>
      </c>
      <c r="AI4685" s="19" t="str">
        <f>IF($B4685="","",IFERROR(INDEX(Config!$D$9:$D$29,MATCH($B4685,Config!$B$9:$B$29,0))&amp;"",""))</f>
        <v/>
      </c>
    </row>
    <row r="4686">
      <c r="X4686" s="20" t="str">
        <f>IF($B4686="","",IFERROR(IF(INDEX(Config!$D$9:$D$29,MATCH($B4686,Config!$B$9:$B$29,0))="Contrato",IF(INDEX(Config!$E$9:$E$29,MATCH($B4686,Config!$B$9:$B$29,0))="","",INDEX(Config!$E$9:$E$29,MATCH($B4686,Config!$B$9:$B$29,0))),""),""))</f>
        <v/>
      </c>
      <c r="AI4686" s="19" t="str">
        <f>IF($B4686="","",IFERROR(INDEX(Config!$D$9:$D$29,MATCH($B4686,Config!$B$9:$B$29,0))&amp;"",""))</f>
        <v/>
      </c>
    </row>
    <row r="4687">
      <c r="X4687" s="20" t="str">
        <f>IF($B4687="","",IFERROR(IF(INDEX(Config!$D$9:$D$29,MATCH($B4687,Config!$B$9:$B$29,0))="Contrato",IF(INDEX(Config!$E$9:$E$29,MATCH($B4687,Config!$B$9:$B$29,0))="","",INDEX(Config!$E$9:$E$29,MATCH($B4687,Config!$B$9:$B$29,0))),""),""))</f>
        <v/>
      </c>
      <c r="AI4687" s="19" t="str">
        <f>IF($B4687="","",IFERROR(INDEX(Config!$D$9:$D$29,MATCH($B4687,Config!$B$9:$B$29,0))&amp;"",""))</f>
        <v/>
      </c>
    </row>
    <row r="4688">
      <c r="X4688" s="20" t="str">
        <f>IF($B4688="","",IFERROR(IF(INDEX(Config!$D$9:$D$29,MATCH($B4688,Config!$B$9:$B$29,0))="Contrato",IF(INDEX(Config!$E$9:$E$29,MATCH($B4688,Config!$B$9:$B$29,0))="","",INDEX(Config!$E$9:$E$29,MATCH($B4688,Config!$B$9:$B$29,0))),""),""))</f>
        <v/>
      </c>
      <c r="AI4688" s="19" t="str">
        <f>IF($B4688="","",IFERROR(INDEX(Config!$D$9:$D$29,MATCH($B4688,Config!$B$9:$B$29,0))&amp;"",""))</f>
        <v/>
      </c>
    </row>
    <row r="4689">
      <c r="X4689" s="20" t="str">
        <f>IF($B4689="","",IFERROR(IF(INDEX(Config!$D$9:$D$29,MATCH($B4689,Config!$B$9:$B$29,0))="Contrato",IF(INDEX(Config!$E$9:$E$29,MATCH($B4689,Config!$B$9:$B$29,0))="","",INDEX(Config!$E$9:$E$29,MATCH($B4689,Config!$B$9:$B$29,0))),""),""))</f>
        <v/>
      </c>
      <c r="AI4689" s="19" t="str">
        <f>IF($B4689="","",IFERROR(INDEX(Config!$D$9:$D$29,MATCH($B4689,Config!$B$9:$B$29,0))&amp;"",""))</f>
        <v/>
      </c>
    </row>
    <row r="4690">
      <c r="X4690" s="20" t="str">
        <f>IF($B4690="","",IFERROR(IF(INDEX(Config!$D$9:$D$29,MATCH($B4690,Config!$B$9:$B$29,0))="Contrato",IF(INDEX(Config!$E$9:$E$29,MATCH($B4690,Config!$B$9:$B$29,0))="","",INDEX(Config!$E$9:$E$29,MATCH($B4690,Config!$B$9:$B$29,0))),""),""))</f>
        <v/>
      </c>
      <c r="AI4690" s="19" t="str">
        <f>IF($B4690="","",IFERROR(INDEX(Config!$D$9:$D$29,MATCH($B4690,Config!$B$9:$B$29,0))&amp;"",""))</f>
        <v/>
      </c>
    </row>
    <row r="4691">
      <c r="X4691" s="20" t="str">
        <f>IF($B4691="","",IFERROR(IF(INDEX(Config!$D$9:$D$29,MATCH($B4691,Config!$B$9:$B$29,0))="Contrato",IF(INDEX(Config!$E$9:$E$29,MATCH($B4691,Config!$B$9:$B$29,0))="","",INDEX(Config!$E$9:$E$29,MATCH($B4691,Config!$B$9:$B$29,0))),""),""))</f>
        <v/>
      </c>
      <c r="AI4691" s="19" t="str">
        <f>IF($B4691="","",IFERROR(INDEX(Config!$D$9:$D$29,MATCH($B4691,Config!$B$9:$B$29,0))&amp;"",""))</f>
        <v/>
      </c>
    </row>
    <row r="4692">
      <c r="X4692" s="20" t="str">
        <f>IF($B4692="","",IFERROR(IF(INDEX(Config!$D$9:$D$29,MATCH($B4692,Config!$B$9:$B$29,0))="Contrato",IF(INDEX(Config!$E$9:$E$29,MATCH($B4692,Config!$B$9:$B$29,0))="","",INDEX(Config!$E$9:$E$29,MATCH($B4692,Config!$B$9:$B$29,0))),""),""))</f>
        <v/>
      </c>
      <c r="AI4692" s="19" t="str">
        <f>IF($B4692="","",IFERROR(INDEX(Config!$D$9:$D$29,MATCH($B4692,Config!$B$9:$B$29,0))&amp;"",""))</f>
        <v/>
      </c>
    </row>
    <row r="4693">
      <c r="X4693" s="20" t="str">
        <f>IF($B4693="","",IFERROR(IF(INDEX(Config!$D$9:$D$29,MATCH($B4693,Config!$B$9:$B$29,0))="Contrato",IF(INDEX(Config!$E$9:$E$29,MATCH($B4693,Config!$B$9:$B$29,0))="","",INDEX(Config!$E$9:$E$29,MATCH($B4693,Config!$B$9:$B$29,0))),""),""))</f>
        <v/>
      </c>
      <c r="AI4693" s="19" t="str">
        <f>IF($B4693="","",IFERROR(INDEX(Config!$D$9:$D$29,MATCH($B4693,Config!$B$9:$B$29,0))&amp;"",""))</f>
        <v/>
      </c>
    </row>
    <row r="4694">
      <c r="X4694" s="20" t="str">
        <f>IF($B4694="","",IFERROR(IF(INDEX(Config!$D$9:$D$29,MATCH($B4694,Config!$B$9:$B$29,0))="Contrato",IF(INDEX(Config!$E$9:$E$29,MATCH($B4694,Config!$B$9:$B$29,0))="","",INDEX(Config!$E$9:$E$29,MATCH($B4694,Config!$B$9:$B$29,0))),""),""))</f>
        <v/>
      </c>
      <c r="AI4694" s="19" t="str">
        <f>IF($B4694="","",IFERROR(INDEX(Config!$D$9:$D$29,MATCH($B4694,Config!$B$9:$B$29,0))&amp;"",""))</f>
        <v/>
      </c>
    </row>
    <row r="4695">
      <c r="X4695" s="20" t="str">
        <f>IF($B4695="","",IFERROR(IF(INDEX(Config!$D$9:$D$29,MATCH($B4695,Config!$B$9:$B$29,0))="Contrato",IF(INDEX(Config!$E$9:$E$29,MATCH($B4695,Config!$B$9:$B$29,0))="","",INDEX(Config!$E$9:$E$29,MATCH($B4695,Config!$B$9:$B$29,0))),""),""))</f>
        <v/>
      </c>
      <c r="AI4695" s="19" t="str">
        <f>IF($B4695="","",IFERROR(INDEX(Config!$D$9:$D$29,MATCH($B4695,Config!$B$9:$B$29,0))&amp;"",""))</f>
        <v/>
      </c>
    </row>
    <row r="4696">
      <c r="X4696" s="20" t="str">
        <f>IF($B4696="","",IFERROR(IF(INDEX(Config!$D$9:$D$29,MATCH($B4696,Config!$B$9:$B$29,0))="Contrato",IF(INDEX(Config!$E$9:$E$29,MATCH($B4696,Config!$B$9:$B$29,0))="","",INDEX(Config!$E$9:$E$29,MATCH($B4696,Config!$B$9:$B$29,0))),""),""))</f>
        <v/>
      </c>
      <c r="AI4696" s="19" t="str">
        <f>IF($B4696="","",IFERROR(INDEX(Config!$D$9:$D$29,MATCH($B4696,Config!$B$9:$B$29,0))&amp;"",""))</f>
        <v/>
      </c>
    </row>
    <row r="4697">
      <c r="X4697" s="20" t="str">
        <f>IF($B4697="","",IFERROR(IF(INDEX(Config!$D$9:$D$29,MATCH($B4697,Config!$B$9:$B$29,0))="Contrato",IF(INDEX(Config!$E$9:$E$29,MATCH($B4697,Config!$B$9:$B$29,0))="","",INDEX(Config!$E$9:$E$29,MATCH($B4697,Config!$B$9:$B$29,0))),""),""))</f>
        <v/>
      </c>
      <c r="AI4697" s="19" t="str">
        <f>IF($B4697="","",IFERROR(INDEX(Config!$D$9:$D$29,MATCH($B4697,Config!$B$9:$B$29,0))&amp;"",""))</f>
        <v/>
      </c>
    </row>
    <row r="4698">
      <c r="X4698" s="20" t="str">
        <f>IF($B4698="","",IFERROR(IF(INDEX(Config!$D$9:$D$29,MATCH($B4698,Config!$B$9:$B$29,0))="Contrato",IF(INDEX(Config!$E$9:$E$29,MATCH($B4698,Config!$B$9:$B$29,0))="","",INDEX(Config!$E$9:$E$29,MATCH($B4698,Config!$B$9:$B$29,0))),""),""))</f>
        <v/>
      </c>
      <c r="AI4698" s="19" t="str">
        <f>IF($B4698="","",IFERROR(INDEX(Config!$D$9:$D$29,MATCH($B4698,Config!$B$9:$B$29,0))&amp;"",""))</f>
        <v/>
      </c>
    </row>
    <row r="4699">
      <c r="X4699" s="20" t="str">
        <f>IF($B4699="","",IFERROR(IF(INDEX(Config!$D$9:$D$29,MATCH($B4699,Config!$B$9:$B$29,0))="Contrato",IF(INDEX(Config!$E$9:$E$29,MATCH($B4699,Config!$B$9:$B$29,0))="","",INDEX(Config!$E$9:$E$29,MATCH($B4699,Config!$B$9:$B$29,0))),""),""))</f>
        <v/>
      </c>
      <c r="AI4699" s="19" t="str">
        <f>IF($B4699="","",IFERROR(INDEX(Config!$D$9:$D$29,MATCH($B4699,Config!$B$9:$B$29,0))&amp;"",""))</f>
        <v/>
      </c>
    </row>
    <row r="4700">
      <c r="X4700" s="20" t="str">
        <f>IF($B4700="","",IFERROR(IF(INDEX(Config!$D$9:$D$29,MATCH($B4700,Config!$B$9:$B$29,0))="Contrato",IF(INDEX(Config!$E$9:$E$29,MATCH($B4700,Config!$B$9:$B$29,0))="","",INDEX(Config!$E$9:$E$29,MATCH($B4700,Config!$B$9:$B$29,0))),""),""))</f>
        <v/>
      </c>
      <c r="AI4700" s="19" t="str">
        <f>IF($B4700="","",IFERROR(INDEX(Config!$D$9:$D$29,MATCH($B4700,Config!$B$9:$B$29,0))&amp;"",""))</f>
        <v/>
      </c>
    </row>
    <row r="4701">
      <c r="X4701" s="20" t="str">
        <f>IF($B4701="","",IFERROR(IF(INDEX(Config!$D$9:$D$29,MATCH($B4701,Config!$B$9:$B$29,0))="Contrato",IF(INDEX(Config!$E$9:$E$29,MATCH($B4701,Config!$B$9:$B$29,0))="","",INDEX(Config!$E$9:$E$29,MATCH($B4701,Config!$B$9:$B$29,0))),""),""))</f>
        <v/>
      </c>
      <c r="AI4701" s="19" t="str">
        <f>IF($B4701="","",IFERROR(INDEX(Config!$D$9:$D$29,MATCH($B4701,Config!$B$9:$B$29,0))&amp;"",""))</f>
        <v/>
      </c>
    </row>
    <row r="4702">
      <c r="X4702" s="20" t="str">
        <f>IF($B4702="","",IFERROR(IF(INDEX(Config!$D$9:$D$29,MATCH($B4702,Config!$B$9:$B$29,0))="Contrato",IF(INDEX(Config!$E$9:$E$29,MATCH($B4702,Config!$B$9:$B$29,0))="","",INDEX(Config!$E$9:$E$29,MATCH($B4702,Config!$B$9:$B$29,0))),""),""))</f>
        <v/>
      </c>
      <c r="AI4702" s="19" t="str">
        <f>IF($B4702="","",IFERROR(INDEX(Config!$D$9:$D$29,MATCH($B4702,Config!$B$9:$B$29,0))&amp;"",""))</f>
        <v/>
      </c>
    </row>
    <row r="4703">
      <c r="X4703" s="20" t="str">
        <f>IF($B4703="","",IFERROR(IF(INDEX(Config!$D$9:$D$29,MATCH($B4703,Config!$B$9:$B$29,0))="Contrato",IF(INDEX(Config!$E$9:$E$29,MATCH($B4703,Config!$B$9:$B$29,0))="","",INDEX(Config!$E$9:$E$29,MATCH($B4703,Config!$B$9:$B$29,0))),""),""))</f>
        <v/>
      </c>
      <c r="AI4703" s="19" t="str">
        <f>IF($B4703="","",IFERROR(INDEX(Config!$D$9:$D$29,MATCH($B4703,Config!$B$9:$B$29,0))&amp;"",""))</f>
        <v/>
      </c>
    </row>
    <row r="4704">
      <c r="X4704" s="20" t="str">
        <f>IF($B4704="","",IFERROR(IF(INDEX(Config!$D$9:$D$29,MATCH($B4704,Config!$B$9:$B$29,0))="Contrato",IF(INDEX(Config!$E$9:$E$29,MATCH($B4704,Config!$B$9:$B$29,0))="","",INDEX(Config!$E$9:$E$29,MATCH($B4704,Config!$B$9:$B$29,0))),""),""))</f>
        <v/>
      </c>
      <c r="AI4704" s="19" t="str">
        <f>IF($B4704="","",IFERROR(INDEX(Config!$D$9:$D$29,MATCH($B4704,Config!$B$9:$B$29,0))&amp;"",""))</f>
        <v/>
      </c>
    </row>
    <row r="4705">
      <c r="X4705" s="20" t="str">
        <f>IF($B4705="","",IFERROR(IF(INDEX(Config!$D$9:$D$29,MATCH($B4705,Config!$B$9:$B$29,0))="Contrato",IF(INDEX(Config!$E$9:$E$29,MATCH($B4705,Config!$B$9:$B$29,0))="","",INDEX(Config!$E$9:$E$29,MATCH($B4705,Config!$B$9:$B$29,0))),""),""))</f>
        <v/>
      </c>
      <c r="AI4705" s="19" t="str">
        <f>IF($B4705="","",IFERROR(INDEX(Config!$D$9:$D$29,MATCH($B4705,Config!$B$9:$B$29,0))&amp;"",""))</f>
        <v/>
      </c>
    </row>
    <row r="4706">
      <c r="X4706" s="20" t="str">
        <f>IF($B4706="","",IFERROR(IF(INDEX(Config!$D$9:$D$29,MATCH($B4706,Config!$B$9:$B$29,0))="Contrato",IF(INDEX(Config!$E$9:$E$29,MATCH($B4706,Config!$B$9:$B$29,0))="","",INDEX(Config!$E$9:$E$29,MATCH($B4706,Config!$B$9:$B$29,0))),""),""))</f>
        <v/>
      </c>
      <c r="AI4706" s="19" t="str">
        <f>IF($B4706="","",IFERROR(INDEX(Config!$D$9:$D$29,MATCH($B4706,Config!$B$9:$B$29,0))&amp;"",""))</f>
        <v/>
      </c>
    </row>
    <row r="4707">
      <c r="X4707" s="20" t="str">
        <f>IF($B4707="","",IFERROR(IF(INDEX(Config!$D$9:$D$29,MATCH($B4707,Config!$B$9:$B$29,0))="Contrato",IF(INDEX(Config!$E$9:$E$29,MATCH($B4707,Config!$B$9:$B$29,0))="","",INDEX(Config!$E$9:$E$29,MATCH($B4707,Config!$B$9:$B$29,0))),""),""))</f>
        <v/>
      </c>
      <c r="AI4707" s="19" t="str">
        <f>IF($B4707="","",IFERROR(INDEX(Config!$D$9:$D$29,MATCH($B4707,Config!$B$9:$B$29,0))&amp;"",""))</f>
        <v/>
      </c>
    </row>
    <row r="4708">
      <c r="X4708" s="20" t="str">
        <f>IF($B4708="","",IFERROR(IF(INDEX(Config!$D$9:$D$29,MATCH($B4708,Config!$B$9:$B$29,0))="Contrato",IF(INDEX(Config!$E$9:$E$29,MATCH($B4708,Config!$B$9:$B$29,0))="","",INDEX(Config!$E$9:$E$29,MATCH($B4708,Config!$B$9:$B$29,0))),""),""))</f>
        <v/>
      </c>
      <c r="AI4708" s="19" t="str">
        <f>IF($B4708="","",IFERROR(INDEX(Config!$D$9:$D$29,MATCH($B4708,Config!$B$9:$B$29,0))&amp;"",""))</f>
        <v/>
      </c>
    </row>
    <row r="4709">
      <c r="X4709" s="20" t="str">
        <f>IF($B4709="","",IFERROR(IF(INDEX(Config!$D$9:$D$29,MATCH($B4709,Config!$B$9:$B$29,0))="Contrato",IF(INDEX(Config!$E$9:$E$29,MATCH($B4709,Config!$B$9:$B$29,0))="","",INDEX(Config!$E$9:$E$29,MATCH($B4709,Config!$B$9:$B$29,0))),""),""))</f>
        <v/>
      </c>
      <c r="AI4709" s="19" t="str">
        <f>IF($B4709="","",IFERROR(INDEX(Config!$D$9:$D$29,MATCH($B4709,Config!$B$9:$B$29,0))&amp;"",""))</f>
        <v/>
      </c>
    </row>
    <row r="4710">
      <c r="X4710" s="20" t="str">
        <f>IF($B4710="","",IFERROR(IF(INDEX(Config!$D$9:$D$29,MATCH($B4710,Config!$B$9:$B$29,0))="Contrato",IF(INDEX(Config!$E$9:$E$29,MATCH($B4710,Config!$B$9:$B$29,0))="","",INDEX(Config!$E$9:$E$29,MATCH($B4710,Config!$B$9:$B$29,0))),""),""))</f>
        <v/>
      </c>
      <c r="AI4710" s="19" t="str">
        <f>IF($B4710="","",IFERROR(INDEX(Config!$D$9:$D$29,MATCH($B4710,Config!$B$9:$B$29,0))&amp;"",""))</f>
        <v/>
      </c>
    </row>
    <row r="4711">
      <c r="X4711" s="20" t="str">
        <f>IF($B4711="","",IFERROR(IF(INDEX(Config!$D$9:$D$29,MATCH($B4711,Config!$B$9:$B$29,0))="Contrato",IF(INDEX(Config!$E$9:$E$29,MATCH($B4711,Config!$B$9:$B$29,0))="","",INDEX(Config!$E$9:$E$29,MATCH($B4711,Config!$B$9:$B$29,0))),""),""))</f>
        <v/>
      </c>
      <c r="AI4711" s="19" t="str">
        <f>IF($B4711="","",IFERROR(INDEX(Config!$D$9:$D$29,MATCH($B4711,Config!$B$9:$B$29,0))&amp;"",""))</f>
        <v/>
      </c>
    </row>
    <row r="4712">
      <c r="X4712" s="20" t="str">
        <f>IF($B4712="","",IFERROR(IF(INDEX(Config!$D$9:$D$29,MATCH($B4712,Config!$B$9:$B$29,0))="Contrato",IF(INDEX(Config!$E$9:$E$29,MATCH($B4712,Config!$B$9:$B$29,0))="","",INDEX(Config!$E$9:$E$29,MATCH($B4712,Config!$B$9:$B$29,0))),""),""))</f>
        <v/>
      </c>
      <c r="AI4712" s="19" t="str">
        <f>IF($B4712="","",IFERROR(INDEX(Config!$D$9:$D$29,MATCH($B4712,Config!$B$9:$B$29,0))&amp;"",""))</f>
        <v/>
      </c>
    </row>
    <row r="4713">
      <c r="X4713" s="20" t="str">
        <f>IF($B4713="","",IFERROR(IF(INDEX(Config!$D$9:$D$29,MATCH($B4713,Config!$B$9:$B$29,0))="Contrato",IF(INDEX(Config!$E$9:$E$29,MATCH($B4713,Config!$B$9:$B$29,0))="","",INDEX(Config!$E$9:$E$29,MATCH($B4713,Config!$B$9:$B$29,0))),""),""))</f>
        <v/>
      </c>
      <c r="AI4713" s="19" t="str">
        <f>IF($B4713="","",IFERROR(INDEX(Config!$D$9:$D$29,MATCH($B4713,Config!$B$9:$B$29,0))&amp;"",""))</f>
        <v/>
      </c>
    </row>
    <row r="4714">
      <c r="X4714" s="20" t="str">
        <f>IF($B4714="","",IFERROR(IF(INDEX(Config!$D$9:$D$29,MATCH($B4714,Config!$B$9:$B$29,0))="Contrato",IF(INDEX(Config!$E$9:$E$29,MATCH($B4714,Config!$B$9:$B$29,0))="","",INDEX(Config!$E$9:$E$29,MATCH($B4714,Config!$B$9:$B$29,0))),""),""))</f>
        <v/>
      </c>
      <c r="AI4714" s="19" t="str">
        <f>IF($B4714="","",IFERROR(INDEX(Config!$D$9:$D$29,MATCH($B4714,Config!$B$9:$B$29,0))&amp;"",""))</f>
        <v/>
      </c>
    </row>
    <row r="4715">
      <c r="X4715" s="20" t="str">
        <f>IF($B4715="","",IFERROR(IF(INDEX(Config!$D$9:$D$29,MATCH($B4715,Config!$B$9:$B$29,0))="Contrato",IF(INDEX(Config!$E$9:$E$29,MATCH($B4715,Config!$B$9:$B$29,0))="","",INDEX(Config!$E$9:$E$29,MATCH($B4715,Config!$B$9:$B$29,0))),""),""))</f>
        <v/>
      </c>
      <c r="AI4715" s="19" t="str">
        <f>IF($B4715="","",IFERROR(INDEX(Config!$D$9:$D$29,MATCH($B4715,Config!$B$9:$B$29,0))&amp;"",""))</f>
        <v/>
      </c>
    </row>
    <row r="4716">
      <c r="X4716" s="20" t="str">
        <f>IF($B4716="","",IFERROR(IF(INDEX(Config!$D$9:$D$29,MATCH($B4716,Config!$B$9:$B$29,0))="Contrato",IF(INDEX(Config!$E$9:$E$29,MATCH($B4716,Config!$B$9:$B$29,0))="","",INDEX(Config!$E$9:$E$29,MATCH($B4716,Config!$B$9:$B$29,0))),""),""))</f>
        <v/>
      </c>
      <c r="AI4716" s="19" t="str">
        <f>IF($B4716="","",IFERROR(INDEX(Config!$D$9:$D$29,MATCH($B4716,Config!$B$9:$B$29,0))&amp;"",""))</f>
        <v/>
      </c>
    </row>
    <row r="4717">
      <c r="X4717" s="20" t="str">
        <f>IF($B4717="","",IFERROR(IF(INDEX(Config!$D$9:$D$29,MATCH($B4717,Config!$B$9:$B$29,0))="Contrato",IF(INDEX(Config!$E$9:$E$29,MATCH($B4717,Config!$B$9:$B$29,0))="","",INDEX(Config!$E$9:$E$29,MATCH($B4717,Config!$B$9:$B$29,0))),""),""))</f>
        <v/>
      </c>
      <c r="AI4717" s="19" t="str">
        <f>IF($B4717="","",IFERROR(INDEX(Config!$D$9:$D$29,MATCH($B4717,Config!$B$9:$B$29,0))&amp;"",""))</f>
        <v/>
      </c>
    </row>
    <row r="4718">
      <c r="X4718" s="20" t="str">
        <f>IF($B4718="","",IFERROR(IF(INDEX(Config!$D$9:$D$29,MATCH($B4718,Config!$B$9:$B$29,0))="Contrato",IF(INDEX(Config!$E$9:$E$29,MATCH($B4718,Config!$B$9:$B$29,0))="","",INDEX(Config!$E$9:$E$29,MATCH($B4718,Config!$B$9:$B$29,0))),""),""))</f>
        <v/>
      </c>
      <c r="AI4718" s="19" t="str">
        <f>IF($B4718="","",IFERROR(INDEX(Config!$D$9:$D$29,MATCH($B4718,Config!$B$9:$B$29,0))&amp;"",""))</f>
        <v/>
      </c>
    </row>
    <row r="4719">
      <c r="X4719" s="20" t="str">
        <f>IF($B4719="","",IFERROR(IF(INDEX(Config!$D$9:$D$29,MATCH($B4719,Config!$B$9:$B$29,0))="Contrato",IF(INDEX(Config!$E$9:$E$29,MATCH($B4719,Config!$B$9:$B$29,0))="","",INDEX(Config!$E$9:$E$29,MATCH($B4719,Config!$B$9:$B$29,0))),""),""))</f>
        <v/>
      </c>
      <c r="AI4719" s="19" t="str">
        <f>IF($B4719="","",IFERROR(INDEX(Config!$D$9:$D$29,MATCH($B4719,Config!$B$9:$B$29,0))&amp;"",""))</f>
        <v/>
      </c>
    </row>
    <row r="4720">
      <c r="X4720" s="20" t="str">
        <f>IF($B4720="","",IFERROR(IF(INDEX(Config!$D$9:$D$29,MATCH($B4720,Config!$B$9:$B$29,0))="Contrato",IF(INDEX(Config!$E$9:$E$29,MATCH($B4720,Config!$B$9:$B$29,0))="","",INDEX(Config!$E$9:$E$29,MATCH($B4720,Config!$B$9:$B$29,0))),""),""))</f>
        <v/>
      </c>
      <c r="AI4720" s="19" t="str">
        <f>IF($B4720="","",IFERROR(INDEX(Config!$D$9:$D$29,MATCH($B4720,Config!$B$9:$B$29,0))&amp;"",""))</f>
        <v/>
      </c>
    </row>
    <row r="4721">
      <c r="X4721" s="20" t="str">
        <f>IF($B4721="","",IFERROR(IF(INDEX(Config!$D$9:$D$29,MATCH($B4721,Config!$B$9:$B$29,0))="Contrato",IF(INDEX(Config!$E$9:$E$29,MATCH($B4721,Config!$B$9:$B$29,0))="","",INDEX(Config!$E$9:$E$29,MATCH($B4721,Config!$B$9:$B$29,0))),""),""))</f>
        <v/>
      </c>
      <c r="AI4721" s="19" t="str">
        <f>IF($B4721="","",IFERROR(INDEX(Config!$D$9:$D$29,MATCH($B4721,Config!$B$9:$B$29,0))&amp;"",""))</f>
        <v/>
      </c>
    </row>
    <row r="4722">
      <c r="X4722" s="20" t="str">
        <f>IF($B4722="","",IFERROR(IF(INDEX(Config!$D$9:$D$29,MATCH($B4722,Config!$B$9:$B$29,0))="Contrato",IF(INDEX(Config!$E$9:$E$29,MATCH($B4722,Config!$B$9:$B$29,0))="","",INDEX(Config!$E$9:$E$29,MATCH($B4722,Config!$B$9:$B$29,0))),""),""))</f>
        <v/>
      </c>
      <c r="AI4722" s="19" t="str">
        <f>IF($B4722="","",IFERROR(INDEX(Config!$D$9:$D$29,MATCH($B4722,Config!$B$9:$B$29,0))&amp;"",""))</f>
        <v/>
      </c>
    </row>
    <row r="4723">
      <c r="X4723" s="20" t="str">
        <f>IF($B4723="","",IFERROR(IF(INDEX(Config!$D$9:$D$29,MATCH($B4723,Config!$B$9:$B$29,0))="Contrato",IF(INDEX(Config!$E$9:$E$29,MATCH($B4723,Config!$B$9:$B$29,0))="","",INDEX(Config!$E$9:$E$29,MATCH($B4723,Config!$B$9:$B$29,0))),""),""))</f>
        <v/>
      </c>
      <c r="AI4723" s="19" t="str">
        <f>IF($B4723="","",IFERROR(INDEX(Config!$D$9:$D$29,MATCH($B4723,Config!$B$9:$B$29,0))&amp;"",""))</f>
        <v/>
      </c>
    </row>
    <row r="4724">
      <c r="X4724" s="20" t="str">
        <f>IF($B4724="","",IFERROR(IF(INDEX(Config!$D$9:$D$29,MATCH($B4724,Config!$B$9:$B$29,0))="Contrato",IF(INDEX(Config!$E$9:$E$29,MATCH($B4724,Config!$B$9:$B$29,0))="","",INDEX(Config!$E$9:$E$29,MATCH($B4724,Config!$B$9:$B$29,0))),""),""))</f>
        <v/>
      </c>
      <c r="AI4724" s="19" t="str">
        <f>IF($B4724="","",IFERROR(INDEX(Config!$D$9:$D$29,MATCH($B4724,Config!$B$9:$B$29,0))&amp;"",""))</f>
        <v/>
      </c>
    </row>
    <row r="4725">
      <c r="X4725" s="20" t="str">
        <f>IF($B4725="","",IFERROR(IF(INDEX(Config!$D$9:$D$29,MATCH($B4725,Config!$B$9:$B$29,0))="Contrato",IF(INDEX(Config!$E$9:$E$29,MATCH($B4725,Config!$B$9:$B$29,0))="","",INDEX(Config!$E$9:$E$29,MATCH($B4725,Config!$B$9:$B$29,0))),""),""))</f>
        <v/>
      </c>
      <c r="AI4725" s="19" t="str">
        <f>IF($B4725="","",IFERROR(INDEX(Config!$D$9:$D$29,MATCH($B4725,Config!$B$9:$B$29,0))&amp;"",""))</f>
        <v/>
      </c>
    </row>
    <row r="4726">
      <c r="X4726" s="20" t="str">
        <f>IF($B4726="","",IFERROR(IF(INDEX(Config!$D$9:$D$29,MATCH($B4726,Config!$B$9:$B$29,0))="Contrato",IF(INDEX(Config!$E$9:$E$29,MATCH($B4726,Config!$B$9:$B$29,0))="","",INDEX(Config!$E$9:$E$29,MATCH($B4726,Config!$B$9:$B$29,0))),""),""))</f>
        <v/>
      </c>
      <c r="AI4726" s="19" t="str">
        <f>IF($B4726="","",IFERROR(INDEX(Config!$D$9:$D$29,MATCH($B4726,Config!$B$9:$B$29,0))&amp;"",""))</f>
        <v/>
      </c>
    </row>
    <row r="4727">
      <c r="X4727" s="20" t="str">
        <f>IF($B4727="","",IFERROR(IF(INDEX(Config!$D$9:$D$29,MATCH($B4727,Config!$B$9:$B$29,0))="Contrato",IF(INDEX(Config!$E$9:$E$29,MATCH($B4727,Config!$B$9:$B$29,0))="","",INDEX(Config!$E$9:$E$29,MATCH($B4727,Config!$B$9:$B$29,0))),""),""))</f>
        <v/>
      </c>
      <c r="AI4727" s="19" t="str">
        <f>IF($B4727="","",IFERROR(INDEX(Config!$D$9:$D$29,MATCH($B4727,Config!$B$9:$B$29,0))&amp;"",""))</f>
        <v/>
      </c>
    </row>
    <row r="4728">
      <c r="X4728" s="20" t="str">
        <f>IF($B4728="","",IFERROR(IF(INDEX(Config!$D$9:$D$29,MATCH($B4728,Config!$B$9:$B$29,0))="Contrato",IF(INDEX(Config!$E$9:$E$29,MATCH($B4728,Config!$B$9:$B$29,0))="","",INDEX(Config!$E$9:$E$29,MATCH($B4728,Config!$B$9:$B$29,0))),""),""))</f>
        <v/>
      </c>
      <c r="AI4728" s="19" t="str">
        <f>IF($B4728="","",IFERROR(INDEX(Config!$D$9:$D$29,MATCH($B4728,Config!$B$9:$B$29,0))&amp;"",""))</f>
        <v/>
      </c>
    </row>
    <row r="4729">
      <c r="X4729" s="20" t="str">
        <f>IF($B4729="","",IFERROR(IF(INDEX(Config!$D$9:$D$29,MATCH($B4729,Config!$B$9:$B$29,0))="Contrato",IF(INDEX(Config!$E$9:$E$29,MATCH($B4729,Config!$B$9:$B$29,0))="","",INDEX(Config!$E$9:$E$29,MATCH($B4729,Config!$B$9:$B$29,0))),""),""))</f>
        <v/>
      </c>
      <c r="AI4729" s="19" t="str">
        <f>IF($B4729="","",IFERROR(INDEX(Config!$D$9:$D$29,MATCH($B4729,Config!$B$9:$B$29,0))&amp;"",""))</f>
        <v/>
      </c>
    </row>
    <row r="4730">
      <c r="X4730" s="20" t="str">
        <f>IF($B4730="","",IFERROR(IF(INDEX(Config!$D$9:$D$29,MATCH($B4730,Config!$B$9:$B$29,0))="Contrato",IF(INDEX(Config!$E$9:$E$29,MATCH($B4730,Config!$B$9:$B$29,0))="","",INDEX(Config!$E$9:$E$29,MATCH($B4730,Config!$B$9:$B$29,0))),""),""))</f>
        <v/>
      </c>
      <c r="AI4730" s="19" t="str">
        <f>IF($B4730="","",IFERROR(INDEX(Config!$D$9:$D$29,MATCH($B4730,Config!$B$9:$B$29,0))&amp;"",""))</f>
        <v/>
      </c>
    </row>
    <row r="4731">
      <c r="X4731" s="20" t="str">
        <f>IF($B4731="","",IFERROR(IF(INDEX(Config!$D$9:$D$29,MATCH($B4731,Config!$B$9:$B$29,0))="Contrato",IF(INDEX(Config!$E$9:$E$29,MATCH($B4731,Config!$B$9:$B$29,0))="","",INDEX(Config!$E$9:$E$29,MATCH($B4731,Config!$B$9:$B$29,0))),""),""))</f>
        <v/>
      </c>
      <c r="AI4731" s="19" t="str">
        <f>IF($B4731="","",IFERROR(INDEX(Config!$D$9:$D$29,MATCH($B4731,Config!$B$9:$B$29,0))&amp;"",""))</f>
        <v/>
      </c>
    </row>
    <row r="4732">
      <c r="X4732" s="20" t="str">
        <f>IF($B4732="","",IFERROR(IF(INDEX(Config!$D$9:$D$29,MATCH($B4732,Config!$B$9:$B$29,0))="Contrato",IF(INDEX(Config!$E$9:$E$29,MATCH($B4732,Config!$B$9:$B$29,0))="","",INDEX(Config!$E$9:$E$29,MATCH($B4732,Config!$B$9:$B$29,0))),""),""))</f>
        <v/>
      </c>
      <c r="AI4732" s="19" t="str">
        <f>IF($B4732="","",IFERROR(INDEX(Config!$D$9:$D$29,MATCH($B4732,Config!$B$9:$B$29,0))&amp;"",""))</f>
        <v/>
      </c>
    </row>
    <row r="4733">
      <c r="X4733" s="20" t="str">
        <f>IF($B4733="","",IFERROR(IF(INDEX(Config!$D$9:$D$29,MATCH($B4733,Config!$B$9:$B$29,0))="Contrato",IF(INDEX(Config!$E$9:$E$29,MATCH($B4733,Config!$B$9:$B$29,0))="","",INDEX(Config!$E$9:$E$29,MATCH($B4733,Config!$B$9:$B$29,0))),""),""))</f>
        <v/>
      </c>
      <c r="AI4733" s="19" t="str">
        <f>IF($B4733="","",IFERROR(INDEX(Config!$D$9:$D$29,MATCH($B4733,Config!$B$9:$B$29,0))&amp;"",""))</f>
        <v/>
      </c>
    </row>
    <row r="4734">
      <c r="X4734" s="20" t="str">
        <f>IF($B4734="","",IFERROR(IF(INDEX(Config!$D$9:$D$29,MATCH($B4734,Config!$B$9:$B$29,0))="Contrato",IF(INDEX(Config!$E$9:$E$29,MATCH($B4734,Config!$B$9:$B$29,0))="","",INDEX(Config!$E$9:$E$29,MATCH($B4734,Config!$B$9:$B$29,0))),""),""))</f>
        <v/>
      </c>
      <c r="AI4734" s="19" t="str">
        <f>IF($B4734="","",IFERROR(INDEX(Config!$D$9:$D$29,MATCH($B4734,Config!$B$9:$B$29,0))&amp;"",""))</f>
        <v/>
      </c>
    </row>
    <row r="4735">
      <c r="X4735" s="20" t="str">
        <f>IF($B4735="","",IFERROR(IF(INDEX(Config!$D$9:$D$29,MATCH($B4735,Config!$B$9:$B$29,0))="Contrato",IF(INDEX(Config!$E$9:$E$29,MATCH($B4735,Config!$B$9:$B$29,0))="","",INDEX(Config!$E$9:$E$29,MATCH($B4735,Config!$B$9:$B$29,0))),""),""))</f>
        <v/>
      </c>
      <c r="AI4735" s="19" t="str">
        <f>IF($B4735="","",IFERROR(INDEX(Config!$D$9:$D$29,MATCH($B4735,Config!$B$9:$B$29,0))&amp;"",""))</f>
        <v/>
      </c>
    </row>
    <row r="4736">
      <c r="X4736" s="20" t="str">
        <f>IF($B4736="","",IFERROR(IF(INDEX(Config!$D$9:$D$29,MATCH($B4736,Config!$B$9:$B$29,0))="Contrato",IF(INDEX(Config!$E$9:$E$29,MATCH($B4736,Config!$B$9:$B$29,0))="","",INDEX(Config!$E$9:$E$29,MATCH($B4736,Config!$B$9:$B$29,0))),""),""))</f>
        <v/>
      </c>
      <c r="AI4736" s="19" t="str">
        <f>IF($B4736="","",IFERROR(INDEX(Config!$D$9:$D$29,MATCH($B4736,Config!$B$9:$B$29,0))&amp;"",""))</f>
        <v/>
      </c>
    </row>
    <row r="4737">
      <c r="X4737" s="20" t="str">
        <f>IF($B4737="","",IFERROR(IF(INDEX(Config!$D$9:$D$29,MATCH($B4737,Config!$B$9:$B$29,0))="Contrato",IF(INDEX(Config!$E$9:$E$29,MATCH($B4737,Config!$B$9:$B$29,0))="","",INDEX(Config!$E$9:$E$29,MATCH($B4737,Config!$B$9:$B$29,0))),""),""))</f>
        <v/>
      </c>
      <c r="AI4737" s="19" t="str">
        <f>IF($B4737="","",IFERROR(INDEX(Config!$D$9:$D$29,MATCH($B4737,Config!$B$9:$B$29,0))&amp;"",""))</f>
        <v/>
      </c>
    </row>
    <row r="4738">
      <c r="X4738" s="20" t="str">
        <f>IF($B4738="","",IFERROR(IF(INDEX(Config!$D$9:$D$29,MATCH($B4738,Config!$B$9:$B$29,0))="Contrato",IF(INDEX(Config!$E$9:$E$29,MATCH($B4738,Config!$B$9:$B$29,0))="","",INDEX(Config!$E$9:$E$29,MATCH($B4738,Config!$B$9:$B$29,0))),""),""))</f>
        <v/>
      </c>
      <c r="AI4738" s="19" t="str">
        <f>IF($B4738="","",IFERROR(INDEX(Config!$D$9:$D$29,MATCH($B4738,Config!$B$9:$B$29,0))&amp;"",""))</f>
        <v/>
      </c>
    </row>
    <row r="4739">
      <c r="X4739" s="20" t="str">
        <f>IF($B4739="","",IFERROR(IF(INDEX(Config!$D$9:$D$29,MATCH($B4739,Config!$B$9:$B$29,0))="Contrato",IF(INDEX(Config!$E$9:$E$29,MATCH($B4739,Config!$B$9:$B$29,0))="","",INDEX(Config!$E$9:$E$29,MATCH($B4739,Config!$B$9:$B$29,0))),""),""))</f>
        <v/>
      </c>
      <c r="AI4739" s="19" t="str">
        <f>IF($B4739="","",IFERROR(INDEX(Config!$D$9:$D$29,MATCH($B4739,Config!$B$9:$B$29,0))&amp;"",""))</f>
        <v/>
      </c>
    </row>
    <row r="4740">
      <c r="X4740" s="20" t="str">
        <f>IF($B4740="","",IFERROR(IF(INDEX(Config!$D$9:$D$29,MATCH($B4740,Config!$B$9:$B$29,0))="Contrato",IF(INDEX(Config!$E$9:$E$29,MATCH($B4740,Config!$B$9:$B$29,0))="","",INDEX(Config!$E$9:$E$29,MATCH($B4740,Config!$B$9:$B$29,0))),""),""))</f>
        <v/>
      </c>
      <c r="AI4740" s="19" t="str">
        <f>IF($B4740="","",IFERROR(INDEX(Config!$D$9:$D$29,MATCH($B4740,Config!$B$9:$B$29,0))&amp;"",""))</f>
        <v/>
      </c>
    </row>
    <row r="4741">
      <c r="X4741" s="20" t="str">
        <f>IF($B4741="","",IFERROR(IF(INDEX(Config!$D$9:$D$29,MATCH($B4741,Config!$B$9:$B$29,0))="Contrato",IF(INDEX(Config!$E$9:$E$29,MATCH($B4741,Config!$B$9:$B$29,0))="","",INDEX(Config!$E$9:$E$29,MATCH($B4741,Config!$B$9:$B$29,0))),""),""))</f>
        <v/>
      </c>
      <c r="AI4741" s="19" t="str">
        <f>IF($B4741="","",IFERROR(INDEX(Config!$D$9:$D$29,MATCH($B4741,Config!$B$9:$B$29,0))&amp;"",""))</f>
        <v/>
      </c>
    </row>
    <row r="4742">
      <c r="X4742" s="20" t="str">
        <f>IF($B4742="","",IFERROR(IF(INDEX(Config!$D$9:$D$29,MATCH($B4742,Config!$B$9:$B$29,0))="Contrato",IF(INDEX(Config!$E$9:$E$29,MATCH($B4742,Config!$B$9:$B$29,0))="","",INDEX(Config!$E$9:$E$29,MATCH($B4742,Config!$B$9:$B$29,0))),""),""))</f>
        <v/>
      </c>
      <c r="AI4742" s="19" t="str">
        <f>IF($B4742="","",IFERROR(INDEX(Config!$D$9:$D$29,MATCH($B4742,Config!$B$9:$B$29,0))&amp;"",""))</f>
        <v/>
      </c>
    </row>
    <row r="4743">
      <c r="X4743" s="20" t="str">
        <f>IF($B4743="","",IFERROR(IF(INDEX(Config!$D$9:$D$29,MATCH($B4743,Config!$B$9:$B$29,0))="Contrato",IF(INDEX(Config!$E$9:$E$29,MATCH($B4743,Config!$B$9:$B$29,0))="","",INDEX(Config!$E$9:$E$29,MATCH($B4743,Config!$B$9:$B$29,0))),""),""))</f>
        <v/>
      </c>
      <c r="AI4743" s="19" t="str">
        <f>IF($B4743="","",IFERROR(INDEX(Config!$D$9:$D$29,MATCH($B4743,Config!$B$9:$B$29,0))&amp;"",""))</f>
        <v/>
      </c>
    </row>
    <row r="4744">
      <c r="X4744" s="20" t="str">
        <f>IF($B4744="","",IFERROR(IF(INDEX(Config!$D$9:$D$29,MATCH($B4744,Config!$B$9:$B$29,0))="Contrato",IF(INDEX(Config!$E$9:$E$29,MATCH($B4744,Config!$B$9:$B$29,0))="","",INDEX(Config!$E$9:$E$29,MATCH($B4744,Config!$B$9:$B$29,0))),""),""))</f>
        <v/>
      </c>
      <c r="AI4744" s="19" t="str">
        <f>IF($B4744="","",IFERROR(INDEX(Config!$D$9:$D$29,MATCH($B4744,Config!$B$9:$B$29,0))&amp;"",""))</f>
        <v/>
      </c>
    </row>
    <row r="4745">
      <c r="X4745" s="20" t="str">
        <f>IF($B4745="","",IFERROR(IF(INDEX(Config!$D$9:$D$29,MATCH($B4745,Config!$B$9:$B$29,0))="Contrato",IF(INDEX(Config!$E$9:$E$29,MATCH($B4745,Config!$B$9:$B$29,0))="","",INDEX(Config!$E$9:$E$29,MATCH($B4745,Config!$B$9:$B$29,0))),""),""))</f>
        <v/>
      </c>
      <c r="AI4745" s="19" t="str">
        <f>IF($B4745="","",IFERROR(INDEX(Config!$D$9:$D$29,MATCH($B4745,Config!$B$9:$B$29,0))&amp;"",""))</f>
        <v/>
      </c>
    </row>
    <row r="4746">
      <c r="X4746" s="20" t="str">
        <f>IF($B4746="","",IFERROR(IF(INDEX(Config!$D$9:$D$29,MATCH($B4746,Config!$B$9:$B$29,0))="Contrato",IF(INDEX(Config!$E$9:$E$29,MATCH($B4746,Config!$B$9:$B$29,0))="","",INDEX(Config!$E$9:$E$29,MATCH($B4746,Config!$B$9:$B$29,0))),""),""))</f>
        <v/>
      </c>
      <c r="AI4746" s="19" t="str">
        <f>IF($B4746="","",IFERROR(INDEX(Config!$D$9:$D$29,MATCH($B4746,Config!$B$9:$B$29,0))&amp;"",""))</f>
        <v/>
      </c>
    </row>
    <row r="4747">
      <c r="X4747" s="20" t="str">
        <f>IF($B4747="","",IFERROR(IF(INDEX(Config!$D$9:$D$29,MATCH($B4747,Config!$B$9:$B$29,0))="Contrato",IF(INDEX(Config!$E$9:$E$29,MATCH($B4747,Config!$B$9:$B$29,0))="","",INDEX(Config!$E$9:$E$29,MATCH($B4747,Config!$B$9:$B$29,0))),""),""))</f>
        <v/>
      </c>
      <c r="AI4747" s="19" t="str">
        <f>IF($B4747="","",IFERROR(INDEX(Config!$D$9:$D$29,MATCH($B4747,Config!$B$9:$B$29,0))&amp;"",""))</f>
        <v/>
      </c>
    </row>
    <row r="4748">
      <c r="X4748" s="20" t="str">
        <f>IF($B4748="","",IFERROR(IF(INDEX(Config!$D$9:$D$29,MATCH($B4748,Config!$B$9:$B$29,0))="Contrato",IF(INDEX(Config!$E$9:$E$29,MATCH($B4748,Config!$B$9:$B$29,0))="","",INDEX(Config!$E$9:$E$29,MATCH($B4748,Config!$B$9:$B$29,0))),""),""))</f>
        <v/>
      </c>
      <c r="AI4748" s="19" t="str">
        <f>IF($B4748="","",IFERROR(INDEX(Config!$D$9:$D$29,MATCH($B4748,Config!$B$9:$B$29,0))&amp;"",""))</f>
        <v/>
      </c>
    </row>
    <row r="4749">
      <c r="X4749" s="20" t="str">
        <f>IF($B4749="","",IFERROR(IF(INDEX(Config!$D$9:$D$29,MATCH($B4749,Config!$B$9:$B$29,0))="Contrato",IF(INDEX(Config!$E$9:$E$29,MATCH($B4749,Config!$B$9:$B$29,0))="","",INDEX(Config!$E$9:$E$29,MATCH($B4749,Config!$B$9:$B$29,0))),""),""))</f>
        <v/>
      </c>
      <c r="AI4749" s="19" t="str">
        <f>IF($B4749="","",IFERROR(INDEX(Config!$D$9:$D$29,MATCH($B4749,Config!$B$9:$B$29,0))&amp;"",""))</f>
        <v/>
      </c>
    </row>
    <row r="4750">
      <c r="X4750" s="20" t="str">
        <f>IF($B4750="","",IFERROR(IF(INDEX(Config!$D$9:$D$29,MATCH($B4750,Config!$B$9:$B$29,0))="Contrato",IF(INDEX(Config!$E$9:$E$29,MATCH($B4750,Config!$B$9:$B$29,0))="","",INDEX(Config!$E$9:$E$29,MATCH($B4750,Config!$B$9:$B$29,0))),""),""))</f>
        <v/>
      </c>
      <c r="AI4750" s="19" t="str">
        <f>IF($B4750="","",IFERROR(INDEX(Config!$D$9:$D$29,MATCH($B4750,Config!$B$9:$B$29,0))&amp;"",""))</f>
        <v/>
      </c>
    </row>
    <row r="4751">
      <c r="X4751" s="20" t="str">
        <f>IF($B4751="","",IFERROR(IF(INDEX(Config!$D$9:$D$29,MATCH($B4751,Config!$B$9:$B$29,0))="Contrato",IF(INDEX(Config!$E$9:$E$29,MATCH($B4751,Config!$B$9:$B$29,0))="","",INDEX(Config!$E$9:$E$29,MATCH($B4751,Config!$B$9:$B$29,0))),""),""))</f>
        <v/>
      </c>
      <c r="AI4751" s="19" t="str">
        <f>IF($B4751="","",IFERROR(INDEX(Config!$D$9:$D$29,MATCH($B4751,Config!$B$9:$B$29,0))&amp;"",""))</f>
        <v/>
      </c>
    </row>
    <row r="4752">
      <c r="X4752" s="20" t="str">
        <f>IF($B4752="","",IFERROR(IF(INDEX(Config!$D$9:$D$29,MATCH($B4752,Config!$B$9:$B$29,0))="Contrato",IF(INDEX(Config!$E$9:$E$29,MATCH($B4752,Config!$B$9:$B$29,0))="","",INDEX(Config!$E$9:$E$29,MATCH($B4752,Config!$B$9:$B$29,0))),""),""))</f>
        <v/>
      </c>
      <c r="AI4752" s="19" t="str">
        <f>IF($B4752="","",IFERROR(INDEX(Config!$D$9:$D$29,MATCH($B4752,Config!$B$9:$B$29,0))&amp;"",""))</f>
        <v/>
      </c>
    </row>
    <row r="4753">
      <c r="X4753" s="20" t="str">
        <f>IF($B4753="","",IFERROR(IF(INDEX(Config!$D$9:$D$29,MATCH($B4753,Config!$B$9:$B$29,0))="Contrato",IF(INDEX(Config!$E$9:$E$29,MATCH($B4753,Config!$B$9:$B$29,0))="","",INDEX(Config!$E$9:$E$29,MATCH($B4753,Config!$B$9:$B$29,0))),""),""))</f>
        <v/>
      </c>
      <c r="AI4753" s="19" t="str">
        <f>IF($B4753="","",IFERROR(INDEX(Config!$D$9:$D$29,MATCH($B4753,Config!$B$9:$B$29,0))&amp;"",""))</f>
        <v/>
      </c>
    </row>
    <row r="4754">
      <c r="X4754" s="20" t="str">
        <f>IF($B4754="","",IFERROR(IF(INDEX(Config!$D$9:$D$29,MATCH($B4754,Config!$B$9:$B$29,0))="Contrato",IF(INDEX(Config!$E$9:$E$29,MATCH($B4754,Config!$B$9:$B$29,0))="","",INDEX(Config!$E$9:$E$29,MATCH($B4754,Config!$B$9:$B$29,0))),""),""))</f>
        <v/>
      </c>
      <c r="AI4754" s="19" t="str">
        <f>IF($B4754="","",IFERROR(INDEX(Config!$D$9:$D$29,MATCH($B4754,Config!$B$9:$B$29,0))&amp;"",""))</f>
        <v/>
      </c>
    </row>
    <row r="4755">
      <c r="X4755" s="20" t="str">
        <f>IF($B4755="","",IFERROR(IF(INDEX(Config!$D$9:$D$29,MATCH($B4755,Config!$B$9:$B$29,0))="Contrato",IF(INDEX(Config!$E$9:$E$29,MATCH($B4755,Config!$B$9:$B$29,0))="","",INDEX(Config!$E$9:$E$29,MATCH($B4755,Config!$B$9:$B$29,0))),""),""))</f>
        <v/>
      </c>
      <c r="AI4755" s="19" t="str">
        <f>IF($B4755="","",IFERROR(INDEX(Config!$D$9:$D$29,MATCH($B4755,Config!$B$9:$B$29,0))&amp;"",""))</f>
        <v/>
      </c>
    </row>
    <row r="4756">
      <c r="X4756" s="20" t="str">
        <f>IF($B4756="","",IFERROR(IF(INDEX(Config!$D$9:$D$29,MATCH($B4756,Config!$B$9:$B$29,0))="Contrato",IF(INDEX(Config!$E$9:$E$29,MATCH($B4756,Config!$B$9:$B$29,0))="","",INDEX(Config!$E$9:$E$29,MATCH($B4756,Config!$B$9:$B$29,0))),""),""))</f>
        <v/>
      </c>
      <c r="AI4756" s="19" t="str">
        <f>IF($B4756="","",IFERROR(INDEX(Config!$D$9:$D$29,MATCH($B4756,Config!$B$9:$B$29,0))&amp;"",""))</f>
        <v/>
      </c>
    </row>
    <row r="4757">
      <c r="X4757" s="20" t="str">
        <f>IF($B4757="","",IFERROR(IF(INDEX(Config!$D$9:$D$29,MATCH($B4757,Config!$B$9:$B$29,0))="Contrato",IF(INDEX(Config!$E$9:$E$29,MATCH($B4757,Config!$B$9:$B$29,0))="","",INDEX(Config!$E$9:$E$29,MATCH($B4757,Config!$B$9:$B$29,0))),""),""))</f>
        <v/>
      </c>
      <c r="AI4757" s="19" t="str">
        <f>IF($B4757="","",IFERROR(INDEX(Config!$D$9:$D$29,MATCH($B4757,Config!$B$9:$B$29,0))&amp;"",""))</f>
        <v/>
      </c>
    </row>
    <row r="4758">
      <c r="X4758" s="20" t="str">
        <f>IF($B4758="","",IFERROR(IF(INDEX(Config!$D$9:$D$29,MATCH($B4758,Config!$B$9:$B$29,0))="Contrato",IF(INDEX(Config!$E$9:$E$29,MATCH($B4758,Config!$B$9:$B$29,0))="","",INDEX(Config!$E$9:$E$29,MATCH($B4758,Config!$B$9:$B$29,0))),""),""))</f>
        <v/>
      </c>
      <c r="AI4758" s="19" t="str">
        <f>IF($B4758="","",IFERROR(INDEX(Config!$D$9:$D$29,MATCH($B4758,Config!$B$9:$B$29,0))&amp;"",""))</f>
        <v/>
      </c>
    </row>
    <row r="4759">
      <c r="X4759" s="20" t="str">
        <f>IF($B4759="","",IFERROR(IF(INDEX(Config!$D$9:$D$29,MATCH($B4759,Config!$B$9:$B$29,0))="Contrato",IF(INDEX(Config!$E$9:$E$29,MATCH($B4759,Config!$B$9:$B$29,0))="","",INDEX(Config!$E$9:$E$29,MATCH($B4759,Config!$B$9:$B$29,0))),""),""))</f>
        <v/>
      </c>
      <c r="AI4759" s="19" t="str">
        <f>IF($B4759="","",IFERROR(INDEX(Config!$D$9:$D$29,MATCH($B4759,Config!$B$9:$B$29,0))&amp;"",""))</f>
        <v/>
      </c>
    </row>
    <row r="4760">
      <c r="X4760" s="20" t="str">
        <f>IF($B4760="","",IFERROR(IF(INDEX(Config!$D$9:$D$29,MATCH($B4760,Config!$B$9:$B$29,0))="Contrato",IF(INDEX(Config!$E$9:$E$29,MATCH($B4760,Config!$B$9:$B$29,0))="","",INDEX(Config!$E$9:$E$29,MATCH($B4760,Config!$B$9:$B$29,0))),""),""))</f>
        <v/>
      </c>
      <c r="AI4760" s="19" t="str">
        <f>IF($B4760="","",IFERROR(INDEX(Config!$D$9:$D$29,MATCH($B4760,Config!$B$9:$B$29,0))&amp;"",""))</f>
        <v/>
      </c>
    </row>
    <row r="4761">
      <c r="X4761" s="20" t="str">
        <f>IF($B4761="","",IFERROR(IF(INDEX(Config!$D$9:$D$29,MATCH($B4761,Config!$B$9:$B$29,0))="Contrato",IF(INDEX(Config!$E$9:$E$29,MATCH($B4761,Config!$B$9:$B$29,0))="","",INDEX(Config!$E$9:$E$29,MATCH($B4761,Config!$B$9:$B$29,0))),""),""))</f>
        <v/>
      </c>
      <c r="AI4761" s="19" t="str">
        <f>IF($B4761="","",IFERROR(INDEX(Config!$D$9:$D$29,MATCH($B4761,Config!$B$9:$B$29,0))&amp;"",""))</f>
        <v/>
      </c>
    </row>
    <row r="4762">
      <c r="X4762" s="20" t="str">
        <f>IF($B4762="","",IFERROR(IF(INDEX(Config!$D$9:$D$29,MATCH($B4762,Config!$B$9:$B$29,0))="Contrato",IF(INDEX(Config!$E$9:$E$29,MATCH($B4762,Config!$B$9:$B$29,0))="","",INDEX(Config!$E$9:$E$29,MATCH($B4762,Config!$B$9:$B$29,0))),""),""))</f>
        <v/>
      </c>
      <c r="AI4762" s="19" t="str">
        <f>IF($B4762="","",IFERROR(INDEX(Config!$D$9:$D$29,MATCH($B4762,Config!$B$9:$B$29,0))&amp;"",""))</f>
        <v/>
      </c>
    </row>
    <row r="4763">
      <c r="X4763" s="20" t="str">
        <f>IF($B4763="","",IFERROR(IF(INDEX(Config!$D$9:$D$29,MATCH($B4763,Config!$B$9:$B$29,0))="Contrato",IF(INDEX(Config!$E$9:$E$29,MATCH($B4763,Config!$B$9:$B$29,0))="","",INDEX(Config!$E$9:$E$29,MATCH($B4763,Config!$B$9:$B$29,0))),""),""))</f>
        <v/>
      </c>
      <c r="AI4763" s="19" t="str">
        <f>IF($B4763="","",IFERROR(INDEX(Config!$D$9:$D$29,MATCH($B4763,Config!$B$9:$B$29,0))&amp;"",""))</f>
        <v/>
      </c>
    </row>
    <row r="4764">
      <c r="X4764" s="20" t="str">
        <f>IF($B4764="","",IFERROR(IF(INDEX(Config!$D$9:$D$29,MATCH($B4764,Config!$B$9:$B$29,0))="Contrato",IF(INDEX(Config!$E$9:$E$29,MATCH($B4764,Config!$B$9:$B$29,0))="","",INDEX(Config!$E$9:$E$29,MATCH($B4764,Config!$B$9:$B$29,0))),""),""))</f>
        <v/>
      </c>
      <c r="AI4764" s="19" t="str">
        <f>IF($B4764="","",IFERROR(INDEX(Config!$D$9:$D$29,MATCH($B4764,Config!$B$9:$B$29,0))&amp;"",""))</f>
        <v/>
      </c>
    </row>
    <row r="4765">
      <c r="X4765" s="20" t="str">
        <f>IF($B4765="","",IFERROR(IF(INDEX(Config!$D$9:$D$29,MATCH($B4765,Config!$B$9:$B$29,0))="Contrato",IF(INDEX(Config!$E$9:$E$29,MATCH($B4765,Config!$B$9:$B$29,0))="","",INDEX(Config!$E$9:$E$29,MATCH($B4765,Config!$B$9:$B$29,0))),""),""))</f>
        <v/>
      </c>
      <c r="AI4765" s="19" t="str">
        <f>IF($B4765="","",IFERROR(INDEX(Config!$D$9:$D$29,MATCH($B4765,Config!$B$9:$B$29,0))&amp;"",""))</f>
        <v/>
      </c>
    </row>
    <row r="4766">
      <c r="X4766" s="20" t="str">
        <f>IF($B4766="","",IFERROR(IF(INDEX(Config!$D$9:$D$29,MATCH($B4766,Config!$B$9:$B$29,0))="Contrato",IF(INDEX(Config!$E$9:$E$29,MATCH($B4766,Config!$B$9:$B$29,0))="","",INDEX(Config!$E$9:$E$29,MATCH($B4766,Config!$B$9:$B$29,0))),""),""))</f>
        <v/>
      </c>
      <c r="AI4766" s="19" t="str">
        <f>IF($B4766="","",IFERROR(INDEX(Config!$D$9:$D$29,MATCH($B4766,Config!$B$9:$B$29,0))&amp;"",""))</f>
        <v/>
      </c>
    </row>
    <row r="4767">
      <c r="X4767" s="20" t="str">
        <f>IF($B4767="","",IFERROR(IF(INDEX(Config!$D$9:$D$29,MATCH($B4767,Config!$B$9:$B$29,0))="Contrato",IF(INDEX(Config!$E$9:$E$29,MATCH($B4767,Config!$B$9:$B$29,0))="","",INDEX(Config!$E$9:$E$29,MATCH($B4767,Config!$B$9:$B$29,0))),""),""))</f>
        <v/>
      </c>
      <c r="AI4767" s="19" t="str">
        <f>IF($B4767="","",IFERROR(INDEX(Config!$D$9:$D$29,MATCH($B4767,Config!$B$9:$B$29,0))&amp;"",""))</f>
        <v/>
      </c>
    </row>
    <row r="4768">
      <c r="X4768" s="20" t="str">
        <f>IF($B4768="","",IFERROR(IF(INDEX(Config!$D$9:$D$29,MATCH($B4768,Config!$B$9:$B$29,0))="Contrato",IF(INDEX(Config!$E$9:$E$29,MATCH($B4768,Config!$B$9:$B$29,0))="","",INDEX(Config!$E$9:$E$29,MATCH($B4768,Config!$B$9:$B$29,0))),""),""))</f>
        <v/>
      </c>
      <c r="AI4768" s="19" t="str">
        <f>IF($B4768="","",IFERROR(INDEX(Config!$D$9:$D$29,MATCH($B4768,Config!$B$9:$B$29,0))&amp;"",""))</f>
        <v/>
      </c>
    </row>
    <row r="4769">
      <c r="X4769" s="20" t="str">
        <f>IF($B4769="","",IFERROR(IF(INDEX(Config!$D$9:$D$29,MATCH($B4769,Config!$B$9:$B$29,0))="Contrato",IF(INDEX(Config!$E$9:$E$29,MATCH($B4769,Config!$B$9:$B$29,0))="","",INDEX(Config!$E$9:$E$29,MATCH($B4769,Config!$B$9:$B$29,0))),""),""))</f>
        <v/>
      </c>
      <c r="AI4769" s="19" t="str">
        <f>IF($B4769="","",IFERROR(INDEX(Config!$D$9:$D$29,MATCH($B4769,Config!$B$9:$B$29,0))&amp;"",""))</f>
        <v/>
      </c>
    </row>
    <row r="4770">
      <c r="X4770" s="20" t="str">
        <f>IF($B4770="","",IFERROR(IF(INDEX(Config!$D$9:$D$29,MATCH($B4770,Config!$B$9:$B$29,0))="Contrato",IF(INDEX(Config!$E$9:$E$29,MATCH($B4770,Config!$B$9:$B$29,0))="","",INDEX(Config!$E$9:$E$29,MATCH($B4770,Config!$B$9:$B$29,0))),""),""))</f>
        <v/>
      </c>
      <c r="AI4770" s="19" t="str">
        <f>IF($B4770="","",IFERROR(INDEX(Config!$D$9:$D$29,MATCH($B4770,Config!$B$9:$B$29,0))&amp;"",""))</f>
        <v/>
      </c>
    </row>
    <row r="4771">
      <c r="X4771" s="20" t="str">
        <f>IF($B4771="","",IFERROR(IF(INDEX(Config!$D$9:$D$29,MATCH($B4771,Config!$B$9:$B$29,0))="Contrato",IF(INDEX(Config!$E$9:$E$29,MATCH($B4771,Config!$B$9:$B$29,0))="","",INDEX(Config!$E$9:$E$29,MATCH($B4771,Config!$B$9:$B$29,0))),""),""))</f>
        <v/>
      </c>
      <c r="AI4771" s="19" t="str">
        <f>IF($B4771="","",IFERROR(INDEX(Config!$D$9:$D$29,MATCH($B4771,Config!$B$9:$B$29,0))&amp;"",""))</f>
        <v/>
      </c>
    </row>
    <row r="4772">
      <c r="X4772" s="20" t="str">
        <f>IF($B4772="","",IFERROR(IF(INDEX(Config!$D$9:$D$29,MATCH($B4772,Config!$B$9:$B$29,0))="Contrato",IF(INDEX(Config!$E$9:$E$29,MATCH($B4772,Config!$B$9:$B$29,0))="","",INDEX(Config!$E$9:$E$29,MATCH($B4772,Config!$B$9:$B$29,0))),""),""))</f>
        <v/>
      </c>
      <c r="AI4772" s="19" t="str">
        <f>IF($B4772="","",IFERROR(INDEX(Config!$D$9:$D$29,MATCH($B4772,Config!$B$9:$B$29,0))&amp;"",""))</f>
        <v/>
      </c>
    </row>
    <row r="4773">
      <c r="X4773" s="20" t="str">
        <f>IF($B4773="","",IFERROR(IF(INDEX(Config!$D$9:$D$29,MATCH($B4773,Config!$B$9:$B$29,0))="Contrato",IF(INDEX(Config!$E$9:$E$29,MATCH($B4773,Config!$B$9:$B$29,0))="","",INDEX(Config!$E$9:$E$29,MATCH($B4773,Config!$B$9:$B$29,0))),""),""))</f>
        <v/>
      </c>
      <c r="AI4773" s="19" t="str">
        <f>IF($B4773="","",IFERROR(INDEX(Config!$D$9:$D$29,MATCH($B4773,Config!$B$9:$B$29,0))&amp;"",""))</f>
        <v/>
      </c>
    </row>
    <row r="4774">
      <c r="X4774" s="20" t="str">
        <f>IF($B4774="","",IFERROR(IF(INDEX(Config!$D$9:$D$29,MATCH($B4774,Config!$B$9:$B$29,0))="Contrato",IF(INDEX(Config!$E$9:$E$29,MATCH($B4774,Config!$B$9:$B$29,0))="","",INDEX(Config!$E$9:$E$29,MATCH($B4774,Config!$B$9:$B$29,0))),""),""))</f>
        <v/>
      </c>
      <c r="AI4774" s="19" t="str">
        <f>IF($B4774="","",IFERROR(INDEX(Config!$D$9:$D$29,MATCH($B4774,Config!$B$9:$B$29,0))&amp;"",""))</f>
        <v/>
      </c>
    </row>
    <row r="4775">
      <c r="X4775" s="20" t="str">
        <f>IF($B4775="","",IFERROR(IF(INDEX(Config!$D$9:$D$29,MATCH($B4775,Config!$B$9:$B$29,0))="Contrato",IF(INDEX(Config!$E$9:$E$29,MATCH($B4775,Config!$B$9:$B$29,0))="","",INDEX(Config!$E$9:$E$29,MATCH($B4775,Config!$B$9:$B$29,0))),""),""))</f>
        <v/>
      </c>
      <c r="AI4775" s="19" t="str">
        <f>IF($B4775="","",IFERROR(INDEX(Config!$D$9:$D$29,MATCH($B4775,Config!$B$9:$B$29,0))&amp;"",""))</f>
        <v/>
      </c>
    </row>
    <row r="4776">
      <c r="X4776" s="20" t="str">
        <f>IF($B4776="","",IFERROR(IF(INDEX(Config!$D$9:$D$29,MATCH($B4776,Config!$B$9:$B$29,0))="Contrato",IF(INDEX(Config!$E$9:$E$29,MATCH($B4776,Config!$B$9:$B$29,0))="","",INDEX(Config!$E$9:$E$29,MATCH($B4776,Config!$B$9:$B$29,0))),""),""))</f>
        <v/>
      </c>
      <c r="AI4776" s="19" t="str">
        <f>IF($B4776="","",IFERROR(INDEX(Config!$D$9:$D$29,MATCH($B4776,Config!$B$9:$B$29,0))&amp;"",""))</f>
        <v/>
      </c>
    </row>
    <row r="4777">
      <c r="X4777" s="20" t="str">
        <f>IF($B4777="","",IFERROR(IF(INDEX(Config!$D$9:$D$29,MATCH($B4777,Config!$B$9:$B$29,0))="Contrato",IF(INDEX(Config!$E$9:$E$29,MATCH($B4777,Config!$B$9:$B$29,0))="","",INDEX(Config!$E$9:$E$29,MATCH($B4777,Config!$B$9:$B$29,0))),""),""))</f>
        <v/>
      </c>
      <c r="AI4777" s="19" t="str">
        <f>IF($B4777="","",IFERROR(INDEX(Config!$D$9:$D$29,MATCH($B4777,Config!$B$9:$B$29,0))&amp;"",""))</f>
        <v/>
      </c>
    </row>
    <row r="4778">
      <c r="X4778" s="20" t="str">
        <f>IF($B4778="","",IFERROR(IF(INDEX(Config!$D$9:$D$29,MATCH($B4778,Config!$B$9:$B$29,0))="Contrato",IF(INDEX(Config!$E$9:$E$29,MATCH($B4778,Config!$B$9:$B$29,0))="","",INDEX(Config!$E$9:$E$29,MATCH($B4778,Config!$B$9:$B$29,0))),""),""))</f>
        <v/>
      </c>
      <c r="AI4778" s="19" t="str">
        <f>IF($B4778="","",IFERROR(INDEX(Config!$D$9:$D$29,MATCH($B4778,Config!$B$9:$B$29,0))&amp;"",""))</f>
        <v/>
      </c>
    </row>
    <row r="4779">
      <c r="X4779" s="20" t="str">
        <f>IF($B4779="","",IFERROR(IF(INDEX(Config!$D$9:$D$29,MATCH($B4779,Config!$B$9:$B$29,0))="Contrato",IF(INDEX(Config!$E$9:$E$29,MATCH($B4779,Config!$B$9:$B$29,0))="","",INDEX(Config!$E$9:$E$29,MATCH($B4779,Config!$B$9:$B$29,0))),""),""))</f>
        <v/>
      </c>
      <c r="AI4779" s="19" t="str">
        <f>IF($B4779="","",IFERROR(INDEX(Config!$D$9:$D$29,MATCH($B4779,Config!$B$9:$B$29,0))&amp;"",""))</f>
        <v/>
      </c>
    </row>
    <row r="4780">
      <c r="X4780" s="20" t="str">
        <f>IF($B4780="","",IFERROR(IF(INDEX(Config!$D$9:$D$29,MATCH($B4780,Config!$B$9:$B$29,0))="Contrato",IF(INDEX(Config!$E$9:$E$29,MATCH($B4780,Config!$B$9:$B$29,0))="","",INDEX(Config!$E$9:$E$29,MATCH($B4780,Config!$B$9:$B$29,0))),""),""))</f>
        <v/>
      </c>
      <c r="AI4780" s="19" t="str">
        <f>IF($B4780="","",IFERROR(INDEX(Config!$D$9:$D$29,MATCH($B4780,Config!$B$9:$B$29,0))&amp;"",""))</f>
        <v/>
      </c>
    </row>
    <row r="4781">
      <c r="X4781" s="20" t="str">
        <f>IF($B4781="","",IFERROR(IF(INDEX(Config!$D$9:$D$29,MATCH($B4781,Config!$B$9:$B$29,0))="Contrato",IF(INDEX(Config!$E$9:$E$29,MATCH($B4781,Config!$B$9:$B$29,0))="","",INDEX(Config!$E$9:$E$29,MATCH($B4781,Config!$B$9:$B$29,0))),""),""))</f>
        <v/>
      </c>
      <c r="AI4781" s="19" t="str">
        <f>IF($B4781="","",IFERROR(INDEX(Config!$D$9:$D$29,MATCH($B4781,Config!$B$9:$B$29,0))&amp;"",""))</f>
        <v/>
      </c>
    </row>
    <row r="4782">
      <c r="X4782" s="20" t="str">
        <f>IF($B4782="","",IFERROR(IF(INDEX(Config!$D$9:$D$29,MATCH($B4782,Config!$B$9:$B$29,0))="Contrato",IF(INDEX(Config!$E$9:$E$29,MATCH($B4782,Config!$B$9:$B$29,0))="","",INDEX(Config!$E$9:$E$29,MATCH($B4782,Config!$B$9:$B$29,0))),""),""))</f>
        <v/>
      </c>
      <c r="AI4782" s="19" t="str">
        <f>IF($B4782="","",IFERROR(INDEX(Config!$D$9:$D$29,MATCH($B4782,Config!$B$9:$B$29,0))&amp;"",""))</f>
        <v/>
      </c>
    </row>
    <row r="4783">
      <c r="X4783" s="20" t="str">
        <f>IF($B4783="","",IFERROR(IF(INDEX(Config!$D$9:$D$29,MATCH($B4783,Config!$B$9:$B$29,0))="Contrato",IF(INDEX(Config!$E$9:$E$29,MATCH($B4783,Config!$B$9:$B$29,0))="","",INDEX(Config!$E$9:$E$29,MATCH($B4783,Config!$B$9:$B$29,0))),""),""))</f>
        <v/>
      </c>
      <c r="AI4783" s="19" t="str">
        <f>IF($B4783="","",IFERROR(INDEX(Config!$D$9:$D$29,MATCH($B4783,Config!$B$9:$B$29,0))&amp;"",""))</f>
        <v/>
      </c>
    </row>
    <row r="4784">
      <c r="X4784" s="20" t="str">
        <f>IF($B4784="","",IFERROR(IF(INDEX(Config!$D$9:$D$29,MATCH($B4784,Config!$B$9:$B$29,0))="Contrato",IF(INDEX(Config!$E$9:$E$29,MATCH($B4784,Config!$B$9:$B$29,0))="","",INDEX(Config!$E$9:$E$29,MATCH($B4784,Config!$B$9:$B$29,0))),""),""))</f>
        <v/>
      </c>
      <c r="AI4784" s="19" t="str">
        <f>IF($B4784="","",IFERROR(INDEX(Config!$D$9:$D$29,MATCH($B4784,Config!$B$9:$B$29,0))&amp;"",""))</f>
        <v/>
      </c>
    </row>
    <row r="4785">
      <c r="X4785" s="20" t="str">
        <f>IF($B4785="","",IFERROR(IF(INDEX(Config!$D$9:$D$29,MATCH($B4785,Config!$B$9:$B$29,0))="Contrato",IF(INDEX(Config!$E$9:$E$29,MATCH($B4785,Config!$B$9:$B$29,0))="","",INDEX(Config!$E$9:$E$29,MATCH($B4785,Config!$B$9:$B$29,0))),""),""))</f>
        <v/>
      </c>
      <c r="AI4785" s="19" t="str">
        <f>IF($B4785="","",IFERROR(INDEX(Config!$D$9:$D$29,MATCH($B4785,Config!$B$9:$B$29,0))&amp;"",""))</f>
        <v/>
      </c>
    </row>
    <row r="4786">
      <c r="X4786" s="20" t="str">
        <f>IF($B4786="","",IFERROR(IF(INDEX(Config!$D$9:$D$29,MATCH($B4786,Config!$B$9:$B$29,0))="Contrato",IF(INDEX(Config!$E$9:$E$29,MATCH($B4786,Config!$B$9:$B$29,0))="","",INDEX(Config!$E$9:$E$29,MATCH($B4786,Config!$B$9:$B$29,0))),""),""))</f>
        <v/>
      </c>
      <c r="AI4786" s="19" t="str">
        <f>IF($B4786="","",IFERROR(INDEX(Config!$D$9:$D$29,MATCH($B4786,Config!$B$9:$B$29,0))&amp;"",""))</f>
        <v/>
      </c>
    </row>
    <row r="4787">
      <c r="X4787" s="20" t="str">
        <f>IF($B4787="","",IFERROR(IF(INDEX(Config!$D$9:$D$29,MATCH($B4787,Config!$B$9:$B$29,0))="Contrato",IF(INDEX(Config!$E$9:$E$29,MATCH($B4787,Config!$B$9:$B$29,0))="","",INDEX(Config!$E$9:$E$29,MATCH($B4787,Config!$B$9:$B$29,0))),""),""))</f>
        <v/>
      </c>
      <c r="AI4787" s="19" t="str">
        <f>IF($B4787="","",IFERROR(INDEX(Config!$D$9:$D$29,MATCH($B4787,Config!$B$9:$B$29,0))&amp;"",""))</f>
        <v/>
      </c>
    </row>
    <row r="4788">
      <c r="X4788" s="20" t="str">
        <f>IF($B4788="","",IFERROR(IF(INDEX(Config!$D$9:$D$29,MATCH($B4788,Config!$B$9:$B$29,0))="Contrato",IF(INDEX(Config!$E$9:$E$29,MATCH($B4788,Config!$B$9:$B$29,0))="","",INDEX(Config!$E$9:$E$29,MATCH($B4788,Config!$B$9:$B$29,0))),""),""))</f>
        <v/>
      </c>
      <c r="AI4788" s="19" t="str">
        <f>IF($B4788="","",IFERROR(INDEX(Config!$D$9:$D$29,MATCH($B4788,Config!$B$9:$B$29,0))&amp;"",""))</f>
        <v/>
      </c>
    </row>
    <row r="4789">
      <c r="X4789" s="20" t="str">
        <f>IF($B4789="","",IFERROR(IF(INDEX(Config!$D$9:$D$29,MATCH($B4789,Config!$B$9:$B$29,0))="Contrato",IF(INDEX(Config!$E$9:$E$29,MATCH($B4789,Config!$B$9:$B$29,0))="","",INDEX(Config!$E$9:$E$29,MATCH($B4789,Config!$B$9:$B$29,0))),""),""))</f>
        <v/>
      </c>
      <c r="AI4789" s="19" t="str">
        <f>IF($B4789="","",IFERROR(INDEX(Config!$D$9:$D$29,MATCH($B4789,Config!$B$9:$B$29,0))&amp;"",""))</f>
        <v/>
      </c>
    </row>
    <row r="4790">
      <c r="X4790" s="20" t="str">
        <f>IF($B4790="","",IFERROR(IF(INDEX(Config!$D$9:$D$29,MATCH($B4790,Config!$B$9:$B$29,0))="Contrato",IF(INDEX(Config!$E$9:$E$29,MATCH($B4790,Config!$B$9:$B$29,0))="","",INDEX(Config!$E$9:$E$29,MATCH($B4790,Config!$B$9:$B$29,0))),""),""))</f>
        <v/>
      </c>
      <c r="AI4790" s="19" t="str">
        <f>IF($B4790="","",IFERROR(INDEX(Config!$D$9:$D$29,MATCH($B4790,Config!$B$9:$B$29,0))&amp;"",""))</f>
        <v/>
      </c>
    </row>
    <row r="4791">
      <c r="X4791" s="20" t="str">
        <f>IF($B4791="","",IFERROR(IF(INDEX(Config!$D$9:$D$29,MATCH($B4791,Config!$B$9:$B$29,0))="Contrato",IF(INDEX(Config!$E$9:$E$29,MATCH($B4791,Config!$B$9:$B$29,0))="","",INDEX(Config!$E$9:$E$29,MATCH($B4791,Config!$B$9:$B$29,0))),""),""))</f>
        <v/>
      </c>
      <c r="AI4791" s="19" t="str">
        <f>IF($B4791="","",IFERROR(INDEX(Config!$D$9:$D$29,MATCH($B4791,Config!$B$9:$B$29,0))&amp;"",""))</f>
        <v/>
      </c>
    </row>
    <row r="4792">
      <c r="X4792" s="20" t="str">
        <f>IF($B4792="","",IFERROR(IF(INDEX(Config!$D$9:$D$29,MATCH($B4792,Config!$B$9:$B$29,0))="Contrato",IF(INDEX(Config!$E$9:$E$29,MATCH($B4792,Config!$B$9:$B$29,0))="","",INDEX(Config!$E$9:$E$29,MATCH($B4792,Config!$B$9:$B$29,0))),""),""))</f>
        <v/>
      </c>
      <c r="AI4792" s="19" t="str">
        <f>IF($B4792="","",IFERROR(INDEX(Config!$D$9:$D$29,MATCH($B4792,Config!$B$9:$B$29,0))&amp;"",""))</f>
        <v/>
      </c>
    </row>
    <row r="4793">
      <c r="X4793" s="20" t="str">
        <f>IF($B4793="","",IFERROR(IF(INDEX(Config!$D$9:$D$29,MATCH($B4793,Config!$B$9:$B$29,0))="Contrato",IF(INDEX(Config!$E$9:$E$29,MATCH($B4793,Config!$B$9:$B$29,0))="","",INDEX(Config!$E$9:$E$29,MATCH($B4793,Config!$B$9:$B$29,0))),""),""))</f>
        <v/>
      </c>
      <c r="AI4793" s="19" t="str">
        <f>IF($B4793="","",IFERROR(INDEX(Config!$D$9:$D$29,MATCH($B4793,Config!$B$9:$B$29,0))&amp;"",""))</f>
        <v/>
      </c>
    </row>
    <row r="4794">
      <c r="X4794" s="20" t="str">
        <f>IF($B4794="","",IFERROR(IF(INDEX(Config!$D$9:$D$29,MATCH($B4794,Config!$B$9:$B$29,0))="Contrato",IF(INDEX(Config!$E$9:$E$29,MATCH($B4794,Config!$B$9:$B$29,0))="","",INDEX(Config!$E$9:$E$29,MATCH($B4794,Config!$B$9:$B$29,0))),""),""))</f>
        <v/>
      </c>
      <c r="AI4794" s="19" t="str">
        <f>IF($B4794="","",IFERROR(INDEX(Config!$D$9:$D$29,MATCH($B4794,Config!$B$9:$B$29,0))&amp;"",""))</f>
        <v/>
      </c>
    </row>
    <row r="4795">
      <c r="X4795" s="20" t="str">
        <f>IF($B4795="","",IFERROR(IF(INDEX(Config!$D$9:$D$29,MATCH($B4795,Config!$B$9:$B$29,0))="Contrato",IF(INDEX(Config!$E$9:$E$29,MATCH($B4795,Config!$B$9:$B$29,0))="","",INDEX(Config!$E$9:$E$29,MATCH($B4795,Config!$B$9:$B$29,0))),""),""))</f>
        <v/>
      </c>
      <c r="AI4795" s="19" t="str">
        <f>IF($B4795="","",IFERROR(INDEX(Config!$D$9:$D$29,MATCH($B4795,Config!$B$9:$B$29,0))&amp;"",""))</f>
        <v/>
      </c>
    </row>
    <row r="4796">
      <c r="X4796" s="20" t="str">
        <f>IF($B4796="","",IFERROR(IF(INDEX(Config!$D$9:$D$29,MATCH($B4796,Config!$B$9:$B$29,0))="Contrato",IF(INDEX(Config!$E$9:$E$29,MATCH($B4796,Config!$B$9:$B$29,0))="","",INDEX(Config!$E$9:$E$29,MATCH($B4796,Config!$B$9:$B$29,0))),""),""))</f>
        <v/>
      </c>
      <c r="AI4796" s="19" t="str">
        <f>IF($B4796="","",IFERROR(INDEX(Config!$D$9:$D$29,MATCH($B4796,Config!$B$9:$B$29,0))&amp;"",""))</f>
        <v/>
      </c>
    </row>
    <row r="4797">
      <c r="X4797" s="20" t="str">
        <f>IF($B4797="","",IFERROR(IF(INDEX(Config!$D$9:$D$29,MATCH($B4797,Config!$B$9:$B$29,0))="Contrato",IF(INDEX(Config!$E$9:$E$29,MATCH($B4797,Config!$B$9:$B$29,0))="","",INDEX(Config!$E$9:$E$29,MATCH($B4797,Config!$B$9:$B$29,0))),""),""))</f>
        <v/>
      </c>
      <c r="AI4797" s="19" t="str">
        <f>IF($B4797="","",IFERROR(INDEX(Config!$D$9:$D$29,MATCH($B4797,Config!$B$9:$B$29,0))&amp;"",""))</f>
        <v/>
      </c>
    </row>
    <row r="4798">
      <c r="X4798" s="20" t="str">
        <f>IF($B4798="","",IFERROR(IF(INDEX(Config!$D$9:$D$29,MATCH($B4798,Config!$B$9:$B$29,0))="Contrato",IF(INDEX(Config!$E$9:$E$29,MATCH($B4798,Config!$B$9:$B$29,0))="","",INDEX(Config!$E$9:$E$29,MATCH($B4798,Config!$B$9:$B$29,0))),""),""))</f>
        <v/>
      </c>
      <c r="AI4798" s="19" t="str">
        <f>IF($B4798="","",IFERROR(INDEX(Config!$D$9:$D$29,MATCH($B4798,Config!$B$9:$B$29,0))&amp;"",""))</f>
        <v/>
      </c>
    </row>
    <row r="4799">
      <c r="X4799" s="20" t="str">
        <f>IF($B4799="","",IFERROR(IF(INDEX(Config!$D$9:$D$29,MATCH($B4799,Config!$B$9:$B$29,0))="Contrato",IF(INDEX(Config!$E$9:$E$29,MATCH($B4799,Config!$B$9:$B$29,0))="","",INDEX(Config!$E$9:$E$29,MATCH($B4799,Config!$B$9:$B$29,0))),""),""))</f>
        <v/>
      </c>
      <c r="AI4799" s="19" t="str">
        <f>IF($B4799="","",IFERROR(INDEX(Config!$D$9:$D$29,MATCH($B4799,Config!$B$9:$B$29,0))&amp;"",""))</f>
        <v/>
      </c>
    </row>
    <row r="4800">
      <c r="X4800" s="20" t="str">
        <f>IF($B4800="","",IFERROR(IF(INDEX(Config!$D$9:$D$29,MATCH($B4800,Config!$B$9:$B$29,0))="Contrato",IF(INDEX(Config!$E$9:$E$29,MATCH($B4800,Config!$B$9:$B$29,0))="","",INDEX(Config!$E$9:$E$29,MATCH($B4800,Config!$B$9:$B$29,0))),""),""))</f>
        <v/>
      </c>
      <c r="AI4800" s="19" t="str">
        <f>IF($B4800="","",IFERROR(INDEX(Config!$D$9:$D$29,MATCH($B4800,Config!$B$9:$B$29,0))&amp;"",""))</f>
        <v/>
      </c>
    </row>
    <row r="4801">
      <c r="X4801" s="20" t="str">
        <f>IF($B4801="","",IFERROR(IF(INDEX(Config!$D$9:$D$29,MATCH($B4801,Config!$B$9:$B$29,0))="Contrato",IF(INDEX(Config!$E$9:$E$29,MATCH($B4801,Config!$B$9:$B$29,0))="","",INDEX(Config!$E$9:$E$29,MATCH($B4801,Config!$B$9:$B$29,0))),""),""))</f>
        <v/>
      </c>
      <c r="AI4801" s="19" t="str">
        <f>IF($B4801="","",IFERROR(INDEX(Config!$D$9:$D$29,MATCH($B4801,Config!$B$9:$B$29,0))&amp;"",""))</f>
        <v/>
      </c>
    </row>
    <row r="4802">
      <c r="X4802" s="20" t="str">
        <f>IF($B4802="","",IFERROR(IF(INDEX(Config!$D$9:$D$29,MATCH($B4802,Config!$B$9:$B$29,0))="Contrato",IF(INDEX(Config!$E$9:$E$29,MATCH($B4802,Config!$B$9:$B$29,0))="","",INDEX(Config!$E$9:$E$29,MATCH($B4802,Config!$B$9:$B$29,0))),""),""))</f>
        <v/>
      </c>
      <c r="AI4802" s="19" t="str">
        <f>IF($B4802="","",IFERROR(INDEX(Config!$D$9:$D$29,MATCH($B4802,Config!$B$9:$B$29,0))&amp;"",""))</f>
        <v/>
      </c>
    </row>
    <row r="4803">
      <c r="X4803" s="20" t="str">
        <f>IF($B4803="","",IFERROR(IF(INDEX(Config!$D$9:$D$29,MATCH($B4803,Config!$B$9:$B$29,0))="Contrato",IF(INDEX(Config!$E$9:$E$29,MATCH($B4803,Config!$B$9:$B$29,0))="","",INDEX(Config!$E$9:$E$29,MATCH($B4803,Config!$B$9:$B$29,0))),""),""))</f>
        <v/>
      </c>
      <c r="AI4803" s="19" t="str">
        <f>IF($B4803="","",IFERROR(INDEX(Config!$D$9:$D$29,MATCH($B4803,Config!$B$9:$B$29,0))&amp;"",""))</f>
        <v/>
      </c>
    </row>
    <row r="4804">
      <c r="X4804" s="20" t="str">
        <f>IF($B4804="","",IFERROR(IF(INDEX(Config!$D$9:$D$29,MATCH($B4804,Config!$B$9:$B$29,0))="Contrato",IF(INDEX(Config!$E$9:$E$29,MATCH($B4804,Config!$B$9:$B$29,0))="","",INDEX(Config!$E$9:$E$29,MATCH($B4804,Config!$B$9:$B$29,0))),""),""))</f>
        <v/>
      </c>
      <c r="AI4804" s="19" t="str">
        <f>IF($B4804="","",IFERROR(INDEX(Config!$D$9:$D$29,MATCH($B4804,Config!$B$9:$B$29,0))&amp;"",""))</f>
        <v/>
      </c>
    </row>
    <row r="4805">
      <c r="X4805" s="20" t="str">
        <f>IF($B4805="","",IFERROR(IF(INDEX(Config!$D$9:$D$29,MATCH($B4805,Config!$B$9:$B$29,0))="Contrato",IF(INDEX(Config!$E$9:$E$29,MATCH($B4805,Config!$B$9:$B$29,0))="","",INDEX(Config!$E$9:$E$29,MATCH($B4805,Config!$B$9:$B$29,0))),""),""))</f>
        <v/>
      </c>
      <c r="AI4805" s="19" t="str">
        <f>IF($B4805="","",IFERROR(INDEX(Config!$D$9:$D$29,MATCH($B4805,Config!$B$9:$B$29,0))&amp;"",""))</f>
        <v/>
      </c>
    </row>
    <row r="4806">
      <c r="X4806" s="20" t="str">
        <f>IF($B4806="","",IFERROR(IF(INDEX(Config!$D$9:$D$29,MATCH($B4806,Config!$B$9:$B$29,0))="Contrato",IF(INDEX(Config!$E$9:$E$29,MATCH($B4806,Config!$B$9:$B$29,0))="","",INDEX(Config!$E$9:$E$29,MATCH($B4806,Config!$B$9:$B$29,0))),""),""))</f>
        <v/>
      </c>
      <c r="AI4806" s="19" t="str">
        <f>IF($B4806="","",IFERROR(INDEX(Config!$D$9:$D$29,MATCH($B4806,Config!$B$9:$B$29,0))&amp;"",""))</f>
        <v/>
      </c>
    </row>
    <row r="4807">
      <c r="X4807" s="20" t="str">
        <f>IF($B4807="","",IFERROR(IF(INDEX(Config!$D$9:$D$29,MATCH($B4807,Config!$B$9:$B$29,0))="Contrato",IF(INDEX(Config!$E$9:$E$29,MATCH($B4807,Config!$B$9:$B$29,0))="","",INDEX(Config!$E$9:$E$29,MATCH($B4807,Config!$B$9:$B$29,0))),""),""))</f>
        <v/>
      </c>
      <c r="AI4807" s="19" t="str">
        <f>IF($B4807="","",IFERROR(INDEX(Config!$D$9:$D$29,MATCH($B4807,Config!$B$9:$B$29,0))&amp;"",""))</f>
        <v/>
      </c>
    </row>
    <row r="4808">
      <c r="X4808" s="20" t="str">
        <f>IF($B4808="","",IFERROR(IF(INDEX(Config!$D$9:$D$29,MATCH($B4808,Config!$B$9:$B$29,0))="Contrato",IF(INDEX(Config!$E$9:$E$29,MATCH($B4808,Config!$B$9:$B$29,0))="","",INDEX(Config!$E$9:$E$29,MATCH($B4808,Config!$B$9:$B$29,0))),""),""))</f>
        <v/>
      </c>
      <c r="AI4808" s="19" t="str">
        <f>IF($B4808="","",IFERROR(INDEX(Config!$D$9:$D$29,MATCH($B4808,Config!$B$9:$B$29,0))&amp;"",""))</f>
        <v/>
      </c>
    </row>
    <row r="4809">
      <c r="X4809" s="20" t="str">
        <f>IF($B4809="","",IFERROR(IF(INDEX(Config!$D$9:$D$29,MATCH($B4809,Config!$B$9:$B$29,0))="Contrato",IF(INDEX(Config!$E$9:$E$29,MATCH($B4809,Config!$B$9:$B$29,0))="","",INDEX(Config!$E$9:$E$29,MATCH($B4809,Config!$B$9:$B$29,0))),""),""))</f>
        <v/>
      </c>
      <c r="AI4809" s="19" t="str">
        <f>IF($B4809="","",IFERROR(INDEX(Config!$D$9:$D$29,MATCH($B4809,Config!$B$9:$B$29,0))&amp;"",""))</f>
        <v/>
      </c>
    </row>
    <row r="4810">
      <c r="X4810" s="20" t="str">
        <f>IF($B4810="","",IFERROR(IF(INDEX(Config!$D$9:$D$29,MATCH($B4810,Config!$B$9:$B$29,0))="Contrato",IF(INDEX(Config!$E$9:$E$29,MATCH($B4810,Config!$B$9:$B$29,0))="","",INDEX(Config!$E$9:$E$29,MATCH($B4810,Config!$B$9:$B$29,0))),""),""))</f>
        <v/>
      </c>
      <c r="AI4810" s="19" t="str">
        <f>IF($B4810="","",IFERROR(INDEX(Config!$D$9:$D$29,MATCH($B4810,Config!$B$9:$B$29,0))&amp;"",""))</f>
        <v/>
      </c>
    </row>
    <row r="4811">
      <c r="X4811" s="20" t="str">
        <f>IF($B4811="","",IFERROR(IF(INDEX(Config!$D$9:$D$29,MATCH($B4811,Config!$B$9:$B$29,0))="Contrato",IF(INDEX(Config!$E$9:$E$29,MATCH($B4811,Config!$B$9:$B$29,0))="","",INDEX(Config!$E$9:$E$29,MATCH($B4811,Config!$B$9:$B$29,0))),""),""))</f>
        <v/>
      </c>
      <c r="AI4811" s="19" t="str">
        <f>IF($B4811="","",IFERROR(INDEX(Config!$D$9:$D$29,MATCH($B4811,Config!$B$9:$B$29,0))&amp;"",""))</f>
        <v/>
      </c>
    </row>
    <row r="4812">
      <c r="X4812" s="20" t="str">
        <f>IF($B4812="","",IFERROR(IF(INDEX(Config!$D$9:$D$29,MATCH($B4812,Config!$B$9:$B$29,0))="Contrato",IF(INDEX(Config!$E$9:$E$29,MATCH($B4812,Config!$B$9:$B$29,0))="","",INDEX(Config!$E$9:$E$29,MATCH($B4812,Config!$B$9:$B$29,0))),""),""))</f>
        <v/>
      </c>
      <c r="AI4812" s="19" t="str">
        <f>IF($B4812="","",IFERROR(INDEX(Config!$D$9:$D$29,MATCH($B4812,Config!$B$9:$B$29,0))&amp;"",""))</f>
        <v/>
      </c>
    </row>
    <row r="4813">
      <c r="X4813" s="20" t="str">
        <f>IF($B4813="","",IFERROR(IF(INDEX(Config!$D$9:$D$29,MATCH($B4813,Config!$B$9:$B$29,0))="Contrato",IF(INDEX(Config!$E$9:$E$29,MATCH($B4813,Config!$B$9:$B$29,0))="","",INDEX(Config!$E$9:$E$29,MATCH($B4813,Config!$B$9:$B$29,0))),""),""))</f>
        <v/>
      </c>
      <c r="AI4813" s="19" t="str">
        <f>IF($B4813="","",IFERROR(INDEX(Config!$D$9:$D$29,MATCH($B4813,Config!$B$9:$B$29,0))&amp;"",""))</f>
        <v/>
      </c>
    </row>
    <row r="4814">
      <c r="X4814" s="20" t="str">
        <f>IF($B4814="","",IFERROR(IF(INDEX(Config!$D$9:$D$29,MATCH($B4814,Config!$B$9:$B$29,0))="Contrato",IF(INDEX(Config!$E$9:$E$29,MATCH($B4814,Config!$B$9:$B$29,0))="","",INDEX(Config!$E$9:$E$29,MATCH($B4814,Config!$B$9:$B$29,0))),""),""))</f>
        <v/>
      </c>
      <c r="AI4814" s="19" t="str">
        <f>IF($B4814="","",IFERROR(INDEX(Config!$D$9:$D$29,MATCH($B4814,Config!$B$9:$B$29,0))&amp;"",""))</f>
        <v/>
      </c>
    </row>
    <row r="4815">
      <c r="X4815" s="20" t="str">
        <f>IF($B4815="","",IFERROR(IF(INDEX(Config!$D$9:$D$29,MATCH($B4815,Config!$B$9:$B$29,0))="Contrato",IF(INDEX(Config!$E$9:$E$29,MATCH($B4815,Config!$B$9:$B$29,0))="","",INDEX(Config!$E$9:$E$29,MATCH($B4815,Config!$B$9:$B$29,0))),""),""))</f>
        <v/>
      </c>
      <c r="AI4815" s="19" t="str">
        <f>IF($B4815="","",IFERROR(INDEX(Config!$D$9:$D$29,MATCH($B4815,Config!$B$9:$B$29,0))&amp;"",""))</f>
        <v/>
      </c>
    </row>
    <row r="4816">
      <c r="X4816" s="20" t="str">
        <f>IF($B4816="","",IFERROR(IF(INDEX(Config!$D$9:$D$29,MATCH($B4816,Config!$B$9:$B$29,0))="Contrato",IF(INDEX(Config!$E$9:$E$29,MATCH($B4816,Config!$B$9:$B$29,0))="","",INDEX(Config!$E$9:$E$29,MATCH($B4816,Config!$B$9:$B$29,0))),""),""))</f>
        <v/>
      </c>
      <c r="AI4816" s="19" t="str">
        <f>IF($B4816="","",IFERROR(INDEX(Config!$D$9:$D$29,MATCH($B4816,Config!$B$9:$B$29,0))&amp;"",""))</f>
        <v/>
      </c>
    </row>
    <row r="4817">
      <c r="X4817" s="20" t="str">
        <f>IF($B4817="","",IFERROR(IF(INDEX(Config!$D$9:$D$29,MATCH($B4817,Config!$B$9:$B$29,0))="Contrato",IF(INDEX(Config!$E$9:$E$29,MATCH($B4817,Config!$B$9:$B$29,0))="","",INDEX(Config!$E$9:$E$29,MATCH($B4817,Config!$B$9:$B$29,0))),""),""))</f>
        <v/>
      </c>
      <c r="AI4817" s="19" t="str">
        <f>IF($B4817="","",IFERROR(INDEX(Config!$D$9:$D$29,MATCH($B4817,Config!$B$9:$B$29,0))&amp;"",""))</f>
        <v/>
      </c>
    </row>
    <row r="4818">
      <c r="X4818" s="20" t="str">
        <f>IF($B4818="","",IFERROR(IF(INDEX(Config!$D$9:$D$29,MATCH($B4818,Config!$B$9:$B$29,0))="Contrato",IF(INDEX(Config!$E$9:$E$29,MATCH($B4818,Config!$B$9:$B$29,0))="","",INDEX(Config!$E$9:$E$29,MATCH($B4818,Config!$B$9:$B$29,0))),""),""))</f>
        <v/>
      </c>
      <c r="AI4818" s="19" t="str">
        <f>IF($B4818="","",IFERROR(INDEX(Config!$D$9:$D$29,MATCH($B4818,Config!$B$9:$B$29,0))&amp;"",""))</f>
        <v/>
      </c>
    </row>
    <row r="4819">
      <c r="X4819" s="20" t="str">
        <f>IF($B4819="","",IFERROR(IF(INDEX(Config!$D$9:$D$29,MATCH($B4819,Config!$B$9:$B$29,0))="Contrato",IF(INDEX(Config!$E$9:$E$29,MATCH($B4819,Config!$B$9:$B$29,0))="","",INDEX(Config!$E$9:$E$29,MATCH($B4819,Config!$B$9:$B$29,0))),""),""))</f>
        <v/>
      </c>
      <c r="AI4819" s="19" t="str">
        <f>IF($B4819="","",IFERROR(INDEX(Config!$D$9:$D$29,MATCH($B4819,Config!$B$9:$B$29,0))&amp;"",""))</f>
        <v/>
      </c>
    </row>
    <row r="4820">
      <c r="X4820" s="20" t="str">
        <f>IF($B4820="","",IFERROR(IF(INDEX(Config!$D$9:$D$29,MATCH($B4820,Config!$B$9:$B$29,0))="Contrato",IF(INDEX(Config!$E$9:$E$29,MATCH($B4820,Config!$B$9:$B$29,0))="","",INDEX(Config!$E$9:$E$29,MATCH($B4820,Config!$B$9:$B$29,0))),""),""))</f>
        <v/>
      </c>
      <c r="AI4820" s="19" t="str">
        <f>IF($B4820="","",IFERROR(INDEX(Config!$D$9:$D$29,MATCH($B4820,Config!$B$9:$B$29,0))&amp;"",""))</f>
        <v/>
      </c>
    </row>
    <row r="4821">
      <c r="X4821" s="20" t="str">
        <f>IF($B4821="","",IFERROR(IF(INDEX(Config!$D$9:$D$29,MATCH($B4821,Config!$B$9:$B$29,0))="Contrato",IF(INDEX(Config!$E$9:$E$29,MATCH($B4821,Config!$B$9:$B$29,0))="","",INDEX(Config!$E$9:$E$29,MATCH($B4821,Config!$B$9:$B$29,0))),""),""))</f>
        <v/>
      </c>
      <c r="AI4821" s="19" t="str">
        <f>IF($B4821="","",IFERROR(INDEX(Config!$D$9:$D$29,MATCH($B4821,Config!$B$9:$B$29,0))&amp;"",""))</f>
        <v/>
      </c>
    </row>
    <row r="4822">
      <c r="X4822" s="20" t="str">
        <f>IF($B4822="","",IFERROR(IF(INDEX(Config!$D$9:$D$29,MATCH($B4822,Config!$B$9:$B$29,0))="Contrato",IF(INDEX(Config!$E$9:$E$29,MATCH($B4822,Config!$B$9:$B$29,0))="","",INDEX(Config!$E$9:$E$29,MATCH($B4822,Config!$B$9:$B$29,0))),""),""))</f>
        <v/>
      </c>
      <c r="AI4822" s="19" t="str">
        <f>IF($B4822="","",IFERROR(INDEX(Config!$D$9:$D$29,MATCH($B4822,Config!$B$9:$B$29,0))&amp;"",""))</f>
        <v/>
      </c>
    </row>
    <row r="4823">
      <c r="X4823" s="20" t="str">
        <f>IF($B4823="","",IFERROR(IF(INDEX(Config!$D$9:$D$29,MATCH($B4823,Config!$B$9:$B$29,0))="Contrato",IF(INDEX(Config!$E$9:$E$29,MATCH($B4823,Config!$B$9:$B$29,0))="","",INDEX(Config!$E$9:$E$29,MATCH($B4823,Config!$B$9:$B$29,0))),""),""))</f>
        <v/>
      </c>
      <c r="AI4823" s="19" t="str">
        <f>IF($B4823="","",IFERROR(INDEX(Config!$D$9:$D$29,MATCH($B4823,Config!$B$9:$B$29,0))&amp;"",""))</f>
        <v/>
      </c>
    </row>
    <row r="4824">
      <c r="X4824" s="20" t="str">
        <f>IF($B4824="","",IFERROR(IF(INDEX(Config!$D$9:$D$29,MATCH($B4824,Config!$B$9:$B$29,0))="Contrato",IF(INDEX(Config!$E$9:$E$29,MATCH($B4824,Config!$B$9:$B$29,0))="","",INDEX(Config!$E$9:$E$29,MATCH($B4824,Config!$B$9:$B$29,0))),""),""))</f>
        <v/>
      </c>
      <c r="AI4824" s="19" t="str">
        <f>IF($B4824="","",IFERROR(INDEX(Config!$D$9:$D$29,MATCH($B4824,Config!$B$9:$B$29,0))&amp;"",""))</f>
        <v/>
      </c>
    </row>
    <row r="4825">
      <c r="X4825" s="20" t="str">
        <f>IF($B4825="","",IFERROR(IF(INDEX(Config!$D$9:$D$29,MATCH($B4825,Config!$B$9:$B$29,0))="Contrato",IF(INDEX(Config!$E$9:$E$29,MATCH($B4825,Config!$B$9:$B$29,0))="","",INDEX(Config!$E$9:$E$29,MATCH($B4825,Config!$B$9:$B$29,0))),""),""))</f>
        <v/>
      </c>
      <c r="AI4825" s="19" t="str">
        <f>IF($B4825="","",IFERROR(INDEX(Config!$D$9:$D$29,MATCH($B4825,Config!$B$9:$B$29,0))&amp;"",""))</f>
        <v/>
      </c>
    </row>
    <row r="4826">
      <c r="X4826" s="20" t="str">
        <f>IF($B4826="","",IFERROR(IF(INDEX(Config!$D$9:$D$29,MATCH($B4826,Config!$B$9:$B$29,0))="Contrato",IF(INDEX(Config!$E$9:$E$29,MATCH($B4826,Config!$B$9:$B$29,0))="","",INDEX(Config!$E$9:$E$29,MATCH($B4826,Config!$B$9:$B$29,0))),""),""))</f>
        <v/>
      </c>
      <c r="AI4826" s="19" t="str">
        <f>IF($B4826="","",IFERROR(INDEX(Config!$D$9:$D$29,MATCH($B4826,Config!$B$9:$B$29,0))&amp;"",""))</f>
        <v/>
      </c>
    </row>
    <row r="4827">
      <c r="X4827" s="20" t="str">
        <f>IF($B4827="","",IFERROR(IF(INDEX(Config!$D$9:$D$29,MATCH($B4827,Config!$B$9:$B$29,0))="Contrato",IF(INDEX(Config!$E$9:$E$29,MATCH($B4827,Config!$B$9:$B$29,0))="","",INDEX(Config!$E$9:$E$29,MATCH($B4827,Config!$B$9:$B$29,0))),""),""))</f>
        <v/>
      </c>
      <c r="AI4827" s="19" t="str">
        <f>IF($B4827="","",IFERROR(INDEX(Config!$D$9:$D$29,MATCH($B4827,Config!$B$9:$B$29,0))&amp;"",""))</f>
        <v/>
      </c>
    </row>
    <row r="4828">
      <c r="X4828" s="20" t="str">
        <f>IF($B4828="","",IFERROR(IF(INDEX(Config!$D$9:$D$29,MATCH($B4828,Config!$B$9:$B$29,0))="Contrato",IF(INDEX(Config!$E$9:$E$29,MATCH($B4828,Config!$B$9:$B$29,0))="","",INDEX(Config!$E$9:$E$29,MATCH($B4828,Config!$B$9:$B$29,0))),""),""))</f>
        <v/>
      </c>
      <c r="AI4828" s="19" t="str">
        <f>IF($B4828="","",IFERROR(INDEX(Config!$D$9:$D$29,MATCH($B4828,Config!$B$9:$B$29,0))&amp;"",""))</f>
        <v/>
      </c>
    </row>
    <row r="4829">
      <c r="X4829" s="20" t="str">
        <f>IF($B4829="","",IFERROR(IF(INDEX(Config!$D$9:$D$29,MATCH($B4829,Config!$B$9:$B$29,0))="Contrato",IF(INDEX(Config!$E$9:$E$29,MATCH($B4829,Config!$B$9:$B$29,0))="","",INDEX(Config!$E$9:$E$29,MATCH($B4829,Config!$B$9:$B$29,0))),""),""))</f>
        <v/>
      </c>
      <c r="AI4829" s="19" t="str">
        <f>IF($B4829="","",IFERROR(INDEX(Config!$D$9:$D$29,MATCH($B4829,Config!$B$9:$B$29,0))&amp;"",""))</f>
        <v/>
      </c>
    </row>
    <row r="4830">
      <c r="X4830" s="20" t="str">
        <f>IF($B4830="","",IFERROR(IF(INDEX(Config!$D$9:$D$29,MATCH($B4830,Config!$B$9:$B$29,0))="Contrato",IF(INDEX(Config!$E$9:$E$29,MATCH($B4830,Config!$B$9:$B$29,0))="","",INDEX(Config!$E$9:$E$29,MATCH($B4830,Config!$B$9:$B$29,0))),""),""))</f>
        <v/>
      </c>
      <c r="AI4830" s="19" t="str">
        <f>IF($B4830="","",IFERROR(INDEX(Config!$D$9:$D$29,MATCH($B4830,Config!$B$9:$B$29,0))&amp;"",""))</f>
        <v/>
      </c>
    </row>
    <row r="4831">
      <c r="X4831" s="20" t="str">
        <f>IF($B4831="","",IFERROR(IF(INDEX(Config!$D$9:$D$29,MATCH($B4831,Config!$B$9:$B$29,0))="Contrato",IF(INDEX(Config!$E$9:$E$29,MATCH($B4831,Config!$B$9:$B$29,0))="","",INDEX(Config!$E$9:$E$29,MATCH($B4831,Config!$B$9:$B$29,0))),""),""))</f>
        <v/>
      </c>
      <c r="AI4831" s="19" t="str">
        <f>IF($B4831="","",IFERROR(INDEX(Config!$D$9:$D$29,MATCH($B4831,Config!$B$9:$B$29,0))&amp;"",""))</f>
        <v/>
      </c>
    </row>
    <row r="4832">
      <c r="X4832" s="20" t="str">
        <f>IF($B4832="","",IFERROR(IF(INDEX(Config!$D$9:$D$29,MATCH($B4832,Config!$B$9:$B$29,0))="Contrato",IF(INDEX(Config!$E$9:$E$29,MATCH($B4832,Config!$B$9:$B$29,0))="","",INDEX(Config!$E$9:$E$29,MATCH($B4832,Config!$B$9:$B$29,0))),""),""))</f>
        <v/>
      </c>
      <c r="AI4832" s="19" t="str">
        <f>IF($B4832="","",IFERROR(INDEX(Config!$D$9:$D$29,MATCH($B4832,Config!$B$9:$B$29,0))&amp;"",""))</f>
        <v/>
      </c>
    </row>
    <row r="4833">
      <c r="X4833" s="20" t="str">
        <f>IF($B4833="","",IFERROR(IF(INDEX(Config!$D$9:$D$29,MATCH($B4833,Config!$B$9:$B$29,0))="Contrato",IF(INDEX(Config!$E$9:$E$29,MATCH($B4833,Config!$B$9:$B$29,0))="","",INDEX(Config!$E$9:$E$29,MATCH($B4833,Config!$B$9:$B$29,0))),""),""))</f>
        <v/>
      </c>
      <c r="AI4833" s="19" t="str">
        <f>IF($B4833="","",IFERROR(INDEX(Config!$D$9:$D$29,MATCH($B4833,Config!$B$9:$B$29,0))&amp;"",""))</f>
        <v/>
      </c>
    </row>
    <row r="4834">
      <c r="X4834" s="20" t="str">
        <f>IF($B4834="","",IFERROR(IF(INDEX(Config!$D$9:$D$29,MATCH($B4834,Config!$B$9:$B$29,0))="Contrato",IF(INDEX(Config!$E$9:$E$29,MATCH($B4834,Config!$B$9:$B$29,0))="","",INDEX(Config!$E$9:$E$29,MATCH($B4834,Config!$B$9:$B$29,0))),""),""))</f>
        <v/>
      </c>
      <c r="AI4834" s="19" t="str">
        <f>IF($B4834="","",IFERROR(INDEX(Config!$D$9:$D$29,MATCH($B4834,Config!$B$9:$B$29,0))&amp;"",""))</f>
        <v/>
      </c>
    </row>
    <row r="4835">
      <c r="X4835" s="20" t="str">
        <f>IF($B4835="","",IFERROR(IF(INDEX(Config!$D$9:$D$29,MATCH($B4835,Config!$B$9:$B$29,0))="Contrato",IF(INDEX(Config!$E$9:$E$29,MATCH($B4835,Config!$B$9:$B$29,0))="","",INDEX(Config!$E$9:$E$29,MATCH($B4835,Config!$B$9:$B$29,0))),""),""))</f>
        <v/>
      </c>
      <c r="AI4835" s="19" t="str">
        <f>IF($B4835="","",IFERROR(INDEX(Config!$D$9:$D$29,MATCH($B4835,Config!$B$9:$B$29,0))&amp;"",""))</f>
        <v/>
      </c>
    </row>
    <row r="4836">
      <c r="X4836" s="20" t="str">
        <f>IF($B4836="","",IFERROR(IF(INDEX(Config!$D$9:$D$29,MATCH($B4836,Config!$B$9:$B$29,0))="Contrato",IF(INDEX(Config!$E$9:$E$29,MATCH($B4836,Config!$B$9:$B$29,0))="","",INDEX(Config!$E$9:$E$29,MATCH($B4836,Config!$B$9:$B$29,0))),""),""))</f>
        <v/>
      </c>
      <c r="AI4836" s="19" t="str">
        <f>IF($B4836="","",IFERROR(INDEX(Config!$D$9:$D$29,MATCH($B4836,Config!$B$9:$B$29,0))&amp;"",""))</f>
        <v/>
      </c>
    </row>
    <row r="4837">
      <c r="X4837" s="20" t="str">
        <f>IF($B4837="","",IFERROR(IF(INDEX(Config!$D$9:$D$29,MATCH($B4837,Config!$B$9:$B$29,0))="Contrato",IF(INDEX(Config!$E$9:$E$29,MATCH($B4837,Config!$B$9:$B$29,0))="","",INDEX(Config!$E$9:$E$29,MATCH($B4837,Config!$B$9:$B$29,0))),""),""))</f>
        <v/>
      </c>
      <c r="AI4837" s="19" t="str">
        <f>IF($B4837="","",IFERROR(INDEX(Config!$D$9:$D$29,MATCH($B4837,Config!$B$9:$B$29,0))&amp;"",""))</f>
        <v/>
      </c>
    </row>
    <row r="4838">
      <c r="X4838" s="20" t="str">
        <f>IF($B4838="","",IFERROR(IF(INDEX(Config!$D$9:$D$29,MATCH($B4838,Config!$B$9:$B$29,0))="Contrato",IF(INDEX(Config!$E$9:$E$29,MATCH($B4838,Config!$B$9:$B$29,0))="","",INDEX(Config!$E$9:$E$29,MATCH($B4838,Config!$B$9:$B$29,0))),""),""))</f>
        <v/>
      </c>
      <c r="AI4838" s="19" t="str">
        <f>IF($B4838="","",IFERROR(INDEX(Config!$D$9:$D$29,MATCH($B4838,Config!$B$9:$B$29,0))&amp;"",""))</f>
        <v/>
      </c>
    </row>
    <row r="4839">
      <c r="X4839" s="20" t="str">
        <f>IF($B4839="","",IFERROR(IF(INDEX(Config!$D$9:$D$29,MATCH($B4839,Config!$B$9:$B$29,0))="Contrato",IF(INDEX(Config!$E$9:$E$29,MATCH($B4839,Config!$B$9:$B$29,0))="","",INDEX(Config!$E$9:$E$29,MATCH($B4839,Config!$B$9:$B$29,0))),""),""))</f>
        <v/>
      </c>
      <c r="AI4839" s="19" t="str">
        <f>IF($B4839="","",IFERROR(INDEX(Config!$D$9:$D$29,MATCH($B4839,Config!$B$9:$B$29,0))&amp;"",""))</f>
        <v/>
      </c>
    </row>
    <row r="4840">
      <c r="X4840" s="20" t="str">
        <f>IF($B4840="","",IFERROR(IF(INDEX(Config!$D$9:$D$29,MATCH($B4840,Config!$B$9:$B$29,0))="Contrato",IF(INDEX(Config!$E$9:$E$29,MATCH($B4840,Config!$B$9:$B$29,0))="","",INDEX(Config!$E$9:$E$29,MATCH($B4840,Config!$B$9:$B$29,0))),""),""))</f>
        <v/>
      </c>
      <c r="AI4840" s="19" t="str">
        <f>IF($B4840="","",IFERROR(INDEX(Config!$D$9:$D$29,MATCH($B4840,Config!$B$9:$B$29,0))&amp;"",""))</f>
        <v/>
      </c>
    </row>
    <row r="4841">
      <c r="X4841" s="20" t="str">
        <f>IF($B4841="","",IFERROR(IF(INDEX(Config!$D$9:$D$29,MATCH($B4841,Config!$B$9:$B$29,0))="Contrato",IF(INDEX(Config!$E$9:$E$29,MATCH($B4841,Config!$B$9:$B$29,0))="","",INDEX(Config!$E$9:$E$29,MATCH($B4841,Config!$B$9:$B$29,0))),""),""))</f>
        <v/>
      </c>
      <c r="AI4841" s="19" t="str">
        <f>IF($B4841="","",IFERROR(INDEX(Config!$D$9:$D$29,MATCH($B4841,Config!$B$9:$B$29,0))&amp;"",""))</f>
        <v/>
      </c>
    </row>
    <row r="4842">
      <c r="X4842" s="20" t="str">
        <f>IF($B4842="","",IFERROR(IF(INDEX(Config!$D$9:$D$29,MATCH($B4842,Config!$B$9:$B$29,0))="Contrato",IF(INDEX(Config!$E$9:$E$29,MATCH($B4842,Config!$B$9:$B$29,0))="","",INDEX(Config!$E$9:$E$29,MATCH($B4842,Config!$B$9:$B$29,0))),""),""))</f>
        <v/>
      </c>
      <c r="AI4842" s="19" t="str">
        <f>IF($B4842="","",IFERROR(INDEX(Config!$D$9:$D$29,MATCH($B4842,Config!$B$9:$B$29,0))&amp;"",""))</f>
        <v/>
      </c>
    </row>
    <row r="4843">
      <c r="X4843" s="20" t="str">
        <f>IF($B4843="","",IFERROR(IF(INDEX(Config!$D$9:$D$29,MATCH($B4843,Config!$B$9:$B$29,0))="Contrato",IF(INDEX(Config!$E$9:$E$29,MATCH($B4843,Config!$B$9:$B$29,0))="","",INDEX(Config!$E$9:$E$29,MATCH($B4843,Config!$B$9:$B$29,0))),""),""))</f>
        <v/>
      </c>
      <c r="AI4843" s="19" t="str">
        <f>IF($B4843="","",IFERROR(INDEX(Config!$D$9:$D$29,MATCH($B4843,Config!$B$9:$B$29,0))&amp;"",""))</f>
        <v/>
      </c>
    </row>
    <row r="4844">
      <c r="X4844" s="20" t="str">
        <f>IF($B4844="","",IFERROR(IF(INDEX(Config!$D$9:$D$29,MATCH($B4844,Config!$B$9:$B$29,0))="Contrato",IF(INDEX(Config!$E$9:$E$29,MATCH($B4844,Config!$B$9:$B$29,0))="","",INDEX(Config!$E$9:$E$29,MATCH($B4844,Config!$B$9:$B$29,0))),""),""))</f>
        <v/>
      </c>
      <c r="AI4844" s="19" t="str">
        <f>IF($B4844="","",IFERROR(INDEX(Config!$D$9:$D$29,MATCH($B4844,Config!$B$9:$B$29,0))&amp;"",""))</f>
        <v/>
      </c>
    </row>
    <row r="4845">
      <c r="X4845" s="20" t="str">
        <f>IF($B4845="","",IFERROR(IF(INDEX(Config!$D$9:$D$29,MATCH($B4845,Config!$B$9:$B$29,0))="Contrato",IF(INDEX(Config!$E$9:$E$29,MATCH($B4845,Config!$B$9:$B$29,0))="","",INDEX(Config!$E$9:$E$29,MATCH($B4845,Config!$B$9:$B$29,0))),""),""))</f>
        <v/>
      </c>
      <c r="AI4845" s="19" t="str">
        <f>IF($B4845="","",IFERROR(INDEX(Config!$D$9:$D$29,MATCH($B4845,Config!$B$9:$B$29,0))&amp;"",""))</f>
        <v/>
      </c>
    </row>
    <row r="4846">
      <c r="X4846" s="20" t="str">
        <f>IF($B4846="","",IFERROR(IF(INDEX(Config!$D$9:$D$29,MATCH($B4846,Config!$B$9:$B$29,0))="Contrato",IF(INDEX(Config!$E$9:$E$29,MATCH($B4846,Config!$B$9:$B$29,0))="","",INDEX(Config!$E$9:$E$29,MATCH($B4846,Config!$B$9:$B$29,0))),""),""))</f>
        <v/>
      </c>
      <c r="AI4846" s="19" t="str">
        <f>IF($B4846="","",IFERROR(INDEX(Config!$D$9:$D$29,MATCH($B4846,Config!$B$9:$B$29,0))&amp;"",""))</f>
        <v/>
      </c>
    </row>
    <row r="4847">
      <c r="X4847" s="20" t="str">
        <f>IF($B4847="","",IFERROR(IF(INDEX(Config!$D$9:$D$29,MATCH($B4847,Config!$B$9:$B$29,0))="Contrato",IF(INDEX(Config!$E$9:$E$29,MATCH($B4847,Config!$B$9:$B$29,0))="","",INDEX(Config!$E$9:$E$29,MATCH($B4847,Config!$B$9:$B$29,0))),""),""))</f>
        <v/>
      </c>
      <c r="AI4847" s="19" t="str">
        <f>IF($B4847="","",IFERROR(INDEX(Config!$D$9:$D$29,MATCH($B4847,Config!$B$9:$B$29,0))&amp;"",""))</f>
        <v/>
      </c>
    </row>
    <row r="4848">
      <c r="X4848" s="20" t="str">
        <f>IF($B4848="","",IFERROR(IF(INDEX(Config!$D$9:$D$29,MATCH($B4848,Config!$B$9:$B$29,0))="Contrato",IF(INDEX(Config!$E$9:$E$29,MATCH($B4848,Config!$B$9:$B$29,0))="","",INDEX(Config!$E$9:$E$29,MATCH($B4848,Config!$B$9:$B$29,0))),""),""))</f>
        <v/>
      </c>
      <c r="AI4848" s="19" t="str">
        <f>IF($B4848="","",IFERROR(INDEX(Config!$D$9:$D$29,MATCH($B4848,Config!$B$9:$B$29,0))&amp;"",""))</f>
        <v/>
      </c>
    </row>
    <row r="4849">
      <c r="X4849" s="20" t="str">
        <f>IF($B4849="","",IFERROR(IF(INDEX(Config!$D$9:$D$29,MATCH($B4849,Config!$B$9:$B$29,0))="Contrato",IF(INDEX(Config!$E$9:$E$29,MATCH($B4849,Config!$B$9:$B$29,0))="","",INDEX(Config!$E$9:$E$29,MATCH($B4849,Config!$B$9:$B$29,0))),""),""))</f>
        <v/>
      </c>
      <c r="AI4849" s="19" t="str">
        <f>IF($B4849="","",IFERROR(INDEX(Config!$D$9:$D$29,MATCH($B4849,Config!$B$9:$B$29,0))&amp;"",""))</f>
        <v/>
      </c>
    </row>
    <row r="4850">
      <c r="X4850" s="20" t="str">
        <f>IF($B4850="","",IFERROR(IF(INDEX(Config!$D$9:$D$29,MATCH($B4850,Config!$B$9:$B$29,0))="Contrato",IF(INDEX(Config!$E$9:$E$29,MATCH($B4850,Config!$B$9:$B$29,0))="","",INDEX(Config!$E$9:$E$29,MATCH($B4850,Config!$B$9:$B$29,0))),""),""))</f>
        <v/>
      </c>
      <c r="AI4850" s="19" t="str">
        <f>IF($B4850="","",IFERROR(INDEX(Config!$D$9:$D$29,MATCH($B4850,Config!$B$9:$B$29,0))&amp;"",""))</f>
        <v/>
      </c>
    </row>
    <row r="4851">
      <c r="X4851" s="20" t="str">
        <f>IF($B4851="","",IFERROR(IF(INDEX(Config!$D$9:$D$29,MATCH($B4851,Config!$B$9:$B$29,0))="Contrato",IF(INDEX(Config!$E$9:$E$29,MATCH($B4851,Config!$B$9:$B$29,0))="","",INDEX(Config!$E$9:$E$29,MATCH($B4851,Config!$B$9:$B$29,0))),""),""))</f>
        <v/>
      </c>
      <c r="AI4851" s="19" t="str">
        <f>IF($B4851="","",IFERROR(INDEX(Config!$D$9:$D$29,MATCH($B4851,Config!$B$9:$B$29,0))&amp;"",""))</f>
        <v/>
      </c>
    </row>
    <row r="4852">
      <c r="X4852" s="20" t="str">
        <f>IF($B4852="","",IFERROR(IF(INDEX(Config!$D$9:$D$29,MATCH($B4852,Config!$B$9:$B$29,0))="Contrato",IF(INDEX(Config!$E$9:$E$29,MATCH($B4852,Config!$B$9:$B$29,0))="","",INDEX(Config!$E$9:$E$29,MATCH($B4852,Config!$B$9:$B$29,0))),""),""))</f>
        <v/>
      </c>
      <c r="AI4852" s="19" t="str">
        <f>IF($B4852="","",IFERROR(INDEX(Config!$D$9:$D$29,MATCH($B4852,Config!$B$9:$B$29,0))&amp;"",""))</f>
        <v/>
      </c>
    </row>
    <row r="4853">
      <c r="X4853" s="20" t="str">
        <f>IF($B4853="","",IFERROR(IF(INDEX(Config!$D$9:$D$29,MATCH($B4853,Config!$B$9:$B$29,0))="Contrato",IF(INDEX(Config!$E$9:$E$29,MATCH($B4853,Config!$B$9:$B$29,0))="","",INDEX(Config!$E$9:$E$29,MATCH($B4853,Config!$B$9:$B$29,0))),""),""))</f>
        <v/>
      </c>
      <c r="AI4853" s="19" t="str">
        <f>IF($B4853="","",IFERROR(INDEX(Config!$D$9:$D$29,MATCH($B4853,Config!$B$9:$B$29,0))&amp;"",""))</f>
        <v/>
      </c>
    </row>
    <row r="4854">
      <c r="X4854" s="20" t="str">
        <f>IF($B4854="","",IFERROR(IF(INDEX(Config!$D$9:$D$29,MATCH($B4854,Config!$B$9:$B$29,0))="Contrato",IF(INDEX(Config!$E$9:$E$29,MATCH($B4854,Config!$B$9:$B$29,0))="","",INDEX(Config!$E$9:$E$29,MATCH($B4854,Config!$B$9:$B$29,0))),""),""))</f>
        <v/>
      </c>
      <c r="AI4854" s="19" t="str">
        <f>IF($B4854="","",IFERROR(INDEX(Config!$D$9:$D$29,MATCH($B4854,Config!$B$9:$B$29,0))&amp;"",""))</f>
        <v/>
      </c>
    </row>
    <row r="4855">
      <c r="X4855" s="20" t="str">
        <f>IF($B4855="","",IFERROR(IF(INDEX(Config!$D$9:$D$29,MATCH($B4855,Config!$B$9:$B$29,0))="Contrato",IF(INDEX(Config!$E$9:$E$29,MATCH($B4855,Config!$B$9:$B$29,0))="","",INDEX(Config!$E$9:$E$29,MATCH($B4855,Config!$B$9:$B$29,0))),""),""))</f>
        <v/>
      </c>
      <c r="AI4855" s="19" t="str">
        <f>IF($B4855="","",IFERROR(INDEX(Config!$D$9:$D$29,MATCH($B4855,Config!$B$9:$B$29,0))&amp;"",""))</f>
        <v/>
      </c>
    </row>
    <row r="4856">
      <c r="X4856" s="20" t="str">
        <f>IF($B4856="","",IFERROR(IF(INDEX(Config!$D$9:$D$29,MATCH($B4856,Config!$B$9:$B$29,0))="Contrato",IF(INDEX(Config!$E$9:$E$29,MATCH($B4856,Config!$B$9:$B$29,0))="","",INDEX(Config!$E$9:$E$29,MATCH($B4856,Config!$B$9:$B$29,0))),""),""))</f>
        <v/>
      </c>
      <c r="AI4856" s="19" t="str">
        <f>IF($B4856="","",IFERROR(INDEX(Config!$D$9:$D$29,MATCH($B4856,Config!$B$9:$B$29,0))&amp;"",""))</f>
        <v/>
      </c>
    </row>
    <row r="4857">
      <c r="X4857" s="20" t="str">
        <f>IF($B4857="","",IFERROR(IF(INDEX(Config!$D$9:$D$29,MATCH($B4857,Config!$B$9:$B$29,0))="Contrato",IF(INDEX(Config!$E$9:$E$29,MATCH($B4857,Config!$B$9:$B$29,0))="","",INDEX(Config!$E$9:$E$29,MATCH($B4857,Config!$B$9:$B$29,0))),""),""))</f>
        <v/>
      </c>
      <c r="AI4857" s="19" t="str">
        <f>IF($B4857="","",IFERROR(INDEX(Config!$D$9:$D$29,MATCH($B4857,Config!$B$9:$B$29,0))&amp;"",""))</f>
        <v/>
      </c>
    </row>
    <row r="4858">
      <c r="X4858" s="20" t="str">
        <f>IF($B4858="","",IFERROR(IF(INDEX(Config!$D$9:$D$29,MATCH($B4858,Config!$B$9:$B$29,0))="Contrato",IF(INDEX(Config!$E$9:$E$29,MATCH($B4858,Config!$B$9:$B$29,0))="","",INDEX(Config!$E$9:$E$29,MATCH($B4858,Config!$B$9:$B$29,0))),""),""))</f>
        <v/>
      </c>
      <c r="AI4858" s="19" t="str">
        <f>IF($B4858="","",IFERROR(INDEX(Config!$D$9:$D$29,MATCH($B4858,Config!$B$9:$B$29,0))&amp;"",""))</f>
        <v/>
      </c>
    </row>
    <row r="4859">
      <c r="X4859" s="20" t="str">
        <f>IF($B4859="","",IFERROR(IF(INDEX(Config!$D$9:$D$29,MATCH($B4859,Config!$B$9:$B$29,0))="Contrato",IF(INDEX(Config!$E$9:$E$29,MATCH($B4859,Config!$B$9:$B$29,0))="","",INDEX(Config!$E$9:$E$29,MATCH($B4859,Config!$B$9:$B$29,0))),""),""))</f>
        <v/>
      </c>
      <c r="AI4859" s="19" t="str">
        <f>IF($B4859="","",IFERROR(INDEX(Config!$D$9:$D$29,MATCH($B4859,Config!$B$9:$B$29,0))&amp;"",""))</f>
        <v/>
      </c>
    </row>
    <row r="4860">
      <c r="X4860" s="20" t="str">
        <f>IF($B4860="","",IFERROR(IF(INDEX(Config!$D$9:$D$29,MATCH($B4860,Config!$B$9:$B$29,0))="Contrato",IF(INDEX(Config!$E$9:$E$29,MATCH($B4860,Config!$B$9:$B$29,0))="","",INDEX(Config!$E$9:$E$29,MATCH($B4860,Config!$B$9:$B$29,0))),""),""))</f>
        <v/>
      </c>
      <c r="AI4860" s="19" t="str">
        <f>IF($B4860="","",IFERROR(INDEX(Config!$D$9:$D$29,MATCH($B4860,Config!$B$9:$B$29,0))&amp;"",""))</f>
        <v/>
      </c>
    </row>
    <row r="4861">
      <c r="X4861" s="20" t="str">
        <f>IF($B4861="","",IFERROR(IF(INDEX(Config!$D$9:$D$29,MATCH($B4861,Config!$B$9:$B$29,0))="Contrato",IF(INDEX(Config!$E$9:$E$29,MATCH($B4861,Config!$B$9:$B$29,0))="","",INDEX(Config!$E$9:$E$29,MATCH($B4861,Config!$B$9:$B$29,0))),""),""))</f>
        <v/>
      </c>
      <c r="AI4861" s="19" t="str">
        <f>IF($B4861="","",IFERROR(INDEX(Config!$D$9:$D$29,MATCH($B4861,Config!$B$9:$B$29,0))&amp;"",""))</f>
        <v/>
      </c>
    </row>
    <row r="4862">
      <c r="X4862" s="20" t="str">
        <f>IF($B4862="","",IFERROR(IF(INDEX(Config!$D$9:$D$29,MATCH($B4862,Config!$B$9:$B$29,0))="Contrato",IF(INDEX(Config!$E$9:$E$29,MATCH($B4862,Config!$B$9:$B$29,0))="","",INDEX(Config!$E$9:$E$29,MATCH($B4862,Config!$B$9:$B$29,0))),""),""))</f>
        <v/>
      </c>
      <c r="AI4862" s="19" t="str">
        <f>IF($B4862="","",IFERROR(INDEX(Config!$D$9:$D$29,MATCH($B4862,Config!$B$9:$B$29,0))&amp;"",""))</f>
        <v/>
      </c>
    </row>
    <row r="4863">
      <c r="X4863" s="20" t="str">
        <f>IF($B4863="","",IFERROR(IF(INDEX(Config!$D$9:$D$29,MATCH($B4863,Config!$B$9:$B$29,0))="Contrato",IF(INDEX(Config!$E$9:$E$29,MATCH($B4863,Config!$B$9:$B$29,0))="","",INDEX(Config!$E$9:$E$29,MATCH($B4863,Config!$B$9:$B$29,0))),""),""))</f>
        <v/>
      </c>
      <c r="AI4863" s="19" t="str">
        <f>IF($B4863="","",IFERROR(INDEX(Config!$D$9:$D$29,MATCH($B4863,Config!$B$9:$B$29,0))&amp;"",""))</f>
        <v/>
      </c>
    </row>
    <row r="4864">
      <c r="X4864" s="20" t="str">
        <f>IF($B4864="","",IFERROR(IF(INDEX(Config!$D$9:$D$29,MATCH($B4864,Config!$B$9:$B$29,0))="Contrato",IF(INDEX(Config!$E$9:$E$29,MATCH($B4864,Config!$B$9:$B$29,0))="","",INDEX(Config!$E$9:$E$29,MATCH($B4864,Config!$B$9:$B$29,0))),""),""))</f>
        <v/>
      </c>
      <c r="AI4864" s="19" t="str">
        <f>IF($B4864="","",IFERROR(INDEX(Config!$D$9:$D$29,MATCH($B4864,Config!$B$9:$B$29,0))&amp;"",""))</f>
        <v/>
      </c>
    </row>
    <row r="4865">
      <c r="X4865" s="20" t="str">
        <f>IF($B4865="","",IFERROR(IF(INDEX(Config!$D$9:$D$29,MATCH($B4865,Config!$B$9:$B$29,0))="Contrato",IF(INDEX(Config!$E$9:$E$29,MATCH($B4865,Config!$B$9:$B$29,0))="","",INDEX(Config!$E$9:$E$29,MATCH($B4865,Config!$B$9:$B$29,0))),""),""))</f>
        <v/>
      </c>
      <c r="AI4865" s="19" t="str">
        <f>IF($B4865="","",IFERROR(INDEX(Config!$D$9:$D$29,MATCH($B4865,Config!$B$9:$B$29,0))&amp;"",""))</f>
        <v/>
      </c>
    </row>
    <row r="4866">
      <c r="X4866" s="20" t="str">
        <f>IF($B4866="","",IFERROR(IF(INDEX(Config!$D$9:$D$29,MATCH($B4866,Config!$B$9:$B$29,0))="Contrato",IF(INDEX(Config!$E$9:$E$29,MATCH($B4866,Config!$B$9:$B$29,0))="","",INDEX(Config!$E$9:$E$29,MATCH($B4866,Config!$B$9:$B$29,0))),""),""))</f>
        <v/>
      </c>
      <c r="AI4866" s="19" t="str">
        <f>IF($B4866="","",IFERROR(INDEX(Config!$D$9:$D$29,MATCH($B4866,Config!$B$9:$B$29,0))&amp;"",""))</f>
        <v/>
      </c>
    </row>
    <row r="4867">
      <c r="X4867" s="20" t="str">
        <f>IF($B4867="","",IFERROR(IF(INDEX(Config!$D$9:$D$29,MATCH($B4867,Config!$B$9:$B$29,0))="Contrato",IF(INDEX(Config!$E$9:$E$29,MATCH($B4867,Config!$B$9:$B$29,0))="","",INDEX(Config!$E$9:$E$29,MATCH($B4867,Config!$B$9:$B$29,0))),""),""))</f>
        <v/>
      </c>
      <c r="AI4867" s="19" t="str">
        <f>IF($B4867="","",IFERROR(INDEX(Config!$D$9:$D$29,MATCH($B4867,Config!$B$9:$B$29,0))&amp;"",""))</f>
        <v/>
      </c>
    </row>
    <row r="4868">
      <c r="X4868" s="20" t="str">
        <f>IF($B4868="","",IFERROR(IF(INDEX(Config!$D$9:$D$29,MATCH($B4868,Config!$B$9:$B$29,0))="Contrato",IF(INDEX(Config!$E$9:$E$29,MATCH($B4868,Config!$B$9:$B$29,0))="","",INDEX(Config!$E$9:$E$29,MATCH($B4868,Config!$B$9:$B$29,0))),""),""))</f>
        <v/>
      </c>
      <c r="AI4868" s="19" t="str">
        <f>IF($B4868="","",IFERROR(INDEX(Config!$D$9:$D$29,MATCH($B4868,Config!$B$9:$B$29,0))&amp;"",""))</f>
        <v/>
      </c>
    </row>
    <row r="4869">
      <c r="X4869" s="20" t="str">
        <f>IF($B4869="","",IFERROR(IF(INDEX(Config!$D$9:$D$29,MATCH($B4869,Config!$B$9:$B$29,0))="Contrato",IF(INDEX(Config!$E$9:$E$29,MATCH($B4869,Config!$B$9:$B$29,0))="","",INDEX(Config!$E$9:$E$29,MATCH($B4869,Config!$B$9:$B$29,0))),""),""))</f>
        <v/>
      </c>
      <c r="AI4869" s="19" t="str">
        <f>IF($B4869="","",IFERROR(INDEX(Config!$D$9:$D$29,MATCH($B4869,Config!$B$9:$B$29,0))&amp;"",""))</f>
        <v/>
      </c>
    </row>
    <row r="4870">
      <c r="X4870" s="20" t="str">
        <f>IF($B4870="","",IFERROR(IF(INDEX(Config!$D$9:$D$29,MATCH($B4870,Config!$B$9:$B$29,0))="Contrato",IF(INDEX(Config!$E$9:$E$29,MATCH($B4870,Config!$B$9:$B$29,0))="","",INDEX(Config!$E$9:$E$29,MATCH($B4870,Config!$B$9:$B$29,0))),""),""))</f>
        <v/>
      </c>
      <c r="AI4870" s="19" t="str">
        <f>IF($B4870="","",IFERROR(INDEX(Config!$D$9:$D$29,MATCH($B4870,Config!$B$9:$B$29,0))&amp;"",""))</f>
        <v/>
      </c>
    </row>
    <row r="4871">
      <c r="X4871" s="20" t="str">
        <f>IF($B4871="","",IFERROR(IF(INDEX(Config!$D$9:$D$29,MATCH($B4871,Config!$B$9:$B$29,0))="Contrato",IF(INDEX(Config!$E$9:$E$29,MATCH($B4871,Config!$B$9:$B$29,0))="","",INDEX(Config!$E$9:$E$29,MATCH($B4871,Config!$B$9:$B$29,0))),""),""))</f>
        <v/>
      </c>
      <c r="AI4871" s="19" t="str">
        <f>IF($B4871="","",IFERROR(INDEX(Config!$D$9:$D$29,MATCH($B4871,Config!$B$9:$B$29,0))&amp;"",""))</f>
        <v/>
      </c>
    </row>
    <row r="4872">
      <c r="X4872" s="20" t="str">
        <f>IF($B4872="","",IFERROR(IF(INDEX(Config!$D$9:$D$29,MATCH($B4872,Config!$B$9:$B$29,0))="Contrato",IF(INDEX(Config!$E$9:$E$29,MATCH($B4872,Config!$B$9:$B$29,0))="","",INDEX(Config!$E$9:$E$29,MATCH($B4872,Config!$B$9:$B$29,0))),""),""))</f>
        <v/>
      </c>
      <c r="AI4872" s="19" t="str">
        <f>IF($B4872="","",IFERROR(INDEX(Config!$D$9:$D$29,MATCH($B4872,Config!$B$9:$B$29,0))&amp;"",""))</f>
        <v/>
      </c>
    </row>
    <row r="4873">
      <c r="X4873" s="20" t="str">
        <f>IF($B4873="","",IFERROR(IF(INDEX(Config!$D$9:$D$29,MATCH($B4873,Config!$B$9:$B$29,0))="Contrato",IF(INDEX(Config!$E$9:$E$29,MATCH($B4873,Config!$B$9:$B$29,0))="","",INDEX(Config!$E$9:$E$29,MATCH($B4873,Config!$B$9:$B$29,0))),""),""))</f>
        <v/>
      </c>
      <c r="AI4873" s="19" t="str">
        <f>IF($B4873="","",IFERROR(INDEX(Config!$D$9:$D$29,MATCH($B4873,Config!$B$9:$B$29,0))&amp;"",""))</f>
        <v/>
      </c>
    </row>
    <row r="4874">
      <c r="X4874" s="20" t="str">
        <f>IF($B4874="","",IFERROR(IF(INDEX(Config!$D$9:$D$29,MATCH($B4874,Config!$B$9:$B$29,0))="Contrato",IF(INDEX(Config!$E$9:$E$29,MATCH($B4874,Config!$B$9:$B$29,0))="","",INDEX(Config!$E$9:$E$29,MATCH($B4874,Config!$B$9:$B$29,0))),""),""))</f>
        <v/>
      </c>
      <c r="AI4874" s="19" t="str">
        <f>IF($B4874="","",IFERROR(INDEX(Config!$D$9:$D$29,MATCH($B4874,Config!$B$9:$B$29,0))&amp;"",""))</f>
        <v/>
      </c>
    </row>
    <row r="4875">
      <c r="X4875" s="20" t="str">
        <f>IF($B4875="","",IFERROR(IF(INDEX(Config!$D$9:$D$29,MATCH($B4875,Config!$B$9:$B$29,0))="Contrato",IF(INDEX(Config!$E$9:$E$29,MATCH($B4875,Config!$B$9:$B$29,0))="","",INDEX(Config!$E$9:$E$29,MATCH($B4875,Config!$B$9:$B$29,0))),""),""))</f>
        <v/>
      </c>
      <c r="AI4875" s="19" t="str">
        <f>IF($B4875="","",IFERROR(INDEX(Config!$D$9:$D$29,MATCH($B4875,Config!$B$9:$B$29,0))&amp;"",""))</f>
        <v/>
      </c>
    </row>
    <row r="4876">
      <c r="X4876" s="20" t="str">
        <f>IF($B4876="","",IFERROR(IF(INDEX(Config!$D$9:$D$29,MATCH($B4876,Config!$B$9:$B$29,0))="Contrato",IF(INDEX(Config!$E$9:$E$29,MATCH($B4876,Config!$B$9:$B$29,0))="","",INDEX(Config!$E$9:$E$29,MATCH($B4876,Config!$B$9:$B$29,0))),""),""))</f>
        <v/>
      </c>
      <c r="AI4876" s="19" t="str">
        <f>IF($B4876="","",IFERROR(INDEX(Config!$D$9:$D$29,MATCH($B4876,Config!$B$9:$B$29,0))&amp;"",""))</f>
        <v/>
      </c>
    </row>
    <row r="4877">
      <c r="X4877" s="20" t="str">
        <f>IF($B4877="","",IFERROR(IF(INDEX(Config!$D$9:$D$29,MATCH($B4877,Config!$B$9:$B$29,0))="Contrato",IF(INDEX(Config!$E$9:$E$29,MATCH($B4877,Config!$B$9:$B$29,0))="","",INDEX(Config!$E$9:$E$29,MATCH($B4877,Config!$B$9:$B$29,0))),""),""))</f>
        <v/>
      </c>
      <c r="AI4877" s="19" t="str">
        <f>IF($B4877="","",IFERROR(INDEX(Config!$D$9:$D$29,MATCH($B4877,Config!$B$9:$B$29,0))&amp;"",""))</f>
        <v/>
      </c>
    </row>
    <row r="4878">
      <c r="X4878" s="20" t="str">
        <f>IF($B4878="","",IFERROR(IF(INDEX(Config!$D$9:$D$29,MATCH($B4878,Config!$B$9:$B$29,0))="Contrato",IF(INDEX(Config!$E$9:$E$29,MATCH($B4878,Config!$B$9:$B$29,0))="","",INDEX(Config!$E$9:$E$29,MATCH($B4878,Config!$B$9:$B$29,0))),""),""))</f>
        <v/>
      </c>
      <c r="AI4878" s="19" t="str">
        <f>IF($B4878="","",IFERROR(INDEX(Config!$D$9:$D$29,MATCH($B4878,Config!$B$9:$B$29,0))&amp;"",""))</f>
        <v/>
      </c>
    </row>
    <row r="4879">
      <c r="X4879" s="20" t="str">
        <f>IF($B4879="","",IFERROR(IF(INDEX(Config!$D$9:$D$29,MATCH($B4879,Config!$B$9:$B$29,0))="Contrato",IF(INDEX(Config!$E$9:$E$29,MATCH($B4879,Config!$B$9:$B$29,0))="","",INDEX(Config!$E$9:$E$29,MATCH($B4879,Config!$B$9:$B$29,0))),""),""))</f>
        <v/>
      </c>
      <c r="AI4879" s="19" t="str">
        <f>IF($B4879="","",IFERROR(INDEX(Config!$D$9:$D$29,MATCH($B4879,Config!$B$9:$B$29,0))&amp;"",""))</f>
        <v/>
      </c>
    </row>
    <row r="4880">
      <c r="X4880" s="20" t="str">
        <f>IF($B4880="","",IFERROR(IF(INDEX(Config!$D$9:$D$29,MATCH($B4880,Config!$B$9:$B$29,0))="Contrato",IF(INDEX(Config!$E$9:$E$29,MATCH($B4880,Config!$B$9:$B$29,0))="","",INDEX(Config!$E$9:$E$29,MATCH($B4880,Config!$B$9:$B$29,0))),""),""))</f>
        <v/>
      </c>
      <c r="AI4880" s="19" t="str">
        <f>IF($B4880="","",IFERROR(INDEX(Config!$D$9:$D$29,MATCH($B4880,Config!$B$9:$B$29,0))&amp;"",""))</f>
        <v/>
      </c>
    </row>
    <row r="4881">
      <c r="X4881" s="20" t="str">
        <f>IF($B4881="","",IFERROR(IF(INDEX(Config!$D$9:$D$29,MATCH($B4881,Config!$B$9:$B$29,0))="Contrato",IF(INDEX(Config!$E$9:$E$29,MATCH($B4881,Config!$B$9:$B$29,0))="","",INDEX(Config!$E$9:$E$29,MATCH($B4881,Config!$B$9:$B$29,0))),""),""))</f>
        <v/>
      </c>
      <c r="AI4881" s="19" t="str">
        <f>IF($B4881="","",IFERROR(INDEX(Config!$D$9:$D$29,MATCH($B4881,Config!$B$9:$B$29,0))&amp;"",""))</f>
        <v/>
      </c>
    </row>
    <row r="4882">
      <c r="X4882" s="20" t="str">
        <f>IF($B4882="","",IFERROR(IF(INDEX(Config!$D$9:$D$29,MATCH($B4882,Config!$B$9:$B$29,0))="Contrato",IF(INDEX(Config!$E$9:$E$29,MATCH($B4882,Config!$B$9:$B$29,0))="","",INDEX(Config!$E$9:$E$29,MATCH($B4882,Config!$B$9:$B$29,0))),""),""))</f>
        <v/>
      </c>
      <c r="AI4882" s="19" t="str">
        <f>IF($B4882="","",IFERROR(INDEX(Config!$D$9:$D$29,MATCH($B4882,Config!$B$9:$B$29,0))&amp;"",""))</f>
        <v/>
      </c>
    </row>
    <row r="4883">
      <c r="X4883" s="20" t="str">
        <f>IF($B4883="","",IFERROR(IF(INDEX(Config!$D$9:$D$29,MATCH($B4883,Config!$B$9:$B$29,0))="Contrato",IF(INDEX(Config!$E$9:$E$29,MATCH($B4883,Config!$B$9:$B$29,0))="","",INDEX(Config!$E$9:$E$29,MATCH($B4883,Config!$B$9:$B$29,0))),""),""))</f>
        <v/>
      </c>
      <c r="AI4883" s="19" t="str">
        <f>IF($B4883="","",IFERROR(INDEX(Config!$D$9:$D$29,MATCH($B4883,Config!$B$9:$B$29,0))&amp;"",""))</f>
        <v/>
      </c>
    </row>
    <row r="4884">
      <c r="X4884" s="20" t="str">
        <f>IF($B4884="","",IFERROR(IF(INDEX(Config!$D$9:$D$29,MATCH($B4884,Config!$B$9:$B$29,0))="Contrato",IF(INDEX(Config!$E$9:$E$29,MATCH($B4884,Config!$B$9:$B$29,0))="","",INDEX(Config!$E$9:$E$29,MATCH($B4884,Config!$B$9:$B$29,0))),""),""))</f>
        <v/>
      </c>
      <c r="AI4884" s="19" t="str">
        <f>IF($B4884="","",IFERROR(INDEX(Config!$D$9:$D$29,MATCH($B4884,Config!$B$9:$B$29,0))&amp;"",""))</f>
        <v/>
      </c>
    </row>
    <row r="4885">
      <c r="X4885" s="20" t="str">
        <f>IF($B4885="","",IFERROR(IF(INDEX(Config!$D$9:$D$29,MATCH($B4885,Config!$B$9:$B$29,0))="Contrato",IF(INDEX(Config!$E$9:$E$29,MATCH($B4885,Config!$B$9:$B$29,0))="","",INDEX(Config!$E$9:$E$29,MATCH($B4885,Config!$B$9:$B$29,0))),""),""))</f>
        <v/>
      </c>
      <c r="AI4885" s="19" t="str">
        <f>IF($B4885="","",IFERROR(INDEX(Config!$D$9:$D$29,MATCH($B4885,Config!$B$9:$B$29,0))&amp;"",""))</f>
        <v/>
      </c>
    </row>
    <row r="4886">
      <c r="X4886" s="20" t="str">
        <f>IF($B4886="","",IFERROR(IF(INDEX(Config!$D$9:$D$29,MATCH($B4886,Config!$B$9:$B$29,0))="Contrato",IF(INDEX(Config!$E$9:$E$29,MATCH($B4886,Config!$B$9:$B$29,0))="","",INDEX(Config!$E$9:$E$29,MATCH($B4886,Config!$B$9:$B$29,0))),""),""))</f>
        <v/>
      </c>
      <c r="AI4886" s="19" t="str">
        <f>IF($B4886="","",IFERROR(INDEX(Config!$D$9:$D$29,MATCH($B4886,Config!$B$9:$B$29,0))&amp;"",""))</f>
        <v/>
      </c>
    </row>
    <row r="4887">
      <c r="X4887" s="20" t="str">
        <f>IF($B4887="","",IFERROR(IF(INDEX(Config!$D$9:$D$29,MATCH($B4887,Config!$B$9:$B$29,0))="Contrato",IF(INDEX(Config!$E$9:$E$29,MATCH($B4887,Config!$B$9:$B$29,0))="","",INDEX(Config!$E$9:$E$29,MATCH($B4887,Config!$B$9:$B$29,0))),""),""))</f>
        <v/>
      </c>
      <c r="AI4887" s="19" t="str">
        <f>IF($B4887="","",IFERROR(INDEX(Config!$D$9:$D$29,MATCH($B4887,Config!$B$9:$B$29,0))&amp;"",""))</f>
        <v/>
      </c>
    </row>
    <row r="4888">
      <c r="X4888" s="20" t="str">
        <f>IF($B4888="","",IFERROR(IF(INDEX(Config!$D$9:$D$29,MATCH($B4888,Config!$B$9:$B$29,0))="Contrato",IF(INDEX(Config!$E$9:$E$29,MATCH($B4888,Config!$B$9:$B$29,0))="","",INDEX(Config!$E$9:$E$29,MATCH($B4888,Config!$B$9:$B$29,0))),""),""))</f>
        <v/>
      </c>
      <c r="AI4888" s="19" t="str">
        <f>IF($B4888="","",IFERROR(INDEX(Config!$D$9:$D$29,MATCH($B4888,Config!$B$9:$B$29,0))&amp;"",""))</f>
        <v/>
      </c>
    </row>
    <row r="4889">
      <c r="X4889" s="20" t="str">
        <f>IF($B4889="","",IFERROR(IF(INDEX(Config!$D$9:$D$29,MATCH($B4889,Config!$B$9:$B$29,0))="Contrato",IF(INDEX(Config!$E$9:$E$29,MATCH($B4889,Config!$B$9:$B$29,0))="","",INDEX(Config!$E$9:$E$29,MATCH($B4889,Config!$B$9:$B$29,0))),""),""))</f>
        <v/>
      </c>
      <c r="AI4889" s="19" t="str">
        <f>IF($B4889="","",IFERROR(INDEX(Config!$D$9:$D$29,MATCH($B4889,Config!$B$9:$B$29,0))&amp;"",""))</f>
        <v/>
      </c>
    </row>
    <row r="4890">
      <c r="X4890" s="20" t="str">
        <f>IF($B4890="","",IFERROR(IF(INDEX(Config!$D$9:$D$29,MATCH($B4890,Config!$B$9:$B$29,0))="Contrato",IF(INDEX(Config!$E$9:$E$29,MATCH($B4890,Config!$B$9:$B$29,0))="","",INDEX(Config!$E$9:$E$29,MATCH($B4890,Config!$B$9:$B$29,0))),""),""))</f>
        <v/>
      </c>
      <c r="AI4890" s="19" t="str">
        <f>IF($B4890="","",IFERROR(INDEX(Config!$D$9:$D$29,MATCH($B4890,Config!$B$9:$B$29,0))&amp;"",""))</f>
        <v/>
      </c>
    </row>
    <row r="4891">
      <c r="X4891" s="20" t="str">
        <f>IF($B4891="","",IFERROR(IF(INDEX(Config!$D$9:$D$29,MATCH($B4891,Config!$B$9:$B$29,0))="Contrato",IF(INDEX(Config!$E$9:$E$29,MATCH($B4891,Config!$B$9:$B$29,0))="","",INDEX(Config!$E$9:$E$29,MATCH($B4891,Config!$B$9:$B$29,0))),""),""))</f>
        <v/>
      </c>
      <c r="AI4891" s="19" t="str">
        <f>IF($B4891="","",IFERROR(INDEX(Config!$D$9:$D$29,MATCH($B4891,Config!$B$9:$B$29,0))&amp;"",""))</f>
        <v/>
      </c>
    </row>
    <row r="4892">
      <c r="X4892" s="20" t="str">
        <f>IF($B4892="","",IFERROR(IF(INDEX(Config!$D$9:$D$29,MATCH($B4892,Config!$B$9:$B$29,0))="Contrato",IF(INDEX(Config!$E$9:$E$29,MATCH($B4892,Config!$B$9:$B$29,0))="","",INDEX(Config!$E$9:$E$29,MATCH($B4892,Config!$B$9:$B$29,0))),""),""))</f>
        <v/>
      </c>
      <c r="AI4892" s="19" t="str">
        <f>IF($B4892="","",IFERROR(INDEX(Config!$D$9:$D$29,MATCH($B4892,Config!$B$9:$B$29,0))&amp;"",""))</f>
        <v/>
      </c>
    </row>
    <row r="4893">
      <c r="X4893" s="20" t="str">
        <f>IF($B4893="","",IFERROR(IF(INDEX(Config!$D$9:$D$29,MATCH($B4893,Config!$B$9:$B$29,0))="Contrato",IF(INDEX(Config!$E$9:$E$29,MATCH($B4893,Config!$B$9:$B$29,0))="","",INDEX(Config!$E$9:$E$29,MATCH($B4893,Config!$B$9:$B$29,0))),""),""))</f>
        <v/>
      </c>
      <c r="AI4893" s="19" t="str">
        <f>IF($B4893="","",IFERROR(INDEX(Config!$D$9:$D$29,MATCH($B4893,Config!$B$9:$B$29,0))&amp;"",""))</f>
        <v/>
      </c>
    </row>
    <row r="4894">
      <c r="X4894" s="20" t="str">
        <f>IF($B4894="","",IFERROR(IF(INDEX(Config!$D$9:$D$29,MATCH($B4894,Config!$B$9:$B$29,0))="Contrato",IF(INDEX(Config!$E$9:$E$29,MATCH($B4894,Config!$B$9:$B$29,0))="","",INDEX(Config!$E$9:$E$29,MATCH($B4894,Config!$B$9:$B$29,0))),""),""))</f>
        <v/>
      </c>
      <c r="AI4894" s="19" t="str">
        <f>IF($B4894="","",IFERROR(INDEX(Config!$D$9:$D$29,MATCH($B4894,Config!$B$9:$B$29,0))&amp;"",""))</f>
        <v/>
      </c>
    </row>
    <row r="4895">
      <c r="X4895" s="20" t="str">
        <f>IF($B4895="","",IFERROR(IF(INDEX(Config!$D$9:$D$29,MATCH($B4895,Config!$B$9:$B$29,0))="Contrato",IF(INDEX(Config!$E$9:$E$29,MATCH($B4895,Config!$B$9:$B$29,0))="","",INDEX(Config!$E$9:$E$29,MATCH($B4895,Config!$B$9:$B$29,0))),""),""))</f>
        <v/>
      </c>
      <c r="AI4895" s="19" t="str">
        <f>IF($B4895="","",IFERROR(INDEX(Config!$D$9:$D$29,MATCH($B4895,Config!$B$9:$B$29,0))&amp;"",""))</f>
        <v/>
      </c>
    </row>
    <row r="4896">
      <c r="X4896" s="20" t="str">
        <f>IF($B4896="","",IFERROR(IF(INDEX(Config!$D$9:$D$29,MATCH($B4896,Config!$B$9:$B$29,0))="Contrato",IF(INDEX(Config!$E$9:$E$29,MATCH($B4896,Config!$B$9:$B$29,0))="","",INDEX(Config!$E$9:$E$29,MATCH($B4896,Config!$B$9:$B$29,0))),""),""))</f>
        <v/>
      </c>
      <c r="AI4896" s="19" t="str">
        <f>IF($B4896="","",IFERROR(INDEX(Config!$D$9:$D$29,MATCH($B4896,Config!$B$9:$B$29,0))&amp;"",""))</f>
        <v/>
      </c>
    </row>
    <row r="4897">
      <c r="X4897" s="20" t="str">
        <f>IF($B4897="","",IFERROR(IF(INDEX(Config!$D$9:$D$29,MATCH($B4897,Config!$B$9:$B$29,0))="Contrato",IF(INDEX(Config!$E$9:$E$29,MATCH($B4897,Config!$B$9:$B$29,0))="","",INDEX(Config!$E$9:$E$29,MATCH($B4897,Config!$B$9:$B$29,0))),""),""))</f>
        <v/>
      </c>
      <c r="AI4897" s="19" t="str">
        <f>IF($B4897="","",IFERROR(INDEX(Config!$D$9:$D$29,MATCH($B4897,Config!$B$9:$B$29,0))&amp;"",""))</f>
        <v/>
      </c>
    </row>
    <row r="4898">
      <c r="X4898" s="20" t="str">
        <f>IF($B4898="","",IFERROR(IF(INDEX(Config!$D$9:$D$29,MATCH($B4898,Config!$B$9:$B$29,0))="Contrato",IF(INDEX(Config!$E$9:$E$29,MATCH($B4898,Config!$B$9:$B$29,0))="","",INDEX(Config!$E$9:$E$29,MATCH($B4898,Config!$B$9:$B$29,0))),""),""))</f>
        <v/>
      </c>
      <c r="AI4898" s="19" t="str">
        <f>IF($B4898="","",IFERROR(INDEX(Config!$D$9:$D$29,MATCH($B4898,Config!$B$9:$B$29,0))&amp;"",""))</f>
        <v/>
      </c>
    </row>
    <row r="4899">
      <c r="X4899" s="20" t="str">
        <f>IF($B4899="","",IFERROR(IF(INDEX(Config!$D$9:$D$29,MATCH($B4899,Config!$B$9:$B$29,0))="Contrato",IF(INDEX(Config!$E$9:$E$29,MATCH($B4899,Config!$B$9:$B$29,0))="","",INDEX(Config!$E$9:$E$29,MATCH($B4899,Config!$B$9:$B$29,0))),""),""))</f>
        <v/>
      </c>
      <c r="AI4899" s="19" t="str">
        <f>IF($B4899="","",IFERROR(INDEX(Config!$D$9:$D$29,MATCH($B4899,Config!$B$9:$B$29,0))&amp;"",""))</f>
        <v/>
      </c>
    </row>
    <row r="4900">
      <c r="X4900" s="20" t="str">
        <f>IF($B4900="","",IFERROR(IF(INDEX(Config!$D$9:$D$29,MATCH($B4900,Config!$B$9:$B$29,0))="Contrato",IF(INDEX(Config!$E$9:$E$29,MATCH($B4900,Config!$B$9:$B$29,0))="","",INDEX(Config!$E$9:$E$29,MATCH($B4900,Config!$B$9:$B$29,0))),""),""))</f>
        <v/>
      </c>
      <c r="AI4900" s="19" t="str">
        <f>IF($B4900="","",IFERROR(INDEX(Config!$D$9:$D$29,MATCH($B4900,Config!$B$9:$B$29,0))&amp;"",""))</f>
        <v/>
      </c>
    </row>
    <row r="4901">
      <c r="X4901" s="20" t="str">
        <f>IF($B4901="","",IFERROR(IF(INDEX(Config!$D$9:$D$29,MATCH($B4901,Config!$B$9:$B$29,0))="Contrato",IF(INDEX(Config!$E$9:$E$29,MATCH($B4901,Config!$B$9:$B$29,0))="","",INDEX(Config!$E$9:$E$29,MATCH($B4901,Config!$B$9:$B$29,0))),""),""))</f>
        <v/>
      </c>
      <c r="AI4901" s="19" t="str">
        <f>IF($B4901="","",IFERROR(INDEX(Config!$D$9:$D$29,MATCH($B4901,Config!$B$9:$B$29,0))&amp;"",""))</f>
        <v/>
      </c>
    </row>
    <row r="4902">
      <c r="X4902" s="20" t="str">
        <f>IF($B4902="","",IFERROR(IF(INDEX(Config!$D$9:$D$29,MATCH($B4902,Config!$B$9:$B$29,0))="Contrato",IF(INDEX(Config!$E$9:$E$29,MATCH($B4902,Config!$B$9:$B$29,0))="","",INDEX(Config!$E$9:$E$29,MATCH($B4902,Config!$B$9:$B$29,0))),""),""))</f>
        <v/>
      </c>
      <c r="AI4902" s="19" t="str">
        <f>IF($B4902="","",IFERROR(INDEX(Config!$D$9:$D$29,MATCH($B4902,Config!$B$9:$B$29,0))&amp;"",""))</f>
        <v/>
      </c>
    </row>
    <row r="4903">
      <c r="X4903" s="20" t="str">
        <f>IF($B4903="","",IFERROR(IF(INDEX(Config!$D$9:$D$29,MATCH($B4903,Config!$B$9:$B$29,0))="Contrato",IF(INDEX(Config!$E$9:$E$29,MATCH($B4903,Config!$B$9:$B$29,0))="","",INDEX(Config!$E$9:$E$29,MATCH($B4903,Config!$B$9:$B$29,0))),""),""))</f>
        <v/>
      </c>
      <c r="AI4903" s="19" t="str">
        <f>IF($B4903="","",IFERROR(INDEX(Config!$D$9:$D$29,MATCH($B4903,Config!$B$9:$B$29,0))&amp;"",""))</f>
        <v/>
      </c>
    </row>
    <row r="4904">
      <c r="X4904" s="20" t="str">
        <f>IF($B4904="","",IFERROR(IF(INDEX(Config!$D$9:$D$29,MATCH($B4904,Config!$B$9:$B$29,0))="Contrato",IF(INDEX(Config!$E$9:$E$29,MATCH($B4904,Config!$B$9:$B$29,0))="","",INDEX(Config!$E$9:$E$29,MATCH($B4904,Config!$B$9:$B$29,0))),""),""))</f>
        <v/>
      </c>
      <c r="AI4904" s="19" t="str">
        <f>IF($B4904="","",IFERROR(INDEX(Config!$D$9:$D$29,MATCH($B4904,Config!$B$9:$B$29,0))&amp;"",""))</f>
        <v/>
      </c>
    </row>
    <row r="4905">
      <c r="X4905" s="20" t="str">
        <f>IF($B4905="","",IFERROR(IF(INDEX(Config!$D$9:$D$29,MATCH($B4905,Config!$B$9:$B$29,0))="Contrato",IF(INDEX(Config!$E$9:$E$29,MATCH($B4905,Config!$B$9:$B$29,0))="","",INDEX(Config!$E$9:$E$29,MATCH($B4905,Config!$B$9:$B$29,0))),""),""))</f>
        <v/>
      </c>
      <c r="AI4905" s="19" t="str">
        <f>IF($B4905="","",IFERROR(INDEX(Config!$D$9:$D$29,MATCH($B4905,Config!$B$9:$B$29,0))&amp;"",""))</f>
        <v/>
      </c>
    </row>
    <row r="4906">
      <c r="X4906" s="20" t="str">
        <f>IF($B4906="","",IFERROR(IF(INDEX(Config!$D$9:$D$29,MATCH($B4906,Config!$B$9:$B$29,0))="Contrato",IF(INDEX(Config!$E$9:$E$29,MATCH($B4906,Config!$B$9:$B$29,0))="","",INDEX(Config!$E$9:$E$29,MATCH($B4906,Config!$B$9:$B$29,0))),""),""))</f>
        <v/>
      </c>
      <c r="AI4906" s="19" t="str">
        <f>IF($B4906="","",IFERROR(INDEX(Config!$D$9:$D$29,MATCH($B4906,Config!$B$9:$B$29,0))&amp;"",""))</f>
        <v/>
      </c>
    </row>
    <row r="4907">
      <c r="X4907" s="20" t="str">
        <f>IF($B4907="","",IFERROR(IF(INDEX(Config!$D$9:$D$29,MATCH($B4907,Config!$B$9:$B$29,0))="Contrato",IF(INDEX(Config!$E$9:$E$29,MATCH($B4907,Config!$B$9:$B$29,0))="","",INDEX(Config!$E$9:$E$29,MATCH($B4907,Config!$B$9:$B$29,0))),""),""))</f>
        <v/>
      </c>
      <c r="AI4907" s="19" t="str">
        <f>IF($B4907="","",IFERROR(INDEX(Config!$D$9:$D$29,MATCH($B4907,Config!$B$9:$B$29,0))&amp;"",""))</f>
        <v/>
      </c>
    </row>
    <row r="4908">
      <c r="X4908" s="20" t="str">
        <f>IF($B4908="","",IFERROR(IF(INDEX(Config!$D$9:$D$29,MATCH($B4908,Config!$B$9:$B$29,0))="Contrato",IF(INDEX(Config!$E$9:$E$29,MATCH($B4908,Config!$B$9:$B$29,0))="","",INDEX(Config!$E$9:$E$29,MATCH($B4908,Config!$B$9:$B$29,0))),""),""))</f>
        <v/>
      </c>
      <c r="AI4908" s="19" t="str">
        <f>IF($B4908="","",IFERROR(INDEX(Config!$D$9:$D$29,MATCH($B4908,Config!$B$9:$B$29,0))&amp;"",""))</f>
        <v/>
      </c>
    </row>
    <row r="4909">
      <c r="X4909" s="20" t="str">
        <f>IF($B4909="","",IFERROR(IF(INDEX(Config!$D$9:$D$29,MATCH($B4909,Config!$B$9:$B$29,0))="Contrato",IF(INDEX(Config!$E$9:$E$29,MATCH($B4909,Config!$B$9:$B$29,0))="","",INDEX(Config!$E$9:$E$29,MATCH($B4909,Config!$B$9:$B$29,0))),""),""))</f>
        <v/>
      </c>
      <c r="AI4909" s="19" t="str">
        <f>IF($B4909="","",IFERROR(INDEX(Config!$D$9:$D$29,MATCH($B4909,Config!$B$9:$B$29,0))&amp;"",""))</f>
        <v/>
      </c>
    </row>
    <row r="4910">
      <c r="X4910" s="20" t="str">
        <f>IF($B4910="","",IFERROR(IF(INDEX(Config!$D$9:$D$29,MATCH($B4910,Config!$B$9:$B$29,0))="Contrato",IF(INDEX(Config!$E$9:$E$29,MATCH($B4910,Config!$B$9:$B$29,0))="","",INDEX(Config!$E$9:$E$29,MATCH($B4910,Config!$B$9:$B$29,0))),""),""))</f>
        <v/>
      </c>
      <c r="AI4910" s="19" t="str">
        <f>IF($B4910="","",IFERROR(INDEX(Config!$D$9:$D$29,MATCH($B4910,Config!$B$9:$B$29,0))&amp;"",""))</f>
        <v/>
      </c>
    </row>
    <row r="4911">
      <c r="X4911" s="20" t="str">
        <f>IF($B4911="","",IFERROR(IF(INDEX(Config!$D$9:$D$29,MATCH($B4911,Config!$B$9:$B$29,0))="Contrato",IF(INDEX(Config!$E$9:$E$29,MATCH($B4911,Config!$B$9:$B$29,0))="","",INDEX(Config!$E$9:$E$29,MATCH($B4911,Config!$B$9:$B$29,0))),""),""))</f>
        <v/>
      </c>
      <c r="AI4911" s="19" t="str">
        <f>IF($B4911="","",IFERROR(INDEX(Config!$D$9:$D$29,MATCH($B4911,Config!$B$9:$B$29,0))&amp;"",""))</f>
        <v/>
      </c>
    </row>
    <row r="4912">
      <c r="X4912" s="20" t="str">
        <f>IF($B4912="","",IFERROR(IF(INDEX(Config!$D$9:$D$29,MATCH($B4912,Config!$B$9:$B$29,0))="Contrato",IF(INDEX(Config!$E$9:$E$29,MATCH($B4912,Config!$B$9:$B$29,0))="","",INDEX(Config!$E$9:$E$29,MATCH($B4912,Config!$B$9:$B$29,0))),""),""))</f>
        <v/>
      </c>
      <c r="AI4912" s="19" t="str">
        <f>IF($B4912="","",IFERROR(INDEX(Config!$D$9:$D$29,MATCH($B4912,Config!$B$9:$B$29,0))&amp;"",""))</f>
        <v/>
      </c>
    </row>
    <row r="4913">
      <c r="X4913" s="20" t="str">
        <f>IF($B4913="","",IFERROR(IF(INDEX(Config!$D$9:$D$29,MATCH($B4913,Config!$B$9:$B$29,0))="Contrato",IF(INDEX(Config!$E$9:$E$29,MATCH($B4913,Config!$B$9:$B$29,0))="","",INDEX(Config!$E$9:$E$29,MATCH($B4913,Config!$B$9:$B$29,0))),""),""))</f>
        <v/>
      </c>
      <c r="AI4913" s="19" t="str">
        <f>IF($B4913="","",IFERROR(INDEX(Config!$D$9:$D$29,MATCH($B4913,Config!$B$9:$B$29,0))&amp;"",""))</f>
        <v/>
      </c>
    </row>
    <row r="4914">
      <c r="X4914" s="20" t="str">
        <f>IF($B4914="","",IFERROR(IF(INDEX(Config!$D$9:$D$29,MATCH($B4914,Config!$B$9:$B$29,0))="Contrato",IF(INDEX(Config!$E$9:$E$29,MATCH($B4914,Config!$B$9:$B$29,0))="","",INDEX(Config!$E$9:$E$29,MATCH($B4914,Config!$B$9:$B$29,0))),""),""))</f>
        <v/>
      </c>
      <c r="AI4914" s="19" t="str">
        <f>IF($B4914="","",IFERROR(INDEX(Config!$D$9:$D$29,MATCH($B4914,Config!$B$9:$B$29,0))&amp;"",""))</f>
        <v/>
      </c>
    </row>
    <row r="4915">
      <c r="X4915" s="20" t="str">
        <f>IF($B4915="","",IFERROR(IF(INDEX(Config!$D$9:$D$29,MATCH($B4915,Config!$B$9:$B$29,0))="Contrato",IF(INDEX(Config!$E$9:$E$29,MATCH($B4915,Config!$B$9:$B$29,0))="","",INDEX(Config!$E$9:$E$29,MATCH($B4915,Config!$B$9:$B$29,0))),""),""))</f>
        <v/>
      </c>
      <c r="AI4915" s="19" t="str">
        <f>IF($B4915="","",IFERROR(INDEX(Config!$D$9:$D$29,MATCH($B4915,Config!$B$9:$B$29,0))&amp;"",""))</f>
        <v/>
      </c>
    </row>
    <row r="4916">
      <c r="X4916" s="20" t="str">
        <f>IF($B4916="","",IFERROR(IF(INDEX(Config!$D$9:$D$29,MATCH($B4916,Config!$B$9:$B$29,0))="Contrato",IF(INDEX(Config!$E$9:$E$29,MATCH($B4916,Config!$B$9:$B$29,0))="","",INDEX(Config!$E$9:$E$29,MATCH($B4916,Config!$B$9:$B$29,0))),""),""))</f>
        <v/>
      </c>
      <c r="AI4916" s="19" t="str">
        <f>IF($B4916="","",IFERROR(INDEX(Config!$D$9:$D$29,MATCH($B4916,Config!$B$9:$B$29,0))&amp;"",""))</f>
        <v/>
      </c>
    </row>
    <row r="4917">
      <c r="X4917" s="20" t="str">
        <f>IF($B4917="","",IFERROR(IF(INDEX(Config!$D$9:$D$29,MATCH($B4917,Config!$B$9:$B$29,0))="Contrato",IF(INDEX(Config!$E$9:$E$29,MATCH($B4917,Config!$B$9:$B$29,0))="","",INDEX(Config!$E$9:$E$29,MATCH($B4917,Config!$B$9:$B$29,0))),""),""))</f>
        <v/>
      </c>
      <c r="AI4917" s="19" t="str">
        <f>IF($B4917="","",IFERROR(INDEX(Config!$D$9:$D$29,MATCH($B4917,Config!$B$9:$B$29,0))&amp;"",""))</f>
        <v/>
      </c>
    </row>
    <row r="4918">
      <c r="X4918" s="20" t="str">
        <f>IF($B4918="","",IFERROR(IF(INDEX(Config!$D$9:$D$29,MATCH($B4918,Config!$B$9:$B$29,0))="Contrato",IF(INDEX(Config!$E$9:$E$29,MATCH($B4918,Config!$B$9:$B$29,0))="","",INDEX(Config!$E$9:$E$29,MATCH($B4918,Config!$B$9:$B$29,0))),""),""))</f>
        <v/>
      </c>
      <c r="AI4918" s="19" t="str">
        <f>IF($B4918="","",IFERROR(INDEX(Config!$D$9:$D$29,MATCH($B4918,Config!$B$9:$B$29,0))&amp;"",""))</f>
        <v/>
      </c>
    </row>
    <row r="4919">
      <c r="X4919" s="20" t="str">
        <f>IF($B4919="","",IFERROR(IF(INDEX(Config!$D$9:$D$29,MATCH($B4919,Config!$B$9:$B$29,0))="Contrato",IF(INDEX(Config!$E$9:$E$29,MATCH($B4919,Config!$B$9:$B$29,0))="","",INDEX(Config!$E$9:$E$29,MATCH($B4919,Config!$B$9:$B$29,0))),""),""))</f>
        <v/>
      </c>
      <c r="AI4919" s="19" t="str">
        <f>IF($B4919="","",IFERROR(INDEX(Config!$D$9:$D$29,MATCH($B4919,Config!$B$9:$B$29,0))&amp;"",""))</f>
        <v/>
      </c>
    </row>
    <row r="4920">
      <c r="X4920" s="20" t="str">
        <f>IF($B4920="","",IFERROR(IF(INDEX(Config!$D$9:$D$29,MATCH($B4920,Config!$B$9:$B$29,0))="Contrato",IF(INDEX(Config!$E$9:$E$29,MATCH($B4920,Config!$B$9:$B$29,0))="","",INDEX(Config!$E$9:$E$29,MATCH($B4920,Config!$B$9:$B$29,0))),""),""))</f>
        <v/>
      </c>
      <c r="AI4920" s="19" t="str">
        <f>IF($B4920="","",IFERROR(INDEX(Config!$D$9:$D$29,MATCH($B4920,Config!$B$9:$B$29,0))&amp;"",""))</f>
        <v/>
      </c>
    </row>
    <row r="4921">
      <c r="X4921" s="20" t="str">
        <f>IF($B4921="","",IFERROR(IF(INDEX(Config!$D$9:$D$29,MATCH($B4921,Config!$B$9:$B$29,0))="Contrato",IF(INDEX(Config!$E$9:$E$29,MATCH($B4921,Config!$B$9:$B$29,0))="","",INDEX(Config!$E$9:$E$29,MATCH($B4921,Config!$B$9:$B$29,0))),""),""))</f>
        <v/>
      </c>
      <c r="AI4921" s="19" t="str">
        <f>IF($B4921="","",IFERROR(INDEX(Config!$D$9:$D$29,MATCH($B4921,Config!$B$9:$B$29,0))&amp;"",""))</f>
        <v/>
      </c>
    </row>
    <row r="4922">
      <c r="X4922" s="20" t="str">
        <f>IF($B4922="","",IFERROR(IF(INDEX(Config!$D$9:$D$29,MATCH($B4922,Config!$B$9:$B$29,0))="Contrato",IF(INDEX(Config!$E$9:$E$29,MATCH($B4922,Config!$B$9:$B$29,0))="","",INDEX(Config!$E$9:$E$29,MATCH($B4922,Config!$B$9:$B$29,0))),""),""))</f>
        <v/>
      </c>
      <c r="AI4922" s="19" t="str">
        <f>IF($B4922="","",IFERROR(INDEX(Config!$D$9:$D$29,MATCH($B4922,Config!$B$9:$B$29,0))&amp;"",""))</f>
        <v/>
      </c>
    </row>
    <row r="4923">
      <c r="X4923" s="20" t="str">
        <f>IF($B4923="","",IFERROR(IF(INDEX(Config!$D$9:$D$29,MATCH($B4923,Config!$B$9:$B$29,0))="Contrato",IF(INDEX(Config!$E$9:$E$29,MATCH($B4923,Config!$B$9:$B$29,0))="","",INDEX(Config!$E$9:$E$29,MATCH($B4923,Config!$B$9:$B$29,0))),""),""))</f>
        <v/>
      </c>
      <c r="AI4923" s="19" t="str">
        <f>IF($B4923="","",IFERROR(INDEX(Config!$D$9:$D$29,MATCH($B4923,Config!$B$9:$B$29,0))&amp;"",""))</f>
        <v/>
      </c>
    </row>
    <row r="4924">
      <c r="X4924" s="20" t="str">
        <f>IF($B4924="","",IFERROR(IF(INDEX(Config!$D$9:$D$29,MATCH($B4924,Config!$B$9:$B$29,0))="Contrato",IF(INDEX(Config!$E$9:$E$29,MATCH($B4924,Config!$B$9:$B$29,0))="","",INDEX(Config!$E$9:$E$29,MATCH($B4924,Config!$B$9:$B$29,0))),""),""))</f>
        <v/>
      </c>
      <c r="AI4924" s="19" t="str">
        <f>IF($B4924="","",IFERROR(INDEX(Config!$D$9:$D$29,MATCH($B4924,Config!$B$9:$B$29,0))&amp;"",""))</f>
        <v/>
      </c>
    </row>
    <row r="4925">
      <c r="X4925" s="20" t="str">
        <f>IF($B4925="","",IFERROR(IF(INDEX(Config!$D$9:$D$29,MATCH($B4925,Config!$B$9:$B$29,0))="Contrato",IF(INDEX(Config!$E$9:$E$29,MATCH($B4925,Config!$B$9:$B$29,0))="","",INDEX(Config!$E$9:$E$29,MATCH($B4925,Config!$B$9:$B$29,0))),""),""))</f>
        <v/>
      </c>
      <c r="AI4925" s="19" t="str">
        <f>IF($B4925="","",IFERROR(INDEX(Config!$D$9:$D$29,MATCH($B4925,Config!$B$9:$B$29,0))&amp;"",""))</f>
        <v/>
      </c>
    </row>
    <row r="4926">
      <c r="X4926" s="20" t="str">
        <f>IF($B4926="","",IFERROR(IF(INDEX(Config!$D$9:$D$29,MATCH($B4926,Config!$B$9:$B$29,0))="Contrato",IF(INDEX(Config!$E$9:$E$29,MATCH($B4926,Config!$B$9:$B$29,0))="","",INDEX(Config!$E$9:$E$29,MATCH($B4926,Config!$B$9:$B$29,0))),""),""))</f>
        <v/>
      </c>
      <c r="AI4926" s="19" t="str">
        <f>IF($B4926="","",IFERROR(INDEX(Config!$D$9:$D$29,MATCH($B4926,Config!$B$9:$B$29,0))&amp;"",""))</f>
        <v/>
      </c>
    </row>
    <row r="4927">
      <c r="X4927" s="20" t="str">
        <f>IF($B4927="","",IFERROR(IF(INDEX(Config!$D$9:$D$29,MATCH($B4927,Config!$B$9:$B$29,0))="Contrato",IF(INDEX(Config!$E$9:$E$29,MATCH($B4927,Config!$B$9:$B$29,0))="","",INDEX(Config!$E$9:$E$29,MATCH($B4927,Config!$B$9:$B$29,0))),""),""))</f>
        <v/>
      </c>
      <c r="AI4927" s="19" t="str">
        <f>IF($B4927="","",IFERROR(INDEX(Config!$D$9:$D$29,MATCH($B4927,Config!$B$9:$B$29,0))&amp;"",""))</f>
        <v/>
      </c>
    </row>
    <row r="4928">
      <c r="X4928" s="20" t="str">
        <f>IF($B4928="","",IFERROR(IF(INDEX(Config!$D$9:$D$29,MATCH($B4928,Config!$B$9:$B$29,0))="Contrato",IF(INDEX(Config!$E$9:$E$29,MATCH($B4928,Config!$B$9:$B$29,0))="","",INDEX(Config!$E$9:$E$29,MATCH($B4928,Config!$B$9:$B$29,0))),""),""))</f>
        <v/>
      </c>
      <c r="AI4928" s="19" t="str">
        <f>IF($B4928="","",IFERROR(INDEX(Config!$D$9:$D$29,MATCH($B4928,Config!$B$9:$B$29,0))&amp;"",""))</f>
        <v/>
      </c>
    </row>
    <row r="4929">
      <c r="X4929" s="20" t="str">
        <f>IF($B4929="","",IFERROR(IF(INDEX(Config!$D$9:$D$29,MATCH($B4929,Config!$B$9:$B$29,0))="Contrato",IF(INDEX(Config!$E$9:$E$29,MATCH($B4929,Config!$B$9:$B$29,0))="","",INDEX(Config!$E$9:$E$29,MATCH($B4929,Config!$B$9:$B$29,0))),""),""))</f>
        <v/>
      </c>
      <c r="AI4929" s="19" t="str">
        <f>IF($B4929="","",IFERROR(INDEX(Config!$D$9:$D$29,MATCH($B4929,Config!$B$9:$B$29,0))&amp;"",""))</f>
        <v/>
      </c>
    </row>
    <row r="4930">
      <c r="X4930" s="20" t="str">
        <f>IF($B4930="","",IFERROR(IF(INDEX(Config!$D$9:$D$29,MATCH($B4930,Config!$B$9:$B$29,0))="Contrato",IF(INDEX(Config!$E$9:$E$29,MATCH($B4930,Config!$B$9:$B$29,0))="","",INDEX(Config!$E$9:$E$29,MATCH($B4930,Config!$B$9:$B$29,0))),""),""))</f>
        <v/>
      </c>
      <c r="AI4930" s="19" t="str">
        <f>IF($B4930="","",IFERROR(INDEX(Config!$D$9:$D$29,MATCH($B4930,Config!$B$9:$B$29,0))&amp;"",""))</f>
        <v/>
      </c>
    </row>
    <row r="4931">
      <c r="X4931" s="20" t="str">
        <f>IF($B4931="","",IFERROR(IF(INDEX(Config!$D$9:$D$29,MATCH($B4931,Config!$B$9:$B$29,0))="Contrato",IF(INDEX(Config!$E$9:$E$29,MATCH($B4931,Config!$B$9:$B$29,0))="","",INDEX(Config!$E$9:$E$29,MATCH($B4931,Config!$B$9:$B$29,0))),""),""))</f>
        <v/>
      </c>
      <c r="AI4931" s="19" t="str">
        <f>IF($B4931="","",IFERROR(INDEX(Config!$D$9:$D$29,MATCH($B4931,Config!$B$9:$B$29,0))&amp;"",""))</f>
        <v/>
      </c>
    </row>
    <row r="4932">
      <c r="X4932" s="20" t="str">
        <f>IF($B4932="","",IFERROR(IF(INDEX(Config!$D$9:$D$29,MATCH($B4932,Config!$B$9:$B$29,0))="Contrato",IF(INDEX(Config!$E$9:$E$29,MATCH($B4932,Config!$B$9:$B$29,0))="","",INDEX(Config!$E$9:$E$29,MATCH($B4932,Config!$B$9:$B$29,0))),""),""))</f>
        <v/>
      </c>
      <c r="AI4932" s="19" t="str">
        <f>IF($B4932="","",IFERROR(INDEX(Config!$D$9:$D$29,MATCH($B4932,Config!$B$9:$B$29,0))&amp;"",""))</f>
        <v/>
      </c>
    </row>
    <row r="4933">
      <c r="X4933" s="20" t="str">
        <f>IF($B4933="","",IFERROR(IF(INDEX(Config!$D$9:$D$29,MATCH($B4933,Config!$B$9:$B$29,0))="Contrato",IF(INDEX(Config!$E$9:$E$29,MATCH($B4933,Config!$B$9:$B$29,0))="","",INDEX(Config!$E$9:$E$29,MATCH($B4933,Config!$B$9:$B$29,0))),""),""))</f>
        <v/>
      </c>
      <c r="AI4933" s="19" t="str">
        <f>IF($B4933="","",IFERROR(INDEX(Config!$D$9:$D$29,MATCH($B4933,Config!$B$9:$B$29,0))&amp;"",""))</f>
        <v/>
      </c>
    </row>
    <row r="4934">
      <c r="X4934" s="20" t="str">
        <f>IF($B4934="","",IFERROR(IF(INDEX(Config!$D$9:$D$29,MATCH($B4934,Config!$B$9:$B$29,0))="Contrato",IF(INDEX(Config!$E$9:$E$29,MATCH($B4934,Config!$B$9:$B$29,0))="","",INDEX(Config!$E$9:$E$29,MATCH($B4934,Config!$B$9:$B$29,0))),""),""))</f>
        <v/>
      </c>
      <c r="AI4934" s="19" t="str">
        <f>IF($B4934="","",IFERROR(INDEX(Config!$D$9:$D$29,MATCH($B4934,Config!$B$9:$B$29,0))&amp;"",""))</f>
        <v/>
      </c>
    </row>
    <row r="4935">
      <c r="X4935" s="20" t="str">
        <f>IF($B4935="","",IFERROR(IF(INDEX(Config!$D$9:$D$29,MATCH($B4935,Config!$B$9:$B$29,0))="Contrato",IF(INDEX(Config!$E$9:$E$29,MATCH($B4935,Config!$B$9:$B$29,0))="","",INDEX(Config!$E$9:$E$29,MATCH($B4935,Config!$B$9:$B$29,0))),""),""))</f>
        <v/>
      </c>
      <c r="AI4935" s="19" t="str">
        <f>IF($B4935="","",IFERROR(INDEX(Config!$D$9:$D$29,MATCH($B4935,Config!$B$9:$B$29,0))&amp;"",""))</f>
        <v/>
      </c>
    </row>
    <row r="4936">
      <c r="X4936" s="20" t="str">
        <f>IF($B4936="","",IFERROR(IF(INDEX(Config!$D$9:$D$29,MATCH($B4936,Config!$B$9:$B$29,0))="Contrato",IF(INDEX(Config!$E$9:$E$29,MATCH($B4936,Config!$B$9:$B$29,0))="","",INDEX(Config!$E$9:$E$29,MATCH($B4936,Config!$B$9:$B$29,0))),""),""))</f>
        <v/>
      </c>
      <c r="AI4936" s="19" t="str">
        <f>IF($B4936="","",IFERROR(INDEX(Config!$D$9:$D$29,MATCH($B4936,Config!$B$9:$B$29,0))&amp;"",""))</f>
        <v/>
      </c>
    </row>
    <row r="4937">
      <c r="X4937" s="20" t="str">
        <f>IF($B4937="","",IFERROR(IF(INDEX(Config!$D$9:$D$29,MATCH($B4937,Config!$B$9:$B$29,0))="Contrato",IF(INDEX(Config!$E$9:$E$29,MATCH($B4937,Config!$B$9:$B$29,0))="","",INDEX(Config!$E$9:$E$29,MATCH($B4937,Config!$B$9:$B$29,0))),""),""))</f>
        <v/>
      </c>
      <c r="AI4937" s="19" t="str">
        <f>IF($B4937="","",IFERROR(INDEX(Config!$D$9:$D$29,MATCH($B4937,Config!$B$9:$B$29,0))&amp;"",""))</f>
        <v/>
      </c>
    </row>
    <row r="4938">
      <c r="X4938" s="20" t="str">
        <f>IF($B4938="","",IFERROR(IF(INDEX(Config!$D$9:$D$29,MATCH($B4938,Config!$B$9:$B$29,0))="Contrato",IF(INDEX(Config!$E$9:$E$29,MATCH($B4938,Config!$B$9:$B$29,0))="","",INDEX(Config!$E$9:$E$29,MATCH($B4938,Config!$B$9:$B$29,0))),""),""))</f>
        <v/>
      </c>
      <c r="AI4938" s="19" t="str">
        <f>IF($B4938="","",IFERROR(INDEX(Config!$D$9:$D$29,MATCH($B4938,Config!$B$9:$B$29,0))&amp;"",""))</f>
        <v/>
      </c>
    </row>
    <row r="4939">
      <c r="X4939" s="20" t="str">
        <f>IF($B4939="","",IFERROR(IF(INDEX(Config!$D$9:$D$29,MATCH($B4939,Config!$B$9:$B$29,0))="Contrato",IF(INDEX(Config!$E$9:$E$29,MATCH($B4939,Config!$B$9:$B$29,0))="","",INDEX(Config!$E$9:$E$29,MATCH($B4939,Config!$B$9:$B$29,0))),""),""))</f>
        <v/>
      </c>
      <c r="AI4939" s="19" t="str">
        <f>IF($B4939="","",IFERROR(INDEX(Config!$D$9:$D$29,MATCH($B4939,Config!$B$9:$B$29,0))&amp;"",""))</f>
        <v/>
      </c>
    </row>
    <row r="4940">
      <c r="X4940" s="20" t="str">
        <f>IF($B4940="","",IFERROR(IF(INDEX(Config!$D$9:$D$29,MATCH($B4940,Config!$B$9:$B$29,0))="Contrato",IF(INDEX(Config!$E$9:$E$29,MATCH($B4940,Config!$B$9:$B$29,0))="","",INDEX(Config!$E$9:$E$29,MATCH($B4940,Config!$B$9:$B$29,0))),""),""))</f>
        <v/>
      </c>
      <c r="AI4940" s="19" t="str">
        <f>IF($B4940="","",IFERROR(INDEX(Config!$D$9:$D$29,MATCH($B4940,Config!$B$9:$B$29,0))&amp;"",""))</f>
        <v/>
      </c>
    </row>
    <row r="4941">
      <c r="X4941" s="20" t="str">
        <f>IF($B4941="","",IFERROR(IF(INDEX(Config!$D$9:$D$29,MATCH($B4941,Config!$B$9:$B$29,0))="Contrato",IF(INDEX(Config!$E$9:$E$29,MATCH($B4941,Config!$B$9:$B$29,0))="","",INDEX(Config!$E$9:$E$29,MATCH($B4941,Config!$B$9:$B$29,0))),""),""))</f>
        <v/>
      </c>
      <c r="AI4941" s="19" t="str">
        <f>IF($B4941="","",IFERROR(INDEX(Config!$D$9:$D$29,MATCH($B4941,Config!$B$9:$B$29,0))&amp;"",""))</f>
        <v/>
      </c>
    </row>
    <row r="4942">
      <c r="X4942" s="20" t="str">
        <f>IF($B4942="","",IFERROR(IF(INDEX(Config!$D$9:$D$29,MATCH($B4942,Config!$B$9:$B$29,0))="Contrato",IF(INDEX(Config!$E$9:$E$29,MATCH($B4942,Config!$B$9:$B$29,0))="","",INDEX(Config!$E$9:$E$29,MATCH($B4942,Config!$B$9:$B$29,0))),""),""))</f>
        <v/>
      </c>
      <c r="AI4942" s="19" t="str">
        <f>IF($B4942="","",IFERROR(INDEX(Config!$D$9:$D$29,MATCH($B4942,Config!$B$9:$B$29,0))&amp;"",""))</f>
        <v/>
      </c>
    </row>
    <row r="4943">
      <c r="X4943" s="20" t="str">
        <f>IF($B4943="","",IFERROR(IF(INDEX(Config!$D$9:$D$29,MATCH($B4943,Config!$B$9:$B$29,0))="Contrato",IF(INDEX(Config!$E$9:$E$29,MATCH($B4943,Config!$B$9:$B$29,0))="","",INDEX(Config!$E$9:$E$29,MATCH($B4943,Config!$B$9:$B$29,0))),""),""))</f>
        <v/>
      </c>
      <c r="AI4943" s="19" t="str">
        <f>IF($B4943="","",IFERROR(INDEX(Config!$D$9:$D$29,MATCH($B4943,Config!$B$9:$B$29,0))&amp;"",""))</f>
        <v/>
      </c>
    </row>
    <row r="4944">
      <c r="X4944" s="20" t="str">
        <f>IF($B4944="","",IFERROR(IF(INDEX(Config!$D$9:$D$29,MATCH($B4944,Config!$B$9:$B$29,0))="Contrato",IF(INDEX(Config!$E$9:$E$29,MATCH($B4944,Config!$B$9:$B$29,0))="","",INDEX(Config!$E$9:$E$29,MATCH($B4944,Config!$B$9:$B$29,0))),""),""))</f>
        <v/>
      </c>
      <c r="AI4944" s="19" t="str">
        <f>IF($B4944="","",IFERROR(INDEX(Config!$D$9:$D$29,MATCH($B4944,Config!$B$9:$B$29,0))&amp;"",""))</f>
        <v/>
      </c>
    </row>
    <row r="4945">
      <c r="X4945" s="20" t="str">
        <f>IF($B4945="","",IFERROR(IF(INDEX(Config!$D$9:$D$29,MATCH($B4945,Config!$B$9:$B$29,0))="Contrato",IF(INDEX(Config!$E$9:$E$29,MATCH($B4945,Config!$B$9:$B$29,0))="","",INDEX(Config!$E$9:$E$29,MATCH($B4945,Config!$B$9:$B$29,0))),""),""))</f>
        <v/>
      </c>
      <c r="AI4945" s="19" t="str">
        <f>IF($B4945="","",IFERROR(INDEX(Config!$D$9:$D$29,MATCH($B4945,Config!$B$9:$B$29,0))&amp;"",""))</f>
        <v/>
      </c>
    </row>
    <row r="4946">
      <c r="X4946" s="20" t="str">
        <f>IF($B4946="","",IFERROR(IF(INDEX(Config!$D$9:$D$29,MATCH($B4946,Config!$B$9:$B$29,0))="Contrato",IF(INDEX(Config!$E$9:$E$29,MATCH($B4946,Config!$B$9:$B$29,0))="","",INDEX(Config!$E$9:$E$29,MATCH($B4946,Config!$B$9:$B$29,0))),""),""))</f>
        <v/>
      </c>
      <c r="AI4946" s="19" t="str">
        <f>IF($B4946="","",IFERROR(INDEX(Config!$D$9:$D$29,MATCH($B4946,Config!$B$9:$B$29,0))&amp;"",""))</f>
        <v/>
      </c>
    </row>
    <row r="4947">
      <c r="X4947" s="20" t="str">
        <f>IF($B4947="","",IFERROR(IF(INDEX(Config!$D$9:$D$29,MATCH($B4947,Config!$B$9:$B$29,0))="Contrato",IF(INDEX(Config!$E$9:$E$29,MATCH($B4947,Config!$B$9:$B$29,0))="","",INDEX(Config!$E$9:$E$29,MATCH($B4947,Config!$B$9:$B$29,0))),""),""))</f>
        <v/>
      </c>
      <c r="AI4947" s="19" t="str">
        <f>IF($B4947="","",IFERROR(INDEX(Config!$D$9:$D$29,MATCH($B4947,Config!$B$9:$B$29,0))&amp;"",""))</f>
        <v/>
      </c>
    </row>
    <row r="4948">
      <c r="X4948" s="20" t="str">
        <f>IF($B4948="","",IFERROR(IF(INDEX(Config!$D$9:$D$29,MATCH($B4948,Config!$B$9:$B$29,0))="Contrato",IF(INDEX(Config!$E$9:$E$29,MATCH($B4948,Config!$B$9:$B$29,0))="","",INDEX(Config!$E$9:$E$29,MATCH($B4948,Config!$B$9:$B$29,0))),""),""))</f>
        <v/>
      </c>
      <c r="AI4948" s="19" t="str">
        <f>IF($B4948="","",IFERROR(INDEX(Config!$D$9:$D$29,MATCH($B4948,Config!$B$9:$B$29,0))&amp;"",""))</f>
        <v/>
      </c>
    </row>
    <row r="4949">
      <c r="X4949" s="20" t="str">
        <f>IF($B4949="","",IFERROR(IF(INDEX(Config!$D$9:$D$29,MATCH($B4949,Config!$B$9:$B$29,0))="Contrato",IF(INDEX(Config!$E$9:$E$29,MATCH($B4949,Config!$B$9:$B$29,0))="","",INDEX(Config!$E$9:$E$29,MATCH($B4949,Config!$B$9:$B$29,0))),""),""))</f>
        <v/>
      </c>
      <c r="AI4949" s="19" t="str">
        <f>IF($B4949="","",IFERROR(INDEX(Config!$D$9:$D$29,MATCH($B4949,Config!$B$9:$B$29,0))&amp;"",""))</f>
        <v/>
      </c>
    </row>
    <row r="4950">
      <c r="X4950" s="20" t="str">
        <f>IF($B4950="","",IFERROR(IF(INDEX(Config!$D$9:$D$29,MATCH($B4950,Config!$B$9:$B$29,0))="Contrato",IF(INDEX(Config!$E$9:$E$29,MATCH($B4950,Config!$B$9:$B$29,0))="","",INDEX(Config!$E$9:$E$29,MATCH($B4950,Config!$B$9:$B$29,0))),""),""))</f>
        <v/>
      </c>
      <c r="AI4950" s="19" t="str">
        <f>IF($B4950="","",IFERROR(INDEX(Config!$D$9:$D$29,MATCH($B4950,Config!$B$9:$B$29,0))&amp;"",""))</f>
        <v/>
      </c>
    </row>
    <row r="4951">
      <c r="X4951" s="20" t="str">
        <f>IF($B4951="","",IFERROR(IF(INDEX(Config!$D$9:$D$29,MATCH($B4951,Config!$B$9:$B$29,0))="Contrato",IF(INDEX(Config!$E$9:$E$29,MATCH($B4951,Config!$B$9:$B$29,0))="","",INDEX(Config!$E$9:$E$29,MATCH($B4951,Config!$B$9:$B$29,0))),""),""))</f>
        <v/>
      </c>
      <c r="AI4951" s="19" t="str">
        <f>IF($B4951="","",IFERROR(INDEX(Config!$D$9:$D$29,MATCH($B4951,Config!$B$9:$B$29,0))&amp;"",""))</f>
        <v/>
      </c>
    </row>
    <row r="4952">
      <c r="X4952" s="20" t="str">
        <f>IF($B4952="","",IFERROR(IF(INDEX(Config!$D$9:$D$29,MATCH($B4952,Config!$B$9:$B$29,0))="Contrato",IF(INDEX(Config!$E$9:$E$29,MATCH($B4952,Config!$B$9:$B$29,0))="","",INDEX(Config!$E$9:$E$29,MATCH($B4952,Config!$B$9:$B$29,0))),""),""))</f>
        <v/>
      </c>
      <c r="AI4952" s="19" t="str">
        <f>IF($B4952="","",IFERROR(INDEX(Config!$D$9:$D$29,MATCH($B4952,Config!$B$9:$B$29,0))&amp;"",""))</f>
        <v/>
      </c>
    </row>
    <row r="4953">
      <c r="X4953" s="20" t="str">
        <f>IF($B4953="","",IFERROR(IF(INDEX(Config!$D$9:$D$29,MATCH($B4953,Config!$B$9:$B$29,0))="Contrato",IF(INDEX(Config!$E$9:$E$29,MATCH($B4953,Config!$B$9:$B$29,0))="","",INDEX(Config!$E$9:$E$29,MATCH($B4953,Config!$B$9:$B$29,0))),""),""))</f>
        <v/>
      </c>
      <c r="AI4953" s="19" t="str">
        <f>IF($B4953="","",IFERROR(INDEX(Config!$D$9:$D$29,MATCH($B4953,Config!$B$9:$B$29,0))&amp;"",""))</f>
        <v/>
      </c>
    </row>
    <row r="4954">
      <c r="X4954" s="20" t="str">
        <f>IF($B4954="","",IFERROR(IF(INDEX(Config!$D$9:$D$29,MATCH($B4954,Config!$B$9:$B$29,0))="Contrato",IF(INDEX(Config!$E$9:$E$29,MATCH($B4954,Config!$B$9:$B$29,0))="","",INDEX(Config!$E$9:$E$29,MATCH($B4954,Config!$B$9:$B$29,0))),""),""))</f>
        <v/>
      </c>
      <c r="AI4954" s="19" t="str">
        <f>IF($B4954="","",IFERROR(INDEX(Config!$D$9:$D$29,MATCH($B4954,Config!$B$9:$B$29,0))&amp;"",""))</f>
        <v/>
      </c>
    </row>
    <row r="4955">
      <c r="X4955" s="20" t="str">
        <f>IF($B4955="","",IFERROR(IF(INDEX(Config!$D$9:$D$29,MATCH($B4955,Config!$B$9:$B$29,0))="Contrato",IF(INDEX(Config!$E$9:$E$29,MATCH($B4955,Config!$B$9:$B$29,0))="","",INDEX(Config!$E$9:$E$29,MATCH($B4955,Config!$B$9:$B$29,0))),""),""))</f>
        <v/>
      </c>
      <c r="AI4955" s="19" t="str">
        <f>IF($B4955="","",IFERROR(INDEX(Config!$D$9:$D$29,MATCH($B4955,Config!$B$9:$B$29,0))&amp;"",""))</f>
        <v/>
      </c>
    </row>
    <row r="4956">
      <c r="X4956" s="20" t="str">
        <f>IF($B4956="","",IFERROR(IF(INDEX(Config!$D$9:$D$29,MATCH($B4956,Config!$B$9:$B$29,0))="Contrato",IF(INDEX(Config!$E$9:$E$29,MATCH($B4956,Config!$B$9:$B$29,0))="","",INDEX(Config!$E$9:$E$29,MATCH($B4956,Config!$B$9:$B$29,0))),""),""))</f>
        <v/>
      </c>
      <c r="AI4956" s="19" t="str">
        <f>IF($B4956="","",IFERROR(INDEX(Config!$D$9:$D$29,MATCH($B4956,Config!$B$9:$B$29,0))&amp;"",""))</f>
        <v/>
      </c>
    </row>
    <row r="4957">
      <c r="X4957" s="20" t="str">
        <f>IF($B4957="","",IFERROR(IF(INDEX(Config!$D$9:$D$29,MATCH($B4957,Config!$B$9:$B$29,0))="Contrato",IF(INDEX(Config!$E$9:$E$29,MATCH($B4957,Config!$B$9:$B$29,0))="","",INDEX(Config!$E$9:$E$29,MATCH($B4957,Config!$B$9:$B$29,0))),""),""))</f>
        <v/>
      </c>
      <c r="AI4957" s="19" t="str">
        <f>IF($B4957="","",IFERROR(INDEX(Config!$D$9:$D$29,MATCH($B4957,Config!$B$9:$B$29,0))&amp;"",""))</f>
        <v/>
      </c>
    </row>
    <row r="4958">
      <c r="X4958" s="20" t="str">
        <f>IF($B4958="","",IFERROR(IF(INDEX(Config!$D$9:$D$29,MATCH($B4958,Config!$B$9:$B$29,0))="Contrato",IF(INDEX(Config!$E$9:$E$29,MATCH($B4958,Config!$B$9:$B$29,0))="","",INDEX(Config!$E$9:$E$29,MATCH($B4958,Config!$B$9:$B$29,0))),""),""))</f>
        <v/>
      </c>
      <c r="AI4958" s="19" t="str">
        <f>IF($B4958="","",IFERROR(INDEX(Config!$D$9:$D$29,MATCH($B4958,Config!$B$9:$B$29,0))&amp;"",""))</f>
        <v/>
      </c>
    </row>
    <row r="4959">
      <c r="X4959" s="20" t="str">
        <f>IF($B4959="","",IFERROR(IF(INDEX(Config!$D$9:$D$29,MATCH($B4959,Config!$B$9:$B$29,0))="Contrato",IF(INDEX(Config!$E$9:$E$29,MATCH($B4959,Config!$B$9:$B$29,0))="","",INDEX(Config!$E$9:$E$29,MATCH($B4959,Config!$B$9:$B$29,0))),""),""))</f>
        <v/>
      </c>
      <c r="AI4959" s="19" t="str">
        <f>IF($B4959="","",IFERROR(INDEX(Config!$D$9:$D$29,MATCH($B4959,Config!$B$9:$B$29,0))&amp;"",""))</f>
        <v/>
      </c>
    </row>
    <row r="4960">
      <c r="X4960" s="20" t="str">
        <f>IF($B4960="","",IFERROR(IF(INDEX(Config!$D$9:$D$29,MATCH($B4960,Config!$B$9:$B$29,0))="Contrato",IF(INDEX(Config!$E$9:$E$29,MATCH($B4960,Config!$B$9:$B$29,0))="","",INDEX(Config!$E$9:$E$29,MATCH($B4960,Config!$B$9:$B$29,0))),""),""))</f>
        <v/>
      </c>
      <c r="AI4960" s="19" t="str">
        <f>IF($B4960="","",IFERROR(INDEX(Config!$D$9:$D$29,MATCH($B4960,Config!$B$9:$B$29,0))&amp;"",""))</f>
        <v/>
      </c>
    </row>
    <row r="4961">
      <c r="X4961" s="20" t="str">
        <f>IF($B4961="","",IFERROR(IF(INDEX(Config!$D$9:$D$29,MATCH($B4961,Config!$B$9:$B$29,0))="Contrato",IF(INDEX(Config!$E$9:$E$29,MATCH($B4961,Config!$B$9:$B$29,0))="","",INDEX(Config!$E$9:$E$29,MATCH($B4961,Config!$B$9:$B$29,0))),""),""))</f>
        <v/>
      </c>
      <c r="AI4961" s="19" t="str">
        <f>IF($B4961="","",IFERROR(INDEX(Config!$D$9:$D$29,MATCH($B4961,Config!$B$9:$B$29,0))&amp;"",""))</f>
        <v/>
      </c>
    </row>
    <row r="4962">
      <c r="X4962" s="20" t="str">
        <f>IF($B4962="","",IFERROR(IF(INDEX(Config!$D$9:$D$29,MATCH($B4962,Config!$B$9:$B$29,0))="Contrato",IF(INDEX(Config!$E$9:$E$29,MATCH($B4962,Config!$B$9:$B$29,0))="","",INDEX(Config!$E$9:$E$29,MATCH($B4962,Config!$B$9:$B$29,0))),""),""))</f>
        <v/>
      </c>
      <c r="AI4962" s="19" t="str">
        <f>IF($B4962="","",IFERROR(INDEX(Config!$D$9:$D$29,MATCH($B4962,Config!$B$9:$B$29,0))&amp;"",""))</f>
        <v/>
      </c>
    </row>
    <row r="4963">
      <c r="X4963" s="20" t="str">
        <f>IF($B4963="","",IFERROR(IF(INDEX(Config!$D$9:$D$29,MATCH($B4963,Config!$B$9:$B$29,0))="Contrato",IF(INDEX(Config!$E$9:$E$29,MATCH($B4963,Config!$B$9:$B$29,0))="","",INDEX(Config!$E$9:$E$29,MATCH($B4963,Config!$B$9:$B$29,0))),""),""))</f>
        <v/>
      </c>
      <c r="AI4963" s="19" t="str">
        <f>IF($B4963="","",IFERROR(INDEX(Config!$D$9:$D$29,MATCH($B4963,Config!$B$9:$B$29,0))&amp;"",""))</f>
        <v/>
      </c>
    </row>
    <row r="4964">
      <c r="X4964" s="20" t="str">
        <f>IF($B4964="","",IFERROR(IF(INDEX(Config!$D$9:$D$29,MATCH($B4964,Config!$B$9:$B$29,0))="Contrato",IF(INDEX(Config!$E$9:$E$29,MATCH($B4964,Config!$B$9:$B$29,0))="","",INDEX(Config!$E$9:$E$29,MATCH($B4964,Config!$B$9:$B$29,0))),""),""))</f>
        <v/>
      </c>
      <c r="AI4964" s="19" t="str">
        <f>IF($B4964="","",IFERROR(INDEX(Config!$D$9:$D$29,MATCH($B4964,Config!$B$9:$B$29,0))&amp;"",""))</f>
        <v/>
      </c>
    </row>
    <row r="4965">
      <c r="X4965" s="20" t="str">
        <f>IF($B4965="","",IFERROR(IF(INDEX(Config!$D$9:$D$29,MATCH($B4965,Config!$B$9:$B$29,0))="Contrato",IF(INDEX(Config!$E$9:$E$29,MATCH($B4965,Config!$B$9:$B$29,0))="","",INDEX(Config!$E$9:$E$29,MATCH($B4965,Config!$B$9:$B$29,0))),""),""))</f>
        <v/>
      </c>
      <c r="AI4965" s="19" t="str">
        <f>IF($B4965="","",IFERROR(INDEX(Config!$D$9:$D$29,MATCH($B4965,Config!$B$9:$B$29,0))&amp;"",""))</f>
        <v/>
      </c>
    </row>
    <row r="4966">
      <c r="X4966" s="20" t="str">
        <f>IF($B4966="","",IFERROR(IF(INDEX(Config!$D$9:$D$29,MATCH($B4966,Config!$B$9:$B$29,0))="Contrato",IF(INDEX(Config!$E$9:$E$29,MATCH($B4966,Config!$B$9:$B$29,0))="","",INDEX(Config!$E$9:$E$29,MATCH($B4966,Config!$B$9:$B$29,0))),""),""))</f>
        <v/>
      </c>
      <c r="AI4966" s="19" t="str">
        <f>IF($B4966="","",IFERROR(INDEX(Config!$D$9:$D$29,MATCH($B4966,Config!$B$9:$B$29,0))&amp;"",""))</f>
        <v/>
      </c>
    </row>
    <row r="4967">
      <c r="X4967" s="20" t="str">
        <f>IF($B4967="","",IFERROR(IF(INDEX(Config!$D$9:$D$29,MATCH($B4967,Config!$B$9:$B$29,0))="Contrato",IF(INDEX(Config!$E$9:$E$29,MATCH($B4967,Config!$B$9:$B$29,0))="","",INDEX(Config!$E$9:$E$29,MATCH($B4967,Config!$B$9:$B$29,0))),""),""))</f>
        <v/>
      </c>
      <c r="AI4967" s="19" t="str">
        <f>IF($B4967="","",IFERROR(INDEX(Config!$D$9:$D$29,MATCH($B4967,Config!$B$9:$B$29,0))&amp;"",""))</f>
        <v/>
      </c>
    </row>
    <row r="4968">
      <c r="X4968" s="20" t="str">
        <f>IF($B4968="","",IFERROR(IF(INDEX(Config!$D$9:$D$29,MATCH($B4968,Config!$B$9:$B$29,0))="Contrato",IF(INDEX(Config!$E$9:$E$29,MATCH($B4968,Config!$B$9:$B$29,0))="","",INDEX(Config!$E$9:$E$29,MATCH($B4968,Config!$B$9:$B$29,0))),""),""))</f>
        <v/>
      </c>
      <c r="AI4968" s="19" t="str">
        <f>IF($B4968="","",IFERROR(INDEX(Config!$D$9:$D$29,MATCH($B4968,Config!$B$9:$B$29,0))&amp;"",""))</f>
        <v/>
      </c>
    </row>
    <row r="4969">
      <c r="X4969" s="20" t="str">
        <f>IF($B4969="","",IFERROR(IF(INDEX(Config!$D$9:$D$29,MATCH($B4969,Config!$B$9:$B$29,0))="Contrato",IF(INDEX(Config!$E$9:$E$29,MATCH($B4969,Config!$B$9:$B$29,0))="","",INDEX(Config!$E$9:$E$29,MATCH($B4969,Config!$B$9:$B$29,0))),""),""))</f>
        <v/>
      </c>
      <c r="AI4969" s="19" t="str">
        <f>IF($B4969="","",IFERROR(INDEX(Config!$D$9:$D$29,MATCH($B4969,Config!$B$9:$B$29,0))&amp;"",""))</f>
        <v/>
      </c>
    </row>
    <row r="4970">
      <c r="X4970" s="20" t="str">
        <f>IF($B4970="","",IFERROR(IF(INDEX(Config!$D$9:$D$29,MATCH($B4970,Config!$B$9:$B$29,0))="Contrato",IF(INDEX(Config!$E$9:$E$29,MATCH($B4970,Config!$B$9:$B$29,0))="","",INDEX(Config!$E$9:$E$29,MATCH($B4970,Config!$B$9:$B$29,0))),""),""))</f>
        <v/>
      </c>
      <c r="AI4970" s="19" t="str">
        <f>IF($B4970="","",IFERROR(INDEX(Config!$D$9:$D$29,MATCH($B4970,Config!$B$9:$B$29,0))&amp;"",""))</f>
        <v/>
      </c>
    </row>
    <row r="4971">
      <c r="X4971" s="20" t="str">
        <f>IF($B4971="","",IFERROR(IF(INDEX(Config!$D$9:$D$29,MATCH($B4971,Config!$B$9:$B$29,0))="Contrato",IF(INDEX(Config!$E$9:$E$29,MATCH($B4971,Config!$B$9:$B$29,0))="","",INDEX(Config!$E$9:$E$29,MATCH($B4971,Config!$B$9:$B$29,0))),""),""))</f>
        <v/>
      </c>
      <c r="AI4971" s="19" t="str">
        <f>IF($B4971="","",IFERROR(INDEX(Config!$D$9:$D$29,MATCH($B4971,Config!$B$9:$B$29,0))&amp;"",""))</f>
        <v/>
      </c>
    </row>
    <row r="4972">
      <c r="X4972" s="20" t="str">
        <f>IF($B4972="","",IFERROR(IF(INDEX(Config!$D$9:$D$29,MATCH($B4972,Config!$B$9:$B$29,0))="Contrato",IF(INDEX(Config!$E$9:$E$29,MATCH($B4972,Config!$B$9:$B$29,0))="","",INDEX(Config!$E$9:$E$29,MATCH($B4972,Config!$B$9:$B$29,0))),""),""))</f>
        <v/>
      </c>
      <c r="AI4972" s="19" t="str">
        <f>IF($B4972="","",IFERROR(INDEX(Config!$D$9:$D$29,MATCH($B4972,Config!$B$9:$B$29,0))&amp;"",""))</f>
        <v/>
      </c>
    </row>
    <row r="4973">
      <c r="X4973" s="20" t="str">
        <f>IF($B4973="","",IFERROR(IF(INDEX(Config!$D$9:$D$29,MATCH($B4973,Config!$B$9:$B$29,0))="Contrato",IF(INDEX(Config!$E$9:$E$29,MATCH($B4973,Config!$B$9:$B$29,0))="","",INDEX(Config!$E$9:$E$29,MATCH($B4973,Config!$B$9:$B$29,0))),""),""))</f>
        <v/>
      </c>
      <c r="AI4973" s="19" t="str">
        <f>IF($B4973="","",IFERROR(INDEX(Config!$D$9:$D$29,MATCH($B4973,Config!$B$9:$B$29,0))&amp;"",""))</f>
        <v/>
      </c>
    </row>
    <row r="4974">
      <c r="X4974" s="20" t="str">
        <f>IF($B4974="","",IFERROR(IF(INDEX(Config!$D$9:$D$29,MATCH($B4974,Config!$B$9:$B$29,0))="Contrato",IF(INDEX(Config!$E$9:$E$29,MATCH($B4974,Config!$B$9:$B$29,0))="","",INDEX(Config!$E$9:$E$29,MATCH($B4974,Config!$B$9:$B$29,0))),""),""))</f>
        <v/>
      </c>
      <c r="AI4974" s="19" t="str">
        <f>IF($B4974="","",IFERROR(INDEX(Config!$D$9:$D$29,MATCH($B4974,Config!$B$9:$B$29,0))&amp;"",""))</f>
        <v/>
      </c>
    </row>
    <row r="4975">
      <c r="X4975" s="20" t="str">
        <f>IF($B4975="","",IFERROR(IF(INDEX(Config!$D$9:$D$29,MATCH($B4975,Config!$B$9:$B$29,0))="Contrato",IF(INDEX(Config!$E$9:$E$29,MATCH($B4975,Config!$B$9:$B$29,0))="","",INDEX(Config!$E$9:$E$29,MATCH($B4975,Config!$B$9:$B$29,0))),""),""))</f>
        <v/>
      </c>
      <c r="AI4975" s="19" t="str">
        <f>IF($B4975="","",IFERROR(INDEX(Config!$D$9:$D$29,MATCH($B4975,Config!$B$9:$B$29,0))&amp;"",""))</f>
        <v/>
      </c>
    </row>
    <row r="4976">
      <c r="X4976" s="20" t="str">
        <f>IF($B4976="","",IFERROR(IF(INDEX(Config!$D$9:$D$29,MATCH($B4976,Config!$B$9:$B$29,0))="Contrato",IF(INDEX(Config!$E$9:$E$29,MATCH($B4976,Config!$B$9:$B$29,0))="","",INDEX(Config!$E$9:$E$29,MATCH($B4976,Config!$B$9:$B$29,0))),""),""))</f>
        <v/>
      </c>
      <c r="AI4976" s="19" t="str">
        <f>IF($B4976="","",IFERROR(INDEX(Config!$D$9:$D$29,MATCH($B4976,Config!$B$9:$B$29,0))&amp;"",""))</f>
        <v/>
      </c>
    </row>
    <row r="4977">
      <c r="X4977" s="20" t="str">
        <f>IF($B4977="","",IFERROR(IF(INDEX(Config!$D$9:$D$29,MATCH($B4977,Config!$B$9:$B$29,0))="Contrato",IF(INDEX(Config!$E$9:$E$29,MATCH($B4977,Config!$B$9:$B$29,0))="","",INDEX(Config!$E$9:$E$29,MATCH($B4977,Config!$B$9:$B$29,0))),""),""))</f>
        <v/>
      </c>
      <c r="AI4977" s="19" t="str">
        <f>IF($B4977="","",IFERROR(INDEX(Config!$D$9:$D$29,MATCH($B4977,Config!$B$9:$B$29,0))&amp;"",""))</f>
        <v/>
      </c>
    </row>
    <row r="4978">
      <c r="X4978" s="20" t="str">
        <f>IF($B4978="","",IFERROR(IF(INDEX(Config!$D$9:$D$29,MATCH($B4978,Config!$B$9:$B$29,0))="Contrato",IF(INDEX(Config!$E$9:$E$29,MATCH($B4978,Config!$B$9:$B$29,0))="","",INDEX(Config!$E$9:$E$29,MATCH($B4978,Config!$B$9:$B$29,0))),""),""))</f>
        <v/>
      </c>
      <c r="AI4978" s="19" t="str">
        <f>IF($B4978="","",IFERROR(INDEX(Config!$D$9:$D$29,MATCH($B4978,Config!$B$9:$B$29,0))&amp;"",""))</f>
        <v/>
      </c>
    </row>
    <row r="4979">
      <c r="X4979" s="20" t="str">
        <f>IF($B4979="","",IFERROR(IF(INDEX(Config!$D$9:$D$29,MATCH($B4979,Config!$B$9:$B$29,0))="Contrato",IF(INDEX(Config!$E$9:$E$29,MATCH($B4979,Config!$B$9:$B$29,0))="","",INDEX(Config!$E$9:$E$29,MATCH($B4979,Config!$B$9:$B$29,0))),""),""))</f>
        <v/>
      </c>
      <c r="AI4979" s="19" t="str">
        <f>IF($B4979="","",IFERROR(INDEX(Config!$D$9:$D$29,MATCH($B4979,Config!$B$9:$B$29,0))&amp;"",""))</f>
        <v/>
      </c>
    </row>
    <row r="4980">
      <c r="X4980" s="20" t="str">
        <f>IF($B4980="","",IFERROR(IF(INDEX(Config!$D$9:$D$29,MATCH($B4980,Config!$B$9:$B$29,0))="Contrato",IF(INDEX(Config!$E$9:$E$29,MATCH($B4980,Config!$B$9:$B$29,0))="","",INDEX(Config!$E$9:$E$29,MATCH($B4980,Config!$B$9:$B$29,0))),""),""))</f>
        <v/>
      </c>
      <c r="AI4980" s="19" t="str">
        <f>IF($B4980="","",IFERROR(INDEX(Config!$D$9:$D$29,MATCH($B4980,Config!$B$9:$B$29,0))&amp;"",""))</f>
        <v/>
      </c>
    </row>
    <row r="4981">
      <c r="X4981" s="20" t="str">
        <f>IF($B4981="","",IFERROR(IF(INDEX(Config!$D$9:$D$29,MATCH($B4981,Config!$B$9:$B$29,0))="Contrato",IF(INDEX(Config!$E$9:$E$29,MATCH($B4981,Config!$B$9:$B$29,0))="","",INDEX(Config!$E$9:$E$29,MATCH($B4981,Config!$B$9:$B$29,0))),""),""))</f>
        <v/>
      </c>
      <c r="AI4981" s="19" t="str">
        <f>IF($B4981="","",IFERROR(INDEX(Config!$D$9:$D$29,MATCH($B4981,Config!$B$9:$B$29,0))&amp;"",""))</f>
        <v/>
      </c>
    </row>
    <row r="4982">
      <c r="X4982" s="20" t="str">
        <f>IF($B4982="","",IFERROR(IF(INDEX(Config!$D$9:$D$29,MATCH($B4982,Config!$B$9:$B$29,0))="Contrato",IF(INDEX(Config!$E$9:$E$29,MATCH($B4982,Config!$B$9:$B$29,0))="","",INDEX(Config!$E$9:$E$29,MATCH($B4982,Config!$B$9:$B$29,0))),""),""))</f>
        <v/>
      </c>
      <c r="AI4982" s="19" t="str">
        <f>IF($B4982="","",IFERROR(INDEX(Config!$D$9:$D$29,MATCH($B4982,Config!$B$9:$B$29,0))&amp;"",""))</f>
        <v/>
      </c>
    </row>
    <row r="4983">
      <c r="X4983" s="20" t="str">
        <f>IF($B4983="","",IFERROR(IF(INDEX(Config!$D$9:$D$29,MATCH($B4983,Config!$B$9:$B$29,0))="Contrato",IF(INDEX(Config!$E$9:$E$29,MATCH($B4983,Config!$B$9:$B$29,0))="","",INDEX(Config!$E$9:$E$29,MATCH($B4983,Config!$B$9:$B$29,0))),""),""))</f>
        <v/>
      </c>
      <c r="AI4983" s="19" t="str">
        <f>IF($B4983="","",IFERROR(INDEX(Config!$D$9:$D$29,MATCH($B4983,Config!$B$9:$B$29,0))&amp;"",""))</f>
        <v/>
      </c>
    </row>
    <row r="4984">
      <c r="X4984" s="20" t="str">
        <f>IF($B4984="","",IFERROR(IF(INDEX(Config!$D$9:$D$29,MATCH($B4984,Config!$B$9:$B$29,0))="Contrato",IF(INDEX(Config!$E$9:$E$29,MATCH($B4984,Config!$B$9:$B$29,0))="","",INDEX(Config!$E$9:$E$29,MATCH($B4984,Config!$B$9:$B$29,0))),""),""))</f>
        <v/>
      </c>
      <c r="AI4984" s="19" t="str">
        <f>IF($B4984="","",IFERROR(INDEX(Config!$D$9:$D$29,MATCH($B4984,Config!$B$9:$B$29,0))&amp;"",""))</f>
        <v/>
      </c>
    </row>
    <row r="4985">
      <c r="X4985" s="20" t="str">
        <f>IF($B4985="","",IFERROR(IF(INDEX(Config!$D$9:$D$29,MATCH($B4985,Config!$B$9:$B$29,0))="Contrato",IF(INDEX(Config!$E$9:$E$29,MATCH($B4985,Config!$B$9:$B$29,0))="","",INDEX(Config!$E$9:$E$29,MATCH($B4985,Config!$B$9:$B$29,0))),""),""))</f>
        <v/>
      </c>
      <c r="AI4985" s="19" t="str">
        <f>IF($B4985="","",IFERROR(INDEX(Config!$D$9:$D$29,MATCH($B4985,Config!$B$9:$B$29,0))&amp;"",""))</f>
        <v/>
      </c>
    </row>
    <row r="4986">
      <c r="X4986" s="20" t="str">
        <f>IF($B4986="","",IFERROR(IF(INDEX(Config!$D$9:$D$29,MATCH($B4986,Config!$B$9:$B$29,0))="Contrato",IF(INDEX(Config!$E$9:$E$29,MATCH($B4986,Config!$B$9:$B$29,0))="","",INDEX(Config!$E$9:$E$29,MATCH($B4986,Config!$B$9:$B$29,0))),""),""))</f>
        <v/>
      </c>
      <c r="AI4986" s="19" t="str">
        <f>IF($B4986="","",IFERROR(INDEX(Config!$D$9:$D$29,MATCH($B4986,Config!$B$9:$B$29,0))&amp;"",""))</f>
        <v/>
      </c>
    </row>
    <row r="4987">
      <c r="X4987" s="20" t="str">
        <f>IF($B4987="","",IFERROR(IF(INDEX(Config!$D$9:$D$29,MATCH($B4987,Config!$B$9:$B$29,0))="Contrato",IF(INDEX(Config!$E$9:$E$29,MATCH($B4987,Config!$B$9:$B$29,0))="","",INDEX(Config!$E$9:$E$29,MATCH($B4987,Config!$B$9:$B$29,0))),""),""))</f>
        <v/>
      </c>
      <c r="AI4987" s="19" t="str">
        <f>IF($B4987="","",IFERROR(INDEX(Config!$D$9:$D$29,MATCH($B4987,Config!$B$9:$B$29,0))&amp;"",""))</f>
        <v/>
      </c>
    </row>
    <row r="4988">
      <c r="X4988" s="20" t="str">
        <f>IF($B4988="","",IFERROR(IF(INDEX(Config!$D$9:$D$29,MATCH($B4988,Config!$B$9:$B$29,0))="Contrato",IF(INDEX(Config!$E$9:$E$29,MATCH($B4988,Config!$B$9:$B$29,0))="","",INDEX(Config!$E$9:$E$29,MATCH($B4988,Config!$B$9:$B$29,0))),""),""))</f>
        <v/>
      </c>
      <c r="AI4988" s="19" t="str">
        <f>IF($B4988="","",IFERROR(INDEX(Config!$D$9:$D$29,MATCH($B4988,Config!$B$9:$B$29,0))&amp;"",""))</f>
        <v/>
      </c>
    </row>
    <row r="4989">
      <c r="X4989" s="20" t="str">
        <f>IF($B4989="","",IFERROR(IF(INDEX(Config!$D$9:$D$29,MATCH($B4989,Config!$B$9:$B$29,0))="Contrato",IF(INDEX(Config!$E$9:$E$29,MATCH($B4989,Config!$B$9:$B$29,0))="","",INDEX(Config!$E$9:$E$29,MATCH($B4989,Config!$B$9:$B$29,0))),""),""))</f>
        <v/>
      </c>
      <c r="AI4989" s="19" t="str">
        <f>IF($B4989="","",IFERROR(INDEX(Config!$D$9:$D$29,MATCH($B4989,Config!$B$9:$B$29,0))&amp;"",""))</f>
        <v/>
      </c>
    </row>
    <row r="4990">
      <c r="X4990" s="20" t="str">
        <f>IF($B4990="","",IFERROR(IF(INDEX(Config!$D$9:$D$29,MATCH($B4990,Config!$B$9:$B$29,0))="Contrato",IF(INDEX(Config!$E$9:$E$29,MATCH($B4990,Config!$B$9:$B$29,0))="","",INDEX(Config!$E$9:$E$29,MATCH($B4990,Config!$B$9:$B$29,0))),""),""))</f>
        <v/>
      </c>
      <c r="AI4990" s="19" t="str">
        <f>IF($B4990="","",IFERROR(INDEX(Config!$D$9:$D$29,MATCH($B4990,Config!$B$9:$B$29,0))&amp;"",""))</f>
        <v/>
      </c>
    </row>
    <row r="4991">
      <c r="X4991" s="20" t="str">
        <f>IF($B4991="","",IFERROR(IF(INDEX(Config!$D$9:$D$29,MATCH($B4991,Config!$B$9:$B$29,0))="Contrato",IF(INDEX(Config!$E$9:$E$29,MATCH($B4991,Config!$B$9:$B$29,0))="","",INDEX(Config!$E$9:$E$29,MATCH($B4991,Config!$B$9:$B$29,0))),""),""))</f>
        <v/>
      </c>
      <c r="AI4991" s="19" t="str">
        <f>IF($B4991="","",IFERROR(INDEX(Config!$D$9:$D$29,MATCH($B4991,Config!$B$9:$B$29,0))&amp;"",""))</f>
        <v/>
      </c>
    </row>
    <row r="4992">
      <c r="X4992" s="20" t="str">
        <f>IF($B4992="","",IFERROR(IF(INDEX(Config!$D$9:$D$29,MATCH($B4992,Config!$B$9:$B$29,0))="Contrato",IF(INDEX(Config!$E$9:$E$29,MATCH($B4992,Config!$B$9:$B$29,0))="","",INDEX(Config!$E$9:$E$29,MATCH($B4992,Config!$B$9:$B$29,0))),""),""))</f>
        <v/>
      </c>
      <c r="AI4992" s="19" t="str">
        <f>IF($B4992="","",IFERROR(INDEX(Config!$D$9:$D$29,MATCH($B4992,Config!$B$9:$B$29,0))&amp;"",""))</f>
        <v/>
      </c>
    </row>
    <row r="4993">
      <c r="X4993" s="20" t="str">
        <f>IF($B4993="","",IFERROR(IF(INDEX(Config!$D$9:$D$29,MATCH($B4993,Config!$B$9:$B$29,0))="Contrato",IF(INDEX(Config!$E$9:$E$29,MATCH($B4993,Config!$B$9:$B$29,0))="","",INDEX(Config!$E$9:$E$29,MATCH($B4993,Config!$B$9:$B$29,0))),""),""))</f>
        <v/>
      </c>
      <c r="AI4993" s="19" t="str">
        <f>IF($B4993="","",IFERROR(INDEX(Config!$D$9:$D$29,MATCH($B4993,Config!$B$9:$B$29,0))&amp;"",""))</f>
        <v/>
      </c>
    </row>
    <row r="4994">
      <c r="X4994" s="20" t="str">
        <f>IF($B4994="","",IFERROR(IF(INDEX(Config!$D$9:$D$29,MATCH($B4994,Config!$B$9:$B$29,0))="Contrato",IF(INDEX(Config!$E$9:$E$29,MATCH($B4994,Config!$B$9:$B$29,0))="","",INDEX(Config!$E$9:$E$29,MATCH($B4994,Config!$B$9:$B$29,0))),""),""))</f>
        <v/>
      </c>
      <c r="AI4994" s="19" t="str">
        <f>IF($B4994="","",IFERROR(INDEX(Config!$D$9:$D$29,MATCH($B4994,Config!$B$9:$B$29,0))&amp;"",""))</f>
        <v/>
      </c>
    </row>
    <row r="4995">
      <c r="X4995" s="20" t="str">
        <f>IF($B4995="","",IFERROR(IF(INDEX(Config!$D$9:$D$29,MATCH($B4995,Config!$B$9:$B$29,0))="Contrato",IF(INDEX(Config!$E$9:$E$29,MATCH($B4995,Config!$B$9:$B$29,0))="","",INDEX(Config!$E$9:$E$29,MATCH($B4995,Config!$B$9:$B$29,0))),""),""))</f>
        <v/>
      </c>
      <c r="AI4995" s="19" t="str">
        <f>IF($B4995="","",IFERROR(INDEX(Config!$D$9:$D$29,MATCH($B4995,Config!$B$9:$B$29,0))&amp;"",""))</f>
        <v/>
      </c>
    </row>
    <row r="4996">
      <c r="X4996" s="20" t="str">
        <f>IF($B4996="","",IFERROR(IF(INDEX(Config!$D$9:$D$29,MATCH($B4996,Config!$B$9:$B$29,0))="Contrato",IF(INDEX(Config!$E$9:$E$29,MATCH($B4996,Config!$B$9:$B$29,0))="","",INDEX(Config!$E$9:$E$29,MATCH($B4996,Config!$B$9:$B$29,0))),""),""))</f>
        <v/>
      </c>
      <c r="AI4996" s="19" t="str">
        <f>IF($B4996="","",IFERROR(INDEX(Config!$D$9:$D$29,MATCH($B4996,Config!$B$9:$B$29,0))&amp;"",""))</f>
        <v/>
      </c>
    </row>
    <row r="4997">
      <c r="X4997" s="20" t="str">
        <f>IF($B4997="","",IFERROR(IF(INDEX(Config!$D$9:$D$29,MATCH($B4997,Config!$B$9:$B$29,0))="Contrato",IF(INDEX(Config!$E$9:$E$29,MATCH($B4997,Config!$B$9:$B$29,0))="","",INDEX(Config!$E$9:$E$29,MATCH($B4997,Config!$B$9:$B$29,0))),""),""))</f>
        <v/>
      </c>
      <c r="AI4997" s="19" t="str">
        <f>IF($B4997="","",IFERROR(INDEX(Config!$D$9:$D$29,MATCH($B4997,Config!$B$9:$B$29,0))&amp;"",""))</f>
        <v/>
      </c>
    </row>
    <row r="4998">
      <c r="X4998" s="20" t="str">
        <f>IF($B4998="","",IFERROR(IF(INDEX(Config!$D$9:$D$29,MATCH($B4998,Config!$B$9:$B$29,0))="Contrato",IF(INDEX(Config!$E$9:$E$29,MATCH($B4998,Config!$B$9:$B$29,0))="","",INDEX(Config!$E$9:$E$29,MATCH($B4998,Config!$B$9:$B$29,0))),""),""))</f>
        <v/>
      </c>
      <c r="AI4998" s="19" t="str">
        <f>IF($B4998="","",IFERROR(INDEX(Config!$D$9:$D$29,MATCH($B4998,Config!$B$9:$B$29,0))&amp;"",""))</f>
        <v/>
      </c>
    </row>
    <row r="4999">
      <c r="X4999" s="20" t="str">
        <f>IF($B4999="","",IFERROR(IF(INDEX(Config!$D$9:$D$29,MATCH($B4999,Config!$B$9:$B$29,0))="Contrato",IF(INDEX(Config!$E$9:$E$29,MATCH($B4999,Config!$B$9:$B$29,0))="","",INDEX(Config!$E$9:$E$29,MATCH($B4999,Config!$B$9:$B$29,0))),""),""))</f>
        <v/>
      </c>
      <c r="AI4999" s="19" t="str">
        <f>IF($B4999="","",IFERROR(INDEX(Config!$D$9:$D$29,MATCH($B4999,Config!$B$9:$B$29,0))&amp;"",""))</f>
        <v/>
      </c>
    </row>
    <row r="5000">
      <c r="X5000" s="20" t="str">
        <f>IF($B5000="","",IFERROR(IF(INDEX(Config!$D$9:$D$29,MATCH($B5000,Config!$B$9:$B$29,0))="Contrato",IF(INDEX(Config!$E$9:$E$29,MATCH($B5000,Config!$B$9:$B$29,0))="","",INDEX(Config!$E$9:$E$29,MATCH($B5000,Config!$B$9:$B$29,0))),""),""))</f>
        <v/>
      </c>
      <c r="AI5000" s="19" t="str">
        <f>IF($B5000="","",IFERROR(INDEX(Config!$D$9:$D$29,MATCH($B5000,Config!$B$9:$B$29,0))&amp;"",""))</f>
        <v/>
      </c>
    </row>
    <row r="5001">
      <c r="X5001" s="20" t="str">
        <f>IF($B5001="","",IFERROR(IF(INDEX(Config!$D$9:$D$29,MATCH($B5001,Config!$B$9:$B$29,0))="Contrato",IF(INDEX(Config!$E$9:$E$29,MATCH($B5001,Config!$B$9:$B$29,0))="","",INDEX(Config!$E$9:$E$29,MATCH($B5001,Config!$B$9:$B$29,0))),""),""))</f>
        <v/>
      </c>
      <c r="AI5001" s="19" t="str">
        <f>IF($B5001="","",IFERROR(INDEX(Config!$D$9:$D$29,MATCH($B5001,Config!$B$9:$B$29,0))&amp;"",""))</f>
        <v/>
      </c>
    </row>
  </sheetData>
  <mergeCells count="7">
    <mergeCell ref="A1:B1"/>
    <mergeCell ref="C1:K1"/>
    <mergeCell ref="L1:S1"/>
    <mergeCell ref="T1:W1"/>
    <mergeCell ref="X1:Y1"/>
    <mergeCell ref="Z1:AH1"/>
    <mergeCell ref="AK21:BF21"/>
  </mergeCells>
  <conditionalFormatting sqref="A3:B5001">
    <cfRule type="expression" dxfId="0" priority="1">
      <formula>AND($A3&lt;&gt;"",$B3&lt;&gt;"",COUNTIFS($A$3:$A$5001,$A3,$B$3:$B$5001,$B3)&gt;1)</formula>
    </cfRule>
  </conditionalFormatting>
  <conditionalFormatting sqref="A3:B5001">
    <cfRule type="expression" dxfId="1" priority="2">
      <formula>OR(AND($A3&lt;&gt;"",$B3=""),AND($A3="",$B3&lt;&gt;""))</formula>
    </cfRule>
  </conditionalFormatting>
  <conditionalFormatting sqref="Y3:Y5001">
    <cfRule type="expression" dxfId="2" priority="3">
      <formula>AND(ISNUMBER($X3),ISNUMBER($Y3),$Y3&gt;$X3)</formula>
    </cfRule>
  </conditionalFormatting>
  <conditionalFormatting sqref="C3:C5001">
    <cfRule type="expression" dxfId="6" priority="4">
      <formula>IFERROR(INDEX(Config!$D$35:$D$54,MATCH($B3,Config!$B$35:$B$54,0)),"Sim")="Não"</formula>
    </cfRule>
  </conditionalFormatting>
  <conditionalFormatting sqref="D3:D5001">
    <cfRule type="expression" dxfId="6" priority="5">
      <formula>IFERROR(INDEX(Config!$E$35:$E$54,MATCH($B3,Config!$B$35:$B$54,0)),"Sim")="Não"</formula>
    </cfRule>
  </conditionalFormatting>
  <conditionalFormatting sqref="E3:E5001">
    <cfRule type="expression" dxfId="6" priority="6">
      <formula>IFERROR(INDEX(Config!$F$35:$F$54,MATCH($B3,Config!$B$35:$B$54,0)),"Sim")="Não"</formula>
    </cfRule>
  </conditionalFormatting>
  <conditionalFormatting sqref="F3:F5001">
    <cfRule type="expression" dxfId="6" priority="7">
      <formula>IFERROR(INDEX(Config!$G$35:$G$54,MATCH($B3,Config!$B$35:$B$54,0)),"Sim")="Não"</formula>
    </cfRule>
  </conditionalFormatting>
  <conditionalFormatting sqref="G3:G5001">
    <cfRule type="expression" dxfId="6" priority="8">
      <formula>IFERROR(INDEX(Config!$H$35:$H$54,MATCH($B3,Config!$B$35:$B$54,0)),"Sim")="Não"</formula>
    </cfRule>
  </conditionalFormatting>
  <conditionalFormatting sqref="H3:H5001">
    <cfRule type="expression" dxfId="6" priority="9">
      <formula>IFERROR(INDEX(Config!$I$35:$I$54,MATCH($B3,Config!$B$35:$B$54,0)),"Sim")="Não"</formula>
    </cfRule>
  </conditionalFormatting>
  <conditionalFormatting sqref="I3:I5001">
    <cfRule type="expression" dxfId="6" priority="10">
      <formula>IFERROR(INDEX(Config!$J$35:$J$54,MATCH($B3,Config!$B$35:$B$54,0)),"Sim")="Não"</formula>
    </cfRule>
  </conditionalFormatting>
  <conditionalFormatting sqref="J3:J5001">
    <cfRule type="expression" dxfId="6" priority="11">
      <formula>IFERROR(INDEX(Config!$K$35:$K$54,MATCH($B3,Config!$B$35:$B$54,0)),"Sim")="Não"</formula>
    </cfRule>
  </conditionalFormatting>
  <conditionalFormatting sqref="K3:K5001">
    <cfRule type="expression" dxfId="6" priority="12">
      <formula>IFERROR(INDEX(Config!$L$35:$L$54,MATCH($B3,Config!$B$35:$B$54,0)),"Sim")="Não"</formula>
    </cfRule>
  </conditionalFormatting>
  <conditionalFormatting sqref="L3:L5001">
    <cfRule type="expression" dxfId="6" priority="13">
      <formula>IFERROR(INDEX(Config!$M$35:$M$54,MATCH($B3,Config!$B$35:$B$54,0)),"Sim")="Não"</formula>
    </cfRule>
  </conditionalFormatting>
  <conditionalFormatting sqref="M3:M5001">
    <cfRule type="expression" dxfId="6" priority="14">
      <formula>IFERROR(INDEX(Config!$N$35:$N$54,MATCH($B3,Config!$B$35:$B$54,0)),"Sim")="Não"</formula>
    </cfRule>
  </conditionalFormatting>
  <conditionalFormatting sqref="N3:N5001">
    <cfRule type="expression" dxfId="6" priority="15">
      <formula>IFERROR(INDEX(Config!$O$35:$O$54,MATCH($B3,Config!$B$35:$B$54,0)),"Sim")="Não"</formula>
    </cfRule>
  </conditionalFormatting>
  <conditionalFormatting sqref="O3:O5001">
    <cfRule type="expression" dxfId="6" priority="16">
      <formula>IFERROR(INDEX(Config!$P$35:$P$54,MATCH($B3,Config!$B$35:$B$54,0)),"Sim")="Não"</formula>
    </cfRule>
  </conditionalFormatting>
  <conditionalFormatting sqref="P3:P5001">
    <cfRule type="expression" dxfId="6" priority="17">
      <formula>IFERROR(INDEX(Config!$Q$35:$Q$54,MATCH($B3,Config!$B$35:$B$54,0)),"Sim")="Não"</formula>
    </cfRule>
  </conditionalFormatting>
  <conditionalFormatting sqref="Q3:Q5001">
    <cfRule type="expression" dxfId="6" priority="18">
      <formula>IFERROR(INDEX(Config!$R$35:$R$54,MATCH($B3,Config!$B$35:$B$54,0)),"Sim")="Não"</formula>
    </cfRule>
  </conditionalFormatting>
  <conditionalFormatting sqref="R3:R5001">
    <cfRule type="expression" dxfId="6" priority="19">
      <formula>IFERROR(INDEX(Config!$S$35:$S$54,MATCH($B3,Config!$B$35:$B$54,0)),"Sim")="Não"</formula>
    </cfRule>
  </conditionalFormatting>
  <conditionalFormatting sqref="S3:S5001">
    <cfRule type="expression" dxfId="6" priority="20">
      <formula>IFERROR(INDEX(Config!$T$35:$T$54,MATCH($B3,Config!$B$35:$B$54,0)),"Sim")="Não"</formula>
    </cfRule>
  </conditionalFormatting>
  <conditionalFormatting sqref="T3:T5001">
    <cfRule type="expression" dxfId="6" priority="21">
      <formula>IFERROR(INDEX(Config!$U$35:$U$54,MATCH($B3,Config!$B$35:$B$54,0)),"Sim")="Não"</formula>
    </cfRule>
  </conditionalFormatting>
  <conditionalFormatting sqref="U3:U5001">
    <cfRule type="expression" dxfId="6" priority="22">
      <formula>IFERROR(INDEX(Config!$V$35:$V$54,MATCH($B3,Config!$B$35:$B$54,0)),"Sim")="Não"</formula>
    </cfRule>
  </conditionalFormatting>
  <conditionalFormatting sqref="V3:V5001">
    <cfRule type="expression" dxfId="6" priority="23">
      <formula>IFERROR(INDEX(Config!$W$35:$W$54,MATCH($B3,Config!$B$35:$B$54,0)),"Sim")="Não"</formula>
    </cfRule>
  </conditionalFormatting>
  <conditionalFormatting sqref="W3:W5001">
    <cfRule type="expression" dxfId="6" priority="24">
      <formula>IFERROR(INDEX(Config!$X$35:$X$54,MATCH($B3,Config!$B$35:$B$54,0)),"Sim")="Não"</formula>
    </cfRule>
  </conditionalFormatting>
  <conditionalFormatting sqref="Y3:Y5001">
    <cfRule type="expression" dxfId="6" priority="25">
      <formula>IFERROR(INDEX(Config!$Z$35:$Z$54,MATCH($B3,Config!$B$35:$B$54,0)),"Sim")="Não"</formula>
    </cfRule>
  </conditionalFormatting>
  <conditionalFormatting sqref="Z3:Z5001">
    <cfRule type="expression" dxfId="6" priority="26">
      <formula>IFERROR(INDEX(Config!$AA$35:$AA$54,MATCH($B3,Config!$B$35:$B$54,0)),"Sim")="Não"</formula>
    </cfRule>
  </conditionalFormatting>
  <conditionalFormatting sqref="AA3:AA5001">
    <cfRule type="expression" dxfId="6" priority="27">
      <formula>IFERROR(INDEX(Config!$AB$35:$AB$54,MATCH($B3,Config!$B$35:$B$54,0)),"Sim")="Não"</formula>
    </cfRule>
  </conditionalFormatting>
  <conditionalFormatting sqref="AB3:AB5001">
    <cfRule type="expression" dxfId="6" priority="28">
      <formula>IFERROR(INDEX(Config!$AC$35:$AC$54,MATCH($B3,Config!$B$35:$B$54,0)),"Sim")="Não"</formula>
    </cfRule>
  </conditionalFormatting>
  <conditionalFormatting sqref="AC3:AC5001">
    <cfRule type="expression" dxfId="6" priority="29">
      <formula>IFERROR(INDEX(Config!$AD$35:$AD$54,MATCH($B3,Config!$B$35:$B$54,0)),"Sim")="Não"</formula>
    </cfRule>
  </conditionalFormatting>
  <conditionalFormatting sqref="AD3:AD5001">
    <cfRule type="expression" dxfId="6" priority="30">
      <formula>IFERROR(INDEX(Config!$AE$35:$AE$54,MATCH($B3,Config!$B$35:$B$54,0)),"Sim")="Não"</formula>
    </cfRule>
  </conditionalFormatting>
  <conditionalFormatting sqref="AE3:AE5001">
    <cfRule type="expression" dxfId="6" priority="31">
      <formula>IFERROR(INDEX(Config!$AF$35:$AF$54,MATCH($B3,Config!$B$35:$B$54,0)),"Sim")="Não"</formula>
    </cfRule>
  </conditionalFormatting>
  <conditionalFormatting sqref="AF3:AF5001">
    <cfRule type="expression" dxfId="6" priority="32">
      <formula>IFERROR(INDEX(Config!$AG$35:$AG$54,MATCH($B3,Config!$B$35:$B$54,0)),"Sim")="Não"</formula>
    </cfRule>
  </conditionalFormatting>
  <conditionalFormatting sqref="AG3:AG5001">
    <cfRule type="expression" dxfId="6" priority="33">
      <formula>IFERROR(INDEX(Config!$AH$35:$AH$54,MATCH($B3,Config!$B$35:$B$54,0)),"Sim")="Não"</formula>
    </cfRule>
  </conditionalFormatting>
  <conditionalFormatting sqref="AH3:AH5001">
    <cfRule type="expression" dxfId="6" priority="34">
      <formula>IFERROR(INDEX(Config!$AI$35:$AI$54,MATCH($B3,Config!$B$35:$B$54,0)),"Sim")="Não"</formula>
    </cfRule>
  </conditionalFormatting>
  <dataValidations count="36">
    <dataValidation type="date" operator="greaterThanOrEqual" allowBlank="1" showInputMessage="1" showErrorMessage="1" promptTitle="Data" prompt="dd/mm/aaaa" errorTitle="Valor inválido" error="Digite uma data válida (dd/mm/aaaa)." sqref="A3:A5001">
      <formula1>43831</formula1>
    </dataValidation>
    <dataValidation type="list" allowBlank="1" showInputMessage="1" showErrorMessage="1" promptTitle="Cliente" prompt="Escolha na lista." errorTitle="Valor inválido" error="Escolha um cliente da lista." sqref="B3:B5001">
      <formula1>OFFSET(calculos!$AP$13,0,0,calculos!$AP$10,1)</formula1>
    </dataValidation>
    <dataValidation type="custom" allowBlank="1" showInputMessage="1" showErrorMessage="1" promptTitle="Modalidade" prompt="Automático: vem da aba Config." errorTitle="Coluna automática" error="Modalidade vem da aba Config (cadastro do cliente: MODALIDADE e POSIÇÕES CONTRATADAS). Não digite aqui." sqref="AI3:AI5001">
      <formula1>FALSE</formula1>
    </dataValidation>
    <dataValidation type="custom" allowBlank="1" showInputMessage="1" showErrorMessage="1" promptTitle="Posições Disponíveis" prompt="Automático: vem da aba Config." errorTitle="Coluna automática" error="Posições Disponíveis vem da aba Config (cadastro do cliente: MODALIDADE e POSIÇÕES CONTRATADAS). Não digite aqui." sqref="X3:X5001">
      <formula1>FALSE</formula1>
    </dataValidation>
    <dataValidation type="decimal" operator="greaterThanOrEqual" allowBlank="1" showInputMessage="1" showErrorMessage="1" promptTitle="Meta do mês" prompt="Vazio = sem meta. Taxa de ocupação em %." errorTitle="Valor inválido" error="Meta: use 0 ou um número maior." sqref="AL23:BF55">
      <formula1>0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C3:C5001">
      <formula1>AND(IFERROR(INDEX(Config!$D$35:$D$54,MATCH($B3,Config!$B$35:$B$54,0)),"Sim")&lt;&gt;"Não",ISNUMBER(C3),C3&gt;=0)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D3:D5001">
      <formula1>AND(IFERROR(INDEX(Config!$E$35:$E$54,MATCH($B3,Config!$B$35:$B$54,0)),"Sim")&lt;&gt;"Não",ISNUMBER(D3),D3&gt;=0)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E3:E5001">
      <formula1>AND(IFERROR(INDEX(Config!$F$35:$F$54,MATCH($B3,Config!$B$35:$B$54,0)),"Sim")&lt;&gt;"Não",ISNUMBER(E3),E3&gt;=0)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F3:F5001">
      <formula1>AND(IFERROR(INDEX(Config!$G$35:$G$54,MATCH($B3,Config!$B$35:$B$54,0)),"Sim")&lt;&gt;"Não",ISNUMBER(F3),F3&gt;=0)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G3:G5001">
      <formula1>AND(IFERROR(INDEX(Config!$H$35:$H$54,MATCH($B3,Config!$B$35:$B$54,0)),"Sim")&lt;&gt;"Não",ISNUMBER(G3),G3&gt;=0)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H3:H5001">
      <formula1>AND(IFERROR(INDEX(Config!$I$35:$I$54,MATCH($B3,Config!$B$35:$B$54,0)),"Sim")&lt;&gt;"Não",ISNUMBER(H3),H3&gt;=0)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I3:I5001">
      <formula1>AND(IFERROR(INDEX(Config!$J$35:$J$54,MATCH($B3,Config!$B$35:$B$54,0)),"Sim")&lt;&gt;"Não",ISNUMBER(I3),I3&gt;=0)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J3:J5001">
      <formula1>AND(IFERROR(INDEX(Config!$K$35:$K$54,MATCH($B3,Config!$B$35:$B$54,0)),"Sim")&lt;&gt;"Não",ISNUMBER(J3),J3&gt;=0)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K3:K5001">
      <formula1>AND(IFERROR(INDEX(Config!$L$35:$L$54,MATCH($B3,Config!$B$35:$B$54,0)),"Sim")&lt;&gt;"Não",ISNUMBER(K3),K3&gt;=0)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L3:L5001">
      <formula1>AND(IFERROR(INDEX(Config!$M$35:$M$54,MATCH($B3,Config!$B$35:$B$54,0)),"Sim")&lt;&gt;"Não",ISNUMBER(L3),L3&gt;=0)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M3:M5001">
      <formula1>AND(IFERROR(INDEX(Config!$N$35:$N$54,MATCH($B3,Config!$B$35:$B$54,0)),"Sim")&lt;&gt;"Não",ISNUMBER(M3),M3&gt;=0)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N3:N5001">
      <formula1>AND(IFERROR(INDEX(Config!$O$35:$O$54,MATCH($B3,Config!$B$35:$B$54,0)),"Sim")&lt;&gt;"Não",ISNUMBER(N3),N3&gt;=0)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O3:O5001">
      <formula1>AND(IFERROR(INDEX(Config!$P$35:$P$54,MATCH($B3,Config!$B$35:$B$54,0)),"Sim")&lt;&gt;"Não",ISNUMBER(O3),O3&gt;=0)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P3:P5001">
      <formula1>AND(IFERROR(INDEX(Config!$Q$35:$Q$54,MATCH($B3,Config!$B$35:$B$54,0)),"Sim")&lt;&gt;"Não",ISNUMBER(P3),P3&gt;=0)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Q3:Q5001">
      <formula1>AND(IFERROR(INDEX(Config!$R$35:$R$54,MATCH($B3,Config!$B$35:$B$54,0)),"Sim")&lt;&gt;"Não",ISNUMBER(Q3),Q3&gt;=0)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R3:R5001">
      <formula1>AND(IFERROR(INDEX(Config!$S$35:$S$54,MATCH($B3,Config!$B$35:$B$54,0)),"Sim")&lt;&gt;"Não",ISNUMBER(R3),R3&gt;=0)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S3:S5001">
      <formula1>AND(IFERROR(INDEX(Config!$T$35:$T$54,MATCH($B3,Config!$B$35:$B$54,0)),"Sim")&lt;&gt;"Não",ISNUMBER(S3),S3&gt;=0)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T3:T5001">
      <formula1>AND(IFERROR(INDEX(Config!$U$35:$U$54,MATCH($B3,Config!$B$35:$B$54,0)),"Sim")&lt;&gt;"Não",ISNUMBER(T3),T3&gt;=0)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U3:U5001">
      <formula1>AND(IFERROR(INDEX(Config!$V$35:$V$54,MATCH($B3,Config!$B$35:$B$54,0)),"Sim")&lt;&gt;"Não",ISNUMBER(U3),U3&gt;=0)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V3:V5001">
      <formula1>AND(IFERROR(INDEX(Config!$W$35:$W$54,MATCH($B3,Config!$B$35:$B$54,0)),"Sim")&lt;&gt;"Não",ISNUMBER(V3),V3&gt;=0)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W3:W5001">
      <formula1>AND(IFERROR(INDEX(Config!$X$35:$X$54,MATCH($B3,Config!$B$35:$B$54,0)),"Sim")&lt;&gt;"Não",ISNUMBER(W3),W3&gt;=0)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Y3:Y5001">
      <formula1>AND(IFERROR(INDEX(Config!$Z$35:$Z$54,MATCH($B3,Config!$B$35:$B$54,0)),"Sim")&lt;&gt;"Não",ISNUMBER(Y3),Y3&gt;=0)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Z3:Z5001">
      <formula1>AND(IFERROR(INDEX(Config!$AA$35:$AA$54,MATCH($B3,Config!$B$35:$B$54,0)),"Sim")&lt;&gt;"Não",ISNUMBER(Z3),Z3&gt;=0)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A3:AA5001">
      <formula1>AND(IFERROR(INDEX(Config!$AB$35:$AB$54,MATCH($B3,Config!$B$35:$B$54,0)),"Sim")&lt;&gt;"Não",ISNUMBER(AA3),AA3&gt;=0)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B3:AB5001">
      <formula1>AND(IFERROR(INDEX(Config!$AC$35:$AC$54,MATCH($B3,Config!$B$35:$B$54,0)),"Sim")&lt;&gt;"Não",ISNUMBER(AB3),AB3&gt;=0)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C3:AC5001">
      <formula1>AND(IFERROR(INDEX(Config!$AD$35:$AD$54,MATCH($B3,Config!$B$35:$B$54,0)),"Sim")&lt;&gt;"Não",ISNUMBER(AC3),AC3&gt;=0)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D3:AD5001">
      <formula1>AND(IFERROR(INDEX(Config!$AE$35:$AE$54,MATCH($B3,Config!$B$35:$B$54,0)),"Sim")&lt;&gt;"Não",ISNUMBER(AD3),AD3&gt;=0)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E3:AE5001">
      <formula1>AND(IFERROR(INDEX(Config!$AF$35:$AF$54,MATCH($B3,Config!$B$35:$B$54,0)),"Sim")&lt;&gt;"Não",ISNUMBER(AE3),AE3&gt;=0)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F3:AF5001">
      <formula1>AND(IFERROR(INDEX(Config!$AG$35:$AG$54,MATCH($B3,Config!$B$35:$B$54,0)),"Sim")&lt;&gt;"Não",ISNUMBER(AF3),AF3&gt;=0)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G3:AG5001">
      <formula1>AND(IFERROR(INDEX(Config!$AH$35:$AH$54,MATCH($B3,Config!$B$35:$B$54,0)),"Sim")&lt;&gt;"Não",ISNUMBER(AG3),AG3&gt;=0)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H3:AH5001">
      <formula1>AND(IFERROR(INDEX(Config!$AI$35:$AI$54,MATCH($B3,Config!$B$35:$B$54,0)),"Sim")&lt;&gt;"Não",ISNUMBER(AH3),AH3&gt;=0)</formula1>
    </dataValidation>
  </dataValidations>
  <pageMargins left="0.25" right="0.25" top="0.4" bottom="0.4" header="0.2" footer="0.2"/>
  <pageSetup paperSize="9" orientation="landscape" fitToWidth="1" fitToHeight="0"/>
  <tableParts count="2">
    <tablePart r:id="rIdT1"/>
    <tablePart r:id="rIdT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AR98"/>
  <sheetViews>
    <sheetView showGridLines="0" zoomScale="90" zoomScaleNormal="90" workbookViewId="0">
      <pane xSplit="3" topLeftCell="D1" activePane="topRight" state="frozen"/>
      <selection pane="topRight" activeCell="D1" sqref="D1"/>
    </sheetView>
  </sheetViews>
  <sheetFormatPr defaultRowHeight="15"/>
  <cols>
    <col min="1" max="1" width="5" customWidth="1"/>
    <col min="2" max="2" width="22" customWidth="1"/>
    <col min="3" max="3" width="11" customWidth="1"/>
    <col min="4" max="4" width="12" customWidth="1"/>
    <col min="5" max="5" width="13" customWidth="1"/>
    <col min="6" max="6" width="12" customWidth="1"/>
    <col min="7" max="7" width="27" customWidth="1"/>
    <col min="8" max="8" width="27" customWidth="1"/>
    <col min="9" max="9" width="27" customWidth="1"/>
    <col min="10" max="10" width="12" customWidth="1"/>
    <col min="11" max="11" width="27" customWidth="1"/>
    <col min="12" max="12" width="27" customWidth="1"/>
    <col min="13" max="13" width="27" customWidth="1"/>
    <col min="14" max="14" width="14" customWidth="1"/>
    <col min="15" max="15" width="27" customWidth="1"/>
    <col min="16" max="16" width="27" customWidth="1"/>
    <col min="17" max="17" width="34" customWidth="1"/>
    <col min="18" max="18" width="34" customWidth="1"/>
    <col min="19" max="19" width="27" customWidth="1"/>
    <col min="20" max="20" width="27" customWidth="1"/>
    <col min="21" max="21" width="34" customWidth="1"/>
    <col min="22" max="22" width="34" customWidth="1"/>
    <col min="37" max="37" width="3" customWidth="1"/>
    <col min="38" max="38" width="32" customWidth="1"/>
    <col min="39" max="39" width="30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</cols>
  <sheetData>
    <row r="1" ht="30" customHeight="1">
      <c r="A1" s="77" t="inlineStr">
        <is>
          <t xml:space="preserve">CONFIG · CLIENTES E DASHBOARD (TPC)</t>
        </is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</row>
    <row r="2" ht="30" customHeight="1">
      <c r="A2" s="80" t="inlineStr">
        <is>
          <t xml:space="preserve">COMO USAR — a aba é protegida: Revisão › Desproteger Planilha (mesma senha da pasta), faça o ajuste e proteja de novo. Células amarelas = editáveis. Tudo se atualiza na hora; não precisa gerar o arquivo de novo.</t>
        </is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ht="30" customHeight="1">
      <c r="A3" s="81" t="inlineStr">
        <is>
          <t xml:space="preserve">INCLUIR CLIENTE: (1) tabela 1 › escreva o nome numa vaga livre (coluna CLIENTE); (2) tabela 2 › marque Sim/Não nas colunas da BD que ele preenche; (3) tabela 1 › ajuste cards e gráficos (já vêm no padrão); (4) aba BD › na tabela de metas, renomeie o cabeçalho "Vaga N" com o nome do cliente e preencha as metas; (5) aba Monitoramento (desproteger) › reexiba as linhas de uma vaga livre no fim da aba, digite o nome na coluna CLIENTE e exclua as linhas que ele não usa.</t>
        </is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</row>
    <row r="4" ht="30" customHeight="1">
      <c r="A4" s="81" t="inlineStr">
        <is>
          <t xml:space="preserve">EXCLUIR CLIENTE: apague o nome na tabela 1 (a vaga fica livre e o cliente some dos filtros e do Consol Mensal) e, na aba Monitoramento, oculte ou exclua as linhas do bloco dele. As linhas antigas da BD continuam no histórico (somam em "Todos" nos meses em que existiram).</t>
        </is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</row>
    <row r="5" ht="30" customHeight="1">
      <c r="A5" s="81" t="inlineStr">
        <is>
          <t xml:space="preserve">RENOMEAR: troque o nome na tabela 1 e, na BD, use Localizar e Substituir no nome antigo (Ctrl+L / Ctrl+H). O nome da BD precisa ser igual ao da tabela 1.</t>
        </is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</row>
    <row r="7" ht="22" customHeight="1">
      <c r="A7" s="87" t="inlineStr">
        <is>
          <t xml:space="preserve">1 · CLIENTES — 20 vagas · uma linha por cliente: nome, depósito, cards e gráficos do Dashboard (linhas cinza = visão geral, fixas)</t>
        </is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AL7" s="82" t="inlineStr">
        <is>
          <t xml:space="preserve">CATÁLOGO DE INDICADORES (listas da tabela 1) — rótulo e casas podem ser editados; colunas cinza são técnicas</t>
        </is>
      </c>
      <c r="AM7" s="82"/>
      <c r="AN7" s="82"/>
      <c r="AO7" s="82"/>
      <c r="AP7" s="82"/>
      <c r="AQ7" s="82"/>
      <c r="AR7" s="82"/>
    </row>
    <row r="8" ht="32" customHeight="1">
      <c r="A8" s="16" t="inlineStr">
        <is>
          <t xml:space="preserve">Nº</t>
        </is>
      </c>
      <c r="B8" s="16" t="inlineStr">
        <is>
          <t xml:space="preserve">CLIENTE</t>
        </is>
      </c>
      <c r="C8" s="16" t="inlineStr">
        <is>
          <t xml:space="preserve">DEPÓSITO</t>
        </is>
      </c>
      <c r="D8" s="16" t="inlineStr">
        <is>
          <t xml:space="preserve">MODALIDADE</t>
        </is>
      </c>
      <c r="E8" s="16" t="inlineStr">
        <is>
          <t xml:space="preserve">POSIÇÕES CONTRATADAS</t>
        </is>
      </c>
      <c r="F8" s="16" t="inlineStr">
        <is>
          <t xml:space="preserve">CARD IN</t>
        </is>
      </c>
      <c r="G8" s="16" t="inlineStr">
        <is>
          <t xml:space="preserve">IN · linha 1</t>
        </is>
      </c>
      <c r="H8" s="16" t="inlineStr">
        <is>
          <t xml:space="preserve">IN · linha 2 (a)</t>
        </is>
      </c>
      <c r="I8" s="16" t="inlineStr">
        <is>
          <t xml:space="preserve">IN · linha 2 (b)</t>
        </is>
      </c>
      <c r="J8" s="16" t="inlineStr">
        <is>
          <t xml:space="preserve">CARD OUT</t>
        </is>
      </c>
      <c r="K8" s="16" t="inlineStr">
        <is>
          <t xml:space="preserve">OUT · linha 1</t>
        </is>
      </c>
      <c r="L8" s="16" t="inlineStr">
        <is>
          <t xml:space="preserve">OUT · linha 2 (a)</t>
        </is>
      </c>
      <c r="M8" s="16" t="inlineStr">
        <is>
          <t xml:space="preserve">OUT · linha 2 (b)</t>
        </is>
      </c>
      <c r="N8" s="16" t="inlineStr">
        <is>
          <t xml:space="preserve">CARD OCUPAÇÃO</t>
        </is>
      </c>
      <c r="O8" s="16" t="inlineStr">
        <is>
          <t xml:space="preserve">GRÁFICO 2 · IN</t>
        </is>
      </c>
      <c r="P8" s="16" t="inlineStr">
        <is>
          <t xml:space="preserve">GRÁFICO 2 · OUT</t>
        </is>
      </c>
      <c r="Q8" s="16" t="inlineStr">
        <is>
          <t xml:space="preserve">GRÁFICO 2 · título diário</t>
        </is>
      </c>
      <c r="R8" s="16" t="inlineStr">
        <is>
          <t xml:space="preserve">GRÁFICO 2 · título semanal</t>
        </is>
      </c>
      <c r="S8" s="16" t="inlineStr">
        <is>
          <t xml:space="preserve">GRÁFICO 3 · IN</t>
        </is>
      </c>
      <c r="T8" s="16" t="inlineStr">
        <is>
          <t xml:space="preserve">GRÁFICO 3 · OUT</t>
        </is>
      </c>
      <c r="U8" s="16" t="inlineStr">
        <is>
          <t xml:space="preserve">GRÁFICO 3 · título diário</t>
        </is>
      </c>
      <c r="V8" s="16" t="inlineStr">
        <is>
          <t xml:space="preserve">GRÁFICO 3 · título semanal</t>
        </is>
      </c>
      <c r="AL8" s="16" t="inlineStr">
        <is>
          <t xml:space="preserve">INDICADOR (nome da lista)</t>
        </is>
      </c>
      <c r="AM8" s="16" t="inlineStr">
        <is>
          <t xml:space="preserve">Rótulo no card</t>
        </is>
      </c>
      <c r="AN8" s="16" t="inlineStr">
        <is>
          <t xml:space="preserve">Casas decimais</t>
        </is>
      </c>
      <c r="AO8" s="83" t="inlineStr">
        <is>
          <t xml:space="preserve">Linha no período</t>
        </is>
      </c>
      <c r="AP8" s="83" t="inlineStr">
        <is>
          <t xml:space="preserve">Coluna na série</t>
        </is>
      </c>
      <c r="AQ8" s="83" t="inlineStr">
        <is>
          <t xml:space="preserve">Linha divisor</t>
        </is>
      </c>
      <c r="AR8" s="83" t="inlineStr">
        <is>
          <t xml:space="preserve">Coluna divisor</t>
        </is>
      </c>
    </row>
    <row r="9">
      <c r="A9" s="88" t="inlineStr">
        <is>
          <t xml:space="preserve">—</t>
        </is>
      </c>
      <c r="B9" s="89" t="inlineStr">
        <is>
          <t xml:space="preserve">Todos</t>
        </is>
      </c>
      <c r="C9" s="89"/>
      <c r="D9" s="89"/>
      <c r="E9" s="89"/>
      <c r="F9" s="84" t="inlineStr">
        <is>
          <t xml:space="preserve">Sim</t>
        </is>
      </c>
      <c r="G9" s="84" t="inlineStr">
        <is>
          <t xml:space="preserve">Pallets Movimentados IN</t>
        </is>
      </c>
      <c r="H9" s="84" t="inlineStr">
        <is>
          <t xml:space="preserve">Toneladas Movimentadas IN</t>
        </is>
      </c>
      <c r="I9" s="84"/>
      <c r="J9" s="84" t="inlineStr">
        <is>
          <t xml:space="preserve">Sim</t>
        </is>
      </c>
      <c r="K9" s="84" t="inlineStr">
        <is>
          <t xml:space="preserve">Pallets Movimentados OUT</t>
        </is>
      </c>
      <c r="L9" s="84" t="inlineStr">
        <is>
          <t xml:space="preserve">Toneladas Movimentadas OUT</t>
        </is>
      </c>
      <c r="M9" s="84"/>
      <c r="N9" s="84" t="inlineStr">
        <is>
          <t xml:space="preserve">Completo</t>
        </is>
      </c>
      <c r="O9" s="84" t="inlineStr">
        <is>
          <t xml:space="preserve">Pallets Movimentados IN</t>
        </is>
      </c>
      <c r="P9" s="84" t="inlineStr">
        <is>
          <t xml:space="preserve">Pallets Movimentados OUT</t>
        </is>
      </c>
      <c r="Q9" s="84" t="inlineStr">
        <is>
          <t xml:space="preserve">MOVIMENTAÇÃO PALETES/DIA</t>
        </is>
      </c>
      <c r="R9" s="84" t="inlineStr">
        <is>
          <t xml:space="preserve">ACUMULADO SEMANAL PALETES</t>
        </is>
      </c>
      <c r="S9" s="84" t="inlineStr">
        <is>
          <t xml:space="preserve">Toneladas Movimentadas IN</t>
        </is>
      </c>
      <c r="T9" s="84" t="inlineStr">
        <is>
          <t xml:space="preserve">Toneladas Movimentadas OUT</t>
        </is>
      </c>
      <c r="U9" s="84" t="inlineStr">
        <is>
          <t xml:space="preserve">MOVIMENTAÇÃO TONS/DIA</t>
        </is>
      </c>
      <c r="V9" s="84" t="inlineStr">
        <is>
          <t xml:space="preserve">ACUMULADO SEMANAL TONS</t>
        </is>
      </c>
      <c r="AL9" s="50" t="inlineStr">
        <is>
          <t xml:space="preserve">Pallets Movimentados IN</t>
        </is>
      </c>
      <c r="AM9" s="84" t="inlineStr">
        <is>
          <t xml:space="preserve">pallets movimentados</t>
        </is>
      </c>
      <c r="AN9" s="85">
        <v>0</v>
      </c>
      <c r="AO9" s="86">
        <v>2</v>
      </c>
      <c r="AP9" s="86">
        <v>2</v>
      </c>
      <c r="AQ9" s="86">
        <v>0</v>
      </c>
      <c r="AR9" s="86">
        <v>0</v>
      </c>
    </row>
    <row r="10">
      <c r="A10" s="88">
        <v>1</v>
      </c>
      <c r="B10" s="90" t="inlineStr">
        <is>
          <t xml:space="preserve">Alpargatas</t>
        </is>
      </c>
      <c r="C10" s="84" t="inlineStr">
        <is>
          <t xml:space="preserve">TPC</t>
        </is>
      </c>
      <c r="D10" s="84"/>
      <c r="E10" s="91"/>
      <c r="F10" s="84" t="inlineStr">
        <is>
          <t xml:space="preserve">Sim</t>
        </is>
      </c>
      <c r="G10" s="84" t="inlineStr">
        <is>
          <t xml:space="preserve">Caixas Movimentadas IN</t>
        </is>
      </c>
      <c r="H10" s="84" t="inlineStr">
        <is>
          <t xml:space="preserve">Caixas Movimentadas IN por veículo</t>
        </is>
      </c>
      <c r="I10" s="84"/>
      <c r="J10" s="84" t="inlineStr">
        <is>
          <t xml:space="preserve">Sim</t>
        </is>
      </c>
      <c r="K10" s="84" t="inlineStr">
        <is>
          <t xml:space="preserve">Caixas Expedidas OUT</t>
        </is>
      </c>
      <c r="L10" s="84" t="inlineStr">
        <is>
          <t xml:space="preserve">Caixas Expedidas OUT por veículo</t>
        </is>
      </c>
      <c r="M10" s="84"/>
      <c r="N10" s="84" t="inlineStr">
        <is>
          <t xml:space="preserve">Completo</t>
        </is>
      </c>
      <c r="O10" s="84" t="inlineStr">
        <is>
          <t xml:space="preserve">Caixas Movimentadas IN</t>
        </is>
      </c>
      <c r="P10" s="84" t="inlineStr">
        <is>
          <t xml:space="preserve">Caixas Expedidas OUT</t>
        </is>
      </c>
      <c r="Q10" s="84" t="inlineStr">
        <is>
          <t xml:space="preserve">MOVIMENTAÇÃO CAIXAS/DIA</t>
        </is>
      </c>
      <c r="R10" s="84" t="inlineStr">
        <is>
          <t xml:space="preserve">ACUMULADO SEMANAL CAIXAS</t>
        </is>
      </c>
      <c r="S10" s="84" t="inlineStr">
        <is>
          <t xml:space="preserve">Caixas Movimentadas IN por veículo</t>
        </is>
      </c>
      <c r="T10" s="84" t="inlineStr">
        <is>
          <t xml:space="preserve">Caixas Expedidas OUT por veículo</t>
        </is>
      </c>
      <c r="U10" s="84" t="inlineStr">
        <is>
          <t xml:space="preserve">CAIXAS POR VEÍCULO/DIA</t>
        </is>
      </c>
      <c r="V10" s="84" t="inlineStr">
        <is>
          <t xml:space="preserve">MÉDIA SEMANAL CAIXAS POR VEÍCULO</t>
        </is>
      </c>
      <c r="AL10" s="50" t="inlineStr">
        <is>
          <t xml:space="preserve">Pallets Movimentados IN por veículo</t>
        </is>
      </c>
      <c r="AM10" s="84" t="inlineStr">
        <is>
          <t xml:space="preserve">pallets movimentados por veículo</t>
        </is>
      </c>
      <c r="AN10" s="85">
        <v>1</v>
      </c>
      <c r="AO10" s="86">
        <v>2</v>
      </c>
      <c r="AP10" s="86">
        <v>2</v>
      </c>
      <c r="AQ10" s="86">
        <v>1</v>
      </c>
      <c r="AR10" s="86">
        <v>1</v>
      </c>
    </row>
    <row r="11">
      <c r="A11" s="88">
        <v>2</v>
      </c>
      <c r="B11" s="90" t="inlineStr">
        <is>
          <t xml:space="preserve">Basf</t>
        </is>
      </c>
      <c r="C11" s="84" t="inlineStr">
        <is>
          <t xml:space="preserve">TPC</t>
        </is>
      </c>
      <c r="D11" s="84"/>
      <c r="E11" s="91"/>
      <c r="F11" s="84" t="inlineStr">
        <is>
          <t xml:space="preserve">Sim</t>
        </is>
      </c>
      <c r="G11" s="84" t="inlineStr">
        <is>
          <t xml:space="preserve">Pallets Movimentados IN</t>
        </is>
      </c>
      <c r="H11" s="84" t="inlineStr">
        <is>
          <t xml:space="preserve">Toneladas Movimentadas IN</t>
        </is>
      </c>
      <c r="I11" s="84"/>
      <c r="J11" s="84" t="inlineStr">
        <is>
          <t xml:space="preserve">Sim</t>
        </is>
      </c>
      <c r="K11" s="84" t="inlineStr">
        <is>
          <t xml:space="preserve">Pallets Movimentados OUT</t>
        </is>
      </c>
      <c r="L11" s="84" t="inlineStr">
        <is>
          <t xml:space="preserve">Toneladas Movimentadas OUT</t>
        </is>
      </c>
      <c r="M11" s="84"/>
      <c r="N11" s="84" t="inlineStr">
        <is>
          <t xml:space="preserve">Completo</t>
        </is>
      </c>
      <c r="O11" s="84" t="inlineStr">
        <is>
          <t xml:space="preserve">Pallets Movimentados IN</t>
        </is>
      </c>
      <c r="P11" s="84" t="inlineStr">
        <is>
          <t xml:space="preserve">Pallets Movimentados OUT</t>
        </is>
      </c>
      <c r="Q11" s="84" t="inlineStr">
        <is>
          <t xml:space="preserve">MOVIMENTAÇÃO PALETES/DIA</t>
        </is>
      </c>
      <c r="R11" s="84" t="inlineStr">
        <is>
          <t xml:space="preserve">ACUMULADO SEMANAL PALETES</t>
        </is>
      </c>
      <c r="S11" s="84" t="inlineStr">
        <is>
          <t xml:space="preserve">Toneladas Movimentadas IN</t>
        </is>
      </c>
      <c r="T11" s="84" t="inlineStr">
        <is>
          <t xml:space="preserve">Toneladas Movimentadas OUT</t>
        </is>
      </c>
      <c r="U11" s="84" t="inlineStr">
        <is>
          <t xml:space="preserve">MOVIMENTAÇÃO TONS/DIA</t>
        </is>
      </c>
      <c r="V11" s="84" t="inlineStr">
        <is>
          <t xml:space="preserve">ACUMULADO SEMANAL TONS</t>
        </is>
      </c>
      <c r="AL11" s="50" t="inlineStr">
        <is>
          <t xml:space="preserve">Toneladas Movimentadas IN</t>
        </is>
      </c>
      <c r="AM11" s="84" t="inlineStr">
        <is>
          <t xml:space="preserve">t movimentadas</t>
        </is>
      </c>
      <c r="AN11" s="85">
        <v>1</v>
      </c>
      <c r="AO11" s="86">
        <v>3</v>
      </c>
      <c r="AP11" s="86">
        <v>3</v>
      </c>
      <c r="AQ11" s="86">
        <v>0</v>
      </c>
      <c r="AR11" s="86">
        <v>0</v>
      </c>
    </row>
    <row r="12">
      <c r="A12" s="88">
        <v>3</v>
      </c>
      <c r="B12" s="90" t="inlineStr">
        <is>
          <t xml:space="preserve">Beautybiz</t>
        </is>
      </c>
      <c r="C12" s="84" t="inlineStr">
        <is>
          <t xml:space="preserve">TPC</t>
        </is>
      </c>
      <c r="D12" s="84"/>
      <c r="E12" s="91"/>
      <c r="F12" s="84" t="inlineStr">
        <is>
          <t xml:space="preserve">Sim</t>
        </is>
      </c>
      <c r="G12" s="84" t="inlineStr">
        <is>
          <t xml:space="preserve">Pallets Movimentados IN</t>
        </is>
      </c>
      <c r="H12" s="84" t="inlineStr">
        <is>
          <t xml:space="preserve">Caixas Movimentadas IN</t>
        </is>
      </c>
      <c r="I12" s="84"/>
      <c r="J12" s="84" t="inlineStr">
        <is>
          <t xml:space="preserve">Sim</t>
        </is>
      </c>
      <c r="K12" s="84" t="inlineStr">
        <is>
          <t xml:space="preserve">Pallets Movimentados OUT</t>
        </is>
      </c>
      <c r="L12" s="84" t="inlineStr">
        <is>
          <t xml:space="preserve">Pedidos Expedidos OUT</t>
        </is>
      </c>
      <c r="M12" s="84"/>
      <c r="N12" s="84" t="inlineStr">
        <is>
          <t xml:space="preserve">Completo</t>
        </is>
      </c>
      <c r="O12" s="84" t="inlineStr">
        <is>
          <t xml:space="preserve">Pallets Movimentados IN</t>
        </is>
      </c>
      <c r="P12" s="84" t="inlineStr">
        <is>
          <t xml:space="preserve">Pallets Movimentados OUT</t>
        </is>
      </c>
      <c r="Q12" s="84" t="inlineStr">
        <is>
          <t xml:space="preserve">MOVIMENTAÇÃO PALETES/DIA</t>
        </is>
      </c>
      <c r="R12" s="84" t="inlineStr">
        <is>
          <t xml:space="preserve">ACUMULADO SEMANAL PALETES</t>
        </is>
      </c>
      <c r="S12" s="84" t="inlineStr">
        <is>
          <t xml:space="preserve">Caixas Movimentadas IN</t>
        </is>
      </c>
      <c r="T12" s="84" t="inlineStr">
        <is>
          <t xml:space="preserve">Pedidos Expedidos OUT</t>
        </is>
      </c>
      <c r="U12" s="84" t="inlineStr">
        <is>
          <t xml:space="preserve">MOVIMENTAÇÃO CAIXAS (IN) × PEDIDOS (OUT)/DIA</t>
        </is>
      </c>
      <c r="V12" s="84" t="inlineStr">
        <is>
          <t xml:space="preserve">ACUMULADO SEMANAL CAIXAS (IN) × PEDIDOS (OUT)</t>
        </is>
      </c>
      <c r="AL12" s="50" t="inlineStr">
        <is>
          <t xml:space="preserve">Toneladas Movimentadas IN por veículo</t>
        </is>
      </c>
      <c r="AM12" s="84" t="inlineStr">
        <is>
          <t xml:space="preserve">t movimentadas por veículo</t>
        </is>
      </c>
      <c r="AN12" s="85">
        <v>1</v>
      </c>
      <c r="AO12" s="86">
        <v>3</v>
      </c>
      <c r="AP12" s="86">
        <v>3</v>
      </c>
      <c r="AQ12" s="86">
        <v>1</v>
      </c>
      <c r="AR12" s="86">
        <v>1</v>
      </c>
    </row>
    <row r="13">
      <c r="A13" s="88">
        <v>4</v>
      </c>
      <c r="B13" s="90" t="inlineStr">
        <is>
          <t xml:space="preserve">Boticário</t>
        </is>
      </c>
      <c r="C13" s="84" t="inlineStr">
        <is>
          <t xml:space="preserve">TPC</t>
        </is>
      </c>
      <c r="D13" s="84"/>
      <c r="E13" s="91"/>
      <c r="F13" s="84" t="inlineStr">
        <is>
          <t xml:space="preserve">Sim</t>
        </is>
      </c>
      <c r="G13" s="84" t="inlineStr">
        <is>
          <t xml:space="preserve">Pallets Movimentados IN</t>
        </is>
      </c>
      <c r="H13" s="84" t="inlineStr">
        <is>
          <t xml:space="preserve">Caixas Movimentadas IN</t>
        </is>
      </c>
      <c r="I13" s="84" t="inlineStr">
        <is>
          <t xml:space="preserve">Itens Recebidos CX Mista IN</t>
        </is>
      </c>
      <c r="J13" s="84" t="inlineStr">
        <is>
          <t xml:space="preserve">Sim</t>
        </is>
      </c>
      <c r="K13" s="84" t="inlineStr">
        <is>
          <t xml:space="preserve">Pallets Movimentados OUT</t>
        </is>
      </c>
      <c r="L13" s="84" t="inlineStr">
        <is>
          <t xml:space="preserve">Caixas Expedidas OUT</t>
        </is>
      </c>
      <c r="M13" s="84" t="inlineStr">
        <is>
          <t xml:space="preserve">Pedidos Faturados OUT</t>
        </is>
      </c>
      <c r="N13" s="84" t="inlineStr">
        <is>
          <t xml:space="preserve">Completo</t>
        </is>
      </c>
      <c r="O13" s="84" t="inlineStr">
        <is>
          <t xml:space="preserve">Pallets Movimentados IN</t>
        </is>
      </c>
      <c r="P13" s="84" t="inlineStr">
        <is>
          <t xml:space="preserve">Pallets Movimentados OUT</t>
        </is>
      </c>
      <c r="Q13" s="84" t="inlineStr">
        <is>
          <t xml:space="preserve">MOVIMENTAÇÃO PALETES/DIA</t>
        </is>
      </c>
      <c r="R13" s="84" t="inlineStr">
        <is>
          <t xml:space="preserve">ACUMULADO SEMANAL PALETES</t>
        </is>
      </c>
      <c r="S13" s="84" t="inlineStr">
        <is>
          <t xml:space="preserve">Caixas Movimentadas IN</t>
        </is>
      </c>
      <c r="T13" s="84" t="inlineStr">
        <is>
          <t xml:space="preserve">Caixas Expedidas OUT</t>
        </is>
      </c>
      <c r="U13" s="84" t="inlineStr">
        <is>
          <t xml:space="preserve">MOVIMENTAÇÃO CAIXAS/DIA</t>
        </is>
      </c>
      <c r="V13" s="84" t="inlineStr">
        <is>
          <t xml:space="preserve">ACUMULADO SEMANAL CAIXAS</t>
        </is>
      </c>
      <c r="AL13" s="50" t="inlineStr">
        <is>
          <t xml:space="preserve">Pallets Movimentados OUT</t>
        </is>
      </c>
      <c r="AM13" s="84" t="inlineStr">
        <is>
          <t xml:space="preserve">pallets movimentados</t>
        </is>
      </c>
      <c r="AN13" s="85">
        <v>0</v>
      </c>
      <c r="AO13" s="86">
        <v>5</v>
      </c>
      <c r="AP13" s="86">
        <v>16</v>
      </c>
      <c r="AQ13" s="86">
        <v>0</v>
      </c>
      <c r="AR13" s="86">
        <v>0</v>
      </c>
    </row>
    <row r="14">
      <c r="A14" s="88">
        <v>5</v>
      </c>
      <c r="B14" s="90" t="inlineStr">
        <is>
          <t xml:space="preserve">Confiance</t>
        </is>
      </c>
      <c r="C14" s="84" t="inlineStr">
        <is>
          <t xml:space="preserve">TPC</t>
        </is>
      </c>
      <c r="D14" s="84"/>
      <c r="E14" s="91"/>
      <c r="F14" s="84" t="inlineStr">
        <is>
          <t xml:space="preserve">Sim</t>
        </is>
      </c>
      <c r="G14" s="84" t="inlineStr">
        <is>
          <t xml:space="preserve">Pallets Movimentados IN</t>
        </is>
      </c>
      <c r="H14" s="84" t="inlineStr">
        <is>
          <t xml:space="preserve">Toneladas Movimentadas IN</t>
        </is>
      </c>
      <c r="I14" s="84"/>
      <c r="J14" s="84" t="inlineStr">
        <is>
          <t xml:space="preserve">Sim</t>
        </is>
      </c>
      <c r="K14" s="84" t="inlineStr">
        <is>
          <t xml:space="preserve">Pallets Movimentados OUT</t>
        </is>
      </c>
      <c r="L14" s="84" t="inlineStr">
        <is>
          <t xml:space="preserve">Toneladas Movimentadas OUT</t>
        </is>
      </c>
      <c r="M14" s="84"/>
      <c r="N14" s="84" t="inlineStr">
        <is>
          <t xml:space="preserve">Completo</t>
        </is>
      </c>
      <c r="O14" s="84" t="inlineStr">
        <is>
          <t xml:space="preserve">Pallets Movimentados IN</t>
        </is>
      </c>
      <c r="P14" s="84" t="inlineStr">
        <is>
          <t xml:space="preserve">Pallets Movimentados OUT</t>
        </is>
      </c>
      <c r="Q14" s="84" t="inlineStr">
        <is>
          <t xml:space="preserve">MOVIMENTAÇÃO PALETES/DIA</t>
        </is>
      </c>
      <c r="R14" s="84" t="inlineStr">
        <is>
          <t xml:space="preserve">ACUMULADO SEMANAL PALETES</t>
        </is>
      </c>
      <c r="S14" s="84" t="inlineStr">
        <is>
          <t xml:space="preserve">Toneladas Movimentadas IN</t>
        </is>
      </c>
      <c r="T14" s="84" t="inlineStr">
        <is>
          <t xml:space="preserve">Toneladas Movimentadas OUT</t>
        </is>
      </c>
      <c r="U14" s="84" t="inlineStr">
        <is>
          <t xml:space="preserve">MOVIMENTAÇÃO TONS/DIA</t>
        </is>
      </c>
      <c r="V14" s="84" t="inlineStr">
        <is>
          <t xml:space="preserve">ACUMULADO SEMANAL TONS</t>
        </is>
      </c>
      <c r="AL14" s="50" t="inlineStr">
        <is>
          <t xml:space="preserve">Pallets Movimentados OUT por veículo</t>
        </is>
      </c>
      <c r="AM14" s="84" t="inlineStr">
        <is>
          <t xml:space="preserve">pallets movimentados por veículo</t>
        </is>
      </c>
      <c r="AN14" s="85">
        <v>1</v>
      </c>
      <c r="AO14" s="86">
        <v>5</v>
      </c>
      <c r="AP14" s="86">
        <v>16</v>
      </c>
      <c r="AQ14" s="86">
        <v>4</v>
      </c>
      <c r="AR14" s="86">
        <v>10</v>
      </c>
    </row>
    <row r="15">
      <c r="A15" s="88">
        <v>6</v>
      </c>
      <c r="B15" s="90" t="inlineStr">
        <is>
          <t xml:space="preserve">GE Vernova</t>
        </is>
      </c>
      <c r="C15" s="84" t="inlineStr">
        <is>
          <t xml:space="preserve">TPC</t>
        </is>
      </c>
      <c r="D15" s="84"/>
      <c r="E15" s="91"/>
      <c r="F15" s="84" t="inlineStr">
        <is>
          <t xml:space="preserve">Sim</t>
        </is>
      </c>
      <c r="G15" s="84" t="inlineStr">
        <is>
          <t xml:space="preserve">Pallets Movimentados IN</t>
        </is>
      </c>
      <c r="H15" s="84" t="inlineStr">
        <is>
          <t xml:space="preserve">Linhas NF IN</t>
        </is>
      </c>
      <c r="I15" s="84"/>
      <c r="J15" s="84" t="inlineStr">
        <is>
          <t xml:space="preserve">Sim</t>
        </is>
      </c>
      <c r="K15" s="84" t="inlineStr">
        <is>
          <t xml:space="preserve">Pallets Movimentados OUT</t>
        </is>
      </c>
      <c r="L15" s="84" t="inlineStr">
        <is>
          <t xml:space="preserve">Linhas NF OUT</t>
        </is>
      </c>
      <c r="M15" s="84"/>
      <c r="N15" s="84" t="inlineStr">
        <is>
          <t xml:space="preserve">Completo</t>
        </is>
      </c>
      <c r="O15" s="84" t="inlineStr">
        <is>
          <t xml:space="preserve">Pallets Movimentados IN</t>
        </is>
      </c>
      <c r="P15" s="84" t="inlineStr">
        <is>
          <t xml:space="preserve">Pallets Movimentados OUT</t>
        </is>
      </c>
      <c r="Q15" s="84" t="inlineStr">
        <is>
          <t xml:space="preserve">MOVIMENTAÇÃO PALETES/DIA</t>
        </is>
      </c>
      <c r="R15" s="84" t="inlineStr">
        <is>
          <t xml:space="preserve">ACUMULADO SEMANAL PALETES</t>
        </is>
      </c>
      <c r="S15" s="84" t="inlineStr">
        <is>
          <t xml:space="preserve">Linhas NF IN</t>
        </is>
      </c>
      <c r="T15" s="84" t="inlineStr">
        <is>
          <t xml:space="preserve">Linhas NF OUT</t>
        </is>
      </c>
      <c r="U15" s="84" t="inlineStr">
        <is>
          <t xml:space="preserve">MOVIMENTAÇÃO LINHAS NF/DIA</t>
        </is>
      </c>
      <c r="V15" s="84" t="inlineStr">
        <is>
          <t xml:space="preserve">ACUMULADO SEMANAL LINHAS NF</t>
        </is>
      </c>
      <c r="AL15" s="50" t="inlineStr">
        <is>
          <t xml:space="preserve">Toneladas Movimentadas OUT</t>
        </is>
      </c>
      <c r="AM15" s="84" t="inlineStr">
        <is>
          <t xml:space="preserve">t movimentadas</t>
        </is>
      </c>
      <c r="AN15" s="85">
        <v>1</v>
      </c>
      <c r="AO15" s="86">
        <v>6</v>
      </c>
      <c r="AP15" s="86">
        <v>17</v>
      </c>
      <c r="AQ15" s="86">
        <v>0</v>
      </c>
      <c r="AR15" s="86">
        <v>0</v>
      </c>
    </row>
    <row r="16">
      <c r="A16" s="88">
        <v>7</v>
      </c>
      <c r="B16" s="90" t="inlineStr">
        <is>
          <t xml:space="preserve">Omnilife</t>
        </is>
      </c>
      <c r="C16" s="84" t="inlineStr">
        <is>
          <t xml:space="preserve">TPC</t>
        </is>
      </c>
      <c r="D16" s="84"/>
      <c r="E16" s="91"/>
      <c r="F16" s="84" t="inlineStr">
        <is>
          <t xml:space="preserve">Sim</t>
        </is>
      </c>
      <c r="G16" s="84" t="inlineStr">
        <is>
          <t xml:space="preserve">Pallets Movimentados IN</t>
        </is>
      </c>
      <c r="H16" s="84" t="inlineStr">
        <is>
          <t xml:space="preserve">Pallets Movimentados IN por veículo</t>
        </is>
      </c>
      <c r="I16" s="84"/>
      <c r="J16" s="84" t="inlineStr">
        <is>
          <t xml:space="preserve">Sim</t>
        </is>
      </c>
      <c r="K16" s="84" t="inlineStr">
        <is>
          <t xml:space="preserve">Pallets Movimentados OUT</t>
        </is>
      </c>
      <c r="L16" s="84" t="inlineStr">
        <is>
          <t xml:space="preserve">Pallets Movimentados OUT por veículo</t>
        </is>
      </c>
      <c r="M16" s="84"/>
      <c r="N16" s="84" t="inlineStr">
        <is>
          <t xml:space="preserve">Completo</t>
        </is>
      </c>
      <c r="O16" s="84" t="inlineStr">
        <is>
          <t xml:space="preserve">Pallets Movimentados IN</t>
        </is>
      </c>
      <c r="P16" s="84" t="inlineStr">
        <is>
          <t xml:space="preserve">Pallets Movimentados OUT</t>
        </is>
      </c>
      <c r="Q16" s="84" t="inlineStr">
        <is>
          <t xml:space="preserve">MOVIMENTAÇÃO PALETES/DIA</t>
        </is>
      </c>
      <c r="R16" s="84" t="inlineStr">
        <is>
          <t xml:space="preserve">ACUMULADO SEMANAL PALETES</t>
        </is>
      </c>
      <c r="S16" s="84" t="inlineStr">
        <is>
          <t xml:space="preserve">Pallets Movimentados IN por veículo</t>
        </is>
      </c>
      <c r="T16" s="84" t="inlineStr">
        <is>
          <t xml:space="preserve">Pallets Movimentados OUT por veículo</t>
        </is>
      </c>
      <c r="U16" s="84" t="inlineStr">
        <is>
          <t xml:space="preserve">PALETES POR VEÍCULO/DIA</t>
        </is>
      </c>
      <c r="V16" s="84" t="inlineStr">
        <is>
          <t xml:space="preserve">MÉDIA SEMANAL PALETES POR VEÍCULO</t>
        </is>
      </c>
      <c r="AL16" s="50" t="inlineStr">
        <is>
          <t xml:space="preserve">Toneladas Movimentadas OUT por veículo</t>
        </is>
      </c>
      <c r="AM16" s="84" t="inlineStr">
        <is>
          <t xml:space="preserve">t movimentadas por veículo</t>
        </is>
      </c>
      <c r="AN16" s="85">
        <v>1</v>
      </c>
      <c r="AO16" s="86">
        <v>6</v>
      </c>
      <c r="AP16" s="86">
        <v>17</v>
      </c>
      <c r="AQ16" s="86">
        <v>4</v>
      </c>
      <c r="AR16" s="86">
        <v>10</v>
      </c>
    </row>
    <row r="17">
      <c r="A17" s="88">
        <v>8</v>
      </c>
      <c r="B17" s="90" t="inlineStr">
        <is>
          <t xml:space="preserve">Supply</t>
        </is>
      </c>
      <c r="C17" s="84" t="inlineStr">
        <is>
          <t xml:space="preserve">TPC</t>
        </is>
      </c>
      <c r="D17" s="84"/>
      <c r="E17" s="91"/>
      <c r="F17" s="84" t="inlineStr">
        <is>
          <t xml:space="preserve">Sim</t>
        </is>
      </c>
      <c r="G17" s="84" t="inlineStr">
        <is>
          <t xml:space="preserve">Pallets Movimentados IN</t>
        </is>
      </c>
      <c r="H17" s="84" t="inlineStr">
        <is>
          <t xml:space="preserve">Toneladas Movimentadas IN</t>
        </is>
      </c>
      <c r="I17" s="84"/>
      <c r="J17" s="84" t="inlineStr">
        <is>
          <t xml:space="preserve">Sim</t>
        </is>
      </c>
      <c r="K17" s="84" t="inlineStr">
        <is>
          <t xml:space="preserve">Pallets Movimentados OUT</t>
        </is>
      </c>
      <c r="L17" s="84" t="inlineStr">
        <is>
          <t xml:space="preserve">Toneladas Movimentadas OUT</t>
        </is>
      </c>
      <c r="M17" s="84"/>
      <c r="N17" s="84" t="inlineStr">
        <is>
          <t xml:space="preserve">Completo</t>
        </is>
      </c>
      <c r="O17" s="84" t="inlineStr">
        <is>
          <t xml:space="preserve">Pallets Movimentados IN</t>
        </is>
      </c>
      <c r="P17" s="84" t="inlineStr">
        <is>
          <t xml:space="preserve">Pallets Movimentados OUT</t>
        </is>
      </c>
      <c r="Q17" s="84" t="inlineStr">
        <is>
          <t xml:space="preserve">MOVIMENTAÇÃO PALETES/DIA</t>
        </is>
      </c>
      <c r="R17" s="84" t="inlineStr">
        <is>
          <t xml:space="preserve">ACUMULADO SEMANAL PALETES</t>
        </is>
      </c>
      <c r="S17" s="84" t="inlineStr">
        <is>
          <t xml:space="preserve">Toneladas Movimentadas IN</t>
        </is>
      </c>
      <c r="T17" s="84" t="inlineStr">
        <is>
          <t xml:space="preserve">Toneladas Movimentadas OUT</t>
        </is>
      </c>
      <c r="U17" s="84" t="inlineStr">
        <is>
          <t xml:space="preserve">MOVIMENTAÇÃO TONS/DIA</t>
        </is>
      </c>
      <c r="V17" s="84" t="inlineStr">
        <is>
          <t xml:space="preserve">ACUMULADO SEMANAL TONS</t>
        </is>
      </c>
      <c r="AL17" s="50" t="inlineStr">
        <is>
          <t xml:space="preserve">Linhas NF IN</t>
        </is>
      </c>
      <c r="AM17" s="84" t="inlineStr">
        <is>
          <t xml:space="preserve">linhas NF</t>
        </is>
      </c>
      <c r="AN17" s="85">
        <v>0</v>
      </c>
      <c r="AO17" s="86">
        <v>27</v>
      </c>
      <c r="AP17" s="86">
        <v>4</v>
      </c>
      <c r="AQ17" s="86">
        <v>0</v>
      </c>
      <c r="AR17" s="86">
        <v>0</v>
      </c>
    </row>
    <row r="18">
      <c r="A18" s="88">
        <v>9</v>
      </c>
      <c r="B18" s="90" t="inlineStr">
        <is>
          <t xml:space="preserve">Vedacit</t>
        </is>
      </c>
      <c r="C18" s="84" t="inlineStr">
        <is>
          <t xml:space="preserve">TPC</t>
        </is>
      </c>
      <c r="D18" s="84"/>
      <c r="E18" s="91"/>
      <c r="F18" s="84" t="inlineStr">
        <is>
          <t xml:space="preserve">Sim</t>
        </is>
      </c>
      <c r="G18" s="84" t="inlineStr">
        <is>
          <t xml:space="preserve">Pallets Movimentados IN</t>
        </is>
      </c>
      <c r="H18" s="84" t="inlineStr">
        <is>
          <t xml:space="preserve">Pallets Movimentados IN por veículo</t>
        </is>
      </c>
      <c r="I18" s="84"/>
      <c r="J18" s="84" t="inlineStr">
        <is>
          <t xml:space="preserve">Sim</t>
        </is>
      </c>
      <c r="K18" s="84" t="inlineStr">
        <is>
          <t xml:space="preserve">Pallets Movimentados OUT</t>
        </is>
      </c>
      <c r="L18" s="84" t="inlineStr">
        <is>
          <t xml:space="preserve">Pallets Movimentados OUT por veículo</t>
        </is>
      </c>
      <c r="M18" s="84"/>
      <c r="N18" s="84" t="inlineStr">
        <is>
          <t xml:space="preserve">Completo</t>
        </is>
      </c>
      <c r="O18" s="84" t="inlineStr">
        <is>
          <t xml:space="preserve">Pallets Movimentados IN</t>
        </is>
      </c>
      <c r="P18" s="84" t="inlineStr">
        <is>
          <t xml:space="preserve">Pallets Movimentados OUT</t>
        </is>
      </c>
      <c r="Q18" s="84" t="inlineStr">
        <is>
          <t xml:space="preserve">MOVIMENTAÇÃO PALETES/DIA</t>
        </is>
      </c>
      <c r="R18" s="84" t="inlineStr">
        <is>
          <t xml:space="preserve">ACUMULADO SEMANAL PALETES</t>
        </is>
      </c>
      <c r="S18" s="84" t="inlineStr">
        <is>
          <t xml:space="preserve">Pallets Movimentados IN por veículo</t>
        </is>
      </c>
      <c r="T18" s="84" t="inlineStr">
        <is>
          <t xml:space="preserve">Pallets Movimentados OUT por veículo</t>
        </is>
      </c>
      <c r="U18" s="84" t="inlineStr">
        <is>
          <t xml:space="preserve">PALETES POR VEÍCULO/DIA</t>
        </is>
      </c>
      <c r="V18" s="84" t="inlineStr">
        <is>
          <t xml:space="preserve">MÉDIA SEMANAL PALETES POR VEÍCULO</t>
        </is>
      </c>
      <c r="AL18" s="50" t="inlineStr">
        <is>
          <t xml:space="preserve">Linhas NF IN por veículo</t>
        </is>
      </c>
      <c r="AM18" s="84" t="inlineStr">
        <is>
          <t xml:space="preserve">linhas NF por veículo</t>
        </is>
      </c>
      <c r="AN18" s="85">
        <v>1</v>
      </c>
      <c r="AO18" s="86">
        <v>27</v>
      </c>
      <c r="AP18" s="86">
        <v>4</v>
      </c>
      <c r="AQ18" s="86">
        <v>1</v>
      </c>
      <c r="AR18" s="86">
        <v>1</v>
      </c>
    </row>
    <row r="19">
      <c r="A19" s="88">
        <v>10</v>
      </c>
      <c r="B19" s="90" t="inlineStr">
        <is>
          <t xml:space="preserve">Vestas</t>
        </is>
      </c>
      <c r="C19" s="84" t="inlineStr">
        <is>
          <t xml:space="preserve">TPC</t>
        </is>
      </c>
      <c r="D19" s="84"/>
      <c r="E19" s="91"/>
      <c r="F19" s="84" t="inlineStr">
        <is>
          <t xml:space="preserve">Sim</t>
        </is>
      </c>
      <c r="G19" s="84" t="inlineStr">
        <is>
          <t xml:space="preserve">Linhas NF IN</t>
        </is>
      </c>
      <c r="H19" s="84" t="inlineStr">
        <is>
          <t xml:space="preserve">Linhas NF IN por veículo</t>
        </is>
      </c>
      <c r="I19" s="84"/>
      <c r="J19" s="84" t="inlineStr">
        <is>
          <t xml:space="preserve">Sim</t>
        </is>
      </c>
      <c r="K19" s="84" t="inlineStr">
        <is>
          <t xml:space="preserve">Linhas NF OUT</t>
        </is>
      </c>
      <c r="L19" s="84" t="inlineStr">
        <is>
          <t xml:space="preserve">Linhas NF OUT por veículo</t>
        </is>
      </c>
      <c r="M19" s="84"/>
      <c r="N19" s="84" t="inlineStr">
        <is>
          <t xml:space="preserve">Completo</t>
        </is>
      </c>
      <c r="O19" s="84" t="inlineStr">
        <is>
          <t xml:space="preserve">Linhas NF IN</t>
        </is>
      </c>
      <c r="P19" s="84" t="inlineStr">
        <is>
          <t xml:space="preserve">Linhas NF OUT</t>
        </is>
      </c>
      <c r="Q19" s="84" t="inlineStr">
        <is>
          <t xml:space="preserve">MOVIMENTAÇÃO LINHAS NF/DIA</t>
        </is>
      </c>
      <c r="R19" s="84" t="inlineStr">
        <is>
          <t xml:space="preserve">ACUMULADO SEMANAL LINHAS NF</t>
        </is>
      </c>
      <c r="S19" s="84" t="inlineStr">
        <is>
          <t xml:space="preserve">Linhas NF IN por veículo</t>
        </is>
      </c>
      <c r="T19" s="84" t="inlineStr">
        <is>
          <t xml:space="preserve">Linhas NF OUT por veículo</t>
        </is>
      </c>
      <c r="U19" s="84" t="inlineStr">
        <is>
          <t xml:space="preserve">LINHAS NF POR VEÍCULO/DIA</t>
        </is>
      </c>
      <c r="V19" s="84" t="inlineStr">
        <is>
          <t xml:space="preserve">MÉDIA SEMANAL LINHAS NF POR VEÍCULO</t>
        </is>
      </c>
      <c r="AL19" s="50" t="inlineStr">
        <is>
          <t xml:space="preserve">Caixas Movimentadas IN</t>
        </is>
      </c>
      <c r="AM19" s="84" t="inlineStr">
        <is>
          <t xml:space="preserve">caixas movimentadas</t>
        </is>
      </c>
      <c r="AN19" s="85">
        <v>0</v>
      </c>
      <c r="AO19" s="86">
        <v>28</v>
      </c>
      <c r="AP19" s="86">
        <v>5</v>
      </c>
      <c r="AQ19" s="86">
        <v>0</v>
      </c>
      <c r="AR19" s="86">
        <v>0</v>
      </c>
    </row>
    <row r="20">
      <c r="A20" s="88">
        <v>11</v>
      </c>
      <c r="B20" s="90"/>
      <c r="C20" s="84"/>
      <c r="D20" s="84"/>
      <c r="E20" s="91"/>
      <c r="F20" s="84" t="inlineStr">
        <is>
          <t xml:space="preserve">Sim</t>
        </is>
      </c>
      <c r="G20" s="84" t="inlineStr">
        <is>
          <t xml:space="preserve">Pallets Movimentados IN</t>
        </is>
      </c>
      <c r="H20" s="84" t="inlineStr">
        <is>
          <t xml:space="preserve">Toneladas Movimentadas IN</t>
        </is>
      </c>
      <c r="I20" s="84"/>
      <c r="J20" s="84" t="inlineStr">
        <is>
          <t xml:space="preserve">Sim</t>
        </is>
      </c>
      <c r="K20" s="84" t="inlineStr">
        <is>
          <t xml:space="preserve">Pallets Movimentados OUT</t>
        </is>
      </c>
      <c r="L20" s="84" t="inlineStr">
        <is>
          <t xml:space="preserve">Toneladas Movimentadas OUT</t>
        </is>
      </c>
      <c r="M20" s="84"/>
      <c r="N20" s="84" t="inlineStr">
        <is>
          <t xml:space="preserve">Completo</t>
        </is>
      </c>
      <c r="O20" s="84" t="inlineStr">
        <is>
          <t xml:space="preserve">Pallets Movimentados IN</t>
        </is>
      </c>
      <c r="P20" s="84" t="inlineStr">
        <is>
          <t xml:space="preserve">Pallets Movimentados OUT</t>
        </is>
      </c>
      <c r="Q20" s="84" t="inlineStr">
        <is>
          <t xml:space="preserve">MOVIMENTAÇÃO PALETES/DIA</t>
        </is>
      </c>
      <c r="R20" s="84" t="inlineStr">
        <is>
          <t xml:space="preserve">ACUMULADO SEMANAL PALETES</t>
        </is>
      </c>
      <c r="S20" s="84" t="inlineStr">
        <is>
          <t xml:space="preserve">Toneladas Movimentadas IN</t>
        </is>
      </c>
      <c r="T20" s="84" t="inlineStr">
        <is>
          <t xml:space="preserve">Toneladas Movimentadas OUT</t>
        </is>
      </c>
      <c r="U20" s="84" t="inlineStr">
        <is>
          <t xml:space="preserve">MOVIMENTAÇÃO TONS/DIA</t>
        </is>
      </c>
      <c r="V20" s="84" t="inlineStr">
        <is>
          <t xml:space="preserve">ACUMULADO SEMANAL TONS</t>
        </is>
      </c>
      <c r="AL20" s="50" t="inlineStr">
        <is>
          <t xml:space="preserve">Caixas Movimentadas IN por veículo</t>
        </is>
      </c>
      <c r="AM20" s="84" t="inlineStr">
        <is>
          <t xml:space="preserve">caixas movimentadas por veículo</t>
        </is>
      </c>
      <c r="AN20" s="85">
        <v>1</v>
      </c>
      <c r="AO20" s="86">
        <v>28</v>
      </c>
      <c r="AP20" s="86">
        <v>5</v>
      </c>
      <c r="AQ20" s="86">
        <v>1</v>
      </c>
      <c r="AR20" s="86">
        <v>1</v>
      </c>
    </row>
    <row r="21">
      <c r="A21" s="88">
        <v>12</v>
      </c>
      <c r="B21" s="90"/>
      <c r="C21" s="84"/>
      <c r="D21" s="84"/>
      <c r="E21" s="91"/>
      <c r="F21" s="84" t="inlineStr">
        <is>
          <t xml:space="preserve">Sim</t>
        </is>
      </c>
      <c r="G21" s="84" t="inlineStr">
        <is>
          <t xml:space="preserve">Pallets Movimentados IN</t>
        </is>
      </c>
      <c r="H21" s="84" t="inlineStr">
        <is>
          <t xml:space="preserve">Toneladas Movimentadas IN</t>
        </is>
      </c>
      <c r="I21" s="84"/>
      <c r="J21" s="84" t="inlineStr">
        <is>
          <t xml:space="preserve">Sim</t>
        </is>
      </c>
      <c r="K21" s="84" t="inlineStr">
        <is>
          <t xml:space="preserve">Pallets Movimentados OUT</t>
        </is>
      </c>
      <c r="L21" s="84" t="inlineStr">
        <is>
          <t xml:space="preserve">Toneladas Movimentadas OUT</t>
        </is>
      </c>
      <c r="M21" s="84"/>
      <c r="N21" s="84" t="inlineStr">
        <is>
          <t xml:space="preserve">Completo</t>
        </is>
      </c>
      <c r="O21" s="84" t="inlineStr">
        <is>
          <t xml:space="preserve">Pallets Movimentados IN</t>
        </is>
      </c>
      <c r="P21" s="84" t="inlineStr">
        <is>
          <t xml:space="preserve">Pallets Movimentados OUT</t>
        </is>
      </c>
      <c r="Q21" s="84" t="inlineStr">
        <is>
          <t xml:space="preserve">MOVIMENTAÇÃO PALETES/DIA</t>
        </is>
      </c>
      <c r="R21" s="84" t="inlineStr">
        <is>
          <t xml:space="preserve">ACUMULADO SEMANAL PALETES</t>
        </is>
      </c>
      <c r="S21" s="84" t="inlineStr">
        <is>
          <t xml:space="preserve">Toneladas Movimentadas IN</t>
        </is>
      </c>
      <c r="T21" s="84" t="inlineStr">
        <is>
          <t xml:space="preserve">Toneladas Movimentadas OUT</t>
        </is>
      </c>
      <c r="U21" s="84" t="inlineStr">
        <is>
          <t xml:space="preserve">MOVIMENTAÇÃO TONS/DIA</t>
        </is>
      </c>
      <c r="V21" s="84" t="inlineStr">
        <is>
          <t xml:space="preserve">ACUMULADO SEMANAL TONS</t>
        </is>
      </c>
      <c r="AL21" s="50" t="inlineStr">
        <is>
          <t xml:space="preserve">Itens Recebidos IN</t>
        </is>
      </c>
      <c r="AM21" s="84" t="inlineStr">
        <is>
          <t xml:space="preserve">itens recebidos</t>
        </is>
      </c>
      <c r="AN21" s="85">
        <v>0</v>
      </c>
      <c r="AO21" s="86">
        <v>29</v>
      </c>
      <c r="AP21" s="86">
        <v>6</v>
      </c>
      <c r="AQ21" s="86">
        <v>0</v>
      </c>
      <c r="AR21" s="86">
        <v>0</v>
      </c>
    </row>
    <row r="22">
      <c r="A22" s="88">
        <v>13</v>
      </c>
      <c r="B22" s="90"/>
      <c r="C22" s="84"/>
      <c r="D22" s="84"/>
      <c r="E22" s="91"/>
      <c r="F22" s="84" t="inlineStr">
        <is>
          <t xml:space="preserve">Sim</t>
        </is>
      </c>
      <c r="G22" s="84" t="inlineStr">
        <is>
          <t xml:space="preserve">Pallets Movimentados IN</t>
        </is>
      </c>
      <c r="H22" s="84" t="inlineStr">
        <is>
          <t xml:space="preserve">Toneladas Movimentadas IN</t>
        </is>
      </c>
      <c r="I22" s="84"/>
      <c r="J22" s="84" t="inlineStr">
        <is>
          <t xml:space="preserve">Sim</t>
        </is>
      </c>
      <c r="K22" s="84" t="inlineStr">
        <is>
          <t xml:space="preserve">Pallets Movimentados OUT</t>
        </is>
      </c>
      <c r="L22" s="84" t="inlineStr">
        <is>
          <t xml:space="preserve">Toneladas Movimentadas OUT</t>
        </is>
      </c>
      <c r="M22" s="84"/>
      <c r="N22" s="84" t="inlineStr">
        <is>
          <t xml:space="preserve">Completo</t>
        </is>
      </c>
      <c r="O22" s="84" t="inlineStr">
        <is>
          <t xml:space="preserve">Pallets Movimentados IN</t>
        </is>
      </c>
      <c r="P22" s="84" t="inlineStr">
        <is>
          <t xml:space="preserve">Pallets Movimentados OUT</t>
        </is>
      </c>
      <c r="Q22" s="84" t="inlineStr">
        <is>
          <t xml:space="preserve">MOVIMENTAÇÃO PALETES/DIA</t>
        </is>
      </c>
      <c r="R22" s="84" t="inlineStr">
        <is>
          <t xml:space="preserve">ACUMULADO SEMANAL PALETES</t>
        </is>
      </c>
      <c r="S22" s="84" t="inlineStr">
        <is>
          <t xml:space="preserve">Toneladas Movimentadas IN</t>
        </is>
      </c>
      <c r="T22" s="84" t="inlineStr">
        <is>
          <t xml:space="preserve">Toneladas Movimentadas OUT</t>
        </is>
      </c>
      <c r="U22" s="84" t="inlineStr">
        <is>
          <t xml:space="preserve">MOVIMENTAÇÃO TONS/DIA</t>
        </is>
      </c>
      <c r="V22" s="84" t="inlineStr">
        <is>
          <t xml:space="preserve">ACUMULADO SEMANAL TONS</t>
        </is>
      </c>
      <c r="AL22" s="50" t="inlineStr">
        <is>
          <t xml:space="preserve">Itens Recebidos IN por veículo</t>
        </is>
      </c>
      <c r="AM22" s="84" t="inlineStr">
        <is>
          <t xml:space="preserve">itens recebidos por veículo</t>
        </is>
      </c>
      <c r="AN22" s="85">
        <v>1</v>
      </c>
      <c r="AO22" s="86">
        <v>29</v>
      </c>
      <c r="AP22" s="86">
        <v>6</v>
      </c>
      <c r="AQ22" s="86">
        <v>1</v>
      </c>
      <c r="AR22" s="86">
        <v>1</v>
      </c>
    </row>
    <row r="23">
      <c r="A23" s="88">
        <v>14</v>
      </c>
      <c r="B23" s="90"/>
      <c r="C23" s="84"/>
      <c r="D23" s="84"/>
      <c r="E23" s="91"/>
      <c r="F23" s="84" t="inlineStr">
        <is>
          <t xml:space="preserve">Sim</t>
        </is>
      </c>
      <c r="G23" s="84" t="inlineStr">
        <is>
          <t xml:space="preserve">Pallets Movimentados IN</t>
        </is>
      </c>
      <c r="H23" s="84" t="inlineStr">
        <is>
          <t xml:space="preserve">Toneladas Movimentadas IN</t>
        </is>
      </c>
      <c r="I23" s="84"/>
      <c r="J23" s="84" t="inlineStr">
        <is>
          <t xml:space="preserve">Sim</t>
        </is>
      </c>
      <c r="K23" s="84" t="inlineStr">
        <is>
          <t xml:space="preserve">Pallets Movimentados OUT</t>
        </is>
      </c>
      <c r="L23" s="84" t="inlineStr">
        <is>
          <t xml:space="preserve">Toneladas Movimentadas OUT</t>
        </is>
      </c>
      <c r="M23" s="84"/>
      <c r="N23" s="84" t="inlineStr">
        <is>
          <t xml:space="preserve">Completo</t>
        </is>
      </c>
      <c r="O23" s="84" t="inlineStr">
        <is>
          <t xml:space="preserve">Pallets Movimentados IN</t>
        </is>
      </c>
      <c r="P23" s="84" t="inlineStr">
        <is>
          <t xml:space="preserve">Pallets Movimentados OUT</t>
        </is>
      </c>
      <c r="Q23" s="84" t="inlineStr">
        <is>
          <t xml:space="preserve">MOVIMENTAÇÃO PALETES/DIA</t>
        </is>
      </c>
      <c r="R23" s="84" t="inlineStr">
        <is>
          <t xml:space="preserve">ACUMULADO SEMANAL PALETES</t>
        </is>
      </c>
      <c r="S23" s="84" t="inlineStr">
        <is>
          <t xml:space="preserve">Toneladas Movimentadas IN</t>
        </is>
      </c>
      <c r="T23" s="84" t="inlineStr">
        <is>
          <t xml:space="preserve">Toneladas Movimentadas OUT</t>
        </is>
      </c>
      <c r="U23" s="84" t="inlineStr">
        <is>
          <t xml:space="preserve">MOVIMENTAÇÃO TONS/DIA</t>
        </is>
      </c>
      <c r="V23" s="84" t="inlineStr">
        <is>
          <t xml:space="preserve">ACUMULADO SEMANAL TONS</t>
        </is>
      </c>
      <c r="AL23" s="50" t="inlineStr">
        <is>
          <t xml:space="preserve">Itens Recebidos CX Mista IN</t>
        </is>
      </c>
      <c r="AM23" s="84" t="inlineStr">
        <is>
          <t xml:space="preserve">itens cx mista</t>
        </is>
      </c>
      <c r="AN23" s="85">
        <v>0</v>
      </c>
      <c r="AO23" s="86">
        <v>30</v>
      </c>
      <c r="AP23" s="86">
        <v>7</v>
      </c>
      <c r="AQ23" s="86">
        <v>0</v>
      </c>
      <c r="AR23" s="86">
        <v>0</v>
      </c>
    </row>
    <row r="24">
      <c r="A24" s="88">
        <v>15</v>
      </c>
      <c r="B24" s="90"/>
      <c r="C24" s="84"/>
      <c r="D24" s="84"/>
      <c r="E24" s="91"/>
      <c r="F24" s="84" t="inlineStr">
        <is>
          <t xml:space="preserve">Sim</t>
        </is>
      </c>
      <c r="G24" s="84" t="inlineStr">
        <is>
          <t xml:space="preserve">Pallets Movimentados IN</t>
        </is>
      </c>
      <c r="H24" s="84" t="inlineStr">
        <is>
          <t xml:space="preserve">Toneladas Movimentadas IN</t>
        </is>
      </c>
      <c r="I24" s="84"/>
      <c r="J24" s="84" t="inlineStr">
        <is>
          <t xml:space="preserve">Sim</t>
        </is>
      </c>
      <c r="K24" s="84" t="inlineStr">
        <is>
          <t xml:space="preserve">Pallets Movimentados OUT</t>
        </is>
      </c>
      <c r="L24" s="84" t="inlineStr">
        <is>
          <t xml:space="preserve">Toneladas Movimentadas OUT</t>
        </is>
      </c>
      <c r="M24" s="84"/>
      <c r="N24" s="84" t="inlineStr">
        <is>
          <t xml:space="preserve">Completo</t>
        </is>
      </c>
      <c r="O24" s="84" t="inlineStr">
        <is>
          <t xml:space="preserve">Pallets Movimentados IN</t>
        </is>
      </c>
      <c r="P24" s="84" t="inlineStr">
        <is>
          <t xml:space="preserve">Pallets Movimentados OUT</t>
        </is>
      </c>
      <c r="Q24" s="84" t="inlineStr">
        <is>
          <t xml:space="preserve">MOVIMENTAÇÃO PALETES/DIA</t>
        </is>
      </c>
      <c r="R24" s="84" t="inlineStr">
        <is>
          <t xml:space="preserve">ACUMULADO SEMANAL PALETES</t>
        </is>
      </c>
      <c r="S24" s="84" t="inlineStr">
        <is>
          <t xml:space="preserve">Toneladas Movimentadas IN</t>
        </is>
      </c>
      <c r="T24" s="84" t="inlineStr">
        <is>
          <t xml:space="preserve">Toneladas Movimentadas OUT</t>
        </is>
      </c>
      <c r="U24" s="84" t="inlineStr">
        <is>
          <t xml:space="preserve">MOVIMENTAÇÃO TONS/DIA</t>
        </is>
      </c>
      <c r="V24" s="84" t="inlineStr">
        <is>
          <t xml:space="preserve">ACUMULADO SEMANAL TONS</t>
        </is>
      </c>
      <c r="AL24" s="50" t="inlineStr">
        <is>
          <t xml:space="preserve">Itens Recebidos CX Mista IN por veículo</t>
        </is>
      </c>
      <c r="AM24" s="84" t="inlineStr">
        <is>
          <t xml:space="preserve">itens cx mista por veículo</t>
        </is>
      </c>
      <c r="AN24" s="85">
        <v>1</v>
      </c>
      <c r="AO24" s="86">
        <v>30</v>
      </c>
      <c r="AP24" s="86">
        <v>7</v>
      </c>
      <c r="AQ24" s="86">
        <v>1</v>
      </c>
      <c r="AR24" s="86">
        <v>1</v>
      </c>
    </row>
    <row r="25">
      <c r="A25" s="88">
        <v>16</v>
      </c>
      <c r="B25" s="90"/>
      <c r="C25" s="84"/>
      <c r="D25" s="84"/>
      <c r="E25" s="91"/>
      <c r="F25" s="84" t="inlineStr">
        <is>
          <t xml:space="preserve">Sim</t>
        </is>
      </c>
      <c r="G25" s="84" t="inlineStr">
        <is>
          <t xml:space="preserve">Pallets Movimentados IN</t>
        </is>
      </c>
      <c r="H25" s="84" t="inlineStr">
        <is>
          <t xml:space="preserve">Toneladas Movimentadas IN</t>
        </is>
      </c>
      <c r="I25" s="84"/>
      <c r="J25" s="84" t="inlineStr">
        <is>
          <t xml:space="preserve">Sim</t>
        </is>
      </c>
      <c r="K25" s="84" t="inlineStr">
        <is>
          <t xml:space="preserve">Pallets Movimentados OUT</t>
        </is>
      </c>
      <c r="L25" s="84" t="inlineStr">
        <is>
          <t xml:space="preserve">Toneladas Movimentadas OUT</t>
        </is>
      </c>
      <c r="M25" s="84"/>
      <c r="N25" s="84" t="inlineStr">
        <is>
          <t xml:space="preserve">Completo</t>
        </is>
      </c>
      <c r="O25" s="84" t="inlineStr">
        <is>
          <t xml:space="preserve">Pallets Movimentados IN</t>
        </is>
      </c>
      <c r="P25" s="84" t="inlineStr">
        <is>
          <t xml:space="preserve">Pallets Movimentados OUT</t>
        </is>
      </c>
      <c r="Q25" s="84" t="inlineStr">
        <is>
          <t xml:space="preserve">MOVIMENTAÇÃO PALETES/DIA</t>
        </is>
      </c>
      <c r="R25" s="84" t="inlineStr">
        <is>
          <t xml:space="preserve">ACUMULADO SEMANAL PALETES</t>
        </is>
      </c>
      <c r="S25" s="84" t="inlineStr">
        <is>
          <t xml:space="preserve">Toneladas Movimentadas IN</t>
        </is>
      </c>
      <c r="T25" s="84" t="inlineStr">
        <is>
          <t xml:space="preserve">Toneladas Movimentadas OUT</t>
        </is>
      </c>
      <c r="U25" s="84" t="inlineStr">
        <is>
          <t xml:space="preserve">MOVIMENTAÇÃO TONS/DIA</t>
        </is>
      </c>
      <c r="V25" s="84" t="inlineStr">
        <is>
          <t xml:space="preserve">ACUMULADO SEMANAL TONS</t>
        </is>
      </c>
      <c r="AL25" s="50" t="inlineStr">
        <is>
          <t xml:space="preserve">Caixas Fechadas IN</t>
        </is>
      </c>
      <c r="AM25" s="84" t="inlineStr">
        <is>
          <t xml:space="preserve">caixas fechadas</t>
        </is>
      </c>
      <c r="AN25" s="85">
        <v>0</v>
      </c>
      <c r="AO25" s="86">
        <v>31</v>
      </c>
      <c r="AP25" s="86">
        <v>8</v>
      </c>
      <c r="AQ25" s="86">
        <v>0</v>
      </c>
      <c r="AR25" s="86">
        <v>0</v>
      </c>
    </row>
    <row r="26">
      <c r="A26" s="88">
        <v>17</v>
      </c>
      <c r="B26" s="90"/>
      <c r="C26" s="84"/>
      <c r="D26" s="84"/>
      <c r="E26" s="91"/>
      <c r="F26" s="84" t="inlineStr">
        <is>
          <t xml:space="preserve">Sim</t>
        </is>
      </c>
      <c r="G26" s="84" t="inlineStr">
        <is>
          <t xml:space="preserve">Pallets Movimentados IN</t>
        </is>
      </c>
      <c r="H26" s="84" t="inlineStr">
        <is>
          <t xml:space="preserve">Toneladas Movimentadas IN</t>
        </is>
      </c>
      <c r="I26" s="84"/>
      <c r="J26" s="84" t="inlineStr">
        <is>
          <t xml:space="preserve">Sim</t>
        </is>
      </c>
      <c r="K26" s="84" t="inlineStr">
        <is>
          <t xml:space="preserve">Pallets Movimentados OUT</t>
        </is>
      </c>
      <c r="L26" s="84" t="inlineStr">
        <is>
          <t xml:space="preserve">Toneladas Movimentadas OUT</t>
        </is>
      </c>
      <c r="M26" s="84"/>
      <c r="N26" s="84" t="inlineStr">
        <is>
          <t xml:space="preserve">Completo</t>
        </is>
      </c>
      <c r="O26" s="84" t="inlineStr">
        <is>
          <t xml:space="preserve">Pallets Movimentados IN</t>
        </is>
      </c>
      <c r="P26" s="84" t="inlineStr">
        <is>
          <t xml:space="preserve">Pallets Movimentados OUT</t>
        </is>
      </c>
      <c r="Q26" s="84" t="inlineStr">
        <is>
          <t xml:space="preserve">MOVIMENTAÇÃO PALETES/DIA</t>
        </is>
      </c>
      <c r="R26" s="84" t="inlineStr">
        <is>
          <t xml:space="preserve">ACUMULADO SEMANAL PALETES</t>
        </is>
      </c>
      <c r="S26" s="84" t="inlineStr">
        <is>
          <t xml:space="preserve">Toneladas Movimentadas IN</t>
        </is>
      </c>
      <c r="T26" s="84" t="inlineStr">
        <is>
          <t xml:space="preserve">Toneladas Movimentadas OUT</t>
        </is>
      </c>
      <c r="U26" s="84" t="inlineStr">
        <is>
          <t xml:space="preserve">MOVIMENTAÇÃO TONS/DIA</t>
        </is>
      </c>
      <c r="V26" s="84" t="inlineStr">
        <is>
          <t xml:space="preserve">ACUMULADO SEMANAL TONS</t>
        </is>
      </c>
      <c r="AL26" s="50" t="inlineStr">
        <is>
          <t xml:space="preserve">Caixas Fechadas IN por veículo</t>
        </is>
      </c>
      <c r="AM26" s="84" t="inlineStr">
        <is>
          <t xml:space="preserve">caixas fechadas por veículo</t>
        </is>
      </c>
      <c r="AN26" s="85">
        <v>1</v>
      </c>
      <c r="AO26" s="86">
        <v>31</v>
      </c>
      <c r="AP26" s="86">
        <v>8</v>
      </c>
      <c r="AQ26" s="86">
        <v>1</v>
      </c>
      <c r="AR26" s="86">
        <v>1</v>
      </c>
    </row>
    <row r="27">
      <c r="A27" s="88">
        <v>18</v>
      </c>
      <c r="B27" s="90"/>
      <c r="C27" s="84"/>
      <c r="D27" s="84"/>
      <c r="E27" s="91"/>
      <c r="F27" s="84" t="inlineStr">
        <is>
          <t xml:space="preserve">Sim</t>
        </is>
      </c>
      <c r="G27" s="84" t="inlineStr">
        <is>
          <t xml:space="preserve">Pallets Movimentados IN</t>
        </is>
      </c>
      <c r="H27" s="84" t="inlineStr">
        <is>
          <t xml:space="preserve">Toneladas Movimentadas IN</t>
        </is>
      </c>
      <c r="I27" s="84"/>
      <c r="J27" s="84" t="inlineStr">
        <is>
          <t xml:space="preserve">Sim</t>
        </is>
      </c>
      <c r="K27" s="84" t="inlineStr">
        <is>
          <t xml:space="preserve">Pallets Movimentados OUT</t>
        </is>
      </c>
      <c r="L27" s="84" t="inlineStr">
        <is>
          <t xml:space="preserve">Toneladas Movimentadas OUT</t>
        </is>
      </c>
      <c r="M27" s="84"/>
      <c r="N27" s="84" t="inlineStr">
        <is>
          <t xml:space="preserve">Completo</t>
        </is>
      </c>
      <c r="O27" s="84" t="inlineStr">
        <is>
          <t xml:space="preserve">Pallets Movimentados IN</t>
        </is>
      </c>
      <c r="P27" s="84" t="inlineStr">
        <is>
          <t xml:space="preserve">Pallets Movimentados OUT</t>
        </is>
      </c>
      <c r="Q27" s="84" t="inlineStr">
        <is>
          <t xml:space="preserve">MOVIMENTAÇÃO PALETES/DIA</t>
        </is>
      </c>
      <c r="R27" s="84" t="inlineStr">
        <is>
          <t xml:space="preserve">ACUMULADO SEMANAL PALETES</t>
        </is>
      </c>
      <c r="S27" s="84" t="inlineStr">
        <is>
          <t xml:space="preserve">Toneladas Movimentadas IN</t>
        </is>
      </c>
      <c r="T27" s="84" t="inlineStr">
        <is>
          <t xml:space="preserve">Toneladas Movimentadas OUT</t>
        </is>
      </c>
      <c r="U27" s="84" t="inlineStr">
        <is>
          <t xml:space="preserve">MOVIMENTAÇÃO TONS/DIA</t>
        </is>
      </c>
      <c r="V27" s="84" t="inlineStr">
        <is>
          <t xml:space="preserve">ACUMULADO SEMANAL TONS</t>
        </is>
      </c>
      <c r="AL27" s="50" t="inlineStr">
        <is>
          <t xml:space="preserve">Caixas Mistas Recebidas IN</t>
        </is>
      </c>
      <c r="AM27" s="84" t="inlineStr">
        <is>
          <t xml:space="preserve">caixas mistas</t>
        </is>
      </c>
      <c r="AN27" s="85">
        <v>0</v>
      </c>
      <c r="AO27" s="86">
        <v>32</v>
      </c>
      <c r="AP27" s="86">
        <v>9</v>
      </c>
      <c r="AQ27" s="86">
        <v>0</v>
      </c>
      <c r="AR27" s="86">
        <v>0</v>
      </c>
    </row>
    <row r="28">
      <c r="A28" s="88">
        <v>19</v>
      </c>
      <c r="B28" s="90"/>
      <c r="C28" s="84"/>
      <c r="D28" s="84"/>
      <c r="E28" s="91"/>
      <c r="F28" s="84" t="inlineStr">
        <is>
          <t xml:space="preserve">Sim</t>
        </is>
      </c>
      <c r="G28" s="84" t="inlineStr">
        <is>
          <t xml:space="preserve">Pallets Movimentados IN</t>
        </is>
      </c>
      <c r="H28" s="84" t="inlineStr">
        <is>
          <t xml:space="preserve">Toneladas Movimentadas IN</t>
        </is>
      </c>
      <c r="I28" s="84"/>
      <c r="J28" s="84" t="inlineStr">
        <is>
          <t xml:space="preserve">Sim</t>
        </is>
      </c>
      <c r="K28" s="84" t="inlineStr">
        <is>
          <t xml:space="preserve">Pallets Movimentados OUT</t>
        </is>
      </c>
      <c r="L28" s="84" t="inlineStr">
        <is>
          <t xml:space="preserve">Toneladas Movimentadas OUT</t>
        </is>
      </c>
      <c r="M28" s="84"/>
      <c r="N28" s="84" t="inlineStr">
        <is>
          <t xml:space="preserve">Completo</t>
        </is>
      </c>
      <c r="O28" s="84" t="inlineStr">
        <is>
          <t xml:space="preserve">Pallets Movimentados IN</t>
        </is>
      </c>
      <c r="P28" s="84" t="inlineStr">
        <is>
          <t xml:space="preserve">Pallets Movimentados OUT</t>
        </is>
      </c>
      <c r="Q28" s="84" t="inlineStr">
        <is>
          <t xml:space="preserve">MOVIMENTAÇÃO PALETES/DIA</t>
        </is>
      </c>
      <c r="R28" s="84" t="inlineStr">
        <is>
          <t xml:space="preserve">ACUMULADO SEMANAL PALETES</t>
        </is>
      </c>
      <c r="S28" s="84" t="inlineStr">
        <is>
          <t xml:space="preserve">Toneladas Movimentadas IN</t>
        </is>
      </c>
      <c r="T28" s="84" t="inlineStr">
        <is>
          <t xml:space="preserve">Toneladas Movimentadas OUT</t>
        </is>
      </c>
      <c r="U28" s="84" t="inlineStr">
        <is>
          <t xml:space="preserve">MOVIMENTAÇÃO TONS/DIA</t>
        </is>
      </c>
      <c r="V28" s="84" t="inlineStr">
        <is>
          <t xml:space="preserve">ACUMULADO SEMANAL TONS</t>
        </is>
      </c>
      <c r="AL28" s="50" t="inlineStr">
        <is>
          <t xml:space="preserve">Caixas Mistas Recebidas IN por veículo</t>
        </is>
      </c>
      <c r="AM28" s="84" t="inlineStr">
        <is>
          <t xml:space="preserve">caixas mistas por veículo</t>
        </is>
      </c>
      <c r="AN28" s="85">
        <v>1</v>
      </c>
      <c r="AO28" s="86">
        <v>32</v>
      </c>
      <c r="AP28" s="86">
        <v>9</v>
      </c>
      <c r="AQ28" s="86">
        <v>1</v>
      </c>
      <c r="AR28" s="86">
        <v>1</v>
      </c>
    </row>
    <row r="29">
      <c r="A29" s="88">
        <v>20</v>
      </c>
      <c r="B29" s="90"/>
      <c r="C29" s="84"/>
      <c r="D29" s="84"/>
      <c r="E29" s="91"/>
      <c r="F29" s="84" t="inlineStr">
        <is>
          <t xml:space="preserve">Sim</t>
        </is>
      </c>
      <c r="G29" s="84" t="inlineStr">
        <is>
          <t xml:space="preserve">Pallets Movimentados IN</t>
        </is>
      </c>
      <c r="H29" s="84" t="inlineStr">
        <is>
          <t xml:space="preserve">Toneladas Movimentadas IN</t>
        </is>
      </c>
      <c r="I29" s="84"/>
      <c r="J29" s="84" t="inlineStr">
        <is>
          <t xml:space="preserve">Sim</t>
        </is>
      </c>
      <c r="K29" s="84" t="inlineStr">
        <is>
          <t xml:space="preserve">Pallets Movimentados OUT</t>
        </is>
      </c>
      <c r="L29" s="84" t="inlineStr">
        <is>
          <t xml:space="preserve">Toneladas Movimentadas OUT</t>
        </is>
      </c>
      <c r="M29" s="84"/>
      <c r="N29" s="84" t="inlineStr">
        <is>
          <t xml:space="preserve">Completo</t>
        </is>
      </c>
      <c r="O29" s="84" t="inlineStr">
        <is>
          <t xml:space="preserve">Pallets Movimentados IN</t>
        </is>
      </c>
      <c r="P29" s="84" t="inlineStr">
        <is>
          <t xml:space="preserve">Pallets Movimentados OUT</t>
        </is>
      </c>
      <c r="Q29" s="84" t="inlineStr">
        <is>
          <t xml:space="preserve">MOVIMENTAÇÃO PALETES/DIA</t>
        </is>
      </c>
      <c r="R29" s="84" t="inlineStr">
        <is>
          <t xml:space="preserve">ACUMULADO SEMANAL PALETES</t>
        </is>
      </c>
      <c r="S29" s="84" t="inlineStr">
        <is>
          <t xml:space="preserve">Toneladas Movimentadas IN</t>
        </is>
      </c>
      <c r="T29" s="84" t="inlineStr">
        <is>
          <t xml:space="preserve">Toneladas Movimentadas OUT</t>
        </is>
      </c>
      <c r="U29" s="84" t="inlineStr">
        <is>
          <t xml:space="preserve">MOVIMENTAÇÃO TONS/DIA</t>
        </is>
      </c>
      <c r="V29" s="84" t="inlineStr">
        <is>
          <t xml:space="preserve">ACUMULADO SEMANAL TONS</t>
        </is>
      </c>
      <c r="AL29" s="50" t="inlineStr">
        <is>
          <t xml:space="preserve">Pedidos Expedidos OUT</t>
        </is>
      </c>
      <c r="AM29" s="84" t="inlineStr">
        <is>
          <t xml:space="preserve">pedidos expedidos</t>
        </is>
      </c>
      <c r="AN29" s="85">
        <v>0</v>
      </c>
      <c r="AO29" s="86">
        <v>33</v>
      </c>
      <c r="AP29" s="86">
        <v>11</v>
      </c>
      <c r="AQ29" s="86">
        <v>0</v>
      </c>
      <c r="AR29" s="86">
        <v>0</v>
      </c>
    </row>
    <row r="30">
      <c r="AL30" s="50" t="inlineStr">
        <is>
          <t xml:space="preserve">Pedidos Expedidos OUT por veículo</t>
        </is>
      </c>
      <c r="AM30" s="84" t="inlineStr">
        <is>
          <t xml:space="preserve">pedidos expedidos por veículo</t>
        </is>
      </c>
      <c r="AN30" s="85">
        <v>1</v>
      </c>
      <c r="AO30" s="86">
        <v>33</v>
      </c>
      <c r="AP30" s="86">
        <v>11</v>
      </c>
      <c r="AQ30" s="86">
        <v>4</v>
      </c>
      <c r="AR30" s="86">
        <v>10</v>
      </c>
    </row>
    <row r="31">
      <c r="AL31" s="50" t="inlineStr">
        <is>
          <t xml:space="preserve">Pedidos Faturados OUT</t>
        </is>
      </c>
      <c r="AM31" s="84" t="inlineStr">
        <is>
          <t xml:space="preserve">pedidos faturados</t>
        </is>
      </c>
      <c r="AN31" s="85">
        <v>0</v>
      </c>
      <c r="AO31" s="86">
        <v>34</v>
      </c>
      <c r="AP31" s="86">
        <v>12</v>
      </c>
      <c r="AQ31" s="86">
        <v>0</v>
      </c>
      <c r="AR31" s="86">
        <v>0</v>
      </c>
    </row>
    <row r="32">
      <c r="AL32" s="50" t="inlineStr">
        <is>
          <t xml:space="preserve">Pedidos Faturados OUT por veículo</t>
        </is>
      </c>
      <c r="AM32" s="84" t="inlineStr">
        <is>
          <t xml:space="preserve">pedidos faturados por veículo</t>
        </is>
      </c>
      <c r="AN32" s="85">
        <v>1</v>
      </c>
      <c r="AO32" s="86">
        <v>34</v>
      </c>
      <c r="AP32" s="86">
        <v>12</v>
      </c>
      <c r="AQ32" s="86">
        <v>4</v>
      </c>
      <c r="AR32" s="86">
        <v>10</v>
      </c>
    </row>
    <row r="33" ht="22" customHeight="1">
      <c r="A33" s="87" t="inlineStr">
        <is>
          <t xml:space="preserve">2 · COLUNAS DA BD — Sim = o cliente preenche · Não = coluna bloqueada na BD (cinza) e indicador fora do Monitoramento/Consol Mensal</t>
        </is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AL33" s="50" t="inlineStr">
        <is>
          <t xml:space="preserve">Itens Expedidos OUT</t>
        </is>
      </c>
      <c r="AM33" s="84" t="inlineStr">
        <is>
          <t xml:space="preserve">itens expedidos</t>
        </is>
      </c>
      <c r="AN33" s="85">
        <v>0</v>
      </c>
      <c r="AO33" s="86">
        <v>35</v>
      </c>
      <c r="AP33" s="86">
        <v>13</v>
      </c>
      <c r="AQ33" s="86">
        <v>0</v>
      </c>
      <c r="AR33" s="86">
        <v>0</v>
      </c>
    </row>
    <row r="34" ht="44" customHeight="1">
      <c r="A34" s="16" t="inlineStr">
        <is>
          <t xml:space="preserve">Nº</t>
        </is>
      </c>
      <c r="B34" s="16" t="inlineStr">
        <is>
          <t xml:space="preserve">CLIENTE (da tabela 1)</t>
        </is>
      </c>
      <c r="C34" s="16" t="inlineStr">
        <is>
          <t xml:space="preserve">DEPÓSITO</t>
        </is>
      </c>
      <c r="D34" s="92" t="inlineStr">
        <is>
          <t xml:space="preserve">IN Veículos Recebidos</t>
        </is>
      </c>
      <c r="E34" s="92" t="inlineStr">
        <is>
          <t xml:space="preserve">IN Pallets Movimentados</t>
        </is>
      </c>
      <c r="F34" s="92" t="inlineStr">
        <is>
          <t xml:space="preserve">IN Toneladas Movimentadas</t>
        </is>
      </c>
      <c r="G34" s="92" t="inlineStr">
        <is>
          <t xml:space="preserve">IN Linhas NF</t>
        </is>
      </c>
      <c r="H34" s="92" t="inlineStr">
        <is>
          <t xml:space="preserve">IN Caixas Movimentadas</t>
        </is>
      </c>
      <c r="I34" s="92" t="inlineStr">
        <is>
          <t xml:space="preserve">IN Itens Recebidos</t>
        </is>
      </c>
      <c r="J34" s="92" t="inlineStr">
        <is>
          <t xml:space="preserve">IN Itens Recebidos CX Mista</t>
        </is>
      </c>
      <c r="K34" s="92" t="inlineStr">
        <is>
          <t xml:space="preserve">IN Caixas Fechadas</t>
        </is>
      </c>
      <c r="L34" s="92" t="inlineStr">
        <is>
          <t xml:space="preserve">IN Caixas Mistas Recebidas</t>
        </is>
      </c>
      <c r="M34" s="93" t="inlineStr">
        <is>
          <t xml:space="preserve">OUT Veículos Expedidos</t>
        </is>
      </c>
      <c r="N34" s="93" t="inlineStr">
        <is>
          <t xml:space="preserve">OUT Pedidos Expedidos</t>
        </is>
      </c>
      <c r="O34" s="93" t="inlineStr">
        <is>
          <t xml:space="preserve">OUT Pedidos Faturados</t>
        </is>
      </c>
      <c r="P34" s="93" t="inlineStr">
        <is>
          <t xml:space="preserve">OUT Itens Expedidos</t>
        </is>
      </c>
      <c r="Q34" s="93" t="inlineStr">
        <is>
          <t xml:space="preserve">OUT Linhas NF</t>
        </is>
      </c>
      <c r="R34" s="93" t="inlineStr">
        <is>
          <t xml:space="preserve">OUT Caixas Expedidas</t>
        </is>
      </c>
      <c r="S34" s="93" t="inlineStr">
        <is>
          <t xml:space="preserve">OUT Pallets Movimentados</t>
        </is>
      </c>
      <c r="T34" s="93" t="inlineStr">
        <is>
          <t xml:space="preserve">OUT Toneladas Movimentadas</t>
        </is>
      </c>
      <c r="U34" s="94" t="inlineStr">
        <is>
          <t xml:space="preserve">NC Incidentes</t>
        </is>
      </c>
      <c r="V34" s="94" t="inlineStr">
        <is>
          <t xml:space="preserve">NC No show</t>
        </is>
      </c>
      <c r="W34" s="94" t="inlineStr">
        <is>
          <t xml:space="preserve">NC Backlog Intralog</t>
        </is>
      </c>
      <c r="X34" s="94" t="inlineStr">
        <is>
          <t xml:space="preserve">NC Backlog Cliente</t>
        </is>
      </c>
      <c r="Y34" s="92" t="inlineStr">
        <is>
          <t xml:space="preserve">Posições Disponíveis</t>
        </is>
      </c>
      <c r="Z34" s="92" t="inlineStr">
        <is>
          <t xml:space="preserve">Posições Ocupadas</t>
        </is>
      </c>
      <c r="AA34" s="95" t="inlineStr">
        <is>
          <t xml:space="preserve">Efetivo Op.</t>
        </is>
      </c>
      <c r="AB34" s="95" t="inlineStr">
        <is>
          <t xml:space="preserve">Falta</t>
        </is>
      </c>
      <c r="AC34" s="95" t="inlineStr">
        <is>
          <t xml:space="preserve">Absenteísmo (H/H)</t>
        </is>
      </c>
      <c r="AD34" s="95" t="inlineStr">
        <is>
          <t xml:space="preserve">Folga</t>
        </is>
      </c>
      <c r="AE34" s="95" t="inlineStr">
        <is>
          <t xml:space="preserve">Férias</t>
        </is>
      </c>
      <c r="AF34" s="95" t="inlineStr">
        <is>
          <t xml:space="preserve">Desligamento</t>
        </is>
      </c>
      <c r="AG34" s="95" t="inlineStr">
        <is>
          <t xml:space="preserve">Desvios Comportamentais</t>
        </is>
      </c>
      <c r="AH34" s="95" t="inlineStr">
        <is>
          <t xml:space="preserve">Acidentes CAF</t>
        </is>
      </c>
      <c r="AI34" s="95" t="inlineStr">
        <is>
          <t xml:space="preserve">Acidentes SAF</t>
        </is>
      </c>
      <c r="AL34" s="50" t="inlineStr">
        <is>
          <t xml:space="preserve">Itens Expedidos OUT por veículo</t>
        </is>
      </c>
      <c r="AM34" s="84" t="inlineStr">
        <is>
          <t xml:space="preserve">itens expedidos por veículo</t>
        </is>
      </c>
      <c r="AN34" s="85">
        <v>1</v>
      </c>
      <c r="AO34" s="86">
        <v>35</v>
      </c>
      <c r="AP34" s="86">
        <v>13</v>
      </c>
      <c r="AQ34" s="86">
        <v>4</v>
      </c>
      <c r="AR34" s="86">
        <v>10</v>
      </c>
    </row>
    <row r="35">
      <c r="A35" s="88">
        <v>1</v>
      </c>
      <c r="B35" s="89" t="str">
        <f>Config!$B$10&amp;""</f>
        <v>Alpargatas</v>
      </c>
      <c r="C35" s="89" t="str">
        <f>IF(Config!$B$10&amp;""="","",IF(Config!$C$10="","TPC",Config!$C$10))</f>
        <v>TPC</v>
      </c>
      <c r="D35" s="85" t="inlineStr">
        <is>
          <t xml:space="preserve">Sim</t>
        </is>
      </c>
      <c r="E35" s="85" t="inlineStr">
        <is>
          <t xml:space="preserve">Não</t>
        </is>
      </c>
      <c r="F35" s="85" t="inlineStr">
        <is>
          <t xml:space="preserve">Não</t>
        </is>
      </c>
      <c r="G35" s="85" t="inlineStr">
        <is>
          <t xml:space="preserve">Não</t>
        </is>
      </c>
      <c r="H35" s="85" t="inlineStr">
        <is>
          <t xml:space="preserve">Sim</t>
        </is>
      </c>
      <c r="I35" s="85" t="inlineStr">
        <is>
          <t xml:space="preserve">Não</t>
        </is>
      </c>
      <c r="J35" s="85" t="inlineStr">
        <is>
          <t xml:space="preserve">Não</t>
        </is>
      </c>
      <c r="K35" s="85" t="inlineStr">
        <is>
          <t xml:space="preserve">Não</t>
        </is>
      </c>
      <c r="L35" s="85" t="inlineStr">
        <is>
          <t xml:space="preserve">Não</t>
        </is>
      </c>
      <c r="M35" s="85" t="inlineStr">
        <is>
          <t xml:space="preserve">Sim</t>
        </is>
      </c>
      <c r="N35" s="85" t="inlineStr">
        <is>
          <t xml:space="preserve">Não</t>
        </is>
      </c>
      <c r="O35" s="85" t="inlineStr">
        <is>
          <t xml:space="preserve">Não</t>
        </is>
      </c>
      <c r="P35" s="85" t="inlineStr">
        <is>
          <t xml:space="preserve">Não</t>
        </is>
      </c>
      <c r="Q35" s="85" t="inlineStr">
        <is>
          <t xml:space="preserve">Não</t>
        </is>
      </c>
      <c r="R35" s="85" t="inlineStr">
        <is>
          <t xml:space="preserve">Sim</t>
        </is>
      </c>
      <c r="S35" s="85" t="inlineStr">
        <is>
          <t xml:space="preserve">Não</t>
        </is>
      </c>
      <c r="T35" s="85" t="inlineStr">
        <is>
          <t xml:space="preserve">Não</t>
        </is>
      </c>
      <c r="U35" s="85" t="inlineStr">
        <is>
          <t xml:space="preserve">Sim</t>
        </is>
      </c>
      <c r="V35" s="85" t="inlineStr">
        <is>
          <t xml:space="preserve">Sim</t>
        </is>
      </c>
      <c r="W35" s="85" t="inlineStr">
        <is>
          <t xml:space="preserve">Sim</t>
        </is>
      </c>
      <c r="X35" s="85" t="inlineStr">
        <is>
          <t xml:space="preserve">Sim</t>
        </is>
      </c>
      <c r="Y35" s="85" t="inlineStr">
        <is>
          <t xml:space="preserve">Sim</t>
        </is>
      </c>
      <c r="Z35" s="85" t="inlineStr">
        <is>
          <t xml:space="preserve">Sim</t>
        </is>
      </c>
      <c r="AA35" s="85" t="inlineStr">
        <is>
          <t xml:space="preserve">Sim</t>
        </is>
      </c>
      <c r="AB35" s="85" t="inlineStr">
        <is>
          <t xml:space="preserve">Sim</t>
        </is>
      </c>
      <c r="AC35" s="85" t="inlineStr">
        <is>
          <t xml:space="preserve">Sim</t>
        </is>
      </c>
      <c r="AD35" s="85" t="inlineStr">
        <is>
          <t xml:space="preserve">Sim</t>
        </is>
      </c>
      <c r="AE35" s="85" t="inlineStr">
        <is>
          <t xml:space="preserve">Sim</t>
        </is>
      </c>
      <c r="AF35" s="85" t="inlineStr">
        <is>
          <t xml:space="preserve">Sim</t>
        </is>
      </c>
      <c r="AG35" s="85" t="inlineStr">
        <is>
          <t xml:space="preserve">Sim</t>
        </is>
      </c>
      <c r="AH35" s="85" t="inlineStr">
        <is>
          <t xml:space="preserve">Sim</t>
        </is>
      </c>
      <c r="AI35" s="85" t="inlineStr">
        <is>
          <t xml:space="preserve">Sim</t>
        </is>
      </c>
      <c r="AL35" s="50" t="inlineStr">
        <is>
          <t xml:space="preserve">Linhas NF OUT</t>
        </is>
      </c>
      <c r="AM35" s="84" t="inlineStr">
        <is>
          <t xml:space="preserve">linhas NF</t>
        </is>
      </c>
      <c r="AN35" s="85">
        <v>0</v>
      </c>
      <c r="AO35" s="86">
        <v>36</v>
      </c>
      <c r="AP35" s="86">
        <v>14</v>
      </c>
      <c r="AQ35" s="86">
        <v>0</v>
      </c>
      <c r="AR35" s="86">
        <v>0</v>
      </c>
    </row>
    <row r="36">
      <c r="A36" s="88">
        <v>2</v>
      </c>
      <c r="B36" s="89" t="str">
        <f>Config!$B$11&amp;""</f>
        <v>Basf</v>
      </c>
      <c r="C36" s="89" t="str">
        <f>IF(Config!$B$11&amp;""="","",IF(Config!$C$11="","TPC",Config!$C$11))</f>
        <v>TPC</v>
      </c>
      <c r="D36" s="85" t="inlineStr">
        <is>
          <t xml:space="preserve">Sim</t>
        </is>
      </c>
      <c r="E36" s="85" t="inlineStr">
        <is>
          <t xml:space="preserve">Sim</t>
        </is>
      </c>
      <c r="F36" s="85" t="inlineStr">
        <is>
          <t xml:space="preserve">Sim</t>
        </is>
      </c>
      <c r="G36" s="85" t="inlineStr">
        <is>
          <t xml:space="preserve">Não</t>
        </is>
      </c>
      <c r="H36" s="85" t="inlineStr">
        <is>
          <t xml:space="preserve">Não</t>
        </is>
      </c>
      <c r="I36" s="85" t="inlineStr">
        <is>
          <t xml:space="preserve">Não</t>
        </is>
      </c>
      <c r="J36" s="85" t="inlineStr">
        <is>
          <t xml:space="preserve">Não</t>
        </is>
      </c>
      <c r="K36" s="85" t="inlineStr">
        <is>
          <t xml:space="preserve">Não</t>
        </is>
      </c>
      <c r="L36" s="85" t="inlineStr">
        <is>
          <t xml:space="preserve">Não</t>
        </is>
      </c>
      <c r="M36" s="85" t="inlineStr">
        <is>
          <t xml:space="preserve">Sim</t>
        </is>
      </c>
      <c r="N36" s="85" t="inlineStr">
        <is>
          <t xml:space="preserve">Não</t>
        </is>
      </c>
      <c r="O36" s="85" t="inlineStr">
        <is>
          <t xml:space="preserve">Não</t>
        </is>
      </c>
      <c r="P36" s="85" t="inlineStr">
        <is>
          <t xml:space="preserve">Não</t>
        </is>
      </c>
      <c r="Q36" s="85" t="inlineStr">
        <is>
          <t xml:space="preserve">Não</t>
        </is>
      </c>
      <c r="R36" s="85" t="inlineStr">
        <is>
          <t xml:space="preserve">Não</t>
        </is>
      </c>
      <c r="S36" s="85" t="inlineStr">
        <is>
          <t xml:space="preserve">Sim</t>
        </is>
      </c>
      <c r="T36" s="85" t="inlineStr">
        <is>
          <t xml:space="preserve">Sim</t>
        </is>
      </c>
      <c r="U36" s="85" t="inlineStr">
        <is>
          <t xml:space="preserve">Sim</t>
        </is>
      </c>
      <c r="V36" s="85" t="inlineStr">
        <is>
          <t xml:space="preserve">Sim</t>
        </is>
      </c>
      <c r="W36" s="85" t="inlineStr">
        <is>
          <t xml:space="preserve">Sim</t>
        </is>
      </c>
      <c r="X36" s="85" t="inlineStr">
        <is>
          <t xml:space="preserve">Sim</t>
        </is>
      </c>
      <c r="Y36" s="85" t="inlineStr">
        <is>
          <t xml:space="preserve">Sim</t>
        </is>
      </c>
      <c r="Z36" s="85" t="inlineStr">
        <is>
          <t xml:space="preserve">Sim</t>
        </is>
      </c>
      <c r="AA36" s="85" t="inlineStr">
        <is>
          <t xml:space="preserve">Sim</t>
        </is>
      </c>
      <c r="AB36" s="85" t="inlineStr">
        <is>
          <t xml:space="preserve">Sim</t>
        </is>
      </c>
      <c r="AC36" s="85" t="inlineStr">
        <is>
          <t xml:space="preserve">Sim</t>
        </is>
      </c>
      <c r="AD36" s="85" t="inlineStr">
        <is>
          <t xml:space="preserve">Sim</t>
        </is>
      </c>
      <c r="AE36" s="85" t="inlineStr">
        <is>
          <t xml:space="preserve">Sim</t>
        </is>
      </c>
      <c r="AF36" s="85" t="inlineStr">
        <is>
          <t xml:space="preserve">Sim</t>
        </is>
      </c>
      <c r="AG36" s="85" t="inlineStr">
        <is>
          <t xml:space="preserve">Sim</t>
        </is>
      </c>
      <c r="AH36" s="85" t="inlineStr">
        <is>
          <t xml:space="preserve">Sim</t>
        </is>
      </c>
      <c r="AI36" s="85" t="inlineStr">
        <is>
          <t xml:space="preserve">Sim</t>
        </is>
      </c>
      <c r="AL36" s="50" t="inlineStr">
        <is>
          <t xml:space="preserve">Linhas NF OUT por veículo</t>
        </is>
      </c>
      <c r="AM36" s="84" t="inlineStr">
        <is>
          <t xml:space="preserve">linhas NF por veículo</t>
        </is>
      </c>
      <c r="AN36" s="85">
        <v>1</v>
      </c>
      <c r="AO36" s="86">
        <v>36</v>
      </c>
      <c r="AP36" s="86">
        <v>14</v>
      </c>
      <c r="AQ36" s="86">
        <v>4</v>
      </c>
      <c r="AR36" s="86">
        <v>10</v>
      </c>
    </row>
    <row r="37">
      <c r="A37" s="88">
        <v>3</v>
      </c>
      <c r="B37" s="89" t="str">
        <f>Config!$B$12&amp;""</f>
        <v>Beautybiz</v>
      </c>
      <c r="C37" s="89" t="str">
        <f>IF(Config!$B$12&amp;""="","",IF(Config!$C$12="","TPC",Config!$C$12))</f>
        <v>TPC</v>
      </c>
      <c r="D37" s="85" t="inlineStr">
        <is>
          <t xml:space="preserve">Sim</t>
        </is>
      </c>
      <c r="E37" s="85" t="inlineStr">
        <is>
          <t xml:space="preserve">Sim</t>
        </is>
      </c>
      <c r="F37" s="85" t="inlineStr">
        <is>
          <t xml:space="preserve">Não</t>
        </is>
      </c>
      <c r="G37" s="85" t="inlineStr">
        <is>
          <t xml:space="preserve">Não</t>
        </is>
      </c>
      <c r="H37" s="85" t="inlineStr">
        <is>
          <t xml:space="preserve">Sim</t>
        </is>
      </c>
      <c r="I37" s="85" t="inlineStr">
        <is>
          <t xml:space="preserve">Não</t>
        </is>
      </c>
      <c r="J37" s="85" t="inlineStr">
        <is>
          <t xml:space="preserve">Não</t>
        </is>
      </c>
      <c r="K37" s="85" t="inlineStr">
        <is>
          <t xml:space="preserve">Não</t>
        </is>
      </c>
      <c r="L37" s="85" t="inlineStr">
        <is>
          <t xml:space="preserve">Não</t>
        </is>
      </c>
      <c r="M37" s="85" t="inlineStr">
        <is>
          <t xml:space="preserve">Sim</t>
        </is>
      </c>
      <c r="N37" s="85" t="inlineStr">
        <is>
          <t xml:space="preserve">Sim</t>
        </is>
      </c>
      <c r="O37" s="85" t="inlineStr">
        <is>
          <t xml:space="preserve">Não</t>
        </is>
      </c>
      <c r="P37" s="85" t="inlineStr">
        <is>
          <t xml:space="preserve">Não</t>
        </is>
      </c>
      <c r="Q37" s="85" t="inlineStr">
        <is>
          <t xml:space="preserve">Não</t>
        </is>
      </c>
      <c r="R37" s="85" t="inlineStr">
        <is>
          <t xml:space="preserve">Não</t>
        </is>
      </c>
      <c r="S37" s="85" t="inlineStr">
        <is>
          <t xml:space="preserve">Sim</t>
        </is>
      </c>
      <c r="T37" s="85" t="inlineStr">
        <is>
          <t xml:space="preserve">Não</t>
        </is>
      </c>
      <c r="U37" s="85" t="inlineStr">
        <is>
          <t xml:space="preserve">Sim</t>
        </is>
      </c>
      <c r="V37" s="85" t="inlineStr">
        <is>
          <t xml:space="preserve">Sim</t>
        </is>
      </c>
      <c r="W37" s="85" t="inlineStr">
        <is>
          <t xml:space="preserve">Sim</t>
        </is>
      </c>
      <c r="X37" s="85" t="inlineStr">
        <is>
          <t xml:space="preserve">Sim</t>
        </is>
      </c>
      <c r="Y37" s="85" t="inlineStr">
        <is>
          <t xml:space="preserve">Sim</t>
        </is>
      </c>
      <c r="Z37" s="85" t="inlineStr">
        <is>
          <t xml:space="preserve">Sim</t>
        </is>
      </c>
      <c r="AA37" s="85" t="inlineStr">
        <is>
          <t xml:space="preserve">Sim</t>
        </is>
      </c>
      <c r="AB37" s="85" t="inlineStr">
        <is>
          <t xml:space="preserve">Sim</t>
        </is>
      </c>
      <c r="AC37" s="85" t="inlineStr">
        <is>
          <t xml:space="preserve">Sim</t>
        </is>
      </c>
      <c r="AD37" s="85" t="inlineStr">
        <is>
          <t xml:space="preserve">Sim</t>
        </is>
      </c>
      <c r="AE37" s="85" t="inlineStr">
        <is>
          <t xml:space="preserve">Sim</t>
        </is>
      </c>
      <c r="AF37" s="85" t="inlineStr">
        <is>
          <t xml:space="preserve">Sim</t>
        </is>
      </c>
      <c r="AG37" s="85" t="inlineStr">
        <is>
          <t xml:space="preserve">Sim</t>
        </is>
      </c>
      <c r="AH37" s="85" t="inlineStr">
        <is>
          <t xml:space="preserve">Sim</t>
        </is>
      </c>
      <c r="AI37" s="85" t="inlineStr">
        <is>
          <t xml:space="preserve">Sim</t>
        </is>
      </c>
      <c r="AL37" s="50" t="inlineStr">
        <is>
          <t xml:space="preserve">Caixas Expedidas OUT</t>
        </is>
      </c>
      <c r="AM37" s="84" t="inlineStr">
        <is>
          <t xml:space="preserve">caixas expedidas</t>
        </is>
      </c>
      <c r="AN37" s="85">
        <v>0</v>
      </c>
      <c r="AO37" s="86">
        <v>37</v>
      </c>
      <c r="AP37" s="86">
        <v>15</v>
      </c>
      <c r="AQ37" s="86">
        <v>0</v>
      </c>
      <c r="AR37" s="86">
        <v>0</v>
      </c>
    </row>
    <row r="38">
      <c r="A38" s="88">
        <v>4</v>
      </c>
      <c r="B38" s="89" t="str">
        <f>Config!$B$13&amp;""</f>
        <v>Boticário</v>
      </c>
      <c r="C38" s="89" t="str">
        <f>IF(Config!$B$13&amp;""="","",IF(Config!$C$13="","TPC",Config!$C$13))</f>
        <v>TPC</v>
      </c>
      <c r="D38" s="85" t="inlineStr">
        <is>
          <t xml:space="preserve">Sim</t>
        </is>
      </c>
      <c r="E38" s="85" t="inlineStr">
        <is>
          <t xml:space="preserve">Sim</t>
        </is>
      </c>
      <c r="F38" s="85" t="inlineStr">
        <is>
          <t xml:space="preserve">Não</t>
        </is>
      </c>
      <c r="G38" s="85" t="inlineStr">
        <is>
          <t xml:space="preserve">Não</t>
        </is>
      </c>
      <c r="H38" s="85" t="inlineStr">
        <is>
          <t xml:space="preserve">Sim</t>
        </is>
      </c>
      <c r="I38" s="85" t="inlineStr">
        <is>
          <t xml:space="preserve">Não</t>
        </is>
      </c>
      <c r="J38" s="85" t="inlineStr">
        <is>
          <t xml:space="preserve">Sim</t>
        </is>
      </c>
      <c r="K38" s="85" t="inlineStr">
        <is>
          <t xml:space="preserve">Sim</t>
        </is>
      </c>
      <c r="L38" s="85" t="inlineStr">
        <is>
          <t xml:space="preserve">Sim</t>
        </is>
      </c>
      <c r="M38" s="85" t="inlineStr">
        <is>
          <t xml:space="preserve">Sim</t>
        </is>
      </c>
      <c r="N38" s="85" t="inlineStr">
        <is>
          <t xml:space="preserve">Não</t>
        </is>
      </c>
      <c r="O38" s="85" t="inlineStr">
        <is>
          <t xml:space="preserve">Sim</t>
        </is>
      </c>
      <c r="P38" s="85" t="inlineStr">
        <is>
          <t xml:space="preserve">Sim</t>
        </is>
      </c>
      <c r="Q38" s="85" t="inlineStr">
        <is>
          <t xml:space="preserve">Não</t>
        </is>
      </c>
      <c r="R38" s="85" t="inlineStr">
        <is>
          <t xml:space="preserve">Sim</t>
        </is>
      </c>
      <c r="S38" s="85" t="inlineStr">
        <is>
          <t xml:space="preserve">Sim</t>
        </is>
      </c>
      <c r="T38" s="85" t="inlineStr">
        <is>
          <t xml:space="preserve">Não</t>
        </is>
      </c>
      <c r="U38" s="85" t="inlineStr">
        <is>
          <t xml:space="preserve">Sim</t>
        </is>
      </c>
      <c r="V38" s="85" t="inlineStr">
        <is>
          <t xml:space="preserve">Sim</t>
        </is>
      </c>
      <c r="W38" s="85" t="inlineStr">
        <is>
          <t xml:space="preserve">Sim</t>
        </is>
      </c>
      <c r="X38" s="85" t="inlineStr">
        <is>
          <t xml:space="preserve">Sim</t>
        </is>
      </c>
      <c r="Y38" s="85" t="inlineStr">
        <is>
          <t xml:space="preserve">Sim</t>
        </is>
      </c>
      <c r="Z38" s="85" t="inlineStr">
        <is>
          <t xml:space="preserve">Sim</t>
        </is>
      </c>
      <c r="AA38" s="85" t="inlineStr">
        <is>
          <t xml:space="preserve">Sim</t>
        </is>
      </c>
      <c r="AB38" s="85" t="inlineStr">
        <is>
          <t xml:space="preserve">Sim</t>
        </is>
      </c>
      <c r="AC38" s="85" t="inlineStr">
        <is>
          <t xml:space="preserve">Sim</t>
        </is>
      </c>
      <c r="AD38" s="85" t="inlineStr">
        <is>
          <t xml:space="preserve">Sim</t>
        </is>
      </c>
      <c r="AE38" s="85" t="inlineStr">
        <is>
          <t xml:space="preserve">Sim</t>
        </is>
      </c>
      <c r="AF38" s="85" t="inlineStr">
        <is>
          <t xml:space="preserve">Sim</t>
        </is>
      </c>
      <c r="AG38" s="85" t="inlineStr">
        <is>
          <t xml:space="preserve">Sim</t>
        </is>
      </c>
      <c r="AH38" s="85" t="inlineStr">
        <is>
          <t xml:space="preserve">Sim</t>
        </is>
      </c>
      <c r="AI38" s="85" t="inlineStr">
        <is>
          <t xml:space="preserve">Sim</t>
        </is>
      </c>
      <c r="AL38" s="50" t="inlineStr">
        <is>
          <t xml:space="preserve">Caixas Expedidas OUT por veículo</t>
        </is>
      </c>
      <c r="AM38" s="84" t="inlineStr">
        <is>
          <t xml:space="preserve">caixas expedidas por veículo</t>
        </is>
      </c>
      <c r="AN38" s="85">
        <v>1</v>
      </c>
      <c r="AO38" s="86">
        <v>37</v>
      </c>
      <c r="AP38" s="86">
        <v>15</v>
      </c>
      <c r="AQ38" s="86">
        <v>4</v>
      </c>
      <c r="AR38" s="86">
        <v>10</v>
      </c>
    </row>
    <row r="39">
      <c r="A39" s="88">
        <v>5</v>
      </c>
      <c r="B39" s="89" t="str">
        <f>Config!$B$14&amp;""</f>
        <v>Confiance</v>
      </c>
      <c r="C39" s="89" t="str">
        <f>IF(Config!$B$14&amp;""="","",IF(Config!$C$14="","TPC",Config!$C$14))</f>
        <v>TPC</v>
      </c>
      <c r="D39" s="85" t="inlineStr">
        <is>
          <t xml:space="preserve">Sim</t>
        </is>
      </c>
      <c r="E39" s="85" t="inlineStr">
        <is>
          <t xml:space="preserve">Sim</t>
        </is>
      </c>
      <c r="F39" s="85" t="inlineStr">
        <is>
          <t xml:space="preserve">Sim</t>
        </is>
      </c>
      <c r="G39" s="85" t="inlineStr">
        <is>
          <t xml:space="preserve">Não</t>
        </is>
      </c>
      <c r="H39" s="85" t="inlineStr">
        <is>
          <t xml:space="preserve">Não</t>
        </is>
      </c>
      <c r="I39" s="85" t="inlineStr">
        <is>
          <t xml:space="preserve">Não</t>
        </is>
      </c>
      <c r="J39" s="85" t="inlineStr">
        <is>
          <t xml:space="preserve">Não</t>
        </is>
      </c>
      <c r="K39" s="85" t="inlineStr">
        <is>
          <t xml:space="preserve">Não</t>
        </is>
      </c>
      <c r="L39" s="85" t="inlineStr">
        <is>
          <t xml:space="preserve">Não</t>
        </is>
      </c>
      <c r="M39" s="85" t="inlineStr">
        <is>
          <t xml:space="preserve">Sim</t>
        </is>
      </c>
      <c r="N39" s="85" t="inlineStr">
        <is>
          <t xml:space="preserve">Não</t>
        </is>
      </c>
      <c r="O39" s="85" t="inlineStr">
        <is>
          <t xml:space="preserve">Não</t>
        </is>
      </c>
      <c r="P39" s="85" t="inlineStr">
        <is>
          <t xml:space="preserve">Não</t>
        </is>
      </c>
      <c r="Q39" s="85" t="inlineStr">
        <is>
          <t xml:space="preserve">Não</t>
        </is>
      </c>
      <c r="R39" s="85" t="inlineStr">
        <is>
          <t xml:space="preserve">Não</t>
        </is>
      </c>
      <c r="S39" s="85" t="inlineStr">
        <is>
          <t xml:space="preserve">Sim</t>
        </is>
      </c>
      <c r="T39" s="85" t="inlineStr">
        <is>
          <t xml:space="preserve">Sim</t>
        </is>
      </c>
      <c r="U39" s="85" t="inlineStr">
        <is>
          <t xml:space="preserve">Sim</t>
        </is>
      </c>
      <c r="V39" s="85" t="inlineStr">
        <is>
          <t xml:space="preserve">Sim</t>
        </is>
      </c>
      <c r="W39" s="85" t="inlineStr">
        <is>
          <t xml:space="preserve">Sim</t>
        </is>
      </c>
      <c r="X39" s="85" t="inlineStr">
        <is>
          <t xml:space="preserve">Sim</t>
        </is>
      </c>
      <c r="Y39" s="85" t="inlineStr">
        <is>
          <t xml:space="preserve">Sim</t>
        </is>
      </c>
      <c r="Z39" s="85" t="inlineStr">
        <is>
          <t xml:space="preserve">Sim</t>
        </is>
      </c>
      <c r="AA39" s="85" t="inlineStr">
        <is>
          <t xml:space="preserve">Sim</t>
        </is>
      </c>
      <c r="AB39" s="85" t="inlineStr">
        <is>
          <t xml:space="preserve">Sim</t>
        </is>
      </c>
      <c r="AC39" s="85" t="inlineStr">
        <is>
          <t xml:space="preserve">Sim</t>
        </is>
      </c>
      <c r="AD39" s="85" t="inlineStr">
        <is>
          <t xml:space="preserve">Sim</t>
        </is>
      </c>
      <c r="AE39" s="85" t="inlineStr">
        <is>
          <t xml:space="preserve">Sim</t>
        </is>
      </c>
      <c r="AF39" s="85" t="inlineStr">
        <is>
          <t xml:space="preserve">Sim</t>
        </is>
      </c>
      <c r="AG39" s="85" t="inlineStr">
        <is>
          <t xml:space="preserve">Sim</t>
        </is>
      </c>
      <c r="AH39" s="85" t="inlineStr">
        <is>
          <t xml:space="preserve">Sim</t>
        </is>
      </c>
      <c r="AI39" s="85" t="inlineStr">
        <is>
          <t xml:space="preserve">Sim</t>
        </is>
      </c>
    </row>
    <row r="40">
      <c r="A40" s="88">
        <v>6</v>
      </c>
      <c r="B40" s="89" t="str">
        <f>Config!$B$15&amp;""</f>
        <v>GE Vernova</v>
      </c>
      <c r="C40" s="89" t="str">
        <f>IF(Config!$B$15&amp;""="","",IF(Config!$C$15="","TPC",Config!$C$15))</f>
        <v>TPC</v>
      </c>
      <c r="D40" s="85" t="inlineStr">
        <is>
          <t xml:space="preserve">Sim</t>
        </is>
      </c>
      <c r="E40" s="85" t="inlineStr">
        <is>
          <t xml:space="preserve">Sim</t>
        </is>
      </c>
      <c r="F40" s="85" t="inlineStr">
        <is>
          <t xml:space="preserve">Não</t>
        </is>
      </c>
      <c r="G40" s="85" t="inlineStr">
        <is>
          <t xml:space="preserve">Sim</t>
        </is>
      </c>
      <c r="H40" s="85" t="inlineStr">
        <is>
          <t xml:space="preserve">Não</t>
        </is>
      </c>
      <c r="I40" s="85" t="inlineStr">
        <is>
          <t xml:space="preserve">Não</t>
        </is>
      </c>
      <c r="J40" s="85" t="inlineStr">
        <is>
          <t xml:space="preserve">Não</t>
        </is>
      </c>
      <c r="K40" s="85" t="inlineStr">
        <is>
          <t xml:space="preserve">Não</t>
        </is>
      </c>
      <c r="L40" s="85" t="inlineStr">
        <is>
          <t xml:space="preserve">Não</t>
        </is>
      </c>
      <c r="M40" s="85" t="inlineStr">
        <is>
          <t xml:space="preserve">Sim</t>
        </is>
      </c>
      <c r="N40" s="85" t="inlineStr">
        <is>
          <t xml:space="preserve">Não</t>
        </is>
      </c>
      <c r="O40" s="85" t="inlineStr">
        <is>
          <t xml:space="preserve">Não</t>
        </is>
      </c>
      <c r="P40" s="85" t="inlineStr">
        <is>
          <t xml:space="preserve">Não</t>
        </is>
      </c>
      <c r="Q40" s="85" t="inlineStr">
        <is>
          <t xml:space="preserve">Sim</t>
        </is>
      </c>
      <c r="R40" s="85" t="inlineStr">
        <is>
          <t xml:space="preserve">Não</t>
        </is>
      </c>
      <c r="S40" s="85" t="inlineStr">
        <is>
          <t xml:space="preserve">Sim</t>
        </is>
      </c>
      <c r="T40" s="85" t="inlineStr">
        <is>
          <t xml:space="preserve">Não</t>
        </is>
      </c>
      <c r="U40" s="85" t="inlineStr">
        <is>
          <t xml:space="preserve">Sim</t>
        </is>
      </c>
      <c r="V40" s="85" t="inlineStr">
        <is>
          <t xml:space="preserve">Sim</t>
        </is>
      </c>
      <c r="W40" s="85" t="inlineStr">
        <is>
          <t xml:space="preserve">Sim</t>
        </is>
      </c>
      <c r="X40" s="85" t="inlineStr">
        <is>
          <t xml:space="preserve">Sim</t>
        </is>
      </c>
      <c r="Y40" s="85" t="inlineStr">
        <is>
          <t xml:space="preserve">Sim</t>
        </is>
      </c>
      <c r="Z40" s="85" t="inlineStr">
        <is>
          <t xml:space="preserve">Sim</t>
        </is>
      </c>
      <c r="AA40" s="85" t="inlineStr">
        <is>
          <t xml:space="preserve">Sim</t>
        </is>
      </c>
      <c r="AB40" s="85" t="inlineStr">
        <is>
          <t xml:space="preserve">Sim</t>
        </is>
      </c>
      <c r="AC40" s="85" t="inlineStr">
        <is>
          <t xml:space="preserve">Sim</t>
        </is>
      </c>
      <c r="AD40" s="85" t="inlineStr">
        <is>
          <t xml:space="preserve">Sim</t>
        </is>
      </c>
      <c r="AE40" s="85" t="inlineStr">
        <is>
          <t xml:space="preserve">Sim</t>
        </is>
      </c>
      <c r="AF40" s="85" t="inlineStr">
        <is>
          <t xml:space="preserve">Sim</t>
        </is>
      </c>
      <c r="AG40" s="85" t="inlineStr">
        <is>
          <t xml:space="preserve">Sim</t>
        </is>
      </c>
      <c r="AH40" s="85" t="inlineStr">
        <is>
          <t xml:space="preserve">Sim</t>
        </is>
      </c>
      <c r="AI40" s="85" t="inlineStr">
        <is>
          <t xml:space="preserve">Sim</t>
        </is>
      </c>
    </row>
    <row r="41">
      <c r="A41" s="88">
        <v>7</v>
      </c>
      <c r="B41" s="89" t="str">
        <f>Config!$B$16&amp;""</f>
        <v>Omnilife</v>
      </c>
      <c r="C41" s="89" t="str">
        <f>IF(Config!$B$16&amp;""="","",IF(Config!$C$16="","TPC",Config!$C$16))</f>
        <v>TPC</v>
      </c>
      <c r="D41" s="85" t="inlineStr">
        <is>
          <t xml:space="preserve">Sim</t>
        </is>
      </c>
      <c r="E41" s="85" t="inlineStr">
        <is>
          <t xml:space="preserve">Sim</t>
        </is>
      </c>
      <c r="F41" s="85" t="inlineStr">
        <is>
          <t xml:space="preserve">Não</t>
        </is>
      </c>
      <c r="G41" s="85" t="inlineStr">
        <is>
          <t xml:space="preserve">Não</t>
        </is>
      </c>
      <c r="H41" s="85" t="inlineStr">
        <is>
          <t xml:space="preserve">Não</t>
        </is>
      </c>
      <c r="I41" s="85" t="inlineStr">
        <is>
          <t xml:space="preserve">Não</t>
        </is>
      </c>
      <c r="J41" s="85" t="inlineStr">
        <is>
          <t xml:space="preserve">Não</t>
        </is>
      </c>
      <c r="K41" s="85" t="inlineStr">
        <is>
          <t xml:space="preserve">Não</t>
        </is>
      </c>
      <c r="L41" s="85" t="inlineStr">
        <is>
          <t xml:space="preserve">Não</t>
        </is>
      </c>
      <c r="M41" s="85" t="inlineStr">
        <is>
          <t xml:space="preserve">Sim</t>
        </is>
      </c>
      <c r="N41" s="85" t="inlineStr">
        <is>
          <t xml:space="preserve">Não</t>
        </is>
      </c>
      <c r="O41" s="85" t="inlineStr">
        <is>
          <t xml:space="preserve">Não</t>
        </is>
      </c>
      <c r="P41" s="85" t="inlineStr">
        <is>
          <t xml:space="preserve">Não</t>
        </is>
      </c>
      <c r="Q41" s="85" t="inlineStr">
        <is>
          <t xml:space="preserve">Não</t>
        </is>
      </c>
      <c r="R41" s="85" t="inlineStr">
        <is>
          <t xml:space="preserve">Não</t>
        </is>
      </c>
      <c r="S41" s="85" t="inlineStr">
        <is>
          <t xml:space="preserve">Sim</t>
        </is>
      </c>
      <c r="T41" s="85" t="inlineStr">
        <is>
          <t xml:space="preserve">Não</t>
        </is>
      </c>
      <c r="U41" s="85" t="inlineStr">
        <is>
          <t xml:space="preserve">Sim</t>
        </is>
      </c>
      <c r="V41" s="85" t="inlineStr">
        <is>
          <t xml:space="preserve">Sim</t>
        </is>
      </c>
      <c r="W41" s="85" t="inlineStr">
        <is>
          <t xml:space="preserve">Sim</t>
        </is>
      </c>
      <c r="X41" s="85" t="inlineStr">
        <is>
          <t xml:space="preserve">Sim</t>
        </is>
      </c>
      <c r="Y41" s="85" t="inlineStr">
        <is>
          <t xml:space="preserve">Sim</t>
        </is>
      </c>
      <c r="Z41" s="85" t="inlineStr">
        <is>
          <t xml:space="preserve">Sim</t>
        </is>
      </c>
      <c r="AA41" s="85" t="inlineStr">
        <is>
          <t xml:space="preserve">Sim</t>
        </is>
      </c>
      <c r="AB41" s="85" t="inlineStr">
        <is>
          <t xml:space="preserve">Sim</t>
        </is>
      </c>
      <c r="AC41" s="85" t="inlineStr">
        <is>
          <t xml:space="preserve">Sim</t>
        </is>
      </c>
      <c r="AD41" s="85" t="inlineStr">
        <is>
          <t xml:space="preserve">Sim</t>
        </is>
      </c>
      <c r="AE41" s="85" t="inlineStr">
        <is>
          <t xml:space="preserve">Sim</t>
        </is>
      </c>
      <c r="AF41" s="85" t="inlineStr">
        <is>
          <t xml:space="preserve">Sim</t>
        </is>
      </c>
      <c r="AG41" s="85" t="inlineStr">
        <is>
          <t xml:space="preserve">Sim</t>
        </is>
      </c>
      <c r="AH41" s="85" t="inlineStr">
        <is>
          <t xml:space="preserve">Sim</t>
        </is>
      </c>
      <c r="AI41" s="85" t="inlineStr">
        <is>
          <t xml:space="preserve">Sim</t>
        </is>
      </c>
    </row>
    <row r="42">
      <c r="A42" s="88">
        <v>8</v>
      </c>
      <c r="B42" s="89" t="str">
        <f>Config!$B$17&amp;""</f>
        <v>Supply</v>
      </c>
      <c r="C42" s="89" t="str">
        <f>IF(Config!$B$17&amp;""="","",IF(Config!$C$17="","TPC",Config!$C$17))</f>
        <v>TPC</v>
      </c>
      <c r="D42" s="85" t="inlineStr">
        <is>
          <t xml:space="preserve">Sim</t>
        </is>
      </c>
      <c r="E42" s="85" t="inlineStr">
        <is>
          <t xml:space="preserve">Sim</t>
        </is>
      </c>
      <c r="F42" s="85" t="inlineStr">
        <is>
          <t xml:space="preserve">Sim</t>
        </is>
      </c>
      <c r="G42" s="85" t="inlineStr">
        <is>
          <t xml:space="preserve">Não</t>
        </is>
      </c>
      <c r="H42" s="85" t="inlineStr">
        <is>
          <t xml:space="preserve">Não</t>
        </is>
      </c>
      <c r="I42" s="85" t="inlineStr">
        <is>
          <t xml:space="preserve">Não</t>
        </is>
      </c>
      <c r="J42" s="85" t="inlineStr">
        <is>
          <t xml:space="preserve">Não</t>
        </is>
      </c>
      <c r="K42" s="85" t="inlineStr">
        <is>
          <t xml:space="preserve">Não</t>
        </is>
      </c>
      <c r="L42" s="85" t="inlineStr">
        <is>
          <t xml:space="preserve">Não</t>
        </is>
      </c>
      <c r="M42" s="85" t="inlineStr">
        <is>
          <t xml:space="preserve">Sim</t>
        </is>
      </c>
      <c r="N42" s="85" t="inlineStr">
        <is>
          <t xml:space="preserve">Não</t>
        </is>
      </c>
      <c r="O42" s="85" t="inlineStr">
        <is>
          <t xml:space="preserve">Não</t>
        </is>
      </c>
      <c r="P42" s="85" t="inlineStr">
        <is>
          <t xml:space="preserve">Não</t>
        </is>
      </c>
      <c r="Q42" s="85" t="inlineStr">
        <is>
          <t xml:space="preserve">Não</t>
        </is>
      </c>
      <c r="R42" s="85" t="inlineStr">
        <is>
          <t xml:space="preserve">Não</t>
        </is>
      </c>
      <c r="S42" s="85" t="inlineStr">
        <is>
          <t xml:space="preserve">Sim</t>
        </is>
      </c>
      <c r="T42" s="85" t="inlineStr">
        <is>
          <t xml:space="preserve">Sim</t>
        </is>
      </c>
      <c r="U42" s="85" t="inlineStr">
        <is>
          <t xml:space="preserve">Sim</t>
        </is>
      </c>
      <c r="V42" s="85" t="inlineStr">
        <is>
          <t xml:space="preserve">Sim</t>
        </is>
      </c>
      <c r="W42" s="85" t="inlineStr">
        <is>
          <t xml:space="preserve">Sim</t>
        </is>
      </c>
      <c r="X42" s="85" t="inlineStr">
        <is>
          <t xml:space="preserve">Sim</t>
        </is>
      </c>
      <c r="Y42" s="85" t="inlineStr">
        <is>
          <t xml:space="preserve">Sim</t>
        </is>
      </c>
      <c r="Z42" s="85" t="inlineStr">
        <is>
          <t xml:space="preserve">Sim</t>
        </is>
      </c>
      <c r="AA42" s="85" t="inlineStr">
        <is>
          <t xml:space="preserve">Sim</t>
        </is>
      </c>
      <c r="AB42" s="85" t="inlineStr">
        <is>
          <t xml:space="preserve">Sim</t>
        </is>
      </c>
      <c r="AC42" s="85" t="inlineStr">
        <is>
          <t xml:space="preserve">Sim</t>
        </is>
      </c>
      <c r="AD42" s="85" t="inlineStr">
        <is>
          <t xml:space="preserve">Sim</t>
        </is>
      </c>
      <c r="AE42" s="85" t="inlineStr">
        <is>
          <t xml:space="preserve">Sim</t>
        </is>
      </c>
      <c r="AF42" s="85" t="inlineStr">
        <is>
          <t xml:space="preserve">Sim</t>
        </is>
      </c>
      <c r="AG42" s="85" t="inlineStr">
        <is>
          <t xml:space="preserve">Sim</t>
        </is>
      </c>
      <c r="AH42" s="85" t="inlineStr">
        <is>
          <t xml:space="preserve">Sim</t>
        </is>
      </c>
      <c r="AI42" s="85" t="inlineStr">
        <is>
          <t xml:space="preserve">Sim</t>
        </is>
      </c>
    </row>
    <row r="43">
      <c r="A43" s="88">
        <v>9</v>
      </c>
      <c r="B43" s="89" t="str">
        <f>Config!$B$18&amp;""</f>
        <v>Vedacit</v>
      </c>
      <c r="C43" s="89" t="str">
        <f>IF(Config!$B$18&amp;""="","",IF(Config!$C$18="","TPC",Config!$C$18))</f>
        <v>TPC</v>
      </c>
      <c r="D43" s="85" t="inlineStr">
        <is>
          <t xml:space="preserve">Sim</t>
        </is>
      </c>
      <c r="E43" s="85" t="inlineStr">
        <is>
          <t xml:space="preserve">Sim</t>
        </is>
      </c>
      <c r="F43" s="85" t="inlineStr">
        <is>
          <t xml:space="preserve">Não</t>
        </is>
      </c>
      <c r="G43" s="85" t="inlineStr">
        <is>
          <t xml:space="preserve">Não</t>
        </is>
      </c>
      <c r="H43" s="85" t="inlineStr">
        <is>
          <t xml:space="preserve">Não</t>
        </is>
      </c>
      <c r="I43" s="85" t="inlineStr">
        <is>
          <t xml:space="preserve">Não</t>
        </is>
      </c>
      <c r="J43" s="85" t="inlineStr">
        <is>
          <t xml:space="preserve">Não</t>
        </is>
      </c>
      <c r="K43" s="85" t="inlineStr">
        <is>
          <t xml:space="preserve">Não</t>
        </is>
      </c>
      <c r="L43" s="85" t="inlineStr">
        <is>
          <t xml:space="preserve">Não</t>
        </is>
      </c>
      <c r="M43" s="85" t="inlineStr">
        <is>
          <t xml:space="preserve">Sim</t>
        </is>
      </c>
      <c r="N43" s="85" t="inlineStr">
        <is>
          <t xml:space="preserve">Não</t>
        </is>
      </c>
      <c r="O43" s="85" t="inlineStr">
        <is>
          <t xml:space="preserve">Não</t>
        </is>
      </c>
      <c r="P43" s="85" t="inlineStr">
        <is>
          <t xml:space="preserve">Não</t>
        </is>
      </c>
      <c r="Q43" s="85" t="inlineStr">
        <is>
          <t xml:space="preserve">Não</t>
        </is>
      </c>
      <c r="R43" s="85" t="inlineStr">
        <is>
          <t xml:space="preserve">Não</t>
        </is>
      </c>
      <c r="S43" s="85" t="inlineStr">
        <is>
          <t xml:space="preserve">Sim</t>
        </is>
      </c>
      <c r="T43" s="85" t="inlineStr">
        <is>
          <t xml:space="preserve">Não</t>
        </is>
      </c>
      <c r="U43" s="85" t="inlineStr">
        <is>
          <t xml:space="preserve">Sim</t>
        </is>
      </c>
      <c r="V43" s="85" t="inlineStr">
        <is>
          <t xml:space="preserve">Sim</t>
        </is>
      </c>
      <c r="W43" s="85" t="inlineStr">
        <is>
          <t xml:space="preserve">Sim</t>
        </is>
      </c>
      <c r="X43" s="85" t="inlineStr">
        <is>
          <t xml:space="preserve">Sim</t>
        </is>
      </c>
      <c r="Y43" s="85" t="inlineStr">
        <is>
          <t xml:space="preserve">Sim</t>
        </is>
      </c>
      <c r="Z43" s="85" t="inlineStr">
        <is>
          <t xml:space="preserve">Sim</t>
        </is>
      </c>
      <c r="AA43" s="85" t="inlineStr">
        <is>
          <t xml:space="preserve">Sim</t>
        </is>
      </c>
      <c r="AB43" s="85" t="inlineStr">
        <is>
          <t xml:space="preserve">Sim</t>
        </is>
      </c>
      <c r="AC43" s="85" t="inlineStr">
        <is>
          <t xml:space="preserve">Sim</t>
        </is>
      </c>
      <c r="AD43" s="85" t="inlineStr">
        <is>
          <t xml:space="preserve">Sim</t>
        </is>
      </c>
      <c r="AE43" s="85" t="inlineStr">
        <is>
          <t xml:space="preserve">Sim</t>
        </is>
      </c>
      <c r="AF43" s="85" t="inlineStr">
        <is>
          <t xml:space="preserve">Sim</t>
        </is>
      </c>
      <c r="AG43" s="85" t="inlineStr">
        <is>
          <t xml:space="preserve">Sim</t>
        </is>
      </c>
      <c r="AH43" s="85" t="inlineStr">
        <is>
          <t xml:space="preserve">Sim</t>
        </is>
      </c>
      <c r="AI43" s="85" t="inlineStr">
        <is>
          <t xml:space="preserve">Sim</t>
        </is>
      </c>
    </row>
    <row r="44">
      <c r="A44" s="88">
        <v>10</v>
      </c>
      <c r="B44" s="89" t="str">
        <f>Config!$B$19&amp;""</f>
        <v>Vestas</v>
      </c>
      <c r="C44" s="89" t="str">
        <f>IF(Config!$B$19&amp;""="","",IF(Config!$C$19="","TPC",Config!$C$19))</f>
        <v>TPC</v>
      </c>
      <c r="D44" s="85" t="inlineStr">
        <is>
          <t xml:space="preserve">Sim</t>
        </is>
      </c>
      <c r="E44" s="85" t="inlineStr">
        <is>
          <t xml:space="preserve">Não</t>
        </is>
      </c>
      <c r="F44" s="85" t="inlineStr">
        <is>
          <t xml:space="preserve">Não</t>
        </is>
      </c>
      <c r="G44" s="85" t="inlineStr">
        <is>
          <t xml:space="preserve">Sim</t>
        </is>
      </c>
      <c r="H44" s="85" t="inlineStr">
        <is>
          <t xml:space="preserve">Não</t>
        </is>
      </c>
      <c r="I44" s="85" t="inlineStr">
        <is>
          <t xml:space="preserve">Não</t>
        </is>
      </c>
      <c r="J44" s="85" t="inlineStr">
        <is>
          <t xml:space="preserve">Não</t>
        </is>
      </c>
      <c r="K44" s="85" t="inlineStr">
        <is>
          <t xml:space="preserve">Não</t>
        </is>
      </c>
      <c r="L44" s="85" t="inlineStr">
        <is>
          <t xml:space="preserve">Não</t>
        </is>
      </c>
      <c r="M44" s="85" t="inlineStr">
        <is>
          <t xml:space="preserve">Sim</t>
        </is>
      </c>
      <c r="N44" s="85" t="inlineStr">
        <is>
          <t xml:space="preserve">Não</t>
        </is>
      </c>
      <c r="O44" s="85" t="inlineStr">
        <is>
          <t xml:space="preserve">Não</t>
        </is>
      </c>
      <c r="P44" s="85" t="inlineStr">
        <is>
          <t xml:space="preserve">Não</t>
        </is>
      </c>
      <c r="Q44" s="85" t="inlineStr">
        <is>
          <t xml:space="preserve">Sim</t>
        </is>
      </c>
      <c r="R44" s="85" t="inlineStr">
        <is>
          <t xml:space="preserve">Não</t>
        </is>
      </c>
      <c r="S44" s="85" t="inlineStr">
        <is>
          <t xml:space="preserve">Não</t>
        </is>
      </c>
      <c r="T44" s="85" t="inlineStr">
        <is>
          <t xml:space="preserve">Não</t>
        </is>
      </c>
      <c r="U44" s="85" t="inlineStr">
        <is>
          <t xml:space="preserve">Sim</t>
        </is>
      </c>
      <c r="V44" s="85" t="inlineStr">
        <is>
          <t xml:space="preserve">Sim</t>
        </is>
      </c>
      <c r="W44" s="85" t="inlineStr">
        <is>
          <t xml:space="preserve">Sim</t>
        </is>
      </c>
      <c r="X44" s="85" t="inlineStr">
        <is>
          <t xml:space="preserve">Sim</t>
        </is>
      </c>
      <c r="Y44" s="85" t="inlineStr">
        <is>
          <t xml:space="preserve">Sim</t>
        </is>
      </c>
      <c r="Z44" s="85" t="inlineStr">
        <is>
          <t xml:space="preserve">Sim</t>
        </is>
      </c>
      <c r="AA44" s="85" t="inlineStr">
        <is>
          <t xml:space="preserve">Sim</t>
        </is>
      </c>
      <c r="AB44" s="85" t="inlineStr">
        <is>
          <t xml:space="preserve">Sim</t>
        </is>
      </c>
      <c r="AC44" s="85" t="inlineStr">
        <is>
          <t xml:space="preserve">Sim</t>
        </is>
      </c>
      <c r="AD44" s="85" t="inlineStr">
        <is>
          <t xml:space="preserve">Sim</t>
        </is>
      </c>
      <c r="AE44" s="85" t="inlineStr">
        <is>
          <t xml:space="preserve">Sim</t>
        </is>
      </c>
      <c r="AF44" s="85" t="inlineStr">
        <is>
          <t xml:space="preserve">Sim</t>
        </is>
      </c>
      <c r="AG44" s="85" t="inlineStr">
        <is>
          <t xml:space="preserve">Sim</t>
        </is>
      </c>
      <c r="AH44" s="85" t="inlineStr">
        <is>
          <t xml:space="preserve">Sim</t>
        </is>
      </c>
      <c r="AI44" s="85" t="inlineStr">
        <is>
          <t xml:space="preserve">Sim</t>
        </is>
      </c>
    </row>
    <row r="45">
      <c r="A45" s="88">
        <v>11</v>
      </c>
      <c r="B45" s="89" t="str">
        <f>Config!$B$20&amp;""</f>
        <v/>
      </c>
      <c r="C45" s="89" t="str">
        <f>IF(Config!$B$20&amp;""="","",IF(Config!$C$20="","TPC",Config!$C$20))</f>
        <v/>
      </c>
      <c r="D45" s="85" t="inlineStr">
        <is>
          <t xml:space="preserve">Sim</t>
        </is>
      </c>
      <c r="E45" s="85" t="inlineStr">
        <is>
          <t xml:space="preserve">Sim</t>
        </is>
      </c>
      <c r="F45" s="85" t="inlineStr">
        <is>
          <t xml:space="preserve">Sim</t>
        </is>
      </c>
      <c r="G45" s="85" t="inlineStr">
        <is>
          <t xml:space="preserve">Não</t>
        </is>
      </c>
      <c r="H45" s="85" t="inlineStr">
        <is>
          <t xml:space="preserve">Não</t>
        </is>
      </c>
      <c r="I45" s="85" t="inlineStr">
        <is>
          <t xml:space="preserve">Não</t>
        </is>
      </c>
      <c r="J45" s="85" t="inlineStr">
        <is>
          <t xml:space="preserve">Não</t>
        </is>
      </c>
      <c r="K45" s="85" t="inlineStr">
        <is>
          <t xml:space="preserve">Não</t>
        </is>
      </c>
      <c r="L45" s="85" t="inlineStr">
        <is>
          <t xml:space="preserve">Não</t>
        </is>
      </c>
      <c r="M45" s="85" t="inlineStr">
        <is>
          <t xml:space="preserve">Sim</t>
        </is>
      </c>
      <c r="N45" s="85" t="inlineStr">
        <is>
          <t xml:space="preserve">Não</t>
        </is>
      </c>
      <c r="O45" s="85" t="inlineStr">
        <is>
          <t xml:space="preserve">Não</t>
        </is>
      </c>
      <c r="P45" s="85" t="inlineStr">
        <is>
          <t xml:space="preserve">Não</t>
        </is>
      </c>
      <c r="Q45" s="85" t="inlineStr">
        <is>
          <t xml:space="preserve">Não</t>
        </is>
      </c>
      <c r="R45" s="85" t="inlineStr">
        <is>
          <t xml:space="preserve">Não</t>
        </is>
      </c>
      <c r="S45" s="85" t="inlineStr">
        <is>
          <t xml:space="preserve">Sim</t>
        </is>
      </c>
      <c r="T45" s="85" t="inlineStr">
        <is>
          <t xml:space="preserve">Sim</t>
        </is>
      </c>
      <c r="U45" s="85" t="inlineStr">
        <is>
          <t xml:space="preserve">Sim</t>
        </is>
      </c>
      <c r="V45" s="85" t="inlineStr">
        <is>
          <t xml:space="preserve">Sim</t>
        </is>
      </c>
      <c r="W45" s="85" t="inlineStr">
        <is>
          <t xml:space="preserve">Sim</t>
        </is>
      </c>
      <c r="X45" s="85" t="inlineStr">
        <is>
          <t xml:space="preserve">Sim</t>
        </is>
      </c>
      <c r="Y45" s="85" t="inlineStr">
        <is>
          <t xml:space="preserve">Sim</t>
        </is>
      </c>
      <c r="Z45" s="85" t="inlineStr">
        <is>
          <t xml:space="preserve">Sim</t>
        </is>
      </c>
      <c r="AA45" s="85" t="inlineStr">
        <is>
          <t xml:space="preserve">Sim</t>
        </is>
      </c>
      <c r="AB45" s="85" t="inlineStr">
        <is>
          <t xml:space="preserve">Sim</t>
        </is>
      </c>
      <c r="AC45" s="85" t="inlineStr">
        <is>
          <t xml:space="preserve">Sim</t>
        </is>
      </c>
      <c r="AD45" s="85" t="inlineStr">
        <is>
          <t xml:space="preserve">Sim</t>
        </is>
      </c>
      <c r="AE45" s="85" t="inlineStr">
        <is>
          <t xml:space="preserve">Sim</t>
        </is>
      </c>
      <c r="AF45" s="85" t="inlineStr">
        <is>
          <t xml:space="preserve">Sim</t>
        </is>
      </c>
      <c r="AG45" s="85" t="inlineStr">
        <is>
          <t xml:space="preserve">Sim</t>
        </is>
      </c>
      <c r="AH45" s="85" t="inlineStr">
        <is>
          <t xml:space="preserve">Sim</t>
        </is>
      </c>
      <c r="AI45" s="85" t="inlineStr">
        <is>
          <t xml:space="preserve">Sim</t>
        </is>
      </c>
    </row>
    <row r="46">
      <c r="A46" s="88">
        <v>12</v>
      </c>
      <c r="B46" s="89" t="str">
        <f>Config!$B$21&amp;""</f>
        <v/>
      </c>
      <c r="C46" s="89" t="str">
        <f>IF(Config!$B$21&amp;""="","",IF(Config!$C$21="","TPC",Config!$C$21))</f>
        <v/>
      </c>
      <c r="D46" s="85" t="inlineStr">
        <is>
          <t xml:space="preserve">Sim</t>
        </is>
      </c>
      <c r="E46" s="85" t="inlineStr">
        <is>
          <t xml:space="preserve">Sim</t>
        </is>
      </c>
      <c r="F46" s="85" t="inlineStr">
        <is>
          <t xml:space="preserve">Sim</t>
        </is>
      </c>
      <c r="G46" s="85" t="inlineStr">
        <is>
          <t xml:space="preserve">Não</t>
        </is>
      </c>
      <c r="H46" s="85" t="inlineStr">
        <is>
          <t xml:space="preserve">Não</t>
        </is>
      </c>
      <c r="I46" s="85" t="inlineStr">
        <is>
          <t xml:space="preserve">Não</t>
        </is>
      </c>
      <c r="J46" s="85" t="inlineStr">
        <is>
          <t xml:space="preserve">Não</t>
        </is>
      </c>
      <c r="K46" s="85" t="inlineStr">
        <is>
          <t xml:space="preserve">Não</t>
        </is>
      </c>
      <c r="L46" s="85" t="inlineStr">
        <is>
          <t xml:space="preserve">Não</t>
        </is>
      </c>
      <c r="M46" s="85" t="inlineStr">
        <is>
          <t xml:space="preserve">Sim</t>
        </is>
      </c>
      <c r="N46" s="85" t="inlineStr">
        <is>
          <t xml:space="preserve">Não</t>
        </is>
      </c>
      <c r="O46" s="85" t="inlineStr">
        <is>
          <t xml:space="preserve">Não</t>
        </is>
      </c>
      <c r="P46" s="85" t="inlineStr">
        <is>
          <t xml:space="preserve">Não</t>
        </is>
      </c>
      <c r="Q46" s="85" t="inlineStr">
        <is>
          <t xml:space="preserve">Não</t>
        </is>
      </c>
      <c r="R46" s="85" t="inlineStr">
        <is>
          <t xml:space="preserve">Não</t>
        </is>
      </c>
      <c r="S46" s="85" t="inlineStr">
        <is>
          <t xml:space="preserve">Sim</t>
        </is>
      </c>
      <c r="T46" s="85" t="inlineStr">
        <is>
          <t xml:space="preserve">Sim</t>
        </is>
      </c>
      <c r="U46" s="85" t="inlineStr">
        <is>
          <t xml:space="preserve">Sim</t>
        </is>
      </c>
      <c r="V46" s="85" t="inlineStr">
        <is>
          <t xml:space="preserve">Sim</t>
        </is>
      </c>
      <c r="W46" s="85" t="inlineStr">
        <is>
          <t xml:space="preserve">Sim</t>
        </is>
      </c>
      <c r="X46" s="85" t="inlineStr">
        <is>
          <t xml:space="preserve">Sim</t>
        </is>
      </c>
      <c r="Y46" s="85" t="inlineStr">
        <is>
          <t xml:space="preserve">Sim</t>
        </is>
      </c>
      <c r="Z46" s="85" t="inlineStr">
        <is>
          <t xml:space="preserve">Sim</t>
        </is>
      </c>
      <c r="AA46" s="85" t="inlineStr">
        <is>
          <t xml:space="preserve">Sim</t>
        </is>
      </c>
      <c r="AB46" s="85" t="inlineStr">
        <is>
          <t xml:space="preserve">Sim</t>
        </is>
      </c>
      <c r="AC46" s="85" t="inlineStr">
        <is>
          <t xml:space="preserve">Sim</t>
        </is>
      </c>
      <c r="AD46" s="85" t="inlineStr">
        <is>
          <t xml:space="preserve">Sim</t>
        </is>
      </c>
      <c r="AE46" s="85" t="inlineStr">
        <is>
          <t xml:space="preserve">Sim</t>
        </is>
      </c>
      <c r="AF46" s="85" t="inlineStr">
        <is>
          <t xml:space="preserve">Sim</t>
        </is>
      </c>
      <c r="AG46" s="85" t="inlineStr">
        <is>
          <t xml:space="preserve">Sim</t>
        </is>
      </c>
      <c r="AH46" s="85" t="inlineStr">
        <is>
          <t xml:space="preserve">Sim</t>
        </is>
      </c>
      <c r="AI46" s="85" t="inlineStr">
        <is>
          <t xml:space="preserve">Sim</t>
        </is>
      </c>
    </row>
    <row r="47">
      <c r="A47" s="88">
        <v>13</v>
      </c>
      <c r="B47" s="89" t="str">
        <f>Config!$B$22&amp;""</f>
        <v/>
      </c>
      <c r="C47" s="89" t="str">
        <f>IF(Config!$B$22&amp;""="","",IF(Config!$C$22="","TPC",Config!$C$22))</f>
        <v/>
      </c>
      <c r="D47" s="85" t="inlineStr">
        <is>
          <t xml:space="preserve">Sim</t>
        </is>
      </c>
      <c r="E47" s="85" t="inlineStr">
        <is>
          <t xml:space="preserve">Sim</t>
        </is>
      </c>
      <c r="F47" s="85" t="inlineStr">
        <is>
          <t xml:space="preserve">Sim</t>
        </is>
      </c>
      <c r="G47" s="85" t="inlineStr">
        <is>
          <t xml:space="preserve">Não</t>
        </is>
      </c>
      <c r="H47" s="85" t="inlineStr">
        <is>
          <t xml:space="preserve">Não</t>
        </is>
      </c>
      <c r="I47" s="85" t="inlineStr">
        <is>
          <t xml:space="preserve">Não</t>
        </is>
      </c>
      <c r="J47" s="85" t="inlineStr">
        <is>
          <t xml:space="preserve">Não</t>
        </is>
      </c>
      <c r="K47" s="85" t="inlineStr">
        <is>
          <t xml:space="preserve">Não</t>
        </is>
      </c>
      <c r="L47" s="85" t="inlineStr">
        <is>
          <t xml:space="preserve">Não</t>
        </is>
      </c>
      <c r="M47" s="85" t="inlineStr">
        <is>
          <t xml:space="preserve">Sim</t>
        </is>
      </c>
      <c r="N47" s="85" t="inlineStr">
        <is>
          <t xml:space="preserve">Não</t>
        </is>
      </c>
      <c r="O47" s="85" t="inlineStr">
        <is>
          <t xml:space="preserve">Não</t>
        </is>
      </c>
      <c r="P47" s="85" t="inlineStr">
        <is>
          <t xml:space="preserve">Não</t>
        </is>
      </c>
      <c r="Q47" s="85" t="inlineStr">
        <is>
          <t xml:space="preserve">Não</t>
        </is>
      </c>
      <c r="R47" s="85" t="inlineStr">
        <is>
          <t xml:space="preserve">Não</t>
        </is>
      </c>
      <c r="S47" s="85" t="inlineStr">
        <is>
          <t xml:space="preserve">Sim</t>
        </is>
      </c>
      <c r="T47" s="85" t="inlineStr">
        <is>
          <t xml:space="preserve">Sim</t>
        </is>
      </c>
      <c r="U47" s="85" t="inlineStr">
        <is>
          <t xml:space="preserve">Sim</t>
        </is>
      </c>
      <c r="V47" s="85" t="inlineStr">
        <is>
          <t xml:space="preserve">Sim</t>
        </is>
      </c>
      <c r="W47" s="85" t="inlineStr">
        <is>
          <t xml:space="preserve">Sim</t>
        </is>
      </c>
      <c r="X47" s="85" t="inlineStr">
        <is>
          <t xml:space="preserve">Sim</t>
        </is>
      </c>
      <c r="Y47" s="85" t="inlineStr">
        <is>
          <t xml:space="preserve">Sim</t>
        </is>
      </c>
      <c r="Z47" s="85" t="inlineStr">
        <is>
          <t xml:space="preserve">Sim</t>
        </is>
      </c>
      <c r="AA47" s="85" t="inlineStr">
        <is>
          <t xml:space="preserve">Sim</t>
        </is>
      </c>
      <c r="AB47" s="85" t="inlineStr">
        <is>
          <t xml:space="preserve">Sim</t>
        </is>
      </c>
      <c r="AC47" s="85" t="inlineStr">
        <is>
          <t xml:space="preserve">Sim</t>
        </is>
      </c>
      <c r="AD47" s="85" t="inlineStr">
        <is>
          <t xml:space="preserve">Sim</t>
        </is>
      </c>
      <c r="AE47" s="85" t="inlineStr">
        <is>
          <t xml:space="preserve">Sim</t>
        </is>
      </c>
      <c r="AF47" s="85" t="inlineStr">
        <is>
          <t xml:space="preserve">Sim</t>
        </is>
      </c>
      <c r="AG47" s="85" t="inlineStr">
        <is>
          <t xml:space="preserve">Sim</t>
        </is>
      </c>
      <c r="AH47" s="85" t="inlineStr">
        <is>
          <t xml:space="preserve">Sim</t>
        </is>
      </c>
      <c r="AI47" s="85" t="inlineStr">
        <is>
          <t xml:space="preserve">Sim</t>
        </is>
      </c>
    </row>
    <row r="48">
      <c r="A48" s="88">
        <v>14</v>
      </c>
      <c r="B48" s="89" t="str">
        <f>Config!$B$23&amp;""</f>
        <v/>
      </c>
      <c r="C48" s="89" t="str">
        <f>IF(Config!$B$23&amp;""="","",IF(Config!$C$23="","TPC",Config!$C$23))</f>
        <v/>
      </c>
      <c r="D48" s="85" t="inlineStr">
        <is>
          <t xml:space="preserve">Sim</t>
        </is>
      </c>
      <c r="E48" s="85" t="inlineStr">
        <is>
          <t xml:space="preserve">Sim</t>
        </is>
      </c>
      <c r="F48" s="85" t="inlineStr">
        <is>
          <t xml:space="preserve">Sim</t>
        </is>
      </c>
      <c r="G48" s="85" t="inlineStr">
        <is>
          <t xml:space="preserve">Não</t>
        </is>
      </c>
      <c r="H48" s="85" t="inlineStr">
        <is>
          <t xml:space="preserve">Não</t>
        </is>
      </c>
      <c r="I48" s="85" t="inlineStr">
        <is>
          <t xml:space="preserve">Não</t>
        </is>
      </c>
      <c r="J48" s="85" t="inlineStr">
        <is>
          <t xml:space="preserve">Não</t>
        </is>
      </c>
      <c r="K48" s="85" t="inlineStr">
        <is>
          <t xml:space="preserve">Não</t>
        </is>
      </c>
      <c r="L48" s="85" t="inlineStr">
        <is>
          <t xml:space="preserve">Não</t>
        </is>
      </c>
      <c r="M48" s="85" t="inlineStr">
        <is>
          <t xml:space="preserve">Sim</t>
        </is>
      </c>
      <c r="N48" s="85" t="inlineStr">
        <is>
          <t xml:space="preserve">Não</t>
        </is>
      </c>
      <c r="O48" s="85" t="inlineStr">
        <is>
          <t xml:space="preserve">Não</t>
        </is>
      </c>
      <c r="P48" s="85" t="inlineStr">
        <is>
          <t xml:space="preserve">Não</t>
        </is>
      </c>
      <c r="Q48" s="85" t="inlineStr">
        <is>
          <t xml:space="preserve">Não</t>
        </is>
      </c>
      <c r="R48" s="85" t="inlineStr">
        <is>
          <t xml:space="preserve">Não</t>
        </is>
      </c>
      <c r="S48" s="85" t="inlineStr">
        <is>
          <t xml:space="preserve">Sim</t>
        </is>
      </c>
      <c r="T48" s="85" t="inlineStr">
        <is>
          <t xml:space="preserve">Sim</t>
        </is>
      </c>
      <c r="U48" s="85" t="inlineStr">
        <is>
          <t xml:space="preserve">Sim</t>
        </is>
      </c>
      <c r="V48" s="85" t="inlineStr">
        <is>
          <t xml:space="preserve">Sim</t>
        </is>
      </c>
      <c r="W48" s="85" t="inlineStr">
        <is>
          <t xml:space="preserve">Sim</t>
        </is>
      </c>
      <c r="X48" s="85" t="inlineStr">
        <is>
          <t xml:space="preserve">Sim</t>
        </is>
      </c>
      <c r="Y48" s="85" t="inlineStr">
        <is>
          <t xml:space="preserve">Sim</t>
        </is>
      </c>
      <c r="Z48" s="85" t="inlineStr">
        <is>
          <t xml:space="preserve">Sim</t>
        </is>
      </c>
      <c r="AA48" s="85" t="inlineStr">
        <is>
          <t xml:space="preserve">Sim</t>
        </is>
      </c>
      <c r="AB48" s="85" t="inlineStr">
        <is>
          <t xml:space="preserve">Sim</t>
        </is>
      </c>
      <c r="AC48" s="85" t="inlineStr">
        <is>
          <t xml:space="preserve">Sim</t>
        </is>
      </c>
      <c r="AD48" s="85" t="inlineStr">
        <is>
          <t xml:space="preserve">Sim</t>
        </is>
      </c>
      <c r="AE48" s="85" t="inlineStr">
        <is>
          <t xml:space="preserve">Sim</t>
        </is>
      </c>
      <c r="AF48" s="85" t="inlineStr">
        <is>
          <t xml:space="preserve">Sim</t>
        </is>
      </c>
      <c r="AG48" s="85" t="inlineStr">
        <is>
          <t xml:space="preserve">Sim</t>
        </is>
      </c>
      <c r="AH48" s="85" t="inlineStr">
        <is>
          <t xml:space="preserve">Sim</t>
        </is>
      </c>
      <c r="AI48" s="85" t="inlineStr">
        <is>
          <t xml:space="preserve">Sim</t>
        </is>
      </c>
    </row>
    <row r="49">
      <c r="A49" s="88">
        <v>15</v>
      </c>
      <c r="B49" s="89" t="str">
        <f>Config!$B$24&amp;""</f>
        <v/>
      </c>
      <c r="C49" s="89" t="str">
        <f>IF(Config!$B$24&amp;""="","",IF(Config!$C$24="","TPC",Config!$C$24))</f>
        <v/>
      </c>
      <c r="D49" s="85" t="inlineStr">
        <is>
          <t xml:space="preserve">Sim</t>
        </is>
      </c>
      <c r="E49" s="85" t="inlineStr">
        <is>
          <t xml:space="preserve">Sim</t>
        </is>
      </c>
      <c r="F49" s="85" t="inlineStr">
        <is>
          <t xml:space="preserve">Sim</t>
        </is>
      </c>
      <c r="G49" s="85" t="inlineStr">
        <is>
          <t xml:space="preserve">Não</t>
        </is>
      </c>
      <c r="H49" s="85" t="inlineStr">
        <is>
          <t xml:space="preserve">Não</t>
        </is>
      </c>
      <c r="I49" s="85" t="inlineStr">
        <is>
          <t xml:space="preserve">Não</t>
        </is>
      </c>
      <c r="J49" s="85" t="inlineStr">
        <is>
          <t xml:space="preserve">Não</t>
        </is>
      </c>
      <c r="K49" s="85" t="inlineStr">
        <is>
          <t xml:space="preserve">Não</t>
        </is>
      </c>
      <c r="L49" s="85" t="inlineStr">
        <is>
          <t xml:space="preserve">Não</t>
        </is>
      </c>
      <c r="M49" s="85" t="inlineStr">
        <is>
          <t xml:space="preserve">Sim</t>
        </is>
      </c>
      <c r="N49" s="85" t="inlineStr">
        <is>
          <t xml:space="preserve">Não</t>
        </is>
      </c>
      <c r="O49" s="85" t="inlineStr">
        <is>
          <t xml:space="preserve">Não</t>
        </is>
      </c>
      <c r="P49" s="85" t="inlineStr">
        <is>
          <t xml:space="preserve">Não</t>
        </is>
      </c>
      <c r="Q49" s="85" t="inlineStr">
        <is>
          <t xml:space="preserve">Não</t>
        </is>
      </c>
      <c r="R49" s="85" t="inlineStr">
        <is>
          <t xml:space="preserve">Não</t>
        </is>
      </c>
      <c r="S49" s="85" t="inlineStr">
        <is>
          <t xml:space="preserve">Sim</t>
        </is>
      </c>
      <c r="T49" s="85" t="inlineStr">
        <is>
          <t xml:space="preserve">Sim</t>
        </is>
      </c>
      <c r="U49" s="85" t="inlineStr">
        <is>
          <t xml:space="preserve">Sim</t>
        </is>
      </c>
      <c r="V49" s="85" t="inlineStr">
        <is>
          <t xml:space="preserve">Sim</t>
        </is>
      </c>
      <c r="W49" s="85" t="inlineStr">
        <is>
          <t xml:space="preserve">Sim</t>
        </is>
      </c>
      <c r="X49" s="85" t="inlineStr">
        <is>
          <t xml:space="preserve">Sim</t>
        </is>
      </c>
      <c r="Y49" s="85" t="inlineStr">
        <is>
          <t xml:space="preserve">Sim</t>
        </is>
      </c>
      <c r="Z49" s="85" t="inlineStr">
        <is>
          <t xml:space="preserve">Sim</t>
        </is>
      </c>
      <c r="AA49" s="85" t="inlineStr">
        <is>
          <t xml:space="preserve">Sim</t>
        </is>
      </c>
      <c r="AB49" s="85" t="inlineStr">
        <is>
          <t xml:space="preserve">Sim</t>
        </is>
      </c>
      <c r="AC49" s="85" t="inlineStr">
        <is>
          <t xml:space="preserve">Sim</t>
        </is>
      </c>
      <c r="AD49" s="85" t="inlineStr">
        <is>
          <t xml:space="preserve">Sim</t>
        </is>
      </c>
      <c r="AE49" s="85" t="inlineStr">
        <is>
          <t xml:space="preserve">Sim</t>
        </is>
      </c>
      <c r="AF49" s="85" t="inlineStr">
        <is>
          <t xml:space="preserve">Sim</t>
        </is>
      </c>
      <c r="AG49" s="85" t="inlineStr">
        <is>
          <t xml:space="preserve">Sim</t>
        </is>
      </c>
      <c r="AH49" s="85" t="inlineStr">
        <is>
          <t xml:space="preserve">Sim</t>
        </is>
      </c>
      <c r="AI49" s="85" t="inlineStr">
        <is>
          <t xml:space="preserve">Sim</t>
        </is>
      </c>
    </row>
    <row r="50">
      <c r="A50" s="88">
        <v>16</v>
      </c>
      <c r="B50" s="89" t="str">
        <f>Config!$B$25&amp;""</f>
        <v/>
      </c>
      <c r="C50" s="89" t="str">
        <f>IF(Config!$B$25&amp;""="","",IF(Config!$C$25="","TPC",Config!$C$25))</f>
        <v/>
      </c>
      <c r="D50" s="85" t="inlineStr">
        <is>
          <t xml:space="preserve">Sim</t>
        </is>
      </c>
      <c r="E50" s="85" t="inlineStr">
        <is>
          <t xml:space="preserve">Sim</t>
        </is>
      </c>
      <c r="F50" s="85" t="inlineStr">
        <is>
          <t xml:space="preserve">Sim</t>
        </is>
      </c>
      <c r="G50" s="85" t="inlineStr">
        <is>
          <t xml:space="preserve">Não</t>
        </is>
      </c>
      <c r="H50" s="85" t="inlineStr">
        <is>
          <t xml:space="preserve">Não</t>
        </is>
      </c>
      <c r="I50" s="85" t="inlineStr">
        <is>
          <t xml:space="preserve">Não</t>
        </is>
      </c>
      <c r="J50" s="85" t="inlineStr">
        <is>
          <t xml:space="preserve">Não</t>
        </is>
      </c>
      <c r="K50" s="85" t="inlineStr">
        <is>
          <t xml:space="preserve">Não</t>
        </is>
      </c>
      <c r="L50" s="85" t="inlineStr">
        <is>
          <t xml:space="preserve">Não</t>
        </is>
      </c>
      <c r="M50" s="85" t="inlineStr">
        <is>
          <t xml:space="preserve">Sim</t>
        </is>
      </c>
      <c r="N50" s="85" t="inlineStr">
        <is>
          <t xml:space="preserve">Não</t>
        </is>
      </c>
      <c r="O50" s="85" t="inlineStr">
        <is>
          <t xml:space="preserve">Não</t>
        </is>
      </c>
      <c r="P50" s="85" t="inlineStr">
        <is>
          <t xml:space="preserve">Não</t>
        </is>
      </c>
      <c r="Q50" s="85" t="inlineStr">
        <is>
          <t xml:space="preserve">Não</t>
        </is>
      </c>
      <c r="R50" s="85" t="inlineStr">
        <is>
          <t xml:space="preserve">Não</t>
        </is>
      </c>
      <c r="S50" s="85" t="inlineStr">
        <is>
          <t xml:space="preserve">Sim</t>
        </is>
      </c>
      <c r="T50" s="85" t="inlineStr">
        <is>
          <t xml:space="preserve">Sim</t>
        </is>
      </c>
      <c r="U50" s="85" t="inlineStr">
        <is>
          <t xml:space="preserve">Sim</t>
        </is>
      </c>
      <c r="V50" s="85" t="inlineStr">
        <is>
          <t xml:space="preserve">Sim</t>
        </is>
      </c>
      <c r="W50" s="85" t="inlineStr">
        <is>
          <t xml:space="preserve">Sim</t>
        </is>
      </c>
      <c r="X50" s="85" t="inlineStr">
        <is>
          <t xml:space="preserve">Sim</t>
        </is>
      </c>
      <c r="Y50" s="85" t="inlineStr">
        <is>
          <t xml:space="preserve">Sim</t>
        </is>
      </c>
      <c r="Z50" s="85" t="inlineStr">
        <is>
          <t xml:space="preserve">Sim</t>
        </is>
      </c>
      <c r="AA50" s="85" t="inlineStr">
        <is>
          <t xml:space="preserve">Sim</t>
        </is>
      </c>
      <c r="AB50" s="85" t="inlineStr">
        <is>
          <t xml:space="preserve">Sim</t>
        </is>
      </c>
      <c r="AC50" s="85" t="inlineStr">
        <is>
          <t xml:space="preserve">Sim</t>
        </is>
      </c>
      <c r="AD50" s="85" t="inlineStr">
        <is>
          <t xml:space="preserve">Sim</t>
        </is>
      </c>
      <c r="AE50" s="85" t="inlineStr">
        <is>
          <t xml:space="preserve">Sim</t>
        </is>
      </c>
      <c r="AF50" s="85" t="inlineStr">
        <is>
          <t xml:space="preserve">Sim</t>
        </is>
      </c>
      <c r="AG50" s="85" t="inlineStr">
        <is>
          <t xml:space="preserve">Sim</t>
        </is>
      </c>
      <c r="AH50" s="85" t="inlineStr">
        <is>
          <t xml:space="preserve">Sim</t>
        </is>
      </c>
      <c r="AI50" s="85" t="inlineStr">
        <is>
          <t xml:space="preserve">Sim</t>
        </is>
      </c>
    </row>
    <row r="51">
      <c r="A51" s="88">
        <v>17</v>
      </c>
      <c r="B51" s="89" t="str">
        <f>Config!$B$26&amp;""</f>
        <v/>
      </c>
      <c r="C51" s="89" t="str">
        <f>IF(Config!$B$26&amp;""="","",IF(Config!$C$26="","TPC",Config!$C$26))</f>
        <v/>
      </c>
      <c r="D51" s="85" t="inlineStr">
        <is>
          <t xml:space="preserve">Sim</t>
        </is>
      </c>
      <c r="E51" s="85" t="inlineStr">
        <is>
          <t xml:space="preserve">Sim</t>
        </is>
      </c>
      <c r="F51" s="85" t="inlineStr">
        <is>
          <t xml:space="preserve">Sim</t>
        </is>
      </c>
      <c r="G51" s="85" t="inlineStr">
        <is>
          <t xml:space="preserve">Não</t>
        </is>
      </c>
      <c r="H51" s="85" t="inlineStr">
        <is>
          <t xml:space="preserve">Não</t>
        </is>
      </c>
      <c r="I51" s="85" t="inlineStr">
        <is>
          <t xml:space="preserve">Não</t>
        </is>
      </c>
      <c r="J51" s="85" t="inlineStr">
        <is>
          <t xml:space="preserve">Não</t>
        </is>
      </c>
      <c r="K51" s="85" t="inlineStr">
        <is>
          <t xml:space="preserve">Não</t>
        </is>
      </c>
      <c r="L51" s="85" t="inlineStr">
        <is>
          <t xml:space="preserve">Não</t>
        </is>
      </c>
      <c r="M51" s="85" t="inlineStr">
        <is>
          <t xml:space="preserve">Sim</t>
        </is>
      </c>
      <c r="N51" s="85" t="inlineStr">
        <is>
          <t xml:space="preserve">Não</t>
        </is>
      </c>
      <c r="O51" s="85" t="inlineStr">
        <is>
          <t xml:space="preserve">Não</t>
        </is>
      </c>
      <c r="P51" s="85" t="inlineStr">
        <is>
          <t xml:space="preserve">Não</t>
        </is>
      </c>
      <c r="Q51" s="85" t="inlineStr">
        <is>
          <t xml:space="preserve">Não</t>
        </is>
      </c>
      <c r="R51" s="85" t="inlineStr">
        <is>
          <t xml:space="preserve">Não</t>
        </is>
      </c>
      <c r="S51" s="85" t="inlineStr">
        <is>
          <t xml:space="preserve">Sim</t>
        </is>
      </c>
      <c r="T51" s="85" t="inlineStr">
        <is>
          <t xml:space="preserve">Sim</t>
        </is>
      </c>
      <c r="U51" s="85" t="inlineStr">
        <is>
          <t xml:space="preserve">Sim</t>
        </is>
      </c>
      <c r="V51" s="85" t="inlineStr">
        <is>
          <t xml:space="preserve">Sim</t>
        </is>
      </c>
      <c r="W51" s="85" t="inlineStr">
        <is>
          <t xml:space="preserve">Sim</t>
        </is>
      </c>
      <c r="X51" s="85" t="inlineStr">
        <is>
          <t xml:space="preserve">Sim</t>
        </is>
      </c>
      <c r="Y51" s="85" t="inlineStr">
        <is>
          <t xml:space="preserve">Sim</t>
        </is>
      </c>
      <c r="Z51" s="85" t="inlineStr">
        <is>
          <t xml:space="preserve">Sim</t>
        </is>
      </c>
      <c r="AA51" s="85" t="inlineStr">
        <is>
          <t xml:space="preserve">Sim</t>
        </is>
      </c>
      <c r="AB51" s="85" t="inlineStr">
        <is>
          <t xml:space="preserve">Sim</t>
        </is>
      </c>
      <c r="AC51" s="85" t="inlineStr">
        <is>
          <t xml:space="preserve">Sim</t>
        </is>
      </c>
      <c r="AD51" s="85" t="inlineStr">
        <is>
          <t xml:space="preserve">Sim</t>
        </is>
      </c>
      <c r="AE51" s="85" t="inlineStr">
        <is>
          <t xml:space="preserve">Sim</t>
        </is>
      </c>
      <c r="AF51" s="85" t="inlineStr">
        <is>
          <t xml:space="preserve">Sim</t>
        </is>
      </c>
      <c r="AG51" s="85" t="inlineStr">
        <is>
          <t xml:space="preserve">Sim</t>
        </is>
      </c>
      <c r="AH51" s="85" t="inlineStr">
        <is>
          <t xml:space="preserve">Sim</t>
        </is>
      </c>
      <c r="AI51" s="85" t="inlineStr">
        <is>
          <t xml:space="preserve">Sim</t>
        </is>
      </c>
    </row>
    <row r="52">
      <c r="A52" s="88">
        <v>18</v>
      </c>
      <c r="B52" s="89" t="str">
        <f>Config!$B$27&amp;""</f>
        <v/>
      </c>
      <c r="C52" s="89" t="str">
        <f>IF(Config!$B$27&amp;""="","",IF(Config!$C$27="","TPC",Config!$C$27))</f>
        <v/>
      </c>
      <c r="D52" s="85" t="inlineStr">
        <is>
          <t xml:space="preserve">Sim</t>
        </is>
      </c>
      <c r="E52" s="85" t="inlineStr">
        <is>
          <t xml:space="preserve">Sim</t>
        </is>
      </c>
      <c r="F52" s="85" t="inlineStr">
        <is>
          <t xml:space="preserve">Sim</t>
        </is>
      </c>
      <c r="G52" s="85" t="inlineStr">
        <is>
          <t xml:space="preserve">Não</t>
        </is>
      </c>
      <c r="H52" s="85" t="inlineStr">
        <is>
          <t xml:space="preserve">Não</t>
        </is>
      </c>
      <c r="I52" s="85" t="inlineStr">
        <is>
          <t xml:space="preserve">Não</t>
        </is>
      </c>
      <c r="J52" s="85" t="inlineStr">
        <is>
          <t xml:space="preserve">Não</t>
        </is>
      </c>
      <c r="K52" s="85" t="inlineStr">
        <is>
          <t xml:space="preserve">Não</t>
        </is>
      </c>
      <c r="L52" s="85" t="inlineStr">
        <is>
          <t xml:space="preserve">Não</t>
        </is>
      </c>
      <c r="M52" s="85" t="inlineStr">
        <is>
          <t xml:space="preserve">Sim</t>
        </is>
      </c>
      <c r="N52" s="85" t="inlineStr">
        <is>
          <t xml:space="preserve">Não</t>
        </is>
      </c>
      <c r="O52" s="85" t="inlineStr">
        <is>
          <t xml:space="preserve">Não</t>
        </is>
      </c>
      <c r="P52" s="85" t="inlineStr">
        <is>
          <t xml:space="preserve">Não</t>
        </is>
      </c>
      <c r="Q52" s="85" t="inlineStr">
        <is>
          <t xml:space="preserve">Não</t>
        </is>
      </c>
      <c r="R52" s="85" t="inlineStr">
        <is>
          <t xml:space="preserve">Não</t>
        </is>
      </c>
      <c r="S52" s="85" t="inlineStr">
        <is>
          <t xml:space="preserve">Sim</t>
        </is>
      </c>
      <c r="T52" s="85" t="inlineStr">
        <is>
          <t xml:space="preserve">Sim</t>
        </is>
      </c>
      <c r="U52" s="85" t="inlineStr">
        <is>
          <t xml:space="preserve">Sim</t>
        </is>
      </c>
      <c r="V52" s="85" t="inlineStr">
        <is>
          <t xml:space="preserve">Sim</t>
        </is>
      </c>
      <c r="W52" s="85" t="inlineStr">
        <is>
          <t xml:space="preserve">Sim</t>
        </is>
      </c>
      <c r="X52" s="85" t="inlineStr">
        <is>
          <t xml:space="preserve">Sim</t>
        </is>
      </c>
      <c r="Y52" s="85" t="inlineStr">
        <is>
          <t xml:space="preserve">Sim</t>
        </is>
      </c>
      <c r="Z52" s="85" t="inlineStr">
        <is>
          <t xml:space="preserve">Sim</t>
        </is>
      </c>
      <c r="AA52" s="85" t="inlineStr">
        <is>
          <t xml:space="preserve">Sim</t>
        </is>
      </c>
      <c r="AB52" s="85" t="inlineStr">
        <is>
          <t xml:space="preserve">Sim</t>
        </is>
      </c>
      <c r="AC52" s="85" t="inlineStr">
        <is>
          <t xml:space="preserve">Sim</t>
        </is>
      </c>
      <c r="AD52" s="85" t="inlineStr">
        <is>
          <t xml:space="preserve">Sim</t>
        </is>
      </c>
      <c r="AE52" s="85" t="inlineStr">
        <is>
          <t xml:space="preserve">Sim</t>
        </is>
      </c>
      <c r="AF52" s="85" t="inlineStr">
        <is>
          <t xml:space="preserve">Sim</t>
        </is>
      </c>
      <c r="AG52" s="85" t="inlineStr">
        <is>
          <t xml:space="preserve">Sim</t>
        </is>
      </c>
      <c r="AH52" s="85" t="inlineStr">
        <is>
          <t xml:space="preserve">Sim</t>
        </is>
      </c>
      <c r="AI52" s="85" t="inlineStr">
        <is>
          <t xml:space="preserve">Sim</t>
        </is>
      </c>
    </row>
    <row r="53">
      <c r="A53" s="88">
        <v>19</v>
      </c>
      <c r="B53" s="89" t="str">
        <f>Config!$B$28&amp;""</f>
        <v/>
      </c>
      <c r="C53" s="89" t="str">
        <f>IF(Config!$B$28&amp;""="","",IF(Config!$C$28="","TPC",Config!$C$28))</f>
        <v/>
      </c>
      <c r="D53" s="85" t="inlineStr">
        <is>
          <t xml:space="preserve">Sim</t>
        </is>
      </c>
      <c r="E53" s="85" t="inlineStr">
        <is>
          <t xml:space="preserve">Sim</t>
        </is>
      </c>
      <c r="F53" s="85" t="inlineStr">
        <is>
          <t xml:space="preserve">Sim</t>
        </is>
      </c>
      <c r="G53" s="85" t="inlineStr">
        <is>
          <t xml:space="preserve">Não</t>
        </is>
      </c>
      <c r="H53" s="85" t="inlineStr">
        <is>
          <t xml:space="preserve">Não</t>
        </is>
      </c>
      <c r="I53" s="85" t="inlineStr">
        <is>
          <t xml:space="preserve">Não</t>
        </is>
      </c>
      <c r="J53" s="85" t="inlineStr">
        <is>
          <t xml:space="preserve">Não</t>
        </is>
      </c>
      <c r="K53" s="85" t="inlineStr">
        <is>
          <t xml:space="preserve">Não</t>
        </is>
      </c>
      <c r="L53" s="85" t="inlineStr">
        <is>
          <t xml:space="preserve">Não</t>
        </is>
      </c>
      <c r="M53" s="85" t="inlineStr">
        <is>
          <t xml:space="preserve">Sim</t>
        </is>
      </c>
      <c r="N53" s="85" t="inlineStr">
        <is>
          <t xml:space="preserve">Não</t>
        </is>
      </c>
      <c r="O53" s="85" t="inlineStr">
        <is>
          <t xml:space="preserve">Não</t>
        </is>
      </c>
      <c r="P53" s="85" t="inlineStr">
        <is>
          <t xml:space="preserve">Não</t>
        </is>
      </c>
      <c r="Q53" s="85" t="inlineStr">
        <is>
          <t xml:space="preserve">Não</t>
        </is>
      </c>
      <c r="R53" s="85" t="inlineStr">
        <is>
          <t xml:space="preserve">Não</t>
        </is>
      </c>
      <c r="S53" s="85" t="inlineStr">
        <is>
          <t xml:space="preserve">Sim</t>
        </is>
      </c>
      <c r="T53" s="85" t="inlineStr">
        <is>
          <t xml:space="preserve">Sim</t>
        </is>
      </c>
      <c r="U53" s="85" t="inlineStr">
        <is>
          <t xml:space="preserve">Sim</t>
        </is>
      </c>
      <c r="V53" s="85" t="inlineStr">
        <is>
          <t xml:space="preserve">Sim</t>
        </is>
      </c>
      <c r="W53" s="85" t="inlineStr">
        <is>
          <t xml:space="preserve">Sim</t>
        </is>
      </c>
      <c r="X53" s="85" t="inlineStr">
        <is>
          <t xml:space="preserve">Sim</t>
        </is>
      </c>
      <c r="Y53" s="85" t="inlineStr">
        <is>
          <t xml:space="preserve">Sim</t>
        </is>
      </c>
      <c r="Z53" s="85" t="inlineStr">
        <is>
          <t xml:space="preserve">Sim</t>
        </is>
      </c>
      <c r="AA53" s="85" t="inlineStr">
        <is>
          <t xml:space="preserve">Sim</t>
        </is>
      </c>
      <c r="AB53" s="85" t="inlineStr">
        <is>
          <t xml:space="preserve">Sim</t>
        </is>
      </c>
      <c r="AC53" s="85" t="inlineStr">
        <is>
          <t xml:space="preserve">Sim</t>
        </is>
      </c>
      <c r="AD53" s="85" t="inlineStr">
        <is>
          <t xml:space="preserve">Sim</t>
        </is>
      </c>
      <c r="AE53" s="85" t="inlineStr">
        <is>
          <t xml:space="preserve">Sim</t>
        </is>
      </c>
      <c r="AF53" s="85" t="inlineStr">
        <is>
          <t xml:space="preserve">Sim</t>
        </is>
      </c>
      <c r="AG53" s="85" t="inlineStr">
        <is>
          <t xml:space="preserve">Sim</t>
        </is>
      </c>
      <c r="AH53" s="85" t="inlineStr">
        <is>
          <t xml:space="preserve">Sim</t>
        </is>
      </c>
      <c r="AI53" s="85" t="inlineStr">
        <is>
          <t xml:space="preserve">Sim</t>
        </is>
      </c>
    </row>
    <row r="54">
      <c r="A54" s="88">
        <v>20</v>
      </c>
      <c r="B54" s="89" t="str">
        <f>Config!$B$29&amp;""</f>
        <v/>
      </c>
      <c r="C54" s="89" t="str">
        <f>IF(Config!$B$29&amp;""="","",IF(Config!$C$29="","TPC",Config!$C$29))</f>
        <v/>
      </c>
      <c r="D54" s="85" t="inlineStr">
        <is>
          <t xml:space="preserve">Sim</t>
        </is>
      </c>
      <c r="E54" s="85" t="inlineStr">
        <is>
          <t xml:space="preserve">Sim</t>
        </is>
      </c>
      <c r="F54" s="85" t="inlineStr">
        <is>
          <t xml:space="preserve">Sim</t>
        </is>
      </c>
      <c r="G54" s="85" t="inlineStr">
        <is>
          <t xml:space="preserve">Não</t>
        </is>
      </c>
      <c r="H54" s="85" t="inlineStr">
        <is>
          <t xml:space="preserve">Não</t>
        </is>
      </c>
      <c r="I54" s="85" t="inlineStr">
        <is>
          <t xml:space="preserve">Não</t>
        </is>
      </c>
      <c r="J54" s="85" t="inlineStr">
        <is>
          <t xml:space="preserve">Não</t>
        </is>
      </c>
      <c r="K54" s="85" t="inlineStr">
        <is>
          <t xml:space="preserve">Não</t>
        </is>
      </c>
      <c r="L54" s="85" t="inlineStr">
        <is>
          <t xml:space="preserve">Não</t>
        </is>
      </c>
      <c r="M54" s="85" t="inlineStr">
        <is>
          <t xml:space="preserve">Sim</t>
        </is>
      </c>
      <c r="N54" s="85" t="inlineStr">
        <is>
          <t xml:space="preserve">Não</t>
        </is>
      </c>
      <c r="O54" s="85" t="inlineStr">
        <is>
          <t xml:space="preserve">Não</t>
        </is>
      </c>
      <c r="P54" s="85" t="inlineStr">
        <is>
          <t xml:space="preserve">Não</t>
        </is>
      </c>
      <c r="Q54" s="85" t="inlineStr">
        <is>
          <t xml:space="preserve">Não</t>
        </is>
      </c>
      <c r="R54" s="85" t="inlineStr">
        <is>
          <t xml:space="preserve">Não</t>
        </is>
      </c>
      <c r="S54" s="85" t="inlineStr">
        <is>
          <t xml:space="preserve">Sim</t>
        </is>
      </c>
      <c r="T54" s="85" t="inlineStr">
        <is>
          <t xml:space="preserve">Sim</t>
        </is>
      </c>
      <c r="U54" s="85" t="inlineStr">
        <is>
          <t xml:space="preserve">Sim</t>
        </is>
      </c>
      <c r="V54" s="85" t="inlineStr">
        <is>
          <t xml:space="preserve">Sim</t>
        </is>
      </c>
      <c r="W54" s="85" t="inlineStr">
        <is>
          <t xml:space="preserve">Sim</t>
        </is>
      </c>
      <c r="X54" s="85" t="inlineStr">
        <is>
          <t xml:space="preserve">Sim</t>
        </is>
      </c>
      <c r="Y54" s="85" t="inlineStr">
        <is>
          <t xml:space="preserve">Sim</t>
        </is>
      </c>
      <c r="Z54" s="85" t="inlineStr">
        <is>
          <t xml:space="preserve">Sim</t>
        </is>
      </c>
      <c r="AA54" s="85" t="inlineStr">
        <is>
          <t xml:space="preserve">Sim</t>
        </is>
      </c>
      <c r="AB54" s="85" t="inlineStr">
        <is>
          <t xml:space="preserve">Sim</t>
        </is>
      </c>
      <c r="AC54" s="85" t="inlineStr">
        <is>
          <t xml:space="preserve">Sim</t>
        </is>
      </c>
      <c r="AD54" s="85" t="inlineStr">
        <is>
          <t xml:space="preserve">Sim</t>
        </is>
      </c>
      <c r="AE54" s="85" t="inlineStr">
        <is>
          <t xml:space="preserve">Sim</t>
        </is>
      </c>
      <c r="AF54" s="85" t="inlineStr">
        <is>
          <t xml:space="preserve">Sim</t>
        </is>
      </c>
      <c r="AG54" s="85" t="inlineStr">
        <is>
          <t xml:space="preserve">Sim</t>
        </is>
      </c>
      <c r="AH54" s="85" t="inlineStr">
        <is>
          <t xml:space="preserve">Sim</t>
        </is>
      </c>
      <c r="AI54" s="85" t="inlineStr">
        <is>
          <t xml:space="preserve">Sim</t>
        </is>
      </c>
    </row>
    <row r="58" ht="22" customHeight="1">
      <c r="A58" s="87" t="inlineStr">
        <is>
          <t xml:space="preserve">3 · TEXTOS DO DASHBOARD — renomeie cards, linhas e gráficos (títulos dos gráficos 2 e 3 de cada cliente ficam na tabela 1)</t>
        </is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</row>
    <row r="59">
      <c r="A59" s="96" t="inlineStr">
        <is>
          <t xml:space="preserve">Onde aparece</t>
        </is>
      </c>
      <c r="B59" s="97"/>
      <c r="C59" s="98"/>
      <c r="D59" s="96" t="inlineStr">
        <is>
          <t xml:space="preserve">Texto</t>
        </is>
      </c>
      <c r="E59" s="97"/>
      <c r="F59" s="97"/>
      <c r="G59" s="98"/>
    </row>
    <row r="60">
      <c r="A60" s="99" t="inlineStr">
        <is>
          <t xml:space="preserve">Card IN · título</t>
        </is>
      </c>
      <c r="B60" s="100"/>
      <c r="C60" s="101"/>
      <c r="D60" s="102" t="inlineStr">
        <is>
          <t xml:space="preserve">RECEBIMENTO (IN)</t>
        </is>
      </c>
      <c r="E60" s="103"/>
      <c r="F60" s="103"/>
      <c r="G60" s="104"/>
    </row>
    <row r="61">
      <c r="A61" s="99" t="inlineStr">
        <is>
          <t xml:space="preserve">Card IN · legenda do número</t>
        </is>
      </c>
      <c r="B61" s="100"/>
      <c r="C61" s="101"/>
      <c r="D61" s="102" t="inlineStr">
        <is>
          <t xml:space="preserve">veículos recebidos</t>
        </is>
      </c>
      <c r="E61" s="103"/>
      <c r="F61" s="103"/>
      <c r="G61" s="104"/>
    </row>
    <row r="62">
      <c r="A62" s="99" t="inlineStr">
        <is>
          <t xml:space="preserve">Card OUT · título</t>
        </is>
      </c>
      <c r="B62" s="100"/>
      <c r="C62" s="101"/>
      <c r="D62" s="102" t="inlineStr">
        <is>
          <t xml:space="preserve">EXPEDIÇÃO (OUT)</t>
        </is>
      </c>
      <c r="E62" s="103"/>
      <c r="F62" s="103"/>
      <c r="G62" s="104"/>
    </row>
    <row r="63">
      <c r="A63" s="99" t="inlineStr">
        <is>
          <t xml:space="preserve">Card OUT · legenda do número</t>
        </is>
      </c>
      <c r="B63" s="100"/>
      <c r="C63" s="101"/>
      <c r="D63" s="102" t="inlineStr">
        <is>
          <t xml:space="preserve">veículos expedidos</t>
        </is>
      </c>
      <c r="E63" s="103"/>
      <c r="F63" s="103"/>
      <c r="G63" s="104"/>
    </row>
    <row r="64">
      <c r="A64" s="99" t="inlineStr">
        <is>
          <t xml:space="preserve">Card NC · título</t>
        </is>
      </c>
      <c r="B64" s="100"/>
      <c r="C64" s="101"/>
      <c r="D64" s="102" t="inlineStr">
        <is>
          <t xml:space="preserve">NC OPERACIONAL</t>
        </is>
      </c>
      <c r="E64" s="103"/>
      <c r="F64" s="103"/>
      <c r="G64" s="104"/>
    </row>
    <row r="65">
      <c r="A65" s="99" t="inlineStr">
        <is>
          <t xml:space="preserve">Card NC · legenda do número</t>
        </is>
      </c>
      <c r="B65" s="100"/>
      <c r="C65" s="101"/>
      <c r="D65" s="102" t="inlineStr">
        <is>
          <t xml:space="preserve">incidentes no período</t>
        </is>
      </c>
      <c r="E65" s="103"/>
      <c r="F65" s="103"/>
      <c r="G65" s="104"/>
    </row>
    <row r="66">
      <c r="A66" s="99" t="inlineStr">
        <is>
          <t xml:space="preserve">Card NC · linha 1</t>
        </is>
      </c>
      <c r="B66" s="100"/>
      <c r="C66" s="101"/>
      <c r="D66" s="102" t="inlineStr">
        <is>
          <t xml:space="preserve">NO SHOW</t>
        </is>
      </c>
      <c r="E66" s="103"/>
      <c r="F66" s="103"/>
      <c r="G66" s="104"/>
    </row>
    <row r="67">
      <c r="A67" s="99" t="inlineStr">
        <is>
          <t xml:space="preserve">Card NC · linha 2</t>
        </is>
      </c>
      <c r="B67" s="100"/>
      <c r="C67" s="101"/>
      <c r="D67" s="102" t="inlineStr">
        <is>
          <t xml:space="preserve">BACKLOG INTRALOG</t>
        </is>
      </c>
      <c r="E67" s="103"/>
      <c r="F67" s="103"/>
      <c r="G67" s="104"/>
    </row>
    <row r="68">
      <c r="A68" s="99" t="inlineStr">
        <is>
          <t xml:space="preserve">Card NC · linha 3</t>
        </is>
      </c>
      <c r="B68" s="100"/>
      <c r="C68" s="101"/>
      <c r="D68" s="102" t="inlineStr">
        <is>
          <t xml:space="preserve">BACKLOG CLIENTE</t>
        </is>
      </c>
      <c r="E68" s="103"/>
      <c r="F68" s="103"/>
      <c r="G68" s="104"/>
    </row>
    <row r="69">
      <c r="A69" s="99" t="inlineStr">
        <is>
          <t xml:space="preserve">Card Ocupação · título</t>
        </is>
      </c>
      <c r="B69" s="100"/>
      <c r="C69" s="101"/>
      <c r="D69" s="102" t="inlineStr">
        <is>
          <t xml:space="preserve">ÍNDICE DE OCUPAÇÃO (P.P)</t>
        </is>
      </c>
      <c r="E69" s="103"/>
      <c r="F69" s="103"/>
      <c r="G69" s="104"/>
    </row>
    <row r="70">
      <c r="A70" s="99" t="inlineStr">
        <is>
          <t xml:space="preserve">Card Ocupação · posições (cliente)</t>
        </is>
      </c>
      <c r="B70" s="100"/>
      <c r="C70" s="101"/>
      <c r="D70" s="102" t="inlineStr">
        <is>
          <t xml:space="preserve">CONTRATADA</t>
        </is>
      </c>
      <c r="E70" s="103"/>
      <c r="F70" s="103"/>
      <c r="G70" s="104"/>
    </row>
    <row r="71">
      <c r="A71" s="99" t="inlineStr">
        <is>
          <t xml:space="preserve">Card Ocupação · posições (Todos / depósito)</t>
        </is>
      </c>
      <c r="B71" s="100"/>
      <c r="C71" s="101"/>
      <c r="D71" s="102" t="inlineStr">
        <is>
          <t xml:space="preserve">ARMAZÉM</t>
        </is>
      </c>
      <c r="E71" s="103"/>
      <c r="F71" s="103"/>
      <c r="G71" s="104"/>
    </row>
    <row r="72">
      <c r="A72" s="99" t="inlineStr">
        <is>
          <t xml:space="preserve">Card Ocupação · ocupadas</t>
        </is>
      </c>
      <c r="B72" s="100"/>
      <c r="C72" s="101"/>
      <c r="D72" s="102" t="inlineStr">
        <is>
          <t xml:space="preserve">OCUPADA</t>
        </is>
      </c>
      <c r="E72" s="103"/>
      <c r="F72" s="103"/>
      <c r="G72" s="104"/>
    </row>
    <row r="73">
      <c r="A73" s="99" t="inlineStr">
        <is>
          <t xml:space="preserve">Card Ocupação · taxa</t>
        </is>
      </c>
      <c r="B73" s="100"/>
      <c r="C73" s="101"/>
      <c r="D73" s="102" t="inlineStr">
        <is>
          <t xml:space="preserve">TX OCUPAÇÃO</t>
        </is>
      </c>
      <c r="E73" s="103"/>
      <c r="F73" s="103"/>
      <c r="G73" s="104"/>
    </row>
    <row r="74">
      <c r="A74" s="99" t="inlineStr">
        <is>
          <t xml:space="preserve">Card Ocupação · ociosidade</t>
        </is>
      </c>
      <c r="B74" s="100"/>
      <c r="C74" s="101"/>
      <c r="D74" s="102" t="inlineStr">
        <is>
          <t xml:space="preserve">OCIOSIDADE</t>
        </is>
      </c>
      <c r="E74" s="103"/>
      <c r="F74" s="103"/>
      <c r="G74" s="104"/>
    </row>
    <row r="75">
      <c r="A75" s="99" t="inlineStr">
        <is>
          <t xml:space="preserve">Card Gente · título</t>
        </is>
      </c>
      <c r="B75" s="100"/>
      <c r="C75" s="101"/>
      <c r="D75" s="102" t="inlineStr">
        <is>
          <t xml:space="preserve">GENTE</t>
        </is>
      </c>
      <c r="E75" s="103"/>
      <c r="F75" s="103"/>
      <c r="G75" s="104"/>
    </row>
    <row r="76">
      <c r="A76" s="99" t="inlineStr">
        <is>
          <t xml:space="preserve">Card Gente · linha 1</t>
        </is>
      </c>
      <c r="B76" s="100"/>
      <c r="C76" s="101"/>
      <c r="D76" s="102" t="inlineStr">
        <is>
          <t xml:space="preserve">EFETIVO</t>
        </is>
      </c>
      <c r="E76" s="103"/>
      <c r="F76" s="103"/>
      <c r="G76" s="104"/>
    </row>
    <row r="77">
      <c r="A77" s="99" t="inlineStr">
        <is>
          <t xml:space="preserve">Card Gente · linha 2</t>
        </is>
      </c>
      <c r="B77" s="100"/>
      <c r="C77" s="101"/>
      <c r="D77" s="102" t="inlineStr">
        <is>
          <t xml:space="preserve">ABSENTEÍSMO (H/H)</t>
        </is>
      </c>
      <c r="E77" s="103"/>
      <c r="F77" s="103"/>
      <c r="G77" s="104"/>
    </row>
    <row r="78">
      <c r="A78" s="99" t="inlineStr">
        <is>
          <t xml:space="preserve">Card Gente · linha 3</t>
        </is>
      </c>
      <c r="B78" s="100"/>
      <c r="C78" s="101"/>
      <c r="D78" s="102" t="inlineStr">
        <is>
          <t xml:space="preserve">FÉRIAS</t>
        </is>
      </c>
      <c r="E78" s="103"/>
      <c r="F78" s="103"/>
      <c r="G78" s="104"/>
    </row>
    <row r="79">
      <c r="A79" s="99" t="inlineStr">
        <is>
          <t xml:space="preserve">Card Gente · linha 4</t>
        </is>
      </c>
      <c r="B79" s="100"/>
      <c r="C79" s="101"/>
      <c r="D79" s="102" t="inlineStr">
        <is>
          <t xml:space="preserve">TURNOVER</t>
        </is>
      </c>
      <c r="E79" s="103"/>
      <c r="F79" s="103"/>
      <c r="G79" s="104"/>
    </row>
    <row r="80">
      <c r="A80" s="99" t="inlineStr">
        <is>
          <t xml:space="preserve">Card Gente · linha 5</t>
        </is>
      </c>
      <c r="B80" s="100"/>
      <c r="C80" s="101"/>
      <c r="D80" s="102" t="inlineStr">
        <is>
          <t xml:space="preserve">DESVIOS COMPORTAM.</t>
        </is>
      </c>
      <c r="E80" s="103"/>
      <c r="F80" s="103"/>
      <c r="G80" s="104"/>
    </row>
    <row r="81">
      <c r="A81" s="99" t="inlineStr">
        <is>
          <t xml:space="preserve">Card Gente · linha 6</t>
        </is>
      </c>
      <c r="B81" s="100"/>
      <c r="C81" s="101"/>
      <c r="D81" s="102" t="inlineStr">
        <is>
          <t xml:space="preserve">ACIDENTES (CAF/SAF)</t>
        </is>
      </c>
      <c r="E81" s="103"/>
      <c r="F81" s="103"/>
      <c r="G81" s="104"/>
    </row>
    <row r="82">
      <c r="A82" s="99" t="inlineStr">
        <is>
          <t xml:space="preserve">Gráfico 1 · título</t>
        </is>
      </c>
      <c r="B82" s="100"/>
      <c r="C82" s="101"/>
      <c r="D82" s="102" t="inlineStr">
        <is>
          <t xml:space="preserve">MOVIMENTAÇÃO VEÍCULO/DIA</t>
        </is>
      </c>
      <c r="E82" s="103"/>
      <c r="F82" s="103"/>
      <c r="G82" s="104"/>
    </row>
    <row r="83">
      <c r="A83" s="99" t="inlineStr">
        <is>
          <t xml:space="preserve">Gráfico 1 · série IN</t>
        </is>
      </c>
      <c r="B83" s="100"/>
      <c r="C83" s="101"/>
      <c r="D83" s="102" t="inlineStr">
        <is>
          <t xml:space="preserve">Recebidos (IN)</t>
        </is>
      </c>
      <c r="E83" s="103"/>
      <c r="F83" s="103"/>
      <c r="G83" s="104"/>
    </row>
    <row r="84">
      <c r="A84" s="99" t="inlineStr">
        <is>
          <t xml:space="preserve">Gráfico 1 · série OUT</t>
        </is>
      </c>
      <c r="B84" s="100"/>
      <c r="C84" s="101"/>
      <c r="D84" s="102" t="inlineStr">
        <is>
          <t xml:space="preserve">Expedidos (OUT)</t>
        </is>
      </c>
      <c r="E84" s="103"/>
      <c r="F84" s="103"/>
      <c r="G84" s="104"/>
    </row>
    <row r="85">
      <c r="A85" s="99" t="inlineStr">
        <is>
          <t xml:space="preserve">Gráfico ocupação · título</t>
        </is>
      </c>
      <c r="B85" s="100"/>
      <c r="C85" s="101"/>
      <c r="D85" s="102" t="inlineStr">
        <is>
          <t xml:space="preserve">OCUPAÇÃO DIÁRIA</t>
        </is>
      </c>
      <c r="E85" s="103"/>
      <c r="F85" s="103"/>
      <c r="G85" s="104"/>
    </row>
    <row r="86">
      <c r="A86" s="99" t="inlineStr">
        <is>
          <t xml:space="preserve">Gráfico ocupação · título (só ocupadas)</t>
        </is>
      </c>
      <c r="B86" s="100"/>
      <c r="C86" s="101"/>
      <c r="D86" s="102" t="inlineStr">
        <is>
          <t xml:space="preserve">POSIÇÕES OCUPADAS/DIA</t>
        </is>
      </c>
      <c r="E86" s="103"/>
      <c r="F86" s="103"/>
      <c r="G86" s="104"/>
    </row>
    <row r="87">
      <c r="A87" s="99" t="inlineStr">
        <is>
          <t xml:space="preserve">Gráfico ocupação · título (não se aplica)</t>
        </is>
      </c>
      <c r="B87" s="100"/>
      <c r="C87" s="101"/>
      <c r="D87" s="102" t="inlineStr">
        <is>
          <t xml:space="preserve">OCUPAÇÃO — NÃO SE APLICA</t>
        </is>
      </c>
      <c r="E87" s="103"/>
      <c r="F87" s="103"/>
      <c r="G87" s="104"/>
    </row>
    <row r="88">
      <c r="A88" s="99" t="inlineStr">
        <is>
          <t xml:space="preserve">Gráfico ocupação · série ocupada</t>
        </is>
      </c>
      <c r="B88" s="100"/>
      <c r="C88" s="101"/>
      <c r="D88" s="102" t="inlineStr">
        <is>
          <t xml:space="preserve">Ocupada (p.p)</t>
        </is>
      </c>
      <c r="E88" s="103"/>
      <c r="F88" s="103"/>
      <c r="G88" s="104"/>
    </row>
    <row r="89">
      <c r="A89" s="99" t="inlineStr">
        <is>
          <t xml:space="preserve">Gráfico ocupação · linha (cliente)</t>
        </is>
      </c>
      <c r="B89" s="100"/>
      <c r="C89" s="101"/>
      <c r="D89" s="102" t="inlineStr">
        <is>
          <t xml:space="preserve">Contratada (p.p)</t>
        </is>
      </c>
      <c r="E89" s="103"/>
      <c r="F89" s="103"/>
      <c r="G89" s="104"/>
    </row>
    <row r="90">
      <c r="A90" s="99" t="inlineStr">
        <is>
          <t xml:space="preserve">Gráfico ocupação · linha (Todos / depósito)</t>
        </is>
      </c>
      <c r="B90" s="100"/>
      <c r="C90" s="101"/>
      <c r="D90" s="102" t="inlineStr">
        <is>
          <t xml:space="preserve">Capacidade do armazém (p.p)</t>
        </is>
      </c>
      <c r="E90" s="103"/>
      <c r="F90" s="103"/>
      <c r="G90" s="104"/>
    </row>
    <row r="94" ht="22" customHeight="1">
      <c r="A94" s="87" t="inlineStr">
        <is>
          <t xml:space="preserve">4 · PARÂMETROS — capacidade do armazém (posições) e faixas da taxa de ocupação</t>
        </is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</row>
    <row r="95">
      <c r="A95" s="96" t="inlineStr">
        <is>
          <t xml:space="preserve">Parâmetro</t>
        </is>
      </c>
      <c r="B95" s="98"/>
      <c r="C95" s="16" t="inlineStr">
        <is>
          <t xml:space="preserve">Valor</t>
        </is>
      </c>
    </row>
    <row r="96">
      <c r="A96" s="99" t="inlineStr">
        <is>
          <t xml:space="preserve">Capacidade do armazém TPC (posições)</t>
        </is>
      </c>
      <c r="B96" s="101"/>
      <c r="C96" s="91">
        <v>23040</v>
      </c>
    </row>
    <row r="97">
      <c r="A97" s="99" t="inlineStr">
        <is>
          <t xml:space="preserve">Ocupação · faixa de atenção (amarelo a partir de)</t>
        </is>
      </c>
      <c r="B97" s="101"/>
      <c r="C97" s="105">
        <v>0.7</v>
      </c>
    </row>
    <row r="98">
      <c r="A98" s="99" t="inlineStr">
        <is>
          <t xml:space="preserve">Ocupação · faixa alta (verde a partir de)</t>
        </is>
      </c>
      <c r="B98" s="101"/>
      <c r="C98" s="105">
        <v>0.9</v>
      </c>
    </row>
  </sheetData>
  <sheetProtection password="CC78" sheet="1" objects="1" scenarios="1"/>
  <mergeCells count="78">
    <mergeCell ref="A1:V1"/>
    <mergeCell ref="A2:V2"/>
    <mergeCell ref="A3:V3"/>
    <mergeCell ref="A4:V4"/>
    <mergeCell ref="A5:V5"/>
    <mergeCell ref="AL7:AR7"/>
    <mergeCell ref="A7:V7"/>
    <mergeCell ref="A33:V33"/>
    <mergeCell ref="A58:V58"/>
    <mergeCell ref="A59:C59"/>
    <mergeCell ref="D59:G59"/>
    <mergeCell ref="A60:C60"/>
    <mergeCell ref="D60:G60"/>
    <mergeCell ref="A61:C61"/>
    <mergeCell ref="D61:G61"/>
    <mergeCell ref="A62:C62"/>
    <mergeCell ref="D62:G62"/>
    <mergeCell ref="A63:C63"/>
    <mergeCell ref="D63:G63"/>
    <mergeCell ref="A64:C64"/>
    <mergeCell ref="D64:G64"/>
    <mergeCell ref="A65:C65"/>
    <mergeCell ref="D65:G65"/>
    <mergeCell ref="A66:C66"/>
    <mergeCell ref="D66:G66"/>
    <mergeCell ref="A67:C67"/>
    <mergeCell ref="D67:G67"/>
    <mergeCell ref="A68:C68"/>
    <mergeCell ref="D68:G68"/>
    <mergeCell ref="A69:C69"/>
    <mergeCell ref="D69:G69"/>
    <mergeCell ref="A70:C70"/>
    <mergeCell ref="D70:G70"/>
    <mergeCell ref="A71:C71"/>
    <mergeCell ref="D71:G71"/>
    <mergeCell ref="A72:C72"/>
    <mergeCell ref="D72:G72"/>
    <mergeCell ref="A73:C73"/>
    <mergeCell ref="D73:G73"/>
    <mergeCell ref="A74:C74"/>
    <mergeCell ref="D74:G74"/>
    <mergeCell ref="A75:C75"/>
    <mergeCell ref="D75:G75"/>
    <mergeCell ref="A76:C76"/>
    <mergeCell ref="D76:G76"/>
    <mergeCell ref="A77:C77"/>
    <mergeCell ref="D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C89"/>
    <mergeCell ref="D89:G89"/>
    <mergeCell ref="A90:C90"/>
    <mergeCell ref="D90:G90"/>
    <mergeCell ref="A94:V94"/>
    <mergeCell ref="A95:B95"/>
    <mergeCell ref="A96:B96"/>
    <mergeCell ref="A97:B97"/>
    <mergeCell ref="A98:B98"/>
  </mergeCells>
  <conditionalFormatting sqref="C10:V29">
    <cfRule type="expression" dxfId="5" priority="1" stopIfTrue="1">
      <formula>$B10=""</formula>
    </cfRule>
  </conditionalFormatting>
  <conditionalFormatting sqref="F9:F29">
    <cfRule type="expression" dxfId="3" priority="2">
      <formula>F9="Não se aplica"</formula>
    </cfRule>
  </conditionalFormatting>
  <conditionalFormatting sqref="J9:J29">
    <cfRule type="expression" dxfId="3" priority="3">
      <formula>J9="Não se aplica"</formula>
    </cfRule>
  </conditionalFormatting>
  <conditionalFormatting sqref="N9:N29">
    <cfRule type="expression" dxfId="3" priority="4">
      <formula>N9="Não se aplica"</formula>
    </cfRule>
  </conditionalFormatting>
  <conditionalFormatting sqref="N9:N29">
    <cfRule type="expression" dxfId="4" priority="5">
      <formula>N9="Só ocupadas"</formula>
    </cfRule>
  </conditionalFormatting>
  <conditionalFormatting sqref="D35:AI54">
    <cfRule type="expression" dxfId="5" priority="6" stopIfTrue="1">
      <formula>$B35=""</formula>
    </cfRule>
  </conditionalFormatting>
  <conditionalFormatting sqref="D35:AI54">
    <cfRule type="expression" dxfId="3" priority="7">
      <formula>D35="Não"</formula>
    </cfRule>
  </conditionalFormatting>
  <dataValidations count="19">
    <dataValidation type="custom" allowBlank="1" showInputMessage="1" showErrorMessage="1" promptTitle="Cliente" prompt="Nome igual ao usado na BD. Apague para liberar a vaga." errorTitle="Nome repetido" error="Este cliente já está cadastrado em outra vaga." sqref="B10:B29">
      <formula1>COUNTIF($B$9:$B$29,B10)=1</formula1>
    </dataValidation>
    <dataValidation type="list" allowBlank="1" showInputMessage="1" showErrorMessage="1" promptTitle="Depósito" prompt="TPC" errorTitle="Valor inválido" error="Escolha um valor da lista." sqref="C10:C29">
      <formula1>"TPC"</formula1>
    </dataValidation>
    <dataValidation type="list" allowBlank="1" showInputMessage="1" showErrorMessage="1" promptTitle="Modalidade" prompt="Contrato (informe as posições contratadas), Spot ou Cross. Vai para a BD automaticamente." errorTitle="Valor inválido" error="Escolha um valor da lista." sqref="D10:D29">
      <formula1>"Contrato,Spot,Cross"</formula1>
    </dataValidation>
    <dataValidation type="decimal" operator="greaterThanOrEqual" allowBlank="1" showInputMessage="1" showErrorMessage="1" promptTitle="Posições contratadas" prompt="Só para Contrato. Vira a coluna Posições Disponíveis da BD." errorTitle="Valor inválido" error="Use 0 ou um número maior." sqref="E10:E29">
      <formula1>0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G9:G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H9:H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I9:I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K9:K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L9:L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M9:M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O9:O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P9:P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S9:S29">
      <formula1>Config!$AL$9:$AL$38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T9:T29">
      <formula1>Config!$AL$9:$AL$38</formula1>
    </dataValidation>
    <dataValidation type="list" allowBlank="1" showInputMessage="1" showErrorMessage="1" promptTitle="Card" prompt="Sim ou Não se aplica." errorTitle="Valor inválido" error="Escolha um valor da lista." sqref="F9:F29">
      <formula1>"Sim,Não se aplica"</formula1>
    </dataValidation>
    <dataValidation type="list" allowBlank="1" showInputMessage="1" showErrorMessage="1" promptTitle="Card" prompt="Sim ou Não se aplica." errorTitle="Valor inválido" error="Escolha um valor da lista." sqref="J9:J29">
      <formula1>"Sim,Não se aplica"</formula1>
    </dataValidation>
    <dataValidation type="list" allowBlank="1" showInputMessage="1" showErrorMessage="1" promptTitle="Card Ocupação" prompt="Completo, Só ocupadas (sem contratada e taxa) ou Não se aplica." errorTitle="Valor inválido" error="Escolha um valor da lista." sqref="N9:N29">
      <formula1>"Completo,Só ocupadas,Não se aplica"</formula1>
    </dataValidation>
    <dataValidation type="list" allowBlank="1" showInputMessage="1" showErrorMessage="1" promptTitle="Coluna na BD" prompt="Sim = o cliente preenche · Não = coluna bloqueada para o cliente." errorTitle="Valor inválido" error="Escolha um valor da lista." sqref="D35:AI54">
      <formula1>"Sim,Não"</formula1>
    </dataValidation>
    <dataValidation type="decimal" operator="greaterThanOrEqual" allowBlank="1" showInputMessage="0" showErrorMessage="1" errorTitle="Valor inválido" error="Use 0 ou um número maior." sqref="C96:C98">
      <formula1>0</formula1>
    </dataValidation>
  </dataValidations>
  <pageMargins left="0.25" right="0.25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X374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40" max="40" width="20" customWidth="1"/>
    <col min="42" max="42" width="22" customWidth="1"/>
    <col min="43" max="43" width="12" customWidth="1"/>
    <col min="45" max="45" width="52" customWidth="1"/>
    <col min="48" max="48" width="14" customWidth="1"/>
    <col min="50" max="50" width="20" customWidth="1"/>
  </cols>
  <sheetData>
    <row r="1">
      <c r="A1" s="37" t="inlineStr">
        <is>
          <t xml:space="preserve">CÁLCULOS — base da aba Consol Mensal (mês e filtro da própria aba) · gerado automaticamente</t>
        </is>
      </c>
    </row>
    <row r="2">
      <c r="A2" s="38" t="inlineStr">
        <is>
          <t xml:space="preserve">Cliente selecionado</t>
        </is>
      </c>
      <c r="B2" s="38" t="str">
        <f>IF(OR('Consol Mensal'!$D$3="",'Consol Mensal'!$D$3="Todos"),"Todos",'Consol Mensal'!$D$3)</f>
        <v>Todos</v>
      </c>
      <c r="C2" s="39">
        <f>IF(LEFT($B$2,9)="Depósito ",2,1)</f>
        <v>1</v>
      </c>
      <c r="D2" s="40" t="str">
        <f>IF($C$2=2,MID($B$2,10,60),$B$2)</f>
        <v>Todos</v>
      </c>
      <c r="E2" s="40" t="str">
        <f>IFERROR(INDEX($AQ$12:$AQ$32,MATCH($B$2,$AP$12:$AP$32,0)),"")</f>
        <v>TPC</v>
      </c>
    </row>
    <row r="3">
      <c r="A3" s="38" t="inlineStr">
        <is>
          <t xml:space="preserve">Capacidade (posições)</t>
        </is>
      </c>
      <c r="B3" s="41">
        <f>SUM($AW$13:$AW$13)</f>
        <v>23040</v>
      </c>
      <c r="C3" s="36" t="inlineStr">
        <is>
          <t xml:space="preserve">soma dos depósitos (tabela de capacidade à direita, células amarelas)</t>
        </is>
      </c>
    </row>
    <row r="4">
      <c r="A4" s="36" t="inlineStr">
        <is>
          <t xml:space="preserve">Capacidade (repetida p/ fórmulas)</t>
        </is>
      </c>
      <c r="B4" s="42">
        <f>$B$3</f>
        <v>23040</v>
      </c>
    </row>
    <row r="5">
      <c r="A5" s="38" t="inlineStr">
        <is>
          <t xml:space="preserve">Faixa de atenção (ocupação)</t>
        </is>
      </c>
      <c r="B5" s="43">
        <f>N(Config!$C$97)</f>
        <v>0.7</v>
      </c>
      <c r="C5" s="36" t="inlineStr">
        <is>
          <t xml:space="preserve">parâmetros na aba Config</t>
        </is>
      </c>
    </row>
    <row r="6">
      <c r="A6" s="38" t="inlineStr">
        <is>
          <t xml:space="preserve">Faixa crítica (ocupação)</t>
        </is>
      </c>
      <c r="B6" s="43">
        <f>N(Config!$C$98)</f>
        <v>0.9</v>
      </c>
    </row>
    <row r="7">
      <c r="A7" s="38" t="inlineStr">
        <is>
          <t xml:space="preserve">Competência</t>
        </is>
      </c>
      <c r="B7" s="45" t="str">
        <f>INDEX({"Janeiro","Fevereiro","Março","Abril","Maio","Junho","Julho","Agosto","Setembro","Outubro","Novembro","Dezembro"},MONTH($C$7))&amp;"/"&amp;YEAR($C$7)</f>
        <v>Outubro/2026</v>
      </c>
      <c r="C7" s="44">
        <f>IF(ISNUMBER('Consol Mensal'!$V$1),DATE(YEAR('Consol Mensal'!$V$1),MONTH('Consol Mensal'!$V$1),1),IFERROR(DATE(VALUE(RIGHT(TRIM('Consol Mensal'!$V$1),4)),MATCH(TRIM(LEFT('Consol Mensal'!$V$1,FIND("·",'Consol Mensal'!$V$1)-1)),{"JANEIRO","FEVEREIRO","MARÇO","ABRIL","MAIO","JUNHO","JULHO","AGOSTO","SETEMBRO","OUTUBRO","NOVEMBRO","DEZEMBRO"},0),1),DATE(2026,10,1)))</f>
        <v>46296</v>
      </c>
      <c r="D7" s="44">
        <f>DATE(YEAR($C$7),MONTH($C$7)+1,0)</f>
        <v>46326</v>
      </c>
    </row>
    <row r="8">
      <c r="A8" s="38" t="inlineStr">
        <is>
          <t xml:space="preserve">Mês anterior (comparação)</t>
        </is>
      </c>
      <c r="B8" s="45" t="str">
        <f>INDEX({"Janeiro","Fevereiro","Março","Abril","Maio","Junho","Julho","Agosto","Setembro","Outubro","Novembro","Dezembro"},MONTH($C$8))&amp;"/"&amp;YEAR($C$8)</f>
        <v>Setembro/2026</v>
      </c>
      <c r="C8" s="44">
        <f>DATE(YEAR($C$7),MONTH($C$7)-1,1)</f>
        <v>46266</v>
      </c>
      <c r="D8" s="44">
        <f>IF($B$9=0,$C$8-1,$C$8+MIN($B$9,DAY($C$7-1))-1)</f>
        <v>46265</v>
      </c>
    </row>
    <row r="9">
      <c r="A9" s="38" t="inlineStr">
        <is>
          <t xml:space="preserve">Último dia com dado no mês</t>
        </is>
      </c>
      <c r="B9" s="46">
        <f>IF(COUNTIFS(BD!$A$3:$A$5001,"&gt;="&amp;$C$7,BD!$A$3:$A$5001,"&lt;="&amp;$D$7)=0,0,DAY(_xlfn.MAXIFS(BD!$A$3:$A$5001,BD!$A$3:$A$5001,"&gt;="&amp;$C$7,BD!$A$3:$A$5001,"&lt;="&amp;$D$7)))</f>
        <v>0</v>
      </c>
      <c r="C9" s="36" t="inlineStr">
        <is>
          <t xml:space="preserve">o mês anterior é comparado do dia 1 até este dia</t>
        </is>
      </c>
    </row>
    <row r="10">
      <c r="AO10" s="48" t="inlineStr">
        <is>
          <t xml:space="preserve">clientes</t>
        </is>
      </c>
      <c r="AP10" s="49">
        <f>MAX(1,$AR$32)</f>
        <v>10</v>
      </c>
    </row>
    <row r="11" ht="40" customHeight="1">
      <c r="A11" s="47" t="inlineStr">
        <is>
          <t xml:space="preserve">Dia</t>
        </is>
      </c>
      <c r="B11" s="47" t="inlineStr">
        <is>
          <t xml:space="preserve">Data</t>
        </is>
      </c>
      <c r="C11" s="47" t="inlineStr">
        <is>
          <t xml:space="preserve">IN Veículos Recebidos</t>
        </is>
      </c>
      <c r="D11" s="47" t="inlineStr">
        <is>
          <t xml:space="preserve">IN Pallets Movimentados</t>
        </is>
      </c>
      <c r="E11" s="47" t="inlineStr">
        <is>
          <t xml:space="preserve">IN Toneladas Movimentadas</t>
        </is>
      </c>
      <c r="F11" s="47" t="inlineStr">
        <is>
          <t xml:space="preserve">IN Linhas NF</t>
        </is>
      </c>
      <c r="G11" s="47" t="inlineStr">
        <is>
          <t xml:space="preserve">IN Caixas Movimentadas</t>
        </is>
      </c>
      <c r="H11" s="47" t="inlineStr">
        <is>
          <t xml:space="preserve">IN Itens Recebidos</t>
        </is>
      </c>
      <c r="I11" s="47" t="inlineStr">
        <is>
          <t xml:space="preserve">IN Itens Recebidos CX Mista</t>
        </is>
      </c>
      <c r="J11" s="47" t="inlineStr">
        <is>
          <t xml:space="preserve">IN Caixas Fechadas</t>
        </is>
      </c>
      <c r="K11" s="47" t="inlineStr">
        <is>
          <t xml:space="preserve">IN Caixas Mistas Recebidas</t>
        </is>
      </c>
      <c r="L11" s="47" t="inlineStr">
        <is>
          <t xml:space="preserve">OUT Veículos Expedidos</t>
        </is>
      </c>
      <c r="M11" s="47" t="inlineStr">
        <is>
          <t xml:space="preserve">OUT Pedidos Expedidos</t>
        </is>
      </c>
      <c r="N11" s="47" t="inlineStr">
        <is>
          <t xml:space="preserve">OUT Pedidos Faturados</t>
        </is>
      </c>
      <c r="O11" s="47" t="inlineStr">
        <is>
          <t xml:space="preserve">OUT Itens Expedidos</t>
        </is>
      </c>
      <c r="P11" s="47" t="inlineStr">
        <is>
          <t xml:space="preserve">OUT Linhas NF</t>
        </is>
      </c>
      <c r="Q11" s="47" t="inlineStr">
        <is>
          <t xml:space="preserve">OUT Caixas Expedidas</t>
        </is>
      </c>
      <c r="R11" s="47" t="inlineStr">
        <is>
          <t xml:space="preserve">OUT Pallets Movimentados</t>
        </is>
      </c>
      <c r="S11" s="47" t="inlineStr">
        <is>
          <t xml:space="preserve">OUT Toneladas Movimentadas</t>
        </is>
      </c>
      <c r="T11" s="47" t="inlineStr">
        <is>
          <t xml:space="preserve">NC Incidentes</t>
        </is>
      </c>
      <c r="U11" s="47" t="inlineStr">
        <is>
          <t xml:space="preserve">NC No show</t>
        </is>
      </c>
      <c r="V11" s="47" t="inlineStr">
        <is>
          <t xml:space="preserve">NC Backlog Intralog</t>
        </is>
      </c>
      <c r="W11" s="47" t="inlineStr">
        <is>
          <t xml:space="preserve">NC Backlog Cliente</t>
        </is>
      </c>
      <c r="X11" s="47" t="inlineStr">
        <is>
          <t xml:space="preserve">OCUPAÇÃO (P.P) Posições Disponíveis</t>
        </is>
      </c>
      <c r="Y11" s="47" t="inlineStr">
        <is>
          <t xml:space="preserve">OCUPAÇÃO (P.P) Posições Ocupadas</t>
        </is>
      </c>
      <c r="Z11" s="47" t="inlineStr">
        <is>
          <t xml:space="preserve">OCUPAÇÃO (P.P) Taxa de Ocupação</t>
        </is>
      </c>
      <c r="AA11" s="47" t="inlineStr">
        <is>
          <t xml:space="preserve">GENTE Efetivo Op.</t>
        </is>
      </c>
      <c r="AB11" s="47" t="inlineStr">
        <is>
          <t xml:space="preserve">GENTE Falta</t>
        </is>
      </c>
      <c r="AC11" s="47" t="inlineStr">
        <is>
          <t xml:space="preserve">GENTE Absenteísmo (H/H)</t>
        </is>
      </c>
      <c r="AD11" s="47" t="inlineStr">
        <is>
          <t xml:space="preserve">GENTE Folga</t>
        </is>
      </c>
      <c r="AE11" s="47" t="inlineStr">
        <is>
          <t xml:space="preserve">GENTE Férias</t>
        </is>
      </c>
      <c r="AF11" s="47" t="inlineStr">
        <is>
          <t xml:space="preserve">GENTE Desligamento</t>
        </is>
      </c>
      <c r="AG11" s="47" t="inlineStr">
        <is>
          <t xml:space="preserve">GENTE Desvios Comportamentais</t>
        </is>
      </c>
      <c r="AH11" s="47" t="inlineStr">
        <is>
          <t xml:space="preserve">GENTE Acidentes CAF</t>
        </is>
      </c>
      <c r="AI11" s="47" t="inlineStr">
        <is>
          <t xml:space="preserve">GENTE Acidentes SAF</t>
        </is>
      </c>
      <c r="AJ11" s="47" t="inlineStr">
        <is>
          <t xml:space="preserve">Faixa atenção</t>
        </is>
      </c>
      <c r="AK11" s="47" t="inlineStr">
        <is>
          <t xml:space="preserve">Faixa crítica</t>
        </is>
      </c>
      <c r="AN11" s="47" t="inlineStr">
        <is>
          <t xml:space="preserve">Meses (filtros das abas)</t>
        </is>
      </c>
      <c r="AP11" s="47" t="inlineStr">
        <is>
          <t xml:space="preserve">Filtro: depósito / cliente</t>
        </is>
      </c>
      <c r="AQ11" s="47" t="inlineStr">
        <is>
          <t xml:space="preserve">Depósito</t>
        </is>
      </c>
      <c r="AR11" s="47" t="inlineStr">
        <is>
          <t xml:space="preserve">Nº (vagas)</t>
        </is>
      </c>
      <c r="AS11" s="47" t="inlineStr">
        <is>
          <t xml:space="preserve">Títulos dos gráficos (seguem os filtros)</t>
        </is>
      </c>
    </row>
    <row r="12">
      <c r="A12" s="39">
        <v>1</v>
      </c>
      <c r="B12" s="57">
        <f>IF($A12&lt;=DAY($D$7),$C$7+$A12-1,"")</f>
        <v>46296</v>
      </c>
      <c r="C12" s="42">
        <f>IF($B12="","",IF($B$2="Todos",SUMIFS(BD!$C$3:$C$5001,BD!$A$3:$A$5001,$B12),SUMIFS(BD!$C$3:$C$5001,BD!$A$3:$A$5001,$B12,BD!$B$3:$B$5001,$D$2)))</f>
        <v>0</v>
      </c>
      <c r="D12" s="42">
        <f>IF($B12="","",IF($B$2="Todos",SUMIFS(BD!$D$3:$D$5001,BD!$A$3:$A$5001,$B12),SUMIFS(BD!$D$3:$D$5001,BD!$A$3:$A$5001,$B12,BD!$B$3:$B$5001,$D$2)))</f>
        <v>0</v>
      </c>
      <c r="E12" s="58">
        <f>IF($B12="","",IF($B$2="Todos",SUMIFS(BD!$E$3:$E$5001,BD!$A$3:$A$5001,$B12),SUMIFS(BD!$E$3:$E$5001,BD!$A$3:$A$5001,$B12,BD!$B$3:$B$5001,$D$2)))</f>
        <v>0</v>
      </c>
      <c r="F12" s="42">
        <f>IF($B12="","",IF($B$2="Todos",SUMIFS(BD!$F$3:$F$5001,BD!$A$3:$A$5001,$B12),SUMIFS(BD!$F$3:$F$5001,BD!$A$3:$A$5001,$B12,BD!$B$3:$B$5001,$D$2)))</f>
        <v>0</v>
      </c>
      <c r="G12" s="42">
        <f>IF($B12="","",IF($B$2="Todos",SUMIFS(BD!$G$3:$G$5001,BD!$A$3:$A$5001,$B12),SUMIFS(BD!$G$3:$G$5001,BD!$A$3:$A$5001,$B12,BD!$B$3:$B$5001,$D$2)))</f>
        <v>0</v>
      </c>
      <c r="H12" s="42">
        <f>IF($B12="","",IF($B$2="Todos",SUMIFS(BD!$H$3:$H$5001,BD!$A$3:$A$5001,$B12),SUMIFS(BD!$H$3:$H$5001,BD!$A$3:$A$5001,$B12,BD!$B$3:$B$5001,$D$2)))</f>
        <v>0</v>
      </c>
      <c r="I12" s="42">
        <f>IF($B12="","",IF($B$2="Todos",SUMIFS(BD!$I$3:$I$5001,BD!$A$3:$A$5001,$B12),SUMIFS(BD!$I$3:$I$5001,BD!$A$3:$A$5001,$B12,BD!$B$3:$B$5001,$D$2)))</f>
        <v>0</v>
      </c>
      <c r="J12" s="42">
        <f>IF($B12="","",IF($B$2="Todos",SUMIFS(BD!$J$3:$J$5001,BD!$A$3:$A$5001,$B12),SUMIFS(BD!$J$3:$J$5001,BD!$A$3:$A$5001,$B12,BD!$B$3:$B$5001,$D$2)))</f>
        <v>0</v>
      </c>
      <c r="K12" s="42">
        <f>IF($B12="","",IF($B$2="Todos",SUMIFS(BD!$K$3:$K$5001,BD!$A$3:$A$5001,$B12),SUMIFS(BD!$K$3:$K$5001,BD!$A$3:$A$5001,$B12,BD!$B$3:$B$5001,$D$2)))</f>
        <v>0</v>
      </c>
      <c r="L12" s="42">
        <f>IF($B12="","",IF($B$2="Todos",SUMIFS(BD!$L$3:$L$5001,BD!$A$3:$A$5001,$B12),SUMIFS(BD!$L$3:$L$5001,BD!$A$3:$A$5001,$B12,BD!$B$3:$B$5001,$D$2)))</f>
        <v>0</v>
      </c>
      <c r="M12" s="42">
        <f>IF($B12="","",IF($B$2="Todos",SUMIFS(BD!$M$3:$M$5001,BD!$A$3:$A$5001,$B12),SUMIFS(BD!$M$3:$M$5001,BD!$A$3:$A$5001,$B12,BD!$B$3:$B$5001,$D$2)))</f>
        <v>0</v>
      </c>
      <c r="N12" s="42">
        <f>IF($B12="","",IF($B$2="Todos",SUMIFS(BD!$N$3:$N$5001,BD!$A$3:$A$5001,$B12),SUMIFS(BD!$N$3:$N$5001,BD!$A$3:$A$5001,$B12,BD!$B$3:$B$5001,$D$2)))</f>
        <v>0</v>
      </c>
      <c r="O12" s="42">
        <f>IF($B12="","",IF($B$2="Todos",SUMIFS(BD!$O$3:$O$5001,BD!$A$3:$A$5001,$B12),SUMIFS(BD!$O$3:$O$5001,BD!$A$3:$A$5001,$B12,BD!$B$3:$B$5001,$D$2)))</f>
        <v>0</v>
      </c>
      <c r="P12" s="42">
        <f>IF($B12="","",IF($B$2="Todos",SUMIFS(BD!$P$3:$P$5001,BD!$A$3:$A$5001,$B12),SUMIFS(BD!$P$3:$P$5001,BD!$A$3:$A$5001,$B12,BD!$B$3:$B$5001,$D$2)))</f>
        <v>0</v>
      </c>
      <c r="Q12" s="42">
        <f>IF($B12="","",IF($B$2="Todos",SUMIFS(BD!$Q$3:$Q$5001,BD!$A$3:$A$5001,$B12),SUMIFS(BD!$Q$3:$Q$5001,BD!$A$3:$A$5001,$B12,BD!$B$3:$B$5001,$D$2)))</f>
        <v>0</v>
      </c>
      <c r="R12" s="42">
        <f>IF($B12="","",IF($B$2="Todos",SUMIFS(BD!$R$3:$R$5001,BD!$A$3:$A$5001,$B12),SUMIFS(BD!$R$3:$R$5001,BD!$A$3:$A$5001,$B12,BD!$B$3:$B$5001,$D$2)))</f>
        <v>0</v>
      </c>
      <c r="S12" s="58">
        <f>IF($B12="","",IF($B$2="Todos",SUMIFS(BD!$S$3:$S$5001,BD!$A$3:$A$5001,$B12),SUMIFS(BD!$S$3:$S$5001,BD!$A$3:$A$5001,$B12,BD!$B$3:$B$5001,$D$2)))</f>
        <v>0</v>
      </c>
      <c r="T12" s="42">
        <f>IF($B12="","",IF($B$2="Todos",SUMIFS(BD!$T$3:$T$5001,BD!$A$3:$A$5001,$B12),SUMIFS(BD!$T$3:$T$5001,BD!$A$3:$A$5001,$B12,BD!$B$3:$B$5001,$D$2)))</f>
        <v>0</v>
      </c>
      <c r="U12" s="42">
        <f>IF($B12="","",IF($B$2="Todos",SUMIFS(BD!$U$3:$U$5001,BD!$A$3:$A$5001,$B12),SUMIFS(BD!$U$3:$U$5001,BD!$A$3:$A$5001,$B12,BD!$B$3:$B$5001,$D$2)))</f>
        <v>0</v>
      </c>
      <c r="V12" s="42" t="str">
        <f>IF($B$2="Todos",IF(COUNT($C$141:$V$141)=0,"",SUM($C$141:$V$141)),IFERROR(INDEX($C$141:$V$141,MATCH($D$2,$C$140:$V$140,0)),""))</f>
        <v/>
      </c>
      <c r="W12" s="42" t="str">
        <f>IF($B$2="Todos",IF(COUNT($C$176:$V$176)=0,"",SUM($C$176:$V$176)),IFERROR(INDEX($C$176:$V$176,MATCH($D$2,$C$175:$V$175,0)),""))</f>
        <v/>
      </c>
      <c r="X12" s="59" t="str">
        <f>IF(Y12="","",IF($B$2="Todos",IF($B$4&gt;0,$B$4,IF($B$2="Todos",IF(COUNT($C$246:$V$246)=0,"",SUM($C$246:$V$246)),IFERROR(INDEX($C$246:$V$246,MATCH($D$2,$C$245:$V$245,0)),""))),IFERROR(INDEX($C$246:$V$246,MATCH($D$2,$C$245:$V$245,0)),"")))</f>
        <v/>
      </c>
      <c r="Y12" s="42" t="str">
        <f>IF($B$2="Todos",IF(COUNT($C$211:$V$211)=0,"",SUM($C$211:$V$211)),IFERROR(INDEX($C$211:$V$211,MATCH($D$2,$C$210:$V$210,0)),""))</f>
        <v/>
      </c>
      <c r="Z12" s="60" t="str">
        <f>IF(AND(ISNUMBER(Y12),ISNUMBER(X12)),IF(X12&gt;0,Y12/X12,""),"")</f>
        <v/>
      </c>
      <c r="AA12" s="42" t="str">
        <f>IF($B$2="Todos",IF(COUNT($C$281:$V$281)=0,"",SUM($C$281:$V$281)),IFERROR(INDEX($C$281:$V$281,MATCH($D$2,$C$280:$V$280,0)),""))</f>
        <v/>
      </c>
      <c r="AB12" s="42">
        <f>IF($B12="","",IF($B$2="Todos",SUMIFS(BD!$AA$3:$AA$5001,BD!$A$3:$A$5001,$B12),SUMIFS(BD!$AA$3:$AA$5001,BD!$A$3:$A$5001,$B12,BD!$B$3:$B$5001,$D$2)))</f>
        <v>0</v>
      </c>
      <c r="AC12" s="58">
        <f>IF($B12="","",IF($B$2="Todos",SUMIFS(BD!$AB$3:$AB$5001,BD!$A$3:$A$5001,$B12),SUMIFS(BD!$AB$3:$AB$5001,BD!$A$3:$A$5001,$B12,BD!$B$3:$B$5001,$D$2)))</f>
        <v>0</v>
      </c>
      <c r="AD12" s="42">
        <f>IF($B12="","",IF($B$2="Todos",SUMIFS(BD!$AC$3:$AC$5001,BD!$A$3:$A$5001,$B12),SUMIFS(BD!$AC$3:$AC$5001,BD!$A$3:$A$5001,$B12,BD!$B$3:$B$5001,$D$2)))</f>
        <v>0</v>
      </c>
      <c r="AE12" s="42">
        <f>IF($B12="","",IF($B$2="Todos",SUMIFS(BD!$AD$3:$AD$5001,BD!$A$3:$A$5001,$B12),SUMIFS(BD!$AD$3:$AD$5001,BD!$A$3:$A$5001,$B12,BD!$B$3:$B$5001,$D$2)))</f>
        <v>0</v>
      </c>
      <c r="AF12" s="42">
        <f>IF($B12="","",IF($B$2="Todos",SUMIFS(BD!$AE$3:$AE$5001,BD!$A$3:$A$5001,$B12),SUMIFS(BD!$AE$3:$AE$5001,BD!$A$3:$A$5001,$B12,BD!$B$3:$B$5001,$D$2)))</f>
        <v>0</v>
      </c>
      <c r="AG12" s="42">
        <f>IF($B12="","",IF($B$2="Todos",SUMIFS(BD!$AF$3:$AF$5001,BD!$A$3:$A$5001,$B12),SUMIFS(BD!$AF$3:$AF$5001,BD!$A$3:$A$5001,$B12,BD!$B$3:$B$5001,$D$2)))</f>
        <v>0</v>
      </c>
      <c r="AH12" s="42">
        <f>IF($B12="","",IF($B$2="Todos",SUMIFS(BD!$AG$3:$AG$5001,BD!$A$3:$A$5001,$B12),SUMIFS(BD!$AG$3:$AG$5001,BD!$A$3:$A$5001,$B12,BD!$B$3:$B$5001,$D$2)))</f>
        <v>0</v>
      </c>
      <c r="AI12" s="42">
        <f>IF($B12="","",IF($B$2="Todos",SUMIFS(BD!$AH$3:$AH$5001,BD!$A$3:$A$5001,$B12),SUMIFS(BD!$AH$3:$AH$5001,BD!$A$3:$A$5001,$B12,BD!$B$3:$B$5001,$D$2)))</f>
        <v>0</v>
      </c>
      <c r="AJ12" s="61">
        <f>$B$5</f>
        <v>0.7</v>
      </c>
      <c r="AK12" s="61">
        <f>$B$6</f>
        <v>0.9</v>
      </c>
      <c r="AN12" s="40" t="inlineStr">
        <is>
          <t xml:space="preserve">JANEIRO · 2026</t>
        </is>
      </c>
      <c r="AP12" s="40" t="inlineStr">
        <is>
          <t xml:space="preserve">Todos</t>
        </is>
      </c>
      <c r="AQ12" s="39" t="inlineStr">
        <is>
          <t xml:space="preserve">TPC</t>
        </is>
      </c>
      <c r="AS12" s="40" t="str">
        <f>"MOVIMENTAÇÃO FROTA/DIA — "&amp;IF($B$2="Todos","TODOS OS CLIENTES",UPPER($B$2))</f>
        <v>MOVIMENTAÇÃO FROTA/DIA — TODOS OS CLIENTES</v>
      </c>
      <c r="AV12" s="47" t="inlineStr">
        <is>
          <t xml:space="preserve">Capacidade por depósito</t>
        </is>
      </c>
      <c r="AW12" s="47" t="inlineStr">
        <is>
          <t xml:space="preserve">Posições</t>
        </is>
      </c>
    </row>
    <row r="13">
      <c r="A13" s="39">
        <v>2</v>
      </c>
      <c r="B13" s="57">
        <f>IF($A13&lt;=DAY($D$7),$C$7+$A13-1,"")</f>
        <v>46297</v>
      </c>
      <c r="C13" s="42">
        <f>IF($B13="","",IF($B$2="Todos",SUMIFS(BD!$C$3:$C$5001,BD!$A$3:$A$5001,$B13),SUMIFS(BD!$C$3:$C$5001,BD!$A$3:$A$5001,$B13,BD!$B$3:$B$5001,$D$2)))</f>
        <v>0</v>
      </c>
      <c r="D13" s="42">
        <f>IF($B13="","",IF($B$2="Todos",SUMIFS(BD!$D$3:$D$5001,BD!$A$3:$A$5001,$B13),SUMIFS(BD!$D$3:$D$5001,BD!$A$3:$A$5001,$B13,BD!$B$3:$B$5001,$D$2)))</f>
        <v>0</v>
      </c>
      <c r="E13" s="58">
        <f>IF($B13="","",IF($B$2="Todos",SUMIFS(BD!$E$3:$E$5001,BD!$A$3:$A$5001,$B13),SUMIFS(BD!$E$3:$E$5001,BD!$A$3:$A$5001,$B13,BD!$B$3:$B$5001,$D$2)))</f>
        <v>0</v>
      </c>
      <c r="F13" s="42">
        <f>IF($B13="","",IF($B$2="Todos",SUMIFS(BD!$F$3:$F$5001,BD!$A$3:$A$5001,$B13),SUMIFS(BD!$F$3:$F$5001,BD!$A$3:$A$5001,$B13,BD!$B$3:$B$5001,$D$2)))</f>
        <v>0</v>
      </c>
      <c r="G13" s="42">
        <f>IF($B13="","",IF($B$2="Todos",SUMIFS(BD!$G$3:$G$5001,BD!$A$3:$A$5001,$B13),SUMIFS(BD!$G$3:$G$5001,BD!$A$3:$A$5001,$B13,BD!$B$3:$B$5001,$D$2)))</f>
        <v>0</v>
      </c>
      <c r="H13" s="42">
        <f>IF($B13="","",IF($B$2="Todos",SUMIFS(BD!$H$3:$H$5001,BD!$A$3:$A$5001,$B13),SUMIFS(BD!$H$3:$H$5001,BD!$A$3:$A$5001,$B13,BD!$B$3:$B$5001,$D$2)))</f>
        <v>0</v>
      </c>
      <c r="I13" s="42">
        <f>IF($B13="","",IF($B$2="Todos",SUMIFS(BD!$I$3:$I$5001,BD!$A$3:$A$5001,$B13),SUMIFS(BD!$I$3:$I$5001,BD!$A$3:$A$5001,$B13,BD!$B$3:$B$5001,$D$2)))</f>
        <v>0</v>
      </c>
      <c r="J13" s="42">
        <f>IF($B13="","",IF($B$2="Todos",SUMIFS(BD!$J$3:$J$5001,BD!$A$3:$A$5001,$B13),SUMIFS(BD!$J$3:$J$5001,BD!$A$3:$A$5001,$B13,BD!$B$3:$B$5001,$D$2)))</f>
        <v>0</v>
      </c>
      <c r="K13" s="42">
        <f>IF($B13="","",IF($B$2="Todos",SUMIFS(BD!$K$3:$K$5001,BD!$A$3:$A$5001,$B13),SUMIFS(BD!$K$3:$K$5001,BD!$A$3:$A$5001,$B13,BD!$B$3:$B$5001,$D$2)))</f>
        <v>0</v>
      </c>
      <c r="L13" s="42">
        <f>IF($B13="","",IF($B$2="Todos",SUMIFS(BD!$L$3:$L$5001,BD!$A$3:$A$5001,$B13),SUMIFS(BD!$L$3:$L$5001,BD!$A$3:$A$5001,$B13,BD!$B$3:$B$5001,$D$2)))</f>
        <v>0</v>
      </c>
      <c r="M13" s="42">
        <f>IF($B13="","",IF($B$2="Todos",SUMIFS(BD!$M$3:$M$5001,BD!$A$3:$A$5001,$B13),SUMIFS(BD!$M$3:$M$5001,BD!$A$3:$A$5001,$B13,BD!$B$3:$B$5001,$D$2)))</f>
        <v>0</v>
      </c>
      <c r="N13" s="42">
        <f>IF($B13="","",IF($B$2="Todos",SUMIFS(BD!$N$3:$N$5001,BD!$A$3:$A$5001,$B13),SUMIFS(BD!$N$3:$N$5001,BD!$A$3:$A$5001,$B13,BD!$B$3:$B$5001,$D$2)))</f>
        <v>0</v>
      </c>
      <c r="O13" s="42">
        <f>IF($B13="","",IF($B$2="Todos",SUMIFS(BD!$O$3:$O$5001,BD!$A$3:$A$5001,$B13),SUMIFS(BD!$O$3:$O$5001,BD!$A$3:$A$5001,$B13,BD!$B$3:$B$5001,$D$2)))</f>
        <v>0</v>
      </c>
      <c r="P13" s="42">
        <f>IF($B13="","",IF($B$2="Todos",SUMIFS(BD!$P$3:$P$5001,BD!$A$3:$A$5001,$B13),SUMIFS(BD!$P$3:$P$5001,BD!$A$3:$A$5001,$B13,BD!$B$3:$B$5001,$D$2)))</f>
        <v>0</v>
      </c>
      <c r="Q13" s="42">
        <f>IF($B13="","",IF($B$2="Todos",SUMIFS(BD!$Q$3:$Q$5001,BD!$A$3:$A$5001,$B13),SUMIFS(BD!$Q$3:$Q$5001,BD!$A$3:$A$5001,$B13,BD!$B$3:$B$5001,$D$2)))</f>
        <v>0</v>
      </c>
      <c r="R13" s="42">
        <f>IF($B13="","",IF($B$2="Todos",SUMIFS(BD!$R$3:$R$5001,BD!$A$3:$A$5001,$B13),SUMIFS(BD!$R$3:$R$5001,BD!$A$3:$A$5001,$B13,BD!$B$3:$B$5001,$D$2)))</f>
        <v>0</v>
      </c>
      <c r="S13" s="58">
        <f>IF($B13="","",IF($B$2="Todos",SUMIFS(BD!$S$3:$S$5001,BD!$A$3:$A$5001,$B13),SUMIFS(BD!$S$3:$S$5001,BD!$A$3:$A$5001,$B13,BD!$B$3:$B$5001,$D$2)))</f>
        <v>0</v>
      </c>
      <c r="T13" s="42">
        <f>IF($B13="","",IF($B$2="Todos",SUMIFS(BD!$T$3:$T$5001,BD!$A$3:$A$5001,$B13),SUMIFS(BD!$T$3:$T$5001,BD!$A$3:$A$5001,$B13,BD!$B$3:$B$5001,$D$2)))</f>
        <v>0</v>
      </c>
      <c r="U13" s="42">
        <f>IF($B13="","",IF($B$2="Todos",SUMIFS(BD!$U$3:$U$5001,BD!$A$3:$A$5001,$B13),SUMIFS(BD!$U$3:$U$5001,BD!$A$3:$A$5001,$B13,BD!$B$3:$B$5001,$D$2)))</f>
        <v>0</v>
      </c>
      <c r="V13" s="42" t="str">
        <f>IF($B$2="Todos",IF(COUNT($C$142:$V$142)=0,"",SUM($C$142:$V$142)),IFERROR(INDEX($C$142:$V$142,MATCH($D$2,$C$140:$V$140,0)),""))</f>
        <v/>
      </c>
      <c r="W13" s="42" t="str">
        <f>IF($B$2="Todos",IF(COUNT($C$177:$V$177)=0,"",SUM($C$177:$V$177)),IFERROR(INDEX($C$177:$V$177,MATCH($D$2,$C$175:$V$175,0)),""))</f>
        <v/>
      </c>
      <c r="X13" s="59" t="str">
        <f>IF(Y13="","",IF($B$2="Todos",IF($B$4&gt;0,$B$4,IF($B$2="Todos",IF(COUNT($C$247:$V$247)=0,"",SUM($C$247:$V$247)),IFERROR(INDEX($C$247:$V$247,MATCH($D$2,$C$245:$V$245,0)),""))),IFERROR(INDEX($C$247:$V$247,MATCH($D$2,$C$245:$V$245,0)),"")))</f>
        <v/>
      </c>
      <c r="Y13" s="42" t="str">
        <f>IF($B$2="Todos",IF(COUNT($C$212:$V$212)=0,"",SUM($C$212:$V$212)),IFERROR(INDEX($C$212:$V$212,MATCH($D$2,$C$210:$V$210,0)),""))</f>
        <v/>
      </c>
      <c r="Z13" s="60" t="str">
        <f>IF(AND(ISNUMBER(Y13),ISNUMBER(X13)),IF(X13&gt;0,Y13/X13,""),"")</f>
        <v/>
      </c>
      <c r="AA13" s="42" t="str">
        <f>IF($B$2="Todos",IF(COUNT($C$282:$V$282)=0,"",SUM($C$282:$V$282)),IFERROR(INDEX($C$282:$V$282,MATCH($D$2,$C$280:$V$280,0)),""))</f>
        <v/>
      </c>
      <c r="AB13" s="42">
        <f>IF($B13="","",IF($B$2="Todos",SUMIFS(BD!$AA$3:$AA$5001,BD!$A$3:$A$5001,$B13),SUMIFS(BD!$AA$3:$AA$5001,BD!$A$3:$A$5001,$B13,BD!$B$3:$B$5001,$D$2)))</f>
        <v>0</v>
      </c>
      <c r="AC13" s="58">
        <f>IF($B13="","",IF($B$2="Todos",SUMIFS(BD!$AB$3:$AB$5001,BD!$A$3:$A$5001,$B13),SUMIFS(BD!$AB$3:$AB$5001,BD!$A$3:$A$5001,$B13,BD!$B$3:$B$5001,$D$2)))</f>
        <v>0</v>
      </c>
      <c r="AD13" s="42">
        <f>IF($B13="","",IF($B$2="Todos",SUMIFS(BD!$AC$3:$AC$5001,BD!$A$3:$A$5001,$B13),SUMIFS(BD!$AC$3:$AC$5001,BD!$A$3:$A$5001,$B13,BD!$B$3:$B$5001,$D$2)))</f>
        <v>0</v>
      </c>
      <c r="AE13" s="42">
        <f>IF($B13="","",IF($B$2="Todos",SUMIFS(BD!$AD$3:$AD$5001,BD!$A$3:$A$5001,$B13),SUMIFS(BD!$AD$3:$AD$5001,BD!$A$3:$A$5001,$B13,BD!$B$3:$B$5001,$D$2)))</f>
        <v>0</v>
      </c>
      <c r="AF13" s="42">
        <f>IF($B13="","",IF($B$2="Todos",SUMIFS(BD!$AE$3:$AE$5001,BD!$A$3:$A$5001,$B13),SUMIFS(BD!$AE$3:$AE$5001,BD!$A$3:$A$5001,$B13,BD!$B$3:$B$5001,$D$2)))</f>
        <v>0</v>
      </c>
      <c r="AG13" s="42">
        <f>IF($B13="","",IF($B$2="Todos",SUMIFS(BD!$AF$3:$AF$5001,BD!$A$3:$A$5001,$B13),SUMIFS(BD!$AF$3:$AF$5001,BD!$A$3:$A$5001,$B13,BD!$B$3:$B$5001,$D$2)))</f>
        <v>0</v>
      </c>
      <c r="AH13" s="42">
        <f>IF($B13="","",IF($B$2="Todos",SUMIFS(BD!$AG$3:$AG$5001,BD!$A$3:$A$5001,$B13),SUMIFS(BD!$AG$3:$AG$5001,BD!$A$3:$A$5001,$B13,BD!$B$3:$B$5001,$D$2)))</f>
        <v>0</v>
      </c>
      <c r="AI13" s="42">
        <f>IF($B13="","",IF($B$2="Todos",SUMIFS(BD!$AH$3:$AH$5001,BD!$A$3:$A$5001,$B13),SUMIFS(BD!$AH$3:$AH$5001,BD!$A$3:$A$5001,$B13,BD!$B$3:$B$5001,$D$2)))</f>
        <v>0</v>
      </c>
      <c r="AJ13" s="61">
        <f>$B$5</f>
        <v>0.7</v>
      </c>
      <c r="AK13" s="61">
        <f>$B$6</f>
        <v>0.9</v>
      </c>
      <c r="AN13" s="40" t="inlineStr">
        <is>
          <t xml:space="preserve">FEVEREIRO · 2026</t>
        </is>
      </c>
      <c r="AP13" s="40" t="str">
        <f>IFERROR(INDEX(Config!$B$10:$B$29,MATCH(1,$AR$13:$AR$32,0))&amp;"","")</f>
        <v>Alpargatas</v>
      </c>
      <c r="AQ13" s="39" t="str">
        <f>IF(AP13="","",IF(INDEX(Config!$C$10:$C$29,MATCH(1,$AR$13:$AR$32,0))&amp;""="","TPC",INDEX(Config!$C$10:$C$29,MATCH(1,$AR$13:$AR$32,0))&amp;""))</f>
        <v>TPC</v>
      </c>
      <c r="AR13" s="48">
        <f>IF(Config!$B$10&amp;""="",0,0+1)</f>
        <v>1</v>
      </c>
      <c r="AS13" s="40" t="str">
        <f>"OCUPAÇÃO DIÁRIA — "&amp;IF($B$2="Todos","TODOS OS CLIENTES",UPPER($B$2))</f>
        <v>OCUPAÇÃO DIÁRIA — TODOS OS CLIENTES</v>
      </c>
      <c r="AV13" s="50" t="inlineStr">
        <is>
          <t xml:space="preserve">TPC</t>
        </is>
      </c>
      <c r="AW13" s="51">
        <f>N(Config!$C$96)</f>
        <v>23040</v>
      </c>
      <c r="AX13" s="36" t="inlineStr">
        <is>
          <t xml:space="preserve">aba Config</t>
        </is>
      </c>
    </row>
    <row r="14">
      <c r="A14" s="39">
        <v>3</v>
      </c>
      <c r="B14" s="57">
        <f>IF($A14&lt;=DAY($D$7),$C$7+$A14-1,"")</f>
        <v>46298</v>
      </c>
      <c r="C14" s="42">
        <f>IF($B14="","",IF($B$2="Todos",SUMIFS(BD!$C$3:$C$5001,BD!$A$3:$A$5001,$B14),SUMIFS(BD!$C$3:$C$5001,BD!$A$3:$A$5001,$B14,BD!$B$3:$B$5001,$D$2)))</f>
        <v>0</v>
      </c>
      <c r="D14" s="42">
        <f>IF($B14="","",IF($B$2="Todos",SUMIFS(BD!$D$3:$D$5001,BD!$A$3:$A$5001,$B14),SUMIFS(BD!$D$3:$D$5001,BD!$A$3:$A$5001,$B14,BD!$B$3:$B$5001,$D$2)))</f>
        <v>0</v>
      </c>
      <c r="E14" s="58">
        <f>IF($B14="","",IF($B$2="Todos",SUMIFS(BD!$E$3:$E$5001,BD!$A$3:$A$5001,$B14),SUMIFS(BD!$E$3:$E$5001,BD!$A$3:$A$5001,$B14,BD!$B$3:$B$5001,$D$2)))</f>
        <v>0</v>
      </c>
      <c r="F14" s="42">
        <f>IF($B14="","",IF($B$2="Todos",SUMIFS(BD!$F$3:$F$5001,BD!$A$3:$A$5001,$B14),SUMIFS(BD!$F$3:$F$5001,BD!$A$3:$A$5001,$B14,BD!$B$3:$B$5001,$D$2)))</f>
        <v>0</v>
      </c>
      <c r="G14" s="42">
        <f>IF($B14="","",IF($B$2="Todos",SUMIFS(BD!$G$3:$G$5001,BD!$A$3:$A$5001,$B14),SUMIFS(BD!$G$3:$G$5001,BD!$A$3:$A$5001,$B14,BD!$B$3:$B$5001,$D$2)))</f>
        <v>0</v>
      </c>
      <c r="H14" s="42">
        <f>IF($B14="","",IF($B$2="Todos",SUMIFS(BD!$H$3:$H$5001,BD!$A$3:$A$5001,$B14),SUMIFS(BD!$H$3:$H$5001,BD!$A$3:$A$5001,$B14,BD!$B$3:$B$5001,$D$2)))</f>
        <v>0</v>
      </c>
      <c r="I14" s="42">
        <f>IF($B14="","",IF($B$2="Todos",SUMIFS(BD!$I$3:$I$5001,BD!$A$3:$A$5001,$B14),SUMIFS(BD!$I$3:$I$5001,BD!$A$3:$A$5001,$B14,BD!$B$3:$B$5001,$D$2)))</f>
        <v>0</v>
      </c>
      <c r="J14" s="42">
        <f>IF($B14="","",IF($B$2="Todos",SUMIFS(BD!$J$3:$J$5001,BD!$A$3:$A$5001,$B14),SUMIFS(BD!$J$3:$J$5001,BD!$A$3:$A$5001,$B14,BD!$B$3:$B$5001,$D$2)))</f>
        <v>0</v>
      </c>
      <c r="K14" s="42">
        <f>IF($B14="","",IF($B$2="Todos",SUMIFS(BD!$K$3:$K$5001,BD!$A$3:$A$5001,$B14),SUMIFS(BD!$K$3:$K$5001,BD!$A$3:$A$5001,$B14,BD!$B$3:$B$5001,$D$2)))</f>
        <v>0</v>
      </c>
      <c r="L14" s="42">
        <f>IF($B14="","",IF($B$2="Todos",SUMIFS(BD!$L$3:$L$5001,BD!$A$3:$A$5001,$B14),SUMIFS(BD!$L$3:$L$5001,BD!$A$3:$A$5001,$B14,BD!$B$3:$B$5001,$D$2)))</f>
        <v>0</v>
      </c>
      <c r="M14" s="42">
        <f>IF($B14="","",IF($B$2="Todos",SUMIFS(BD!$M$3:$M$5001,BD!$A$3:$A$5001,$B14),SUMIFS(BD!$M$3:$M$5001,BD!$A$3:$A$5001,$B14,BD!$B$3:$B$5001,$D$2)))</f>
        <v>0</v>
      </c>
      <c r="N14" s="42">
        <f>IF($B14="","",IF($B$2="Todos",SUMIFS(BD!$N$3:$N$5001,BD!$A$3:$A$5001,$B14),SUMIFS(BD!$N$3:$N$5001,BD!$A$3:$A$5001,$B14,BD!$B$3:$B$5001,$D$2)))</f>
        <v>0</v>
      </c>
      <c r="O14" s="42">
        <f>IF($B14="","",IF($B$2="Todos",SUMIFS(BD!$O$3:$O$5001,BD!$A$3:$A$5001,$B14),SUMIFS(BD!$O$3:$O$5001,BD!$A$3:$A$5001,$B14,BD!$B$3:$B$5001,$D$2)))</f>
        <v>0</v>
      </c>
      <c r="P14" s="42">
        <f>IF($B14="","",IF($B$2="Todos",SUMIFS(BD!$P$3:$P$5001,BD!$A$3:$A$5001,$B14),SUMIFS(BD!$P$3:$P$5001,BD!$A$3:$A$5001,$B14,BD!$B$3:$B$5001,$D$2)))</f>
        <v>0</v>
      </c>
      <c r="Q14" s="42">
        <f>IF($B14="","",IF($B$2="Todos",SUMIFS(BD!$Q$3:$Q$5001,BD!$A$3:$A$5001,$B14),SUMIFS(BD!$Q$3:$Q$5001,BD!$A$3:$A$5001,$B14,BD!$B$3:$B$5001,$D$2)))</f>
        <v>0</v>
      </c>
      <c r="R14" s="42">
        <f>IF($B14="","",IF($B$2="Todos",SUMIFS(BD!$R$3:$R$5001,BD!$A$3:$A$5001,$B14),SUMIFS(BD!$R$3:$R$5001,BD!$A$3:$A$5001,$B14,BD!$B$3:$B$5001,$D$2)))</f>
        <v>0</v>
      </c>
      <c r="S14" s="58">
        <f>IF($B14="","",IF($B$2="Todos",SUMIFS(BD!$S$3:$S$5001,BD!$A$3:$A$5001,$B14),SUMIFS(BD!$S$3:$S$5001,BD!$A$3:$A$5001,$B14,BD!$B$3:$B$5001,$D$2)))</f>
        <v>0</v>
      </c>
      <c r="T14" s="42">
        <f>IF($B14="","",IF($B$2="Todos",SUMIFS(BD!$T$3:$T$5001,BD!$A$3:$A$5001,$B14),SUMIFS(BD!$T$3:$T$5001,BD!$A$3:$A$5001,$B14,BD!$B$3:$B$5001,$D$2)))</f>
        <v>0</v>
      </c>
      <c r="U14" s="42">
        <f>IF($B14="","",IF($B$2="Todos",SUMIFS(BD!$U$3:$U$5001,BD!$A$3:$A$5001,$B14),SUMIFS(BD!$U$3:$U$5001,BD!$A$3:$A$5001,$B14,BD!$B$3:$B$5001,$D$2)))</f>
        <v>0</v>
      </c>
      <c r="V14" s="42" t="str">
        <f>IF($B$2="Todos",IF(COUNT($C$143:$V$143)=0,"",SUM($C$143:$V$143)),IFERROR(INDEX($C$143:$V$143,MATCH($D$2,$C$140:$V$140,0)),""))</f>
        <v/>
      </c>
      <c r="W14" s="42" t="str">
        <f>IF($B$2="Todos",IF(COUNT($C$178:$V$178)=0,"",SUM($C$178:$V$178)),IFERROR(INDEX($C$178:$V$178,MATCH($D$2,$C$175:$V$175,0)),""))</f>
        <v/>
      </c>
      <c r="X14" s="59" t="str">
        <f>IF(Y14="","",IF($B$2="Todos",IF($B$4&gt;0,$B$4,IF($B$2="Todos",IF(COUNT($C$248:$V$248)=0,"",SUM($C$248:$V$248)),IFERROR(INDEX($C$248:$V$248,MATCH($D$2,$C$245:$V$245,0)),""))),IFERROR(INDEX($C$248:$V$248,MATCH($D$2,$C$245:$V$245,0)),"")))</f>
        <v/>
      </c>
      <c r="Y14" s="42" t="str">
        <f>IF($B$2="Todos",IF(COUNT($C$213:$V$213)=0,"",SUM($C$213:$V$213)),IFERROR(INDEX($C$213:$V$213,MATCH($D$2,$C$210:$V$210,0)),""))</f>
        <v/>
      </c>
      <c r="Z14" s="60" t="str">
        <f>IF(AND(ISNUMBER(Y14),ISNUMBER(X14)),IF(X14&gt;0,Y14/X14,""),"")</f>
        <v/>
      </c>
      <c r="AA14" s="42" t="str">
        <f>IF($B$2="Todos",IF(COUNT($C$283:$V$283)=0,"",SUM($C$283:$V$283)),IFERROR(INDEX($C$283:$V$283,MATCH($D$2,$C$280:$V$280,0)),""))</f>
        <v/>
      </c>
      <c r="AB14" s="42">
        <f>IF($B14="","",IF($B$2="Todos",SUMIFS(BD!$AA$3:$AA$5001,BD!$A$3:$A$5001,$B14),SUMIFS(BD!$AA$3:$AA$5001,BD!$A$3:$A$5001,$B14,BD!$B$3:$B$5001,$D$2)))</f>
        <v>0</v>
      </c>
      <c r="AC14" s="58">
        <f>IF($B14="","",IF($B$2="Todos",SUMIFS(BD!$AB$3:$AB$5001,BD!$A$3:$A$5001,$B14),SUMIFS(BD!$AB$3:$AB$5001,BD!$A$3:$A$5001,$B14,BD!$B$3:$B$5001,$D$2)))</f>
        <v>0</v>
      </c>
      <c r="AD14" s="42">
        <f>IF($B14="","",IF($B$2="Todos",SUMIFS(BD!$AC$3:$AC$5001,BD!$A$3:$A$5001,$B14),SUMIFS(BD!$AC$3:$AC$5001,BD!$A$3:$A$5001,$B14,BD!$B$3:$B$5001,$D$2)))</f>
        <v>0</v>
      </c>
      <c r="AE14" s="42">
        <f>IF($B14="","",IF($B$2="Todos",SUMIFS(BD!$AD$3:$AD$5001,BD!$A$3:$A$5001,$B14),SUMIFS(BD!$AD$3:$AD$5001,BD!$A$3:$A$5001,$B14,BD!$B$3:$B$5001,$D$2)))</f>
        <v>0</v>
      </c>
      <c r="AF14" s="42">
        <f>IF($B14="","",IF($B$2="Todos",SUMIFS(BD!$AE$3:$AE$5001,BD!$A$3:$A$5001,$B14),SUMIFS(BD!$AE$3:$AE$5001,BD!$A$3:$A$5001,$B14,BD!$B$3:$B$5001,$D$2)))</f>
        <v>0</v>
      </c>
      <c r="AG14" s="42">
        <f>IF($B14="","",IF($B$2="Todos",SUMIFS(BD!$AF$3:$AF$5001,BD!$A$3:$A$5001,$B14),SUMIFS(BD!$AF$3:$AF$5001,BD!$A$3:$A$5001,$B14,BD!$B$3:$B$5001,$D$2)))</f>
        <v>0</v>
      </c>
      <c r="AH14" s="42">
        <f>IF($B14="","",IF($B$2="Todos",SUMIFS(BD!$AG$3:$AG$5001,BD!$A$3:$A$5001,$B14),SUMIFS(BD!$AG$3:$AG$5001,BD!$A$3:$A$5001,$B14,BD!$B$3:$B$5001,$D$2)))</f>
        <v>0</v>
      </c>
      <c r="AI14" s="42">
        <f>IF($B14="","",IF($B$2="Todos",SUMIFS(BD!$AH$3:$AH$5001,BD!$A$3:$A$5001,$B14),SUMIFS(BD!$AH$3:$AH$5001,BD!$A$3:$A$5001,$B14,BD!$B$3:$B$5001,$D$2)))</f>
        <v>0</v>
      </c>
      <c r="AJ14" s="61">
        <f>$B$5</f>
        <v>0.7</v>
      </c>
      <c r="AK14" s="61">
        <f>$B$6</f>
        <v>0.9</v>
      </c>
      <c r="AN14" s="40" t="inlineStr">
        <is>
          <t xml:space="preserve">MARÇO · 2026</t>
        </is>
      </c>
      <c r="AP14" s="40" t="str">
        <f>IFERROR(INDEX(Config!$B$10:$B$29,MATCH(2,$AR$13:$AR$32,0))&amp;"","")</f>
        <v>Basf</v>
      </c>
      <c r="AQ14" s="39" t="str">
        <f>IF(AP14="","",IF(INDEX(Config!$C$10:$C$29,MATCH(2,$AR$13:$AR$32,0))&amp;""="","TPC",INDEX(Config!$C$10:$C$29,MATCH(2,$AR$13:$AR$32,0))&amp;""))</f>
        <v>TPC</v>
      </c>
      <c r="AR14" s="48">
        <f>IF(Config!$B$11&amp;""="",AR13,AR13+1)</f>
        <v>2</v>
      </c>
      <c r="AS14" s="40" t="str">
        <f>"MOVIMENTAÇÃO PALETES/DIA — "&amp;IF($B$2="Todos","TODOS OS CLIENTES",UPPER($B$2))</f>
        <v>MOVIMENTAÇÃO PALETES/DIA — TODOS OS CLIENTES</v>
      </c>
    </row>
    <row r="15">
      <c r="A15" s="39">
        <v>4</v>
      </c>
      <c r="B15" s="57">
        <f>IF($A15&lt;=DAY($D$7),$C$7+$A15-1,"")</f>
        <v>46299</v>
      </c>
      <c r="C15" s="42">
        <f>IF($B15="","",IF($B$2="Todos",SUMIFS(BD!$C$3:$C$5001,BD!$A$3:$A$5001,$B15),SUMIFS(BD!$C$3:$C$5001,BD!$A$3:$A$5001,$B15,BD!$B$3:$B$5001,$D$2)))</f>
        <v>0</v>
      </c>
      <c r="D15" s="42">
        <f>IF($B15="","",IF($B$2="Todos",SUMIFS(BD!$D$3:$D$5001,BD!$A$3:$A$5001,$B15),SUMIFS(BD!$D$3:$D$5001,BD!$A$3:$A$5001,$B15,BD!$B$3:$B$5001,$D$2)))</f>
        <v>0</v>
      </c>
      <c r="E15" s="58">
        <f>IF($B15="","",IF($B$2="Todos",SUMIFS(BD!$E$3:$E$5001,BD!$A$3:$A$5001,$B15),SUMIFS(BD!$E$3:$E$5001,BD!$A$3:$A$5001,$B15,BD!$B$3:$B$5001,$D$2)))</f>
        <v>0</v>
      </c>
      <c r="F15" s="42">
        <f>IF($B15="","",IF($B$2="Todos",SUMIFS(BD!$F$3:$F$5001,BD!$A$3:$A$5001,$B15),SUMIFS(BD!$F$3:$F$5001,BD!$A$3:$A$5001,$B15,BD!$B$3:$B$5001,$D$2)))</f>
        <v>0</v>
      </c>
      <c r="G15" s="42">
        <f>IF($B15="","",IF($B$2="Todos",SUMIFS(BD!$G$3:$G$5001,BD!$A$3:$A$5001,$B15),SUMIFS(BD!$G$3:$G$5001,BD!$A$3:$A$5001,$B15,BD!$B$3:$B$5001,$D$2)))</f>
        <v>0</v>
      </c>
      <c r="H15" s="42">
        <f>IF($B15="","",IF($B$2="Todos",SUMIFS(BD!$H$3:$H$5001,BD!$A$3:$A$5001,$B15),SUMIFS(BD!$H$3:$H$5001,BD!$A$3:$A$5001,$B15,BD!$B$3:$B$5001,$D$2)))</f>
        <v>0</v>
      </c>
      <c r="I15" s="42">
        <f>IF($B15="","",IF($B$2="Todos",SUMIFS(BD!$I$3:$I$5001,BD!$A$3:$A$5001,$B15),SUMIFS(BD!$I$3:$I$5001,BD!$A$3:$A$5001,$B15,BD!$B$3:$B$5001,$D$2)))</f>
        <v>0</v>
      </c>
      <c r="J15" s="42">
        <f>IF($B15="","",IF($B$2="Todos",SUMIFS(BD!$J$3:$J$5001,BD!$A$3:$A$5001,$B15),SUMIFS(BD!$J$3:$J$5001,BD!$A$3:$A$5001,$B15,BD!$B$3:$B$5001,$D$2)))</f>
        <v>0</v>
      </c>
      <c r="K15" s="42">
        <f>IF($B15="","",IF($B$2="Todos",SUMIFS(BD!$K$3:$K$5001,BD!$A$3:$A$5001,$B15),SUMIFS(BD!$K$3:$K$5001,BD!$A$3:$A$5001,$B15,BD!$B$3:$B$5001,$D$2)))</f>
        <v>0</v>
      </c>
      <c r="L15" s="42">
        <f>IF($B15="","",IF($B$2="Todos",SUMIFS(BD!$L$3:$L$5001,BD!$A$3:$A$5001,$B15),SUMIFS(BD!$L$3:$L$5001,BD!$A$3:$A$5001,$B15,BD!$B$3:$B$5001,$D$2)))</f>
        <v>0</v>
      </c>
      <c r="M15" s="42">
        <f>IF($B15="","",IF($B$2="Todos",SUMIFS(BD!$M$3:$M$5001,BD!$A$3:$A$5001,$B15),SUMIFS(BD!$M$3:$M$5001,BD!$A$3:$A$5001,$B15,BD!$B$3:$B$5001,$D$2)))</f>
        <v>0</v>
      </c>
      <c r="N15" s="42">
        <f>IF($B15="","",IF($B$2="Todos",SUMIFS(BD!$N$3:$N$5001,BD!$A$3:$A$5001,$B15),SUMIFS(BD!$N$3:$N$5001,BD!$A$3:$A$5001,$B15,BD!$B$3:$B$5001,$D$2)))</f>
        <v>0</v>
      </c>
      <c r="O15" s="42">
        <f>IF($B15="","",IF($B$2="Todos",SUMIFS(BD!$O$3:$O$5001,BD!$A$3:$A$5001,$B15),SUMIFS(BD!$O$3:$O$5001,BD!$A$3:$A$5001,$B15,BD!$B$3:$B$5001,$D$2)))</f>
        <v>0</v>
      </c>
      <c r="P15" s="42">
        <f>IF($B15="","",IF($B$2="Todos",SUMIFS(BD!$P$3:$P$5001,BD!$A$3:$A$5001,$B15),SUMIFS(BD!$P$3:$P$5001,BD!$A$3:$A$5001,$B15,BD!$B$3:$B$5001,$D$2)))</f>
        <v>0</v>
      </c>
      <c r="Q15" s="42">
        <f>IF($B15="","",IF($B$2="Todos",SUMIFS(BD!$Q$3:$Q$5001,BD!$A$3:$A$5001,$B15),SUMIFS(BD!$Q$3:$Q$5001,BD!$A$3:$A$5001,$B15,BD!$B$3:$B$5001,$D$2)))</f>
        <v>0</v>
      </c>
      <c r="R15" s="42">
        <f>IF($B15="","",IF($B$2="Todos",SUMIFS(BD!$R$3:$R$5001,BD!$A$3:$A$5001,$B15),SUMIFS(BD!$R$3:$R$5001,BD!$A$3:$A$5001,$B15,BD!$B$3:$B$5001,$D$2)))</f>
        <v>0</v>
      </c>
      <c r="S15" s="58">
        <f>IF($B15="","",IF($B$2="Todos",SUMIFS(BD!$S$3:$S$5001,BD!$A$3:$A$5001,$B15),SUMIFS(BD!$S$3:$S$5001,BD!$A$3:$A$5001,$B15,BD!$B$3:$B$5001,$D$2)))</f>
        <v>0</v>
      </c>
      <c r="T15" s="42">
        <f>IF($B15="","",IF($B$2="Todos",SUMIFS(BD!$T$3:$T$5001,BD!$A$3:$A$5001,$B15),SUMIFS(BD!$T$3:$T$5001,BD!$A$3:$A$5001,$B15,BD!$B$3:$B$5001,$D$2)))</f>
        <v>0</v>
      </c>
      <c r="U15" s="42">
        <f>IF($B15="","",IF($B$2="Todos",SUMIFS(BD!$U$3:$U$5001,BD!$A$3:$A$5001,$B15),SUMIFS(BD!$U$3:$U$5001,BD!$A$3:$A$5001,$B15,BD!$B$3:$B$5001,$D$2)))</f>
        <v>0</v>
      </c>
      <c r="V15" s="42" t="str">
        <f>IF($B$2="Todos",IF(COUNT($C$144:$V$144)=0,"",SUM($C$144:$V$144)),IFERROR(INDEX($C$144:$V$144,MATCH($D$2,$C$140:$V$140,0)),""))</f>
        <v/>
      </c>
      <c r="W15" s="42" t="str">
        <f>IF($B$2="Todos",IF(COUNT($C$179:$V$179)=0,"",SUM($C$179:$V$179)),IFERROR(INDEX($C$179:$V$179,MATCH($D$2,$C$175:$V$175,0)),""))</f>
        <v/>
      </c>
      <c r="X15" s="59" t="str">
        <f>IF(Y15="","",IF($B$2="Todos",IF($B$4&gt;0,$B$4,IF($B$2="Todos",IF(COUNT($C$249:$V$249)=0,"",SUM($C$249:$V$249)),IFERROR(INDEX($C$249:$V$249,MATCH($D$2,$C$245:$V$245,0)),""))),IFERROR(INDEX($C$249:$V$249,MATCH($D$2,$C$245:$V$245,0)),"")))</f>
        <v/>
      </c>
      <c r="Y15" s="42" t="str">
        <f>IF($B$2="Todos",IF(COUNT($C$214:$V$214)=0,"",SUM($C$214:$V$214)),IFERROR(INDEX($C$214:$V$214,MATCH($D$2,$C$210:$V$210,0)),""))</f>
        <v/>
      </c>
      <c r="Z15" s="60" t="str">
        <f>IF(AND(ISNUMBER(Y15),ISNUMBER(X15)),IF(X15&gt;0,Y15/X15,""),"")</f>
        <v/>
      </c>
      <c r="AA15" s="42" t="str">
        <f>IF($B$2="Todos",IF(COUNT($C$284:$V$284)=0,"",SUM($C$284:$V$284)),IFERROR(INDEX($C$284:$V$284,MATCH($D$2,$C$280:$V$280,0)),""))</f>
        <v/>
      </c>
      <c r="AB15" s="42">
        <f>IF($B15="","",IF($B$2="Todos",SUMIFS(BD!$AA$3:$AA$5001,BD!$A$3:$A$5001,$B15),SUMIFS(BD!$AA$3:$AA$5001,BD!$A$3:$A$5001,$B15,BD!$B$3:$B$5001,$D$2)))</f>
        <v>0</v>
      </c>
      <c r="AC15" s="58">
        <f>IF($B15="","",IF($B$2="Todos",SUMIFS(BD!$AB$3:$AB$5001,BD!$A$3:$A$5001,$B15),SUMIFS(BD!$AB$3:$AB$5001,BD!$A$3:$A$5001,$B15,BD!$B$3:$B$5001,$D$2)))</f>
        <v>0</v>
      </c>
      <c r="AD15" s="42">
        <f>IF($B15="","",IF($B$2="Todos",SUMIFS(BD!$AC$3:$AC$5001,BD!$A$3:$A$5001,$B15),SUMIFS(BD!$AC$3:$AC$5001,BD!$A$3:$A$5001,$B15,BD!$B$3:$B$5001,$D$2)))</f>
        <v>0</v>
      </c>
      <c r="AE15" s="42">
        <f>IF($B15="","",IF($B$2="Todos",SUMIFS(BD!$AD$3:$AD$5001,BD!$A$3:$A$5001,$B15),SUMIFS(BD!$AD$3:$AD$5001,BD!$A$3:$A$5001,$B15,BD!$B$3:$B$5001,$D$2)))</f>
        <v>0</v>
      </c>
      <c r="AF15" s="42">
        <f>IF($B15="","",IF($B$2="Todos",SUMIFS(BD!$AE$3:$AE$5001,BD!$A$3:$A$5001,$B15),SUMIFS(BD!$AE$3:$AE$5001,BD!$A$3:$A$5001,$B15,BD!$B$3:$B$5001,$D$2)))</f>
        <v>0</v>
      </c>
      <c r="AG15" s="42">
        <f>IF($B15="","",IF($B$2="Todos",SUMIFS(BD!$AF$3:$AF$5001,BD!$A$3:$A$5001,$B15),SUMIFS(BD!$AF$3:$AF$5001,BD!$A$3:$A$5001,$B15,BD!$B$3:$B$5001,$D$2)))</f>
        <v>0</v>
      </c>
      <c r="AH15" s="42">
        <f>IF($B15="","",IF($B$2="Todos",SUMIFS(BD!$AG$3:$AG$5001,BD!$A$3:$A$5001,$B15),SUMIFS(BD!$AG$3:$AG$5001,BD!$A$3:$A$5001,$B15,BD!$B$3:$B$5001,$D$2)))</f>
        <v>0</v>
      </c>
      <c r="AI15" s="42">
        <f>IF($B15="","",IF($B$2="Todos",SUMIFS(BD!$AH$3:$AH$5001,BD!$A$3:$A$5001,$B15),SUMIFS(BD!$AH$3:$AH$5001,BD!$A$3:$A$5001,$B15,BD!$B$3:$B$5001,$D$2)))</f>
        <v>0</v>
      </c>
      <c r="AJ15" s="61">
        <f>$B$5</f>
        <v>0.7</v>
      </c>
      <c r="AK15" s="61">
        <f>$B$6</f>
        <v>0.9</v>
      </c>
      <c r="AN15" s="40" t="inlineStr">
        <is>
          <t xml:space="preserve">ABRIL · 2026</t>
        </is>
      </c>
      <c r="AP15" s="40" t="str">
        <f>IFERROR(INDEX(Config!$B$10:$B$29,MATCH(3,$AR$13:$AR$32,0))&amp;"","")</f>
        <v>Beautybiz</v>
      </c>
      <c r="AQ15" s="39" t="str">
        <f>IF(AP15="","",IF(INDEX(Config!$C$10:$C$29,MATCH(3,$AR$13:$AR$32,0))&amp;""="","TPC",INDEX(Config!$C$10:$C$29,MATCH(3,$AR$13:$AR$32,0))&amp;""))</f>
        <v>TPC</v>
      </c>
      <c r="AR15" s="48">
        <f>IF(Config!$B$12&amp;""="",AR14,AR14+1)</f>
        <v>3</v>
      </c>
      <c r="AS15" s="40" t="str">
        <f>"MOVIMENTAÇÃO TONS/DIA — "&amp;IF($B$2="Todos","TODOS OS CLIENTES",UPPER($B$2))</f>
        <v>MOVIMENTAÇÃO TONS/DIA — TODOS OS CLIENTES</v>
      </c>
    </row>
    <row r="16">
      <c r="A16" s="39">
        <v>5</v>
      </c>
      <c r="B16" s="57">
        <f>IF($A16&lt;=DAY($D$7),$C$7+$A16-1,"")</f>
        <v>46300</v>
      </c>
      <c r="C16" s="42">
        <f>IF($B16="","",IF($B$2="Todos",SUMIFS(BD!$C$3:$C$5001,BD!$A$3:$A$5001,$B16),SUMIFS(BD!$C$3:$C$5001,BD!$A$3:$A$5001,$B16,BD!$B$3:$B$5001,$D$2)))</f>
        <v>0</v>
      </c>
      <c r="D16" s="42">
        <f>IF($B16="","",IF($B$2="Todos",SUMIFS(BD!$D$3:$D$5001,BD!$A$3:$A$5001,$B16),SUMIFS(BD!$D$3:$D$5001,BD!$A$3:$A$5001,$B16,BD!$B$3:$B$5001,$D$2)))</f>
        <v>0</v>
      </c>
      <c r="E16" s="58">
        <f>IF($B16="","",IF($B$2="Todos",SUMIFS(BD!$E$3:$E$5001,BD!$A$3:$A$5001,$B16),SUMIFS(BD!$E$3:$E$5001,BD!$A$3:$A$5001,$B16,BD!$B$3:$B$5001,$D$2)))</f>
        <v>0</v>
      </c>
      <c r="F16" s="42">
        <f>IF($B16="","",IF($B$2="Todos",SUMIFS(BD!$F$3:$F$5001,BD!$A$3:$A$5001,$B16),SUMIFS(BD!$F$3:$F$5001,BD!$A$3:$A$5001,$B16,BD!$B$3:$B$5001,$D$2)))</f>
        <v>0</v>
      </c>
      <c r="G16" s="42">
        <f>IF($B16="","",IF($B$2="Todos",SUMIFS(BD!$G$3:$G$5001,BD!$A$3:$A$5001,$B16),SUMIFS(BD!$G$3:$G$5001,BD!$A$3:$A$5001,$B16,BD!$B$3:$B$5001,$D$2)))</f>
        <v>0</v>
      </c>
      <c r="H16" s="42">
        <f>IF($B16="","",IF($B$2="Todos",SUMIFS(BD!$H$3:$H$5001,BD!$A$3:$A$5001,$B16),SUMIFS(BD!$H$3:$H$5001,BD!$A$3:$A$5001,$B16,BD!$B$3:$B$5001,$D$2)))</f>
        <v>0</v>
      </c>
      <c r="I16" s="42">
        <f>IF($B16="","",IF($B$2="Todos",SUMIFS(BD!$I$3:$I$5001,BD!$A$3:$A$5001,$B16),SUMIFS(BD!$I$3:$I$5001,BD!$A$3:$A$5001,$B16,BD!$B$3:$B$5001,$D$2)))</f>
        <v>0</v>
      </c>
      <c r="J16" s="42">
        <f>IF($B16="","",IF($B$2="Todos",SUMIFS(BD!$J$3:$J$5001,BD!$A$3:$A$5001,$B16),SUMIFS(BD!$J$3:$J$5001,BD!$A$3:$A$5001,$B16,BD!$B$3:$B$5001,$D$2)))</f>
        <v>0</v>
      </c>
      <c r="K16" s="42">
        <f>IF($B16="","",IF($B$2="Todos",SUMIFS(BD!$K$3:$K$5001,BD!$A$3:$A$5001,$B16),SUMIFS(BD!$K$3:$K$5001,BD!$A$3:$A$5001,$B16,BD!$B$3:$B$5001,$D$2)))</f>
        <v>0</v>
      </c>
      <c r="L16" s="42">
        <f>IF($B16="","",IF($B$2="Todos",SUMIFS(BD!$L$3:$L$5001,BD!$A$3:$A$5001,$B16),SUMIFS(BD!$L$3:$L$5001,BD!$A$3:$A$5001,$B16,BD!$B$3:$B$5001,$D$2)))</f>
        <v>0</v>
      </c>
      <c r="M16" s="42">
        <f>IF($B16="","",IF($B$2="Todos",SUMIFS(BD!$M$3:$M$5001,BD!$A$3:$A$5001,$B16),SUMIFS(BD!$M$3:$M$5001,BD!$A$3:$A$5001,$B16,BD!$B$3:$B$5001,$D$2)))</f>
        <v>0</v>
      </c>
      <c r="N16" s="42">
        <f>IF($B16="","",IF($B$2="Todos",SUMIFS(BD!$N$3:$N$5001,BD!$A$3:$A$5001,$B16),SUMIFS(BD!$N$3:$N$5001,BD!$A$3:$A$5001,$B16,BD!$B$3:$B$5001,$D$2)))</f>
        <v>0</v>
      </c>
      <c r="O16" s="42">
        <f>IF($B16="","",IF($B$2="Todos",SUMIFS(BD!$O$3:$O$5001,BD!$A$3:$A$5001,$B16),SUMIFS(BD!$O$3:$O$5001,BD!$A$3:$A$5001,$B16,BD!$B$3:$B$5001,$D$2)))</f>
        <v>0</v>
      </c>
      <c r="P16" s="42">
        <f>IF($B16="","",IF($B$2="Todos",SUMIFS(BD!$P$3:$P$5001,BD!$A$3:$A$5001,$B16),SUMIFS(BD!$P$3:$P$5001,BD!$A$3:$A$5001,$B16,BD!$B$3:$B$5001,$D$2)))</f>
        <v>0</v>
      </c>
      <c r="Q16" s="42">
        <f>IF($B16="","",IF($B$2="Todos",SUMIFS(BD!$Q$3:$Q$5001,BD!$A$3:$A$5001,$B16),SUMIFS(BD!$Q$3:$Q$5001,BD!$A$3:$A$5001,$B16,BD!$B$3:$B$5001,$D$2)))</f>
        <v>0</v>
      </c>
      <c r="R16" s="42">
        <f>IF($B16="","",IF($B$2="Todos",SUMIFS(BD!$R$3:$R$5001,BD!$A$3:$A$5001,$B16),SUMIFS(BD!$R$3:$R$5001,BD!$A$3:$A$5001,$B16,BD!$B$3:$B$5001,$D$2)))</f>
        <v>0</v>
      </c>
      <c r="S16" s="58">
        <f>IF($B16="","",IF($B$2="Todos",SUMIFS(BD!$S$3:$S$5001,BD!$A$3:$A$5001,$B16),SUMIFS(BD!$S$3:$S$5001,BD!$A$3:$A$5001,$B16,BD!$B$3:$B$5001,$D$2)))</f>
        <v>0</v>
      </c>
      <c r="T16" s="42">
        <f>IF($B16="","",IF($B$2="Todos",SUMIFS(BD!$T$3:$T$5001,BD!$A$3:$A$5001,$B16),SUMIFS(BD!$T$3:$T$5001,BD!$A$3:$A$5001,$B16,BD!$B$3:$B$5001,$D$2)))</f>
        <v>0</v>
      </c>
      <c r="U16" s="42">
        <f>IF($B16="","",IF($B$2="Todos",SUMIFS(BD!$U$3:$U$5001,BD!$A$3:$A$5001,$B16),SUMIFS(BD!$U$3:$U$5001,BD!$A$3:$A$5001,$B16,BD!$B$3:$B$5001,$D$2)))</f>
        <v>0</v>
      </c>
      <c r="V16" s="42" t="str">
        <f>IF($B$2="Todos",IF(COUNT($C$145:$V$145)=0,"",SUM($C$145:$V$145)),IFERROR(INDEX($C$145:$V$145,MATCH($D$2,$C$140:$V$140,0)),""))</f>
        <v/>
      </c>
      <c r="W16" s="42" t="str">
        <f>IF($B$2="Todos",IF(COUNT($C$180:$V$180)=0,"",SUM($C$180:$V$180)),IFERROR(INDEX($C$180:$V$180,MATCH($D$2,$C$175:$V$175,0)),""))</f>
        <v/>
      </c>
      <c r="X16" s="59" t="str">
        <f>IF(Y16="","",IF($B$2="Todos",IF($B$4&gt;0,$B$4,IF($B$2="Todos",IF(COUNT($C$250:$V$250)=0,"",SUM($C$250:$V$250)),IFERROR(INDEX($C$250:$V$250,MATCH($D$2,$C$245:$V$245,0)),""))),IFERROR(INDEX($C$250:$V$250,MATCH($D$2,$C$245:$V$245,0)),"")))</f>
        <v/>
      </c>
      <c r="Y16" s="42" t="str">
        <f>IF($B$2="Todos",IF(COUNT($C$215:$V$215)=0,"",SUM($C$215:$V$215)),IFERROR(INDEX($C$215:$V$215,MATCH($D$2,$C$210:$V$210,0)),""))</f>
        <v/>
      </c>
      <c r="Z16" s="60" t="str">
        <f>IF(AND(ISNUMBER(Y16),ISNUMBER(X16)),IF(X16&gt;0,Y16/X16,""),"")</f>
        <v/>
      </c>
      <c r="AA16" s="42" t="str">
        <f>IF($B$2="Todos",IF(COUNT($C$285:$V$285)=0,"",SUM($C$285:$V$285)),IFERROR(INDEX($C$285:$V$285,MATCH($D$2,$C$280:$V$280,0)),""))</f>
        <v/>
      </c>
      <c r="AB16" s="42">
        <f>IF($B16="","",IF($B$2="Todos",SUMIFS(BD!$AA$3:$AA$5001,BD!$A$3:$A$5001,$B16),SUMIFS(BD!$AA$3:$AA$5001,BD!$A$3:$A$5001,$B16,BD!$B$3:$B$5001,$D$2)))</f>
        <v>0</v>
      </c>
      <c r="AC16" s="58">
        <f>IF($B16="","",IF($B$2="Todos",SUMIFS(BD!$AB$3:$AB$5001,BD!$A$3:$A$5001,$B16),SUMIFS(BD!$AB$3:$AB$5001,BD!$A$3:$A$5001,$B16,BD!$B$3:$B$5001,$D$2)))</f>
        <v>0</v>
      </c>
      <c r="AD16" s="42">
        <f>IF($B16="","",IF($B$2="Todos",SUMIFS(BD!$AC$3:$AC$5001,BD!$A$3:$A$5001,$B16),SUMIFS(BD!$AC$3:$AC$5001,BD!$A$3:$A$5001,$B16,BD!$B$3:$B$5001,$D$2)))</f>
        <v>0</v>
      </c>
      <c r="AE16" s="42">
        <f>IF($B16="","",IF($B$2="Todos",SUMIFS(BD!$AD$3:$AD$5001,BD!$A$3:$A$5001,$B16),SUMIFS(BD!$AD$3:$AD$5001,BD!$A$3:$A$5001,$B16,BD!$B$3:$B$5001,$D$2)))</f>
        <v>0</v>
      </c>
      <c r="AF16" s="42">
        <f>IF($B16="","",IF($B$2="Todos",SUMIFS(BD!$AE$3:$AE$5001,BD!$A$3:$A$5001,$B16),SUMIFS(BD!$AE$3:$AE$5001,BD!$A$3:$A$5001,$B16,BD!$B$3:$B$5001,$D$2)))</f>
        <v>0</v>
      </c>
      <c r="AG16" s="42">
        <f>IF($B16="","",IF($B$2="Todos",SUMIFS(BD!$AF$3:$AF$5001,BD!$A$3:$A$5001,$B16),SUMIFS(BD!$AF$3:$AF$5001,BD!$A$3:$A$5001,$B16,BD!$B$3:$B$5001,$D$2)))</f>
        <v>0</v>
      </c>
      <c r="AH16" s="42">
        <f>IF($B16="","",IF($B$2="Todos",SUMIFS(BD!$AG$3:$AG$5001,BD!$A$3:$A$5001,$B16),SUMIFS(BD!$AG$3:$AG$5001,BD!$A$3:$A$5001,$B16,BD!$B$3:$B$5001,$D$2)))</f>
        <v>0</v>
      </c>
      <c r="AI16" s="42">
        <f>IF($B16="","",IF($B$2="Todos",SUMIFS(BD!$AH$3:$AH$5001,BD!$A$3:$A$5001,$B16),SUMIFS(BD!$AH$3:$AH$5001,BD!$A$3:$A$5001,$B16,BD!$B$3:$B$5001,$D$2)))</f>
        <v>0</v>
      </c>
      <c r="AJ16" s="61">
        <f>$B$5</f>
        <v>0.7</v>
      </c>
      <c r="AK16" s="61">
        <f>$B$6</f>
        <v>0.9</v>
      </c>
      <c r="AN16" s="40" t="inlineStr">
        <is>
          <t xml:space="preserve">MAIO · 2026</t>
        </is>
      </c>
      <c r="AP16" s="40" t="str">
        <f>IFERROR(INDEX(Config!$B$10:$B$29,MATCH(4,$AR$13:$AR$32,0))&amp;"","")</f>
        <v>Boticário</v>
      </c>
      <c r="AQ16" s="39" t="str">
        <f>IF(AP16="","",IF(INDEX(Config!$C$10:$C$29,MATCH(4,$AR$13:$AR$32,0))&amp;""="","TPC",INDEX(Config!$C$10:$C$29,MATCH(4,$AR$13:$AR$32,0))&amp;""))</f>
        <v>TPC</v>
      </c>
      <c r="AR16" s="48">
        <f>IF(Config!$B$13&amp;""="",AR15,AR15+1)</f>
        <v>4</v>
      </c>
      <c r="AS16" s="40" t="str">
        <f>"ACUMULADO SEMANAL PALETES — "&amp;IF($B$2="Todos","TODOS OS CLIENTES",UPPER($B$2))</f>
        <v>ACUMULADO SEMANAL PALETES — TODOS OS CLIENTES</v>
      </c>
    </row>
    <row r="17">
      <c r="A17" s="39">
        <v>6</v>
      </c>
      <c r="B17" s="57">
        <f>IF($A17&lt;=DAY($D$7),$C$7+$A17-1,"")</f>
        <v>46301</v>
      </c>
      <c r="C17" s="42">
        <f>IF($B17="","",IF($B$2="Todos",SUMIFS(BD!$C$3:$C$5001,BD!$A$3:$A$5001,$B17),SUMIFS(BD!$C$3:$C$5001,BD!$A$3:$A$5001,$B17,BD!$B$3:$B$5001,$D$2)))</f>
        <v>0</v>
      </c>
      <c r="D17" s="42">
        <f>IF($B17="","",IF($B$2="Todos",SUMIFS(BD!$D$3:$D$5001,BD!$A$3:$A$5001,$B17),SUMIFS(BD!$D$3:$D$5001,BD!$A$3:$A$5001,$B17,BD!$B$3:$B$5001,$D$2)))</f>
        <v>0</v>
      </c>
      <c r="E17" s="58">
        <f>IF($B17="","",IF($B$2="Todos",SUMIFS(BD!$E$3:$E$5001,BD!$A$3:$A$5001,$B17),SUMIFS(BD!$E$3:$E$5001,BD!$A$3:$A$5001,$B17,BD!$B$3:$B$5001,$D$2)))</f>
        <v>0</v>
      </c>
      <c r="F17" s="42">
        <f>IF($B17="","",IF($B$2="Todos",SUMIFS(BD!$F$3:$F$5001,BD!$A$3:$A$5001,$B17),SUMIFS(BD!$F$3:$F$5001,BD!$A$3:$A$5001,$B17,BD!$B$3:$B$5001,$D$2)))</f>
        <v>0</v>
      </c>
      <c r="G17" s="42">
        <f>IF($B17="","",IF($B$2="Todos",SUMIFS(BD!$G$3:$G$5001,BD!$A$3:$A$5001,$B17),SUMIFS(BD!$G$3:$G$5001,BD!$A$3:$A$5001,$B17,BD!$B$3:$B$5001,$D$2)))</f>
        <v>0</v>
      </c>
      <c r="H17" s="42">
        <f>IF($B17="","",IF($B$2="Todos",SUMIFS(BD!$H$3:$H$5001,BD!$A$3:$A$5001,$B17),SUMIFS(BD!$H$3:$H$5001,BD!$A$3:$A$5001,$B17,BD!$B$3:$B$5001,$D$2)))</f>
        <v>0</v>
      </c>
      <c r="I17" s="42">
        <f>IF($B17="","",IF($B$2="Todos",SUMIFS(BD!$I$3:$I$5001,BD!$A$3:$A$5001,$B17),SUMIFS(BD!$I$3:$I$5001,BD!$A$3:$A$5001,$B17,BD!$B$3:$B$5001,$D$2)))</f>
        <v>0</v>
      </c>
      <c r="J17" s="42">
        <f>IF($B17="","",IF($B$2="Todos",SUMIFS(BD!$J$3:$J$5001,BD!$A$3:$A$5001,$B17),SUMIFS(BD!$J$3:$J$5001,BD!$A$3:$A$5001,$B17,BD!$B$3:$B$5001,$D$2)))</f>
        <v>0</v>
      </c>
      <c r="K17" s="42">
        <f>IF($B17="","",IF($B$2="Todos",SUMIFS(BD!$K$3:$K$5001,BD!$A$3:$A$5001,$B17),SUMIFS(BD!$K$3:$K$5001,BD!$A$3:$A$5001,$B17,BD!$B$3:$B$5001,$D$2)))</f>
        <v>0</v>
      </c>
      <c r="L17" s="42">
        <f>IF($B17="","",IF($B$2="Todos",SUMIFS(BD!$L$3:$L$5001,BD!$A$3:$A$5001,$B17),SUMIFS(BD!$L$3:$L$5001,BD!$A$3:$A$5001,$B17,BD!$B$3:$B$5001,$D$2)))</f>
        <v>0</v>
      </c>
      <c r="M17" s="42">
        <f>IF($B17="","",IF($B$2="Todos",SUMIFS(BD!$M$3:$M$5001,BD!$A$3:$A$5001,$B17),SUMIFS(BD!$M$3:$M$5001,BD!$A$3:$A$5001,$B17,BD!$B$3:$B$5001,$D$2)))</f>
        <v>0</v>
      </c>
      <c r="N17" s="42">
        <f>IF($B17="","",IF($B$2="Todos",SUMIFS(BD!$N$3:$N$5001,BD!$A$3:$A$5001,$B17),SUMIFS(BD!$N$3:$N$5001,BD!$A$3:$A$5001,$B17,BD!$B$3:$B$5001,$D$2)))</f>
        <v>0</v>
      </c>
      <c r="O17" s="42">
        <f>IF($B17="","",IF($B$2="Todos",SUMIFS(BD!$O$3:$O$5001,BD!$A$3:$A$5001,$B17),SUMIFS(BD!$O$3:$O$5001,BD!$A$3:$A$5001,$B17,BD!$B$3:$B$5001,$D$2)))</f>
        <v>0</v>
      </c>
      <c r="P17" s="42">
        <f>IF($B17="","",IF($B$2="Todos",SUMIFS(BD!$P$3:$P$5001,BD!$A$3:$A$5001,$B17),SUMIFS(BD!$P$3:$P$5001,BD!$A$3:$A$5001,$B17,BD!$B$3:$B$5001,$D$2)))</f>
        <v>0</v>
      </c>
      <c r="Q17" s="42">
        <f>IF($B17="","",IF($B$2="Todos",SUMIFS(BD!$Q$3:$Q$5001,BD!$A$3:$A$5001,$B17),SUMIFS(BD!$Q$3:$Q$5001,BD!$A$3:$A$5001,$B17,BD!$B$3:$B$5001,$D$2)))</f>
        <v>0</v>
      </c>
      <c r="R17" s="42">
        <f>IF($B17="","",IF($B$2="Todos",SUMIFS(BD!$R$3:$R$5001,BD!$A$3:$A$5001,$B17),SUMIFS(BD!$R$3:$R$5001,BD!$A$3:$A$5001,$B17,BD!$B$3:$B$5001,$D$2)))</f>
        <v>0</v>
      </c>
      <c r="S17" s="58">
        <f>IF($B17="","",IF($B$2="Todos",SUMIFS(BD!$S$3:$S$5001,BD!$A$3:$A$5001,$B17),SUMIFS(BD!$S$3:$S$5001,BD!$A$3:$A$5001,$B17,BD!$B$3:$B$5001,$D$2)))</f>
        <v>0</v>
      </c>
      <c r="T17" s="42">
        <f>IF($B17="","",IF($B$2="Todos",SUMIFS(BD!$T$3:$T$5001,BD!$A$3:$A$5001,$B17),SUMIFS(BD!$T$3:$T$5001,BD!$A$3:$A$5001,$B17,BD!$B$3:$B$5001,$D$2)))</f>
        <v>0</v>
      </c>
      <c r="U17" s="42">
        <f>IF($B17="","",IF($B$2="Todos",SUMIFS(BD!$U$3:$U$5001,BD!$A$3:$A$5001,$B17),SUMIFS(BD!$U$3:$U$5001,BD!$A$3:$A$5001,$B17,BD!$B$3:$B$5001,$D$2)))</f>
        <v>0</v>
      </c>
      <c r="V17" s="42" t="str">
        <f>IF($B$2="Todos",IF(COUNT($C$146:$V$146)=0,"",SUM($C$146:$V$146)),IFERROR(INDEX($C$146:$V$146,MATCH($D$2,$C$140:$V$140,0)),""))</f>
        <v/>
      </c>
      <c r="W17" s="42" t="str">
        <f>IF($B$2="Todos",IF(COUNT($C$181:$V$181)=0,"",SUM($C$181:$V$181)),IFERROR(INDEX($C$181:$V$181,MATCH($D$2,$C$175:$V$175,0)),""))</f>
        <v/>
      </c>
      <c r="X17" s="59" t="str">
        <f>IF(Y17="","",IF($B$2="Todos",IF($B$4&gt;0,$B$4,IF($B$2="Todos",IF(COUNT($C$251:$V$251)=0,"",SUM($C$251:$V$251)),IFERROR(INDEX($C$251:$V$251,MATCH($D$2,$C$245:$V$245,0)),""))),IFERROR(INDEX($C$251:$V$251,MATCH($D$2,$C$245:$V$245,0)),"")))</f>
        <v/>
      </c>
      <c r="Y17" s="42" t="str">
        <f>IF($B$2="Todos",IF(COUNT($C$216:$V$216)=0,"",SUM($C$216:$V$216)),IFERROR(INDEX($C$216:$V$216,MATCH($D$2,$C$210:$V$210,0)),""))</f>
        <v/>
      </c>
      <c r="Z17" s="60" t="str">
        <f>IF(AND(ISNUMBER(Y17),ISNUMBER(X17)),IF(X17&gt;0,Y17/X17,""),"")</f>
        <v/>
      </c>
      <c r="AA17" s="42" t="str">
        <f>IF($B$2="Todos",IF(COUNT($C$286:$V$286)=0,"",SUM($C$286:$V$286)),IFERROR(INDEX($C$286:$V$286,MATCH($D$2,$C$280:$V$280,0)),""))</f>
        <v/>
      </c>
      <c r="AB17" s="42">
        <f>IF($B17="","",IF($B$2="Todos",SUMIFS(BD!$AA$3:$AA$5001,BD!$A$3:$A$5001,$B17),SUMIFS(BD!$AA$3:$AA$5001,BD!$A$3:$A$5001,$B17,BD!$B$3:$B$5001,$D$2)))</f>
        <v>0</v>
      </c>
      <c r="AC17" s="58">
        <f>IF($B17="","",IF($B$2="Todos",SUMIFS(BD!$AB$3:$AB$5001,BD!$A$3:$A$5001,$B17),SUMIFS(BD!$AB$3:$AB$5001,BD!$A$3:$A$5001,$B17,BD!$B$3:$B$5001,$D$2)))</f>
        <v>0</v>
      </c>
      <c r="AD17" s="42">
        <f>IF($B17="","",IF($B$2="Todos",SUMIFS(BD!$AC$3:$AC$5001,BD!$A$3:$A$5001,$B17),SUMIFS(BD!$AC$3:$AC$5001,BD!$A$3:$A$5001,$B17,BD!$B$3:$B$5001,$D$2)))</f>
        <v>0</v>
      </c>
      <c r="AE17" s="42">
        <f>IF($B17="","",IF($B$2="Todos",SUMIFS(BD!$AD$3:$AD$5001,BD!$A$3:$A$5001,$B17),SUMIFS(BD!$AD$3:$AD$5001,BD!$A$3:$A$5001,$B17,BD!$B$3:$B$5001,$D$2)))</f>
        <v>0</v>
      </c>
      <c r="AF17" s="42">
        <f>IF($B17="","",IF($B$2="Todos",SUMIFS(BD!$AE$3:$AE$5001,BD!$A$3:$A$5001,$B17),SUMIFS(BD!$AE$3:$AE$5001,BD!$A$3:$A$5001,$B17,BD!$B$3:$B$5001,$D$2)))</f>
        <v>0</v>
      </c>
      <c r="AG17" s="42">
        <f>IF($B17="","",IF($B$2="Todos",SUMIFS(BD!$AF$3:$AF$5001,BD!$A$3:$A$5001,$B17),SUMIFS(BD!$AF$3:$AF$5001,BD!$A$3:$A$5001,$B17,BD!$B$3:$B$5001,$D$2)))</f>
        <v>0</v>
      </c>
      <c r="AH17" s="42">
        <f>IF($B17="","",IF($B$2="Todos",SUMIFS(BD!$AG$3:$AG$5001,BD!$A$3:$A$5001,$B17),SUMIFS(BD!$AG$3:$AG$5001,BD!$A$3:$A$5001,$B17,BD!$B$3:$B$5001,$D$2)))</f>
        <v>0</v>
      </c>
      <c r="AI17" s="42">
        <f>IF($B17="","",IF($B$2="Todos",SUMIFS(BD!$AH$3:$AH$5001,BD!$A$3:$A$5001,$B17),SUMIFS(BD!$AH$3:$AH$5001,BD!$A$3:$A$5001,$B17,BD!$B$3:$B$5001,$D$2)))</f>
        <v>0</v>
      </c>
      <c r="AJ17" s="61">
        <f>$B$5</f>
        <v>0.7</v>
      </c>
      <c r="AK17" s="61">
        <f>$B$6</f>
        <v>0.9</v>
      </c>
      <c r="AN17" s="40" t="inlineStr">
        <is>
          <t xml:space="preserve">JUNHO · 2026</t>
        </is>
      </c>
      <c r="AP17" s="40" t="str">
        <f>IFERROR(INDEX(Config!$B$10:$B$29,MATCH(5,$AR$13:$AR$32,0))&amp;"","")</f>
        <v>Confiance</v>
      </c>
      <c r="AQ17" s="39" t="str">
        <f>IF(AP17="","",IF(INDEX(Config!$C$10:$C$29,MATCH(5,$AR$13:$AR$32,0))&amp;""="","TPC",INDEX(Config!$C$10:$C$29,MATCH(5,$AR$13:$AR$32,0))&amp;""))</f>
        <v>TPC</v>
      </c>
      <c r="AR17" s="48">
        <f>IF(Config!$B$14&amp;""="",AR16,AR16+1)</f>
        <v>5</v>
      </c>
      <c r="AS17" s="40" t="str">
        <f>"ACUMULADO SEMANAL TONS — "&amp;IF($B$2="Todos","TODOS OS CLIENTES",UPPER($B$2))</f>
        <v>ACUMULADO SEMANAL TONS — TODOS OS CLIENTES</v>
      </c>
    </row>
    <row r="18">
      <c r="A18" s="39">
        <v>7</v>
      </c>
      <c r="B18" s="57">
        <f>IF($A18&lt;=DAY($D$7),$C$7+$A18-1,"")</f>
        <v>46302</v>
      </c>
      <c r="C18" s="42">
        <f>IF($B18="","",IF($B$2="Todos",SUMIFS(BD!$C$3:$C$5001,BD!$A$3:$A$5001,$B18),SUMIFS(BD!$C$3:$C$5001,BD!$A$3:$A$5001,$B18,BD!$B$3:$B$5001,$D$2)))</f>
        <v>0</v>
      </c>
      <c r="D18" s="42">
        <f>IF($B18="","",IF($B$2="Todos",SUMIFS(BD!$D$3:$D$5001,BD!$A$3:$A$5001,$B18),SUMIFS(BD!$D$3:$D$5001,BD!$A$3:$A$5001,$B18,BD!$B$3:$B$5001,$D$2)))</f>
        <v>0</v>
      </c>
      <c r="E18" s="58">
        <f>IF($B18="","",IF($B$2="Todos",SUMIFS(BD!$E$3:$E$5001,BD!$A$3:$A$5001,$B18),SUMIFS(BD!$E$3:$E$5001,BD!$A$3:$A$5001,$B18,BD!$B$3:$B$5001,$D$2)))</f>
        <v>0</v>
      </c>
      <c r="F18" s="42">
        <f>IF($B18="","",IF($B$2="Todos",SUMIFS(BD!$F$3:$F$5001,BD!$A$3:$A$5001,$B18),SUMIFS(BD!$F$3:$F$5001,BD!$A$3:$A$5001,$B18,BD!$B$3:$B$5001,$D$2)))</f>
        <v>0</v>
      </c>
      <c r="G18" s="42">
        <f>IF($B18="","",IF($B$2="Todos",SUMIFS(BD!$G$3:$G$5001,BD!$A$3:$A$5001,$B18),SUMIFS(BD!$G$3:$G$5001,BD!$A$3:$A$5001,$B18,BD!$B$3:$B$5001,$D$2)))</f>
        <v>0</v>
      </c>
      <c r="H18" s="42">
        <f>IF($B18="","",IF($B$2="Todos",SUMIFS(BD!$H$3:$H$5001,BD!$A$3:$A$5001,$B18),SUMIFS(BD!$H$3:$H$5001,BD!$A$3:$A$5001,$B18,BD!$B$3:$B$5001,$D$2)))</f>
        <v>0</v>
      </c>
      <c r="I18" s="42">
        <f>IF($B18="","",IF($B$2="Todos",SUMIFS(BD!$I$3:$I$5001,BD!$A$3:$A$5001,$B18),SUMIFS(BD!$I$3:$I$5001,BD!$A$3:$A$5001,$B18,BD!$B$3:$B$5001,$D$2)))</f>
        <v>0</v>
      </c>
      <c r="J18" s="42">
        <f>IF($B18="","",IF($B$2="Todos",SUMIFS(BD!$J$3:$J$5001,BD!$A$3:$A$5001,$B18),SUMIFS(BD!$J$3:$J$5001,BD!$A$3:$A$5001,$B18,BD!$B$3:$B$5001,$D$2)))</f>
        <v>0</v>
      </c>
      <c r="K18" s="42">
        <f>IF($B18="","",IF($B$2="Todos",SUMIFS(BD!$K$3:$K$5001,BD!$A$3:$A$5001,$B18),SUMIFS(BD!$K$3:$K$5001,BD!$A$3:$A$5001,$B18,BD!$B$3:$B$5001,$D$2)))</f>
        <v>0</v>
      </c>
      <c r="L18" s="42">
        <f>IF($B18="","",IF($B$2="Todos",SUMIFS(BD!$L$3:$L$5001,BD!$A$3:$A$5001,$B18),SUMIFS(BD!$L$3:$L$5001,BD!$A$3:$A$5001,$B18,BD!$B$3:$B$5001,$D$2)))</f>
        <v>0</v>
      </c>
      <c r="M18" s="42">
        <f>IF($B18="","",IF($B$2="Todos",SUMIFS(BD!$M$3:$M$5001,BD!$A$3:$A$5001,$B18),SUMIFS(BD!$M$3:$M$5001,BD!$A$3:$A$5001,$B18,BD!$B$3:$B$5001,$D$2)))</f>
        <v>0</v>
      </c>
      <c r="N18" s="42">
        <f>IF($B18="","",IF($B$2="Todos",SUMIFS(BD!$N$3:$N$5001,BD!$A$3:$A$5001,$B18),SUMIFS(BD!$N$3:$N$5001,BD!$A$3:$A$5001,$B18,BD!$B$3:$B$5001,$D$2)))</f>
        <v>0</v>
      </c>
      <c r="O18" s="42">
        <f>IF($B18="","",IF($B$2="Todos",SUMIFS(BD!$O$3:$O$5001,BD!$A$3:$A$5001,$B18),SUMIFS(BD!$O$3:$O$5001,BD!$A$3:$A$5001,$B18,BD!$B$3:$B$5001,$D$2)))</f>
        <v>0</v>
      </c>
      <c r="P18" s="42">
        <f>IF($B18="","",IF($B$2="Todos",SUMIFS(BD!$P$3:$P$5001,BD!$A$3:$A$5001,$B18),SUMIFS(BD!$P$3:$P$5001,BD!$A$3:$A$5001,$B18,BD!$B$3:$B$5001,$D$2)))</f>
        <v>0</v>
      </c>
      <c r="Q18" s="42">
        <f>IF($B18="","",IF($B$2="Todos",SUMIFS(BD!$Q$3:$Q$5001,BD!$A$3:$A$5001,$B18),SUMIFS(BD!$Q$3:$Q$5001,BD!$A$3:$A$5001,$B18,BD!$B$3:$B$5001,$D$2)))</f>
        <v>0</v>
      </c>
      <c r="R18" s="42">
        <f>IF($B18="","",IF($B$2="Todos",SUMIFS(BD!$R$3:$R$5001,BD!$A$3:$A$5001,$B18),SUMIFS(BD!$R$3:$R$5001,BD!$A$3:$A$5001,$B18,BD!$B$3:$B$5001,$D$2)))</f>
        <v>0</v>
      </c>
      <c r="S18" s="58">
        <f>IF($B18="","",IF($B$2="Todos",SUMIFS(BD!$S$3:$S$5001,BD!$A$3:$A$5001,$B18),SUMIFS(BD!$S$3:$S$5001,BD!$A$3:$A$5001,$B18,BD!$B$3:$B$5001,$D$2)))</f>
        <v>0</v>
      </c>
      <c r="T18" s="42">
        <f>IF($B18="","",IF($B$2="Todos",SUMIFS(BD!$T$3:$T$5001,BD!$A$3:$A$5001,$B18),SUMIFS(BD!$T$3:$T$5001,BD!$A$3:$A$5001,$B18,BD!$B$3:$B$5001,$D$2)))</f>
        <v>0</v>
      </c>
      <c r="U18" s="42">
        <f>IF($B18="","",IF($B$2="Todos",SUMIFS(BD!$U$3:$U$5001,BD!$A$3:$A$5001,$B18),SUMIFS(BD!$U$3:$U$5001,BD!$A$3:$A$5001,$B18,BD!$B$3:$B$5001,$D$2)))</f>
        <v>0</v>
      </c>
      <c r="V18" s="42" t="str">
        <f>IF($B$2="Todos",IF(COUNT($C$147:$V$147)=0,"",SUM($C$147:$V$147)),IFERROR(INDEX($C$147:$V$147,MATCH($D$2,$C$140:$V$140,0)),""))</f>
        <v/>
      </c>
      <c r="W18" s="42" t="str">
        <f>IF($B$2="Todos",IF(COUNT($C$182:$V$182)=0,"",SUM($C$182:$V$182)),IFERROR(INDEX($C$182:$V$182,MATCH($D$2,$C$175:$V$175,0)),""))</f>
        <v/>
      </c>
      <c r="X18" s="59" t="str">
        <f>IF(Y18="","",IF($B$2="Todos",IF($B$4&gt;0,$B$4,IF($B$2="Todos",IF(COUNT($C$252:$V$252)=0,"",SUM($C$252:$V$252)),IFERROR(INDEX($C$252:$V$252,MATCH($D$2,$C$245:$V$245,0)),""))),IFERROR(INDEX($C$252:$V$252,MATCH($D$2,$C$245:$V$245,0)),"")))</f>
        <v/>
      </c>
      <c r="Y18" s="42" t="str">
        <f>IF($B$2="Todos",IF(COUNT($C$217:$V$217)=0,"",SUM($C$217:$V$217)),IFERROR(INDEX($C$217:$V$217,MATCH($D$2,$C$210:$V$210,0)),""))</f>
        <v/>
      </c>
      <c r="Z18" s="60" t="str">
        <f>IF(AND(ISNUMBER(Y18),ISNUMBER(X18)),IF(X18&gt;0,Y18/X18,""),"")</f>
        <v/>
      </c>
      <c r="AA18" s="42" t="str">
        <f>IF($B$2="Todos",IF(COUNT($C$287:$V$287)=0,"",SUM($C$287:$V$287)),IFERROR(INDEX($C$287:$V$287,MATCH($D$2,$C$280:$V$280,0)),""))</f>
        <v/>
      </c>
      <c r="AB18" s="42">
        <f>IF($B18="","",IF($B$2="Todos",SUMIFS(BD!$AA$3:$AA$5001,BD!$A$3:$A$5001,$B18),SUMIFS(BD!$AA$3:$AA$5001,BD!$A$3:$A$5001,$B18,BD!$B$3:$B$5001,$D$2)))</f>
        <v>0</v>
      </c>
      <c r="AC18" s="58">
        <f>IF($B18="","",IF($B$2="Todos",SUMIFS(BD!$AB$3:$AB$5001,BD!$A$3:$A$5001,$B18),SUMIFS(BD!$AB$3:$AB$5001,BD!$A$3:$A$5001,$B18,BD!$B$3:$B$5001,$D$2)))</f>
        <v>0</v>
      </c>
      <c r="AD18" s="42">
        <f>IF($B18="","",IF($B$2="Todos",SUMIFS(BD!$AC$3:$AC$5001,BD!$A$3:$A$5001,$B18),SUMIFS(BD!$AC$3:$AC$5001,BD!$A$3:$A$5001,$B18,BD!$B$3:$B$5001,$D$2)))</f>
        <v>0</v>
      </c>
      <c r="AE18" s="42">
        <f>IF($B18="","",IF($B$2="Todos",SUMIFS(BD!$AD$3:$AD$5001,BD!$A$3:$A$5001,$B18),SUMIFS(BD!$AD$3:$AD$5001,BD!$A$3:$A$5001,$B18,BD!$B$3:$B$5001,$D$2)))</f>
        <v>0</v>
      </c>
      <c r="AF18" s="42">
        <f>IF($B18="","",IF($B$2="Todos",SUMIFS(BD!$AE$3:$AE$5001,BD!$A$3:$A$5001,$B18),SUMIFS(BD!$AE$3:$AE$5001,BD!$A$3:$A$5001,$B18,BD!$B$3:$B$5001,$D$2)))</f>
        <v>0</v>
      </c>
      <c r="AG18" s="42">
        <f>IF($B18="","",IF($B$2="Todos",SUMIFS(BD!$AF$3:$AF$5001,BD!$A$3:$A$5001,$B18),SUMIFS(BD!$AF$3:$AF$5001,BD!$A$3:$A$5001,$B18,BD!$B$3:$B$5001,$D$2)))</f>
        <v>0</v>
      </c>
      <c r="AH18" s="42">
        <f>IF($B18="","",IF($B$2="Todos",SUMIFS(BD!$AG$3:$AG$5001,BD!$A$3:$A$5001,$B18),SUMIFS(BD!$AG$3:$AG$5001,BD!$A$3:$A$5001,$B18,BD!$B$3:$B$5001,$D$2)))</f>
        <v>0</v>
      </c>
      <c r="AI18" s="42">
        <f>IF($B18="","",IF($B$2="Todos",SUMIFS(BD!$AH$3:$AH$5001,BD!$A$3:$A$5001,$B18),SUMIFS(BD!$AH$3:$AH$5001,BD!$A$3:$A$5001,$B18,BD!$B$3:$B$5001,$D$2)))</f>
        <v>0</v>
      </c>
      <c r="AJ18" s="61">
        <f>$B$5</f>
        <v>0.7</v>
      </c>
      <c r="AK18" s="61">
        <f>$B$6</f>
        <v>0.9</v>
      </c>
      <c r="AN18" s="40" t="inlineStr">
        <is>
          <t xml:space="preserve">JULHO · 2026</t>
        </is>
      </c>
      <c r="AP18" s="40" t="str">
        <f>IFERROR(INDEX(Config!$B$10:$B$29,MATCH(6,$AR$13:$AR$32,0))&amp;"","")</f>
        <v>GE Vernova</v>
      </c>
      <c r="AQ18" s="39" t="str">
        <f>IF(AP18="","",IF(INDEX(Config!$C$10:$C$29,MATCH(6,$AR$13:$AR$32,0))&amp;""="","TPC",INDEX(Config!$C$10:$C$29,MATCH(6,$AR$13:$AR$32,0))&amp;""))</f>
        <v>TPC</v>
      </c>
      <c r="AR18" s="48">
        <f>IF(Config!$B$15&amp;""="",AR17,AR17+1)</f>
        <v>6</v>
      </c>
    </row>
    <row r="19">
      <c r="A19" s="39">
        <v>8</v>
      </c>
      <c r="B19" s="57">
        <f>IF($A19&lt;=DAY($D$7),$C$7+$A19-1,"")</f>
        <v>46303</v>
      </c>
      <c r="C19" s="42">
        <f>IF($B19="","",IF($B$2="Todos",SUMIFS(BD!$C$3:$C$5001,BD!$A$3:$A$5001,$B19),SUMIFS(BD!$C$3:$C$5001,BD!$A$3:$A$5001,$B19,BD!$B$3:$B$5001,$D$2)))</f>
        <v>0</v>
      </c>
      <c r="D19" s="42">
        <f>IF($B19="","",IF($B$2="Todos",SUMIFS(BD!$D$3:$D$5001,BD!$A$3:$A$5001,$B19),SUMIFS(BD!$D$3:$D$5001,BD!$A$3:$A$5001,$B19,BD!$B$3:$B$5001,$D$2)))</f>
        <v>0</v>
      </c>
      <c r="E19" s="58">
        <f>IF($B19="","",IF($B$2="Todos",SUMIFS(BD!$E$3:$E$5001,BD!$A$3:$A$5001,$B19),SUMIFS(BD!$E$3:$E$5001,BD!$A$3:$A$5001,$B19,BD!$B$3:$B$5001,$D$2)))</f>
        <v>0</v>
      </c>
      <c r="F19" s="42">
        <f>IF($B19="","",IF($B$2="Todos",SUMIFS(BD!$F$3:$F$5001,BD!$A$3:$A$5001,$B19),SUMIFS(BD!$F$3:$F$5001,BD!$A$3:$A$5001,$B19,BD!$B$3:$B$5001,$D$2)))</f>
        <v>0</v>
      </c>
      <c r="G19" s="42">
        <f>IF($B19="","",IF($B$2="Todos",SUMIFS(BD!$G$3:$G$5001,BD!$A$3:$A$5001,$B19),SUMIFS(BD!$G$3:$G$5001,BD!$A$3:$A$5001,$B19,BD!$B$3:$B$5001,$D$2)))</f>
        <v>0</v>
      </c>
      <c r="H19" s="42">
        <f>IF($B19="","",IF($B$2="Todos",SUMIFS(BD!$H$3:$H$5001,BD!$A$3:$A$5001,$B19),SUMIFS(BD!$H$3:$H$5001,BD!$A$3:$A$5001,$B19,BD!$B$3:$B$5001,$D$2)))</f>
        <v>0</v>
      </c>
      <c r="I19" s="42">
        <f>IF($B19="","",IF($B$2="Todos",SUMIFS(BD!$I$3:$I$5001,BD!$A$3:$A$5001,$B19),SUMIFS(BD!$I$3:$I$5001,BD!$A$3:$A$5001,$B19,BD!$B$3:$B$5001,$D$2)))</f>
        <v>0</v>
      </c>
      <c r="J19" s="42">
        <f>IF($B19="","",IF($B$2="Todos",SUMIFS(BD!$J$3:$J$5001,BD!$A$3:$A$5001,$B19),SUMIFS(BD!$J$3:$J$5001,BD!$A$3:$A$5001,$B19,BD!$B$3:$B$5001,$D$2)))</f>
        <v>0</v>
      </c>
      <c r="K19" s="42">
        <f>IF($B19="","",IF($B$2="Todos",SUMIFS(BD!$K$3:$K$5001,BD!$A$3:$A$5001,$B19),SUMIFS(BD!$K$3:$K$5001,BD!$A$3:$A$5001,$B19,BD!$B$3:$B$5001,$D$2)))</f>
        <v>0</v>
      </c>
      <c r="L19" s="42">
        <f>IF($B19="","",IF($B$2="Todos",SUMIFS(BD!$L$3:$L$5001,BD!$A$3:$A$5001,$B19),SUMIFS(BD!$L$3:$L$5001,BD!$A$3:$A$5001,$B19,BD!$B$3:$B$5001,$D$2)))</f>
        <v>0</v>
      </c>
      <c r="M19" s="42">
        <f>IF($B19="","",IF($B$2="Todos",SUMIFS(BD!$M$3:$M$5001,BD!$A$3:$A$5001,$B19),SUMIFS(BD!$M$3:$M$5001,BD!$A$3:$A$5001,$B19,BD!$B$3:$B$5001,$D$2)))</f>
        <v>0</v>
      </c>
      <c r="N19" s="42">
        <f>IF($B19="","",IF($B$2="Todos",SUMIFS(BD!$N$3:$N$5001,BD!$A$3:$A$5001,$B19),SUMIFS(BD!$N$3:$N$5001,BD!$A$3:$A$5001,$B19,BD!$B$3:$B$5001,$D$2)))</f>
        <v>0</v>
      </c>
      <c r="O19" s="42">
        <f>IF($B19="","",IF($B$2="Todos",SUMIFS(BD!$O$3:$O$5001,BD!$A$3:$A$5001,$B19),SUMIFS(BD!$O$3:$O$5001,BD!$A$3:$A$5001,$B19,BD!$B$3:$B$5001,$D$2)))</f>
        <v>0</v>
      </c>
      <c r="P19" s="42">
        <f>IF($B19="","",IF($B$2="Todos",SUMIFS(BD!$P$3:$P$5001,BD!$A$3:$A$5001,$B19),SUMIFS(BD!$P$3:$P$5001,BD!$A$3:$A$5001,$B19,BD!$B$3:$B$5001,$D$2)))</f>
        <v>0</v>
      </c>
      <c r="Q19" s="42">
        <f>IF($B19="","",IF($B$2="Todos",SUMIFS(BD!$Q$3:$Q$5001,BD!$A$3:$A$5001,$B19),SUMIFS(BD!$Q$3:$Q$5001,BD!$A$3:$A$5001,$B19,BD!$B$3:$B$5001,$D$2)))</f>
        <v>0</v>
      </c>
      <c r="R19" s="42">
        <f>IF($B19="","",IF($B$2="Todos",SUMIFS(BD!$R$3:$R$5001,BD!$A$3:$A$5001,$B19),SUMIFS(BD!$R$3:$R$5001,BD!$A$3:$A$5001,$B19,BD!$B$3:$B$5001,$D$2)))</f>
        <v>0</v>
      </c>
      <c r="S19" s="58">
        <f>IF($B19="","",IF($B$2="Todos",SUMIFS(BD!$S$3:$S$5001,BD!$A$3:$A$5001,$B19),SUMIFS(BD!$S$3:$S$5001,BD!$A$3:$A$5001,$B19,BD!$B$3:$B$5001,$D$2)))</f>
        <v>0</v>
      </c>
      <c r="T19" s="42">
        <f>IF($B19="","",IF($B$2="Todos",SUMIFS(BD!$T$3:$T$5001,BD!$A$3:$A$5001,$B19),SUMIFS(BD!$T$3:$T$5001,BD!$A$3:$A$5001,$B19,BD!$B$3:$B$5001,$D$2)))</f>
        <v>0</v>
      </c>
      <c r="U19" s="42">
        <f>IF($B19="","",IF($B$2="Todos",SUMIFS(BD!$U$3:$U$5001,BD!$A$3:$A$5001,$B19),SUMIFS(BD!$U$3:$U$5001,BD!$A$3:$A$5001,$B19,BD!$B$3:$B$5001,$D$2)))</f>
        <v>0</v>
      </c>
      <c r="V19" s="42" t="str">
        <f>IF($B$2="Todos",IF(COUNT($C$148:$V$148)=0,"",SUM($C$148:$V$148)),IFERROR(INDEX($C$148:$V$148,MATCH($D$2,$C$140:$V$140,0)),""))</f>
        <v/>
      </c>
      <c r="W19" s="42" t="str">
        <f>IF($B$2="Todos",IF(COUNT($C$183:$V$183)=0,"",SUM($C$183:$V$183)),IFERROR(INDEX($C$183:$V$183,MATCH($D$2,$C$175:$V$175,0)),""))</f>
        <v/>
      </c>
      <c r="X19" s="59" t="str">
        <f>IF(Y19="","",IF($B$2="Todos",IF($B$4&gt;0,$B$4,IF($B$2="Todos",IF(COUNT($C$253:$V$253)=0,"",SUM($C$253:$V$253)),IFERROR(INDEX($C$253:$V$253,MATCH($D$2,$C$245:$V$245,0)),""))),IFERROR(INDEX($C$253:$V$253,MATCH($D$2,$C$245:$V$245,0)),"")))</f>
        <v/>
      </c>
      <c r="Y19" s="42" t="str">
        <f>IF($B$2="Todos",IF(COUNT($C$218:$V$218)=0,"",SUM($C$218:$V$218)),IFERROR(INDEX($C$218:$V$218,MATCH($D$2,$C$210:$V$210,0)),""))</f>
        <v/>
      </c>
      <c r="Z19" s="60" t="str">
        <f>IF(AND(ISNUMBER(Y19),ISNUMBER(X19)),IF(X19&gt;0,Y19/X19,""),"")</f>
        <v/>
      </c>
      <c r="AA19" s="42" t="str">
        <f>IF($B$2="Todos",IF(COUNT($C$288:$V$288)=0,"",SUM($C$288:$V$288)),IFERROR(INDEX($C$288:$V$288,MATCH($D$2,$C$280:$V$280,0)),""))</f>
        <v/>
      </c>
      <c r="AB19" s="42">
        <f>IF($B19="","",IF($B$2="Todos",SUMIFS(BD!$AA$3:$AA$5001,BD!$A$3:$A$5001,$B19),SUMIFS(BD!$AA$3:$AA$5001,BD!$A$3:$A$5001,$B19,BD!$B$3:$B$5001,$D$2)))</f>
        <v>0</v>
      </c>
      <c r="AC19" s="58">
        <f>IF($B19="","",IF($B$2="Todos",SUMIFS(BD!$AB$3:$AB$5001,BD!$A$3:$A$5001,$B19),SUMIFS(BD!$AB$3:$AB$5001,BD!$A$3:$A$5001,$B19,BD!$B$3:$B$5001,$D$2)))</f>
        <v>0</v>
      </c>
      <c r="AD19" s="42">
        <f>IF($B19="","",IF($B$2="Todos",SUMIFS(BD!$AC$3:$AC$5001,BD!$A$3:$A$5001,$B19),SUMIFS(BD!$AC$3:$AC$5001,BD!$A$3:$A$5001,$B19,BD!$B$3:$B$5001,$D$2)))</f>
        <v>0</v>
      </c>
      <c r="AE19" s="42">
        <f>IF($B19="","",IF($B$2="Todos",SUMIFS(BD!$AD$3:$AD$5001,BD!$A$3:$A$5001,$B19),SUMIFS(BD!$AD$3:$AD$5001,BD!$A$3:$A$5001,$B19,BD!$B$3:$B$5001,$D$2)))</f>
        <v>0</v>
      </c>
      <c r="AF19" s="42">
        <f>IF($B19="","",IF($B$2="Todos",SUMIFS(BD!$AE$3:$AE$5001,BD!$A$3:$A$5001,$B19),SUMIFS(BD!$AE$3:$AE$5001,BD!$A$3:$A$5001,$B19,BD!$B$3:$B$5001,$D$2)))</f>
        <v>0</v>
      </c>
      <c r="AG19" s="42">
        <f>IF($B19="","",IF($B$2="Todos",SUMIFS(BD!$AF$3:$AF$5001,BD!$A$3:$A$5001,$B19),SUMIFS(BD!$AF$3:$AF$5001,BD!$A$3:$A$5001,$B19,BD!$B$3:$B$5001,$D$2)))</f>
        <v>0</v>
      </c>
      <c r="AH19" s="42">
        <f>IF($B19="","",IF($B$2="Todos",SUMIFS(BD!$AG$3:$AG$5001,BD!$A$3:$A$5001,$B19),SUMIFS(BD!$AG$3:$AG$5001,BD!$A$3:$A$5001,$B19,BD!$B$3:$B$5001,$D$2)))</f>
        <v>0</v>
      </c>
      <c r="AI19" s="42">
        <f>IF($B19="","",IF($B$2="Todos",SUMIFS(BD!$AH$3:$AH$5001,BD!$A$3:$A$5001,$B19),SUMIFS(BD!$AH$3:$AH$5001,BD!$A$3:$A$5001,$B19,BD!$B$3:$B$5001,$D$2)))</f>
        <v>0</v>
      </c>
      <c r="AJ19" s="61">
        <f>$B$5</f>
        <v>0.7</v>
      </c>
      <c r="AK19" s="61">
        <f>$B$6</f>
        <v>0.9</v>
      </c>
      <c r="AN19" s="40" t="inlineStr">
        <is>
          <t xml:space="preserve">AGOSTO · 2026</t>
        </is>
      </c>
      <c r="AP19" s="40" t="str">
        <f>IFERROR(INDEX(Config!$B$10:$B$29,MATCH(7,$AR$13:$AR$32,0))&amp;"","")</f>
        <v>Omnilife</v>
      </c>
      <c r="AQ19" s="39" t="str">
        <f>IF(AP19="","",IF(INDEX(Config!$C$10:$C$29,MATCH(7,$AR$13:$AR$32,0))&amp;""="","TPC",INDEX(Config!$C$10:$C$29,MATCH(7,$AR$13:$AR$32,0))&amp;""))</f>
        <v>TPC</v>
      </c>
      <c r="AR19" s="48">
        <f>IF(Config!$B$16&amp;""="",AR18,AR18+1)</f>
        <v>7</v>
      </c>
    </row>
    <row r="20">
      <c r="A20" s="39">
        <v>9</v>
      </c>
      <c r="B20" s="57">
        <f>IF($A20&lt;=DAY($D$7),$C$7+$A20-1,"")</f>
        <v>46304</v>
      </c>
      <c r="C20" s="42">
        <f>IF($B20="","",IF($B$2="Todos",SUMIFS(BD!$C$3:$C$5001,BD!$A$3:$A$5001,$B20),SUMIFS(BD!$C$3:$C$5001,BD!$A$3:$A$5001,$B20,BD!$B$3:$B$5001,$D$2)))</f>
        <v>0</v>
      </c>
      <c r="D20" s="42">
        <f>IF($B20="","",IF($B$2="Todos",SUMIFS(BD!$D$3:$D$5001,BD!$A$3:$A$5001,$B20),SUMIFS(BD!$D$3:$D$5001,BD!$A$3:$A$5001,$B20,BD!$B$3:$B$5001,$D$2)))</f>
        <v>0</v>
      </c>
      <c r="E20" s="58">
        <f>IF($B20="","",IF($B$2="Todos",SUMIFS(BD!$E$3:$E$5001,BD!$A$3:$A$5001,$B20),SUMIFS(BD!$E$3:$E$5001,BD!$A$3:$A$5001,$B20,BD!$B$3:$B$5001,$D$2)))</f>
        <v>0</v>
      </c>
      <c r="F20" s="42">
        <f>IF($B20="","",IF($B$2="Todos",SUMIFS(BD!$F$3:$F$5001,BD!$A$3:$A$5001,$B20),SUMIFS(BD!$F$3:$F$5001,BD!$A$3:$A$5001,$B20,BD!$B$3:$B$5001,$D$2)))</f>
        <v>0</v>
      </c>
      <c r="G20" s="42">
        <f>IF($B20="","",IF($B$2="Todos",SUMIFS(BD!$G$3:$G$5001,BD!$A$3:$A$5001,$B20),SUMIFS(BD!$G$3:$G$5001,BD!$A$3:$A$5001,$B20,BD!$B$3:$B$5001,$D$2)))</f>
        <v>0</v>
      </c>
      <c r="H20" s="42">
        <f>IF($B20="","",IF($B$2="Todos",SUMIFS(BD!$H$3:$H$5001,BD!$A$3:$A$5001,$B20),SUMIFS(BD!$H$3:$H$5001,BD!$A$3:$A$5001,$B20,BD!$B$3:$B$5001,$D$2)))</f>
        <v>0</v>
      </c>
      <c r="I20" s="42">
        <f>IF($B20="","",IF($B$2="Todos",SUMIFS(BD!$I$3:$I$5001,BD!$A$3:$A$5001,$B20),SUMIFS(BD!$I$3:$I$5001,BD!$A$3:$A$5001,$B20,BD!$B$3:$B$5001,$D$2)))</f>
        <v>0</v>
      </c>
      <c r="J20" s="42">
        <f>IF($B20="","",IF($B$2="Todos",SUMIFS(BD!$J$3:$J$5001,BD!$A$3:$A$5001,$B20),SUMIFS(BD!$J$3:$J$5001,BD!$A$3:$A$5001,$B20,BD!$B$3:$B$5001,$D$2)))</f>
        <v>0</v>
      </c>
      <c r="K20" s="42">
        <f>IF($B20="","",IF($B$2="Todos",SUMIFS(BD!$K$3:$K$5001,BD!$A$3:$A$5001,$B20),SUMIFS(BD!$K$3:$K$5001,BD!$A$3:$A$5001,$B20,BD!$B$3:$B$5001,$D$2)))</f>
        <v>0</v>
      </c>
      <c r="L20" s="42">
        <f>IF($B20="","",IF($B$2="Todos",SUMIFS(BD!$L$3:$L$5001,BD!$A$3:$A$5001,$B20),SUMIFS(BD!$L$3:$L$5001,BD!$A$3:$A$5001,$B20,BD!$B$3:$B$5001,$D$2)))</f>
        <v>0</v>
      </c>
      <c r="M20" s="42">
        <f>IF($B20="","",IF($B$2="Todos",SUMIFS(BD!$M$3:$M$5001,BD!$A$3:$A$5001,$B20),SUMIFS(BD!$M$3:$M$5001,BD!$A$3:$A$5001,$B20,BD!$B$3:$B$5001,$D$2)))</f>
        <v>0</v>
      </c>
      <c r="N20" s="42">
        <f>IF($B20="","",IF($B$2="Todos",SUMIFS(BD!$N$3:$N$5001,BD!$A$3:$A$5001,$B20),SUMIFS(BD!$N$3:$N$5001,BD!$A$3:$A$5001,$B20,BD!$B$3:$B$5001,$D$2)))</f>
        <v>0</v>
      </c>
      <c r="O20" s="42">
        <f>IF($B20="","",IF($B$2="Todos",SUMIFS(BD!$O$3:$O$5001,BD!$A$3:$A$5001,$B20),SUMIFS(BD!$O$3:$O$5001,BD!$A$3:$A$5001,$B20,BD!$B$3:$B$5001,$D$2)))</f>
        <v>0</v>
      </c>
      <c r="P20" s="42">
        <f>IF($B20="","",IF($B$2="Todos",SUMIFS(BD!$P$3:$P$5001,BD!$A$3:$A$5001,$B20),SUMIFS(BD!$P$3:$P$5001,BD!$A$3:$A$5001,$B20,BD!$B$3:$B$5001,$D$2)))</f>
        <v>0</v>
      </c>
      <c r="Q20" s="42">
        <f>IF($B20="","",IF($B$2="Todos",SUMIFS(BD!$Q$3:$Q$5001,BD!$A$3:$A$5001,$B20),SUMIFS(BD!$Q$3:$Q$5001,BD!$A$3:$A$5001,$B20,BD!$B$3:$B$5001,$D$2)))</f>
        <v>0</v>
      </c>
      <c r="R20" s="42">
        <f>IF($B20="","",IF($B$2="Todos",SUMIFS(BD!$R$3:$R$5001,BD!$A$3:$A$5001,$B20),SUMIFS(BD!$R$3:$R$5001,BD!$A$3:$A$5001,$B20,BD!$B$3:$B$5001,$D$2)))</f>
        <v>0</v>
      </c>
      <c r="S20" s="58">
        <f>IF($B20="","",IF($B$2="Todos",SUMIFS(BD!$S$3:$S$5001,BD!$A$3:$A$5001,$B20),SUMIFS(BD!$S$3:$S$5001,BD!$A$3:$A$5001,$B20,BD!$B$3:$B$5001,$D$2)))</f>
        <v>0</v>
      </c>
      <c r="T20" s="42">
        <f>IF($B20="","",IF($B$2="Todos",SUMIFS(BD!$T$3:$T$5001,BD!$A$3:$A$5001,$B20),SUMIFS(BD!$T$3:$T$5001,BD!$A$3:$A$5001,$B20,BD!$B$3:$B$5001,$D$2)))</f>
        <v>0</v>
      </c>
      <c r="U20" s="42">
        <f>IF($B20="","",IF($B$2="Todos",SUMIFS(BD!$U$3:$U$5001,BD!$A$3:$A$5001,$B20),SUMIFS(BD!$U$3:$U$5001,BD!$A$3:$A$5001,$B20,BD!$B$3:$B$5001,$D$2)))</f>
        <v>0</v>
      </c>
      <c r="V20" s="42" t="str">
        <f>IF($B$2="Todos",IF(COUNT($C$149:$V$149)=0,"",SUM($C$149:$V$149)),IFERROR(INDEX($C$149:$V$149,MATCH($D$2,$C$140:$V$140,0)),""))</f>
        <v/>
      </c>
      <c r="W20" s="42" t="str">
        <f>IF($B$2="Todos",IF(COUNT($C$184:$V$184)=0,"",SUM($C$184:$V$184)),IFERROR(INDEX($C$184:$V$184,MATCH($D$2,$C$175:$V$175,0)),""))</f>
        <v/>
      </c>
      <c r="X20" s="59" t="str">
        <f>IF(Y20="","",IF($B$2="Todos",IF($B$4&gt;0,$B$4,IF($B$2="Todos",IF(COUNT($C$254:$V$254)=0,"",SUM($C$254:$V$254)),IFERROR(INDEX($C$254:$V$254,MATCH($D$2,$C$245:$V$245,0)),""))),IFERROR(INDEX($C$254:$V$254,MATCH($D$2,$C$245:$V$245,0)),"")))</f>
        <v/>
      </c>
      <c r="Y20" s="42" t="str">
        <f>IF($B$2="Todos",IF(COUNT($C$219:$V$219)=0,"",SUM($C$219:$V$219)),IFERROR(INDEX($C$219:$V$219,MATCH($D$2,$C$210:$V$210,0)),""))</f>
        <v/>
      </c>
      <c r="Z20" s="60" t="str">
        <f>IF(AND(ISNUMBER(Y20),ISNUMBER(X20)),IF(X20&gt;0,Y20/X20,""),"")</f>
        <v/>
      </c>
      <c r="AA20" s="42" t="str">
        <f>IF($B$2="Todos",IF(COUNT($C$289:$V$289)=0,"",SUM($C$289:$V$289)),IFERROR(INDEX($C$289:$V$289,MATCH($D$2,$C$280:$V$280,0)),""))</f>
        <v/>
      </c>
      <c r="AB20" s="42">
        <f>IF($B20="","",IF($B$2="Todos",SUMIFS(BD!$AA$3:$AA$5001,BD!$A$3:$A$5001,$B20),SUMIFS(BD!$AA$3:$AA$5001,BD!$A$3:$A$5001,$B20,BD!$B$3:$B$5001,$D$2)))</f>
        <v>0</v>
      </c>
      <c r="AC20" s="58">
        <f>IF($B20="","",IF($B$2="Todos",SUMIFS(BD!$AB$3:$AB$5001,BD!$A$3:$A$5001,$B20),SUMIFS(BD!$AB$3:$AB$5001,BD!$A$3:$A$5001,$B20,BD!$B$3:$B$5001,$D$2)))</f>
        <v>0</v>
      </c>
      <c r="AD20" s="42">
        <f>IF($B20="","",IF($B$2="Todos",SUMIFS(BD!$AC$3:$AC$5001,BD!$A$3:$A$5001,$B20),SUMIFS(BD!$AC$3:$AC$5001,BD!$A$3:$A$5001,$B20,BD!$B$3:$B$5001,$D$2)))</f>
        <v>0</v>
      </c>
      <c r="AE20" s="42">
        <f>IF($B20="","",IF($B$2="Todos",SUMIFS(BD!$AD$3:$AD$5001,BD!$A$3:$A$5001,$B20),SUMIFS(BD!$AD$3:$AD$5001,BD!$A$3:$A$5001,$B20,BD!$B$3:$B$5001,$D$2)))</f>
        <v>0</v>
      </c>
      <c r="AF20" s="42">
        <f>IF($B20="","",IF($B$2="Todos",SUMIFS(BD!$AE$3:$AE$5001,BD!$A$3:$A$5001,$B20),SUMIFS(BD!$AE$3:$AE$5001,BD!$A$3:$A$5001,$B20,BD!$B$3:$B$5001,$D$2)))</f>
        <v>0</v>
      </c>
      <c r="AG20" s="42">
        <f>IF($B20="","",IF($B$2="Todos",SUMIFS(BD!$AF$3:$AF$5001,BD!$A$3:$A$5001,$B20),SUMIFS(BD!$AF$3:$AF$5001,BD!$A$3:$A$5001,$B20,BD!$B$3:$B$5001,$D$2)))</f>
        <v>0</v>
      </c>
      <c r="AH20" s="42">
        <f>IF($B20="","",IF($B$2="Todos",SUMIFS(BD!$AG$3:$AG$5001,BD!$A$3:$A$5001,$B20),SUMIFS(BD!$AG$3:$AG$5001,BD!$A$3:$A$5001,$B20,BD!$B$3:$B$5001,$D$2)))</f>
        <v>0</v>
      </c>
      <c r="AI20" s="42">
        <f>IF($B20="","",IF($B$2="Todos",SUMIFS(BD!$AH$3:$AH$5001,BD!$A$3:$A$5001,$B20),SUMIFS(BD!$AH$3:$AH$5001,BD!$A$3:$A$5001,$B20,BD!$B$3:$B$5001,$D$2)))</f>
        <v>0</v>
      </c>
      <c r="AJ20" s="61">
        <f>$B$5</f>
        <v>0.7</v>
      </c>
      <c r="AK20" s="61">
        <f>$B$6</f>
        <v>0.9</v>
      </c>
      <c r="AN20" s="40" t="inlineStr">
        <is>
          <t xml:space="preserve">SETEMBRO · 2026</t>
        </is>
      </c>
      <c r="AP20" s="40" t="str">
        <f>IFERROR(INDEX(Config!$B$10:$B$29,MATCH(8,$AR$13:$AR$32,0))&amp;"","")</f>
        <v>Supply</v>
      </c>
      <c r="AQ20" s="39" t="str">
        <f>IF(AP20="","",IF(INDEX(Config!$C$10:$C$29,MATCH(8,$AR$13:$AR$32,0))&amp;""="","TPC",INDEX(Config!$C$10:$C$29,MATCH(8,$AR$13:$AR$32,0))&amp;""))</f>
        <v>TPC</v>
      </c>
      <c r="AR20" s="48">
        <f>IF(Config!$B$17&amp;""="",AR19,AR19+1)</f>
        <v>8</v>
      </c>
    </row>
    <row r="21">
      <c r="A21" s="39">
        <v>10</v>
      </c>
      <c r="B21" s="57">
        <f>IF($A21&lt;=DAY($D$7),$C$7+$A21-1,"")</f>
        <v>46305</v>
      </c>
      <c r="C21" s="42">
        <f>IF($B21="","",IF($B$2="Todos",SUMIFS(BD!$C$3:$C$5001,BD!$A$3:$A$5001,$B21),SUMIFS(BD!$C$3:$C$5001,BD!$A$3:$A$5001,$B21,BD!$B$3:$B$5001,$D$2)))</f>
        <v>0</v>
      </c>
      <c r="D21" s="42">
        <f>IF($B21="","",IF($B$2="Todos",SUMIFS(BD!$D$3:$D$5001,BD!$A$3:$A$5001,$B21),SUMIFS(BD!$D$3:$D$5001,BD!$A$3:$A$5001,$B21,BD!$B$3:$B$5001,$D$2)))</f>
        <v>0</v>
      </c>
      <c r="E21" s="58">
        <f>IF($B21="","",IF($B$2="Todos",SUMIFS(BD!$E$3:$E$5001,BD!$A$3:$A$5001,$B21),SUMIFS(BD!$E$3:$E$5001,BD!$A$3:$A$5001,$B21,BD!$B$3:$B$5001,$D$2)))</f>
        <v>0</v>
      </c>
      <c r="F21" s="42">
        <f>IF($B21="","",IF($B$2="Todos",SUMIFS(BD!$F$3:$F$5001,BD!$A$3:$A$5001,$B21),SUMIFS(BD!$F$3:$F$5001,BD!$A$3:$A$5001,$B21,BD!$B$3:$B$5001,$D$2)))</f>
        <v>0</v>
      </c>
      <c r="G21" s="42">
        <f>IF($B21="","",IF($B$2="Todos",SUMIFS(BD!$G$3:$G$5001,BD!$A$3:$A$5001,$B21),SUMIFS(BD!$G$3:$G$5001,BD!$A$3:$A$5001,$B21,BD!$B$3:$B$5001,$D$2)))</f>
        <v>0</v>
      </c>
      <c r="H21" s="42">
        <f>IF($B21="","",IF($B$2="Todos",SUMIFS(BD!$H$3:$H$5001,BD!$A$3:$A$5001,$B21),SUMIFS(BD!$H$3:$H$5001,BD!$A$3:$A$5001,$B21,BD!$B$3:$B$5001,$D$2)))</f>
        <v>0</v>
      </c>
      <c r="I21" s="42">
        <f>IF($B21="","",IF($B$2="Todos",SUMIFS(BD!$I$3:$I$5001,BD!$A$3:$A$5001,$B21),SUMIFS(BD!$I$3:$I$5001,BD!$A$3:$A$5001,$B21,BD!$B$3:$B$5001,$D$2)))</f>
        <v>0</v>
      </c>
      <c r="J21" s="42">
        <f>IF($B21="","",IF($B$2="Todos",SUMIFS(BD!$J$3:$J$5001,BD!$A$3:$A$5001,$B21),SUMIFS(BD!$J$3:$J$5001,BD!$A$3:$A$5001,$B21,BD!$B$3:$B$5001,$D$2)))</f>
        <v>0</v>
      </c>
      <c r="K21" s="42">
        <f>IF($B21="","",IF($B$2="Todos",SUMIFS(BD!$K$3:$K$5001,BD!$A$3:$A$5001,$B21),SUMIFS(BD!$K$3:$K$5001,BD!$A$3:$A$5001,$B21,BD!$B$3:$B$5001,$D$2)))</f>
        <v>0</v>
      </c>
      <c r="L21" s="42">
        <f>IF($B21="","",IF($B$2="Todos",SUMIFS(BD!$L$3:$L$5001,BD!$A$3:$A$5001,$B21),SUMIFS(BD!$L$3:$L$5001,BD!$A$3:$A$5001,$B21,BD!$B$3:$B$5001,$D$2)))</f>
        <v>0</v>
      </c>
      <c r="M21" s="42">
        <f>IF($B21="","",IF($B$2="Todos",SUMIFS(BD!$M$3:$M$5001,BD!$A$3:$A$5001,$B21),SUMIFS(BD!$M$3:$M$5001,BD!$A$3:$A$5001,$B21,BD!$B$3:$B$5001,$D$2)))</f>
        <v>0</v>
      </c>
      <c r="N21" s="42">
        <f>IF($B21="","",IF($B$2="Todos",SUMIFS(BD!$N$3:$N$5001,BD!$A$3:$A$5001,$B21),SUMIFS(BD!$N$3:$N$5001,BD!$A$3:$A$5001,$B21,BD!$B$3:$B$5001,$D$2)))</f>
        <v>0</v>
      </c>
      <c r="O21" s="42">
        <f>IF($B21="","",IF($B$2="Todos",SUMIFS(BD!$O$3:$O$5001,BD!$A$3:$A$5001,$B21),SUMIFS(BD!$O$3:$O$5001,BD!$A$3:$A$5001,$B21,BD!$B$3:$B$5001,$D$2)))</f>
        <v>0</v>
      </c>
      <c r="P21" s="42">
        <f>IF($B21="","",IF($B$2="Todos",SUMIFS(BD!$P$3:$P$5001,BD!$A$3:$A$5001,$B21),SUMIFS(BD!$P$3:$P$5001,BD!$A$3:$A$5001,$B21,BD!$B$3:$B$5001,$D$2)))</f>
        <v>0</v>
      </c>
      <c r="Q21" s="42">
        <f>IF($B21="","",IF($B$2="Todos",SUMIFS(BD!$Q$3:$Q$5001,BD!$A$3:$A$5001,$B21),SUMIFS(BD!$Q$3:$Q$5001,BD!$A$3:$A$5001,$B21,BD!$B$3:$B$5001,$D$2)))</f>
        <v>0</v>
      </c>
      <c r="R21" s="42">
        <f>IF($B21="","",IF($B$2="Todos",SUMIFS(BD!$R$3:$R$5001,BD!$A$3:$A$5001,$B21),SUMIFS(BD!$R$3:$R$5001,BD!$A$3:$A$5001,$B21,BD!$B$3:$B$5001,$D$2)))</f>
        <v>0</v>
      </c>
      <c r="S21" s="58">
        <f>IF($B21="","",IF($B$2="Todos",SUMIFS(BD!$S$3:$S$5001,BD!$A$3:$A$5001,$B21),SUMIFS(BD!$S$3:$S$5001,BD!$A$3:$A$5001,$B21,BD!$B$3:$B$5001,$D$2)))</f>
        <v>0</v>
      </c>
      <c r="T21" s="42">
        <f>IF($B21="","",IF($B$2="Todos",SUMIFS(BD!$T$3:$T$5001,BD!$A$3:$A$5001,$B21),SUMIFS(BD!$T$3:$T$5001,BD!$A$3:$A$5001,$B21,BD!$B$3:$B$5001,$D$2)))</f>
        <v>0</v>
      </c>
      <c r="U21" s="42">
        <f>IF($B21="","",IF($B$2="Todos",SUMIFS(BD!$U$3:$U$5001,BD!$A$3:$A$5001,$B21),SUMIFS(BD!$U$3:$U$5001,BD!$A$3:$A$5001,$B21,BD!$B$3:$B$5001,$D$2)))</f>
        <v>0</v>
      </c>
      <c r="V21" s="42" t="str">
        <f>IF($B$2="Todos",IF(COUNT($C$150:$V$150)=0,"",SUM($C$150:$V$150)),IFERROR(INDEX($C$150:$V$150,MATCH($D$2,$C$140:$V$140,0)),""))</f>
        <v/>
      </c>
      <c r="W21" s="42" t="str">
        <f>IF($B$2="Todos",IF(COUNT($C$185:$V$185)=0,"",SUM($C$185:$V$185)),IFERROR(INDEX($C$185:$V$185,MATCH($D$2,$C$175:$V$175,0)),""))</f>
        <v/>
      </c>
      <c r="X21" s="59" t="str">
        <f>IF(Y21="","",IF($B$2="Todos",IF($B$4&gt;0,$B$4,IF($B$2="Todos",IF(COUNT($C$255:$V$255)=0,"",SUM($C$255:$V$255)),IFERROR(INDEX($C$255:$V$255,MATCH($D$2,$C$245:$V$245,0)),""))),IFERROR(INDEX($C$255:$V$255,MATCH($D$2,$C$245:$V$245,0)),"")))</f>
        <v/>
      </c>
      <c r="Y21" s="42" t="str">
        <f>IF($B$2="Todos",IF(COUNT($C$220:$V$220)=0,"",SUM($C$220:$V$220)),IFERROR(INDEX($C$220:$V$220,MATCH($D$2,$C$210:$V$210,0)),""))</f>
        <v/>
      </c>
      <c r="Z21" s="60" t="str">
        <f>IF(AND(ISNUMBER(Y21),ISNUMBER(X21)),IF(X21&gt;0,Y21/X21,""),"")</f>
        <v/>
      </c>
      <c r="AA21" s="42" t="str">
        <f>IF($B$2="Todos",IF(COUNT($C$290:$V$290)=0,"",SUM($C$290:$V$290)),IFERROR(INDEX($C$290:$V$290,MATCH($D$2,$C$280:$V$280,0)),""))</f>
        <v/>
      </c>
      <c r="AB21" s="42">
        <f>IF($B21="","",IF($B$2="Todos",SUMIFS(BD!$AA$3:$AA$5001,BD!$A$3:$A$5001,$B21),SUMIFS(BD!$AA$3:$AA$5001,BD!$A$3:$A$5001,$B21,BD!$B$3:$B$5001,$D$2)))</f>
        <v>0</v>
      </c>
      <c r="AC21" s="58">
        <f>IF($B21="","",IF($B$2="Todos",SUMIFS(BD!$AB$3:$AB$5001,BD!$A$3:$A$5001,$B21),SUMIFS(BD!$AB$3:$AB$5001,BD!$A$3:$A$5001,$B21,BD!$B$3:$B$5001,$D$2)))</f>
        <v>0</v>
      </c>
      <c r="AD21" s="42">
        <f>IF($B21="","",IF($B$2="Todos",SUMIFS(BD!$AC$3:$AC$5001,BD!$A$3:$A$5001,$B21),SUMIFS(BD!$AC$3:$AC$5001,BD!$A$3:$A$5001,$B21,BD!$B$3:$B$5001,$D$2)))</f>
        <v>0</v>
      </c>
      <c r="AE21" s="42">
        <f>IF($B21="","",IF($B$2="Todos",SUMIFS(BD!$AD$3:$AD$5001,BD!$A$3:$A$5001,$B21),SUMIFS(BD!$AD$3:$AD$5001,BD!$A$3:$A$5001,$B21,BD!$B$3:$B$5001,$D$2)))</f>
        <v>0</v>
      </c>
      <c r="AF21" s="42">
        <f>IF($B21="","",IF($B$2="Todos",SUMIFS(BD!$AE$3:$AE$5001,BD!$A$3:$A$5001,$B21),SUMIFS(BD!$AE$3:$AE$5001,BD!$A$3:$A$5001,$B21,BD!$B$3:$B$5001,$D$2)))</f>
        <v>0</v>
      </c>
      <c r="AG21" s="42">
        <f>IF($B21="","",IF($B$2="Todos",SUMIFS(BD!$AF$3:$AF$5001,BD!$A$3:$A$5001,$B21),SUMIFS(BD!$AF$3:$AF$5001,BD!$A$3:$A$5001,$B21,BD!$B$3:$B$5001,$D$2)))</f>
        <v>0</v>
      </c>
      <c r="AH21" s="42">
        <f>IF($B21="","",IF($B$2="Todos",SUMIFS(BD!$AG$3:$AG$5001,BD!$A$3:$A$5001,$B21),SUMIFS(BD!$AG$3:$AG$5001,BD!$A$3:$A$5001,$B21,BD!$B$3:$B$5001,$D$2)))</f>
        <v>0</v>
      </c>
      <c r="AI21" s="42">
        <f>IF($B21="","",IF($B$2="Todos",SUMIFS(BD!$AH$3:$AH$5001,BD!$A$3:$A$5001,$B21),SUMIFS(BD!$AH$3:$AH$5001,BD!$A$3:$A$5001,$B21,BD!$B$3:$B$5001,$D$2)))</f>
        <v>0</v>
      </c>
      <c r="AJ21" s="61">
        <f>$B$5</f>
        <v>0.7</v>
      </c>
      <c r="AK21" s="61">
        <f>$B$6</f>
        <v>0.9</v>
      </c>
      <c r="AN21" s="40" t="inlineStr">
        <is>
          <t xml:space="preserve">OUTUBRO · 2026</t>
        </is>
      </c>
      <c r="AP21" s="40" t="str">
        <f>IFERROR(INDEX(Config!$B$10:$B$29,MATCH(9,$AR$13:$AR$32,0))&amp;"","")</f>
        <v>Vedacit</v>
      </c>
      <c r="AQ21" s="39" t="str">
        <f>IF(AP21="","",IF(INDEX(Config!$C$10:$C$29,MATCH(9,$AR$13:$AR$32,0))&amp;""="","TPC",INDEX(Config!$C$10:$C$29,MATCH(9,$AR$13:$AR$32,0))&amp;""))</f>
        <v>TPC</v>
      </c>
      <c r="AR21" s="48">
        <f>IF(Config!$B$18&amp;""="",AR20,AR20+1)</f>
        <v>9</v>
      </c>
    </row>
    <row r="22">
      <c r="A22" s="39">
        <v>11</v>
      </c>
      <c r="B22" s="57">
        <f>IF($A22&lt;=DAY($D$7),$C$7+$A22-1,"")</f>
        <v>46306</v>
      </c>
      <c r="C22" s="42">
        <f>IF($B22="","",IF($B$2="Todos",SUMIFS(BD!$C$3:$C$5001,BD!$A$3:$A$5001,$B22),SUMIFS(BD!$C$3:$C$5001,BD!$A$3:$A$5001,$B22,BD!$B$3:$B$5001,$D$2)))</f>
        <v>0</v>
      </c>
      <c r="D22" s="42">
        <f>IF($B22="","",IF($B$2="Todos",SUMIFS(BD!$D$3:$D$5001,BD!$A$3:$A$5001,$B22),SUMIFS(BD!$D$3:$D$5001,BD!$A$3:$A$5001,$B22,BD!$B$3:$B$5001,$D$2)))</f>
        <v>0</v>
      </c>
      <c r="E22" s="58">
        <f>IF($B22="","",IF($B$2="Todos",SUMIFS(BD!$E$3:$E$5001,BD!$A$3:$A$5001,$B22),SUMIFS(BD!$E$3:$E$5001,BD!$A$3:$A$5001,$B22,BD!$B$3:$B$5001,$D$2)))</f>
        <v>0</v>
      </c>
      <c r="F22" s="42">
        <f>IF($B22="","",IF($B$2="Todos",SUMIFS(BD!$F$3:$F$5001,BD!$A$3:$A$5001,$B22),SUMIFS(BD!$F$3:$F$5001,BD!$A$3:$A$5001,$B22,BD!$B$3:$B$5001,$D$2)))</f>
        <v>0</v>
      </c>
      <c r="G22" s="42">
        <f>IF($B22="","",IF($B$2="Todos",SUMIFS(BD!$G$3:$G$5001,BD!$A$3:$A$5001,$B22),SUMIFS(BD!$G$3:$G$5001,BD!$A$3:$A$5001,$B22,BD!$B$3:$B$5001,$D$2)))</f>
        <v>0</v>
      </c>
      <c r="H22" s="42">
        <f>IF($B22="","",IF($B$2="Todos",SUMIFS(BD!$H$3:$H$5001,BD!$A$3:$A$5001,$B22),SUMIFS(BD!$H$3:$H$5001,BD!$A$3:$A$5001,$B22,BD!$B$3:$B$5001,$D$2)))</f>
        <v>0</v>
      </c>
      <c r="I22" s="42">
        <f>IF($B22="","",IF($B$2="Todos",SUMIFS(BD!$I$3:$I$5001,BD!$A$3:$A$5001,$B22),SUMIFS(BD!$I$3:$I$5001,BD!$A$3:$A$5001,$B22,BD!$B$3:$B$5001,$D$2)))</f>
        <v>0</v>
      </c>
      <c r="J22" s="42">
        <f>IF($B22="","",IF($B$2="Todos",SUMIFS(BD!$J$3:$J$5001,BD!$A$3:$A$5001,$B22),SUMIFS(BD!$J$3:$J$5001,BD!$A$3:$A$5001,$B22,BD!$B$3:$B$5001,$D$2)))</f>
        <v>0</v>
      </c>
      <c r="K22" s="42">
        <f>IF($B22="","",IF($B$2="Todos",SUMIFS(BD!$K$3:$K$5001,BD!$A$3:$A$5001,$B22),SUMIFS(BD!$K$3:$K$5001,BD!$A$3:$A$5001,$B22,BD!$B$3:$B$5001,$D$2)))</f>
        <v>0</v>
      </c>
      <c r="L22" s="42">
        <f>IF($B22="","",IF($B$2="Todos",SUMIFS(BD!$L$3:$L$5001,BD!$A$3:$A$5001,$B22),SUMIFS(BD!$L$3:$L$5001,BD!$A$3:$A$5001,$B22,BD!$B$3:$B$5001,$D$2)))</f>
        <v>0</v>
      </c>
      <c r="M22" s="42">
        <f>IF($B22="","",IF($B$2="Todos",SUMIFS(BD!$M$3:$M$5001,BD!$A$3:$A$5001,$B22),SUMIFS(BD!$M$3:$M$5001,BD!$A$3:$A$5001,$B22,BD!$B$3:$B$5001,$D$2)))</f>
        <v>0</v>
      </c>
      <c r="N22" s="42">
        <f>IF($B22="","",IF($B$2="Todos",SUMIFS(BD!$N$3:$N$5001,BD!$A$3:$A$5001,$B22),SUMIFS(BD!$N$3:$N$5001,BD!$A$3:$A$5001,$B22,BD!$B$3:$B$5001,$D$2)))</f>
        <v>0</v>
      </c>
      <c r="O22" s="42">
        <f>IF($B22="","",IF($B$2="Todos",SUMIFS(BD!$O$3:$O$5001,BD!$A$3:$A$5001,$B22),SUMIFS(BD!$O$3:$O$5001,BD!$A$3:$A$5001,$B22,BD!$B$3:$B$5001,$D$2)))</f>
        <v>0</v>
      </c>
      <c r="P22" s="42">
        <f>IF($B22="","",IF($B$2="Todos",SUMIFS(BD!$P$3:$P$5001,BD!$A$3:$A$5001,$B22),SUMIFS(BD!$P$3:$P$5001,BD!$A$3:$A$5001,$B22,BD!$B$3:$B$5001,$D$2)))</f>
        <v>0</v>
      </c>
      <c r="Q22" s="42">
        <f>IF($B22="","",IF($B$2="Todos",SUMIFS(BD!$Q$3:$Q$5001,BD!$A$3:$A$5001,$B22),SUMIFS(BD!$Q$3:$Q$5001,BD!$A$3:$A$5001,$B22,BD!$B$3:$B$5001,$D$2)))</f>
        <v>0</v>
      </c>
      <c r="R22" s="42">
        <f>IF($B22="","",IF($B$2="Todos",SUMIFS(BD!$R$3:$R$5001,BD!$A$3:$A$5001,$B22),SUMIFS(BD!$R$3:$R$5001,BD!$A$3:$A$5001,$B22,BD!$B$3:$B$5001,$D$2)))</f>
        <v>0</v>
      </c>
      <c r="S22" s="58">
        <f>IF($B22="","",IF($B$2="Todos",SUMIFS(BD!$S$3:$S$5001,BD!$A$3:$A$5001,$B22),SUMIFS(BD!$S$3:$S$5001,BD!$A$3:$A$5001,$B22,BD!$B$3:$B$5001,$D$2)))</f>
        <v>0</v>
      </c>
      <c r="T22" s="42">
        <f>IF($B22="","",IF($B$2="Todos",SUMIFS(BD!$T$3:$T$5001,BD!$A$3:$A$5001,$B22),SUMIFS(BD!$T$3:$T$5001,BD!$A$3:$A$5001,$B22,BD!$B$3:$B$5001,$D$2)))</f>
        <v>0</v>
      </c>
      <c r="U22" s="42">
        <f>IF($B22="","",IF($B$2="Todos",SUMIFS(BD!$U$3:$U$5001,BD!$A$3:$A$5001,$B22),SUMIFS(BD!$U$3:$U$5001,BD!$A$3:$A$5001,$B22,BD!$B$3:$B$5001,$D$2)))</f>
        <v>0</v>
      </c>
      <c r="V22" s="42" t="str">
        <f>IF($B$2="Todos",IF(COUNT($C$151:$V$151)=0,"",SUM($C$151:$V$151)),IFERROR(INDEX($C$151:$V$151,MATCH($D$2,$C$140:$V$140,0)),""))</f>
        <v/>
      </c>
      <c r="W22" s="42" t="str">
        <f>IF($B$2="Todos",IF(COUNT($C$186:$V$186)=0,"",SUM($C$186:$V$186)),IFERROR(INDEX($C$186:$V$186,MATCH($D$2,$C$175:$V$175,0)),""))</f>
        <v/>
      </c>
      <c r="X22" s="59" t="str">
        <f>IF(Y22="","",IF($B$2="Todos",IF($B$4&gt;0,$B$4,IF($B$2="Todos",IF(COUNT($C$256:$V$256)=0,"",SUM($C$256:$V$256)),IFERROR(INDEX($C$256:$V$256,MATCH($D$2,$C$245:$V$245,0)),""))),IFERROR(INDEX($C$256:$V$256,MATCH($D$2,$C$245:$V$245,0)),"")))</f>
        <v/>
      </c>
      <c r="Y22" s="42" t="str">
        <f>IF($B$2="Todos",IF(COUNT($C$221:$V$221)=0,"",SUM($C$221:$V$221)),IFERROR(INDEX($C$221:$V$221,MATCH($D$2,$C$210:$V$210,0)),""))</f>
        <v/>
      </c>
      <c r="Z22" s="60" t="str">
        <f>IF(AND(ISNUMBER(Y22),ISNUMBER(X22)),IF(X22&gt;0,Y22/X22,""),"")</f>
        <v/>
      </c>
      <c r="AA22" s="42" t="str">
        <f>IF($B$2="Todos",IF(COUNT($C$291:$V$291)=0,"",SUM($C$291:$V$291)),IFERROR(INDEX($C$291:$V$291,MATCH($D$2,$C$280:$V$280,0)),""))</f>
        <v/>
      </c>
      <c r="AB22" s="42">
        <f>IF($B22="","",IF($B$2="Todos",SUMIFS(BD!$AA$3:$AA$5001,BD!$A$3:$A$5001,$B22),SUMIFS(BD!$AA$3:$AA$5001,BD!$A$3:$A$5001,$B22,BD!$B$3:$B$5001,$D$2)))</f>
        <v>0</v>
      </c>
      <c r="AC22" s="58">
        <f>IF($B22="","",IF($B$2="Todos",SUMIFS(BD!$AB$3:$AB$5001,BD!$A$3:$A$5001,$B22),SUMIFS(BD!$AB$3:$AB$5001,BD!$A$3:$A$5001,$B22,BD!$B$3:$B$5001,$D$2)))</f>
        <v>0</v>
      </c>
      <c r="AD22" s="42">
        <f>IF($B22="","",IF($B$2="Todos",SUMIFS(BD!$AC$3:$AC$5001,BD!$A$3:$A$5001,$B22),SUMIFS(BD!$AC$3:$AC$5001,BD!$A$3:$A$5001,$B22,BD!$B$3:$B$5001,$D$2)))</f>
        <v>0</v>
      </c>
      <c r="AE22" s="42">
        <f>IF($B22="","",IF($B$2="Todos",SUMIFS(BD!$AD$3:$AD$5001,BD!$A$3:$A$5001,$B22),SUMIFS(BD!$AD$3:$AD$5001,BD!$A$3:$A$5001,$B22,BD!$B$3:$B$5001,$D$2)))</f>
        <v>0</v>
      </c>
      <c r="AF22" s="42">
        <f>IF($B22="","",IF($B$2="Todos",SUMIFS(BD!$AE$3:$AE$5001,BD!$A$3:$A$5001,$B22),SUMIFS(BD!$AE$3:$AE$5001,BD!$A$3:$A$5001,$B22,BD!$B$3:$B$5001,$D$2)))</f>
        <v>0</v>
      </c>
      <c r="AG22" s="42">
        <f>IF($B22="","",IF($B$2="Todos",SUMIFS(BD!$AF$3:$AF$5001,BD!$A$3:$A$5001,$B22),SUMIFS(BD!$AF$3:$AF$5001,BD!$A$3:$A$5001,$B22,BD!$B$3:$B$5001,$D$2)))</f>
        <v>0</v>
      </c>
      <c r="AH22" s="42">
        <f>IF($B22="","",IF($B$2="Todos",SUMIFS(BD!$AG$3:$AG$5001,BD!$A$3:$A$5001,$B22),SUMIFS(BD!$AG$3:$AG$5001,BD!$A$3:$A$5001,$B22,BD!$B$3:$B$5001,$D$2)))</f>
        <v>0</v>
      </c>
      <c r="AI22" s="42">
        <f>IF($B22="","",IF($B$2="Todos",SUMIFS(BD!$AH$3:$AH$5001,BD!$A$3:$A$5001,$B22),SUMIFS(BD!$AH$3:$AH$5001,BD!$A$3:$A$5001,$B22,BD!$B$3:$B$5001,$D$2)))</f>
        <v>0</v>
      </c>
      <c r="AJ22" s="61">
        <f>$B$5</f>
        <v>0.7</v>
      </c>
      <c r="AK22" s="61">
        <f>$B$6</f>
        <v>0.9</v>
      </c>
      <c r="AN22" s="40" t="inlineStr">
        <is>
          <t xml:space="preserve">NOVEMBRO · 2026</t>
        </is>
      </c>
      <c r="AP22" s="40" t="str">
        <f>IFERROR(INDEX(Config!$B$10:$B$29,MATCH(10,$AR$13:$AR$32,0))&amp;"","")</f>
        <v>Vestas</v>
      </c>
      <c r="AQ22" s="39" t="str">
        <f>IF(AP22="","",IF(INDEX(Config!$C$10:$C$29,MATCH(10,$AR$13:$AR$32,0))&amp;""="","TPC",INDEX(Config!$C$10:$C$29,MATCH(10,$AR$13:$AR$32,0))&amp;""))</f>
        <v>TPC</v>
      </c>
      <c r="AR22" s="48">
        <f>IF(Config!$B$19&amp;""="",AR21,AR21+1)</f>
        <v>10</v>
      </c>
    </row>
    <row r="23">
      <c r="A23" s="39">
        <v>12</v>
      </c>
      <c r="B23" s="57">
        <f>IF($A23&lt;=DAY($D$7),$C$7+$A23-1,"")</f>
        <v>46307</v>
      </c>
      <c r="C23" s="42">
        <f>IF($B23="","",IF($B$2="Todos",SUMIFS(BD!$C$3:$C$5001,BD!$A$3:$A$5001,$B23),SUMIFS(BD!$C$3:$C$5001,BD!$A$3:$A$5001,$B23,BD!$B$3:$B$5001,$D$2)))</f>
        <v>0</v>
      </c>
      <c r="D23" s="42">
        <f>IF($B23="","",IF($B$2="Todos",SUMIFS(BD!$D$3:$D$5001,BD!$A$3:$A$5001,$B23),SUMIFS(BD!$D$3:$D$5001,BD!$A$3:$A$5001,$B23,BD!$B$3:$B$5001,$D$2)))</f>
        <v>0</v>
      </c>
      <c r="E23" s="58">
        <f>IF($B23="","",IF($B$2="Todos",SUMIFS(BD!$E$3:$E$5001,BD!$A$3:$A$5001,$B23),SUMIFS(BD!$E$3:$E$5001,BD!$A$3:$A$5001,$B23,BD!$B$3:$B$5001,$D$2)))</f>
        <v>0</v>
      </c>
      <c r="F23" s="42">
        <f>IF($B23="","",IF($B$2="Todos",SUMIFS(BD!$F$3:$F$5001,BD!$A$3:$A$5001,$B23),SUMIFS(BD!$F$3:$F$5001,BD!$A$3:$A$5001,$B23,BD!$B$3:$B$5001,$D$2)))</f>
        <v>0</v>
      </c>
      <c r="G23" s="42">
        <f>IF($B23="","",IF($B$2="Todos",SUMIFS(BD!$G$3:$G$5001,BD!$A$3:$A$5001,$B23),SUMIFS(BD!$G$3:$G$5001,BD!$A$3:$A$5001,$B23,BD!$B$3:$B$5001,$D$2)))</f>
        <v>0</v>
      </c>
      <c r="H23" s="42">
        <f>IF($B23="","",IF($B$2="Todos",SUMIFS(BD!$H$3:$H$5001,BD!$A$3:$A$5001,$B23),SUMIFS(BD!$H$3:$H$5001,BD!$A$3:$A$5001,$B23,BD!$B$3:$B$5001,$D$2)))</f>
        <v>0</v>
      </c>
      <c r="I23" s="42">
        <f>IF($B23="","",IF($B$2="Todos",SUMIFS(BD!$I$3:$I$5001,BD!$A$3:$A$5001,$B23),SUMIFS(BD!$I$3:$I$5001,BD!$A$3:$A$5001,$B23,BD!$B$3:$B$5001,$D$2)))</f>
        <v>0</v>
      </c>
      <c r="J23" s="42">
        <f>IF($B23="","",IF($B$2="Todos",SUMIFS(BD!$J$3:$J$5001,BD!$A$3:$A$5001,$B23),SUMIFS(BD!$J$3:$J$5001,BD!$A$3:$A$5001,$B23,BD!$B$3:$B$5001,$D$2)))</f>
        <v>0</v>
      </c>
      <c r="K23" s="42">
        <f>IF($B23="","",IF($B$2="Todos",SUMIFS(BD!$K$3:$K$5001,BD!$A$3:$A$5001,$B23),SUMIFS(BD!$K$3:$K$5001,BD!$A$3:$A$5001,$B23,BD!$B$3:$B$5001,$D$2)))</f>
        <v>0</v>
      </c>
      <c r="L23" s="42">
        <f>IF($B23="","",IF($B$2="Todos",SUMIFS(BD!$L$3:$L$5001,BD!$A$3:$A$5001,$B23),SUMIFS(BD!$L$3:$L$5001,BD!$A$3:$A$5001,$B23,BD!$B$3:$B$5001,$D$2)))</f>
        <v>0</v>
      </c>
      <c r="M23" s="42">
        <f>IF($B23="","",IF($B$2="Todos",SUMIFS(BD!$M$3:$M$5001,BD!$A$3:$A$5001,$B23),SUMIFS(BD!$M$3:$M$5001,BD!$A$3:$A$5001,$B23,BD!$B$3:$B$5001,$D$2)))</f>
        <v>0</v>
      </c>
      <c r="N23" s="42">
        <f>IF($B23="","",IF($B$2="Todos",SUMIFS(BD!$N$3:$N$5001,BD!$A$3:$A$5001,$B23),SUMIFS(BD!$N$3:$N$5001,BD!$A$3:$A$5001,$B23,BD!$B$3:$B$5001,$D$2)))</f>
        <v>0</v>
      </c>
      <c r="O23" s="42">
        <f>IF($B23="","",IF($B$2="Todos",SUMIFS(BD!$O$3:$O$5001,BD!$A$3:$A$5001,$B23),SUMIFS(BD!$O$3:$O$5001,BD!$A$3:$A$5001,$B23,BD!$B$3:$B$5001,$D$2)))</f>
        <v>0</v>
      </c>
      <c r="P23" s="42">
        <f>IF($B23="","",IF($B$2="Todos",SUMIFS(BD!$P$3:$P$5001,BD!$A$3:$A$5001,$B23),SUMIFS(BD!$P$3:$P$5001,BD!$A$3:$A$5001,$B23,BD!$B$3:$B$5001,$D$2)))</f>
        <v>0</v>
      </c>
      <c r="Q23" s="42">
        <f>IF($B23="","",IF($B$2="Todos",SUMIFS(BD!$Q$3:$Q$5001,BD!$A$3:$A$5001,$B23),SUMIFS(BD!$Q$3:$Q$5001,BD!$A$3:$A$5001,$B23,BD!$B$3:$B$5001,$D$2)))</f>
        <v>0</v>
      </c>
      <c r="R23" s="42">
        <f>IF($B23="","",IF($B$2="Todos",SUMIFS(BD!$R$3:$R$5001,BD!$A$3:$A$5001,$B23),SUMIFS(BD!$R$3:$R$5001,BD!$A$3:$A$5001,$B23,BD!$B$3:$B$5001,$D$2)))</f>
        <v>0</v>
      </c>
      <c r="S23" s="58">
        <f>IF($B23="","",IF($B$2="Todos",SUMIFS(BD!$S$3:$S$5001,BD!$A$3:$A$5001,$B23),SUMIFS(BD!$S$3:$S$5001,BD!$A$3:$A$5001,$B23,BD!$B$3:$B$5001,$D$2)))</f>
        <v>0</v>
      </c>
      <c r="T23" s="42">
        <f>IF($B23="","",IF($B$2="Todos",SUMIFS(BD!$T$3:$T$5001,BD!$A$3:$A$5001,$B23),SUMIFS(BD!$T$3:$T$5001,BD!$A$3:$A$5001,$B23,BD!$B$3:$B$5001,$D$2)))</f>
        <v>0</v>
      </c>
      <c r="U23" s="42">
        <f>IF($B23="","",IF($B$2="Todos",SUMIFS(BD!$U$3:$U$5001,BD!$A$3:$A$5001,$B23),SUMIFS(BD!$U$3:$U$5001,BD!$A$3:$A$5001,$B23,BD!$B$3:$B$5001,$D$2)))</f>
        <v>0</v>
      </c>
      <c r="V23" s="42" t="str">
        <f>IF($B$2="Todos",IF(COUNT($C$152:$V$152)=0,"",SUM($C$152:$V$152)),IFERROR(INDEX($C$152:$V$152,MATCH($D$2,$C$140:$V$140,0)),""))</f>
        <v/>
      </c>
      <c r="W23" s="42" t="str">
        <f>IF($B$2="Todos",IF(COUNT($C$187:$V$187)=0,"",SUM($C$187:$V$187)),IFERROR(INDEX($C$187:$V$187,MATCH($D$2,$C$175:$V$175,0)),""))</f>
        <v/>
      </c>
      <c r="X23" s="59" t="str">
        <f>IF(Y23="","",IF($B$2="Todos",IF($B$4&gt;0,$B$4,IF($B$2="Todos",IF(COUNT($C$257:$V$257)=0,"",SUM($C$257:$V$257)),IFERROR(INDEX($C$257:$V$257,MATCH($D$2,$C$245:$V$245,0)),""))),IFERROR(INDEX($C$257:$V$257,MATCH($D$2,$C$245:$V$245,0)),"")))</f>
        <v/>
      </c>
      <c r="Y23" s="42" t="str">
        <f>IF($B$2="Todos",IF(COUNT($C$222:$V$222)=0,"",SUM($C$222:$V$222)),IFERROR(INDEX($C$222:$V$222,MATCH($D$2,$C$210:$V$210,0)),""))</f>
        <v/>
      </c>
      <c r="Z23" s="60" t="str">
        <f>IF(AND(ISNUMBER(Y23),ISNUMBER(X23)),IF(X23&gt;0,Y23/X23,""),"")</f>
        <v/>
      </c>
      <c r="AA23" s="42" t="str">
        <f>IF($B$2="Todos",IF(COUNT($C$292:$V$292)=0,"",SUM($C$292:$V$292)),IFERROR(INDEX($C$292:$V$292,MATCH($D$2,$C$280:$V$280,0)),""))</f>
        <v/>
      </c>
      <c r="AB23" s="42">
        <f>IF($B23="","",IF($B$2="Todos",SUMIFS(BD!$AA$3:$AA$5001,BD!$A$3:$A$5001,$B23),SUMIFS(BD!$AA$3:$AA$5001,BD!$A$3:$A$5001,$B23,BD!$B$3:$B$5001,$D$2)))</f>
        <v>0</v>
      </c>
      <c r="AC23" s="58">
        <f>IF($B23="","",IF($B$2="Todos",SUMIFS(BD!$AB$3:$AB$5001,BD!$A$3:$A$5001,$B23),SUMIFS(BD!$AB$3:$AB$5001,BD!$A$3:$A$5001,$B23,BD!$B$3:$B$5001,$D$2)))</f>
        <v>0</v>
      </c>
      <c r="AD23" s="42">
        <f>IF($B23="","",IF($B$2="Todos",SUMIFS(BD!$AC$3:$AC$5001,BD!$A$3:$A$5001,$B23),SUMIFS(BD!$AC$3:$AC$5001,BD!$A$3:$A$5001,$B23,BD!$B$3:$B$5001,$D$2)))</f>
        <v>0</v>
      </c>
      <c r="AE23" s="42">
        <f>IF($B23="","",IF($B$2="Todos",SUMIFS(BD!$AD$3:$AD$5001,BD!$A$3:$A$5001,$B23),SUMIFS(BD!$AD$3:$AD$5001,BD!$A$3:$A$5001,$B23,BD!$B$3:$B$5001,$D$2)))</f>
        <v>0</v>
      </c>
      <c r="AF23" s="42">
        <f>IF($B23="","",IF($B$2="Todos",SUMIFS(BD!$AE$3:$AE$5001,BD!$A$3:$A$5001,$B23),SUMIFS(BD!$AE$3:$AE$5001,BD!$A$3:$A$5001,$B23,BD!$B$3:$B$5001,$D$2)))</f>
        <v>0</v>
      </c>
      <c r="AG23" s="42">
        <f>IF($B23="","",IF($B$2="Todos",SUMIFS(BD!$AF$3:$AF$5001,BD!$A$3:$A$5001,$B23),SUMIFS(BD!$AF$3:$AF$5001,BD!$A$3:$A$5001,$B23,BD!$B$3:$B$5001,$D$2)))</f>
        <v>0</v>
      </c>
      <c r="AH23" s="42">
        <f>IF($B23="","",IF($B$2="Todos",SUMIFS(BD!$AG$3:$AG$5001,BD!$A$3:$A$5001,$B23),SUMIFS(BD!$AG$3:$AG$5001,BD!$A$3:$A$5001,$B23,BD!$B$3:$B$5001,$D$2)))</f>
        <v>0</v>
      </c>
      <c r="AI23" s="42">
        <f>IF($B23="","",IF($B$2="Todos",SUMIFS(BD!$AH$3:$AH$5001,BD!$A$3:$A$5001,$B23),SUMIFS(BD!$AH$3:$AH$5001,BD!$A$3:$A$5001,$B23,BD!$B$3:$B$5001,$D$2)))</f>
        <v>0</v>
      </c>
      <c r="AJ23" s="61">
        <f>$B$5</f>
        <v>0.7</v>
      </c>
      <c r="AK23" s="61">
        <f>$B$6</f>
        <v>0.9</v>
      </c>
      <c r="AN23" s="40" t="inlineStr">
        <is>
          <t xml:space="preserve">DEZEMBRO · 2026</t>
        </is>
      </c>
      <c r="AP23" s="40" t="str">
        <f>IFERROR(INDEX(Config!$B$10:$B$29,MATCH(11,$AR$13:$AR$32,0))&amp;"","")</f>
        <v/>
      </c>
      <c r="AQ23" s="39" t="str">
        <f>IF(AP23="","",IF(INDEX(Config!$C$10:$C$29,MATCH(11,$AR$13:$AR$32,0))&amp;""="","TPC",INDEX(Config!$C$10:$C$29,MATCH(11,$AR$13:$AR$32,0))&amp;""))</f>
        <v/>
      </c>
      <c r="AR23" s="48">
        <f>IF(Config!$B$20&amp;""="",AR22,AR22+1)</f>
        <v>10</v>
      </c>
    </row>
    <row r="24">
      <c r="A24" s="39">
        <v>13</v>
      </c>
      <c r="B24" s="57">
        <f>IF($A24&lt;=DAY($D$7),$C$7+$A24-1,"")</f>
        <v>46308</v>
      </c>
      <c r="C24" s="42">
        <f>IF($B24="","",IF($B$2="Todos",SUMIFS(BD!$C$3:$C$5001,BD!$A$3:$A$5001,$B24),SUMIFS(BD!$C$3:$C$5001,BD!$A$3:$A$5001,$B24,BD!$B$3:$B$5001,$D$2)))</f>
        <v>0</v>
      </c>
      <c r="D24" s="42">
        <f>IF($B24="","",IF($B$2="Todos",SUMIFS(BD!$D$3:$D$5001,BD!$A$3:$A$5001,$B24),SUMIFS(BD!$D$3:$D$5001,BD!$A$3:$A$5001,$B24,BD!$B$3:$B$5001,$D$2)))</f>
        <v>0</v>
      </c>
      <c r="E24" s="58">
        <f>IF($B24="","",IF($B$2="Todos",SUMIFS(BD!$E$3:$E$5001,BD!$A$3:$A$5001,$B24),SUMIFS(BD!$E$3:$E$5001,BD!$A$3:$A$5001,$B24,BD!$B$3:$B$5001,$D$2)))</f>
        <v>0</v>
      </c>
      <c r="F24" s="42">
        <f>IF($B24="","",IF($B$2="Todos",SUMIFS(BD!$F$3:$F$5001,BD!$A$3:$A$5001,$B24),SUMIFS(BD!$F$3:$F$5001,BD!$A$3:$A$5001,$B24,BD!$B$3:$B$5001,$D$2)))</f>
        <v>0</v>
      </c>
      <c r="G24" s="42">
        <f>IF($B24="","",IF($B$2="Todos",SUMIFS(BD!$G$3:$G$5001,BD!$A$3:$A$5001,$B24),SUMIFS(BD!$G$3:$G$5001,BD!$A$3:$A$5001,$B24,BD!$B$3:$B$5001,$D$2)))</f>
        <v>0</v>
      </c>
      <c r="H24" s="42">
        <f>IF($B24="","",IF($B$2="Todos",SUMIFS(BD!$H$3:$H$5001,BD!$A$3:$A$5001,$B24),SUMIFS(BD!$H$3:$H$5001,BD!$A$3:$A$5001,$B24,BD!$B$3:$B$5001,$D$2)))</f>
        <v>0</v>
      </c>
      <c r="I24" s="42">
        <f>IF($B24="","",IF($B$2="Todos",SUMIFS(BD!$I$3:$I$5001,BD!$A$3:$A$5001,$B24),SUMIFS(BD!$I$3:$I$5001,BD!$A$3:$A$5001,$B24,BD!$B$3:$B$5001,$D$2)))</f>
        <v>0</v>
      </c>
      <c r="J24" s="42">
        <f>IF($B24="","",IF($B$2="Todos",SUMIFS(BD!$J$3:$J$5001,BD!$A$3:$A$5001,$B24),SUMIFS(BD!$J$3:$J$5001,BD!$A$3:$A$5001,$B24,BD!$B$3:$B$5001,$D$2)))</f>
        <v>0</v>
      </c>
      <c r="K24" s="42">
        <f>IF($B24="","",IF($B$2="Todos",SUMIFS(BD!$K$3:$K$5001,BD!$A$3:$A$5001,$B24),SUMIFS(BD!$K$3:$K$5001,BD!$A$3:$A$5001,$B24,BD!$B$3:$B$5001,$D$2)))</f>
        <v>0</v>
      </c>
      <c r="L24" s="42">
        <f>IF($B24="","",IF($B$2="Todos",SUMIFS(BD!$L$3:$L$5001,BD!$A$3:$A$5001,$B24),SUMIFS(BD!$L$3:$L$5001,BD!$A$3:$A$5001,$B24,BD!$B$3:$B$5001,$D$2)))</f>
        <v>0</v>
      </c>
      <c r="M24" s="42">
        <f>IF($B24="","",IF($B$2="Todos",SUMIFS(BD!$M$3:$M$5001,BD!$A$3:$A$5001,$B24),SUMIFS(BD!$M$3:$M$5001,BD!$A$3:$A$5001,$B24,BD!$B$3:$B$5001,$D$2)))</f>
        <v>0</v>
      </c>
      <c r="N24" s="42">
        <f>IF($B24="","",IF($B$2="Todos",SUMIFS(BD!$N$3:$N$5001,BD!$A$3:$A$5001,$B24),SUMIFS(BD!$N$3:$N$5001,BD!$A$3:$A$5001,$B24,BD!$B$3:$B$5001,$D$2)))</f>
        <v>0</v>
      </c>
      <c r="O24" s="42">
        <f>IF($B24="","",IF($B$2="Todos",SUMIFS(BD!$O$3:$O$5001,BD!$A$3:$A$5001,$B24),SUMIFS(BD!$O$3:$O$5001,BD!$A$3:$A$5001,$B24,BD!$B$3:$B$5001,$D$2)))</f>
        <v>0</v>
      </c>
      <c r="P24" s="42">
        <f>IF($B24="","",IF($B$2="Todos",SUMIFS(BD!$P$3:$P$5001,BD!$A$3:$A$5001,$B24),SUMIFS(BD!$P$3:$P$5001,BD!$A$3:$A$5001,$B24,BD!$B$3:$B$5001,$D$2)))</f>
        <v>0</v>
      </c>
      <c r="Q24" s="42">
        <f>IF($B24="","",IF($B$2="Todos",SUMIFS(BD!$Q$3:$Q$5001,BD!$A$3:$A$5001,$B24),SUMIFS(BD!$Q$3:$Q$5001,BD!$A$3:$A$5001,$B24,BD!$B$3:$B$5001,$D$2)))</f>
        <v>0</v>
      </c>
      <c r="R24" s="42">
        <f>IF($B24="","",IF($B$2="Todos",SUMIFS(BD!$R$3:$R$5001,BD!$A$3:$A$5001,$B24),SUMIFS(BD!$R$3:$R$5001,BD!$A$3:$A$5001,$B24,BD!$B$3:$B$5001,$D$2)))</f>
        <v>0</v>
      </c>
      <c r="S24" s="58">
        <f>IF($B24="","",IF($B$2="Todos",SUMIFS(BD!$S$3:$S$5001,BD!$A$3:$A$5001,$B24),SUMIFS(BD!$S$3:$S$5001,BD!$A$3:$A$5001,$B24,BD!$B$3:$B$5001,$D$2)))</f>
        <v>0</v>
      </c>
      <c r="T24" s="42">
        <f>IF($B24="","",IF($B$2="Todos",SUMIFS(BD!$T$3:$T$5001,BD!$A$3:$A$5001,$B24),SUMIFS(BD!$T$3:$T$5001,BD!$A$3:$A$5001,$B24,BD!$B$3:$B$5001,$D$2)))</f>
        <v>0</v>
      </c>
      <c r="U24" s="42">
        <f>IF($B24="","",IF($B$2="Todos",SUMIFS(BD!$U$3:$U$5001,BD!$A$3:$A$5001,$B24),SUMIFS(BD!$U$3:$U$5001,BD!$A$3:$A$5001,$B24,BD!$B$3:$B$5001,$D$2)))</f>
        <v>0</v>
      </c>
      <c r="V24" s="42" t="str">
        <f>IF($B$2="Todos",IF(COUNT($C$153:$V$153)=0,"",SUM($C$153:$V$153)),IFERROR(INDEX($C$153:$V$153,MATCH($D$2,$C$140:$V$140,0)),""))</f>
        <v/>
      </c>
      <c r="W24" s="42" t="str">
        <f>IF($B$2="Todos",IF(COUNT($C$188:$V$188)=0,"",SUM($C$188:$V$188)),IFERROR(INDEX($C$188:$V$188,MATCH($D$2,$C$175:$V$175,0)),""))</f>
        <v/>
      </c>
      <c r="X24" s="59" t="str">
        <f>IF(Y24="","",IF($B$2="Todos",IF($B$4&gt;0,$B$4,IF($B$2="Todos",IF(COUNT($C$258:$V$258)=0,"",SUM($C$258:$V$258)),IFERROR(INDEX($C$258:$V$258,MATCH($D$2,$C$245:$V$245,0)),""))),IFERROR(INDEX($C$258:$V$258,MATCH($D$2,$C$245:$V$245,0)),"")))</f>
        <v/>
      </c>
      <c r="Y24" s="42" t="str">
        <f>IF($B$2="Todos",IF(COUNT($C$223:$V$223)=0,"",SUM($C$223:$V$223)),IFERROR(INDEX($C$223:$V$223,MATCH($D$2,$C$210:$V$210,0)),""))</f>
        <v/>
      </c>
      <c r="Z24" s="60" t="str">
        <f>IF(AND(ISNUMBER(Y24),ISNUMBER(X24)),IF(X24&gt;0,Y24/X24,""),"")</f>
        <v/>
      </c>
      <c r="AA24" s="42" t="str">
        <f>IF($B$2="Todos",IF(COUNT($C$293:$V$293)=0,"",SUM($C$293:$V$293)),IFERROR(INDEX($C$293:$V$293,MATCH($D$2,$C$280:$V$280,0)),""))</f>
        <v/>
      </c>
      <c r="AB24" s="42">
        <f>IF($B24="","",IF($B$2="Todos",SUMIFS(BD!$AA$3:$AA$5001,BD!$A$3:$A$5001,$B24),SUMIFS(BD!$AA$3:$AA$5001,BD!$A$3:$A$5001,$B24,BD!$B$3:$B$5001,$D$2)))</f>
        <v>0</v>
      </c>
      <c r="AC24" s="58">
        <f>IF($B24="","",IF($B$2="Todos",SUMIFS(BD!$AB$3:$AB$5001,BD!$A$3:$A$5001,$B24),SUMIFS(BD!$AB$3:$AB$5001,BD!$A$3:$A$5001,$B24,BD!$B$3:$B$5001,$D$2)))</f>
        <v>0</v>
      </c>
      <c r="AD24" s="42">
        <f>IF($B24="","",IF($B$2="Todos",SUMIFS(BD!$AC$3:$AC$5001,BD!$A$3:$A$5001,$B24),SUMIFS(BD!$AC$3:$AC$5001,BD!$A$3:$A$5001,$B24,BD!$B$3:$B$5001,$D$2)))</f>
        <v>0</v>
      </c>
      <c r="AE24" s="42">
        <f>IF($B24="","",IF($B$2="Todos",SUMIFS(BD!$AD$3:$AD$5001,BD!$A$3:$A$5001,$B24),SUMIFS(BD!$AD$3:$AD$5001,BD!$A$3:$A$5001,$B24,BD!$B$3:$B$5001,$D$2)))</f>
        <v>0</v>
      </c>
      <c r="AF24" s="42">
        <f>IF($B24="","",IF($B$2="Todos",SUMIFS(BD!$AE$3:$AE$5001,BD!$A$3:$A$5001,$B24),SUMIFS(BD!$AE$3:$AE$5001,BD!$A$3:$A$5001,$B24,BD!$B$3:$B$5001,$D$2)))</f>
        <v>0</v>
      </c>
      <c r="AG24" s="42">
        <f>IF($B24="","",IF($B$2="Todos",SUMIFS(BD!$AF$3:$AF$5001,BD!$A$3:$A$5001,$B24),SUMIFS(BD!$AF$3:$AF$5001,BD!$A$3:$A$5001,$B24,BD!$B$3:$B$5001,$D$2)))</f>
        <v>0</v>
      </c>
      <c r="AH24" s="42">
        <f>IF($B24="","",IF($B$2="Todos",SUMIFS(BD!$AG$3:$AG$5001,BD!$A$3:$A$5001,$B24),SUMIFS(BD!$AG$3:$AG$5001,BD!$A$3:$A$5001,$B24,BD!$B$3:$B$5001,$D$2)))</f>
        <v>0</v>
      </c>
      <c r="AI24" s="42">
        <f>IF($B24="","",IF($B$2="Todos",SUMIFS(BD!$AH$3:$AH$5001,BD!$A$3:$A$5001,$B24),SUMIFS(BD!$AH$3:$AH$5001,BD!$A$3:$A$5001,$B24,BD!$B$3:$B$5001,$D$2)))</f>
        <v>0</v>
      </c>
      <c r="AJ24" s="61">
        <f>$B$5</f>
        <v>0.7</v>
      </c>
      <c r="AK24" s="61">
        <f>$B$6</f>
        <v>0.9</v>
      </c>
      <c r="AP24" s="40" t="str">
        <f>IFERROR(INDEX(Config!$B$10:$B$29,MATCH(12,$AR$13:$AR$32,0))&amp;"","")</f>
        <v/>
      </c>
      <c r="AQ24" s="39" t="str">
        <f>IF(AP24="","",IF(INDEX(Config!$C$10:$C$29,MATCH(12,$AR$13:$AR$32,0))&amp;""="","TPC",INDEX(Config!$C$10:$C$29,MATCH(12,$AR$13:$AR$32,0))&amp;""))</f>
        <v/>
      </c>
      <c r="AR24" s="48">
        <f>IF(Config!$B$21&amp;""="",AR23,AR23+1)</f>
        <v>10</v>
      </c>
    </row>
    <row r="25">
      <c r="A25" s="39">
        <v>14</v>
      </c>
      <c r="B25" s="57">
        <f>IF($A25&lt;=DAY($D$7),$C$7+$A25-1,"")</f>
        <v>46309</v>
      </c>
      <c r="C25" s="42">
        <f>IF($B25="","",IF($B$2="Todos",SUMIFS(BD!$C$3:$C$5001,BD!$A$3:$A$5001,$B25),SUMIFS(BD!$C$3:$C$5001,BD!$A$3:$A$5001,$B25,BD!$B$3:$B$5001,$D$2)))</f>
        <v>0</v>
      </c>
      <c r="D25" s="42">
        <f>IF($B25="","",IF($B$2="Todos",SUMIFS(BD!$D$3:$D$5001,BD!$A$3:$A$5001,$B25),SUMIFS(BD!$D$3:$D$5001,BD!$A$3:$A$5001,$B25,BD!$B$3:$B$5001,$D$2)))</f>
        <v>0</v>
      </c>
      <c r="E25" s="58">
        <f>IF($B25="","",IF($B$2="Todos",SUMIFS(BD!$E$3:$E$5001,BD!$A$3:$A$5001,$B25),SUMIFS(BD!$E$3:$E$5001,BD!$A$3:$A$5001,$B25,BD!$B$3:$B$5001,$D$2)))</f>
        <v>0</v>
      </c>
      <c r="F25" s="42">
        <f>IF($B25="","",IF($B$2="Todos",SUMIFS(BD!$F$3:$F$5001,BD!$A$3:$A$5001,$B25),SUMIFS(BD!$F$3:$F$5001,BD!$A$3:$A$5001,$B25,BD!$B$3:$B$5001,$D$2)))</f>
        <v>0</v>
      </c>
      <c r="G25" s="42">
        <f>IF($B25="","",IF($B$2="Todos",SUMIFS(BD!$G$3:$G$5001,BD!$A$3:$A$5001,$B25),SUMIFS(BD!$G$3:$G$5001,BD!$A$3:$A$5001,$B25,BD!$B$3:$B$5001,$D$2)))</f>
        <v>0</v>
      </c>
      <c r="H25" s="42">
        <f>IF($B25="","",IF($B$2="Todos",SUMIFS(BD!$H$3:$H$5001,BD!$A$3:$A$5001,$B25),SUMIFS(BD!$H$3:$H$5001,BD!$A$3:$A$5001,$B25,BD!$B$3:$B$5001,$D$2)))</f>
        <v>0</v>
      </c>
      <c r="I25" s="42">
        <f>IF($B25="","",IF($B$2="Todos",SUMIFS(BD!$I$3:$I$5001,BD!$A$3:$A$5001,$B25),SUMIFS(BD!$I$3:$I$5001,BD!$A$3:$A$5001,$B25,BD!$B$3:$B$5001,$D$2)))</f>
        <v>0</v>
      </c>
      <c r="J25" s="42">
        <f>IF($B25="","",IF($B$2="Todos",SUMIFS(BD!$J$3:$J$5001,BD!$A$3:$A$5001,$B25),SUMIFS(BD!$J$3:$J$5001,BD!$A$3:$A$5001,$B25,BD!$B$3:$B$5001,$D$2)))</f>
        <v>0</v>
      </c>
      <c r="K25" s="42">
        <f>IF($B25="","",IF($B$2="Todos",SUMIFS(BD!$K$3:$K$5001,BD!$A$3:$A$5001,$B25),SUMIFS(BD!$K$3:$K$5001,BD!$A$3:$A$5001,$B25,BD!$B$3:$B$5001,$D$2)))</f>
        <v>0</v>
      </c>
      <c r="L25" s="42">
        <f>IF($B25="","",IF($B$2="Todos",SUMIFS(BD!$L$3:$L$5001,BD!$A$3:$A$5001,$B25),SUMIFS(BD!$L$3:$L$5001,BD!$A$3:$A$5001,$B25,BD!$B$3:$B$5001,$D$2)))</f>
        <v>0</v>
      </c>
      <c r="M25" s="42">
        <f>IF($B25="","",IF($B$2="Todos",SUMIFS(BD!$M$3:$M$5001,BD!$A$3:$A$5001,$B25),SUMIFS(BD!$M$3:$M$5001,BD!$A$3:$A$5001,$B25,BD!$B$3:$B$5001,$D$2)))</f>
        <v>0</v>
      </c>
      <c r="N25" s="42">
        <f>IF($B25="","",IF($B$2="Todos",SUMIFS(BD!$N$3:$N$5001,BD!$A$3:$A$5001,$B25),SUMIFS(BD!$N$3:$N$5001,BD!$A$3:$A$5001,$B25,BD!$B$3:$B$5001,$D$2)))</f>
        <v>0</v>
      </c>
      <c r="O25" s="42">
        <f>IF($B25="","",IF($B$2="Todos",SUMIFS(BD!$O$3:$O$5001,BD!$A$3:$A$5001,$B25),SUMIFS(BD!$O$3:$O$5001,BD!$A$3:$A$5001,$B25,BD!$B$3:$B$5001,$D$2)))</f>
        <v>0</v>
      </c>
      <c r="P25" s="42">
        <f>IF($B25="","",IF($B$2="Todos",SUMIFS(BD!$P$3:$P$5001,BD!$A$3:$A$5001,$B25),SUMIFS(BD!$P$3:$P$5001,BD!$A$3:$A$5001,$B25,BD!$B$3:$B$5001,$D$2)))</f>
        <v>0</v>
      </c>
      <c r="Q25" s="42">
        <f>IF($B25="","",IF($B$2="Todos",SUMIFS(BD!$Q$3:$Q$5001,BD!$A$3:$A$5001,$B25),SUMIFS(BD!$Q$3:$Q$5001,BD!$A$3:$A$5001,$B25,BD!$B$3:$B$5001,$D$2)))</f>
        <v>0</v>
      </c>
      <c r="R25" s="42">
        <f>IF($B25="","",IF($B$2="Todos",SUMIFS(BD!$R$3:$R$5001,BD!$A$3:$A$5001,$B25),SUMIFS(BD!$R$3:$R$5001,BD!$A$3:$A$5001,$B25,BD!$B$3:$B$5001,$D$2)))</f>
        <v>0</v>
      </c>
      <c r="S25" s="58">
        <f>IF($B25="","",IF($B$2="Todos",SUMIFS(BD!$S$3:$S$5001,BD!$A$3:$A$5001,$B25),SUMIFS(BD!$S$3:$S$5001,BD!$A$3:$A$5001,$B25,BD!$B$3:$B$5001,$D$2)))</f>
        <v>0</v>
      </c>
      <c r="T25" s="42">
        <f>IF($B25="","",IF($B$2="Todos",SUMIFS(BD!$T$3:$T$5001,BD!$A$3:$A$5001,$B25),SUMIFS(BD!$T$3:$T$5001,BD!$A$3:$A$5001,$B25,BD!$B$3:$B$5001,$D$2)))</f>
        <v>0</v>
      </c>
      <c r="U25" s="42">
        <f>IF($B25="","",IF($B$2="Todos",SUMIFS(BD!$U$3:$U$5001,BD!$A$3:$A$5001,$B25),SUMIFS(BD!$U$3:$U$5001,BD!$A$3:$A$5001,$B25,BD!$B$3:$B$5001,$D$2)))</f>
        <v>0</v>
      </c>
      <c r="V25" s="42" t="str">
        <f>IF($B$2="Todos",IF(COUNT($C$154:$V$154)=0,"",SUM($C$154:$V$154)),IFERROR(INDEX($C$154:$V$154,MATCH($D$2,$C$140:$V$140,0)),""))</f>
        <v/>
      </c>
      <c r="W25" s="42" t="str">
        <f>IF($B$2="Todos",IF(COUNT($C$189:$V$189)=0,"",SUM($C$189:$V$189)),IFERROR(INDEX($C$189:$V$189,MATCH($D$2,$C$175:$V$175,0)),""))</f>
        <v/>
      </c>
      <c r="X25" s="59" t="str">
        <f>IF(Y25="","",IF($B$2="Todos",IF($B$4&gt;0,$B$4,IF($B$2="Todos",IF(COUNT($C$259:$V$259)=0,"",SUM($C$259:$V$259)),IFERROR(INDEX($C$259:$V$259,MATCH($D$2,$C$245:$V$245,0)),""))),IFERROR(INDEX($C$259:$V$259,MATCH($D$2,$C$245:$V$245,0)),"")))</f>
        <v/>
      </c>
      <c r="Y25" s="42" t="str">
        <f>IF($B$2="Todos",IF(COUNT($C$224:$V$224)=0,"",SUM($C$224:$V$224)),IFERROR(INDEX($C$224:$V$224,MATCH($D$2,$C$210:$V$210,0)),""))</f>
        <v/>
      </c>
      <c r="Z25" s="60" t="str">
        <f>IF(AND(ISNUMBER(Y25),ISNUMBER(X25)),IF(X25&gt;0,Y25/X25,""),"")</f>
        <v/>
      </c>
      <c r="AA25" s="42" t="str">
        <f>IF($B$2="Todos",IF(COUNT($C$294:$V$294)=0,"",SUM($C$294:$V$294)),IFERROR(INDEX($C$294:$V$294,MATCH($D$2,$C$280:$V$280,0)),""))</f>
        <v/>
      </c>
      <c r="AB25" s="42">
        <f>IF($B25="","",IF($B$2="Todos",SUMIFS(BD!$AA$3:$AA$5001,BD!$A$3:$A$5001,$B25),SUMIFS(BD!$AA$3:$AA$5001,BD!$A$3:$A$5001,$B25,BD!$B$3:$B$5001,$D$2)))</f>
        <v>0</v>
      </c>
      <c r="AC25" s="58">
        <f>IF($B25="","",IF($B$2="Todos",SUMIFS(BD!$AB$3:$AB$5001,BD!$A$3:$A$5001,$B25),SUMIFS(BD!$AB$3:$AB$5001,BD!$A$3:$A$5001,$B25,BD!$B$3:$B$5001,$D$2)))</f>
        <v>0</v>
      </c>
      <c r="AD25" s="42">
        <f>IF($B25="","",IF($B$2="Todos",SUMIFS(BD!$AC$3:$AC$5001,BD!$A$3:$A$5001,$B25),SUMIFS(BD!$AC$3:$AC$5001,BD!$A$3:$A$5001,$B25,BD!$B$3:$B$5001,$D$2)))</f>
        <v>0</v>
      </c>
      <c r="AE25" s="42">
        <f>IF($B25="","",IF($B$2="Todos",SUMIFS(BD!$AD$3:$AD$5001,BD!$A$3:$A$5001,$B25),SUMIFS(BD!$AD$3:$AD$5001,BD!$A$3:$A$5001,$B25,BD!$B$3:$B$5001,$D$2)))</f>
        <v>0</v>
      </c>
      <c r="AF25" s="42">
        <f>IF($B25="","",IF($B$2="Todos",SUMIFS(BD!$AE$3:$AE$5001,BD!$A$3:$A$5001,$B25),SUMIFS(BD!$AE$3:$AE$5001,BD!$A$3:$A$5001,$B25,BD!$B$3:$B$5001,$D$2)))</f>
        <v>0</v>
      </c>
      <c r="AG25" s="42">
        <f>IF($B25="","",IF($B$2="Todos",SUMIFS(BD!$AF$3:$AF$5001,BD!$A$3:$A$5001,$B25),SUMIFS(BD!$AF$3:$AF$5001,BD!$A$3:$A$5001,$B25,BD!$B$3:$B$5001,$D$2)))</f>
        <v>0</v>
      </c>
      <c r="AH25" s="42">
        <f>IF($B25="","",IF($B$2="Todos",SUMIFS(BD!$AG$3:$AG$5001,BD!$A$3:$A$5001,$B25),SUMIFS(BD!$AG$3:$AG$5001,BD!$A$3:$A$5001,$B25,BD!$B$3:$B$5001,$D$2)))</f>
        <v>0</v>
      </c>
      <c r="AI25" s="42">
        <f>IF($B25="","",IF($B$2="Todos",SUMIFS(BD!$AH$3:$AH$5001,BD!$A$3:$A$5001,$B25),SUMIFS(BD!$AH$3:$AH$5001,BD!$A$3:$A$5001,$B25,BD!$B$3:$B$5001,$D$2)))</f>
        <v>0</v>
      </c>
      <c r="AJ25" s="61">
        <f>$B$5</f>
        <v>0.7</v>
      </c>
      <c r="AK25" s="61">
        <f>$B$6</f>
        <v>0.9</v>
      </c>
      <c r="AP25" s="40" t="str">
        <f>IFERROR(INDEX(Config!$B$10:$B$29,MATCH(13,$AR$13:$AR$32,0))&amp;"","")</f>
        <v/>
      </c>
      <c r="AQ25" s="39" t="str">
        <f>IF(AP25="","",IF(INDEX(Config!$C$10:$C$29,MATCH(13,$AR$13:$AR$32,0))&amp;""="","TPC",INDEX(Config!$C$10:$C$29,MATCH(13,$AR$13:$AR$32,0))&amp;""))</f>
        <v/>
      </c>
      <c r="AR25" s="48">
        <f>IF(Config!$B$22&amp;""="",AR24,AR24+1)</f>
        <v>10</v>
      </c>
    </row>
    <row r="26">
      <c r="A26" s="39">
        <v>15</v>
      </c>
      <c r="B26" s="57">
        <f>IF($A26&lt;=DAY($D$7),$C$7+$A26-1,"")</f>
        <v>46310</v>
      </c>
      <c r="C26" s="42">
        <f>IF($B26="","",IF($B$2="Todos",SUMIFS(BD!$C$3:$C$5001,BD!$A$3:$A$5001,$B26),SUMIFS(BD!$C$3:$C$5001,BD!$A$3:$A$5001,$B26,BD!$B$3:$B$5001,$D$2)))</f>
        <v>0</v>
      </c>
      <c r="D26" s="42">
        <f>IF($B26="","",IF($B$2="Todos",SUMIFS(BD!$D$3:$D$5001,BD!$A$3:$A$5001,$B26),SUMIFS(BD!$D$3:$D$5001,BD!$A$3:$A$5001,$B26,BD!$B$3:$B$5001,$D$2)))</f>
        <v>0</v>
      </c>
      <c r="E26" s="58">
        <f>IF($B26="","",IF($B$2="Todos",SUMIFS(BD!$E$3:$E$5001,BD!$A$3:$A$5001,$B26),SUMIFS(BD!$E$3:$E$5001,BD!$A$3:$A$5001,$B26,BD!$B$3:$B$5001,$D$2)))</f>
        <v>0</v>
      </c>
      <c r="F26" s="42">
        <f>IF($B26="","",IF($B$2="Todos",SUMIFS(BD!$F$3:$F$5001,BD!$A$3:$A$5001,$B26),SUMIFS(BD!$F$3:$F$5001,BD!$A$3:$A$5001,$B26,BD!$B$3:$B$5001,$D$2)))</f>
        <v>0</v>
      </c>
      <c r="G26" s="42">
        <f>IF($B26="","",IF($B$2="Todos",SUMIFS(BD!$G$3:$G$5001,BD!$A$3:$A$5001,$B26),SUMIFS(BD!$G$3:$G$5001,BD!$A$3:$A$5001,$B26,BD!$B$3:$B$5001,$D$2)))</f>
        <v>0</v>
      </c>
      <c r="H26" s="42">
        <f>IF($B26="","",IF($B$2="Todos",SUMIFS(BD!$H$3:$H$5001,BD!$A$3:$A$5001,$B26),SUMIFS(BD!$H$3:$H$5001,BD!$A$3:$A$5001,$B26,BD!$B$3:$B$5001,$D$2)))</f>
        <v>0</v>
      </c>
      <c r="I26" s="42">
        <f>IF($B26="","",IF($B$2="Todos",SUMIFS(BD!$I$3:$I$5001,BD!$A$3:$A$5001,$B26),SUMIFS(BD!$I$3:$I$5001,BD!$A$3:$A$5001,$B26,BD!$B$3:$B$5001,$D$2)))</f>
        <v>0</v>
      </c>
      <c r="J26" s="42">
        <f>IF($B26="","",IF($B$2="Todos",SUMIFS(BD!$J$3:$J$5001,BD!$A$3:$A$5001,$B26),SUMIFS(BD!$J$3:$J$5001,BD!$A$3:$A$5001,$B26,BD!$B$3:$B$5001,$D$2)))</f>
        <v>0</v>
      </c>
      <c r="K26" s="42">
        <f>IF($B26="","",IF($B$2="Todos",SUMIFS(BD!$K$3:$K$5001,BD!$A$3:$A$5001,$B26),SUMIFS(BD!$K$3:$K$5001,BD!$A$3:$A$5001,$B26,BD!$B$3:$B$5001,$D$2)))</f>
        <v>0</v>
      </c>
      <c r="L26" s="42">
        <f>IF($B26="","",IF($B$2="Todos",SUMIFS(BD!$L$3:$L$5001,BD!$A$3:$A$5001,$B26),SUMIFS(BD!$L$3:$L$5001,BD!$A$3:$A$5001,$B26,BD!$B$3:$B$5001,$D$2)))</f>
        <v>0</v>
      </c>
      <c r="M26" s="42">
        <f>IF($B26="","",IF($B$2="Todos",SUMIFS(BD!$M$3:$M$5001,BD!$A$3:$A$5001,$B26),SUMIFS(BD!$M$3:$M$5001,BD!$A$3:$A$5001,$B26,BD!$B$3:$B$5001,$D$2)))</f>
        <v>0</v>
      </c>
      <c r="N26" s="42">
        <f>IF($B26="","",IF($B$2="Todos",SUMIFS(BD!$N$3:$N$5001,BD!$A$3:$A$5001,$B26),SUMIFS(BD!$N$3:$N$5001,BD!$A$3:$A$5001,$B26,BD!$B$3:$B$5001,$D$2)))</f>
        <v>0</v>
      </c>
      <c r="O26" s="42">
        <f>IF($B26="","",IF($B$2="Todos",SUMIFS(BD!$O$3:$O$5001,BD!$A$3:$A$5001,$B26),SUMIFS(BD!$O$3:$O$5001,BD!$A$3:$A$5001,$B26,BD!$B$3:$B$5001,$D$2)))</f>
        <v>0</v>
      </c>
      <c r="P26" s="42">
        <f>IF($B26="","",IF($B$2="Todos",SUMIFS(BD!$P$3:$P$5001,BD!$A$3:$A$5001,$B26),SUMIFS(BD!$P$3:$P$5001,BD!$A$3:$A$5001,$B26,BD!$B$3:$B$5001,$D$2)))</f>
        <v>0</v>
      </c>
      <c r="Q26" s="42">
        <f>IF($B26="","",IF($B$2="Todos",SUMIFS(BD!$Q$3:$Q$5001,BD!$A$3:$A$5001,$B26),SUMIFS(BD!$Q$3:$Q$5001,BD!$A$3:$A$5001,$B26,BD!$B$3:$B$5001,$D$2)))</f>
        <v>0</v>
      </c>
      <c r="R26" s="42">
        <f>IF($B26="","",IF($B$2="Todos",SUMIFS(BD!$R$3:$R$5001,BD!$A$3:$A$5001,$B26),SUMIFS(BD!$R$3:$R$5001,BD!$A$3:$A$5001,$B26,BD!$B$3:$B$5001,$D$2)))</f>
        <v>0</v>
      </c>
      <c r="S26" s="58">
        <f>IF($B26="","",IF($B$2="Todos",SUMIFS(BD!$S$3:$S$5001,BD!$A$3:$A$5001,$B26),SUMIFS(BD!$S$3:$S$5001,BD!$A$3:$A$5001,$B26,BD!$B$3:$B$5001,$D$2)))</f>
        <v>0</v>
      </c>
      <c r="T26" s="42">
        <f>IF($B26="","",IF($B$2="Todos",SUMIFS(BD!$T$3:$T$5001,BD!$A$3:$A$5001,$B26),SUMIFS(BD!$T$3:$T$5001,BD!$A$3:$A$5001,$B26,BD!$B$3:$B$5001,$D$2)))</f>
        <v>0</v>
      </c>
      <c r="U26" s="42">
        <f>IF($B26="","",IF($B$2="Todos",SUMIFS(BD!$U$3:$U$5001,BD!$A$3:$A$5001,$B26),SUMIFS(BD!$U$3:$U$5001,BD!$A$3:$A$5001,$B26,BD!$B$3:$B$5001,$D$2)))</f>
        <v>0</v>
      </c>
      <c r="V26" s="42" t="str">
        <f>IF($B$2="Todos",IF(COUNT($C$155:$V$155)=0,"",SUM($C$155:$V$155)),IFERROR(INDEX($C$155:$V$155,MATCH($D$2,$C$140:$V$140,0)),""))</f>
        <v/>
      </c>
      <c r="W26" s="42" t="str">
        <f>IF($B$2="Todos",IF(COUNT($C$190:$V$190)=0,"",SUM($C$190:$V$190)),IFERROR(INDEX($C$190:$V$190,MATCH($D$2,$C$175:$V$175,0)),""))</f>
        <v/>
      </c>
      <c r="X26" s="59" t="str">
        <f>IF(Y26="","",IF($B$2="Todos",IF($B$4&gt;0,$B$4,IF($B$2="Todos",IF(COUNT($C$260:$V$260)=0,"",SUM($C$260:$V$260)),IFERROR(INDEX($C$260:$V$260,MATCH($D$2,$C$245:$V$245,0)),""))),IFERROR(INDEX($C$260:$V$260,MATCH($D$2,$C$245:$V$245,0)),"")))</f>
        <v/>
      </c>
      <c r="Y26" s="42" t="str">
        <f>IF($B$2="Todos",IF(COUNT($C$225:$V$225)=0,"",SUM($C$225:$V$225)),IFERROR(INDEX($C$225:$V$225,MATCH($D$2,$C$210:$V$210,0)),""))</f>
        <v/>
      </c>
      <c r="Z26" s="60" t="str">
        <f>IF(AND(ISNUMBER(Y26),ISNUMBER(X26)),IF(X26&gt;0,Y26/X26,""),"")</f>
        <v/>
      </c>
      <c r="AA26" s="42" t="str">
        <f>IF($B$2="Todos",IF(COUNT($C$295:$V$295)=0,"",SUM($C$295:$V$295)),IFERROR(INDEX($C$295:$V$295,MATCH($D$2,$C$280:$V$280,0)),""))</f>
        <v/>
      </c>
      <c r="AB26" s="42">
        <f>IF($B26="","",IF($B$2="Todos",SUMIFS(BD!$AA$3:$AA$5001,BD!$A$3:$A$5001,$B26),SUMIFS(BD!$AA$3:$AA$5001,BD!$A$3:$A$5001,$B26,BD!$B$3:$B$5001,$D$2)))</f>
        <v>0</v>
      </c>
      <c r="AC26" s="58">
        <f>IF($B26="","",IF($B$2="Todos",SUMIFS(BD!$AB$3:$AB$5001,BD!$A$3:$A$5001,$B26),SUMIFS(BD!$AB$3:$AB$5001,BD!$A$3:$A$5001,$B26,BD!$B$3:$B$5001,$D$2)))</f>
        <v>0</v>
      </c>
      <c r="AD26" s="42">
        <f>IF($B26="","",IF($B$2="Todos",SUMIFS(BD!$AC$3:$AC$5001,BD!$A$3:$A$5001,$B26),SUMIFS(BD!$AC$3:$AC$5001,BD!$A$3:$A$5001,$B26,BD!$B$3:$B$5001,$D$2)))</f>
        <v>0</v>
      </c>
      <c r="AE26" s="42">
        <f>IF($B26="","",IF($B$2="Todos",SUMIFS(BD!$AD$3:$AD$5001,BD!$A$3:$A$5001,$B26),SUMIFS(BD!$AD$3:$AD$5001,BD!$A$3:$A$5001,$B26,BD!$B$3:$B$5001,$D$2)))</f>
        <v>0</v>
      </c>
      <c r="AF26" s="42">
        <f>IF($B26="","",IF($B$2="Todos",SUMIFS(BD!$AE$3:$AE$5001,BD!$A$3:$A$5001,$B26),SUMIFS(BD!$AE$3:$AE$5001,BD!$A$3:$A$5001,$B26,BD!$B$3:$B$5001,$D$2)))</f>
        <v>0</v>
      </c>
      <c r="AG26" s="42">
        <f>IF($B26="","",IF($B$2="Todos",SUMIFS(BD!$AF$3:$AF$5001,BD!$A$3:$A$5001,$B26),SUMIFS(BD!$AF$3:$AF$5001,BD!$A$3:$A$5001,$B26,BD!$B$3:$B$5001,$D$2)))</f>
        <v>0</v>
      </c>
      <c r="AH26" s="42">
        <f>IF($B26="","",IF($B$2="Todos",SUMIFS(BD!$AG$3:$AG$5001,BD!$A$3:$A$5001,$B26),SUMIFS(BD!$AG$3:$AG$5001,BD!$A$3:$A$5001,$B26,BD!$B$3:$B$5001,$D$2)))</f>
        <v>0</v>
      </c>
      <c r="AI26" s="42">
        <f>IF($B26="","",IF($B$2="Todos",SUMIFS(BD!$AH$3:$AH$5001,BD!$A$3:$A$5001,$B26),SUMIFS(BD!$AH$3:$AH$5001,BD!$A$3:$A$5001,$B26,BD!$B$3:$B$5001,$D$2)))</f>
        <v>0</v>
      </c>
      <c r="AJ26" s="61">
        <f>$B$5</f>
        <v>0.7</v>
      </c>
      <c r="AK26" s="61">
        <f>$B$6</f>
        <v>0.9</v>
      </c>
      <c r="AP26" s="40" t="str">
        <f>IFERROR(INDEX(Config!$B$10:$B$29,MATCH(14,$AR$13:$AR$32,0))&amp;"","")</f>
        <v/>
      </c>
      <c r="AQ26" s="39" t="str">
        <f>IF(AP26="","",IF(INDEX(Config!$C$10:$C$29,MATCH(14,$AR$13:$AR$32,0))&amp;""="","TPC",INDEX(Config!$C$10:$C$29,MATCH(14,$AR$13:$AR$32,0))&amp;""))</f>
        <v/>
      </c>
      <c r="AR26" s="48">
        <f>IF(Config!$B$23&amp;""="",AR25,AR25+1)</f>
        <v>10</v>
      </c>
    </row>
    <row r="27">
      <c r="A27" s="39">
        <v>16</v>
      </c>
      <c r="B27" s="57">
        <f>IF($A27&lt;=DAY($D$7),$C$7+$A27-1,"")</f>
        <v>46311</v>
      </c>
      <c r="C27" s="42">
        <f>IF($B27="","",IF($B$2="Todos",SUMIFS(BD!$C$3:$C$5001,BD!$A$3:$A$5001,$B27),SUMIFS(BD!$C$3:$C$5001,BD!$A$3:$A$5001,$B27,BD!$B$3:$B$5001,$D$2)))</f>
        <v>0</v>
      </c>
      <c r="D27" s="42">
        <f>IF($B27="","",IF($B$2="Todos",SUMIFS(BD!$D$3:$D$5001,BD!$A$3:$A$5001,$B27),SUMIFS(BD!$D$3:$D$5001,BD!$A$3:$A$5001,$B27,BD!$B$3:$B$5001,$D$2)))</f>
        <v>0</v>
      </c>
      <c r="E27" s="58">
        <f>IF($B27="","",IF($B$2="Todos",SUMIFS(BD!$E$3:$E$5001,BD!$A$3:$A$5001,$B27),SUMIFS(BD!$E$3:$E$5001,BD!$A$3:$A$5001,$B27,BD!$B$3:$B$5001,$D$2)))</f>
        <v>0</v>
      </c>
      <c r="F27" s="42">
        <f>IF($B27="","",IF($B$2="Todos",SUMIFS(BD!$F$3:$F$5001,BD!$A$3:$A$5001,$B27),SUMIFS(BD!$F$3:$F$5001,BD!$A$3:$A$5001,$B27,BD!$B$3:$B$5001,$D$2)))</f>
        <v>0</v>
      </c>
      <c r="G27" s="42">
        <f>IF($B27="","",IF($B$2="Todos",SUMIFS(BD!$G$3:$G$5001,BD!$A$3:$A$5001,$B27),SUMIFS(BD!$G$3:$G$5001,BD!$A$3:$A$5001,$B27,BD!$B$3:$B$5001,$D$2)))</f>
        <v>0</v>
      </c>
      <c r="H27" s="42">
        <f>IF($B27="","",IF($B$2="Todos",SUMIFS(BD!$H$3:$H$5001,BD!$A$3:$A$5001,$B27),SUMIFS(BD!$H$3:$H$5001,BD!$A$3:$A$5001,$B27,BD!$B$3:$B$5001,$D$2)))</f>
        <v>0</v>
      </c>
      <c r="I27" s="42">
        <f>IF($B27="","",IF($B$2="Todos",SUMIFS(BD!$I$3:$I$5001,BD!$A$3:$A$5001,$B27),SUMIFS(BD!$I$3:$I$5001,BD!$A$3:$A$5001,$B27,BD!$B$3:$B$5001,$D$2)))</f>
        <v>0</v>
      </c>
      <c r="J27" s="42">
        <f>IF($B27="","",IF($B$2="Todos",SUMIFS(BD!$J$3:$J$5001,BD!$A$3:$A$5001,$B27),SUMIFS(BD!$J$3:$J$5001,BD!$A$3:$A$5001,$B27,BD!$B$3:$B$5001,$D$2)))</f>
        <v>0</v>
      </c>
      <c r="K27" s="42">
        <f>IF($B27="","",IF($B$2="Todos",SUMIFS(BD!$K$3:$K$5001,BD!$A$3:$A$5001,$B27),SUMIFS(BD!$K$3:$K$5001,BD!$A$3:$A$5001,$B27,BD!$B$3:$B$5001,$D$2)))</f>
        <v>0</v>
      </c>
      <c r="L27" s="42">
        <f>IF($B27="","",IF($B$2="Todos",SUMIFS(BD!$L$3:$L$5001,BD!$A$3:$A$5001,$B27),SUMIFS(BD!$L$3:$L$5001,BD!$A$3:$A$5001,$B27,BD!$B$3:$B$5001,$D$2)))</f>
        <v>0</v>
      </c>
      <c r="M27" s="42">
        <f>IF($B27="","",IF($B$2="Todos",SUMIFS(BD!$M$3:$M$5001,BD!$A$3:$A$5001,$B27),SUMIFS(BD!$M$3:$M$5001,BD!$A$3:$A$5001,$B27,BD!$B$3:$B$5001,$D$2)))</f>
        <v>0</v>
      </c>
      <c r="N27" s="42">
        <f>IF($B27="","",IF($B$2="Todos",SUMIFS(BD!$N$3:$N$5001,BD!$A$3:$A$5001,$B27),SUMIFS(BD!$N$3:$N$5001,BD!$A$3:$A$5001,$B27,BD!$B$3:$B$5001,$D$2)))</f>
        <v>0</v>
      </c>
      <c r="O27" s="42">
        <f>IF($B27="","",IF($B$2="Todos",SUMIFS(BD!$O$3:$O$5001,BD!$A$3:$A$5001,$B27),SUMIFS(BD!$O$3:$O$5001,BD!$A$3:$A$5001,$B27,BD!$B$3:$B$5001,$D$2)))</f>
        <v>0</v>
      </c>
      <c r="P27" s="42">
        <f>IF($B27="","",IF($B$2="Todos",SUMIFS(BD!$P$3:$P$5001,BD!$A$3:$A$5001,$B27),SUMIFS(BD!$P$3:$P$5001,BD!$A$3:$A$5001,$B27,BD!$B$3:$B$5001,$D$2)))</f>
        <v>0</v>
      </c>
      <c r="Q27" s="42">
        <f>IF($B27="","",IF($B$2="Todos",SUMIFS(BD!$Q$3:$Q$5001,BD!$A$3:$A$5001,$B27),SUMIFS(BD!$Q$3:$Q$5001,BD!$A$3:$A$5001,$B27,BD!$B$3:$B$5001,$D$2)))</f>
        <v>0</v>
      </c>
      <c r="R27" s="42">
        <f>IF($B27="","",IF($B$2="Todos",SUMIFS(BD!$R$3:$R$5001,BD!$A$3:$A$5001,$B27),SUMIFS(BD!$R$3:$R$5001,BD!$A$3:$A$5001,$B27,BD!$B$3:$B$5001,$D$2)))</f>
        <v>0</v>
      </c>
      <c r="S27" s="58">
        <f>IF($B27="","",IF($B$2="Todos",SUMIFS(BD!$S$3:$S$5001,BD!$A$3:$A$5001,$B27),SUMIFS(BD!$S$3:$S$5001,BD!$A$3:$A$5001,$B27,BD!$B$3:$B$5001,$D$2)))</f>
        <v>0</v>
      </c>
      <c r="T27" s="42">
        <f>IF($B27="","",IF($B$2="Todos",SUMIFS(BD!$T$3:$T$5001,BD!$A$3:$A$5001,$B27),SUMIFS(BD!$T$3:$T$5001,BD!$A$3:$A$5001,$B27,BD!$B$3:$B$5001,$D$2)))</f>
        <v>0</v>
      </c>
      <c r="U27" s="42">
        <f>IF($B27="","",IF($B$2="Todos",SUMIFS(BD!$U$3:$U$5001,BD!$A$3:$A$5001,$B27),SUMIFS(BD!$U$3:$U$5001,BD!$A$3:$A$5001,$B27,BD!$B$3:$B$5001,$D$2)))</f>
        <v>0</v>
      </c>
      <c r="V27" s="42" t="str">
        <f>IF($B$2="Todos",IF(COUNT($C$156:$V$156)=0,"",SUM($C$156:$V$156)),IFERROR(INDEX($C$156:$V$156,MATCH($D$2,$C$140:$V$140,0)),""))</f>
        <v/>
      </c>
      <c r="W27" s="42" t="str">
        <f>IF($B$2="Todos",IF(COUNT($C$191:$V$191)=0,"",SUM($C$191:$V$191)),IFERROR(INDEX($C$191:$V$191,MATCH($D$2,$C$175:$V$175,0)),""))</f>
        <v/>
      </c>
      <c r="X27" s="59" t="str">
        <f>IF(Y27="","",IF($B$2="Todos",IF($B$4&gt;0,$B$4,IF($B$2="Todos",IF(COUNT($C$261:$V$261)=0,"",SUM($C$261:$V$261)),IFERROR(INDEX($C$261:$V$261,MATCH($D$2,$C$245:$V$245,0)),""))),IFERROR(INDEX($C$261:$V$261,MATCH($D$2,$C$245:$V$245,0)),"")))</f>
        <v/>
      </c>
      <c r="Y27" s="42" t="str">
        <f>IF($B$2="Todos",IF(COUNT($C$226:$V$226)=0,"",SUM($C$226:$V$226)),IFERROR(INDEX($C$226:$V$226,MATCH($D$2,$C$210:$V$210,0)),""))</f>
        <v/>
      </c>
      <c r="Z27" s="60" t="str">
        <f>IF(AND(ISNUMBER(Y27),ISNUMBER(X27)),IF(X27&gt;0,Y27/X27,""),"")</f>
        <v/>
      </c>
      <c r="AA27" s="42" t="str">
        <f>IF($B$2="Todos",IF(COUNT($C$296:$V$296)=0,"",SUM($C$296:$V$296)),IFERROR(INDEX($C$296:$V$296,MATCH($D$2,$C$280:$V$280,0)),""))</f>
        <v/>
      </c>
      <c r="AB27" s="42">
        <f>IF($B27="","",IF($B$2="Todos",SUMIFS(BD!$AA$3:$AA$5001,BD!$A$3:$A$5001,$B27),SUMIFS(BD!$AA$3:$AA$5001,BD!$A$3:$A$5001,$B27,BD!$B$3:$B$5001,$D$2)))</f>
        <v>0</v>
      </c>
      <c r="AC27" s="58">
        <f>IF($B27="","",IF($B$2="Todos",SUMIFS(BD!$AB$3:$AB$5001,BD!$A$3:$A$5001,$B27),SUMIFS(BD!$AB$3:$AB$5001,BD!$A$3:$A$5001,$B27,BD!$B$3:$B$5001,$D$2)))</f>
        <v>0</v>
      </c>
      <c r="AD27" s="42">
        <f>IF($B27="","",IF($B$2="Todos",SUMIFS(BD!$AC$3:$AC$5001,BD!$A$3:$A$5001,$B27),SUMIFS(BD!$AC$3:$AC$5001,BD!$A$3:$A$5001,$B27,BD!$B$3:$B$5001,$D$2)))</f>
        <v>0</v>
      </c>
      <c r="AE27" s="42">
        <f>IF($B27="","",IF($B$2="Todos",SUMIFS(BD!$AD$3:$AD$5001,BD!$A$3:$A$5001,$B27),SUMIFS(BD!$AD$3:$AD$5001,BD!$A$3:$A$5001,$B27,BD!$B$3:$B$5001,$D$2)))</f>
        <v>0</v>
      </c>
      <c r="AF27" s="42">
        <f>IF($B27="","",IF($B$2="Todos",SUMIFS(BD!$AE$3:$AE$5001,BD!$A$3:$A$5001,$B27),SUMIFS(BD!$AE$3:$AE$5001,BD!$A$3:$A$5001,$B27,BD!$B$3:$B$5001,$D$2)))</f>
        <v>0</v>
      </c>
      <c r="AG27" s="42">
        <f>IF($B27="","",IF($B$2="Todos",SUMIFS(BD!$AF$3:$AF$5001,BD!$A$3:$A$5001,$B27),SUMIFS(BD!$AF$3:$AF$5001,BD!$A$3:$A$5001,$B27,BD!$B$3:$B$5001,$D$2)))</f>
        <v>0</v>
      </c>
      <c r="AH27" s="42">
        <f>IF($B27="","",IF($B$2="Todos",SUMIFS(BD!$AG$3:$AG$5001,BD!$A$3:$A$5001,$B27),SUMIFS(BD!$AG$3:$AG$5001,BD!$A$3:$A$5001,$B27,BD!$B$3:$B$5001,$D$2)))</f>
        <v>0</v>
      </c>
      <c r="AI27" s="42">
        <f>IF($B27="","",IF($B$2="Todos",SUMIFS(BD!$AH$3:$AH$5001,BD!$A$3:$A$5001,$B27),SUMIFS(BD!$AH$3:$AH$5001,BD!$A$3:$A$5001,$B27,BD!$B$3:$B$5001,$D$2)))</f>
        <v>0</v>
      </c>
      <c r="AJ27" s="61">
        <f>$B$5</f>
        <v>0.7</v>
      </c>
      <c r="AK27" s="61">
        <f>$B$6</f>
        <v>0.9</v>
      </c>
      <c r="AP27" s="40" t="str">
        <f>IFERROR(INDEX(Config!$B$10:$B$29,MATCH(15,$AR$13:$AR$32,0))&amp;"","")</f>
        <v/>
      </c>
      <c r="AQ27" s="39" t="str">
        <f>IF(AP27="","",IF(INDEX(Config!$C$10:$C$29,MATCH(15,$AR$13:$AR$32,0))&amp;""="","TPC",INDEX(Config!$C$10:$C$29,MATCH(15,$AR$13:$AR$32,0))&amp;""))</f>
        <v/>
      </c>
      <c r="AR27" s="48">
        <f>IF(Config!$B$24&amp;""="",AR26,AR26+1)</f>
        <v>10</v>
      </c>
    </row>
    <row r="28">
      <c r="A28" s="39">
        <v>17</v>
      </c>
      <c r="B28" s="57">
        <f>IF($A28&lt;=DAY($D$7),$C$7+$A28-1,"")</f>
        <v>46312</v>
      </c>
      <c r="C28" s="42">
        <f>IF($B28="","",IF($B$2="Todos",SUMIFS(BD!$C$3:$C$5001,BD!$A$3:$A$5001,$B28),SUMIFS(BD!$C$3:$C$5001,BD!$A$3:$A$5001,$B28,BD!$B$3:$B$5001,$D$2)))</f>
        <v>0</v>
      </c>
      <c r="D28" s="42">
        <f>IF($B28="","",IF($B$2="Todos",SUMIFS(BD!$D$3:$D$5001,BD!$A$3:$A$5001,$B28),SUMIFS(BD!$D$3:$D$5001,BD!$A$3:$A$5001,$B28,BD!$B$3:$B$5001,$D$2)))</f>
        <v>0</v>
      </c>
      <c r="E28" s="58">
        <f>IF($B28="","",IF($B$2="Todos",SUMIFS(BD!$E$3:$E$5001,BD!$A$3:$A$5001,$B28),SUMIFS(BD!$E$3:$E$5001,BD!$A$3:$A$5001,$B28,BD!$B$3:$B$5001,$D$2)))</f>
        <v>0</v>
      </c>
      <c r="F28" s="42">
        <f>IF($B28="","",IF($B$2="Todos",SUMIFS(BD!$F$3:$F$5001,BD!$A$3:$A$5001,$B28),SUMIFS(BD!$F$3:$F$5001,BD!$A$3:$A$5001,$B28,BD!$B$3:$B$5001,$D$2)))</f>
        <v>0</v>
      </c>
      <c r="G28" s="42">
        <f>IF($B28="","",IF($B$2="Todos",SUMIFS(BD!$G$3:$G$5001,BD!$A$3:$A$5001,$B28),SUMIFS(BD!$G$3:$G$5001,BD!$A$3:$A$5001,$B28,BD!$B$3:$B$5001,$D$2)))</f>
        <v>0</v>
      </c>
      <c r="H28" s="42">
        <f>IF($B28="","",IF($B$2="Todos",SUMIFS(BD!$H$3:$H$5001,BD!$A$3:$A$5001,$B28),SUMIFS(BD!$H$3:$H$5001,BD!$A$3:$A$5001,$B28,BD!$B$3:$B$5001,$D$2)))</f>
        <v>0</v>
      </c>
      <c r="I28" s="42">
        <f>IF($B28="","",IF($B$2="Todos",SUMIFS(BD!$I$3:$I$5001,BD!$A$3:$A$5001,$B28),SUMIFS(BD!$I$3:$I$5001,BD!$A$3:$A$5001,$B28,BD!$B$3:$B$5001,$D$2)))</f>
        <v>0</v>
      </c>
      <c r="J28" s="42">
        <f>IF($B28="","",IF($B$2="Todos",SUMIFS(BD!$J$3:$J$5001,BD!$A$3:$A$5001,$B28),SUMIFS(BD!$J$3:$J$5001,BD!$A$3:$A$5001,$B28,BD!$B$3:$B$5001,$D$2)))</f>
        <v>0</v>
      </c>
      <c r="K28" s="42">
        <f>IF($B28="","",IF($B$2="Todos",SUMIFS(BD!$K$3:$K$5001,BD!$A$3:$A$5001,$B28),SUMIFS(BD!$K$3:$K$5001,BD!$A$3:$A$5001,$B28,BD!$B$3:$B$5001,$D$2)))</f>
        <v>0</v>
      </c>
      <c r="L28" s="42">
        <f>IF($B28="","",IF($B$2="Todos",SUMIFS(BD!$L$3:$L$5001,BD!$A$3:$A$5001,$B28),SUMIFS(BD!$L$3:$L$5001,BD!$A$3:$A$5001,$B28,BD!$B$3:$B$5001,$D$2)))</f>
        <v>0</v>
      </c>
      <c r="M28" s="42">
        <f>IF($B28="","",IF($B$2="Todos",SUMIFS(BD!$M$3:$M$5001,BD!$A$3:$A$5001,$B28),SUMIFS(BD!$M$3:$M$5001,BD!$A$3:$A$5001,$B28,BD!$B$3:$B$5001,$D$2)))</f>
        <v>0</v>
      </c>
      <c r="N28" s="42">
        <f>IF($B28="","",IF($B$2="Todos",SUMIFS(BD!$N$3:$N$5001,BD!$A$3:$A$5001,$B28),SUMIFS(BD!$N$3:$N$5001,BD!$A$3:$A$5001,$B28,BD!$B$3:$B$5001,$D$2)))</f>
        <v>0</v>
      </c>
      <c r="O28" s="42">
        <f>IF($B28="","",IF($B$2="Todos",SUMIFS(BD!$O$3:$O$5001,BD!$A$3:$A$5001,$B28),SUMIFS(BD!$O$3:$O$5001,BD!$A$3:$A$5001,$B28,BD!$B$3:$B$5001,$D$2)))</f>
        <v>0</v>
      </c>
      <c r="P28" s="42">
        <f>IF($B28="","",IF($B$2="Todos",SUMIFS(BD!$P$3:$P$5001,BD!$A$3:$A$5001,$B28),SUMIFS(BD!$P$3:$P$5001,BD!$A$3:$A$5001,$B28,BD!$B$3:$B$5001,$D$2)))</f>
        <v>0</v>
      </c>
      <c r="Q28" s="42">
        <f>IF($B28="","",IF($B$2="Todos",SUMIFS(BD!$Q$3:$Q$5001,BD!$A$3:$A$5001,$B28),SUMIFS(BD!$Q$3:$Q$5001,BD!$A$3:$A$5001,$B28,BD!$B$3:$B$5001,$D$2)))</f>
        <v>0</v>
      </c>
      <c r="R28" s="42">
        <f>IF($B28="","",IF($B$2="Todos",SUMIFS(BD!$R$3:$R$5001,BD!$A$3:$A$5001,$B28),SUMIFS(BD!$R$3:$R$5001,BD!$A$3:$A$5001,$B28,BD!$B$3:$B$5001,$D$2)))</f>
        <v>0</v>
      </c>
      <c r="S28" s="58">
        <f>IF($B28="","",IF($B$2="Todos",SUMIFS(BD!$S$3:$S$5001,BD!$A$3:$A$5001,$B28),SUMIFS(BD!$S$3:$S$5001,BD!$A$3:$A$5001,$B28,BD!$B$3:$B$5001,$D$2)))</f>
        <v>0</v>
      </c>
      <c r="T28" s="42">
        <f>IF($B28="","",IF($B$2="Todos",SUMIFS(BD!$T$3:$T$5001,BD!$A$3:$A$5001,$B28),SUMIFS(BD!$T$3:$T$5001,BD!$A$3:$A$5001,$B28,BD!$B$3:$B$5001,$D$2)))</f>
        <v>0</v>
      </c>
      <c r="U28" s="42">
        <f>IF($B28="","",IF($B$2="Todos",SUMIFS(BD!$U$3:$U$5001,BD!$A$3:$A$5001,$B28),SUMIFS(BD!$U$3:$U$5001,BD!$A$3:$A$5001,$B28,BD!$B$3:$B$5001,$D$2)))</f>
        <v>0</v>
      </c>
      <c r="V28" s="42" t="str">
        <f>IF($B$2="Todos",IF(COUNT($C$157:$V$157)=0,"",SUM($C$157:$V$157)),IFERROR(INDEX($C$157:$V$157,MATCH($D$2,$C$140:$V$140,0)),""))</f>
        <v/>
      </c>
      <c r="W28" s="42" t="str">
        <f>IF($B$2="Todos",IF(COUNT($C$192:$V$192)=0,"",SUM($C$192:$V$192)),IFERROR(INDEX($C$192:$V$192,MATCH($D$2,$C$175:$V$175,0)),""))</f>
        <v/>
      </c>
      <c r="X28" s="59" t="str">
        <f>IF(Y28="","",IF($B$2="Todos",IF($B$4&gt;0,$B$4,IF($B$2="Todos",IF(COUNT($C$262:$V$262)=0,"",SUM($C$262:$V$262)),IFERROR(INDEX($C$262:$V$262,MATCH($D$2,$C$245:$V$245,0)),""))),IFERROR(INDEX($C$262:$V$262,MATCH($D$2,$C$245:$V$245,0)),"")))</f>
        <v/>
      </c>
      <c r="Y28" s="42" t="str">
        <f>IF($B$2="Todos",IF(COUNT($C$227:$V$227)=0,"",SUM($C$227:$V$227)),IFERROR(INDEX($C$227:$V$227,MATCH($D$2,$C$210:$V$210,0)),""))</f>
        <v/>
      </c>
      <c r="Z28" s="60" t="str">
        <f>IF(AND(ISNUMBER(Y28),ISNUMBER(X28)),IF(X28&gt;0,Y28/X28,""),"")</f>
        <v/>
      </c>
      <c r="AA28" s="42" t="str">
        <f>IF($B$2="Todos",IF(COUNT($C$297:$V$297)=0,"",SUM($C$297:$V$297)),IFERROR(INDEX($C$297:$V$297,MATCH($D$2,$C$280:$V$280,0)),""))</f>
        <v/>
      </c>
      <c r="AB28" s="42">
        <f>IF($B28="","",IF($B$2="Todos",SUMIFS(BD!$AA$3:$AA$5001,BD!$A$3:$A$5001,$B28),SUMIFS(BD!$AA$3:$AA$5001,BD!$A$3:$A$5001,$B28,BD!$B$3:$B$5001,$D$2)))</f>
        <v>0</v>
      </c>
      <c r="AC28" s="58">
        <f>IF($B28="","",IF($B$2="Todos",SUMIFS(BD!$AB$3:$AB$5001,BD!$A$3:$A$5001,$B28),SUMIFS(BD!$AB$3:$AB$5001,BD!$A$3:$A$5001,$B28,BD!$B$3:$B$5001,$D$2)))</f>
        <v>0</v>
      </c>
      <c r="AD28" s="42">
        <f>IF($B28="","",IF($B$2="Todos",SUMIFS(BD!$AC$3:$AC$5001,BD!$A$3:$A$5001,$B28),SUMIFS(BD!$AC$3:$AC$5001,BD!$A$3:$A$5001,$B28,BD!$B$3:$B$5001,$D$2)))</f>
        <v>0</v>
      </c>
      <c r="AE28" s="42">
        <f>IF($B28="","",IF($B$2="Todos",SUMIFS(BD!$AD$3:$AD$5001,BD!$A$3:$A$5001,$B28),SUMIFS(BD!$AD$3:$AD$5001,BD!$A$3:$A$5001,$B28,BD!$B$3:$B$5001,$D$2)))</f>
        <v>0</v>
      </c>
      <c r="AF28" s="42">
        <f>IF($B28="","",IF($B$2="Todos",SUMIFS(BD!$AE$3:$AE$5001,BD!$A$3:$A$5001,$B28),SUMIFS(BD!$AE$3:$AE$5001,BD!$A$3:$A$5001,$B28,BD!$B$3:$B$5001,$D$2)))</f>
        <v>0</v>
      </c>
      <c r="AG28" s="42">
        <f>IF($B28="","",IF($B$2="Todos",SUMIFS(BD!$AF$3:$AF$5001,BD!$A$3:$A$5001,$B28),SUMIFS(BD!$AF$3:$AF$5001,BD!$A$3:$A$5001,$B28,BD!$B$3:$B$5001,$D$2)))</f>
        <v>0</v>
      </c>
      <c r="AH28" s="42">
        <f>IF($B28="","",IF($B$2="Todos",SUMIFS(BD!$AG$3:$AG$5001,BD!$A$3:$A$5001,$B28),SUMIFS(BD!$AG$3:$AG$5001,BD!$A$3:$A$5001,$B28,BD!$B$3:$B$5001,$D$2)))</f>
        <v>0</v>
      </c>
      <c r="AI28" s="42">
        <f>IF($B28="","",IF($B$2="Todos",SUMIFS(BD!$AH$3:$AH$5001,BD!$A$3:$A$5001,$B28),SUMIFS(BD!$AH$3:$AH$5001,BD!$A$3:$A$5001,$B28,BD!$B$3:$B$5001,$D$2)))</f>
        <v>0</v>
      </c>
      <c r="AJ28" s="61">
        <f>$B$5</f>
        <v>0.7</v>
      </c>
      <c r="AK28" s="61">
        <f>$B$6</f>
        <v>0.9</v>
      </c>
      <c r="AP28" s="40" t="str">
        <f>IFERROR(INDEX(Config!$B$10:$B$29,MATCH(16,$AR$13:$AR$32,0))&amp;"","")</f>
        <v/>
      </c>
      <c r="AQ28" s="39" t="str">
        <f>IF(AP28="","",IF(INDEX(Config!$C$10:$C$29,MATCH(16,$AR$13:$AR$32,0))&amp;""="","TPC",INDEX(Config!$C$10:$C$29,MATCH(16,$AR$13:$AR$32,0))&amp;""))</f>
        <v/>
      </c>
      <c r="AR28" s="48">
        <f>IF(Config!$B$25&amp;""="",AR27,AR27+1)</f>
        <v>10</v>
      </c>
    </row>
    <row r="29">
      <c r="A29" s="39">
        <v>18</v>
      </c>
      <c r="B29" s="57">
        <f>IF($A29&lt;=DAY($D$7),$C$7+$A29-1,"")</f>
        <v>46313</v>
      </c>
      <c r="C29" s="42">
        <f>IF($B29="","",IF($B$2="Todos",SUMIFS(BD!$C$3:$C$5001,BD!$A$3:$A$5001,$B29),SUMIFS(BD!$C$3:$C$5001,BD!$A$3:$A$5001,$B29,BD!$B$3:$B$5001,$D$2)))</f>
        <v>0</v>
      </c>
      <c r="D29" s="42">
        <f>IF($B29="","",IF($B$2="Todos",SUMIFS(BD!$D$3:$D$5001,BD!$A$3:$A$5001,$B29),SUMIFS(BD!$D$3:$D$5001,BD!$A$3:$A$5001,$B29,BD!$B$3:$B$5001,$D$2)))</f>
        <v>0</v>
      </c>
      <c r="E29" s="58">
        <f>IF($B29="","",IF($B$2="Todos",SUMIFS(BD!$E$3:$E$5001,BD!$A$3:$A$5001,$B29),SUMIFS(BD!$E$3:$E$5001,BD!$A$3:$A$5001,$B29,BD!$B$3:$B$5001,$D$2)))</f>
        <v>0</v>
      </c>
      <c r="F29" s="42">
        <f>IF($B29="","",IF($B$2="Todos",SUMIFS(BD!$F$3:$F$5001,BD!$A$3:$A$5001,$B29),SUMIFS(BD!$F$3:$F$5001,BD!$A$3:$A$5001,$B29,BD!$B$3:$B$5001,$D$2)))</f>
        <v>0</v>
      </c>
      <c r="G29" s="42">
        <f>IF($B29="","",IF($B$2="Todos",SUMIFS(BD!$G$3:$G$5001,BD!$A$3:$A$5001,$B29),SUMIFS(BD!$G$3:$G$5001,BD!$A$3:$A$5001,$B29,BD!$B$3:$B$5001,$D$2)))</f>
        <v>0</v>
      </c>
      <c r="H29" s="42">
        <f>IF($B29="","",IF($B$2="Todos",SUMIFS(BD!$H$3:$H$5001,BD!$A$3:$A$5001,$B29),SUMIFS(BD!$H$3:$H$5001,BD!$A$3:$A$5001,$B29,BD!$B$3:$B$5001,$D$2)))</f>
        <v>0</v>
      </c>
      <c r="I29" s="42">
        <f>IF($B29="","",IF($B$2="Todos",SUMIFS(BD!$I$3:$I$5001,BD!$A$3:$A$5001,$B29),SUMIFS(BD!$I$3:$I$5001,BD!$A$3:$A$5001,$B29,BD!$B$3:$B$5001,$D$2)))</f>
        <v>0</v>
      </c>
      <c r="J29" s="42">
        <f>IF($B29="","",IF($B$2="Todos",SUMIFS(BD!$J$3:$J$5001,BD!$A$3:$A$5001,$B29),SUMIFS(BD!$J$3:$J$5001,BD!$A$3:$A$5001,$B29,BD!$B$3:$B$5001,$D$2)))</f>
        <v>0</v>
      </c>
      <c r="K29" s="42">
        <f>IF($B29="","",IF($B$2="Todos",SUMIFS(BD!$K$3:$K$5001,BD!$A$3:$A$5001,$B29),SUMIFS(BD!$K$3:$K$5001,BD!$A$3:$A$5001,$B29,BD!$B$3:$B$5001,$D$2)))</f>
        <v>0</v>
      </c>
      <c r="L29" s="42">
        <f>IF($B29="","",IF($B$2="Todos",SUMIFS(BD!$L$3:$L$5001,BD!$A$3:$A$5001,$B29),SUMIFS(BD!$L$3:$L$5001,BD!$A$3:$A$5001,$B29,BD!$B$3:$B$5001,$D$2)))</f>
        <v>0</v>
      </c>
      <c r="M29" s="42">
        <f>IF($B29="","",IF($B$2="Todos",SUMIFS(BD!$M$3:$M$5001,BD!$A$3:$A$5001,$B29),SUMIFS(BD!$M$3:$M$5001,BD!$A$3:$A$5001,$B29,BD!$B$3:$B$5001,$D$2)))</f>
        <v>0</v>
      </c>
      <c r="N29" s="42">
        <f>IF($B29="","",IF($B$2="Todos",SUMIFS(BD!$N$3:$N$5001,BD!$A$3:$A$5001,$B29),SUMIFS(BD!$N$3:$N$5001,BD!$A$3:$A$5001,$B29,BD!$B$3:$B$5001,$D$2)))</f>
        <v>0</v>
      </c>
      <c r="O29" s="42">
        <f>IF($B29="","",IF($B$2="Todos",SUMIFS(BD!$O$3:$O$5001,BD!$A$3:$A$5001,$B29),SUMIFS(BD!$O$3:$O$5001,BD!$A$3:$A$5001,$B29,BD!$B$3:$B$5001,$D$2)))</f>
        <v>0</v>
      </c>
      <c r="P29" s="42">
        <f>IF($B29="","",IF($B$2="Todos",SUMIFS(BD!$P$3:$P$5001,BD!$A$3:$A$5001,$B29),SUMIFS(BD!$P$3:$P$5001,BD!$A$3:$A$5001,$B29,BD!$B$3:$B$5001,$D$2)))</f>
        <v>0</v>
      </c>
      <c r="Q29" s="42">
        <f>IF($B29="","",IF($B$2="Todos",SUMIFS(BD!$Q$3:$Q$5001,BD!$A$3:$A$5001,$B29),SUMIFS(BD!$Q$3:$Q$5001,BD!$A$3:$A$5001,$B29,BD!$B$3:$B$5001,$D$2)))</f>
        <v>0</v>
      </c>
      <c r="R29" s="42">
        <f>IF($B29="","",IF($B$2="Todos",SUMIFS(BD!$R$3:$R$5001,BD!$A$3:$A$5001,$B29),SUMIFS(BD!$R$3:$R$5001,BD!$A$3:$A$5001,$B29,BD!$B$3:$B$5001,$D$2)))</f>
        <v>0</v>
      </c>
      <c r="S29" s="58">
        <f>IF($B29="","",IF($B$2="Todos",SUMIFS(BD!$S$3:$S$5001,BD!$A$3:$A$5001,$B29),SUMIFS(BD!$S$3:$S$5001,BD!$A$3:$A$5001,$B29,BD!$B$3:$B$5001,$D$2)))</f>
        <v>0</v>
      </c>
      <c r="T29" s="42">
        <f>IF($B29="","",IF($B$2="Todos",SUMIFS(BD!$T$3:$T$5001,BD!$A$3:$A$5001,$B29),SUMIFS(BD!$T$3:$T$5001,BD!$A$3:$A$5001,$B29,BD!$B$3:$B$5001,$D$2)))</f>
        <v>0</v>
      </c>
      <c r="U29" s="42">
        <f>IF($B29="","",IF($B$2="Todos",SUMIFS(BD!$U$3:$U$5001,BD!$A$3:$A$5001,$B29),SUMIFS(BD!$U$3:$U$5001,BD!$A$3:$A$5001,$B29,BD!$B$3:$B$5001,$D$2)))</f>
        <v>0</v>
      </c>
      <c r="V29" s="42" t="str">
        <f>IF($B$2="Todos",IF(COUNT($C$158:$V$158)=0,"",SUM($C$158:$V$158)),IFERROR(INDEX($C$158:$V$158,MATCH($D$2,$C$140:$V$140,0)),""))</f>
        <v/>
      </c>
      <c r="W29" s="42" t="str">
        <f>IF($B$2="Todos",IF(COUNT($C$193:$V$193)=0,"",SUM($C$193:$V$193)),IFERROR(INDEX($C$193:$V$193,MATCH($D$2,$C$175:$V$175,0)),""))</f>
        <v/>
      </c>
      <c r="X29" s="59" t="str">
        <f>IF(Y29="","",IF($B$2="Todos",IF($B$4&gt;0,$B$4,IF($B$2="Todos",IF(COUNT($C$263:$V$263)=0,"",SUM($C$263:$V$263)),IFERROR(INDEX($C$263:$V$263,MATCH($D$2,$C$245:$V$245,0)),""))),IFERROR(INDEX($C$263:$V$263,MATCH($D$2,$C$245:$V$245,0)),"")))</f>
        <v/>
      </c>
      <c r="Y29" s="42" t="str">
        <f>IF($B$2="Todos",IF(COUNT($C$228:$V$228)=0,"",SUM($C$228:$V$228)),IFERROR(INDEX($C$228:$V$228,MATCH($D$2,$C$210:$V$210,0)),""))</f>
        <v/>
      </c>
      <c r="Z29" s="60" t="str">
        <f>IF(AND(ISNUMBER(Y29),ISNUMBER(X29)),IF(X29&gt;0,Y29/X29,""),"")</f>
        <v/>
      </c>
      <c r="AA29" s="42" t="str">
        <f>IF($B$2="Todos",IF(COUNT($C$298:$V$298)=0,"",SUM($C$298:$V$298)),IFERROR(INDEX($C$298:$V$298,MATCH($D$2,$C$280:$V$280,0)),""))</f>
        <v/>
      </c>
      <c r="AB29" s="42">
        <f>IF($B29="","",IF($B$2="Todos",SUMIFS(BD!$AA$3:$AA$5001,BD!$A$3:$A$5001,$B29),SUMIFS(BD!$AA$3:$AA$5001,BD!$A$3:$A$5001,$B29,BD!$B$3:$B$5001,$D$2)))</f>
        <v>0</v>
      </c>
      <c r="AC29" s="58">
        <f>IF($B29="","",IF($B$2="Todos",SUMIFS(BD!$AB$3:$AB$5001,BD!$A$3:$A$5001,$B29),SUMIFS(BD!$AB$3:$AB$5001,BD!$A$3:$A$5001,$B29,BD!$B$3:$B$5001,$D$2)))</f>
        <v>0</v>
      </c>
      <c r="AD29" s="42">
        <f>IF($B29="","",IF($B$2="Todos",SUMIFS(BD!$AC$3:$AC$5001,BD!$A$3:$A$5001,$B29),SUMIFS(BD!$AC$3:$AC$5001,BD!$A$3:$A$5001,$B29,BD!$B$3:$B$5001,$D$2)))</f>
        <v>0</v>
      </c>
      <c r="AE29" s="42">
        <f>IF($B29="","",IF($B$2="Todos",SUMIFS(BD!$AD$3:$AD$5001,BD!$A$3:$A$5001,$B29),SUMIFS(BD!$AD$3:$AD$5001,BD!$A$3:$A$5001,$B29,BD!$B$3:$B$5001,$D$2)))</f>
        <v>0</v>
      </c>
      <c r="AF29" s="42">
        <f>IF($B29="","",IF($B$2="Todos",SUMIFS(BD!$AE$3:$AE$5001,BD!$A$3:$A$5001,$B29),SUMIFS(BD!$AE$3:$AE$5001,BD!$A$3:$A$5001,$B29,BD!$B$3:$B$5001,$D$2)))</f>
        <v>0</v>
      </c>
      <c r="AG29" s="42">
        <f>IF($B29="","",IF($B$2="Todos",SUMIFS(BD!$AF$3:$AF$5001,BD!$A$3:$A$5001,$B29),SUMIFS(BD!$AF$3:$AF$5001,BD!$A$3:$A$5001,$B29,BD!$B$3:$B$5001,$D$2)))</f>
        <v>0</v>
      </c>
      <c r="AH29" s="42">
        <f>IF($B29="","",IF($B$2="Todos",SUMIFS(BD!$AG$3:$AG$5001,BD!$A$3:$A$5001,$B29),SUMIFS(BD!$AG$3:$AG$5001,BD!$A$3:$A$5001,$B29,BD!$B$3:$B$5001,$D$2)))</f>
        <v>0</v>
      </c>
      <c r="AI29" s="42">
        <f>IF($B29="","",IF($B$2="Todos",SUMIFS(BD!$AH$3:$AH$5001,BD!$A$3:$A$5001,$B29),SUMIFS(BD!$AH$3:$AH$5001,BD!$A$3:$A$5001,$B29,BD!$B$3:$B$5001,$D$2)))</f>
        <v>0</v>
      </c>
      <c r="AJ29" s="61">
        <f>$B$5</f>
        <v>0.7</v>
      </c>
      <c r="AK29" s="61">
        <f>$B$6</f>
        <v>0.9</v>
      </c>
      <c r="AP29" s="40" t="str">
        <f>IFERROR(INDEX(Config!$B$10:$B$29,MATCH(17,$AR$13:$AR$32,0))&amp;"","")</f>
        <v/>
      </c>
      <c r="AQ29" s="39" t="str">
        <f>IF(AP29="","",IF(INDEX(Config!$C$10:$C$29,MATCH(17,$AR$13:$AR$32,0))&amp;""="","TPC",INDEX(Config!$C$10:$C$29,MATCH(17,$AR$13:$AR$32,0))&amp;""))</f>
        <v/>
      </c>
      <c r="AR29" s="48">
        <f>IF(Config!$B$26&amp;""="",AR28,AR28+1)</f>
        <v>10</v>
      </c>
    </row>
    <row r="30">
      <c r="A30" s="39">
        <v>19</v>
      </c>
      <c r="B30" s="57">
        <f>IF($A30&lt;=DAY($D$7),$C$7+$A30-1,"")</f>
        <v>46314</v>
      </c>
      <c r="C30" s="42">
        <f>IF($B30="","",IF($B$2="Todos",SUMIFS(BD!$C$3:$C$5001,BD!$A$3:$A$5001,$B30),SUMIFS(BD!$C$3:$C$5001,BD!$A$3:$A$5001,$B30,BD!$B$3:$B$5001,$D$2)))</f>
        <v>0</v>
      </c>
      <c r="D30" s="42">
        <f>IF($B30="","",IF($B$2="Todos",SUMIFS(BD!$D$3:$D$5001,BD!$A$3:$A$5001,$B30),SUMIFS(BD!$D$3:$D$5001,BD!$A$3:$A$5001,$B30,BD!$B$3:$B$5001,$D$2)))</f>
        <v>0</v>
      </c>
      <c r="E30" s="58">
        <f>IF($B30="","",IF($B$2="Todos",SUMIFS(BD!$E$3:$E$5001,BD!$A$3:$A$5001,$B30),SUMIFS(BD!$E$3:$E$5001,BD!$A$3:$A$5001,$B30,BD!$B$3:$B$5001,$D$2)))</f>
        <v>0</v>
      </c>
      <c r="F30" s="42">
        <f>IF($B30="","",IF($B$2="Todos",SUMIFS(BD!$F$3:$F$5001,BD!$A$3:$A$5001,$B30),SUMIFS(BD!$F$3:$F$5001,BD!$A$3:$A$5001,$B30,BD!$B$3:$B$5001,$D$2)))</f>
        <v>0</v>
      </c>
      <c r="G30" s="42">
        <f>IF($B30="","",IF($B$2="Todos",SUMIFS(BD!$G$3:$G$5001,BD!$A$3:$A$5001,$B30),SUMIFS(BD!$G$3:$G$5001,BD!$A$3:$A$5001,$B30,BD!$B$3:$B$5001,$D$2)))</f>
        <v>0</v>
      </c>
      <c r="H30" s="42">
        <f>IF($B30="","",IF($B$2="Todos",SUMIFS(BD!$H$3:$H$5001,BD!$A$3:$A$5001,$B30),SUMIFS(BD!$H$3:$H$5001,BD!$A$3:$A$5001,$B30,BD!$B$3:$B$5001,$D$2)))</f>
        <v>0</v>
      </c>
      <c r="I30" s="42">
        <f>IF($B30="","",IF($B$2="Todos",SUMIFS(BD!$I$3:$I$5001,BD!$A$3:$A$5001,$B30),SUMIFS(BD!$I$3:$I$5001,BD!$A$3:$A$5001,$B30,BD!$B$3:$B$5001,$D$2)))</f>
        <v>0</v>
      </c>
      <c r="J30" s="42">
        <f>IF($B30="","",IF($B$2="Todos",SUMIFS(BD!$J$3:$J$5001,BD!$A$3:$A$5001,$B30),SUMIFS(BD!$J$3:$J$5001,BD!$A$3:$A$5001,$B30,BD!$B$3:$B$5001,$D$2)))</f>
        <v>0</v>
      </c>
      <c r="K30" s="42">
        <f>IF($B30="","",IF($B$2="Todos",SUMIFS(BD!$K$3:$K$5001,BD!$A$3:$A$5001,$B30),SUMIFS(BD!$K$3:$K$5001,BD!$A$3:$A$5001,$B30,BD!$B$3:$B$5001,$D$2)))</f>
        <v>0</v>
      </c>
      <c r="L30" s="42">
        <f>IF($B30="","",IF($B$2="Todos",SUMIFS(BD!$L$3:$L$5001,BD!$A$3:$A$5001,$B30),SUMIFS(BD!$L$3:$L$5001,BD!$A$3:$A$5001,$B30,BD!$B$3:$B$5001,$D$2)))</f>
        <v>0</v>
      </c>
      <c r="M30" s="42">
        <f>IF($B30="","",IF($B$2="Todos",SUMIFS(BD!$M$3:$M$5001,BD!$A$3:$A$5001,$B30),SUMIFS(BD!$M$3:$M$5001,BD!$A$3:$A$5001,$B30,BD!$B$3:$B$5001,$D$2)))</f>
        <v>0</v>
      </c>
      <c r="N30" s="42">
        <f>IF($B30="","",IF($B$2="Todos",SUMIFS(BD!$N$3:$N$5001,BD!$A$3:$A$5001,$B30),SUMIFS(BD!$N$3:$N$5001,BD!$A$3:$A$5001,$B30,BD!$B$3:$B$5001,$D$2)))</f>
        <v>0</v>
      </c>
      <c r="O30" s="42">
        <f>IF($B30="","",IF($B$2="Todos",SUMIFS(BD!$O$3:$O$5001,BD!$A$3:$A$5001,$B30),SUMIFS(BD!$O$3:$O$5001,BD!$A$3:$A$5001,$B30,BD!$B$3:$B$5001,$D$2)))</f>
        <v>0</v>
      </c>
      <c r="P30" s="42">
        <f>IF($B30="","",IF($B$2="Todos",SUMIFS(BD!$P$3:$P$5001,BD!$A$3:$A$5001,$B30),SUMIFS(BD!$P$3:$P$5001,BD!$A$3:$A$5001,$B30,BD!$B$3:$B$5001,$D$2)))</f>
        <v>0</v>
      </c>
      <c r="Q30" s="42">
        <f>IF($B30="","",IF($B$2="Todos",SUMIFS(BD!$Q$3:$Q$5001,BD!$A$3:$A$5001,$B30),SUMIFS(BD!$Q$3:$Q$5001,BD!$A$3:$A$5001,$B30,BD!$B$3:$B$5001,$D$2)))</f>
        <v>0</v>
      </c>
      <c r="R30" s="42">
        <f>IF($B30="","",IF($B$2="Todos",SUMIFS(BD!$R$3:$R$5001,BD!$A$3:$A$5001,$B30),SUMIFS(BD!$R$3:$R$5001,BD!$A$3:$A$5001,$B30,BD!$B$3:$B$5001,$D$2)))</f>
        <v>0</v>
      </c>
      <c r="S30" s="58">
        <f>IF($B30="","",IF($B$2="Todos",SUMIFS(BD!$S$3:$S$5001,BD!$A$3:$A$5001,$B30),SUMIFS(BD!$S$3:$S$5001,BD!$A$3:$A$5001,$B30,BD!$B$3:$B$5001,$D$2)))</f>
        <v>0</v>
      </c>
      <c r="T30" s="42">
        <f>IF($B30="","",IF($B$2="Todos",SUMIFS(BD!$T$3:$T$5001,BD!$A$3:$A$5001,$B30),SUMIFS(BD!$T$3:$T$5001,BD!$A$3:$A$5001,$B30,BD!$B$3:$B$5001,$D$2)))</f>
        <v>0</v>
      </c>
      <c r="U30" s="42">
        <f>IF($B30="","",IF($B$2="Todos",SUMIFS(BD!$U$3:$U$5001,BD!$A$3:$A$5001,$B30),SUMIFS(BD!$U$3:$U$5001,BD!$A$3:$A$5001,$B30,BD!$B$3:$B$5001,$D$2)))</f>
        <v>0</v>
      </c>
      <c r="V30" s="42" t="str">
        <f>IF($B$2="Todos",IF(COUNT($C$159:$V$159)=0,"",SUM($C$159:$V$159)),IFERROR(INDEX($C$159:$V$159,MATCH($D$2,$C$140:$V$140,0)),""))</f>
        <v/>
      </c>
      <c r="W30" s="42" t="str">
        <f>IF($B$2="Todos",IF(COUNT($C$194:$V$194)=0,"",SUM($C$194:$V$194)),IFERROR(INDEX($C$194:$V$194,MATCH($D$2,$C$175:$V$175,0)),""))</f>
        <v/>
      </c>
      <c r="X30" s="59" t="str">
        <f>IF(Y30="","",IF($B$2="Todos",IF($B$4&gt;0,$B$4,IF($B$2="Todos",IF(COUNT($C$264:$V$264)=0,"",SUM($C$264:$V$264)),IFERROR(INDEX($C$264:$V$264,MATCH($D$2,$C$245:$V$245,0)),""))),IFERROR(INDEX($C$264:$V$264,MATCH($D$2,$C$245:$V$245,0)),"")))</f>
        <v/>
      </c>
      <c r="Y30" s="42" t="str">
        <f>IF($B$2="Todos",IF(COUNT($C$229:$V$229)=0,"",SUM($C$229:$V$229)),IFERROR(INDEX($C$229:$V$229,MATCH($D$2,$C$210:$V$210,0)),""))</f>
        <v/>
      </c>
      <c r="Z30" s="60" t="str">
        <f>IF(AND(ISNUMBER(Y30),ISNUMBER(X30)),IF(X30&gt;0,Y30/X30,""),"")</f>
        <v/>
      </c>
      <c r="AA30" s="42" t="str">
        <f>IF($B$2="Todos",IF(COUNT($C$299:$V$299)=0,"",SUM($C$299:$V$299)),IFERROR(INDEX($C$299:$V$299,MATCH($D$2,$C$280:$V$280,0)),""))</f>
        <v/>
      </c>
      <c r="AB30" s="42">
        <f>IF($B30="","",IF($B$2="Todos",SUMIFS(BD!$AA$3:$AA$5001,BD!$A$3:$A$5001,$B30),SUMIFS(BD!$AA$3:$AA$5001,BD!$A$3:$A$5001,$B30,BD!$B$3:$B$5001,$D$2)))</f>
        <v>0</v>
      </c>
      <c r="AC30" s="58">
        <f>IF($B30="","",IF($B$2="Todos",SUMIFS(BD!$AB$3:$AB$5001,BD!$A$3:$A$5001,$B30),SUMIFS(BD!$AB$3:$AB$5001,BD!$A$3:$A$5001,$B30,BD!$B$3:$B$5001,$D$2)))</f>
        <v>0</v>
      </c>
      <c r="AD30" s="42">
        <f>IF($B30="","",IF($B$2="Todos",SUMIFS(BD!$AC$3:$AC$5001,BD!$A$3:$A$5001,$B30),SUMIFS(BD!$AC$3:$AC$5001,BD!$A$3:$A$5001,$B30,BD!$B$3:$B$5001,$D$2)))</f>
        <v>0</v>
      </c>
      <c r="AE30" s="42">
        <f>IF($B30="","",IF($B$2="Todos",SUMIFS(BD!$AD$3:$AD$5001,BD!$A$3:$A$5001,$B30),SUMIFS(BD!$AD$3:$AD$5001,BD!$A$3:$A$5001,$B30,BD!$B$3:$B$5001,$D$2)))</f>
        <v>0</v>
      </c>
      <c r="AF30" s="42">
        <f>IF($B30="","",IF($B$2="Todos",SUMIFS(BD!$AE$3:$AE$5001,BD!$A$3:$A$5001,$B30),SUMIFS(BD!$AE$3:$AE$5001,BD!$A$3:$A$5001,$B30,BD!$B$3:$B$5001,$D$2)))</f>
        <v>0</v>
      </c>
      <c r="AG30" s="42">
        <f>IF($B30="","",IF($B$2="Todos",SUMIFS(BD!$AF$3:$AF$5001,BD!$A$3:$A$5001,$B30),SUMIFS(BD!$AF$3:$AF$5001,BD!$A$3:$A$5001,$B30,BD!$B$3:$B$5001,$D$2)))</f>
        <v>0</v>
      </c>
      <c r="AH30" s="42">
        <f>IF($B30="","",IF($B$2="Todos",SUMIFS(BD!$AG$3:$AG$5001,BD!$A$3:$A$5001,$B30),SUMIFS(BD!$AG$3:$AG$5001,BD!$A$3:$A$5001,$B30,BD!$B$3:$B$5001,$D$2)))</f>
        <v>0</v>
      </c>
      <c r="AI30" s="42">
        <f>IF($B30="","",IF($B$2="Todos",SUMIFS(BD!$AH$3:$AH$5001,BD!$A$3:$A$5001,$B30),SUMIFS(BD!$AH$3:$AH$5001,BD!$A$3:$A$5001,$B30,BD!$B$3:$B$5001,$D$2)))</f>
        <v>0</v>
      </c>
      <c r="AJ30" s="61">
        <f>$B$5</f>
        <v>0.7</v>
      </c>
      <c r="AK30" s="61">
        <f>$B$6</f>
        <v>0.9</v>
      </c>
      <c r="AP30" s="40" t="str">
        <f>IFERROR(INDEX(Config!$B$10:$B$29,MATCH(18,$AR$13:$AR$32,0))&amp;"","")</f>
        <v/>
      </c>
      <c r="AQ30" s="39" t="str">
        <f>IF(AP30="","",IF(INDEX(Config!$C$10:$C$29,MATCH(18,$AR$13:$AR$32,0))&amp;""="","TPC",INDEX(Config!$C$10:$C$29,MATCH(18,$AR$13:$AR$32,0))&amp;""))</f>
        <v/>
      </c>
      <c r="AR30" s="48">
        <f>IF(Config!$B$27&amp;""="",AR29,AR29+1)</f>
        <v>10</v>
      </c>
    </row>
    <row r="31">
      <c r="A31" s="39">
        <v>20</v>
      </c>
      <c r="B31" s="57">
        <f>IF($A31&lt;=DAY($D$7),$C$7+$A31-1,"")</f>
        <v>46315</v>
      </c>
      <c r="C31" s="42">
        <f>IF($B31="","",IF($B$2="Todos",SUMIFS(BD!$C$3:$C$5001,BD!$A$3:$A$5001,$B31),SUMIFS(BD!$C$3:$C$5001,BD!$A$3:$A$5001,$B31,BD!$B$3:$B$5001,$D$2)))</f>
        <v>0</v>
      </c>
      <c r="D31" s="42">
        <f>IF($B31="","",IF($B$2="Todos",SUMIFS(BD!$D$3:$D$5001,BD!$A$3:$A$5001,$B31),SUMIFS(BD!$D$3:$D$5001,BD!$A$3:$A$5001,$B31,BD!$B$3:$B$5001,$D$2)))</f>
        <v>0</v>
      </c>
      <c r="E31" s="58">
        <f>IF($B31="","",IF($B$2="Todos",SUMIFS(BD!$E$3:$E$5001,BD!$A$3:$A$5001,$B31),SUMIFS(BD!$E$3:$E$5001,BD!$A$3:$A$5001,$B31,BD!$B$3:$B$5001,$D$2)))</f>
        <v>0</v>
      </c>
      <c r="F31" s="42">
        <f>IF($B31="","",IF($B$2="Todos",SUMIFS(BD!$F$3:$F$5001,BD!$A$3:$A$5001,$B31),SUMIFS(BD!$F$3:$F$5001,BD!$A$3:$A$5001,$B31,BD!$B$3:$B$5001,$D$2)))</f>
        <v>0</v>
      </c>
      <c r="G31" s="42">
        <f>IF($B31="","",IF($B$2="Todos",SUMIFS(BD!$G$3:$G$5001,BD!$A$3:$A$5001,$B31),SUMIFS(BD!$G$3:$G$5001,BD!$A$3:$A$5001,$B31,BD!$B$3:$B$5001,$D$2)))</f>
        <v>0</v>
      </c>
      <c r="H31" s="42">
        <f>IF($B31="","",IF($B$2="Todos",SUMIFS(BD!$H$3:$H$5001,BD!$A$3:$A$5001,$B31),SUMIFS(BD!$H$3:$H$5001,BD!$A$3:$A$5001,$B31,BD!$B$3:$B$5001,$D$2)))</f>
        <v>0</v>
      </c>
      <c r="I31" s="42">
        <f>IF($B31="","",IF($B$2="Todos",SUMIFS(BD!$I$3:$I$5001,BD!$A$3:$A$5001,$B31),SUMIFS(BD!$I$3:$I$5001,BD!$A$3:$A$5001,$B31,BD!$B$3:$B$5001,$D$2)))</f>
        <v>0</v>
      </c>
      <c r="J31" s="42">
        <f>IF($B31="","",IF($B$2="Todos",SUMIFS(BD!$J$3:$J$5001,BD!$A$3:$A$5001,$B31),SUMIFS(BD!$J$3:$J$5001,BD!$A$3:$A$5001,$B31,BD!$B$3:$B$5001,$D$2)))</f>
        <v>0</v>
      </c>
      <c r="K31" s="42">
        <f>IF($B31="","",IF($B$2="Todos",SUMIFS(BD!$K$3:$K$5001,BD!$A$3:$A$5001,$B31),SUMIFS(BD!$K$3:$K$5001,BD!$A$3:$A$5001,$B31,BD!$B$3:$B$5001,$D$2)))</f>
        <v>0</v>
      </c>
      <c r="L31" s="42">
        <f>IF($B31="","",IF($B$2="Todos",SUMIFS(BD!$L$3:$L$5001,BD!$A$3:$A$5001,$B31),SUMIFS(BD!$L$3:$L$5001,BD!$A$3:$A$5001,$B31,BD!$B$3:$B$5001,$D$2)))</f>
        <v>0</v>
      </c>
      <c r="M31" s="42">
        <f>IF($B31="","",IF($B$2="Todos",SUMIFS(BD!$M$3:$M$5001,BD!$A$3:$A$5001,$B31),SUMIFS(BD!$M$3:$M$5001,BD!$A$3:$A$5001,$B31,BD!$B$3:$B$5001,$D$2)))</f>
        <v>0</v>
      </c>
      <c r="N31" s="42">
        <f>IF($B31="","",IF($B$2="Todos",SUMIFS(BD!$N$3:$N$5001,BD!$A$3:$A$5001,$B31),SUMIFS(BD!$N$3:$N$5001,BD!$A$3:$A$5001,$B31,BD!$B$3:$B$5001,$D$2)))</f>
        <v>0</v>
      </c>
      <c r="O31" s="42">
        <f>IF($B31="","",IF($B$2="Todos",SUMIFS(BD!$O$3:$O$5001,BD!$A$3:$A$5001,$B31),SUMIFS(BD!$O$3:$O$5001,BD!$A$3:$A$5001,$B31,BD!$B$3:$B$5001,$D$2)))</f>
        <v>0</v>
      </c>
      <c r="P31" s="42">
        <f>IF($B31="","",IF($B$2="Todos",SUMIFS(BD!$P$3:$P$5001,BD!$A$3:$A$5001,$B31),SUMIFS(BD!$P$3:$P$5001,BD!$A$3:$A$5001,$B31,BD!$B$3:$B$5001,$D$2)))</f>
        <v>0</v>
      </c>
      <c r="Q31" s="42">
        <f>IF($B31="","",IF($B$2="Todos",SUMIFS(BD!$Q$3:$Q$5001,BD!$A$3:$A$5001,$B31),SUMIFS(BD!$Q$3:$Q$5001,BD!$A$3:$A$5001,$B31,BD!$B$3:$B$5001,$D$2)))</f>
        <v>0</v>
      </c>
      <c r="R31" s="42">
        <f>IF($B31="","",IF($B$2="Todos",SUMIFS(BD!$R$3:$R$5001,BD!$A$3:$A$5001,$B31),SUMIFS(BD!$R$3:$R$5001,BD!$A$3:$A$5001,$B31,BD!$B$3:$B$5001,$D$2)))</f>
        <v>0</v>
      </c>
      <c r="S31" s="58">
        <f>IF($B31="","",IF($B$2="Todos",SUMIFS(BD!$S$3:$S$5001,BD!$A$3:$A$5001,$B31),SUMIFS(BD!$S$3:$S$5001,BD!$A$3:$A$5001,$B31,BD!$B$3:$B$5001,$D$2)))</f>
        <v>0</v>
      </c>
      <c r="T31" s="42">
        <f>IF($B31="","",IF($B$2="Todos",SUMIFS(BD!$T$3:$T$5001,BD!$A$3:$A$5001,$B31),SUMIFS(BD!$T$3:$T$5001,BD!$A$3:$A$5001,$B31,BD!$B$3:$B$5001,$D$2)))</f>
        <v>0</v>
      </c>
      <c r="U31" s="42">
        <f>IF($B31="","",IF($B$2="Todos",SUMIFS(BD!$U$3:$U$5001,BD!$A$3:$A$5001,$B31),SUMIFS(BD!$U$3:$U$5001,BD!$A$3:$A$5001,$B31,BD!$B$3:$B$5001,$D$2)))</f>
        <v>0</v>
      </c>
      <c r="V31" s="42" t="str">
        <f>IF($B$2="Todos",IF(COUNT($C$160:$V$160)=0,"",SUM($C$160:$V$160)),IFERROR(INDEX($C$160:$V$160,MATCH($D$2,$C$140:$V$140,0)),""))</f>
        <v/>
      </c>
      <c r="W31" s="42" t="str">
        <f>IF($B$2="Todos",IF(COUNT($C$195:$V$195)=0,"",SUM($C$195:$V$195)),IFERROR(INDEX($C$195:$V$195,MATCH($D$2,$C$175:$V$175,0)),""))</f>
        <v/>
      </c>
      <c r="X31" s="59" t="str">
        <f>IF(Y31="","",IF($B$2="Todos",IF($B$4&gt;0,$B$4,IF($B$2="Todos",IF(COUNT($C$265:$V$265)=0,"",SUM($C$265:$V$265)),IFERROR(INDEX($C$265:$V$265,MATCH($D$2,$C$245:$V$245,0)),""))),IFERROR(INDEX($C$265:$V$265,MATCH($D$2,$C$245:$V$245,0)),"")))</f>
        <v/>
      </c>
      <c r="Y31" s="42" t="str">
        <f>IF($B$2="Todos",IF(COUNT($C$230:$V$230)=0,"",SUM($C$230:$V$230)),IFERROR(INDEX($C$230:$V$230,MATCH($D$2,$C$210:$V$210,0)),""))</f>
        <v/>
      </c>
      <c r="Z31" s="60" t="str">
        <f>IF(AND(ISNUMBER(Y31),ISNUMBER(X31)),IF(X31&gt;0,Y31/X31,""),"")</f>
        <v/>
      </c>
      <c r="AA31" s="42" t="str">
        <f>IF($B$2="Todos",IF(COUNT($C$300:$V$300)=0,"",SUM($C$300:$V$300)),IFERROR(INDEX($C$300:$V$300,MATCH($D$2,$C$280:$V$280,0)),""))</f>
        <v/>
      </c>
      <c r="AB31" s="42">
        <f>IF($B31="","",IF($B$2="Todos",SUMIFS(BD!$AA$3:$AA$5001,BD!$A$3:$A$5001,$B31),SUMIFS(BD!$AA$3:$AA$5001,BD!$A$3:$A$5001,$B31,BD!$B$3:$B$5001,$D$2)))</f>
        <v>0</v>
      </c>
      <c r="AC31" s="58">
        <f>IF($B31="","",IF($B$2="Todos",SUMIFS(BD!$AB$3:$AB$5001,BD!$A$3:$A$5001,$B31),SUMIFS(BD!$AB$3:$AB$5001,BD!$A$3:$A$5001,$B31,BD!$B$3:$B$5001,$D$2)))</f>
        <v>0</v>
      </c>
      <c r="AD31" s="42">
        <f>IF($B31="","",IF($B$2="Todos",SUMIFS(BD!$AC$3:$AC$5001,BD!$A$3:$A$5001,$B31),SUMIFS(BD!$AC$3:$AC$5001,BD!$A$3:$A$5001,$B31,BD!$B$3:$B$5001,$D$2)))</f>
        <v>0</v>
      </c>
      <c r="AE31" s="42">
        <f>IF($B31="","",IF($B$2="Todos",SUMIFS(BD!$AD$3:$AD$5001,BD!$A$3:$A$5001,$B31),SUMIFS(BD!$AD$3:$AD$5001,BD!$A$3:$A$5001,$B31,BD!$B$3:$B$5001,$D$2)))</f>
        <v>0</v>
      </c>
      <c r="AF31" s="42">
        <f>IF($B31="","",IF($B$2="Todos",SUMIFS(BD!$AE$3:$AE$5001,BD!$A$3:$A$5001,$B31),SUMIFS(BD!$AE$3:$AE$5001,BD!$A$3:$A$5001,$B31,BD!$B$3:$B$5001,$D$2)))</f>
        <v>0</v>
      </c>
      <c r="AG31" s="42">
        <f>IF($B31="","",IF($B$2="Todos",SUMIFS(BD!$AF$3:$AF$5001,BD!$A$3:$A$5001,$B31),SUMIFS(BD!$AF$3:$AF$5001,BD!$A$3:$A$5001,$B31,BD!$B$3:$B$5001,$D$2)))</f>
        <v>0</v>
      </c>
      <c r="AH31" s="42">
        <f>IF($B31="","",IF($B$2="Todos",SUMIFS(BD!$AG$3:$AG$5001,BD!$A$3:$A$5001,$B31),SUMIFS(BD!$AG$3:$AG$5001,BD!$A$3:$A$5001,$B31,BD!$B$3:$B$5001,$D$2)))</f>
        <v>0</v>
      </c>
      <c r="AI31" s="42">
        <f>IF($B31="","",IF($B$2="Todos",SUMIFS(BD!$AH$3:$AH$5001,BD!$A$3:$A$5001,$B31),SUMIFS(BD!$AH$3:$AH$5001,BD!$A$3:$A$5001,$B31,BD!$B$3:$B$5001,$D$2)))</f>
        <v>0</v>
      </c>
      <c r="AJ31" s="61">
        <f>$B$5</f>
        <v>0.7</v>
      </c>
      <c r="AK31" s="61">
        <f>$B$6</f>
        <v>0.9</v>
      </c>
      <c r="AP31" s="40" t="str">
        <f>IFERROR(INDEX(Config!$B$10:$B$29,MATCH(19,$AR$13:$AR$32,0))&amp;"","")</f>
        <v/>
      </c>
      <c r="AQ31" s="39" t="str">
        <f>IF(AP31="","",IF(INDEX(Config!$C$10:$C$29,MATCH(19,$AR$13:$AR$32,0))&amp;""="","TPC",INDEX(Config!$C$10:$C$29,MATCH(19,$AR$13:$AR$32,0))&amp;""))</f>
        <v/>
      </c>
      <c r="AR31" s="48">
        <f>IF(Config!$B$28&amp;""="",AR30,AR30+1)</f>
        <v>10</v>
      </c>
    </row>
    <row r="32">
      <c r="A32" s="39">
        <v>21</v>
      </c>
      <c r="B32" s="57">
        <f>IF($A32&lt;=DAY($D$7),$C$7+$A32-1,"")</f>
        <v>46316</v>
      </c>
      <c r="C32" s="42">
        <f>IF($B32="","",IF($B$2="Todos",SUMIFS(BD!$C$3:$C$5001,BD!$A$3:$A$5001,$B32),SUMIFS(BD!$C$3:$C$5001,BD!$A$3:$A$5001,$B32,BD!$B$3:$B$5001,$D$2)))</f>
        <v>0</v>
      </c>
      <c r="D32" s="42">
        <f>IF($B32="","",IF($B$2="Todos",SUMIFS(BD!$D$3:$D$5001,BD!$A$3:$A$5001,$B32),SUMIFS(BD!$D$3:$D$5001,BD!$A$3:$A$5001,$B32,BD!$B$3:$B$5001,$D$2)))</f>
        <v>0</v>
      </c>
      <c r="E32" s="58">
        <f>IF($B32="","",IF($B$2="Todos",SUMIFS(BD!$E$3:$E$5001,BD!$A$3:$A$5001,$B32),SUMIFS(BD!$E$3:$E$5001,BD!$A$3:$A$5001,$B32,BD!$B$3:$B$5001,$D$2)))</f>
        <v>0</v>
      </c>
      <c r="F32" s="42">
        <f>IF($B32="","",IF($B$2="Todos",SUMIFS(BD!$F$3:$F$5001,BD!$A$3:$A$5001,$B32),SUMIFS(BD!$F$3:$F$5001,BD!$A$3:$A$5001,$B32,BD!$B$3:$B$5001,$D$2)))</f>
        <v>0</v>
      </c>
      <c r="G32" s="42">
        <f>IF($B32="","",IF($B$2="Todos",SUMIFS(BD!$G$3:$G$5001,BD!$A$3:$A$5001,$B32),SUMIFS(BD!$G$3:$G$5001,BD!$A$3:$A$5001,$B32,BD!$B$3:$B$5001,$D$2)))</f>
        <v>0</v>
      </c>
      <c r="H32" s="42">
        <f>IF($B32="","",IF($B$2="Todos",SUMIFS(BD!$H$3:$H$5001,BD!$A$3:$A$5001,$B32),SUMIFS(BD!$H$3:$H$5001,BD!$A$3:$A$5001,$B32,BD!$B$3:$B$5001,$D$2)))</f>
        <v>0</v>
      </c>
      <c r="I32" s="42">
        <f>IF($B32="","",IF($B$2="Todos",SUMIFS(BD!$I$3:$I$5001,BD!$A$3:$A$5001,$B32),SUMIFS(BD!$I$3:$I$5001,BD!$A$3:$A$5001,$B32,BD!$B$3:$B$5001,$D$2)))</f>
        <v>0</v>
      </c>
      <c r="J32" s="42">
        <f>IF($B32="","",IF($B$2="Todos",SUMIFS(BD!$J$3:$J$5001,BD!$A$3:$A$5001,$B32),SUMIFS(BD!$J$3:$J$5001,BD!$A$3:$A$5001,$B32,BD!$B$3:$B$5001,$D$2)))</f>
        <v>0</v>
      </c>
      <c r="K32" s="42">
        <f>IF($B32="","",IF($B$2="Todos",SUMIFS(BD!$K$3:$K$5001,BD!$A$3:$A$5001,$B32),SUMIFS(BD!$K$3:$K$5001,BD!$A$3:$A$5001,$B32,BD!$B$3:$B$5001,$D$2)))</f>
        <v>0</v>
      </c>
      <c r="L32" s="42">
        <f>IF($B32="","",IF($B$2="Todos",SUMIFS(BD!$L$3:$L$5001,BD!$A$3:$A$5001,$B32),SUMIFS(BD!$L$3:$L$5001,BD!$A$3:$A$5001,$B32,BD!$B$3:$B$5001,$D$2)))</f>
        <v>0</v>
      </c>
      <c r="M32" s="42">
        <f>IF($B32="","",IF($B$2="Todos",SUMIFS(BD!$M$3:$M$5001,BD!$A$3:$A$5001,$B32),SUMIFS(BD!$M$3:$M$5001,BD!$A$3:$A$5001,$B32,BD!$B$3:$B$5001,$D$2)))</f>
        <v>0</v>
      </c>
      <c r="N32" s="42">
        <f>IF($B32="","",IF($B$2="Todos",SUMIFS(BD!$N$3:$N$5001,BD!$A$3:$A$5001,$B32),SUMIFS(BD!$N$3:$N$5001,BD!$A$3:$A$5001,$B32,BD!$B$3:$B$5001,$D$2)))</f>
        <v>0</v>
      </c>
      <c r="O32" s="42">
        <f>IF($B32="","",IF($B$2="Todos",SUMIFS(BD!$O$3:$O$5001,BD!$A$3:$A$5001,$B32),SUMIFS(BD!$O$3:$O$5001,BD!$A$3:$A$5001,$B32,BD!$B$3:$B$5001,$D$2)))</f>
        <v>0</v>
      </c>
      <c r="P32" s="42">
        <f>IF($B32="","",IF($B$2="Todos",SUMIFS(BD!$P$3:$P$5001,BD!$A$3:$A$5001,$B32),SUMIFS(BD!$P$3:$P$5001,BD!$A$3:$A$5001,$B32,BD!$B$3:$B$5001,$D$2)))</f>
        <v>0</v>
      </c>
      <c r="Q32" s="42">
        <f>IF($B32="","",IF($B$2="Todos",SUMIFS(BD!$Q$3:$Q$5001,BD!$A$3:$A$5001,$B32),SUMIFS(BD!$Q$3:$Q$5001,BD!$A$3:$A$5001,$B32,BD!$B$3:$B$5001,$D$2)))</f>
        <v>0</v>
      </c>
      <c r="R32" s="42">
        <f>IF($B32="","",IF($B$2="Todos",SUMIFS(BD!$R$3:$R$5001,BD!$A$3:$A$5001,$B32),SUMIFS(BD!$R$3:$R$5001,BD!$A$3:$A$5001,$B32,BD!$B$3:$B$5001,$D$2)))</f>
        <v>0</v>
      </c>
      <c r="S32" s="58">
        <f>IF($B32="","",IF($B$2="Todos",SUMIFS(BD!$S$3:$S$5001,BD!$A$3:$A$5001,$B32),SUMIFS(BD!$S$3:$S$5001,BD!$A$3:$A$5001,$B32,BD!$B$3:$B$5001,$D$2)))</f>
        <v>0</v>
      </c>
      <c r="T32" s="42">
        <f>IF($B32="","",IF($B$2="Todos",SUMIFS(BD!$T$3:$T$5001,BD!$A$3:$A$5001,$B32),SUMIFS(BD!$T$3:$T$5001,BD!$A$3:$A$5001,$B32,BD!$B$3:$B$5001,$D$2)))</f>
        <v>0</v>
      </c>
      <c r="U32" s="42">
        <f>IF($B32="","",IF($B$2="Todos",SUMIFS(BD!$U$3:$U$5001,BD!$A$3:$A$5001,$B32),SUMIFS(BD!$U$3:$U$5001,BD!$A$3:$A$5001,$B32,BD!$B$3:$B$5001,$D$2)))</f>
        <v>0</v>
      </c>
      <c r="V32" s="42" t="str">
        <f>IF($B$2="Todos",IF(COUNT($C$161:$V$161)=0,"",SUM($C$161:$V$161)),IFERROR(INDEX($C$161:$V$161,MATCH($D$2,$C$140:$V$140,0)),""))</f>
        <v/>
      </c>
      <c r="W32" s="42" t="str">
        <f>IF($B$2="Todos",IF(COUNT($C$196:$V$196)=0,"",SUM($C$196:$V$196)),IFERROR(INDEX($C$196:$V$196,MATCH($D$2,$C$175:$V$175,0)),""))</f>
        <v/>
      </c>
      <c r="X32" s="59" t="str">
        <f>IF(Y32="","",IF($B$2="Todos",IF($B$4&gt;0,$B$4,IF($B$2="Todos",IF(COUNT($C$266:$V$266)=0,"",SUM($C$266:$V$266)),IFERROR(INDEX($C$266:$V$266,MATCH($D$2,$C$245:$V$245,0)),""))),IFERROR(INDEX($C$266:$V$266,MATCH($D$2,$C$245:$V$245,0)),"")))</f>
        <v/>
      </c>
      <c r="Y32" s="42" t="str">
        <f>IF($B$2="Todos",IF(COUNT($C$231:$V$231)=0,"",SUM($C$231:$V$231)),IFERROR(INDEX($C$231:$V$231,MATCH($D$2,$C$210:$V$210,0)),""))</f>
        <v/>
      </c>
      <c r="Z32" s="60" t="str">
        <f>IF(AND(ISNUMBER(Y32),ISNUMBER(X32)),IF(X32&gt;0,Y32/X32,""),"")</f>
        <v/>
      </c>
      <c r="AA32" s="42" t="str">
        <f>IF($B$2="Todos",IF(COUNT($C$301:$V$301)=0,"",SUM($C$301:$V$301)),IFERROR(INDEX($C$301:$V$301,MATCH($D$2,$C$280:$V$280,0)),""))</f>
        <v/>
      </c>
      <c r="AB32" s="42">
        <f>IF($B32="","",IF($B$2="Todos",SUMIFS(BD!$AA$3:$AA$5001,BD!$A$3:$A$5001,$B32),SUMIFS(BD!$AA$3:$AA$5001,BD!$A$3:$A$5001,$B32,BD!$B$3:$B$5001,$D$2)))</f>
        <v>0</v>
      </c>
      <c r="AC32" s="58">
        <f>IF($B32="","",IF($B$2="Todos",SUMIFS(BD!$AB$3:$AB$5001,BD!$A$3:$A$5001,$B32),SUMIFS(BD!$AB$3:$AB$5001,BD!$A$3:$A$5001,$B32,BD!$B$3:$B$5001,$D$2)))</f>
        <v>0</v>
      </c>
      <c r="AD32" s="42">
        <f>IF($B32="","",IF($B$2="Todos",SUMIFS(BD!$AC$3:$AC$5001,BD!$A$3:$A$5001,$B32),SUMIFS(BD!$AC$3:$AC$5001,BD!$A$3:$A$5001,$B32,BD!$B$3:$B$5001,$D$2)))</f>
        <v>0</v>
      </c>
      <c r="AE32" s="42">
        <f>IF($B32="","",IF($B$2="Todos",SUMIFS(BD!$AD$3:$AD$5001,BD!$A$3:$A$5001,$B32),SUMIFS(BD!$AD$3:$AD$5001,BD!$A$3:$A$5001,$B32,BD!$B$3:$B$5001,$D$2)))</f>
        <v>0</v>
      </c>
      <c r="AF32" s="42">
        <f>IF($B32="","",IF($B$2="Todos",SUMIFS(BD!$AE$3:$AE$5001,BD!$A$3:$A$5001,$B32),SUMIFS(BD!$AE$3:$AE$5001,BD!$A$3:$A$5001,$B32,BD!$B$3:$B$5001,$D$2)))</f>
        <v>0</v>
      </c>
      <c r="AG32" s="42">
        <f>IF($B32="","",IF($B$2="Todos",SUMIFS(BD!$AF$3:$AF$5001,BD!$A$3:$A$5001,$B32),SUMIFS(BD!$AF$3:$AF$5001,BD!$A$3:$A$5001,$B32,BD!$B$3:$B$5001,$D$2)))</f>
        <v>0</v>
      </c>
      <c r="AH32" s="42">
        <f>IF($B32="","",IF($B$2="Todos",SUMIFS(BD!$AG$3:$AG$5001,BD!$A$3:$A$5001,$B32),SUMIFS(BD!$AG$3:$AG$5001,BD!$A$3:$A$5001,$B32,BD!$B$3:$B$5001,$D$2)))</f>
        <v>0</v>
      </c>
      <c r="AI32" s="42">
        <f>IF($B32="","",IF($B$2="Todos",SUMIFS(BD!$AH$3:$AH$5001,BD!$A$3:$A$5001,$B32),SUMIFS(BD!$AH$3:$AH$5001,BD!$A$3:$A$5001,$B32,BD!$B$3:$B$5001,$D$2)))</f>
        <v>0</v>
      </c>
      <c r="AJ32" s="61">
        <f>$B$5</f>
        <v>0.7</v>
      </c>
      <c r="AK32" s="61">
        <f>$B$6</f>
        <v>0.9</v>
      </c>
      <c r="AP32" s="40" t="str">
        <f>IFERROR(INDEX(Config!$B$10:$B$29,MATCH(20,$AR$13:$AR$32,0))&amp;"","")</f>
        <v/>
      </c>
      <c r="AQ32" s="39" t="str">
        <f>IF(AP32="","",IF(INDEX(Config!$C$10:$C$29,MATCH(20,$AR$13:$AR$32,0))&amp;""="","TPC",INDEX(Config!$C$10:$C$29,MATCH(20,$AR$13:$AR$32,0))&amp;""))</f>
        <v/>
      </c>
      <c r="AR32" s="48">
        <f>IF(Config!$B$29&amp;""="",AR31,AR31+1)</f>
        <v>10</v>
      </c>
    </row>
    <row r="33">
      <c r="A33" s="39">
        <v>22</v>
      </c>
      <c r="B33" s="57">
        <f>IF($A33&lt;=DAY($D$7),$C$7+$A33-1,"")</f>
        <v>46317</v>
      </c>
      <c r="C33" s="42">
        <f>IF($B33="","",IF($B$2="Todos",SUMIFS(BD!$C$3:$C$5001,BD!$A$3:$A$5001,$B33),SUMIFS(BD!$C$3:$C$5001,BD!$A$3:$A$5001,$B33,BD!$B$3:$B$5001,$D$2)))</f>
        <v>0</v>
      </c>
      <c r="D33" s="42">
        <f>IF($B33="","",IF($B$2="Todos",SUMIFS(BD!$D$3:$D$5001,BD!$A$3:$A$5001,$B33),SUMIFS(BD!$D$3:$D$5001,BD!$A$3:$A$5001,$B33,BD!$B$3:$B$5001,$D$2)))</f>
        <v>0</v>
      </c>
      <c r="E33" s="58">
        <f>IF($B33="","",IF($B$2="Todos",SUMIFS(BD!$E$3:$E$5001,BD!$A$3:$A$5001,$B33),SUMIFS(BD!$E$3:$E$5001,BD!$A$3:$A$5001,$B33,BD!$B$3:$B$5001,$D$2)))</f>
        <v>0</v>
      </c>
      <c r="F33" s="42">
        <f>IF($B33="","",IF($B$2="Todos",SUMIFS(BD!$F$3:$F$5001,BD!$A$3:$A$5001,$B33),SUMIFS(BD!$F$3:$F$5001,BD!$A$3:$A$5001,$B33,BD!$B$3:$B$5001,$D$2)))</f>
        <v>0</v>
      </c>
      <c r="G33" s="42">
        <f>IF($B33="","",IF($B$2="Todos",SUMIFS(BD!$G$3:$G$5001,BD!$A$3:$A$5001,$B33),SUMIFS(BD!$G$3:$G$5001,BD!$A$3:$A$5001,$B33,BD!$B$3:$B$5001,$D$2)))</f>
        <v>0</v>
      </c>
      <c r="H33" s="42">
        <f>IF($B33="","",IF($B$2="Todos",SUMIFS(BD!$H$3:$H$5001,BD!$A$3:$A$5001,$B33),SUMIFS(BD!$H$3:$H$5001,BD!$A$3:$A$5001,$B33,BD!$B$3:$B$5001,$D$2)))</f>
        <v>0</v>
      </c>
      <c r="I33" s="42">
        <f>IF($B33="","",IF($B$2="Todos",SUMIFS(BD!$I$3:$I$5001,BD!$A$3:$A$5001,$B33),SUMIFS(BD!$I$3:$I$5001,BD!$A$3:$A$5001,$B33,BD!$B$3:$B$5001,$D$2)))</f>
        <v>0</v>
      </c>
      <c r="J33" s="42">
        <f>IF($B33="","",IF($B$2="Todos",SUMIFS(BD!$J$3:$J$5001,BD!$A$3:$A$5001,$B33),SUMIFS(BD!$J$3:$J$5001,BD!$A$3:$A$5001,$B33,BD!$B$3:$B$5001,$D$2)))</f>
        <v>0</v>
      </c>
      <c r="K33" s="42">
        <f>IF($B33="","",IF($B$2="Todos",SUMIFS(BD!$K$3:$K$5001,BD!$A$3:$A$5001,$B33),SUMIFS(BD!$K$3:$K$5001,BD!$A$3:$A$5001,$B33,BD!$B$3:$B$5001,$D$2)))</f>
        <v>0</v>
      </c>
      <c r="L33" s="42">
        <f>IF($B33="","",IF($B$2="Todos",SUMIFS(BD!$L$3:$L$5001,BD!$A$3:$A$5001,$B33),SUMIFS(BD!$L$3:$L$5001,BD!$A$3:$A$5001,$B33,BD!$B$3:$B$5001,$D$2)))</f>
        <v>0</v>
      </c>
      <c r="M33" s="42">
        <f>IF($B33="","",IF($B$2="Todos",SUMIFS(BD!$M$3:$M$5001,BD!$A$3:$A$5001,$B33),SUMIFS(BD!$M$3:$M$5001,BD!$A$3:$A$5001,$B33,BD!$B$3:$B$5001,$D$2)))</f>
        <v>0</v>
      </c>
      <c r="N33" s="42">
        <f>IF($B33="","",IF($B$2="Todos",SUMIFS(BD!$N$3:$N$5001,BD!$A$3:$A$5001,$B33),SUMIFS(BD!$N$3:$N$5001,BD!$A$3:$A$5001,$B33,BD!$B$3:$B$5001,$D$2)))</f>
        <v>0</v>
      </c>
      <c r="O33" s="42">
        <f>IF($B33="","",IF($B$2="Todos",SUMIFS(BD!$O$3:$O$5001,BD!$A$3:$A$5001,$B33),SUMIFS(BD!$O$3:$O$5001,BD!$A$3:$A$5001,$B33,BD!$B$3:$B$5001,$D$2)))</f>
        <v>0</v>
      </c>
      <c r="P33" s="42">
        <f>IF($B33="","",IF($B$2="Todos",SUMIFS(BD!$P$3:$P$5001,BD!$A$3:$A$5001,$B33),SUMIFS(BD!$P$3:$P$5001,BD!$A$3:$A$5001,$B33,BD!$B$3:$B$5001,$D$2)))</f>
        <v>0</v>
      </c>
      <c r="Q33" s="42">
        <f>IF($B33="","",IF($B$2="Todos",SUMIFS(BD!$Q$3:$Q$5001,BD!$A$3:$A$5001,$B33),SUMIFS(BD!$Q$3:$Q$5001,BD!$A$3:$A$5001,$B33,BD!$B$3:$B$5001,$D$2)))</f>
        <v>0</v>
      </c>
      <c r="R33" s="42">
        <f>IF($B33="","",IF($B$2="Todos",SUMIFS(BD!$R$3:$R$5001,BD!$A$3:$A$5001,$B33),SUMIFS(BD!$R$3:$R$5001,BD!$A$3:$A$5001,$B33,BD!$B$3:$B$5001,$D$2)))</f>
        <v>0</v>
      </c>
      <c r="S33" s="58">
        <f>IF($B33="","",IF($B$2="Todos",SUMIFS(BD!$S$3:$S$5001,BD!$A$3:$A$5001,$B33),SUMIFS(BD!$S$3:$S$5001,BD!$A$3:$A$5001,$B33,BD!$B$3:$B$5001,$D$2)))</f>
        <v>0</v>
      </c>
      <c r="T33" s="42">
        <f>IF($B33="","",IF($B$2="Todos",SUMIFS(BD!$T$3:$T$5001,BD!$A$3:$A$5001,$B33),SUMIFS(BD!$T$3:$T$5001,BD!$A$3:$A$5001,$B33,BD!$B$3:$B$5001,$D$2)))</f>
        <v>0</v>
      </c>
      <c r="U33" s="42">
        <f>IF($B33="","",IF($B$2="Todos",SUMIFS(BD!$U$3:$U$5001,BD!$A$3:$A$5001,$B33),SUMIFS(BD!$U$3:$U$5001,BD!$A$3:$A$5001,$B33,BD!$B$3:$B$5001,$D$2)))</f>
        <v>0</v>
      </c>
      <c r="V33" s="42" t="str">
        <f>IF($B$2="Todos",IF(COUNT($C$162:$V$162)=0,"",SUM($C$162:$V$162)),IFERROR(INDEX($C$162:$V$162,MATCH($D$2,$C$140:$V$140,0)),""))</f>
        <v/>
      </c>
      <c r="W33" s="42" t="str">
        <f>IF($B$2="Todos",IF(COUNT($C$197:$V$197)=0,"",SUM($C$197:$V$197)),IFERROR(INDEX($C$197:$V$197,MATCH($D$2,$C$175:$V$175,0)),""))</f>
        <v/>
      </c>
      <c r="X33" s="59" t="str">
        <f>IF(Y33="","",IF($B$2="Todos",IF($B$4&gt;0,$B$4,IF($B$2="Todos",IF(COUNT($C$267:$V$267)=0,"",SUM($C$267:$V$267)),IFERROR(INDEX($C$267:$V$267,MATCH($D$2,$C$245:$V$245,0)),""))),IFERROR(INDEX($C$267:$V$267,MATCH($D$2,$C$245:$V$245,0)),"")))</f>
        <v/>
      </c>
      <c r="Y33" s="42" t="str">
        <f>IF($B$2="Todos",IF(COUNT($C$232:$V$232)=0,"",SUM($C$232:$V$232)),IFERROR(INDEX($C$232:$V$232,MATCH($D$2,$C$210:$V$210,0)),""))</f>
        <v/>
      </c>
      <c r="Z33" s="60" t="str">
        <f>IF(AND(ISNUMBER(Y33),ISNUMBER(X33)),IF(X33&gt;0,Y33/X33,""),"")</f>
        <v/>
      </c>
      <c r="AA33" s="42" t="str">
        <f>IF($B$2="Todos",IF(COUNT($C$302:$V$302)=0,"",SUM($C$302:$V$302)),IFERROR(INDEX($C$302:$V$302,MATCH($D$2,$C$280:$V$280,0)),""))</f>
        <v/>
      </c>
      <c r="AB33" s="42">
        <f>IF($B33="","",IF($B$2="Todos",SUMIFS(BD!$AA$3:$AA$5001,BD!$A$3:$A$5001,$B33),SUMIFS(BD!$AA$3:$AA$5001,BD!$A$3:$A$5001,$B33,BD!$B$3:$B$5001,$D$2)))</f>
        <v>0</v>
      </c>
      <c r="AC33" s="58">
        <f>IF($B33="","",IF($B$2="Todos",SUMIFS(BD!$AB$3:$AB$5001,BD!$A$3:$A$5001,$B33),SUMIFS(BD!$AB$3:$AB$5001,BD!$A$3:$A$5001,$B33,BD!$B$3:$B$5001,$D$2)))</f>
        <v>0</v>
      </c>
      <c r="AD33" s="42">
        <f>IF($B33="","",IF($B$2="Todos",SUMIFS(BD!$AC$3:$AC$5001,BD!$A$3:$A$5001,$B33),SUMIFS(BD!$AC$3:$AC$5001,BD!$A$3:$A$5001,$B33,BD!$B$3:$B$5001,$D$2)))</f>
        <v>0</v>
      </c>
      <c r="AE33" s="42">
        <f>IF($B33="","",IF($B$2="Todos",SUMIFS(BD!$AD$3:$AD$5001,BD!$A$3:$A$5001,$B33),SUMIFS(BD!$AD$3:$AD$5001,BD!$A$3:$A$5001,$B33,BD!$B$3:$B$5001,$D$2)))</f>
        <v>0</v>
      </c>
      <c r="AF33" s="42">
        <f>IF($B33="","",IF($B$2="Todos",SUMIFS(BD!$AE$3:$AE$5001,BD!$A$3:$A$5001,$B33),SUMIFS(BD!$AE$3:$AE$5001,BD!$A$3:$A$5001,$B33,BD!$B$3:$B$5001,$D$2)))</f>
        <v>0</v>
      </c>
      <c r="AG33" s="42">
        <f>IF($B33="","",IF($B$2="Todos",SUMIFS(BD!$AF$3:$AF$5001,BD!$A$3:$A$5001,$B33),SUMIFS(BD!$AF$3:$AF$5001,BD!$A$3:$A$5001,$B33,BD!$B$3:$B$5001,$D$2)))</f>
        <v>0</v>
      </c>
      <c r="AH33" s="42">
        <f>IF($B33="","",IF($B$2="Todos",SUMIFS(BD!$AG$3:$AG$5001,BD!$A$3:$A$5001,$B33),SUMIFS(BD!$AG$3:$AG$5001,BD!$A$3:$A$5001,$B33,BD!$B$3:$B$5001,$D$2)))</f>
        <v>0</v>
      </c>
      <c r="AI33" s="42">
        <f>IF($B33="","",IF($B$2="Todos",SUMIFS(BD!$AH$3:$AH$5001,BD!$A$3:$A$5001,$B33),SUMIFS(BD!$AH$3:$AH$5001,BD!$A$3:$A$5001,$B33,BD!$B$3:$B$5001,$D$2)))</f>
        <v>0</v>
      </c>
      <c r="AJ33" s="61">
        <f>$B$5</f>
        <v>0.7</v>
      </c>
      <c r="AK33" s="61">
        <f>$B$6</f>
        <v>0.9</v>
      </c>
    </row>
    <row r="34">
      <c r="A34" s="39">
        <v>23</v>
      </c>
      <c r="B34" s="57">
        <f>IF($A34&lt;=DAY($D$7),$C$7+$A34-1,"")</f>
        <v>46318</v>
      </c>
      <c r="C34" s="42">
        <f>IF($B34="","",IF($B$2="Todos",SUMIFS(BD!$C$3:$C$5001,BD!$A$3:$A$5001,$B34),SUMIFS(BD!$C$3:$C$5001,BD!$A$3:$A$5001,$B34,BD!$B$3:$B$5001,$D$2)))</f>
        <v>0</v>
      </c>
      <c r="D34" s="42">
        <f>IF($B34="","",IF($B$2="Todos",SUMIFS(BD!$D$3:$D$5001,BD!$A$3:$A$5001,$B34),SUMIFS(BD!$D$3:$D$5001,BD!$A$3:$A$5001,$B34,BD!$B$3:$B$5001,$D$2)))</f>
        <v>0</v>
      </c>
      <c r="E34" s="58">
        <f>IF($B34="","",IF($B$2="Todos",SUMIFS(BD!$E$3:$E$5001,BD!$A$3:$A$5001,$B34),SUMIFS(BD!$E$3:$E$5001,BD!$A$3:$A$5001,$B34,BD!$B$3:$B$5001,$D$2)))</f>
        <v>0</v>
      </c>
      <c r="F34" s="42">
        <f>IF($B34="","",IF($B$2="Todos",SUMIFS(BD!$F$3:$F$5001,BD!$A$3:$A$5001,$B34),SUMIFS(BD!$F$3:$F$5001,BD!$A$3:$A$5001,$B34,BD!$B$3:$B$5001,$D$2)))</f>
        <v>0</v>
      </c>
      <c r="G34" s="42">
        <f>IF($B34="","",IF($B$2="Todos",SUMIFS(BD!$G$3:$G$5001,BD!$A$3:$A$5001,$B34),SUMIFS(BD!$G$3:$G$5001,BD!$A$3:$A$5001,$B34,BD!$B$3:$B$5001,$D$2)))</f>
        <v>0</v>
      </c>
      <c r="H34" s="42">
        <f>IF($B34="","",IF($B$2="Todos",SUMIFS(BD!$H$3:$H$5001,BD!$A$3:$A$5001,$B34),SUMIFS(BD!$H$3:$H$5001,BD!$A$3:$A$5001,$B34,BD!$B$3:$B$5001,$D$2)))</f>
        <v>0</v>
      </c>
      <c r="I34" s="42">
        <f>IF($B34="","",IF($B$2="Todos",SUMIFS(BD!$I$3:$I$5001,BD!$A$3:$A$5001,$B34),SUMIFS(BD!$I$3:$I$5001,BD!$A$3:$A$5001,$B34,BD!$B$3:$B$5001,$D$2)))</f>
        <v>0</v>
      </c>
      <c r="J34" s="42">
        <f>IF($B34="","",IF($B$2="Todos",SUMIFS(BD!$J$3:$J$5001,BD!$A$3:$A$5001,$B34),SUMIFS(BD!$J$3:$J$5001,BD!$A$3:$A$5001,$B34,BD!$B$3:$B$5001,$D$2)))</f>
        <v>0</v>
      </c>
      <c r="K34" s="42">
        <f>IF($B34="","",IF($B$2="Todos",SUMIFS(BD!$K$3:$K$5001,BD!$A$3:$A$5001,$B34),SUMIFS(BD!$K$3:$K$5001,BD!$A$3:$A$5001,$B34,BD!$B$3:$B$5001,$D$2)))</f>
        <v>0</v>
      </c>
      <c r="L34" s="42">
        <f>IF($B34="","",IF($B$2="Todos",SUMIFS(BD!$L$3:$L$5001,BD!$A$3:$A$5001,$B34),SUMIFS(BD!$L$3:$L$5001,BD!$A$3:$A$5001,$B34,BD!$B$3:$B$5001,$D$2)))</f>
        <v>0</v>
      </c>
      <c r="M34" s="42">
        <f>IF($B34="","",IF($B$2="Todos",SUMIFS(BD!$M$3:$M$5001,BD!$A$3:$A$5001,$B34),SUMIFS(BD!$M$3:$M$5001,BD!$A$3:$A$5001,$B34,BD!$B$3:$B$5001,$D$2)))</f>
        <v>0</v>
      </c>
      <c r="N34" s="42">
        <f>IF($B34="","",IF($B$2="Todos",SUMIFS(BD!$N$3:$N$5001,BD!$A$3:$A$5001,$B34),SUMIFS(BD!$N$3:$N$5001,BD!$A$3:$A$5001,$B34,BD!$B$3:$B$5001,$D$2)))</f>
        <v>0</v>
      </c>
      <c r="O34" s="42">
        <f>IF($B34="","",IF($B$2="Todos",SUMIFS(BD!$O$3:$O$5001,BD!$A$3:$A$5001,$B34),SUMIFS(BD!$O$3:$O$5001,BD!$A$3:$A$5001,$B34,BD!$B$3:$B$5001,$D$2)))</f>
        <v>0</v>
      </c>
      <c r="P34" s="42">
        <f>IF($B34="","",IF($B$2="Todos",SUMIFS(BD!$P$3:$P$5001,BD!$A$3:$A$5001,$B34),SUMIFS(BD!$P$3:$P$5001,BD!$A$3:$A$5001,$B34,BD!$B$3:$B$5001,$D$2)))</f>
        <v>0</v>
      </c>
      <c r="Q34" s="42">
        <f>IF($B34="","",IF($B$2="Todos",SUMIFS(BD!$Q$3:$Q$5001,BD!$A$3:$A$5001,$B34),SUMIFS(BD!$Q$3:$Q$5001,BD!$A$3:$A$5001,$B34,BD!$B$3:$B$5001,$D$2)))</f>
        <v>0</v>
      </c>
      <c r="R34" s="42">
        <f>IF($B34="","",IF($B$2="Todos",SUMIFS(BD!$R$3:$R$5001,BD!$A$3:$A$5001,$B34),SUMIFS(BD!$R$3:$R$5001,BD!$A$3:$A$5001,$B34,BD!$B$3:$B$5001,$D$2)))</f>
        <v>0</v>
      </c>
      <c r="S34" s="58">
        <f>IF($B34="","",IF($B$2="Todos",SUMIFS(BD!$S$3:$S$5001,BD!$A$3:$A$5001,$B34),SUMIFS(BD!$S$3:$S$5001,BD!$A$3:$A$5001,$B34,BD!$B$3:$B$5001,$D$2)))</f>
        <v>0</v>
      </c>
      <c r="T34" s="42">
        <f>IF($B34="","",IF($B$2="Todos",SUMIFS(BD!$T$3:$T$5001,BD!$A$3:$A$5001,$B34),SUMIFS(BD!$T$3:$T$5001,BD!$A$3:$A$5001,$B34,BD!$B$3:$B$5001,$D$2)))</f>
        <v>0</v>
      </c>
      <c r="U34" s="42">
        <f>IF($B34="","",IF($B$2="Todos",SUMIFS(BD!$U$3:$U$5001,BD!$A$3:$A$5001,$B34),SUMIFS(BD!$U$3:$U$5001,BD!$A$3:$A$5001,$B34,BD!$B$3:$B$5001,$D$2)))</f>
        <v>0</v>
      </c>
      <c r="V34" s="42" t="str">
        <f>IF($B$2="Todos",IF(COUNT($C$163:$V$163)=0,"",SUM($C$163:$V$163)),IFERROR(INDEX($C$163:$V$163,MATCH($D$2,$C$140:$V$140,0)),""))</f>
        <v/>
      </c>
      <c r="W34" s="42" t="str">
        <f>IF($B$2="Todos",IF(COUNT($C$198:$V$198)=0,"",SUM($C$198:$V$198)),IFERROR(INDEX($C$198:$V$198,MATCH($D$2,$C$175:$V$175,0)),""))</f>
        <v/>
      </c>
      <c r="X34" s="59" t="str">
        <f>IF(Y34="","",IF($B$2="Todos",IF($B$4&gt;0,$B$4,IF($B$2="Todos",IF(COUNT($C$268:$V$268)=0,"",SUM($C$268:$V$268)),IFERROR(INDEX($C$268:$V$268,MATCH($D$2,$C$245:$V$245,0)),""))),IFERROR(INDEX($C$268:$V$268,MATCH($D$2,$C$245:$V$245,0)),"")))</f>
        <v/>
      </c>
      <c r="Y34" s="42" t="str">
        <f>IF($B$2="Todos",IF(COUNT($C$233:$V$233)=0,"",SUM($C$233:$V$233)),IFERROR(INDEX($C$233:$V$233,MATCH($D$2,$C$210:$V$210,0)),""))</f>
        <v/>
      </c>
      <c r="Z34" s="60" t="str">
        <f>IF(AND(ISNUMBER(Y34),ISNUMBER(X34)),IF(X34&gt;0,Y34/X34,""),"")</f>
        <v/>
      </c>
      <c r="AA34" s="42" t="str">
        <f>IF($B$2="Todos",IF(COUNT($C$303:$V$303)=0,"",SUM($C$303:$V$303)),IFERROR(INDEX($C$303:$V$303,MATCH($D$2,$C$280:$V$280,0)),""))</f>
        <v/>
      </c>
      <c r="AB34" s="42">
        <f>IF($B34="","",IF($B$2="Todos",SUMIFS(BD!$AA$3:$AA$5001,BD!$A$3:$A$5001,$B34),SUMIFS(BD!$AA$3:$AA$5001,BD!$A$3:$A$5001,$B34,BD!$B$3:$B$5001,$D$2)))</f>
        <v>0</v>
      </c>
      <c r="AC34" s="58">
        <f>IF($B34="","",IF($B$2="Todos",SUMIFS(BD!$AB$3:$AB$5001,BD!$A$3:$A$5001,$B34),SUMIFS(BD!$AB$3:$AB$5001,BD!$A$3:$A$5001,$B34,BD!$B$3:$B$5001,$D$2)))</f>
        <v>0</v>
      </c>
      <c r="AD34" s="42">
        <f>IF($B34="","",IF($B$2="Todos",SUMIFS(BD!$AC$3:$AC$5001,BD!$A$3:$A$5001,$B34),SUMIFS(BD!$AC$3:$AC$5001,BD!$A$3:$A$5001,$B34,BD!$B$3:$B$5001,$D$2)))</f>
        <v>0</v>
      </c>
      <c r="AE34" s="42">
        <f>IF($B34="","",IF($B$2="Todos",SUMIFS(BD!$AD$3:$AD$5001,BD!$A$3:$A$5001,$B34),SUMIFS(BD!$AD$3:$AD$5001,BD!$A$3:$A$5001,$B34,BD!$B$3:$B$5001,$D$2)))</f>
        <v>0</v>
      </c>
      <c r="AF34" s="42">
        <f>IF($B34="","",IF($B$2="Todos",SUMIFS(BD!$AE$3:$AE$5001,BD!$A$3:$A$5001,$B34),SUMIFS(BD!$AE$3:$AE$5001,BD!$A$3:$A$5001,$B34,BD!$B$3:$B$5001,$D$2)))</f>
        <v>0</v>
      </c>
      <c r="AG34" s="42">
        <f>IF($B34="","",IF($B$2="Todos",SUMIFS(BD!$AF$3:$AF$5001,BD!$A$3:$A$5001,$B34),SUMIFS(BD!$AF$3:$AF$5001,BD!$A$3:$A$5001,$B34,BD!$B$3:$B$5001,$D$2)))</f>
        <v>0</v>
      </c>
      <c r="AH34" s="42">
        <f>IF($B34="","",IF($B$2="Todos",SUMIFS(BD!$AG$3:$AG$5001,BD!$A$3:$A$5001,$B34),SUMIFS(BD!$AG$3:$AG$5001,BD!$A$3:$A$5001,$B34,BD!$B$3:$B$5001,$D$2)))</f>
        <v>0</v>
      </c>
      <c r="AI34" s="42">
        <f>IF($B34="","",IF($B$2="Todos",SUMIFS(BD!$AH$3:$AH$5001,BD!$A$3:$A$5001,$B34),SUMIFS(BD!$AH$3:$AH$5001,BD!$A$3:$A$5001,$B34,BD!$B$3:$B$5001,$D$2)))</f>
        <v>0</v>
      </c>
      <c r="AJ34" s="61">
        <f>$B$5</f>
        <v>0.7</v>
      </c>
      <c r="AK34" s="61">
        <f>$B$6</f>
        <v>0.9</v>
      </c>
    </row>
    <row r="35">
      <c r="A35" s="39">
        <v>24</v>
      </c>
      <c r="B35" s="57">
        <f>IF($A35&lt;=DAY($D$7),$C$7+$A35-1,"")</f>
        <v>46319</v>
      </c>
      <c r="C35" s="42">
        <f>IF($B35="","",IF($B$2="Todos",SUMIFS(BD!$C$3:$C$5001,BD!$A$3:$A$5001,$B35),SUMIFS(BD!$C$3:$C$5001,BD!$A$3:$A$5001,$B35,BD!$B$3:$B$5001,$D$2)))</f>
        <v>0</v>
      </c>
      <c r="D35" s="42">
        <f>IF($B35="","",IF($B$2="Todos",SUMIFS(BD!$D$3:$D$5001,BD!$A$3:$A$5001,$B35),SUMIFS(BD!$D$3:$D$5001,BD!$A$3:$A$5001,$B35,BD!$B$3:$B$5001,$D$2)))</f>
        <v>0</v>
      </c>
      <c r="E35" s="58">
        <f>IF($B35="","",IF($B$2="Todos",SUMIFS(BD!$E$3:$E$5001,BD!$A$3:$A$5001,$B35),SUMIFS(BD!$E$3:$E$5001,BD!$A$3:$A$5001,$B35,BD!$B$3:$B$5001,$D$2)))</f>
        <v>0</v>
      </c>
      <c r="F35" s="42">
        <f>IF($B35="","",IF($B$2="Todos",SUMIFS(BD!$F$3:$F$5001,BD!$A$3:$A$5001,$B35),SUMIFS(BD!$F$3:$F$5001,BD!$A$3:$A$5001,$B35,BD!$B$3:$B$5001,$D$2)))</f>
        <v>0</v>
      </c>
      <c r="G35" s="42">
        <f>IF($B35="","",IF($B$2="Todos",SUMIFS(BD!$G$3:$G$5001,BD!$A$3:$A$5001,$B35),SUMIFS(BD!$G$3:$G$5001,BD!$A$3:$A$5001,$B35,BD!$B$3:$B$5001,$D$2)))</f>
        <v>0</v>
      </c>
      <c r="H35" s="42">
        <f>IF($B35="","",IF($B$2="Todos",SUMIFS(BD!$H$3:$H$5001,BD!$A$3:$A$5001,$B35),SUMIFS(BD!$H$3:$H$5001,BD!$A$3:$A$5001,$B35,BD!$B$3:$B$5001,$D$2)))</f>
        <v>0</v>
      </c>
      <c r="I35" s="42">
        <f>IF($B35="","",IF($B$2="Todos",SUMIFS(BD!$I$3:$I$5001,BD!$A$3:$A$5001,$B35),SUMIFS(BD!$I$3:$I$5001,BD!$A$3:$A$5001,$B35,BD!$B$3:$B$5001,$D$2)))</f>
        <v>0</v>
      </c>
      <c r="J35" s="42">
        <f>IF($B35="","",IF($B$2="Todos",SUMIFS(BD!$J$3:$J$5001,BD!$A$3:$A$5001,$B35),SUMIFS(BD!$J$3:$J$5001,BD!$A$3:$A$5001,$B35,BD!$B$3:$B$5001,$D$2)))</f>
        <v>0</v>
      </c>
      <c r="K35" s="42">
        <f>IF($B35="","",IF($B$2="Todos",SUMIFS(BD!$K$3:$K$5001,BD!$A$3:$A$5001,$B35),SUMIFS(BD!$K$3:$K$5001,BD!$A$3:$A$5001,$B35,BD!$B$3:$B$5001,$D$2)))</f>
        <v>0</v>
      </c>
      <c r="L35" s="42">
        <f>IF($B35="","",IF($B$2="Todos",SUMIFS(BD!$L$3:$L$5001,BD!$A$3:$A$5001,$B35),SUMIFS(BD!$L$3:$L$5001,BD!$A$3:$A$5001,$B35,BD!$B$3:$B$5001,$D$2)))</f>
        <v>0</v>
      </c>
      <c r="M35" s="42">
        <f>IF($B35="","",IF($B$2="Todos",SUMIFS(BD!$M$3:$M$5001,BD!$A$3:$A$5001,$B35),SUMIFS(BD!$M$3:$M$5001,BD!$A$3:$A$5001,$B35,BD!$B$3:$B$5001,$D$2)))</f>
        <v>0</v>
      </c>
      <c r="N35" s="42">
        <f>IF($B35="","",IF($B$2="Todos",SUMIFS(BD!$N$3:$N$5001,BD!$A$3:$A$5001,$B35),SUMIFS(BD!$N$3:$N$5001,BD!$A$3:$A$5001,$B35,BD!$B$3:$B$5001,$D$2)))</f>
        <v>0</v>
      </c>
      <c r="O35" s="42">
        <f>IF($B35="","",IF($B$2="Todos",SUMIFS(BD!$O$3:$O$5001,BD!$A$3:$A$5001,$B35),SUMIFS(BD!$O$3:$O$5001,BD!$A$3:$A$5001,$B35,BD!$B$3:$B$5001,$D$2)))</f>
        <v>0</v>
      </c>
      <c r="P35" s="42">
        <f>IF($B35="","",IF($B$2="Todos",SUMIFS(BD!$P$3:$P$5001,BD!$A$3:$A$5001,$B35),SUMIFS(BD!$P$3:$P$5001,BD!$A$3:$A$5001,$B35,BD!$B$3:$B$5001,$D$2)))</f>
        <v>0</v>
      </c>
      <c r="Q35" s="42">
        <f>IF($B35="","",IF($B$2="Todos",SUMIFS(BD!$Q$3:$Q$5001,BD!$A$3:$A$5001,$B35),SUMIFS(BD!$Q$3:$Q$5001,BD!$A$3:$A$5001,$B35,BD!$B$3:$B$5001,$D$2)))</f>
        <v>0</v>
      </c>
      <c r="R35" s="42">
        <f>IF($B35="","",IF($B$2="Todos",SUMIFS(BD!$R$3:$R$5001,BD!$A$3:$A$5001,$B35),SUMIFS(BD!$R$3:$R$5001,BD!$A$3:$A$5001,$B35,BD!$B$3:$B$5001,$D$2)))</f>
        <v>0</v>
      </c>
      <c r="S35" s="58">
        <f>IF($B35="","",IF($B$2="Todos",SUMIFS(BD!$S$3:$S$5001,BD!$A$3:$A$5001,$B35),SUMIFS(BD!$S$3:$S$5001,BD!$A$3:$A$5001,$B35,BD!$B$3:$B$5001,$D$2)))</f>
        <v>0</v>
      </c>
      <c r="T35" s="42">
        <f>IF($B35="","",IF($B$2="Todos",SUMIFS(BD!$T$3:$T$5001,BD!$A$3:$A$5001,$B35),SUMIFS(BD!$T$3:$T$5001,BD!$A$3:$A$5001,$B35,BD!$B$3:$B$5001,$D$2)))</f>
        <v>0</v>
      </c>
      <c r="U35" s="42">
        <f>IF($B35="","",IF($B$2="Todos",SUMIFS(BD!$U$3:$U$5001,BD!$A$3:$A$5001,$B35),SUMIFS(BD!$U$3:$U$5001,BD!$A$3:$A$5001,$B35,BD!$B$3:$B$5001,$D$2)))</f>
        <v>0</v>
      </c>
      <c r="V35" s="42" t="str">
        <f>IF($B$2="Todos",IF(COUNT($C$164:$V$164)=0,"",SUM($C$164:$V$164)),IFERROR(INDEX($C$164:$V$164,MATCH($D$2,$C$140:$V$140,0)),""))</f>
        <v/>
      </c>
      <c r="W35" s="42" t="str">
        <f>IF($B$2="Todos",IF(COUNT($C$199:$V$199)=0,"",SUM($C$199:$V$199)),IFERROR(INDEX($C$199:$V$199,MATCH($D$2,$C$175:$V$175,0)),""))</f>
        <v/>
      </c>
      <c r="X35" s="59" t="str">
        <f>IF(Y35="","",IF($B$2="Todos",IF($B$4&gt;0,$B$4,IF($B$2="Todos",IF(COUNT($C$269:$V$269)=0,"",SUM($C$269:$V$269)),IFERROR(INDEX($C$269:$V$269,MATCH($D$2,$C$245:$V$245,0)),""))),IFERROR(INDEX($C$269:$V$269,MATCH($D$2,$C$245:$V$245,0)),"")))</f>
        <v/>
      </c>
      <c r="Y35" s="42" t="str">
        <f>IF($B$2="Todos",IF(COUNT($C$234:$V$234)=0,"",SUM($C$234:$V$234)),IFERROR(INDEX($C$234:$V$234,MATCH($D$2,$C$210:$V$210,0)),""))</f>
        <v/>
      </c>
      <c r="Z35" s="60" t="str">
        <f>IF(AND(ISNUMBER(Y35),ISNUMBER(X35)),IF(X35&gt;0,Y35/X35,""),"")</f>
        <v/>
      </c>
      <c r="AA35" s="42" t="str">
        <f>IF($B$2="Todos",IF(COUNT($C$304:$V$304)=0,"",SUM($C$304:$V$304)),IFERROR(INDEX($C$304:$V$304,MATCH($D$2,$C$280:$V$280,0)),""))</f>
        <v/>
      </c>
      <c r="AB35" s="42">
        <f>IF($B35="","",IF($B$2="Todos",SUMIFS(BD!$AA$3:$AA$5001,BD!$A$3:$A$5001,$B35),SUMIFS(BD!$AA$3:$AA$5001,BD!$A$3:$A$5001,$B35,BD!$B$3:$B$5001,$D$2)))</f>
        <v>0</v>
      </c>
      <c r="AC35" s="58">
        <f>IF($B35="","",IF($B$2="Todos",SUMIFS(BD!$AB$3:$AB$5001,BD!$A$3:$A$5001,$B35),SUMIFS(BD!$AB$3:$AB$5001,BD!$A$3:$A$5001,$B35,BD!$B$3:$B$5001,$D$2)))</f>
        <v>0</v>
      </c>
      <c r="AD35" s="42">
        <f>IF($B35="","",IF($B$2="Todos",SUMIFS(BD!$AC$3:$AC$5001,BD!$A$3:$A$5001,$B35),SUMIFS(BD!$AC$3:$AC$5001,BD!$A$3:$A$5001,$B35,BD!$B$3:$B$5001,$D$2)))</f>
        <v>0</v>
      </c>
      <c r="AE35" s="42">
        <f>IF($B35="","",IF($B$2="Todos",SUMIFS(BD!$AD$3:$AD$5001,BD!$A$3:$A$5001,$B35),SUMIFS(BD!$AD$3:$AD$5001,BD!$A$3:$A$5001,$B35,BD!$B$3:$B$5001,$D$2)))</f>
        <v>0</v>
      </c>
      <c r="AF35" s="42">
        <f>IF($B35="","",IF($B$2="Todos",SUMIFS(BD!$AE$3:$AE$5001,BD!$A$3:$A$5001,$B35),SUMIFS(BD!$AE$3:$AE$5001,BD!$A$3:$A$5001,$B35,BD!$B$3:$B$5001,$D$2)))</f>
        <v>0</v>
      </c>
      <c r="AG35" s="42">
        <f>IF($B35="","",IF($B$2="Todos",SUMIFS(BD!$AF$3:$AF$5001,BD!$A$3:$A$5001,$B35),SUMIFS(BD!$AF$3:$AF$5001,BD!$A$3:$A$5001,$B35,BD!$B$3:$B$5001,$D$2)))</f>
        <v>0</v>
      </c>
      <c r="AH35" s="42">
        <f>IF($B35="","",IF($B$2="Todos",SUMIFS(BD!$AG$3:$AG$5001,BD!$A$3:$A$5001,$B35),SUMIFS(BD!$AG$3:$AG$5001,BD!$A$3:$A$5001,$B35,BD!$B$3:$B$5001,$D$2)))</f>
        <v>0</v>
      </c>
      <c r="AI35" s="42">
        <f>IF($B35="","",IF($B$2="Todos",SUMIFS(BD!$AH$3:$AH$5001,BD!$A$3:$A$5001,$B35),SUMIFS(BD!$AH$3:$AH$5001,BD!$A$3:$A$5001,$B35,BD!$B$3:$B$5001,$D$2)))</f>
        <v>0</v>
      </c>
      <c r="AJ35" s="61">
        <f>$B$5</f>
        <v>0.7</v>
      </c>
      <c r="AK35" s="61">
        <f>$B$6</f>
        <v>0.9</v>
      </c>
    </row>
    <row r="36">
      <c r="A36" s="39">
        <v>25</v>
      </c>
      <c r="B36" s="57">
        <f>IF($A36&lt;=DAY($D$7),$C$7+$A36-1,"")</f>
        <v>46320</v>
      </c>
      <c r="C36" s="42">
        <f>IF($B36="","",IF($B$2="Todos",SUMIFS(BD!$C$3:$C$5001,BD!$A$3:$A$5001,$B36),SUMIFS(BD!$C$3:$C$5001,BD!$A$3:$A$5001,$B36,BD!$B$3:$B$5001,$D$2)))</f>
        <v>0</v>
      </c>
      <c r="D36" s="42">
        <f>IF($B36="","",IF($B$2="Todos",SUMIFS(BD!$D$3:$D$5001,BD!$A$3:$A$5001,$B36),SUMIFS(BD!$D$3:$D$5001,BD!$A$3:$A$5001,$B36,BD!$B$3:$B$5001,$D$2)))</f>
        <v>0</v>
      </c>
      <c r="E36" s="58">
        <f>IF($B36="","",IF($B$2="Todos",SUMIFS(BD!$E$3:$E$5001,BD!$A$3:$A$5001,$B36),SUMIFS(BD!$E$3:$E$5001,BD!$A$3:$A$5001,$B36,BD!$B$3:$B$5001,$D$2)))</f>
        <v>0</v>
      </c>
      <c r="F36" s="42">
        <f>IF($B36="","",IF($B$2="Todos",SUMIFS(BD!$F$3:$F$5001,BD!$A$3:$A$5001,$B36),SUMIFS(BD!$F$3:$F$5001,BD!$A$3:$A$5001,$B36,BD!$B$3:$B$5001,$D$2)))</f>
        <v>0</v>
      </c>
      <c r="G36" s="42">
        <f>IF($B36="","",IF($B$2="Todos",SUMIFS(BD!$G$3:$G$5001,BD!$A$3:$A$5001,$B36),SUMIFS(BD!$G$3:$G$5001,BD!$A$3:$A$5001,$B36,BD!$B$3:$B$5001,$D$2)))</f>
        <v>0</v>
      </c>
      <c r="H36" s="42">
        <f>IF($B36="","",IF($B$2="Todos",SUMIFS(BD!$H$3:$H$5001,BD!$A$3:$A$5001,$B36),SUMIFS(BD!$H$3:$H$5001,BD!$A$3:$A$5001,$B36,BD!$B$3:$B$5001,$D$2)))</f>
        <v>0</v>
      </c>
      <c r="I36" s="42">
        <f>IF($B36="","",IF($B$2="Todos",SUMIFS(BD!$I$3:$I$5001,BD!$A$3:$A$5001,$B36),SUMIFS(BD!$I$3:$I$5001,BD!$A$3:$A$5001,$B36,BD!$B$3:$B$5001,$D$2)))</f>
        <v>0</v>
      </c>
      <c r="J36" s="42">
        <f>IF($B36="","",IF($B$2="Todos",SUMIFS(BD!$J$3:$J$5001,BD!$A$3:$A$5001,$B36),SUMIFS(BD!$J$3:$J$5001,BD!$A$3:$A$5001,$B36,BD!$B$3:$B$5001,$D$2)))</f>
        <v>0</v>
      </c>
      <c r="K36" s="42">
        <f>IF($B36="","",IF($B$2="Todos",SUMIFS(BD!$K$3:$K$5001,BD!$A$3:$A$5001,$B36),SUMIFS(BD!$K$3:$K$5001,BD!$A$3:$A$5001,$B36,BD!$B$3:$B$5001,$D$2)))</f>
        <v>0</v>
      </c>
      <c r="L36" s="42">
        <f>IF($B36="","",IF($B$2="Todos",SUMIFS(BD!$L$3:$L$5001,BD!$A$3:$A$5001,$B36),SUMIFS(BD!$L$3:$L$5001,BD!$A$3:$A$5001,$B36,BD!$B$3:$B$5001,$D$2)))</f>
        <v>0</v>
      </c>
      <c r="M36" s="42">
        <f>IF($B36="","",IF($B$2="Todos",SUMIFS(BD!$M$3:$M$5001,BD!$A$3:$A$5001,$B36),SUMIFS(BD!$M$3:$M$5001,BD!$A$3:$A$5001,$B36,BD!$B$3:$B$5001,$D$2)))</f>
        <v>0</v>
      </c>
      <c r="N36" s="42">
        <f>IF($B36="","",IF($B$2="Todos",SUMIFS(BD!$N$3:$N$5001,BD!$A$3:$A$5001,$B36),SUMIFS(BD!$N$3:$N$5001,BD!$A$3:$A$5001,$B36,BD!$B$3:$B$5001,$D$2)))</f>
        <v>0</v>
      </c>
      <c r="O36" s="42">
        <f>IF($B36="","",IF($B$2="Todos",SUMIFS(BD!$O$3:$O$5001,BD!$A$3:$A$5001,$B36),SUMIFS(BD!$O$3:$O$5001,BD!$A$3:$A$5001,$B36,BD!$B$3:$B$5001,$D$2)))</f>
        <v>0</v>
      </c>
      <c r="P36" s="42">
        <f>IF($B36="","",IF($B$2="Todos",SUMIFS(BD!$P$3:$P$5001,BD!$A$3:$A$5001,$B36),SUMIFS(BD!$P$3:$P$5001,BD!$A$3:$A$5001,$B36,BD!$B$3:$B$5001,$D$2)))</f>
        <v>0</v>
      </c>
      <c r="Q36" s="42">
        <f>IF($B36="","",IF($B$2="Todos",SUMIFS(BD!$Q$3:$Q$5001,BD!$A$3:$A$5001,$B36),SUMIFS(BD!$Q$3:$Q$5001,BD!$A$3:$A$5001,$B36,BD!$B$3:$B$5001,$D$2)))</f>
        <v>0</v>
      </c>
      <c r="R36" s="42">
        <f>IF($B36="","",IF($B$2="Todos",SUMIFS(BD!$R$3:$R$5001,BD!$A$3:$A$5001,$B36),SUMIFS(BD!$R$3:$R$5001,BD!$A$3:$A$5001,$B36,BD!$B$3:$B$5001,$D$2)))</f>
        <v>0</v>
      </c>
      <c r="S36" s="58">
        <f>IF($B36="","",IF($B$2="Todos",SUMIFS(BD!$S$3:$S$5001,BD!$A$3:$A$5001,$B36),SUMIFS(BD!$S$3:$S$5001,BD!$A$3:$A$5001,$B36,BD!$B$3:$B$5001,$D$2)))</f>
        <v>0</v>
      </c>
      <c r="T36" s="42">
        <f>IF($B36="","",IF($B$2="Todos",SUMIFS(BD!$T$3:$T$5001,BD!$A$3:$A$5001,$B36),SUMIFS(BD!$T$3:$T$5001,BD!$A$3:$A$5001,$B36,BD!$B$3:$B$5001,$D$2)))</f>
        <v>0</v>
      </c>
      <c r="U36" s="42">
        <f>IF($B36="","",IF($B$2="Todos",SUMIFS(BD!$U$3:$U$5001,BD!$A$3:$A$5001,$B36),SUMIFS(BD!$U$3:$U$5001,BD!$A$3:$A$5001,$B36,BD!$B$3:$B$5001,$D$2)))</f>
        <v>0</v>
      </c>
      <c r="V36" s="42" t="str">
        <f>IF($B$2="Todos",IF(COUNT($C$165:$V$165)=0,"",SUM($C$165:$V$165)),IFERROR(INDEX($C$165:$V$165,MATCH($D$2,$C$140:$V$140,0)),""))</f>
        <v/>
      </c>
      <c r="W36" s="42" t="str">
        <f>IF($B$2="Todos",IF(COUNT($C$200:$V$200)=0,"",SUM($C$200:$V$200)),IFERROR(INDEX($C$200:$V$200,MATCH($D$2,$C$175:$V$175,0)),""))</f>
        <v/>
      </c>
      <c r="X36" s="59" t="str">
        <f>IF(Y36="","",IF($B$2="Todos",IF($B$4&gt;0,$B$4,IF($B$2="Todos",IF(COUNT($C$270:$V$270)=0,"",SUM($C$270:$V$270)),IFERROR(INDEX($C$270:$V$270,MATCH($D$2,$C$245:$V$245,0)),""))),IFERROR(INDEX($C$270:$V$270,MATCH($D$2,$C$245:$V$245,0)),"")))</f>
        <v/>
      </c>
      <c r="Y36" s="42" t="str">
        <f>IF($B$2="Todos",IF(COUNT($C$235:$V$235)=0,"",SUM($C$235:$V$235)),IFERROR(INDEX($C$235:$V$235,MATCH($D$2,$C$210:$V$210,0)),""))</f>
        <v/>
      </c>
      <c r="Z36" s="60" t="str">
        <f>IF(AND(ISNUMBER(Y36),ISNUMBER(X36)),IF(X36&gt;0,Y36/X36,""),"")</f>
        <v/>
      </c>
      <c r="AA36" s="42" t="str">
        <f>IF($B$2="Todos",IF(COUNT($C$305:$V$305)=0,"",SUM($C$305:$V$305)),IFERROR(INDEX($C$305:$V$305,MATCH($D$2,$C$280:$V$280,0)),""))</f>
        <v/>
      </c>
      <c r="AB36" s="42">
        <f>IF($B36="","",IF($B$2="Todos",SUMIFS(BD!$AA$3:$AA$5001,BD!$A$3:$A$5001,$B36),SUMIFS(BD!$AA$3:$AA$5001,BD!$A$3:$A$5001,$B36,BD!$B$3:$B$5001,$D$2)))</f>
        <v>0</v>
      </c>
      <c r="AC36" s="58">
        <f>IF($B36="","",IF($B$2="Todos",SUMIFS(BD!$AB$3:$AB$5001,BD!$A$3:$A$5001,$B36),SUMIFS(BD!$AB$3:$AB$5001,BD!$A$3:$A$5001,$B36,BD!$B$3:$B$5001,$D$2)))</f>
        <v>0</v>
      </c>
      <c r="AD36" s="42">
        <f>IF($B36="","",IF($B$2="Todos",SUMIFS(BD!$AC$3:$AC$5001,BD!$A$3:$A$5001,$B36),SUMIFS(BD!$AC$3:$AC$5001,BD!$A$3:$A$5001,$B36,BD!$B$3:$B$5001,$D$2)))</f>
        <v>0</v>
      </c>
      <c r="AE36" s="42">
        <f>IF($B36="","",IF($B$2="Todos",SUMIFS(BD!$AD$3:$AD$5001,BD!$A$3:$A$5001,$B36),SUMIFS(BD!$AD$3:$AD$5001,BD!$A$3:$A$5001,$B36,BD!$B$3:$B$5001,$D$2)))</f>
        <v>0</v>
      </c>
      <c r="AF36" s="42">
        <f>IF($B36="","",IF($B$2="Todos",SUMIFS(BD!$AE$3:$AE$5001,BD!$A$3:$A$5001,$B36),SUMIFS(BD!$AE$3:$AE$5001,BD!$A$3:$A$5001,$B36,BD!$B$3:$B$5001,$D$2)))</f>
        <v>0</v>
      </c>
      <c r="AG36" s="42">
        <f>IF($B36="","",IF($B$2="Todos",SUMIFS(BD!$AF$3:$AF$5001,BD!$A$3:$A$5001,$B36),SUMIFS(BD!$AF$3:$AF$5001,BD!$A$3:$A$5001,$B36,BD!$B$3:$B$5001,$D$2)))</f>
        <v>0</v>
      </c>
      <c r="AH36" s="42">
        <f>IF($B36="","",IF($B$2="Todos",SUMIFS(BD!$AG$3:$AG$5001,BD!$A$3:$A$5001,$B36),SUMIFS(BD!$AG$3:$AG$5001,BD!$A$3:$A$5001,$B36,BD!$B$3:$B$5001,$D$2)))</f>
        <v>0</v>
      </c>
      <c r="AI36" s="42">
        <f>IF($B36="","",IF($B$2="Todos",SUMIFS(BD!$AH$3:$AH$5001,BD!$A$3:$A$5001,$B36),SUMIFS(BD!$AH$3:$AH$5001,BD!$A$3:$A$5001,$B36,BD!$B$3:$B$5001,$D$2)))</f>
        <v>0</v>
      </c>
      <c r="AJ36" s="61">
        <f>$B$5</f>
        <v>0.7</v>
      </c>
      <c r="AK36" s="61">
        <f>$B$6</f>
        <v>0.9</v>
      </c>
    </row>
    <row r="37">
      <c r="A37" s="39">
        <v>26</v>
      </c>
      <c r="B37" s="57">
        <f>IF($A37&lt;=DAY($D$7),$C$7+$A37-1,"")</f>
        <v>46321</v>
      </c>
      <c r="C37" s="42">
        <f>IF($B37="","",IF($B$2="Todos",SUMIFS(BD!$C$3:$C$5001,BD!$A$3:$A$5001,$B37),SUMIFS(BD!$C$3:$C$5001,BD!$A$3:$A$5001,$B37,BD!$B$3:$B$5001,$D$2)))</f>
        <v>0</v>
      </c>
      <c r="D37" s="42">
        <f>IF($B37="","",IF($B$2="Todos",SUMIFS(BD!$D$3:$D$5001,BD!$A$3:$A$5001,$B37),SUMIFS(BD!$D$3:$D$5001,BD!$A$3:$A$5001,$B37,BD!$B$3:$B$5001,$D$2)))</f>
        <v>0</v>
      </c>
      <c r="E37" s="58">
        <f>IF($B37="","",IF($B$2="Todos",SUMIFS(BD!$E$3:$E$5001,BD!$A$3:$A$5001,$B37),SUMIFS(BD!$E$3:$E$5001,BD!$A$3:$A$5001,$B37,BD!$B$3:$B$5001,$D$2)))</f>
        <v>0</v>
      </c>
      <c r="F37" s="42">
        <f>IF($B37="","",IF($B$2="Todos",SUMIFS(BD!$F$3:$F$5001,BD!$A$3:$A$5001,$B37),SUMIFS(BD!$F$3:$F$5001,BD!$A$3:$A$5001,$B37,BD!$B$3:$B$5001,$D$2)))</f>
        <v>0</v>
      </c>
      <c r="G37" s="42">
        <f>IF($B37="","",IF($B$2="Todos",SUMIFS(BD!$G$3:$G$5001,BD!$A$3:$A$5001,$B37),SUMIFS(BD!$G$3:$G$5001,BD!$A$3:$A$5001,$B37,BD!$B$3:$B$5001,$D$2)))</f>
        <v>0</v>
      </c>
      <c r="H37" s="42">
        <f>IF($B37="","",IF($B$2="Todos",SUMIFS(BD!$H$3:$H$5001,BD!$A$3:$A$5001,$B37),SUMIFS(BD!$H$3:$H$5001,BD!$A$3:$A$5001,$B37,BD!$B$3:$B$5001,$D$2)))</f>
        <v>0</v>
      </c>
      <c r="I37" s="42">
        <f>IF($B37="","",IF($B$2="Todos",SUMIFS(BD!$I$3:$I$5001,BD!$A$3:$A$5001,$B37),SUMIFS(BD!$I$3:$I$5001,BD!$A$3:$A$5001,$B37,BD!$B$3:$B$5001,$D$2)))</f>
        <v>0</v>
      </c>
      <c r="J37" s="42">
        <f>IF($B37="","",IF($B$2="Todos",SUMIFS(BD!$J$3:$J$5001,BD!$A$3:$A$5001,$B37),SUMIFS(BD!$J$3:$J$5001,BD!$A$3:$A$5001,$B37,BD!$B$3:$B$5001,$D$2)))</f>
        <v>0</v>
      </c>
      <c r="K37" s="42">
        <f>IF($B37="","",IF($B$2="Todos",SUMIFS(BD!$K$3:$K$5001,BD!$A$3:$A$5001,$B37),SUMIFS(BD!$K$3:$K$5001,BD!$A$3:$A$5001,$B37,BD!$B$3:$B$5001,$D$2)))</f>
        <v>0</v>
      </c>
      <c r="L37" s="42">
        <f>IF($B37="","",IF($B$2="Todos",SUMIFS(BD!$L$3:$L$5001,BD!$A$3:$A$5001,$B37),SUMIFS(BD!$L$3:$L$5001,BD!$A$3:$A$5001,$B37,BD!$B$3:$B$5001,$D$2)))</f>
        <v>0</v>
      </c>
      <c r="M37" s="42">
        <f>IF($B37="","",IF($B$2="Todos",SUMIFS(BD!$M$3:$M$5001,BD!$A$3:$A$5001,$B37),SUMIFS(BD!$M$3:$M$5001,BD!$A$3:$A$5001,$B37,BD!$B$3:$B$5001,$D$2)))</f>
        <v>0</v>
      </c>
      <c r="N37" s="42">
        <f>IF($B37="","",IF($B$2="Todos",SUMIFS(BD!$N$3:$N$5001,BD!$A$3:$A$5001,$B37),SUMIFS(BD!$N$3:$N$5001,BD!$A$3:$A$5001,$B37,BD!$B$3:$B$5001,$D$2)))</f>
        <v>0</v>
      </c>
      <c r="O37" s="42">
        <f>IF($B37="","",IF($B$2="Todos",SUMIFS(BD!$O$3:$O$5001,BD!$A$3:$A$5001,$B37),SUMIFS(BD!$O$3:$O$5001,BD!$A$3:$A$5001,$B37,BD!$B$3:$B$5001,$D$2)))</f>
        <v>0</v>
      </c>
      <c r="P37" s="42">
        <f>IF($B37="","",IF($B$2="Todos",SUMIFS(BD!$P$3:$P$5001,BD!$A$3:$A$5001,$B37),SUMIFS(BD!$P$3:$P$5001,BD!$A$3:$A$5001,$B37,BD!$B$3:$B$5001,$D$2)))</f>
        <v>0</v>
      </c>
      <c r="Q37" s="42">
        <f>IF($B37="","",IF($B$2="Todos",SUMIFS(BD!$Q$3:$Q$5001,BD!$A$3:$A$5001,$B37),SUMIFS(BD!$Q$3:$Q$5001,BD!$A$3:$A$5001,$B37,BD!$B$3:$B$5001,$D$2)))</f>
        <v>0</v>
      </c>
      <c r="R37" s="42">
        <f>IF($B37="","",IF($B$2="Todos",SUMIFS(BD!$R$3:$R$5001,BD!$A$3:$A$5001,$B37),SUMIFS(BD!$R$3:$R$5001,BD!$A$3:$A$5001,$B37,BD!$B$3:$B$5001,$D$2)))</f>
        <v>0</v>
      </c>
      <c r="S37" s="58">
        <f>IF($B37="","",IF($B$2="Todos",SUMIFS(BD!$S$3:$S$5001,BD!$A$3:$A$5001,$B37),SUMIFS(BD!$S$3:$S$5001,BD!$A$3:$A$5001,$B37,BD!$B$3:$B$5001,$D$2)))</f>
        <v>0</v>
      </c>
      <c r="T37" s="42">
        <f>IF($B37="","",IF($B$2="Todos",SUMIFS(BD!$T$3:$T$5001,BD!$A$3:$A$5001,$B37),SUMIFS(BD!$T$3:$T$5001,BD!$A$3:$A$5001,$B37,BD!$B$3:$B$5001,$D$2)))</f>
        <v>0</v>
      </c>
      <c r="U37" s="42">
        <f>IF($B37="","",IF($B$2="Todos",SUMIFS(BD!$U$3:$U$5001,BD!$A$3:$A$5001,$B37),SUMIFS(BD!$U$3:$U$5001,BD!$A$3:$A$5001,$B37,BD!$B$3:$B$5001,$D$2)))</f>
        <v>0</v>
      </c>
      <c r="V37" s="42" t="str">
        <f>IF($B$2="Todos",IF(COUNT($C$166:$V$166)=0,"",SUM($C$166:$V$166)),IFERROR(INDEX($C$166:$V$166,MATCH($D$2,$C$140:$V$140,0)),""))</f>
        <v/>
      </c>
      <c r="W37" s="42" t="str">
        <f>IF($B$2="Todos",IF(COUNT($C$201:$V$201)=0,"",SUM($C$201:$V$201)),IFERROR(INDEX($C$201:$V$201,MATCH($D$2,$C$175:$V$175,0)),""))</f>
        <v/>
      </c>
      <c r="X37" s="59" t="str">
        <f>IF(Y37="","",IF($B$2="Todos",IF($B$4&gt;0,$B$4,IF($B$2="Todos",IF(COUNT($C$271:$V$271)=0,"",SUM($C$271:$V$271)),IFERROR(INDEX($C$271:$V$271,MATCH($D$2,$C$245:$V$245,0)),""))),IFERROR(INDEX($C$271:$V$271,MATCH($D$2,$C$245:$V$245,0)),"")))</f>
        <v/>
      </c>
      <c r="Y37" s="42" t="str">
        <f>IF($B$2="Todos",IF(COUNT($C$236:$V$236)=0,"",SUM($C$236:$V$236)),IFERROR(INDEX($C$236:$V$236,MATCH($D$2,$C$210:$V$210,0)),""))</f>
        <v/>
      </c>
      <c r="Z37" s="60" t="str">
        <f>IF(AND(ISNUMBER(Y37),ISNUMBER(X37)),IF(X37&gt;0,Y37/X37,""),"")</f>
        <v/>
      </c>
      <c r="AA37" s="42" t="str">
        <f>IF($B$2="Todos",IF(COUNT($C$306:$V$306)=0,"",SUM($C$306:$V$306)),IFERROR(INDEX($C$306:$V$306,MATCH($D$2,$C$280:$V$280,0)),""))</f>
        <v/>
      </c>
      <c r="AB37" s="42">
        <f>IF($B37="","",IF($B$2="Todos",SUMIFS(BD!$AA$3:$AA$5001,BD!$A$3:$A$5001,$B37),SUMIFS(BD!$AA$3:$AA$5001,BD!$A$3:$A$5001,$B37,BD!$B$3:$B$5001,$D$2)))</f>
        <v>0</v>
      </c>
      <c r="AC37" s="58">
        <f>IF($B37="","",IF($B$2="Todos",SUMIFS(BD!$AB$3:$AB$5001,BD!$A$3:$A$5001,$B37),SUMIFS(BD!$AB$3:$AB$5001,BD!$A$3:$A$5001,$B37,BD!$B$3:$B$5001,$D$2)))</f>
        <v>0</v>
      </c>
      <c r="AD37" s="42">
        <f>IF($B37="","",IF($B$2="Todos",SUMIFS(BD!$AC$3:$AC$5001,BD!$A$3:$A$5001,$B37),SUMIFS(BD!$AC$3:$AC$5001,BD!$A$3:$A$5001,$B37,BD!$B$3:$B$5001,$D$2)))</f>
        <v>0</v>
      </c>
      <c r="AE37" s="42">
        <f>IF($B37="","",IF($B$2="Todos",SUMIFS(BD!$AD$3:$AD$5001,BD!$A$3:$A$5001,$B37),SUMIFS(BD!$AD$3:$AD$5001,BD!$A$3:$A$5001,$B37,BD!$B$3:$B$5001,$D$2)))</f>
        <v>0</v>
      </c>
      <c r="AF37" s="42">
        <f>IF($B37="","",IF($B$2="Todos",SUMIFS(BD!$AE$3:$AE$5001,BD!$A$3:$A$5001,$B37),SUMIFS(BD!$AE$3:$AE$5001,BD!$A$3:$A$5001,$B37,BD!$B$3:$B$5001,$D$2)))</f>
        <v>0</v>
      </c>
      <c r="AG37" s="42">
        <f>IF($B37="","",IF($B$2="Todos",SUMIFS(BD!$AF$3:$AF$5001,BD!$A$3:$A$5001,$B37),SUMIFS(BD!$AF$3:$AF$5001,BD!$A$3:$A$5001,$B37,BD!$B$3:$B$5001,$D$2)))</f>
        <v>0</v>
      </c>
      <c r="AH37" s="42">
        <f>IF($B37="","",IF($B$2="Todos",SUMIFS(BD!$AG$3:$AG$5001,BD!$A$3:$A$5001,$B37),SUMIFS(BD!$AG$3:$AG$5001,BD!$A$3:$A$5001,$B37,BD!$B$3:$B$5001,$D$2)))</f>
        <v>0</v>
      </c>
      <c r="AI37" s="42">
        <f>IF($B37="","",IF($B$2="Todos",SUMIFS(BD!$AH$3:$AH$5001,BD!$A$3:$A$5001,$B37),SUMIFS(BD!$AH$3:$AH$5001,BD!$A$3:$A$5001,$B37,BD!$B$3:$B$5001,$D$2)))</f>
        <v>0</v>
      </c>
      <c r="AJ37" s="61">
        <f>$B$5</f>
        <v>0.7</v>
      </c>
      <c r="AK37" s="61">
        <f>$B$6</f>
        <v>0.9</v>
      </c>
    </row>
    <row r="38">
      <c r="A38" s="39">
        <v>27</v>
      </c>
      <c r="B38" s="57">
        <f>IF($A38&lt;=DAY($D$7),$C$7+$A38-1,"")</f>
        <v>46322</v>
      </c>
      <c r="C38" s="42">
        <f>IF($B38="","",IF($B$2="Todos",SUMIFS(BD!$C$3:$C$5001,BD!$A$3:$A$5001,$B38),SUMIFS(BD!$C$3:$C$5001,BD!$A$3:$A$5001,$B38,BD!$B$3:$B$5001,$D$2)))</f>
        <v>0</v>
      </c>
      <c r="D38" s="42">
        <f>IF($B38="","",IF($B$2="Todos",SUMIFS(BD!$D$3:$D$5001,BD!$A$3:$A$5001,$B38),SUMIFS(BD!$D$3:$D$5001,BD!$A$3:$A$5001,$B38,BD!$B$3:$B$5001,$D$2)))</f>
        <v>0</v>
      </c>
      <c r="E38" s="58">
        <f>IF($B38="","",IF($B$2="Todos",SUMIFS(BD!$E$3:$E$5001,BD!$A$3:$A$5001,$B38),SUMIFS(BD!$E$3:$E$5001,BD!$A$3:$A$5001,$B38,BD!$B$3:$B$5001,$D$2)))</f>
        <v>0</v>
      </c>
      <c r="F38" s="42">
        <f>IF($B38="","",IF($B$2="Todos",SUMIFS(BD!$F$3:$F$5001,BD!$A$3:$A$5001,$B38),SUMIFS(BD!$F$3:$F$5001,BD!$A$3:$A$5001,$B38,BD!$B$3:$B$5001,$D$2)))</f>
        <v>0</v>
      </c>
      <c r="G38" s="42">
        <f>IF($B38="","",IF($B$2="Todos",SUMIFS(BD!$G$3:$G$5001,BD!$A$3:$A$5001,$B38),SUMIFS(BD!$G$3:$G$5001,BD!$A$3:$A$5001,$B38,BD!$B$3:$B$5001,$D$2)))</f>
        <v>0</v>
      </c>
      <c r="H38" s="42">
        <f>IF($B38="","",IF($B$2="Todos",SUMIFS(BD!$H$3:$H$5001,BD!$A$3:$A$5001,$B38),SUMIFS(BD!$H$3:$H$5001,BD!$A$3:$A$5001,$B38,BD!$B$3:$B$5001,$D$2)))</f>
        <v>0</v>
      </c>
      <c r="I38" s="42">
        <f>IF($B38="","",IF($B$2="Todos",SUMIFS(BD!$I$3:$I$5001,BD!$A$3:$A$5001,$B38),SUMIFS(BD!$I$3:$I$5001,BD!$A$3:$A$5001,$B38,BD!$B$3:$B$5001,$D$2)))</f>
        <v>0</v>
      </c>
      <c r="J38" s="42">
        <f>IF($B38="","",IF($B$2="Todos",SUMIFS(BD!$J$3:$J$5001,BD!$A$3:$A$5001,$B38),SUMIFS(BD!$J$3:$J$5001,BD!$A$3:$A$5001,$B38,BD!$B$3:$B$5001,$D$2)))</f>
        <v>0</v>
      </c>
      <c r="K38" s="42">
        <f>IF($B38="","",IF($B$2="Todos",SUMIFS(BD!$K$3:$K$5001,BD!$A$3:$A$5001,$B38),SUMIFS(BD!$K$3:$K$5001,BD!$A$3:$A$5001,$B38,BD!$B$3:$B$5001,$D$2)))</f>
        <v>0</v>
      </c>
      <c r="L38" s="42">
        <f>IF($B38="","",IF($B$2="Todos",SUMIFS(BD!$L$3:$L$5001,BD!$A$3:$A$5001,$B38),SUMIFS(BD!$L$3:$L$5001,BD!$A$3:$A$5001,$B38,BD!$B$3:$B$5001,$D$2)))</f>
        <v>0</v>
      </c>
      <c r="M38" s="42">
        <f>IF($B38="","",IF($B$2="Todos",SUMIFS(BD!$M$3:$M$5001,BD!$A$3:$A$5001,$B38),SUMIFS(BD!$M$3:$M$5001,BD!$A$3:$A$5001,$B38,BD!$B$3:$B$5001,$D$2)))</f>
        <v>0</v>
      </c>
      <c r="N38" s="42">
        <f>IF($B38="","",IF($B$2="Todos",SUMIFS(BD!$N$3:$N$5001,BD!$A$3:$A$5001,$B38),SUMIFS(BD!$N$3:$N$5001,BD!$A$3:$A$5001,$B38,BD!$B$3:$B$5001,$D$2)))</f>
        <v>0</v>
      </c>
      <c r="O38" s="42">
        <f>IF($B38="","",IF($B$2="Todos",SUMIFS(BD!$O$3:$O$5001,BD!$A$3:$A$5001,$B38),SUMIFS(BD!$O$3:$O$5001,BD!$A$3:$A$5001,$B38,BD!$B$3:$B$5001,$D$2)))</f>
        <v>0</v>
      </c>
      <c r="P38" s="42">
        <f>IF($B38="","",IF($B$2="Todos",SUMIFS(BD!$P$3:$P$5001,BD!$A$3:$A$5001,$B38),SUMIFS(BD!$P$3:$P$5001,BD!$A$3:$A$5001,$B38,BD!$B$3:$B$5001,$D$2)))</f>
        <v>0</v>
      </c>
      <c r="Q38" s="42">
        <f>IF($B38="","",IF($B$2="Todos",SUMIFS(BD!$Q$3:$Q$5001,BD!$A$3:$A$5001,$B38),SUMIFS(BD!$Q$3:$Q$5001,BD!$A$3:$A$5001,$B38,BD!$B$3:$B$5001,$D$2)))</f>
        <v>0</v>
      </c>
      <c r="R38" s="42">
        <f>IF($B38="","",IF($B$2="Todos",SUMIFS(BD!$R$3:$R$5001,BD!$A$3:$A$5001,$B38),SUMIFS(BD!$R$3:$R$5001,BD!$A$3:$A$5001,$B38,BD!$B$3:$B$5001,$D$2)))</f>
        <v>0</v>
      </c>
      <c r="S38" s="58">
        <f>IF($B38="","",IF($B$2="Todos",SUMIFS(BD!$S$3:$S$5001,BD!$A$3:$A$5001,$B38),SUMIFS(BD!$S$3:$S$5001,BD!$A$3:$A$5001,$B38,BD!$B$3:$B$5001,$D$2)))</f>
        <v>0</v>
      </c>
      <c r="T38" s="42">
        <f>IF($B38="","",IF($B$2="Todos",SUMIFS(BD!$T$3:$T$5001,BD!$A$3:$A$5001,$B38),SUMIFS(BD!$T$3:$T$5001,BD!$A$3:$A$5001,$B38,BD!$B$3:$B$5001,$D$2)))</f>
        <v>0</v>
      </c>
      <c r="U38" s="42">
        <f>IF($B38="","",IF($B$2="Todos",SUMIFS(BD!$U$3:$U$5001,BD!$A$3:$A$5001,$B38),SUMIFS(BD!$U$3:$U$5001,BD!$A$3:$A$5001,$B38,BD!$B$3:$B$5001,$D$2)))</f>
        <v>0</v>
      </c>
      <c r="V38" s="42" t="str">
        <f>IF($B$2="Todos",IF(COUNT($C$167:$V$167)=0,"",SUM($C$167:$V$167)),IFERROR(INDEX($C$167:$V$167,MATCH($D$2,$C$140:$V$140,0)),""))</f>
        <v/>
      </c>
      <c r="W38" s="42" t="str">
        <f>IF($B$2="Todos",IF(COUNT($C$202:$V$202)=0,"",SUM($C$202:$V$202)),IFERROR(INDEX($C$202:$V$202,MATCH($D$2,$C$175:$V$175,0)),""))</f>
        <v/>
      </c>
      <c r="X38" s="59" t="str">
        <f>IF(Y38="","",IF($B$2="Todos",IF($B$4&gt;0,$B$4,IF($B$2="Todos",IF(COUNT($C$272:$V$272)=0,"",SUM($C$272:$V$272)),IFERROR(INDEX($C$272:$V$272,MATCH($D$2,$C$245:$V$245,0)),""))),IFERROR(INDEX($C$272:$V$272,MATCH($D$2,$C$245:$V$245,0)),"")))</f>
        <v/>
      </c>
      <c r="Y38" s="42" t="str">
        <f>IF($B$2="Todos",IF(COUNT($C$237:$V$237)=0,"",SUM($C$237:$V$237)),IFERROR(INDEX($C$237:$V$237,MATCH($D$2,$C$210:$V$210,0)),""))</f>
        <v/>
      </c>
      <c r="Z38" s="60" t="str">
        <f>IF(AND(ISNUMBER(Y38),ISNUMBER(X38)),IF(X38&gt;0,Y38/X38,""),"")</f>
        <v/>
      </c>
      <c r="AA38" s="42" t="str">
        <f>IF($B$2="Todos",IF(COUNT($C$307:$V$307)=0,"",SUM($C$307:$V$307)),IFERROR(INDEX($C$307:$V$307,MATCH($D$2,$C$280:$V$280,0)),""))</f>
        <v/>
      </c>
      <c r="AB38" s="42">
        <f>IF($B38="","",IF($B$2="Todos",SUMIFS(BD!$AA$3:$AA$5001,BD!$A$3:$A$5001,$B38),SUMIFS(BD!$AA$3:$AA$5001,BD!$A$3:$A$5001,$B38,BD!$B$3:$B$5001,$D$2)))</f>
        <v>0</v>
      </c>
      <c r="AC38" s="58">
        <f>IF($B38="","",IF($B$2="Todos",SUMIFS(BD!$AB$3:$AB$5001,BD!$A$3:$A$5001,$B38),SUMIFS(BD!$AB$3:$AB$5001,BD!$A$3:$A$5001,$B38,BD!$B$3:$B$5001,$D$2)))</f>
        <v>0</v>
      </c>
      <c r="AD38" s="42">
        <f>IF($B38="","",IF($B$2="Todos",SUMIFS(BD!$AC$3:$AC$5001,BD!$A$3:$A$5001,$B38),SUMIFS(BD!$AC$3:$AC$5001,BD!$A$3:$A$5001,$B38,BD!$B$3:$B$5001,$D$2)))</f>
        <v>0</v>
      </c>
      <c r="AE38" s="42">
        <f>IF($B38="","",IF($B$2="Todos",SUMIFS(BD!$AD$3:$AD$5001,BD!$A$3:$A$5001,$B38),SUMIFS(BD!$AD$3:$AD$5001,BD!$A$3:$A$5001,$B38,BD!$B$3:$B$5001,$D$2)))</f>
        <v>0</v>
      </c>
      <c r="AF38" s="42">
        <f>IF($B38="","",IF($B$2="Todos",SUMIFS(BD!$AE$3:$AE$5001,BD!$A$3:$A$5001,$B38),SUMIFS(BD!$AE$3:$AE$5001,BD!$A$3:$A$5001,$B38,BD!$B$3:$B$5001,$D$2)))</f>
        <v>0</v>
      </c>
      <c r="AG38" s="42">
        <f>IF($B38="","",IF($B$2="Todos",SUMIFS(BD!$AF$3:$AF$5001,BD!$A$3:$A$5001,$B38),SUMIFS(BD!$AF$3:$AF$5001,BD!$A$3:$A$5001,$B38,BD!$B$3:$B$5001,$D$2)))</f>
        <v>0</v>
      </c>
      <c r="AH38" s="42">
        <f>IF($B38="","",IF($B$2="Todos",SUMIFS(BD!$AG$3:$AG$5001,BD!$A$3:$A$5001,$B38),SUMIFS(BD!$AG$3:$AG$5001,BD!$A$3:$A$5001,$B38,BD!$B$3:$B$5001,$D$2)))</f>
        <v>0</v>
      </c>
      <c r="AI38" s="42">
        <f>IF($B38="","",IF($B$2="Todos",SUMIFS(BD!$AH$3:$AH$5001,BD!$A$3:$A$5001,$B38),SUMIFS(BD!$AH$3:$AH$5001,BD!$A$3:$A$5001,$B38,BD!$B$3:$B$5001,$D$2)))</f>
        <v>0</v>
      </c>
      <c r="AJ38" s="61">
        <f>$B$5</f>
        <v>0.7</v>
      </c>
      <c r="AK38" s="61">
        <f>$B$6</f>
        <v>0.9</v>
      </c>
    </row>
    <row r="39">
      <c r="A39" s="39">
        <v>28</v>
      </c>
      <c r="B39" s="57">
        <f>IF($A39&lt;=DAY($D$7),$C$7+$A39-1,"")</f>
        <v>46323</v>
      </c>
      <c r="C39" s="42">
        <f>IF($B39="","",IF($B$2="Todos",SUMIFS(BD!$C$3:$C$5001,BD!$A$3:$A$5001,$B39),SUMIFS(BD!$C$3:$C$5001,BD!$A$3:$A$5001,$B39,BD!$B$3:$B$5001,$D$2)))</f>
        <v>0</v>
      </c>
      <c r="D39" s="42">
        <f>IF($B39="","",IF($B$2="Todos",SUMIFS(BD!$D$3:$D$5001,BD!$A$3:$A$5001,$B39),SUMIFS(BD!$D$3:$D$5001,BD!$A$3:$A$5001,$B39,BD!$B$3:$B$5001,$D$2)))</f>
        <v>0</v>
      </c>
      <c r="E39" s="58">
        <f>IF($B39="","",IF($B$2="Todos",SUMIFS(BD!$E$3:$E$5001,BD!$A$3:$A$5001,$B39),SUMIFS(BD!$E$3:$E$5001,BD!$A$3:$A$5001,$B39,BD!$B$3:$B$5001,$D$2)))</f>
        <v>0</v>
      </c>
      <c r="F39" s="42">
        <f>IF($B39="","",IF($B$2="Todos",SUMIFS(BD!$F$3:$F$5001,BD!$A$3:$A$5001,$B39),SUMIFS(BD!$F$3:$F$5001,BD!$A$3:$A$5001,$B39,BD!$B$3:$B$5001,$D$2)))</f>
        <v>0</v>
      </c>
      <c r="G39" s="42">
        <f>IF($B39="","",IF($B$2="Todos",SUMIFS(BD!$G$3:$G$5001,BD!$A$3:$A$5001,$B39),SUMIFS(BD!$G$3:$G$5001,BD!$A$3:$A$5001,$B39,BD!$B$3:$B$5001,$D$2)))</f>
        <v>0</v>
      </c>
      <c r="H39" s="42">
        <f>IF($B39="","",IF($B$2="Todos",SUMIFS(BD!$H$3:$H$5001,BD!$A$3:$A$5001,$B39),SUMIFS(BD!$H$3:$H$5001,BD!$A$3:$A$5001,$B39,BD!$B$3:$B$5001,$D$2)))</f>
        <v>0</v>
      </c>
      <c r="I39" s="42">
        <f>IF($B39="","",IF($B$2="Todos",SUMIFS(BD!$I$3:$I$5001,BD!$A$3:$A$5001,$B39),SUMIFS(BD!$I$3:$I$5001,BD!$A$3:$A$5001,$B39,BD!$B$3:$B$5001,$D$2)))</f>
        <v>0</v>
      </c>
      <c r="J39" s="42">
        <f>IF($B39="","",IF($B$2="Todos",SUMIFS(BD!$J$3:$J$5001,BD!$A$3:$A$5001,$B39),SUMIFS(BD!$J$3:$J$5001,BD!$A$3:$A$5001,$B39,BD!$B$3:$B$5001,$D$2)))</f>
        <v>0</v>
      </c>
      <c r="K39" s="42">
        <f>IF($B39="","",IF($B$2="Todos",SUMIFS(BD!$K$3:$K$5001,BD!$A$3:$A$5001,$B39),SUMIFS(BD!$K$3:$K$5001,BD!$A$3:$A$5001,$B39,BD!$B$3:$B$5001,$D$2)))</f>
        <v>0</v>
      </c>
      <c r="L39" s="42">
        <f>IF($B39="","",IF($B$2="Todos",SUMIFS(BD!$L$3:$L$5001,BD!$A$3:$A$5001,$B39),SUMIFS(BD!$L$3:$L$5001,BD!$A$3:$A$5001,$B39,BD!$B$3:$B$5001,$D$2)))</f>
        <v>0</v>
      </c>
      <c r="M39" s="42">
        <f>IF($B39="","",IF($B$2="Todos",SUMIFS(BD!$M$3:$M$5001,BD!$A$3:$A$5001,$B39),SUMIFS(BD!$M$3:$M$5001,BD!$A$3:$A$5001,$B39,BD!$B$3:$B$5001,$D$2)))</f>
        <v>0</v>
      </c>
      <c r="N39" s="42">
        <f>IF($B39="","",IF($B$2="Todos",SUMIFS(BD!$N$3:$N$5001,BD!$A$3:$A$5001,$B39),SUMIFS(BD!$N$3:$N$5001,BD!$A$3:$A$5001,$B39,BD!$B$3:$B$5001,$D$2)))</f>
        <v>0</v>
      </c>
      <c r="O39" s="42">
        <f>IF($B39="","",IF($B$2="Todos",SUMIFS(BD!$O$3:$O$5001,BD!$A$3:$A$5001,$B39),SUMIFS(BD!$O$3:$O$5001,BD!$A$3:$A$5001,$B39,BD!$B$3:$B$5001,$D$2)))</f>
        <v>0</v>
      </c>
      <c r="P39" s="42">
        <f>IF($B39="","",IF($B$2="Todos",SUMIFS(BD!$P$3:$P$5001,BD!$A$3:$A$5001,$B39),SUMIFS(BD!$P$3:$P$5001,BD!$A$3:$A$5001,$B39,BD!$B$3:$B$5001,$D$2)))</f>
        <v>0</v>
      </c>
      <c r="Q39" s="42">
        <f>IF($B39="","",IF($B$2="Todos",SUMIFS(BD!$Q$3:$Q$5001,BD!$A$3:$A$5001,$B39),SUMIFS(BD!$Q$3:$Q$5001,BD!$A$3:$A$5001,$B39,BD!$B$3:$B$5001,$D$2)))</f>
        <v>0</v>
      </c>
      <c r="R39" s="42">
        <f>IF($B39="","",IF($B$2="Todos",SUMIFS(BD!$R$3:$R$5001,BD!$A$3:$A$5001,$B39),SUMIFS(BD!$R$3:$R$5001,BD!$A$3:$A$5001,$B39,BD!$B$3:$B$5001,$D$2)))</f>
        <v>0</v>
      </c>
      <c r="S39" s="58">
        <f>IF($B39="","",IF($B$2="Todos",SUMIFS(BD!$S$3:$S$5001,BD!$A$3:$A$5001,$B39),SUMIFS(BD!$S$3:$S$5001,BD!$A$3:$A$5001,$B39,BD!$B$3:$B$5001,$D$2)))</f>
        <v>0</v>
      </c>
      <c r="T39" s="42">
        <f>IF($B39="","",IF($B$2="Todos",SUMIFS(BD!$T$3:$T$5001,BD!$A$3:$A$5001,$B39),SUMIFS(BD!$T$3:$T$5001,BD!$A$3:$A$5001,$B39,BD!$B$3:$B$5001,$D$2)))</f>
        <v>0</v>
      </c>
      <c r="U39" s="42">
        <f>IF($B39="","",IF($B$2="Todos",SUMIFS(BD!$U$3:$U$5001,BD!$A$3:$A$5001,$B39),SUMIFS(BD!$U$3:$U$5001,BD!$A$3:$A$5001,$B39,BD!$B$3:$B$5001,$D$2)))</f>
        <v>0</v>
      </c>
      <c r="V39" s="42" t="str">
        <f>IF($B$2="Todos",IF(COUNT($C$168:$V$168)=0,"",SUM($C$168:$V$168)),IFERROR(INDEX($C$168:$V$168,MATCH($D$2,$C$140:$V$140,0)),""))</f>
        <v/>
      </c>
      <c r="W39" s="42" t="str">
        <f>IF($B$2="Todos",IF(COUNT($C$203:$V$203)=0,"",SUM($C$203:$V$203)),IFERROR(INDEX($C$203:$V$203,MATCH($D$2,$C$175:$V$175,0)),""))</f>
        <v/>
      </c>
      <c r="X39" s="59" t="str">
        <f>IF(Y39="","",IF($B$2="Todos",IF($B$4&gt;0,$B$4,IF($B$2="Todos",IF(COUNT($C$273:$V$273)=0,"",SUM($C$273:$V$273)),IFERROR(INDEX($C$273:$V$273,MATCH($D$2,$C$245:$V$245,0)),""))),IFERROR(INDEX($C$273:$V$273,MATCH($D$2,$C$245:$V$245,0)),"")))</f>
        <v/>
      </c>
      <c r="Y39" s="42" t="str">
        <f>IF($B$2="Todos",IF(COUNT($C$238:$V$238)=0,"",SUM($C$238:$V$238)),IFERROR(INDEX($C$238:$V$238,MATCH($D$2,$C$210:$V$210,0)),""))</f>
        <v/>
      </c>
      <c r="Z39" s="60" t="str">
        <f>IF(AND(ISNUMBER(Y39),ISNUMBER(X39)),IF(X39&gt;0,Y39/X39,""),"")</f>
        <v/>
      </c>
      <c r="AA39" s="42" t="str">
        <f>IF($B$2="Todos",IF(COUNT($C$308:$V$308)=0,"",SUM($C$308:$V$308)),IFERROR(INDEX($C$308:$V$308,MATCH($D$2,$C$280:$V$280,0)),""))</f>
        <v/>
      </c>
      <c r="AB39" s="42">
        <f>IF($B39="","",IF($B$2="Todos",SUMIFS(BD!$AA$3:$AA$5001,BD!$A$3:$A$5001,$B39),SUMIFS(BD!$AA$3:$AA$5001,BD!$A$3:$A$5001,$B39,BD!$B$3:$B$5001,$D$2)))</f>
        <v>0</v>
      </c>
      <c r="AC39" s="58">
        <f>IF($B39="","",IF($B$2="Todos",SUMIFS(BD!$AB$3:$AB$5001,BD!$A$3:$A$5001,$B39),SUMIFS(BD!$AB$3:$AB$5001,BD!$A$3:$A$5001,$B39,BD!$B$3:$B$5001,$D$2)))</f>
        <v>0</v>
      </c>
      <c r="AD39" s="42">
        <f>IF($B39="","",IF($B$2="Todos",SUMIFS(BD!$AC$3:$AC$5001,BD!$A$3:$A$5001,$B39),SUMIFS(BD!$AC$3:$AC$5001,BD!$A$3:$A$5001,$B39,BD!$B$3:$B$5001,$D$2)))</f>
        <v>0</v>
      </c>
      <c r="AE39" s="42">
        <f>IF($B39="","",IF($B$2="Todos",SUMIFS(BD!$AD$3:$AD$5001,BD!$A$3:$A$5001,$B39),SUMIFS(BD!$AD$3:$AD$5001,BD!$A$3:$A$5001,$B39,BD!$B$3:$B$5001,$D$2)))</f>
        <v>0</v>
      </c>
      <c r="AF39" s="42">
        <f>IF($B39="","",IF($B$2="Todos",SUMIFS(BD!$AE$3:$AE$5001,BD!$A$3:$A$5001,$B39),SUMIFS(BD!$AE$3:$AE$5001,BD!$A$3:$A$5001,$B39,BD!$B$3:$B$5001,$D$2)))</f>
        <v>0</v>
      </c>
      <c r="AG39" s="42">
        <f>IF($B39="","",IF($B$2="Todos",SUMIFS(BD!$AF$3:$AF$5001,BD!$A$3:$A$5001,$B39),SUMIFS(BD!$AF$3:$AF$5001,BD!$A$3:$A$5001,$B39,BD!$B$3:$B$5001,$D$2)))</f>
        <v>0</v>
      </c>
      <c r="AH39" s="42">
        <f>IF($B39="","",IF($B$2="Todos",SUMIFS(BD!$AG$3:$AG$5001,BD!$A$3:$A$5001,$B39),SUMIFS(BD!$AG$3:$AG$5001,BD!$A$3:$A$5001,$B39,BD!$B$3:$B$5001,$D$2)))</f>
        <v>0</v>
      </c>
      <c r="AI39" s="42">
        <f>IF($B39="","",IF($B$2="Todos",SUMIFS(BD!$AH$3:$AH$5001,BD!$A$3:$A$5001,$B39),SUMIFS(BD!$AH$3:$AH$5001,BD!$A$3:$A$5001,$B39,BD!$B$3:$B$5001,$D$2)))</f>
        <v>0</v>
      </c>
      <c r="AJ39" s="61">
        <f>$B$5</f>
        <v>0.7</v>
      </c>
      <c r="AK39" s="61">
        <f>$B$6</f>
        <v>0.9</v>
      </c>
    </row>
    <row r="40">
      <c r="A40" s="39">
        <v>29</v>
      </c>
      <c r="B40" s="57">
        <f>IF($A40&lt;=DAY($D$7),$C$7+$A40-1,"")</f>
        <v>46324</v>
      </c>
      <c r="C40" s="42">
        <f>IF($B40="","",IF($B$2="Todos",SUMIFS(BD!$C$3:$C$5001,BD!$A$3:$A$5001,$B40),SUMIFS(BD!$C$3:$C$5001,BD!$A$3:$A$5001,$B40,BD!$B$3:$B$5001,$D$2)))</f>
        <v>0</v>
      </c>
      <c r="D40" s="42">
        <f>IF($B40="","",IF($B$2="Todos",SUMIFS(BD!$D$3:$D$5001,BD!$A$3:$A$5001,$B40),SUMIFS(BD!$D$3:$D$5001,BD!$A$3:$A$5001,$B40,BD!$B$3:$B$5001,$D$2)))</f>
        <v>0</v>
      </c>
      <c r="E40" s="58">
        <f>IF($B40="","",IF($B$2="Todos",SUMIFS(BD!$E$3:$E$5001,BD!$A$3:$A$5001,$B40),SUMIFS(BD!$E$3:$E$5001,BD!$A$3:$A$5001,$B40,BD!$B$3:$B$5001,$D$2)))</f>
        <v>0</v>
      </c>
      <c r="F40" s="42">
        <f>IF($B40="","",IF($B$2="Todos",SUMIFS(BD!$F$3:$F$5001,BD!$A$3:$A$5001,$B40),SUMIFS(BD!$F$3:$F$5001,BD!$A$3:$A$5001,$B40,BD!$B$3:$B$5001,$D$2)))</f>
        <v>0</v>
      </c>
      <c r="G40" s="42">
        <f>IF($B40="","",IF($B$2="Todos",SUMIFS(BD!$G$3:$G$5001,BD!$A$3:$A$5001,$B40),SUMIFS(BD!$G$3:$G$5001,BD!$A$3:$A$5001,$B40,BD!$B$3:$B$5001,$D$2)))</f>
        <v>0</v>
      </c>
      <c r="H40" s="42">
        <f>IF($B40="","",IF($B$2="Todos",SUMIFS(BD!$H$3:$H$5001,BD!$A$3:$A$5001,$B40),SUMIFS(BD!$H$3:$H$5001,BD!$A$3:$A$5001,$B40,BD!$B$3:$B$5001,$D$2)))</f>
        <v>0</v>
      </c>
      <c r="I40" s="42">
        <f>IF($B40="","",IF($B$2="Todos",SUMIFS(BD!$I$3:$I$5001,BD!$A$3:$A$5001,$B40),SUMIFS(BD!$I$3:$I$5001,BD!$A$3:$A$5001,$B40,BD!$B$3:$B$5001,$D$2)))</f>
        <v>0</v>
      </c>
      <c r="J40" s="42">
        <f>IF($B40="","",IF($B$2="Todos",SUMIFS(BD!$J$3:$J$5001,BD!$A$3:$A$5001,$B40),SUMIFS(BD!$J$3:$J$5001,BD!$A$3:$A$5001,$B40,BD!$B$3:$B$5001,$D$2)))</f>
        <v>0</v>
      </c>
      <c r="K40" s="42">
        <f>IF($B40="","",IF($B$2="Todos",SUMIFS(BD!$K$3:$K$5001,BD!$A$3:$A$5001,$B40),SUMIFS(BD!$K$3:$K$5001,BD!$A$3:$A$5001,$B40,BD!$B$3:$B$5001,$D$2)))</f>
        <v>0</v>
      </c>
      <c r="L40" s="42">
        <f>IF($B40="","",IF($B$2="Todos",SUMIFS(BD!$L$3:$L$5001,BD!$A$3:$A$5001,$B40),SUMIFS(BD!$L$3:$L$5001,BD!$A$3:$A$5001,$B40,BD!$B$3:$B$5001,$D$2)))</f>
        <v>0</v>
      </c>
      <c r="M40" s="42">
        <f>IF($B40="","",IF($B$2="Todos",SUMIFS(BD!$M$3:$M$5001,BD!$A$3:$A$5001,$B40),SUMIFS(BD!$M$3:$M$5001,BD!$A$3:$A$5001,$B40,BD!$B$3:$B$5001,$D$2)))</f>
        <v>0</v>
      </c>
      <c r="N40" s="42">
        <f>IF($B40="","",IF($B$2="Todos",SUMIFS(BD!$N$3:$N$5001,BD!$A$3:$A$5001,$B40),SUMIFS(BD!$N$3:$N$5001,BD!$A$3:$A$5001,$B40,BD!$B$3:$B$5001,$D$2)))</f>
        <v>0</v>
      </c>
      <c r="O40" s="42">
        <f>IF($B40="","",IF($B$2="Todos",SUMIFS(BD!$O$3:$O$5001,BD!$A$3:$A$5001,$B40),SUMIFS(BD!$O$3:$O$5001,BD!$A$3:$A$5001,$B40,BD!$B$3:$B$5001,$D$2)))</f>
        <v>0</v>
      </c>
      <c r="P40" s="42">
        <f>IF($B40="","",IF($B$2="Todos",SUMIFS(BD!$P$3:$P$5001,BD!$A$3:$A$5001,$B40),SUMIFS(BD!$P$3:$P$5001,BD!$A$3:$A$5001,$B40,BD!$B$3:$B$5001,$D$2)))</f>
        <v>0</v>
      </c>
      <c r="Q40" s="42">
        <f>IF($B40="","",IF($B$2="Todos",SUMIFS(BD!$Q$3:$Q$5001,BD!$A$3:$A$5001,$B40),SUMIFS(BD!$Q$3:$Q$5001,BD!$A$3:$A$5001,$B40,BD!$B$3:$B$5001,$D$2)))</f>
        <v>0</v>
      </c>
      <c r="R40" s="42">
        <f>IF($B40="","",IF($B$2="Todos",SUMIFS(BD!$R$3:$R$5001,BD!$A$3:$A$5001,$B40),SUMIFS(BD!$R$3:$R$5001,BD!$A$3:$A$5001,$B40,BD!$B$3:$B$5001,$D$2)))</f>
        <v>0</v>
      </c>
      <c r="S40" s="58">
        <f>IF($B40="","",IF($B$2="Todos",SUMIFS(BD!$S$3:$S$5001,BD!$A$3:$A$5001,$B40),SUMIFS(BD!$S$3:$S$5001,BD!$A$3:$A$5001,$B40,BD!$B$3:$B$5001,$D$2)))</f>
        <v>0</v>
      </c>
      <c r="T40" s="42">
        <f>IF($B40="","",IF($B$2="Todos",SUMIFS(BD!$T$3:$T$5001,BD!$A$3:$A$5001,$B40),SUMIFS(BD!$T$3:$T$5001,BD!$A$3:$A$5001,$B40,BD!$B$3:$B$5001,$D$2)))</f>
        <v>0</v>
      </c>
      <c r="U40" s="42">
        <f>IF($B40="","",IF($B$2="Todos",SUMIFS(BD!$U$3:$U$5001,BD!$A$3:$A$5001,$B40),SUMIFS(BD!$U$3:$U$5001,BD!$A$3:$A$5001,$B40,BD!$B$3:$B$5001,$D$2)))</f>
        <v>0</v>
      </c>
      <c r="V40" s="42" t="str">
        <f>IF($B$2="Todos",IF(COUNT($C$169:$V$169)=0,"",SUM($C$169:$V$169)),IFERROR(INDEX($C$169:$V$169,MATCH($D$2,$C$140:$V$140,0)),""))</f>
        <v/>
      </c>
      <c r="W40" s="42" t="str">
        <f>IF($B$2="Todos",IF(COUNT($C$204:$V$204)=0,"",SUM($C$204:$V$204)),IFERROR(INDEX($C$204:$V$204,MATCH($D$2,$C$175:$V$175,0)),""))</f>
        <v/>
      </c>
      <c r="X40" s="59" t="str">
        <f>IF(Y40="","",IF($B$2="Todos",IF($B$4&gt;0,$B$4,IF($B$2="Todos",IF(COUNT($C$274:$V$274)=0,"",SUM($C$274:$V$274)),IFERROR(INDEX($C$274:$V$274,MATCH($D$2,$C$245:$V$245,0)),""))),IFERROR(INDEX($C$274:$V$274,MATCH($D$2,$C$245:$V$245,0)),"")))</f>
        <v/>
      </c>
      <c r="Y40" s="42" t="str">
        <f>IF($B$2="Todos",IF(COUNT($C$239:$V$239)=0,"",SUM($C$239:$V$239)),IFERROR(INDEX($C$239:$V$239,MATCH($D$2,$C$210:$V$210,0)),""))</f>
        <v/>
      </c>
      <c r="Z40" s="60" t="str">
        <f>IF(AND(ISNUMBER(Y40),ISNUMBER(X40)),IF(X40&gt;0,Y40/X40,""),"")</f>
        <v/>
      </c>
      <c r="AA40" s="42" t="str">
        <f>IF($B$2="Todos",IF(COUNT($C$309:$V$309)=0,"",SUM($C$309:$V$309)),IFERROR(INDEX($C$309:$V$309,MATCH($D$2,$C$280:$V$280,0)),""))</f>
        <v/>
      </c>
      <c r="AB40" s="42">
        <f>IF($B40="","",IF($B$2="Todos",SUMIFS(BD!$AA$3:$AA$5001,BD!$A$3:$A$5001,$B40),SUMIFS(BD!$AA$3:$AA$5001,BD!$A$3:$A$5001,$B40,BD!$B$3:$B$5001,$D$2)))</f>
        <v>0</v>
      </c>
      <c r="AC40" s="58">
        <f>IF($B40="","",IF($B$2="Todos",SUMIFS(BD!$AB$3:$AB$5001,BD!$A$3:$A$5001,$B40),SUMIFS(BD!$AB$3:$AB$5001,BD!$A$3:$A$5001,$B40,BD!$B$3:$B$5001,$D$2)))</f>
        <v>0</v>
      </c>
      <c r="AD40" s="42">
        <f>IF($B40="","",IF($B$2="Todos",SUMIFS(BD!$AC$3:$AC$5001,BD!$A$3:$A$5001,$B40),SUMIFS(BD!$AC$3:$AC$5001,BD!$A$3:$A$5001,$B40,BD!$B$3:$B$5001,$D$2)))</f>
        <v>0</v>
      </c>
      <c r="AE40" s="42">
        <f>IF($B40="","",IF($B$2="Todos",SUMIFS(BD!$AD$3:$AD$5001,BD!$A$3:$A$5001,$B40),SUMIFS(BD!$AD$3:$AD$5001,BD!$A$3:$A$5001,$B40,BD!$B$3:$B$5001,$D$2)))</f>
        <v>0</v>
      </c>
      <c r="AF40" s="42">
        <f>IF($B40="","",IF($B$2="Todos",SUMIFS(BD!$AE$3:$AE$5001,BD!$A$3:$A$5001,$B40),SUMIFS(BD!$AE$3:$AE$5001,BD!$A$3:$A$5001,$B40,BD!$B$3:$B$5001,$D$2)))</f>
        <v>0</v>
      </c>
      <c r="AG40" s="42">
        <f>IF($B40="","",IF($B$2="Todos",SUMIFS(BD!$AF$3:$AF$5001,BD!$A$3:$A$5001,$B40),SUMIFS(BD!$AF$3:$AF$5001,BD!$A$3:$A$5001,$B40,BD!$B$3:$B$5001,$D$2)))</f>
        <v>0</v>
      </c>
      <c r="AH40" s="42">
        <f>IF($B40="","",IF($B$2="Todos",SUMIFS(BD!$AG$3:$AG$5001,BD!$A$3:$A$5001,$B40),SUMIFS(BD!$AG$3:$AG$5001,BD!$A$3:$A$5001,$B40,BD!$B$3:$B$5001,$D$2)))</f>
        <v>0</v>
      </c>
      <c r="AI40" s="42">
        <f>IF($B40="","",IF($B$2="Todos",SUMIFS(BD!$AH$3:$AH$5001,BD!$A$3:$A$5001,$B40),SUMIFS(BD!$AH$3:$AH$5001,BD!$A$3:$A$5001,$B40,BD!$B$3:$B$5001,$D$2)))</f>
        <v>0</v>
      </c>
      <c r="AJ40" s="61">
        <f>$B$5</f>
        <v>0.7</v>
      </c>
      <c r="AK40" s="61">
        <f>$B$6</f>
        <v>0.9</v>
      </c>
    </row>
    <row r="41">
      <c r="A41" s="39">
        <v>30</v>
      </c>
      <c r="B41" s="57">
        <f>IF($A41&lt;=DAY($D$7),$C$7+$A41-1,"")</f>
        <v>46325</v>
      </c>
      <c r="C41" s="42">
        <f>IF($B41="","",IF($B$2="Todos",SUMIFS(BD!$C$3:$C$5001,BD!$A$3:$A$5001,$B41),SUMIFS(BD!$C$3:$C$5001,BD!$A$3:$A$5001,$B41,BD!$B$3:$B$5001,$D$2)))</f>
        <v>0</v>
      </c>
      <c r="D41" s="42">
        <f>IF($B41="","",IF($B$2="Todos",SUMIFS(BD!$D$3:$D$5001,BD!$A$3:$A$5001,$B41),SUMIFS(BD!$D$3:$D$5001,BD!$A$3:$A$5001,$B41,BD!$B$3:$B$5001,$D$2)))</f>
        <v>0</v>
      </c>
      <c r="E41" s="58">
        <f>IF($B41="","",IF($B$2="Todos",SUMIFS(BD!$E$3:$E$5001,BD!$A$3:$A$5001,$B41),SUMIFS(BD!$E$3:$E$5001,BD!$A$3:$A$5001,$B41,BD!$B$3:$B$5001,$D$2)))</f>
        <v>0</v>
      </c>
      <c r="F41" s="42">
        <f>IF($B41="","",IF($B$2="Todos",SUMIFS(BD!$F$3:$F$5001,BD!$A$3:$A$5001,$B41),SUMIFS(BD!$F$3:$F$5001,BD!$A$3:$A$5001,$B41,BD!$B$3:$B$5001,$D$2)))</f>
        <v>0</v>
      </c>
      <c r="G41" s="42">
        <f>IF($B41="","",IF($B$2="Todos",SUMIFS(BD!$G$3:$G$5001,BD!$A$3:$A$5001,$B41),SUMIFS(BD!$G$3:$G$5001,BD!$A$3:$A$5001,$B41,BD!$B$3:$B$5001,$D$2)))</f>
        <v>0</v>
      </c>
      <c r="H41" s="42">
        <f>IF($B41="","",IF($B$2="Todos",SUMIFS(BD!$H$3:$H$5001,BD!$A$3:$A$5001,$B41),SUMIFS(BD!$H$3:$H$5001,BD!$A$3:$A$5001,$B41,BD!$B$3:$B$5001,$D$2)))</f>
        <v>0</v>
      </c>
      <c r="I41" s="42">
        <f>IF($B41="","",IF($B$2="Todos",SUMIFS(BD!$I$3:$I$5001,BD!$A$3:$A$5001,$B41),SUMIFS(BD!$I$3:$I$5001,BD!$A$3:$A$5001,$B41,BD!$B$3:$B$5001,$D$2)))</f>
        <v>0</v>
      </c>
      <c r="J41" s="42">
        <f>IF($B41="","",IF($B$2="Todos",SUMIFS(BD!$J$3:$J$5001,BD!$A$3:$A$5001,$B41),SUMIFS(BD!$J$3:$J$5001,BD!$A$3:$A$5001,$B41,BD!$B$3:$B$5001,$D$2)))</f>
        <v>0</v>
      </c>
      <c r="K41" s="42">
        <f>IF($B41="","",IF($B$2="Todos",SUMIFS(BD!$K$3:$K$5001,BD!$A$3:$A$5001,$B41),SUMIFS(BD!$K$3:$K$5001,BD!$A$3:$A$5001,$B41,BD!$B$3:$B$5001,$D$2)))</f>
        <v>0</v>
      </c>
      <c r="L41" s="42">
        <f>IF($B41="","",IF($B$2="Todos",SUMIFS(BD!$L$3:$L$5001,BD!$A$3:$A$5001,$B41),SUMIFS(BD!$L$3:$L$5001,BD!$A$3:$A$5001,$B41,BD!$B$3:$B$5001,$D$2)))</f>
        <v>0</v>
      </c>
      <c r="M41" s="42">
        <f>IF($B41="","",IF($B$2="Todos",SUMIFS(BD!$M$3:$M$5001,BD!$A$3:$A$5001,$B41),SUMIFS(BD!$M$3:$M$5001,BD!$A$3:$A$5001,$B41,BD!$B$3:$B$5001,$D$2)))</f>
        <v>0</v>
      </c>
      <c r="N41" s="42">
        <f>IF($B41="","",IF($B$2="Todos",SUMIFS(BD!$N$3:$N$5001,BD!$A$3:$A$5001,$B41),SUMIFS(BD!$N$3:$N$5001,BD!$A$3:$A$5001,$B41,BD!$B$3:$B$5001,$D$2)))</f>
        <v>0</v>
      </c>
      <c r="O41" s="42">
        <f>IF($B41="","",IF($B$2="Todos",SUMIFS(BD!$O$3:$O$5001,BD!$A$3:$A$5001,$B41),SUMIFS(BD!$O$3:$O$5001,BD!$A$3:$A$5001,$B41,BD!$B$3:$B$5001,$D$2)))</f>
        <v>0</v>
      </c>
      <c r="P41" s="42">
        <f>IF($B41="","",IF($B$2="Todos",SUMIFS(BD!$P$3:$P$5001,BD!$A$3:$A$5001,$B41),SUMIFS(BD!$P$3:$P$5001,BD!$A$3:$A$5001,$B41,BD!$B$3:$B$5001,$D$2)))</f>
        <v>0</v>
      </c>
      <c r="Q41" s="42">
        <f>IF($B41="","",IF($B$2="Todos",SUMIFS(BD!$Q$3:$Q$5001,BD!$A$3:$A$5001,$B41),SUMIFS(BD!$Q$3:$Q$5001,BD!$A$3:$A$5001,$B41,BD!$B$3:$B$5001,$D$2)))</f>
        <v>0</v>
      </c>
      <c r="R41" s="42">
        <f>IF($B41="","",IF($B$2="Todos",SUMIFS(BD!$R$3:$R$5001,BD!$A$3:$A$5001,$B41),SUMIFS(BD!$R$3:$R$5001,BD!$A$3:$A$5001,$B41,BD!$B$3:$B$5001,$D$2)))</f>
        <v>0</v>
      </c>
      <c r="S41" s="58">
        <f>IF($B41="","",IF($B$2="Todos",SUMIFS(BD!$S$3:$S$5001,BD!$A$3:$A$5001,$B41),SUMIFS(BD!$S$3:$S$5001,BD!$A$3:$A$5001,$B41,BD!$B$3:$B$5001,$D$2)))</f>
        <v>0</v>
      </c>
      <c r="T41" s="42">
        <f>IF($B41="","",IF($B$2="Todos",SUMIFS(BD!$T$3:$T$5001,BD!$A$3:$A$5001,$B41),SUMIFS(BD!$T$3:$T$5001,BD!$A$3:$A$5001,$B41,BD!$B$3:$B$5001,$D$2)))</f>
        <v>0</v>
      </c>
      <c r="U41" s="42">
        <f>IF($B41="","",IF($B$2="Todos",SUMIFS(BD!$U$3:$U$5001,BD!$A$3:$A$5001,$B41),SUMIFS(BD!$U$3:$U$5001,BD!$A$3:$A$5001,$B41,BD!$B$3:$B$5001,$D$2)))</f>
        <v>0</v>
      </c>
      <c r="V41" s="42" t="str">
        <f>IF($B$2="Todos",IF(COUNT($C$170:$V$170)=0,"",SUM($C$170:$V$170)),IFERROR(INDEX($C$170:$V$170,MATCH($D$2,$C$140:$V$140,0)),""))</f>
        <v/>
      </c>
      <c r="W41" s="42" t="str">
        <f>IF($B$2="Todos",IF(COUNT($C$205:$V$205)=0,"",SUM($C$205:$V$205)),IFERROR(INDEX($C$205:$V$205,MATCH($D$2,$C$175:$V$175,0)),""))</f>
        <v/>
      </c>
      <c r="X41" s="59" t="str">
        <f>IF(Y41="","",IF($B$2="Todos",IF($B$4&gt;0,$B$4,IF($B$2="Todos",IF(COUNT($C$275:$V$275)=0,"",SUM($C$275:$V$275)),IFERROR(INDEX($C$275:$V$275,MATCH($D$2,$C$245:$V$245,0)),""))),IFERROR(INDEX($C$275:$V$275,MATCH($D$2,$C$245:$V$245,0)),"")))</f>
        <v/>
      </c>
      <c r="Y41" s="42" t="str">
        <f>IF($B$2="Todos",IF(COUNT($C$240:$V$240)=0,"",SUM($C$240:$V$240)),IFERROR(INDEX($C$240:$V$240,MATCH($D$2,$C$210:$V$210,0)),""))</f>
        <v/>
      </c>
      <c r="Z41" s="60" t="str">
        <f>IF(AND(ISNUMBER(Y41),ISNUMBER(X41)),IF(X41&gt;0,Y41/X41,""),"")</f>
        <v/>
      </c>
      <c r="AA41" s="42" t="str">
        <f>IF($B$2="Todos",IF(COUNT($C$310:$V$310)=0,"",SUM($C$310:$V$310)),IFERROR(INDEX($C$310:$V$310,MATCH($D$2,$C$280:$V$280,0)),""))</f>
        <v/>
      </c>
      <c r="AB41" s="42">
        <f>IF($B41="","",IF($B$2="Todos",SUMIFS(BD!$AA$3:$AA$5001,BD!$A$3:$A$5001,$B41),SUMIFS(BD!$AA$3:$AA$5001,BD!$A$3:$A$5001,$B41,BD!$B$3:$B$5001,$D$2)))</f>
        <v>0</v>
      </c>
      <c r="AC41" s="58">
        <f>IF($B41="","",IF($B$2="Todos",SUMIFS(BD!$AB$3:$AB$5001,BD!$A$3:$A$5001,$B41),SUMIFS(BD!$AB$3:$AB$5001,BD!$A$3:$A$5001,$B41,BD!$B$3:$B$5001,$D$2)))</f>
        <v>0</v>
      </c>
      <c r="AD41" s="42">
        <f>IF($B41="","",IF($B$2="Todos",SUMIFS(BD!$AC$3:$AC$5001,BD!$A$3:$A$5001,$B41),SUMIFS(BD!$AC$3:$AC$5001,BD!$A$3:$A$5001,$B41,BD!$B$3:$B$5001,$D$2)))</f>
        <v>0</v>
      </c>
      <c r="AE41" s="42">
        <f>IF($B41="","",IF($B$2="Todos",SUMIFS(BD!$AD$3:$AD$5001,BD!$A$3:$A$5001,$B41),SUMIFS(BD!$AD$3:$AD$5001,BD!$A$3:$A$5001,$B41,BD!$B$3:$B$5001,$D$2)))</f>
        <v>0</v>
      </c>
      <c r="AF41" s="42">
        <f>IF($B41="","",IF($B$2="Todos",SUMIFS(BD!$AE$3:$AE$5001,BD!$A$3:$A$5001,$B41),SUMIFS(BD!$AE$3:$AE$5001,BD!$A$3:$A$5001,$B41,BD!$B$3:$B$5001,$D$2)))</f>
        <v>0</v>
      </c>
      <c r="AG41" s="42">
        <f>IF($B41="","",IF($B$2="Todos",SUMIFS(BD!$AF$3:$AF$5001,BD!$A$3:$A$5001,$B41),SUMIFS(BD!$AF$3:$AF$5001,BD!$A$3:$A$5001,$B41,BD!$B$3:$B$5001,$D$2)))</f>
        <v>0</v>
      </c>
      <c r="AH41" s="42">
        <f>IF($B41="","",IF($B$2="Todos",SUMIFS(BD!$AG$3:$AG$5001,BD!$A$3:$A$5001,$B41),SUMIFS(BD!$AG$3:$AG$5001,BD!$A$3:$A$5001,$B41,BD!$B$3:$B$5001,$D$2)))</f>
        <v>0</v>
      </c>
      <c r="AI41" s="42">
        <f>IF($B41="","",IF($B$2="Todos",SUMIFS(BD!$AH$3:$AH$5001,BD!$A$3:$A$5001,$B41),SUMIFS(BD!$AH$3:$AH$5001,BD!$A$3:$A$5001,$B41,BD!$B$3:$B$5001,$D$2)))</f>
        <v>0</v>
      </c>
      <c r="AJ41" s="61">
        <f>$B$5</f>
        <v>0.7</v>
      </c>
      <c r="AK41" s="61">
        <f>$B$6</f>
        <v>0.9</v>
      </c>
    </row>
    <row r="42">
      <c r="A42" s="39">
        <v>31</v>
      </c>
      <c r="B42" s="57">
        <f>IF($A42&lt;=DAY($D$7),$C$7+$A42-1,"")</f>
        <v>46326</v>
      </c>
      <c r="C42" s="42">
        <f>IF($B42="","",IF($B$2="Todos",SUMIFS(BD!$C$3:$C$5001,BD!$A$3:$A$5001,$B42),SUMIFS(BD!$C$3:$C$5001,BD!$A$3:$A$5001,$B42,BD!$B$3:$B$5001,$D$2)))</f>
        <v>0</v>
      </c>
      <c r="D42" s="42">
        <f>IF($B42="","",IF($B$2="Todos",SUMIFS(BD!$D$3:$D$5001,BD!$A$3:$A$5001,$B42),SUMIFS(BD!$D$3:$D$5001,BD!$A$3:$A$5001,$B42,BD!$B$3:$B$5001,$D$2)))</f>
        <v>0</v>
      </c>
      <c r="E42" s="58">
        <f>IF($B42="","",IF($B$2="Todos",SUMIFS(BD!$E$3:$E$5001,BD!$A$3:$A$5001,$B42),SUMIFS(BD!$E$3:$E$5001,BD!$A$3:$A$5001,$B42,BD!$B$3:$B$5001,$D$2)))</f>
        <v>0</v>
      </c>
      <c r="F42" s="42">
        <f>IF($B42="","",IF($B$2="Todos",SUMIFS(BD!$F$3:$F$5001,BD!$A$3:$A$5001,$B42),SUMIFS(BD!$F$3:$F$5001,BD!$A$3:$A$5001,$B42,BD!$B$3:$B$5001,$D$2)))</f>
        <v>0</v>
      </c>
      <c r="G42" s="42">
        <f>IF($B42="","",IF($B$2="Todos",SUMIFS(BD!$G$3:$G$5001,BD!$A$3:$A$5001,$B42),SUMIFS(BD!$G$3:$G$5001,BD!$A$3:$A$5001,$B42,BD!$B$3:$B$5001,$D$2)))</f>
        <v>0</v>
      </c>
      <c r="H42" s="42">
        <f>IF($B42="","",IF($B$2="Todos",SUMIFS(BD!$H$3:$H$5001,BD!$A$3:$A$5001,$B42),SUMIFS(BD!$H$3:$H$5001,BD!$A$3:$A$5001,$B42,BD!$B$3:$B$5001,$D$2)))</f>
        <v>0</v>
      </c>
      <c r="I42" s="42">
        <f>IF($B42="","",IF($B$2="Todos",SUMIFS(BD!$I$3:$I$5001,BD!$A$3:$A$5001,$B42),SUMIFS(BD!$I$3:$I$5001,BD!$A$3:$A$5001,$B42,BD!$B$3:$B$5001,$D$2)))</f>
        <v>0</v>
      </c>
      <c r="J42" s="42">
        <f>IF($B42="","",IF($B$2="Todos",SUMIFS(BD!$J$3:$J$5001,BD!$A$3:$A$5001,$B42),SUMIFS(BD!$J$3:$J$5001,BD!$A$3:$A$5001,$B42,BD!$B$3:$B$5001,$D$2)))</f>
        <v>0</v>
      </c>
      <c r="K42" s="42">
        <f>IF($B42="","",IF($B$2="Todos",SUMIFS(BD!$K$3:$K$5001,BD!$A$3:$A$5001,$B42),SUMIFS(BD!$K$3:$K$5001,BD!$A$3:$A$5001,$B42,BD!$B$3:$B$5001,$D$2)))</f>
        <v>0</v>
      </c>
      <c r="L42" s="42">
        <f>IF($B42="","",IF($B$2="Todos",SUMIFS(BD!$L$3:$L$5001,BD!$A$3:$A$5001,$B42),SUMIFS(BD!$L$3:$L$5001,BD!$A$3:$A$5001,$B42,BD!$B$3:$B$5001,$D$2)))</f>
        <v>0</v>
      </c>
      <c r="M42" s="42">
        <f>IF($B42="","",IF($B$2="Todos",SUMIFS(BD!$M$3:$M$5001,BD!$A$3:$A$5001,$B42),SUMIFS(BD!$M$3:$M$5001,BD!$A$3:$A$5001,$B42,BD!$B$3:$B$5001,$D$2)))</f>
        <v>0</v>
      </c>
      <c r="N42" s="42">
        <f>IF($B42="","",IF($B$2="Todos",SUMIFS(BD!$N$3:$N$5001,BD!$A$3:$A$5001,$B42),SUMIFS(BD!$N$3:$N$5001,BD!$A$3:$A$5001,$B42,BD!$B$3:$B$5001,$D$2)))</f>
        <v>0</v>
      </c>
      <c r="O42" s="42">
        <f>IF($B42="","",IF($B$2="Todos",SUMIFS(BD!$O$3:$O$5001,BD!$A$3:$A$5001,$B42),SUMIFS(BD!$O$3:$O$5001,BD!$A$3:$A$5001,$B42,BD!$B$3:$B$5001,$D$2)))</f>
        <v>0</v>
      </c>
      <c r="P42" s="42">
        <f>IF($B42="","",IF($B$2="Todos",SUMIFS(BD!$P$3:$P$5001,BD!$A$3:$A$5001,$B42),SUMIFS(BD!$P$3:$P$5001,BD!$A$3:$A$5001,$B42,BD!$B$3:$B$5001,$D$2)))</f>
        <v>0</v>
      </c>
      <c r="Q42" s="42">
        <f>IF($B42="","",IF($B$2="Todos",SUMIFS(BD!$Q$3:$Q$5001,BD!$A$3:$A$5001,$B42),SUMIFS(BD!$Q$3:$Q$5001,BD!$A$3:$A$5001,$B42,BD!$B$3:$B$5001,$D$2)))</f>
        <v>0</v>
      </c>
      <c r="R42" s="42">
        <f>IF($B42="","",IF($B$2="Todos",SUMIFS(BD!$R$3:$R$5001,BD!$A$3:$A$5001,$B42),SUMIFS(BD!$R$3:$R$5001,BD!$A$3:$A$5001,$B42,BD!$B$3:$B$5001,$D$2)))</f>
        <v>0</v>
      </c>
      <c r="S42" s="58">
        <f>IF($B42="","",IF($B$2="Todos",SUMIFS(BD!$S$3:$S$5001,BD!$A$3:$A$5001,$B42),SUMIFS(BD!$S$3:$S$5001,BD!$A$3:$A$5001,$B42,BD!$B$3:$B$5001,$D$2)))</f>
        <v>0</v>
      </c>
      <c r="T42" s="42">
        <f>IF($B42="","",IF($B$2="Todos",SUMIFS(BD!$T$3:$T$5001,BD!$A$3:$A$5001,$B42),SUMIFS(BD!$T$3:$T$5001,BD!$A$3:$A$5001,$B42,BD!$B$3:$B$5001,$D$2)))</f>
        <v>0</v>
      </c>
      <c r="U42" s="42">
        <f>IF($B42="","",IF($B$2="Todos",SUMIFS(BD!$U$3:$U$5001,BD!$A$3:$A$5001,$B42),SUMIFS(BD!$U$3:$U$5001,BD!$A$3:$A$5001,$B42,BD!$B$3:$B$5001,$D$2)))</f>
        <v>0</v>
      </c>
      <c r="V42" s="42" t="str">
        <f>IF($B$2="Todos",IF(COUNT($C$171:$V$171)=0,"",SUM($C$171:$V$171)),IFERROR(INDEX($C$171:$V$171,MATCH($D$2,$C$140:$V$140,0)),""))</f>
        <v/>
      </c>
      <c r="W42" s="42" t="str">
        <f>IF($B$2="Todos",IF(COUNT($C$206:$V$206)=0,"",SUM($C$206:$V$206)),IFERROR(INDEX($C$206:$V$206,MATCH($D$2,$C$175:$V$175,0)),""))</f>
        <v/>
      </c>
      <c r="X42" s="59" t="str">
        <f>IF(Y42="","",IF($B$2="Todos",IF($B$4&gt;0,$B$4,IF($B$2="Todos",IF(COUNT($C$276:$V$276)=0,"",SUM($C$276:$V$276)),IFERROR(INDEX($C$276:$V$276,MATCH($D$2,$C$245:$V$245,0)),""))),IFERROR(INDEX($C$276:$V$276,MATCH($D$2,$C$245:$V$245,0)),"")))</f>
        <v/>
      </c>
      <c r="Y42" s="42" t="str">
        <f>IF($B$2="Todos",IF(COUNT($C$241:$V$241)=0,"",SUM($C$241:$V$241)),IFERROR(INDEX($C$241:$V$241,MATCH($D$2,$C$210:$V$210,0)),""))</f>
        <v/>
      </c>
      <c r="Z42" s="60" t="str">
        <f>IF(AND(ISNUMBER(Y42),ISNUMBER(X42)),IF(X42&gt;0,Y42/X42,""),"")</f>
        <v/>
      </c>
      <c r="AA42" s="42" t="str">
        <f>IF($B$2="Todos",IF(COUNT($C$311:$V$311)=0,"",SUM($C$311:$V$311)),IFERROR(INDEX($C$311:$V$311,MATCH($D$2,$C$280:$V$280,0)),""))</f>
        <v/>
      </c>
      <c r="AB42" s="42">
        <f>IF($B42="","",IF($B$2="Todos",SUMIFS(BD!$AA$3:$AA$5001,BD!$A$3:$A$5001,$B42),SUMIFS(BD!$AA$3:$AA$5001,BD!$A$3:$A$5001,$B42,BD!$B$3:$B$5001,$D$2)))</f>
        <v>0</v>
      </c>
      <c r="AC42" s="58">
        <f>IF($B42="","",IF($B$2="Todos",SUMIFS(BD!$AB$3:$AB$5001,BD!$A$3:$A$5001,$B42),SUMIFS(BD!$AB$3:$AB$5001,BD!$A$3:$A$5001,$B42,BD!$B$3:$B$5001,$D$2)))</f>
        <v>0</v>
      </c>
      <c r="AD42" s="42">
        <f>IF($B42="","",IF($B$2="Todos",SUMIFS(BD!$AC$3:$AC$5001,BD!$A$3:$A$5001,$B42),SUMIFS(BD!$AC$3:$AC$5001,BD!$A$3:$A$5001,$B42,BD!$B$3:$B$5001,$D$2)))</f>
        <v>0</v>
      </c>
      <c r="AE42" s="42">
        <f>IF($B42="","",IF($B$2="Todos",SUMIFS(BD!$AD$3:$AD$5001,BD!$A$3:$A$5001,$B42),SUMIFS(BD!$AD$3:$AD$5001,BD!$A$3:$A$5001,$B42,BD!$B$3:$B$5001,$D$2)))</f>
        <v>0</v>
      </c>
      <c r="AF42" s="42">
        <f>IF($B42="","",IF($B$2="Todos",SUMIFS(BD!$AE$3:$AE$5001,BD!$A$3:$A$5001,$B42),SUMIFS(BD!$AE$3:$AE$5001,BD!$A$3:$A$5001,$B42,BD!$B$3:$B$5001,$D$2)))</f>
        <v>0</v>
      </c>
      <c r="AG42" s="42">
        <f>IF($B42="","",IF($B$2="Todos",SUMIFS(BD!$AF$3:$AF$5001,BD!$A$3:$A$5001,$B42),SUMIFS(BD!$AF$3:$AF$5001,BD!$A$3:$A$5001,$B42,BD!$B$3:$B$5001,$D$2)))</f>
        <v>0</v>
      </c>
      <c r="AH42" s="42">
        <f>IF($B42="","",IF($B$2="Todos",SUMIFS(BD!$AG$3:$AG$5001,BD!$A$3:$A$5001,$B42),SUMIFS(BD!$AG$3:$AG$5001,BD!$A$3:$A$5001,$B42,BD!$B$3:$B$5001,$D$2)))</f>
        <v>0</v>
      </c>
      <c r="AI42" s="42">
        <f>IF($B42="","",IF($B$2="Todos",SUMIFS(BD!$AH$3:$AH$5001,BD!$A$3:$A$5001,$B42),SUMIFS(BD!$AH$3:$AH$5001,BD!$A$3:$A$5001,$B42,BD!$B$3:$B$5001,$D$2)))</f>
        <v>0</v>
      </c>
      <c r="AJ42" s="61">
        <f>$B$5</f>
        <v>0.7</v>
      </c>
      <c r="AK42" s="61">
        <f>$B$6</f>
        <v>0.9</v>
      </c>
    </row>
    <row r="43">
      <c r="A43" s="62" t="inlineStr">
        <is>
          <t xml:space="preserve">Realizado no mês (soma · último valor em estoque)</t>
        </is>
      </c>
      <c r="C43" s="64">
        <f>SUM(C12:C42)</f>
        <v>0</v>
      </c>
      <c r="D43" s="64">
        <f>SUM(D12:D42)</f>
        <v>0</v>
      </c>
      <c r="E43" s="70">
        <f>SUM(E12:E42)</f>
        <v>0</v>
      </c>
      <c r="F43" s="64">
        <f>SUM(F12:F42)</f>
        <v>0</v>
      </c>
      <c r="G43" s="64">
        <f>SUM(G12:G42)</f>
        <v>0</v>
      </c>
      <c r="H43" s="64">
        <f>SUM(H12:H42)</f>
        <v>0</v>
      </c>
      <c r="I43" s="64">
        <f>SUM(I12:I42)</f>
        <v>0</v>
      </c>
      <c r="J43" s="64">
        <f>SUM(J12:J42)</f>
        <v>0</v>
      </c>
      <c r="K43" s="64">
        <f>SUM(K12:K42)</f>
        <v>0</v>
      </c>
      <c r="L43" s="64">
        <f>SUM(L12:L42)</f>
        <v>0</v>
      </c>
      <c r="M43" s="64">
        <f>SUM(M12:M42)</f>
        <v>0</v>
      </c>
      <c r="N43" s="64">
        <f>SUM(N12:N42)</f>
        <v>0</v>
      </c>
      <c r="O43" s="64">
        <f>SUM(O12:O42)</f>
        <v>0</v>
      </c>
      <c r="P43" s="64">
        <f>SUM(P12:P42)</f>
        <v>0</v>
      </c>
      <c r="Q43" s="64">
        <f>SUM(Q12:Q42)</f>
        <v>0</v>
      </c>
      <c r="R43" s="64">
        <f>SUM(R12:R42)</f>
        <v>0</v>
      </c>
      <c r="S43" s="70">
        <f>SUM(S12:S42)</f>
        <v>0</v>
      </c>
      <c r="T43" s="64">
        <f>SUM(T12:T42)</f>
        <v>0</v>
      </c>
      <c r="U43" s="64">
        <f>SUM(U12:U42)</f>
        <v>0</v>
      </c>
      <c r="V43" s="64" t="str">
        <f>IFERROR(LOOKUP(9.99E+307,V12:V42),"")</f>
        <v/>
      </c>
      <c r="W43" s="64" t="str">
        <f>IFERROR(LOOKUP(9.99E+307,W12:W42),"")</f>
        <v/>
      </c>
      <c r="X43" s="64" t="str">
        <f>IFERROR(LOOKUP(9.99E+307,X12:X42),"")</f>
        <v/>
      </c>
      <c r="Y43" s="64" t="str">
        <f>IFERROR(LOOKUP(9.99E+307,Y12:Y42),"")</f>
        <v/>
      </c>
      <c r="Z43" s="71" t="str">
        <f>IFERROR(LOOKUP(9.99E+307,Z12:Z42),"")</f>
        <v/>
      </c>
      <c r="AA43" s="64" t="str">
        <f>IFERROR(LOOKUP(9.99E+307,AA12:AA42),"")</f>
        <v/>
      </c>
      <c r="AB43" s="64">
        <f>SUM(AB12:AB42)</f>
        <v>0</v>
      </c>
      <c r="AC43" s="70">
        <f>SUM(AC12:AC42)</f>
        <v>0</v>
      </c>
      <c r="AD43" s="64">
        <f>SUM(AD12:AD42)</f>
        <v>0</v>
      </c>
      <c r="AE43" s="64">
        <f>SUM(AE12:AE42)</f>
        <v>0</v>
      </c>
      <c r="AF43" s="64">
        <f>SUM(AF12:AF42)</f>
        <v>0</v>
      </c>
      <c r="AG43" s="64">
        <f>SUM(AG12:AG42)</f>
        <v>0</v>
      </c>
      <c r="AH43" s="64">
        <f>SUM(AH12:AH42)</f>
        <v>0</v>
      </c>
      <c r="AI43" s="64">
        <f>SUM(AI12:AI42)</f>
        <v>0</v>
      </c>
    </row>
    <row r="44">
      <c r="A44" s="63" t="inlineStr">
        <is>
          <t xml:space="preserve">Média por dia</t>
        </is>
      </c>
      <c r="C44" s="65" t="str">
        <f>IFERROR(AVERAGEIF(C12:C42,"&gt;0"),"")</f>
        <v/>
      </c>
      <c r="D44" s="65" t="str">
        <f>IFERROR(AVERAGEIF(D12:D42,"&gt;0"),"")</f>
        <v/>
      </c>
      <c r="E44" s="65" t="str">
        <f>IFERROR(AVERAGEIF(E12:E42,"&gt;0"),"")</f>
        <v/>
      </c>
      <c r="F44" s="65" t="str">
        <f>IFERROR(AVERAGEIF(F12:F42,"&gt;0"),"")</f>
        <v/>
      </c>
      <c r="G44" s="65" t="str">
        <f>IFERROR(AVERAGEIF(G12:G42,"&gt;0"),"")</f>
        <v/>
      </c>
      <c r="H44" s="65" t="str">
        <f>IFERROR(AVERAGEIF(H12:H42,"&gt;0"),"")</f>
        <v/>
      </c>
      <c r="I44" s="65" t="str">
        <f>IFERROR(AVERAGEIF(I12:I42,"&gt;0"),"")</f>
        <v/>
      </c>
      <c r="J44" s="65" t="str">
        <f>IFERROR(AVERAGEIF(J12:J42,"&gt;0"),"")</f>
        <v/>
      </c>
      <c r="K44" s="65" t="str">
        <f>IFERROR(AVERAGEIF(K12:K42,"&gt;0"),"")</f>
        <v/>
      </c>
      <c r="L44" s="65" t="str">
        <f>IFERROR(AVERAGEIF(L12:L42,"&gt;0"),"")</f>
        <v/>
      </c>
      <c r="M44" s="65" t="str">
        <f>IFERROR(AVERAGEIF(M12:M42,"&gt;0"),"")</f>
        <v/>
      </c>
      <c r="N44" s="65" t="str">
        <f>IFERROR(AVERAGEIF(N12:N42,"&gt;0"),"")</f>
        <v/>
      </c>
      <c r="O44" s="65" t="str">
        <f>IFERROR(AVERAGEIF(O12:O42,"&gt;0"),"")</f>
        <v/>
      </c>
      <c r="P44" s="65" t="str">
        <f>IFERROR(AVERAGEIF(P12:P42,"&gt;0"),"")</f>
        <v/>
      </c>
      <c r="Q44" s="65" t="str">
        <f>IFERROR(AVERAGEIF(Q12:Q42,"&gt;0"),"")</f>
        <v/>
      </c>
      <c r="R44" s="65" t="str">
        <f>IFERROR(AVERAGEIF(R12:R42,"&gt;0"),"")</f>
        <v/>
      </c>
      <c r="S44" s="65" t="str">
        <f>IFERROR(AVERAGEIF(S12:S42,"&gt;0"),"")</f>
        <v/>
      </c>
      <c r="T44" s="65" t="str">
        <f>IFERROR(AVERAGEIF(T12:T42,"&gt;0"),"")</f>
        <v/>
      </c>
      <c r="U44" s="65" t="str">
        <f>IFERROR(AVERAGEIF(U12:U42,"&gt;0"),"")</f>
        <v/>
      </c>
      <c r="V44" s="65" t="str">
        <f>IFERROR(AVERAGE(V12:V42),"")</f>
        <v/>
      </c>
      <c r="W44" s="65" t="str">
        <f>IFERROR(AVERAGE(W12:W42),"")</f>
        <v/>
      </c>
      <c r="X44" s="65" t="str">
        <f>IFERROR(AVERAGE(X12:X42),"")</f>
        <v/>
      </c>
      <c r="Y44" s="65" t="str">
        <f>IFERROR(AVERAGE(Y12:Y42),"")</f>
        <v/>
      </c>
      <c r="Z44" s="67" t="str">
        <f>IFERROR(AVERAGE(Z12:Z42),"")</f>
        <v/>
      </c>
      <c r="AA44" s="65" t="str">
        <f>IFERROR(AVERAGE(AA12:AA42),"")</f>
        <v/>
      </c>
      <c r="AB44" s="65" t="str">
        <f>IFERROR(AVERAGEIF(AB12:AB42,"&gt;0"),"")</f>
        <v/>
      </c>
      <c r="AC44" s="65" t="str">
        <f>IFERROR(AVERAGEIF(AC12:AC42,"&gt;0"),"")</f>
        <v/>
      </c>
      <c r="AD44" s="65" t="str">
        <f>IFERROR(AVERAGEIF(AD12:AD42,"&gt;0"),"")</f>
        <v/>
      </c>
      <c r="AE44" s="65" t="str">
        <f>IFERROR(AVERAGEIF(AE12:AE42,"&gt;0"),"")</f>
        <v/>
      </c>
      <c r="AF44" s="65" t="str">
        <f>IFERROR(AVERAGEIF(AF12:AF42,"&gt;0"),"")</f>
        <v/>
      </c>
      <c r="AG44" s="65" t="str">
        <f>IFERROR(AVERAGEIF(AG12:AG42,"&gt;0"),"")</f>
        <v/>
      </c>
      <c r="AH44" s="65" t="str">
        <f>IFERROR(AVERAGEIF(AH12:AH42,"&gt;0"),"")</f>
        <v/>
      </c>
      <c r="AI44" s="65" t="str">
        <f>IFERROR(AVERAGEIF(AI12:AI42,"&gt;0"),"")</f>
        <v/>
      </c>
    </row>
    <row r="45">
      <c r="A45" s="63" t="inlineStr">
        <is>
          <t xml:space="preserve">Máximo em um dia</t>
        </is>
      </c>
      <c r="C45" s="66">
        <f>IF(COUNT(C12:C42)=0,"",MAX(C12:C42))</f>
        <v>0</v>
      </c>
      <c r="D45" s="66">
        <f>IF(COUNT(D12:D42)=0,"",MAX(D12:D42))</f>
        <v>0</v>
      </c>
      <c r="E45" s="65">
        <f>IF(COUNT(E12:E42)=0,"",MAX(E12:E42))</f>
        <v>0</v>
      </c>
      <c r="F45" s="66">
        <f>IF(COUNT(F12:F42)=0,"",MAX(F12:F42))</f>
        <v>0</v>
      </c>
      <c r="G45" s="66">
        <f>IF(COUNT(G12:G42)=0,"",MAX(G12:G42))</f>
        <v>0</v>
      </c>
      <c r="H45" s="66">
        <f>IF(COUNT(H12:H42)=0,"",MAX(H12:H42))</f>
        <v>0</v>
      </c>
      <c r="I45" s="66">
        <f>IF(COUNT(I12:I42)=0,"",MAX(I12:I42))</f>
        <v>0</v>
      </c>
      <c r="J45" s="66">
        <f>IF(COUNT(J12:J42)=0,"",MAX(J12:J42))</f>
        <v>0</v>
      </c>
      <c r="K45" s="66">
        <f>IF(COUNT(K12:K42)=0,"",MAX(K12:K42))</f>
        <v>0</v>
      </c>
      <c r="L45" s="66">
        <f>IF(COUNT(L12:L42)=0,"",MAX(L12:L42))</f>
        <v>0</v>
      </c>
      <c r="M45" s="66">
        <f>IF(COUNT(M12:M42)=0,"",MAX(M12:M42))</f>
        <v>0</v>
      </c>
      <c r="N45" s="66">
        <f>IF(COUNT(N12:N42)=0,"",MAX(N12:N42))</f>
        <v>0</v>
      </c>
      <c r="O45" s="66">
        <f>IF(COUNT(O12:O42)=0,"",MAX(O12:O42))</f>
        <v>0</v>
      </c>
      <c r="P45" s="66">
        <f>IF(COUNT(P12:P42)=0,"",MAX(P12:P42))</f>
        <v>0</v>
      </c>
      <c r="Q45" s="66">
        <f>IF(COUNT(Q12:Q42)=0,"",MAX(Q12:Q42))</f>
        <v>0</v>
      </c>
      <c r="R45" s="66">
        <f>IF(COUNT(R12:R42)=0,"",MAX(R12:R42))</f>
        <v>0</v>
      </c>
      <c r="S45" s="65">
        <f>IF(COUNT(S12:S42)=0,"",MAX(S12:S42))</f>
        <v>0</v>
      </c>
      <c r="T45" s="66">
        <f>IF(COUNT(T12:T42)=0,"",MAX(T12:T42))</f>
        <v>0</v>
      </c>
      <c r="U45" s="66">
        <f>IF(COUNT(U12:U42)=0,"",MAX(U12:U42))</f>
        <v>0</v>
      </c>
      <c r="V45" s="66" t="str">
        <f>IF(COUNT(V12:V42)=0,"",MAX(V12:V42))</f>
        <v/>
      </c>
      <c r="W45" s="66" t="str">
        <f>IF(COUNT(W12:W42)=0,"",MAX(W12:W42))</f>
        <v/>
      </c>
      <c r="X45" s="66" t="str">
        <f>IF(COUNT(X12:X42)=0,"",MAX(X12:X42))</f>
        <v/>
      </c>
      <c r="Y45" s="66" t="str">
        <f>IF(COUNT(Y12:Y42)=0,"",MAX(Y12:Y42))</f>
        <v/>
      </c>
      <c r="Z45" s="67" t="str">
        <f>IF(COUNT(Z12:Z42)=0,"",MAX(Z12:Z42))</f>
        <v/>
      </c>
      <c r="AA45" s="66" t="str">
        <f>IF(COUNT(AA12:AA42)=0,"",MAX(AA12:AA42))</f>
        <v/>
      </c>
      <c r="AB45" s="66">
        <f>IF(COUNT(AB12:AB42)=0,"",MAX(AB12:AB42))</f>
        <v>0</v>
      </c>
      <c r="AC45" s="65">
        <f>IF(COUNT(AC12:AC42)=0,"",MAX(AC12:AC42))</f>
        <v>0</v>
      </c>
      <c r="AD45" s="66">
        <f>IF(COUNT(AD12:AD42)=0,"",MAX(AD12:AD42))</f>
        <v>0</v>
      </c>
      <c r="AE45" s="66">
        <f>IF(COUNT(AE12:AE42)=0,"",MAX(AE12:AE42))</f>
        <v>0</v>
      </c>
      <c r="AF45" s="66">
        <f>IF(COUNT(AF12:AF42)=0,"",MAX(AF12:AF42))</f>
        <v>0</v>
      </c>
      <c r="AG45" s="66">
        <f>IF(COUNT(AG12:AG42)=0,"",MAX(AG12:AG42))</f>
        <v>0</v>
      </c>
      <c r="AH45" s="66">
        <f>IF(COUNT(AH12:AH42)=0,"",MAX(AH12:AH42))</f>
        <v>0</v>
      </c>
      <c r="AI45" s="66">
        <f>IF(COUNT(AI12:AI42)=0,"",MAX(AI12:AI42))</f>
        <v>0</v>
      </c>
    </row>
    <row r="46">
      <c r="A46" s="63" t="inlineStr">
        <is>
          <t xml:space="preserve">Mês anterior (mesmo intervalo)</t>
        </is>
      </c>
      <c r="C46" s="66" t="str">
        <f>IF($B$9=0,"",IF($B$2="Todos",SUMIFS(BD!$C$3:$C$5001,BD!$A$3:$A$5001,"&gt;="&amp;$C$8,BD!$A$3:$A$5001,"&lt;="&amp;$D$8),SUMIFS(BD!$C$3:$C$5001,BD!$A$3:$A$5001,"&gt;="&amp;$C$8,BD!$A$3:$A$5001,"&lt;="&amp;$D$8,BD!$B$3:$B$5001,$D$2)))</f>
        <v/>
      </c>
      <c r="D46" s="66" t="str">
        <f>IF($B$9=0,"",IF($B$2="Todos",SUMIFS(BD!$D$3:$D$5001,BD!$A$3:$A$5001,"&gt;="&amp;$C$8,BD!$A$3:$A$5001,"&lt;="&amp;$D$8),SUMIFS(BD!$D$3:$D$5001,BD!$A$3:$A$5001,"&gt;="&amp;$C$8,BD!$A$3:$A$5001,"&lt;="&amp;$D$8,BD!$B$3:$B$5001,$D$2)))</f>
        <v/>
      </c>
      <c r="E46" s="65" t="str">
        <f>IF($B$9=0,"",IF($B$2="Todos",SUMIFS(BD!$E$3:$E$5001,BD!$A$3:$A$5001,"&gt;="&amp;$C$8,BD!$A$3:$A$5001,"&lt;="&amp;$D$8),SUMIFS(BD!$E$3:$E$5001,BD!$A$3:$A$5001,"&gt;="&amp;$C$8,BD!$A$3:$A$5001,"&lt;="&amp;$D$8,BD!$B$3:$B$5001,$D$2)))</f>
        <v/>
      </c>
      <c r="F46" s="66" t="str">
        <f>IF($B$9=0,"",IF($B$2="Todos",SUMIFS(BD!$F$3:$F$5001,BD!$A$3:$A$5001,"&gt;="&amp;$C$8,BD!$A$3:$A$5001,"&lt;="&amp;$D$8),SUMIFS(BD!$F$3:$F$5001,BD!$A$3:$A$5001,"&gt;="&amp;$C$8,BD!$A$3:$A$5001,"&lt;="&amp;$D$8,BD!$B$3:$B$5001,$D$2)))</f>
        <v/>
      </c>
      <c r="G46" s="66" t="str">
        <f>IF($B$9=0,"",IF($B$2="Todos",SUMIFS(BD!$G$3:$G$5001,BD!$A$3:$A$5001,"&gt;="&amp;$C$8,BD!$A$3:$A$5001,"&lt;="&amp;$D$8),SUMIFS(BD!$G$3:$G$5001,BD!$A$3:$A$5001,"&gt;="&amp;$C$8,BD!$A$3:$A$5001,"&lt;="&amp;$D$8,BD!$B$3:$B$5001,$D$2)))</f>
        <v/>
      </c>
      <c r="H46" s="66" t="str">
        <f>IF($B$9=0,"",IF($B$2="Todos",SUMIFS(BD!$H$3:$H$5001,BD!$A$3:$A$5001,"&gt;="&amp;$C$8,BD!$A$3:$A$5001,"&lt;="&amp;$D$8),SUMIFS(BD!$H$3:$H$5001,BD!$A$3:$A$5001,"&gt;="&amp;$C$8,BD!$A$3:$A$5001,"&lt;="&amp;$D$8,BD!$B$3:$B$5001,$D$2)))</f>
        <v/>
      </c>
      <c r="I46" s="66" t="str">
        <f>IF($B$9=0,"",IF($B$2="Todos",SUMIFS(BD!$I$3:$I$5001,BD!$A$3:$A$5001,"&gt;="&amp;$C$8,BD!$A$3:$A$5001,"&lt;="&amp;$D$8),SUMIFS(BD!$I$3:$I$5001,BD!$A$3:$A$5001,"&gt;="&amp;$C$8,BD!$A$3:$A$5001,"&lt;="&amp;$D$8,BD!$B$3:$B$5001,$D$2)))</f>
        <v/>
      </c>
      <c r="J46" s="66" t="str">
        <f>IF($B$9=0,"",IF($B$2="Todos",SUMIFS(BD!$J$3:$J$5001,BD!$A$3:$A$5001,"&gt;="&amp;$C$8,BD!$A$3:$A$5001,"&lt;="&amp;$D$8),SUMIFS(BD!$J$3:$J$5001,BD!$A$3:$A$5001,"&gt;="&amp;$C$8,BD!$A$3:$A$5001,"&lt;="&amp;$D$8,BD!$B$3:$B$5001,$D$2)))</f>
        <v/>
      </c>
      <c r="K46" s="66" t="str">
        <f>IF($B$9=0,"",IF($B$2="Todos",SUMIFS(BD!$K$3:$K$5001,BD!$A$3:$A$5001,"&gt;="&amp;$C$8,BD!$A$3:$A$5001,"&lt;="&amp;$D$8),SUMIFS(BD!$K$3:$K$5001,BD!$A$3:$A$5001,"&gt;="&amp;$C$8,BD!$A$3:$A$5001,"&lt;="&amp;$D$8,BD!$B$3:$B$5001,$D$2)))</f>
        <v/>
      </c>
      <c r="L46" s="66" t="str">
        <f>IF($B$9=0,"",IF($B$2="Todos",SUMIFS(BD!$L$3:$L$5001,BD!$A$3:$A$5001,"&gt;="&amp;$C$8,BD!$A$3:$A$5001,"&lt;="&amp;$D$8),SUMIFS(BD!$L$3:$L$5001,BD!$A$3:$A$5001,"&gt;="&amp;$C$8,BD!$A$3:$A$5001,"&lt;="&amp;$D$8,BD!$B$3:$B$5001,$D$2)))</f>
        <v/>
      </c>
      <c r="M46" s="66" t="str">
        <f>IF($B$9=0,"",IF($B$2="Todos",SUMIFS(BD!$M$3:$M$5001,BD!$A$3:$A$5001,"&gt;="&amp;$C$8,BD!$A$3:$A$5001,"&lt;="&amp;$D$8),SUMIFS(BD!$M$3:$M$5001,BD!$A$3:$A$5001,"&gt;="&amp;$C$8,BD!$A$3:$A$5001,"&lt;="&amp;$D$8,BD!$B$3:$B$5001,$D$2)))</f>
        <v/>
      </c>
      <c r="N46" s="66" t="str">
        <f>IF($B$9=0,"",IF($B$2="Todos",SUMIFS(BD!$N$3:$N$5001,BD!$A$3:$A$5001,"&gt;="&amp;$C$8,BD!$A$3:$A$5001,"&lt;="&amp;$D$8),SUMIFS(BD!$N$3:$N$5001,BD!$A$3:$A$5001,"&gt;="&amp;$C$8,BD!$A$3:$A$5001,"&lt;="&amp;$D$8,BD!$B$3:$B$5001,$D$2)))</f>
        <v/>
      </c>
      <c r="O46" s="66" t="str">
        <f>IF($B$9=0,"",IF($B$2="Todos",SUMIFS(BD!$O$3:$O$5001,BD!$A$3:$A$5001,"&gt;="&amp;$C$8,BD!$A$3:$A$5001,"&lt;="&amp;$D$8),SUMIFS(BD!$O$3:$O$5001,BD!$A$3:$A$5001,"&gt;="&amp;$C$8,BD!$A$3:$A$5001,"&lt;="&amp;$D$8,BD!$B$3:$B$5001,$D$2)))</f>
        <v/>
      </c>
      <c r="P46" s="66" t="str">
        <f>IF($B$9=0,"",IF($B$2="Todos",SUMIFS(BD!$P$3:$P$5001,BD!$A$3:$A$5001,"&gt;="&amp;$C$8,BD!$A$3:$A$5001,"&lt;="&amp;$D$8),SUMIFS(BD!$P$3:$P$5001,BD!$A$3:$A$5001,"&gt;="&amp;$C$8,BD!$A$3:$A$5001,"&lt;="&amp;$D$8,BD!$B$3:$B$5001,$D$2)))</f>
        <v/>
      </c>
      <c r="Q46" s="66" t="str">
        <f>IF($B$9=0,"",IF($B$2="Todos",SUMIFS(BD!$Q$3:$Q$5001,BD!$A$3:$A$5001,"&gt;="&amp;$C$8,BD!$A$3:$A$5001,"&lt;="&amp;$D$8),SUMIFS(BD!$Q$3:$Q$5001,BD!$A$3:$A$5001,"&gt;="&amp;$C$8,BD!$A$3:$A$5001,"&lt;="&amp;$D$8,BD!$B$3:$B$5001,$D$2)))</f>
        <v/>
      </c>
      <c r="R46" s="66" t="str">
        <f>IF($B$9=0,"",IF($B$2="Todos",SUMIFS(BD!$R$3:$R$5001,BD!$A$3:$A$5001,"&gt;="&amp;$C$8,BD!$A$3:$A$5001,"&lt;="&amp;$D$8),SUMIFS(BD!$R$3:$R$5001,BD!$A$3:$A$5001,"&gt;="&amp;$C$8,BD!$A$3:$A$5001,"&lt;="&amp;$D$8,BD!$B$3:$B$5001,$D$2)))</f>
        <v/>
      </c>
      <c r="S46" s="65" t="str">
        <f>IF($B$9=0,"",IF($B$2="Todos",SUMIFS(BD!$S$3:$S$5001,BD!$A$3:$A$5001,"&gt;="&amp;$C$8,BD!$A$3:$A$5001,"&lt;="&amp;$D$8),SUMIFS(BD!$S$3:$S$5001,BD!$A$3:$A$5001,"&gt;="&amp;$C$8,BD!$A$3:$A$5001,"&lt;="&amp;$D$8,BD!$B$3:$B$5001,$D$2)))</f>
        <v/>
      </c>
      <c r="T46" s="66" t="str">
        <f>IF($B$9=0,"",IF($B$2="Todos",SUMIFS(BD!$T$3:$T$5001,BD!$A$3:$A$5001,"&gt;="&amp;$C$8,BD!$A$3:$A$5001,"&lt;="&amp;$D$8),SUMIFS(BD!$T$3:$T$5001,BD!$A$3:$A$5001,"&gt;="&amp;$C$8,BD!$A$3:$A$5001,"&lt;="&amp;$D$8,BD!$B$3:$B$5001,$D$2)))</f>
        <v/>
      </c>
      <c r="U46" s="66" t="str">
        <f>IF($B$9=0,"",IF($B$2="Todos",SUMIFS(BD!$U$3:$U$5001,BD!$A$3:$A$5001,"&gt;="&amp;$C$8,BD!$A$3:$A$5001,"&lt;="&amp;$D$8),SUMIFS(BD!$U$3:$U$5001,BD!$A$3:$A$5001,"&gt;="&amp;$C$8,BD!$A$3:$A$5001,"&lt;="&amp;$D$8,BD!$B$3:$B$5001,$D$2)))</f>
        <v/>
      </c>
      <c r="V46" s="66" t="str">
        <f>IF($B$9=0,"",IF($B$2="Todos",IF(COUNT($C$172:$V$172)=0,"",SUM($C$172:$V$172)),IFERROR(INDEX($C$172:$V$172,MATCH($D$2,$C$140:$V$140,0)),"")))</f>
        <v/>
      </c>
      <c r="W46" s="66" t="str">
        <f>IF($B$9=0,"",IF($B$2="Todos",IF(COUNT($C$207:$V$207)=0,"",SUM($C$207:$V$207)),IFERROR(INDEX($C$207:$V$207,MATCH($D$2,$C$175:$V$175,0)),"")))</f>
        <v/>
      </c>
      <c r="X46" s="66" t="str">
        <f>IF(Y46="","",IF($B$2="Todos",IF($B$4&gt;0,$B$4,IF($B$2="Todos",IF(COUNT($C$277:$V$277)=0,"",SUM($C$277:$V$277)),IFERROR(INDEX($C$277:$V$277,MATCH($D$2,$C$245:$V$245,0)),""))),IFERROR(INDEX($C$277:$V$277,MATCH($D$2,$C$245:$V$245,0)),"")))</f>
        <v/>
      </c>
      <c r="Y46" s="66" t="str">
        <f>IF($B$9=0,"",IF($B$2="Todos",IF(COUNT($C$242:$V$242)=0,"",SUM($C$242:$V$242)),IFERROR(INDEX($C$242:$V$242,MATCH($D$2,$C$210:$V$210,0)),"")))</f>
        <v/>
      </c>
      <c r="Z46" s="67" t="str">
        <f>IF(AND(ISNUMBER(Y46),ISNUMBER(X46)),IF(X46&gt;0,Y46/X46,""),"")</f>
        <v/>
      </c>
      <c r="AA46" s="66" t="str">
        <f>IF($B$9=0,"",IF($B$2="Todos",IF(COUNT($C$312:$V$312)=0,"",SUM($C$312:$V$312)),IFERROR(INDEX($C$312:$V$312,MATCH($D$2,$C$280:$V$280,0)),"")))</f>
        <v/>
      </c>
      <c r="AB46" s="66" t="str">
        <f>IF($B$9=0,"",IF($B$2="Todos",SUMIFS(BD!$AA$3:$AA$5001,BD!$A$3:$A$5001,"&gt;="&amp;$C$8,BD!$A$3:$A$5001,"&lt;="&amp;$D$8),SUMIFS(BD!$AA$3:$AA$5001,BD!$A$3:$A$5001,"&gt;="&amp;$C$8,BD!$A$3:$A$5001,"&lt;="&amp;$D$8,BD!$B$3:$B$5001,$D$2)))</f>
        <v/>
      </c>
      <c r="AC46" s="65" t="str">
        <f>IF($B$9=0,"",IF($B$2="Todos",SUMIFS(BD!$AB$3:$AB$5001,BD!$A$3:$A$5001,"&gt;="&amp;$C$8,BD!$A$3:$A$5001,"&lt;="&amp;$D$8),SUMIFS(BD!$AB$3:$AB$5001,BD!$A$3:$A$5001,"&gt;="&amp;$C$8,BD!$A$3:$A$5001,"&lt;="&amp;$D$8,BD!$B$3:$B$5001,$D$2)))</f>
        <v/>
      </c>
      <c r="AD46" s="66" t="str">
        <f>IF($B$9=0,"",IF($B$2="Todos",SUMIFS(BD!$AC$3:$AC$5001,BD!$A$3:$A$5001,"&gt;="&amp;$C$8,BD!$A$3:$A$5001,"&lt;="&amp;$D$8),SUMIFS(BD!$AC$3:$AC$5001,BD!$A$3:$A$5001,"&gt;="&amp;$C$8,BD!$A$3:$A$5001,"&lt;="&amp;$D$8,BD!$B$3:$B$5001,$D$2)))</f>
        <v/>
      </c>
      <c r="AE46" s="66" t="str">
        <f>IF($B$9=0,"",IF($B$2="Todos",SUMIFS(BD!$AD$3:$AD$5001,BD!$A$3:$A$5001,"&gt;="&amp;$C$8,BD!$A$3:$A$5001,"&lt;="&amp;$D$8),SUMIFS(BD!$AD$3:$AD$5001,BD!$A$3:$A$5001,"&gt;="&amp;$C$8,BD!$A$3:$A$5001,"&lt;="&amp;$D$8,BD!$B$3:$B$5001,$D$2)))</f>
        <v/>
      </c>
      <c r="AF46" s="66" t="str">
        <f>IF($B$9=0,"",IF($B$2="Todos",SUMIFS(BD!$AE$3:$AE$5001,BD!$A$3:$A$5001,"&gt;="&amp;$C$8,BD!$A$3:$A$5001,"&lt;="&amp;$D$8),SUMIFS(BD!$AE$3:$AE$5001,BD!$A$3:$A$5001,"&gt;="&amp;$C$8,BD!$A$3:$A$5001,"&lt;="&amp;$D$8,BD!$B$3:$B$5001,$D$2)))</f>
        <v/>
      </c>
      <c r="AG46" s="66" t="str">
        <f>IF($B$9=0,"",IF($B$2="Todos",SUMIFS(BD!$AF$3:$AF$5001,BD!$A$3:$A$5001,"&gt;="&amp;$C$8,BD!$A$3:$A$5001,"&lt;="&amp;$D$8),SUMIFS(BD!$AF$3:$AF$5001,BD!$A$3:$A$5001,"&gt;="&amp;$C$8,BD!$A$3:$A$5001,"&lt;="&amp;$D$8,BD!$B$3:$B$5001,$D$2)))</f>
        <v/>
      </c>
      <c r="AH46" s="66" t="str">
        <f>IF($B$9=0,"",IF($B$2="Todos",SUMIFS(BD!$AG$3:$AG$5001,BD!$A$3:$A$5001,"&gt;="&amp;$C$8,BD!$A$3:$A$5001,"&lt;="&amp;$D$8),SUMIFS(BD!$AG$3:$AG$5001,BD!$A$3:$A$5001,"&gt;="&amp;$C$8,BD!$A$3:$A$5001,"&lt;="&amp;$D$8,BD!$B$3:$B$5001,$D$2)))</f>
        <v/>
      </c>
      <c r="AI46" s="66" t="str">
        <f>IF($B$9=0,"",IF($B$2="Todos",SUMIFS(BD!$AH$3:$AH$5001,BD!$A$3:$A$5001,"&gt;="&amp;$C$8,BD!$A$3:$A$5001,"&lt;="&amp;$D$8),SUMIFS(BD!$AH$3:$AH$5001,BD!$A$3:$A$5001,"&gt;="&amp;$C$8,BD!$A$3:$A$5001,"&lt;="&amp;$D$8,BD!$B$3:$B$5001,$D$2)))</f>
        <v/>
      </c>
    </row>
    <row r="47">
      <c r="A47" s="63" t="inlineStr">
        <is>
          <t xml:space="preserve">Variação vs mês anterior</t>
        </is>
      </c>
      <c r="C47" s="67" t="str">
        <f>IF(AND(ISNUMBER(C43),ISNUMBER(C46)),IF(C46&lt;&gt;0,C43/C46-1,""),"")</f>
        <v/>
      </c>
      <c r="D47" s="67" t="str">
        <f>IF(AND(ISNUMBER(D43),ISNUMBER(D46)),IF(D46&lt;&gt;0,D43/D46-1,""),"")</f>
        <v/>
      </c>
      <c r="E47" s="67" t="str">
        <f>IF(AND(ISNUMBER(E43),ISNUMBER(E46)),IF(E46&lt;&gt;0,E43/E46-1,""),"")</f>
        <v/>
      </c>
      <c r="F47" s="67" t="str">
        <f>IF(AND(ISNUMBER(F43),ISNUMBER(F46)),IF(F46&lt;&gt;0,F43/F46-1,""),"")</f>
        <v/>
      </c>
      <c r="G47" s="67" t="str">
        <f>IF(AND(ISNUMBER(G43),ISNUMBER(G46)),IF(G46&lt;&gt;0,G43/G46-1,""),"")</f>
        <v/>
      </c>
      <c r="H47" s="67" t="str">
        <f>IF(AND(ISNUMBER(H43),ISNUMBER(H46)),IF(H46&lt;&gt;0,H43/H46-1,""),"")</f>
        <v/>
      </c>
      <c r="I47" s="67" t="str">
        <f>IF(AND(ISNUMBER(I43),ISNUMBER(I46)),IF(I46&lt;&gt;0,I43/I46-1,""),"")</f>
        <v/>
      </c>
      <c r="J47" s="67" t="str">
        <f>IF(AND(ISNUMBER(J43),ISNUMBER(J46)),IF(J46&lt;&gt;0,J43/J46-1,""),"")</f>
        <v/>
      </c>
      <c r="K47" s="67" t="str">
        <f>IF(AND(ISNUMBER(K43),ISNUMBER(K46)),IF(K46&lt;&gt;0,K43/K46-1,""),"")</f>
        <v/>
      </c>
      <c r="L47" s="67" t="str">
        <f>IF(AND(ISNUMBER(L43),ISNUMBER(L46)),IF(L46&lt;&gt;0,L43/L46-1,""),"")</f>
        <v/>
      </c>
      <c r="M47" s="67" t="str">
        <f>IF(AND(ISNUMBER(M43),ISNUMBER(M46)),IF(M46&lt;&gt;0,M43/M46-1,""),"")</f>
        <v/>
      </c>
      <c r="N47" s="67" t="str">
        <f>IF(AND(ISNUMBER(N43),ISNUMBER(N46)),IF(N46&lt;&gt;0,N43/N46-1,""),"")</f>
        <v/>
      </c>
      <c r="O47" s="67" t="str">
        <f>IF(AND(ISNUMBER(O43),ISNUMBER(O46)),IF(O46&lt;&gt;0,O43/O46-1,""),"")</f>
        <v/>
      </c>
      <c r="P47" s="67" t="str">
        <f>IF(AND(ISNUMBER(P43),ISNUMBER(P46)),IF(P46&lt;&gt;0,P43/P46-1,""),"")</f>
        <v/>
      </c>
      <c r="Q47" s="67" t="str">
        <f>IF(AND(ISNUMBER(Q43),ISNUMBER(Q46)),IF(Q46&lt;&gt;0,Q43/Q46-1,""),"")</f>
        <v/>
      </c>
      <c r="R47" s="67" t="str">
        <f>IF(AND(ISNUMBER(R43),ISNUMBER(R46)),IF(R46&lt;&gt;0,R43/R46-1,""),"")</f>
        <v/>
      </c>
      <c r="S47" s="67" t="str">
        <f>IF(AND(ISNUMBER(S43),ISNUMBER(S46)),IF(S46&lt;&gt;0,S43/S46-1,""),"")</f>
        <v/>
      </c>
      <c r="T47" s="67" t="str">
        <f>IF(AND(ISNUMBER(T43),ISNUMBER(T46)),IF(T46&lt;&gt;0,T43/T46-1,""),"")</f>
        <v/>
      </c>
      <c r="U47" s="67" t="str">
        <f>IF(AND(ISNUMBER(U43),ISNUMBER(U46)),IF(U46&lt;&gt;0,U43/U46-1,""),"")</f>
        <v/>
      </c>
      <c r="V47" s="67" t="str">
        <f>IF(AND(ISNUMBER(V43),ISNUMBER(V46)),IF(V46&lt;&gt;0,V43/V46-1,""),"")</f>
        <v/>
      </c>
      <c r="W47" s="67" t="str">
        <f>IF(AND(ISNUMBER(W43),ISNUMBER(W46)),IF(W46&lt;&gt;0,W43/W46-1,""),"")</f>
        <v/>
      </c>
      <c r="X47" s="67" t="str">
        <f>IF(AND(ISNUMBER(X43),ISNUMBER(X46)),IF(X46&lt;&gt;0,X43/X46-1,""),"")</f>
        <v/>
      </c>
      <c r="Y47" s="67" t="str">
        <f>IF(AND(ISNUMBER(Y43),ISNUMBER(Y46)),IF(Y46&lt;&gt;0,Y43/Y46-1,""),"")</f>
        <v/>
      </c>
      <c r="Z47" s="67" t="str">
        <f>IF(AND(ISNUMBER(Z43),ISNUMBER(Z46)),IF(Z46&lt;&gt;0,Z43/Z46-1,""),"")</f>
        <v/>
      </c>
      <c r="AA47" s="67" t="str">
        <f>IF(AND(ISNUMBER(AA43),ISNUMBER(AA46)),IF(AA46&lt;&gt;0,AA43/AA46-1,""),"")</f>
        <v/>
      </c>
      <c r="AB47" s="67" t="str">
        <f>IF(AND(ISNUMBER(AB43),ISNUMBER(AB46)),IF(AB46&lt;&gt;0,AB43/AB46-1,""),"")</f>
        <v/>
      </c>
      <c r="AC47" s="67" t="str">
        <f>IF(AND(ISNUMBER(AC43),ISNUMBER(AC46)),IF(AC46&lt;&gt;0,AC43/AC46-1,""),"")</f>
        <v/>
      </c>
      <c r="AD47" s="67" t="str">
        <f>IF(AND(ISNUMBER(AD43),ISNUMBER(AD46)),IF(AD46&lt;&gt;0,AD43/AD46-1,""),"")</f>
        <v/>
      </c>
      <c r="AE47" s="67" t="str">
        <f>IF(AND(ISNUMBER(AE43),ISNUMBER(AE46)),IF(AE46&lt;&gt;0,AE43/AE46-1,""),"")</f>
        <v/>
      </c>
      <c r="AF47" s="67" t="str">
        <f>IF(AND(ISNUMBER(AF43),ISNUMBER(AF46)),IF(AF46&lt;&gt;0,AF43/AF46-1,""),"")</f>
        <v/>
      </c>
      <c r="AG47" s="67" t="str">
        <f>IF(AND(ISNUMBER(AG43),ISNUMBER(AG46)),IF(AG46&lt;&gt;0,AG43/AG46-1,""),"")</f>
        <v/>
      </c>
      <c r="AH47" s="67" t="str">
        <f>IF(AND(ISNUMBER(AH43),ISNUMBER(AH46)),IF(AH46&lt;&gt;0,AH43/AH46-1,""),"")</f>
        <v/>
      </c>
      <c r="AI47" s="67" t="str">
        <f>IF(AND(ISNUMBER(AI43),ISNUMBER(AI46)),IF(AI46&lt;&gt;0,AI43/AI46-1,""),"")</f>
        <v/>
      </c>
    </row>
    <row r="48">
      <c r="A48" s="63" t="inlineStr">
        <is>
          <t xml:space="preserve">Meta (seleção)</t>
        </is>
      </c>
      <c r="C48" s="66" t="str">
        <f>IFERROR(1/(1/INDEX(BD!$AL$23:$BF$23,MATCH($B$2,BD!$AL$22:$BF$22,0))),"")</f>
        <v/>
      </c>
      <c r="D48" s="66" t="str">
        <f>IFERROR(1/(1/INDEX(BD!$AL$24:$BF$24,MATCH($B$2,BD!$AL$22:$BF$22,0))),"")</f>
        <v/>
      </c>
      <c r="E48" s="66" t="str">
        <f>IFERROR(1/(1/INDEX(BD!$AL$25:$BF$25,MATCH($B$2,BD!$AL$22:$BF$22,0))),"")</f>
        <v/>
      </c>
      <c r="F48" s="66" t="str">
        <f>IFERROR(1/(1/INDEX(BD!$AL$26:$BF$26,MATCH($B$2,BD!$AL$22:$BF$22,0))),"")</f>
        <v/>
      </c>
      <c r="G48" s="66" t="str">
        <f>IFERROR(1/(1/INDEX(BD!$AL$27:$BF$27,MATCH($B$2,BD!$AL$22:$BF$22,0))),"")</f>
        <v/>
      </c>
      <c r="H48" s="66" t="str">
        <f>IFERROR(1/(1/INDEX(BD!$AL$28:$BF$28,MATCH($B$2,BD!$AL$22:$BF$22,0))),"")</f>
        <v/>
      </c>
      <c r="I48" s="66" t="str">
        <f>IFERROR(1/(1/INDEX(BD!$AL$29:$BF$29,MATCH($B$2,BD!$AL$22:$BF$22,0))),"")</f>
        <v/>
      </c>
      <c r="J48" s="66" t="str">
        <f>IFERROR(1/(1/INDEX(BD!$AL$30:$BF$30,MATCH($B$2,BD!$AL$22:$BF$22,0))),"")</f>
        <v/>
      </c>
      <c r="K48" s="66" t="str">
        <f>IFERROR(1/(1/INDEX(BD!$AL$31:$BF$31,MATCH($B$2,BD!$AL$22:$BF$22,0))),"")</f>
        <v/>
      </c>
      <c r="L48" s="66" t="str">
        <f>IFERROR(1/(1/INDEX(BD!$AL$32:$BF$32,MATCH($B$2,BD!$AL$22:$BF$22,0))),"")</f>
        <v/>
      </c>
      <c r="M48" s="66" t="str">
        <f>IFERROR(1/(1/INDEX(BD!$AL$33:$BF$33,MATCH($B$2,BD!$AL$22:$BF$22,0))),"")</f>
        <v/>
      </c>
      <c r="N48" s="66" t="str">
        <f>IFERROR(1/(1/INDEX(BD!$AL$34:$BF$34,MATCH($B$2,BD!$AL$22:$BF$22,0))),"")</f>
        <v/>
      </c>
      <c r="O48" s="66" t="str">
        <f>IFERROR(1/(1/INDEX(BD!$AL$35:$BF$35,MATCH($B$2,BD!$AL$22:$BF$22,0))),"")</f>
        <v/>
      </c>
      <c r="P48" s="66" t="str">
        <f>IFERROR(1/(1/INDEX(BD!$AL$36:$BF$36,MATCH($B$2,BD!$AL$22:$BF$22,0))),"")</f>
        <v/>
      </c>
      <c r="Q48" s="66" t="str">
        <f>IFERROR(1/(1/INDEX(BD!$AL$37:$BF$37,MATCH($B$2,BD!$AL$22:$BF$22,0))),"")</f>
        <v/>
      </c>
      <c r="R48" s="66" t="str">
        <f>IFERROR(1/(1/INDEX(BD!$AL$38:$BF$38,MATCH($B$2,BD!$AL$22:$BF$22,0))),"")</f>
        <v/>
      </c>
      <c r="S48" s="66" t="str">
        <f>IFERROR(1/(1/INDEX(BD!$AL$39:$BF$39,MATCH($B$2,BD!$AL$22:$BF$22,0))),"")</f>
        <v/>
      </c>
      <c r="T48" s="66" t="str">
        <f>IFERROR(1/(1/INDEX(BD!$AL$40:$BF$40,MATCH($B$2,BD!$AL$22:$BF$22,0))),"")</f>
        <v/>
      </c>
      <c r="U48" s="66" t="str">
        <f>IFERROR(1/(1/INDEX(BD!$AL$41:$BF$41,MATCH($B$2,BD!$AL$22:$BF$22,0))),"")</f>
        <v/>
      </c>
      <c r="V48" s="66" t="str">
        <f>IFERROR(1/(1/INDEX(BD!$AL$42:$BF$42,MATCH($B$2,BD!$AL$22:$BF$22,0))),"")</f>
        <v/>
      </c>
      <c r="W48" s="66" t="str">
        <f>IFERROR(1/(1/INDEX(BD!$AL$43:$BF$43,MATCH($B$2,BD!$AL$22:$BF$22,0))),"")</f>
        <v/>
      </c>
      <c r="X48" s="66" t="str">
        <f>IFERROR(1/(1/INDEX(BD!$AL$44:$BF$44,MATCH($B$2,BD!$AL$22:$BF$22,0))),"")</f>
        <v/>
      </c>
      <c r="Y48" s="66" t="str">
        <f>IFERROR(1/(1/INDEX(BD!$AL$45:$BF$45,MATCH($B$2,BD!$AL$22:$BF$22,0))),"")</f>
        <v/>
      </c>
      <c r="Z48" s="68" t="str">
        <f>IFERROR(1/(1/INDEX(BD!$AL$46:$BF$46,MATCH($B$2,BD!$AL$22:$BF$22,0))),"")</f>
        <v/>
      </c>
      <c r="AA48" s="66" t="str">
        <f>IFERROR(1/(1/INDEX(BD!$AL$47:$BF$47,MATCH($B$2,BD!$AL$22:$BF$22,0))),"")</f>
        <v/>
      </c>
      <c r="AB48" s="66" t="str">
        <f>IFERROR(1/(1/INDEX(BD!$AL$48:$BF$48,MATCH($B$2,BD!$AL$22:$BF$22,0))),"")</f>
        <v/>
      </c>
      <c r="AC48" s="66" t="str">
        <f>IFERROR(1/(1/INDEX(BD!$AL$49:$BF$49,MATCH($B$2,BD!$AL$22:$BF$22,0))),"")</f>
        <v/>
      </c>
      <c r="AD48" s="66" t="str">
        <f>IFERROR(1/(1/INDEX(BD!$AL$50:$BF$50,MATCH($B$2,BD!$AL$22:$BF$22,0))),"")</f>
        <v/>
      </c>
      <c r="AE48" s="66" t="str">
        <f>IFERROR(1/(1/INDEX(BD!$AL$51:$BF$51,MATCH($B$2,BD!$AL$22:$BF$22,0))),"")</f>
        <v/>
      </c>
      <c r="AF48" s="66" t="str">
        <f>IFERROR(1/(1/INDEX(BD!$AL$52:$BF$52,MATCH($B$2,BD!$AL$22:$BF$22,0))),"")</f>
        <v/>
      </c>
      <c r="AG48" s="66" t="str">
        <f>IFERROR(1/(1/INDEX(BD!$AL$53:$BF$53,MATCH($B$2,BD!$AL$22:$BF$22,0))),"")</f>
        <v/>
      </c>
      <c r="AH48" s="66" t="str">
        <f>IFERROR(1/(1/INDEX(BD!$AL$54:$BF$54,MATCH($B$2,BD!$AL$22:$BF$22,0))),"")</f>
        <v/>
      </c>
      <c r="AI48" s="66" t="str">
        <f>IFERROR(1/(1/INDEX(BD!$AL$55:$BF$55,MATCH($B$2,BD!$AL$22:$BF$22,0))),"")</f>
        <v/>
      </c>
    </row>
    <row r="49">
      <c r="A49" s="63" t="inlineStr">
        <is>
          <t xml:space="preserve">% da meta</t>
        </is>
      </c>
      <c r="C49" s="68" t="str">
        <f>IF(AND(ISNUMBER(C48),ISNUMBER(C43)),IF(C48&gt;0,C43/C48,""),"")</f>
        <v/>
      </c>
      <c r="D49" s="68" t="str">
        <f>IF(AND(ISNUMBER(D48),ISNUMBER(D43)),IF(D48&gt;0,D43/D48,""),"")</f>
        <v/>
      </c>
      <c r="E49" s="68" t="str">
        <f>IF(AND(ISNUMBER(E48),ISNUMBER(E43)),IF(E48&gt;0,E43/E48,""),"")</f>
        <v/>
      </c>
      <c r="F49" s="68" t="str">
        <f>IF(AND(ISNUMBER(F48),ISNUMBER(F43)),IF(F48&gt;0,F43/F48,""),"")</f>
        <v/>
      </c>
      <c r="G49" s="68" t="str">
        <f>IF(AND(ISNUMBER(G48),ISNUMBER(G43)),IF(G48&gt;0,G43/G48,""),"")</f>
        <v/>
      </c>
      <c r="H49" s="68" t="str">
        <f>IF(AND(ISNUMBER(H48),ISNUMBER(H43)),IF(H48&gt;0,H43/H48,""),"")</f>
        <v/>
      </c>
      <c r="I49" s="68" t="str">
        <f>IF(AND(ISNUMBER(I48),ISNUMBER(I43)),IF(I48&gt;0,I43/I48,""),"")</f>
        <v/>
      </c>
      <c r="J49" s="68" t="str">
        <f>IF(AND(ISNUMBER(J48),ISNUMBER(J43)),IF(J48&gt;0,J43/J48,""),"")</f>
        <v/>
      </c>
      <c r="K49" s="68" t="str">
        <f>IF(AND(ISNUMBER(K48),ISNUMBER(K43)),IF(K48&gt;0,K43/K48,""),"")</f>
        <v/>
      </c>
      <c r="L49" s="68" t="str">
        <f>IF(AND(ISNUMBER(L48),ISNUMBER(L43)),IF(L48&gt;0,L43/L48,""),"")</f>
        <v/>
      </c>
      <c r="M49" s="68" t="str">
        <f>IF(AND(ISNUMBER(M48),ISNUMBER(M43)),IF(M48&gt;0,M43/M48,""),"")</f>
        <v/>
      </c>
      <c r="N49" s="68" t="str">
        <f>IF(AND(ISNUMBER(N48),ISNUMBER(N43)),IF(N48&gt;0,N43/N48,""),"")</f>
        <v/>
      </c>
      <c r="O49" s="68" t="str">
        <f>IF(AND(ISNUMBER(O48),ISNUMBER(O43)),IF(O48&gt;0,O43/O48,""),"")</f>
        <v/>
      </c>
      <c r="P49" s="68" t="str">
        <f>IF(AND(ISNUMBER(P48),ISNUMBER(P43)),IF(P48&gt;0,P43/P48,""),"")</f>
        <v/>
      </c>
      <c r="Q49" s="68" t="str">
        <f>IF(AND(ISNUMBER(Q48),ISNUMBER(Q43)),IF(Q48&gt;0,Q43/Q48,""),"")</f>
        <v/>
      </c>
      <c r="R49" s="68" t="str">
        <f>IF(AND(ISNUMBER(R48),ISNUMBER(R43)),IF(R48&gt;0,R43/R48,""),"")</f>
        <v/>
      </c>
      <c r="S49" s="68" t="str">
        <f>IF(AND(ISNUMBER(S48),ISNUMBER(S43)),IF(S48&gt;0,S43/S48,""),"")</f>
        <v/>
      </c>
      <c r="T49" s="68" t="str">
        <f>IF(AND(ISNUMBER(T48),ISNUMBER(T43)),IF(T48&gt;0,T43/T48,""),"")</f>
        <v/>
      </c>
      <c r="U49" s="68" t="str">
        <f>IF(AND(ISNUMBER(U48),ISNUMBER(U43)),IF(U48&gt;0,U43/U48,""),"")</f>
        <v/>
      </c>
      <c r="V49" s="68" t="str">
        <f>IF(AND(ISNUMBER(V48),ISNUMBER(V43)),IF(V48&gt;0,V43/V48,""),"")</f>
        <v/>
      </c>
      <c r="W49" s="68" t="str">
        <f>IF(AND(ISNUMBER(W48),ISNUMBER(W43)),IF(W48&gt;0,W43/W48,""),"")</f>
        <v/>
      </c>
      <c r="X49" s="68" t="str">
        <f>IF(AND(ISNUMBER(X48),ISNUMBER(X43)),IF(X48&gt;0,X43/X48,""),"")</f>
        <v/>
      </c>
      <c r="Y49" s="68" t="str">
        <f>IF(AND(ISNUMBER(Y48),ISNUMBER(Y43)),IF(Y48&gt;0,Y43/Y48,""),"")</f>
        <v/>
      </c>
      <c r="Z49" s="68" t="str">
        <f>IF(AND(ISNUMBER(Z48),ISNUMBER(Z43)),IF(Z48&gt;0,Z43/Z48,""),"")</f>
        <v/>
      </c>
      <c r="AA49" s="68" t="str">
        <f>IF(AND(ISNUMBER(AA48),ISNUMBER(AA43)),IF(AA48&gt;0,AA43/AA48,""),"")</f>
        <v/>
      </c>
      <c r="AB49" s="68" t="str">
        <f>IF(AND(ISNUMBER(AB48),ISNUMBER(AB43)),IF(AB48&gt;0,AB43/AB48,""),"")</f>
        <v/>
      </c>
      <c r="AC49" s="68" t="str">
        <f>IF(AND(ISNUMBER(AC48),ISNUMBER(AC43)),IF(AC48&gt;0,AC43/AC48,""),"")</f>
        <v/>
      </c>
      <c r="AD49" s="68" t="str">
        <f>IF(AND(ISNUMBER(AD48),ISNUMBER(AD43)),IF(AD48&gt;0,AD43/AD48,""),"")</f>
        <v/>
      </c>
      <c r="AE49" s="68" t="str">
        <f>IF(AND(ISNUMBER(AE48),ISNUMBER(AE43)),IF(AE48&gt;0,AE43/AE48,""),"")</f>
        <v/>
      </c>
      <c r="AF49" s="68" t="str">
        <f>IF(AND(ISNUMBER(AF48),ISNUMBER(AF43)),IF(AF48&gt;0,AF43/AF48,""),"")</f>
        <v/>
      </c>
      <c r="AG49" s="68" t="str">
        <f>IF(AND(ISNUMBER(AG48),ISNUMBER(AG43)),IF(AG48&gt;0,AG43/AG48,""),"")</f>
        <v/>
      </c>
      <c r="AH49" s="68" t="str">
        <f>IF(AND(ISNUMBER(AH48),ISNUMBER(AH43)),IF(AH48&gt;0,AH43/AH48,""),"")</f>
        <v/>
      </c>
      <c r="AI49" s="68" t="str">
        <f>IF(AND(ISNUMBER(AI48),ISNUMBER(AI43)),IF(AI48&gt;0,AI43/AI48,""),"")</f>
        <v/>
      </c>
    </row>
    <row r="50">
      <c r="A50" s="63" t="inlineStr">
        <is>
          <t xml:space="preserve">Status</t>
        </is>
      </c>
      <c r="C50" s="69" t="str">
        <f>IF(ISNUMBER(C49),IF(C49&gt;=1,"meta atingida","abaixo da meta"),"")</f>
        <v/>
      </c>
      <c r="D50" s="69" t="str">
        <f>IF(ISNUMBER(D49),IF(D49&gt;=1,"meta atingida","abaixo da meta"),"")</f>
        <v/>
      </c>
      <c r="E50" s="69" t="str">
        <f>IF(ISNUMBER(E49),IF(E49&gt;=1,"meta atingida","abaixo da meta"),"")</f>
        <v/>
      </c>
      <c r="F50" s="69" t="str">
        <f>IF(ISNUMBER(F49),IF(F49&gt;=1,"meta atingida","abaixo da meta"),"")</f>
        <v/>
      </c>
      <c r="G50" s="69" t="str">
        <f>IF(ISNUMBER(G49),IF(G49&gt;=1,"meta atingida","abaixo da meta"),"")</f>
        <v/>
      </c>
      <c r="H50" s="69" t="str">
        <f>IF(ISNUMBER(H49),IF(H49&gt;=1,"meta atingida","abaixo da meta"),"")</f>
        <v/>
      </c>
      <c r="I50" s="69" t="str">
        <f>IF(ISNUMBER(I49),IF(I49&gt;=1,"meta atingida","abaixo da meta"),"")</f>
        <v/>
      </c>
      <c r="J50" s="69" t="str">
        <f>IF(ISNUMBER(J49),IF(J49&gt;=1,"meta atingida","abaixo da meta"),"")</f>
        <v/>
      </c>
      <c r="K50" s="69" t="str">
        <f>IF(ISNUMBER(K49),IF(K49&gt;=1,"meta atingida","abaixo da meta"),"")</f>
        <v/>
      </c>
      <c r="L50" s="69" t="str">
        <f>IF(ISNUMBER(L49),IF(L49&gt;=1,"meta atingida","abaixo da meta"),"")</f>
        <v/>
      </c>
      <c r="M50" s="69" t="str">
        <f>IF(ISNUMBER(M49),IF(M49&gt;=1,"meta atingida","abaixo da meta"),"")</f>
        <v/>
      </c>
      <c r="N50" s="69" t="str">
        <f>IF(ISNUMBER(N49),IF(N49&gt;=1,"meta atingida","abaixo da meta"),"")</f>
        <v/>
      </c>
      <c r="O50" s="69" t="str">
        <f>IF(ISNUMBER(O49),IF(O49&gt;=1,"meta atingida","abaixo da meta"),"")</f>
        <v/>
      </c>
      <c r="P50" s="69" t="str">
        <f>IF(ISNUMBER(P49),IF(P49&gt;=1,"meta atingida","abaixo da meta"),"")</f>
        <v/>
      </c>
      <c r="Q50" s="69" t="str">
        <f>IF(ISNUMBER(Q49),IF(Q49&gt;=1,"meta atingida","abaixo da meta"),"")</f>
        <v/>
      </c>
      <c r="R50" s="69" t="str">
        <f>IF(ISNUMBER(R49),IF(R49&gt;=1,"meta atingida","abaixo da meta"),"")</f>
        <v/>
      </c>
      <c r="S50" s="69" t="str">
        <f>IF(ISNUMBER(S49),IF(S49&gt;=1,"meta atingida","abaixo da meta"),"")</f>
        <v/>
      </c>
      <c r="T50" s="69" t="str">
        <f>IF(AND(ISNUMBER(T48),ISNUMBER(T43)),IF(T43&lt;=T48,"dentro do limite","acima do limite"),"")</f>
        <v/>
      </c>
      <c r="U50" s="69" t="str">
        <f>IF(AND(ISNUMBER(U48),ISNUMBER(U43)),IF(U43&lt;=U48,"dentro do limite","acima do limite"),"")</f>
        <v/>
      </c>
      <c r="V50" s="69" t="str">
        <f>IF(AND(ISNUMBER(V48),ISNUMBER(V43)),IF(V43&lt;=V48,"dentro do limite","acima do limite"),"")</f>
        <v/>
      </c>
      <c r="W50" s="69" t="str">
        <f>IF(AND(ISNUMBER(W48),ISNUMBER(W43)),IF(W43&lt;=W48,"dentro do limite","acima do limite"),"")</f>
        <v/>
      </c>
      <c r="X50" s="69" t="str">
        <f>IF(ISNUMBER(X49),IF(X49&gt;=1,"meta atingida","abaixo da meta"),"")</f>
        <v/>
      </c>
      <c r="Y50" s="69" t="str">
        <f>IF(ISNUMBER(Y49),IF(Y49&gt;=1,"meta atingida","abaixo da meta"),"")</f>
        <v/>
      </c>
      <c r="Z50" s="69" t="str">
        <f>IF(ISNUMBER(Z43),IF(Z43&gt;1,"excede o contratado",IF(Z43&gt;=$B$6,"ocupação alta",IF(Z43&gt;=$B$5,"ocupação média","ociosidade alta"))),"")</f>
        <v/>
      </c>
      <c r="AA50" s="69" t="str">
        <f>IF(ISNUMBER(AA49),IF(AA49&gt;=1,"meta atingida","abaixo da meta"),"")</f>
        <v/>
      </c>
      <c r="AB50" s="69" t="str">
        <f>IF(AND(ISNUMBER(AB48),ISNUMBER(AB43)),IF(AB43&lt;=AB48,"dentro do limite","acima do limite"),"")</f>
        <v/>
      </c>
      <c r="AC50" s="69" t="str">
        <f>IF(AND(ISNUMBER(AC48),ISNUMBER(AC43)),IF(AC43&lt;=AC48,"dentro do limite","acima do limite"),"")</f>
        <v/>
      </c>
      <c r="AD50" s="69" t="str">
        <f>IF(ISNUMBER(AD49),IF(AD49&gt;=1,"meta atingida","abaixo da meta"),"")</f>
        <v/>
      </c>
      <c r="AE50" s="69" t="str">
        <f>IF(ISNUMBER(AE49),IF(AE49&gt;=1,"meta atingida","abaixo da meta"),"")</f>
        <v/>
      </c>
      <c r="AF50" s="69" t="str">
        <f>IF(AND(ISNUMBER(AF48),ISNUMBER(AF43)),IF(AF43&lt;=AF48,"dentro do limite","acima do limite"),"")</f>
        <v/>
      </c>
      <c r="AG50" s="69" t="str">
        <f>IF(AND(ISNUMBER(AG48),ISNUMBER(AG43)),IF(AG43&lt;=AG48,"dentro do limite","acima do limite"),"")</f>
        <v/>
      </c>
      <c r="AH50" s="69" t="str">
        <f>IF(AND(ISNUMBER(AH48),ISNUMBER(AH43)),IF(AH43&lt;=AH48,"dentro do limite","acima do limite"),"")</f>
        <v/>
      </c>
      <c r="AI50" s="69" t="str">
        <f>IF(AND(ISNUMBER(AI48),ISNUMBER(AI43)),IF(AI43&lt;=AI48,"dentro do limite","acima do limite"),"")</f>
        <v/>
      </c>
    </row>
    <row r="91">
      <c r="A91" s="52" t="inlineStr">
        <is>
          <t xml:space="preserve">ACUMULADO SEMANAL — toneladas e pallets (seguem o filtro; mês do gráfico)</t>
        </is>
      </c>
    </row>
    <row r="92">
      <c r="A92" s="47" t="inlineStr">
        <is>
          <t xml:space="preserve">Semana</t>
        </is>
      </c>
      <c r="B92" s="47" t="inlineStr">
        <is>
          <t xml:space="preserve">Do dia</t>
        </is>
      </c>
      <c r="C92" s="47" t="inlineStr">
        <is>
          <t xml:space="preserve">Ao dia</t>
        </is>
      </c>
      <c r="D92" s="47" t="inlineStr">
        <is>
          <t xml:space="preserve">IN tons</t>
        </is>
      </c>
      <c r="E92" s="47" t="inlineStr">
        <is>
          <t xml:space="preserve">OUT tons</t>
        </is>
      </c>
      <c r="F92" s="47" t="inlineStr">
        <is>
          <t xml:space="preserve">IN pallets</t>
        </is>
      </c>
      <c r="G92" s="47" t="inlineStr">
        <is>
          <t xml:space="preserve">OUT pallets</t>
        </is>
      </c>
    </row>
    <row r="93">
      <c r="A93" s="40" t="inlineStr">
        <is>
          <t xml:space="preserve">Sem 1 (01–07)</t>
        </is>
      </c>
      <c r="B93" s="39">
        <v>1</v>
      </c>
      <c r="C93" s="39">
        <v>7</v>
      </c>
      <c r="D93" s="72">
        <f>SUMIFS(E12:E42,A12:A42,"&gt;="&amp;$B93,A12:A42,"&lt;="&amp;$C93)</f>
        <v>0</v>
      </c>
      <c r="E93" s="72">
        <f>SUMIFS(S12:S42,A12:A42,"&gt;="&amp;$B93,A12:A42,"&lt;="&amp;$C93)</f>
        <v>0</v>
      </c>
      <c r="F93" s="42">
        <f>SUMIFS(D12:D42,A12:A42,"&gt;="&amp;$B93,A12:A42,"&lt;="&amp;$C93)</f>
        <v>0</v>
      </c>
      <c r="G93" s="42">
        <f>SUMIFS(R12:R42,A12:A42,"&gt;="&amp;$B93,A12:A42,"&lt;="&amp;$C93)</f>
        <v>0</v>
      </c>
    </row>
    <row r="94">
      <c r="A94" s="40" t="inlineStr">
        <is>
          <t xml:space="preserve">Sem 2 (08–14)</t>
        </is>
      </c>
      <c r="B94" s="39">
        <v>8</v>
      </c>
      <c r="C94" s="39">
        <v>14</v>
      </c>
      <c r="D94" s="72">
        <f>SUMIFS(E12:E42,A12:A42,"&gt;="&amp;$B94,A12:A42,"&lt;="&amp;$C94)</f>
        <v>0</v>
      </c>
      <c r="E94" s="72">
        <f>SUMIFS(S12:S42,A12:A42,"&gt;="&amp;$B94,A12:A42,"&lt;="&amp;$C94)</f>
        <v>0</v>
      </c>
      <c r="F94" s="42">
        <f>SUMIFS(D12:D42,A12:A42,"&gt;="&amp;$B94,A12:A42,"&lt;="&amp;$C94)</f>
        <v>0</v>
      </c>
      <c r="G94" s="42">
        <f>SUMIFS(R12:R42,A12:A42,"&gt;="&amp;$B94,A12:A42,"&lt;="&amp;$C94)</f>
        <v>0</v>
      </c>
    </row>
    <row r="95">
      <c r="A95" s="40" t="inlineStr">
        <is>
          <t xml:space="preserve">Sem 3 (15–21)</t>
        </is>
      </c>
      <c r="B95" s="39">
        <v>15</v>
      </c>
      <c r="C95" s="39">
        <v>21</v>
      </c>
      <c r="D95" s="72">
        <f>SUMIFS(E12:E42,A12:A42,"&gt;="&amp;$B95,A12:A42,"&lt;="&amp;$C95)</f>
        <v>0</v>
      </c>
      <c r="E95" s="72">
        <f>SUMIFS(S12:S42,A12:A42,"&gt;="&amp;$B95,A12:A42,"&lt;="&amp;$C95)</f>
        <v>0</v>
      </c>
      <c r="F95" s="42">
        <f>SUMIFS(D12:D42,A12:A42,"&gt;="&amp;$B95,A12:A42,"&lt;="&amp;$C95)</f>
        <v>0</v>
      </c>
      <c r="G95" s="42">
        <f>SUMIFS(R12:R42,A12:A42,"&gt;="&amp;$B95,A12:A42,"&lt;="&amp;$C95)</f>
        <v>0</v>
      </c>
    </row>
    <row r="96">
      <c r="A96" s="40" t="inlineStr">
        <is>
          <t xml:space="preserve">Sem 4 (22–28)</t>
        </is>
      </c>
      <c r="B96" s="39">
        <v>22</v>
      </c>
      <c r="C96" s="39">
        <v>28</v>
      </c>
      <c r="D96" s="72">
        <f>SUMIFS(E12:E42,A12:A42,"&gt;="&amp;$B96,A12:A42,"&lt;="&amp;$C96)</f>
        <v>0</v>
      </c>
      <c r="E96" s="72">
        <f>SUMIFS(S12:S42,A12:A42,"&gt;="&amp;$B96,A12:A42,"&lt;="&amp;$C96)</f>
        <v>0</v>
      </c>
      <c r="F96" s="42">
        <f>SUMIFS(D12:D42,A12:A42,"&gt;="&amp;$B96,A12:A42,"&lt;="&amp;$C96)</f>
        <v>0</v>
      </c>
      <c r="G96" s="42">
        <f>SUMIFS(R12:R42,A12:A42,"&gt;="&amp;$B96,A12:A42,"&lt;="&amp;$C96)</f>
        <v>0</v>
      </c>
    </row>
    <row r="97">
      <c r="A97" s="40" t="inlineStr">
        <is>
          <t xml:space="preserve">Sem 5 (29–fim)</t>
        </is>
      </c>
      <c r="B97" s="39">
        <v>29</v>
      </c>
      <c r="C97" s="39">
        <v>31</v>
      </c>
      <c r="D97" s="72">
        <f>SUMIFS(E12:E42,A12:A42,"&gt;="&amp;$B97,A12:A42,"&lt;="&amp;$C97)</f>
        <v>0</v>
      </c>
      <c r="E97" s="72">
        <f>SUMIFS(S12:S42,A12:A42,"&gt;="&amp;$B97,A12:A42,"&lt;="&amp;$C97)</f>
        <v>0</v>
      </c>
      <c r="F97" s="42">
        <f>SUMIFS(D12:D42,A12:A42,"&gt;="&amp;$B97,A12:A42,"&lt;="&amp;$C97)</f>
        <v>0</v>
      </c>
      <c r="G97" s="42">
        <f>SUMIFS(R12:R42,A12:A42,"&gt;="&amp;$B97,A12:A42,"&lt;="&amp;$C97)</f>
        <v>0</v>
      </c>
    </row>
    <row r="101">
      <c r="A101" s="52" t="inlineStr">
        <is>
          <t xml:space="preserve">POR CLIENTE — mês inteiro (todos os clientes). Estoque = último valor do mês.</t>
        </is>
      </c>
    </row>
    <row r="102" ht="30" customHeight="1">
      <c r="A102" s="47" t="inlineStr">
        <is>
          <t xml:space="preserve">Indicador</t>
        </is>
      </c>
      <c r="B102" s="47" t="str">
        <f>Config!$B$10&amp;""</f>
        <v>Alpargatas</v>
      </c>
      <c r="C102" s="47" t="str">
        <f>Config!$B$11&amp;""</f>
        <v>Basf</v>
      </c>
      <c r="D102" s="47" t="str">
        <f>Config!$B$12&amp;""</f>
        <v>Beautybiz</v>
      </c>
      <c r="E102" s="47" t="str">
        <f>Config!$B$13&amp;""</f>
        <v>Boticário</v>
      </c>
      <c r="F102" s="47" t="str">
        <f>Config!$B$14&amp;""</f>
        <v>Confiance</v>
      </c>
      <c r="G102" s="47" t="str">
        <f>Config!$B$15&amp;""</f>
        <v>GE Vernova</v>
      </c>
      <c r="H102" s="47" t="str">
        <f>Config!$B$16&amp;""</f>
        <v>Omnilife</v>
      </c>
      <c r="I102" s="47" t="str">
        <f>Config!$B$17&amp;""</f>
        <v>Supply</v>
      </c>
      <c r="J102" s="47" t="str">
        <f>Config!$B$18&amp;""</f>
        <v>Vedacit</v>
      </c>
      <c r="K102" s="47" t="str">
        <f>Config!$B$19&amp;""</f>
        <v>Vestas</v>
      </c>
      <c r="L102" s="47" t="str">
        <f>Config!$B$20&amp;""</f>
        <v/>
      </c>
      <c r="M102" s="47" t="str">
        <f>Config!$B$21&amp;""</f>
        <v/>
      </c>
      <c r="N102" s="47" t="str">
        <f>Config!$B$22&amp;""</f>
        <v/>
      </c>
      <c r="O102" s="47" t="str">
        <f>Config!$B$23&amp;""</f>
        <v/>
      </c>
      <c r="P102" s="47" t="str">
        <f>Config!$B$24&amp;""</f>
        <v/>
      </c>
      <c r="Q102" s="47" t="str">
        <f>Config!$B$25&amp;""</f>
        <v/>
      </c>
      <c r="R102" s="47" t="str">
        <f>Config!$B$26&amp;""</f>
        <v/>
      </c>
      <c r="S102" s="47" t="str">
        <f>Config!$B$27&amp;""</f>
        <v/>
      </c>
      <c r="T102" s="47" t="str">
        <f>Config!$B$28&amp;""</f>
        <v/>
      </c>
      <c r="U102" s="47" t="str">
        <f>Config!$B$29&amp;""</f>
        <v/>
      </c>
      <c r="V102" s="47" t="inlineStr">
        <is>
          <t xml:space="preserve">TOTAL</t>
        </is>
      </c>
    </row>
    <row r="103">
      <c r="A103" s="40" t="inlineStr">
        <is>
          <t xml:space="preserve">IN · Veículos Recebidos</t>
        </is>
      </c>
      <c r="B103" s="42">
        <f>IF(B$102="","",IF(Config!$D$35&lt;&gt;"Não",SUMIFS(BD!$C$3:$C$5001,BD!$B$3:$B$5001,B$102,BD!$A$3:$A$5001,"&gt;="&amp;$C$7,BD!$A$3:$A$5001,"&lt;="&amp;$D$7),"—"))</f>
        <v>0</v>
      </c>
      <c r="C103" s="42">
        <f>IF(C$102="","",IF(Config!$D$36&lt;&gt;"Não",SUMIFS(BD!$C$3:$C$5001,BD!$B$3:$B$5001,C$102,BD!$A$3:$A$5001,"&gt;="&amp;$C$7,BD!$A$3:$A$5001,"&lt;="&amp;$D$7),"—"))</f>
        <v>0</v>
      </c>
      <c r="D103" s="42">
        <f>IF(D$102="","",IF(Config!$D$37&lt;&gt;"Não",SUMIFS(BD!$C$3:$C$5001,BD!$B$3:$B$5001,D$102,BD!$A$3:$A$5001,"&gt;="&amp;$C$7,BD!$A$3:$A$5001,"&lt;="&amp;$D$7),"—"))</f>
        <v>0</v>
      </c>
      <c r="E103" s="42">
        <f>IF(E$102="","",IF(Config!$D$38&lt;&gt;"Não",SUMIFS(BD!$C$3:$C$5001,BD!$B$3:$B$5001,E$102,BD!$A$3:$A$5001,"&gt;="&amp;$C$7,BD!$A$3:$A$5001,"&lt;="&amp;$D$7),"—"))</f>
        <v>0</v>
      </c>
      <c r="F103" s="42">
        <f>IF(F$102="","",IF(Config!$D$39&lt;&gt;"Não",SUMIFS(BD!$C$3:$C$5001,BD!$B$3:$B$5001,F$102,BD!$A$3:$A$5001,"&gt;="&amp;$C$7,BD!$A$3:$A$5001,"&lt;="&amp;$D$7),"—"))</f>
        <v>0</v>
      </c>
      <c r="G103" s="42">
        <f>IF(G$102="","",IF(Config!$D$40&lt;&gt;"Não",SUMIFS(BD!$C$3:$C$5001,BD!$B$3:$B$5001,G$102,BD!$A$3:$A$5001,"&gt;="&amp;$C$7,BD!$A$3:$A$5001,"&lt;="&amp;$D$7),"—"))</f>
        <v>0</v>
      </c>
      <c r="H103" s="42">
        <f>IF(H$102="","",IF(Config!$D$41&lt;&gt;"Não",SUMIFS(BD!$C$3:$C$5001,BD!$B$3:$B$5001,H$102,BD!$A$3:$A$5001,"&gt;="&amp;$C$7,BD!$A$3:$A$5001,"&lt;="&amp;$D$7),"—"))</f>
        <v>0</v>
      </c>
      <c r="I103" s="42">
        <f>IF(I$102="","",IF(Config!$D$42&lt;&gt;"Não",SUMIFS(BD!$C$3:$C$5001,BD!$B$3:$B$5001,I$102,BD!$A$3:$A$5001,"&gt;="&amp;$C$7,BD!$A$3:$A$5001,"&lt;="&amp;$D$7),"—"))</f>
        <v>0</v>
      </c>
      <c r="J103" s="42">
        <f>IF(J$102="","",IF(Config!$D$43&lt;&gt;"Não",SUMIFS(BD!$C$3:$C$5001,BD!$B$3:$B$5001,J$102,BD!$A$3:$A$5001,"&gt;="&amp;$C$7,BD!$A$3:$A$5001,"&lt;="&amp;$D$7),"—"))</f>
        <v>0</v>
      </c>
      <c r="K103" s="42">
        <f>IF(K$102="","",IF(Config!$D$44&lt;&gt;"Não",SUMIFS(BD!$C$3:$C$5001,BD!$B$3:$B$5001,K$102,BD!$A$3:$A$5001,"&gt;="&amp;$C$7,BD!$A$3:$A$5001,"&lt;="&amp;$D$7),"—"))</f>
        <v>0</v>
      </c>
      <c r="L103" s="42" t="str">
        <f>IF(L$102="","",IF(Config!$D$45&lt;&gt;"Não",SUMIFS(BD!$C$3:$C$5001,BD!$B$3:$B$5001,L$102,BD!$A$3:$A$5001,"&gt;="&amp;$C$7,BD!$A$3:$A$5001,"&lt;="&amp;$D$7),"—"))</f>
        <v/>
      </c>
      <c r="M103" s="42" t="str">
        <f>IF(M$102="","",IF(Config!$D$46&lt;&gt;"Não",SUMIFS(BD!$C$3:$C$5001,BD!$B$3:$B$5001,M$102,BD!$A$3:$A$5001,"&gt;="&amp;$C$7,BD!$A$3:$A$5001,"&lt;="&amp;$D$7),"—"))</f>
        <v/>
      </c>
      <c r="N103" s="42" t="str">
        <f>IF(N$102="","",IF(Config!$D$47&lt;&gt;"Não",SUMIFS(BD!$C$3:$C$5001,BD!$B$3:$B$5001,N$102,BD!$A$3:$A$5001,"&gt;="&amp;$C$7,BD!$A$3:$A$5001,"&lt;="&amp;$D$7),"—"))</f>
        <v/>
      </c>
      <c r="O103" s="42" t="str">
        <f>IF(O$102="","",IF(Config!$D$48&lt;&gt;"Não",SUMIFS(BD!$C$3:$C$5001,BD!$B$3:$B$5001,O$102,BD!$A$3:$A$5001,"&gt;="&amp;$C$7,BD!$A$3:$A$5001,"&lt;="&amp;$D$7),"—"))</f>
        <v/>
      </c>
      <c r="P103" s="42" t="str">
        <f>IF(P$102="","",IF(Config!$D$49&lt;&gt;"Não",SUMIFS(BD!$C$3:$C$5001,BD!$B$3:$B$5001,P$102,BD!$A$3:$A$5001,"&gt;="&amp;$C$7,BD!$A$3:$A$5001,"&lt;="&amp;$D$7),"—"))</f>
        <v/>
      </c>
      <c r="Q103" s="42" t="str">
        <f>IF(Q$102="","",IF(Config!$D$50&lt;&gt;"Não",SUMIFS(BD!$C$3:$C$5001,BD!$B$3:$B$5001,Q$102,BD!$A$3:$A$5001,"&gt;="&amp;$C$7,BD!$A$3:$A$5001,"&lt;="&amp;$D$7),"—"))</f>
        <v/>
      </c>
      <c r="R103" s="42" t="str">
        <f>IF(R$102="","",IF(Config!$D$51&lt;&gt;"Não",SUMIFS(BD!$C$3:$C$5001,BD!$B$3:$B$5001,R$102,BD!$A$3:$A$5001,"&gt;="&amp;$C$7,BD!$A$3:$A$5001,"&lt;="&amp;$D$7),"—"))</f>
        <v/>
      </c>
      <c r="S103" s="42" t="str">
        <f>IF(S$102="","",IF(Config!$D$52&lt;&gt;"Não",SUMIFS(BD!$C$3:$C$5001,BD!$B$3:$B$5001,S$102,BD!$A$3:$A$5001,"&gt;="&amp;$C$7,BD!$A$3:$A$5001,"&lt;="&amp;$D$7),"—"))</f>
        <v/>
      </c>
      <c r="T103" s="42" t="str">
        <f>IF(T$102="","",IF(Config!$D$53&lt;&gt;"Não",SUMIFS(BD!$C$3:$C$5001,BD!$B$3:$B$5001,T$102,BD!$A$3:$A$5001,"&gt;="&amp;$C$7,BD!$A$3:$A$5001,"&lt;="&amp;$D$7),"—"))</f>
        <v/>
      </c>
      <c r="U103" s="42" t="str">
        <f>IF(U$102="","",IF(Config!$D$54&lt;&gt;"Não",SUMIFS(BD!$C$3:$C$5001,BD!$B$3:$B$5001,U$102,BD!$A$3:$A$5001,"&gt;="&amp;$C$7,BD!$A$3:$A$5001,"&lt;="&amp;$D$7),"—"))</f>
        <v/>
      </c>
      <c r="V103" s="73">
        <f>SUM(B103:U103)</f>
        <v>0</v>
      </c>
    </row>
    <row r="104">
      <c r="A104" s="40" t="inlineStr">
        <is>
          <t xml:space="preserve">IN · Pallets Movimentados</t>
        </is>
      </c>
      <c r="B104" s="42" t="str">
        <f>IF(B$102="","",IF(Config!$E$35&lt;&gt;"Não",SUMIFS(BD!$D$3:$D$5001,BD!$B$3:$B$5001,B$102,BD!$A$3:$A$5001,"&gt;="&amp;$C$7,BD!$A$3:$A$5001,"&lt;="&amp;$D$7),"—"))</f>
        <v>—</v>
      </c>
      <c r="C104" s="42">
        <f>IF(C$102="","",IF(Config!$E$36&lt;&gt;"Não",SUMIFS(BD!$D$3:$D$5001,BD!$B$3:$B$5001,C$102,BD!$A$3:$A$5001,"&gt;="&amp;$C$7,BD!$A$3:$A$5001,"&lt;="&amp;$D$7),"—"))</f>
        <v>0</v>
      </c>
      <c r="D104" s="42">
        <f>IF(D$102="","",IF(Config!$E$37&lt;&gt;"Não",SUMIFS(BD!$D$3:$D$5001,BD!$B$3:$B$5001,D$102,BD!$A$3:$A$5001,"&gt;="&amp;$C$7,BD!$A$3:$A$5001,"&lt;="&amp;$D$7),"—"))</f>
        <v>0</v>
      </c>
      <c r="E104" s="42">
        <f>IF(E$102="","",IF(Config!$E$38&lt;&gt;"Não",SUMIFS(BD!$D$3:$D$5001,BD!$B$3:$B$5001,E$102,BD!$A$3:$A$5001,"&gt;="&amp;$C$7,BD!$A$3:$A$5001,"&lt;="&amp;$D$7),"—"))</f>
        <v>0</v>
      </c>
      <c r="F104" s="42">
        <f>IF(F$102="","",IF(Config!$E$39&lt;&gt;"Não",SUMIFS(BD!$D$3:$D$5001,BD!$B$3:$B$5001,F$102,BD!$A$3:$A$5001,"&gt;="&amp;$C$7,BD!$A$3:$A$5001,"&lt;="&amp;$D$7),"—"))</f>
        <v>0</v>
      </c>
      <c r="G104" s="42">
        <f>IF(G$102="","",IF(Config!$E$40&lt;&gt;"Não",SUMIFS(BD!$D$3:$D$5001,BD!$B$3:$B$5001,G$102,BD!$A$3:$A$5001,"&gt;="&amp;$C$7,BD!$A$3:$A$5001,"&lt;="&amp;$D$7),"—"))</f>
        <v>0</v>
      </c>
      <c r="H104" s="42">
        <f>IF(H$102="","",IF(Config!$E$41&lt;&gt;"Não",SUMIFS(BD!$D$3:$D$5001,BD!$B$3:$B$5001,H$102,BD!$A$3:$A$5001,"&gt;="&amp;$C$7,BD!$A$3:$A$5001,"&lt;="&amp;$D$7),"—"))</f>
        <v>0</v>
      </c>
      <c r="I104" s="42">
        <f>IF(I$102="","",IF(Config!$E$42&lt;&gt;"Não",SUMIFS(BD!$D$3:$D$5001,BD!$B$3:$B$5001,I$102,BD!$A$3:$A$5001,"&gt;="&amp;$C$7,BD!$A$3:$A$5001,"&lt;="&amp;$D$7),"—"))</f>
        <v>0</v>
      </c>
      <c r="J104" s="42">
        <f>IF(J$102="","",IF(Config!$E$43&lt;&gt;"Não",SUMIFS(BD!$D$3:$D$5001,BD!$B$3:$B$5001,J$102,BD!$A$3:$A$5001,"&gt;="&amp;$C$7,BD!$A$3:$A$5001,"&lt;="&amp;$D$7),"—"))</f>
        <v>0</v>
      </c>
      <c r="K104" s="42" t="str">
        <f>IF(K$102="","",IF(Config!$E$44&lt;&gt;"Não",SUMIFS(BD!$D$3:$D$5001,BD!$B$3:$B$5001,K$102,BD!$A$3:$A$5001,"&gt;="&amp;$C$7,BD!$A$3:$A$5001,"&lt;="&amp;$D$7),"—"))</f>
        <v>—</v>
      </c>
      <c r="L104" s="42" t="str">
        <f>IF(L$102="","",IF(Config!$E$45&lt;&gt;"Não",SUMIFS(BD!$D$3:$D$5001,BD!$B$3:$B$5001,L$102,BD!$A$3:$A$5001,"&gt;="&amp;$C$7,BD!$A$3:$A$5001,"&lt;="&amp;$D$7),"—"))</f>
        <v/>
      </c>
      <c r="M104" s="42" t="str">
        <f>IF(M$102="","",IF(Config!$E$46&lt;&gt;"Não",SUMIFS(BD!$D$3:$D$5001,BD!$B$3:$B$5001,M$102,BD!$A$3:$A$5001,"&gt;="&amp;$C$7,BD!$A$3:$A$5001,"&lt;="&amp;$D$7),"—"))</f>
        <v/>
      </c>
      <c r="N104" s="42" t="str">
        <f>IF(N$102="","",IF(Config!$E$47&lt;&gt;"Não",SUMIFS(BD!$D$3:$D$5001,BD!$B$3:$B$5001,N$102,BD!$A$3:$A$5001,"&gt;="&amp;$C$7,BD!$A$3:$A$5001,"&lt;="&amp;$D$7),"—"))</f>
        <v/>
      </c>
      <c r="O104" s="42" t="str">
        <f>IF(O$102="","",IF(Config!$E$48&lt;&gt;"Não",SUMIFS(BD!$D$3:$D$5001,BD!$B$3:$B$5001,O$102,BD!$A$3:$A$5001,"&gt;="&amp;$C$7,BD!$A$3:$A$5001,"&lt;="&amp;$D$7),"—"))</f>
        <v/>
      </c>
      <c r="P104" s="42" t="str">
        <f>IF(P$102="","",IF(Config!$E$49&lt;&gt;"Não",SUMIFS(BD!$D$3:$D$5001,BD!$B$3:$B$5001,P$102,BD!$A$3:$A$5001,"&gt;="&amp;$C$7,BD!$A$3:$A$5001,"&lt;="&amp;$D$7),"—"))</f>
        <v/>
      </c>
      <c r="Q104" s="42" t="str">
        <f>IF(Q$102="","",IF(Config!$E$50&lt;&gt;"Não",SUMIFS(BD!$D$3:$D$5001,BD!$B$3:$B$5001,Q$102,BD!$A$3:$A$5001,"&gt;="&amp;$C$7,BD!$A$3:$A$5001,"&lt;="&amp;$D$7),"—"))</f>
        <v/>
      </c>
      <c r="R104" s="42" t="str">
        <f>IF(R$102="","",IF(Config!$E$51&lt;&gt;"Não",SUMIFS(BD!$D$3:$D$5001,BD!$B$3:$B$5001,R$102,BD!$A$3:$A$5001,"&gt;="&amp;$C$7,BD!$A$3:$A$5001,"&lt;="&amp;$D$7),"—"))</f>
        <v/>
      </c>
      <c r="S104" s="42" t="str">
        <f>IF(S$102="","",IF(Config!$E$52&lt;&gt;"Não",SUMIFS(BD!$D$3:$D$5001,BD!$B$3:$B$5001,S$102,BD!$A$3:$A$5001,"&gt;="&amp;$C$7,BD!$A$3:$A$5001,"&lt;="&amp;$D$7),"—"))</f>
        <v/>
      </c>
      <c r="T104" s="42" t="str">
        <f>IF(T$102="","",IF(Config!$E$53&lt;&gt;"Não",SUMIFS(BD!$D$3:$D$5001,BD!$B$3:$B$5001,T$102,BD!$A$3:$A$5001,"&gt;="&amp;$C$7,BD!$A$3:$A$5001,"&lt;="&amp;$D$7),"—"))</f>
        <v/>
      </c>
      <c r="U104" s="42" t="str">
        <f>IF(U$102="","",IF(Config!$E$54&lt;&gt;"Não",SUMIFS(BD!$D$3:$D$5001,BD!$B$3:$B$5001,U$102,BD!$A$3:$A$5001,"&gt;="&amp;$C$7,BD!$A$3:$A$5001,"&lt;="&amp;$D$7),"—"))</f>
        <v/>
      </c>
      <c r="V104" s="73">
        <f>SUM(B104:U104)</f>
        <v>0</v>
      </c>
    </row>
    <row r="105">
      <c r="A105" s="40" t="inlineStr">
        <is>
          <t xml:space="preserve">IN · Toneladas Movimentadas</t>
        </is>
      </c>
      <c r="B105" s="72" t="str">
        <f>IF(B$102="","",IF(Config!$F$35&lt;&gt;"Não",SUMIFS(BD!$E$3:$E$5001,BD!$B$3:$B$5001,B$102,BD!$A$3:$A$5001,"&gt;="&amp;$C$7,BD!$A$3:$A$5001,"&lt;="&amp;$D$7),"—"))</f>
        <v>—</v>
      </c>
      <c r="C105" s="72">
        <f>IF(C$102="","",IF(Config!$F$36&lt;&gt;"Não",SUMIFS(BD!$E$3:$E$5001,BD!$B$3:$B$5001,C$102,BD!$A$3:$A$5001,"&gt;="&amp;$C$7,BD!$A$3:$A$5001,"&lt;="&amp;$D$7),"—"))</f>
        <v>0</v>
      </c>
      <c r="D105" s="72" t="str">
        <f>IF(D$102="","",IF(Config!$F$37&lt;&gt;"Não",SUMIFS(BD!$E$3:$E$5001,BD!$B$3:$B$5001,D$102,BD!$A$3:$A$5001,"&gt;="&amp;$C$7,BD!$A$3:$A$5001,"&lt;="&amp;$D$7),"—"))</f>
        <v>—</v>
      </c>
      <c r="E105" s="72" t="str">
        <f>IF(E$102="","",IF(Config!$F$38&lt;&gt;"Não",SUMIFS(BD!$E$3:$E$5001,BD!$B$3:$B$5001,E$102,BD!$A$3:$A$5001,"&gt;="&amp;$C$7,BD!$A$3:$A$5001,"&lt;="&amp;$D$7),"—"))</f>
        <v>—</v>
      </c>
      <c r="F105" s="72">
        <f>IF(F$102="","",IF(Config!$F$39&lt;&gt;"Não",SUMIFS(BD!$E$3:$E$5001,BD!$B$3:$B$5001,F$102,BD!$A$3:$A$5001,"&gt;="&amp;$C$7,BD!$A$3:$A$5001,"&lt;="&amp;$D$7),"—"))</f>
        <v>0</v>
      </c>
      <c r="G105" s="72" t="str">
        <f>IF(G$102="","",IF(Config!$F$40&lt;&gt;"Não",SUMIFS(BD!$E$3:$E$5001,BD!$B$3:$B$5001,G$102,BD!$A$3:$A$5001,"&gt;="&amp;$C$7,BD!$A$3:$A$5001,"&lt;="&amp;$D$7),"—"))</f>
        <v>—</v>
      </c>
      <c r="H105" s="72" t="str">
        <f>IF(H$102="","",IF(Config!$F$41&lt;&gt;"Não",SUMIFS(BD!$E$3:$E$5001,BD!$B$3:$B$5001,H$102,BD!$A$3:$A$5001,"&gt;="&amp;$C$7,BD!$A$3:$A$5001,"&lt;="&amp;$D$7),"—"))</f>
        <v>—</v>
      </c>
      <c r="I105" s="72">
        <f>IF(I$102="","",IF(Config!$F$42&lt;&gt;"Não",SUMIFS(BD!$E$3:$E$5001,BD!$B$3:$B$5001,I$102,BD!$A$3:$A$5001,"&gt;="&amp;$C$7,BD!$A$3:$A$5001,"&lt;="&amp;$D$7),"—"))</f>
        <v>0</v>
      </c>
      <c r="J105" s="72" t="str">
        <f>IF(J$102="","",IF(Config!$F$43&lt;&gt;"Não",SUMIFS(BD!$E$3:$E$5001,BD!$B$3:$B$5001,J$102,BD!$A$3:$A$5001,"&gt;="&amp;$C$7,BD!$A$3:$A$5001,"&lt;="&amp;$D$7),"—"))</f>
        <v>—</v>
      </c>
      <c r="K105" s="72" t="str">
        <f>IF(K$102="","",IF(Config!$F$44&lt;&gt;"Não",SUMIFS(BD!$E$3:$E$5001,BD!$B$3:$B$5001,K$102,BD!$A$3:$A$5001,"&gt;="&amp;$C$7,BD!$A$3:$A$5001,"&lt;="&amp;$D$7),"—"))</f>
        <v>—</v>
      </c>
      <c r="L105" s="72" t="str">
        <f>IF(L$102="","",IF(Config!$F$45&lt;&gt;"Não",SUMIFS(BD!$E$3:$E$5001,BD!$B$3:$B$5001,L$102,BD!$A$3:$A$5001,"&gt;="&amp;$C$7,BD!$A$3:$A$5001,"&lt;="&amp;$D$7),"—"))</f>
        <v/>
      </c>
      <c r="M105" s="72" t="str">
        <f>IF(M$102="","",IF(Config!$F$46&lt;&gt;"Não",SUMIFS(BD!$E$3:$E$5001,BD!$B$3:$B$5001,M$102,BD!$A$3:$A$5001,"&gt;="&amp;$C$7,BD!$A$3:$A$5001,"&lt;="&amp;$D$7),"—"))</f>
        <v/>
      </c>
      <c r="N105" s="72" t="str">
        <f>IF(N$102="","",IF(Config!$F$47&lt;&gt;"Não",SUMIFS(BD!$E$3:$E$5001,BD!$B$3:$B$5001,N$102,BD!$A$3:$A$5001,"&gt;="&amp;$C$7,BD!$A$3:$A$5001,"&lt;="&amp;$D$7),"—"))</f>
        <v/>
      </c>
      <c r="O105" s="72" t="str">
        <f>IF(O$102="","",IF(Config!$F$48&lt;&gt;"Não",SUMIFS(BD!$E$3:$E$5001,BD!$B$3:$B$5001,O$102,BD!$A$3:$A$5001,"&gt;="&amp;$C$7,BD!$A$3:$A$5001,"&lt;="&amp;$D$7),"—"))</f>
        <v/>
      </c>
      <c r="P105" s="72" t="str">
        <f>IF(P$102="","",IF(Config!$F$49&lt;&gt;"Não",SUMIFS(BD!$E$3:$E$5001,BD!$B$3:$B$5001,P$102,BD!$A$3:$A$5001,"&gt;="&amp;$C$7,BD!$A$3:$A$5001,"&lt;="&amp;$D$7),"—"))</f>
        <v/>
      </c>
      <c r="Q105" s="72" t="str">
        <f>IF(Q$102="","",IF(Config!$F$50&lt;&gt;"Não",SUMIFS(BD!$E$3:$E$5001,BD!$B$3:$B$5001,Q$102,BD!$A$3:$A$5001,"&gt;="&amp;$C$7,BD!$A$3:$A$5001,"&lt;="&amp;$D$7),"—"))</f>
        <v/>
      </c>
      <c r="R105" s="72" t="str">
        <f>IF(R$102="","",IF(Config!$F$51&lt;&gt;"Não",SUMIFS(BD!$E$3:$E$5001,BD!$B$3:$B$5001,R$102,BD!$A$3:$A$5001,"&gt;="&amp;$C$7,BD!$A$3:$A$5001,"&lt;="&amp;$D$7),"—"))</f>
        <v/>
      </c>
      <c r="S105" s="72" t="str">
        <f>IF(S$102="","",IF(Config!$F$52&lt;&gt;"Não",SUMIFS(BD!$E$3:$E$5001,BD!$B$3:$B$5001,S$102,BD!$A$3:$A$5001,"&gt;="&amp;$C$7,BD!$A$3:$A$5001,"&lt;="&amp;$D$7),"—"))</f>
        <v/>
      </c>
      <c r="T105" s="72" t="str">
        <f>IF(T$102="","",IF(Config!$F$53&lt;&gt;"Não",SUMIFS(BD!$E$3:$E$5001,BD!$B$3:$B$5001,T$102,BD!$A$3:$A$5001,"&gt;="&amp;$C$7,BD!$A$3:$A$5001,"&lt;="&amp;$D$7),"—"))</f>
        <v/>
      </c>
      <c r="U105" s="72" t="str">
        <f>IF(U$102="","",IF(Config!$F$54&lt;&gt;"Não",SUMIFS(BD!$E$3:$E$5001,BD!$B$3:$B$5001,U$102,BD!$A$3:$A$5001,"&gt;="&amp;$C$7,BD!$A$3:$A$5001,"&lt;="&amp;$D$7),"—"))</f>
        <v/>
      </c>
      <c r="V105" s="74">
        <f>SUM(B105:U105)</f>
        <v>0</v>
      </c>
    </row>
    <row r="106">
      <c r="A106" s="40" t="inlineStr">
        <is>
          <t xml:space="preserve">IN · Linhas NF</t>
        </is>
      </c>
      <c r="B106" s="42" t="str">
        <f>IF(B$102="","",IF(Config!$G$35&lt;&gt;"Não",SUMIFS(BD!$F$3:$F$5001,BD!$B$3:$B$5001,B$102,BD!$A$3:$A$5001,"&gt;="&amp;$C$7,BD!$A$3:$A$5001,"&lt;="&amp;$D$7),"—"))</f>
        <v>—</v>
      </c>
      <c r="C106" s="42" t="str">
        <f>IF(C$102="","",IF(Config!$G$36&lt;&gt;"Não",SUMIFS(BD!$F$3:$F$5001,BD!$B$3:$B$5001,C$102,BD!$A$3:$A$5001,"&gt;="&amp;$C$7,BD!$A$3:$A$5001,"&lt;="&amp;$D$7),"—"))</f>
        <v>—</v>
      </c>
      <c r="D106" s="42" t="str">
        <f>IF(D$102="","",IF(Config!$G$37&lt;&gt;"Não",SUMIFS(BD!$F$3:$F$5001,BD!$B$3:$B$5001,D$102,BD!$A$3:$A$5001,"&gt;="&amp;$C$7,BD!$A$3:$A$5001,"&lt;="&amp;$D$7),"—"))</f>
        <v>—</v>
      </c>
      <c r="E106" s="42" t="str">
        <f>IF(E$102="","",IF(Config!$G$38&lt;&gt;"Não",SUMIFS(BD!$F$3:$F$5001,BD!$B$3:$B$5001,E$102,BD!$A$3:$A$5001,"&gt;="&amp;$C$7,BD!$A$3:$A$5001,"&lt;="&amp;$D$7),"—"))</f>
        <v>—</v>
      </c>
      <c r="F106" s="42" t="str">
        <f>IF(F$102="","",IF(Config!$G$39&lt;&gt;"Não",SUMIFS(BD!$F$3:$F$5001,BD!$B$3:$B$5001,F$102,BD!$A$3:$A$5001,"&gt;="&amp;$C$7,BD!$A$3:$A$5001,"&lt;="&amp;$D$7),"—"))</f>
        <v>—</v>
      </c>
      <c r="G106" s="42">
        <f>IF(G$102="","",IF(Config!$G$40&lt;&gt;"Não",SUMIFS(BD!$F$3:$F$5001,BD!$B$3:$B$5001,G$102,BD!$A$3:$A$5001,"&gt;="&amp;$C$7,BD!$A$3:$A$5001,"&lt;="&amp;$D$7),"—"))</f>
        <v>0</v>
      </c>
      <c r="H106" s="42" t="str">
        <f>IF(H$102="","",IF(Config!$G$41&lt;&gt;"Não",SUMIFS(BD!$F$3:$F$5001,BD!$B$3:$B$5001,H$102,BD!$A$3:$A$5001,"&gt;="&amp;$C$7,BD!$A$3:$A$5001,"&lt;="&amp;$D$7),"—"))</f>
        <v>—</v>
      </c>
      <c r="I106" s="42" t="str">
        <f>IF(I$102="","",IF(Config!$G$42&lt;&gt;"Não",SUMIFS(BD!$F$3:$F$5001,BD!$B$3:$B$5001,I$102,BD!$A$3:$A$5001,"&gt;="&amp;$C$7,BD!$A$3:$A$5001,"&lt;="&amp;$D$7),"—"))</f>
        <v>—</v>
      </c>
      <c r="J106" s="42" t="str">
        <f>IF(J$102="","",IF(Config!$G$43&lt;&gt;"Não",SUMIFS(BD!$F$3:$F$5001,BD!$B$3:$B$5001,J$102,BD!$A$3:$A$5001,"&gt;="&amp;$C$7,BD!$A$3:$A$5001,"&lt;="&amp;$D$7),"—"))</f>
        <v>—</v>
      </c>
      <c r="K106" s="42">
        <f>IF(K$102="","",IF(Config!$G$44&lt;&gt;"Não",SUMIFS(BD!$F$3:$F$5001,BD!$B$3:$B$5001,K$102,BD!$A$3:$A$5001,"&gt;="&amp;$C$7,BD!$A$3:$A$5001,"&lt;="&amp;$D$7),"—"))</f>
        <v>0</v>
      </c>
      <c r="L106" s="42" t="str">
        <f>IF(L$102="","",IF(Config!$G$45&lt;&gt;"Não",SUMIFS(BD!$F$3:$F$5001,BD!$B$3:$B$5001,L$102,BD!$A$3:$A$5001,"&gt;="&amp;$C$7,BD!$A$3:$A$5001,"&lt;="&amp;$D$7),"—"))</f>
        <v/>
      </c>
      <c r="M106" s="42" t="str">
        <f>IF(M$102="","",IF(Config!$G$46&lt;&gt;"Não",SUMIFS(BD!$F$3:$F$5001,BD!$B$3:$B$5001,M$102,BD!$A$3:$A$5001,"&gt;="&amp;$C$7,BD!$A$3:$A$5001,"&lt;="&amp;$D$7),"—"))</f>
        <v/>
      </c>
      <c r="N106" s="42" t="str">
        <f>IF(N$102="","",IF(Config!$G$47&lt;&gt;"Não",SUMIFS(BD!$F$3:$F$5001,BD!$B$3:$B$5001,N$102,BD!$A$3:$A$5001,"&gt;="&amp;$C$7,BD!$A$3:$A$5001,"&lt;="&amp;$D$7),"—"))</f>
        <v/>
      </c>
      <c r="O106" s="42" t="str">
        <f>IF(O$102="","",IF(Config!$G$48&lt;&gt;"Não",SUMIFS(BD!$F$3:$F$5001,BD!$B$3:$B$5001,O$102,BD!$A$3:$A$5001,"&gt;="&amp;$C$7,BD!$A$3:$A$5001,"&lt;="&amp;$D$7),"—"))</f>
        <v/>
      </c>
      <c r="P106" s="42" t="str">
        <f>IF(P$102="","",IF(Config!$G$49&lt;&gt;"Não",SUMIFS(BD!$F$3:$F$5001,BD!$B$3:$B$5001,P$102,BD!$A$3:$A$5001,"&gt;="&amp;$C$7,BD!$A$3:$A$5001,"&lt;="&amp;$D$7),"—"))</f>
        <v/>
      </c>
      <c r="Q106" s="42" t="str">
        <f>IF(Q$102="","",IF(Config!$G$50&lt;&gt;"Não",SUMIFS(BD!$F$3:$F$5001,BD!$B$3:$B$5001,Q$102,BD!$A$3:$A$5001,"&gt;="&amp;$C$7,BD!$A$3:$A$5001,"&lt;="&amp;$D$7),"—"))</f>
        <v/>
      </c>
      <c r="R106" s="42" t="str">
        <f>IF(R$102="","",IF(Config!$G$51&lt;&gt;"Não",SUMIFS(BD!$F$3:$F$5001,BD!$B$3:$B$5001,R$102,BD!$A$3:$A$5001,"&gt;="&amp;$C$7,BD!$A$3:$A$5001,"&lt;="&amp;$D$7),"—"))</f>
        <v/>
      </c>
      <c r="S106" s="42" t="str">
        <f>IF(S$102="","",IF(Config!$G$52&lt;&gt;"Não",SUMIFS(BD!$F$3:$F$5001,BD!$B$3:$B$5001,S$102,BD!$A$3:$A$5001,"&gt;="&amp;$C$7,BD!$A$3:$A$5001,"&lt;="&amp;$D$7),"—"))</f>
        <v/>
      </c>
      <c r="T106" s="42" t="str">
        <f>IF(T$102="","",IF(Config!$G$53&lt;&gt;"Não",SUMIFS(BD!$F$3:$F$5001,BD!$B$3:$B$5001,T$102,BD!$A$3:$A$5001,"&gt;="&amp;$C$7,BD!$A$3:$A$5001,"&lt;="&amp;$D$7),"—"))</f>
        <v/>
      </c>
      <c r="U106" s="42" t="str">
        <f>IF(U$102="","",IF(Config!$G$54&lt;&gt;"Não",SUMIFS(BD!$F$3:$F$5001,BD!$B$3:$B$5001,U$102,BD!$A$3:$A$5001,"&gt;="&amp;$C$7,BD!$A$3:$A$5001,"&lt;="&amp;$D$7),"—"))</f>
        <v/>
      </c>
      <c r="V106" s="73">
        <f>SUM(B106:U106)</f>
        <v>0</v>
      </c>
    </row>
    <row r="107">
      <c r="A107" s="40" t="inlineStr">
        <is>
          <t xml:space="preserve">IN · Caixas Movimentadas</t>
        </is>
      </c>
      <c r="B107" s="42">
        <f>IF(B$102="","",IF(Config!$H$35&lt;&gt;"Não",SUMIFS(BD!$G$3:$G$5001,BD!$B$3:$B$5001,B$102,BD!$A$3:$A$5001,"&gt;="&amp;$C$7,BD!$A$3:$A$5001,"&lt;="&amp;$D$7),"—"))</f>
        <v>0</v>
      </c>
      <c r="C107" s="42" t="str">
        <f>IF(C$102="","",IF(Config!$H$36&lt;&gt;"Não",SUMIFS(BD!$G$3:$G$5001,BD!$B$3:$B$5001,C$102,BD!$A$3:$A$5001,"&gt;="&amp;$C$7,BD!$A$3:$A$5001,"&lt;="&amp;$D$7),"—"))</f>
        <v>—</v>
      </c>
      <c r="D107" s="42">
        <f>IF(D$102="","",IF(Config!$H$37&lt;&gt;"Não",SUMIFS(BD!$G$3:$G$5001,BD!$B$3:$B$5001,D$102,BD!$A$3:$A$5001,"&gt;="&amp;$C$7,BD!$A$3:$A$5001,"&lt;="&amp;$D$7),"—"))</f>
        <v>0</v>
      </c>
      <c r="E107" s="42">
        <f>IF(E$102="","",IF(Config!$H$38&lt;&gt;"Não",SUMIFS(BD!$G$3:$G$5001,BD!$B$3:$B$5001,E$102,BD!$A$3:$A$5001,"&gt;="&amp;$C$7,BD!$A$3:$A$5001,"&lt;="&amp;$D$7),"—"))</f>
        <v>0</v>
      </c>
      <c r="F107" s="42" t="str">
        <f>IF(F$102="","",IF(Config!$H$39&lt;&gt;"Não",SUMIFS(BD!$G$3:$G$5001,BD!$B$3:$B$5001,F$102,BD!$A$3:$A$5001,"&gt;="&amp;$C$7,BD!$A$3:$A$5001,"&lt;="&amp;$D$7),"—"))</f>
        <v>—</v>
      </c>
      <c r="G107" s="42" t="str">
        <f>IF(G$102="","",IF(Config!$H$40&lt;&gt;"Não",SUMIFS(BD!$G$3:$G$5001,BD!$B$3:$B$5001,G$102,BD!$A$3:$A$5001,"&gt;="&amp;$C$7,BD!$A$3:$A$5001,"&lt;="&amp;$D$7),"—"))</f>
        <v>—</v>
      </c>
      <c r="H107" s="42" t="str">
        <f>IF(H$102="","",IF(Config!$H$41&lt;&gt;"Não",SUMIFS(BD!$G$3:$G$5001,BD!$B$3:$B$5001,H$102,BD!$A$3:$A$5001,"&gt;="&amp;$C$7,BD!$A$3:$A$5001,"&lt;="&amp;$D$7),"—"))</f>
        <v>—</v>
      </c>
      <c r="I107" s="42" t="str">
        <f>IF(I$102="","",IF(Config!$H$42&lt;&gt;"Não",SUMIFS(BD!$G$3:$G$5001,BD!$B$3:$B$5001,I$102,BD!$A$3:$A$5001,"&gt;="&amp;$C$7,BD!$A$3:$A$5001,"&lt;="&amp;$D$7),"—"))</f>
        <v>—</v>
      </c>
      <c r="J107" s="42" t="str">
        <f>IF(J$102="","",IF(Config!$H$43&lt;&gt;"Não",SUMIFS(BD!$G$3:$G$5001,BD!$B$3:$B$5001,J$102,BD!$A$3:$A$5001,"&gt;="&amp;$C$7,BD!$A$3:$A$5001,"&lt;="&amp;$D$7),"—"))</f>
        <v>—</v>
      </c>
      <c r="K107" s="42" t="str">
        <f>IF(K$102="","",IF(Config!$H$44&lt;&gt;"Não",SUMIFS(BD!$G$3:$G$5001,BD!$B$3:$B$5001,K$102,BD!$A$3:$A$5001,"&gt;="&amp;$C$7,BD!$A$3:$A$5001,"&lt;="&amp;$D$7),"—"))</f>
        <v>—</v>
      </c>
      <c r="L107" s="42" t="str">
        <f>IF(L$102="","",IF(Config!$H$45&lt;&gt;"Não",SUMIFS(BD!$G$3:$G$5001,BD!$B$3:$B$5001,L$102,BD!$A$3:$A$5001,"&gt;="&amp;$C$7,BD!$A$3:$A$5001,"&lt;="&amp;$D$7),"—"))</f>
        <v/>
      </c>
      <c r="M107" s="42" t="str">
        <f>IF(M$102="","",IF(Config!$H$46&lt;&gt;"Não",SUMIFS(BD!$G$3:$G$5001,BD!$B$3:$B$5001,M$102,BD!$A$3:$A$5001,"&gt;="&amp;$C$7,BD!$A$3:$A$5001,"&lt;="&amp;$D$7),"—"))</f>
        <v/>
      </c>
      <c r="N107" s="42" t="str">
        <f>IF(N$102="","",IF(Config!$H$47&lt;&gt;"Não",SUMIFS(BD!$G$3:$G$5001,BD!$B$3:$B$5001,N$102,BD!$A$3:$A$5001,"&gt;="&amp;$C$7,BD!$A$3:$A$5001,"&lt;="&amp;$D$7),"—"))</f>
        <v/>
      </c>
      <c r="O107" s="42" t="str">
        <f>IF(O$102="","",IF(Config!$H$48&lt;&gt;"Não",SUMIFS(BD!$G$3:$G$5001,BD!$B$3:$B$5001,O$102,BD!$A$3:$A$5001,"&gt;="&amp;$C$7,BD!$A$3:$A$5001,"&lt;="&amp;$D$7),"—"))</f>
        <v/>
      </c>
      <c r="P107" s="42" t="str">
        <f>IF(P$102="","",IF(Config!$H$49&lt;&gt;"Não",SUMIFS(BD!$G$3:$G$5001,BD!$B$3:$B$5001,P$102,BD!$A$3:$A$5001,"&gt;="&amp;$C$7,BD!$A$3:$A$5001,"&lt;="&amp;$D$7),"—"))</f>
        <v/>
      </c>
      <c r="Q107" s="42" t="str">
        <f>IF(Q$102="","",IF(Config!$H$50&lt;&gt;"Não",SUMIFS(BD!$G$3:$G$5001,BD!$B$3:$B$5001,Q$102,BD!$A$3:$A$5001,"&gt;="&amp;$C$7,BD!$A$3:$A$5001,"&lt;="&amp;$D$7),"—"))</f>
        <v/>
      </c>
      <c r="R107" s="42" t="str">
        <f>IF(R$102="","",IF(Config!$H$51&lt;&gt;"Não",SUMIFS(BD!$G$3:$G$5001,BD!$B$3:$B$5001,R$102,BD!$A$3:$A$5001,"&gt;="&amp;$C$7,BD!$A$3:$A$5001,"&lt;="&amp;$D$7),"—"))</f>
        <v/>
      </c>
      <c r="S107" s="42" t="str">
        <f>IF(S$102="","",IF(Config!$H$52&lt;&gt;"Não",SUMIFS(BD!$G$3:$G$5001,BD!$B$3:$B$5001,S$102,BD!$A$3:$A$5001,"&gt;="&amp;$C$7,BD!$A$3:$A$5001,"&lt;="&amp;$D$7),"—"))</f>
        <v/>
      </c>
      <c r="T107" s="42" t="str">
        <f>IF(T$102="","",IF(Config!$H$53&lt;&gt;"Não",SUMIFS(BD!$G$3:$G$5001,BD!$B$3:$B$5001,T$102,BD!$A$3:$A$5001,"&gt;="&amp;$C$7,BD!$A$3:$A$5001,"&lt;="&amp;$D$7),"—"))</f>
        <v/>
      </c>
      <c r="U107" s="42" t="str">
        <f>IF(U$102="","",IF(Config!$H$54&lt;&gt;"Não",SUMIFS(BD!$G$3:$G$5001,BD!$B$3:$B$5001,U$102,BD!$A$3:$A$5001,"&gt;="&amp;$C$7,BD!$A$3:$A$5001,"&lt;="&amp;$D$7),"—"))</f>
        <v/>
      </c>
      <c r="V107" s="73">
        <f>SUM(B107:U107)</f>
        <v>0</v>
      </c>
    </row>
    <row r="108">
      <c r="A108" s="40" t="inlineStr">
        <is>
          <t xml:space="preserve">IN · Itens Recebidos</t>
        </is>
      </c>
      <c r="B108" s="42" t="str">
        <f>IF(B$102="","",IF(Config!$I$35&lt;&gt;"Não",SUMIFS(BD!$H$3:$H$5001,BD!$B$3:$B$5001,B$102,BD!$A$3:$A$5001,"&gt;="&amp;$C$7,BD!$A$3:$A$5001,"&lt;="&amp;$D$7),"—"))</f>
        <v>—</v>
      </c>
      <c r="C108" s="42" t="str">
        <f>IF(C$102="","",IF(Config!$I$36&lt;&gt;"Não",SUMIFS(BD!$H$3:$H$5001,BD!$B$3:$B$5001,C$102,BD!$A$3:$A$5001,"&gt;="&amp;$C$7,BD!$A$3:$A$5001,"&lt;="&amp;$D$7),"—"))</f>
        <v>—</v>
      </c>
      <c r="D108" s="42" t="str">
        <f>IF(D$102="","",IF(Config!$I$37&lt;&gt;"Não",SUMIFS(BD!$H$3:$H$5001,BD!$B$3:$B$5001,D$102,BD!$A$3:$A$5001,"&gt;="&amp;$C$7,BD!$A$3:$A$5001,"&lt;="&amp;$D$7),"—"))</f>
        <v>—</v>
      </c>
      <c r="E108" s="42" t="str">
        <f>IF(E$102="","",IF(Config!$I$38&lt;&gt;"Não",SUMIFS(BD!$H$3:$H$5001,BD!$B$3:$B$5001,E$102,BD!$A$3:$A$5001,"&gt;="&amp;$C$7,BD!$A$3:$A$5001,"&lt;="&amp;$D$7),"—"))</f>
        <v>—</v>
      </c>
      <c r="F108" s="42" t="str">
        <f>IF(F$102="","",IF(Config!$I$39&lt;&gt;"Não",SUMIFS(BD!$H$3:$H$5001,BD!$B$3:$B$5001,F$102,BD!$A$3:$A$5001,"&gt;="&amp;$C$7,BD!$A$3:$A$5001,"&lt;="&amp;$D$7),"—"))</f>
        <v>—</v>
      </c>
      <c r="G108" s="42" t="str">
        <f>IF(G$102="","",IF(Config!$I$40&lt;&gt;"Não",SUMIFS(BD!$H$3:$H$5001,BD!$B$3:$B$5001,G$102,BD!$A$3:$A$5001,"&gt;="&amp;$C$7,BD!$A$3:$A$5001,"&lt;="&amp;$D$7),"—"))</f>
        <v>—</v>
      </c>
      <c r="H108" s="42" t="str">
        <f>IF(H$102="","",IF(Config!$I$41&lt;&gt;"Não",SUMIFS(BD!$H$3:$H$5001,BD!$B$3:$B$5001,H$102,BD!$A$3:$A$5001,"&gt;="&amp;$C$7,BD!$A$3:$A$5001,"&lt;="&amp;$D$7),"—"))</f>
        <v>—</v>
      </c>
      <c r="I108" s="42" t="str">
        <f>IF(I$102="","",IF(Config!$I$42&lt;&gt;"Não",SUMIFS(BD!$H$3:$H$5001,BD!$B$3:$B$5001,I$102,BD!$A$3:$A$5001,"&gt;="&amp;$C$7,BD!$A$3:$A$5001,"&lt;="&amp;$D$7),"—"))</f>
        <v>—</v>
      </c>
      <c r="J108" s="42" t="str">
        <f>IF(J$102="","",IF(Config!$I$43&lt;&gt;"Não",SUMIFS(BD!$H$3:$H$5001,BD!$B$3:$B$5001,J$102,BD!$A$3:$A$5001,"&gt;="&amp;$C$7,BD!$A$3:$A$5001,"&lt;="&amp;$D$7),"—"))</f>
        <v>—</v>
      </c>
      <c r="K108" s="42" t="str">
        <f>IF(K$102="","",IF(Config!$I$44&lt;&gt;"Não",SUMIFS(BD!$H$3:$H$5001,BD!$B$3:$B$5001,K$102,BD!$A$3:$A$5001,"&gt;="&amp;$C$7,BD!$A$3:$A$5001,"&lt;="&amp;$D$7),"—"))</f>
        <v>—</v>
      </c>
      <c r="L108" s="42" t="str">
        <f>IF(L$102="","",IF(Config!$I$45&lt;&gt;"Não",SUMIFS(BD!$H$3:$H$5001,BD!$B$3:$B$5001,L$102,BD!$A$3:$A$5001,"&gt;="&amp;$C$7,BD!$A$3:$A$5001,"&lt;="&amp;$D$7),"—"))</f>
        <v/>
      </c>
      <c r="M108" s="42" t="str">
        <f>IF(M$102="","",IF(Config!$I$46&lt;&gt;"Não",SUMIFS(BD!$H$3:$H$5001,BD!$B$3:$B$5001,M$102,BD!$A$3:$A$5001,"&gt;="&amp;$C$7,BD!$A$3:$A$5001,"&lt;="&amp;$D$7),"—"))</f>
        <v/>
      </c>
      <c r="N108" s="42" t="str">
        <f>IF(N$102="","",IF(Config!$I$47&lt;&gt;"Não",SUMIFS(BD!$H$3:$H$5001,BD!$B$3:$B$5001,N$102,BD!$A$3:$A$5001,"&gt;="&amp;$C$7,BD!$A$3:$A$5001,"&lt;="&amp;$D$7),"—"))</f>
        <v/>
      </c>
      <c r="O108" s="42" t="str">
        <f>IF(O$102="","",IF(Config!$I$48&lt;&gt;"Não",SUMIFS(BD!$H$3:$H$5001,BD!$B$3:$B$5001,O$102,BD!$A$3:$A$5001,"&gt;="&amp;$C$7,BD!$A$3:$A$5001,"&lt;="&amp;$D$7),"—"))</f>
        <v/>
      </c>
      <c r="P108" s="42" t="str">
        <f>IF(P$102="","",IF(Config!$I$49&lt;&gt;"Não",SUMIFS(BD!$H$3:$H$5001,BD!$B$3:$B$5001,P$102,BD!$A$3:$A$5001,"&gt;="&amp;$C$7,BD!$A$3:$A$5001,"&lt;="&amp;$D$7),"—"))</f>
        <v/>
      </c>
      <c r="Q108" s="42" t="str">
        <f>IF(Q$102="","",IF(Config!$I$50&lt;&gt;"Não",SUMIFS(BD!$H$3:$H$5001,BD!$B$3:$B$5001,Q$102,BD!$A$3:$A$5001,"&gt;="&amp;$C$7,BD!$A$3:$A$5001,"&lt;="&amp;$D$7),"—"))</f>
        <v/>
      </c>
      <c r="R108" s="42" t="str">
        <f>IF(R$102="","",IF(Config!$I$51&lt;&gt;"Não",SUMIFS(BD!$H$3:$H$5001,BD!$B$3:$B$5001,R$102,BD!$A$3:$A$5001,"&gt;="&amp;$C$7,BD!$A$3:$A$5001,"&lt;="&amp;$D$7),"—"))</f>
        <v/>
      </c>
      <c r="S108" s="42" t="str">
        <f>IF(S$102="","",IF(Config!$I$52&lt;&gt;"Não",SUMIFS(BD!$H$3:$H$5001,BD!$B$3:$B$5001,S$102,BD!$A$3:$A$5001,"&gt;="&amp;$C$7,BD!$A$3:$A$5001,"&lt;="&amp;$D$7),"—"))</f>
        <v/>
      </c>
      <c r="T108" s="42" t="str">
        <f>IF(T$102="","",IF(Config!$I$53&lt;&gt;"Não",SUMIFS(BD!$H$3:$H$5001,BD!$B$3:$B$5001,T$102,BD!$A$3:$A$5001,"&gt;="&amp;$C$7,BD!$A$3:$A$5001,"&lt;="&amp;$D$7),"—"))</f>
        <v/>
      </c>
      <c r="U108" s="42" t="str">
        <f>IF(U$102="","",IF(Config!$I$54&lt;&gt;"Não",SUMIFS(BD!$H$3:$H$5001,BD!$B$3:$B$5001,U$102,BD!$A$3:$A$5001,"&gt;="&amp;$C$7,BD!$A$3:$A$5001,"&lt;="&amp;$D$7),"—"))</f>
        <v/>
      </c>
      <c r="V108" s="73">
        <f>SUM(B108:U108)</f>
        <v>0</v>
      </c>
    </row>
    <row r="109">
      <c r="A109" s="40" t="inlineStr">
        <is>
          <t xml:space="preserve">IN · Itens Recebidos CX Mista</t>
        </is>
      </c>
      <c r="B109" s="42" t="str">
        <f>IF(B$102="","",IF(Config!$J$35&lt;&gt;"Não",SUMIFS(BD!$I$3:$I$5001,BD!$B$3:$B$5001,B$102,BD!$A$3:$A$5001,"&gt;="&amp;$C$7,BD!$A$3:$A$5001,"&lt;="&amp;$D$7),"—"))</f>
        <v>—</v>
      </c>
      <c r="C109" s="42" t="str">
        <f>IF(C$102="","",IF(Config!$J$36&lt;&gt;"Não",SUMIFS(BD!$I$3:$I$5001,BD!$B$3:$B$5001,C$102,BD!$A$3:$A$5001,"&gt;="&amp;$C$7,BD!$A$3:$A$5001,"&lt;="&amp;$D$7),"—"))</f>
        <v>—</v>
      </c>
      <c r="D109" s="42" t="str">
        <f>IF(D$102="","",IF(Config!$J$37&lt;&gt;"Não",SUMIFS(BD!$I$3:$I$5001,BD!$B$3:$B$5001,D$102,BD!$A$3:$A$5001,"&gt;="&amp;$C$7,BD!$A$3:$A$5001,"&lt;="&amp;$D$7),"—"))</f>
        <v>—</v>
      </c>
      <c r="E109" s="42">
        <f>IF(E$102="","",IF(Config!$J$38&lt;&gt;"Não",SUMIFS(BD!$I$3:$I$5001,BD!$B$3:$B$5001,E$102,BD!$A$3:$A$5001,"&gt;="&amp;$C$7,BD!$A$3:$A$5001,"&lt;="&amp;$D$7),"—"))</f>
        <v>0</v>
      </c>
      <c r="F109" s="42" t="str">
        <f>IF(F$102="","",IF(Config!$J$39&lt;&gt;"Não",SUMIFS(BD!$I$3:$I$5001,BD!$B$3:$B$5001,F$102,BD!$A$3:$A$5001,"&gt;="&amp;$C$7,BD!$A$3:$A$5001,"&lt;="&amp;$D$7),"—"))</f>
        <v>—</v>
      </c>
      <c r="G109" s="42" t="str">
        <f>IF(G$102="","",IF(Config!$J$40&lt;&gt;"Não",SUMIFS(BD!$I$3:$I$5001,BD!$B$3:$B$5001,G$102,BD!$A$3:$A$5001,"&gt;="&amp;$C$7,BD!$A$3:$A$5001,"&lt;="&amp;$D$7),"—"))</f>
        <v>—</v>
      </c>
      <c r="H109" s="42" t="str">
        <f>IF(H$102="","",IF(Config!$J$41&lt;&gt;"Não",SUMIFS(BD!$I$3:$I$5001,BD!$B$3:$B$5001,H$102,BD!$A$3:$A$5001,"&gt;="&amp;$C$7,BD!$A$3:$A$5001,"&lt;="&amp;$D$7),"—"))</f>
        <v>—</v>
      </c>
      <c r="I109" s="42" t="str">
        <f>IF(I$102="","",IF(Config!$J$42&lt;&gt;"Não",SUMIFS(BD!$I$3:$I$5001,BD!$B$3:$B$5001,I$102,BD!$A$3:$A$5001,"&gt;="&amp;$C$7,BD!$A$3:$A$5001,"&lt;="&amp;$D$7),"—"))</f>
        <v>—</v>
      </c>
      <c r="J109" s="42" t="str">
        <f>IF(J$102="","",IF(Config!$J$43&lt;&gt;"Não",SUMIFS(BD!$I$3:$I$5001,BD!$B$3:$B$5001,J$102,BD!$A$3:$A$5001,"&gt;="&amp;$C$7,BD!$A$3:$A$5001,"&lt;="&amp;$D$7),"—"))</f>
        <v>—</v>
      </c>
      <c r="K109" s="42" t="str">
        <f>IF(K$102="","",IF(Config!$J$44&lt;&gt;"Não",SUMIFS(BD!$I$3:$I$5001,BD!$B$3:$B$5001,K$102,BD!$A$3:$A$5001,"&gt;="&amp;$C$7,BD!$A$3:$A$5001,"&lt;="&amp;$D$7),"—"))</f>
        <v>—</v>
      </c>
      <c r="L109" s="42" t="str">
        <f>IF(L$102="","",IF(Config!$J$45&lt;&gt;"Não",SUMIFS(BD!$I$3:$I$5001,BD!$B$3:$B$5001,L$102,BD!$A$3:$A$5001,"&gt;="&amp;$C$7,BD!$A$3:$A$5001,"&lt;="&amp;$D$7),"—"))</f>
        <v/>
      </c>
      <c r="M109" s="42" t="str">
        <f>IF(M$102="","",IF(Config!$J$46&lt;&gt;"Não",SUMIFS(BD!$I$3:$I$5001,BD!$B$3:$B$5001,M$102,BD!$A$3:$A$5001,"&gt;="&amp;$C$7,BD!$A$3:$A$5001,"&lt;="&amp;$D$7),"—"))</f>
        <v/>
      </c>
      <c r="N109" s="42" t="str">
        <f>IF(N$102="","",IF(Config!$J$47&lt;&gt;"Não",SUMIFS(BD!$I$3:$I$5001,BD!$B$3:$B$5001,N$102,BD!$A$3:$A$5001,"&gt;="&amp;$C$7,BD!$A$3:$A$5001,"&lt;="&amp;$D$7),"—"))</f>
        <v/>
      </c>
      <c r="O109" s="42" t="str">
        <f>IF(O$102="","",IF(Config!$J$48&lt;&gt;"Não",SUMIFS(BD!$I$3:$I$5001,BD!$B$3:$B$5001,O$102,BD!$A$3:$A$5001,"&gt;="&amp;$C$7,BD!$A$3:$A$5001,"&lt;="&amp;$D$7),"—"))</f>
        <v/>
      </c>
      <c r="P109" s="42" t="str">
        <f>IF(P$102="","",IF(Config!$J$49&lt;&gt;"Não",SUMIFS(BD!$I$3:$I$5001,BD!$B$3:$B$5001,P$102,BD!$A$3:$A$5001,"&gt;="&amp;$C$7,BD!$A$3:$A$5001,"&lt;="&amp;$D$7),"—"))</f>
        <v/>
      </c>
      <c r="Q109" s="42" t="str">
        <f>IF(Q$102="","",IF(Config!$J$50&lt;&gt;"Não",SUMIFS(BD!$I$3:$I$5001,BD!$B$3:$B$5001,Q$102,BD!$A$3:$A$5001,"&gt;="&amp;$C$7,BD!$A$3:$A$5001,"&lt;="&amp;$D$7),"—"))</f>
        <v/>
      </c>
      <c r="R109" s="42" t="str">
        <f>IF(R$102="","",IF(Config!$J$51&lt;&gt;"Não",SUMIFS(BD!$I$3:$I$5001,BD!$B$3:$B$5001,R$102,BD!$A$3:$A$5001,"&gt;="&amp;$C$7,BD!$A$3:$A$5001,"&lt;="&amp;$D$7),"—"))</f>
        <v/>
      </c>
      <c r="S109" s="42" t="str">
        <f>IF(S$102="","",IF(Config!$J$52&lt;&gt;"Não",SUMIFS(BD!$I$3:$I$5001,BD!$B$3:$B$5001,S$102,BD!$A$3:$A$5001,"&gt;="&amp;$C$7,BD!$A$3:$A$5001,"&lt;="&amp;$D$7),"—"))</f>
        <v/>
      </c>
      <c r="T109" s="42" t="str">
        <f>IF(T$102="","",IF(Config!$J$53&lt;&gt;"Não",SUMIFS(BD!$I$3:$I$5001,BD!$B$3:$B$5001,T$102,BD!$A$3:$A$5001,"&gt;="&amp;$C$7,BD!$A$3:$A$5001,"&lt;="&amp;$D$7),"—"))</f>
        <v/>
      </c>
      <c r="U109" s="42" t="str">
        <f>IF(U$102="","",IF(Config!$J$54&lt;&gt;"Não",SUMIFS(BD!$I$3:$I$5001,BD!$B$3:$B$5001,U$102,BD!$A$3:$A$5001,"&gt;="&amp;$C$7,BD!$A$3:$A$5001,"&lt;="&amp;$D$7),"—"))</f>
        <v/>
      </c>
      <c r="V109" s="73">
        <f>SUM(B109:U109)</f>
        <v>0</v>
      </c>
    </row>
    <row r="110">
      <c r="A110" s="40" t="inlineStr">
        <is>
          <t xml:space="preserve">IN · Caixas Fechadas</t>
        </is>
      </c>
      <c r="B110" s="42" t="str">
        <f>IF(B$102="","",IF(Config!$K$35&lt;&gt;"Não",SUMIFS(BD!$J$3:$J$5001,BD!$B$3:$B$5001,B$102,BD!$A$3:$A$5001,"&gt;="&amp;$C$7,BD!$A$3:$A$5001,"&lt;="&amp;$D$7),"—"))</f>
        <v>—</v>
      </c>
      <c r="C110" s="42" t="str">
        <f>IF(C$102="","",IF(Config!$K$36&lt;&gt;"Não",SUMIFS(BD!$J$3:$J$5001,BD!$B$3:$B$5001,C$102,BD!$A$3:$A$5001,"&gt;="&amp;$C$7,BD!$A$3:$A$5001,"&lt;="&amp;$D$7),"—"))</f>
        <v>—</v>
      </c>
      <c r="D110" s="42" t="str">
        <f>IF(D$102="","",IF(Config!$K$37&lt;&gt;"Não",SUMIFS(BD!$J$3:$J$5001,BD!$B$3:$B$5001,D$102,BD!$A$3:$A$5001,"&gt;="&amp;$C$7,BD!$A$3:$A$5001,"&lt;="&amp;$D$7),"—"))</f>
        <v>—</v>
      </c>
      <c r="E110" s="42">
        <f>IF(E$102="","",IF(Config!$K$38&lt;&gt;"Não",SUMIFS(BD!$J$3:$J$5001,BD!$B$3:$B$5001,E$102,BD!$A$3:$A$5001,"&gt;="&amp;$C$7,BD!$A$3:$A$5001,"&lt;="&amp;$D$7),"—"))</f>
        <v>0</v>
      </c>
      <c r="F110" s="42" t="str">
        <f>IF(F$102="","",IF(Config!$K$39&lt;&gt;"Não",SUMIFS(BD!$J$3:$J$5001,BD!$B$3:$B$5001,F$102,BD!$A$3:$A$5001,"&gt;="&amp;$C$7,BD!$A$3:$A$5001,"&lt;="&amp;$D$7),"—"))</f>
        <v>—</v>
      </c>
      <c r="G110" s="42" t="str">
        <f>IF(G$102="","",IF(Config!$K$40&lt;&gt;"Não",SUMIFS(BD!$J$3:$J$5001,BD!$B$3:$B$5001,G$102,BD!$A$3:$A$5001,"&gt;="&amp;$C$7,BD!$A$3:$A$5001,"&lt;="&amp;$D$7),"—"))</f>
        <v>—</v>
      </c>
      <c r="H110" s="42" t="str">
        <f>IF(H$102="","",IF(Config!$K$41&lt;&gt;"Não",SUMIFS(BD!$J$3:$J$5001,BD!$B$3:$B$5001,H$102,BD!$A$3:$A$5001,"&gt;="&amp;$C$7,BD!$A$3:$A$5001,"&lt;="&amp;$D$7),"—"))</f>
        <v>—</v>
      </c>
      <c r="I110" s="42" t="str">
        <f>IF(I$102="","",IF(Config!$K$42&lt;&gt;"Não",SUMIFS(BD!$J$3:$J$5001,BD!$B$3:$B$5001,I$102,BD!$A$3:$A$5001,"&gt;="&amp;$C$7,BD!$A$3:$A$5001,"&lt;="&amp;$D$7),"—"))</f>
        <v>—</v>
      </c>
      <c r="J110" s="42" t="str">
        <f>IF(J$102="","",IF(Config!$K$43&lt;&gt;"Não",SUMIFS(BD!$J$3:$J$5001,BD!$B$3:$B$5001,J$102,BD!$A$3:$A$5001,"&gt;="&amp;$C$7,BD!$A$3:$A$5001,"&lt;="&amp;$D$7),"—"))</f>
        <v>—</v>
      </c>
      <c r="K110" s="42" t="str">
        <f>IF(K$102="","",IF(Config!$K$44&lt;&gt;"Não",SUMIFS(BD!$J$3:$J$5001,BD!$B$3:$B$5001,K$102,BD!$A$3:$A$5001,"&gt;="&amp;$C$7,BD!$A$3:$A$5001,"&lt;="&amp;$D$7),"—"))</f>
        <v>—</v>
      </c>
      <c r="L110" s="42" t="str">
        <f>IF(L$102="","",IF(Config!$K$45&lt;&gt;"Não",SUMIFS(BD!$J$3:$J$5001,BD!$B$3:$B$5001,L$102,BD!$A$3:$A$5001,"&gt;="&amp;$C$7,BD!$A$3:$A$5001,"&lt;="&amp;$D$7),"—"))</f>
        <v/>
      </c>
      <c r="M110" s="42" t="str">
        <f>IF(M$102="","",IF(Config!$K$46&lt;&gt;"Não",SUMIFS(BD!$J$3:$J$5001,BD!$B$3:$B$5001,M$102,BD!$A$3:$A$5001,"&gt;="&amp;$C$7,BD!$A$3:$A$5001,"&lt;="&amp;$D$7),"—"))</f>
        <v/>
      </c>
      <c r="N110" s="42" t="str">
        <f>IF(N$102="","",IF(Config!$K$47&lt;&gt;"Não",SUMIFS(BD!$J$3:$J$5001,BD!$B$3:$B$5001,N$102,BD!$A$3:$A$5001,"&gt;="&amp;$C$7,BD!$A$3:$A$5001,"&lt;="&amp;$D$7),"—"))</f>
        <v/>
      </c>
      <c r="O110" s="42" t="str">
        <f>IF(O$102="","",IF(Config!$K$48&lt;&gt;"Não",SUMIFS(BD!$J$3:$J$5001,BD!$B$3:$B$5001,O$102,BD!$A$3:$A$5001,"&gt;="&amp;$C$7,BD!$A$3:$A$5001,"&lt;="&amp;$D$7),"—"))</f>
        <v/>
      </c>
      <c r="P110" s="42" t="str">
        <f>IF(P$102="","",IF(Config!$K$49&lt;&gt;"Não",SUMIFS(BD!$J$3:$J$5001,BD!$B$3:$B$5001,P$102,BD!$A$3:$A$5001,"&gt;="&amp;$C$7,BD!$A$3:$A$5001,"&lt;="&amp;$D$7),"—"))</f>
        <v/>
      </c>
      <c r="Q110" s="42" t="str">
        <f>IF(Q$102="","",IF(Config!$K$50&lt;&gt;"Não",SUMIFS(BD!$J$3:$J$5001,BD!$B$3:$B$5001,Q$102,BD!$A$3:$A$5001,"&gt;="&amp;$C$7,BD!$A$3:$A$5001,"&lt;="&amp;$D$7),"—"))</f>
        <v/>
      </c>
      <c r="R110" s="42" t="str">
        <f>IF(R$102="","",IF(Config!$K$51&lt;&gt;"Não",SUMIFS(BD!$J$3:$J$5001,BD!$B$3:$B$5001,R$102,BD!$A$3:$A$5001,"&gt;="&amp;$C$7,BD!$A$3:$A$5001,"&lt;="&amp;$D$7),"—"))</f>
        <v/>
      </c>
      <c r="S110" s="42" t="str">
        <f>IF(S$102="","",IF(Config!$K$52&lt;&gt;"Não",SUMIFS(BD!$J$3:$J$5001,BD!$B$3:$B$5001,S$102,BD!$A$3:$A$5001,"&gt;="&amp;$C$7,BD!$A$3:$A$5001,"&lt;="&amp;$D$7),"—"))</f>
        <v/>
      </c>
      <c r="T110" s="42" t="str">
        <f>IF(T$102="","",IF(Config!$K$53&lt;&gt;"Não",SUMIFS(BD!$J$3:$J$5001,BD!$B$3:$B$5001,T$102,BD!$A$3:$A$5001,"&gt;="&amp;$C$7,BD!$A$3:$A$5001,"&lt;="&amp;$D$7),"—"))</f>
        <v/>
      </c>
      <c r="U110" s="42" t="str">
        <f>IF(U$102="","",IF(Config!$K$54&lt;&gt;"Não",SUMIFS(BD!$J$3:$J$5001,BD!$B$3:$B$5001,U$102,BD!$A$3:$A$5001,"&gt;="&amp;$C$7,BD!$A$3:$A$5001,"&lt;="&amp;$D$7),"—"))</f>
        <v/>
      </c>
      <c r="V110" s="73">
        <f>SUM(B110:U110)</f>
        <v>0</v>
      </c>
    </row>
    <row r="111">
      <c r="A111" s="40" t="inlineStr">
        <is>
          <t xml:space="preserve">IN · Caixas Mistas Recebidas</t>
        </is>
      </c>
      <c r="B111" s="42" t="str">
        <f>IF(B$102="","",IF(Config!$L$35&lt;&gt;"Não",SUMIFS(BD!$K$3:$K$5001,BD!$B$3:$B$5001,B$102,BD!$A$3:$A$5001,"&gt;="&amp;$C$7,BD!$A$3:$A$5001,"&lt;="&amp;$D$7),"—"))</f>
        <v>—</v>
      </c>
      <c r="C111" s="42" t="str">
        <f>IF(C$102="","",IF(Config!$L$36&lt;&gt;"Não",SUMIFS(BD!$K$3:$K$5001,BD!$B$3:$B$5001,C$102,BD!$A$3:$A$5001,"&gt;="&amp;$C$7,BD!$A$3:$A$5001,"&lt;="&amp;$D$7),"—"))</f>
        <v>—</v>
      </c>
      <c r="D111" s="42" t="str">
        <f>IF(D$102="","",IF(Config!$L$37&lt;&gt;"Não",SUMIFS(BD!$K$3:$K$5001,BD!$B$3:$B$5001,D$102,BD!$A$3:$A$5001,"&gt;="&amp;$C$7,BD!$A$3:$A$5001,"&lt;="&amp;$D$7),"—"))</f>
        <v>—</v>
      </c>
      <c r="E111" s="42">
        <f>IF(E$102="","",IF(Config!$L$38&lt;&gt;"Não",SUMIFS(BD!$K$3:$K$5001,BD!$B$3:$B$5001,E$102,BD!$A$3:$A$5001,"&gt;="&amp;$C$7,BD!$A$3:$A$5001,"&lt;="&amp;$D$7),"—"))</f>
        <v>0</v>
      </c>
      <c r="F111" s="42" t="str">
        <f>IF(F$102="","",IF(Config!$L$39&lt;&gt;"Não",SUMIFS(BD!$K$3:$K$5001,BD!$B$3:$B$5001,F$102,BD!$A$3:$A$5001,"&gt;="&amp;$C$7,BD!$A$3:$A$5001,"&lt;="&amp;$D$7),"—"))</f>
        <v>—</v>
      </c>
      <c r="G111" s="42" t="str">
        <f>IF(G$102="","",IF(Config!$L$40&lt;&gt;"Não",SUMIFS(BD!$K$3:$K$5001,BD!$B$3:$B$5001,G$102,BD!$A$3:$A$5001,"&gt;="&amp;$C$7,BD!$A$3:$A$5001,"&lt;="&amp;$D$7),"—"))</f>
        <v>—</v>
      </c>
      <c r="H111" s="42" t="str">
        <f>IF(H$102="","",IF(Config!$L$41&lt;&gt;"Não",SUMIFS(BD!$K$3:$K$5001,BD!$B$3:$B$5001,H$102,BD!$A$3:$A$5001,"&gt;="&amp;$C$7,BD!$A$3:$A$5001,"&lt;="&amp;$D$7),"—"))</f>
        <v>—</v>
      </c>
      <c r="I111" s="42" t="str">
        <f>IF(I$102="","",IF(Config!$L$42&lt;&gt;"Não",SUMIFS(BD!$K$3:$K$5001,BD!$B$3:$B$5001,I$102,BD!$A$3:$A$5001,"&gt;="&amp;$C$7,BD!$A$3:$A$5001,"&lt;="&amp;$D$7),"—"))</f>
        <v>—</v>
      </c>
      <c r="J111" s="42" t="str">
        <f>IF(J$102="","",IF(Config!$L$43&lt;&gt;"Não",SUMIFS(BD!$K$3:$K$5001,BD!$B$3:$B$5001,J$102,BD!$A$3:$A$5001,"&gt;="&amp;$C$7,BD!$A$3:$A$5001,"&lt;="&amp;$D$7),"—"))</f>
        <v>—</v>
      </c>
      <c r="K111" s="42" t="str">
        <f>IF(K$102="","",IF(Config!$L$44&lt;&gt;"Não",SUMIFS(BD!$K$3:$K$5001,BD!$B$3:$B$5001,K$102,BD!$A$3:$A$5001,"&gt;="&amp;$C$7,BD!$A$3:$A$5001,"&lt;="&amp;$D$7),"—"))</f>
        <v>—</v>
      </c>
      <c r="L111" s="42" t="str">
        <f>IF(L$102="","",IF(Config!$L$45&lt;&gt;"Não",SUMIFS(BD!$K$3:$K$5001,BD!$B$3:$B$5001,L$102,BD!$A$3:$A$5001,"&gt;="&amp;$C$7,BD!$A$3:$A$5001,"&lt;="&amp;$D$7),"—"))</f>
        <v/>
      </c>
      <c r="M111" s="42" t="str">
        <f>IF(M$102="","",IF(Config!$L$46&lt;&gt;"Não",SUMIFS(BD!$K$3:$K$5001,BD!$B$3:$B$5001,M$102,BD!$A$3:$A$5001,"&gt;="&amp;$C$7,BD!$A$3:$A$5001,"&lt;="&amp;$D$7),"—"))</f>
        <v/>
      </c>
      <c r="N111" s="42" t="str">
        <f>IF(N$102="","",IF(Config!$L$47&lt;&gt;"Não",SUMIFS(BD!$K$3:$K$5001,BD!$B$3:$B$5001,N$102,BD!$A$3:$A$5001,"&gt;="&amp;$C$7,BD!$A$3:$A$5001,"&lt;="&amp;$D$7),"—"))</f>
        <v/>
      </c>
      <c r="O111" s="42" t="str">
        <f>IF(O$102="","",IF(Config!$L$48&lt;&gt;"Não",SUMIFS(BD!$K$3:$K$5001,BD!$B$3:$B$5001,O$102,BD!$A$3:$A$5001,"&gt;="&amp;$C$7,BD!$A$3:$A$5001,"&lt;="&amp;$D$7),"—"))</f>
        <v/>
      </c>
      <c r="P111" s="42" t="str">
        <f>IF(P$102="","",IF(Config!$L$49&lt;&gt;"Não",SUMIFS(BD!$K$3:$K$5001,BD!$B$3:$B$5001,P$102,BD!$A$3:$A$5001,"&gt;="&amp;$C$7,BD!$A$3:$A$5001,"&lt;="&amp;$D$7),"—"))</f>
        <v/>
      </c>
      <c r="Q111" s="42" t="str">
        <f>IF(Q$102="","",IF(Config!$L$50&lt;&gt;"Não",SUMIFS(BD!$K$3:$K$5001,BD!$B$3:$B$5001,Q$102,BD!$A$3:$A$5001,"&gt;="&amp;$C$7,BD!$A$3:$A$5001,"&lt;="&amp;$D$7),"—"))</f>
        <v/>
      </c>
      <c r="R111" s="42" t="str">
        <f>IF(R$102="","",IF(Config!$L$51&lt;&gt;"Não",SUMIFS(BD!$K$3:$K$5001,BD!$B$3:$B$5001,R$102,BD!$A$3:$A$5001,"&gt;="&amp;$C$7,BD!$A$3:$A$5001,"&lt;="&amp;$D$7),"—"))</f>
        <v/>
      </c>
      <c r="S111" s="42" t="str">
        <f>IF(S$102="","",IF(Config!$L$52&lt;&gt;"Não",SUMIFS(BD!$K$3:$K$5001,BD!$B$3:$B$5001,S$102,BD!$A$3:$A$5001,"&gt;="&amp;$C$7,BD!$A$3:$A$5001,"&lt;="&amp;$D$7),"—"))</f>
        <v/>
      </c>
      <c r="T111" s="42" t="str">
        <f>IF(T$102="","",IF(Config!$L$53&lt;&gt;"Não",SUMIFS(BD!$K$3:$K$5001,BD!$B$3:$B$5001,T$102,BD!$A$3:$A$5001,"&gt;="&amp;$C$7,BD!$A$3:$A$5001,"&lt;="&amp;$D$7),"—"))</f>
        <v/>
      </c>
      <c r="U111" s="42" t="str">
        <f>IF(U$102="","",IF(Config!$L$54&lt;&gt;"Não",SUMIFS(BD!$K$3:$K$5001,BD!$B$3:$B$5001,U$102,BD!$A$3:$A$5001,"&gt;="&amp;$C$7,BD!$A$3:$A$5001,"&lt;="&amp;$D$7),"—"))</f>
        <v/>
      </c>
      <c r="V111" s="73">
        <f>SUM(B111:U111)</f>
        <v>0</v>
      </c>
    </row>
    <row r="112">
      <c r="A112" s="40" t="inlineStr">
        <is>
          <t xml:space="preserve">OUT · Veículos Expedidos</t>
        </is>
      </c>
      <c r="B112" s="42">
        <f>IF(B$102="","",IF(Config!$M$35&lt;&gt;"Não",SUMIFS(BD!$L$3:$L$5001,BD!$B$3:$B$5001,B$102,BD!$A$3:$A$5001,"&gt;="&amp;$C$7,BD!$A$3:$A$5001,"&lt;="&amp;$D$7),"—"))</f>
        <v>0</v>
      </c>
      <c r="C112" s="42">
        <f>IF(C$102="","",IF(Config!$M$36&lt;&gt;"Não",SUMIFS(BD!$L$3:$L$5001,BD!$B$3:$B$5001,C$102,BD!$A$3:$A$5001,"&gt;="&amp;$C$7,BD!$A$3:$A$5001,"&lt;="&amp;$D$7),"—"))</f>
        <v>0</v>
      </c>
      <c r="D112" s="42">
        <f>IF(D$102="","",IF(Config!$M$37&lt;&gt;"Não",SUMIFS(BD!$L$3:$L$5001,BD!$B$3:$B$5001,D$102,BD!$A$3:$A$5001,"&gt;="&amp;$C$7,BD!$A$3:$A$5001,"&lt;="&amp;$D$7),"—"))</f>
        <v>0</v>
      </c>
      <c r="E112" s="42">
        <f>IF(E$102="","",IF(Config!$M$38&lt;&gt;"Não",SUMIFS(BD!$L$3:$L$5001,BD!$B$3:$B$5001,E$102,BD!$A$3:$A$5001,"&gt;="&amp;$C$7,BD!$A$3:$A$5001,"&lt;="&amp;$D$7),"—"))</f>
        <v>0</v>
      </c>
      <c r="F112" s="42">
        <f>IF(F$102="","",IF(Config!$M$39&lt;&gt;"Não",SUMIFS(BD!$L$3:$L$5001,BD!$B$3:$B$5001,F$102,BD!$A$3:$A$5001,"&gt;="&amp;$C$7,BD!$A$3:$A$5001,"&lt;="&amp;$D$7),"—"))</f>
        <v>0</v>
      </c>
      <c r="G112" s="42">
        <f>IF(G$102="","",IF(Config!$M$40&lt;&gt;"Não",SUMIFS(BD!$L$3:$L$5001,BD!$B$3:$B$5001,G$102,BD!$A$3:$A$5001,"&gt;="&amp;$C$7,BD!$A$3:$A$5001,"&lt;="&amp;$D$7),"—"))</f>
        <v>0</v>
      </c>
      <c r="H112" s="42">
        <f>IF(H$102="","",IF(Config!$M$41&lt;&gt;"Não",SUMIFS(BD!$L$3:$L$5001,BD!$B$3:$B$5001,H$102,BD!$A$3:$A$5001,"&gt;="&amp;$C$7,BD!$A$3:$A$5001,"&lt;="&amp;$D$7),"—"))</f>
        <v>0</v>
      </c>
      <c r="I112" s="42">
        <f>IF(I$102="","",IF(Config!$M$42&lt;&gt;"Não",SUMIFS(BD!$L$3:$L$5001,BD!$B$3:$B$5001,I$102,BD!$A$3:$A$5001,"&gt;="&amp;$C$7,BD!$A$3:$A$5001,"&lt;="&amp;$D$7),"—"))</f>
        <v>0</v>
      </c>
      <c r="J112" s="42">
        <f>IF(J$102="","",IF(Config!$M$43&lt;&gt;"Não",SUMIFS(BD!$L$3:$L$5001,BD!$B$3:$B$5001,J$102,BD!$A$3:$A$5001,"&gt;="&amp;$C$7,BD!$A$3:$A$5001,"&lt;="&amp;$D$7),"—"))</f>
        <v>0</v>
      </c>
      <c r="K112" s="42">
        <f>IF(K$102="","",IF(Config!$M$44&lt;&gt;"Não",SUMIFS(BD!$L$3:$L$5001,BD!$B$3:$B$5001,K$102,BD!$A$3:$A$5001,"&gt;="&amp;$C$7,BD!$A$3:$A$5001,"&lt;="&amp;$D$7),"—"))</f>
        <v>0</v>
      </c>
      <c r="L112" s="42" t="str">
        <f>IF(L$102="","",IF(Config!$M$45&lt;&gt;"Não",SUMIFS(BD!$L$3:$L$5001,BD!$B$3:$B$5001,L$102,BD!$A$3:$A$5001,"&gt;="&amp;$C$7,BD!$A$3:$A$5001,"&lt;="&amp;$D$7),"—"))</f>
        <v/>
      </c>
      <c r="M112" s="42" t="str">
        <f>IF(M$102="","",IF(Config!$M$46&lt;&gt;"Não",SUMIFS(BD!$L$3:$L$5001,BD!$B$3:$B$5001,M$102,BD!$A$3:$A$5001,"&gt;="&amp;$C$7,BD!$A$3:$A$5001,"&lt;="&amp;$D$7),"—"))</f>
        <v/>
      </c>
      <c r="N112" s="42" t="str">
        <f>IF(N$102="","",IF(Config!$M$47&lt;&gt;"Não",SUMIFS(BD!$L$3:$L$5001,BD!$B$3:$B$5001,N$102,BD!$A$3:$A$5001,"&gt;="&amp;$C$7,BD!$A$3:$A$5001,"&lt;="&amp;$D$7),"—"))</f>
        <v/>
      </c>
      <c r="O112" s="42" t="str">
        <f>IF(O$102="","",IF(Config!$M$48&lt;&gt;"Não",SUMIFS(BD!$L$3:$L$5001,BD!$B$3:$B$5001,O$102,BD!$A$3:$A$5001,"&gt;="&amp;$C$7,BD!$A$3:$A$5001,"&lt;="&amp;$D$7),"—"))</f>
        <v/>
      </c>
      <c r="P112" s="42" t="str">
        <f>IF(P$102="","",IF(Config!$M$49&lt;&gt;"Não",SUMIFS(BD!$L$3:$L$5001,BD!$B$3:$B$5001,P$102,BD!$A$3:$A$5001,"&gt;="&amp;$C$7,BD!$A$3:$A$5001,"&lt;="&amp;$D$7),"—"))</f>
        <v/>
      </c>
      <c r="Q112" s="42" t="str">
        <f>IF(Q$102="","",IF(Config!$M$50&lt;&gt;"Não",SUMIFS(BD!$L$3:$L$5001,BD!$B$3:$B$5001,Q$102,BD!$A$3:$A$5001,"&gt;="&amp;$C$7,BD!$A$3:$A$5001,"&lt;="&amp;$D$7),"—"))</f>
        <v/>
      </c>
      <c r="R112" s="42" t="str">
        <f>IF(R$102="","",IF(Config!$M$51&lt;&gt;"Não",SUMIFS(BD!$L$3:$L$5001,BD!$B$3:$B$5001,R$102,BD!$A$3:$A$5001,"&gt;="&amp;$C$7,BD!$A$3:$A$5001,"&lt;="&amp;$D$7),"—"))</f>
        <v/>
      </c>
      <c r="S112" s="42" t="str">
        <f>IF(S$102="","",IF(Config!$M$52&lt;&gt;"Não",SUMIFS(BD!$L$3:$L$5001,BD!$B$3:$B$5001,S$102,BD!$A$3:$A$5001,"&gt;="&amp;$C$7,BD!$A$3:$A$5001,"&lt;="&amp;$D$7),"—"))</f>
        <v/>
      </c>
      <c r="T112" s="42" t="str">
        <f>IF(T$102="","",IF(Config!$M$53&lt;&gt;"Não",SUMIFS(BD!$L$3:$L$5001,BD!$B$3:$B$5001,T$102,BD!$A$3:$A$5001,"&gt;="&amp;$C$7,BD!$A$3:$A$5001,"&lt;="&amp;$D$7),"—"))</f>
        <v/>
      </c>
      <c r="U112" s="42" t="str">
        <f>IF(U$102="","",IF(Config!$M$54&lt;&gt;"Não",SUMIFS(BD!$L$3:$L$5001,BD!$B$3:$B$5001,U$102,BD!$A$3:$A$5001,"&gt;="&amp;$C$7,BD!$A$3:$A$5001,"&lt;="&amp;$D$7),"—"))</f>
        <v/>
      </c>
      <c r="V112" s="73">
        <f>SUM(B112:U112)</f>
        <v>0</v>
      </c>
    </row>
    <row r="113">
      <c r="A113" s="40" t="inlineStr">
        <is>
          <t xml:space="preserve">OUT · Pedidos Expedidos</t>
        </is>
      </c>
      <c r="B113" s="42" t="str">
        <f>IF(B$102="","",IF(Config!$N$35&lt;&gt;"Não",SUMIFS(BD!$M$3:$M$5001,BD!$B$3:$B$5001,B$102,BD!$A$3:$A$5001,"&gt;="&amp;$C$7,BD!$A$3:$A$5001,"&lt;="&amp;$D$7),"—"))</f>
        <v>—</v>
      </c>
      <c r="C113" s="42" t="str">
        <f>IF(C$102="","",IF(Config!$N$36&lt;&gt;"Não",SUMIFS(BD!$M$3:$M$5001,BD!$B$3:$B$5001,C$102,BD!$A$3:$A$5001,"&gt;="&amp;$C$7,BD!$A$3:$A$5001,"&lt;="&amp;$D$7),"—"))</f>
        <v>—</v>
      </c>
      <c r="D113" s="42">
        <f>IF(D$102="","",IF(Config!$N$37&lt;&gt;"Não",SUMIFS(BD!$M$3:$M$5001,BD!$B$3:$B$5001,D$102,BD!$A$3:$A$5001,"&gt;="&amp;$C$7,BD!$A$3:$A$5001,"&lt;="&amp;$D$7),"—"))</f>
        <v>0</v>
      </c>
      <c r="E113" s="42" t="str">
        <f>IF(E$102="","",IF(Config!$N$38&lt;&gt;"Não",SUMIFS(BD!$M$3:$M$5001,BD!$B$3:$B$5001,E$102,BD!$A$3:$A$5001,"&gt;="&amp;$C$7,BD!$A$3:$A$5001,"&lt;="&amp;$D$7),"—"))</f>
        <v>—</v>
      </c>
      <c r="F113" s="42" t="str">
        <f>IF(F$102="","",IF(Config!$N$39&lt;&gt;"Não",SUMIFS(BD!$M$3:$M$5001,BD!$B$3:$B$5001,F$102,BD!$A$3:$A$5001,"&gt;="&amp;$C$7,BD!$A$3:$A$5001,"&lt;="&amp;$D$7),"—"))</f>
        <v>—</v>
      </c>
      <c r="G113" s="42" t="str">
        <f>IF(G$102="","",IF(Config!$N$40&lt;&gt;"Não",SUMIFS(BD!$M$3:$M$5001,BD!$B$3:$B$5001,G$102,BD!$A$3:$A$5001,"&gt;="&amp;$C$7,BD!$A$3:$A$5001,"&lt;="&amp;$D$7),"—"))</f>
        <v>—</v>
      </c>
      <c r="H113" s="42" t="str">
        <f>IF(H$102="","",IF(Config!$N$41&lt;&gt;"Não",SUMIFS(BD!$M$3:$M$5001,BD!$B$3:$B$5001,H$102,BD!$A$3:$A$5001,"&gt;="&amp;$C$7,BD!$A$3:$A$5001,"&lt;="&amp;$D$7),"—"))</f>
        <v>—</v>
      </c>
      <c r="I113" s="42" t="str">
        <f>IF(I$102="","",IF(Config!$N$42&lt;&gt;"Não",SUMIFS(BD!$M$3:$M$5001,BD!$B$3:$B$5001,I$102,BD!$A$3:$A$5001,"&gt;="&amp;$C$7,BD!$A$3:$A$5001,"&lt;="&amp;$D$7),"—"))</f>
        <v>—</v>
      </c>
      <c r="J113" s="42" t="str">
        <f>IF(J$102="","",IF(Config!$N$43&lt;&gt;"Não",SUMIFS(BD!$M$3:$M$5001,BD!$B$3:$B$5001,J$102,BD!$A$3:$A$5001,"&gt;="&amp;$C$7,BD!$A$3:$A$5001,"&lt;="&amp;$D$7),"—"))</f>
        <v>—</v>
      </c>
      <c r="K113" s="42" t="str">
        <f>IF(K$102="","",IF(Config!$N$44&lt;&gt;"Não",SUMIFS(BD!$M$3:$M$5001,BD!$B$3:$B$5001,K$102,BD!$A$3:$A$5001,"&gt;="&amp;$C$7,BD!$A$3:$A$5001,"&lt;="&amp;$D$7),"—"))</f>
        <v>—</v>
      </c>
      <c r="L113" s="42" t="str">
        <f>IF(L$102="","",IF(Config!$N$45&lt;&gt;"Não",SUMIFS(BD!$M$3:$M$5001,BD!$B$3:$B$5001,L$102,BD!$A$3:$A$5001,"&gt;="&amp;$C$7,BD!$A$3:$A$5001,"&lt;="&amp;$D$7),"—"))</f>
        <v/>
      </c>
      <c r="M113" s="42" t="str">
        <f>IF(M$102="","",IF(Config!$N$46&lt;&gt;"Não",SUMIFS(BD!$M$3:$M$5001,BD!$B$3:$B$5001,M$102,BD!$A$3:$A$5001,"&gt;="&amp;$C$7,BD!$A$3:$A$5001,"&lt;="&amp;$D$7),"—"))</f>
        <v/>
      </c>
      <c r="N113" s="42" t="str">
        <f>IF(N$102="","",IF(Config!$N$47&lt;&gt;"Não",SUMIFS(BD!$M$3:$M$5001,BD!$B$3:$B$5001,N$102,BD!$A$3:$A$5001,"&gt;="&amp;$C$7,BD!$A$3:$A$5001,"&lt;="&amp;$D$7),"—"))</f>
        <v/>
      </c>
      <c r="O113" s="42" t="str">
        <f>IF(O$102="","",IF(Config!$N$48&lt;&gt;"Não",SUMIFS(BD!$M$3:$M$5001,BD!$B$3:$B$5001,O$102,BD!$A$3:$A$5001,"&gt;="&amp;$C$7,BD!$A$3:$A$5001,"&lt;="&amp;$D$7),"—"))</f>
        <v/>
      </c>
      <c r="P113" s="42" t="str">
        <f>IF(P$102="","",IF(Config!$N$49&lt;&gt;"Não",SUMIFS(BD!$M$3:$M$5001,BD!$B$3:$B$5001,P$102,BD!$A$3:$A$5001,"&gt;="&amp;$C$7,BD!$A$3:$A$5001,"&lt;="&amp;$D$7),"—"))</f>
        <v/>
      </c>
      <c r="Q113" s="42" t="str">
        <f>IF(Q$102="","",IF(Config!$N$50&lt;&gt;"Não",SUMIFS(BD!$M$3:$M$5001,BD!$B$3:$B$5001,Q$102,BD!$A$3:$A$5001,"&gt;="&amp;$C$7,BD!$A$3:$A$5001,"&lt;="&amp;$D$7),"—"))</f>
        <v/>
      </c>
      <c r="R113" s="42" t="str">
        <f>IF(R$102="","",IF(Config!$N$51&lt;&gt;"Não",SUMIFS(BD!$M$3:$M$5001,BD!$B$3:$B$5001,R$102,BD!$A$3:$A$5001,"&gt;="&amp;$C$7,BD!$A$3:$A$5001,"&lt;="&amp;$D$7),"—"))</f>
        <v/>
      </c>
      <c r="S113" s="42" t="str">
        <f>IF(S$102="","",IF(Config!$N$52&lt;&gt;"Não",SUMIFS(BD!$M$3:$M$5001,BD!$B$3:$B$5001,S$102,BD!$A$3:$A$5001,"&gt;="&amp;$C$7,BD!$A$3:$A$5001,"&lt;="&amp;$D$7),"—"))</f>
        <v/>
      </c>
      <c r="T113" s="42" t="str">
        <f>IF(T$102="","",IF(Config!$N$53&lt;&gt;"Não",SUMIFS(BD!$M$3:$M$5001,BD!$B$3:$B$5001,T$102,BD!$A$3:$A$5001,"&gt;="&amp;$C$7,BD!$A$3:$A$5001,"&lt;="&amp;$D$7),"—"))</f>
        <v/>
      </c>
      <c r="U113" s="42" t="str">
        <f>IF(U$102="","",IF(Config!$N$54&lt;&gt;"Não",SUMIFS(BD!$M$3:$M$5001,BD!$B$3:$B$5001,U$102,BD!$A$3:$A$5001,"&gt;="&amp;$C$7,BD!$A$3:$A$5001,"&lt;="&amp;$D$7),"—"))</f>
        <v/>
      </c>
      <c r="V113" s="73">
        <f>SUM(B113:U113)</f>
        <v>0</v>
      </c>
    </row>
    <row r="114">
      <c r="A114" s="40" t="inlineStr">
        <is>
          <t xml:space="preserve">OUT · Pedidos Faturados</t>
        </is>
      </c>
      <c r="B114" s="42" t="str">
        <f>IF(B$102="","",IF(Config!$O$35&lt;&gt;"Não",SUMIFS(BD!$N$3:$N$5001,BD!$B$3:$B$5001,B$102,BD!$A$3:$A$5001,"&gt;="&amp;$C$7,BD!$A$3:$A$5001,"&lt;="&amp;$D$7),"—"))</f>
        <v>—</v>
      </c>
      <c r="C114" s="42" t="str">
        <f>IF(C$102="","",IF(Config!$O$36&lt;&gt;"Não",SUMIFS(BD!$N$3:$N$5001,BD!$B$3:$B$5001,C$102,BD!$A$3:$A$5001,"&gt;="&amp;$C$7,BD!$A$3:$A$5001,"&lt;="&amp;$D$7),"—"))</f>
        <v>—</v>
      </c>
      <c r="D114" s="42" t="str">
        <f>IF(D$102="","",IF(Config!$O$37&lt;&gt;"Não",SUMIFS(BD!$N$3:$N$5001,BD!$B$3:$B$5001,D$102,BD!$A$3:$A$5001,"&gt;="&amp;$C$7,BD!$A$3:$A$5001,"&lt;="&amp;$D$7),"—"))</f>
        <v>—</v>
      </c>
      <c r="E114" s="42">
        <f>IF(E$102="","",IF(Config!$O$38&lt;&gt;"Não",SUMIFS(BD!$N$3:$N$5001,BD!$B$3:$B$5001,E$102,BD!$A$3:$A$5001,"&gt;="&amp;$C$7,BD!$A$3:$A$5001,"&lt;="&amp;$D$7),"—"))</f>
        <v>0</v>
      </c>
      <c r="F114" s="42" t="str">
        <f>IF(F$102="","",IF(Config!$O$39&lt;&gt;"Não",SUMIFS(BD!$N$3:$N$5001,BD!$B$3:$B$5001,F$102,BD!$A$3:$A$5001,"&gt;="&amp;$C$7,BD!$A$3:$A$5001,"&lt;="&amp;$D$7),"—"))</f>
        <v>—</v>
      </c>
      <c r="G114" s="42" t="str">
        <f>IF(G$102="","",IF(Config!$O$40&lt;&gt;"Não",SUMIFS(BD!$N$3:$N$5001,BD!$B$3:$B$5001,G$102,BD!$A$3:$A$5001,"&gt;="&amp;$C$7,BD!$A$3:$A$5001,"&lt;="&amp;$D$7),"—"))</f>
        <v>—</v>
      </c>
      <c r="H114" s="42" t="str">
        <f>IF(H$102="","",IF(Config!$O$41&lt;&gt;"Não",SUMIFS(BD!$N$3:$N$5001,BD!$B$3:$B$5001,H$102,BD!$A$3:$A$5001,"&gt;="&amp;$C$7,BD!$A$3:$A$5001,"&lt;="&amp;$D$7),"—"))</f>
        <v>—</v>
      </c>
      <c r="I114" s="42" t="str">
        <f>IF(I$102="","",IF(Config!$O$42&lt;&gt;"Não",SUMIFS(BD!$N$3:$N$5001,BD!$B$3:$B$5001,I$102,BD!$A$3:$A$5001,"&gt;="&amp;$C$7,BD!$A$3:$A$5001,"&lt;="&amp;$D$7),"—"))</f>
        <v>—</v>
      </c>
      <c r="J114" s="42" t="str">
        <f>IF(J$102="","",IF(Config!$O$43&lt;&gt;"Não",SUMIFS(BD!$N$3:$N$5001,BD!$B$3:$B$5001,J$102,BD!$A$3:$A$5001,"&gt;="&amp;$C$7,BD!$A$3:$A$5001,"&lt;="&amp;$D$7),"—"))</f>
        <v>—</v>
      </c>
      <c r="K114" s="42" t="str">
        <f>IF(K$102="","",IF(Config!$O$44&lt;&gt;"Não",SUMIFS(BD!$N$3:$N$5001,BD!$B$3:$B$5001,K$102,BD!$A$3:$A$5001,"&gt;="&amp;$C$7,BD!$A$3:$A$5001,"&lt;="&amp;$D$7),"—"))</f>
        <v>—</v>
      </c>
      <c r="L114" s="42" t="str">
        <f>IF(L$102="","",IF(Config!$O$45&lt;&gt;"Não",SUMIFS(BD!$N$3:$N$5001,BD!$B$3:$B$5001,L$102,BD!$A$3:$A$5001,"&gt;="&amp;$C$7,BD!$A$3:$A$5001,"&lt;="&amp;$D$7),"—"))</f>
        <v/>
      </c>
      <c r="M114" s="42" t="str">
        <f>IF(M$102="","",IF(Config!$O$46&lt;&gt;"Não",SUMIFS(BD!$N$3:$N$5001,BD!$B$3:$B$5001,M$102,BD!$A$3:$A$5001,"&gt;="&amp;$C$7,BD!$A$3:$A$5001,"&lt;="&amp;$D$7),"—"))</f>
        <v/>
      </c>
      <c r="N114" s="42" t="str">
        <f>IF(N$102="","",IF(Config!$O$47&lt;&gt;"Não",SUMIFS(BD!$N$3:$N$5001,BD!$B$3:$B$5001,N$102,BD!$A$3:$A$5001,"&gt;="&amp;$C$7,BD!$A$3:$A$5001,"&lt;="&amp;$D$7),"—"))</f>
        <v/>
      </c>
      <c r="O114" s="42" t="str">
        <f>IF(O$102="","",IF(Config!$O$48&lt;&gt;"Não",SUMIFS(BD!$N$3:$N$5001,BD!$B$3:$B$5001,O$102,BD!$A$3:$A$5001,"&gt;="&amp;$C$7,BD!$A$3:$A$5001,"&lt;="&amp;$D$7),"—"))</f>
        <v/>
      </c>
      <c r="P114" s="42" t="str">
        <f>IF(P$102="","",IF(Config!$O$49&lt;&gt;"Não",SUMIFS(BD!$N$3:$N$5001,BD!$B$3:$B$5001,P$102,BD!$A$3:$A$5001,"&gt;="&amp;$C$7,BD!$A$3:$A$5001,"&lt;="&amp;$D$7),"—"))</f>
        <v/>
      </c>
      <c r="Q114" s="42" t="str">
        <f>IF(Q$102="","",IF(Config!$O$50&lt;&gt;"Não",SUMIFS(BD!$N$3:$N$5001,BD!$B$3:$B$5001,Q$102,BD!$A$3:$A$5001,"&gt;="&amp;$C$7,BD!$A$3:$A$5001,"&lt;="&amp;$D$7),"—"))</f>
        <v/>
      </c>
      <c r="R114" s="42" t="str">
        <f>IF(R$102="","",IF(Config!$O$51&lt;&gt;"Não",SUMIFS(BD!$N$3:$N$5001,BD!$B$3:$B$5001,R$102,BD!$A$3:$A$5001,"&gt;="&amp;$C$7,BD!$A$3:$A$5001,"&lt;="&amp;$D$7),"—"))</f>
        <v/>
      </c>
      <c r="S114" s="42" t="str">
        <f>IF(S$102="","",IF(Config!$O$52&lt;&gt;"Não",SUMIFS(BD!$N$3:$N$5001,BD!$B$3:$B$5001,S$102,BD!$A$3:$A$5001,"&gt;="&amp;$C$7,BD!$A$3:$A$5001,"&lt;="&amp;$D$7),"—"))</f>
        <v/>
      </c>
      <c r="T114" s="42" t="str">
        <f>IF(T$102="","",IF(Config!$O$53&lt;&gt;"Não",SUMIFS(BD!$N$3:$N$5001,BD!$B$3:$B$5001,T$102,BD!$A$3:$A$5001,"&gt;="&amp;$C$7,BD!$A$3:$A$5001,"&lt;="&amp;$D$7),"—"))</f>
        <v/>
      </c>
      <c r="U114" s="42" t="str">
        <f>IF(U$102="","",IF(Config!$O$54&lt;&gt;"Não",SUMIFS(BD!$N$3:$N$5001,BD!$B$3:$B$5001,U$102,BD!$A$3:$A$5001,"&gt;="&amp;$C$7,BD!$A$3:$A$5001,"&lt;="&amp;$D$7),"—"))</f>
        <v/>
      </c>
      <c r="V114" s="73">
        <f>SUM(B114:U114)</f>
        <v>0</v>
      </c>
    </row>
    <row r="115">
      <c r="A115" s="40" t="inlineStr">
        <is>
          <t xml:space="preserve">OUT · Itens Expedidos</t>
        </is>
      </c>
      <c r="B115" s="42" t="str">
        <f>IF(B$102="","",IF(Config!$P$35&lt;&gt;"Não",SUMIFS(BD!$O$3:$O$5001,BD!$B$3:$B$5001,B$102,BD!$A$3:$A$5001,"&gt;="&amp;$C$7,BD!$A$3:$A$5001,"&lt;="&amp;$D$7),"—"))</f>
        <v>—</v>
      </c>
      <c r="C115" s="42" t="str">
        <f>IF(C$102="","",IF(Config!$P$36&lt;&gt;"Não",SUMIFS(BD!$O$3:$O$5001,BD!$B$3:$B$5001,C$102,BD!$A$3:$A$5001,"&gt;="&amp;$C$7,BD!$A$3:$A$5001,"&lt;="&amp;$D$7),"—"))</f>
        <v>—</v>
      </c>
      <c r="D115" s="42" t="str">
        <f>IF(D$102="","",IF(Config!$P$37&lt;&gt;"Não",SUMIFS(BD!$O$3:$O$5001,BD!$B$3:$B$5001,D$102,BD!$A$3:$A$5001,"&gt;="&amp;$C$7,BD!$A$3:$A$5001,"&lt;="&amp;$D$7),"—"))</f>
        <v>—</v>
      </c>
      <c r="E115" s="42">
        <f>IF(E$102="","",IF(Config!$P$38&lt;&gt;"Não",SUMIFS(BD!$O$3:$O$5001,BD!$B$3:$B$5001,E$102,BD!$A$3:$A$5001,"&gt;="&amp;$C$7,BD!$A$3:$A$5001,"&lt;="&amp;$D$7),"—"))</f>
        <v>0</v>
      </c>
      <c r="F115" s="42" t="str">
        <f>IF(F$102="","",IF(Config!$P$39&lt;&gt;"Não",SUMIFS(BD!$O$3:$O$5001,BD!$B$3:$B$5001,F$102,BD!$A$3:$A$5001,"&gt;="&amp;$C$7,BD!$A$3:$A$5001,"&lt;="&amp;$D$7),"—"))</f>
        <v>—</v>
      </c>
      <c r="G115" s="42" t="str">
        <f>IF(G$102="","",IF(Config!$P$40&lt;&gt;"Não",SUMIFS(BD!$O$3:$O$5001,BD!$B$3:$B$5001,G$102,BD!$A$3:$A$5001,"&gt;="&amp;$C$7,BD!$A$3:$A$5001,"&lt;="&amp;$D$7),"—"))</f>
        <v>—</v>
      </c>
      <c r="H115" s="42" t="str">
        <f>IF(H$102="","",IF(Config!$P$41&lt;&gt;"Não",SUMIFS(BD!$O$3:$O$5001,BD!$B$3:$B$5001,H$102,BD!$A$3:$A$5001,"&gt;="&amp;$C$7,BD!$A$3:$A$5001,"&lt;="&amp;$D$7),"—"))</f>
        <v>—</v>
      </c>
      <c r="I115" s="42" t="str">
        <f>IF(I$102="","",IF(Config!$P$42&lt;&gt;"Não",SUMIFS(BD!$O$3:$O$5001,BD!$B$3:$B$5001,I$102,BD!$A$3:$A$5001,"&gt;="&amp;$C$7,BD!$A$3:$A$5001,"&lt;="&amp;$D$7),"—"))</f>
        <v>—</v>
      </c>
      <c r="J115" s="42" t="str">
        <f>IF(J$102="","",IF(Config!$P$43&lt;&gt;"Não",SUMIFS(BD!$O$3:$O$5001,BD!$B$3:$B$5001,J$102,BD!$A$3:$A$5001,"&gt;="&amp;$C$7,BD!$A$3:$A$5001,"&lt;="&amp;$D$7),"—"))</f>
        <v>—</v>
      </c>
      <c r="K115" s="42" t="str">
        <f>IF(K$102="","",IF(Config!$P$44&lt;&gt;"Não",SUMIFS(BD!$O$3:$O$5001,BD!$B$3:$B$5001,K$102,BD!$A$3:$A$5001,"&gt;="&amp;$C$7,BD!$A$3:$A$5001,"&lt;="&amp;$D$7),"—"))</f>
        <v>—</v>
      </c>
      <c r="L115" s="42" t="str">
        <f>IF(L$102="","",IF(Config!$P$45&lt;&gt;"Não",SUMIFS(BD!$O$3:$O$5001,BD!$B$3:$B$5001,L$102,BD!$A$3:$A$5001,"&gt;="&amp;$C$7,BD!$A$3:$A$5001,"&lt;="&amp;$D$7),"—"))</f>
        <v/>
      </c>
      <c r="M115" s="42" t="str">
        <f>IF(M$102="","",IF(Config!$P$46&lt;&gt;"Não",SUMIFS(BD!$O$3:$O$5001,BD!$B$3:$B$5001,M$102,BD!$A$3:$A$5001,"&gt;="&amp;$C$7,BD!$A$3:$A$5001,"&lt;="&amp;$D$7),"—"))</f>
        <v/>
      </c>
      <c r="N115" s="42" t="str">
        <f>IF(N$102="","",IF(Config!$P$47&lt;&gt;"Não",SUMIFS(BD!$O$3:$O$5001,BD!$B$3:$B$5001,N$102,BD!$A$3:$A$5001,"&gt;="&amp;$C$7,BD!$A$3:$A$5001,"&lt;="&amp;$D$7),"—"))</f>
        <v/>
      </c>
      <c r="O115" s="42" t="str">
        <f>IF(O$102="","",IF(Config!$P$48&lt;&gt;"Não",SUMIFS(BD!$O$3:$O$5001,BD!$B$3:$B$5001,O$102,BD!$A$3:$A$5001,"&gt;="&amp;$C$7,BD!$A$3:$A$5001,"&lt;="&amp;$D$7),"—"))</f>
        <v/>
      </c>
      <c r="P115" s="42" t="str">
        <f>IF(P$102="","",IF(Config!$P$49&lt;&gt;"Não",SUMIFS(BD!$O$3:$O$5001,BD!$B$3:$B$5001,P$102,BD!$A$3:$A$5001,"&gt;="&amp;$C$7,BD!$A$3:$A$5001,"&lt;="&amp;$D$7),"—"))</f>
        <v/>
      </c>
      <c r="Q115" s="42" t="str">
        <f>IF(Q$102="","",IF(Config!$P$50&lt;&gt;"Não",SUMIFS(BD!$O$3:$O$5001,BD!$B$3:$B$5001,Q$102,BD!$A$3:$A$5001,"&gt;="&amp;$C$7,BD!$A$3:$A$5001,"&lt;="&amp;$D$7),"—"))</f>
        <v/>
      </c>
      <c r="R115" s="42" t="str">
        <f>IF(R$102="","",IF(Config!$P$51&lt;&gt;"Não",SUMIFS(BD!$O$3:$O$5001,BD!$B$3:$B$5001,R$102,BD!$A$3:$A$5001,"&gt;="&amp;$C$7,BD!$A$3:$A$5001,"&lt;="&amp;$D$7),"—"))</f>
        <v/>
      </c>
      <c r="S115" s="42" t="str">
        <f>IF(S$102="","",IF(Config!$P$52&lt;&gt;"Não",SUMIFS(BD!$O$3:$O$5001,BD!$B$3:$B$5001,S$102,BD!$A$3:$A$5001,"&gt;="&amp;$C$7,BD!$A$3:$A$5001,"&lt;="&amp;$D$7),"—"))</f>
        <v/>
      </c>
      <c r="T115" s="42" t="str">
        <f>IF(T$102="","",IF(Config!$P$53&lt;&gt;"Não",SUMIFS(BD!$O$3:$O$5001,BD!$B$3:$B$5001,T$102,BD!$A$3:$A$5001,"&gt;="&amp;$C$7,BD!$A$3:$A$5001,"&lt;="&amp;$D$7),"—"))</f>
        <v/>
      </c>
      <c r="U115" s="42" t="str">
        <f>IF(U$102="","",IF(Config!$P$54&lt;&gt;"Não",SUMIFS(BD!$O$3:$O$5001,BD!$B$3:$B$5001,U$102,BD!$A$3:$A$5001,"&gt;="&amp;$C$7,BD!$A$3:$A$5001,"&lt;="&amp;$D$7),"—"))</f>
        <v/>
      </c>
      <c r="V115" s="73">
        <f>SUM(B115:U115)</f>
        <v>0</v>
      </c>
    </row>
    <row r="116">
      <c r="A116" s="40" t="inlineStr">
        <is>
          <t xml:space="preserve">OUT · Linhas NF</t>
        </is>
      </c>
      <c r="B116" s="42" t="str">
        <f>IF(B$102="","",IF(Config!$Q$35&lt;&gt;"Não",SUMIFS(BD!$P$3:$P$5001,BD!$B$3:$B$5001,B$102,BD!$A$3:$A$5001,"&gt;="&amp;$C$7,BD!$A$3:$A$5001,"&lt;="&amp;$D$7),"—"))</f>
        <v>—</v>
      </c>
      <c r="C116" s="42" t="str">
        <f>IF(C$102="","",IF(Config!$Q$36&lt;&gt;"Não",SUMIFS(BD!$P$3:$P$5001,BD!$B$3:$B$5001,C$102,BD!$A$3:$A$5001,"&gt;="&amp;$C$7,BD!$A$3:$A$5001,"&lt;="&amp;$D$7),"—"))</f>
        <v>—</v>
      </c>
      <c r="D116" s="42" t="str">
        <f>IF(D$102="","",IF(Config!$Q$37&lt;&gt;"Não",SUMIFS(BD!$P$3:$P$5001,BD!$B$3:$B$5001,D$102,BD!$A$3:$A$5001,"&gt;="&amp;$C$7,BD!$A$3:$A$5001,"&lt;="&amp;$D$7),"—"))</f>
        <v>—</v>
      </c>
      <c r="E116" s="42" t="str">
        <f>IF(E$102="","",IF(Config!$Q$38&lt;&gt;"Não",SUMIFS(BD!$P$3:$P$5001,BD!$B$3:$B$5001,E$102,BD!$A$3:$A$5001,"&gt;="&amp;$C$7,BD!$A$3:$A$5001,"&lt;="&amp;$D$7),"—"))</f>
        <v>—</v>
      </c>
      <c r="F116" s="42" t="str">
        <f>IF(F$102="","",IF(Config!$Q$39&lt;&gt;"Não",SUMIFS(BD!$P$3:$P$5001,BD!$B$3:$B$5001,F$102,BD!$A$3:$A$5001,"&gt;="&amp;$C$7,BD!$A$3:$A$5001,"&lt;="&amp;$D$7),"—"))</f>
        <v>—</v>
      </c>
      <c r="G116" s="42">
        <f>IF(G$102="","",IF(Config!$Q$40&lt;&gt;"Não",SUMIFS(BD!$P$3:$P$5001,BD!$B$3:$B$5001,G$102,BD!$A$3:$A$5001,"&gt;="&amp;$C$7,BD!$A$3:$A$5001,"&lt;="&amp;$D$7),"—"))</f>
        <v>0</v>
      </c>
      <c r="H116" s="42" t="str">
        <f>IF(H$102="","",IF(Config!$Q$41&lt;&gt;"Não",SUMIFS(BD!$P$3:$P$5001,BD!$B$3:$B$5001,H$102,BD!$A$3:$A$5001,"&gt;="&amp;$C$7,BD!$A$3:$A$5001,"&lt;="&amp;$D$7),"—"))</f>
        <v>—</v>
      </c>
      <c r="I116" s="42" t="str">
        <f>IF(I$102="","",IF(Config!$Q$42&lt;&gt;"Não",SUMIFS(BD!$P$3:$P$5001,BD!$B$3:$B$5001,I$102,BD!$A$3:$A$5001,"&gt;="&amp;$C$7,BD!$A$3:$A$5001,"&lt;="&amp;$D$7),"—"))</f>
        <v>—</v>
      </c>
      <c r="J116" s="42" t="str">
        <f>IF(J$102="","",IF(Config!$Q$43&lt;&gt;"Não",SUMIFS(BD!$P$3:$P$5001,BD!$B$3:$B$5001,J$102,BD!$A$3:$A$5001,"&gt;="&amp;$C$7,BD!$A$3:$A$5001,"&lt;="&amp;$D$7),"—"))</f>
        <v>—</v>
      </c>
      <c r="K116" s="42">
        <f>IF(K$102="","",IF(Config!$Q$44&lt;&gt;"Não",SUMIFS(BD!$P$3:$P$5001,BD!$B$3:$B$5001,K$102,BD!$A$3:$A$5001,"&gt;="&amp;$C$7,BD!$A$3:$A$5001,"&lt;="&amp;$D$7),"—"))</f>
        <v>0</v>
      </c>
      <c r="L116" s="42" t="str">
        <f>IF(L$102="","",IF(Config!$Q$45&lt;&gt;"Não",SUMIFS(BD!$P$3:$P$5001,BD!$B$3:$B$5001,L$102,BD!$A$3:$A$5001,"&gt;="&amp;$C$7,BD!$A$3:$A$5001,"&lt;="&amp;$D$7),"—"))</f>
        <v/>
      </c>
      <c r="M116" s="42" t="str">
        <f>IF(M$102="","",IF(Config!$Q$46&lt;&gt;"Não",SUMIFS(BD!$P$3:$P$5001,BD!$B$3:$B$5001,M$102,BD!$A$3:$A$5001,"&gt;="&amp;$C$7,BD!$A$3:$A$5001,"&lt;="&amp;$D$7),"—"))</f>
        <v/>
      </c>
      <c r="N116" s="42" t="str">
        <f>IF(N$102="","",IF(Config!$Q$47&lt;&gt;"Não",SUMIFS(BD!$P$3:$P$5001,BD!$B$3:$B$5001,N$102,BD!$A$3:$A$5001,"&gt;="&amp;$C$7,BD!$A$3:$A$5001,"&lt;="&amp;$D$7),"—"))</f>
        <v/>
      </c>
      <c r="O116" s="42" t="str">
        <f>IF(O$102="","",IF(Config!$Q$48&lt;&gt;"Não",SUMIFS(BD!$P$3:$P$5001,BD!$B$3:$B$5001,O$102,BD!$A$3:$A$5001,"&gt;="&amp;$C$7,BD!$A$3:$A$5001,"&lt;="&amp;$D$7),"—"))</f>
        <v/>
      </c>
      <c r="P116" s="42" t="str">
        <f>IF(P$102="","",IF(Config!$Q$49&lt;&gt;"Não",SUMIFS(BD!$P$3:$P$5001,BD!$B$3:$B$5001,P$102,BD!$A$3:$A$5001,"&gt;="&amp;$C$7,BD!$A$3:$A$5001,"&lt;="&amp;$D$7),"—"))</f>
        <v/>
      </c>
      <c r="Q116" s="42" t="str">
        <f>IF(Q$102="","",IF(Config!$Q$50&lt;&gt;"Não",SUMIFS(BD!$P$3:$P$5001,BD!$B$3:$B$5001,Q$102,BD!$A$3:$A$5001,"&gt;="&amp;$C$7,BD!$A$3:$A$5001,"&lt;="&amp;$D$7),"—"))</f>
        <v/>
      </c>
      <c r="R116" s="42" t="str">
        <f>IF(R$102="","",IF(Config!$Q$51&lt;&gt;"Não",SUMIFS(BD!$P$3:$P$5001,BD!$B$3:$B$5001,R$102,BD!$A$3:$A$5001,"&gt;="&amp;$C$7,BD!$A$3:$A$5001,"&lt;="&amp;$D$7),"—"))</f>
        <v/>
      </c>
      <c r="S116" s="42" t="str">
        <f>IF(S$102="","",IF(Config!$Q$52&lt;&gt;"Não",SUMIFS(BD!$P$3:$P$5001,BD!$B$3:$B$5001,S$102,BD!$A$3:$A$5001,"&gt;="&amp;$C$7,BD!$A$3:$A$5001,"&lt;="&amp;$D$7),"—"))</f>
        <v/>
      </c>
      <c r="T116" s="42" t="str">
        <f>IF(T$102="","",IF(Config!$Q$53&lt;&gt;"Não",SUMIFS(BD!$P$3:$P$5001,BD!$B$3:$B$5001,T$102,BD!$A$3:$A$5001,"&gt;="&amp;$C$7,BD!$A$3:$A$5001,"&lt;="&amp;$D$7),"—"))</f>
        <v/>
      </c>
      <c r="U116" s="42" t="str">
        <f>IF(U$102="","",IF(Config!$Q$54&lt;&gt;"Não",SUMIFS(BD!$P$3:$P$5001,BD!$B$3:$B$5001,U$102,BD!$A$3:$A$5001,"&gt;="&amp;$C$7,BD!$A$3:$A$5001,"&lt;="&amp;$D$7),"—"))</f>
        <v/>
      </c>
      <c r="V116" s="73">
        <f>SUM(B116:U116)</f>
        <v>0</v>
      </c>
    </row>
    <row r="117">
      <c r="A117" s="40" t="inlineStr">
        <is>
          <t xml:space="preserve">OUT · Caixas Expedidas</t>
        </is>
      </c>
      <c r="B117" s="42">
        <f>IF(B$102="","",IF(Config!$R$35&lt;&gt;"Não",SUMIFS(BD!$Q$3:$Q$5001,BD!$B$3:$B$5001,B$102,BD!$A$3:$A$5001,"&gt;="&amp;$C$7,BD!$A$3:$A$5001,"&lt;="&amp;$D$7),"—"))</f>
        <v>0</v>
      </c>
      <c r="C117" s="42" t="str">
        <f>IF(C$102="","",IF(Config!$R$36&lt;&gt;"Não",SUMIFS(BD!$Q$3:$Q$5001,BD!$B$3:$B$5001,C$102,BD!$A$3:$A$5001,"&gt;="&amp;$C$7,BD!$A$3:$A$5001,"&lt;="&amp;$D$7),"—"))</f>
        <v>—</v>
      </c>
      <c r="D117" s="42" t="str">
        <f>IF(D$102="","",IF(Config!$R$37&lt;&gt;"Não",SUMIFS(BD!$Q$3:$Q$5001,BD!$B$3:$B$5001,D$102,BD!$A$3:$A$5001,"&gt;="&amp;$C$7,BD!$A$3:$A$5001,"&lt;="&amp;$D$7),"—"))</f>
        <v>—</v>
      </c>
      <c r="E117" s="42">
        <f>IF(E$102="","",IF(Config!$R$38&lt;&gt;"Não",SUMIFS(BD!$Q$3:$Q$5001,BD!$B$3:$B$5001,E$102,BD!$A$3:$A$5001,"&gt;="&amp;$C$7,BD!$A$3:$A$5001,"&lt;="&amp;$D$7),"—"))</f>
        <v>0</v>
      </c>
      <c r="F117" s="42" t="str">
        <f>IF(F$102="","",IF(Config!$R$39&lt;&gt;"Não",SUMIFS(BD!$Q$3:$Q$5001,BD!$B$3:$B$5001,F$102,BD!$A$3:$A$5001,"&gt;="&amp;$C$7,BD!$A$3:$A$5001,"&lt;="&amp;$D$7),"—"))</f>
        <v>—</v>
      </c>
      <c r="G117" s="42" t="str">
        <f>IF(G$102="","",IF(Config!$R$40&lt;&gt;"Não",SUMIFS(BD!$Q$3:$Q$5001,BD!$B$3:$B$5001,G$102,BD!$A$3:$A$5001,"&gt;="&amp;$C$7,BD!$A$3:$A$5001,"&lt;="&amp;$D$7),"—"))</f>
        <v>—</v>
      </c>
      <c r="H117" s="42" t="str">
        <f>IF(H$102="","",IF(Config!$R$41&lt;&gt;"Não",SUMIFS(BD!$Q$3:$Q$5001,BD!$B$3:$B$5001,H$102,BD!$A$3:$A$5001,"&gt;="&amp;$C$7,BD!$A$3:$A$5001,"&lt;="&amp;$D$7),"—"))</f>
        <v>—</v>
      </c>
      <c r="I117" s="42" t="str">
        <f>IF(I$102="","",IF(Config!$R$42&lt;&gt;"Não",SUMIFS(BD!$Q$3:$Q$5001,BD!$B$3:$B$5001,I$102,BD!$A$3:$A$5001,"&gt;="&amp;$C$7,BD!$A$3:$A$5001,"&lt;="&amp;$D$7),"—"))</f>
        <v>—</v>
      </c>
      <c r="J117" s="42" t="str">
        <f>IF(J$102="","",IF(Config!$R$43&lt;&gt;"Não",SUMIFS(BD!$Q$3:$Q$5001,BD!$B$3:$B$5001,J$102,BD!$A$3:$A$5001,"&gt;="&amp;$C$7,BD!$A$3:$A$5001,"&lt;="&amp;$D$7),"—"))</f>
        <v>—</v>
      </c>
      <c r="K117" s="42" t="str">
        <f>IF(K$102="","",IF(Config!$R$44&lt;&gt;"Não",SUMIFS(BD!$Q$3:$Q$5001,BD!$B$3:$B$5001,K$102,BD!$A$3:$A$5001,"&gt;="&amp;$C$7,BD!$A$3:$A$5001,"&lt;="&amp;$D$7),"—"))</f>
        <v>—</v>
      </c>
      <c r="L117" s="42" t="str">
        <f>IF(L$102="","",IF(Config!$R$45&lt;&gt;"Não",SUMIFS(BD!$Q$3:$Q$5001,BD!$B$3:$B$5001,L$102,BD!$A$3:$A$5001,"&gt;="&amp;$C$7,BD!$A$3:$A$5001,"&lt;="&amp;$D$7),"—"))</f>
        <v/>
      </c>
      <c r="M117" s="42" t="str">
        <f>IF(M$102="","",IF(Config!$R$46&lt;&gt;"Não",SUMIFS(BD!$Q$3:$Q$5001,BD!$B$3:$B$5001,M$102,BD!$A$3:$A$5001,"&gt;="&amp;$C$7,BD!$A$3:$A$5001,"&lt;="&amp;$D$7),"—"))</f>
        <v/>
      </c>
      <c r="N117" s="42" t="str">
        <f>IF(N$102="","",IF(Config!$R$47&lt;&gt;"Não",SUMIFS(BD!$Q$3:$Q$5001,BD!$B$3:$B$5001,N$102,BD!$A$3:$A$5001,"&gt;="&amp;$C$7,BD!$A$3:$A$5001,"&lt;="&amp;$D$7),"—"))</f>
        <v/>
      </c>
      <c r="O117" s="42" t="str">
        <f>IF(O$102="","",IF(Config!$R$48&lt;&gt;"Não",SUMIFS(BD!$Q$3:$Q$5001,BD!$B$3:$B$5001,O$102,BD!$A$3:$A$5001,"&gt;="&amp;$C$7,BD!$A$3:$A$5001,"&lt;="&amp;$D$7),"—"))</f>
        <v/>
      </c>
      <c r="P117" s="42" t="str">
        <f>IF(P$102="","",IF(Config!$R$49&lt;&gt;"Não",SUMIFS(BD!$Q$3:$Q$5001,BD!$B$3:$B$5001,P$102,BD!$A$3:$A$5001,"&gt;="&amp;$C$7,BD!$A$3:$A$5001,"&lt;="&amp;$D$7),"—"))</f>
        <v/>
      </c>
      <c r="Q117" s="42" t="str">
        <f>IF(Q$102="","",IF(Config!$R$50&lt;&gt;"Não",SUMIFS(BD!$Q$3:$Q$5001,BD!$B$3:$B$5001,Q$102,BD!$A$3:$A$5001,"&gt;="&amp;$C$7,BD!$A$3:$A$5001,"&lt;="&amp;$D$7),"—"))</f>
        <v/>
      </c>
      <c r="R117" s="42" t="str">
        <f>IF(R$102="","",IF(Config!$R$51&lt;&gt;"Não",SUMIFS(BD!$Q$3:$Q$5001,BD!$B$3:$B$5001,R$102,BD!$A$3:$A$5001,"&gt;="&amp;$C$7,BD!$A$3:$A$5001,"&lt;="&amp;$D$7),"—"))</f>
        <v/>
      </c>
      <c r="S117" s="42" t="str">
        <f>IF(S$102="","",IF(Config!$R$52&lt;&gt;"Não",SUMIFS(BD!$Q$3:$Q$5001,BD!$B$3:$B$5001,S$102,BD!$A$3:$A$5001,"&gt;="&amp;$C$7,BD!$A$3:$A$5001,"&lt;="&amp;$D$7),"—"))</f>
        <v/>
      </c>
      <c r="T117" s="42" t="str">
        <f>IF(T$102="","",IF(Config!$R$53&lt;&gt;"Não",SUMIFS(BD!$Q$3:$Q$5001,BD!$B$3:$B$5001,T$102,BD!$A$3:$A$5001,"&gt;="&amp;$C$7,BD!$A$3:$A$5001,"&lt;="&amp;$D$7),"—"))</f>
        <v/>
      </c>
      <c r="U117" s="42" t="str">
        <f>IF(U$102="","",IF(Config!$R$54&lt;&gt;"Não",SUMIFS(BD!$Q$3:$Q$5001,BD!$B$3:$B$5001,U$102,BD!$A$3:$A$5001,"&gt;="&amp;$C$7,BD!$A$3:$A$5001,"&lt;="&amp;$D$7),"—"))</f>
        <v/>
      </c>
      <c r="V117" s="73">
        <f>SUM(B117:U117)</f>
        <v>0</v>
      </c>
    </row>
    <row r="118">
      <c r="A118" s="40" t="inlineStr">
        <is>
          <t xml:space="preserve">OUT · Pallets Movimentados</t>
        </is>
      </c>
      <c r="B118" s="42" t="str">
        <f>IF(B$102="","",IF(Config!$S$35&lt;&gt;"Não",SUMIFS(BD!$R$3:$R$5001,BD!$B$3:$B$5001,B$102,BD!$A$3:$A$5001,"&gt;="&amp;$C$7,BD!$A$3:$A$5001,"&lt;="&amp;$D$7),"—"))</f>
        <v>—</v>
      </c>
      <c r="C118" s="42">
        <f>IF(C$102="","",IF(Config!$S$36&lt;&gt;"Não",SUMIFS(BD!$R$3:$R$5001,BD!$B$3:$B$5001,C$102,BD!$A$3:$A$5001,"&gt;="&amp;$C$7,BD!$A$3:$A$5001,"&lt;="&amp;$D$7),"—"))</f>
        <v>0</v>
      </c>
      <c r="D118" s="42">
        <f>IF(D$102="","",IF(Config!$S$37&lt;&gt;"Não",SUMIFS(BD!$R$3:$R$5001,BD!$B$3:$B$5001,D$102,BD!$A$3:$A$5001,"&gt;="&amp;$C$7,BD!$A$3:$A$5001,"&lt;="&amp;$D$7),"—"))</f>
        <v>0</v>
      </c>
      <c r="E118" s="42">
        <f>IF(E$102="","",IF(Config!$S$38&lt;&gt;"Não",SUMIFS(BD!$R$3:$R$5001,BD!$B$3:$B$5001,E$102,BD!$A$3:$A$5001,"&gt;="&amp;$C$7,BD!$A$3:$A$5001,"&lt;="&amp;$D$7),"—"))</f>
        <v>0</v>
      </c>
      <c r="F118" s="42">
        <f>IF(F$102="","",IF(Config!$S$39&lt;&gt;"Não",SUMIFS(BD!$R$3:$R$5001,BD!$B$3:$B$5001,F$102,BD!$A$3:$A$5001,"&gt;="&amp;$C$7,BD!$A$3:$A$5001,"&lt;="&amp;$D$7),"—"))</f>
        <v>0</v>
      </c>
      <c r="G118" s="42">
        <f>IF(G$102="","",IF(Config!$S$40&lt;&gt;"Não",SUMIFS(BD!$R$3:$R$5001,BD!$B$3:$B$5001,G$102,BD!$A$3:$A$5001,"&gt;="&amp;$C$7,BD!$A$3:$A$5001,"&lt;="&amp;$D$7),"—"))</f>
        <v>0</v>
      </c>
      <c r="H118" s="42">
        <f>IF(H$102="","",IF(Config!$S$41&lt;&gt;"Não",SUMIFS(BD!$R$3:$R$5001,BD!$B$3:$B$5001,H$102,BD!$A$3:$A$5001,"&gt;="&amp;$C$7,BD!$A$3:$A$5001,"&lt;="&amp;$D$7),"—"))</f>
        <v>0</v>
      </c>
      <c r="I118" s="42">
        <f>IF(I$102="","",IF(Config!$S$42&lt;&gt;"Não",SUMIFS(BD!$R$3:$R$5001,BD!$B$3:$B$5001,I$102,BD!$A$3:$A$5001,"&gt;="&amp;$C$7,BD!$A$3:$A$5001,"&lt;="&amp;$D$7),"—"))</f>
        <v>0</v>
      </c>
      <c r="J118" s="42">
        <f>IF(J$102="","",IF(Config!$S$43&lt;&gt;"Não",SUMIFS(BD!$R$3:$R$5001,BD!$B$3:$B$5001,J$102,BD!$A$3:$A$5001,"&gt;="&amp;$C$7,BD!$A$3:$A$5001,"&lt;="&amp;$D$7),"—"))</f>
        <v>0</v>
      </c>
      <c r="K118" s="42" t="str">
        <f>IF(K$102="","",IF(Config!$S$44&lt;&gt;"Não",SUMIFS(BD!$R$3:$R$5001,BD!$B$3:$B$5001,K$102,BD!$A$3:$A$5001,"&gt;="&amp;$C$7,BD!$A$3:$A$5001,"&lt;="&amp;$D$7),"—"))</f>
        <v>—</v>
      </c>
      <c r="L118" s="42" t="str">
        <f>IF(L$102="","",IF(Config!$S$45&lt;&gt;"Não",SUMIFS(BD!$R$3:$R$5001,BD!$B$3:$B$5001,L$102,BD!$A$3:$A$5001,"&gt;="&amp;$C$7,BD!$A$3:$A$5001,"&lt;="&amp;$D$7),"—"))</f>
        <v/>
      </c>
      <c r="M118" s="42" t="str">
        <f>IF(M$102="","",IF(Config!$S$46&lt;&gt;"Não",SUMIFS(BD!$R$3:$R$5001,BD!$B$3:$B$5001,M$102,BD!$A$3:$A$5001,"&gt;="&amp;$C$7,BD!$A$3:$A$5001,"&lt;="&amp;$D$7),"—"))</f>
        <v/>
      </c>
      <c r="N118" s="42" t="str">
        <f>IF(N$102="","",IF(Config!$S$47&lt;&gt;"Não",SUMIFS(BD!$R$3:$R$5001,BD!$B$3:$B$5001,N$102,BD!$A$3:$A$5001,"&gt;="&amp;$C$7,BD!$A$3:$A$5001,"&lt;="&amp;$D$7),"—"))</f>
        <v/>
      </c>
      <c r="O118" s="42" t="str">
        <f>IF(O$102="","",IF(Config!$S$48&lt;&gt;"Não",SUMIFS(BD!$R$3:$R$5001,BD!$B$3:$B$5001,O$102,BD!$A$3:$A$5001,"&gt;="&amp;$C$7,BD!$A$3:$A$5001,"&lt;="&amp;$D$7),"—"))</f>
        <v/>
      </c>
      <c r="P118" s="42" t="str">
        <f>IF(P$102="","",IF(Config!$S$49&lt;&gt;"Não",SUMIFS(BD!$R$3:$R$5001,BD!$B$3:$B$5001,P$102,BD!$A$3:$A$5001,"&gt;="&amp;$C$7,BD!$A$3:$A$5001,"&lt;="&amp;$D$7),"—"))</f>
        <v/>
      </c>
      <c r="Q118" s="42" t="str">
        <f>IF(Q$102="","",IF(Config!$S$50&lt;&gt;"Não",SUMIFS(BD!$R$3:$R$5001,BD!$B$3:$B$5001,Q$102,BD!$A$3:$A$5001,"&gt;="&amp;$C$7,BD!$A$3:$A$5001,"&lt;="&amp;$D$7),"—"))</f>
        <v/>
      </c>
      <c r="R118" s="42" t="str">
        <f>IF(R$102="","",IF(Config!$S$51&lt;&gt;"Não",SUMIFS(BD!$R$3:$R$5001,BD!$B$3:$B$5001,R$102,BD!$A$3:$A$5001,"&gt;="&amp;$C$7,BD!$A$3:$A$5001,"&lt;="&amp;$D$7),"—"))</f>
        <v/>
      </c>
      <c r="S118" s="42" t="str">
        <f>IF(S$102="","",IF(Config!$S$52&lt;&gt;"Não",SUMIFS(BD!$R$3:$R$5001,BD!$B$3:$B$5001,S$102,BD!$A$3:$A$5001,"&gt;="&amp;$C$7,BD!$A$3:$A$5001,"&lt;="&amp;$D$7),"—"))</f>
        <v/>
      </c>
      <c r="T118" s="42" t="str">
        <f>IF(T$102="","",IF(Config!$S$53&lt;&gt;"Não",SUMIFS(BD!$R$3:$R$5001,BD!$B$3:$B$5001,T$102,BD!$A$3:$A$5001,"&gt;="&amp;$C$7,BD!$A$3:$A$5001,"&lt;="&amp;$D$7),"—"))</f>
        <v/>
      </c>
      <c r="U118" s="42" t="str">
        <f>IF(U$102="","",IF(Config!$S$54&lt;&gt;"Não",SUMIFS(BD!$R$3:$R$5001,BD!$B$3:$B$5001,U$102,BD!$A$3:$A$5001,"&gt;="&amp;$C$7,BD!$A$3:$A$5001,"&lt;="&amp;$D$7),"—"))</f>
        <v/>
      </c>
      <c r="V118" s="73">
        <f>SUM(B118:U118)</f>
        <v>0</v>
      </c>
    </row>
    <row r="119">
      <c r="A119" s="40" t="inlineStr">
        <is>
          <t xml:space="preserve">OUT · Toneladas Movimentadas</t>
        </is>
      </c>
      <c r="B119" s="72" t="str">
        <f>IF(B$102="","",IF(Config!$T$35&lt;&gt;"Não",SUMIFS(BD!$S$3:$S$5001,BD!$B$3:$B$5001,B$102,BD!$A$3:$A$5001,"&gt;="&amp;$C$7,BD!$A$3:$A$5001,"&lt;="&amp;$D$7),"—"))</f>
        <v>—</v>
      </c>
      <c r="C119" s="72">
        <f>IF(C$102="","",IF(Config!$T$36&lt;&gt;"Não",SUMIFS(BD!$S$3:$S$5001,BD!$B$3:$B$5001,C$102,BD!$A$3:$A$5001,"&gt;="&amp;$C$7,BD!$A$3:$A$5001,"&lt;="&amp;$D$7),"—"))</f>
        <v>0</v>
      </c>
      <c r="D119" s="72" t="str">
        <f>IF(D$102="","",IF(Config!$T$37&lt;&gt;"Não",SUMIFS(BD!$S$3:$S$5001,BD!$B$3:$B$5001,D$102,BD!$A$3:$A$5001,"&gt;="&amp;$C$7,BD!$A$3:$A$5001,"&lt;="&amp;$D$7),"—"))</f>
        <v>—</v>
      </c>
      <c r="E119" s="72" t="str">
        <f>IF(E$102="","",IF(Config!$T$38&lt;&gt;"Não",SUMIFS(BD!$S$3:$S$5001,BD!$B$3:$B$5001,E$102,BD!$A$3:$A$5001,"&gt;="&amp;$C$7,BD!$A$3:$A$5001,"&lt;="&amp;$D$7),"—"))</f>
        <v>—</v>
      </c>
      <c r="F119" s="72">
        <f>IF(F$102="","",IF(Config!$T$39&lt;&gt;"Não",SUMIFS(BD!$S$3:$S$5001,BD!$B$3:$B$5001,F$102,BD!$A$3:$A$5001,"&gt;="&amp;$C$7,BD!$A$3:$A$5001,"&lt;="&amp;$D$7),"—"))</f>
        <v>0</v>
      </c>
      <c r="G119" s="72" t="str">
        <f>IF(G$102="","",IF(Config!$T$40&lt;&gt;"Não",SUMIFS(BD!$S$3:$S$5001,BD!$B$3:$B$5001,G$102,BD!$A$3:$A$5001,"&gt;="&amp;$C$7,BD!$A$3:$A$5001,"&lt;="&amp;$D$7),"—"))</f>
        <v>—</v>
      </c>
      <c r="H119" s="72" t="str">
        <f>IF(H$102="","",IF(Config!$T$41&lt;&gt;"Não",SUMIFS(BD!$S$3:$S$5001,BD!$B$3:$B$5001,H$102,BD!$A$3:$A$5001,"&gt;="&amp;$C$7,BD!$A$3:$A$5001,"&lt;="&amp;$D$7),"—"))</f>
        <v>—</v>
      </c>
      <c r="I119" s="72">
        <f>IF(I$102="","",IF(Config!$T$42&lt;&gt;"Não",SUMIFS(BD!$S$3:$S$5001,BD!$B$3:$B$5001,I$102,BD!$A$3:$A$5001,"&gt;="&amp;$C$7,BD!$A$3:$A$5001,"&lt;="&amp;$D$7),"—"))</f>
        <v>0</v>
      </c>
      <c r="J119" s="72" t="str">
        <f>IF(J$102="","",IF(Config!$T$43&lt;&gt;"Não",SUMIFS(BD!$S$3:$S$5001,BD!$B$3:$B$5001,J$102,BD!$A$3:$A$5001,"&gt;="&amp;$C$7,BD!$A$3:$A$5001,"&lt;="&amp;$D$7),"—"))</f>
        <v>—</v>
      </c>
      <c r="K119" s="72" t="str">
        <f>IF(K$102="","",IF(Config!$T$44&lt;&gt;"Não",SUMIFS(BD!$S$3:$S$5001,BD!$B$3:$B$5001,K$102,BD!$A$3:$A$5001,"&gt;="&amp;$C$7,BD!$A$3:$A$5001,"&lt;="&amp;$D$7),"—"))</f>
        <v>—</v>
      </c>
      <c r="L119" s="72" t="str">
        <f>IF(L$102="","",IF(Config!$T$45&lt;&gt;"Não",SUMIFS(BD!$S$3:$S$5001,BD!$B$3:$B$5001,L$102,BD!$A$3:$A$5001,"&gt;="&amp;$C$7,BD!$A$3:$A$5001,"&lt;="&amp;$D$7),"—"))</f>
        <v/>
      </c>
      <c r="M119" s="72" t="str">
        <f>IF(M$102="","",IF(Config!$T$46&lt;&gt;"Não",SUMIFS(BD!$S$3:$S$5001,BD!$B$3:$B$5001,M$102,BD!$A$3:$A$5001,"&gt;="&amp;$C$7,BD!$A$3:$A$5001,"&lt;="&amp;$D$7),"—"))</f>
        <v/>
      </c>
      <c r="N119" s="72" t="str">
        <f>IF(N$102="","",IF(Config!$T$47&lt;&gt;"Não",SUMIFS(BD!$S$3:$S$5001,BD!$B$3:$B$5001,N$102,BD!$A$3:$A$5001,"&gt;="&amp;$C$7,BD!$A$3:$A$5001,"&lt;="&amp;$D$7),"—"))</f>
        <v/>
      </c>
      <c r="O119" s="72" t="str">
        <f>IF(O$102="","",IF(Config!$T$48&lt;&gt;"Não",SUMIFS(BD!$S$3:$S$5001,BD!$B$3:$B$5001,O$102,BD!$A$3:$A$5001,"&gt;="&amp;$C$7,BD!$A$3:$A$5001,"&lt;="&amp;$D$7),"—"))</f>
        <v/>
      </c>
      <c r="P119" s="72" t="str">
        <f>IF(P$102="","",IF(Config!$T$49&lt;&gt;"Não",SUMIFS(BD!$S$3:$S$5001,BD!$B$3:$B$5001,P$102,BD!$A$3:$A$5001,"&gt;="&amp;$C$7,BD!$A$3:$A$5001,"&lt;="&amp;$D$7),"—"))</f>
        <v/>
      </c>
      <c r="Q119" s="72" t="str">
        <f>IF(Q$102="","",IF(Config!$T$50&lt;&gt;"Não",SUMIFS(BD!$S$3:$S$5001,BD!$B$3:$B$5001,Q$102,BD!$A$3:$A$5001,"&gt;="&amp;$C$7,BD!$A$3:$A$5001,"&lt;="&amp;$D$7),"—"))</f>
        <v/>
      </c>
      <c r="R119" s="72" t="str">
        <f>IF(R$102="","",IF(Config!$T$51&lt;&gt;"Não",SUMIFS(BD!$S$3:$S$5001,BD!$B$3:$B$5001,R$102,BD!$A$3:$A$5001,"&gt;="&amp;$C$7,BD!$A$3:$A$5001,"&lt;="&amp;$D$7),"—"))</f>
        <v/>
      </c>
      <c r="S119" s="72" t="str">
        <f>IF(S$102="","",IF(Config!$T$52&lt;&gt;"Não",SUMIFS(BD!$S$3:$S$5001,BD!$B$3:$B$5001,S$102,BD!$A$3:$A$5001,"&gt;="&amp;$C$7,BD!$A$3:$A$5001,"&lt;="&amp;$D$7),"—"))</f>
        <v/>
      </c>
      <c r="T119" s="72" t="str">
        <f>IF(T$102="","",IF(Config!$T$53&lt;&gt;"Não",SUMIFS(BD!$S$3:$S$5001,BD!$B$3:$B$5001,T$102,BD!$A$3:$A$5001,"&gt;="&amp;$C$7,BD!$A$3:$A$5001,"&lt;="&amp;$D$7),"—"))</f>
        <v/>
      </c>
      <c r="U119" s="72" t="str">
        <f>IF(U$102="","",IF(Config!$T$54&lt;&gt;"Não",SUMIFS(BD!$S$3:$S$5001,BD!$B$3:$B$5001,U$102,BD!$A$3:$A$5001,"&gt;="&amp;$C$7,BD!$A$3:$A$5001,"&lt;="&amp;$D$7),"—"))</f>
        <v/>
      </c>
      <c r="V119" s="74">
        <f>SUM(B119:U119)</f>
        <v>0</v>
      </c>
    </row>
    <row r="120">
      <c r="A120" s="40" t="inlineStr">
        <is>
          <t xml:space="preserve">NC · Incidentes</t>
        </is>
      </c>
      <c r="B120" s="42">
        <f>IF(B$102="","",IF(Config!$U$35&lt;&gt;"Não",SUMIFS(BD!$T$3:$T$5001,BD!$B$3:$B$5001,B$102,BD!$A$3:$A$5001,"&gt;="&amp;$C$7,BD!$A$3:$A$5001,"&lt;="&amp;$D$7),"—"))</f>
        <v>0</v>
      </c>
      <c r="C120" s="42">
        <f>IF(C$102="","",IF(Config!$U$36&lt;&gt;"Não",SUMIFS(BD!$T$3:$T$5001,BD!$B$3:$B$5001,C$102,BD!$A$3:$A$5001,"&gt;="&amp;$C$7,BD!$A$3:$A$5001,"&lt;="&amp;$D$7),"—"))</f>
        <v>0</v>
      </c>
      <c r="D120" s="42">
        <f>IF(D$102="","",IF(Config!$U$37&lt;&gt;"Não",SUMIFS(BD!$T$3:$T$5001,BD!$B$3:$B$5001,D$102,BD!$A$3:$A$5001,"&gt;="&amp;$C$7,BD!$A$3:$A$5001,"&lt;="&amp;$D$7),"—"))</f>
        <v>0</v>
      </c>
      <c r="E120" s="42">
        <f>IF(E$102="","",IF(Config!$U$38&lt;&gt;"Não",SUMIFS(BD!$T$3:$T$5001,BD!$B$3:$B$5001,E$102,BD!$A$3:$A$5001,"&gt;="&amp;$C$7,BD!$A$3:$A$5001,"&lt;="&amp;$D$7),"—"))</f>
        <v>0</v>
      </c>
      <c r="F120" s="42">
        <f>IF(F$102="","",IF(Config!$U$39&lt;&gt;"Não",SUMIFS(BD!$T$3:$T$5001,BD!$B$3:$B$5001,F$102,BD!$A$3:$A$5001,"&gt;="&amp;$C$7,BD!$A$3:$A$5001,"&lt;="&amp;$D$7),"—"))</f>
        <v>0</v>
      </c>
      <c r="G120" s="42">
        <f>IF(G$102="","",IF(Config!$U$40&lt;&gt;"Não",SUMIFS(BD!$T$3:$T$5001,BD!$B$3:$B$5001,G$102,BD!$A$3:$A$5001,"&gt;="&amp;$C$7,BD!$A$3:$A$5001,"&lt;="&amp;$D$7),"—"))</f>
        <v>0</v>
      </c>
      <c r="H120" s="42">
        <f>IF(H$102="","",IF(Config!$U$41&lt;&gt;"Não",SUMIFS(BD!$T$3:$T$5001,BD!$B$3:$B$5001,H$102,BD!$A$3:$A$5001,"&gt;="&amp;$C$7,BD!$A$3:$A$5001,"&lt;="&amp;$D$7),"—"))</f>
        <v>0</v>
      </c>
      <c r="I120" s="42">
        <f>IF(I$102="","",IF(Config!$U$42&lt;&gt;"Não",SUMIFS(BD!$T$3:$T$5001,BD!$B$3:$B$5001,I$102,BD!$A$3:$A$5001,"&gt;="&amp;$C$7,BD!$A$3:$A$5001,"&lt;="&amp;$D$7),"—"))</f>
        <v>0</v>
      </c>
      <c r="J120" s="42">
        <f>IF(J$102="","",IF(Config!$U$43&lt;&gt;"Não",SUMIFS(BD!$T$3:$T$5001,BD!$B$3:$B$5001,J$102,BD!$A$3:$A$5001,"&gt;="&amp;$C$7,BD!$A$3:$A$5001,"&lt;="&amp;$D$7),"—"))</f>
        <v>0</v>
      </c>
      <c r="K120" s="42">
        <f>IF(K$102="","",IF(Config!$U$44&lt;&gt;"Não",SUMIFS(BD!$T$3:$T$5001,BD!$B$3:$B$5001,K$102,BD!$A$3:$A$5001,"&gt;="&amp;$C$7,BD!$A$3:$A$5001,"&lt;="&amp;$D$7),"—"))</f>
        <v>0</v>
      </c>
      <c r="L120" s="42" t="str">
        <f>IF(L$102="","",IF(Config!$U$45&lt;&gt;"Não",SUMIFS(BD!$T$3:$T$5001,BD!$B$3:$B$5001,L$102,BD!$A$3:$A$5001,"&gt;="&amp;$C$7,BD!$A$3:$A$5001,"&lt;="&amp;$D$7),"—"))</f>
        <v/>
      </c>
      <c r="M120" s="42" t="str">
        <f>IF(M$102="","",IF(Config!$U$46&lt;&gt;"Não",SUMIFS(BD!$T$3:$T$5001,BD!$B$3:$B$5001,M$102,BD!$A$3:$A$5001,"&gt;="&amp;$C$7,BD!$A$3:$A$5001,"&lt;="&amp;$D$7),"—"))</f>
        <v/>
      </c>
      <c r="N120" s="42" t="str">
        <f>IF(N$102="","",IF(Config!$U$47&lt;&gt;"Não",SUMIFS(BD!$T$3:$T$5001,BD!$B$3:$B$5001,N$102,BD!$A$3:$A$5001,"&gt;="&amp;$C$7,BD!$A$3:$A$5001,"&lt;="&amp;$D$7),"—"))</f>
        <v/>
      </c>
      <c r="O120" s="42" t="str">
        <f>IF(O$102="","",IF(Config!$U$48&lt;&gt;"Não",SUMIFS(BD!$T$3:$T$5001,BD!$B$3:$B$5001,O$102,BD!$A$3:$A$5001,"&gt;="&amp;$C$7,BD!$A$3:$A$5001,"&lt;="&amp;$D$7),"—"))</f>
        <v/>
      </c>
      <c r="P120" s="42" t="str">
        <f>IF(P$102="","",IF(Config!$U$49&lt;&gt;"Não",SUMIFS(BD!$T$3:$T$5001,BD!$B$3:$B$5001,P$102,BD!$A$3:$A$5001,"&gt;="&amp;$C$7,BD!$A$3:$A$5001,"&lt;="&amp;$D$7),"—"))</f>
        <v/>
      </c>
      <c r="Q120" s="42" t="str">
        <f>IF(Q$102="","",IF(Config!$U$50&lt;&gt;"Não",SUMIFS(BD!$T$3:$T$5001,BD!$B$3:$B$5001,Q$102,BD!$A$3:$A$5001,"&gt;="&amp;$C$7,BD!$A$3:$A$5001,"&lt;="&amp;$D$7),"—"))</f>
        <v/>
      </c>
      <c r="R120" s="42" t="str">
        <f>IF(R$102="","",IF(Config!$U$51&lt;&gt;"Não",SUMIFS(BD!$T$3:$T$5001,BD!$B$3:$B$5001,R$102,BD!$A$3:$A$5001,"&gt;="&amp;$C$7,BD!$A$3:$A$5001,"&lt;="&amp;$D$7),"—"))</f>
        <v/>
      </c>
      <c r="S120" s="42" t="str">
        <f>IF(S$102="","",IF(Config!$U$52&lt;&gt;"Não",SUMIFS(BD!$T$3:$T$5001,BD!$B$3:$B$5001,S$102,BD!$A$3:$A$5001,"&gt;="&amp;$C$7,BD!$A$3:$A$5001,"&lt;="&amp;$D$7),"—"))</f>
        <v/>
      </c>
      <c r="T120" s="42" t="str">
        <f>IF(T$102="","",IF(Config!$U$53&lt;&gt;"Não",SUMIFS(BD!$T$3:$T$5001,BD!$B$3:$B$5001,T$102,BD!$A$3:$A$5001,"&gt;="&amp;$C$7,BD!$A$3:$A$5001,"&lt;="&amp;$D$7),"—"))</f>
        <v/>
      </c>
      <c r="U120" s="42" t="str">
        <f>IF(U$102="","",IF(Config!$U$54&lt;&gt;"Não",SUMIFS(BD!$T$3:$T$5001,BD!$B$3:$B$5001,U$102,BD!$A$3:$A$5001,"&gt;="&amp;$C$7,BD!$A$3:$A$5001,"&lt;="&amp;$D$7),"—"))</f>
        <v/>
      </c>
      <c r="V120" s="73">
        <f>SUM(B120:U120)</f>
        <v>0</v>
      </c>
    </row>
    <row r="121">
      <c r="A121" s="40" t="inlineStr">
        <is>
          <t xml:space="preserve">NC · No show</t>
        </is>
      </c>
      <c r="B121" s="42">
        <f>IF(B$102="","",IF(Config!$V$35&lt;&gt;"Não",SUMIFS(BD!$U$3:$U$5001,BD!$B$3:$B$5001,B$102,BD!$A$3:$A$5001,"&gt;="&amp;$C$7,BD!$A$3:$A$5001,"&lt;="&amp;$D$7),"—"))</f>
        <v>0</v>
      </c>
      <c r="C121" s="42">
        <f>IF(C$102="","",IF(Config!$V$36&lt;&gt;"Não",SUMIFS(BD!$U$3:$U$5001,BD!$B$3:$B$5001,C$102,BD!$A$3:$A$5001,"&gt;="&amp;$C$7,BD!$A$3:$A$5001,"&lt;="&amp;$D$7),"—"))</f>
        <v>0</v>
      </c>
      <c r="D121" s="42">
        <f>IF(D$102="","",IF(Config!$V$37&lt;&gt;"Não",SUMIFS(BD!$U$3:$U$5001,BD!$B$3:$B$5001,D$102,BD!$A$3:$A$5001,"&gt;="&amp;$C$7,BD!$A$3:$A$5001,"&lt;="&amp;$D$7),"—"))</f>
        <v>0</v>
      </c>
      <c r="E121" s="42">
        <f>IF(E$102="","",IF(Config!$V$38&lt;&gt;"Não",SUMIFS(BD!$U$3:$U$5001,BD!$B$3:$B$5001,E$102,BD!$A$3:$A$5001,"&gt;="&amp;$C$7,BD!$A$3:$A$5001,"&lt;="&amp;$D$7),"—"))</f>
        <v>0</v>
      </c>
      <c r="F121" s="42">
        <f>IF(F$102="","",IF(Config!$V$39&lt;&gt;"Não",SUMIFS(BD!$U$3:$U$5001,BD!$B$3:$B$5001,F$102,BD!$A$3:$A$5001,"&gt;="&amp;$C$7,BD!$A$3:$A$5001,"&lt;="&amp;$D$7),"—"))</f>
        <v>0</v>
      </c>
      <c r="G121" s="42">
        <f>IF(G$102="","",IF(Config!$V$40&lt;&gt;"Não",SUMIFS(BD!$U$3:$U$5001,BD!$B$3:$B$5001,G$102,BD!$A$3:$A$5001,"&gt;="&amp;$C$7,BD!$A$3:$A$5001,"&lt;="&amp;$D$7),"—"))</f>
        <v>0</v>
      </c>
      <c r="H121" s="42">
        <f>IF(H$102="","",IF(Config!$V$41&lt;&gt;"Não",SUMIFS(BD!$U$3:$U$5001,BD!$B$3:$B$5001,H$102,BD!$A$3:$A$5001,"&gt;="&amp;$C$7,BD!$A$3:$A$5001,"&lt;="&amp;$D$7),"—"))</f>
        <v>0</v>
      </c>
      <c r="I121" s="42">
        <f>IF(I$102="","",IF(Config!$V$42&lt;&gt;"Não",SUMIFS(BD!$U$3:$U$5001,BD!$B$3:$B$5001,I$102,BD!$A$3:$A$5001,"&gt;="&amp;$C$7,BD!$A$3:$A$5001,"&lt;="&amp;$D$7),"—"))</f>
        <v>0</v>
      </c>
      <c r="J121" s="42">
        <f>IF(J$102="","",IF(Config!$V$43&lt;&gt;"Não",SUMIFS(BD!$U$3:$U$5001,BD!$B$3:$B$5001,J$102,BD!$A$3:$A$5001,"&gt;="&amp;$C$7,BD!$A$3:$A$5001,"&lt;="&amp;$D$7),"—"))</f>
        <v>0</v>
      </c>
      <c r="K121" s="42">
        <f>IF(K$102="","",IF(Config!$V$44&lt;&gt;"Não",SUMIFS(BD!$U$3:$U$5001,BD!$B$3:$B$5001,K$102,BD!$A$3:$A$5001,"&gt;="&amp;$C$7,BD!$A$3:$A$5001,"&lt;="&amp;$D$7),"—"))</f>
        <v>0</v>
      </c>
      <c r="L121" s="42" t="str">
        <f>IF(L$102="","",IF(Config!$V$45&lt;&gt;"Não",SUMIFS(BD!$U$3:$U$5001,BD!$B$3:$B$5001,L$102,BD!$A$3:$A$5001,"&gt;="&amp;$C$7,BD!$A$3:$A$5001,"&lt;="&amp;$D$7),"—"))</f>
        <v/>
      </c>
      <c r="M121" s="42" t="str">
        <f>IF(M$102="","",IF(Config!$V$46&lt;&gt;"Não",SUMIFS(BD!$U$3:$U$5001,BD!$B$3:$B$5001,M$102,BD!$A$3:$A$5001,"&gt;="&amp;$C$7,BD!$A$3:$A$5001,"&lt;="&amp;$D$7),"—"))</f>
        <v/>
      </c>
      <c r="N121" s="42" t="str">
        <f>IF(N$102="","",IF(Config!$V$47&lt;&gt;"Não",SUMIFS(BD!$U$3:$U$5001,BD!$B$3:$B$5001,N$102,BD!$A$3:$A$5001,"&gt;="&amp;$C$7,BD!$A$3:$A$5001,"&lt;="&amp;$D$7),"—"))</f>
        <v/>
      </c>
      <c r="O121" s="42" t="str">
        <f>IF(O$102="","",IF(Config!$V$48&lt;&gt;"Não",SUMIFS(BD!$U$3:$U$5001,BD!$B$3:$B$5001,O$102,BD!$A$3:$A$5001,"&gt;="&amp;$C$7,BD!$A$3:$A$5001,"&lt;="&amp;$D$7),"—"))</f>
        <v/>
      </c>
      <c r="P121" s="42" t="str">
        <f>IF(P$102="","",IF(Config!$V$49&lt;&gt;"Não",SUMIFS(BD!$U$3:$U$5001,BD!$B$3:$B$5001,P$102,BD!$A$3:$A$5001,"&gt;="&amp;$C$7,BD!$A$3:$A$5001,"&lt;="&amp;$D$7),"—"))</f>
        <v/>
      </c>
      <c r="Q121" s="42" t="str">
        <f>IF(Q$102="","",IF(Config!$V$50&lt;&gt;"Não",SUMIFS(BD!$U$3:$U$5001,BD!$B$3:$B$5001,Q$102,BD!$A$3:$A$5001,"&gt;="&amp;$C$7,BD!$A$3:$A$5001,"&lt;="&amp;$D$7),"—"))</f>
        <v/>
      </c>
      <c r="R121" s="42" t="str">
        <f>IF(R$102="","",IF(Config!$V$51&lt;&gt;"Não",SUMIFS(BD!$U$3:$U$5001,BD!$B$3:$B$5001,R$102,BD!$A$3:$A$5001,"&gt;="&amp;$C$7,BD!$A$3:$A$5001,"&lt;="&amp;$D$7),"—"))</f>
        <v/>
      </c>
      <c r="S121" s="42" t="str">
        <f>IF(S$102="","",IF(Config!$V$52&lt;&gt;"Não",SUMIFS(BD!$U$3:$U$5001,BD!$B$3:$B$5001,S$102,BD!$A$3:$A$5001,"&gt;="&amp;$C$7,BD!$A$3:$A$5001,"&lt;="&amp;$D$7),"—"))</f>
        <v/>
      </c>
      <c r="T121" s="42" t="str">
        <f>IF(T$102="","",IF(Config!$V$53&lt;&gt;"Não",SUMIFS(BD!$U$3:$U$5001,BD!$B$3:$B$5001,T$102,BD!$A$3:$A$5001,"&gt;="&amp;$C$7,BD!$A$3:$A$5001,"&lt;="&amp;$D$7),"—"))</f>
        <v/>
      </c>
      <c r="U121" s="42" t="str">
        <f>IF(U$102="","",IF(Config!$V$54&lt;&gt;"Não",SUMIFS(BD!$U$3:$U$5001,BD!$B$3:$B$5001,U$102,BD!$A$3:$A$5001,"&gt;="&amp;$C$7,BD!$A$3:$A$5001,"&lt;="&amp;$D$7),"—"))</f>
        <v/>
      </c>
      <c r="V121" s="73">
        <f>SUM(B121:U121)</f>
        <v>0</v>
      </c>
    </row>
    <row r="122">
      <c r="A122" s="40" t="inlineStr">
        <is>
          <t xml:space="preserve">NC · Backlog Intralog</t>
        </is>
      </c>
      <c r="B122" s="42" t="str">
        <f>IF(B$102="","",IF(Config!$W$35&lt;&gt;"Não",IF(COUNTIFS(BD!$B$3:$B$5001,B$102,BD!$A$3:$A$5001,"&gt;="&amp;$C$7,BD!$A$3:$A$5001,"&lt;="&amp;$D$7,BD!$V$3:$V$5001,"&lt;&gt;")=0,"",SUMIFS(BD!$V$3:$V$5001,BD!$B$3:$B$5001,B$102,BD!$A$3:$A$5001,_xlfn.MAXIFS(BD!$A$3:$A$5001,BD!$B$3:$B$5001,B$102,BD!$A$3:$A$5001,"&gt;="&amp;$C$7,BD!$A$3:$A$5001,"&lt;="&amp;$D$7,BD!$V$3:$V$5001,"&lt;&gt;"))),"—"))</f>
        <v/>
      </c>
      <c r="C122" s="42" t="str">
        <f>IF(C$102="","",IF(Config!$W$36&lt;&gt;"Não",IF(COUNTIFS(BD!$B$3:$B$5001,C$102,BD!$A$3:$A$5001,"&gt;="&amp;$C$7,BD!$A$3:$A$5001,"&lt;="&amp;$D$7,BD!$V$3:$V$5001,"&lt;&gt;")=0,"",SUMIFS(BD!$V$3:$V$5001,BD!$B$3:$B$5001,C$102,BD!$A$3:$A$5001,_xlfn.MAXIFS(BD!$A$3:$A$5001,BD!$B$3:$B$5001,C$102,BD!$A$3:$A$5001,"&gt;="&amp;$C$7,BD!$A$3:$A$5001,"&lt;="&amp;$D$7,BD!$V$3:$V$5001,"&lt;&gt;"))),"—"))</f>
        <v/>
      </c>
      <c r="D122" s="42" t="str">
        <f>IF(D$102="","",IF(Config!$W$37&lt;&gt;"Não",IF(COUNTIFS(BD!$B$3:$B$5001,D$102,BD!$A$3:$A$5001,"&gt;="&amp;$C$7,BD!$A$3:$A$5001,"&lt;="&amp;$D$7,BD!$V$3:$V$5001,"&lt;&gt;")=0,"",SUMIFS(BD!$V$3:$V$5001,BD!$B$3:$B$5001,D$102,BD!$A$3:$A$5001,_xlfn.MAXIFS(BD!$A$3:$A$5001,BD!$B$3:$B$5001,D$102,BD!$A$3:$A$5001,"&gt;="&amp;$C$7,BD!$A$3:$A$5001,"&lt;="&amp;$D$7,BD!$V$3:$V$5001,"&lt;&gt;"))),"—"))</f>
        <v/>
      </c>
      <c r="E122" s="42" t="str">
        <f>IF(E$102="","",IF(Config!$W$38&lt;&gt;"Não",IF(COUNTIFS(BD!$B$3:$B$5001,E$102,BD!$A$3:$A$5001,"&gt;="&amp;$C$7,BD!$A$3:$A$5001,"&lt;="&amp;$D$7,BD!$V$3:$V$5001,"&lt;&gt;")=0,"",SUMIFS(BD!$V$3:$V$5001,BD!$B$3:$B$5001,E$102,BD!$A$3:$A$5001,_xlfn.MAXIFS(BD!$A$3:$A$5001,BD!$B$3:$B$5001,E$102,BD!$A$3:$A$5001,"&gt;="&amp;$C$7,BD!$A$3:$A$5001,"&lt;="&amp;$D$7,BD!$V$3:$V$5001,"&lt;&gt;"))),"—"))</f>
        <v/>
      </c>
      <c r="F122" s="42" t="str">
        <f>IF(F$102="","",IF(Config!$W$39&lt;&gt;"Não",IF(COUNTIFS(BD!$B$3:$B$5001,F$102,BD!$A$3:$A$5001,"&gt;="&amp;$C$7,BD!$A$3:$A$5001,"&lt;="&amp;$D$7,BD!$V$3:$V$5001,"&lt;&gt;")=0,"",SUMIFS(BD!$V$3:$V$5001,BD!$B$3:$B$5001,F$102,BD!$A$3:$A$5001,_xlfn.MAXIFS(BD!$A$3:$A$5001,BD!$B$3:$B$5001,F$102,BD!$A$3:$A$5001,"&gt;="&amp;$C$7,BD!$A$3:$A$5001,"&lt;="&amp;$D$7,BD!$V$3:$V$5001,"&lt;&gt;"))),"—"))</f>
        <v/>
      </c>
      <c r="G122" s="42" t="str">
        <f>IF(G$102="","",IF(Config!$W$40&lt;&gt;"Não",IF(COUNTIFS(BD!$B$3:$B$5001,G$102,BD!$A$3:$A$5001,"&gt;="&amp;$C$7,BD!$A$3:$A$5001,"&lt;="&amp;$D$7,BD!$V$3:$V$5001,"&lt;&gt;")=0,"",SUMIFS(BD!$V$3:$V$5001,BD!$B$3:$B$5001,G$102,BD!$A$3:$A$5001,_xlfn.MAXIFS(BD!$A$3:$A$5001,BD!$B$3:$B$5001,G$102,BD!$A$3:$A$5001,"&gt;="&amp;$C$7,BD!$A$3:$A$5001,"&lt;="&amp;$D$7,BD!$V$3:$V$5001,"&lt;&gt;"))),"—"))</f>
        <v/>
      </c>
      <c r="H122" s="42" t="str">
        <f>IF(H$102="","",IF(Config!$W$41&lt;&gt;"Não",IF(COUNTIFS(BD!$B$3:$B$5001,H$102,BD!$A$3:$A$5001,"&gt;="&amp;$C$7,BD!$A$3:$A$5001,"&lt;="&amp;$D$7,BD!$V$3:$V$5001,"&lt;&gt;")=0,"",SUMIFS(BD!$V$3:$V$5001,BD!$B$3:$B$5001,H$102,BD!$A$3:$A$5001,_xlfn.MAXIFS(BD!$A$3:$A$5001,BD!$B$3:$B$5001,H$102,BD!$A$3:$A$5001,"&gt;="&amp;$C$7,BD!$A$3:$A$5001,"&lt;="&amp;$D$7,BD!$V$3:$V$5001,"&lt;&gt;"))),"—"))</f>
        <v/>
      </c>
      <c r="I122" s="42" t="str">
        <f>IF(I$102="","",IF(Config!$W$42&lt;&gt;"Não",IF(COUNTIFS(BD!$B$3:$B$5001,I$102,BD!$A$3:$A$5001,"&gt;="&amp;$C$7,BD!$A$3:$A$5001,"&lt;="&amp;$D$7,BD!$V$3:$V$5001,"&lt;&gt;")=0,"",SUMIFS(BD!$V$3:$V$5001,BD!$B$3:$B$5001,I$102,BD!$A$3:$A$5001,_xlfn.MAXIFS(BD!$A$3:$A$5001,BD!$B$3:$B$5001,I$102,BD!$A$3:$A$5001,"&gt;="&amp;$C$7,BD!$A$3:$A$5001,"&lt;="&amp;$D$7,BD!$V$3:$V$5001,"&lt;&gt;"))),"—"))</f>
        <v/>
      </c>
      <c r="J122" s="42" t="str">
        <f>IF(J$102="","",IF(Config!$W$43&lt;&gt;"Não",IF(COUNTIFS(BD!$B$3:$B$5001,J$102,BD!$A$3:$A$5001,"&gt;="&amp;$C$7,BD!$A$3:$A$5001,"&lt;="&amp;$D$7,BD!$V$3:$V$5001,"&lt;&gt;")=0,"",SUMIFS(BD!$V$3:$V$5001,BD!$B$3:$B$5001,J$102,BD!$A$3:$A$5001,_xlfn.MAXIFS(BD!$A$3:$A$5001,BD!$B$3:$B$5001,J$102,BD!$A$3:$A$5001,"&gt;="&amp;$C$7,BD!$A$3:$A$5001,"&lt;="&amp;$D$7,BD!$V$3:$V$5001,"&lt;&gt;"))),"—"))</f>
        <v/>
      </c>
      <c r="K122" s="42" t="str">
        <f>IF(K$102="","",IF(Config!$W$44&lt;&gt;"Não",IF(COUNTIFS(BD!$B$3:$B$5001,K$102,BD!$A$3:$A$5001,"&gt;="&amp;$C$7,BD!$A$3:$A$5001,"&lt;="&amp;$D$7,BD!$V$3:$V$5001,"&lt;&gt;")=0,"",SUMIFS(BD!$V$3:$V$5001,BD!$B$3:$B$5001,K$102,BD!$A$3:$A$5001,_xlfn.MAXIFS(BD!$A$3:$A$5001,BD!$B$3:$B$5001,K$102,BD!$A$3:$A$5001,"&gt;="&amp;$C$7,BD!$A$3:$A$5001,"&lt;="&amp;$D$7,BD!$V$3:$V$5001,"&lt;&gt;"))),"—"))</f>
        <v/>
      </c>
      <c r="L122" s="42" t="str">
        <f>IF(L$102="","",IF(Config!$W$45&lt;&gt;"Não",IF(COUNTIFS(BD!$B$3:$B$5001,L$102,BD!$A$3:$A$5001,"&gt;="&amp;$C$7,BD!$A$3:$A$5001,"&lt;="&amp;$D$7,BD!$V$3:$V$5001,"&lt;&gt;")=0,"",SUMIFS(BD!$V$3:$V$5001,BD!$B$3:$B$5001,L$102,BD!$A$3:$A$5001,_xlfn.MAXIFS(BD!$A$3:$A$5001,BD!$B$3:$B$5001,L$102,BD!$A$3:$A$5001,"&gt;="&amp;$C$7,BD!$A$3:$A$5001,"&lt;="&amp;$D$7,BD!$V$3:$V$5001,"&lt;&gt;"))),"—"))</f>
        <v/>
      </c>
      <c r="M122" s="42" t="str">
        <f>IF(M$102="","",IF(Config!$W$46&lt;&gt;"Não",IF(COUNTIFS(BD!$B$3:$B$5001,M$102,BD!$A$3:$A$5001,"&gt;="&amp;$C$7,BD!$A$3:$A$5001,"&lt;="&amp;$D$7,BD!$V$3:$V$5001,"&lt;&gt;")=0,"",SUMIFS(BD!$V$3:$V$5001,BD!$B$3:$B$5001,M$102,BD!$A$3:$A$5001,_xlfn.MAXIFS(BD!$A$3:$A$5001,BD!$B$3:$B$5001,M$102,BD!$A$3:$A$5001,"&gt;="&amp;$C$7,BD!$A$3:$A$5001,"&lt;="&amp;$D$7,BD!$V$3:$V$5001,"&lt;&gt;"))),"—"))</f>
        <v/>
      </c>
      <c r="N122" s="42" t="str">
        <f>IF(N$102="","",IF(Config!$W$47&lt;&gt;"Não",IF(COUNTIFS(BD!$B$3:$B$5001,N$102,BD!$A$3:$A$5001,"&gt;="&amp;$C$7,BD!$A$3:$A$5001,"&lt;="&amp;$D$7,BD!$V$3:$V$5001,"&lt;&gt;")=0,"",SUMIFS(BD!$V$3:$V$5001,BD!$B$3:$B$5001,N$102,BD!$A$3:$A$5001,_xlfn.MAXIFS(BD!$A$3:$A$5001,BD!$B$3:$B$5001,N$102,BD!$A$3:$A$5001,"&gt;="&amp;$C$7,BD!$A$3:$A$5001,"&lt;="&amp;$D$7,BD!$V$3:$V$5001,"&lt;&gt;"))),"—"))</f>
        <v/>
      </c>
      <c r="O122" s="42" t="str">
        <f>IF(O$102="","",IF(Config!$W$48&lt;&gt;"Não",IF(COUNTIFS(BD!$B$3:$B$5001,O$102,BD!$A$3:$A$5001,"&gt;="&amp;$C$7,BD!$A$3:$A$5001,"&lt;="&amp;$D$7,BD!$V$3:$V$5001,"&lt;&gt;")=0,"",SUMIFS(BD!$V$3:$V$5001,BD!$B$3:$B$5001,O$102,BD!$A$3:$A$5001,_xlfn.MAXIFS(BD!$A$3:$A$5001,BD!$B$3:$B$5001,O$102,BD!$A$3:$A$5001,"&gt;="&amp;$C$7,BD!$A$3:$A$5001,"&lt;="&amp;$D$7,BD!$V$3:$V$5001,"&lt;&gt;"))),"—"))</f>
        <v/>
      </c>
      <c r="P122" s="42" t="str">
        <f>IF(P$102="","",IF(Config!$W$49&lt;&gt;"Não",IF(COUNTIFS(BD!$B$3:$B$5001,P$102,BD!$A$3:$A$5001,"&gt;="&amp;$C$7,BD!$A$3:$A$5001,"&lt;="&amp;$D$7,BD!$V$3:$V$5001,"&lt;&gt;")=0,"",SUMIFS(BD!$V$3:$V$5001,BD!$B$3:$B$5001,P$102,BD!$A$3:$A$5001,_xlfn.MAXIFS(BD!$A$3:$A$5001,BD!$B$3:$B$5001,P$102,BD!$A$3:$A$5001,"&gt;="&amp;$C$7,BD!$A$3:$A$5001,"&lt;="&amp;$D$7,BD!$V$3:$V$5001,"&lt;&gt;"))),"—"))</f>
        <v/>
      </c>
      <c r="Q122" s="42" t="str">
        <f>IF(Q$102="","",IF(Config!$W$50&lt;&gt;"Não",IF(COUNTIFS(BD!$B$3:$B$5001,Q$102,BD!$A$3:$A$5001,"&gt;="&amp;$C$7,BD!$A$3:$A$5001,"&lt;="&amp;$D$7,BD!$V$3:$V$5001,"&lt;&gt;")=0,"",SUMIFS(BD!$V$3:$V$5001,BD!$B$3:$B$5001,Q$102,BD!$A$3:$A$5001,_xlfn.MAXIFS(BD!$A$3:$A$5001,BD!$B$3:$B$5001,Q$102,BD!$A$3:$A$5001,"&gt;="&amp;$C$7,BD!$A$3:$A$5001,"&lt;="&amp;$D$7,BD!$V$3:$V$5001,"&lt;&gt;"))),"—"))</f>
        <v/>
      </c>
      <c r="R122" s="42" t="str">
        <f>IF(R$102="","",IF(Config!$W$51&lt;&gt;"Não",IF(COUNTIFS(BD!$B$3:$B$5001,R$102,BD!$A$3:$A$5001,"&gt;="&amp;$C$7,BD!$A$3:$A$5001,"&lt;="&amp;$D$7,BD!$V$3:$V$5001,"&lt;&gt;")=0,"",SUMIFS(BD!$V$3:$V$5001,BD!$B$3:$B$5001,R$102,BD!$A$3:$A$5001,_xlfn.MAXIFS(BD!$A$3:$A$5001,BD!$B$3:$B$5001,R$102,BD!$A$3:$A$5001,"&gt;="&amp;$C$7,BD!$A$3:$A$5001,"&lt;="&amp;$D$7,BD!$V$3:$V$5001,"&lt;&gt;"))),"—"))</f>
        <v/>
      </c>
      <c r="S122" s="42" t="str">
        <f>IF(S$102="","",IF(Config!$W$52&lt;&gt;"Não",IF(COUNTIFS(BD!$B$3:$B$5001,S$102,BD!$A$3:$A$5001,"&gt;="&amp;$C$7,BD!$A$3:$A$5001,"&lt;="&amp;$D$7,BD!$V$3:$V$5001,"&lt;&gt;")=0,"",SUMIFS(BD!$V$3:$V$5001,BD!$B$3:$B$5001,S$102,BD!$A$3:$A$5001,_xlfn.MAXIFS(BD!$A$3:$A$5001,BD!$B$3:$B$5001,S$102,BD!$A$3:$A$5001,"&gt;="&amp;$C$7,BD!$A$3:$A$5001,"&lt;="&amp;$D$7,BD!$V$3:$V$5001,"&lt;&gt;"))),"—"))</f>
        <v/>
      </c>
      <c r="T122" s="42" t="str">
        <f>IF(T$102="","",IF(Config!$W$53&lt;&gt;"Não",IF(COUNTIFS(BD!$B$3:$B$5001,T$102,BD!$A$3:$A$5001,"&gt;="&amp;$C$7,BD!$A$3:$A$5001,"&lt;="&amp;$D$7,BD!$V$3:$V$5001,"&lt;&gt;")=0,"",SUMIFS(BD!$V$3:$V$5001,BD!$B$3:$B$5001,T$102,BD!$A$3:$A$5001,_xlfn.MAXIFS(BD!$A$3:$A$5001,BD!$B$3:$B$5001,T$102,BD!$A$3:$A$5001,"&gt;="&amp;$C$7,BD!$A$3:$A$5001,"&lt;="&amp;$D$7,BD!$V$3:$V$5001,"&lt;&gt;"))),"—"))</f>
        <v/>
      </c>
      <c r="U122" s="42" t="str">
        <f>IF(U$102="","",IF(Config!$W$54&lt;&gt;"Não",IF(COUNTIFS(BD!$B$3:$B$5001,U$102,BD!$A$3:$A$5001,"&gt;="&amp;$C$7,BD!$A$3:$A$5001,"&lt;="&amp;$D$7,BD!$V$3:$V$5001,"&lt;&gt;")=0,"",SUMIFS(BD!$V$3:$V$5001,BD!$B$3:$B$5001,U$102,BD!$A$3:$A$5001,_xlfn.MAXIFS(BD!$A$3:$A$5001,BD!$B$3:$B$5001,U$102,BD!$A$3:$A$5001,"&gt;="&amp;$C$7,BD!$A$3:$A$5001,"&lt;="&amp;$D$7,BD!$V$3:$V$5001,"&lt;&gt;"))),"—"))</f>
        <v/>
      </c>
      <c r="V122" s="73">
        <f>SUM(B122:U122)</f>
        <v>0</v>
      </c>
    </row>
    <row r="123">
      <c r="A123" s="40" t="inlineStr">
        <is>
          <t xml:space="preserve">NC · Backlog Cliente</t>
        </is>
      </c>
      <c r="B123" s="42" t="str">
        <f>IF(B$102="","",IF(Config!$X$35&lt;&gt;"Não",IF(COUNTIFS(BD!$B$3:$B$5001,B$102,BD!$A$3:$A$5001,"&gt;="&amp;$C$7,BD!$A$3:$A$5001,"&lt;="&amp;$D$7,BD!$W$3:$W$5001,"&lt;&gt;")=0,"",SUMIFS(BD!$W$3:$W$5001,BD!$B$3:$B$5001,B$102,BD!$A$3:$A$5001,_xlfn.MAXIFS(BD!$A$3:$A$5001,BD!$B$3:$B$5001,B$102,BD!$A$3:$A$5001,"&gt;="&amp;$C$7,BD!$A$3:$A$5001,"&lt;="&amp;$D$7,BD!$W$3:$W$5001,"&lt;&gt;"))),"—"))</f>
        <v/>
      </c>
      <c r="C123" s="42" t="str">
        <f>IF(C$102="","",IF(Config!$X$36&lt;&gt;"Não",IF(COUNTIFS(BD!$B$3:$B$5001,C$102,BD!$A$3:$A$5001,"&gt;="&amp;$C$7,BD!$A$3:$A$5001,"&lt;="&amp;$D$7,BD!$W$3:$W$5001,"&lt;&gt;")=0,"",SUMIFS(BD!$W$3:$W$5001,BD!$B$3:$B$5001,C$102,BD!$A$3:$A$5001,_xlfn.MAXIFS(BD!$A$3:$A$5001,BD!$B$3:$B$5001,C$102,BD!$A$3:$A$5001,"&gt;="&amp;$C$7,BD!$A$3:$A$5001,"&lt;="&amp;$D$7,BD!$W$3:$W$5001,"&lt;&gt;"))),"—"))</f>
        <v/>
      </c>
      <c r="D123" s="42" t="str">
        <f>IF(D$102="","",IF(Config!$X$37&lt;&gt;"Não",IF(COUNTIFS(BD!$B$3:$B$5001,D$102,BD!$A$3:$A$5001,"&gt;="&amp;$C$7,BD!$A$3:$A$5001,"&lt;="&amp;$D$7,BD!$W$3:$W$5001,"&lt;&gt;")=0,"",SUMIFS(BD!$W$3:$W$5001,BD!$B$3:$B$5001,D$102,BD!$A$3:$A$5001,_xlfn.MAXIFS(BD!$A$3:$A$5001,BD!$B$3:$B$5001,D$102,BD!$A$3:$A$5001,"&gt;="&amp;$C$7,BD!$A$3:$A$5001,"&lt;="&amp;$D$7,BD!$W$3:$W$5001,"&lt;&gt;"))),"—"))</f>
        <v/>
      </c>
      <c r="E123" s="42" t="str">
        <f>IF(E$102="","",IF(Config!$X$38&lt;&gt;"Não",IF(COUNTIFS(BD!$B$3:$B$5001,E$102,BD!$A$3:$A$5001,"&gt;="&amp;$C$7,BD!$A$3:$A$5001,"&lt;="&amp;$D$7,BD!$W$3:$W$5001,"&lt;&gt;")=0,"",SUMIFS(BD!$W$3:$W$5001,BD!$B$3:$B$5001,E$102,BD!$A$3:$A$5001,_xlfn.MAXIFS(BD!$A$3:$A$5001,BD!$B$3:$B$5001,E$102,BD!$A$3:$A$5001,"&gt;="&amp;$C$7,BD!$A$3:$A$5001,"&lt;="&amp;$D$7,BD!$W$3:$W$5001,"&lt;&gt;"))),"—"))</f>
        <v/>
      </c>
      <c r="F123" s="42" t="str">
        <f>IF(F$102="","",IF(Config!$X$39&lt;&gt;"Não",IF(COUNTIFS(BD!$B$3:$B$5001,F$102,BD!$A$3:$A$5001,"&gt;="&amp;$C$7,BD!$A$3:$A$5001,"&lt;="&amp;$D$7,BD!$W$3:$W$5001,"&lt;&gt;")=0,"",SUMIFS(BD!$W$3:$W$5001,BD!$B$3:$B$5001,F$102,BD!$A$3:$A$5001,_xlfn.MAXIFS(BD!$A$3:$A$5001,BD!$B$3:$B$5001,F$102,BD!$A$3:$A$5001,"&gt;="&amp;$C$7,BD!$A$3:$A$5001,"&lt;="&amp;$D$7,BD!$W$3:$W$5001,"&lt;&gt;"))),"—"))</f>
        <v/>
      </c>
      <c r="G123" s="42" t="str">
        <f>IF(G$102="","",IF(Config!$X$40&lt;&gt;"Não",IF(COUNTIFS(BD!$B$3:$B$5001,G$102,BD!$A$3:$A$5001,"&gt;="&amp;$C$7,BD!$A$3:$A$5001,"&lt;="&amp;$D$7,BD!$W$3:$W$5001,"&lt;&gt;")=0,"",SUMIFS(BD!$W$3:$W$5001,BD!$B$3:$B$5001,G$102,BD!$A$3:$A$5001,_xlfn.MAXIFS(BD!$A$3:$A$5001,BD!$B$3:$B$5001,G$102,BD!$A$3:$A$5001,"&gt;="&amp;$C$7,BD!$A$3:$A$5001,"&lt;="&amp;$D$7,BD!$W$3:$W$5001,"&lt;&gt;"))),"—"))</f>
        <v/>
      </c>
      <c r="H123" s="42" t="str">
        <f>IF(H$102="","",IF(Config!$X$41&lt;&gt;"Não",IF(COUNTIFS(BD!$B$3:$B$5001,H$102,BD!$A$3:$A$5001,"&gt;="&amp;$C$7,BD!$A$3:$A$5001,"&lt;="&amp;$D$7,BD!$W$3:$W$5001,"&lt;&gt;")=0,"",SUMIFS(BD!$W$3:$W$5001,BD!$B$3:$B$5001,H$102,BD!$A$3:$A$5001,_xlfn.MAXIFS(BD!$A$3:$A$5001,BD!$B$3:$B$5001,H$102,BD!$A$3:$A$5001,"&gt;="&amp;$C$7,BD!$A$3:$A$5001,"&lt;="&amp;$D$7,BD!$W$3:$W$5001,"&lt;&gt;"))),"—"))</f>
        <v/>
      </c>
      <c r="I123" s="42" t="str">
        <f>IF(I$102="","",IF(Config!$X$42&lt;&gt;"Não",IF(COUNTIFS(BD!$B$3:$B$5001,I$102,BD!$A$3:$A$5001,"&gt;="&amp;$C$7,BD!$A$3:$A$5001,"&lt;="&amp;$D$7,BD!$W$3:$W$5001,"&lt;&gt;")=0,"",SUMIFS(BD!$W$3:$W$5001,BD!$B$3:$B$5001,I$102,BD!$A$3:$A$5001,_xlfn.MAXIFS(BD!$A$3:$A$5001,BD!$B$3:$B$5001,I$102,BD!$A$3:$A$5001,"&gt;="&amp;$C$7,BD!$A$3:$A$5001,"&lt;="&amp;$D$7,BD!$W$3:$W$5001,"&lt;&gt;"))),"—"))</f>
        <v/>
      </c>
      <c r="J123" s="42" t="str">
        <f>IF(J$102="","",IF(Config!$X$43&lt;&gt;"Não",IF(COUNTIFS(BD!$B$3:$B$5001,J$102,BD!$A$3:$A$5001,"&gt;="&amp;$C$7,BD!$A$3:$A$5001,"&lt;="&amp;$D$7,BD!$W$3:$W$5001,"&lt;&gt;")=0,"",SUMIFS(BD!$W$3:$W$5001,BD!$B$3:$B$5001,J$102,BD!$A$3:$A$5001,_xlfn.MAXIFS(BD!$A$3:$A$5001,BD!$B$3:$B$5001,J$102,BD!$A$3:$A$5001,"&gt;="&amp;$C$7,BD!$A$3:$A$5001,"&lt;="&amp;$D$7,BD!$W$3:$W$5001,"&lt;&gt;"))),"—"))</f>
        <v/>
      </c>
      <c r="K123" s="42" t="str">
        <f>IF(K$102="","",IF(Config!$X$44&lt;&gt;"Não",IF(COUNTIFS(BD!$B$3:$B$5001,K$102,BD!$A$3:$A$5001,"&gt;="&amp;$C$7,BD!$A$3:$A$5001,"&lt;="&amp;$D$7,BD!$W$3:$W$5001,"&lt;&gt;")=0,"",SUMIFS(BD!$W$3:$W$5001,BD!$B$3:$B$5001,K$102,BD!$A$3:$A$5001,_xlfn.MAXIFS(BD!$A$3:$A$5001,BD!$B$3:$B$5001,K$102,BD!$A$3:$A$5001,"&gt;="&amp;$C$7,BD!$A$3:$A$5001,"&lt;="&amp;$D$7,BD!$W$3:$W$5001,"&lt;&gt;"))),"—"))</f>
        <v/>
      </c>
      <c r="L123" s="42" t="str">
        <f>IF(L$102="","",IF(Config!$X$45&lt;&gt;"Não",IF(COUNTIFS(BD!$B$3:$B$5001,L$102,BD!$A$3:$A$5001,"&gt;="&amp;$C$7,BD!$A$3:$A$5001,"&lt;="&amp;$D$7,BD!$W$3:$W$5001,"&lt;&gt;")=0,"",SUMIFS(BD!$W$3:$W$5001,BD!$B$3:$B$5001,L$102,BD!$A$3:$A$5001,_xlfn.MAXIFS(BD!$A$3:$A$5001,BD!$B$3:$B$5001,L$102,BD!$A$3:$A$5001,"&gt;="&amp;$C$7,BD!$A$3:$A$5001,"&lt;="&amp;$D$7,BD!$W$3:$W$5001,"&lt;&gt;"))),"—"))</f>
        <v/>
      </c>
      <c r="M123" s="42" t="str">
        <f>IF(M$102="","",IF(Config!$X$46&lt;&gt;"Não",IF(COUNTIFS(BD!$B$3:$B$5001,M$102,BD!$A$3:$A$5001,"&gt;="&amp;$C$7,BD!$A$3:$A$5001,"&lt;="&amp;$D$7,BD!$W$3:$W$5001,"&lt;&gt;")=0,"",SUMIFS(BD!$W$3:$W$5001,BD!$B$3:$B$5001,M$102,BD!$A$3:$A$5001,_xlfn.MAXIFS(BD!$A$3:$A$5001,BD!$B$3:$B$5001,M$102,BD!$A$3:$A$5001,"&gt;="&amp;$C$7,BD!$A$3:$A$5001,"&lt;="&amp;$D$7,BD!$W$3:$W$5001,"&lt;&gt;"))),"—"))</f>
        <v/>
      </c>
      <c r="N123" s="42" t="str">
        <f>IF(N$102="","",IF(Config!$X$47&lt;&gt;"Não",IF(COUNTIFS(BD!$B$3:$B$5001,N$102,BD!$A$3:$A$5001,"&gt;="&amp;$C$7,BD!$A$3:$A$5001,"&lt;="&amp;$D$7,BD!$W$3:$W$5001,"&lt;&gt;")=0,"",SUMIFS(BD!$W$3:$W$5001,BD!$B$3:$B$5001,N$102,BD!$A$3:$A$5001,_xlfn.MAXIFS(BD!$A$3:$A$5001,BD!$B$3:$B$5001,N$102,BD!$A$3:$A$5001,"&gt;="&amp;$C$7,BD!$A$3:$A$5001,"&lt;="&amp;$D$7,BD!$W$3:$W$5001,"&lt;&gt;"))),"—"))</f>
        <v/>
      </c>
      <c r="O123" s="42" t="str">
        <f>IF(O$102="","",IF(Config!$X$48&lt;&gt;"Não",IF(COUNTIFS(BD!$B$3:$B$5001,O$102,BD!$A$3:$A$5001,"&gt;="&amp;$C$7,BD!$A$3:$A$5001,"&lt;="&amp;$D$7,BD!$W$3:$W$5001,"&lt;&gt;")=0,"",SUMIFS(BD!$W$3:$W$5001,BD!$B$3:$B$5001,O$102,BD!$A$3:$A$5001,_xlfn.MAXIFS(BD!$A$3:$A$5001,BD!$B$3:$B$5001,O$102,BD!$A$3:$A$5001,"&gt;="&amp;$C$7,BD!$A$3:$A$5001,"&lt;="&amp;$D$7,BD!$W$3:$W$5001,"&lt;&gt;"))),"—"))</f>
        <v/>
      </c>
      <c r="P123" s="42" t="str">
        <f>IF(P$102="","",IF(Config!$X$49&lt;&gt;"Não",IF(COUNTIFS(BD!$B$3:$B$5001,P$102,BD!$A$3:$A$5001,"&gt;="&amp;$C$7,BD!$A$3:$A$5001,"&lt;="&amp;$D$7,BD!$W$3:$W$5001,"&lt;&gt;")=0,"",SUMIFS(BD!$W$3:$W$5001,BD!$B$3:$B$5001,P$102,BD!$A$3:$A$5001,_xlfn.MAXIFS(BD!$A$3:$A$5001,BD!$B$3:$B$5001,P$102,BD!$A$3:$A$5001,"&gt;="&amp;$C$7,BD!$A$3:$A$5001,"&lt;="&amp;$D$7,BD!$W$3:$W$5001,"&lt;&gt;"))),"—"))</f>
        <v/>
      </c>
      <c r="Q123" s="42" t="str">
        <f>IF(Q$102="","",IF(Config!$X$50&lt;&gt;"Não",IF(COUNTIFS(BD!$B$3:$B$5001,Q$102,BD!$A$3:$A$5001,"&gt;="&amp;$C$7,BD!$A$3:$A$5001,"&lt;="&amp;$D$7,BD!$W$3:$W$5001,"&lt;&gt;")=0,"",SUMIFS(BD!$W$3:$W$5001,BD!$B$3:$B$5001,Q$102,BD!$A$3:$A$5001,_xlfn.MAXIFS(BD!$A$3:$A$5001,BD!$B$3:$B$5001,Q$102,BD!$A$3:$A$5001,"&gt;="&amp;$C$7,BD!$A$3:$A$5001,"&lt;="&amp;$D$7,BD!$W$3:$W$5001,"&lt;&gt;"))),"—"))</f>
        <v/>
      </c>
      <c r="R123" s="42" t="str">
        <f>IF(R$102="","",IF(Config!$X$51&lt;&gt;"Não",IF(COUNTIFS(BD!$B$3:$B$5001,R$102,BD!$A$3:$A$5001,"&gt;="&amp;$C$7,BD!$A$3:$A$5001,"&lt;="&amp;$D$7,BD!$W$3:$W$5001,"&lt;&gt;")=0,"",SUMIFS(BD!$W$3:$W$5001,BD!$B$3:$B$5001,R$102,BD!$A$3:$A$5001,_xlfn.MAXIFS(BD!$A$3:$A$5001,BD!$B$3:$B$5001,R$102,BD!$A$3:$A$5001,"&gt;="&amp;$C$7,BD!$A$3:$A$5001,"&lt;="&amp;$D$7,BD!$W$3:$W$5001,"&lt;&gt;"))),"—"))</f>
        <v/>
      </c>
      <c r="S123" s="42" t="str">
        <f>IF(S$102="","",IF(Config!$X$52&lt;&gt;"Não",IF(COUNTIFS(BD!$B$3:$B$5001,S$102,BD!$A$3:$A$5001,"&gt;="&amp;$C$7,BD!$A$3:$A$5001,"&lt;="&amp;$D$7,BD!$W$3:$W$5001,"&lt;&gt;")=0,"",SUMIFS(BD!$W$3:$W$5001,BD!$B$3:$B$5001,S$102,BD!$A$3:$A$5001,_xlfn.MAXIFS(BD!$A$3:$A$5001,BD!$B$3:$B$5001,S$102,BD!$A$3:$A$5001,"&gt;="&amp;$C$7,BD!$A$3:$A$5001,"&lt;="&amp;$D$7,BD!$W$3:$W$5001,"&lt;&gt;"))),"—"))</f>
        <v/>
      </c>
      <c r="T123" s="42" t="str">
        <f>IF(T$102="","",IF(Config!$X$53&lt;&gt;"Não",IF(COUNTIFS(BD!$B$3:$B$5001,T$102,BD!$A$3:$A$5001,"&gt;="&amp;$C$7,BD!$A$3:$A$5001,"&lt;="&amp;$D$7,BD!$W$3:$W$5001,"&lt;&gt;")=0,"",SUMIFS(BD!$W$3:$W$5001,BD!$B$3:$B$5001,T$102,BD!$A$3:$A$5001,_xlfn.MAXIFS(BD!$A$3:$A$5001,BD!$B$3:$B$5001,T$102,BD!$A$3:$A$5001,"&gt;="&amp;$C$7,BD!$A$3:$A$5001,"&lt;="&amp;$D$7,BD!$W$3:$W$5001,"&lt;&gt;"))),"—"))</f>
        <v/>
      </c>
      <c r="U123" s="42" t="str">
        <f>IF(U$102="","",IF(Config!$X$54&lt;&gt;"Não",IF(COUNTIFS(BD!$B$3:$B$5001,U$102,BD!$A$3:$A$5001,"&gt;="&amp;$C$7,BD!$A$3:$A$5001,"&lt;="&amp;$D$7,BD!$W$3:$W$5001,"&lt;&gt;")=0,"",SUMIFS(BD!$W$3:$W$5001,BD!$B$3:$B$5001,U$102,BD!$A$3:$A$5001,_xlfn.MAXIFS(BD!$A$3:$A$5001,BD!$B$3:$B$5001,U$102,BD!$A$3:$A$5001,"&gt;="&amp;$C$7,BD!$A$3:$A$5001,"&lt;="&amp;$D$7,BD!$W$3:$W$5001,"&lt;&gt;"))),"—"))</f>
        <v/>
      </c>
      <c r="V123" s="73">
        <f>SUM(B123:U123)</f>
        <v>0</v>
      </c>
    </row>
    <row r="124">
      <c r="A124" s="40" t="inlineStr">
        <is>
          <t xml:space="preserve">OCUPAÇÃO (P.P) · Posições Disponíveis</t>
        </is>
      </c>
      <c r="B124" s="42" t="str">
        <f>IF(B$102="","",IF(Config!$Y$35&lt;&gt;"Não",IF(N(IF(COUNTIFS(BD!$B$3:$B$5001,B$102,BD!$A$3:$A$5001,"&gt;="&amp;$C$7,BD!$A$3:$A$5001,"&lt;="&amp;$D$7,BD!$Y$3:$Y$5001,"&lt;&gt;")=0,"",SUMIFS(BD!$X$3:$X$5001,BD!$B$3:$B$5001,B$102,BD!$A$3:$A$5001,_xlfn.MAXIFS(BD!$A$3:$A$5001,BD!$B$3:$B$5001,B$102,BD!$A$3:$A$5001,"&gt;="&amp;$C$7,BD!$A$3:$A$5001,"&lt;="&amp;$D$7,BD!$Y$3:$Y$5001,"&lt;&gt;"))))=0,"",IF(COUNTIFS(BD!$B$3:$B$5001,B$102,BD!$A$3:$A$5001,"&gt;="&amp;$C$7,BD!$A$3:$A$5001,"&lt;="&amp;$D$7,BD!$Y$3:$Y$5001,"&lt;&gt;")=0,"",SUMIFS(BD!$X$3:$X$5001,BD!$B$3:$B$5001,B$102,BD!$A$3:$A$5001,_xlfn.MAXIFS(BD!$A$3:$A$5001,BD!$B$3:$B$5001,B$102,BD!$A$3:$A$5001,"&gt;="&amp;$C$7,BD!$A$3:$A$5001,"&lt;="&amp;$D$7,BD!$Y$3:$Y$5001,"&lt;&gt;")))),"—"))</f>
        <v/>
      </c>
      <c r="C124" s="42" t="str">
        <f>IF(C$102="","",IF(Config!$Y$36&lt;&gt;"Não",IF(N(IF(COUNTIFS(BD!$B$3:$B$5001,C$102,BD!$A$3:$A$5001,"&gt;="&amp;$C$7,BD!$A$3:$A$5001,"&lt;="&amp;$D$7,BD!$Y$3:$Y$5001,"&lt;&gt;")=0,"",SUMIFS(BD!$X$3:$X$5001,BD!$B$3:$B$5001,C$102,BD!$A$3:$A$5001,_xlfn.MAXIFS(BD!$A$3:$A$5001,BD!$B$3:$B$5001,C$102,BD!$A$3:$A$5001,"&gt;="&amp;$C$7,BD!$A$3:$A$5001,"&lt;="&amp;$D$7,BD!$Y$3:$Y$5001,"&lt;&gt;"))))=0,"",IF(COUNTIFS(BD!$B$3:$B$5001,C$102,BD!$A$3:$A$5001,"&gt;="&amp;$C$7,BD!$A$3:$A$5001,"&lt;="&amp;$D$7,BD!$Y$3:$Y$5001,"&lt;&gt;")=0,"",SUMIFS(BD!$X$3:$X$5001,BD!$B$3:$B$5001,C$102,BD!$A$3:$A$5001,_xlfn.MAXIFS(BD!$A$3:$A$5001,BD!$B$3:$B$5001,C$102,BD!$A$3:$A$5001,"&gt;="&amp;$C$7,BD!$A$3:$A$5001,"&lt;="&amp;$D$7,BD!$Y$3:$Y$5001,"&lt;&gt;")))),"—"))</f>
        <v/>
      </c>
      <c r="D124" s="42" t="str">
        <f>IF(D$102="","",IF(Config!$Y$37&lt;&gt;"Não",IF(N(IF(COUNTIFS(BD!$B$3:$B$5001,D$102,BD!$A$3:$A$5001,"&gt;="&amp;$C$7,BD!$A$3:$A$5001,"&lt;="&amp;$D$7,BD!$Y$3:$Y$5001,"&lt;&gt;")=0,"",SUMIFS(BD!$X$3:$X$5001,BD!$B$3:$B$5001,D$102,BD!$A$3:$A$5001,_xlfn.MAXIFS(BD!$A$3:$A$5001,BD!$B$3:$B$5001,D$102,BD!$A$3:$A$5001,"&gt;="&amp;$C$7,BD!$A$3:$A$5001,"&lt;="&amp;$D$7,BD!$Y$3:$Y$5001,"&lt;&gt;"))))=0,"",IF(COUNTIFS(BD!$B$3:$B$5001,D$102,BD!$A$3:$A$5001,"&gt;="&amp;$C$7,BD!$A$3:$A$5001,"&lt;="&amp;$D$7,BD!$Y$3:$Y$5001,"&lt;&gt;")=0,"",SUMIFS(BD!$X$3:$X$5001,BD!$B$3:$B$5001,D$102,BD!$A$3:$A$5001,_xlfn.MAXIFS(BD!$A$3:$A$5001,BD!$B$3:$B$5001,D$102,BD!$A$3:$A$5001,"&gt;="&amp;$C$7,BD!$A$3:$A$5001,"&lt;="&amp;$D$7,BD!$Y$3:$Y$5001,"&lt;&gt;")))),"—"))</f>
        <v/>
      </c>
      <c r="E124" s="42" t="str">
        <f>IF(E$102="","",IF(Config!$Y$38&lt;&gt;"Não",IF(N(IF(COUNTIFS(BD!$B$3:$B$5001,E$102,BD!$A$3:$A$5001,"&gt;="&amp;$C$7,BD!$A$3:$A$5001,"&lt;="&amp;$D$7,BD!$Y$3:$Y$5001,"&lt;&gt;")=0,"",SUMIFS(BD!$X$3:$X$5001,BD!$B$3:$B$5001,E$102,BD!$A$3:$A$5001,_xlfn.MAXIFS(BD!$A$3:$A$5001,BD!$B$3:$B$5001,E$102,BD!$A$3:$A$5001,"&gt;="&amp;$C$7,BD!$A$3:$A$5001,"&lt;="&amp;$D$7,BD!$Y$3:$Y$5001,"&lt;&gt;"))))=0,"",IF(COUNTIFS(BD!$B$3:$B$5001,E$102,BD!$A$3:$A$5001,"&gt;="&amp;$C$7,BD!$A$3:$A$5001,"&lt;="&amp;$D$7,BD!$Y$3:$Y$5001,"&lt;&gt;")=0,"",SUMIFS(BD!$X$3:$X$5001,BD!$B$3:$B$5001,E$102,BD!$A$3:$A$5001,_xlfn.MAXIFS(BD!$A$3:$A$5001,BD!$B$3:$B$5001,E$102,BD!$A$3:$A$5001,"&gt;="&amp;$C$7,BD!$A$3:$A$5001,"&lt;="&amp;$D$7,BD!$Y$3:$Y$5001,"&lt;&gt;")))),"—"))</f>
        <v/>
      </c>
      <c r="F124" s="42" t="str">
        <f>IF(F$102="","",IF(Config!$Y$39&lt;&gt;"Não",IF(N(IF(COUNTIFS(BD!$B$3:$B$5001,F$102,BD!$A$3:$A$5001,"&gt;="&amp;$C$7,BD!$A$3:$A$5001,"&lt;="&amp;$D$7,BD!$Y$3:$Y$5001,"&lt;&gt;")=0,"",SUMIFS(BD!$X$3:$X$5001,BD!$B$3:$B$5001,F$102,BD!$A$3:$A$5001,_xlfn.MAXIFS(BD!$A$3:$A$5001,BD!$B$3:$B$5001,F$102,BD!$A$3:$A$5001,"&gt;="&amp;$C$7,BD!$A$3:$A$5001,"&lt;="&amp;$D$7,BD!$Y$3:$Y$5001,"&lt;&gt;"))))=0,"",IF(COUNTIFS(BD!$B$3:$B$5001,F$102,BD!$A$3:$A$5001,"&gt;="&amp;$C$7,BD!$A$3:$A$5001,"&lt;="&amp;$D$7,BD!$Y$3:$Y$5001,"&lt;&gt;")=0,"",SUMIFS(BD!$X$3:$X$5001,BD!$B$3:$B$5001,F$102,BD!$A$3:$A$5001,_xlfn.MAXIFS(BD!$A$3:$A$5001,BD!$B$3:$B$5001,F$102,BD!$A$3:$A$5001,"&gt;="&amp;$C$7,BD!$A$3:$A$5001,"&lt;="&amp;$D$7,BD!$Y$3:$Y$5001,"&lt;&gt;")))),"—"))</f>
        <v/>
      </c>
      <c r="G124" s="42" t="str">
        <f>IF(G$102="","",IF(Config!$Y$40&lt;&gt;"Não",IF(N(IF(COUNTIFS(BD!$B$3:$B$5001,G$102,BD!$A$3:$A$5001,"&gt;="&amp;$C$7,BD!$A$3:$A$5001,"&lt;="&amp;$D$7,BD!$Y$3:$Y$5001,"&lt;&gt;")=0,"",SUMIFS(BD!$X$3:$X$5001,BD!$B$3:$B$5001,G$102,BD!$A$3:$A$5001,_xlfn.MAXIFS(BD!$A$3:$A$5001,BD!$B$3:$B$5001,G$102,BD!$A$3:$A$5001,"&gt;="&amp;$C$7,BD!$A$3:$A$5001,"&lt;="&amp;$D$7,BD!$Y$3:$Y$5001,"&lt;&gt;"))))=0,"",IF(COUNTIFS(BD!$B$3:$B$5001,G$102,BD!$A$3:$A$5001,"&gt;="&amp;$C$7,BD!$A$3:$A$5001,"&lt;="&amp;$D$7,BD!$Y$3:$Y$5001,"&lt;&gt;")=0,"",SUMIFS(BD!$X$3:$X$5001,BD!$B$3:$B$5001,G$102,BD!$A$3:$A$5001,_xlfn.MAXIFS(BD!$A$3:$A$5001,BD!$B$3:$B$5001,G$102,BD!$A$3:$A$5001,"&gt;="&amp;$C$7,BD!$A$3:$A$5001,"&lt;="&amp;$D$7,BD!$Y$3:$Y$5001,"&lt;&gt;")))),"—"))</f>
        <v/>
      </c>
      <c r="H124" s="42" t="str">
        <f>IF(H$102="","",IF(Config!$Y$41&lt;&gt;"Não",IF(N(IF(COUNTIFS(BD!$B$3:$B$5001,H$102,BD!$A$3:$A$5001,"&gt;="&amp;$C$7,BD!$A$3:$A$5001,"&lt;="&amp;$D$7,BD!$Y$3:$Y$5001,"&lt;&gt;")=0,"",SUMIFS(BD!$X$3:$X$5001,BD!$B$3:$B$5001,H$102,BD!$A$3:$A$5001,_xlfn.MAXIFS(BD!$A$3:$A$5001,BD!$B$3:$B$5001,H$102,BD!$A$3:$A$5001,"&gt;="&amp;$C$7,BD!$A$3:$A$5001,"&lt;="&amp;$D$7,BD!$Y$3:$Y$5001,"&lt;&gt;"))))=0,"",IF(COUNTIFS(BD!$B$3:$B$5001,H$102,BD!$A$3:$A$5001,"&gt;="&amp;$C$7,BD!$A$3:$A$5001,"&lt;="&amp;$D$7,BD!$Y$3:$Y$5001,"&lt;&gt;")=0,"",SUMIFS(BD!$X$3:$X$5001,BD!$B$3:$B$5001,H$102,BD!$A$3:$A$5001,_xlfn.MAXIFS(BD!$A$3:$A$5001,BD!$B$3:$B$5001,H$102,BD!$A$3:$A$5001,"&gt;="&amp;$C$7,BD!$A$3:$A$5001,"&lt;="&amp;$D$7,BD!$Y$3:$Y$5001,"&lt;&gt;")))),"—"))</f>
        <v/>
      </c>
      <c r="I124" s="42" t="str">
        <f>IF(I$102="","",IF(Config!$Y$42&lt;&gt;"Não",IF(N(IF(COUNTIFS(BD!$B$3:$B$5001,I$102,BD!$A$3:$A$5001,"&gt;="&amp;$C$7,BD!$A$3:$A$5001,"&lt;="&amp;$D$7,BD!$Y$3:$Y$5001,"&lt;&gt;")=0,"",SUMIFS(BD!$X$3:$X$5001,BD!$B$3:$B$5001,I$102,BD!$A$3:$A$5001,_xlfn.MAXIFS(BD!$A$3:$A$5001,BD!$B$3:$B$5001,I$102,BD!$A$3:$A$5001,"&gt;="&amp;$C$7,BD!$A$3:$A$5001,"&lt;="&amp;$D$7,BD!$Y$3:$Y$5001,"&lt;&gt;"))))=0,"",IF(COUNTIFS(BD!$B$3:$B$5001,I$102,BD!$A$3:$A$5001,"&gt;="&amp;$C$7,BD!$A$3:$A$5001,"&lt;="&amp;$D$7,BD!$Y$3:$Y$5001,"&lt;&gt;")=0,"",SUMIFS(BD!$X$3:$X$5001,BD!$B$3:$B$5001,I$102,BD!$A$3:$A$5001,_xlfn.MAXIFS(BD!$A$3:$A$5001,BD!$B$3:$B$5001,I$102,BD!$A$3:$A$5001,"&gt;="&amp;$C$7,BD!$A$3:$A$5001,"&lt;="&amp;$D$7,BD!$Y$3:$Y$5001,"&lt;&gt;")))),"—"))</f>
        <v/>
      </c>
      <c r="J124" s="42" t="str">
        <f>IF(J$102="","",IF(Config!$Y$43&lt;&gt;"Não",IF(N(IF(COUNTIFS(BD!$B$3:$B$5001,J$102,BD!$A$3:$A$5001,"&gt;="&amp;$C$7,BD!$A$3:$A$5001,"&lt;="&amp;$D$7,BD!$Y$3:$Y$5001,"&lt;&gt;")=0,"",SUMIFS(BD!$X$3:$X$5001,BD!$B$3:$B$5001,J$102,BD!$A$3:$A$5001,_xlfn.MAXIFS(BD!$A$3:$A$5001,BD!$B$3:$B$5001,J$102,BD!$A$3:$A$5001,"&gt;="&amp;$C$7,BD!$A$3:$A$5001,"&lt;="&amp;$D$7,BD!$Y$3:$Y$5001,"&lt;&gt;"))))=0,"",IF(COUNTIFS(BD!$B$3:$B$5001,J$102,BD!$A$3:$A$5001,"&gt;="&amp;$C$7,BD!$A$3:$A$5001,"&lt;="&amp;$D$7,BD!$Y$3:$Y$5001,"&lt;&gt;")=0,"",SUMIFS(BD!$X$3:$X$5001,BD!$B$3:$B$5001,J$102,BD!$A$3:$A$5001,_xlfn.MAXIFS(BD!$A$3:$A$5001,BD!$B$3:$B$5001,J$102,BD!$A$3:$A$5001,"&gt;="&amp;$C$7,BD!$A$3:$A$5001,"&lt;="&amp;$D$7,BD!$Y$3:$Y$5001,"&lt;&gt;")))),"—"))</f>
        <v/>
      </c>
      <c r="K124" s="42" t="str">
        <f>IF(K$102="","",IF(Config!$Y$44&lt;&gt;"Não",IF(N(IF(COUNTIFS(BD!$B$3:$B$5001,K$102,BD!$A$3:$A$5001,"&gt;="&amp;$C$7,BD!$A$3:$A$5001,"&lt;="&amp;$D$7,BD!$Y$3:$Y$5001,"&lt;&gt;")=0,"",SUMIFS(BD!$X$3:$X$5001,BD!$B$3:$B$5001,K$102,BD!$A$3:$A$5001,_xlfn.MAXIFS(BD!$A$3:$A$5001,BD!$B$3:$B$5001,K$102,BD!$A$3:$A$5001,"&gt;="&amp;$C$7,BD!$A$3:$A$5001,"&lt;="&amp;$D$7,BD!$Y$3:$Y$5001,"&lt;&gt;"))))=0,"",IF(COUNTIFS(BD!$B$3:$B$5001,K$102,BD!$A$3:$A$5001,"&gt;="&amp;$C$7,BD!$A$3:$A$5001,"&lt;="&amp;$D$7,BD!$Y$3:$Y$5001,"&lt;&gt;")=0,"",SUMIFS(BD!$X$3:$X$5001,BD!$B$3:$B$5001,K$102,BD!$A$3:$A$5001,_xlfn.MAXIFS(BD!$A$3:$A$5001,BD!$B$3:$B$5001,K$102,BD!$A$3:$A$5001,"&gt;="&amp;$C$7,BD!$A$3:$A$5001,"&lt;="&amp;$D$7,BD!$Y$3:$Y$5001,"&lt;&gt;")))),"—"))</f>
        <v/>
      </c>
      <c r="L124" s="42" t="str">
        <f>IF(L$102="","",IF(Config!$Y$45&lt;&gt;"Não",IF(N(IF(COUNTIFS(BD!$B$3:$B$5001,L$102,BD!$A$3:$A$5001,"&gt;="&amp;$C$7,BD!$A$3:$A$5001,"&lt;="&amp;$D$7,BD!$Y$3:$Y$5001,"&lt;&gt;")=0,"",SUMIFS(BD!$X$3:$X$5001,BD!$B$3:$B$5001,L$102,BD!$A$3:$A$5001,_xlfn.MAXIFS(BD!$A$3:$A$5001,BD!$B$3:$B$5001,L$102,BD!$A$3:$A$5001,"&gt;="&amp;$C$7,BD!$A$3:$A$5001,"&lt;="&amp;$D$7,BD!$Y$3:$Y$5001,"&lt;&gt;"))))=0,"",IF(COUNTIFS(BD!$B$3:$B$5001,L$102,BD!$A$3:$A$5001,"&gt;="&amp;$C$7,BD!$A$3:$A$5001,"&lt;="&amp;$D$7,BD!$Y$3:$Y$5001,"&lt;&gt;")=0,"",SUMIFS(BD!$X$3:$X$5001,BD!$B$3:$B$5001,L$102,BD!$A$3:$A$5001,_xlfn.MAXIFS(BD!$A$3:$A$5001,BD!$B$3:$B$5001,L$102,BD!$A$3:$A$5001,"&gt;="&amp;$C$7,BD!$A$3:$A$5001,"&lt;="&amp;$D$7,BD!$Y$3:$Y$5001,"&lt;&gt;")))),"—"))</f>
        <v/>
      </c>
      <c r="M124" s="42" t="str">
        <f>IF(M$102="","",IF(Config!$Y$46&lt;&gt;"Não",IF(N(IF(COUNTIFS(BD!$B$3:$B$5001,M$102,BD!$A$3:$A$5001,"&gt;="&amp;$C$7,BD!$A$3:$A$5001,"&lt;="&amp;$D$7,BD!$Y$3:$Y$5001,"&lt;&gt;")=0,"",SUMIFS(BD!$X$3:$X$5001,BD!$B$3:$B$5001,M$102,BD!$A$3:$A$5001,_xlfn.MAXIFS(BD!$A$3:$A$5001,BD!$B$3:$B$5001,M$102,BD!$A$3:$A$5001,"&gt;="&amp;$C$7,BD!$A$3:$A$5001,"&lt;="&amp;$D$7,BD!$Y$3:$Y$5001,"&lt;&gt;"))))=0,"",IF(COUNTIFS(BD!$B$3:$B$5001,M$102,BD!$A$3:$A$5001,"&gt;="&amp;$C$7,BD!$A$3:$A$5001,"&lt;="&amp;$D$7,BD!$Y$3:$Y$5001,"&lt;&gt;")=0,"",SUMIFS(BD!$X$3:$X$5001,BD!$B$3:$B$5001,M$102,BD!$A$3:$A$5001,_xlfn.MAXIFS(BD!$A$3:$A$5001,BD!$B$3:$B$5001,M$102,BD!$A$3:$A$5001,"&gt;="&amp;$C$7,BD!$A$3:$A$5001,"&lt;="&amp;$D$7,BD!$Y$3:$Y$5001,"&lt;&gt;")))),"—"))</f>
        <v/>
      </c>
      <c r="N124" s="42" t="str">
        <f>IF(N$102="","",IF(Config!$Y$47&lt;&gt;"Não",IF(N(IF(COUNTIFS(BD!$B$3:$B$5001,N$102,BD!$A$3:$A$5001,"&gt;="&amp;$C$7,BD!$A$3:$A$5001,"&lt;="&amp;$D$7,BD!$Y$3:$Y$5001,"&lt;&gt;")=0,"",SUMIFS(BD!$X$3:$X$5001,BD!$B$3:$B$5001,N$102,BD!$A$3:$A$5001,_xlfn.MAXIFS(BD!$A$3:$A$5001,BD!$B$3:$B$5001,N$102,BD!$A$3:$A$5001,"&gt;="&amp;$C$7,BD!$A$3:$A$5001,"&lt;="&amp;$D$7,BD!$Y$3:$Y$5001,"&lt;&gt;"))))=0,"",IF(COUNTIFS(BD!$B$3:$B$5001,N$102,BD!$A$3:$A$5001,"&gt;="&amp;$C$7,BD!$A$3:$A$5001,"&lt;="&amp;$D$7,BD!$Y$3:$Y$5001,"&lt;&gt;")=0,"",SUMIFS(BD!$X$3:$X$5001,BD!$B$3:$B$5001,N$102,BD!$A$3:$A$5001,_xlfn.MAXIFS(BD!$A$3:$A$5001,BD!$B$3:$B$5001,N$102,BD!$A$3:$A$5001,"&gt;="&amp;$C$7,BD!$A$3:$A$5001,"&lt;="&amp;$D$7,BD!$Y$3:$Y$5001,"&lt;&gt;")))),"—"))</f>
        <v/>
      </c>
      <c r="O124" s="42" t="str">
        <f>IF(O$102="","",IF(Config!$Y$48&lt;&gt;"Não",IF(N(IF(COUNTIFS(BD!$B$3:$B$5001,O$102,BD!$A$3:$A$5001,"&gt;="&amp;$C$7,BD!$A$3:$A$5001,"&lt;="&amp;$D$7,BD!$Y$3:$Y$5001,"&lt;&gt;")=0,"",SUMIFS(BD!$X$3:$X$5001,BD!$B$3:$B$5001,O$102,BD!$A$3:$A$5001,_xlfn.MAXIFS(BD!$A$3:$A$5001,BD!$B$3:$B$5001,O$102,BD!$A$3:$A$5001,"&gt;="&amp;$C$7,BD!$A$3:$A$5001,"&lt;="&amp;$D$7,BD!$Y$3:$Y$5001,"&lt;&gt;"))))=0,"",IF(COUNTIFS(BD!$B$3:$B$5001,O$102,BD!$A$3:$A$5001,"&gt;="&amp;$C$7,BD!$A$3:$A$5001,"&lt;="&amp;$D$7,BD!$Y$3:$Y$5001,"&lt;&gt;")=0,"",SUMIFS(BD!$X$3:$X$5001,BD!$B$3:$B$5001,O$102,BD!$A$3:$A$5001,_xlfn.MAXIFS(BD!$A$3:$A$5001,BD!$B$3:$B$5001,O$102,BD!$A$3:$A$5001,"&gt;="&amp;$C$7,BD!$A$3:$A$5001,"&lt;="&amp;$D$7,BD!$Y$3:$Y$5001,"&lt;&gt;")))),"—"))</f>
        <v/>
      </c>
      <c r="P124" s="42" t="str">
        <f>IF(P$102="","",IF(Config!$Y$49&lt;&gt;"Não",IF(N(IF(COUNTIFS(BD!$B$3:$B$5001,P$102,BD!$A$3:$A$5001,"&gt;="&amp;$C$7,BD!$A$3:$A$5001,"&lt;="&amp;$D$7,BD!$Y$3:$Y$5001,"&lt;&gt;")=0,"",SUMIFS(BD!$X$3:$X$5001,BD!$B$3:$B$5001,P$102,BD!$A$3:$A$5001,_xlfn.MAXIFS(BD!$A$3:$A$5001,BD!$B$3:$B$5001,P$102,BD!$A$3:$A$5001,"&gt;="&amp;$C$7,BD!$A$3:$A$5001,"&lt;="&amp;$D$7,BD!$Y$3:$Y$5001,"&lt;&gt;"))))=0,"",IF(COUNTIFS(BD!$B$3:$B$5001,P$102,BD!$A$3:$A$5001,"&gt;="&amp;$C$7,BD!$A$3:$A$5001,"&lt;="&amp;$D$7,BD!$Y$3:$Y$5001,"&lt;&gt;")=0,"",SUMIFS(BD!$X$3:$X$5001,BD!$B$3:$B$5001,P$102,BD!$A$3:$A$5001,_xlfn.MAXIFS(BD!$A$3:$A$5001,BD!$B$3:$B$5001,P$102,BD!$A$3:$A$5001,"&gt;="&amp;$C$7,BD!$A$3:$A$5001,"&lt;="&amp;$D$7,BD!$Y$3:$Y$5001,"&lt;&gt;")))),"—"))</f>
        <v/>
      </c>
      <c r="Q124" s="42" t="str">
        <f>IF(Q$102="","",IF(Config!$Y$50&lt;&gt;"Não",IF(N(IF(COUNTIFS(BD!$B$3:$B$5001,Q$102,BD!$A$3:$A$5001,"&gt;="&amp;$C$7,BD!$A$3:$A$5001,"&lt;="&amp;$D$7,BD!$Y$3:$Y$5001,"&lt;&gt;")=0,"",SUMIFS(BD!$X$3:$X$5001,BD!$B$3:$B$5001,Q$102,BD!$A$3:$A$5001,_xlfn.MAXIFS(BD!$A$3:$A$5001,BD!$B$3:$B$5001,Q$102,BD!$A$3:$A$5001,"&gt;="&amp;$C$7,BD!$A$3:$A$5001,"&lt;="&amp;$D$7,BD!$Y$3:$Y$5001,"&lt;&gt;"))))=0,"",IF(COUNTIFS(BD!$B$3:$B$5001,Q$102,BD!$A$3:$A$5001,"&gt;="&amp;$C$7,BD!$A$3:$A$5001,"&lt;="&amp;$D$7,BD!$Y$3:$Y$5001,"&lt;&gt;")=0,"",SUMIFS(BD!$X$3:$X$5001,BD!$B$3:$B$5001,Q$102,BD!$A$3:$A$5001,_xlfn.MAXIFS(BD!$A$3:$A$5001,BD!$B$3:$B$5001,Q$102,BD!$A$3:$A$5001,"&gt;="&amp;$C$7,BD!$A$3:$A$5001,"&lt;="&amp;$D$7,BD!$Y$3:$Y$5001,"&lt;&gt;")))),"—"))</f>
        <v/>
      </c>
      <c r="R124" s="42" t="str">
        <f>IF(R$102="","",IF(Config!$Y$51&lt;&gt;"Não",IF(N(IF(COUNTIFS(BD!$B$3:$B$5001,R$102,BD!$A$3:$A$5001,"&gt;="&amp;$C$7,BD!$A$3:$A$5001,"&lt;="&amp;$D$7,BD!$Y$3:$Y$5001,"&lt;&gt;")=0,"",SUMIFS(BD!$X$3:$X$5001,BD!$B$3:$B$5001,R$102,BD!$A$3:$A$5001,_xlfn.MAXIFS(BD!$A$3:$A$5001,BD!$B$3:$B$5001,R$102,BD!$A$3:$A$5001,"&gt;="&amp;$C$7,BD!$A$3:$A$5001,"&lt;="&amp;$D$7,BD!$Y$3:$Y$5001,"&lt;&gt;"))))=0,"",IF(COUNTIFS(BD!$B$3:$B$5001,R$102,BD!$A$3:$A$5001,"&gt;="&amp;$C$7,BD!$A$3:$A$5001,"&lt;="&amp;$D$7,BD!$Y$3:$Y$5001,"&lt;&gt;")=0,"",SUMIFS(BD!$X$3:$X$5001,BD!$B$3:$B$5001,R$102,BD!$A$3:$A$5001,_xlfn.MAXIFS(BD!$A$3:$A$5001,BD!$B$3:$B$5001,R$102,BD!$A$3:$A$5001,"&gt;="&amp;$C$7,BD!$A$3:$A$5001,"&lt;="&amp;$D$7,BD!$Y$3:$Y$5001,"&lt;&gt;")))),"—"))</f>
        <v/>
      </c>
      <c r="S124" s="42" t="str">
        <f>IF(S$102="","",IF(Config!$Y$52&lt;&gt;"Não",IF(N(IF(COUNTIFS(BD!$B$3:$B$5001,S$102,BD!$A$3:$A$5001,"&gt;="&amp;$C$7,BD!$A$3:$A$5001,"&lt;="&amp;$D$7,BD!$Y$3:$Y$5001,"&lt;&gt;")=0,"",SUMIFS(BD!$X$3:$X$5001,BD!$B$3:$B$5001,S$102,BD!$A$3:$A$5001,_xlfn.MAXIFS(BD!$A$3:$A$5001,BD!$B$3:$B$5001,S$102,BD!$A$3:$A$5001,"&gt;="&amp;$C$7,BD!$A$3:$A$5001,"&lt;="&amp;$D$7,BD!$Y$3:$Y$5001,"&lt;&gt;"))))=0,"",IF(COUNTIFS(BD!$B$3:$B$5001,S$102,BD!$A$3:$A$5001,"&gt;="&amp;$C$7,BD!$A$3:$A$5001,"&lt;="&amp;$D$7,BD!$Y$3:$Y$5001,"&lt;&gt;")=0,"",SUMIFS(BD!$X$3:$X$5001,BD!$B$3:$B$5001,S$102,BD!$A$3:$A$5001,_xlfn.MAXIFS(BD!$A$3:$A$5001,BD!$B$3:$B$5001,S$102,BD!$A$3:$A$5001,"&gt;="&amp;$C$7,BD!$A$3:$A$5001,"&lt;="&amp;$D$7,BD!$Y$3:$Y$5001,"&lt;&gt;")))),"—"))</f>
        <v/>
      </c>
      <c r="T124" s="42" t="str">
        <f>IF(T$102="","",IF(Config!$Y$53&lt;&gt;"Não",IF(N(IF(COUNTIFS(BD!$B$3:$B$5001,T$102,BD!$A$3:$A$5001,"&gt;="&amp;$C$7,BD!$A$3:$A$5001,"&lt;="&amp;$D$7,BD!$Y$3:$Y$5001,"&lt;&gt;")=0,"",SUMIFS(BD!$X$3:$X$5001,BD!$B$3:$B$5001,T$102,BD!$A$3:$A$5001,_xlfn.MAXIFS(BD!$A$3:$A$5001,BD!$B$3:$B$5001,T$102,BD!$A$3:$A$5001,"&gt;="&amp;$C$7,BD!$A$3:$A$5001,"&lt;="&amp;$D$7,BD!$Y$3:$Y$5001,"&lt;&gt;"))))=0,"",IF(COUNTIFS(BD!$B$3:$B$5001,T$102,BD!$A$3:$A$5001,"&gt;="&amp;$C$7,BD!$A$3:$A$5001,"&lt;="&amp;$D$7,BD!$Y$3:$Y$5001,"&lt;&gt;")=0,"",SUMIFS(BD!$X$3:$X$5001,BD!$B$3:$B$5001,T$102,BD!$A$3:$A$5001,_xlfn.MAXIFS(BD!$A$3:$A$5001,BD!$B$3:$B$5001,T$102,BD!$A$3:$A$5001,"&gt;="&amp;$C$7,BD!$A$3:$A$5001,"&lt;="&amp;$D$7,BD!$Y$3:$Y$5001,"&lt;&gt;")))),"—"))</f>
        <v/>
      </c>
      <c r="U124" s="42" t="str">
        <f>IF(U$102="","",IF(Config!$Y$54&lt;&gt;"Não",IF(N(IF(COUNTIFS(BD!$B$3:$B$5001,U$102,BD!$A$3:$A$5001,"&gt;="&amp;$C$7,BD!$A$3:$A$5001,"&lt;="&amp;$D$7,BD!$Y$3:$Y$5001,"&lt;&gt;")=0,"",SUMIFS(BD!$X$3:$X$5001,BD!$B$3:$B$5001,U$102,BD!$A$3:$A$5001,_xlfn.MAXIFS(BD!$A$3:$A$5001,BD!$B$3:$B$5001,U$102,BD!$A$3:$A$5001,"&gt;="&amp;$C$7,BD!$A$3:$A$5001,"&lt;="&amp;$D$7,BD!$Y$3:$Y$5001,"&lt;&gt;"))))=0,"",IF(COUNTIFS(BD!$B$3:$B$5001,U$102,BD!$A$3:$A$5001,"&gt;="&amp;$C$7,BD!$A$3:$A$5001,"&lt;="&amp;$D$7,BD!$Y$3:$Y$5001,"&lt;&gt;")=0,"",SUMIFS(BD!$X$3:$X$5001,BD!$B$3:$B$5001,U$102,BD!$A$3:$A$5001,_xlfn.MAXIFS(BD!$A$3:$A$5001,BD!$B$3:$B$5001,U$102,BD!$A$3:$A$5001,"&gt;="&amp;$C$7,BD!$A$3:$A$5001,"&lt;="&amp;$D$7,BD!$Y$3:$Y$5001,"&lt;&gt;")))),"—"))</f>
        <v/>
      </c>
      <c r="V124" s="73">
        <f>IF($B$4&gt;0,$B$4,SUM(B124:U124))</f>
        <v>23040</v>
      </c>
    </row>
    <row r="125">
      <c r="A125" s="40" t="inlineStr">
        <is>
          <t xml:space="preserve">OCUPAÇÃO (P.P) · Posições Ocupadas</t>
        </is>
      </c>
      <c r="B125" s="42" t="str">
        <f>IF(B$102="","",IF(Config!$Z$35&lt;&gt;"Não",IF(COUNTIFS(BD!$B$3:$B$5001,B$102,BD!$A$3:$A$5001,"&gt;="&amp;$C$7,BD!$A$3:$A$5001,"&lt;="&amp;$D$7,BD!$Y$3:$Y$5001,"&lt;&gt;")=0,"",SUMIFS(BD!$Y$3:$Y$5001,BD!$B$3:$B$5001,B$102,BD!$A$3:$A$5001,_xlfn.MAXIFS(BD!$A$3:$A$5001,BD!$B$3:$B$5001,B$102,BD!$A$3:$A$5001,"&gt;="&amp;$C$7,BD!$A$3:$A$5001,"&lt;="&amp;$D$7,BD!$Y$3:$Y$5001,"&lt;&gt;"))),"—"))</f>
        <v/>
      </c>
      <c r="C125" s="42" t="str">
        <f>IF(C$102="","",IF(Config!$Z$36&lt;&gt;"Não",IF(COUNTIFS(BD!$B$3:$B$5001,C$102,BD!$A$3:$A$5001,"&gt;="&amp;$C$7,BD!$A$3:$A$5001,"&lt;="&amp;$D$7,BD!$Y$3:$Y$5001,"&lt;&gt;")=0,"",SUMIFS(BD!$Y$3:$Y$5001,BD!$B$3:$B$5001,C$102,BD!$A$3:$A$5001,_xlfn.MAXIFS(BD!$A$3:$A$5001,BD!$B$3:$B$5001,C$102,BD!$A$3:$A$5001,"&gt;="&amp;$C$7,BD!$A$3:$A$5001,"&lt;="&amp;$D$7,BD!$Y$3:$Y$5001,"&lt;&gt;"))),"—"))</f>
        <v/>
      </c>
      <c r="D125" s="42" t="str">
        <f>IF(D$102="","",IF(Config!$Z$37&lt;&gt;"Não",IF(COUNTIFS(BD!$B$3:$B$5001,D$102,BD!$A$3:$A$5001,"&gt;="&amp;$C$7,BD!$A$3:$A$5001,"&lt;="&amp;$D$7,BD!$Y$3:$Y$5001,"&lt;&gt;")=0,"",SUMIFS(BD!$Y$3:$Y$5001,BD!$B$3:$B$5001,D$102,BD!$A$3:$A$5001,_xlfn.MAXIFS(BD!$A$3:$A$5001,BD!$B$3:$B$5001,D$102,BD!$A$3:$A$5001,"&gt;="&amp;$C$7,BD!$A$3:$A$5001,"&lt;="&amp;$D$7,BD!$Y$3:$Y$5001,"&lt;&gt;"))),"—"))</f>
        <v/>
      </c>
      <c r="E125" s="42" t="str">
        <f>IF(E$102="","",IF(Config!$Z$38&lt;&gt;"Não",IF(COUNTIFS(BD!$B$3:$B$5001,E$102,BD!$A$3:$A$5001,"&gt;="&amp;$C$7,BD!$A$3:$A$5001,"&lt;="&amp;$D$7,BD!$Y$3:$Y$5001,"&lt;&gt;")=0,"",SUMIFS(BD!$Y$3:$Y$5001,BD!$B$3:$B$5001,E$102,BD!$A$3:$A$5001,_xlfn.MAXIFS(BD!$A$3:$A$5001,BD!$B$3:$B$5001,E$102,BD!$A$3:$A$5001,"&gt;="&amp;$C$7,BD!$A$3:$A$5001,"&lt;="&amp;$D$7,BD!$Y$3:$Y$5001,"&lt;&gt;"))),"—"))</f>
        <v/>
      </c>
      <c r="F125" s="42" t="str">
        <f>IF(F$102="","",IF(Config!$Z$39&lt;&gt;"Não",IF(COUNTIFS(BD!$B$3:$B$5001,F$102,BD!$A$3:$A$5001,"&gt;="&amp;$C$7,BD!$A$3:$A$5001,"&lt;="&amp;$D$7,BD!$Y$3:$Y$5001,"&lt;&gt;")=0,"",SUMIFS(BD!$Y$3:$Y$5001,BD!$B$3:$B$5001,F$102,BD!$A$3:$A$5001,_xlfn.MAXIFS(BD!$A$3:$A$5001,BD!$B$3:$B$5001,F$102,BD!$A$3:$A$5001,"&gt;="&amp;$C$7,BD!$A$3:$A$5001,"&lt;="&amp;$D$7,BD!$Y$3:$Y$5001,"&lt;&gt;"))),"—"))</f>
        <v/>
      </c>
      <c r="G125" s="42" t="str">
        <f>IF(G$102="","",IF(Config!$Z$40&lt;&gt;"Não",IF(COUNTIFS(BD!$B$3:$B$5001,G$102,BD!$A$3:$A$5001,"&gt;="&amp;$C$7,BD!$A$3:$A$5001,"&lt;="&amp;$D$7,BD!$Y$3:$Y$5001,"&lt;&gt;")=0,"",SUMIFS(BD!$Y$3:$Y$5001,BD!$B$3:$B$5001,G$102,BD!$A$3:$A$5001,_xlfn.MAXIFS(BD!$A$3:$A$5001,BD!$B$3:$B$5001,G$102,BD!$A$3:$A$5001,"&gt;="&amp;$C$7,BD!$A$3:$A$5001,"&lt;="&amp;$D$7,BD!$Y$3:$Y$5001,"&lt;&gt;"))),"—"))</f>
        <v/>
      </c>
      <c r="H125" s="42" t="str">
        <f>IF(H$102="","",IF(Config!$Z$41&lt;&gt;"Não",IF(COUNTIFS(BD!$B$3:$B$5001,H$102,BD!$A$3:$A$5001,"&gt;="&amp;$C$7,BD!$A$3:$A$5001,"&lt;="&amp;$D$7,BD!$Y$3:$Y$5001,"&lt;&gt;")=0,"",SUMIFS(BD!$Y$3:$Y$5001,BD!$B$3:$B$5001,H$102,BD!$A$3:$A$5001,_xlfn.MAXIFS(BD!$A$3:$A$5001,BD!$B$3:$B$5001,H$102,BD!$A$3:$A$5001,"&gt;="&amp;$C$7,BD!$A$3:$A$5001,"&lt;="&amp;$D$7,BD!$Y$3:$Y$5001,"&lt;&gt;"))),"—"))</f>
        <v/>
      </c>
      <c r="I125" s="42" t="str">
        <f>IF(I$102="","",IF(Config!$Z$42&lt;&gt;"Não",IF(COUNTIFS(BD!$B$3:$B$5001,I$102,BD!$A$3:$A$5001,"&gt;="&amp;$C$7,BD!$A$3:$A$5001,"&lt;="&amp;$D$7,BD!$Y$3:$Y$5001,"&lt;&gt;")=0,"",SUMIFS(BD!$Y$3:$Y$5001,BD!$B$3:$B$5001,I$102,BD!$A$3:$A$5001,_xlfn.MAXIFS(BD!$A$3:$A$5001,BD!$B$3:$B$5001,I$102,BD!$A$3:$A$5001,"&gt;="&amp;$C$7,BD!$A$3:$A$5001,"&lt;="&amp;$D$7,BD!$Y$3:$Y$5001,"&lt;&gt;"))),"—"))</f>
        <v/>
      </c>
      <c r="J125" s="42" t="str">
        <f>IF(J$102="","",IF(Config!$Z$43&lt;&gt;"Não",IF(COUNTIFS(BD!$B$3:$B$5001,J$102,BD!$A$3:$A$5001,"&gt;="&amp;$C$7,BD!$A$3:$A$5001,"&lt;="&amp;$D$7,BD!$Y$3:$Y$5001,"&lt;&gt;")=0,"",SUMIFS(BD!$Y$3:$Y$5001,BD!$B$3:$B$5001,J$102,BD!$A$3:$A$5001,_xlfn.MAXIFS(BD!$A$3:$A$5001,BD!$B$3:$B$5001,J$102,BD!$A$3:$A$5001,"&gt;="&amp;$C$7,BD!$A$3:$A$5001,"&lt;="&amp;$D$7,BD!$Y$3:$Y$5001,"&lt;&gt;"))),"—"))</f>
        <v/>
      </c>
      <c r="K125" s="42" t="str">
        <f>IF(K$102="","",IF(Config!$Z$44&lt;&gt;"Não",IF(COUNTIFS(BD!$B$3:$B$5001,K$102,BD!$A$3:$A$5001,"&gt;="&amp;$C$7,BD!$A$3:$A$5001,"&lt;="&amp;$D$7,BD!$Y$3:$Y$5001,"&lt;&gt;")=0,"",SUMIFS(BD!$Y$3:$Y$5001,BD!$B$3:$B$5001,K$102,BD!$A$3:$A$5001,_xlfn.MAXIFS(BD!$A$3:$A$5001,BD!$B$3:$B$5001,K$102,BD!$A$3:$A$5001,"&gt;="&amp;$C$7,BD!$A$3:$A$5001,"&lt;="&amp;$D$7,BD!$Y$3:$Y$5001,"&lt;&gt;"))),"—"))</f>
        <v/>
      </c>
      <c r="L125" s="42" t="str">
        <f>IF(L$102="","",IF(Config!$Z$45&lt;&gt;"Não",IF(COUNTIFS(BD!$B$3:$B$5001,L$102,BD!$A$3:$A$5001,"&gt;="&amp;$C$7,BD!$A$3:$A$5001,"&lt;="&amp;$D$7,BD!$Y$3:$Y$5001,"&lt;&gt;")=0,"",SUMIFS(BD!$Y$3:$Y$5001,BD!$B$3:$B$5001,L$102,BD!$A$3:$A$5001,_xlfn.MAXIFS(BD!$A$3:$A$5001,BD!$B$3:$B$5001,L$102,BD!$A$3:$A$5001,"&gt;="&amp;$C$7,BD!$A$3:$A$5001,"&lt;="&amp;$D$7,BD!$Y$3:$Y$5001,"&lt;&gt;"))),"—"))</f>
        <v/>
      </c>
      <c r="M125" s="42" t="str">
        <f>IF(M$102="","",IF(Config!$Z$46&lt;&gt;"Não",IF(COUNTIFS(BD!$B$3:$B$5001,M$102,BD!$A$3:$A$5001,"&gt;="&amp;$C$7,BD!$A$3:$A$5001,"&lt;="&amp;$D$7,BD!$Y$3:$Y$5001,"&lt;&gt;")=0,"",SUMIFS(BD!$Y$3:$Y$5001,BD!$B$3:$B$5001,M$102,BD!$A$3:$A$5001,_xlfn.MAXIFS(BD!$A$3:$A$5001,BD!$B$3:$B$5001,M$102,BD!$A$3:$A$5001,"&gt;="&amp;$C$7,BD!$A$3:$A$5001,"&lt;="&amp;$D$7,BD!$Y$3:$Y$5001,"&lt;&gt;"))),"—"))</f>
        <v/>
      </c>
      <c r="N125" s="42" t="str">
        <f>IF(N$102="","",IF(Config!$Z$47&lt;&gt;"Não",IF(COUNTIFS(BD!$B$3:$B$5001,N$102,BD!$A$3:$A$5001,"&gt;="&amp;$C$7,BD!$A$3:$A$5001,"&lt;="&amp;$D$7,BD!$Y$3:$Y$5001,"&lt;&gt;")=0,"",SUMIFS(BD!$Y$3:$Y$5001,BD!$B$3:$B$5001,N$102,BD!$A$3:$A$5001,_xlfn.MAXIFS(BD!$A$3:$A$5001,BD!$B$3:$B$5001,N$102,BD!$A$3:$A$5001,"&gt;="&amp;$C$7,BD!$A$3:$A$5001,"&lt;="&amp;$D$7,BD!$Y$3:$Y$5001,"&lt;&gt;"))),"—"))</f>
        <v/>
      </c>
      <c r="O125" s="42" t="str">
        <f>IF(O$102="","",IF(Config!$Z$48&lt;&gt;"Não",IF(COUNTIFS(BD!$B$3:$B$5001,O$102,BD!$A$3:$A$5001,"&gt;="&amp;$C$7,BD!$A$3:$A$5001,"&lt;="&amp;$D$7,BD!$Y$3:$Y$5001,"&lt;&gt;")=0,"",SUMIFS(BD!$Y$3:$Y$5001,BD!$B$3:$B$5001,O$102,BD!$A$3:$A$5001,_xlfn.MAXIFS(BD!$A$3:$A$5001,BD!$B$3:$B$5001,O$102,BD!$A$3:$A$5001,"&gt;="&amp;$C$7,BD!$A$3:$A$5001,"&lt;="&amp;$D$7,BD!$Y$3:$Y$5001,"&lt;&gt;"))),"—"))</f>
        <v/>
      </c>
      <c r="P125" s="42" t="str">
        <f>IF(P$102="","",IF(Config!$Z$49&lt;&gt;"Não",IF(COUNTIFS(BD!$B$3:$B$5001,P$102,BD!$A$3:$A$5001,"&gt;="&amp;$C$7,BD!$A$3:$A$5001,"&lt;="&amp;$D$7,BD!$Y$3:$Y$5001,"&lt;&gt;")=0,"",SUMIFS(BD!$Y$3:$Y$5001,BD!$B$3:$B$5001,P$102,BD!$A$3:$A$5001,_xlfn.MAXIFS(BD!$A$3:$A$5001,BD!$B$3:$B$5001,P$102,BD!$A$3:$A$5001,"&gt;="&amp;$C$7,BD!$A$3:$A$5001,"&lt;="&amp;$D$7,BD!$Y$3:$Y$5001,"&lt;&gt;"))),"—"))</f>
        <v/>
      </c>
      <c r="Q125" s="42" t="str">
        <f>IF(Q$102="","",IF(Config!$Z$50&lt;&gt;"Não",IF(COUNTIFS(BD!$B$3:$B$5001,Q$102,BD!$A$3:$A$5001,"&gt;="&amp;$C$7,BD!$A$3:$A$5001,"&lt;="&amp;$D$7,BD!$Y$3:$Y$5001,"&lt;&gt;")=0,"",SUMIFS(BD!$Y$3:$Y$5001,BD!$B$3:$B$5001,Q$102,BD!$A$3:$A$5001,_xlfn.MAXIFS(BD!$A$3:$A$5001,BD!$B$3:$B$5001,Q$102,BD!$A$3:$A$5001,"&gt;="&amp;$C$7,BD!$A$3:$A$5001,"&lt;="&amp;$D$7,BD!$Y$3:$Y$5001,"&lt;&gt;"))),"—"))</f>
        <v/>
      </c>
      <c r="R125" s="42" t="str">
        <f>IF(R$102="","",IF(Config!$Z$51&lt;&gt;"Não",IF(COUNTIFS(BD!$B$3:$B$5001,R$102,BD!$A$3:$A$5001,"&gt;="&amp;$C$7,BD!$A$3:$A$5001,"&lt;="&amp;$D$7,BD!$Y$3:$Y$5001,"&lt;&gt;")=0,"",SUMIFS(BD!$Y$3:$Y$5001,BD!$B$3:$B$5001,R$102,BD!$A$3:$A$5001,_xlfn.MAXIFS(BD!$A$3:$A$5001,BD!$B$3:$B$5001,R$102,BD!$A$3:$A$5001,"&gt;="&amp;$C$7,BD!$A$3:$A$5001,"&lt;="&amp;$D$7,BD!$Y$3:$Y$5001,"&lt;&gt;"))),"—"))</f>
        <v/>
      </c>
      <c r="S125" s="42" t="str">
        <f>IF(S$102="","",IF(Config!$Z$52&lt;&gt;"Não",IF(COUNTIFS(BD!$B$3:$B$5001,S$102,BD!$A$3:$A$5001,"&gt;="&amp;$C$7,BD!$A$3:$A$5001,"&lt;="&amp;$D$7,BD!$Y$3:$Y$5001,"&lt;&gt;")=0,"",SUMIFS(BD!$Y$3:$Y$5001,BD!$B$3:$B$5001,S$102,BD!$A$3:$A$5001,_xlfn.MAXIFS(BD!$A$3:$A$5001,BD!$B$3:$B$5001,S$102,BD!$A$3:$A$5001,"&gt;="&amp;$C$7,BD!$A$3:$A$5001,"&lt;="&amp;$D$7,BD!$Y$3:$Y$5001,"&lt;&gt;"))),"—"))</f>
        <v/>
      </c>
      <c r="T125" s="42" t="str">
        <f>IF(T$102="","",IF(Config!$Z$53&lt;&gt;"Não",IF(COUNTIFS(BD!$B$3:$B$5001,T$102,BD!$A$3:$A$5001,"&gt;="&amp;$C$7,BD!$A$3:$A$5001,"&lt;="&amp;$D$7,BD!$Y$3:$Y$5001,"&lt;&gt;")=0,"",SUMIFS(BD!$Y$3:$Y$5001,BD!$B$3:$B$5001,T$102,BD!$A$3:$A$5001,_xlfn.MAXIFS(BD!$A$3:$A$5001,BD!$B$3:$B$5001,T$102,BD!$A$3:$A$5001,"&gt;="&amp;$C$7,BD!$A$3:$A$5001,"&lt;="&amp;$D$7,BD!$Y$3:$Y$5001,"&lt;&gt;"))),"—"))</f>
        <v/>
      </c>
      <c r="U125" s="42" t="str">
        <f>IF(U$102="","",IF(Config!$Z$54&lt;&gt;"Não",IF(COUNTIFS(BD!$B$3:$B$5001,U$102,BD!$A$3:$A$5001,"&gt;="&amp;$C$7,BD!$A$3:$A$5001,"&lt;="&amp;$D$7,BD!$Y$3:$Y$5001,"&lt;&gt;")=0,"",SUMIFS(BD!$Y$3:$Y$5001,BD!$B$3:$B$5001,U$102,BD!$A$3:$A$5001,_xlfn.MAXIFS(BD!$A$3:$A$5001,BD!$B$3:$B$5001,U$102,BD!$A$3:$A$5001,"&gt;="&amp;$C$7,BD!$A$3:$A$5001,"&lt;="&amp;$D$7,BD!$Y$3:$Y$5001,"&lt;&gt;"))),"—"))</f>
        <v/>
      </c>
      <c r="V125" s="73">
        <f>SUM(B125:U125)</f>
        <v>0</v>
      </c>
    </row>
    <row r="126">
      <c r="A126" s="40" t="inlineStr">
        <is>
          <t xml:space="preserve">OCUPAÇÃO (P.P) · Taxa de Ocupação</t>
        </is>
      </c>
      <c r="B126" s="61" t="str">
        <f>IF(B$102="","",IF(AND(Config!$Y$35&lt;&gt;"Não",Config!$Z$35&lt;&gt;"Não"),IF(AND(ISNUMBER(B125),ISNUMBER(B124)),IF(B124&gt;0,B125/B124,""),""),"—"))</f>
        <v/>
      </c>
      <c r="C126" s="61" t="str">
        <f>IF(C$102="","",IF(AND(Config!$Y$36&lt;&gt;"Não",Config!$Z$36&lt;&gt;"Não"),IF(AND(ISNUMBER(C125),ISNUMBER(C124)),IF(C124&gt;0,C125/C124,""),""),"—"))</f>
        <v/>
      </c>
      <c r="D126" s="61" t="str">
        <f>IF(D$102="","",IF(AND(Config!$Y$37&lt;&gt;"Não",Config!$Z$37&lt;&gt;"Não"),IF(AND(ISNUMBER(D125),ISNUMBER(D124)),IF(D124&gt;0,D125/D124,""),""),"—"))</f>
        <v/>
      </c>
      <c r="E126" s="61" t="str">
        <f>IF(E$102="","",IF(AND(Config!$Y$38&lt;&gt;"Não",Config!$Z$38&lt;&gt;"Não"),IF(AND(ISNUMBER(E125),ISNUMBER(E124)),IF(E124&gt;0,E125/E124,""),""),"—"))</f>
        <v/>
      </c>
      <c r="F126" s="61" t="str">
        <f>IF(F$102="","",IF(AND(Config!$Y$39&lt;&gt;"Não",Config!$Z$39&lt;&gt;"Não"),IF(AND(ISNUMBER(F125),ISNUMBER(F124)),IF(F124&gt;0,F125/F124,""),""),"—"))</f>
        <v/>
      </c>
      <c r="G126" s="61" t="str">
        <f>IF(G$102="","",IF(AND(Config!$Y$40&lt;&gt;"Não",Config!$Z$40&lt;&gt;"Não"),IF(AND(ISNUMBER(G125),ISNUMBER(G124)),IF(G124&gt;0,G125/G124,""),""),"—"))</f>
        <v/>
      </c>
      <c r="H126" s="61" t="str">
        <f>IF(H$102="","",IF(AND(Config!$Y$41&lt;&gt;"Não",Config!$Z$41&lt;&gt;"Não"),IF(AND(ISNUMBER(H125),ISNUMBER(H124)),IF(H124&gt;0,H125/H124,""),""),"—"))</f>
        <v/>
      </c>
      <c r="I126" s="61" t="str">
        <f>IF(I$102="","",IF(AND(Config!$Y$42&lt;&gt;"Não",Config!$Z$42&lt;&gt;"Não"),IF(AND(ISNUMBER(I125),ISNUMBER(I124)),IF(I124&gt;0,I125/I124,""),""),"—"))</f>
        <v/>
      </c>
      <c r="J126" s="61" t="str">
        <f>IF(J$102="","",IF(AND(Config!$Y$43&lt;&gt;"Não",Config!$Z$43&lt;&gt;"Não"),IF(AND(ISNUMBER(J125),ISNUMBER(J124)),IF(J124&gt;0,J125/J124,""),""),"—"))</f>
        <v/>
      </c>
      <c r="K126" s="61" t="str">
        <f>IF(K$102="","",IF(AND(Config!$Y$44&lt;&gt;"Não",Config!$Z$44&lt;&gt;"Não"),IF(AND(ISNUMBER(K125),ISNUMBER(K124)),IF(K124&gt;0,K125/K124,""),""),"—"))</f>
        <v/>
      </c>
      <c r="L126" s="61" t="str">
        <f>IF(L$102="","",IF(AND(Config!$Y$45&lt;&gt;"Não",Config!$Z$45&lt;&gt;"Não"),IF(AND(ISNUMBER(L125),ISNUMBER(L124)),IF(L124&gt;0,L125/L124,""),""),"—"))</f>
        <v/>
      </c>
      <c r="M126" s="61" t="str">
        <f>IF(M$102="","",IF(AND(Config!$Y$46&lt;&gt;"Não",Config!$Z$46&lt;&gt;"Não"),IF(AND(ISNUMBER(M125),ISNUMBER(M124)),IF(M124&gt;0,M125/M124,""),""),"—"))</f>
        <v/>
      </c>
      <c r="N126" s="61" t="str">
        <f>IF(N$102="","",IF(AND(Config!$Y$47&lt;&gt;"Não",Config!$Z$47&lt;&gt;"Não"),IF(AND(ISNUMBER(N125),ISNUMBER(N124)),IF(N124&gt;0,N125/N124,""),""),"—"))</f>
        <v/>
      </c>
      <c r="O126" s="61" t="str">
        <f>IF(O$102="","",IF(AND(Config!$Y$48&lt;&gt;"Não",Config!$Z$48&lt;&gt;"Não"),IF(AND(ISNUMBER(O125),ISNUMBER(O124)),IF(O124&gt;0,O125/O124,""),""),"—"))</f>
        <v/>
      </c>
      <c r="P126" s="61" t="str">
        <f>IF(P$102="","",IF(AND(Config!$Y$49&lt;&gt;"Não",Config!$Z$49&lt;&gt;"Não"),IF(AND(ISNUMBER(P125),ISNUMBER(P124)),IF(P124&gt;0,P125/P124,""),""),"—"))</f>
        <v/>
      </c>
      <c r="Q126" s="61" t="str">
        <f>IF(Q$102="","",IF(AND(Config!$Y$50&lt;&gt;"Não",Config!$Z$50&lt;&gt;"Não"),IF(AND(ISNUMBER(Q125),ISNUMBER(Q124)),IF(Q124&gt;0,Q125/Q124,""),""),"—"))</f>
        <v/>
      </c>
      <c r="R126" s="61" t="str">
        <f>IF(R$102="","",IF(AND(Config!$Y$51&lt;&gt;"Não",Config!$Z$51&lt;&gt;"Não"),IF(AND(ISNUMBER(R125),ISNUMBER(R124)),IF(R124&gt;0,R125/R124,""),""),"—"))</f>
        <v/>
      </c>
      <c r="S126" s="61" t="str">
        <f>IF(S$102="","",IF(AND(Config!$Y$52&lt;&gt;"Não",Config!$Z$52&lt;&gt;"Não"),IF(AND(ISNUMBER(S125),ISNUMBER(S124)),IF(S124&gt;0,S125/S124,""),""),"—"))</f>
        <v/>
      </c>
      <c r="T126" s="61" t="str">
        <f>IF(T$102="","",IF(AND(Config!$Y$53&lt;&gt;"Não",Config!$Z$53&lt;&gt;"Não"),IF(AND(ISNUMBER(T125),ISNUMBER(T124)),IF(T124&gt;0,T125/T124,""),""),"—"))</f>
        <v/>
      </c>
      <c r="U126" s="61" t="str">
        <f>IF(U$102="","",IF(AND(Config!$Y$54&lt;&gt;"Não",Config!$Z$54&lt;&gt;"Não"),IF(AND(ISNUMBER(U125),ISNUMBER(U124)),IF(U124&gt;0,U125/U124,""),""),"—"))</f>
        <v/>
      </c>
      <c r="V126" s="75">
        <f>IFERROR(V125/V124,"")</f>
        <v>0</v>
      </c>
    </row>
    <row r="127">
      <c r="A127" s="40" t="inlineStr">
        <is>
          <t xml:space="preserve">GENTE · Efetivo Op.</t>
        </is>
      </c>
      <c r="B127" s="42" t="str">
        <f>IF(B$102="","",IF(Config!$AA$35&lt;&gt;"Não",IF(COUNTIFS(BD!$B$3:$B$5001,B$102,BD!$A$3:$A$5001,"&gt;="&amp;$C$7,BD!$A$3:$A$5001,"&lt;="&amp;$D$7,BD!$Z$3:$Z$5001,"&lt;&gt;")=0,"",SUMIFS(BD!$Z$3:$Z$5001,BD!$B$3:$B$5001,B$102,BD!$A$3:$A$5001,_xlfn.MAXIFS(BD!$A$3:$A$5001,BD!$B$3:$B$5001,B$102,BD!$A$3:$A$5001,"&gt;="&amp;$C$7,BD!$A$3:$A$5001,"&lt;="&amp;$D$7,BD!$Z$3:$Z$5001,"&lt;&gt;"))),"—"))</f>
        <v/>
      </c>
      <c r="C127" s="42" t="str">
        <f>IF(C$102="","",IF(Config!$AA$36&lt;&gt;"Não",IF(COUNTIFS(BD!$B$3:$B$5001,C$102,BD!$A$3:$A$5001,"&gt;="&amp;$C$7,BD!$A$3:$A$5001,"&lt;="&amp;$D$7,BD!$Z$3:$Z$5001,"&lt;&gt;")=0,"",SUMIFS(BD!$Z$3:$Z$5001,BD!$B$3:$B$5001,C$102,BD!$A$3:$A$5001,_xlfn.MAXIFS(BD!$A$3:$A$5001,BD!$B$3:$B$5001,C$102,BD!$A$3:$A$5001,"&gt;="&amp;$C$7,BD!$A$3:$A$5001,"&lt;="&amp;$D$7,BD!$Z$3:$Z$5001,"&lt;&gt;"))),"—"))</f>
        <v/>
      </c>
      <c r="D127" s="42" t="str">
        <f>IF(D$102="","",IF(Config!$AA$37&lt;&gt;"Não",IF(COUNTIFS(BD!$B$3:$B$5001,D$102,BD!$A$3:$A$5001,"&gt;="&amp;$C$7,BD!$A$3:$A$5001,"&lt;="&amp;$D$7,BD!$Z$3:$Z$5001,"&lt;&gt;")=0,"",SUMIFS(BD!$Z$3:$Z$5001,BD!$B$3:$B$5001,D$102,BD!$A$3:$A$5001,_xlfn.MAXIFS(BD!$A$3:$A$5001,BD!$B$3:$B$5001,D$102,BD!$A$3:$A$5001,"&gt;="&amp;$C$7,BD!$A$3:$A$5001,"&lt;="&amp;$D$7,BD!$Z$3:$Z$5001,"&lt;&gt;"))),"—"))</f>
        <v/>
      </c>
      <c r="E127" s="42" t="str">
        <f>IF(E$102="","",IF(Config!$AA$38&lt;&gt;"Não",IF(COUNTIFS(BD!$B$3:$B$5001,E$102,BD!$A$3:$A$5001,"&gt;="&amp;$C$7,BD!$A$3:$A$5001,"&lt;="&amp;$D$7,BD!$Z$3:$Z$5001,"&lt;&gt;")=0,"",SUMIFS(BD!$Z$3:$Z$5001,BD!$B$3:$B$5001,E$102,BD!$A$3:$A$5001,_xlfn.MAXIFS(BD!$A$3:$A$5001,BD!$B$3:$B$5001,E$102,BD!$A$3:$A$5001,"&gt;="&amp;$C$7,BD!$A$3:$A$5001,"&lt;="&amp;$D$7,BD!$Z$3:$Z$5001,"&lt;&gt;"))),"—"))</f>
        <v/>
      </c>
      <c r="F127" s="42" t="str">
        <f>IF(F$102="","",IF(Config!$AA$39&lt;&gt;"Não",IF(COUNTIFS(BD!$B$3:$B$5001,F$102,BD!$A$3:$A$5001,"&gt;="&amp;$C$7,BD!$A$3:$A$5001,"&lt;="&amp;$D$7,BD!$Z$3:$Z$5001,"&lt;&gt;")=0,"",SUMIFS(BD!$Z$3:$Z$5001,BD!$B$3:$B$5001,F$102,BD!$A$3:$A$5001,_xlfn.MAXIFS(BD!$A$3:$A$5001,BD!$B$3:$B$5001,F$102,BD!$A$3:$A$5001,"&gt;="&amp;$C$7,BD!$A$3:$A$5001,"&lt;="&amp;$D$7,BD!$Z$3:$Z$5001,"&lt;&gt;"))),"—"))</f>
        <v/>
      </c>
      <c r="G127" s="42" t="str">
        <f>IF(G$102="","",IF(Config!$AA$40&lt;&gt;"Não",IF(COUNTIFS(BD!$B$3:$B$5001,G$102,BD!$A$3:$A$5001,"&gt;="&amp;$C$7,BD!$A$3:$A$5001,"&lt;="&amp;$D$7,BD!$Z$3:$Z$5001,"&lt;&gt;")=0,"",SUMIFS(BD!$Z$3:$Z$5001,BD!$B$3:$B$5001,G$102,BD!$A$3:$A$5001,_xlfn.MAXIFS(BD!$A$3:$A$5001,BD!$B$3:$B$5001,G$102,BD!$A$3:$A$5001,"&gt;="&amp;$C$7,BD!$A$3:$A$5001,"&lt;="&amp;$D$7,BD!$Z$3:$Z$5001,"&lt;&gt;"))),"—"))</f>
        <v/>
      </c>
      <c r="H127" s="42" t="str">
        <f>IF(H$102="","",IF(Config!$AA$41&lt;&gt;"Não",IF(COUNTIFS(BD!$B$3:$B$5001,H$102,BD!$A$3:$A$5001,"&gt;="&amp;$C$7,BD!$A$3:$A$5001,"&lt;="&amp;$D$7,BD!$Z$3:$Z$5001,"&lt;&gt;")=0,"",SUMIFS(BD!$Z$3:$Z$5001,BD!$B$3:$B$5001,H$102,BD!$A$3:$A$5001,_xlfn.MAXIFS(BD!$A$3:$A$5001,BD!$B$3:$B$5001,H$102,BD!$A$3:$A$5001,"&gt;="&amp;$C$7,BD!$A$3:$A$5001,"&lt;="&amp;$D$7,BD!$Z$3:$Z$5001,"&lt;&gt;"))),"—"))</f>
        <v/>
      </c>
      <c r="I127" s="42" t="str">
        <f>IF(I$102="","",IF(Config!$AA$42&lt;&gt;"Não",IF(COUNTIFS(BD!$B$3:$B$5001,I$102,BD!$A$3:$A$5001,"&gt;="&amp;$C$7,BD!$A$3:$A$5001,"&lt;="&amp;$D$7,BD!$Z$3:$Z$5001,"&lt;&gt;")=0,"",SUMIFS(BD!$Z$3:$Z$5001,BD!$B$3:$B$5001,I$102,BD!$A$3:$A$5001,_xlfn.MAXIFS(BD!$A$3:$A$5001,BD!$B$3:$B$5001,I$102,BD!$A$3:$A$5001,"&gt;="&amp;$C$7,BD!$A$3:$A$5001,"&lt;="&amp;$D$7,BD!$Z$3:$Z$5001,"&lt;&gt;"))),"—"))</f>
        <v/>
      </c>
      <c r="J127" s="42" t="str">
        <f>IF(J$102="","",IF(Config!$AA$43&lt;&gt;"Não",IF(COUNTIFS(BD!$B$3:$B$5001,J$102,BD!$A$3:$A$5001,"&gt;="&amp;$C$7,BD!$A$3:$A$5001,"&lt;="&amp;$D$7,BD!$Z$3:$Z$5001,"&lt;&gt;")=0,"",SUMIFS(BD!$Z$3:$Z$5001,BD!$B$3:$B$5001,J$102,BD!$A$3:$A$5001,_xlfn.MAXIFS(BD!$A$3:$A$5001,BD!$B$3:$B$5001,J$102,BD!$A$3:$A$5001,"&gt;="&amp;$C$7,BD!$A$3:$A$5001,"&lt;="&amp;$D$7,BD!$Z$3:$Z$5001,"&lt;&gt;"))),"—"))</f>
        <v/>
      </c>
      <c r="K127" s="42" t="str">
        <f>IF(K$102="","",IF(Config!$AA$44&lt;&gt;"Não",IF(COUNTIFS(BD!$B$3:$B$5001,K$102,BD!$A$3:$A$5001,"&gt;="&amp;$C$7,BD!$A$3:$A$5001,"&lt;="&amp;$D$7,BD!$Z$3:$Z$5001,"&lt;&gt;")=0,"",SUMIFS(BD!$Z$3:$Z$5001,BD!$B$3:$B$5001,K$102,BD!$A$3:$A$5001,_xlfn.MAXIFS(BD!$A$3:$A$5001,BD!$B$3:$B$5001,K$102,BD!$A$3:$A$5001,"&gt;="&amp;$C$7,BD!$A$3:$A$5001,"&lt;="&amp;$D$7,BD!$Z$3:$Z$5001,"&lt;&gt;"))),"—"))</f>
        <v/>
      </c>
      <c r="L127" s="42" t="str">
        <f>IF(L$102="","",IF(Config!$AA$45&lt;&gt;"Não",IF(COUNTIFS(BD!$B$3:$B$5001,L$102,BD!$A$3:$A$5001,"&gt;="&amp;$C$7,BD!$A$3:$A$5001,"&lt;="&amp;$D$7,BD!$Z$3:$Z$5001,"&lt;&gt;")=0,"",SUMIFS(BD!$Z$3:$Z$5001,BD!$B$3:$B$5001,L$102,BD!$A$3:$A$5001,_xlfn.MAXIFS(BD!$A$3:$A$5001,BD!$B$3:$B$5001,L$102,BD!$A$3:$A$5001,"&gt;="&amp;$C$7,BD!$A$3:$A$5001,"&lt;="&amp;$D$7,BD!$Z$3:$Z$5001,"&lt;&gt;"))),"—"))</f>
        <v/>
      </c>
      <c r="M127" s="42" t="str">
        <f>IF(M$102="","",IF(Config!$AA$46&lt;&gt;"Não",IF(COUNTIFS(BD!$B$3:$B$5001,M$102,BD!$A$3:$A$5001,"&gt;="&amp;$C$7,BD!$A$3:$A$5001,"&lt;="&amp;$D$7,BD!$Z$3:$Z$5001,"&lt;&gt;")=0,"",SUMIFS(BD!$Z$3:$Z$5001,BD!$B$3:$B$5001,M$102,BD!$A$3:$A$5001,_xlfn.MAXIFS(BD!$A$3:$A$5001,BD!$B$3:$B$5001,M$102,BD!$A$3:$A$5001,"&gt;="&amp;$C$7,BD!$A$3:$A$5001,"&lt;="&amp;$D$7,BD!$Z$3:$Z$5001,"&lt;&gt;"))),"—"))</f>
        <v/>
      </c>
      <c r="N127" s="42" t="str">
        <f>IF(N$102="","",IF(Config!$AA$47&lt;&gt;"Não",IF(COUNTIFS(BD!$B$3:$B$5001,N$102,BD!$A$3:$A$5001,"&gt;="&amp;$C$7,BD!$A$3:$A$5001,"&lt;="&amp;$D$7,BD!$Z$3:$Z$5001,"&lt;&gt;")=0,"",SUMIFS(BD!$Z$3:$Z$5001,BD!$B$3:$B$5001,N$102,BD!$A$3:$A$5001,_xlfn.MAXIFS(BD!$A$3:$A$5001,BD!$B$3:$B$5001,N$102,BD!$A$3:$A$5001,"&gt;="&amp;$C$7,BD!$A$3:$A$5001,"&lt;="&amp;$D$7,BD!$Z$3:$Z$5001,"&lt;&gt;"))),"—"))</f>
        <v/>
      </c>
      <c r="O127" s="42" t="str">
        <f>IF(O$102="","",IF(Config!$AA$48&lt;&gt;"Não",IF(COUNTIFS(BD!$B$3:$B$5001,O$102,BD!$A$3:$A$5001,"&gt;="&amp;$C$7,BD!$A$3:$A$5001,"&lt;="&amp;$D$7,BD!$Z$3:$Z$5001,"&lt;&gt;")=0,"",SUMIFS(BD!$Z$3:$Z$5001,BD!$B$3:$B$5001,O$102,BD!$A$3:$A$5001,_xlfn.MAXIFS(BD!$A$3:$A$5001,BD!$B$3:$B$5001,O$102,BD!$A$3:$A$5001,"&gt;="&amp;$C$7,BD!$A$3:$A$5001,"&lt;="&amp;$D$7,BD!$Z$3:$Z$5001,"&lt;&gt;"))),"—"))</f>
        <v/>
      </c>
      <c r="P127" s="42" t="str">
        <f>IF(P$102="","",IF(Config!$AA$49&lt;&gt;"Não",IF(COUNTIFS(BD!$B$3:$B$5001,P$102,BD!$A$3:$A$5001,"&gt;="&amp;$C$7,BD!$A$3:$A$5001,"&lt;="&amp;$D$7,BD!$Z$3:$Z$5001,"&lt;&gt;")=0,"",SUMIFS(BD!$Z$3:$Z$5001,BD!$B$3:$B$5001,P$102,BD!$A$3:$A$5001,_xlfn.MAXIFS(BD!$A$3:$A$5001,BD!$B$3:$B$5001,P$102,BD!$A$3:$A$5001,"&gt;="&amp;$C$7,BD!$A$3:$A$5001,"&lt;="&amp;$D$7,BD!$Z$3:$Z$5001,"&lt;&gt;"))),"—"))</f>
        <v/>
      </c>
      <c r="Q127" s="42" t="str">
        <f>IF(Q$102="","",IF(Config!$AA$50&lt;&gt;"Não",IF(COUNTIFS(BD!$B$3:$B$5001,Q$102,BD!$A$3:$A$5001,"&gt;="&amp;$C$7,BD!$A$3:$A$5001,"&lt;="&amp;$D$7,BD!$Z$3:$Z$5001,"&lt;&gt;")=0,"",SUMIFS(BD!$Z$3:$Z$5001,BD!$B$3:$B$5001,Q$102,BD!$A$3:$A$5001,_xlfn.MAXIFS(BD!$A$3:$A$5001,BD!$B$3:$B$5001,Q$102,BD!$A$3:$A$5001,"&gt;="&amp;$C$7,BD!$A$3:$A$5001,"&lt;="&amp;$D$7,BD!$Z$3:$Z$5001,"&lt;&gt;"))),"—"))</f>
        <v/>
      </c>
      <c r="R127" s="42" t="str">
        <f>IF(R$102="","",IF(Config!$AA$51&lt;&gt;"Não",IF(COUNTIFS(BD!$B$3:$B$5001,R$102,BD!$A$3:$A$5001,"&gt;="&amp;$C$7,BD!$A$3:$A$5001,"&lt;="&amp;$D$7,BD!$Z$3:$Z$5001,"&lt;&gt;")=0,"",SUMIFS(BD!$Z$3:$Z$5001,BD!$B$3:$B$5001,R$102,BD!$A$3:$A$5001,_xlfn.MAXIFS(BD!$A$3:$A$5001,BD!$B$3:$B$5001,R$102,BD!$A$3:$A$5001,"&gt;="&amp;$C$7,BD!$A$3:$A$5001,"&lt;="&amp;$D$7,BD!$Z$3:$Z$5001,"&lt;&gt;"))),"—"))</f>
        <v/>
      </c>
      <c r="S127" s="42" t="str">
        <f>IF(S$102="","",IF(Config!$AA$52&lt;&gt;"Não",IF(COUNTIFS(BD!$B$3:$B$5001,S$102,BD!$A$3:$A$5001,"&gt;="&amp;$C$7,BD!$A$3:$A$5001,"&lt;="&amp;$D$7,BD!$Z$3:$Z$5001,"&lt;&gt;")=0,"",SUMIFS(BD!$Z$3:$Z$5001,BD!$B$3:$B$5001,S$102,BD!$A$3:$A$5001,_xlfn.MAXIFS(BD!$A$3:$A$5001,BD!$B$3:$B$5001,S$102,BD!$A$3:$A$5001,"&gt;="&amp;$C$7,BD!$A$3:$A$5001,"&lt;="&amp;$D$7,BD!$Z$3:$Z$5001,"&lt;&gt;"))),"—"))</f>
        <v/>
      </c>
      <c r="T127" s="42" t="str">
        <f>IF(T$102="","",IF(Config!$AA$53&lt;&gt;"Não",IF(COUNTIFS(BD!$B$3:$B$5001,T$102,BD!$A$3:$A$5001,"&gt;="&amp;$C$7,BD!$A$3:$A$5001,"&lt;="&amp;$D$7,BD!$Z$3:$Z$5001,"&lt;&gt;")=0,"",SUMIFS(BD!$Z$3:$Z$5001,BD!$B$3:$B$5001,T$102,BD!$A$3:$A$5001,_xlfn.MAXIFS(BD!$A$3:$A$5001,BD!$B$3:$B$5001,T$102,BD!$A$3:$A$5001,"&gt;="&amp;$C$7,BD!$A$3:$A$5001,"&lt;="&amp;$D$7,BD!$Z$3:$Z$5001,"&lt;&gt;"))),"—"))</f>
        <v/>
      </c>
      <c r="U127" s="42" t="str">
        <f>IF(U$102="","",IF(Config!$AA$54&lt;&gt;"Não",IF(COUNTIFS(BD!$B$3:$B$5001,U$102,BD!$A$3:$A$5001,"&gt;="&amp;$C$7,BD!$A$3:$A$5001,"&lt;="&amp;$D$7,BD!$Z$3:$Z$5001,"&lt;&gt;")=0,"",SUMIFS(BD!$Z$3:$Z$5001,BD!$B$3:$B$5001,U$102,BD!$A$3:$A$5001,_xlfn.MAXIFS(BD!$A$3:$A$5001,BD!$B$3:$B$5001,U$102,BD!$A$3:$A$5001,"&gt;="&amp;$C$7,BD!$A$3:$A$5001,"&lt;="&amp;$D$7,BD!$Z$3:$Z$5001,"&lt;&gt;"))),"—"))</f>
        <v/>
      </c>
      <c r="V127" s="73">
        <f>SUM(B127:U127)</f>
        <v>0</v>
      </c>
    </row>
    <row r="128">
      <c r="A128" s="40" t="inlineStr">
        <is>
          <t xml:space="preserve">GENTE · Falta</t>
        </is>
      </c>
      <c r="B128" s="42">
        <f>IF(B$102="","",IF(Config!$AB$35&lt;&gt;"Não",SUMIFS(BD!$AA$3:$AA$5001,BD!$B$3:$B$5001,B$102,BD!$A$3:$A$5001,"&gt;="&amp;$C$7,BD!$A$3:$A$5001,"&lt;="&amp;$D$7),"—"))</f>
        <v>0</v>
      </c>
      <c r="C128" s="42">
        <f>IF(C$102="","",IF(Config!$AB$36&lt;&gt;"Não",SUMIFS(BD!$AA$3:$AA$5001,BD!$B$3:$B$5001,C$102,BD!$A$3:$A$5001,"&gt;="&amp;$C$7,BD!$A$3:$A$5001,"&lt;="&amp;$D$7),"—"))</f>
        <v>0</v>
      </c>
      <c r="D128" s="42">
        <f>IF(D$102="","",IF(Config!$AB$37&lt;&gt;"Não",SUMIFS(BD!$AA$3:$AA$5001,BD!$B$3:$B$5001,D$102,BD!$A$3:$A$5001,"&gt;="&amp;$C$7,BD!$A$3:$A$5001,"&lt;="&amp;$D$7),"—"))</f>
        <v>0</v>
      </c>
      <c r="E128" s="42">
        <f>IF(E$102="","",IF(Config!$AB$38&lt;&gt;"Não",SUMIFS(BD!$AA$3:$AA$5001,BD!$B$3:$B$5001,E$102,BD!$A$3:$A$5001,"&gt;="&amp;$C$7,BD!$A$3:$A$5001,"&lt;="&amp;$D$7),"—"))</f>
        <v>0</v>
      </c>
      <c r="F128" s="42">
        <f>IF(F$102="","",IF(Config!$AB$39&lt;&gt;"Não",SUMIFS(BD!$AA$3:$AA$5001,BD!$B$3:$B$5001,F$102,BD!$A$3:$A$5001,"&gt;="&amp;$C$7,BD!$A$3:$A$5001,"&lt;="&amp;$D$7),"—"))</f>
        <v>0</v>
      </c>
      <c r="G128" s="42">
        <f>IF(G$102="","",IF(Config!$AB$40&lt;&gt;"Não",SUMIFS(BD!$AA$3:$AA$5001,BD!$B$3:$B$5001,G$102,BD!$A$3:$A$5001,"&gt;="&amp;$C$7,BD!$A$3:$A$5001,"&lt;="&amp;$D$7),"—"))</f>
        <v>0</v>
      </c>
      <c r="H128" s="42">
        <f>IF(H$102="","",IF(Config!$AB$41&lt;&gt;"Não",SUMIFS(BD!$AA$3:$AA$5001,BD!$B$3:$B$5001,H$102,BD!$A$3:$A$5001,"&gt;="&amp;$C$7,BD!$A$3:$A$5001,"&lt;="&amp;$D$7),"—"))</f>
        <v>0</v>
      </c>
      <c r="I128" s="42">
        <f>IF(I$102="","",IF(Config!$AB$42&lt;&gt;"Não",SUMIFS(BD!$AA$3:$AA$5001,BD!$B$3:$B$5001,I$102,BD!$A$3:$A$5001,"&gt;="&amp;$C$7,BD!$A$3:$A$5001,"&lt;="&amp;$D$7),"—"))</f>
        <v>0</v>
      </c>
      <c r="J128" s="42">
        <f>IF(J$102="","",IF(Config!$AB$43&lt;&gt;"Não",SUMIFS(BD!$AA$3:$AA$5001,BD!$B$3:$B$5001,J$102,BD!$A$3:$A$5001,"&gt;="&amp;$C$7,BD!$A$3:$A$5001,"&lt;="&amp;$D$7),"—"))</f>
        <v>0</v>
      </c>
      <c r="K128" s="42">
        <f>IF(K$102="","",IF(Config!$AB$44&lt;&gt;"Não",SUMIFS(BD!$AA$3:$AA$5001,BD!$B$3:$B$5001,K$102,BD!$A$3:$A$5001,"&gt;="&amp;$C$7,BD!$A$3:$A$5001,"&lt;="&amp;$D$7),"—"))</f>
        <v>0</v>
      </c>
      <c r="L128" s="42" t="str">
        <f>IF(L$102="","",IF(Config!$AB$45&lt;&gt;"Não",SUMIFS(BD!$AA$3:$AA$5001,BD!$B$3:$B$5001,L$102,BD!$A$3:$A$5001,"&gt;="&amp;$C$7,BD!$A$3:$A$5001,"&lt;="&amp;$D$7),"—"))</f>
        <v/>
      </c>
      <c r="M128" s="42" t="str">
        <f>IF(M$102="","",IF(Config!$AB$46&lt;&gt;"Não",SUMIFS(BD!$AA$3:$AA$5001,BD!$B$3:$B$5001,M$102,BD!$A$3:$A$5001,"&gt;="&amp;$C$7,BD!$A$3:$A$5001,"&lt;="&amp;$D$7),"—"))</f>
        <v/>
      </c>
      <c r="N128" s="42" t="str">
        <f>IF(N$102="","",IF(Config!$AB$47&lt;&gt;"Não",SUMIFS(BD!$AA$3:$AA$5001,BD!$B$3:$B$5001,N$102,BD!$A$3:$A$5001,"&gt;="&amp;$C$7,BD!$A$3:$A$5001,"&lt;="&amp;$D$7),"—"))</f>
        <v/>
      </c>
      <c r="O128" s="42" t="str">
        <f>IF(O$102="","",IF(Config!$AB$48&lt;&gt;"Não",SUMIFS(BD!$AA$3:$AA$5001,BD!$B$3:$B$5001,O$102,BD!$A$3:$A$5001,"&gt;="&amp;$C$7,BD!$A$3:$A$5001,"&lt;="&amp;$D$7),"—"))</f>
        <v/>
      </c>
      <c r="P128" s="42" t="str">
        <f>IF(P$102="","",IF(Config!$AB$49&lt;&gt;"Não",SUMIFS(BD!$AA$3:$AA$5001,BD!$B$3:$B$5001,P$102,BD!$A$3:$A$5001,"&gt;="&amp;$C$7,BD!$A$3:$A$5001,"&lt;="&amp;$D$7),"—"))</f>
        <v/>
      </c>
      <c r="Q128" s="42" t="str">
        <f>IF(Q$102="","",IF(Config!$AB$50&lt;&gt;"Não",SUMIFS(BD!$AA$3:$AA$5001,BD!$B$3:$B$5001,Q$102,BD!$A$3:$A$5001,"&gt;="&amp;$C$7,BD!$A$3:$A$5001,"&lt;="&amp;$D$7),"—"))</f>
        <v/>
      </c>
      <c r="R128" s="42" t="str">
        <f>IF(R$102="","",IF(Config!$AB$51&lt;&gt;"Não",SUMIFS(BD!$AA$3:$AA$5001,BD!$B$3:$B$5001,R$102,BD!$A$3:$A$5001,"&gt;="&amp;$C$7,BD!$A$3:$A$5001,"&lt;="&amp;$D$7),"—"))</f>
        <v/>
      </c>
      <c r="S128" s="42" t="str">
        <f>IF(S$102="","",IF(Config!$AB$52&lt;&gt;"Não",SUMIFS(BD!$AA$3:$AA$5001,BD!$B$3:$B$5001,S$102,BD!$A$3:$A$5001,"&gt;="&amp;$C$7,BD!$A$3:$A$5001,"&lt;="&amp;$D$7),"—"))</f>
        <v/>
      </c>
      <c r="T128" s="42" t="str">
        <f>IF(T$102="","",IF(Config!$AB$53&lt;&gt;"Não",SUMIFS(BD!$AA$3:$AA$5001,BD!$B$3:$B$5001,T$102,BD!$A$3:$A$5001,"&gt;="&amp;$C$7,BD!$A$3:$A$5001,"&lt;="&amp;$D$7),"—"))</f>
        <v/>
      </c>
      <c r="U128" s="42" t="str">
        <f>IF(U$102="","",IF(Config!$AB$54&lt;&gt;"Não",SUMIFS(BD!$AA$3:$AA$5001,BD!$B$3:$B$5001,U$102,BD!$A$3:$A$5001,"&gt;="&amp;$C$7,BD!$A$3:$A$5001,"&lt;="&amp;$D$7),"—"))</f>
        <v/>
      </c>
      <c r="V128" s="73">
        <f>SUM(B128:U128)</f>
        <v>0</v>
      </c>
    </row>
    <row r="129">
      <c r="A129" s="40" t="inlineStr">
        <is>
          <t xml:space="preserve">GENTE · Absenteísmo (H/H)</t>
        </is>
      </c>
      <c r="B129" s="72">
        <f>IF(B$102="","",IF(Config!$AC$35&lt;&gt;"Não",SUMIFS(BD!$AB$3:$AB$5001,BD!$B$3:$B$5001,B$102,BD!$A$3:$A$5001,"&gt;="&amp;$C$7,BD!$A$3:$A$5001,"&lt;="&amp;$D$7),"—"))</f>
        <v>0</v>
      </c>
      <c r="C129" s="72">
        <f>IF(C$102="","",IF(Config!$AC$36&lt;&gt;"Não",SUMIFS(BD!$AB$3:$AB$5001,BD!$B$3:$B$5001,C$102,BD!$A$3:$A$5001,"&gt;="&amp;$C$7,BD!$A$3:$A$5001,"&lt;="&amp;$D$7),"—"))</f>
        <v>0</v>
      </c>
      <c r="D129" s="72">
        <f>IF(D$102="","",IF(Config!$AC$37&lt;&gt;"Não",SUMIFS(BD!$AB$3:$AB$5001,BD!$B$3:$B$5001,D$102,BD!$A$3:$A$5001,"&gt;="&amp;$C$7,BD!$A$3:$A$5001,"&lt;="&amp;$D$7),"—"))</f>
        <v>0</v>
      </c>
      <c r="E129" s="72">
        <f>IF(E$102="","",IF(Config!$AC$38&lt;&gt;"Não",SUMIFS(BD!$AB$3:$AB$5001,BD!$B$3:$B$5001,E$102,BD!$A$3:$A$5001,"&gt;="&amp;$C$7,BD!$A$3:$A$5001,"&lt;="&amp;$D$7),"—"))</f>
        <v>0</v>
      </c>
      <c r="F129" s="72">
        <f>IF(F$102="","",IF(Config!$AC$39&lt;&gt;"Não",SUMIFS(BD!$AB$3:$AB$5001,BD!$B$3:$B$5001,F$102,BD!$A$3:$A$5001,"&gt;="&amp;$C$7,BD!$A$3:$A$5001,"&lt;="&amp;$D$7),"—"))</f>
        <v>0</v>
      </c>
      <c r="G129" s="72">
        <f>IF(G$102="","",IF(Config!$AC$40&lt;&gt;"Não",SUMIFS(BD!$AB$3:$AB$5001,BD!$B$3:$B$5001,G$102,BD!$A$3:$A$5001,"&gt;="&amp;$C$7,BD!$A$3:$A$5001,"&lt;="&amp;$D$7),"—"))</f>
        <v>0</v>
      </c>
      <c r="H129" s="72">
        <f>IF(H$102="","",IF(Config!$AC$41&lt;&gt;"Não",SUMIFS(BD!$AB$3:$AB$5001,BD!$B$3:$B$5001,H$102,BD!$A$3:$A$5001,"&gt;="&amp;$C$7,BD!$A$3:$A$5001,"&lt;="&amp;$D$7),"—"))</f>
        <v>0</v>
      </c>
      <c r="I129" s="72">
        <f>IF(I$102="","",IF(Config!$AC$42&lt;&gt;"Não",SUMIFS(BD!$AB$3:$AB$5001,BD!$B$3:$B$5001,I$102,BD!$A$3:$A$5001,"&gt;="&amp;$C$7,BD!$A$3:$A$5001,"&lt;="&amp;$D$7),"—"))</f>
        <v>0</v>
      </c>
      <c r="J129" s="72">
        <f>IF(J$102="","",IF(Config!$AC$43&lt;&gt;"Não",SUMIFS(BD!$AB$3:$AB$5001,BD!$B$3:$B$5001,J$102,BD!$A$3:$A$5001,"&gt;="&amp;$C$7,BD!$A$3:$A$5001,"&lt;="&amp;$D$7),"—"))</f>
        <v>0</v>
      </c>
      <c r="K129" s="72">
        <f>IF(K$102="","",IF(Config!$AC$44&lt;&gt;"Não",SUMIFS(BD!$AB$3:$AB$5001,BD!$B$3:$B$5001,K$102,BD!$A$3:$A$5001,"&gt;="&amp;$C$7,BD!$A$3:$A$5001,"&lt;="&amp;$D$7),"—"))</f>
        <v>0</v>
      </c>
      <c r="L129" s="72" t="str">
        <f>IF(L$102="","",IF(Config!$AC$45&lt;&gt;"Não",SUMIFS(BD!$AB$3:$AB$5001,BD!$B$3:$B$5001,L$102,BD!$A$3:$A$5001,"&gt;="&amp;$C$7,BD!$A$3:$A$5001,"&lt;="&amp;$D$7),"—"))</f>
        <v/>
      </c>
      <c r="M129" s="72" t="str">
        <f>IF(M$102="","",IF(Config!$AC$46&lt;&gt;"Não",SUMIFS(BD!$AB$3:$AB$5001,BD!$B$3:$B$5001,M$102,BD!$A$3:$A$5001,"&gt;="&amp;$C$7,BD!$A$3:$A$5001,"&lt;="&amp;$D$7),"—"))</f>
        <v/>
      </c>
      <c r="N129" s="72" t="str">
        <f>IF(N$102="","",IF(Config!$AC$47&lt;&gt;"Não",SUMIFS(BD!$AB$3:$AB$5001,BD!$B$3:$B$5001,N$102,BD!$A$3:$A$5001,"&gt;="&amp;$C$7,BD!$A$3:$A$5001,"&lt;="&amp;$D$7),"—"))</f>
        <v/>
      </c>
      <c r="O129" s="72" t="str">
        <f>IF(O$102="","",IF(Config!$AC$48&lt;&gt;"Não",SUMIFS(BD!$AB$3:$AB$5001,BD!$B$3:$B$5001,O$102,BD!$A$3:$A$5001,"&gt;="&amp;$C$7,BD!$A$3:$A$5001,"&lt;="&amp;$D$7),"—"))</f>
        <v/>
      </c>
      <c r="P129" s="72" t="str">
        <f>IF(P$102="","",IF(Config!$AC$49&lt;&gt;"Não",SUMIFS(BD!$AB$3:$AB$5001,BD!$B$3:$B$5001,P$102,BD!$A$3:$A$5001,"&gt;="&amp;$C$7,BD!$A$3:$A$5001,"&lt;="&amp;$D$7),"—"))</f>
        <v/>
      </c>
      <c r="Q129" s="72" t="str">
        <f>IF(Q$102="","",IF(Config!$AC$50&lt;&gt;"Não",SUMIFS(BD!$AB$3:$AB$5001,BD!$B$3:$B$5001,Q$102,BD!$A$3:$A$5001,"&gt;="&amp;$C$7,BD!$A$3:$A$5001,"&lt;="&amp;$D$7),"—"))</f>
        <v/>
      </c>
      <c r="R129" s="72" t="str">
        <f>IF(R$102="","",IF(Config!$AC$51&lt;&gt;"Não",SUMIFS(BD!$AB$3:$AB$5001,BD!$B$3:$B$5001,R$102,BD!$A$3:$A$5001,"&gt;="&amp;$C$7,BD!$A$3:$A$5001,"&lt;="&amp;$D$7),"—"))</f>
        <v/>
      </c>
      <c r="S129" s="72" t="str">
        <f>IF(S$102="","",IF(Config!$AC$52&lt;&gt;"Não",SUMIFS(BD!$AB$3:$AB$5001,BD!$B$3:$B$5001,S$102,BD!$A$3:$A$5001,"&gt;="&amp;$C$7,BD!$A$3:$A$5001,"&lt;="&amp;$D$7),"—"))</f>
        <v/>
      </c>
      <c r="T129" s="72" t="str">
        <f>IF(T$102="","",IF(Config!$AC$53&lt;&gt;"Não",SUMIFS(BD!$AB$3:$AB$5001,BD!$B$3:$B$5001,T$102,BD!$A$3:$A$5001,"&gt;="&amp;$C$7,BD!$A$3:$A$5001,"&lt;="&amp;$D$7),"—"))</f>
        <v/>
      </c>
      <c r="U129" s="72" t="str">
        <f>IF(U$102="","",IF(Config!$AC$54&lt;&gt;"Não",SUMIFS(BD!$AB$3:$AB$5001,BD!$B$3:$B$5001,U$102,BD!$A$3:$A$5001,"&gt;="&amp;$C$7,BD!$A$3:$A$5001,"&lt;="&amp;$D$7),"—"))</f>
        <v/>
      </c>
      <c r="V129" s="74">
        <f>SUM(B129:U129)</f>
        <v>0</v>
      </c>
    </row>
    <row r="130">
      <c r="A130" s="40" t="inlineStr">
        <is>
          <t xml:space="preserve">GENTE · Folga</t>
        </is>
      </c>
      <c r="B130" s="42">
        <f>IF(B$102="","",IF(Config!$AD$35&lt;&gt;"Não",SUMIFS(BD!$AC$3:$AC$5001,BD!$B$3:$B$5001,B$102,BD!$A$3:$A$5001,"&gt;="&amp;$C$7,BD!$A$3:$A$5001,"&lt;="&amp;$D$7),"—"))</f>
        <v>0</v>
      </c>
      <c r="C130" s="42">
        <f>IF(C$102="","",IF(Config!$AD$36&lt;&gt;"Não",SUMIFS(BD!$AC$3:$AC$5001,BD!$B$3:$B$5001,C$102,BD!$A$3:$A$5001,"&gt;="&amp;$C$7,BD!$A$3:$A$5001,"&lt;="&amp;$D$7),"—"))</f>
        <v>0</v>
      </c>
      <c r="D130" s="42">
        <f>IF(D$102="","",IF(Config!$AD$37&lt;&gt;"Não",SUMIFS(BD!$AC$3:$AC$5001,BD!$B$3:$B$5001,D$102,BD!$A$3:$A$5001,"&gt;="&amp;$C$7,BD!$A$3:$A$5001,"&lt;="&amp;$D$7),"—"))</f>
        <v>0</v>
      </c>
      <c r="E130" s="42">
        <f>IF(E$102="","",IF(Config!$AD$38&lt;&gt;"Não",SUMIFS(BD!$AC$3:$AC$5001,BD!$B$3:$B$5001,E$102,BD!$A$3:$A$5001,"&gt;="&amp;$C$7,BD!$A$3:$A$5001,"&lt;="&amp;$D$7),"—"))</f>
        <v>0</v>
      </c>
      <c r="F130" s="42">
        <f>IF(F$102="","",IF(Config!$AD$39&lt;&gt;"Não",SUMIFS(BD!$AC$3:$AC$5001,BD!$B$3:$B$5001,F$102,BD!$A$3:$A$5001,"&gt;="&amp;$C$7,BD!$A$3:$A$5001,"&lt;="&amp;$D$7),"—"))</f>
        <v>0</v>
      </c>
      <c r="G130" s="42">
        <f>IF(G$102="","",IF(Config!$AD$40&lt;&gt;"Não",SUMIFS(BD!$AC$3:$AC$5001,BD!$B$3:$B$5001,G$102,BD!$A$3:$A$5001,"&gt;="&amp;$C$7,BD!$A$3:$A$5001,"&lt;="&amp;$D$7),"—"))</f>
        <v>0</v>
      </c>
      <c r="H130" s="42">
        <f>IF(H$102="","",IF(Config!$AD$41&lt;&gt;"Não",SUMIFS(BD!$AC$3:$AC$5001,BD!$B$3:$B$5001,H$102,BD!$A$3:$A$5001,"&gt;="&amp;$C$7,BD!$A$3:$A$5001,"&lt;="&amp;$D$7),"—"))</f>
        <v>0</v>
      </c>
      <c r="I130" s="42">
        <f>IF(I$102="","",IF(Config!$AD$42&lt;&gt;"Não",SUMIFS(BD!$AC$3:$AC$5001,BD!$B$3:$B$5001,I$102,BD!$A$3:$A$5001,"&gt;="&amp;$C$7,BD!$A$3:$A$5001,"&lt;="&amp;$D$7),"—"))</f>
        <v>0</v>
      </c>
      <c r="J130" s="42">
        <f>IF(J$102="","",IF(Config!$AD$43&lt;&gt;"Não",SUMIFS(BD!$AC$3:$AC$5001,BD!$B$3:$B$5001,J$102,BD!$A$3:$A$5001,"&gt;="&amp;$C$7,BD!$A$3:$A$5001,"&lt;="&amp;$D$7),"—"))</f>
        <v>0</v>
      </c>
      <c r="K130" s="42">
        <f>IF(K$102="","",IF(Config!$AD$44&lt;&gt;"Não",SUMIFS(BD!$AC$3:$AC$5001,BD!$B$3:$B$5001,K$102,BD!$A$3:$A$5001,"&gt;="&amp;$C$7,BD!$A$3:$A$5001,"&lt;="&amp;$D$7),"—"))</f>
        <v>0</v>
      </c>
      <c r="L130" s="42" t="str">
        <f>IF(L$102="","",IF(Config!$AD$45&lt;&gt;"Não",SUMIFS(BD!$AC$3:$AC$5001,BD!$B$3:$B$5001,L$102,BD!$A$3:$A$5001,"&gt;="&amp;$C$7,BD!$A$3:$A$5001,"&lt;="&amp;$D$7),"—"))</f>
        <v/>
      </c>
      <c r="M130" s="42" t="str">
        <f>IF(M$102="","",IF(Config!$AD$46&lt;&gt;"Não",SUMIFS(BD!$AC$3:$AC$5001,BD!$B$3:$B$5001,M$102,BD!$A$3:$A$5001,"&gt;="&amp;$C$7,BD!$A$3:$A$5001,"&lt;="&amp;$D$7),"—"))</f>
        <v/>
      </c>
      <c r="N130" s="42" t="str">
        <f>IF(N$102="","",IF(Config!$AD$47&lt;&gt;"Não",SUMIFS(BD!$AC$3:$AC$5001,BD!$B$3:$B$5001,N$102,BD!$A$3:$A$5001,"&gt;="&amp;$C$7,BD!$A$3:$A$5001,"&lt;="&amp;$D$7),"—"))</f>
        <v/>
      </c>
      <c r="O130" s="42" t="str">
        <f>IF(O$102="","",IF(Config!$AD$48&lt;&gt;"Não",SUMIFS(BD!$AC$3:$AC$5001,BD!$B$3:$B$5001,O$102,BD!$A$3:$A$5001,"&gt;="&amp;$C$7,BD!$A$3:$A$5001,"&lt;="&amp;$D$7),"—"))</f>
        <v/>
      </c>
      <c r="P130" s="42" t="str">
        <f>IF(P$102="","",IF(Config!$AD$49&lt;&gt;"Não",SUMIFS(BD!$AC$3:$AC$5001,BD!$B$3:$B$5001,P$102,BD!$A$3:$A$5001,"&gt;="&amp;$C$7,BD!$A$3:$A$5001,"&lt;="&amp;$D$7),"—"))</f>
        <v/>
      </c>
      <c r="Q130" s="42" t="str">
        <f>IF(Q$102="","",IF(Config!$AD$50&lt;&gt;"Não",SUMIFS(BD!$AC$3:$AC$5001,BD!$B$3:$B$5001,Q$102,BD!$A$3:$A$5001,"&gt;="&amp;$C$7,BD!$A$3:$A$5001,"&lt;="&amp;$D$7),"—"))</f>
        <v/>
      </c>
      <c r="R130" s="42" t="str">
        <f>IF(R$102="","",IF(Config!$AD$51&lt;&gt;"Não",SUMIFS(BD!$AC$3:$AC$5001,BD!$B$3:$B$5001,R$102,BD!$A$3:$A$5001,"&gt;="&amp;$C$7,BD!$A$3:$A$5001,"&lt;="&amp;$D$7),"—"))</f>
        <v/>
      </c>
      <c r="S130" s="42" t="str">
        <f>IF(S$102="","",IF(Config!$AD$52&lt;&gt;"Não",SUMIFS(BD!$AC$3:$AC$5001,BD!$B$3:$B$5001,S$102,BD!$A$3:$A$5001,"&gt;="&amp;$C$7,BD!$A$3:$A$5001,"&lt;="&amp;$D$7),"—"))</f>
        <v/>
      </c>
      <c r="T130" s="42" t="str">
        <f>IF(T$102="","",IF(Config!$AD$53&lt;&gt;"Não",SUMIFS(BD!$AC$3:$AC$5001,BD!$B$3:$B$5001,T$102,BD!$A$3:$A$5001,"&gt;="&amp;$C$7,BD!$A$3:$A$5001,"&lt;="&amp;$D$7),"—"))</f>
        <v/>
      </c>
      <c r="U130" s="42" t="str">
        <f>IF(U$102="","",IF(Config!$AD$54&lt;&gt;"Não",SUMIFS(BD!$AC$3:$AC$5001,BD!$B$3:$B$5001,U$102,BD!$A$3:$A$5001,"&gt;="&amp;$C$7,BD!$A$3:$A$5001,"&lt;="&amp;$D$7),"—"))</f>
        <v/>
      </c>
      <c r="V130" s="73">
        <f>SUM(B130:U130)</f>
        <v>0</v>
      </c>
    </row>
    <row r="131">
      <c r="A131" s="40" t="inlineStr">
        <is>
          <t xml:space="preserve">GENTE · Férias</t>
        </is>
      </c>
      <c r="B131" s="42">
        <f>IF(B$102="","",IF(Config!$AE$35&lt;&gt;"Não",SUMIFS(BD!$AD$3:$AD$5001,BD!$B$3:$B$5001,B$102,BD!$A$3:$A$5001,"&gt;="&amp;$C$7,BD!$A$3:$A$5001,"&lt;="&amp;$D$7),"—"))</f>
        <v>0</v>
      </c>
      <c r="C131" s="42">
        <f>IF(C$102="","",IF(Config!$AE$36&lt;&gt;"Não",SUMIFS(BD!$AD$3:$AD$5001,BD!$B$3:$B$5001,C$102,BD!$A$3:$A$5001,"&gt;="&amp;$C$7,BD!$A$3:$A$5001,"&lt;="&amp;$D$7),"—"))</f>
        <v>0</v>
      </c>
      <c r="D131" s="42">
        <f>IF(D$102="","",IF(Config!$AE$37&lt;&gt;"Não",SUMIFS(BD!$AD$3:$AD$5001,BD!$B$3:$B$5001,D$102,BD!$A$3:$A$5001,"&gt;="&amp;$C$7,BD!$A$3:$A$5001,"&lt;="&amp;$D$7),"—"))</f>
        <v>0</v>
      </c>
      <c r="E131" s="42">
        <f>IF(E$102="","",IF(Config!$AE$38&lt;&gt;"Não",SUMIFS(BD!$AD$3:$AD$5001,BD!$B$3:$B$5001,E$102,BD!$A$3:$A$5001,"&gt;="&amp;$C$7,BD!$A$3:$A$5001,"&lt;="&amp;$D$7),"—"))</f>
        <v>0</v>
      </c>
      <c r="F131" s="42">
        <f>IF(F$102="","",IF(Config!$AE$39&lt;&gt;"Não",SUMIFS(BD!$AD$3:$AD$5001,BD!$B$3:$B$5001,F$102,BD!$A$3:$A$5001,"&gt;="&amp;$C$7,BD!$A$3:$A$5001,"&lt;="&amp;$D$7),"—"))</f>
        <v>0</v>
      </c>
      <c r="G131" s="42">
        <f>IF(G$102="","",IF(Config!$AE$40&lt;&gt;"Não",SUMIFS(BD!$AD$3:$AD$5001,BD!$B$3:$B$5001,G$102,BD!$A$3:$A$5001,"&gt;="&amp;$C$7,BD!$A$3:$A$5001,"&lt;="&amp;$D$7),"—"))</f>
        <v>0</v>
      </c>
      <c r="H131" s="42">
        <f>IF(H$102="","",IF(Config!$AE$41&lt;&gt;"Não",SUMIFS(BD!$AD$3:$AD$5001,BD!$B$3:$B$5001,H$102,BD!$A$3:$A$5001,"&gt;="&amp;$C$7,BD!$A$3:$A$5001,"&lt;="&amp;$D$7),"—"))</f>
        <v>0</v>
      </c>
      <c r="I131" s="42">
        <f>IF(I$102="","",IF(Config!$AE$42&lt;&gt;"Não",SUMIFS(BD!$AD$3:$AD$5001,BD!$B$3:$B$5001,I$102,BD!$A$3:$A$5001,"&gt;="&amp;$C$7,BD!$A$3:$A$5001,"&lt;="&amp;$D$7),"—"))</f>
        <v>0</v>
      </c>
      <c r="J131" s="42">
        <f>IF(J$102="","",IF(Config!$AE$43&lt;&gt;"Não",SUMIFS(BD!$AD$3:$AD$5001,BD!$B$3:$B$5001,J$102,BD!$A$3:$A$5001,"&gt;="&amp;$C$7,BD!$A$3:$A$5001,"&lt;="&amp;$D$7),"—"))</f>
        <v>0</v>
      </c>
      <c r="K131" s="42">
        <f>IF(K$102="","",IF(Config!$AE$44&lt;&gt;"Não",SUMIFS(BD!$AD$3:$AD$5001,BD!$B$3:$B$5001,K$102,BD!$A$3:$A$5001,"&gt;="&amp;$C$7,BD!$A$3:$A$5001,"&lt;="&amp;$D$7),"—"))</f>
        <v>0</v>
      </c>
      <c r="L131" s="42" t="str">
        <f>IF(L$102="","",IF(Config!$AE$45&lt;&gt;"Não",SUMIFS(BD!$AD$3:$AD$5001,BD!$B$3:$B$5001,L$102,BD!$A$3:$A$5001,"&gt;="&amp;$C$7,BD!$A$3:$A$5001,"&lt;="&amp;$D$7),"—"))</f>
        <v/>
      </c>
      <c r="M131" s="42" t="str">
        <f>IF(M$102="","",IF(Config!$AE$46&lt;&gt;"Não",SUMIFS(BD!$AD$3:$AD$5001,BD!$B$3:$B$5001,M$102,BD!$A$3:$A$5001,"&gt;="&amp;$C$7,BD!$A$3:$A$5001,"&lt;="&amp;$D$7),"—"))</f>
        <v/>
      </c>
      <c r="N131" s="42" t="str">
        <f>IF(N$102="","",IF(Config!$AE$47&lt;&gt;"Não",SUMIFS(BD!$AD$3:$AD$5001,BD!$B$3:$B$5001,N$102,BD!$A$3:$A$5001,"&gt;="&amp;$C$7,BD!$A$3:$A$5001,"&lt;="&amp;$D$7),"—"))</f>
        <v/>
      </c>
      <c r="O131" s="42" t="str">
        <f>IF(O$102="","",IF(Config!$AE$48&lt;&gt;"Não",SUMIFS(BD!$AD$3:$AD$5001,BD!$B$3:$B$5001,O$102,BD!$A$3:$A$5001,"&gt;="&amp;$C$7,BD!$A$3:$A$5001,"&lt;="&amp;$D$7),"—"))</f>
        <v/>
      </c>
      <c r="P131" s="42" t="str">
        <f>IF(P$102="","",IF(Config!$AE$49&lt;&gt;"Não",SUMIFS(BD!$AD$3:$AD$5001,BD!$B$3:$B$5001,P$102,BD!$A$3:$A$5001,"&gt;="&amp;$C$7,BD!$A$3:$A$5001,"&lt;="&amp;$D$7),"—"))</f>
        <v/>
      </c>
      <c r="Q131" s="42" t="str">
        <f>IF(Q$102="","",IF(Config!$AE$50&lt;&gt;"Não",SUMIFS(BD!$AD$3:$AD$5001,BD!$B$3:$B$5001,Q$102,BD!$A$3:$A$5001,"&gt;="&amp;$C$7,BD!$A$3:$A$5001,"&lt;="&amp;$D$7),"—"))</f>
        <v/>
      </c>
      <c r="R131" s="42" t="str">
        <f>IF(R$102="","",IF(Config!$AE$51&lt;&gt;"Não",SUMIFS(BD!$AD$3:$AD$5001,BD!$B$3:$B$5001,R$102,BD!$A$3:$A$5001,"&gt;="&amp;$C$7,BD!$A$3:$A$5001,"&lt;="&amp;$D$7),"—"))</f>
        <v/>
      </c>
      <c r="S131" s="42" t="str">
        <f>IF(S$102="","",IF(Config!$AE$52&lt;&gt;"Não",SUMIFS(BD!$AD$3:$AD$5001,BD!$B$3:$B$5001,S$102,BD!$A$3:$A$5001,"&gt;="&amp;$C$7,BD!$A$3:$A$5001,"&lt;="&amp;$D$7),"—"))</f>
        <v/>
      </c>
      <c r="T131" s="42" t="str">
        <f>IF(T$102="","",IF(Config!$AE$53&lt;&gt;"Não",SUMIFS(BD!$AD$3:$AD$5001,BD!$B$3:$B$5001,T$102,BD!$A$3:$A$5001,"&gt;="&amp;$C$7,BD!$A$3:$A$5001,"&lt;="&amp;$D$7),"—"))</f>
        <v/>
      </c>
      <c r="U131" s="42" t="str">
        <f>IF(U$102="","",IF(Config!$AE$54&lt;&gt;"Não",SUMIFS(BD!$AD$3:$AD$5001,BD!$B$3:$B$5001,U$102,BD!$A$3:$A$5001,"&gt;="&amp;$C$7,BD!$A$3:$A$5001,"&lt;="&amp;$D$7),"—"))</f>
        <v/>
      </c>
      <c r="V131" s="73">
        <f>SUM(B131:U131)</f>
        <v>0</v>
      </c>
    </row>
    <row r="132">
      <c r="A132" s="40" t="inlineStr">
        <is>
          <t xml:space="preserve">GENTE · Desligamento</t>
        </is>
      </c>
      <c r="B132" s="42">
        <f>IF(B$102="","",IF(Config!$AF$35&lt;&gt;"Não",SUMIFS(BD!$AE$3:$AE$5001,BD!$B$3:$B$5001,B$102,BD!$A$3:$A$5001,"&gt;="&amp;$C$7,BD!$A$3:$A$5001,"&lt;="&amp;$D$7),"—"))</f>
        <v>0</v>
      </c>
      <c r="C132" s="42">
        <f>IF(C$102="","",IF(Config!$AF$36&lt;&gt;"Não",SUMIFS(BD!$AE$3:$AE$5001,BD!$B$3:$B$5001,C$102,BD!$A$3:$A$5001,"&gt;="&amp;$C$7,BD!$A$3:$A$5001,"&lt;="&amp;$D$7),"—"))</f>
        <v>0</v>
      </c>
      <c r="D132" s="42">
        <f>IF(D$102="","",IF(Config!$AF$37&lt;&gt;"Não",SUMIFS(BD!$AE$3:$AE$5001,BD!$B$3:$B$5001,D$102,BD!$A$3:$A$5001,"&gt;="&amp;$C$7,BD!$A$3:$A$5001,"&lt;="&amp;$D$7),"—"))</f>
        <v>0</v>
      </c>
      <c r="E132" s="42">
        <f>IF(E$102="","",IF(Config!$AF$38&lt;&gt;"Não",SUMIFS(BD!$AE$3:$AE$5001,BD!$B$3:$B$5001,E$102,BD!$A$3:$A$5001,"&gt;="&amp;$C$7,BD!$A$3:$A$5001,"&lt;="&amp;$D$7),"—"))</f>
        <v>0</v>
      </c>
      <c r="F132" s="42">
        <f>IF(F$102="","",IF(Config!$AF$39&lt;&gt;"Não",SUMIFS(BD!$AE$3:$AE$5001,BD!$B$3:$B$5001,F$102,BD!$A$3:$A$5001,"&gt;="&amp;$C$7,BD!$A$3:$A$5001,"&lt;="&amp;$D$7),"—"))</f>
        <v>0</v>
      </c>
      <c r="G132" s="42">
        <f>IF(G$102="","",IF(Config!$AF$40&lt;&gt;"Não",SUMIFS(BD!$AE$3:$AE$5001,BD!$B$3:$B$5001,G$102,BD!$A$3:$A$5001,"&gt;="&amp;$C$7,BD!$A$3:$A$5001,"&lt;="&amp;$D$7),"—"))</f>
        <v>0</v>
      </c>
      <c r="H132" s="42">
        <f>IF(H$102="","",IF(Config!$AF$41&lt;&gt;"Não",SUMIFS(BD!$AE$3:$AE$5001,BD!$B$3:$B$5001,H$102,BD!$A$3:$A$5001,"&gt;="&amp;$C$7,BD!$A$3:$A$5001,"&lt;="&amp;$D$7),"—"))</f>
        <v>0</v>
      </c>
      <c r="I132" s="42">
        <f>IF(I$102="","",IF(Config!$AF$42&lt;&gt;"Não",SUMIFS(BD!$AE$3:$AE$5001,BD!$B$3:$B$5001,I$102,BD!$A$3:$A$5001,"&gt;="&amp;$C$7,BD!$A$3:$A$5001,"&lt;="&amp;$D$7),"—"))</f>
        <v>0</v>
      </c>
      <c r="J132" s="42">
        <f>IF(J$102="","",IF(Config!$AF$43&lt;&gt;"Não",SUMIFS(BD!$AE$3:$AE$5001,BD!$B$3:$B$5001,J$102,BD!$A$3:$A$5001,"&gt;="&amp;$C$7,BD!$A$3:$A$5001,"&lt;="&amp;$D$7),"—"))</f>
        <v>0</v>
      </c>
      <c r="K132" s="42">
        <f>IF(K$102="","",IF(Config!$AF$44&lt;&gt;"Não",SUMIFS(BD!$AE$3:$AE$5001,BD!$B$3:$B$5001,K$102,BD!$A$3:$A$5001,"&gt;="&amp;$C$7,BD!$A$3:$A$5001,"&lt;="&amp;$D$7),"—"))</f>
        <v>0</v>
      </c>
      <c r="L132" s="42" t="str">
        <f>IF(L$102="","",IF(Config!$AF$45&lt;&gt;"Não",SUMIFS(BD!$AE$3:$AE$5001,BD!$B$3:$B$5001,L$102,BD!$A$3:$A$5001,"&gt;="&amp;$C$7,BD!$A$3:$A$5001,"&lt;="&amp;$D$7),"—"))</f>
        <v/>
      </c>
      <c r="M132" s="42" t="str">
        <f>IF(M$102="","",IF(Config!$AF$46&lt;&gt;"Não",SUMIFS(BD!$AE$3:$AE$5001,BD!$B$3:$B$5001,M$102,BD!$A$3:$A$5001,"&gt;="&amp;$C$7,BD!$A$3:$A$5001,"&lt;="&amp;$D$7),"—"))</f>
        <v/>
      </c>
      <c r="N132" s="42" t="str">
        <f>IF(N$102="","",IF(Config!$AF$47&lt;&gt;"Não",SUMIFS(BD!$AE$3:$AE$5001,BD!$B$3:$B$5001,N$102,BD!$A$3:$A$5001,"&gt;="&amp;$C$7,BD!$A$3:$A$5001,"&lt;="&amp;$D$7),"—"))</f>
        <v/>
      </c>
      <c r="O132" s="42" t="str">
        <f>IF(O$102="","",IF(Config!$AF$48&lt;&gt;"Não",SUMIFS(BD!$AE$3:$AE$5001,BD!$B$3:$B$5001,O$102,BD!$A$3:$A$5001,"&gt;="&amp;$C$7,BD!$A$3:$A$5001,"&lt;="&amp;$D$7),"—"))</f>
        <v/>
      </c>
      <c r="P132" s="42" t="str">
        <f>IF(P$102="","",IF(Config!$AF$49&lt;&gt;"Não",SUMIFS(BD!$AE$3:$AE$5001,BD!$B$3:$B$5001,P$102,BD!$A$3:$A$5001,"&gt;="&amp;$C$7,BD!$A$3:$A$5001,"&lt;="&amp;$D$7),"—"))</f>
        <v/>
      </c>
      <c r="Q132" s="42" t="str">
        <f>IF(Q$102="","",IF(Config!$AF$50&lt;&gt;"Não",SUMIFS(BD!$AE$3:$AE$5001,BD!$B$3:$B$5001,Q$102,BD!$A$3:$A$5001,"&gt;="&amp;$C$7,BD!$A$3:$A$5001,"&lt;="&amp;$D$7),"—"))</f>
        <v/>
      </c>
      <c r="R132" s="42" t="str">
        <f>IF(R$102="","",IF(Config!$AF$51&lt;&gt;"Não",SUMIFS(BD!$AE$3:$AE$5001,BD!$B$3:$B$5001,R$102,BD!$A$3:$A$5001,"&gt;="&amp;$C$7,BD!$A$3:$A$5001,"&lt;="&amp;$D$7),"—"))</f>
        <v/>
      </c>
      <c r="S132" s="42" t="str">
        <f>IF(S$102="","",IF(Config!$AF$52&lt;&gt;"Não",SUMIFS(BD!$AE$3:$AE$5001,BD!$B$3:$B$5001,S$102,BD!$A$3:$A$5001,"&gt;="&amp;$C$7,BD!$A$3:$A$5001,"&lt;="&amp;$D$7),"—"))</f>
        <v/>
      </c>
      <c r="T132" s="42" t="str">
        <f>IF(T$102="","",IF(Config!$AF$53&lt;&gt;"Não",SUMIFS(BD!$AE$3:$AE$5001,BD!$B$3:$B$5001,T$102,BD!$A$3:$A$5001,"&gt;="&amp;$C$7,BD!$A$3:$A$5001,"&lt;="&amp;$D$7),"—"))</f>
        <v/>
      </c>
      <c r="U132" s="42" t="str">
        <f>IF(U$102="","",IF(Config!$AF$54&lt;&gt;"Não",SUMIFS(BD!$AE$3:$AE$5001,BD!$B$3:$B$5001,U$102,BD!$A$3:$A$5001,"&gt;="&amp;$C$7,BD!$A$3:$A$5001,"&lt;="&amp;$D$7),"—"))</f>
        <v/>
      </c>
      <c r="V132" s="73">
        <f>SUM(B132:U132)</f>
        <v>0</v>
      </c>
    </row>
    <row r="133">
      <c r="A133" s="40" t="inlineStr">
        <is>
          <t xml:space="preserve">GENTE · Desvios Comportamentais</t>
        </is>
      </c>
      <c r="B133" s="42">
        <f>IF(B$102="","",IF(Config!$AG$35&lt;&gt;"Não",SUMIFS(BD!$AF$3:$AF$5001,BD!$B$3:$B$5001,B$102,BD!$A$3:$A$5001,"&gt;="&amp;$C$7,BD!$A$3:$A$5001,"&lt;="&amp;$D$7),"—"))</f>
        <v>0</v>
      </c>
      <c r="C133" s="42">
        <f>IF(C$102="","",IF(Config!$AG$36&lt;&gt;"Não",SUMIFS(BD!$AF$3:$AF$5001,BD!$B$3:$B$5001,C$102,BD!$A$3:$A$5001,"&gt;="&amp;$C$7,BD!$A$3:$A$5001,"&lt;="&amp;$D$7),"—"))</f>
        <v>0</v>
      </c>
      <c r="D133" s="42">
        <f>IF(D$102="","",IF(Config!$AG$37&lt;&gt;"Não",SUMIFS(BD!$AF$3:$AF$5001,BD!$B$3:$B$5001,D$102,BD!$A$3:$A$5001,"&gt;="&amp;$C$7,BD!$A$3:$A$5001,"&lt;="&amp;$D$7),"—"))</f>
        <v>0</v>
      </c>
      <c r="E133" s="42">
        <f>IF(E$102="","",IF(Config!$AG$38&lt;&gt;"Não",SUMIFS(BD!$AF$3:$AF$5001,BD!$B$3:$B$5001,E$102,BD!$A$3:$A$5001,"&gt;="&amp;$C$7,BD!$A$3:$A$5001,"&lt;="&amp;$D$7),"—"))</f>
        <v>0</v>
      </c>
      <c r="F133" s="42">
        <f>IF(F$102="","",IF(Config!$AG$39&lt;&gt;"Não",SUMIFS(BD!$AF$3:$AF$5001,BD!$B$3:$B$5001,F$102,BD!$A$3:$A$5001,"&gt;="&amp;$C$7,BD!$A$3:$A$5001,"&lt;="&amp;$D$7),"—"))</f>
        <v>0</v>
      </c>
      <c r="G133" s="42">
        <f>IF(G$102="","",IF(Config!$AG$40&lt;&gt;"Não",SUMIFS(BD!$AF$3:$AF$5001,BD!$B$3:$B$5001,G$102,BD!$A$3:$A$5001,"&gt;="&amp;$C$7,BD!$A$3:$A$5001,"&lt;="&amp;$D$7),"—"))</f>
        <v>0</v>
      </c>
      <c r="H133" s="42">
        <f>IF(H$102="","",IF(Config!$AG$41&lt;&gt;"Não",SUMIFS(BD!$AF$3:$AF$5001,BD!$B$3:$B$5001,H$102,BD!$A$3:$A$5001,"&gt;="&amp;$C$7,BD!$A$3:$A$5001,"&lt;="&amp;$D$7),"—"))</f>
        <v>0</v>
      </c>
      <c r="I133" s="42">
        <f>IF(I$102="","",IF(Config!$AG$42&lt;&gt;"Não",SUMIFS(BD!$AF$3:$AF$5001,BD!$B$3:$B$5001,I$102,BD!$A$3:$A$5001,"&gt;="&amp;$C$7,BD!$A$3:$A$5001,"&lt;="&amp;$D$7),"—"))</f>
        <v>0</v>
      </c>
      <c r="J133" s="42">
        <f>IF(J$102="","",IF(Config!$AG$43&lt;&gt;"Não",SUMIFS(BD!$AF$3:$AF$5001,BD!$B$3:$B$5001,J$102,BD!$A$3:$A$5001,"&gt;="&amp;$C$7,BD!$A$3:$A$5001,"&lt;="&amp;$D$7),"—"))</f>
        <v>0</v>
      </c>
      <c r="K133" s="42">
        <f>IF(K$102="","",IF(Config!$AG$44&lt;&gt;"Não",SUMIFS(BD!$AF$3:$AF$5001,BD!$B$3:$B$5001,K$102,BD!$A$3:$A$5001,"&gt;="&amp;$C$7,BD!$A$3:$A$5001,"&lt;="&amp;$D$7),"—"))</f>
        <v>0</v>
      </c>
      <c r="L133" s="42" t="str">
        <f>IF(L$102="","",IF(Config!$AG$45&lt;&gt;"Não",SUMIFS(BD!$AF$3:$AF$5001,BD!$B$3:$B$5001,L$102,BD!$A$3:$A$5001,"&gt;="&amp;$C$7,BD!$A$3:$A$5001,"&lt;="&amp;$D$7),"—"))</f>
        <v/>
      </c>
      <c r="M133" s="42" t="str">
        <f>IF(M$102="","",IF(Config!$AG$46&lt;&gt;"Não",SUMIFS(BD!$AF$3:$AF$5001,BD!$B$3:$B$5001,M$102,BD!$A$3:$A$5001,"&gt;="&amp;$C$7,BD!$A$3:$A$5001,"&lt;="&amp;$D$7),"—"))</f>
        <v/>
      </c>
      <c r="N133" s="42" t="str">
        <f>IF(N$102="","",IF(Config!$AG$47&lt;&gt;"Não",SUMIFS(BD!$AF$3:$AF$5001,BD!$B$3:$B$5001,N$102,BD!$A$3:$A$5001,"&gt;="&amp;$C$7,BD!$A$3:$A$5001,"&lt;="&amp;$D$7),"—"))</f>
        <v/>
      </c>
      <c r="O133" s="42" t="str">
        <f>IF(O$102="","",IF(Config!$AG$48&lt;&gt;"Não",SUMIFS(BD!$AF$3:$AF$5001,BD!$B$3:$B$5001,O$102,BD!$A$3:$A$5001,"&gt;="&amp;$C$7,BD!$A$3:$A$5001,"&lt;="&amp;$D$7),"—"))</f>
        <v/>
      </c>
      <c r="P133" s="42" t="str">
        <f>IF(P$102="","",IF(Config!$AG$49&lt;&gt;"Não",SUMIFS(BD!$AF$3:$AF$5001,BD!$B$3:$B$5001,P$102,BD!$A$3:$A$5001,"&gt;="&amp;$C$7,BD!$A$3:$A$5001,"&lt;="&amp;$D$7),"—"))</f>
        <v/>
      </c>
      <c r="Q133" s="42" t="str">
        <f>IF(Q$102="","",IF(Config!$AG$50&lt;&gt;"Não",SUMIFS(BD!$AF$3:$AF$5001,BD!$B$3:$B$5001,Q$102,BD!$A$3:$A$5001,"&gt;="&amp;$C$7,BD!$A$3:$A$5001,"&lt;="&amp;$D$7),"—"))</f>
        <v/>
      </c>
      <c r="R133" s="42" t="str">
        <f>IF(R$102="","",IF(Config!$AG$51&lt;&gt;"Não",SUMIFS(BD!$AF$3:$AF$5001,BD!$B$3:$B$5001,R$102,BD!$A$3:$A$5001,"&gt;="&amp;$C$7,BD!$A$3:$A$5001,"&lt;="&amp;$D$7),"—"))</f>
        <v/>
      </c>
      <c r="S133" s="42" t="str">
        <f>IF(S$102="","",IF(Config!$AG$52&lt;&gt;"Não",SUMIFS(BD!$AF$3:$AF$5001,BD!$B$3:$B$5001,S$102,BD!$A$3:$A$5001,"&gt;="&amp;$C$7,BD!$A$3:$A$5001,"&lt;="&amp;$D$7),"—"))</f>
        <v/>
      </c>
      <c r="T133" s="42" t="str">
        <f>IF(T$102="","",IF(Config!$AG$53&lt;&gt;"Não",SUMIFS(BD!$AF$3:$AF$5001,BD!$B$3:$B$5001,T$102,BD!$A$3:$A$5001,"&gt;="&amp;$C$7,BD!$A$3:$A$5001,"&lt;="&amp;$D$7),"—"))</f>
        <v/>
      </c>
      <c r="U133" s="42" t="str">
        <f>IF(U$102="","",IF(Config!$AG$54&lt;&gt;"Não",SUMIFS(BD!$AF$3:$AF$5001,BD!$B$3:$B$5001,U$102,BD!$A$3:$A$5001,"&gt;="&amp;$C$7,BD!$A$3:$A$5001,"&lt;="&amp;$D$7),"—"))</f>
        <v/>
      </c>
      <c r="V133" s="73">
        <f>SUM(B133:U133)</f>
        <v>0</v>
      </c>
    </row>
    <row r="134">
      <c r="A134" s="40" t="inlineStr">
        <is>
          <t xml:space="preserve">GENTE · Acidentes CAF</t>
        </is>
      </c>
      <c r="B134" s="42">
        <f>IF(B$102="","",IF(Config!$AH$35&lt;&gt;"Não",SUMIFS(BD!$AG$3:$AG$5001,BD!$B$3:$B$5001,B$102,BD!$A$3:$A$5001,"&gt;="&amp;$C$7,BD!$A$3:$A$5001,"&lt;="&amp;$D$7),"—"))</f>
        <v>0</v>
      </c>
      <c r="C134" s="42">
        <f>IF(C$102="","",IF(Config!$AH$36&lt;&gt;"Não",SUMIFS(BD!$AG$3:$AG$5001,BD!$B$3:$B$5001,C$102,BD!$A$3:$A$5001,"&gt;="&amp;$C$7,BD!$A$3:$A$5001,"&lt;="&amp;$D$7),"—"))</f>
        <v>0</v>
      </c>
      <c r="D134" s="42">
        <f>IF(D$102="","",IF(Config!$AH$37&lt;&gt;"Não",SUMIFS(BD!$AG$3:$AG$5001,BD!$B$3:$B$5001,D$102,BD!$A$3:$A$5001,"&gt;="&amp;$C$7,BD!$A$3:$A$5001,"&lt;="&amp;$D$7),"—"))</f>
        <v>0</v>
      </c>
      <c r="E134" s="42">
        <f>IF(E$102="","",IF(Config!$AH$38&lt;&gt;"Não",SUMIFS(BD!$AG$3:$AG$5001,BD!$B$3:$B$5001,E$102,BD!$A$3:$A$5001,"&gt;="&amp;$C$7,BD!$A$3:$A$5001,"&lt;="&amp;$D$7),"—"))</f>
        <v>0</v>
      </c>
      <c r="F134" s="42">
        <f>IF(F$102="","",IF(Config!$AH$39&lt;&gt;"Não",SUMIFS(BD!$AG$3:$AG$5001,BD!$B$3:$B$5001,F$102,BD!$A$3:$A$5001,"&gt;="&amp;$C$7,BD!$A$3:$A$5001,"&lt;="&amp;$D$7),"—"))</f>
        <v>0</v>
      </c>
      <c r="G134" s="42">
        <f>IF(G$102="","",IF(Config!$AH$40&lt;&gt;"Não",SUMIFS(BD!$AG$3:$AG$5001,BD!$B$3:$B$5001,G$102,BD!$A$3:$A$5001,"&gt;="&amp;$C$7,BD!$A$3:$A$5001,"&lt;="&amp;$D$7),"—"))</f>
        <v>0</v>
      </c>
      <c r="H134" s="42">
        <f>IF(H$102="","",IF(Config!$AH$41&lt;&gt;"Não",SUMIFS(BD!$AG$3:$AG$5001,BD!$B$3:$B$5001,H$102,BD!$A$3:$A$5001,"&gt;="&amp;$C$7,BD!$A$3:$A$5001,"&lt;="&amp;$D$7),"—"))</f>
        <v>0</v>
      </c>
      <c r="I134" s="42">
        <f>IF(I$102="","",IF(Config!$AH$42&lt;&gt;"Não",SUMIFS(BD!$AG$3:$AG$5001,BD!$B$3:$B$5001,I$102,BD!$A$3:$A$5001,"&gt;="&amp;$C$7,BD!$A$3:$A$5001,"&lt;="&amp;$D$7),"—"))</f>
        <v>0</v>
      </c>
      <c r="J134" s="42">
        <f>IF(J$102="","",IF(Config!$AH$43&lt;&gt;"Não",SUMIFS(BD!$AG$3:$AG$5001,BD!$B$3:$B$5001,J$102,BD!$A$3:$A$5001,"&gt;="&amp;$C$7,BD!$A$3:$A$5001,"&lt;="&amp;$D$7),"—"))</f>
        <v>0</v>
      </c>
      <c r="K134" s="42">
        <f>IF(K$102="","",IF(Config!$AH$44&lt;&gt;"Não",SUMIFS(BD!$AG$3:$AG$5001,BD!$B$3:$B$5001,K$102,BD!$A$3:$A$5001,"&gt;="&amp;$C$7,BD!$A$3:$A$5001,"&lt;="&amp;$D$7),"—"))</f>
        <v>0</v>
      </c>
      <c r="L134" s="42" t="str">
        <f>IF(L$102="","",IF(Config!$AH$45&lt;&gt;"Não",SUMIFS(BD!$AG$3:$AG$5001,BD!$B$3:$B$5001,L$102,BD!$A$3:$A$5001,"&gt;="&amp;$C$7,BD!$A$3:$A$5001,"&lt;="&amp;$D$7),"—"))</f>
        <v/>
      </c>
      <c r="M134" s="42" t="str">
        <f>IF(M$102="","",IF(Config!$AH$46&lt;&gt;"Não",SUMIFS(BD!$AG$3:$AG$5001,BD!$B$3:$B$5001,M$102,BD!$A$3:$A$5001,"&gt;="&amp;$C$7,BD!$A$3:$A$5001,"&lt;="&amp;$D$7),"—"))</f>
        <v/>
      </c>
      <c r="N134" s="42" t="str">
        <f>IF(N$102="","",IF(Config!$AH$47&lt;&gt;"Não",SUMIFS(BD!$AG$3:$AG$5001,BD!$B$3:$B$5001,N$102,BD!$A$3:$A$5001,"&gt;="&amp;$C$7,BD!$A$3:$A$5001,"&lt;="&amp;$D$7),"—"))</f>
        <v/>
      </c>
      <c r="O134" s="42" t="str">
        <f>IF(O$102="","",IF(Config!$AH$48&lt;&gt;"Não",SUMIFS(BD!$AG$3:$AG$5001,BD!$B$3:$B$5001,O$102,BD!$A$3:$A$5001,"&gt;="&amp;$C$7,BD!$A$3:$A$5001,"&lt;="&amp;$D$7),"—"))</f>
        <v/>
      </c>
      <c r="P134" s="42" t="str">
        <f>IF(P$102="","",IF(Config!$AH$49&lt;&gt;"Não",SUMIFS(BD!$AG$3:$AG$5001,BD!$B$3:$B$5001,P$102,BD!$A$3:$A$5001,"&gt;="&amp;$C$7,BD!$A$3:$A$5001,"&lt;="&amp;$D$7),"—"))</f>
        <v/>
      </c>
      <c r="Q134" s="42" t="str">
        <f>IF(Q$102="","",IF(Config!$AH$50&lt;&gt;"Não",SUMIFS(BD!$AG$3:$AG$5001,BD!$B$3:$B$5001,Q$102,BD!$A$3:$A$5001,"&gt;="&amp;$C$7,BD!$A$3:$A$5001,"&lt;="&amp;$D$7),"—"))</f>
        <v/>
      </c>
      <c r="R134" s="42" t="str">
        <f>IF(R$102="","",IF(Config!$AH$51&lt;&gt;"Não",SUMIFS(BD!$AG$3:$AG$5001,BD!$B$3:$B$5001,R$102,BD!$A$3:$A$5001,"&gt;="&amp;$C$7,BD!$A$3:$A$5001,"&lt;="&amp;$D$7),"—"))</f>
        <v/>
      </c>
      <c r="S134" s="42" t="str">
        <f>IF(S$102="","",IF(Config!$AH$52&lt;&gt;"Não",SUMIFS(BD!$AG$3:$AG$5001,BD!$B$3:$B$5001,S$102,BD!$A$3:$A$5001,"&gt;="&amp;$C$7,BD!$A$3:$A$5001,"&lt;="&amp;$D$7),"—"))</f>
        <v/>
      </c>
      <c r="T134" s="42" t="str">
        <f>IF(T$102="","",IF(Config!$AH$53&lt;&gt;"Não",SUMIFS(BD!$AG$3:$AG$5001,BD!$B$3:$B$5001,T$102,BD!$A$3:$A$5001,"&gt;="&amp;$C$7,BD!$A$3:$A$5001,"&lt;="&amp;$D$7),"—"))</f>
        <v/>
      </c>
      <c r="U134" s="42" t="str">
        <f>IF(U$102="","",IF(Config!$AH$54&lt;&gt;"Não",SUMIFS(BD!$AG$3:$AG$5001,BD!$B$3:$B$5001,U$102,BD!$A$3:$A$5001,"&gt;="&amp;$C$7,BD!$A$3:$A$5001,"&lt;="&amp;$D$7),"—"))</f>
        <v/>
      </c>
      <c r="V134" s="73">
        <f>SUM(B134:U134)</f>
        <v>0</v>
      </c>
    </row>
    <row r="135">
      <c r="A135" s="40" t="inlineStr">
        <is>
          <t xml:space="preserve">GENTE · Acidentes SAF</t>
        </is>
      </c>
      <c r="B135" s="42">
        <f>IF(B$102="","",IF(Config!$AI$35&lt;&gt;"Não",SUMIFS(BD!$AH$3:$AH$5001,BD!$B$3:$B$5001,B$102,BD!$A$3:$A$5001,"&gt;="&amp;$C$7,BD!$A$3:$A$5001,"&lt;="&amp;$D$7),"—"))</f>
        <v>0</v>
      </c>
      <c r="C135" s="42">
        <f>IF(C$102="","",IF(Config!$AI$36&lt;&gt;"Não",SUMIFS(BD!$AH$3:$AH$5001,BD!$B$3:$B$5001,C$102,BD!$A$3:$A$5001,"&gt;="&amp;$C$7,BD!$A$3:$A$5001,"&lt;="&amp;$D$7),"—"))</f>
        <v>0</v>
      </c>
      <c r="D135" s="42">
        <f>IF(D$102="","",IF(Config!$AI$37&lt;&gt;"Não",SUMIFS(BD!$AH$3:$AH$5001,BD!$B$3:$B$5001,D$102,BD!$A$3:$A$5001,"&gt;="&amp;$C$7,BD!$A$3:$A$5001,"&lt;="&amp;$D$7),"—"))</f>
        <v>0</v>
      </c>
      <c r="E135" s="42">
        <f>IF(E$102="","",IF(Config!$AI$38&lt;&gt;"Não",SUMIFS(BD!$AH$3:$AH$5001,BD!$B$3:$B$5001,E$102,BD!$A$3:$A$5001,"&gt;="&amp;$C$7,BD!$A$3:$A$5001,"&lt;="&amp;$D$7),"—"))</f>
        <v>0</v>
      </c>
      <c r="F135" s="42">
        <f>IF(F$102="","",IF(Config!$AI$39&lt;&gt;"Não",SUMIFS(BD!$AH$3:$AH$5001,BD!$B$3:$B$5001,F$102,BD!$A$3:$A$5001,"&gt;="&amp;$C$7,BD!$A$3:$A$5001,"&lt;="&amp;$D$7),"—"))</f>
        <v>0</v>
      </c>
      <c r="G135" s="42">
        <f>IF(G$102="","",IF(Config!$AI$40&lt;&gt;"Não",SUMIFS(BD!$AH$3:$AH$5001,BD!$B$3:$B$5001,G$102,BD!$A$3:$A$5001,"&gt;="&amp;$C$7,BD!$A$3:$A$5001,"&lt;="&amp;$D$7),"—"))</f>
        <v>0</v>
      </c>
      <c r="H135" s="42">
        <f>IF(H$102="","",IF(Config!$AI$41&lt;&gt;"Não",SUMIFS(BD!$AH$3:$AH$5001,BD!$B$3:$B$5001,H$102,BD!$A$3:$A$5001,"&gt;="&amp;$C$7,BD!$A$3:$A$5001,"&lt;="&amp;$D$7),"—"))</f>
        <v>0</v>
      </c>
      <c r="I135" s="42">
        <f>IF(I$102="","",IF(Config!$AI$42&lt;&gt;"Não",SUMIFS(BD!$AH$3:$AH$5001,BD!$B$3:$B$5001,I$102,BD!$A$3:$A$5001,"&gt;="&amp;$C$7,BD!$A$3:$A$5001,"&lt;="&amp;$D$7),"—"))</f>
        <v>0</v>
      </c>
      <c r="J135" s="42">
        <f>IF(J$102="","",IF(Config!$AI$43&lt;&gt;"Não",SUMIFS(BD!$AH$3:$AH$5001,BD!$B$3:$B$5001,J$102,BD!$A$3:$A$5001,"&gt;="&amp;$C$7,BD!$A$3:$A$5001,"&lt;="&amp;$D$7),"—"))</f>
        <v>0</v>
      </c>
      <c r="K135" s="42">
        <f>IF(K$102="","",IF(Config!$AI$44&lt;&gt;"Não",SUMIFS(BD!$AH$3:$AH$5001,BD!$B$3:$B$5001,K$102,BD!$A$3:$A$5001,"&gt;="&amp;$C$7,BD!$A$3:$A$5001,"&lt;="&amp;$D$7),"—"))</f>
        <v>0</v>
      </c>
      <c r="L135" s="42" t="str">
        <f>IF(L$102="","",IF(Config!$AI$45&lt;&gt;"Não",SUMIFS(BD!$AH$3:$AH$5001,BD!$B$3:$B$5001,L$102,BD!$A$3:$A$5001,"&gt;="&amp;$C$7,BD!$A$3:$A$5001,"&lt;="&amp;$D$7),"—"))</f>
        <v/>
      </c>
      <c r="M135" s="42" t="str">
        <f>IF(M$102="","",IF(Config!$AI$46&lt;&gt;"Não",SUMIFS(BD!$AH$3:$AH$5001,BD!$B$3:$B$5001,M$102,BD!$A$3:$A$5001,"&gt;="&amp;$C$7,BD!$A$3:$A$5001,"&lt;="&amp;$D$7),"—"))</f>
        <v/>
      </c>
      <c r="N135" s="42" t="str">
        <f>IF(N$102="","",IF(Config!$AI$47&lt;&gt;"Não",SUMIFS(BD!$AH$3:$AH$5001,BD!$B$3:$B$5001,N$102,BD!$A$3:$A$5001,"&gt;="&amp;$C$7,BD!$A$3:$A$5001,"&lt;="&amp;$D$7),"—"))</f>
        <v/>
      </c>
      <c r="O135" s="42" t="str">
        <f>IF(O$102="","",IF(Config!$AI$48&lt;&gt;"Não",SUMIFS(BD!$AH$3:$AH$5001,BD!$B$3:$B$5001,O$102,BD!$A$3:$A$5001,"&gt;="&amp;$C$7,BD!$A$3:$A$5001,"&lt;="&amp;$D$7),"—"))</f>
        <v/>
      </c>
      <c r="P135" s="42" t="str">
        <f>IF(P$102="","",IF(Config!$AI$49&lt;&gt;"Não",SUMIFS(BD!$AH$3:$AH$5001,BD!$B$3:$B$5001,P$102,BD!$A$3:$A$5001,"&gt;="&amp;$C$7,BD!$A$3:$A$5001,"&lt;="&amp;$D$7),"—"))</f>
        <v/>
      </c>
      <c r="Q135" s="42" t="str">
        <f>IF(Q$102="","",IF(Config!$AI$50&lt;&gt;"Não",SUMIFS(BD!$AH$3:$AH$5001,BD!$B$3:$B$5001,Q$102,BD!$A$3:$A$5001,"&gt;="&amp;$C$7,BD!$A$3:$A$5001,"&lt;="&amp;$D$7),"—"))</f>
        <v/>
      </c>
      <c r="R135" s="42" t="str">
        <f>IF(R$102="","",IF(Config!$AI$51&lt;&gt;"Não",SUMIFS(BD!$AH$3:$AH$5001,BD!$B$3:$B$5001,R$102,BD!$A$3:$A$5001,"&gt;="&amp;$C$7,BD!$A$3:$A$5001,"&lt;="&amp;$D$7),"—"))</f>
        <v/>
      </c>
      <c r="S135" s="42" t="str">
        <f>IF(S$102="","",IF(Config!$AI$52&lt;&gt;"Não",SUMIFS(BD!$AH$3:$AH$5001,BD!$B$3:$B$5001,S$102,BD!$A$3:$A$5001,"&gt;="&amp;$C$7,BD!$A$3:$A$5001,"&lt;="&amp;$D$7),"—"))</f>
        <v/>
      </c>
      <c r="T135" s="42" t="str">
        <f>IF(T$102="","",IF(Config!$AI$53&lt;&gt;"Não",SUMIFS(BD!$AH$3:$AH$5001,BD!$B$3:$B$5001,T$102,BD!$A$3:$A$5001,"&gt;="&amp;$C$7,BD!$A$3:$A$5001,"&lt;="&amp;$D$7),"—"))</f>
        <v/>
      </c>
      <c r="U135" s="42" t="str">
        <f>IF(U$102="","",IF(Config!$AI$54&lt;&gt;"Não",SUMIFS(BD!$AH$3:$AH$5001,BD!$B$3:$B$5001,U$102,BD!$A$3:$A$5001,"&gt;="&amp;$C$7,BD!$A$3:$A$5001,"&lt;="&amp;$D$7),"—"))</f>
        <v/>
      </c>
      <c r="V135" s="73">
        <f>SUM(B135:U135)</f>
        <v>0</v>
      </c>
    </row>
    <row r="139">
      <c r="A139" s="52" t="inlineStr">
        <is>
          <t xml:space="preserve">ESTOQUES POR CLIENTE — último valor informado até cada dia (Backlog, Posições e Efetivo)</t>
        </is>
      </c>
    </row>
    <row r="140">
      <c r="A140" s="47" t="inlineStr">
        <is>
          <t xml:space="preserve">Backlog Intralog</t>
        </is>
      </c>
      <c r="B140" s="47" t="inlineStr">
        <is>
          <t xml:space="preserve">Data</t>
        </is>
      </c>
      <c r="C140" s="47" t="str">
        <f>Config!$B$10&amp;""</f>
        <v>Alpargatas</v>
      </c>
      <c r="D140" s="47" t="str">
        <f>Config!$B$11&amp;""</f>
        <v>Basf</v>
      </c>
      <c r="E140" s="47" t="str">
        <f>Config!$B$12&amp;""</f>
        <v>Beautybiz</v>
      </c>
      <c r="F140" s="47" t="str">
        <f>Config!$B$13&amp;""</f>
        <v>Boticário</v>
      </c>
      <c r="G140" s="47" t="str">
        <f>Config!$B$14&amp;""</f>
        <v>Confiance</v>
      </c>
      <c r="H140" s="47" t="str">
        <f>Config!$B$15&amp;""</f>
        <v>GE Vernova</v>
      </c>
      <c r="I140" s="47" t="str">
        <f>Config!$B$16&amp;""</f>
        <v>Omnilife</v>
      </c>
      <c r="J140" s="47" t="str">
        <f>Config!$B$17&amp;""</f>
        <v>Supply</v>
      </c>
      <c r="K140" s="47" t="str">
        <f>Config!$B$18&amp;""</f>
        <v>Vedacit</v>
      </c>
      <c r="L140" s="47" t="str">
        <f>Config!$B$19&amp;""</f>
        <v>Vestas</v>
      </c>
      <c r="M140" s="47" t="str">
        <f>Config!$B$20&amp;""</f>
        <v/>
      </c>
      <c r="N140" s="47" t="str">
        <f>Config!$B$21&amp;""</f>
        <v/>
      </c>
      <c r="O140" s="47" t="str">
        <f>Config!$B$22&amp;""</f>
        <v/>
      </c>
      <c r="P140" s="47" t="str">
        <f>Config!$B$23&amp;""</f>
        <v/>
      </c>
      <c r="Q140" s="47" t="str">
        <f>Config!$B$24&amp;""</f>
        <v/>
      </c>
      <c r="R140" s="47" t="str">
        <f>Config!$B$25&amp;""</f>
        <v/>
      </c>
      <c r="S140" s="47" t="str">
        <f>Config!$B$26&amp;""</f>
        <v/>
      </c>
      <c r="T140" s="47" t="str">
        <f>Config!$B$27&amp;""</f>
        <v/>
      </c>
      <c r="U140" s="47" t="str">
        <f>Config!$B$28&amp;""</f>
        <v/>
      </c>
      <c r="V140" s="47" t="str">
        <f>Config!$B$29&amp;""</f>
        <v/>
      </c>
    </row>
    <row r="141">
      <c r="A141" s="48">
        <v>1</v>
      </c>
      <c r="B141" s="53">
        <f>$B$12</f>
        <v>46296</v>
      </c>
      <c r="C141" s="54" t="str">
        <f>IF(OR($B141="",$A141&gt;$B$9,C$140=""),"",IF(COUNTIFS(BD!$B$3:$B$5001,C$140,BD!$A$3:$A$5001,"&gt;="&amp;$C$7,BD!$A$3:$A$5001,"&lt;="&amp;$B141,BD!$V$3:$V$5001,"&lt;&gt;")=0,"",SUMIFS(BD!$V$3:$V$5001,BD!$B$3:$B$5001,C$140,BD!$A$3:$A$5001,_xlfn.MAXIFS(BD!$A$3:$A$5001,BD!$B$3:$B$5001,C$140,BD!$A$3:$A$5001,"&gt;="&amp;$C$7,BD!$A$3:$A$5001,"&lt;="&amp;$B141,BD!$V$3:$V$5001,"&lt;&gt;"))))</f>
        <v/>
      </c>
      <c r="D141" s="54" t="str">
        <f>IF(OR($B141="",$A141&gt;$B$9,D$140=""),"",IF(COUNTIFS(BD!$B$3:$B$5001,D$140,BD!$A$3:$A$5001,"&gt;="&amp;$C$7,BD!$A$3:$A$5001,"&lt;="&amp;$B141,BD!$V$3:$V$5001,"&lt;&gt;")=0,"",SUMIFS(BD!$V$3:$V$5001,BD!$B$3:$B$5001,D$140,BD!$A$3:$A$5001,_xlfn.MAXIFS(BD!$A$3:$A$5001,BD!$B$3:$B$5001,D$140,BD!$A$3:$A$5001,"&gt;="&amp;$C$7,BD!$A$3:$A$5001,"&lt;="&amp;$B141,BD!$V$3:$V$5001,"&lt;&gt;"))))</f>
        <v/>
      </c>
      <c r="E141" s="54" t="str">
        <f>IF(OR($B141="",$A141&gt;$B$9,E$140=""),"",IF(COUNTIFS(BD!$B$3:$B$5001,E$140,BD!$A$3:$A$5001,"&gt;="&amp;$C$7,BD!$A$3:$A$5001,"&lt;="&amp;$B141,BD!$V$3:$V$5001,"&lt;&gt;")=0,"",SUMIFS(BD!$V$3:$V$5001,BD!$B$3:$B$5001,E$140,BD!$A$3:$A$5001,_xlfn.MAXIFS(BD!$A$3:$A$5001,BD!$B$3:$B$5001,E$140,BD!$A$3:$A$5001,"&gt;="&amp;$C$7,BD!$A$3:$A$5001,"&lt;="&amp;$B141,BD!$V$3:$V$5001,"&lt;&gt;"))))</f>
        <v/>
      </c>
      <c r="F141" s="54" t="str">
        <f>IF(OR($B141="",$A141&gt;$B$9,F$140=""),"",IF(COUNTIFS(BD!$B$3:$B$5001,F$140,BD!$A$3:$A$5001,"&gt;="&amp;$C$7,BD!$A$3:$A$5001,"&lt;="&amp;$B141,BD!$V$3:$V$5001,"&lt;&gt;")=0,"",SUMIFS(BD!$V$3:$V$5001,BD!$B$3:$B$5001,F$140,BD!$A$3:$A$5001,_xlfn.MAXIFS(BD!$A$3:$A$5001,BD!$B$3:$B$5001,F$140,BD!$A$3:$A$5001,"&gt;="&amp;$C$7,BD!$A$3:$A$5001,"&lt;="&amp;$B141,BD!$V$3:$V$5001,"&lt;&gt;"))))</f>
        <v/>
      </c>
      <c r="G141" s="54" t="str">
        <f>IF(OR($B141="",$A141&gt;$B$9,G$140=""),"",IF(COUNTIFS(BD!$B$3:$B$5001,G$140,BD!$A$3:$A$5001,"&gt;="&amp;$C$7,BD!$A$3:$A$5001,"&lt;="&amp;$B141,BD!$V$3:$V$5001,"&lt;&gt;")=0,"",SUMIFS(BD!$V$3:$V$5001,BD!$B$3:$B$5001,G$140,BD!$A$3:$A$5001,_xlfn.MAXIFS(BD!$A$3:$A$5001,BD!$B$3:$B$5001,G$140,BD!$A$3:$A$5001,"&gt;="&amp;$C$7,BD!$A$3:$A$5001,"&lt;="&amp;$B141,BD!$V$3:$V$5001,"&lt;&gt;"))))</f>
        <v/>
      </c>
      <c r="H141" s="54" t="str">
        <f>IF(OR($B141="",$A141&gt;$B$9,H$140=""),"",IF(COUNTIFS(BD!$B$3:$B$5001,H$140,BD!$A$3:$A$5001,"&gt;="&amp;$C$7,BD!$A$3:$A$5001,"&lt;="&amp;$B141,BD!$V$3:$V$5001,"&lt;&gt;")=0,"",SUMIFS(BD!$V$3:$V$5001,BD!$B$3:$B$5001,H$140,BD!$A$3:$A$5001,_xlfn.MAXIFS(BD!$A$3:$A$5001,BD!$B$3:$B$5001,H$140,BD!$A$3:$A$5001,"&gt;="&amp;$C$7,BD!$A$3:$A$5001,"&lt;="&amp;$B141,BD!$V$3:$V$5001,"&lt;&gt;"))))</f>
        <v/>
      </c>
      <c r="I141" s="54" t="str">
        <f>IF(OR($B141="",$A141&gt;$B$9,I$140=""),"",IF(COUNTIFS(BD!$B$3:$B$5001,I$140,BD!$A$3:$A$5001,"&gt;="&amp;$C$7,BD!$A$3:$A$5001,"&lt;="&amp;$B141,BD!$V$3:$V$5001,"&lt;&gt;")=0,"",SUMIFS(BD!$V$3:$V$5001,BD!$B$3:$B$5001,I$140,BD!$A$3:$A$5001,_xlfn.MAXIFS(BD!$A$3:$A$5001,BD!$B$3:$B$5001,I$140,BD!$A$3:$A$5001,"&gt;="&amp;$C$7,BD!$A$3:$A$5001,"&lt;="&amp;$B141,BD!$V$3:$V$5001,"&lt;&gt;"))))</f>
        <v/>
      </c>
      <c r="J141" s="54" t="str">
        <f>IF(OR($B141="",$A141&gt;$B$9,J$140=""),"",IF(COUNTIFS(BD!$B$3:$B$5001,J$140,BD!$A$3:$A$5001,"&gt;="&amp;$C$7,BD!$A$3:$A$5001,"&lt;="&amp;$B141,BD!$V$3:$V$5001,"&lt;&gt;")=0,"",SUMIFS(BD!$V$3:$V$5001,BD!$B$3:$B$5001,J$140,BD!$A$3:$A$5001,_xlfn.MAXIFS(BD!$A$3:$A$5001,BD!$B$3:$B$5001,J$140,BD!$A$3:$A$5001,"&gt;="&amp;$C$7,BD!$A$3:$A$5001,"&lt;="&amp;$B141,BD!$V$3:$V$5001,"&lt;&gt;"))))</f>
        <v/>
      </c>
      <c r="K141" s="54" t="str">
        <f>IF(OR($B141="",$A141&gt;$B$9,K$140=""),"",IF(COUNTIFS(BD!$B$3:$B$5001,K$140,BD!$A$3:$A$5001,"&gt;="&amp;$C$7,BD!$A$3:$A$5001,"&lt;="&amp;$B141,BD!$V$3:$V$5001,"&lt;&gt;")=0,"",SUMIFS(BD!$V$3:$V$5001,BD!$B$3:$B$5001,K$140,BD!$A$3:$A$5001,_xlfn.MAXIFS(BD!$A$3:$A$5001,BD!$B$3:$B$5001,K$140,BD!$A$3:$A$5001,"&gt;="&amp;$C$7,BD!$A$3:$A$5001,"&lt;="&amp;$B141,BD!$V$3:$V$5001,"&lt;&gt;"))))</f>
        <v/>
      </c>
      <c r="L141" s="54" t="str">
        <f>IF(OR($B141="",$A141&gt;$B$9,L$140=""),"",IF(COUNTIFS(BD!$B$3:$B$5001,L$140,BD!$A$3:$A$5001,"&gt;="&amp;$C$7,BD!$A$3:$A$5001,"&lt;="&amp;$B141,BD!$V$3:$V$5001,"&lt;&gt;")=0,"",SUMIFS(BD!$V$3:$V$5001,BD!$B$3:$B$5001,L$140,BD!$A$3:$A$5001,_xlfn.MAXIFS(BD!$A$3:$A$5001,BD!$B$3:$B$5001,L$140,BD!$A$3:$A$5001,"&gt;="&amp;$C$7,BD!$A$3:$A$5001,"&lt;="&amp;$B141,BD!$V$3:$V$5001,"&lt;&gt;"))))</f>
        <v/>
      </c>
      <c r="M141" s="54" t="str">
        <f>IF(OR($B141="",$A141&gt;$B$9,M$140=""),"",IF(COUNTIFS(BD!$B$3:$B$5001,M$140,BD!$A$3:$A$5001,"&gt;="&amp;$C$7,BD!$A$3:$A$5001,"&lt;="&amp;$B141,BD!$V$3:$V$5001,"&lt;&gt;")=0,"",SUMIFS(BD!$V$3:$V$5001,BD!$B$3:$B$5001,M$140,BD!$A$3:$A$5001,_xlfn.MAXIFS(BD!$A$3:$A$5001,BD!$B$3:$B$5001,M$140,BD!$A$3:$A$5001,"&gt;="&amp;$C$7,BD!$A$3:$A$5001,"&lt;="&amp;$B141,BD!$V$3:$V$5001,"&lt;&gt;"))))</f>
        <v/>
      </c>
      <c r="N141" s="54" t="str">
        <f>IF(OR($B141="",$A141&gt;$B$9,N$140=""),"",IF(COUNTIFS(BD!$B$3:$B$5001,N$140,BD!$A$3:$A$5001,"&gt;="&amp;$C$7,BD!$A$3:$A$5001,"&lt;="&amp;$B141,BD!$V$3:$V$5001,"&lt;&gt;")=0,"",SUMIFS(BD!$V$3:$V$5001,BD!$B$3:$B$5001,N$140,BD!$A$3:$A$5001,_xlfn.MAXIFS(BD!$A$3:$A$5001,BD!$B$3:$B$5001,N$140,BD!$A$3:$A$5001,"&gt;="&amp;$C$7,BD!$A$3:$A$5001,"&lt;="&amp;$B141,BD!$V$3:$V$5001,"&lt;&gt;"))))</f>
        <v/>
      </c>
      <c r="O141" s="54" t="str">
        <f>IF(OR($B141="",$A141&gt;$B$9,O$140=""),"",IF(COUNTIFS(BD!$B$3:$B$5001,O$140,BD!$A$3:$A$5001,"&gt;="&amp;$C$7,BD!$A$3:$A$5001,"&lt;="&amp;$B141,BD!$V$3:$V$5001,"&lt;&gt;")=0,"",SUMIFS(BD!$V$3:$V$5001,BD!$B$3:$B$5001,O$140,BD!$A$3:$A$5001,_xlfn.MAXIFS(BD!$A$3:$A$5001,BD!$B$3:$B$5001,O$140,BD!$A$3:$A$5001,"&gt;="&amp;$C$7,BD!$A$3:$A$5001,"&lt;="&amp;$B141,BD!$V$3:$V$5001,"&lt;&gt;"))))</f>
        <v/>
      </c>
      <c r="P141" s="54" t="str">
        <f>IF(OR($B141="",$A141&gt;$B$9,P$140=""),"",IF(COUNTIFS(BD!$B$3:$B$5001,P$140,BD!$A$3:$A$5001,"&gt;="&amp;$C$7,BD!$A$3:$A$5001,"&lt;="&amp;$B141,BD!$V$3:$V$5001,"&lt;&gt;")=0,"",SUMIFS(BD!$V$3:$V$5001,BD!$B$3:$B$5001,P$140,BD!$A$3:$A$5001,_xlfn.MAXIFS(BD!$A$3:$A$5001,BD!$B$3:$B$5001,P$140,BD!$A$3:$A$5001,"&gt;="&amp;$C$7,BD!$A$3:$A$5001,"&lt;="&amp;$B141,BD!$V$3:$V$5001,"&lt;&gt;"))))</f>
        <v/>
      </c>
      <c r="Q141" s="54" t="str">
        <f>IF(OR($B141="",$A141&gt;$B$9,Q$140=""),"",IF(COUNTIFS(BD!$B$3:$B$5001,Q$140,BD!$A$3:$A$5001,"&gt;="&amp;$C$7,BD!$A$3:$A$5001,"&lt;="&amp;$B141,BD!$V$3:$V$5001,"&lt;&gt;")=0,"",SUMIFS(BD!$V$3:$V$5001,BD!$B$3:$B$5001,Q$140,BD!$A$3:$A$5001,_xlfn.MAXIFS(BD!$A$3:$A$5001,BD!$B$3:$B$5001,Q$140,BD!$A$3:$A$5001,"&gt;="&amp;$C$7,BD!$A$3:$A$5001,"&lt;="&amp;$B141,BD!$V$3:$V$5001,"&lt;&gt;"))))</f>
        <v/>
      </c>
      <c r="R141" s="54" t="str">
        <f>IF(OR($B141="",$A141&gt;$B$9,R$140=""),"",IF(COUNTIFS(BD!$B$3:$B$5001,R$140,BD!$A$3:$A$5001,"&gt;="&amp;$C$7,BD!$A$3:$A$5001,"&lt;="&amp;$B141,BD!$V$3:$V$5001,"&lt;&gt;")=0,"",SUMIFS(BD!$V$3:$V$5001,BD!$B$3:$B$5001,R$140,BD!$A$3:$A$5001,_xlfn.MAXIFS(BD!$A$3:$A$5001,BD!$B$3:$B$5001,R$140,BD!$A$3:$A$5001,"&gt;="&amp;$C$7,BD!$A$3:$A$5001,"&lt;="&amp;$B141,BD!$V$3:$V$5001,"&lt;&gt;"))))</f>
        <v/>
      </c>
      <c r="S141" s="54" t="str">
        <f>IF(OR($B141="",$A141&gt;$B$9,S$140=""),"",IF(COUNTIFS(BD!$B$3:$B$5001,S$140,BD!$A$3:$A$5001,"&gt;="&amp;$C$7,BD!$A$3:$A$5001,"&lt;="&amp;$B141,BD!$V$3:$V$5001,"&lt;&gt;")=0,"",SUMIFS(BD!$V$3:$V$5001,BD!$B$3:$B$5001,S$140,BD!$A$3:$A$5001,_xlfn.MAXIFS(BD!$A$3:$A$5001,BD!$B$3:$B$5001,S$140,BD!$A$3:$A$5001,"&gt;="&amp;$C$7,BD!$A$3:$A$5001,"&lt;="&amp;$B141,BD!$V$3:$V$5001,"&lt;&gt;"))))</f>
        <v/>
      </c>
      <c r="T141" s="54" t="str">
        <f>IF(OR($B141="",$A141&gt;$B$9,T$140=""),"",IF(COUNTIFS(BD!$B$3:$B$5001,T$140,BD!$A$3:$A$5001,"&gt;="&amp;$C$7,BD!$A$3:$A$5001,"&lt;="&amp;$B141,BD!$V$3:$V$5001,"&lt;&gt;")=0,"",SUMIFS(BD!$V$3:$V$5001,BD!$B$3:$B$5001,T$140,BD!$A$3:$A$5001,_xlfn.MAXIFS(BD!$A$3:$A$5001,BD!$B$3:$B$5001,T$140,BD!$A$3:$A$5001,"&gt;="&amp;$C$7,BD!$A$3:$A$5001,"&lt;="&amp;$B141,BD!$V$3:$V$5001,"&lt;&gt;"))))</f>
        <v/>
      </c>
      <c r="U141" s="54" t="str">
        <f>IF(OR($B141="",$A141&gt;$B$9,U$140=""),"",IF(COUNTIFS(BD!$B$3:$B$5001,U$140,BD!$A$3:$A$5001,"&gt;="&amp;$C$7,BD!$A$3:$A$5001,"&lt;="&amp;$B141,BD!$V$3:$V$5001,"&lt;&gt;")=0,"",SUMIFS(BD!$V$3:$V$5001,BD!$B$3:$B$5001,U$140,BD!$A$3:$A$5001,_xlfn.MAXIFS(BD!$A$3:$A$5001,BD!$B$3:$B$5001,U$140,BD!$A$3:$A$5001,"&gt;="&amp;$C$7,BD!$A$3:$A$5001,"&lt;="&amp;$B141,BD!$V$3:$V$5001,"&lt;&gt;"))))</f>
        <v/>
      </c>
      <c r="V141" s="54" t="str">
        <f>IF(OR($B141="",$A141&gt;$B$9,V$140=""),"",IF(COUNTIFS(BD!$B$3:$B$5001,V$140,BD!$A$3:$A$5001,"&gt;="&amp;$C$7,BD!$A$3:$A$5001,"&lt;="&amp;$B141,BD!$V$3:$V$5001,"&lt;&gt;")=0,"",SUMIFS(BD!$V$3:$V$5001,BD!$B$3:$B$5001,V$140,BD!$A$3:$A$5001,_xlfn.MAXIFS(BD!$A$3:$A$5001,BD!$B$3:$B$5001,V$140,BD!$A$3:$A$5001,"&gt;="&amp;$C$7,BD!$A$3:$A$5001,"&lt;="&amp;$B141,BD!$V$3:$V$5001,"&lt;&gt;"))))</f>
        <v/>
      </c>
    </row>
    <row r="142">
      <c r="A142" s="48">
        <v>2</v>
      </c>
      <c r="B142" s="53">
        <f>$B$13</f>
        <v>46297</v>
      </c>
      <c r="C142" s="54" t="str">
        <f>IF(OR($B142="",$A142&gt;$B$9,C$140=""),"",IF(COUNTIFS(BD!$B$3:$B$5001,C$140,BD!$A$3:$A$5001,"&gt;="&amp;$C$7,BD!$A$3:$A$5001,"&lt;="&amp;$B142,BD!$V$3:$V$5001,"&lt;&gt;")=0,"",SUMIFS(BD!$V$3:$V$5001,BD!$B$3:$B$5001,C$140,BD!$A$3:$A$5001,_xlfn.MAXIFS(BD!$A$3:$A$5001,BD!$B$3:$B$5001,C$140,BD!$A$3:$A$5001,"&gt;="&amp;$C$7,BD!$A$3:$A$5001,"&lt;="&amp;$B142,BD!$V$3:$V$5001,"&lt;&gt;"))))</f>
        <v/>
      </c>
      <c r="D142" s="54" t="str">
        <f>IF(OR($B142="",$A142&gt;$B$9,D$140=""),"",IF(COUNTIFS(BD!$B$3:$B$5001,D$140,BD!$A$3:$A$5001,"&gt;="&amp;$C$7,BD!$A$3:$A$5001,"&lt;="&amp;$B142,BD!$V$3:$V$5001,"&lt;&gt;")=0,"",SUMIFS(BD!$V$3:$V$5001,BD!$B$3:$B$5001,D$140,BD!$A$3:$A$5001,_xlfn.MAXIFS(BD!$A$3:$A$5001,BD!$B$3:$B$5001,D$140,BD!$A$3:$A$5001,"&gt;="&amp;$C$7,BD!$A$3:$A$5001,"&lt;="&amp;$B142,BD!$V$3:$V$5001,"&lt;&gt;"))))</f>
        <v/>
      </c>
      <c r="E142" s="54" t="str">
        <f>IF(OR($B142="",$A142&gt;$B$9,E$140=""),"",IF(COUNTIFS(BD!$B$3:$B$5001,E$140,BD!$A$3:$A$5001,"&gt;="&amp;$C$7,BD!$A$3:$A$5001,"&lt;="&amp;$B142,BD!$V$3:$V$5001,"&lt;&gt;")=0,"",SUMIFS(BD!$V$3:$V$5001,BD!$B$3:$B$5001,E$140,BD!$A$3:$A$5001,_xlfn.MAXIFS(BD!$A$3:$A$5001,BD!$B$3:$B$5001,E$140,BD!$A$3:$A$5001,"&gt;="&amp;$C$7,BD!$A$3:$A$5001,"&lt;="&amp;$B142,BD!$V$3:$V$5001,"&lt;&gt;"))))</f>
        <v/>
      </c>
      <c r="F142" s="54" t="str">
        <f>IF(OR($B142="",$A142&gt;$B$9,F$140=""),"",IF(COUNTIFS(BD!$B$3:$B$5001,F$140,BD!$A$3:$A$5001,"&gt;="&amp;$C$7,BD!$A$3:$A$5001,"&lt;="&amp;$B142,BD!$V$3:$V$5001,"&lt;&gt;")=0,"",SUMIFS(BD!$V$3:$V$5001,BD!$B$3:$B$5001,F$140,BD!$A$3:$A$5001,_xlfn.MAXIFS(BD!$A$3:$A$5001,BD!$B$3:$B$5001,F$140,BD!$A$3:$A$5001,"&gt;="&amp;$C$7,BD!$A$3:$A$5001,"&lt;="&amp;$B142,BD!$V$3:$V$5001,"&lt;&gt;"))))</f>
        <v/>
      </c>
      <c r="G142" s="54" t="str">
        <f>IF(OR($B142="",$A142&gt;$B$9,G$140=""),"",IF(COUNTIFS(BD!$B$3:$B$5001,G$140,BD!$A$3:$A$5001,"&gt;="&amp;$C$7,BD!$A$3:$A$5001,"&lt;="&amp;$B142,BD!$V$3:$V$5001,"&lt;&gt;")=0,"",SUMIFS(BD!$V$3:$V$5001,BD!$B$3:$B$5001,G$140,BD!$A$3:$A$5001,_xlfn.MAXIFS(BD!$A$3:$A$5001,BD!$B$3:$B$5001,G$140,BD!$A$3:$A$5001,"&gt;="&amp;$C$7,BD!$A$3:$A$5001,"&lt;="&amp;$B142,BD!$V$3:$V$5001,"&lt;&gt;"))))</f>
        <v/>
      </c>
      <c r="H142" s="54" t="str">
        <f>IF(OR($B142="",$A142&gt;$B$9,H$140=""),"",IF(COUNTIFS(BD!$B$3:$B$5001,H$140,BD!$A$3:$A$5001,"&gt;="&amp;$C$7,BD!$A$3:$A$5001,"&lt;="&amp;$B142,BD!$V$3:$V$5001,"&lt;&gt;")=0,"",SUMIFS(BD!$V$3:$V$5001,BD!$B$3:$B$5001,H$140,BD!$A$3:$A$5001,_xlfn.MAXIFS(BD!$A$3:$A$5001,BD!$B$3:$B$5001,H$140,BD!$A$3:$A$5001,"&gt;="&amp;$C$7,BD!$A$3:$A$5001,"&lt;="&amp;$B142,BD!$V$3:$V$5001,"&lt;&gt;"))))</f>
        <v/>
      </c>
      <c r="I142" s="54" t="str">
        <f>IF(OR($B142="",$A142&gt;$B$9,I$140=""),"",IF(COUNTIFS(BD!$B$3:$B$5001,I$140,BD!$A$3:$A$5001,"&gt;="&amp;$C$7,BD!$A$3:$A$5001,"&lt;="&amp;$B142,BD!$V$3:$V$5001,"&lt;&gt;")=0,"",SUMIFS(BD!$V$3:$V$5001,BD!$B$3:$B$5001,I$140,BD!$A$3:$A$5001,_xlfn.MAXIFS(BD!$A$3:$A$5001,BD!$B$3:$B$5001,I$140,BD!$A$3:$A$5001,"&gt;="&amp;$C$7,BD!$A$3:$A$5001,"&lt;="&amp;$B142,BD!$V$3:$V$5001,"&lt;&gt;"))))</f>
        <v/>
      </c>
      <c r="J142" s="54" t="str">
        <f>IF(OR($B142="",$A142&gt;$B$9,J$140=""),"",IF(COUNTIFS(BD!$B$3:$B$5001,J$140,BD!$A$3:$A$5001,"&gt;="&amp;$C$7,BD!$A$3:$A$5001,"&lt;="&amp;$B142,BD!$V$3:$V$5001,"&lt;&gt;")=0,"",SUMIFS(BD!$V$3:$V$5001,BD!$B$3:$B$5001,J$140,BD!$A$3:$A$5001,_xlfn.MAXIFS(BD!$A$3:$A$5001,BD!$B$3:$B$5001,J$140,BD!$A$3:$A$5001,"&gt;="&amp;$C$7,BD!$A$3:$A$5001,"&lt;="&amp;$B142,BD!$V$3:$V$5001,"&lt;&gt;"))))</f>
        <v/>
      </c>
      <c r="K142" s="54" t="str">
        <f>IF(OR($B142="",$A142&gt;$B$9,K$140=""),"",IF(COUNTIFS(BD!$B$3:$B$5001,K$140,BD!$A$3:$A$5001,"&gt;="&amp;$C$7,BD!$A$3:$A$5001,"&lt;="&amp;$B142,BD!$V$3:$V$5001,"&lt;&gt;")=0,"",SUMIFS(BD!$V$3:$V$5001,BD!$B$3:$B$5001,K$140,BD!$A$3:$A$5001,_xlfn.MAXIFS(BD!$A$3:$A$5001,BD!$B$3:$B$5001,K$140,BD!$A$3:$A$5001,"&gt;="&amp;$C$7,BD!$A$3:$A$5001,"&lt;="&amp;$B142,BD!$V$3:$V$5001,"&lt;&gt;"))))</f>
        <v/>
      </c>
      <c r="L142" s="54" t="str">
        <f>IF(OR($B142="",$A142&gt;$B$9,L$140=""),"",IF(COUNTIFS(BD!$B$3:$B$5001,L$140,BD!$A$3:$A$5001,"&gt;="&amp;$C$7,BD!$A$3:$A$5001,"&lt;="&amp;$B142,BD!$V$3:$V$5001,"&lt;&gt;")=0,"",SUMIFS(BD!$V$3:$V$5001,BD!$B$3:$B$5001,L$140,BD!$A$3:$A$5001,_xlfn.MAXIFS(BD!$A$3:$A$5001,BD!$B$3:$B$5001,L$140,BD!$A$3:$A$5001,"&gt;="&amp;$C$7,BD!$A$3:$A$5001,"&lt;="&amp;$B142,BD!$V$3:$V$5001,"&lt;&gt;"))))</f>
        <v/>
      </c>
      <c r="M142" s="54" t="str">
        <f>IF(OR($B142="",$A142&gt;$B$9,M$140=""),"",IF(COUNTIFS(BD!$B$3:$B$5001,M$140,BD!$A$3:$A$5001,"&gt;="&amp;$C$7,BD!$A$3:$A$5001,"&lt;="&amp;$B142,BD!$V$3:$V$5001,"&lt;&gt;")=0,"",SUMIFS(BD!$V$3:$V$5001,BD!$B$3:$B$5001,M$140,BD!$A$3:$A$5001,_xlfn.MAXIFS(BD!$A$3:$A$5001,BD!$B$3:$B$5001,M$140,BD!$A$3:$A$5001,"&gt;="&amp;$C$7,BD!$A$3:$A$5001,"&lt;="&amp;$B142,BD!$V$3:$V$5001,"&lt;&gt;"))))</f>
        <v/>
      </c>
      <c r="N142" s="54" t="str">
        <f>IF(OR($B142="",$A142&gt;$B$9,N$140=""),"",IF(COUNTIFS(BD!$B$3:$B$5001,N$140,BD!$A$3:$A$5001,"&gt;="&amp;$C$7,BD!$A$3:$A$5001,"&lt;="&amp;$B142,BD!$V$3:$V$5001,"&lt;&gt;")=0,"",SUMIFS(BD!$V$3:$V$5001,BD!$B$3:$B$5001,N$140,BD!$A$3:$A$5001,_xlfn.MAXIFS(BD!$A$3:$A$5001,BD!$B$3:$B$5001,N$140,BD!$A$3:$A$5001,"&gt;="&amp;$C$7,BD!$A$3:$A$5001,"&lt;="&amp;$B142,BD!$V$3:$V$5001,"&lt;&gt;"))))</f>
        <v/>
      </c>
      <c r="O142" s="54" t="str">
        <f>IF(OR($B142="",$A142&gt;$B$9,O$140=""),"",IF(COUNTIFS(BD!$B$3:$B$5001,O$140,BD!$A$3:$A$5001,"&gt;="&amp;$C$7,BD!$A$3:$A$5001,"&lt;="&amp;$B142,BD!$V$3:$V$5001,"&lt;&gt;")=0,"",SUMIFS(BD!$V$3:$V$5001,BD!$B$3:$B$5001,O$140,BD!$A$3:$A$5001,_xlfn.MAXIFS(BD!$A$3:$A$5001,BD!$B$3:$B$5001,O$140,BD!$A$3:$A$5001,"&gt;="&amp;$C$7,BD!$A$3:$A$5001,"&lt;="&amp;$B142,BD!$V$3:$V$5001,"&lt;&gt;"))))</f>
        <v/>
      </c>
      <c r="P142" s="54" t="str">
        <f>IF(OR($B142="",$A142&gt;$B$9,P$140=""),"",IF(COUNTIFS(BD!$B$3:$B$5001,P$140,BD!$A$3:$A$5001,"&gt;="&amp;$C$7,BD!$A$3:$A$5001,"&lt;="&amp;$B142,BD!$V$3:$V$5001,"&lt;&gt;")=0,"",SUMIFS(BD!$V$3:$V$5001,BD!$B$3:$B$5001,P$140,BD!$A$3:$A$5001,_xlfn.MAXIFS(BD!$A$3:$A$5001,BD!$B$3:$B$5001,P$140,BD!$A$3:$A$5001,"&gt;="&amp;$C$7,BD!$A$3:$A$5001,"&lt;="&amp;$B142,BD!$V$3:$V$5001,"&lt;&gt;"))))</f>
        <v/>
      </c>
      <c r="Q142" s="54" t="str">
        <f>IF(OR($B142="",$A142&gt;$B$9,Q$140=""),"",IF(COUNTIFS(BD!$B$3:$B$5001,Q$140,BD!$A$3:$A$5001,"&gt;="&amp;$C$7,BD!$A$3:$A$5001,"&lt;="&amp;$B142,BD!$V$3:$V$5001,"&lt;&gt;")=0,"",SUMIFS(BD!$V$3:$V$5001,BD!$B$3:$B$5001,Q$140,BD!$A$3:$A$5001,_xlfn.MAXIFS(BD!$A$3:$A$5001,BD!$B$3:$B$5001,Q$140,BD!$A$3:$A$5001,"&gt;="&amp;$C$7,BD!$A$3:$A$5001,"&lt;="&amp;$B142,BD!$V$3:$V$5001,"&lt;&gt;"))))</f>
        <v/>
      </c>
      <c r="R142" s="54" t="str">
        <f>IF(OR($B142="",$A142&gt;$B$9,R$140=""),"",IF(COUNTIFS(BD!$B$3:$B$5001,R$140,BD!$A$3:$A$5001,"&gt;="&amp;$C$7,BD!$A$3:$A$5001,"&lt;="&amp;$B142,BD!$V$3:$V$5001,"&lt;&gt;")=0,"",SUMIFS(BD!$V$3:$V$5001,BD!$B$3:$B$5001,R$140,BD!$A$3:$A$5001,_xlfn.MAXIFS(BD!$A$3:$A$5001,BD!$B$3:$B$5001,R$140,BD!$A$3:$A$5001,"&gt;="&amp;$C$7,BD!$A$3:$A$5001,"&lt;="&amp;$B142,BD!$V$3:$V$5001,"&lt;&gt;"))))</f>
        <v/>
      </c>
      <c r="S142" s="54" t="str">
        <f>IF(OR($B142="",$A142&gt;$B$9,S$140=""),"",IF(COUNTIFS(BD!$B$3:$B$5001,S$140,BD!$A$3:$A$5001,"&gt;="&amp;$C$7,BD!$A$3:$A$5001,"&lt;="&amp;$B142,BD!$V$3:$V$5001,"&lt;&gt;")=0,"",SUMIFS(BD!$V$3:$V$5001,BD!$B$3:$B$5001,S$140,BD!$A$3:$A$5001,_xlfn.MAXIFS(BD!$A$3:$A$5001,BD!$B$3:$B$5001,S$140,BD!$A$3:$A$5001,"&gt;="&amp;$C$7,BD!$A$3:$A$5001,"&lt;="&amp;$B142,BD!$V$3:$V$5001,"&lt;&gt;"))))</f>
        <v/>
      </c>
      <c r="T142" s="54" t="str">
        <f>IF(OR($B142="",$A142&gt;$B$9,T$140=""),"",IF(COUNTIFS(BD!$B$3:$B$5001,T$140,BD!$A$3:$A$5001,"&gt;="&amp;$C$7,BD!$A$3:$A$5001,"&lt;="&amp;$B142,BD!$V$3:$V$5001,"&lt;&gt;")=0,"",SUMIFS(BD!$V$3:$V$5001,BD!$B$3:$B$5001,T$140,BD!$A$3:$A$5001,_xlfn.MAXIFS(BD!$A$3:$A$5001,BD!$B$3:$B$5001,T$140,BD!$A$3:$A$5001,"&gt;="&amp;$C$7,BD!$A$3:$A$5001,"&lt;="&amp;$B142,BD!$V$3:$V$5001,"&lt;&gt;"))))</f>
        <v/>
      </c>
      <c r="U142" s="54" t="str">
        <f>IF(OR($B142="",$A142&gt;$B$9,U$140=""),"",IF(COUNTIFS(BD!$B$3:$B$5001,U$140,BD!$A$3:$A$5001,"&gt;="&amp;$C$7,BD!$A$3:$A$5001,"&lt;="&amp;$B142,BD!$V$3:$V$5001,"&lt;&gt;")=0,"",SUMIFS(BD!$V$3:$V$5001,BD!$B$3:$B$5001,U$140,BD!$A$3:$A$5001,_xlfn.MAXIFS(BD!$A$3:$A$5001,BD!$B$3:$B$5001,U$140,BD!$A$3:$A$5001,"&gt;="&amp;$C$7,BD!$A$3:$A$5001,"&lt;="&amp;$B142,BD!$V$3:$V$5001,"&lt;&gt;"))))</f>
        <v/>
      </c>
      <c r="V142" s="54" t="str">
        <f>IF(OR($B142="",$A142&gt;$B$9,V$140=""),"",IF(COUNTIFS(BD!$B$3:$B$5001,V$140,BD!$A$3:$A$5001,"&gt;="&amp;$C$7,BD!$A$3:$A$5001,"&lt;="&amp;$B142,BD!$V$3:$V$5001,"&lt;&gt;")=0,"",SUMIFS(BD!$V$3:$V$5001,BD!$B$3:$B$5001,V$140,BD!$A$3:$A$5001,_xlfn.MAXIFS(BD!$A$3:$A$5001,BD!$B$3:$B$5001,V$140,BD!$A$3:$A$5001,"&gt;="&amp;$C$7,BD!$A$3:$A$5001,"&lt;="&amp;$B142,BD!$V$3:$V$5001,"&lt;&gt;"))))</f>
        <v/>
      </c>
    </row>
    <row r="143">
      <c r="A143" s="48">
        <v>3</v>
      </c>
      <c r="B143" s="53">
        <f>$B$14</f>
        <v>46298</v>
      </c>
      <c r="C143" s="54" t="str">
        <f>IF(OR($B143="",$A143&gt;$B$9,C$140=""),"",IF(COUNTIFS(BD!$B$3:$B$5001,C$140,BD!$A$3:$A$5001,"&gt;="&amp;$C$7,BD!$A$3:$A$5001,"&lt;="&amp;$B143,BD!$V$3:$V$5001,"&lt;&gt;")=0,"",SUMIFS(BD!$V$3:$V$5001,BD!$B$3:$B$5001,C$140,BD!$A$3:$A$5001,_xlfn.MAXIFS(BD!$A$3:$A$5001,BD!$B$3:$B$5001,C$140,BD!$A$3:$A$5001,"&gt;="&amp;$C$7,BD!$A$3:$A$5001,"&lt;="&amp;$B143,BD!$V$3:$V$5001,"&lt;&gt;"))))</f>
        <v/>
      </c>
      <c r="D143" s="54" t="str">
        <f>IF(OR($B143="",$A143&gt;$B$9,D$140=""),"",IF(COUNTIFS(BD!$B$3:$B$5001,D$140,BD!$A$3:$A$5001,"&gt;="&amp;$C$7,BD!$A$3:$A$5001,"&lt;="&amp;$B143,BD!$V$3:$V$5001,"&lt;&gt;")=0,"",SUMIFS(BD!$V$3:$V$5001,BD!$B$3:$B$5001,D$140,BD!$A$3:$A$5001,_xlfn.MAXIFS(BD!$A$3:$A$5001,BD!$B$3:$B$5001,D$140,BD!$A$3:$A$5001,"&gt;="&amp;$C$7,BD!$A$3:$A$5001,"&lt;="&amp;$B143,BD!$V$3:$V$5001,"&lt;&gt;"))))</f>
        <v/>
      </c>
      <c r="E143" s="54" t="str">
        <f>IF(OR($B143="",$A143&gt;$B$9,E$140=""),"",IF(COUNTIFS(BD!$B$3:$B$5001,E$140,BD!$A$3:$A$5001,"&gt;="&amp;$C$7,BD!$A$3:$A$5001,"&lt;="&amp;$B143,BD!$V$3:$V$5001,"&lt;&gt;")=0,"",SUMIFS(BD!$V$3:$V$5001,BD!$B$3:$B$5001,E$140,BD!$A$3:$A$5001,_xlfn.MAXIFS(BD!$A$3:$A$5001,BD!$B$3:$B$5001,E$140,BD!$A$3:$A$5001,"&gt;="&amp;$C$7,BD!$A$3:$A$5001,"&lt;="&amp;$B143,BD!$V$3:$V$5001,"&lt;&gt;"))))</f>
        <v/>
      </c>
      <c r="F143" s="54" t="str">
        <f>IF(OR($B143="",$A143&gt;$B$9,F$140=""),"",IF(COUNTIFS(BD!$B$3:$B$5001,F$140,BD!$A$3:$A$5001,"&gt;="&amp;$C$7,BD!$A$3:$A$5001,"&lt;="&amp;$B143,BD!$V$3:$V$5001,"&lt;&gt;")=0,"",SUMIFS(BD!$V$3:$V$5001,BD!$B$3:$B$5001,F$140,BD!$A$3:$A$5001,_xlfn.MAXIFS(BD!$A$3:$A$5001,BD!$B$3:$B$5001,F$140,BD!$A$3:$A$5001,"&gt;="&amp;$C$7,BD!$A$3:$A$5001,"&lt;="&amp;$B143,BD!$V$3:$V$5001,"&lt;&gt;"))))</f>
        <v/>
      </c>
      <c r="G143" s="54" t="str">
        <f>IF(OR($B143="",$A143&gt;$B$9,G$140=""),"",IF(COUNTIFS(BD!$B$3:$B$5001,G$140,BD!$A$3:$A$5001,"&gt;="&amp;$C$7,BD!$A$3:$A$5001,"&lt;="&amp;$B143,BD!$V$3:$V$5001,"&lt;&gt;")=0,"",SUMIFS(BD!$V$3:$V$5001,BD!$B$3:$B$5001,G$140,BD!$A$3:$A$5001,_xlfn.MAXIFS(BD!$A$3:$A$5001,BD!$B$3:$B$5001,G$140,BD!$A$3:$A$5001,"&gt;="&amp;$C$7,BD!$A$3:$A$5001,"&lt;="&amp;$B143,BD!$V$3:$V$5001,"&lt;&gt;"))))</f>
        <v/>
      </c>
      <c r="H143" s="54" t="str">
        <f>IF(OR($B143="",$A143&gt;$B$9,H$140=""),"",IF(COUNTIFS(BD!$B$3:$B$5001,H$140,BD!$A$3:$A$5001,"&gt;="&amp;$C$7,BD!$A$3:$A$5001,"&lt;="&amp;$B143,BD!$V$3:$V$5001,"&lt;&gt;")=0,"",SUMIFS(BD!$V$3:$V$5001,BD!$B$3:$B$5001,H$140,BD!$A$3:$A$5001,_xlfn.MAXIFS(BD!$A$3:$A$5001,BD!$B$3:$B$5001,H$140,BD!$A$3:$A$5001,"&gt;="&amp;$C$7,BD!$A$3:$A$5001,"&lt;="&amp;$B143,BD!$V$3:$V$5001,"&lt;&gt;"))))</f>
        <v/>
      </c>
      <c r="I143" s="54" t="str">
        <f>IF(OR($B143="",$A143&gt;$B$9,I$140=""),"",IF(COUNTIFS(BD!$B$3:$B$5001,I$140,BD!$A$3:$A$5001,"&gt;="&amp;$C$7,BD!$A$3:$A$5001,"&lt;="&amp;$B143,BD!$V$3:$V$5001,"&lt;&gt;")=0,"",SUMIFS(BD!$V$3:$V$5001,BD!$B$3:$B$5001,I$140,BD!$A$3:$A$5001,_xlfn.MAXIFS(BD!$A$3:$A$5001,BD!$B$3:$B$5001,I$140,BD!$A$3:$A$5001,"&gt;="&amp;$C$7,BD!$A$3:$A$5001,"&lt;="&amp;$B143,BD!$V$3:$V$5001,"&lt;&gt;"))))</f>
        <v/>
      </c>
      <c r="J143" s="54" t="str">
        <f>IF(OR($B143="",$A143&gt;$B$9,J$140=""),"",IF(COUNTIFS(BD!$B$3:$B$5001,J$140,BD!$A$3:$A$5001,"&gt;="&amp;$C$7,BD!$A$3:$A$5001,"&lt;="&amp;$B143,BD!$V$3:$V$5001,"&lt;&gt;")=0,"",SUMIFS(BD!$V$3:$V$5001,BD!$B$3:$B$5001,J$140,BD!$A$3:$A$5001,_xlfn.MAXIFS(BD!$A$3:$A$5001,BD!$B$3:$B$5001,J$140,BD!$A$3:$A$5001,"&gt;="&amp;$C$7,BD!$A$3:$A$5001,"&lt;="&amp;$B143,BD!$V$3:$V$5001,"&lt;&gt;"))))</f>
        <v/>
      </c>
      <c r="K143" s="54" t="str">
        <f>IF(OR($B143="",$A143&gt;$B$9,K$140=""),"",IF(COUNTIFS(BD!$B$3:$B$5001,K$140,BD!$A$3:$A$5001,"&gt;="&amp;$C$7,BD!$A$3:$A$5001,"&lt;="&amp;$B143,BD!$V$3:$V$5001,"&lt;&gt;")=0,"",SUMIFS(BD!$V$3:$V$5001,BD!$B$3:$B$5001,K$140,BD!$A$3:$A$5001,_xlfn.MAXIFS(BD!$A$3:$A$5001,BD!$B$3:$B$5001,K$140,BD!$A$3:$A$5001,"&gt;="&amp;$C$7,BD!$A$3:$A$5001,"&lt;="&amp;$B143,BD!$V$3:$V$5001,"&lt;&gt;"))))</f>
        <v/>
      </c>
      <c r="L143" s="54" t="str">
        <f>IF(OR($B143="",$A143&gt;$B$9,L$140=""),"",IF(COUNTIFS(BD!$B$3:$B$5001,L$140,BD!$A$3:$A$5001,"&gt;="&amp;$C$7,BD!$A$3:$A$5001,"&lt;="&amp;$B143,BD!$V$3:$V$5001,"&lt;&gt;")=0,"",SUMIFS(BD!$V$3:$V$5001,BD!$B$3:$B$5001,L$140,BD!$A$3:$A$5001,_xlfn.MAXIFS(BD!$A$3:$A$5001,BD!$B$3:$B$5001,L$140,BD!$A$3:$A$5001,"&gt;="&amp;$C$7,BD!$A$3:$A$5001,"&lt;="&amp;$B143,BD!$V$3:$V$5001,"&lt;&gt;"))))</f>
        <v/>
      </c>
      <c r="M143" s="54" t="str">
        <f>IF(OR($B143="",$A143&gt;$B$9,M$140=""),"",IF(COUNTIFS(BD!$B$3:$B$5001,M$140,BD!$A$3:$A$5001,"&gt;="&amp;$C$7,BD!$A$3:$A$5001,"&lt;="&amp;$B143,BD!$V$3:$V$5001,"&lt;&gt;")=0,"",SUMIFS(BD!$V$3:$V$5001,BD!$B$3:$B$5001,M$140,BD!$A$3:$A$5001,_xlfn.MAXIFS(BD!$A$3:$A$5001,BD!$B$3:$B$5001,M$140,BD!$A$3:$A$5001,"&gt;="&amp;$C$7,BD!$A$3:$A$5001,"&lt;="&amp;$B143,BD!$V$3:$V$5001,"&lt;&gt;"))))</f>
        <v/>
      </c>
      <c r="N143" s="54" t="str">
        <f>IF(OR($B143="",$A143&gt;$B$9,N$140=""),"",IF(COUNTIFS(BD!$B$3:$B$5001,N$140,BD!$A$3:$A$5001,"&gt;="&amp;$C$7,BD!$A$3:$A$5001,"&lt;="&amp;$B143,BD!$V$3:$V$5001,"&lt;&gt;")=0,"",SUMIFS(BD!$V$3:$V$5001,BD!$B$3:$B$5001,N$140,BD!$A$3:$A$5001,_xlfn.MAXIFS(BD!$A$3:$A$5001,BD!$B$3:$B$5001,N$140,BD!$A$3:$A$5001,"&gt;="&amp;$C$7,BD!$A$3:$A$5001,"&lt;="&amp;$B143,BD!$V$3:$V$5001,"&lt;&gt;"))))</f>
        <v/>
      </c>
      <c r="O143" s="54" t="str">
        <f>IF(OR($B143="",$A143&gt;$B$9,O$140=""),"",IF(COUNTIFS(BD!$B$3:$B$5001,O$140,BD!$A$3:$A$5001,"&gt;="&amp;$C$7,BD!$A$3:$A$5001,"&lt;="&amp;$B143,BD!$V$3:$V$5001,"&lt;&gt;")=0,"",SUMIFS(BD!$V$3:$V$5001,BD!$B$3:$B$5001,O$140,BD!$A$3:$A$5001,_xlfn.MAXIFS(BD!$A$3:$A$5001,BD!$B$3:$B$5001,O$140,BD!$A$3:$A$5001,"&gt;="&amp;$C$7,BD!$A$3:$A$5001,"&lt;="&amp;$B143,BD!$V$3:$V$5001,"&lt;&gt;"))))</f>
        <v/>
      </c>
      <c r="P143" s="54" t="str">
        <f>IF(OR($B143="",$A143&gt;$B$9,P$140=""),"",IF(COUNTIFS(BD!$B$3:$B$5001,P$140,BD!$A$3:$A$5001,"&gt;="&amp;$C$7,BD!$A$3:$A$5001,"&lt;="&amp;$B143,BD!$V$3:$V$5001,"&lt;&gt;")=0,"",SUMIFS(BD!$V$3:$V$5001,BD!$B$3:$B$5001,P$140,BD!$A$3:$A$5001,_xlfn.MAXIFS(BD!$A$3:$A$5001,BD!$B$3:$B$5001,P$140,BD!$A$3:$A$5001,"&gt;="&amp;$C$7,BD!$A$3:$A$5001,"&lt;="&amp;$B143,BD!$V$3:$V$5001,"&lt;&gt;"))))</f>
        <v/>
      </c>
      <c r="Q143" s="54" t="str">
        <f>IF(OR($B143="",$A143&gt;$B$9,Q$140=""),"",IF(COUNTIFS(BD!$B$3:$B$5001,Q$140,BD!$A$3:$A$5001,"&gt;="&amp;$C$7,BD!$A$3:$A$5001,"&lt;="&amp;$B143,BD!$V$3:$V$5001,"&lt;&gt;")=0,"",SUMIFS(BD!$V$3:$V$5001,BD!$B$3:$B$5001,Q$140,BD!$A$3:$A$5001,_xlfn.MAXIFS(BD!$A$3:$A$5001,BD!$B$3:$B$5001,Q$140,BD!$A$3:$A$5001,"&gt;="&amp;$C$7,BD!$A$3:$A$5001,"&lt;="&amp;$B143,BD!$V$3:$V$5001,"&lt;&gt;"))))</f>
        <v/>
      </c>
      <c r="R143" s="54" t="str">
        <f>IF(OR($B143="",$A143&gt;$B$9,R$140=""),"",IF(COUNTIFS(BD!$B$3:$B$5001,R$140,BD!$A$3:$A$5001,"&gt;="&amp;$C$7,BD!$A$3:$A$5001,"&lt;="&amp;$B143,BD!$V$3:$V$5001,"&lt;&gt;")=0,"",SUMIFS(BD!$V$3:$V$5001,BD!$B$3:$B$5001,R$140,BD!$A$3:$A$5001,_xlfn.MAXIFS(BD!$A$3:$A$5001,BD!$B$3:$B$5001,R$140,BD!$A$3:$A$5001,"&gt;="&amp;$C$7,BD!$A$3:$A$5001,"&lt;="&amp;$B143,BD!$V$3:$V$5001,"&lt;&gt;"))))</f>
        <v/>
      </c>
      <c r="S143" s="54" t="str">
        <f>IF(OR($B143="",$A143&gt;$B$9,S$140=""),"",IF(COUNTIFS(BD!$B$3:$B$5001,S$140,BD!$A$3:$A$5001,"&gt;="&amp;$C$7,BD!$A$3:$A$5001,"&lt;="&amp;$B143,BD!$V$3:$V$5001,"&lt;&gt;")=0,"",SUMIFS(BD!$V$3:$V$5001,BD!$B$3:$B$5001,S$140,BD!$A$3:$A$5001,_xlfn.MAXIFS(BD!$A$3:$A$5001,BD!$B$3:$B$5001,S$140,BD!$A$3:$A$5001,"&gt;="&amp;$C$7,BD!$A$3:$A$5001,"&lt;="&amp;$B143,BD!$V$3:$V$5001,"&lt;&gt;"))))</f>
        <v/>
      </c>
      <c r="T143" s="54" t="str">
        <f>IF(OR($B143="",$A143&gt;$B$9,T$140=""),"",IF(COUNTIFS(BD!$B$3:$B$5001,T$140,BD!$A$3:$A$5001,"&gt;="&amp;$C$7,BD!$A$3:$A$5001,"&lt;="&amp;$B143,BD!$V$3:$V$5001,"&lt;&gt;")=0,"",SUMIFS(BD!$V$3:$V$5001,BD!$B$3:$B$5001,T$140,BD!$A$3:$A$5001,_xlfn.MAXIFS(BD!$A$3:$A$5001,BD!$B$3:$B$5001,T$140,BD!$A$3:$A$5001,"&gt;="&amp;$C$7,BD!$A$3:$A$5001,"&lt;="&amp;$B143,BD!$V$3:$V$5001,"&lt;&gt;"))))</f>
        <v/>
      </c>
      <c r="U143" s="54" t="str">
        <f>IF(OR($B143="",$A143&gt;$B$9,U$140=""),"",IF(COUNTIFS(BD!$B$3:$B$5001,U$140,BD!$A$3:$A$5001,"&gt;="&amp;$C$7,BD!$A$3:$A$5001,"&lt;="&amp;$B143,BD!$V$3:$V$5001,"&lt;&gt;")=0,"",SUMIFS(BD!$V$3:$V$5001,BD!$B$3:$B$5001,U$140,BD!$A$3:$A$5001,_xlfn.MAXIFS(BD!$A$3:$A$5001,BD!$B$3:$B$5001,U$140,BD!$A$3:$A$5001,"&gt;="&amp;$C$7,BD!$A$3:$A$5001,"&lt;="&amp;$B143,BD!$V$3:$V$5001,"&lt;&gt;"))))</f>
        <v/>
      </c>
      <c r="V143" s="54" t="str">
        <f>IF(OR($B143="",$A143&gt;$B$9,V$140=""),"",IF(COUNTIFS(BD!$B$3:$B$5001,V$140,BD!$A$3:$A$5001,"&gt;="&amp;$C$7,BD!$A$3:$A$5001,"&lt;="&amp;$B143,BD!$V$3:$V$5001,"&lt;&gt;")=0,"",SUMIFS(BD!$V$3:$V$5001,BD!$B$3:$B$5001,V$140,BD!$A$3:$A$5001,_xlfn.MAXIFS(BD!$A$3:$A$5001,BD!$B$3:$B$5001,V$140,BD!$A$3:$A$5001,"&gt;="&amp;$C$7,BD!$A$3:$A$5001,"&lt;="&amp;$B143,BD!$V$3:$V$5001,"&lt;&gt;"))))</f>
        <v/>
      </c>
    </row>
    <row r="144">
      <c r="A144" s="48">
        <v>4</v>
      </c>
      <c r="B144" s="53">
        <f>$B$15</f>
        <v>46299</v>
      </c>
      <c r="C144" s="54" t="str">
        <f>IF(OR($B144="",$A144&gt;$B$9,C$140=""),"",IF(COUNTIFS(BD!$B$3:$B$5001,C$140,BD!$A$3:$A$5001,"&gt;="&amp;$C$7,BD!$A$3:$A$5001,"&lt;="&amp;$B144,BD!$V$3:$V$5001,"&lt;&gt;")=0,"",SUMIFS(BD!$V$3:$V$5001,BD!$B$3:$B$5001,C$140,BD!$A$3:$A$5001,_xlfn.MAXIFS(BD!$A$3:$A$5001,BD!$B$3:$B$5001,C$140,BD!$A$3:$A$5001,"&gt;="&amp;$C$7,BD!$A$3:$A$5001,"&lt;="&amp;$B144,BD!$V$3:$V$5001,"&lt;&gt;"))))</f>
        <v/>
      </c>
      <c r="D144" s="54" t="str">
        <f>IF(OR($B144="",$A144&gt;$B$9,D$140=""),"",IF(COUNTIFS(BD!$B$3:$B$5001,D$140,BD!$A$3:$A$5001,"&gt;="&amp;$C$7,BD!$A$3:$A$5001,"&lt;="&amp;$B144,BD!$V$3:$V$5001,"&lt;&gt;")=0,"",SUMIFS(BD!$V$3:$V$5001,BD!$B$3:$B$5001,D$140,BD!$A$3:$A$5001,_xlfn.MAXIFS(BD!$A$3:$A$5001,BD!$B$3:$B$5001,D$140,BD!$A$3:$A$5001,"&gt;="&amp;$C$7,BD!$A$3:$A$5001,"&lt;="&amp;$B144,BD!$V$3:$V$5001,"&lt;&gt;"))))</f>
        <v/>
      </c>
      <c r="E144" s="54" t="str">
        <f>IF(OR($B144="",$A144&gt;$B$9,E$140=""),"",IF(COUNTIFS(BD!$B$3:$B$5001,E$140,BD!$A$3:$A$5001,"&gt;="&amp;$C$7,BD!$A$3:$A$5001,"&lt;="&amp;$B144,BD!$V$3:$V$5001,"&lt;&gt;")=0,"",SUMIFS(BD!$V$3:$V$5001,BD!$B$3:$B$5001,E$140,BD!$A$3:$A$5001,_xlfn.MAXIFS(BD!$A$3:$A$5001,BD!$B$3:$B$5001,E$140,BD!$A$3:$A$5001,"&gt;="&amp;$C$7,BD!$A$3:$A$5001,"&lt;="&amp;$B144,BD!$V$3:$V$5001,"&lt;&gt;"))))</f>
        <v/>
      </c>
      <c r="F144" s="54" t="str">
        <f>IF(OR($B144="",$A144&gt;$B$9,F$140=""),"",IF(COUNTIFS(BD!$B$3:$B$5001,F$140,BD!$A$3:$A$5001,"&gt;="&amp;$C$7,BD!$A$3:$A$5001,"&lt;="&amp;$B144,BD!$V$3:$V$5001,"&lt;&gt;")=0,"",SUMIFS(BD!$V$3:$V$5001,BD!$B$3:$B$5001,F$140,BD!$A$3:$A$5001,_xlfn.MAXIFS(BD!$A$3:$A$5001,BD!$B$3:$B$5001,F$140,BD!$A$3:$A$5001,"&gt;="&amp;$C$7,BD!$A$3:$A$5001,"&lt;="&amp;$B144,BD!$V$3:$V$5001,"&lt;&gt;"))))</f>
        <v/>
      </c>
      <c r="G144" s="54" t="str">
        <f>IF(OR($B144="",$A144&gt;$B$9,G$140=""),"",IF(COUNTIFS(BD!$B$3:$B$5001,G$140,BD!$A$3:$A$5001,"&gt;="&amp;$C$7,BD!$A$3:$A$5001,"&lt;="&amp;$B144,BD!$V$3:$V$5001,"&lt;&gt;")=0,"",SUMIFS(BD!$V$3:$V$5001,BD!$B$3:$B$5001,G$140,BD!$A$3:$A$5001,_xlfn.MAXIFS(BD!$A$3:$A$5001,BD!$B$3:$B$5001,G$140,BD!$A$3:$A$5001,"&gt;="&amp;$C$7,BD!$A$3:$A$5001,"&lt;="&amp;$B144,BD!$V$3:$V$5001,"&lt;&gt;"))))</f>
        <v/>
      </c>
      <c r="H144" s="54" t="str">
        <f>IF(OR($B144="",$A144&gt;$B$9,H$140=""),"",IF(COUNTIFS(BD!$B$3:$B$5001,H$140,BD!$A$3:$A$5001,"&gt;="&amp;$C$7,BD!$A$3:$A$5001,"&lt;="&amp;$B144,BD!$V$3:$V$5001,"&lt;&gt;")=0,"",SUMIFS(BD!$V$3:$V$5001,BD!$B$3:$B$5001,H$140,BD!$A$3:$A$5001,_xlfn.MAXIFS(BD!$A$3:$A$5001,BD!$B$3:$B$5001,H$140,BD!$A$3:$A$5001,"&gt;="&amp;$C$7,BD!$A$3:$A$5001,"&lt;="&amp;$B144,BD!$V$3:$V$5001,"&lt;&gt;"))))</f>
        <v/>
      </c>
      <c r="I144" s="54" t="str">
        <f>IF(OR($B144="",$A144&gt;$B$9,I$140=""),"",IF(COUNTIFS(BD!$B$3:$B$5001,I$140,BD!$A$3:$A$5001,"&gt;="&amp;$C$7,BD!$A$3:$A$5001,"&lt;="&amp;$B144,BD!$V$3:$V$5001,"&lt;&gt;")=0,"",SUMIFS(BD!$V$3:$V$5001,BD!$B$3:$B$5001,I$140,BD!$A$3:$A$5001,_xlfn.MAXIFS(BD!$A$3:$A$5001,BD!$B$3:$B$5001,I$140,BD!$A$3:$A$5001,"&gt;="&amp;$C$7,BD!$A$3:$A$5001,"&lt;="&amp;$B144,BD!$V$3:$V$5001,"&lt;&gt;"))))</f>
        <v/>
      </c>
      <c r="J144" s="54" t="str">
        <f>IF(OR($B144="",$A144&gt;$B$9,J$140=""),"",IF(COUNTIFS(BD!$B$3:$B$5001,J$140,BD!$A$3:$A$5001,"&gt;="&amp;$C$7,BD!$A$3:$A$5001,"&lt;="&amp;$B144,BD!$V$3:$V$5001,"&lt;&gt;")=0,"",SUMIFS(BD!$V$3:$V$5001,BD!$B$3:$B$5001,J$140,BD!$A$3:$A$5001,_xlfn.MAXIFS(BD!$A$3:$A$5001,BD!$B$3:$B$5001,J$140,BD!$A$3:$A$5001,"&gt;="&amp;$C$7,BD!$A$3:$A$5001,"&lt;="&amp;$B144,BD!$V$3:$V$5001,"&lt;&gt;"))))</f>
        <v/>
      </c>
      <c r="K144" s="54" t="str">
        <f>IF(OR($B144="",$A144&gt;$B$9,K$140=""),"",IF(COUNTIFS(BD!$B$3:$B$5001,K$140,BD!$A$3:$A$5001,"&gt;="&amp;$C$7,BD!$A$3:$A$5001,"&lt;="&amp;$B144,BD!$V$3:$V$5001,"&lt;&gt;")=0,"",SUMIFS(BD!$V$3:$V$5001,BD!$B$3:$B$5001,K$140,BD!$A$3:$A$5001,_xlfn.MAXIFS(BD!$A$3:$A$5001,BD!$B$3:$B$5001,K$140,BD!$A$3:$A$5001,"&gt;="&amp;$C$7,BD!$A$3:$A$5001,"&lt;="&amp;$B144,BD!$V$3:$V$5001,"&lt;&gt;"))))</f>
        <v/>
      </c>
      <c r="L144" s="54" t="str">
        <f>IF(OR($B144="",$A144&gt;$B$9,L$140=""),"",IF(COUNTIFS(BD!$B$3:$B$5001,L$140,BD!$A$3:$A$5001,"&gt;="&amp;$C$7,BD!$A$3:$A$5001,"&lt;="&amp;$B144,BD!$V$3:$V$5001,"&lt;&gt;")=0,"",SUMIFS(BD!$V$3:$V$5001,BD!$B$3:$B$5001,L$140,BD!$A$3:$A$5001,_xlfn.MAXIFS(BD!$A$3:$A$5001,BD!$B$3:$B$5001,L$140,BD!$A$3:$A$5001,"&gt;="&amp;$C$7,BD!$A$3:$A$5001,"&lt;="&amp;$B144,BD!$V$3:$V$5001,"&lt;&gt;"))))</f>
        <v/>
      </c>
      <c r="M144" s="54" t="str">
        <f>IF(OR($B144="",$A144&gt;$B$9,M$140=""),"",IF(COUNTIFS(BD!$B$3:$B$5001,M$140,BD!$A$3:$A$5001,"&gt;="&amp;$C$7,BD!$A$3:$A$5001,"&lt;="&amp;$B144,BD!$V$3:$V$5001,"&lt;&gt;")=0,"",SUMIFS(BD!$V$3:$V$5001,BD!$B$3:$B$5001,M$140,BD!$A$3:$A$5001,_xlfn.MAXIFS(BD!$A$3:$A$5001,BD!$B$3:$B$5001,M$140,BD!$A$3:$A$5001,"&gt;="&amp;$C$7,BD!$A$3:$A$5001,"&lt;="&amp;$B144,BD!$V$3:$V$5001,"&lt;&gt;"))))</f>
        <v/>
      </c>
      <c r="N144" s="54" t="str">
        <f>IF(OR($B144="",$A144&gt;$B$9,N$140=""),"",IF(COUNTIFS(BD!$B$3:$B$5001,N$140,BD!$A$3:$A$5001,"&gt;="&amp;$C$7,BD!$A$3:$A$5001,"&lt;="&amp;$B144,BD!$V$3:$V$5001,"&lt;&gt;")=0,"",SUMIFS(BD!$V$3:$V$5001,BD!$B$3:$B$5001,N$140,BD!$A$3:$A$5001,_xlfn.MAXIFS(BD!$A$3:$A$5001,BD!$B$3:$B$5001,N$140,BD!$A$3:$A$5001,"&gt;="&amp;$C$7,BD!$A$3:$A$5001,"&lt;="&amp;$B144,BD!$V$3:$V$5001,"&lt;&gt;"))))</f>
        <v/>
      </c>
      <c r="O144" s="54" t="str">
        <f>IF(OR($B144="",$A144&gt;$B$9,O$140=""),"",IF(COUNTIFS(BD!$B$3:$B$5001,O$140,BD!$A$3:$A$5001,"&gt;="&amp;$C$7,BD!$A$3:$A$5001,"&lt;="&amp;$B144,BD!$V$3:$V$5001,"&lt;&gt;")=0,"",SUMIFS(BD!$V$3:$V$5001,BD!$B$3:$B$5001,O$140,BD!$A$3:$A$5001,_xlfn.MAXIFS(BD!$A$3:$A$5001,BD!$B$3:$B$5001,O$140,BD!$A$3:$A$5001,"&gt;="&amp;$C$7,BD!$A$3:$A$5001,"&lt;="&amp;$B144,BD!$V$3:$V$5001,"&lt;&gt;"))))</f>
        <v/>
      </c>
      <c r="P144" s="54" t="str">
        <f>IF(OR($B144="",$A144&gt;$B$9,P$140=""),"",IF(COUNTIFS(BD!$B$3:$B$5001,P$140,BD!$A$3:$A$5001,"&gt;="&amp;$C$7,BD!$A$3:$A$5001,"&lt;="&amp;$B144,BD!$V$3:$V$5001,"&lt;&gt;")=0,"",SUMIFS(BD!$V$3:$V$5001,BD!$B$3:$B$5001,P$140,BD!$A$3:$A$5001,_xlfn.MAXIFS(BD!$A$3:$A$5001,BD!$B$3:$B$5001,P$140,BD!$A$3:$A$5001,"&gt;="&amp;$C$7,BD!$A$3:$A$5001,"&lt;="&amp;$B144,BD!$V$3:$V$5001,"&lt;&gt;"))))</f>
        <v/>
      </c>
      <c r="Q144" s="54" t="str">
        <f>IF(OR($B144="",$A144&gt;$B$9,Q$140=""),"",IF(COUNTIFS(BD!$B$3:$B$5001,Q$140,BD!$A$3:$A$5001,"&gt;="&amp;$C$7,BD!$A$3:$A$5001,"&lt;="&amp;$B144,BD!$V$3:$V$5001,"&lt;&gt;")=0,"",SUMIFS(BD!$V$3:$V$5001,BD!$B$3:$B$5001,Q$140,BD!$A$3:$A$5001,_xlfn.MAXIFS(BD!$A$3:$A$5001,BD!$B$3:$B$5001,Q$140,BD!$A$3:$A$5001,"&gt;="&amp;$C$7,BD!$A$3:$A$5001,"&lt;="&amp;$B144,BD!$V$3:$V$5001,"&lt;&gt;"))))</f>
        <v/>
      </c>
      <c r="R144" s="54" t="str">
        <f>IF(OR($B144="",$A144&gt;$B$9,R$140=""),"",IF(COUNTIFS(BD!$B$3:$B$5001,R$140,BD!$A$3:$A$5001,"&gt;="&amp;$C$7,BD!$A$3:$A$5001,"&lt;="&amp;$B144,BD!$V$3:$V$5001,"&lt;&gt;")=0,"",SUMIFS(BD!$V$3:$V$5001,BD!$B$3:$B$5001,R$140,BD!$A$3:$A$5001,_xlfn.MAXIFS(BD!$A$3:$A$5001,BD!$B$3:$B$5001,R$140,BD!$A$3:$A$5001,"&gt;="&amp;$C$7,BD!$A$3:$A$5001,"&lt;="&amp;$B144,BD!$V$3:$V$5001,"&lt;&gt;"))))</f>
        <v/>
      </c>
      <c r="S144" s="54" t="str">
        <f>IF(OR($B144="",$A144&gt;$B$9,S$140=""),"",IF(COUNTIFS(BD!$B$3:$B$5001,S$140,BD!$A$3:$A$5001,"&gt;="&amp;$C$7,BD!$A$3:$A$5001,"&lt;="&amp;$B144,BD!$V$3:$V$5001,"&lt;&gt;")=0,"",SUMIFS(BD!$V$3:$V$5001,BD!$B$3:$B$5001,S$140,BD!$A$3:$A$5001,_xlfn.MAXIFS(BD!$A$3:$A$5001,BD!$B$3:$B$5001,S$140,BD!$A$3:$A$5001,"&gt;="&amp;$C$7,BD!$A$3:$A$5001,"&lt;="&amp;$B144,BD!$V$3:$V$5001,"&lt;&gt;"))))</f>
        <v/>
      </c>
      <c r="T144" s="54" t="str">
        <f>IF(OR($B144="",$A144&gt;$B$9,T$140=""),"",IF(COUNTIFS(BD!$B$3:$B$5001,T$140,BD!$A$3:$A$5001,"&gt;="&amp;$C$7,BD!$A$3:$A$5001,"&lt;="&amp;$B144,BD!$V$3:$V$5001,"&lt;&gt;")=0,"",SUMIFS(BD!$V$3:$V$5001,BD!$B$3:$B$5001,T$140,BD!$A$3:$A$5001,_xlfn.MAXIFS(BD!$A$3:$A$5001,BD!$B$3:$B$5001,T$140,BD!$A$3:$A$5001,"&gt;="&amp;$C$7,BD!$A$3:$A$5001,"&lt;="&amp;$B144,BD!$V$3:$V$5001,"&lt;&gt;"))))</f>
        <v/>
      </c>
      <c r="U144" s="54" t="str">
        <f>IF(OR($B144="",$A144&gt;$B$9,U$140=""),"",IF(COUNTIFS(BD!$B$3:$B$5001,U$140,BD!$A$3:$A$5001,"&gt;="&amp;$C$7,BD!$A$3:$A$5001,"&lt;="&amp;$B144,BD!$V$3:$V$5001,"&lt;&gt;")=0,"",SUMIFS(BD!$V$3:$V$5001,BD!$B$3:$B$5001,U$140,BD!$A$3:$A$5001,_xlfn.MAXIFS(BD!$A$3:$A$5001,BD!$B$3:$B$5001,U$140,BD!$A$3:$A$5001,"&gt;="&amp;$C$7,BD!$A$3:$A$5001,"&lt;="&amp;$B144,BD!$V$3:$V$5001,"&lt;&gt;"))))</f>
        <v/>
      </c>
      <c r="V144" s="54" t="str">
        <f>IF(OR($B144="",$A144&gt;$B$9,V$140=""),"",IF(COUNTIFS(BD!$B$3:$B$5001,V$140,BD!$A$3:$A$5001,"&gt;="&amp;$C$7,BD!$A$3:$A$5001,"&lt;="&amp;$B144,BD!$V$3:$V$5001,"&lt;&gt;")=0,"",SUMIFS(BD!$V$3:$V$5001,BD!$B$3:$B$5001,V$140,BD!$A$3:$A$5001,_xlfn.MAXIFS(BD!$A$3:$A$5001,BD!$B$3:$B$5001,V$140,BD!$A$3:$A$5001,"&gt;="&amp;$C$7,BD!$A$3:$A$5001,"&lt;="&amp;$B144,BD!$V$3:$V$5001,"&lt;&gt;"))))</f>
        <v/>
      </c>
    </row>
    <row r="145">
      <c r="A145" s="48">
        <v>5</v>
      </c>
      <c r="B145" s="53">
        <f>$B$16</f>
        <v>46300</v>
      </c>
      <c r="C145" s="54" t="str">
        <f>IF(OR($B145="",$A145&gt;$B$9,C$140=""),"",IF(COUNTIFS(BD!$B$3:$B$5001,C$140,BD!$A$3:$A$5001,"&gt;="&amp;$C$7,BD!$A$3:$A$5001,"&lt;="&amp;$B145,BD!$V$3:$V$5001,"&lt;&gt;")=0,"",SUMIFS(BD!$V$3:$V$5001,BD!$B$3:$B$5001,C$140,BD!$A$3:$A$5001,_xlfn.MAXIFS(BD!$A$3:$A$5001,BD!$B$3:$B$5001,C$140,BD!$A$3:$A$5001,"&gt;="&amp;$C$7,BD!$A$3:$A$5001,"&lt;="&amp;$B145,BD!$V$3:$V$5001,"&lt;&gt;"))))</f>
        <v/>
      </c>
      <c r="D145" s="54" t="str">
        <f>IF(OR($B145="",$A145&gt;$B$9,D$140=""),"",IF(COUNTIFS(BD!$B$3:$B$5001,D$140,BD!$A$3:$A$5001,"&gt;="&amp;$C$7,BD!$A$3:$A$5001,"&lt;="&amp;$B145,BD!$V$3:$V$5001,"&lt;&gt;")=0,"",SUMIFS(BD!$V$3:$V$5001,BD!$B$3:$B$5001,D$140,BD!$A$3:$A$5001,_xlfn.MAXIFS(BD!$A$3:$A$5001,BD!$B$3:$B$5001,D$140,BD!$A$3:$A$5001,"&gt;="&amp;$C$7,BD!$A$3:$A$5001,"&lt;="&amp;$B145,BD!$V$3:$V$5001,"&lt;&gt;"))))</f>
        <v/>
      </c>
      <c r="E145" s="54" t="str">
        <f>IF(OR($B145="",$A145&gt;$B$9,E$140=""),"",IF(COUNTIFS(BD!$B$3:$B$5001,E$140,BD!$A$3:$A$5001,"&gt;="&amp;$C$7,BD!$A$3:$A$5001,"&lt;="&amp;$B145,BD!$V$3:$V$5001,"&lt;&gt;")=0,"",SUMIFS(BD!$V$3:$V$5001,BD!$B$3:$B$5001,E$140,BD!$A$3:$A$5001,_xlfn.MAXIFS(BD!$A$3:$A$5001,BD!$B$3:$B$5001,E$140,BD!$A$3:$A$5001,"&gt;="&amp;$C$7,BD!$A$3:$A$5001,"&lt;="&amp;$B145,BD!$V$3:$V$5001,"&lt;&gt;"))))</f>
        <v/>
      </c>
      <c r="F145" s="54" t="str">
        <f>IF(OR($B145="",$A145&gt;$B$9,F$140=""),"",IF(COUNTIFS(BD!$B$3:$B$5001,F$140,BD!$A$3:$A$5001,"&gt;="&amp;$C$7,BD!$A$3:$A$5001,"&lt;="&amp;$B145,BD!$V$3:$V$5001,"&lt;&gt;")=0,"",SUMIFS(BD!$V$3:$V$5001,BD!$B$3:$B$5001,F$140,BD!$A$3:$A$5001,_xlfn.MAXIFS(BD!$A$3:$A$5001,BD!$B$3:$B$5001,F$140,BD!$A$3:$A$5001,"&gt;="&amp;$C$7,BD!$A$3:$A$5001,"&lt;="&amp;$B145,BD!$V$3:$V$5001,"&lt;&gt;"))))</f>
        <v/>
      </c>
      <c r="G145" s="54" t="str">
        <f>IF(OR($B145="",$A145&gt;$B$9,G$140=""),"",IF(COUNTIFS(BD!$B$3:$B$5001,G$140,BD!$A$3:$A$5001,"&gt;="&amp;$C$7,BD!$A$3:$A$5001,"&lt;="&amp;$B145,BD!$V$3:$V$5001,"&lt;&gt;")=0,"",SUMIFS(BD!$V$3:$V$5001,BD!$B$3:$B$5001,G$140,BD!$A$3:$A$5001,_xlfn.MAXIFS(BD!$A$3:$A$5001,BD!$B$3:$B$5001,G$140,BD!$A$3:$A$5001,"&gt;="&amp;$C$7,BD!$A$3:$A$5001,"&lt;="&amp;$B145,BD!$V$3:$V$5001,"&lt;&gt;"))))</f>
        <v/>
      </c>
      <c r="H145" s="54" t="str">
        <f>IF(OR($B145="",$A145&gt;$B$9,H$140=""),"",IF(COUNTIFS(BD!$B$3:$B$5001,H$140,BD!$A$3:$A$5001,"&gt;="&amp;$C$7,BD!$A$3:$A$5001,"&lt;="&amp;$B145,BD!$V$3:$V$5001,"&lt;&gt;")=0,"",SUMIFS(BD!$V$3:$V$5001,BD!$B$3:$B$5001,H$140,BD!$A$3:$A$5001,_xlfn.MAXIFS(BD!$A$3:$A$5001,BD!$B$3:$B$5001,H$140,BD!$A$3:$A$5001,"&gt;="&amp;$C$7,BD!$A$3:$A$5001,"&lt;="&amp;$B145,BD!$V$3:$V$5001,"&lt;&gt;"))))</f>
        <v/>
      </c>
      <c r="I145" s="54" t="str">
        <f>IF(OR($B145="",$A145&gt;$B$9,I$140=""),"",IF(COUNTIFS(BD!$B$3:$B$5001,I$140,BD!$A$3:$A$5001,"&gt;="&amp;$C$7,BD!$A$3:$A$5001,"&lt;="&amp;$B145,BD!$V$3:$V$5001,"&lt;&gt;")=0,"",SUMIFS(BD!$V$3:$V$5001,BD!$B$3:$B$5001,I$140,BD!$A$3:$A$5001,_xlfn.MAXIFS(BD!$A$3:$A$5001,BD!$B$3:$B$5001,I$140,BD!$A$3:$A$5001,"&gt;="&amp;$C$7,BD!$A$3:$A$5001,"&lt;="&amp;$B145,BD!$V$3:$V$5001,"&lt;&gt;"))))</f>
        <v/>
      </c>
      <c r="J145" s="54" t="str">
        <f>IF(OR($B145="",$A145&gt;$B$9,J$140=""),"",IF(COUNTIFS(BD!$B$3:$B$5001,J$140,BD!$A$3:$A$5001,"&gt;="&amp;$C$7,BD!$A$3:$A$5001,"&lt;="&amp;$B145,BD!$V$3:$V$5001,"&lt;&gt;")=0,"",SUMIFS(BD!$V$3:$V$5001,BD!$B$3:$B$5001,J$140,BD!$A$3:$A$5001,_xlfn.MAXIFS(BD!$A$3:$A$5001,BD!$B$3:$B$5001,J$140,BD!$A$3:$A$5001,"&gt;="&amp;$C$7,BD!$A$3:$A$5001,"&lt;="&amp;$B145,BD!$V$3:$V$5001,"&lt;&gt;"))))</f>
        <v/>
      </c>
      <c r="K145" s="54" t="str">
        <f>IF(OR($B145="",$A145&gt;$B$9,K$140=""),"",IF(COUNTIFS(BD!$B$3:$B$5001,K$140,BD!$A$3:$A$5001,"&gt;="&amp;$C$7,BD!$A$3:$A$5001,"&lt;="&amp;$B145,BD!$V$3:$V$5001,"&lt;&gt;")=0,"",SUMIFS(BD!$V$3:$V$5001,BD!$B$3:$B$5001,K$140,BD!$A$3:$A$5001,_xlfn.MAXIFS(BD!$A$3:$A$5001,BD!$B$3:$B$5001,K$140,BD!$A$3:$A$5001,"&gt;="&amp;$C$7,BD!$A$3:$A$5001,"&lt;="&amp;$B145,BD!$V$3:$V$5001,"&lt;&gt;"))))</f>
        <v/>
      </c>
      <c r="L145" s="54" t="str">
        <f>IF(OR($B145="",$A145&gt;$B$9,L$140=""),"",IF(COUNTIFS(BD!$B$3:$B$5001,L$140,BD!$A$3:$A$5001,"&gt;="&amp;$C$7,BD!$A$3:$A$5001,"&lt;="&amp;$B145,BD!$V$3:$V$5001,"&lt;&gt;")=0,"",SUMIFS(BD!$V$3:$V$5001,BD!$B$3:$B$5001,L$140,BD!$A$3:$A$5001,_xlfn.MAXIFS(BD!$A$3:$A$5001,BD!$B$3:$B$5001,L$140,BD!$A$3:$A$5001,"&gt;="&amp;$C$7,BD!$A$3:$A$5001,"&lt;="&amp;$B145,BD!$V$3:$V$5001,"&lt;&gt;"))))</f>
        <v/>
      </c>
      <c r="M145" s="54" t="str">
        <f>IF(OR($B145="",$A145&gt;$B$9,M$140=""),"",IF(COUNTIFS(BD!$B$3:$B$5001,M$140,BD!$A$3:$A$5001,"&gt;="&amp;$C$7,BD!$A$3:$A$5001,"&lt;="&amp;$B145,BD!$V$3:$V$5001,"&lt;&gt;")=0,"",SUMIFS(BD!$V$3:$V$5001,BD!$B$3:$B$5001,M$140,BD!$A$3:$A$5001,_xlfn.MAXIFS(BD!$A$3:$A$5001,BD!$B$3:$B$5001,M$140,BD!$A$3:$A$5001,"&gt;="&amp;$C$7,BD!$A$3:$A$5001,"&lt;="&amp;$B145,BD!$V$3:$V$5001,"&lt;&gt;"))))</f>
        <v/>
      </c>
      <c r="N145" s="54" t="str">
        <f>IF(OR($B145="",$A145&gt;$B$9,N$140=""),"",IF(COUNTIFS(BD!$B$3:$B$5001,N$140,BD!$A$3:$A$5001,"&gt;="&amp;$C$7,BD!$A$3:$A$5001,"&lt;="&amp;$B145,BD!$V$3:$V$5001,"&lt;&gt;")=0,"",SUMIFS(BD!$V$3:$V$5001,BD!$B$3:$B$5001,N$140,BD!$A$3:$A$5001,_xlfn.MAXIFS(BD!$A$3:$A$5001,BD!$B$3:$B$5001,N$140,BD!$A$3:$A$5001,"&gt;="&amp;$C$7,BD!$A$3:$A$5001,"&lt;="&amp;$B145,BD!$V$3:$V$5001,"&lt;&gt;"))))</f>
        <v/>
      </c>
      <c r="O145" s="54" t="str">
        <f>IF(OR($B145="",$A145&gt;$B$9,O$140=""),"",IF(COUNTIFS(BD!$B$3:$B$5001,O$140,BD!$A$3:$A$5001,"&gt;="&amp;$C$7,BD!$A$3:$A$5001,"&lt;="&amp;$B145,BD!$V$3:$V$5001,"&lt;&gt;")=0,"",SUMIFS(BD!$V$3:$V$5001,BD!$B$3:$B$5001,O$140,BD!$A$3:$A$5001,_xlfn.MAXIFS(BD!$A$3:$A$5001,BD!$B$3:$B$5001,O$140,BD!$A$3:$A$5001,"&gt;="&amp;$C$7,BD!$A$3:$A$5001,"&lt;="&amp;$B145,BD!$V$3:$V$5001,"&lt;&gt;"))))</f>
        <v/>
      </c>
      <c r="P145" s="54" t="str">
        <f>IF(OR($B145="",$A145&gt;$B$9,P$140=""),"",IF(COUNTIFS(BD!$B$3:$B$5001,P$140,BD!$A$3:$A$5001,"&gt;="&amp;$C$7,BD!$A$3:$A$5001,"&lt;="&amp;$B145,BD!$V$3:$V$5001,"&lt;&gt;")=0,"",SUMIFS(BD!$V$3:$V$5001,BD!$B$3:$B$5001,P$140,BD!$A$3:$A$5001,_xlfn.MAXIFS(BD!$A$3:$A$5001,BD!$B$3:$B$5001,P$140,BD!$A$3:$A$5001,"&gt;="&amp;$C$7,BD!$A$3:$A$5001,"&lt;="&amp;$B145,BD!$V$3:$V$5001,"&lt;&gt;"))))</f>
        <v/>
      </c>
      <c r="Q145" s="54" t="str">
        <f>IF(OR($B145="",$A145&gt;$B$9,Q$140=""),"",IF(COUNTIFS(BD!$B$3:$B$5001,Q$140,BD!$A$3:$A$5001,"&gt;="&amp;$C$7,BD!$A$3:$A$5001,"&lt;="&amp;$B145,BD!$V$3:$V$5001,"&lt;&gt;")=0,"",SUMIFS(BD!$V$3:$V$5001,BD!$B$3:$B$5001,Q$140,BD!$A$3:$A$5001,_xlfn.MAXIFS(BD!$A$3:$A$5001,BD!$B$3:$B$5001,Q$140,BD!$A$3:$A$5001,"&gt;="&amp;$C$7,BD!$A$3:$A$5001,"&lt;="&amp;$B145,BD!$V$3:$V$5001,"&lt;&gt;"))))</f>
        <v/>
      </c>
      <c r="R145" s="54" t="str">
        <f>IF(OR($B145="",$A145&gt;$B$9,R$140=""),"",IF(COUNTIFS(BD!$B$3:$B$5001,R$140,BD!$A$3:$A$5001,"&gt;="&amp;$C$7,BD!$A$3:$A$5001,"&lt;="&amp;$B145,BD!$V$3:$V$5001,"&lt;&gt;")=0,"",SUMIFS(BD!$V$3:$V$5001,BD!$B$3:$B$5001,R$140,BD!$A$3:$A$5001,_xlfn.MAXIFS(BD!$A$3:$A$5001,BD!$B$3:$B$5001,R$140,BD!$A$3:$A$5001,"&gt;="&amp;$C$7,BD!$A$3:$A$5001,"&lt;="&amp;$B145,BD!$V$3:$V$5001,"&lt;&gt;"))))</f>
        <v/>
      </c>
      <c r="S145" s="54" t="str">
        <f>IF(OR($B145="",$A145&gt;$B$9,S$140=""),"",IF(COUNTIFS(BD!$B$3:$B$5001,S$140,BD!$A$3:$A$5001,"&gt;="&amp;$C$7,BD!$A$3:$A$5001,"&lt;="&amp;$B145,BD!$V$3:$V$5001,"&lt;&gt;")=0,"",SUMIFS(BD!$V$3:$V$5001,BD!$B$3:$B$5001,S$140,BD!$A$3:$A$5001,_xlfn.MAXIFS(BD!$A$3:$A$5001,BD!$B$3:$B$5001,S$140,BD!$A$3:$A$5001,"&gt;="&amp;$C$7,BD!$A$3:$A$5001,"&lt;="&amp;$B145,BD!$V$3:$V$5001,"&lt;&gt;"))))</f>
        <v/>
      </c>
      <c r="T145" s="54" t="str">
        <f>IF(OR($B145="",$A145&gt;$B$9,T$140=""),"",IF(COUNTIFS(BD!$B$3:$B$5001,T$140,BD!$A$3:$A$5001,"&gt;="&amp;$C$7,BD!$A$3:$A$5001,"&lt;="&amp;$B145,BD!$V$3:$V$5001,"&lt;&gt;")=0,"",SUMIFS(BD!$V$3:$V$5001,BD!$B$3:$B$5001,T$140,BD!$A$3:$A$5001,_xlfn.MAXIFS(BD!$A$3:$A$5001,BD!$B$3:$B$5001,T$140,BD!$A$3:$A$5001,"&gt;="&amp;$C$7,BD!$A$3:$A$5001,"&lt;="&amp;$B145,BD!$V$3:$V$5001,"&lt;&gt;"))))</f>
        <v/>
      </c>
      <c r="U145" s="54" t="str">
        <f>IF(OR($B145="",$A145&gt;$B$9,U$140=""),"",IF(COUNTIFS(BD!$B$3:$B$5001,U$140,BD!$A$3:$A$5001,"&gt;="&amp;$C$7,BD!$A$3:$A$5001,"&lt;="&amp;$B145,BD!$V$3:$V$5001,"&lt;&gt;")=0,"",SUMIFS(BD!$V$3:$V$5001,BD!$B$3:$B$5001,U$140,BD!$A$3:$A$5001,_xlfn.MAXIFS(BD!$A$3:$A$5001,BD!$B$3:$B$5001,U$140,BD!$A$3:$A$5001,"&gt;="&amp;$C$7,BD!$A$3:$A$5001,"&lt;="&amp;$B145,BD!$V$3:$V$5001,"&lt;&gt;"))))</f>
        <v/>
      </c>
      <c r="V145" s="54" t="str">
        <f>IF(OR($B145="",$A145&gt;$B$9,V$140=""),"",IF(COUNTIFS(BD!$B$3:$B$5001,V$140,BD!$A$3:$A$5001,"&gt;="&amp;$C$7,BD!$A$3:$A$5001,"&lt;="&amp;$B145,BD!$V$3:$V$5001,"&lt;&gt;")=0,"",SUMIFS(BD!$V$3:$V$5001,BD!$B$3:$B$5001,V$140,BD!$A$3:$A$5001,_xlfn.MAXIFS(BD!$A$3:$A$5001,BD!$B$3:$B$5001,V$140,BD!$A$3:$A$5001,"&gt;="&amp;$C$7,BD!$A$3:$A$5001,"&lt;="&amp;$B145,BD!$V$3:$V$5001,"&lt;&gt;"))))</f>
        <v/>
      </c>
    </row>
    <row r="146">
      <c r="A146" s="48">
        <v>6</v>
      </c>
      <c r="B146" s="53">
        <f>$B$17</f>
        <v>46301</v>
      </c>
      <c r="C146" s="54" t="str">
        <f>IF(OR($B146="",$A146&gt;$B$9,C$140=""),"",IF(COUNTIFS(BD!$B$3:$B$5001,C$140,BD!$A$3:$A$5001,"&gt;="&amp;$C$7,BD!$A$3:$A$5001,"&lt;="&amp;$B146,BD!$V$3:$V$5001,"&lt;&gt;")=0,"",SUMIFS(BD!$V$3:$V$5001,BD!$B$3:$B$5001,C$140,BD!$A$3:$A$5001,_xlfn.MAXIFS(BD!$A$3:$A$5001,BD!$B$3:$B$5001,C$140,BD!$A$3:$A$5001,"&gt;="&amp;$C$7,BD!$A$3:$A$5001,"&lt;="&amp;$B146,BD!$V$3:$V$5001,"&lt;&gt;"))))</f>
        <v/>
      </c>
      <c r="D146" s="54" t="str">
        <f>IF(OR($B146="",$A146&gt;$B$9,D$140=""),"",IF(COUNTIFS(BD!$B$3:$B$5001,D$140,BD!$A$3:$A$5001,"&gt;="&amp;$C$7,BD!$A$3:$A$5001,"&lt;="&amp;$B146,BD!$V$3:$V$5001,"&lt;&gt;")=0,"",SUMIFS(BD!$V$3:$V$5001,BD!$B$3:$B$5001,D$140,BD!$A$3:$A$5001,_xlfn.MAXIFS(BD!$A$3:$A$5001,BD!$B$3:$B$5001,D$140,BD!$A$3:$A$5001,"&gt;="&amp;$C$7,BD!$A$3:$A$5001,"&lt;="&amp;$B146,BD!$V$3:$V$5001,"&lt;&gt;"))))</f>
        <v/>
      </c>
      <c r="E146" s="54" t="str">
        <f>IF(OR($B146="",$A146&gt;$B$9,E$140=""),"",IF(COUNTIFS(BD!$B$3:$B$5001,E$140,BD!$A$3:$A$5001,"&gt;="&amp;$C$7,BD!$A$3:$A$5001,"&lt;="&amp;$B146,BD!$V$3:$V$5001,"&lt;&gt;")=0,"",SUMIFS(BD!$V$3:$V$5001,BD!$B$3:$B$5001,E$140,BD!$A$3:$A$5001,_xlfn.MAXIFS(BD!$A$3:$A$5001,BD!$B$3:$B$5001,E$140,BD!$A$3:$A$5001,"&gt;="&amp;$C$7,BD!$A$3:$A$5001,"&lt;="&amp;$B146,BD!$V$3:$V$5001,"&lt;&gt;"))))</f>
        <v/>
      </c>
      <c r="F146" s="54" t="str">
        <f>IF(OR($B146="",$A146&gt;$B$9,F$140=""),"",IF(COUNTIFS(BD!$B$3:$B$5001,F$140,BD!$A$3:$A$5001,"&gt;="&amp;$C$7,BD!$A$3:$A$5001,"&lt;="&amp;$B146,BD!$V$3:$V$5001,"&lt;&gt;")=0,"",SUMIFS(BD!$V$3:$V$5001,BD!$B$3:$B$5001,F$140,BD!$A$3:$A$5001,_xlfn.MAXIFS(BD!$A$3:$A$5001,BD!$B$3:$B$5001,F$140,BD!$A$3:$A$5001,"&gt;="&amp;$C$7,BD!$A$3:$A$5001,"&lt;="&amp;$B146,BD!$V$3:$V$5001,"&lt;&gt;"))))</f>
        <v/>
      </c>
      <c r="G146" s="54" t="str">
        <f>IF(OR($B146="",$A146&gt;$B$9,G$140=""),"",IF(COUNTIFS(BD!$B$3:$B$5001,G$140,BD!$A$3:$A$5001,"&gt;="&amp;$C$7,BD!$A$3:$A$5001,"&lt;="&amp;$B146,BD!$V$3:$V$5001,"&lt;&gt;")=0,"",SUMIFS(BD!$V$3:$V$5001,BD!$B$3:$B$5001,G$140,BD!$A$3:$A$5001,_xlfn.MAXIFS(BD!$A$3:$A$5001,BD!$B$3:$B$5001,G$140,BD!$A$3:$A$5001,"&gt;="&amp;$C$7,BD!$A$3:$A$5001,"&lt;="&amp;$B146,BD!$V$3:$V$5001,"&lt;&gt;"))))</f>
        <v/>
      </c>
      <c r="H146" s="54" t="str">
        <f>IF(OR($B146="",$A146&gt;$B$9,H$140=""),"",IF(COUNTIFS(BD!$B$3:$B$5001,H$140,BD!$A$3:$A$5001,"&gt;="&amp;$C$7,BD!$A$3:$A$5001,"&lt;="&amp;$B146,BD!$V$3:$V$5001,"&lt;&gt;")=0,"",SUMIFS(BD!$V$3:$V$5001,BD!$B$3:$B$5001,H$140,BD!$A$3:$A$5001,_xlfn.MAXIFS(BD!$A$3:$A$5001,BD!$B$3:$B$5001,H$140,BD!$A$3:$A$5001,"&gt;="&amp;$C$7,BD!$A$3:$A$5001,"&lt;="&amp;$B146,BD!$V$3:$V$5001,"&lt;&gt;"))))</f>
        <v/>
      </c>
      <c r="I146" s="54" t="str">
        <f>IF(OR($B146="",$A146&gt;$B$9,I$140=""),"",IF(COUNTIFS(BD!$B$3:$B$5001,I$140,BD!$A$3:$A$5001,"&gt;="&amp;$C$7,BD!$A$3:$A$5001,"&lt;="&amp;$B146,BD!$V$3:$V$5001,"&lt;&gt;")=0,"",SUMIFS(BD!$V$3:$V$5001,BD!$B$3:$B$5001,I$140,BD!$A$3:$A$5001,_xlfn.MAXIFS(BD!$A$3:$A$5001,BD!$B$3:$B$5001,I$140,BD!$A$3:$A$5001,"&gt;="&amp;$C$7,BD!$A$3:$A$5001,"&lt;="&amp;$B146,BD!$V$3:$V$5001,"&lt;&gt;"))))</f>
        <v/>
      </c>
      <c r="J146" s="54" t="str">
        <f>IF(OR($B146="",$A146&gt;$B$9,J$140=""),"",IF(COUNTIFS(BD!$B$3:$B$5001,J$140,BD!$A$3:$A$5001,"&gt;="&amp;$C$7,BD!$A$3:$A$5001,"&lt;="&amp;$B146,BD!$V$3:$V$5001,"&lt;&gt;")=0,"",SUMIFS(BD!$V$3:$V$5001,BD!$B$3:$B$5001,J$140,BD!$A$3:$A$5001,_xlfn.MAXIFS(BD!$A$3:$A$5001,BD!$B$3:$B$5001,J$140,BD!$A$3:$A$5001,"&gt;="&amp;$C$7,BD!$A$3:$A$5001,"&lt;="&amp;$B146,BD!$V$3:$V$5001,"&lt;&gt;"))))</f>
        <v/>
      </c>
      <c r="K146" s="54" t="str">
        <f>IF(OR($B146="",$A146&gt;$B$9,K$140=""),"",IF(COUNTIFS(BD!$B$3:$B$5001,K$140,BD!$A$3:$A$5001,"&gt;="&amp;$C$7,BD!$A$3:$A$5001,"&lt;="&amp;$B146,BD!$V$3:$V$5001,"&lt;&gt;")=0,"",SUMIFS(BD!$V$3:$V$5001,BD!$B$3:$B$5001,K$140,BD!$A$3:$A$5001,_xlfn.MAXIFS(BD!$A$3:$A$5001,BD!$B$3:$B$5001,K$140,BD!$A$3:$A$5001,"&gt;="&amp;$C$7,BD!$A$3:$A$5001,"&lt;="&amp;$B146,BD!$V$3:$V$5001,"&lt;&gt;"))))</f>
        <v/>
      </c>
      <c r="L146" s="54" t="str">
        <f>IF(OR($B146="",$A146&gt;$B$9,L$140=""),"",IF(COUNTIFS(BD!$B$3:$B$5001,L$140,BD!$A$3:$A$5001,"&gt;="&amp;$C$7,BD!$A$3:$A$5001,"&lt;="&amp;$B146,BD!$V$3:$V$5001,"&lt;&gt;")=0,"",SUMIFS(BD!$V$3:$V$5001,BD!$B$3:$B$5001,L$140,BD!$A$3:$A$5001,_xlfn.MAXIFS(BD!$A$3:$A$5001,BD!$B$3:$B$5001,L$140,BD!$A$3:$A$5001,"&gt;="&amp;$C$7,BD!$A$3:$A$5001,"&lt;="&amp;$B146,BD!$V$3:$V$5001,"&lt;&gt;"))))</f>
        <v/>
      </c>
      <c r="M146" s="54" t="str">
        <f>IF(OR($B146="",$A146&gt;$B$9,M$140=""),"",IF(COUNTIFS(BD!$B$3:$B$5001,M$140,BD!$A$3:$A$5001,"&gt;="&amp;$C$7,BD!$A$3:$A$5001,"&lt;="&amp;$B146,BD!$V$3:$V$5001,"&lt;&gt;")=0,"",SUMIFS(BD!$V$3:$V$5001,BD!$B$3:$B$5001,M$140,BD!$A$3:$A$5001,_xlfn.MAXIFS(BD!$A$3:$A$5001,BD!$B$3:$B$5001,M$140,BD!$A$3:$A$5001,"&gt;="&amp;$C$7,BD!$A$3:$A$5001,"&lt;="&amp;$B146,BD!$V$3:$V$5001,"&lt;&gt;"))))</f>
        <v/>
      </c>
      <c r="N146" s="54" t="str">
        <f>IF(OR($B146="",$A146&gt;$B$9,N$140=""),"",IF(COUNTIFS(BD!$B$3:$B$5001,N$140,BD!$A$3:$A$5001,"&gt;="&amp;$C$7,BD!$A$3:$A$5001,"&lt;="&amp;$B146,BD!$V$3:$V$5001,"&lt;&gt;")=0,"",SUMIFS(BD!$V$3:$V$5001,BD!$B$3:$B$5001,N$140,BD!$A$3:$A$5001,_xlfn.MAXIFS(BD!$A$3:$A$5001,BD!$B$3:$B$5001,N$140,BD!$A$3:$A$5001,"&gt;="&amp;$C$7,BD!$A$3:$A$5001,"&lt;="&amp;$B146,BD!$V$3:$V$5001,"&lt;&gt;"))))</f>
        <v/>
      </c>
      <c r="O146" s="54" t="str">
        <f>IF(OR($B146="",$A146&gt;$B$9,O$140=""),"",IF(COUNTIFS(BD!$B$3:$B$5001,O$140,BD!$A$3:$A$5001,"&gt;="&amp;$C$7,BD!$A$3:$A$5001,"&lt;="&amp;$B146,BD!$V$3:$V$5001,"&lt;&gt;")=0,"",SUMIFS(BD!$V$3:$V$5001,BD!$B$3:$B$5001,O$140,BD!$A$3:$A$5001,_xlfn.MAXIFS(BD!$A$3:$A$5001,BD!$B$3:$B$5001,O$140,BD!$A$3:$A$5001,"&gt;="&amp;$C$7,BD!$A$3:$A$5001,"&lt;="&amp;$B146,BD!$V$3:$V$5001,"&lt;&gt;"))))</f>
        <v/>
      </c>
      <c r="P146" s="54" t="str">
        <f>IF(OR($B146="",$A146&gt;$B$9,P$140=""),"",IF(COUNTIFS(BD!$B$3:$B$5001,P$140,BD!$A$3:$A$5001,"&gt;="&amp;$C$7,BD!$A$3:$A$5001,"&lt;="&amp;$B146,BD!$V$3:$V$5001,"&lt;&gt;")=0,"",SUMIFS(BD!$V$3:$V$5001,BD!$B$3:$B$5001,P$140,BD!$A$3:$A$5001,_xlfn.MAXIFS(BD!$A$3:$A$5001,BD!$B$3:$B$5001,P$140,BD!$A$3:$A$5001,"&gt;="&amp;$C$7,BD!$A$3:$A$5001,"&lt;="&amp;$B146,BD!$V$3:$V$5001,"&lt;&gt;"))))</f>
        <v/>
      </c>
      <c r="Q146" s="54" t="str">
        <f>IF(OR($B146="",$A146&gt;$B$9,Q$140=""),"",IF(COUNTIFS(BD!$B$3:$B$5001,Q$140,BD!$A$3:$A$5001,"&gt;="&amp;$C$7,BD!$A$3:$A$5001,"&lt;="&amp;$B146,BD!$V$3:$V$5001,"&lt;&gt;")=0,"",SUMIFS(BD!$V$3:$V$5001,BD!$B$3:$B$5001,Q$140,BD!$A$3:$A$5001,_xlfn.MAXIFS(BD!$A$3:$A$5001,BD!$B$3:$B$5001,Q$140,BD!$A$3:$A$5001,"&gt;="&amp;$C$7,BD!$A$3:$A$5001,"&lt;="&amp;$B146,BD!$V$3:$V$5001,"&lt;&gt;"))))</f>
        <v/>
      </c>
      <c r="R146" s="54" t="str">
        <f>IF(OR($B146="",$A146&gt;$B$9,R$140=""),"",IF(COUNTIFS(BD!$B$3:$B$5001,R$140,BD!$A$3:$A$5001,"&gt;="&amp;$C$7,BD!$A$3:$A$5001,"&lt;="&amp;$B146,BD!$V$3:$V$5001,"&lt;&gt;")=0,"",SUMIFS(BD!$V$3:$V$5001,BD!$B$3:$B$5001,R$140,BD!$A$3:$A$5001,_xlfn.MAXIFS(BD!$A$3:$A$5001,BD!$B$3:$B$5001,R$140,BD!$A$3:$A$5001,"&gt;="&amp;$C$7,BD!$A$3:$A$5001,"&lt;="&amp;$B146,BD!$V$3:$V$5001,"&lt;&gt;"))))</f>
        <v/>
      </c>
      <c r="S146" s="54" t="str">
        <f>IF(OR($B146="",$A146&gt;$B$9,S$140=""),"",IF(COUNTIFS(BD!$B$3:$B$5001,S$140,BD!$A$3:$A$5001,"&gt;="&amp;$C$7,BD!$A$3:$A$5001,"&lt;="&amp;$B146,BD!$V$3:$V$5001,"&lt;&gt;")=0,"",SUMIFS(BD!$V$3:$V$5001,BD!$B$3:$B$5001,S$140,BD!$A$3:$A$5001,_xlfn.MAXIFS(BD!$A$3:$A$5001,BD!$B$3:$B$5001,S$140,BD!$A$3:$A$5001,"&gt;="&amp;$C$7,BD!$A$3:$A$5001,"&lt;="&amp;$B146,BD!$V$3:$V$5001,"&lt;&gt;"))))</f>
        <v/>
      </c>
      <c r="T146" s="54" t="str">
        <f>IF(OR($B146="",$A146&gt;$B$9,T$140=""),"",IF(COUNTIFS(BD!$B$3:$B$5001,T$140,BD!$A$3:$A$5001,"&gt;="&amp;$C$7,BD!$A$3:$A$5001,"&lt;="&amp;$B146,BD!$V$3:$V$5001,"&lt;&gt;")=0,"",SUMIFS(BD!$V$3:$V$5001,BD!$B$3:$B$5001,T$140,BD!$A$3:$A$5001,_xlfn.MAXIFS(BD!$A$3:$A$5001,BD!$B$3:$B$5001,T$140,BD!$A$3:$A$5001,"&gt;="&amp;$C$7,BD!$A$3:$A$5001,"&lt;="&amp;$B146,BD!$V$3:$V$5001,"&lt;&gt;"))))</f>
        <v/>
      </c>
      <c r="U146" s="54" t="str">
        <f>IF(OR($B146="",$A146&gt;$B$9,U$140=""),"",IF(COUNTIFS(BD!$B$3:$B$5001,U$140,BD!$A$3:$A$5001,"&gt;="&amp;$C$7,BD!$A$3:$A$5001,"&lt;="&amp;$B146,BD!$V$3:$V$5001,"&lt;&gt;")=0,"",SUMIFS(BD!$V$3:$V$5001,BD!$B$3:$B$5001,U$140,BD!$A$3:$A$5001,_xlfn.MAXIFS(BD!$A$3:$A$5001,BD!$B$3:$B$5001,U$140,BD!$A$3:$A$5001,"&gt;="&amp;$C$7,BD!$A$3:$A$5001,"&lt;="&amp;$B146,BD!$V$3:$V$5001,"&lt;&gt;"))))</f>
        <v/>
      </c>
      <c r="V146" s="54" t="str">
        <f>IF(OR($B146="",$A146&gt;$B$9,V$140=""),"",IF(COUNTIFS(BD!$B$3:$B$5001,V$140,BD!$A$3:$A$5001,"&gt;="&amp;$C$7,BD!$A$3:$A$5001,"&lt;="&amp;$B146,BD!$V$3:$V$5001,"&lt;&gt;")=0,"",SUMIFS(BD!$V$3:$V$5001,BD!$B$3:$B$5001,V$140,BD!$A$3:$A$5001,_xlfn.MAXIFS(BD!$A$3:$A$5001,BD!$B$3:$B$5001,V$140,BD!$A$3:$A$5001,"&gt;="&amp;$C$7,BD!$A$3:$A$5001,"&lt;="&amp;$B146,BD!$V$3:$V$5001,"&lt;&gt;"))))</f>
        <v/>
      </c>
    </row>
    <row r="147">
      <c r="A147" s="48">
        <v>7</v>
      </c>
      <c r="B147" s="53">
        <f>$B$18</f>
        <v>46302</v>
      </c>
      <c r="C147" s="54" t="str">
        <f>IF(OR($B147="",$A147&gt;$B$9,C$140=""),"",IF(COUNTIFS(BD!$B$3:$B$5001,C$140,BD!$A$3:$A$5001,"&gt;="&amp;$C$7,BD!$A$3:$A$5001,"&lt;="&amp;$B147,BD!$V$3:$V$5001,"&lt;&gt;")=0,"",SUMIFS(BD!$V$3:$V$5001,BD!$B$3:$B$5001,C$140,BD!$A$3:$A$5001,_xlfn.MAXIFS(BD!$A$3:$A$5001,BD!$B$3:$B$5001,C$140,BD!$A$3:$A$5001,"&gt;="&amp;$C$7,BD!$A$3:$A$5001,"&lt;="&amp;$B147,BD!$V$3:$V$5001,"&lt;&gt;"))))</f>
        <v/>
      </c>
      <c r="D147" s="54" t="str">
        <f>IF(OR($B147="",$A147&gt;$B$9,D$140=""),"",IF(COUNTIFS(BD!$B$3:$B$5001,D$140,BD!$A$3:$A$5001,"&gt;="&amp;$C$7,BD!$A$3:$A$5001,"&lt;="&amp;$B147,BD!$V$3:$V$5001,"&lt;&gt;")=0,"",SUMIFS(BD!$V$3:$V$5001,BD!$B$3:$B$5001,D$140,BD!$A$3:$A$5001,_xlfn.MAXIFS(BD!$A$3:$A$5001,BD!$B$3:$B$5001,D$140,BD!$A$3:$A$5001,"&gt;="&amp;$C$7,BD!$A$3:$A$5001,"&lt;="&amp;$B147,BD!$V$3:$V$5001,"&lt;&gt;"))))</f>
        <v/>
      </c>
      <c r="E147" s="54" t="str">
        <f>IF(OR($B147="",$A147&gt;$B$9,E$140=""),"",IF(COUNTIFS(BD!$B$3:$B$5001,E$140,BD!$A$3:$A$5001,"&gt;="&amp;$C$7,BD!$A$3:$A$5001,"&lt;="&amp;$B147,BD!$V$3:$V$5001,"&lt;&gt;")=0,"",SUMIFS(BD!$V$3:$V$5001,BD!$B$3:$B$5001,E$140,BD!$A$3:$A$5001,_xlfn.MAXIFS(BD!$A$3:$A$5001,BD!$B$3:$B$5001,E$140,BD!$A$3:$A$5001,"&gt;="&amp;$C$7,BD!$A$3:$A$5001,"&lt;="&amp;$B147,BD!$V$3:$V$5001,"&lt;&gt;"))))</f>
        <v/>
      </c>
      <c r="F147" s="54" t="str">
        <f>IF(OR($B147="",$A147&gt;$B$9,F$140=""),"",IF(COUNTIFS(BD!$B$3:$B$5001,F$140,BD!$A$3:$A$5001,"&gt;="&amp;$C$7,BD!$A$3:$A$5001,"&lt;="&amp;$B147,BD!$V$3:$V$5001,"&lt;&gt;")=0,"",SUMIFS(BD!$V$3:$V$5001,BD!$B$3:$B$5001,F$140,BD!$A$3:$A$5001,_xlfn.MAXIFS(BD!$A$3:$A$5001,BD!$B$3:$B$5001,F$140,BD!$A$3:$A$5001,"&gt;="&amp;$C$7,BD!$A$3:$A$5001,"&lt;="&amp;$B147,BD!$V$3:$V$5001,"&lt;&gt;"))))</f>
        <v/>
      </c>
      <c r="G147" s="54" t="str">
        <f>IF(OR($B147="",$A147&gt;$B$9,G$140=""),"",IF(COUNTIFS(BD!$B$3:$B$5001,G$140,BD!$A$3:$A$5001,"&gt;="&amp;$C$7,BD!$A$3:$A$5001,"&lt;="&amp;$B147,BD!$V$3:$V$5001,"&lt;&gt;")=0,"",SUMIFS(BD!$V$3:$V$5001,BD!$B$3:$B$5001,G$140,BD!$A$3:$A$5001,_xlfn.MAXIFS(BD!$A$3:$A$5001,BD!$B$3:$B$5001,G$140,BD!$A$3:$A$5001,"&gt;="&amp;$C$7,BD!$A$3:$A$5001,"&lt;="&amp;$B147,BD!$V$3:$V$5001,"&lt;&gt;"))))</f>
        <v/>
      </c>
      <c r="H147" s="54" t="str">
        <f>IF(OR($B147="",$A147&gt;$B$9,H$140=""),"",IF(COUNTIFS(BD!$B$3:$B$5001,H$140,BD!$A$3:$A$5001,"&gt;="&amp;$C$7,BD!$A$3:$A$5001,"&lt;="&amp;$B147,BD!$V$3:$V$5001,"&lt;&gt;")=0,"",SUMIFS(BD!$V$3:$V$5001,BD!$B$3:$B$5001,H$140,BD!$A$3:$A$5001,_xlfn.MAXIFS(BD!$A$3:$A$5001,BD!$B$3:$B$5001,H$140,BD!$A$3:$A$5001,"&gt;="&amp;$C$7,BD!$A$3:$A$5001,"&lt;="&amp;$B147,BD!$V$3:$V$5001,"&lt;&gt;"))))</f>
        <v/>
      </c>
      <c r="I147" s="54" t="str">
        <f>IF(OR($B147="",$A147&gt;$B$9,I$140=""),"",IF(COUNTIFS(BD!$B$3:$B$5001,I$140,BD!$A$3:$A$5001,"&gt;="&amp;$C$7,BD!$A$3:$A$5001,"&lt;="&amp;$B147,BD!$V$3:$V$5001,"&lt;&gt;")=0,"",SUMIFS(BD!$V$3:$V$5001,BD!$B$3:$B$5001,I$140,BD!$A$3:$A$5001,_xlfn.MAXIFS(BD!$A$3:$A$5001,BD!$B$3:$B$5001,I$140,BD!$A$3:$A$5001,"&gt;="&amp;$C$7,BD!$A$3:$A$5001,"&lt;="&amp;$B147,BD!$V$3:$V$5001,"&lt;&gt;"))))</f>
        <v/>
      </c>
      <c r="J147" s="54" t="str">
        <f>IF(OR($B147="",$A147&gt;$B$9,J$140=""),"",IF(COUNTIFS(BD!$B$3:$B$5001,J$140,BD!$A$3:$A$5001,"&gt;="&amp;$C$7,BD!$A$3:$A$5001,"&lt;="&amp;$B147,BD!$V$3:$V$5001,"&lt;&gt;")=0,"",SUMIFS(BD!$V$3:$V$5001,BD!$B$3:$B$5001,J$140,BD!$A$3:$A$5001,_xlfn.MAXIFS(BD!$A$3:$A$5001,BD!$B$3:$B$5001,J$140,BD!$A$3:$A$5001,"&gt;="&amp;$C$7,BD!$A$3:$A$5001,"&lt;="&amp;$B147,BD!$V$3:$V$5001,"&lt;&gt;"))))</f>
        <v/>
      </c>
      <c r="K147" s="54" t="str">
        <f>IF(OR($B147="",$A147&gt;$B$9,K$140=""),"",IF(COUNTIFS(BD!$B$3:$B$5001,K$140,BD!$A$3:$A$5001,"&gt;="&amp;$C$7,BD!$A$3:$A$5001,"&lt;="&amp;$B147,BD!$V$3:$V$5001,"&lt;&gt;")=0,"",SUMIFS(BD!$V$3:$V$5001,BD!$B$3:$B$5001,K$140,BD!$A$3:$A$5001,_xlfn.MAXIFS(BD!$A$3:$A$5001,BD!$B$3:$B$5001,K$140,BD!$A$3:$A$5001,"&gt;="&amp;$C$7,BD!$A$3:$A$5001,"&lt;="&amp;$B147,BD!$V$3:$V$5001,"&lt;&gt;"))))</f>
        <v/>
      </c>
      <c r="L147" s="54" t="str">
        <f>IF(OR($B147="",$A147&gt;$B$9,L$140=""),"",IF(COUNTIFS(BD!$B$3:$B$5001,L$140,BD!$A$3:$A$5001,"&gt;="&amp;$C$7,BD!$A$3:$A$5001,"&lt;="&amp;$B147,BD!$V$3:$V$5001,"&lt;&gt;")=0,"",SUMIFS(BD!$V$3:$V$5001,BD!$B$3:$B$5001,L$140,BD!$A$3:$A$5001,_xlfn.MAXIFS(BD!$A$3:$A$5001,BD!$B$3:$B$5001,L$140,BD!$A$3:$A$5001,"&gt;="&amp;$C$7,BD!$A$3:$A$5001,"&lt;="&amp;$B147,BD!$V$3:$V$5001,"&lt;&gt;"))))</f>
        <v/>
      </c>
      <c r="M147" s="54" t="str">
        <f>IF(OR($B147="",$A147&gt;$B$9,M$140=""),"",IF(COUNTIFS(BD!$B$3:$B$5001,M$140,BD!$A$3:$A$5001,"&gt;="&amp;$C$7,BD!$A$3:$A$5001,"&lt;="&amp;$B147,BD!$V$3:$V$5001,"&lt;&gt;")=0,"",SUMIFS(BD!$V$3:$V$5001,BD!$B$3:$B$5001,M$140,BD!$A$3:$A$5001,_xlfn.MAXIFS(BD!$A$3:$A$5001,BD!$B$3:$B$5001,M$140,BD!$A$3:$A$5001,"&gt;="&amp;$C$7,BD!$A$3:$A$5001,"&lt;="&amp;$B147,BD!$V$3:$V$5001,"&lt;&gt;"))))</f>
        <v/>
      </c>
      <c r="N147" s="54" t="str">
        <f>IF(OR($B147="",$A147&gt;$B$9,N$140=""),"",IF(COUNTIFS(BD!$B$3:$B$5001,N$140,BD!$A$3:$A$5001,"&gt;="&amp;$C$7,BD!$A$3:$A$5001,"&lt;="&amp;$B147,BD!$V$3:$V$5001,"&lt;&gt;")=0,"",SUMIFS(BD!$V$3:$V$5001,BD!$B$3:$B$5001,N$140,BD!$A$3:$A$5001,_xlfn.MAXIFS(BD!$A$3:$A$5001,BD!$B$3:$B$5001,N$140,BD!$A$3:$A$5001,"&gt;="&amp;$C$7,BD!$A$3:$A$5001,"&lt;="&amp;$B147,BD!$V$3:$V$5001,"&lt;&gt;"))))</f>
        <v/>
      </c>
      <c r="O147" s="54" t="str">
        <f>IF(OR($B147="",$A147&gt;$B$9,O$140=""),"",IF(COUNTIFS(BD!$B$3:$B$5001,O$140,BD!$A$3:$A$5001,"&gt;="&amp;$C$7,BD!$A$3:$A$5001,"&lt;="&amp;$B147,BD!$V$3:$V$5001,"&lt;&gt;")=0,"",SUMIFS(BD!$V$3:$V$5001,BD!$B$3:$B$5001,O$140,BD!$A$3:$A$5001,_xlfn.MAXIFS(BD!$A$3:$A$5001,BD!$B$3:$B$5001,O$140,BD!$A$3:$A$5001,"&gt;="&amp;$C$7,BD!$A$3:$A$5001,"&lt;="&amp;$B147,BD!$V$3:$V$5001,"&lt;&gt;"))))</f>
        <v/>
      </c>
      <c r="P147" s="54" t="str">
        <f>IF(OR($B147="",$A147&gt;$B$9,P$140=""),"",IF(COUNTIFS(BD!$B$3:$B$5001,P$140,BD!$A$3:$A$5001,"&gt;="&amp;$C$7,BD!$A$3:$A$5001,"&lt;="&amp;$B147,BD!$V$3:$V$5001,"&lt;&gt;")=0,"",SUMIFS(BD!$V$3:$V$5001,BD!$B$3:$B$5001,P$140,BD!$A$3:$A$5001,_xlfn.MAXIFS(BD!$A$3:$A$5001,BD!$B$3:$B$5001,P$140,BD!$A$3:$A$5001,"&gt;="&amp;$C$7,BD!$A$3:$A$5001,"&lt;="&amp;$B147,BD!$V$3:$V$5001,"&lt;&gt;"))))</f>
        <v/>
      </c>
      <c r="Q147" s="54" t="str">
        <f>IF(OR($B147="",$A147&gt;$B$9,Q$140=""),"",IF(COUNTIFS(BD!$B$3:$B$5001,Q$140,BD!$A$3:$A$5001,"&gt;="&amp;$C$7,BD!$A$3:$A$5001,"&lt;="&amp;$B147,BD!$V$3:$V$5001,"&lt;&gt;")=0,"",SUMIFS(BD!$V$3:$V$5001,BD!$B$3:$B$5001,Q$140,BD!$A$3:$A$5001,_xlfn.MAXIFS(BD!$A$3:$A$5001,BD!$B$3:$B$5001,Q$140,BD!$A$3:$A$5001,"&gt;="&amp;$C$7,BD!$A$3:$A$5001,"&lt;="&amp;$B147,BD!$V$3:$V$5001,"&lt;&gt;"))))</f>
        <v/>
      </c>
      <c r="R147" s="54" t="str">
        <f>IF(OR($B147="",$A147&gt;$B$9,R$140=""),"",IF(COUNTIFS(BD!$B$3:$B$5001,R$140,BD!$A$3:$A$5001,"&gt;="&amp;$C$7,BD!$A$3:$A$5001,"&lt;="&amp;$B147,BD!$V$3:$V$5001,"&lt;&gt;")=0,"",SUMIFS(BD!$V$3:$V$5001,BD!$B$3:$B$5001,R$140,BD!$A$3:$A$5001,_xlfn.MAXIFS(BD!$A$3:$A$5001,BD!$B$3:$B$5001,R$140,BD!$A$3:$A$5001,"&gt;="&amp;$C$7,BD!$A$3:$A$5001,"&lt;="&amp;$B147,BD!$V$3:$V$5001,"&lt;&gt;"))))</f>
        <v/>
      </c>
      <c r="S147" s="54" t="str">
        <f>IF(OR($B147="",$A147&gt;$B$9,S$140=""),"",IF(COUNTIFS(BD!$B$3:$B$5001,S$140,BD!$A$3:$A$5001,"&gt;="&amp;$C$7,BD!$A$3:$A$5001,"&lt;="&amp;$B147,BD!$V$3:$V$5001,"&lt;&gt;")=0,"",SUMIFS(BD!$V$3:$V$5001,BD!$B$3:$B$5001,S$140,BD!$A$3:$A$5001,_xlfn.MAXIFS(BD!$A$3:$A$5001,BD!$B$3:$B$5001,S$140,BD!$A$3:$A$5001,"&gt;="&amp;$C$7,BD!$A$3:$A$5001,"&lt;="&amp;$B147,BD!$V$3:$V$5001,"&lt;&gt;"))))</f>
        <v/>
      </c>
      <c r="T147" s="54" t="str">
        <f>IF(OR($B147="",$A147&gt;$B$9,T$140=""),"",IF(COUNTIFS(BD!$B$3:$B$5001,T$140,BD!$A$3:$A$5001,"&gt;="&amp;$C$7,BD!$A$3:$A$5001,"&lt;="&amp;$B147,BD!$V$3:$V$5001,"&lt;&gt;")=0,"",SUMIFS(BD!$V$3:$V$5001,BD!$B$3:$B$5001,T$140,BD!$A$3:$A$5001,_xlfn.MAXIFS(BD!$A$3:$A$5001,BD!$B$3:$B$5001,T$140,BD!$A$3:$A$5001,"&gt;="&amp;$C$7,BD!$A$3:$A$5001,"&lt;="&amp;$B147,BD!$V$3:$V$5001,"&lt;&gt;"))))</f>
        <v/>
      </c>
      <c r="U147" s="54" t="str">
        <f>IF(OR($B147="",$A147&gt;$B$9,U$140=""),"",IF(COUNTIFS(BD!$B$3:$B$5001,U$140,BD!$A$3:$A$5001,"&gt;="&amp;$C$7,BD!$A$3:$A$5001,"&lt;="&amp;$B147,BD!$V$3:$V$5001,"&lt;&gt;")=0,"",SUMIFS(BD!$V$3:$V$5001,BD!$B$3:$B$5001,U$140,BD!$A$3:$A$5001,_xlfn.MAXIFS(BD!$A$3:$A$5001,BD!$B$3:$B$5001,U$140,BD!$A$3:$A$5001,"&gt;="&amp;$C$7,BD!$A$3:$A$5001,"&lt;="&amp;$B147,BD!$V$3:$V$5001,"&lt;&gt;"))))</f>
        <v/>
      </c>
      <c r="V147" s="54" t="str">
        <f>IF(OR($B147="",$A147&gt;$B$9,V$140=""),"",IF(COUNTIFS(BD!$B$3:$B$5001,V$140,BD!$A$3:$A$5001,"&gt;="&amp;$C$7,BD!$A$3:$A$5001,"&lt;="&amp;$B147,BD!$V$3:$V$5001,"&lt;&gt;")=0,"",SUMIFS(BD!$V$3:$V$5001,BD!$B$3:$B$5001,V$140,BD!$A$3:$A$5001,_xlfn.MAXIFS(BD!$A$3:$A$5001,BD!$B$3:$B$5001,V$140,BD!$A$3:$A$5001,"&gt;="&amp;$C$7,BD!$A$3:$A$5001,"&lt;="&amp;$B147,BD!$V$3:$V$5001,"&lt;&gt;"))))</f>
        <v/>
      </c>
    </row>
    <row r="148">
      <c r="A148" s="48">
        <v>8</v>
      </c>
      <c r="B148" s="53">
        <f>$B$19</f>
        <v>46303</v>
      </c>
      <c r="C148" s="54" t="str">
        <f>IF(OR($B148="",$A148&gt;$B$9,C$140=""),"",IF(COUNTIFS(BD!$B$3:$B$5001,C$140,BD!$A$3:$A$5001,"&gt;="&amp;$C$7,BD!$A$3:$A$5001,"&lt;="&amp;$B148,BD!$V$3:$V$5001,"&lt;&gt;")=0,"",SUMIFS(BD!$V$3:$V$5001,BD!$B$3:$B$5001,C$140,BD!$A$3:$A$5001,_xlfn.MAXIFS(BD!$A$3:$A$5001,BD!$B$3:$B$5001,C$140,BD!$A$3:$A$5001,"&gt;="&amp;$C$7,BD!$A$3:$A$5001,"&lt;="&amp;$B148,BD!$V$3:$V$5001,"&lt;&gt;"))))</f>
        <v/>
      </c>
      <c r="D148" s="54" t="str">
        <f>IF(OR($B148="",$A148&gt;$B$9,D$140=""),"",IF(COUNTIFS(BD!$B$3:$B$5001,D$140,BD!$A$3:$A$5001,"&gt;="&amp;$C$7,BD!$A$3:$A$5001,"&lt;="&amp;$B148,BD!$V$3:$V$5001,"&lt;&gt;")=0,"",SUMIFS(BD!$V$3:$V$5001,BD!$B$3:$B$5001,D$140,BD!$A$3:$A$5001,_xlfn.MAXIFS(BD!$A$3:$A$5001,BD!$B$3:$B$5001,D$140,BD!$A$3:$A$5001,"&gt;="&amp;$C$7,BD!$A$3:$A$5001,"&lt;="&amp;$B148,BD!$V$3:$V$5001,"&lt;&gt;"))))</f>
        <v/>
      </c>
      <c r="E148" s="54" t="str">
        <f>IF(OR($B148="",$A148&gt;$B$9,E$140=""),"",IF(COUNTIFS(BD!$B$3:$B$5001,E$140,BD!$A$3:$A$5001,"&gt;="&amp;$C$7,BD!$A$3:$A$5001,"&lt;="&amp;$B148,BD!$V$3:$V$5001,"&lt;&gt;")=0,"",SUMIFS(BD!$V$3:$V$5001,BD!$B$3:$B$5001,E$140,BD!$A$3:$A$5001,_xlfn.MAXIFS(BD!$A$3:$A$5001,BD!$B$3:$B$5001,E$140,BD!$A$3:$A$5001,"&gt;="&amp;$C$7,BD!$A$3:$A$5001,"&lt;="&amp;$B148,BD!$V$3:$V$5001,"&lt;&gt;"))))</f>
        <v/>
      </c>
      <c r="F148" s="54" t="str">
        <f>IF(OR($B148="",$A148&gt;$B$9,F$140=""),"",IF(COUNTIFS(BD!$B$3:$B$5001,F$140,BD!$A$3:$A$5001,"&gt;="&amp;$C$7,BD!$A$3:$A$5001,"&lt;="&amp;$B148,BD!$V$3:$V$5001,"&lt;&gt;")=0,"",SUMIFS(BD!$V$3:$V$5001,BD!$B$3:$B$5001,F$140,BD!$A$3:$A$5001,_xlfn.MAXIFS(BD!$A$3:$A$5001,BD!$B$3:$B$5001,F$140,BD!$A$3:$A$5001,"&gt;="&amp;$C$7,BD!$A$3:$A$5001,"&lt;="&amp;$B148,BD!$V$3:$V$5001,"&lt;&gt;"))))</f>
        <v/>
      </c>
      <c r="G148" s="54" t="str">
        <f>IF(OR($B148="",$A148&gt;$B$9,G$140=""),"",IF(COUNTIFS(BD!$B$3:$B$5001,G$140,BD!$A$3:$A$5001,"&gt;="&amp;$C$7,BD!$A$3:$A$5001,"&lt;="&amp;$B148,BD!$V$3:$V$5001,"&lt;&gt;")=0,"",SUMIFS(BD!$V$3:$V$5001,BD!$B$3:$B$5001,G$140,BD!$A$3:$A$5001,_xlfn.MAXIFS(BD!$A$3:$A$5001,BD!$B$3:$B$5001,G$140,BD!$A$3:$A$5001,"&gt;="&amp;$C$7,BD!$A$3:$A$5001,"&lt;="&amp;$B148,BD!$V$3:$V$5001,"&lt;&gt;"))))</f>
        <v/>
      </c>
      <c r="H148" s="54" t="str">
        <f>IF(OR($B148="",$A148&gt;$B$9,H$140=""),"",IF(COUNTIFS(BD!$B$3:$B$5001,H$140,BD!$A$3:$A$5001,"&gt;="&amp;$C$7,BD!$A$3:$A$5001,"&lt;="&amp;$B148,BD!$V$3:$V$5001,"&lt;&gt;")=0,"",SUMIFS(BD!$V$3:$V$5001,BD!$B$3:$B$5001,H$140,BD!$A$3:$A$5001,_xlfn.MAXIFS(BD!$A$3:$A$5001,BD!$B$3:$B$5001,H$140,BD!$A$3:$A$5001,"&gt;="&amp;$C$7,BD!$A$3:$A$5001,"&lt;="&amp;$B148,BD!$V$3:$V$5001,"&lt;&gt;"))))</f>
        <v/>
      </c>
      <c r="I148" s="54" t="str">
        <f>IF(OR($B148="",$A148&gt;$B$9,I$140=""),"",IF(COUNTIFS(BD!$B$3:$B$5001,I$140,BD!$A$3:$A$5001,"&gt;="&amp;$C$7,BD!$A$3:$A$5001,"&lt;="&amp;$B148,BD!$V$3:$V$5001,"&lt;&gt;")=0,"",SUMIFS(BD!$V$3:$V$5001,BD!$B$3:$B$5001,I$140,BD!$A$3:$A$5001,_xlfn.MAXIFS(BD!$A$3:$A$5001,BD!$B$3:$B$5001,I$140,BD!$A$3:$A$5001,"&gt;="&amp;$C$7,BD!$A$3:$A$5001,"&lt;="&amp;$B148,BD!$V$3:$V$5001,"&lt;&gt;"))))</f>
        <v/>
      </c>
      <c r="J148" s="54" t="str">
        <f>IF(OR($B148="",$A148&gt;$B$9,J$140=""),"",IF(COUNTIFS(BD!$B$3:$B$5001,J$140,BD!$A$3:$A$5001,"&gt;="&amp;$C$7,BD!$A$3:$A$5001,"&lt;="&amp;$B148,BD!$V$3:$V$5001,"&lt;&gt;")=0,"",SUMIFS(BD!$V$3:$V$5001,BD!$B$3:$B$5001,J$140,BD!$A$3:$A$5001,_xlfn.MAXIFS(BD!$A$3:$A$5001,BD!$B$3:$B$5001,J$140,BD!$A$3:$A$5001,"&gt;="&amp;$C$7,BD!$A$3:$A$5001,"&lt;="&amp;$B148,BD!$V$3:$V$5001,"&lt;&gt;"))))</f>
        <v/>
      </c>
      <c r="K148" s="54" t="str">
        <f>IF(OR($B148="",$A148&gt;$B$9,K$140=""),"",IF(COUNTIFS(BD!$B$3:$B$5001,K$140,BD!$A$3:$A$5001,"&gt;="&amp;$C$7,BD!$A$3:$A$5001,"&lt;="&amp;$B148,BD!$V$3:$V$5001,"&lt;&gt;")=0,"",SUMIFS(BD!$V$3:$V$5001,BD!$B$3:$B$5001,K$140,BD!$A$3:$A$5001,_xlfn.MAXIFS(BD!$A$3:$A$5001,BD!$B$3:$B$5001,K$140,BD!$A$3:$A$5001,"&gt;="&amp;$C$7,BD!$A$3:$A$5001,"&lt;="&amp;$B148,BD!$V$3:$V$5001,"&lt;&gt;"))))</f>
        <v/>
      </c>
      <c r="L148" s="54" t="str">
        <f>IF(OR($B148="",$A148&gt;$B$9,L$140=""),"",IF(COUNTIFS(BD!$B$3:$B$5001,L$140,BD!$A$3:$A$5001,"&gt;="&amp;$C$7,BD!$A$3:$A$5001,"&lt;="&amp;$B148,BD!$V$3:$V$5001,"&lt;&gt;")=0,"",SUMIFS(BD!$V$3:$V$5001,BD!$B$3:$B$5001,L$140,BD!$A$3:$A$5001,_xlfn.MAXIFS(BD!$A$3:$A$5001,BD!$B$3:$B$5001,L$140,BD!$A$3:$A$5001,"&gt;="&amp;$C$7,BD!$A$3:$A$5001,"&lt;="&amp;$B148,BD!$V$3:$V$5001,"&lt;&gt;"))))</f>
        <v/>
      </c>
      <c r="M148" s="54" t="str">
        <f>IF(OR($B148="",$A148&gt;$B$9,M$140=""),"",IF(COUNTIFS(BD!$B$3:$B$5001,M$140,BD!$A$3:$A$5001,"&gt;="&amp;$C$7,BD!$A$3:$A$5001,"&lt;="&amp;$B148,BD!$V$3:$V$5001,"&lt;&gt;")=0,"",SUMIFS(BD!$V$3:$V$5001,BD!$B$3:$B$5001,M$140,BD!$A$3:$A$5001,_xlfn.MAXIFS(BD!$A$3:$A$5001,BD!$B$3:$B$5001,M$140,BD!$A$3:$A$5001,"&gt;="&amp;$C$7,BD!$A$3:$A$5001,"&lt;="&amp;$B148,BD!$V$3:$V$5001,"&lt;&gt;"))))</f>
        <v/>
      </c>
      <c r="N148" s="54" t="str">
        <f>IF(OR($B148="",$A148&gt;$B$9,N$140=""),"",IF(COUNTIFS(BD!$B$3:$B$5001,N$140,BD!$A$3:$A$5001,"&gt;="&amp;$C$7,BD!$A$3:$A$5001,"&lt;="&amp;$B148,BD!$V$3:$V$5001,"&lt;&gt;")=0,"",SUMIFS(BD!$V$3:$V$5001,BD!$B$3:$B$5001,N$140,BD!$A$3:$A$5001,_xlfn.MAXIFS(BD!$A$3:$A$5001,BD!$B$3:$B$5001,N$140,BD!$A$3:$A$5001,"&gt;="&amp;$C$7,BD!$A$3:$A$5001,"&lt;="&amp;$B148,BD!$V$3:$V$5001,"&lt;&gt;"))))</f>
        <v/>
      </c>
      <c r="O148" s="54" t="str">
        <f>IF(OR($B148="",$A148&gt;$B$9,O$140=""),"",IF(COUNTIFS(BD!$B$3:$B$5001,O$140,BD!$A$3:$A$5001,"&gt;="&amp;$C$7,BD!$A$3:$A$5001,"&lt;="&amp;$B148,BD!$V$3:$V$5001,"&lt;&gt;")=0,"",SUMIFS(BD!$V$3:$V$5001,BD!$B$3:$B$5001,O$140,BD!$A$3:$A$5001,_xlfn.MAXIFS(BD!$A$3:$A$5001,BD!$B$3:$B$5001,O$140,BD!$A$3:$A$5001,"&gt;="&amp;$C$7,BD!$A$3:$A$5001,"&lt;="&amp;$B148,BD!$V$3:$V$5001,"&lt;&gt;"))))</f>
        <v/>
      </c>
      <c r="P148" s="54" t="str">
        <f>IF(OR($B148="",$A148&gt;$B$9,P$140=""),"",IF(COUNTIFS(BD!$B$3:$B$5001,P$140,BD!$A$3:$A$5001,"&gt;="&amp;$C$7,BD!$A$3:$A$5001,"&lt;="&amp;$B148,BD!$V$3:$V$5001,"&lt;&gt;")=0,"",SUMIFS(BD!$V$3:$V$5001,BD!$B$3:$B$5001,P$140,BD!$A$3:$A$5001,_xlfn.MAXIFS(BD!$A$3:$A$5001,BD!$B$3:$B$5001,P$140,BD!$A$3:$A$5001,"&gt;="&amp;$C$7,BD!$A$3:$A$5001,"&lt;="&amp;$B148,BD!$V$3:$V$5001,"&lt;&gt;"))))</f>
        <v/>
      </c>
      <c r="Q148" s="54" t="str">
        <f>IF(OR($B148="",$A148&gt;$B$9,Q$140=""),"",IF(COUNTIFS(BD!$B$3:$B$5001,Q$140,BD!$A$3:$A$5001,"&gt;="&amp;$C$7,BD!$A$3:$A$5001,"&lt;="&amp;$B148,BD!$V$3:$V$5001,"&lt;&gt;")=0,"",SUMIFS(BD!$V$3:$V$5001,BD!$B$3:$B$5001,Q$140,BD!$A$3:$A$5001,_xlfn.MAXIFS(BD!$A$3:$A$5001,BD!$B$3:$B$5001,Q$140,BD!$A$3:$A$5001,"&gt;="&amp;$C$7,BD!$A$3:$A$5001,"&lt;="&amp;$B148,BD!$V$3:$V$5001,"&lt;&gt;"))))</f>
        <v/>
      </c>
      <c r="R148" s="54" t="str">
        <f>IF(OR($B148="",$A148&gt;$B$9,R$140=""),"",IF(COUNTIFS(BD!$B$3:$B$5001,R$140,BD!$A$3:$A$5001,"&gt;="&amp;$C$7,BD!$A$3:$A$5001,"&lt;="&amp;$B148,BD!$V$3:$V$5001,"&lt;&gt;")=0,"",SUMIFS(BD!$V$3:$V$5001,BD!$B$3:$B$5001,R$140,BD!$A$3:$A$5001,_xlfn.MAXIFS(BD!$A$3:$A$5001,BD!$B$3:$B$5001,R$140,BD!$A$3:$A$5001,"&gt;="&amp;$C$7,BD!$A$3:$A$5001,"&lt;="&amp;$B148,BD!$V$3:$V$5001,"&lt;&gt;"))))</f>
        <v/>
      </c>
      <c r="S148" s="54" t="str">
        <f>IF(OR($B148="",$A148&gt;$B$9,S$140=""),"",IF(COUNTIFS(BD!$B$3:$B$5001,S$140,BD!$A$3:$A$5001,"&gt;="&amp;$C$7,BD!$A$3:$A$5001,"&lt;="&amp;$B148,BD!$V$3:$V$5001,"&lt;&gt;")=0,"",SUMIFS(BD!$V$3:$V$5001,BD!$B$3:$B$5001,S$140,BD!$A$3:$A$5001,_xlfn.MAXIFS(BD!$A$3:$A$5001,BD!$B$3:$B$5001,S$140,BD!$A$3:$A$5001,"&gt;="&amp;$C$7,BD!$A$3:$A$5001,"&lt;="&amp;$B148,BD!$V$3:$V$5001,"&lt;&gt;"))))</f>
        <v/>
      </c>
      <c r="T148" s="54" t="str">
        <f>IF(OR($B148="",$A148&gt;$B$9,T$140=""),"",IF(COUNTIFS(BD!$B$3:$B$5001,T$140,BD!$A$3:$A$5001,"&gt;="&amp;$C$7,BD!$A$3:$A$5001,"&lt;="&amp;$B148,BD!$V$3:$V$5001,"&lt;&gt;")=0,"",SUMIFS(BD!$V$3:$V$5001,BD!$B$3:$B$5001,T$140,BD!$A$3:$A$5001,_xlfn.MAXIFS(BD!$A$3:$A$5001,BD!$B$3:$B$5001,T$140,BD!$A$3:$A$5001,"&gt;="&amp;$C$7,BD!$A$3:$A$5001,"&lt;="&amp;$B148,BD!$V$3:$V$5001,"&lt;&gt;"))))</f>
        <v/>
      </c>
      <c r="U148" s="54" t="str">
        <f>IF(OR($B148="",$A148&gt;$B$9,U$140=""),"",IF(COUNTIFS(BD!$B$3:$B$5001,U$140,BD!$A$3:$A$5001,"&gt;="&amp;$C$7,BD!$A$3:$A$5001,"&lt;="&amp;$B148,BD!$V$3:$V$5001,"&lt;&gt;")=0,"",SUMIFS(BD!$V$3:$V$5001,BD!$B$3:$B$5001,U$140,BD!$A$3:$A$5001,_xlfn.MAXIFS(BD!$A$3:$A$5001,BD!$B$3:$B$5001,U$140,BD!$A$3:$A$5001,"&gt;="&amp;$C$7,BD!$A$3:$A$5001,"&lt;="&amp;$B148,BD!$V$3:$V$5001,"&lt;&gt;"))))</f>
        <v/>
      </c>
      <c r="V148" s="54" t="str">
        <f>IF(OR($B148="",$A148&gt;$B$9,V$140=""),"",IF(COUNTIFS(BD!$B$3:$B$5001,V$140,BD!$A$3:$A$5001,"&gt;="&amp;$C$7,BD!$A$3:$A$5001,"&lt;="&amp;$B148,BD!$V$3:$V$5001,"&lt;&gt;")=0,"",SUMIFS(BD!$V$3:$V$5001,BD!$B$3:$B$5001,V$140,BD!$A$3:$A$5001,_xlfn.MAXIFS(BD!$A$3:$A$5001,BD!$B$3:$B$5001,V$140,BD!$A$3:$A$5001,"&gt;="&amp;$C$7,BD!$A$3:$A$5001,"&lt;="&amp;$B148,BD!$V$3:$V$5001,"&lt;&gt;"))))</f>
        <v/>
      </c>
    </row>
    <row r="149">
      <c r="A149" s="48">
        <v>9</v>
      </c>
      <c r="B149" s="53">
        <f>$B$20</f>
        <v>46304</v>
      </c>
      <c r="C149" s="54" t="str">
        <f>IF(OR($B149="",$A149&gt;$B$9,C$140=""),"",IF(COUNTIFS(BD!$B$3:$B$5001,C$140,BD!$A$3:$A$5001,"&gt;="&amp;$C$7,BD!$A$3:$A$5001,"&lt;="&amp;$B149,BD!$V$3:$V$5001,"&lt;&gt;")=0,"",SUMIFS(BD!$V$3:$V$5001,BD!$B$3:$B$5001,C$140,BD!$A$3:$A$5001,_xlfn.MAXIFS(BD!$A$3:$A$5001,BD!$B$3:$B$5001,C$140,BD!$A$3:$A$5001,"&gt;="&amp;$C$7,BD!$A$3:$A$5001,"&lt;="&amp;$B149,BD!$V$3:$V$5001,"&lt;&gt;"))))</f>
        <v/>
      </c>
      <c r="D149" s="54" t="str">
        <f>IF(OR($B149="",$A149&gt;$B$9,D$140=""),"",IF(COUNTIFS(BD!$B$3:$B$5001,D$140,BD!$A$3:$A$5001,"&gt;="&amp;$C$7,BD!$A$3:$A$5001,"&lt;="&amp;$B149,BD!$V$3:$V$5001,"&lt;&gt;")=0,"",SUMIFS(BD!$V$3:$V$5001,BD!$B$3:$B$5001,D$140,BD!$A$3:$A$5001,_xlfn.MAXIFS(BD!$A$3:$A$5001,BD!$B$3:$B$5001,D$140,BD!$A$3:$A$5001,"&gt;="&amp;$C$7,BD!$A$3:$A$5001,"&lt;="&amp;$B149,BD!$V$3:$V$5001,"&lt;&gt;"))))</f>
        <v/>
      </c>
      <c r="E149" s="54" t="str">
        <f>IF(OR($B149="",$A149&gt;$B$9,E$140=""),"",IF(COUNTIFS(BD!$B$3:$B$5001,E$140,BD!$A$3:$A$5001,"&gt;="&amp;$C$7,BD!$A$3:$A$5001,"&lt;="&amp;$B149,BD!$V$3:$V$5001,"&lt;&gt;")=0,"",SUMIFS(BD!$V$3:$V$5001,BD!$B$3:$B$5001,E$140,BD!$A$3:$A$5001,_xlfn.MAXIFS(BD!$A$3:$A$5001,BD!$B$3:$B$5001,E$140,BD!$A$3:$A$5001,"&gt;="&amp;$C$7,BD!$A$3:$A$5001,"&lt;="&amp;$B149,BD!$V$3:$V$5001,"&lt;&gt;"))))</f>
        <v/>
      </c>
      <c r="F149" s="54" t="str">
        <f>IF(OR($B149="",$A149&gt;$B$9,F$140=""),"",IF(COUNTIFS(BD!$B$3:$B$5001,F$140,BD!$A$3:$A$5001,"&gt;="&amp;$C$7,BD!$A$3:$A$5001,"&lt;="&amp;$B149,BD!$V$3:$V$5001,"&lt;&gt;")=0,"",SUMIFS(BD!$V$3:$V$5001,BD!$B$3:$B$5001,F$140,BD!$A$3:$A$5001,_xlfn.MAXIFS(BD!$A$3:$A$5001,BD!$B$3:$B$5001,F$140,BD!$A$3:$A$5001,"&gt;="&amp;$C$7,BD!$A$3:$A$5001,"&lt;="&amp;$B149,BD!$V$3:$V$5001,"&lt;&gt;"))))</f>
        <v/>
      </c>
      <c r="G149" s="54" t="str">
        <f>IF(OR($B149="",$A149&gt;$B$9,G$140=""),"",IF(COUNTIFS(BD!$B$3:$B$5001,G$140,BD!$A$3:$A$5001,"&gt;="&amp;$C$7,BD!$A$3:$A$5001,"&lt;="&amp;$B149,BD!$V$3:$V$5001,"&lt;&gt;")=0,"",SUMIFS(BD!$V$3:$V$5001,BD!$B$3:$B$5001,G$140,BD!$A$3:$A$5001,_xlfn.MAXIFS(BD!$A$3:$A$5001,BD!$B$3:$B$5001,G$140,BD!$A$3:$A$5001,"&gt;="&amp;$C$7,BD!$A$3:$A$5001,"&lt;="&amp;$B149,BD!$V$3:$V$5001,"&lt;&gt;"))))</f>
        <v/>
      </c>
      <c r="H149" s="54" t="str">
        <f>IF(OR($B149="",$A149&gt;$B$9,H$140=""),"",IF(COUNTIFS(BD!$B$3:$B$5001,H$140,BD!$A$3:$A$5001,"&gt;="&amp;$C$7,BD!$A$3:$A$5001,"&lt;="&amp;$B149,BD!$V$3:$V$5001,"&lt;&gt;")=0,"",SUMIFS(BD!$V$3:$V$5001,BD!$B$3:$B$5001,H$140,BD!$A$3:$A$5001,_xlfn.MAXIFS(BD!$A$3:$A$5001,BD!$B$3:$B$5001,H$140,BD!$A$3:$A$5001,"&gt;="&amp;$C$7,BD!$A$3:$A$5001,"&lt;="&amp;$B149,BD!$V$3:$V$5001,"&lt;&gt;"))))</f>
        <v/>
      </c>
      <c r="I149" s="54" t="str">
        <f>IF(OR($B149="",$A149&gt;$B$9,I$140=""),"",IF(COUNTIFS(BD!$B$3:$B$5001,I$140,BD!$A$3:$A$5001,"&gt;="&amp;$C$7,BD!$A$3:$A$5001,"&lt;="&amp;$B149,BD!$V$3:$V$5001,"&lt;&gt;")=0,"",SUMIFS(BD!$V$3:$V$5001,BD!$B$3:$B$5001,I$140,BD!$A$3:$A$5001,_xlfn.MAXIFS(BD!$A$3:$A$5001,BD!$B$3:$B$5001,I$140,BD!$A$3:$A$5001,"&gt;="&amp;$C$7,BD!$A$3:$A$5001,"&lt;="&amp;$B149,BD!$V$3:$V$5001,"&lt;&gt;"))))</f>
        <v/>
      </c>
      <c r="J149" s="54" t="str">
        <f>IF(OR($B149="",$A149&gt;$B$9,J$140=""),"",IF(COUNTIFS(BD!$B$3:$B$5001,J$140,BD!$A$3:$A$5001,"&gt;="&amp;$C$7,BD!$A$3:$A$5001,"&lt;="&amp;$B149,BD!$V$3:$V$5001,"&lt;&gt;")=0,"",SUMIFS(BD!$V$3:$V$5001,BD!$B$3:$B$5001,J$140,BD!$A$3:$A$5001,_xlfn.MAXIFS(BD!$A$3:$A$5001,BD!$B$3:$B$5001,J$140,BD!$A$3:$A$5001,"&gt;="&amp;$C$7,BD!$A$3:$A$5001,"&lt;="&amp;$B149,BD!$V$3:$V$5001,"&lt;&gt;"))))</f>
        <v/>
      </c>
      <c r="K149" s="54" t="str">
        <f>IF(OR($B149="",$A149&gt;$B$9,K$140=""),"",IF(COUNTIFS(BD!$B$3:$B$5001,K$140,BD!$A$3:$A$5001,"&gt;="&amp;$C$7,BD!$A$3:$A$5001,"&lt;="&amp;$B149,BD!$V$3:$V$5001,"&lt;&gt;")=0,"",SUMIFS(BD!$V$3:$V$5001,BD!$B$3:$B$5001,K$140,BD!$A$3:$A$5001,_xlfn.MAXIFS(BD!$A$3:$A$5001,BD!$B$3:$B$5001,K$140,BD!$A$3:$A$5001,"&gt;="&amp;$C$7,BD!$A$3:$A$5001,"&lt;="&amp;$B149,BD!$V$3:$V$5001,"&lt;&gt;"))))</f>
        <v/>
      </c>
      <c r="L149" s="54" t="str">
        <f>IF(OR($B149="",$A149&gt;$B$9,L$140=""),"",IF(COUNTIFS(BD!$B$3:$B$5001,L$140,BD!$A$3:$A$5001,"&gt;="&amp;$C$7,BD!$A$3:$A$5001,"&lt;="&amp;$B149,BD!$V$3:$V$5001,"&lt;&gt;")=0,"",SUMIFS(BD!$V$3:$V$5001,BD!$B$3:$B$5001,L$140,BD!$A$3:$A$5001,_xlfn.MAXIFS(BD!$A$3:$A$5001,BD!$B$3:$B$5001,L$140,BD!$A$3:$A$5001,"&gt;="&amp;$C$7,BD!$A$3:$A$5001,"&lt;="&amp;$B149,BD!$V$3:$V$5001,"&lt;&gt;"))))</f>
        <v/>
      </c>
      <c r="M149" s="54" t="str">
        <f>IF(OR($B149="",$A149&gt;$B$9,M$140=""),"",IF(COUNTIFS(BD!$B$3:$B$5001,M$140,BD!$A$3:$A$5001,"&gt;="&amp;$C$7,BD!$A$3:$A$5001,"&lt;="&amp;$B149,BD!$V$3:$V$5001,"&lt;&gt;")=0,"",SUMIFS(BD!$V$3:$V$5001,BD!$B$3:$B$5001,M$140,BD!$A$3:$A$5001,_xlfn.MAXIFS(BD!$A$3:$A$5001,BD!$B$3:$B$5001,M$140,BD!$A$3:$A$5001,"&gt;="&amp;$C$7,BD!$A$3:$A$5001,"&lt;="&amp;$B149,BD!$V$3:$V$5001,"&lt;&gt;"))))</f>
        <v/>
      </c>
      <c r="N149" s="54" t="str">
        <f>IF(OR($B149="",$A149&gt;$B$9,N$140=""),"",IF(COUNTIFS(BD!$B$3:$B$5001,N$140,BD!$A$3:$A$5001,"&gt;="&amp;$C$7,BD!$A$3:$A$5001,"&lt;="&amp;$B149,BD!$V$3:$V$5001,"&lt;&gt;")=0,"",SUMIFS(BD!$V$3:$V$5001,BD!$B$3:$B$5001,N$140,BD!$A$3:$A$5001,_xlfn.MAXIFS(BD!$A$3:$A$5001,BD!$B$3:$B$5001,N$140,BD!$A$3:$A$5001,"&gt;="&amp;$C$7,BD!$A$3:$A$5001,"&lt;="&amp;$B149,BD!$V$3:$V$5001,"&lt;&gt;"))))</f>
        <v/>
      </c>
      <c r="O149" s="54" t="str">
        <f>IF(OR($B149="",$A149&gt;$B$9,O$140=""),"",IF(COUNTIFS(BD!$B$3:$B$5001,O$140,BD!$A$3:$A$5001,"&gt;="&amp;$C$7,BD!$A$3:$A$5001,"&lt;="&amp;$B149,BD!$V$3:$V$5001,"&lt;&gt;")=0,"",SUMIFS(BD!$V$3:$V$5001,BD!$B$3:$B$5001,O$140,BD!$A$3:$A$5001,_xlfn.MAXIFS(BD!$A$3:$A$5001,BD!$B$3:$B$5001,O$140,BD!$A$3:$A$5001,"&gt;="&amp;$C$7,BD!$A$3:$A$5001,"&lt;="&amp;$B149,BD!$V$3:$V$5001,"&lt;&gt;"))))</f>
        <v/>
      </c>
      <c r="P149" s="54" t="str">
        <f>IF(OR($B149="",$A149&gt;$B$9,P$140=""),"",IF(COUNTIFS(BD!$B$3:$B$5001,P$140,BD!$A$3:$A$5001,"&gt;="&amp;$C$7,BD!$A$3:$A$5001,"&lt;="&amp;$B149,BD!$V$3:$V$5001,"&lt;&gt;")=0,"",SUMIFS(BD!$V$3:$V$5001,BD!$B$3:$B$5001,P$140,BD!$A$3:$A$5001,_xlfn.MAXIFS(BD!$A$3:$A$5001,BD!$B$3:$B$5001,P$140,BD!$A$3:$A$5001,"&gt;="&amp;$C$7,BD!$A$3:$A$5001,"&lt;="&amp;$B149,BD!$V$3:$V$5001,"&lt;&gt;"))))</f>
        <v/>
      </c>
      <c r="Q149" s="54" t="str">
        <f>IF(OR($B149="",$A149&gt;$B$9,Q$140=""),"",IF(COUNTIFS(BD!$B$3:$B$5001,Q$140,BD!$A$3:$A$5001,"&gt;="&amp;$C$7,BD!$A$3:$A$5001,"&lt;="&amp;$B149,BD!$V$3:$V$5001,"&lt;&gt;")=0,"",SUMIFS(BD!$V$3:$V$5001,BD!$B$3:$B$5001,Q$140,BD!$A$3:$A$5001,_xlfn.MAXIFS(BD!$A$3:$A$5001,BD!$B$3:$B$5001,Q$140,BD!$A$3:$A$5001,"&gt;="&amp;$C$7,BD!$A$3:$A$5001,"&lt;="&amp;$B149,BD!$V$3:$V$5001,"&lt;&gt;"))))</f>
        <v/>
      </c>
      <c r="R149" s="54" t="str">
        <f>IF(OR($B149="",$A149&gt;$B$9,R$140=""),"",IF(COUNTIFS(BD!$B$3:$B$5001,R$140,BD!$A$3:$A$5001,"&gt;="&amp;$C$7,BD!$A$3:$A$5001,"&lt;="&amp;$B149,BD!$V$3:$V$5001,"&lt;&gt;")=0,"",SUMIFS(BD!$V$3:$V$5001,BD!$B$3:$B$5001,R$140,BD!$A$3:$A$5001,_xlfn.MAXIFS(BD!$A$3:$A$5001,BD!$B$3:$B$5001,R$140,BD!$A$3:$A$5001,"&gt;="&amp;$C$7,BD!$A$3:$A$5001,"&lt;="&amp;$B149,BD!$V$3:$V$5001,"&lt;&gt;"))))</f>
        <v/>
      </c>
      <c r="S149" s="54" t="str">
        <f>IF(OR($B149="",$A149&gt;$B$9,S$140=""),"",IF(COUNTIFS(BD!$B$3:$B$5001,S$140,BD!$A$3:$A$5001,"&gt;="&amp;$C$7,BD!$A$3:$A$5001,"&lt;="&amp;$B149,BD!$V$3:$V$5001,"&lt;&gt;")=0,"",SUMIFS(BD!$V$3:$V$5001,BD!$B$3:$B$5001,S$140,BD!$A$3:$A$5001,_xlfn.MAXIFS(BD!$A$3:$A$5001,BD!$B$3:$B$5001,S$140,BD!$A$3:$A$5001,"&gt;="&amp;$C$7,BD!$A$3:$A$5001,"&lt;="&amp;$B149,BD!$V$3:$V$5001,"&lt;&gt;"))))</f>
        <v/>
      </c>
      <c r="T149" s="54" t="str">
        <f>IF(OR($B149="",$A149&gt;$B$9,T$140=""),"",IF(COUNTIFS(BD!$B$3:$B$5001,T$140,BD!$A$3:$A$5001,"&gt;="&amp;$C$7,BD!$A$3:$A$5001,"&lt;="&amp;$B149,BD!$V$3:$V$5001,"&lt;&gt;")=0,"",SUMIFS(BD!$V$3:$V$5001,BD!$B$3:$B$5001,T$140,BD!$A$3:$A$5001,_xlfn.MAXIFS(BD!$A$3:$A$5001,BD!$B$3:$B$5001,T$140,BD!$A$3:$A$5001,"&gt;="&amp;$C$7,BD!$A$3:$A$5001,"&lt;="&amp;$B149,BD!$V$3:$V$5001,"&lt;&gt;"))))</f>
        <v/>
      </c>
      <c r="U149" s="54" t="str">
        <f>IF(OR($B149="",$A149&gt;$B$9,U$140=""),"",IF(COUNTIFS(BD!$B$3:$B$5001,U$140,BD!$A$3:$A$5001,"&gt;="&amp;$C$7,BD!$A$3:$A$5001,"&lt;="&amp;$B149,BD!$V$3:$V$5001,"&lt;&gt;")=0,"",SUMIFS(BD!$V$3:$V$5001,BD!$B$3:$B$5001,U$140,BD!$A$3:$A$5001,_xlfn.MAXIFS(BD!$A$3:$A$5001,BD!$B$3:$B$5001,U$140,BD!$A$3:$A$5001,"&gt;="&amp;$C$7,BD!$A$3:$A$5001,"&lt;="&amp;$B149,BD!$V$3:$V$5001,"&lt;&gt;"))))</f>
        <v/>
      </c>
      <c r="V149" s="54" t="str">
        <f>IF(OR($B149="",$A149&gt;$B$9,V$140=""),"",IF(COUNTIFS(BD!$B$3:$B$5001,V$140,BD!$A$3:$A$5001,"&gt;="&amp;$C$7,BD!$A$3:$A$5001,"&lt;="&amp;$B149,BD!$V$3:$V$5001,"&lt;&gt;")=0,"",SUMIFS(BD!$V$3:$V$5001,BD!$B$3:$B$5001,V$140,BD!$A$3:$A$5001,_xlfn.MAXIFS(BD!$A$3:$A$5001,BD!$B$3:$B$5001,V$140,BD!$A$3:$A$5001,"&gt;="&amp;$C$7,BD!$A$3:$A$5001,"&lt;="&amp;$B149,BD!$V$3:$V$5001,"&lt;&gt;"))))</f>
        <v/>
      </c>
    </row>
    <row r="150">
      <c r="A150" s="48">
        <v>10</v>
      </c>
      <c r="B150" s="53">
        <f>$B$21</f>
        <v>46305</v>
      </c>
      <c r="C150" s="54" t="str">
        <f>IF(OR($B150="",$A150&gt;$B$9,C$140=""),"",IF(COUNTIFS(BD!$B$3:$B$5001,C$140,BD!$A$3:$A$5001,"&gt;="&amp;$C$7,BD!$A$3:$A$5001,"&lt;="&amp;$B150,BD!$V$3:$V$5001,"&lt;&gt;")=0,"",SUMIFS(BD!$V$3:$V$5001,BD!$B$3:$B$5001,C$140,BD!$A$3:$A$5001,_xlfn.MAXIFS(BD!$A$3:$A$5001,BD!$B$3:$B$5001,C$140,BD!$A$3:$A$5001,"&gt;="&amp;$C$7,BD!$A$3:$A$5001,"&lt;="&amp;$B150,BD!$V$3:$V$5001,"&lt;&gt;"))))</f>
        <v/>
      </c>
      <c r="D150" s="54" t="str">
        <f>IF(OR($B150="",$A150&gt;$B$9,D$140=""),"",IF(COUNTIFS(BD!$B$3:$B$5001,D$140,BD!$A$3:$A$5001,"&gt;="&amp;$C$7,BD!$A$3:$A$5001,"&lt;="&amp;$B150,BD!$V$3:$V$5001,"&lt;&gt;")=0,"",SUMIFS(BD!$V$3:$V$5001,BD!$B$3:$B$5001,D$140,BD!$A$3:$A$5001,_xlfn.MAXIFS(BD!$A$3:$A$5001,BD!$B$3:$B$5001,D$140,BD!$A$3:$A$5001,"&gt;="&amp;$C$7,BD!$A$3:$A$5001,"&lt;="&amp;$B150,BD!$V$3:$V$5001,"&lt;&gt;"))))</f>
        <v/>
      </c>
      <c r="E150" s="54" t="str">
        <f>IF(OR($B150="",$A150&gt;$B$9,E$140=""),"",IF(COUNTIFS(BD!$B$3:$B$5001,E$140,BD!$A$3:$A$5001,"&gt;="&amp;$C$7,BD!$A$3:$A$5001,"&lt;="&amp;$B150,BD!$V$3:$V$5001,"&lt;&gt;")=0,"",SUMIFS(BD!$V$3:$V$5001,BD!$B$3:$B$5001,E$140,BD!$A$3:$A$5001,_xlfn.MAXIFS(BD!$A$3:$A$5001,BD!$B$3:$B$5001,E$140,BD!$A$3:$A$5001,"&gt;="&amp;$C$7,BD!$A$3:$A$5001,"&lt;="&amp;$B150,BD!$V$3:$V$5001,"&lt;&gt;"))))</f>
        <v/>
      </c>
      <c r="F150" s="54" t="str">
        <f>IF(OR($B150="",$A150&gt;$B$9,F$140=""),"",IF(COUNTIFS(BD!$B$3:$B$5001,F$140,BD!$A$3:$A$5001,"&gt;="&amp;$C$7,BD!$A$3:$A$5001,"&lt;="&amp;$B150,BD!$V$3:$V$5001,"&lt;&gt;")=0,"",SUMIFS(BD!$V$3:$V$5001,BD!$B$3:$B$5001,F$140,BD!$A$3:$A$5001,_xlfn.MAXIFS(BD!$A$3:$A$5001,BD!$B$3:$B$5001,F$140,BD!$A$3:$A$5001,"&gt;="&amp;$C$7,BD!$A$3:$A$5001,"&lt;="&amp;$B150,BD!$V$3:$V$5001,"&lt;&gt;"))))</f>
        <v/>
      </c>
      <c r="G150" s="54" t="str">
        <f>IF(OR($B150="",$A150&gt;$B$9,G$140=""),"",IF(COUNTIFS(BD!$B$3:$B$5001,G$140,BD!$A$3:$A$5001,"&gt;="&amp;$C$7,BD!$A$3:$A$5001,"&lt;="&amp;$B150,BD!$V$3:$V$5001,"&lt;&gt;")=0,"",SUMIFS(BD!$V$3:$V$5001,BD!$B$3:$B$5001,G$140,BD!$A$3:$A$5001,_xlfn.MAXIFS(BD!$A$3:$A$5001,BD!$B$3:$B$5001,G$140,BD!$A$3:$A$5001,"&gt;="&amp;$C$7,BD!$A$3:$A$5001,"&lt;="&amp;$B150,BD!$V$3:$V$5001,"&lt;&gt;"))))</f>
        <v/>
      </c>
      <c r="H150" s="54" t="str">
        <f>IF(OR($B150="",$A150&gt;$B$9,H$140=""),"",IF(COUNTIFS(BD!$B$3:$B$5001,H$140,BD!$A$3:$A$5001,"&gt;="&amp;$C$7,BD!$A$3:$A$5001,"&lt;="&amp;$B150,BD!$V$3:$V$5001,"&lt;&gt;")=0,"",SUMIFS(BD!$V$3:$V$5001,BD!$B$3:$B$5001,H$140,BD!$A$3:$A$5001,_xlfn.MAXIFS(BD!$A$3:$A$5001,BD!$B$3:$B$5001,H$140,BD!$A$3:$A$5001,"&gt;="&amp;$C$7,BD!$A$3:$A$5001,"&lt;="&amp;$B150,BD!$V$3:$V$5001,"&lt;&gt;"))))</f>
        <v/>
      </c>
      <c r="I150" s="54" t="str">
        <f>IF(OR($B150="",$A150&gt;$B$9,I$140=""),"",IF(COUNTIFS(BD!$B$3:$B$5001,I$140,BD!$A$3:$A$5001,"&gt;="&amp;$C$7,BD!$A$3:$A$5001,"&lt;="&amp;$B150,BD!$V$3:$V$5001,"&lt;&gt;")=0,"",SUMIFS(BD!$V$3:$V$5001,BD!$B$3:$B$5001,I$140,BD!$A$3:$A$5001,_xlfn.MAXIFS(BD!$A$3:$A$5001,BD!$B$3:$B$5001,I$140,BD!$A$3:$A$5001,"&gt;="&amp;$C$7,BD!$A$3:$A$5001,"&lt;="&amp;$B150,BD!$V$3:$V$5001,"&lt;&gt;"))))</f>
        <v/>
      </c>
      <c r="J150" s="54" t="str">
        <f>IF(OR($B150="",$A150&gt;$B$9,J$140=""),"",IF(COUNTIFS(BD!$B$3:$B$5001,J$140,BD!$A$3:$A$5001,"&gt;="&amp;$C$7,BD!$A$3:$A$5001,"&lt;="&amp;$B150,BD!$V$3:$V$5001,"&lt;&gt;")=0,"",SUMIFS(BD!$V$3:$V$5001,BD!$B$3:$B$5001,J$140,BD!$A$3:$A$5001,_xlfn.MAXIFS(BD!$A$3:$A$5001,BD!$B$3:$B$5001,J$140,BD!$A$3:$A$5001,"&gt;="&amp;$C$7,BD!$A$3:$A$5001,"&lt;="&amp;$B150,BD!$V$3:$V$5001,"&lt;&gt;"))))</f>
        <v/>
      </c>
      <c r="K150" s="54" t="str">
        <f>IF(OR($B150="",$A150&gt;$B$9,K$140=""),"",IF(COUNTIFS(BD!$B$3:$B$5001,K$140,BD!$A$3:$A$5001,"&gt;="&amp;$C$7,BD!$A$3:$A$5001,"&lt;="&amp;$B150,BD!$V$3:$V$5001,"&lt;&gt;")=0,"",SUMIFS(BD!$V$3:$V$5001,BD!$B$3:$B$5001,K$140,BD!$A$3:$A$5001,_xlfn.MAXIFS(BD!$A$3:$A$5001,BD!$B$3:$B$5001,K$140,BD!$A$3:$A$5001,"&gt;="&amp;$C$7,BD!$A$3:$A$5001,"&lt;="&amp;$B150,BD!$V$3:$V$5001,"&lt;&gt;"))))</f>
        <v/>
      </c>
      <c r="L150" s="54" t="str">
        <f>IF(OR($B150="",$A150&gt;$B$9,L$140=""),"",IF(COUNTIFS(BD!$B$3:$B$5001,L$140,BD!$A$3:$A$5001,"&gt;="&amp;$C$7,BD!$A$3:$A$5001,"&lt;="&amp;$B150,BD!$V$3:$V$5001,"&lt;&gt;")=0,"",SUMIFS(BD!$V$3:$V$5001,BD!$B$3:$B$5001,L$140,BD!$A$3:$A$5001,_xlfn.MAXIFS(BD!$A$3:$A$5001,BD!$B$3:$B$5001,L$140,BD!$A$3:$A$5001,"&gt;="&amp;$C$7,BD!$A$3:$A$5001,"&lt;="&amp;$B150,BD!$V$3:$V$5001,"&lt;&gt;"))))</f>
        <v/>
      </c>
      <c r="M150" s="54" t="str">
        <f>IF(OR($B150="",$A150&gt;$B$9,M$140=""),"",IF(COUNTIFS(BD!$B$3:$B$5001,M$140,BD!$A$3:$A$5001,"&gt;="&amp;$C$7,BD!$A$3:$A$5001,"&lt;="&amp;$B150,BD!$V$3:$V$5001,"&lt;&gt;")=0,"",SUMIFS(BD!$V$3:$V$5001,BD!$B$3:$B$5001,M$140,BD!$A$3:$A$5001,_xlfn.MAXIFS(BD!$A$3:$A$5001,BD!$B$3:$B$5001,M$140,BD!$A$3:$A$5001,"&gt;="&amp;$C$7,BD!$A$3:$A$5001,"&lt;="&amp;$B150,BD!$V$3:$V$5001,"&lt;&gt;"))))</f>
        <v/>
      </c>
      <c r="N150" s="54" t="str">
        <f>IF(OR($B150="",$A150&gt;$B$9,N$140=""),"",IF(COUNTIFS(BD!$B$3:$B$5001,N$140,BD!$A$3:$A$5001,"&gt;="&amp;$C$7,BD!$A$3:$A$5001,"&lt;="&amp;$B150,BD!$V$3:$V$5001,"&lt;&gt;")=0,"",SUMIFS(BD!$V$3:$V$5001,BD!$B$3:$B$5001,N$140,BD!$A$3:$A$5001,_xlfn.MAXIFS(BD!$A$3:$A$5001,BD!$B$3:$B$5001,N$140,BD!$A$3:$A$5001,"&gt;="&amp;$C$7,BD!$A$3:$A$5001,"&lt;="&amp;$B150,BD!$V$3:$V$5001,"&lt;&gt;"))))</f>
        <v/>
      </c>
      <c r="O150" s="54" t="str">
        <f>IF(OR($B150="",$A150&gt;$B$9,O$140=""),"",IF(COUNTIFS(BD!$B$3:$B$5001,O$140,BD!$A$3:$A$5001,"&gt;="&amp;$C$7,BD!$A$3:$A$5001,"&lt;="&amp;$B150,BD!$V$3:$V$5001,"&lt;&gt;")=0,"",SUMIFS(BD!$V$3:$V$5001,BD!$B$3:$B$5001,O$140,BD!$A$3:$A$5001,_xlfn.MAXIFS(BD!$A$3:$A$5001,BD!$B$3:$B$5001,O$140,BD!$A$3:$A$5001,"&gt;="&amp;$C$7,BD!$A$3:$A$5001,"&lt;="&amp;$B150,BD!$V$3:$V$5001,"&lt;&gt;"))))</f>
        <v/>
      </c>
      <c r="P150" s="54" t="str">
        <f>IF(OR($B150="",$A150&gt;$B$9,P$140=""),"",IF(COUNTIFS(BD!$B$3:$B$5001,P$140,BD!$A$3:$A$5001,"&gt;="&amp;$C$7,BD!$A$3:$A$5001,"&lt;="&amp;$B150,BD!$V$3:$V$5001,"&lt;&gt;")=0,"",SUMIFS(BD!$V$3:$V$5001,BD!$B$3:$B$5001,P$140,BD!$A$3:$A$5001,_xlfn.MAXIFS(BD!$A$3:$A$5001,BD!$B$3:$B$5001,P$140,BD!$A$3:$A$5001,"&gt;="&amp;$C$7,BD!$A$3:$A$5001,"&lt;="&amp;$B150,BD!$V$3:$V$5001,"&lt;&gt;"))))</f>
        <v/>
      </c>
      <c r="Q150" s="54" t="str">
        <f>IF(OR($B150="",$A150&gt;$B$9,Q$140=""),"",IF(COUNTIFS(BD!$B$3:$B$5001,Q$140,BD!$A$3:$A$5001,"&gt;="&amp;$C$7,BD!$A$3:$A$5001,"&lt;="&amp;$B150,BD!$V$3:$V$5001,"&lt;&gt;")=0,"",SUMIFS(BD!$V$3:$V$5001,BD!$B$3:$B$5001,Q$140,BD!$A$3:$A$5001,_xlfn.MAXIFS(BD!$A$3:$A$5001,BD!$B$3:$B$5001,Q$140,BD!$A$3:$A$5001,"&gt;="&amp;$C$7,BD!$A$3:$A$5001,"&lt;="&amp;$B150,BD!$V$3:$V$5001,"&lt;&gt;"))))</f>
        <v/>
      </c>
      <c r="R150" s="54" t="str">
        <f>IF(OR($B150="",$A150&gt;$B$9,R$140=""),"",IF(COUNTIFS(BD!$B$3:$B$5001,R$140,BD!$A$3:$A$5001,"&gt;="&amp;$C$7,BD!$A$3:$A$5001,"&lt;="&amp;$B150,BD!$V$3:$V$5001,"&lt;&gt;")=0,"",SUMIFS(BD!$V$3:$V$5001,BD!$B$3:$B$5001,R$140,BD!$A$3:$A$5001,_xlfn.MAXIFS(BD!$A$3:$A$5001,BD!$B$3:$B$5001,R$140,BD!$A$3:$A$5001,"&gt;="&amp;$C$7,BD!$A$3:$A$5001,"&lt;="&amp;$B150,BD!$V$3:$V$5001,"&lt;&gt;"))))</f>
        <v/>
      </c>
      <c r="S150" s="54" t="str">
        <f>IF(OR($B150="",$A150&gt;$B$9,S$140=""),"",IF(COUNTIFS(BD!$B$3:$B$5001,S$140,BD!$A$3:$A$5001,"&gt;="&amp;$C$7,BD!$A$3:$A$5001,"&lt;="&amp;$B150,BD!$V$3:$V$5001,"&lt;&gt;")=0,"",SUMIFS(BD!$V$3:$V$5001,BD!$B$3:$B$5001,S$140,BD!$A$3:$A$5001,_xlfn.MAXIFS(BD!$A$3:$A$5001,BD!$B$3:$B$5001,S$140,BD!$A$3:$A$5001,"&gt;="&amp;$C$7,BD!$A$3:$A$5001,"&lt;="&amp;$B150,BD!$V$3:$V$5001,"&lt;&gt;"))))</f>
        <v/>
      </c>
      <c r="T150" s="54" t="str">
        <f>IF(OR($B150="",$A150&gt;$B$9,T$140=""),"",IF(COUNTIFS(BD!$B$3:$B$5001,T$140,BD!$A$3:$A$5001,"&gt;="&amp;$C$7,BD!$A$3:$A$5001,"&lt;="&amp;$B150,BD!$V$3:$V$5001,"&lt;&gt;")=0,"",SUMIFS(BD!$V$3:$V$5001,BD!$B$3:$B$5001,T$140,BD!$A$3:$A$5001,_xlfn.MAXIFS(BD!$A$3:$A$5001,BD!$B$3:$B$5001,T$140,BD!$A$3:$A$5001,"&gt;="&amp;$C$7,BD!$A$3:$A$5001,"&lt;="&amp;$B150,BD!$V$3:$V$5001,"&lt;&gt;"))))</f>
        <v/>
      </c>
      <c r="U150" s="54" t="str">
        <f>IF(OR($B150="",$A150&gt;$B$9,U$140=""),"",IF(COUNTIFS(BD!$B$3:$B$5001,U$140,BD!$A$3:$A$5001,"&gt;="&amp;$C$7,BD!$A$3:$A$5001,"&lt;="&amp;$B150,BD!$V$3:$V$5001,"&lt;&gt;")=0,"",SUMIFS(BD!$V$3:$V$5001,BD!$B$3:$B$5001,U$140,BD!$A$3:$A$5001,_xlfn.MAXIFS(BD!$A$3:$A$5001,BD!$B$3:$B$5001,U$140,BD!$A$3:$A$5001,"&gt;="&amp;$C$7,BD!$A$3:$A$5001,"&lt;="&amp;$B150,BD!$V$3:$V$5001,"&lt;&gt;"))))</f>
        <v/>
      </c>
      <c r="V150" s="54" t="str">
        <f>IF(OR($B150="",$A150&gt;$B$9,V$140=""),"",IF(COUNTIFS(BD!$B$3:$B$5001,V$140,BD!$A$3:$A$5001,"&gt;="&amp;$C$7,BD!$A$3:$A$5001,"&lt;="&amp;$B150,BD!$V$3:$V$5001,"&lt;&gt;")=0,"",SUMIFS(BD!$V$3:$V$5001,BD!$B$3:$B$5001,V$140,BD!$A$3:$A$5001,_xlfn.MAXIFS(BD!$A$3:$A$5001,BD!$B$3:$B$5001,V$140,BD!$A$3:$A$5001,"&gt;="&amp;$C$7,BD!$A$3:$A$5001,"&lt;="&amp;$B150,BD!$V$3:$V$5001,"&lt;&gt;"))))</f>
        <v/>
      </c>
    </row>
    <row r="151">
      <c r="A151" s="48">
        <v>11</v>
      </c>
      <c r="B151" s="53">
        <f>$B$22</f>
        <v>46306</v>
      </c>
      <c r="C151" s="54" t="str">
        <f>IF(OR($B151="",$A151&gt;$B$9,C$140=""),"",IF(COUNTIFS(BD!$B$3:$B$5001,C$140,BD!$A$3:$A$5001,"&gt;="&amp;$C$7,BD!$A$3:$A$5001,"&lt;="&amp;$B151,BD!$V$3:$V$5001,"&lt;&gt;")=0,"",SUMIFS(BD!$V$3:$V$5001,BD!$B$3:$B$5001,C$140,BD!$A$3:$A$5001,_xlfn.MAXIFS(BD!$A$3:$A$5001,BD!$B$3:$B$5001,C$140,BD!$A$3:$A$5001,"&gt;="&amp;$C$7,BD!$A$3:$A$5001,"&lt;="&amp;$B151,BD!$V$3:$V$5001,"&lt;&gt;"))))</f>
        <v/>
      </c>
      <c r="D151" s="54" t="str">
        <f>IF(OR($B151="",$A151&gt;$B$9,D$140=""),"",IF(COUNTIFS(BD!$B$3:$B$5001,D$140,BD!$A$3:$A$5001,"&gt;="&amp;$C$7,BD!$A$3:$A$5001,"&lt;="&amp;$B151,BD!$V$3:$V$5001,"&lt;&gt;")=0,"",SUMIFS(BD!$V$3:$V$5001,BD!$B$3:$B$5001,D$140,BD!$A$3:$A$5001,_xlfn.MAXIFS(BD!$A$3:$A$5001,BD!$B$3:$B$5001,D$140,BD!$A$3:$A$5001,"&gt;="&amp;$C$7,BD!$A$3:$A$5001,"&lt;="&amp;$B151,BD!$V$3:$V$5001,"&lt;&gt;"))))</f>
        <v/>
      </c>
      <c r="E151" s="54" t="str">
        <f>IF(OR($B151="",$A151&gt;$B$9,E$140=""),"",IF(COUNTIFS(BD!$B$3:$B$5001,E$140,BD!$A$3:$A$5001,"&gt;="&amp;$C$7,BD!$A$3:$A$5001,"&lt;="&amp;$B151,BD!$V$3:$V$5001,"&lt;&gt;")=0,"",SUMIFS(BD!$V$3:$V$5001,BD!$B$3:$B$5001,E$140,BD!$A$3:$A$5001,_xlfn.MAXIFS(BD!$A$3:$A$5001,BD!$B$3:$B$5001,E$140,BD!$A$3:$A$5001,"&gt;="&amp;$C$7,BD!$A$3:$A$5001,"&lt;="&amp;$B151,BD!$V$3:$V$5001,"&lt;&gt;"))))</f>
        <v/>
      </c>
      <c r="F151" s="54" t="str">
        <f>IF(OR($B151="",$A151&gt;$B$9,F$140=""),"",IF(COUNTIFS(BD!$B$3:$B$5001,F$140,BD!$A$3:$A$5001,"&gt;="&amp;$C$7,BD!$A$3:$A$5001,"&lt;="&amp;$B151,BD!$V$3:$V$5001,"&lt;&gt;")=0,"",SUMIFS(BD!$V$3:$V$5001,BD!$B$3:$B$5001,F$140,BD!$A$3:$A$5001,_xlfn.MAXIFS(BD!$A$3:$A$5001,BD!$B$3:$B$5001,F$140,BD!$A$3:$A$5001,"&gt;="&amp;$C$7,BD!$A$3:$A$5001,"&lt;="&amp;$B151,BD!$V$3:$V$5001,"&lt;&gt;"))))</f>
        <v/>
      </c>
      <c r="G151" s="54" t="str">
        <f>IF(OR($B151="",$A151&gt;$B$9,G$140=""),"",IF(COUNTIFS(BD!$B$3:$B$5001,G$140,BD!$A$3:$A$5001,"&gt;="&amp;$C$7,BD!$A$3:$A$5001,"&lt;="&amp;$B151,BD!$V$3:$V$5001,"&lt;&gt;")=0,"",SUMIFS(BD!$V$3:$V$5001,BD!$B$3:$B$5001,G$140,BD!$A$3:$A$5001,_xlfn.MAXIFS(BD!$A$3:$A$5001,BD!$B$3:$B$5001,G$140,BD!$A$3:$A$5001,"&gt;="&amp;$C$7,BD!$A$3:$A$5001,"&lt;="&amp;$B151,BD!$V$3:$V$5001,"&lt;&gt;"))))</f>
        <v/>
      </c>
      <c r="H151" s="54" t="str">
        <f>IF(OR($B151="",$A151&gt;$B$9,H$140=""),"",IF(COUNTIFS(BD!$B$3:$B$5001,H$140,BD!$A$3:$A$5001,"&gt;="&amp;$C$7,BD!$A$3:$A$5001,"&lt;="&amp;$B151,BD!$V$3:$V$5001,"&lt;&gt;")=0,"",SUMIFS(BD!$V$3:$V$5001,BD!$B$3:$B$5001,H$140,BD!$A$3:$A$5001,_xlfn.MAXIFS(BD!$A$3:$A$5001,BD!$B$3:$B$5001,H$140,BD!$A$3:$A$5001,"&gt;="&amp;$C$7,BD!$A$3:$A$5001,"&lt;="&amp;$B151,BD!$V$3:$V$5001,"&lt;&gt;"))))</f>
        <v/>
      </c>
      <c r="I151" s="54" t="str">
        <f>IF(OR($B151="",$A151&gt;$B$9,I$140=""),"",IF(COUNTIFS(BD!$B$3:$B$5001,I$140,BD!$A$3:$A$5001,"&gt;="&amp;$C$7,BD!$A$3:$A$5001,"&lt;="&amp;$B151,BD!$V$3:$V$5001,"&lt;&gt;")=0,"",SUMIFS(BD!$V$3:$V$5001,BD!$B$3:$B$5001,I$140,BD!$A$3:$A$5001,_xlfn.MAXIFS(BD!$A$3:$A$5001,BD!$B$3:$B$5001,I$140,BD!$A$3:$A$5001,"&gt;="&amp;$C$7,BD!$A$3:$A$5001,"&lt;="&amp;$B151,BD!$V$3:$V$5001,"&lt;&gt;"))))</f>
        <v/>
      </c>
      <c r="J151" s="54" t="str">
        <f>IF(OR($B151="",$A151&gt;$B$9,J$140=""),"",IF(COUNTIFS(BD!$B$3:$B$5001,J$140,BD!$A$3:$A$5001,"&gt;="&amp;$C$7,BD!$A$3:$A$5001,"&lt;="&amp;$B151,BD!$V$3:$V$5001,"&lt;&gt;")=0,"",SUMIFS(BD!$V$3:$V$5001,BD!$B$3:$B$5001,J$140,BD!$A$3:$A$5001,_xlfn.MAXIFS(BD!$A$3:$A$5001,BD!$B$3:$B$5001,J$140,BD!$A$3:$A$5001,"&gt;="&amp;$C$7,BD!$A$3:$A$5001,"&lt;="&amp;$B151,BD!$V$3:$V$5001,"&lt;&gt;"))))</f>
        <v/>
      </c>
      <c r="K151" s="54" t="str">
        <f>IF(OR($B151="",$A151&gt;$B$9,K$140=""),"",IF(COUNTIFS(BD!$B$3:$B$5001,K$140,BD!$A$3:$A$5001,"&gt;="&amp;$C$7,BD!$A$3:$A$5001,"&lt;="&amp;$B151,BD!$V$3:$V$5001,"&lt;&gt;")=0,"",SUMIFS(BD!$V$3:$V$5001,BD!$B$3:$B$5001,K$140,BD!$A$3:$A$5001,_xlfn.MAXIFS(BD!$A$3:$A$5001,BD!$B$3:$B$5001,K$140,BD!$A$3:$A$5001,"&gt;="&amp;$C$7,BD!$A$3:$A$5001,"&lt;="&amp;$B151,BD!$V$3:$V$5001,"&lt;&gt;"))))</f>
        <v/>
      </c>
      <c r="L151" s="54" t="str">
        <f>IF(OR($B151="",$A151&gt;$B$9,L$140=""),"",IF(COUNTIFS(BD!$B$3:$B$5001,L$140,BD!$A$3:$A$5001,"&gt;="&amp;$C$7,BD!$A$3:$A$5001,"&lt;="&amp;$B151,BD!$V$3:$V$5001,"&lt;&gt;")=0,"",SUMIFS(BD!$V$3:$V$5001,BD!$B$3:$B$5001,L$140,BD!$A$3:$A$5001,_xlfn.MAXIFS(BD!$A$3:$A$5001,BD!$B$3:$B$5001,L$140,BD!$A$3:$A$5001,"&gt;="&amp;$C$7,BD!$A$3:$A$5001,"&lt;="&amp;$B151,BD!$V$3:$V$5001,"&lt;&gt;"))))</f>
        <v/>
      </c>
      <c r="M151" s="54" t="str">
        <f>IF(OR($B151="",$A151&gt;$B$9,M$140=""),"",IF(COUNTIFS(BD!$B$3:$B$5001,M$140,BD!$A$3:$A$5001,"&gt;="&amp;$C$7,BD!$A$3:$A$5001,"&lt;="&amp;$B151,BD!$V$3:$V$5001,"&lt;&gt;")=0,"",SUMIFS(BD!$V$3:$V$5001,BD!$B$3:$B$5001,M$140,BD!$A$3:$A$5001,_xlfn.MAXIFS(BD!$A$3:$A$5001,BD!$B$3:$B$5001,M$140,BD!$A$3:$A$5001,"&gt;="&amp;$C$7,BD!$A$3:$A$5001,"&lt;="&amp;$B151,BD!$V$3:$V$5001,"&lt;&gt;"))))</f>
        <v/>
      </c>
      <c r="N151" s="54" t="str">
        <f>IF(OR($B151="",$A151&gt;$B$9,N$140=""),"",IF(COUNTIFS(BD!$B$3:$B$5001,N$140,BD!$A$3:$A$5001,"&gt;="&amp;$C$7,BD!$A$3:$A$5001,"&lt;="&amp;$B151,BD!$V$3:$V$5001,"&lt;&gt;")=0,"",SUMIFS(BD!$V$3:$V$5001,BD!$B$3:$B$5001,N$140,BD!$A$3:$A$5001,_xlfn.MAXIFS(BD!$A$3:$A$5001,BD!$B$3:$B$5001,N$140,BD!$A$3:$A$5001,"&gt;="&amp;$C$7,BD!$A$3:$A$5001,"&lt;="&amp;$B151,BD!$V$3:$V$5001,"&lt;&gt;"))))</f>
        <v/>
      </c>
      <c r="O151" s="54" t="str">
        <f>IF(OR($B151="",$A151&gt;$B$9,O$140=""),"",IF(COUNTIFS(BD!$B$3:$B$5001,O$140,BD!$A$3:$A$5001,"&gt;="&amp;$C$7,BD!$A$3:$A$5001,"&lt;="&amp;$B151,BD!$V$3:$V$5001,"&lt;&gt;")=0,"",SUMIFS(BD!$V$3:$V$5001,BD!$B$3:$B$5001,O$140,BD!$A$3:$A$5001,_xlfn.MAXIFS(BD!$A$3:$A$5001,BD!$B$3:$B$5001,O$140,BD!$A$3:$A$5001,"&gt;="&amp;$C$7,BD!$A$3:$A$5001,"&lt;="&amp;$B151,BD!$V$3:$V$5001,"&lt;&gt;"))))</f>
        <v/>
      </c>
      <c r="P151" s="54" t="str">
        <f>IF(OR($B151="",$A151&gt;$B$9,P$140=""),"",IF(COUNTIFS(BD!$B$3:$B$5001,P$140,BD!$A$3:$A$5001,"&gt;="&amp;$C$7,BD!$A$3:$A$5001,"&lt;="&amp;$B151,BD!$V$3:$V$5001,"&lt;&gt;")=0,"",SUMIFS(BD!$V$3:$V$5001,BD!$B$3:$B$5001,P$140,BD!$A$3:$A$5001,_xlfn.MAXIFS(BD!$A$3:$A$5001,BD!$B$3:$B$5001,P$140,BD!$A$3:$A$5001,"&gt;="&amp;$C$7,BD!$A$3:$A$5001,"&lt;="&amp;$B151,BD!$V$3:$V$5001,"&lt;&gt;"))))</f>
        <v/>
      </c>
      <c r="Q151" s="54" t="str">
        <f>IF(OR($B151="",$A151&gt;$B$9,Q$140=""),"",IF(COUNTIFS(BD!$B$3:$B$5001,Q$140,BD!$A$3:$A$5001,"&gt;="&amp;$C$7,BD!$A$3:$A$5001,"&lt;="&amp;$B151,BD!$V$3:$V$5001,"&lt;&gt;")=0,"",SUMIFS(BD!$V$3:$V$5001,BD!$B$3:$B$5001,Q$140,BD!$A$3:$A$5001,_xlfn.MAXIFS(BD!$A$3:$A$5001,BD!$B$3:$B$5001,Q$140,BD!$A$3:$A$5001,"&gt;="&amp;$C$7,BD!$A$3:$A$5001,"&lt;="&amp;$B151,BD!$V$3:$V$5001,"&lt;&gt;"))))</f>
        <v/>
      </c>
      <c r="R151" s="54" t="str">
        <f>IF(OR($B151="",$A151&gt;$B$9,R$140=""),"",IF(COUNTIFS(BD!$B$3:$B$5001,R$140,BD!$A$3:$A$5001,"&gt;="&amp;$C$7,BD!$A$3:$A$5001,"&lt;="&amp;$B151,BD!$V$3:$V$5001,"&lt;&gt;")=0,"",SUMIFS(BD!$V$3:$V$5001,BD!$B$3:$B$5001,R$140,BD!$A$3:$A$5001,_xlfn.MAXIFS(BD!$A$3:$A$5001,BD!$B$3:$B$5001,R$140,BD!$A$3:$A$5001,"&gt;="&amp;$C$7,BD!$A$3:$A$5001,"&lt;="&amp;$B151,BD!$V$3:$V$5001,"&lt;&gt;"))))</f>
        <v/>
      </c>
      <c r="S151" s="54" t="str">
        <f>IF(OR($B151="",$A151&gt;$B$9,S$140=""),"",IF(COUNTIFS(BD!$B$3:$B$5001,S$140,BD!$A$3:$A$5001,"&gt;="&amp;$C$7,BD!$A$3:$A$5001,"&lt;="&amp;$B151,BD!$V$3:$V$5001,"&lt;&gt;")=0,"",SUMIFS(BD!$V$3:$V$5001,BD!$B$3:$B$5001,S$140,BD!$A$3:$A$5001,_xlfn.MAXIFS(BD!$A$3:$A$5001,BD!$B$3:$B$5001,S$140,BD!$A$3:$A$5001,"&gt;="&amp;$C$7,BD!$A$3:$A$5001,"&lt;="&amp;$B151,BD!$V$3:$V$5001,"&lt;&gt;"))))</f>
        <v/>
      </c>
      <c r="T151" s="54" t="str">
        <f>IF(OR($B151="",$A151&gt;$B$9,T$140=""),"",IF(COUNTIFS(BD!$B$3:$B$5001,T$140,BD!$A$3:$A$5001,"&gt;="&amp;$C$7,BD!$A$3:$A$5001,"&lt;="&amp;$B151,BD!$V$3:$V$5001,"&lt;&gt;")=0,"",SUMIFS(BD!$V$3:$V$5001,BD!$B$3:$B$5001,T$140,BD!$A$3:$A$5001,_xlfn.MAXIFS(BD!$A$3:$A$5001,BD!$B$3:$B$5001,T$140,BD!$A$3:$A$5001,"&gt;="&amp;$C$7,BD!$A$3:$A$5001,"&lt;="&amp;$B151,BD!$V$3:$V$5001,"&lt;&gt;"))))</f>
        <v/>
      </c>
      <c r="U151" s="54" t="str">
        <f>IF(OR($B151="",$A151&gt;$B$9,U$140=""),"",IF(COUNTIFS(BD!$B$3:$B$5001,U$140,BD!$A$3:$A$5001,"&gt;="&amp;$C$7,BD!$A$3:$A$5001,"&lt;="&amp;$B151,BD!$V$3:$V$5001,"&lt;&gt;")=0,"",SUMIFS(BD!$V$3:$V$5001,BD!$B$3:$B$5001,U$140,BD!$A$3:$A$5001,_xlfn.MAXIFS(BD!$A$3:$A$5001,BD!$B$3:$B$5001,U$140,BD!$A$3:$A$5001,"&gt;="&amp;$C$7,BD!$A$3:$A$5001,"&lt;="&amp;$B151,BD!$V$3:$V$5001,"&lt;&gt;"))))</f>
        <v/>
      </c>
      <c r="V151" s="54" t="str">
        <f>IF(OR($B151="",$A151&gt;$B$9,V$140=""),"",IF(COUNTIFS(BD!$B$3:$B$5001,V$140,BD!$A$3:$A$5001,"&gt;="&amp;$C$7,BD!$A$3:$A$5001,"&lt;="&amp;$B151,BD!$V$3:$V$5001,"&lt;&gt;")=0,"",SUMIFS(BD!$V$3:$V$5001,BD!$B$3:$B$5001,V$140,BD!$A$3:$A$5001,_xlfn.MAXIFS(BD!$A$3:$A$5001,BD!$B$3:$B$5001,V$140,BD!$A$3:$A$5001,"&gt;="&amp;$C$7,BD!$A$3:$A$5001,"&lt;="&amp;$B151,BD!$V$3:$V$5001,"&lt;&gt;"))))</f>
        <v/>
      </c>
    </row>
    <row r="152">
      <c r="A152" s="48">
        <v>12</v>
      </c>
      <c r="B152" s="53">
        <f>$B$23</f>
        <v>46307</v>
      </c>
      <c r="C152" s="54" t="str">
        <f>IF(OR($B152="",$A152&gt;$B$9,C$140=""),"",IF(COUNTIFS(BD!$B$3:$B$5001,C$140,BD!$A$3:$A$5001,"&gt;="&amp;$C$7,BD!$A$3:$A$5001,"&lt;="&amp;$B152,BD!$V$3:$V$5001,"&lt;&gt;")=0,"",SUMIFS(BD!$V$3:$V$5001,BD!$B$3:$B$5001,C$140,BD!$A$3:$A$5001,_xlfn.MAXIFS(BD!$A$3:$A$5001,BD!$B$3:$B$5001,C$140,BD!$A$3:$A$5001,"&gt;="&amp;$C$7,BD!$A$3:$A$5001,"&lt;="&amp;$B152,BD!$V$3:$V$5001,"&lt;&gt;"))))</f>
        <v/>
      </c>
      <c r="D152" s="54" t="str">
        <f>IF(OR($B152="",$A152&gt;$B$9,D$140=""),"",IF(COUNTIFS(BD!$B$3:$B$5001,D$140,BD!$A$3:$A$5001,"&gt;="&amp;$C$7,BD!$A$3:$A$5001,"&lt;="&amp;$B152,BD!$V$3:$V$5001,"&lt;&gt;")=0,"",SUMIFS(BD!$V$3:$V$5001,BD!$B$3:$B$5001,D$140,BD!$A$3:$A$5001,_xlfn.MAXIFS(BD!$A$3:$A$5001,BD!$B$3:$B$5001,D$140,BD!$A$3:$A$5001,"&gt;="&amp;$C$7,BD!$A$3:$A$5001,"&lt;="&amp;$B152,BD!$V$3:$V$5001,"&lt;&gt;"))))</f>
        <v/>
      </c>
      <c r="E152" s="54" t="str">
        <f>IF(OR($B152="",$A152&gt;$B$9,E$140=""),"",IF(COUNTIFS(BD!$B$3:$B$5001,E$140,BD!$A$3:$A$5001,"&gt;="&amp;$C$7,BD!$A$3:$A$5001,"&lt;="&amp;$B152,BD!$V$3:$V$5001,"&lt;&gt;")=0,"",SUMIFS(BD!$V$3:$V$5001,BD!$B$3:$B$5001,E$140,BD!$A$3:$A$5001,_xlfn.MAXIFS(BD!$A$3:$A$5001,BD!$B$3:$B$5001,E$140,BD!$A$3:$A$5001,"&gt;="&amp;$C$7,BD!$A$3:$A$5001,"&lt;="&amp;$B152,BD!$V$3:$V$5001,"&lt;&gt;"))))</f>
        <v/>
      </c>
      <c r="F152" s="54" t="str">
        <f>IF(OR($B152="",$A152&gt;$B$9,F$140=""),"",IF(COUNTIFS(BD!$B$3:$B$5001,F$140,BD!$A$3:$A$5001,"&gt;="&amp;$C$7,BD!$A$3:$A$5001,"&lt;="&amp;$B152,BD!$V$3:$V$5001,"&lt;&gt;")=0,"",SUMIFS(BD!$V$3:$V$5001,BD!$B$3:$B$5001,F$140,BD!$A$3:$A$5001,_xlfn.MAXIFS(BD!$A$3:$A$5001,BD!$B$3:$B$5001,F$140,BD!$A$3:$A$5001,"&gt;="&amp;$C$7,BD!$A$3:$A$5001,"&lt;="&amp;$B152,BD!$V$3:$V$5001,"&lt;&gt;"))))</f>
        <v/>
      </c>
      <c r="G152" s="54" t="str">
        <f>IF(OR($B152="",$A152&gt;$B$9,G$140=""),"",IF(COUNTIFS(BD!$B$3:$B$5001,G$140,BD!$A$3:$A$5001,"&gt;="&amp;$C$7,BD!$A$3:$A$5001,"&lt;="&amp;$B152,BD!$V$3:$V$5001,"&lt;&gt;")=0,"",SUMIFS(BD!$V$3:$V$5001,BD!$B$3:$B$5001,G$140,BD!$A$3:$A$5001,_xlfn.MAXIFS(BD!$A$3:$A$5001,BD!$B$3:$B$5001,G$140,BD!$A$3:$A$5001,"&gt;="&amp;$C$7,BD!$A$3:$A$5001,"&lt;="&amp;$B152,BD!$V$3:$V$5001,"&lt;&gt;"))))</f>
        <v/>
      </c>
      <c r="H152" s="54" t="str">
        <f>IF(OR($B152="",$A152&gt;$B$9,H$140=""),"",IF(COUNTIFS(BD!$B$3:$B$5001,H$140,BD!$A$3:$A$5001,"&gt;="&amp;$C$7,BD!$A$3:$A$5001,"&lt;="&amp;$B152,BD!$V$3:$V$5001,"&lt;&gt;")=0,"",SUMIFS(BD!$V$3:$V$5001,BD!$B$3:$B$5001,H$140,BD!$A$3:$A$5001,_xlfn.MAXIFS(BD!$A$3:$A$5001,BD!$B$3:$B$5001,H$140,BD!$A$3:$A$5001,"&gt;="&amp;$C$7,BD!$A$3:$A$5001,"&lt;="&amp;$B152,BD!$V$3:$V$5001,"&lt;&gt;"))))</f>
        <v/>
      </c>
      <c r="I152" s="54" t="str">
        <f>IF(OR($B152="",$A152&gt;$B$9,I$140=""),"",IF(COUNTIFS(BD!$B$3:$B$5001,I$140,BD!$A$3:$A$5001,"&gt;="&amp;$C$7,BD!$A$3:$A$5001,"&lt;="&amp;$B152,BD!$V$3:$V$5001,"&lt;&gt;")=0,"",SUMIFS(BD!$V$3:$V$5001,BD!$B$3:$B$5001,I$140,BD!$A$3:$A$5001,_xlfn.MAXIFS(BD!$A$3:$A$5001,BD!$B$3:$B$5001,I$140,BD!$A$3:$A$5001,"&gt;="&amp;$C$7,BD!$A$3:$A$5001,"&lt;="&amp;$B152,BD!$V$3:$V$5001,"&lt;&gt;"))))</f>
        <v/>
      </c>
      <c r="J152" s="54" t="str">
        <f>IF(OR($B152="",$A152&gt;$B$9,J$140=""),"",IF(COUNTIFS(BD!$B$3:$B$5001,J$140,BD!$A$3:$A$5001,"&gt;="&amp;$C$7,BD!$A$3:$A$5001,"&lt;="&amp;$B152,BD!$V$3:$V$5001,"&lt;&gt;")=0,"",SUMIFS(BD!$V$3:$V$5001,BD!$B$3:$B$5001,J$140,BD!$A$3:$A$5001,_xlfn.MAXIFS(BD!$A$3:$A$5001,BD!$B$3:$B$5001,J$140,BD!$A$3:$A$5001,"&gt;="&amp;$C$7,BD!$A$3:$A$5001,"&lt;="&amp;$B152,BD!$V$3:$V$5001,"&lt;&gt;"))))</f>
        <v/>
      </c>
      <c r="K152" s="54" t="str">
        <f>IF(OR($B152="",$A152&gt;$B$9,K$140=""),"",IF(COUNTIFS(BD!$B$3:$B$5001,K$140,BD!$A$3:$A$5001,"&gt;="&amp;$C$7,BD!$A$3:$A$5001,"&lt;="&amp;$B152,BD!$V$3:$V$5001,"&lt;&gt;")=0,"",SUMIFS(BD!$V$3:$V$5001,BD!$B$3:$B$5001,K$140,BD!$A$3:$A$5001,_xlfn.MAXIFS(BD!$A$3:$A$5001,BD!$B$3:$B$5001,K$140,BD!$A$3:$A$5001,"&gt;="&amp;$C$7,BD!$A$3:$A$5001,"&lt;="&amp;$B152,BD!$V$3:$V$5001,"&lt;&gt;"))))</f>
        <v/>
      </c>
      <c r="L152" s="54" t="str">
        <f>IF(OR($B152="",$A152&gt;$B$9,L$140=""),"",IF(COUNTIFS(BD!$B$3:$B$5001,L$140,BD!$A$3:$A$5001,"&gt;="&amp;$C$7,BD!$A$3:$A$5001,"&lt;="&amp;$B152,BD!$V$3:$V$5001,"&lt;&gt;")=0,"",SUMIFS(BD!$V$3:$V$5001,BD!$B$3:$B$5001,L$140,BD!$A$3:$A$5001,_xlfn.MAXIFS(BD!$A$3:$A$5001,BD!$B$3:$B$5001,L$140,BD!$A$3:$A$5001,"&gt;="&amp;$C$7,BD!$A$3:$A$5001,"&lt;="&amp;$B152,BD!$V$3:$V$5001,"&lt;&gt;"))))</f>
        <v/>
      </c>
      <c r="M152" s="54" t="str">
        <f>IF(OR($B152="",$A152&gt;$B$9,M$140=""),"",IF(COUNTIFS(BD!$B$3:$B$5001,M$140,BD!$A$3:$A$5001,"&gt;="&amp;$C$7,BD!$A$3:$A$5001,"&lt;="&amp;$B152,BD!$V$3:$V$5001,"&lt;&gt;")=0,"",SUMIFS(BD!$V$3:$V$5001,BD!$B$3:$B$5001,M$140,BD!$A$3:$A$5001,_xlfn.MAXIFS(BD!$A$3:$A$5001,BD!$B$3:$B$5001,M$140,BD!$A$3:$A$5001,"&gt;="&amp;$C$7,BD!$A$3:$A$5001,"&lt;="&amp;$B152,BD!$V$3:$V$5001,"&lt;&gt;"))))</f>
        <v/>
      </c>
      <c r="N152" s="54" t="str">
        <f>IF(OR($B152="",$A152&gt;$B$9,N$140=""),"",IF(COUNTIFS(BD!$B$3:$B$5001,N$140,BD!$A$3:$A$5001,"&gt;="&amp;$C$7,BD!$A$3:$A$5001,"&lt;="&amp;$B152,BD!$V$3:$V$5001,"&lt;&gt;")=0,"",SUMIFS(BD!$V$3:$V$5001,BD!$B$3:$B$5001,N$140,BD!$A$3:$A$5001,_xlfn.MAXIFS(BD!$A$3:$A$5001,BD!$B$3:$B$5001,N$140,BD!$A$3:$A$5001,"&gt;="&amp;$C$7,BD!$A$3:$A$5001,"&lt;="&amp;$B152,BD!$V$3:$V$5001,"&lt;&gt;"))))</f>
        <v/>
      </c>
      <c r="O152" s="54" t="str">
        <f>IF(OR($B152="",$A152&gt;$B$9,O$140=""),"",IF(COUNTIFS(BD!$B$3:$B$5001,O$140,BD!$A$3:$A$5001,"&gt;="&amp;$C$7,BD!$A$3:$A$5001,"&lt;="&amp;$B152,BD!$V$3:$V$5001,"&lt;&gt;")=0,"",SUMIFS(BD!$V$3:$V$5001,BD!$B$3:$B$5001,O$140,BD!$A$3:$A$5001,_xlfn.MAXIFS(BD!$A$3:$A$5001,BD!$B$3:$B$5001,O$140,BD!$A$3:$A$5001,"&gt;="&amp;$C$7,BD!$A$3:$A$5001,"&lt;="&amp;$B152,BD!$V$3:$V$5001,"&lt;&gt;"))))</f>
        <v/>
      </c>
      <c r="P152" s="54" t="str">
        <f>IF(OR($B152="",$A152&gt;$B$9,P$140=""),"",IF(COUNTIFS(BD!$B$3:$B$5001,P$140,BD!$A$3:$A$5001,"&gt;="&amp;$C$7,BD!$A$3:$A$5001,"&lt;="&amp;$B152,BD!$V$3:$V$5001,"&lt;&gt;")=0,"",SUMIFS(BD!$V$3:$V$5001,BD!$B$3:$B$5001,P$140,BD!$A$3:$A$5001,_xlfn.MAXIFS(BD!$A$3:$A$5001,BD!$B$3:$B$5001,P$140,BD!$A$3:$A$5001,"&gt;="&amp;$C$7,BD!$A$3:$A$5001,"&lt;="&amp;$B152,BD!$V$3:$V$5001,"&lt;&gt;"))))</f>
        <v/>
      </c>
      <c r="Q152" s="54" t="str">
        <f>IF(OR($B152="",$A152&gt;$B$9,Q$140=""),"",IF(COUNTIFS(BD!$B$3:$B$5001,Q$140,BD!$A$3:$A$5001,"&gt;="&amp;$C$7,BD!$A$3:$A$5001,"&lt;="&amp;$B152,BD!$V$3:$V$5001,"&lt;&gt;")=0,"",SUMIFS(BD!$V$3:$V$5001,BD!$B$3:$B$5001,Q$140,BD!$A$3:$A$5001,_xlfn.MAXIFS(BD!$A$3:$A$5001,BD!$B$3:$B$5001,Q$140,BD!$A$3:$A$5001,"&gt;="&amp;$C$7,BD!$A$3:$A$5001,"&lt;="&amp;$B152,BD!$V$3:$V$5001,"&lt;&gt;"))))</f>
        <v/>
      </c>
      <c r="R152" s="54" t="str">
        <f>IF(OR($B152="",$A152&gt;$B$9,R$140=""),"",IF(COUNTIFS(BD!$B$3:$B$5001,R$140,BD!$A$3:$A$5001,"&gt;="&amp;$C$7,BD!$A$3:$A$5001,"&lt;="&amp;$B152,BD!$V$3:$V$5001,"&lt;&gt;")=0,"",SUMIFS(BD!$V$3:$V$5001,BD!$B$3:$B$5001,R$140,BD!$A$3:$A$5001,_xlfn.MAXIFS(BD!$A$3:$A$5001,BD!$B$3:$B$5001,R$140,BD!$A$3:$A$5001,"&gt;="&amp;$C$7,BD!$A$3:$A$5001,"&lt;="&amp;$B152,BD!$V$3:$V$5001,"&lt;&gt;"))))</f>
        <v/>
      </c>
      <c r="S152" s="54" t="str">
        <f>IF(OR($B152="",$A152&gt;$B$9,S$140=""),"",IF(COUNTIFS(BD!$B$3:$B$5001,S$140,BD!$A$3:$A$5001,"&gt;="&amp;$C$7,BD!$A$3:$A$5001,"&lt;="&amp;$B152,BD!$V$3:$V$5001,"&lt;&gt;")=0,"",SUMIFS(BD!$V$3:$V$5001,BD!$B$3:$B$5001,S$140,BD!$A$3:$A$5001,_xlfn.MAXIFS(BD!$A$3:$A$5001,BD!$B$3:$B$5001,S$140,BD!$A$3:$A$5001,"&gt;="&amp;$C$7,BD!$A$3:$A$5001,"&lt;="&amp;$B152,BD!$V$3:$V$5001,"&lt;&gt;"))))</f>
        <v/>
      </c>
      <c r="T152" s="54" t="str">
        <f>IF(OR($B152="",$A152&gt;$B$9,T$140=""),"",IF(COUNTIFS(BD!$B$3:$B$5001,T$140,BD!$A$3:$A$5001,"&gt;="&amp;$C$7,BD!$A$3:$A$5001,"&lt;="&amp;$B152,BD!$V$3:$V$5001,"&lt;&gt;")=0,"",SUMIFS(BD!$V$3:$V$5001,BD!$B$3:$B$5001,T$140,BD!$A$3:$A$5001,_xlfn.MAXIFS(BD!$A$3:$A$5001,BD!$B$3:$B$5001,T$140,BD!$A$3:$A$5001,"&gt;="&amp;$C$7,BD!$A$3:$A$5001,"&lt;="&amp;$B152,BD!$V$3:$V$5001,"&lt;&gt;"))))</f>
        <v/>
      </c>
      <c r="U152" s="54" t="str">
        <f>IF(OR($B152="",$A152&gt;$B$9,U$140=""),"",IF(COUNTIFS(BD!$B$3:$B$5001,U$140,BD!$A$3:$A$5001,"&gt;="&amp;$C$7,BD!$A$3:$A$5001,"&lt;="&amp;$B152,BD!$V$3:$V$5001,"&lt;&gt;")=0,"",SUMIFS(BD!$V$3:$V$5001,BD!$B$3:$B$5001,U$140,BD!$A$3:$A$5001,_xlfn.MAXIFS(BD!$A$3:$A$5001,BD!$B$3:$B$5001,U$140,BD!$A$3:$A$5001,"&gt;="&amp;$C$7,BD!$A$3:$A$5001,"&lt;="&amp;$B152,BD!$V$3:$V$5001,"&lt;&gt;"))))</f>
        <v/>
      </c>
      <c r="V152" s="54" t="str">
        <f>IF(OR($B152="",$A152&gt;$B$9,V$140=""),"",IF(COUNTIFS(BD!$B$3:$B$5001,V$140,BD!$A$3:$A$5001,"&gt;="&amp;$C$7,BD!$A$3:$A$5001,"&lt;="&amp;$B152,BD!$V$3:$V$5001,"&lt;&gt;")=0,"",SUMIFS(BD!$V$3:$V$5001,BD!$B$3:$B$5001,V$140,BD!$A$3:$A$5001,_xlfn.MAXIFS(BD!$A$3:$A$5001,BD!$B$3:$B$5001,V$140,BD!$A$3:$A$5001,"&gt;="&amp;$C$7,BD!$A$3:$A$5001,"&lt;="&amp;$B152,BD!$V$3:$V$5001,"&lt;&gt;"))))</f>
        <v/>
      </c>
    </row>
    <row r="153">
      <c r="A153" s="48">
        <v>13</v>
      </c>
      <c r="B153" s="53">
        <f>$B$24</f>
        <v>46308</v>
      </c>
      <c r="C153" s="54" t="str">
        <f>IF(OR($B153="",$A153&gt;$B$9,C$140=""),"",IF(COUNTIFS(BD!$B$3:$B$5001,C$140,BD!$A$3:$A$5001,"&gt;="&amp;$C$7,BD!$A$3:$A$5001,"&lt;="&amp;$B153,BD!$V$3:$V$5001,"&lt;&gt;")=0,"",SUMIFS(BD!$V$3:$V$5001,BD!$B$3:$B$5001,C$140,BD!$A$3:$A$5001,_xlfn.MAXIFS(BD!$A$3:$A$5001,BD!$B$3:$B$5001,C$140,BD!$A$3:$A$5001,"&gt;="&amp;$C$7,BD!$A$3:$A$5001,"&lt;="&amp;$B153,BD!$V$3:$V$5001,"&lt;&gt;"))))</f>
        <v/>
      </c>
      <c r="D153" s="54" t="str">
        <f>IF(OR($B153="",$A153&gt;$B$9,D$140=""),"",IF(COUNTIFS(BD!$B$3:$B$5001,D$140,BD!$A$3:$A$5001,"&gt;="&amp;$C$7,BD!$A$3:$A$5001,"&lt;="&amp;$B153,BD!$V$3:$V$5001,"&lt;&gt;")=0,"",SUMIFS(BD!$V$3:$V$5001,BD!$B$3:$B$5001,D$140,BD!$A$3:$A$5001,_xlfn.MAXIFS(BD!$A$3:$A$5001,BD!$B$3:$B$5001,D$140,BD!$A$3:$A$5001,"&gt;="&amp;$C$7,BD!$A$3:$A$5001,"&lt;="&amp;$B153,BD!$V$3:$V$5001,"&lt;&gt;"))))</f>
        <v/>
      </c>
      <c r="E153" s="54" t="str">
        <f>IF(OR($B153="",$A153&gt;$B$9,E$140=""),"",IF(COUNTIFS(BD!$B$3:$B$5001,E$140,BD!$A$3:$A$5001,"&gt;="&amp;$C$7,BD!$A$3:$A$5001,"&lt;="&amp;$B153,BD!$V$3:$V$5001,"&lt;&gt;")=0,"",SUMIFS(BD!$V$3:$V$5001,BD!$B$3:$B$5001,E$140,BD!$A$3:$A$5001,_xlfn.MAXIFS(BD!$A$3:$A$5001,BD!$B$3:$B$5001,E$140,BD!$A$3:$A$5001,"&gt;="&amp;$C$7,BD!$A$3:$A$5001,"&lt;="&amp;$B153,BD!$V$3:$V$5001,"&lt;&gt;"))))</f>
        <v/>
      </c>
      <c r="F153" s="54" t="str">
        <f>IF(OR($B153="",$A153&gt;$B$9,F$140=""),"",IF(COUNTIFS(BD!$B$3:$B$5001,F$140,BD!$A$3:$A$5001,"&gt;="&amp;$C$7,BD!$A$3:$A$5001,"&lt;="&amp;$B153,BD!$V$3:$V$5001,"&lt;&gt;")=0,"",SUMIFS(BD!$V$3:$V$5001,BD!$B$3:$B$5001,F$140,BD!$A$3:$A$5001,_xlfn.MAXIFS(BD!$A$3:$A$5001,BD!$B$3:$B$5001,F$140,BD!$A$3:$A$5001,"&gt;="&amp;$C$7,BD!$A$3:$A$5001,"&lt;="&amp;$B153,BD!$V$3:$V$5001,"&lt;&gt;"))))</f>
        <v/>
      </c>
      <c r="G153" s="54" t="str">
        <f>IF(OR($B153="",$A153&gt;$B$9,G$140=""),"",IF(COUNTIFS(BD!$B$3:$B$5001,G$140,BD!$A$3:$A$5001,"&gt;="&amp;$C$7,BD!$A$3:$A$5001,"&lt;="&amp;$B153,BD!$V$3:$V$5001,"&lt;&gt;")=0,"",SUMIFS(BD!$V$3:$V$5001,BD!$B$3:$B$5001,G$140,BD!$A$3:$A$5001,_xlfn.MAXIFS(BD!$A$3:$A$5001,BD!$B$3:$B$5001,G$140,BD!$A$3:$A$5001,"&gt;="&amp;$C$7,BD!$A$3:$A$5001,"&lt;="&amp;$B153,BD!$V$3:$V$5001,"&lt;&gt;"))))</f>
        <v/>
      </c>
      <c r="H153" s="54" t="str">
        <f>IF(OR($B153="",$A153&gt;$B$9,H$140=""),"",IF(COUNTIFS(BD!$B$3:$B$5001,H$140,BD!$A$3:$A$5001,"&gt;="&amp;$C$7,BD!$A$3:$A$5001,"&lt;="&amp;$B153,BD!$V$3:$V$5001,"&lt;&gt;")=0,"",SUMIFS(BD!$V$3:$V$5001,BD!$B$3:$B$5001,H$140,BD!$A$3:$A$5001,_xlfn.MAXIFS(BD!$A$3:$A$5001,BD!$B$3:$B$5001,H$140,BD!$A$3:$A$5001,"&gt;="&amp;$C$7,BD!$A$3:$A$5001,"&lt;="&amp;$B153,BD!$V$3:$V$5001,"&lt;&gt;"))))</f>
        <v/>
      </c>
      <c r="I153" s="54" t="str">
        <f>IF(OR($B153="",$A153&gt;$B$9,I$140=""),"",IF(COUNTIFS(BD!$B$3:$B$5001,I$140,BD!$A$3:$A$5001,"&gt;="&amp;$C$7,BD!$A$3:$A$5001,"&lt;="&amp;$B153,BD!$V$3:$V$5001,"&lt;&gt;")=0,"",SUMIFS(BD!$V$3:$V$5001,BD!$B$3:$B$5001,I$140,BD!$A$3:$A$5001,_xlfn.MAXIFS(BD!$A$3:$A$5001,BD!$B$3:$B$5001,I$140,BD!$A$3:$A$5001,"&gt;="&amp;$C$7,BD!$A$3:$A$5001,"&lt;="&amp;$B153,BD!$V$3:$V$5001,"&lt;&gt;"))))</f>
        <v/>
      </c>
      <c r="J153" s="54" t="str">
        <f>IF(OR($B153="",$A153&gt;$B$9,J$140=""),"",IF(COUNTIFS(BD!$B$3:$B$5001,J$140,BD!$A$3:$A$5001,"&gt;="&amp;$C$7,BD!$A$3:$A$5001,"&lt;="&amp;$B153,BD!$V$3:$V$5001,"&lt;&gt;")=0,"",SUMIFS(BD!$V$3:$V$5001,BD!$B$3:$B$5001,J$140,BD!$A$3:$A$5001,_xlfn.MAXIFS(BD!$A$3:$A$5001,BD!$B$3:$B$5001,J$140,BD!$A$3:$A$5001,"&gt;="&amp;$C$7,BD!$A$3:$A$5001,"&lt;="&amp;$B153,BD!$V$3:$V$5001,"&lt;&gt;"))))</f>
        <v/>
      </c>
      <c r="K153" s="54" t="str">
        <f>IF(OR($B153="",$A153&gt;$B$9,K$140=""),"",IF(COUNTIFS(BD!$B$3:$B$5001,K$140,BD!$A$3:$A$5001,"&gt;="&amp;$C$7,BD!$A$3:$A$5001,"&lt;="&amp;$B153,BD!$V$3:$V$5001,"&lt;&gt;")=0,"",SUMIFS(BD!$V$3:$V$5001,BD!$B$3:$B$5001,K$140,BD!$A$3:$A$5001,_xlfn.MAXIFS(BD!$A$3:$A$5001,BD!$B$3:$B$5001,K$140,BD!$A$3:$A$5001,"&gt;="&amp;$C$7,BD!$A$3:$A$5001,"&lt;="&amp;$B153,BD!$V$3:$V$5001,"&lt;&gt;"))))</f>
        <v/>
      </c>
      <c r="L153" s="54" t="str">
        <f>IF(OR($B153="",$A153&gt;$B$9,L$140=""),"",IF(COUNTIFS(BD!$B$3:$B$5001,L$140,BD!$A$3:$A$5001,"&gt;="&amp;$C$7,BD!$A$3:$A$5001,"&lt;="&amp;$B153,BD!$V$3:$V$5001,"&lt;&gt;")=0,"",SUMIFS(BD!$V$3:$V$5001,BD!$B$3:$B$5001,L$140,BD!$A$3:$A$5001,_xlfn.MAXIFS(BD!$A$3:$A$5001,BD!$B$3:$B$5001,L$140,BD!$A$3:$A$5001,"&gt;="&amp;$C$7,BD!$A$3:$A$5001,"&lt;="&amp;$B153,BD!$V$3:$V$5001,"&lt;&gt;"))))</f>
        <v/>
      </c>
      <c r="M153" s="54" t="str">
        <f>IF(OR($B153="",$A153&gt;$B$9,M$140=""),"",IF(COUNTIFS(BD!$B$3:$B$5001,M$140,BD!$A$3:$A$5001,"&gt;="&amp;$C$7,BD!$A$3:$A$5001,"&lt;="&amp;$B153,BD!$V$3:$V$5001,"&lt;&gt;")=0,"",SUMIFS(BD!$V$3:$V$5001,BD!$B$3:$B$5001,M$140,BD!$A$3:$A$5001,_xlfn.MAXIFS(BD!$A$3:$A$5001,BD!$B$3:$B$5001,M$140,BD!$A$3:$A$5001,"&gt;="&amp;$C$7,BD!$A$3:$A$5001,"&lt;="&amp;$B153,BD!$V$3:$V$5001,"&lt;&gt;"))))</f>
        <v/>
      </c>
      <c r="N153" s="54" t="str">
        <f>IF(OR($B153="",$A153&gt;$B$9,N$140=""),"",IF(COUNTIFS(BD!$B$3:$B$5001,N$140,BD!$A$3:$A$5001,"&gt;="&amp;$C$7,BD!$A$3:$A$5001,"&lt;="&amp;$B153,BD!$V$3:$V$5001,"&lt;&gt;")=0,"",SUMIFS(BD!$V$3:$V$5001,BD!$B$3:$B$5001,N$140,BD!$A$3:$A$5001,_xlfn.MAXIFS(BD!$A$3:$A$5001,BD!$B$3:$B$5001,N$140,BD!$A$3:$A$5001,"&gt;="&amp;$C$7,BD!$A$3:$A$5001,"&lt;="&amp;$B153,BD!$V$3:$V$5001,"&lt;&gt;"))))</f>
        <v/>
      </c>
      <c r="O153" s="54" t="str">
        <f>IF(OR($B153="",$A153&gt;$B$9,O$140=""),"",IF(COUNTIFS(BD!$B$3:$B$5001,O$140,BD!$A$3:$A$5001,"&gt;="&amp;$C$7,BD!$A$3:$A$5001,"&lt;="&amp;$B153,BD!$V$3:$V$5001,"&lt;&gt;")=0,"",SUMIFS(BD!$V$3:$V$5001,BD!$B$3:$B$5001,O$140,BD!$A$3:$A$5001,_xlfn.MAXIFS(BD!$A$3:$A$5001,BD!$B$3:$B$5001,O$140,BD!$A$3:$A$5001,"&gt;="&amp;$C$7,BD!$A$3:$A$5001,"&lt;="&amp;$B153,BD!$V$3:$V$5001,"&lt;&gt;"))))</f>
        <v/>
      </c>
      <c r="P153" s="54" t="str">
        <f>IF(OR($B153="",$A153&gt;$B$9,P$140=""),"",IF(COUNTIFS(BD!$B$3:$B$5001,P$140,BD!$A$3:$A$5001,"&gt;="&amp;$C$7,BD!$A$3:$A$5001,"&lt;="&amp;$B153,BD!$V$3:$V$5001,"&lt;&gt;")=0,"",SUMIFS(BD!$V$3:$V$5001,BD!$B$3:$B$5001,P$140,BD!$A$3:$A$5001,_xlfn.MAXIFS(BD!$A$3:$A$5001,BD!$B$3:$B$5001,P$140,BD!$A$3:$A$5001,"&gt;="&amp;$C$7,BD!$A$3:$A$5001,"&lt;="&amp;$B153,BD!$V$3:$V$5001,"&lt;&gt;"))))</f>
        <v/>
      </c>
      <c r="Q153" s="54" t="str">
        <f>IF(OR($B153="",$A153&gt;$B$9,Q$140=""),"",IF(COUNTIFS(BD!$B$3:$B$5001,Q$140,BD!$A$3:$A$5001,"&gt;="&amp;$C$7,BD!$A$3:$A$5001,"&lt;="&amp;$B153,BD!$V$3:$V$5001,"&lt;&gt;")=0,"",SUMIFS(BD!$V$3:$V$5001,BD!$B$3:$B$5001,Q$140,BD!$A$3:$A$5001,_xlfn.MAXIFS(BD!$A$3:$A$5001,BD!$B$3:$B$5001,Q$140,BD!$A$3:$A$5001,"&gt;="&amp;$C$7,BD!$A$3:$A$5001,"&lt;="&amp;$B153,BD!$V$3:$V$5001,"&lt;&gt;"))))</f>
        <v/>
      </c>
      <c r="R153" s="54" t="str">
        <f>IF(OR($B153="",$A153&gt;$B$9,R$140=""),"",IF(COUNTIFS(BD!$B$3:$B$5001,R$140,BD!$A$3:$A$5001,"&gt;="&amp;$C$7,BD!$A$3:$A$5001,"&lt;="&amp;$B153,BD!$V$3:$V$5001,"&lt;&gt;")=0,"",SUMIFS(BD!$V$3:$V$5001,BD!$B$3:$B$5001,R$140,BD!$A$3:$A$5001,_xlfn.MAXIFS(BD!$A$3:$A$5001,BD!$B$3:$B$5001,R$140,BD!$A$3:$A$5001,"&gt;="&amp;$C$7,BD!$A$3:$A$5001,"&lt;="&amp;$B153,BD!$V$3:$V$5001,"&lt;&gt;"))))</f>
        <v/>
      </c>
      <c r="S153" s="54" t="str">
        <f>IF(OR($B153="",$A153&gt;$B$9,S$140=""),"",IF(COUNTIFS(BD!$B$3:$B$5001,S$140,BD!$A$3:$A$5001,"&gt;="&amp;$C$7,BD!$A$3:$A$5001,"&lt;="&amp;$B153,BD!$V$3:$V$5001,"&lt;&gt;")=0,"",SUMIFS(BD!$V$3:$V$5001,BD!$B$3:$B$5001,S$140,BD!$A$3:$A$5001,_xlfn.MAXIFS(BD!$A$3:$A$5001,BD!$B$3:$B$5001,S$140,BD!$A$3:$A$5001,"&gt;="&amp;$C$7,BD!$A$3:$A$5001,"&lt;="&amp;$B153,BD!$V$3:$V$5001,"&lt;&gt;"))))</f>
        <v/>
      </c>
      <c r="T153" s="54" t="str">
        <f>IF(OR($B153="",$A153&gt;$B$9,T$140=""),"",IF(COUNTIFS(BD!$B$3:$B$5001,T$140,BD!$A$3:$A$5001,"&gt;="&amp;$C$7,BD!$A$3:$A$5001,"&lt;="&amp;$B153,BD!$V$3:$V$5001,"&lt;&gt;")=0,"",SUMIFS(BD!$V$3:$V$5001,BD!$B$3:$B$5001,T$140,BD!$A$3:$A$5001,_xlfn.MAXIFS(BD!$A$3:$A$5001,BD!$B$3:$B$5001,T$140,BD!$A$3:$A$5001,"&gt;="&amp;$C$7,BD!$A$3:$A$5001,"&lt;="&amp;$B153,BD!$V$3:$V$5001,"&lt;&gt;"))))</f>
        <v/>
      </c>
      <c r="U153" s="54" t="str">
        <f>IF(OR($B153="",$A153&gt;$B$9,U$140=""),"",IF(COUNTIFS(BD!$B$3:$B$5001,U$140,BD!$A$3:$A$5001,"&gt;="&amp;$C$7,BD!$A$3:$A$5001,"&lt;="&amp;$B153,BD!$V$3:$V$5001,"&lt;&gt;")=0,"",SUMIFS(BD!$V$3:$V$5001,BD!$B$3:$B$5001,U$140,BD!$A$3:$A$5001,_xlfn.MAXIFS(BD!$A$3:$A$5001,BD!$B$3:$B$5001,U$140,BD!$A$3:$A$5001,"&gt;="&amp;$C$7,BD!$A$3:$A$5001,"&lt;="&amp;$B153,BD!$V$3:$V$5001,"&lt;&gt;"))))</f>
        <v/>
      </c>
      <c r="V153" s="54" t="str">
        <f>IF(OR($B153="",$A153&gt;$B$9,V$140=""),"",IF(COUNTIFS(BD!$B$3:$B$5001,V$140,BD!$A$3:$A$5001,"&gt;="&amp;$C$7,BD!$A$3:$A$5001,"&lt;="&amp;$B153,BD!$V$3:$V$5001,"&lt;&gt;")=0,"",SUMIFS(BD!$V$3:$V$5001,BD!$B$3:$B$5001,V$140,BD!$A$3:$A$5001,_xlfn.MAXIFS(BD!$A$3:$A$5001,BD!$B$3:$B$5001,V$140,BD!$A$3:$A$5001,"&gt;="&amp;$C$7,BD!$A$3:$A$5001,"&lt;="&amp;$B153,BD!$V$3:$V$5001,"&lt;&gt;"))))</f>
        <v/>
      </c>
    </row>
    <row r="154">
      <c r="A154" s="48">
        <v>14</v>
      </c>
      <c r="B154" s="53">
        <f>$B$25</f>
        <v>46309</v>
      </c>
      <c r="C154" s="54" t="str">
        <f>IF(OR($B154="",$A154&gt;$B$9,C$140=""),"",IF(COUNTIFS(BD!$B$3:$B$5001,C$140,BD!$A$3:$A$5001,"&gt;="&amp;$C$7,BD!$A$3:$A$5001,"&lt;="&amp;$B154,BD!$V$3:$V$5001,"&lt;&gt;")=0,"",SUMIFS(BD!$V$3:$V$5001,BD!$B$3:$B$5001,C$140,BD!$A$3:$A$5001,_xlfn.MAXIFS(BD!$A$3:$A$5001,BD!$B$3:$B$5001,C$140,BD!$A$3:$A$5001,"&gt;="&amp;$C$7,BD!$A$3:$A$5001,"&lt;="&amp;$B154,BD!$V$3:$V$5001,"&lt;&gt;"))))</f>
        <v/>
      </c>
      <c r="D154" s="54" t="str">
        <f>IF(OR($B154="",$A154&gt;$B$9,D$140=""),"",IF(COUNTIFS(BD!$B$3:$B$5001,D$140,BD!$A$3:$A$5001,"&gt;="&amp;$C$7,BD!$A$3:$A$5001,"&lt;="&amp;$B154,BD!$V$3:$V$5001,"&lt;&gt;")=0,"",SUMIFS(BD!$V$3:$V$5001,BD!$B$3:$B$5001,D$140,BD!$A$3:$A$5001,_xlfn.MAXIFS(BD!$A$3:$A$5001,BD!$B$3:$B$5001,D$140,BD!$A$3:$A$5001,"&gt;="&amp;$C$7,BD!$A$3:$A$5001,"&lt;="&amp;$B154,BD!$V$3:$V$5001,"&lt;&gt;"))))</f>
        <v/>
      </c>
      <c r="E154" s="54" t="str">
        <f>IF(OR($B154="",$A154&gt;$B$9,E$140=""),"",IF(COUNTIFS(BD!$B$3:$B$5001,E$140,BD!$A$3:$A$5001,"&gt;="&amp;$C$7,BD!$A$3:$A$5001,"&lt;="&amp;$B154,BD!$V$3:$V$5001,"&lt;&gt;")=0,"",SUMIFS(BD!$V$3:$V$5001,BD!$B$3:$B$5001,E$140,BD!$A$3:$A$5001,_xlfn.MAXIFS(BD!$A$3:$A$5001,BD!$B$3:$B$5001,E$140,BD!$A$3:$A$5001,"&gt;="&amp;$C$7,BD!$A$3:$A$5001,"&lt;="&amp;$B154,BD!$V$3:$V$5001,"&lt;&gt;"))))</f>
        <v/>
      </c>
      <c r="F154" s="54" t="str">
        <f>IF(OR($B154="",$A154&gt;$B$9,F$140=""),"",IF(COUNTIFS(BD!$B$3:$B$5001,F$140,BD!$A$3:$A$5001,"&gt;="&amp;$C$7,BD!$A$3:$A$5001,"&lt;="&amp;$B154,BD!$V$3:$V$5001,"&lt;&gt;")=0,"",SUMIFS(BD!$V$3:$V$5001,BD!$B$3:$B$5001,F$140,BD!$A$3:$A$5001,_xlfn.MAXIFS(BD!$A$3:$A$5001,BD!$B$3:$B$5001,F$140,BD!$A$3:$A$5001,"&gt;="&amp;$C$7,BD!$A$3:$A$5001,"&lt;="&amp;$B154,BD!$V$3:$V$5001,"&lt;&gt;"))))</f>
        <v/>
      </c>
      <c r="G154" s="54" t="str">
        <f>IF(OR($B154="",$A154&gt;$B$9,G$140=""),"",IF(COUNTIFS(BD!$B$3:$B$5001,G$140,BD!$A$3:$A$5001,"&gt;="&amp;$C$7,BD!$A$3:$A$5001,"&lt;="&amp;$B154,BD!$V$3:$V$5001,"&lt;&gt;")=0,"",SUMIFS(BD!$V$3:$V$5001,BD!$B$3:$B$5001,G$140,BD!$A$3:$A$5001,_xlfn.MAXIFS(BD!$A$3:$A$5001,BD!$B$3:$B$5001,G$140,BD!$A$3:$A$5001,"&gt;="&amp;$C$7,BD!$A$3:$A$5001,"&lt;="&amp;$B154,BD!$V$3:$V$5001,"&lt;&gt;"))))</f>
        <v/>
      </c>
      <c r="H154" s="54" t="str">
        <f>IF(OR($B154="",$A154&gt;$B$9,H$140=""),"",IF(COUNTIFS(BD!$B$3:$B$5001,H$140,BD!$A$3:$A$5001,"&gt;="&amp;$C$7,BD!$A$3:$A$5001,"&lt;="&amp;$B154,BD!$V$3:$V$5001,"&lt;&gt;")=0,"",SUMIFS(BD!$V$3:$V$5001,BD!$B$3:$B$5001,H$140,BD!$A$3:$A$5001,_xlfn.MAXIFS(BD!$A$3:$A$5001,BD!$B$3:$B$5001,H$140,BD!$A$3:$A$5001,"&gt;="&amp;$C$7,BD!$A$3:$A$5001,"&lt;="&amp;$B154,BD!$V$3:$V$5001,"&lt;&gt;"))))</f>
        <v/>
      </c>
      <c r="I154" s="54" t="str">
        <f>IF(OR($B154="",$A154&gt;$B$9,I$140=""),"",IF(COUNTIFS(BD!$B$3:$B$5001,I$140,BD!$A$3:$A$5001,"&gt;="&amp;$C$7,BD!$A$3:$A$5001,"&lt;="&amp;$B154,BD!$V$3:$V$5001,"&lt;&gt;")=0,"",SUMIFS(BD!$V$3:$V$5001,BD!$B$3:$B$5001,I$140,BD!$A$3:$A$5001,_xlfn.MAXIFS(BD!$A$3:$A$5001,BD!$B$3:$B$5001,I$140,BD!$A$3:$A$5001,"&gt;="&amp;$C$7,BD!$A$3:$A$5001,"&lt;="&amp;$B154,BD!$V$3:$V$5001,"&lt;&gt;"))))</f>
        <v/>
      </c>
      <c r="J154" s="54" t="str">
        <f>IF(OR($B154="",$A154&gt;$B$9,J$140=""),"",IF(COUNTIFS(BD!$B$3:$B$5001,J$140,BD!$A$3:$A$5001,"&gt;="&amp;$C$7,BD!$A$3:$A$5001,"&lt;="&amp;$B154,BD!$V$3:$V$5001,"&lt;&gt;")=0,"",SUMIFS(BD!$V$3:$V$5001,BD!$B$3:$B$5001,J$140,BD!$A$3:$A$5001,_xlfn.MAXIFS(BD!$A$3:$A$5001,BD!$B$3:$B$5001,J$140,BD!$A$3:$A$5001,"&gt;="&amp;$C$7,BD!$A$3:$A$5001,"&lt;="&amp;$B154,BD!$V$3:$V$5001,"&lt;&gt;"))))</f>
        <v/>
      </c>
      <c r="K154" s="54" t="str">
        <f>IF(OR($B154="",$A154&gt;$B$9,K$140=""),"",IF(COUNTIFS(BD!$B$3:$B$5001,K$140,BD!$A$3:$A$5001,"&gt;="&amp;$C$7,BD!$A$3:$A$5001,"&lt;="&amp;$B154,BD!$V$3:$V$5001,"&lt;&gt;")=0,"",SUMIFS(BD!$V$3:$V$5001,BD!$B$3:$B$5001,K$140,BD!$A$3:$A$5001,_xlfn.MAXIFS(BD!$A$3:$A$5001,BD!$B$3:$B$5001,K$140,BD!$A$3:$A$5001,"&gt;="&amp;$C$7,BD!$A$3:$A$5001,"&lt;="&amp;$B154,BD!$V$3:$V$5001,"&lt;&gt;"))))</f>
        <v/>
      </c>
      <c r="L154" s="54" t="str">
        <f>IF(OR($B154="",$A154&gt;$B$9,L$140=""),"",IF(COUNTIFS(BD!$B$3:$B$5001,L$140,BD!$A$3:$A$5001,"&gt;="&amp;$C$7,BD!$A$3:$A$5001,"&lt;="&amp;$B154,BD!$V$3:$V$5001,"&lt;&gt;")=0,"",SUMIFS(BD!$V$3:$V$5001,BD!$B$3:$B$5001,L$140,BD!$A$3:$A$5001,_xlfn.MAXIFS(BD!$A$3:$A$5001,BD!$B$3:$B$5001,L$140,BD!$A$3:$A$5001,"&gt;="&amp;$C$7,BD!$A$3:$A$5001,"&lt;="&amp;$B154,BD!$V$3:$V$5001,"&lt;&gt;"))))</f>
        <v/>
      </c>
      <c r="M154" s="54" t="str">
        <f>IF(OR($B154="",$A154&gt;$B$9,M$140=""),"",IF(COUNTIFS(BD!$B$3:$B$5001,M$140,BD!$A$3:$A$5001,"&gt;="&amp;$C$7,BD!$A$3:$A$5001,"&lt;="&amp;$B154,BD!$V$3:$V$5001,"&lt;&gt;")=0,"",SUMIFS(BD!$V$3:$V$5001,BD!$B$3:$B$5001,M$140,BD!$A$3:$A$5001,_xlfn.MAXIFS(BD!$A$3:$A$5001,BD!$B$3:$B$5001,M$140,BD!$A$3:$A$5001,"&gt;="&amp;$C$7,BD!$A$3:$A$5001,"&lt;="&amp;$B154,BD!$V$3:$V$5001,"&lt;&gt;"))))</f>
        <v/>
      </c>
      <c r="N154" s="54" t="str">
        <f>IF(OR($B154="",$A154&gt;$B$9,N$140=""),"",IF(COUNTIFS(BD!$B$3:$B$5001,N$140,BD!$A$3:$A$5001,"&gt;="&amp;$C$7,BD!$A$3:$A$5001,"&lt;="&amp;$B154,BD!$V$3:$V$5001,"&lt;&gt;")=0,"",SUMIFS(BD!$V$3:$V$5001,BD!$B$3:$B$5001,N$140,BD!$A$3:$A$5001,_xlfn.MAXIFS(BD!$A$3:$A$5001,BD!$B$3:$B$5001,N$140,BD!$A$3:$A$5001,"&gt;="&amp;$C$7,BD!$A$3:$A$5001,"&lt;="&amp;$B154,BD!$V$3:$V$5001,"&lt;&gt;"))))</f>
        <v/>
      </c>
      <c r="O154" s="54" t="str">
        <f>IF(OR($B154="",$A154&gt;$B$9,O$140=""),"",IF(COUNTIFS(BD!$B$3:$B$5001,O$140,BD!$A$3:$A$5001,"&gt;="&amp;$C$7,BD!$A$3:$A$5001,"&lt;="&amp;$B154,BD!$V$3:$V$5001,"&lt;&gt;")=0,"",SUMIFS(BD!$V$3:$V$5001,BD!$B$3:$B$5001,O$140,BD!$A$3:$A$5001,_xlfn.MAXIFS(BD!$A$3:$A$5001,BD!$B$3:$B$5001,O$140,BD!$A$3:$A$5001,"&gt;="&amp;$C$7,BD!$A$3:$A$5001,"&lt;="&amp;$B154,BD!$V$3:$V$5001,"&lt;&gt;"))))</f>
        <v/>
      </c>
      <c r="P154" s="54" t="str">
        <f>IF(OR($B154="",$A154&gt;$B$9,P$140=""),"",IF(COUNTIFS(BD!$B$3:$B$5001,P$140,BD!$A$3:$A$5001,"&gt;="&amp;$C$7,BD!$A$3:$A$5001,"&lt;="&amp;$B154,BD!$V$3:$V$5001,"&lt;&gt;")=0,"",SUMIFS(BD!$V$3:$V$5001,BD!$B$3:$B$5001,P$140,BD!$A$3:$A$5001,_xlfn.MAXIFS(BD!$A$3:$A$5001,BD!$B$3:$B$5001,P$140,BD!$A$3:$A$5001,"&gt;="&amp;$C$7,BD!$A$3:$A$5001,"&lt;="&amp;$B154,BD!$V$3:$V$5001,"&lt;&gt;"))))</f>
        <v/>
      </c>
      <c r="Q154" s="54" t="str">
        <f>IF(OR($B154="",$A154&gt;$B$9,Q$140=""),"",IF(COUNTIFS(BD!$B$3:$B$5001,Q$140,BD!$A$3:$A$5001,"&gt;="&amp;$C$7,BD!$A$3:$A$5001,"&lt;="&amp;$B154,BD!$V$3:$V$5001,"&lt;&gt;")=0,"",SUMIFS(BD!$V$3:$V$5001,BD!$B$3:$B$5001,Q$140,BD!$A$3:$A$5001,_xlfn.MAXIFS(BD!$A$3:$A$5001,BD!$B$3:$B$5001,Q$140,BD!$A$3:$A$5001,"&gt;="&amp;$C$7,BD!$A$3:$A$5001,"&lt;="&amp;$B154,BD!$V$3:$V$5001,"&lt;&gt;"))))</f>
        <v/>
      </c>
      <c r="R154" s="54" t="str">
        <f>IF(OR($B154="",$A154&gt;$B$9,R$140=""),"",IF(COUNTIFS(BD!$B$3:$B$5001,R$140,BD!$A$3:$A$5001,"&gt;="&amp;$C$7,BD!$A$3:$A$5001,"&lt;="&amp;$B154,BD!$V$3:$V$5001,"&lt;&gt;")=0,"",SUMIFS(BD!$V$3:$V$5001,BD!$B$3:$B$5001,R$140,BD!$A$3:$A$5001,_xlfn.MAXIFS(BD!$A$3:$A$5001,BD!$B$3:$B$5001,R$140,BD!$A$3:$A$5001,"&gt;="&amp;$C$7,BD!$A$3:$A$5001,"&lt;="&amp;$B154,BD!$V$3:$V$5001,"&lt;&gt;"))))</f>
        <v/>
      </c>
      <c r="S154" s="54" t="str">
        <f>IF(OR($B154="",$A154&gt;$B$9,S$140=""),"",IF(COUNTIFS(BD!$B$3:$B$5001,S$140,BD!$A$3:$A$5001,"&gt;="&amp;$C$7,BD!$A$3:$A$5001,"&lt;="&amp;$B154,BD!$V$3:$V$5001,"&lt;&gt;")=0,"",SUMIFS(BD!$V$3:$V$5001,BD!$B$3:$B$5001,S$140,BD!$A$3:$A$5001,_xlfn.MAXIFS(BD!$A$3:$A$5001,BD!$B$3:$B$5001,S$140,BD!$A$3:$A$5001,"&gt;="&amp;$C$7,BD!$A$3:$A$5001,"&lt;="&amp;$B154,BD!$V$3:$V$5001,"&lt;&gt;"))))</f>
        <v/>
      </c>
      <c r="T154" s="54" t="str">
        <f>IF(OR($B154="",$A154&gt;$B$9,T$140=""),"",IF(COUNTIFS(BD!$B$3:$B$5001,T$140,BD!$A$3:$A$5001,"&gt;="&amp;$C$7,BD!$A$3:$A$5001,"&lt;="&amp;$B154,BD!$V$3:$V$5001,"&lt;&gt;")=0,"",SUMIFS(BD!$V$3:$V$5001,BD!$B$3:$B$5001,T$140,BD!$A$3:$A$5001,_xlfn.MAXIFS(BD!$A$3:$A$5001,BD!$B$3:$B$5001,T$140,BD!$A$3:$A$5001,"&gt;="&amp;$C$7,BD!$A$3:$A$5001,"&lt;="&amp;$B154,BD!$V$3:$V$5001,"&lt;&gt;"))))</f>
        <v/>
      </c>
      <c r="U154" s="54" t="str">
        <f>IF(OR($B154="",$A154&gt;$B$9,U$140=""),"",IF(COUNTIFS(BD!$B$3:$B$5001,U$140,BD!$A$3:$A$5001,"&gt;="&amp;$C$7,BD!$A$3:$A$5001,"&lt;="&amp;$B154,BD!$V$3:$V$5001,"&lt;&gt;")=0,"",SUMIFS(BD!$V$3:$V$5001,BD!$B$3:$B$5001,U$140,BD!$A$3:$A$5001,_xlfn.MAXIFS(BD!$A$3:$A$5001,BD!$B$3:$B$5001,U$140,BD!$A$3:$A$5001,"&gt;="&amp;$C$7,BD!$A$3:$A$5001,"&lt;="&amp;$B154,BD!$V$3:$V$5001,"&lt;&gt;"))))</f>
        <v/>
      </c>
      <c r="V154" s="54" t="str">
        <f>IF(OR($B154="",$A154&gt;$B$9,V$140=""),"",IF(COUNTIFS(BD!$B$3:$B$5001,V$140,BD!$A$3:$A$5001,"&gt;="&amp;$C$7,BD!$A$3:$A$5001,"&lt;="&amp;$B154,BD!$V$3:$V$5001,"&lt;&gt;")=0,"",SUMIFS(BD!$V$3:$V$5001,BD!$B$3:$B$5001,V$140,BD!$A$3:$A$5001,_xlfn.MAXIFS(BD!$A$3:$A$5001,BD!$B$3:$B$5001,V$140,BD!$A$3:$A$5001,"&gt;="&amp;$C$7,BD!$A$3:$A$5001,"&lt;="&amp;$B154,BD!$V$3:$V$5001,"&lt;&gt;"))))</f>
        <v/>
      </c>
    </row>
    <row r="155">
      <c r="A155" s="48">
        <v>15</v>
      </c>
      <c r="B155" s="53">
        <f>$B$26</f>
        <v>46310</v>
      </c>
      <c r="C155" s="54" t="str">
        <f>IF(OR($B155="",$A155&gt;$B$9,C$140=""),"",IF(COUNTIFS(BD!$B$3:$B$5001,C$140,BD!$A$3:$A$5001,"&gt;="&amp;$C$7,BD!$A$3:$A$5001,"&lt;="&amp;$B155,BD!$V$3:$V$5001,"&lt;&gt;")=0,"",SUMIFS(BD!$V$3:$V$5001,BD!$B$3:$B$5001,C$140,BD!$A$3:$A$5001,_xlfn.MAXIFS(BD!$A$3:$A$5001,BD!$B$3:$B$5001,C$140,BD!$A$3:$A$5001,"&gt;="&amp;$C$7,BD!$A$3:$A$5001,"&lt;="&amp;$B155,BD!$V$3:$V$5001,"&lt;&gt;"))))</f>
        <v/>
      </c>
      <c r="D155" s="54" t="str">
        <f>IF(OR($B155="",$A155&gt;$B$9,D$140=""),"",IF(COUNTIFS(BD!$B$3:$B$5001,D$140,BD!$A$3:$A$5001,"&gt;="&amp;$C$7,BD!$A$3:$A$5001,"&lt;="&amp;$B155,BD!$V$3:$V$5001,"&lt;&gt;")=0,"",SUMIFS(BD!$V$3:$V$5001,BD!$B$3:$B$5001,D$140,BD!$A$3:$A$5001,_xlfn.MAXIFS(BD!$A$3:$A$5001,BD!$B$3:$B$5001,D$140,BD!$A$3:$A$5001,"&gt;="&amp;$C$7,BD!$A$3:$A$5001,"&lt;="&amp;$B155,BD!$V$3:$V$5001,"&lt;&gt;"))))</f>
        <v/>
      </c>
      <c r="E155" s="54" t="str">
        <f>IF(OR($B155="",$A155&gt;$B$9,E$140=""),"",IF(COUNTIFS(BD!$B$3:$B$5001,E$140,BD!$A$3:$A$5001,"&gt;="&amp;$C$7,BD!$A$3:$A$5001,"&lt;="&amp;$B155,BD!$V$3:$V$5001,"&lt;&gt;")=0,"",SUMIFS(BD!$V$3:$V$5001,BD!$B$3:$B$5001,E$140,BD!$A$3:$A$5001,_xlfn.MAXIFS(BD!$A$3:$A$5001,BD!$B$3:$B$5001,E$140,BD!$A$3:$A$5001,"&gt;="&amp;$C$7,BD!$A$3:$A$5001,"&lt;="&amp;$B155,BD!$V$3:$V$5001,"&lt;&gt;"))))</f>
        <v/>
      </c>
      <c r="F155" s="54" t="str">
        <f>IF(OR($B155="",$A155&gt;$B$9,F$140=""),"",IF(COUNTIFS(BD!$B$3:$B$5001,F$140,BD!$A$3:$A$5001,"&gt;="&amp;$C$7,BD!$A$3:$A$5001,"&lt;="&amp;$B155,BD!$V$3:$V$5001,"&lt;&gt;")=0,"",SUMIFS(BD!$V$3:$V$5001,BD!$B$3:$B$5001,F$140,BD!$A$3:$A$5001,_xlfn.MAXIFS(BD!$A$3:$A$5001,BD!$B$3:$B$5001,F$140,BD!$A$3:$A$5001,"&gt;="&amp;$C$7,BD!$A$3:$A$5001,"&lt;="&amp;$B155,BD!$V$3:$V$5001,"&lt;&gt;"))))</f>
        <v/>
      </c>
      <c r="G155" s="54" t="str">
        <f>IF(OR($B155="",$A155&gt;$B$9,G$140=""),"",IF(COUNTIFS(BD!$B$3:$B$5001,G$140,BD!$A$3:$A$5001,"&gt;="&amp;$C$7,BD!$A$3:$A$5001,"&lt;="&amp;$B155,BD!$V$3:$V$5001,"&lt;&gt;")=0,"",SUMIFS(BD!$V$3:$V$5001,BD!$B$3:$B$5001,G$140,BD!$A$3:$A$5001,_xlfn.MAXIFS(BD!$A$3:$A$5001,BD!$B$3:$B$5001,G$140,BD!$A$3:$A$5001,"&gt;="&amp;$C$7,BD!$A$3:$A$5001,"&lt;="&amp;$B155,BD!$V$3:$V$5001,"&lt;&gt;"))))</f>
        <v/>
      </c>
      <c r="H155" s="54" t="str">
        <f>IF(OR($B155="",$A155&gt;$B$9,H$140=""),"",IF(COUNTIFS(BD!$B$3:$B$5001,H$140,BD!$A$3:$A$5001,"&gt;="&amp;$C$7,BD!$A$3:$A$5001,"&lt;="&amp;$B155,BD!$V$3:$V$5001,"&lt;&gt;")=0,"",SUMIFS(BD!$V$3:$V$5001,BD!$B$3:$B$5001,H$140,BD!$A$3:$A$5001,_xlfn.MAXIFS(BD!$A$3:$A$5001,BD!$B$3:$B$5001,H$140,BD!$A$3:$A$5001,"&gt;="&amp;$C$7,BD!$A$3:$A$5001,"&lt;="&amp;$B155,BD!$V$3:$V$5001,"&lt;&gt;"))))</f>
        <v/>
      </c>
      <c r="I155" s="54" t="str">
        <f>IF(OR($B155="",$A155&gt;$B$9,I$140=""),"",IF(COUNTIFS(BD!$B$3:$B$5001,I$140,BD!$A$3:$A$5001,"&gt;="&amp;$C$7,BD!$A$3:$A$5001,"&lt;="&amp;$B155,BD!$V$3:$V$5001,"&lt;&gt;")=0,"",SUMIFS(BD!$V$3:$V$5001,BD!$B$3:$B$5001,I$140,BD!$A$3:$A$5001,_xlfn.MAXIFS(BD!$A$3:$A$5001,BD!$B$3:$B$5001,I$140,BD!$A$3:$A$5001,"&gt;="&amp;$C$7,BD!$A$3:$A$5001,"&lt;="&amp;$B155,BD!$V$3:$V$5001,"&lt;&gt;"))))</f>
        <v/>
      </c>
      <c r="J155" s="54" t="str">
        <f>IF(OR($B155="",$A155&gt;$B$9,J$140=""),"",IF(COUNTIFS(BD!$B$3:$B$5001,J$140,BD!$A$3:$A$5001,"&gt;="&amp;$C$7,BD!$A$3:$A$5001,"&lt;="&amp;$B155,BD!$V$3:$V$5001,"&lt;&gt;")=0,"",SUMIFS(BD!$V$3:$V$5001,BD!$B$3:$B$5001,J$140,BD!$A$3:$A$5001,_xlfn.MAXIFS(BD!$A$3:$A$5001,BD!$B$3:$B$5001,J$140,BD!$A$3:$A$5001,"&gt;="&amp;$C$7,BD!$A$3:$A$5001,"&lt;="&amp;$B155,BD!$V$3:$V$5001,"&lt;&gt;"))))</f>
        <v/>
      </c>
      <c r="K155" s="54" t="str">
        <f>IF(OR($B155="",$A155&gt;$B$9,K$140=""),"",IF(COUNTIFS(BD!$B$3:$B$5001,K$140,BD!$A$3:$A$5001,"&gt;="&amp;$C$7,BD!$A$3:$A$5001,"&lt;="&amp;$B155,BD!$V$3:$V$5001,"&lt;&gt;")=0,"",SUMIFS(BD!$V$3:$V$5001,BD!$B$3:$B$5001,K$140,BD!$A$3:$A$5001,_xlfn.MAXIFS(BD!$A$3:$A$5001,BD!$B$3:$B$5001,K$140,BD!$A$3:$A$5001,"&gt;="&amp;$C$7,BD!$A$3:$A$5001,"&lt;="&amp;$B155,BD!$V$3:$V$5001,"&lt;&gt;"))))</f>
        <v/>
      </c>
      <c r="L155" s="54" t="str">
        <f>IF(OR($B155="",$A155&gt;$B$9,L$140=""),"",IF(COUNTIFS(BD!$B$3:$B$5001,L$140,BD!$A$3:$A$5001,"&gt;="&amp;$C$7,BD!$A$3:$A$5001,"&lt;="&amp;$B155,BD!$V$3:$V$5001,"&lt;&gt;")=0,"",SUMIFS(BD!$V$3:$V$5001,BD!$B$3:$B$5001,L$140,BD!$A$3:$A$5001,_xlfn.MAXIFS(BD!$A$3:$A$5001,BD!$B$3:$B$5001,L$140,BD!$A$3:$A$5001,"&gt;="&amp;$C$7,BD!$A$3:$A$5001,"&lt;="&amp;$B155,BD!$V$3:$V$5001,"&lt;&gt;"))))</f>
        <v/>
      </c>
      <c r="M155" s="54" t="str">
        <f>IF(OR($B155="",$A155&gt;$B$9,M$140=""),"",IF(COUNTIFS(BD!$B$3:$B$5001,M$140,BD!$A$3:$A$5001,"&gt;="&amp;$C$7,BD!$A$3:$A$5001,"&lt;="&amp;$B155,BD!$V$3:$V$5001,"&lt;&gt;")=0,"",SUMIFS(BD!$V$3:$V$5001,BD!$B$3:$B$5001,M$140,BD!$A$3:$A$5001,_xlfn.MAXIFS(BD!$A$3:$A$5001,BD!$B$3:$B$5001,M$140,BD!$A$3:$A$5001,"&gt;="&amp;$C$7,BD!$A$3:$A$5001,"&lt;="&amp;$B155,BD!$V$3:$V$5001,"&lt;&gt;"))))</f>
        <v/>
      </c>
      <c r="N155" s="54" t="str">
        <f>IF(OR($B155="",$A155&gt;$B$9,N$140=""),"",IF(COUNTIFS(BD!$B$3:$B$5001,N$140,BD!$A$3:$A$5001,"&gt;="&amp;$C$7,BD!$A$3:$A$5001,"&lt;="&amp;$B155,BD!$V$3:$V$5001,"&lt;&gt;")=0,"",SUMIFS(BD!$V$3:$V$5001,BD!$B$3:$B$5001,N$140,BD!$A$3:$A$5001,_xlfn.MAXIFS(BD!$A$3:$A$5001,BD!$B$3:$B$5001,N$140,BD!$A$3:$A$5001,"&gt;="&amp;$C$7,BD!$A$3:$A$5001,"&lt;="&amp;$B155,BD!$V$3:$V$5001,"&lt;&gt;"))))</f>
        <v/>
      </c>
      <c r="O155" s="54" t="str">
        <f>IF(OR($B155="",$A155&gt;$B$9,O$140=""),"",IF(COUNTIFS(BD!$B$3:$B$5001,O$140,BD!$A$3:$A$5001,"&gt;="&amp;$C$7,BD!$A$3:$A$5001,"&lt;="&amp;$B155,BD!$V$3:$V$5001,"&lt;&gt;")=0,"",SUMIFS(BD!$V$3:$V$5001,BD!$B$3:$B$5001,O$140,BD!$A$3:$A$5001,_xlfn.MAXIFS(BD!$A$3:$A$5001,BD!$B$3:$B$5001,O$140,BD!$A$3:$A$5001,"&gt;="&amp;$C$7,BD!$A$3:$A$5001,"&lt;="&amp;$B155,BD!$V$3:$V$5001,"&lt;&gt;"))))</f>
        <v/>
      </c>
      <c r="P155" s="54" t="str">
        <f>IF(OR($B155="",$A155&gt;$B$9,P$140=""),"",IF(COUNTIFS(BD!$B$3:$B$5001,P$140,BD!$A$3:$A$5001,"&gt;="&amp;$C$7,BD!$A$3:$A$5001,"&lt;="&amp;$B155,BD!$V$3:$V$5001,"&lt;&gt;")=0,"",SUMIFS(BD!$V$3:$V$5001,BD!$B$3:$B$5001,P$140,BD!$A$3:$A$5001,_xlfn.MAXIFS(BD!$A$3:$A$5001,BD!$B$3:$B$5001,P$140,BD!$A$3:$A$5001,"&gt;="&amp;$C$7,BD!$A$3:$A$5001,"&lt;="&amp;$B155,BD!$V$3:$V$5001,"&lt;&gt;"))))</f>
        <v/>
      </c>
      <c r="Q155" s="54" t="str">
        <f>IF(OR($B155="",$A155&gt;$B$9,Q$140=""),"",IF(COUNTIFS(BD!$B$3:$B$5001,Q$140,BD!$A$3:$A$5001,"&gt;="&amp;$C$7,BD!$A$3:$A$5001,"&lt;="&amp;$B155,BD!$V$3:$V$5001,"&lt;&gt;")=0,"",SUMIFS(BD!$V$3:$V$5001,BD!$B$3:$B$5001,Q$140,BD!$A$3:$A$5001,_xlfn.MAXIFS(BD!$A$3:$A$5001,BD!$B$3:$B$5001,Q$140,BD!$A$3:$A$5001,"&gt;="&amp;$C$7,BD!$A$3:$A$5001,"&lt;="&amp;$B155,BD!$V$3:$V$5001,"&lt;&gt;"))))</f>
        <v/>
      </c>
      <c r="R155" s="54" t="str">
        <f>IF(OR($B155="",$A155&gt;$B$9,R$140=""),"",IF(COUNTIFS(BD!$B$3:$B$5001,R$140,BD!$A$3:$A$5001,"&gt;="&amp;$C$7,BD!$A$3:$A$5001,"&lt;="&amp;$B155,BD!$V$3:$V$5001,"&lt;&gt;")=0,"",SUMIFS(BD!$V$3:$V$5001,BD!$B$3:$B$5001,R$140,BD!$A$3:$A$5001,_xlfn.MAXIFS(BD!$A$3:$A$5001,BD!$B$3:$B$5001,R$140,BD!$A$3:$A$5001,"&gt;="&amp;$C$7,BD!$A$3:$A$5001,"&lt;="&amp;$B155,BD!$V$3:$V$5001,"&lt;&gt;"))))</f>
        <v/>
      </c>
      <c r="S155" s="54" t="str">
        <f>IF(OR($B155="",$A155&gt;$B$9,S$140=""),"",IF(COUNTIFS(BD!$B$3:$B$5001,S$140,BD!$A$3:$A$5001,"&gt;="&amp;$C$7,BD!$A$3:$A$5001,"&lt;="&amp;$B155,BD!$V$3:$V$5001,"&lt;&gt;")=0,"",SUMIFS(BD!$V$3:$V$5001,BD!$B$3:$B$5001,S$140,BD!$A$3:$A$5001,_xlfn.MAXIFS(BD!$A$3:$A$5001,BD!$B$3:$B$5001,S$140,BD!$A$3:$A$5001,"&gt;="&amp;$C$7,BD!$A$3:$A$5001,"&lt;="&amp;$B155,BD!$V$3:$V$5001,"&lt;&gt;"))))</f>
        <v/>
      </c>
      <c r="T155" s="54" t="str">
        <f>IF(OR($B155="",$A155&gt;$B$9,T$140=""),"",IF(COUNTIFS(BD!$B$3:$B$5001,T$140,BD!$A$3:$A$5001,"&gt;="&amp;$C$7,BD!$A$3:$A$5001,"&lt;="&amp;$B155,BD!$V$3:$V$5001,"&lt;&gt;")=0,"",SUMIFS(BD!$V$3:$V$5001,BD!$B$3:$B$5001,T$140,BD!$A$3:$A$5001,_xlfn.MAXIFS(BD!$A$3:$A$5001,BD!$B$3:$B$5001,T$140,BD!$A$3:$A$5001,"&gt;="&amp;$C$7,BD!$A$3:$A$5001,"&lt;="&amp;$B155,BD!$V$3:$V$5001,"&lt;&gt;"))))</f>
        <v/>
      </c>
      <c r="U155" s="54" t="str">
        <f>IF(OR($B155="",$A155&gt;$B$9,U$140=""),"",IF(COUNTIFS(BD!$B$3:$B$5001,U$140,BD!$A$3:$A$5001,"&gt;="&amp;$C$7,BD!$A$3:$A$5001,"&lt;="&amp;$B155,BD!$V$3:$V$5001,"&lt;&gt;")=0,"",SUMIFS(BD!$V$3:$V$5001,BD!$B$3:$B$5001,U$140,BD!$A$3:$A$5001,_xlfn.MAXIFS(BD!$A$3:$A$5001,BD!$B$3:$B$5001,U$140,BD!$A$3:$A$5001,"&gt;="&amp;$C$7,BD!$A$3:$A$5001,"&lt;="&amp;$B155,BD!$V$3:$V$5001,"&lt;&gt;"))))</f>
        <v/>
      </c>
      <c r="V155" s="54" t="str">
        <f>IF(OR($B155="",$A155&gt;$B$9,V$140=""),"",IF(COUNTIFS(BD!$B$3:$B$5001,V$140,BD!$A$3:$A$5001,"&gt;="&amp;$C$7,BD!$A$3:$A$5001,"&lt;="&amp;$B155,BD!$V$3:$V$5001,"&lt;&gt;")=0,"",SUMIFS(BD!$V$3:$V$5001,BD!$B$3:$B$5001,V$140,BD!$A$3:$A$5001,_xlfn.MAXIFS(BD!$A$3:$A$5001,BD!$B$3:$B$5001,V$140,BD!$A$3:$A$5001,"&gt;="&amp;$C$7,BD!$A$3:$A$5001,"&lt;="&amp;$B155,BD!$V$3:$V$5001,"&lt;&gt;"))))</f>
        <v/>
      </c>
    </row>
    <row r="156">
      <c r="A156" s="48">
        <v>16</v>
      </c>
      <c r="B156" s="53">
        <f>$B$27</f>
        <v>46311</v>
      </c>
      <c r="C156" s="54" t="str">
        <f>IF(OR($B156="",$A156&gt;$B$9,C$140=""),"",IF(COUNTIFS(BD!$B$3:$B$5001,C$140,BD!$A$3:$A$5001,"&gt;="&amp;$C$7,BD!$A$3:$A$5001,"&lt;="&amp;$B156,BD!$V$3:$V$5001,"&lt;&gt;")=0,"",SUMIFS(BD!$V$3:$V$5001,BD!$B$3:$B$5001,C$140,BD!$A$3:$A$5001,_xlfn.MAXIFS(BD!$A$3:$A$5001,BD!$B$3:$B$5001,C$140,BD!$A$3:$A$5001,"&gt;="&amp;$C$7,BD!$A$3:$A$5001,"&lt;="&amp;$B156,BD!$V$3:$V$5001,"&lt;&gt;"))))</f>
        <v/>
      </c>
      <c r="D156" s="54" t="str">
        <f>IF(OR($B156="",$A156&gt;$B$9,D$140=""),"",IF(COUNTIFS(BD!$B$3:$B$5001,D$140,BD!$A$3:$A$5001,"&gt;="&amp;$C$7,BD!$A$3:$A$5001,"&lt;="&amp;$B156,BD!$V$3:$V$5001,"&lt;&gt;")=0,"",SUMIFS(BD!$V$3:$V$5001,BD!$B$3:$B$5001,D$140,BD!$A$3:$A$5001,_xlfn.MAXIFS(BD!$A$3:$A$5001,BD!$B$3:$B$5001,D$140,BD!$A$3:$A$5001,"&gt;="&amp;$C$7,BD!$A$3:$A$5001,"&lt;="&amp;$B156,BD!$V$3:$V$5001,"&lt;&gt;"))))</f>
        <v/>
      </c>
      <c r="E156" s="54" t="str">
        <f>IF(OR($B156="",$A156&gt;$B$9,E$140=""),"",IF(COUNTIFS(BD!$B$3:$B$5001,E$140,BD!$A$3:$A$5001,"&gt;="&amp;$C$7,BD!$A$3:$A$5001,"&lt;="&amp;$B156,BD!$V$3:$V$5001,"&lt;&gt;")=0,"",SUMIFS(BD!$V$3:$V$5001,BD!$B$3:$B$5001,E$140,BD!$A$3:$A$5001,_xlfn.MAXIFS(BD!$A$3:$A$5001,BD!$B$3:$B$5001,E$140,BD!$A$3:$A$5001,"&gt;="&amp;$C$7,BD!$A$3:$A$5001,"&lt;="&amp;$B156,BD!$V$3:$V$5001,"&lt;&gt;"))))</f>
        <v/>
      </c>
      <c r="F156" s="54" t="str">
        <f>IF(OR($B156="",$A156&gt;$B$9,F$140=""),"",IF(COUNTIFS(BD!$B$3:$B$5001,F$140,BD!$A$3:$A$5001,"&gt;="&amp;$C$7,BD!$A$3:$A$5001,"&lt;="&amp;$B156,BD!$V$3:$V$5001,"&lt;&gt;")=0,"",SUMIFS(BD!$V$3:$V$5001,BD!$B$3:$B$5001,F$140,BD!$A$3:$A$5001,_xlfn.MAXIFS(BD!$A$3:$A$5001,BD!$B$3:$B$5001,F$140,BD!$A$3:$A$5001,"&gt;="&amp;$C$7,BD!$A$3:$A$5001,"&lt;="&amp;$B156,BD!$V$3:$V$5001,"&lt;&gt;"))))</f>
        <v/>
      </c>
      <c r="G156" s="54" t="str">
        <f>IF(OR($B156="",$A156&gt;$B$9,G$140=""),"",IF(COUNTIFS(BD!$B$3:$B$5001,G$140,BD!$A$3:$A$5001,"&gt;="&amp;$C$7,BD!$A$3:$A$5001,"&lt;="&amp;$B156,BD!$V$3:$V$5001,"&lt;&gt;")=0,"",SUMIFS(BD!$V$3:$V$5001,BD!$B$3:$B$5001,G$140,BD!$A$3:$A$5001,_xlfn.MAXIFS(BD!$A$3:$A$5001,BD!$B$3:$B$5001,G$140,BD!$A$3:$A$5001,"&gt;="&amp;$C$7,BD!$A$3:$A$5001,"&lt;="&amp;$B156,BD!$V$3:$V$5001,"&lt;&gt;"))))</f>
        <v/>
      </c>
      <c r="H156" s="54" t="str">
        <f>IF(OR($B156="",$A156&gt;$B$9,H$140=""),"",IF(COUNTIFS(BD!$B$3:$B$5001,H$140,BD!$A$3:$A$5001,"&gt;="&amp;$C$7,BD!$A$3:$A$5001,"&lt;="&amp;$B156,BD!$V$3:$V$5001,"&lt;&gt;")=0,"",SUMIFS(BD!$V$3:$V$5001,BD!$B$3:$B$5001,H$140,BD!$A$3:$A$5001,_xlfn.MAXIFS(BD!$A$3:$A$5001,BD!$B$3:$B$5001,H$140,BD!$A$3:$A$5001,"&gt;="&amp;$C$7,BD!$A$3:$A$5001,"&lt;="&amp;$B156,BD!$V$3:$V$5001,"&lt;&gt;"))))</f>
        <v/>
      </c>
      <c r="I156" s="54" t="str">
        <f>IF(OR($B156="",$A156&gt;$B$9,I$140=""),"",IF(COUNTIFS(BD!$B$3:$B$5001,I$140,BD!$A$3:$A$5001,"&gt;="&amp;$C$7,BD!$A$3:$A$5001,"&lt;="&amp;$B156,BD!$V$3:$V$5001,"&lt;&gt;")=0,"",SUMIFS(BD!$V$3:$V$5001,BD!$B$3:$B$5001,I$140,BD!$A$3:$A$5001,_xlfn.MAXIFS(BD!$A$3:$A$5001,BD!$B$3:$B$5001,I$140,BD!$A$3:$A$5001,"&gt;="&amp;$C$7,BD!$A$3:$A$5001,"&lt;="&amp;$B156,BD!$V$3:$V$5001,"&lt;&gt;"))))</f>
        <v/>
      </c>
      <c r="J156" s="54" t="str">
        <f>IF(OR($B156="",$A156&gt;$B$9,J$140=""),"",IF(COUNTIFS(BD!$B$3:$B$5001,J$140,BD!$A$3:$A$5001,"&gt;="&amp;$C$7,BD!$A$3:$A$5001,"&lt;="&amp;$B156,BD!$V$3:$V$5001,"&lt;&gt;")=0,"",SUMIFS(BD!$V$3:$V$5001,BD!$B$3:$B$5001,J$140,BD!$A$3:$A$5001,_xlfn.MAXIFS(BD!$A$3:$A$5001,BD!$B$3:$B$5001,J$140,BD!$A$3:$A$5001,"&gt;="&amp;$C$7,BD!$A$3:$A$5001,"&lt;="&amp;$B156,BD!$V$3:$V$5001,"&lt;&gt;"))))</f>
        <v/>
      </c>
      <c r="K156" s="54" t="str">
        <f>IF(OR($B156="",$A156&gt;$B$9,K$140=""),"",IF(COUNTIFS(BD!$B$3:$B$5001,K$140,BD!$A$3:$A$5001,"&gt;="&amp;$C$7,BD!$A$3:$A$5001,"&lt;="&amp;$B156,BD!$V$3:$V$5001,"&lt;&gt;")=0,"",SUMIFS(BD!$V$3:$V$5001,BD!$B$3:$B$5001,K$140,BD!$A$3:$A$5001,_xlfn.MAXIFS(BD!$A$3:$A$5001,BD!$B$3:$B$5001,K$140,BD!$A$3:$A$5001,"&gt;="&amp;$C$7,BD!$A$3:$A$5001,"&lt;="&amp;$B156,BD!$V$3:$V$5001,"&lt;&gt;"))))</f>
        <v/>
      </c>
      <c r="L156" s="54" t="str">
        <f>IF(OR($B156="",$A156&gt;$B$9,L$140=""),"",IF(COUNTIFS(BD!$B$3:$B$5001,L$140,BD!$A$3:$A$5001,"&gt;="&amp;$C$7,BD!$A$3:$A$5001,"&lt;="&amp;$B156,BD!$V$3:$V$5001,"&lt;&gt;")=0,"",SUMIFS(BD!$V$3:$V$5001,BD!$B$3:$B$5001,L$140,BD!$A$3:$A$5001,_xlfn.MAXIFS(BD!$A$3:$A$5001,BD!$B$3:$B$5001,L$140,BD!$A$3:$A$5001,"&gt;="&amp;$C$7,BD!$A$3:$A$5001,"&lt;="&amp;$B156,BD!$V$3:$V$5001,"&lt;&gt;"))))</f>
        <v/>
      </c>
      <c r="M156" s="54" t="str">
        <f>IF(OR($B156="",$A156&gt;$B$9,M$140=""),"",IF(COUNTIFS(BD!$B$3:$B$5001,M$140,BD!$A$3:$A$5001,"&gt;="&amp;$C$7,BD!$A$3:$A$5001,"&lt;="&amp;$B156,BD!$V$3:$V$5001,"&lt;&gt;")=0,"",SUMIFS(BD!$V$3:$V$5001,BD!$B$3:$B$5001,M$140,BD!$A$3:$A$5001,_xlfn.MAXIFS(BD!$A$3:$A$5001,BD!$B$3:$B$5001,M$140,BD!$A$3:$A$5001,"&gt;="&amp;$C$7,BD!$A$3:$A$5001,"&lt;="&amp;$B156,BD!$V$3:$V$5001,"&lt;&gt;"))))</f>
        <v/>
      </c>
      <c r="N156" s="54" t="str">
        <f>IF(OR($B156="",$A156&gt;$B$9,N$140=""),"",IF(COUNTIFS(BD!$B$3:$B$5001,N$140,BD!$A$3:$A$5001,"&gt;="&amp;$C$7,BD!$A$3:$A$5001,"&lt;="&amp;$B156,BD!$V$3:$V$5001,"&lt;&gt;")=0,"",SUMIFS(BD!$V$3:$V$5001,BD!$B$3:$B$5001,N$140,BD!$A$3:$A$5001,_xlfn.MAXIFS(BD!$A$3:$A$5001,BD!$B$3:$B$5001,N$140,BD!$A$3:$A$5001,"&gt;="&amp;$C$7,BD!$A$3:$A$5001,"&lt;="&amp;$B156,BD!$V$3:$V$5001,"&lt;&gt;"))))</f>
        <v/>
      </c>
      <c r="O156" s="54" t="str">
        <f>IF(OR($B156="",$A156&gt;$B$9,O$140=""),"",IF(COUNTIFS(BD!$B$3:$B$5001,O$140,BD!$A$3:$A$5001,"&gt;="&amp;$C$7,BD!$A$3:$A$5001,"&lt;="&amp;$B156,BD!$V$3:$V$5001,"&lt;&gt;")=0,"",SUMIFS(BD!$V$3:$V$5001,BD!$B$3:$B$5001,O$140,BD!$A$3:$A$5001,_xlfn.MAXIFS(BD!$A$3:$A$5001,BD!$B$3:$B$5001,O$140,BD!$A$3:$A$5001,"&gt;="&amp;$C$7,BD!$A$3:$A$5001,"&lt;="&amp;$B156,BD!$V$3:$V$5001,"&lt;&gt;"))))</f>
        <v/>
      </c>
      <c r="P156" s="54" t="str">
        <f>IF(OR($B156="",$A156&gt;$B$9,P$140=""),"",IF(COUNTIFS(BD!$B$3:$B$5001,P$140,BD!$A$3:$A$5001,"&gt;="&amp;$C$7,BD!$A$3:$A$5001,"&lt;="&amp;$B156,BD!$V$3:$V$5001,"&lt;&gt;")=0,"",SUMIFS(BD!$V$3:$V$5001,BD!$B$3:$B$5001,P$140,BD!$A$3:$A$5001,_xlfn.MAXIFS(BD!$A$3:$A$5001,BD!$B$3:$B$5001,P$140,BD!$A$3:$A$5001,"&gt;="&amp;$C$7,BD!$A$3:$A$5001,"&lt;="&amp;$B156,BD!$V$3:$V$5001,"&lt;&gt;"))))</f>
        <v/>
      </c>
      <c r="Q156" s="54" t="str">
        <f>IF(OR($B156="",$A156&gt;$B$9,Q$140=""),"",IF(COUNTIFS(BD!$B$3:$B$5001,Q$140,BD!$A$3:$A$5001,"&gt;="&amp;$C$7,BD!$A$3:$A$5001,"&lt;="&amp;$B156,BD!$V$3:$V$5001,"&lt;&gt;")=0,"",SUMIFS(BD!$V$3:$V$5001,BD!$B$3:$B$5001,Q$140,BD!$A$3:$A$5001,_xlfn.MAXIFS(BD!$A$3:$A$5001,BD!$B$3:$B$5001,Q$140,BD!$A$3:$A$5001,"&gt;="&amp;$C$7,BD!$A$3:$A$5001,"&lt;="&amp;$B156,BD!$V$3:$V$5001,"&lt;&gt;"))))</f>
        <v/>
      </c>
      <c r="R156" s="54" t="str">
        <f>IF(OR($B156="",$A156&gt;$B$9,R$140=""),"",IF(COUNTIFS(BD!$B$3:$B$5001,R$140,BD!$A$3:$A$5001,"&gt;="&amp;$C$7,BD!$A$3:$A$5001,"&lt;="&amp;$B156,BD!$V$3:$V$5001,"&lt;&gt;")=0,"",SUMIFS(BD!$V$3:$V$5001,BD!$B$3:$B$5001,R$140,BD!$A$3:$A$5001,_xlfn.MAXIFS(BD!$A$3:$A$5001,BD!$B$3:$B$5001,R$140,BD!$A$3:$A$5001,"&gt;="&amp;$C$7,BD!$A$3:$A$5001,"&lt;="&amp;$B156,BD!$V$3:$V$5001,"&lt;&gt;"))))</f>
        <v/>
      </c>
      <c r="S156" s="54" t="str">
        <f>IF(OR($B156="",$A156&gt;$B$9,S$140=""),"",IF(COUNTIFS(BD!$B$3:$B$5001,S$140,BD!$A$3:$A$5001,"&gt;="&amp;$C$7,BD!$A$3:$A$5001,"&lt;="&amp;$B156,BD!$V$3:$V$5001,"&lt;&gt;")=0,"",SUMIFS(BD!$V$3:$V$5001,BD!$B$3:$B$5001,S$140,BD!$A$3:$A$5001,_xlfn.MAXIFS(BD!$A$3:$A$5001,BD!$B$3:$B$5001,S$140,BD!$A$3:$A$5001,"&gt;="&amp;$C$7,BD!$A$3:$A$5001,"&lt;="&amp;$B156,BD!$V$3:$V$5001,"&lt;&gt;"))))</f>
        <v/>
      </c>
      <c r="T156" s="54" t="str">
        <f>IF(OR($B156="",$A156&gt;$B$9,T$140=""),"",IF(COUNTIFS(BD!$B$3:$B$5001,T$140,BD!$A$3:$A$5001,"&gt;="&amp;$C$7,BD!$A$3:$A$5001,"&lt;="&amp;$B156,BD!$V$3:$V$5001,"&lt;&gt;")=0,"",SUMIFS(BD!$V$3:$V$5001,BD!$B$3:$B$5001,T$140,BD!$A$3:$A$5001,_xlfn.MAXIFS(BD!$A$3:$A$5001,BD!$B$3:$B$5001,T$140,BD!$A$3:$A$5001,"&gt;="&amp;$C$7,BD!$A$3:$A$5001,"&lt;="&amp;$B156,BD!$V$3:$V$5001,"&lt;&gt;"))))</f>
        <v/>
      </c>
      <c r="U156" s="54" t="str">
        <f>IF(OR($B156="",$A156&gt;$B$9,U$140=""),"",IF(COUNTIFS(BD!$B$3:$B$5001,U$140,BD!$A$3:$A$5001,"&gt;="&amp;$C$7,BD!$A$3:$A$5001,"&lt;="&amp;$B156,BD!$V$3:$V$5001,"&lt;&gt;")=0,"",SUMIFS(BD!$V$3:$V$5001,BD!$B$3:$B$5001,U$140,BD!$A$3:$A$5001,_xlfn.MAXIFS(BD!$A$3:$A$5001,BD!$B$3:$B$5001,U$140,BD!$A$3:$A$5001,"&gt;="&amp;$C$7,BD!$A$3:$A$5001,"&lt;="&amp;$B156,BD!$V$3:$V$5001,"&lt;&gt;"))))</f>
        <v/>
      </c>
      <c r="V156" s="54" t="str">
        <f>IF(OR($B156="",$A156&gt;$B$9,V$140=""),"",IF(COUNTIFS(BD!$B$3:$B$5001,V$140,BD!$A$3:$A$5001,"&gt;="&amp;$C$7,BD!$A$3:$A$5001,"&lt;="&amp;$B156,BD!$V$3:$V$5001,"&lt;&gt;")=0,"",SUMIFS(BD!$V$3:$V$5001,BD!$B$3:$B$5001,V$140,BD!$A$3:$A$5001,_xlfn.MAXIFS(BD!$A$3:$A$5001,BD!$B$3:$B$5001,V$140,BD!$A$3:$A$5001,"&gt;="&amp;$C$7,BD!$A$3:$A$5001,"&lt;="&amp;$B156,BD!$V$3:$V$5001,"&lt;&gt;"))))</f>
        <v/>
      </c>
    </row>
    <row r="157">
      <c r="A157" s="48">
        <v>17</v>
      </c>
      <c r="B157" s="53">
        <f>$B$28</f>
        <v>46312</v>
      </c>
      <c r="C157" s="54" t="str">
        <f>IF(OR($B157="",$A157&gt;$B$9,C$140=""),"",IF(COUNTIFS(BD!$B$3:$B$5001,C$140,BD!$A$3:$A$5001,"&gt;="&amp;$C$7,BD!$A$3:$A$5001,"&lt;="&amp;$B157,BD!$V$3:$V$5001,"&lt;&gt;")=0,"",SUMIFS(BD!$V$3:$V$5001,BD!$B$3:$B$5001,C$140,BD!$A$3:$A$5001,_xlfn.MAXIFS(BD!$A$3:$A$5001,BD!$B$3:$B$5001,C$140,BD!$A$3:$A$5001,"&gt;="&amp;$C$7,BD!$A$3:$A$5001,"&lt;="&amp;$B157,BD!$V$3:$V$5001,"&lt;&gt;"))))</f>
        <v/>
      </c>
      <c r="D157" s="54" t="str">
        <f>IF(OR($B157="",$A157&gt;$B$9,D$140=""),"",IF(COUNTIFS(BD!$B$3:$B$5001,D$140,BD!$A$3:$A$5001,"&gt;="&amp;$C$7,BD!$A$3:$A$5001,"&lt;="&amp;$B157,BD!$V$3:$V$5001,"&lt;&gt;")=0,"",SUMIFS(BD!$V$3:$V$5001,BD!$B$3:$B$5001,D$140,BD!$A$3:$A$5001,_xlfn.MAXIFS(BD!$A$3:$A$5001,BD!$B$3:$B$5001,D$140,BD!$A$3:$A$5001,"&gt;="&amp;$C$7,BD!$A$3:$A$5001,"&lt;="&amp;$B157,BD!$V$3:$V$5001,"&lt;&gt;"))))</f>
        <v/>
      </c>
      <c r="E157" s="54" t="str">
        <f>IF(OR($B157="",$A157&gt;$B$9,E$140=""),"",IF(COUNTIFS(BD!$B$3:$B$5001,E$140,BD!$A$3:$A$5001,"&gt;="&amp;$C$7,BD!$A$3:$A$5001,"&lt;="&amp;$B157,BD!$V$3:$V$5001,"&lt;&gt;")=0,"",SUMIFS(BD!$V$3:$V$5001,BD!$B$3:$B$5001,E$140,BD!$A$3:$A$5001,_xlfn.MAXIFS(BD!$A$3:$A$5001,BD!$B$3:$B$5001,E$140,BD!$A$3:$A$5001,"&gt;="&amp;$C$7,BD!$A$3:$A$5001,"&lt;="&amp;$B157,BD!$V$3:$V$5001,"&lt;&gt;"))))</f>
        <v/>
      </c>
      <c r="F157" s="54" t="str">
        <f>IF(OR($B157="",$A157&gt;$B$9,F$140=""),"",IF(COUNTIFS(BD!$B$3:$B$5001,F$140,BD!$A$3:$A$5001,"&gt;="&amp;$C$7,BD!$A$3:$A$5001,"&lt;="&amp;$B157,BD!$V$3:$V$5001,"&lt;&gt;")=0,"",SUMIFS(BD!$V$3:$V$5001,BD!$B$3:$B$5001,F$140,BD!$A$3:$A$5001,_xlfn.MAXIFS(BD!$A$3:$A$5001,BD!$B$3:$B$5001,F$140,BD!$A$3:$A$5001,"&gt;="&amp;$C$7,BD!$A$3:$A$5001,"&lt;="&amp;$B157,BD!$V$3:$V$5001,"&lt;&gt;"))))</f>
        <v/>
      </c>
      <c r="G157" s="54" t="str">
        <f>IF(OR($B157="",$A157&gt;$B$9,G$140=""),"",IF(COUNTIFS(BD!$B$3:$B$5001,G$140,BD!$A$3:$A$5001,"&gt;="&amp;$C$7,BD!$A$3:$A$5001,"&lt;="&amp;$B157,BD!$V$3:$V$5001,"&lt;&gt;")=0,"",SUMIFS(BD!$V$3:$V$5001,BD!$B$3:$B$5001,G$140,BD!$A$3:$A$5001,_xlfn.MAXIFS(BD!$A$3:$A$5001,BD!$B$3:$B$5001,G$140,BD!$A$3:$A$5001,"&gt;="&amp;$C$7,BD!$A$3:$A$5001,"&lt;="&amp;$B157,BD!$V$3:$V$5001,"&lt;&gt;"))))</f>
        <v/>
      </c>
      <c r="H157" s="54" t="str">
        <f>IF(OR($B157="",$A157&gt;$B$9,H$140=""),"",IF(COUNTIFS(BD!$B$3:$B$5001,H$140,BD!$A$3:$A$5001,"&gt;="&amp;$C$7,BD!$A$3:$A$5001,"&lt;="&amp;$B157,BD!$V$3:$V$5001,"&lt;&gt;")=0,"",SUMIFS(BD!$V$3:$V$5001,BD!$B$3:$B$5001,H$140,BD!$A$3:$A$5001,_xlfn.MAXIFS(BD!$A$3:$A$5001,BD!$B$3:$B$5001,H$140,BD!$A$3:$A$5001,"&gt;="&amp;$C$7,BD!$A$3:$A$5001,"&lt;="&amp;$B157,BD!$V$3:$V$5001,"&lt;&gt;"))))</f>
        <v/>
      </c>
      <c r="I157" s="54" t="str">
        <f>IF(OR($B157="",$A157&gt;$B$9,I$140=""),"",IF(COUNTIFS(BD!$B$3:$B$5001,I$140,BD!$A$3:$A$5001,"&gt;="&amp;$C$7,BD!$A$3:$A$5001,"&lt;="&amp;$B157,BD!$V$3:$V$5001,"&lt;&gt;")=0,"",SUMIFS(BD!$V$3:$V$5001,BD!$B$3:$B$5001,I$140,BD!$A$3:$A$5001,_xlfn.MAXIFS(BD!$A$3:$A$5001,BD!$B$3:$B$5001,I$140,BD!$A$3:$A$5001,"&gt;="&amp;$C$7,BD!$A$3:$A$5001,"&lt;="&amp;$B157,BD!$V$3:$V$5001,"&lt;&gt;"))))</f>
        <v/>
      </c>
      <c r="J157" s="54" t="str">
        <f>IF(OR($B157="",$A157&gt;$B$9,J$140=""),"",IF(COUNTIFS(BD!$B$3:$B$5001,J$140,BD!$A$3:$A$5001,"&gt;="&amp;$C$7,BD!$A$3:$A$5001,"&lt;="&amp;$B157,BD!$V$3:$V$5001,"&lt;&gt;")=0,"",SUMIFS(BD!$V$3:$V$5001,BD!$B$3:$B$5001,J$140,BD!$A$3:$A$5001,_xlfn.MAXIFS(BD!$A$3:$A$5001,BD!$B$3:$B$5001,J$140,BD!$A$3:$A$5001,"&gt;="&amp;$C$7,BD!$A$3:$A$5001,"&lt;="&amp;$B157,BD!$V$3:$V$5001,"&lt;&gt;"))))</f>
        <v/>
      </c>
      <c r="K157" s="54" t="str">
        <f>IF(OR($B157="",$A157&gt;$B$9,K$140=""),"",IF(COUNTIFS(BD!$B$3:$B$5001,K$140,BD!$A$3:$A$5001,"&gt;="&amp;$C$7,BD!$A$3:$A$5001,"&lt;="&amp;$B157,BD!$V$3:$V$5001,"&lt;&gt;")=0,"",SUMIFS(BD!$V$3:$V$5001,BD!$B$3:$B$5001,K$140,BD!$A$3:$A$5001,_xlfn.MAXIFS(BD!$A$3:$A$5001,BD!$B$3:$B$5001,K$140,BD!$A$3:$A$5001,"&gt;="&amp;$C$7,BD!$A$3:$A$5001,"&lt;="&amp;$B157,BD!$V$3:$V$5001,"&lt;&gt;"))))</f>
        <v/>
      </c>
      <c r="L157" s="54" t="str">
        <f>IF(OR($B157="",$A157&gt;$B$9,L$140=""),"",IF(COUNTIFS(BD!$B$3:$B$5001,L$140,BD!$A$3:$A$5001,"&gt;="&amp;$C$7,BD!$A$3:$A$5001,"&lt;="&amp;$B157,BD!$V$3:$V$5001,"&lt;&gt;")=0,"",SUMIFS(BD!$V$3:$V$5001,BD!$B$3:$B$5001,L$140,BD!$A$3:$A$5001,_xlfn.MAXIFS(BD!$A$3:$A$5001,BD!$B$3:$B$5001,L$140,BD!$A$3:$A$5001,"&gt;="&amp;$C$7,BD!$A$3:$A$5001,"&lt;="&amp;$B157,BD!$V$3:$V$5001,"&lt;&gt;"))))</f>
        <v/>
      </c>
      <c r="M157" s="54" t="str">
        <f>IF(OR($B157="",$A157&gt;$B$9,M$140=""),"",IF(COUNTIFS(BD!$B$3:$B$5001,M$140,BD!$A$3:$A$5001,"&gt;="&amp;$C$7,BD!$A$3:$A$5001,"&lt;="&amp;$B157,BD!$V$3:$V$5001,"&lt;&gt;")=0,"",SUMIFS(BD!$V$3:$V$5001,BD!$B$3:$B$5001,M$140,BD!$A$3:$A$5001,_xlfn.MAXIFS(BD!$A$3:$A$5001,BD!$B$3:$B$5001,M$140,BD!$A$3:$A$5001,"&gt;="&amp;$C$7,BD!$A$3:$A$5001,"&lt;="&amp;$B157,BD!$V$3:$V$5001,"&lt;&gt;"))))</f>
        <v/>
      </c>
      <c r="N157" s="54" t="str">
        <f>IF(OR($B157="",$A157&gt;$B$9,N$140=""),"",IF(COUNTIFS(BD!$B$3:$B$5001,N$140,BD!$A$3:$A$5001,"&gt;="&amp;$C$7,BD!$A$3:$A$5001,"&lt;="&amp;$B157,BD!$V$3:$V$5001,"&lt;&gt;")=0,"",SUMIFS(BD!$V$3:$V$5001,BD!$B$3:$B$5001,N$140,BD!$A$3:$A$5001,_xlfn.MAXIFS(BD!$A$3:$A$5001,BD!$B$3:$B$5001,N$140,BD!$A$3:$A$5001,"&gt;="&amp;$C$7,BD!$A$3:$A$5001,"&lt;="&amp;$B157,BD!$V$3:$V$5001,"&lt;&gt;"))))</f>
        <v/>
      </c>
      <c r="O157" s="54" t="str">
        <f>IF(OR($B157="",$A157&gt;$B$9,O$140=""),"",IF(COUNTIFS(BD!$B$3:$B$5001,O$140,BD!$A$3:$A$5001,"&gt;="&amp;$C$7,BD!$A$3:$A$5001,"&lt;="&amp;$B157,BD!$V$3:$V$5001,"&lt;&gt;")=0,"",SUMIFS(BD!$V$3:$V$5001,BD!$B$3:$B$5001,O$140,BD!$A$3:$A$5001,_xlfn.MAXIFS(BD!$A$3:$A$5001,BD!$B$3:$B$5001,O$140,BD!$A$3:$A$5001,"&gt;="&amp;$C$7,BD!$A$3:$A$5001,"&lt;="&amp;$B157,BD!$V$3:$V$5001,"&lt;&gt;"))))</f>
        <v/>
      </c>
      <c r="P157" s="54" t="str">
        <f>IF(OR($B157="",$A157&gt;$B$9,P$140=""),"",IF(COUNTIFS(BD!$B$3:$B$5001,P$140,BD!$A$3:$A$5001,"&gt;="&amp;$C$7,BD!$A$3:$A$5001,"&lt;="&amp;$B157,BD!$V$3:$V$5001,"&lt;&gt;")=0,"",SUMIFS(BD!$V$3:$V$5001,BD!$B$3:$B$5001,P$140,BD!$A$3:$A$5001,_xlfn.MAXIFS(BD!$A$3:$A$5001,BD!$B$3:$B$5001,P$140,BD!$A$3:$A$5001,"&gt;="&amp;$C$7,BD!$A$3:$A$5001,"&lt;="&amp;$B157,BD!$V$3:$V$5001,"&lt;&gt;"))))</f>
        <v/>
      </c>
      <c r="Q157" s="54" t="str">
        <f>IF(OR($B157="",$A157&gt;$B$9,Q$140=""),"",IF(COUNTIFS(BD!$B$3:$B$5001,Q$140,BD!$A$3:$A$5001,"&gt;="&amp;$C$7,BD!$A$3:$A$5001,"&lt;="&amp;$B157,BD!$V$3:$V$5001,"&lt;&gt;")=0,"",SUMIFS(BD!$V$3:$V$5001,BD!$B$3:$B$5001,Q$140,BD!$A$3:$A$5001,_xlfn.MAXIFS(BD!$A$3:$A$5001,BD!$B$3:$B$5001,Q$140,BD!$A$3:$A$5001,"&gt;="&amp;$C$7,BD!$A$3:$A$5001,"&lt;="&amp;$B157,BD!$V$3:$V$5001,"&lt;&gt;"))))</f>
        <v/>
      </c>
      <c r="R157" s="54" t="str">
        <f>IF(OR($B157="",$A157&gt;$B$9,R$140=""),"",IF(COUNTIFS(BD!$B$3:$B$5001,R$140,BD!$A$3:$A$5001,"&gt;="&amp;$C$7,BD!$A$3:$A$5001,"&lt;="&amp;$B157,BD!$V$3:$V$5001,"&lt;&gt;")=0,"",SUMIFS(BD!$V$3:$V$5001,BD!$B$3:$B$5001,R$140,BD!$A$3:$A$5001,_xlfn.MAXIFS(BD!$A$3:$A$5001,BD!$B$3:$B$5001,R$140,BD!$A$3:$A$5001,"&gt;="&amp;$C$7,BD!$A$3:$A$5001,"&lt;="&amp;$B157,BD!$V$3:$V$5001,"&lt;&gt;"))))</f>
        <v/>
      </c>
      <c r="S157" s="54" t="str">
        <f>IF(OR($B157="",$A157&gt;$B$9,S$140=""),"",IF(COUNTIFS(BD!$B$3:$B$5001,S$140,BD!$A$3:$A$5001,"&gt;="&amp;$C$7,BD!$A$3:$A$5001,"&lt;="&amp;$B157,BD!$V$3:$V$5001,"&lt;&gt;")=0,"",SUMIFS(BD!$V$3:$V$5001,BD!$B$3:$B$5001,S$140,BD!$A$3:$A$5001,_xlfn.MAXIFS(BD!$A$3:$A$5001,BD!$B$3:$B$5001,S$140,BD!$A$3:$A$5001,"&gt;="&amp;$C$7,BD!$A$3:$A$5001,"&lt;="&amp;$B157,BD!$V$3:$V$5001,"&lt;&gt;"))))</f>
        <v/>
      </c>
      <c r="T157" s="54" t="str">
        <f>IF(OR($B157="",$A157&gt;$B$9,T$140=""),"",IF(COUNTIFS(BD!$B$3:$B$5001,T$140,BD!$A$3:$A$5001,"&gt;="&amp;$C$7,BD!$A$3:$A$5001,"&lt;="&amp;$B157,BD!$V$3:$V$5001,"&lt;&gt;")=0,"",SUMIFS(BD!$V$3:$V$5001,BD!$B$3:$B$5001,T$140,BD!$A$3:$A$5001,_xlfn.MAXIFS(BD!$A$3:$A$5001,BD!$B$3:$B$5001,T$140,BD!$A$3:$A$5001,"&gt;="&amp;$C$7,BD!$A$3:$A$5001,"&lt;="&amp;$B157,BD!$V$3:$V$5001,"&lt;&gt;"))))</f>
        <v/>
      </c>
      <c r="U157" s="54" t="str">
        <f>IF(OR($B157="",$A157&gt;$B$9,U$140=""),"",IF(COUNTIFS(BD!$B$3:$B$5001,U$140,BD!$A$3:$A$5001,"&gt;="&amp;$C$7,BD!$A$3:$A$5001,"&lt;="&amp;$B157,BD!$V$3:$V$5001,"&lt;&gt;")=0,"",SUMIFS(BD!$V$3:$V$5001,BD!$B$3:$B$5001,U$140,BD!$A$3:$A$5001,_xlfn.MAXIFS(BD!$A$3:$A$5001,BD!$B$3:$B$5001,U$140,BD!$A$3:$A$5001,"&gt;="&amp;$C$7,BD!$A$3:$A$5001,"&lt;="&amp;$B157,BD!$V$3:$V$5001,"&lt;&gt;"))))</f>
        <v/>
      </c>
      <c r="V157" s="54" t="str">
        <f>IF(OR($B157="",$A157&gt;$B$9,V$140=""),"",IF(COUNTIFS(BD!$B$3:$B$5001,V$140,BD!$A$3:$A$5001,"&gt;="&amp;$C$7,BD!$A$3:$A$5001,"&lt;="&amp;$B157,BD!$V$3:$V$5001,"&lt;&gt;")=0,"",SUMIFS(BD!$V$3:$V$5001,BD!$B$3:$B$5001,V$140,BD!$A$3:$A$5001,_xlfn.MAXIFS(BD!$A$3:$A$5001,BD!$B$3:$B$5001,V$140,BD!$A$3:$A$5001,"&gt;="&amp;$C$7,BD!$A$3:$A$5001,"&lt;="&amp;$B157,BD!$V$3:$V$5001,"&lt;&gt;"))))</f>
        <v/>
      </c>
    </row>
    <row r="158">
      <c r="A158" s="48">
        <v>18</v>
      </c>
      <c r="B158" s="53">
        <f>$B$29</f>
        <v>46313</v>
      </c>
      <c r="C158" s="54" t="str">
        <f>IF(OR($B158="",$A158&gt;$B$9,C$140=""),"",IF(COUNTIFS(BD!$B$3:$B$5001,C$140,BD!$A$3:$A$5001,"&gt;="&amp;$C$7,BD!$A$3:$A$5001,"&lt;="&amp;$B158,BD!$V$3:$V$5001,"&lt;&gt;")=0,"",SUMIFS(BD!$V$3:$V$5001,BD!$B$3:$B$5001,C$140,BD!$A$3:$A$5001,_xlfn.MAXIFS(BD!$A$3:$A$5001,BD!$B$3:$B$5001,C$140,BD!$A$3:$A$5001,"&gt;="&amp;$C$7,BD!$A$3:$A$5001,"&lt;="&amp;$B158,BD!$V$3:$V$5001,"&lt;&gt;"))))</f>
        <v/>
      </c>
      <c r="D158" s="54" t="str">
        <f>IF(OR($B158="",$A158&gt;$B$9,D$140=""),"",IF(COUNTIFS(BD!$B$3:$B$5001,D$140,BD!$A$3:$A$5001,"&gt;="&amp;$C$7,BD!$A$3:$A$5001,"&lt;="&amp;$B158,BD!$V$3:$V$5001,"&lt;&gt;")=0,"",SUMIFS(BD!$V$3:$V$5001,BD!$B$3:$B$5001,D$140,BD!$A$3:$A$5001,_xlfn.MAXIFS(BD!$A$3:$A$5001,BD!$B$3:$B$5001,D$140,BD!$A$3:$A$5001,"&gt;="&amp;$C$7,BD!$A$3:$A$5001,"&lt;="&amp;$B158,BD!$V$3:$V$5001,"&lt;&gt;"))))</f>
        <v/>
      </c>
      <c r="E158" s="54" t="str">
        <f>IF(OR($B158="",$A158&gt;$B$9,E$140=""),"",IF(COUNTIFS(BD!$B$3:$B$5001,E$140,BD!$A$3:$A$5001,"&gt;="&amp;$C$7,BD!$A$3:$A$5001,"&lt;="&amp;$B158,BD!$V$3:$V$5001,"&lt;&gt;")=0,"",SUMIFS(BD!$V$3:$V$5001,BD!$B$3:$B$5001,E$140,BD!$A$3:$A$5001,_xlfn.MAXIFS(BD!$A$3:$A$5001,BD!$B$3:$B$5001,E$140,BD!$A$3:$A$5001,"&gt;="&amp;$C$7,BD!$A$3:$A$5001,"&lt;="&amp;$B158,BD!$V$3:$V$5001,"&lt;&gt;"))))</f>
        <v/>
      </c>
      <c r="F158" s="54" t="str">
        <f>IF(OR($B158="",$A158&gt;$B$9,F$140=""),"",IF(COUNTIFS(BD!$B$3:$B$5001,F$140,BD!$A$3:$A$5001,"&gt;="&amp;$C$7,BD!$A$3:$A$5001,"&lt;="&amp;$B158,BD!$V$3:$V$5001,"&lt;&gt;")=0,"",SUMIFS(BD!$V$3:$V$5001,BD!$B$3:$B$5001,F$140,BD!$A$3:$A$5001,_xlfn.MAXIFS(BD!$A$3:$A$5001,BD!$B$3:$B$5001,F$140,BD!$A$3:$A$5001,"&gt;="&amp;$C$7,BD!$A$3:$A$5001,"&lt;="&amp;$B158,BD!$V$3:$V$5001,"&lt;&gt;"))))</f>
        <v/>
      </c>
      <c r="G158" s="54" t="str">
        <f>IF(OR($B158="",$A158&gt;$B$9,G$140=""),"",IF(COUNTIFS(BD!$B$3:$B$5001,G$140,BD!$A$3:$A$5001,"&gt;="&amp;$C$7,BD!$A$3:$A$5001,"&lt;="&amp;$B158,BD!$V$3:$V$5001,"&lt;&gt;")=0,"",SUMIFS(BD!$V$3:$V$5001,BD!$B$3:$B$5001,G$140,BD!$A$3:$A$5001,_xlfn.MAXIFS(BD!$A$3:$A$5001,BD!$B$3:$B$5001,G$140,BD!$A$3:$A$5001,"&gt;="&amp;$C$7,BD!$A$3:$A$5001,"&lt;="&amp;$B158,BD!$V$3:$V$5001,"&lt;&gt;"))))</f>
        <v/>
      </c>
      <c r="H158" s="54" t="str">
        <f>IF(OR($B158="",$A158&gt;$B$9,H$140=""),"",IF(COUNTIFS(BD!$B$3:$B$5001,H$140,BD!$A$3:$A$5001,"&gt;="&amp;$C$7,BD!$A$3:$A$5001,"&lt;="&amp;$B158,BD!$V$3:$V$5001,"&lt;&gt;")=0,"",SUMIFS(BD!$V$3:$V$5001,BD!$B$3:$B$5001,H$140,BD!$A$3:$A$5001,_xlfn.MAXIFS(BD!$A$3:$A$5001,BD!$B$3:$B$5001,H$140,BD!$A$3:$A$5001,"&gt;="&amp;$C$7,BD!$A$3:$A$5001,"&lt;="&amp;$B158,BD!$V$3:$V$5001,"&lt;&gt;"))))</f>
        <v/>
      </c>
      <c r="I158" s="54" t="str">
        <f>IF(OR($B158="",$A158&gt;$B$9,I$140=""),"",IF(COUNTIFS(BD!$B$3:$B$5001,I$140,BD!$A$3:$A$5001,"&gt;="&amp;$C$7,BD!$A$3:$A$5001,"&lt;="&amp;$B158,BD!$V$3:$V$5001,"&lt;&gt;")=0,"",SUMIFS(BD!$V$3:$V$5001,BD!$B$3:$B$5001,I$140,BD!$A$3:$A$5001,_xlfn.MAXIFS(BD!$A$3:$A$5001,BD!$B$3:$B$5001,I$140,BD!$A$3:$A$5001,"&gt;="&amp;$C$7,BD!$A$3:$A$5001,"&lt;="&amp;$B158,BD!$V$3:$V$5001,"&lt;&gt;"))))</f>
        <v/>
      </c>
      <c r="J158" s="54" t="str">
        <f>IF(OR($B158="",$A158&gt;$B$9,J$140=""),"",IF(COUNTIFS(BD!$B$3:$B$5001,J$140,BD!$A$3:$A$5001,"&gt;="&amp;$C$7,BD!$A$3:$A$5001,"&lt;="&amp;$B158,BD!$V$3:$V$5001,"&lt;&gt;")=0,"",SUMIFS(BD!$V$3:$V$5001,BD!$B$3:$B$5001,J$140,BD!$A$3:$A$5001,_xlfn.MAXIFS(BD!$A$3:$A$5001,BD!$B$3:$B$5001,J$140,BD!$A$3:$A$5001,"&gt;="&amp;$C$7,BD!$A$3:$A$5001,"&lt;="&amp;$B158,BD!$V$3:$V$5001,"&lt;&gt;"))))</f>
        <v/>
      </c>
      <c r="K158" s="54" t="str">
        <f>IF(OR($B158="",$A158&gt;$B$9,K$140=""),"",IF(COUNTIFS(BD!$B$3:$B$5001,K$140,BD!$A$3:$A$5001,"&gt;="&amp;$C$7,BD!$A$3:$A$5001,"&lt;="&amp;$B158,BD!$V$3:$V$5001,"&lt;&gt;")=0,"",SUMIFS(BD!$V$3:$V$5001,BD!$B$3:$B$5001,K$140,BD!$A$3:$A$5001,_xlfn.MAXIFS(BD!$A$3:$A$5001,BD!$B$3:$B$5001,K$140,BD!$A$3:$A$5001,"&gt;="&amp;$C$7,BD!$A$3:$A$5001,"&lt;="&amp;$B158,BD!$V$3:$V$5001,"&lt;&gt;"))))</f>
        <v/>
      </c>
      <c r="L158" s="54" t="str">
        <f>IF(OR($B158="",$A158&gt;$B$9,L$140=""),"",IF(COUNTIFS(BD!$B$3:$B$5001,L$140,BD!$A$3:$A$5001,"&gt;="&amp;$C$7,BD!$A$3:$A$5001,"&lt;="&amp;$B158,BD!$V$3:$V$5001,"&lt;&gt;")=0,"",SUMIFS(BD!$V$3:$V$5001,BD!$B$3:$B$5001,L$140,BD!$A$3:$A$5001,_xlfn.MAXIFS(BD!$A$3:$A$5001,BD!$B$3:$B$5001,L$140,BD!$A$3:$A$5001,"&gt;="&amp;$C$7,BD!$A$3:$A$5001,"&lt;="&amp;$B158,BD!$V$3:$V$5001,"&lt;&gt;"))))</f>
        <v/>
      </c>
      <c r="M158" s="54" t="str">
        <f>IF(OR($B158="",$A158&gt;$B$9,M$140=""),"",IF(COUNTIFS(BD!$B$3:$B$5001,M$140,BD!$A$3:$A$5001,"&gt;="&amp;$C$7,BD!$A$3:$A$5001,"&lt;="&amp;$B158,BD!$V$3:$V$5001,"&lt;&gt;")=0,"",SUMIFS(BD!$V$3:$V$5001,BD!$B$3:$B$5001,M$140,BD!$A$3:$A$5001,_xlfn.MAXIFS(BD!$A$3:$A$5001,BD!$B$3:$B$5001,M$140,BD!$A$3:$A$5001,"&gt;="&amp;$C$7,BD!$A$3:$A$5001,"&lt;="&amp;$B158,BD!$V$3:$V$5001,"&lt;&gt;"))))</f>
        <v/>
      </c>
      <c r="N158" s="54" t="str">
        <f>IF(OR($B158="",$A158&gt;$B$9,N$140=""),"",IF(COUNTIFS(BD!$B$3:$B$5001,N$140,BD!$A$3:$A$5001,"&gt;="&amp;$C$7,BD!$A$3:$A$5001,"&lt;="&amp;$B158,BD!$V$3:$V$5001,"&lt;&gt;")=0,"",SUMIFS(BD!$V$3:$V$5001,BD!$B$3:$B$5001,N$140,BD!$A$3:$A$5001,_xlfn.MAXIFS(BD!$A$3:$A$5001,BD!$B$3:$B$5001,N$140,BD!$A$3:$A$5001,"&gt;="&amp;$C$7,BD!$A$3:$A$5001,"&lt;="&amp;$B158,BD!$V$3:$V$5001,"&lt;&gt;"))))</f>
        <v/>
      </c>
      <c r="O158" s="54" t="str">
        <f>IF(OR($B158="",$A158&gt;$B$9,O$140=""),"",IF(COUNTIFS(BD!$B$3:$B$5001,O$140,BD!$A$3:$A$5001,"&gt;="&amp;$C$7,BD!$A$3:$A$5001,"&lt;="&amp;$B158,BD!$V$3:$V$5001,"&lt;&gt;")=0,"",SUMIFS(BD!$V$3:$V$5001,BD!$B$3:$B$5001,O$140,BD!$A$3:$A$5001,_xlfn.MAXIFS(BD!$A$3:$A$5001,BD!$B$3:$B$5001,O$140,BD!$A$3:$A$5001,"&gt;="&amp;$C$7,BD!$A$3:$A$5001,"&lt;="&amp;$B158,BD!$V$3:$V$5001,"&lt;&gt;"))))</f>
        <v/>
      </c>
      <c r="P158" s="54" t="str">
        <f>IF(OR($B158="",$A158&gt;$B$9,P$140=""),"",IF(COUNTIFS(BD!$B$3:$B$5001,P$140,BD!$A$3:$A$5001,"&gt;="&amp;$C$7,BD!$A$3:$A$5001,"&lt;="&amp;$B158,BD!$V$3:$V$5001,"&lt;&gt;")=0,"",SUMIFS(BD!$V$3:$V$5001,BD!$B$3:$B$5001,P$140,BD!$A$3:$A$5001,_xlfn.MAXIFS(BD!$A$3:$A$5001,BD!$B$3:$B$5001,P$140,BD!$A$3:$A$5001,"&gt;="&amp;$C$7,BD!$A$3:$A$5001,"&lt;="&amp;$B158,BD!$V$3:$V$5001,"&lt;&gt;"))))</f>
        <v/>
      </c>
      <c r="Q158" s="54" t="str">
        <f>IF(OR($B158="",$A158&gt;$B$9,Q$140=""),"",IF(COUNTIFS(BD!$B$3:$B$5001,Q$140,BD!$A$3:$A$5001,"&gt;="&amp;$C$7,BD!$A$3:$A$5001,"&lt;="&amp;$B158,BD!$V$3:$V$5001,"&lt;&gt;")=0,"",SUMIFS(BD!$V$3:$V$5001,BD!$B$3:$B$5001,Q$140,BD!$A$3:$A$5001,_xlfn.MAXIFS(BD!$A$3:$A$5001,BD!$B$3:$B$5001,Q$140,BD!$A$3:$A$5001,"&gt;="&amp;$C$7,BD!$A$3:$A$5001,"&lt;="&amp;$B158,BD!$V$3:$V$5001,"&lt;&gt;"))))</f>
        <v/>
      </c>
      <c r="R158" s="54" t="str">
        <f>IF(OR($B158="",$A158&gt;$B$9,R$140=""),"",IF(COUNTIFS(BD!$B$3:$B$5001,R$140,BD!$A$3:$A$5001,"&gt;="&amp;$C$7,BD!$A$3:$A$5001,"&lt;="&amp;$B158,BD!$V$3:$V$5001,"&lt;&gt;")=0,"",SUMIFS(BD!$V$3:$V$5001,BD!$B$3:$B$5001,R$140,BD!$A$3:$A$5001,_xlfn.MAXIFS(BD!$A$3:$A$5001,BD!$B$3:$B$5001,R$140,BD!$A$3:$A$5001,"&gt;="&amp;$C$7,BD!$A$3:$A$5001,"&lt;="&amp;$B158,BD!$V$3:$V$5001,"&lt;&gt;"))))</f>
        <v/>
      </c>
      <c r="S158" s="54" t="str">
        <f>IF(OR($B158="",$A158&gt;$B$9,S$140=""),"",IF(COUNTIFS(BD!$B$3:$B$5001,S$140,BD!$A$3:$A$5001,"&gt;="&amp;$C$7,BD!$A$3:$A$5001,"&lt;="&amp;$B158,BD!$V$3:$V$5001,"&lt;&gt;")=0,"",SUMIFS(BD!$V$3:$V$5001,BD!$B$3:$B$5001,S$140,BD!$A$3:$A$5001,_xlfn.MAXIFS(BD!$A$3:$A$5001,BD!$B$3:$B$5001,S$140,BD!$A$3:$A$5001,"&gt;="&amp;$C$7,BD!$A$3:$A$5001,"&lt;="&amp;$B158,BD!$V$3:$V$5001,"&lt;&gt;"))))</f>
        <v/>
      </c>
      <c r="T158" s="54" t="str">
        <f>IF(OR($B158="",$A158&gt;$B$9,T$140=""),"",IF(COUNTIFS(BD!$B$3:$B$5001,T$140,BD!$A$3:$A$5001,"&gt;="&amp;$C$7,BD!$A$3:$A$5001,"&lt;="&amp;$B158,BD!$V$3:$V$5001,"&lt;&gt;")=0,"",SUMIFS(BD!$V$3:$V$5001,BD!$B$3:$B$5001,T$140,BD!$A$3:$A$5001,_xlfn.MAXIFS(BD!$A$3:$A$5001,BD!$B$3:$B$5001,T$140,BD!$A$3:$A$5001,"&gt;="&amp;$C$7,BD!$A$3:$A$5001,"&lt;="&amp;$B158,BD!$V$3:$V$5001,"&lt;&gt;"))))</f>
        <v/>
      </c>
      <c r="U158" s="54" t="str">
        <f>IF(OR($B158="",$A158&gt;$B$9,U$140=""),"",IF(COUNTIFS(BD!$B$3:$B$5001,U$140,BD!$A$3:$A$5001,"&gt;="&amp;$C$7,BD!$A$3:$A$5001,"&lt;="&amp;$B158,BD!$V$3:$V$5001,"&lt;&gt;")=0,"",SUMIFS(BD!$V$3:$V$5001,BD!$B$3:$B$5001,U$140,BD!$A$3:$A$5001,_xlfn.MAXIFS(BD!$A$3:$A$5001,BD!$B$3:$B$5001,U$140,BD!$A$3:$A$5001,"&gt;="&amp;$C$7,BD!$A$3:$A$5001,"&lt;="&amp;$B158,BD!$V$3:$V$5001,"&lt;&gt;"))))</f>
        <v/>
      </c>
      <c r="V158" s="54" t="str">
        <f>IF(OR($B158="",$A158&gt;$B$9,V$140=""),"",IF(COUNTIFS(BD!$B$3:$B$5001,V$140,BD!$A$3:$A$5001,"&gt;="&amp;$C$7,BD!$A$3:$A$5001,"&lt;="&amp;$B158,BD!$V$3:$V$5001,"&lt;&gt;")=0,"",SUMIFS(BD!$V$3:$V$5001,BD!$B$3:$B$5001,V$140,BD!$A$3:$A$5001,_xlfn.MAXIFS(BD!$A$3:$A$5001,BD!$B$3:$B$5001,V$140,BD!$A$3:$A$5001,"&gt;="&amp;$C$7,BD!$A$3:$A$5001,"&lt;="&amp;$B158,BD!$V$3:$V$5001,"&lt;&gt;"))))</f>
        <v/>
      </c>
    </row>
    <row r="159">
      <c r="A159" s="48">
        <v>19</v>
      </c>
      <c r="B159" s="53">
        <f>$B$30</f>
        <v>46314</v>
      </c>
      <c r="C159" s="54" t="str">
        <f>IF(OR($B159="",$A159&gt;$B$9,C$140=""),"",IF(COUNTIFS(BD!$B$3:$B$5001,C$140,BD!$A$3:$A$5001,"&gt;="&amp;$C$7,BD!$A$3:$A$5001,"&lt;="&amp;$B159,BD!$V$3:$V$5001,"&lt;&gt;")=0,"",SUMIFS(BD!$V$3:$V$5001,BD!$B$3:$B$5001,C$140,BD!$A$3:$A$5001,_xlfn.MAXIFS(BD!$A$3:$A$5001,BD!$B$3:$B$5001,C$140,BD!$A$3:$A$5001,"&gt;="&amp;$C$7,BD!$A$3:$A$5001,"&lt;="&amp;$B159,BD!$V$3:$V$5001,"&lt;&gt;"))))</f>
        <v/>
      </c>
      <c r="D159" s="54" t="str">
        <f>IF(OR($B159="",$A159&gt;$B$9,D$140=""),"",IF(COUNTIFS(BD!$B$3:$B$5001,D$140,BD!$A$3:$A$5001,"&gt;="&amp;$C$7,BD!$A$3:$A$5001,"&lt;="&amp;$B159,BD!$V$3:$V$5001,"&lt;&gt;")=0,"",SUMIFS(BD!$V$3:$V$5001,BD!$B$3:$B$5001,D$140,BD!$A$3:$A$5001,_xlfn.MAXIFS(BD!$A$3:$A$5001,BD!$B$3:$B$5001,D$140,BD!$A$3:$A$5001,"&gt;="&amp;$C$7,BD!$A$3:$A$5001,"&lt;="&amp;$B159,BD!$V$3:$V$5001,"&lt;&gt;"))))</f>
        <v/>
      </c>
      <c r="E159" s="54" t="str">
        <f>IF(OR($B159="",$A159&gt;$B$9,E$140=""),"",IF(COUNTIFS(BD!$B$3:$B$5001,E$140,BD!$A$3:$A$5001,"&gt;="&amp;$C$7,BD!$A$3:$A$5001,"&lt;="&amp;$B159,BD!$V$3:$V$5001,"&lt;&gt;")=0,"",SUMIFS(BD!$V$3:$V$5001,BD!$B$3:$B$5001,E$140,BD!$A$3:$A$5001,_xlfn.MAXIFS(BD!$A$3:$A$5001,BD!$B$3:$B$5001,E$140,BD!$A$3:$A$5001,"&gt;="&amp;$C$7,BD!$A$3:$A$5001,"&lt;="&amp;$B159,BD!$V$3:$V$5001,"&lt;&gt;"))))</f>
        <v/>
      </c>
      <c r="F159" s="54" t="str">
        <f>IF(OR($B159="",$A159&gt;$B$9,F$140=""),"",IF(COUNTIFS(BD!$B$3:$B$5001,F$140,BD!$A$3:$A$5001,"&gt;="&amp;$C$7,BD!$A$3:$A$5001,"&lt;="&amp;$B159,BD!$V$3:$V$5001,"&lt;&gt;")=0,"",SUMIFS(BD!$V$3:$V$5001,BD!$B$3:$B$5001,F$140,BD!$A$3:$A$5001,_xlfn.MAXIFS(BD!$A$3:$A$5001,BD!$B$3:$B$5001,F$140,BD!$A$3:$A$5001,"&gt;="&amp;$C$7,BD!$A$3:$A$5001,"&lt;="&amp;$B159,BD!$V$3:$V$5001,"&lt;&gt;"))))</f>
        <v/>
      </c>
      <c r="G159" s="54" t="str">
        <f>IF(OR($B159="",$A159&gt;$B$9,G$140=""),"",IF(COUNTIFS(BD!$B$3:$B$5001,G$140,BD!$A$3:$A$5001,"&gt;="&amp;$C$7,BD!$A$3:$A$5001,"&lt;="&amp;$B159,BD!$V$3:$V$5001,"&lt;&gt;")=0,"",SUMIFS(BD!$V$3:$V$5001,BD!$B$3:$B$5001,G$140,BD!$A$3:$A$5001,_xlfn.MAXIFS(BD!$A$3:$A$5001,BD!$B$3:$B$5001,G$140,BD!$A$3:$A$5001,"&gt;="&amp;$C$7,BD!$A$3:$A$5001,"&lt;="&amp;$B159,BD!$V$3:$V$5001,"&lt;&gt;"))))</f>
        <v/>
      </c>
      <c r="H159" s="54" t="str">
        <f>IF(OR($B159="",$A159&gt;$B$9,H$140=""),"",IF(COUNTIFS(BD!$B$3:$B$5001,H$140,BD!$A$3:$A$5001,"&gt;="&amp;$C$7,BD!$A$3:$A$5001,"&lt;="&amp;$B159,BD!$V$3:$V$5001,"&lt;&gt;")=0,"",SUMIFS(BD!$V$3:$V$5001,BD!$B$3:$B$5001,H$140,BD!$A$3:$A$5001,_xlfn.MAXIFS(BD!$A$3:$A$5001,BD!$B$3:$B$5001,H$140,BD!$A$3:$A$5001,"&gt;="&amp;$C$7,BD!$A$3:$A$5001,"&lt;="&amp;$B159,BD!$V$3:$V$5001,"&lt;&gt;"))))</f>
        <v/>
      </c>
      <c r="I159" s="54" t="str">
        <f>IF(OR($B159="",$A159&gt;$B$9,I$140=""),"",IF(COUNTIFS(BD!$B$3:$B$5001,I$140,BD!$A$3:$A$5001,"&gt;="&amp;$C$7,BD!$A$3:$A$5001,"&lt;="&amp;$B159,BD!$V$3:$V$5001,"&lt;&gt;")=0,"",SUMIFS(BD!$V$3:$V$5001,BD!$B$3:$B$5001,I$140,BD!$A$3:$A$5001,_xlfn.MAXIFS(BD!$A$3:$A$5001,BD!$B$3:$B$5001,I$140,BD!$A$3:$A$5001,"&gt;="&amp;$C$7,BD!$A$3:$A$5001,"&lt;="&amp;$B159,BD!$V$3:$V$5001,"&lt;&gt;"))))</f>
        <v/>
      </c>
      <c r="J159" s="54" t="str">
        <f>IF(OR($B159="",$A159&gt;$B$9,J$140=""),"",IF(COUNTIFS(BD!$B$3:$B$5001,J$140,BD!$A$3:$A$5001,"&gt;="&amp;$C$7,BD!$A$3:$A$5001,"&lt;="&amp;$B159,BD!$V$3:$V$5001,"&lt;&gt;")=0,"",SUMIFS(BD!$V$3:$V$5001,BD!$B$3:$B$5001,J$140,BD!$A$3:$A$5001,_xlfn.MAXIFS(BD!$A$3:$A$5001,BD!$B$3:$B$5001,J$140,BD!$A$3:$A$5001,"&gt;="&amp;$C$7,BD!$A$3:$A$5001,"&lt;="&amp;$B159,BD!$V$3:$V$5001,"&lt;&gt;"))))</f>
        <v/>
      </c>
      <c r="K159" s="54" t="str">
        <f>IF(OR($B159="",$A159&gt;$B$9,K$140=""),"",IF(COUNTIFS(BD!$B$3:$B$5001,K$140,BD!$A$3:$A$5001,"&gt;="&amp;$C$7,BD!$A$3:$A$5001,"&lt;="&amp;$B159,BD!$V$3:$V$5001,"&lt;&gt;")=0,"",SUMIFS(BD!$V$3:$V$5001,BD!$B$3:$B$5001,K$140,BD!$A$3:$A$5001,_xlfn.MAXIFS(BD!$A$3:$A$5001,BD!$B$3:$B$5001,K$140,BD!$A$3:$A$5001,"&gt;="&amp;$C$7,BD!$A$3:$A$5001,"&lt;="&amp;$B159,BD!$V$3:$V$5001,"&lt;&gt;"))))</f>
        <v/>
      </c>
      <c r="L159" s="54" t="str">
        <f>IF(OR($B159="",$A159&gt;$B$9,L$140=""),"",IF(COUNTIFS(BD!$B$3:$B$5001,L$140,BD!$A$3:$A$5001,"&gt;="&amp;$C$7,BD!$A$3:$A$5001,"&lt;="&amp;$B159,BD!$V$3:$V$5001,"&lt;&gt;")=0,"",SUMIFS(BD!$V$3:$V$5001,BD!$B$3:$B$5001,L$140,BD!$A$3:$A$5001,_xlfn.MAXIFS(BD!$A$3:$A$5001,BD!$B$3:$B$5001,L$140,BD!$A$3:$A$5001,"&gt;="&amp;$C$7,BD!$A$3:$A$5001,"&lt;="&amp;$B159,BD!$V$3:$V$5001,"&lt;&gt;"))))</f>
        <v/>
      </c>
      <c r="M159" s="54" t="str">
        <f>IF(OR($B159="",$A159&gt;$B$9,M$140=""),"",IF(COUNTIFS(BD!$B$3:$B$5001,M$140,BD!$A$3:$A$5001,"&gt;="&amp;$C$7,BD!$A$3:$A$5001,"&lt;="&amp;$B159,BD!$V$3:$V$5001,"&lt;&gt;")=0,"",SUMIFS(BD!$V$3:$V$5001,BD!$B$3:$B$5001,M$140,BD!$A$3:$A$5001,_xlfn.MAXIFS(BD!$A$3:$A$5001,BD!$B$3:$B$5001,M$140,BD!$A$3:$A$5001,"&gt;="&amp;$C$7,BD!$A$3:$A$5001,"&lt;="&amp;$B159,BD!$V$3:$V$5001,"&lt;&gt;"))))</f>
        <v/>
      </c>
      <c r="N159" s="54" t="str">
        <f>IF(OR($B159="",$A159&gt;$B$9,N$140=""),"",IF(COUNTIFS(BD!$B$3:$B$5001,N$140,BD!$A$3:$A$5001,"&gt;="&amp;$C$7,BD!$A$3:$A$5001,"&lt;="&amp;$B159,BD!$V$3:$V$5001,"&lt;&gt;")=0,"",SUMIFS(BD!$V$3:$V$5001,BD!$B$3:$B$5001,N$140,BD!$A$3:$A$5001,_xlfn.MAXIFS(BD!$A$3:$A$5001,BD!$B$3:$B$5001,N$140,BD!$A$3:$A$5001,"&gt;="&amp;$C$7,BD!$A$3:$A$5001,"&lt;="&amp;$B159,BD!$V$3:$V$5001,"&lt;&gt;"))))</f>
        <v/>
      </c>
      <c r="O159" s="54" t="str">
        <f>IF(OR($B159="",$A159&gt;$B$9,O$140=""),"",IF(COUNTIFS(BD!$B$3:$B$5001,O$140,BD!$A$3:$A$5001,"&gt;="&amp;$C$7,BD!$A$3:$A$5001,"&lt;="&amp;$B159,BD!$V$3:$V$5001,"&lt;&gt;")=0,"",SUMIFS(BD!$V$3:$V$5001,BD!$B$3:$B$5001,O$140,BD!$A$3:$A$5001,_xlfn.MAXIFS(BD!$A$3:$A$5001,BD!$B$3:$B$5001,O$140,BD!$A$3:$A$5001,"&gt;="&amp;$C$7,BD!$A$3:$A$5001,"&lt;="&amp;$B159,BD!$V$3:$V$5001,"&lt;&gt;"))))</f>
        <v/>
      </c>
      <c r="P159" s="54" t="str">
        <f>IF(OR($B159="",$A159&gt;$B$9,P$140=""),"",IF(COUNTIFS(BD!$B$3:$B$5001,P$140,BD!$A$3:$A$5001,"&gt;="&amp;$C$7,BD!$A$3:$A$5001,"&lt;="&amp;$B159,BD!$V$3:$V$5001,"&lt;&gt;")=0,"",SUMIFS(BD!$V$3:$V$5001,BD!$B$3:$B$5001,P$140,BD!$A$3:$A$5001,_xlfn.MAXIFS(BD!$A$3:$A$5001,BD!$B$3:$B$5001,P$140,BD!$A$3:$A$5001,"&gt;="&amp;$C$7,BD!$A$3:$A$5001,"&lt;="&amp;$B159,BD!$V$3:$V$5001,"&lt;&gt;"))))</f>
        <v/>
      </c>
      <c r="Q159" s="54" t="str">
        <f>IF(OR($B159="",$A159&gt;$B$9,Q$140=""),"",IF(COUNTIFS(BD!$B$3:$B$5001,Q$140,BD!$A$3:$A$5001,"&gt;="&amp;$C$7,BD!$A$3:$A$5001,"&lt;="&amp;$B159,BD!$V$3:$V$5001,"&lt;&gt;")=0,"",SUMIFS(BD!$V$3:$V$5001,BD!$B$3:$B$5001,Q$140,BD!$A$3:$A$5001,_xlfn.MAXIFS(BD!$A$3:$A$5001,BD!$B$3:$B$5001,Q$140,BD!$A$3:$A$5001,"&gt;="&amp;$C$7,BD!$A$3:$A$5001,"&lt;="&amp;$B159,BD!$V$3:$V$5001,"&lt;&gt;"))))</f>
        <v/>
      </c>
      <c r="R159" s="54" t="str">
        <f>IF(OR($B159="",$A159&gt;$B$9,R$140=""),"",IF(COUNTIFS(BD!$B$3:$B$5001,R$140,BD!$A$3:$A$5001,"&gt;="&amp;$C$7,BD!$A$3:$A$5001,"&lt;="&amp;$B159,BD!$V$3:$V$5001,"&lt;&gt;")=0,"",SUMIFS(BD!$V$3:$V$5001,BD!$B$3:$B$5001,R$140,BD!$A$3:$A$5001,_xlfn.MAXIFS(BD!$A$3:$A$5001,BD!$B$3:$B$5001,R$140,BD!$A$3:$A$5001,"&gt;="&amp;$C$7,BD!$A$3:$A$5001,"&lt;="&amp;$B159,BD!$V$3:$V$5001,"&lt;&gt;"))))</f>
        <v/>
      </c>
      <c r="S159" s="54" t="str">
        <f>IF(OR($B159="",$A159&gt;$B$9,S$140=""),"",IF(COUNTIFS(BD!$B$3:$B$5001,S$140,BD!$A$3:$A$5001,"&gt;="&amp;$C$7,BD!$A$3:$A$5001,"&lt;="&amp;$B159,BD!$V$3:$V$5001,"&lt;&gt;")=0,"",SUMIFS(BD!$V$3:$V$5001,BD!$B$3:$B$5001,S$140,BD!$A$3:$A$5001,_xlfn.MAXIFS(BD!$A$3:$A$5001,BD!$B$3:$B$5001,S$140,BD!$A$3:$A$5001,"&gt;="&amp;$C$7,BD!$A$3:$A$5001,"&lt;="&amp;$B159,BD!$V$3:$V$5001,"&lt;&gt;"))))</f>
        <v/>
      </c>
      <c r="T159" s="54" t="str">
        <f>IF(OR($B159="",$A159&gt;$B$9,T$140=""),"",IF(COUNTIFS(BD!$B$3:$B$5001,T$140,BD!$A$3:$A$5001,"&gt;="&amp;$C$7,BD!$A$3:$A$5001,"&lt;="&amp;$B159,BD!$V$3:$V$5001,"&lt;&gt;")=0,"",SUMIFS(BD!$V$3:$V$5001,BD!$B$3:$B$5001,T$140,BD!$A$3:$A$5001,_xlfn.MAXIFS(BD!$A$3:$A$5001,BD!$B$3:$B$5001,T$140,BD!$A$3:$A$5001,"&gt;="&amp;$C$7,BD!$A$3:$A$5001,"&lt;="&amp;$B159,BD!$V$3:$V$5001,"&lt;&gt;"))))</f>
        <v/>
      </c>
      <c r="U159" s="54" t="str">
        <f>IF(OR($B159="",$A159&gt;$B$9,U$140=""),"",IF(COUNTIFS(BD!$B$3:$B$5001,U$140,BD!$A$3:$A$5001,"&gt;="&amp;$C$7,BD!$A$3:$A$5001,"&lt;="&amp;$B159,BD!$V$3:$V$5001,"&lt;&gt;")=0,"",SUMIFS(BD!$V$3:$V$5001,BD!$B$3:$B$5001,U$140,BD!$A$3:$A$5001,_xlfn.MAXIFS(BD!$A$3:$A$5001,BD!$B$3:$B$5001,U$140,BD!$A$3:$A$5001,"&gt;="&amp;$C$7,BD!$A$3:$A$5001,"&lt;="&amp;$B159,BD!$V$3:$V$5001,"&lt;&gt;"))))</f>
        <v/>
      </c>
      <c r="V159" s="54" t="str">
        <f>IF(OR($B159="",$A159&gt;$B$9,V$140=""),"",IF(COUNTIFS(BD!$B$3:$B$5001,V$140,BD!$A$3:$A$5001,"&gt;="&amp;$C$7,BD!$A$3:$A$5001,"&lt;="&amp;$B159,BD!$V$3:$V$5001,"&lt;&gt;")=0,"",SUMIFS(BD!$V$3:$V$5001,BD!$B$3:$B$5001,V$140,BD!$A$3:$A$5001,_xlfn.MAXIFS(BD!$A$3:$A$5001,BD!$B$3:$B$5001,V$140,BD!$A$3:$A$5001,"&gt;="&amp;$C$7,BD!$A$3:$A$5001,"&lt;="&amp;$B159,BD!$V$3:$V$5001,"&lt;&gt;"))))</f>
        <v/>
      </c>
    </row>
    <row r="160">
      <c r="A160" s="48">
        <v>20</v>
      </c>
      <c r="B160" s="53">
        <f>$B$31</f>
        <v>46315</v>
      </c>
      <c r="C160" s="54" t="str">
        <f>IF(OR($B160="",$A160&gt;$B$9,C$140=""),"",IF(COUNTIFS(BD!$B$3:$B$5001,C$140,BD!$A$3:$A$5001,"&gt;="&amp;$C$7,BD!$A$3:$A$5001,"&lt;="&amp;$B160,BD!$V$3:$V$5001,"&lt;&gt;")=0,"",SUMIFS(BD!$V$3:$V$5001,BD!$B$3:$B$5001,C$140,BD!$A$3:$A$5001,_xlfn.MAXIFS(BD!$A$3:$A$5001,BD!$B$3:$B$5001,C$140,BD!$A$3:$A$5001,"&gt;="&amp;$C$7,BD!$A$3:$A$5001,"&lt;="&amp;$B160,BD!$V$3:$V$5001,"&lt;&gt;"))))</f>
        <v/>
      </c>
      <c r="D160" s="54" t="str">
        <f>IF(OR($B160="",$A160&gt;$B$9,D$140=""),"",IF(COUNTIFS(BD!$B$3:$B$5001,D$140,BD!$A$3:$A$5001,"&gt;="&amp;$C$7,BD!$A$3:$A$5001,"&lt;="&amp;$B160,BD!$V$3:$V$5001,"&lt;&gt;")=0,"",SUMIFS(BD!$V$3:$V$5001,BD!$B$3:$B$5001,D$140,BD!$A$3:$A$5001,_xlfn.MAXIFS(BD!$A$3:$A$5001,BD!$B$3:$B$5001,D$140,BD!$A$3:$A$5001,"&gt;="&amp;$C$7,BD!$A$3:$A$5001,"&lt;="&amp;$B160,BD!$V$3:$V$5001,"&lt;&gt;"))))</f>
        <v/>
      </c>
      <c r="E160" s="54" t="str">
        <f>IF(OR($B160="",$A160&gt;$B$9,E$140=""),"",IF(COUNTIFS(BD!$B$3:$B$5001,E$140,BD!$A$3:$A$5001,"&gt;="&amp;$C$7,BD!$A$3:$A$5001,"&lt;="&amp;$B160,BD!$V$3:$V$5001,"&lt;&gt;")=0,"",SUMIFS(BD!$V$3:$V$5001,BD!$B$3:$B$5001,E$140,BD!$A$3:$A$5001,_xlfn.MAXIFS(BD!$A$3:$A$5001,BD!$B$3:$B$5001,E$140,BD!$A$3:$A$5001,"&gt;="&amp;$C$7,BD!$A$3:$A$5001,"&lt;="&amp;$B160,BD!$V$3:$V$5001,"&lt;&gt;"))))</f>
        <v/>
      </c>
      <c r="F160" s="54" t="str">
        <f>IF(OR($B160="",$A160&gt;$B$9,F$140=""),"",IF(COUNTIFS(BD!$B$3:$B$5001,F$140,BD!$A$3:$A$5001,"&gt;="&amp;$C$7,BD!$A$3:$A$5001,"&lt;="&amp;$B160,BD!$V$3:$V$5001,"&lt;&gt;")=0,"",SUMIFS(BD!$V$3:$V$5001,BD!$B$3:$B$5001,F$140,BD!$A$3:$A$5001,_xlfn.MAXIFS(BD!$A$3:$A$5001,BD!$B$3:$B$5001,F$140,BD!$A$3:$A$5001,"&gt;="&amp;$C$7,BD!$A$3:$A$5001,"&lt;="&amp;$B160,BD!$V$3:$V$5001,"&lt;&gt;"))))</f>
        <v/>
      </c>
      <c r="G160" s="54" t="str">
        <f>IF(OR($B160="",$A160&gt;$B$9,G$140=""),"",IF(COUNTIFS(BD!$B$3:$B$5001,G$140,BD!$A$3:$A$5001,"&gt;="&amp;$C$7,BD!$A$3:$A$5001,"&lt;="&amp;$B160,BD!$V$3:$V$5001,"&lt;&gt;")=0,"",SUMIFS(BD!$V$3:$V$5001,BD!$B$3:$B$5001,G$140,BD!$A$3:$A$5001,_xlfn.MAXIFS(BD!$A$3:$A$5001,BD!$B$3:$B$5001,G$140,BD!$A$3:$A$5001,"&gt;="&amp;$C$7,BD!$A$3:$A$5001,"&lt;="&amp;$B160,BD!$V$3:$V$5001,"&lt;&gt;"))))</f>
        <v/>
      </c>
      <c r="H160" s="54" t="str">
        <f>IF(OR($B160="",$A160&gt;$B$9,H$140=""),"",IF(COUNTIFS(BD!$B$3:$B$5001,H$140,BD!$A$3:$A$5001,"&gt;="&amp;$C$7,BD!$A$3:$A$5001,"&lt;="&amp;$B160,BD!$V$3:$V$5001,"&lt;&gt;")=0,"",SUMIFS(BD!$V$3:$V$5001,BD!$B$3:$B$5001,H$140,BD!$A$3:$A$5001,_xlfn.MAXIFS(BD!$A$3:$A$5001,BD!$B$3:$B$5001,H$140,BD!$A$3:$A$5001,"&gt;="&amp;$C$7,BD!$A$3:$A$5001,"&lt;="&amp;$B160,BD!$V$3:$V$5001,"&lt;&gt;"))))</f>
        <v/>
      </c>
      <c r="I160" s="54" t="str">
        <f>IF(OR($B160="",$A160&gt;$B$9,I$140=""),"",IF(COUNTIFS(BD!$B$3:$B$5001,I$140,BD!$A$3:$A$5001,"&gt;="&amp;$C$7,BD!$A$3:$A$5001,"&lt;="&amp;$B160,BD!$V$3:$V$5001,"&lt;&gt;")=0,"",SUMIFS(BD!$V$3:$V$5001,BD!$B$3:$B$5001,I$140,BD!$A$3:$A$5001,_xlfn.MAXIFS(BD!$A$3:$A$5001,BD!$B$3:$B$5001,I$140,BD!$A$3:$A$5001,"&gt;="&amp;$C$7,BD!$A$3:$A$5001,"&lt;="&amp;$B160,BD!$V$3:$V$5001,"&lt;&gt;"))))</f>
        <v/>
      </c>
      <c r="J160" s="54" t="str">
        <f>IF(OR($B160="",$A160&gt;$B$9,J$140=""),"",IF(COUNTIFS(BD!$B$3:$B$5001,J$140,BD!$A$3:$A$5001,"&gt;="&amp;$C$7,BD!$A$3:$A$5001,"&lt;="&amp;$B160,BD!$V$3:$V$5001,"&lt;&gt;")=0,"",SUMIFS(BD!$V$3:$V$5001,BD!$B$3:$B$5001,J$140,BD!$A$3:$A$5001,_xlfn.MAXIFS(BD!$A$3:$A$5001,BD!$B$3:$B$5001,J$140,BD!$A$3:$A$5001,"&gt;="&amp;$C$7,BD!$A$3:$A$5001,"&lt;="&amp;$B160,BD!$V$3:$V$5001,"&lt;&gt;"))))</f>
        <v/>
      </c>
      <c r="K160" s="54" t="str">
        <f>IF(OR($B160="",$A160&gt;$B$9,K$140=""),"",IF(COUNTIFS(BD!$B$3:$B$5001,K$140,BD!$A$3:$A$5001,"&gt;="&amp;$C$7,BD!$A$3:$A$5001,"&lt;="&amp;$B160,BD!$V$3:$V$5001,"&lt;&gt;")=0,"",SUMIFS(BD!$V$3:$V$5001,BD!$B$3:$B$5001,K$140,BD!$A$3:$A$5001,_xlfn.MAXIFS(BD!$A$3:$A$5001,BD!$B$3:$B$5001,K$140,BD!$A$3:$A$5001,"&gt;="&amp;$C$7,BD!$A$3:$A$5001,"&lt;="&amp;$B160,BD!$V$3:$V$5001,"&lt;&gt;"))))</f>
        <v/>
      </c>
      <c r="L160" s="54" t="str">
        <f>IF(OR($B160="",$A160&gt;$B$9,L$140=""),"",IF(COUNTIFS(BD!$B$3:$B$5001,L$140,BD!$A$3:$A$5001,"&gt;="&amp;$C$7,BD!$A$3:$A$5001,"&lt;="&amp;$B160,BD!$V$3:$V$5001,"&lt;&gt;")=0,"",SUMIFS(BD!$V$3:$V$5001,BD!$B$3:$B$5001,L$140,BD!$A$3:$A$5001,_xlfn.MAXIFS(BD!$A$3:$A$5001,BD!$B$3:$B$5001,L$140,BD!$A$3:$A$5001,"&gt;="&amp;$C$7,BD!$A$3:$A$5001,"&lt;="&amp;$B160,BD!$V$3:$V$5001,"&lt;&gt;"))))</f>
        <v/>
      </c>
      <c r="M160" s="54" t="str">
        <f>IF(OR($B160="",$A160&gt;$B$9,M$140=""),"",IF(COUNTIFS(BD!$B$3:$B$5001,M$140,BD!$A$3:$A$5001,"&gt;="&amp;$C$7,BD!$A$3:$A$5001,"&lt;="&amp;$B160,BD!$V$3:$V$5001,"&lt;&gt;")=0,"",SUMIFS(BD!$V$3:$V$5001,BD!$B$3:$B$5001,M$140,BD!$A$3:$A$5001,_xlfn.MAXIFS(BD!$A$3:$A$5001,BD!$B$3:$B$5001,M$140,BD!$A$3:$A$5001,"&gt;="&amp;$C$7,BD!$A$3:$A$5001,"&lt;="&amp;$B160,BD!$V$3:$V$5001,"&lt;&gt;"))))</f>
        <v/>
      </c>
      <c r="N160" s="54" t="str">
        <f>IF(OR($B160="",$A160&gt;$B$9,N$140=""),"",IF(COUNTIFS(BD!$B$3:$B$5001,N$140,BD!$A$3:$A$5001,"&gt;="&amp;$C$7,BD!$A$3:$A$5001,"&lt;="&amp;$B160,BD!$V$3:$V$5001,"&lt;&gt;")=0,"",SUMIFS(BD!$V$3:$V$5001,BD!$B$3:$B$5001,N$140,BD!$A$3:$A$5001,_xlfn.MAXIFS(BD!$A$3:$A$5001,BD!$B$3:$B$5001,N$140,BD!$A$3:$A$5001,"&gt;="&amp;$C$7,BD!$A$3:$A$5001,"&lt;="&amp;$B160,BD!$V$3:$V$5001,"&lt;&gt;"))))</f>
        <v/>
      </c>
      <c r="O160" s="54" t="str">
        <f>IF(OR($B160="",$A160&gt;$B$9,O$140=""),"",IF(COUNTIFS(BD!$B$3:$B$5001,O$140,BD!$A$3:$A$5001,"&gt;="&amp;$C$7,BD!$A$3:$A$5001,"&lt;="&amp;$B160,BD!$V$3:$V$5001,"&lt;&gt;")=0,"",SUMIFS(BD!$V$3:$V$5001,BD!$B$3:$B$5001,O$140,BD!$A$3:$A$5001,_xlfn.MAXIFS(BD!$A$3:$A$5001,BD!$B$3:$B$5001,O$140,BD!$A$3:$A$5001,"&gt;="&amp;$C$7,BD!$A$3:$A$5001,"&lt;="&amp;$B160,BD!$V$3:$V$5001,"&lt;&gt;"))))</f>
        <v/>
      </c>
      <c r="P160" s="54" t="str">
        <f>IF(OR($B160="",$A160&gt;$B$9,P$140=""),"",IF(COUNTIFS(BD!$B$3:$B$5001,P$140,BD!$A$3:$A$5001,"&gt;="&amp;$C$7,BD!$A$3:$A$5001,"&lt;="&amp;$B160,BD!$V$3:$V$5001,"&lt;&gt;")=0,"",SUMIFS(BD!$V$3:$V$5001,BD!$B$3:$B$5001,P$140,BD!$A$3:$A$5001,_xlfn.MAXIFS(BD!$A$3:$A$5001,BD!$B$3:$B$5001,P$140,BD!$A$3:$A$5001,"&gt;="&amp;$C$7,BD!$A$3:$A$5001,"&lt;="&amp;$B160,BD!$V$3:$V$5001,"&lt;&gt;"))))</f>
        <v/>
      </c>
      <c r="Q160" s="54" t="str">
        <f>IF(OR($B160="",$A160&gt;$B$9,Q$140=""),"",IF(COUNTIFS(BD!$B$3:$B$5001,Q$140,BD!$A$3:$A$5001,"&gt;="&amp;$C$7,BD!$A$3:$A$5001,"&lt;="&amp;$B160,BD!$V$3:$V$5001,"&lt;&gt;")=0,"",SUMIFS(BD!$V$3:$V$5001,BD!$B$3:$B$5001,Q$140,BD!$A$3:$A$5001,_xlfn.MAXIFS(BD!$A$3:$A$5001,BD!$B$3:$B$5001,Q$140,BD!$A$3:$A$5001,"&gt;="&amp;$C$7,BD!$A$3:$A$5001,"&lt;="&amp;$B160,BD!$V$3:$V$5001,"&lt;&gt;"))))</f>
        <v/>
      </c>
      <c r="R160" s="54" t="str">
        <f>IF(OR($B160="",$A160&gt;$B$9,R$140=""),"",IF(COUNTIFS(BD!$B$3:$B$5001,R$140,BD!$A$3:$A$5001,"&gt;="&amp;$C$7,BD!$A$3:$A$5001,"&lt;="&amp;$B160,BD!$V$3:$V$5001,"&lt;&gt;")=0,"",SUMIFS(BD!$V$3:$V$5001,BD!$B$3:$B$5001,R$140,BD!$A$3:$A$5001,_xlfn.MAXIFS(BD!$A$3:$A$5001,BD!$B$3:$B$5001,R$140,BD!$A$3:$A$5001,"&gt;="&amp;$C$7,BD!$A$3:$A$5001,"&lt;="&amp;$B160,BD!$V$3:$V$5001,"&lt;&gt;"))))</f>
        <v/>
      </c>
      <c r="S160" s="54" t="str">
        <f>IF(OR($B160="",$A160&gt;$B$9,S$140=""),"",IF(COUNTIFS(BD!$B$3:$B$5001,S$140,BD!$A$3:$A$5001,"&gt;="&amp;$C$7,BD!$A$3:$A$5001,"&lt;="&amp;$B160,BD!$V$3:$V$5001,"&lt;&gt;")=0,"",SUMIFS(BD!$V$3:$V$5001,BD!$B$3:$B$5001,S$140,BD!$A$3:$A$5001,_xlfn.MAXIFS(BD!$A$3:$A$5001,BD!$B$3:$B$5001,S$140,BD!$A$3:$A$5001,"&gt;="&amp;$C$7,BD!$A$3:$A$5001,"&lt;="&amp;$B160,BD!$V$3:$V$5001,"&lt;&gt;"))))</f>
        <v/>
      </c>
      <c r="T160" s="54" t="str">
        <f>IF(OR($B160="",$A160&gt;$B$9,T$140=""),"",IF(COUNTIFS(BD!$B$3:$B$5001,T$140,BD!$A$3:$A$5001,"&gt;="&amp;$C$7,BD!$A$3:$A$5001,"&lt;="&amp;$B160,BD!$V$3:$V$5001,"&lt;&gt;")=0,"",SUMIFS(BD!$V$3:$V$5001,BD!$B$3:$B$5001,T$140,BD!$A$3:$A$5001,_xlfn.MAXIFS(BD!$A$3:$A$5001,BD!$B$3:$B$5001,T$140,BD!$A$3:$A$5001,"&gt;="&amp;$C$7,BD!$A$3:$A$5001,"&lt;="&amp;$B160,BD!$V$3:$V$5001,"&lt;&gt;"))))</f>
        <v/>
      </c>
      <c r="U160" s="54" t="str">
        <f>IF(OR($B160="",$A160&gt;$B$9,U$140=""),"",IF(COUNTIFS(BD!$B$3:$B$5001,U$140,BD!$A$3:$A$5001,"&gt;="&amp;$C$7,BD!$A$3:$A$5001,"&lt;="&amp;$B160,BD!$V$3:$V$5001,"&lt;&gt;")=0,"",SUMIFS(BD!$V$3:$V$5001,BD!$B$3:$B$5001,U$140,BD!$A$3:$A$5001,_xlfn.MAXIFS(BD!$A$3:$A$5001,BD!$B$3:$B$5001,U$140,BD!$A$3:$A$5001,"&gt;="&amp;$C$7,BD!$A$3:$A$5001,"&lt;="&amp;$B160,BD!$V$3:$V$5001,"&lt;&gt;"))))</f>
        <v/>
      </c>
      <c r="V160" s="54" t="str">
        <f>IF(OR($B160="",$A160&gt;$B$9,V$140=""),"",IF(COUNTIFS(BD!$B$3:$B$5001,V$140,BD!$A$3:$A$5001,"&gt;="&amp;$C$7,BD!$A$3:$A$5001,"&lt;="&amp;$B160,BD!$V$3:$V$5001,"&lt;&gt;")=0,"",SUMIFS(BD!$V$3:$V$5001,BD!$B$3:$B$5001,V$140,BD!$A$3:$A$5001,_xlfn.MAXIFS(BD!$A$3:$A$5001,BD!$B$3:$B$5001,V$140,BD!$A$3:$A$5001,"&gt;="&amp;$C$7,BD!$A$3:$A$5001,"&lt;="&amp;$B160,BD!$V$3:$V$5001,"&lt;&gt;"))))</f>
        <v/>
      </c>
    </row>
    <row r="161">
      <c r="A161" s="48">
        <v>21</v>
      </c>
      <c r="B161" s="53">
        <f>$B$32</f>
        <v>46316</v>
      </c>
      <c r="C161" s="54" t="str">
        <f>IF(OR($B161="",$A161&gt;$B$9,C$140=""),"",IF(COUNTIFS(BD!$B$3:$B$5001,C$140,BD!$A$3:$A$5001,"&gt;="&amp;$C$7,BD!$A$3:$A$5001,"&lt;="&amp;$B161,BD!$V$3:$V$5001,"&lt;&gt;")=0,"",SUMIFS(BD!$V$3:$V$5001,BD!$B$3:$B$5001,C$140,BD!$A$3:$A$5001,_xlfn.MAXIFS(BD!$A$3:$A$5001,BD!$B$3:$B$5001,C$140,BD!$A$3:$A$5001,"&gt;="&amp;$C$7,BD!$A$3:$A$5001,"&lt;="&amp;$B161,BD!$V$3:$V$5001,"&lt;&gt;"))))</f>
        <v/>
      </c>
      <c r="D161" s="54" t="str">
        <f>IF(OR($B161="",$A161&gt;$B$9,D$140=""),"",IF(COUNTIFS(BD!$B$3:$B$5001,D$140,BD!$A$3:$A$5001,"&gt;="&amp;$C$7,BD!$A$3:$A$5001,"&lt;="&amp;$B161,BD!$V$3:$V$5001,"&lt;&gt;")=0,"",SUMIFS(BD!$V$3:$V$5001,BD!$B$3:$B$5001,D$140,BD!$A$3:$A$5001,_xlfn.MAXIFS(BD!$A$3:$A$5001,BD!$B$3:$B$5001,D$140,BD!$A$3:$A$5001,"&gt;="&amp;$C$7,BD!$A$3:$A$5001,"&lt;="&amp;$B161,BD!$V$3:$V$5001,"&lt;&gt;"))))</f>
        <v/>
      </c>
      <c r="E161" s="54" t="str">
        <f>IF(OR($B161="",$A161&gt;$B$9,E$140=""),"",IF(COUNTIFS(BD!$B$3:$B$5001,E$140,BD!$A$3:$A$5001,"&gt;="&amp;$C$7,BD!$A$3:$A$5001,"&lt;="&amp;$B161,BD!$V$3:$V$5001,"&lt;&gt;")=0,"",SUMIFS(BD!$V$3:$V$5001,BD!$B$3:$B$5001,E$140,BD!$A$3:$A$5001,_xlfn.MAXIFS(BD!$A$3:$A$5001,BD!$B$3:$B$5001,E$140,BD!$A$3:$A$5001,"&gt;="&amp;$C$7,BD!$A$3:$A$5001,"&lt;="&amp;$B161,BD!$V$3:$V$5001,"&lt;&gt;"))))</f>
        <v/>
      </c>
      <c r="F161" s="54" t="str">
        <f>IF(OR($B161="",$A161&gt;$B$9,F$140=""),"",IF(COUNTIFS(BD!$B$3:$B$5001,F$140,BD!$A$3:$A$5001,"&gt;="&amp;$C$7,BD!$A$3:$A$5001,"&lt;="&amp;$B161,BD!$V$3:$V$5001,"&lt;&gt;")=0,"",SUMIFS(BD!$V$3:$V$5001,BD!$B$3:$B$5001,F$140,BD!$A$3:$A$5001,_xlfn.MAXIFS(BD!$A$3:$A$5001,BD!$B$3:$B$5001,F$140,BD!$A$3:$A$5001,"&gt;="&amp;$C$7,BD!$A$3:$A$5001,"&lt;="&amp;$B161,BD!$V$3:$V$5001,"&lt;&gt;"))))</f>
        <v/>
      </c>
      <c r="G161" s="54" t="str">
        <f>IF(OR($B161="",$A161&gt;$B$9,G$140=""),"",IF(COUNTIFS(BD!$B$3:$B$5001,G$140,BD!$A$3:$A$5001,"&gt;="&amp;$C$7,BD!$A$3:$A$5001,"&lt;="&amp;$B161,BD!$V$3:$V$5001,"&lt;&gt;")=0,"",SUMIFS(BD!$V$3:$V$5001,BD!$B$3:$B$5001,G$140,BD!$A$3:$A$5001,_xlfn.MAXIFS(BD!$A$3:$A$5001,BD!$B$3:$B$5001,G$140,BD!$A$3:$A$5001,"&gt;="&amp;$C$7,BD!$A$3:$A$5001,"&lt;="&amp;$B161,BD!$V$3:$V$5001,"&lt;&gt;"))))</f>
        <v/>
      </c>
      <c r="H161" s="54" t="str">
        <f>IF(OR($B161="",$A161&gt;$B$9,H$140=""),"",IF(COUNTIFS(BD!$B$3:$B$5001,H$140,BD!$A$3:$A$5001,"&gt;="&amp;$C$7,BD!$A$3:$A$5001,"&lt;="&amp;$B161,BD!$V$3:$V$5001,"&lt;&gt;")=0,"",SUMIFS(BD!$V$3:$V$5001,BD!$B$3:$B$5001,H$140,BD!$A$3:$A$5001,_xlfn.MAXIFS(BD!$A$3:$A$5001,BD!$B$3:$B$5001,H$140,BD!$A$3:$A$5001,"&gt;="&amp;$C$7,BD!$A$3:$A$5001,"&lt;="&amp;$B161,BD!$V$3:$V$5001,"&lt;&gt;"))))</f>
        <v/>
      </c>
      <c r="I161" s="54" t="str">
        <f>IF(OR($B161="",$A161&gt;$B$9,I$140=""),"",IF(COUNTIFS(BD!$B$3:$B$5001,I$140,BD!$A$3:$A$5001,"&gt;="&amp;$C$7,BD!$A$3:$A$5001,"&lt;="&amp;$B161,BD!$V$3:$V$5001,"&lt;&gt;")=0,"",SUMIFS(BD!$V$3:$V$5001,BD!$B$3:$B$5001,I$140,BD!$A$3:$A$5001,_xlfn.MAXIFS(BD!$A$3:$A$5001,BD!$B$3:$B$5001,I$140,BD!$A$3:$A$5001,"&gt;="&amp;$C$7,BD!$A$3:$A$5001,"&lt;="&amp;$B161,BD!$V$3:$V$5001,"&lt;&gt;"))))</f>
        <v/>
      </c>
      <c r="J161" s="54" t="str">
        <f>IF(OR($B161="",$A161&gt;$B$9,J$140=""),"",IF(COUNTIFS(BD!$B$3:$B$5001,J$140,BD!$A$3:$A$5001,"&gt;="&amp;$C$7,BD!$A$3:$A$5001,"&lt;="&amp;$B161,BD!$V$3:$V$5001,"&lt;&gt;")=0,"",SUMIFS(BD!$V$3:$V$5001,BD!$B$3:$B$5001,J$140,BD!$A$3:$A$5001,_xlfn.MAXIFS(BD!$A$3:$A$5001,BD!$B$3:$B$5001,J$140,BD!$A$3:$A$5001,"&gt;="&amp;$C$7,BD!$A$3:$A$5001,"&lt;="&amp;$B161,BD!$V$3:$V$5001,"&lt;&gt;"))))</f>
        <v/>
      </c>
      <c r="K161" s="54" t="str">
        <f>IF(OR($B161="",$A161&gt;$B$9,K$140=""),"",IF(COUNTIFS(BD!$B$3:$B$5001,K$140,BD!$A$3:$A$5001,"&gt;="&amp;$C$7,BD!$A$3:$A$5001,"&lt;="&amp;$B161,BD!$V$3:$V$5001,"&lt;&gt;")=0,"",SUMIFS(BD!$V$3:$V$5001,BD!$B$3:$B$5001,K$140,BD!$A$3:$A$5001,_xlfn.MAXIFS(BD!$A$3:$A$5001,BD!$B$3:$B$5001,K$140,BD!$A$3:$A$5001,"&gt;="&amp;$C$7,BD!$A$3:$A$5001,"&lt;="&amp;$B161,BD!$V$3:$V$5001,"&lt;&gt;"))))</f>
        <v/>
      </c>
      <c r="L161" s="54" t="str">
        <f>IF(OR($B161="",$A161&gt;$B$9,L$140=""),"",IF(COUNTIFS(BD!$B$3:$B$5001,L$140,BD!$A$3:$A$5001,"&gt;="&amp;$C$7,BD!$A$3:$A$5001,"&lt;="&amp;$B161,BD!$V$3:$V$5001,"&lt;&gt;")=0,"",SUMIFS(BD!$V$3:$V$5001,BD!$B$3:$B$5001,L$140,BD!$A$3:$A$5001,_xlfn.MAXIFS(BD!$A$3:$A$5001,BD!$B$3:$B$5001,L$140,BD!$A$3:$A$5001,"&gt;="&amp;$C$7,BD!$A$3:$A$5001,"&lt;="&amp;$B161,BD!$V$3:$V$5001,"&lt;&gt;"))))</f>
        <v/>
      </c>
      <c r="M161" s="54" t="str">
        <f>IF(OR($B161="",$A161&gt;$B$9,M$140=""),"",IF(COUNTIFS(BD!$B$3:$B$5001,M$140,BD!$A$3:$A$5001,"&gt;="&amp;$C$7,BD!$A$3:$A$5001,"&lt;="&amp;$B161,BD!$V$3:$V$5001,"&lt;&gt;")=0,"",SUMIFS(BD!$V$3:$V$5001,BD!$B$3:$B$5001,M$140,BD!$A$3:$A$5001,_xlfn.MAXIFS(BD!$A$3:$A$5001,BD!$B$3:$B$5001,M$140,BD!$A$3:$A$5001,"&gt;="&amp;$C$7,BD!$A$3:$A$5001,"&lt;="&amp;$B161,BD!$V$3:$V$5001,"&lt;&gt;"))))</f>
        <v/>
      </c>
      <c r="N161" s="54" t="str">
        <f>IF(OR($B161="",$A161&gt;$B$9,N$140=""),"",IF(COUNTIFS(BD!$B$3:$B$5001,N$140,BD!$A$3:$A$5001,"&gt;="&amp;$C$7,BD!$A$3:$A$5001,"&lt;="&amp;$B161,BD!$V$3:$V$5001,"&lt;&gt;")=0,"",SUMIFS(BD!$V$3:$V$5001,BD!$B$3:$B$5001,N$140,BD!$A$3:$A$5001,_xlfn.MAXIFS(BD!$A$3:$A$5001,BD!$B$3:$B$5001,N$140,BD!$A$3:$A$5001,"&gt;="&amp;$C$7,BD!$A$3:$A$5001,"&lt;="&amp;$B161,BD!$V$3:$V$5001,"&lt;&gt;"))))</f>
        <v/>
      </c>
      <c r="O161" s="54" t="str">
        <f>IF(OR($B161="",$A161&gt;$B$9,O$140=""),"",IF(COUNTIFS(BD!$B$3:$B$5001,O$140,BD!$A$3:$A$5001,"&gt;="&amp;$C$7,BD!$A$3:$A$5001,"&lt;="&amp;$B161,BD!$V$3:$V$5001,"&lt;&gt;")=0,"",SUMIFS(BD!$V$3:$V$5001,BD!$B$3:$B$5001,O$140,BD!$A$3:$A$5001,_xlfn.MAXIFS(BD!$A$3:$A$5001,BD!$B$3:$B$5001,O$140,BD!$A$3:$A$5001,"&gt;="&amp;$C$7,BD!$A$3:$A$5001,"&lt;="&amp;$B161,BD!$V$3:$V$5001,"&lt;&gt;"))))</f>
        <v/>
      </c>
      <c r="P161" s="54" t="str">
        <f>IF(OR($B161="",$A161&gt;$B$9,P$140=""),"",IF(COUNTIFS(BD!$B$3:$B$5001,P$140,BD!$A$3:$A$5001,"&gt;="&amp;$C$7,BD!$A$3:$A$5001,"&lt;="&amp;$B161,BD!$V$3:$V$5001,"&lt;&gt;")=0,"",SUMIFS(BD!$V$3:$V$5001,BD!$B$3:$B$5001,P$140,BD!$A$3:$A$5001,_xlfn.MAXIFS(BD!$A$3:$A$5001,BD!$B$3:$B$5001,P$140,BD!$A$3:$A$5001,"&gt;="&amp;$C$7,BD!$A$3:$A$5001,"&lt;="&amp;$B161,BD!$V$3:$V$5001,"&lt;&gt;"))))</f>
        <v/>
      </c>
      <c r="Q161" s="54" t="str">
        <f>IF(OR($B161="",$A161&gt;$B$9,Q$140=""),"",IF(COUNTIFS(BD!$B$3:$B$5001,Q$140,BD!$A$3:$A$5001,"&gt;="&amp;$C$7,BD!$A$3:$A$5001,"&lt;="&amp;$B161,BD!$V$3:$V$5001,"&lt;&gt;")=0,"",SUMIFS(BD!$V$3:$V$5001,BD!$B$3:$B$5001,Q$140,BD!$A$3:$A$5001,_xlfn.MAXIFS(BD!$A$3:$A$5001,BD!$B$3:$B$5001,Q$140,BD!$A$3:$A$5001,"&gt;="&amp;$C$7,BD!$A$3:$A$5001,"&lt;="&amp;$B161,BD!$V$3:$V$5001,"&lt;&gt;"))))</f>
        <v/>
      </c>
      <c r="R161" s="54" t="str">
        <f>IF(OR($B161="",$A161&gt;$B$9,R$140=""),"",IF(COUNTIFS(BD!$B$3:$B$5001,R$140,BD!$A$3:$A$5001,"&gt;="&amp;$C$7,BD!$A$3:$A$5001,"&lt;="&amp;$B161,BD!$V$3:$V$5001,"&lt;&gt;")=0,"",SUMIFS(BD!$V$3:$V$5001,BD!$B$3:$B$5001,R$140,BD!$A$3:$A$5001,_xlfn.MAXIFS(BD!$A$3:$A$5001,BD!$B$3:$B$5001,R$140,BD!$A$3:$A$5001,"&gt;="&amp;$C$7,BD!$A$3:$A$5001,"&lt;="&amp;$B161,BD!$V$3:$V$5001,"&lt;&gt;"))))</f>
        <v/>
      </c>
      <c r="S161" s="54" t="str">
        <f>IF(OR($B161="",$A161&gt;$B$9,S$140=""),"",IF(COUNTIFS(BD!$B$3:$B$5001,S$140,BD!$A$3:$A$5001,"&gt;="&amp;$C$7,BD!$A$3:$A$5001,"&lt;="&amp;$B161,BD!$V$3:$V$5001,"&lt;&gt;")=0,"",SUMIFS(BD!$V$3:$V$5001,BD!$B$3:$B$5001,S$140,BD!$A$3:$A$5001,_xlfn.MAXIFS(BD!$A$3:$A$5001,BD!$B$3:$B$5001,S$140,BD!$A$3:$A$5001,"&gt;="&amp;$C$7,BD!$A$3:$A$5001,"&lt;="&amp;$B161,BD!$V$3:$V$5001,"&lt;&gt;"))))</f>
        <v/>
      </c>
      <c r="T161" s="54" t="str">
        <f>IF(OR($B161="",$A161&gt;$B$9,T$140=""),"",IF(COUNTIFS(BD!$B$3:$B$5001,T$140,BD!$A$3:$A$5001,"&gt;="&amp;$C$7,BD!$A$3:$A$5001,"&lt;="&amp;$B161,BD!$V$3:$V$5001,"&lt;&gt;")=0,"",SUMIFS(BD!$V$3:$V$5001,BD!$B$3:$B$5001,T$140,BD!$A$3:$A$5001,_xlfn.MAXIFS(BD!$A$3:$A$5001,BD!$B$3:$B$5001,T$140,BD!$A$3:$A$5001,"&gt;="&amp;$C$7,BD!$A$3:$A$5001,"&lt;="&amp;$B161,BD!$V$3:$V$5001,"&lt;&gt;"))))</f>
        <v/>
      </c>
      <c r="U161" s="54" t="str">
        <f>IF(OR($B161="",$A161&gt;$B$9,U$140=""),"",IF(COUNTIFS(BD!$B$3:$B$5001,U$140,BD!$A$3:$A$5001,"&gt;="&amp;$C$7,BD!$A$3:$A$5001,"&lt;="&amp;$B161,BD!$V$3:$V$5001,"&lt;&gt;")=0,"",SUMIFS(BD!$V$3:$V$5001,BD!$B$3:$B$5001,U$140,BD!$A$3:$A$5001,_xlfn.MAXIFS(BD!$A$3:$A$5001,BD!$B$3:$B$5001,U$140,BD!$A$3:$A$5001,"&gt;="&amp;$C$7,BD!$A$3:$A$5001,"&lt;="&amp;$B161,BD!$V$3:$V$5001,"&lt;&gt;"))))</f>
        <v/>
      </c>
      <c r="V161" s="54" t="str">
        <f>IF(OR($B161="",$A161&gt;$B$9,V$140=""),"",IF(COUNTIFS(BD!$B$3:$B$5001,V$140,BD!$A$3:$A$5001,"&gt;="&amp;$C$7,BD!$A$3:$A$5001,"&lt;="&amp;$B161,BD!$V$3:$V$5001,"&lt;&gt;")=0,"",SUMIFS(BD!$V$3:$V$5001,BD!$B$3:$B$5001,V$140,BD!$A$3:$A$5001,_xlfn.MAXIFS(BD!$A$3:$A$5001,BD!$B$3:$B$5001,V$140,BD!$A$3:$A$5001,"&gt;="&amp;$C$7,BD!$A$3:$A$5001,"&lt;="&amp;$B161,BD!$V$3:$V$5001,"&lt;&gt;"))))</f>
        <v/>
      </c>
    </row>
    <row r="162">
      <c r="A162" s="48">
        <v>22</v>
      </c>
      <c r="B162" s="53">
        <f>$B$33</f>
        <v>46317</v>
      </c>
      <c r="C162" s="54" t="str">
        <f>IF(OR($B162="",$A162&gt;$B$9,C$140=""),"",IF(COUNTIFS(BD!$B$3:$B$5001,C$140,BD!$A$3:$A$5001,"&gt;="&amp;$C$7,BD!$A$3:$A$5001,"&lt;="&amp;$B162,BD!$V$3:$V$5001,"&lt;&gt;")=0,"",SUMIFS(BD!$V$3:$V$5001,BD!$B$3:$B$5001,C$140,BD!$A$3:$A$5001,_xlfn.MAXIFS(BD!$A$3:$A$5001,BD!$B$3:$B$5001,C$140,BD!$A$3:$A$5001,"&gt;="&amp;$C$7,BD!$A$3:$A$5001,"&lt;="&amp;$B162,BD!$V$3:$V$5001,"&lt;&gt;"))))</f>
        <v/>
      </c>
      <c r="D162" s="54" t="str">
        <f>IF(OR($B162="",$A162&gt;$B$9,D$140=""),"",IF(COUNTIFS(BD!$B$3:$B$5001,D$140,BD!$A$3:$A$5001,"&gt;="&amp;$C$7,BD!$A$3:$A$5001,"&lt;="&amp;$B162,BD!$V$3:$V$5001,"&lt;&gt;")=0,"",SUMIFS(BD!$V$3:$V$5001,BD!$B$3:$B$5001,D$140,BD!$A$3:$A$5001,_xlfn.MAXIFS(BD!$A$3:$A$5001,BD!$B$3:$B$5001,D$140,BD!$A$3:$A$5001,"&gt;="&amp;$C$7,BD!$A$3:$A$5001,"&lt;="&amp;$B162,BD!$V$3:$V$5001,"&lt;&gt;"))))</f>
        <v/>
      </c>
      <c r="E162" s="54" t="str">
        <f>IF(OR($B162="",$A162&gt;$B$9,E$140=""),"",IF(COUNTIFS(BD!$B$3:$B$5001,E$140,BD!$A$3:$A$5001,"&gt;="&amp;$C$7,BD!$A$3:$A$5001,"&lt;="&amp;$B162,BD!$V$3:$V$5001,"&lt;&gt;")=0,"",SUMIFS(BD!$V$3:$V$5001,BD!$B$3:$B$5001,E$140,BD!$A$3:$A$5001,_xlfn.MAXIFS(BD!$A$3:$A$5001,BD!$B$3:$B$5001,E$140,BD!$A$3:$A$5001,"&gt;="&amp;$C$7,BD!$A$3:$A$5001,"&lt;="&amp;$B162,BD!$V$3:$V$5001,"&lt;&gt;"))))</f>
        <v/>
      </c>
      <c r="F162" s="54" t="str">
        <f>IF(OR($B162="",$A162&gt;$B$9,F$140=""),"",IF(COUNTIFS(BD!$B$3:$B$5001,F$140,BD!$A$3:$A$5001,"&gt;="&amp;$C$7,BD!$A$3:$A$5001,"&lt;="&amp;$B162,BD!$V$3:$V$5001,"&lt;&gt;")=0,"",SUMIFS(BD!$V$3:$V$5001,BD!$B$3:$B$5001,F$140,BD!$A$3:$A$5001,_xlfn.MAXIFS(BD!$A$3:$A$5001,BD!$B$3:$B$5001,F$140,BD!$A$3:$A$5001,"&gt;="&amp;$C$7,BD!$A$3:$A$5001,"&lt;="&amp;$B162,BD!$V$3:$V$5001,"&lt;&gt;"))))</f>
        <v/>
      </c>
      <c r="G162" s="54" t="str">
        <f>IF(OR($B162="",$A162&gt;$B$9,G$140=""),"",IF(COUNTIFS(BD!$B$3:$B$5001,G$140,BD!$A$3:$A$5001,"&gt;="&amp;$C$7,BD!$A$3:$A$5001,"&lt;="&amp;$B162,BD!$V$3:$V$5001,"&lt;&gt;")=0,"",SUMIFS(BD!$V$3:$V$5001,BD!$B$3:$B$5001,G$140,BD!$A$3:$A$5001,_xlfn.MAXIFS(BD!$A$3:$A$5001,BD!$B$3:$B$5001,G$140,BD!$A$3:$A$5001,"&gt;="&amp;$C$7,BD!$A$3:$A$5001,"&lt;="&amp;$B162,BD!$V$3:$V$5001,"&lt;&gt;"))))</f>
        <v/>
      </c>
      <c r="H162" s="54" t="str">
        <f>IF(OR($B162="",$A162&gt;$B$9,H$140=""),"",IF(COUNTIFS(BD!$B$3:$B$5001,H$140,BD!$A$3:$A$5001,"&gt;="&amp;$C$7,BD!$A$3:$A$5001,"&lt;="&amp;$B162,BD!$V$3:$V$5001,"&lt;&gt;")=0,"",SUMIFS(BD!$V$3:$V$5001,BD!$B$3:$B$5001,H$140,BD!$A$3:$A$5001,_xlfn.MAXIFS(BD!$A$3:$A$5001,BD!$B$3:$B$5001,H$140,BD!$A$3:$A$5001,"&gt;="&amp;$C$7,BD!$A$3:$A$5001,"&lt;="&amp;$B162,BD!$V$3:$V$5001,"&lt;&gt;"))))</f>
        <v/>
      </c>
      <c r="I162" s="54" t="str">
        <f>IF(OR($B162="",$A162&gt;$B$9,I$140=""),"",IF(COUNTIFS(BD!$B$3:$B$5001,I$140,BD!$A$3:$A$5001,"&gt;="&amp;$C$7,BD!$A$3:$A$5001,"&lt;="&amp;$B162,BD!$V$3:$V$5001,"&lt;&gt;")=0,"",SUMIFS(BD!$V$3:$V$5001,BD!$B$3:$B$5001,I$140,BD!$A$3:$A$5001,_xlfn.MAXIFS(BD!$A$3:$A$5001,BD!$B$3:$B$5001,I$140,BD!$A$3:$A$5001,"&gt;="&amp;$C$7,BD!$A$3:$A$5001,"&lt;="&amp;$B162,BD!$V$3:$V$5001,"&lt;&gt;"))))</f>
        <v/>
      </c>
      <c r="J162" s="54" t="str">
        <f>IF(OR($B162="",$A162&gt;$B$9,J$140=""),"",IF(COUNTIFS(BD!$B$3:$B$5001,J$140,BD!$A$3:$A$5001,"&gt;="&amp;$C$7,BD!$A$3:$A$5001,"&lt;="&amp;$B162,BD!$V$3:$V$5001,"&lt;&gt;")=0,"",SUMIFS(BD!$V$3:$V$5001,BD!$B$3:$B$5001,J$140,BD!$A$3:$A$5001,_xlfn.MAXIFS(BD!$A$3:$A$5001,BD!$B$3:$B$5001,J$140,BD!$A$3:$A$5001,"&gt;="&amp;$C$7,BD!$A$3:$A$5001,"&lt;="&amp;$B162,BD!$V$3:$V$5001,"&lt;&gt;"))))</f>
        <v/>
      </c>
      <c r="K162" s="54" t="str">
        <f>IF(OR($B162="",$A162&gt;$B$9,K$140=""),"",IF(COUNTIFS(BD!$B$3:$B$5001,K$140,BD!$A$3:$A$5001,"&gt;="&amp;$C$7,BD!$A$3:$A$5001,"&lt;="&amp;$B162,BD!$V$3:$V$5001,"&lt;&gt;")=0,"",SUMIFS(BD!$V$3:$V$5001,BD!$B$3:$B$5001,K$140,BD!$A$3:$A$5001,_xlfn.MAXIFS(BD!$A$3:$A$5001,BD!$B$3:$B$5001,K$140,BD!$A$3:$A$5001,"&gt;="&amp;$C$7,BD!$A$3:$A$5001,"&lt;="&amp;$B162,BD!$V$3:$V$5001,"&lt;&gt;"))))</f>
        <v/>
      </c>
      <c r="L162" s="54" t="str">
        <f>IF(OR($B162="",$A162&gt;$B$9,L$140=""),"",IF(COUNTIFS(BD!$B$3:$B$5001,L$140,BD!$A$3:$A$5001,"&gt;="&amp;$C$7,BD!$A$3:$A$5001,"&lt;="&amp;$B162,BD!$V$3:$V$5001,"&lt;&gt;")=0,"",SUMIFS(BD!$V$3:$V$5001,BD!$B$3:$B$5001,L$140,BD!$A$3:$A$5001,_xlfn.MAXIFS(BD!$A$3:$A$5001,BD!$B$3:$B$5001,L$140,BD!$A$3:$A$5001,"&gt;="&amp;$C$7,BD!$A$3:$A$5001,"&lt;="&amp;$B162,BD!$V$3:$V$5001,"&lt;&gt;"))))</f>
        <v/>
      </c>
      <c r="M162" s="54" t="str">
        <f>IF(OR($B162="",$A162&gt;$B$9,M$140=""),"",IF(COUNTIFS(BD!$B$3:$B$5001,M$140,BD!$A$3:$A$5001,"&gt;="&amp;$C$7,BD!$A$3:$A$5001,"&lt;="&amp;$B162,BD!$V$3:$V$5001,"&lt;&gt;")=0,"",SUMIFS(BD!$V$3:$V$5001,BD!$B$3:$B$5001,M$140,BD!$A$3:$A$5001,_xlfn.MAXIFS(BD!$A$3:$A$5001,BD!$B$3:$B$5001,M$140,BD!$A$3:$A$5001,"&gt;="&amp;$C$7,BD!$A$3:$A$5001,"&lt;="&amp;$B162,BD!$V$3:$V$5001,"&lt;&gt;"))))</f>
        <v/>
      </c>
      <c r="N162" s="54" t="str">
        <f>IF(OR($B162="",$A162&gt;$B$9,N$140=""),"",IF(COUNTIFS(BD!$B$3:$B$5001,N$140,BD!$A$3:$A$5001,"&gt;="&amp;$C$7,BD!$A$3:$A$5001,"&lt;="&amp;$B162,BD!$V$3:$V$5001,"&lt;&gt;")=0,"",SUMIFS(BD!$V$3:$V$5001,BD!$B$3:$B$5001,N$140,BD!$A$3:$A$5001,_xlfn.MAXIFS(BD!$A$3:$A$5001,BD!$B$3:$B$5001,N$140,BD!$A$3:$A$5001,"&gt;="&amp;$C$7,BD!$A$3:$A$5001,"&lt;="&amp;$B162,BD!$V$3:$V$5001,"&lt;&gt;"))))</f>
        <v/>
      </c>
      <c r="O162" s="54" t="str">
        <f>IF(OR($B162="",$A162&gt;$B$9,O$140=""),"",IF(COUNTIFS(BD!$B$3:$B$5001,O$140,BD!$A$3:$A$5001,"&gt;="&amp;$C$7,BD!$A$3:$A$5001,"&lt;="&amp;$B162,BD!$V$3:$V$5001,"&lt;&gt;")=0,"",SUMIFS(BD!$V$3:$V$5001,BD!$B$3:$B$5001,O$140,BD!$A$3:$A$5001,_xlfn.MAXIFS(BD!$A$3:$A$5001,BD!$B$3:$B$5001,O$140,BD!$A$3:$A$5001,"&gt;="&amp;$C$7,BD!$A$3:$A$5001,"&lt;="&amp;$B162,BD!$V$3:$V$5001,"&lt;&gt;"))))</f>
        <v/>
      </c>
      <c r="P162" s="54" t="str">
        <f>IF(OR($B162="",$A162&gt;$B$9,P$140=""),"",IF(COUNTIFS(BD!$B$3:$B$5001,P$140,BD!$A$3:$A$5001,"&gt;="&amp;$C$7,BD!$A$3:$A$5001,"&lt;="&amp;$B162,BD!$V$3:$V$5001,"&lt;&gt;")=0,"",SUMIFS(BD!$V$3:$V$5001,BD!$B$3:$B$5001,P$140,BD!$A$3:$A$5001,_xlfn.MAXIFS(BD!$A$3:$A$5001,BD!$B$3:$B$5001,P$140,BD!$A$3:$A$5001,"&gt;="&amp;$C$7,BD!$A$3:$A$5001,"&lt;="&amp;$B162,BD!$V$3:$V$5001,"&lt;&gt;"))))</f>
        <v/>
      </c>
      <c r="Q162" s="54" t="str">
        <f>IF(OR($B162="",$A162&gt;$B$9,Q$140=""),"",IF(COUNTIFS(BD!$B$3:$B$5001,Q$140,BD!$A$3:$A$5001,"&gt;="&amp;$C$7,BD!$A$3:$A$5001,"&lt;="&amp;$B162,BD!$V$3:$V$5001,"&lt;&gt;")=0,"",SUMIFS(BD!$V$3:$V$5001,BD!$B$3:$B$5001,Q$140,BD!$A$3:$A$5001,_xlfn.MAXIFS(BD!$A$3:$A$5001,BD!$B$3:$B$5001,Q$140,BD!$A$3:$A$5001,"&gt;="&amp;$C$7,BD!$A$3:$A$5001,"&lt;="&amp;$B162,BD!$V$3:$V$5001,"&lt;&gt;"))))</f>
        <v/>
      </c>
      <c r="R162" s="54" t="str">
        <f>IF(OR($B162="",$A162&gt;$B$9,R$140=""),"",IF(COUNTIFS(BD!$B$3:$B$5001,R$140,BD!$A$3:$A$5001,"&gt;="&amp;$C$7,BD!$A$3:$A$5001,"&lt;="&amp;$B162,BD!$V$3:$V$5001,"&lt;&gt;")=0,"",SUMIFS(BD!$V$3:$V$5001,BD!$B$3:$B$5001,R$140,BD!$A$3:$A$5001,_xlfn.MAXIFS(BD!$A$3:$A$5001,BD!$B$3:$B$5001,R$140,BD!$A$3:$A$5001,"&gt;="&amp;$C$7,BD!$A$3:$A$5001,"&lt;="&amp;$B162,BD!$V$3:$V$5001,"&lt;&gt;"))))</f>
        <v/>
      </c>
      <c r="S162" s="54" t="str">
        <f>IF(OR($B162="",$A162&gt;$B$9,S$140=""),"",IF(COUNTIFS(BD!$B$3:$B$5001,S$140,BD!$A$3:$A$5001,"&gt;="&amp;$C$7,BD!$A$3:$A$5001,"&lt;="&amp;$B162,BD!$V$3:$V$5001,"&lt;&gt;")=0,"",SUMIFS(BD!$V$3:$V$5001,BD!$B$3:$B$5001,S$140,BD!$A$3:$A$5001,_xlfn.MAXIFS(BD!$A$3:$A$5001,BD!$B$3:$B$5001,S$140,BD!$A$3:$A$5001,"&gt;="&amp;$C$7,BD!$A$3:$A$5001,"&lt;="&amp;$B162,BD!$V$3:$V$5001,"&lt;&gt;"))))</f>
        <v/>
      </c>
      <c r="T162" s="54" t="str">
        <f>IF(OR($B162="",$A162&gt;$B$9,T$140=""),"",IF(COUNTIFS(BD!$B$3:$B$5001,T$140,BD!$A$3:$A$5001,"&gt;="&amp;$C$7,BD!$A$3:$A$5001,"&lt;="&amp;$B162,BD!$V$3:$V$5001,"&lt;&gt;")=0,"",SUMIFS(BD!$V$3:$V$5001,BD!$B$3:$B$5001,T$140,BD!$A$3:$A$5001,_xlfn.MAXIFS(BD!$A$3:$A$5001,BD!$B$3:$B$5001,T$140,BD!$A$3:$A$5001,"&gt;="&amp;$C$7,BD!$A$3:$A$5001,"&lt;="&amp;$B162,BD!$V$3:$V$5001,"&lt;&gt;"))))</f>
        <v/>
      </c>
      <c r="U162" s="54" t="str">
        <f>IF(OR($B162="",$A162&gt;$B$9,U$140=""),"",IF(COUNTIFS(BD!$B$3:$B$5001,U$140,BD!$A$3:$A$5001,"&gt;="&amp;$C$7,BD!$A$3:$A$5001,"&lt;="&amp;$B162,BD!$V$3:$V$5001,"&lt;&gt;")=0,"",SUMIFS(BD!$V$3:$V$5001,BD!$B$3:$B$5001,U$140,BD!$A$3:$A$5001,_xlfn.MAXIFS(BD!$A$3:$A$5001,BD!$B$3:$B$5001,U$140,BD!$A$3:$A$5001,"&gt;="&amp;$C$7,BD!$A$3:$A$5001,"&lt;="&amp;$B162,BD!$V$3:$V$5001,"&lt;&gt;"))))</f>
        <v/>
      </c>
      <c r="V162" s="54" t="str">
        <f>IF(OR($B162="",$A162&gt;$B$9,V$140=""),"",IF(COUNTIFS(BD!$B$3:$B$5001,V$140,BD!$A$3:$A$5001,"&gt;="&amp;$C$7,BD!$A$3:$A$5001,"&lt;="&amp;$B162,BD!$V$3:$V$5001,"&lt;&gt;")=0,"",SUMIFS(BD!$V$3:$V$5001,BD!$B$3:$B$5001,V$140,BD!$A$3:$A$5001,_xlfn.MAXIFS(BD!$A$3:$A$5001,BD!$B$3:$B$5001,V$140,BD!$A$3:$A$5001,"&gt;="&amp;$C$7,BD!$A$3:$A$5001,"&lt;="&amp;$B162,BD!$V$3:$V$5001,"&lt;&gt;"))))</f>
        <v/>
      </c>
    </row>
    <row r="163">
      <c r="A163" s="48">
        <v>23</v>
      </c>
      <c r="B163" s="53">
        <f>$B$34</f>
        <v>46318</v>
      </c>
      <c r="C163" s="54" t="str">
        <f>IF(OR($B163="",$A163&gt;$B$9,C$140=""),"",IF(COUNTIFS(BD!$B$3:$B$5001,C$140,BD!$A$3:$A$5001,"&gt;="&amp;$C$7,BD!$A$3:$A$5001,"&lt;="&amp;$B163,BD!$V$3:$V$5001,"&lt;&gt;")=0,"",SUMIFS(BD!$V$3:$V$5001,BD!$B$3:$B$5001,C$140,BD!$A$3:$A$5001,_xlfn.MAXIFS(BD!$A$3:$A$5001,BD!$B$3:$B$5001,C$140,BD!$A$3:$A$5001,"&gt;="&amp;$C$7,BD!$A$3:$A$5001,"&lt;="&amp;$B163,BD!$V$3:$V$5001,"&lt;&gt;"))))</f>
        <v/>
      </c>
      <c r="D163" s="54" t="str">
        <f>IF(OR($B163="",$A163&gt;$B$9,D$140=""),"",IF(COUNTIFS(BD!$B$3:$B$5001,D$140,BD!$A$3:$A$5001,"&gt;="&amp;$C$7,BD!$A$3:$A$5001,"&lt;="&amp;$B163,BD!$V$3:$V$5001,"&lt;&gt;")=0,"",SUMIFS(BD!$V$3:$V$5001,BD!$B$3:$B$5001,D$140,BD!$A$3:$A$5001,_xlfn.MAXIFS(BD!$A$3:$A$5001,BD!$B$3:$B$5001,D$140,BD!$A$3:$A$5001,"&gt;="&amp;$C$7,BD!$A$3:$A$5001,"&lt;="&amp;$B163,BD!$V$3:$V$5001,"&lt;&gt;"))))</f>
        <v/>
      </c>
      <c r="E163" s="54" t="str">
        <f>IF(OR($B163="",$A163&gt;$B$9,E$140=""),"",IF(COUNTIFS(BD!$B$3:$B$5001,E$140,BD!$A$3:$A$5001,"&gt;="&amp;$C$7,BD!$A$3:$A$5001,"&lt;="&amp;$B163,BD!$V$3:$V$5001,"&lt;&gt;")=0,"",SUMIFS(BD!$V$3:$V$5001,BD!$B$3:$B$5001,E$140,BD!$A$3:$A$5001,_xlfn.MAXIFS(BD!$A$3:$A$5001,BD!$B$3:$B$5001,E$140,BD!$A$3:$A$5001,"&gt;="&amp;$C$7,BD!$A$3:$A$5001,"&lt;="&amp;$B163,BD!$V$3:$V$5001,"&lt;&gt;"))))</f>
        <v/>
      </c>
      <c r="F163" s="54" t="str">
        <f>IF(OR($B163="",$A163&gt;$B$9,F$140=""),"",IF(COUNTIFS(BD!$B$3:$B$5001,F$140,BD!$A$3:$A$5001,"&gt;="&amp;$C$7,BD!$A$3:$A$5001,"&lt;="&amp;$B163,BD!$V$3:$V$5001,"&lt;&gt;")=0,"",SUMIFS(BD!$V$3:$V$5001,BD!$B$3:$B$5001,F$140,BD!$A$3:$A$5001,_xlfn.MAXIFS(BD!$A$3:$A$5001,BD!$B$3:$B$5001,F$140,BD!$A$3:$A$5001,"&gt;="&amp;$C$7,BD!$A$3:$A$5001,"&lt;="&amp;$B163,BD!$V$3:$V$5001,"&lt;&gt;"))))</f>
        <v/>
      </c>
      <c r="G163" s="54" t="str">
        <f>IF(OR($B163="",$A163&gt;$B$9,G$140=""),"",IF(COUNTIFS(BD!$B$3:$B$5001,G$140,BD!$A$3:$A$5001,"&gt;="&amp;$C$7,BD!$A$3:$A$5001,"&lt;="&amp;$B163,BD!$V$3:$V$5001,"&lt;&gt;")=0,"",SUMIFS(BD!$V$3:$V$5001,BD!$B$3:$B$5001,G$140,BD!$A$3:$A$5001,_xlfn.MAXIFS(BD!$A$3:$A$5001,BD!$B$3:$B$5001,G$140,BD!$A$3:$A$5001,"&gt;="&amp;$C$7,BD!$A$3:$A$5001,"&lt;="&amp;$B163,BD!$V$3:$V$5001,"&lt;&gt;"))))</f>
        <v/>
      </c>
      <c r="H163" s="54" t="str">
        <f>IF(OR($B163="",$A163&gt;$B$9,H$140=""),"",IF(COUNTIFS(BD!$B$3:$B$5001,H$140,BD!$A$3:$A$5001,"&gt;="&amp;$C$7,BD!$A$3:$A$5001,"&lt;="&amp;$B163,BD!$V$3:$V$5001,"&lt;&gt;")=0,"",SUMIFS(BD!$V$3:$V$5001,BD!$B$3:$B$5001,H$140,BD!$A$3:$A$5001,_xlfn.MAXIFS(BD!$A$3:$A$5001,BD!$B$3:$B$5001,H$140,BD!$A$3:$A$5001,"&gt;="&amp;$C$7,BD!$A$3:$A$5001,"&lt;="&amp;$B163,BD!$V$3:$V$5001,"&lt;&gt;"))))</f>
        <v/>
      </c>
      <c r="I163" s="54" t="str">
        <f>IF(OR($B163="",$A163&gt;$B$9,I$140=""),"",IF(COUNTIFS(BD!$B$3:$B$5001,I$140,BD!$A$3:$A$5001,"&gt;="&amp;$C$7,BD!$A$3:$A$5001,"&lt;="&amp;$B163,BD!$V$3:$V$5001,"&lt;&gt;")=0,"",SUMIFS(BD!$V$3:$V$5001,BD!$B$3:$B$5001,I$140,BD!$A$3:$A$5001,_xlfn.MAXIFS(BD!$A$3:$A$5001,BD!$B$3:$B$5001,I$140,BD!$A$3:$A$5001,"&gt;="&amp;$C$7,BD!$A$3:$A$5001,"&lt;="&amp;$B163,BD!$V$3:$V$5001,"&lt;&gt;"))))</f>
        <v/>
      </c>
      <c r="J163" s="54" t="str">
        <f>IF(OR($B163="",$A163&gt;$B$9,J$140=""),"",IF(COUNTIFS(BD!$B$3:$B$5001,J$140,BD!$A$3:$A$5001,"&gt;="&amp;$C$7,BD!$A$3:$A$5001,"&lt;="&amp;$B163,BD!$V$3:$V$5001,"&lt;&gt;")=0,"",SUMIFS(BD!$V$3:$V$5001,BD!$B$3:$B$5001,J$140,BD!$A$3:$A$5001,_xlfn.MAXIFS(BD!$A$3:$A$5001,BD!$B$3:$B$5001,J$140,BD!$A$3:$A$5001,"&gt;="&amp;$C$7,BD!$A$3:$A$5001,"&lt;="&amp;$B163,BD!$V$3:$V$5001,"&lt;&gt;"))))</f>
        <v/>
      </c>
      <c r="K163" s="54" t="str">
        <f>IF(OR($B163="",$A163&gt;$B$9,K$140=""),"",IF(COUNTIFS(BD!$B$3:$B$5001,K$140,BD!$A$3:$A$5001,"&gt;="&amp;$C$7,BD!$A$3:$A$5001,"&lt;="&amp;$B163,BD!$V$3:$V$5001,"&lt;&gt;")=0,"",SUMIFS(BD!$V$3:$V$5001,BD!$B$3:$B$5001,K$140,BD!$A$3:$A$5001,_xlfn.MAXIFS(BD!$A$3:$A$5001,BD!$B$3:$B$5001,K$140,BD!$A$3:$A$5001,"&gt;="&amp;$C$7,BD!$A$3:$A$5001,"&lt;="&amp;$B163,BD!$V$3:$V$5001,"&lt;&gt;"))))</f>
        <v/>
      </c>
      <c r="L163" s="54" t="str">
        <f>IF(OR($B163="",$A163&gt;$B$9,L$140=""),"",IF(COUNTIFS(BD!$B$3:$B$5001,L$140,BD!$A$3:$A$5001,"&gt;="&amp;$C$7,BD!$A$3:$A$5001,"&lt;="&amp;$B163,BD!$V$3:$V$5001,"&lt;&gt;")=0,"",SUMIFS(BD!$V$3:$V$5001,BD!$B$3:$B$5001,L$140,BD!$A$3:$A$5001,_xlfn.MAXIFS(BD!$A$3:$A$5001,BD!$B$3:$B$5001,L$140,BD!$A$3:$A$5001,"&gt;="&amp;$C$7,BD!$A$3:$A$5001,"&lt;="&amp;$B163,BD!$V$3:$V$5001,"&lt;&gt;"))))</f>
        <v/>
      </c>
      <c r="M163" s="54" t="str">
        <f>IF(OR($B163="",$A163&gt;$B$9,M$140=""),"",IF(COUNTIFS(BD!$B$3:$B$5001,M$140,BD!$A$3:$A$5001,"&gt;="&amp;$C$7,BD!$A$3:$A$5001,"&lt;="&amp;$B163,BD!$V$3:$V$5001,"&lt;&gt;")=0,"",SUMIFS(BD!$V$3:$V$5001,BD!$B$3:$B$5001,M$140,BD!$A$3:$A$5001,_xlfn.MAXIFS(BD!$A$3:$A$5001,BD!$B$3:$B$5001,M$140,BD!$A$3:$A$5001,"&gt;="&amp;$C$7,BD!$A$3:$A$5001,"&lt;="&amp;$B163,BD!$V$3:$V$5001,"&lt;&gt;"))))</f>
        <v/>
      </c>
      <c r="N163" s="54" t="str">
        <f>IF(OR($B163="",$A163&gt;$B$9,N$140=""),"",IF(COUNTIFS(BD!$B$3:$B$5001,N$140,BD!$A$3:$A$5001,"&gt;="&amp;$C$7,BD!$A$3:$A$5001,"&lt;="&amp;$B163,BD!$V$3:$V$5001,"&lt;&gt;")=0,"",SUMIFS(BD!$V$3:$V$5001,BD!$B$3:$B$5001,N$140,BD!$A$3:$A$5001,_xlfn.MAXIFS(BD!$A$3:$A$5001,BD!$B$3:$B$5001,N$140,BD!$A$3:$A$5001,"&gt;="&amp;$C$7,BD!$A$3:$A$5001,"&lt;="&amp;$B163,BD!$V$3:$V$5001,"&lt;&gt;"))))</f>
        <v/>
      </c>
      <c r="O163" s="54" t="str">
        <f>IF(OR($B163="",$A163&gt;$B$9,O$140=""),"",IF(COUNTIFS(BD!$B$3:$B$5001,O$140,BD!$A$3:$A$5001,"&gt;="&amp;$C$7,BD!$A$3:$A$5001,"&lt;="&amp;$B163,BD!$V$3:$V$5001,"&lt;&gt;")=0,"",SUMIFS(BD!$V$3:$V$5001,BD!$B$3:$B$5001,O$140,BD!$A$3:$A$5001,_xlfn.MAXIFS(BD!$A$3:$A$5001,BD!$B$3:$B$5001,O$140,BD!$A$3:$A$5001,"&gt;="&amp;$C$7,BD!$A$3:$A$5001,"&lt;="&amp;$B163,BD!$V$3:$V$5001,"&lt;&gt;"))))</f>
        <v/>
      </c>
      <c r="P163" s="54" t="str">
        <f>IF(OR($B163="",$A163&gt;$B$9,P$140=""),"",IF(COUNTIFS(BD!$B$3:$B$5001,P$140,BD!$A$3:$A$5001,"&gt;="&amp;$C$7,BD!$A$3:$A$5001,"&lt;="&amp;$B163,BD!$V$3:$V$5001,"&lt;&gt;")=0,"",SUMIFS(BD!$V$3:$V$5001,BD!$B$3:$B$5001,P$140,BD!$A$3:$A$5001,_xlfn.MAXIFS(BD!$A$3:$A$5001,BD!$B$3:$B$5001,P$140,BD!$A$3:$A$5001,"&gt;="&amp;$C$7,BD!$A$3:$A$5001,"&lt;="&amp;$B163,BD!$V$3:$V$5001,"&lt;&gt;"))))</f>
        <v/>
      </c>
      <c r="Q163" s="54" t="str">
        <f>IF(OR($B163="",$A163&gt;$B$9,Q$140=""),"",IF(COUNTIFS(BD!$B$3:$B$5001,Q$140,BD!$A$3:$A$5001,"&gt;="&amp;$C$7,BD!$A$3:$A$5001,"&lt;="&amp;$B163,BD!$V$3:$V$5001,"&lt;&gt;")=0,"",SUMIFS(BD!$V$3:$V$5001,BD!$B$3:$B$5001,Q$140,BD!$A$3:$A$5001,_xlfn.MAXIFS(BD!$A$3:$A$5001,BD!$B$3:$B$5001,Q$140,BD!$A$3:$A$5001,"&gt;="&amp;$C$7,BD!$A$3:$A$5001,"&lt;="&amp;$B163,BD!$V$3:$V$5001,"&lt;&gt;"))))</f>
        <v/>
      </c>
      <c r="R163" s="54" t="str">
        <f>IF(OR($B163="",$A163&gt;$B$9,R$140=""),"",IF(COUNTIFS(BD!$B$3:$B$5001,R$140,BD!$A$3:$A$5001,"&gt;="&amp;$C$7,BD!$A$3:$A$5001,"&lt;="&amp;$B163,BD!$V$3:$V$5001,"&lt;&gt;")=0,"",SUMIFS(BD!$V$3:$V$5001,BD!$B$3:$B$5001,R$140,BD!$A$3:$A$5001,_xlfn.MAXIFS(BD!$A$3:$A$5001,BD!$B$3:$B$5001,R$140,BD!$A$3:$A$5001,"&gt;="&amp;$C$7,BD!$A$3:$A$5001,"&lt;="&amp;$B163,BD!$V$3:$V$5001,"&lt;&gt;"))))</f>
        <v/>
      </c>
      <c r="S163" s="54" t="str">
        <f>IF(OR($B163="",$A163&gt;$B$9,S$140=""),"",IF(COUNTIFS(BD!$B$3:$B$5001,S$140,BD!$A$3:$A$5001,"&gt;="&amp;$C$7,BD!$A$3:$A$5001,"&lt;="&amp;$B163,BD!$V$3:$V$5001,"&lt;&gt;")=0,"",SUMIFS(BD!$V$3:$V$5001,BD!$B$3:$B$5001,S$140,BD!$A$3:$A$5001,_xlfn.MAXIFS(BD!$A$3:$A$5001,BD!$B$3:$B$5001,S$140,BD!$A$3:$A$5001,"&gt;="&amp;$C$7,BD!$A$3:$A$5001,"&lt;="&amp;$B163,BD!$V$3:$V$5001,"&lt;&gt;"))))</f>
        <v/>
      </c>
      <c r="T163" s="54" t="str">
        <f>IF(OR($B163="",$A163&gt;$B$9,T$140=""),"",IF(COUNTIFS(BD!$B$3:$B$5001,T$140,BD!$A$3:$A$5001,"&gt;="&amp;$C$7,BD!$A$3:$A$5001,"&lt;="&amp;$B163,BD!$V$3:$V$5001,"&lt;&gt;")=0,"",SUMIFS(BD!$V$3:$V$5001,BD!$B$3:$B$5001,T$140,BD!$A$3:$A$5001,_xlfn.MAXIFS(BD!$A$3:$A$5001,BD!$B$3:$B$5001,T$140,BD!$A$3:$A$5001,"&gt;="&amp;$C$7,BD!$A$3:$A$5001,"&lt;="&amp;$B163,BD!$V$3:$V$5001,"&lt;&gt;"))))</f>
        <v/>
      </c>
      <c r="U163" s="54" t="str">
        <f>IF(OR($B163="",$A163&gt;$B$9,U$140=""),"",IF(COUNTIFS(BD!$B$3:$B$5001,U$140,BD!$A$3:$A$5001,"&gt;="&amp;$C$7,BD!$A$3:$A$5001,"&lt;="&amp;$B163,BD!$V$3:$V$5001,"&lt;&gt;")=0,"",SUMIFS(BD!$V$3:$V$5001,BD!$B$3:$B$5001,U$140,BD!$A$3:$A$5001,_xlfn.MAXIFS(BD!$A$3:$A$5001,BD!$B$3:$B$5001,U$140,BD!$A$3:$A$5001,"&gt;="&amp;$C$7,BD!$A$3:$A$5001,"&lt;="&amp;$B163,BD!$V$3:$V$5001,"&lt;&gt;"))))</f>
        <v/>
      </c>
      <c r="V163" s="54" t="str">
        <f>IF(OR($B163="",$A163&gt;$B$9,V$140=""),"",IF(COUNTIFS(BD!$B$3:$B$5001,V$140,BD!$A$3:$A$5001,"&gt;="&amp;$C$7,BD!$A$3:$A$5001,"&lt;="&amp;$B163,BD!$V$3:$V$5001,"&lt;&gt;")=0,"",SUMIFS(BD!$V$3:$V$5001,BD!$B$3:$B$5001,V$140,BD!$A$3:$A$5001,_xlfn.MAXIFS(BD!$A$3:$A$5001,BD!$B$3:$B$5001,V$140,BD!$A$3:$A$5001,"&gt;="&amp;$C$7,BD!$A$3:$A$5001,"&lt;="&amp;$B163,BD!$V$3:$V$5001,"&lt;&gt;"))))</f>
        <v/>
      </c>
    </row>
    <row r="164">
      <c r="A164" s="48">
        <v>24</v>
      </c>
      <c r="B164" s="53">
        <f>$B$35</f>
        <v>46319</v>
      </c>
      <c r="C164" s="54" t="str">
        <f>IF(OR($B164="",$A164&gt;$B$9,C$140=""),"",IF(COUNTIFS(BD!$B$3:$B$5001,C$140,BD!$A$3:$A$5001,"&gt;="&amp;$C$7,BD!$A$3:$A$5001,"&lt;="&amp;$B164,BD!$V$3:$V$5001,"&lt;&gt;")=0,"",SUMIFS(BD!$V$3:$V$5001,BD!$B$3:$B$5001,C$140,BD!$A$3:$A$5001,_xlfn.MAXIFS(BD!$A$3:$A$5001,BD!$B$3:$B$5001,C$140,BD!$A$3:$A$5001,"&gt;="&amp;$C$7,BD!$A$3:$A$5001,"&lt;="&amp;$B164,BD!$V$3:$V$5001,"&lt;&gt;"))))</f>
        <v/>
      </c>
      <c r="D164" s="54" t="str">
        <f>IF(OR($B164="",$A164&gt;$B$9,D$140=""),"",IF(COUNTIFS(BD!$B$3:$B$5001,D$140,BD!$A$3:$A$5001,"&gt;="&amp;$C$7,BD!$A$3:$A$5001,"&lt;="&amp;$B164,BD!$V$3:$V$5001,"&lt;&gt;")=0,"",SUMIFS(BD!$V$3:$V$5001,BD!$B$3:$B$5001,D$140,BD!$A$3:$A$5001,_xlfn.MAXIFS(BD!$A$3:$A$5001,BD!$B$3:$B$5001,D$140,BD!$A$3:$A$5001,"&gt;="&amp;$C$7,BD!$A$3:$A$5001,"&lt;="&amp;$B164,BD!$V$3:$V$5001,"&lt;&gt;"))))</f>
        <v/>
      </c>
      <c r="E164" s="54" t="str">
        <f>IF(OR($B164="",$A164&gt;$B$9,E$140=""),"",IF(COUNTIFS(BD!$B$3:$B$5001,E$140,BD!$A$3:$A$5001,"&gt;="&amp;$C$7,BD!$A$3:$A$5001,"&lt;="&amp;$B164,BD!$V$3:$V$5001,"&lt;&gt;")=0,"",SUMIFS(BD!$V$3:$V$5001,BD!$B$3:$B$5001,E$140,BD!$A$3:$A$5001,_xlfn.MAXIFS(BD!$A$3:$A$5001,BD!$B$3:$B$5001,E$140,BD!$A$3:$A$5001,"&gt;="&amp;$C$7,BD!$A$3:$A$5001,"&lt;="&amp;$B164,BD!$V$3:$V$5001,"&lt;&gt;"))))</f>
        <v/>
      </c>
      <c r="F164" s="54" t="str">
        <f>IF(OR($B164="",$A164&gt;$B$9,F$140=""),"",IF(COUNTIFS(BD!$B$3:$B$5001,F$140,BD!$A$3:$A$5001,"&gt;="&amp;$C$7,BD!$A$3:$A$5001,"&lt;="&amp;$B164,BD!$V$3:$V$5001,"&lt;&gt;")=0,"",SUMIFS(BD!$V$3:$V$5001,BD!$B$3:$B$5001,F$140,BD!$A$3:$A$5001,_xlfn.MAXIFS(BD!$A$3:$A$5001,BD!$B$3:$B$5001,F$140,BD!$A$3:$A$5001,"&gt;="&amp;$C$7,BD!$A$3:$A$5001,"&lt;="&amp;$B164,BD!$V$3:$V$5001,"&lt;&gt;"))))</f>
        <v/>
      </c>
      <c r="G164" s="54" t="str">
        <f>IF(OR($B164="",$A164&gt;$B$9,G$140=""),"",IF(COUNTIFS(BD!$B$3:$B$5001,G$140,BD!$A$3:$A$5001,"&gt;="&amp;$C$7,BD!$A$3:$A$5001,"&lt;="&amp;$B164,BD!$V$3:$V$5001,"&lt;&gt;")=0,"",SUMIFS(BD!$V$3:$V$5001,BD!$B$3:$B$5001,G$140,BD!$A$3:$A$5001,_xlfn.MAXIFS(BD!$A$3:$A$5001,BD!$B$3:$B$5001,G$140,BD!$A$3:$A$5001,"&gt;="&amp;$C$7,BD!$A$3:$A$5001,"&lt;="&amp;$B164,BD!$V$3:$V$5001,"&lt;&gt;"))))</f>
        <v/>
      </c>
      <c r="H164" s="54" t="str">
        <f>IF(OR($B164="",$A164&gt;$B$9,H$140=""),"",IF(COUNTIFS(BD!$B$3:$B$5001,H$140,BD!$A$3:$A$5001,"&gt;="&amp;$C$7,BD!$A$3:$A$5001,"&lt;="&amp;$B164,BD!$V$3:$V$5001,"&lt;&gt;")=0,"",SUMIFS(BD!$V$3:$V$5001,BD!$B$3:$B$5001,H$140,BD!$A$3:$A$5001,_xlfn.MAXIFS(BD!$A$3:$A$5001,BD!$B$3:$B$5001,H$140,BD!$A$3:$A$5001,"&gt;="&amp;$C$7,BD!$A$3:$A$5001,"&lt;="&amp;$B164,BD!$V$3:$V$5001,"&lt;&gt;"))))</f>
        <v/>
      </c>
      <c r="I164" s="54" t="str">
        <f>IF(OR($B164="",$A164&gt;$B$9,I$140=""),"",IF(COUNTIFS(BD!$B$3:$B$5001,I$140,BD!$A$3:$A$5001,"&gt;="&amp;$C$7,BD!$A$3:$A$5001,"&lt;="&amp;$B164,BD!$V$3:$V$5001,"&lt;&gt;")=0,"",SUMIFS(BD!$V$3:$V$5001,BD!$B$3:$B$5001,I$140,BD!$A$3:$A$5001,_xlfn.MAXIFS(BD!$A$3:$A$5001,BD!$B$3:$B$5001,I$140,BD!$A$3:$A$5001,"&gt;="&amp;$C$7,BD!$A$3:$A$5001,"&lt;="&amp;$B164,BD!$V$3:$V$5001,"&lt;&gt;"))))</f>
        <v/>
      </c>
      <c r="J164" s="54" t="str">
        <f>IF(OR($B164="",$A164&gt;$B$9,J$140=""),"",IF(COUNTIFS(BD!$B$3:$B$5001,J$140,BD!$A$3:$A$5001,"&gt;="&amp;$C$7,BD!$A$3:$A$5001,"&lt;="&amp;$B164,BD!$V$3:$V$5001,"&lt;&gt;")=0,"",SUMIFS(BD!$V$3:$V$5001,BD!$B$3:$B$5001,J$140,BD!$A$3:$A$5001,_xlfn.MAXIFS(BD!$A$3:$A$5001,BD!$B$3:$B$5001,J$140,BD!$A$3:$A$5001,"&gt;="&amp;$C$7,BD!$A$3:$A$5001,"&lt;="&amp;$B164,BD!$V$3:$V$5001,"&lt;&gt;"))))</f>
        <v/>
      </c>
      <c r="K164" s="54" t="str">
        <f>IF(OR($B164="",$A164&gt;$B$9,K$140=""),"",IF(COUNTIFS(BD!$B$3:$B$5001,K$140,BD!$A$3:$A$5001,"&gt;="&amp;$C$7,BD!$A$3:$A$5001,"&lt;="&amp;$B164,BD!$V$3:$V$5001,"&lt;&gt;")=0,"",SUMIFS(BD!$V$3:$V$5001,BD!$B$3:$B$5001,K$140,BD!$A$3:$A$5001,_xlfn.MAXIFS(BD!$A$3:$A$5001,BD!$B$3:$B$5001,K$140,BD!$A$3:$A$5001,"&gt;="&amp;$C$7,BD!$A$3:$A$5001,"&lt;="&amp;$B164,BD!$V$3:$V$5001,"&lt;&gt;"))))</f>
        <v/>
      </c>
      <c r="L164" s="54" t="str">
        <f>IF(OR($B164="",$A164&gt;$B$9,L$140=""),"",IF(COUNTIFS(BD!$B$3:$B$5001,L$140,BD!$A$3:$A$5001,"&gt;="&amp;$C$7,BD!$A$3:$A$5001,"&lt;="&amp;$B164,BD!$V$3:$V$5001,"&lt;&gt;")=0,"",SUMIFS(BD!$V$3:$V$5001,BD!$B$3:$B$5001,L$140,BD!$A$3:$A$5001,_xlfn.MAXIFS(BD!$A$3:$A$5001,BD!$B$3:$B$5001,L$140,BD!$A$3:$A$5001,"&gt;="&amp;$C$7,BD!$A$3:$A$5001,"&lt;="&amp;$B164,BD!$V$3:$V$5001,"&lt;&gt;"))))</f>
        <v/>
      </c>
      <c r="M164" s="54" t="str">
        <f>IF(OR($B164="",$A164&gt;$B$9,M$140=""),"",IF(COUNTIFS(BD!$B$3:$B$5001,M$140,BD!$A$3:$A$5001,"&gt;="&amp;$C$7,BD!$A$3:$A$5001,"&lt;="&amp;$B164,BD!$V$3:$V$5001,"&lt;&gt;")=0,"",SUMIFS(BD!$V$3:$V$5001,BD!$B$3:$B$5001,M$140,BD!$A$3:$A$5001,_xlfn.MAXIFS(BD!$A$3:$A$5001,BD!$B$3:$B$5001,M$140,BD!$A$3:$A$5001,"&gt;="&amp;$C$7,BD!$A$3:$A$5001,"&lt;="&amp;$B164,BD!$V$3:$V$5001,"&lt;&gt;"))))</f>
        <v/>
      </c>
      <c r="N164" s="54" t="str">
        <f>IF(OR($B164="",$A164&gt;$B$9,N$140=""),"",IF(COUNTIFS(BD!$B$3:$B$5001,N$140,BD!$A$3:$A$5001,"&gt;="&amp;$C$7,BD!$A$3:$A$5001,"&lt;="&amp;$B164,BD!$V$3:$V$5001,"&lt;&gt;")=0,"",SUMIFS(BD!$V$3:$V$5001,BD!$B$3:$B$5001,N$140,BD!$A$3:$A$5001,_xlfn.MAXIFS(BD!$A$3:$A$5001,BD!$B$3:$B$5001,N$140,BD!$A$3:$A$5001,"&gt;="&amp;$C$7,BD!$A$3:$A$5001,"&lt;="&amp;$B164,BD!$V$3:$V$5001,"&lt;&gt;"))))</f>
        <v/>
      </c>
      <c r="O164" s="54" t="str">
        <f>IF(OR($B164="",$A164&gt;$B$9,O$140=""),"",IF(COUNTIFS(BD!$B$3:$B$5001,O$140,BD!$A$3:$A$5001,"&gt;="&amp;$C$7,BD!$A$3:$A$5001,"&lt;="&amp;$B164,BD!$V$3:$V$5001,"&lt;&gt;")=0,"",SUMIFS(BD!$V$3:$V$5001,BD!$B$3:$B$5001,O$140,BD!$A$3:$A$5001,_xlfn.MAXIFS(BD!$A$3:$A$5001,BD!$B$3:$B$5001,O$140,BD!$A$3:$A$5001,"&gt;="&amp;$C$7,BD!$A$3:$A$5001,"&lt;="&amp;$B164,BD!$V$3:$V$5001,"&lt;&gt;"))))</f>
        <v/>
      </c>
      <c r="P164" s="54" t="str">
        <f>IF(OR($B164="",$A164&gt;$B$9,P$140=""),"",IF(COUNTIFS(BD!$B$3:$B$5001,P$140,BD!$A$3:$A$5001,"&gt;="&amp;$C$7,BD!$A$3:$A$5001,"&lt;="&amp;$B164,BD!$V$3:$V$5001,"&lt;&gt;")=0,"",SUMIFS(BD!$V$3:$V$5001,BD!$B$3:$B$5001,P$140,BD!$A$3:$A$5001,_xlfn.MAXIFS(BD!$A$3:$A$5001,BD!$B$3:$B$5001,P$140,BD!$A$3:$A$5001,"&gt;="&amp;$C$7,BD!$A$3:$A$5001,"&lt;="&amp;$B164,BD!$V$3:$V$5001,"&lt;&gt;"))))</f>
        <v/>
      </c>
      <c r="Q164" s="54" t="str">
        <f>IF(OR($B164="",$A164&gt;$B$9,Q$140=""),"",IF(COUNTIFS(BD!$B$3:$B$5001,Q$140,BD!$A$3:$A$5001,"&gt;="&amp;$C$7,BD!$A$3:$A$5001,"&lt;="&amp;$B164,BD!$V$3:$V$5001,"&lt;&gt;")=0,"",SUMIFS(BD!$V$3:$V$5001,BD!$B$3:$B$5001,Q$140,BD!$A$3:$A$5001,_xlfn.MAXIFS(BD!$A$3:$A$5001,BD!$B$3:$B$5001,Q$140,BD!$A$3:$A$5001,"&gt;="&amp;$C$7,BD!$A$3:$A$5001,"&lt;="&amp;$B164,BD!$V$3:$V$5001,"&lt;&gt;"))))</f>
        <v/>
      </c>
      <c r="R164" s="54" t="str">
        <f>IF(OR($B164="",$A164&gt;$B$9,R$140=""),"",IF(COUNTIFS(BD!$B$3:$B$5001,R$140,BD!$A$3:$A$5001,"&gt;="&amp;$C$7,BD!$A$3:$A$5001,"&lt;="&amp;$B164,BD!$V$3:$V$5001,"&lt;&gt;")=0,"",SUMIFS(BD!$V$3:$V$5001,BD!$B$3:$B$5001,R$140,BD!$A$3:$A$5001,_xlfn.MAXIFS(BD!$A$3:$A$5001,BD!$B$3:$B$5001,R$140,BD!$A$3:$A$5001,"&gt;="&amp;$C$7,BD!$A$3:$A$5001,"&lt;="&amp;$B164,BD!$V$3:$V$5001,"&lt;&gt;"))))</f>
        <v/>
      </c>
      <c r="S164" s="54" t="str">
        <f>IF(OR($B164="",$A164&gt;$B$9,S$140=""),"",IF(COUNTIFS(BD!$B$3:$B$5001,S$140,BD!$A$3:$A$5001,"&gt;="&amp;$C$7,BD!$A$3:$A$5001,"&lt;="&amp;$B164,BD!$V$3:$V$5001,"&lt;&gt;")=0,"",SUMIFS(BD!$V$3:$V$5001,BD!$B$3:$B$5001,S$140,BD!$A$3:$A$5001,_xlfn.MAXIFS(BD!$A$3:$A$5001,BD!$B$3:$B$5001,S$140,BD!$A$3:$A$5001,"&gt;="&amp;$C$7,BD!$A$3:$A$5001,"&lt;="&amp;$B164,BD!$V$3:$V$5001,"&lt;&gt;"))))</f>
        <v/>
      </c>
      <c r="T164" s="54" t="str">
        <f>IF(OR($B164="",$A164&gt;$B$9,T$140=""),"",IF(COUNTIFS(BD!$B$3:$B$5001,T$140,BD!$A$3:$A$5001,"&gt;="&amp;$C$7,BD!$A$3:$A$5001,"&lt;="&amp;$B164,BD!$V$3:$V$5001,"&lt;&gt;")=0,"",SUMIFS(BD!$V$3:$V$5001,BD!$B$3:$B$5001,T$140,BD!$A$3:$A$5001,_xlfn.MAXIFS(BD!$A$3:$A$5001,BD!$B$3:$B$5001,T$140,BD!$A$3:$A$5001,"&gt;="&amp;$C$7,BD!$A$3:$A$5001,"&lt;="&amp;$B164,BD!$V$3:$V$5001,"&lt;&gt;"))))</f>
        <v/>
      </c>
      <c r="U164" s="54" t="str">
        <f>IF(OR($B164="",$A164&gt;$B$9,U$140=""),"",IF(COUNTIFS(BD!$B$3:$B$5001,U$140,BD!$A$3:$A$5001,"&gt;="&amp;$C$7,BD!$A$3:$A$5001,"&lt;="&amp;$B164,BD!$V$3:$V$5001,"&lt;&gt;")=0,"",SUMIFS(BD!$V$3:$V$5001,BD!$B$3:$B$5001,U$140,BD!$A$3:$A$5001,_xlfn.MAXIFS(BD!$A$3:$A$5001,BD!$B$3:$B$5001,U$140,BD!$A$3:$A$5001,"&gt;="&amp;$C$7,BD!$A$3:$A$5001,"&lt;="&amp;$B164,BD!$V$3:$V$5001,"&lt;&gt;"))))</f>
        <v/>
      </c>
      <c r="V164" s="54" t="str">
        <f>IF(OR($B164="",$A164&gt;$B$9,V$140=""),"",IF(COUNTIFS(BD!$B$3:$B$5001,V$140,BD!$A$3:$A$5001,"&gt;="&amp;$C$7,BD!$A$3:$A$5001,"&lt;="&amp;$B164,BD!$V$3:$V$5001,"&lt;&gt;")=0,"",SUMIFS(BD!$V$3:$V$5001,BD!$B$3:$B$5001,V$140,BD!$A$3:$A$5001,_xlfn.MAXIFS(BD!$A$3:$A$5001,BD!$B$3:$B$5001,V$140,BD!$A$3:$A$5001,"&gt;="&amp;$C$7,BD!$A$3:$A$5001,"&lt;="&amp;$B164,BD!$V$3:$V$5001,"&lt;&gt;"))))</f>
        <v/>
      </c>
    </row>
    <row r="165">
      <c r="A165" s="48">
        <v>25</v>
      </c>
      <c r="B165" s="53">
        <f>$B$36</f>
        <v>46320</v>
      </c>
      <c r="C165" s="54" t="str">
        <f>IF(OR($B165="",$A165&gt;$B$9,C$140=""),"",IF(COUNTIFS(BD!$B$3:$B$5001,C$140,BD!$A$3:$A$5001,"&gt;="&amp;$C$7,BD!$A$3:$A$5001,"&lt;="&amp;$B165,BD!$V$3:$V$5001,"&lt;&gt;")=0,"",SUMIFS(BD!$V$3:$V$5001,BD!$B$3:$B$5001,C$140,BD!$A$3:$A$5001,_xlfn.MAXIFS(BD!$A$3:$A$5001,BD!$B$3:$B$5001,C$140,BD!$A$3:$A$5001,"&gt;="&amp;$C$7,BD!$A$3:$A$5001,"&lt;="&amp;$B165,BD!$V$3:$V$5001,"&lt;&gt;"))))</f>
        <v/>
      </c>
      <c r="D165" s="54" t="str">
        <f>IF(OR($B165="",$A165&gt;$B$9,D$140=""),"",IF(COUNTIFS(BD!$B$3:$B$5001,D$140,BD!$A$3:$A$5001,"&gt;="&amp;$C$7,BD!$A$3:$A$5001,"&lt;="&amp;$B165,BD!$V$3:$V$5001,"&lt;&gt;")=0,"",SUMIFS(BD!$V$3:$V$5001,BD!$B$3:$B$5001,D$140,BD!$A$3:$A$5001,_xlfn.MAXIFS(BD!$A$3:$A$5001,BD!$B$3:$B$5001,D$140,BD!$A$3:$A$5001,"&gt;="&amp;$C$7,BD!$A$3:$A$5001,"&lt;="&amp;$B165,BD!$V$3:$V$5001,"&lt;&gt;"))))</f>
        <v/>
      </c>
      <c r="E165" s="54" t="str">
        <f>IF(OR($B165="",$A165&gt;$B$9,E$140=""),"",IF(COUNTIFS(BD!$B$3:$B$5001,E$140,BD!$A$3:$A$5001,"&gt;="&amp;$C$7,BD!$A$3:$A$5001,"&lt;="&amp;$B165,BD!$V$3:$V$5001,"&lt;&gt;")=0,"",SUMIFS(BD!$V$3:$V$5001,BD!$B$3:$B$5001,E$140,BD!$A$3:$A$5001,_xlfn.MAXIFS(BD!$A$3:$A$5001,BD!$B$3:$B$5001,E$140,BD!$A$3:$A$5001,"&gt;="&amp;$C$7,BD!$A$3:$A$5001,"&lt;="&amp;$B165,BD!$V$3:$V$5001,"&lt;&gt;"))))</f>
        <v/>
      </c>
      <c r="F165" s="54" t="str">
        <f>IF(OR($B165="",$A165&gt;$B$9,F$140=""),"",IF(COUNTIFS(BD!$B$3:$B$5001,F$140,BD!$A$3:$A$5001,"&gt;="&amp;$C$7,BD!$A$3:$A$5001,"&lt;="&amp;$B165,BD!$V$3:$V$5001,"&lt;&gt;")=0,"",SUMIFS(BD!$V$3:$V$5001,BD!$B$3:$B$5001,F$140,BD!$A$3:$A$5001,_xlfn.MAXIFS(BD!$A$3:$A$5001,BD!$B$3:$B$5001,F$140,BD!$A$3:$A$5001,"&gt;="&amp;$C$7,BD!$A$3:$A$5001,"&lt;="&amp;$B165,BD!$V$3:$V$5001,"&lt;&gt;"))))</f>
        <v/>
      </c>
      <c r="G165" s="54" t="str">
        <f>IF(OR($B165="",$A165&gt;$B$9,G$140=""),"",IF(COUNTIFS(BD!$B$3:$B$5001,G$140,BD!$A$3:$A$5001,"&gt;="&amp;$C$7,BD!$A$3:$A$5001,"&lt;="&amp;$B165,BD!$V$3:$V$5001,"&lt;&gt;")=0,"",SUMIFS(BD!$V$3:$V$5001,BD!$B$3:$B$5001,G$140,BD!$A$3:$A$5001,_xlfn.MAXIFS(BD!$A$3:$A$5001,BD!$B$3:$B$5001,G$140,BD!$A$3:$A$5001,"&gt;="&amp;$C$7,BD!$A$3:$A$5001,"&lt;="&amp;$B165,BD!$V$3:$V$5001,"&lt;&gt;"))))</f>
        <v/>
      </c>
      <c r="H165" s="54" t="str">
        <f>IF(OR($B165="",$A165&gt;$B$9,H$140=""),"",IF(COUNTIFS(BD!$B$3:$B$5001,H$140,BD!$A$3:$A$5001,"&gt;="&amp;$C$7,BD!$A$3:$A$5001,"&lt;="&amp;$B165,BD!$V$3:$V$5001,"&lt;&gt;")=0,"",SUMIFS(BD!$V$3:$V$5001,BD!$B$3:$B$5001,H$140,BD!$A$3:$A$5001,_xlfn.MAXIFS(BD!$A$3:$A$5001,BD!$B$3:$B$5001,H$140,BD!$A$3:$A$5001,"&gt;="&amp;$C$7,BD!$A$3:$A$5001,"&lt;="&amp;$B165,BD!$V$3:$V$5001,"&lt;&gt;"))))</f>
        <v/>
      </c>
      <c r="I165" s="54" t="str">
        <f>IF(OR($B165="",$A165&gt;$B$9,I$140=""),"",IF(COUNTIFS(BD!$B$3:$B$5001,I$140,BD!$A$3:$A$5001,"&gt;="&amp;$C$7,BD!$A$3:$A$5001,"&lt;="&amp;$B165,BD!$V$3:$V$5001,"&lt;&gt;")=0,"",SUMIFS(BD!$V$3:$V$5001,BD!$B$3:$B$5001,I$140,BD!$A$3:$A$5001,_xlfn.MAXIFS(BD!$A$3:$A$5001,BD!$B$3:$B$5001,I$140,BD!$A$3:$A$5001,"&gt;="&amp;$C$7,BD!$A$3:$A$5001,"&lt;="&amp;$B165,BD!$V$3:$V$5001,"&lt;&gt;"))))</f>
        <v/>
      </c>
      <c r="J165" s="54" t="str">
        <f>IF(OR($B165="",$A165&gt;$B$9,J$140=""),"",IF(COUNTIFS(BD!$B$3:$B$5001,J$140,BD!$A$3:$A$5001,"&gt;="&amp;$C$7,BD!$A$3:$A$5001,"&lt;="&amp;$B165,BD!$V$3:$V$5001,"&lt;&gt;")=0,"",SUMIFS(BD!$V$3:$V$5001,BD!$B$3:$B$5001,J$140,BD!$A$3:$A$5001,_xlfn.MAXIFS(BD!$A$3:$A$5001,BD!$B$3:$B$5001,J$140,BD!$A$3:$A$5001,"&gt;="&amp;$C$7,BD!$A$3:$A$5001,"&lt;="&amp;$B165,BD!$V$3:$V$5001,"&lt;&gt;"))))</f>
        <v/>
      </c>
      <c r="K165" s="54" t="str">
        <f>IF(OR($B165="",$A165&gt;$B$9,K$140=""),"",IF(COUNTIFS(BD!$B$3:$B$5001,K$140,BD!$A$3:$A$5001,"&gt;="&amp;$C$7,BD!$A$3:$A$5001,"&lt;="&amp;$B165,BD!$V$3:$V$5001,"&lt;&gt;")=0,"",SUMIFS(BD!$V$3:$V$5001,BD!$B$3:$B$5001,K$140,BD!$A$3:$A$5001,_xlfn.MAXIFS(BD!$A$3:$A$5001,BD!$B$3:$B$5001,K$140,BD!$A$3:$A$5001,"&gt;="&amp;$C$7,BD!$A$3:$A$5001,"&lt;="&amp;$B165,BD!$V$3:$V$5001,"&lt;&gt;"))))</f>
        <v/>
      </c>
      <c r="L165" s="54" t="str">
        <f>IF(OR($B165="",$A165&gt;$B$9,L$140=""),"",IF(COUNTIFS(BD!$B$3:$B$5001,L$140,BD!$A$3:$A$5001,"&gt;="&amp;$C$7,BD!$A$3:$A$5001,"&lt;="&amp;$B165,BD!$V$3:$V$5001,"&lt;&gt;")=0,"",SUMIFS(BD!$V$3:$V$5001,BD!$B$3:$B$5001,L$140,BD!$A$3:$A$5001,_xlfn.MAXIFS(BD!$A$3:$A$5001,BD!$B$3:$B$5001,L$140,BD!$A$3:$A$5001,"&gt;="&amp;$C$7,BD!$A$3:$A$5001,"&lt;="&amp;$B165,BD!$V$3:$V$5001,"&lt;&gt;"))))</f>
        <v/>
      </c>
      <c r="M165" s="54" t="str">
        <f>IF(OR($B165="",$A165&gt;$B$9,M$140=""),"",IF(COUNTIFS(BD!$B$3:$B$5001,M$140,BD!$A$3:$A$5001,"&gt;="&amp;$C$7,BD!$A$3:$A$5001,"&lt;="&amp;$B165,BD!$V$3:$V$5001,"&lt;&gt;")=0,"",SUMIFS(BD!$V$3:$V$5001,BD!$B$3:$B$5001,M$140,BD!$A$3:$A$5001,_xlfn.MAXIFS(BD!$A$3:$A$5001,BD!$B$3:$B$5001,M$140,BD!$A$3:$A$5001,"&gt;="&amp;$C$7,BD!$A$3:$A$5001,"&lt;="&amp;$B165,BD!$V$3:$V$5001,"&lt;&gt;"))))</f>
        <v/>
      </c>
      <c r="N165" s="54" t="str">
        <f>IF(OR($B165="",$A165&gt;$B$9,N$140=""),"",IF(COUNTIFS(BD!$B$3:$B$5001,N$140,BD!$A$3:$A$5001,"&gt;="&amp;$C$7,BD!$A$3:$A$5001,"&lt;="&amp;$B165,BD!$V$3:$V$5001,"&lt;&gt;")=0,"",SUMIFS(BD!$V$3:$V$5001,BD!$B$3:$B$5001,N$140,BD!$A$3:$A$5001,_xlfn.MAXIFS(BD!$A$3:$A$5001,BD!$B$3:$B$5001,N$140,BD!$A$3:$A$5001,"&gt;="&amp;$C$7,BD!$A$3:$A$5001,"&lt;="&amp;$B165,BD!$V$3:$V$5001,"&lt;&gt;"))))</f>
        <v/>
      </c>
      <c r="O165" s="54" t="str">
        <f>IF(OR($B165="",$A165&gt;$B$9,O$140=""),"",IF(COUNTIFS(BD!$B$3:$B$5001,O$140,BD!$A$3:$A$5001,"&gt;="&amp;$C$7,BD!$A$3:$A$5001,"&lt;="&amp;$B165,BD!$V$3:$V$5001,"&lt;&gt;")=0,"",SUMIFS(BD!$V$3:$V$5001,BD!$B$3:$B$5001,O$140,BD!$A$3:$A$5001,_xlfn.MAXIFS(BD!$A$3:$A$5001,BD!$B$3:$B$5001,O$140,BD!$A$3:$A$5001,"&gt;="&amp;$C$7,BD!$A$3:$A$5001,"&lt;="&amp;$B165,BD!$V$3:$V$5001,"&lt;&gt;"))))</f>
        <v/>
      </c>
      <c r="P165" s="54" t="str">
        <f>IF(OR($B165="",$A165&gt;$B$9,P$140=""),"",IF(COUNTIFS(BD!$B$3:$B$5001,P$140,BD!$A$3:$A$5001,"&gt;="&amp;$C$7,BD!$A$3:$A$5001,"&lt;="&amp;$B165,BD!$V$3:$V$5001,"&lt;&gt;")=0,"",SUMIFS(BD!$V$3:$V$5001,BD!$B$3:$B$5001,P$140,BD!$A$3:$A$5001,_xlfn.MAXIFS(BD!$A$3:$A$5001,BD!$B$3:$B$5001,P$140,BD!$A$3:$A$5001,"&gt;="&amp;$C$7,BD!$A$3:$A$5001,"&lt;="&amp;$B165,BD!$V$3:$V$5001,"&lt;&gt;"))))</f>
        <v/>
      </c>
      <c r="Q165" s="54" t="str">
        <f>IF(OR($B165="",$A165&gt;$B$9,Q$140=""),"",IF(COUNTIFS(BD!$B$3:$B$5001,Q$140,BD!$A$3:$A$5001,"&gt;="&amp;$C$7,BD!$A$3:$A$5001,"&lt;="&amp;$B165,BD!$V$3:$V$5001,"&lt;&gt;")=0,"",SUMIFS(BD!$V$3:$V$5001,BD!$B$3:$B$5001,Q$140,BD!$A$3:$A$5001,_xlfn.MAXIFS(BD!$A$3:$A$5001,BD!$B$3:$B$5001,Q$140,BD!$A$3:$A$5001,"&gt;="&amp;$C$7,BD!$A$3:$A$5001,"&lt;="&amp;$B165,BD!$V$3:$V$5001,"&lt;&gt;"))))</f>
        <v/>
      </c>
      <c r="R165" s="54" t="str">
        <f>IF(OR($B165="",$A165&gt;$B$9,R$140=""),"",IF(COUNTIFS(BD!$B$3:$B$5001,R$140,BD!$A$3:$A$5001,"&gt;="&amp;$C$7,BD!$A$3:$A$5001,"&lt;="&amp;$B165,BD!$V$3:$V$5001,"&lt;&gt;")=0,"",SUMIFS(BD!$V$3:$V$5001,BD!$B$3:$B$5001,R$140,BD!$A$3:$A$5001,_xlfn.MAXIFS(BD!$A$3:$A$5001,BD!$B$3:$B$5001,R$140,BD!$A$3:$A$5001,"&gt;="&amp;$C$7,BD!$A$3:$A$5001,"&lt;="&amp;$B165,BD!$V$3:$V$5001,"&lt;&gt;"))))</f>
        <v/>
      </c>
      <c r="S165" s="54" t="str">
        <f>IF(OR($B165="",$A165&gt;$B$9,S$140=""),"",IF(COUNTIFS(BD!$B$3:$B$5001,S$140,BD!$A$3:$A$5001,"&gt;="&amp;$C$7,BD!$A$3:$A$5001,"&lt;="&amp;$B165,BD!$V$3:$V$5001,"&lt;&gt;")=0,"",SUMIFS(BD!$V$3:$V$5001,BD!$B$3:$B$5001,S$140,BD!$A$3:$A$5001,_xlfn.MAXIFS(BD!$A$3:$A$5001,BD!$B$3:$B$5001,S$140,BD!$A$3:$A$5001,"&gt;="&amp;$C$7,BD!$A$3:$A$5001,"&lt;="&amp;$B165,BD!$V$3:$V$5001,"&lt;&gt;"))))</f>
        <v/>
      </c>
      <c r="T165" s="54" t="str">
        <f>IF(OR($B165="",$A165&gt;$B$9,T$140=""),"",IF(COUNTIFS(BD!$B$3:$B$5001,T$140,BD!$A$3:$A$5001,"&gt;="&amp;$C$7,BD!$A$3:$A$5001,"&lt;="&amp;$B165,BD!$V$3:$V$5001,"&lt;&gt;")=0,"",SUMIFS(BD!$V$3:$V$5001,BD!$B$3:$B$5001,T$140,BD!$A$3:$A$5001,_xlfn.MAXIFS(BD!$A$3:$A$5001,BD!$B$3:$B$5001,T$140,BD!$A$3:$A$5001,"&gt;="&amp;$C$7,BD!$A$3:$A$5001,"&lt;="&amp;$B165,BD!$V$3:$V$5001,"&lt;&gt;"))))</f>
        <v/>
      </c>
      <c r="U165" s="54" t="str">
        <f>IF(OR($B165="",$A165&gt;$B$9,U$140=""),"",IF(COUNTIFS(BD!$B$3:$B$5001,U$140,BD!$A$3:$A$5001,"&gt;="&amp;$C$7,BD!$A$3:$A$5001,"&lt;="&amp;$B165,BD!$V$3:$V$5001,"&lt;&gt;")=0,"",SUMIFS(BD!$V$3:$V$5001,BD!$B$3:$B$5001,U$140,BD!$A$3:$A$5001,_xlfn.MAXIFS(BD!$A$3:$A$5001,BD!$B$3:$B$5001,U$140,BD!$A$3:$A$5001,"&gt;="&amp;$C$7,BD!$A$3:$A$5001,"&lt;="&amp;$B165,BD!$V$3:$V$5001,"&lt;&gt;"))))</f>
        <v/>
      </c>
      <c r="V165" s="54" t="str">
        <f>IF(OR($B165="",$A165&gt;$B$9,V$140=""),"",IF(COUNTIFS(BD!$B$3:$B$5001,V$140,BD!$A$3:$A$5001,"&gt;="&amp;$C$7,BD!$A$3:$A$5001,"&lt;="&amp;$B165,BD!$V$3:$V$5001,"&lt;&gt;")=0,"",SUMIFS(BD!$V$3:$V$5001,BD!$B$3:$B$5001,V$140,BD!$A$3:$A$5001,_xlfn.MAXIFS(BD!$A$3:$A$5001,BD!$B$3:$B$5001,V$140,BD!$A$3:$A$5001,"&gt;="&amp;$C$7,BD!$A$3:$A$5001,"&lt;="&amp;$B165,BD!$V$3:$V$5001,"&lt;&gt;"))))</f>
        <v/>
      </c>
    </row>
    <row r="166">
      <c r="A166" s="48">
        <v>26</v>
      </c>
      <c r="B166" s="53">
        <f>$B$37</f>
        <v>46321</v>
      </c>
      <c r="C166" s="54" t="str">
        <f>IF(OR($B166="",$A166&gt;$B$9,C$140=""),"",IF(COUNTIFS(BD!$B$3:$B$5001,C$140,BD!$A$3:$A$5001,"&gt;="&amp;$C$7,BD!$A$3:$A$5001,"&lt;="&amp;$B166,BD!$V$3:$V$5001,"&lt;&gt;")=0,"",SUMIFS(BD!$V$3:$V$5001,BD!$B$3:$B$5001,C$140,BD!$A$3:$A$5001,_xlfn.MAXIFS(BD!$A$3:$A$5001,BD!$B$3:$B$5001,C$140,BD!$A$3:$A$5001,"&gt;="&amp;$C$7,BD!$A$3:$A$5001,"&lt;="&amp;$B166,BD!$V$3:$V$5001,"&lt;&gt;"))))</f>
        <v/>
      </c>
      <c r="D166" s="54" t="str">
        <f>IF(OR($B166="",$A166&gt;$B$9,D$140=""),"",IF(COUNTIFS(BD!$B$3:$B$5001,D$140,BD!$A$3:$A$5001,"&gt;="&amp;$C$7,BD!$A$3:$A$5001,"&lt;="&amp;$B166,BD!$V$3:$V$5001,"&lt;&gt;")=0,"",SUMIFS(BD!$V$3:$V$5001,BD!$B$3:$B$5001,D$140,BD!$A$3:$A$5001,_xlfn.MAXIFS(BD!$A$3:$A$5001,BD!$B$3:$B$5001,D$140,BD!$A$3:$A$5001,"&gt;="&amp;$C$7,BD!$A$3:$A$5001,"&lt;="&amp;$B166,BD!$V$3:$V$5001,"&lt;&gt;"))))</f>
        <v/>
      </c>
      <c r="E166" s="54" t="str">
        <f>IF(OR($B166="",$A166&gt;$B$9,E$140=""),"",IF(COUNTIFS(BD!$B$3:$B$5001,E$140,BD!$A$3:$A$5001,"&gt;="&amp;$C$7,BD!$A$3:$A$5001,"&lt;="&amp;$B166,BD!$V$3:$V$5001,"&lt;&gt;")=0,"",SUMIFS(BD!$V$3:$V$5001,BD!$B$3:$B$5001,E$140,BD!$A$3:$A$5001,_xlfn.MAXIFS(BD!$A$3:$A$5001,BD!$B$3:$B$5001,E$140,BD!$A$3:$A$5001,"&gt;="&amp;$C$7,BD!$A$3:$A$5001,"&lt;="&amp;$B166,BD!$V$3:$V$5001,"&lt;&gt;"))))</f>
        <v/>
      </c>
      <c r="F166" s="54" t="str">
        <f>IF(OR($B166="",$A166&gt;$B$9,F$140=""),"",IF(COUNTIFS(BD!$B$3:$B$5001,F$140,BD!$A$3:$A$5001,"&gt;="&amp;$C$7,BD!$A$3:$A$5001,"&lt;="&amp;$B166,BD!$V$3:$V$5001,"&lt;&gt;")=0,"",SUMIFS(BD!$V$3:$V$5001,BD!$B$3:$B$5001,F$140,BD!$A$3:$A$5001,_xlfn.MAXIFS(BD!$A$3:$A$5001,BD!$B$3:$B$5001,F$140,BD!$A$3:$A$5001,"&gt;="&amp;$C$7,BD!$A$3:$A$5001,"&lt;="&amp;$B166,BD!$V$3:$V$5001,"&lt;&gt;"))))</f>
        <v/>
      </c>
      <c r="G166" s="54" t="str">
        <f>IF(OR($B166="",$A166&gt;$B$9,G$140=""),"",IF(COUNTIFS(BD!$B$3:$B$5001,G$140,BD!$A$3:$A$5001,"&gt;="&amp;$C$7,BD!$A$3:$A$5001,"&lt;="&amp;$B166,BD!$V$3:$V$5001,"&lt;&gt;")=0,"",SUMIFS(BD!$V$3:$V$5001,BD!$B$3:$B$5001,G$140,BD!$A$3:$A$5001,_xlfn.MAXIFS(BD!$A$3:$A$5001,BD!$B$3:$B$5001,G$140,BD!$A$3:$A$5001,"&gt;="&amp;$C$7,BD!$A$3:$A$5001,"&lt;="&amp;$B166,BD!$V$3:$V$5001,"&lt;&gt;"))))</f>
        <v/>
      </c>
      <c r="H166" s="54" t="str">
        <f>IF(OR($B166="",$A166&gt;$B$9,H$140=""),"",IF(COUNTIFS(BD!$B$3:$B$5001,H$140,BD!$A$3:$A$5001,"&gt;="&amp;$C$7,BD!$A$3:$A$5001,"&lt;="&amp;$B166,BD!$V$3:$V$5001,"&lt;&gt;")=0,"",SUMIFS(BD!$V$3:$V$5001,BD!$B$3:$B$5001,H$140,BD!$A$3:$A$5001,_xlfn.MAXIFS(BD!$A$3:$A$5001,BD!$B$3:$B$5001,H$140,BD!$A$3:$A$5001,"&gt;="&amp;$C$7,BD!$A$3:$A$5001,"&lt;="&amp;$B166,BD!$V$3:$V$5001,"&lt;&gt;"))))</f>
        <v/>
      </c>
      <c r="I166" s="54" t="str">
        <f>IF(OR($B166="",$A166&gt;$B$9,I$140=""),"",IF(COUNTIFS(BD!$B$3:$B$5001,I$140,BD!$A$3:$A$5001,"&gt;="&amp;$C$7,BD!$A$3:$A$5001,"&lt;="&amp;$B166,BD!$V$3:$V$5001,"&lt;&gt;")=0,"",SUMIFS(BD!$V$3:$V$5001,BD!$B$3:$B$5001,I$140,BD!$A$3:$A$5001,_xlfn.MAXIFS(BD!$A$3:$A$5001,BD!$B$3:$B$5001,I$140,BD!$A$3:$A$5001,"&gt;="&amp;$C$7,BD!$A$3:$A$5001,"&lt;="&amp;$B166,BD!$V$3:$V$5001,"&lt;&gt;"))))</f>
        <v/>
      </c>
      <c r="J166" s="54" t="str">
        <f>IF(OR($B166="",$A166&gt;$B$9,J$140=""),"",IF(COUNTIFS(BD!$B$3:$B$5001,J$140,BD!$A$3:$A$5001,"&gt;="&amp;$C$7,BD!$A$3:$A$5001,"&lt;="&amp;$B166,BD!$V$3:$V$5001,"&lt;&gt;")=0,"",SUMIFS(BD!$V$3:$V$5001,BD!$B$3:$B$5001,J$140,BD!$A$3:$A$5001,_xlfn.MAXIFS(BD!$A$3:$A$5001,BD!$B$3:$B$5001,J$140,BD!$A$3:$A$5001,"&gt;="&amp;$C$7,BD!$A$3:$A$5001,"&lt;="&amp;$B166,BD!$V$3:$V$5001,"&lt;&gt;"))))</f>
        <v/>
      </c>
      <c r="K166" s="54" t="str">
        <f>IF(OR($B166="",$A166&gt;$B$9,K$140=""),"",IF(COUNTIFS(BD!$B$3:$B$5001,K$140,BD!$A$3:$A$5001,"&gt;="&amp;$C$7,BD!$A$3:$A$5001,"&lt;="&amp;$B166,BD!$V$3:$V$5001,"&lt;&gt;")=0,"",SUMIFS(BD!$V$3:$V$5001,BD!$B$3:$B$5001,K$140,BD!$A$3:$A$5001,_xlfn.MAXIFS(BD!$A$3:$A$5001,BD!$B$3:$B$5001,K$140,BD!$A$3:$A$5001,"&gt;="&amp;$C$7,BD!$A$3:$A$5001,"&lt;="&amp;$B166,BD!$V$3:$V$5001,"&lt;&gt;"))))</f>
        <v/>
      </c>
      <c r="L166" s="54" t="str">
        <f>IF(OR($B166="",$A166&gt;$B$9,L$140=""),"",IF(COUNTIFS(BD!$B$3:$B$5001,L$140,BD!$A$3:$A$5001,"&gt;="&amp;$C$7,BD!$A$3:$A$5001,"&lt;="&amp;$B166,BD!$V$3:$V$5001,"&lt;&gt;")=0,"",SUMIFS(BD!$V$3:$V$5001,BD!$B$3:$B$5001,L$140,BD!$A$3:$A$5001,_xlfn.MAXIFS(BD!$A$3:$A$5001,BD!$B$3:$B$5001,L$140,BD!$A$3:$A$5001,"&gt;="&amp;$C$7,BD!$A$3:$A$5001,"&lt;="&amp;$B166,BD!$V$3:$V$5001,"&lt;&gt;"))))</f>
        <v/>
      </c>
      <c r="M166" s="54" t="str">
        <f>IF(OR($B166="",$A166&gt;$B$9,M$140=""),"",IF(COUNTIFS(BD!$B$3:$B$5001,M$140,BD!$A$3:$A$5001,"&gt;="&amp;$C$7,BD!$A$3:$A$5001,"&lt;="&amp;$B166,BD!$V$3:$V$5001,"&lt;&gt;")=0,"",SUMIFS(BD!$V$3:$V$5001,BD!$B$3:$B$5001,M$140,BD!$A$3:$A$5001,_xlfn.MAXIFS(BD!$A$3:$A$5001,BD!$B$3:$B$5001,M$140,BD!$A$3:$A$5001,"&gt;="&amp;$C$7,BD!$A$3:$A$5001,"&lt;="&amp;$B166,BD!$V$3:$V$5001,"&lt;&gt;"))))</f>
        <v/>
      </c>
      <c r="N166" s="54" t="str">
        <f>IF(OR($B166="",$A166&gt;$B$9,N$140=""),"",IF(COUNTIFS(BD!$B$3:$B$5001,N$140,BD!$A$3:$A$5001,"&gt;="&amp;$C$7,BD!$A$3:$A$5001,"&lt;="&amp;$B166,BD!$V$3:$V$5001,"&lt;&gt;")=0,"",SUMIFS(BD!$V$3:$V$5001,BD!$B$3:$B$5001,N$140,BD!$A$3:$A$5001,_xlfn.MAXIFS(BD!$A$3:$A$5001,BD!$B$3:$B$5001,N$140,BD!$A$3:$A$5001,"&gt;="&amp;$C$7,BD!$A$3:$A$5001,"&lt;="&amp;$B166,BD!$V$3:$V$5001,"&lt;&gt;"))))</f>
        <v/>
      </c>
      <c r="O166" s="54" t="str">
        <f>IF(OR($B166="",$A166&gt;$B$9,O$140=""),"",IF(COUNTIFS(BD!$B$3:$B$5001,O$140,BD!$A$3:$A$5001,"&gt;="&amp;$C$7,BD!$A$3:$A$5001,"&lt;="&amp;$B166,BD!$V$3:$V$5001,"&lt;&gt;")=0,"",SUMIFS(BD!$V$3:$V$5001,BD!$B$3:$B$5001,O$140,BD!$A$3:$A$5001,_xlfn.MAXIFS(BD!$A$3:$A$5001,BD!$B$3:$B$5001,O$140,BD!$A$3:$A$5001,"&gt;="&amp;$C$7,BD!$A$3:$A$5001,"&lt;="&amp;$B166,BD!$V$3:$V$5001,"&lt;&gt;"))))</f>
        <v/>
      </c>
      <c r="P166" s="54" t="str">
        <f>IF(OR($B166="",$A166&gt;$B$9,P$140=""),"",IF(COUNTIFS(BD!$B$3:$B$5001,P$140,BD!$A$3:$A$5001,"&gt;="&amp;$C$7,BD!$A$3:$A$5001,"&lt;="&amp;$B166,BD!$V$3:$V$5001,"&lt;&gt;")=0,"",SUMIFS(BD!$V$3:$V$5001,BD!$B$3:$B$5001,P$140,BD!$A$3:$A$5001,_xlfn.MAXIFS(BD!$A$3:$A$5001,BD!$B$3:$B$5001,P$140,BD!$A$3:$A$5001,"&gt;="&amp;$C$7,BD!$A$3:$A$5001,"&lt;="&amp;$B166,BD!$V$3:$V$5001,"&lt;&gt;"))))</f>
        <v/>
      </c>
      <c r="Q166" s="54" t="str">
        <f>IF(OR($B166="",$A166&gt;$B$9,Q$140=""),"",IF(COUNTIFS(BD!$B$3:$B$5001,Q$140,BD!$A$3:$A$5001,"&gt;="&amp;$C$7,BD!$A$3:$A$5001,"&lt;="&amp;$B166,BD!$V$3:$V$5001,"&lt;&gt;")=0,"",SUMIFS(BD!$V$3:$V$5001,BD!$B$3:$B$5001,Q$140,BD!$A$3:$A$5001,_xlfn.MAXIFS(BD!$A$3:$A$5001,BD!$B$3:$B$5001,Q$140,BD!$A$3:$A$5001,"&gt;="&amp;$C$7,BD!$A$3:$A$5001,"&lt;="&amp;$B166,BD!$V$3:$V$5001,"&lt;&gt;"))))</f>
        <v/>
      </c>
      <c r="R166" s="54" t="str">
        <f>IF(OR($B166="",$A166&gt;$B$9,R$140=""),"",IF(COUNTIFS(BD!$B$3:$B$5001,R$140,BD!$A$3:$A$5001,"&gt;="&amp;$C$7,BD!$A$3:$A$5001,"&lt;="&amp;$B166,BD!$V$3:$V$5001,"&lt;&gt;")=0,"",SUMIFS(BD!$V$3:$V$5001,BD!$B$3:$B$5001,R$140,BD!$A$3:$A$5001,_xlfn.MAXIFS(BD!$A$3:$A$5001,BD!$B$3:$B$5001,R$140,BD!$A$3:$A$5001,"&gt;="&amp;$C$7,BD!$A$3:$A$5001,"&lt;="&amp;$B166,BD!$V$3:$V$5001,"&lt;&gt;"))))</f>
        <v/>
      </c>
      <c r="S166" s="54" t="str">
        <f>IF(OR($B166="",$A166&gt;$B$9,S$140=""),"",IF(COUNTIFS(BD!$B$3:$B$5001,S$140,BD!$A$3:$A$5001,"&gt;="&amp;$C$7,BD!$A$3:$A$5001,"&lt;="&amp;$B166,BD!$V$3:$V$5001,"&lt;&gt;")=0,"",SUMIFS(BD!$V$3:$V$5001,BD!$B$3:$B$5001,S$140,BD!$A$3:$A$5001,_xlfn.MAXIFS(BD!$A$3:$A$5001,BD!$B$3:$B$5001,S$140,BD!$A$3:$A$5001,"&gt;="&amp;$C$7,BD!$A$3:$A$5001,"&lt;="&amp;$B166,BD!$V$3:$V$5001,"&lt;&gt;"))))</f>
        <v/>
      </c>
      <c r="T166" s="54" t="str">
        <f>IF(OR($B166="",$A166&gt;$B$9,T$140=""),"",IF(COUNTIFS(BD!$B$3:$B$5001,T$140,BD!$A$3:$A$5001,"&gt;="&amp;$C$7,BD!$A$3:$A$5001,"&lt;="&amp;$B166,BD!$V$3:$V$5001,"&lt;&gt;")=0,"",SUMIFS(BD!$V$3:$V$5001,BD!$B$3:$B$5001,T$140,BD!$A$3:$A$5001,_xlfn.MAXIFS(BD!$A$3:$A$5001,BD!$B$3:$B$5001,T$140,BD!$A$3:$A$5001,"&gt;="&amp;$C$7,BD!$A$3:$A$5001,"&lt;="&amp;$B166,BD!$V$3:$V$5001,"&lt;&gt;"))))</f>
        <v/>
      </c>
      <c r="U166" s="54" t="str">
        <f>IF(OR($B166="",$A166&gt;$B$9,U$140=""),"",IF(COUNTIFS(BD!$B$3:$B$5001,U$140,BD!$A$3:$A$5001,"&gt;="&amp;$C$7,BD!$A$3:$A$5001,"&lt;="&amp;$B166,BD!$V$3:$V$5001,"&lt;&gt;")=0,"",SUMIFS(BD!$V$3:$V$5001,BD!$B$3:$B$5001,U$140,BD!$A$3:$A$5001,_xlfn.MAXIFS(BD!$A$3:$A$5001,BD!$B$3:$B$5001,U$140,BD!$A$3:$A$5001,"&gt;="&amp;$C$7,BD!$A$3:$A$5001,"&lt;="&amp;$B166,BD!$V$3:$V$5001,"&lt;&gt;"))))</f>
        <v/>
      </c>
      <c r="V166" s="54" t="str">
        <f>IF(OR($B166="",$A166&gt;$B$9,V$140=""),"",IF(COUNTIFS(BD!$B$3:$B$5001,V$140,BD!$A$3:$A$5001,"&gt;="&amp;$C$7,BD!$A$3:$A$5001,"&lt;="&amp;$B166,BD!$V$3:$V$5001,"&lt;&gt;")=0,"",SUMIFS(BD!$V$3:$V$5001,BD!$B$3:$B$5001,V$140,BD!$A$3:$A$5001,_xlfn.MAXIFS(BD!$A$3:$A$5001,BD!$B$3:$B$5001,V$140,BD!$A$3:$A$5001,"&gt;="&amp;$C$7,BD!$A$3:$A$5001,"&lt;="&amp;$B166,BD!$V$3:$V$5001,"&lt;&gt;"))))</f>
        <v/>
      </c>
    </row>
    <row r="167">
      <c r="A167" s="48">
        <v>27</v>
      </c>
      <c r="B167" s="53">
        <f>$B$38</f>
        <v>46322</v>
      </c>
      <c r="C167" s="54" t="str">
        <f>IF(OR($B167="",$A167&gt;$B$9,C$140=""),"",IF(COUNTIFS(BD!$B$3:$B$5001,C$140,BD!$A$3:$A$5001,"&gt;="&amp;$C$7,BD!$A$3:$A$5001,"&lt;="&amp;$B167,BD!$V$3:$V$5001,"&lt;&gt;")=0,"",SUMIFS(BD!$V$3:$V$5001,BD!$B$3:$B$5001,C$140,BD!$A$3:$A$5001,_xlfn.MAXIFS(BD!$A$3:$A$5001,BD!$B$3:$B$5001,C$140,BD!$A$3:$A$5001,"&gt;="&amp;$C$7,BD!$A$3:$A$5001,"&lt;="&amp;$B167,BD!$V$3:$V$5001,"&lt;&gt;"))))</f>
        <v/>
      </c>
      <c r="D167" s="54" t="str">
        <f>IF(OR($B167="",$A167&gt;$B$9,D$140=""),"",IF(COUNTIFS(BD!$B$3:$B$5001,D$140,BD!$A$3:$A$5001,"&gt;="&amp;$C$7,BD!$A$3:$A$5001,"&lt;="&amp;$B167,BD!$V$3:$V$5001,"&lt;&gt;")=0,"",SUMIFS(BD!$V$3:$V$5001,BD!$B$3:$B$5001,D$140,BD!$A$3:$A$5001,_xlfn.MAXIFS(BD!$A$3:$A$5001,BD!$B$3:$B$5001,D$140,BD!$A$3:$A$5001,"&gt;="&amp;$C$7,BD!$A$3:$A$5001,"&lt;="&amp;$B167,BD!$V$3:$V$5001,"&lt;&gt;"))))</f>
        <v/>
      </c>
      <c r="E167" s="54" t="str">
        <f>IF(OR($B167="",$A167&gt;$B$9,E$140=""),"",IF(COUNTIFS(BD!$B$3:$B$5001,E$140,BD!$A$3:$A$5001,"&gt;="&amp;$C$7,BD!$A$3:$A$5001,"&lt;="&amp;$B167,BD!$V$3:$V$5001,"&lt;&gt;")=0,"",SUMIFS(BD!$V$3:$V$5001,BD!$B$3:$B$5001,E$140,BD!$A$3:$A$5001,_xlfn.MAXIFS(BD!$A$3:$A$5001,BD!$B$3:$B$5001,E$140,BD!$A$3:$A$5001,"&gt;="&amp;$C$7,BD!$A$3:$A$5001,"&lt;="&amp;$B167,BD!$V$3:$V$5001,"&lt;&gt;"))))</f>
        <v/>
      </c>
      <c r="F167" s="54" t="str">
        <f>IF(OR($B167="",$A167&gt;$B$9,F$140=""),"",IF(COUNTIFS(BD!$B$3:$B$5001,F$140,BD!$A$3:$A$5001,"&gt;="&amp;$C$7,BD!$A$3:$A$5001,"&lt;="&amp;$B167,BD!$V$3:$V$5001,"&lt;&gt;")=0,"",SUMIFS(BD!$V$3:$V$5001,BD!$B$3:$B$5001,F$140,BD!$A$3:$A$5001,_xlfn.MAXIFS(BD!$A$3:$A$5001,BD!$B$3:$B$5001,F$140,BD!$A$3:$A$5001,"&gt;="&amp;$C$7,BD!$A$3:$A$5001,"&lt;="&amp;$B167,BD!$V$3:$V$5001,"&lt;&gt;"))))</f>
        <v/>
      </c>
      <c r="G167" s="54" t="str">
        <f>IF(OR($B167="",$A167&gt;$B$9,G$140=""),"",IF(COUNTIFS(BD!$B$3:$B$5001,G$140,BD!$A$3:$A$5001,"&gt;="&amp;$C$7,BD!$A$3:$A$5001,"&lt;="&amp;$B167,BD!$V$3:$V$5001,"&lt;&gt;")=0,"",SUMIFS(BD!$V$3:$V$5001,BD!$B$3:$B$5001,G$140,BD!$A$3:$A$5001,_xlfn.MAXIFS(BD!$A$3:$A$5001,BD!$B$3:$B$5001,G$140,BD!$A$3:$A$5001,"&gt;="&amp;$C$7,BD!$A$3:$A$5001,"&lt;="&amp;$B167,BD!$V$3:$V$5001,"&lt;&gt;"))))</f>
        <v/>
      </c>
      <c r="H167" s="54" t="str">
        <f>IF(OR($B167="",$A167&gt;$B$9,H$140=""),"",IF(COUNTIFS(BD!$B$3:$B$5001,H$140,BD!$A$3:$A$5001,"&gt;="&amp;$C$7,BD!$A$3:$A$5001,"&lt;="&amp;$B167,BD!$V$3:$V$5001,"&lt;&gt;")=0,"",SUMIFS(BD!$V$3:$V$5001,BD!$B$3:$B$5001,H$140,BD!$A$3:$A$5001,_xlfn.MAXIFS(BD!$A$3:$A$5001,BD!$B$3:$B$5001,H$140,BD!$A$3:$A$5001,"&gt;="&amp;$C$7,BD!$A$3:$A$5001,"&lt;="&amp;$B167,BD!$V$3:$V$5001,"&lt;&gt;"))))</f>
        <v/>
      </c>
      <c r="I167" s="54" t="str">
        <f>IF(OR($B167="",$A167&gt;$B$9,I$140=""),"",IF(COUNTIFS(BD!$B$3:$B$5001,I$140,BD!$A$3:$A$5001,"&gt;="&amp;$C$7,BD!$A$3:$A$5001,"&lt;="&amp;$B167,BD!$V$3:$V$5001,"&lt;&gt;")=0,"",SUMIFS(BD!$V$3:$V$5001,BD!$B$3:$B$5001,I$140,BD!$A$3:$A$5001,_xlfn.MAXIFS(BD!$A$3:$A$5001,BD!$B$3:$B$5001,I$140,BD!$A$3:$A$5001,"&gt;="&amp;$C$7,BD!$A$3:$A$5001,"&lt;="&amp;$B167,BD!$V$3:$V$5001,"&lt;&gt;"))))</f>
        <v/>
      </c>
      <c r="J167" s="54" t="str">
        <f>IF(OR($B167="",$A167&gt;$B$9,J$140=""),"",IF(COUNTIFS(BD!$B$3:$B$5001,J$140,BD!$A$3:$A$5001,"&gt;="&amp;$C$7,BD!$A$3:$A$5001,"&lt;="&amp;$B167,BD!$V$3:$V$5001,"&lt;&gt;")=0,"",SUMIFS(BD!$V$3:$V$5001,BD!$B$3:$B$5001,J$140,BD!$A$3:$A$5001,_xlfn.MAXIFS(BD!$A$3:$A$5001,BD!$B$3:$B$5001,J$140,BD!$A$3:$A$5001,"&gt;="&amp;$C$7,BD!$A$3:$A$5001,"&lt;="&amp;$B167,BD!$V$3:$V$5001,"&lt;&gt;"))))</f>
        <v/>
      </c>
      <c r="K167" s="54" t="str">
        <f>IF(OR($B167="",$A167&gt;$B$9,K$140=""),"",IF(COUNTIFS(BD!$B$3:$B$5001,K$140,BD!$A$3:$A$5001,"&gt;="&amp;$C$7,BD!$A$3:$A$5001,"&lt;="&amp;$B167,BD!$V$3:$V$5001,"&lt;&gt;")=0,"",SUMIFS(BD!$V$3:$V$5001,BD!$B$3:$B$5001,K$140,BD!$A$3:$A$5001,_xlfn.MAXIFS(BD!$A$3:$A$5001,BD!$B$3:$B$5001,K$140,BD!$A$3:$A$5001,"&gt;="&amp;$C$7,BD!$A$3:$A$5001,"&lt;="&amp;$B167,BD!$V$3:$V$5001,"&lt;&gt;"))))</f>
        <v/>
      </c>
      <c r="L167" s="54" t="str">
        <f>IF(OR($B167="",$A167&gt;$B$9,L$140=""),"",IF(COUNTIFS(BD!$B$3:$B$5001,L$140,BD!$A$3:$A$5001,"&gt;="&amp;$C$7,BD!$A$3:$A$5001,"&lt;="&amp;$B167,BD!$V$3:$V$5001,"&lt;&gt;")=0,"",SUMIFS(BD!$V$3:$V$5001,BD!$B$3:$B$5001,L$140,BD!$A$3:$A$5001,_xlfn.MAXIFS(BD!$A$3:$A$5001,BD!$B$3:$B$5001,L$140,BD!$A$3:$A$5001,"&gt;="&amp;$C$7,BD!$A$3:$A$5001,"&lt;="&amp;$B167,BD!$V$3:$V$5001,"&lt;&gt;"))))</f>
        <v/>
      </c>
      <c r="M167" s="54" t="str">
        <f>IF(OR($B167="",$A167&gt;$B$9,M$140=""),"",IF(COUNTIFS(BD!$B$3:$B$5001,M$140,BD!$A$3:$A$5001,"&gt;="&amp;$C$7,BD!$A$3:$A$5001,"&lt;="&amp;$B167,BD!$V$3:$V$5001,"&lt;&gt;")=0,"",SUMIFS(BD!$V$3:$V$5001,BD!$B$3:$B$5001,M$140,BD!$A$3:$A$5001,_xlfn.MAXIFS(BD!$A$3:$A$5001,BD!$B$3:$B$5001,M$140,BD!$A$3:$A$5001,"&gt;="&amp;$C$7,BD!$A$3:$A$5001,"&lt;="&amp;$B167,BD!$V$3:$V$5001,"&lt;&gt;"))))</f>
        <v/>
      </c>
      <c r="N167" s="54" t="str">
        <f>IF(OR($B167="",$A167&gt;$B$9,N$140=""),"",IF(COUNTIFS(BD!$B$3:$B$5001,N$140,BD!$A$3:$A$5001,"&gt;="&amp;$C$7,BD!$A$3:$A$5001,"&lt;="&amp;$B167,BD!$V$3:$V$5001,"&lt;&gt;")=0,"",SUMIFS(BD!$V$3:$V$5001,BD!$B$3:$B$5001,N$140,BD!$A$3:$A$5001,_xlfn.MAXIFS(BD!$A$3:$A$5001,BD!$B$3:$B$5001,N$140,BD!$A$3:$A$5001,"&gt;="&amp;$C$7,BD!$A$3:$A$5001,"&lt;="&amp;$B167,BD!$V$3:$V$5001,"&lt;&gt;"))))</f>
        <v/>
      </c>
      <c r="O167" s="54" t="str">
        <f>IF(OR($B167="",$A167&gt;$B$9,O$140=""),"",IF(COUNTIFS(BD!$B$3:$B$5001,O$140,BD!$A$3:$A$5001,"&gt;="&amp;$C$7,BD!$A$3:$A$5001,"&lt;="&amp;$B167,BD!$V$3:$V$5001,"&lt;&gt;")=0,"",SUMIFS(BD!$V$3:$V$5001,BD!$B$3:$B$5001,O$140,BD!$A$3:$A$5001,_xlfn.MAXIFS(BD!$A$3:$A$5001,BD!$B$3:$B$5001,O$140,BD!$A$3:$A$5001,"&gt;="&amp;$C$7,BD!$A$3:$A$5001,"&lt;="&amp;$B167,BD!$V$3:$V$5001,"&lt;&gt;"))))</f>
        <v/>
      </c>
      <c r="P167" s="54" t="str">
        <f>IF(OR($B167="",$A167&gt;$B$9,P$140=""),"",IF(COUNTIFS(BD!$B$3:$B$5001,P$140,BD!$A$3:$A$5001,"&gt;="&amp;$C$7,BD!$A$3:$A$5001,"&lt;="&amp;$B167,BD!$V$3:$V$5001,"&lt;&gt;")=0,"",SUMIFS(BD!$V$3:$V$5001,BD!$B$3:$B$5001,P$140,BD!$A$3:$A$5001,_xlfn.MAXIFS(BD!$A$3:$A$5001,BD!$B$3:$B$5001,P$140,BD!$A$3:$A$5001,"&gt;="&amp;$C$7,BD!$A$3:$A$5001,"&lt;="&amp;$B167,BD!$V$3:$V$5001,"&lt;&gt;"))))</f>
        <v/>
      </c>
      <c r="Q167" s="54" t="str">
        <f>IF(OR($B167="",$A167&gt;$B$9,Q$140=""),"",IF(COUNTIFS(BD!$B$3:$B$5001,Q$140,BD!$A$3:$A$5001,"&gt;="&amp;$C$7,BD!$A$3:$A$5001,"&lt;="&amp;$B167,BD!$V$3:$V$5001,"&lt;&gt;")=0,"",SUMIFS(BD!$V$3:$V$5001,BD!$B$3:$B$5001,Q$140,BD!$A$3:$A$5001,_xlfn.MAXIFS(BD!$A$3:$A$5001,BD!$B$3:$B$5001,Q$140,BD!$A$3:$A$5001,"&gt;="&amp;$C$7,BD!$A$3:$A$5001,"&lt;="&amp;$B167,BD!$V$3:$V$5001,"&lt;&gt;"))))</f>
        <v/>
      </c>
      <c r="R167" s="54" t="str">
        <f>IF(OR($B167="",$A167&gt;$B$9,R$140=""),"",IF(COUNTIFS(BD!$B$3:$B$5001,R$140,BD!$A$3:$A$5001,"&gt;="&amp;$C$7,BD!$A$3:$A$5001,"&lt;="&amp;$B167,BD!$V$3:$V$5001,"&lt;&gt;")=0,"",SUMIFS(BD!$V$3:$V$5001,BD!$B$3:$B$5001,R$140,BD!$A$3:$A$5001,_xlfn.MAXIFS(BD!$A$3:$A$5001,BD!$B$3:$B$5001,R$140,BD!$A$3:$A$5001,"&gt;="&amp;$C$7,BD!$A$3:$A$5001,"&lt;="&amp;$B167,BD!$V$3:$V$5001,"&lt;&gt;"))))</f>
        <v/>
      </c>
      <c r="S167" s="54" t="str">
        <f>IF(OR($B167="",$A167&gt;$B$9,S$140=""),"",IF(COUNTIFS(BD!$B$3:$B$5001,S$140,BD!$A$3:$A$5001,"&gt;="&amp;$C$7,BD!$A$3:$A$5001,"&lt;="&amp;$B167,BD!$V$3:$V$5001,"&lt;&gt;")=0,"",SUMIFS(BD!$V$3:$V$5001,BD!$B$3:$B$5001,S$140,BD!$A$3:$A$5001,_xlfn.MAXIFS(BD!$A$3:$A$5001,BD!$B$3:$B$5001,S$140,BD!$A$3:$A$5001,"&gt;="&amp;$C$7,BD!$A$3:$A$5001,"&lt;="&amp;$B167,BD!$V$3:$V$5001,"&lt;&gt;"))))</f>
        <v/>
      </c>
      <c r="T167" s="54" t="str">
        <f>IF(OR($B167="",$A167&gt;$B$9,T$140=""),"",IF(COUNTIFS(BD!$B$3:$B$5001,T$140,BD!$A$3:$A$5001,"&gt;="&amp;$C$7,BD!$A$3:$A$5001,"&lt;="&amp;$B167,BD!$V$3:$V$5001,"&lt;&gt;")=0,"",SUMIFS(BD!$V$3:$V$5001,BD!$B$3:$B$5001,T$140,BD!$A$3:$A$5001,_xlfn.MAXIFS(BD!$A$3:$A$5001,BD!$B$3:$B$5001,T$140,BD!$A$3:$A$5001,"&gt;="&amp;$C$7,BD!$A$3:$A$5001,"&lt;="&amp;$B167,BD!$V$3:$V$5001,"&lt;&gt;"))))</f>
        <v/>
      </c>
      <c r="U167" s="54" t="str">
        <f>IF(OR($B167="",$A167&gt;$B$9,U$140=""),"",IF(COUNTIFS(BD!$B$3:$B$5001,U$140,BD!$A$3:$A$5001,"&gt;="&amp;$C$7,BD!$A$3:$A$5001,"&lt;="&amp;$B167,BD!$V$3:$V$5001,"&lt;&gt;")=0,"",SUMIFS(BD!$V$3:$V$5001,BD!$B$3:$B$5001,U$140,BD!$A$3:$A$5001,_xlfn.MAXIFS(BD!$A$3:$A$5001,BD!$B$3:$B$5001,U$140,BD!$A$3:$A$5001,"&gt;="&amp;$C$7,BD!$A$3:$A$5001,"&lt;="&amp;$B167,BD!$V$3:$V$5001,"&lt;&gt;"))))</f>
        <v/>
      </c>
      <c r="V167" s="54" t="str">
        <f>IF(OR($B167="",$A167&gt;$B$9,V$140=""),"",IF(COUNTIFS(BD!$B$3:$B$5001,V$140,BD!$A$3:$A$5001,"&gt;="&amp;$C$7,BD!$A$3:$A$5001,"&lt;="&amp;$B167,BD!$V$3:$V$5001,"&lt;&gt;")=0,"",SUMIFS(BD!$V$3:$V$5001,BD!$B$3:$B$5001,V$140,BD!$A$3:$A$5001,_xlfn.MAXIFS(BD!$A$3:$A$5001,BD!$B$3:$B$5001,V$140,BD!$A$3:$A$5001,"&gt;="&amp;$C$7,BD!$A$3:$A$5001,"&lt;="&amp;$B167,BD!$V$3:$V$5001,"&lt;&gt;"))))</f>
        <v/>
      </c>
    </row>
    <row r="168">
      <c r="A168" s="48">
        <v>28</v>
      </c>
      <c r="B168" s="53">
        <f>$B$39</f>
        <v>46323</v>
      </c>
      <c r="C168" s="54" t="str">
        <f>IF(OR($B168="",$A168&gt;$B$9,C$140=""),"",IF(COUNTIFS(BD!$B$3:$B$5001,C$140,BD!$A$3:$A$5001,"&gt;="&amp;$C$7,BD!$A$3:$A$5001,"&lt;="&amp;$B168,BD!$V$3:$V$5001,"&lt;&gt;")=0,"",SUMIFS(BD!$V$3:$V$5001,BD!$B$3:$B$5001,C$140,BD!$A$3:$A$5001,_xlfn.MAXIFS(BD!$A$3:$A$5001,BD!$B$3:$B$5001,C$140,BD!$A$3:$A$5001,"&gt;="&amp;$C$7,BD!$A$3:$A$5001,"&lt;="&amp;$B168,BD!$V$3:$V$5001,"&lt;&gt;"))))</f>
        <v/>
      </c>
      <c r="D168" s="54" t="str">
        <f>IF(OR($B168="",$A168&gt;$B$9,D$140=""),"",IF(COUNTIFS(BD!$B$3:$B$5001,D$140,BD!$A$3:$A$5001,"&gt;="&amp;$C$7,BD!$A$3:$A$5001,"&lt;="&amp;$B168,BD!$V$3:$V$5001,"&lt;&gt;")=0,"",SUMIFS(BD!$V$3:$V$5001,BD!$B$3:$B$5001,D$140,BD!$A$3:$A$5001,_xlfn.MAXIFS(BD!$A$3:$A$5001,BD!$B$3:$B$5001,D$140,BD!$A$3:$A$5001,"&gt;="&amp;$C$7,BD!$A$3:$A$5001,"&lt;="&amp;$B168,BD!$V$3:$V$5001,"&lt;&gt;"))))</f>
        <v/>
      </c>
      <c r="E168" s="54" t="str">
        <f>IF(OR($B168="",$A168&gt;$B$9,E$140=""),"",IF(COUNTIFS(BD!$B$3:$B$5001,E$140,BD!$A$3:$A$5001,"&gt;="&amp;$C$7,BD!$A$3:$A$5001,"&lt;="&amp;$B168,BD!$V$3:$V$5001,"&lt;&gt;")=0,"",SUMIFS(BD!$V$3:$V$5001,BD!$B$3:$B$5001,E$140,BD!$A$3:$A$5001,_xlfn.MAXIFS(BD!$A$3:$A$5001,BD!$B$3:$B$5001,E$140,BD!$A$3:$A$5001,"&gt;="&amp;$C$7,BD!$A$3:$A$5001,"&lt;="&amp;$B168,BD!$V$3:$V$5001,"&lt;&gt;"))))</f>
        <v/>
      </c>
      <c r="F168" s="54" t="str">
        <f>IF(OR($B168="",$A168&gt;$B$9,F$140=""),"",IF(COUNTIFS(BD!$B$3:$B$5001,F$140,BD!$A$3:$A$5001,"&gt;="&amp;$C$7,BD!$A$3:$A$5001,"&lt;="&amp;$B168,BD!$V$3:$V$5001,"&lt;&gt;")=0,"",SUMIFS(BD!$V$3:$V$5001,BD!$B$3:$B$5001,F$140,BD!$A$3:$A$5001,_xlfn.MAXIFS(BD!$A$3:$A$5001,BD!$B$3:$B$5001,F$140,BD!$A$3:$A$5001,"&gt;="&amp;$C$7,BD!$A$3:$A$5001,"&lt;="&amp;$B168,BD!$V$3:$V$5001,"&lt;&gt;"))))</f>
        <v/>
      </c>
      <c r="G168" s="54" t="str">
        <f>IF(OR($B168="",$A168&gt;$B$9,G$140=""),"",IF(COUNTIFS(BD!$B$3:$B$5001,G$140,BD!$A$3:$A$5001,"&gt;="&amp;$C$7,BD!$A$3:$A$5001,"&lt;="&amp;$B168,BD!$V$3:$V$5001,"&lt;&gt;")=0,"",SUMIFS(BD!$V$3:$V$5001,BD!$B$3:$B$5001,G$140,BD!$A$3:$A$5001,_xlfn.MAXIFS(BD!$A$3:$A$5001,BD!$B$3:$B$5001,G$140,BD!$A$3:$A$5001,"&gt;="&amp;$C$7,BD!$A$3:$A$5001,"&lt;="&amp;$B168,BD!$V$3:$V$5001,"&lt;&gt;"))))</f>
        <v/>
      </c>
      <c r="H168" s="54" t="str">
        <f>IF(OR($B168="",$A168&gt;$B$9,H$140=""),"",IF(COUNTIFS(BD!$B$3:$B$5001,H$140,BD!$A$3:$A$5001,"&gt;="&amp;$C$7,BD!$A$3:$A$5001,"&lt;="&amp;$B168,BD!$V$3:$V$5001,"&lt;&gt;")=0,"",SUMIFS(BD!$V$3:$V$5001,BD!$B$3:$B$5001,H$140,BD!$A$3:$A$5001,_xlfn.MAXIFS(BD!$A$3:$A$5001,BD!$B$3:$B$5001,H$140,BD!$A$3:$A$5001,"&gt;="&amp;$C$7,BD!$A$3:$A$5001,"&lt;="&amp;$B168,BD!$V$3:$V$5001,"&lt;&gt;"))))</f>
        <v/>
      </c>
      <c r="I168" s="54" t="str">
        <f>IF(OR($B168="",$A168&gt;$B$9,I$140=""),"",IF(COUNTIFS(BD!$B$3:$B$5001,I$140,BD!$A$3:$A$5001,"&gt;="&amp;$C$7,BD!$A$3:$A$5001,"&lt;="&amp;$B168,BD!$V$3:$V$5001,"&lt;&gt;")=0,"",SUMIFS(BD!$V$3:$V$5001,BD!$B$3:$B$5001,I$140,BD!$A$3:$A$5001,_xlfn.MAXIFS(BD!$A$3:$A$5001,BD!$B$3:$B$5001,I$140,BD!$A$3:$A$5001,"&gt;="&amp;$C$7,BD!$A$3:$A$5001,"&lt;="&amp;$B168,BD!$V$3:$V$5001,"&lt;&gt;"))))</f>
        <v/>
      </c>
      <c r="J168" s="54" t="str">
        <f>IF(OR($B168="",$A168&gt;$B$9,J$140=""),"",IF(COUNTIFS(BD!$B$3:$B$5001,J$140,BD!$A$3:$A$5001,"&gt;="&amp;$C$7,BD!$A$3:$A$5001,"&lt;="&amp;$B168,BD!$V$3:$V$5001,"&lt;&gt;")=0,"",SUMIFS(BD!$V$3:$V$5001,BD!$B$3:$B$5001,J$140,BD!$A$3:$A$5001,_xlfn.MAXIFS(BD!$A$3:$A$5001,BD!$B$3:$B$5001,J$140,BD!$A$3:$A$5001,"&gt;="&amp;$C$7,BD!$A$3:$A$5001,"&lt;="&amp;$B168,BD!$V$3:$V$5001,"&lt;&gt;"))))</f>
        <v/>
      </c>
      <c r="K168" s="54" t="str">
        <f>IF(OR($B168="",$A168&gt;$B$9,K$140=""),"",IF(COUNTIFS(BD!$B$3:$B$5001,K$140,BD!$A$3:$A$5001,"&gt;="&amp;$C$7,BD!$A$3:$A$5001,"&lt;="&amp;$B168,BD!$V$3:$V$5001,"&lt;&gt;")=0,"",SUMIFS(BD!$V$3:$V$5001,BD!$B$3:$B$5001,K$140,BD!$A$3:$A$5001,_xlfn.MAXIFS(BD!$A$3:$A$5001,BD!$B$3:$B$5001,K$140,BD!$A$3:$A$5001,"&gt;="&amp;$C$7,BD!$A$3:$A$5001,"&lt;="&amp;$B168,BD!$V$3:$V$5001,"&lt;&gt;"))))</f>
        <v/>
      </c>
      <c r="L168" s="54" t="str">
        <f>IF(OR($B168="",$A168&gt;$B$9,L$140=""),"",IF(COUNTIFS(BD!$B$3:$B$5001,L$140,BD!$A$3:$A$5001,"&gt;="&amp;$C$7,BD!$A$3:$A$5001,"&lt;="&amp;$B168,BD!$V$3:$V$5001,"&lt;&gt;")=0,"",SUMIFS(BD!$V$3:$V$5001,BD!$B$3:$B$5001,L$140,BD!$A$3:$A$5001,_xlfn.MAXIFS(BD!$A$3:$A$5001,BD!$B$3:$B$5001,L$140,BD!$A$3:$A$5001,"&gt;="&amp;$C$7,BD!$A$3:$A$5001,"&lt;="&amp;$B168,BD!$V$3:$V$5001,"&lt;&gt;"))))</f>
        <v/>
      </c>
      <c r="M168" s="54" t="str">
        <f>IF(OR($B168="",$A168&gt;$B$9,M$140=""),"",IF(COUNTIFS(BD!$B$3:$B$5001,M$140,BD!$A$3:$A$5001,"&gt;="&amp;$C$7,BD!$A$3:$A$5001,"&lt;="&amp;$B168,BD!$V$3:$V$5001,"&lt;&gt;")=0,"",SUMIFS(BD!$V$3:$V$5001,BD!$B$3:$B$5001,M$140,BD!$A$3:$A$5001,_xlfn.MAXIFS(BD!$A$3:$A$5001,BD!$B$3:$B$5001,M$140,BD!$A$3:$A$5001,"&gt;="&amp;$C$7,BD!$A$3:$A$5001,"&lt;="&amp;$B168,BD!$V$3:$V$5001,"&lt;&gt;"))))</f>
        <v/>
      </c>
      <c r="N168" s="54" t="str">
        <f>IF(OR($B168="",$A168&gt;$B$9,N$140=""),"",IF(COUNTIFS(BD!$B$3:$B$5001,N$140,BD!$A$3:$A$5001,"&gt;="&amp;$C$7,BD!$A$3:$A$5001,"&lt;="&amp;$B168,BD!$V$3:$V$5001,"&lt;&gt;")=0,"",SUMIFS(BD!$V$3:$V$5001,BD!$B$3:$B$5001,N$140,BD!$A$3:$A$5001,_xlfn.MAXIFS(BD!$A$3:$A$5001,BD!$B$3:$B$5001,N$140,BD!$A$3:$A$5001,"&gt;="&amp;$C$7,BD!$A$3:$A$5001,"&lt;="&amp;$B168,BD!$V$3:$V$5001,"&lt;&gt;"))))</f>
        <v/>
      </c>
      <c r="O168" s="54" t="str">
        <f>IF(OR($B168="",$A168&gt;$B$9,O$140=""),"",IF(COUNTIFS(BD!$B$3:$B$5001,O$140,BD!$A$3:$A$5001,"&gt;="&amp;$C$7,BD!$A$3:$A$5001,"&lt;="&amp;$B168,BD!$V$3:$V$5001,"&lt;&gt;")=0,"",SUMIFS(BD!$V$3:$V$5001,BD!$B$3:$B$5001,O$140,BD!$A$3:$A$5001,_xlfn.MAXIFS(BD!$A$3:$A$5001,BD!$B$3:$B$5001,O$140,BD!$A$3:$A$5001,"&gt;="&amp;$C$7,BD!$A$3:$A$5001,"&lt;="&amp;$B168,BD!$V$3:$V$5001,"&lt;&gt;"))))</f>
        <v/>
      </c>
      <c r="P168" s="54" t="str">
        <f>IF(OR($B168="",$A168&gt;$B$9,P$140=""),"",IF(COUNTIFS(BD!$B$3:$B$5001,P$140,BD!$A$3:$A$5001,"&gt;="&amp;$C$7,BD!$A$3:$A$5001,"&lt;="&amp;$B168,BD!$V$3:$V$5001,"&lt;&gt;")=0,"",SUMIFS(BD!$V$3:$V$5001,BD!$B$3:$B$5001,P$140,BD!$A$3:$A$5001,_xlfn.MAXIFS(BD!$A$3:$A$5001,BD!$B$3:$B$5001,P$140,BD!$A$3:$A$5001,"&gt;="&amp;$C$7,BD!$A$3:$A$5001,"&lt;="&amp;$B168,BD!$V$3:$V$5001,"&lt;&gt;"))))</f>
        <v/>
      </c>
      <c r="Q168" s="54" t="str">
        <f>IF(OR($B168="",$A168&gt;$B$9,Q$140=""),"",IF(COUNTIFS(BD!$B$3:$B$5001,Q$140,BD!$A$3:$A$5001,"&gt;="&amp;$C$7,BD!$A$3:$A$5001,"&lt;="&amp;$B168,BD!$V$3:$V$5001,"&lt;&gt;")=0,"",SUMIFS(BD!$V$3:$V$5001,BD!$B$3:$B$5001,Q$140,BD!$A$3:$A$5001,_xlfn.MAXIFS(BD!$A$3:$A$5001,BD!$B$3:$B$5001,Q$140,BD!$A$3:$A$5001,"&gt;="&amp;$C$7,BD!$A$3:$A$5001,"&lt;="&amp;$B168,BD!$V$3:$V$5001,"&lt;&gt;"))))</f>
        <v/>
      </c>
      <c r="R168" s="54" t="str">
        <f>IF(OR($B168="",$A168&gt;$B$9,R$140=""),"",IF(COUNTIFS(BD!$B$3:$B$5001,R$140,BD!$A$3:$A$5001,"&gt;="&amp;$C$7,BD!$A$3:$A$5001,"&lt;="&amp;$B168,BD!$V$3:$V$5001,"&lt;&gt;")=0,"",SUMIFS(BD!$V$3:$V$5001,BD!$B$3:$B$5001,R$140,BD!$A$3:$A$5001,_xlfn.MAXIFS(BD!$A$3:$A$5001,BD!$B$3:$B$5001,R$140,BD!$A$3:$A$5001,"&gt;="&amp;$C$7,BD!$A$3:$A$5001,"&lt;="&amp;$B168,BD!$V$3:$V$5001,"&lt;&gt;"))))</f>
        <v/>
      </c>
      <c r="S168" s="54" t="str">
        <f>IF(OR($B168="",$A168&gt;$B$9,S$140=""),"",IF(COUNTIFS(BD!$B$3:$B$5001,S$140,BD!$A$3:$A$5001,"&gt;="&amp;$C$7,BD!$A$3:$A$5001,"&lt;="&amp;$B168,BD!$V$3:$V$5001,"&lt;&gt;")=0,"",SUMIFS(BD!$V$3:$V$5001,BD!$B$3:$B$5001,S$140,BD!$A$3:$A$5001,_xlfn.MAXIFS(BD!$A$3:$A$5001,BD!$B$3:$B$5001,S$140,BD!$A$3:$A$5001,"&gt;="&amp;$C$7,BD!$A$3:$A$5001,"&lt;="&amp;$B168,BD!$V$3:$V$5001,"&lt;&gt;"))))</f>
        <v/>
      </c>
      <c r="T168" s="54" t="str">
        <f>IF(OR($B168="",$A168&gt;$B$9,T$140=""),"",IF(COUNTIFS(BD!$B$3:$B$5001,T$140,BD!$A$3:$A$5001,"&gt;="&amp;$C$7,BD!$A$3:$A$5001,"&lt;="&amp;$B168,BD!$V$3:$V$5001,"&lt;&gt;")=0,"",SUMIFS(BD!$V$3:$V$5001,BD!$B$3:$B$5001,T$140,BD!$A$3:$A$5001,_xlfn.MAXIFS(BD!$A$3:$A$5001,BD!$B$3:$B$5001,T$140,BD!$A$3:$A$5001,"&gt;="&amp;$C$7,BD!$A$3:$A$5001,"&lt;="&amp;$B168,BD!$V$3:$V$5001,"&lt;&gt;"))))</f>
        <v/>
      </c>
      <c r="U168" s="54" t="str">
        <f>IF(OR($B168="",$A168&gt;$B$9,U$140=""),"",IF(COUNTIFS(BD!$B$3:$B$5001,U$140,BD!$A$3:$A$5001,"&gt;="&amp;$C$7,BD!$A$3:$A$5001,"&lt;="&amp;$B168,BD!$V$3:$V$5001,"&lt;&gt;")=0,"",SUMIFS(BD!$V$3:$V$5001,BD!$B$3:$B$5001,U$140,BD!$A$3:$A$5001,_xlfn.MAXIFS(BD!$A$3:$A$5001,BD!$B$3:$B$5001,U$140,BD!$A$3:$A$5001,"&gt;="&amp;$C$7,BD!$A$3:$A$5001,"&lt;="&amp;$B168,BD!$V$3:$V$5001,"&lt;&gt;"))))</f>
        <v/>
      </c>
      <c r="V168" s="54" t="str">
        <f>IF(OR($B168="",$A168&gt;$B$9,V$140=""),"",IF(COUNTIFS(BD!$B$3:$B$5001,V$140,BD!$A$3:$A$5001,"&gt;="&amp;$C$7,BD!$A$3:$A$5001,"&lt;="&amp;$B168,BD!$V$3:$V$5001,"&lt;&gt;")=0,"",SUMIFS(BD!$V$3:$V$5001,BD!$B$3:$B$5001,V$140,BD!$A$3:$A$5001,_xlfn.MAXIFS(BD!$A$3:$A$5001,BD!$B$3:$B$5001,V$140,BD!$A$3:$A$5001,"&gt;="&amp;$C$7,BD!$A$3:$A$5001,"&lt;="&amp;$B168,BD!$V$3:$V$5001,"&lt;&gt;"))))</f>
        <v/>
      </c>
    </row>
    <row r="169">
      <c r="A169" s="48">
        <v>29</v>
      </c>
      <c r="B169" s="53">
        <f>$B$40</f>
        <v>46324</v>
      </c>
      <c r="C169" s="54" t="str">
        <f>IF(OR($B169="",$A169&gt;$B$9,C$140=""),"",IF(COUNTIFS(BD!$B$3:$B$5001,C$140,BD!$A$3:$A$5001,"&gt;="&amp;$C$7,BD!$A$3:$A$5001,"&lt;="&amp;$B169,BD!$V$3:$V$5001,"&lt;&gt;")=0,"",SUMIFS(BD!$V$3:$V$5001,BD!$B$3:$B$5001,C$140,BD!$A$3:$A$5001,_xlfn.MAXIFS(BD!$A$3:$A$5001,BD!$B$3:$B$5001,C$140,BD!$A$3:$A$5001,"&gt;="&amp;$C$7,BD!$A$3:$A$5001,"&lt;="&amp;$B169,BD!$V$3:$V$5001,"&lt;&gt;"))))</f>
        <v/>
      </c>
      <c r="D169" s="54" t="str">
        <f>IF(OR($B169="",$A169&gt;$B$9,D$140=""),"",IF(COUNTIFS(BD!$B$3:$B$5001,D$140,BD!$A$3:$A$5001,"&gt;="&amp;$C$7,BD!$A$3:$A$5001,"&lt;="&amp;$B169,BD!$V$3:$V$5001,"&lt;&gt;")=0,"",SUMIFS(BD!$V$3:$V$5001,BD!$B$3:$B$5001,D$140,BD!$A$3:$A$5001,_xlfn.MAXIFS(BD!$A$3:$A$5001,BD!$B$3:$B$5001,D$140,BD!$A$3:$A$5001,"&gt;="&amp;$C$7,BD!$A$3:$A$5001,"&lt;="&amp;$B169,BD!$V$3:$V$5001,"&lt;&gt;"))))</f>
        <v/>
      </c>
      <c r="E169" s="54" t="str">
        <f>IF(OR($B169="",$A169&gt;$B$9,E$140=""),"",IF(COUNTIFS(BD!$B$3:$B$5001,E$140,BD!$A$3:$A$5001,"&gt;="&amp;$C$7,BD!$A$3:$A$5001,"&lt;="&amp;$B169,BD!$V$3:$V$5001,"&lt;&gt;")=0,"",SUMIFS(BD!$V$3:$V$5001,BD!$B$3:$B$5001,E$140,BD!$A$3:$A$5001,_xlfn.MAXIFS(BD!$A$3:$A$5001,BD!$B$3:$B$5001,E$140,BD!$A$3:$A$5001,"&gt;="&amp;$C$7,BD!$A$3:$A$5001,"&lt;="&amp;$B169,BD!$V$3:$V$5001,"&lt;&gt;"))))</f>
        <v/>
      </c>
      <c r="F169" s="54" t="str">
        <f>IF(OR($B169="",$A169&gt;$B$9,F$140=""),"",IF(COUNTIFS(BD!$B$3:$B$5001,F$140,BD!$A$3:$A$5001,"&gt;="&amp;$C$7,BD!$A$3:$A$5001,"&lt;="&amp;$B169,BD!$V$3:$V$5001,"&lt;&gt;")=0,"",SUMIFS(BD!$V$3:$V$5001,BD!$B$3:$B$5001,F$140,BD!$A$3:$A$5001,_xlfn.MAXIFS(BD!$A$3:$A$5001,BD!$B$3:$B$5001,F$140,BD!$A$3:$A$5001,"&gt;="&amp;$C$7,BD!$A$3:$A$5001,"&lt;="&amp;$B169,BD!$V$3:$V$5001,"&lt;&gt;"))))</f>
        <v/>
      </c>
      <c r="G169" s="54" t="str">
        <f>IF(OR($B169="",$A169&gt;$B$9,G$140=""),"",IF(COUNTIFS(BD!$B$3:$B$5001,G$140,BD!$A$3:$A$5001,"&gt;="&amp;$C$7,BD!$A$3:$A$5001,"&lt;="&amp;$B169,BD!$V$3:$V$5001,"&lt;&gt;")=0,"",SUMIFS(BD!$V$3:$V$5001,BD!$B$3:$B$5001,G$140,BD!$A$3:$A$5001,_xlfn.MAXIFS(BD!$A$3:$A$5001,BD!$B$3:$B$5001,G$140,BD!$A$3:$A$5001,"&gt;="&amp;$C$7,BD!$A$3:$A$5001,"&lt;="&amp;$B169,BD!$V$3:$V$5001,"&lt;&gt;"))))</f>
        <v/>
      </c>
      <c r="H169" s="54" t="str">
        <f>IF(OR($B169="",$A169&gt;$B$9,H$140=""),"",IF(COUNTIFS(BD!$B$3:$B$5001,H$140,BD!$A$3:$A$5001,"&gt;="&amp;$C$7,BD!$A$3:$A$5001,"&lt;="&amp;$B169,BD!$V$3:$V$5001,"&lt;&gt;")=0,"",SUMIFS(BD!$V$3:$V$5001,BD!$B$3:$B$5001,H$140,BD!$A$3:$A$5001,_xlfn.MAXIFS(BD!$A$3:$A$5001,BD!$B$3:$B$5001,H$140,BD!$A$3:$A$5001,"&gt;="&amp;$C$7,BD!$A$3:$A$5001,"&lt;="&amp;$B169,BD!$V$3:$V$5001,"&lt;&gt;"))))</f>
        <v/>
      </c>
      <c r="I169" s="54" t="str">
        <f>IF(OR($B169="",$A169&gt;$B$9,I$140=""),"",IF(COUNTIFS(BD!$B$3:$B$5001,I$140,BD!$A$3:$A$5001,"&gt;="&amp;$C$7,BD!$A$3:$A$5001,"&lt;="&amp;$B169,BD!$V$3:$V$5001,"&lt;&gt;")=0,"",SUMIFS(BD!$V$3:$V$5001,BD!$B$3:$B$5001,I$140,BD!$A$3:$A$5001,_xlfn.MAXIFS(BD!$A$3:$A$5001,BD!$B$3:$B$5001,I$140,BD!$A$3:$A$5001,"&gt;="&amp;$C$7,BD!$A$3:$A$5001,"&lt;="&amp;$B169,BD!$V$3:$V$5001,"&lt;&gt;"))))</f>
        <v/>
      </c>
      <c r="J169" s="54" t="str">
        <f>IF(OR($B169="",$A169&gt;$B$9,J$140=""),"",IF(COUNTIFS(BD!$B$3:$B$5001,J$140,BD!$A$3:$A$5001,"&gt;="&amp;$C$7,BD!$A$3:$A$5001,"&lt;="&amp;$B169,BD!$V$3:$V$5001,"&lt;&gt;")=0,"",SUMIFS(BD!$V$3:$V$5001,BD!$B$3:$B$5001,J$140,BD!$A$3:$A$5001,_xlfn.MAXIFS(BD!$A$3:$A$5001,BD!$B$3:$B$5001,J$140,BD!$A$3:$A$5001,"&gt;="&amp;$C$7,BD!$A$3:$A$5001,"&lt;="&amp;$B169,BD!$V$3:$V$5001,"&lt;&gt;"))))</f>
        <v/>
      </c>
      <c r="K169" s="54" t="str">
        <f>IF(OR($B169="",$A169&gt;$B$9,K$140=""),"",IF(COUNTIFS(BD!$B$3:$B$5001,K$140,BD!$A$3:$A$5001,"&gt;="&amp;$C$7,BD!$A$3:$A$5001,"&lt;="&amp;$B169,BD!$V$3:$V$5001,"&lt;&gt;")=0,"",SUMIFS(BD!$V$3:$V$5001,BD!$B$3:$B$5001,K$140,BD!$A$3:$A$5001,_xlfn.MAXIFS(BD!$A$3:$A$5001,BD!$B$3:$B$5001,K$140,BD!$A$3:$A$5001,"&gt;="&amp;$C$7,BD!$A$3:$A$5001,"&lt;="&amp;$B169,BD!$V$3:$V$5001,"&lt;&gt;"))))</f>
        <v/>
      </c>
      <c r="L169" s="54" t="str">
        <f>IF(OR($B169="",$A169&gt;$B$9,L$140=""),"",IF(COUNTIFS(BD!$B$3:$B$5001,L$140,BD!$A$3:$A$5001,"&gt;="&amp;$C$7,BD!$A$3:$A$5001,"&lt;="&amp;$B169,BD!$V$3:$V$5001,"&lt;&gt;")=0,"",SUMIFS(BD!$V$3:$V$5001,BD!$B$3:$B$5001,L$140,BD!$A$3:$A$5001,_xlfn.MAXIFS(BD!$A$3:$A$5001,BD!$B$3:$B$5001,L$140,BD!$A$3:$A$5001,"&gt;="&amp;$C$7,BD!$A$3:$A$5001,"&lt;="&amp;$B169,BD!$V$3:$V$5001,"&lt;&gt;"))))</f>
        <v/>
      </c>
      <c r="M169" s="54" t="str">
        <f>IF(OR($B169="",$A169&gt;$B$9,M$140=""),"",IF(COUNTIFS(BD!$B$3:$B$5001,M$140,BD!$A$3:$A$5001,"&gt;="&amp;$C$7,BD!$A$3:$A$5001,"&lt;="&amp;$B169,BD!$V$3:$V$5001,"&lt;&gt;")=0,"",SUMIFS(BD!$V$3:$V$5001,BD!$B$3:$B$5001,M$140,BD!$A$3:$A$5001,_xlfn.MAXIFS(BD!$A$3:$A$5001,BD!$B$3:$B$5001,M$140,BD!$A$3:$A$5001,"&gt;="&amp;$C$7,BD!$A$3:$A$5001,"&lt;="&amp;$B169,BD!$V$3:$V$5001,"&lt;&gt;"))))</f>
        <v/>
      </c>
      <c r="N169" s="54" t="str">
        <f>IF(OR($B169="",$A169&gt;$B$9,N$140=""),"",IF(COUNTIFS(BD!$B$3:$B$5001,N$140,BD!$A$3:$A$5001,"&gt;="&amp;$C$7,BD!$A$3:$A$5001,"&lt;="&amp;$B169,BD!$V$3:$V$5001,"&lt;&gt;")=0,"",SUMIFS(BD!$V$3:$V$5001,BD!$B$3:$B$5001,N$140,BD!$A$3:$A$5001,_xlfn.MAXIFS(BD!$A$3:$A$5001,BD!$B$3:$B$5001,N$140,BD!$A$3:$A$5001,"&gt;="&amp;$C$7,BD!$A$3:$A$5001,"&lt;="&amp;$B169,BD!$V$3:$V$5001,"&lt;&gt;"))))</f>
        <v/>
      </c>
      <c r="O169" s="54" t="str">
        <f>IF(OR($B169="",$A169&gt;$B$9,O$140=""),"",IF(COUNTIFS(BD!$B$3:$B$5001,O$140,BD!$A$3:$A$5001,"&gt;="&amp;$C$7,BD!$A$3:$A$5001,"&lt;="&amp;$B169,BD!$V$3:$V$5001,"&lt;&gt;")=0,"",SUMIFS(BD!$V$3:$V$5001,BD!$B$3:$B$5001,O$140,BD!$A$3:$A$5001,_xlfn.MAXIFS(BD!$A$3:$A$5001,BD!$B$3:$B$5001,O$140,BD!$A$3:$A$5001,"&gt;="&amp;$C$7,BD!$A$3:$A$5001,"&lt;="&amp;$B169,BD!$V$3:$V$5001,"&lt;&gt;"))))</f>
        <v/>
      </c>
      <c r="P169" s="54" t="str">
        <f>IF(OR($B169="",$A169&gt;$B$9,P$140=""),"",IF(COUNTIFS(BD!$B$3:$B$5001,P$140,BD!$A$3:$A$5001,"&gt;="&amp;$C$7,BD!$A$3:$A$5001,"&lt;="&amp;$B169,BD!$V$3:$V$5001,"&lt;&gt;")=0,"",SUMIFS(BD!$V$3:$V$5001,BD!$B$3:$B$5001,P$140,BD!$A$3:$A$5001,_xlfn.MAXIFS(BD!$A$3:$A$5001,BD!$B$3:$B$5001,P$140,BD!$A$3:$A$5001,"&gt;="&amp;$C$7,BD!$A$3:$A$5001,"&lt;="&amp;$B169,BD!$V$3:$V$5001,"&lt;&gt;"))))</f>
        <v/>
      </c>
      <c r="Q169" s="54" t="str">
        <f>IF(OR($B169="",$A169&gt;$B$9,Q$140=""),"",IF(COUNTIFS(BD!$B$3:$B$5001,Q$140,BD!$A$3:$A$5001,"&gt;="&amp;$C$7,BD!$A$3:$A$5001,"&lt;="&amp;$B169,BD!$V$3:$V$5001,"&lt;&gt;")=0,"",SUMIFS(BD!$V$3:$V$5001,BD!$B$3:$B$5001,Q$140,BD!$A$3:$A$5001,_xlfn.MAXIFS(BD!$A$3:$A$5001,BD!$B$3:$B$5001,Q$140,BD!$A$3:$A$5001,"&gt;="&amp;$C$7,BD!$A$3:$A$5001,"&lt;="&amp;$B169,BD!$V$3:$V$5001,"&lt;&gt;"))))</f>
        <v/>
      </c>
      <c r="R169" s="54" t="str">
        <f>IF(OR($B169="",$A169&gt;$B$9,R$140=""),"",IF(COUNTIFS(BD!$B$3:$B$5001,R$140,BD!$A$3:$A$5001,"&gt;="&amp;$C$7,BD!$A$3:$A$5001,"&lt;="&amp;$B169,BD!$V$3:$V$5001,"&lt;&gt;")=0,"",SUMIFS(BD!$V$3:$V$5001,BD!$B$3:$B$5001,R$140,BD!$A$3:$A$5001,_xlfn.MAXIFS(BD!$A$3:$A$5001,BD!$B$3:$B$5001,R$140,BD!$A$3:$A$5001,"&gt;="&amp;$C$7,BD!$A$3:$A$5001,"&lt;="&amp;$B169,BD!$V$3:$V$5001,"&lt;&gt;"))))</f>
        <v/>
      </c>
      <c r="S169" s="54" t="str">
        <f>IF(OR($B169="",$A169&gt;$B$9,S$140=""),"",IF(COUNTIFS(BD!$B$3:$B$5001,S$140,BD!$A$3:$A$5001,"&gt;="&amp;$C$7,BD!$A$3:$A$5001,"&lt;="&amp;$B169,BD!$V$3:$V$5001,"&lt;&gt;")=0,"",SUMIFS(BD!$V$3:$V$5001,BD!$B$3:$B$5001,S$140,BD!$A$3:$A$5001,_xlfn.MAXIFS(BD!$A$3:$A$5001,BD!$B$3:$B$5001,S$140,BD!$A$3:$A$5001,"&gt;="&amp;$C$7,BD!$A$3:$A$5001,"&lt;="&amp;$B169,BD!$V$3:$V$5001,"&lt;&gt;"))))</f>
        <v/>
      </c>
      <c r="T169" s="54" t="str">
        <f>IF(OR($B169="",$A169&gt;$B$9,T$140=""),"",IF(COUNTIFS(BD!$B$3:$B$5001,T$140,BD!$A$3:$A$5001,"&gt;="&amp;$C$7,BD!$A$3:$A$5001,"&lt;="&amp;$B169,BD!$V$3:$V$5001,"&lt;&gt;")=0,"",SUMIFS(BD!$V$3:$V$5001,BD!$B$3:$B$5001,T$140,BD!$A$3:$A$5001,_xlfn.MAXIFS(BD!$A$3:$A$5001,BD!$B$3:$B$5001,T$140,BD!$A$3:$A$5001,"&gt;="&amp;$C$7,BD!$A$3:$A$5001,"&lt;="&amp;$B169,BD!$V$3:$V$5001,"&lt;&gt;"))))</f>
        <v/>
      </c>
      <c r="U169" s="54" t="str">
        <f>IF(OR($B169="",$A169&gt;$B$9,U$140=""),"",IF(COUNTIFS(BD!$B$3:$B$5001,U$140,BD!$A$3:$A$5001,"&gt;="&amp;$C$7,BD!$A$3:$A$5001,"&lt;="&amp;$B169,BD!$V$3:$V$5001,"&lt;&gt;")=0,"",SUMIFS(BD!$V$3:$V$5001,BD!$B$3:$B$5001,U$140,BD!$A$3:$A$5001,_xlfn.MAXIFS(BD!$A$3:$A$5001,BD!$B$3:$B$5001,U$140,BD!$A$3:$A$5001,"&gt;="&amp;$C$7,BD!$A$3:$A$5001,"&lt;="&amp;$B169,BD!$V$3:$V$5001,"&lt;&gt;"))))</f>
        <v/>
      </c>
      <c r="V169" s="54" t="str">
        <f>IF(OR($B169="",$A169&gt;$B$9,V$140=""),"",IF(COUNTIFS(BD!$B$3:$B$5001,V$140,BD!$A$3:$A$5001,"&gt;="&amp;$C$7,BD!$A$3:$A$5001,"&lt;="&amp;$B169,BD!$V$3:$V$5001,"&lt;&gt;")=0,"",SUMIFS(BD!$V$3:$V$5001,BD!$B$3:$B$5001,V$140,BD!$A$3:$A$5001,_xlfn.MAXIFS(BD!$A$3:$A$5001,BD!$B$3:$B$5001,V$140,BD!$A$3:$A$5001,"&gt;="&amp;$C$7,BD!$A$3:$A$5001,"&lt;="&amp;$B169,BD!$V$3:$V$5001,"&lt;&gt;"))))</f>
        <v/>
      </c>
    </row>
    <row r="170">
      <c r="A170" s="48">
        <v>30</v>
      </c>
      <c r="B170" s="53">
        <f>$B$41</f>
        <v>46325</v>
      </c>
      <c r="C170" s="54" t="str">
        <f>IF(OR($B170="",$A170&gt;$B$9,C$140=""),"",IF(COUNTIFS(BD!$B$3:$B$5001,C$140,BD!$A$3:$A$5001,"&gt;="&amp;$C$7,BD!$A$3:$A$5001,"&lt;="&amp;$B170,BD!$V$3:$V$5001,"&lt;&gt;")=0,"",SUMIFS(BD!$V$3:$V$5001,BD!$B$3:$B$5001,C$140,BD!$A$3:$A$5001,_xlfn.MAXIFS(BD!$A$3:$A$5001,BD!$B$3:$B$5001,C$140,BD!$A$3:$A$5001,"&gt;="&amp;$C$7,BD!$A$3:$A$5001,"&lt;="&amp;$B170,BD!$V$3:$V$5001,"&lt;&gt;"))))</f>
        <v/>
      </c>
      <c r="D170" s="54" t="str">
        <f>IF(OR($B170="",$A170&gt;$B$9,D$140=""),"",IF(COUNTIFS(BD!$B$3:$B$5001,D$140,BD!$A$3:$A$5001,"&gt;="&amp;$C$7,BD!$A$3:$A$5001,"&lt;="&amp;$B170,BD!$V$3:$V$5001,"&lt;&gt;")=0,"",SUMIFS(BD!$V$3:$V$5001,BD!$B$3:$B$5001,D$140,BD!$A$3:$A$5001,_xlfn.MAXIFS(BD!$A$3:$A$5001,BD!$B$3:$B$5001,D$140,BD!$A$3:$A$5001,"&gt;="&amp;$C$7,BD!$A$3:$A$5001,"&lt;="&amp;$B170,BD!$V$3:$V$5001,"&lt;&gt;"))))</f>
        <v/>
      </c>
      <c r="E170" s="54" t="str">
        <f>IF(OR($B170="",$A170&gt;$B$9,E$140=""),"",IF(COUNTIFS(BD!$B$3:$B$5001,E$140,BD!$A$3:$A$5001,"&gt;="&amp;$C$7,BD!$A$3:$A$5001,"&lt;="&amp;$B170,BD!$V$3:$V$5001,"&lt;&gt;")=0,"",SUMIFS(BD!$V$3:$V$5001,BD!$B$3:$B$5001,E$140,BD!$A$3:$A$5001,_xlfn.MAXIFS(BD!$A$3:$A$5001,BD!$B$3:$B$5001,E$140,BD!$A$3:$A$5001,"&gt;="&amp;$C$7,BD!$A$3:$A$5001,"&lt;="&amp;$B170,BD!$V$3:$V$5001,"&lt;&gt;"))))</f>
        <v/>
      </c>
      <c r="F170" s="54" t="str">
        <f>IF(OR($B170="",$A170&gt;$B$9,F$140=""),"",IF(COUNTIFS(BD!$B$3:$B$5001,F$140,BD!$A$3:$A$5001,"&gt;="&amp;$C$7,BD!$A$3:$A$5001,"&lt;="&amp;$B170,BD!$V$3:$V$5001,"&lt;&gt;")=0,"",SUMIFS(BD!$V$3:$V$5001,BD!$B$3:$B$5001,F$140,BD!$A$3:$A$5001,_xlfn.MAXIFS(BD!$A$3:$A$5001,BD!$B$3:$B$5001,F$140,BD!$A$3:$A$5001,"&gt;="&amp;$C$7,BD!$A$3:$A$5001,"&lt;="&amp;$B170,BD!$V$3:$V$5001,"&lt;&gt;"))))</f>
        <v/>
      </c>
      <c r="G170" s="54" t="str">
        <f>IF(OR($B170="",$A170&gt;$B$9,G$140=""),"",IF(COUNTIFS(BD!$B$3:$B$5001,G$140,BD!$A$3:$A$5001,"&gt;="&amp;$C$7,BD!$A$3:$A$5001,"&lt;="&amp;$B170,BD!$V$3:$V$5001,"&lt;&gt;")=0,"",SUMIFS(BD!$V$3:$V$5001,BD!$B$3:$B$5001,G$140,BD!$A$3:$A$5001,_xlfn.MAXIFS(BD!$A$3:$A$5001,BD!$B$3:$B$5001,G$140,BD!$A$3:$A$5001,"&gt;="&amp;$C$7,BD!$A$3:$A$5001,"&lt;="&amp;$B170,BD!$V$3:$V$5001,"&lt;&gt;"))))</f>
        <v/>
      </c>
      <c r="H170" s="54" t="str">
        <f>IF(OR($B170="",$A170&gt;$B$9,H$140=""),"",IF(COUNTIFS(BD!$B$3:$B$5001,H$140,BD!$A$3:$A$5001,"&gt;="&amp;$C$7,BD!$A$3:$A$5001,"&lt;="&amp;$B170,BD!$V$3:$V$5001,"&lt;&gt;")=0,"",SUMIFS(BD!$V$3:$V$5001,BD!$B$3:$B$5001,H$140,BD!$A$3:$A$5001,_xlfn.MAXIFS(BD!$A$3:$A$5001,BD!$B$3:$B$5001,H$140,BD!$A$3:$A$5001,"&gt;="&amp;$C$7,BD!$A$3:$A$5001,"&lt;="&amp;$B170,BD!$V$3:$V$5001,"&lt;&gt;"))))</f>
        <v/>
      </c>
      <c r="I170" s="54" t="str">
        <f>IF(OR($B170="",$A170&gt;$B$9,I$140=""),"",IF(COUNTIFS(BD!$B$3:$B$5001,I$140,BD!$A$3:$A$5001,"&gt;="&amp;$C$7,BD!$A$3:$A$5001,"&lt;="&amp;$B170,BD!$V$3:$V$5001,"&lt;&gt;")=0,"",SUMIFS(BD!$V$3:$V$5001,BD!$B$3:$B$5001,I$140,BD!$A$3:$A$5001,_xlfn.MAXIFS(BD!$A$3:$A$5001,BD!$B$3:$B$5001,I$140,BD!$A$3:$A$5001,"&gt;="&amp;$C$7,BD!$A$3:$A$5001,"&lt;="&amp;$B170,BD!$V$3:$V$5001,"&lt;&gt;"))))</f>
        <v/>
      </c>
      <c r="J170" s="54" t="str">
        <f>IF(OR($B170="",$A170&gt;$B$9,J$140=""),"",IF(COUNTIFS(BD!$B$3:$B$5001,J$140,BD!$A$3:$A$5001,"&gt;="&amp;$C$7,BD!$A$3:$A$5001,"&lt;="&amp;$B170,BD!$V$3:$V$5001,"&lt;&gt;")=0,"",SUMIFS(BD!$V$3:$V$5001,BD!$B$3:$B$5001,J$140,BD!$A$3:$A$5001,_xlfn.MAXIFS(BD!$A$3:$A$5001,BD!$B$3:$B$5001,J$140,BD!$A$3:$A$5001,"&gt;="&amp;$C$7,BD!$A$3:$A$5001,"&lt;="&amp;$B170,BD!$V$3:$V$5001,"&lt;&gt;"))))</f>
        <v/>
      </c>
      <c r="K170" s="54" t="str">
        <f>IF(OR($B170="",$A170&gt;$B$9,K$140=""),"",IF(COUNTIFS(BD!$B$3:$B$5001,K$140,BD!$A$3:$A$5001,"&gt;="&amp;$C$7,BD!$A$3:$A$5001,"&lt;="&amp;$B170,BD!$V$3:$V$5001,"&lt;&gt;")=0,"",SUMIFS(BD!$V$3:$V$5001,BD!$B$3:$B$5001,K$140,BD!$A$3:$A$5001,_xlfn.MAXIFS(BD!$A$3:$A$5001,BD!$B$3:$B$5001,K$140,BD!$A$3:$A$5001,"&gt;="&amp;$C$7,BD!$A$3:$A$5001,"&lt;="&amp;$B170,BD!$V$3:$V$5001,"&lt;&gt;"))))</f>
        <v/>
      </c>
      <c r="L170" s="54" t="str">
        <f>IF(OR($B170="",$A170&gt;$B$9,L$140=""),"",IF(COUNTIFS(BD!$B$3:$B$5001,L$140,BD!$A$3:$A$5001,"&gt;="&amp;$C$7,BD!$A$3:$A$5001,"&lt;="&amp;$B170,BD!$V$3:$V$5001,"&lt;&gt;")=0,"",SUMIFS(BD!$V$3:$V$5001,BD!$B$3:$B$5001,L$140,BD!$A$3:$A$5001,_xlfn.MAXIFS(BD!$A$3:$A$5001,BD!$B$3:$B$5001,L$140,BD!$A$3:$A$5001,"&gt;="&amp;$C$7,BD!$A$3:$A$5001,"&lt;="&amp;$B170,BD!$V$3:$V$5001,"&lt;&gt;"))))</f>
        <v/>
      </c>
      <c r="M170" s="54" t="str">
        <f>IF(OR($B170="",$A170&gt;$B$9,M$140=""),"",IF(COUNTIFS(BD!$B$3:$B$5001,M$140,BD!$A$3:$A$5001,"&gt;="&amp;$C$7,BD!$A$3:$A$5001,"&lt;="&amp;$B170,BD!$V$3:$V$5001,"&lt;&gt;")=0,"",SUMIFS(BD!$V$3:$V$5001,BD!$B$3:$B$5001,M$140,BD!$A$3:$A$5001,_xlfn.MAXIFS(BD!$A$3:$A$5001,BD!$B$3:$B$5001,M$140,BD!$A$3:$A$5001,"&gt;="&amp;$C$7,BD!$A$3:$A$5001,"&lt;="&amp;$B170,BD!$V$3:$V$5001,"&lt;&gt;"))))</f>
        <v/>
      </c>
      <c r="N170" s="54" t="str">
        <f>IF(OR($B170="",$A170&gt;$B$9,N$140=""),"",IF(COUNTIFS(BD!$B$3:$B$5001,N$140,BD!$A$3:$A$5001,"&gt;="&amp;$C$7,BD!$A$3:$A$5001,"&lt;="&amp;$B170,BD!$V$3:$V$5001,"&lt;&gt;")=0,"",SUMIFS(BD!$V$3:$V$5001,BD!$B$3:$B$5001,N$140,BD!$A$3:$A$5001,_xlfn.MAXIFS(BD!$A$3:$A$5001,BD!$B$3:$B$5001,N$140,BD!$A$3:$A$5001,"&gt;="&amp;$C$7,BD!$A$3:$A$5001,"&lt;="&amp;$B170,BD!$V$3:$V$5001,"&lt;&gt;"))))</f>
        <v/>
      </c>
      <c r="O170" s="54" t="str">
        <f>IF(OR($B170="",$A170&gt;$B$9,O$140=""),"",IF(COUNTIFS(BD!$B$3:$B$5001,O$140,BD!$A$3:$A$5001,"&gt;="&amp;$C$7,BD!$A$3:$A$5001,"&lt;="&amp;$B170,BD!$V$3:$V$5001,"&lt;&gt;")=0,"",SUMIFS(BD!$V$3:$V$5001,BD!$B$3:$B$5001,O$140,BD!$A$3:$A$5001,_xlfn.MAXIFS(BD!$A$3:$A$5001,BD!$B$3:$B$5001,O$140,BD!$A$3:$A$5001,"&gt;="&amp;$C$7,BD!$A$3:$A$5001,"&lt;="&amp;$B170,BD!$V$3:$V$5001,"&lt;&gt;"))))</f>
        <v/>
      </c>
      <c r="P170" s="54" t="str">
        <f>IF(OR($B170="",$A170&gt;$B$9,P$140=""),"",IF(COUNTIFS(BD!$B$3:$B$5001,P$140,BD!$A$3:$A$5001,"&gt;="&amp;$C$7,BD!$A$3:$A$5001,"&lt;="&amp;$B170,BD!$V$3:$V$5001,"&lt;&gt;")=0,"",SUMIFS(BD!$V$3:$V$5001,BD!$B$3:$B$5001,P$140,BD!$A$3:$A$5001,_xlfn.MAXIFS(BD!$A$3:$A$5001,BD!$B$3:$B$5001,P$140,BD!$A$3:$A$5001,"&gt;="&amp;$C$7,BD!$A$3:$A$5001,"&lt;="&amp;$B170,BD!$V$3:$V$5001,"&lt;&gt;"))))</f>
        <v/>
      </c>
      <c r="Q170" s="54" t="str">
        <f>IF(OR($B170="",$A170&gt;$B$9,Q$140=""),"",IF(COUNTIFS(BD!$B$3:$B$5001,Q$140,BD!$A$3:$A$5001,"&gt;="&amp;$C$7,BD!$A$3:$A$5001,"&lt;="&amp;$B170,BD!$V$3:$V$5001,"&lt;&gt;")=0,"",SUMIFS(BD!$V$3:$V$5001,BD!$B$3:$B$5001,Q$140,BD!$A$3:$A$5001,_xlfn.MAXIFS(BD!$A$3:$A$5001,BD!$B$3:$B$5001,Q$140,BD!$A$3:$A$5001,"&gt;="&amp;$C$7,BD!$A$3:$A$5001,"&lt;="&amp;$B170,BD!$V$3:$V$5001,"&lt;&gt;"))))</f>
        <v/>
      </c>
      <c r="R170" s="54" t="str">
        <f>IF(OR($B170="",$A170&gt;$B$9,R$140=""),"",IF(COUNTIFS(BD!$B$3:$B$5001,R$140,BD!$A$3:$A$5001,"&gt;="&amp;$C$7,BD!$A$3:$A$5001,"&lt;="&amp;$B170,BD!$V$3:$V$5001,"&lt;&gt;")=0,"",SUMIFS(BD!$V$3:$V$5001,BD!$B$3:$B$5001,R$140,BD!$A$3:$A$5001,_xlfn.MAXIFS(BD!$A$3:$A$5001,BD!$B$3:$B$5001,R$140,BD!$A$3:$A$5001,"&gt;="&amp;$C$7,BD!$A$3:$A$5001,"&lt;="&amp;$B170,BD!$V$3:$V$5001,"&lt;&gt;"))))</f>
        <v/>
      </c>
      <c r="S170" s="54" t="str">
        <f>IF(OR($B170="",$A170&gt;$B$9,S$140=""),"",IF(COUNTIFS(BD!$B$3:$B$5001,S$140,BD!$A$3:$A$5001,"&gt;="&amp;$C$7,BD!$A$3:$A$5001,"&lt;="&amp;$B170,BD!$V$3:$V$5001,"&lt;&gt;")=0,"",SUMIFS(BD!$V$3:$V$5001,BD!$B$3:$B$5001,S$140,BD!$A$3:$A$5001,_xlfn.MAXIFS(BD!$A$3:$A$5001,BD!$B$3:$B$5001,S$140,BD!$A$3:$A$5001,"&gt;="&amp;$C$7,BD!$A$3:$A$5001,"&lt;="&amp;$B170,BD!$V$3:$V$5001,"&lt;&gt;"))))</f>
        <v/>
      </c>
      <c r="T170" s="54" t="str">
        <f>IF(OR($B170="",$A170&gt;$B$9,T$140=""),"",IF(COUNTIFS(BD!$B$3:$B$5001,T$140,BD!$A$3:$A$5001,"&gt;="&amp;$C$7,BD!$A$3:$A$5001,"&lt;="&amp;$B170,BD!$V$3:$V$5001,"&lt;&gt;")=0,"",SUMIFS(BD!$V$3:$V$5001,BD!$B$3:$B$5001,T$140,BD!$A$3:$A$5001,_xlfn.MAXIFS(BD!$A$3:$A$5001,BD!$B$3:$B$5001,T$140,BD!$A$3:$A$5001,"&gt;="&amp;$C$7,BD!$A$3:$A$5001,"&lt;="&amp;$B170,BD!$V$3:$V$5001,"&lt;&gt;"))))</f>
        <v/>
      </c>
      <c r="U170" s="54" t="str">
        <f>IF(OR($B170="",$A170&gt;$B$9,U$140=""),"",IF(COUNTIFS(BD!$B$3:$B$5001,U$140,BD!$A$3:$A$5001,"&gt;="&amp;$C$7,BD!$A$3:$A$5001,"&lt;="&amp;$B170,BD!$V$3:$V$5001,"&lt;&gt;")=0,"",SUMIFS(BD!$V$3:$V$5001,BD!$B$3:$B$5001,U$140,BD!$A$3:$A$5001,_xlfn.MAXIFS(BD!$A$3:$A$5001,BD!$B$3:$B$5001,U$140,BD!$A$3:$A$5001,"&gt;="&amp;$C$7,BD!$A$3:$A$5001,"&lt;="&amp;$B170,BD!$V$3:$V$5001,"&lt;&gt;"))))</f>
        <v/>
      </c>
      <c r="V170" s="54" t="str">
        <f>IF(OR($B170="",$A170&gt;$B$9,V$140=""),"",IF(COUNTIFS(BD!$B$3:$B$5001,V$140,BD!$A$3:$A$5001,"&gt;="&amp;$C$7,BD!$A$3:$A$5001,"&lt;="&amp;$B170,BD!$V$3:$V$5001,"&lt;&gt;")=0,"",SUMIFS(BD!$V$3:$V$5001,BD!$B$3:$B$5001,V$140,BD!$A$3:$A$5001,_xlfn.MAXIFS(BD!$A$3:$A$5001,BD!$B$3:$B$5001,V$140,BD!$A$3:$A$5001,"&gt;="&amp;$C$7,BD!$A$3:$A$5001,"&lt;="&amp;$B170,BD!$V$3:$V$5001,"&lt;&gt;"))))</f>
        <v/>
      </c>
    </row>
    <row r="171">
      <c r="A171" s="48">
        <v>31</v>
      </c>
      <c r="B171" s="53">
        <f>$B$42</f>
        <v>46326</v>
      </c>
      <c r="C171" s="54" t="str">
        <f>IF(OR($B171="",$A171&gt;$B$9,C$140=""),"",IF(COUNTIFS(BD!$B$3:$B$5001,C$140,BD!$A$3:$A$5001,"&gt;="&amp;$C$7,BD!$A$3:$A$5001,"&lt;="&amp;$B171,BD!$V$3:$V$5001,"&lt;&gt;")=0,"",SUMIFS(BD!$V$3:$V$5001,BD!$B$3:$B$5001,C$140,BD!$A$3:$A$5001,_xlfn.MAXIFS(BD!$A$3:$A$5001,BD!$B$3:$B$5001,C$140,BD!$A$3:$A$5001,"&gt;="&amp;$C$7,BD!$A$3:$A$5001,"&lt;="&amp;$B171,BD!$V$3:$V$5001,"&lt;&gt;"))))</f>
        <v/>
      </c>
      <c r="D171" s="54" t="str">
        <f>IF(OR($B171="",$A171&gt;$B$9,D$140=""),"",IF(COUNTIFS(BD!$B$3:$B$5001,D$140,BD!$A$3:$A$5001,"&gt;="&amp;$C$7,BD!$A$3:$A$5001,"&lt;="&amp;$B171,BD!$V$3:$V$5001,"&lt;&gt;")=0,"",SUMIFS(BD!$V$3:$V$5001,BD!$B$3:$B$5001,D$140,BD!$A$3:$A$5001,_xlfn.MAXIFS(BD!$A$3:$A$5001,BD!$B$3:$B$5001,D$140,BD!$A$3:$A$5001,"&gt;="&amp;$C$7,BD!$A$3:$A$5001,"&lt;="&amp;$B171,BD!$V$3:$V$5001,"&lt;&gt;"))))</f>
        <v/>
      </c>
      <c r="E171" s="54" t="str">
        <f>IF(OR($B171="",$A171&gt;$B$9,E$140=""),"",IF(COUNTIFS(BD!$B$3:$B$5001,E$140,BD!$A$3:$A$5001,"&gt;="&amp;$C$7,BD!$A$3:$A$5001,"&lt;="&amp;$B171,BD!$V$3:$V$5001,"&lt;&gt;")=0,"",SUMIFS(BD!$V$3:$V$5001,BD!$B$3:$B$5001,E$140,BD!$A$3:$A$5001,_xlfn.MAXIFS(BD!$A$3:$A$5001,BD!$B$3:$B$5001,E$140,BD!$A$3:$A$5001,"&gt;="&amp;$C$7,BD!$A$3:$A$5001,"&lt;="&amp;$B171,BD!$V$3:$V$5001,"&lt;&gt;"))))</f>
        <v/>
      </c>
      <c r="F171" s="54" t="str">
        <f>IF(OR($B171="",$A171&gt;$B$9,F$140=""),"",IF(COUNTIFS(BD!$B$3:$B$5001,F$140,BD!$A$3:$A$5001,"&gt;="&amp;$C$7,BD!$A$3:$A$5001,"&lt;="&amp;$B171,BD!$V$3:$V$5001,"&lt;&gt;")=0,"",SUMIFS(BD!$V$3:$V$5001,BD!$B$3:$B$5001,F$140,BD!$A$3:$A$5001,_xlfn.MAXIFS(BD!$A$3:$A$5001,BD!$B$3:$B$5001,F$140,BD!$A$3:$A$5001,"&gt;="&amp;$C$7,BD!$A$3:$A$5001,"&lt;="&amp;$B171,BD!$V$3:$V$5001,"&lt;&gt;"))))</f>
        <v/>
      </c>
      <c r="G171" s="54" t="str">
        <f>IF(OR($B171="",$A171&gt;$B$9,G$140=""),"",IF(COUNTIFS(BD!$B$3:$B$5001,G$140,BD!$A$3:$A$5001,"&gt;="&amp;$C$7,BD!$A$3:$A$5001,"&lt;="&amp;$B171,BD!$V$3:$V$5001,"&lt;&gt;")=0,"",SUMIFS(BD!$V$3:$V$5001,BD!$B$3:$B$5001,G$140,BD!$A$3:$A$5001,_xlfn.MAXIFS(BD!$A$3:$A$5001,BD!$B$3:$B$5001,G$140,BD!$A$3:$A$5001,"&gt;="&amp;$C$7,BD!$A$3:$A$5001,"&lt;="&amp;$B171,BD!$V$3:$V$5001,"&lt;&gt;"))))</f>
        <v/>
      </c>
      <c r="H171" s="54" t="str">
        <f>IF(OR($B171="",$A171&gt;$B$9,H$140=""),"",IF(COUNTIFS(BD!$B$3:$B$5001,H$140,BD!$A$3:$A$5001,"&gt;="&amp;$C$7,BD!$A$3:$A$5001,"&lt;="&amp;$B171,BD!$V$3:$V$5001,"&lt;&gt;")=0,"",SUMIFS(BD!$V$3:$V$5001,BD!$B$3:$B$5001,H$140,BD!$A$3:$A$5001,_xlfn.MAXIFS(BD!$A$3:$A$5001,BD!$B$3:$B$5001,H$140,BD!$A$3:$A$5001,"&gt;="&amp;$C$7,BD!$A$3:$A$5001,"&lt;="&amp;$B171,BD!$V$3:$V$5001,"&lt;&gt;"))))</f>
        <v/>
      </c>
      <c r="I171" s="54" t="str">
        <f>IF(OR($B171="",$A171&gt;$B$9,I$140=""),"",IF(COUNTIFS(BD!$B$3:$B$5001,I$140,BD!$A$3:$A$5001,"&gt;="&amp;$C$7,BD!$A$3:$A$5001,"&lt;="&amp;$B171,BD!$V$3:$V$5001,"&lt;&gt;")=0,"",SUMIFS(BD!$V$3:$V$5001,BD!$B$3:$B$5001,I$140,BD!$A$3:$A$5001,_xlfn.MAXIFS(BD!$A$3:$A$5001,BD!$B$3:$B$5001,I$140,BD!$A$3:$A$5001,"&gt;="&amp;$C$7,BD!$A$3:$A$5001,"&lt;="&amp;$B171,BD!$V$3:$V$5001,"&lt;&gt;"))))</f>
        <v/>
      </c>
      <c r="J171" s="54" t="str">
        <f>IF(OR($B171="",$A171&gt;$B$9,J$140=""),"",IF(COUNTIFS(BD!$B$3:$B$5001,J$140,BD!$A$3:$A$5001,"&gt;="&amp;$C$7,BD!$A$3:$A$5001,"&lt;="&amp;$B171,BD!$V$3:$V$5001,"&lt;&gt;")=0,"",SUMIFS(BD!$V$3:$V$5001,BD!$B$3:$B$5001,J$140,BD!$A$3:$A$5001,_xlfn.MAXIFS(BD!$A$3:$A$5001,BD!$B$3:$B$5001,J$140,BD!$A$3:$A$5001,"&gt;="&amp;$C$7,BD!$A$3:$A$5001,"&lt;="&amp;$B171,BD!$V$3:$V$5001,"&lt;&gt;"))))</f>
        <v/>
      </c>
      <c r="K171" s="54" t="str">
        <f>IF(OR($B171="",$A171&gt;$B$9,K$140=""),"",IF(COUNTIFS(BD!$B$3:$B$5001,K$140,BD!$A$3:$A$5001,"&gt;="&amp;$C$7,BD!$A$3:$A$5001,"&lt;="&amp;$B171,BD!$V$3:$V$5001,"&lt;&gt;")=0,"",SUMIFS(BD!$V$3:$V$5001,BD!$B$3:$B$5001,K$140,BD!$A$3:$A$5001,_xlfn.MAXIFS(BD!$A$3:$A$5001,BD!$B$3:$B$5001,K$140,BD!$A$3:$A$5001,"&gt;="&amp;$C$7,BD!$A$3:$A$5001,"&lt;="&amp;$B171,BD!$V$3:$V$5001,"&lt;&gt;"))))</f>
        <v/>
      </c>
      <c r="L171" s="54" t="str">
        <f>IF(OR($B171="",$A171&gt;$B$9,L$140=""),"",IF(COUNTIFS(BD!$B$3:$B$5001,L$140,BD!$A$3:$A$5001,"&gt;="&amp;$C$7,BD!$A$3:$A$5001,"&lt;="&amp;$B171,BD!$V$3:$V$5001,"&lt;&gt;")=0,"",SUMIFS(BD!$V$3:$V$5001,BD!$B$3:$B$5001,L$140,BD!$A$3:$A$5001,_xlfn.MAXIFS(BD!$A$3:$A$5001,BD!$B$3:$B$5001,L$140,BD!$A$3:$A$5001,"&gt;="&amp;$C$7,BD!$A$3:$A$5001,"&lt;="&amp;$B171,BD!$V$3:$V$5001,"&lt;&gt;"))))</f>
        <v/>
      </c>
      <c r="M171" s="54" t="str">
        <f>IF(OR($B171="",$A171&gt;$B$9,M$140=""),"",IF(COUNTIFS(BD!$B$3:$B$5001,M$140,BD!$A$3:$A$5001,"&gt;="&amp;$C$7,BD!$A$3:$A$5001,"&lt;="&amp;$B171,BD!$V$3:$V$5001,"&lt;&gt;")=0,"",SUMIFS(BD!$V$3:$V$5001,BD!$B$3:$B$5001,M$140,BD!$A$3:$A$5001,_xlfn.MAXIFS(BD!$A$3:$A$5001,BD!$B$3:$B$5001,M$140,BD!$A$3:$A$5001,"&gt;="&amp;$C$7,BD!$A$3:$A$5001,"&lt;="&amp;$B171,BD!$V$3:$V$5001,"&lt;&gt;"))))</f>
        <v/>
      </c>
      <c r="N171" s="54" t="str">
        <f>IF(OR($B171="",$A171&gt;$B$9,N$140=""),"",IF(COUNTIFS(BD!$B$3:$B$5001,N$140,BD!$A$3:$A$5001,"&gt;="&amp;$C$7,BD!$A$3:$A$5001,"&lt;="&amp;$B171,BD!$V$3:$V$5001,"&lt;&gt;")=0,"",SUMIFS(BD!$V$3:$V$5001,BD!$B$3:$B$5001,N$140,BD!$A$3:$A$5001,_xlfn.MAXIFS(BD!$A$3:$A$5001,BD!$B$3:$B$5001,N$140,BD!$A$3:$A$5001,"&gt;="&amp;$C$7,BD!$A$3:$A$5001,"&lt;="&amp;$B171,BD!$V$3:$V$5001,"&lt;&gt;"))))</f>
        <v/>
      </c>
      <c r="O171" s="54" t="str">
        <f>IF(OR($B171="",$A171&gt;$B$9,O$140=""),"",IF(COUNTIFS(BD!$B$3:$B$5001,O$140,BD!$A$3:$A$5001,"&gt;="&amp;$C$7,BD!$A$3:$A$5001,"&lt;="&amp;$B171,BD!$V$3:$V$5001,"&lt;&gt;")=0,"",SUMIFS(BD!$V$3:$V$5001,BD!$B$3:$B$5001,O$140,BD!$A$3:$A$5001,_xlfn.MAXIFS(BD!$A$3:$A$5001,BD!$B$3:$B$5001,O$140,BD!$A$3:$A$5001,"&gt;="&amp;$C$7,BD!$A$3:$A$5001,"&lt;="&amp;$B171,BD!$V$3:$V$5001,"&lt;&gt;"))))</f>
        <v/>
      </c>
      <c r="P171" s="54" t="str">
        <f>IF(OR($B171="",$A171&gt;$B$9,P$140=""),"",IF(COUNTIFS(BD!$B$3:$B$5001,P$140,BD!$A$3:$A$5001,"&gt;="&amp;$C$7,BD!$A$3:$A$5001,"&lt;="&amp;$B171,BD!$V$3:$V$5001,"&lt;&gt;")=0,"",SUMIFS(BD!$V$3:$V$5001,BD!$B$3:$B$5001,P$140,BD!$A$3:$A$5001,_xlfn.MAXIFS(BD!$A$3:$A$5001,BD!$B$3:$B$5001,P$140,BD!$A$3:$A$5001,"&gt;="&amp;$C$7,BD!$A$3:$A$5001,"&lt;="&amp;$B171,BD!$V$3:$V$5001,"&lt;&gt;"))))</f>
        <v/>
      </c>
      <c r="Q171" s="54" t="str">
        <f>IF(OR($B171="",$A171&gt;$B$9,Q$140=""),"",IF(COUNTIFS(BD!$B$3:$B$5001,Q$140,BD!$A$3:$A$5001,"&gt;="&amp;$C$7,BD!$A$3:$A$5001,"&lt;="&amp;$B171,BD!$V$3:$V$5001,"&lt;&gt;")=0,"",SUMIFS(BD!$V$3:$V$5001,BD!$B$3:$B$5001,Q$140,BD!$A$3:$A$5001,_xlfn.MAXIFS(BD!$A$3:$A$5001,BD!$B$3:$B$5001,Q$140,BD!$A$3:$A$5001,"&gt;="&amp;$C$7,BD!$A$3:$A$5001,"&lt;="&amp;$B171,BD!$V$3:$V$5001,"&lt;&gt;"))))</f>
        <v/>
      </c>
      <c r="R171" s="54" t="str">
        <f>IF(OR($B171="",$A171&gt;$B$9,R$140=""),"",IF(COUNTIFS(BD!$B$3:$B$5001,R$140,BD!$A$3:$A$5001,"&gt;="&amp;$C$7,BD!$A$3:$A$5001,"&lt;="&amp;$B171,BD!$V$3:$V$5001,"&lt;&gt;")=0,"",SUMIFS(BD!$V$3:$V$5001,BD!$B$3:$B$5001,R$140,BD!$A$3:$A$5001,_xlfn.MAXIFS(BD!$A$3:$A$5001,BD!$B$3:$B$5001,R$140,BD!$A$3:$A$5001,"&gt;="&amp;$C$7,BD!$A$3:$A$5001,"&lt;="&amp;$B171,BD!$V$3:$V$5001,"&lt;&gt;"))))</f>
        <v/>
      </c>
      <c r="S171" s="54" t="str">
        <f>IF(OR($B171="",$A171&gt;$B$9,S$140=""),"",IF(COUNTIFS(BD!$B$3:$B$5001,S$140,BD!$A$3:$A$5001,"&gt;="&amp;$C$7,BD!$A$3:$A$5001,"&lt;="&amp;$B171,BD!$V$3:$V$5001,"&lt;&gt;")=0,"",SUMIFS(BD!$V$3:$V$5001,BD!$B$3:$B$5001,S$140,BD!$A$3:$A$5001,_xlfn.MAXIFS(BD!$A$3:$A$5001,BD!$B$3:$B$5001,S$140,BD!$A$3:$A$5001,"&gt;="&amp;$C$7,BD!$A$3:$A$5001,"&lt;="&amp;$B171,BD!$V$3:$V$5001,"&lt;&gt;"))))</f>
        <v/>
      </c>
      <c r="T171" s="54" t="str">
        <f>IF(OR($B171="",$A171&gt;$B$9,T$140=""),"",IF(COUNTIFS(BD!$B$3:$B$5001,T$140,BD!$A$3:$A$5001,"&gt;="&amp;$C$7,BD!$A$3:$A$5001,"&lt;="&amp;$B171,BD!$V$3:$V$5001,"&lt;&gt;")=0,"",SUMIFS(BD!$V$3:$V$5001,BD!$B$3:$B$5001,T$140,BD!$A$3:$A$5001,_xlfn.MAXIFS(BD!$A$3:$A$5001,BD!$B$3:$B$5001,T$140,BD!$A$3:$A$5001,"&gt;="&amp;$C$7,BD!$A$3:$A$5001,"&lt;="&amp;$B171,BD!$V$3:$V$5001,"&lt;&gt;"))))</f>
        <v/>
      </c>
      <c r="U171" s="54" t="str">
        <f>IF(OR($B171="",$A171&gt;$B$9,U$140=""),"",IF(COUNTIFS(BD!$B$3:$B$5001,U$140,BD!$A$3:$A$5001,"&gt;="&amp;$C$7,BD!$A$3:$A$5001,"&lt;="&amp;$B171,BD!$V$3:$V$5001,"&lt;&gt;")=0,"",SUMIFS(BD!$V$3:$V$5001,BD!$B$3:$B$5001,U$140,BD!$A$3:$A$5001,_xlfn.MAXIFS(BD!$A$3:$A$5001,BD!$B$3:$B$5001,U$140,BD!$A$3:$A$5001,"&gt;="&amp;$C$7,BD!$A$3:$A$5001,"&lt;="&amp;$B171,BD!$V$3:$V$5001,"&lt;&gt;"))))</f>
        <v/>
      </c>
      <c r="V171" s="54" t="str">
        <f>IF(OR($B171="",$A171&gt;$B$9,V$140=""),"",IF(COUNTIFS(BD!$B$3:$B$5001,V$140,BD!$A$3:$A$5001,"&gt;="&amp;$C$7,BD!$A$3:$A$5001,"&lt;="&amp;$B171,BD!$V$3:$V$5001,"&lt;&gt;")=0,"",SUMIFS(BD!$V$3:$V$5001,BD!$B$3:$B$5001,V$140,BD!$A$3:$A$5001,_xlfn.MAXIFS(BD!$A$3:$A$5001,BD!$B$3:$B$5001,V$140,BD!$A$3:$A$5001,"&gt;="&amp;$C$7,BD!$A$3:$A$5001,"&lt;="&amp;$B171,BD!$V$3:$V$5001,"&lt;&gt;"))))</f>
        <v/>
      </c>
    </row>
    <row r="172">
      <c r="A172" s="55" t="inlineStr">
        <is>
          <t xml:space="preserve">Mês anterior (último)</t>
        </is>
      </c>
      <c r="C172" s="56" t="str">
        <f>IF(C$140="","",IF(COUNTIFS(BD!$B$3:$B$5001,C$140,BD!$A$3:$A$5001,"&gt;="&amp;$C$8,BD!$A$3:$A$5001,"&lt;="&amp;$D$8,BD!$V$3:$V$5001,"&lt;&gt;")=0,"",SUMIFS(BD!$V$3:$V$5001,BD!$B$3:$B$5001,C$140,BD!$A$3:$A$5001,_xlfn.MAXIFS(BD!$A$3:$A$5001,BD!$B$3:$B$5001,C$140,BD!$A$3:$A$5001,"&gt;="&amp;$C$8,BD!$A$3:$A$5001,"&lt;="&amp;$D$8,BD!$V$3:$V$5001,"&lt;&gt;"))))</f>
        <v/>
      </c>
      <c r="D172" s="56" t="str">
        <f>IF(D$140="","",IF(COUNTIFS(BD!$B$3:$B$5001,D$140,BD!$A$3:$A$5001,"&gt;="&amp;$C$8,BD!$A$3:$A$5001,"&lt;="&amp;$D$8,BD!$V$3:$V$5001,"&lt;&gt;")=0,"",SUMIFS(BD!$V$3:$V$5001,BD!$B$3:$B$5001,D$140,BD!$A$3:$A$5001,_xlfn.MAXIFS(BD!$A$3:$A$5001,BD!$B$3:$B$5001,D$140,BD!$A$3:$A$5001,"&gt;="&amp;$C$8,BD!$A$3:$A$5001,"&lt;="&amp;$D$8,BD!$V$3:$V$5001,"&lt;&gt;"))))</f>
        <v/>
      </c>
      <c r="E172" s="56" t="str">
        <f>IF(E$140="","",IF(COUNTIFS(BD!$B$3:$B$5001,E$140,BD!$A$3:$A$5001,"&gt;="&amp;$C$8,BD!$A$3:$A$5001,"&lt;="&amp;$D$8,BD!$V$3:$V$5001,"&lt;&gt;")=0,"",SUMIFS(BD!$V$3:$V$5001,BD!$B$3:$B$5001,E$140,BD!$A$3:$A$5001,_xlfn.MAXIFS(BD!$A$3:$A$5001,BD!$B$3:$B$5001,E$140,BD!$A$3:$A$5001,"&gt;="&amp;$C$8,BD!$A$3:$A$5001,"&lt;="&amp;$D$8,BD!$V$3:$V$5001,"&lt;&gt;"))))</f>
        <v/>
      </c>
      <c r="F172" s="56" t="str">
        <f>IF(F$140="","",IF(COUNTIFS(BD!$B$3:$B$5001,F$140,BD!$A$3:$A$5001,"&gt;="&amp;$C$8,BD!$A$3:$A$5001,"&lt;="&amp;$D$8,BD!$V$3:$V$5001,"&lt;&gt;")=0,"",SUMIFS(BD!$V$3:$V$5001,BD!$B$3:$B$5001,F$140,BD!$A$3:$A$5001,_xlfn.MAXIFS(BD!$A$3:$A$5001,BD!$B$3:$B$5001,F$140,BD!$A$3:$A$5001,"&gt;="&amp;$C$8,BD!$A$3:$A$5001,"&lt;="&amp;$D$8,BD!$V$3:$V$5001,"&lt;&gt;"))))</f>
        <v/>
      </c>
      <c r="G172" s="56" t="str">
        <f>IF(G$140="","",IF(COUNTIFS(BD!$B$3:$B$5001,G$140,BD!$A$3:$A$5001,"&gt;="&amp;$C$8,BD!$A$3:$A$5001,"&lt;="&amp;$D$8,BD!$V$3:$V$5001,"&lt;&gt;")=0,"",SUMIFS(BD!$V$3:$V$5001,BD!$B$3:$B$5001,G$140,BD!$A$3:$A$5001,_xlfn.MAXIFS(BD!$A$3:$A$5001,BD!$B$3:$B$5001,G$140,BD!$A$3:$A$5001,"&gt;="&amp;$C$8,BD!$A$3:$A$5001,"&lt;="&amp;$D$8,BD!$V$3:$V$5001,"&lt;&gt;"))))</f>
        <v/>
      </c>
      <c r="H172" s="56" t="str">
        <f>IF(H$140="","",IF(COUNTIFS(BD!$B$3:$B$5001,H$140,BD!$A$3:$A$5001,"&gt;="&amp;$C$8,BD!$A$3:$A$5001,"&lt;="&amp;$D$8,BD!$V$3:$V$5001,"&lt;&gt;")=0,"",SUMIFS(BD!$V$3:$V$5001,BD!$B$3:$B$5001,H$140,BD!$A$3:$A$5001,_xlfn.MAXIFS(BD!$A$3:$A$5001,BD!$B$3:$B$5001,H$140,BD!$A$3:$A$5001,"&gt;="&amp;$C$8,BD!$A$3:$A$5001,"&lt;="&amp;$D$8,BD!$V$3:$V$5001,"&lt;&gt;"))))</f>
        <v/>
      </c>
      <c r="I172" s="56" t="str">
        <f>IF(I$140="","",IF(COUNTIFS(BD!$B$3:$B$5001,I$140,BD!$A$3:$A$5001,"&gt;="&amp;$C$8,BD!$A$3:$A$5001,"&lt;="&amp;$D$8,BD!$V$3:$V$5001,"&lt;&gt;")=0,"",SUMIFS(BD!$V$3:$V$5001,BD!$B$3:$B$5001,I$140,BD!$A$3:$A$5001,_xlfn.MAXIFS(BD!$A$3:$A$5001,BD!$B$3:$B$5001,I$140,BD!$A$3:$A$5001,"&gt;="&amp;$C$8,BD!$A$3:$A$5001,"&lt;="&amp;$D$8,BD!$V$3:$V$5001,"&lt;&gt;"))))</f>
        <v/>
      </c>
      <c r="J172" s="56" t="str">
        <f>IF(J$140="","",IF(COUNTIFS(BD!$B$3:$B$5001,J$140,BD!$A$3:$A$5001,"&gt;="&amp;$C$8,BD!$A$3:$A$5001,"&lt;="&amp;$D$8,BD!$V$3:$V$5001,"&lt;&gt;")=0,"",SUMIFS(BD!$V$3:$V$5001,BD!$B$3:$B$5001,J$140,BD!$A$3:$A$5001,_xlfn.MAXIFS(BD!$A$3:$A$5001,BD!$B$3:$B$5001,J$140,BD!$A$3:$A$5001,"&gt;="&amp;$C$8,BD!$A$3:$A$5001,"&lt;="&amp;$D$8,BD!$V$3:$V$5001,"&lt;&gt;"))))</f>
        <v/>
      </c>
      <c r="K172" s="56" t="str">
        <f>IF(K$140="","",IF(COUNTIFS(BD!$B$3:$B$5001,K$140,BD!$A$3:$A$5001,"&gt;="&amp;$C$8,BD!$A$3:$A$5001,"&lt;="&amp;$D$8,BD!$V$3:$V$5001,"&lt;&gt;")=0,"",SUMIFS(BD!$V$3:$V$5001,BD!$B$3:$B$5001,K$140,BD!$A$3:$A$5001,_xlfn.MAXIFS(BD!$A$3:$A$5001,BD!$B$3:$B$5001,K$140,BD!$A$3:$A$5001,"&gt;="&amp;$C$8,BD!$A$3:$A$5001,"&lt;="&amp;$D$8,BD!$V$3:$V$5001,"&lt;&gt;"))))</f>
        <v/>
      </c>
      <c r="L172" s="56" t="str">
        <f>IF(L$140="","",IF(COUNTIFS(BD!$B$3:$B$5001,L$140,BD!$A$3:$A$5001,"&gt;="&amp;$C$8,BD!$A$3:$A$5001,"&lt;="&amp;$D$8,BD!$V$3:$V$5001,"&lt;&gt;")=0,"",SUMIFS(BD!$V$3:$V$5001,BD!$B$3:$B$5001,L$140,BD!$A$3:$A$5001,_xlfn.MAXIFS(BD!$A$3:$A$5001,BD!$B$3:$B$5001,L$140,BD!$A$3:$A$5001,"&gt;="&amp;$C$8,BD!$A$3:$A$5001,"&lt;="&amp;$D$8,BD!$V$3:$V$5001,"&lt;&gt;"))))</f>
        <v/>
      </c>
      <c r="M172" s="56" t="str">
        <f>IF(M$140="","",IF(COUNTIFS(BD!$B$3:$B$5001,M$140,BD!$A$3:$A$5001,"&gt;="&amp;$C$8,BD!$A$3:$A$5001,"&lt;="&amp;$D$8,BD!$V$3:$V$5001,"&lt;&gt;")=0,"",SUMIFS(BD!$V$3:$V$5001,BD!$B$3:$B$5001,M$140,BD!$A$3:$A$5001,_xlfn.MAXIFS(BD!$A$3:$A$5001,BD!$B$3:$B$5001,M$140,BD!$A$3:$A$5001,"&gt;="&amp;$C$8,BD!$A$3:$A$5001,"&lt;="&amp;$D$8,BD!$V$3:$V$5001,"&lt;&gt;"))))</f>
        <v/>
      </c>
      <c r="N172" s="56" t="str">
        <f>IF(N$140="","",IF(COUNTIFS(BD!$B$3:$B$5001,N$140,BD!$A$3:$A$5001,"&gt;="&amp;$C$8,BD!$A$3:$A$5001,"&lt;="&amp;$D$8,BD!$V$3:$V$5001,"&lt;&gt;")=0,"",SUMIFS(BD!$V$3:$V$5001,BD!$B$3:$B$5001,N$140,BD!$A$3:$A$5001,_xlfn.MAXIFS(BD!$A$3:$A$5001,BD!$B$3:$B$5001,N$140,BD!$A$3:$A$5001,"&gt;="&amp;$C$8,BD!$A$3:$A$5001,"&lt;="&amp;$D$8,BD!$V$3:$V$5001,"&lt;&gt;"))))</f>
        <v/>
      </c>
      <c r="O172" s="56" t="str">
        <f>IF(O$140="","",IF(COUNTIFS(BD!$B$3:$B$5001,O$140,BD!$A$3:$A$5001,"&gt;="&amp;$C$8,BD!$A$3:$A$5001,"&lt;="&amp;$D$8,BD!$V$3:$V$5001,"&lt;&gt;")=0,"",SUMIFS(BD!$V$3:$V$5001,BD!$B$3:$B$5001,O$140,BD!$A$3:$A$5001,_xlfn.MAXIFS(BD!$A$3:$A$5001,BD!$B$3:$B$5001,O$140,BD!$A$3:$A$5001,"&gt;="&amp;$C$8,BD!$A$3:$A$5001,"&lt;="&amp;$D$8,BD!$V$3:$V$5001,"&lt;&gt;"))))</f>
        <v/>
      </c>
      <c r="P172" s="56" t="str">
        <f>IF(P$140="","",IF(COUNTIFS(BD!$B$3:$B$5001,P$140,BD!$A$3:$A$5001,"&gt;="&amp;$C$8,BD!$A$3:$A$5001,"&lt;="&amp;$D$8,BD!$V$3:$V$5001,"&lt;&gt;")=0,"",SUMIFS(BD!$V$3:$V$5001,BD!$B$3:$B$5001,P$140,BD!$A$3:$A$5001,_xlfn.MAXIFS(BD!$A$3:$A$5001,BD!$B$3:$B$5001,P$140,BD!$A$3:$A$5001,"&gt;="&amp;$C$8,BD!$A$3:$A$5001,"&lt;="&amp;$D$8,BD!$V$3:$V$5001,"&lt;&gt;"))))</f>
        <v/>
      </c>
      <c r="Q172" s="56" t="str">
        <f>IF(Q$140="","",IF(COUNTIFS(BD!$B$3:$B$5001,Q$140,BD!$A$3:$A$5001,"&gt;="&amp;$C$8,BD!$A$3:$A$5001,"&lt;="&amp;$D$8,BD!$V$3:$V$5001,"&lt;&gt;")=0,"",SUMIFS(BD!$V$3:$V$5001,BD!$B$3:$B$5001,Q$140,BD!$A$3:$A$5001,_xlfn.MAXIFS(BD!$A$3:$A$5001,BD!$B$3:$B$5001,Q$140,BD!$A$3:$A$5001,"&gt;="&amp;$C$8,BD!$A$3:$A$5001,"&lt;="&amp;$D$8,BD!$V$3:$V$5001,"&lt;&gt;"))))</f>
        <v/>
      </c>
      <c r="R172" s="56" t="str">
        <f>IF(R$140="","",IF(COUNTIFS(BD!$B$3:$B$5001,R$140,BD!$A$3:$A$5001,"&gt;="&amp;$C$8,BD!$A$3:$A$5001,"&lt;="&amp;$D$8,BD!$V$3:$V$5001,"&lt;&gt;")=0,"",SUMIFS(BD!$V$3:$V$5001,BD!$B$3:$B$5001,R$140,BD!$A$3:$A$5001,_xlfn.MAXIFS(BD!$A$3:$A$5001,BD!$B$3:$B$5001,R$140,BD!$A$3:$A$5001,"&gt;="&amp;$C$8,BD!$A$3:$A$5001,"&lt;="&amp;$D$8,BD!$V$3:$V$5001,"&lt;&gt;"))))</f>
        <v/>
      </c>
      <c r="S172" s="56" t="str">
        <f>IF(S$140="","",IF(COUNTIFS(BD!$B$3:$B$5001,S$140,BD!$A$3:$A$5001,"&gt;="&amp;$C$8,BD!$A$3:$A$5001,"&lt;="&amp;$D$8,BD!$V$3:$V$5001,"&lt;&gt;")=0,"",SUMIFS(BD!$V$3:$V$5001,BD!$B$3:$B$5001,S$140,BD!$A$3:$A$5001,_xlfn.MAXIFS(BD!$A$3:$A$5001,BD!$B$3:$B$5001,S$140,BD!$A$3:$A$5001,"&gt;="&amp;$C$8,BD!$A$3:$A$5001,"&lt;="&amp;$D$8,BD!$V$3:$V$5001,"&lt;&gt;"))))</f>
        <v/>
      </c>
      <c r="T172" s="56" t="str">
        <f>IF(T$140="","",IF(COUNTIFS(BD!$B$3:$B$5001,T$140,BD!$A$3:$A$5001,"&gt;="&amp;$C$8,BD!$A$3:$A$5001,"&lt;="&amp;$D$8,BD!$V$3:$V$5001,"&lt;&gt;")=0,"",SUMIFS(BD!$V$3:$V$5001,BD!$B$3:$B$5001,T$140,BD!$A$3:$A$5001,_xlfn.MAXIFS(BD!$A$3:$A$5001,BD!$B$3:$B$5001,T$140,BD!$A$3:$A$5001,"&gt;="&amp;$C$8,BD!$A$3:$A$5001,"&lt;="&amp;$D$8,BD!$V$3:$V$5001,"&lt;&gt;"))))</f>
        <v/>
      </c>
      <c r="U172" s="56" t="str">
        <f>IF(U$140="","",IF(COUNTIFS(BD!$B$3:$B$5001,U$140,BD!$A$3:$A$5001,"&gt;="&amp;$C$8,BD!$A$3:$A$5001,"&lt;="&amp;$D$8,BD!$V$3:$V$5001,"&lt;&gt;")=0,"",SUMIFS(BD!$V$3:$V$5001,BD!$B$3:$B$5001,U$140,BD!$A$3:$A$5001,_xlfn.MAXIFS(BD!$A$3:$A$5001,BD!$B$3:$B$5001,U$140,BD!$A$3:$A$5001,"&gt;="&amp;$C$8,BD!$A$3:$A$5001,"&lt;="&amp;$D$8,BD!$V$3:$V$5001,"&lt;&gt;"))))</f>
        <v/>
      </c>
      <c r="V172" s="56" t="str">
        <f>IF(V$140="","",IF(COUNTIFS(BD!$B$3:$B$5001,V$140,BD!$A$3:$A$5001,"&gt;="&amp;$C$8,BD!$A$3:$A$5001,"&lt;="&amp;$D$8,BD!$V$3:$V$5001,"&lt;&gt;")=0,"",SUMIFS(BD!$V$3:$V$5001,BD!$B$3:$B$5001,V$140,BD!$A$3:$A$5001,_xlfn.MAXIFS(BD!$A$3:$A$5001,BD!$B$3:$B$5001,V$140,BD!$A$3:$A$5001,"&gt;="&amp;$C$8,BD!$A$3:$A$5001,"&lt;="&amp;$D$8,BD!$V$3:$V$5001,"&lt;&gt;"))))</f>
        <v/>
      </c>
    </row>
    <row r="173">
      <c r="A173" s="55" t="inlineStr">
        <is>
          <t xml:space="preserve">Depósito</t>
        </is>
      </c>
      <c r="C173" s="48" t="str">
        <f>IF(Config!$C$10="","TPC",Config!$C$10)</f>
        <v>TPC</v>
      </c>
      <c r="D173" s="48" t="str">
        <f>IF(Config!$C$11="","TPC",Config!$C$11)</f>
        <v>TPC</v>
      </c>
      <c r="E173" s="48" t="str">
        <f>IF(Config!$C$12="","TPC",Config!$C$12)</f>
        <v>TPC</v>
      </c>
      <c r="F173" s="48" t="str">
        <f>IF(Config!$C$13="","TPC",Config!$C$13)</f>
        <v>TPC</v>
      </c>
      <c r="G173" s="48" t="str">
        <f>IF(Config!$C$14="","TPC",Config!$C$14)</f>
        <v>TPC</v>
      </c>
      <c r="H173" s="48" t="str">
        <f>IF(Config!$C$15="","TPC",Config!$C$15)</f>
        <v>TPC</v>
      </c>
      <c r="I173" s="48" t="str">
        <f>IF(Config!$C$16="","TPC",Config!$C$16)</f>
        <v>TPC</v>
      </c>
      <c r="J173" s="48" t="str">
        <f>IF(Config!$C$17="","TPC",Config!$C$17)</f>
        <v>TPC</v>
      </c>
      <c r="K173" s="48" t="str">
        <f>IF(Config!$C$18="","TPC",Config!$C$18)</f>
        <v>TPC</v>
      </c>
      <c r="L173" s="48" t="str">
        <f>IF(Config!$C$19="","TPC",Config!$C$19)</f>
        <v>TPC</v>
      </c>
      <c r="M173" s="48" t="str">
        <f>IF(Config!$C$20="","TPC",Config!$C$20)</f>
        <v>TPC</v>
      </c>
      <c r="N173" s="48" t="str">
        <f>IF(Config!$C$21="","TPC",Config!$C$21)</f>
        <v>TPC</v>
      </c>
      <c r="O173" s="48" t="str">
        <f>IF(Config!$C$22="","TPC",Config!$C$22)</f>
        <v>TPC</v>
      </c>
      <c r="P173" s="48" t="str">
        <f>IF(Config!$C$23="","TPC",Config!$C$23)</f>
        <v>TPC</v>
      </c>
      <c r="Q173" s="48" t="str">
        <f>IF(Config!$C$24="","TPC",Config!$C$24)</f>
        <v>TPC</v>
      </c>
      <c r="R173" s="48" t="str">
        <f>IF(Config!$C$25="","TPC",Config!$C$25)</f>
        <v>TPC</v>
      </c>
      <c r="S173" s="48" t="str">
        <f>IF(Config!$C$26="","TPC",Config!$C$26)</f>
        <v>TPC</v>
      </c>
      <c r="T173" s="48" t="str">
        <f>IF(Config!$C$27="","TPC",Config!$C$27)</f>
        <v>TPC</v>
      </c>
      <c r="U173" s="48" t="str">
        <f>IF(Config!$C$28="","TPC",Config!$C$28)</f>
        <v>TPC</v>
      </c>
      <c r="V173" s="48" t="str">
        <f>IF(Config!$C$29="","TPC",Config!$C$29)</f>
        <v>TPC</v>
      </c>
    </row>
    <row r="175">
      <c r="A175" s="47" t="inlineStr">
        <is>
          <t xml:space="preserve">Backlog Cliente</t>
        </is>
      </c>
      <c r="B175" s="47" t="inlineStr">
        <is>
          <t xml:space="preserve">Data</t>
        </is>
      </c>
      <c r="C175" s="47" t="str">
        <f>Config!$B$10&amp;""</f>
        <v>Alpargatas</v>
      </c>
      <c r="D175" s="47" t="str">
        <f>Config!$B$11&amp;""</f>
        <v>Basf</v>
      </c>
      <c r="E175" s="47" t="str">
        <f>Config!$B$12&amp;""</f>
        <v>Beautybiz</v>
      </c>
      <c r="F175" s="47" t="str">
        <f>Config!$B$13&amp;""</f>
        <v>Boticário</v>
      </c>
      <c r="G175" s="47" t="str">
        <f>Config!$B$14&amp;""</f>
        <v>Confiance</v>
      </c>
      <c r="H175" s="47" t="str">
        <f>Config!$B$15&amp;""</f>
        <v>GE Vernova</v>
      </c>
      <c r="I175" s="47" t="str">
        <f>Config!$B$16&amp;""</f>
        <v>Omnilife</v>
      </c>
      <c r="J175" s="47" t="str">
        <f>Config!$B$17&amp;""</f>
        <v>Supply</v>
      </c>
      <c r="K175" s="47" t="str">
        <f>Config!$B$18&amp;""</f>
        <v>Vedacit</v>
      </c>
      <c r="L175" s="47" t="str">
        <f>Config!$B$19&amp;""</f>
        <v>Vestas</v>
      </c>
      <c r="M175" s="47" t="str">
        <f>Config!$B$20&amp;""</f>
        <v/>
      </c>
      <c r="N175" s="47" t="str">
        <f>Config!$B$21&amp;""</f>
        <v/>
      </c>
      <c r="O175" s="47" t="str">
        <f>Config!$B$22&amp;""</f>
        <v/>
      </c>
      <c r="P175" s="47" t="str">
        <f>Config!$B$23&amp;""</f>
        <v/>
      </c>
      <c r="Q175" s="47" t="str">
        <f>Config!$B$24&amp;""</f>
        <v/>
      </c>
      <c r="R175" s="47" t="str">
        <f>Config!$B$25&amp;""</f>
        <v/>
      </c>
      <c r="S175" s="47" t="str">
        <f>Config!$B$26&amp;""</f>
        <v/>
      </c>
      <c r="T175" s="47" t="str">
        <f>Config!$B$27&amp;""</f>
        <v/>
      </c>
      <c r="U175" s="47" t="str">
        <f>Config!$B$28&amp;""</f>
        <v/>
      </c>
      <c r="V175" s="47" t="str">
        <f>Config!$B$29&amp;""</f>
        <v/>
      </c>
    </row>
    <row r="176">
      <c r="A176" s="48">
        <v>1</v>
      </c>
      <c r="B176" s="53">
        <f>$B$12</f>
        <v>46296</v>
      </c>
      <c r="C176" s="54" t="str">
        <f>IF(OR($B176="",$A176&gt;$B$9,C$175=""),"",IF(COUNTIFS(BD!$B$3:$B$5001,C$175,BD!$A$3:$A$5001,"&gt;="&amp;$C$7,BD!$A$3:$A$5001,"&lt;="&amp;$B176,BD!$W$3:$W$5001,"&lt;&gt;")=0,"",SUMIFS(BD!$W$3:$W$5001,BD!$B$3:$B$5001,C$175,BD!$A$3:$A$5001,_xlfn.MAXIFS(BD!$A$3:$A$5001,BD!$B$3:$B$5001,C$175,BD!$A$3:$A$5001,"&gt;="&amp;$C$7,BD!$A$3:$A$5001,"&lt;="&amp;$B176,BD!$W$3:$W$5001,"&lt;&gt;"))))</f>
        <v/>
      </c>
      <c r="D176" s="54" t="str">
        <f>IF(OR($B176="",$A176&gt;$B$9,D$175=""),"",IF(COUNTIFS(BD!$B$3:$B$5001,D$175,BD!$A$3:$A$5001,"&gt;="&amp;$C$7,BD!$A$3:$A$5001,"&lt;="&amp;$B176,BD!$W$3:$W$5001,"&lt;&gt;")=0,"",SUMIFS(BD!$W$3:$W$5001,BD!$B$3:$B$5001,D$175,BD!$A$3:$A$5001,_xlfn.MAXIFS(BD!$A$3:$A$5001,BD!$B$3:$B$5001,D$175,BD!$A$3:$A$5001,"&gt;="&amp;$C$7,BD!$A$3:$A$5001,"&lt;="&amp;$B176,BD!$W$3:$W$5001,"&lt;&gt;"))))</f>
        <v/>
      </c>
      <c r="E176" s="54" t="str">
        <f>IF(OR($B176="",$A176&gt;$B$9,E$175=""),"",IF(COUNTIFS(BD!$B$3:$B$5001,E$175,BD!$A$3:$A$5001,"&gt;="&amp;$C$7,BD!$A$3:$A$5001,"&lt;="&amp;$B176,BD!$W$3:$W$5001,"&lt;&gt;")=0,"",SUMIFS(BD!$W$3:$W$5001,BD!$B$3:$B$5001,E$175,BD!$A$3:$A$5001,_xlfn.MAXIFS(BD!$A$3:$A$5001,BD!$B$3:$B$5001,E$175,BD!$A$3:$A$5001,"&gt;="&amp;$C$7,BD!$A$3:$A$5001,"&lt;="&amp;$B176,BD!$W$3:$W$5001,"&lt;&gt;"))))</f>
        <v/>
      </c>
      <c r="F176" s="54" t="str">
        <f>IF(OR($B176="",$A176&gt;$B$9,F$175=""),"",IF(COUNTIFS(BD!$B$3:$B$5001,F$175,BD!$A$3:$A$5001,"&gt;="&amp;$C$7,BD!$A$3:$A$5001,"&lt;="&amp;$B176,BD!$W$3:$W$5001,"&lt;&gt;")=0,"",SUMIFS(BD!$W$3:$W$5001,BD!$B$3:$B$5001,F$175,BD!$A$3:$A$5001,_xlfn.MAXIFS(BD!$A$3:$A$5001,BD!$B$3:$B$5001,F$175,BD!$A$3:$A$5001,"&gt;="&amp;$C$7,BD!$A$3:$A$5001,"&lt;="&amp;$B176,BD!$W$3:$W$5001,"&lt;&gt;"))))</f>
        <v/>
      </c>
      <c r="G176" s="54" t="str">
        <f>IF(OR($B176="",$A176&gt;$B$9,G$175=""),"",IF(COUNTIFS(BD!$B$3:$B$5001,G$175,BD!$A$3:$A$5001,"&gt;="&amp;$C$7,BD!$A$3:$A$5001,"&lt;="&amp;$B176,BD!$W$3:$W$5001,"&lt;&gt;")=0,"",SUMIFS(BD!$W$3:$W$5001,BD!$B$3:$B$5001,G$175,BD!$A$3:$A$5001,_xlfn.MAXIFS(BD!$A$3:$A$5001,BD!$B$3:$B$5001,G$175,BD!$A$3:$A$5001,"&gt;="&amp;$C$7,BD!$A$3:$A$5001,"&lt;="&amp;$B176,BD!$W$3:$W$5001,"&lt;&gt;"))))</f>
        <v/>
      </c>
      <c r="H176" s="54" t="str">
        <f>IF(OR($B176="",$A176&gt;$B$9,H$175=""),"",IF(COUNTIFS(BD!$B$3:$B$5001,H$175,BD!$A$3:$A$5001,"&gt;="&amp;$C$7,BD!$A$3:$A$5001,"&lt;="&amp;$B176,BD!$W$3:$W$5001,"&lt;&gt;")=0,"",SUMIFS(BD!$W$3:$W$5001,BD!$B$3:$B$5001,H$175,BD!$A$3:$A$5001,_xlfn.MAXIFS(BD!$A$3:$A$5001,BD!$B$3:$B$5001,H$175,BD!$A$3:$A$5001,"&gt;="&amp;$C$7,BD!$A$3:$A$5001,"&lt;="&amp;$B176,BD!$W$3:$W$5001,"&lt;&gt;"))))</f>
        <v/>
      </c>
      <c r="I176" s="54" t="str">
        <f>IF(OR($B176="",$A176&gt;$B$9,I$175=""),"",IF(COUNTIFS(BD!$B$3:$B$5001,I$175,BD!$A$3:$A$5001,"&gt;="&amp;$C$7,BD!$A$3:$A$5001,"&lt;="&amp;$B176,BD!$W$3:$W$5001,"&lt;&gt;")=0,"",SUMIFS(BD!$W$3:$W$5001,BD!$B$3:$B$5001,I$175,BD!$A$3:$A$5001,_xlfn.MAXIFS(BD!$A$3:$A$5001,BD!$B$3:$B$5001,I$175,BD!$A$3:$A$5001,"&gt;="&amp;$C$7,BD!$A$3:$A$5001,"&lt;="&amp;$B176,BD!$W$3:$W$5001,"&lt;&gt;"))))</f>
        <v/>
      </c>
      <c r="J176" s="54" t="str">
        <f>IF(OR($B176="",$A176&gt;$B$9,J$175=""),"",IF(COUNTIFS(BD!$B$3:$B$5001,J$175,BD!$A$3:$A$5001,"&gt;="&amp;$C$7,BD!$A$3:$A$5001,"&lt;="&amp;$B176,BD!$W$3:$W$5001,"&lt;&gt;")=0,"",SUMIFS(BD!$W$3:$W$5001,BD!$B$3:$B$5001,J$175,BD!$A$3:$A$5001,_xlfn.MAXIFS(BD!$A$3:$A$5001,BD!$B$3:$B$5001,J$175,BD!$A$3:$A$5001,"&gt;="&amp;$C$7,BD!$A$3:$A$5001,"&lt;="&amp;$B176,BD!$W$3:$W$5001,"&lt;&gt;"))))</f>
        <v/>
      </c>
      <c r="K176" s="54" t="str">
        <f>IF(OR($B176="",$A176&gt;$B$9,K$175=""),"",IF(COUNTIFS(BD!$B$3:$B$5001,K$175,BD!$A$3:$A$5001,"&gt;="&amp;$C$7,BD!$A$3:$A$5001,"&lt;="&amp;$B176,BD!$W$3:$W$5001,"&lt;&gt;")=0,"",SUMIFS(BD!$W$3:$W$5001,BD!$B$3:$B$5001,K$175,BD!$A$3:$A$5001,_xlfn.MAXIFS(BD!$A$3:$A$5001,BD!$B$3:$B$5001,K$175,BD!$A$3:$A$5001,"&gt;="&amp;$C$7,BD!$A$3:$A$5001,"&lt;="&amp;$B176,BD!$W$3:$W$5001,"&lt;&gt;"))))</f>
        <v/>
      </c>
      <c r="L176" s="54" t="str">
        <f>IF(OR($B176="",$A176&gt;$B$9,L$175=""),"",IF(COUNTIFS(BD!$B$3:$B$5001,L$175,BD!$A$3:$A$5001,"&gt;="&amp;$C$7,BD!$A$3:$A$5001,"&lt;="&amp;$B176,BD!$W$3:$W$5001,"&lt;&gt;")=0,"",SUMIFS(BD!$W$3:$W$5001,BD!$B$3:$B$5001,L$175,BD!$A$3:$A$5001,_xlfn.MAXIFS(BD!$A$3:$A$5001,BD!$B$3:$B$5001,L$175,BD!$A$3:$A$5001,"&gt;="&amp;$C$7,BD!$A$3:$A$5001,"&lt;="&amp;$B176,BD!$W$3:$W$5001,"&lt;&gt;"))))</f>
        <v/>
      </c>
      <c r="M176" s="54" t="str">
        <f>IF(OR($B176="",$A176&gt;$B$9,M$175=""),"",IF(COUNTIFS(BD!$B$3:$B$5001,M$175,BD!$A$3:$A$5001,"&gt;="&amp;$C$7,BD!$A$3:$A$5001,"&lt;="&amp;$B176,BD!$W$3:$W$5001,"&lt;&gt;")=0,"",SUMIFS(BD!$W$3:$W$5001,BD!$B$3:$B$5001,M$175,BD!$A$3:$A$5001,_xlfn.MAXIFS(BD!$A$3:$A$5001,BD!$B$3:$B$5001,M$175,BD!$A$3:$A$5001,"&gt;="&amp;$C$7,BD!$A$3:$A$5001,"&lt;="&amp;$B176,BD!$W$3:$W$5001,"&lt;&gt;"))))</f>
        <v/>
      </c>
      <c r="N176" s="54" t="str">
        <f>IF(OR($B176="",$A176&gt;$B$9,N$175=""),"",IF(COUNTIFS(BD!$B$3:$B$5001,N$175,BD!$A$3:$A$5001,"&gt;="&amp;$C$7,BD!$A$3:$A$5001,"&lt;="&amp;$B176,BD!$W$3:$W$5001,"&lt;&gt;")=0,"",SUMIFS(BD!$W$3:$W$5001,BD!$B$3:$B$5001,N$175,BD!$A$3:$A$5001,_xlfn.MAXIFS(BD!$A$3:$A$5001,BD!$B$3:$B$5001,N$175,BD!$A$3:$A$5001,"&gt;="&amp;$C$7,BD!$A$3:$A$5001,"&lt;="&amp;$B176,BD!$W$3:$W$5001,"&lt;&gt;"))))</f>
        <v/>
      </c>
      <c r="O176" s="54" t="str">
        <f>IF(OR($B176="",$A176&gt;$B$9,O$175=""),"",IF(COUNTIFS(BD!$B$3:$B$5001,O$175,BD!$A$3:$A$5001,"&gt;="&amp;$C$7,BD!$A$3:$A$5001,"&lt;="&amp;$B176,BD!$W$3:$W$5001,"&lt;&gt;")=0,"",SUMIFS(BD!$W$3:$W$5001,BD!$B$3:$B$5001,O$175,BD!$A$3:$A$5001,_xlfn.MAXIFS(BD!$A$3:$A$5001,BD!$B$3:$B$5001,O$175,BD!$A$3:$A$5001,"&gt;="&amp;$C$7,BD!$A$3:$A$5001,"&lt;="&amp;$B176,BD!$W$3:$W$5001,"&lt;&gt;"))))</f>
        <v/>
      </c>
      <c r="P176" s="54" t="str">
        <f>IF(OR($B176="",$A176&gt;$B$9,P$175=""),"",IF(COUNTIFS(BD!$B$3:$B$5001,P$175,BD!$A$3:$A$5001,"&gt;="&amp;$C$7,BD!$A$3:$A$5001,"&lt;="&amp;$B176,BD!$W$3:$W$5001,"&lt;&gt;")=0,"",SUMIFS(BD!$W$3:$W$5001,BD!$B$3:$B$5001,P$175,BD!$A$3:$A$5001,_xlfn.MAXIFS(BD!$A$3:$A$5001,BD!$B$3:$B$5001,P$175,BD!$A$3:$A$5001,"&gt;="&amp;$C$7,BD!$A$3:$A$5001,"&lt;="&amp;$B176,BD!$W$3:$W$5001,"&lt;&gt;"))))</f>
        <v/>
      </c>
      <c r="Q176" s="54" t="str">
        <f>IF(OR($B176="",$A176&gt;$B$9,Q$175=""),"",IF(COUNTIFS(BD!$B$3:$B$5001,Q$175,BD!$A$3:$A$5001,"&gt;="&amp;$C$7,BD!$A$3:$A$5001,"&lt;="&amp;$B176,BD!$W$3:$W$5001,"&lt;&gt;")=0,"",SUMIFS(BD!$W$3:$W$5001,BD!$B$3:$B$5001,Q$175,BD!$A$3:$A$5001,_xlfn.MAXIFS(BD!$A$3:$A$5001,BD!$B$3:$B$5001,Q$175,BD!$A$3:$A$5001,"&gt;="&amp;$C$7,BD!$A$3:$A$5001,"&lt;="&amp;$B176,BD!$W$3:$W$5001,"&lt;&gt;"))))</f>
        <v/>
      </c>
      <c r="R176" s="54" t="str">
        <f>IF(OR($B176="",$A176&gt;$B$9,R$175=""),"",IF(COUNTIFS(BD!$B$3:$B$5001,R$175,BD!$A$3:$A$5001,"&gt;="&amp;$C$7,BD!$A$3:$A$5001,"&lt;="&amp;$B176,BD!$W$3:$W$5001,"&lt;&gt;")=0,"",SUMIFS(BD!$W$3:$W$5001,BD!$B$3:$B$5001,R$175,BD!$A$3:$A$5001,_xlfn.MAXIFS(BD!$A$3:$A$5001,BD!$B$3:$B$5001,R$175,BD!$A$3:$A$5001,"&gt;="&amp;$C$7,BD!$A$3:$A$5001,"&lt;="&amp;$B176,BD!$W$3:$W$5001,"&lt;&gt;"))))</f>
        <v/>
      </c>
      <c r="S176" s="54" t="str">
        <f>IF(OR($B176="",$A176&gt;$B$9,S$175=""),"",IF(COUNTIFS(BD!$B$3:$B$5001,S$175,BD!$A$3:$A$5001,"&gt;="&amp;$C$7,BD!$A$3:$A$5001,"&lt;="&amp;$B176,BD!$W$3:$W$5001,"&lt;&gt;")=0,"",SUMIFS(BD!$W$3:$W$5001,BD!$B$3:$B$5001,S$175,BD!$A$3:$A$5001,_xlfn.MAXIFS(BD!$A$3:$A$5001,BD!$B$3:$B$5001,S$175,BD!$A$3:$A$5001,"&gt;="&amp;$C$7,BD!$A$3:$A$5001,"&lt;="&amp;$B176,BD!$W$3:$W$5001,"&lt;&gt;"))))</f>
        <v/>
      </c>
      <c r="T176" s="54" t="str">
        <f>IF(OR($B176="",$A176&gt;$B$9,T$175=""),"",IF(COUNTIFS(BD!$B$3:$B$5001,T$175,BD!$A$3:$A$5001,"&gt;="&amp;$C$7,BD!$A$3:$A$5001,"&lt;="&amp;$B176,BD!$W$3:$W$5001,"&lt;&gt;")=0,"",SUMIFS(BD!$W$3:$W$5001,BD!$B$3:$B$5001,T$175,BD!$A$3:$A$5001,_xlfn.MAXIFS(BD!$A$3:$A$5001,BD!$B$3:$B$5001,T$175,BD!$A$3:$A$5001,"&gt;="&amp;$C$7,BD!$A$3:$A$5001,"&lt;="&amp;$B176,BD!$W$3:$W$5001,"&lt;&gt;"))))</f>
        <v/>
      </c>
      <c r="U176" s="54" t="str">
        <f>IF(OR($B176="",$A176&gt;$B$9,U$175=""),"",IF(COUNTIFS(BD!$B$3:$B$5001,U$175,BD!$A$3:$A$5001,"&gt;="&amp;$C$7,BD!$A$3:$A$5001,"&lt;="&amp;$B176,BD!$W$3:$W$5001,"&lt;&gt;")=0,"",SUMIFS(BD!$W$3:$W$5001,BD!$B$3:$B$5001,U$175,BD!$A$3:$A$5001,_xlfn.MAXIFS(BD!$A$3:$A$5001,BD!$B$3:$B$5001,U$175,BD!$A$3:$A$5001,"&gt;="&amp;$C$7,BD!$A$3:$A$5001,"&lt;="&amp;$B176,BD!$W$3:$W$5001,"&lt;&gt;"))))</f>
        <v/>
      </c>
      <c r="V176" s="54" t="str">
        <f>IF(OR($B176="",$A176&gt;$B$9,V$175=""),"",IF(COUNTIFS(BD!$B$3:$B$5001,V$175,BD!$A$3:$A$5001,"&gt;="&amp;$C$7,BD!$A$3:$A$5001,"&lt;="&amp;$B176,BD!$W$3:$W$5001,"&lt;&gt;")=0,"",SUMIFS(BD!$W$3:$W$5001,BD!$B$3:$B$5001,V$175,BD!$A$3:$A$5001,_xlfn.MAXIFS(BD!$A$3:$A$5001,BD!$B$3:$B$5001,V$175,BD!$A$3:$A$5001,"&gt;="&amp;$C$7,BD!$A$3:$A$5001,"&lt;="&amp;$B176,BD!$W$3:$W$5001,"&lt;&gt;"))))</f>
        <v/>
      </c>
    </row>
    <row r="177">
      <c r="A177" s="48">
        <v>2</v>
      </c>
      <c r="B177" s="53">
        <f>$B$13</f>
        <v>46297</v>
      </c>
      <c r="C177" s="54" t="str">
        <f>IF(OR($B177="",$A177&gt;$B$9,C$175=""),"",IF(COUNTIFS(BD!$B$3:$B$5001,C$175,BD!$A$3:$A$5001,"&gt;="&amp;$C$7,BD!$A$3:$A$5001,"&lt;="&amp;$B177,BD!$W$3:$W$5001,"&lt;&gt;")=0,"",SUMIFS(BD!$W$3:$W$5001,BD!$B$3:$B$5001,C$175,BD!$A$3:$A$5001,_xlfn.MAXIFS(BD!$A$3:$A$5001,BD!$B$3:$B$5001,C$175,BD!$A$3:$A$5001,"&gt;="&amp;$C$7,BD!$A$3:$A$5001,"&lt;="&amp;$B177,BD!$W$3:$W$5001,"&lt;&gt;"))))</f>
        <v/>
      </c>
      <c r="D177" s="54" t="str">
        <f>IF(OR($B177="",$A177&gt;$B$9,D$175=""),"",IF(COUNTIFS(BD!$B$3:$B$5001,D$175,BD!$A$3:$A$5001,"&gt;="&amp;$C$7,BD!$A$3:$A$5001,"&lt;="&amp;$B177,BD!$W$3:$W$5001,"&lt;&gt;")=0,"",SUMIFS(BD!$W$3:$W$5001,BD!$B$3:$B$5001,D$175,BD!$A$3:$A$5001,_xlfn.MAXIFS(BD!$A$3:$A$5001,BD!$B$3:$B$5001,D$175,BD!$A$3:$A$5001,"&gt;="&amp;$C$7,BD!$A$3:$A$5001,"&lt;="&amp;$B177,BD!$W$3:$W$5001,"&lt;&gt;"))))</f>
        <v/>
      </c>
      <c r="E177" s="54" t="str">
        <f>IF(OR($B177="",$A177&gt;$B$9,E$175=""),"",IF(COUNTIFS(BD!$B$3:$B$5001,E$175,BD!$A$3:$A$5001,"&gt;="&amp;$C$7,BD!$A$3:$A$5001,"&lt;="&amp;$B177,BD!$W$3:$W$5001,"&lt;&gt;")=0,"",SUMIFS(BD!$W$3:$W$5001,BD!$B$3:$B$5001,E$175,BD!$A$3:$A$5001,_xlfn.MAXIFS(BD!$A$3:$A$5001,BD!$B$3:$B$5001,E$175,BD!$A$3:$A$5001,"&gt;="&amp;$C$7,BD!$A$3:$A$5001,"&lt;="&amp;$B177,BD!$W$3:$W$5001,"&lt;&gt;"))))</f>
        <v/>
      </c>
      <c r="F177" s="54" t="str">
        <f>IF(OR($B177="",$A177&gt;$B$9,F$175=""),"",IF(COUNTIFS(BD!$B$3:$B$5001,F$175,BD!$A$3:$A$5001,"&gt;="&amp;$C$7,BD!$A$3:$A$5001,"&lt;="&amp;$B177,BD!$W$3:$W$5001,"&lt;&gt;")=0,"",SUMIFS(BD!$W$3:$W$5001,BD!$B$3:$B$5001,F$175,BD!$A$3:$A$5001,_xlfn.MAXIFS(BD!$A$3:$A$5001,BD!$B$3:$B$5001,F$175,BD!$A$3:$A$5001,"&gt;="&amp;$C$7,BD!$A$3:$A$5001,"&lt;="&amp;$B177,BD!$W$3:$W$5001,"&lt;&gt;"))))</f>
        <v/>
      </c>
      <c r="G177" s="54" t="str">
        <f>IF(OR($B177="",$A177&gt;$B$9,G$175=""),"",IF(COUNTIFS(BD!$B$3:$B$5001,G$175,BD!$A$3:$A$5001,"&gt;="&amp;$C$7,BD!$A$3:$A$5001,"&lt;="&amp;$B177,BD!$W$3:$W$5001,"&lt;&gt;")=0,"",SUMIFS(BD!$W$3:$W$5001,BD!$B$3:$B$5001,G$175,BD!$A$3:$A$5001,_xlfn.MAXIFS(BD!$A$3:$A$5001,BD!$B$3:$B$5001,G$175,BD!$A$3:$A$5001,"&gt;="&amp;$C$7,BD!$A$3:$A$5001,"&lt;="&amp;$B177,BD!$W$3:$W$5001,"&lt;&gt;"))))</f>
        <v/>
      </c>
      <c r="H177" s="54" t="str">
        <f>IF(OR($B177="",$A177&gt;$B$9,H$175=""),"",IF(COUNTIFS(BD!$B$3:$B$5001,H$175,BD!$A$3:$A$5001,"&gt;="&amp;$C$7,BD!$A$3:$A$5001,"&lt;="&amp;$B177,BD!$W$3:$W$5001,"&lt;&gt;")=0,"",SUMIFS(BD!$W$3:$W$5001,BD!$B$3:$B$5001,H$175,BD!$A$3:$A$5001,_xlfn.MAXIFS(BD!$A$3:$A$5001,BD!$B$3:$B$5001,H$175,BD!$A$3:$A$5001,"&gt;="&amp;$C$7,BD!$A$3:$A$5001,"&lt;="&amp;$B177,BD!$W$3:$W$5001,"&lt;&gt;"))))</f>
        <v/>
      </c>
      <c r="I177" s="54" t="str">
        <f>IF(OR($B177="",$A177&gt;$B$9,I$175=""),"",IF(COUNTIFS(BD!$B$3:$B$5001,I$175,BD!$A$3:$A$5001,"&gt;="&amp;$C$7,BD!$A$3:$A$5001,"&lt;="&amp;$B177,BD!$W$3:$W$5001,"&lt;&gt;")=0,"",SUMIFS(BD!$W$3:$W$5001,BD!$B$3:$B$5001,I$175,BD!$A$3:$A$5001,_xlfn.MAXIFS(BD!$A$3:$A$5001,BD!$B$3:$B$5001,I$175,BD!$A$3:$A$5001,"&gt;="&amp;$C$7,BD!$A$3:$A$5001,"&lt;="&amp;$B177,BD!$W$3:$W$5001,"&lt;&gt;"))))</f>
        <v/>
      </c>
      <c r="J177" s="54" t="str">
        <f>IF(OR($B177="",$A177&gt;$B$9,J$175=""),"",IF(COUNTIFS(BD!$B$3:$B$5001,J$175,BD!$A$3:$A$5001,"&gt;="&amp;$C$7,BD!$A$3:$A$5001,"&lt;="&amp;$B177,BD!$W$3:$W$5001,"&lt;&gt;")=0,"",SUMIFS(BD!$W$3:$W$5001,BD!$B$3:$B$5001,J$175,BD!$A$3:$A$5001,_xlfn.MAXIFS(BD!$A$3:$A$5001,BD!$B$3:$B$5001,J$175,BD!$A$3:$A$5001,"&gt;="&amp;$C$7,BD!$A$3:$A$5001,"&lt;="&amp;$B177,BD!$W$3:$W$5001,"&lt;&gt;"))))</f>
        <v/>
      </c>
      <c r="K177" s="54" t="str">
        <f>IF(OR($B177="",$A177&gt;$B$9,K$175=""),"",IF(COUNTIFS(BD!$B$3:$B$5001,K$175,BD!$A$3:$A$5001,"&gt;="&amp;$C$7,BD!$A$3:$A$5001,"&lt;="&amp;$B177,BD!$W$3:$W$5001,"&lt;&gt;")=0,"",SUMIFS(BD!$W$3:$W$5001,BD!$B$3:$B$5001,K$175,BD!$A$3:$A$5001,_xlfn.MAXIFS(BD!$A$3:$A$5001,BD!$B$3:$B$5001,K$175,BD!$A$3:$A$5001,"&gt;="&amp;$C$7,BD!$A$3:$A$5001,"&lt;="&amp;$B177,BD!$W$3:$W$5001,"&lt;&gt;"))))</f>
        <v/>
      </c>
      <c r="L177" s="54" t="str">
        <f>IF(OR($B177="",$A177&gt;$B$9,L$175=""),"",IF(COUNTIFS(BD!$B$3:$B$5001,L$175,BD!$A$3:$A$5001,"&gt;="&amp;$C$7,BD!$A$3:$A$5001,"&lt;="&amp;$B177,BD!$W$3:$W$5001,"&lt;&gt;")=0,"",SUMIFS(BD!$W$3:$W$5001,BD!$B$3:$B$5001,L$175,BD!$A$3:$A$5001,_xlfn.MAXIFS(BD!$A$3:$A$5001,BD!$B$3:$B$5001,L$175,BD!$A$3:$A$5001,"&gt;="&amp;$C$7,BD!$A$3:$A$5001,"&lt;="&amp;$B177,BD!$W$3:$W$5001,"&lt;&gt;"))))</f>
        <v/>
      </c>
      <c r="M177" s="54" t="str">
        <f>IF(OR($B177="",$A177&gt;$B$9,M$175=""),"",IF(COUNTIFS(BD!$B$3:$B$5001,M$175,BD!$A$3:$A$5001,"&gt;="&amp;$C$7,BD!$A$3:$A$5001,"&lt;="&amp;$B177,BD!$W$3:$W$5001,"&lt;&gt;")=0,"",SUMIFS(BD!$W$3:$W$5001,BD!$B$3:$B$5001,M$175,BD!$A$3:$A$5001,_xlfn.MAXIFS(BD!$A$3:$A$5001,BD!$B$3:$B$5001,M$175,BD!$A$3:$A$5001,"&gt;="&amp;$C$7,BD!$A$3:$A$5001,"&lt;="&amp;$B177,BD!$W$3:$W$5001,"&lt;&gt;"))))</f>
        <v/>
      </c>
      <c r="N177" s="54" t="str">
        <f>IF(OR($B177="",$A177&gt;$B$9,N$175=""),"",IF(COUNTIFS(BD!$B$3:$B$5001,N$175,BD!$A$3:$A$5001,"&gt;="&amp;$C$7,BD!$A$3:$A$5001,"&lt;="&amp;$B177,BD!$W$3:$W$5001,"&lt;&gt;")=0,"",SUMIFS(BD!$W$3:$W$5001,BD!$B$3:$B$5001,N$175,BD!$A$3:$A$5001,_xlfn.MAXIFS(BD!$A$3:$A$5001,BD!$B$3:$B$5001,N$175,BD!$A$3:$A$5001,"&gt;="&amp;$C$7,BD!$A$3:$A$5001,"&lt;="&amp;$B177,BD!$W$3:$W$5001,"&lt;&gt;"))))</f>
        <v/>
      </c>
      <c r="O177" s="54" t="str">
        <f>IF(OR($B177="",$A177&gt;$B$9,O$175=""),"",IF(COUNTIFS(BD!$B$3:$B$5001,O$175,BD!$A$3:$A$5001,"&gt;="&amp;$C$7,BD!$A$3:$A$5001,"&lt;="&amp;$B177,BD!$W$3:$W$5001,"&lt;&gt;")=0,"",SUMIFS(BD!$W$3:$W$5001,BD!$B$3:$B$5001,O$175,BD!$A$3:$A$5001,_xlfn.MAXIFS(BD!$A$3:$A$5001,BD!$B$3:$B$5001,O$175,BD!$A$3:$A$5001,"&gt;="&amp;$C$7,BD!$A$3:$A$5001,"&lt;="&amp;$B177,BD!$W$3:$W$5001,"&lt;&gt;"))))</f>
        <v/>
      </c>
      <c r="P177" s="54" t="str">
        <f>IF(OR($B177="",$A177&gt;$B$9,P$175=""),"",IF(COUNTIFS(BD!$B$3:$B$5001,P$175,BD!$A$3:$A$5001,"&gt;="&amp;$C$7,BD!$A$3:$A$5001,"&lt;="&amp;$B177,BD!$W$3:$W$5001,"&lt;&gt;")=0,"",SUMIFS(BD!$W$3:$W$5001,BD!$B$3:$B$5001,P$175,BD!$A$3:$A$5001,_xlfn.MAXIFS(BD!$A$3:$A$5001,BD!$B$3:$B$5001,P$175,BD!$A$3:$A$5001,"&gt;="&amp;$C$7,BD!$A$3:$A$5001,"&lt;="&amp;$B177,BD!$W$3:$W$5001,"&lt;&gt;"))))</f>
        <v/>
      </c>
      <c r="Q177" s="54" t="str">
        <f>IF(OR($B177="",$A177&gt;$B$9,Q$175=""),"",IF(COUNTIFS(BD!$B$3:$B$5001,Q$175,BD!$A$3:$A$5001,"&gt;="&amp;$C$7,BD!$A$3:$A$5001,"&lt;="&amp;$B177,BD!$W$3:$W$5001,"&lt;&gt;")=0,"",SUMIFS(BD!$W$3:$W$5001,BD!$B$3:$B$5001,Q$175,BD!$A$3:$A$5001,_xlfn.MAXIFS(BD!$A$3:$A$5001,BD!$B$3:$B$5001,Q$175,BD!$A$3:$A$5001,"&gt;="&amp;$C$7,BD!$A$3:$A$5001,"&lt;="&amp;$B177,BD!$W$3:$W$5001,"&lt;&gt;"))))</f>
        <v/>
      </c>
      <c r="R177" s="54" t="str">
        <f>IF(OR($B177="",$A177&gt;$B$9,R$175=""),"",IF(COUNTIFS(BD!$B$3:$B$5001,R$175,BD!$A$3:$A$5001,"&gt;="&amp;$C$7,BD!$A$3:$A$5001,"&lt;="&amp;$B177,BD!$W$3:$W$5001,"&lt;&gt;")=0,"",SUMIFS(BD!$W$3:$W$5001,BD!$B$3:$B$5001,R$175,BD!$A$3:$A$5001,_xlfn.MAXIFS(BD!$A$3:$A$5001,BD!$B$3:$B$5001,R$175,BD!$A$3:$A$5001,"&gt;="&amp;$C$7,BD!$A$3:$A$5001,"&lt;="&amp;$B177,BD!$W$3:$W$5001,"&lt;&gt;"))))</f>
        <v/>
      </c>
      <c r="S177" s="54" t="str">
        <f>IF(OR($B177="",$A177&gt;$B$9,S$175=""),"",IF(COUNTIFS(BD!$B$3:$B$5001,S$175,BD!$A$3:$A$5001,"&gt;="&amp;$C$7,BD!$A$3:$A$5001,"&lt;="&amp;$B177,BD!$W$3:$W$5001,"&lt;&gt;")=0,"",SUMIFS(BD!$W$3:$W$5001,BD!$B$3:$B$5001,S$175,BD!$A$3:$A$5001,_xlfn.MAXIFS(BD!$A$3:$A$5001,BD!$B$3:$B$5001,S$175,BD!$A$3:$A$5001,"&gt;="&amp;$C$7,BD!$A$3:$A$5001,"&lt;="&amp;$B177,BD!$W$3:$W$5001,"&lt;&gt;"))))</f>
        <v/>
      </c>
      <c r="T177" s="54" t="str">
        <f>IF(OR($B177="",$A177&gt;$B$9,T$175=""),"",IF(COUNTIFS(BD!$B$3:$B$5001,T$175,BD!$A$3:$A$5001,"&gt;="&amp;$C$7,BD!$A$3:$A$5001,"&lt;="&amp;$B177,BD!$W$3:$W$5001,"&lt;&gt;")=0,"",SUMIFS(BD!$W$3:$W$5001,BD!$B$3:$B$5001,T$175,BD!$A$3:$A$5001,_xlfn.MAXIFS(BD!$A$3:$A$5001,BD!$B$3:$B$5001,T$175,BD!$A$3:$A$5001,"&gt;="&amp;$C$7,BD!$A$3:$A$5001,"&lt;="&amp;$B177,BD!$W$3:$W$5001,"&lt;&gt;"))))</f>
        <v/>
      </c>
      <c r="U177" s="54" t="str">
        <f>IF(OR($B177="",$A177&gt;$B$9,U$175=""),"",IF(COUNTIFS(BD!$B$3:$B$5001,U$175,BD!$A$3:$A$5001,"&gt;="&amp;$C$7,BD!$A$3:$A$5001,"&lt;="&amp;$B177,BD!$W$3:$W$5001,"&lt;&gt;")=0,"",SUMIFS(BD!$W$3:$W$5001,BD!$B$3:$B$5001,U$175,BD!$A$3:$A$5001,_xlfn.MAXIFS(BD!$A$3:$A$5001,BD!$B$3:$B$5001,U$175,BD!$A$3:$A$5001,"&gt;="&amp;$C$7,BD!$A$3:$A$5001,"&lt;="&amp;$B177,BD!$W$3:$W$5001,"&lt;&gt;"))))</f>
        <v/>
      </c>
      <c r="V177" s="54" t="str">
        <f>IF(OR($B177="",$A177&gt;$B$9,V$175=""),"",IF(COUNTIFS(BD!$B$3:$B$5001,V$175,BD!$A$3:$A$5001,"&gt;="&amp;$C$7,BD!$A$3:$A$5001,"&lt;="&amp;$B177,BD!$W$3:$W$5001,"&lt;&gt;")=0,"",SUMIFS(BD!$W$3:$W$5001,BD!$B$3:$B$5001,V$175,BD!$A$3:$A$5001,_xlfn.MAXIFS(BD!$A$3:$A$5001,BD!$B$3:$B$5001,V$175,BD!$A$3:$A$5001,"&gt;="&amp;$C$7,BD!$A$3:$A$5001,"&lt;="&amp;$B177,BD!$W$3:$W$5001,"&lt;&gt;"))))</f>
        <v/>
      </c>
    </row>
    <row r="178">
      <c r="A178" s="48">
        <v>3</v>
      </c>
      <c r="B178" s="53">
        <f>$B$14</f>
        <v>46298</v>
      </c>
      <c r="C178" s="54" t="str">
        <f>IF(OR($B178="",$A178&gt;$B$9,C$175=""),"",IF(COUNTIFS(BD!$B$3:$B$5001,C$175,BD!$A$3:$A$5001,"&gt;="&amp;$C$7,BD!$A$3:$A$5001,"&lt;="&amp;$B178,BD!$W$3:$W$5001,"&lt;&gt;")=0,"",SUMIFS(BD!$W$3:$W$5001,BD!$B$3:$B$5001,C$175,BD!$A$3:$A$5001,_xlfn.MAXIFS(BD!$A$3:$A$5001,BD!$B$3:$B$5001,C$175,BD!$A$3:$A$5001,"&gt;="&amp;$C$7,BD!$A$3:$A$5001,"&lt;="&amp;$B178,BD!$W$3:$W$5001,"&lt;&gt;"))))</f>
        <v/>
      </c>
      <c r="D178" s="54" t="str">
        <f>IF(OR($B178="",$A178&gt;$B$9,D$175=""),"",IF(COUNTIFS(BD!$B$3:$B$5001,D$175,BD!$A$3:$A$5001,"&gt;="&amp;$C$7,BD!$A$3:$A$5001,"&lt;="&amp;$B178,BD!$W$3:$W$5001,"&lt;&gt;")=0,"",SUMIFS(BD!$W$3:$W$5001,BD!$B$3:$B$5001,D$175,BD!$A$3:$A$5001,_xlfn.MAXIFS(BD!$A$3:$A$5001,BD!$B$3:$B$5001,D$175,BD!$A$3:$A$5001,"&gt;="&amp;$C$7,BD!$A$3:$A$5001,"&lt;="&amp;$B178,BD!$W$3:$W$5001,"&lt;&gt;"))))</f>
        <v/>
      </c>
      <c r="E178" s="54" t="str">
        <f>IF(OR($B178="",$A178&gt;$B$9,E$175=""),"",IF(COUNTIFS(BD!$B$3:$B$5001,E$175,BD!$A$3:$A$5001,"&gt;="&amp;$C$7,BD!$A$3:$A$5001,"&lt;="&amp;$B178,BD!$W$3:$W$5001,"&lt;&gt;")=0,"",SUMIFS(BD!$W$3:$W$5001,BD!$B$3:$B$5001,E$175,BD!$A$3:$A$5001,_xlfn.MAXIFS(BD!$A$3:$A$5001,BD!$B$3:$B$5001,E$175,BD!$A$3:$A$5001,"&gt;="&amp;$C$7,BD!$A$3:$A$5001,"&lt;="&amp;$B178,BD!$W$3:$W$5001,"&lt;&gt;"))))</f>
        <v/>
      </c>
      <c r="F178" s="54" t="str">
        <f>IF(OR($B178="",$A178&gt;$B$9,F$175=""),"",IF(COUNTIFS(BD!$B$3:$B$5001,F$175,BD!$A$3:$A$5001,"&gt;="&amp;$C$7,BD!$A$3:$A$5001,"&lt;="&amp;$B178,BD!$W$3:$W$5001,"&lt;&gt;")=0,"",SUMIFS(BD!$W$3:$W$5001,BD!$B$3:$B$5001,F$175,BD!$A$3:$A$5001,_xlfn.MAXIFS(BD!$A$3:$A$5001,BD!$B$3:$B$5001,F$175,BD!$A$3:$A$5001,"&gt;="&amp;$C$7,BD!$A$3:$A$5001,"&lt;="&amp;$B178,BD!$W$3:$W$5001,"&lt;&gt;"))))</f>
        <v/>
      </c>
      <c r="G178" s="54" t="str">
        <f>IF(OR($B178="",$A178&gt;$B$9,G$175=""),"",IF(COUNTIFS(BD!$B$3:$B$5001,G$175,BD!$A$3:$A$5001,"&gt;="&amp;$C$7,BD!$A$3:$A$5001,"&lt;="&amp;$B178,BD!$W$3:$W$5001,"&lt;&gt;")=0,"",SUMIFS(BD!$W$3:$W$5001,BD!$B$3:$B$5001,G$175,BD!$A$3:$A$5001,_xlfn.MAXIFS(BD!$A$3:$A$5001,BD!$B$3:$B$5001,G$175,BD!$A$3:$A$5001,"&gt;="&amp;$C$7,BD!$A$3:$A$5001,"&lt;="&amp;$B178,BD!$W$3:$W$5001,"&lt;&gt;"))))</f>
        <v/>
      </c>
      <c r="H178" s="54" t="str">
        <f>IF(OR($B178="",$A178&gt;$B$9,H$175=""),"",IF(COUNTIFS(BD!$B$3:$B$5001,H$175,BD!$A$3:$A$5001,"&gt;="&amp;$C$7,BD!$A$3:$A$5001,"&lt;="&amp;$B178,BD!$W$3:$W$5001,"&lt;&gt;")=0,"",SUMIFS(BD!$W$3:$W$5001,BD!$B$3:$B$5001,H$175,BD!$A$3:$A$5001,_xlfn.MAXIFS(BD!$A$3:$A$5001,BD!$B$3:$B$5001,H$175,BD!$A$3:$A$5001,"&gt;="&amp;$C$7,BD!$A$3:$A$5001,"&lt;="&amp;$B178,BD!$W$3:$W$5001,"&lt;&gt;"))))</f>
        <v/>
      </c>
      <c r="I178" s="54" t="str">
        <f>IF(OR($B178="",$A178&gt;$B$9,I$175=""),"",IF(COUNTIFS(BD!$B$3:$B$5001,I$175,BD!$A$3:$A$5001,"&gt;="&amp;$C$7,BD!$A$3:$A$5001,"&lt;="&amp;$B178,BD!$W$3:$W$5001,"&lt;&gt;")=0,"",SUMIFS(BD!$W$3:$W$5001,BD!$B$3:$B$5001,I$175,BD!$A$3:$A$5001,_xlfn.MAXIFS(BD!$A$3:$A$5001,BD!$B$3:$B$5001,I$175,BD!$A$3:$A$5001,"&gt;="&amp;$C$7,BD!$A$3:$A$5001,"&lt;="&amp;$B178,BD!$W$3:$W$5001,"&lt;&gt;"))))</f>
        <v/>
      </c>
      <c r="J178" s="54" t="str">
        <f>IF(OR($B178="",$A178&gt;$B$9,J$175=""),"",IF(COUNTIFS(BD!$B$3:$B$5001,J$175,BD!$A$3:$A$5001,"&gt;="&amp;$C$7,BD!$A$3:$A$5001,"&lt;="&amp;$B178,BD!$W$3:$W$5001,"&lt;&gt;")=0,"",SUMIFS(BD!$W$3:$W$5001,BD!$B$3:$B$5001,J$175,BD!$A$3:$A$5001,_xlfn.MAXIFS(BD!$A$3:$A$5001,BD!$B$3:$B$5001,J$175,BD!$A$3:$A$5001,"&gt;="&amp;$C$7,BD!$A$3:$A$5001,"&lt;="&amp;$B178,BD!$W$3:$W$5001,"&lt;&gt;"))))</f>
        <v/>
      </c>
      <c r="K178" s="54" t="str">
        <f>IF(OR($B178="",$A178&gt;$B$9,K$175=""),"",IF(COUNTIFS(BD!$B$3:$B$5001,K$175,BD!$A$3:$A$5001,"&gt;="&amp;$C$7,BD!$A$3:$A$5001,"&lt;="&amp;$B178,BD!$W$3:$W$5001,"&lt;&gt;")=0,"",SUMIFS(BD!$W$3:$W$5001,BD!$B$3:$B$5001,K$175,BD!$A$3:$A$5001,_xlfn.MAXIFS(BD!$A$3:$A$5001,BD!$B$3:$B$5001,K$175,BD!$A$3:$A$5001,"&gt;="&amp;$C$7,BD!$A$3:$A$5001,"&lt;="&amp;$B178,BD!$W$3:$W$5001,"&lt;&gt;"))))</f>
        <v/>
      </c>
      <c r="L178" s="54" t="str">
        <f>IF(OR($B178="",$A178&gt;$B$9,L$175=""),"",IF(COUNTIFS(BD!$B$3:$B$5001,L$175,BD!$A$3:$A$5001,"&gt;="&amp;$C$7,BD!$A$3:$A$5001,"&lt;="&amp;$B178,BD!$W$3:$W$5001,"&lt;&gt;")=0,"",SUMIFS(BD!$W$3:$W$5001,BD!$B$3:$B$5001,L$175,BD!$A$3:$A$5001,_xlfn.MAXIFS(BD!$A$3:$A$5001,BD!$B$3:$B$5001,L$175,BD!$A$3:$A$5001,"&gt;="&amp;$C$7,BD!$A$3:$A$5001,"&lt;="&amp;$B178,BD!$W$3:$W$5001,"&lt;&gt;"))))</f>
        <v/>
      </c>
      <c r="M178" s="54" t="str">
        <f>IF(OR($B178="",$A178&gt;$B$9,M$175=""),"",IF(COUNTIFS(BD!$B$3:$B$5001,M$175,BD!$A$3:$A$5001,"&gt;="&amp;$C$7,BD!$A$3:$A$5001,"&lt;="&amp;$B178,BD!$W$3:$W$5001,"&lt;&gt;")=0,"",SUMIFS(BD!$W$3:$W$5001,BD!$B$3:$B$5001,M$175,BD!$A$3:$A$5001,_xlfn.MAXIFS(BD!$A$3:$A$5001,BD!$B$3:$B$5001,M$175,BD!$A$3:$A$5001,"&gt;="&amp;$C$7,BD!$A$3:$A$5001,"&lt;="&amp;$B178,BD!$W$3:$W$5001,"&lt;&gt;"))))</f>
        <v/>
      </c>
      <c r="N178" s="54" t="str">
        <f>IF(OR($B178="",$A178&gt;$B$9,N$175=""),"",IF(COUNTIFS(BD!$B$3:$B$5001,N$175,BD!$A$3:$A$5001,"&gt;="&amp;$C$7,BD!$A$3:$A$5001,"&lt;="&amp;$B178,BD!$W$3:$W$5001,"&lt;&gt;")=0,"",SUMIFS(BD!$W$3:$W$5001,BD!$B$3:$B$5001,N$175,BD!$A$3:$A$5001,_xlfn.MAXIFS(BD!$A$3:$A$5001,BD!$B$3:$B$5001,N$175,BD!$A$3:$A$5001,"&gt;="&amp;$C$7,BD!$A$3:$A$5001,"&lt;="&amp;$B178,BD!$W$3:$W$5001,"&lt;&gt;"))))</f>
        <v/>
      </c>
      <c r="O178" s="54" t="str">
        <f>IF(OR($B178="",$A178&gt;$B$9,O$175=""),"",IF(COUNTIFS(BD!$B$3:$B$5001,O$175,BD!$A$3:$A$5001,"&gt;="&amp;$C$7,BD!$A$3:$A$5001,"&lt;="&amp;$B178,BD!$W$3:$W$5001,"&lt;&gt;")=0,"",SUMIFS(BD!$W$3:$W$5001,BD!$B$3:$B$5001,O$175,BD!$A$3:$A$5001,_xlfn.MAXIFS(BD!$A$3:$A$5001,BD!$B$3:$B$5001,O$175,BD!$A$3:$A$5001,"&gt;="&amp;$C$7,BD!$A$3:$A$5001,"&lt;="&amp;$B178,BD!$W$3:$W$5001,"&lt;&gt;"))))</f>
        <v/>
      </c>
      <c r="P178" s="54" t="str">
        <f>IF(OR($B178="",$A178&gt;$B$9,P$175=""),"",IF(COUNTIFS(BD!$B$3:$B$5001,P$175,BD!$A$3:$A$5001,"&gt;="&amp;$C$7,BD!$A$3:$A$5001,"&lt;="&amp;$B178,BD!$W$3:$W$5001,"&lt;&gt;")=0,"",SUMIFS(BD!$W$3:$W$5001,BD!$B$3:$B$5001,P$175,BD!$A$3:$A$5001,_xlfn.MAXIFS(BD!$A$3:$A$5001,BD!$B$3:$B$5001,P$175,BD!$A$3:$A$5001,"&gt;="&amp;$C$7,BD!$A$3:$A$5001,"&lt;="&amp;$B178,BD!$W$3:$W$5001,"&lt;&gt;"))))</f>
        <v/>
      </c>
      <c r="Q178" s="54" t="str">
        <f>IF(OR($B178="",$A178&gt;$B$9,Q$175=""),"",IF(COUNTIFS(BD!$B$3:$B$5001,Q$175,BD!$A$3:$A$5001,"&gt;="&amp;$C$7,BD!$A$3:$A$5001,"&lt;="&amp;$B178,BD!$W$3:$W$5001,"&lt;&gt;")=0,"",SUMIFS(BD!$W$3:$W$5001,BD!$B$3:$B$5001,Q$175,BD!$A$3:$A$5001,_xlfn.MAXIFS(BD!$A$3:$A$5001,BD!$B$3:$B$5001,Q$175,BD!$A$3:$A$5001,"&gt;="&amp;$C$7,BD!$A$3:$A$5001,"&lt;="&amp;$B178,BD!$W$3:$W$5001,"&lt;&gt;"))))</f>
        <v/>
      </c>
      <c r="R178" s="54" t="str">
        <f>IF(OR($B178="",$A178&gt;$B$9,R$175=""),"",IF(COUNTIFS(BD!$B$3:$B$5001,R$175,BD!$A$3:$A$5001,"&gt;="&amp;$C$7,BD!$A$3:$A$5001,"&lt;="&amp;$B178,BD!$W$3:$W$5001,"&lt;&gt;")=0,"",SUMIFS(BD!$W$3:$W$5001,BD!$B$3:$B$5001,R$175,BD!$A$3:$A$5001,_xlfn.MAXIFS(BD!$A$3:$A$5001,BD!$B$3:$B$5001,R$175,BD!$A$3:$A$5001,"&gt;="&amp;$C$7,BD!$A$3:$A$5001,"&lt;="&amp;$B178,BD!$W$3:$W$5001,"&lt;&gt;"))))</f>
        <v/>
      </c>
      <c r="S178" s="54" t="str">
        <f>IF(OR($B178="",$A178&gt;$B$9,S$175=""),"",IF(COUNTIFS(BD!$B$3:$B$5001,S$175,BD!$A$3:$A$5001,"&gt;="&amp;$C$7,BD!$A$3:$A$5001,"&lt;="&amp;$B178,BD!$W$3:$W$5001,"&lt;&gt;")=0,"",SUMIFS(BD!$W$3:$W$5001,BD!$B$3:$B$5001,S$175,BD!$A$3:$A$5001,_xlfn.MAXIFS(BD!$A$3:$A$5001,BD!$B$3:$B$5001,S$175,BD!$A$3:$A$5001,"&gt;="&amp;$C$7,BD!$A$3:$A$5001,"&lt;="&amp;$B178,BD!$W$3:$W$5001,"&lt;&gt;"))))</f>
        <v/>
      </c>
      <c r="T178" s="54" t="str">
        <f>IF(OR($B178="",$A178&gt;$B$9,T$175=""),"",IF(COUNTIFS(BD!$B$3:$B$5001,T$175,BD!$A$3:$A$5001,"&gt;="&amp;$C$7,BD!$A$3:$A$5001,"&lt;="&amp;$B178,BD!$W$3:$W$5001,"&lt;&gt;")=0,"",SUMIFS(BD!$W$3:$W$5001,BD!$B$3:$B$5001,T$175,BD!$A$3:$A$5001,_xlfn.MAXIFS(BD!$A$3:$A$5001,BD!$B$3:$B$5001,T$175,BD!$A$3:$A$5001,"&gt;="&amp;$C$7,BD!$A$3:$A$5001,"&lt;="&amp;$B178,BD!$W$3:$W$5001,"&lt;&gt;"))))</f>
        <v/>
      </c>
      <c r="U178" s="54" t="str">
        <f>IF(OR($B178="",$A178&gt;$B$9,U$175=""),"",IF(COUNTIFS(BD!$B$3:$B$5001,U$175,BD!$A$3:$A$5001,"&gt;="&amp;$C$7,BD!$A$3:$A$5001,"&lt;="&amp;$B178,BD!$W$3:$W$5001,"&lt;&gt;")=0,"",SUMIFS(BD!$W$3:$W$5001,BD!$B$3:$B$5001,U$175,BD!$A$3:$A$5001,_xlfn.MAXIFS(BD!$A$3:$A$5001,BD!$B$3:$B$5001,U$175,BD!$A$3:$A$5001,"&gt;="&amp;$C$7,BD!$A$3:$A$5001,"&lt;="&amp;$B178,BD!$W$3:$W$5001,"&lt;&gt;"))))</f>
        <v/>
      </c>
      <c r="V178" s="54" t="str">
        <f>IF(OR($B178="",$A178&gt;$B$9,V$175=""),"",IF(COUNTIFS(BD!$B$3:$B$5001,V$175,BD!$A$3:$A$5001,"&gt;="&amp;$C$7,BD!$A$3:$A$5001,"&lt;="&amp;$B178,BD!$W$3:$W$5001,"&lt;&gt;")=0,"",SUMIFS(BD!$W$3:$W$5001,BD!$B$3:$B$5001,V$175,BD!$A$3:$A$5001,_xlfn.MAXIFS(BD!$A$3:$A$5001,BD!$B$3:$B$5001,V$175,BD!$A$3:$A$5001,"&gt;="&amp;$C$7,BD!$A$3:$A$5001,"&lt;="&amp;$B178,BD!$W$3:$W$5001,"&lt;&gt;"))))</f>
        <v/>
      </c>
    </row>
    <row r="179">
      <c r="A179" s="48">
        <v>4</v>
      </c>
      <c r="B179" s="53">
        <f>$B$15</f>
        <v>46299</v>
      </c>
      <c r="C179" s="54" t="str">
        <f>IF(OR($B179="",$A179&gt;$B$9,C$175=""),"",IF(COUNTIFS(BD!$B$3:$B$5001,C$175,BD!$A$3:$A$5001,"&gt;="&amp;$C$7,BD!$A$3:$A$5001,"&lt;="&amp;$B179,BD!$W$3:$W$5001,"&lt;&gt;")=0,"",SUMIFS(BD!$W$3:$W$5001,BD!$B$3:$B$5001,C$175,BD!$A$3:$A$5001,_xlfn.MAXIFS(BD!$A$3:$A$5001,BD!$B$3:$B$5001,C$175,BD!$A$3:$A$5001,"&gt;="&amp;$C$7,BD!$A$3:$A$5001,"&lt;="&amp;$B179,BD!$W$3:$W$5001,"&lt;&gt;"))))</f>
        <v/>
      </c>
      <c r="D179" s="54" t="str">
        <f>IF(OR($B179="",$A179&gt;$B$9,D$175=""),"",IF(COUNTIFS(BD!$B$3:$B$5001,D$175,BD!$A$3:$A$5001,"&gt;="&amp;$C$7,BD!$A$3:$A$5001,"&lt;="&amp;$B179,BD!$W$3:$W$5001,"&lt;&gt;")=0,"",SUMIFS(BD!$W$3:$W$5001,BD!$B$3:$B$5001,D$175,BD!$A$3:$A$5001,_xlfn.MAXIFS(BD!$A$3:$A$5001,BD!$B$3:$B$5001,D$175,BD!$A$3:$A$5001,"&gt;="&amp;$C$7,BD!$A$3:$A$5001,"&lt;="&amp;$B179,BD!$W$3:$W$5001,"&lt;&gt;"))))</f>
        <v/>
      </c>
      <c r="E179" s="54" t="str">
        <f>IF(OR($B179="",$A179&gt;$B$9,E$175=""),"",IF(COUNTIFS(BD!$B$3:$B$5001,E$175,BD!$A$3:$A$5001,"&gt;="&amp;$C$7,BD!$A$3:$A$5001,"&lt;="&amp;$B179,BD!$W$3:$W$5001,"&lt;&gt;")=0,"",SUMIFS(BD!$W$3:$W$5001,BD!$B$3:$B$5001,E$175,BD!$A$3:$A$5001,_xlfn.MAXIFS(BD!$A$3:$A$5001,BD!$B$3:$B$5001,E$175,BD!$A$3:$A$5001,"&gt;="&amp;$C$7,BD!$A$3:$A$5001,"&lt;="&amp;$B179,BD!$W$3:$W$5001,"&lt;&gt;"))))</f>
        <v/>
      </c>
      <c r="F179" s="54" t="str">
        <f>IF(OR($B179="",$A179&gt;$B$9,F$175=""),"",IF(COUNTIFS(BD!$B$3:$B$5001,F$175,BD!$A$3:$A$5001,"&gt;="&amp;$C$7,BD!$A$3:$A$5001,"&lt;="&amp;$B179,BD!$W$3:$W$5001,"&lt;&gt;")=0,"",SUMIFS(BD!$W$3:$W$5001,BD!$B$3:$B$5001,F$175,BD!$A$3:$A$5001,_xlfn.MAXIFS(BD!$A$3:$A$5001,BD!$B$3:$B$5001,F$175,BD!$A$3:$A$5001,"&gt;="&amp;$C$7,BD!$A$3:$A$5001,"&lt;="&amp;$B179,BD!$W$3:$W$5001,"&lt;&gt;"))))</f>
        <v/>
      </c>
      <c r="G179" s="54" t="str">
        <f>IF(OR($B179="",$A179&gt;$B$9,G$175=""),"",IF(COUNTIFS(BD!$B$3:$B$5001,G$175,BD!$A$3:$A$5001,"&gt;="&amp;$C$7,BD!$A$3:$A$5001,"&lt;="&amp;$B179,BD!$W$3:$W$5001,"&lt;&gt;")=0,"",SUMIFS(BD!$W$3:$W$5001,BD!$B$3:$B$5001,G$175,BD!$A$3:$A$5001,_xlfn.MAXIFS(BD!$A$3:$A$5001,BD!$B$3:$B$5001,G$175,BD!$A$3:$A$5001,"&gt;="&amp;$C$7,BD!$A$3:$A$5001,"&lt;="&amp;$B179,BD!$W$3:$W$5001,"&lt;&gt;"))))</f>
        <v/>
      </c>
      <c r="H179" s="54" t="str">
        <f>IF(OR($B179="",$A179&gt;$B$9,H$175=""),"",IF(COUNTIFS(BD!$B$3:$B$5001,H$175,BD!$A$3:$A$5001,"&gt;="&amp;$C$7,BD!$A$3:$A$5001,"&lt;="&amp;$B179,BD!$W$3:$W$5001,"&lt;&gt;")=0,"",SUMIFS(BD!$W$3:$W$5001,BD!$B$3:$B$5001,H$175,BD!$A$3:$A$5001,_xlfn.MAXIFS(BD!$A$3:$A$5001,BD!$B$3:$B$5001,H$175,BD!$A$3:$A$5001,"&gt;="&amp;$C$7,BD!$A$3:$A$5001,"&lt;="&amp;$B179,BD!$W$3:$W$5001,"&lt;&gt;"))))</f>
        <v/>
      </c>
      <c r="I179" s="54" t="str">
        <f>IF(OR($B179="",$A179&gt;$B$9,I$175=""),"",IF(COUNTIFS(BD!$B$3:$B$5001,I$175,BD!$A$3:$A$5001,"&gt;="&amp;$C$7,BD!$A$3:$A$5001,"&lt;="&amp;$B179,BD!$W$3:$W$5001,"&lt;&gt;")=0,"",SUMIFS(BD!$W$3:$W$5001,BD!$B$3:$B$5001,I$175,BD!$A$3:$A$5001,_xlfn.MAXIFS(BD!$A$3:$A$5001,BD!$B$3:$B$5001,I$175,BD!$A$3:$A$5001,"&gt;="&amp;$C$7,BD!$A$3:$A$5001,"&lt;="&amp;$B179,BD!$W$3:$W$5001,"&lt;&gt;"))))</f>
        <v/>
      </c>
      <c r="J179" s="54" t="str">
        <f>IF(OR($B179="",$A179&gt;$B$9,J$175=""),"",IF(COUNTIFS(BD!$B$3:$B$5001,J$175,BD!$A$3:$A$5001,"&gt;="&amp;$C$7,BD!$A$3:$A$5001,"&lt;="&amp;$B179,BD!$W$3:$W$5001,"&lt;&gt;")=0,"",SUMIFS(BD!$W$3:$W$5001,BD!$B$3:$B$5001,J$175,BD!$A$3:$A$5001,_xlfn.MAXIFS(BD!$A$3:$A$5001,BD!$B$3:$B$5001,J$175,BD!$A$3:$A$5001,"&gt;="&amp;$C$7,BD!$A$3:$A$5001,"&lt;="&amp;$B179,BD!$W$3:$W$5001,"&lt;&gt;"))))</f>
        <v/>
      </c>
      <c r="K179" s="54" t="str">
        <f>IF(OR($B179="",$A179&gt;$B$9,K$175=""),"",IF(COUNTIFS(BD!$B$3:$B$5001,K$175,BD!$A$3:$A$5001,"&gt;="&amp;$C$7,BD!$A$3:$A$5001,"&lt;="&amp;$B179,BD!$W$3:$W$5001,"&lt;&gt;")=0,"",SUMIFS(BD!$W$3:$W$5001,BD!$B$3:$B$5001,K$175,BD!$A$3:$A$5001,_xlfn.MAXIFS(BD!$A$3:$A$5001,BD!$B$3:$B$5001,K$175,BD!$A$3:$A$5001,"&gt;="&amp;$C$7,BD!$A$3:$A$5001,"&lt;="&amp;$B179,BD!$W$3:$W$5001,"&lt;&gt;"))))</f>
        <v/>
      </c>
      <c r="L179" s="54" t="str">
        <f>IF(OR($B179="",$A179&gt;$B$9,L$175=""),"",IF(COUNTIFS(BD!$B$3:$B$5001,L$175,BD!$A$3:$A$5001,"&gt;="&amp;$C$7,BD!$A$3:$A$5001,"&lt;="&amp;$B179,BD!$W$3:$W$5001,"&lt;&gt;")=0,"",SUMIFS(BD!$W$3:$W$5001,BD!$B$3:$B$5001,L$175,BD!$A$3:$A$5001,_xlfn.MAXIFS(BD!$A$3:$A$5001,BD!$B$3:$B$5001,L$175,BD!$A$3:$A$5001,"&gt;="&amp;$C$7,BD!$A$3:$A$5001,"&lt;="&amp;$B179,BD!$W$3:$W$5001,"&lt;&gt;"))))</f>
        <v/>
      </c>
      <c r="M179" s="54" t="str">
        <f>IF(OR($B179="",$A179&gt;$B$9,M$175=""),"",IF(COUNTIFS(BD!$B$3:$B$5001,M$175,BD!$A$3:$A$5001,"&gt;="&amp;$C$7,BD!$A$3:$A$5001,"&lt;="&amp;$B179,BD!$W$3:$W$5001,"&lt;&gt;")=0,"",SUMIFS(BD!$W$3:$W$5001,BD!$B$3:$B$5001,M$175,BD!$A$3:$A$5001,_xlfn.MAXIFS(BD!$A$3:$A$5001,BD!$B$3:$B$5001,M$175,BD!$A$3:$A$5001,"&gt;="&amp;$C$7,BD!$A$3:$A$5001,"&lt;="&amp;$B179,BD!$W$3:$W$5001,"&lt;&gt;"))))</f>
        <v/>
      </c>
      <c r="N179" s="54" t="str">
        <f>IF(OR($B179="",$A179&gt;$B$9,N$175=""),"",IF(COUNTIFS(BD!$B$3:$B$5001,N$175,BD!$A$3:$A$5001,"&gt;="&amp;$C$7,BD!$A$3:$A$5001,"&lt;="&amp;$B179,BD!$W$3:$W$5001,"&lt;&gt;")=0,"",SUMIFS(BD!$W$3:$W$5001,BD!$B$3:$B$5001,N$175,BD!$A$3:$A$5001,_xlfn.MAXIFS(BD!$A$3:$A$5001,BD!$B$3:$B$5001,N$175,BD!$A$3:$A$5001,"&gt;="&amp;$C$7,BD!$A$3:$A$5001,"&lt;="&amp;$B179,BD!$W$3:$W$5001,"&lt;&gt;"))))</f>
        <v/>
      </c>
      <c r="O179" s="54" t="str">
        <f>IF(OR($B179="",$A179&gt;$B$9,O$175=""),"",IF(COUNTIFS(BD!$B$3:$B$5001,O$175,BD!$A$3:$A$5001,"&gt;="&amp;$C$7,BD!$A$3:$A$5001,"&lt;="&amp;$B179,BD!$W$3:$W$5001,"&lt;&gt;")=0,"",SUMIFS(BD!$W$3:$W$5001,BD!$B$3:$B$5001,O$175,BD!$A$3:$A$5001,_xlfn.MAXIFS(BD!$A$3:$A$5001,BD!$B$3:$B$5001,O$175,BD!$A$3:$A$5001,"&gt;="&amp;$C$7,BD!$A$3:$A$5001,"&lt;="&amp;$B179,BD!$W$3:$W$5001,"&lt;&gt;"))))</f>
        <v/>
      </c>
      <c r="P179" s="54" t="str">
        <f>IF(OR($B179="",$A179&gt;$B$9,P$175=""),"",IF(COUNTIFS(BD!$B$3:$B$5001,P$175,BD!$A$3:$A$5001,"&gt;="&amp;$C$7,BD!$A$3:$A$5001,"&lt;="&amp;$B179,BD!$W$3:$W$5001,"&lt;&gt;")=0,"",SUMIFS(BD!$W$3:$W$5001,BD!$B$3:$B$5001,P$175,BD!$A$3:$A$5001,_xlfn.MAXIFS(BD!$A$3:$A$5001,BD!$B$3:$B$5001,P$175,BD!$A$3:$A$5001,"&gt;="&amp;$C$7,BD!$A$3:$A$5001,"&lt;="&amp;$B179,BD!$W$3:$W$5001,"&lt;&gt;"))))</f>
        <v/>
      </c>
      <c r="Q179" s="54" t="str">
        <f>IF(OR($B179="",$A179&gt;$B$9,Q$175=""),"",IF(COUNTIFS(BD!$B$3:$B$5001,Q$175,BD!$A$3:$A$5001,"&gt;="&amp;$C$7,BD!$A$3:$A$5001,"&lt;="&amp;$B179,BD!$W$3:$W$5001,"&lt;&gt;")=0,"",SUMIFS(BD!$W$3:$W$5001,BD!$B$3:$B$5001,Q$175,BD!$A$3:$A$5001,_xlfn.MAXIFS(BD!$A$3:$A$5001,BD!$B$3:$B$5001,Q$175,BD!$A$3:$A$5001,"&gt;="&amp;$C$7,BD!$A$3:$A$5001,"&lt;="&amp;$B179,BD!$W$3:$W$5001,"&lt;&gt;"))))</f>
        <v/>
      </c>
      <c r="R179" s="54" t="str">
        <f>IF(OR($B179="",$A179&gt;$B$9,R$175=""),"",IF(COUNTIFS(BD!$B$3:$B$5001,R$175,BD!$A$3:$A$5001,"&gt;="&amp;$C$7,BD!$A$3:$A$5001,"&lt;="&amp;$B179,BD!$W$3:$W$5001,"&lt;&gt;")=0,"",SUMIFS(BD!$W$3:$W$5001,BD!$B$3:$B$5001,R$175,BD!$A$3:$A$5001,_xlfn.MAXIFS(BD!$A$3:$A$5001,BD!$B$3:$B$5001,R$175,BD!$A$3:$A$5001,"&gt;="&amp;$C$7,BD!$A$3:$A$5001,"&lt;="&amp;$B179,BD!$W$3:$W$5001,"&lt;&gt;"))))</f>
        <v/>
      </c>
      <c r="S179" s="54" t="str">
        <f>IF(OR($B179="",$A179&gt;$B$9,S$175=""),"",IF(COUNTIFS(BD!$B$3:$B$5001,S$175,BD!$A$3:$A$5001,"&gt;="&amp;$C$7,BD!$A$3:$A$5001,"&lt;="&amp;$B179,BD!$W$3:$W$5001,"&lt;&gt;")=0,"",SUMIFS(BD!$W$3:$W$5001,BD!$B$3:$B$5001,S$175,BD!$A$3:$A$5001,_xlfn.MAXIFS(BD!$A$3:$A$5001,BD!$B$3:$B$5001,S$175,BD!$A$3:$A$5001,"&gt;="&amp;$C$7,BD!$A$3:$A$5001,"&lt;="&amp;$B179,BD!$W$3:$W$5001,"&lt;&gt;"))))</f>
        <v/>
      </c>
      <c r="T179" s="54" t="str">
        <f>IF(OR($B179="",$A179&gt;$B$9,T$175=""),"",IF(COUNTIFS(BD!$B$3:$B$5001,T$175,BD!$A$3:$A$5001,"&gt;="&amp;$C$7,BD!$A$3:$A$5001,"&lt;="&amp;$B179,BD!$W$3:$W$5001,"&lt;&gt;")=0,"",SUMIFS(BD!$W$3:$W$5001,BD!$B$3:$B$5001,T$175,BD!$A$3:$A$5001,_xlfn.MAXIFS(BD!$A$3:$A$5001,BD!$B$3:$B$5001,T$175,BD!$A$3:$A$5001,"&gt;="&amp;$C$7,BD!$A$3:$A$5001,"&lt;="&amp;$B179,BD!$W$3:$W$5001,"&lt;&gt;"))))</f>
        <v/>
      </c>
      <c r="U179" s="54" t="str">
        <f>IF(OR($B179="",$A179&gt;$B$9,U$175=""),"",IF(COUNTIFS(BD!$B$3:$B$5001,U$175,BD!$A$3:$A$5001,"&gt;="&amp;$C$7,BD!$A$3:$A$5001,"&lt;="&amp;$B179,BD!$W$3:$W$5001,"&lt;&gt;")=0,"",SUMIFS(BD!$W$3:$W$5001,BD!$B$3:$B$5001,U$175,BD!$A$3:$A$5001,_xlfn.MAXIFS(BD!$A$3:$A$5001,BD!$B$3:$B$5001,U$175,BD!$A$3:$A$5001,"&gt;="&amp;$C$7,BD!$A$3:$A$5001,"&lt;="&amp;$B179,BD!$W$3:$W$5001,"&lt;&gt;"))))</f>
        <v/>
      </c>
      <c r="V179" s="54" t="str">
        <f>IF(OR($B179="",$A179&gt;$B$9,V$175=""),"",IF(COUNTIFS(BD!$B$3:$B$5001,V$175,BD!$A$3:$A$5001,"&gt;="&amp;$C$7,BD!$A$3:$A$5001,"&lt;="&amp;$B179,BD!$W$3:$W$5001,"&lt;&gt;")=0,"",SUMIFS(BD!$W$3:$W$5001,BD!$B$3:$B$5001,V$175,BD!$A$3:$A$5001,_xlfn.MAXIFS(BD!$A$3:$A$5001,BD!$B$3:$B$5001,V$175,BD!$A$3:$A$5001,"&gt;="&amp;$C$7,BD!$A$3:$A$5001,"&lt;="&amp;$B179,BD!$W$3:$W$5001,"&lt;&gt;"))))</f>
        <v/>
      </c>
    </row>
    <row r="180">
      <c r="A180" s="48">
        <v>5</v>
      </c>
      <c r="B180" s="53">
        <f>$B$16</f>
        <v>46300</v>
      </c>
      <c r="C180" s="54" t="str">
        <f>IF(OR($B180="",$A180&gt;$B$9,C$175=""),"",IF(COUNTIFS(BD!$B$3:$B$5001,C$175,BD!$A$3:$A$5001,"&gt;="&amp;$C$7,BD!$A$3:$A$5001,"&lt;="&amp;$B180,BD!$W$3:$W$5001,"&lt;&gt;")=0,"",SUMIFS(BD!$W$3:$W$5001,BD!$B$3:$B$5001,C$175,BD!$A$3:$A$5001,_xlfn.MAXIFS(BD!$A$3:$A$5001,BD!$B$3:$B$5001,C$175,BD!$A$3:$A$5001,"&gt;="&amp;$C$7,BD!$A$3:$A$5001,"&lt;="&amp;$B180,BD!$W$3:$W$5001,"&lt;&gt;"))))</f>
        <v/>
      </c>
      <c r="D180" s="54" t="str">
        <f>IF(OR($B180="",$A180&gt;$B$9,D$175=""),"",IF(COUNTIFS(BD!$B$3:$B$5001,D$175,BD!$A$3:$A$5001,"&gt;="&amp;$C$7,BD!$A$3:$A$5001,"&lt;="&amp;$B180,BD!$W$3:$W$5001,"&lt;&gt;")=0,"",SUMIFS(BD!$W$3:$W$5001,BD!$B$3:$B$5001,D$175,BD!$A$3:$A$5001,_xlfn.MAXIFS(BD!$A$3:$A$5001,BD!$B$3:$B$5001,D$175,BD!$A$3:$A$5001,"&gt;="&amp;$C$7,BD!$A$3:$A$5001,"&lt;="&amp;$B180,BD!$W$3:$W$5001,"&lt;&gt;"))))</f>
        <v/>
      </c>
      <c r="E180" s="54" t="str">
        <f>IF(OR($B180="",$A180&gt;$B$9,E$175=""),"",IF(COUNTIFS(BD!$B$3:$B$5001,E$175,BD!$A$3:$A$5001,"&gt;="&amp;$C$7,BD!$A$3:$A$5001,"&lt;="&amp;$B180,BD!$W$3:$W$5001,"&lt;&gt;")=0,"",SUMIFS(BD!$W$3:$W$5001,BD!$B$3:$B$5001,E$175,BD!$A$3:$A$5001,_xlfn.MAXIFS(BD!$A$3:$A$5001,BD!$B$3:$B$5001,E$175,BD!$A$3:$A$5001,"&gt;="&amp;$C$7,BD!$A$3:$A$5001,"&lt;="&amp;$B180,BD!$W$3:$W$5001,"&lt;&gt;"))))</f>
        <v/>
      </c>
      <c r="F180" s="54" t="str">
        <f>IF(OR($B180="",$A180&gt;$B$9,F$175=""),"",IF(COUNTIFS(BD!$B$3:$B$5001,F$175,BD!$A$3:$A$5001,"&gt;="&amp;$C$7,BD!$A$3:$A$5001,"&lt;="&amp;$B180,BD!$W$3:$W$5001,"&lt;&gt;")=0,"",SUMIFS(BD!$W$3:$W$5001,BD!$B$3:$B$5001,F$175,BD!$A$3:$A$5001,_xlfn.MAXIFS(BD!$A$3:$A$5001,BD!$B$3:$B$5001,F$175,BD!$A$3:$A$5001,"&gt;="&amp;$C$7,BD!$A$3:$A$5001,"&lt;="&amp;$B180,BD!$W$3:$W$5001,"&lt;&gt;"))))</f>
        <v/>
      </c>
      <c r="G180" s="54" t="str">
        <f>IF(OR($B180="",$A180&gt;$B$9,G$175=""),"",IF(COUNTIFS(BD!$B$3:$B$5001,G$175,BD!$A$3:$A$5001,"&gt;="&amp;$C$7,BD!$A$3:$A$5001,"&lt;="&amp;$B180,BD!$W$3:$W$5001,"&lt;&gt;")=0,"",SUMIFS(BD!$W$3:$W$5001,BD!$B$3:$B$5001,G$175,BD!$A$3:$A$5001,_xlfn.MAXIFS(BD!$A$3:$A$5001,BD!$B$3:$B$5001,G$175,BD!$A$3:$A$5001,"&gt;="&amp;$C$7,BD!$A$3:$A$5001,"&lt;="&amp;$B180,BD!$W$3:$W$5001,"&lt;&gt;"))))</f>
        <v/>
      </c>
      <c r="H180" s="54" t="str">
        <f>IF(OR($B180="",$A180&gt;$B$9,H$175=""),"",IF(COUNTIFS(BD!$B$3:$B$5001,H$175,BD!$A$3:$A$5001,"&gt;="&amp;$C$7,BD!$A$3:$A$5001,"&lt;="&amp;$B180,BD!$W$3:$W$5001,"&lt;&gt;")=0,"",SUMIFS(BD!$W$3:$W$5001,BD!$B$3:$B$5001,H$175,BD!$A$3:$A$5001,_xlfn.MAXIFS(BD!$A$3:$A$5001,BD!$B$3:$B$5001,H$175,BD!$A$3:$A$5001,"&gt;="&amp;$C$7,BD!$A$3:$A$5001,"&lt;="&amp;$B180,BD!$W$3:$W$5001,"&lt;&gt;"))))</f>
        <v/>
      </c>
      <c r="I180" s="54" t="str">
        <f>IF(OR($B180="",$A180&gt;$B$9,I$175=""),"",IF(COUNTIFS(BD!$B$3:$B$5001,I$175,BD!$A$3:$A$5001,"&gt;="&amp;$C$7,BD!$A$3:$A$5001,"&lt;="&amp;$B180,BD!$W$3:$W$5001,"&lt;&gt;")=0,"",SUMIFS(BD!$W$3:$W$5001,BD!$B$3:$B$5001,I$175,BD!$A$3:$A$5001,_xlfn.MAXIFS(BD!$A$3:$A$5001,BD!$B$3:$B$5001,I$175,BD!$A$3:$A$5001,"&gt;="&amp;$C$7,BD!$A$3:$A$5001,"&lt;="&amp;$B180,BD!$W$3:$W$5001,"&lt;&gt;"))))</f>
        <v/>
      </c>
      <c r="J180" s="54" t="str">
        <f>IF(OR($B180="",$A180&gt;$B$9,J$175=""),"",IF(COUNTIFS(BD!$B$3:$B$5001,J$175,BD!$A$3:$A$5001,"&gt;="&amp;$C$7,BD!$A$3:$A$5001,"&lt;="&amp;$B180,BD!$W$3:$W$5001,"&lt;&gt;")=0,"",SUMIFS(BD!$W$3:$W$5001,BD!$B$3:$B$5001,J$175,BD!$A$3:$A$5001,_xlfn.MAXIFS(BD!$A$3:$A$5001,BD!$B$3:$B$5001,J$175,BD!$A$3:$A$5001,"&gt;="&amp;$C$7,BD!$A$3:$A$5001,"&lt;="&amp;$B180,BD!$W$3:$W$5001,"&lt;&gt;"))))</f>
        <v/>
      </c>
      <c r="K180" s="54" t="str">
        <f>IF(OR($B180="",$A180&gt;$B$9,K$175=""),"",IF(COUNTIFS(BD!$B$3:$B$5001,K$175,BD!$A$3:$A$5001,"&gt;="&amp;$C$7,BD!$A$3:$A$5001,"&lt;="&amp;$B180,BD!$W$3:$W$5001,"&lt;&gt;")=0,"",SUMIFS(BD!$W$3:$W$5001,BD!$B$3:$B$5001,K$175,BD!$A$3:$A$5001,_xlfn.MAXIFS(BD!$A$3:$A$5001,BD!$B$3:$B$5001,K$175,BD!$A$3:$A$5001,"&gt;="&amp;$C$7,BD!$A$3:$A$5001,"&lt;="&amp;$B180,BD!$W$3:$W$5001,"&lt;&gt;"))))</f>
        <v/>
      </c>
      <c r="L180" s="54" t="str">
        <f>IF(OR($B180="",$A180&gt;$B$9,L$175=""),"",IF(COUNTIFS(BD!$B$3:$B$5001,L$175,BD!$A$3:$A$5001,"&gt;="&amp;$C$7,BD!$A$3:$A$5001,"&lt;="&amp;$B180,BD!$W$3:$W$5001,"&lt;&gt;")=0,"",SUMIFS(BD!$W$3:$W$5001,BD!$B$3:$B$5001,L$175,BD!$A$3:$A$5001,_xlfn.MAXIFS(BD!$A$3:$A$5001,BD!$B$3:$B$5001,L$175,BD!$A$3:$A$5001,"&gt;="&amp;$C$7,BD!$A$3:$A$5001,"&lt;="&amp;$B180,BD!$W$3:$W$5001,"&lt;&gt;"))))</f>
        <v/>
      </c>
      <c r="M180" s="54" t="str">
        <f>IF(OR($B180="",$A180&gt;$B$9,M$175=""),"",IF(COUNTIFS(BD!$B$3:$B$5001,M$175,BD!$A$3:$A$5001,"&gt;="&amp;$C$7,BD!$A$3:$A$5001,"&lt;="&amp;$B180,BD!$W$3:$W$5001,"&lt;&gt;")=0,"",SUMIFS(BD!$W$3:$W$5001,BD!$B$3:$B$5001,M$175,BD!$A$3:$A$5001,_xlfn.MAXIFS(BD!$A$3:$A$5001,BD!$B$3:$B$5001,M$175,BD!$A$3:$A$5001,"&gt;="&amp;$C$7,BD!$A$3:$A$5001,"&lt;="&amp;$B180,BD!$W$3:$W$5001,"&lt;&gt;"))))</f>
        <v/>
      </c>
      <c r="N180" s="54" t="str">
        <f>IF(OR($B180="",$A180&gt;$B$9,N$175=""),"",IF(COUNTIFS(BD!$B$3:$B$5001,N$175,BD!$A$3:$A$5001,"&gt;="&amp;$C$7,BD!$A$3:$A$5001,"&lt;="&amp;$B180,BD!$W$3:$W$5001,"&lt;&gt;")=0,"",SUMIFS(BD!$W$3:$W$5001,BD!$B$3:$B$5001,N$175,BD!$A$3:$A$5001,_xlfn.MAXIFS(BD!$A$3:$A$5001,BD!$B$3:$B$5001,N$175,BD!$A$3:$A$5001,"&gt;="&amp;$C$7,BD!$A$3:$A$5001,"&lt;="&amp;$B180,BD!$W$3:$W$5001,"&lt;&gt;"))))</f>
        <v/>
      </c>
      <c r="O180" s="54" t="str">
        <f>IF(OR($B180="",$A180&gt;$B$9,O$175=""),"",IF(COUNTIFS(BD!$B$3:$B$5001,O$175,BD!$A$3:$A$5001,"&gt;="&amp;$C$7,BD!$A$3:$A$5001,"&lt;="&amp;$B180,BD!$W$3:$W$5001,"&lt;&gt;")=0,"",SUMIFS(BD!$W$3:$W$5001,BD!$B$3:$B$5001,O$175,BD!$A$3:$A$5001,_xlfn.MAXIFS(BD!$A$3:$A$5001,BD!$B$3:$B$5001,O$175,BD!$A$3:$A$5001,"&gt;="&amp;$C$7,BD!$A$3:$A$5001,"&lt;="&amp;$B180,BD!$W$3:$W$5001,"&lt;&gt;"))))</f>
        <v/>
      </c>
      <c r="P180" s="54" t="str">
        <f>IF(OR($B180="",$A180&gt;$B$9,P$175=""),"",IF(COUNTIFS(BD!$B$3:$B$5001,P$175,BD!$A$3:$A$5001,"&gt;="&amp;$C$7,BD!$A$3:$A$5001,"&lt;="&amp;$B180,BD!$W$3:$W$5001,"&lt;&gt;")=0,"",SUMIFS(BD!$W$3:$W$5001,BD!$B$3:$B$5001,P$175,BD!$A$3:$A$5001,_xlfn.MAXIFS(BD!$A$3:$A$5001,BD!$B$3:$B$5001,P$175,BD!$A$3:$A$5001,"&gt;="&amp;$C$7,BD!$A$3:$A$5001,"&lt;="&amp;$B180,BD!$W$3:$W$5001,"&lt;&gt;"))))</f>
        <v/>
      </c>
      <c r="Q180" s="54" t="str">
        <f>IF(OR($B180="",$A180&gt;$B$9,Q$175=""),"",IF(COUNTIFS(BD!$B$3:$B$5001,Q$175,BD!$A$3:$A$5001,"&gt;="&amp;$C$7,BD!$A$3:$A$5001,"&lt;="&amp;$B180,BD!$W$3:$W$5001,"&lt;&gt;")=0,"",SUMIFS(BD!$W$3:$W$5001,BD!$B$3:$B$5001,Q$175,BD!$A$3:$A$5001,_xlfn.MAXIFS(BD!$A$3:$A$5001,BD!$B$3:$B$5001,Q$175,BD!$A$3:$A$5001,"&gt;="&amp;$C$7,BD!$A$3:$A$5001,"&lt;="&amp;$B180,BD!$W$3:$W$5001,"&lt;&gt;"))))</f>
        <v/>
      </c>
      <c r="R180" s="54" t="str">
        <f>IF(OR($B180="",$A180&gt;$B$9,R$175=""),"",IF(COUNTIFS(BD!$B$3:$B$5001,R$175,BD!$A$3:$A$5001,"&gt;="&amp;$C$7,BD!$A$3:$A$5001,"&lt;="&amp;$B180,BD!$W$3:$W$5001,"&lt;&gt;")=0,"",SUMIFS(BD!$W$3:$W$5001,BD!$B$3:$B$5001,R$175,BD!$A$3:$A$5001,_xlfn.MAXIFS(BD!$A$3:$A$5001,BD!$B$3:$B$5001,R$175,BD!$A$3:$A$5001,"&gt;="&amp;$C$7,BD!$A$3:$A$5001,"&lt;="&amp;$B180,BD!$W$3:$W$5001,"&lt;&gt;"))))</f>
        <v/>
      </c>
      <c r="S180" s="54" t="str">
        <f>IF(OR($B180="",$A180&gt;$B$9,S$175=""),"",IF(COUNTIFS(BD!$B$3:$B$5001,S$175,BD!$A$3:$A$5001,"&gt;="&amp;$C$7,BD!$A$3:$A$5001,"&lt;="&amp;$B180,BD!$W$3:$W$5001,"&lt;&gt;")=0,"",SUMIFS(BD!$W$3:$W$5001,BD!$B$3:$B$5001,S$175,BD!$A$3:$A$5001,_xlfn.MAXIFS(BD!$A$3:$A$5001,BD!$B$3:$B$5001,S$175,BD!$A$3:$A$5001,"&gt;="&amp;$C$7,BD!$A$3:$A$5001,"&lt;="&amp;$B180,BD!$W$3:$W$5001,"&lt;&gt;"))))</f>
        <v/>
      </c>
      <c r="T180" s="54" t="str">
        <f>IF(OR($B180="",$A180&gt;$B$9,T$175=""),"",IF(COUNTIFS(BD!$B$3:$B$5001,T$175,BD!$A$3:$A$5001,"&gt;="&amp;$C$7,BD!$A$3:$A$5001,"&lt;="&amp;$B180,BD!$W$3:$W$5001,"&lt;&gt;")=0,"",SUMIFS(BD!$W$3:$W$5001,BD!$B$3:$B$5001,T$175,BD!$A$3:$A$5001,_xlfn.MAXIFS(BD!$A$3:$A$5001,BD!$B$3:$B$5001,T$175,BD!$A$3:$A$5001,"&gt;="&amp;$C$7,BD!$A$3:$A$5001,"&lt;="&amp;$B180,BD!$W$3:$W$5001,"&lt;&gt;"))))</f>
        <v/>
      </c>
      <c r="U180" s="54" t="str">
        <f>IF(OR($B180="",$A180&gt;$B$9,U$175=""),"",IF(COUNTIFS(BD!$B$3:$B$5001,U$175,BD!$A$3:$A$5001,"&gt;="&amp;$C$7,BD!$A$3:$A$5001,"&lt;="&amp;$B180,BD!$W$3:$W$5001,"&lt;&gt;")=0,"",SUMIFS(BD!$W$3:$W$5001,BD!$B$3:$B$5001,U$175,BD!$A$3:$A$5001,_xlfn.MAXIFS(BD!$A$3:$A$5001,BD!$B$3:$B$5001,U$175,BD!$A$3:$A$5001,"&gt;="&amp;$C$7,BD!$A$3:$A$5001,"&lt;="&amp;$B180,BD!$W$3:$W$5001,"&lt;&gt;"))))</f>
        <v/>
      </c>
      <c r="V180" s="54" t="str">
        <f>IF(OR($B180="",$A180&gt;$B$9,V$175=""),"",IF(COUNTIFS(BD!$B$3:$B$5001,V$175,BD!$A$3:$A$5001,"&gt;="&amp;$C$7,BD!$A$3:$A$5001,"&lt;="&amp;$B180,BD!$W$3:$W$5001,"&lt;&gt;")=0,"",SUMIFS(BD!$W$3:$W$5001,BD!$B$3:$B$5001,V$175,BD!$A$3:$A$5001,_xlfn.MAXIFS(BD!$A$3:$A$5001,BD!$B$3:$B$5001,V$175,BD!$A$3:$A$5001,"&gt;="&amp;$C$7,BD!$A$3:$A$5001,"&lt;="&amp;$B180,BD!$W$3:$W$5001,"&lt;&gt;"))))</f>
        <v/>
      </c>
    </row>
    <row r="181">
      <c r="A181" s="48">
        <v>6</v>
      </c>
      <c r="B181" s="53">
        <f>$B$17</f>
        <v>46301</v>
      </c>
      <c r="C181" s="54" t="str">
        <f>IF(OR($B181="",$A181&gt;$B$9,C$175=""),"",IF(COUNTIFS(BD!$B$3:$B$5001,C$175,BD!$A$3:$A$5001,"&gt;="&amp;$C$7,BD!$A$3:$A$5001,"&lt;="&amp;$B181,BD!$W$3:$W$5001,"&lt;&gt;")=0,"",SUMIFS(BD!$W$3:$W$5001,BD!$B$3:$B$5001,C$175,BD!$A$3:$A$5001,_xlfn.MAXIFS(BD!$A$3:$A$5001,BD!$B$3:$B$5001,C$175,BD!$A$3:$A$5001,"&gt;="&amp;$C$7,BD!$A$3:$A$5001,"&lt;="&amp;$B181,BD!$W$3:$W$5001,"&lt;&gt;"))))</f>
        <v/>
      </c>
      <c r="D181" s="54" t="str">
        <f>IF(OR($B181="",$A181&gt;$B$9,D$175=""),"",IF(COUNTIFS(BD!$B$3:$B$5001,D$175,BD!$A$3:$A$5001,"&gt;="&amp;$C$7,BD!$A$3:$A$5001,"&lt;="&amp;$B181,BD!$W$3:$W$5001,"&lt;&gt;")=0,"",SUMIFS(BD!$W$3:$W$5001,BD!$B$3:$B$5001,D$175,BD!$A$3:$A$5001,_xlfn.MAXIFS(BD!$A$3:$A$5001,BD!$B$3:$B$5001,D$175,BD!$A$3:$A$5001,"&gt;="&amp;$C$7,BD!$A$3:$A$5001,"&lt;="&amp;$B181,BD!$W$3:$W$5001,"&lt;&gt;"))))</f>
        <v/>
      </c>
      <c r="E181" s="54" t="str">
        <f>IF(OR($B181="",$A181&gt;$B$9,E$175=""),"",IF(COUNTIFS(BD!$B$3:$B$5001,E$175,BD!$A$3:$A$5001,"&gt;="&amp;$C$7,BD!$A$3:$A$5001,"&lt;="&amp;$B181,BD!$W$3:$W$5001,"&lt;&gt;")=0,"",SUMIFS(BD!$W$3:$W$5001,BD!$B$3:$B$5001,E$175,BD!$A$3:$A$5001,_xlfn.MAXIFS(BD!$A$3:$A$5001,BD!$B$3:$B$5001,E$175,BD!$A$3:$A$5001,"&gt;="&amp;$C$7,BD!$A$3:$A$5001,"&lt;="&amp;$B181,BD!$W$3:$W$5001,"&lt;&gt;"))))</f>
        <v/>
      </c>
      <c r="F181" s="54" t="str">
        <f>IF(OR($B181="",$A181&gt;$B$9,F$175=""),"",IF(COUNTIFS(BD!$B$3:$B$5001,F$175,BD!$A$3:$A$5001,"&gt;="&amp;$C$7,BD!$A$3:$A$5001,"&lt;="&amp;$B181,BD!$W$3:$W$5001,"&lt;&gt;")=0,"",SUMIFS(BD!$W$3:$W$5001,BD!$B$3:$B$5001,F$175,BD!$A$3:$A$5001,_xlfn.MAXIFS(BD!$A$3:$A$5001,BD!$B$3:$B$5001,F$175,BD!$A$3:$A$5001,"&gt;="&amp;$C$7,BD!$A$3:$A$5001,"&lt;="&amp;$B181,BD!$W$3:$W$5001,"&lt;&gt;"))))</f>
        <v/>
      </c>
      <c r="G181" s="54" t="str">
        <f>IF(OR($B181="",$A181&gt;$B$9,G$175=""),"",IF(COUNTIFS(BD!$B$3:$B$5001,G$175,BD!$A$3:$A$5001,"&gt;="&amp;$C$7,BD!$A$3:$A$5001,"&lt;="&amp;$B181,BD!$W$3:$W$5001,"&lt;&gt;")=0,"",SUMIFS(BD!$W$3:$W$5001,BD!$B$3:$B$5001,G$175,BD!$A$3:$A$5001,_xlfn.MAXIFS(BD!$A$3:$A$5001,BD!$B$3:$B$5001,G$175,BD!$A$3:$A$5001,"&gt;="&amp;$C$7,BD!$A$3:$A$5001,"&lt;="&amp;$B181,BD!$W$3:$W$5001,"&lt;&gt;"))))</f>
        <v/>
      </c>
      <c r="H181" s="54" t="str">
        <f>IF(OR($B181="",$A181&gt;$B$9,H$175=""),"",IF(COUNTIFS(BD!$B$3:$B$5001,H$175,BD!$A$3:$A$5001,"&gt;="&amp;$C$7,BD!$A$3:$A$5001,"&lt;="&amp;$B181,BD!$W$3:$W$5001,"&lt;&gt;")=0,"",SUMIFS(BD!$W$3:$W$5001,BD!$B$3:$B$5001,H$175,BD!$A$3:$A$5001,_xlfn.MAXIFS(BD!$A$3:$A$5001,BD!$B$3:$B$5001,H$175,BD!$A$3:$A$5001,"&gt;="&amp;$C$7,BD!$A$3:$A$5001,"&lt;="&amp;$B181,BD!$W$3:$W$5001,"&lt;&gt;"))))</f>
        <v/>
      </c>
      <c r="I181" s="54" t="str">
        <f>IF(OR($B181="",$A181&gt;$B$9,I$175=""),"",IF(COUNTIFS(BD!$B$3:$B$5001,I$175,BD!$A$3:$A$5001,"&gt;="&amp;$C$7,BD!$A$3:$A$5001,"&lt;="&amp;$B181,BD!$W$3:$W$5001,"&lt;&gt;")=0,"",SUMIFS(BD!$W$3:$W$5001,BD!$B$3:$B$5001,I$175,BD!$A$3:$A$5001,_xlfn.MAXIFS(BD!$A$3:$A$5001,BD!$B$3:$B$5001,I$175,BD!$A$3:$A$5001,"&gt;="&amp;$C$7,BD!$A$3:$A$5001,"&lt;="&amp;$B181,BD!$W$3:$W$5001,"&lt;&gt;"))))</f>
        <v/>
      </c>
      <c r="J181" s="54" t="str">
        <f>IF(OR($B181="",$A181&gt;$B$9,J$175=""),"",IF(COUNTIFS(BD!$B$3:$B$5001,J$175,BD!$A$3:$A$5001,"&gt;="&amp;$C$7,BD!$A$3:$A$5001,"&lt;="&amp;$B181,BD!$W$3:$W$5001,"&lt;&gt;")=0,"",SUMIFS(BD!$W$3:$W$5001,BD!$B$3:$B$5001,J$175,BD!$A$3:$A$5001,_xlfn.MAXIFS(BD!$A$3:$A$5001,BD!$B$3:$B$5001,J$175,BD!$A$3:$A$5001,"&gt;="&amp;$C$7,BD!$A$3:$A$5001,"&lt;="&amp;$B181,BD!$W$3:$W$5001,"&lt;&gt;"))))</f>
        <v/>
      </c>
      <c r="K181" s="54" t="str">
        <f>IF(OR($B181="",$A181&gt;$B$9,K$175=""),"",IF(COUNTIFS(BD!$B$3:$B$5001,K$175,BD!$A$3:$A$5001,"&gt;="&amp;$C$7,BD!$A$3:$A$5001,"&lt;="&amp;$B181,BD!$W$3:$W$5001,"&lt;&gt;")=0,"",SUMIFS(BD!$W$3:$W$5001,BD!$B$3:$B$5001,K$175,BD!$A$3:$A$5001,_xlfn.MAXIFS(BD!$A$3:$A$5001,BD!$B$3:$B$5001,K$175,BD!$A$3:$A$5001,"&gt;="&amp;$C$7,BD!$A$3:$A$5001,"&lt;="&amp;$B181,BD!$W$3:$W$5001,"&lt;&gt;"))))</f>
        <v/>
      </c>
      <c r="L181" s="54" t="str">
        <f>IF(OR($B181="",$A181&gt;$B$9,L$175=""),"",IF(COUNTIFS(BD!$B$3:$B$5001,L$175,BD!$A$3:$A$5001,"&gt;="&amp;$C$7,BD!$A$3:$A$5001,"&lt;="&amp;$B181,BD!$W$3:$W$5001,"&lt;&gt;")=0,"",SUMIFS(BD!$W$3:$W$5001,BD!$B$3:$B$5001,L$175,BD!$A$3:$A$5001,_xlfn.MAXIFS(BD!$A$3:$A$5001,BD!$B$3:$B$5001,L$175,BD!$A$3:$A$5001,"&gt;="&amp;$C$7,BD!$A$3:$A$5001,"&lt;="&amp;$B181,BD!$W$3:$W$5001,"&lt;&gt;"))))</f>
        <v/>
      </c>
      <c r="M181" s="54" t="str">
        <f>IF(OR($B181="",$A181&gt;$B$9,M$175=""),"",IF(COUNTIFS(BD!$B$3:$B$5001,M$175,BD!$A$3:$A$5001,"&gt;="&amp;$C$7,BD!$A$3:$A$5001,"&lt;="&amp;$B181,BD!$W$3:$W$5001,"&lt;&gt;")=0,"",SUMIFS(BD!$W$3:$W$5001,BD!$B$3:$B$5001,M$175,BD!$A$3:$A$5001,_xlfn.MAXIFS(BD!$A$3:$A$5001,BD!$B$3:$B$5001,M$175,BD!$A$3:$A$5001,"&gt;="&amp;$C$7,BD!$A$3:$A$5001,"&lt;="&amp;$B181,BD!$W$3:$W$5001,"&lt;&gt;"))))</f>
        <v/>
      </c>
      <c r="N181" s="54" t="str">
        <f>IF(OR($B181="",$A181&gt;$B$9,N$175=""),"",IF(COUNTIFS(BD!$B$3:$B$5001,N$175,BD!$A$3:$A$5001,"&gt;="&amp;$C$7,BD!$A$3:$A$5001,"&lt;="&amp;$B181,BD!$W$3:$W$5001,"&lt;&gt;")=0,"",SUMIFS(BD!$W$3:$W$5001,BD!$B$3:$B$5001,N$175,BD!$A$3:$A$5001,_xlfn.MAXIFS(BD!$A$3:$A$5001,BD!$B$3:$B$5001,N$175,BD!$A$3:$A$5001,"&gt;="&amp;$C$7,BD!$A$3:$A$5001,"&lt;="&amp;$B181,BD!$W$3:$W$5001,"&lt;&gt;"))))</f>
        <v/>
      </c>
      <c r="O181" s="54" t="str">
        <f>IF(OR($B181="",$A181&gt;$B$9,O$175=""),"",IF(COUNTIFS(BD!$B$3:$B$5001,O$175,BD!$A$3:$A$5001,"&gt;="&amp;$C$7,BD!$A$3:$A$5001,"&lt;="&amp;$B181,BD!$W$3:$W$5001,"&lt;&gt;")=0,"",SUMIFS(BD!$W$3:$W$5001,BD!$B$3:$B$5001,O$175,BD!$A$3:$A$5001,_xlfn.MAXIFS(BD!$A$3:$A$5001,BD!$B$3:$B$5001,O$175,BD!$A$3:$A$5001,"&gt;="&amp;$C$7,BD!$A$3:$A$5001,"&lt;="&amp;$B181,BD!$W$3:$W$5001,"&lt;&gt;"))))</f>
        <v/>
      </c>
      <c r="P181" s="54" t="str">
        <f>IF(OR($B181="",$A181&gt;$B$9,P$175=""),"",IF(COUNTIFS(BD!$B$3:$B$5001,P$175,BD!$A$3:$A$5001,"&gt;="&amp;$C$7,BD!$A$3:$A$5001,"&lt;="&amp;$B181,BD!$W$3:$W$5001,"&lt;&gt;")=0,"",SUMIFS(BD!$W$3:$W$5001,BD!$B$3:$B$5001,P$175,BD!$A$3:$A$5001,_xlfn.MAXIFS(BD!$A$3:$A$5001,BD!$B$3:$B$5001,P$175,BD!$A$3:$A$5001,"&gt;="&amp;$C$7,BD!$A$3:$A$5001,"&lt;="&amp;$B181,BD!$W$3:$W$5001,"&lt;&gt;"))))</f>
        <v/>
      </c>
      <c r="Q181" s="54" t="str">
        <f>IF(OR($B181="",$A181&gt;$B$9,Q$175=""),"",IF(COUNTIFS(BD!$B$3:$B$5001,Q$175,BD!$A$3:$A$5001,"&gt;="&amp;$C$7,BD!$A$3:$A$5001,"&lt;="&amp;$B181,BD!$W$3:$W$5001,"&lt;&gt;")=0,"",SUMIFS(BD!$W$3:$W$5001,BD!$B$3:$B$5001,Q$175,BD!$A$3:$A$5001,_xlfn.MAXIFS(BD!$A$3:$A$5001,BD!$B$3:$B$5001,Q$175,BD!$A$3:$A$5001,"&gt;="&amp;$C$7,BD!$A$3:$A$5001,"&lt;="&amp;$B181,BD!$W$3:$W$5001,"&lt;&gt;"))))</f>
        <v/>
      </c>
      <c r="R181" s="54" t="str">
        <f>IF(OR($B181="",$A181&gt;$B$9,R$175=""),"",IF(COUNTIFS(BD!$B$3:$B$5001,R$175,BD!$A$3:$A$5001,"&gt;="&amp;$C$7,BD!$A$3:$A$5001,"&lt;="&amp;$B181,BD!$W$3:$W$5001,"&lt;&gt;")=0,"",SUMIFS(BD!$W$3:$W$5001,BD!$B$3:$B$5001,R$175,BD!$A$3:$A$5001,_xlfn.MAXIFS(BD!$A$3:$A$5001,BD!$B$3:$B$5001,R$175,BD!$A$3:$A$5001,"&gt;="&amp;$C$7,BD!$A$3:$A$5001,"&lt;="&amp;$B181,BD!$W$3:$W$5001,"&lt;&gt;"))))</f>
        <v/>
      </c>
      <c r="S181" s="54" t="str">
        <f>IF(OR($B181="",$A181&gt;$B$9,S$175=""),"",IF(COUNTIFS(BD!$B$3:$B$5001,S$175,BD!$A$3:$A$5001,"&gt;="&amp;$C$7,BD!$A$3:$A$5001,"&lt;="&amp;$B181,BD!$W$3:$W$5001,"&lt;&gt;")=0,"",SUMIFS(BD!$W$3:$W$5001,BD!$B$3:$B$5001,S$175,BD!$A$3:$A$5001,_xlfn.MAXIFS(BD!$A$3:$A$5001,BD!$B$3:$B$5001,S$175,BD!$A$3:$A$5001,"&gt;="&amp;$C$7,BD!$A$3:$A$5001,"&lt;="&amp;$B181,BD!$W$3:$W$5001,"&lt;&gt;"))))</f>
        <v/>
      </c>
      <c r="T181" s="54" t="str">
        <f>IF(OR($B181="",$A181&gt;$B$9,T$175=""),"",IF(COUNTIFS(BD!$B$3:$B$5001,T$175,BD!$A$3:$A$5001,"&gt;="&amp;$C$7,BD!$A$3:$A$5001,"&lt;="&amp;$B181,BD!$W$3:$W$5001,"&lt;&gt;")=0,"",SUMIFS(BD!$W$3:$W$5001,BD!$B$3:$B$5001,T$175,BD!$A$3:$A$5001,_xlfn.MAXIFS(BD!$A$3:$A$5001,BD!$B$3:$B$5001,T$175,BD!$A$3:$A$5001,"&gt;="&amp;$C$7,BD!$A$3:$A$5001,"&lt;="&amp;$B181,BD!$W$3:$W$5001,"&lt;&gt;"))))</f>
        <v/>
      </c>
      <c r="U181" s="54" t="str">
        <f>IF(OR($B181="",$A181&gt;$B$9,U$175=""),"",IF(COUNTIFS(BD!$B$3:$B$5001,U$175,BD!$A$3:$A$5001,"&gt;="&amp;$C$7,BD!$A$3:$A$5001,"&lt;="&amp;$B181,BD!$W$3:$W$5001,"&lt;&gt;")=0,"",SUMIFS(BD!$W$3:$W$5001,BD!$B$3:$B$5001,U$175,BD!$A$3:$A$5001,_xlfn.MAXIFS(BD!$A$3:$A$5001,BD!$B$3:$B$5001,U$175,BD!$A$3:$A$5001,"&gt;="&amp;$C$7,BD!$A$3:$A$5001,"&lt;="&amp;$B181,BD!$W$3:$W$5001,"&lt;&gt;"))))</f>
        <v/>
      </c>
      <c r="V181" s="54" t="str">
        <f>IF(OR($B181="",$A181&gt;$B$9,V$175=""),"",IF(COUNTIFS(BD!$B$3:$B$5001,V$175,BD!$A$3:$A$5001,"&gt;="&amp;$C$7,BD!$A$3:$A$5001,"&lt;="&amp;$B181,BD!$W$3:$W$5001,"&lt;&gt;")=0,"",SUMIFS(BD!$W$3:$W$5001,BD!$B$3:$B$5001,V$175,BD!$A$3:$A$5001,_xlfn.MAXIFS(BD!$A$3:$A$5001,BD!$B$3:$B$5001,V$175,BD!$A$3:$A$5001,"&gt;="&amp;$C$7,BD!$A$3:$A$5001,"&lt;="&amp;$B181,BD!$W$3:$W$5001,"&lt;&gt;"))))</f>
        <v/>
      </c>
    </row>
    <row r="182">
      <c r="A182" s="48">
        <v>7</v>
      </c>
      <c r="B182" s="53">
        <f>$B$18</f>
        <v>46302</v>
      </c>
      <c r="C182" s="54" t="str">
        <f>IF(OR($B182="",$A182&gt;$B$9,C$175=""),"",IF(COUNTIFS(BD!$B$3:$B$5001,C$175,BD!$A$3:$A$5001,"&gt;="&amp;$C$7,BD!$A$3:$A$5001,"&lt;="&amp;$B182,BD!$W$3:$W$5001,"&lt;&gt;")=0,"",SUMIFS(BD!$W$3:$W$5001,BD!$B$3:$B$5001,C$175,BD!$A$3:$A$5001,_xlfn.MAXIFS(BD!$A$3:$A$5001,BD!$B$3:$B$5001,C$175,BD!$A$3:$A$5001,"&gt;="&amp;$C$7,BD!$A$3:$A$5001,"&lt;="&amp;$B182,BD!$W$3:$W$5001,"&lt;&gt;"))))</f>
        <v/>
      </c>
      <c r="D182" s="54" t="str">
        <f>IF(OR($B182="",$A182&gt;$B$9,D$175=""),"",IF(COUNTIFS(BD!$B$3:$B$5001,D$175,BD!$A$3:$A$5001,"&gt;="&amp;$C$7,BD!$A$3:$A$5001,"&lt;="&amp;$B182,BD!$W$3:$W$5001,"&lt;&gt;")=0,"",SUMIFS(BD!$W$3:$W$5001,BD!$B$3:$B$5001,D$175,BD!$A$3:$A$5001,_xlfn.MAXIFS(BD!$A$3:$A$5001,BD!$B$3:$B$5001,D$175,BD!$A$3:$A$5001,"&gt;="&amp;$C$7,BD!$A$3:$A$5001,"&lt;="&amp;$B182,BD!$W$3:$W$5001,"&lt;&gt;"))))</f>
        <v/>
      </c>
      <c r="E182" s="54" t="str">
        <f>IF(OR($B182="",$A182&gt;$B$9,E$175=""),"",IF(COUNTIFS(BD!$B$3:$B$5001,E$175,BD!$A$3:$A$5001,"&gt;="&amp;$C$7,BD!$A$3:$A$5001,"&lt;="&amp;$B182,BD!$W$3:$W$5001,"&lt;&gt;")=0,"",SUMIFS(BD!$W$3:$W$5001,BD!$B$3:$B$5001,E$175,BD!$A$3:$A$5001,_xlfn.MAXIFS(BD!$A$3:$A$5001,BD!$B$3:$B$5001,E$175,BD!$A$3:$A$5001,"&gt;="&amp;$C$7,BD!$A$3:$A$5001,"&lt;="&amp;$B182,BD!$W$3:$W$5001,"&lt;&gt;"))))</f>
        <v/>
      </c>
      <c r="F182" s="54" t="str">
        <f>IF(OR($B182="",$A182&gt;$B$9,F$175=""),"",IF(COUNTIFS(BD!$B$3:$B$5001,F$175,BD!$A$3:$A$5001,"&gt;="&amp;$C$7,BD!$A$3:$A$5001,"&lt;="&amp;$B182,BD!$W$3:$W$5001,"&lt;&gt;")=0,"",SUMIFS(BD!$W$3:$W$5001,BD!$B$3:$B$5001,F$175,BD!$A$3:$A$5001,_xlfn.MAXIFS(BD!$A$3:$A$5001,BD!$B$3:$B$5001,F$175,BD!$A$3:$A$5001,"&gt;="&amp;$C$7,BD!$A$3:$A$5001,"&lt;="&amp;$B182,BD!$W$3:$W$5001,"&lt;&gt;"))))</f>
        <v/>
      </c>
      <c r="G182" s="54" t="str">
        <f>IF(OR($B182="",$A182&gt;$B$9,G$175=""),"",IF(COUNTIFS(BD!$B$3:$B$5001,G$175,BD!$A$3:$A$5001,"&gt;="&amp;$C$7,BD!$A$3:$A$5001,"&lt;="&amp;$B182,BD!$W$3:$W$5001,"&lt;&gt;")=0,"",SUMIFS(BD!$W$3:$W$5001,BD!$B$3:$B$5001,G$175,BD!$A$3:$A$5001,_xlfn.MAXIFS(BD!$A$3:$A$5001,BD!$B$3:$B$5001,G$175,BD!$A$3:$A$5001,"&gt;="&amp;$C$7,BD!$A$3:$A$5001,"&lt;="&amp;$B182,BD!$W$3:$W$5001,"&lt;&gt;"))))</f>
        <v/>
      </c>
      <c r="H182" s="54" t="str">
        <f>IF(OR($B182="",$A182&gt;$B$9,H$175=""),"",IF(COUNTIFS(BD!$B$3:$B$5001,H$175,BD!$A$3:$A$5001,"&gt;="&amp;$C$7,BD!$A$3:$A$5001,"&lt;="&amp;$B182,BD!$W$3:$W$5001,"&lt;&gt;")=0,"",SUMIFS(BD!$W$3:$W$5001,BD!$B$3:$B$5001,H$175,BD!$A$3:$A$5001,_xlfn.MAXIFS(BD!$A$3:$A$5001,BD!$B$3:$B$5001,H$175,BD!$A$3:$A$5001,"&gt;="&amp;$C$7,BD!$A$3:$A$5001,"&lt;="&amp;$B182,BD!$W$3:$W$5001,"&lt;&gt;"))))</f>
        <v/>
      </c>
      <c r="I182" s="54" t="str">
        <f>IF(OR($B182="",$A182&gt;$B$9,I$175=""),"",IF(COUNTIFS(BD!$B$3:$B$5001,I$175,BD!$A$3:$A$5001,"&gt;="&amp;$C$7,BD!$A$3:$A$5001,"&lt;="&amp;$B182,BD!$W$3:$W$5001,"&lt;&gt;")=0,"",SUMIFS(BD!$W$3:$W$5001,BD!$B$3:$B$5001,I$175,BD!$A$3:$A$5001,_xlfn.MAXIFS(BD!$A$3:$A$5001,BD!$B$3:$B$5001,I$175,BD!$A$3:$A$5001,"&gt;="&amp;$C$7,BD!$A$3:$A$5001,"&lt;="&amp;$B182,BD!$W$3:$W$5001,"&lt;&gt;"))))</f>
        <v/>
      </c>
      <c r="J182" s="54" t="str">
        <f>IF(OR($B182="",$A182&gt;$B$9,J$175=""),"",IF(COUNTIFS(BD!$B$3:$B$5001,J$175,BD!$A$3:$A$5001,"&gt;="&amp;$C$7,BD!$A$3:$A$5001,"&lt;="&amp;$B182,BD!$W$3:$W$5001,"&lt;&gt;")=0,"",SUMIFS(BD!$W$3:$W$5001,BD!$B$3:$B$5001,J$175,BD!$A$3:$A$5001,_xlfn.MAXIFS(BD!$A$3:$A$5001,BD!$B$3:$B$5001,J$175,BD!$A$3:$A$5001,"&gt;="&amp;$C$7,BD!$A$3:$A$5001,"&lt;="&amp;$B182,BD!$W$3:$W$5001,"&lt;&gt;"))))</f>
        <v/>
      </c>
      <c r="K182" s="54" t="str">
        <f>IF(OR($B182="",$A182&gt;$B$9,K$175=""),"",IF(COUNTIFS(BD!$B$3:$B$5001,K$175,BD!$A$3:$A$5001,"&gt;="&amp;$C$7,BD!$A$3:$A$5001,"&lt;="&amp;$B182,BD!$W$3:$W$5001,"&lt;&gt;")=0,"",SUMIFS(BD!$W$3:$W$5001,BD!$B$3:$B$5001,K$175,BD!$A$3:$A$5001,_xlfn.MAXIFS(BD!$A$3:$A$5001,BD!$B$3:$B$5001,K$175,BD!$A$3:$A$5001,"&gt;="&amp;$C$7,BD!$A$3:$A$5001,"&lt;="&amp;$B182,BD!$W$3:$W$5001,"&lt;&gt;"))))</f>
        <v/>
      </c>
      <c r="L182" s="54" t="str">
        <f>IF(OR($B182="",$A182&gt;$B$9,L$175=""),"",IF(COUNTIFS(BD!$B$3:$B$5001,L$175,BD!$A$3:$A$5001,"&gt;="&amp;$C$7,BD!$A$3:$A$5001,"&lt;="&amp;$B182,BD!$W$3:$W$5001,"&lt;&gt;")=0,"",SUMIFS(BD!$W$3:$W$5001,BD!$B$3:$B$5001,L$175,BD!$A$3:$A$5001,_xlfn.MAXIFS(BD!$A$3:$A$5001,BD!$B$3:$B$5001,L$175,BD!$A$3:$A$5001,"&gt;="&amp;$C$7,BD!$A$3:$A$5001,"&lt;="&amp;$B182,BD!$W$3:$W$5001,"&lt;&gt;"))))</f>
        <v/>
      </c>
      <c r="M182" s="54" t="str">
        <f>IF(OR($B182="",$A182&gt;$B$9,M$175=""),"",IF(COUNTIFS(BD!$B$3:$B$5001,M$175,BD!$A$3:$A$5001,"&gt;="&amp;$C$7,BD!$A$3:$A$5001,"&lt;="&amp;$B182,BD!$W$3:$W$5001,"&lt;&gt;")=0,"",SUMIFS(BD!$W$3:$W$5001,BD!$B$3:$B$5001,M$175,BD!$A$3:$A$5001,_xlfn.MAXIFS(BD!$A$3:$A$5001,BD!$B$3:$B$5001,M$175,BD!$A$3:$A$5001,"&gt;="&amp;$C$7,BD!$A$3:$A$5001,"&lt;="&amp;$B182,BD!$W$3:$W$5001,"&lt;&gt;"))))</f>
        <v/>
      </c>
      <c r="N182" s="54" t="str">
        <f>IF(OR($B182="",$A182&gt;$B$9,N$175=""),"",IF(COUNTIFS(BD!$B$3:$B$5001,N$175,BD!$A$3:$A$5001,"&gt;="&amp;$C$7,BD!$A$3:$A$5001,"&lt;="&amp;$B182,BD!$W$3:$W$5001,"&lt;&gt;")=0,"",SUMIFS(BD!$W$3:$W$5001,BD!$B$3:$B$5001,N$175,BD!$A$3:$A$5001,_xlfn.MAXIFS(BD!$A$3:$A$5001,BD!$B$3:$B$5001,N$175,BD!$A$3:$A$5001,"&gt;="&amp;$C$7,BD!$A$3:$A$5001,"&lt;="&amp;$B182,BD!$W$3:$W$5001,"&lt;&gt;"))))</f>
        <v/>
      </c>
      <c r="O182" s="54" t="str">
        <f>IF(OR($B182="",$A182&gt;$B$9,O$175=""),"",IF(COUNTIFS(BD!$B$3:$B$5001,O$175,BD!$A$3:$A$5001,"&gt;="&amp;$C$7,BD!$A$3:$A$5001,"&lt;="&amp;$B182,BD!$W$3:$W$5001,"&lt;&gt;")=0,"",SUMIFS(BD!$W$3:$W$5001,BD!$B$3:$B$5001,O$175,BD!$A$3:$A$5001,_xlfn.MAXIFS(BD!$A$3:$A$5001,BD!$B$3:$B$5001,O$175,BD!$A$3:$A$5001,"&gt;="&amp;$C$7,BD!$A$3:$A$5001,"&lt;="&amp;$B182,BD!$W$3:$W$5001,"&lt;&gt;"))))</f>
        <v/>
      </c>
      <c r="P182" s="54" t="str">
        <f>IF(OR($B182="",$A182&gt;$B$9,P$175=""),"",IF(COUNTIFS(BD!$B$3:$B$5001,P$175,BD!$A$3:$A$5001,"&gt;="&amp;$C$7,BD!$A$3:$A$5001,"&lt;="&amp;$B182,BD!$W$3:$W$5001,"&lt;&gt;")=0,"",SUMIFS(BD!$W$3:$W$5001,BD!$B$3:$B$5001,P$175,BD!$A$3:$A$5001,_xlfn.MAXIFS(BD!$A$3:$A$5001,BD!$B$3:$B$5001,P$175,BD!$A$3:$A$5001,"&gt;="&amp;$C$7,BD!$A$3:$A$5001,"&lt;="&amp;$B182,BD!$W$3:$W$5001,"&lt;&gt;"))))</f>
        <v/>
      </c>
      <c r="Q182" s="54" t="str">
        <f>IF(OR($B182="",$A182&gt;$B$9,Q$175=""),"",IF(COUNTIFS(BD!$B$3:$B$5001,Q$175,BD!$A$3:$A$5001,"&gt;="&amp;$C$7,BD!$A$3:$A$5001,"&lt;="&amp;$B182,BD!$W$3:$W$5001,"&lt;&gt;")=0,"",SUMIFS(BD!$W$3:$W$5001,BD!$B$3:$B$5001,Q$175,BD!$A$3:$A$5001,_xlfn.MAXIFS(BD!$A$3:$A$5001,BD!$B$3:$B$5001,Q$175,BD!$A$3:$A$5001,"&gt;="&amp;$C$7,BD!$A$3:$A$5001,"&lt;="&amp;$B182,BD!$W$3:$W$5001,"&lt;&gt;"))))</f>
        <v/>
      </c>
      <c r="R182" s="54" t="str">
        <f>IF(OR($B182="",$A182&gt;$B$9,R$175=""),"",IF(COUNTIFS(BD!$B$3:$B$5001,R$175,BD!$A$3:$A$5001,"&gt;="&amp;$C$7,BD!$A$3:$A$5001,"&lt;="&amp;$B182,BD!$W$3:$W$5001,"&lt;&gt;")=0,"",SUMIFS(BD!$W$3:$W$5001,BD!$B$3:$B$5001,R$175,BD!$A$3:$A$5001,_xlfn.MAXIFS(BD!$A$3:$A$5001,BD!$B$3:$B$5001,R$175,BD!$A$3:$A$5001,"&gt;="&amp;$C$7,BD!$A$3:$A$5001,"&lt;="&amp;$B182,BD!$W$3:$W$5001,"&lt;&gt;"))))</f>
        <v/>
      </c>
      <c r="S182" s="54" t="str">
        <f>IF(OR($B182="",$A182&gt;$B$9,S$175=""),"",IF(COUNTIFS(BD!$B$3:$B$5001,S$175,BD!$A$3:$A$5001,"&gt;="&amp;$C$7,BD!$A$3:$A$5001,"&lt;="&amp;$B182,BD!$W$3:$W$5001,"&lt;&gt;")=0,"",SUMIFS(BD!$W$3:$W$5001,BD!$B$3:$B$5001,S$175,BD!$A$3:$A$5001,_xlfn.MAXIFS(BD!$A$3:$A$5001,BD!$B$3:$B$5001,S$175,BD!$A$3:$A$5001,"&gt;="&amp;$C$7,BD!$A$3:$A$5001,"&lt;="&amp;$B182,BD!$W$3:$W$5001,"&lt;&gt;"))))</f>
        <v/>
      </c>
      <c r="T182" s="54" t="str">
        <f>IF(OR($B182="",$A182&gt;$B$9,T$175=""),"",IF(COUNTIFS(BD!$B$3:$B$5001,T$175,BD!$A$3:$A$5001,"&gt;="&amp;$C$7,BD!$A$3:$A$5001,"&lt;="&amp;$B182,BD!$W$3:$W$5001,"&lt;&gt;")=0,"",SUMIFS(BD!$W$3:$W$5001,BD!$B$3:$B$5001,T$175,BD!$A$3:$A$5001,_xlfn.MAXIFS(BD!$A$3:$A$5001,BD!$B$3:$B$5001,T$175,BD!$A$3:$A$5001,"&gt;="&amp;$C$7,BD!$A$3:$A$5001,"&lt;="&amp;$B182,BD!$W$3:$W$5001,"&lt;&gt;"))))</f>
        <v/>
      </c>
      <c r="U182" s="54" t="str">
        <f>IF(OR($B182="",$A182&gt;$B$9,U$175=""),"",IF(COUNTIFS(BD!$B$3:$B$5001,U$175,BD!$A$3:$A$5001,"&gt;="&amp;$C$7,BD!$A$3:$A$5001,"&lt;="&amp;$B182,BD!$W$3:$W$5001,"&lt;&gt;")=0,"",SUMIFS(BD!$W$3:$W$5001,BD!$B$3:$B$5001,U$175,BD!$A$3:$A$5001,_xlfn.MAXIFS(BD!$A$3:$A$5001,BD!$B$3:$B$5001,U$175,BD!$A$3:$A$5001,"&gt;="&amp;$C$7,BD!$A$3:$A$5001,"&lt;="&amp;$B182,BD!$W$3:$W$5001,"&lt;&gt;"))))</f>
        <v/>
      </c>
      <c r="V182" s="54" t="str">
        <f>IF(OR($B182="",$A182&gt;$B$9,V$175=""),"",IF(COUNTIFS(BD!$B$3:$B$5001,V$175,BD!$A$3:$A$5001,"&gt;="&amp;$C$7,BD!$A$3:$A$5001,"&lt;="&amp;$B182,BD!$W$3:$W$5001,"&lt;&gt;")=0,"",SUMIFS(BD!$W$3:$W$5001,BD!$B$3:$B$5001,V$175,BD!$A$3:$A$5001,_xlfn.MAXIFS(BD!$A$3:$A$5001,BD!$B$3:$B$5001,V$175,BD!$A$3:$A$5001,"&gt;="&amp;$C$7,BD!$A$3:$A$5001,"&lt;="&amp;$B182,BD!$W$3:$W$5001,"&lt;&gt;"))))</f>
        <v/>
      </c>
    </row>
    <row r="183">
      <c r="A183" s="48">
        <v>8</v>
      </c>
      <c r="B183" s="53">
        <f>$B$19</f>
        <v>46303</v>
      </c>
      <c r="C183" s="54" t="str">
        <f>IF(OR($B183="",$A183&gt;$B$9,C$175=""),"",IF(COUNTIFS(BD!$B$3:$B$5001,C$175,BD!$A$3:$A$5001,"&gt;="&amp;$C$7,BD!$A$3:$A$5001,"&lt;="&amp;$B183,BD!$W$3:$W$5001,"&lt;&gt;")=0,"",SUMIFS(BD!$W$3:$W$5001,BD!$B$3:$B$5001,C$175,BD!$A$3:$A$5001,_xlfn.MAXIFS(BD!$A$3:$A$5001,BD!$B$3:$B$5001,C$175,BD!$A$3:$A$5001,"&gt;="&amp;$C$7,BD!$A$3:$A$5001,"&lt;="&amp;$B183,BD!$W$3:$W$5001,"&lt;&gt;"))))</f>
        <v/>
      </c>
      <c r="D183" s="54" t="str">
        <f>IF(OR($B183="",$A183&gt;$B$9,D$175=""),"",IF(COUNTIFS(BD!$B$3:$B$5001,D$175,BD!$A$3:$A$5001,"&gt;="&amp;$C$7,BD!$A$3:$A$5001,"&lt;="&amp;$B183,BD!$W$3:$W$5001,"&lt;&gt;")=0,"",SUMIFS(BD!$W$3:$W$5001,BD!$B$3:$B$5001,D$175,BD!$A$3:$A$5001,_xlfn.MAXIFS(BD!$A$3:$A$5001,BD!$B$3:$B$5001,D$175,BD!$A$3:$A$5001,"&gt;="&amp;$C$7,BD!$A$3:$A$5001,"&lt;="&amp;$B183,BD!$W$3:$W$5001,"&lt;&gt;"))))</f>
        <v/>
      </c>
      <c r="E183" s="54" t="str">
        <f>IF(OR($B183="",$A183&gt;$B$9,E$175=""),"",IF(COUNTIFS(BD!$B$3:$B$5001,E$175,BD!$A$3:$A$5001,"&gt;="&amp;$C$7,BD!$A$3:$A$5001,"&lt;="&amp;$B183,BD!$W$3:$W$5001,"&lt;&gt;")=0,"",SUMIFS(BD!$W$3:$W$5001,BD!$B$3:$B$5001,E$175,BD!$A$3:$A$5001,_xlfn.MAXIFS(BD!$A$3:$A$5001,BD!$B$3:$B$5001,E$175,BD!$A$3:$A$5001,"&gt;="&amp;$C$7,BD!$A$3:$A$5001,"&lt;="&amp;$B183,BD!$W$3:$W$5001,"&lt;&gt;"))))</f>
        <v/>
      </c>
      <c r="F183" s="54" t="str">
        <f>IF(OR($B183="",$A183&gt;$B$9,F$175=""),"",IF(COUNTIFS(BD!$B$3:$B$5001,F$175,BD!$A$3:$A$5001,"&gt;="&amp;$C$7,BD!$A$3:$A$5001,"&lt;="&amp;$B183,BD!$W$3:$W$5001,"&lt;&gt;")=0,"",SUMIFS(BD!$W$3:$W$5001,BD!$B$3:$B$5001,F$175,BD!$A$3:$A$5001,_xlfn.MAXIFS(BD!$A$3:$A$5001,BD!$B$3:$B$5001,F$175,BD!$A$3:$A$5001,"&gt;="&amp;$C$7,BD!$A$3:$A$5001,"&lt;="&amp;$B183,BD!$W$3:$W$5001,"&lt;&gt;"))))</f>
        <v/>
      </c>
      <c r="G183" s="54" t="str">
        <f>IF(OR($B183="",$A183&gt;$B$9,G$175=""),"",IF(COUNTIFS(BD!$B$3:$B$5001,G$175,BD!$A$3:$A$5001,"&gt;="&amp;$C$7,BD!$A$3:$A$5001,"&lt;="&amp;$B183,BD!$W$3:$W$5001,"&lt;&gt;")=0,"",SUMIFS(BD!$W$3:$W$5001,BD!$B$3:$B$5001,G$175,BD!$A$3:$A$5001,_xlfn.MAXIFS(BD!$A$3:$A$5001,BD!$B$3:$B$5001,G$175,BD!$A$3:$A$5001,"&gt;="&amp;$C$7,BD!$A$3:$A$5001,"&lt;="&amp;$B183,BD!$W$3:$W$5001,"&lt;&gt;"))))</f>
        <v/>
      </c>
      <c r="H183" s="54" t="str">
        <f>IF(OR($B183="",$A183&gt;$B$9,H$175=""),"",IF(COUNTIFS(BD!$B$3:$B$5001,H$175,BD!$A$3:$A$5001,"&gt;="&amp;$C$7,BD!$A$3:$A$5001,"&lt;="&amp;$B183,BD!$W$3:$W$5001,"&lt;&gt;")=0,"",SUMIFS(BD!$W$3:$W$5001,BD!$B$3:$B$5001,H$175,BD!$A$3:$A$5001,_xlfn.MAXIFS(BD!$A$3:$A$5001,BD!$B$3:$B$5001,H$175,BD!$A$3:$A$5001,"&gt;="&amp;$C$7,BD!$A$3:$A$5001,"&lt;="&amp;$B183,BD!$W$3:$W$5001,"&lt;&gt;"))))</f>
        <v/>
      </c>
      <c r="I183" s="54" t="str">
        <f>IF(OR($B183="",$A183&gt;$B$9,I$175=""),"",IF(COUNTIFS(BD!$B$3:$B$5001,I$175,BD!$A$3:$A$5001,"&gt;="&amp;$C$7,BD!$A$3:$A$5001,"&lt;="&amp;$B183,BD!$W$3:$W$5001,"&lt;&gt;")=0,"",SUMIFS(BD!$W$3:$W$5001,BD!$B$3:$B$5001,I$175,BD!$A$3:$A$5001,_xlfn.MAXIFS(BD!$A$3:$A$5001,BD!$B$3:$B$5001,I$175,BD!$A$3:$A$5001,"&gt;="&amp;$C$7,BD!$A$3:$A$5001,"&lt;="&amp;$B183,BD!$W$3:$W$5001,"&lt;&gt;"))))</f>
        <v/>
      </c>
      <c r="J183" s="54" t="str">
        <f>IF(OR($B183="",$A183&gt;$B$9,J$175=""),"",IF(COUNTIFS(BD!$B$3:$B$5001,J$175,BD!$A$3:$A$5001,"&gt;="&amp;$C$7,BD!$A$3:$A$5001,"&lt;="&amp;$B183,BD!$W$3:$W$5001,"&lt;&gt;")=0,"",SUMIFS(BD!$W$3:$W$5001,BD!$B$3:$B$5001,J$175,BD!$A$3:$A$5001,_xlfn.MAXIFS(BD!$A$3:$A$5001,BD!$B$3:$B$5001,J$175,BD!$A$3:$A$5001,"&gt;="&amp;$C$7,BD!$A$3:$A$5001,"&lt;="&amp;$B183,BD!$W$3:$W$5001,"&lt;&gt;"))))</f>
        <v/>
      </c>
      <c r="K183" s="54" t="str">
        <f>IF(OR($B183="",$A183&gt;$B$9,K$175=""),"",IF(COUNTIFS(BD!$B$3:$B$5001,K$175,BD!$A$3:$A$5001,"&gt;="&amp;$C$7,BD!$A$3:$A$5001,"&lt;="&amp;$B183,BD!$W$3:$W$5001,"&lt;&gt;")=0,"",SUMIFS(BD!$W$3:$W$5001,BD!$B$3:$B$5001,K$175,BD!$A$3:$A$5001,_xlfn.MAXIFS(BD!$A$3:$A$5001,BD!$B$3:$B$5001,K$175,BD!$A$3:$A$5001,"&gt;="&amp;$C$7,BD!$A$3:$A$5001,"&lt;="&amp;$B183,BD!$W$3:$W$5001,"&lt;&gt;"))))</f>
        <v/>
      </c>
      <c r="L183" s="54" t="str">
        <f>IF(OR($B183="",$A183&gt;$B$9,L$175=""),"",IF(COUNTIFS(BD!$B$3:$B$5001,L$175,BD!$A$3:$A$5001,"&gt;="&amp;$C$7,BD!$A$3:$A$5001,"&lt;="&amp;$B183,BD!$W$3:$W$5001,"&lt;&gt;")=0,"",SUMIFS(BD!$W$3:$W$5001,BD!$B$3:$B$5001,L$175,BD!$A$3:$A$5001,_xlfn.MAXIFS(BD!$A$3:$A$5001,BD!$B$3:$B$5001,L$175,BD!$A$3:$A$5001,"&gt;="&amp;$C$7,BD!$A$3:$A$5001,"&lt;="&amp;$B183,BD!$W$3:$W$5001,"&lt;&gt;"))))</f>
        <v/>
      </c>
      <c r="M183" s="54" t="str">
        <f>IF(OR($B183="",$A183&gt;$B$9,M$175=""),"",IF(COUNTIFS(BD!$B$3:$B$5001,M$175,BD!$A$3:$A$5001,"&gt;="&amp;$C$7,BD!$A$3:$A$5001,"&lt;="&amp;$B183,BD!$W$3:$W$5001,"&lt;&gt;")=0,"",SUMIFS(BD!$W$3:$W$5001,BD!$B$3:$B$5001,M$175,BD!$A$3:$A$5001,_xlfn.MAXIFS(BD!$A$3:$A$5001,BD!$B$3:$B$5001,M$175,BD!$A$3:$A$5001,"&gt;="&amp;$C$7,BD!$A$3:$A$5001,"&lt;="&amp;$B183,BD!$W$3:$W$5001,"&lt;&gt;"))))</f>
        <v/>
      </c>
      <c r="N183" s="54" t="str">
        <f>IF(OR($B183="",$A183&gt;$B$9,N$175=""),"",IF(COUNTIFS(BD!$B$3:$B$5001,N$175,BD!$A$3:$A$5001,"&gt;="&amp;$C$7,BD!$A$3:$A$5001,"&lt;="&amp;$B183,BD!$W$3:$W$5001,"&lt;&gt;")=0,"",SUMIFS(BD!$W$3:$W$5001,BD!$B$3:$B$5001,N$175,BD!$A$3:$A$5001,_xlfn.MAXIFS(BD!$A$3:$A$5001,BD!$B$3:$B$5001,N$175,BD!$A$3:$A$5001,"&gt;="&amp;$C$7,BD!$A$3:$A$5001,"&lt;="&amp;$B183,BD!$W$3:$W$5001,"&lt;&gt;"))))</f>
        <v/>
      </c>
      <c r="O183" s="54" t="str">
        <f>IF(OR($B183="",$A183&gt;$B$9,O$175=""),"",IF(COUNTIFS(BD!$B$3:$B$5001,O$175,BD!$A$3:$A$5001,"&gt;="&amp;$C$7,BD!$A$3:$A$5001,"&lt;="&amp;$B183,BD!$W$3:$W$5001,"&lt;&gt;")=0,"",SUMIFS(BD!$W$3:$W$5001,BD!$B$3:$B$5001,O$175,BD!$A$3:$A$5001,_xlfn.MAXIFS(BD!$A$3:$A$5001,BD!$B$3:$B$5001,O$175,BD!$A$3:$A$5001,"&gt;="&amp;$C$7,BD!$A$3:$A$5001,"&lt;="&amp;$B183,BD!$W$3:$W$5001,"&lt;&gt;"))))</f>
        <v/>
      </c>
      <c r="P183" s="54" t="str">
        <f>IF(OR($B183="",$A183&gt;$B$9,P$175=""),"",IF(COUNTIFS(BD!$B$3:$B$5001,P$175,BD!$A$3:$A$5001,"&gt;="&amp;$C$7,BD!$A$3:$A$5001,"&lt;="&amp;$B183,BD!$W$3:$W$5001,"&lt;&gt;")=0,"",SUMIFS(BD!$W$3:$W$5001,BD!$B$3:$B$5001,P$175,BD!$A$3:$A$5001,_xlfn.MAXIFS(BD!$A$3:$A$5001,BD!$B$3:$B$5001,P$175,BD!$A$3:$A$5001,"&gt;="&amp;$C$7,BD!$A$3:$A$5001,"&lt;="&amp;$B183,BD!$W$3:$W$5001,"&lt;&gt;"))))</f>
        <v/>
      </c>
      <c r="Q183" s="54" t="str">
        <f>IF(OR($B183="",$A183&gt;$B$9,Q$175=""),"",IF(COUNTIFS(BD!$B$3:$B$5001,Q$175,BD!$A$3:$A$5001,"&gt;="&amp;$C$7,BD!$A$3:$A$5001,"&lt;="&amp;$B183,BD!$W$3:$W$5001,"&lt;&gt;")=0,"",SUMIFS(BD!$W$3:$W$5001,BD!$B$3:$B$5001,Q$175,BD!$A$3:$A$5001,_xlfn.MAXIFS(BD!$A$3:$A$5001,BD!$B$3:$B$5001,Q$175,BD!$A$3:$A$5001,"&gt;="&amp;$C$7,BD!$A$3:$A$5001,"&lt;="&amp;$B183,BD!$W$3:$W$5001,"&lt;&gt;"))))</f>
        <v/>
      </c>
      <c r="R183" s="54" t="str">
        <f>IF(OR($B183="",$A183&gt;$B$9,R$175=""),"",IF(COUNTIFS(BD!$B$3:$B$5001,R$175,BD!$A$3:$A$5001,"&gt;="&amp;$C$7,BD!$A$3:$A$5001,"&lt;="&amp;$B183,BD!$W$3:$W$5001,"&lt;&gt;")=0,"",SUMIFS(BD!$W$3:$W$5001,BD!$B$3:$B$5001,R$175,BD!$A$3:$A$5001,_xlfn.MAXIFS(BD!$A$3:$A$5001,BD!$B$3:$B$5001,R$175,BD!$A$3:$A$5001,"&gt;="&amp;$C$7,BD!$A$3:$A$5001,"&lt;="&amp;$B183,BD!$W$3:$W$5001,"&lt;&gt;"))))</f>
        <v/>
      </c>
      <c r="S183" s="54" t="str">
        <f>IF(OR($B183="",$A183&gt;$B$9,S$175=""),"",IF(COUNTIFS(BD!$B$3:$B$5001,S$175,BD!$A$3:$A$5001,"&gt;="&amp;$C$7,BD!$A$3:$A$5001,"&lt;="&amp;$B183,BD!$W$3:$W$5001,"&lt;&gt;")=0,"",SUMIFS(BD!$W$3:$W$5001,BD!$B$3:$B$5001,S$175,BD!$A$3:$A$5001,_xlfn.MAXIFS(BD!$A$3:$A$5001,BD!$B$3:$B$5001,S$175,BD!$A$3:$A$5001,"&gt;="&amp;$C$7,BD!$A$3:$A$5001,"&lt;="&amp;$B183,BD!$W$3:$W$5001,"&lt;&gt;"))))</f>
        <v/>
      </c>
      <c r="T183" s="54" t="str">
        <f>IF(OR($B183="",$A183&gt;$B$9,T$175=""),"",IF(COUNTIFS(BD!$B$3:$B$5001,T$175,BD!$A$3:$A$5001,"&gt;="&amp;$C$7,BD!$A$3:$A$5001,"&lt;="&amp;$B183,BD!$W$3:$W$5001,"&lt;&gt;")=0,"",SUMIFS(BD!$W$3:$W$5001,BD!$B$3:$B$5001,T$175,BD!$A$3:$A$5001,_xlfn.MAXIFS(BD!$A$3:$A$5001,BD!$B$3:$B$5001,T$175,BD!$A$3:$A$5001,"&gt;="&amp;$C$7,BD!$A$3:$A$5001,"&lt;="&amp;$B183,BD!$W$3:$W$5001,"&lt;&gt;"))))</f>
        <v/>
      </c>
      <c r="U183" s="54" t="str">
        <f>IF(OR($B183="",$A183&gt;$B$9,U$175=""),"",IF(COUNTIFS(BD!$B$3:$B$5001,U$175,BD!$A$3:$A$5001,"&gt;="&amp;$C$7,BD!$A$3:$A$5001,"&lt;="&amp;$B183,BD!$W$3:$W$5001,"&lt;&gt;")=0,"",SUMIFS(BD!$W$3:$W$5001,BD!$B$3:$B$5001,U$175,BD!$A$3:$A$5001,_xlfn.MAXIFS(BD!$A$3:$A$5001,BD!$B$3:$B$5001,U$175,BD!$A$3:$A$5001,"&gt;="&amp;$C$7,BD!$A$3:$A$5001,"&lt;="&amp;$B183,BD!$W$3:$W$5001,"&lt;&gt;"))))</f>
        <v/>
      </c>
      <c r="V183" s="54" t="str">
        <f>IF(OR($B183="",$A183&gt;$B$9,V$175=""),"",IF(COUNTIFS(BD!$B$3:$B$5001,V$175,BD!$A$3:$A$5001,"&gt;="&amp;$C$7,BD!$A$3:$A$5001,"&lt;="&amp;$B183,BD!$W$3:$W$5001,"&lt;&gt;")=0,"",SUMIFS(BD!$W$3:$W$5001,BD!$B$3:$B$5001,V$175,BD!$A$3:$A$5001,_xlfn.MAXIFS(BD!$A$3:$A$5001,BD!$B$3:$B$5001,V$175,BD!$A$3:$A$5001,"&gt;="&amp;$C$7,BD!$A$3:$A$5001,"&lt;="&amp;$B183,BD!$W$3:$W$5001,"&lt;&gt;"))))</f>
        <v/>
      </c>
    </row>
    <row r="184">
      <c r="A184" s="48">
        <v>9</v>
      </c>
      <c r="B184" s="53">
        <f>$B$20</f>
        <v>46304</v>
      </c>
      <c r="C184" s="54" t="str">
        <f>IF(OR($B184="",$A184&gt;$B$9,C$175=""),"",IF(COUNTIFS(BD!$B$3:$B$5001,C$175,BD!$A$3:$A$5001,"&gt;="&amp;$C$7,BD!$A$3:$A$5001,"&lt;="&amp;$B184,BD!$W$3:$W$5001,"&lt;&gt;")=0,"",SUMIFS(BD!$W$3:$W$5001,BD!$B$3:$B$5001,C$175,BD!$A$3:$A$5001,_xlfn.MAXIFS(BD!$A$3:$A$5001,BD!$B$3:$B$5001,C$175,BD!$A$3:$A$5001,"&gt;="&amp;$C$7,BD!$A$3:$A$5001,"&lt;="&amp;$B184,BD!$W$3:$W$5001,"&lt;&gt;"))))</f>
        <v/>
      </c>
      <c r="D184" s="54" t="str">
        <f>IF(OR($B184="",$A184&gt;$B$9,D$175=""),"",IF(COUNTIFS(BD!$B$3:$B$5001,D$175,BD!$A$3:$A$5001,"&gt;="&amp;$C$7,BD!$A$3:$A$5001,"&lt;="&amp;$B184,BD!$W$3:$W$5001,"&lt;&gt;")=0,"",SUMIFS(BD!$W$3:$W$5001,BD!$B$3:$B$5001,D$175,BD!$A$3:$A$5001,_xlfn.MAXIFS(BD!$A$3:$A$5001,BD!$B$3:$B$5001,D$175,BD!$A$3:$A$5001,"&gt;="&amp;$C$7,BD!$A$3:$A$5001,"&lt;="&amp;$B184,BD!$W$3:$W$5001,"&lt;&gt;"))))</f>
        <v/>
      </c>
      <c r="E184" s="54" t="str">
        <f>IF(OR($B184="",$A184&gt;$B$9,E$175=""),"",IF(COUNTIFS(BD!$B$3:$B$5001,E$175,BD!$A$3:$A$5001,"&gt;="&amp;$C$7,BD!$A$3:$A$5001,"&lt;="&amp;$B184,BD!$W$3:$W$5001,"&lt;&gt;")=0,"",SUMIFS(BD!$W$3:$W$5001,BD!$B$3:$B$5001,E$175,BD!$A$3:$A$5001,_xlfn.MAXIFS(BD!$A$3:$A$5001,BD!$B$3:$B$5001,E$175,BD!$A$3:$A$5001,"&gt;="&amp;$C$7,BD!$A$3:$A$5001,"&lt;="&amp;$B184,BD!$W$3:$W$5001,"&lt;&gt;"))))</f>
        <v/>
      </c>
      <c r="F184" s="54" t="str">
        <f>IF(OR($B184="",$A184&gt;$B$9,F$175=""),"",IF(COUNTIFS(BD!$B$3:$B$5001,F$175,BD!$A$3:$A$5001,"&gt;="&amp;$C$7,BD!$A$3:$A$5001,"&lt;="&amp;$B184,BD!$W$3:$W$5001,"&lt;&gt;")=0,"",SUMIFS(BD!$W$3:$W$5001,BD!$B$3:$B$5001,F$175,BD!$A$3:$A$5001,_xlfn.MAXIFS(BD!$A$3:$A$5001,BD!$B$3:$B$5001,F$175,BD!$A$3:$A$5001,"&gt;="&amp;$C$7,BD!$A$3:$A$5001,"&lt;="&amp;$B184,BD!$W$3:$W$5001,"&lt;&gt;"))))</f>
        <v/>
      </c>
      <c r="G184" s="54" t="str">
        <f>IF(OR($B184="",$A184&gt;$B$9,G$175=""),"",IF(COUNTIFS(BD!$B$3:$B$5001,G$175,BD!$A$3:$A$5001,"&gt;="&amp;$C$7,BD!$A$3:$A$5001,"&lt;="&amp;$B184,BD!$W$3:$W$5001,"&lt;&gt;")=0,"",SUMIFS(BD!$W$3:$W$5001,BD!$B$3:$B$5001,G$175,BD!$A$3:$A$5001,_xlfn.MAXIFS(BD!$A$3:$A$5001,BD!$B$3:$B$5001,G$175,BD!$A$3:$A$5001,"&gt;="&amp;$C$7,BD!$A$3:$A$5001,"&lt;="&amp;$B184,BD!$W$3:$W$5001,"&lt;&gt;"))))</f>
        <v/>
      </c>
      <c r="H184" s="54" t="str">
        <f>IF(OR($B184="",$A184&gt;$B$9,H$175=""),"",IF(COUNTIFS(BD!$B$3:$B$5001,H$175,BD!$A$3:$A$5001,"&gt;="&amp;$C$7,BD!$A$3:$A$5001,"&lt;="&amp;$B184,BD!$W$3:$W$5001,"&lt;&gt;")=0,"",SUMIFS(BD!$W$3:$W$5001,BD!$B$3:$B$5001,H$175,BD!$A$3:$A$5001,_xlfn.MAXIFS(BD!$A$3:$A$5001,BD!$B$3:$B$5001,H$175,BD!$A$3:$A$5001,"&gt;="&amp;$C$7,BD!$A$3:$A$5001,"&lt;="&amp;$B184,BD!$W$3:$W$5001,"&lt;&gt;"))))</f>
        <v/>
      </c>
      <c r="I184" s="54" t="str">
        <f>IF(OR($B184="",$A184&gt;$B$9,I$175=""),"",IF(COUNTIFS(BD!$B$3:$B$5001,I$175,BD!$A$3:$A$5001,"&gt;="&amp;$C$7,BD!$A$3:$A$5001,"&lt;="&amp;$B184,BD!$W$3:$W$5001,"&lt;&gt;")=0,"",SUMIFS(BD!$W$3:$W$5001,BD!$B$3:$B$5001,I$175,BD!$A$3:$A$5001,_xlfn.MAXIFS(BD!$A$3:$A$5001,BD!$B$3:$B$5001,I$175,BD!$A$3:$A$5001,"&gt;="&amp;$C$7,BD!$A$3:$A$5001,"&lt;="&amp;$B184,BD!$W$3:$W$5001,"&lt;&gt;"))))</f>
        <v/>
      </c>
      <c r="J184" s="54" t="str">
        <f>IF(OR($B184="",$A184&gt;$B$9,J$175=""),"",IF(COUNTIFS(BD!$B$3:$B$5001,J$175,BD!$A$3:$A$5001,"&gt;="&amp;$C$7,BD!$A$3:$A$5001,"&lt;="&amp;$B184,BD!$W$3:$W$5001,"&lt;&gt;")=0,"",SUMIFS(BD!$W$3:$W$5001,BD!$B$3:$B$5001,J$175,BD!$A$3:$A$5001,_xlfn.MAXIFS(BD!$A$3:$A$5001,BD!$B$3:$B$5001,J$175,BD!$A$3:$A$5001,"&gt;="&amp;$C$7,BD!$A$3:$A$5001,"&lt;="&amp;$B184,BD!$W$3:$W$5001,"&lt;&gt;"))))</f>
        <v/>
      </c>
      <c r="K184" s="54" t="str">
        <f>IF(OR($B184="",$A184&gt;$B$9,K$175=""),"",IF(COUNTIFS(BD!$B$3:$B$5001,K$175,BD!$A$3:$A$5001,"&gt;="&amp;$C$7,BD!$A$3:$A$5001,"&lt;="&amp;$B184,BD!$W$3:$W$5001,"&lt;&gt;")=0,"",SUMIFS(BD!$W$3:$W$5001,BD!$B$3:$B$5001,K$175,BD!$A$3:$A$5001,_xlfn.MAXIFS(BD!$A$3:$A$5001,BD!$B$3:$B$5001,K$175,BD!$A$3:$A$5001,"&gt;="&amp;$C$7,BD!$A$3:$A$5001,"&lt;="&amp;$B184,BD!$W$3:$W$5001,"&lt;&gt;"))))</f>
        <v/>
      </c>
      <c r="L184" s="54" t="str">
        <f>IF(OR($B184="",$A184&gt;$B$9,L$175=""),"",IF(COUNTIFS(BD!$B$3:$B$5001,L$175,BD!$A$3:$A$5001,"&gt;="&amp;$C$7,BD!$A$3:$A$5001,"&lt;="&amp;$B184,BD!$W$3:$W$5001,"&lt;&gt;")=0,"",SUMIFS(BD!$W$3:$W$5001,BD!$B$3:$B$5001,L$175,BD!$A$3:$A$5001,_xlfn.MAXIFS(BD!$A$3:$A$5001,BD!$B$3:$B$5001,L$175,BD!$A$3:$A$5001,"&gt;="&amp;$C$7,BD!$A$3:$A$5001,"&lt;="&amp;$B184,BD!$W$3:$W$5001,"&lt;&gt;"))))</f>
        <v/>
      </c>
      <c r="M184" s="54" t="str">
        <f>IF(OR($B184="",$A184&gt;$B$9,M$175=""),"",IF(COUNTIFS(BD!$B$3:$B$5001,M$175,BD!$A$3:$A$5001,"&gt;="&amp;$C$7,BD!$A$3:$A$5001,"&lt;="&amp;$B184,BD!$W$3:$W$5001,"&lt;&gt;")=0,"",SUMIFS(BD!$W$3:$W$5001,BD!$B$3:$B$5001,M$175,BD!$A$3:$A$5001,_xlfn.MAXIFS(BD!$A$3:$A$5001,BD!$B$3:$B$5001,M$175,BD!$A$3:$A$5001,"&gt;="&amp;$C$7,BD!$A$3:$A$5001,"&lt;="&amp;$B184,BD!$W$3:$W$5001,"&lt;&gt;"))))</f>
        <v/>
      </c>
      <c r="N184" s="54" t="str">
        <f>IF(OR($B184="",$A184&gt;$B$9,N$175=""),"",IF(COUNTIFS(BD!$B$3:$B$5001,N$175,BD!$A$3:$A$5001,"&gt;="&amp;$C$7,BD!$A$3:$A$5001,"&lt;="&amp;$B184,BD!$W$3:$W$5001,"&lt;&gt;")=0,"",SUMIFS(BD!$W$3:$W$5001,BD!$B$3:$B$5001,N$175,BD!$A$3:$A$5001,_xlfn.MAXIFS(BD!$A$3:$A$5001,BD!$B$3:$B$5001,N$175,BD!$A$3:$A$5001,"&gt;="&amp;$C$7,BD!$A$3:$A$5001,"&lt;="&amp;$B184,BD!$W$3:$W$5001,"&lt;&gt;"))))</f>
        <v/>
      </c>
      <c r="O184" s="54" t="str">
        <f>IF(OR($B184="",$A184&gt;$B$9,O$175=""),"",IF(COUNTIFS(BD!$B$3:$B$5001,O$175,BD!$A$3:$A$5001,"&gt;="&amp;$C$7,BD!$A$3:$A$5001,"&lt;="&amp;$B184,BD!$W$3:$W$5001,"&lt;&gt;")=0,"",SUMIFS(BD!$W$3:$W$5001,BD!$B$3:$B$5001,O$175,BD!$A$3:$A$5001,_xlfn.MAXIFS(BD!$A$3:$A$5001,BD!$B$3:$B$5001,O$175,BD!$A$3:$A$5001,"&gt;="&amp;$C$7,BD!$A$3:$A$5001,"&lt;="&amp;$B184,BD!$W$3:$W$5001,"&lt;&gt;"))))</f>
        <v/>
      </c>
      <c r="P184" s="54" t="str">
        <f>IF(OR($B184="",$A184&gt;$B$9,P$175=""),"",IF(COUNTIFS(BD!$B$3:$B$5001,P$175,BD!$A$3:$A$5001,"&gt;="&amp;$C$7,BD!$A$3:$A$5001,"&lt;="&amp;$B184,BD!$W$3:$W$5001,"&lt;&gt;")=0,"",SUMIFS(BD!$W$3:$W$5001,BD!$B$3:$B$5001,P$175,BD!$A$3:$A$5001,_xlfn.MAXIFS(BD!$A$3:$A$5001,BD!$B$3:$B$5001,P$175,BD!$A$3:$A$5001,"&gt;="&amp;$C$7,BD!$A$3:$A$5001,"&lt;="&amp;$B184,BD!$W$3:$W$5001,"&lt;&gt;"))))</f>
        <v/>
      </c>
      <c r="Q184" s="54" t="str">
        <f>IF(OR($B184="",$A184&gt;$B$9,Q$175=""),"",IF(COUNTIFS(BD!$B$3:$B$5001,Q$175,BD!$A$3:$A$5001,"&gt;="&amp;$C$7,BD!$A$3:$A$5001,"&lt;="&amp;$B184,BD!$W$3:$W$5001,"&lt;&gt;")=0,"",SUMIFS(BD!$W$3:$W$5001,BD!$B$3:$B$5001,Q$175,BD!$A$3:$A$5001,_xlfn.MAXIFS(BD!$A$3:$A$5001,BD!$B$3:$B$5001,Q$175,BD!$A$3:$A$5001,"&gt;="&amp;$C$7,BD!$A$3:$A$5001,"&lt;="&amp;$B184,BD!$W$3:$W$5001,"&lt;&gt;"))))</f>
        <v/>
      </c>
      <c r="R184" s="54" t="str">
        <f>IF(OR($B184="",$A184&gt;$B$9,R$175=""),"",IF(COUNTIFS(BD!$B$3:$B$5001,R$175,BD!$A$3:$A$5001,"&gt;="&amp;$C$7,BD!$A$3:$A$5001,"&lt;="&amp;$B184,BD!$W$3:$W$5001,"&lt;&gt;")=0,"",SUMIFS(BD!$W$3:$W$5001,BD!$B$3:$B$5001,R$175,BD!$A$3:$A$5001,_xlfn.MAXIFS(BD!$A$3:$A$5001,BD!$B$3:$B$5001,R$175,BD!$A$3:$A$5001,"&gt;="&amp;$C$7,BD!$A$3:$A$5001,"&lt;="&amp;$B184,BD!$W$3:$W$5001,"&lt;&gt;"))))</f>
        <v/>
      </c>
      <c r="S184" s="54" t="str">
        <f>IF(OR($B184="",$A184&gt;$B$9,S$175=""),"",IF(COUNTIFS(BD!$B$3:$B$5001,S$175,BD!$A$3:$A$5001,"&gt;="&amp;$C$7,BD!$A$3:$A$5001,"&lt;="&amp;$B184,BD!$W$3:$W$5001,"&lt;&gt;")=0,"",SUMIFS(BD!$W$3:$W$5001,BD!$B$3:$B$5001,S$175,BD!$A$3:$A$5001,_xlfn.MAXIFS(BD!$A$3:$A$5001,BD!$B$3:$B$5001,S$175,BD!$A$3:$A$5001,"&gt;="&amp;$C$7,BD!$A$3:$A$5001,"&lt;="&amp;$B184,BD!$W$3:$W$5001,"&lt;&gt;"))))</f>
        <v/>
      </c>
      <c r="T184" s="54" t="str">
        <f>IF(OR($B184="",$A184&gt;$B$9,T$175=""),"",IF(COUNTIFS(BD!$B$3:$B$5001,T$175,BD!$A$3:$A$5001,"&gt;="&amp;$C$7,BD!$A$3:$A$5001,"&lt;="&amp;$B184,BD!$W$3:$W$5001,"&lt;&gt;")=0,"",SUMIFS(BD!$W$3:$W$5001,BD!$B$3:$B$5001,T$175,BD!$A$3:$A$5001,_xlfn.MAXIFS(BD!$A$3:$A$5001,BD!$B$3:$B$5001,T$175,BD!$A$3:$A$5001,"&gt;="&amp;$C$7,BD!$A$3:$A$5001,"&lt;="&amp;$B184,BD!$W$3:$W$5001,"&lt;&gt;"))))</f>
        <v/>
      </c>
      <c r="U184" s="54" t="str">
        <f>IF(OR($B184="",$A184&gt;$B$9,U$175=""),"",IF(COUNTIFS(BD!$B$3:$B$5001,U$175,BD!$A$3:$A$5001,"&gt;="&amp;$C$7,BD!$A$3:$A$5001,"&lt;="&amp;$B184,BD!$W$3:$W$5001,"&lt;&gt;")=0,"",SUMIFS(BD!$W$3:$W$5001,BD!$B$3:$B$5001,U$175,BD!$A$3:$A$5001,_xlfn.MAXIFS(BD!$A$3:$A$5001,BD!$B$3:$B$5001,U$175,BD!$A$3:$A$5001,"&gt;="&amp;$C$7,BD!$A$3:$A$5001,"&lt;="&amp;$B184,BD!$W$3:$W$5001,"&lt;&gt;"))))</f>
        <v/>
      </c>
      <c r="V184" s="54" t="str">
        <f>IF(OR($B184="",$A184&gt;$B$9,V$175=""),"",IF(COUNTIFS(BD!$B$3:$B$5001,V$175,BD!$A$3:$A$5001,"&gt;="&amp;$C$7,BD!$A$3:$A$5001,"&lt;="&amp;$B184,BD!$W$3:$W$5001,"&lt;&gt;")=0,"",SUMIFS(BD!$W$3:$W$5001,BD!$B$3:$B$5001,V$175,BD!$A$3:$A$5001,_xlfn.MAXIFS(BD!$A$3:$A$5001,BD!$B$3:$B$5001,V$175,BD!$A$3:$A$5001,"&gt;="&amp;$C$7,BD!$A$3:$A$5001,"&lt;="&amp;$B184,BD!$W$3:$W$5001,"&lt;&gt;"))))</f>
        <v/>
      </c>
    </row>
    <row r="185">
      <c r="A185" s="48">
        <v>10</v>
      </c>
      <c r="B185" s="53">
        <f>$B$21</f>
        <v>46305</v>
      </c>
      <c r="C185" s="54" t="str">
        <f>IF(OR($B185="",$A185&gt;$B$9,C$175=""),"",IF(COUNTIFS(BD!$B$3:$B$5001,C$175,BD!$A$3:$A$5001,"&gt;="&amp;$C$7,BD!$A$3:$A$5001,"&lt;="&amp;$B185,BD!$W$3:$W$5001,"&lt;&gt;")=0,"",SUMIFS(BD!$W$3:$W$5001,BD!$B$3:$B$5001,C$175,BD!$A$3:$A$5001,_xlfn.MAXIFS(BD!$A$3:$A$5001,BD!$B$3:$B$5001,C$175,BD!$A$3:$A$5001,"&gt;="&amp;$C$7,BD!$A$3:$A$5001,"&lt;="&amp;$B185,BD!$W$3:$W$5001,"&lt;&gt;"))))</f>
        <v/>
      </c>
      <c r="D185" s="54" t="str">
        <f>IF(OR($B185="",$A185&gt;$B$9,D$175=""),"",IF(COUNTIFS(BD!$B$3:$B$5001,D$175,BD!$A$3:$A$5001,"&gt;="&amp;$C$7,BD!$A$3:$A$5001,"&lt;="&amp;$B185,BD!$W$3:$W$5001,"&lt;&gt;")=0,"",SUMIFS(BD!$W$3:$W$5001,BD!$B$3:$B$5001,D$175,BD!$A$3:$A$5001,_xlfn.MAXIFS(BD!$A$3:$A$5001,BD!$B$3:$B$5001,D$175,BD!$A$3:$A$5001,"&gt;="&amp;$C$7,BD!$A$3:$A$5001,"&lt;="&amp;$B185,BD!$W$3:$W$5001,"&lt;&gt;"))))</f>
        <v/>
      </c>
      <c r="E185" s="54" t="str">
        <f>IF(OR($B185="",$A185&gt;$B$9,E$175=""),"",IF(COUNTIFS(BD!$B$3:$B$5001,E$175,BD!$A$3:$A$5001,"&gt;="&amp;$C$7,BD!$A$3:$A$5001,"&lt;="&amp;$B185,BD!$W$3:$W$5001,"&lt;&gt;")=0,"",SUMIFS(BD!$W$3:$W$5001,BD!$B$3:$B$5001,E$175,BD!$A$3:$A$5001,_xlfn.MAXIFS(BD!$A$3:$A$5001,BD!$B$3:$B$5001,E$175,BD!$A$3:$A$5001,"&gt;="&amp;$C$7,BD!$A$3:$A$5001,"&lt;="&amp;$B185,BD!$W$3:$W$5001,"&lt;&gt;"))))</f>
        <v/>
      </c>
      <c r="F185" s="54" t="str">
        <f>IF(OR($B185="",$A185&gt;$B$9,F$175=""),"",IF(COUNTIFS(BD!$B$3:$B$5001,F$175,BD!$A$3:$A$5001,"&gt;="&amp;$C$7,BD!$A$3:$A$5001,"&lt;="&amp;$B185,BD!$W$3:$W$5001,"&lt;&gt;")=0,"",SUMIFS(BD!$W$3:$W$5001,BD!$B$3:$B$5001,F$175,BD!$A$3:$A$5001,_xlfn.MAXIFS(BD!$A$3:$A$5001,BD!$B$3:$B$5001,F$175,BD!$A$3:$A$5001,"&gt;="&amp;$C$7,BD!$A$3:$A$5001,"&lt;="&amp;$B185,BD!$W$3:$W$5001,"&lt;&gt;"))))</f>
        <v/>
      </c>
      <c r="G185" s="54" t="str">
        <f>IF(OR($B185="",$A185&gt;$B$9,G$175=""),"",IF(COUNTIFS(BD!$B$3:$B$5001,G$175,BD!$A$3:$A$5001,"&gt;="&amp;$C$7,BD!$A$3:$A$5001,"&lt;="&amp;$B185,BD!$W$3:$W$5001,"&lt;&gt;")=0,"",SUMIFS(BD!$W$3:$W$5001,BD!$B$3:$B$5001,G$175,BD!$A$3:$A$5001,_xlfn.MAXIFS(BD!$A$3:$A$5001,BD!$B$3:$B$5001,G$175,BD!$A$3:$A$5001,"&gt;="&amp;$C$7,BD!$A$3:$A$5001,"&lt;="&amp;$B185,BD!$W$3:$W$5001,"&lt;&gt;"))))</f>
        <v/>
      </c>
      <c r="H185" s="54" t="str">
        <f>IF(OR($B185="",$A185&gt;$B$9,H$175=""),"",IF(COUNTIFS(BD!$B$3:$B$5001,H$175,BD!$A$3:$A$5001,"&gt;="&amp;$C$7,BD!$A$3:$A$5001,"&lt;="&amp;$B185,BD!$W$3:$W$5001,"&lt;&gt;")=0,"",SUMIFS(BD!$W$3:$W$5001,BD!$B$3:$B$5001,H$175,BD!$A$3:$A$5001,_xlfn.MAXIFS(BD!$A$3:$A$5001,BD!$B$3:$B$5001,H$175,BD!$A$3:$A$5001,"&gt;="&amp;$C$7,BD!$A$3:$A$5001,"&lt;="&amp;$B185,BD!$W$3:$W$5001,"&lt;&gt;"))))</f>
        <v/>
      </c>
      <c r="I185" s="54" t="str">
        <f>IF(OR($B185="",$A185&gt;$B$9,I$175=""),"",IF(COUNTIFS(BD!$B$3:$B$5001,I$175,BD!$A$3:$A$5001,"&gt;="&amp;$C$7,BD!$A$3:$A$5001,"&lt;="&amp;$B185,BD!$W$3:$W$5001,"&lt;&gt;")=0,"",SUMIFS(BD!$W$3:$W$5001,BD!$B$3:$B$5001,I$175,BD!$A$3:$A$5001,_xlfn.MAXIFS(BD!$A$3:$A$5001,BD!$B$3:$B$5001,I$175,BD!$A$3:$A$5001,"&gt;="&amp;$C$7,BD!$A$3:$A$5001,"&lt;="&amp;$B185,BD!$W$3:$W$5001,"&lt;&gt;"))))</f>
        <v/>
      </c>
      <c r="J185" s="54" t="str">
        <f>IF(OR($B185="",$A185&gt;$B$9,J$175=""),"",IF(COUNTIFS(BD!$B$3:$B$5001,J$175,BD!$A$3:$A$5001,"&gt;="&amp;$C$7,BD!$A$3:$A$5001,"&lt;="&amp;$B185,BD!$W$3:$W$5001,"&lt;&gt;")=0,"",SUMIFS(BD!$W$3:$W$5001,BD!$B$3:$B$5001,J$175,BD!$A$3:$A$5001,_xlfn.MAXIFS(BD!$A$3:$A$5001,BD!$B$3:$B$5001,J$175,BD!$A$3:$A$5001,"&gt;="&amp;$C$7,BD!$A$3:$A$5001,"&lt;="&amp;$B185,BD!$W$3:$W$5001,"&lt;&gt;"))))</f>
        <v/>
      </c>
      <c r="K185" s="54" t="str">
        <f>IF(OR($B185="",$A185&gt;$B$9,K$175=""),"",IF(COUNTIFS(BD!$B$3:$B$5001,K$175,BD!$A$3:$A$5001,"&gt;="&amp;$C$7,BD!$A$3:$A$5001,"&lt;="&amp;$B185,BD!$W$3:$W$5001,"&lt;&gt;")=0,"",SUMIFS(BD!$W$3:$W$5001,BD!$B$3:$B$5001,K$175,BD!$A$3:$A$5001,_xlfn.MAXIFS(BD!$A$3:$A$5001,BD!$B$3:$B$5001,K$175,BD!$A$3:$A$5001,"&gt;="&amp;$C$7,BD!$A$3:$A$5001,"&lt;="&amp;$B185,BD!$W$3:$W$5001,"&lt;&gt;"))))</f>
        <v/>
      </c>
      <c r="L185" s="54" t="str">
        <f>IF(OR($B185="",$A185&gt;$B$9,L$175=""),"",IF(COUNTIFS(BD!$B$3:$B$5001,L$175,BD!$A$3:$A$5001,"&gt;="&amp;$C$7,BD!$A$3:$A$5001,"&lt;="&amp;$B185,BD!$W$3:$W$5001,"&lt;&gt;")=0,"",SUMIFS(BD!$W$3:$W$5001,BD!$B$3:$B$5001,L$175,BD!$A$3:$A$5001,_xlfn.MAXIFS(BD!$A$3:$A$5001,BD!$B$3:$B$5001,L$175,BD!$A$3:$A$5001,"&gt;="&amp;$C$7,BD!$A$3:$A$5001,"&lt;="&amp;$B185,BD!$W$3:$W$5001,"&lt;&gt;"))))</f>
        <v/>
      </c>
      <c r="M185" s="54" t="str">
        <f>IF(OR($B185="",$A185&gt;$B$9,M$175=""),"",IF(COUNTIFS(BD!$B$3:$B$5001,M$175,BD!$A$3:$A$5001,"&gt;="&amp;$C$7,BD!$A$3:$A$5001,"&lt;="&amp;$B185,BD!$W$3:$W$5001,"&lt;&gt;")=0,"",SUMIFS(BD!$W$3:$W$5001,BD!$B$3:$B$5001,M$175,BD!$A$3:$A$5001,_xlfn.MAXIFS(BD!$A$3:$A$5001,BD!$B$3:$B$5001,M$175,BD!$A$3:$A$5001,"&gt;="&amp;$C$7,BD!$A$3:$A$5001,"&lt;="&amp;$B185,BD!$W$3:$W$5001,"&lt;&gt;"))))</f>
        <v/>
      </c>
      <c r="N185" s="54" t="str">
        <f>IF(OR($B185="",$A185&gt;$B$9,N$175=""),"",IF(COUNTIFS(BD!$B$3:$B$5001,N$175,BD!$A$3:$A$5001,"&gt;="&amp;$C$7,BD!$A$3:$A$5001,"&lt;="&amp;$B185,BD!$W$3:$W$5001,"&lt;&gt;")=0,"",SUMIFS(BD!$W$3:$W$5001,BD!$B$3:$B$5001,N$175,BD!$A$3:$A$5001,_xlfn.MAXIFS(BD!$A$3:$A$5001,BD!$B$3:$B$5001,N$175,BD!$A$3:$A$5001,"&gt;="&amp;$C$7,BD!$A$3:$A$5001,"&lt;="&amp;$B185,BD!$W$3:$W$5001,"&lt;&gt;"))))</f>
        <v/>
      </c>
      <c r="O185" s="54" t="str">
        <f>IF(OR($B185="",$A185&gt;$B$9,O$175=""),"",IF(COUNTIFS(BD!$B$3:$B$5001,O$175,BD!$A$3:$A$5001,"&gt;="&amp;$C$7,BD!$A$3:$A$5001,"&lt;="&amp;$B185,BD!$W$3:$W$5001,"&lt;&gt;")=0,"",SUMIFS(BD!$W$3:$W$5001,BD!$B$3:$B$5001,O$175,BD!$A$3:$A$5001,_xlfn.MAXIFS(BD!$A$3:$A$5001,BD!$B$3:$B$5001,O$175,BD!$A$3:$A$5001,"&gt;="&amp;$C$7,BD!$A$3:$A$5001,"&lt;="&amp;$B185,BD!$W$3:$W$5001,"&lt;&gt;"))))</f>
        <v/>
      </c>
      <c r="P185" s="54" t="str">
        <f>IF(OR($B185="",$A185&gt;$B$9,P$175=""),"",IF(COUNTIFS(BD!$B$3:$B$5001,P$175,BD!$A$3:$A$5001,"&gt;="&amp;$C$7,BD!$A$3:$A$5001,"&lt;="&amp;$B185,BD!$W$3:$W$5001,"&lt;&gt;")=0,"",SUMIFS(BD!$W$3:$W$5001,BD!$B$3:$B$5001,P$175,BD!$A$3:$A$5001,_xlfn.MAXIFS(BD!$A$3:$A$5001,BD!$B$3:$B$5001,P$175,BD!$A$3:$A$5001,"&gt;="&amp;$C$7,BD!$A$3:$A$5001,"&lt;="&amp;$B185,BD!$W$3:$W$5001,"&lt;&gt;"))))</f>
        <v/>
      </c>
      <c r="Q185" s="54" t="str">
        <f>IF(OR($B185="",$A185&gt;$B$9,Q$175=""),"",IF(COUNTIFS(BD!$B$3:$B$5001,Q$175,BD!$A$3:$A$5001,"&gt;="&amp;$C$7,BD!$A$3:$A$5001,"&lt;="&amp;$B185,BD!$W$3:$W$5001,"&lt;&gt;")=0,"",SUMIFS(BD!$W$3:$W$5001,BD!$B$3:$B$5001,Q$175,BD!$A$3:$A$5001,_xlfn.MAXIFS(BD!$A$3:$A$5001,BD!$B$3:$B$5001,Q$175,BD!$A$3:$A$5001,"&gt;="&amp;$C$7,BD!$A$3:$A$5001,"&lt;="&amp;$B185,BD!$W$3:$W$5001,"&lt;&gt;"))))</f>
        <v/>
      </c>
      <c r="R185" s="54" t="str">
        <f>IF(OR($B185="",$A185&gt;$B$9,R$175=""),"",IF(COUNTIFS(BD!$B$3:$B$5001,R$175,BD!$A$3:$A$5001,"&gt;="&amp;$C$7,BD!$A$3:$A$5001,"&lt;="&amp;$B185,BD!$W$3:$W$5001,"&lt;&gt;")=0,"",SUMIFS(BD!$W$3:$W$5001,BD!$B$3:$B$5001,R$175,BD!$A$3:$A$5001,_xlfn.MAXIFS(BD!$A$3:$A$5001,BD!$B$3:$B$5001,R$175,BD!$A$3:$A$5001,"&gt;="&amp;$C$7,BD!$A$3:$A$5001,"&lt;="&amp;$B185,BD!$W$3:$W$5001,"&lt;&gt;"))))</f>
        <v/>
      </c>
      <c r="S185" s="54" t="str">
        <f>IF(OR($B185="",$A185&gt;$B$9,S$175=""),"",IF(COUNTIFS(BD!$B$3:$B$5001,S$175,BD!$A$3:$A$5001,"&gt;="&amp;$C$7,BD!$A$3:$A$5001,"&lt;="&amp;$B185,BD!$W$3:$W$5001,"&lt;&gt;")=0,"",SUMIFS(BD!$W$3:$W$5001,BD!$B$3:$B$5001,S$175,BD!$A$3:$A$5001,_xlfn.MAXIFS(BD!$A$3:$A$5001,BD!$B$3:$B$5001,S$175,BD!$A$3:$A$5001,"&gt;="&amp;$C$7,BD!$A$3:$A$5001,"&lt;="&amp;$B185,BD!$W$3:$W$5001,"&lt;&gt;"))))</f>
        <v/>
      </c>
      <c r="T185" s="54" t="str">
        <f>IF(OR($B185="",$A185&gt;$B$9,T$175=""),"",IF(COUNTIFS(BD!$B$3:$B$5001,T$175,BD!$A$3:$A$5001,"&gt;="&amp;$C$7,BD!$A$3:$A$5001,"&lt;="&amp;$B185,BD!$W$3:$W$5001,"&lt;&gt;")=0,"",SUMIFS(BD!$W$3:$W$5001,BD!$B$3:$B$5001,T$175,BD!$A$3:$A$5001,_xlfn.MAXIFS(BD!$A$3:$A$5001,BD!$B$3:$B$5001,T$175,BD!$A$3:$A$5001,"&gt;="&amp;$C$7,BD!$A$3:$A$5001,"&lt;="&amp;$B185,BD!$W$3:$W$5001,"&lt;&gt;"))))</f>
        <v/>
      </c>
      <c r="U185" s="54" t="str">
        <f>IF(OR($B185="",$A185&gt;$B$9,U$175=""),"",IF(COUNTIFS(BD!$B$3:$B$5001,U$175,BD!$A$3:$A$5001,"&gt;="&amp;$C$7,BD!$A$3:$A$5001,"&lt;="&amp;$B185,BD!$W$3:$W$5001,"&lt;&gt;")=0,"",SUMIFS(BD!$W$3:$W$5001,BD!$B$3:$B$5001,U$175,BD!$A$3:$A$5001,_xlfn.MAXIFS(BD!$A$3:$A$5001,BD!$B$3:$B$5001,U$175,BD!$A$3:$A$5001,"&gt;="&amp;$C$7,BD!$A$3:$A$5001,"&lt;="&amp;$B185,BD!$W$3:$W$5001,"&lt;&gt;"))))</f>
        <v/>
      </c>
      <c r="V185" s="54" t="str">
        <f>IF(OR($B185="",$A185&gt;$B$9,V$175=""),"",IF(COUNTIFS(BD!$B$3:$B$5001,V$175,BD!$A$3:$A$5001,"&gt;="&amp;$C$7,BD!$A$3:$A$5001,"&lt;="&amp;$B185,BD!$W$3:$W$5001,"&lt;&gt;")=0,"",SUMIFS(BD!$W$3:$W$5001,BD!$B$3:$B$5001,V$175,BD!$A$3:$A$5001,_xlfn.MAXIFS(BD!$A$3:$A$5001,BD!$B$3:$B$5001,V$175,BD!$A$3:$A$5001,"&gt;="&amp;$C$7,BD!$A$3:$A$5001,"&lt;="&amp;$B185,BD!$W$3:$W$5001,"&lt;&gt;"))))</f>
        <v/>
      </c>
    </row>
    <row r="186">
      <c r="A186" s="48">
        <v>11</v>
      </c>
      <c r="B186" s="53">
        <f>$B$22</f>
        <v>46306</v>
      </c>
      <c r="C186" s="54" t="str">
        <f>IF(OR($B186="",$A186&gt;$B$9,C$175=""),"",IF(COUNTIFS(BD!$B$3:$B$5001,C$175,BD!$A$3:$A$5001,"&gt;="&amp;$C$7,BD!$A$3:$A$5001,"&lt;="&amp;$B186,BD!$W$3:$W$5001,"&lt;&gt;")=0,"",SUMIFS(BD!$W$3:$W$5001,BD!$B$3:$B$5001,C$175,BD!$A$3:$A$5001,_xlfn.MAXIFS(BD!$A$3:$A$5001,BD!$B$3:$B$5001,C$175,BD!$A$3:$A$5001,"&gt;="&amp;$C$7,BD!$A$3:$A$5001,"&lt;="&amp;$B186,BD!$W$3:$W$5001,"&lt;&gt;"))))</f>
        <v/>
      </c>
      <c r="D186" s="54" t="str">
        <f>IF(OR($B186="",$A186&gt;$B$9,D$175=""),"",IF(COUNTIFS(BD!$B$3:$B$5001,D$175,BD!$A$3:$A$5001,"&gt;="&amp;$C$7,BD!$A$3:$A$5001,"&lt;="&amp;$B186,BD!$W$3:$W$5001,"&lt;&gt;")=0,"",SUMIFS(BD!$W$3:$W$5001,BD!$B$3:$B$5001,D$175,BD!$A$3:$A$5001,_xlfn.MAXIFS(BD!$A$3:$A$5001,BD!$B$3:$B$5001,D$175,BD!$A$3:$A$5001,"&gt;="&amp;$C$7,BD!$A$3:$A$5001,"&lt;="&amp;$B186,BD!$W$3:$W$5001,"&lt;&gt;"))))</f>
        <v/>
      </c>
      <c r="E186" s="54" t="str">
        <f>IF(OR($B186="",$A186&gt;$B$9,E$175=""),"",IF(COUNTIFS(BD!$B$3:$B$5001,E$175,BD!$A$3:$A$5001,"&gt;="&amp;$C$7,BD!$A$3:$A$5001,"&lt;="&amp;$B186,BD!$W$3:$W$5001,"&lt;&gt;")=0,"",SUMIFS(BD!$W$3:$W$5001,BD!$B$3:$B$5001,E$175,BD!$A$3:$A$5001,_xlfn.MAXIFS(BD!$A$3:$A$5001,BD!$B$3:$B$5001,E$175,BD!$A$3:$A$5001,"&gt;="&amp;$C$7,BD!$A$3:$A$5001,"&lt;="&amp;$B186,BD!$W$3:$W$5001,"&lt;&gt;"))))</f>
        <v/>
      </c>
      <c r="F186" s="54" t="str">
        <f>IF(OR($B186="",$A186&gt;$B$9,F$175=""),"",IF(COUNTIFS(BD!$B$3:$B$5001,F$175,BD!$A$3:$A$5001,"&gt;="&amp;$C$7,BD!$A$3:$A$5001,"&lt;="&amp;$B186,BD!$W$3:$W$5001,"&lt;&gt;")=0,"",SUMIFS(BD!$W$3:$W$5001,BD!$B$3:$B$5001,F$175,BD!$A$3:$A$5001,_xlfn.MAXIFS(BD!$A$3:$A$5001,BD!$B$3:$B$5001,F$175,BD!$A$3:$A$5001,"&gt;="&amp;$C$7,BD!$A$3:$A$5001,"&lt;="&amp;$B186,BD!$W$3:$W$5001,"&lt;&gt;"))))</f>
        <v/>
      </c>
      <c r="G186" s="54" t="str">
        <f>IF(OR($B186="",$A186&gt;$B$9,G$175=""),"",IF(COUNTIFS(BD!$B$3:$B$5001,G$175,BD!$A$3:$A$5001,"&gt;="&amp;$C$7,BD!$A$3:$A$5001,"&lt;="&amp;$B186,BD!$W$3:$W$5001,"&lt;&gt;")=0,"",SUMIFS(BD!$W$3:$W$5001,BD!$B$3:$B$5001,G$175,BD!$A$3:$A$5001,_xlfn.MAXIFS(BD!$A$3:$A$5001,BD!$B$3:$B$5001,G$175,BD!$A$3:$A$5001,"&gt;="&amp;$C$7,BD!$A$3:$A$5001,"&lt;="&amp;$B186,BD!$W$3:$W$5001,"&lt;&gt;"))))</f>
        <v/>
      </c>
      <c r="H186" s="54" t="str">
        <f>IF(OR($B186="",$A186&gt;$B$9,H$175=""),"",IF(COUNTIFS(BD!$B$3:$B$5001,H$175,BD!$A$3:$A$5001,"&gt;="&amp;$C$7,BD!$A$3:$A$5001,"&lt;="&amp;$B186,BD!$W$3:$W$5001,"&lt;&gt;")=0,"",SUMIFS(BD!$W$3:$W$5001,BD!$B$3:$B$5001,H$175,BD!$A$3:$A$5001,_xlfn.MAXIFS(BD!$A$3:$A$5001,BD!$B$3:$B$5001,H$175,BD!$A$3:$A$5001,"&gt;="&amp;$C$7,BD!$A$3:$A$5001,"&lt;="&amp;$B186,BD!$W$3:$W$5001,"&lt;&gt;"))))</f>
        <v/>
      </c>
      <c r="I186" s="54" t="str">
        <f>IF(OR($B186="",$A186&gt;$B$9,I$175=""),"",IF(COUNTIFS(BD!$B$3:$B$5001,I$175,BD!$A$3:$A$5001,"&gt;="&amp;$C$7,BD!$A$3:$A$5001,"&lt;="&amp;$B186,BD!$W$3:$W$5001,"&lt;&gt;")=0,"",SUMIFS(BD!$W$3:$W$5001,BD!$B$3:$B$5001,I$175,BD!$A$3:$A$5001,_xlfn.MAXIFS(BD!$A$3:$A$5001,BD!$B$3:$B$5001,I$175,BD!$A$3:$A$5001,"&gt;="&amp;$C$7,BD!$A$3:$A$5001,"&lt;="&amp;$B186,BD!$W$3:$W$5001,"&lt;&gt;"))))</f>
        <v/>
      </c>
      <c r="J186" s="54" t="str">
        <f>IF(OR($B186="",$A186&gt;$B$9,J$175=""),"",IF(COUNTIFS(BD!$B$3:$B$5001,J$175,BD!$A$3:$A$5001,"&gt;="&amp;$C$7,BD!$A$3:$A$5001,"&lt;="&amp;$B186,BD!$W$3:$W$5001,"&lt;&gt;")=0,"",SUMIFS(BD!$W$3:$W$5001,BD!$B$3:$B$5001,J$175,BD!$A$3:$A$5001,_xlfn.MAXIFS(BD!$A$3:$A$5001,BD!$B$3:$B$5001,J$175,BD!$A$3:$A$5001,"&gt;="&amp;$C$7,BD!$A$3:$A$5001,"&lt;="&amp;$B186,BD!$W$3:$W$5001,"&lt;&gt;"))))</f>
        <v/>
      </c>
      <c r="K186" s="54" t="str">
        <f>IF(OR($B186="",$A186&gt;$B$9,K$175=""),"",IF(COUNTIFS(BD!$B$3:$B$5001,K$175,BD!$A$3:$A$5001,"&gt;="&amp;$C$7,BD!$A$3:$A$5001,"&lt;="&amp;$B186,BD!$W$3:$W$5001,"&lt;&gt;")=0,"",SUMIFS(BD!$W$3:$W$5001,BD!$B$3:$B$5001,K$175,BD!$A$3:$A$5001,_xlfn.MAXIFS(BD!$A$3:$A$5001,BD!$B$3:$B$5001,K$175,BD!$A$3:$A$5001,"&gt;="&amp;$C$7,BD!$A$3:$A$5001,"&lt;="&amp;$B186,BD!$W$3:$W$5001,"&lt;&gt;"))))</f>
        <v/>
      </c>
      <c r="L186" s="54" t="str">
        <f>IF(OR($B186="",$A186&gt;$B$9,L$175=""),"",IF(COUNTIFS(BD!$B$3:$B$5001,L$175,BD!$A$3:$A$5001,"&gt;="&amp;$C$7,BD!$A$3:$A$5001,"&lt;="&amp;$B186,BD!$W$3:$W$5001,"&lt;&gt;")=0,"",SUMIFS(BD!$W$3:$W$5001,BD!$B$3:$B$5001,L$175,BD!$A$3:$A$5001,_xlfn.MAXIFS(BD!$A$3:$A$5001,BD!$B$3:$B$5001,L$175,BD!$A$3:$A$5001,"&gt;="&amp;$C$7,BD!$A$3:$A$5001,"&lt;="&amp;$B186,BD!$W$3:$W$5001,"&lt;&gt;"))))</f>
        <v/>
      </c>
      <c r="M186" s="54" t="str">
        <f>IF(OR($B186="",$A186&gt;$B$9,M$175=""),"",IF(COUNTIFS(BD!$B$3:$B$5001,M$175,BD!$A$3:$A$5001,"&gt;="&amp;$C$7,BD!$A$3:$A$5001,"&lt;="&amp;$B186,BD!$W$3:$W$5001,"&lt;&gt;")=0,"",SUMIFS(BD!$W$3:$W$5001,BD!$B$3:$B$5001,M$175,BD!$A$3:$A$5001,_xlfn.MAXIFS(BD!$A$3:$A$5001,BD!$B$3:$B$5001,M$175,BD!$A$3:$A$5001,"&gt;="&amp;$C$7,BD!$A$3:$A$5001,"&lt;="&amp;$B186,BD!$W$3:$W$5001,"&lt;&gt;"))))</f>
        <v/>
      </c>
      <c r="N186" s="54" t="str">
        <f>IF(OR($B186="",$A186&gt;$B$9,N$175=""),"",IF(COUNTIFS(BD!$B$3:$B$5001,N$175,BD!$A$3:$A$5001,"&gt;="&amp;$C$7,BD!$A$3:$A$5001,"&lt;="&amp;$B186,BD!$W$3:$W$5001,"&lt;&gt;")=0,"",SUMIFS(BD!$W$3:$W$5001,BD!$B$3:$B$5001,N$175,BD!$A$3:$A$5001,_xlfn.MAXIFS(BD!$A$3:$A$5001,BD!$B$3:$B$5001,N$175,BD!$A$3:$A$5001,"&gt;="&amp;$C$7,BD!$A$3:$A$5001,"&lt;="&amp;$B186,BD!$W$3:$W$5001,"&lt;&gt;"))))</f>
        <v/>
      </c>
      <c r="O186" s="54" t="str">
        <f>IF(OR($B186="",$A186&gt;$B$9,O$175=""),"",IF(COUNTIFS(BD!$B$3:$B$5001,O$175,BD!$A$3:$A$5001,"&gt;="&amp;$C$7,BD!$A$3:$A$5001,"&lt;="&amp;$B186,BD!$W$3:$W$5001,"&lt;&gt;")=0,"",SUMIFS(BD!$W$3:$W$5001,BD!$B$3:$B$5001,O$175,BD!$A$3:$A$5001,_xlfn.MAXIFS(BD!$A$3:$A$5001,BD!$B$3:$B$5001,O$175,BD!$A$3:$A$5001,"&gt;="&amp;$C$7,BD!$A$3:$A$5001,"&lt;="&amp;$B186,BD!$W$3:$W$5001,"&lt;&gt;"))))</f>
        <v/>
      </c>
      <c r="P186" s="54" t="str">
        <f>IF(OR($B186="",$A186&gt;$B$9,P$175=""),"",IF(COUNTIFS(BD!$B$3:$B$5001,P$175,BD!$A$3:$A$5001,"&gt;="&amp;$C$7,BD!$A$3:$A$5001,"&lt;="&amp;$B186,BD!$W$3:$W$5001,"&lt;&gt;")=0,"",SUMIFS(BD!$W$3:$W$5001,BD!$B$3:$B$5001,P$175,BD!$A$3:$A$5001,_xlfn.MAXIFS(BD!$A$3:$A$5001,BD!$B$3:$B$5001,P$175,BD!$A$3:$A$5001,"&gt;="&amp;$C$7,BD!$A$3:$A$5001,"&lt;="&amp;$B186,BD!$W$3:$W$5001,"&lt;&gt;"))))</f>
        <v/>
      </c>
      <c r="Q186" s="54" t="str">
        <f>IF(OR($B186="",$A186&gt;$B$9,Q$175=""),"",IF(COUNTIFS(BD!$B$3:$B$5001,Q$175,BD!$A$3:$A$5001,"&gt;="&amp;$C$7,BD!$A$3:$A$5001,"&lt;="&amp;$B186,BD!$W$3:$W$5001,"&lt;&gt;")=0,"",SUMIFS(BD!$W$3:$W$5001,BD!$B$3:$B$5001,Q$175,BD!$A$3:$A$5001,_xlfn.MAXIFS(BD!$A$3:$A$5001,BD!$B$3:$B$5001,Q$175,BD!$A$3:$A$5001,"&gt;="&amp;$C$7,BD!$A$3:$A$5001,"&lt;="&amp;$B186,BD!$W$3:$W$5001,"&lt;&gt;"))))</f>
        <v/>
      </c>
      <c r="R186" s="54" t="str">
        <f>IF(OR($B186="",$A186&gt;$B$9,R$175=""),"",IF(COUNTIFS(BD!$B$3:$B$5001,R$175,BD!$A$3:$A$5001,"&gt;="&amp;$C$7,BD!$A$3:$A$5001,"&lt;="&amp;$B186,BD!$W$3:$W$5001,"&lt;&gt;")=0,"",SUMIFS(BD!$W$3:$W$5001,BD!$B$3:$B$5001,R$175,BD!$A$3:$A$5001,_xlfn.MAXIFS(BD!$A$3:$A$5001,BD!$B$3:$B$5001,R$175,BD!$A$3:$A$5001,"&gt;="&amp;$C$7,BD!$A$3:$A$5001,"&lt;="&amp;$B186,BD!$W$3:$W$5001,"&lt;&gt;"))))</f>
        <v/>
      </c>
      <c r="S186" s="54" t="str">
        <f>IF(OR($B186="",$A186&gt;$B$9,S$175=""),"",IF(COUNTIFS(BD!$B$3:$B$5001,S$175,BD!$A$3:$A$5001,"&gt;="&amp;$C$7,BD!$A$3:$A$5001,"&lt;="&amp;$B186,BD!$W$3:$W$5001,"&lt;&gt;")=0,"",SUMIFS(BD!$W$3:$W$5001,BD!$B$3:$B$5001,S$175,BD!$A$3:$A$5001,_xlfn.MAXIFS(BD!$A$3:$A$5001,BD!$B$3:$B$5001,S$175,BD!$A$3:$A$5001,"&gt;="&amp;$C$7,BD!$A$3:$A$5001,"&lt;="&amp;$B186,BD!$W$3:$W$5001,"&lt;&gt;"))))</f>
        <v/>
      </c>
      <c r="T186" s="54" t="str">
        <f>IF(OR($B186="",$A186&gt;$B$9,T$175=""),"",IF(COUNTIFS(BD!$B$3:$B$5001,T$175,BD!$A$3:$A$5001,"&gt;="&amp;$C$7,BD!$A$3:$A$5001,"&lt;="&amp;$B186,BD!$W$3:$W$5001,"&lt;&gt;")=0,"",SUMIFS(BD!$W$3:$W$5001,BD!$B$3:$B$5001,T$175,BD!$A$3:$A$5001,_xlfn.MAXIFS(BD!$A$3:$A$5001,BD!$B$3:$B$5001,T$175,BD!$A$3:$A$5001,"&gt;="&amp;$C$7,BD!$A$3:$A$5001,"&lt;="&amp;$B186,BD!$W$3:$W$5001,"&lt;&gt;"))))</f>
        <v/>
      </c>
      <c r="U186" s="54" t="str">
        <f>IF(OR($B186="",$A186&gt;$B$9,U$175=""),"",IF(COUNTIFS(BD!$B$3:$B$5001,U$175,BD!$A$3:$A$5001,"&gt;="&amp;$C$7,BD!$A$3:$A$5001,"&lt;="&amp;$B186,BD!$W$3:$W$5001,"&lt;&gt;")=0,"",SUMIFS(BD!$W$3:$W$5001,BD!$B$3:$B$5001,U$175,BD!$A$3:$A$5001,_xlfn.MAXIFS(BD!$A$3:$A$5001,BD!$B$3:$B$5001,U$175,BD!$A$3:$A$5001,"&gt;="&amp;$C$7,BD!$A$3:$A$5001,"&lt;="&amp;$B186,BD!$W$3:$W$5001,"&lt;&gt;"))))</f>
        <v/>
      </c>
      <c r="V186" s="54" t="str">
        <f>IF(OR($B186="",$A186&gt;$B$9,V$175=""),"",IF(COUNTIFS(BD!$B$3:$B$5001,V$175,BD!$A$3:$A$5001,"&gt;="&amp;$C$7,BD!$A$3:$A$5001,"&lt;="&amp;$B186,BD!$W$3:$W$5001,"&lt;&gt;")=0,"",SUMIFS(BD!$W$3:$W$5001,BD!$B$3:$B$5001,V$175,BD!$A$3:$A$5001,_xlfn.MAXIFS(BD!$A$3:$A$5001,BD!$B$3:$B$5001,V$175,BD!$A$3:$A$5001,"&gt;="&amp;$C$7,BD!$A$3:$A$5001,"&lt;="&amp;$B186,BD!$W$3:$W$5001,"&lt;&gt;"))))</f>
        <v/>
      </c>
    </row>
    <row r="187">
      <c r="A187" s="48">
        <v>12</v>
      </c>
      <c r="B187" s="53">
        <f>$B$23</f>
        <v>46307</v>
      </c>
      <c r="C187" s="54" t="str">
        <f>IF(OR($B187="",$A187&gt;$B$9,C$175=""),"",IF(COUNTIFS(BD!$B$3:$B$5001,C$175,BD!$A$3:$A$5001,"&gt;="&amp;$C$7,BD!$A$3:$A$5001,"&lt;="&amp;$B187,BD!$W$3:$W$5001,"&lt;&gt;")=0,"",SUMIFS(BD!$W$3:$W$5001,BD!$B$3:$B$5001,C$175,BD!$A$3:$A$5001,_xlfn.MAXIFS(BD!$A$3:$A$5001,BD!$B$3:$B$5001,C$175,BD!$A$3:$A$5001,"&gt;="&amp;$C$7,BD!$A$3:$A$5001,"&lt;="&amp;$B187,BD!$W$3:$W$5001,"&lt;&gt;"))))</f>
        <v/>
      </c>
      <c r="D187" s="54" t="str">
        <f>IF(OR($B187="",$A187&gt;$B$9,D$175=""),"",IF(COUNTIFS(BD!$B$3:$B$5001,D$175,BD!$A$3:$A$5001,"&gt;="&amp;$C$7,BD!$A$3:$A$5001,"&lt;="&amp;$B187,BD!$W$3:$W$5001,"&lt;&gt;")=0,"",SUMIFS(BD!$W$3:$W$5001,BD!$B$3:$B$5001,D$175,BD!$A$3:$A$5001,_xlfn.MAXIFS(BD!$A$3:$A$5001,BD!$B$3:$B$5001,D$175,BD!$A$3:$A$5001,"&gt;="&amp;$C$7,BD!$A$3:$A$5001,"&lt;="&amp;$B187,BD!$W$3:$W$5001,"&lt;&gt;"))))</f>
        <v/>
      </c>
      <c r="E187" s="54" t="str">
        <f>IF(OR($B187="",$A187&gt;$B$9,E$175=""),"",IF(COUNTIFS(BD!$B$3:$B$5001,E$175,BD!$A$3:$A$5001,"&gt;="&amp;$C$7,BD!$A$3:$A$5001,"&lt;="&amp;$B187,BD!$W$3:$W$5001,"&lt;&gt;")=0,"",SUMIFS(BD!$W$3:$W$5001,BD!$B$3:$B$5001,E$175,BD!$A$3:$A$5001,_xlfn.MAXIFS(BD!$A$3:$A$5001,BD!$B$3:$B$5001,E$175,BD!$A$3:$A$5001,"&gt;="&amp;$C$7,BD!$A$3:$A$5001,"&lt;="&amp;$B187,BD!$W$3:$W$5001,"&lt;&gt;"))))</f>
        <v/>
      </c>
      <c r="F187" s="54" t="str">
        <f>IF(OR($B187="",$A187&gt;$B$9,F$175=""),"",IF(COUNTIFS(BD!$B$3:$B$5001,F$175,BD!$A$3:$A$5001,"&gt;="&amp;$C$7,BD!$A$3:$A$5001,"&lt;="&amp;$B187,BD!$W$3:$W$5001,"&lt;&gt;")=0,"",SUMIFS(BD!$W$3:$W$5001,BD!$B$3:$B$5001,F$175,BD!$A$3:$A$5001,_xlfn.MAXIFS(BD!$A$3:$A$5001,BD!$B$3:$B$5001,F$175,BD!$A$3:$A$5001,"&gt;="&amp;$C$7,BD!$A$3:$A$5001,"&lt;="&amp;$B187,BD!$W$3:$W$5001,"&lt;&gt;"))))</f>
        <v/>
      </c>
      <c r="G187" s="54" t="str">
        <f>IF(OR($B187="",$A187&gt;$B$9,G$175=""),"",IF(COUNTIFS(BD!$B$3:$B$5001,G$175,BD!$A$3:$A$5001,"&gt;="&amp;$C$7,BD!$A$3:$A$5001,"&lt;="&amp;$B187,BD!$W$3:$W$5001,"&lt;&gt;")=0,"",SUMIFS(BD!$W$3:$W$5001,BD!$B$3:$B$5001,G$175,BD!$A$3:$A$5001,_xlfn.MAXIFS(BD!$A$3:$A$5001,BD!$B$3:$B$5001,G$175,BD!$A$3:$A$5001,"&gt;="&amp;$C$7,BD!$A$3:$A$5001,"&lt;="&amp;$B187,BD!$W$3:$W$5001,"&lt;&gt;"))))</f>
        <v/>
      </c>
      <c r="H187" s="54" t="str">
        <f>IF(OR($B187="",$A187&gt;$B$9,H$175=""),"",IF(COUNTIFS(BD!$B$3:$B$5001,H$175,BD!$A$3:$A$5001,"&gt;="&amp;$C$7,BD!$A$3:$A$5001,"&lt;="&amp;$B187,BD!$W$3:$W$5001,"&lt;&gt;")=0,"",SUMIFS(BD!$W$3:$W$5001,BD!$B$3:$B$5001,H$175,BD!$A$3:$A$5001,_xlfn.MAXIFS(BD!$A$3:$A$5001,BD!$B$3:$B$5001,H$175,BD!$A$3:$A$5001,"&gt;="&amp;$C$7,BD!$A$3:$A$5001,"&lt;="&amp;$B187,BD!$W$3:$W$5001,"&lt;&gt;"))))</f>
        <v/>
      </c>
      <c r="I187" s="54" t="str">
        <f>IF(OR($B187="",$A187&gt;$B$9,I$175=""),"",IF(COUNTIFS(BD!$B$3:$B$5001,I$175,BD!$A$3:$A$5001,"&gt;="&amp;$C$7,BD!$A$3:$A$5001,"&lt;="&amp;$B187,BD!$W$3:$W$5001,"&lt;&gt;")=0,"",SUMIFS(BD!$W$3:$W$5001,BD!$B$3:$B$5001,I$175,BD!$A$3:$A$5001,_xlfn.MAXIFS(BD!$A$3:$A$5001,BD!$B$3:$B$5001,I$175,BD!$A$3:$A$5001,"&gt;="&amp;$C$7,BD!$A$3:$A$5001,"&lt;="&amp;$B187,BD!$W$3:$W$5001,"&lt;&gt;"))))</f>
        <v/>
      </c>
      <c r="J187" s="54" t="str">
        <f>IF(OR($B187="",$A187&gt;$B$9,J$175=""),"",IF(COUNTIFS(BD!$B$3:$B$5001,J$175,BD!$A$3:$A$5001,"&gt;="&amp;$C$7,BD!$A$3:$A$5001,"&lt;="&amp;$B187,BD!$W$3:$W$5001,"&lt;&gt;")=0,"",SUMIFS(BD!$W$3:$W$5001,BD!$B$3:$B$5001,J$175,BD!$A$3:$A$5001,_xlfn.MAXIFS(BD!$A$3:$A$5001,BD!$B$3:$B$5001,J$175,BD!$A$3:$A$5001,"&gt;="&amp;$C$7,BD!$A$3:$A$5001,"&lt;="&amp;$B187,BD!$W$3:$W$5001,"&lt;&gt;"))))</f>
        <v/>
      </c>
      <c r="K187" s="54" t="str">
        <f>IF(OR($B187="",$A187&gt;$B$9,K$175=""),"",IF(COUNTIFS(BD!$B$3:$B$5001,K$175,BD!$A$3:$A$5001,"&gt;="&amp;$C$7,BD!$A$3:$A$5001,"&lt;="&amp;$B187,BD!$W$3:$W$5001,"&lt;&gt;")=0,"",SUMIFS(BD!$W$3:$W$5001,BD!$B$3:$B$5001,K$175,BD!$A$3:$A$5001,_xlfn.MAXIFS(BD!$A$3:$A$5001,BD!$B$3:$B$5001,K$175,BD!$A$3:$A$5001,"&gt;="&amp;$C$7,BD!$A$3:$A$5001,"&lt;="&amp;$B187,BD!$W$3:$W$5001,"&lt;&gt;"))))</f>
        <v/>
      </c>
      <c r="L187" s="54" t="str">
        <f>IF(OR($B187="",$A187&gt;$B$9,L$175=""),"",IF(COUNTIFS(BD!$B$3:$B$5001,L$175,BD!$A$3:$A$5001,"&gt;="&amp;$C$7,BD!$A$3:$A$5001,"&lt;="&amp;$B187,BD!$W$3:$W$5001,"&lt;&gt;")=0,"",SUMIFS(BD!$W$3:$W$5001,BD!$B$3:$B$5001,L$175,BD!$A$3:$A$5001,_xlfn.MAXIFS(BD!$A$3:$A$5001,BD!$B$3:$B$5001,L$175,BD!$A$3:$A$5001,"&gt;="&amp;$C$7,BD!$A$3:$A$5001,"&lt;="&amp;$B187,BD!$W$3:$W$5001,"&lt;&gt;"))))</f>
        <v/>
      </c>
      <c r="M187" s="54" t="str">
        <f>IF(OR($B187="",$A187&gt;$B$9,M$175=""),"",IF(COUNTIFS(BD!$B$3:$B$5001,M$175,BD!$A$3:$A$5001,"&gt;="&amp;$C$7,BD!$A$3:$A$5001,"&lt;="&amp;$B187,BD!$W$3:$W$5001,"&lt;&gt;")=0,"",SUMIFS(BD!$W$3:$W$5001,BD!$B$3:$B$5001,M$175,BD!$A$3:$A$5001,_xlfn.MAXIFS(BD!$A$3:$A$5001,BD!$B$3:$B$5001,M$175,BD!$A$3:$A$5001,"&gt;="&amp;$C$7,BD!$A$3:$A$5001,"&lt;="&amp;$B187,BD!$W$3:$W$5001,"&lt;&gt;"))))</f>
        <v/>
      </c>
      <c r="N187" s="54" t="str">
        <f>IF(OR($B187="",$A187&gt;$B$9,N$175=""),"",IF(COUNTIFS(BD!$B$3:$B$5001,N$175,BD!$A$3:$A$5001,"&gt;="&amp;$C$7,BD!$A$3:$A$5001,"&lt;="&amp;$B187,BD!$W$3:$W$5001,"&lt;&gt;")=0,"",SUMIFS(BD!$W$3:$W$5001,BD!$B$3:$B$5001,N$175,BD!$A$3:$A$5001,_xlfn.MAXIFS(BD!$A$3:$A$5001,BD!$B$3:$B$5001,N$175,BD!$A$3:$A$5001,"&gt;="&amp;$C$7,BD!$A$3:$A$5001,"&lt;="&amp;$B187,BD!$W$3:$W$5001,"&lt;&gt;"))))</f>
        <v/>
      </c>
      <c r="O187" s="54" t="str">
        <f>IF(OR($B187="",$A187&gt;$B$9,O$175=""),"",IF(COUNTIFS(BD!$B$3:$B$5001,O$175,BD!$A$3:$A$5001,"&gt;="&amp;$C$7,BD!$A$3:$A$5001,"&lt;="&amp;$B187,BD!$W$3:$W$5001,"&lt;&gt;")=0,"",SUMIFS(BD!$W$3:$W$5001,BD!$B$3:$B$5001,O$175,BD!$A$3:$A$5001,_xlfn.MAXIFS(BD!$A$3:$A$5001,BD!$B$3:$B$5001,O$175,BD!$A$3:$A$5001,"&gt;="&amp;$C$7,BD!$A$3:$A$5001,"&lt;="&amp;$B187,BD!$W$3:$W$5001,"&lt;&gt;"))))</f>
        <v/>
      </c>
      <c r="P187" s="54" t="str">
        <f>IF(OR($B187="",$A187&gt;$B$9,P$175=""),"",IF(COUNTIFS(BD!$B$3:$B$5001,P$175,BD!$A$3:$A$5001,"&gt;="&amp;$C$7,BD!$A$3:$A$5001,"&lt;="&amp;$B187,BD!$W$3:$W$5001,"&lt;&gt;")=0,"",SUMIFS(BD!$W$3:$W$5001,BD!$B$3:$B$5001,P$175,BD!$A$3:$A$5001,_xlfn.MAXIFS(BD!$A$3:$A$5001,BD!$B$3:$B$5001,P$175,BD!$A$3:$A$5001,"&gt;="&amp;$C$7,BD!$A$3:$A$5001,"&lt;="&amp;$B187,BD!$W$3:$W$5001,"&lt;&gt;"))))</f>
        <v/>
      </c>
      <c r="Q187" s="54" t="str">
        <f>IF(OR($B187="",$A187&gt;$B$9,Q$175=""),"",IF(COUNTIFS(BD!$B$3:$B$5001,Q$175,BD!$A$3:$A$5001,"&gt;="&amp;$C$7,BD!$A$3:$A$5001,"&lt;="&amp;$B187,BD!$W$3:$W$5001,"&lt;&gt;")=0,"",SUMIFS(BD!$W$3:$W$5001,BD!$B$3:$B$5001,Q$175,BD!$A$3:$A$5001,_xlfn.MAXIFS(BD!$A$3:$A$5001,BD!$B$3:$B$5001,Q$175,BD!$A$3:$A$5001,"&gt;="&amp;$C$7,BD!$A$3:$A$5001,"&lt;="&amp;$B187,BD!$W$3:$W$5001,"&lt;&gt;"))))</f>
        <v/>
      </c>
      <c r="R187" s="54" t="str">
        <f>IF(OR($B187="",$A187&gt;$B$9,R$175=""),"",IF(COUNTIFS(BD!$B$3:$B$5001,R$175,BD!$A$3:$A$5001,"&gt;="&amp;$C$7,BD!$A$3:$A$5001,"&lt;="&amp;$B187,BD!$W$3:$W$5001,"&lt;&gt;")=0,"",SUMIFS(BD!$W$3:$W$5001,BD!$B$3:$B$5001,R$175,BD!$A$3:$A$5001,_xlfn.MAXIFS(BD!$A$3:$A$5001,BD!$B$3:$B$5001,R$175,BD!$A$3:$A$5001,"&gt;="&amp;$C$7,BD!$A$3:$A$5001,"&lt;="&amp;$B187,BD!$W$3:$W$5001,"&lt;&gt;"))))</f>
        <v/>
      </c>
      <c r="S187" s="54" t="str">
        <f>IF(OR($B187="",$A187&gt;$B$9,S$175=""),"",IF(COUNTIFS(BD!$B$3:$B$5001,S$175,BD!$A$3:$A$5001,"&gt;="&amp;$C$7,BD!$A$3:$A$5001,"&lt;="&amp;$B187,BD!$W$3:$W$5001,"&lt;&gt;")=0,"",SUMIFS(BD!$W$3:$W$5001,BD!$B$3:$B$5001,S$175,BD!$A$3:$A$5001,_xlfn.MAXIFS(BD!$A$3:$A$5001,BD!$B$3:$B$5001,S$175,BD!$A$3:$A$5001,"&gt;="&amp;$C$7,BD!$A$3:$A$5001,"&lt;="&amp;$B187,BD!$W$3:$W$5001,"&lt;&gt;"))))</f>
        <v/>
      </c>
      <c r="T187" s="54" t="str">
        <f>IF(OR($B187="",$A187&gt;$B$9,T$175=""),"",IF(COUNTIFS(BD!$B$3:$B$5001,T$175,BD!$A$3:$A$5001,"&gt;="&amp;$C$7,BD!$A$3:$A$5001,"&lt;="&amp;$B187,BD!$W$3:$W$5001,"&lt;&gt;")=0,"",SUMIFS(BD!$W$3:$W$5001,BD!$B$3:$B$5001,T$175,BD!$A$3:$A$5001,_xlfn.MAXIFS(BD!$A$3:$A$5001,BD!$B$3:$B$5001,T$175,BD!$A$3:$A$5001,"&gt;="&amp;$C$7,BD!$A$3:$A$5001,"&lt;="&amp;$B187,BD!$W$3:$W$5001,"&lt;&gt;"))))</f>
        <v/>
      </c>
      <c r="U187" s="54" t="str">
        <f>IF(OR($B187="",$A187&gt;$B$9,U$175=""),"",IF(COUNTIFS(BD!$B$3:$B$5001,U$175,BD!$A$3:$A$5001,"&gt;="&amp;$C$7,BD!$A$3:$A$5001,"&lt;="&amp;$B187,BD!$W$3:$W$5001,"&lt;&gt;")=0,"",SUMIFS(BD!$W$3:$W$5001,BD!$B$3:$B$5001,U$175,BD!$A$3:$A$5001,_xlfn.MAXIFS(BD!$A$3:$A$5001,BD!$B$3:$B$5001,U$175,BD!$A$3:$A$5001,"&gt;="&amp;$C$7,BD!$A$3:$A$5001,"&lt;="&amp;$B187,BD!$W$3:$W$5001,"&lt;&gt;"))))</f>
        <v/>
      </c>
      <c r="V187" s="54" t="str">
        <f>IF(OR($B187="",$A187&gt;$B$9,V$175=""),"",IF(COUNTIFS(BD!$B$3:$B$5001,V$175,BD!$A$3:$A$5001,"&gt;="&amp;$C$7,BD!$A$3:$A$5001,"&lt;="&amp;$B187,BD!$W$3:$W$5001,"&lt;&gt;")=0,"",SUMIFS(BD!$W$3:$W$5001,BD!$B$3:$B$5001,V$175,BD!$A$3:$A$5001,_xlfn.MAXIFS(BD!$A$3:$A$5001,BD!$B$3:$B$5001,V$175,BD!$A$3:$A$5001,"&gt;="&amp;$C$7,BD!$A$3:$A$5001,"&lt;="&amp;$B187,BD!$W$3:$W$5001,"&lt;&gt;"))))</f>
        <v/>
      </c>
    </row>
    <row r="188">
      <c r="A188" s="48">
        <v>13</v>
      </c>
      <c r="B188" s="53">
        <f>$B$24</f>
        <v>46308</v>
      </c>
      <c r="C188" s="54" t="str">
        <f>IF(OR($B188="",$A188&gt;$B$9,C$175=""),"",IF(COUNTIFS(BD!$B$3:$B$5001,C$175,BD!$A$3:$A$5001,"&gt;="&amp;$C$7,BD!$A$3:$A$5001,"&lt;="&amp;$B188,BD!$W$3:$W$5001,"&lt;&gt;")=0,"",SUMIFS(BD!$W$3:$W$5001,BD!$B$3:$B$5001,C$175,BD!$A$3:$A$5001,_xlfn.MAXIFS(BD!$A$3:$A$5001,BD!$B$3:$B$5001,C$175,BD!$A$3:$A$5001,"&gt;="&amp;$C$7,BD!$A$3:$A$5001,"&lt;="&amp;$B188,BD!$W$3:$W$5001,"&lt;&gt;"))))</f>
        <v/>
      </c>
      <c r="D188" s="54" t="str">
        <f>IF(OR($B188="",$A188&gt;$B$9,D$175=""),"",IF(COUNTIFS(BD!$B$3:$B$5001,D$175,BD!$A$3:$A$5001,"&gt;="&amp;$C$7,BD!$A$3:$A$5001,"&lt;="&amp;$B188,BD!$W$3:$W$5001,"&lt;&gt;")=0,"",SUMIFS(BD!$W$3:$W$5001,BD!$B$3:$B$5001,D$175,BD!$A$3:$A$5001,_xlfn.MAXIFS(BD!$A$3:$A$5001,BD!$B$3:$B$5001,D$175,BD!$A$3:$A$5001,"&gt;="&amp;$C$7,BD!$A$3:$A$5001,"&lt;="&amp;$B188,BD!$W$3:$W$5001,"&lt;&gt;"))))</f>
        <v/>
      </c>
      <c r="E188" s="54" t="str">
        <f>IF(OR($B188="",$A188&gt;$B$9,E$175=""),"",IF(COUNTIFS(BD!$B$3:$B$5001,E$175,BD!$A$3:$A$5001,"&gt;="&amp;$C$7,BD!$A$3:$A$5001,"&lt;="&amp;$B188,BD!$W$3:$W$5001,"&lt;&gt;")=0,"",SUMIFS(BD!$W$3:$W$5001,BD!$B$3:$B$5001,E$175,BD!$A$3:$A$5001,_xlfn.MAXIFS(BD!$A$3:$A$5001,BD!$B$3:$B$5001,E$175,BD!$A$3:$A$5001,"&gt;="&amp;$C$7,BD!$A$3:$A$5001,"&lt;="&amp;$B188,BD!$W$3:$W$5001,"&lt;&gt;"))))</f>
        <v/>
      </c>
      <c r="F188" s="54" t="str">
        <f>IF(OR($B188="",$A188&gt;$B$9,F$175=""),"",IF(COUNTIFS(BD!$B$3:$B$5001,F$175,BD!$A$3:$A$5001,"&gt;="&amp;$C$7,BD!$A$3:$A$5001,"&lt;="&amp;$B188,BD!$W$3:$W$5001,"&lt;&gt;")=0,"",SUMIFS(BD!$W$3:$W$5001,BD!$B$3:$B$5001,F$175,BD!$A$3:$A$5001,_xlfn.MAXIFS(BD!$A$3:$A$5001,BD!$B$3:$B$5001,F$175,BD!$A$3:$A$5001,"&gt;="&amp;$C$7,BD!$A$3:$A$5001,"&lt;="&amp;$B188,BD!$W$3:$W$5001,"&lt;&gt;"))))</f>
        <v/>
      </c>
      <c r="G188" s="54" t="str">
        <f>IF(OR($B188="",$A188&gt;$B$9,G$175=""),"",IF(COUNTIFS(BD!$B$3:$B$5001,G$175,BD!$A$3:$A$5001,"&gt;="&amp;$C$7,BD!$A$3:$A$5001,"&lt;="&amp;$B188,BD!$W$3:$W$5001,"&lt;&gt;")=0,"",SUMIFS(BD!$W$3:$W$5001,BD!$B$3:$B$5001,G$175,BD!$A$3:$A$5001,_xlfn.MAXIFS(BD!$A$3:$A$5001,BD!$B$3:$B$5001,G$175,BD!$A$3:$A$5001,"&gt;="&amp;$C$7,BD!$A$3:$A$5001,"&lt;="&amp;$B188,BD!$W$3:$W$5001,"&lt;&gt;"))))</f>
        <v/>
      </c>
      <c r="H188" s="54" t="str">
        <f>IF(OR($B188="",$A188&gt;$B$9,H$175=""),"",IF(COUNTIFS(BD!$B$3:$B$5001,H$175,BD!$A$3:$A$5001,"&gt;="&amp;$C$7,BD!$A$3:$A$5001,"&lt;="&amp;$B188,BD!$W$3:$W$5001,"&lt;&gt;")=0,"",SUMIFS(BD!$W$3:$W$5001,BD!$B$3:$B$5001,H$175,BD!$A$3:$A$5001,_xlfn.MAXIFS(BD!$A$3:$A$5001,BD!$B$3:$B$5001,H$175,BD!$A$3:$A$5001,"&gt;="&amp;$C$7,BD!$A$3:$A$5001,"&lt;="&amp;$B188,BD!$W$3:$W$5001,"&lt;&gt;"))))</f>
        <v/>
      </c>
      <c r="I188" s="54" t="str">
        <f>IF(OR($B188="",$A188&gt;$B$9,I$175=""),"",IF(COUNTIFS(BD!$B$3:$B$5001,I$175,BD!$A$3:$A$5001,"&gt;="&amp;$C$7,BD!$A$3:$A$5001,"&lt;="&amp;$B188,BD!$W$3:$W$5001,"&lt;&gt;")=0,"",SUMIFS(BD!$W$3:$W$5001,BD!$B$3:$B$5001,I$175,BD!$A$3:$A$5001,_xlfn.MAXIFS(BD!$A$3:$A$5001,BD!$B$3:$B$5001,I$175,BD!$A$3:$A$5001,"&gt;="&amp;$C$7,BD!$A$3:$A$5001,"&lt;="&amp;$B188,BD!$W$3:$W$5001,"&lt;&gt;"))))</f>
        <v/>
      </c>
      <c r="J188" s="54" t="str">
        <f>IF(OR($B188="",$A188&gt;$B$9,J$175=""),"",IF(COUNTIFS(BD!$B$3:$B$5001,J$175,BD!$A$3:$A$5001,"&gt;="&amp;$C$7,BD!$A$3:$A$5001,"&lt;="&amp;$B188,BD!$W$3:$W$5001,"&lt;&gt;")=0,"",SUMIFS(BD!$W$3:$W$5001,BD!$B$3:$B$5001,J$175,BD!$A$3:$A$5001,_xlfn.MAXIFS(BD!$A$3:$A$5001,BD!$B$3:$B$5001,J$175,BD!$A$3:$A$5001,"&gt;="&amp;$C$7,BD!$A$3:$A$5001,"&lt;="&amp;$B188,BD!$W$3:$W$5001,"&lt;&gt;"))))</f>
        <v/>
      </c>
      <c r="K188" s="54" t="str">
        <f>IF(OR($B188="",$A188&gt;$B$9,K$175=""),"",IF(COUNTIFS(BD!$B$3:$B$5001,K$175,BD!$A$3:$A$5001,"&gt;="&amp;$C$7,BD!$A$3:$A$5001,"&lt;="&amp;$B188,BD!$W$3:$W$5001,"&lt;&gt;")=0,"",SUMIFS(BD!$W$3:$W$5001,BD!$B$3:$B$5001,K$175,BD!$A$3:$A$5001,_xlfn.MAXIFS(BD!$A$3:$A$5001,BD!$B$3:$B$5001,K$175,BD!$A$3:$A$5001,"&gt;="&amp;$C$7,BD!$A$3:$A$5001,"&lt;="&amp;$B188,BD!$W$3:$W$5001,"&lt;&gt;"))))</f>
        <v/>
      </c>
      <c r="L188" s="54" t="str">
        <f>IF(OR($B188="",$A188&gt;$B$9,L$175=""),"",IF(COUNTIFS(BD!$B$3:$B$5001,L$175,BD!$A$3:$A$5001,"&gt;="&amp;$C$7,BD!$A$3:$A$5001,"&lt;="&amp;$B188,BD!$W$3:$W$5001,"&lt;&gt;")=0,"",SUMIFS(BD!$W$3:$W$5001,BD!$B$3:$B$5001,L$175,BD!$A$3:$A$5001,_xlfn.MAXIFS(BD!$A$3:$A$5001,BD!$B$3:$B$5001,L$175,BD!$A$3:$A$5001,"&gt;="&amp;$C$7,BD!$A$3:$A$5001,"&lt;="&amp;$B188,BD!$W$3:$W$5001,"&lt;&gt;"))))</f>
        <v/>
      </c>
      <c r="M188" s="54" t="str">
        <f>IF(OR($B188="",$A188&gt;$B$9,M$175=""),"",IF(COUNTIFS(BD!$B$3:$B$5001,M$175,BD!$A$3:$A$5001,"&gt;="&amp;$C$7,BD!$A$3:$A$5001,"&lt;="&amp;$B188,BD!$W$3:$W$5001,"&lt;&gt;")=0,"",SUMIFS(BD!$W$3:$W$5001,BD!$B$3:$B$5001,M$175,BD!$A$3:$A$5001,_xlfn.MAXIFS(BD!$A$3:$A$5001,BD!$B$3:$B$5001,M$175,BD!$A$3:$A$5001,"&gt;="&amp;$C$7,BD!$A$3:$A$5001,"&lt;="&amp;$B188,BD!$W$3:$W$5001,"&lt;&gt;"))))</f>
        <v/>
      </c>
      <c r="N188" s="54" t="str">
        <f>IF(OR($B188="",$A188&gt;$B$9,N$175=""),"",IF(COUNTIFS(BD!$B$3:$B$5001,N$175,BD!$A$3:$A$5001,"&gt;="&amp;$C$7,BD!$A$3:$A$5001,"&lt;="&amp;$B188,BD!$W$3:$W$5001,"&lt;&gt;")=0,"",SUMIFS(BD!$W$3:$W$5001,BD!$B$3:$B$5001,N$175,BD!$A$3:$A$5001,_xlfn.MAXIFS(BD!$A$3:$A$5001,BD!$B$3:$B$5001,N$175,BD!$A$3:$A$5001,"&gt;="&amp;$C$7,BD!$A$3:$A$5001,"&lt;="&amp;$B188,BD!$W$3:$W$5001,"&lt;&gt;"))))</f>
        <v/>
      </c>
      <c r="O188" s="54" t="str">
        <f>IF(OR($B188="",$A188&gt;$B$9,O$175=""),"",IF(COUNTIFS(BD!$B$3:$B$5001,O$175,BD!$A$3:$A$5001,"&gt;="&amp;$C$7,BD!$A$3:$A$5001,"&lt;="&amp;$B188,BD!$W$3:$W$5001,"&lt;&gt;")=0,"",SUMIFS(BD!$W$3:$W$5001,BD!$B$3:$B$5001,O$175,BD!$A$3:$A$5001,_xlfn.MAXIFS(BD!$A$3:$A$5001,BD!$B$3:$B$5001,O$175,BD!$A$3:$A$5001,"&gt;="&amp;$C$7,BD!$A$3:$A$5001,"&lt;="&amp;$B188,BD!$W$3:$W$5001,"&lt;&gt;"))))</f>
        <v/>
      </c>
      <c r="P188" s="54" t="str">
        <f>IF(OR($B188="",$A188&gt;$B$9,P$175=""),"",IF(COUNTIFS(BD!$B$3:$B$5001,P$175,BD!$A$3:$A$5001,"&gt;="&amp;$C$7,BD!$A$3:$A$5001,"&lt;="&amp;$B188,BD!$W$3:$W$5001,"&lt;&gt;")=0,"",SUMIFS(BD!$W$3:$W$5001,BD!$B$3:$B$5001,P$175,BD!$A$3:$A$5001,_xlfn.MAXIFS(BD!$A$3:$A$5001,BD!$B$3:$B$5001,P$175,BD!$A$3:$A$5001,"&gt;="&amp;$C$7,BD!$A$3:$A$5001,"&lt;="&amp;$B188,BD!$W$3:$W$5001,"&lt;&gt;"))))</f>
        <v/>
      </c>
      <c r="Q188" s="54" t="str">
        <f>IF(OR($B188="",$A188&gt;$B$9,Q$175=""),"",IF(COUNTIFS(BD!$B$3:$B$5001,Q$175,BD!$A$3:$A$5001,"&gt;="&amp;$C$7,BD!$A$3:$A$5001,"&lt;="&amp;$B188,BD!$W$3:$W$5001,"&lt;&gt;")=0,"",SUMIFS(BD!$W$3:$W$5001,BD!$B$3:$B$5001,Q$175,BD!$A$3:$A$5001,_xlfn.MAXIFS(BD!$A$3:$A$5001,BD!$B$3:$B$5001,Q$175,BD!$A$3:$A$5001,"&gt;="&amp;$C$7,BD!$A$3:$A$5001,"&lt;="&amp;$B188,BD!$W$3:$W$5001,"&lt;&gt;"))))</f>
        <v/>
      </c>
      <c r="R188" s="54" t="str">
        <f>IF(OR($B188="",$A188&gt;$B$9,R$175=""),"",IF(COUNTIFS(BD!$B$3:$B$5001,R$175,BD!$A$3:$A$5001,"&gt;="&amp;$C$7,BD!$A$3:$A$5001,"&lt;="&amp;$B188,BD!$W$3:$W$5001,"&lt;&gt;")=0,"",SUMIFS(BD!$W$3:$W$5001,BD!$B$3:$B$5001,R$175,BD!$A$3:$A$5001,_xlfn.MAXIFS(BD!$A$3:$A$5001,BD!$B$3:$B$5001,R$175,BD!$A$3:$A$5001,"&gt;="&amp;$C$7,BD!$A$3:$A$5001,"&lt;="&amp;$B188,BD!$W$3:$W$5001,"&lt;&gt;"))))</f>
        <v/>
      </c>
      <c r="S188" s="54" t="str">
        <f>IF(OR($B188="",$A188&gt;$B$9,S$175=""),"",IF(COUNTIFS(BD!$B$3:$B$5001,S$175,BD!$A$3:$A$5001,"&gt;="&amp;$C$7,BD!$A$3:$A$5001,"&lt;="&amp;$B188,BD!$W$3:$W$5001,"&lt;&gt;")=0,"",SUMIFS(BD!$W$3:$W$5001,BD!$B$3:$B$5001,S$175,BD!$A$3:$A$5001,_xlfn.MAXIFS(BD!$A$3:$A$5001,BD!$B$3:$B$5001,S$175,BD!$A$3:$A$5001,"&gt;="&amp;$C$7,BD!$A$3:$A$5001,"&lt;="&amp;$B188,BD!$W$3:$W$5001,"&lt;&gt;"))))</f>
        <v/>
      </c>
      <c r="T188" s="54" t="str">
        <f>IF(OR($B188="",$A188&gt;$B$9,T$175=""),"",IF(COUNTIFS(BD!$B$3:$B$5001,T$175,BD!$A$3:$A$5001,"&gt;="&amp;$C$7,BD!$A$3:$A$5001,"&lt;="&amp;$B188,BD!$W$3:$W$5001,"&lt;&gt;")=0,"",SUMIFS(BD!$W$3:$W$5001,BD!$B$3:$B$5001,T$175,BD!$A$3:$A$5001,_xlfn.MAXIFS(BD!$A$3:$A$5001,BD!$B$3:$B$5001,T$175,BD!$A$3:$A$5001,"&gt;="&amp;$C$7,BD!$A$3:$A$5001,"&lt;="&amp;$B188,BD!$W$3:$W$5001,"&lt;&gt;"))))</f>
        <v/>
      </c>
      <c r="U188" s="54" t="str">
        <f>IF(OR($B188="",$A188&gt;$B$9,U$175=""),"",IF(COUNTIFS(BD!$B$3:$B$5001,U$175,BD!$A$3:$A$5001,"&gt;="&amp;$C$7,BD!$A$3:$A$5001,"&lt;="&amp;$B188,BD!$W$3:$W$5001,"&lt;&gt;")=0,"",SUMIFS(BD!$W$3:$W$5001,BD!$B$3:$B$5001,U$175,BD!$A$3:$A$5001,_xlfn.MAXIFS(BD!$A$3:$A$5001,BD!$B$3:$B$5001,U$175,BD!$A$3:$A$5001,"&gt;="&amp;$C$7,BD!$A$3:$A$5001,"&lt;="&amp;$B188,BD!$W$3:$W$5001,"&lt;&gt;"))))</f>
        <v/>
      </c>
      <c r="V188" s="54" t="str">
        <f>IF(OR($B188="",$A188&gt;$B$9,V$175=""),"",IF(COUNTIFS(BD!$B$3:$B$5001,V$175,BD!$A$3:$A$5001,"&gt;="&amp;$C$7,BD!$A$3:$A$5001,"&lt;="&amp;$B188,BD!$W$3:$W$5001,"&lt;&gt;")=0,"",SUMIFS(BD!$W$3:$W$5001,BD!$B$3:$B$5001,V$175,BD!$A$3:$A$5001,_xlfn.MAXIFS(BD!$A$3:$A$5001,BD!$B$3:$B$5001,V$175,BD!$A$3:$A$5001,"&gt;="&amp;$C$7,BD!$A$3:$A$5001,"&lt;="&amp;$B188,BD!$W$3:$W$5001,"&lt;&gt;"))))</f>
        <v/>
      </c>
    </row>
    <row r="189">
      <c r="A189" s="48">
        <v>14</v>
      </c>
      <c r="B189" s="53">
        <f>$B$25</f>
        <v>46309</v>
      </c>
      <c r="C189" s="54" t="str">
        <f>IF(OR($B189="",$A189&gt;$B$9,C$175=""),"",IF(COUNTIFS(BD!$B$3:$B$5001,C$175,BD!$A$3:$A$5001,"&gt;="&amp;$C$7,BD!$A$3:$A$5001,"&lt;="&amp;$B189,BD!$W$3:$W$5001,"&lt;&gt;")=0,"",SUMIFS(BD!$W$3:$W$5001,BD!$B$3:$B$5001,C$175,BD!$A$3:$A$5001,_xlfn.MAXIFS(BD!$A$3:$A$5001,BD!$B$3:$B$5001,C$175,BD!$A$3:$A$5001,"&gt;="&amp;$C$7,BD!$A$3:$A$5001,"&lt;="&amp;$B189,BD!$W$3:$W$5001,"&lt;&gt;"))))</f>
        <v/>
      </c>
      <c r="D189" s="54" t="str">
        <f>IF(OR($B189="",$A189&gt;$B$9,D$175=""),"",IF(COUNTIFS(BD!$B$3:$B$5001,D$175,BD!$A$3:$A$5001,"&gt;="&amp;$C$7,BD!$A$3:$A$5001,"&lt;="&amp;$B189,BD!$W$3:$W$5001,"&lt;&gt;")=0,"",SUMIFS(BD!$W$3:$W$5001,BD!$B$3:$B$5001,D$175,BD!$A$3:$A$5001,_xlfn.MAXIFS(BD!$A$3:$A$5001,BD!$B$3:$B$5001,D$175,BD!$A$3:$A$5001,"&gt;="&amp;$C$7,BD!$A$3:$A$5001,"&lt;="&amp;$B189,BD!$W$3:$W$5001,"&lt;&gt;"))))</f>
        <v/>
      </c>
      <c r="E189" s="54" t="str">
        <f>IF(OR($B189="",$A189&gt;$B$9,E$175=""),"",IF(COUNTIFS(BD!$B$3:$B$5001,E$175,BD!$A$3:$A$5001,"&gt;="&amp;$C$7,BD!$A$3:$A$5001,"&lt;="&amp;$B189,BD!$W$3:$W$5001,"&lt;&gt;")=0,"",SUMIFS(BD!$W$3:$W$5001,BD!$B$3:$B$5001,E$175,BD!$A$3:$A$5001,_xlfn.MAXIFS(BD!$A$3:$A$5001,BD!$B$3:$B$5001,E$175,BD!$A$3:$A$5001,"&gt;="&amp;$C$7,BD!$A$3:$A$5001,"&lt;="&amp;$B189,BD!$W$3:$W$5001,"&lt;&gt;"))))</f>
        <v/>
      </c>
      <c r="F189" s="54" t="str">
        <f>IF(OR($B189="",$A189&gt;$B$9,F$175=""),"",IF(COUNTIFS(BD!$B$3:$B$5001,F$175,BD!$A$3:$A$5001,"&gt;="&amp;$C$7,BD!$A$3:$A$5001,"&lt;="&amp;$B189,BD!$W$3:$W$5001,"&lt;&gt;")=0,"",SUMIFS(BD!$W$3:$W$5001,BD!$B$3:$B$5001,F$175,BD!$A$3:$A$5001,_xlfn.MAXIFS(BD!$A$3:$A$5001,BD!$B$3:$B$5001,F$175,BD!$A$3:$A$5001,"&gt;="&amp;$C$7,BD!$A$3:$A$5001,"&lt;="&amp;$B189,BD!$W$3:$W$5001,"&lt;&gt;"))))</f>
        <v/>
      </c>
      <c r="G189" s="54" t="str">
        <f>IF(OR($B189="",$A189&gt;$B$9,G$175=""),"",IF(COUNTIFS(BD!$B$3:$B$5001,G$175,BD!$A$3:$A$5001,"&gt;="&amp;$C$7,BD!$A$3:$A$5001,"&lt;="&amp;$B189,BD!$W$3:$W$5001,"&lt;&gt;")=0,"",SUMIFS(BD!$W$3:$W$5001,BD!$B$3:$B$5001,G$175,BD!$A$3:$A$5001,_xlfn.MAXIFS(BD!$A$3:$A$5001,BD!$B$3:$B$5001,G$175,BD!$A$3:$A$5001,"&gt;="&amp;$C$7,BD!$A$3:$A$5001,"&lt;="&amp;$B189,BD!$W$3:$W$5001,"&lt;&gt;"))))</f>
        <v/>
      </c>
      <c r="H189" s="54" t="str">
        <f>IF(OR($B189="",$A189&gt;$B$9,H$175=""),"",IF(COUNTIFS(BD!$B$3:$B$5001,H$175,BD!$A$3:$A$5001,"&gt;="&amp;$C$7,BD!$A$3:$A$5001,"&lt;="&amp;$B189,BD!$W$3:$W$5001,"&lt;&gt;")=0,"",SUMIFS(BD!$W$3:$W$5001,BD!$B$3:$B$5001,H$175,BD!$A$3:$A$5001,_xlfn.MAXIFS(BD!$A$3:$A$5001,BD!$B$3:$B$5001,H$175,BD!$A$3:$A$5001,"&gt;="&amp;$C$7,BD!$A$3:$A$5001,"&lt;="&amp;$B189,BD!$W$3:$W$5001,"&lt;&gt;"))))</f>
        <v/>
      </c>
      <c r="I189" s="54" t="str">
        <f>IF(OR($B189="",$A189&gt;$B$9,I$175=""),"",IF(COUNTIFS(BD!$B$3:$B$5001,I$175,BD!$A$3:$A$5001,"&gt;="&amp;$C$7,BD!$A$3:$A$5001,"&lt;="&amp;$B189,BD!$W$3:$W$5001,"&lt;&gt;")=0,"",SUMIFS(BD!$W$3:$W$5001,BD!$B$3:$B$5001,I$175,BD!$A$3:$A$5001,_xlfn.MAXIFS(BD!$A$3:$A$5001,BD!$B$3:$B$5001,I$175,BD!$A$3:$A$5001,"&gt;="&amp;$C$7,BD!$A$3:$A$5001,"&lt;="&amp;$B189,BD!$W$3:$W$5001,"&lt;&gt;"))))</f>
        <v/>
      </c>
      <c r="J189" s="54" t="str">
        <f>IF(OR($B189="",$A189&gt;$B$9,J$175=""),"",IF(COUNTIFS(BD!$B$3:$B$5001,J$175,BD!$A$3:$A$5001,"&gt;="&amp;$C$7,BD!$A$3:$A$5001,"&lt;="&amp;$B189,BD!$W$3:$W$5001,"&lt;&gt;")=0,"",SUMIFS(BD!$W$3:$W$5001,BD!$B$3:$B$5001,J$175,BD!$A$3:$A$5001,_xlfn.MAXIFS(BD!$A$3:$A$5001,BD!$B$3:$B$5001,J$175,BD!$A$3:$A$5001,"&gt;="&amp;$C$7,BD!$A$3:$A$5001,"&lt;="&amp;$B189,BD!$W$3:$W$5001,"&lt;&gt;"))))</f>
        <v/>
      </c>
      <c r="K189" s="54" t="str">
        <f>IF(OR($B189="",$A189&gt;$B$9,K$175=""),"",IF(COUNTIFS(BD!$B$3:$B$5001,K$175,BD!$A$3:$A$5001,"&gt;="&amp;$C$7,BD!$A$3:$A$5001,"&lt;="&amp;$B189,BD!$W$3:$W$5001,"&lt;&gt;")=0,"",SUMIFS(BD!$W$3:$W$5001,BD!$B$3:$B$5001,K$175,BD!$A$3:$A$5001,_xlfn.MAXIFS(BD!$A$3:$A$5001,BD!$B$3:$B$5001,K$175,BD!$A$3:$A$5001,"&gt;="&amp;$C$7,BD!$A$3:$A$5001,"&lt;="&amp;$B189,BD!$W$3:$W$5001,"&lt;&gt;"))))</f>
        <v/>
      </c>
      <c r="L189" s="54" t="str">
        <f>IF(OR($B189="",$A189&gt;$B$9,L$175=""),"",IF(COUNTIFS(BD!$B$3:$B$5001,L$175,BD!$A$3:$A$5001,"&gt;="&amp;$C$7,BD!$A$3:$A$5001,"&lt;="&amp;$B189,BD!$W$3:$W$5001,"&lt;&gt;")=0,"",SUMIFS(BD!$W$3:$W$5001,BD!$B$3:$B$5001,L$175,BD!$A$3:$A$5001,_xlfn.MAXIFS(BD!$A$3:$A$5001,BD!$B$3:$B$5001,L$175,BD!$A$3:$A$5001,"&gt;="&amp;$C$7,BD!$A$3:$A$5001,"&lt;="&amp;$B189,BD!$W$3:$W$5001,"&lt;&gt;"))))</f>
        <v/>
      </c>
      <c r="M189" s="54" t="str">
        <f>IF(OR($B189="",$A189&gt;$B$9,M$175=""),"",IF(COUNTIFS(BD!$B$3:$B$5001,M$175,BD!$A$3:$A$5001,"&gt;="&amp;$C$7,BD!$A$3:$A$5001,"&lt;="&amp;$B189,BD!$W$3:$W$5001,"&lt;&gt;")=0,"",SUMIFS(BD!$W$3:$W$5001,BD!$B$3:$B$5001,M$175,BD!$A$3:$A$5001,_xlfn.MAXIFS(BD!$A$3:$A$5001,BD!$B$3:$B$5001,M$175,BD!$A$3:$A$5001,"&gt;="&amp;$C$7,BD!$A$3:$A$5001,"&lt;="&amp;$B189,BD!$W$3:$W$5001,"&lt;&gt;"))))</f>
        <v/>
      </c>
      <c r="N189" s="54" t="str">
        <f>IF(OR($B189="",$A189&gt;$B$9,N$175=""),"",IF(COUNTIFS(BD!$B$3:$B$5001,N$175,BD!$A$3:$A$5001,"&gt;="&amp;$C$7,BD!$A$3:$A$5001,"&lt;="&amp;$B189,BD!$W$3:$W$5001,"&lt;&gt;")=0,"",SUMIFS(BD!$W$3:$W$5001,BD!$B$3:$B$5001,N$175,BD!$A$3:$A$5001,_xlfn.MAXIFS(BD!$A$3:$A$5001,BD!$B$3:$B$5001,N$175,BD!$A$3:$A$5001,"&gt;="&amp;$C$7,BD!$A$3:$A$5001,"&lt;="&amp;$B189,BD!$W$3:$W$5001,"&lt;&gt;"))))</f>
        <v/>
      </c>
      <c r="O189" s="54" t="str">
        <f>IF(OR($B189="",$A189&gt;$B$9,O$175=""),"",IF(COUNTIFS(BD!$B$3:$B$5001,O$175,BD!$A$3:$A$5001,"&gt;="&amp;$C$7,BD!$A$3:$A$5001,"&lt;="&amp;$B189,BD!$W$3:$W$5001,"&lt;&gt;")=0,"",SUMIFS(BD!$W$3:$W$5001,BD!$B$3:$B$5001,O$175,BD!$A$3:$A$5001,_xlfn.MAXIFS(BD!$A$3:$A$5001,BD!$B$3:$B$5001,O$175,BD!$A$3:$A$5001,"&gt;="&amp;$C$7,BD!$A$3:$A$5001,"&lt;="&amp;$B189,BD!$W$3:$W$5001,"&lt;&gt;"))))</f>
        <v/>
      </c>
      <c r="P189" s="54" t="str">
        <f>IF(OR($B189="",$A189&gt;$B$9,P$175=""),"",IF(COUNTIFS(BD!$B$3:$B$5001,P$175,BD!$A$3:$A$5001,"&gt;="&amp;$C$7,BD!$A$3:$A$5001,"&lt;="&amp;$B189,BD!$W$3:$W$5001,"&lt;&gt;")=0,"",SUMIFS(BD!$W$3:$W$5001,BD!$B$3:$B$5001,P$175,BD!$A$3:$A$5001,_xlfn.MAXIFS(BD!$A$3:$A$5001,BD!$B$3:$B$5001,P$175,BD!$A$3:$A$5001,"&gt;="&amp;$C$7,BD!$A$3:$A$5001,"&lt;="&amp;$B189,BD!$W$3:$W$5001,"&lt;&gt;"))))</f>
        <v/>
      </c>
      <c r="Q189" s="54" t="str">
        <f>IF(OR($B189="",$A189&gt;$B$9,Q$175=""),"",IF(COUNTIFS(BD!$B$3:$B$5001,Q$175,BD!$A$3:$A$5001,"&gt;="&amp;$C$7,BD!$A$3:$A$5001,"&lt;="&amp;$B189,BD!$W$3:$W$5001,"&lt;&gt;")=0,"",SUMIFS(BD!$W$3:$W$5001,BD!$B$3:$B$5001,Q$175,BD!$A$3:$A$5001,_xlfn.MAXIFS(BD!$A$3:$A$5001,BD!$B$3:$B$5001,Q$175,BD!$A$3:$A$5001,"&gt;="&amp;$C$7,BD!$A$3:$A$5001,"&lt;="&amp;$B189,BD!$W$3:$W$5001,"&lt;&gt;"))))</f>
        <v/>
      </c>
      <c r="R189" s="54" t="str">
        <f>IF(OR($B189="",$A189&gt;$B$9,R$175=""),"",IF(COUNTIFS(BD!$B$3:$B$5001,R$175,BD!$A$3:$A$5001,"&gt;="&amp;$C$7,BD!$A$3:$A$5001,"&lt;="&amp;$B189,BD!$W$3:$W$5001,"&lt;&gt;")=0,"",SUMIFS(BD!$W$3:$W$5001,BD!$B$3:$B$5001,R$175,BD!$A$3:$A$5001,_xlfn.MAXIFS(BD!$A$3:$A$5001,BD!$B$3:$B$5001,R$175,BD!$A$3:$A$5001,"&gt;="&amp;$C$7,BD!$A$3:$A$5001,"&lt;="&amp;$B189,BD!$W$3:$W$5001,"&lt;&gt;"))))</f>
        <v/>
      </c>
      <c r="S189" s="54" t="str">
        <f>IF(OR($B189="",$A189&gt;$B$9,S$175=""),"",IF(COUNTIFS(BD!$B$3:$B$5001,S$175,BD!$A$3:$A$5001,"&gt;="&amp;$C$7,BD!$A$3:$A$5001,"&lt;="&amp;$B189,BD!$W$3:$W$5001,"&lt;&gt;")=0,"",SUMIFS(BD!$W$3:$W$5001,BD!$B$3:$B$5001,S$175,BD!$A$3:$A$5001,_xlfn.MAXIFS(BD!$A$3:$A$5001,BD!$B$3:$B$5001,S$175,BD!$A$3:$A$5001,"&gt;="&amp;$C$7,BD!$A$3:$A$5001,"&lt;="&amp;$B189,BD!$W$3:$W$5001,"&lt;&gt;"))))</f>
        <v/>
      </c>
      <c r="T189" s="54" t="str">
        <f>IF(OR($B189="",$A189&gt;$B$9,T$175=""),"",IF(COUNTIFS(BD!$B$3:$B$5001,T$175,BD!$A$3:$A$5001,"&gt;="&amp;$C$7,BD!$A$3:$A$5001,"&lt;="&amp;$B189,BD!$W$3:$W$5001,"&lt;&gt;")=0,"",SUMIFS(BD!$W$3:$W$5001,BD!$B$3:$B$5001,T$175,BD!$A$3:$A$5001,_xlfn.MAXIFS(BD!$A$3:$A$5001,BD!$B$3:$B$5001,T$175,BD!$A$3:$A$5001,"&gt;="&amp;$C$7,BD!$A$3:$A$5001,"&lt;="&amp;$B189,BD!$W$3:$W$5001,"&lt;&gt;"))))</f>
        <v/>
      </c>
      <c r="U189" s="54" t="str">
        <f>IF(OR($B189="",$A189&gt;$B$9,U$175=""),"",IF(COUNTIFS(BD!$B$3:$B$5001,U$175,BD!$A$3:$A$5001,"&gt;="&amp;$C$7,BD!$A$3:$A$5001,"&lt;="&amp;$B189,BD!$W$3:$W$5001,"&lt;&gt;")=0,"",SUMIFS(BD!$W$3:$W$5001,BD!$B$3:$B$5001,U$175,BD!$A$3:$A$5001,_xlfn.MAXIFS(BD!$A$3:$A$5001,BD!$B$3:$B$5001,U$175,BD!$A$3:$A$5001,"&gt;="&amp;$C$7,BD!$A$3:$A$5001,"&lt;="&amp;$B189,BD!$W$3:$W$5001,"&lt;&gt;"))))</f>
        <v/>
      </c>
      <c r="V189" s="54" t="str">
        <f>IF(OR($B189="",$A189&gt;$B$9,V$175=""),"",IF(COUNTIFS(BD!$B$3:$B$5001,V$175,BD!$A$3:$A$5001,"&gt;="&amp;$C$7,BD!$A$3:$A$5001,"&lt;="&amp;$B189,BD!$W$3:$W$5001,"&lt;&gt;")=0,"",SUMIFS(BD!$W$3:$W$5001,BD!$B$3:$B$5001,V$175,BD!$A$3:$A$5001,_xlfn.MAXIFS(BD!$A$3:$A$5001,BD!$B$3:$B$5001,V$175,BD!$A$3:$A$5001,"&gt;="&amp;$C$7,BD!$A$3:$A$5001,"&lt;="&amp;$B189,BD!$W$3:$W$5001,"&lt;&gt;"))))</f>
        <v/>
      </c>
    </row>
    <row r="190">
      <c r="A190" s="48">
        <v>15</v>
      </c>
      <c r="B190" s="53">
        <f>$B$26</f>
        <v>46310</v>
      </c>
      <c r="C190" s="54" t="str">
        <f>IF(OR($B190="",$A190&gt;$B$9,C$175=""),"",IF(COUNTIFS(BD!$B$3:$B$5001,C$175,BD!$A$3:$A$5001,"&gt;="&amp;$C$7,BD!$A$3:$A$5001,"&lt;="&amp;$B190,BD!$W$3:$W$5001,"&lt;&gt;")=0,"",SUMIFS(BD!$W$3:$W$5001,BD!$B$3:$B$5001,C$175,BD!$A$3:$A$5001,_xlfn.MAXIFS(BD!$A$3:$A$5001,BD!$B$3:$B$5001,C$175,BD!$A$3:$A$5001,"&gt;="&amp;$C$7,BD!$A$3:$A$5001,"&lt;="&amp;$B190,BD!$W$3:$W$5001,"&lt;&gt;"))))</f>
        <v/>
      </c>
      <c r="D190" s="54" t="str">
        <f>IF(OR($B190="",$A190&gt;$B$9,D$175=""),"",IF(COUNTIFS(BD!$B$3:$B$5001,D$175,BD!$A$3:$A$5001,"&gt;="&amp;$C$7,BD!$A$3:$A$5001,"&lt;="&amp;$B190,BD!$W$3:$W$5001,"&lt;&gt;")=0,"",SUMIFS(BD!$W$3:$W$5001,BD!$B$3:$B$5001,D$175,BD!$A$3:$A$5001,_xlfn.MAXIFS(BD!$A$3:$A$5001,BD!$B$3:$B$5001,D$175,BD!$A$3:$A$5001,"&gt;="&amp;$C$7,BD!$A$3:$A$5001,"&lt;="&amp;$B190,BD!$W$3:$W$5001,"&lt;&gt;"))))</f>
        <v/>
      </c>
      <c r="E190" s="54" t="str">
        <f>IF(OR($B190="",$A190&gt;$B$9,E$175=""),"",IF(COUNTIFS(BD!$B$3:$B$5001,E$175,BD!$A$3:$A$5001,"&gt;="&amp;$C$7,BD!$A$3:$A$5001,"&lt;="&amp;$B190,BD!$W$3:$W$5001,"&lt;&gt;")=0,"",SUMIFS(BD!$W$3:$W$5001,BD!$B$3:$B$5001,E$175,BD!$A$3:$A$5001,_xlfn.MAXIFS(BD!$A$3:$A$5001,BD!$B$3:$B$5001,E$175,BD!$A$3:$A$5001,"&gt;="&amp;$C$7,BD!$A$3:$A$5001,"&lt;="&amp;$B190,BD!$W$3:$W$5001,"&lt;&gt;"))))</f>
        <v/>
      </c>
      <c r="F190" s="54" t="str">
        <f>IF(OR($B190="",$A190&gt;$B$9,F$175=""),"",IF(COUNTIFS(BD!$B$3:$B$5001,F$175,BD!$A$3:$A$5001,"&gt;="&amp;$C$7,BD!$A$3:$A$5001,"&lt;="&amp;$B190,BD!$W$3:$W$5001,"&lt;&gt;")=0,"",SUMIFS(BD!$W$3:$W$5001,BD!$B$3:$B$5001,F$175,BD!$A$3:$A$5001,_xlfn.MAXIFS(BD!$A$3:$A$5001,BD!$B$3:$B$5001,F$175,BD!$A$3:$A$5001,"&gt;="&amp;$C$7,BD!$A$3:$A$5001,"&lt;="&amp;$B190,BD!$W$3:$W$5001,"&lt;&gt;"))))</f>
        <v/>
      </c>
      <c r="G190" s="54" t="str">
        <f>IF(OR($B190="",$A190&gt;$B$9,G$175=""),"",IF(COUNTIFS(BD!$B$3:$B$5001,G$175,BD!$A$3:$A$5001,"&gt;="&amp;$C$7,BD!$A$3:$A$5001,"&lt;="&amp;$B190,BD!$W$3:$W$5001,"&lt;&gt;")=0,"",SUMIFS(BD!$W$3:$W$5001,BD!$B$3:$B$5001,G$175,BD!$A$3:$A$5001,_xlfn.MAXIFS(BD!$A$3:$A$5001,BD!$B$3:$B$5001,G$175,BD!$A$3:$A$5001,"&gt;="&amp;$C$7,BD!$A$3:$A$5001,"&lt;="&amp;$B190,BD!$W$3:$W$5001,"&lt;&gt;"))))</f>
        <v/>
      </c>
      <c r="H190" s="54" t="str">
        <f>IF(OR($B190="",$A190&gt;$B$9,H$175=""),"",IF(COUNTIFS(BD!$B$3:$B$5001,H$175,BD!$A$3:$A$5001,"&gt;="&amp;$C$7,BD!$A$3:$A$5001,"&lt;="&amp;$B190,BD!$W$3:$W$5001,"&lt;&gt;")=0,"",SUMIFS(BD!$W$3:$W$5001,BD!$B$3:$B$5001,H$175,BD!$A$3:$A$5001,_xlfn.MAXIFS(BD!$A$3:$A$5001,BD!$B$3:$B$5001,H$175,BD!$A$3:$A$5001,"&gt;="&amp;$C$7,BD!$A$3:$A$5001,"&lt;="&amp;$B190,BD!$W$3:$W$5001,"&lt;&gt;"))))</f>
        <v/>
      </c>
      <c r="I190" s="54" t="str">
        <f>IF(OR($B190="",$A190&gt;$B$9,I$175=""),"",IF(COUNTIFS(BD!$B$3:$B$5001,I$175,BD!$A$3:$A$5001,"&gt;="&amp;$C$7,BD!$A$3:$A$5001,"&lt;="&amp;$B190,BD!$W$3:$W$5001,"&lt;&gt;")=0,"",SUMIFS(BD!$W$3:$W$5001,BD!$B$3:$B$5001,I$175,BD!$A$3:$A$5001,_xlfn.MAXIFS(BD!$A$3:$A$5001,BD!$B$3:$B$5001,I$175,BD!$A$3:$A$5001,"&gt;="&amp;$C$7,BD!$A$3:$A$5001,"&lt;="&amp;$B190,BD!$W$3:$W$5001,"&lt;&gt;"))))</f>
        <v/>
      </c>
      <c r="J190" s="54" t="str">
        <f>IF(OR($B190="",$A190&gt;$B$9,J$175=""),"",IF(COUNTIFS(BD!$B$3:$B$5001,J$175,BD!$A$3:$A$5001,"&gt;="&amp;$C$7,BD!$A$3:$A$5001,"&lt;="&amp;$B190,BD!$W$3:$W$5001,"&lt;&gt;")=0,"",SUMIFS(BD!$W$3:$W$5001,BD!$B$3:$B$5001,J$175,BD!$A$3:$A$5001,_xlfn.MAXIFS(BD!$A$3:$A$5001,BD!$B$3:$B$5001,J$175,BD!$A$3:$A$5001,"&gt;="&amp;$C$7,BD!$A$3:$A$5001,"&lt;="&amp;$B190,BD!$W$3:$W$5001,"&lt;&gt;"))))</f>
        <v/>
      </c>
      <c r="K190" s="54" t="str">
        <f>IF(OR($B190="",$A190&gt;$B$9,K$175=""),"",IF(COUNTIFS(BD!$B$3:$B$5001,K$175,BD!$A$3:$A$5001,"&gt;="&amp;$C$7,BD!$A$3:$A$5001,"&lt;="&amp;$B190,BD!$W$3:$W$5001,"&lt;&gt;")=0,"",SUMIFS(BD!$W$3:$W$5001,BD!$B$3:$B$5001,K$175,BD!$A$3:$A$5001,_xlfn.MAXIFS(BD!$A$3:$A$5001,BD!$B$3:$B$5001,K$175,BD!$A$3:$A$5001,"&gt;="&amp;$C$7,BD!$A$3:$A$5001,"&lt;="&amp;$B190,BD!$W$3:$W$5001,"&lt;&gt;"))))</f>
        <v/>
      </c>
      <c r="L190" s="54" t="str">
        <f>IF(OR($B190="",$A190&gt;$B$9,L$175=""),"",IF(COUNTIFS(BD!$B$3:$B$5001,L$175,BD!$A$3:$A$5001,"&gt;="&amp;$C$7,BD!$A$3:$A$5001,"&lt;="&amp;$B190,BD!$W$3:$W$5001,"&lt;&gt;")=0,"",SUMIFS(BD!$W$3:$W$5001,BD!$B$3:$B$5001,L$175,BD!$A$3:$A$5001,_xlfn.MAXIFS(BD!$A$3:$A$5001,BD!$B$3:$B$5001,L$175,BD!$A$3:$A$5001,"&gt;="&amp;$C$7,BD!$A$3:$A$5001,"&lt;="&amp;$B190,BD!$W$3:$W$5001,"&lt;&gt;"))))</f>
        <v/>
      </c>
      <c r="M190" s="54" t="str">
        <f>IF(OR($B190="",$A190&gt;$B$9,M$175=""),"",IF(COUNTIFS(BD!$B$3:$B$5001,M$175,BD!$A$3:$A$5001,"&gt;="&amp;$C$7,BD!$A$3:$A$5001,"&lt;="&amp;$B190,BD!$W$3:$W$5001,"&lt;&gt;")=0,"",SUMIFS(BD!$W$3:$W$5001,BD!$B$3:$B$5001,M$175,BD!$A$3:$A$5001,_xlfn.MAXIFS(BD!$A$3:$A$5001,BD!$B$3:$B$5001,M$175,BD!$A$3:$A$5001,"&gt;="&amp;$C$7,BD!$A$3:$A$5001,"&lt;="&amp;$B190,BD!$W$3:$W$5001,"&lt;&gt;"))))</f>
        <v/>
      </c>
      <c r="N190" s="54" t="str">
        <f>IF(OR($B190="",$A190&gt;$B$9,N$175=""),"",IF(COUNTIFS(BD!$B$3:$B$5001,N$175,BD!$A$3:$A$5001,"&gt;="&amp;$C$7,BD!$A$3:$A$5001,"&lt;="&amp;$B190,BD!$W$3:$W$5001,"&lt;&gt;")=0,"",SUMIFS(BD!$W$3:$W$5001,BD!$B$3:$B$5001,N$175,BD!$A$3:$A$5001,_xlfn.MAXIFS(BD!$A$3:$A$5001,BD!$B$3:$B$5001,N$175,BD!$A$3:$A$5001,"&gt;="&amp;$C$7,BD!$A$3:$A$5001,"&lt;="&amp;$B190,BD!$W$3:$W$5001,"&lt;&gt;"))))</f>
        <v/>
      </c>
      <c r="O190" s="54" t="str">
        <f>IF(OR($B190="",$A190&gt;$B$9,O$175=""),"",IF(COUNTIFS(BD!$B$3:$B$5001,O$175,BD!$A$3:$A$5001,"&gt;="&amp;$C$7,BD!$A$3:$A$5001,"&lt;="&amp;$B190,BD!$W$3:$W$5001,"&lt;&gt;")=0,"",SUMIFS(BD!$W$3:$W$5001,BD!$B$3:$B$5001,O$175,BD!$A$3:$A$5001,_xlfn.MAXIFS(BD!$A$3:$A$5001,BD!$B$3:$B$5001,O$175,BD!$A$3:$A$5001,"&gt;="&amp;$C$7,BD!$A$3:$A$5001,"&lt;="&amp;$B190,BD!$W$3:$W$5001,"&lt;&gt;"))))</f>
        <v/>
      </c>
      <c r="P190" s="54" t="str">
        <f>IF(OR($B190="",$A190&gt;$B$9,P$175=""),"",IF(COUNTIFS(BD!$B$3:$B$5001,P$175,BD!$A$3:$A$5001,"&gt;="&amp;$C$7,BD!$A$3:$A$5001,"&lt;="&amp;$B190,BD!$W$3:$W$5001,"&lt;&gt;")=0,"",SUMIFS(BD!$W$3:$W$5001,BD!$B$3:$B$5001,P$175,BD!$A$3:$A$5001,_xlfn.MAXIFS(BD!$A$3:$A$5001,BD!$B$3:$B$5001,P$175,BD!$A$3:$A$5001,"&gt;="&amp;$C$7,BD!$A$3:$A$5001,"&lt;="&amp;$B190,BD!$W$3:$W$5001,"&lt;&gt;"))))</f>
        <v/>
      </c>
      <c r="Q190" s="54" t="str">
        <f>IF(OR($B190="",$A190&gt;$B$9,Q$175=""),"",IF(COUNTIFS(BD!$B$3:$B$5001,Q$175,BD!$A$3:$A$5001,"&gt;="&amp;$C$7,BD!$A$3:$A$5001,"&lt;="&amp;$B190,BD!$W$3:$W$5001,"&lt;&gt;")=0,"",SUMIFS(BD!$W$3:$W$5001,BD!$B$3:$B$5001,Q$175,BD!$A$3:$A$5001,_xlfn.MAXIFS(BD!$A$3:$A$5001,BD!$B$3:$B$5001,Q$175,BD!$A$3:$A$5001,"&gt;="&amp;$C$7,BD!$A$3:$A$5001,"&lt;="&amp;$B190,BD!$W$3:$W$5001,"&lt;&gt;"))))</f>
        <v/>
      </c>
      <c r="R190" s="54" t="str">
        <f>IF(OR($B190="",$A190&gt;$B$9,R$175=""),"",IF(COUNTIFS(BD!$B$3:$B$5001,R$175,BD!$A$3:$A$5001,"&gt;="&amp;$C$7,BD!$A$3:$A$5001,"&lt;="&amp;$B190,BD!$W$3:$W$5001,"&lt;&gt;")=0,"",SUMIFS(BD!$W$3:$W$5001,BD!$B$3:$B$5001,R$175,BD!$A$3:$A$5001,_xlfn.MAXIFS(BD!$A$3:$A$5001,BD!$B$3:$B$5001,R$175,BD!$A$3:$A$5001,"&gt;="&amp;$C$7,BD!$A$3:$A$5001,"&lt;="&amp;$B190,BD!$W$3:$W$5001,"&lt;&gt;"))))</f>
        <v/>
      </c>
      <c r="S190" s="54" t="str">
        <f>IF(OR($B190="",$A190&gt;$B$9,S$175=""),"",IF(COUNTIFS(BD!$B$3:$B$5001,S$175,BD!$A$3:$A$5001,"&gt;="&amp;$C$7,BD!$A$3:$A$5001,"&lt;="&amp;$B190,BD!$W$3:$W$5001,"&lt;&gt;")=0,"",SUMIFS(BD!$W$3:$W$5001,BD!$B$3:$B$5001,S$175,BD!$A$3:$A$5001,_xlfn.MAXIFS(BD!$A$3:$A$5001,BD!$B$3:$B$5001,S$175,BD!$A$3:$A$5001,"&gt;="&amp;$C$7,BD!$A$3:$A$5001,"&lt;="&amp;$B190,BD!$W$3:$W$5001,"&lt;&gt;"))))</f>
        <v/>
      </c>
      <c r="T190" s="54" t="str">
        <f>IF(OR($B190="",$A190&gt;$B$9,T$175=""),"",IF(COUNTIFS(BD!$B$3:$B$5001,T$175,BD!$A$3:$A$5001,"&gt;="&amp;$C$7,BD!$A$3:$A$5001,"&lt;="&amp;$B190,BD!$W$3:$W$5001,"&lt;&gt;")=0,"",SUMIFS(BD!$W$3:$W$5001,BD!$B$3:$B$5001,T$175,BD!$A$3:$A$5001,_xlfn.MAXIFS(BD!$A$3:$A$5001,BD!$B$3:$B$5001,T$175,BD!$A$3:$A$5001,"&gt;="&amp;$C$7,BD!$A$3:$A$5001,"&lt;="&amp;$B190,BD!$W$3:$W$5001,"&lt;&gt;"))))</f>
        <v/>
      </c>
      <c r="U190" s="54" t="str">
        <f>IF(OR($B190="",$A190&gt;$B$9,U$175=""),"",IF(COUNTIFS(BD!$B$3:$B$5001,U$175,BD!$A$3:$A$5001,"&gt;="&amp;$C$7,BD!$A$3:$A$5001,"&lt;="&amp;$B190,BD!$W$3:$W$5001,"&lt;&gt;")=0,"",SUMIFS(BD!$W$3:$W$5001,BD!$B$3:$B$5001,U$175,BD!$A$3:$A$5001,_xlfn.MAXIFS(BD!$A$3:$A$5001,BD!$B$3:$B$5001,U$175,BD!$A$3:$A$5001,"&gt;="&amp;$C$7,BD!$A$3:$A$5001,"&lt;="&amp;$B190,BD!$W$3:$W$5001,"&lt;&gt;"))))</f>
        <v/>
      </c>
      <c r="V190" s="54" t="str">
        <f>IF(OR($B190="",$A190&gt;$B$9,V$175=""),"",IF(COUNTIFS(BD!$B$3:$B$5001,V$175,BD!$A$3:$A$5001,"&gt;="&amp;$C$7,BD!$A$3:$A$5001,"&lt;="&amp;$B190,BD!$W$3:$W$5001,"&lt;&gt;")=0,"",SUMIFS(BD!$W$3:$W$5001,BD!$B$3:$B$5001,V$175,BD!$A$3:$A$5001,_xlfn.MAXIFS(BD!$A$3:$A$5001,BD!$B$3:$B$5001,V$175,BD!$A$3:$A$5001,"&gt;="&amp;$C$7,BD!$A$3:$A$5001,"&lt;="&amp;$B190,BD!$W$3:$W$5001,"&lt;&gt;"))))</f>
        <v/>
      </c>
    </row>
    <row r="191">
      <c r="A191" s="48">
        <v>16</v>
      </c>
      <c r="B191" s="53">
        <f>$B$27</f>
        <v>46311</v>
      </c>
      <c r="C191" s="54" t="str">
        <f>IF(OR($B191="",$A191&gt;$B$9,C$175=""),"",IF(COUNTIFS(BD!$B$3:$B$5001,C$175,BD!$A$3:$A$5001,"&gt;="&amp;$C$7,BD!$A$3:$A$5001,"&lt;="&amp;$B191,BD!$W$3:$W$5001,"&lt;&gt;")=0,"",SUMIFS(BD!$W$3:$W$5001,BD!$B$3:$B$5001,C$175,BD!$A$3:$A$5001,_xlfn.MAXIFS(BD!$A$3:$A$5001,BD!$B$3:$B$5001,C$175,BD!$A$3:$A$5001,"&gt;="&amp;$C$7,BD!$A$3:$A$5001,"&lt;="&amp;$B191,BD!$W$3:$W$5001,"&lt;&gt;"))))</f>
        <v/>
      </c>
      <c r="D191" s="54" t="str">
        <f>IF(OR($B191="",$A191&gt;$B$9,D$175=""),"",IF(COUNTIFS(BD!$B$3:$B$5001,D$175,BD!$A$3:$A$5001,"&gt;="&amp;$C$7,BD!$A$3:$A$5001,"&lt;="&amp;$B191,BD!$W$3:$W$5001,"&lt;&gt;")=0,"",SUMIFS(BD!$W$3:$W$5001,BD!$B$3:$B$5001,D$175,BD!$A$3:$A$5001,_xlfn.MAXIFS(BD!$A$3:$A$5001,BD!$B$3:$B$5001,D$175,BD!$A$3:$A$5001,"&gt;="&amp;$C$7,BD!$A$3:$A$5001,"&lt;="&amp;$B191,BD!$W$3:$W$5001,"&lt;&gt;"))))</f>
        <v/>
      </c>
      <c r="E191" s="54" t="str">
        <f>IF(OR($B191="",$A191&gt;$B$9,E$175=""),"",IF(COUNTIFS(BD!$B$3:$B$5001,E$175,BD!$A$3:$A$5001,"&gt;="&amp;$C$7,BD!$A$3:$A$5001,"&lt;="&amp;$B191,BD!$W$3:$W$5001,"&lt;&gt;")=0,"",SUMIFS(BD!$W$3:$W$5001,BD!$B$3:$B$5001,E$175,BD!$A$3:$A$5001,_xlfn.MAXIFS(BD!$A$3:$A$5001,BD!$B$3:$B$5001,E$175,BD!$A$3:$A$5001,"&gt;="&amp;$C$7,BD!$A$3:$A$5001,"&lt;="&amp;$B191,BD!$W$3:$W$5001,"&lt;&gt;"))))</f>
        <v/>
      </c>
      <c r="F191" s="54" t="str">
        <f>IF(OR($B191="",$A191&gt;$B$9,F$175=""),"",IF(COUNTIFS(BD!$B$3:$B$5001,F$175,BD!$A$3:$A$5001,"&gt;="&amp;$C$7,BD!$A$3:$A$5001,"&lt;="&amp;$B191,BD!$W$3:$W$5001,"&lt;&gt;")=0,"",SUMIFS(BD!$W$3:$W$5001,BD!$B$3:$B$5001,F$175,BD!$A$3:$A$5001,_xlfn.MAXIFS(BD!$A$3:$A$5001,BD!$B$3:$B$5001,F$175,BD!$A$3:$A$5001,"&gt;="&amp;$C$7,BD!$A$3:$A$5001,"&lt;="&amp;$B191,BD!$W$3:$W$5001,"&lt;&gt;"))))</f>
        <v/>
      </c>
      <c r="G191" s="54" t="str">
        <f>IF(OR($B191="",$A191&gt;$B$9,G$175=""),"",IF(COUNTIFS(BD!$B$3:$B$5001,G$175,BD!$A$3:$A$5001,"&gt;="&amp;$C$7,BD!$A$3:$A$5001,"&lt;="&amp;$B191,BD!$W$3:$W$5001,"&lt;&gt;")=0,"",SUMIFS(BD!$W$3:$W$5001,BD!$B$3:$B$5001,G$175,BD!$A$3:$A$5001,_xlfn.MAXIFS(BD!$A$3:$A$5001,BD!$B$3:$B$5001,G$175,BD!$A$3:$A$5001,"&gt;="&amp;$C$7,BD!$A$3:$A$5001,"&lt;="&amp;$B191,BD!$W$3:$W$5001,"&lt;&gt;"))))</f>
        <v/>
      </c>
      <c r="H191" s="54" t="str">
        <f>IF(OR($B191="",$A191&gt;$B$9,H$175=""),"",IF(COUNTIFS(BD!$B$3:$B$5001,H$175,BD!$A$3:$A$5001,"&gt;="&amp;$C$7,BD!$A$3:$A$5001,"&lt;="&amp;$B191,BD!$W$3:$W$5001,"&lt;&gt;")=0,"",SUMIFS(BD!$W$3:$W$5001,BD!$B$3:$B$5001,H$175,BD!$A$3:$A$5001,_xlfn.MAXIFS(BD!$A$3:$A$5001,BD!$B$3:$B$5001,H$175,BD!$A$3:$A$5001,"&gt;="&amp;$C$7,BD!$A$3:$A$5001,"&lt;="&amp;$B191,BD!$W$3:$W$5001,"&lt;&gt;"))))</f>
        <v/>
      </c>
      <c r="I191" s="54" t="str">
        <f>IF(OR($B191="",$A191&gt;$B$9,I$175=""),"",IF(COUNTIFS(BD!$B$3:$B$5001,I$175,BD!$A$3:$A$5001,"&gt;="&amp;$C$7,BD!$A$3:$A$5001,"&lt;="&amp;$B191,BD!$W$3:$W$5001,"&lt;&gt;")=0,"",SUMIFS(BD!$W$3:$W$5001,BD!$B$3:$B$5001,I$175,BD!$A$3:$A$5001,_xlfn.MAXIFS(BD!$A$3:$A$5001,BD!$B$3:$B$5001,I$175,BD!$A$3:$A$5001,"&gt;="&amp;$C$7,BD!$A$3:$A$5001,"&lt;="&amp;$B191,BD!$W$3:$W$5001,"&lt;&gt;"))))</f>
        <v/>
      </c>
      <c r="J191" s="54" t="str">
        <f>IF(OR($B191="",$A191&gt;$B$9,J$175=""),"",IF(COUNTIFS(BD!$B$3:$B$5001,J$175,BD!$A$3:$A$5001,"&gt;="&amp;$C$7,BD!$A$3:$A$5001,"&lt;="&amp;$B191,BD!$W$3:$W$5001,"&lt;&gt;")=0,"",SUMIFS(BD!$W$3:$W$5001,BD!$B$3:$B$5001,J$175,BD!$A$3:$A$5001,_xlfn.MAXIFS(BD!$A$3:$A$5001,BD!$B$3:$B$5001,J$175,BD!$A$3:$A$5001,"&gt;="&amp;$C$7,BD!$A$3:$A$5001,"&lt;="&amp;$B191,BD!$W$3:$W$5001,"&lt;&gt;"))))</f>
        <v/>
      </c>
      <c r="K191" s="54" t="str">
        <f>IF(OR($B191="",$A191&gt;$B$9,K$175=""),"",IF(COUNTIFS(BD!$B$3:$B$5001,K$175,BD!$A$3:$A$5001,"&gt;="&amp;$C$7,BD!$A$3:$A$5001,"&lt;="&amp;$B191,BD!$W$3:$W$5001,"&lt;&gt;")=0,"",SUMIFS(BD!$W$3:$W$5001,BD!$B$3:$B$5001,K$175,BD!$A$3:$A$5001,_xlfn.MAXIFS(BD!$A$3:$A$5001,BD!$B$3:$B$5001,K$175,BD!$A$3:$A$5001,"&gt;="&amp;$C$7,BD!$A$3:$A$5001,"&lt;="&amp;$B191,BD!$W$3:$W$5001,"&lt;&gt;"))))</f>
        <v/>
      </c>
      <c r="L191" s="54" t="str">
        <f>IF(OR($B191="",$A191&gt;$B$9,L$175=""),"",IF(COUNTIFS(BD!$B$3:$B$5001,L$175,BD!$A$3:$A$5001,"&gt;="&amp;$C$7,BD!$A$3:$A$5001,"&lt;="&amp;$B191,BD!$W$3:$W$5001,"&lt;&gt;")=0,"",SUMIFS(BD!$W$3:$W$5001,BD!$B$3:$B$5001,L$175,BD!$A$3:$A$5001,_xlfn.MAXIFS(BD!$A$3:$A$5001,BD!$B$3:$B$5001,L$175,BD!$A$3:$A$5001,"&gt;="&amp;$C$7,BD!$A$3:$A$5001,"&lt;="&amp;$B191,BD!$W$3:$W$5001,"&lt;&gt;"))))</f>
        <v/>
      </c>
      <c r="M191" s="54" t="str">
        <f>IF(OR($B191="",$A191&gt;$B$9,M$175=""),"",IF(COUNTIFS(BD!$B$3:$B$5001,M$175,BD!$A$3:$A$5001,"&gt;="&amp;$C$7,BD!$A$3:$A$5001,"&lt;="&amp;$B191,BD!$W$3:$W$5001,"&lt;&gt;")=0,"",SUMIFS(BD!$W$3:$W$5001,BD!$B$3:$B$5001,M$175,BD!$A$3:$A$5001,_xlfn.MAXIFS(BD!$A$3:$A$5001,BD!$B$3:$B$5001,M$175,BD!$A$3:$A$5001,"&gt;="&amp;$C$7,BD!$A$3:$A$5001,"&lt;="&amp;$B191,BD!$W$3:$W$5001,"&lt;&gt;"))))</f>
        <v/>
      </c>
      <c r="N191" s="54" t="str">
        <f>IF(OR($B191="",$A191&gt;$B$9,N$175=""),"",IF(COUNTIFS(BD!$B$3:$B$5001,N$175,BD!$A$3:$A$5001,"&gt;="&amp;$C$7,BD!$A$3:$A$5001,"&lt;="&amp;$B191,BD!$W$3:$W$5001,"&lt;&gt;")=0,"",SUMIFS(BD!$W$3:$W$5001,BD!$B$3:$B$5001,N$175,BD!$A$3:$A$5001,_xlfn.MAXIFS(BD!$A$3:$A$5001,BD!$B$3:$B$5001,N$175,BD!$A$3:$A$5001,"&gt;="&amp;$C$7,BD!$A$3:$A$5001,"&lt;="&amp;$B191,BD!$W$3:$W$5001,"&lt;&gt;"))))</f>
        <v/>
      </c>
      <c r="O191" s="54" t="str">
        <f>IF(OR($B191="",$A191&gt;$B$9,O$175=""),"",IF(COUNTIFS(BD!$B$3:$B$5001,O$175,BD!$A$3:$A$5001,"&gt;="&amp;$C$7,BD!$A$3:$A$5001,"&lt;="&amp;$B191,BD!$W$3:$W$5001,"&lt;&gt;")=0,"",SUMIFS(BD!$W$3:$W$5001,BD!$B$3:$B$5001,O$175,BD!$A$3:$A$5001,_xlfn.MAXIFS(BD!$A$3:$A$5001,BD!$B$3:$B$5001,O$175,BD!$A$3:$A$5001,"&gt;="&amp;$C$7,BD!$A$3:$A$5001,"&lt;="&amp;$B191,BD!$W$3:$W$5001,"&lt;&gt;"))))</f>
        <v/>
      </c>
      <c r="P191" s="54" t="str">
        <f>IF(OR($B191="",$A191&gt;$B$9,P$175=""),"",IF(COUNTIFS(BD!$B$3:$B$5001,P$175,BD!$A$3:$A$5001,"&gt;="&amp;$C$7,BD!$A$3:$A$5001,"&lt;="&amp;$B191,BD!$W$3:$W$5001,"&lt;&gt;")=0,"",SUMIFS(BD!$W$3:$W$5001,BD!$B$3:$B$5001,P$175,BD!$A$3:$A$5001,_xlfn.MAXIFS(BD!$A$3:$A$5001,BD!$B$3:$B$5001,P$175,BD!$A$3:$A$5001,"&gt;="&amp;$C$7,BD!$A$3:$A$5001,"&lt;="&amp;$B191,BD!$W$3:$W$5001,"&lt;&gt;"))))</f>
        <v/>
      </c>
      <c r="Q191" s="54" t="str">
        <f>IF(OR($B191="",$A191&gt;$B$9,Q$175=""),"",IF(COUNTIFS(BD!$B$3:$B$5001,Q$175,BD!$A$3:$A$5001,"&gt;="&amp;$C$7,BD!$A$3:$A$5001,"&lt;="&amp;$B191,BD!$W$3:$W$5001,"&lt;&gt;")=0,"",SUMIFS(BD!$W$3:$W$5001,BD!$B$3:$B$5001,Q$175,BD!$A$3:$A$5001,_xlfn.MAXIFS(BD!$A$3:$A$5001,BD!$B$3:$B$5001,Q$175,BD!$A$3:$A$5001,"&gt;="&amp;$C$7,BD!$A$3:$A$5001,"&lt;="&amp;$B191,BD!$W$3:$W$5001,"&lt;&gt;"))))</f>
        <v/>
      </c>
      <c r="R191" s="54" t="str">
        <f>IF(OR($B191="",$A191&gt;$B$9,R$175=""),"",IF(COUNTIFS(BD!$B$3:$B$5001,R$175,BD!$A$3:$A$5001,"&gt;="&amp;$C$7,BD!$A$3:$A$5001,"&lt;="&amp;$B191,BD!$W$3:$W$5001,"&lt;&gt;")=0,"",SUMIFS(BD!$W$3:$W$5001,BD!$B$3:$B$5001,R$175,BD!$A$3:$A$5001,_xlfn.MAXIFS(BD!$A$3:$A$5001,BD!$B$3:$B$5001,R$175,BD!$A$3:$A$5001,"&gt;="&amp;$C$7,BD!$A$3:$A$5001,"&lt;="&amp;$B191,BD!$W$3:$W$5001,"&lt;&gt;"))))</f>
        <v/>
      </c>
      <c r="S191" s="54" t="str">
        <f>IF(OR($B191="",$A191&gt;$B$9,S$175=""),"",IF(COUNTIFS(BD!$B$3:$B$5001,S$175,BD!$A$3:$A$5001,"&gt;="&amp;$C$7,BD!$A$3:$A$5001,"&lt;="&amp;$B191,BD!$W$3:$W$5001,"&lt;&gt;")=0,"",SUMIFS(BD!$W$3:$W$5001,BD!$B$3:$B$5001,S$175,BD!$A$3:$A$5001,_xlfn.MAXIFS(BD!$A$3:$A$5001,BD!$B$3:$B$5001,S$175,BD!$A$3:$A$5001,"&gt;="&amp;$C$7,BD!$A$3:$A$5001,"&lt;="&amp;$B191,BD!$W$3:$W$5001,"&lt;&gt;"))))</f>
        <v/>
      </c>
      <c r="T191" s="54" t="str">
        <f>IF(OR($B191="",$A191&gt;$B$9,T$175=""),"",IF(COUNTIFS(BD!$B$3:$B$5001,T$175,BD!$A$3:$A$5001,"&gt;="&amp;$C$7,BD!$A$3:$A$5001,"&lt;="&amp;$B191,BD!$W$3:$W$5001,"&lt;&gt;")=0,"",SUMIFS(BD!$W$3:$W$5001,BD!$B$3:$B$5001,T$175,BD!$A$3:$A$5001,_xlfn.MAXIFS(BD!$A$3:$A$5001,BD!$B$3:$B$5001,T$175,BD!$A$3:$A$5001,"&gt;="&amp;$C$7,BD!$A$3:$A$5001,"&lt;="&amp;$B191,BD!$W$3:$W$5001,"&lt;&gt;"))))</f>
        <v/>
      </c>
      <c r="U191" s="54" t="str">
        <f>IF(OR($B191="",$A191&gt;$B$9,U$175=""),"",IF(COUNTIFS(BD!$B$3:$B$5001,U$175,BD!$A$3:$A$5001,"&gt;="&amp;$C$7,BD!$A$3:$A$5001,"&lt;="&amp;$B191,BD!$W$3:$W$5001,"&lt;&gt;")=0,"",SUMIFS(BD!$W$3:$W$5001,BD!$B$3:$B$5001,U$175,BD!$A$3:$A$5001,_xlfn.MAXIFS(BD!$A$3:$A$5001,BD!$B$3:$B$5001,U$175,BD!$A$3:$A$5001,"&gt;="&amp;$C$7,BD!$A$3:$A$5001,"&lt;="&amp;$B191,BD!$W$3:$W$5001,"&lt;&gt;"))))</f>
        <v/>
      </c>
      <c r="V191" s="54" t="str">
        <f>IF(OR($B191="",$A191&gt;$B$9,V$175=""),"",IF(COUNTIFS(BD!$B$3:$B$5001,V$175,BD!$A$3:$A$5001,"&gt;="&amp;$C$7,BD!$A$3:$A$5001,"&lt;="&amp;$B191,BD!$W$3:$W$5001,"&lt;&gt;")=0,"",SUMIFS(BD!$W$3:$W$5001,BD!$B$3:$B$5001,V$175,BD!$A$3:$A$5001,_xlfn.MAXIFS(BD!$A$3:$A$5001,BD!$B$3:$B$5001,V$175,BD!$A$3:$A$5001,"&gt;="&amp;$C$7,BD!$A$3:$A$5001,"&lt;="&amp;$B191,BD!$W$3:$W$5001,"&lt;&gt;"))))</f>
        <v/>
      </c>
    </row>
    <row r="192">
      <c r="A192" s="48">
        <v>17</v>
      </c>
      <c r="B192" s="53">
        <f>$B$28</f>
        <v>46312</v>
      </c>
      <c r="C192" s="54" t="str">
        <f>IF(OR($B192="",$A192&gt;$B$9,C$175=""),"",IF(COUNTIFS(BD!$B$3:$B$5001,C$175,BD!$A$3:$A$5001,"&gt;="&amp;$C$7,BD!$A$3:$A$5001,"&lt;="&amp;$B192,BD!$W$3:$W$5001,"&lt;&gt;")=0,"",SUMIFS(BD!$W$3:$W$5001,BD!$B$3:$B$5001,C$175,BD!$A$3:$A$5001,_xlfn.MAXIFS(BD!$A$3:$A$5001,BD!$B$3:$B$5001,C$175,BD!$A$3:$A$5001,"&gt;="&amp;$C$7,BD!$A$3:$A$5001,"&lt;="&amp;$B192,BD!$W$3:$W$5001,"&lt;&gt;"))))</f>
        <v/>
      </c>
      <c r="D192" s="54" t="str">
        <f>IF(OR($B192="",$A192&gt;$B$9,D$175=""),"",IF(COUNTIFS(BD!$B$3:$B$5001,D$175,BD!$A$3:$A$5001,"&gt;="&amp;$C$7,BD!$A$3:$A$5001,"&lt;="&amp;$B192,BD!$W$3:$W$5001,"&lt;&gt;")=0,"",SUMIFS(BD!$W$3:$W$5001,BD!$B$3:$B$5001,D$175,BD!$A$3:$A$5001,_xlfn.MAXIFS(BD!$A$3:$A$5001,BD!$B$3:$B$5001,D$175,BD!$A$3:$A$5001,"&gt;="&amp;$C$7,BD!$A$3:$A$5001,"&lt;="&amp;$B192,BD!$W$3:$W$5001,"&lt;&gt;"))))</f>
        <v/>
      </c>
      <c r="E192" s="54" t="str">
        <f>IF(OR($B192="",$A192&gt;$B$9,E$175=""),"",IF(COUNTIFS(BD!$B$3:$B$5001,E$175,BD!$A$3:$A$5001,"&gt;="&amp;$C$7,BD!$A$3:$A$5001,"&lt;="&amp;$B192,BD!$W$3:$W$5001,"&lt;&gt;")=0,"",SUMIFS(BD!$W$3:$W$5001,BD!$B$3:$B$5001,E$175,BD!$A$3:$A$5001,_xlfn.MAXIFS(BD!$A$3:$A$5001,BD!$B$3:$B$5001,E$175,BD!$A$3:$A$5001,"&gt;="&amp;$C$7,BD!$A$3:$A$5001,"&lt;="&amp;$B192,BD!$W$3:$W$5001,"&lt;&gt;"))))</f>
        <v/>
      </c>
      <c r="F192" s="54" t="str">
        <f>IF(OR($B192="",$A192&gt;$B$9,F$175=""),"",IF(COUNTIFS(BD!$B$3:$B$5001,F$175,BD!$A$3:$A$5001,"&gt;="&amp;$C$7,BD!$A$3:$A$5001,"&lt;="&amp;$B192,BD!$W$3:$W$5001,"&lt;&gt;")=0,"",SUMIFS(BD!$W$3:$W$5001,BD!$B$3:$B$5001,F$175,BD!$A$3:$A$5001,_xlfn.MAXIFS(BD!$A$3:$A$5001,BD!$B$3:$B$5001,F$175,BD!$A$3:$A$5001,"&gt;="&amp;$C$7,BD!$A$3:$A$5001,"&lt;="&amp;$B192,BD!$W$3:$W$5001,"&lt;&gt;"))))</f>
        <v/>
      </c>
      <c r="G192" s="54" t="str">
        <f>IF(OR($B192="",$A192&gt;$B$9,G$175=""),"",IF(COUNTIFS(BD!$B$3:$B$5001,G$175,BD!$A$3:$A$5001,"&gt;="&amp;$C$7,BD!$A$3:$A$5001,"&lt;="&amp;$B192,BD!$W$3:$W$5001,"&lt;&gt;")=0,"",SUMIFS(BD!$W$3:$W$5001,BD!$B$3:$B$5001,G$175,BD!$A$3:$A$5001,_xlfn.MAXIFS(BD!$A$3:$A$5001,BD!$B$3:$B$5001,G$175,BD!$A$3:$A$5001,"&gt;="&amp;$C$7,BD!$A$3:$A$5001,"&lt;="&amp;$B192,BD!$W$3:$W$5001,"&lt;&gt;"))))</f>
        <v/>
      </c>
      <c r="H192" s="54" t="str">
        <f>IF(OR($B192="",$A192&gt;$B$9,H$175=""),"",IF(COUNTIFS(BD!$B$3:$B$5001,H$175,BD!$A$3:$A$5001,"&gt;="&amp;$C$7,BD!$A$3:$A$5001,"&lt;="&amp;$B192,BD!$W$3:$W$5001,"&lt;&gt;")=0,"",SUMIFS(BD!$W$3:$W$5001,BD!$B$3:$B$5001,H$175,BD!$A$3:$A$5001,_xlfn.MAXIFS(BD!$A$3:$A$5001,BD!$B$3:$B$5001,H$175,BD!$A$3:$A$5001,"&gt;="&amp;$C$7,BD!$A$3:$A$5001,"&lt;="&amp;$B192,BD!$W$3:$W$5001,"&lt;&gt;"))))</f>
        <v/>
      </c>
      <c r="I192" s="54" t="str">
        <f>IF(OR($B192="",$A192&gt;$B$9,I$175=""),"",IF(COUNTIFS(BD!$B$3:$B$5001,I$175,BD!$A$3:$A$5001,"&gt;="&amp;$C$7,BD!$A$3:$A$5001,"&lt;="&amp;$B192,BD!$W$3:$W$5001,"&lt;&gt;")=0,"",SUMIFS(BD!$W$3:$W$5001,BD!$B$3:$B$5001,I$175,BD!$A$3:$A$5001,_xlfn.MAXIFS(BD!$A$3:$A$5001,BD!$B$3:$B$5001,I$175,BD!$A$3:$A$5001,"&gt;="&amp;$C$7,BD!$A$3:$A$5001,"&lt;="&amp;$B192,BD!$W$3:$W$5001,"&lt;&gt;"))))</f>
        <v/>
      </c>
      <c r="J192" s="54" t="str">
        <f>IF(OR($B192="",$A192&gt;$B$9,J$175=""),"",IF(COUNTIFS(BD!$B$3:$B$5001,J$175,BD!$A$3:$A$5001,"&gt;="&amp;$C$7,BD!$A$3:$A$5001,"&lt;="&amp;$B192,BD!$W$3:$W$5001,"&lt;&gt;")=0,"",SUMIFS(BD!$W$3:$W$5001,BD!$B$3:$B$5001,J$175,BD!$A$3:$A$5001,_xlfn.MAXIFS(BD!$A$3:$A$5001,BD!$B$3:$B$5001,J$175,BD!$A$3:$A$5001,"&gt;="&amp;$C$7,BD!$A$3:$A$5001,"&lt;="&amp;$B192,BD!$W$3:$W$5001,"&lt;&gt;"))))</f>
        <v/>
      </c>
      <c r="K192" s="54" t="str">
        <f>IF(OR($B192="",$A192&gt;$B$9,K$175=""),"",IF(COUNTIFS(BD!$B$3:$B$5001,K$175,BD!$A$3:$A$5001,"&gt;="&amp;$C$7,BD!$A$3:$A$5001,"&lt;="&amp;$B192,BD!$W$3:$W$5001,"&lt;&gt;")=0,"",SUMIFS(BD!$W$3:$W$5001,BD!$B$3:$B$5001,K$175,BD!$A$3:$A$5001,_xlfn.MAXIFS(BD!$A$3:$A$5001,BD!$B$3:$B$5001,K$175,BD!$A$3:$A$5001,"&gt;="&amp;$C$7,BD!$A$3:$A$5001,"&lt;="&amp;$B192,BD!$W$3:$W$5001,"&lt;&gt;"))))</f>
        <v/>
      </c>
      <c r="L192" s="54" t="str">
        <f>IF(OR($B192="",$A192&gt;$B$9,L$175=""),"",IF(COUNTIFS(BD!$B$3:$B$5001,L$175,BD!$A$3:$A$5001,"&gt;="&amp;$C$7,BD!$A$3:$A$5001,"&lt;="&amp;$B192,BD!$W$3:$W$5001,"&lt;&gt;")=0,"",SUMIFS(BD!$W$3:$W$5001,BD!$B$3:$B$5001,L$175,BD!$A$3:$A$5001,_xlfn.MAXIFS(BD!$A$3:$A$5001,BD!$B$3:$B$5001,L$175,BD!$A$3:$A$5001,"&gt;="&amp;$C$7,BD!$A$3:$A$5001,"&lt;="&amp;$B192,BD!$W$3:$W$5001,"&lt;&gt;"))))</f>
        <v/>
      </c>
      <c r="M192" s="54" t="str">
        <f>IF(OR($B192="",$A192&gt;$B$9,M$175=""),"",IF(COUNTIFS(BD!$B$3:$B$5001,M$175,BD!$A$3:$A$5001,"&gt;="&amp;$C$7,BD!$A$3:$A$5001,"&lt;="&amp;$B192,BD!$W$3:$W$5001,"&lt;&gt;")=0,"",SUMIFS(BD!$W$3:$W$5001,BD!$B$3:$B$5001,M$175,BD!$A$3:$A$5001,_xlfn.MAXIFS(BD!$A$3:$A$5001,BD!$B$3:$B$5001,M$175,BD!$A$3:$A$5001,"&gt;="&amp;$C$7,BD!$A$3:$A$5001,"&lt;="&amp;$B192,BD!$W$3:$W$5001,"&lt;&gt;"))))</f>
        <v/>
      </c>
      <c r="N192" s="54" t="str">
        <f>IF(OR($B192="",$A192&gt;$B$9,N$175=""),"",IF(COUNTIFS(BD!$B$3:$B$5001,N$175,BD!$A$3:$A$5001,"&gt;="&amp;$C$7,BD!$A$3:$A$5001,"&lt;="&amp;$B192,BD!$W$3:$W$5001,"&lt;&gt;")=0,"",SUMIFS(BD!$W$3:$W$5001,BD!$B$3:$B$5001,N$175,BD!$A$3:$A$5001,_xlfn.MAXIFS(BD!$A$3:$A$5001,BD!$B$3:$B$5001,N$175,BD!$A$3:$A$5001,"&gt;="&amp;$C$7,BD!$A$3:$A$5001,"&lt;="&amp;$B192,BD!$W$3:$W$5001,"&lt;&gt;"))))</f>
        <v/>
      </c>
      <c r="O192" s="54" t="str">
        <f>IF(OR($B192="",$A192&gt;$B$9,O$175=""),"",IF(COUNTIFS(BD!$B$3:$B$5001,O$175,BD!$A$3:$A$5001,"&gt;="&amp;$C$7,BD!$A$3:$A$5001,"&lt;="&amp;$B192,BD!$W$3:$W$5001,"&lt;&gt;")=0,"",SUMIFS(BD!$W$3:$W$5001,BD!$B$3:$B$5001,O$175,BD!$A$3:$A$5001,_xlfn.MAXIFS(BD!$A$3:$A$5001,BD!$B$3:$B$5001,O$175,BD!$A$3:$A$5001,"&gt;="&amp;$C$7,BD!$A$3:$A$5001,"&lt;="&amp;$B192,BD!$W$3:$W$5001,"&lt;&gt;"))))</f>
        <v/>
      </c>
      <c r="P192" s="54" t="str">
        <f>IF(OR($B192="",$A192&gt;$B$9,P$175=""),"",IF(COUNTIFS(BD!$B$3:$B$5001,P$175,BD!$A$3:$A$5001,"&gt;="&amp;$C$7,BD!$A$3:$A$5001,"&lt;="&amp;$B192,BD!$W$3:$W$5001,"&lt;&gt;")=0,"",SUMIFS(BD!$W$3:$W$5001,BD!$B$3:$B$5001,P$175,BD!$A$3:$A$5001,_xlfn.MAXIFS(BD!$A$3:$A$5001,BD!$B$3:$B$5001,P$175,BD!$A$3:$A$5001,"&gt;="&amp;$C$7,BD!$A$3:$A$5001,"&lt;="&amp;$B192,BD!$W$3:$W$5001,"&lt;&gt;"))))</f>
        <v/>
      </c>
      <c r="Q192" s="54" t="str">
        <f>IF(OR($B192="",$A192&gt;$B$9,Q$175=""),"",IF(COUNTIFS(BD!$B$3:$B$5001,Q$175,BD!$A$3:$A$5001,"&gt;="&amp;$C$7,BD!$A$3:$A$5001,"&lt;="&amp;$B192,BD!$W$3:$W$5001,"&lt;&gt;")=0,"",SUMIFS(BD!$W$3:$W$5001,BD!$B$3:$B$5001,Q$175,BD!$A$3:$A$5001,_xlfn.MAXIFS(BD!$A$3:$A$5001,BD!$B$3:$B$5001,Q$175,BD!$A$3:$A$5001,"&gt;="&amp;$C$7,BD!$A$3:$A$5001,"&lt;="&amp;$B192,BD!$W$3:$W$5001,"&lt;&gt;"))))</f>
        <v/>
      </c>
      <c r="R192" s="54" t="str">
        <f>IF(OR($B192="",$A192&gt;$B$9,R$175=""),"",IF(COUNTIFS(BD!$B$3:$B$5001,R$175,BD!$A$3:$A$5001,"&gt;="&amp;$C$7,BD!$A$3:$A$5001,"&lt;="&amp;$B192,BD!$W$3:$W$5001,"&lt;&gt;")=0,"",SUMIFS(BD!$W$3:$W$5001,BD!$B$3:$B$5001,R$175,BD!$A$3:$A$5001,_xlfn.MAXIFS(BD!$A$3:$A$5001,BD!$B$3:$B$5001,R$175,BD!$A$3:$A$5001,"&gt;="&amp;$C$7,BD!$A$3:$A$5001,"&lt;="&amp;$B192,BD!$W$3:$W$5001,"&lt;&gt;"))))</f>
        <v/>
      </c>
      <c r="S192" s="54" t="str">
        <f>IF(OR($B192="",$A192&gt;$B$9,S$175=""),"",IF(COUNTIFS(BD!$B$3:$B$5001,S$175,BD!$A$3:$A$5001,"&gt;="&amp;$C$7,BD!$A$3:$A$5001,"&lt;="&amp;$B192,BD!$W$3:$W$5001,"&lt;&gt;")=0,"",SUMIFS(BD!$W$3:$W$5001,BD!$B$3:$B$5001,S$175,BD!$A$3:$A$5001,_xlfn.MAXIFS(BD!$A$3:$A$5001,BD!$B$3:$B$5001,S$175,BD!$A$3:$A$5001,"&gt;="&amp;$C$7,BD!$A$3:$A$5001,"&lt;="&amp;$B192,BD!$W$3:$W$5001,"&lt;&gt;"))))</f>
        <v/>
      </c>
      <c r="T192" s="54" t="str">
        <f>IF(OR($B192="",$A192&gt;$B$9,T$175=""),"",IF(COUNTIFS(BD!$B$3:$B$5001,T$175,BD!$A$3:$A$5001,"&gt;="&amp;$C$7,BD!$A$3:$A$5001,"&lt;="&amp;$B192,BD!$W$3:$W$5001,"&lt;&gt;")=0,"",SUMIFS(BD!$W$3:$W$5001,BD!$B$3:$B$5001,T$175,BD!$A$3:$A$5001,_xlfn.MAXIFS(BD!$A$3:$A$5001,BD!$B$3:$B$5001,T$175,BD!$A$3:$A$5001,"&gt;="&amp;$C$7,BD!$A$3:$A$5001,"&lt;="&amp;$B192,BD!$W$3:$W$5001,"&lt;&gt;"))))</f>
        <v/>
      </c>
      <c r="U192" s="54" t="str">
        <f>IF(OR($B192="",$A192&gt;$B$9,U$175=""),"",IF(COUNTIFS(BD!$B$3:$B$5001,U$175,BD!$A$3:$A$5001,"&gt;="&amp;$C$7,BD!$A$3:$A$5001,"&lt;="&amp;$B192,BD!$W$3:$W$5001,"&lt;&gt;")=0,"",SUMIFS(BD!$W$3:$W$5001,BD!$B$3:$B$5001,U$175,BD!$A$3:$A$5001,_xlfn.MAXIFS(BD!$A$3:$A$5001,BD!$B$3:$B$5001,U$175,BD!$A$3:$A$5001,"&gt;="&amp;$C$7,BD!$A$3:$A$5001,"&lt;="&amp;$B192,BD!$W$3:$W$5001,"&lt;&gt;"))))</f>
        <v/>
      </c>
      <c r="V192" s="54" t="str">
        <f>IF(OR($B192="",$A192&gt;$B$9,V$175=""),"",IF(COUNTIFS(BD!$B$3:$B$5001,V$175,BD!$A$3:$A$5001,"&gt;="&amp;$C$7,BD!$A$3:$A$5001,"&lt;="&amp;$B192,BD!$W$3:$W$5001,"&lt;&gt;")=0,"",SUMIFS(BD!$W$3:$W$5001,BD!$B$3:$B$5001,V$175,BD!$A$3:$A$5001,_xlfn.MAXIFS(BD!$A$3:$A$5001,BD!$B$3:$B$5001,V$175,BD!$A$3:$A$5001,"&gt;="&amp;$C$7,BD!$A$3:$A$5001,"&lt;="&amp;$B192,BD!$W$3:$W$5001,"&lt;&gt;"))))</f>
        <v/>
      </c>
    </row>
    <row r="193">
      <c r="A193" s="48">
        <v>18</v>
      </c>
      <c r="B193" s="53">
        <f>$B$29</f>
        <v>46313</v>
      </c>
      <c r="C193" s="54" t="str">
        <f>IF(OR($B193="",$A193&gt;$B$9,C$175=""),"",IF(COUNTIFS(BD!$B$3:$B$5001,C$175,BD!$A$3:$A$5001,"&gt;="&amp;$C$7,BD!$A$3:$A$5001,"&lt;="&amp;$B193,BD!$W$3:$W$5001,"&lt;&gt;")=0,"",SUMIFS(BD!$W$3:$W$5001,BD!$B$3:$B$5001,C$175,BD!$A$3:$A$5001,_xlfn.MAXIFS(BD!$A$3:$A$5001,BD!$B$3:$B$5001,C$175,BD!$A$3:$A$5001,"&gt;="&amp;$C$7,BD!$A$3:$A$5001,"&lt;="&amp;$B193,BD!$W$3:$W$5001,"&lt;&gt;"))))</f>
        <v/>
      </c>
      <c r="D193" s="54" t="str">
        <f>IF(OR($B193="",$A193&gt;$B$9,D$175=""),"",IF(COUNTIFS(BD!$B$3:$B$5001,D$175,BD!$A$3:$A$5001,"&gt;="&amp;$C$7,BD!$A$3:$A$5001,"&lt;="&amp;$B193,BD!$W$3:$W$5001,"&lt;&gt;")=0,"",SUMIFS(BD!$W$3:$W$5001,BD!$B$3:$B$5001,D$175,BD!$A$3:$A$5001,_xlfn.MAXIFS(BD!$A$3:$A$5001,BD!$B$3:$B$5001,D$175,BD!$A$3:$A$5001,"&gt;="&amp;$C$7,BD!$A$3:$A$5001,"&lt;="&amp;$B193,BD!$W$3:$W$5001,"&lt;&gt;"))))</f>
        <v/>
      </c>
      <c r="E193" s="54" t="str">
        <f>IF(OR($B193="",$A193&gt;$B$9,E$175=""),"",IF(COUNTIFS(BD!$B$3:$B$5001,E$175,BD!$A$3:$A$5001,"&gt;="&amp;$C$7,BD!$A$3:$A$5001,"&lt;="&amp;$B193,BD!$W$3:$W$5001,"&lt;&gt;")=0,"",SUMIFS(BD!$W$3:$W$5001,BD!$B$3:$B$5001,E$175,BD!$A$3:$A$5001,_xlfn.MAXIFS(BD!$A$3:$A$5001,BD!$B$3:$B$5001,E$175,BD!$A$3:$A$5001,"&gt;="&amp;$C$7,BD!$A$3:$A$5001,"&lt;="&amp;$B193,BD!$W$3:$W$5001,"&lt;&gt;"))))</f>
        <v/>
      </c>
      <c r="F193" s="54" t="str">
        <f>IF(OR($B193="",$A193&gt;$B$9,F$175=""),"",IF(COUNTIFS(BD!$B$3:$B$5001,F$175,BD!$A$3:$A$5001,"&gt;="&amp;$C$7,BD!$A$3:$A$5001,"&lt;="&amp;$B193,BD!$W$3:$W$5001,"&lt;&gt;")=0,"",SUMIFS(BD!$W$3:$W$5001,BD!$B$3:$B$5001,F$175,BD!$A$3:$A$5001,_xlfn.MAXIFS(BD!$A$3:$A$5001,BD!$B$3:$B$5001,F$175,BD!$A$3:$A$5001,"&gt;="&amp;$C$7,BD!$A$3:$A$5001,"&lt;="&amp;$B193,BD!$W$3:$W$5001,"&lt;&gt;"))))</f>
        <v/>
      </c>
      <c r="G193" s="54" t="str">
        <f>IF(OR($B193="",$A193&gt;$B$9,G$175=""),"",IF(COUNTIFS(BD!$B$3:$B$5001,G$175,BD!$A$3:$A$5001,"&gt;="&amp;$C$7,BD!$A$3:$A$5001,"&lt;="&amp;$B193,BD!$W$3:$W$5001,"&lt;&gt;")=0,"",SUMIFS(BD!$W$3:$W$5001,BD!$B$3:$B$5001,G$175,BD!$A$3:$A$5001,_xlfn.MAXIFS(BD!$A$3:$A$5001,BD!$B$3:$B$5001,G$175,BD!$A$3:$A$5001,"&gt;="&amp;$C$7,BD!$A$3:$A$5001,"&lt;="&amp;$B193,BD!$W$3:$W$5001,"&lt;&gt;"))))</f>
        <v/>
      </c>
      <c r="H193" s="54" t="str">
        <f>IF(OR($B193="",$A193&gt;$B$9,H$175=""),"",IF(COUNTIFS(BD!$B$3:$B$5001,H$175,BD!$A$3:$A$5001,"&gt;="&amp;$C$7,BD!$A$3:$A$5001,"&lt;="&amp;$B193,BD!$W$3:$W$5001,"&lt;&gt;")=0,"",SUMIFS(BD!$W$3:$W$5001,BD!$B$3:$B$5001,H$175,BD!$A$3:$A$5001,_xlfn.MAXIFS(BD!$A$3:$A$5001,BD!$B$3:$B$5001,H$175,BD!$A$3:$A$5001,"&gt;="&amp;$C$7,BD!$A$3:$A$5001,"&lt;="&amp;$B193,BD!$W$3:$W$5001,"&lt;&gt;"))))</f>
        <v/>
      </c>
      <c r="I193" s="54" t="str">
        <f>IF(OR($B193="",$A193&gt;$B$9,I$175=""),"",IF(COUNTIFS(BD!$B$3:$B$5001,I$175,BD!$A$3:$A$5001,"&gt;="&amp;$C$7,BD!$A$3:$A$5001,"&lt;="&amp;$B193,BD!$W$3:$W$5001,"&lt;&gt;")=0,"",SUMIFS(BD!$W$3:$W$5001,BD!$B$3:$B$5001,I$175,BD!$A$3:$A$5001,_xlfn.MAXIFS(BD!$A$3:$A$5001,BD!$B$3:$B$5001,I$175,BD!$A$3:$A$5001,"&gt;="&amp;$C$7,BD!$A$3:$A$5001,"&lt;="&amp;$B193,BD!$W$3:$W$5001,"&lt;&gt;"))))</f>
        <v/>
      </c>
      <c r="J193" s="54" t="str">
        <f>IF(OR($B193="",$A193&gt;$B$9,J$175=""),"",IF(COUNTIFS(BD!$B$3:$B$5001,J$175,BD!$A$3:$A$5001,"&gt;="&amp;$C$7,BD!$A$3:$A$5001,"&lt;="&amp;$B193,BD!$W$3:$W$5001,"&lt;&gt;")=0,"",SUMIFS(BD!$W$3:$W$5001,BD!$B$3:$B$5001,J$175,BD!$A$3:$A$5001,_xlfn.MAXIFS(BD!$A$3:$A$5001,BD!$B$3:$B$5001,J$175,BD!$A$3:$A$5001,"&gt;="&amp;$C$7,BD!$A$3:$A$5001,"&lt;="&amp;$B193,BD!$W$3:$W$5001,"&lt;&gt;"))))</f>
        <v/>
      </c>
      <c r="K193" s="54" t="str">
        <f>IF(OR($B193="",$A193&gt;$B$9,K$175=""),"",IF(COUNTIFS(BD!$B$3:$B$5001,K$175,BD!$A$3:$A$5001,"&gt;="&amp;$C$7,BD!$A$3:$A$5001,"&lt;="&amp;$B193,BD!$W$3:$W$5001,"&lt;&gt;")=0,"",SUMIFS(BD!$W$3:$W$5001,BD!$B$3:$B$5001,K$175,BD!$A$3:$A$5001,_xlfn.MAXIFS(BD!$A$3:$A$5001,BD!$B$3:$B$5001,K$175,BD!$A$3:$A$5001,"&gt;="&amp;$C$7,BD!$A$3:$A$5001,"&lt;="&amp;$B193,BD!$W$3:$W$5001,"&lt;&gt;"))))</f>
        <v/>
      </c>
      <c r="L193" s="54" t="str">
        <f>IF(OR($B193="",$A193&gt;$B$9,L$175=""),"",IF(COUNTIFS(BD!$B$3:$B$5001,L$175,BD!$A$3:$A$5001,"&gt;="&amp;$C$7,BD!$A$3:$A$5001,"&lt;="&amp;$B193,BD!$W$3:$W$5001,"&lt;&gt;")=0,"",SUMIFS(BD!$W$3:$W$5001,BD!$B$3:$B$5001,L$175,BD!$A$3:$A$5001,_xlfn.MAXIFS(BD!$A$3:$A$5001,BD!$B$3:$B$5001,L$175,BD!$A$3:$A$5001,"&gt;="&amp;$C$7,BD!$A$3:$A$5001,"&lt;="&amp;$B193,BD!$W$3:$W$5001,"&lt;&gt;"))))</f>
        <v/>
      </c>
      <c r="M193" s="54" t="str">
        <f>IF(OR($B193="",$A193&gt;$B$9,M$175=""),"",IF(COUNTIFS(BD!$B$3:$B$5001,M$175,BD!$A$3:$A$5001,"&gt;="&amp;$C$7,BD!$A$3:$A$5001,"&lt;="&amp;$B193,BD!$W$3:$W$5001,"&lt;&gt;")=0,"",SUMIFS(BD!$W$3:$W$5001,BD!$B$3:$B$5001,M$175,BD!$A$3:$A$5001,_xlfn.MAXIFS(BD!$A$3:$A$5001,BD!$B$3:$B$5001,M$175,BD!$A$3:$A$5001,"&gt;="&amp;$C$7,BD!$A$3:$A$5001,"&lt;="&amp;$B193,BD!$W$3:$W$5001,"&lt;&gt;"))))</f>
        <v/>
      </c>
      <c r="N193" s="54" t="str">
        <f>IF(OR($B193="",$A193&gt;$B$9,N$175=""),"",IF(COUNTIFS(BD!$B$3:$B$5001,N$175,BD!$A$3:$A$5001,"&gt;="&amp;$C$7,BD!$A$3:$A$5001,"&lt;="&amp;$B193,BD!$W$3:$W$5001,"&lt;&gt;")=0,"",SUMIFS(BD!$W$3:$W$5001,BD!$B$3:$B$5001,N$175,BD!$A$3:$A$5001,_xlfn.MAXIFS(BD!$A$3:$A$5001,BD!$B$3:$B$5001,N$175,BD!$A$3:$A$5001,"&gt;="&amp;$C$7,BD!$A$3:$A$5001,"&lt;="&amp;$B193,BD!$W$3:$W$5001,"&lt;&gt;"))))</f>
        <v/>
      </c>
      <c r="O193" s="54" t="str">
        <f>IF(OR($B193="",$A193&gt;$B$9,O$175=""),"",IF(COUNTIFS(BD!$B$3:$B$5001,O$175,BD!$A$3:$A$5001,"&gt;="&amp;$C$7,BD!$A$3:$A$5001,"&lt;="&amp;$B193,BD!$W$3:$W$5001,"&lt;&gt;")=0,"",SUMIFS(BD!$W$3:$W$5001,BD!$B$3:$B$5001,O$175,BD!$A$3:$A$5001,_xlfn.MAXIFS(BD!$A$3:$A$5001,BD!$B$3:$B$5001,O$175,BD!$A$3:$A$5001,"&gt;="&amp;$C$7,BD!$A$3:$A$5001,"&lt;="&amp;$B193,BD!$W$3:$W$5001,"&lt;&gt;"))))</f>
        <v/>
      </c>
      <c r="P193" s="54" t="str">
        <f>IF(OR($B193="",$A193&gt;$B$9,P$175=""),"",IF(COUNTIFS(BD!$B$3:$B$5001,P$175,BD!$A$3:$A$5001,"&gt;="&amp;$C$7,BD!$A$3:$A$5001,"&lt;="&amp;$B193,BD!$W$3:$W$5001,"&lt;&gt;")=0,"",SUMIFS(BD!$W$3:$W$5001,BD!$B$3:$B$5001,P$175,BD!$A$3:$A$5001,_xlfn.MAXIFS(BD!$A$3:$A$5001,BD!$B$3:$B$5001,P$175,BD!$A$3:$A$5001,"&gt;="&amp;$C$7,BD!$A$3:$A$5001,"&lt;="&amp;$B193,BD!$W$3:$W$5001,"&lt;&gt;"))))</f>
        <v/>
      </c>
      <c r="Q193" s="54" t="str">
        <f>IF(OR($B193="",$A193&gt;$B$9,Q$175=""),"",IF(COUNTIFS(BD!$B$3:$B$5001,Q$175,BD!$A$3:$A$5001,"&gt;="&amp;$C$7,BD!$A$3:$A$5001,"&lt;="&amp;$B193,BD!$W$3:$W$5001,"&lt;&gt;")=0,"",SUMIFS(BD!$W$3:$W$5001,BD!$B$3:$B$5001,Q$175,BD!$A$3:$A$5001,_xlfn.MAXIFS(BD!$A$3:$A$5001,BD!$B$3:$B$5001,Q$175,BD!$A$3:$A$5001,"&gt;="&amp;$C$7,BD!$A$3:$A$5001,"&lt;="&amp;$B193,BD!$W$3:$W$5001,"&lt;&gt;"))))</f>
        <v/>
      </c>
      <c r="R193" s="54" t="str">
        <f>IF(OR($B193="",$A193&gt;$B$9,R$175=""),"",IF(COUNTIFS(BD!$B$3:$B$5001,R$175,BD!$A$3:$A$5001,"&gt;="&amp;$C$7,BD!$A$3:$A$5001,"&lt;="&amp;$B193,BD!$W$3:$W$5001,"&lt;&gt;")=0,"",SUMIFS(BD!$W$3:$W$5001,BD!$B$3:$B$5001,R$175,BD!$A$3:$A$5001,_xlfn.MAXIFS(BD!$A$3:$A$5001,BD!$B$3:$B$5001,R$175,BD!$A$3:$A$5001,"&gt;="&amp;$C$7,BD!$A$3:$A$5001,"&lt;="&amp;$B193,BD!$W$3:$W$5001,"&lt;&gt;"))))</f>
        <v/>
      </c>
      <c r="S193" s="54" t="str">
        <f>IF(OR($B193="",$A193&gt;$B$9,S$175=""),"",IF(COUNTIFS(BD!$B$3:$B$5001,S$175,BD!$A$3:$A$5001,"&gt;="&amp;$C$7,BD!$A$3:$A$5001,"&lt;="&amp;$B193,BD!$W$3:$W$5001,"&lt;&gt;")=0,"",SUMIFS(BD!$W$3:$W$5001,BD!$B$3:$B$5001,S$175,BD!$A$3:$A$5001,_xlfn.MAXIFS(BD!$A$3:$A$5001,BD!$B$3:$B$5001,S$175,BD!$A$3:$A$5001,"&gt;="&amp;$C$7,BD!$A$3:$A$5001,"&lt;="&amp;$B193,BD!$W$3:$W$5001,"&lt;&gt;"))))</f>
        <v/>
      </c>
      <c r="T193" s="54" t="str">
        <f>IF(OR($B193="",$A193&gt;$B$9,T$175=""),"",IF(COUNTIFS(BD!$B$3:$B$5001,T$175,BD!$A$3:$A$5001,"&gt;="&amp;$C$7,BD!$A$3:$A$5001,"&lt;="&amp;$B193,BD!$W$3:$W$5001,"&lt;&gt;")=0,"",SUMIFS(BD!$W$3:$W$5001,BD!$B$3:$B$5001,T$175,BD!$A$3:$A$5001,_xlfn.MAXIFS(BD!$A$3:$A$5001,BD!$B$3:$B$5001,T$175,BD!$A$3:$A$5001,"&gt;="&amp;$C$7,BD!$A$3:$A$5001,"&lt;="&amp;$B193,BD!$W$3:$W$5001,"&lt;&gt;"))))</f>
        <v/>
      </c>
      <c r="U193" s="54" t="str">
        <f>IF(OR($B193="",$A193&gt;$B$9,U$175=""),"",IF(COUNTIFS(BD!$B$3:$B$5001,U$175,BD!$A$3:$A$5001,"&gt;="&amp;$C$7,BD!$A$3:$A$5001,"&lt;="&amp;$B193,BD!$W$3:$W$5001,"&lt;&gt;")=0,"",SUMIFS(BD!$W$3:$W$5001,BD!$B$3:$B$5001,U$175,BD!$A$3:$A$5001,_xlfn.MAXIFS(BD!$A$3:$A$5001,BD!$B$3:$B$5001,U$175,BD!$A$3:$A$5001,"&gt;="&amp;$C$7,BD!$A$3:$A$5001,"&lt;="&amp;$B193,BD!$W$3:$W$5001,"&lt;&gt;"))))</f>
        <v/>
      </c>
      <c r="V193" s="54" t="str">
        <f>IF(OR($B193="",$A193&gt;$B$9,V$175=""),"",IF(COUNTIFS(BD!$B$3:$B$5001,V$175,BD!$A$3:$A$5001,"&gt;="&amp;$C$7,BD!$A$3:$A$5001,"&lt;="&amp;$B193,BD!$W$3:$W$5001,"&lt;&gt;")=0,"",SUMIFS(BD!$W$3:$W$5001,BD!$B$3:$B$5001,V$175,BD!$A$3:$A$5001,_xlfn.MAXIFS(BD!$A$3:$A$5001,BD!$B$3:$B$5001,V$175,BD!$A$3:$A$5001,"&gt;="&amp;$C$7,BD!$A$3:$A$5001,"&lt;="&amp;$B193,BD!$W$3:$W$5001,"&lt;&gt;"))))</f>
        <v/>
      </c>
    </row>
    <row r="194">
      <c r="A194" s="48">
        <v>19</v>
      </c>
      <c r="B194" s="53">
        <f>$B$30</f>
        <v>46314</v>
      </c>
      <c r="C194" s="54" t="str">
        <f>IF(OR($B194="",$A194&gt;$B$9,C$175=""),"",IF(COUNTIFS(BD!$B$3:$B$5001,C$175,BD!$A$3:$A$5001,"&gt;="&amp;$C$7,BD!$A$3:$A$5001,"&lt;="&amp;$B194,BD!$W$3:$W$5001,"&lt;&gt;")=0,"",SUMIFS(BD!$W$3:$W$5001,BD!$B$3:$B$5001,C$175,BD!$A$3:$A$5001,_xlfn.MAXIFS(BD!$A$3:$A$5001,BD!$B$3:$B$5001,C$175,BD!$A$3:$A$5001,"&gt;="&amp;$C$7,BD!$A$3:$A$5001,"&lt;="&amp;$B194,BD!$W$3:$W$5001,"&lt;&gt;"))))</f>
        <v/>
      </c>
      <c r="D194" s="54" t="str">
        <f>IF(OR($B194="",$A194&gt;$B$9,D$175=""),"",IF(COUNTIFS(BD!$B$3:$B$5001,D$175,BD!$A$3:$A$5001,"&gt;="&amp;$C$7,BD!$A$3:$A$5001,"&lt;="&amp;$B194,BD!$W$3:$W$5001,"&lt;&gt;")=0,"",SUMIFS(BD!$W$3:$W$5001,BD!$B$3:$B$5001,D$175,BD!$A$3:$A$5001,_xlfn.MAXIFS(BD!$A$3:$A$5001,BD!$B$3:$B$5001,D$175,BD!$A$3:$A$5001,"&gt;="&amp;$C$7,BD!$A$3:$A$5001,"&lt;="&amp;$B194,BD!$W$3:$W$5001,"&lt;&gt;"))))</f>
        <v/>
      </c>
      <c r="E194" s="54" t="str">
        <f>IF(OR($B194="",$A194&gt;$B$9,E$175=""),"",IF(COUNTIFS(BD!$B$3:$B$5001,E$175,BD!$A$3:$A$5001,"&gt;="&amp;$C$7,BD!$A$3:$A$5001,"&lt;="&amp;$B194,BD!$W$3:$W$5001,"&lt;&gt;")=0,"",SUMIFS(BD!$W$3:$W$5001,BD!$B$3:$B$5001,E$175,BD!$A$3:$A$5001,_xlfn.MAXIFS(BD!$A$3:$A$5001,BD!$B$3:$B$5001,E$175,BD!$A$3:$A$5001,"&gt;="&amp;$C$7,BD!$A$3:$A$5001,"&lt;="&amp;$B194,BD!$W$3:$W$5001,"&lt;&gt;"))))</f>
        <v/>
      </c>
      <c r="F194" s="54" t="str">
        <f>IF(OR($B194="",$A194&gt;$B$9,F$175=""),"",IF(COUNTIFS(BD!$B$3:$B$5001,F$175,BD!$A$3:$A$5001,"&gt;="&amp;$C$7,BD!$A$3:$A$5001,"&lt;="&amp;$B194,BD!$W$3:$W$5001,"&lt;&gt;")=0,"",SUMIFS(BD!$W$3:$W$5001,BD!$B$3:$B$5001,F$175,BD!$A$3:$A$5001,_xlfn.MAXIFS(BD!$A$3:$A$5001,BD!$B$3:$B$5001,F$175,BD!$A$3:$A$5001,"&gt;="&amp;$C$7,BD!$A$3:$A$5001,"&lt;="&amp;$B194,BD!$W$3:$W$5001,"&lt;&gt;"))))</f>
        <v/>
      </c>
      <c r="G194" s="54" t="str">
        <f>IF(OR($B194="",$A194&gt;$B$9,G$175=""),"",IF(COUNTIFS(BD!$B$3:$B$5001,G$175,BD!$A$3:$A$5001,"&gt;="&amp;$C$7,BD!$A$3:$A$5001,"&lt;="&amp;$B194,BD!$W$3:$W$5001,"&lt;&gt;")=0,"",SUMIFS(BD!$W$3:$W$5001,BD!$B$3:$B$5001,G$175,BD!$A$3:$A$5001,_xlfn.MAXIFS(BD!$A$3:$A$5001,BD!$B$3:$B$5001,G$175,BD!$A$3:$A$5001,"&gt;="&amp;$C$7,BD!$A$3:$A$5001,"&lt;="&amp;$B194,BD!$W$3:$W$5001,"&lt;&gt;"))))</f>
        <v/>
      </c>
      <c r="H194" s="54" t="str">
        <f>IF(OR($B194="",$A194&gt;$B$9,H$175=""),"",IF(COUNTIFS(BD!$B$3:$B$5001,H$175,BD!$A$3:$A$5001,"&gt;="&amp;$C$7,BD!$A$3:$A$5001,"&lt;="&amp;$B194,BD!$W$3:$W$5001,"&lt;&gt;")=0,"",SUMIFS(BD!$W$3:$W$5001,BD!$B$3:$B$5001,H$175,BD!$A$3:$A$5001,_xlfn.MAXIFS(BD!$A$3:$A$5001,BD!$B$3:$B$5001,H$175,BD!$A$3:$A$5001,"&gt;="&amp;$C$7,BD!$A$3:$A$5001,"&lt;="&amp;$B194,BD!$W$3:$W$5001,"&lt;&gt;"))))</f>
        <v/>
      </c>
      <c r="I194" s="54" t="str">
        <f>IF(OR($B194="",$A194&gt;$B$9,I$175=""),"",IF(COUNTIFS(BD!$B$3:$B$5001,I$175,BD!$A$3:$A$5001,"&gt;="&amp;$C$7,BD!$A$3:$A$5001,"&lt;="&amp;$B194,BD!$W$3:$W$5001,"&lt;&gt;")=0,"",SUMIFS(BD!$W$3:$W$5001,BD!$B$3:$B$5001,I$175,BD!$A$3:$A$5001,_xlfn.MAXIFS(BD!$A$3:$A$5001,BD!$B$3:$B$5001,I$175,BD!$A$3:$A$5001,"&gt;="&amp;$C$7,BD!$A$3:$A$5001,"&lt;="&amp;$B194,BD!$W$3:$W$5001,"&lt;&gt;"))))</f>
        <v/>
      </c>
      <c r="J194" s="54" t="str">
        <f>IF(OR($B194="",$A194&gt;$B$9,J$175=""),"",IF(COUNTIFS(BD!$B$3:$B$5001,J$175,BD!$A$3:$A$5001,"&gt;="&amp;$C$7,BD!$A$3:$A$5001,"&lt;="&amp;$B194,BD!$W$3:$W$5001,"&lt;&gt;")=0,"",SUMIFS(BD!$W$3:$W$5001,BD!$B$3:$B$5001,J$175,BD!$A$3:$A$5001,_xlfn.MAXIFS(BD!$A$3:$A$5001,BD!$B$3:$B$5001,J$175,BD!$A$3:$A$5001,"&gt;="&amp;$C$7,BD!$A$3:$A$5001,"&lt;="&amp;$B194,BD!$W$3:$W$5001,"&lt;&gt;"))))</f>
        <v/>
      </c>
      <c r="K194" s="54" t="str">
        <f>IF(OR($B194="",$A194&gt;$B$9,K$175=""),"",IF(COUNTIFS(BD!$B$3:$B$5001,K$175,BD!$A$3:$A$5001,"&gt;="&amp;$C$7,BD!$A$3:$A$5001,"&lt;="&amp;$B194,BD!$W$3:$W$5001,"&lt;&gt;")=0,"",SUMIFS(BD!$W$3:$W$5001,BD!$B$3:$B$5001,K$175,BD!$A$3:$A$5001,_xlfn.MAXIFS(BD!$A$3:$A$5001,BD!$B$3:$B$5001,K$175,BD!$A$3:$A$5001,"&gt;="&amp;$C$7,BD!$A$3:$A$5001,"&lt;="&amp;$B194,BD!$W$3:$W$5001,"&lt;&gt;"))))</f>
        <v/>
      </c>
      <c r="L194" s="54" t="str">
        <f>IF(OR($B194="",$A194&gt;$B$9,L$175=""),"",IF(COUNTIFS(BD!$B$3:$B$5001,L$175,BD!$A$3:$A$5001,"&gt;="&amp;$C$7,BD!$A$3:$A$5001,"&lt;="&amp;$B194,BD!$W$3:$W$5001,"&lt;&gt;")=0,"",SUMIFS(BD!$W$3:$W$5001,BD!$B$3:$B$5001,L$175,BD!$A$3:$A$5001,_xlfn.MAXIFS(BD!$A$3:$A$5001,BD!$B$3:$B$5001,L$175,BD!$A$3:$A$5001,"&gt;="&amp;$C$7,BD!$A$3:$A$5001,"&lt;="&amp;$B194,BD!$W$3:$W$5001,"&lt;&gt;"))))</f>
        <v/>
      </c>
      <c r="M194" s="54" t="str">
        <f>IF(OR($B194="",$A194&gt;$B$9,M$175=""),"",IF(COUNTIFS(BD!$B$3:$B$5001,M$175,BD!$A$3:$A$5001,"&gt;="&amp;$C$7,BD!$A$3:$A$5001,"&lt;="&amp;$B194,BD!$W$3:$W$5001,"&lt;&gt;")=0,"",SUMIFS(BD!$W$3:$W$5001,BD!$B$3:$B$5001,M$175,BD!$A$3:$A$5001,_xlfn.MAXIFS(BD!$A$3:$A$5001,BD!$B$3:$B$5001,M$175,BD!$A$3:$A$5001,"&gt;="&amp;$C$7,BD!$A$3:$A$5001,"&lt;="&amp;$B194,BD!$W$3:$W$5001,"&lt;&gt;"))))</f>
        <v/>
      </c>
      <c r="N194" s="54" t="str">
        <f>IF(OR($B194="",$A194&gt;$B$9,N$175=""),"",IF(COUNTIFS(BD!$B$3:$B$5001,N$175,BD!$A$3:$A$5001,"&gt;="&amp;$C$7,BD!$A$3:$A$5001,"&lt;="&amp;$B194,BD!$W$3:$W$5001,"&lt;&gt;")=0,"",SUMIFS(BD!$W$3:$W$5001,BD!$B$3:$B$5001,N$175,BD!$A$3:$A$5001,_xlfn.MAXIFS(BD!$A$3:$A$5001,BD!$B$3:$B$5001,N$175,BD!$A$3:$A$5001,"&gt;="&amp;$C$7,BD!$A$3:$A$5001,"&lt;="&amp;$B194,BD!$W$3:$W$5001,"&lt;&gt;"))))</f>
        <v/>
      </c>
      <c r="O194" s="54" t="str">
        <f>IF(OR($B194="",$A194&gt;$B$9,O$175=""),"",IF(COUNTIFS(BD!$B$3:$B$5001,O$175,BD!$A$3:$A$5001,"&gt;="&amp;$C$7,BD!$A$3:$A$5001,"&lt;="&amp;$B194,BD!$W$3:$W$5001,"&lt;&gt;")=0,"",SUMIFS(BD!$W$3:$W$5001,BD!$B$3:$B$5001,O$175,BD!$A$3:$A$5001,_xlfn.MAXIFS(BD!$A$3:$A$5001,BD!$B$3:$B$5001,O$175,BD!$A$3:$A$5001,"&gt;="&amp;$C$7,BD!$A$3:$A$5001,"&lt;="&amp;$B194,BD!$W$3:$W$5001,"&lt;&gt;"))))</f>
        <v/>
      </c>
      <c r="P194" s="54" t="str">
        <f>IF(OR($B194="",$A194&gt;$B$9,P$175=""),"",IF(COUNTIFS(BD!$B$3:$B$5001,P$175,BD!$A$3:$A$5001,"&gt;="&amp;$C$7,BD!$A$3:$A$5001,"&lt;="&amp;$B194,BD!$W$3:$W$5001,"&lt;&gt;")=0,"",SUMIFS(BD!$W$3:$W$5001,BD!$B$3:$B$5001,P$175,BD!$A$3:$A$5001,_xlfn.MAXIFS(BD!$A$3:$A$5001,BD!$B$3:$B$5001,P$175,BD!$A$3:$A$5001,"&gt;="&amp;$C$7,BD!$A$3:$A$5001,"&lt;="&amp;$B194,BD!$W$3:$W$5001,"&lt;&gt;"))))</f>
        <v/>
      </c>
      <c r="Q194" s="54" t="str">
        <f>IF(OR($B194="",$A194&gt;$B$9,Q$175=""),"",IF(COUNTIFS(BD!$B$3:$B$5001,Q$175,BD!$A$3:$A$5001,"&gt;="&amp;$C$7,BD!$A$3:$A$5001,"&lt;="&amp;$B194,BD!$W$3:$W$5001,"&lt;&gt;")=0,"",SUMIFS(BD!$W$3:$W$5001,BD!$B$3:$B$5001,Q$175,BD!$A$3:$A$5001,_xlfn.MAXIFS(BD!$A$3:$A$5001,BD!$B$3:$B$5001,Q$175,BD!$A$3:$A$5001,"&gt;="&amp;$C$7,BD!$A$3:$A$5001,"&lt;="&amp;$B194,BD!$W$3:$W$5001,"&lt;&gt;"))))</f>
        <v/>
      </c>
      <c r="R194" s="54" t="str">
        <f>IF(OR($B194="",$A194&gt;$B$9,R$175=""),"",IF(COUNTIFS(BD!$B$3:$B$5001,R$175,BD!$A$3:$A$5001,"&gt;="&amp;$C$7,BD!$A$3:$A$5001,"&lt;="&amp;$B194,BD!$W$3:$W$5001,"&lt;&gt;")=0,"",SUMIFS(BD!$W$3:$W$5001,BD!$B$3:$B$5001,R$175,BD!$A$3:$A$5001,_xlfn.MAXIFS(BD!$A$3:$A$5001,BD!$B$3:$B$5001,R$175,BD!$A$3:$A$5001,"&gt;="&amp;$C$7,BD!$A$3:$A$5001,"&lt;="&amp;$B194,BD!$W$3:$W$5001,"&lt;&gt;"))))</f>
        <v/>
      </c>
      <c r="S194" s="54" t="str">
        <f>IF(OR($B194="",$A194&gt;$B$9,S$175=""),"",IF(COUNTIFS(BD!$B$3:$B$5001,S$175,BD!$A$3:$A$5001,"&gt;="&amp;$C$7,BD!$A$3:$A$5001,"&lt;="&amp;$B194,BD!$W$3:$W$5001,"&lt;&gt;")=0,"",SUMIFS(BD!$W$3:$W$5001,BD!$B$3:$B$5001,S$175,BD!$A$3:$A$5001,_xlfn.MAXIFS(BD!$A$3:$A$5001,BD!$B$3:$B$5001,S$175,BD!$A$3:$A$5001,"&gt;="&amp;$C$7,BD!$A$3:$A$5001,"&lt;="&amp;$B194,BD!$W$3:$W$5001,"&lt;&gt;"))))</f>
        <v/>
      </c>
      <c r="T194" s="54" t="str">
        <f>IF(OR($B194="",$A194&gt;$B$9,T$175=""),"",IF(COUNTIFS(BD!$B$3:$B$5001,T$175,BD!$A$3:$A$5001,"&gt;="&amp;$C$7,BD!$A$3:$A$5001,"&lt;="&amp;$B194,BD!$W$3:$W$5001,"&lt;&gt;")=0,"",SUMIFS(BD!$W$3:$W$5001,BD!$B$3:$B$5001,T$175,BD!$A$3:$A$5001,_xlfn.MAXIFS(BD!$A$3:$A$5001,BD!$B$3:$B$5001,T$175,BD!$A$3:$A$5001,"&gt;="&amp;$C$7,BD!$A$3:$A$5001,"&lt;="&amp;$B194,BD!$W$3:$W$5001,"&lt;&gt;"))))</f>
        <v/>
      </c>
      <c r="U194" s="54" t="str">
        <f>IF(OR($B194="",$A194&gt;$B$9,U$175=""),"",IF(COUNTIFS(BD!$B$3:$B$5001,U$175,BD!$A$3:$A$5001,"&gt;="&amp;$C$7,BD!$A$3:$A$5001,"&lt;="&amp;$B194,BD!$W$3:$W$5001,"&lt;&gt;")=0,"",SUMIFS(BD!$W$3:$W$5001,BD!$B$3:$B$5001,U$175,BD!$A$3:$A$5001,_xlfn.MAXIFS(BD!$A$3:$A$5001,BD!$B$3:$B$5001,U$175,BD!$A$3:$A$5001,"&gt;="&amp;$C$7,BD!$A$3:$A$5001,"&lt;="&amp;$B194,BD!$W$3:$W$5001,"&lt;&gt;"))))</f>
        <v/>
      </c>
      <c r="V194" s="54" t="str">
        <f>IF(OR($B194="",$A194&gt;$B$9,V$175=""),"",IF(COUNTIFS(BD!$B$3:$B$5001,V$175,BD!$A$3:$A$5001,"&gt;="&amp;$C$7,BD!$A$3:$A$5001,"&lt;="&amp;$B194,BD!$W$3:$W$5001,"&lt;&gt;")=0,"",SUMIFS(BD!$W$3:$W$5001,BD!$B$3:$B$5001,V$175,BD!$A$3:$A$5001,_xlfn.MAXIFS(BD!$A$3:$A$5001,BD!$B$3:$B$5001,V$175,BD!$A$3:$A$5001,"&gt;="&amp;$C$7,BD!$A$3:$A$5001,"&lt;="&amp;$B194,BD!$W$3:$W$5001,"&lt;&gt;"))))</f>
        <v/>
      </c>
    </row>
    <row r="195">
      <c r="A195" s="48">
        <v>20</v>
      </c>
      <c r="B195" s="53">
        <f>$B$31</f>
        <v>46315</v>
      </c>
      <c r="C195" s="54" t="str">
        <f>IF(OR($B195="",$A195&gt;$B$9,C$175=""),"",IF(COUNTIFS(BD!$B$3:$B$5001,C$175,BD!$A$3:$A$5001,"&gt;="&amp;$C$7,BD!$A$3:$A$5001,"&lt;="&amp;$B195,BD!$W$3:$W$5001,"&lt;&gt;")=0,"",SUMIFS(BD!$W$3:$W$5001,BD!$B$3:$B$5001,C$175,BD!$A$3:$A$5001,_xlfn.MAXIFS(BD!$A$3:$A$5001,BD!$B$3:$B$5001,C$175,BD!$A$3:$A$5001,"&gt;="&amp;$C$7,BD!$A$3:$A$5001,"&lt;="&amp;$B195,BD!$W$3:$W$5001,"&lt;&gt;"))))</f>
        <v/>
      </c>
      <c r="D195" s="54" t="str">
        <f>IF(OR($B195="",$A195&gt;$B$9,D$175=""),"",IF(COUNTIFS(BD!$B$3:$B$5001,D$175,BD!$A$3:$A$5001,"&gt;="&amp;$C$7,BD!$A$3:$A$5001,"&lt;="&amp;$B195,BD!$W$3:$W$5001,"&lt;&gt;")=0,"",SUMIFS(BD!$W$3:$W$5001,BD!$B$3:$B$5001,D$175,BD!$A$3:$A$5001,_xlfn.MAXIFS(BD!$A$3:$A$5001,BD!$B$3:$B$5001,D$175,BD!$A$3:$A$5001,"&gt;="&amp;$C$7,BD!$A$3:$A$5001,"&lt;="&amp;$B195,BD!$W$3:$W$5001,"&lt;&gt;"))))</f>
        <v/>
      </c>
      <c r="E195" s="54" t="str">
        <f>IF(OR($B195="",$A195&gt;$B$9,E$175=""),"",IF(COUNTIFS(BD!$B$3:$B$5001,E$175,BD!$A$3:$A$5001,"&gt;="&amp;$C$7,BD!$A$3:$A$5001,"&lt;="&amp;$B195,BD!$W$3:$W$5001,"&lt;&gt;")=0,"",SUMIFS(BD!$W$3:$W$5001,BD!$B$3:$B$5001,E$175,BD!$A$3:$A$5001,_xlfn.MAXIFS(BD!$A$3:$A$5001,BD!$B$3:$B$5001,E$175,BD!$A$3:$A$5001,"&gt;="&amp;$C$7,BD!$A$3:$A$5001,"&lt;="&amp;$B195,BD!$W$3:$W$5001,"&lt;&gt;"))))</f>
        <v/>
      </c>
      <c r="F195" s="54" t="str">
        <f>IF(OR($B195="",$A195&gt;$B$9,F$175=""),"",IF(COUNTIFS(BD!$B$3:$B$5001,F$175,BD!$A$3:$A$5001,"&gt;="&amp;$C$7,BD!$A$3:$A$5001,"&lt;="&amp;$B195,BD!$W$3:$W$5001,"&lt;&gt;")=0,"",SUMIFS(BD!$W$3:$W$5001,BD!$B$3:$B$5001,F$175,BD!$A$3:$A$5001,_xlfn.MAXIFS(BD!$A$3:$A$5001,BD!$B$3:$B$5001,F$175,BD!$A$3:$A$5001,"&gt;="&amp;$C$7,BD!$A$3:$A$5001,"&lt;="&amp;$B195,BD!$W$3:$W$5001,"&lt;&gt;"))))</f>
        <v/>
      </c>
      <c r="G195" s="54" t="str">
        <f>IF(OR($B195="",$A195&gt;$B$9,G$175=""),"",IF(COUNTIFS(BD!$B$3:$B$5001,G$175,BD!$A$3:$A$5001,"&gt;="&amp;$C$7,BD!$A$3:$A$5001,"&lt;="&amp;$B195,BD!$W$3:$W$5001,"&lt;&gt;")=0,"",SUMIFS(BD!$W$3:$W$5001,BD!$B$3:$B$5001,G$175,BD!$A$3:$A$5001,_xlfn.MAXIFS(BD!$A$3:$A$5001,BD!$B$3:$B$5001,G$175,BD!$A$3:$A$5001,"&gt;="&amp;$C$7,BD!$A$3:$A$5001,"&lt;="&amp;$B195,BD!$W$3:$W$5001,"&lt;&gt;"))))</f>
        <v/>
      </c>
      <c r="H195" s="54" t="str">
        <f>IF(OR($B195="",$A195&gt;$B$9,H$175=""),"",IF(COUNTIFS(BD!$B$3:$B$5001,H$175,BD!$A$3:$A$5001,"&gt;="&amp;$C$7,BD!$A$3:$A$5001,"&lt;="&amp;$B195,BD!$W$3:$W$5001,"&lt;&gt;")=0,"",SUMIFS(BD!$W$3:$W$5001,BD!$B$3:$B$5001,H$175,BD!$A$3:$A$5001,_xlfn.MAXIFS(BD!$A$3:$A$5001,BD!$B$3:$B$5001,H$175,BD!$A$3:$A$5001,"&gt;="&amp;$C$7,BD!$A$3:$A$5001,"&lt;="&amp;$B195,BD!$W$3:$W$5001,"&lt;&gt;"))))</f>
        <v/>
      </c>
      <c r="I195" s="54" t="str">
        <f>IF(OR($B195="",$A195&gt;$B$9,I$175=""),"",IF(COUNTIFS(BD!$B$3:$B$5001,I$175,BD!$A$3:$A$5001,"&gt;="&amp;$C$7,BD!$A$3:$A$5001,"&lt;="&amp;$B195,BD!$W$3:$W$5001,"&lt;&gt;")=0,"",SUMIFS(BD!$W$3:$W$5001,BD!$B$3:$B$5001,I$175,BD!$A$3:$A$5001,_xlfn.MAXIFS(BD!$A$3:$A$5001,BD!$B$3:$B$5001,I$175,BD!$A$3:$A$5001,"&gt;="&amp;$C$7,BD!$A$3:$A$5001,"&lt;="&amp;$B195,BD!$W$3:$W$5001,"&lt;&gt;"))))</f>
        <v/>
      </c>
      <c r="J195" s="54" t="str">
        <f>IF(OR($B195="",$A195&gt;$B$9,J$175=""),"",IF(COUNTIFS(BD!$B$3:$B$5001,J$175,BD!$A$3:$A$5001,"&gt;="&amp;$C$7,BD!$A$3:$A$5001,"&lt;="&amp;$B195,BD!$W$3:$W$5001,"&lt;&gt;")=0,"",SUMIFS(BD!$W$3:$W$5001,BD!$B$3:$B$5001,J$175,BD!$A$3:$A$5001,_xlfn.MAXIFS(BD!$A$3:$A$5001,BD!$B$3:$B$5001,J$175,BD!$A$3:$A$5001,"&gt;="&amp;$C$7,BD!$A$3:$A$5001,"&lt;="&amp;$B195,BD!$W$3:$W$5001,"&lt;&gt;"))))</f>
        <v/>
      </c>
      <c r="K195" s="54" t="str">
        <f>IF(OR($B195="",$A195&gt;$B$9,K$175=""),"",IF(COUNTIFS(BD!$B$3:$B$5001,K$175,BD!$A$3:$A$5001,"&gt;="&amp;$C$7,BD!$A$3:$A$5001,"&lt;="&amp;$B195,BD!$W$3:$W$5001,"&lt;&gt;")=0,"",SUMIFS(BD!$W$3:$W$5001,BD!$B$3:$B$5001,K$175,BD!$A$3:$A$5001,_xlfn.MAXIFS(BD!$A$3:$A$5001,BD!$B$3:$B$5001,K$175,BD!$A$3:$A$5001,"&gt;="&amp;$C$7,BD!$A$3:$A$5001,"&lt;="&amp;$B195,BD!$W$3:$W$5001,"&lt;&gt;"))))</f>
        <v/>
      </c>
      <c r="L195" s="54" t="str">
        <f>IF(OR($B195="",$A195&gt;$B$9,L$175=""),"",IF(COUNTIFS(BD!$B$3:$B$5001,L$175,BD!$A$3:$A$5001,"&gt;="&amp;$C$7,BD!$A$3:$A$5001,"&lt;="&amp;$B195,BD!$W$3:$W$5001,"&lt;&gt;")=0,"",SUMIFS(BD!$W$3:$W$5001,BD!$B$3:$B$5001,L$175,BD!$A$3:$A$5001,_xlfn.MAXIFS(BD!$A$3:$A$5001,BD!$B$3:$B$5001,L$175,BD!$A$3:$A$5001,"&gt;="&amp;$C$7,BD!$A$3:$A$5001,"&lt;="&amp;$B195,BD!$W$3:$W$5001,"&lt;&gt;"))))</f>
        <v/>
      </c>
      <c r="M195" s="54" t="str">
        <f>IF(OR($B195="",$A195&gt;$B$9,M$175=""),"",IF(COUNTIFS(BD!$B$3:$B$5001,M$175,BD!$A$3:$A$5001,"&gt;="&amp;$C$7,BD!$A$3:$A$5001,"&lt;="&amp;$B195,BD!$W$3:$W$5001,"&lt;&gt;")=0,"",SUMIFS(BD!$W$3:$W$5001,BD!$B$3:$B$5001,M$175,BD!$A$3:$A$5001,_xlfn.MAXIFS(BD!$A$3:$A$5001,BD!$B$3:$B$5001,M$175,BD!$A$3:$A$5001,"&gt;="&amp;$C$7,BD!$A$3:$A$5001,"&lt;="&amp;$B195,BD!$W$3:$W$5001,"&lt;&gt;"))))</f>
        <v/>
      </c>
      <c r="N195" s="54" t="str">
        <f>IF(OR($B195="",$A195&gt;$B$9,N$175=""),"",IF(COUNTIFS(BD!$B$3:$B$5001,N$175,BD!$A$3:$A$5001,"&gt;="&amp;$C$7,BD!$A$3:$A$5001,"&lt;="&amp;$B195,BD!$W$3:$W$5001,"&lt;&gt;")=0,"",SUMIFS(BD!$W$3:$W$5001,BD!$B$3:$B$5001,N$175,BD!$A$3:$A$5001,_xlfn.MAXIFS(BD!$A$3:$A$5001,BD!$B$3:$B$5001,N$175,BD!$A$3:$A$5001,"&gt;="&amp;$C$7,BD!$A$3:$A$5001,"&lt;="&amp;$B195,BD!$W$3:$W$5001,"&lt;&gt;"))))</f>
        <v/>
      </c>
      <c r="O195" s="54" t="str">
        <f>IF(OR($B195="",$A195&gt;$B$9,O$175=""),"",IF(COUNTIFS(BD!$B$3:$B$5001,O$175,BD!$A$3:$A$5001,"&gt;="&amp;$C$7,BD!$A$3:$A$5001,"&lt;="&amp;$B195,BD!$W$3:$W$5001,"&lt;&gt;")=0,"",SUMIFS(BD!$W$3:$W$5001,BD!$B$3:$B$5001,O$175,BD!$A$3:$A$5001,_xlfn.MAXIFS(BD!$A$3:$A$5001,BD!$B$3:$B$5001,O$175,BD!$A$3:$A$5001,"&gt;="&amp;$C$7,BD!$A$3:$A$5001,"&lt;="&amp;$B195,BD!$W$3:$W$5001,"&lt;&gt;"))))</f>
        <v/>
      </c>
      <c r="P195" s="54" t="str">
        <f>IF(OR($B195="",$A195&gt;$B$9,P$175=""),"",IF(COUNTIFS(BD!$B$3:$B$5001,P$175,BD!$A$3:$A$5001,"&gt;="&amp;$C$7,BD!$A$3:$A$5001,"&lt;="&amp;$B195,BD!$W$3:$W$5001,"&lt;&gt;")=0,"",SUMIFS(BD!$W$3:$W$5001,BD!$B$3:$B$5001,P$175,BD!$A$3:$A$5001,_xlfn.MAXIFS(BD!$A$3:$A$5001,BD!$B$3:$B$5001,P$175,BD!$A$3:$A$5001,"&gt;="&amp;$C$7,BD!$A$3:$A$5001,"&lt;="&amp;$B195,BD!$W$3:$W$5001,"&lt;&gt;"))))</f>
        <v/>
      </c>
      <c r="Q195" s="54" t="str">
        <f>IF(OR($B195="",$A195&gt;$B$9,Q$175=""),"",IF(COUNTIFS(BD!$B$3:$B$5001,Q$175,BD!$A$3:$A$5001,"&gt;="&amp;$C$7,BD!$A$3:$A$5001,"&lt;="&amp;$B195,BD!$W$3:$W$5001,"&lt;&gt;")=0,"",SUMIFS(BD!$W$3:$W$5001,BD!$B$3:$B$5001,Q$175,BD!$A$3:$A$5001,_xlfn.MAXIFS(BD!$A$3:$A$5001,BD!$B$3:$B$5001,Q$175,BD!$A$3:$A$5001,"&gt;="&amp;$C$7,BD!$A$3:$A$5001,"&lt;="&amp;$B195,BD!$W$3:$W$5001,"&lt;&gt;"))))</f>
        <v/>
      </c>
      <c r="R195" s="54" t="str">
        <f>IF(OR($B195="",$A195&gt;$B$9,R$175=""),"",IF(COUNTIFS(BD!$B$3:$B$5001,R$175,BD!$A$3:$A$5001,"&gt;="&amp;$C$7,BD!$A$3:$A$5001,"&lt;="&amp;$B195,BD!$W$3:$W$5001,"&lt;&gt;")=0,"",SUMIFS(BD!$W$3:$W$5001,BD!$B$3:$B$5001,R$175,BD!$A$3:$A$5001,_xlfn.MAXIFS(BD!$A$3:$A$5001,BD!$B$3:$B$5001,R$175,BD!$A$3:$A$5001,"&gt;="&amp;$C$7,BD!$A$3:$A$5001,"&lt;="&amp;$B195,BD!$W$3:$W$5001,"&lt;&gt;"))))</f>
        <v/>
      </c>
      <c r="S195" s="54" t="str">
        <f>IF(OR($B195="",$A195&gt;$B$9,S$175=""),"",IF(COUNTIFS(BD!$B$3:$B$5001,S$175,BD!$A$3:$A$5001,"&gt;="&amp;$C$7,BD!$A$3:$A$5001,"&lt;="&amp;$B195,BD!$W$3:$W$5001,"&lt;&gt;")=0,"",SUMIFS(BD!$W$3:$W$5001,BD!$B$3:$B$5001,S$175,BD!$A$3:$A$5001,_xlfn.MAXIFS(BD!$A$3:$A$5001,BD!$B$3:$B$5001,S$175,BD!$A$3:$A$5001,"&gt;="&amp;$C$7,BD!$A$3:$A$5001,"&lt;="&amp;$B195,BD!$W$3:$W$5001,"&lt;&gt;"))))</f>
        <v/>
      </c>
      <c r="T195" s="54" t="str">
        <f>IF(OR($B195="",$A195&gt;$B$9,T$175=""),"",IF(COUNTIFS(BD!$B$3:$B$5001,T$175,BD!$A$3:$A$5001,"&gt;="&amp;$C$7,BD!$A$3:$A$5001,"&lt;="&amp;$B195,BD!$W$3:$W$5001,"&lt;&gt;")=0,"",SUMIFS(BD!$W$3:$W$5001,BD!$B$3:$B$5001,T$175,BD!$A$3:$A$5001,_xlfn.MAXIFS(BD!$A$3:$A$5001,BD!$B$3:$B$5001,T$175,BD!$A$3:$A$5001,"&gt;="&amp;$C$7,BD!$A$3:$A$5001,"&lt;="&amp;$B195,BD!$W$3:$W$5001,"&lt;&gt;"))))</f>
        <v/>
      </c>
      <c r="U195" s="54" t="str">
        <f>IF(OR($B195="",$A195&gt;$B$9,U$175=""),"",IF(COUNTIFS(BD!$B$3:$B$5001,U$175,BD!$A$3:$A$5001,"&gt;="&amp;$C$7,BD!$A$3:$A$5001,"&lt;="&amp;$B195,BD!$W$3:$W$5001,"&lt;&gt;")=0,"",SUMIFS(BD!$W$3:$W$5001,BD!$B$3:$B$5001,U$175,BD!$A$3:$A$5001,_xlfn.MAXIFS(BD!$A$3:$A$5001,BD!$B$3:$B$5001,U$175,BD!$A$3:$A$5001,"&gt;="&amp;$C$7,BD!$A$3:$A$5001,"&lt;="&amp;$B195,BD!$W$3:$W$5001,"&lt;&gt;"))))</f>
        <v/>
      </c>
      <c r="V195" s="54" t="str">
        <f>IF(OR($B195="",$A195&gt;$B$9,V$175=""),"",IF(COUNTIFS(BD!$B$3:$B$5001,V$175,BD!$A$3:$A$5001,"&gt;="&amp;$C$7,BD!$A$3:$A$5001,"&lt;="&amp;$B195,BD!$W$3:$W$5001,"&lt;&gt;")=0,"",SUMIFS(BD!$W$3:$W$5001,BD!$B$3:$B$5001,V$175,BD!$A$3:$A$5001,_xlfn.MAXIFS(BD!$A$3:$A$5001,BD!$B$3:$B$5001,V$175,BD!$A$3:$A$5001,"&gt;="&amp;$C$7,BD!$A$3:$A$5001,"&lt;="&amp;$B195,BD!$W$3:$W$5001,"&lt;&gt;"))))</f>
        <v/>
      </c>
    </row>
    <row r="196">
      <c r="A196" s="48">
        <v>21</v>
      </c>
      <c r="B196" s="53">
        <f>$B$32</f>
        <v>46316</v>
      </c>
      <c r="C196" s="54" t="str">
        <f>IF(OR($B196="",$A196&gt;$B$9,C$175=""),"",IF(COUNTIFS(BD!$B$3:$B$5001,C$175,BD!$A$3:$A$5001,"&gt;="&amp;$C$7,BD!$A$3:$A$5001,"&lt;="&amp;$B196,BD!$W$3:$W$5001,"&lt;&gt;")=0,"",SUMIFS(BD!$W$3:$W$5001,BD!$B$3:$B$5001,C$175,BD!$A$3:$A$5001,_xlfn.MAXIFS(BD!$A$3:$A$5001,BD!$B$3:$B$5001,C$175,BD!$A$3:$A$5001,"&gt;="&amp;$C$7,BD!$A$3:$A$5001,"&lt;="&amp;$B196,BD!$W$3:$W$5001,"&lt;&gt;"))))</f>
        <v/>
      </c>
      <c r="D196" s="54" t="str">
        <f>IF(OR($B196="",$A196&gt;$B$9,D$175=""),"",IF(COUNTIFS(BD!$B$3:$B$5001,D$175,BD!$A$3:$A$5001,"&gt;="&amp;$C$7,BD!$A$3:$A$5001,"&lt;="&amp;$B196,BD!$W$3:$W$5001,"&lt;&gt;")=0,"",SUMIFS(BD!$W$3:$W$5001,BD!$B$3:$B$5001,D$175,BD!$A$3:$A$5001,_xlfn.MAXIFS(BD!$A$3:$A$5001,BD!$B$3:$B$5001,D$175,BD!$A$3:$A$5001,"&gt;="&amp;$C$7,BD!$A$3:$A$5001,"&lt;="&amp;$B196,BD!$W$3:$W$5001,"&lt;&gt;"))))</f>
        <v/>
      </c>
      <c r="E196" s="54" t="str">
        <f>IF(OR($B196="",$A196&gt;$B$9,E$175=""),"",IF(COUNTIFS(BD!$B$3:$B$5001,E$175,BD!$A$3:$A$5001,"&gt;="&amp;$C$7,BD!$A$3:$A$5001,"&lt;="&amp;$B196,BD!$W$3:$W$5001,"&lt;&gt;")=0,"",SUMIFS(BD!$W$3:$W$5001,BD!$B$3:$B$5001,E$175,BD!$A$3:$A$5001,_xlfn.MAXIFS(BD!$A$3:$A$5001,BD!$B$3:$B$5001,E$175,BD!$A$3:$A$5001,"&gt;="&amp;$C$7,BD!$A$3:$A$5001,"&lt;="&amp;$B196,BD!$W$3:$W$5001,"&lt;&gt;"))))</f>
        <v/>
      </c>
      <c r="F196" s="54" t="str">
        <f>IF(OR($B196="",$A196&gt;$B$9,F$175=""),"",IF(COUNTIFS(BD!$B$3:$B$5001,F$175,BD!$A$3:$A$5001,"&gt;="&amp;$C$7,BD!$A$3:$A$5001,"&lt;="&amp;$B196,BD!$W$3:$W$5001,"&lt;&gt;")=0,"",SUMIFS(BD!$W$3:$W$5001,BD!$B$3:$B$5001,F$175,BD!$A$3:$A$5001,_xlfn.MAXIFS(BD!$A$3:$A$5001,BD!$B$3:$B$5001,F$175,BD!$A$3:$A$5001,"&gt;="&amp;$C$7,BD!$A$3:$A$5001,"&lt;="&amp;$B196,BD!$W$3:$W$5001,"&lt;&gt;"))))</f>
        <v/>
      </c>
      <c r="G196" s="54" t="str">
        <f>IF(OR($B196="",$A196&gt;$B$9,G$175=""),"",IF(COUNTIFS(BD!$B$3:$B$5001,G$175,BD!$A$3:$A$5001,"&gt;="&amp;$C$7,BD!$A$3:$A$5001,"&lt;="&amp;$B196,BD!$W$3:$W$5001,"&lt;&gt;")=0,"",SUMIFS(BD!$W$3:$W$5001,BD!$B$3:$B$5001,G$175,BD!$A$3:$A$5001,_xlfn.MAXIFS(BD!$A$3:$A$5001,BD!$B$3:$B$5001,G$175,BD!$A$3:$A$5001,"&gt;="&amp;$C$7,BD!$A$3:$A$5001,"&lt;="&amp;$B196,BD!$W$3:$W$5001,"&lt;&gt;"))))</f>
        <v/>
      </c>
      <c r="H196" s="54" t="str">
        <f>IF(OR($B196="",$A196&gt;$B$9,H$175=""),"",IF(COUNTIFS(BD!$B$3:$B$5001,H$175,BD!$A$3:$A$5001,"&gt;="&amp;$C$7,BD!$A$3:$A$5001,"&lt;="&amp;$B196,BD!$W$3:$W$5001,"&lt;&gt;")=0,"",SUMIFS(BD!$W$3:$W$5001,BD!$B$3:$B$5001,H$175,BD!$A$3:$A$5001,_xlfn.MAXIFS(BD!$A$3:$A$5001,BD!$B$3:$B$5001,H$175,BD!$A$3:$A$5001,"&gt;="&amp;$C$7,BD!$A$3:$A$5001,"&lt;="&amp;$B196,BD!$W$3:$W$5001,"&lt;&gt;"))))</f>
        <v/>
      </c>
      <c r="I196" s="54" t="str">
        <f>IF(OR($B196="",$A196&gt;$B$9,I$175=""),"",IF(COUNTIFS(BD!$B$3:$B$5001,I$175,BD!$A$3:$A$5001,"&gt;="&amp;$C$7,BD!$A$3:$A$5001,"&lt;="&amp;$B196,BD!$W$3:$W$5001,"&lt;&gt;")=0,"",SUMIFS(BD!$W$3:$W$5001,BD!$B$3:$B$5001,I$175,BD!$A$3:$A$5001,_xlfn.MAXIFS(BD!$A$3:$A$5001,BD!$B$3:$B$5001,I$175,BD!$A$3:$A$5001,"&gt;="&amp;$C$7,BD!$A$3:$A$5001,"&lt;="&amp;$B196,BD!$W$3:$W$5001,"&lt;&gt;"))))</f>
        <v/>
      </c>
      <c r="J196" s="54" t="str">
        <f>IF(OR($B196="",$A196&gt;$B$9,J$175=""),"",IF(COUNTIFS(BD!$B$3:$B$5001,J$175,BD!$A$3:$A$5001,"&gt;="&amp;$C$7,BD!$A$3:$A$5001,"&lt;="&amp;$B196,BD!$W$3:$W$5001,"&lt;&gt;")=0,"",SUMIFS(BD!$W$3:$W$5001,BD!$B$3:$B$5001,J$175,BD!$A$3:$A$5001,_xlfn.MAXIFS(BD!$A$3:$A$5001,BD!$B$3:$B$5001,J$175,BD!$A$3:$A$5001,"&gt;="&amp;$C$7,BD!$A$3:$A$5001,"&lt;="&amp;$B196,BD!$W$3:$W$5001,"&lt;&gt;"))))</f>
        <v/>
      </c>
      <c r="K196" s="54" t="str">
        <f>IF(OR($B196="",$A196&gt;$B$9,K$175=""),"",IF(COUNTIFS(BD!$B$3:$B$5001,K$175,BD!$A$3:$A$5001,"&gt;="&amp;$C$7,BD!$A$3:$A$5001,"&lt;="&amp;$B196,BD!$W$3:$W$5001,"&lt;&gt;")=0,"",SUMIFS(BD!$W$3:$W$5001,BD!$B$3:$B$5001,K$175,BD!$A$3:$A$5001,_xlfn.MAXIFS(BD!$A$3:$A$5001,BD!$B$3:$B$5001,K$175,BD!$A$3:$A$5001,"&gt;="&amp;$C$7,BD!$A$3:$A$5001,"&lt;="&amp;$B196,BD!$W$3:$W$5001,"&lt;&gt;"))))</f>
        <v/>
      </c>
      <c r="L196" s="54" t="str">
        <f>IF(OR($B196="",$A196&gt;$B$9,L$175=""),"",IF(COUNTIFS(BD!$B$3:$B$5001,L$175,BD!$A$3:$A$5001,"&gt;="&amp;$C$7,BD!$A$3:$A$5001,"&lt;="&amp;$B196,BD!$W$3:$W$5001,"&lt;&gt;")=0,"",SUMIFS(BD!$W$3:$W$5001,BD!$B$3:$B$5001,L$175,BD!$A$3:$A$5001,_xlfn.MAXIFS(BD!$A$3:$A$5001,BD!$B$3:$B$5001,L$175,BD!$A$3:$A$5001,"&gt;="&amp;$C$7,BD!$A$3:$A$5001,"&lt;="&amp;$B196,BD!$W$3:$W$5001,"&lt;&gt;"))))</f>
        <v/>
      </c>
      <c r="M196" s="54" t="str">
        <f>IF(OR($B196="",$A196&gt;$B$9,M$175=""),"",IF(COUNTIFS(BD!$B$3:$B$5001,M$175,BD!$A$3:$A$5001,"&gt;="&amp;$C$7,BD!$A$3:$A$5001,"&lt;="&amp;$B196,BD!$W$3:$W$5001,"&lt;&gt;")=0,"",SUMIFS(BD!$W$3:$W$5001,BD!$B$3:$B$5001,M$175,BD!$A$3:$A$5001,_xlfn.MAXIFS(BD!$A$3:$A$5001,BD!$B$3:$B$5001,M$175,BD!$A$3:$A$5001,"&gt;="&amp;$C$7,BD!$A$3:$A$5001,"&lt;="&amp;$B196,BD!$W$3:$W$5001,"&lt;&gt;"))))</f>
        <v/>
      </c>
      <c r="N196" s="54" t="str">
        <f>IF(OR($B196="",$A196&gt;$B$9,N$175=""),"",IF(COUNTIFS(BD!$B$3:$B$5001,N$175,BD!$A$3:$A$5001,"&gt;="&amp;$C$7,BD!$A$3:$A$5001,"&lt;="&amp;$B196,BD!$W$3:$W$5001,"&lt;&gt;")=0,"",SUMIFS(BD!$W$3:$W$5001,BD!$B$3:$B$5001,N$175,BD!$A$3:$A$5001,_xlfn.MAXIFS(BD!$A$3:$A$5001,BD!$B$3:$B$5001,N$175,BD!$A$3:$A$5001,"&gt;="&amp;$C$7,BD!$A$3:$A$5001,"&lt;="&amp;$B196,BD!$W$3:$W$5001,"&lt;&gt;"))))</f>
        <v/>
      </c>
      <c r="O196" s="54" t="str">
        <f>IF(OR($B196="",$A196&gt;$B$9,O$175=""),"",IF(COUNTIFS(BD!$B$3:$B$5001,O$175,BD!$A$3:$A$5001,"&gt;="&amp;$C$7,BD!$A$3:$A$5001,"&lt;="&amp;$B196,BD!$W$3:$W$5001,"&lt;&gt;")=0,"",SUMIFS(BD!$W$3:$W$5001,BD!$B$3:$B$5001,O$175,BD!$A$3:$A$5001,_xlfn.MAXIFS(BD!$A$3:$A$5001,BD!$B$3:$B$5001,O$175,BD!$A$3:$A$5001,"&gt;="&amp;$C$7,BD!$A$3:$A$5001,"&lt;="&amp;$B196,BD!$W$3:$W$5001,"&lt;&gt;"))))</f>
        <v/>
      </c>
      <c r="P196" s="54" t="str">
        <f>IF(OR($B196="",$A196&gt;$B$9,P$175=""),"",IF(COUNTIFS(BD!$B$3:$B$5001,P$175,BD!$A$3:$A$5001,"&gt;="&amp;$C$7,BD!$A$3:$A$5001,"&lt;="&amp;$B196,BD!$W$3:$W$5001,"&lt;&gt;")=0,"",SUMIFS(BD!$W$3:$W$5001,BD!$B$3:$B$5001,P$175,BD!$A$3:$A$5001,_xlfn.MAXIFS(BD!$A$3:$A$5001,BD!$B$3:$B$5001,P$175,BD!$A$3:$A$5001,"&gt;="&amp;$C$7,BD!$A$3:$A$5001,"&lt;="&amp;$B196,BD!$W$3:$W$5001,"&lt;&gt;"))))</f>
        <v/>
      </c>
      <c r="Q196" s="54" t="str">
        <f>IF(OR($B196="",$A196&gt;$B$9,Q$175=""),"",IF(COUNTIFS(BD!$B$3:$B$5001,Q$175,BD!$A$3:$A$5001,"&gt;="&amp;$C$7,BD!$A$3:$A$5001,"&lt;="&amp;$B196,BD!$W$3:$W$5001,"&lt;&gt;")=0,"",SUMIFS(BD!$W$3:$W$5001,BD!$B$3:$B$5001,Q$175,BD!$A$3:$A$5001,_xlfn.MAXIFS(BD!$A$3:$A$5001,BD!$B$3:$B$5001,Q$175,BD!$A$3:$A$5001,"&gt;="&amp;$C$7,BD!$A$3:$A$5001,"&lt;="&amp;$B196,BD!$W$3:$W$5001,"&lt;&gt;"))))</f>
        <v/>
      </c>
      <c r="R196" s="54" t="str">
        <f>IF(OR($B196="",$A196&gt;$B$9,R$175=""),"",IF(COUNTIFS(BD!$B$3:$B$5001,R$175,BD!$A$3:$A$5001,"&gt;="&amp;$C$7,BD!$A$3:$A$5001,"&lt;="&amp;$B196,BD!$W$3:$W$5001,"&lt;&gt;")=0,"",SUMIFS(BD!$W$3:$W$5001,BD!$B$3:$B$5001,R$175,BD!$A$3:$A$5001,_xlfn.MAXIFS(BD!$A$3:$A$5001,BD!$B$3:$B$5001,R$175,BD!$A$3:$A$5001,"&gt;="&amp;$C$7,BD!$A$3:$A$5001,"&lt;="&amp;$B196,BD!$W$3:$W$5001,"&lt;&gt;"))))</f>
        <v/>
      </c>
      <c r="S196" s="54" t="str">
        <f>IF(OR($B196="",$A196&gt;$B$9,S$175=""),"",IF(COUNTIFS(BD!$B$3:$B$5001,S$175,BD!$A$3:$A$5001,"&gt;="&amp;$C$7,BD!$A$3:$A$5001,"&lt;="&amp;$B196,BD!$W$3:$W$5001,"&lt;&gt;")=0,"",SUMIFS(BD!$W$3:$W$5001,BD!$B$3:$B$5001,S$175,BD!$A$3:$A$5001,_xlfn.MAXIFS(BD!$A$3:$A$5001,BD!$B$3:$B$5001,S$175,BD!$A$3:$A$5001,"&gt;="&amp;$C$7,BD!$A$3:$A$5001,"&lt;="&amp;$B196,BD!$W$3:$W$5001,"&lt;&gt;"))))</f>
        <v/>
      </c>
      <c r="T196" s="54" t="str">
        <f>IF(OR($B196="",$A196&gt;$B$9,T$175=""),"",IF(COUNTIFS(BD!$B$3:$B$5001,T$175,BD!$A$3:$A$5001,"&gt;="&amp;$C$7,BD!$A$3:$A$5001,"&lt;="&amp;$B196,BD!$W$3:$W$5001,"&lt;&gt;")=0,"",SUMIFS(BD!$W$3:$W$5001,BD!$B$3:$B$5001,T$175,BD!$A$3:$A$5001,_xlfn.MAXIFS(BD!$A$3:$A$5001,BD!$B$3:$B$5001,T$175,BD!$A$3:$A$5001,"&gt;="&amp;$C$7,BD!$A$3:$A$5001,"&lt;="&amp;$B196,BD!$W$3:$W$5001,"&lt;&gt;"))))</f>
        <v/>
      </c>
      <c r="U196" s="54" t="str">
        <f>IF(OR($B196="",$A196&gt;$B$9,U$175=""),"",IF(COUNTIFS(BD!$B$3:$B$5001,U$175,BD!$A$3:$A$5001,"&gt;="&amp;$C$7,BD!$A$3:$A$5001,"&lt;="&amp;$B196,BD!$W$3:$W$5001,"&lt;&gt;")=0,"",SUMIFS(BD!$W$3:$W$5001,BD!$B$3:$B$5001,U$175,BD!$A$3:$A$5001,_xlfn.MAXIFS(BD!$A$3:$A$5001,BD!$B$3:$B$5001,U$175,BD!$A$3:$A$5001,"&gt;="&amp;$C$7,BD!$A$3:$A$5001,"&lt;="&amp;$B196,BD!$W$3:$W$5001,"&lt;&gt;"))))</f>
        <v/>
      </c>
      <c r="V196" s="54" t="str">
        <f>IF(OR($B196="",$A196&gt;$B$9,V$175=""),"",IF(COUNTIFS(BD!$B$3:$B$5001,V$175,BD!$A$3:$A$5001,"&gt;="&amp;$C$7,BD!$A$3:$A$5001,"&lt;="&amp;$B196,BD!$W$3:$W$5001,"&lt;&gt;")=0,"",SUMIFS(BD!$W$3:$W$5001,BD!$B$3:$B$5001,V$175,BD!$A$3:$A$5001,_xlfn.MAXIFS(BD!$A$3:$A$5001,BD!$B$3:$B$5001,V$175,BD!$A$3:$A$5001,"&gt;="&amp;$C$7,BD!$A$3:$A$5001,"&lt;="&amp;$B196,BD!$W$3:$W$5001,"&lt;&gt;"))))</f>
        <v/>
      </c>
    </row>
    <row r="197">
      <c r="A197" s="48">
        <v>22</v>
      </c>
      <c r="B197" s="53">
        <f>$B$33</f>
        <v>46317</v>
      </c>
      <c r="C197" s="54" t="str">
        <f>IF(OR($B197="",$A197&gt;$B$9,C$175=""),"",IF(COUNTIFS(BD!$B$3:$B$5001,C$175,BD!$A$3:$A$5001,"&gt;="&amp;$C$7,BD!$A$3:$A$5001,"&lt;="&amp;$B197,BD!$W$3:$W$5001,"&lt;&gt;")=0,"",SUMIFS(BD!$W$3:$W$5001,BD!$B$3:$B$5001,C$175,BD!$A$3:$A$5001,_xlfn.MAXIFS(BD!$A$3:$A$5001,BD!$B$3:$B$5001,C$175,BD!$A$3:$A$5001,"&gt;="&amp;$C$7,BD!$A$3:$A$5001,"&lt;="&amp;$B197,BD!$W$3:$W$5001,"&lt;&gt;"))))</f>
        <v/>
      </c>
      <c r="D197" s="54" t="str">
        <f>IF(OR($B197="",$A197&gt;$B$9,D$175=""),"",IF(COUNTIFS(BD!$B$3:$B$5001,D$175,BD!$A$3:$A$5001,"&gt;="&amp;$C$7,BD!$A$3:$A$5001,"&lt;="&amp;$B197,BD!$W$3:$W$5001,"&lt;&gt;")=0,"",SUMIFS(BD!$W$3:$W$5001,BD!$B$3:$B$5001,D$175,BD!$A$3:$A$5001,_xlfn.MAXIFS(BD!$A$3:$A$5001,BD!$B$3:$B$5001,D$175,BD!$A$3:$A$5001,"&gt;="&amp;$C$7,BD!$A$3:$A$5001,"&lt;="&amp;$B197,BD!$W$3:$W$5001,"&lt;&gt;"))))</f>
        <v/>
      </c>
      <c r="E197" s="54" t="str">
        <f>IF(OR($B197="",$A197&gt;$B$9,E$175=""),"",IF(COUNTIFS(BD!$B$3:$B$5001,E$175,BD!$A$3:$A$5001,"&gt;="&amp;$C$7,BD!$A$3:$A$5001,"&lt;="&amp;$B197,BD!$W$3:$W$5001,"&lt;&gt;")=0,"",SUMIFS(BD!$W$3:$W$5001,BD!$B$3:$B$5001,E$175,BD!$A$3:$A$5001,_xlfn.MAXIFS(BD!$A$3:$A$5001,BD!$B$3:$B$5001,E$175,BD!$A$3:$A$5001,"&gt;="&amp;$C$7,BD!$A$3:$A$5001,"&lt;="&amp;$B197,BD!$W$3:$W$5001,"&lt;&gt;"))))</f>
        <v/>
      </c>
      <c r="F197" s="54" t="str">
        <f>IF(OR($B197="",$A197&gt;$B$9,F$175=""),"",IF(COUNTIFS(BD!$B$3:$B$5001,F$175,BD!$A$3:$A$5001,"&gt;="&amp;$C$7,BD!$A$3:$A$5001,"&lt;="&amp;$B197,BD!$W$3:$W$5001,"&lt;&gt;")=0,"",SUMIFS(BD!$W$3:$W$5001,BD!$B$3:$B$5001,F$175,BD!$A$3:$A$5001,_xlfn.MAXIFS(BD!$A$3:$A$5001,BD!$B$3:$B$5001,F$175,BD!$A$3:$A$5001,"&gt;="&amp;$C$7,BD!$A$3:$A$5001,"&lt;="&amp;$B197,BD!$W$3:$W$5001,"&lt;&gt;"))))</f>
        <v/>
      </c>
      <c r="G197" s="54" t="str">
        <f>IF(OR($B197="",$A197&gt;$B$9,G$175=""),"",IF(COUNTIFS(BD!$B$3:$B$5001,G$175,BD!$A$3:$A$5001,"&gt;="&amp;$C$7,BD!$A$3:$A$5001,"&lt;="&amp;$B197,BD!$W$3:$W$5001,"&lt;&gt;")=0,"",SUMIFS(BD!$W$3:$W$5001,BD!$B$3:$B$5001,G$175,BD!$A$3:$A$5001,_xlfn.MAXIFS(BD!$A$3:$A$5001,BD!$B$3:$B$5001,G$175,BD!$A$3:$A$5001,"&gt;="&amp;$C$7,BD!$A$3:$A$5001,"&lt;="&amp;$B197,BD!$W$3:$W$5001,"&lt;&gt;"))))</f>
        <v/>
      </c>
      <c r="H197" s="54" t="str">
        <f>IF(OR($B197="",$A197&gt;$B$9,H$175=""),"",IF(COUNTIFS(BD!$B$3:$B$5001,H$175,BD!$A$3:$A$5001,"&gt;="&amp;$C$7,BD!$A$3:$A$5001,"&lt;="&amp;$B197,BD!$W$3:$W$5001,"&lt;&gt;")=0,"",SUMIFS(BD!$W$3:$W$5001,BD!$B$3:$B$5001,H$175,BD!$A$3:$A$5001,_xlfn.MAXIFS(BD!$A$3:$A$5001,BD!$B$3:$B$5001,H$175,BD!$A$3:$A$5001,"&gt;="&amp;$C$7,BD!$A$3:$A$5001,"&lt;="&amp;$B197,BD!$W$3:$W$5001,"&lt;&gt;"))))</f>
        <v/>
      </c>
      <c r="I197" s="54" t="str">
        <f>IF(OR($B197="",$A197&gt;$B$9,I$175=""),"",IF(COUNTIFS(BD!$B$3:$B$5001,I$175,BD!$A$3:$A$5001,"&gt;="&amp;$C$7,BD!$A$3:$A$5001,"&lt;="&amp;$B197,BD!$W$3:$W$5001,"&lt;&gt;")=0,"",SUMIFS(BD!$W$3:$W$5001,BD!$B$3:$B$5001,I$175,BD!$A$3:$A$5001,_xlfn.MAXIFS(BD!$A$3:$A$5001,BD!$B$3:$B$5001,I$175,BD!$A$3:$A$5001,"&gt;="&amp;$C$7,BD!$A$3:$A$5001,"&lt;="&amp;$B197,BD!$W$3:$W$5001,"&lt;&gt;"))))</f>
        <v/>
      </c>
      <c r="J197" s="54" t="str">
        <f>IF(OR($B197="",$A197&gt;$B$9,J$175=""),"",IF(COUNTIFS(BD!$B$3:$B$5001,J$175,BD!$A$3:$A$5001,"&gt;="&amp;$C$7,BD!$A$3:$A$5001,"&lt;="&amp;$B197,BD!$W$3:$W$5001,"&lt;&gt;")=0,"",SUMIFS(BD!$W$3:$W$5001,BD!$B$3:$B$5001,J$175,BD!$A$3:$A$5001,_xlfn.MAXIFS(BD!$A$3:$A$5001,BD!$B$3:$B$5001,J$175,BD!$A$3:$A$5001,"&gt;="&amp;$C$7,BD!$A$3:$A$5001,"&lt;="&amp;$B197,BD!$W$3:$W$5001,"&lt;&gt;"))))</f>
        <v/>
      </c>
      <c r="K197" s="54" t="str">
        <f>IF(OR($B197="",$A197&gt;$B$9,K$175=""),"",IF(COUNTIFS(BD!$B$3:$B$5001,K$175,BD!$A$3:$A$5001,"&gt;="&amp;$C$7,BD!$A$3:$A$5001,"&lt;="&amp;$B197,BD!$W$3:$W$5001,"&lt;&gt;")=0,"",SUMIFS(BD!$W$3:$W$5001,BD!$B$3:$B$5001,K$175,BD!$A$3:$A$5001,_xlfn.MAXIFS(BD!$A$3:$A$5001,BD!$B$3:$B$5001,K$175,BD!$A$3:$A$5001,"&gt;="&amp;$C$7,BD!$A$3:$A$5001,"&lt;="&amp;$B197,BD!$W$3:$W$5001,"&lt;&gt;"))))</f>
        <v/>
      </c>
      <c r="L197" s="54" t="str">
        <f>IF(OR($B197="",$A197&gt;$B$9,L$175=""),"",IF(COUNTIFS(BD!$B$3:$B$5001,L$175,BD!$A$3:$A$5001,"&gt;="&amp;$C$7,BD!$A$3:$A$5001,"&lt;="&amp;$B197,BD!$W$3:$W$5001,"&lt;&gt;")=0,"",SUMIFS(BD!$W$3:$W$5001,BD!$B$3:$B$5001,L$175,BD!$A$3:$A$5001,_xlfn.MAXIFS(BD!$A$3:$A$5001,BD!$B$3:$B$5001,L$175,BD!$A$3:$A$5001,"&gt;="&amp;$C$7,BD!$A$3:$A$5001,"&lt;="&amp;$B197,BD!$W$3:$W$5001,"&lt;&gt;"))))</f>
        <v/>
      </c>
      <c r="M197" s="54" t="str">
        <f>IF(OR($B197="",$A197&gt;$B$9,M$175=""),"",IF(COUNTIFS(BD!$B$3:$B$5001,M$175,BD!$A$3:$A$5001,"&gt;="&amp;$C$7,BD!$A$3:$A$5001,"&lt;="&amp;$B197,BD!$W$3:$W$5001,"&lt;&gt;")=0,"",SUMIFS(BD!$W$3:$W$5001,BD!$B$3:$B$5001,M$175,BD!$A$3:$A$5001,_xlfn.MAXIFS(BD!$A$3:$A$5001,BD!$B$3:$B$5001,M$175,BD!$A$3:$A$5001,"&gt;="&amp;$C$7,BD!$A$3:$A$5001,"&lt;="&amp;$B197,BD!$W$3:$W$5001,"&lt;&gt;"))))</f>
        <v/>
      </c>
      <c r="N197" s="54" t="str">
        <f>IF(OR($B197="",$A197&gt;$B$9,N$175=""),"",IF(COUNTIFS(BD!$B$3:$B$5001,N$175,BD!$A$3:$A$5001,"&gt;="&amp;$C$7,BD!$A$3:$A$5001,"&lt;="&amp;$B197,BD!$W$3:$W$5001,"&lt;&gt;")=0,"",SUMIFS(BD!$W$3:$W$5001,BD!$B$3:$B$5001,N$175,BD!$A$3:$A$5001,_xlfn.MAXIFS(BD!$A$3:$A$5001,BD!$B$3:$B$5001,N$175,BD!$A$3:$A$5001,"&gt;="&amp;$C$7,BD!$A$3:$A$5001,"&lt;="&amp;$B197,BD!$W$3:$W$5001,"&lt;&gt;"))))</f>
        <v/>
      </c>
      <c r="O197" s="54" t="str">
        <f>IF(OR($B197="",$A197&gt;$B$9,O$175=""),"",IF(COUNTIFS(BD!$B$3:$B$5001,O$175,BD!$A$3:$A$5001,"&gt;="&amp;$C$7,BD!$A$3:$A$5001,"&lt;="&amp;$B197,BD!$W$3:$W$5001,"&lt;&gt;")=0,"",SUMIFS(BD!$W$3:$W$5001,BD!$B$3:$B$5001,O$175,BD!$A$3:$A$5001,_xlfn.MAXIFS(BD!$A$3:$A$5001,BD!$B$3:$B$5001,O$175,BD!$A$3:$A$5001,"&gt;="&amp;$C$7,BD!$A$3:$A$5001,"&lt;="&amp;$B197,BD!$W$3:$W$5001,"&lt;&gt;"))))</f>
        <v/>
      </c>
      <c r="P197" s="54" t="str">
        <f>IF(OR($B197="",$A197&gt;$B$9,P$175=""),"",IF(COUNTIFS(BD!$B$3:$B$5001,P$175,BD!$A$3:$A$5001,"&gt;="&amp;$C$7,BD!$A$3:$A$5001,"&lt;="&amp;$B197,BD!$W$3:$W$5001,"&lt;&gt;")=0,"",SUMIFS(BD!$W$3:$W$5001,BD!$B$3:$B$5001,P$175,BD!$A$3:$A$5001,_xlfn.MAXIFS(BD!$A$3:$A$5001,BD!$B$3:$B$5001,P$175,BD!$A$3:$A$5001,"&gt;="&amp;$C$7,BD!$A$3:$A$5001,"&lt;="&amp;$B197,BD!$W$3:$W$5001,"&lt;&gt;"))))</f>
        <v/>
      </c>
      <c r="Q197" s="54" t="str">
        <f>IF(OR($B197="",$A197&gt;$B$9,Q$175=""),"",IF(COUNTIFS(BD!$B$3:$B$5001,Q$175,BD!$A$3:$A$5001,"&gt;="&amp;$C$7,BD!$A$3:$A$5001,"&lt;="&amp;$B197,BD!$W$3:$W$5001,"&lt;&gt;")=0,"",SUMIFS(BD!$W$3:$W$5001,BD!$B$3:$B$5001,Q$175,BD!$A$3:$A$5001,_xlfn.MAXIFS(BD!$A$3:$A$5001,BD!$B$3:$B$5001,Q$175,BD!$A$3:$A$5001,"&gt;="&amp;$C$7,BD!$A$3:$A$5001,"&lt;="&amp;$B197,BD!$W$3:$W$5001,"&lt;&gt;"))))</f>
        <v/>
      </c>
      <c r="R197" s="54" t="str">
        <f>IF(OR($B197="",$A197&gt;$B$9,R$175=""),"",IF(COUNTIFS(BD!$B$3:$B$5001,R$175,BD!$A$3:$A$5001,"&gt;="&amp;$C$7,BD!$A$3:$A$5001,"&lt;="&amp;$B197,BD!$W$3:$W$5001,"&lt;&gt;")=0,"",SUMIFS(BD!$W$3:$W$5001,BD!$B$3:$B$5001,R$175,BD!$A$3:$A$5001,_xlfn.MAXIFS(BD!$A$3:$A$5001,BD!$B$3:$B$5001,R$175,BD!$A$3:$A$5001,"&gt;="&amp;$C$7,BD!$A$3:$A$5001,"&lt;="&amp;$B197,BD!$W$3:$W$5001,"&lt;&gt;"))))</f>
        <v/>
      </c>
      <c r="S197" s="54" t="str">
        <f>IF(OR($B197="",$A197&gt;$B$9,S$175=""),"",IF(COUNTIFS(BD!$B$3:$B$5001,S$175,BD!$A$3:$A$5001,"&gt;="&amp;$C$7,BD!$A$3:$A$5001,"&lt;="&amp;$B197,BD!$W$3:$W$5001,"&lt;&gt;")=0,"",SUMIFS(BD!$W$3:$W$5001,BD!$B$3:$B$5001,S$175,BD!$A$3:$A$5001,_xlfn.MAXIFS(BD!$A$3:$A$5001,BD!$B$3:$B$5001,S$175,BD!$A$3:$A$5001,"&gt;="&amp;$C$7,BD!$A$3:$A$5001,"&lt;="&amp;$B197,BD!$W$3:$W$5001,"&lt;&gt;"))))</f>
        <v/>
      </c>
      <c r="T197" s="54" t="str">
        <f>IF(OR($B197="",$A197&gt;$B$9,T$175=""),"",IF(COUNTIFS(BD!$B$3:$B$5001,T$175,BD!$A$3:$A$5001,"&gt;="&amp;$C$7,BD!$A$3:$A$5001,"&lt;="&amp;$B197,BD!$W$3:$W$5001,"&lt;&gt;")=0,"",SUMIFS(BD!$W$3:$W$5001,BD!$B$3:$B$5001,T$175,BD!$A$3:$A$5001,_xlfn.MAXIFS(BD!$A$3:$A$5001,BD!$B$3:$B$5001,T$175,BD!$A$3:$A$5001,"&gt;="&amp;$C$7,BD!$A$3:$A$5001,"&lt;="&amp;$B197,BD!$W$3:$W$5001,"&lt;&gt;"))))</f>
        <v/>
      </c>
      <c r="U197" s="54" t="str">
        <f>IF(OR($B197="",$A197&gt;$B$9,U$175=""),"",IF(COUNTIFS(BD!$B$3:$B$5001,U$175,BD!$A$3:$A$5001,"&gt;="&amp;$C$7,BD!$A$3:$A$5001,"&lt;="&amp;$B197,BD!$W$3:$W$5001,"&lt;&gt;")=0,"",SUMIFS(BD!$W$3:$W$5001,BD!$B$3:$B$5001,U$175,BD!$A$3:$A$5001,_xlfn.MAXIFS(BD!$A$3:$A$5001,BD!$B$3:$B$5001,U$175,BD!$A$3:$A$5001,"&gt;="&amp;$C$7,BD!$A$3:$A$5001,"&lt;="&amp;$B197,BD!$W$3:$W$5001,"&lt;&gt;"))))</f>
        <v/>
      </c>
      <c r="V197" s="54" t="str">
        <f>IF(OR($B197="",$A197&gt;$B$9,V$175=""),"",IF(COUNTIFS(BD!$B$3:$B$5001,V$175,BD!$A$3:$A$5001,"&gt;="&amp;$C$7,BD!$A$3:$A$5001,"&lt;="&amp;$B197,BD!$W$3:$W$5001,"&lt;&gt;")=0,"",SUMIFS(BD!$W$3:$W$5001,BD!$B$3:$B$5001,V$175,BD!$A$3:$A$5001,_xlfn.MAXIFS(BD!$A$3:$A$5001,BD!$B$3:$B$5001,V$175,BD!$A$3:$A$5001,"&gt;="&amp;$C$7,BD!$A$3:$A$5001,"&lt;="&amp;$B197,BD!$W$3:$W$5001,"&lt;&gt;"))))</f>
        <v/>
      </c>
    </row>
    <row r="198">
      <c r="A198" s="48">
        <v>23</v>
      </c>
      <c r="B198" s="53">
        <f>$B$34</f>
        <v>46318</v>
      </c>
      <c r="C198" s="54" t="str">
        <f>IF(OR($B198="",$A198&gt;$B$9,C$175=""),"",IF(COUNTIFS(BD!$B$3:$B$5001,C$175,BD!$A$3:$A$5001,"&gt;="&amp;$C$7,BD!$A$3:$A$5001,"&lt;="&amp;$B198,BD!$W$3:$W$5001,"&lt;&gt;")=0,"",SUMIFS(BD!$W$3:$W$5001,BD!$B$3:$B$5001,C$175,BD!$A$3:$A$5001,_xlfn.MAXIFS(BD!$A$3:$A$5001,BD!$B$3:$B$5001,C$175,BD!$A$3:$A$5001,"&gt;="&amp;$C$7,BD!$A$3:$A$5001,"&lt;="&amp;$B198,BD!$W$3:$W$5001,"&lt;&gt;"))))</f>
        <v/>
      </c>
      <c r="D198" s="54" t="str">
        <f>IF(OR($B198="",$A198&gt;$B$9,D$175=""),"",IF(COUNTIFS(BD!$B$3:$B$5001,D$175,BD!$A$3:$A$5001,"&gt;="&amp;$C$7,BD!$A$3:$A$5001,"&lt;="&amp;$B198,BD!$W$3:$W$5001,"&lt;&gt;")=0,"",SUMIFS(BD!$W$3:$W$5001,BD!$B$3:$B$5001,D$175,BD!$A$3:$A$5001,_xlfn.MAXIFS(BD!$A$3:$A$5001,BD!$B$3:$B$5001,D$175,BD!$A$3:$A$5001,"&gt;="&amp;$C$7,BD!$A$3:$A$5001,"&lt;="&amp;$B198,BD!$W$3:$W$5001,"&lt;&gt;"))))</f>
        <v/>
      </c>
      <c r="E198" s="54" t="str">
        <f>IF(OR($B198="",$A198&gt;$B$9,E$175=""),"",IF(COUNTIFS(BD!$B$3:$B$5001,E$175,BD!$A$3:$A$5001,"&gt;="&amp;$C$7,BD!$A$3:$A$5001,"&lt;="&amp;$B198,BD!$W$3:$W$5001,"&lt;&gt;")=0,"",SUMIFS(BD!$W$3:$W$5001,BD!$B$3:$B$5001,E$175,BD!$A$3:$A$5001,_xlfn.MAXIFS(BD!$A$3:$A$5001,BD!$B$3:$B$5001,E$175,BD!$A$3:$A$5001,"&gt;="&amp;$C$7,BD!$A$3:$A$5001,"&lt;="&amp;$B198,BD!$W$3:$W$5001,"&lt;&gt;"))))</f>
        <v/>
      </c>
      <c r="F198" s="54" t="str">
        <f>IF(OR($B198="",$A198&gt;$B$9,F$175=""),"",IF(COUNTIFS(BD!$B$3:$B$5001,F$175,BD!$A$3:$A$5001,"&gt;="&amp;$C$7,BD!$A$3:$A$5001,"&lt;="&amp;$B198,BD!$W$3:$W$5001,"&lt;&gt;")=0,"",SUMIFS(BD!$W$3:$W$5001,BD!$B$3:$B$5001,F$175,BD!$A$3:$A$5001,_xlfn.MAXIFS(BD!$A$3:$A$5001,BD!$B$3:$B$5001,F$175,BD!$A$3:$A$5001,"&gt;="&amp;$C$7,BD!$A$3:$A$5001,"&lt;="&amp;$B198,BD!$W$3:$W$5001,"&lt;&gt;"))))</f>
        <v/>
      </c>
      <c r="G198" s="54" t="str">
        <f>IF(OR($B198="",$A198&gt;$B$9,G$175=""),"",IF(COUNTIFS(BD!$B$3:$B$5001,G$175,BD!$A$3:$A$5001,"&gt;="&amp;$C$7,BD!$A$3:$A$5001,"&lt;="&amp;$B198,BD!$W$3:$W$5001,"&lt;&gt;")=0,"",SUMIFS(BD!$W$3:$W$5001,BD!$B$3:$B$5001,G$175,BD!$A$3:$A$5001,_xlfn.MAXIFS(BD!$A$3:$A$5001,BD!$B$3:$B$5001,G$175,BD!$A$3:$A$5001,"&gt;="&amp;$C$7,BD!$A$3:$A$5001,"&lt;="&amp;$B198,BD!$W$3:$W$5001,"&lt;&gt;"))))</f>
        <v/>
      </c>
      <c r="H198" s="54" t="str">
        <f>IF(OR($B198="",$A198&gt;$B$9,H$175=""),"",IF(COUNTIFS(BD!$B$3:$B$5001,H$175,BD!$A$3:$A$5001,"&gt;="&amp;$C$7,BD!$A$3:$A$5001,"&lt;="&amp;$B198,BD!$W$3:$W$5001,"&lt;&gt;")=0,"",SUMIFS(BD!$W$3:$W$5001,BD!$B$3:$B$5001,H$175,BD!$A$3:$A$5001,_xlfn.MAXIFS(BD!$A$3:$A$5001,BD!$B$3:$B$5001,H$175,BD!$A$3:$A$5001,"&gt;="&amp;$C$7,BD!$A$3:$A$5001,"&lt;="&amp;$B198,BD!$W$3:$W$5001,"&lt;&gt;"))))</f>
        <v/>
      </c>
      <c r="I198" s="54" t="str">
        <f>IF(OR($B198="",$A198&gt;$B$9,I$175=""),"",IF(COUNTIFS(BD!$B$3:$B$5001,I$175,BD!$A$3:$A$5001,"&gt;="&amp;$C$7,BD!$A$3:$A$5001,"&lt;="&amp;$B198,BD!$W$3:$W$5001,"&lt;&gt;")=0,"",SUMIFS(BD!$W$3:$W$5001,BD!$B$3:$B$5001,I$175,BD!$A$3:$A$5001,_xlfn.MAXIFS(BD!$A$3:$A$5001,BD!$B$3:$B$5001,I$175,BD!$A$3:$A$5001,"&gt;="&amp;$C$7,BD!$A$3:$A$5001,"&lt;="&amp;$B198,BD!$W$3:$W$5001,"&lt;&gt;"))))</f>
        <v/>
      </c>
      <c r="J198" s="54" t="str">
        <f>IF(OR($B198="",$A198&gt;$B$9,J$175=""),"",IF(COUNTIFS(BD!$B$3:$B$5001,J$175,BD!$A$3:$A$5001,"&gt;="&amp;$C$7,BD!$A$3:$A$5001,"&lt;="&amp;$B198,BD!$W$3:$W$5001,"&lt;&gt;")=0,"",SUMIFS(BD!$W$3:$W$5001,BD!$B$3:$B$5001,J$175,BD!$A$3:$A$5001,_xlfn.MAXIFS(BD!$A$3:$A$5001,BD!$B$3:$B$5001,J$175,BD!$A$3:$A$5001,"&gt;="&amp;$C$7,BD!$A$3:$A$5001,"&lt;="&amp;$B198,BD!$W$3:$W$5001,"&lt;&gt;"))))</f>
        <v/>
      </c>
      <c r="K198" s="54" t="str">
        <f>IF(OR($B198="",$A198&gt;$B$9,K$175=""),"",IF(COUNTIFS(BD!$B$3:$B$5001,K$175,BD!$A$3:$A$5001,"&gt;="&amp;$C$7,BD!$A$3:$A$5001,"&lt;="&amp;$B198,BD!$W$3:$W$5001,"&lt;&gt;")=0,"",SUMIFS(BD!$W$3:$W$5001,BD!$B$3:$B$5001,K$175,BD!$A$3:$A$5001,_xlfn.MAXIFS(BD!$A$3:$A$5001,BD!$B$3:$B$5001,K$175,BD!$A$3:$A$5001,"&gt;="&amp;$C$7,BD!$A$3:$A$5001,"&lt;="&amp;$B198,BD!$W$3:$W$5001,"&lt;&gt;"))))</f>
        <v/>
      </c>
      <c r="L198" s="54" t="str">
        <f>IF(OR($B198="",$A198&gt;$B$9,L$175=""),"",IF(COUNTIFS(BD!$B$3:$B$5001,L$175,BD!$A$3:$A$5001,"&gt;="&amp;$C$7,BD!$A$3:$A$5001,"&lt;="&amp;$B198,BD!$W$3:$W$5001,"&lt;&gt;")=0,"",SUMIFS(BD!$W$3:$W$5001,BD!$B$3:$B$5001,L$175,BD!$A$3:$A$5001,_xlfn.MAXIFS(BD!$A$3:$A$5001,BD!$B$3:$B$5001,L$175,BD!$A$3:$A$5001,"&gt;="&amp;$C$7,BD!$A$3:$A$5001,"&lt;="&amp;$B198,BD!$W$3:$W$5001,"&lt;&gt;"))))</f>
        <v/>
      </c>
      <c r="M198" s="54" t="str">
        <f>IF(OR($B198="",$A198&gt;$B$9,M$175=""),"",IF(COUNTIFS(BD!$B$3:$B$5001,M$175,BD!$A$3:$A$5001,"&gt;="&amp;$C$7,BD!$A$3:$A$5001,"&lt;="&amp;$B198,BD!$W$3:$W$5001,"&lt;&gt;")=0,"",SUMIFS(BD!$W$3:$W$5001,BD!$B$3:$B$5001,M$175,BD!$A$3:$A$5001,_xlfn.MAXIFS(BD!$A$3:$A$5001,BD!$B$3:$B$5001,M$175,BD!$A$3:$A$5001,"&gt;="&amp;$C$7,BD!$A$3:$A$5001,"&lt;="&amp;$B198,BD!$W$3:$W$5001,"&lt;&gt;"))))</f>
        <v/>
      </c>
      <c r="N198" s="54" t="str">
        <f>IF(OR($B198="",$A198&gt;$B$9,N$175=""),"",IF(COUNTIFS(BD!$B$3:$B$5001,N$175,BD!$A$3:$A$5001,"&gt;="&amp;$C$7,BD!$A$3:$A$5001,"&lt;="&amp;$B198,BD!$W$3:$W$5001,"&lt;&gt;")=0,"",SUMIFS(BD!$W$3:$W$5001,BD!$B$3:$B$5001,N$175,BD!$A$3:$A$5001,_xlfn.MAXIFS(BD!$A$3:$A$5001,BD!$B$3:$B$5001,N$175,BD!$A$3:$A$5001,"&gt;="&amp;$C$7,BD!$A$3:$A$5001,"&lt;="&amp;$B198,BD!$W$3:$W$5001,"&lt;&gt;"))))</f>
        <v/>
      </c>
      <c r="O198" s="54" t="str">
        <f>IF(OR($B198="",$A198&gt;$B$9,O$175=""),"",IF(COUNTIFS(BD!$B$3:$B$5001,O$175,BD!$A$3:$A$5001,"&gt;="&amp;$C$7,BD!$A$3:$A$5001,"&lt;="&amp;$B198,BD!$W$3:$W$5001,"&lt;&gt;")=0,"",SUMIFS(BD!$W$3:$W$5001,BD!$B$3:$B$5001,O$175,BD!$A$3:$A$5001,_xlfn.MAXIFS(BD!$A$3:$A$5001,BD!$B$3:$B$5001,O$175,BD!$A$3:$A$5001,"&gt;="&amp;$C$7,BD!$A$3:$A$5001,"&lt;="&amp;$B198,BD!$W$3:$W$5001,"&lt;&gt;"))))</f>
        <v/>
      </c>
      <c r="P198" s="54" t="str">
        <f>IF(OR($B198="",$A198&gt;$B$9,P$175=""),"",IF(COUNTIFS(BD!$B$3:$B$5001,P$175,BD!$A$3:$A$5001,"&gt;="&amp;$C$7,BD!$A$3:$A$5001,"&lt;="&amp;$B198,BD!$W$3:$W$5001,"&lt;&gt;")=0,"",SUMIFS(BD!$W$3:$W$5001,BD!$B$3:$B$5001,P$175,BD!$A$3:$A$5001,_xlfn.MAXIFS(BD!$A$3:$A$5001,BD!$B$3:$B$5001,P$175,BD!$A$3:$A$5001,"&gt;="&amp;$C$7,BD!$A$3:$A$5001,"&lt;="&amp;$B198,BD!$W$3:$W$5001,"&lt;&gt;"))))</f>
        <v/>
      </c>
      <c r="Q198" s="54" t="str">
        <f>IF(OR($B198="",$A198&gt;$B$9,Q$175=""),"",IF(COUNTIFS(BD!$B$3:$B$5001,Q$175,BD!$A$3:$A$5001,"&gt;="&amp;$C$7,BD!$A$3:$A$5001,"&lt;="&amp;$B198,BD!$W$3:$W$5001,"&lt;&gt;")=0,"",SUMIFS(BD!$W$3:$W$5001,BD!$B$3:$B$5001,Q$175,BD!$A$3:$A$5001,_xlfn.MAXIFS(BD!$A$3:$A$5001,BD!$B$3:$B$5001,Q$175,BD!$A$3:$A$5001,"&gt;="&amp;$C$7,BD!$A$3:$A$5001,"&lt;="&amp;$B198,BD!$W$3:$W$5001,"&lt;&gt;"))))</f>
        <v/>
      </c>
      <c r="R198" s="54" t="str">
        <f>IF(OR($B198="",$A198&gt;$B$9,R$175=""),"",IF(COUNTIFS(BD!$B$3:$B$5001,R$175,BD!$A$3:$A$5001,"&gt;="&amp;$C$7,BD!$A$3:$A$5001,"&lt;="&amp;$B198,BD!$W$3:$W$5001,"&lt;&gt;")=0,"",SUMIFS(BD!$W$3:$W$5001,BD!$B$3:$B$5001,R$175,BD!$A$3:$A$5001,_xlfn.MAXIFS(BD!$A$3:$A$5001,BD!$B$3:$B$5001,R$175,BD!$A$3:$A$5001,"&gt;="&amp;$C$7,BD!$A$3:$A$5001,"&lt;="&amp;$B198,BD!$W$3:$W$5001,"&lt;&gt;"))))</f>
        <v/>
      </c>
      <c r="S198" s="54" t="str">
        <f>IF(OR($B198="",$A198&gt;$B$9,S$175=""),"",IF(COUNTIFS(BD!$B$3:$B$5001,S$175,BD!$A$3:$A$5001,"&gt;="&amp;$C$7,BD!$A$3:$A$5001,"&lt;="&amp;$B198,BD!$W$3:$W$5001,"&lt;&gt;")=0,"",SUMIFS(BD!$W$3:$W$5001,BD!$B$3:$B$5001,S$175,BD!$A$3:$A$5001,_xlfn.MAXIFS(BD!$A$3:$A$5001,BD!$B$3:$B$5001,S$175,BD!$A$3:$A$5001,"&gt;="&amp;$C$7,BD!$A$3:$A$5001,"&lt;="&amp;$B198,BD!$W$3:$W$5001,"&lt;&gt;"))))</f>
        <v/>
      </c>
      <c r="T198" s="54" t="str">
        <f>IF(OR($B198="",$A198&gt;$B$9,T$175=""),"",IF(COUNTIFS(BD!$B$3:$B$5001,T$175,BD!$A$3:$A$5001,"&gt;="&amp;$C$7,BD!$A$3:$A$5001,"&lt;="&amp;$B198,BD!$W$3:$W$5001,"&lt;&gt;")=0,"",SUMIFS(BD!$W$3:$W$5001,BD!$B$3:$B$5001,T$175,BD!$A$3:$A$5001,_xlfn.MAXIFS(BD!$A$3:$A$5001,BD!$B$3:$B$5001,T$175,BD!$A$3:$A$5001,"&gt;="&amp;$C$7,BD!$A$3:$A$5001,"&lt;="&amp;$B198,BD!$W$3:$W$5001,"&lt;&gt;"))))</f>
        <v/>
      </c>
      <c r="U198" s="54" t="str">
        <f>IF(OR($B198="",$A198&gt;$B$9,U$175=""),"",IF(COUNTIFS(BD!$B$3:$B$5001,U$175,BD!$A$3:$A$5001,"&gt;="&amp;$C$7,BD!$A$3:$A$5001,"&lt;="&amp;$B198,BD!$W$3:$W$5001,"&lt;&gt;")=0,"",SUMIFS(BD!$W$3:$W$5001,BD!$B$3:$B$5001,U$175,BD!$A$3:$A$5001,_xlfn.MAXIFS(BD!$A$3:$A$5001,BD!$B$3:$B$5001,U$175,BD!$A$3:$A$5001,"&gt;="&amp;$C$7,BD!$A$3:$A$5001,"&lt;="&amp;$B198,BD!$W$3:$W$5001,"&lt;&gt;"))))</f>
        <v/>
      </c>
      <c r="V198" s="54" t="str">
        <f>IF(OR($B198="",$A198&gt;$B$9,V$175=""),"",IF(COUNTIFS(BD!$B$3:$B$5001,V$175,BD!$A$3:$A$5001,"&gt;="&amp;$C$7,BD!$A$3:$A$5001,"&lt;="&amp;$B198,BD!$W$3:$W$5001,"&lt;&gt;")=0,"",SUMIFS(BD!$W$3:$W$5001,BD!$B$3:$B$5001,V$175,BD!$A$3:$A$5001,_xlfn.MAXIFS(BD!$A$3:$A$5001,BD!$B$3:$B$5001,V$175,BD!$A$3:$A$5001,"&gt;="&amp;$C$7,BD!$A$3:$A$5001,"&lt;="&amp;$B198,BD!$W$3:$W$5001,"&lt;&gt;"))))</f>
        <v/>
      </c>
    </row>
    <row r="199">
      <c r="A199" s="48">
        <v>24</v>
      </c>
      <c r="B199" s="53">
        <f>$B$35</f>
        <v>46319</v>
      </c>
      <c r="C199" s="54" t="str">
        <f>IF(OR($B199="",$A199&gt;$B$9,C$175=""),"",IF(COUNTIFS(BD!$B$3:$B$5001,C$175,BD!$A$3:$A$5001,"&gt;="&amp;$C$7,BD!$A$3:$A$5001,"&lt;="&amp;$B199,BD!$W$3:$W$5001,"&lt;&gt;")=0,"",SUMIFS(BD!$W$3:$W$5001,BD!$B$3:$B$5001,C$175,BD!$A$3:$A$5001,_xlfn.MAXIFS(BD!$A$3:$A$5001,BD!$B$3:$B$5001,C$175,BD!$A$3:$A$5001,"&gt;="&amp;$C$7,BD!$A$3:$A$5001,"&lt;="&amp;$B199,BD!$W$3:$W$5001,"&lt;&gt;"))))</f>
        <v/>
      </c>
      <c r="D199" s="54" t="str">
        <f>IF(OR($B199="",$A199&gt;$B$9,D$175=""),"",IF(COUNTIFS(BD!$B$3:$B$5001,D$175,BD!$A$3:$A$5001,"&gt;="&amp;$C$7,BD!$A$3:$A$5001,"&lt;="&amp;$B199,BD!$W$3:$W$5001,"&lt;&gt;")=0,"",SUMIFS(BD!$W$3:$W$5001,BD!$B$3:$B$5001,D$175,BD!$A$3:$A$5001,_xlfn.MAXIFS(BD!$A$3:$A$5001,BD!$B$3:$B$5001,D$175,BD!$A$3:$A$5001,"&gt;="&amp;$C$7,BD!$A$3:$A$5001,"&lt;="&amp;$B199,BD!$W$3:$W$5001,"&lt;&gt;"))))</f>
        <v/>
      </c>
      <c r="E199" s="54" t="str">
        <f>IF(OR($B199="",$A199&gt;$B$9,E$175=""),"",IF(COUNTIFS(BD!$B$3:$B$5001,E$175,BD!$A$3:$A$5001,"&gt;="&amp;$C$7,BD!$A$3:$A$5001,"&lt;="&amp;$B199,BD!$W$3:$W$5001,"&lt;&gt;")=0,"",SUMIFS(BD!$W$3:$W$5001,BD!$B$3:$B$5001,E$175,BD!$A$3:$A$5001,_xlfn.MAXIFS(BD!$A$3:$A$5001,BD!$B$3:$B$5001,E$175,BD!$A$3:$A$5001,"&gt;="&amp;$C$7,BD!$A$3:$A$5001,"&lt;="&amp;$B199,BD!$W$3:$W$5001,"&lt;&gt;"))))</f>
        <v/>
      </c>
      <c r="F199" s="54" t="str">
        <f>IF(OR($B199="",$A199&gt;$B$9,F$175=""),"",IF(COUNTIFS(BD!$B$3:$B$5001,F$175,BD!$A$3:$A$5001,"&gt;="&amp;$C$7,BD!$A$3:$A$5001,"&lt;="&amp;$B199,BD!$W$3:$W$5001,"&lt;&gt;")=0,"",SUMIFS(BD!$W$3:$W$5001,BD!$B$3:$B$5001,F$175,BD!$A$3:$A$5001,_xlfn.MAXIFS(BD!$A$3:$A$5001,BD!$B$3:$B$5001,F$175,BD!$A$3:$A$5001,"&gt;="&amp;$C$7,BD!$A$3:$A$5001,"&lt;="&amp;$B199,BD!$W$3:$W$5001,"&lt;&gt;"))))</f>
        <v/>
      </c>
      <c r="G199" s="54" t="str">
        <f>IF(OR($B199="",$A199&gt;$B$9,G$175=""),"",IF(COUNTIFS(BD!$B$3:$B$5001,G$175,BD!$A$3:$A$5001,"&gt;="&amp;$C$7,BD!$A$3:$A$5001,"&lt;="&amp;$B199,BD!$W$3:$W$5001,"&lt;&gt;")=0,"",SUMIFS(BD!$W$3:$W$5001,BD!$B$3:$B$5001,G$175,BD!$A$3:$A$5001,_xlfn.MAXIFS(BD!$A$3:$A$5001,BD!$B$3:$B$5001,G$175,BD!$A$3:$A$5001,"&gt;="&amp;$C$7,BD!$A$3:$A$5001,"&lt;="&amp;$B199,BD!$W$3:$W$5001,"&lt;&gt;"))))</f>
        <v/>
      </c>
      <c r="H199" s="54" t="str">
        <f>IF(OR($B199="",$A199&gt;$B$9,H$175=""),"",IF(COUNTIFS(BD!$B$3:$B$5001,H$175,BD!$A$3:$A$5001,"&gt;="&amp;$C$7,BD!$A$3:$A$5001,"&lt;="&amp;$B199,BD!$W$3:$W$5001,"&lt;&gt;")=0,"",SUMIFS(BD!$W$3:$W$5001,BD!$B$3:$B$5001,H$175,BD!$A$3:$A$5001,_xlfn.MAXIFS(BD!$A$3:$A$5001,BD!$B$3:$B$5001,H$175,BD!$A$3:$A$5001,"&gt;="&amp;$C$7,BD!$A$3:$A$5001,"&lt;="&amp;$B199,BD!$W$3:$W$5001,"&lt;&gt;"))))</f>
        <v/>
      </c>
      <c r="I199" s="54" t="str">
        <f>IF(OR($B199="",$A199&gt;$B$9,I$175=""),"",IF(COUNTIFS(BD!$B$3:$B$5001,I$175,BD!$A$3:$A$5001,"&gt;="&amp;$C$7,BD!$A$3:$A$5001,"&lt;="&amp;$B199,BD!$W$3:$W$5001,"&lt;&gt;")=0,"",SUMIFS(BD!$W$3:$W$5001,BD!$B$3:$B$5001,I$175,BD!$A$3:$A$5001,_xlfn.MAXIFS(BD!$A$3:$A$5001,BD!$B$3:$B$5001,I$175,BD!$A$3:$A$5001,"&gt;="&amp;$C$7,BD!$A$3:$A$5001,"&lt;="&amp;$B199,BD!$W$3:$W$5001,"&lt;&gt;"))))</f>
        <v/>
      </c>
      <c r="J199" s="54" t="str">
        <f>IF(OR($B199="",$A199&gt;$B$9,J$175=""),"",IF(COUNTIFS(BD!$B$3:$B$5001,J$175,BD!$A$3:$A$5001,"&gt;="&amp;$C$7,BD!$A$3:$A$5001,"&lt;="&amp;$B199,BD!$W$3:$W$5001,"&lt;&gt;")=0,"",SUMIFS(BD!$W$3:$W$5001,BD!$B$3:$B$5001,J$175,BD!$A$3:$A$5001,_xlfn.MAXIFS(BD!$A$3:$A$5001,BD!$B$3:$B$5001,J$175,BD!$A$3:$A$5001,"&gt;="&amp;$C$7,BD!$A$3:$A$5001,"&lt;="&amp;$B199,BD!$W$3:$W$5001,"&lt;&gt;"))))</f>
        <v/>
      </c>
      <c r="K199" s="54" t="str">
        <f>IF(OR($B199="",$A199&gt;$B$9,K$175=""),"",IF(COUNTIFS(BD!$B$3:$B$5001,K$175,BD!$A$3:$A$5001,"&gt;="&amp;$C$7,BD!$A$3:$A$5001,"&lt;="&amp;$B199,BD!$W$3:$W$5001,"&lt;&gt;")=0,"",SUMIFS(BD!$W$3:$W$5001,BD!$B$3:$B$5001,K$175,BD!$A$3:$A$5001,_xlfn.MAXIFS(BD!$A$3:$A$5001,BD!$B$3:$B$5001,K$175,BD!$A$3:$A$5001,"&gt;="&amp;$C$7,BD!$A$3:$A$5001,"&lt;="&amp;$B199,BD!$W$3:$W$5001,"&lt;&gt;"))))</f>
        <v/>
      </c>
      <c r="L199" s="54" t="str">
        <f>IF(OR($B199="",$A199&gt;$B$9,L$175=""),"",IF(COUNTIFS(BD!$B$3:$B$5001,L$175,BD!$A$3:$A$5001,"&gt;="&amp;$C$7,BD!$A$3:$A$5001,"&lt;="&amp;$B199,BD!$W$3:$W$5001,"&lt;&gt;")=0,"",SUMIFS(BD!$W$3:$W$5001,BD!$B$3:$B$5001,L$175,BD!$A$3:$A$5001,_xlfn.MAXIFS(BD!$A$3:$A$5001,BD!$B$3:$B$5001,L$175,BD!$A$3:$A$5001,"&gt;="&amp;$C$7,BD!$A$3:$A$5001,"&lt;="&amp;$B199,BD!$W$3:$W$5001,"&lt;&gt;"))))</f>
        <v/>
      </c>
      <c r="M199" s="54" t="str">
        <f>IF(OR($B199="",$A199&gt;$B$9,M$175=""),"",IF(COUNTIFS(BD!$B$3:$B$5001,M$175,BD!$A$3:$A$5001,"&gt;="&amp;$C$7,BD!$A$3:$A$5001,"&lt;="&amp;$B199,BD!$W$3:$W$5001,"&lt;&gt;")=0,"",SUMIFS(BD!$W$3:$W$5001,BD!$B$3:$B$5001,M$175,BD!$A$3:$A$5001,_xlfn.MAXIFS(BD!$A$3:$A$5001,BD!$B$3:$B$5001,M$175,BD!$A$3:$A$5001,"&gt;="&amp;$C$7,BD!$A$3:$A$5001,"&lt;="&amp;$B199,BD!$W$3:$W$5001,"&lt;&gt;"))))</f>
        <v/>
      </c>
      <c r="N199" s="54" t="str">
        <f>IF(OR($B199="",$A199&gt;$B$9,N$175=""),"",IF(COUNTIFS(BD!$B$3:$B$5001,N$175,BD!$A$3:$A$5001,"&gt;="&amp;$C$7,BD!$A$3:$A$5001,"&lt;="&amp;$B199,BD!$W$3:$W$5001,"&lt;&gt;")=0,"",SUMIFS(BD!$W$3:$W$5001,BD!$B$3:$B$5001,N$175,BD!$A$3:$A$5001,_xlfn.MAXIFS(BD!$A$3:$A$5001,BD!$B$3:$B$5001,N$175,BD!$A$3:$A$5001,"&gt;="&amp;$C$7,BD!$A$3:$A$5001,"&lt;="&amp;$B199,BD!$W$3:$W$5001,"&lt;&gt;"))))</f>
        <v/>
      </c>
      <c r="O199" s="54" t="str">
        <f>IF(OR($B199="",$A199&gt;$B$9,O$175=""),"",IF(COUNTIFS(BD!$B$3:$B$5001,O$175,BD!$A$3:$A$5001,"&gt;="&amp;$C$7,BD!$A$3:$A$5001,"&lt;="&amp;$B199,BD!$W$3:$W$5001,"&lt;&gt;")=0,"",SUMIFS(BD!$W$3:$W$5001,BD!$B$3:$B$5001,O$175,BD!$A$3:$A$5001,_xlfn.MAXIFS(BD!$A$3:$A$5001,BD!$B$3:$B$5001,O$175,BD!$A$3:$A$5001,"&gt;="&amp;$C$7,BD!$A$3:$A$5001,"&lt;="&amp;$B199,BD!$W$3:$W$5001,"&lt;&gt;"))))</f>
        <v/>
      </c>
      <c r="P199" s="54" t="str">
        <f>IF(OR($B199="",$A199&gt;$B$9,P$175=""),"",IF(COUNTIFS(BD!$B$3:$B$5001,P$175,BD!$A$3:$A$5001,"&gt;="&amp;$C$7,BD!$A$3:$A$5001,"&lt;="&amp;$B199,BD!$W$3:$W$5001,"&lt;&gt;")=0,"",SUMIFS(BD!$W$3:$W$5001,BD!$B$3:$B$5001,P$175,BD!$A$3:$A$5001,_xlfn.MAXIFS(BD!$A$3:$A$5001,BD!$B$3:$B$5001,P$175,BD!$A$3:$A$5001,"&gt;="&amp;$C$7,BD!$A$3:$A$5001,"&lt;="&amp;$B199,BD!$W$3:$W$5001,"&lt;&gt;"))))</f>
        <v/>
      </c>
      <c r="Q199" s="54" t="str">
        <f>IF(OR($B199="",$A199&gt;$B$9,Q$175=""),"",IF(COUNTIFS(BD!$B$3:$B$5001,Q$175,BD!$A$3:$A$5001,"&gt;="&amp;$C$7,BD!$A$3:$A$5001,"&lt;="&amp;$B199,BD!$W$3:$W$5001,"&lt;&gt;")=0,"",SUMIFS(BD!$W$3:$W$5001,BD!$B$3:$B$5001,Q$175,BD!$A$3:$A$5001,_xlfn.MAXIFS(BD!$A$3:$A$5001,BD!$B$3:$B$5001,Q$175,BD!$A$3:$A$5001,"&gt;="&amp;$C$7,BD!$A$3:$A$5001,"&lt;="&amp;$B199,BD!$W$3:$W$5001,"&lt;&gt;"))))</f>
        <v/>
      </c>
      <c r="R199" s="54" t="str">
        <f>IF(OR($B199="",$A199&gt;$B$9,R$175=""),"",IF(COUNTIFS(BD!$B$3:$B$5001,R$175,BD!$A$3:$A$5001,"&gt;="&amp;$C$7,BD!$A$3:$A$5001,"&lt;="&amp;$B199,BD!$W$3:$W$5001,"&lt;&gt;")=0,"",SUMIFS(BD!$W$3:$W$5001,BD!$B$3:$B$5001,R$175,BD!$A$3:$A$5001,_xlfn.MAXIFS(BD!$A$3:$A$5001,BD!$B$3:$B$5001,R$175,BD!$A$3:$A$5001,"&gt;="&amp;$C$7,BD!$A$3:$A$5001,"&lt;="&amp;$B199,BD!$W$3:$W$5001,"&lt;&gt;"))))</f>
        <v/>
      </c>
      <c r="S199" s="54" t="str">
        <f>IF(OR($B199="",$A199&gt;$B$9,S$175=""),"",IF(COUNTIFS(BD!$B$3:$B$5001,S$175,BD!$A$3:$A$5001,"&gt;="&amp;$C$7,BD!$A$3:$A$5001,"&lt;="&amp;$B199,BD!$W$3:$W$5001,"&lt;&gt;")=0,"",SUMIFS(BD!$W$3:$W$5001,BD!$B$3:$B$5001,S$175,BD!$A$3:$A$5001,_xlfn.MAXIFS(BD!$A$3:$A$5001,BD!$B$3:$B$5001,S$175,BD!$A$3:$A$5001,"&gt;="&amp;$C$7,BD!$A$3:$A$5001,"&lt;="&amp;$B199,BD!$W$3:$W$5001,"&lt;&gt;"))))</f>
        <v/>
      </c>
      <c r="T199" s="54" t="str">
        <f>IF(OR($B199="",$A199&gt;$B$9,T$175=""),"",IF(COUNTIFS(BD!$B$3:$B$5001,T$175,BD!$A$3:$A$5001,"&gt;="&amp;$C$7,BD!$A$3:$A$5001,"&lt;="&amp;$B199,BD!$W$3:$W$5001,"&lt;&gt;")=0,"",SUMIFS(BD!$W$3:$W$5001,BD!$B$3:$B$5001,T$175,BD!$A$3:$A$5001,_xlfn.MAXIFS(BD!$A$3:$A$5001,BD!$B$3:$B$5001,T$175,BD!$A$3:$A$5001,"&gt;="&amp;$C$7,BD!$A$3:$A$5001,"&lt;="&amp;$B199,BD!$W$3:$W$5001,"&lt;&gt;"))))</f>
        <v/>
      </c>
      <c r="U199" s="54" t="str">
        <f>IF(OR($B199="",$A199&gt;$B$9,U$175=""),"",IF(COUNTIFS(BD!$B$3:$B$5001,U$175,BD!$A$3:$A$5001,"&gt;="&amp;$C$7,BD!$A$3:$A$5001,"&lt;="&amp;$B199,BD!$W$3:$W$5001,"&lt;&gt;")=0,"",SUMIFS(BD!$W$3:$W$5001,BD!$B$3:$B$5001,U$175,BD!$A$3:$A$5001,_xlfn.MAXIFS(BD!$A$3:$A$5001,BD!$B$3:$B$5001,U$175,BD!$A$3:$A$5001,"&gt;="&amp;$C$7,BD!$A$3:$A$5001,"&lt;="&amp;$B199,BD!$W$3:$W$5001,"&lt;&gt;"))))</f>
        <v/>
      </c>
      <c r="V199" s="54" t="str">
        <f>IF(OR($B199="",$A199&gt;$B$9,V$175=""),"",IF(COUNTIFS(BD!$B$3:$B$5001,V$175,BD!$A$3:$A$5001,"&gt;="&amp;$C$7,BD!$A$3:$A$5001,"&lt;="&amp;$B199,BD!$W$3:$W$5001,"&lt;&gt;")=0,"",SUMIFS(BD!$W$3:$W$5001,BD!$B$3:$B$5001,V$175,BD!$A$3:$A$5001,_xlfn.MAXIFS(BD!$A$3:$A$5001,BD!$B$3:$B$5001,V$175,BD!$A$3:$A$5001,"&gt;="&amp;$C$7,BD!$A$3:$A$5001,"&lt;="&amp;$B199,BD!$W$3:$W$5001,"&lt;&gt;"))))</f>
        <v/>
      </c>
    </row>
    <row r="200">
      <c r="A200" s="48">
        <v>25</v>
      </c>
      <c r="B200" s="53">
        <f>$B$36</f>
        <v>46320</v>
      </c>
      <c r="C200" s="54" t="str">
        <f>IF(OR($B200="",$A200&gt;$B$9,C$175=""),"",IF(COUNTIFS(BD!$B$3:$B$5001,C$175,BD!$A$3:$A$5001,"&gt;="&amp;$C$7,BD!$A$3:$A$5001,"&lt;="&amp;$B200,BD!$W$3:$W$5001,"&lt;&gt;")=0,"",SUMIFS(BD!$W$3:$W$5001,BD!$B$3:$B$5001,C$175,BD!$A$3:$A$5001,_xlfn.MAXIFS(BD!$A$3:$A$5001,BD!$B$3:$B$5001,C$175,BD!$A$3:$A$5001,"&gt;="&amp;$C$7,BD!$A$3:$A$5001,"&lt;="&amp;$B200,BD!$W$3:$W$5001,"&lt;&gt;"))))</f>
        <v/>
      </c>
      <c r="D200" s="54" t="str">
        <f>IF(OR($B200="",$A200&gt;$B$9,D$175=""),"",IF(COUNTIFS(BD!$B$3:$B$5001,D$175,BD!$A$3:$A$5001,"&gt;="&amp;$C$7,BD!$A$3:$A$5001,"&lt;="&amp;$B200,BD!$W$3:$W$5001,"&lt;&gt;")=0,"",SUMIFS(BD!$W$3:$W$5001,BD!$B$3:$B$5001,D$175,BD!$A$3:$A$5001,_xlfn.MAXIFS(BD!$A$3:$A$5001,BD!$B$3:$B$5001,D$175,BD!$A$3:$A$5001,"&gt;="&amp;$C$7,BD!$A$3:$A$5001,"&lt;="&amp;$B200,BD!$W$3:$W$5001,"&lt;&gt;"))))</f>
        <v/>
      </c>
      <c r="E200" s="54" t="str">
        <f>IF(OR($B200="",$A200&gt;$B$9,E$175=""),"",IF(COUNTIFS(BD!$B$3:$B$5001,E$175,BD!$A$3:$A$5001,"&gt;="&amp;$C$7,BD!$A$3:$A$5001,"&lt;="&amp;$B200,BD!$W$3:$W$5001,"&lt;&gt;")=0,"",SUMIFS(BD!$W$3:$W$5001,BD!$B$3:$B$5001,E$175,BD!$A$3:$A$5001,_xlfn.MAXIFS(BD!$A$3:$A$5001,BD!$B$3:$B$5001,E$175,BD!$A$3:$A$5001,"&gt;="&amp;$C$7,BD!$A$3:$A$5001,"&lt;="&amp;$B200,BD!$W$3:$W$5001,"&lt;&gt;"))))</f>
        <v/>
      </c>
      <c r="F200" s="54" t="str">
        <f>IF(OR($B200="",$A200&gt;$B$9,F$175=""),"",IF(COUNTIFS(BD!$B$3:$B$5001,F$175,BD!$A$3:$A$5001,"&gt;="&amp;$C$7,BD!$A$3:$A$5001,"&lt;="&amp;$B200,BD!$W$3:$W$5001,"&lt;&gt;")=0,"",SUMIFS(BD!$W$3:$W$5001,BD!$B$3:$B$5001,F$175,BD!$A$3:$A$5001,_xlfn.MAXIFS(BD!$A$3:$A$5001,BD!$B$3:$B$5001,F$175,BD!$A$3:$A$5001,"&gt;="&amp;$C$7,BD!$A$3:$A$5001,"&lt;="&amp;$B200,BD!$W$3:$W$5001,"&lt;&gt;"))))</f>
        <v/>
      </c>
      <c r="G200" s="54" t="str">
        <f>IF(OR($B200="",$A200&gt;$B$9,G$175=""),"",IF(COUNTIFS(BD!$B$3:$B$5001,G$175,BD!$A$3:$A$5001,"&gt;="&amp;$C$7,BD!$A$3:$A$5001,"&lt;="&amp;$B200,BD!$W$3:$W$5001,"&lt;&gt;")=0,"",SUMIFS(BD!$W$3:$W$5001,BD!$B$3:$B$5001,G$175,BD!$A$3:$A$5001,_xlfn.MAXIFS(BD!$A$3:$A$5001,BD!$B$3:$B$5001,G$175,BD!$A$3:$A$5001,"&gt;="&amp;$C$7,BD!$A$3:$A$5001,"&lt;="&amp;$B200,BD!$W$3:$W$5001,"&lt;&gt;"))))</f>
        <v/>
      </c>
      <c r="H200" s="54" t="str">
        <f>IF(OR($B200="",$A200&gt;$B$9,H$175=""),"",IF(COUNTIFS(BD!$B$3:$B$5001,H$175,BD!$A$3:$A$5001,"&gt;="&amp;$C$7,BD!$A$3:$A$5001,"&lt;="&amp;$B200,BD!$W$3:$W$5001,"&lt;&gt;")=0,"",SUMIFS(BD!$W$3:$W$5001,BD!$B$3:$B$5001,H$175,BD!$A$3:$A$5001,_xlfn.MAXIFS(BD!$A$3:$A$5001,BD!$B$3:$B$5001,H$175,BD!$A$3:$A$5001,"&gt;="&amp;$C$7,BD!$A$3:$A$5001,"&lt;="&amp;$B200,BD!$W$3:$W$5001,"&lt;&gt;"))))</f>
        <v/>
      </c>
      <c r="I200" s="54" t="str">
        <f>IF(OR($B200="",$A200&gt;$B$9,I$175=""),"",IF(COUNTIFS(BD!$B$3:$B$5001,I$175,BD!$A$3:$A$5001,"&gt;="&amp;$C$7,BD!$A$3:$A$5001,"&lt;="&amp;$B200,BD!$W$3:$W$5001,"&lt;&gt;")=0,"",SUMIFS(BD!$W$3:$W$5001,BD!$B$3:$B$5001,I$175,BD!$A$3:$A$5001,_xlfn.MAXIFS(BD!$A$3:$A$5001,BD!$B$3:$B$5001,I$175,BD!$A$3:$A$5001,"&gt;="&amp;$C$7,BD!$A$3:$A$5001,"&lt;="&amp;$B200,BD!$W$3:$W$5001,"&lt;&gt;"))))</f>
        <v/>
      </c>
      <c r="J200" s="54" t="str">
        <f>IF(OR($B200="",$A200&gt;$B$9,J$175=""),"",IF(COUNTIFS(BD!$B$3:$B$5001,J$175,BD!$A$3:$A$5001,"&gt;="&amp;$C$7,BD!$A$3:$A$5001,"&lt;="&amp;$B200,BD!$W$3:$W$5001,"&lt;&gt;")=0,"",SUMIFS(BD!$W$3:$W$5001,BD!$B$3:$B$5001,J$175,BD!$A$3:$A$5001,_xlfn.MAXIFS(BD!$A$3:$A$5001,BD!$B$3:$B$5001,J$175,BD!$A$3:$A$5001,"&gt;="&amp;$C$7,BD!$A$3:$A$5001,"&lt;="&amp;$B200,BD!$W$3:$W$5001,"&lt;&gt;"))))</f>
        <v/>
      </c>
      <c r="K200" s="54" t="str">
        <f>IF(OR($B200="",$A200&gt;$B$9,K$175=""),"",IF(COUNTIFS(BD!$B$3:$B$5001,K$175,BD!$A$3:$A$5001,"&gt;="&amp;$C$7,BD!$A$3:$A$5001,"&lt;="&amp;$B200,BD!$W$3:$W$5001,"&lt;&gt;")=0,"",SUMIFS(BD!$W$3:$W$5001,BD!$B$3:$B$5001,K$175,BD!$A$3:$A$5001,_xlfn.MAXIFS(BD!$A$3:$A$5001,BD!$B$3:$B$5001,K$175,BD!$A$3:$A$5001,"&gt;="&amp;$C$7,BD!$A$3:$A$5001,"&lt;="&amp;$B200,BD!$W$3:$W$5001,"&lt;&gt;"))))</f>
        <v/>
      </c>
      <c r="L200" s="54" t="str">
        <f>IF(OR($B200="",$A200&gt;$B$9,L$175=""),"",IF(COUNTIFS(BD!$B$3:$B$5001,L$175,BD!$A$3:$A$5001,"&gt;="&amp;$C$7,BD!$A$3:$A$5001,"&lt;="&amp;$B200,BD!$W$3:$W$5001,"&lt;&gt;")=0,"",SUMIFS(BD!$W$3:$W$5001,BD!$B$3:$B$5001,L$175,BD!$A$3:$A$5001,_xlfn.MAXIFS(BD!$A$3:$A$5001,BD!$B$3:$B$5001,L$175,BD!$A$3:$A$5001,"&gt;="&amp;$C$7,BD!$A$3:$A$5001,"&lt;="&amp;$B200,BD!$W$3:$W$5001,"&lt;&gt;"))))</f>
        <v/>
      </c>
      <c r="M200" s="54" t="str">
        <f>IF(OR($B200="",$A200&gt;$B$9,M$175=""),"",IF(COUNTIFS(BD!$B$3:$B$5001,M$175,BD!$A$3:$A$5001,"&gt;="&amp;$C$7,BD!$A$3:$A$5001,"&lt;="&amp;$B200,BD!$W$3:$W$5001,"&lt;&gt;")=0,"",SUMIFS(BD!$W$3:$W$5001,BD!$B$3:$B$5001,M$175,BD!$A$3:$A$5001,_xlfn.MAXIFS(BD!$A$3:$A$5001,BD!$B$3:$B$5001,M$175,BD!$A$3:$A$5001,"&gt;="&amp;$C$7,BD!$A$3:$A$5001,"&lt;="&amp;$B200,BD!$W$3:$W$5001,"&lt;&gt;"))))</f>
        <v/>
      </c>
      <c r="N200" s="54" t="str">
        <f>IF(OR($B200="",$A200&gt;$B$9,N$175=""),"",IF(COUNTIFS(BD!$B$3:$B$5001,N$175,BD!$A$3:$A$5001,"&gt;="&amp;$C$7,BD!$A$3:$A$5001,"&lt;="&amp;$B200,BD!$W$3:$W$5001,"&lt;&gt;")=0,"",SUMIFS(BD!$W$3:$W$5001,BD!$B$3:$B$5001,N$175,BD!$A$3:$A$5001,_xlfn.MAXIFS(BD!$A$3:$A$5001,BD!$B$3:$B$5001,N$175,BD!$A$3:$A$5001,"&gt;="&amp;$C$7,BD!$A$3:$A$5001,"&lt;="&amp;$B200,BD!$W$3:$W$5001,"&lt;&gt;"))))</f>
        <v/>
      </c>
      <c r="O200" s="54" t="str">
        <f>IF(OR($B200="",$A200&gt;$B$9,O$175=""),"",IF(COUNTIFS(BD!$B$3:$B$5001,O$175,BD!$A$3:$A$5001,"&gt;="&amp;$C$7,BD!$A$3:$A$5001,"&lt;="&amp;$B200,BD!$W$3:$W$5001,"&lt;&gt;")=0,"",SUMIFS(BD!$W$3:$W$5001,BD!$B$3:$B$5001,O$175,BD!$A$3:$A$5001,_xlfn.MAXIFS(BD!$A$3:$A$5001,BD!$B$3:$B$5001,O$175,BD!$A$3:$A$5001,"&gt;="&amp;$C$7,BD!$A$3:$A$5001,"&lt;="&amp;$B200,BD!$W$3:$W$5001,"&lt;&gt;"))))</f>
        <v/>
      </c>
      <c r="P200" s="54" t="str">
        <f>IF(OR($B200="",$A200&gt;$B$9,P$175=""),"",IF(COUNTIFS(BD!$B$3:$B$5001,P$175,BD!$A$3:$A$5001,"&gt;="&amp;$C$7,BD!$A$3:$A$5001,"&lt;="&amp;$B200,BD!$W$3:$W$5001,"&lt;&gt;")=0,"",SUMIFS(BD!$W$3:$W$5001,BD!$B$3:$B$5001,P$175,BD!$A$3:$A$5001,_xlfn.MAXIFS(BD!$A$3:$A$5001,BD!$B$3:$B$5001,P$175,BD!$A$3:$A$5001,"&gt;="&amp;$C$7,BD!$A$3:$A$5001,"&lt;="&amp;$B200,BD!$W$3:$W$5001,"&lt;&gt;"))))</f>
        <v/>
      </c>
      <c r="Q200" s="54" t="str">
        <f>IF(OR($B200="",$A200&gt;$B$9,Q$175=""),"",IF(COUNTIFS(BD!$B$3:$B$5001,Q$175,BD!$A$3:$A$5001,"&gt;="&amp;$C$7,BD!$A$3:$A$5001,"&lt;="&amp;$B200,BD!$W$3:$W$5001,"&lt;&gt;")=0,"",SUMIFS(BD!$W$3:$W$5001,BD!$B$3:$B$5001,Q$175,BD!$A$3:$A$5001,_xlfn.MAXIFS(BD!$A$3:$A$5001,BD!$B$3:$B$5001,Q$175,BD!$A$3:$A$5001,"&gt;="&amp;$C$7,BD!$A$3:$A$5001,"&lt;="&amp;$B200,BD!$W$3:$W$5001,"&lt;&gt;"))))</f>
        <v/>
      </c>
      <c r="R200" s="54" t="str">
        <f>IF(OR($B200="",$A200&gt;$B$9,R$175=""),"",IF(COUNTIFS(BD!$B$3:$B$5001,R$175,BD!$A$3:$A$5001,"&gt;="&amp;$C$7,BD!$A$3:$A$5001,"&lt;="&amp;$B200,BD!$W$3:$W$5001,"&lt;&gt;")=0,"",SUMIFS(BD!$W$3:$W$5001,BD!$B$3:$B$5001,R$175,BD!$A$3:$A$5001,_xlfn.MAXIFS(BD!$A$3:$A$5001,BD!$B$3:$B$5001,R$175,BD!$A$3:$A$5001,"&gt;="&amp;$C$7,BD!$A$3:$A$5001,"&lt;="&amp;$B200,BD!$W$3:$W$5001,"&lt;&gt;"))))</f>
        <v/>
      </c>
      <c r="S200" s="54" t="str">
        <f>IF(OR($B200="",$A200&gt;$B$9,S$175=""),"",IF(COUNTIFS(BD!$B$3:$B$5001,S$175,BD!$A$3:$A$5001,"&gt;="&amp;$C$7,BD!$A$3:$A$5001,"&lt;="&amp;$B200,BD!$W$3:$W$5001,"&lt;&gt;")=0,"",SUMIFS(BD!$W$3:$W$5001,BD!$B$3:$B$5001,S$175,BD!$A$3:$A$5001,_xlfn.MAXIFS(BD!$A$3:$A$5001,BD!$B$3:$B$5001,S$175,BD!$A$3:$A$5001,"&gt;="&amp;$C$7,BD!$A$3:$A$5001,"&lt;="&amp;$B200,BD!$W$3:$W$5001,"&lt;&gt;"))))</f>
        <v/>
      </c>
      <c r="T200" s="54" t="str">
        <f>IF(OR($B200="",$A200&gt;$B$9,T$175=""),"",IF(COUNTIFS(BD!$B$3:$B$5001,T$175,BD!$A$3:$A$5001,"&gt;="&amp;$C$7,BD!$A$3:$A$5001,"&lt;="&amp;$B200,BD!$W$3:$W$5001,"&lt;&gt;")=0,"",SUMIFS(BD!$W$3:$W$5001,BD!$B$3:$B$5001,T$175,BD!$A$3:$A$5001,_xlfn.MAXIFS(BD!$A$3:$A$5001,BD!$B$3:$B$5001,T$175,BD!$A$3:$A$5001,"&gt;="&amp;$C$7,BD!$A$3:$A$5001,"&lt;="&amp;$B200,BD!$W$3:$W$5001,"&lt;&gt;"))))</f>
        <v/>
      </c>
      <c r="U200" s="54" t="str">
        <f>IF(OR($B200="",$A200&gt;$B$9,U$175=""),"",IF(COUNTIFS(BD!$B$3:$B$5001,U$175,BD!$A$3:$A$5001,"&gt;="&amp;$C$7,BD!$A$3:$A$5001,"&lt;="&amp;$B200,BD!$W$3:$W$5001,"&lt;&gt;")=0,"",SUMIFS(BD!$W$3:$W$5001,BD!$B$3:$B$5001,U$175,BD!$A$3:$A$5001,_xlfn.MAXIFS(BD!$A$3:$A$5001,BD!$B$3:$B$5001,U$175,BD!$A$3:$A$5001,"&gt;="&amp;$C$7,BD!$A$3:$A$5001,"&lt;="&amp;$B200,BD!$W$3:$W$5001,"&lt;&gt;"))))</f>
        <v/>
      </c>
      <c r="V200" s="54" t="str">
        <f>IF(OR($B200="",$A200&gt;$B$9,V$175=""),"",IF(COUNTIFS(BD!$B$3:$B$5001,V$175,BD!$A$3:$A$5001,"&gt;="&amp;$C$7,BD!$A$3:$A$5001,"&lt;="&amp;$B200,BD!$W$3:$W$5001,"&lt;&gt;")=0,"",SUMIFS(BD!$W$3:$W$5001,BD!$B$3:$B$5001,V$175,BD!$A$3:$A$5001,_xlfn.MAXIFS(BD!$A$3:$A$5001,BD!$B$3:$B$5001,V$175,BD!$A$3:$A$5001,"&gt;="&amp;$C$7,BD!$A$3:$A$5001,"&lt;="&amp;$B200,BD!$W$3:$W$5001,"&lt;&gt;"))))</f>
        <v/>
      </c>
    </row>
    <row r="201">
      <c r="A201" s="48">
        <v>26</v>
      </c>
      <c r="B201" s="53">
        <f>$B$37</f>
        <v>46321</v>
      </c>
      <c r="C201" s="54" t="str">
        <f>IF(OR($B201="",$A201&gt;$B$9,C$175=""),"",IF(COUNTIFS(BD!$B$3:$B$5001,C$175,BD!$A$3:$A$5001,"&gt;="&amp;$C$7,BD!$A$3:$A$5001,"&lt;="&amp;$B201,BD!$W$3:$W$5001,"&lt;&gt;")=0,"",SUMIFS(BD!$W$3:$W$5001,BD!$B$3:$B$5001,C$175,BD!$A$3:$A$5001,_xlfn.MAXIFS(BD!$A$3:$A$5001,BD!$B$3:$B$5001,C$175,BD!$A$3:$A$5001,"&gt;="&amp;$C$7,BD!$A$3:$A$5001,"&lt;="&amp;$B201,BD!$W$3:$W$5001,"&lt;&gt;"))))</f>
        <v/>
      </c>
      <c r="D201" s="54" t="str">
        <f>IF(OR($B201="",$A201&gt;$B$9,D$175=""),"",IF(COUNTIFS(BD!$B$3:$B$5001,D$175,BD!$A$3:$A$5001,"&gt;="&amp;$C$7,BD!$A$3:$A$5001,"&lt;="&amp;$B201,BD!$W$3:$W$5001,"&lt;&gt;")=0,"",SUMIFS(BD!$W$3:$W$5001,BD!$B$3:$B$5001,D$175,BD!$A$3:$A$5001,_xlfn.MAXIFS(BD!$A$3:$A$5001,BD!$B$3:$B$5001,D$175,BD!$A$3:$A$5001,"&gt;="&amp;$C$7,BD!$A$3:$A$5001,"&lt;="&amp;$B201,BD!$W$3:$W$5001,"&lt;&gt;"))))</f>
        <v/>
      </c>
      <c r="E201" s="54" t="str">
        <f>IF(OR($B201="",$A201&gt;$B$9,E$175=""),"",IF(COUNTIFS(BD!$B$3:$B$5001,E$175,BD!$A$3:$A$5001,"&gt;="&amp;$C$7,BD!$A$3:$A$5001,"&lt;="&amp;$B201,BD!$W$3:$W$5001,"&lt;&gt;")=0,"",SUMIFS(BD!$W$3:$W$5001,BD!$B$3:$B$5001,E$175,BD!$A$3:$A$5001,_xlfn.MAXIFS(BD!$A$3:$A$5001,BD!$B$3:$B$5001,E$175,BD!$A$3:$A$5001,"&gt;="&amp;$C$7,BD!$A$3:$A$5001,"&lt;="&amp;$B201,BD!$W$3:$W$5001,"&lt;&gt;"))))</f>
        <v/>
      </c>
      <c r="F201" s="54" t="str">
        <f>IF(OR($B201="",$A201&gt;$B$9,F$175=""),"",IF(COUNTIFS(BD!$B$3:$B$5001,F$175,BD!$A$3:$A$5001,"&gt;="&amp;$C$7,BD!$A$3:$A$5001,"&lt;="&amp;$B201,BD!$W$3:$W$5001,"&lt;&gt;")=0,"",SUMIFS(BD!$W$3:$W$5001,BD!$B$3:$B$5001,F$175,BD!$A$3:$A$5001,_xlfn.MAXIFS(BD!$A$3:$A$5001,BD!$B$3:$B$5001,F$175,BD!$A$3:$A$5001,"&gt;="&amp;$C$7,BD!$A$3:$A$5001,"&lt;="&amp;$B201,BD!$W$3:$W$5001,"&lt;&gt;"))))</f>
        <v/>
      </c>
      <c r="G201" s="54" t="str">
        <f>IF(OR($B201="",$A201&gt;$B$9,G$175=""),"",IF(COUNTIFS(BD!$B$3:$B$5001,G$175,BD!$A$3:$A$5001,"&gt;="&amp;$C$7,BD!$A$3:$A$5001,"&lt;="&amp;$B201,BD!$W$3:$W$5001,"&lt;&gt;")=0,"",SUMIFS(BD!$W$3:$W$5001,BD!$B$3:$B$5001,G$175,BD!$A$3:$A$5001,_xlfn.MAXIFS(BD!$A$3:$A$5001,BD!$B$3:$B$5001,G$175,BD!$A$3:$A$5001,"&gt;="&amp;$C$7,BD!$A$3:$A$5001,"&lt;="&amp;$B201,BD!$W$3:$W$5001,"&lt;&gt;"))))</f>
        <v/>
      </c>
      <c r="H201" s="54" t="str">
        <f>IF(OR($B201="",$A201&gt;$B$9,H$175=""),"",IF(COUNTIFS(BD!$B$3:$B$5001,H$175,BD!$A$3:$A$5001,"&gt;="&amp;$C$7,BD!$A$3:$A$5001,"&lt;="&amp;$B201,BD!$W$3:$W$5001,"&lt;&gt;")=0,"",SUMIFS(BD!$W$3:$W$5001,BD!$B$3:$B$5001,H$175,BD!$A$3:$A$5001,_xlfn.MAXIFS(BD!$A$3:$A$5001,BD!$B$3:$B$5001,H$175,BD!$A$3:$A$5001,"&gt;="&amp;$C$7,BD!$A$3:$A$5001,"&lt;="&amp;$B201,BD!$W$3:$W$5001,"&lt;&gt;"))))</f>
        <v/>
      </c>
      <c r="I201" s="54" t="str">
        <f>IF(OR($B201="",$A201&gt;$B$9,I$175=""),"",IF(COUNTIFS(BD!$B$3:$B$5001,I$175,BD!$A$3:$A$5001,"&gt;="&amp;$C$7,BD!$A$3:$A$5001,"&lt;="&amp;$B201,BD!$W$3:$W$5001,"&lt;&gt;")=0,"",SUMIFS(BD!$W$3:$W$5001,BD!$B$3:$B$5001,I$175,BD!$A$3:$A$5001,_xlfn.MAXIFS(BD!$A$3:$A$5001,BD!$B$3:$B$5001,I$175,BD!$A$3:$A$5001,"&gt;="&amp;$C$7,BD!$A$3:$A$5001,"&lt;="&amp;$B201,BD!$W$3:$W$5001,"&lt;&gt;"))))</f>
        <v/>
      </c>
      <c r="J201" s="54" t="str">
        <f>IF(OR($B201="",$A201&gt;$B$9,J$175=""),"",IF(COUNTIFS(BD!$B$3:$B$5001,J$175,BD!$A$3:$A$5001,"&gt;="&amp;$C$7,BD!$A$3:$A$5001,"&lt;="&amp;$B201,BD!$W$3:$W$5001,"&lt;&gt;")=0,"",SUMIFS(BD!$W$3:$W$5001,BD!$B$3:$B$5001,J$175,BD!$A$3:$A$5001,_xlfn.MAXIFS(BD!$A$3:$A$5001,BD!$B$3:$B$5001,J$175,BD!$A$3:$A$5001,"&gt;="&amp;$C$7,BD!$A$3:$A$5001,"&lt;="&amp;$B201,BD!$W$3:$W$5001,"&lt;&gt;"))))</f>
        <v/>
      </c>
      <c r="K201" s="54" t="str">
        <f>IF(OR($B201="",$A201&gt;$B$9,K$175=""),"",IF(COUNTIFS(BD!$B$3:$B$5001,K$175,BD!$A$3:$A$5001,"&gt;="&amp;$C$7,BD!$A$3:$A$5001,"&lt;="&amp;$B201,BD!$W$3:$W$5001,"&lt;&gt;")=0,"",SUMIFS(BD!$W$3:$W$5001,BD!$B$3:$B$5001,K$175,BD!$A$3:$A$5001,_xlfn.MAXIFS(BD!$A$3:$A$5001,BD!$B$3:$B$5001,K$175,BD!$A$3:$A$5001,"&gt;="&amp;$C$7,BD!$A$3:$A$5001,"&lt;="&amp;$B201,BD!$W$3:$W$5001,"&lt;&gt;"))))</f>
        <v/>
      </c>
      <c r="L201" s="54" t="str">
        <f>IF(OR($B201="",$A201&gt;$B$9,L$175=""),"",IF(COUNTIFS(BD!$B$3:$B$5001,L$175,BD!$A$3:$A$5001,"&gt;="&amp;$C$7,BD!$A$3:$A$5001,"&lt;="&amp;$B201,BD!$W$3:$W$5001,"&lt;&gt;")=0,"",SUMIFS(BD!$W$3:$W$5001,BD!$B$3:$B$5001,L$175,BD!$A$3:$A$5001,_xlfn.MAXIFS(BD!$A$3:$A$5001,BD!$B$3:$B$5001,L$175,BD!$A$3:$A$5001,"&gt;="&amp;$C$7,BD!$A$3:$A$5001,"&lt;="&amp;$B201,BD!$W$3:$W$5001,"&lt;&gt;"))))</f>
        <v/>
      </c>
      <c r="M201" s="54" t="str">
        <f>IF(OR($B201="",$A201&gt;$B$9,M$175=""),"",IF(COUNTIFS(BD!$B$3:$B$5001,M$175,BD!$A$3:$A$5001,"&gt;="&amp;$C$7,BD!$A$3:$A$5001,"&lt;="&amp;$B201,BD!$W$3:$W$5001,"&lt;&gt;")=0,"",SUMIFS(BD!$W$3:$W$5001,BD!$B$3:$B$5001,M$175,BD!$A$3:$A$5001,_xlfn.MAXIFS(BD!$A$3:$A$5001,BD!$B$3:$B$5001,M$175,BD!$A$3:$A$5001,"&gt;="&amp;$C$7,BD!$A$3:$A$5001,"&lt;="&amp;$B201,BD!$W$3:$W$5001,"&lt;&gt;"))))</f>
        <v/>
      </c>
      <c r="N201" s="54" t="str">
        <f>IF(OR($B201="",$A201&gt;$B$9,N$175=""),"",IF(COUNTIFS(BD!$B$3:$B$5001,N$175,BD!$A$3:$A$5001,"&gt;="&amp;$C$7,BD!$A$3:$A$5001,"&lt;="&amp;$B201,BD!$W$3:$W$5001,"&lt;&gt;")=0,"",SUMIFS(BD!$W$3:$W$5001,BD!$B$3:$B$5001,N$175,BD!$A$3:$A$5001,_xlfn.MAXIFS(BD!$A$3:$A$5001,BD!$B$3:$B$5001,N$175,BD!$A$3:$A$5001,"&gt;="&amp;$C$7,BD!$A$3:$A$5001,"&lt;="&amp;$B201,BD!$W$3:$W$5001,"&lt;&gt;"))))</f>
        <v/>
      </c>
      <c r="O201" s="54" t="str">
        <f>IF(OR($B201="",$A201&gt;$B$9,O$175=""),"",IF(COUNTIFS(BD!$B$3:$B$5001,O$175,BD!$A$3:$A$5001,"&gt;="&amp;$C$7,BD!$A$3:$A$5001,"&lt;="&amp;$B201,BD!$W$3:$W$5001,"&lt;&gt;")=0,"",SUMIFS(BD!$W$3:$W$5001,BD!$B$3:$B$5001,O$175,BD!$A$3:$A$5001,_xlfn.MAXIFS(BD!$A$3:$A$5001,BD!$B$3:$B$5001,O$175,BD!$A$3:$A$5001,"&gt;="&amp;$C$7,BD!$A$3:$A$5001,"&lt;="&amp;$B201,BD!$W$3:$W$5001,"&lt;&gt;"))))</f>
        <v/>
      </c>
      <c r="P201" s="54" t="str">
        <f>IF(OR($B201="",$A201&gt;$B$9,P$175=""),"",IF(COUNTIFS(BD!$B$3:$B$5001,P$175,BD!$A$3:$A$5001,"&gt;="&amp;$C$7,BD!$A$3:$A$5001,"&lt;="&amp;$B201,BD!$W$3:$W$5001,"&lt;&gt;")=0,"",SUMIFS(BD!$W$3:$W$5001,BD!$B$3:$B$5001,P$175,BD!$A$3:$A$5001,_xlfn.MAXIFS(BD!$A$3:$A$5001,BD!$B$3:$B$5001,P$175,BD!$A$3:$A$5001,"&gt;="&amp;$C$7,BD!$A$3:$A$5001,"&lt;="&amp;$B201,BD!$W$3:$W$5001,"&lt;&gt;"))))</f>
        <v/>
      </c>
      <c r="Q201" s="54" t="str">
        <f>IF(OR($B201="",$A201&gt;$B$9,Q$175=""),"",IF(COUNTIFS(BD!$B$3:$B$5001,Q$175,BD!$A$3:$A$5001,"&gt;="&amp;$C$7,BD!$A$3:$A$5001,"&lt;="&amp;$B201,BD!$W$3:$W$5001,"&lt;&gt;")=0,"",SUMIFS(BD!$W$3:$W$5001,BD!$B$3:$B$5001,Q$175,BD!$A$3:$A$5001,_xlfn.MAXIFS(BD!$A$3:$A$5001,BD!$B$3:$B$5001,Q$175,BD!$A$3:$A$5001,"&gt;="&amp;$C$7,BD!$A$3:$A$5001,"&lt;="&amp;$B201,BD!$W$3:$W$5001,"&lt;&gt;"))))</f>
        <v/>
      </c>
      <c r="R201" s="54" t="str">
        <f>IF(OR($B201="",$A201&gt;$B$9,R$175=""),"",IF(COUNTIFS(BD!$B$3:$B$5001,R$175,BD!$A$3:$A$5001,"&gt;="&amp;$C$7,BD!$A$3:$A$5001,"&lt;="&amp;$B201,BD!$W$3:$W$5001,"&lt;&gt;")=0,"",SUMIFS(BD!$W$3:$W$5001,BD!$B$3:$B$5001,R$175,BD!$A$3:$A$5001,_xlfn.MAXIFS(BD!$A$3:$A$5001,BD!$B$3:$B$5001,R$175,BD!$A$3:$A$5001,"&gt;="&amp;$C$7,BD!$A$3:$A$5001,"&lt;="&amp;$B201,BD!$W$3:$W$5001,"&lt;&gt;"))))</f>
        <v/>
      </c>
      <c r="S201" s="54" t="str">
        <f>IF(OR($B201="",$A201&gt;$B$9,S$175=""),"",IF(COUNTIFS(BD!$B$3:$B$5001,S$175,BD!$A$3:$A$5001,"&gt;="&amp;$C$7,BD!$A$3:$A$5001,"&lt;="&amp;$B201,BD!$W$3:$W$5001,"&lt;&gt;")=0,"",SUMIFS(BD!$W$3:$W$5001,BD!$B$3:$B$5001,S$175,BD!$A$3:$A$5001,_xlfn.MAXIFS(BD!$A$3:$A$5001,BD!$B$3:$B$5001,S$175,BD!$A$3:$A$5001,"&gt;="&amp;$C$7,BD!$A$3:$A$5001,"&lt;="&amp;$B201,BD!$W$3:$W$5001,"&lt;&gt;"))))</f>
        <v/>
      </c>
      <c r="T201" s="54" t="str">
        <f>IF(OR($B201="",$A201&gt;$B$9,T$175=""),"",IF(COUNTIFS(BD!$B$3:$B$5001,T$175,BD!$A$3:$A$5001,"&gt;="&amp;$C$7,BD!$A$3:$A$5001,"&lt;="&amp;$B201,BD!$W$3:$W$5001,"&lt;&gt;")=0,"",SUMIFS(BD!$W$3:$W$5001,BD!$B$3:$B$5001,T$175,BD!$A$3:$A$5001,_xlfn.MAXIFS(BD!$A$3:$A$5001,BD!$B$3:$B$5001,T$175,BD!$A$3:$A$5001,"&gt;="&amp;$C$7,BD!$A$3:$A$5001,"&lt;="&amp;$B201,BD!$W$3:$W$5001,"&lt;&gt;"))))</f>
        <v/>
      </c>
      <c r="U201" s="54" t="str">
        <f>IF(OR($B201="",$A201&gt;$B$9,U$175=""),"",IF(COUNTIFS(BD!$B$3:$B$5001,U$175,BD!$A$3:$A$5001,"&gt;="&amp;$C$7,BD!$A$3:$A$5001,"&lt;="&amp;$B201,BD!$W$3:$W$5001,"&lt;&gt;")=0,"",SUMIFS(BD!$W$3:$W$5001,BD!$B$3:$B$5001,U$175,BD!$A$3:$A$5001,_xlfn.MAXIFS(BD!$A$3:$A$5001,BD!$B$3:$B$5001,U$175,BD!$A$3:$A$5001,"&gt;="&amp;$C$7,BD!$A$3:$A$5001,"&lt;="&amp;$B201,BD!$W$3:$W$5001,"&lt;&gt;"))))</f>
        <v/>
      </c>
      <c r="V201" s="54" t="str">
        <f>IF(OR($B201="",$A201&gt;$B$9,V$175=""),"",IF(COUNTIFS(BD!$B$3:$B$5001,V$175,BD!$A$3:$A$5001,"&gt;="&amp;$C$7,BD!$A$3:$A$5001,"&lt;="&amp;$B201,BD!$W$3:$W$5001,"&lt;&gt;")=0,"",SUMIFS(BD!$W$3:$W$5001,BD!$B$3:$B$5001,V$175,BD!$A$3:$A$5001,_xlfn.MAXIFS(BD!$A$3:$A$5001,BD!$B$3:$B$5001,V$175,BD!$A$3:$A$5001,"&gt;="&amp;$C$7,BD!$A$3:$A$5001,"&lt;="&amp;$B201,BD!$W$3:$W$5001,"&lt;&gt;"))))</f>
        <v/>
      </c>
    </row>
    <row r="202">
      <c r="A202" s="48">
        <v>27</v>
      </c>
      <c r="B202" s="53">
        <f>$B$38</f>
        <v>46322</v>
      </c>
      <c r="C202" s="54" t="str">
        <f>IF(OR($B202="",$A202&gt;$B$9,C$175=""),"",IF(COUNTIFS(BD!$B$3:$B$5001,C$175,BD!$A$3:$A$5001,"&gt;="&amp;$C$7,BD!$A$3:$A$5001,"&lt;="&amp;$B202,BD!$W$3:$W$5001,"&lt;&gt;")=0,"",SUMIFS(BD!$W$3:$W$5001,BD!$B$3:$B$5001,C$175,BD!$A$3:$A$5001,_xlfn.MAXIFS(BD!$A$3:$A$5001,BD!$B$3:$B$5001,C$175,BD!$A$3:$A$5001,"&gt;="&amp;$C$7,BD!$A$3:$A$5001,"&lt;="&amp;$B202,BD!$W$3:$W$5001,"&lt;&gt;"))))</f>
        <v/>
      </c>
      <c r="D202" s="54" t="str">
        <f>IF(OR($B202="",$A202&gt;$B$9,D$175=""),"",IF(COUNTIFS(BD!$B$3:$B$5001,D$175,BD!$A$3:$A$5001,"&gt;="&amp;$C$7,BD!$A$3:$A$5001,"&lt;="&amp;$B202,BD!$W$3:$W$5001,"&lt;&gt;")=0,"",SUMIFS(BD!$W$3:$W$5001,BD!$B$3:$B$5001,D$175,BD!$A$3:$A$5001,_xlfn.MAXIFS(BD!$A$3:$A$5001,BD!$B$3:$B$5001,D$175,BD!$A$3:$A$5001,"&gt;="&amp;$C$7,BD!$A$3:$A$5001,"&lt;="&amp;$B202,BD!$W$3:$W$5001,"&lt;&gt;"))))</f>
        <v/>
      </c>
      <c r="E202" s="54" t="str">
        <f>IF(OR($B202="",$A202&gt;$B$9,E$175=""),"",IF(COUNTIFS(BD!$B$3:$B$5001,E$175,BD!$A$3:$A$5001,"&gt;="&amp;$C$7,BD!$A$3:$A$5001,"&lt;="&amp;$B202,BD!$W$3:$W$5001,"&lt;&gt;")=0,"",SUMIFS(BD!$W$3:$W$5001,BD!$B$3:$B$5001,E$175,BD!$A$3:$A$5001,_xlfn.MAXIFS(BD!$A$3:$A$5001,BD!$B$3:$B$5001,E$175,BD!$A$3:$A$5001,"&gt;="&amp;$C$7,BD!$A$3:$A$5001,"&lt;="&amp;$B202,BD!$W$3:$W$5001,"&lt;&gt;"))))</f>
        <v/>
      </c>
      <c r="F202" s="54" t="str">
        <f>IF(OR($B202="",$A202&gt;$B$9,F$175=""),"",IF(COUNTIFS(BD!$B$3:$B$5001,F$175,BD!$A$3:$A$5001,"&gt;="&amp;$C$7,BD!$A$3:$A$5001,"&lt;="&amp;$B202,BD!$W$3:$W$5001,"&lt;&gt;")=0,"",SUMIFS(BD!$W$3:$W$5001,BD!$B$3:$B$5001,F$175,BD!$A$3:$A$5001,_xlfn.MAXIFS(BD!$A$3:$A$5001,BD!$B$3:$B$5001,F$175,BD!$A$3:$A$5001,"&gt;="&amp;$C$7,BD!$A$3:$A$5001,"&lt;="&amp;$B202,BD!$W$3:$W$5001,"&lt;&gt;"))))</f>
        <v/>
      </c>
      <c r="G202" s="54" t="str">
        <f>IF(OR($B202="",$A202&gt;$B$9,G$175=""),"",IF(COUNTIFS(BD!$B$3:$B$5001,G$175,BD!$A$3:$A$5001,"&gt;="&amp;$C$7,BD!$A$3:$A$5001,"&lt;="&amp;$B202,BD!$W$3:$W$5001,"&lt;&gt;")=0,"",SUMIFS(BD!$W$3:$W$5001,BD!$B$3:$B$5001,G$175,BD!$A$3:$A$5001,_xlfn.MAXIFS(BD!$A$3:$A$5001,BD!$B$3:$B$5001,G$175,BD!$A$3:$A$5001,"&gt;="&amp;$C$7,BD!$A$3:$A$5001,"&lt;="&amp;$B202,BD!$W$3:$W$5001,"&lt;&gt;"))))</f>
        <v/>
      </c>
      <c r="H202" s="54" t="str">
        <f>IF(OR($B202="",$A202&gt;$B$9,H$175=""),"",IF(COUNTIFS(BD!$B$3:$B$5001,H$175,BD!$A$3:$A$5001,"&gt;="&amp;$C$7,BD!$A$3:$A$5001,"&lt;="&amp;$B202,BD!$W$3:$W$5001,"&lt;&gt;")=0,"",SUMIFS(BD!$W$3:$W$5001,BD!$B$3:$B$5001,H$175,BD!$A$3:$A$5001,_xlfn.MAXIFS(BD!$A$3:$A$5001,BD!$B$3:$B$5001,H$175,BD!$A$3:$A$5001,"&gt;="&amp;$C$7,BD!$A$3:$A$5001,"&lt;="&amp;$B202,BD!$W$3:$W$5001,"&lt;&gt;"))))</f>
        <v/>
      </c>
      <c r="I202" s="54" t="str">
        <f>IF(OR($B202="",$A202&gt;$B$9,I$175=""),"",IF(COUNTIFS(BD!$B$3:$B$5001,I$175,BD!$A$3:$A$5001,"&gt;="&amp;$C$7,BD!$A$3:$A$5001,"&lt;="&amp;$B202,BD!$W$3:$W$5001,"&lt;&gt;")=0,"",SUMIFS(BD!$W$3:$W$5001,BD!$B$3:$B$5001,I$175,BD!$A$3:$A$5001,_xlfn.MAXIFS(BD!$A$3:$A$5001,BD!$B$3:$B$5001,I$175,BD!$A$3:$A$5001,"&gt;="&amp;$C$7,BD!$A$3:$A$5001,"&lt;="&amp;$B202,BD!$W$3:$W$5001,"&lt;&gt;"))))</f>
        <v/>
      </c>
      <c r="J202" s="54" t="str">
        <f>IF(OR($B202="",$A202&gt;$B$9,J$175=""),"",IF(COUNTIFS(BD!$B$3:$B$5001,J$175,BD!$A$3:$A$5001,"&gt;="&amp;$C$7,BD!$A$3:$A$5001,"&lt;="&amp;$B202,BD!$W$3:$W$5001,"&lt;&gt;")=0,"",SUMIFS(BD!$W$3:$W$5001,BD!$B$3:$B$5001,J$175,BD!$A$3:$A$5001,_xlfn.MAXIFS(BD!$A$3:$A$5001,BD!$B$3:$B$5001,J$175,BD!$A$3:$A$5001,"&gt;="&amp;$C$7,BD!$A$3:$A$5001,"&lt;="&amp;$B202,BD!$W$3:$W$5001,"&lt;&gt;"))))</f>
        <v/>
      </c>
      <c r="K202" s="54" t="str">
        <f>IF(OR($B202="",$A202&gt;$B$9,K$175=""),"",IF(COUNTIFS(BD!$B$3:$B$5001,K$175,BD!$A$3:$A$5001,"&gt;="&amp;$C$7,BD!$A$3:$A$5001,"&lt;="&amp;$B202,BD!$W$3:$W$5001,"&lt;&gt;")=0,"",SUMIFS(BD!$W$3:$W$5001,BD!$B$3:$B$5001,K$175,BD!$A$3:$A$5001,_xlfn.MAXIFS(BD!$A$3:$A$5001,BD!$B$3:$B$5001,K$175,BD!$A$3:$A$5001,"&gt;="&amp;$C$7,BD!$A$3:$A$5001,"&lt;="&amp;$B202,BD!$W$3:$W$5001,"&lt;&gt;"))))</f>
        <v/>
      </c>
      <c r="L202" s="54" t="str">
        <f>IF(OR($B202="",$A202&gt;$B$9,L$175=""),"",IF(COUNTIFS(BD!$B$3:$B$5001,L$175,BD!$A$3:$A$5001,"&gt;="&amp;$C$7,BD!$A$3:$A$5001,"&lt;="&amp;$B202,BD!$W$3:$W$5001,"&lt;&gt;")=0,"",SUMIFS(BD!$W$3:$W$5001,BD!$B$3:$B$5001,L$175,BD!$A$3:$A$5001,_xlfn.MAXIFS(BD!$A$3:$A$5001,BD!$B$3:$B$5001,L$175,BD!$A$3:$A$5001,"&gt;="&amp;$C$7,BD!$A$3:$A$5001,"&lt;="&amp;$B202,BD!$W$3:$W$5001,"&lt;&gt;"))))</f>
        <v/>
      </c>
      <c r="M202" s="54" t="str">
        <f>IF(OR($B202="",$A202&gt;$B$9,M$175=""),"",IF(COUNTIFS(BD!$B$3:$B$5001,M$175,BD!$A$3:$A$5001,"&gt;="&amp;$C$7,BD!$A$3:$A$5001,"&lt;="&amp;$B202,BD!$W$3:$W$5001,"&lt;&gt;")=0,"",SUMIFS(BD!$W$3:$W$5001,BD!$B$3:$B$5001,M$175,BD!$A$3:$A$5001,_xlfn.MAXIFS(BD!$A$3:$A$5001,BD!$B$3:$B$5001,M$175,BD!$A$3:$A$5001,"&gt;="&amp;$C$7,BD!$A$3:$A$5001,"&lt;="&amp;$B202,BD!$W$3:$W$5001,"&lt;&gt;"))))</f>
        <v/>
      </c>
      <c r="N202" s="54" t="str">
        <f>IF(OR($B202="",$A202&gt;$B$9,N$175=""),"",IF(COUNTIFS(BD!$B$3:$B$5001,N$175,BD!$A$3:$A$5001,"&gt;="&amp;$C$7,BD!$A$3:$A$5001,"&lt;="&amp;$B202,BD!$W$3:$W$5001,"&lt;&gt;")=0,"",SUMIFS(BD!$W$3:$W$5001,BD!$B$3:$B$5001,N$175,BD!$A$3:$A$5001,_xlfn.MAXIFS(BD!$A$3:$A$5001,BD!$B$3:$B$5001,N$175,BD!$A$3:$A$5001,"&gt;="&amp;$C$7,BD!$A$3:$A$5001,"&lt;="&amp;$B202,BD!$W$3:$W$5001,"&lt;&gt;"))))</f>
        <v/>
      </c>
      <c r="O202" s="54" t="str">
        <f>IF(OR($B202="",$A202&gt;$B$9,O$175=""),"",IF(COUNTIFS(BD!$B$3:$B$5001,O$175,BD!$A$3:$A$5001,"&gt;="&amp;$C$7,BD!$A$3:$A$5001,"&lt;="&amp;$B202,BD!$W$3:$W$5001,"&lt;&gt;")=0,"",SUMIFS(BD!$W$3:$W$5001,BD!$B$3:$B$5001,O$175,BD!$A$3:$A$5001,_xlfn.MAXIFS(BD!$A$3:$A$5001,BD!$B$3:$B$5001,O$175,BD!$A$3:$A$5001,"&gt;="&amp;$C$7,BD!$A$3:$A$5001,"&lt;="&amp;$B202,BD!$W$3:$W$5001,"&lt;&gt;"))))</f>
        <v/>
      </c>
      <c r="P202" s="54" t="str">
        <f>IF(OR($B202="",$A202&gt;$B$9,P$175=""),"",IF(COUNTIFS(BD!$B$3:$B$5001,P$175,BD!$A$3:$A$5001,"&gt;="&amp;$C$7,BD!$A$3:$A$5001,"&lt;="&amp;$B202,BD!$W$3:$W$5001,"&lt;&gt;")=0,"",SUMIFS(BD!$W$3:$W$5001,BD!$B$3:$B$5001,P$175,BD!$A$3:$A$5001,_xlfn.MAXIFS(BD!$A$3:$A$5001,BD!$B$3:$B$5001,P$175,BD!$A$3:$A$5001,"&gt;="&amp;$C$7,BD!$A$3:$A$5001,"&lt;="&amp;$B202,BD!$W$3:$W$5001,"&lt;&gt;"))))</f>
        <v/>
      </c>
      <c r="Q202" s="54" t="str">
        <f>IF(OR($B202="",$A202&gt;$B$9,Q$175=""),"",IF(COUNTIFS(BD!$B$3:$B$5001,Q$175,BD!$A$3:$A$5001,"&gt;="&amp;$C$7,BD!$A$3:$A$5001,"&lt;="&amp;$B202,BD!$W$3:$W$5001,"&lt;&gt;")=0,"",SUMIFS(BD!$W$3:$W$5001,BD!$B$3:$B$5001,Q$175,BD!$A$3:$A$5001,_xlfn.MAXIFS(BD!$A$3:$A$5001,BD!$B$3:$B$5001,Q$175,BD!$A$3:$A$5001,"&gt;="&amp;$C$7,BD!$A$3:$A$5001,"&lt;="&amp;$B202,BD!$W$3:$W$5001,"&lt;&gt;"))))</f>
        <v/>
      </c>
      <c r="R202" s="54" t="str">
        <f>IF(OR($B202="",$A202&gt;$B$9,R$175=""),"",IF(COUNTIFS(BD!$B$3:$B$5001,R$175,BD!$A$3:$A$5001,"&gt;="&amp;$C$7,BD!$A$3:$A$5001,"&lt;="&amp;$B202,BD!$W$3:$W$5001,"&lt;&gt;")=0,"",SUMIFS(BD!$W$3:$W$5001,BD!$B$3:$B$5001,R$175,BD!$A$3:$A$5001,_xlfn.MAXIFS(BD!$A$3:$A$5001,BD!$B$3:$B$5001,R$175,BD!$A$3:$A$5001,"&gt;="&amp;$C$7,BD!$A$3:$A$5001,"&lt;="&amp;$B202,BD!$W$3:$W$5001,"&lt;&gt;"))))</f>
        <v/>
      </c>
      <c r="S202" s="54" t="str">
        <f>IF(OR($B202="",$A202&gt;$B$9,S$175=""),"",IF(COUNTIFS(BD!$B$3:$B$5001,S$175,BD!$A$3:$A$5001,"&gt;="&amp;$C$7,BD!$A$3:$A$5001,"&lt;="&amp;$B202,BD!$W$3:$W$5001,"&lt;&gt;")=0,"",SUMIFS(BD!$W$3:$W$5001,BD!$B$3:$B$5001,S$175,BD!$A$3:$A$5001,_xlfn.MAXIFS(BD!$A$3:$A$5001,BD!$B$3:$B$5001,S$175,BD!$A$3:$A$5001,"&gt;="&amp;$C$7,BD!$A$3:$A$5001,"&lt;="&amp;$B202,BD!$W$3:$W$5001,"&lt;&gt;"))))</f>
        <v/>
      </c>
      <c r="T202" s="54" t="str">
        <f>IF(OR($B202="",$A202&gt;$B$9,T$175=""),"",IF(COUNTIFS(BD!$B$3:$B$5001,T$175,BD!$A$3:$A$5001,"&gt;="&amp;$C$7,BD!$A$3:$A$5001,"&lt;="&amp;$B202,BD!$W$3:$W$5001,"&lt;&gt;")=0,"",SUMIFS(BD!$W$3:$W$5001,BD!$B$3:$B$5001,T$175,BD!$A$3:$A$5001,_xlfn.MAXIFS(BD!$A$3:$A$5001,BD!$B$3:$B$5001,T$175,BD!$A$3:$A$5001,"&gt;="&amp;$C$7,BD!$A$3:$A$5001,"&lt;="&amp;$B202,BD!$W$3:$W$5001,"&lt;&gt;"))))</f>
        <v/>
      </c>
      <c r="U202" s="54" t="str">
        <f>IF(OR($B202="",$A202&gt;$B$9,U$175=""),"",IF(COUNTIFS(BD!$B$3:$B$5001,U$175,BD!$A$3:$A$5001,"&gt;="&amp;$C$7,BD!$A$3:$A$5001,"&lt;="&amp;$B202,BD!$W$3:$W$5001,"&lt;&gt;")=0,"",SUMIFS(BD!$W$3:$W$5001,BD!$B$3:$B$5001,U$175,BD!$A$3:$A$5001,_xlfn.MAXIFS(BD!$A$3:$A$5001,BD!$B$3:$B$5001,U$175,BD!$A$3:$A$5001,"&gt;="&amp;$C$7,BD!$A$3:$A$5001,"&lt;="&amp;$B202,BD!$W$3:$W$5001,"&lt;&gt;"))))</f>
        <v/>
      </c>
      <c r="V202" s="54" t="str">
        <f>IF(OR($B202="",$A202&gt;$B$9,V$175=""),"",IF(COUNTIFS(BD!$B$3:$B$5001,V$175,BD!$A$3:$A$5001,"&gt;="&amp;$C$7,BD!$A$3:$A$5001,"&lt;="&amp;$B202,BD!$W$3:$W$5001,"&lt;&gt;")=0,"",SUMIFS(BD!$W$3:$W$5001,BD!$B$3:$B$5001,V$175,BD!$A$3:$A$5001,_xlfn.MAXIFS(BD!$A$3:$A$5001,BD!$B$3:$B$5001,V$175,BD!$A$3:$A$5001,"&gt;="&amp;$C$7,BD!$A$3:$A$5001,"&lt;="&amp;$B202,BD!$W$3:$W$5001,"&lt;&gt;"))))</f>
        <v/>
      </c>
    </row>
    <row r="203">
      <c r="A203" s="48">
        <v>28</v>
      </c>
      <c r="B203" s="53">
        <f>$B$39</f>
        <v>46323</v>
      </c>
      <c r="C203" s="54" t="str">
        <f>IF(OR($B203="",$A203&gt;$B$9,C$175=""),"",IF(COUNTIFS(BD!$B$3:$B$5001,C$175,BD!$A$3:$A$5001,"&gt;="&amp;$C$7,BD!$A$3:$A$5001,"&lt;="&amp;$B203,BD!$W$3:$W$5001,"&lt;&gt;")=0,"",SUMIFS(BD!$W$3:$W$5001,BD!$B$3:$B$5001,C$175,BD!$A$3:$A$5001,_xlfn.MAXIFS(BD!$A$3:$A$5001,BD!$B$3:$B$5001,C$175,BD!$A$3:$A$5001,"&gt;="&amp;$C$7,BD!$A$3:$A$5001,"&lt;="&amp;$B203,BD!$W$3:$W$5001,"&lt;&gt;"))))</f>
        <v/>
      </c>
      <c r="D203" s="54" t="str">
        <f>IF(OR($B203="",$A203&gt;$B$9,D$175=""),"",IF(COUNTIFS(BD!$B$3:$B$5001,D$175,BD!$A$3:$A$5001,"&gt;="&amp;$C$7,BD!$A$3:$A$5001,"&lt;="&amp;$B203,BD!$W$3:$W$5001,"&lt;&gt;")=0,"",SUMIFS(BD!$W$3:$W$5001,BD!$B$3:$B$5001,D$175,BD!$A$3:$A$5001,_xlfn.MAXIFS(BD!$A$3:$A$5001,BD!$B$3:$B$5001,D$175,BD!$A$3:$A$5001,"&gt;="&amp;$C$7,BD!$A$3:$A$5001,"&lt;="&amp;$B203,BD!$W$3:$W$5001,"&lt;&gt;"))))</f>
        <v/>
      </c>
      <c r="E203" s="54" t="str">
        <f>IF(OR($B203="",$A203&gt;$B$9,E$175=""),"",IF(COUNTIFS(BD!$B$3:$B$5001,E$175,BD!$A$3:$A$5001,"&gt;="&amp;$C$7,BD!$A$3:$A$5001,"&lt;="&amp;$B203,BD!$W$3:$W$5001,"&lt;&gt;")=0,"",SUMIFS(BD!$W$3:$W$5001,BD!$B$3:$B$5001,E$175,BD!$A$3:$A$5001,_xlfn.MAXIFS(BD!$A$3:$A$5001,BD!$B$3:$B$5001,E$175,BD!$A$3:$A$5001,"&gt;="&amp;$C$7,BD!$A$3:$A$5001,"&lt;="&amp;$B203,BD!$W$3:$W$5001,"&lt;&gt;"))))</f>
        <v/>
      </c>
      <c r="F203" s="54" t="str">
        <f>IF(OR($B203="",$A203&gt;$B$9,F$175=""),"",IF(COUNTIFS(BD!$B$3:$B$5001,F$175,BD!$A$3:$A$5001,"&gt;="&amp;$C$7,BD!$A$3:$A$5001,"&lt;="&amp;$B203,BD!$W$3:$W$5001,"&lt;&gt;")=0,"",SUMIFS(BD!$W$3:$W$5001,BD!$B$3:$B$5001,F$175,BD!$A$3:$A$5001,_xlfn.MAXIFS(BD!$A$3:$A$5001,BD!$B$3:$B$5001,F$175,BD!$A$3:$A$5001,"&gt;="&amp;$C$7,BD!$A$3:$A$5001,"&lt;="&amp;$B203,BD!$W$3:$W$5001,"&lt;&gt;"))))</f>
        <v/>
      </c>
      <c r="G203" s="54" t="str">
        <f>IF(OR($B203="",$A203&gt;$B$9,G$175=""),"",IF(COUNTIFS(BD!$B$3:$B$5001,G$175,BD!$A$3:$A$5001,"&gt;="&amp;$C$7,BD!$A$3:$A$5001,"&lt;="&amp;$B203,BD!$W$3:$W$5001,"&lt;&gt;")=0,"",SUMIFS(BD!$W$3:$W$5001,BD!$B$3:$B$5001,G$175,BD!$A$3:$A$5001,_xlfn.MAXIFS(BD!$A$3:$A$5001,BD!$B$3:$B$5001,G$175,BD!$A$3:$A$5001,"&gt;="&amp;$C$7,BD!$A$3:$A$5001,"&lt;="&amp;$B203,BD!$W$3:$W$5001,"&lt;&gt;"))))</f>
        <v/>
      </c>
      <c r="H203" s="54" t="str">
        <f>IF(OR($B203="",$A203&gt;$B$9,H$175=""),"",IF(COUNTIFS(BD!$B$3:$B$5001,H$175,BD!$A$3:$A$5001,"&gt;="&amp;$C$7,BD!$A$3:$A$5001,"&lt;="&amp;$B203,BD!$W$3:$W$5001,"&lt;&gt;")=0,"",SUMIFS(BD!$W$3:$W$5001,BD!$B$3:$B$5001,H$175,BD!$A$3:$A$5001,_xlfn.MAXIFS(BD!$A$3:$A$5001,BD!$B$3:$B$5001,H$175,BD!$A$3:$A$5001,"&gt;="&amp;$C$7,BD!$A$3:$A$5001,"&lt;="&amp;$B203,BD!$W$3:$W$5001,"&lt;&gt;"))))</f>
        <v/>
      </c>
      <c r="I203" s="54" t="str">
        <f>IF(OR($B203="",$A203&gt;$B$9,I$175=""),"",IF(COUNTIFS(BD!$B$3:$B$5001,I$175,BD!$A$3:$A$5001,"&gt;="&amp;$C$7,BD!$A$3:$A$5001,"&lt;="&amp;$B203,BD!$W$3:$W$5001,"&lt;&gt;")=0,"",SUMIFS(BD!$W$3:$W$5001,BD!$B$3:$B$5001,I$175,BD!$A$3:$A$5001,_xlfn.MAXIFS(BD!$A$3:$A$5001,BD!$B$3:$B$5001,I$175,BD!$A$3:$A$5001,"&gt;="&amp;$C$7,BD!$A$3:$A$5001,"&lt;="&amp;$B203,BD!$W$3:$W$5001,"&lt;&gt;"))))</f>
        <v/>
      </c>
      <c r="J203" s="54" t="str">
        <f>IF(OR($B203="",$A203&gt;$B$9,J$175=""),"",IF(COUNTIFS(BD!$B$3:$B$5001,J$175,BD!$A$3:$A$5001,"&gt;="&amp;$C$7,BD!$A$3:$A$5001,"&lt;="&amp;$B203,BD!$W$3:$W$5001,"&lt;&gt;")=0,"",SUMIFS(BD!$W$3:$W$5001,BD!$B$3:$B$5001,J$175,BD!$A$3:$A$5001,_xlfn.MAXIFS(BD!$A$3:$A$5001,BD!$B$3:$B$5001,J$175,BD!$A$3:$A$5001,"&gt;="&amp;$C$7,BD!$A$3:$A$5001,"&lt;="&amp;$B203,BD!$W$3:$W$5001,"&lt;&gt;"))))</f>
        <v/>
      </c>
      <c r="K203" s="54" t="str">
        <f>IF(OR($B203="",$A203&gt;$B$9,K$175=""),"",IF(COUNTIFS(BD!$B$3:$B$5001,K$175,BD!$A$3:$A$5001,"&gt;="&amp;$C$7,BD!$A$3:$A$5001,"&lt;="&amp;$B203,BD!$W$3:$W$5001,"&lt;&gt;")=0,"",SUMIFS(BD!$W$3:$W$5001,BD!$B$3:$B$5001,K$175,BD!$A$3:$A$5001,_xlfn.MAXIFS(BD!$A$3:$A$5001,BD!$B$3:$B$5001,K$175,BD!$A$3:$A$5001,"&gt;="&amp;$C$7,BD!$A$3:$A$5001,"&lt;="&amp;$B203,BD!$W$3:$W$5001,"&lt;&gt;"))))</f>
        <v/>
      </c>
      <c r="L203" s="54" t="str">
        <f>IF(OR($B203="",$A203&gt;$B$9,L$175=""),"",IF(COUNTIFS(BD!$B$3:$B$5001,L$175,BD!$A$3:$A$5001,"&gt;="&amp;$C$7,BD!$A$3:$A$5001,"&lt;="&amp;$B203,BD!$W$3:$W$5001,"&lt;&gt;")=0,"",SUMIFS(BD!$W$3:$W$5001,BD!$B$3:$B$5001,L$175,BD!$A$3:$A$5001,_xlfn.MAXIFS(BD!$A$3:$A$5001,BD!$B$3:$B$5001,L$175,BD!$A$3:$A$5001,"&gt;="&amp;$C$7,BD!$A$3:$A$5001,"&lt;="&amp;$B203,BD!$W$3:$W$5001,"&lt;&gt;"))))</f>
        <v/>
      </c>
      <c r="M203" s="54" t="str">
        <f>IF(OR($B203="",$A203&gt;$B$9,M$175=""),"",IF(COUNTIFS(BD!$B$3:$B$5001,M$175,BD!$A$3:$A$5001,"&gt;="&amp;$C$7,BD!$A$3:$A$5001,"&lt;="&amp;$B203,BD!$W$3:$W$5001,"&lt;&gt;")=0,"",SUMIFS(BD!$W$3:$W$5001,BD!$B$3:$B$5001,M$175,BD!$A$3:$A$5001,_xlfn.MAXIFS(BD!$A$3:$A$5001,BD!$B$3:$B$5001,M$175,BD!$A$3:$A$5001,"&gt;="&amp;$C$7,BD!$A$3:$A$5001,"&lt;="&amp;$B203,BD!$W$3:$W$5001,"&lt;&gt;"))))</f>
        <v/>
      </c>
      <c r="N203" s="54" t="str">
        <f>IF(OR($B203="",$A203&gt;$B$9,N$175=""),"",IF(COUNTIFS(BD!$B$3:$B$5001,N$175,BD!$A$3:$A$5001,"&gt;="&amp;$C$7,BD!$A$3:$A$5001,"&lt;="&amp;$B203,BD!$W$3:$W$5001,"&lt;&gt;")=0,"",SUMIFS(BD!$W$3:$W$5001,BD!$B$3:$B$5001,N$175,BD!$A$3:$A$5001,_xlfn.MAXIFS(BD!$A$3:$A$5001,BD!$B$3:$B$5001,N$175,BD!$A$3:$A$5001,"&gt;="&amp;$C$7,BD!$A$3:$A$5001,"&lt;="&amp;$B203,BD!$W$3:$W$5001,"&lt;&gt;"))))</f>
        <v/>
      </c>
      <c r="O203" s="54" t="str">
        <f>IF(OR($B203="",$A203&gt;$B$9,O$175=""),"",IF(COUNTIFS(BD!$B$3:$B$5001,O$175,BD!$A$3:$A$5001,"&gt;="&amp;$C$7,BD!$A$3:$A$5001,"&lt;="&amp;$B203,BD!$W$3:$W$5001,"&lt;&gt;")=0,"",SUMIFS(BD!$W$3:$W$5001,BD!$B$3:$B$5001,O$175,BD!$A$3:$A$5001,_xlfn.MAXIFS(BD!$A$3:$A$5001,BD!$B$3:$B$5001,O$175,BD!$A$3:$A$5001,"&gt;="&amp;$C$7,BD!$A$3:$A$5001,"&lt;="&amp;$B203,BD!$W$3:$W$5001,"&lt;&gt;"))))</f>
        <v/>
      </c>
      <c r="P203" s="54" t="str">
        <f>IF(OR($B203="",$A203&gt;$B$9,P$175=""),"",IF(COUNTIFS(BD!$B$3:$B$5001,P$175,BD!$A$3:$A$5001,"&gt;="&amp;$C$7,BD!$A$3:$A$5001,"&lt;="&amp;$B203,BD!$W$3:$W$5001,"&lt;&gt;")=0,"",SUMIFS(BD!$W$3:$W$5001,BD!$B$3:$B$5001,P$175,BD!$A$3:$A$5001,_xlfn.MAXIFS(BD!$A$3:$A$5001,BD!$B$3:$B$5001,P$175,BD!$A$3:$A$5001,"&gt;="&amp;$C$7,BD!$A$3:$A$5001,"&lt;="&amp;$B203,BD!$W$3:$W$5001,"&lt;&gt;"))))</f>
        <v/>
      </c>
      <c r="Q203" s="54" t="str">
        <f>IF(OR($B203="",$A203&gt;$B$9,Q$175=""),"",IF(COUNTIFS(BD!$B$3:$B$5001,Q$175,BD!$A$3:$A$5001,"&gt;="&amp;$C$7,BD!$A$3:$A$5001,"&lt;="&amp;$B203,BD!$W$3:$W$5001,"&lt;&gt;")=0,"",SUMIFS(BD!$W$3:$W$5001,BD!$B$3:$B$5001,Q$175,BD!$A$3:$A$5001,_xlfn.MAXIFS(BD!$A$3:$A$5001,BD!$B$3:$B$5001,Q$175,BD!$A$3:$A$5001,"&gt;="&amp;$C$7,BD!$A$3:$A$5001,"&lt;="&amp;$B203,BD!$W$3:$W$5001,"&lt;&gt;"))))</f>
        <v/>
      </c>
      <c r="R203" s="54" t="str">
        <f>IF(OR($B203="",$A203&gt;$B$9,R$175=""),"",IF(COUNTIFS(BD!$B$3:$B$5001,R$175,BD!$A$3:$A$5001,"&gt;="&amp;$C$7,BD!$A$3:$A$5001,"&lt;="&amp;$B203,BD!$W$3:$W$5001,"&lt;&gt;")=0,"",SUMIFS(BD!$W$3:$W$5001,BD!$B$3:$B$5001,R$175,BD!$A$3:$A$5001,_xlfn.MAXIFS(BD!$A$3:$A$5001,BD!$B$3:$B$5001,R$175,BD!$A$3:$A$5001,"&gt;="&amp;$C$7,BD!$A$3:$A$5001,"&lt;="&amp;$B203,BD!$W$3:$W$5001,"&lt;&gt;"))))</f>
        <v/>
      </c>
      <c r="S203" s="54" t="str">
        <f>IF(OR($B203="",$A203&gt;$B$9,S$175=""),"",IF(COUNTIFS(BD!$B$3:$B$5001,S$175,BD!$A$3:$A$5001,"&gt;="&amp;$C$7,BD!$A$3:$A$5001,"&lt;="&amp;$B203,BD!$W$3:$W$5001,"&lt;&gt;")=0,"",SUMIFS(BD!$W$3:$W$5001,BD!$B$3:$B$5001,S$175,BD!$A$3:$A$5001,_xlfn.MAXIFS(BD!$A$3:$A$5001,BD!$B$3:$B$5001,S$175,BD!$A$3:$A$5001,"&gt;="&amp;$C$7,BD!$A$3:$A$5001,"&lt;="&amp;$B203,BD!$W$3:$W$5001,"&lt;&gt;"))))</f>
        <v/>
      </c>
      <c r="T203" s="54" t="str">
        <f>IF(OR($B203="",$A203&gt;$B$9,T$175=""),"",IF(COUNTIFS(BD!$B$3:$B$5001,T$175,BD!$A$3:$A$5001,"&gt;="&amp;$C$7,BD!$A$3:$A$5001,"&lt;="&amp;$B203,BD!$W$3:$W$5001,"&lt;&gt;")=0,"",SUMIFS(BD!$W$3:$W$5001,BD!$B$3:$B$5001,T$175,BD!$A$3:$A$5001,_xlfn.MAXIFS(BD!$A$3:$A$5001,BD!$B$3:$B$5001,T$175,BD!$A$3:$A$5001,"&gt;="&amp;$C$7,BD!$A$3:$A$5001,"&lt;="&amp;$B203,BD!$W$3:$W$5001,"&lt;&gt;"))))</f>
        <v/>
      </c>
      <c r="U203" s="54" t="str">
        <f>IF(OR($B203="",$A203&gt;$B$9,U$175=""),"",IF(COUNTIFS(BD!$B$3:$B$5001,U$175,BD!$A$3:$A$5001,"&gt;="&amp;$C$7,BD!$A$3:$A$5001,"&lt;="&amp;$B203,BD!$W$3:$W$5001,"&lt;&gt;")=0,"",SUMIFS(BD!$W$3:$W$5001,BD!$B$3:$B$5001,U$175,BD!$A$3:$A$5001,_xlfn.MAXIFS(BD!$A$3:$A$5001,BD!$B$3:$B$5001,U$175,BD!$A$3:$A$5001,"&gt;="&amp;$C$7,BD!$A$3:$A$5001,"&lt;="&amp;$B203,BD!$W$3:$W$5001,"&lt;&gt;"))))</f>
        <v/>
      </c>
      <c r="V203" s="54" t="str">
        <f>IF(OR($B203="",$A203&gt;$B$9,V$175=""),"",IF(COUNTIFS(BD!$B$3:$B$5001,V$175,BD!$A$3:$A$5001,"&gt;="&amp;$C$7,BD!$A$3:$A$5001,"&lt;="&amp;$B203,BD!$W$3:$W$5001,"&lt;&gt;")=0,"",SUMIFS(BD!$W$3:$W$5001,BD!$B$3:$B$5001,V$175,BD!$A$3:$A$5001,_xlfn.MAXIFS(BD!$A$3:$A$5001,BD!$B$3:$B$5001,V$175,BD!$A$3:$A$5001,"&gt;="&amp;$C$7,BD!$A$3:$A$5001,"&lt;="&amp;$B203,BD!$W$3:$W$5001,"&lt;&gt;"))))</f>
        <v/>
      </c>
    </row>
    <row r="204">
      <c r="A204" s="48">
        <v>29</v>
      </c>
      <c r="B204" s="53">
        <f>$B$40</f>
        <v>46324</v>
      </c>
      <c r="C204" s="54" t="str">
        <f>IF(OR($B204="",$A204&gt;$B$9,C$175=""),"",IF(COUNTIFS(BD!$B$3:$B$5001,C$175,BD!$A$3:$A$5001,"&gt;="&amp;$C$7,BD!$A$3:$A$5001,"&lt;="&amp;$B204,BD!$W$3:$W$5001,"&lt;&gt;")=0,"",SUMIFS(BD!$W$3:$W$5001,BD!$B$3:$B$5001,C$175,BD!$A$3:$A$5001,_xlfn.MAXIFS(BD!$A$3:$A$5001,BD!$B$3:$B$5001,C$175,BD!$A$3:$A$5001,"&gt;="&amp;$C$7,BD!$A$3:$A$5001,"&lt;="&amp;$B204,BD!$W$3:$W$5001,"&lt;&gt;"))))</f>
        <v/>
      </c>
      <c r="D204" s="54" t="str">
        <f>IF(OR($B204="",$A204&gt;$B$9,D$175=""),"",IF(COUNTIFS(BD!$B$3:$B$5001,D$175,BD!$A$3:$A$5001,"&gt;="&amp;$C$7,BD!$A$3:$A$5001,"&lt;="&amp;$B204,BD!$W$3:$W$5001,"&lt;&gt;")=0,"",SUMIFS(BD!$W$3:$W$5001,BD!$B$3:$B$5001,D$175,BD!$A$3:$A$5001,_xlfn.MAXIFS(BD!$A$3:$A$5001,BD!$B$3:$B$5001,D$175,BD!$A$3:$A$5001,"&gt;="&amp;$C$7,BD!$A$3:$A$5001,"&lt;="&amp;$B204,BD!$W$3:$W$5001,"&lt;&gt;"))))</f>
        <v/>
      </c>
      <c r="E204" s="54" t="str">
        <f>IF(OR($B204="",$A204&gt;$B$9,E$175=""),"",IF(COUNTIFS(BD!$B$3:$B$5001,E$175,BD!$A$3:$A$5001,"&gt;="&amp;$C$7,BD!$A$3:$A$5001,"&lt;="&amp;$B204,BD!$W$3:$W$5001,"&lt;&gt;")=0,"",SUMIFS(BD!$W$3:$W$5001,BD!$B$3:$B$5001,E$175,BD!$A$3:$A$5001,_xlfn.MAXIFS(BD!$A$3:$A$5001,BD!$B$3:$B$5001,E$175,BD!$A$3:$A$5001,"&gt;="&amp;$C$7,BD!$A$3:$A$5001,"&lt;="&amp;$B204,BD!$W$3:$W$5001,"&lt;&gt;"))))</f>
        <v/>
      </c>
      <c r="F204" s="54" t="str">
        <f>IF(OR($B204="",$A204&gt;$B$9,F$175=""),"",IF(COUNTIFS(BD!$B$3:$B$5001,F$175,BD!$A$3:$A$5001,"&gt;="&amp;$C$7,BD!$A$3:$A$5001,"&lt;="&amp;$B204,BD!$W$3:$W$5001,"&lt;&gt;")=0,"",SUMIFS(BD!$W$3:$W$5001,BD!$B$3:$B$5001,F$175,BD!$A$3:$A$5001,_xlfn.MAXIFS(BD!$A$3:$A$5001,BD!$B$3:$B$5001,F$175,BD!$A$3:$A$5001,"&gt;="&amp;$C$7,BD!$A$3:$A$5001,"&lt;="&amp;$B204,BD!$W$3:$W$5001,"&lt;&gt;"))))</f>
        <v/>
      </c>
      <c r="G204" s="54" t="str">
        <f>IF(OR($B204="",$A204&gt;$B$9,G$175=""),"",IF(COUNTIFS(BD!$B$3:$B$5001,G$175,BD!$A$3:$A$5001,"&gt;="&amp;$C$7,BD!$A$3:$A$5001,"&lt;="&amp;$B204,BD!$W$3:$W$5001,"&lt;&gt;")=0,"",SUMIFS(BD!$W$3:$W$5001,BD!$B$3:$B$5001,G$175,BD!$A$3:$A$5001,_xlfn.MAXIFS(BD!$A$3:$A$5001,BD!$B$3:$B$5001,G$175,BD!$A$3:$A$5001,"&gt;="&amp;$C$7,BD!$A$3:$A$5001,"&lt;="&amp;$B204,BD!$W$3:$W$5001,"&lt;&gt;"))))</f>
        <v/>
      </c>
      <c r="H204" s="54" t="str">
        <f>IF(OR($B204="",$A204&gt;$B$9,H$175=""),"",IF(COUNTIFS(BD!$B$3:$B$5001,H$175,BD!$A$3:$A$5001,"&gt;="&amp;$C$7,BD!$A$3:$A$5001,"&lt;="&amp;$B204,BD!$W$3:$W$5001,"&lt;&gt;")=0,"",SUMIFS(BD!$W$3:$W$5001,BD!$B$3:$B$5001,H$175,BD!$A$3:$A$5001,_xlfn.MAXIFS(BD!$A$3:$A$5001,BD!$B$3:$B$5001,H$175,BD!$A$3:$A$5001,"&gt;="&amp;$C$7,BD!$A$3:$A$5001,"&lt;="&amp;$B204,BD!$W$3:$W$5001,"&lt;&gt;"))))</f>
        <v/>
      </c>
      <c r="I204" s="54" t="str">
        <f>IF(OR($B204="",$A204&gt;$B$9,I$175=""),"",IF(COUNTIFS(BD!$B$3:$B$5001,I$175,BD!$A$3:$A$5001,"&gt;="&amp;$C$7,BD!$A$3:$A$5001,"&lt;="&amp;$B204,BD!$W$3:$W$5001,"&lt;&gt;")=0,"",SUMIFS(BD!$W$3:$W$5001,BD!$B$3:$B$5001,I$175,BD!$A$3:$A$5001,_xlfn.MAXIFS(BD!$A$3:$A$5001,BD!$B$3:$B$5001,I$175,BD!$A$3:$A$5001,"&gt;="&amp;$C$7,BD!$A$3:$A$5001,"&lt;="&amp;$B204,BD!$W$3:$W$5001,"&lt;&gt;"))))</f>
        <v/>
      </c>
      <c r="J204" s="54" t="str">
        <f>IF(OR($B204="",$A204&gt;$B$9,J$175=""),"",IF(COUNTIFS(BD!$B$3:$B$5001,J$175,BD!$A$3:$A$5001,"&gt;="&amp;$C$7,BD!$A$3:$A$5001,"&lt;="&amp;$B204,BD!$W$3:$W$5001,"&lt;&gt;")=0,"",SUMIFS(BD!$W$3:$W$5001,BD!$B$3:$B$5001,J$175,BD!$A$3:$A$5001,_xlfn.MAXIFS(BD!$A$3:$A$5001,BD!$B$3:$B$5001,J$175,BD!$A$3:$A$5001,"&gt;="&amp;$C$7,BD!$A$3:$A$5001,"&lt;="&amp;$B204,BD!$W$3:$W$5001,"&lt;&gt;"))))</f>
        <v/>
      </c>
      <c r="K204" s="54" t="str">
        <f>IF(OR($B204="",$A204&gt;$B$9,K$175=""),"",IF(COUNTIFS(BD!$B$3:$B$5001,K$175,BD!$A$3:$A$5001,"&gt;="&amp;$C$7,BD!$A$3:$A$5001,"&lt;="&amp;$B204,BD!$W$3:$W$5001,"&lt;&gt;")=0,"",SUMIFS(BD!$W$3:$W$5001,BD!$B$3:$B$5001,K$175,BD!$A$3:$A$5001,_xlfn.MAXIFS(BD!$A$3:$A$5001,BD!$B$3:$B$5001,K$175,BD!$A$3:$A$5001,"&gt;="&amp;$C$7,BD!$A$3:$A$5001,"&lt;="&amp;$B204,BD!$W$3:$W$5001,"&lt;&gt;"))))</f>
        <v/>
      </c>
      <c r="L204" s="54" t="str">
        <f>IF(OR($B204="",$A204&gt;$B$9,L$175=""),"",IF(COUNTIFS(BD!$B$3:$B$5001,L$175,BD!$A$3:$A$5001,"&gt;="&amp;$C$7,BD!$A$3:$A$5001,"&lt;="&amp;$B204,BD!$W$3:$W$5001,"&lt;&gt;")=0,"",SUMIFS(BD!$W$3:$W$5001,BD!$B$3:$B$5001,L$175,BD!$A$3:$A$5001,_xlfn.MAXIFS(BD!$A$3:$A$5001,BD!$B$3:$B$5001,L$175,BD!$A$3:$A$5001,"&gt;="&amp;$C$7,BD!$A$3:$A$5001,"&lt;="&amp;$B204,BD!$W$3:$W$5001,"&lt;&gt;"))))</f>
        <v/>
      </c>
      <c r="M204" s="54" t="str">
        <f>IF(OR($B204="",$A204&gt;$B$9,M$175=""),"",IF(COUNTIFS(BD!$B$3:$B$5001,M$175,BD!$A$3:$A$5001,"&gt;="&amp;$C$7,BD!$A$3:$A$5001,"&lt;="&amp;$B204,BD!$W$3:$W$5001,"&lt;&gt;")=0,"",SUMIFS(BD!$W$3:$W$5001,BD!$B$3:$B$5001,M$175,BD!$A$3:$A$5001,_xlfn.MAXIFS(BD!$A$3:$A$5001,BD!$B$3:$B$5001,M$175,BD!$A$3:$A$5001,"&gt;="&amp;$C$7,BD!$A$3:$A$5001,"&lt;="&amp;$B204,BD!$W$3:$W$5001,"&lt;&gt;"))))</f>
        <v/>
      </c>
      <c r="N204" s="54" t="str">
        <f>IF(OR($B204="",$A204&gt;$B$9,N$175=""),"",IF(COUNTIFS(BD!$B$3:$B$5001,N$175,BD!$A$3:$A$5001,"&gt;="&amp;$C$7,BD!$A$3:$A$5001,"&lt;="&amp;$B204,BD!$W$3:$W$5001,"&lt;&gt;")=0,"",SUMIFS(BD!$W$3:$W$5001,BD!$B$3:$B$5001,N$175,BD!$A$3:$A$5001,_xlfn.MAXIFS(BD!$A$3:$A$5001,BD!$B$3:$B$5001,N$175,BD!$A$3:$A$5001,"&gt;="&amp;$C$7,BD!$A$3:$A$5001,"&lt;="&amp;$B204,BD!$W$3:$W$5001,"&lt;&gt;"))))</f>
        <v/>
      </c>
      <c r="O204" s="54" t="str">
        <f>IF(OR($B204="",$A204&gt;$B$9,O$175=""),"",IF(COUNTIFS(BD!$B$3:$B$5001,O$175,BD!$A$3:$A$5001,"&gt;="&amp;$C$7,BD!$A$3:$A$5001,"&lt;="&amp;$B204,BD!$W$3:$W$5001,"&lt;&gt;")=0,"",SUMIFS(BD!$W$3:$W$5001,BD!$B$3:$B$5001,O$175,BD!$A$3:$A$5001,_xlfn.MAXIFS(BD!$A$3:$A$5001,BD!$B$3:$B$5001,O$175,BD!$A$3:$A$5001,"&gt;="&amp;$C$7,BD!$A$3:$A$5001,"&lt;="&amp;$B204,BD!$W$3:$W$5001,"&lt;&gt;"))))</f>
        <v/>
      </c>
      <c r="P204" s="54" t="str">
        <f>IF(OR($B204="",$A204&gt;$B$9,P$175=""),"",IF(COUNTIFS(BD!$B$3:$B$5001,P$175,BD!$A$3:$A$5001,"&gt;="&amp;$C$7,BD!$A$3:$A$5001,"&lt;="&amp;$B204,BD!$W$3:$W$5001,"&lt;&gt;")=0,"",SUMIFS(BD!$W$3:$W$5001,BD!$B$3:$B$5001,P$175,BD!$A$3:$A$5001,_xlfn.MAXIFS(BD!$A$3:$A$5001,BD!$B$3:$B$5001,P$175,BD!$A$3:$A$5001,"&gt;="&amp;$C$7,BD!$A$3:$A$5001,"&lt;="&amp;$B204,BD!$W$3:$W$5001,"&lt;&gt;"))))</f>
        <v/>
      </c>
      <c r="Q204" s="54" t="str">
        <f>IF(OR($B204="",$A204&gt;$B$9,Q$175=""),"",IF(COUNTIFS(BD!$B$3:$B$5001,Q$175,BD!$A$3:$A$5001,"&gt;="&amp;$C$7,BD!$A$3:$A$5001,"&lt;="&amp;$B204,BD!$W$3:$W$5001,"&lt;&gt;")=0,"",SUMIFS(BD!$W$3:$W$5001,BD!$B$3:$B$5001,Q$175,BD!$A$3:$A$5001,_xlfn.MAXIFS(BD!$A$3:$A$5001,BD!$B$3:$B$5001,Q$175,BD!$A$3:$A$5001,"&gt;="&amp;$C$7,BD!$A$3:$A$5001,"&lt;="&amp;$B204,BD!$W$3:$W$5001,"&lt;&gt;"))))</f>
        <v/>
      </c>
      <c r="R204" s="54" t="str">
        <f>IF(OR($B204="",$A204&gt;$B$9,R$175=""),"",IF(COUNTIFS(BD!$B$3:$B$5001,R$175,BD!$A$3:$A$5001,"&gt;="&amp;$C$7,BD!$A$3:$A$5001,"&lt;="&amp;$B204,BD!$W$3:$W$5001,"&lt;&gt;")=0,"",SUMIFS(BD!$W$3:$W$5001,BD!$B$3:$B$5001,R$175,BD!$A$3:$A$5001,_xlfn.MAXIFS(BD!$A$3:$A$5001,BD!$B$3:$B$5001,R$175,BD!$A$3:$A$5001,"&gt;="&amp;$C$7,BD!$A$3:$A$5001,"&lt;="&amp;$B204,BD!$W$3:$W$5001,"&lt;&gt;"))))</f>
        <v/>
      </c>
      <c r="S204" s="54" t="str">
        <f>IF(OR($B204="",$A204&gt;$B$9,S$175=""),"",IF(COUNTIFS(BD!$B$3:$B$5001,S$175,BD!$A$3:$A$5001,"&gt;="&amp;$C$7,BD!$A$3:$A$5001,"&lt;="&amp;$B204,BD!$W$3:$W$5001,"&lt;&gt;")=0,"",SUMIFS(BD!$W$3:$W$5001,BD!$B$3:$B$5001,S$175,BD!$A$3:$A$5001,_xlfn.MAXIFS(BD!$A$3:$A$5001,BD!$B$3:$B$5001,S$175,BD!$A$3:$A$5001,"&gt;="&amp;$C$7,BD!$A$3:$A$5001,"&lt;="&amp;$B204,BD!$W$3:$W$5001,"&lt;&gt;"))))</f>
        <v/>
      </c>
      <c r="T204" s="54" t="str">
        <f>IF(OR($B204="",$A204&gt;$B$9,T$175=""),"",IF(COUNTIFS(BD!$B$3:$B$5001,T$175,BD!$A$3:$A$5001,"&gt;="&amp;$C$7,BD!$A$3:$A$5001,"&lt;="&amp;$B204,BD!$W$3:$W$5001,"&lt;&gt;")=0,"",SUMIFS(BD!$W$3:$W$5001,BD!$B$3:$B$5001,T$175,BD!$A$3:$A$5001,_xlfn.MAXIFS(BD!$A$3:$A$5001,BD!$B$3:$B$5001,T$175,BD!$A$3:$A$5001,"&gt;="&amp;$C$7,BD!$A$3:$A$5001,"&lt;="&amp;$B204,BD!$W$3:$W$5001,"&lt;&gt;"))))</f>
        <v/>
      </c>
      <c r="U204" s="54" t="str">
        <f>IF(OR($B204="",$A204&gt;$B$9,U$175=""),"",IF(COUNTIFS(BD!$B$3:$B$5001,U$175,BD!$A$3:$A$5001,"&gt;="&amp;$C$7,BD!$A$3:$A$5001,"&lt;="&amp;$B204,BD!$W$3:$W$5001,"&lt;&gt;")=0,"",SUMIFS(BD!$W$3:$W$5001,BD!$B$3:$B$5001,U$175,BD!$A$3:$A$5001,_xlfn.MAXIFS(BD!$A$3:$A$5001,BD!$B$3:$B$5001,U$175,BD!$A$3:$A$5001,"&gt;="&amp;$C$7,BD!$A$3:$A$5001,"&lt;="&amp;$B204,BD!$W$3:$W$5001,"&lt;&gt;"))))</f>
        <v/>
      </c>
      <c r="V204" s="54" t="str">
        <f>IF(OR($B204="",$A204&gt;$B$9,V$175=""),"",IF(COUNTIFS(BD!$B$3:$B$5001,V$175,BD!$A$3:$A$5001,"&gt;="&amp;$C$7,BD!$A$3:$A$5001,"&lt;="&amp;$B204,BD!$W$3:$W$5001,"&lt;&gt;")=0,"",SUMIFS(BD!$W$3:$W$5001,BD!$B$3:$B$5001,V$175,BD!$A$3:$A$5001,_xlfn.MAXIFS(BD!$A$3:$A$5001,BD!$B$3:$B$5001,V$175,BD!$A$3:$A$5001,"&gt;="&amp;$C$7,BD!$A$3:$A$5001,"&lt;="&amp;$B204,BD!$W$3:$W$5001,"&lt;&gt;"))))</f>
        <v/>
      </c>
    </row>
    <row r="205">
      <c r="A205" s="48">
        <v>30</v>
      </c>
      <c r="B205" s="53">
        <f>$B$41</f>
        <v>46325</v>
      </c>
      <c r="C205" s="54" t="str">
        <f>IF(OR($B205="",$A205&gt;$B$9,C$175=""),"",IF(COUNTIFS(BD!$B$3:$B$5001,C$175,BD!$A$3:$A$5001,"&gt;="&amp;$C$7,BD!$A$3:$A$5001,"&lt;="&amp;$B205,BD!$W$3:$W$5001,"&lt;&gt;")=0,"",SUMIFS(BD!$W$3:$W$5001,BD!$B$3:$B$5001,C$175,BD!$A$3:$A$5001,_xlfn.MAXIFS(BD!$A$3:$A$5001,BD!$B$3:$B$5001,C$175,BD!$A$3:$A$5001,"&gt;="&amp;$C$7,BD!$A$3:$A$5001,"&lt;="&amp;$B205,BD!$W$3:$W$5001,"&lt;&gt;"))))</f>
        <v/>
      </c>
      <c r="D205" s="54" t="str">
        <f>IF(OR($B205="",$A205&gt;$B$9,D$175=""),"",IF(COUNTIFS(BD!$B$3:$B$5001,D$175,BD!$A$3:$A$5001,"&gt;="&amp;$C$7,BD!$A$3:$A$5001,"&lt;="&amp;$B205,BD!$W$3:$W$5001,"&lt;&gt;")=0,"",SUMIFS(BD!$W$3:$W$5001,BD!$B$3:$B$5001,D$175,BD!$A$3:$A$5001,_xlfn.MAXIFS(BD!$A$3:$A$5001,BD!$B$3:$B$5001,D$175,BD!$A$3:$A$5001,"&gt;="&amp;$C$7,BD!$A$3:$A$5001,"&lt;="&amp;$B205,BD!$W$3:$W$5001,"&lt;&gt;"))))</f>
        <v/>
      </c>
      <c r="E205" s="54" t="str">
        <f>IF(OR($B205="",$A205&gt;$B$9,E$175=""),"",IF(COUNTIFS(BD!$B$3:$B$5001,E$175,BD!$A$3:$A$5001,"&gt;="&amp;$C$7,BD!$A$3:$A$5001,"&lt;="&amp;$B205,BD!$W$3:$W$5001,"&lt;&gt;")=0,"",SUMIFS(BD!$W$3:$W$5001,BD!$B$3:$B$5001,E$175,BD!$A$3:$A$5001,_xlfn.MAXIFS(BD!$A$3:$A$5001,BD!$B$3:$B$5001,E$175,BD!$A$3:$A$5001,"&gt;="&amp;$C$7,BD!$A$3:$A$5001,"&lt;="&amp;$B205,BD!$W$3:$W$5001,"&lt;&gt;"))))</f>
        <v/>
      </c>
      <c r="F205" s="54" t="str">
        <f>IF(OR($B205="",$A205&gt;$B$9,F$175=""),"",IF(COUNTIFS(BD!$B$3:$B$5001,F$175,BD!$A$3:$A$5001,"&gt;="&amp;$C$7,BD!$A$3:$A$5001,"&lt;="&amp;$B205,BD!$W$3:$W$5001,"&lt;&gt;")=0,"",SUMIFS(BD!$W$3:$W$5001,BD!$B$3:$B$5001,F$175,BD!$A$3:$A$5001,_xlfn.MAXIFS(BD!$A$3:$A$5001,BD!$B$3:$B$5001,F$175,BD!$A$3:$A$5001,"&gt;="&amp;$C$7,BD!$A$3:$A$5001,"&lt;="&amp;$B205,BD!$W$3:$W$5001,"&lt;&gt;"))))</f>
        <v/>
      </c>
      <c r="G205" s="54" t="str">
        <f>IF(OR($B205="",$A205&gt;$B$9,G$175=""),"",IF(COUNTIFS(BD!$B$3:$B$5001,G$175,BD!$A$3:$A$5001,"&gt;="&amp;$C$7,BD!$A$3:$A$5001,"&lt;="&amp;$B205,BD!$W$3:$W$5001,"&lt;&gt;")=0,"",SUMIFS(BD!$W$3:$W$5001,BD!$B$3:$B$5001,G$175,BD!$A$3:$A$5001,_xlfn.MAXIFS(BD!$A$3:$A$5001,BD!$B$3:$B$5001,G$175,BD!$A$3:$A$5001,"&gt;="&amp;$C$7,BD!$A$3:$A$5001,"&lt;="&amp;$B205,BD!$W$3:$W$5001,"&lt;&gt;"))))</f>
        <v/>
      </c>
      <c r="H205" s="54" t="str">
        <f>IF(OR($B205="",$A205&gt;$B$9,H$175=""),"",IF(COUNTIFS(BD!$B$3:$B$5001,H$175,BD!$A$3:$A$5001,"&gt;="&amp;$C$7,BD!$A$3:$A$5001,"&lt;="&amp;$B205,BD!$W$3:$W$5001,"&lt;&gt;")=0,"",SUMIFS(BD!$W$3:$W$5001,BD!$B$3:$B$5001,H$175,BD!$A$3:$A$5001,_xlfn.MAXIFS(BD!$A$3:$A$5001,BD!$B$3:$B$5001,H$175,BD!$A$3:$A$5001,"&gt;="&amp;$C$7,BD!$A$3:$A$5001,"&lt;="&amp;$B205,BD!$W$3:$W$5001,"&lt;&gt;"))))</f>
        <v/>
      </c>
      <c r="I205" s="54" t="str">
        <f>IF(OR($B205="",$A205&gt;$B$9,I$175=""),"",IF(COUNTIFS(BD!$B$3:$B$5001,I$175,BD!$A$3:$A$5001,"&gt;="&amp;$C$7,BD!$A$3:$A$5001,"&lt;="&amp;$B205,BD!$W$3:$W$5001,"&lt;&gt;")=0,"",SUMIFS(BD!$W$3:$W$5001,BD!$B$3:$B$5001,I$175,BD!$A$3:$A$5001,_xlfn.MAXIFS(BD!$A$3:$A$5001,BD!$B$3:$B$5001,I$175,BD!$A$3:$A$5001,"&gt;="&amp;$C$7,BD!$A$3:$A$5001,"&lt;="&amp;$B205,BD!$W$3:$W$5001,"&lt;&gt;"))))</f>
        <v/>
      </c>
      <c r="J205" s="54" t="str">
        <f>IF(OR($B205="",$A205&gt;$B$9,J$175=""),"",IF(COUNTIFS(BD!$B$3:$B$5001,J$175,BD!$A$3:$A$5001,"&gt;="&amp;$C$7,BD!$A$3:$A$5001,"&lt;="&amp;$B205,BD!$W$3:$W$5001,"&lt;&gt;")=0,"",SUMIFS(BD!$W$3:$W$5001,BD!$B$3:$B$5001,J$175,BD!$A$3:$A$5001,_xlfn.MAXIFS(BD!$A$3:$A$5001,BD!$B$3:$B$5001,J$175,BD!$A$3:$A$5001,"&gt;="&amp;$C$7,BD!$A$3:$A$5001,"&lt;="&amp;$B205,BD!$W$3:$W$5001,"&lt;&gt;"))))</f>
        <v/>
      </c>
      <c r="K205" s="54" t="str">
        <f>IF(OR($B205="",$A205&gt;$B$9,K$175=""),"",IF(COUNTIFS(BD!$B$3:$B$5001,K$175,BD!$A$3:$A$5001,"&gt;="&amp;$C$7,BD!$A$3:$A$5001,"&lt;="&amp;$B205,BD!$W$3:$W$5001,"&lt;&gt;")=0,"",SUMIFS(BD!$W$3:$W$5001,BD!$B$3:$B$5001,K$175,BD!$A$3:$A$5001,_xlfn.MAXIFS(BD!$A$3:$A$5001,BD!$B$3:$B$5001,K$175,BD!$A$3:$A$5001,"&gt;="&amp;$C$7,BD!$A$3:$A$5001,"&lt;="&amp;$B205,BD!$W$3:$W$5001,"&lt;&gt;"))))</f>
        <v/>
      </c>
      <c r="L205" s="54" t="str">
        <f>IF(OR($B205="",$A205&gt;$B$9,L$175=""),"",IF(COUNTIFS(BD!$B$3:$B$5001,L$175,BD!$A$3:$A$5001,"&gt;="&amp;$C$7,BD!$A$3:$A$5001,"&lt;="&amp;$B205,BD!$W$3:$W$5001,"&lt;&gt;")=0,"",SUMIFS(BD!$W$3:$W$5001,BD!$B$3:$B$5001,L$175,BD!$A$3:$A$5001,_xlfn.MAXIFS(BD!$A$3:$A$5001,BD!$B$3:$B$5001,L$175,BD!$A$3:$A$5001,"&gt;="&amp;$C$7,BD!$A$3:$A$5001,"&lt;="&amp;$B205,BD!$W$3:$W$5001,"&lt;&gt;"))))</f>
        <v/>
      </c>
      <c r="M205" s="54" t="str">
        <f>IF(OR($B205="",$A205&gt;$B$9,M$175=""),"",IF(COUNTIFS(BD!$B$3:$B$5001,M$175,BD!$A$3:$A$5001,"&gt;="&amp;$C$7,BD!$A$3:$A$5001,"&lt;="&amp;$B205,BD!$W$3:$W$5001,"&lt;&gt;")=0,"",SUMIFS(BD!$W$3:$W$5001,BD!$B$3:$B$5001,M$175,BD!$A$3:$A$5001,_xlfn.MAXIFS(BD!$A$3:$A$5001,BD!$B$3:$B$5001,M$175,BD!$A$3:$A$5001,"&gt;="&amp;$C$7,BD!$A$3:$A$5001,"&lt;="&amp;$B205,BD!$W$3:$W$5001,"&lt;&gt;"))))</f>
        <v/>
      </c>
      <c r="N205" s="54" t="str">
        <f>IF(OR($B205="",$A205&gt;$B$9,N$175=""),"",IF(COUNTIFS(BD!$B$3:$B$5001,N$175,BD!$A$3:$A$5001,"&gt;="&amp;$C$7,BD!$A$3:$A$5001,"&lt;="&amp;$B205,BD!$W$3:$W$5001,"&lt;&gt;")=0,"",SUMIFS(BD!$W$3:$W$5001,BD!$B$3:$B$5001,N$175,BD!$A$3:$A$5001,_xlfn.MAXIFS(BD!$A$3:$A$5001,BD!$B$3:$B$5001,N$175,BD!$A$3:$A$5001,"&gt;="&amp;$C$7,BD!$A$3:$A$5001,"&lt;="&amp;$B205,BD!$W$3:$W$5001,"&lt;&gt;"))))</f>
        <v/>
      </c>
      <c r="O205" s="54" t="str">
        <f>IF(OR($B205="",$A205&gt;$B$9,O$175=""),"",IF(COUNTIFS(BD!$B$3:$B$5001,O$175,BD!$A$3:$A$5001,"&gt;="&amp;$C$7,BD!$A$3:$A$5001,"&lt;="&amp;$B205,BD!$W$3:$W$5001,"&lt;&gt;")=0,"",SUMIFS(BD!$W$3:$W$5001,BD!$B$3:$B$5001,O$175,BD!$A$3:$A$5001,_xlfn.MAXIFS(BD!$A$3:$A$5001,BD!$B$3:$B$5001,O$175,BD!$A$3:$A$5001,"&gt;="&amp;$C$7,BD!$A$3:$A$5001,"&lt;="&amp;$B205,BD!$W$3:$W$5001,"&lt;&gt;"))))</f>
        <v/>
      </c>
      <c r="P205" s="54" t="str">
        <f>IF(OR($B205="",$A205&gt;$B$9,P$175=""),"",IF(COUNTIFS(BD!$B$3:$B$5001,P$175,BD!$A$3:$A$5001,"&gt;="&amp;$C$7,BD!$A$3:$A$5001,"&lt;="&amp;$B205,BD!$W$3:$W$5001,"&lt;&gt;")=0,"",SUMIFS(BD!$W$3:$W$5001,BD!$B$3:$B$5001,P$175,BD!$A$3:$A$5001,_xlfn.MAXIFS(BD!$A$3:$A$5001,BD!$B$3:$B$5001,P$175,BD!$A$3:$A$5001,"&gt;="&amp;$C$7,BD!$A$3:$A$5001,"&lt;="&amp;$B205,BD!$W$3:$W$5001,"&lt;&gt;"))))</f>
        <v/>
      </c>
      <c r="Q205" s="54" t="str">
        <f>IF(OR($B205="",$A205&gt;$B$9,Q$175=""),"",IF(COUNTIFS(BD!$B$3:$B$5001,Q$175,BD!$A$3:$A$5001,"&gt;="&amp;$C$7,BD!$A$3:$A$5001,"&lt;="&amp;$B205,BD!$W$3:$W$5001,"&lt;&gt;")=0,"",SUMIFS(BD!$W$3:$W$5001,BD!$B$3:$B$5001,Q$175,BD!$A$3:$A$5001,_xlfn.MAXIFS(BD!$A$3:$A$5001,BD!$B$3:$B$5001,Q$175,BD!$A$3:$A$5001,"&gt;="&amp;$C$7,BD!$A$3:$A$5001,"&lt;="&amp;$B205,BD!$W$3:$W$5001,"&lt;&gt;"))))</f>
        <v/>
      </c>
      <c r="R205" s="54" t="str">
        <f>IF(OR($B205="",$A205&gt;$B$9,R$175=""),"",IF(COUNTIFS(BD!$B$3:$B$5001,R$175,BD!$A$3:$A$5001,"&gt;="&amp;$C$7,BD!$A$3:$A$5001,"&lt;="&amp;$B205,BD!$W$3:$W$5001,"&lt;&gt;")=0,"",SUMIFS(BD!$W$3:$W$5001,BD!$B$3:$B$5001,R$175,BD!$A$3:$A$5001,_xlfn.MAXIFS(BD!$A$3:$A$5001,BD!$B$3:$B$5001,R$175,BD!$A$3:$A$5001,"&gt;="&amp;$C$7,BD!$A$3:$A$5001,"&lt;="&amp;$B205,BD!$W$3:$W$5001,"&lt;&gt;"))))</f>
        <v/>
      </c>
      <c r="S205" s="54" t="str">
        <f>IF(OR($B205="",$A205&gt;$B$9,S$175=""),"",IF(COUNTIFS(BD!$B$3:$B$5001,S$175,BD!$A$3:$A$5001,"&gt;="&amp;$C$7,BD!$A$3:$A$5001,"&lt;="&amp;$B205,BD!$W$3:$W$5001,"&lt;&gt;")=0,"",SUMIFS(BD!$W$3:$W$5001,BD!$B$3:$B$5001,S$175,BD!$A$3:$A$5001,_xlfn.MAXIFS(BD!$A$3:$A$5001,BD!$B$3:$B$5001,S$175,BD!$A$3:$A$5001,"&gt;="&amp;$C$7,BD!$A$3:$A$5001,"&lt;="&amp;$B205,BD!$W$3:$W$5001,"&lt;&gt;"))))</f>
        <v/>
      </c>
      <c r="T205" s="54" t="str">
        <f>IF(OR($B205="",$A205&gt;$B$9,T$175=""),"",IF(COUNTIFS(BD!$B$3:$B$5001,T$175,BD!$A$3:$A$5001,"&gt;="&amp;$C$7,BD!$A$3:$A$5001,"&lt;="&amp;$B205,BD!$W$3:$W$5001,"&lt;&gt;")=0,"",SUMIFS(BD!$W$3:$W$5001,BD!$B$3:$B$5001,T$175,BD!$A$3:$A$5001,_xlfn.MAXIFS(BD!$A$3:$A$5001,BD!$B$3:$B$5001,T$175,BD!$A$3:$A$5001,"&gt;="&amp;$C$7,BD!$A$3:$A$5001,"&lt;="&amp;$B205,BD!$W$3:$W$5001,"&lt;&gt;"))))</f>
        <v/>
      </c>
      <c r="U205" s="54" t="str">
        <f>IF(OR($B205="",$A205&gt;$B$9,U$175=""),"",IF(COUNTIFS(BD!$B$3:$B$5001,U$175,BD!$A$3:$A$5001,"&gt;="&amp;$C$7,BD!$A$3:$A$5001,"&lt;="&amp;$B205,BD!$W$3:$W$5001,"&lt;&gt;")=0,"",SUMIFS(BD!$W$3:$W$5001,BD!$B$3:$B$5001,U$175,BD!$A$3:$A$5001,_xlfn.MAXIFS(BD!$A$3:$A$5001,BD!$B$3:$B$5001,U$175,BD!$A$3:$A$5001,"&gt;="&amp;$C$7,BD!$A$3:$A$5001,"&lt;="&amp;$B205,BD!$W$3:$W$5001,"&lt;&gt;"))))</f>
        <v/>
      </c>
      <c r="V205" s="54" t="str">
        <f>IF(OR($B205="",$A205&gt;$B$9,V$175=""),"",IF(COUNTIFS(BD!$B$3:$B$5001,V$175,BD!$A$3:$A$5001,"&gt;="&amp;$C$7,BD!$A$3:$A$5001,"&lt;="&amp;$B205,BD!$W$3:$W$5001,"&lt;&gt;")=0,"",SUMIFS(BD!$W$3:$W$5001,BD!$B$3:$B$5001,V$175,BD!$A$3:$A$5001,_xlfn.MAXIFS(BD!$A$3:$A$5001,BD!$B$3:$B$5001,V$175,BD!$A$3:$A$5001,"&gt;="&amp;$C$7,BD!$A$3:$A$5001,"&lt;="&amp;$B205,BD!$W$3:$W$5001,"&lt;&gt;"))))</f>
        <v/>
      </c>
    </row>
    <row r="206">
      <c r="A206" s="48">
        <v>31</v>
      </c>
      <c r="B206" s="53">
        <f>$B$42</f>
        <v>46326</v>
      </c>
      <c r="C206" s="54" t="str">
        <f>IF(OR($B206="",$A206&gt;$B$9,C$175=""),"",IF(COUNTIFS(BD!$B$3:$B$5001,C$175,BD!$A$3:$A$5001,"&gt;="&amp;$C$7,BD!$A$3:$A$5001,"&lt;="&amp;$B206,BD!$W$3:$W$5001,"&lt;&gt;")=0,"",SUMIFS(BD!$W$3:$W$5001,BD!$B$3:$B$5001,C$175,BD!$A$3:$A$5001,_xlfn.MAXIFS(BD!$A$3:$A$5001,BD!$B$3:$B$5001,C$175,BD!$A$3:$A$5001,"&gt;="&amp;$C$7,BD!$A$3:$A$5001,"&lt;="&amp;$B206,BD!$W$3:$W$5001,"&lt;&gt;"))))</f>
        <v/>
      </c>
      <c r="D206" s="54" t="str">
        <f>IF(OR($B206="",$A206&gt;$B$9,D$175=""),"",IF(COUNTIFS(BD!$B$3:$B$5001,D$175,BD!$A$3:$A$5001,"&gt;="&amp;$C$7,BD!$A$3:$A$5001,"&lt;="&amp;$B206,BD!$W$3:$W$5001,"&lt;&gt;")=0,"",SUMIFS(BD!$W$3:$W$5001,BD!$B$3:$B$5001,D$175,BD!$A$3:$A$5001,_xlfn.MAXIFS(BD!$A$3:$A$5001,BD!$B$3:$B$5001,D$175,BD!$A$3:$A$5001,"&gt;="&amp;$C$7,BD!$A$3:$A$5001,"&lt;="&amp;$B206,BD!$W$3:$W$5001,"&lt;&gt;"))))</f>
        <v/>
      </c>
      <c r="E206" s="54" t="str">
        <f>IF(OR($B206="",$A206&gt;$B$9,E$175=""),"",IF(COUNTIFS(BD!$B$3:$B$5001,E$175,BD!$A$3:$A$5001,"&gt;="&amp;$C$7,BD!$A$3:$A$5001,"&lt;="&amp;$B206,BD!$W$3:$W$5001,"&lt;&gt;")=0,"",SUMIFS(BD!$W$3:$W$5001,BD!$B$3:$B$5001,E$175,BD!$A$3:$A$5001,_xlfn.MAXIFS(BD!$A$3:$A$5001,BD!$B$3:$B$5001,E$175,BD!$A$3:$A$5001,"&gt;="&amp;$C$7,BD!$A$3:$A$5001,"&lt;="&amp;$B206,BD!$W$3:$W$5001,"&lt;&gt;"))))</f>
        <v/>
      </c>
      <c r="F206" s="54" t="str">
        <f>IF(OR($B206="",$A206&gt;$B$9,F$175=""),"",IF(COUNTIFS(BD!$B$3:$B$5001,F$175,BD!$A$3:$A$5001,"&gt;="&amp;$C$7,BD!$A$3:$A$5001,"&lt;="&amp;$B206,BD!$W$3:$W$5001,"&lt;&gt;")=0,"",SUMIFS(BD!$W$3:$W$5001,BD!$B$3:$B$5001,F$175,BD!$A$3:$A$5001,_xlfn.MAXIFS(BD!$A$3:$A$5001,BD!$B$3:$B$5001,F$175,BD!$A$3:$A$5001,"&gt;="&amp;$C$7,BD!$A$3:$A$5001,"&lt;="&amp;$B206,BD!$W$3:$W$5001,"&lt;&gt;"))))</f>
        <v/>
      </c>
      <c r="G206" s="54" t="str">
        <f>IF(OR($B206="",$A206&gt;$B$9,G$175=""),"",IF(COUNTIFS(BD!$B$3:$B$5001,G$175,BD!$A$3:$A$5001,"&gt;="&amp;$C$7,BD!$A$3:$A$5001,"&lt;="&amp;$B206,BD!$W$3:$W$5001,"&lt;&gt;")=0,"",SUMIFS(BD!$W$3:$W$5001,BD!$B$3:$B$5001,G$175,BD!$A$3:$A$5001,_xlfn.MAXIFS(BD!$A$3:$A$5001,BD!$B$3:$B$5001,G$175,BD!$A$3:$A$5001,"&gt;="&amp;$C$7,BD!$A$3:$A$5001,"&lt;="&amp;$B206,BD!$W$3:$W$5001,"&lt;&gt;"))))</f>
        <v/>
      </c>
      <c r="H206" s="54" t="str">
        <f>IF(OR($B206="",$A206&gt;$B$9,H$175=""),"",IF(COUNTIFS(BD!$B$3:$B$5001,H$175,BD!$A$3:$A$5001,"&gt;="&amp;$C$7,BD!$A$3:$A$5001,"&lt;="&amp;$B206,BD!$W$3:$W$5001,"&lt;&gt;")=0,"",SUMIFS(BD!$W$3:$W$5001,BD!$B$3:$B$5001,H$175,BD!$A$3:$A$5001,_xlfn.MAXIFS(BD!$A$3:$A$5001,BD!$B$3:$B$5001,H$175,BD!$A$3:$A$5001,"&gt;="&amp;$C$7,BD!$A$3:$A$5001,"&lt;="&amp;$B206,BD!$W$3:$W$5001,"&lt;&gt;"))))</f>
        <v/>
      </c>
      <c r="I206" s="54" t="str">
        <f>IF(OR($B206="",$A206&gt;$B$9,I$175=""),"",IF(COUNTIFS(BD!$B$3:$B$5001,I$175,BD!$A$3:$A$5001,"&gt;="&amp;$C$7,BD!$A$3:$A$5001,"&lt;="&amp;$B206,BD!$W$3:$W$5001,"&lt;&gt;")=0,"",SUMIFS(BD!$W$3:$W$5001,BD!$B$3:$B$5001,I$175,BD!$A$3:$A$5001,_xlfn.MAXIFS(BD!$A$3:$A$5001,BD!$B$3:$B$5001,I$175,BD!$A$3:$A$5001,"&gt;="&amp;$C$7,BD!$A$3:$A$5001,"&lt;="&amp;$B206,BD!$W$3:$W$5001,"&lt;&gt;"))))</f>
        <v/>
      </c>
      <c r="J206" s="54" t="str">
        <f>IF(OR($B206="",$A206&gt;$B$9,J$175=""),"",IF(COUNTIFS(BD!$B$3:$B$5001,J$175,BD!$A$3:$A$5001,"&gt;="&amp;$C$7,BD!$A$3:$A$5001,"&lt;="&amp;$B206,BD!$W$3:$W$5001,"&lt;&gt;")=0,"",SUMIFS(BD!$W$3:$W$5001,BD!$B$3:$B$5001,J$175,BD!$A$3:$A$5001,_xlfn.MAXIFS(BD!$A$3:$A$5001,BD!$B$3:$B$5001,J$175,BD!$A$3:$A$5001,"&gt;="&amp;$C$7,BD!$A$3:$A$5001,"&lt;="&amp;$B206,BD!$W$3:$W$5001,"&lt;&gt;"))))</f>
        <v/>
      </c>
      <c r="K206" s="54" t="str">
        <f>IF(OR($B206="",$A206&gt;$B$9,K$175=""),"",IF(COUNTIFS(BD!$B$3:$B$5001,K$175,BD!$A$3:$A$5001,"&gt;="&amp;$C$7,BD!$A$3:$A$5001,"&lt;="&amp;$B206,BD!$W$3:$W$5001,"&lt;&gt;")=0,"",SUMIFS(BD!$W$3:$W$5001,BD!$B$3:$B$5001,K$175,BD!$A$3:$A$5001,_xlfn.MAXIFS(BD!$A$3:$A$5001,BD!$B$3:$B$5001,K$175,BD!$A$3:$A$5001,"&gt;="&amp;$C$7,BD!$A$3:$A$5001,"&lt;="&amp;$B206,BD!$W$3:$W$5001,"&lt;&gt;"))))</f>
        <v/>
      </c>
      <c r="L206" s="54" t="str">
        <f>IF(OR($B206="",$A206&gt;$B$9,L$175=""),"",IF(COUNTIFS(BD!$B$3:$B$5001,L$175,BD!$A$3:$A$5001,"&gt;="&amp;$C$7,BD!$A$3:$A$5001,"&lt;="&amp;$B206,BD!$W$3:$W$5001,"&lt;&gt;")=0,"",SUMIFS(BD!$W$3:$W$5001,BD!$B$3:$B$5001,L$175,BD!$A$3:$A$5001,_xlfn.MAXIFS(BD!$A$3:$A$5001,BD!$B$3:$B$5001,L$175,BD!$A$3:$A$5001,"&gt;="&amp;$C$7,BD!$A$3:$A$5001,"&lt;="&amp;$B206,BD!$W$3:$W$5001,"&lt;&gt;"))))</f>
        <v/>
      </c>
      <c r="M206" s="54" t="str">
        <f>IF(OR($B206="",$A206&gt;$B$9,M$175=""),"",IF(COUNTIFS(BD!$B$3:$B$5001,M$175,BD!$A$3:$A$5001,"&gt;="&amp;$C$7,BD!$A$3:$A$5001,"&lt;="&amp;$B206,BD!$W$3:$W$5001,"&lt;&gt;")=0,"",SUMIFS(BD!$W$3:$W$5001,BD!$B$3:$B$5001,M$175,BD!$A$3:$A$5001,_xlfn.MAXIFS(BD!$A$3:$A$5001,BD!$B$3:$B$5001,M$175,BD!$A$3:$A$5001,"&gt;="&amp;$C$7,BD!$A$3:$A$5001,"&lt;="&amp;$B206,BD!$W$3:$W$5001,"&lt;&gt;"))))</f>
        <v/>
      </c>
      <c r="N206" s="54" t="str">
        <f>IF(OR($B206="",$A206&gt;$B$9,N$175=""),"",IF(COUNTIFS(BD!$B$3:$B$5001,N$175,BD!$A$3:$A$5001,"&gt;="&amp;$C$7,BD!$A$3:$A$5001,"&lt;="&amp;$B206,BD!$W$3:$W$5001,"&lt;&gt;")=0,"",SUMIFS(BD!$W$3:$W$5001,BD!$B$3:$B$5001,N$175,BD!$A$3:$A$5001,_xlfn.MAXIFS(BD!$A$3:$A$5001,BD!$B$3:$B$5001,N$175,BD!$A$3:$A$5001,"&gt;="&amp;$C$7,BD!$A$3:$A$5001,"&lt;="&amp;$B206,BD!$W$3:$W$5001,"&lt;&gt;"))))</f>
        <v/>
      </c>
      <c r="O206" s="54" t="str">
        <f>IF(OR($B206="",$A206&gt;$B$9,O$175=""),"",IF(COUNTIFS(BD!$B$3:$B$5001,O$175,BD!$A$3:$A$5001,"&gt;="&amp;$C$7,BD!$A$3:$A$5001,"&lt;="&amp;$B206,BD!$W$3:$W$5001,"&lt;&gt;")=0,"",SUMIFS(BD!$W$3:$W$5001,BD!$B$3:$B$5001,O$175,BD!$A$3:$A$5001,_xlfn.MAXIFS(BD!$A$3:$A$5001,BD!$B$3:$B$5001,O$175,BD!$A$3:$A$5001,"&gt;="&amp;$C$7,BD!$A$3:$A$5001,"&lt;="&amp;$B206,BD!$W$3:$W$5001,"&lt;&gt;"))))</f>
        <v/>
      </c>
      <c r="P206" s="54" t="str">
        <f>IF(OR($B206="",$A206&gt;$B$9,P$175=""),"",IF(COUNTIFS(BD!$B$3:$B$5001,P$175,BD!$A$3:$A$5001,"&gt;="&amp;$C$7,BD!$A$3:$A$5001,"&lt;="&amp;$B206,BD!$W$3:$W$5001,"&lt;&gt;")=0,"",SUMIFS(BD!$W$3:$W$5001,BD!$B$3:$B$5001,P$175,BD!$A$3:$A$5001,_xlfn.MAXIFS(BD!$A$3:$A$5001,BD!$B$3:$B$5001,P$175,BD!$A$3:$A$5001,"&gt;="&amp;$C$7,BD!$A$3:$A$5001,"&lt;="&amp;$B206,BD!$W$3:$W$5001,"&lt;&gt;"))))</f>
        <v/>
      </c>
      <c r="Q206" s="54" t="str">
        <f>IF(OR($B206="",$A206&gt;$B$9,Q$175=""),"",IF(COUNTIFS(BD!$B$3:$B$5001,Q$175,BD!$A$3:$A$5001,"&gt;="&amp;$C$7,BD!$A$3:$A$5001,"&lt;="&amp;$B206,BD!$W$3:$W$5001,"&lt;&gt;")=0,"",SUMIFS(BD!$W$3:$W$5001,BD!$B$3:$B$5001,Q$175,BD!$A$3:$A$5001,_xlfn.MAXIFS(BD!$A$3:$A$5001,BD!$B$3:$B$5001,Q$175,BD!$A$3:$A$5001,"&gt;="&amp;$C$7,BD!$A$3:$A$5001,"&lt;="&amp;$B206,BD!$W$3:$W$5001,"&lt;&gt;"))))</f>
        <v/>
      </c>
      <c r="R206" s="54" t="str">
        <f>IF(OR($B206="",$A206&gt;$B$9,R$175=""),"",IF(COUNTIFS(BD!$B$3:$B$5001,R$175,BD!$A$3:$A$5001,"&gt;="&amp;$C$7,BD!$A$3:$A$5001,"&lt;="&amp;$B206,BD!$W$3:$W$5001,"&lt;&gt;")=0,"",SUMIFS(BD!$W$3:$W$5001,BD!$B$3:$B$5001,R$175,BD!$A$3:$A$5001,_xlfn.MAXIFS(BD!$A$3:$A$5001,BD!$B$3:$B$5001,R$175,BD!$A$3:$A$5001,"&gt;="&amp;$C$7,BD!$A$3:$A$5001,"&lt;="&amp;$B206,BD!$W$3:$W$5001,"&lt;&gt;"))))</f>
        <v/>
      </c>
      <c r="S206" s="54" t="str">
        <f>IF(OR($B206="",$A206&gt;$B$9,S$175=""),"",IF(COUNTIFS(BD!$B$3:$B$5001,S$175,BD!$A$3:$A$5001,"&gt;="&amp;$C$7,BD!$A$3:$A$5001,"&lt;="&amp;$B206,BD!$W$3:$W$5001,"&lt;&gt;")=0,"",SUMIFS(BD!$W$3:$W$5001,BD!$B$3:$B$5001,S$175,BD!$A$3:$A$5001,_xlfn.MAXIFS(BD!$A$3:$A$5001,BD!$B$3:$B$5001,S$175,BD!$A$3:$A$5001,"&gt;="&amp;$C$7,BD!$A$3:$A$5001,"&lt;="&amp;$B206,BD!$W$3:$W$5001,"&lt;&gt;"))))</f>
        <v/>
      </c>
      <c r="T206" s="54" t="str">
        <f>IF(OR($B206="",$A206&gt;$B$9,T$175=""),"",IF(COUNTIFS(BD!$B$3:$B$5001,T$175,BD!$A$3:$A$5001,"&gt;="&amp;$C$7,BD!$A$3:$A$5001,"&lt;="&amp;$B206,BD!$W$3:$W$5001,"&lt;&gt;")=0,"",SUMIFS(BD!$W$3:$W$5001,BD!$B$3:$B$5001,T$175,BD!$A$3:$A$5001,_xlfn.MAXIFS(BD!$A$3:$A$5001,BD!$B$3:$B$5001,T$175,BD!$A$3:$A$5001,"&gt;="&amp;$C$7,BD!$A$3:$A$5001,"&lt;="&amp;$B206,BD!$W$3:$W$5001,"&lt;&gt;"))))</f>
        <v/>
      </c>
      <c r="U206" s="54" t="str">
        <f>IF(OR($B206="",$A206&gt;$B$9,U$175=""),"",IF(COUNTIFS(BD!$B$3:$B$5001,U$175,BD!$A$3:$A$5001,"&gt;="&amp;$C$7,BD!$A$3:$A$5001,"&lt;="&amp;$B206,BD!$W$3:$W$5001,"&lt;&gt;")=0,"",SUMIFS(BD!$W$3:$W$5001,BD!$B$3:$B$5001,U$175,BD!$A$3:$A$5001,_xlfn.MAXIFS(BD!$A$3:$A$5001,BD!$B$3:$B$5001,U$175,BD!$A$3:$A$5001,"&gt;="&amp;$C$7,BD!$A$3:$A$5001,"&lt;="&amp;$B206,BD!$W$3:$W$5001,"&lt;&gt;"))))</f>
        <v/>
      </c>
      <c r="V206" s="54" t="str">
        <f>IF(OR($B206="",$A206&gt;$B$9,V$175=""),"",IF(COUNTIFS(BD!$B$3:$B$5001,V$175,BD!$A$3:$A$5001,"&gt;="&amp;$C$7,BD!$A$3:$A$5001,"&lt;="&amp;$B206,BD!$W$3:$W$5001,"&lt;&gt;")=0,"",SUMIFS(BD!$W$3:$W$5001,BD!$B$3:$B$5001,V$175,BD!$A$3:$A$5001,_xlfn.MAXIFS(BD!$A$3:$A$5001,BD!$B$3:$B$5001,V$175,BD!$A$3:$A$5001,"&gt;="&amp;$C$7,BD!$A$3:$A$5001,"&lt;="&amp;$B206,BD!$W$3:$W$5001,"&lt;&gt;"))))</f>
        <v/>
      </c>
    </row>
    <row r="207">
      <c r="A207" s="55" t="inlineStr">
        <is>
          <t xml:space="preserve">Mês anterior (último)</t>
        </is>
      </c>
      <c r="C207" s="56" t="str">
        <f>IF(C$175="","",IF(COUNTIFS(BD!$B$3:$B$5001,C$175,BD!$A$3:$A$5001,"&gt;="&amp;$C$8,BD!$A$3:$A$5001,"&lt;="&amp;$D$8,BD!$W$3:$W$5001,"&lt;&gt;")=0,"",SUMIFS(BD!$W$3:$W$5001,BD!$B$3:$B$5001,C$175,BD!$A$3:$A$5001,_xlfn.MAXIFS(BD!$A$3:$A$5001,BD!$B$3:$B$5001,C$175,BD!$A$3:$A$5001,"&gt;="&amp;$C$8,BD!$A$3:$A$5001,"&lt;="&amp;$D$8,BD!$W$3:$W$5001,"&lt;&gt;"))))</f>
        <v/>
      </c>
      <c r="D207" s="56" t="str">
        <f>IF(D$175="","",IF(COUNTIFS(BD!$B$3:$B$5001,D$175,BD!$A$3:$A$5001,"&gt;="&amp;$C$8,BD!$A$3:$A$5001,"&lt;="&amp;$D$8,BD!$W$3:$W$5001,"&lt;&gt;")=0,"",SUMIFS(BD!$W$3:$W$5001,BD!$B$3:$B$5001,D$175,BD!$A$3:$A$5001,_xlfn.MAXIFS(BD!$A$3:$A$5001,BD!$B$3:$B$5001,D$175,BD!$A$3:$A$5001,"&gt;="&amp;$C$8,BD!$A$3:$A$5001,"&lt;="&amp;$D$8,BD!$W$3:$W$5001,"&lt;&gt;"))))</f>
        <v/>
      </c>
      <c r="E207" s="56" t="str">
        <f>IF(E$175="","",IF(COUNTIFS(BD!$B$3:$B$5001,E$175,BD!$A$3:$A$5001,"&gt;="&amp;$C$8,BD!$A$3:$A$5001,"&lt;="&amp;$D$8,BD!$W$3:$W$5001,"&lt;&gt;")=0,"",SUMIFS(BD!$W$3:$W$5001,BD!$B$3:$B$5001,E$175,BD!$A$3:$A$5001,_xlfn.MAXIFS(BD!$A$3:$A$5001,BD!$B$3:$B$5001,E$175,BD!$A$3:$A$5001,"&gt;="&amp;$C$8,BD!$A$3:$A$5001,"&lt;="&amp;$D$8,BD!$W$3:$W$5001,"&lt;&gt;"))))</f>
        <v/>
      </c>
      <c r="F207" s="56" t="str">
        <f>IF(F$175="","",IF(COUNTIFS(BD!$B$3:$B$5001,F$175,BD!$A$3:$A$5001,"&gt;="&amp;$C$8,BD!$A$3:$A$5001,"&lt;="&amp;$D$8,BD!$W$3:$W$5001,"&lt;&gt;")=0,"",SUMIFS(BD!$W$3:$W$5001,BD!$B$3:$B$5001,F$175,BD!$A$3:$A$5001,_xlfn.MAXIFS(BD!$A$3:$A$5001,BD!$B$3:$B$5001,F$175,BD!$A$3:$A$5001,"&gt;="&amp;$C$8,BD!$A$3:$A$5001,"&lt;="&amp;$D$8,BD!$W$3:$W$5001,"&lt;&gt;"))))</f>
        <v/>
      </c>
      <c r="G207" s="56" t="str">
        <f>IF(G$175="","",IF(COUNTIFS(BD!$B$3:$B$5001,G$175,BD!$A$3:$A$5001,"&gt;="&amp;$C$8,BD!$A$3:$A$5001,"&lt;="&amp;$D$8,BD!$W$3:$W$5001,"&lt;&gt;")=0,"",SUMIFS(BD!$W$3:$W$5001,BD!$B$3:$B$5001,G$175,BD!$A$3:$A$5001,_xlfn.MAXIFS(BD!$A$3:$A$5001,BD!$B$3:$B$5001,G$175,BD!$A$3:$A$5001,"&gt;="&amp;$C$8,BD!$A$3:$A$5001,"&lt;="&amp;$D$8,BD!$W$3:$W$5001,"&lt;&gt;"))))</f>
        <v/>
      </c>
      <c r="H207" s="56" t="str">
        <f>IF(H$175="","",IF(COUNTIFS(BD!$B$3:$B$5001,H$175,BD!$A$3:$A$5001,"&gt;="&amp;$C$8,BD!$A$3:$A$5001,"&lt;="&amp;$D$8,BD!$W$3:$W$5001,"&lt;&gt;")=0,"",SUMIFS(BD!$W$3:$W$5001,BD!$B$3:$B$5001,H$175,BD!$A$3:$A$5001,_xlfn.MAXIFS(BD!$A$3:$A$5001,BD!$B$3:$B$5001,H$175,BD!$A$3:$A$5001,"&gt;="&amp;$C$8,BD!$A$3:$A$5001,"&lt;="&amp;$D$8,BD!$W$3:$W$5001,"&lt;&gt;"))))</f>
        <v/>
      </c>
      <c r="I207" s="56" t="str">
        <f>IF(I$175="","",IF(COUNTIFS(BD!$B$3:$B$5001,I$175,BD!$A$3:$A$5001,"&gt;="&amp;$C$8,BD!$A$3:$A$5001,"&lt;="&amp;$D$8,BD!$W$3:$W$5001,"&lt;&gt;")=0,"",SUMIFS(BD!$W$3:$W$5001,BD!$B$3:$B$5001,I$175,BD!$A$3:$A$5001,_xlfn.MAXIFS(BD!$A$3:$A$5001,BD!$B$3:$B$5001,I$175,BD!$A$3:$A$5001,"&gt;="&amp;$C$8,BD!$A$3:$A$5001,"&lt;="&amp;$D$8,BD!$W$3:$W$5001,"&lt;&gt;"))))</f>
        <v/>
      </c>
      <c r="J207" s="56" t="str">
        <f>IF(J$175="","",IF(COUNTIFS(BD!$B$3:$B$5001,J$175,BD!$A$3:$A$5001,"&gt;="&amp;$C$8,BD!$A$3:$A$5001,"&lt;="&amp;$D$8,BD!$W$3:$W$5001,"&lt;&gt;")=0,"",SUMIFS(BD!$W$3:$W$5001,BD!$B$3:$B$5001,J$175,BD!$A$3:$A$5001,_xlfn.MAXIFS(BD!$A$3:$A$5001,BD!$B$3:$B$5001,J$175,BD!$A$3:$A$5001,"&gt;="&amp;$C$8,BD!$A$3:$A$5001,"&lt;="&amp;$D$8,BD!$W$3:$W$5001,"&lt;&gt;"))))</f>
        <v/>
      </c>
      <c r="K207" s="56" t="str">
        <f>IF(K$175="","",IF(COUNTIFS(BD!$B$3:$B$5001,K$175,BD!$A$3:$A$5001,"&gt;="&amp;$C$8,BD!$A$3:$A$5001,"&lt;="&amp;$D$8,BD!$W$3:$W$5001,"&lt;&gt;")=0,"",SUMIFS(BD!$W$3:$W$5001,BD!$B$3:$B$5001,K$175,BD!$A$3:$A$5001,_xlfn.MAXIFS(BD!$A$3:$A$5001,BD!$B$3:$B$5001,K$175,BD!$A$3:$A$5001,"&gt;="&amp;$C$8,BD!$A$3:$A$5001,"&lt;="&amp;$D$8,BD!$W$3:$W$5001,"&lt;&gt;"))))</f>
        <v/>
      </c>
      <c r="L207" s="56" t="str">
        <f>IF(L$175="","",IF(COUNTIFS(BD!$B$3:$B$5001,L$175,BD!$A$3:$A$5001,"&gt;="&amp;$C$8,BD!$A$3:$A$5001,"&lt;="&amp;$D$8,BD!$W$3:$W$5001,"&lt;&gt;")=0,"",SUMIFS(BD!$W$3:$W$5001,BD!$B$3:$B$5001,L$175,BD!$A$3:$A$5001,_xlfn.MAXIFS(BD!$A$3:$A$5001,BD!$B$3:$B$5001,L$175,BD!$A$3:$A$5001,"&gt;="&amp;$C$8,BD!$A$3:$A$5001,"&lt;="&amp;$D$8,BD!$W$3:$W$5001,"&lt;&gt;"))))</f>
        <v/>
      </c>
      <c r="M207" s="56" t="str">
        <f>IF(M$175="","",IF(COUNTIFS(BD!$B$3:$B$5001,M$175,BD!$A$3:$A$5001,"&gt;="&amp;$C$8,BD!$A$3:$A$5001,"&lt;="&amp;$D$8,BD!$W$3:$W$5001,"&lt;&gt;")=0,"",SUMIFS(BD!$W$3:$W$5001,BD!$B$3:$B$5001,M$175,BD!$A$3:$A$5001,_xlfn.MAXIFS(BD!$A$3:$A$5001,BD!$B$3:$B$5001,M$175,BD!$A$3:$A$5001,"&gt;="&amp;$C$8,BD!$A$3:$A$5001,"&lt;="&amp;$D$8,BD!$W$3:$W$5001,"&lt;&gt;"))))</f>
        <v/>
      </c>
      <c r="N207" s="56" t="str">
        <f>IF(N$175="","",IF(COUNTIFS(BD!$B$3:$B$5001,N$175,BD!$A$3:$A$5001,"&gt;="&amp;$C$8,BD!$A$3:$A$5001,"&lt;="&amp;$D$8,BD!$W$3:$W$5001,"&lt;&gt;")=0,"",SUMIFS(BD!$W$3:$W$5001,BD!$B$3:$B$5001,N$175,BD!$A$3:$A$5001,_xlfn.MAXIFS(BD!$A$3:$A$5001,BD!$B$3:$B$5001,N$175,BD!$A$3:$A$5001,"&gt;="&amp;$C$8,BD!$A$3:$A$5001,"&lt;="&amp;$D$8,BD!$W$3:$W$5001,"&lt;&gt;"))))</f>
        <v/>
      </c>
      <c r="O207" s="56" t="str">
        <f>IF(O$175="","",IF(COUNTIFS(BD!$B$3:$B$5001,O$175,BD!$A$3:$A$5001,"&gt;="&amp;$C$8,BD!$A$3:$A$5001,"&lt;="&amp;$D$8,BD!$W$3:$W$5001,"&lt;&gt;")=0,"",SUMIFS(BD!$W$3:$W$5001,BD!$B$3:$B$5001,O$175,BD!$A$3:$A$5001,_xlfn.MAXIFS(BD!$A$3:$A$5001,BD!$B$3:$B$5001,O$175,BD!$A$3:$A$5001,"&gt;="&amp;$C$8,BD!$A$3:$A$5001,"&lt;="&amp;$D$8,BD!$W$3:$W$5001,"&lt;&gt;"))))</f>
        <v/>
      </c>
      <c r="P207" s="56" t="str">
        <f>IF(P$175="","",IF(COUNTIFS(BD!$B$3:$B$5001,P$175,BD!$A$3:$A$5001,"&gt;="&amp;$C$8,BD!$A$3:$A$5001,"&lt;="&amp;$D$8,BD!$W$3:$W$5001,"&lt;&gt;")=0,"",SUMIFS(BD!$W$3:$W$5001,BD!$B$3:$B$5001,P$175,BD!$A$3:$A$5001,_xlfn.MAXIFS(BD!$A$3:$A$5001,BD!$B$3:$B$5001,P$175,BD!$A$3:$A$5001,"&gt;="&amp;$C$8,BD!$A$3:$A$5001,"&lt;="&amp;$D$8,BD!$W$3:$W$5001,"&lt;&gt;"))))</f>
        <v/>
      </c>
      <c r="Q207" s="56" t="str">
        <f>IF(Q$175="","",IF(COUNTIFS(BD!$B$3:$B$5001,Q$175,BD!$A$3:$A$5001,"&gt;="&amp;$C$8,BD!$A$3:$A$5001,"&lt;="&amp;$D$8,BD!$W$3:$W$5001,"&lt;&gt;")=0,"",SUMIFS(BD!$W$3:$W$5001,BD!$B$3:$B$5001,Q$175,BD!$A$3:$A$5001,_xlfn.MAXIFS(BD!$A$3:$A$5001,BD!$B$3:$B$5001,Q$175,BD!$A$3:$A$5001,"&gt;="&amp;$C$8,BD!$A$3:$A$5001,"&lt;="&amp;$D$8,BD!$W$3:$W$5001,"&lt;&gt;"))))</f>
        <v/>
      </c>
      <c r="R207" s="56" t="str">
        <f>IF(R$175="","",IF(COUNTIFS(BD!$B$3:$B$5001,R$175,BD!$A$3:$A$5001,"&gt;="&amp;$C$8,BD!$A$3:$A$5001,"&lt;="&amp;$D$8,BD!$W$3:$W$5001,"&lt;&gt;")=0,"",SUMIFS(BD!$W$3:$W$5001,BD!$B$3:$B$5001,R$175,BD!$A$3:$A$5001,_xlfn.MAXIFS(BD!$A$3:$A$5001,BD!$B$3:$B$5001,R$175,BD!$A$3:$A$5001,"&gt;="&amp;$C$8,BD!$A$3:$A$5001,"&lt;="&amp;$D$8,BD!$W$3:$W$5001,"&lt;&gt;"))))</f>
        <v/>
      </c>
      <c r="S207" s="56" t="str">
        <f>IF(S$175="","",IF(COUNTIFS(BD!$B$3:$B$5001,S$175,BD!$A$3:$A$5001,"&gt;="&amp;$C$8,BD!$A$3:$A$5001,"&lt;="&amp;$D$8,BD!$W$3:$W$5001,"&lt;&gt;")=0,"",SUMIFS(BD!$W$3:$W$5001,BD!$B$3:$B$5001,S$175,BD!$A$3:$A$5001,_xlfn.MAXIFS(BD!$A$3:$A$5001,BD!$B$3:$B$5001,S$175,BD!$A$3:$A$5001,"&gt;="&amp;$C$8,BD!$A$3:$A$5001,"&lt;="&amp;$D$8,BD!$W$3:$W$5001,"&lt;&gt;"))))</f>
        <v/>
      </c>
      <c r="T207" s="56" t="str">
        <f>IF(T$175="","",IF(COUNTIFS(BD!$B$3:$B$5001,T$175,BD!$A$3:$A$5001,"&gt;="&amp;$C$8,BD!$A$3:$A$5001,"&lt;="&amp;$D$8,BD!$W$3:$W$5001,"&lt;&gt;")=0,"",SUMIFS(BD!$W$3:$W$5001,BD!$B$3:$B$5001,T$175,BD!$A$3:$A$5001,_xlfn.MAXIFS(BD!$A$3:$A$5001,BD!$B$3:$B$5001,T$175,BD!$A$3:$A$5001,"&gt;="&amp;$C$8,BD!$A$3:$A$5001,"&lt;="&amp;$D$8,BD!$W$3:$W$5001,"&lt;&gt;"))))</f>
        <v/>
      </c>
      <c r="U207" s="56" t="str">
        <f>IF(U$175="","",IF(COUNTIFS(BD!$B$3:$B$5001,U$175,BD!$A$3:$A$5001,"&gt;="&amp;$C$8,BD!$A$3:$A$5001,"&lt;="&amp;$D$8,BD!$W$3:$W$5001,"&lt;&gt;")=0,"",SUMIFS(BD!$W$3:$W$5001,BD!$B$3:$B$5001,U$175,BD!$A$3:$A$5001,_xlfn.MAXIFS(BD!$A$3:$A$5001,BD!$B$3:$B$5001,U$175,BD!$A$3:$A$5001,"&gt;="&amp;$C$8,BD!$A$3:$A$5001,"&lt;="&amp;$D$8,BD!$W$3:$W$5001,"&lt;&gt;"))))</f>
        <v/>
      </c>
      <c r="V207" s="56" t="str">
        <f>IF(V$175="","",IF(COUNTIFS(BD!$B$3:$B$5001,V$175,BD!$A$3:$A$5001,"&gt;="&amp;$C$8,BD!$A$3:$A$5001,"&lt;="&amp;$D$8,BD!$W$3:$W$5001,"&lt;&gt;")=0,"",SUMIFS(BD!$W$3:$W$5001,BD!$B$3:$B$5001,V$175,BD!$A$3:$A$5001,_xlfn.MAXIFS(BD!$A$3:$A$5001,BD!$B$3:$B$5001,V$175,BD!$A$3:$A$5001,"&gt;="&amp;$C$8,BD!$A$3:$A$5001,"&lt;="&amp;$D$8,BD!$W$3:$W$5001,"&lt;&gt;"))))</f>
        <v/>
      </c>
    </row>
    <row r="208">
      <c r="A208" s="55" t="inlineStr">
        <is>
          <t xml:space="preserve">Depósito</t>
        </is>
      </c>
      <c r="C208" s="48" t="str">
        <f>IF(Config!$C$10="","TPC",Config!$C$10)</f>
        <v>TPC</v>
      </c>
      <c r="D208" s="48" t="str">
        <f>IF(Config!$C$11="","TPC",Config!$C$11)</f>
        <v>TPC</v>
      </c>
      <c r="E208" s="48" t="str">
        <f>IF(Config!$C$12="","TPC",Config!$C$12)</f>
        <v>TPC</v>
      </c>
      <c r="F208" s="48" t="str">
        <f>IF(Config!$C$13="","TPC",Config!$C$13)</f>
        <v>TPC</v>
      </c>
      <c r="G208" s="48" t="str">
        <f>IF(Config!$C$14="","TPC",Config!$C$14)</f>
        <v>TPC</v>
      </c>
      <c r="H208" s="48" t="str">
        <f>IF(Config!$C$15="","TPC",Config!$C$15)</f>
        <v>TPC</v>
      </c>
      <c r="I208" s="48" t="str">
        <f>IF(Config!$C$16="","TPC",Config!$C$16)</f>
        <v>TPC</v>
      </c>
      <c r="J208" s="48" t="str">
        <f>IF(Config!$C$17="","TPC",Config!$C$17)</f>
        <v>TPC</v>
      </c>
      <c r="K208" s="48" t="str">
        <f>IF(Config!$C$18="","TPC",Config!$C$18)</f>
        <v>TPC</v>
      </c>
      <c r="L208" s="48" t="str">
        <f>IF(Config!$C$19="","TPC",Config!$C$19)</f>
        <v>TPC</v>
      </c>
      <c r="M208" s="48" t="str">
        <f>IF(Config!$C$20="","TPC",Config!$C$20)</f>
        <v>TPC</v>
      </c>
      <c r="N208" s="48" t="str">
        <f>IF(Config!$C$21="","TPC",Config!$C$21)</f>
        <v>TPC</v>
      </c>
      <c r="O208" s="48" t="str">
        <f>IF(Config!$C$22="","TPC",Config!$C$22)</f>
        <v>TPC</v>
      </c>
      <c r="P208" s="48" t="str">
        <f>IF(Config!$C$23="","TPC",Config!$C$23)</f>
        <v>TPC</v>
      </c>
      <c r="Q208" s="48" t="str">
        <f>IF(Config!$C$24="","TPC",Config!$C$24)</f>
        <v>TPC</v>
      </c>
      <c r="R208" s="48" t="str">
        <f>IF(Config!$C$25="","TPC",Config!$C$25)</f>
        <v>TPC</v>
      </c>
      <c r="S208" s="48" t="str">
        <f>IF(Config!$C$26="","TPC",Config!$C$26)</f>
        <v>TPC</v>
      </c>
      <c r="T208" s="48" t="str">
        <f>IF(Config!$C$27="","TPC",Config!$C$27)</f>
        <v>TPC</v>
      </c>
      <c r="U208" s="48" t="str">
        <f>IF(Config!$C$28="","TPC",Config!$C$28)</f>
        <v>TPC</v>
      </c>
      <c r="V208" s="48" t="str">
        <f>IF(Config!$C$29="","TPC",Config!$C$29)</f>
        <v>TPC</v>
      </c>
    </row>
    <row r="210">
      <c r="A210" s="47" t="inlineStr">
        <is>
          <t xml:space="preserve">Posições Ocupadas</t>
        </is>
      </c>
      <c r="B210" s="47" t="inlineStr">
        <is>
          <t xml:space="preserve">Data</t>
        </is>
      </c>
      <c r="C210" s="47" t="str">
        <f>Config!$B$10&amp;""</f>
        <v>Alpargatas</v>
      </c>
      <c r="D210" s="47" t="str">
        <f>Config!$B$11&amp;""</f>
        <v>Basf</v>
      </c>
      <c r="E210" s="47" t="str">
        <f>Config!$B$12&amp;""</f>
        <v>Beautybiz</v>
      </c>
      <c r="F210" s="47" t="str">
        <f>Config!$B$13&amp;""</f>
        <v>Boticário</v>
      </c>
      <c r="G210" s="47" t="str">
        <f>Config!$B$14&amp;""</f>
        <v>Confiance</v>
      </c>
      <c r="H210" s="47" t="str">
        <f>Config!$B$15&amp;""</f>
        <v>GE Vernova</v>
      </c>
      <c r="I210" s="47" t="str">
        <f>Config!$B$16&amp;""</f>
        <v>Omnilife</v>
      </c>
      <c r="J210" s="47" t="str">
        <f>Config!$B$17&amp;""</f>
        <v>Supply</v>
      </c>
      <c r="K210" s="47" t="str">
        <f>Config!$B$18&amp;""</f>
        <v>Vedacit</v>
      </c>
      <c r="L210" s="47" t="str">
        <f>Config!$B$19&amp;""</f>
        <v>Vestas</v>
      </c>
      <c r="M210" s="47" t="str">
        <f>Config!$B$20&amp;""</f>
        <v/>
      </c>
      <c r="N210" s="47" t="str">
        <f>Config!$B$21&amp;""</f>
        <v/>
      </c>
      <c r="O210" s="47" t="str">
        <f>Config!$B$22&amp;""</f>
        <v/>
      </c>
      <c r="P210" s="47" t="str">
        <f>Config!$B$23&amp;""</f>
        <v/>
      </c>
      <c r="Q210" s="47" t="str">
        <f>Config!$B$24&amp;""</f>
        <v/>
      </c>
      <c r="R210" s="47" t="str">
        <f>Config!$B$25&amp;""</f>
        <v/>
      </c>
      <c r="S210" s="47" t="str">
        <f>Config!$B$26&amp;""</f>
        <v/>
      </c>
      <c r="T210" s="47" t="str">
        <f>Config!$B$27&amp;""</f>
        <v/>
      </c>
      <c r="U210" s="47" t="str">
        <f>Config!$B$28&amp;""</f>
        <v/>
      </c>
      <c r="V210" s="47" t="str">
        <f>Config!$B$29&amp;""</f>
        <v/>
      </c>
    </row>
    <row r="211">
      <c r="A211" s="48">
        <v>1</v>
      </c>
      <c r="B211" s="53">
        <f>$B$12</f>
        <v>46296</v>
      </c>
      <c r="C211" s="54" t="str">
        <f>IF(OR($B211="",$A211&gt;$B$9,C$210=""),"",IF(COUNTIFS(BD!$B$3:$B$5001,C$210,BD!$A$3:$A$5001,"&gt;="&amp;$C$7,BD!$A$3:$A$5001,"&lt;="&amp;$B211,BD!$Y$3:$Y$5001,"&lt;&gt;")=0,"",SUMIFS(BD!$Y$3:$Y$5001,BD!$B$3:$B$5001,C$210,BD!$A$3:$A$5001,_xlfn.MAXIFS(BD!$A$3:$A$5001,BD!$B$3:$B$5001,C$210,BD!$A$3:$A$5001,"&gt;="&amp;$C$7,BD!$A$3:$A$5001,"&lt;="&amp;$B211,BD!$Y$3:$Y$5001,"&lt;&gt;"))))</f>
        <v/>
      </c>
      <c r="D211" s="54" t="str">
        <f>IF(OR($B211="",$A211&gt;$B$9,D$210=""),"",IF(COUNTIFS(BD!$B$3:$B$5001,D$210,BD!$A$3:$A$5001,"&gt;="&amp;$C$7,BD!$A$3:$A$5001,"&lt;="&amp;$B211,BD!$Y$3:$Y$5001,"&lt;&gt;")=0,"",SUMIFS(BD!$Y$3:$Y$5001,BD!$B$3:$B$5001,D$210,BD!$A$3:$A$5001,_xlfn.MAXIFS(BD!$A$3:$A$5001,BD!$B$3:$B$5001,D$210,BD!$A$3:$A$5001,"&gt;="&amp;$C$7,BD!$A$3:$A$5001,"&lt;="&amp;$B211,BD!$Y$3:$Y$5001,"&lt;&gt;"))))</f>
        <v/>
      </c>
      <c r="E211" s="54" t="str">
        <f>IF(OR($B211="",$A211&gt;$B$9,E$210=""),"",IF(COUNTIFS(BD!$B$3:$B$5001,E$210,BD!$A$3:$A$5001,"&gt;="&amp;$C$7,BD!$A$3:$A$5001,"&lt;="&amp;$B211,BD!$Y$3:$Y$5001,"&lt;&gt;")=0,"",SUMIFS(BD!$Y$3:$Y$5001,BD!$B$3:$B$5001,E$210,BD!$A$3:$A$5001,_xlfn.MAXIFS(BD!$A$3:$A$5001,BD!$B$3:$B$5001,E$210,BD!$A$3:$A$5001,"&gt;="&amp;$C$7,BD!$A$3:$A$5001,"&lt;="&amp;$B211,BD!$Y$3:$Y$5001,"&lt;&gt;"))))</f>
        <v/>
      </c>
      <c r="F211" s="54" t="str">
        <f>IF(OR($B211="",$A211&gt;$B$9,F$210=""),"",IF(COUNTIFS(BD!$B$3:$B$5001,F$210,BD!$A$3:$A$5001,"&gt;="&amp;$C$7,BD!$A$3:$A$5001,"&lt;="&amp;$B211,BD!$Y$3:$Y$5001,"&lt;&gt;")=0,"",SUMIFS(BD!$Y$3:$Y$5001,BD!$B$3:$B$5001,F$210,BD!$A$3:$A$5001,_xlfn.MAXIFS(BD!$A$3:$A$5001,BD!$B$3:$B$5001,F$210,BD!$A$3:$A$5001,"&gt;="&amp;$C$7,BD!$A$3:$A$5001,"&lt;="&amp;$B211,BD!$Y$3:$Y$5001,"&lt;&gt;"))))</f>
        <v/>
      </c>
      <c r="G211" s="54" t="str">
        <f>IF(OR($B211="",$A211&gt;$B$9,G$210=""),"",IF(COUNTIFS(BD!$B$3:$B$5001,G$210,BD!$A$3:$A$5001,"&gt;="&amp;$C$7,BD!$A$3:$A$5001,"&lt;="&amp;$B211,BD!$Y$3:$Y$5001,"&lt;&gt;")=0,"",SUMIFS(BD!$Y$3:$Y$5001,BD!$B$3:$B$5001,G$210,BD!$A$3:$A$5001,_xlfn.MAXIFS(BD!$A$3:$A$5001,BD!$B$3:$B$5001,G$210,BD!$A$3:$A$5001,"&gt;="&amp;$C$7,BD!$A$3:$A$5001,"&lt;="&amp;$B211,BD!$Y$3:$Y$5001,"&lt;&gt;"))))</f>
        <v/>
      </c>
      <c r="H211" s="54" t="str">
        <f>IF(OR($B211="",$A211&gt;$B$9,H$210=""),"",IF(COUNTIFS(BD!$B$3:$B$5001,H$210,BD!$A$3:$A$5001,"&gt;="&amp;$C$7,BD!$A$3:$A$5001,"&lt;="&amp;$B211,BD!$Y$3:$Y$5001,"&lt;&gt;")=0,"",SUMIFS(BD!$Y$3:$Y$5001,BD!$B$3:$B$5001,H$210,BD!$A$3:$A$5001,_xlfn.MAXIFS(BD!$A$3:$A$5001,BD!$B$3:$B$5001,H$210,BD!$A$3:$A$5001,"&gt;="&amp;$C$7,BD!$A$3:$A$5001,"&lt;="&amp;$B211,BD!$Y$3:$Y$5001,"&lt;&gt;"))))</f>
        <v/>
      </c>
      <c r="I211" s="54" t="str">
        <f>IF(OR($B211="",$A211&gt;$B$9,I$210=""),"",IF(COUNTIFS(BD!$B$3:$B$5001,I$210,BD!$A$3:$A$5001,"&gt;="&amp;$C$7,BD!$A$3:$A$5001,"&lt;="&amp;$B211,BD!$Y$3:$Y$5001,"&lt;&gt;")=0,"",SUMIFS(BD!$Y$3:$Y$5001,BD!$B$3:$B$5001,I$210,BD!$A$3:$A$5001,_xlfn.MAXIFS(BD!$A$3:$A$5001,BD!$B$3:$B$5001,I$210,BD!$A$3:$A$5001,"&gt;="&amp;$C$7,BD!$A$3:$A$5001,"&lt;="&amp;$B211,BD!$Y$3:$Y$5001,"&lt;&gt;"))))</f>
        <v/>
      </c>
      <c r="J211" s="54" t="str">
        <f>IF(OR($B211="",$A211&gt;$B$9,J$210=""),"",IF(COUNTIFS(BD!$B$3:$B$5001,J$210,BD!$A$3:$A$5001,"&gt;="&amp;$C$7,BD!$A$3:$A$5001,"&lt;="&amp;$B211,BD!$Y$3:$Y$5001,"&lt;&gt;")=0,"",SUMIFS(BD!$Y$3:$Y$5001,BD!$B$3:$B$5001,J$210,BD!$A$3:$A$5001,_xlfn.MAXIFS(BD!$A$3:$A$5001,BD!$B$3:$B$5001,J$210,BD!$A$3:$A$5001,"&gt;="&amp;$C$7,BD!$A$3:$A$5001,"&lt;="&amp;$B211,BD!$Y$3:$Y$5001,"&lt;&gt;"))))</f>
        <v/>
      </c>
      <c r="K211" s="54" t="str">
        <f>IF(OR($B211="",$A211&gt;$B$9,K$210=""),"",IF(COUNTIFS(BD!$B$3:$B$5001,K$210,BD!$A$3:$A$5001,"&gt;="&amp;$C$7,BD!$A$3:$A$5001,"&lt;="&amp;$B211,BD!$Y$3:$Y$5001,"&lt;&gt;")=0,"",SUMIFS(BD!$Y$3:$Y$5001,BD!$B$3:$B$5001,K$210,BD!$A$3:$A$5001,_xlfn.MAXIFS(BD!$A$3:$A$5001,BD!$B$3:$B$5001,K$210,BD!$A$3:$A$5001,"&gt;="&amp;$C$7,BD!$A$3:$A$5001,"&lt;="&amp;$B211,BD!$Y$3:$Y$5001,"&lt;&gt;"))))</f>
        <v/>
      </c>
      <c r="L211" s="54" t="str">
        <f>IF(OR($B211="",$A211&gt;$B$9,L$210=""),"",IF(COUNTIFS(BD!$B$3:$B$5001,L$210,BD!$A$3:$A$5001,"&gt;="&amp;$C$7,BD!$A$3:$A$5001,"&lt;="&amp;$B211,BD!$Y$3:$Y$5001,"&lt;&gt;")=0,"",SUMIFS(BD!$Y$3:$Y$5001,BD!$B$3:$B$5001,L$210,BD!$A$3:$A$5001,_xlfn.MAXIFS(BD!$A$3:$A$5001,BD!$B$3:$B$5001,L$210,BD!$A$3:$A$5001,"&gt;="&amp;$C$7,BD!$A$3:$A$5001,"&lt;="&amp;$B211,BD!$Y$3:$Y$5001,"&lt;&gt;"))))</f>
        <v/>
      </c>
      <c r="M211" s="54" t="str">
        <f>IF(OR($B211="",$A211&gt;$B$9,M$210=""),"",IF(COUNTIFS(BD!$B$3:$B$5001,M$210,BD!$A$3:$A$5001,"&gt;="&amp;$C$7,BD!$A$3:$A$5001,"&lt;="&amp;$B211,BD!$Y$3:$Y$5001,"&lt;&gt;")=0,"",SUMIFS(BD!$Y$3:$Y$5001,BD!$B$3:$B$5001,M$210,BD!$A$3:$A$5001,_xlfn.MAXIFS(BD!$A$3:$A$5001,BD!$B$3:$B$5001,M$210,BD!$A$3:$A$5001,"&gt;="&amp;$C$7,BD!$A$3:$A$5001,"&lt;="&amp;$B211,BD!$Y$3:$Y$5001,"&lt;&gt;"))))</f>
        <v/>
      </c>
      <c r="N211" s="54" t="str">
        <f>IF(OR($B211="",$A211&gt;$B$9,N$210=""),"",IF(COUNTIFS(BD!$B$3:$B$5001,N$210,BD!$A$3:$A$5001,"&gt;="&amp;$C$7,BD!$A$3:$A$5001,"&lt;="&amp;$B211,BD!$Y$3:$Y$5001,"&lt;&gt;")=0,"",SUMIFS(BD!$Y$3:$Y$5001,BD!$B$3:$B$5001,N$210,BD!$A$3:$A$5001,_xlfn.MAXIFS(BD!$A$3:$A$5001,BD!$B$3:$B$5001,N$210,BD!$A$3:$A$5001,"&gt;="&amp;$C$7,BD!$A$3:$A$5001,"&lt;="&amp;$B211,BD!$Y$3:$Y$5001,"&lt;&gt;"))))</f>
        <v/>
      </c>
      <c r="O211" s="54" t="str">
        <f>IF(OR($B211="",$A211&gt;$B$9,O$210=""),"",IF(COUNTIFS(BD!$B$3:$B$5001,O$210,BD!$A$3:$A$5001,"&gt;="&amp;$C$7,BD!$A$3:$A$5001,"&lt;="&amp;$B211,BD!$Y$3:$Y$5001,"&lt;&gt;")=0,"",SUMIFS(BD!$Y$3:$Y$5001,BD!$B$3:$B$5001,O$210,BD!$A$3:$A$5001,_xlfn.MAXIFS(BD!$A$3:$A$5001,BD!$B$3:$B$5001,O$210,BD!$A$3:$A$5001,"&gt;="&amp;$C$7,BD!$A$3:$A$5001,"&lt;="&amp;$B211,BD!$Y$3:$Y$5001,"&lt;&gt;"))))</f>
        <v/>
      </c>
      <c r="P211" s="54" t="str">
        <f>IF(OR($B211="",$A211&gt;$B$9,P$210=""),"",IF(COUNTIFS(BD!$B$3:$B$5001,P$210,BD!$A$3:$A$5001,"&gt;="&amp;$C$7,BD!$A$3:$A$5001,"&lt;="&amp;$B211,BD!$Y$3:$Y$5001,"&lt;&gt;")=0,"",SUMIFS(BD!$Y$3:$Y$5001,BD!$B$3:$B$5001,P$210,BD!$A$3:$A$5001,_xlfn.MAXIFS(BD!$A$3:$A$5001,BD!$B$3:$B$5001,P$210,BD!$A$3:$A$5001,"&gt;="&amp;$C$7,BD!$A$3:$A$5001,"&lt;="&amp;$B211,BD!$Y$3:$Y$5001,"&lt;&gt;"))))</f>
        <v/>
      </c>
      <c r="Q211" s="54" t="str">
        <f>IF(OR($B211="",$A211&gt;$B$9,Q$210=""),"",IF(COUNTIFS(BD!$B$3:$B$5001,Q$210,BD!$A$3:$A$5001,"&gt;="&amp;$C$7,BD!$A$3:$A$5001,"&lt;="&amp;$B211,BD!$Y$3:$Y$5001,"&lt;&gt;")=0,"",SUMIFS(BD!$Y$3:$Y$5001,BD!$B$3:$B$5001,Q$210,BD!$A$3:$A$5001,_xlfn.MAXIFS(BD!$A$3:$A$5001,BD!$B$3:$B$5001,Q$210,BD!$A$3:$A$5001,"&gt;="&amp;$C$7,BD!$A$3:$A$5001,"&lt;="&amp;$B211,BD!$Y$3:$Y$5001,"&lt;&gt;"))))</f>
        <v/>
      </c>
      <c r="R211" s="54" t="str">
        <f>IF(OR($B211="",$A211&gt;$B$9,R$210=""),"",IF(COUNTIFS(BD!$B$3:$B$5001,R$210,BD!$A$3:$A$5001,"&gt;="&amp;$C$7,BD!$A$3:$A$5001,"&lt;="&amp;$B211,BD!$Y$3:$Y$5001,"&lt;&gt;")=0,"",SUMIFS(BD!$Y$3:$Y$5001,BD!$B$3:$B$5001,R$210,BD!$A$3:$A$5001,_xlfn.MAXIFS(BD!$A$3:$A$5001,BD!$B$3:$B$5001,R$210,BD!$A$3:$A$5001,"&gt;="&amp;$C$7,BD!$A$3:$A$5001,"&lt;="&amp;$B211,BD!$Y$3:$Y$5001,"&lt;&gt;"))))</f>
        <v/>
      </c>
      <c r="S211" s="54" t="str">
        <f>IF(OR($B211="",$A211&gt;$B$9,S$210=""),"",IF(COUNTIFS(BD!$B$3:$B$5001,S$210,BD!$A$3:$A$5001,"&gt;="&amp;$C$7,BD!$A$3:$A$5001,"&lt;="&amp;$B211,BD!$Y$3:$Y$5001,"&lt;&gt;")=0,"",SUMIFS(BD!$Y$3:$Y$5001,BD!$B$3:$B$5001,S$210,BD!$A$3:$A$5001,_xlfn.MAXIFS(BD!$A$3:$A$5001,BD!$B$3:$B$5001,S$210,BD!$A$3:$A$5001,"&gt;="&amp;$C$7,BD!$A$3:$A$5001,"&lt;="&amp;$B211,BD!$Y$3:$Y$5001,"&lt;&gt;"))))</f>
        <v/>
      </c>
      <c r="T211" s="54" t="str">
        <f>IF(OR($B211="",$A211&gt;$B$9,T$210=""),"",IF(COUNTIFS(BD!$B$3:$B$5001,T$210,BD!$A$3:$A$5001,"&gt;="&amp;$C$7,BD!$A$3:$A$5001,"&lt;="&amp;$B211,BD!$Y$3:$Y$5001,"&lt;&gt;")=0,"",SUMIFS(BD!$Y$3:$Y$5001,BD!$B$3:$B$5001,T$210,BD!$A$3:$A$5001,_xlfn.MAXIFS(BD!$A$3:$A$5001,BD!$B$3:$B$5001,T$210,BD!$A$3:$A$5001,"&gt;="&amp;$C$7,BD!$A$3:$A$5001,"&lt;="&amp;$B211,BD!$Y$3:$Y$5001,"&lt;&gt;"))))</f>
        <v/>
      </c>
      <c r="U211" s="54" t="str">
        <f>IF(OR($B211="",$A211&gt;$B$9,U$210=""),"",IF(COUNTIFS(BD!$B$3:$B$5001,U$210,BD!$A$3:$A$5001,"&gt;="&amp;$C$7,BD!$A$3:$A$5001,"&lt;="&amp;$B211,BD!$Y$3:$Y$5001,"&lt;&gt;")=0,"",SUMIFS(BD!$Y$3:$Y$5001,BD!$B$3:$B$5001,U$210,BD!$A$3:$A$5001,_xlfn.MAXIFS(BD!$A$3:$A$5001,BD!$B$3:$B$5001,U$210,BD!$A$3:$A$5001,"&gt;="&amp;$C$7,BD!$A$3:$A$5001,"&lt;="&amp;$B211,BD!$Y$3:$Y$5001,"&lt;&gt;"))))</f>
        <v/>
      </c>
      <c r="V211" s="54" t="str">
        <f>IF(OR($B211="",$A211&gt;$B$9,V$210=""),"",IF(COUNTIFS(BD!$B$3:$B$5001,V$210,BD!$A$3:$A$5001,"&gt;="&amp;$C$7,BD!$A$3:$A$5001,"&lt;="&amp;$B211,BD!$Y$3:$Y$5001,"&lt;&gt;")=0,"",SUMIFS(BD!$Y$3:$Y$5001,BD!$B$3:$B$5001,V$210,BD!$A$3:$A$5001,_xlfn.MAXIFS(BD!$A$3:$A$5001,BD!$B$3:$B$5001,V$210,BD!$A$3:$A$5001,"&gt;="&amp;$C$7,BD!$A$3:$A$5001,"&lt;="&amp;$B211,BD!$Y$3:$Y$5001,"&lt;&gt;"))))</f>
        <v/>
      </c>
    </row>
    <row r="212">
      <c r="A212" s="48">
        <v>2</v>
      </c>
      <c r="B212" s="53">
        <f>$B$13</f>
        <v>46297</v>
      </c>
      <c r="C212" s="54" t="str">
        <f>IF(OR($B212="",$A212&gt;$B$9,C$210=""),"",IF(COUNTIFS(BD!$B$3:$B$5001,C$210,BD!$A$3:$A$5001,"&gt;="&amp;$C$7,BD!$A$3:$A$5001,"&lt;="&amp;$B212,BD!$Y$3:$Y$5001,"&lt;&gt;")=0,"",SUMIFS(BD!$Y$3:$Y$5001,BD!$B$3:$B$5001,C$210,BD!$A$3:$A$5001,_xlfn.MAXIFS(BD!$A$3:$A$5001,BD!$B$3:$B$5001,C$210,BD!$A$3:$A$5001,"&gt;="&amp;$C$7,BD!$A$3:$A$5001,"&lt;="&amp;$B212,BD!$Y$3:$Y$5001,"&lt;&gt;"))))</f>
        <v/>
      </c>
      <c r="D212" s="54" t="str">
        <f>IF(OR($B212="",$A212&gt;$B$9,D$210=""),"",IF(COUNTIFS(BD!$B$3:$B$5001,D$210,BD!$A$3:$A$5001,"&gt;="&amp;$C$7,BD!$A$3:$A$5001,"&lt;="&amp;$B212,BD!$Y$3:$Y$5001,"&lt;&gt;")=0,"",SUMIFS(BD!$Y$3:$Y$5001,BD!$B$3:$B$5001,D$210,BD!$A$3:$A$5001,_xlfn.MAXIFS(BD!$A$3:$A$5001,BD!$B$3:$B$5001,D$210,BD!$A$3:$A$5001,"&gt;="&amp;$C$7,BD!$A$3:$A$5001,"&lt;="&amp;$B212,BD!$Y$3:$Y$5001,"&lt;&gt;"))))</f>
        <v/>
      </c>
      <c r="E212" s="54" t="str">
        <f>IF(OR($B212="",$A212&gt;$B$9,E$210=""),"",IF(COUNTIFS(BD!$B$3:$B$5001,E$210,BD!$A$3:$A$5001,"&gt;="&amp;$C$7,BD!$A$3:$A$5001,"&lt;="&amp;$B212,BD!$Y$3:$Y$5001,"&lt;&gt;")=0,"",SUMIFS(BD!$Y$3:$Y$5001,BD!$B$3:$B$5001,E$210,BD!$A$3:$A$5001,_xlfn.MAXIFS(BD!$A$3:$A$5001,BD!$B$3:$B$5001,E$210,BD!$A$3:$A$5001,"&gt;="&amp;$C$7,BD!$A$3:$A$5001,"&lt;="&amp;$B212,BD!$Y$3:$Y$5001,"&lt;&gt;"))))</f>
        <v/>
      </c>
      <c r="F212" s="54" t="str">
        <f>IF(OR($B212="",$A212&gt;$B$9,F$210=""),"",IF(COUNTIFS(BD!$B$3:$B$5001,F$210,BD!$A$3:$A$5001,"&gt;="&amp;$C$7,BD!$A$3:$A$5001,"&lt;="&amp;$B212,BD!$Y$3:$Y$5001,"&lt;&gt;")=0,"",SUMIFS(BD!$Y$3:$Y$5001,BD!$B$3:$B$5001,F$210,BD!$A$3:$A$5001,_xlfn.MAXIFS(BD!$A$3:$A$5001,BD!$B$3:$B$5001,F$210,BD!$A$3:$A$5001,"&gt;="&amp;$C$7,BD!$A$3:$A$5001,"&lt;="&amp;$B212,BD!$Y$3:$Y$5001,"&lt;&gt;"))))</f>
        <v/>
      </c>
      <c r="G212" s="54" t="str">
        <f>IF(OR($B212="",$A212&gt;$B$9,G$210=""),"",IF(COUNTIFS(BD!$B$3:$B$5001,G$210,BD!$A$3:$A$5001,"&gt;="&amp;$C$7,BD!$A$3:$A$5001,"&lt;="&amp;$B212,BD!$Y$3:$Y$5001,"&lt;&gt;")=0,"",SUMIFS(BD!$Y$3:$Y$5001,BD!$B$3:$B$5001,G$210,BD!$A$3:$A$5001,_xlfn.MAXIFS(BD!$A$3:$A$5001,BD!$B$3:$B$5001,G$210,BD!$A$3:$A$5001,"&gt;="&amp;$C$7,BD!$A$3:$A$5001,"&lt;="&amp;$B212,BD!$Y$3:$Y$5001,"&lt;&gt;"))))</f>
        <v/>
      </c>
      <c r="H212" s="54" t="str">
        <f>IF(OR($B212="",$A212&gt;$B$9,H$210=""),"",IF(COUNTIFS(BD!$B$3:$B$5001,H$210,BD!$A$3:$A$5001,"&gt;="&amp;$C$7,BD!$A$3:$A$5001,"&lt;="&amp;$B212,BD!$Y$3:$Y$5001,"&lt;&gt;")=0,"",SUMIFS(BD!$Y$3:$Y$5001,BD!$B$3:$B$5001,H$210,BD!$A$3:$A$5001,_xlfn.MAXIFS(BD!$A$3:$A$5001,BD!$B$3:$B$5001,H$210,BD!$A$3:$A$5001,"&gt;="&amp;$C$7,BD!$A$3:$A$5001,"&lt;="&amp;$B212,BD!$Y$3:$Y$5001,"&lt;&gt;"))))</f>
        <v/>
      </c>
      <c r="I212" s="54" t="str">
        <f>IF(OR($B212="",$A212&gt;$B$9,I$210=""),"",IF(COUNTIFS(BD!$B$3:$B$5001,I$210,BD!$A$3:$A$5001,"&gt;="&amp;$C$7,BD!$A$3:$A$5001,"&lt;="&amp;$B212,BD!$Y$3:$Y$5001,"&lt;&gt;")=0,"",SUMIFS(BD!$Y$3:$Y$5001,BD!$B$3:$B$5001,I$210,BD!$A$3:$A$5001,_xlfn.MAXIFS(BD!$A$3:$A$5001,BD!$B$3:$B$5001,I$210,BD!$A$3:$A$5001,"&gt;="&amp;$C$7,BD!$A$3:$A$5001,"&lt;="&amp;$B212,BD!$Y$3:$Y$5001,"&lt;&gt;"))))</f>
        <v/>
      </c>
      <c r="J212" s="54" t="str">
        <f>IF(OR($B212="",$A212&gt;$B$9,J$210=""),"",IF(COUNTIFS(BD!$B$3:$B$5001,J$210,BD!$A$3:$A$5001,"&gt;="&amp;$C$7,BD!$A$3:$A$5001,"&lt;="&amp;$B212,BD!$Y$3:$Y$5001,"&lt;&gt;")=0,"",SUMIFS(BD!$Y$3:$Y$5001,BD!$B$3:$B$5001,J$210,BD!$A$3:$A$5001,_xlfn.MAXIFS(BD!$A$3:$A$5001,BD!$B$3:$B$5001,J$210,BD!$A$3:$A$5001,"&gt;="&amp;$C$7,BD!$A$3:$A$5001,"&lt;="&amp;$B212,BD!$Y$3:$Y$5001,"&lt;&gt;"))))</f>
        <v/>
      </c>
      <c r="K212" s="54" t="str">
        <f>IF(OR($B212="",$A212&gt;$B$9,K$210=""),"",IF(COUNTIFS(BD!$B$3:$B$5001,K$210,BD!$A$3:$A$5001,"&gt;="&amp;$C$7,BD!$A$3:$A$5001,"&lt;="&amp;$B212,BD!$Y$3:$Y$5001,"&lt;&gt;")=0,"",SUMIFS(BD!$Y$3:$Y$5001,BD!$B$3:$B$5001,K$210,BD!$A$3:$A$5001,_xlfn.MAXIFS(BD!$A$3:$A$5001,BD!$B$3:$B$5001,K$210,BD!$A$3:$A$5001,"&gt;="&amp;$C$7,BD!$A$3:$A$5001,"&lt;="&amp;$B212,BD!$Y$3:$Y$5001,"&lt;&gt;"))))</f>
        <v/>
      </c>
      <c r="L212" s="54" t="str">
        <f>IF(OR($B212="",$A212&gt;$B$9,L$210=""),"",IF(COUNTIFS(BD!$B$3:$B$5001,L$210,BD!$A$3:$A$5001,"&gt;="&amp;$C$7,BD!$A$3:$A$5001,"&lt;="&amp;$B212,BD!$Y$3:$Y$5001,"&lt;&gt;")=0,"",SUMIFS(BD!$Y$3:$Y$5001,BD!$B$3:$B$5001,L$210,BD!$A$3:$A$5001,_xlfn.MAXIFS(BD!$A$3:$A$5001,BD!$B$3:$B$5001,L$210,BD!$A$3:$A$5001,"&gt;="&amp;$C$7,BD!$A$3:$A$5001,"&lt;="&amp;$B212,BD!$Y$3:$Y$5001,"&lt;&gt;"))))</f>
        <v/>
      </c>
      <c r="M212" s="54" t="str">
        <f>IF(OR($B212="",$A212&gt;$B$9,M$210=""),"",IF(COUNTIFS(BD!$B$3:$B$5001,M$210,BD!$A$3:$A$5001,"&gt;="&amp;$C$7,BD!$A$3:$A$5001,"&lt;="&amp;$B212,BD!$Y$3:$Y$5001,"&lt;&gt;")=0,"",SUMIFS(BD!$Y$3:$Y$5001,BD!$B$3:$B$5001,M$210,BD!$A$3:$A$5001,_xlfn.MAXIFS(BD!$A$3:$A$5001,BD!$B$3:$B$5001,M$210,BD!$A$3:$A$5001,"&gt;="&amp;$C$7,BD!$A$3:$A$5001,"&lt;="&amp;$B212,BD!$Y$3:$Y$5001,"&lt;&gt;"))))</f>
        <v/>
      </c>
      <c r="N212" s="54" t="str">
        <f>IF(OR($B212="",$A212&gt;$B$9,N$210=""),"",IF(COUNTIFS(BD!$B$3:$B$5001,N$210,BD!$A$3:$A$5001,"&gt;="&amp;$C$7,BD!$A$3:$A$5001,"&lt;="&amp;$B212,BD!$Y$3:$Y$5001,"&lt;&gt;")=0,"",SUMIFS(BD!$Y$3:$Y$5001,BD!$B$3:$B$5001,N$210,BD!$A$3:$A$5001,_xlfn.MAXIFS(BD!$A$3:$A$5001,BD!$B$3:$B$5001,N$210,BD!$A$3:$A$5001,"&gt;="&amp;$C$7,BD!$A$3:$A$5001,"&lt;="&amp;$B212,BD!$Y$3:$Y$5001,"&lt;&gt;"))))</f>
        <v/>
      </c>
      <c r="O212" s="54" t="str">
        <f>IF(OR($B212="",$A212&gt;$B$9,O$210=""),"",IF(COUNTIFS(BD!$B$3:$B$5001,O$210,BD!$A$3:$A$5001,"&gt;="&amp;$C$7,BD!$A$3:$A$5001,"&lt;="&amp;$B212,BD!$Y$3:$Y$5001,"&lt;&gt;")=0,"",SUMIFS(BD!$Y$3:$Y$5001,BD!$B$3:$B$5001,O$210,BD!$A$3:$A$5001,_xlfn.MAXIFS(BD!$A$3:$A$5001,BD!$B$3:$B$5001,O$210,BD!$A$3:$A$5001,"&gt;="&amp;$C$7,BD!$A$3:$A$5001,"&lt;="&amp;$B212,BD!$Y$3:$Y$5001,"&lt;&gt;"))))</f>
        <v/>
      </c>
      <c r="P212" s="54" t="str">
        <f>IF(OR($B212="",$A212&gt;$B$9,P$210=""),"",IF(COUNTIFS(BD!$B$3:$B$5001,P$210,BD!$A$3:$A$5001,"&gt;="&amp;$C$7,BD!$A$3:$A$5001,"&lt;="&amp;$B212,BD!$Y$3:$Y$5001,"&lt;&gt;")=0,"",SUMIFS(BD!$Y$3:$Y$5001,BD!$B$3:$B$5001,P$210,BD!$A$3:$A$5001,_xlfn.MAXIFS(BD!$A$3:$A$5001,BD!$B$3:$B$5001,P$210,BD!$A$3:$A$5001,"&gt;="&amp;$C$7,BD!$A$3:$A$5001,"&lt;="&amp;$B212,BD!$Y$3:$Y$5001,"&lt;&gt;"))))</f>
        <v/>
      </c>
      <c r="Q212" s="54" t="str">
        <f>IF(OR($B212="",$A212&gt;$B$9,Q$210=""),"",IF(COUNTIFS(BD!$B$3:$B$5001,Q$210,BD!$A$3:$A$5001,"&gt;="&amp;$C$7,BD!$A$3:$A$5001,"&lt;="&amp;$B212,BD!$Y$3:$Y$5001,"&lt;&gt;")=0,"",SUMIFS(BD!$Y$3:$Y$5001,BD!$B$3:$B$5001,Q$210,BD!$A$3:$A$5001,_xlfn.MAXIFS(BD!$A$3:$A$5001,BD!$B$3:$B$5001,Q$210,BD!$A$3:$A$5001,"&gt;="&amp;$C$7,BD!$A$3:$A$5001,"&lt;="&amp;$B212,BD!$Y$3:$Y$5001,"&lt;&gt;"))))</f>
        <v/>
      </c>
      <c r="R212" s="54" t="str">
        <f>IF(OR($B212="",$A212&gt;$B$9,R$210=""),"",IF(COUNTIFS(BD!$B$3:$B$5001,R$210,BD!$A$3:$A$5001,"&gt;="&amp;$C$7,BD!$A$3:$A$5001,"&lt;="&amp;$B212,BD!$Y$3:$Y$5001,"&lt;&gt;")=0,"",SUMIFS(BD!$Y$3:$Y$5001,BD!$B$3:$B$5001,R$210,BD!$A$3:$A$5001,_xlfn.MAXIFS(BD!$A$3:$A$5001,BD!$B$3:$B$5001,R$210,BD!$A$3:$A$5001,"&gt;="&amp;$C$7,BD!$A$3:$A$5001,"&lt;="&amp;$B212,BD!$Y$3:$Y$5001,"&lt;&gt;"))))</f>
        <v/>
      </c>
      <c r="S212" s="54" t="str">
        <f>IF(OR($B212="",$A212&gt;$B$9,S$210=""),"",IF(COUNTIFS(BD!$B$3:$B$5001,S$210,BD!$A$3:$A$5001,"&gt;="&amp;$C$7,BD!$A$3:$A$5001,"&lt;="&amp;$B212,BD!$Y$3:$Y$5001,"&lt;&gt;")=0,"",SUMIFS(BD!$Y$3:$Y$5001,BD!$B$3:$B$5001,S$210,BD!$A$3:$A$5001,_xlfn.MAXIFS(BD!$A$3:$A$5001,BD!$B$3:$B$5001,S$210,BD!$A$3:$A$5001,"&gt;="&amp;$C$7,BD!$A$3:$A$5001,"&lt;="&amp;$B212,BD!$Y$3:$Y$5001,"&lt;&gt;"))))</f>
        <v/>
      </c>
      <c r="T212" s="54" t="str">
        <f>IF(OR($B212="",$A212&gt;$B$9,T$210=""),"",IF(COUNTIFS(BD!$B$3:$B$5001,T$210,BD!$A$3:$A$5001,"&gt;="&amp;$C$7,BD!$A$3:$A$5001,"&lt;="&amp;$B212,BD!$Y$3:$Y$5001,"&lt;&gt;")=0,"",SUMIFS(BD!$Y$3:$Y$5001,BD!$B$3:$B$5001,T$210,BD!$A$3:$A$5001,_xlfn.MAXIFS(BD!$A$3:$A$5001,BD!$B$3:$B$5001,T$210,BD!$A$3:$A$5001,"&gt;="&amp;$C$7,BD!$A$3:$A$5001,"&lt;="&amp;$B212,BD!$Y$3:$Y$5001,"&lt;&gt;"))))</f>
        <v/>
      </c>
      <c r="U212" s="54" t="str">
        <f>IF(OR($B212="",$A212&gt;$B$9,U$210=""),"",IF(COUNTIFS(BD!$B$3:$B$5001,U$210,BD!$A$3:$A$5001,"&gt;="&amp;$C$7,BD!$A$3:$A$5001,"&lt;="&amp;$B212,BD!$Y$3:$Y$5001,"&lt;&gt;")=0,"",SUMIFS(BD!$Y$3:$Y$5001,BD!$B$3:$B$5001,U$210,BD!$A$3:$A$5001,_xlfn.MAXIFS(BD!$A$3:$A$5001,BD!$B$3:$B$5001,U$210,BD!$A$3:$A$5001,"&gt;="&amp;$C$7,BD!$A$3:$A$5001,"&lt;="&amp;$B212,BD!$Y$3:$Y$5001,"&lt;&gt;"))))</f>
        <v/>
      </c>
      <c r="V212" s="54" t="str">
        <f>IF(OR($B212="",$A212&gt;$B$9,V$210=""),"",IF(COUNTIFS(BD!$B$3:$B$5001,V$210,BD!$A$3:$A$5001,"&gt;="&amp;$C$7,BD!$A$3:$A$5001,"&lt;="&amp;$B212,BD!$Y$3:$Y$5001,"&lt;&gt;")=0,"",SUMIFS(BD!$Y$3:$Y$5001,BD!$B$3:$B$5001,V$210,BD!$A$3:$A$5001,_xlfn.MAXIFS(BD!$A$3:$A$5001,BD!$B$3:$B$5001,V$210,BD!$A$3:$A$5001,"&gt;="&amp;$C$7,BD!$A$3:$A$5001,"&lt;="&amp;$B212,BD!$Y$3:$Y$5001,"&lt;&gt;"))))</f>
        <v/>
      </c>
    </row>
    <row r="213">
      <c r="A213" s="48">
        <v>3</v>
      </c>
      <c r="B213" s="53">
        <f>$B$14</f>
        <v>46298</v>
      </c>
      <c r="C213" s="54" t="str">
        <f>IF(OR($B213="",$A213&gt;$B$9,C$210=""),"",IF(COUNTIFS(BD!$B$3:$B$5001,C$210,BD!$A$3:$A$5001,"&gt;="&amp;$C$7,BD!$A$3:$A$5001,"&lt;="&amp;$B213,BD!$Y$3:$Y$5001,"&lt;&gt;")=0,"",SUMIFS(BD!$Y$3:$Y$5001,BD!$B$3:$B$5001,C$210,BD!$A$3:$A$5001,_xlfn.MAXIFS(BD!$A$3:$A$5001,BD!$B$3:$B$5001,C$210,BD!$A$3:$A$5001,"&gt;="&amp;$C$7,BD!$A$3:$A$5001,"&lt;="&amp;$B213,BD!$Y$3:$Y$5001,"&lt;&gt;"))))</f>
        <v/>
      </c>
      <c r="D213" s="54" t="str">
        <f>IF(OR($B213="",$A213&gt;$B$9,D$210=""),"",IF(COUNTIFS(BD!$B$3:$B$5001,D$210,BD!$A$3:$A$5001,"&gt;="&amp;$C$7,BD!$A$3:$A$5001,"&lt;="&amp;$B213,BD!$Y$3:$Y$5001,"&lt;&gt;")=0,"",SUMIFS(BD!$Y$3:$Y$5001,BD!$B$3:$B$5001,D$210,BD!$A$3:$A$5001,_xlfn.MAXIFS(BD!$A$3:$A$5001,BD!$B$3:$B$5001,D$210,BD!$A$3:$A$5001,"&gt;="&amp;$C$7,BD!$A$3:$A$5001,"&lt;="&amp;$B213,BD!$Y$3:$Y$5001,"&lt;&gt;"))))</f>
        <v/>
      </c>
      <c r="E213" s="54" t="str">
        <f>IF(OR($B213="",$A213&gt;$B$9,E$210=""),"",IF(COUNTIFS(BD!$B$3:$B$5001,E$210,BD!$A$3:$A$5001,"&gt;="&amp;$C$7,BD!$A$3:$A$5001,"&lt;="&amp;$B213,BD!$Y$3:$Y$5001,"&lt;&gt;")=0,"",SUMIFS(BD!$Y$3:$Y$5001,BD!$B$3:$B$5001,E$210,BD!$A$3:$A$5001,_xlfn.MAXIFS(BD!$A$3:$A$5001,BD!$B$3:$B$5001,E$210,BD!$A$3:$A$5001,"&gt;="&amp;$C$7,BD!$A$3:$A$5001,"&lt;="&amp;$B213,BD!$Y$3:$Y$5001,"&lt;&gt;"))))</f>
        <v/>
      </c>
      <c r="F213" s="54" t="str">
        <f>IF(OR($B213="",$A213&gt;$B$9,F$210=""),"",IF(COUNTIFS(BD!$B$3:$B$5001,F$210,BD!$A$3:$A$5001,"&gt;="&amp;$C$7,BD!$A$3:$A$5001,"&lt;="&amp;$B213,BD!$Y$3:$Y$5001,"&lt;&gt;")=0,"",SUMIFS(BD!$Y$3:$Y$5001,BD!$B$3:$B$5001,F$210,BD!$A$3:$A$5001,_xlfn.MAXIFS(BD!$A$3:$A$5001,BD!$B$3:$B$5001,F$210,BD!$A$3:$A$5001,"&gt;="&amp;$C$7,BD!$A$3:$A$5001,"&lt;="&amp;$B213,BD!$Y$3:$Y$5001,"&lt;&gt;"))))</f>
        <v/>
      </c>
      <c r="G213" s="54" t="str">
        <f>IF(OR($B213="",$A213&gt;$B$9,G$210=""),"",IF(COUNTIFS(BD!$B$3:$B$5001,G$210,BD!$A$3:$A$5001,"&gt;="&amp;$C$7,BD!$A$3:$A$5001,"&lt;="&amp;$B213,BD!$Y$3:$Y$5001,"&lt;&gt;")=0,"",SUMIFS(BD!$Y$3:$Y$5001,BD!$B$3:$B$5001,G$210,BD!$A$3:$A$5001,_xlfn.MAXIFS(BD!$A$3:$A$5001,BD!$B$3:$B$5001,G$210,BD!$A$3:$A$5001,"&gt;="&amp;$C$7,BD!$A$3:$A$5001,"&lt;="&amp;$B213,BD!$Y$3:$Y$5001,"&lt;&gt;"))))</f>
        <v/>
      </c>
      <c r="H213" s="54" t="str">
        <f>IF(OR($B213="",$A213&gt;$B$9,H$210=""),"",IF(COUNTIFS(BD!$B$3:$B$5001,H$210,BD!$A$3:$A$5001,"&gt;="&amp;$C$7,BD!$A$3:$A$5001,"&lt;="&amp;$B213,BD!$Y$3:$Y$5001,"&lt;&gt;")=0,"",SUMIFS(BD!$Y$3:$Y$5001,BD!$B$3:$B$5001,H$210,BD!$A$3:$A$5001,_xlfn.MAXIFS(BD!$A$3:$A$5001,BD!$B$3:$B$5001,H$210,BD!$A$3:$A$5001,"&gt;="&amp;$C$7,BD!$A$3:$A$5001,"&lt;="&amp;$B213,BD!$Y$3:$Y$5001,"&lt;&gt;"))))</f>
        <v/>
      </c>
      <c r="I213" s="54" t="str">
        <f>IF(OR($B213="",$A213&gt;$B$9,I$210=""),"",IF(COUNTIFS(BD!$B$3:$B$5001,I$210,BD!$A$3:$A$5001,"&gt;="&amp;$C$7,BD!$A$3:$A$5001,"&lt;="&amp;$B213,BD!$Y$3:$Y$5001,"&lt;&gt;")=0,"",SUMIFS(BD!$Y$3:$Y$5001,BD!$B$3:$B$5001,I$210,BD!$A$3:$A$5001,_xlfn.MAXIFS(BD!$A$3:$A$5001,BD!$B$3:$B$5001,I$210,BD!$A$3:$A$5001,"&gt;="&amp;$C$7,BD!$A$3:$A$5001,"&lt;="&amp;$B213,BD!$Y$3:$Y$5001,"&lt;&gt;"))))</f>
        <v/>
      </c>
      <c r="J213" s="54" t="str">
        <f>IF(OR($B213="",$A213&gt;$B$9,J$210=""),"",IF(COUNTIFS(BD!$B$3:$B$5001,J$210,BD!$A$3:$A$5001,"&gt;="&amp;$C$7,BD!$A$3:$A$5001,"&lt;="&amp;$B213,BD!$Y$3:$Y$5001,"&lt;&gt;")=0,"",SUMIFS(BD!$Y$3:$Y$5001,BD!$B$3:$B$5001,J$210,BD!$A$3:$A$5001,_xlfn.MAXIFS(BD!$A$3:$A$5001,BD!$B$3:$B$5001,J$210,BD!$A$3:$A$5001,"&gt;="&amp;$C$7,BD!$A$3:$A$5001,"&lt;="&amp;$B213,BD!$Y$3:$Y$5001,"&lt;&gt;"))))</f>
        <v/>
      </c>
      <c r="K213" s="54" t="str">
        <f>IF(OR($B213="",$A213&gt;$B$9,K$210=""),"",IF(COUNTIFS(BD!$B$3:$B$5001,K$210,BD!$A$3:$A$5001,"&gt;="&amp;$C$7,BD!$A$3:$A$5001,"&lt;="&amp;$B213,BD!$Y$3:$Y$5001,"&lt;&gt;")=0,"",SUMIFS(BD!$Y$3:$Y$5001,BD!$B$3:$B$5001,K$210,BD!$A$3:$A$5001,_xlfn.MAXIFS(BD!$A$3:$A$5001,BD!$B$3:$B$5001,K$210,BD!$A$3:$A$5001,"&gt;="&amp;$C$7,BD!$A$3:$A$5001,"&lt;="&amp;$B213,BD!$Y$3:$Y$5001,"&lt;&gt;"))))</f>
        <v/>
      </c>
      <c r="L213" s="54" t="str">
        <f>IF(OR($B213="",$A213&gt;$B$9,L$210=""),"",IF(COUNTIFS(BD!$B$3:$B$5001,L$210,BD!$A$3:$A$5001,"&gt;="&amp;$C$7,BD!$A$3:$A$5001,"&lt;="&amp;$B213,BD!$Y$3:$Y$5001,"&lt;&gt;")=0,"",SUMIFS(BD!$Y$3:$Y$5001,BD!$B$3:$B$5001,L$210,BD!$A$3:$A$5001,_xlfn.MAXIFS(BD!$A$3:$A$5001,BD!$B$3:$B$5001,L$210,BD!$A$3:$A$5001,"&gt;="&amp;$C$7,BD!$A$3:$A$5001,"&lt;="&amp;$B213,BD!$Y$3:$Y$5001,"&lt;&gt;"))))</f>
        <v/>
      </c>
      <c r="M213" s="54" t="str">
        <f>IF(OR($B213="",$A213&gt;$B$9,M$210=""),"",IF(COUNTIFS(BD!$B$3:$B$5001,M$210,BD!$A$3:$A$5001,"&gt;="&amp;$C$7,BD!$A$3:$A$5001,"&lt;="&amp;$B213,BD!$Y$3:$Y$5001,"&lt;&gt;")=0,"",SUMIFS(BD!$Y$3:$Y$5001,BD!$B$3:$B$5001,M$210,BD!$A$3:$A$5001,_xlfn.MAXIFS(BD!$A$3:$A$5001,BD!$B$3:$B$5001,M$210,BD!$A$3:$A$5001,"&gt;="&amp;$C$7,BD!$A$3:$A$5001,"&lt;="&amp;$B213,BD!$Y$3:$Y$5001,"&lt;&gt;"))))</f>
        <v/>
      </c>
      <c r="N213" s="54" t="str">
        <f>IF(OR($B213="",$A213&gt;$B$9,N$210=""),"",IF(COUNTIFS(BD!$B$3:$B$5001,N$210,BD!$A$3:$A$5001,"&gt;="&amp;$C$7,BD!$A$3:$A$5001,"&lt;="&amp;$B213,BD!$Y$3:$Y$5001,"&lt;&gt;")=0,"",SUMIFS(BD!$Y$3:$Y$5001,BD!$B$3:$B$5001,N$210,BD!$A$3:$A$5001,_xlfn.MAXIFS(BD!$A$3:$A$5001,BD!$B$3:$B$5001,N$210,BD!$A$3:$A$5001,"&gt;="&amp;$C$7,BD!$A$3:$A$5001,"&lt;="&amp;$B213,BD!$Y$3:$Y$5001,"&lt;&gt;"))))</f>
        <v/>
      </c>
      <c r="O213" s="54" t="str">
        <f>IF(OR($B213="",$A213&gt;$B$9,O$210=""),"",IF(COUNTIFS(BD!$B$3:$B$5001,O$210,BD!$A$3:$A$5001,"&gt;="&amp;$C$7,BD!$A$3:$A$5001,"&lt;="&amp;$B213,BD!$Y$3:$Y$5001,"&lt;&gt;")=0,"",SUMIFS(BD!$Y$3:$Y$5001,BD!$B$3:$B$5001,O$210,BD!$A$3:$A$5001,_xlfn.MAXIFS(BD!$A$3:$A$5001,BD!$B$3:$B$5001,O$210,BD!$A$3:$A$5001,"&gt;="&amp;$C$7,BD!$A$3:$A$5001,"&lt;="&amp;$B213,BD!$Y$3:$Y$5001,"&lt;&gt;"))))</f>
        <v/>
      </c>
      <c r="P213" s="54" t="str">
        <f>IF(OR($B213="",$A213&gt;$B$9,P$210=""),"",IF(COUNTIFS(BD!$B$3:$B$5001,P$210,BD!$A$3:$A$5001,"&gt;="&amp;$C$7,BD!$A$3:$A$5001,"&lt;="&amp;$B213,BD!$Y$3:$Y$5001,"&lt;&gt;")=0,"",SUMIFS(BD!$Y$3:$Y$5001,BD!$B$3:$B$5001,P$210,BD!$A$3:$A$5001,_xlfn.MAXIFS(BD!$A$3:$A$5001,BD!$B$3:$B$5001,P$210,BD!$A$3:$A$5001,"&gt;="&amp;$C$7,BD!$A$3:$A$5001,"&lt;="&amp;$B213,BD!$Y$3:$Y$5001,"&lt;&gt;"))))</f>
        <v/>
      </c>
      <c r="Q213" s="54" t="str">
        <f>IF(OR($B213="",$A213&gt;$B$9,Q$210=""),"",IF(COUNTIFS(BD!$B$3:$B$5001,Q$210,BD!$A$3:$A$5001,"&gt;="&amp;$C$7,BD!$A$3:$A$5001,"&lt;="&amp;$B213,BD!$Y$3:$Y$5001,"&lt;&gt;")=0,"",SUMIFS(BD!$Y$3:$Y$5001,BD!$B$3:$B$5001,Q$210,BD!$A$3:$A$5001,_xlfn.MAXIFS(BD!$A$3:$A$5001,BD!$B$3:$B$5001,Q$210,BD!$A$3:$A$5001,"&gt;="&amp;$C$7,BD!$A$3:$A$5001,"&lt;="&amp;$B213,BD!$Y$3:$Y$5001,"&lt;&gt;"))))</f>
        <v/>
      </c>
      <c r="R213" s="54" t="str">
        <f>IF(OR($B213="",$A213&gt;$B$9,R$210=""),"",IF(COUNTIFS(BD!$B$3:$B$5001,R$210,BD!$A$3:$A$5001,"&gt;="&amp;$C$7,BD!$A$3:$A$5001,"&lt;="&amp;$B213,BD!$Y$3:$Y$5001,"&lt;&gt;")=0,"",SUMIFS(BD!$Y$3:$Y$5001,BD!$B$3:$B$5001,R$210,BD!$A$3:$A$5001,_xlfn.MAXIFS(BD!$A$3:$A$5001,BD!$B$3:$B$5001,R$210,BD!$A$3:$A$5001,"&gt;="&amp;$C$7,BD!$A$3:$A$5001,"&lt;="&amp;$B213,BD!$Y$3:$Y$5001,"&lt;&gt;"))))</f>
        <v/>
      </c>
      <c r="S213" s="54" t="str">
        <f>IF(OR($B213="",$A213&gt;$B$9,S$210=""),"",IF(COUNTIFS(BD!$B$3:$B$5001,S$210,BD!$A$3:$A$5001,"&gt;="&amp;$C$7,BD!$A$3:$A$5001,"&lt;="&amp;$B213,BD!$Y$3:$Y$5001,"&lt;&gt;")=0,"",SUMIFS(BD!$Y$3:$Y$5001,BD!$B$3:$B$5001,S$210,BD!$A$3:$A$5001,_xlfn.MAXIFS(BD!$A$3:$A$5001,BD!$B$3:$B$5001,S$210,BD!$A$3:$A$5001,"&gt;="&amp;$C$7,BD!$A$3:$A$5001,"&lt;="&amp;$B213,BD!$Y$3:$Y$5001,"&lt;&gt;"))))</f>
        <v/>
      </c>
      <c r="T213" s="54" t="str">
        <f>IF(OR($B213="",$A213&gt;$B$9,T$210=""),"",IF(COUNTIFS(BD!$B$3:$B$5001,T$210,BD!$A$3:$A$5001,"&gt;="&amp;$C$7,BD!$A$3:$A$5001,"&lt;="&amp;$B213,BD!$Y$3:$Y$5001,"&lt;&gt;")=0,"",SUMIFS(BD!$Y$3:$Y$5001,BD!$B$3:$B$5001,T$210,BD!$A$3:$A$5001,_xlfn.MAXIFS(BD!$A$3:$A$5001,BD!$B$3:$B$5001,T$210,BD!$A$3:$A$5001,"&gt;="&amp;$C$7,BD!$A$3:$A$5001,"&lt;="&amp;$B213,BD!$Y$3:$Y$5001,"&lt;&gt;"))))</f>
        <v/>
      </c>
      <c r="U213" s="54" t="str">
        <f>IF(OR($B213="",$A213&gt;$B$9,U$210=""),"",IF(COUNTIFS(BD!$B$3:$B$5001,U$210,BD!$A$3:$A$5001,"&gt;="&amp;$C$7,BD!$A$3:$A$5001,"&lt;="&amp;$B213,BD!$Y$3:$Y$5001,"&lt;&gt;")=0,"",SUMIFS(BD!$Y$3:$Y$5001,BD!$B$3:$B$5001,U$210,BD!$A$3:$A$5001,_xlfn.MAXIFS(BD!$A$3:$A$5001,BD!$B$3:$B$5001,U$210,BD!$A$3:$A$5001,"&gt;="&amp;$C$7,BD!$A$3:$A$5001,"&lt;="&amp;$B213,BD!$Y$3:$Y$5001,"&lt;&gt;"))))</f>
        <v/>
      </c>
      <c r="V213" s="54" t="str">
        <f>IF(OR($B213="",$A213&gt;$B$9,V$210=""),"",IF(COUNTIFS(BD!$B$3:$B$5001,V$210,BD!$A$3:$A$5001,"&gt;="&amp;$C$7,BD!$A$3:$A$5001,"&lt;="&amp;$B213,BD!$Y$3:$Y$5001,"&lt;&gt;")=0,"",SUMIFS(BD!$Y$3:$Y$5001,BD!$B$3:$B$5001,V$210,BD!$A$3:$A$5001,_xlfn.MAXIFS(BD!$A$3:$A$5001,BD!$B$3:$B$5001,V$210,BD!$A$3:$A$5001,"&gt;="&amp;$C$7,BD!$A$3:$A$5001,"&lt;="&amp;$B213,BD!$Y$3:$Y$5001,"&lt;&gt;"))))</f>
        <v/>
      </c>
    </row>
    <row r="214">
      <c r="A214" s="48">
        <v>4</v>
      </c>
      <c r="B214" s="53">
        <f>$B$15</f>
        <v>46299</v>
      </c>
      <c r="C214" s="54" t="str">
        <f>IF(OR($B214="",$A214&gt;$B$9,C$210=""),"",IF(COUNTIFS(BD!$B$3:$B$5001,C$210,BD!$A$3:$A$5001,"&gt;="&amp;$C$7,BD!$A$3:$A$5001,"&lt;="&amp;$B214,BD!$Y$3:$Y$5001,"&lt;&gt;")=0,"",SUMIFS(BD!$Y$3:$Y$5001,BD!$B$3:$B$5001,C$210,BD!$A$3:$A$5001,_xlfn.MAXIFS(BD!$A$3:$A$5001,BD!$B$3:$B$5001,C$210,BD!$A$3:$A$5001,"&gt;="&amp;$C$7,BD!$A$3:$A$5001,"&lt;="&amp;$B214,BD!$Y$3:$Y$5001,"&lt;&gt;"))))</f>
        <v/>
      </c>
      <c r="D214" s="54" t="str">
        <f>IF(OR($B214="",$A214&gt;$B$9,D$210=""),"",IF(COUNTIFS(BD!$B$3:$B$5001,D$210,BD!$A$3:$A$5001,"&gt;="&amp;$C$7,BD!$A$3:$A$5001,"&lt;="&amp;$B214,BD!$Y$3:$Y$5001,"&lt;&gt;")=0,"",SUMIFS(BD!$Y$3:$Y$5001,BD!$B$3:$B$5001,D$210,BD!$A$3:$A$5001,_xlfn.MAXIFS(BD!$A$3:$A$5001,BD!$B$3:$B$5001,D$210,BD!$A$3:$A$5001,"&gt;="&amp;$C$7,BD!$A$3:$A$5001,"&lt;="&amp;$B214,BD!$Y$3:$Y$5001,"&lt;&gt;"))))</f>
        <v/>
      </c>
      <c r="E214" s="54" t="str">
        <f>IF(OR($B214="",$A214&gt;$B$9,E$210=""),"",IF(COUNTIFS(BD!$B$3:$B$5001,E$210,BD!$A$3:$A$5001,"&gt;="&amp;$C$7,BD!$A$3:$A$5001,"&lt;="&amp;$B214,BD!$Y$3:$Y$5001,"&lt;&gt;")=0,"",SUMIFS(BD!$Y$3:$Y$5001,BD!$B$3:$B$5001,E$210,BD!$A$3:$A$5001,_xlfn.MAXIFS(BD!$A$3:$A$5001,BD!$B$3:$B$5001,E$210,BD!$A$3:$A$5001,"&gt;="&amp;$C$7,BD!$A$3:$A$5001,"&lt;="&amp;$B214,BD!$Y$3:$Y$5001,"&lt;&gt;"))))</f>
        <v/>
      </c>
      <c r="F214" s="54" t="str">
        <f>IF(OR($B214="",$A214&gt;$B$9,F$210=""),"",IF(COUNTIFS(BD!$B$3:$B$5001,F$210,BD!$A$3:$A$5001,"&gt;="&amp;$C$7,BD!$A$3:$A$5001,"&lt;="&amp;$B214,BD!$Y$3:$Y$5001,"&lt;&gt;")=0,"",SUMIFS(BD!$Y$3:$Y$5001,BD!$B$3:$B$5001,F$210,BD!$A$3:$A$5001,_xlfn.MAXIFS(BD!$A$3:$A$5001,BD!$B$3:$B$5001,F$210,BD!$A$3:$A$5001,"&gt;="&amp;$C$7,BD!$A$3:$A$5001,"&lt;="&amp;$B214,BD!$Y$3:$Y$5001,"&lt;&gt;"))))</f>
        <v/>
      </c>
      <c r="G214" s="54" t="str">
        <f>IF(OR($B214="",$A214&gt;$B$9,G$210=""),"",IF(COUNTIFS(BD!$B$3:$B$5001,G$210,BD!$A$3:$A$5001,"&gt;="&amp;$C$7,BD!$A$3:$A$5001,"&lt;="&amp;$B214,BD!$Y$3:$Y$5001,"&lt;&gt;")=0,"",SUMIFS(BD!$Y$3:$Y$5001,BD!$B$3:$B$5001,G$210,BD!$A$3:$A$5001,_xlfn.MAXIFS(BD!$A$3:$A$5001,BD!$B$3:$B$5001,G$210,BD!$A$3:$A$5001,"&gt;="&amp;$C$7,BD!$A$3:$A$5001,"&lt;="&amp;$B214,BD!$Y$3:$Y$5001,"&lt;&gt;"))))</f>
        <v/>
      </c>
      <c r="H214" s="54" t="str">
        <f>IF(OR($B214="",$A214&gt;$B$9,H$210=""),"",IF(COUNTIFS(BD!$B$3:$B$5001,H$210,BD!$A$3:$A$5001,"&gt;="&amp;$C$7,BD!$A$3:$A$5001,"&lt;="&amp;$B214,BD!$Y$3:$Y$5001,"&lt;&gt;")=0,"",SUMIFS(BD!$Y$3:$Y$5001,BD!$B$3:$B$5001,H$210,BD!$A$3:$A$5001,_xlfn.MAXIFS(BD!$A$3:$A$5001,BD!$B$3:$B$5001,H$210,BD!$A$3:$A$5001,"&gt;="&amp;$C$7,BD!$A$3:$A$5001,"&lt;="&amp;$B214,BD!$Y$3:$Y$5001,"&lt;&gt;"))))</f>
        <v/>
      </c>
      <c r="I214" s="54" t="str">
        <f>IF(OR($B214="",$A214&gt;$B$9,I$210=""),"",IF(COUNTIFS(BD!$B$3:$B$5001,I$210,BD!$A$3:$A$5001,"&gt;="&amp;$C$7,BD!$A$3:$A$5001,"&lt;="&amp;$B214,BD!$Y$3:$Y$5001,"&lt;&gt;")=0,"",SUMIFS(BD!$Y$3:$Y$5001,BD!$B$3:$B$5001,I$210,BD!$A$3:$A$5001,_xlfn.MAXIFS(BD!$A$3:$A$5001,BD!$B$3:$B$5001,I$210,BD!$A$3:$A$5001,"&gt;="&amp;$C$7,BD!$A$3:$A$5001,"&lt;="&amp;$B214,BD!$Y$3:$Y$5001,"&lt;&gt;"))))</f>
        <v/>
      </c>
      <c r="J214" s="54" t="str">
        <f>IF(OR($B214="",$A214&gt;$B$9,J$210=""),"",IF(COUNTIFS(BD!$B$3:$B$5001,J$210,BD!$A$3:$A$5001,"&gt;="&amp;$C$7,BD!$A$3:$A$5001,"&lt;="&amp;$B214,BD!$Y$3:$Y$5001,"&lt;&gt;")=0,"",SUMIFS(BD!$Y$3:$Y$5001,BD!$B$3:$B$5001,J$210,BD!$A$3:$A$5001,_xlfn.MAXIFS(BD!$A$3:$A$5001,BD!$B$3:$B$5001,J$210,BD!$A$3:$A$5001,"&gt;="&amp;$C$7,BD!$A$3:$A$5001,"&lt;="&amp;$B214,BD!$Y$3:$Y$5001,"&lt;&gt;"))))</f>
        <v/>
      </c>
      <c r="K214" s="54" t="str">
        <f>IF(OR($B214="",$A214&gt;$B$9,K$210=""),"",IF(COUNTIFS(BD!$B$3:$B$5001,K$210,BD!$A$3:$A$5001,"&gt;="&amp;$C$7,BD!$A$3:$A$5001,"&lt;="&amp;$B214,BD!$Y$3:$Y$5001,"&lt;&gt;")=0,"",SUMIFS(BD!$Y$3:$Y$5001,BD!$B$3:$B$5001,K$210,BD!$A$3:$A$5001,_xlfn.MAXIFS(BD!$A$3:$A$5001,BD!$B$3:$B$5001,K$210,BD!$A$3:$A$5001,"&gt;="&amp;$C$7,BD!$A$3:$A$5001,"&lt;="&amp;$B214,BD!$Y$3:$Y$5001,"&lt;&gt;"))))</f>
        <v/>
      </c>
      <c r="L214" s="54" t="str">
        <f>IF(OR($B214="",$A214&gt;$B$9,L$210=""),"",IF(COUNTIFS(BD!$B$3:$B$5001,L$210,BD!$A$3:$A$5001,"&gt;="&amp;$C$7,BD!$A$3:$A$5001,"&lt;="&amp;$B214,BD!$Y$3:$Y$5001,"&lt;&gt;")=0,"",SUMIFS(BD!$Y$3:$Y$5001,BD!$B$3:$B$5001,L$210,BD!$A$3:$A$5001,_xlfn.MAXIFS(BD!$A$3:$A$5001,BD!$B$3:$B$5001,L$210,BD!$A$3:$A$5001,"&gt;="&amp;$C$7,BD!$A$3:$A$5001,"&lt;="&amp;$B214,BD!$Y$3:$Y$5001,"&lt;&gt;"))))</f>
        <v/>
      </c>
      <c r="M214" s="54" t="str">
        <f>IF(OR($B214="",$A214&gt;$B$9,M$210=""),"",IF(COUNTIFS(BD!$B$3:$B$5001,M$210,BD!$A$3:$A$5001,"&gt;="&amp;$C$7,BD!$A$3:$A$5001,"&lt;="&amp;$B214,BD!$Y$3:$Y$5001,"&lt;&gt;")=0,"",SUMIFS(BD!$Y$3:$Y$5001,BD!$B$3:$B$5001,M$210,BD!$A$3:$A$5001,_xlfn.MAXIFS(BD!$A$3:$A$5001,BD!$B$3:$B$5001,M$210,BD!$A$3:$A$5001,"&gt;="&amp;$C$7,BD!$A$3:$A$5001,"&lt;="&amp;$B214,BD!$Y$3:$Y$5001,"&lt;&gt;"))))</f>
        <v/>
      </c>
      <c r="N214" s="54" t="str">
        <f>IF(OR($B214="",$A214&gt;$B$9,N$210=""),"",IF(COUNTIFS(BD!$B$3:$B$5001,N$210,BD!$A$3:$A$5001,"&gt;="&amp;$C$7,BD!$A$3:$A$5001,"&lt;="&amp;$B214,BD!$Y$3:$Y$5001,"&lt;&gt;")=0,"",SUMIFS(BD!$Y$3:$Y$5001,BD!$B$3:$B$5001,N$210,BD!$A$3:$A$5001,_xlfn.MAXIFS(BD!$A$3:$A$5001,BD!$B$3:$B$5001,N$210,BD!$A$3:$A$5001,"&gt;="&amp;$C$7,BD!$A$3:$A$5001,"&lt;="&amp;$B214,BD!$Y$3:$Y$5001,"&lt;&gt;"))))</f>
        <v/>
      </c>
      <c r="O214" s="54" t="str">
        <f>IF(OR($B214="",$A214&gt;$B$9,O$210=""),"",IF(COUNTIFS(BD!$B$3:$B$5001,O$210,BD!$A$3:$A$5001,"&gt;="&amp;$C$7,BD!$A$3:$A$5001,"&lt;="&amp;$B214,BD!$Y$3:$Y$5001,"&lt;&gt;")=0,"",SUMIFS(BD!$Y$3:$Y$5001,BD!$B$3:$B$5001,O$210,BD!$A$3:$A$5001,_xlfn.MAXIFS(BD!$A$3:$A$5001,BD!$B$3:$B$5001,O$210,BD!$A$3:$A$5001,"&gt;="&amp;$C$7,BD!$A$3:$A$5001,"&lt;="&amp;$B214,BD!$Y$3:$Y$5001,"&lt;&gt;"))))</f>
        <v/>
      </c>
      <c r="P214" s="54" t="str">
        <f>IF(OR($B214="",$A214&gt;$B$9,P$210=""),"",IF(COUNTIFS(BD!$B$3:$B$5001,P$210,BD!$A$3:$A$5001,"&gt;="&amp;$C$7,BD!$A$3:$A$5001,"&lt;="&amp;$B214,BD!$Y$3:$Y$5001,"&lt;&gt;")=0,"",SUMIFS(BD!$Y$3:$Y$5001,BD!$B$3:$B$5001,P$210,BD!$A$3:$A$5001,_xlfn.MAXIFS(BD!$A$3:$A$5001,BD!$B$3:$B$5001,P$210,BD!$A$3:$A$5001,"&gt;="&amp;$C$7,BD!$A$3:$A$5001,"&lt;="&amp;$B214,BD!$Y$3:$Y$5001,"&lt;&gt;"))))</f>
        <v/>
      </c>
      <c r="Q214" s="54" t="str">
        <f>IF(OR($B214="",$A214&gt;$B$9,Q$210=""),"",IF(COUNTIFS(BD!$B$3:$B$5001,Q$210,BD!$A$3:$A$5001,"&gt;="&amp;$C$7,BD!$A$3:$A$5001,"&lt;="&amp;$B214,BD!$Y$3:$Y$5001,"&lt;&gt;")=0,"",SUMIFS(BD!$Y$3:$Y$5001,BD!$B$3:$B$5001,Q$210,BD!$A$3:$A$5001,_xlfn.MAXIFS(BD!$A$3:$A$5001,BD!$B$3:$B$5001,Q$210,BD!$A$3:$A$5001,"&gt;="&amp;$C$7,BD!$A$3:$A$5001,"&lt;="&amp;$B214,BD!$Y$3:$Y$5001,"&lt;&gt;"))))</f>
        <v/>
      </c>
      <c r="R214" s="54" t="str">
        <f>IF(OR($B214="",$A214&gt;$B$9,R$210=""),"",IF(COUNTIFS(BD!$B$3:$B$5001,R$210,BD!$A$3:$A$5001,"&gt;="&amp;$C$7,BD!$A$3:$A$5001,"&lt;="&amp;$B214,BD!$Y$3:$Y$5001,"&lt;&gt;")=0,"",SUMIFS(BD!$Y$3:$Y$5001,BD!$B$3:$B$5001,R$210,BD!$A$3:$A$5001,_xlfn.MAXIFS(BD!$A$3:$A$5001,BD!$B$3:$B$5001,R$210,BD!$A$3:$A$5001,"&gt;="&amp;$C$7,BD!$A$3:$A$5001,"&lt;="&amp;$B214,BD!$Y$3:$Y$5001,"&lt;&gt;"))))</f>
        <v/>
      </c>
      <c r="S214" s="54" t="str">
        <f>IF(OR($B214="",$A214&gt;$B$9,S$210=""),"",IF(COUNTIFS(BD!$B$3:$B$5001,S$210,BD!$A$3:$A$5001,"&gt;="&amp;$C$7,BD!$A$3:$A$5001,"&lt;="&amp;$B214,BD!$Y$3:$Y$5001,"&lt;&gt;")=0,"",SUMIFS(BD!$Y$3:$Y$5001,BD!$B$3:$B$5001,S$210,BD!$A$3:$A$5001,_xlfn.MAXIFS(BD!$A$3:$A$5001,BD!$B$3:$B$5001,S$210,BD!$A$3:$A$5001,"&gt;="&amp;$C$7,BD!$A$3:$A$5001,"&lt;="&amp;$B214,BD!$Y$3:$Y$5001,"&lt;&gt;"))))</f>
        <v/>
      </c>
      <c r="T214" s="54" t="str">
        <f>IF(OR($B214="",$A214&gt;$B$9,T$210=""),"",IF(COUNTIFS(BD!$B$3:$B$5001,T$210,BD!$A$3:$A$5001,"&gt;="&amp;$C$7,BD!$A$3:$A$5001,"&lt;="&amp;$B214,BD!$Y$3:$Y$5001,"&lt;&gt;")=0,"",SUMIFS(BD!$Y$3:$Y$5001,BD!$B$3:$B$5001,T$210,BD!$A$3:$A$5001,_xlfn.MAXIFS(BD!$A$3:$A$5001,BD!$B$3:$B$5001,T$210,BD!$A$3:$A$5001,"&gt;="&amp;$C$7,BD!$A$3:$A$5001,"&lt;="&amp;$B214,BD!$Y$3:$Y$5001,"&lt;&gt;"))))</f>
        <v/>
      </c>
      <c r="U214" s="54" t="str">
        <f>IF(OR($B214="",$A214&gt;$B$9,U$210=""),"",IF(COUNTIFS(BD!$B$3:$B$5001,U$210,BD!$A$3:$A$5001,"&gt;="&amp;$C$7,BD!$A$3:$A$5001,"&lt;="&amp;$B214,BD!$Y$3:$Y$5001,"&lt;&gt;")=0,"",SUMIFS(BD!$Y$3:$Y$5001,BD!$B$3:$B$5001,U$210,BD!$A$3:$A$5001,_xlfn.MAXIFS(BD!$A$3:$A$5001,BD!$B$3:$B$5001,U$210,BD!$A$3:$A$5001,"&gt;="&amp;$C$7,BD!$A$3:$A$5001,"&lt;="&amp;$B214,BD!$Y$3:$Y$5001,"&lt;&gt;"))))</f>
        <v/>
      </c>
      <c r="V214" s="54" t="str">
        <f>IF(OR($B214="",$A214&gt;$B$9,V$210=""),"",IF(COUNTIFS(BD!$B$3:$B$5001,V$210,BD!$A$3:$A$5001,"&gt;="&amp;$C$7,BD!$A$3:$A$5001,"&lt;="&amp;$B214,BD!$Y$3:$Y$5001,"&lt;&gt;")=0,"",SUMIFS(BD!$Y$3:$Y$5001,BD!$B$3:$B$5001,V$210,BD!$A$3:$A$5001,_xlfn.MAXIFS(BD!$A$3:$A$5001,BD!$B$3:$B$5001,V$210,BD!$A$3:$A$5001,"&gt;="&amp;$C$7,BD!$A$3:$A$5001,"&lt;="&amp;$B214,BD!$Y$3:$Y$5001,"&lt;&gt;"))))</f>
        <v/>
      </c>
    </row>
    <row r="215">
      <c r="A215" s="48">
        <v>5</v>
      </c>
      <c r="B215" s="53">
        <f>$B$16</f>
        <v>46300</v>
      </c>
      <c r="C215" s="54" t="str">
        <f>IF(OR($B215="",$A215&gt;$B$9,C$210=""),"",IF(COUNTIFS(BD!$B$3:$B$5001,C$210,BD!$A$3:$A$5001,"&gt;="&amp;$C$7,BD!$A$3:$A$5001,"&lt;="&amp;$B215,BD!$Y$3:$Y$5001,"&lt;&gt;")=0,"",SUMIFS(BD!$Y$3:$Y$5001,BD!$B$3:$B$5001,C$210,BD!$A$3:$A$5001,_xlfn.MAXIFS(BD!$A$3:$A$5001,BD!$B$3:$B$5001,C$210,BD!$A$3:$A$5001,"&gt;="&amp;$C$7,BD!$A$3:$A$5001,"&lt;="&amp;$B215,BD!$Y$3:$Y$5001,"&lt;&gt;"))))</f>
        <v/>
      </c>
      <c r="D215" s="54" t="str">
        <f>IF(OR($B215="",$A215&gt;$B$9,D$210=""),"",IF(COUNTIFS(BD!$B$3:$B$5001,D$210,BD!$A$3:$A$5001,"&gt;="&amp;$C$7,BD!$A$3:$A$5001,"&lt;="&amp;$B215,BD!$Y$3:$Y$5001,"&lt;&gt;")=0,"",SUMIFS(BD!$Y$3:$Y$5001,BD!$B$3:$B$5001,D$210,BD!$A$3:$A$5001,_xlfn.MAXIFS(BD!$A$3:$A$5001,BD!$B$3:$B$5001,D$210,BD!$A$3:$A$5001,"&gt;="&amp;$C$7,BD!$A$3:$A$5001,"&lt;="&amp;$B215,BD!$Y$3:$Y$5001,"&lt;&gt;"))))</f>
        <v/>
      </c>
      <c r="E215" s="54" t="str">
        <f>IF(OR($B215="",$A215&gt;$B$9,E$210=""),"",IF(COUNTIFS(BD!$B$3:$B$5001,E$210,BD!$A$3:$A$5001,"&gt;="&amp;$C$7,BD!$A$3:$A$5001,"&lt;="&amp;$B215,BD!$Y$3:$Y$5001,"&lt;&gt;")=0,"",SUMIFS(BD!$Y$3:$Y$5001,BD!$B$3:$B$5001,E$210,BD!$A$3:$A$5001,_xlfn.MAXIFS(BD!$A$3:$A$5001,BD!$B$3:$B$5001,E$210,BD!$A$3:$A$5001,"&gt;="&amp;$C$7,BD!$A$3:$A$5001,"&lt;="&amp;$B215,BD!$Y$3:$Y$5001,"&lt;&gt;"))))</f>
        <v/>
      </c>
      <c r="F215" s="54" t="str">
        <f>IF(OR($B215="",$A215&gt;$B$9,F$210=""),"",IF(COUNTIFS(BD!$B$3:$B$5001,F$210,BD!$A$3:$A$5001,"&gt;="&amp;$C$7,BD!$A$3:$A$5001,"&lt;="&amp;$B215,BD!$Y$3:$Y$5001,"&lt;&gt;")=0,"",SUMIFS(BD!$Y$3:$Y$5001,BD!$B$3:$B$5001,F$210,BD!$A$3:$A$5001,_xlfn.MAXIFS(BD!$A$3:$A$5001,BD!$B$3:$B$5001,F$210,BD!$A$3:$A$5001,"&gt;="&amp;$C$7,BD!$A$3:$A$5001,"&lt;="&amp;$B215,BD!$Y$3:$Y$5001,"&lt;&gt;"))))</f>
        <v/>
      </c>
      <c r="G215" s="54" t="str">
        <f>IF(OR($B215="",$A215&gt;$B$9,G$210=""),"",IF(COUNTIFS(BD!$B$3:$B$5001,G$210,BD!$A$3:$A$5001,"&gt;="&amp;$C$7,BD!$A$3:$A$5001,"&lt;="&amp;$B215,BD!$Y$3:$Y$5001,"&lt;&gt;")=0,"",SUMIFS(BD!$Y$3:$Y$5001,BD!$B$3:$B$5001,G$210,BD!$A$3:$A$5001,_xlfn.MAXIFS(BD!$A$3:$A$5001,BD!$B$3:$B$5001,G$210,BD!$A$3:$A$5001,"&gt;="&amp;$C$7,BD!$A$3:$A$5001,"&lt;="&amp;$B215,BD!$Y$3:$Y$5001,"&lt;&gt;"))))</f>
        <v/>
      </c>
      <c r="H215" s="54" t="str">
        <f>IF(OR($B215="",$A215&gt;$B$9,H$210=""),"",IF(COUNTIFS(BD!$B$3:$B$5001,H$210,BD!$A$3:$A$5001,"&gt;="&amp;$C$7,BD!$A$3:$A$5001,"&lt;="&amp;$B215,BD!$Y$3:$Y$5001,"&lt;&gt;")=0,"",SUMIFS(BD!$Y$3:$Y$5001,BD!$B$3:$B$5001,H$210,BD!$A$3:$A$5001,_xlfn.MAXIFS(BD!$A$3:$A$5001,BD!$B$3:$B$5001,H$210,BD!$A$3:$A$5001,"&gt;="&amp;$C$7,BD!$A$3:$A$5001,"&lt;="&amp;$B215,BD!$Y$3:$Y$5001,"&lt;&gt;"))))</f>
        <v/>
      </c>
      <c r="I215" s="54" t="str">
        <f>IF(OR($B215="",$A215&gt;$B$9,I$210=""),"",IF(COUNTIFS(BD!$B$3:$B$5001,I$210,BD!$A$3:$A$5001,"&gt;="&amp;$C$7,BD!$A$3:$A$5001,"&lt;="&amp;$B215,BD!$Y$3:$Y$5001,"&lt;&gt;")=0,"",SUMIFS(BD!$Y$3:$Y$5001,BD!$B$3:$B$5001,I$210,BD!$A$3:$A$5001,_xlfn.MAXIFS(BD!$A$3:$A$5001,BD!$B$3:$B$5001,I$210,BD!$A$3:$A$5001,"&gt;="&amp;$C$7,BD!$A$3:$A$5001,"&lt;="&amp;$B215,BD!$Y$3:$Y$5001,"&lt;&gt;"))))</f>
        <v/>
      </c>
      <c r="J215" s="54" t="str">
        <f>IF(OR($B215="",$A215&gt;$B$9,J$210=""),"",IF(COUNTIFS(BD!$B$3:$B$5001,J$210,BD!$A$3:$A$5001,"&gt;="&amp;$C$7,BD!$A$3:$A$5001,"&lt;="&amp;$B215,BD!$Y$3:$Y$5001,"&lt;&gt;")=0,"",SUMIFS(BD!$Y$3:$Y$5001,BD!$B$3:$B$5001,J$210,BD!$A$3:$A$5001,_xlfn.MAXIFS(BD!$A$3:$A$5001,BD!$B$3:$B$5001,J$210,BD!$A$3:$A$5001,"&gt;="&amp;$C$7,BD!$A$3:$A$5001,"&lt;="&amp;$B215,BD!$Y$3:$Y$5001,"&lt;&gt;"))))</f>
        <v/>
      </c>
      <c r="K215" s="54" t="str">
        <f>IF(OR($B215="",$A215&gt;$B$9,K$210=""),"",IF(COUNTIFS(BD!$B$3:$B$5001,K$210,BD!$A$3:$A$5001,"&gt;="&amp;$C$7,BD!$A$3:$A$5001,"&lt;="&amp;$B215,BD!$Y$3:$Y$5001,"&lt;&gt;")=0,"",SUMIFS(BD!$Y$3:$Y$5001,BD!$B$3:$B$5001,K$210,BD!$A$3:$A$5001,_xlfn.MAXIFS(BD!$A$3:$A$5001,BD!$B$3:$B$5001,K$210,BD!$A$3:$A$5001,"&gt;="&amp;$C$7,BD!$A$3:$A$5001,"&lt;="&amp;$B215,BD!$Y$3:$Y$5001,"&lt;&gt;"))))</f>
        <v/>
      </c>
      <c r="L215" s="54" t="str">
        <f>IF(OR($B215="",$A215&gt;$B$9,L$210=""),"",IF(COUNTIFS(BD!$B$3:$B$5001,L$210,BD!$A$3:$A$5001,"&gt;="&amp;$C$7,BD!$A$3:$A$5001,"&lt;="&amp;$B215,BD!$Y$3:$Y$5001,"&lt;&gt;")=0,"",SUMIFS(BD!$Y$3:$Y$5001,BD!$B$3:$B$5001,L$210,BD!$A$3:$A$5001,_xlfn.MAXIFS(BD!$A$3:$A$5001,BD!$B$3:$B$5001,L$210,BD!$A$3:$A$5001,"&gt;="&amp;$C$7,BD!$A$3:$A$5001,"&lt;="&amp;$B215,BD!$Y$3:$Y$5001,"&lt;&gt;"))))</f>
        <v/>
      </c>
      <c r="M215" s="54" t="str">
        <f>IF(OR($B215="",$A215&gt;$B$9,M$210=""),"",IF(COUNTIFS(BD!$B$3:$B$5001,M$210,BD!$A$3:$A$5001,"&gt;="&amp;$C$7,BD!$A$3:$A$5001,"&lt;="&amp;$B215,BD!$Y$3:$Y$5001,"&lt;&gt;")=0,"",SUMIFS(BD!$Y$3:$Y$5001,BD!$B$3:$B$5001,M$210,BD!$A$3:$A$5001,_xlfn.MAXIFS(BD!$A$3:$A$5001,BD!$B$3:$B$5001,M$210,BD!$A$3:$A$5001,"&gt;="&amp;$C$7,BD!$A$3:$A$5001,"&lt;="&amp;$B215,BD!$Y$3:$Y$5001,"&lt;&gt;"))))</f>
        <v/>
      </c>
      <c r="N215" s="54" t="str">
        <f>IF(OR($B215="",$A215&gt;$B$9,N$210=""),"",IF(COUNTIFS(BD!$B$3:$B$5001,N$210,BD!$A$3:$A$5001,"&gt;="&amp;$C$7,BD!$A$3:$A$5001,"&lt;="&amp;$B215,BD!$Y$3:$Y$5001,"&lt;&gt;")=0,"",SUMIFS(BD!$Y$3:$Y$5001,BD!$B$3:$B$5001,N$210,BD!$A$3:$A$5001,_xlfn.MAXIFS(BD!$A$3:$A$5001,BD!$B$3:$B$5001,N$210,BD!$A$3:$A$5001,"&gt;="&amp;$C$7,BD!$A$3:$A$5001,"&lt;="&amp;$B215,BD!$Y$3:$Y$5001,"&lt;&gt;"))))</f>
        <v/>
      </c>
      <c r="O215" s="54" t="str">
        <f>IF(OR($B215="",$A215&gt;$B$9,O$210=""),"",IF(COUNTIFS(BD!$B$3:$B$5001,O$210,BD!$A$3:$A$5001,"&gt;="&amp;$C$7,BD!$A$3:$A$5001,"&lt;="&amp;$B215,BD!$Y$3:$Y$5001,"&lt;&gt;")=0,"",SUMIFS(BD!$Y$3:$Y$5001,BD!$B$3:$B$5001,O$210,BD!$A$3:$A$5001,_xlfn.MAXIFS(BD!$A$3:$A$5001,BD!$B$3:$B$5001,O$210,BD!$A$3:$A$5001,"&gt;="&amp;$C$7,BD!$A$3:$A$5001,"&lt;="&amp;$B215,BD!$Y$3:$Y$5001,"&lt;&gt;"))))</f>
        <v/>
      </c>
      <c r="P215" s="54" t="str">
        <f>IF(OR($B215="",$A215&gt;$B$9,P$210=""),"",IF(COUNTIFS(BD!$B$3:$B$5001,P$210,BD!$A$3:$A$5001,"&gt;="&amp;$C$7,BD!$A$3:$A$5001,"&lt;="&amp;$B215,BD!$Y$3:$Y$5001,"&lt;&gt;")=0,"",SUMIFS(BD!$Y$3:$Y$5001,BD!$B$3:$B$5001,P$210,BD!$A$3:$A$5001,_xlfn.MAXIFS(BD!$A$3:$A$5001,BD!$B$3:$B$5001,P$210,BD!$A$3:$A$5001,"&gt;="&amp;$C$7,BD!$A$3:$A$5001,"&lt;="&amp;$B215,BD!$Y$3:$Y$5001,"&lt;&gt;"))))</f>
        <v/>
      </c>
      <c r="Q215" s="54" t="str">
        <f>IF(OR($B215="",$A215&gt;$B$9,Q$210=""),"",IF(COUNTIFS(BD!$B$3:$B$5001,Q$210,BD!$A$3:$A$5001,"&gt;="&amp;$C$7,BD!$A$3:$A$5001,"&lt;="&amp;$B215,BD!$Y$3:$Y$5001,"&lt;&gt;")=0,"",SUMIFS(BD!$Y$3:$Y$5001,BD!$B$3:$B$5001,Q$210,BD!$A$3:$A$5001,_xlfn.MAXIFS(BD!$A$3:$A$5001,BD!$B$3:$B$5001,Q$210,BD!$A$3:$A$5001,"&gt;="&amp;$C$7,BD!$A$3:$A$5001,"&lt;="&amp;$B215,BD!$Y$3:$Y$5001,"&lt;&gt;"))))</f>
        <v/>
      </c>
      <c r="R215" s="54" t="str">
        <f>IF(OR($B215="",$A215&gt;$B$9,R$210=""),"",IF(COUNTIFS(BD!$B$3:$B$5001,R$210,BD!$A$3:$A$5001,"&gt;="&amp;$C$7,BD!$A$3:$A$5001,"&lt;="&amp;$B215,BD!$Y$3:$Y$5001,"&lt;&gt;")=0,"",SUMIFS(BD!$Y$3:$Y$5001,BD!$B$3:$B$5001,R$210,BD!$A$3:$A$5001,_xlfn.MAXIFS(BD!$A$3:$A$5001,BD!$B$3:$B$5001,R$210,BD!$A$3:$A$5001,"&gt;="&amp;$C$7,BD!$A$3:$A$5001,"&lt;="&amp;$B215,BD!$Y$3:$Y$5001,"&lt;&gt;"))))</f>
        <v/>
      </c>
      <c r="S215" s="54" t="str">
        <f>IF(OR($B215="",$A215&gt;$B$9,S$210=""),"",IF(COUNTIFS(BD!$B$3:$B$5001,S$210,BD!$A$3:$A$5001,"&gt;="&amp;$C$7,BD!$A$3:$A$5001,"&lt;="&amp;$B215,BD!$Y$3:$Y$5001,"&lt;&gt;")=0,"",SUMIFS(BD!$Y$3:$Y$5001,BD!$B$3:$B$5001,S$210,BD!$A$3:$A$5001,_xlfn.MAXIFS(BD!$A$3:$A$5001,BD!$B$3:$B$5001,S$210,BD!$A$3:$A$5001,"&gt;="&amp;$C$7,BD!$A$3:$A$5001,"&lt;="&amp;$B215,BD!$Y$3:$Y$5001,"&lt;&gt;"))))</f>
        <v/>
      </c>
      <c r="T215" s="54" t="str">
        <f>IF(OR($B215="",$A215&gt;$B$9,T$210=""),"",IF(COUNTIFS(BD!$B$3:$B$5001,T$210,BD!$A$3:$A$5001,"&gt;="&amp;$C$7,BD!$A$3:$A$5001,"&lt;="&amp;$B215,BD!$Y$3:$Y$5001,"&lt;&gt;")=0,"",SUMIFS(BD!$Y$3:$Y$5001,BD!$B$3:$B$5001,T$210,BD!$A$3:$A$5001,_xlfn.MAXIFS(BD!$A$3:$A$5001,BD!$B$3:$B$5001,T$210,BD!$A$3:$A$5001,"&gt;="&amp;$C$7,BD!$A$3:$A$5001,"&lt;="&amp;$B215,BD!$Y$3:$Y$5001,"&lt;&gt;"))))</f>
        <v/>
      </c>
      <c r="U215" s="54" t="str">
        <f>IF(OR($B215="",$A215&gt;$B$9,U$210=""),"",IF(COUNTIFS(BD!$B$3:$B$5001,U$210,BD!$A$3:$A$5001,"&gt;="&amp;$C$7,BD!$A$3:$A$5001,"&lt;="&amp;$B215,BD!$Y$3:$Y$5001,"&lt;&gt;")=0,"",SUMIFS(BD!$Y$3:$Y$5001,BD!$B$3:$B$5001,U$210,BD!$A$3:$A$5001,_xlfn.MAXIFS(BD!$A$3:$A$5001,BD!$B$3:$B$5001,U$210,BD!$A$3:$A$5001,"&gt;="&amp;$C$7,BD!$A$3:$A$5001,"&lt;="&amp;$B215,BD!$Y$3:$Y$5001,"&lt;&gt;"))))</f>
        <v/>
      </c>
      <c r="V215" s="54" t="str">
        <f>IF(OR($B215="",$A215&gt;$B$9,V$210=""),"",IF(COUNTIFS(BD!$B$3:$B$5001,V$210,BD!$A$3:$A$5001,"&gt;="&amp;$C$7,BD!$A$3:$A$5001,"&lt;="&amp;$B215,BD!$Y$3:$Y$5001,"&lt;&gt;")=0,"",SUMIFS(BD!$Y$3:$Y$5001,BD!$B$3:$B$5001,V$210,BD!$A$3:$A$5001,_xlfn.MAXIFS(BD!$A$3:$A$5001,BD!$B$3:$B$5001,V$210,BD!$A$3:$A$5001,"&gt;="&amp;$C$7,BD!$A$3:$A$5001,"&lt;="&amp;$B215,BD!$Y$3:$Y$5001,"&lt;&gt;"))))</f>
        <v/>
      </c>
    </row>
    <row r="216">
      <c r="A216" s="48">
        <v>6</v>
      </c>
      <c r="B216" s="53">
        <f>$B$17</f>
        <v>46301</v>
      </c>
      <c r="C216" s="54" t="str">
        <f>IF(OR($B216="",$A216&gt;$B$9,C$210=""),"",IF(COUNTIFS(BD!$B$3:$B$5001,C$210,BD!$A$3:$A$5001,"&gt;="&amp;$C$7,BD!$A$3:$A$5001,"&lt;="&amp;$B216,BD!$Y$3:$Y$5001,"&lt;&gt;")=0,"",SUMIFS(BD!$Y$3:$Y$5001,BD!$B$3:$B$5001,C$210,BD!$A$3:$A$5001,_xlfn.MAXIFS(BD!$A$3:$A$5001,BD!$B$3:$B$5001,C$210,BD!$A$3:$A$5001,"&gt;="&amp;$C$7,BD!$A$3:$A$5001,"&lt;="&amp;$B216,BD!$Y$3:$Y$5001,"&lt;&gt;"))))</f>
        <v/>
      </c>
      <c r="D216" s="54" t="str">
        <f>IF(OR($B216="",$A216&gt;$B$9,D$210=""),"",IF(COUNTIFS(BD!$B$3:$B$5001,D$210,BD!$A$3:$A$5001,"&gt;="&amp;$C$7,BD!$A$3:$A$5001,"&lt;="&amp;$B216,BD!$Y$3:$Y$5001,"&lt;&gt;")=0,"",SUMIFS(BD!$Y$3:$Y$5001,BD!$B$3:$B$5001,D$210,BD!$A$3:$A$5001,_xlfn.MAXIFS(BD!$A$3:$A$5001,BD!$B$3:$B$5001,D$210,BD!$A$3:$A$5001,"&gt;="&amp;$C$7,BD!$A$3:$A$5001,"&lt;="&amp;$B216,BD!$Y$3:$Y$5001,"&lt;&gt;"))))</f>
        <v/>
      </c>
      <c r="E216" s="54" t="str">
        <f>IF(OR($B216="",$A216&gt;$B$9,E$210=""),"",IF(COUNTIFS(BD!$B$3:$B$5001,E$210,BD!$A$3:$A$5001,"&gt;="&amp;$C$7,BD!$A$3:$A$5001,"&lt;="&amp;$B216,BD!$Y$3:$Y$5001,"&lt;&gt;")=0,"",SUMIFS(BD!$Y$3:$Y$5001,BD!$B$3:$B$5001,E$210,BD!$A$3:$A$5001,_xlfn.MAXIFS(BD!$A$3:$A$5001,BD!$B$3:$B$5001,E$210,BD!$A$3:$A$5001,"&gt;="&amp;$C$7,BD!$A$3:$A$5001,"&lt;="&amp;$B216,BD!$Y$3:$Y$5001,"&lt;&gt;"))))</f>
        <v/>
      </c>
      <c r="F216" s="54" t="str">
        <f>IF(OR($B216="",$A216&gt;$B$9,F$210=""),"",IF(COUNTIFS(BD!$B$3:$B$5001,F$210,BD!$A$3:$A$5001,"&gt;="&amp;$C$7,BD!$A$3:$A$5001,"&lt;="&amp;$B216,BD!$Y$3:$Y$5001,"&lt;&gt;")=0,"",SUMIFS(BD!$Y$3:$Y$5001,BD!$B$3:$B$5001,F$210,BD!$A$3:$A$5001,_xlfn.MAXIFS(BD!$A$3:$A$5001,BD!$B$3:$B$5001,F$210,BD!$A$3:$A$5001,"&gt;="&amp;$C$7,BD!$A$3:$A$5001,"&lt;="&amp;$B216,BD!$Y$3:$Y$5001,"&lt;&gt;"))))</f>
        <v/>
      </c>
      <c r="G216" s="54" t="str">
        <f>IF(OR($B216="",$A216&gt;$B$9,G$210=""),"",IF(COUNTIFS(BD!$B$3:$B$5001,G$210,BD!$A$3:$A$5001,"&gt;="&amp;$C$7,BD!$A$3:$A$5001,"&lt;="&amp;$B216,BD!$Y$3:$Y$5001,"&lt;&gt;")=0,"",SUMIFS(BD!$Y$3:$Y$5001,BD!$B$3:$B$5001,G$210,BD!$A$3:$A$5001,_xlfn.MAXIFS(BD!$A$3:$A$5001,BD!$B$3:$B$5001,G$210,BD!$A$3:$A$5001,"&gt;="&amp;$C$7,BD!$A$3:$A$5001,"&lt;="&amp;$B216,BD!$Y$3:$Y$5001,"&lt;&gt;"))))</f>
        <v/>
      </c>
      <c r="H216" s="54" t="str">
        <f>IF(OR($B216="",$A216&gt;$B$9,H$210=""),"",IF(COUNTIFS(BD!$B$3:$B$5001,H$210,BD!$A$3:$A$5001,"&gt;="&amp;$C$7,BD!$A$3:$A$5001,"&lt;="&amp;$B216,BD!$Y$3:$Y$5001,"&lt;&gt;")=0,"",SUMIFS(BD!$Y$3:$Y$5001,BD!$B$3:$B$5001,H$210,BD!$A$3:$A$5001,_xlfn.MAXIFS(BD!$A$3:$A$5001,BD!$B$3:$B$5001,H$210,BD!$A$3:$A$5001,"&gt;="&amp;$C$7,BD!$A$3:$A$5001,"&lt;="&amp;$B216,BD!$Y$3:$Y$5001,"&lt;&gt;"))))</f>
        <v/>
      </c>
      <c r="I216" s="54" t="str">
        <f>IF(OR($B216="",$A216&gt;$B$9,I$210=""),"",IF(COUNTIFS(BD!$B$3:$B$5001,I$210,BD!$A$3:$A$5001,"&gt;="&amp;$C$7,BD!$A$3:$A$5001,"&lt;="&amp;$B216,BD!$Y$3:$Y$5001,"&lt;&gt;")=0,"",SUMIFS(BD!$Y$3:$Y$5001,BD!$B$3:$B$5001,I$210,BD!$A$3:$A$5001,_xlfn.MAXIFS(BD!$A$3:$A$5001,BD!$B$3:$B$5001,I$210,BD!$A$3:$A$5001,"&gt;="&amp;$C$7,BD!$A$3:$A$5001,"&lt;="&amp;$B216,BD!$Y$3:$Y$5001,"&lt;&gt;"))))</f>
        <v/>
      </c>
      <c r="J216" s="54" t="str">
        <f>IF(OR($B216="",$A216&gt;$B$9,J$210=""),"",IF(COUNTIFS(BD!$B$3:$B$5001,J$210,BD!$A$3:$A$5001,"&gt;="&amp;$C$7,BD!$A$3:$A$5001,"&lt;="&amp;$B216,BD!$Y$3:$Y$5001,"&lt;&gt;")=0,"",SUMIFS(BD!$Y$3:$Y$5001,BD!$B$3:$B$5001,J$210,BD!$A$3:$A$5001,_xlfn.MAXIFS(BD!$A$3:$A$5001,BD!$B$3:$B$5001,J$210,BD!$A$3:$A$5001,"&gt;="&amp;$C$7,BD!$A$3:$A$5001,"&lt;="&amp;$B216,BD!$Y$3:$Y$5001,"&lt;&gt;"))))</f>
        <v/>
      </c>
      <c r="K216" s="54" t="str">
        <f>IF(OR($B216="",$A216&gt;$B$9,K$210=""),"",IF(COUNTIFS(BD!$B$3:$B$5001,K$210,BD!$A$3:$A$5001,"&gt;="&amp;$C$7,BD!$A$3:$A$5001,"&lt;="&amp;$B216,BD!$Y$3:$Y$5001,"&lt;&gt;")=0,"",SUMIFS(BD!$Y$3:$Y$5001,BD!$B$3:$B$5001,K$210,BD!$A$3:$A$5001,_xlfn.MAXIFS(BD!$A$3:$A$5001,BD!$B$3:$B$5001,K$210,BD!$A$3:$A$5001,"&gt;="&amp;$C$7,BD!$A$3:$A$5001,"&lt;="&amp;$B216,BD!$Y$3:$Y$5001,"&lt;&gt;"))))</f>
        <v/>
      </c>
      <c r="L216" s="54" t="str">
        <f>IF(OR($B216="",$A216&gt;$B$9,L$210=""),"",IF(COUNTIFS(BD!$B$3:$B$5001,L$210,BD!$A$3:$A$5001,"&gt;="&amp;$C$7,BD!$A$3:$A$5001,"&lt;="&amp;$B216,BD!$Y$3:$Y$5001,"&lt;&gt;")=0,"",SUMIFS(BD!$Y$3:$Y$5001,BD!$B$3:$B$5001,L$210,BD!$A$3:$A$5001,_xlfn.MAXIFS(BD!$A$3:$A$5001,BD!$B$3:$B$5001,L$210,BD!$A$3:$A$5001,"&gt;="&amp;$C$7,BD!$A$3:$A$5001,"&lt;="&amp;$B216,BD!$Y$3:$Y$5001,"&lt;&gt;"))))</f>
        <v/>
      </c>
      <c r="M216" s="54" t="str">
        <f>IF(OR($B216="",$A216&gt;$B$9,M$210=""),"",IF(COUNTIFS(BD!$B$3:$B$5001,M$210,BD!$A$3:$A$5001,"&gt;="&amp;$C$7,BD!$A$3:$A$5001,"&lt;="&amp;$B216,BD!$Y$3:$Y$5001,"&lt;&gt;")=0,"",SUMIFS(BD!$Y$3:$Y$5001,BD!$B$3:$B$5001,M$210,BD!$A$3:$A$5001,_xlfn.MAXIFS(BD!$A$3:$A$5001,BD!$B$3:$B$5001,M$210,BD!$A$3:$A$5001,"&gt;="&amp;$C$7,BD!$A$3:$A$5001,"&lt;="&amp;$B216,BD!$Y$3:$Y$5001,"&lt;&gt;"))))</f>
        <v/>
      </c>
      <c r="N216" s="54" t="str">
        <f>IF(OR($B216="",$A216&gt;$B$9,N$210=""),"",IF(COUNTIFS(BD!$B$3:$B$5001,N$210,BD!$A$3:$A$5001,"&gt;="&amp;$C$7,BD!$A$3:$A$5001,"&lt;="&amp;$B216,BD!$Y$3:$Y$5001,"&lt;&gt;")=0,"",SUMIFS(BD!$Y$3:$Y$5001,BD!$B$3:$B$5001,N$210,BD!$A$3:$A$5001,_xlfn.MAXIFS(BD!$A$3:$A$5001,BD!$B$3:$B$5001,N$210,BD!$A$3:$A$5001,"&gt;="&amp;$C$7,BD!$A$3:$A$5001,"&lt;="&amp;$B216,BD!$Y$3:$Y$5001,"&lt;&gt;"))))</f>
        <v/>
      </c>
      <c r="O216" s="54" t="str">
        <f>IF(OR($B216="",$A216&gt;$B$9,O$210=""),"",IF(COUNTIFS(BD!$B$3:$B$5001,O$210,BD!$A$3:$A$5001,"&gt;="&amp;$C$7,BD!$A$3:$A$5001,"&lt;="&amp;$B216,BD!$Y$3:$Y$5001,"&lt;&gt;")=0,"",SUMIFS(BD!$Y$3:$Y$5001,BD!$B$3:$B$5001,O$210,BD!$A$3:$A$5001,_xlfn.MAXIFS(BD!$A$3:$A$5001,BD!$B$3:$B$5001,O$210,BD!$A$3:$A$5001,"&gt;="&amp;$C$7,BD!$A$3:$A$5001,"&lt;="&amp;$B216,BD!$Y$3:$Y$5001,"&lt;&gt;"))))</f>
        <v/>
      </c>
      <c r="P216" s="54" t="str">
        <f>IF(OR($B216="",$A216&gt;$B$9,P$210=""),"",IF(COUNTIFS(BD!$B$3:$B$5001,P$210,BD!$A$3:$A$5001,"&gt;="&amp;$C$7,BD!$A$3:$A$5001,"&lt;="&amp;$B216,BD!$Y$3:$Y$5001,"&lt;&gt;")=0,"",SUMIFS(BD!$Y$3:$Y$5001,BD!$B$3:$B$5001,P$210,BD!$A$3:$A$5001,_xlfn.MAXIFS(BD!$A$3:$A$5001,BD!$B$3:$B$5001,P$210,BD!$A$3:$A$5001,"&gt;="&amp;$C$7,BD!$A$3:$A$5001,"&lt;="&amp;$B216,BD!$Y$3:$Y$5001,"&lt;&gt;"))))</f>
        <v/>
      </c>
      <c r="Q216" s="54" t="str">
        <f>IF(OR($B216="",$A216&gt;$B$9,Q$210=""),"",IF(COUNTIFS(BD!$B$3:$B$5001,Q$210,BD!$A$3:$A$5001,"&gt;="&amp;$C$7,BD!$A$3:$A$5001,"&lt;="&amp;$B216,BD!$Y$3:$Y$5001,"&lt;&gt;")=0,"",SUMIFS(BD!$Y$3:$Y$5001,BD!$B$3:$B$5001,Q$210,BD!$A$3:$A$5001,_xlfn.MAXIFS(BD!$A$3:$A$5001,BD!$B$3:$B$5001,Q$210,BD!$A$3:$A$5001,"&gt;="&amp;$C$7,BD!$A$3:$A$5001,"&lt;="&amp;$B216,BD!$Y$3:$Y$5001,"&lt;&gt;"))))</f>
        <v/>
      </c>
      <c r="R216" s="54" t="str">
        <f>IF(OR($B216="",$A216&gt;$B$9,R$210=""),"",IF(COUNTIFS(BD!$B$3:$B$5001,R$210,BD!$A$3:$A$5001,"&gt;="&amp;$C$7,BD!$A$3:$A$5001,"&lt;="&amp;$B216,BD!$Y$3:$Y$5001,"&lt;&gt;")=0,"",SUMIFS(BD!$Y$3:$Y$5001,BD!$B$3:$B$5001,R$210,BD!$A$3:$A$5001,_xlfn.MAXIFS(BD!$A$3:$A$5001,BD!$B$3:$B$5001,R$210,BD!$A$3:$A$5001,"&gt;="&amp;$C$7,BD!$A$3:$A$5001,"&lt;="&amp;$B216,BD!$Y$3:$Y$5001,"&lt;&gt;"))))</f>
        <v/>
      </c>
      <c r="S216" s="54" t="str">
        <f>IF(OR($B216="",$A216&gt;$B$9,S$210=""),"",IF(COUNTIFS(BD!$B$3:$B$5001,S$210,BD!$A$3:$A$5001,"&gt;="&amp;$C$7,BD!$A$3:$A$5001,"&lt;="&amp;$B216,BD!$Y$3:$Y$5001,"&lt;&gt;")=0,"",SUMIFS(BD!$Y$3:$Y$5001,BD!$B$3:$B$5001,S$210,BD!$A$3:$A$5001,_xlfn.MAXIFS(BD!$A$3:$A$5001,BD!$B$3:$B$5001,S$210,BD!$A$3:$A$5001,"&gt;="&amp;$C$7,BD!$A$3:$A$5001,"&lt;="&amp;$B216,BD!$Y$3:$Y$5001,"&lt;&gt;"))))</f>
        <v/>
      </c>
      <c r="T216" s="54" t="str">
        <f>IF(OR($B216="",$A216&gt;$B$9,T$210=""),"",IF(COUNTIFS(BD!$B$3:$B$5001,T$210,BD!$A$3:$A$5001,"&gt;="&amp;$C$7,BD!$A$3:$A$5001,"&lt;="&amp;$B216,BD!$Y$3:$Y$5001,"&lt;&gt;")=0,"",SUMIFS(BD!$Y$3:$Y$5001,BD!$B$3:$B$5001,T$210,BD!$A$3:$A$5001,_xlfn.MAXIFS(BD!$A$3:$A$5001,BD!$B$3:$B$5001,T$210,BD!$A$3:$A$5001,"&gt;="&amp;$C$7,BD!$A$3:$A$5001,"&lt;="&amp;$B216,BD!$Y$3:$Y$5001,"&lt;&gt;"))))</f>
        <v/>
      </c>
      <c r="U216" s="54" t="str">
        <f>IF(OR($B216="",$A216&gt;$B$9,U$210=""),"",IF(COUNTIFS(BD!$B$3:$B$5001,U$210,BD!$A$3:$A$5001,"&gt;="&amp;$C$7,BD!$A$3:$A$5001,"&lt;="&amp;$B216,BD!$Y$3:$Y$5001,"&lt;&gt;")=0,"",SUMIFS(BD!$Y$3:$Y$5001,BD!$B$3:$B$5001,U$210,BD!$A$3:$A$5001,_xlfn.MAXIFS(BD!$A$3:$A$5001,BD!$B$3:$B$5001,U$210,BD!$A$3:$A$5001,"&gt;="&amp;$C$7,BD!$A$3:$A$5001,"&lt;="&amp;$B216,BD!$Y$3:$Y$5001,"&lt;&gt;"))))</f>
        <v/>
      </c>
      <c r="V216" s="54" t="str">
        <f>IF(OR($B216="",$A216&gt;$B$9,V$210=""),"",IF(COUNTIFS(BD!$B$3:$B$5001,V$210,BD!$A$3:$A$5001,"&gt;="&amp;$C$7,BD!$A$3:$A$5001,"&lt;="&amp;$B216,BD!$Y$3:$Y$5001,"&lt;&gt;")=0,"",SUMIFS(BD!$Y$3:$Y$5001,BD!$B$3:$B$5001,V$210,BD!$A$3:$A$5001,_xlfn.MAXIFS(BD!$A$3:$A$5001,BD!$B$3:$B$5001,V$210,BD!$A$3:$A$5001,"&gt;="&amp;$C$7,BD!$A$3:$A$5001,"&lt;="&amp;$B216,BD!$Y$3:$Y$5001,"&lt;&gt;"))))</f>
        <v/>
      </c>
    </row>
    <row r="217">
      <c r="A217" s="48">
        <v>7</v>
      </c>
      <c r="B217" s="53">
        <f>$B$18</f>
        <v>46302</v>
      </c>
      <c r="C217" s="54" t="str">
        <f>IF(OR($B217="",$A217&gt;$B$9,C$210=""),"",IF(COUNTIFS(BD!$B$3:$B$5001,C$210,BD!$A$3:$A$5001,"&gt;="&amp;$C$7,BD!$A$3:$A$5001,"&lt;="&amp;$B217,BD!$Y$3:$Y$5001,"&lt;&gt;")=0,"",SUMIFS(BD!$Y$3:$Y$5001,BD!$B$3:$B$5001,C$210,BD!$A$3:$A$5001,_xlfn.MAXIFS(BD!$A$3:$A$5001,BD!$B$3:$B$5001,C$210,BD!$A$3:$A$5001,"&gt;="&amp;$C$7,BD!$A$3:$A$5001,"&lt;="&amp;$B217,BD!$Y$3:$Y$5001,"&lt;&gt;"))))</f>
        <v/>
      </c>
      <c r="D217" s="54" t="str">
        <f>IF(OR($B217="",$A217&gt;$B$9,D$210=""),"",IF(COUNTIFS(BD!$B$3:$B$5001,D$210,BD!$A$3:$A$5001,"&gt;="&amp;$C$7,BD!$A$3:$A$5001,"&lt;="&amp;$B217,BD!$Y$3:$Y$5001,"&lt;&gt;")=0,"",SUMIFS(BD!$Y$3:$Y$5001,BD!$B$3:$B$5001,D$210,BD!$A$3:$A$5001,_xlfn.MAXIFS(BD!$A$3:$A$5001,BD!$B$3:$B$5001,D$210,BD!$A$3:$A$5001,"&gt;="&amp;$C$7,BD!$A$3:$A$5001,"&lt;="&amp;$B217,BD!$Y$3:$Y$5001,"&lt;&gt;"))))</f>
        <v/>
      </c>
      <c r="E217" s="54" t="str">
        <f>IF(OR($B217="",$A217&gt;$B$9,E$210=""),"",IF(COUNTIFS(BD!$B$3:$B$5001,E$210,BD!$A$3:$A$5001,"&gt;="&amp;$C$7,BD!$A$3:$A$5001,"&lt;="&amp;$B217,BD!$Y$3:$Y$5001,"&lt;&gt;")=0,"",SUMIFS(BD!$Y$3:$Y$5001,BD!$B$3:$B$5001,E$210,BD!$A$3:$A$5001,_xlfn.MAXIFS(BD!$A$3:$A$5001,BD!$B$3:$B$5001,E$210,BD!$A$3:$A$5001,"&gt;="&amp;$C$7,BD!$A$3:$A$5001,"&lt;="&amp;$B217,BD!$Y$3:$Y$5001,"&lt;&gt;"))))</f>
        <v/>
      </c>
      <c r="F217" s="54" t="str">
        <f>IF(OR($B217="",$A217&gt;$B$9,F$210=""),"",IF(COUNTIFS(BD!$B$3:$B$5001,F$210,BD!$A$3:$A$5001,"&gt;="&amp;$C$7,BD!$A$3:$A$5001,"&lt;="&amp;$B217,BD!$Y$3:$Y$5001,"&lt;&gt;")=0,"",SUMIFS(BD!$Y$3:$Y$5001,BD!$B$3:$B$5001,F$210,BD!$A$3:$A$5001,_xlfn.MAXIFS(BD!$A$3:$A$5001,BD!$B$3:$B$5001,F$210,BD!$A$3:$A$5001,"&gt;="&amp;$C$7,BD!$A$3:$A$5001,"&lt;="&amp;$B217,BD!$Y$3:$Y$5001,"&lt;&gt;"))))</f>
        <v/>
      </c>
      <c r="G217" s="54" t="str">
        <f>IF(OR($B217="",$A217&gt;$B$9,G$210=""),"",IF(COUNTIFS(BD!$B$3:$B$5001,G$210,BD!$A$3:$A$5001,"&gt;="&amp;$C$7,BD!$A$3:$A$5001,"&lt;="&amp;$B217,BD!$Y$3:$Y$5001,"&lt;&gt;")=0,"",SUMIFS(BD!$Y$3:$Y$5001,BD!$B$3:$B$5001,G$210,BD!$A$3:$A$5001,_xlfn.MAXIFS(BD!$A$3:$A$5001,BD!$B$3:$B$5001,G$210,BD!$A$3:$A$5001,"&gt;="&amp;$C$7,BD!$A$3:$A$5001,"&lt;="&amp;$B217,BD!$Y$3:$Y$5001,"&lt;&gt;"))))</f>
        <v/>
      </c>
      <c r="H217" s="54" t="str">
        <f>IF(OR($B217="",$A217&gt;$B$9,H$210=""),"",IF(COUNTIFS(BD!$B$3:$B$5001,H$210,BD!$A$3:$A$5001,"&gt;="&amp;$C$7,BD!$A$3:$A$5001,"&lt;="&amp;$B217,BD!$Y$3:$Y$5001,"&lt;&gt;")=0,"",SUMIFS(BD!$Y$3:$Y$5001,BD!$B$3:$B$5001,H$210,BD!$A$3:$A$5001,_xlfn.MAXIFS(BD!$A$3:$A$5001,BD!$B$3:$B$5001,H$210,BD!$A$3:$A$5001,"&gt;="&amp;$C$7,BD!$A$3:$A$5001,"&lt;="&amp;$B217,BD!$Y$3:$Y$5001,"&lt;&gt;"))))</f>
        <v/>
      </c>
      <c r="I217" s="54" t="str">
        <f>IF(OR($B217="",$A217&gt;$B$9,I$210=""),"",IF(COUNTIFS(BD!$B$3:$B$5001,I$210,BD!$A$3:$A$5001,"&gt;="&amp;$C$7,BD!$A$3:$A$5001,"&lt;="&amp;$B217,BD!$Y$3:$Y$5001,"&lt;&gt;")=0,"",SUMIFS(BD!$Y$3:$Y$5001,BD!$B$3:$B$5001,I$210,BD!$A$3:$A$5001,_xlfn.MAXIFS(BD!$A$3:$A$5001,BD!$B$3:$B$5001,I$210,BD!$A$3:$A$5001,"&gt;="&amp;$C$7,BD!$A$3:$A$5001,"&lt;="&amp;$B217,BD!$Y$3:$Y$5001,"&lt;&gt;"))))</f>
        <v/>
      </c>
      <c r="J217" s="54" t="str">
        <f>IF(OR($B217="",$A217&gt;$B$9,J$210=""),"",IF(COUNTIFS(BD!$B$3:$B$5001,J$210,BD!$A$3:$A$5001,"&gt;="&amp;$C$7,BD!$A$3:$A$5001,"&lt;="&amp;$B217,BD!$Y$3:$Y$5001,"&lt;&gt;")=0,"",SUMIFS(BD!$Y$3:$Y$5001,BD!$B$3:$B$5001,J$210,BD!$A$3:$A$5001,_xlfn.MAXIFS(BD!$A$3:$A$5001,BD!$B$3:$B$5001,J$210,BD!$A$3:$A$5001,"&gt;="&amp;$C$7,BD!$A$3:$A$5001,"&lt;="&amp;$B217,BD!$Y$3:$Y$5001,"&lt;&gt;"))))</f>
        <v/>
      </c>
      <c r="K217" s="54" t="str">
        <f>IF(OR($B217="",$A217&gt;$B$9,K$210=""),"",IF(COUNTIFS(BD!$B$3:$B$5001,K$210,BD!$A$3:$A$5001,"&gt;="&amp;$C$7,BD!$A$3:$A$5001,"&lt;="&amp;$B217,BD!$Y$3:$Y$5001,"&lt;&gt;")=0,"",SUMIFS(BD!$Y$3:$Y$5001,BD!$B$3:$B$5001,K$210,BD!$A$3:$A$5001,_xlfn.MAXIFS(BD!$A$3:$A$5001,BD!$B$3:$B$5001,K$210,BD!$A$3:$A$5001,"&gt;="&amp;$C$7,BD!$A$3:$A$5001,"&lt;="&amp;$B217,BD!$Y$3:$Y$5001,"&lt;&gt;"))))</f>
        <v/>
      </c>
      <c r="L217" s="54" t="str">
        <f>IF(OR($B217="",$A217&gt;$B$9,L$210=""),"",IF(COUNTIFS(BD!$B$3:$B$5001,L$210,BD!$A$3:$A$5001,"&gt;="&amp;$C$7,BD!$A$3:$A$5001,"&lt;="&amp;$B217,BD!$Y$3:$Y$5001,"&lt;&gt;")=0,"",SUMIFS(BD!$Y$3:$Y$5001,BD!$B$3:$B$5001,L$210,BD!$A$3:$A$5001,_xlfn.MAXIFS(BD!$A$3:$A$5001,BD!$B$3:$B$5001,L$210,BD!$A$3:$A$5001,"&gt;="&amp;$C$7,BD!$A$3:$A$5001,"&lt;="&amp;$B217,BD!$Y$3:$Y$5001,"&lt;&gt;"))))</f>
        <v/>
      </c>
      <c r="M217" s="54" t="str">
        <f>IF(OR($B217="",$A217&gt;$B$9,M$210=""),"",IF(COUNTIFS(BD!$B$3:$B$5001,M$210,BD!$A$3:$A$5001,"&gt;="&amp;$C$7,BD!$A$3:$A$5001,"&lt;="&amp;$B217,BD!$Y$3:$Y$5001,"&lt;&gt;")=0,"",SUMIFS(BD!$Y$3:$Y$5001,BD!$B$3:$B$5001,M$210,BD!$A$3:$A$5001,_xlfn.MAXIFS(BD!$A$3:$A$5001,BD!$B$3:$B$5001,M$210,BD!$A$3:$A$5001,"&gt;="&amp;$C$7,BD!$A$3:$A$5001,"&lt;="&amp;$B217,BD!$Y$3:$Y$5001,"&lt;&gt;"))))</f>
        <v/>
      </c>
      <c r="N217" s="54" t="str">
        <f>IF(OR($B217="",$A217&gt;$B$9,N$210=""),"",IF(COUNTIFS(BD!$B$3:$B$5001,N$210,BD!$A$3:$A$5001,"&gt;="&amp;$C$7,BD!$A$3:$A$5001,"&lt;="&amp;$B217,BD!$Y$3:$Y$5001,"&lt;&gt;")=0,"",SUMIFS(BD!$Y$3:$Y$5001,BD!$B$3:$B$5001,N$210,BD!$A$3:$A$5001,_xlfn.MAXIFS(BD!$A$3:$A$5001,BD!$B$3:$B$5001,N$210,BD!$A$3:$A$5001,"&gt;="&amp;$C$7,BD!$A$3:$A$5001,"&lt;="&amp;$B217,BD!$Y$3:$Y$5001,"&lt;&gt;"))))</f>
        <v/>
      </c>
      <c r="O217" s="54" t="str">
        <f>IF(OR($B217="",$A217&gt;$B$9,O$210=""),"",IF(COUNTIFS(BD!$B$3:$B$5001,O$210,BD!$A$3:$A$5001,"&gt;="&amp;$C$7,BD!$A$3:$A$5001,"&lt;="&amp;$B217,BD!$Y$3:$Y$5001,"&lt;&gt;")=0,"",SUMIFS(BD!$Y$3:$Y$5001,BD!$B$3:$B$5001,O$210,BD!$A$3:$A$5001,_xlfn.MAXIFS(BD!$A$3:$A$5001,BD!$B$3:$B$5001,O$210,BD!$A$3:$A$5001,"&gt;="&amp;$C$7,BD!$A$3:$A$5001,"&lt;="&amp;$B217,BD!$Y$3:$Y$5001,"&lt;&gt;"))))</f>
        <v/>
      </c>
      <c r="P217" s="54" t="str">
        <f>IF(OR($B217="",$A217&gt;$B$9,P$210=""),"",IF(COUNTIFS(BD!$B$3:$B$5001,P$210,BD!$A$3:$A$5001,"&gt;="&amp;$C$7,BD!$A$3:$A$5001,"&lt;="&amp;$B217,BD!$Y$3:$Y$5001,"&lt;&gt;")=0,"",SUMIFS(BD!$Y$3:$Y$5001,BD!$B$3:$B$5001,P$210,BD!$A$3:$A$5001,_xlfn.MAXIFS(BD!$A$3:$A$5001,BD!$B$3:$B$5001,P$210,BD!$A$3:$A$5001,"&gt;="&amp;$C$7,BD!$A$3:$A$5001,"&lt;="&amp;$B217,BD!$Y$3:$Y$5001,"&lt;&gt;"))))</f>
        <v/>
      </c>
      <c r="Q217" s="54" t="str">
        <f>IF(OR($B217="",$A217&gt;$B$9,Q$210=""),"",IF(COUNTIFS(BD!$B$3:$B$5001,Q$210,BD!$A$3:$A$5001,"&gt;="&amp;$C$7,BD!$A$3:$A$5001,"&lt;="&amp;$B217,BD!$Y$3:$Y$5001,"&lt;&gt;")=0,"",SUMIFS(BD!$Y$3:$Y$5001,BD!$B$3:$B$5001,Q$210,BD!$A$3:$A$5001,_xlfn.MAXIFS(BD!$A$3:$A$5001,BD!$B$3:$B$5001,Q$210,BD!$A$3:$A$5001,"&gt;="&amp;$C$7,BD!$A$3:$A$5001,"&lt;="&amp;$B217,BD!$Y$3:$Y$5001,"&lt;&gt;"))))</f>
        <v/>
      </c>
      <c r="R217" s="54" t="str">
        <f>IF(OR($B217="",$A217&gt;$B$9,R$210=""),"",IF(COUNTIFS(BD!$B$3:$B$5001,R$210,BD!$A$3:$A$5001,"&gt;="&amp;$C$7,BD!$A$3:$A$5001,"&lt;="&amp;$B217,BD!$Y$3:$Y$5001,"&lt;&gt;")=0,"",SUMIFS(BD!$Y$3:$Y$5001,BD!$B$3:$B$5001,R$210,BD!$A$3:$A$5001,_xlfn.MAXIFS(BD!$A$3:$A$5001,BD!$B$3:$B$5001,R$210,BD!$A$3:$A$5001,"&gt;="&amp;$C$7,BD!$A$3:$A$5001,"&lt;="&amp;$B217,BD!$Y$3:$Y$5001,"&lt;&gt;"))))</f>
        <v/>
      </c>
      <c r="S217" s="54" t="str">
        <f>IF(OR($B217="",$A217&gt;$B$9,S$210=""),"",IF(COUNTIFS(BD!$B$3:$B$5001,S$210,BD!$A$3:$A$5001,"&gt;="&amp;$C$7,BD!$A$3:$A$5001,"&lt;="&amp;$B217,BD!$Y$3:$Y$5001,"&lt;&gt;")=0,"",SUMIFS(BD!$Y$3:$Y$5001,BD!$B$3:$B$5001,S$210,BD!$A$3:$A$5001,_xlfn.MAXIFS(BD!$A$3:$A$5001,BD!$B$3:$B$5001,S$210,BD!$A$3:$A$5001,"&gt;="&amp;$C$7,BD!$A$3:$A$5001,"&lt;="&amp;$B217,BD!$Y$3:$Y$5001,"&lt;&gt;"))))</f>
        <v/>
      </c>
      <c r="T217" s="54" t="str">
        <f>IF(OR($B217="",$A217&gt;$B$9,T$210=""),"",IF(COUNTIFS(BD!$B$3:$B$5001,T$210,BD!$A$3:$A$5001,"&gt;="&amp;$C$7,BD!$A$3:$A$5001,"&lt;="&amp;$B217,BD!$Y$3:$Y$5001,"&lt;&gt;")=0,"",SUMIFS(BD!$Y$3:$Y$5001,BD!$B$3:$B$5001,T$210,BD!$A$3:$A$5001,_xlfn.MAXIFS(BD!$A$3:$A$5001,BD!$B$3:$B$5001,T$210,BD!$A$3:$A$5001,"&gt;="&amp;$C$7,BD!$A$3:$A$5001,"&lt;="&amp;$B217,BD!$Y$3:$Y$5001,"&lt;&gt;"))))</f>
        <v/>
      </c>
      <c r="U217" s="54" t="str">
        <f>IF(OR($B217="",$A217&gt;$B$9,U$210=""),"",IF(COUNTIFS(BD!$B$3:$B$5001,U$210,BD!$A$3:$A$5001,"&gt;="&amp;$C$7,BD!$A$3:$A$5001,"&lt;="&amp;$B217,BD!$Y$3:$Y$5001,"&lt;&gt;")=0,"",SUMIFS(BD!$Y$3:$Y$5001,BD!$B$3:$B$5001,U$210,BD!$A$3:$A$5001,_xlfn.MAXIFS(BD!$A$3:$A$5001,BD!$B$3:$B$5001,U$210,BD!$A$3:$A$5001,"&gt;="&amp;$C$7,BD!$A$3:$A$5001,"&lt;="&amp;$B217,BD!$Y$3:$Y$5001,"&lt;&gt;"))))</f>
        <v/>
      </c>
      <c r="V217" s="54" t="str">
        <f>IF(OR($B217="",$A217&gt;$B$9,V$210=""),"",IF(COUNTIFS(BD!$B$3:$B$5001,V$210,BD!$A$3:$A$5001,"&gt;="&amp;$C$7,BD!$A$3:$A$5001,"&lt;="&amp;$B217,BD!$Y$3:$Y$5001,"&lt;&gt;")=0,"",SUMIFS(BD!$Y$3:$Y$5001,BD!$B$3:$B$5001,V$210,BD!$A$3:$A$5001,_xlfn.MAXIFS(BD!$A$3:$A$5001,BD!$B$3:$B$5001,V$210,BD!$A$3:$A$5001,"&gt;="&amp;$C$7,BD!$A$3:$A$5001,"&lt;="&amp;$B217,BD!$Y$3:$Y$5001,"&lt;&gt;"))))</f>
        <v/>
      </c>
    </row>
    <row r="218">
      <c r="A218" s="48">
        <v>8</v>
      </c>
      <c r="B218" s="53">
        <f>$B$19</f>
        <v>46303</v>
      </c>
      <c r="C218" s="54" t="str">
        <f>IF(OR($B218="",$A218&gt;$B$9,C$210=""),"",IF(COUNTIFS(BD!$B$3:$B$5001,C$210,BD!$A$3:$A$5001,"&gt;="&amp;$C$7,BD!$A$3:$A$5001,"&lt;="&amp;$B218,BD!$Y$3:$Y$5001,"&lt;&gt;")=0,"",SUMIFS(BD!$Y$3:$Y$5001,BD!$B$3:$B$5001,C$210,BD!$A$3:$A$5001,_xlfn.MAXIFS(BD!$A$3:$A$5001,BD!$B$3:$B$5001,C$210,BD!$A$3:$A$5001,"&gt;="&amp;$C$7,BD!$A$3:$A$5001,"&lt;="&amp;$B218,BD!$Y$3:$Y$5001,"&lt;&gt;"))))</f>
        <v/>
      </c>
      <c r="D218" s="54" t="str">
        <f>IF(OR($B218="",$A218&gt;$B$9,D$210=""),"",IF(COUNTIFS(BD!$B$3:$B$5001,D$210,BD!$A$3:$A$5001,"&gt;="&amp;$C$7,BD!$A$3:$A$5001,"&lt;="&amp;$B218,BD!$Y$3:$Y$5001,"&lt;&gt;")=0,"",SUMIFS(BD!$Y$3:$Y$5001,BD!$B$3:$B$5001,D$210,BD!$A$3:$A$5001,_xlfn.MAXIFS(BD!$A$3:$A$5001,BD!$B$3:$B$5001,D$210,BD!$A$3:$A$5001,"&gt;="&amp;$C$7,BD!$A$3:$A$5001,"&lt;="&amp;$B218,BD!$Y$3:$Y$5001,"&lt;&gt;"))))</f>
        <v/>
      </c>
      <c r="E218" s="54" t="str">
        <f>IF(OR($B218="",$A218&gt;$B$9,E$210=""),"",IF(COUNTIFS(BD!$B$3:$B$5001,E$210,BD!$A$3:$A$5001,"&gt;="&amp;$C$7,BD!$A$3:$A$5001,"&lt;="&amp;$B218,BD!$Y$3:$Y$5001,"&lt;&gt;")=0,"",SUMIFS(BD!$Y$3:$Y$5001,BD!$B$3:$B$5001,E$210,BD!$A$3:$A$5001,_xlfn.MAXIFS(BD!$A$3:$A$5001,BD!$B$3:$B$5001,E$210,BD!$A$3:$A$5001,"&gt;="&amp;$C$7,BD!$A$3:$A$5001,"&lt;="&amp;$B218,BD!$Y$3:$Y$5001,"&lt;&gt;"))))</f>
        <v/>
      </c>
      <c r="F218" s="54" t="str">
        <f>IF(OR($B218="",$A218&gt;$B$9,F$210=""),"",IF(COUNTIFS(BD!$B$3:$B$5001,F$210,BD!$A$3:$A$5001,"&gt;="&amp;$C$7,BD!$A$3:$A$5001,"&lt;="&amp;$B218,BD!$Y$3:$Y$5001,"&lt;&gt;")=0,"",SUMIFS(BD!$Y$3:$Y$5001,BD!$B$3:$B$5001,F$210,BD!$A$3:$A$5001,_xlfn.MAXIFS(BD!$A$3:$A$5001,BD!$B$3:$B$5001,F$210,BD!$A$3:$A$5001,"&gt;="&amp;$C$7,BD!$A$3:$A$5001,"&lt;="&amp;$B218,BD!$Y$3:$Y$5001,"&lt;&gt;"))))</f>
        <v/>
      </c>
      <c r="G218" s="54" t="str">
        <f>IF(OR($B218="",$A218&gt;$B$9,G$210=""),"",IF(COUNTIFS(BD!$B$3:$B$5001,G$210,BD!$A$3:$A$5001,"&gt;="&amp;$C$7,BD!$A$3:$A$5001,"&lt;="&amp;$B218,BD!$Y$3:$Y$5001,"&lt;&gt;")=0,"",SUMIFS(BD!$Y$3:$Y$5001,BD!$B$3:$B$5001,G$210,BD!$A$3:$A$5001,_xlfn.MAXIFS(BD!$A$3:$A$5001,BD!$B$3:$B$5001,G$210,BD!$A$3:$A$5001,"&gt;="&amp;$C$7,BD!$A$3:$A$5001,"&lt;="&amp;$B218,BD!$Y$3:$Y$5001,"&lt;&gt;"))))</f>
        <v/>
      </c>
      <c r="H218" s="54" t="str">
        <f>IF(OR($B218="",$A218&gt;$B$9,H$210=""),"",IF(COUNTIFS(BD!$B$3:$B$5001,H$210,BD!$A$3:$A$5001,"&gt;="&amp;$C$7,BD!$A$3:$A$5001,"&lt;="&amp;$B218,BD!$Y$3:$Y$5001,"&lt;&gt;")=0,"",SUMIFS(BD!$Y$3:$Y$5001,BD!$B$3:$B$5001,H$210,BD!$A$3:$A$5001,_xlfn.MAXIFS(BD!$A$3:$A$5001,BD!$B$3:$B$5001,H$210,BD!$A$3:$A$5001,"&gt;="&amp;$C$7,BD!$A$3:$A$5001,"&lt;="&amp;$B218,BD!$Y$3:$Y$5001,"&lt;&gt;"))))</f>
        <v/>
      </c>
      <c r="I218" s="54" t="str">
        <f>IF(OR($B218="",$A218&gt;$B$9,I$210=""),"",IF(COUNTIFS(BD!$B$3:$B$5001,I$210,BD!$A$3:$A$5001,"&gt;="&amp;$C$7,BD!$A$3:$A$5001,"&lt;="&amp;$B218,BD!$Y$3:$Y$5001,"&lt;&gt;")=0,"",SUMIFS(BD!$Y$3:$Y$5001,BD!$B$3:$B$5001,I$210,BD!$A$3:$A$5001,_xlfn.MAXIFS(BD!$A$3:$A$5001,BD!$B$3:$B$5001,I$210,BD!$A$3:$A$5001,"&gt;="&amp;$C$7,BD!$A$3:$A$5001,"&lt;="&amp;$B218,BD!$Y$3:$Y$5001,"&lt;&gt;"))))</f>
        <v/>
      </c>
      <c r="J218" s="54" t="str">
        <f>IF(OR($B218="",$A218&gt;$B$9,J$210=""),"",IF(COUNTIFS(BD!$B$3:$B$5001,J$210,BD!$A$3:$A$5001,"&gt;="&amp;$C$7,BD!$A$3:$A$5001,"&lt;="&amp;$B218,BD!$Y$3:$Y$5001,"&lt;&gt;")=0,"",SUMIFS(BD!$Y$3:$Y$5001,BD!$B$3:$B$5001,J$210,BD!$A$3:$A$5001,_xlfn.MAXIFS(BD!$A$3:$A$5001,BD!$B$3:$B$5001,J$210,BD!$A$3:$A$5001,"&gt;="&amp;$C$7,BD!$A$3:$A$5001,"&lt;="&amp;$B218,BD!$Y$3:$Y$5001,"&lt;&gt;"))))</f>
        <v/>
      </c>
      <c r="K218" s="54" t="str">
        <f>IF(OR($B218="",$A218&gt;$B$9,K$210=""),"",IF(COUNTIFS(BD!$B$3:$B$5001,K$210,BD!$A$3:$A$5001,"&gt;="&amp;$C$7,BD!$A$3:$A$5001,"&lt;="&amp;$B218,BD!$Y$3:$Y$5001,"&lt;&gt;")=0,"",SUMIFS(BD!$Y$3:$Y$5001,BD!$B$3:$B$5001,K$210,BD!$A$3:$A$5001,_xlfn.MAXIFS(BD!$A$3:$A$5001,BD!$B$3:$B$5001,K$210,BD!$A$3:$A$5001,"&gt;="&amp;$C$7,BD!$A$3:$A$5001,"&lt;="&amp;$B218,BD!$Y$3:$Y$5001,"&lt;&gt;"))))</f>
        <v/>
      </c>
      <c r="L218" s="54" t="str">
        <f>IF(OR($B218="",$A218&gt;$B$9,L$210=""),"",IF(COUNTIFS(BD!$B$3:$B$5001,L$210,BD!$A$3:$A$5001,"&gt;="&amp;$C$7,BD!$A$3:$A$5001,"&lt;="&amp;$B218,BD!$Y$3:$Y$5001,"&lt;&gt;")=0,"",SUMIFS(BD!$Y$3:$Y$5001,BD!$B$3:$B$5001,L$210,BD!$A$3:$A$5001,_xlfn.MAXIFS(BD!$A$3:$A$5001,BD!$B$3:$B$5001,L$210,BD!$A$3:$A$5001,"&gt;="&amp;$C$7,BD!$A$3:$A$5001,"&lt;="&amp;$B218,BD!$Y$3:$Y$5001,"&lt;&gt;"))))</f>
        <v/>
      </c>
      <c r="M218" s="54" t="str">
        <f>IF(OR($B218="",$A218&gt;$B$9,M$210=""),"",IF(COUNTIFS(BD!$B$3:$B$5001,M$210,BD!$A$3:$A$5001,"&gt;="&amp;$C$7,BD!$A$3:$A$5001,"&lt;="&amp;$B218,BD!$Y$3:$Y$5001,"&lt;&gt;")=0,"",SUMIFS(BD!$Y$3:$Y$5001,BD!$B$3:$B$5001,M$210,BD!$A$3:$A$5001,_xlfn.MAXIFS(BD!$A$3:$A$5001,BD!$B$3:$B$5001,M$210,BD!$A$3:$A$5001,"&gt;="&amp;$C$7,BD!$A$3:$A$5001,"&lt;="&amp;$B218,BD!$Y$3:$Y$5001,"&lt;&gt;"))))</f>
        <v/>
      </c>
      <c r="N218" s="54" t="str">
        <f>IF(OR($B218="",$A218&gt;$B$9,N$210=""),"",IF(COUNTIFS(BD!$B$3:$B$5001,N$210,BD!$A$3:$A$5001,"&gt;="&amp;$C$7,BD!$A$3:$A$5001,"&lt;="&amp;$B218,BD!$Y$3:$Y$5001,"&lt;&gt;")=0,"",SUMIFS(BD!$Y$3:$Y$5001,BD!$B$3:$B$5001,N$210,BD!$A$3:$A$5001,_xlfn.MAXIFS(BD!$A$3:$A$5001,BD!$B$3:$B$5001,N$210,BD!$A$3:$A$5001,"&gt;="&amp;$C$7,BD!$A$3:$A$5001,"&lt;="&amp;$B218,BD!$Y$3:$Y$5001,"&lt;&gt;"))))</f>
        <v/>
      </c>
      <c r="O218" s="54" t="str">
        <f>IF(OR($B218="",$A218&gt;$B$9,O$210=""),"",IF(COUNTIFS(BD!$B$3:$B$5001,O$210,BD!$A$3:$A$5001,"&gt;="&amp;$C$7,BD!$A$3:$A$5001,"&lt;="&amp;$B218,BD!$Y$3:$Y$5001,"&lt;&gt;")=0,"",SUMIFS(BD!$Y$3:$Y$5001,BD!$B$3:$B$5001,O$210,BD!$A$3:$A$5001,_xlfn.MAXIFS(BD!$A$3:$A$5001,BD!$B$3:$B$5001,O$210,BD!$A$3:$A$5001,"&gt;="&amp;$C$7,BD!$A$3:$A$5001,"&lt;="&amp;$B218,BD!$Y$3:$Y$5001,"&lt;&gt;"))))</f>
        <v/>
      </c>
      <c r="P218" s="54" t="str">
        <f>IF(OR($B218="",$A218&gt;$B$9,P$210=""),"",IF(COUNTIFS(BD!$B$3:$B$5001,P$210,BD!$A$3:$A$5001,"&gt;="&amp;$C$7,BD!$A$3:$A$5001,"&lt;="&amp;$B218,BD!$Y$3:$Y$5001,"&lt;&gt;")=0,"",SUMIFS(BD!$Y$3:$Y$5001,BD!$B$3:$B$5001,P$210,BD!$A$3:$A$5001,_xlfn.MAXIFS(BD!$A$3:$A$5001,BD!$B$3:$B$5001,P$210,BD!$A$3:$A$5001,"&gt;="&amp;$C$7,BD!$A$3:$A$5001,"&lt;="&amp;$B218,BD!$Y$3:$Y$5001,"&lt;&gt;"))))</f>
        <v/>
      </c>
      <c r="Q218" s="54" t="str">
        <f>IF(OR($B218="",$A218&gt;$B$9,Q$210=""),"",IF(COUNTIFS(BD!$B$3:$B$5001,Q$210,BD!$A$3:$A$5001,"&gt;="&amp;$C$7,BD!$A$3:$A$5001,"&lt;="&amp;$B218,BD!$Y$3:$Y$5001,"&lt;&gt;")=0,"",SUMIFS(BD!$Y$3:$Y$5001,BD!$B$3:$B$5001,Q$210,BD!$A$3:$A$5001,_xlfn.MAXIFS(BD!$A$3:$A$5001,BD!$B$3:$B$5001,Q$210,BD!$A$3:$A$5001,"&gt;="&amp;$C$7,BD!$A$3:$A$5001,"&lt;="&amp;$B218,BD!$Y$3:$Y$5001,"&lt;&gt;"))))</f>
        <v/>
      </c>
      <c r="R218" s="54" t="str">
        <f>IF(OR($B218="",$A218&gt;$B$9,R$210=""),"",IF(COUNTIFS(BD!$B$3:$B$5001,R$210,BD!$A$3:$A$5001,"&gt;="&amp;$C$7,BD!$A$3:$A$5001,"&lt;="&amp;$B218,BD!$Y$3:$Y$5001,"&lt;&gt;")=0,"",SUMIFS(BD!$Y$3:$Y$5001,BD!$B$3:$B$5001,R$210,BD!$A$3:$A$5001,_xlfn.MAXIFS(BD!$A$3:$A$5001,BD!$B$3:$B$5001,R$210,BD!$A$3:$A$5001,"&gt;="&amp;$C$7,BD!$A$3:$A$5001,"&lt;="&amp;$B218,BD!$Y$3:$Y$5001,"&lt;&gt;"))))</f>
        <v/>
      </c>
      <c r="S218" s="54" t="str">
        <f>IF(OR($B218="",$A218&gt;$B$9,S$210=""),"",IF(COUNTIFS(BD!$B$3:$B$5001,S$210,BD!$A$3:$A$5001,"&gt;="&amp;$C$7,BD!$A$3:$A$5001,"&lt;="&amp;$B218,BD!$Y$3:$Y$5001,"&lt;&gt;")=0,"",SUMIFS(BD!$Y$3:$Y$5001,BD!$B$3:$B$5001,S$210,BD!$A$3:$A$5001,_xlfn.MAXIFS(BD!$A$3:$A$5001,BD!$B$3:$B$5001,S$210,BD!$A$3:$A$5001,"&gt;="&amp;$C$7,BD!$A$3:$A$5001,"&lt;="&amp;$B218,BD!$Y$3:$Y$5001,"&lt;&gt;"))))</f>
        <v/>
      </c>
      <c r="T218" s="54" t="str">
        <f>IF(OR($B218="",$A218&gt;$B$9,T$210=""),"",IF(COUNTIFS(BD!$B$3:$B$5001,T$210,BD!$A$3:$A$5001,"&gt;="&amp;$C$7,BD!$A$3:$A$5001,"&lt;="&amp;$B218,BD!$Y$3:$Y$5001,"&lt;&gt;")=0,"",SUMIFS(BD!$Y$3:$Y$5001,BD!$B$3:$B$5001,T$210,BD!$A$3:$A$5001,_xlfn.MAXIFS(BD!$A$3:$A$5001,BD!$B$3:$B$5001,T$210,BD!$A$3:$A$5001,"&gt;="&amp;$C$7,BD!$A$3:$A$5001,"&lt;="&amp;$B218,BD!$Y$3:$Y$5001,"&lt;&gt;"))))</f>
        <v/>
      </c>
      <c r="U218" s="54" t="str">
        <f>IF(OR($B218="",$A218&gt;$B$9,U$210=""),"",IF(COUNTIFS(BD!$B$3:$B$5001,U$210,BD!$A$3:$A$5001,"&gt;="&amp;$C$7,BD!$A$3:$A$5001,"&lt;="&amp;$B218,BD!$Y$3:$Y$5001,"&lt;&gt;")=0,"",SUMIFS(BD!$Y$3:$Y$5001,BD!$B$3:$B$5001,U$210,BD!$A$3:$A$5001,_xlfn.MAXIFS(BD!$A$3:$A$5001,BD!$B$3:$B$5001,U$210,BD!$A$3:$A$5001,"&gt;="&amp;$C$7,BD!$A$3:$A$5001,"&lt;="&amp;$B218,BD!$Y$3:$Y$5001,"&lt;&gt;"))))</f>
        <v/>
      </c>
      <c r="V218" s="54" t="str">
        <f>IF(OR($B218="",$A218&gt;$B$9,V$210=""),"",IF(COUNTIFS(BD!$B$3:$B$5001,V$210,BD!$A$3:$A$5001,"&gt;="&amp;$C$7,BD!$A$3:$A$5001,"&lt;="&amp;$B218,BD!$Y$3:$Y$5001,"&lt;&gt;")=0,"",SUMIFS(BD!$Y$3:$Y$5001,BD!$B$3:$B$5001,V$210,BD!$A$3:$A$5001,_xlfn.MAXIFS(BD!$A$3:$A$5001,BD!$B$3:$B$5001,V$210,BD!$A$3:$A$5001,"&gt;="&amp;$C$7,BD!$A$3:$A$5001,"&lt;="&amp;$B218,BD!$Y$3:$Y$5001,"&lt;&gt;"))))</f>
        <v/>
      </c>
    </row>
    <row r="219">
      <c r="A219" s="48">
        <v>9</v>
      </c>
      <c r="B219" s="53">
        <f>$B$20</f>
        <v>46304</v>
      </c>
      <c r="C219" s="54" t="str">
        <f>IF(OR($B219="",$A219&gt;$B$9,C$210=""),"",IF(COUNTIFS(BD!$B$3:$B$5001,C$210,BD!$A$3:$A$5001,"&gt;="&amp;$C$7,BD!$A$3:$A$5001,"&lt;="&amp;$B219,BD!$Y$3:$Y$5001,"&lt;&gt;")=0,"",SUMIFS(BD!$Y$3:$Y$5001,BD!$B$3:$B$5001,C$210,BD!$A$3:$A$5001,_xlfn.MAXIFS(BD!$A$3:$A$5001,BD!$B$3:$B$5001,C$210,BD!$A$3:$A$5001,"&gt;="&amp;$C$7,BD!$A$3:$A$5001,"&lt;="&amp;$B219,BD!$Y$3:$Y$5001,"&lt;&gt;"))))</f>
        <v/>
      </c>
      <c r="D219" s="54" t="str">
        <f>IF(OR($B219="",$A219&gt;$B$9,D$210=""),"",IF(COUNTIFS(BD!$B$3:$B$5001,D$210,BD!$A$3:$A$5001,"&gt;="&amp;$C$7,BD!$A$3:$A$5001,"&lt;="&amp;$B219,BD!$Y$3:$Y$5001,"&lt;&gt;")=0,"",SUMIFS(BD!$Y$3:$Y$5001,BD!$B$3:$B$5001,D$210,BD!$A$3:$A$5001,_xlfn.MAXIFS(BD!$A$3:$A$5001,BD!$B$3:$B$5001,D$210,BD!$A$3:$A$5001,"&gt;="&amp;$C$7,BD!$A$3:$A$5001,"&lt;="&amp;$B219,BD!$Y$3:$Y$5001,"&lt;&gt;"))))</f>
        <v/>
      </c>
      <c r="E219" s="54" t="str">
        <f>IF(OR($B219="",$A219&gt;$B$9,E$210=""),"",IF(COUNTIFS(BD!$B$3:$B$5001,E$210,BD!$A$3:$A$5001,"&gt;="&amp;$C$7,BD!$A$3:$A$5001,"&lt;="&amp;$B219,BD!$Y$3:$Y$5001,"&lt;&gt;")=0,"",SUMIFS(BD!$Y$3:$Y$5001,BD!$B$3:$B$5001,E$210,BD!$A$3:$A$5001,_xlfn.MAXIFS(BD!$A$3:$A$5001,BD!$B$3:$B$5001,E$210,BD!$A$3:$A$5001,"&gt;="&amp;$C$7,BD!$A$3:$A$5001,"&lt;="&amp;$B219,BD!$Y$3:$Y$5001,"&lt;&gt;"))))</f>
        <v/>
      </c>
      <c r="F219" s="54" t="str">
        <f>IF(OR($B219="",$A219&gt;$B$9,F$210=""),"",IF(COUNTIFS(BD!$B$3:$B$5001,F$210,BD!$A$3:$A$5001,"&gt;="&amp;$C$7,BD!$A$3:$A$5001,"&lt;="&amp;$B219,BD!$Y$3:$Y$5001,"&lt;&gt;")=0,"",SUMIFS(BD!$Y$3:$Y$5001,BD!$B$3:$B$5001,F$210,BD!$A$3:$A$5001,_xlfn.MAXIFS(BD!$A$3:$A$5001,BD!$B$3:$B$5001,F$210,BD!$A$3:$A$5001,"&gt;="&amp;$C$7,BD!$A$3:$A$5001,"&lt;="&amp;$B219,BD!$Y$3:$Y$5001,"&lt;&gt;"))))</f>
        <v/>
      </c>
      <c r="G219" s="54" t="str">
        <f>IF(OR($B219="",$A219&gt;$B$9,G$210=""),"",IF(COUNTIFS(BD!$B$3:$B$5001,G$210,BD!$A$3:$A$5001,"&gt;="&amp;$C$7,BD!$A$3:$A$5001,"&lt;="&amp;$B219,BD!$Y$3:$Y$5001,"&lt;&gt;")=0,"",SUMIFS(BD!$Y$3:$Y$5001,BD!$B$3:$B$5001,G$210,BD!$A$3:$A$5001,_xlfn.MAXIFS(BD!$A$3:$A$5001,BD!$B$3:$B$5001,G$210,BD!$A$3:$A$5001,"&gt;="&amp;$C$7,BD!$A$3:$A$5001,"&lt;="&amp;$B219,BD!$Y$3:$Y$5001,"&lt;&gt;"))))</f>
        <v/>
      </c>
      <c r="H219" s="54" t="str">
        <f>IF(OR($B219="",$A219&gt;$B$9,H$210=""),"",IF(COUNTIFS(BD!$B$3:$B$5001,H$210,BD!$A$3:$A$5001,"&gt;="&amp;$C$7,BD!$A$3:$A$5001,"&lt;="&amp;$B219,BD!$Y$3:$Y$5001,"&lt;&gt;")=0,"",SUMIFS(BD!$Y$3:$Y$5001,BD!$B$3:$B$5001,H$210,BD!$A$3:$A$5001,_xlfn.MAXIFS(BD!$A$3:$A$5001,BD!$B$3:$B$5001,H$210,BD!$A$3:$A$5001,"&gt;="&amp;$C$7,BD!$A$3:$A$5001,"&lt;="&amp;$B219,BD!$Y$3:$Y$5001,"&lt;&gt;"))))</f>
        <v/>
      </c>
      <c r="I219" s="54" t="str">
        <f>IF(OR($B219="",$A219&gt;$B$9,I$210=""),"",IF(COUNTIFS(BD!$B$3:$B$5001,I$210,BD!$A$3:$A$5001,"&gt;="&amp;$C$7,BD!$A$3:$A$5001,"&lt;="&amp;$B219,BD!$Y$3:$Y$5001,"&lt;&gt;")=0,"",SUMIFS(BD!$Y$3:$Y$5001,BD!$B$3:$B$5001,I$210,BD!$A$3:$A$5001,_xlfn.MAXIFS(BD!$A$3:$A$5001,BD!$B$3:$B$5001,I$210,BD!$A$3:$A$5001,"&gt;="&amp;$C$7,BD!$A$3:$A$5001,"&lt;="&amp;$B219,BD!$Y$3:$Y$5001,"&lt;&gt;"))))</f>
        <v/>
      </c>
      <c r="J219" s="54" t="str">
        <f>IF(OR($B219="",$A219&gt;$B$9,J$210=""),"",IF(COUNTIFS(BD!$B$3:$B$5001,J$210,BD!$A$3:$A$5001,"&gt;="&amp;$C$7,BD!$A$3:$A$5001,"&lt;="&amp;$B219,BD!$Y$3:$Y$5001,"&lt;&gt;")=0,"",SUMIFS(BD!$Y$3:$Y$5001,BD!$B$3:$B$5001,J$210,BD!$A$3:$A$5001,_xlfn.MAXIFS(BD!$A$3:$A$5001,BD!$B$3:$B$5001,J$210,BD!$A$3:$A$5001,"&gt;="&amp;$C$7,BD!$A$3:$A$5001,"&lt;="&amp;$B219,BD!$Y$3:$Y$5001,"&lt;&gt;"))))</f>
        <v/>
      </c>
      <c r="K219" s="54" t="str">
        <f>IF(OR($B219="",$A219&gt;$B$9,K$210=""),"",IF(COUNTIFS(BD!$B$3:$B$5001,K$210,BD!$A$3:$A$5001,"&gt;="&amp;$C$7,BD!$A$3:$A$5001,"&lt;="&amp;$B219,BD!$Y$3:$Y$5001,"&lt;&gt;")=0,"",SUMIFS(BD!$Y$3:$Y$5001,BD!$B$3:$B$5001,K$210,BD!$A$3:$A$5001,_xlfn.MAXIFS(BD!$A$3:$A$5001,BD!$B$3:$B$5001,K$210,BD!$A$3:$A$5001,"&gt;="&amp;$C$7,BD!$A$3:$A$5001,"&lt;="&amp;$B219,BD!$Y$3:$Y$5001,"&lt;&gt;"))))</f>
        <v/>
      </c>
      <c r="L219" s="54" t="str">
        <f>IF(OR($B219="",$A219&gt;$B$9,L$210=""),"",IF(COUNTIFS(BD!$B$3:$B$5001,L$210,BD!$A$3:$A$5001,"&gt;="&amp;$C$7,BD!$A$3:$A$5001,"&lt;="&amp;$B219,BD!$Y$3:$Y$5001,"&lt;&gt;")=0,"",SUMIFS(BD!$Y$3:$Y$5001,BD!$B$3:$B$5001,L$210,BD!$A$3:$A$5001,_xlfn.MAXIFS(BD!$A$3:$A$5001,BD!$B$3:$B$5001,L$210,BD!$A$3:$A$5001,"&gt;="&amp;$C$7,BD!$A$3:$A$5001,"&lt;="&amp;$B219,BD!$Y$3:$Y$5001,"&lt;&gt;"))))</f>
        <v/>
      </c>
      <c r="M219" s="54" t="str">
        <f>IF(OR($B219="",$A219&gt;$B$9,M$210=""),"",IF(COUNTIFS(BD!$B$3:$B$5001,M$210,BD!$A$3:$A$5001,"&gt;="&amp;$C$7,BD!$A$3:$A$5001,"&lt;="&amp;$B219,BD!$Y$3:$Y$5001,"&lt;&gt;")=0,"",SUMIFS(BD!$Y$3:$Y$5001,BD!$B$3:$B$5001,M$210,BD!$A$3:$A$5001,_xlfn.MAXIFS(BD!$A$3:$A$5001,BD!$B$3:$B$5001,M$210,BD!$A$3:$A$5001,"&gt;="&amp;$C$7,BD!$A$3:$A$5001,"&lt;="&amp;$B219,BD!$Y$3:$Y$5001,"&lt;&gt;"))))</f>
        <v/>
      </c>
      <c r="N219" s="54" t="str">
        <f>IF(OR($B219="",$A219&gt;$B$9,N$210=""),"",IF(COUNTIFS(BD!$B$3:$B$5001,N$210,BD!$A$3:$A$5001,"&gt;="&amp;$C$7,BD!$A$3:$A$5001,"&lt;="&amp;$B219,BD!$Y$3:$Y$5001,"&lt;&gt;")=0,"",SUMIFS(BD!$Y$3:$Y$5001,BD!$B$3:$B$5001,N$210,BD!$A$3:$A$5001,_xlfn.MAXIFS(BD!$A$3:$A$5001,BD!$B$3:$B$5001,N$210,BD!$A$3:$A$5001,"&gt;="&amp;$C$7,BD!$A$3:$A$5001,"&lt;="&amp;$B219,BD!$Y$3:$Y$5001,"&lt;&gt;"))))</f>
        <v/>
      </c>
      <c r="O219" s="54" t="str">
        <f>IF(OR($B219="",$A219&gt;$B$9,O$210=""),"",IF(COUNTIFS(BD!$B$3:$B$5001,O$210,BD!$A$3:$A$5001,"&gt;="&amp;$C$7,BD!$A$3:$A$5001,"&lt;="&amp;$B219,BD!$Y$3:$Y$5001,"&lt;&gt;")=0,"",SUMIFS(BD!$Y$3:$Y$5001,BD!$B$3:$B$5001,O$210,BD!$A$3:$A$5001,_xlfn.MAXIFS(BD!$A$3:$A$5001,BD!$B$3:$B$5001,O$210,BD!$A$3:$A$5001,"&gt;="&amp;$C$7,BD!$A$3:$A$5001,"&lt;="&amp;$B219,BD!$Y$3:$Y$5001,"&lt;&gt;"))))</f>
        <v/>
      </c>
      <c r="P219" s="54" t="str">
        <f>IF(OR($B219="",$A219&gt;$B$9,P$210=""),"",IF(COUNTIFS(BD!$B$3:$B$5001,P$210,BD!$A$3:$A$5001,"&gt;="&amp;$C$7,BD!$A$3:$A$5001,"&lt;="&amp;$B219,BD!$Y$3:$Y$5001,"&lt;&gt;")=0,"",SUMIFS(BD!$Y$3:$Y$5001,BD!$B$3:$B$5001,P$210,BD!$A$3:$A$5001,_xlfn.MAXIFS(BD!$A$3:$A$5001,BD!$B$3:$B$5001,P$210,BD!$A$3:$A$5001,"&gt;="&amp;$C$7,BD!$A$3:$A$5001,"&lt;="&amp;$B219,BD!$Y$3:$Y$5001,"&lt;&gt;"))))</f>
        <v/>
      </c>
      <c r="Q219" s="54" t="str">
        <f>IF(OR($B219="",$A219&gt;$B$9,Q$210=""),"",IF(COUNTIFS(BD!$B$3:$B$5001,Q$210,BD!$A$3:$A$5001,"&gt;="&amp;$C$7,BD!$A$3:$A$5001,"&lt;="&amp;$B219,BD!$Y$3:$Y$5001,"&lt;&gt;")=0,"",SUMIFS(BD!$Y$3:$Y$5001,BD!$B$3:$B$5001,Q$210,BD!$A$3:$A$5001,_xlfn.MAXIFS(BD!$A$3:$A$5001,BD!$B$3:$B$5001,Q$210,BD!$A$3:$A$5001,"&gt;="&amp;$C$7,BD!$A$3:$A$5001,"&lt;="&amp;$B219,BD!$Y$3:$Y$5001,"&lt;&gt;"))))</f>
        <v/>
      </c>
      <c r="R219" s="54" t="str">
        <f>IF(OR($B219="",$A219&gt;$B$9,R$210=""),"",IF(COUNTIFS(BD!$B$3:$B$5001,R$210,BD!$A$3:$A$5001,"&gt;="&amp;$C$7,BD!$A$3:$A$5001,"&lt;="&amp;$B219,BD!$Y$3:$Y$5001,"&lt;&gt;")=0,"",SUMIFS(BD!$Y$3:$Y$5001,BD!$B$3:$B$5001,R$210,BD!$A$3:$A$5001,_xlfn.MAXIFS(BD!$A$3:$A$5001,BD!$B$3:$B$5001,R$210,BD!$A$3:$A$5001,"&gt;="&amp;$C$7,BD!$A$3:$A$5001,"&lt;="&amp;$B219,BD!$Y$3:$Y$5001,"&lt;&gt;"))))</f>
        <v/>
      </c>
      <c r="S219" s="54" t="str">
        <f>IF(OR($B219="",$A219&gt;$B$9,S$210=""),"",IF(COUNTIFS(BD!$B$3:$B$5001,S$210,BD!$A$3:$A$5001,"&gt;="&amp;$C$7,BD!$A$3:$A$5001,"&lt;="&amp;$B219,BD!$Y$3:$Y$5001,"&lt;&gt;")=0,"",SUMIFS(BD!$Y$3:$Y$5001,BD!$B$3:$B$5001,S$210,BD!$A$3:$A$5001,_xlfn.MAXIFS(BD!$A$3:$A$5001,BD!$B$3:$B$5001,S$210,BD!$A$3:$A$5001,"&gt;="&amp;$C$7,BD!$A$3:$A$5001,"&lt;="&amp;$B219,BD!$Y$3:$Y$5001,"&lt;&gt;"))))</f>
        <v/>
      </c>
      <c r="T219" s="54" t="str">
        <f>IF(OR($B219="",$A219&gt;$B$9,T$210=""),"",IF(COUNTIFS(BD!$B$3:$B$5001,T$210,BD!$A$3:$A$5001,"&gt;="&amp;$C$7,BD!$A$3:$A$5001,"&lt;="&amp;$B219,BD!$Y$3:$Y$5001,"&lt;&gt;")=0,"",SUMIFS(BD!$Y$3:$Y$5001,BD!$B$3:$B$5001,T$210,BD!$A$3:$A$5001,_xlfn.MAXIFS(BD!$A$3:$A$5001,BD!$B$3:$B$5001,T$210,BD!$A$3:$A$5001,"&gt;="&amp;$C$7,BD!$A$3:$A$5001,"&lt;="&amp;$B219,BD!$Y$3:$Y$5001,"&lt;&gt;"))))</f>
        <v/>
      </c>
      <c r="U219" s="54" t="str">
        <f>IF(OR($B219="",$A219&gt;$B$9,U$210=""),"",IF(COUNTIFS(BD!$B$3:$B$5001,U$210,BD!$A$3:$A$5001,"&gt;="&amp;$C$7,BD!$A$3:$A$5001,"&lt;="&amp;$B219,BD!$Y$3:$Y$5001,"&lt;&gt;")=0,"",SUMIFS(BD!$Y$3:$Y$5001,BD!$B$3:$B$5001,U$210,BD!$A$3:$A$5001,_xlfn.MAXIFS(BD!$A$3:$A$5001,BD!$B$3:$B$5001,U$210,BD!$A$3:$A$5001,"&gt;="&amp;$C$7,BD!$A$3:$A$5001,"&lt;="&amp;$B219,BD!$Y$3:$Y$5001,"&lt;&gt;"))))</f>
        <v/>
      </c>
      <c r="V219" s="54" t="str">
        <f>IF(OR($B219="",$A219&gt;$B$9,V$210=""),"",IF(COUNTIFS(BD!$B$3:$B$5001,V$210,BD!$A$3:$A$5001,"&gt;="&amp;$C$7,BD!$A$3:$A$5001,"&lt;="&amp;$B219,BD!$Y$3:$Y$5001,"&lt;&gt;")=0,"",SUMIFS(BD!$Y$3:$Y$5001,BD!$B$3:$B$5001,V$210,BD!$A$3:$A$5001,_xlfn.MAXIFS(BD!$A$3:$A$5001,BD!$B$3:$B$5001,V$210,BD!$A$3:$A$5001,"&gt;="&amp;$C$7,BD!$A$3:$A$5001,"&lt;="&amp;$B219,BD!$Y$3:$Y$5001,"&lt;&gt;"))))</f>
        <v/>
      </c>
    </row>
    <row r="220">
      <c r="A220" s="48">
        <v>10</v>
      </c>
      <c r="B220" s="53">
        <f>$B$21</f>
        <v>46305</v>
      </c>
      <c r="C220" s="54" t="str">
        <f>IF(OR($B220="",$A220&gt;$B$9,C$210=""),"",IF(COUNTIFS(BD!$B$3:$B$5001,C$210,BD!$A$3:$A$5001,"&gt;="&amp;$C$7,BD!$A$3:$A$5001,"&lt;="&amp;$B220,BD!$Y$3:$Y$5001,"&lt;&gt;")=0,"",SUMIFS(BD!$Y$3:$Y$5001,BD!$B$3:$B$5001,C$210,BD!$A$3:$A$5001,_xlfn.MAXIFS(BD!$A$3:$A$5001,BD!$B$3:$B$5001,C$210,BD!$A$3:$A$5001,"&gt;="&amp;$C$7,BD!$A$3:$A$5001,"&lt;="&amp;$B220,BD!$Y$3:$Y$5001,"&lt;&gt;"))))</f>
        <v/>
      </c>
      <c r="D220" s="54" t="str">
        <f>IF(OR($B220="",$A220&gt;$B$9,D$210=""),"",IF(COUNTIFS(BD!$B$3:$B$5001,D$210,BD!$A$3:$A$5001,"&gt;="&amp;$C$7,BD!$A$3:$A$5001,"&lt;="&amp;$B220,BD!$Y$3:$Y$5001,"&lt;&gt;")=0,"",SUMIFS(BD!$Y$3:$Y$5001,BD!$B$3:$B$5001,D$210,BD!$A$3:$A$5001,_xlfn.MAXIFS(BD!$A$3:$A$5001,BD!$B$3:$B$5001,D$210,BD!$A$3:$A$5001,"&gt;="&amp;$C$7,BD!$A$3:$A$5001,"&lt;="&amp;$B220,BD!$Y$3:$Y$5001,"&lt;&gt;"))))</f>
        <v/>
      </c>
      <c r="E220" s="54" t="str">
        <f>IF(OR($B220="",$A220&gt;$B$9,E$210=""),"",IF(COUNTIFS(BD!$B$3:$B$5001,E$210,BD!$A$3:$A$5001,"&gt;="&amp;$C$7,BD!$A$3:$A$5001,"&lt;="&amp;$B220,BD!$Y$3:$Y$5001,"&lt;&gt;")=0,"",SUMIFS(BD!$Y$3:$Y$5001,BD!$B$3:$B$5001,E$210,BD!$A$3:$A$5001,_xlfn.MAXIFS(BD!$A$3:$A$5001,BD!$B$3:$B$5001,E$210,BD!$A$3:$A$5001,"&gt;="&amp;$C$7,BD!$A$3:$A$5001,"&lt;="&amp;$B220,BD!$Y$3:$Y$5001,"&lt;&gt;"))))</f>
        <v/>
      </c>
      <c r="F220" s="54" t="str">
        <f>IF(OR($B220="",$A220&gt;$B$9,F$210=""),"",IF(COUNTIFS(BD!$B$3:$B$5001,F$210,BD!$A$3:$A$5001,"&gt;="&amp;$C$7,BD!$A$3:$A$5001,"&lt;="&amp;$B220,BD!$Y$3:$Y$5001,"&lt;&gt;")=0,"",SUMIFS(BD!$Y$3:$Y$5001,BD!$B$3:$B$5001,F$210,BD!$A$3:$A$5001,_xlfn.MAXIFS(BD!$A$3:$A$5001,BD!$B$3:$B$5001,F$210,BD!$A$3:$A$5001,"&gt;="&amp;$C$7,BD!$A$3:$A$5001,"&lt;="&amp;$B220,BD!$Y$3:$Y$5001,"&lt;&gt;"))))</f>
        <v/>
      </c>
      <c r="G220" s="54" t="str">
        <f>IF(OR($B220="",$A220&gt;$B$9,G$210=""),"",IF(COUNTIFS(BD!$B$3:$B$5001,G$210,BD!$A$3:$A$5001,"&gt;="&amp;$C$7,BD!$A$3:$A$5001,"&lt;="&amp;$B220,BD!$Y$3:$Y$5001,"&lt;&gt;")=0,"",SUMIFS(BD!$Y$3:$Y$5001,BD!$B$3:$B$5001,G$210,BD!$A$3:$A$5001,_xlfn.MAXIFS(BD!$A$3:$A$5001,BD!$B$3:$B$5001,G$210,BD!$A$3:$A$5001,"&gt;="&amp;$C$7,BD!$A$3:$A$5001,"&lt;="&amp;$B220,BD!$Y$3:$Y$5001,"&lt;&gt;"))))</f>
        <v/>
      </c>
      <c r="H220" s="54" t="str">
        <f>IF(OR($B220="",$A220&gt;$B$9,H$210=""),"",IF(COUNTIFS(BD!$B$3:$B$5001,H$210,BD!$A$3:$A$5001,"&gt;="&amp;$C$7,BD!$A$3:$A$5001,"&lt;="&amp;$B220,BD!$Y$3:$Y$5001,"&lt;&gt;")=0,"",SUMIFS(BD!$Y$3:$Y$5001,BD!$B$3:$B$5001,H$210,BD!$A$3:$A$5001,_xlfn.MAXIFS(BD!$A$3:$A$5001,BD!$B$3:$B$5001,H$210,BD!$A$3:$A$5001,"&gt;="&amp;$C$7,BD!$A$3:$A$5001,"&lt;="&amp;$B220,BD!$Y$3:$Y$5001,"&lt;&gt;"))))</f>
        <v/>
      </c>
      <c r="I220" s="54" t="str">
        <f>IF(OR($B220="",$A220&gt;$B$9,I$210=""),"",IF(COUNTIFS(BD!$B$3:$B$5001,I$210,BD!$A$3:$A$5001,"&gt;="&amp;$C$7,BD!$A$3:$A$5001,"&lt;="&amp;$B220,BD!$Y$3:$Y$5001,"&lt;&gt;")=0,"",SUMIFS(BD!$Y$3:$Y$5001,BD!$B$3:$B$5001,I$210,BD!$A$3:$A$5001,_xlfn.MAXIFS(BD!$A$3:$A$5001,BD!$B$3:$B$5001,I$210,BD!$A$3:$A$5001,"&gt;="&amp;$C$7,BD!$A$3:$A$5001,"&lt;="&amp;$B220,BD!$Y$3:$Y$5001,"&lt;&gt;"))))</f>
        <v/>
      </c>
      <c r="J220" s="54" t="str">
        <f>IF(OR($B220="",$A220&gt;$B$9,J$210=""),"",IF(COUNTIFS(BD!$B$3:$B$5001,J$210,BD!$A$3:$A$5001,"&gt;="&amp;$C$7,BD!$A$3:$A$5001,"&lt;="&amp;$B220,BD!$Y$3:$Y$5001,"&lt;&gt;")=0,"",SUMIFS(BD!$Y$3:$Y$5001,BD!$B$3:$B$5001,J$210,BD!$A$3:$A$5001,_xlfn.MAXIFS(BD!$A$3:$A$5001,BD!$B$3:$B$5001,J$210,BD!$A$3:$A$5001,"&gt;="&amp;$C$7,BD!$A$3:$A$5001,"&lt;="&amp;$B220,BD!$Y$3:$Y$5001,"&lt;&gt;"))))</f>
        <v/>
      </c>
      <c r="K220" s="54" t="str">
        <f>IF(OR($B220="",$A220&gt;$B$9,K$210=""),"",IF(COUNTIFS(BD!$B$3:$B$5001,K$210,BD!$A$3:$A$5001,"&gt;="&amp;$C$7,BD!$A$3:$A$5001,"&lt;="&amp;$B220,BD!$Y$3:$Y$5001,"&lt;&gt;")=0,"",SUMIFS(BD!$Y$3:$Y$5001,BD!$B$3:$B$5001,K$210,BD!$A$3:$A$5001,_xlfn.MAXIFS(BD!$A$3:$A$5001,BD!$B$3:$B$5001,K$210,BD!$A$3:$A$5001,"&gt;="&amp;$C$7,BD!$A$3:$A$5001,"&lt;="&amp;$B220,BD!$Y$3:$Y$5001,"&lt;&gt;"))))</f>
        <v/>
      </c>
      <c r="L220" s="54" t="str">
        <f>IF(OR($B220="",$A220&gt;$B$9,L$210=""),"",IF(COUNTIFS(BD!$B$3:$B$5001,L$210,BD!$A$3:$A$5001,"&gt;="&amp;$C$7,BD!$A$3:$A$5001,"&lt;="&amp;$B220,BD!$Y$3:$Y$5001,"&lt;&gt;")=0,"",SUMIFS(BD!$Y$3:$Y$5001,BD!$B$3:$B$5001,L$210,BD!$A$3:$A$5001,_xlfn.MAXIFS(BD!$A$3:$A$5001,BD!$B$3:$B$5001,L$210,BD!$A$3:$A$5001,"&gt;="&amp;$C$7,BD!$A$3:$A$5001,"&lt;="&amp;$B220,BD!$Y$3:$Y$5001,"&lt;&gt;"))))</f>
        <v/>
      </c>
      <c r="M220" s="54" t="str">
        <f>IF(OR($B220="",$A220&gt;$B$9,M$210=""),"",IF(COUNTIFS(BD!$B$3:$B$5001,M$210,BD!$A$3:$A$5001,"&gt;="&amp;$C$7,BD!$A$3:$A$5001,"&lt;="&amp;$B220,BD!$Y$3:$Y$5001,"&lt;&gt;")=0,"",SUMIFS(BD!$Y$3:$Y$5001,BD!$B$3:$B$5001,M$210,BD!$A$3:$A$5001,_xlfn.MAXIFS(BD!$A$3:$A$5001,BD!$B$3:$B$5001,M$210,BD!$A$3:$A$5001,"&gt;="&amp;$C$7,BD!$A$3:$A$5001,"&lt;="&amp;$B220,BD!$Y$3:$Y$5001,"&lt;&gt;"))))</f>
        <v/>
      </c>
      <c r="N220" s="54" t="str">
        <f>IF(OR($B220="",$A220&gt;$B$9,N$210=""),"",IF(COUNTIFS(BD!$B$3:$B$5001,N$210,BD!$A$3:$A$5001,"&gt;="&amp;$C$7,BD!$A$3:$A$5001,"&lt;="&amp;$B220,BD!$Y$3:$Y$5001,"&lt;&gt;")=0,"",SUMIFS(BD!$Y$3:$Y$5001,BD!$B$3:$B$5001,N$210,BD!$A$3:$A$5001,_xlfn.MAXIFS(BD!$A$3:$A$5001,BD!$B$3:$B$5001,N$210,BD!$A$3:$A$5001,"&gt;="&amp;$C$7,BD!$A$3:$A$5001,"&lt;="&amp;$B220,BD!$Y$3:$Y$5001,"&lt;&gt;"))))</f>
        <v/>
      </c>
      <c r="O220" s="54" t="str">
        <f>IF(OR($B220="",$A220&gt;$B$9,O$210=""),"",IF(COUNTIFS(BD!$B$3:$B$5001,O$210,BD!$A$3:$A$5001,"&gt;="&amp;$C$7,BD!$A$3:$A$5001,"&lt;="&amp;$B220,BD!$Y$3:$Y$5001,"&lt;&gt;")=0,"",SUMIFS(BD!$Y$3:$Y$5001,BD!$B$3:$B$5001,O$210,BD!$A$3:$A$5001,_xlfn.MAXIFS(BD!$A$3:$A$5001,BD!$B$3:$B$5001,O$210,BD!$A$3:$A$5001,"&gt;="&amp;$C$7,BD!$A$3:$A$5001,"&lt;="&amp;$B220,BD!$Y$3:$Y$5001,"&lt;&gt;"))))</f>
        <v/>
      </c>
      <c r="P220" s="54" t="str">
        <f>IF(OR($B220="",$A220&gt;$B$9,P$210=""),"",IF(COUNTIFS(BD!$B$3:$B$5001,P$210,BD!$A$3:$A$5001,"&gt;="&amp;$C$7,BD!$A$3:$A$5001,"&lt;="&amp;$B220,BD!$Y$3:$Y$5001,"&lt;&gt;")=0,"",SUMIFS(BD!$Y$3:$Y$5001,BD!$B$3:$B$5001,P$210,BD!$A$3:$A$5001,_xlfn.MAXIFS(BD!$A$3:$A$5001,BD!$B$3:$B$5001,P$210,BD!$A$3:$A$5001,"&gt;="&amp;$C$7,BD!$A$3:$A$5001,"&lt;="&amp;$B220,BD!$Y$3:$Y$5001,"&lt;&gt;"))))</f>
        <v/>
      </c>
      <c r="Q220" s="54" t="str">
        <f>IF(OR($B220="",$A220&gt;$B$9,Q$210=""),"",IF(COUNTIFS(BD!$B$3:$B$5001,Q$210,BD!$A$3:$A$5001,"&gt;="&amp;$C$7,BD!$A$3:$A$5001,"&lt;="&amp;$B220,BD!$Y$3:$Y$5001,"&lt;&gt;")=0,"",SUMIFS(BD!$Y$3:$Y$5001,BD!$B$3:$B$5001,Q$210,BD!$A$3:$A$5001,_xlfn.MAXIFS(BD!$A$3:$A$5001,BD!$B$3:$B$5001,Q$210,BD!$A$3:$A$5001,"&gt;="&amp;$C$7,BD!$A$3:$A$5001,"&lt;="&amp;$B220,BD!$Y$3:$Y$5001,"&lt;&gt;"))))</f>
        <v/>
      </c>
      <c r="R220" s="54" t="str">
        <f>IF(OR($B220="",$A220&gt;$B$9,R$210=""),"",IF(COUNTIFS(BD!$B$3:$B$5001,R$210,BD!$A$3:$A$5001,"&gt;="&amp;$C$7,BD!$A$3:$A$5001,"&lt;="&amp;$B220,BD!$Y$3:$Y$5001,"&lt;&gt;")=0,"",SUMIFS(BD!$Y$3:$Y$5001,BD!$B$3:$B$5001,R$210,BD!$A$3:$A$5001,_xlfn.MAXIFS(BD!$A$3:$A$5001,BD!$B$3:$B$5001,R$210,BD!$A$3:$A$5001,"&gt;="&amp;$C$7,BD!$A$3:$A$5001,"&lt;="&amp;$B220,BD!$Y$3:$Y$5001,"&lt;&gt;"))))</f>
        <v/>
      </c>
      <c r="S220" s="54" t="str">
        <f>IF(OR($B220="",$A220&gt;$B$9,S$210=""),"",IF(COUNTIFS(BD!$B$3:$B$5001,S$210,BD!$A$3:$A$5001,"&gt;="&amp;$C$7,BD!$A$3:$A$5001,"&lt;="&amp;$B220,BD!$Y$3:$Y$5001,"&lt;&gt;")=0,"",SUMIFS(BD!$Y$3:$Y$5001,BD!$B$3:$B$5001,S$210,BD!$A$3:$A$5001,_xlfn.MAXIFS(BD!$A$3:$A$5001,BD!$B$3:$B$5001,S$210,BD!$A$3:$A$5001,"&gt;="&amp;$C$7,BD!$A$3:$A$5001,"&lt;="&amp;$B220,BD!$Y$3:$Y$5001,"&lt;&gt;"))))</f>
        <v/>
      </c>
      <c r="T220" s="54" t="str">
        <f>IF(OR($B220="",$A220&gt;$B$9,T$210=""),"",IF(COUNTIFS(BD!$B$3:$B$5001,T$210,BD!$A$3:$A$5001,"&gt;="&amp;$C$7,BD!$A$3:$A$5001,"&lt;="&amp;$B220,BD!$Y$3:$Y$5001,"&lt;&gt;")=0,"",SUMIFS(BD!$Y$3:$Y$5001,BD!$B$3:$B$5001,T$210,BD!$A$3:$A$5001,_xlfn.MAXIFS(BD!$A$3:$A$5001,BD!$B$3:$B$5001,T$210,BD!$A$3:$A$5001,"&gt;="&amp;$C$7,BD!$A$3:$A$5001,"&lt;="&amp;$B220,BD!$Y$3:$Y$5001,"&lt;&gt;"))))</f>
        <v/>
      </c>
      <c r="U220" s="54" t="str">
        <f>IF(OR($B220="",$A220&gt;$B$9,U$210=""),"",IF(COUNTIFS(BD!$B$3:$B$5001,U$210,BD!$A$3:$A$5001,"&gt;="&amp;$C$7,BD!$A$3:$A$5001,"&lt;="&amp;$B220,BD!$Y$3:$Y$5001,"&lt;&gt;")=0,"",SUMIFS(BD!$Y$3:$Y$5001,BD!$B$3:$B$5001,U$210,BD!$A$3:$A$5001,_xlfn.MAXIFS(BD!$A$3:$A$5001,BD!$B$3:$B$5001,U$210,BD!$A$3:$A$5001,"&gt;="&amp;$C$7,BD!$A$3:$A$5001,"&lt;="&amp;$B220,BD!$Y$3:$Y$5001,"&lt;&gt;"))))</f>
        <v/>
      </c>
      <c r="V220" s="54" t="str">
        <f>IF(OR($B220="",$A220&gt;$B$9,V$210=""),"",IF(COUNTIFS(BD!$B$3:$B$5001,V$210,BD!$A$3:$A$5001,"&gt;="&amp;$C$7,BD!$A$3:$A$5001,"&lt;="&amp;$B220,BD!$Y$3:$Y$5001,"&lt;&gt;")=0,"",SUMIFS(BD!$Y$3:$Y$5001,BD!$B$3:$B$5001,V$210,BD!$A$3:$A$5001,_xlfn.MAXIFS(BD!$A$3:$A$5001,BD!$B$3:$B$5001,V$210,BD!$A$3:$A$5001,"&gt;="&amp;$C$7,BD!$A$3:$A$5001,"&lt;="&amp;$B220,BD!$Y$3:$Y$5001,"&lt;&gt;"))))</f>
        <v/>
      </c>
    </row>
    <row r="221">
      <c r="A221" s="48">
        <v>11</v>
      </c>
      <c r="B221" s="53">
        <f>$B$22</f>
        <v>46306</v>
      </c>
      <c r="C221" s="54" t="str">
        <f>IF(OR($B221="",$A221&gt;$B$9,C$210=""),"",IF(COUNTIFS(BD!$B$3:$B$5001,C$210,BD!$A$3:$A$5001,"&gt;="&amp;$C$7,BD!$A$3:$A$5001,"&lt;="&amp;$B221,BD!$Y$3:$Y$5001,"&lt;&gt;")=0,"",SUMIFS(BD!$Y$3:$Y$5001,BD!$B$3:$B$5001,C$210,BD!$A$3:$A$5001,_xlfn.MAXIFS(BD!$A$3:$A$5001,BD!$B$3:$B$5001,C$210,BD!$A$3:$A$5001,"&gt;="&amp;$C$7,BD!$A$3:$A$5001,"&lt;="&amp;$B221,BD!$Y$3:$Y$5001,"&lt;&gt;"))))</f>
        <v/>
      </c>
      <c r="D221" s="54" t="str">
        <f>IF(OR($B221="",$A221&gt;$B$9,D$210=""),"",IF(COUNTIFS(BD!$B$3:$B$5001,D$210,BD!$A$3:$A$5001,"&gt;="&amp;$C$7,BD!$A$3:$A$5001,"&lt;="&amp;$B221,BD!$Y$3:$Y$5001,"&lt;&gt;")=0,"",SUMIFS(BD!$Y$3:$Y$5001,BD!$B$3:$B$5001,D$210,BD!$A$3:$A$5001,_xlfn.MAXIFS(BD!$A$3:$A$5001,BD!$B$3:$B$5001,D$210,BD!$A$3:$A$5001,"&gt;="&amp;$C$7,BD!$A$3:$A$5001,"&lt;="&amp;$B221,BD!$Y$3:$Y$5001,"&lt;&gt;"))))</f>
        <v/>
      </c>
      <c r="E221" s="54" t="str">
        <f>IF(OR($B221="",$A221&gt;$B$9,E$210=""),"",IF(COUNTIFS(BD!$B$3:$B$5001,E$210,BD!$A$3:$A$5001,"&gt;="&amp;$C$7,BD!$A$3:$A$5001,"&lt;="&amp;$B221,BD!$Y$3:$Y$5001,"&lt;&gt;")=0,"",SUMIFS(BD!$Y$3:$Y$5001,BD!$B$3:$B$5001,E$210,BD!$A$3:$A$5001,_xlfn.MAXIFS(BD!$A$3:$A$5001,BD!$B$3:$B$5001,E$210,BD!$A$3:$A$5001,"&gt;="&amp;$C$7,BD!$A$3:$A$5001,"&lt;="&amp;$B221,BD!$Y$3:$Y$5001,"&lt;&gt;"))))</f>
        <v/>
      </c>
      <c r="F221" s="54" t="str">
        <f>IF(OR($B221="",$A221&gt;$B$9,F$210=""),"",IF(COUNTIFS(BD!$B$3:$B$5001,F$210,BD!$A$3:$A$5001,"&gt;="&amp;$C$7,BD!$A$3:$A$5001,"&lt;="&amp;$B221,BD!$Y$3:$Y$5001,"&lt;&gt;")=0,"",SUMIFS(BD!$Y$3:$Y$5001,BD!$B$3:$B$5001,F$210,BD!$A$3:$A$5001,_xlfn.MAXIFS(BD!$A$3:$A$5001,BD!$B$3:$B$5001,F$210,BD!$A$3:$A$5001,"&gt;="&amp;$C$7,BD!$A$3:$A$5001,"&lt;="&amp;$B221,BD!$Y$3:$Y$5001,"&lt;&gt;"))))</f>
        <v/>
      </c>
      <c r="G221" s="54" t="str">
        <f>IF(OR($B221="",$A221&gt;$B$9,G$210=""),"",IF(COUNTIFS(BD!$B$3:$B$5001,G$210,BD!$A$3:$A$5001,"&gt;="&amp;$C$7,BD!$A$3:$A$5001,"&lt;="&amp;$B221,BD!$Y$3:$Y$5001,"&lt;&gt;")=0,"",SUMIFS(BD!$Y$3:$Y$5001,BD!$B$3:$B$5001,G$210,BD!$A$3:$A$5001,_xlfn.MAXIFS(BD!$A$3:$A$5001,BD!$B$3:$B$5001,G$210,BD!$A$3:$A$5001,"&gt;="&amp;$C$7,BD!$A$3:$A$5001,"&lt;="&amp;$B221,BD!$Y$3:$Y$5001,"&lt;&gt;"))))</f>
        <v/>
      </c>
      <c r="H221" s="54" t="str">
        <f>IF(OR($B221="",$A221&gt;$B$9,H$210=""),"",IF(COUNTIFS(BD!$B$3:$B$5001,H$210,BD!$A$3:$A$5001,"&gt;="&amp;$C$7,BD!$A$3:$A$5001,"&lt;="&amp;$B221,BD!$Y$3:$Y$5001,"&lt;&gt;")=0,"",SUMIFS(BD!$Y$3:$Y$5001,BD!$B$3:$B$5001,H$210,BD!$A$3:$A$5001,_xlfn.MAXIFS(BD!$A$3:$A$5001,BD!$B$3:$B$5001,H$210,BD!$A$3:$A$5001,"&gt;="&amp;$C$7,BD!$A$3:$A$5001,"&lt;="&amp;$B221,BD!$Y$3:$Y$5001,"&lt;&gt;"))))</f>
        <v/>
      </c>
      <c r="I221" s="54" t="str">
        <f>IF(OR($B221="",$A221&gt;$B$9,I$210=""),"",IF(COUNTIFS(BD!$B$3:$B$5001,I$210,BD!$A$3:$A$5001,"&gt;="&amp;$C$7,BD!$A$3:$A$5001,"&lt;="&amp;$B221,BD!$Y$3:$Y$5001,"&lt;&gt;")=0,"",SUMIFS(BD!$Y$3:$Y$5001,BD!$B$3:$B$5001,I$210,BD!$A$3:$A$5001,_xlfn.MAXIFS(BD!$A$3:$A$5001,BD!$B$3:$B$5001,I$210,BD!$A$3:$A$5001,"&gt;="&amp;$C$7,BD!$A$3:$A$5001,"&lt;="&amp;$B221,BD!$Y$3:$Y$5001,"&lt;&gt;"))))</f>
        <v/>
      </c>
      <c r="J221" s="54" t="str">
        <f>IF(OR($B221="",$A221&gt;$B$9,J$210=""),"",IF(COUNTIFS(BD!$B$3:$B$5001,J$210,BD!$A$3:$A$5001,"&gt;="&amp;$C$7,BD!$A$3:$A$5001,"&lt;="&amp;$B221,BD!$Y$3:$Y$5001,"&lt;&gt;")=0,"",SUMIFS(BD!$Y$3:$Y$5001,BD!$B$3:$B$5001,J$210,BD!$A$3:$A$5001,_xlfn.MAXIFS(BD!$A$3:$A$5001,BD!$B$3:$B$5001,J$210,BD!$A$3:$A$5001,"&gt;="&amp;$C$7,BD!$A$3:$A$5001,"&lt;="&amp;$B221,BD!$Y$3:$Y$5001,"&lt;&gt;"))))</f>
        <v/>
      </c>
      <c r="K221" s="54" t="str">
        <f>IF(OR($B221="",$A221&gt;$B$9,K$210=""),"",IF(COUNTIFS(BD!$B$3:$B$5001,K$210,BD!$A$3:$A$5001,"&gt;="&amp;$C$7,BD!$A$3:$A$5001,"&lt;="&amp;$B221,BD!$Y$3:$Y$5001,"&lt;&gt;")=0,"",SUMIFS(BD!$Y$3:$Y$5001,BD!$B$3:$B$5001,K$210,BD!$A$3:$A$5001,_xlfn.MAXIFS(BD!$A$3:$A$5001,BD!$B$3:$B$5001,K$210,BD!$A$3:$A$5001,"&gt;="&amp;$C$7,BD!$A$3:$A$5001,"&lt;="&amp;$B221,BD!$Y$3:$Y$5001,"&lt;&gt;"))))</f>
        <v/>
      </c>
      <c r="L221" s="54" t="str">
        <f>IF(OR($B221="",$A221&gt;$B$9,L$210=""),"",IF(COUNTIFS(BD!$B$3:$B$5001,L$210,BD!$A$3:$A$5001,"&gt;="&amp;$C$7,BD!$A$3:$A$5001,"&lt;="&amp;$B221,BD!$Y$3:$Y$5001,"&lt;&gt;")=0,"",SUMIFS(BD!$Y$3:$Y$5001,BD!$B$3:$B$5001,L$210,BD!$A$3:$A$5001,_xlfn.MAXIFS(BD!$A$3:$A$5001,BD!$B$3:$B$5001,L$210,BD!$A$3:$A$5001,"&gt;="&amp;$C$7,BD!$A$3:$A$5001,"&lt;="&amp;$B221,BD!$Y$3:$Y$5001,"&lt;&gt;"))))</f>
        <v/>
      </c>
      <c r="M221" s="54" t="str">
        <f>IF(OR($B221="",$A221&gt;$B$9,M$210=""),"",IF(COUNTIFS(BD!$B$3:$B$5001,M$210,BD!$A$3:$A$5001,"&gt;="&amp;$C$7,BD!$A$3:$A$5001,"&lt;="&amp;$B221,BD!$Y$3:$Y$5001,"&lt;&gt;")=0,"",SUMIFS(BD!$Y$3:$Y$5001,BD!$B$3:$B$5001,M$210,BD!$A$3:$A$5001,_xlfn.MAXIFS(BD!$A$3:$A$5001,BD!$B$3:$B$5001,M$210,BD!$A$3:$A$5001,"&gt;="&amp;$C$7,BD!$A$3:$A$5001,"&lt;="&amp;$B221,BD!$Y$3:$Y$5001,"&lt;&gt;"))))</f>
        <v/>
      </c>
      <c r="N221" s="54" t="str">
        <f>IF(OR($B221="",$A221&gt;$B$9,N$210=""),"",IF(COUNTIFS(BD!$B$3:$B$5001,N$210,BD!$A$3:$A$5001,"&gt;="&amp;$C$7,BD!$A$3:$A$5001,"&lt;="&amp;$B221,BD!$Y$3:$Y$5001,"&lt;&gt;")=0,"",SUMIFS(BD!$Y$3:$Y$5001,BD!$B$3:$B$5001,N$210,BD!$A$3:$A$5001,_xlfn.MAXIFS(BD!$A$3:$A$5001,BD!$B$3:$B$5001,N$210,BD!$A$3:$A$5001,"&gt;="&amp;$C$7,BD!$A$3:$A$5001,"&lt;="&amp;$B221,BD!$Y$3:$Y$5001,"&lt;&gt;"))))</f>
        <v/>
      </c>
      <c r="O221" s="54" t="str">
        <f>IF(OR($B221="",$A221&gt;$B$9,O$210=""),"",IF(COUNTIFS(BD!$B$3:$B$5001,O$210,BD!$A$3:$A$5001,"&gt;="&amp;$C$7,BD!$A$3:$A$5001,"&lt;="&amp;$B221,BD!$Y$3:$Y$5001,"&lt;&gt;")=0,"",SUMIFS(BD!$Y$3:$Y$5001,BD!$B$3:$B$5001,O$210,BD!$A$3:$A$5001,_xlfn.MAXIFS(BD!$A$3:$A$5001,BD!$B$3:$B$5001,O$210,BD!$A$3:$A$5001,"&gt;="&amp;$C$7,BD!$A$3:$A$5001,"&lt;="&amp;$B221,BD!$Y$3:$Y$5001,"&lt;&gt;"))))</f>
        <v/>
      </c>
      <c r="P221" s="54" t="str">
        <f>IF(OR($B221="",$A221&gt;$B$9,P$210=""),"",IF(COUNTIFS(BD!$B$3:$B$5001,P$210,BD!$A$3:$A$5001,"&gt;="&amp;$C$7,BD!$A$3:$A$5001,"&lt;="&amp;$B221,BD!$Y$3:$Y$5001,"&lt;&gt;")=0,"",SUMIFS(BD!$Y$3:$Y$5001,BD!$B$3:$B$5001,P$210,BD!$A$3:$A$5001,_xlfn.MAXIFS(BD!$A$3:$A$5001,BD!$B$3:$B$5001,P$210,BD!$A$3:$A$5001,"&gt;="&amp;$C$7,BD!$A$3:$A$5001,"&lt;="&amp;$B221,BD!$Y$3:$Y$5001,"&lt;&gt;"))))</f>
        <v/>
      </c>
      <c r="Q221" s="54" t="str">
        <f>IF(OR($B221="",$A221&gt;$B$9,Q$210=""),"",IF(COUNTIFS(BD!$B$3:$B$5001,Q$210,BD!$A$3:$A$5001,"&gt;="&amp;$C$7,BD!$A$3:$A$5001,"&lt;="&amp;$B221,BD!$Y$3:$Y$5001,"&lt;&gt;")=0,"",SUMIFS(BD!$Y$3:$Y$5001,BD!$B$3:$B$5001,Q$210,BD!$A$3:$A$5001,_xlfn.MAXIFS(BD!$A$3:$A$5001,BD!$B$3:$B$5001,Q$210,BD!$A$3:$A$5001,"&gt;="&amp;$C$7,BD!$A$3:$A$5001,"&lt;="&amp;$B221,BD!$Y$3:$Y$5001,"&lt;&gt;"))))</f>
        <v/>
      </c>
      <c r="R221" s="54" t="str">
        <f>IF(OR($B221="",$A221&gt;$B$9,R$210=""),"",IF(COUNTIFS(BD!$B$3:$B$5001,R$210,BD!$A$3:$A$5001,"&gt;="&amp;$C$7,BD!$A$3:$A$5001,"&lt;="&amp;$B221,BD!$Y$3:$Y$5001,"&lt;&gt;")=0,"",SUMIFS(BD!$Y$3:$Y$5001,BD!$B$3:$B$5001,R$210,BD!$A$3:$A$5001,_xlfn.MAXIFS(BD!$A$3:$A$5001,BD!$B$3:$B$5001,R$210,BD!$A$3:$A$5001,"&gt;="&amp;$C$7,BD!$A$3:$A$5001,"&lt;="&amp;$B221,BD!$Y$3:$Y$5001,"&lt;&gt;"))))</f>
        <v/>
      </c>
      <c r="S221" s="54" t="str">
        <f>IF(OR($B221="",$A221&gt;$B$9,S$210=""),"",IF(COUNTIFS(BD!$B$3:$B$5001,S$210,BD!$A$3:$A$5001,"&gt;="&amp;$C$7,BD!$A$3:$A$5001,"&lt;="&amp;$B221,BD!$Y$3:$Y$5001,"&lt;&gt;")=0,"",SUMIFS(BD!$Y$3:$Y$5001,BD!$B$3:$B$5001,S$210,BD!$A$3:$A$5001,_xlfn.MAXIFS(BD!$A$3:$A$5001,BD!$B$3:$B$5001,S$210,BD!$A$3:$A$5001,"&gt;="&amp;$C$7,BD!$A$3:$A$5001,"&lt;="&amp;$B221,BD!$Y$3:$Y$5001,"&lt;&gt;"))))</f>
        <v/>
      </c>
      <c r="T221" s="54" t="str">
        <f>IF(OR($B221="",$A221&gt;$B$9,T$210=""),"",IF(COUNTIFS(BD!$B$3:$B$5001,T$210,BD!$A$3:$A$5001,"&gt;="&amp;$C$7,BD!$A$3:$A$5001,"&lt;="&amp;$B221,BD!$Y$3:$Y$5001,"&lt;&gt;")=0,"",SUMIFS(BD!$Y$3:$Y$5001,BD!$B$3:$B$5001,T$210,BD!$A$3:$A$5001,_xlfn.MAXIFS(BD!$A$3:$A$5001,BD!$B$3:$B$5001,T$210,BD!$A$3:$A$5001,"&gt;="&amp;$C$7,BD!$A$3:$A$5001,"&lt;="&amp;$B221,BD!$Y$3:$Y$5001,"&lt;&gt;"))))</f>
        <v/>
      </c>
      <c r="U221" s="54" t="str">
        <f>IF(OR($B221="",$A221&gt;$B$9,U$210=""),"",IF(COUNTIFS(BD!$B$3:$B$5001,U$210,BD!$A$3:$A$5001,"&gt;="&amp;$C$7,BD!$A$3:$A$5001,"&lt;="&amp;$B221,BD!$Y$3:$Y$5001,"&lt;&gt;")=0,"",SUMIFS(BD!$Y$3:$Y$5001,BD!$B$3:$B$5001,U$210,BD!$A$3:$A$5001,_xlfn.MAXIFS(BD!$A$3:$A$5001,BD!$B$3:$B$5001,U$210,BD!$A$3:$A$5001,"&gt;="&amp;$C$7,BD!$A$3:$A$5001,"&lt;="&amp;$B221,BD!$Y$3:$Y$5001,"&lt;&gt;"))))</f>
        <v/>
      </c>
      <c r="V221" s="54" t="str">
        <f>IF(OR($B221="",$A221&gt;$B$9,V$210=""),"",IF(COUNTIFS(BD!$B$3:$B$5001,V$210,BD!$A$3:$A$5001,"&gt;="&amp;$C$7,BD!$A$3:$A$5001,"&lt;="&amp;$B221,BD!$Y$3:$Y$5001,"&lt;&gt;")=0,"",SUMIFS(BD!$Y$3:$Y$5001,BD!$B$3:$B$5001,V$210,BD!$A$3:$A$5001,_xlfn.MAXIFS(BD!$A$3:$A$5001,BD!$B$3:$B$5001,V$210,BD!$A$3:$A$5001,"&gt;="&amp;$C$7,BD!$A$3:$A$5001,"&lt;="&amp;$B221,BD!$Y$3:$Y$5001,"&lt;&gt;"))))</f>
        <v/>
      </c>
    </row>
    <row r="222">
      <c r="A222" s="48">
        <v>12</v>
      </c>
      <c r="B222" s="53">
        <f>$B$23</f>
        <v>46307</v>
      </c>
      <c r="C222" s="54" t="str">
        <f>IF(OR($B222="",$A222&gt;$B$9,C$210=""),"",IF(COUNTIFS(BD!$B$3:$B$5001,C$210,BD!$A$3:$A$5001,"&gt;="&amp;$C$7,BD!$A$3:$A$5001,"&lt;="&amp;$B222,BD!$Y$3:$Y$5001,"&lt;&gt;")=0,"",SUMIFS(BD!$Y$3:$Y$5001,BD!$B$3:$B$5001,C$210,BD!$A$3:$A$5001,_xlfn.MAXIFS(BD!$A$3:$A$5001,BD!$B$3:$B$5001,C$210,BD!$A$3:$A$5001,"&gt;="&amp;$C$7,BD!$A$3:$A$5001,"&lt;="&amp;$B222,BD!$Y$3:$Y$5001,"&lt;&gt;"))))</f>
        <v/>
      </c>
      <c r="D222" s="54" t="str">
        <f>IF(OR($B222="",$A222&gt;$B$9,D$210=""),"",IF(COUNTIFS(BD!$B$3:$B$5001,D$210,BD!$A$3:$A$5001,"&gt;="&amp;$C$7,BD!$A$3:$A$5001,"&lt;="&amp;$B222,BD!$Y$3:$Y$5001,"&lt;&gt;")=0,"",SUMIFS(BD!$Y$3:$Y$5001,BD!$B$3:$B$5001,D$210,BD!$A$3:$A$5001,_xlfn.MAXIFS(BD!$A$3:$A$5001,BD!$B$3:$B$5001,D$210,BD!$A$3:$A$5001,"&gt;="&amp;$C$7,BD!$A$3:$A$5001,"&lt;="&amp;$B222,BD!$Y$3:$Y$5001,"&lt;&gt;"))))</f>
        <v/>
      </c>
      <c r="E222" s="54" t="str">
        <f>IF(OR($B222="",$A222&gt;$B$9,E$210=""),"",IF(COUNTIFS(BD!$B$3:$B$5001,E$210,BD!$A$3:$A$5001,"&gt;="&amp;$C$7,BD!$A$3:$A$5001,"&lt;="&amp;$B222,BD!$Y$3:$Y$5001,"&lt;&gt;")=0,"",SUMIFS(BD!$Y$3:$Y$5001,BD!$B$3:$B$5001,E$210,BD!$A$3:$A$5001,_xlfn.MAXIFS(BD!$A$3:$A$5001,BD!$B$3:$B$5001,E$210,BD!$A$3:$A$5001,"&gt;="&amp;$C$7,BD!$A$3:$A$5001,"&lt;="&amp;$B222,BD!$Y$3:$Y$5001,"&lt;&gt;"))))</f>
        <v/>
      </c>
      <c r="F222" s="54" t="str">
        <f>IF(OR($B222="",$A222&gt;$B$9,F$210=""),"",IF(COUNTIFS(BD!$B$3:$B$5001,F$210,BD!$A$3:$A$5001,"&gt;="&amp;$C$7,BD!$A$3:$A$5001,"&lt;="&amp;$B222,BD!$Y$3:$Y$5001,"&lt;&gt;")=0,"",SUMIFS(BD!$Y$3:$Y$5001,BD!$B$3:$B$5001,F$210,BD!$A$3:$A$5001,_xlfn.MAXIFS(BD!$A$3:$A$5001,BD!$B$3:$B$5001,F$210,BD!$A$3:$A$5001,"&gt;="&amp;$C$7,BD!$A$3:$A$5001,"&lt;="&amp;$B222,BD!$Y$3:$Y$5001,"&lt;&gt;"))))</f>
        <v/>
      </c>
      <c r="G222" s="54" t="str">
        <f>IF(OR($B222="",$A222&gt;$B$9,G$210=""),"",IF(COUNTIFS(BD!$B$3:$B$5001,G$210,BD!$A$3:$A$5001,"&gt;="&amp;$C$7,BD!$A$3:$A$5001,"&lt;="&amp;$B222,BD!$Y$3:$Y$5001,"&lt;&gt;")=0,"",SUMIFS(BD!$Y$3:$Y$5001,BD!$B$3:$B$5001,G$210,BD!$A$3:$A$5001,_xlfn.MAXIFS(BD!$A$3:$A$5001,BD!$B$3:$B$5001,G$210,BD!$A$3:$A$5001,"&gt;="&amp;$C$7,BD!$A$3:$A$5001,"&lt;="&amp;$B222,BD!$Y$3:$Y$5001,"&lt;&gt;"))))</f>
        <v/>
      </c>
      <c r="H222" s="54" t="str">
        <f>IF(OR($B222="",$A222&gt;$B$9,H$210=""),"",IF(COUNTIFS(BD!$B$3:$B$5001,H$210,BD!$A$3:$A$5001,"&gt;="&amp;$C$7,BD!$A$3:$A$5001,"&lt;="&amp;$B222,BD!$Y$3:$Y$5001,"&lt;&gt;")=0,"",SUMIFS(BD!$Y$3:$Y$5001,BD!$B$3:$B$5001,H$210,BD!$A$3:$A$5001,_xlfn.MAXIFS(BD!$A$3:$A$5001,BD!$B$3:$B$5001,H$210,BD!$A$3:$A$5001,"&gt;="&amp;$C$7,BD!$A$3:$A$5001,"&lt;="&amp;$B222,BD!$Y$3:$Y$5001,"&lt;&gt;"))))</f>
        <v/>
      </c>
      <c r="I222" s="54" t="str">
        <f>IF(OR($B222="",$A222&gt;$B$9,I$210=""),"",IF(COUNTIFS(BD!$B$3:$B$5001,I$210,BD!$A$3:$A$5001,"&gt;="&amp;$C$7,BD!$A$3:$A$5001,"&lt;="&amp;$B222,BD!$Y$3:$Y$5001,"&lt;&gt;")=0,"",SUMIFS(BD!$Y$3:$Y$5001,BD!$B$3:$B$5001,I$210,BD!$A$3:$A$5001,_xlfn.MAXIFS(BD!$A$3:$A$5001,BD!$B$3:$B$5001,I$210,BD!$A$3:$A$5001,"&gt;="&amp;$C$7,BD!$A$3:$A$5001,"&lt;="&amp;$B222,BD!$Y$3:$Y$5001,"&lt;&gt;"))))</f>
        <v/>
      </c>
      <c r="J222" s="54" t="str">
        <f>IF(OR($B222="",$A222&gt;$B$9,J$210=""),"",IF(COUNTIFS(BD!$B$3:$B$5001,J$210,BD!$A$3:$A$5001,"&gt;="&amp;$C$7,BD!$A$3:$A$5001,"&lt;="&amp;$B222,BD!$Y$3:$Y$5001,"&lt;&gt;")=0,"",SUMIFS(BD!$Y$3:$Y$5001,BD!$B$3:$B$5001,J$210,BD!$A$3:$A$5001,_xlfn.MAXIFS(BD!$A$3:$A$5001,BD!$B$3:$B$5001,J$210,BD!$A$3:$A$5001,"&gt;="&amp;$C$7,BD!$A$3:$A$5001,"&lt;="&amp;$B222,BD!$Y$3:$Y$5001,"&lt;&gt;"))))</f>
        <v/>
      </c>
      <c r="K222" s="54" t="str">
        <f>IF(OR($B222="",$A222&gt;$B$9,K$210=""),"",IF(COUNTIFS(BD!$B$3:$B$5001,K$210,BD!$A$3:$A$5001,"&gt;="&amp;$C$7,BD!$A$3:$A$5001,"&lt;="&amp;$B222,BD!$Y$3:$Y$5001,"&lt;&gt;")=0,"",SUMIFS(BD!$Y$3:$Y$5001,BD!$B$3:$B$5001,K$210,BD!$A$3:$A$5001,_xlfn.MAXIFS(BD!$A$3:$A$5001,BD!$B$3:$B$5001,K$210,BD!$A$3:$A$5001,"&gt;="&amp;$C$7,BD!$A$3:$A$5001,"&lt;="&amp;$B222,BD!$Y$3:$Y$5001,"&lt;&gt;"))))</f>
        <v/>
      </c>
      <c r="L222" s="54" t="str">
        <f>IF(OR($B222="",$A222&gt;$B$9,L$210=""),"",IF(COUNTIFS(BD!$B$3:$B$5001,L$210,BD!$A$3:$A$5001,"&gt;="&amp;$C$7,BD!$A$3:$A$5001,"&lt;="&amp;$B222,BD!$Y$3:$Y$5001,"&lt;&gt;")=0,"",SUMIFS(BD!$Y$3:$Y$5001,BD!$B$3:$B$5001,L$210,BD!$A$3:$A$5001,_xlfn.MAXIFS(BD!$A$3:$A$5001,BD!$B$3:$B$5001,L$210,BD!$A$3:$A$5001,"&gt;="&amp;$C$7,BD!$A$3:$A$5001,"&lt;="&amp;$B222,BD!$Y$3:$Y$5001,"&lt;&gt;"))))</f>
        <v/>
      </c>
      <c r="M222" s="54" t="str">
        <f>IF(OR($B222="",$A222&gt;$B$9,M$210=""),"",IF(COUNTIFS(BD!$B$3:$B$5001,M$210,BD!$A$3:$A$5001,"&gt;="&amp;$C$7,BD!$A$3:$A$5001,"&lt;="&amp;$B222,BD!$Y$3:$Y$5001,"&lt;&gt;")=0,"",SUMIFS(BD!$Y$3:$Y$5001,BD!$B$3:$B$5001,M$210,BD!$A$3:$A$5001,_xlfn.MAXIFS(BD!$A$3:$A$5001,BD!$B$3:$B$5001,M$210,BD!$A$3:$A$5001,"&gt;="&amp;$C$7,BD!$A$3:$A$5001,"&lt;="&amp;$B222,BD!$Y$3:$Y$5001,"&lt;&gt;"))))</f>
        <v/>
      </c>
      <c r="N222" s="54" t="str">
        <f>IF(OR($B222="",$A222&gt;$B$9,N$210=""),"",IF(COUNTIFS(BD!$B$3:$B$5001,N$210,BD!$A$3:$A$5001,"&gt;="&amp;$C$7,BD!$A$3:$A$5001,"&lt;="&amp;$B222,BD!$Y$3:$Y$5001,"&lt;&gt;")=0,"",SUMIFS(BD!$Y$3:$Y$5001,BD!$B$3:$B$5001,N$210,BD!$A$3:$A$5001,_xlfn.MAXIFS(BD!$A$3:$A$5001,BD!$B$3:$B$5001,N$210,BD!$A$3:$A$5001,"&gt;="&amp;$C$7,BD!$A$3:$A$5001,"&lt;="&amp;$B222,BD!$Y$3:$Y$5001,"&lt;&gt;"))))</f>
        <v/>
      </c>
      <c r="O222" s="54" t="str">
        <f>IF(OR($B222="",$A222&gt;$B$9,O$210=""),"",IF(COUNTIFS(BD!$B$3:$B$5001,O$210,BD!$A$3:$A$5001,"&gt;="&amp;$C$7,BD!$A$3:$A$5001,"&lt;="&amp;$B222,BD!$Y$3:$Y$5001,"&lt;&gt;")=0,"",SUMIFS(BD!$Y$3:$Y$5001,BD!$B$3:$B$5001,O$210,BD!$A$3:$A$5001,_xlfn.MAXIFS(BD!$A$3:$A$5001,BD!$B$3:$B$5001,O$210,BD!$A$3:$A$5001,"&gt;="&amp;$C$7,BD!$A$3:$A$5001,"&lt;="&amp;$B222,BD!$Y$3:$Y$5001,"&lt;&gt;"))))</f>
        <v/>
      </c>
      <c r="P222" s="54" t="str">
        <f>IF(OR($B222="",$A222&gt;$B$9,P$210=""),"",IF(COUNTIFS(BD!$B$3:$B$5001,P$210,BD!$A$3:$A$5001,"&gt;="&amp;$C$7,BD!$A$3:$A$5001,"&lt;="&amp;$B222,BD!$Y$3:$Y$5001,"&lt;&gt;")=0,"",SUMIFS(BD!$Y$3:$Y$5001,BD!$B$3:$B$5001,P$210,BD!$A$3:$A$5001,_xlfn.MAXIFS(BD!$A$3:$A$5001,BD!$B$3:$B$5001,P$210,BD!$A$3:$A$5001,"&gt;="&amp;$C$7,BD!$A$3:$A$5001,"&lt;="&amp;$B222,BD!$Y$3:$Y$5001,"&lt;&gt;"))))</f>
        <v/>
      </c>
      <c r="Q222" s="54" t="str">
        <f>IF(OR($B222="",$A222&gt;$B$9,Q$210=""),"",IF(COUNTIFS(BD!$B$3:$B$5001,Q$210,BD!$A$3:$A$5001,"&gt;="&amp;$C$7,BD!$A$3:$A$5001,"&lt;="&amp;$B222,BD!$Y$3:$Y$5001,"&lt;&gt;")=0,"",SUMIFS(BD!$Y$3:$Y$5001,BD!$B$3:$B$5001,Q$210,BD!$A$3:$A$5001,_xlfn.MAXIFS(BD!$A$3:$A$5001,BD!$B$3:$B$5001,Q$210,BD!$A$3:$A$5001,"&gt;="&amp;$C$7,BD!$A$3:$A$5001,"&lt;="&amp;$B222,BD!$Y$3:$Y$5001,"&lt;&gt;"))))</f>
        <v/>
      </c>
      <c r="R222" s="54" t="str">
        <f>IF(OR($B222="",$A222&gt;$B$9,R$210=""),"",IF(COUNTIFS(BD!$B$3:$B$5001,R$210,BD!$A$3:$A$5001,"&gt;="&amp;$C$7,BD!$A$3:$A$5001,"&lt;="&amp;$B222,BD!$Y$3:$Y$5001,"&lt;&gt;")=0,"",SUMIFS(BD!$Y$3:$Y$5001,BD!$B$3:$B$5001,R$210,BD!$A$3:$A$5001,_xlfn.MAXIFS(BD!$A$3:$A$5001,BD!$B$3:$B$5001,R$210,BD!$A$3:$A$5001,"&gt;="&amp;$C$7,BD!$A$3:$A$5001,"&lt;="&amp;$B222,BD!$Y$3:$Y$5001,"&lt;&gt;"))))</f>
        <v/>
      </c>
      <c r="S222" s="54" t="str">
        <f>IF(OR($B222="",$A222&gt;$B$9,S$210=""),"",IF(COUNTIFS(BD!$B$3:$B$5001,S$210,BD!$A$3:$A$5001,"&gt;="&amp;$C$7,BD!$A$3:$A$5001,"&lt;="&amp;$B222,BD!$Y$3:$Y$5001,"&lt;&gt;")=0,"",SUMIFS(BD!$Y$3:$Y$5001,BD!$B$3:$B$5001,S$210,BD!$A$3:$A$5001,_xlfn.MAXIFS(BD!$A$3:$A$5001,BD!$B$3:$B$5001,S$210,BD!$A$3:$A$5001,"&gt;="&amp;$C$7,BD!$A$3:$A$5001,"&lt;="&amp;$B222,BD!$Y$3:$Y$5001,"&lt;&gt;"))))</f>
        <v/>
      </c>
      <c r="T222" s="54" t="str">
        <f>IF(OR($B222="",$A222&gt;$B$9,T$210=""),"",IF(COUNTIFS(BD!$B$3:$B$5001,T$210,BD!$A$3:$A$5001,"&gt;="&amp;$C$7,BD!$A$3:$A$5001,"&lt;="&amp;$B222,BD!$Y$3:$Y$5001,"&lt;&gt;")=0,"",SUMIFS(BD!$Y$3:$Y$5001,BD!$B$3:$B$5001,T$210,BD!$A$3:$A$5001,_xlfn.MAXIFS(BD!$A$3:$A$5001,BD!$B$3:$B$5001,T$210,BD!$A$3:$A$5001,"&gt;="&amp;$C$7,BD!$A$3:$A$5001,"&lt;="&amp;$B222,BD!$Y$3:$Y$5001,"&lt;&gt;"))))</f>
        <v/>
      </c>
      <c r="U222" s="54" t="str">
        <f>IF(OR($B222="",$A222&gt;$B$9,U$210=""),"",IF(COUNTIFS(BD!$B$3:$B$5001,U$210,BD!$A$3:$A$5001,"&gt;="&amp;$C$7,BD!$A$3:$A$5001,"&lt;="&amp;$B222,BD!$Y$3:$Y$5001,"&lt;&gt;")=0,"",SUMIFS(BD!$Y$3:$Y$5001,BD!$B$3:$B$5001,U$210,BD!$A$3:$A$5001,_xlfn.MAXIFS(BD!$A$3:$A$5001,BD!$B$3:$B$5001,U$210,BD!$A$3:$A$5001,"&gt;="&amp;$C$7,BD!$A$3:$A$5001,"&lt;="&amp;$B222,BD!$Y$3:$Y$5001,"&lt;&gt;"))))</f>
        <v/>
      </c>
      <c r="V222" s="54" t="str">
        <f>IF(OR($B222="",$A222&gt;$B$9,V$210=""),"",IF(COUNTIFS(BD!$B$3:$B$5001,V$210,BD!$A$3:$A$5001,"&gt;="&amp;$C$7,BD!$A$3:$A$5001,"&lt;="&amp;$B222,BD!$Y$3:$Y$5001,"&lt;&gt;")=0,"",SUMIFS(BD!$Y$3:$Y$5001,BD!$B$3:$B$5001,V$210,BD!$A$3:$A$5001,_xlfn.MAXIFS(BD!$A$3:$A$5001,BD!$B$3:$B$5001,V$210,BD!$A$3:$A$5001,"&gt;="&amp;$C$7,BD!$A$3:$A$5001,"&lt;="&amp;$B222,BD!$Y$3:$Y$5001,"&lt;&gt;"))))</f>
        <v/>
      </c>
    </row>
    <row r="223">
      <c r="A223" s="48">
        <v>13</v>
      </c>
      <c r="B223" s="53">
        <f>$B$24</f>
        <v>46308</v>
      </c>
      <c r="C223" s="54" t="str">
        <f>IF(OR($B223="",$A223&gt;$B$9,C$210=""),"",IF(COUNTIFS(BD!$B$3:$B$5001,C$210,BD!$A$3:$A$5001,"&gt;="&amp;$C$7,BD!$A$3:$A$5001,"&lt;="&amp;$B223,BD!$Y$3:$Y$5001,"&lt;&gt;")=0,"",SUMIFS(BD!$Y$3:$Y$5001,BD!$B$3:$B$5001,C$210,BD!$A$3:$A$5001,_xlfn.MAXIFS(BD!$A$3:$A$5001,BD!$B$3:$B$5001,C$210,BD!$A$3:$A$5001,"&gt;="&amp;$C$7,BD!$A$3:$A$5001,"&lt;="&amp;$B223,BD!$Y$3:$Y$5001,"&lt;&gt;"))))</f>
        <v/>
      </c>
      <c r="D223" s="54" t="str">
        <f>IF(OR($B223="",$A223&gt;$B$9,D$210=""),"",IF(COUNTIFS(BD!$B$3:$B$5001,D$210,BD!$A$3:$A$5001,"&gt;="&amp;$C$7,BD!$A$3:$A$5001,"&lt;="&amp;$B223,BD!$Y$3:$Y$5001,"&lt;&gt;")=0,"",SUMIFS(BD!$Y$3:$Y$5001,BD!$B$3:$B$5001,D$210,BD!$A$3:$A$5001,_xlfn.MAXIFS(BD!$A$3:$A$5001,BD!$B$3:$B$5001,D$210,BD!$A$3:$A$5001,"&gt;="&amp;$C$7,BD!$A$3:$A$5001,"&lt;="&amp;$B223,BD!$Y$3:$Y$5001,"&lt;&gt;"))))</f>
        <v/>
      </c>
      <c r="E223" s="54" t="str">
        <f>IF(OR($B223="",$A223&gt;$B$9,E$210=""),"",IF(COUNTIFS(BD!$B$3:$B$5001,E$210,BD!$A$3:$A$5001,"&gt;="&amp;$C$7,BD!$A$3:$A$5001,"&lt;="&amp;$B223,BD!$Y$3:$Y$5001,"&lt;&gt;")=0,"",SUMIFS(BD!$Y$3:$Y$5001,BD!$B$3:$B$5001,E$210,BD!$A$3:$A$5001,_xlfn.MAXIFS(BD!$A$3:$A$5001,BD!$B$3:$B$5001,E$210,BD!$A$3:$A$5001,"&gt;="&amp;$C$7,BD!$A$3:$A$5001,"&lt;="&amp;$B223,BD!$Y$3:$Y$5001,"&lt;&gt;"))))</f>
        <v/>
      </c>
      <c r="F223" s="54" t="str">
        <f>IF(OR($B223="",$A223&gt;$B$9,F$210=""),"",IF(COUNTIFS(BD!$B$3:$B$5001,F$210,BD!$A$3:$A$5001,"&gt;="&amp;$C$7,BD!$A$3:$A$5001,"&lt;="&amp;$B223,BD!$Y$3:$Y$5001,"&lt;&gt;")=0,"",SUMIFS(BD!$Y$3:$Y$5001,BD!$B$3:$B$5001,F$210,BD!$A$3:$A$5001,_xlfn.MAXIFS(BD!$A$3:$A$5001,BD!$B$3:$B$5001,F$210,BD!$A$3:$A$5001,"&gt;="&amp;$C$7,BD!$A$3:$A$5001,"&lt;="&amp;$B223,BD!$Y$3:$Y$5001,"&lt;&gt;"))))</f>
        <v/>
      </c>
      <c r="G223" s="54" t="str">
        <f>IF(OR($B223="",$A223&gt;$B$9,G$210=""),"",IF(COUNTIFS(BD!$B$3:$B$5001,G$210,BD!$A$3:$A$5001,"&gt;="&amp;$C$7,BD!$A$3:$A$5001,"&lt;="&amp;$B223,BD!$Y$3:$Y$5001,"&lt;&gt;")=0,"",SUMIFS(BD!$Y$3:$Y$5001,BD!$B$3:$B$5001,G$210,BD!$A$3:$A$5001,_xlfn.MAXIFS(BD!$A$3:$A$5001,BD!$B$3:$B$5001,G$210,BD!$A$3:$A$5001,"&gt;="&amp;$C$7,BD!$A$3:$A$5001,"&lt;="&amp;$B223,BD!$Y$3:$Y$5001,"&lt;&gt;"))))</f>
        <v/>
      </c>
      <c r="H223" s="54" t="str">
        <f>IF(OR($B223="",$A223&gt;$B$9,H$210=""),"",IF(COUNTIFS(BD!$B$3:$B$5001,H$210,BD!$A$3:$A$5001,"&gt;="&amp;$C$7,BD!$A$3:$A$5001,"&lt;="&amp;$B223,BD!$Y$3:$Y$5001,"&lt;&gt;")=0,"",SUMIFS(BD!$Y$3:$Y$5001,BD!$B$3:$B$5001,H$210,BD!$A$3:$A$5001,_xlfn.MAXIFS(BD!$A$3:$A$5001,BD!$B$3:$B$5001,H$210,BD!$A$3:$A$5001,"&gt;="&amp;$C$7,BD!$A$3:$A$5001,"&lt;="&amp;$B223,BD!$Y$3:$Y$5001,"&lt;&gt;"))))</f>
        <v/>
      </c>
      <c r="I223" s="54" t="str">
        <f>IF(OR($B223="",$A223&gt;$B$9,I$210=""),"",IF(COUNTIFS(BD!$B$3:$B$5001,I$210,BD!$A$3:$A$5001,"&gt;="&amp;$C$7,BD!$A$3:$A$5001,"&lt;="&amp;$B223,BD!$Y$3:$Y$5001,"&lt;&gt;")=0,"",SUMIFS(BD!$Y$3:$Y$5001,BD!$B$3:$B$5001,I$210,BD!$A$3:$A$5001,_xlfn.MAXIFS(BD!$A$3:$A$5001,BD!$B$3:$B$5001,I$210,BD!$A$3:$A$5001,"&gt;="&amp;$C$7,BD!$A$3:$A$5001,"&lt;="&amp;$B223,BD!$Y$3:$Y$5001,"&lt;&gt;"))))</f>
        <v/>
      </c>
      <c r="J223" s="54" t="str">
        <f>IF(OR($B223="",$A223&gt;$B$9,J$210=""),"",IF(COUNTIFS(BD!$B$3:$B$5001,J$210,BD!$A$3:$A$5001,"&gt;="&amp;$C$7,BD!$A$3:$A$5001,"&lt;="&amp;$B223,BD!$Y$3:$Y$5001,"&lt;&gt;")=0,"",SUMIFS(BD!$Y$3:$Y$5001,BD!$B$3:$B$5001,J$210,BD!$A$3:$A$5001,_xlfn.MAXIFS(BD!$A$3:$A$5001,BD!$B$3:$B$5001,J$210,BD!$A$3:$A$5001,"&gt;="&amp;$C$7,BD!$A$3:$A$5001,"&lt;="&amp;$B223,BD!$Y$3:$Y$5001,"&lt;&gt;"))))</f>
        <v/>
      </c>
      <c r="K223" s="54" t="str">
        <f>IF(OR($B223="",$A223&gt;$B$9,K$210=""),"",IF(COUNTIFS(BD!$B$3:$B$5001,K$210,BD!$A$3:$A$5001,"&gt;="&amp;$C$7,BD!$A$3:$A$5001,"&lt;="&amp;$B223,BD!$Y$3:$Y$5001,"&lt;&gt;")=0,"",SUMIFS(BD!$Y$3:$Y$5001,BD!$B$3:$B$5001,K$210,BD!$A$3:$A$5001,_xlfn.MAXIFS(BD!$A$3:$A$5001,BD!$B$3:$B$5001,K$210,BD!$A$3:$A$5001,"&gt;="&amp;$C$7,BD!$A$3:$A$5001,"&lt;="&amp;$B223,BD!$Y$3:$Y$5001,"&lt;&gt;"))))</f>
        <v/>
      </c>
      <c r="L223" s="54" t="str">
        <f>IF(OR($B223="",$A223&gt;$B$9,L$210=""),"",IF(COUNTIFS(BD!$B$3:$B$5001,L$210,BD!$A$3:$A$5001,"&gt;="&amp;$C$7,BD!$A$3:$A$5001,"&lt;="&amp;$B223,BD!$Y$3:$Y$5001,"&lt;&gt;")=0,"",SUMIFS(BD!$Y$3:$Y$5001,BD!$B$3:$B$5001,L$210,BD!$A$3:$A$5001,_xlfn.MAXIFS(BD!$A$3:$A$5001,BD!$B$3:$B$5001,L$210,BD!$A$3:$A$5001,"&gt;="&amp;$C$7,BD!$A$3:$A$5001,"&lt;="&amp;$B223,BD!$Y$3:$Y$5001,"&lt;&gt;"))))</f>
        <v/>
      </c>
      <c r="M223" s="54" t="str">
        <f>IF(OR($B223="",$A223&gt;$B$9,M$210=""),"",IF(COUNTIFS(BD!$B$3:$B$5001,M$210,BD!$A$3:$A$5001,"&gt;="&amp;$C$7,BD!$A$3:$A$5001,"&lt;="&amp;$B223,BD!$Y$3:$Y$5001,"&lt;&gt;")=0,"",SUMIFS(BD!$Y$3:$Y$5001,BD!$B$3:$B$5001,M$210,BD!$A$3:$A$5001,_xlfn.MAXIFS(BD!$A$3:$A$5001,BD!$B$3:$B$5001,M$210,BD!$A$3:$A$5001,"&gt;="&amp;$C$7,BD!$A$3:$A$5001,"&lt;="&amp;$B223,BD!$Y$3:$Y$5001,"&lt;&gt;"))))</f>
        <v/>
      </c>
      <c r="N223" s="54" t="str">
        <f>IF(OR($B223="",$A223&gt;$B$9,N$210=""),"",IF(COUNTIFS(BD!$B$3:$B$5001,N$210,BD!$A$3:$A$5001,"&gt;="&amp;$C$7,BD!$A$3:$A$5001,"&lt;="&amp;$B223,BD!$Y$3:$Y$5001,"&lt;&gt;")=0,"",SUMIFS(BD!$Y$3:$Y$5001,BD!$B$3:$B$5001,N$210,BD!$A$3:$A$5001,_xlfn.MAXIFS(BD!$A$3:$A$5001,BD!$B$3:$B$5001,N$210,BD!$A$3:$A$5001,"&gt;="&amp;$C$7,BD!$A$3:$A$5001,"&lt;="&amp;$B223,BD!$Y$3:$Y$5001,"&lt;&gt;"))))</f>
        <v/>
      </c>
      <c r="O223" s="54" t="str">
        <f>IF(OR($B223="",$A223&gt;$B$9,O$210=""),"",IF(COUNTIFS(BD!$B$3:$B$5001,O$210,BD!$A$3:$A$5001,"&gt;="&amp;$C$7,BD!$A$3:$A$5001,"&lt;="&amp;$B223,BD!$Y$3:$Y$5001,"&lt;&gt;")=0,"",SUMIFS(BD!$Y$3:$Y$5001,BD!$B$3:$B$5001,O$210,BD!$A$3:$A$5001,_xlfn.MAXIFS(BD!$A$3:$A$5001,BD!$B$3:$B$5001,O$210,BD!$A$3:$A$5001,"&gt;="&amp;$C$7,BD!$A$3:$A$5001,"&lt;="&amp;$B223,BD!$Y$3:$Y$5001,"&lt;&gt;"))))</f>
        <v/>
      </c>
      <c r="P223" s="54" t="str">
        <f>IF(OR($B223="",$A223&gt;$B$9,P$210=""),"",IF(COUNTIFS(BD!$B$3:$B$5001,P$210,BD!$A$3:$A$5001,"&gt;="&amp;$C$7,BD!$A$3:$A$5001,"&lt;="&amp;$B223,BD!$Y$3:$Y$5001,"&lt;&gt;")=0,"",SUMIFS(BD!$Y$3:$Y$5001,BD!$B$3:$B$5001,P$210,BD!$A$3:$A$5001,_xlfn.MAXIFS(BD!$A$3:$A$5001,BD!$B$3:$B$5001,P$210,BD!$A$3:$A$5001,"&gt;="&amp;$C$7,BD!$A$3:$A$5001,"&lt;="&amp;$B223,BD!$Y$3:$Y$5001,"&lt;&gt;"))))</f>
        <v/>
      </c>
      <c r="Q223" s="54" t="str">
        <f>IF(OR($B223="",$A223&gt;$B$9,Q$210=""),"",IF(COUNTIFS(BD!$B$3:$B$5001,Q$210,BD!$A$3:$A$5001,"&gt;="&amp;$C$7,BD!$A$3:$A$5001,"&lt;="&amp;$B223,BD!$Y$3:$Y$5001,"&lt;&gt;")=0,"",SUMIFS(BD!$Y$3:$Y$5001,BD!$B$3:$B$5001,Q$210,BD!$A$3:$A$5001,_xlfn.MAXIFS(BD!$A$3:$A$5001,BD!$B$3:$B$5001,Q$210,BD!$A$3:$A$5001,"&gt;="&amp;$C$7,BD!$A$3:$A$5001,"&lt;="&amp;$B223,BD!$Y$3:$Y$5001,"&lt;&gt;"))))</f>
        <v/>
      </c>
      <c r="R223" s="54" t="str">
        <f>IF(OR($B223="",$A223&gt;$B$9,R$210=""),"",IF(COUNTIFS(BD!$B$3:$B$5001,R$210,BD!$A$3:$A$5001,"&gt;="&amp;$C$7,BD!$A$3:$A$5001,"&lt;="&amp;$B223,BD!$Y$3:$Y$5001,"&lt;&gt;")=0,"",SUMIFS(BD!$Y$3:$Y$5001,BD!$B$3:$B$5001,R$210,BD!$A$3:$A$5001,_xlfn.MAXIFS(BD!$A$3:$A$5001,BD!$B$3:$B$5001,R$210,BD!$A$3:$A$5001,"&gt;="&amp;$C$7,BD!$A$3:$A$5001,"&lt;="&amp;$B223,BD!$Y$3:$Y$5001,"&lt;&gt;"))))</f>
        <v/>
      </c>
      <c r="S223" s="54" t="str">
        <f>IF(OR($B223="",$A223&gt;$B$9,S$210=""),"",IF(COUNTIFS(BD!$B$3:$B$5001,S$210,BD!$A$3:$A$5001,"&gt;="&amp;$C$7,BD!$A$3:$A$5001,"&lt;="&amp;$B223,BD!$Y$3:$Y$5001,"&lt;&gt;")=0,"",SUMIFS(BD!$Y$3:$Y$5001,BD!$B$3:$B$5001,S$210,BD!$A$3:$A$5001,_xlfn.MAXIFS(BD!$A$3:$A$5001,BD!$B$3:$B$5001,S$210,BD!$A$3:$A$5001,"&gt;="&amp;$C$7,BD!$A$3:$A$5001,"&lt;="&amp;$B223,BD!$Y$3:$Y$5001,"&lt;&gt;"))))</f>
        <v/>
      </c>
      <c r="T223" s="54" t="str">
        <f>IF(OR($B223="",$A223&gt;$B$9,T$210=""),"",IF(COUNTIFS(BD!$B$3:$B$5001,T$210,BD!$A$3:$A$5001,"&gt;="&amp;$C$7,BD!$A$3:$A$5001,"&lt;="&amp;$B223,BD!$Y$3:$Y$5001,"&lt;&gt;")=0,"",SUMIFS(BD!$Y$3:$Y$5001,BD!$B$3:$B$5001,T$210,BD!$A$3:$A$5001,_xlfn.MAXIFS(BD!$A$3:$A$5001,BD!$B$3:$B$5001,T$210,BD!$A$3:$A$5001,"&gt;="&amp;$C$7,BD!$A$3:$A$5001,"&lt;="&amp;$B223,BD!$Y$3:$Y$5001,"&lt;&gt;"))))</f>
        <v/>
      </c>
      <c r="U223" s="54" t="str">
        <f>IF(OR($B223="",$A223&gt;$B$9,U$210=""),"",IF(COUNTIFS(BD!$B$3:$B$5001,U$210,BD!$A$3:$A$5001,"&gt;="&amp;$C$7,BD!$A$3:$A$5001,"&lt;="&amp;$B223,BD!$Y$3:$Y$5001,"&lt;&gt;")=0,"",SUMIFS(BD!$Y$3:$Y$5001,BD!$B$3:$B$5001,U$210,BD!$A$3:$A$5001,_xlfn.MAXIFS(BD!$A$3:$A$5001,BD!$B$3:$B$5001,U$210,BD!$A$3:$A$5001,"&gt;="&amp;$C$7,BD!$A$3:$A$5001,"&lt;="&amp;$B223,BD!$Y$3:$Y$5001,"&lt;&gt;"))))</f>
        <v/>
      </c>
      <c r="V223" s="54" t="str">
        <f>IF(OR($B223="",$A223&gt;$B$9,V$210=""),"",IF(COUNTIFS(BD!$B$3:$B$5001,V$210,BD!$A$3:$A$5001,"&gt;="&amp;$C$7,BD!$A$3:$A$5001,"&lt;="&amp;$B223,BD!$Y$3:$Y$5001,"&lt;&gt;")=0,"",SUMIFS(BD!$Y$3:$Y$5001,BD!$B$3:$B$5001,V$210,BD!$A$3:$A$5001,_xlfn.MAXIFS(BD!$A$3:$A$5001,BD!$B$3:$B$5001,V$210,BD!$A$3:$A$5001,"&gt;="&amp;$C$7,BD!$A$3:$A$5001,"&lt;="&amp;$B223,BD!$Y$3:$Y$5001,"&lt;&gt;"))))</f>
        <v/>
      </c>
    </row>
    <row r="224">
      <c r="A224" s="48">
        <v>14</v>
      </c>
      <c r="B224" s="53">
        <f>$B$25</f>
        <v>46309</v>
      </c>
      <c r="C224" s="54" t="str">
        <f>IF(OR($B224="",$A224&gt;$B$9,C$210=""),"",IF(COUNTIFS(BD!$B$3:$B$5001,C$210,BD!$A$3:$A$5001,"&gt;="&amp;$C$7,BD!$A$3:$A$5001,"&lt;="&amp;$B224,BD!$Y$3:$Y$5001,"&lt;&gt;")=0,"",SUMIFS(BD!$Y$3:$Y$5001,BD!$B$3:$B$5001,C$210,BD!$A$3:$A$5001,_xlfn.MAXIFS(BD!$A$3:$A$5001,BD!$B$3:$B$5001,C$210,BD!$A$3:$A$5001,"&gt;="&amp;$C$7,BD!$A$3:$A$5001,"&lt;="&amp;$B224,BD!$Y$3:$Y$5001,"&lt;&gt;"))))</f>
        <v/>
      </c>
      <c r="D224" s="54" t="str">
        <f>IF(OR($B224="",$A224&gt;$B$9,D$210=""),"",IF(COUNTIFS(BD!$B$3:$B$5001,D$210,BD!$A$3:$A$5001,"&gt;="&amp;$C$7,BD!$A$3:$A$5001,"&lt;="&amp;$B224,BD!$Y$3:$Y$5001,"&lt;&gt;")=0,"",SUMIFS(BD!$Y$3:$Y$5001,BD!$B$3:$B$5001,D$210,BD!$A$3:$A$5001,_xlfn.MAXIFS(BD!$A$3:$A$5001,BD!$B$3:$B$5001,D$210,BD!$A$3:$A$5001,"&gt;="&amp;$C$7,BD!$A$3:$A$5001,"&lt;="&amp;$B224,BD!$Y$3:$Y$5001,"&lt;&gt;"))))</f>
        <v/>
      </c>
      <c r="E224" s="54" t="str">
        <f>IF(OR($B224="",$A224&gt;$B$9,E$210=""),"",IF(COUNTIFS(BD!$B$3:$B$5001,E$210,BD!$A$3:$A$5001,"&gt;="&amp;$C$7,BD!$A$3:$A$5001,"&lt;="&amp;$B224,BD!$Y$3:$Y$5001,"&lt;&gt;")=0,"",SUMIFS(BD!$Y$3:$Y$5001,BD!$B$3:$B$5001,E$210,BD!$A$3:$A$5001,_xlfn.MAXIFS(BD!$A$3:$A$5001,BD!$B$3:$B$5001,E$210,BD!$A$3:$A$5001,"&gt;="&amp;$C$7,BD!$A$3:$A$5001,"&lt;="&amp;$B224,BD!$Y$3:$Y$5001,"&lt;&gt;"))))</f>
        <v/>
      </c>
      <c r="F224" s="54" t="str">
        <f>IF(OR($B224="",$A224&gt;$B$9,F$210=""),"",IF(COUNTIFS(BD!$B$3:$B$5001,F$210,BD!$A$3:$A$5001,"&gt;="&amp;$C$7,BD!$A$3:$A$5001,"&lt;="&amp;$B224,BD!$Y$3:$Y$5001,"&lt;&gt;")=0,"",SUMIFS(BD!$Y$3:$Y$5001,BD!$B$3:$B$5001,F$210,BD!$A$3:$A$5001,_xlfn.MAXIFS(BD!$A$3:$A$5001,BD!$B$3:$B$5001,F$210,BD!$A$3:$A$5001,"&gt;="&amp;$C$7,BD!$A$3:$A$5001,"&lt;="&amp;$B224,BD!$Y$3:$Y$5001,"&lt;&gt;"))))</f>
        <v/>
      </c>
      <c r="G224" s="54" t="str">
        <f>IF(OR($B224="",$A224&gt;$B$9,G$210=""),"",IF(COUNTIFS(BD!$B$3:$B$5001,G$210,BD!$A$3:$A$5001,"&gt;="&amp;$C$7,BD!$A$3:$A$5001,"&lt;="&amp;$B224,BD!$Y$3:$Y$5001,"&lt;&gt;")=0,"",SUMIFS(BD!$Y$3:$Y$5001,BD!$B$3:$B$5001,G$210,BD!$A$3:$A$5001,_xlfn.MAXIFS(BD!$A$3:$A$5001,BD!$B$3:$B$5001,G$210,BD!$A$3:$A$5001,"&gt;="&amp;$C$7,BD!$A$3:$A$5001,"&lt;="&amp;$B224,BD!$Y$3:$Y$5001,"&lt;&gt;"))))</f>
        <v/>
      </c>
      <c r="H224" s="54" t="str">
        <f>IF(OR($B224="",$A224&gt;$B$9,H$210=""),"",IF(COUNTIFS(BD!$B$3:$B$5001,H$210,BD!$A$3:$A$5001,"&gt;="&amp;$C$7,BD!$A$3:$A$5001,"&lt;="&amp;$B224,BD!$Y$3:$Y$5001,"&lt;&gt;")=0,"",SUMIFS(BD!$Y$3:$Y$5001,BD!$B$3:$B$5001,H$210,BD!$A$3:$A$5001,_xlfn.MAXIFS(BD!$A$3:$A$5001,BD!$B$3:$B$5001,H$210,BD!$A$3:$A$5001,"&gt;="&amp;$C$7,BD!$A$3:$A$5001,"&lt;="&amp;$B224,BD!$Y$3:$Y$5001,"&lt;&gt;"))))</f>
        <v/>
      </c>
      <c r="I224" s="54" t="str">
        <f>IF(OR($B224="",$A224&gt;$B$9,I$210=""),"",IF(COUNTIFS(BD!$B$3:$B$5001,I$210,BD!$A$3:$A$5001,"&gt;="&amp;$C$7,BD!$A$3:$A$5001,"&lt;="&amp;$B224,BD!$Y$3:$Y$5001,"&lt;&gt;")=0,"",SUMIFS(BD!$Y$3:$Y$5001,BD!$B$3:$B$5001,I$210,BD!$A$3:$A$5001,_xlfn.MAXIFS(BD!$A$3:$A$5001,BD!$B$3:$B$5001,I$210,BD!$A$3:$A$5001,"&gt;="&amp;$C$7,BD!$A$3:$A$5001,"&lt;="&amp;$B224,BD!$Y$3:$Y$5001,"&lt;&gt;"))))</f>
        <v/>
      </c>
      <c r="J224" s="54" t="str">
        <f>IF(OR($B224="",$A224&gt;$B$9,J$210=""),"",IF(COUNTIFS(BD!$B$3:$B$5001,J$210,BD!$A$3:$A$5001,"&gt;="&amp;$C$7,BD!$A$3:$A$5001,"&lt;="&amp;$B224,BD!$Y$3:$Y$5001,"&lt;&gt;")=0,"",SUMIFS(BD!$Y$3:$Y$5001,BD!$B$3:$B$5001,J$210,BD!$A$3:$A$5001,_xlfn.MAXIFS(BD!$A$3:$A$5001,BD!$B$3:$B$5001,J$210,BD!$A$3:$A$5001,"&gt;="&amp;$C$7,BD!$A$3:$A$5001,"&lt;="&amp;$B224,BD!$Y$3:$Y$5001,"&lt;&gt;"))))</f>
        <v/>
      </c>
      <c r="K224" s="54" t="str">
        <f>IF(OR($B224="",$A224&gt;$B$9,K$210=""),"",IF(COUNTIFS(BD!$B$3:$B$5001,K$210,BD!$A$3:$A$5001,"&gt;="&amp;$C$7,BD!$A$3:$A$5001,"&lt;="&amp;$B224,BD!$Y$3:$Y$5001,"&lt;&gt;")=0,"",SUMIFS(BD!$Y$3:$Y$5001,BD!$B$3:$B$5001,K$210,BD!$A$3:$A$5001,_xlfn.MAXIFS(BD!$A$3:$A$5001,BD!$B$3:$B$5001,K$210,BD!$A$3:$A$5001,"&gt;="&amp;$C$7,BD!$A$3:$A$5001,"&lt;="&amp;$B224,BD!$Y$3:$Y$5001,"&lt;&gt;"))))</f>
        <v/>
      </c>
      <c r="L224" s="54" t="str">
        <f>IF(OR($B224="",$A224&gt;$B$9,L$210=""),"",IF(COUNTIFS(BD!$B$3:$B$5001,L$210,BD!$A$3:$A$5001,"&gt;="&amp;$C$7,BD!$A$3:$A$5001,"&lt;="&amp;$B224,BD!$Y$3:$Y$5001,"&lt;&gt;")=0,"",SUMIFS(BD!$Y$3:$Y$5001,BD!$B$3:$B$5001,L$210,BD!$A$3:$A$5001,_xlfn.MAXIFS(BD!$A$3:$A$5001,BD!$B$3:$B$5001,L$210,BD!$A$3:$A$5001,"&gt;="&amp;$C$7,BD!$A$3:$A$5001,"&lt;="&amp;$B224,BD!$Y$3:$Y$5001,"&lt;&gt;"))))</f>
        <v/>
      </c>
      <c r="M224" s="54" t="str">
        <f>IF(OR($B224="",$A224&gt;$B$9,M$210=""),"",IF(COUNTIFS(BD!$B$3:$B$5001,M$210,BD!$A$3:$A$5001,"&gt;="&amp;$C$7,BD!$A$3:$A$5001,"&lt;="&amp;$B224,BD!$Y$3:$Y$5001,"&lt;&gt;")=0,"",SUMIFS(BD!$Y$3:$Y$5001,BD!$B$3:$B$5001,M$210,BD!$A$3:$A$5001,_xlfn.MAXIFS(BD!$A$3:$A$5001,BD!$B$3:$B$5001,M$210,BD!$A$3:$A$5001,"&gt;="&amp;$C$7,BD!$A$3:$A$5001,"&lt;="&amp;$B224,BD!$Y$3:$Y$5001,"&lt;&gt;"))))</f>
        <v/>
      </c>
      <c r="N224" s="54" t="str">
        <f>IF(OR($B224="",$A224&gt;$B$9,N$210=""),"",IF(COUNTIFS(BD!$B$3:$B$5001,N$210,BD!$A$3:$A$5001,"&gt;="&amp;$C$7,BD!$A$3:$A$5001,"&lt;="&amp;$B224,BD!$Y$3:$Y$5001,"&lt;&gt;")=0,"",SUMIFS(BD!$Y$3:$Y$5001,BD!$B$3:$B$5001,N$210,BD!$A$3:$A$5001,_xlfn.MAXIFS(BD!$A$3:$A$5001,BD!$B$3:$B$5001,N$210,BD!$A$3:$A$5001,"&gt;="&amp;$C$7,BD!$A$3:$A$5001,"&lt;="&amp;$B224,BD!$Y$3:$Y$5001,"&lt;&gt;"))))</f>
        <v/>
      </c>
      <c r="O224" s="54" t="str">
        <f>IF(OR($B224="",$A224&gt;$B$9,O$210=""),"",IF(COUNTIFS(BD!$B$3:$B$5001,O$210,BD!$A$3:$A$5001,"&gt;="&amp;$C$7,BD!$A$3:$A$5001,"&lt;="&amp;$B224,BD!$Y$3:$Y$5001,"&lt;&gt;")=0,"",SUMIFS(BD!$Y$3:$Y$5001,BD!$B$3:$B$5001,O$210,BD!$A$3:$A$5001,_xlfn.MAXIFS(BD!$A$3:$A$5001,BD!$B$3:$B$5001,O$210,BD!$A$3:$A$5001,"&gt;="&amp;$C$7,BD!$A$3:$A$5001,"&lt;="&amp;$B224,BD!$Y$3:$Y$5001,"&lt;&gt;"))))</f>
        <v/>
      </c>
      <c r="P224" s="54" t="str">
        <f>IF(OR($B224="",$A224&gt;$B$9,P$210=""),"",IF(COUNTIFS(BD!$B$3:$B$5001,P$210,BD!$A$3:$A$5001,"&gt;="&amp;$C$7,BD!$A$3:$A$5001,"&lt;="&amp;$B224,BD!$Y$3:$Y$5001,"&lt;&gt;")=0,"",SUMIFS(BD!$Y$3:$Y$5001,BD!$B$3:$B$5001,P$210,BD!$A$3:$A$5001,_xlfn.MAXIFS(BD!$A$3:$A$5001,BD!$B$3:$B$5001,P$210,BD!$A$3:$A$5001,"&gt;="&amp;$C$7,BD!$A$3:$A$5001,"&lt;="&amp;$B224,BD!$Y$3:$Y$5001,"&lt;&gt;"))))</f>
        <v/>
      </c>
      <c r="Q224" s="54" t="str">
        <f>IF(OR($B224="",$A224&gt;$B$9,Q$210=""),"",IF(COUNTIFS(BD!$B$3:$B$5001,Q$210,BD!$A$3:$A$5001,"&gt;="&amp;$C$7,BD!$A$3:$A$5001,"&lt;="&amp;$B224,BD!$Y$3:$Y$5001,"&lt;&gt;")=0,"",SUMIFS(BD!$Y$3:$Y$5001,BD!$B$3:$B$5001,Q$210,BD!$A$3:$A$5001,_xlfn.MAXIFS(BD!$A$3:$A$5001,BD!$B$3:$B$5001,Q$210,BD!$A$3:$A$5001,"&gt;="&amp;$C$7,BD!$A$3:$A$5001,"&lt;="&amp;$B224,BD!$Y$3:$Y$5001,"&lt;&gt;"))))</f>
        <v/>
      </c>
      <c r="R224" s="54" t="str">
        <f>IF(OR($B224="",$A224&gt;$B$9,R$210=""),"",IF(COUNTIFS(BD!$B$3:$B$5001,R$210,BD!$A$3:$A$5001,"&gt;="&amp;$C$7,BD!$A$3:$A$5001,"&lt;="&amp;$B224,BD!$Y$3:$Y$5001,"&lt;&gt;")=0,"",SUMIFS(BD!$Y$3:$Y$5001,BD!$B$3:$B$5001,R$210,BD!$A$3:$A$5001,_xlfn.MAXIFS(BD!$A$3:$A$5001,BD!$B$3:$B$5001,R$210,BD!$A$3:$A$5001,"&gt;="&amp;$C$7,BD!$A$3:$A$5001,"&lt;="&amp;$B224,BD!$Y$3:$Y$5001,"&lt;&gt;"))))</f>
        <v/>
      </c>
      <c r="S224" s="54" t="str">
        <f>IF(OR($B224="",$A224&gt;$B$9,S$210=""),"",IF(COUNTIFS(BD!$B$3:$B$5001,S$210,BD!$A$3:$A$5001,"&gt;="&amp;$C$7,BD!$A$3:$A$5001,"&lt;="&amp;$B224,BD!$Y$3:$Y$5001,"&lt;&gt;")=0,"",SUMIFS(BD!$Y$3:$Y$5001,BD!$B$3:$B$5001,S$210,BD!$A$3:$A$5001,_xlfn.MAXIFS(BD!$A$3:$A$5001,BD!$B$3:$B$5001,S$210,BD!$A$3:$A$5001,"&gt;="&amp;$C$7,BD!$A$3:$A$5001,"&lt;="&amp;$B224,BD!$Y$3:$Y$5001,"&lt;&gt;"))))</f>
        <v/>
      </c>
      <c r="T224" s="54" t="str">
        <f>IF(OR($B224="",$A224&gt;$B$9,T$210=""),"",IF(COUNTIFS(BD!$B$3:$B$5001,T$210,BD!$A$3:$A$5001,"&gt;="&amp;$C$7,BD!$A$3:$A$5001,"&lt;="&amp;$B224,BD!$Y$3:$Y$5001,"&lt;&gt;")=0,"",SUMIFS(BD!$Y$3:$Y$5001,BD!$B$3:$B$5001,T$210,BD!$A$3:$A$5001,_xlfn.MAXIFS(BD!$A$3:$A$5001,BD!$B$3:$B$5001,T$210,BD!$A$3:$A$5001,"&gt;="&amp;$C$7,BD!$A$3:$A$5001,"&lt;="&amp;$B224,BD!$Y$3:$Y$5001,"&lt;&gt;"))))</f>
        <v/>
      </c>
      <c r="U224" s="54" t="str">
        <f>IF(OR($B224="",$A224&gt;$B$9,U$210=""),"",IF(COUNTIFS(BD!$B$3:$B$5001,U$210,BD!$A$3:$A$5001,"&gt;="&amp;$C$7,BD!$A$3:$A$5001,"&lt;="&amp;$B224,BD!$Y$3:$Y$5001,"&lt;&gt;")=0,"",SUMIFS(BD!$Y$3:$Y$5001,BD!$B$3:$B$5001,U$210,BD!$A$3:$A$5001,_xlfn.MAXIFS(BD!$A$3:$A$5001,BD!$B$3:$B$5001,U$210,BD!$A$3:$A$5001,"&gt;="&amp;$C$7,BD!$A$3:$A$5001,"&lt;="&amp;$B224,BD!$Y$3:$Y$5001,"&lt;&gt;"))))</f>
        <v/>
      </c>
      <c r="V224" s="54" t="str">
        <f>IF(OR($B224="",$A224&gt;$B$9,V$210=""),"",IF(COUNTIFS(BD!$B$3:$B$5001,V$210,BD!$A$3:$A$5001,"&gt;="&amp;$C$7,BD!$A$3:$A$5001,"&lt;="&amp;$B224,BD!$Y$3:$Y$5001,"&lt;&gt;")=0,"",SUMIFS(BD!$Y$3:$Y$5001,BD!$B$3:$B$5001,V$210,BD!$A$3:$A$5001,_xlfn.MAXIFS(BD!$A$3:$A$5001,BD!$B$3:$B$5001,V$210,BD!$A$3:$A$5001,"&gt;="&amp;$C$7,BD!$A$3:$A$5001,"&lt;="&amp;$B224,BD!$Y$3:$Y$5001,"&lt;&gt;"))))</f>
        <v/>
      </c>
    </row>
    <row r="225">
      <c r="A225" s="48">
        <v>15</v>
      </c>
      <c r="B225" s="53">
        <f>$B$26</f>
        <v>46310</v>
      </c>
      <c r="C225" s="54" t="str">
        <f>IF(OR($B225="",$A225&gt;$B$9,C$210=""),"",IF(COUNTIFS(BD!$B$3:$B$5001,C$210,BD!$A$3:$A$5001,"&gt;="&amp;$C$7,BD!$A$3:$A$5001,"&lt;="&amp;$B225,BD!$Y$3:$Y$5001,"&lt;&gt;")=0,"",SUMIFS(BD!$Y$3:$Y$5001,BD!$B$3:$B$5001,C$210,BD!$A$3:$A$5001,_xlfn.MAXIFS(BD!$A$3:$A$5001,BD!$B$3:$B$5001,C$210,BD!$A$3:$A$5001,"&gt;="&amp;$C$7,BD!$A$3:$A$5001,"&lt;="&amp;$B225,BD!$Y$3:$Y$5001,"&lt;&gt;"))))</f>
        <v/>
      </c>
      <c r="D225" s="54" t="str">
        <f>IF(OR($B225="",$A225&gt;$B$9,D$210=""),"",IF(COUNTIFS(BD!$B$3:$B$5001,D$210,BD!$A$3:$A$5001,"&gt;="&amp;$C$7,BD!$A$3:$A$5001,"&lt;="&amp;$B225,BD!$Y$3:$Y$5001,"&lt;&gt;")=0,"",SUMIFS(BD!$Y$3:$Y$5001,BD!$B$3:$B$5001,D$210,BD!$A$3:$A$5001,_xlfn.MAXIFS(BD!$A$3:$A$5001,BD!$B$3:$B$5001,D$210,BD!$A$3:$A$5001,"&gt;="&amp;$C$7,BD!$A$3:$A$5001,"&lt;="&amp;$B225,BD!$Y$3:$Y$5001,"&lt;&gt;"))))</f>
        <v/>
      </c>
      <c r="E225" s="54" t="str">
        <f>IF(OR($B225="",$A225&gt;$B$9,E$210=""),"",IF(COUNTIFS(BD!$B$3:$B$5001,E$210,BD!$A$3:$A$5001,"&gt;="&amp;$C$7,BD!$A$3:$A$5001,"&lt;="&amp;$B225,BD!$Y$3:$Y$5001,"&lt;&gt;")=0,"",SUMIFS(BD!$Y$3:$Y$5001,BD!$B$3:$B$5001,E$210,BD!$A$3:$A$5001,_xlfn.MAXIFS(BD!$A$3:$A$5001,BD!$B$3:$B$5001,E$210,BD!$A$3:$A$5001,"&gt;="&amp;$C$7,BD!$A$3:$A$5001,"&lt;="&amp;$B225,BD!$Y$3:$Y$5001,"&lt;&gt;"))))</f>
        <v/>
      </c>
      <c r="F225" s="54" t="str">
        <f>IF(OR($B225="",$A225&gt;$B$9,F$210=""),"",IF(COUNTIFS(BD!$B$3:$B$5001,F$210,BD!$A$3:$A$5001,"&gt;="&amp;$C$7,BD!$A$3:$A$5001,"&lt;="&amp;$B225,BD!$Y$3:$Y$5001,"&lt;&gt;")=0,"",SUMIFS(BD!$Y$3:$Y$5001,BD!$B$3:$B$5001,F$210,BD!$A$3:$A$5001,_xlfn.MAXIFS(BD!$A$3:$A$5001,BD!$B$3:$B$5001,F$210,BD!$A$3:$A$5001,"&gt;="&amp;$C$7,BD!$A$3:$A$5001,"&lt;="&amp;$B225,BD!$Y$3:$Y$5001,"&lt;&gt;"))))</f>
        <v/>
      </c>
      <c r="G225" s="54" t="str">
        <f>IF(OR($B225="",$A225&gt;$B$9,G$210=""),"",IF(COUNTIFS(BD!$B$3:$B$5001,G$210,BD!$A$3:$A$5001,"&gt;="&amp;$C$7,BD!$A$3:$A$5001,"&lt;="&amp;$B225,BD!$Y$3:$Y$5001,"&lt;&gt;")=0,"",SUMIFS(BD!$Y$3:$Y$5001,BD!$B$3:$B$5001,G$210,BD!$A$3:$A$5001,_xlfn.MAXIFS(BD!$A$3:$A$5001,BD!$B$3:$B$5001,G$210,BD!$A$3:$A$5001,"&gt;="&amp;$C$7,BD!$A$3:$A$5001,"&lt;="&amp;$B225,BD!$Y$3:$Y$5001,"&lt;&gt;"))))</f>
        <v/>
      </c>
      <c r="H225" s="54" t="str">
        <f>IF(OR($B225="",$A225&gt;$B$9,H$210=""),"",IF(COUNTIFS(BD!$B$3:$B$5001,H$210,BD!$A$3:$A$5001,"&gt;="&amp;$C$7,BD!$A$3:$A$5001,"&lt;="&amp;$B225,BD!$Y$3:$Y$5001,"&lt;&gt;")=0,"",SUMIFS(BD!$Y$3:$Y$5001,BD!$B$3:$B$5001,H$210,BD!$A$3:$A$5001,_xlfn.MAXIFS(BD!$A$3:$A$5001,BD!$B$3:$B$5001,H$210,BD!$A$3:$A$5001,"&gt;="&amp;$C$7,BD!$A$3:$A$5001,"&lt;="&amp;$B225,BD!$Y$3:$Y$5001,"&lt;&gt;"))))</f>
        <v/>
      </c>
      <c r="I225" s="54" t="str">
        <f>IF(OR($B225="",$A225&gt;$B$9,I$210=""),"",IF(COUNTIFS(BD!$B$3:$B$5001,I$210,BD!$A$3:$A$5001,"&gt;="&amp;$C$7,BD!$A$3:$A$5001,"&lt;="&amp;$B225,BD!$Y$3:$Y$5001,"&lt;&gt;")=0,"",SUMIFS(BD!$Y$3:$Y$5001,BD!$B$3:$B$5001,I$210,BD!$A$3:$A$5001,_xlfn.MAXIFS(BD!$A$3:$A$5001,BD!$B$3:$B$5001,I$210,BD!$A$3:$A$5001,"&gt;="&amp;$C$7,BD!$A$3:$A$5001,"&lt;="&amp;$B225,BD!$Y$3:$Y$5001,"&lt;&gt;"))))</f>
        <v/>
      </c>
      <c r="J225" s="54" t="str">
        <f>IF(OR($B225="",$A225&gt;$B$9,J$210=""),"",IF(COUNTIFS(BD!$B$3:$B$5001,J$210,BD!$A$3:$A$5001,"&gt;="&amp;$C$7,BD!$A$3:$A$5001,"&lt;="&amp;$B225,BD!$Y$3:$Y$5001,"&lt;&gt;")=0,"",SUMIFS(BD!$Y$3:$Y$5001,BD!$B$3:$B$5001,J$210,BD!$A$3:$A$5001,_xlfn.MAXIFS(BD!$A$3:$A$5001,BD!$B$3:$B$5001,J$210,BD!$A$3:$A$5001,"&gt;="&amp;$C$7,BD!$A$3:$A$5001,"&lt;="&amp;$B225,BD!$Y$3:$Y$5001,"&lt;&gt;"))))</f>
        <v/>
      </c>
      <c r="K225" s="54" t="str">
        <f>IF(OR($B225="",$A225&gt;$B$9,K$210=""),"",IF(COUNTIFS(BD!$B$3:$B$5001,K$210,BD!$A$3:$A$5001,"&gt;="&amp;$C$7,BD!$A$3:$A$5001,"&lt;="&amp;$B225,BD!$Y$3:$Y$5001,"&lt;&gt;")=0,"",SUMIFS(BD!$Y$3:$Y$5001,BD!$B$3:$B$5001,K$210,BD!$A$3:$A$5001,_xlfn.MAXIFS(BD!$A$3:$A$5001,BD!$B$3:$B$5001,K$210,BD!$A$3:$A$5001,"&gt;="&amp;$C$7,BD!$A$3:$A$5001,"&lt;="&amp;$B225,BD!$Y$3:$Y$5001,"&lt;&gt;"))))</f>
        <v/>
      </c>
      <c r="L225" s="54" t="str">
        <f>IF(OR($B225="",$A225&gt;$B$9,L$210=""),"",IF(COUNTIFS(BD!$B$3:$B$5001,L$210,BD!$A$3:$A$5001,"&gt;="&amp;$C$7,BD!$A$3:$A$5001,"&lt;="&amp;$B225,BD!$Y$3:$Y$5001,"&lt;&gt;")=0,"",SUMIFS(BD!$Y$3:$Y$5001,BD!$B$3:$B$5001,L$210,BD!$A$3:$A$5001,_xlfn.MAXIFS(BD!$A$3:$A$5001,BD!$B$3:$B$5001,L$210,BD!$A$3:$A$5001,"&gt;="&amp;$C$7,BD!$A$3:$A$5001,"&lt;="&amp;$B225,BD!$Y$3:$Y$5001,"&lt;&gt;"))))</f>
        <v/>
      </c>
      <c r="M225" s="54" t="str">
        <f>IF(OR($B225="",$A225&gt;$B$9,M$210=""),"",IF(COUNTIFS(BD!$B$3:$B$5001,M$210,BD!$A$3:$A$5001,"&gt;="&amp;$C$7,BD!$A$3:$A$5001,"&lt;="&amp;$B225,BD!$Y$3:$Y$5001,"&lt;&gt;")=0,"",SUMIFS(BD!$Y$3:$Y$5001,BD!$B$3:$B$5001,M$210,BD!$A$3:$A$5001,_xlfn.MAXIFS(BD!$A$3:$A$5001,BD!$B$3:$B$5001,M$210,BD!$A$3:$A$5001,"&gt;="&amp;$C$7,BD!$A$3:$A$5001,"&lt;="&amp;$B225,BD!$Y$3:$Y$5001,"&lt;&gt;"))))</f>
        <v/>
      </c>
      <c r="N225" s="54" t="str">
        <f>IF(OR($B225="",$A225&gt;$B$9,N$210=""),"",IF(COUNTIFS(BD!$B$3:$B$5001,N$210,BD!$A$3:$A$5001,"&gt;="&amp;$C$7,BD!$A$3:$A$5001,"&lt;="&amp;$B225,BD!$Y$3:$Y$5001,"&lt;&gt;")=0,"",SUMIFS(BD!$Y$3:$Y$5001,BD!$B$3:$B$5001,N$210,BD!$A$3:$A$5001,_xlfn.MAXIFS(BD!$A$3:$A$5001,BD!$B$3:$B$5001,N$210,BD!$A$3:$A$5001,"&gt;="&amp;$C$7,BD!$A$3:$A$5001,"&lt;="&amp;$B225,BD!$Y$3:$Y$5001,"&lt;&gt;"))))</f>
        <v/>
      </c>
      <c r="O225" s="54" t="str">
        <f>IF(OR($B225="",$A225&gt;$B$9,O$210=""),"",IF(COUNTIFS(BD!$B$3:$B$5001,O$210,BD!$A$3:$A$5001,"&gt;="&amp;$C$7,BD!$A$3:$A$5001,"&lt;="&amp;$B225,BD!$Y$3:$Y$5001,"&lt;&gt;")=0,"",SUMIFS(BD!$Y$3:$Y$5001,BD!$B$3:$B$5001,O$210,BD!$A$3:$A$5001,_xlfn.MAXIFS(BD!$A$3:$A$5001,BD!$B$3:$B$5001,O$210,BD!$A$3:$A$5001,"&gt;="&amp;$C$7,BD!$A$3:$A$5001,"&lt;="&amp;$B225,BD!$Y$3:$Y$5001,"&lt;&gt;"))))</f>
        <v/>
      </c>
      <c r="P225" s="54" t="str">
        <f>IF(OR($B225="",$A225&gt;$B$9,P$210=""),"",IF(COUNTIFS(BD!$B$3:$B$5001,P$210,BD!$A$3:$A$5001,"&gt;="&amp;$C$7,BD!$A$3:$A$5001,"&lt;="&amp;$B225,BD!$Y$3:$Y$5001,"&lt;&gt;")=0,"",SUMIFS(BD!$Y$3:$Y$5001,BD!$B$3:$B$5001,P$210,BD!$A$3:$A$5001,_xlfn.MAXIFS(BD!$A$3:$A$5001,BD!$B$3:$B$5001,P$210,BD!$A$3:$A$5001,"&gt;="&amp;$C$7,BD!$A$3:$A$5001,"&lt;="&amp;$B225,BD!$Y$3:$Y$5001,"&lt;&gt;"))))</f>
        <v/>
      </c>
      <c r="Q225" s="54" t="str">
        <f>IF(OR($B225="",$A225&gt;$B$9,Q$210=""),"",IF(COUNTIFS(BD!$B$3:$B$5001,Q$210,BD!$A$3:$A$5001,"&gt;="&amp;$C$7,BD!$A$3:$A$5001,"&lt;="&amp;$B225,BD!$Y$3:$Y$5001,"&lt;&gt;")=0,"",SUMIFS(BD!$Y$3:$Y$5001,BD!$B$3:$B$5001,Q$210,BD!$A$3:$A$5001,_xlfn.MAXIFS(BD!$A$3:$A$5001,BD!$B$3:$B$5001,Q$210,BD!$A$3:$A$5001,"&gt;="&amp;$C$7,BD!$A$3:$A$5001,"&lt;="&amp;$B225,BD!$Y$3:$Y$5001,"&lt;&gt;"))))</f>
        <v/>
      </c>
      <c r="R225" s="54" t="str">
        <f>IF(OR($B225="",$A225&gt;$B$9,R$210=""),"",IF(COUNTIFS(BD!$B$3:$B$5001,R$210,BD!$A$3:$A$5001,"&gt;="&amp;$C$7,BD!$A$3:$A$5001,"&lt;="&amp;$B225,BD!$Y$3:$Y$5001,"&lt;&gt;")=0,"",SUMIFS(BD!$Y$3:$Y$5001,BD!$B$3:$B$5001,R$210,BD!$A$3:$A$5001,_xlfn.MAXIFS(BD!$A$3:$A$5001,BD!$B$3:$B$5001,R$210,BD!$A$3:$A$5001,"&gt;="&amp;$C$7,BD!$A$3:$A$5001,"&lt;="&amp;$B225,BD!$Y$3:$Y$5001,"&lt;&gt;"))))</f>
        <v/>
      </c>
      <c r="S225" s="54" t="str">
        <f>IF(OR($B225="",$A225&gt;$B$9,S$210=""),"",IF(COUNTIFS(BD!$B$3:$B$5001,S$210,BD!$A$3:$A$5001,"&gt;="&amp;$C$7,BD!$A$3:$A$5001,"&lt;="&amp;$B225,BD!$Y$3:$Y$5001,"&lt;&gt;")=0,"",SUMIFS(BD!$Y$3:$Y$5001,BD!$B$3:$B$5001,S$210,BD!$A$3:$A$5001,_xlfn.MAXIFS(BD!$A$3:$A$5001,BD!$B$3:$B$5001,S$210,BD!$A$3:$A$5001,"&gt;="&amp;$C$7,BD!$A$3:$A$5001,"&lt;="&amp;$B225,BD!$Y$3:$Y$5001,"&lt;&gt;"))))</f>
        <v/>
      </c>
      <c r="T225" s="54" t="str">
        <f>IF(OR($B225="",$A225&gt;$B$9,T$210=""),"",IF(COUNTIFS(BD!$B$3:$B$5001,T$210,BD!$A$3:$A$5001,"&gt;="&amp;$C$7,BD!$A$3:$A$5001,"&lt;="&amp;$B225,BD!$Y$3:$Y$5001,"&lt;&gt;")=0,"",SUMIFS(BD!$Y$3:$Y$5001,BD!$B$3:$B$5001,T$210,BD!$A$3:$A$5001,_xlfn.MAXIFS(BD!$A$3:$A$5001,BD!$B$3:$B$5001,T$210,BD!$A$3:$A$5001,"&gt;="&amp;$C$7,BD!$A$3:$A$5001,"&lt;="&amp;$B225,BD!$Y$3:$Y$5001,"&lt;&gt;"))))</f>
        <v/>
      </c>
      <c r="U225" s="54" t="str">
        <f>IF(OR($B225="",$A225&gt;$B$9,U$210=""),"",IF(COUNTIFS(BD!$B$3:$B$5001,U$210,BD!$A$3:$A$5001,"&gt;="&amp;$C$7,BD!$A$3:$A$5001,"&lt;="&amp;$B225,BD!$Y$3:$Y$5001,"&lt;&gt;")=0,"",SUMIFS(BD!$Y$3:$Y$5001,BD!$B$3:$B$5001,U$210,BD!$A$3:$A$5001,_xlfn.MAXIFS(BD!$A$3:$A$5001,BD!$B$3:$B$5001,U$210,BD!$A$3:$A$5001,"&gt;="&amp;$C$7,BD!$A$3:$A$5001,"&lt;="&amp;$B225,BD!$Y$3:$Y$5001,"&lt;&gt;"))))</f>
        <v/>
      </c>
      <c r="V225" s="54" t="str">
        <f>IF(OR($B225="",$A225&gt;$B$9,V$210=""),"",IF(COUNTIFS(BD!$B$3:$B$5001,V$210,BD!$A$3:$A$5001,"&gt;="&amp;$C$7,BD!$A$3:$A$5001,"&lt;="&amp;$B225,BD!$Y$3:$Y$5001,"&lt;&gt;")=0,"",SUMIFS(BD!$Y$3:$Y$5001,BD!$B$3:$B$5001,V$210,BD!$A$3:$A$5001,_xlfn.MAXIFS(BD!$A$3:$A$5001,BD!$B$3:$B$5001,V$210,BD!$A$3:$A$5001,"&gt;="&amp;$C$7,BD!$A$3:$A$5001,"&lt;="&amp;$B225,BD!$Y$3:$Y$5001,"&lt;&gt;"))))</f>
        <v/>
      </c>
    </row>
    <row r="226">
      <c r="A226" s="48">
        <v>16</v>
      </c>
      <c r="B226" s="53">
        <f>$B$27</f>
        <v>46311</v>
      </c>
      <c r="C226" s="54" t="str">
        <f>IF(OR($B226="",$A226&gt;$B$9,C$210=""),"",IF(COUNTIFS(BD!$B$3:$B$5001,C$210,BD!$A$3:$A$5001,"&gt;="&amp;$C$7,BD!$A$3:$A$5001,"&lt;="&amp;$B226,BD!$Y$3:$Y$5001,"&lt;&gt;")=0,"",SUMIFS(BD!$Y$3:$Y$5001,BD!$B$3:$B$5001,C$210,BD!$A$3:$A$5001,_xlfn.MAXIFS(BD!$A$3:$A$5001,BD!$B$3:$B$5001,C$210,BD!$A$3:$A$5001,"&gt;="&amp;$C$7,BD!$A$3:$A$5001,"&lt;="&amp;$B226,BD!$Y$3:$Y$5001,"&lt;&gt;"))))</f>
        <v/>
      </c>
      <c r="D226" s="54" t="str">
        <f>IF(OR($B226="",$A226&gt;$B$9,D$210=""),"",IF(COUNTIFS(BD!$B$3:$B$5001,D$210,BD!$A$3:$A$5001,"&gt;="&amp;$C$7,BD!$A$3:$A$5001,"&lt;="&amp;$B226,BD!$Y$3:$Y$5001,"&lt;&gt;")=0,"",SUMIFS(BD!$Y$3:$Y$5001,BD!$B$3:$B$5001,D$210,BD!$A$3:$A$5001,_xlfn.MAXIFS(BD!$A$3:$A$5001,BD!$B$3:$B$5001,D$210,BD!$A$3:$A$5001,"&gt;="&amp;$C$7,BD!$A$3:$A$5001,"&lt;="&amp;$B226,BD!$Y$3:$Y$5001,"&lt;&gt;"))))</f>
        <v/>
      </c>
      <c r="E226" s="54" t="str">
        <f>IF(OR($B226="",$A226&gt;$B$9,E$210=""),"",IF(COUNTIFS(BD!$B$3:$B$5001,E$210,BD!$A$3:$A$5001,"&gt;="&amp;$C$7,BD!$A$3:$A$5001,"&lt;="&amp;$B226,BD!$Y$3:$Y$5001,"&lt;&gt;")=0,"",SUMIFS(BD!$Y$3:$Y$5001,BD!$B$3:$B$5001,E$210,BD!$A$3:$A$5001,_xlfn.MAXIFS(BD!$A$3:$A$5001,BD!$B$3:$B$5001,E$210,BD!$A$3:$A$5001,"&gt;="&amp;$C$7,BD!$A$3:$A$5001,"&lt;="&amp;$B226,BD!$Y$3:$Y$5001,"&lt;&gt;"))))</f>
        <v/>
      </c>
      <c r="F226" s="54" t="str">
        <f>IF(OR($B226="",$A226&gt;$B$9,F$210=""),"",IF(COUNTIFS(BD!$B$3:$B$5001,F$210,BD!$A$3:$A$5001,"&gt;="&amp;$C$7,BD!$A$3:$A$5001,"&lt;="&amp;$B226,BD!$Y$3:$Y$5001,"&lt;&gt;")=0,"",SUMIFS(BD!$Y$3:$Y$5001,BD!$B$3:$B$5001,F$210,BD!$A$3:$A$5001,_xlfn.MAXIFS(BD!$A$3:$A$5001,BD!$B$3:$B$5001,F$210,BD!$A$3:$A$5001,"&gt;="&amp;$C$7,BD!$A$3:$A$5001,"&lt;="&amp;$B226,BD!$Y$3:$Y$5001,"&lt;&gt;"))))</f>
        <v/>
      </c>
      <c r="G226" s="54" t="str">
        <f>IF(OR($B226="",$A226&gt;$B$9,G$210=""),"",IF(COUNTIFS(BD!$B$3:$B$5001,G$210,BD!$A$3:$A$5001,"&gt;="&amp;$C$7,BD!$A$3:$A$5001,"&lt;="&amp;$B226,BD!$Y$3:$Y$5001,"&lt;&gt;")=0,"",SUMIFS(BD!$Y$3:$Y$5001,BD!$B$3:$B$5001,G$210,BD!$A$3:$A$5001,_xlfn.MAXIFS(BD!$A$3:$A$5001,BD!$B$3:$B$5001,G$210,BD!$A$3:$A$5001,"&gt;="&amp;$C$7,BD!$A$3:$A$5001,"&lt;="&amp;$B226,BD!$Y$3:$Y$5001,"&lt;&gt;"))))</f>
        <v/>
      </c>
      <c r="H226" s="54" t="str">
        <f>IF(OR($B226="",$A226&gt;$B$9,H$210=""),"",IF(COUNTIFS(BD!$B$3:$B$5001,H$210,BD!$A$3:$A$5001,"&gt;="&amp;$C$7,BD!$A$3:$A$5001,"&lt;="&amp;$B226,BD!$Y$3:$Y$5001,"&lt;&gt;")=0,"",SUMIFS(BD!$Y$3:$Y$5001,BD!$B$3:$B$5001,H$210,BD!$A$3:$A$5001,_xlfn.MAXIFS(BD!$A$3:$A$5001,BD!$B$3:$B$5001,H$210,BD!$A$3:$A$5001,"&gt;="&amp;$C$7,BD!$A$3:$A$5001,"&lt;="&amp;$B226,BD!$Y$3:$Y$5001,"&lt;&gt;"))))</f>
        <v/>
      </c>
      <c r="I226" s="54" t="str">
        <f>IF(OR($B226="",$A226&gt;$B$9,I$210=""),"",IF(COUNTIFS(BD!$B$3:$B$5001,I$210,BD!$A$3:$A$5001,"&gt;="&amp;$C$7,BD!$A$3:$A$5001,"&lt;="&amp;$B226,BD!$Y$3:$Y$5001,"&lt;&gt;")=0,"",SUMIFS(BD!$Y$3:$Y$5001,BD!$B$3:$B$5001,I$210,BD!$A$3:$A$5001,_xlfn.MAXIFS(BD!$A$3:$A$5001,BD!$B$3:$B$5001,I$210,BD!$A$3:$A$5001,"&gt;="&amp;$C$7,BD!$A$3:$A$5001,"&lt;="&amp;$B226,BD!$Y$3:$Y$5001,"&lt;&gt;"))))</f>
        <v/>
      </c>
      <c r="J226" s="54" t="str">
        <f>IF(OR($B226="",$A226&gt;$B$9,J$210=""),"",IF(COUNTIFS(BD!$B$3:$B$5001,J$210,BD!$A$3:$A$5001,"&gt;="&amp;$C$7,BD!$A$3:$A$5001,"&lt;="&amp;$B226,BD!$Y$3:$Y$5001,"&lt;&gt;")=0,"",SUMIFS(BD!$Y$3:$Y$5001,BD!$B$3:$B$5001,J$210,BD!$A$3:$A$5001,_xlfn.MAXIFS(BD!$A$3:$A$5001,BD!$B$3:$B$5001,J$210,BD!$A$3:$A$5001,"&gt;="&amp;$C$7,BD!$A$3:$A$5001,"&lt;="&amp;$B226,BD!$Y$3:$Y$5001,"&lt;&gt;"))))</f>
        <v/>
      </c>
      <c r="K226" s="54" t="str">
        <f>IF(OR($B226="",$A226&gt;$B$9,K$210=""),"",IF(COUNTIFS(BD!$B$3:$B$5001,K$210,BD!$A$3:$A$5001,"&gt;="&amp;$C$7,BD!$A$3:$A$5001,"&lt;="&amp;$B226,BD!$Y$3:$Y$5001,"&lt;&gt;")=0,"",SUMIFS(BD!$Y$3:$Y$5001,BD!$B$3:$B$5001,K$210,BD!$A$3:$A$5001,_xlfn.MAXIFS(BD!$A$3:$A$5001,BD!$B$3:$B$5001,K$210,BD!$A$3:$A$5001,"&gt;="&amp;$C$7,BD!$A$3:$A$5001,"&lt;="&amp;$B226,BD!$Y$3:$Y$5001,"&lt;&gt;"))))</f>
        <v/>
      </c>
      <c r="L226" s="54" t="str">
        <f>IF(OR($B226="",$A226&gt;$B$9,L$210=""),"",IF(COUNTIFS(BD!$B$3:$B$5001,L$210,BD!$A$3:$A$5001,"&gt;="&amp;$C$7,BD!$A$3:$A$5001,"&lt;="&amp;$B226,BD!$Y$3:$Y$5001,"&lt;&gt;")=0,"",SUMIFS(BD!$Y$3:$Y$5001,BD!$B$3:$B$5001,L$210,BD!$A$3:$A$5001,_xlfn.MAXIFS(BD!$A$3:$A$5001,BD!$B$3:$B$5001,L$210,BD!$A$3:$A$5001,"&gt;="&amp;$C$7,BD!$A$3:$A$5001,"&lt;="&amp;$B226,BD!$Y$3:$Y$5001,"&lt;&gt;"))))</f>
        <v/>
      </c>
      <c r="M226" s="54" t="str">
        <f>IF(OR($B226="",$A226&gt;$B$9,M$210=""),"",IF(COUNTIFS(BD!$B$3:$B$5001,M$210,BD!$A$3:$A$5001,"&gt;="&amp;$C$7,BD!$A$3:$A$5001,"&lt;="&amp;$B226,BD!$Y$3:$Y$5001,"&lt;&gt;")=0,"",SUMIFS(BD!$Y$3:$Y$5001,BD!$B$3:$B$5001,M$210,BD!$A$3:$A$5001,_xlfn.MAXIFS(BD!$A$3:$A$5001,BD!$B$3:$B$5001,M$210,BD!$A$3:$A$5001,"&gt;="&amp;$C$7,BD!$A$3:$A$5001,"&lt;="&amp;$B226,BD!$Y$3:$Y$5001,"&lt;&gt;"))))</f>
        <v/>
      </c>
      <c r="N226" s="54" t="str">
        <f>IF(OR($B226="",$A226&gt;$B$9,N$210=""),"",IF(COUNTIFS(BD!$B$3:$B$5001,N$210,BD!$A$3:$A$5001,"&gt;="&amp;$C$7,BD!$A$3:$A$5001,"&lt;="&amp;$B226,BD!$Y$3:$Y$5001,"&lt;&gt;")=0,"",SUMIFS(BD!$Y$3:$Y$5001,BD!$B$3:$B$5001,N$210,BD!$A$3:$A$5001,_xlfn.MAXIFS(BD!$A$3:$A$5001,BD!$B$3:$B$5001,N$210,BD!$A$3:$A$5001,"&gt;="&amp;$C$7,BD!$A$3:$A$5001,"&lt;="&amp;$B226,BD!$Y$3:$Y$5001,"&lt;&gt;"))))</f>
        <v/>
      </c>
      <c r="O226" s="54" t="str">
        <f>IF(OR($B226="",$A226&gt;$B$9,O$210=""),"",IF(COUNTIFS(BD!$B$3:$B$5001,O$210,BD!$A$3:$A$5001,"&gt;="&amp;$C$7,BD!$A$3:$A$5001,"&lt;="&amp;$B226,BD!$Y$3:$Y$5001,"&lt;&gt;")=0,"",SUMIFS(BD!$Y$3:$Y$5001,BD!$B$3:$B$5001,O$210,BD!$A$3:$A$5001,_xlfn.MAXIFS(BD!$A$3:$A$5001,BD!$B$3:$B$5001,O$210,BD!$A$3:$A$5001,"&gt;="&amp;$C$7,BD!$A$3:$A$5001,"&lt;="&amp;$B226,BD!$Y$3:$Y$5001,"&lt;&gt;"))))</f>
        <v/>
      </c>
      <c r="P226" s="54" t="str">
        <f>IF(OR($B226="",$A226&gt;$B$9,P$210=""),"",IF(COUNTIFS(BD!$B$3:$B$5001,P$210,BD!$A$3:$A$5001,"&gt;="&amp;$C$7,BD!$A$3:$A$5001,"&lt;="&amp;$B226,BD!$Y$3:$Y$5001,"&lt;&gt;")=0,"",SUMIFS(BD!$Y$3:$Y$5001,BD!$B$3:$B$5001,P$210,BD!$A$3:$A$5001,_xlfn.MAXIFS(BD!$A$3:$A$5001,BD!$B$3:$B$5001,P$210,BD!$A$3:$A$5001,"&gt;="&amp;$C$7,BD!$A$3:$A$5001,"&lt;="&amp;$B226,BD!$Y$3:$Y$5001,"&lt;&gt;"))))</f>
        <v/>
      </c>
      <c r="Q226" s="54" t="str">
        <f>IF(OR($B226="",$A226&gt;$B$9,Q$210=""),"",IF(COUNTIFS(BD!$B$3:$B$5001,Q$210,BD!$A$3:$A$5001,"&gt;="&amp;$C$7,BD!$A$3:$A$5001,"&lt;="&amp;$B226,BD!$Y$3:$Y$5001,"&lt;&gt;")=0,"",SUMIFS(BD!$Y$3:$Y$5001,BD!$B$3:$B$5001,Q$210,BD!$A$3:$A$5001,_xlfn.MAXIFS(BD!$A$3:$A$5001,BD!$B$3:$B$5001,Q$210,BD!$A$3:$A$5001,"&gt;="&amp;$C$7,BD!$A$3:$A$5001,"&lt;="&amp;$B226,BD!$Y$3:$Y$5001,"&lt;&gt;"))))</f>
        <v/>
      </c>
      <c r="R226" s="54" t="str">
        <f>IF(OR($B226="",$A226&gt;$B$9,R$210=""),"",IF(COUNTIFS(BD!$B$3:$B$5001,R$210,BD!$A$3:$A$5001,"&gt;="&amp;$C$7,BD!$A$3:$A$5001,"&lt;="&amp;$B226,BD!$Y$3:$Y$5001,"&lt;&gt;")=0,"",SUMIFS(BD!$Y$3:$Y$5001,BD!$B$3:$B$5001,R$210,BD!$A$3:$A$5001,_xlfn.MAXIFS(BD!$A$3:$A$5001,BD!$B$3:$B$5001,R$210,BD!$A$3:$A$5001,"&gt;="&amp;$C$7,BD!$A$3:$A$5001,"&lt;="&amp;$B226,BD!$Y$3:$Y$5001,"&lt;&gt;"))))</f>
        <v/>
      </c>
      <c r="S226" s="54" t="str">
        <f>IF(OR($B226="",$A226&gt;$B$9,S$210=""),"",IF(COUNTIFS(BD!$B$3:$B$5001,S$210,BD!$A$3:$A$5001,"&gt;="&amp;$C$7,BD!$A$3:$A$5001,"&lt;="&amp;$B226,BD!$Y$3:$Y$5001,"&lt;&gt;")=0,"",SUMIFS(BD!$Y$3:$Y$5001,BD!$B$3:$B$5001,S$210,BD!$A$3:$A$5001,_xlfn.MAXIFS(BD!$A$3:$A$5001,BD!$B$3:$B$5001,S$210,BD!$A$3:$A$5001,"&gt;="&amp;$C$7,BD!$A$3:$A$5001,"&lt;="&amp;$B226,BD!$Y$3:$Y$5001,"&lt;&gt;"))))</f>
        <v/>
      </c>
      <c r="T226" s="54" t="str">
        <f>IF(OR($B226="",$A226&gt;$B$9,T$210=""),"",IF(COUNTIFS(BD!$B$3:$B$5001,T$210,BD!$A$3:$A$5001,"&gt;="&amp;$C$7,BD!$A$3:$A$5001,"&lt;="&amp;$B226,BD!$Y$3:$Y$5001,"&lt;&gt;")=0,"",SUMIFS(BD!$Y$3:$Y$5001,BD!$B$3:$B$5001,T$210,BD!$A$3:$A$5001,_xlfn.MAXIFS(BD!$A$3:$A$5001,BD!$B$3:$B$5001,T$210,BD!$A$3:$A$5001,"&gt;="&amp;$C$7,BD!$A$3:$A$5001,"&lt;="&amp;$B226,BD!$Y$3:$Y$5001,"&lt;&gt;"))))</f>
        <v/>
      </c>
      <c r="U226" s="54" t="str">
        <f>IF(OR($B226="",$A226&gt;$B$9,U$210=""),"",IF(COUNTIFS(BD!$B$3:$B$5001,U$210,BD!$A$3:$A$5001,"&gt;="&amp;$C$7,BD!$A$3:$A$5001,"&lt;="&amp;$B226,BD!$Y$3:$Y$5001,"&lt;&gt;")=0,"",SUMIFS(BD!$Y$3:$Y$5001,BD!$B$3:$B$5001,U$210,BD!$A$3:$A$5001,_xlfn.MAXIFS(BD!$A$3:$A$5001,BD!$B$3:$B$5001,U$210,BD!$A$3:$A$5001,"&gt;="&amp;$C$7,BD!$A$3:$A$5001,"&lt;="&amp;$B226,BD!$Y$3:$Y$5001,"&lt;&gt;"))))</f>
        <v/>
      </c>
      <c r="V226" s="54" t="str">
        <f>IF(OR($B226="",$A226&gt;$B$9,V$210=""),"",IF(COUNTIFS(BD!$B$3:$B$5001,V$210,BD!$A$3:$A$5001,"&gt;="&amp;$C$7,BD!$A$3:$A$5001,"&lt;="&amp;$B226,BD!$Y$3:$Y$5001,"&lt;&gt;")=0,"",SUMIFS(BD!$Y$3:$Y$5001,BD!$B$3:$B$5001,V$210,BD!$A$3:$A$5001,_xlfn.MAXIFS(BD!$A$3:$A$5001,BD!$B$3:$B$5001,V$210,BD!$A$3:$A$5001,"&gt;="&amp;$C$7,BD!$A$3:$A$5001,"&lt;="&amp;$B226,BD!$Y$3:$Y$5001,"&lt;&gt;"))))</f>
        <v/>
      </c>
    </row>
    <row r="227">
      <c r="A227" s="48">
        <v>17</v>
      </c>
      <c r="B227" s="53">
        <f>$B$28</f>
        <v>46312</v>
      </c>
      <c r="C227" s="54" t="str">
        <f>IF(OR($B227="",$A227&gt;$B$9,C$210=""),"",IF(COUNTIFS(BD!$B$3:$B$5001,C$210,BD!$A$3:$A$5001,"&gt;="&amp;$C$7,BD!$A$3:$A$5001,"&lt;="&amp;$B227,BD!$Y$3:$Y$5001,"&lt;&gt;")=0,"",SUMIFS(BD!$Y$3:$Y$5001,BD!$B$3:$B$5001,C$210,BD!$A$3:$A$5001,_xlfn.MAXIFS(BD!$A$3:$A$5001,BD!$B$3:$B$5001,C$210,BD!$A$3:$A$5001,"&gt;="&amp;$C$7,BD!$A$3:$A$5001,"&lt;="&amp;$B227,BD!$Y$3:$Y$5001,"&lt;&gt;"))))</f>
        <v/>
      </c>
      <c r="D227" s="54" t="str">
        <f>IF(OR($B227="",$A227&gt;$B$9,D$210=""),"",IF(COUNTIFS(BD!$B$3:$B$5001,D$210,BD!$A$3:$A$5001,"&gt;="&amp;$C$7,BD!$A$3:$A$5001,"&lt;="&amp;$B227,BD!$Y$3:$Y$5001,"&lt;&gt;")=0,"",SUMIFS(BD!$Y$3:$Y$5001,BD!$B$3:$B$5001,D$210,BD!$A$3:$A$5001,_xlfn.MAXIFS(BD!$A$3:$A$5001,BD!$B$3:$B$5001,D$210,BD!$A$3:$A$5001,"&gt;="&amp;$C$7,BD!$A$3:$A$5001,"&lt;="&amp;$B227,BD!$Y$3:$Y$5001,"&lt;&gt;"))))</f>
        <v/>
      </c>
      <c r="E227" s="54" t="str">
        <f>IF(OR($B227="",$A227&gt;$B$9,E$210=""),"",IF(COUNTIFS(BD!$B$3:$B$5001,E$210,BD!$A$3:$A$5001,"&gt;="&amp;$C$7,BD!$A$3:$A$5001,"&lt;="&amp;$B227,BD!$Y$3:$Y$5001,"&lt;&gt;")=0,"",SUMIFS(BD!$Y$3:$Y$5001,BD!$B$3:$B$5001,E$210,BD!$A$3:$A$5001,_xlfn.MAXIFS(BD!$A$3:$A$5001,BD!$B$3:$B$5001,E$210,BD!$A$3:$A$5001,"&gt;="&amp;$C$7,BD!$A$3:$A$5001,"&lt;="&amp;$B227,BD!$Y$3:$Y$5001,"&lt;&gt;"))))</f>
        <v/>
      </c>
      <c r="F227" s="54" t="str">
        <f>IF(OR($B227="",$A227&gt;$B$9,F$210=""),"",IF(COUNTIFS(BD!$B$3:$B$5001,F$210,BD!$A$3:$A$5001,"&gt;="&amp;$C$7,BD!$A$3:$A$5001,"&lt;="&amp;$B227,BD!$Y$3:$Y$5001,"&lt;&gt;")=0,"",SUMIFS(BD!$Y$3:$Y$5001,BD!$B$3:$B$5001,F$210,BD!$A$3:$A$5001,_xlfn.MAXIFS(BD!$A$3:$A$5001,BD!$B$3:$B$5001,F$210,BD!$A$3:$A$5001,"&gt;="&amp;$C$7,BD!$A$3:$A$5001,"&lt;="&amp;$B227,BD!$Y$3:$Y$5001,"&lt;&gt;"))))</f>
        <v/>
      </c>
      <c r="G227" s="54" t="str">
        <f>IF(OR($B227="",$A227&gt;$B$9,G$210=""),"",IF(COUNTIFS(BD!$B$3:$B$5001,G$210,BD!$A$3:$A$5001,"&gt;="&amp;$C$7,BD!$A$3:$A$5001,"&lt;="&amp;$B227,BD!$Y$3:$Y$5001,"&lt;&gt;")=0,"",SUMIFS(BD!$Y$3:$Y$5001,BD!$B$3:$B$5001,G$210,BD!$A$3:$A$5001,_xlfn.MAXIFS(BD!$A$3:$A$5001,BD!$B$3:$B$5001,G$210,BD!$A$3:$A$5001,"&gt;="&amp;$C$7,BD!$A$3:$A$5001,"&lt;="&amp;$B227,BD!$Y$3:$Y$5001,"&lt;&gt;"))))</f>
        <v/>
      </c>
      <c r="H227" s="54" t="str">
        <f>IF(OR($B227="",$A227&gt;$B$9,H$210=""),"",IF(COUNTIFS(BD!$B$3:$B$5001,H$210,BD!$A$3:$A$5001,"&gt;="&amp;$C$7,BD!$A$3:$A$5001,"&lt;="&amp;$B227,BD!$Y$3:$Y$5001,"&lt;&gt;")=0,"",SUMIFS(BD!$Y$3:$Y$5001,BD!$B$3:$B$5001,H$210,BD!$A$3:$A$5001,_xlfn.MAXIFS(BD!$A$3:$A$5001,BD!$B$3:$B$5001,H$210,BD!$A$3:$A$5001,"&gt;="&amp;$C$7,BD!$A$3:$A$5001,"&lt;="&amp;$B227,BD!$Y$3:$Y$5001,"&lt;&gt;"))))</f>
        <v/>
      </c>
      <c r="I227" s="54" t="str">
        <f>IF(OR($B227="",$A227&gt;$B$9,I$210=""),"",IF(COUNTIFS(BD!$B$3:$B$5001,I$210,BD!$A$3:$A$5001,"&gt;="&amp;$C$7,BD!$A$3:$A$5001,"&lt;="&amp;$B227,BD!$Y$3:$Y$5001,"&lt;&gt;")=0,"",SUMIFS(BD!$Y$3:$Y$5001,BD!$B$3:$B$5001,I$210,BD!$A$3:$A$5001,_xlfn.MAXIFS(BD!$A$3:$A$5001,BD!$B$3:$B$5001,I$210,BD!$A$3:$A$5001,"&gt;="&amp;$C$7,BD!$A$3:$A$5001,"&lt;="&amp;$B227,BD!$Y$3:$Y$5001,"&lt;&gt;"))))</f>
        <v/>
      </c>
      <c r="J227" s="54" t="str">
        <f>IF(OR($B227="",$A227&gt;$B$9,J$210=""),"",IF(COUNTIFS(BD!$B$3:$B$5001,J$210,BD!$A$3:$A$5001,"&gt;="&amp;$C$7,BD!$A$3:$A$5001,"&lt;="&amp;$B227,BD!$Y$3:$Y$5001,"&lt;&gt;")=0,"",SUMIFS(BD!$Y$3:$Y$5001,BD!$B$3:$B$5001,J$210,BD!$A$3:$A$5001,_xlfn.MAXIFS(BD!$A$3:$A$5001,BD!$B$3:$B$5001,J$210,BD!$A$3:$A$5001,"&gt;="&amp;$C$7,BD!$A$3:$A$5001,"&lt;="&amp;$B227,BD!$Y$3:$Y$5001,"&lt;&gt;"))))</f>
        <v/>
      </c>
      <c r="K227" s="54" t="str">
        <f>IF(OR($B227="",$A227&gt;$B$9,K$210=""),"",IF(COUNTIFS(BD!$B$3:$B$5001,K$210,BD!$A$3:$A$5001,"&gt;="&amp;$C$7,BD!$A$3:$A$5001,"&lt;="&amp;$B227,BD!$Y$3:$Y$5001,"&lt;&gt;")=0,"",SUMIFS(BD!$Y$3:$Y$5001,BD!$B$3:$B$5001,K$210,BD!$A$3:$A$5001,_xlfn.MAXIFS(BD!$A$3:$A$5001,BD!$B$3:$B$5001,K$210,BD!$A$3:$A$5001,"&gt;="&amp;$C$7,BD!$A$3:$A$5001,"&lt;="&amp;$B227,BD!$Y$3:$Y$5001,"&lt;&gt;"))))</f>
        <v/>
      </c>
      <c r="L227" s="54" t="str">
        <f>IF(OR($B227="",$A227&gt;$B$9,L$210=""),"",IF(COUNTIFS(BD!$B$3:$B$5001,L$210,BD!$A$3:$A$5001,"&gt;="&amp;$C$7,BD!$A$3:$A$5001,"&lt;="&amp;$B227,BD!$Y$3:$Y$5001,"&lt;&gt;")=0,"",SUMIFS(BD!$Y$3:$Y$5001,BD!$B$3:$B$5001,L$210,BD!$A$3:$A$5001,_xlfn.MAXIFS(BD!$A$3:$A$5001,BD!$B$3:$B$5001,L$210,BD!$A$3:$A$5001,"&gt;="&amp;$C$7,BD!$A$3:$A$5001,"&lt;="&amp;$B227,BD!$Y$3:$Y$5001,"&lt;&gt;"))))</f>
        <v/>
      </c>
      <c r="M227" s="54" t="str">
        <f>IF(OR($B227="",$A227&gt;$B$9,M$210=""),"",IF(COUNTIFS(BD!$B$3:$B$5001,M$210,BD!$A$3:$A$5001,"&gt;="&amp;$C$7,BD!$A$3:$A$5001,"&lt;="&amp;$B227,BD!$Y$3:$Y$5001,"&lt;&gt;")=0,"",SUMIFS(BD!$Y$3:$Y$5001,BD!$B$3:$B$5001,M$210,BD!$A$3:$A$5001,_xlfn.MAXIFS(BD!$A$3:$A$5001,BD!$B$3:$B$5001,M$210,BD!$A$3:$A$5001,"&gt;="&amp;$C$7,BD!$A$3:$A$5001,"&lt;="&amp;$B227,BD!$Y$3:$Y$5001,"&lt;&gt;"))))</f>
        <v/>
      </c>
      <c r="N227" s="54" t="str">
        <f>IF(OR($B227="",$A227&gt;$B$9,N$210=""),"",IF(COUNTIFS(BD!$B$3:$B$5001,N$210,BD!$A$3:$A$5001,"&gt;="&amp;$C$7,BD!$A$3:$A$5001,"&lt;="&amp;$B227,BD!$Y$3:$Y$5001,"&lt;&gt;")=0,"",SUMIFS(BD!$Y$3:$Y$5001,BD!$B$3:$B$5001,N$210,BD!$A$3:$A$5001,_xlfn.MAXIFS(BD!$A$3:$A$5001,BD!$B$3:$B$5001,N$210,BD!$A$3:$A$5001,"&gt;="&amp;$C$7,BD!$A$3:$A$5001,"&lt;="&amp;$B227,BD!$Y$3:$Y$5001,"&lt;&gt;"))))</f>
        <v/>
      </c>
      <c r="O227" s="54" t="str">
        <f>IF(OR($B227="",$A227&gt;$B$9,O$210=""),"",IF(COUNTIFS(BD!$B$3:$B$5001,O$210,BD!$A$3:$A$5001,"&gt;="&amp;$C$7,BD!$A$3:$A$5001,"&lt;="&amp;$B227,BD!$Y$3:$Y$5001,"&lt;&gt;")=0,"",SUMIFS(BD!$Y$3:$Y$5001,BD!$B$3:$B$5001,O$210,BD!$A$3:$A$5001,_xlfn.MAXIFS(BD!$A$3:$A$5001,BD!$B$3:$B$5001,O$210,BD!$A$3:$A$5001,"&gt;="&amp;$C$7,BD!$A$3:$A$5001,"&lt;="&amp;$B227,BD!$Y$3:$Y$5001,"&lt;&gt;"))))</f>
        <v/>
      </c>
      <c r="P227" s="54" t="str">
        <f>IF(OR($B227="",$A227&gt;$B$9,P$210=""),"",IF(COUNTIFS(BD!$B$3:$B$5001,P$210,BD!$A$3:$A$5001,"&gt;="&amp;$C$7,BD!$A$3:$A$5001,"&lt;="&amp;$B227,BD!$Y$3:$Y$5001,"&lt;&gt;")=0,"",SUMIFS(BD!$Y$3:$Y$5001,BD!$B$3:$B$5001,P$210,BD!$A$3:$A$5001,_xlfn.MAXIFS(BD!$A$3:$A$5001,BD!$B$3:$B$5001,P$210,BD!$A$3:$A$5001,"&gt;="&amp;$C$7,BD!$A$3:$A$5001,"&lt;="&amp;$B227,BD!$Y$3:$Y$5001,"&lt;&gt;"))))</f>
        <v/>
      </c>
      <c r="Q227" s="54" t="str">
        <f>IF(OR($B227="",$A227&gt;$B$9,Q$210=""),"",IF(COUNTIFS(BD!$B$3:$B$5001,Q$210,BD!$A$3:$A$5001,"&gt;="&amp;$C$7,BD!$A$3:$A$5001,"&lt;="&amp;$B227,BD!$Y$3:$Y$5001,"&lt;&gt;")=0,"",SUMIFS(BD!$Y$3:$Y$5001,BD!$B$3:$B$5001,Q$210,BD!$A$3:$A$5001,_xlfn.MAXIFS(BD!$A$3:$A$5001,BD!$B$3:$B$5001,Q$210,BD!$A$3:$A$5001,"&gt;="&amp;$C$7,BD!$A$3:$A$5001,"&lt;="&amp;$B227,BD!$Y$3:$Y$5001,"&lt;&gt;"))))</f>
        <v/>
      </c>
      <c r="R227" s="54" t="str">
        <f>IF(OR($B227="",$A227&gt;$B$9,R$210=""),"",IF(COUNTIFS(BD!$B$3:$B$5001,R$210,BD!$A$3:$A$5001,"&gt;="&amp;$C$7,BD!$A$3:$A$5001,"&lt;="&amp;$B227,BD!$Y$3:$Y$5001,"&lt;&gt;")=0,"",SUMIFS(BD!$Y$3:$Y$5001,BD!$B$3:$B$5001,R$210,BD!$A$3:$A$5001,_xlfn.MAXIFS(BD!$A$3:$A$5001,BD!$B$3:$B$5001,R$210,BD!$A$3:$A$5001,"&gt;="&amp;$C$7,BD!$A$3:$A$5001,"&lt;="&amp;$B227,BD!$Y$3:$Y$5001,"&lt;&gt;"))))</f>
        <v/>
      </c>
      <c r="S227" s="54" t="str">
        <f>IF(OR($B227="",$A227&gt;$B$9,S$210=""),"",IF(COUNTIFS(BD!$B$3:$B$5001,S$210,BD!$A$3:$A$5001,"&gt;="&amp;$C$7,BD!$A$3:$A$5001,"&lt;="&amp;$B227,BD!$Y$3:$Y$5001,"&lt;&gt;")=0,"",SUMIFS(BD!$Y$3:$Y$5001,BD!$B$3:$B$5001,S$210,BD!$A$3:$A$5001,_xlfn.MAXIFS(BD!$A$3:$A$5001,BD!$B$3:$B$5001,S$210,BD!$A$3:$A$5001,"&gt;="&amp;$C$7,BD!$A$3:$A$5001,"&lt;="&amp;$B227,BD!$Y$3:$Y$5001,"&lt;&gt;"))))</f>
        <v/>
      </c>
      <c r="T227" s="54" t="str">
        <f>IF(OR($B227="",$A227&gt;$B$9,T$210=""),"",IF(COUNTIFS(BD!$B$3:$B$5001,T$210,BD!$A$3:$A$5001,"&gt;="&amp;$C$7,BD!$A$3:$A$5001,"&lt;="&amp;$B227,BD!$Y$3:$Y$5001,"&lt;&gt;")=0,"",SUMIFS(BD!$Y$3:$Y$5001,BD!$B$3:$B$5001,T$210,BD!$A$3:$A$5001,_xlfn.MAXIFS(BD!$A$3:$A$5001,BD!$B$3:$B$5001,T$210,BD!$A$3:$A$5001,"&gt;="&amp;$C$7,BD!$A$3:$A$5001,"&lt;="&amp;$B227,BD!$Y$3:$Y$5001,"&lt;&gt;"))))</f>
        <v/>
      </c>
      <c r="U227" s="54" t="str">
        <f>IF(OR($B227="",$A227&gt;$B$9,U$210=""),"",IF(COUNTIFS(BD!$B$3:$B$5001,U$210,BD!$A$3:$A$5001,"&gt;="&amp;$C$7,BD!$A$3:$A$5001,"&lt;="&amp;$B227,BD!$Y$3:$Y$5001,"&lt;&gt;")=0,"",SUMIFS(BD!$Y$3:$Y$5001,BD!$B$3:$B$5001,U$210,BD!$A$3:$A$5001,_xlfn.MAXIFS(BD!$A$3:$A$5001,BD!$B$3:$B$5001,U$210,BD!$A$3:$A$5001,"&gt;="&amp;$C$7,BD!$A$3:$A$5001,"&lt;="&amp;$B227,BD!$Y$3:$Y$5001,"&lt;&gt;"))))</f>
        <v/>
      </c>
      <c r="V227" s="54" t="str">
        <f>IF(OR($B227="",$A227&gt;$B$9,V$210=""),"",IF(COUNTIFS(BD!$B$3:$B$5001,V$210,BD!$A$3:$A$5001,"&gt;="&amp;$C$7,BD!$A$3:$A$5001,"&lt;="&amp;$B227,BD!$Y$3:$Y$5001,"&lt;&gt;")=0,"",SUMIFS(BD!$Y$3:$Y$5001,BD!$B$3:$B$5001,V$210,BD!$A$3:$A$5001,_xlfn.MAXIFS(BD!$A$3:$A$5001,BD!$B$3:$B$5001,V$210,BD!$A$3:$A$5001,"&gt;="&amp;$C$7,BD!$A$3:$A$5001,"&lt;="&amp;$B227,BD!$Y$3:$Y$5001,"&lt;&gt;"))))</f>
        <v/>
      </c>
    </row>
    <row r="228">
      <c r="A228" s="48">
        <v>18</v>
      </c>
      <c r="B228" s="53">
        <f>$B$29</f>
        <v>46313</v>
      </c>
      <c r="C228" s="54" t="str">
        <f>IF(OR($B228="",$A228&gt;$B$9,C$210=""),"",IF(COUNTIFS(BD!$B$3:$B$5001,C$210,BD!$A$3:$A$5001,"&gt;="&amp;$C$7,BD!$A$3:$A$5001,"&lt;="&amp;$B228,BD!$Y$3:$Y$5001,"&lt;&gt;")=0,"",SUMIFS(BD!$Y$3:$Y$5001,BD!$B$3:$B$5001,C$210,BD!$A$3:$A$5001,_xlfn.MAXIFS(BD!$A$3:$A$5001,BD!$B$3:$B$5001,C$210,BD!$A$3:$A$5001,"&gt;="&amp;$C$7,BD!$A$3:$A$5001,"&lt;="&amp;$B228,BD!$Y$3:$Y$5001,"&lt;&gt;"))))</f>
        <v/>
      </c>
      <c r="D228" s="54" t="str">
        <f>IF(OR($B228="",$A228&gt;$B$9,D$210=""),"",IF(COUNTIFS(BD!$B$3:$B$5001,D$210,BD!$A$3:$A$5001,"&gt;="&amp;$C$7,BD!$A$3:$A$5001,"&lt;="&amp;$B228,BD!$Y$3:$Y$5001,"&lt;&gt;")=0,"",SUMIFS(BD!$Y$3:$Y$5001,BD!$B$3:$B$5001,D$210,BD!$A$3:$A$5001,_xlfn.MAXIFS(BD!$A$3:$A$5001,BD!$B$3:$B$5001,D$210,BD!$A$3:$A$5001,"&gt;="&amp;$C$7,BD!$A$3:$A$5001,"&lt;="&amp;$B228,BD!$Y$3:$Y$5001,"&lt;&gt;"))))</f>
        <v/>
      </c>
      <c r="E228" s="54" t="str">
        <f>IF(OR($B228="",$A228&gt;$B$9,E$210=""),"",IF(COUNTIFS(BD!$B$3:$B$5001,E$210,BD!$A$3:$A$5001,"&gt;="&amp;$C$7,BD!$A$3:$A$5001,"&lt;="&amp;$B228,BD!$Y$3:$Y$5001,"&lt;&gt;")=0,"",SUMIFS(BD!$Y$3:$Y$5001,BD!$B$3:$B$5001,E$210,BD!$A$3:$A$5001,_xlfn.MAXIFS(BD!$A$3:$A$5001,BD!$B$3:$B$5001,E$210,BD!$A$3:$A$5001,"&gt;="&amp;$C$7,BD!$A$3:$A$5001,"&lt;="&amp;$B228,BD!$Y$3:$Y$5001,"&lt;&gt;"))))</f>
        <v/>
      </c>
      <c r="F228" s="54" t="str">
        <f>IF(OR($B228="",$A228&gt;$B$9,F$210=""),"",IF(COUNTIFS(BD!$B$3:$B$5001,F$210,BD!$A$3:$A$5001,"&gt;="&amp;$C$7,BD!$A$3:$A$5001,"&lt;="&amp;$B228,BD!$Y$3:$Y$5001,"&lt;&gt;")=0,"",SUMIFS(BD!$Y$3:$Y$5001,BD!$B$3:$B$5001,F$210,BD!$A$3:$A$5001,_xlfn.MAXIFS(BD!$A$3:$A$5001,BD!$B$3:$B$5001,F$210,BD!$A$3:$A$5001,"&gt;="&amp;$C$7,BD!$A$3:$A$5001,"&lt;="&amp;$B228,BD!$Y$3:$Y$5001,"&lt;&gt;"))))</f>
        <v/>
      </c>
      <c r="G228" s="54" t="str">
        <f>IF(OR($B228="",$A228&gt;$B$9,G$210=""),"",IF(COUNTIFS(BD!$B$3:$B$5001,G$210,BD!$A$3:$A$5001,"&gt;="&amp;$C$7,BD!$A$3:$A$5001,"&lt;="&amp;$B228,BD!$Y$3:$Y$5001,"&lt;&gt;")=0,"",SUMIFS(BD!$Y$3:$Y$5001,BD!$B$3:$B$5001,G$210,BD!$A$3:$A$5001,_xlfn.MAXIFS(BD!$A$3:$A$5001,BD!$B$3:$B$5001,G$210,BD!$A$3:$A$5001,"&gt;="&amp;$C$7,BD!$A$3:$A$5001,"&lt;="&amp;$B228,BD!$Y$3:$Y$5001,"&lt;&gt;"))))</f>
        <v/>
      </c>
      <c r="H228" s="54" t="str">
        <f>IF(OR($B228="",$A228&gt;$B$9,H$210=""),"",IF(COUNTIFS(BD!$B$3:$B$5001,H$210,BD!$A$3:$A$5001,"&gt;="&amp;$C$7,BD!$A$3:$A$5001,"&lt;="&amp;$B228,BD!$Y$3:$Y$5001,"&lt;&gt;")=0,"",SUMIFS(BD!$Y$3:$Y$5001,BD!$B$3:$B$5001,H$210,BD!$A$3:$A$5001,_xlfn.MAXIFS(BD!$A$3:$A$5001,BD!$B$3:$B$5001,H$210,BD!$A$3:$A$5001,"&gt;="&amp;$C$7,BD!$A$3:$A$5001,"&lt;="&amp;$B228,BD!$Y$3:$Y$5001,"&lt;&gt;"))))</f>
        <v/>
      </c>
      <c r="I228" s="54" t="str">
        <f>IF(OR($B228="",$A228&gt;$B$9,I$210=""),"",IF(COUNTIFS(BD!$B$3:$B$5001,I$210,BD!$A$3:$A$5001,"&gt;="&amp;$C$7,BD!$A$3:$A$5001,"&lt;="&amp;$B228,BD!$Y$3:$Y$5001,"&lt;&gt;")=0,"",SUMIFS(BD!$Y$3:$Y$5001,BD!$B$3:$B$5001,I$210,BD!$A$3:$A$5001,_xlfn.MAXIFS(BD!$A$3:$A$5001,BD!$B$3:$B$5001,I$210,BD!$A$3:$A$5001,"&gt;="&amp;$C$7,BD!$A$3:$A$5001,"&lt;="&amp;$B228,BD!$Y$3:$Y$5001,"&lt;&gt;"))))</f>
        <v/>
      </c>
      <c r="J228" s="54" t="str">
        <f>IF(OR($B228="",$A228&gt;$B$9,J$210=""),"",IF(COUNTIFS(BD!$B$3:$B$5001,J$210,BD!$A$3:$A$5001,"&gt;="&amp;$C$7,BD!$A$3:$A$5001,"&lt;="&amp;$B228,BD!$Y$3:$Y$5001,"&lt;&gt;")=0,"",SUMIFS(BD!$Y$3:$Y$5001,BD!$B$3:$B$5001,J$210,BD!$A$3:$A$5001,_xlfn.MAXIFS(BD!$A$3:$A$5001,BD!$B$3:$B$5001,J$210,BD!$A$3:$A$5001,"&gt;="&amp;$C$7,BD!$A$3:$A$5001,"&lt;="&amp;$B228,BD!$Y$3:$Y$5001,"&lt;&gt;"))))</f>
        <v/>
      </c>
      <c r="K228" s="54" t="str">
        <f>IF(OR($B228="",$A228&gt;$B$9,K$210=""),"",IF(COUNTIFS(BD!$B$3:$B$5001,K$210,BD!$A$3:$A$5001,"&gt;="&amp;$C$7,BD!$A$3:$A$5001,"&lt;="&amp;$B228,BD!$Y$3:$Y$5001,"&lt;&gt;")=0,"",SUMIFS(BD!$Y$3:$Y$5001,BD!$B$3:$B$5001,K$210,BD!$A$3:$A$5001,_xlfn.MAXIFS(BD!$A$3:$A$5001,BD!$B$3:$B$5001,K$210,BD!$A$3:$A$5001,"&gt;="&amp;$C$7,BD!$A$3:$A$5001,"&lt;="&amp;$B228,BD!$Y$3:$Y$5001,"&lt;&gt;"))))</f>
        <v/>
      </c>
      <c r="L228" s="54" t="str">
        <f>IF(OR($B228="",$A228&gt;$B$9,L$210=""),"",IF(COUNTIFS(BD!$B$3:$B$5001,L$210,BD!$A$3:$A$5001,"&gt;="&amp;$C$7,BD!$A$3:$A$5001,"&lt;="&amp;$B228,BD!$Y$3:$Y$5001,"&lt;&gt;")=0,"",SUMIFS(BD!$Y$3:$Y$5001,BD!$B$3:$B$5001,L$210,BD!$A$3:$A$5001,_xlfn.MAXIFS(BD!$A$3:$A$5001,BD!$B$3:$B$5001,L$210,BD!$A$3:$A$5001,"&gt;="&amp;$C$7,BD!$A$3:$A$5001,"&lt;="&amp;$B228,BD!$Y$3:$Y$5001,"&lt;&gt;"))))</f>
        <v/>
      </c>
      <c r="M228" s="54" t="str">
        <f>IF(OR($B228="",$A228&gt;$B$9,M$210=""),"",IF(COUNTIFS(BD!$B$3:$B$5001,M$210,BD!$A$3:$A$5001,"&gt;="&amp;$C$7,BD!$A$3:$A$5001,"&lt;="&amp;$B228,BD!$Y$3:$Y$5001,"&lt;&gt;")=0,"",SUMIFS(BD!$Y$3:$Y$5001,BD!$B$3:$B$5001,M$210,BD!$A$3:$A$5001,_xlfn.MAXIFS(BD!$A$3:$A$5001,BD!$B$3:$B$5001,M$210,BD!$A$3:$A$5001,"&gt;="&amp;$C$7,BD!$A$3:$A$5001,"&lt;="&amp;$B228,BD!$Y$3:$Y$5001,"&lt;&gt;"))))</f>
        <v/>
      </c>
      <c r="N228" s="54" t="str">
        <f>IF(OR($B228="",$A228&gt;$B$9,N$210=""),"",IF(COUNTIFS(BD!$B$3:$B$5001,N$210,BD!$A$3:$A$5001,"&gt;="&amp;$C$7,BD!$A$3:$A$5001,"&lt;="&amp;$B228,BD!$Y$3:$Y$5001,"&lt;&gt;")=0,"",SUMIFS(BD!$Y$3:$Y$5001,BD!$B$3:$B$5001,N$210,BD!$A$3:$A$5001,_xlfn.MAXIFS(BD!$A$3:$A$5001,BD!$B$3:$B$5001,N$210,BD!$A$3:$A$5001,"&gt;="&amp;$C$7,BD!$A$3:$A$5001,"&lt;="&amp;$B228,BD!$Y$3:$Y$5001,"&lt;&gt;"))))</f>
        <v/>
      </c>
      <c r="O228" s="54" t="str">
        <f>IF(OR($B228="",$A228&gt;$B$9,O$210=""),"",IF(COUNTIFS(BD!$B$3:$B$5001,O$210,BD!$A$3:$A$5001,"&gt;="&amp;$C$7,BD!$A$3:$A$5001,"&lt;="&amp;$B228,BD!$Y$3:$Y$5001,"&lt;&gt;")=0,"",SUMIFS(BD!$Y$3:$Y$5001,BD!$B$3:$B$5001,O$210,BD!$A$3:$A$5001,_xlfn.MAXIFS(BD!$A$3:$A$5001,BD!$B$3:$B$5001,O$210,BD!$A$3:$A$5001,"&gt;="&amp;$C$7,BD!$A$3:$A$5001,"&lt;="&amp;$B228,BD!$Y$3:$Y$5001,"&lt;&gt;"))))</f>
        <v/>
      </c>
      <c r="P228" s="54" t="str">
        <f>IF(OR($B228="",$A228&gt;$B$9,P$210=""),"",IF(COUNTIFS(BD!$B$3:$B$5001,P$210,BD!$A$3:$A$5001,"&gt;="&amp;$C$7,BD!$A$3:$A$5001,"&lt;="&amp;$B228,BD!$Y$3:$Y$5001,"&lt;&gt;")=0,"",SUMIFS(BD!$Y$3:$Y$5001,BD!$B$3:$B$5001,P$210,BD!$A$3:$A$5001,_xlfn.MAXIFS(BD!$A$3:$A$5001,BD!$B$3:$B$5001,P$210,BD!$A$3:$A$5001,"&gt;="&amp;$C$7,BD!$A$3:$A$5001,"&lt;="&amp;$B228,BD!$Y$3:$Y$5001,"&lt;&gt;"))))</f>
        <v/>
      </c>
      <c r="Q228" s="54" t="str">
        <f>IF(OR($B228="",$A228&gt;$B$9,Q$210=""),"",IF(COUNTIFS(BD!$B$3:$B$5001,Q$210,BD!$A$3:$A$5001,"&gt;="&amp;$C$7,BD!$A$3:$A$5001,"&lt;="&amp;$B228,BD!$Y$3:$Y$5001,"&lt;&gt;")=0,"",SUMIFS(BD!$Y$3:$Y$5001,BD!$B$3:$B$5001,Q$210,BD!$A$3:$A$5001,_xlfn.MAXIFS(BD!$A$3:$A$5001,BD!$B$3:$B$5001,Q$210,BD!$A$3:$A$5001,"&gt;="&amp;$C$7,BD!$A$3:$A$5001,"&lt;="&amp;$B228,BD!$Y$3:$Y$5001,"&lt;&gt;"))))</f>
        <v/>
      </c>
      <c r="R228" s="54" t="str">
        <f>IF(OR($B228="",$A228&gt;$B$9,R$210=""),"",IF(COUNTIFS(BD!$B$3:$B$5001,R$210,BD!$A$3:$A$5001,"&gt;="&amp;$C$7,BD!$A$3:$A$5001,"&lt;="&amp;$B228,BD!$Y$3:$Y$5001,"&lt;&gt;")=0,"",SUMIFS(BD!$Y$3:$Y$5001,BD!$B$3:$B$5001,R$210,BD!$A$3:$A$5001,_xlfn.MAXIFS(BD!$A$3:$A$5001,BD!$B$3:$B$5001,R$210,BD!$A$3:$A$5001,"&gt;="&amp;$C$7,BD!$A$3:$A$5001,"&lt;="&amp;$B228,BD!$Y$3:$Y$5001,"&lt;&gt;"))))</f>
        <v/>
      </c>
      <c r="S228" s="54" t="str">
        <f>IF(OR($B228="",$A228&gt;$B$9,S$210=""),"",IF(COUNTIFS(BD!$B$3:$B$5001,S$210,BD!$A$3:$A$5001,"&gt;="&amp;$C$7,BD!$A$3:$A$5001,"&lt;="&amp;$B228,BD!$Y$3:$Y$5001,"&lt;&gt;")=0,"",SUMIFS(BD!$Y$3:$Y$5001,BD!$B$3:$B$5001,S$210,BD!$A$3:$A$5001,_xlfn.MAXIFS(BD!$A$3:$A$5001,BD!$B$3:$B$5001,S$210,BD!$A$3:$A$5001,"&gt;="&amp;$C$7,BD!$A$3:$A$5001,"&lt;="&amp;$B228,BD!$Y$3:$Y$5001,"&lt;&gt;"))))</f>
        <v/>
      </c>
      <c r="T228" s="54" t="str">
        <f>IF(OR($B228="",$A228&gt;$B$9,T$210=""),"",IF(COUNTIFS(BD!$B$3:$B$5001,T$210,BD!$A$3:$A$5001,"&gt;="&amp;$C$7,BD!$A$3:$A$5001,"&lt;="&amp;$B228,BD!$Y$3:$Y$5001,"&lt;&gt;")=0,"",SUMIFS(BD!$Y$3:$Y$5001,BD!$B$3:$B$5001,T$210,BD!$A$3:$A$5001,_xlfn.MAXIFS(BD!$A$3:$A$5001,BD!$B$3:$B$5001,T$210,BD!$A$3:$A$5001,"&gt;="&amp;$C$7,BD!$A$3:$A$5001,"&lt;="&amp;$B228,BD!$Y$3:$Y$5001,"&lt;&gt;"))))</f>
        <v/>
      </c>
      <c r="U228" s="54" t="str">
        <f>IF(OR($B228="",$A228&gt;$B$9,U$210=""),"",IF(COUNTIFS(BD!$B$3:$B$5001,U$210,BD!$A$3:$A$5001,"&gt;="&amp;$C$7,BD!$A$3:$A$5001,"&lt;="&amp;$B228,BD!$Y$3:$Y$5001,"&lt;&gt;")=0,"",SUMIFS(BD!$Y$3:$Y$5001,BD!$B$3:$B$5001,U$210,BD!$A$3:$A$5001,_xlfn.MAXIFS(BD!$A$3:$A$5001,BD!$B$3:$B$5001,U$210,BD!$A$3:$A$5001,"&gt;="&amp;$C$7,BD!$A$3:$A$5001,"&lt;="&amp;$B228,BD!$Y$3:$Y$5001,"&lt;&gt;"))))</f>
        <v/>
      </c>
      <c r="V228" s="54" t="str">
        <f>IF(OR($B228="",$A228&gt;$B$9,V$210=""),"",IF(COUNTIFS(BD!$B$3:$B$5001,V$210,BD!$A$3:$A$5001,"&gt;="&amp;$C$7,BD!$A$3:$A$5001,"&lt;="&amp;$B228,BD!$Y$3:$Y$5001,"&lt;&gt;")=0,"",SUMIFS(BD!$Y$3:$Y$5001,BD!$B$3:$B$5001,V$210,BD!$A$3:$A$5001,_xlfn.MAXIFS(BD!$A$3:$A$5001,BD!$B$3:$B$5001,V$210,BD!$A$3:$A$5001,"&gt;="&amp;$C$7,BD!$A$3:$A$5001,"&lt;="&amp;$B228,BD!$Y$3:$Y$5001,"&lt;&gt;"))))</f>
        <v/>
      </c>
    </row>
    <row r="229">
      <c r="A229" s="48">
        <v>19</v>
      </c>
      <c r="B229" s="53">
        <f>$B$30</f>
        <v>46314</v>
      </c>
      <c r="C229" s="54" t="str">
        <f>IF(OR($B229="",$A229&gt;$B$9,C$210=""),"",IF(COUNTIFS(BD!$B$3:$B$5001,C$210,BD!$A$3:$A$5001,"&gt;="&amp;$C$7,BD!$A$3:$A$5001,"&lt;="&amp;$B229,BD!$Y$3:$Y$5001,"&lt;&gt;")=0,"",SUMIFS(BD!$Y$3:$Y$5001,BD!$B$3:$B$5001,C$210,BD!$A$3:$A$5001,_xlfn.MAXIFS(BD!$A$3:$A$5001,BD!$B$3:$B$5001,C$210,BD!$A$3:$A$5001,"&gt;="&amp;$C$7,BD!$A$3:$A$5001,"&lt;="&amp;$B229,BD!$Y$3:$Y$5001,"&lt;&gt;"))))</f>
        <v/>
      </c>
      <c r="D229" s="54" t="str">
        <f>IF(OR($B229="",$A229&gt;$B$9,D$210=""),"",IF(COUNTIFS(BD!$B$3:$B$5001,D$210,BD!$A$3:$A$5001,"&gt;="&amp;$C$7,BD!$A$3:$A$5001,"&lt;="&amp;$B229,BD!$Y$3:$Y$5001,"&lt;&gt;")=0,"",SUMIFS(BD!$Y$3:$Y$5001,BD!$B$3:$B$5001,D$210,BD!$A$3:$A$5001,_xlfn.MAXIFS(BD!$A$3:$A$5001,BD!$B$3:$B$5001,D$210,BD!$A$3:$A$5001,"&gt;="&amp;$C$7,BD!$A$3:$A$5001,"&lt;="&amp;$B229,BD!$Y$3:$Y$5001,"&lt;&gt;"))))</f>
        <v/>
      </c>
      <c r="E229" s="54" t="str">
        <f>IF(OR($B229="",$A229&gt;$B$9,E$210=""),"",IF(COUNTIFS(BD!$B$3:$B$5001,E$210,BD!$A$3:$A$5001,"&gt;="&amp;$C$7,BD!$A$3:$A$5001,"&lt;="&amp;$B229,BD!$Y$3:$Y$5001,"&lt;&gt;")=0,"",SUMIFS(BD!$Y$3:$Y$5001,BD!$B$3:$B$5001,E$210,BD!$A$3:$A$5001,_xlfn.MAXIFS(BD!$A$3:$A$5001,BD!$B$3:$B$5001,E$210,BD!$A$3:$A$5001,"&gt;="&amp;$C$7,BD!$A$3:$A$5001,"&lt;="&amp;$B229,BD!$Y$3:$Y$5001,"&lt;&gt;"))))</f>
        <v/>
      </c>
      <c r="F229" s="54" t="str">
        <f>IF(OR($B229="",$A229&gt;$B$9,F$210=""),"",IF(COUNTIFS(BD!$B$3:$B$5001,F$210,BD!$A$3:$A$5001,"&gt;="&amp;$C$7,BD!$A$3:$A$5001,"&lt;="&amp;$B229,BD!$Y$3:$Y$5001,"&lt;&gt;")=0,"",SUMIFS(BD!$Y$3:$Y$5001,BD!$B$3:$B$5001,F$210,BD!$A$3:$A$5001,_xlfn.MAXIFS(BD!$A$3:$A$5001,BD!$B$3:$B$5001,F$210,BD!$A$3:$A$5001,"&gt;="&amp;$C$7,BD!$A$3:$A$5001,"&lt;="&amp;$B229,BD!$Y$3:$Y$5001,"&lt;&gt;"))))</f>
        <v/>
      </c>
      <c r="G229" s="54" t="str">
        <f>IF(OR($B229="",$A229&gt;$B$9,G$210=""),"",IF(COUNTIFS(BD!$B$3:$B$5001,G$210,BD!$A$3:$A$5001,"&gt;="&amp;$C$7,BD!$A$3:$A$5001,"&lt;="&amp;$B229,BD!$Y$3:$Y$5001,"&lt;&gt;")=0,"",SUMIFS(BD!$Y$3:$Y$5001,BD!$B$3:$B$5001,G$210,BD!$A$3:$A$5001,_xlfn.MAXIFS(BD!$A$3:$A$5001,BD!$B$3:$B$5001,G$210,BD!$A$3:$A$5001,"&gt;="&amp;$C$7,BD!$A$3:$A$5001,"&lt;="&amp;$B229,BD!$Y$3:$Y$5001,"&lt;&gt;"))))</f>
        <v/>
      </c>
      <c r="H229" s="54" t="str">
        <f>IF(OR($B229="",$A229&gt;$B$9,H$210=""),"",IF(COUNTIFS(BD!$B$3:$B$5001,H$210,BD!$A$3:$A$5001,"&gt;="&amp;$C$7,BD!$A$3:$A$5001,"&lt;="&amp;$B229,BD!$Y$3:$Y$5001,"&lt;&gt;")=0,"",SUMIFS(BD!$Y$3:$Y$5001,BD!$B$3:$B$5001,H$210,BD!$A$3:$A$5001,_xlfn.MAXIFS(BD!$A$3:$A$5001,BD!$B$3:$B$5001,H$210,BD!$A$3:$A$5001,"&gt;="&amp;$C$7,BD!$A$3:$A$5001,"&lt;="&amp;$B229,BD!$Y$3:$Y$5001,"&lt;&gt;"))))</f>
        <v/>
      </c>
      <c r="I229" s="54" t="str">
        <f>IF(OR($B229="",$A229&gt;$B$9,I$210=""),"",IF(COUNTIFS(BD!$B$3:$B$5001,I$210,BD!$A$3:$A$5001,"&gt;="&amp;$C$7,BD!$A$3:$A$5001,"&lt;="&amp;$B229,BD!$Y$3:$Y$5001,"&lt;&gt;")=0,"",SUMIFS(BD!$Y$3:$Y$5001,BD!$B$3:$B$5001,I$210,BD!$A$3:$A$5001,_xlfn.MAXIFS(BD!$A$3:$A$5001,BD!$B$3:$B$5001,I$210,BD!$A$3:$A$5001,"&gt;="&amp;$C$7,BD!$A$3:$A$5001,"&lt;="&amp;$B229,BD!$Y$3:$Y$5001,"&lt;&gt;"))))</f>
        <v/>
      </c>
      <c r="J229" s="54" t="str">
        <f>IF(OR($B229="",$A229&gt;$B$9,J$210=""),"",IF(COUNTIFS(BD!$B$3:$B$5001,J$210,BD!$A$3:$A$5001,"&gt;="&amp;$C$7,BD!$A$3:$A$5001,"&lt;="&amp;$B229,BD!$Y$3:$Y$5001,"&lt;&gt;")=0,"",SUMIFS(BD!$Y$3:$Y$5001,BD!$B$3:$B$5001,J$210,BD!$A$3:$A$5001,_xlfn.MAXIFS(BD!$A$3:$A$5001,BD!$B$3:$B$5001,J$210,BD!$A$3:$A$5001,"&gt;="&amp;$C$7,BD!$A$3:$A$5001,"&lt;="&amp;$B229,BD!$Y$3:$Y$5001,"&lt;&gt;"))))</f>
        <v/>
      </c>
      <c r="K229" s="54" t="str">
        <f>IF(OR($B229="",$A229&gt;$B$9,K$210=""),"",IF(COUNTIFS(BD!$B$3:$B$5001,K$210,BD!$A$3:$A$5001,"&gt;="&amp;$C$7,BD!$A$3:$A$5001,"&lt;="&amp;$B229,BD!$Y$3:$Y$5001,"&lt;&gt;")=0,"",SUMIFS(BD!$Y$3:$Y$5001,BD!$B$3:$B$5001,K$210,BD!$A$3:$A$5001,_xlfn.MAXIFS(BD!$A$3:$A$5001,BD!$B$3:$B$5001,K$210,BD!$A$3:$A$5001,"&gt;="&amp;$C$7,BD!$A$3:$A$5001,"&lt;="&amp;$B229,BD!$Y$3:$Y$5001,"&lt;&gt;"))))</f>
        <v/>
      </c>
      <c r="L229" s="54" t="str">
        <f>IF(OR($B229="",$A229&gt;$B$9,L$210=""),"",IF(COUNTIFS(BD!$B$3:$B$5001,L$210,BD!$A$3:$A$5001,"&gt;="&amp;$C$7,BD!$A$3:$A$5001,"&lt;="&amp;$B229,BD!$Y$3:$Y$5001,"&lt;&gt;")=0,"",SUMIFS(BD!$Y$3:$Y$5001,BD!$B$3:$B$5001,L$210,BD!$A$3:$A$5001,_xlfn.MAXIFS(BD!$A$3:$A$5001,BD!$B$3:$B$5001,L$210,BD!$A$3:$A$5001,"&gt;="&amp;$C$7,BD!$A$3:$A$5001,"&lt;="&amp;$B229,BD!$Y$3:$Y$5001,"&lt;&gt;"))))</f>
        <v/>
      </c>
      <c r="M229" s="54" t="str">
        <f>IF(OR($B229="",$A229&gt;$B$9,M$210=""),"",IF(COUNTIFS(BD!$B$3:$B$5001,M$210,BD!$A$3:$A$5001,"&gt;="&amp;$C$7,BD!$A$3:$A$5001,"&lt;="&amp;$B229,BD!$Y$3:$Y$5001,"&lt;&gt;")=0,"",SUMIFS(BD!$Y$3:$Y$5001,BD!$B$3:$B$5001,M$210,BD!$A$3:$A$5001,_xlfn.MAXIFS(BD!$A$3:$A$5001,BD!$B$3:$B$5001,M$210,BD!$A$3:$A$5001,"&gt;="&amp;$C$7,BD!$A$3:$A$5001,"&lt;="&amp;$B229,BD!$Y$3:$Y$5001,"&lt;&gt;"))))</f>
        <v/>
      </c>
      <c r="N229" s="54" t="str">
        <f>IF(OR($B229="",$A229&gt;$B$9,N$210=""),"",IF(COUNTIFS(BD!$B$3:$B$5001,N$210,BD!$A$3:$A$5001,"&gt;="&amp;$C$7,BD!$A$3:$A$5001,"&lt;="&amp;$B229,BD!$Y$3:$Y$5001,"&lt;&gt;")=0,"",SUMIFS(BD!$Y$3:$Y$5001,BD!$B$3:$B$5001,N$210,BD!$A$3:$A$5001,_xlfn.MAXIFS(BD!$A$3:$A$5001,BD!$B$3:$B$5001,N$210,BD!$A$3:$A$5001,"&gt;="&amp;$C$7,BD!$A$3:$A$5001,"&lt;="&amp;$B229,BD!$Y$3:$Y$5001,"&lt;&gt;"))))</f>
        <v/>
      </c>
      <c r="O229" s="54" t="str">
        <f>IF(OR($B229="",$A229&gt;$B$9,O$210=""),"",IF(COUNTIFS(BD!$B$3:$B$5001,O$210,BD!$A$3:$A$5001,"&gt;="&amp;$C$7,BD!$A$3:$A$5001,"&lt;="&amp;$B229,BD!$Y$3:$Y$5001,"&lt;&gt;")=0,"",SUMIFS(BD!$Y$3:$Y$5001,BD!$B$3:$B$5001,O$210,BD!$A$3:$A$5001,_xlfn.MAXIFS(BD!$A$3:$A$5001,BD!$B$3:$B$5001,O$210,BD!$A$3:$A$5001,"&gt;="&amp;$C$7,BD!$A$3:$A$5001,"&lt;="&amp;$B229,BD!$Y$3:$Y$5001,"&lt;&gt;"))))</f>
        <v/>
      </c>
      <c r="P229" s="54" t="str">
        <f>IF(OR($B229="",$A229&gt;$B$9,P$210=""),"",IF(COUNTIFS(BD!$B$3:$B$5001,P$210,BD!$A$3:$A$5001,"&gt;="&amp;$C$7,BD!$A$3:$A$5001,"&lt;="&amp;$B229,BD!$Y$3:$Y$5001,"&lt;&gt;")=0,"",SUMIFS(BD!$Y$3:$Y$5001,BD!$B$3:$B$5001,P$210,BD!$A$3:$A$5001,_xlfn.MAXIFS(BD!$A$3:$A$5001,BD!$B$3:$B$5001,P$210,BD!$A$3:$A$5001,"&gt;="&amp;$C$7,BD!$A$3:$A$5001,"&lt;="&amp;$B229,BD!$Y$3:$Y$5001,"&lt;&gt;"))))</f>
        <v/>
      </c>
      <c r="Q229" s="54" t="str">
        <f>IF(OR($B229="",$A229&gt;$B$9,Q$210=""),"",IF(COUNTIFS(BD!$B$3:$B$5001,Q$210,BD!$A$3:$A$5001,"&gt;="&amp;$C$7,BD!$A$3:$A$5001,"&lt;="&amp;$B229,BD!$Y$3:$Y$5001,"&lt;&gt;")=0,"",SUMIFS(BD!$Y$3:$Y$5001,BD!$B$3:$B$5001,Q$210,BD!$A$3:$A$5001,_xlfn.MAXIFS(BD!$A$3:$A$5001,BD!$B$3:$B$5001,Q$210,BD!$A$3:$A$5001,"&gt;="&amp;$C$7,BD!$A$3:$A$5001,"&lt;="&amp;$B229,BD!$Y$3:$Y$5001,"&lt;&gt;"))))</f>
        <v/>
      </c>
      <c r="R229" s="54" t="str">
        <f>IF(OR($B229="",$A229&gt;$B$9,R$210=""),"",IF(COUNTIFS(BD!$B$3:$B$5001,R$210,BD!$A$3:$A$5001,"&gt;="&amp;$C$7,BD!$A$3:$A$5001,"&lt;="&amp;$B229,BD!$Y$3:$Y$5001,"&lt;&gt;")=0,"",SUMIFS(BD!$Y$3:$Y$5001,BD!$B$3:$B$5001,R$210,BD!$A$3:$A$5001,_xlfn.MAXIFS(BD!$A$3:$A$5001,BD!$B$3:$B$5001,R$210,BD!$A$3:$A$5001,"&gt;="&amp;$C$7,BD!$A$3:$A$5001,"&lt;="&amp;$B229,BD!$Y$3:$Y$5001,"&lt;&gt;"))))</f>
        <v/>
      </c>
      <c r="S229" s="54" t="str">
        <f>IF(OR($B229="",$A229&gt;$B$9,S$210=""),"",IF(COUNTIFS(BD!$B$3:$B$5001,S$210,BD!$A$3:$A$5001,"&gt;="&amp;$C$7,BD!$A$3:$A$5001,"&lt;="&amp;$B229,BD!$Y$3:$Y$5001,"&lt;&gt;")=0,"",SUMIFS(BD!$Y$3:$Y$5001,BD!$B$3:$B$5001,S$210,BD!$A$3:$A$5001,_xlfn.MAXIFS(BD!$A$3:$A$5001,BD!$B$3:$B$5001,S$210,BD!$A$3:$A$5001,"&gt;="&amp;$C$7,BD!$A$3:$A$5001,"&lt;="&amp;$B229,BD!$Y$3:$Y$5001,"&lt;&gt;"))))</f>
        <v/>
      </c>
      <c r="T229" s="54" t="str">
        <f>IF(OR($B229="",$A229&gt;$B$9,T$210=""),"",IF(COUNTIFS(BD!$B$3:$B$5001,T$210,BD!$A$3:$A$5001,"&gt;="&amp;$C$7,BD!$A$3:$A$5001,"&lt;="&amp;$B229,BD!$Y$3:$Y$5001,"&lt;&gt;")=0,"",SUMIFS(BD!$Y$3:$Y$5001,BD!$B$3:$B$5001,T$210,BD!$A$3:$A$5001,_xlfn.MAXIFS(BD!$A$3:$A$5001,BD!$B$3:$B$5001,T$210,BD!$A$3:$A$5001,"&gt;="&amp;$C$7,BD!$A$3:$A$5001,"&lt;="&amp;$B229,BD!$Y$3:$Y$5001,"&lt;&gt;"))))</f>
        <v/>
      </c>
      <c r="U229" s="54" t="str">
        <f>IF(OR($B229="",$A229&gt;$B$9,U$210=""),"",IF(COUNTIFS(BD!$B$3:$B$5001,U$210,BD!$A$3:$A$5001,"&gt;="&amp;$C$7,BD!$A$3:$A$5001,"&lt;="&amp;$B229,BD!$Y$3:$Y$5001,"&lt;&gt;")=0,"",SUMIFS(BD!$Y$3:$Y$5001,BD!$B$3:$B$5001,U$210,BD!$A$3:$A$5001,_xlfn.MAXIFS(BD!$A$3:$A$5001,BD!$B$3:$B$5001,U$210,BD!$A$3:$A$5001,"&gt;="&amp;$C$7,BD!$A$3:$A$5001,"&lt;="&amp;$B229,BD!$Y$3:$Y$5001,"&lt;&gt;"))))</f>
        <v/>
      </c>
      <c r="V229" s="54" t="str">
        <f>IF(OR($B229="",$A229&gt;$B$9,V$210=""),"",IF(COUNTIFS(BD!$B$3:$B$5001,V$210,BD!$A$3:$A$5001,"&gt;="&amp;$C$7,BD!$A$3:$A$5001,"&lt;="&amp;$B229,BD!$Y$3:$Y$5001,"&lt;&gt;")=0,"",SUMIFS(BD!$Y$3:$Y$5001,BD!$B$3:$B$5001,V$210,BD!$A$3:$A$5001,_xlfn.MAXIFS(BD!$A$3:$A$5001,BD!$B$3:$B$5001,V$210,BD!$A$3:$A$5001,"&gt;="&amp;$C$7,BD!$A$3:$A$5001,"&lt;="&amp;$B229,BD!$Y$3:$Y$5001,"&lt;&gt;"))))</f>
        <v/>
      </c>
    </row>
    <row r="230">
      <c r="A230" s="48">
        <v>20</v>
      </c>
      <c r="B230" s="53">
        <f>$B$31</f>
        <v>46315</v>
      </c>
      <c r="C230" s="54" t="str">
        <f>IF(OR($B230="",$A230&gt;$B$9,C$210=""),"",IF(COUNTIFS(BD!$B$3:$B$5001,C$210,BD!$A$3:$A$5001,"&gt;="&amp;$C$7,BD!$A$3:$A$5001,"&lt;="&amp;$B230,BD!$Y$3:$Y$5001,"&lt;&gt;")=0,"",SUMIFS(BD!$Y$3:$Y$5001,BD!$B$3:$B$5001,C$210,BD!$A$3:$A$5001,_xlfn.MAXIFS(BD!$A$3:$A$5001,BD!$B$3:$B$5001,C$210,BD!$A$3:$A$5001,"&gt;="&amp;$C$7,BD!$A$3:$A$5001,"&lt;="&amp;$B230,BD!$Y$3:$Y$5001,"&lt;&gt;"))))</f>
        <v/>
      </c>
      <c r="D230" s="54" t="str">
        <f>IF(OR($B230="",$A230&gt;$B$9,D$210=""),"",IF(COUNTIFS(BD!$B$3:$B$5001,D$210,BD!$A$3:$A$5001,"&gt;="&amp;$C$7,BD!$A$3:$A$5001,"&lt;="&amp;$B230,BD!$Y$3:$Y$5001,"&lt;&gt;")=0,"",SUMIFS(BD!$Y$3:$Y$5001,BD!$B$3:$B$5001,D$210,BD!$A$3:$A$5001,_xlfn.MAXIFS(BD!$A$3:$A$5001,BD!$B$3:$B$5001,D$210,BD!$A$3:$A$5001,"&gt;="&amp;$C$7,BD!$A$3:$A$5001,"&lt;="&amp;$B230,BD!$Y$3:$Y$5001,"&lt;&gt;"))))</f>
        <v/>
      </c>
      <c r="E230" s="54" t="str">
        <f>IF(OR($B230="",$A230&gt;$B$9,E$210=""),"",IF(COUNTIFS(BD!$B$3:$B$5001,E$210,BD!$A$3:$A$5001,"&gt;="&amp;$C$7,BD!$A$3:$A$5001,"&lt;="&amp;$B230,BD!$Y$3:$Y$5001,"&lt;&gt;")=0,"",SUMIFS(BD!$Y$3:$Y$5001,BD!$B$3:$B$5001,E$210,BD!$A$3:$A$5001,_xlfn.MAXIFS(BD!$A$3:$A$5001,BD!$B$3:$B$5001,E$210,BD!$A$3:$A$5001,"&gt;="&amp;$C$7,BD!$A$3:$A$5001,"&lt;="&amp;$B230,BD!$Y$3:$Y$5001,"&lt;&gt;"))))</f>
        <v/>
      </c>
      <c r="F230" s="54" t="str">
        <f>IF(OR($B230="",$A230&gt;$B$9,F$210=""),"",IF(COUNTIFS(BD!$B$3:$B$5001,F$210,BD!$A$3:$A$5001,"&gt;="&amp;$C$7,BD!$A$3:$A$5001,"&lt;="&amp;$B230,BD!$Y$3:$Y$5001,"&lt;&gt;")=0,"",SUMIFS(BD!$Y$3:$Y$5001,BD!$B$3:$B$5001,F$210,BD!$A$3:$A$5001,_xlfn.MAXIFS(BD!$A$3:$A$5001,BD!$B$3:$B$5001,F$210,BD!$A$3:$A$5001,"&gt;="&amp;$C$7,BD!$A$3:$A$5001,"&lt;="&amp;$B230,BD!$Y$3:$Y$5001,"&lt;&gt;"))))</f>
        <v/>
      </c>
      <c r="G230" s="54" t="str">
        <f>IF(OR($B230="",$A230&gt;$B$9,G$210=""),"",IF(COUNTIFS(BD!$B$3:$B$5001,G$210,BD!$A$3:$A$5001,"&gt;="&amp;$C$7,BD!$A$3:$A$5001,"&lt;="&amp;$B230,BD!$Y$3:$Y$5001,"&lt;&gt;")=0,"",SUMIFS(BD!$Y$3:$Y$5001,BD!$B$3:$B$5001,G$210,BD!$A$3:$A$5001,_xlfn.MAXIFS(BD!$A$3:$A$5001,BD!$B$3:$B$5001,G$210,BD!$A$3:$A$5001,"&gt;="&amp;$C$7,BD!$A$3:$A$5001,"&lt;="&amp;$B230,BD!$Y$3:$Y$5001,"&lt;&gt;"))))</f>
        <v/>
      </c>
      <c r="H230" s="54" t="str">
        <f>IF(OR($B230="",$A230&gt;$B$9,H$210=""),"",IF(COUNTIFS(BD!$B$3:$B$5001,H$210,BD!$A$3:$A$5001,"&gt;="&amp;$C$7,BD!$A$3:$A$5001,"&lt;="&amp;$B230,BD!$Y$3:$Y$5001,"&lt;&gt;")=0,"",SUMIFS(BD!$Y$3:$Y$5001,BD!$B$3:$B$5001,H$210,BD!$A$3:$A$5001,_xlfn.MAXIFS(BD!$A$3:$A$5001,BD!$B$3:$B$5001,H$210,BD!$A$3:$A$5001,"&gt;="&amp;$C$7,BD!$A$3:$A$5001,"&lt;="&amp;$B230,BD!$Y$3:$Y$5001,"&lt;&gt;"))))</f>
        <v/>
      </c>
      <c r="I230" s="54" t="str">
        <f>IF(OR($B230="",$A230&gt;$B$9,I$210=""),"",IF(COUNTIFS(BD!$B$3:$B$5001,I$210,BD!$A$3:$A$5001,"&gt;="&amp;$C$7,BD!$A$3:$A$5001,"&lt;="&amp;$B230,BD!$Y$3:$Y$5001,"&lt;&gt;")=0,"",SUMIFS(BD!$Y$3:$Y$5001,BD!$B$3:$B$5001,I$210,BD!$A$3:$A$5001,_xlfn.MAXIFS(BD!$A$3:$A$5001,BD!$B$3:$B$5001,I$210,BD!$A$3:$A$5001,"&gt;="&amp;$C$7,BD!$A$3:$A$5001,"&lt;="&amp;$B230,BD!$Y$3:$Y$5001,"&lt;&gt;"))))</f>
        <v/>
      </c>
      <c r="J230" s="54" t="str">
        <f>IF(OR($B230="",$A230&gt;$B$9,J$210=""),"",IF(COUNTIFS(BD!$B$3:$B$5001,J$210,BD!$A$3:$A$5001,"&gt;="&amp;$C$7,BD!$A$3:$A$5001,"&lt;="&amp;$B230,BD!$Y$3:$Y$5001,"&lt;&gt;")=0,"",SUMIFS(BD!$Y$3:$Y$5001,BD!$B$3:$B$5001,J$210,BD!$A$3:$A$5001,_xlfn.MAXIFS(BD!$A$3:$A$5001,BD!$B$3:$B$5001,J$210,BD!$A$3:$A$5001,"&gt;="&amp;$C$7,BD!$A$3:$A$5001,"&lt;="&amp;$B230,BD!$Y$3:$Y$5001,"&lt;&gt;"))))</f>
        <v/>
      </c>
      <c r="K230" s="54" t="str">
        <f>IF(OR($B230="",$A230&gt;$B$9,K$210=""),"",IF(COUNTIFS(BD!$B$3:$B$5001,K$210,BD!$A$3:$A$5001,"&gt;="&amp;$C$7,BD!$A$3:$A$5001,"&lt;="&amp;$B230,BD!$Y$3:$Y$5001,"&lt;&gt;")=0,"",SUMIFS(BD!$Y$3:$Y$5001,BD!$B$3:$B$5001,K$210,BD!$A$3:$A$5001,_xlfn.MAXIFS(BD!$A$3:$A$5001,BD!$B$3:$B$5001,K$210,BD!$A$3:$A$5001,"&gt;="&amp;$C$7,BD!$A$3:$A$5001,"&lt;="&amp;$B230,BD!$Y$3:$Y$5001,"&lt;&gt;"))))</f>
        <v/>
      </c>
      <c r="L230" s="54" t="str">
        <f>IF(OR($B230="",$A230&gt;$B$9,L$210=""),"",IF(COUNTIFS(BD!$B$3:$B$5001,L$210,BD!$A$3:$A$5001,"&gt;="&amp;$C$7,BD!$A$3:$A$5001,"&lt;="&amp;$B230,BD!$Y$3:$Y$5001,"&lt;&gt;")=0,"",SUMIFS(BD!$Y$3:$Y$5001,BD!$B$3:$B$5001,L$210,BD!$A$3:$A$5001,_xlfn.MAXIFS(BD!$A$3:$A$5001,BD!$B$3:$B$5001,L$210,BD!$A$3:$A$5001,"&gt;="&amp;$C$7,BD!$A$3:$A$5001,"&lt;="&amp;$B230,BD!$Y$3:$Y$5001,"&lt;&gt;"))))</f>
        <v/>
      </c>
      <c r="M230" s="54" t="str">
        <f>IF(OR($B230="",$A230&gt;$B$9,M$210=""),"",IF(COUNTIFS(BD!$B$3:$B$5001,M$210,BD!$A$3:$A$5001,"&gt;="&amp;$C$7,BD!$A$3:$A$5001,"&lt;="&amp;$B230,BD!$Y$3:$Y$5001,"&lt;&gt;")=0,"",SUMIFS(BD!$Y$3:$Y$5001,BD!$B$3:$B$5001,M$210,BD!$A$3:$A$5001,_xlfn.MAXIFS(BD!$A$3:$A$5001,BD!$B$3:$B$5001,M$210,BD!$A$3:$A$5001,"&gt;="&amp;$C$7,BD!$A$3:$A$5001,"&lt;="&amp;$B230,BD!$Y$3:$Y$5001,"&lt;&gt;"))))</f>
        <v/>
      </c>
      <c r="N230" s="54" t="str">
        <f>IF(OR($B230="",$A230&gt;$B$9,N$210=""),"",IF(COUNTIFS(BD!$B$3:$B$5001,N$210,BD!$A$3:$A$5001,"&gt;="&amp;$C$7,BD!$A$3:$A$5001,"&lt;="&amp;$B230,BD!$Y$3:$Y$5001,"&lt;&gt;")=0,"",SUMIFS(BD!$Y$3:$Y$5001,BD!$B$3:$B$5001,N$210,BD!$A$3:$A$5001,_xlfn.MAXIFS(BD!$A$3:$A$5001,BD!$B$3:$B$5001,N$210,BD!$A$3:$A$5001,"&gt;="&amp;$C$7,BD!$A$3:$A$5001,"&lt;="&amp;$B230,BD!$Y$3:$Y$5001,"&lt;&gt;"))))</f>
        <v/>
      </c>
      <c r="O230" s="54" t="str">
        <f>IF(OR($B230="",$A230&gt;$B$9,O$210=""),"",IF(COUNTIFS(BD!$B$3:$B$5001,O$210,BD!$A$3:$A$5001,"&gt;="&amp;$C$7,BD!$A$3:$A$5001,"&lt;="&amp;$B230,BD!$Y$3:$Y$5001,"&lt;&gt;")=0,"",SUMIFS(BD!$Y$3:$Y$5001,BD!$B$3:$B$5001,O$210,BD!$A$3:$A$5001,_xlfn.MAXIFS(BD!$A$3:$A$5001,BD!$B$3:$B$5001,O$210,BD!$A$3:$A$5001,"&gt;="&amp;$C$7,BD!$A$3:$A$5001,"&lt;="&amp;$B230,BD!$Y$3:$Y$5001,"&lt;&gt;"))))</f>
        <v/>
      </c>
      <c r="P230" s="54" t="str">
        <f>IF(OR($B230="",$A230&gt;$B$9,P$210=""),"",IF(COUNTIFS(BD!$B$3:$B$5001,P$210,BD!$A$3:$A$5001,"&gt;="&amp;$C$7,BD!$A$3:$A$5001,"&lt;="&amp;$B230,BD!$Y$3:$Y$5001,"&lt;&gt;")=0,"",SUMIFS(BD!$Y$3:$Y$5001,BD!$B$3:$B$5001,P$210,BD!$A$3:$A$5001,_xlfn.MAXIFS(BD!$A$3:$A$5001,BD!$B$3:$B$5001,P$210,BD!$A$3:$A$5001,"&gt;="&amp;$C$7,BD!$A$3:$A$5001,"&lt;="&amp;$B230,BD!$Y$3:$Y$5001,"&lt;&gt;"))))</f>
        <v/>
      </c>
      <c r="Q230" s="54" t="str">
        <f>IF(OR($B230="",$A230&gt;$B$9,Q$210=""),"",IF(COUNTIFS(BD!$B$3:$B$5001,Q$210,BD!$A$3:$A$5001,"&gt;="&amp;$C$7,BD!$A$3:$A$5001,"&lt;="&amp;$B230,BD!$Y$3:$Y$5001,"&lt;&gt;")=0,"",SUMIFS(BD!$Y$3:$Y$5001,BD!$B$3:$B$5001,Q$210,BD!$A$3:$A$5001,_xlfn.MAXIFS(BD!$A$3:$A$5001,BD!$B$3:$B$5001,Q$210,BD!$A$3:$A$5001,"&gt;="&amp;$C$7,BD!$A$3:$A$5001,"&lt;="&amp;$B230,BD!$Y$3:$Y$5001,"&lt;&gt;"))))</f>
        <v/>
      </c>
      <c r="R230" s="54" t="str">
        <f>IF(OR($B230="",$A230&gt;$B$9,R$210=""),"",IF(COUNTIFS(BD!$B$3:$B$5001,R$210,BD!$A$3:$A$5001,"&gt;="&amp;$C$7,BD!$A$3:$A$5001,"&lt;="&amp;$B230,BD!$Y$3:$Y$5001,"&lt;&gt;")=0,"",SUMIFS(BD!$Y$3:$Y$5001,BD!$B$3:$B$5001,R$210,BD!$A$3:$A$5001,_xlfn.MAXIFS(BD!$A$3:$A$5001,BD!$B$3:$B$5001,R$210,BD!$A$3:$A$5001,"&gt;="&amp;$C$7,BD!$A$3:$A$5001,"&lt;="&amp;$B230,BD!$Y$3:$Y$5001,"&lt;&gt;"))))</f>
        <v/>
      </c>
      <c r="S230" s="54" t="str">
        <f>IF(OR($B230="",$A230&gt;$B$9,S$210=""),"",IF(COUNTIFS(BD!$B$3:$B$5001,S$210,BD!$A$3:$A$5001,"&gt;="&amp;$C$7,BD!$A$3:$A$5001,"&lt;="&amp;$B230,BD!$Y$3:$Y$5001,"&lt;&gt;")=0,"",SUMIFS(BD!$Y$3:$Y$5001,BD!$B$3:$B$5001,S$210,BD!$A$3:$A$5001,_xlfn.MAXIFS(BD!$A$3:$A$5001,BD!$B$3:$B$5001,S$210,BD!$A$3:$A$5001,"&gt;="&amp;$C$7,BD!$A$3:$A$5001,"&lt;="&amp;$B230,BD!$Y$3:$Y$5001,"&lt;&gt;"))))</f>
        <v/>
      </c>
      <c r="T230" s="54" t="str">
        <f>IF(OR($B230="",$A230&gt;$B$9,T$210=""),"",IF(COUNTIFS(BD!$B$3:$B$5001,T$210,BD!$A$3:$A$5001,"&gt;="&amp;$C$7,BD!$A$3:$A$5001,"&lt;="&amp;$B230,BD!$Y$3:$Y$5001,"&lt;&gt;")=0,"",SUMIFS(BD!$Y$3:$Y$5001,BD!$B$3:$B$5001,T$210,BD!$A$3:$A$5001,_xlfn.MAXIFS(BD!$A$3:$A$5001,BD!$B$3:$B$5001,T$210,BD!$A$3:$A$5001,"&gt;="&amp;$C$7,BD!$A$3:$A$5001,"&lt;="&amp;$B230,BD!$Y$3:$Y$5001,"&lt;&gt;"))))</f>
        <v/>
      </c>
      <c r="U230" s="54" t="str">
        <f>IF(OR($B230="",$A230&gt;$B$9,U$210=""),"",IF(COUNTIFS(BD!$B$3:$B$5001,U$210,BD!$A$3:$A$5001,"&gt;="&amp;$C$7,BD!$A$3:$A$5001,"&lt;="&amp;$B230,BD!$Y$3:$Y$5001,"&lt;&gt;")=0,"",SUMIFS(BD!$Y$3:$Y$5001,BD!$B$3:$B$5001,U$210,BD!$A$3:$A$5001,_xlfn.MAXIFS(BD!$A$3:$A$5001,BD!$B$3:$B$5001,U$210,BD!$A$3:$A$5001,"&gt;="&amp;$C$7,BD!$A$3:$A$5001,"&lt;="&amp;$B230,BD!$Y$3:$Y$5001,"&lt;&gt;"))))</f>
        <v/>
      </c>
      <c r="V230" s="54" t="str">
        <f>IF(OR($B230="",$A230&gt;$B$9,V$210=""),"",IF(COUNTIFS(BD!$B$3:$B$5001,V$210,BD!$A$3:$A$5001,"&gt;="&amp;$C$7,BD!$A$3:$A$5001,"&lt;="&amp;$B230,BD!$Y$3:$Y$5001,"&lt;&gt;")=0,"",SUMIFS(BD!$Y$3:$Y$5001,BD!$B$3:$B$5001,V$210,BD!$A$3:$A$5001,_xlfn.MAXIFS(BD!$A$3:$A$5001,BD!$B$3:$B$5001,V$210,BD!$A$3:$A$5001,"&gt;="&amp;$C$7,BD!$A$3:$A$5001,"&lt;="&amp;$B230,BD!$Y$3:$Y$5001,"&lt;&gt;"))))</f>
        <v/>
      </c>
    </row>
    <row r="231">
      <c r="A231" s="48">
        <v>21</v>
      </c>
      <c r="B231" s="53">
        <f>$B$32</f>
        <v>46316</v>
      </c>
      <c r="C231" s="54" t="str">
        <f>IF(OR($B231="",$A231&gt;$B$9,C$210=""),"",IF(COUNTIFS(BD!$B$3:$B$5001,C$210,BD!$A$3:$A$5001,"&gt;="&amp;$C$7,BD!$A$3:$A$5001,"&lt;="&amp;$B231,BD!$Y$3:$Y$5001,"&lt;&gt;")=0,"",SUMIFS(BD!$Y$3:$Y$5001,BD!$B$3:$B$5001,C$210,BD!$A$3:$A$5001,_xlfn.MAXIFS(BD!$A$3:$A$5001,BD!$B$3:$B$5001,C$210,BD!$A$3:$A$5001,"&gt;="&amp;$C$7,BD!$A$3:$A$5001,"&lt;="&amp;$B231,BD!$Y$3:$Y$5001,"&lt;&gt;"))))</f>
        <v/>
      </c>
      <c r="D231" s="54" t="str">
        <f>IF(OR($B231="",$A231&gt;$B$9,D$210=""),"",IF(COUNTIFS(BD!$B$3:$B$5001,D$210,BD!$A$3:$A$5001,"&gt;="&amp;$C$7,BD!$A$3:$A$5001,"&lt;="&amp;$B231,BD!$Y$3:$Y$5001,"&lt;&gt;")=0,"",SUMIFS(BD!$Y$3:$Y$5001,BD!$B$3:$B$5001,D$210,BD!$A$3:$A$5001,_xlfn.MAXIFS(BD!$A$3:$A$5001,BD!$B$3:$B$5001,D$210,BD!$A$3:$A$5001,"&gt;="&amp;$C$7,BD!$A$3:$A$5001,"&lt;="&amp;$B231,BD!$Y$3:$Y$5001,"&lt;&gt;"))))</f>
        <v/>
      </c>
      <c r="E231" s="54" t="str">
        <f>IF(OR($B231="",$A231&gt;$B$9,E$210=""),"",IF(COUNTIFS(BD!$B$3:$B$5001,E$210,BD!$A$3:$A$5001,"&gt;="&amp;$C$7,BD!$A$3:$A$5001,"&lt;="&amp;$B231,BD!$Y$3:$Y$5001,"&lt;&gt;")=0,"",SUMIFS(BD!$Y$3:$Y$5001,BD!$B$3:$B$5001,E$210,BD!$A$3:$A$5001,_xlfn.MAXIFS(BD!$A$3:$A$5001,BD!$B$3:$B$5001,E$210,BD!$A$3:$A$5001,"&gt;="&amp;$C$7,BD!$A$3:$A$5001,"&lt;="&amp;$B231,BD!$Y$3:$Y$5001,"&lt;&gt;"))))</f>
        <v/>
      </c>
      <c r="F231" s="54" t="str">
        <f>IF(OR($B231="",$A231&gt;$B$9,F$210=""),"",IF(COUNTIFS(BD!$B$3:$B$5001,F$210,BD!$A$3:$A$5001,"&gt;="&amp;$C$7,BD!$A$3:$A$5001,"&lt;="&amp;$B231,BD!$Y$3:$Y$5001,"&lt;&gt;")=0,"",SUMIFS(BD!$Y$3:$Y$5001,BD!$B$3:$B$5001,F$210,BD!$A$3:$A$5001,_xlfn.MAXIFS(BD!$A$3:$A$5001,BD!$B$3:$B$5001,F$210,BD!$A$3:$A$5001,"&gt;="&amp;$C$7,BD!$A$3:$A$5001,"&lt;="&amp;$B231,BD!$Y$3:$Y$5001,"&lt;&gt;"))))</f>
        <v/>
      </c>
      <c r="G231" s="54" t="str">
        <f>IF(OR($B231="",$A231&gt;$B$9,G$210=""),"",IF(COUNTIFS(BD!$B$3:$B$5001,G$210,BD!$A$3:$A$5001,"&gt;="&amp;$C$7,BD!$A$3:$A$5001,"&lt;="&amp;$B231,BD!$Y$3:$Y$5001,"&lt;&gt;")=0,"",SUMIFS(BD!$Y$3:$Y$5001,BD!$B$3:$B$5001,G$210,BD!$A$3:$A$5001,_xlfn.MAXIFS(BD!$A$3:$A$5001,BD!$B$3:$B$5001,G$210,BD!$A$3:$A$5001,"&gt;="&amp;$C$7,BD!$A$3:$A$5001,"&lt;="&amp;$B231,BD!$Y$3:$Y$5001,"&lt;&gt;"))))</f>
        <v/>
      </c>
      <c r="H231" s="54" t="str">
        <f>IF(OR($B231="",$A231&gt;$B$9,H$210=""),"",IF(COUNTIFS(BD!$B$3:$B$5001,H$210,BD!$A$3:$A$5001,"&gt;="&amp;$C$7,BD!$A$3:$A$5001,"&lt;="&amp;$B231,BD!$Y$3:$Y$5001,"&lt;&gt;")=0,"",SUMIFS(BD!$Y$3:$Y$5001,BD!$B$3:$B$5001,H$210,BD!$A$3:$A$5001,_xlfn.MAXIFS(BD!$A$3:$A$5001,BD!$B$3:$B$5001,H$210,BD!$A$3:$A$5001,"&gt;="&amp;$C$7,BD!$A$3:$A$5001,"&lt;="&amp;$B231,BD!$Y$3:$Y$5001,"&lt;&gt;"))))</f>
        <v/>
      </c>
      <c r="I231" s="54" t="str">
        <f>IF(OR($B231="",$A231&gt;$B$9,I$210=""),"",IF(COUNTIFS(BD!$B$3:$B$5001,I$210,BD!$A$3:$A$5001,"&gt;="&amp;$C$7,BD!$A$3:$A$5001,"&lt;="&amp;$B231,BD!$Y$3:$Y$5001,"&lt;&gt;")=0,"",SUMIFS(BD!$Y$3:$Y$5001,BD!$B$3:$B$5001,I$210,BD!$A$3:$A$5001,_xlfn.MAXIFS(BD!$A$3:$A$5001,BD!$B$3:$B$5001,I$210,BD!$A$3:$A$5001,"&gt;="&amp;$C$7,BD!$A$3:$A$5001,"&lt;="&amp;$B231,BD!$Y$3:$Y$5001,"&lt;&gt;"))))</f>
        <v/>
      </c>
      <c r="J231" s="54" t="str">
        <f>IF(OR($B231="",$A231&gt;$B$9,J$210=""),"",IF(COUNTIFS(BD!$B$3:$B$5001,J$210,BD!$A$3:$A$5001,"&gt;="&amp;$C$7,BD!$A$3:$A$5001,"&lt;="&amp;$B231,BD!$Y$3:$Y$5001,"&lt;&gt;")=0,"",SUMIFS(BD!$Y$3:$Y$5001,BD!$B$3:$B$5001,J$210,BD!$A$3:$A$5001,_xlfn.MAXIFS(BD!$A$3:$A$5001,BD!$B$3:$B$5001,J$210,BD!$A$3:$A$5001,"&gt;="&amp;$C$7,BD!$A$3:$A$5001,"&lt;="&amp;$B231,BD!$Y$3:$Y$5001,"&lt;&gt;"))))</f>
        <v/>
      </c>
      <c r="K231" s="54" t="str">
        <f>IF(OR($B231="",$A231&gt;$B$9,K$210=""),"",IF(COUNTIFS(BD!$B$3:$B$5001,K$210,BD!$A$3:$A$5001,"&gt;="&amp;$C$7,BD!$A$3:$A$5001,"&lt;="&amp;$B231,BD!$Y$3:$Y$5001,"&lt;&gt;")=0,"",SUMIFS(BD!$Y$3:$Y$5001,BD!$B$3:$B$5001,K$210,BD!$A$3:$A$5001,_xlfn.MAXIFS(BD!$A$3:$A$5001,BD!$B$3:$B$5001,K$210,BD!$A$3:$A$5001,"&gt;="&amp;$C$7,BD!$A$3:$A$5001,"&lt;="&amp;$B231,BD!$Y$3:$Y$5001,"&lt;&gt;"))))</f>
        <v/>
      </c>
      <c r="L231" s="54" t="str">
        <f>IF(OR($B231="",$A231&gt;$B$9,L$210=""),"",IF(COUNTIFS(BD!$B$3:$B$5001,L$210,BD!$A$3:$A$5001,"&gt;="&amp;$C$7,BD!$A$3:$A$5001,"&lt;="&amp;$B231,BD!$Y$3:$Y$5001,"&lt;&gt;")=0,"",SUMIFS(BD!$Y$3:$Y$5001,BD!$B$3:$B$5001,L$210,BD!$A$3:$A$5001,_xlfn.MAXIFS(BD!$A$3:$A$5001,BD!$B$3:$B$5001,L$210,BD!$A$3:$A$5001,"&gt;="&amp;$C$7,BD!$A$3:$A$5001,"&lt;="&amp;$B231,BD!$Y$3:$Y$5001,"&lt;&gt;"))))</f>
        <v/>
      </c>
      <c r="M231" s="54" t="str">
        <f>IF(OR($B231="",$A231&gt;$B$9,M$210=""),"",IF(COUNTIFS(BD!$B$3:$B$5001,M$210,BD!$A$3:$A$5001,"&gt;="&amp;$C$7,BD!$A$3:$A$5001,"&lt;="&amp;$B231,BD!$Y$3:$Y$5001,"&lt;&gt;")=0,"",SUMIFS(BD!$Y$3:$Y$5001,BD!$B$3:$B$5001,M$210,BD!$A$3:$A$5001,_xlfn.MAXIFS(BD!$A$3:$A$5001,BD!$B$3:$B$5001,M$210,BD!$A$3:$A$5001,"&gt;="&amp;$C$7,BD!$A$3:$A$5001,"&lt;="&amp;$B231,BD!$Y$3:$Y$5001,"&lt;&gt;"))))</f>
        <v/>
      </c>
      <c r="N231" s="54" t="str">
        <f>IF(OR($B231="",$A231&gt;$B$9,N$210=""),"",IF(COUNTIFS(BD!$B$3:$B$5001,N$210,BD!$A$3:$A$5001,"&gt;="&amp;$C$7,BD!$A$3:$A$5001,"&lt;="&amp;$B231,BD!$Y$3:$Y$5001,"&lt;&gt;")=0,"",SUMIFS(BD!$Y$3:$Y$5001,BD!$B$3:$B$5001,N$210,BD!$A$3:$A$5001,_xlfn.MAXIFS(BD!$A$3:$A$5001,BD!$B$3:$B$5001,N$210,BD!$A$3:$A$5001,"&gt;="&amp;$C$7,BD!$A$3:$A$5001,"&lt;="&amp;$B231,BD!$Y$3:$Y$5001,"&lt;&gt;"))))</f>
        <v/>
      </c>
      <c r="O231" s="54" t="str">
        <f>IF(OR($B231="",$A231&gt;$B$9,O$210=""),"",IF(COUNTIFS(BD!$B$3:$B$5001,O$210,BD!$A$3:$A$5001,"&gt;="&amp;$C$7,BD!$A$3:$A$5001,"&lt;="&amp;$B231,BD!$Y$3:$Y$5001,"&lt;&gt;")=0,"",SUMIFS(BD!$Y$3:$Y$5001,BD!$B$3:$B$5001,O$210,BD!$A$3:$A$5001,_xlfn.MAXIFS(BD!$A$3:$A$5001,BD!$B$3:$B$5001,O$210,BD!$A$3:$A$5001,"&gt;="&amp;$C$7,BD!$A$3:$A$5001,"&lt;="&amp;$B231,BD!$Y$3:$Y$5001,"&lt;&gt;"))))</f>
        <v/>
      </c>
      <c r="P231" s="54" t="str">
        <f>IF(OR($B231="",$A231&gt;$B$9,P$210=""),"",IF(COUNTIFS(BD!$B$3:$B$5001,P$210,BD!$A$3:$A$5001,"&gt;="&amp;$C$7,BD!$A$3:$A$5001,"&lt;="&amp;$B231,BD!$Y$3:$Y$5001,"&lt;&gt;")=0,"",SUMIFS(BD!$Y$3:$Y$5001,BD!$B$3:$B$5001,P$210,BD!$A$3:$A$5001,_xlfn.MAXIFS(BD!$A$3:$A$5001,BD!$B$3:$B$5001,P$210,BD!$A$3:$A$5001,"&gt;="&amp;$C$7,BD!$A$3:$A$5001,"&lt;="&amp;$B231,BD!$Y$3:$Y$5001,"&lt;&gt;"))))</f>
        <v/>
      </c>
      <c r="Q231" s="54" t="str">
        <f>IF(OR($B231="",$A231&gt;$B$9,Q$210=""),"",IF(COUNTIFS(BD!$B$3:$B$5001,Q$210,BD!$A$3:$A$5001,"&gt;="&amp;$C$7,BD!$A$3:$A$5001,"&lt;="&amp;$B231,BD!$Y$3:$Y$5001,"&lt;&gt;")=0,"",SUMIFS(BD!$Y$3:$Y$5001,BD!$B$3:$B$5001,Q$210,BD!$A$3:$A$5001,_xlfn.MAXIFS(BD!$A$3:$A$5001,BD!$B$3:$B$5001,Q$210,BD!$A$3:$A$5001,"&gt;="&amp;$C$7,BD!$A$3:$A$5001,"&lt;="&amp;$B231,BD!$Y$3:$Y$5001,"&lt;&gt;"))))</f>
        <v/>
      </c>
      <c r="R231" s="54" t="str">
        <f>IF(OR($B231="",$A231&gt;$B$9,R$210=""),"",IF(COUNTIFS(BD!$B$3:$B$5001,R$210,BD!$A$3:$A$5001,"&gt;="&amp;$C$7,BD!$A$3:$A$5001,"&lt;="&amp;$B231,BD!$Y$3:$Y$5001,"&lt;&gt;")=0,"",SUMIFS(BD!$Y$3:$Y$5001,BD!$B$3:$B$5001,R$210,BD!$A$3:$A$5001,_xlfn.MAXIFS(BD!$A$3:$A$5001,BD!$B$3:$B$5001,R$210,BD!$A$3:$A$5001,"&gt;="&amp;$C$7,BD!$A$3:$A$5001,"&lt;="&amp;$B231,BD!$Y$3:$Y$5001,"&lt;&gt;"))))</f>
        <v/>
      </c>
      <c r="S231" s="54" t="str">
        <f>IF(OR($B231="",$A231&gt;$B$9,S$210=""),"",IF(COUNTIFS(BD!$B$3:$B$5001,S$210,BD!$A$3:$A$5001,"&gt;="&amp;$C$7,BD!$A$3:$A$5001,"&lt;="&amp;$B231,BD!$Y$3:$Y$5001,"&lt;&gt;")=0,"",SUMIFS(BD!$Y$3:$Y$5001,BD!$B$3:$B$5001,S$210,BD!$A$3:$A$5001,_xlfn.MAXIFS(BD!$A$3:$A$5001,BD!$B$3:$B$5001,S$210,BD!$A$3:$A$5001,"&gt;="&amp;$C$7,BD!$A$3:$A$5001,"&lt;="&amp;$B231,BD!$Y$3:$Y$5001,"&lt;&gt;"))))</f>
        <v/>
      </c>
      <c r="T231" s="54" t="str">
        <f>IF(OR($B231="",$A231&gt;$B$9,T$210=""),"",IF(COUNTIFS(BD!$B$3:$B$5001,T$210,BD!$A$3:$A$5001,"&gt;="&amp;$C$7,BD!$A$3:$A$5001,"&lt;="&amp;$B231,BD!$Y$3:$Y$5001,"&lt;&gt;")=0,"",SUMIFS(BD!$Y$3:$Y$5001,BD!$B$3:$B$5001,T$210,BD!$A$3:$A$5001,_xlfn.MAXIFS(BD!$A$3:$A$5001,BD!$B$3:$B$5001,T$210,BD!$A$3:$A$5001,"&gt;="&amp;$C$7,BD!$A$3:$A$5001,"&lt;="&amp;$B231,BD!$Y$3:$Y$5001,"&lt;&gt;"))))</f>
        <v/>
      </c>
      <c r="U231" s="54" t="str">
        <f>IF(OR($B231="",$A231&gt;$B$9,U$210=""),"",IF(COUNTIFS(BD!$B$3:$B$5001,U$210,BD!$A$3:$A$5001,"&gt;="&amp;$C$7,BD!$A$3:$A$5001,"&lt;="&amp;$B231,BD!$Y$3:$Y$5001,"&lt;&gt;")=0,"",SUMIFS(BD!$Y$3:$Y$5001,BD!$B$3:$B$5001,U$210,BD!$A$3:$A$5001,_xlfn.MAXIFS(BD!$A$3:$A$5001,BD!$B$3:$B$5001,U$210,BD!$A$3:$A$5001,"&gt;="&amp;$C$7,BD!$A$3:$A$5001,"&lt;="&amp;$B231,BD!$Y$3:$Y$5001,"&lt;&gt;"))))</f>
        <v/>
      </c>
      <c r="V231" s="54" t="str">
        <f>IF(OR($B231="",$A231&gt;$B$9,V$210=""),"",IF(COUNTIFS(BD!$B$3:$B$5001,V$210,BD!$A$3:$A$5001,"&gt;="&amp;$C$7,BD!$A$3:$A$5001,"&lt;="&amp;$B231,BD!$Y$3:$Y$5001,"&lt;&gt;")=0,"",SUMIFS(BD!$Y$3:$Y$5001,BD!$B$3:$B$5001,V$210,BD!$A$3:$A$5001,_xlfn.MAXIFS(BD!$A$3:$A$5001,BD!$B$3:$B$5001,V$210,BD!$A$3:$A$5001,"&gt;="&amp;$C$7,BD!$A$3:$A$5001,"&lt;="&amp;$B231,BD!$Y$3:$Y$5001,"&lt;&gt;"))))</f>
        <v/>
      </c>
    </row>
    <row r="232">
      <c r="A232" s="48">
        <v>22</v>
      </c>
      <c r="B232" s="53">
        <f>$B$33</f>
        <v>46317</v>
      </c>
      <c r="C232" s="54" t="str">
        <f>IF(OR($B232="",$A232&gt;$B$9,C$210=""),"",IF(COUNTIFS(BD!$B$3:$B$5001,C$210,BD!$A$3:$A$5001,"&gt;="&amp;$C$7,BD!$A$3:$A$5001,"&lt;="&amp;$B232,BD!$Y$3:$Y$5001,"&lt;&gt;")=0,"",SUMIFS(BD!$Y$3:$Y$5001,BD!$B$3:$B$5001,C$210,BD!$A$3:$A$5001,_xlfn.MAXIFS(BD!$A$3:$A$5001,BD!$B$3:$B$5001,C$210,BD!$A$3:$A$5001,"&gt;="&amp;$C$7,BD!$A$3:$A$5001,"&lt;="&amp;$B232,BD!$Y$3:$Y$5001,"&lt;&gt;"))))</f>
        <v/>
      </c>
      <c r="D232" s="54" t="str">
        <f>IF(OR($B232="",$A232&gt;$B$9,D$210=""),"",IF(COUNTIFS(BD!$B$3:$B$5001,D$210,BD!$A$3:$A$5001,"&gt;="&amp;$C$7,BD!$A$3:$A$5001,"&lt;="&amp;$B232,BD!$Y$3:$Y$5001,"&lt;&gt;")=0,"",SUMIFS(BD!$Y$3:$Y$5001,BD!$B$3:$B$5001,D$210,BD!$A$3:$A$5001,_xlfn.MAXIFS(BD!$A$3:$A$5001,BD!$B$3:$B$5001,D$210,BD!$A$3:$A$5001,"&gt;="&amp;$C$7,BD!$A$3:$A$5001,"&lt;="&amp;$B232,BD!$Y$3:$Y$5001,"&lt;&gt;"))))</f>
        <v/>
      </c>
      <c r="E232" s="54" t="str">
        <f>IF(OR($B232="",$A232&gt;$B$9,E$210=""),"",IF(COUNTIFS(BD!$B$3:$B$5001,E$210,BD!$A$3:$A$5001,"&gt;="&amp;$C$7,BD!$A$3:$A$5001,"&lt;="&amp;$B232,BD!$Y$3:$Y$5001,"&lt;&gt;")=0,"",SUMIFS(BD!$Y$3:$Y$5001,BD!$B$3:$B$5001,E$210,BD!$A$3:$A$5001,_xlfn.MAXIFS(BD!$A$3:$A$5001,BD!$B$3:$B$5001,E$210,BD!$A$3:$A$5001,"&gt;="&amp;$C$7,BD!$A$3:$A$5001,"&lt;="&amp;$B232,BD!$Y$3:$Y$5001,"&lt;&gt;"))))</f>
        <v/>
      </c>
      <c r="F232" s="54" t="str">
        <f>IF(OR($B232="",$A232&gt;$B$9,F$210=""),"",IF(COUNTIFS(BD!$B$3:$B$5001,F$210,BD!$A$3:$A$5001,"&gt;="&amp;$C$7,BD!$A$3:$A$5001,"&lt;="&amp;$B232,BD!$Y$3:$Y$5001,"&lt;&gt;")=0,"",SUMIFS(BD!$Y$3:$Y$5001,BD!$B$3:$B$5001,F$210,BD!$A$3:$A$5001,_xlfn.MAXIFS(BD!$A$3:$A$5001,BD!$B$3:$B$5001,F$210,BD!$A$3:$A$5001,"&gt;="&amp;$C$7,BD!$A$3:$A$5001,"&lt;="&amp;$B232,BD!$Y$3:$Y$5001,"&lt;&gt;"))))</f>
        <v/>
      </c>
      <c r="G232" s="54" t="str">
        <f>IF(OR($B232="",$A232&gt;$B$9,G$210=""),"",IF(COUNTIFS(BD!$B$3:$B$5001,G$210,BD!$A$3:$A$5001,"&gt;="&amp;$C$7,BD!$A$3:$A$5001,"&lt;="&amp;$B232,BD!$Y$3:$Y$5001,"&lt;&gt;")=0,"",SUMIFS(BD!$Y$3:$Y$5001,BD!$B$3:$B$5001,G$210,BD!$A$3:$A$5001,_xlfn.MAXIFS(BD!$A$3:$A$5001,BD!$B$3:$B$5001,G$210,BD!$A$3:$A$5001,"&gt;="&amp;$C$7,BD!$A$3:$A$5001,"&lt;="&amp;$B232,BD!$Y$3:$Y$5001,"&lt;&gt;"))))</f>
        <v/>
      </c>
      <c r="H232" s="54" t="str">
        <f>IF(OR($B232="",$A232&gt;$B$9,H$210=""),"",IF(COUNTIFS(BD!$B$3:$B$5001,H$210,BD!$A$3:$A$5001,"&gt;="&amp;$C$7,BD!$A$3:$A$5001,"&lt;="&amp;$B232,BD!$Y$3:$Y$5001,"&lt;&gt;")=0,"",SUMIFS(BD!$Y$3:$Y$5001,BD!$B$3:$B$5001,H$210,BD!$A$3:$A$5001,_xlfn.MAXIFS(BD!$A$3:$A$5001,BD!$B$3:$B$5001,H$210,BD!$A$3:$A$5001,"&gt;="&amp;$C$7,BD!$A$3:$A$5001,"&lt;="&amp;$B232,BD!$Y$3:$Y$5001,"&lt;&gt;"))))</f>
        <v/>
      </c>
      <c r="I232" s="54" t="str">
        <f>IF(OR($B232="",$A232&gt;$B$9,I$210=""),"",IF(COUNTIFS(BD!$B$3:$B$5001,I$210,BD!$A$3:$A$5001,"&gt;="&amp;$C$7,BD!$A$3:$A$5001,"&lt;="&amp;$B232,BD!$Y$3:$Y$5001,"&lt;&gt;")=0,"",SUMIFS(BD!$Y$3:$Y$5001,BD!$B$3:$B$5001,I$210,BD!$A$3:$A$5001,_xlfn.MAXIFS(BD!$A$3:$A$5001,BD!$B$3:$B$5001,I$210,BD!$A$3:$A$5001,"&gt;="&amp;$C$7,BD!$A$3:$A$5001,"&lt;="&amp;$B232,BD!$Y$3:$Y$5001,"&lt;&gt;"))))</f>
        <v/>
      </c>
      <c r="J232" s="54" t="str">
        <f>IF(OR($B232="",$A232&gt;$B$9,J$210=""),"",IF(COUNTIFS(BD!$B$3:$B$5001,J$210,BD!$A$3:$A$5001,"&gt;="&amp;$C$7,BD!$A$3:$A$5001,"&lt;="&amp;$B232,BD!$Y$3:$Y$5001,"&lt;&gt;")=0,"",SUMIFS(BD!$Y$3:$Y$5001,BD!$B$3:$B$5001,J$210,BD!$A$3:$A$5001,_xlfn.MAXIFS(BD!$A$3:$A$5001,BD!$B$3:$B$5001,J$210,BD!$A$3:$A$5001,"&gt;="&amp;$C$7,BD!$A$3:$A$5001,"&lt;="&amp;$B232,BD!$Y$3:$Y$5001,"&lt;&gt;"))))</f>
        <v/>
      </c>
      <c r="K232" s="54" t="str">
        <f>IF(OR($B232="",$A232&gt;$B$9,K$210=""),"",IF(COUNTIFS(BD!$B$3:$B$5001,K$210,BD!$A$3:$A$5001,"&gt;="&amp;$C$7,BD!$A$3:$A$5001,"&lt;="&amp;$B232,BD!$Y$3:$Y$5001,"&lt;&gt;")=0,"",SUMIFS(BD!$Y$3:$Y$5001,BD!$B$3:$B$5001,K$210,BD!$A$3:$A$5001,_xlfn.MAXIFS(BD!$A$3:$A$5001,BD!$B$3:$B$5001,K$210,BD!$A$3:$A$5001,"&gt;="&amp;$C$7,BD!$A$3:$A$5001,"&lt;="&amp;$B232,BD!$Y$3:$Y$5001,"&lt;&gt;"))))</f>
        <v/>
      </c>
      <c r="L232" s="54" t="str">
        <f>IF(OR($B232="",$A232&gt;$B$9,L$210=""),"",IF(COUNTIFS(BD!$B$3:$B$5001,L$210,BD!$A$3:$A$5001,"&gt;="&amp;$C$7,BD!$A$3:$A$5001,"&lt;="&amp;$B232,BD!$Y$3:$Y$5001,"&lt;&gt;")=0,"",SUMIFS(BD!$Y$3:$Y$5001,BD!$B$3:$B$5001,L$210,BD!$A$3:$A$5001,_xlfn.MAXIFS(BD!$A$3:$A$5001,BD!$B$3:$B$5001,L$210,BD!$A$3:$A$5001,"&gt;="&amp;$C$7,BD!$A$3:$A$5001,"&lt;="&amp;$B232,BD!$Y$3:$Y$5001,"&lt;&gt;"))))</f>
        <v/>
      </c>
      <c r="M232" s="54" t="str">
        <f>IF(OR($B232="",$A232&gt;$B$9,M$210=""),"",IF(COUNTIFS(BD!$B$3:$B$5001,M$210,BD!$A$3:$A$5001,"&gt;="&amp;$C$7,BD!$A$3:$A$5001,"&lt;="&amp;$B232,BD!$Y$3:$Y$5001,"&lt;&gt;")=0,"",SUMIFS(BD!$Y$3:$Y$5001,BD!$B$3:$B$5001,M$210,BD!$A$3:$A$5001,_xlfn.MAXIFS(BD!$A$3:$A$5001,BD!$B$3:$B$5001,M$210,BD!$A$3:$A$5001,"&gt;="&amp;$C$7,BD!$A$3:$A$5001,"&lt;="&amp;$B232,BD!$Y$3:$Y$5001,"&lt;&gt;"))))</f>
        <v/>
      </c>
      <c r="N232" s="54" t="str">
        <f>IF(OR($B232="",$A232&gt;$B$9,N$210=""),"",IF(COUNTIFS(BD!$B$3:$B$5001,N$210,BD!$A$3:$A$5001,"&gt;="&amp;$C$7,BD!$A$3:$A$5001,"&lt;="&amp;$B232,BD!$Y$3:$Y$5001,"&lt;&gt;")=0,"",SUMIFS(BD!$Y$3:$Y$5001,BD!$B$3:$B$5001,N$210,BD!$A$3:$A$5001,_xlfn.MAXIFS(BD!$A$3:$A$5001,BD!$B$3:$B$5001,N$210,BD!$A$3:$A$5001,"&gt;="&amp;$C$7,BD!$A$3:$A$5001,"&lt;="&amp;$B232,BD!$Y$3:$Y$5001,"&lt;&gt;"))))</f>
        <v/>
      </c>
      <c r="O232" s="54" t="str">
        <f>IF(OR($B232="",$A232&gt;$B$9,O$210=""),"",IF(COUNTIFS(BD!$B$3:$B$5001,O$210,BD!$A$3:$A$5001,"&gt;="&amp;$C$7,BD!$A$3:$A$5001,"&lt;="&amp;$B232,BD!$Y$3:$Y$5001,"&lt;&gt;")=0,"",SUMIFS(BD!$Y$3:$Y$5001,BD!$B$3:$B$5001,O$210,BD!$A$3:$A$5001,_xlfn.MAXIFS(BD!$A$3:$A$5001,BD!$B$3:$B$5001,O$210,BD!$A$3:$A$5001,"&gt;="&amp;$C$7,BD!$A$3:$A$5001,"&lt;="&amp;$B232,BD!$Y$3:$Y$5001,"&lt;&gt;"))))</f>
        <v/>
      </c>
      <c r="P232" s="54" t="str">
        <f>IF(OR($B232="",$A232&gt;$B$9,P$210=""),"",IF(COUNTIFS(BD!$B$3:$B$5001,P$210,BD!$A$3:$A$5001,"&gt;="&amp;$C$7,BD!$A$3:$A$5001,"&lt;="&amp;$B232,BD!$Y$3:$Y$5001,"&lt;&gt;")=0,"",SUMIFS(BD!$Y$3:$Y$5001,BD!$B$3:$B$5001,P$210,BD!$A$3:$A$5001,_xlfn.MAXIFS(BD!$A$3:$A$5001,BD!$B$3:$B$5001,P$210,BD!$A$3:$A$5001,"&gt;="&amp;$C$7,BD!$A$3:$A$5001,"&lt;="&amp;$B232,BD!$Y$3:$Y$5001,"&lt;&gt;"))))</f>
        <v/>
      </c>
      <c r="Q232" s="54" t="str">
        <f>IF(OR($B232="",$A232&gt;$B$9,Q$210=""),"",IF(COUNTIFS(BD!$B$3:$B$5001,Q$210,BD!$A$3:$A$5001,"&gt;="&amp;$C$7,BD!$A$3:$A$5001,"&lt;="&amp;$B232,BD!$Y$3:$Y$5001,"&lt;&gt;")=0,"",SUMIFS(BD!$Y$3:$Y$5001,BD!$B$3:$B$5001,Q$210,BD!$A$3:$A$5001,_xlfn.MAXIFS(BD!$A$3:$A$5001,BD!$B$3:$B$5001,Q$210,BD!$A$3:$A$5001,"&gt;="&amp;$C$7,BD!$A$3:$A$5001,"&lt;="&amp;$B232,BD!$Y$3:$Y$5001,"&lt;&gt;"))))</f>
        <v/>
      </c>
      <c r="R232" s="54" t="str">
        <f>IF(OR($B232="",$A232&gt;$B$9,R$210=""),"",IF(COUNTIFS(BD!$B$3:$B$5001,R$210,BD!$A$3:$A$5001,"&gt;="&amp;$C$7,BD!$A$3:$A$5001,"&lt;="&amp;$B232,BD!$Y$3:$Y$5001,"&lt;&gt;")=0,"",SUMIFS(BD!$Y$3:$Y$5001,BD!$B$3:$B$5001,R$210,BD!$A$3:$A$5001,_xlfn.MAXIFS(BD!$A$3:$A$5001,BD!$B$3:$B$5001,R$210,BD!$A$3:$A$5001,"&gt;="&amp;$C$7,BD!$A$3:$A$5001,"&lt;="&amp;$B232,BD!$Y$3:$Y$5001,"&lt;&gt;"))))</f>
        <v/>
      </c>
      <c r="S232" s="54" t="str">
        <f>IF(OR($B232="",$A232&gt;$B$9,S$210=""),"",IF(COUNTIFS(BD!$B$3:$B$5001,S$210,BD!$A$3:$A$5001,"&gt;="&amp;$C$7,BD!$A$3:$A$5001,"&lt;="&amp;$B232,BD!$Y$3:$Y$5001,"&lt;&gt;")=0,"",SUMIFS(BD!$Y$3:$Y$5001,BD!$B$3:$B$5001,S$210,BD!$A$3:$A$5001,_xlfn.MAXIFS(BD!$A$3:$A$5001,BD!$B$3:$B$5001,S$210,BD!$A$3:$A$5001,"&gt;="&amp;$C$7,BD!$A$3:$A$5001,"&lt;="&amp;$B232,BD!$Y$3:$Y$5001,"&lt;&gt;"))))</f>
        <v/>
      </c>
      <c r="T232" s="54" t="str">
        <f>IF(OR($B232="",$A232&gt;$B$9,T$210=""),"",IF(COUNTIFS(BD!$B$3:$B$5001,T$210,BD!$A$3:$A$5001,"&gt;="&amp;$C$7,BD!$A$3:$A$5001,"&lt;="&amp;$B232,BD!$Y$3:$Y$5001,"&lt;&gt;")=0,"",SUMIFS(BD!$Y$3:$Y$5001,BD!$B$3:$B$5001,T$210,BD!$A$3:$A$5001,_xlfn.MAXIFS(BD!$A$3:$A$5001,BD!$B$3:$B$5001,T$210,BD!$A$3:$A$5001,"&gt;="&amp;$C$7,BD!$A$3:$A$5001,"&lt;="&amp;$B232,BD!$Y$3:$Y$5001,"&lt;&gt;"))))</f>
        <v/>
      </c>
      <c r="U232" s="54" t="str">
        <f>IF(OR($B232="",$A232&gt;$B$9,U$210=""),"",IF(COUNTIFS(BD!$B$3:$B$5001,U$210,BD!$A$3:$A$5001,"&gt;="&amp;$C$7,BD!$A$3:$A$5001,"&lt;="&amp;$B232,BD!$Y$3:$Y$5001,"&lt;&gt;")=0,"",SUMIFS(BD!$Y$3:$Y$5001,BD!$B$3:$B$5001,U$210,BD!$A$3:$A$5001,_xlfn.MAXIFS(BD!$A$3:$A$5001,BD!$B$3:$B$5001,U$210,BD!$A$3:$A$5001,"&gt;="&amp;$C$7,BD!$A$3:$A$5001,"&lt;="&amp;$B232,BD!$Y$3:$Y$5001,"&lt;&gt;"))))</f>
        <v/>
      </c>
      <c r="V232" s="54" t="str">
        <f>IF(OR($B232="",$A232&gt;$B$9,V$210=""),"",IF(COUNTIFS(BD!$B$3:$B$5001,V$210,BD!$A$3:$A$5001,"&gt;="&amp;$C$7,BD!$A$3:$A$5001,"&lt;="&amp;$B232,BD!$Y$3:$Y$5001,"&lt;&gt;")=0,"",SUMIFS(BD!$Y$3:$Y$5001,BD!$B$3:$B$5001,V$210,BD!$A$3:$A$5001,_xlfn.MAXIFS(BD!$A$3:$A$5001,BD!$B$3:$B$5001,V$210,BD!$A$3:$A$5001,"&gt;="&amp;$C$7,BD!$A$3:$A$5001,"&lt;="&amp;$B232,BD!$Y$3:$Y$5001,"&lt;&gt;"))))</f>
        <v/>
      </c>
    </row>
    <row r="233">
      <c r="A233" s="48">
        <v>23</v>
      </c>
      <c r="B233" s="53">
        <f>$B$34</f>
        <v>46318</v>
      </c>
      <c r="C233" s="54" t="str">
        <f>IF(OR($B233="",$A233&gt;$B$9,C$210=""),"",IF(COUNTIFS(BD!$B$3:$B$5001,C$210,BD!$A$3:$A$5001,"&gt;="&amp;$C$7,BD!$A$3:$A$5001,"&lt;="&amp;$B233,BD!$Y$3:$Y$5001,"&lt;&gt;")=0,"",SUMIFS(BD!$Y$3:$Y$5001,BD!$B$3:$B$5001,C$210,BD!$A$3:$A$5001,_xlfn.MAXIFS(BD!$A$3:$A$5001,BD!$B$3:$B$5001,C$210,BD!$A$3:$A$5001,"&gt;="&amp;$C$7,BD!$A$3:$A$5001,"&lt;="&amp;$B233,BD!$Y$3:$Y$5001,"&lt;&gt;"))))</f>
        <v/>
      </c>
      <c r="D233" s="54" t="str">
        <f>IF(OR($B233="",$A233&gt;$B$9,D$210=""),"",IF(COUNTIFS(BD!$B$3:$B$5001,D$210,BD!$A$3:$A$5001,"&gt;="&amp;$C$7,BD!$A$3:$A$5001,"&lt;="&amp;$B233,BD!$Y$3:$Y$5001,"&lt;&gt;")=0,"",SUMIFS(BD!$Y$3:$Y$5001,BD!$B$3:$B$5001,D$210,BD!$A$3:$A$5001,_xlfn.MAXIFS(BD!$A$3:$A$5001,BD!$B$3:$B$5001,D$210,BD!$A$3:$A$5001,"&gt;="&amp;$C$7,BD!$A$3:$A$5001,"&lt;="&amp;$B233,BD!$Y$3:$Y$5001,"&lt;&gt;"))))</f>
        <v/>
      </c>
      <c r="E233" s="54" t="str">
        <f>IF(OR($B233="",$A233&gt;$B$9,E$210=""),"",IF(COUNTIFS(BD!$B$3:$B$5001,E$210,BD!$A$3:$A$5001,"&gt;="&amp;$C$7,BD!$A$3:$A$5001,"&lt;="&amp;$B233,BD!$Y$3:$Y$5001,"&lt;&gt;")=0,"",SUMIFS(BD!$Y$3:$Y$5001,BD!$B$3:$B$5001,E$210,BD!$A$3:$A$5001,_xlfn.MAXIFS(BD!$A$3:$A$5001,BD!$B$3:$B$5001,E$210,BD!$A$3:$A$5001,"&gt;="&amp;$C$7,BD!$A$3:$A$5001,"&lt;="&amp;$B233,BD!$Y$3:$Y$5001,"&lt;&gt;"))))</f>
        <v/>
      </c>
      <c r="F233" s="54" t="str">
        <f>IF(OR($B233="",$A233&gt;$B$9,F$210=""),"",IF(COUNTIFS(BD!$B$3:$B$5001,F$210,BD!$A$3:$A$5001,"&gt;="&amp;$C$7,BD!$A$3:$A$5001,"&lt;="&amp;$B233,BD!$Y$3:$Y$5001,"&lt;&gt;")=0,"",SUMIFS(BD!$Y$3:$Y$5001,BD!$B$3:$B$5001,F$210,BD!$A$3:$A$5001,_xlfn.MAXIFS(BD!$A$3:$A$5001,BD!$B$3:$B$5001,F$210,BD!$A$3:$A$5001,"&gt;="&amp;$C$7,BD!$A$3:$A$5001,"&lt;="&amp;$B233,BD!$Y$3:$Y$5001,"&lt;&gt;"))))</f>
        <v/>
      </c>
      <c r="G233" s="54" t="str">
        <f>IF(OR($B233="",$A233&gt;$B$9,G$210=""),"",IF(COUNTIFS(BD!$B$3:$B$5001,G$210,BD!$A$3:$A$5001,"&gt;="&amp;$C$7,BD!$A$3:$A$5001,"&lt;="&amp;$B233,BD!$Y$3:$Y$5001,"&lt;&gt;")=0,"",SUMIFS(BD!$Y$3:$Y$5001,BD!$B$3:$B$5001,G$210,BD!$A$3:$A$5001,_xlfn.MAXIFS(BD!$A$3:$A$5001,BD!$B$3:$B$5001,G$210,BD!$A$3:$A$5001,"&gt;="&amp;$C$7,BD!$A$3:$A$5001,"&lt;="&amp;$B233,BD!$Y$3:$Y$5001,"&lt;&gt;"))))</f>
        <v/>
      </c>
      <c r="H233" s="54" t="str">
        <f>IF(OR($B233="",$A233&gt;$B$9,H$210=""),"",IF(COUNTIFS(BD!$B$3:$B$5001,H$210,BD!$A$3:$A$5001,"&gt;="&amp;$C$7,BD!$A$3:$A$5001,"&lt;="&amp;$B233,BD!$Y$3:$Y$5001,"&lt;&gt;")=0,"",SUMIFS(BD!$Y$3:$Y$5001,BD!$B$3:$B$5001,H$210,BD!$A$3:$A$5001,_xlfn.MAXIFS(BD!$A$3:$A$5001,BD!$B$3:$B$5001,H$210,BD!$A$3:$A$5001,"&gt;="&amp;$C$7,BD!$A$3:$A$5001,"&lt;="&amp;$B233,BD!$Y$3:$Y$5001,"&lt;&gt;"))))</f>
        <v/>
      </c>
      <c r="I233" s="54" t="str">
        <f>IF(OR($B233="",$A233&gt;$B$9,I$210=""),"",IF(COUNTIFS(BD!$B$3:$B$5001,I$210,BD!$A$3:$A$5001,"&gt;="&amp;$C$7,BD!$A$3:$A$5001,"&lt;="&amp;$B233,BD!$Y$3:$Y$5001,"&lt;&gt;")=0,"",SUMIFS(BD!$Y$3:$Y$5001,BD!$B$3:$B$5001,I$210,BD!$A$3:$A$5001,_xlfn.MAXIFS(BD!$A$3:$A$5001,BD!$B$3:$B$5001,I$210,BD!$A$3:$A$5001,"&gt;="&amp;$C$7,BD!$A$3:$A$5001,"&lt;="&amp;$B233,BD!$Y$3:$Y$5001,"&lt;&gt;"))))</f>
        <v/>
      </c>
      <c r="J233" s="54" t="str">
        <f>IF(OR($B233="",$A233&gt;$B$9,J$210=""),"",IF(COUNTIFS(BD!$B$3:$B$5001,J$210,BD!$A$3:$A$5001,"&gt;="&amp;$C$7,BD!$A$3:$A$5001,"&lt;="&amp;$B233,BD!$Y$3:$Y$5001,"&lt;&gt;")=0,"",SUMIFS(BD!$Y$3:$Y$5001,BD!$B$3:$B$5001,J$210,BD!$A$3:$A$5001,_xlfn.MAXIFS(BD!$A$3:$A$5001,BD!$B$3:$B$5001,J$210,BD!$A$3:$A$5001,"&gt;="&amp;$C$7,BD!$A$3:$A$5001,"&lt;="&amp;$B233,BD!$Y$3:$Y$5001,"&lt;&gt;"))))</f>
        <v/>
      </c>
      <c r="K233" s="54" t="str">
        <f>IF(OR($B233="",$A233&gt;$B$9,K$210=""),"",IF(COUNTIFS(BD!$B$3:$B$5001,K$210,BD!$A$3:$A$5001,"&gt;="&amp;$C$7,BD!$A$3:$A$5001,"&lt;="&amp;$B233,BD!$Y$3:$Y$5001,"&lt;&gt;")=0,"",SUMIFS(BD!$Y$3:$Y$5001,BD!$B$3:$B$5001,K$210,BD!$A$3:$A$5001,_xlfn.MAXIFS(BD!$A$3:$A$5001,BD!$B$3:$B$5001,K$210,BD!$A$3:$A$5001,"&gt;="&amp;$C$7,BD!$A$3:$A$5001,"&lt;="&amp;$B233,BD!$Y$3:$Y$5001,"&lt;&gt;"))))</f>
        <v/>
      </c>
      <c r="L233" s="54" t="str">
        <f>IF(OR($B233="",$A233&gt;$B$9,L$210=""),"",IF(COUNTIFS(BD!$B$3:$B$5001,L$210,BD!$A$3:$A$5001,"&gt;="&amp;$C$7,BD!$A$3:$A$5001,"&lt;="&amp;$B233,BD!$Y$3:$Y$5001,"&lt;&gt;")=0,"",SUMIFS(BD!$Y$3:$Y$5001,BD!$B$3:$B$5001,L$210,BD!$A$3:$A$5001,_xlfn.MAXIFS(BD!$A$3:$A$5001,BD!$B$3:$B$5001,L$210,BD!$A$3:$A$5001,"&gt;="&amp;$C$7,BD!$A$3:$A$5001,"&lt;="&amp;$B233,BD!$Y$3:$Y$5001,"&lt;&gt;"))))</f>
        <v/>
      </c>
      <c r="M233" s="54" t="str">
        <f>IF(OR($B233="",$A233&gt;$B$9,M$210=""),"",IF(COUNTIFS(BD!$B$3:$B$5001,M$210,BD!$A$3:$A$5001,"&gt;="&amp;$C$7,BD!$A$3:$A$5001,"&lt;="&amp;$B233,BD!$Y$3:$Y$5001,"&lt;&gt;")=0,"",SUMIFS(BD!$Y$3:$Y$5001,BD!$B$3:$B$5001,M$210,BD!$A$3:$A$5001,_xlfn.MAXIFS(BD!$A$3:$A$5001,BD!$B$3:$B$5001,M$210,BD!$A$3:$A$5001,"&gt;="&amp;$C$7,BD!$A$3:$A$5001,"&lt;="&amp;$B233,BD!$Y$3:$Y$5001,"&lt;&gt;"))))</f>
        <v/>
      </c>
      <c r="N233" s="54" t="str">
        <f>IF(OR($B233="",$A233&gt;$B$9,N$210=""),"",IF(COUNTIFS(BD!$B$3:$B$5001,N$210,BD!$A$3:$A$5001,"&gt;="&amp;$C$7,BD!$A$3:$A$5001,"&lt;="&amp;$B233,BD!$Y$3:$Y$5001,"&lt;&gt;")=0,"",SUMIFS(BD!$Y$3:$Y$5001,BD!$B$3:$B$5001,N$210,BD!$A$3:$A$5001,_xlfn.MAXIFS(BD!$A$3:$A$5001,BD!$B$3:$B$5001,N$210,BD!$A$3:$A$5001,"&gt;="&amp;$C$7,BD!$A$3:$A$5001,"&lt;="&amp;$B233,BD!$Y$3:$Y$5001,"&lt;&gt;"))))</f>
        <v/>
      </c>
      <c r="O233" s="54" t="str">
        <f>IF(OR($B233="",$A233&gt;$B$9,O$210=""),"",IF(COUNTIFS(BD!$B$3:$B$5001,O$210,BD!$A$3:$A$5001,"&gt;="&amp;$C$7,BD!$A$3:$A$5001,"&lt;="&amp;$B233,BD!$Y$3:$Y$5001,"&lt;&gt;")=0,"",SUMIFS(BD!$Y$3:$Y$5001,BD!$B$3:$B$5001,O$210,BD!$A$3:$A$5001,_xlfn.MAXIFS(BD!$A$3:$A$5001,BD!$B$3:$B$5001,O$210,BD!$A$3:$A$5001,"&gt;="&amp;$C$7,BD!$A$3:$A$5001,"&lt;="&amp;$B233,BD!$Y$3:$Y$5001,"&lt;&gt;"))))</f>
        <v/>
      </c>
      <c r="P233" s="54" t="str">
        <f>IF(OR($B233="",$A233&gt;$B$9,P$210=""),"",IF(COUNTIFS(BD!$B$3:$B$5001,P$210,BD!$A$3:$A$5001,"&gt;="&amp;$C$7,BD!$A$3:$A$5001,"&lt;="&amp;$B233,BD!$Y$3:$Y$5001,"&lt;&gt;")=0,"",SUMIFS(BD!$Y$3:$Y$5001,BD!$B$3:$B$5001,P$210,BD!$A$3:$A$5001,_xlfn.MAXIFS(BD!$A$3:$A$5001,BD!$B$3:$B$5001,P$210,BD!$A$3:$A$5001,"&gt;="&amp;$C$7,BD!$A$3:$A$5001,"&lt;="&amp;$B233,BD!$Y$3:$Y$5001,"&lt;&gt;"))))</f>
        <v/>
      </c>
      <c r="Q233" s="54" t="str">
        <f>IF(OR($B233="",$A233&gt;$B$9,Q$210=""),"",IF(COUNTIFS(BD!$B$3:$B$5001,Q$210,BD!$A$3:$A$5001,"&gt;="&amp;$C$7,BD!$A$3:$A$5001,"&lt;="&amp;$B233,BD!$Y$3:$Y$5001,"&lt;&gt;")=0,"",SUMIFS(BD!$Y$3:$Y$5001,BD!$B$3:$B$5001,Q$210,BD!$A$3:$A$5001,_xlfn.MAXIFS(BD!$A$3:$A$5001,BD!$B$3:$B$5001,Q$210,BD!$A$3:$A$5001,"&gt;="&amp;$C$7,BD!$A$3:$A$5001,"&lt;="&amp;$B233,BD!$Y$3:$Y$5001,"&lt;&gt;"))))</f>
        <v/>
      </c>
      <c r="R233" s="54" t="str">
        <f>IF(OR($B233="",$A233&gt;$B$9,R$210=""),"",IF(COUNTIFS(BD!$B$3:$B$5001,R$210,BD!$A$3:$A$5001,"&gt;="&amp;$C$7,BD!$A$3:$A$5001,"&lt;="&amp;$B233,BD!$Y$3:$Y$5001,"&lt;&gt;")=0,"",SUMIFS(BD!$Y$3:$Y$5001,BD!$B$3:$B$5001,R$210,BD!$A$3:$A$5001,_xlfn.MAXIFS(BD!$A$3:$A$5001,BD!$B$3:$B$5001,R$210,BD!$A$3:$A$5001,"&gt;="&amp;$C$7,BD!$A$3:$A$5001,"&lt;="&amp;$B233,BD!$Y$3:$Y$5001,"&lt;&gt;"))))</f>
        <v/>
      </c>
      <c r="S233" s="54" t="str">
        <f>IF(OR($B233="",$A233&gt;$B$9,S$210=""),"",IF(COUNTIFS(BD!$B$3:$B$5001,S$210,BD!$A$3:$A$5001,"&gt;="&amp;$C$7,BD!$A$3:$A$5001,"&lt;="&amp;$B233,BD!$Y$3:$Y$5001,"&lt;&gt;")=0,"",SUMIFS(BD!$Y$3:$Y$5001,BD!$B$3:$B$5001,S$210,BD!$A$3:$A$5001,_xlfn.MAXIFS(BD!$A$3:$A$5001,BD!$B$3:$B$5001,S$210,BD!$A$3:$A$5001,"&gt;="&amp;$C$7,BD!$A$3:$A$5001,"&lt;="&amp;$B233,BD!$Y$3:$Y$5001,"&lt;&gt;"))))</f>
        <v/>
      </c>
      <c r="T233" s="54" t="str">
        <f>IF(OR($B233="",$A233&gt;$B$9,T$210=""),"",IF(COUNTIFS(BD!$B$3:$B$5001,T$210,BD!$A$3:$A$5001,"&gt;="&amp;$C$7,BD!$A$3:$A$5001,"&lt;="&amp;$B233,BD!$Y$3:$Y$5001,"&lt;&gt;")=0,"",SUMIFS(BD!$Y$3:$Y$5001,BD!$B$3:$B$5001,T$210,BD!$A$3:$A$5001,_xlfn.MAXIFS(BD!$A$3:$A$5001,BD!$B$3:$B$5001,T$210,BD!$A$3:$A$5001,"&gt;="&amp;$C$7,BD!$A$3:$A$5001,"&lt;="&amp;$B233,BD!$Y$3:$Y$5001,"&lt;&gt;"))))</f>
        <v/>
      </c>
      <c r="U233" s="54" t="str">
        <f>IF(OR($B233="",$A233&gt;$B$9,U$210=""),"",IF(COUNTIFS(BD!$B$3:$B$5001,U$210,BD!$A$3:$A$5001,"&gt;="&amp;$C$7,BD!$A$3:$A$5001,"&lt;="&amp;$B233,BD!$Y$3:$Y$5001,"&lt;&gt;")=0,"",SUMIFS(BD!$Y$3:$Y$5001,BD!$B$3:$B$5001,U$210,BD!$A$3:$A$5001,_xlfn.MAXIFS(BD!$A$3:$A$5001,BD!$B$3:$B$5001,U$210,BD!$A$3:$A$5001,"&gt;="&amp;$C$7,BD!$A$3:$A$5001,"&lt;="&amp;$B233,BD!$Y$3:$Y$5001,"&lt;&gt;"))))</f>
        <v/>
      </c>
      <c r="V233" s="54" t="str">
        <f>IF(OR($B233="",$A233&gt;$B$9,V$210=""),"",IF(COUNTIFS(BD!$B$3:$B$5001,V$210,BD!$A$3:$A$5001,"&gt;="&amp;$C$7,BD!$A$3:$A$5001,"&lt;="&amp;$B233,BD!$Y$3:$Y$5001,"&lt;&gt;")=0,"",SUMIFS(BD!$Y$3:$Y$5001,BD!$B$3:$B$5001,V$210,BD!$A$3:$A$5001,_xlfn.MAXIFS(BD!$A$3:$A$5001,BD!$B$3:$B$5001,V$210,BD!$A$3:$A$5001,"&gt;="&amp;$C$7,BD!$A$3:$A$5001,"&lt;="&amp;$B233,BD!$Y$3:$Y$5001,"&lt;&gt;"))))</f>
        <v/>
      </c>
    </row>
    <row r="234">
      <c r="A234" s="48">
        <v>24</v>
      </c>
      <c r="B234" s="53">
        <f>$B$35</f>
        <v>46319</v>
      </c>
      <c r="C234" s="54" t="str">
        <f>IF(OR($B234="",$A234&gt;$B$9,C$210=""),"",IF(COUNTIFS(BD!$B$3:$B$5001,C$210,BD!$A$3:$A$5001,"&gt;="&amp;$C$7,BD!$A$3:$A$5001,"&lt;="&amp;$B234,BD!$Y$3:$Y$5001,"&lt;&gt;")=0,"",SUMIFS(BD!$Y$3:$Y$5001,BD!$B$3:$B$5001,C$210,BD!$A$3:$A$5001,_xlfn.MAXIFS(BD!$A$3:$A$5001,BD!$B$3:$B$5001,C$210,BD!$A$3:$A$5001,"&gt;="&amp;$C$7,BD!$A$3:$A$5001,"&lt;="&amp;$B234,BD!$Y$3:$Y$5001,"&lt;&gt;"))))</f>
        <v/>
      </c>
      <c r="D234" s="54" t="str">
        <f>IF(OR($B234="",$A234&gt;$B$9,D$210=""),"",IF(COUNTIFS(BD!$B$3:$B$5001,D$210,BD!$A$3:$A$5001,"&gt;="&amp;$C$7,BD!$A$3:$A$5001,"&lt;="&amp;$B234,BD!$Y$3:$Y$5001,"&lt;&gt;")=0,"",SUMIFS(BD!$Y$3:$Y$5001,BD!$B$3:$B$5001,D$210,BD!$A$3:$A$5001,_xlfn.MAXIFS(BD!$A$3:$A$5001,BD!$B$3:$B$5001,D$210,BD!$A$3:$A$5001,"&gt;="&amp;$C$7,BD!$A$3:$A$5001,"&lt;="&amp;$B234,BD!$Y$3:$Y$5001,"&lt;&gt;"))))</f>
        <v/>
      </c>
      <c r="E234" s="54" t="str">
        <f>IF(OR($B234="",$A234&gt;$B$9,E$210=""),"",IF(COUNTIFS(BD!$B$3:$B$5001,E$210,BD!$A$3:$A$5001,"&gt;="&amp;$C$7,BD!$A$3:$A$5001,"&lt;="&amp;$B234,BD!$Y$3:$Y$5001,"&lt;&gt;")=0,"",SUMIFS(BD!$Y$3:$Y$5001,BD!$B$3:$B$5001,E$210,BD!$A$3:$A$5001,_xlfn.MAXIFS(BD!$A$3:$A$5001,BD!$B$3:$B$5001,E$210,BD!$A$3:$A$5001,"&gt;="&amp;$C$7,BD!$A$3:$A$5001,"&lt;="&amp;$B234,BD!$Y$3:$Y$5001,"&lt;&gt;"))))</f>
        <v/>
      </c>
      <c r="F234" s="54" t="str">
        <f>IF(OR($B234="",$A234&gt;$B$9,F$210=""),"",IF(COUNTIFS(BD!$B$3:$B$5001,F$210,BD!$A$3:$A$5001,"&gt;="&amp;$C$7,BD!$A$3:$A$5001,"&lt;="&amp;$B234,BD!$Y$3:$Y$5001,"&lt;&gt;")=0,"",SUMIFS(BD!$Y$3:$Y$5001,BD!$B$3:$B$5001,F$210,BD!$A$3:$A$5001,_xlfn.MAXIFS(BD!$A$3:$A$5001,BD!$B$3:$B$5001,F$210,BD!$A$3:$A$5001,"&gt;="&amp;$C$7,BD!$A$3:$A$5001,"&lt;="&amp;$B234,BD!$Y$3:$Y$5001,"&lt;&gt;"))))</f>
        <v/>
      </c>
      <c r="G234" s="54" t="str">
        <f>IF(OR($B234="",$A234&gt;$B$9,G$210=""),"",IF(COUNTIFS(BD!$B$3:$B$5001,G$210,BD!$A$3:$A$5001,"&gt;="&amp;$C$7,BD!$A$3:$A$5001,"&lt;="&amp;$B234,BD!$Y$3:$Y$5001,"&lt;&gt;")=0,"",SUMIFS(BD!$Y$3:$Y$5001,BD!$B$3:$B$5001,G$210,BD!$A$3:$A$5001,_xlfn.MAXIFS(BD!$A$3:$A$5001,BD!$B$3:$B$5001,G$210,BD!$A$3:$A$5001,"&gt;="&amp;$C$7,BD!$A$3:$A$5001,"&lt;="&amp;$B234,BD!$Y$3:$Y$5001,"&lt;&gt;"))))</f>
        <v/>
      </c>
      <c r="H234" s="54" t="str">
        <f>IF(OR($B234="",$A234&gt;$B$9,H$210=""),"",IF(COUNTIFS(BD!$B$3:$B$5001,H$210,BD!$A$3:$A$5001,"&gt;="&amp;$C$7,BD!$A$3:$A$5001,"&lt;="&amp;$B234,BD!$Y$3:$Y$5001,"&lt;&gt;")=0,"",SUMIFS(BD!$Y$3:$Y$5001,BD!$B$3:$B$5001,H$210,BD!$A$3:$A$5001,_xlfn.MAXIFS(BD!$A$3:$A$5001,BD!$B$3:$B$5001,H$210,BD!$A$3:$A$5001,"&gt;="&amp;$C$7,BD!$A$3:$A$5001,"&lt;="&amp;$B234,BD!$Y$3:$Y$5001,"&lt;&gt;"))))</f>
        <v/>
      </c>
      <c r="I234" s="54" t="str">
        <f>IF(OR($B234="",$A234&gt;$B$9,I$210=""),"",IF(COUNTIFS(BD!$B$3:$B$5001,I$210,BD!$A$3:$A$5001,"&gt;="&amp;$C$7,BD!$A$3:$A$5001,"&lt;="&amp;$B234,BD!$Y$3:$Y$5001,"&lt;&gt;")=0,"",SUMIFS(BD!$Y$3:$Y$5001,BD!$B$3:$B$5001,I$210,BD!$A$3:$A$5001,_xlfn.MAXIFS(BD!$A$3:$A$5001,BD!$B$3:$B$5001,I$210,BD!$A$3:$A$5001,"&gt;="&amp;$C$7,BD!$A$3:$A$5001,"&lt;="&amp;$B234,BD!$Y$3:$Y$5001,"&lt;&gt;"))))</f>
        <v/>
      </c>
      <c r="J234" s="54" t="str">
        <f>IF(OR($B234="",$A234&gt;$B$9,J$210=""),"",IF(COUNTIFS(BD!$B$3:$B$5001,J$210,BD!$A$3:$A$5001,"&gt;="&amp;$C$7,BD!$A$3:$A$5001,"&lt;="&amp;$B234,BD!$Y$3:$Y$5001,"&lt;&gt;")=0,"",SUMIFS(BD!$Y$3:$Y$5001,BD!$B$3:$B$5001,J$210,BD!$A$3:$A$5001,_xlfn.MAXIFS(BD!$A$3:$A$5001,BD!$B$3:$B$5001,J$210,BD!$A$3:$A$5001,"&gt;="&amp;$C$7,BD!$A$3:$A$5001,"&lt;="&amp;$B234,BD!$Y$3:$Y$5001,"&lt;&gt;"))))</f>
        <v/>
      </c>
      <c r="K234" s="54" t="str">
        <f>IF(OR($B234="",$A234&gt;$B$9,K$210=""),"",IF(COUNTIFS(BD!$B$3:$B$5001,K$210,BD!$A$3:$A$5001,"&gt;="&amp;$C$7,BD!$A$3:$A$5001,"&lt;="&amp;$B234,BD!$Y$3:$Y$5001,"&lt;&gt;")=0,"",SUMIFS(BD!$Y$3:$Y$5001,BD!$B$3:$B$5001,K$210,BD!$A$3:$A$5001,_xlfn.MAXIFS(BD!$A$3:$A$5001,BD!$B$3:$B$5001,K$210,BD!$A$3:$A$5001,"&gt;="&amp;$C$7,BD!$A$3:$A$5001,"&lt;="&amp;$B234,BD!$Y$3:$Y$5001,"&lt;&gt;"))))</f>
        <v/>
      </c>
      <c r="L234" s="54" t="str">
        <f>IF(OR($B234="",$A234&gt;$B$9,L$210=""),"",IF(COUNTIFS(BD!$B$3:$B$5001,L$210,BD!$A$3:$A$5001,"&gt;="&amp;$C$7,BD!$A$3:$A$5001,"&lt;="&amp;$B234,BD!$Y$3:$Y$5001,"&lt;&gt;")=0,"",SUMIFS(BD!$Y$3:$Y$5001,BD!$B$3:$B$5001,L$210,BD!$A$3:$A$5001,_xlfn.MAXIFS(BD!$A$3:$A$5001,BD!$B$3:$B$5001,L$210,BD!$A$3:$A$5001,"&gt;="&amp;$C$7,BD!$A$3:$A$5001,"&lt;="&amp;$B234,BD!$Y$3:$Y$5001,"&lt;&gt;"))))</f>
        <v/>
      </c>
      <c r="M234" s="54" t="str">
        <f>IF(OR($B234="",$A234&gt;$B$9,M$210=""),"",IF(COUNTIFS(BD!$B$3:$B$5001,M$210,BD!$A$3:$A$5001,"&gt;="&amp;$C$7,BD!$A$3:$A$5001,"&lt;="&amp;$B234,BD!$Y$3:$Y$5001,"&lt;&gt;")=0,"",SUMIFS(BD!$Y$3:$Y$5001,BD!$B$3:$B$5001,M$210,BD!$A$3:$A$5001,_xlfn.MAXIFS(BD!$A$3:$A$5001,BD!$B$3:$B$5001,M$210,BD!$A$3:$A$5001,"&gt;="&amp;$C$7,BD!$A$3:$A$5001,"&lt;="&amp;$B234,BD!$Y$3:$Y$5001,"&lt;&gt;"))))</f>
        <v/>
      </c>
      <c r="N234" s="54" t="str">
        <f>IF(OR($B234="",$A234&gt;$B$9,N$210=""),"",IF(COUNTIFS(BD!$B$3:$B$5001,N$210,BD!$A$3:$A$5001,"&gt;="&amp;$C$7,BD!$A$3:$A$5001,"&lt;="&amp;$B234,BD!$Y$3:$Y$5001,"&lt;&gt;")=0,"",SUMIFS(BD!$Y$3:$Y$5001,BD!$B$3:$B$5001,N$210,BD!$A$3:$A$5001,_xlfn.MAXIFS(BD!$A$3:$A$5001,BD!$B$3:$B$5001,N$210,BD!$A$3:$A$5001,"&gt;="&amp;$C$7,BD!$A$3:$A$5001,"&lt;="&amp;$B234,BD!$Y$3:$Y$5001,"&lt;&gt;"))))</f>
        <v/>
      </c>
      <c r="O234" s="54" t="str">
        <f>IF(OR($B234="",$A234&gt;$B$9,O$210=""),"",IF(COUNTIFS(BD!$B$3:$B$5001,O$210,BD!$A$3:$A$5001,"&gt;="&amp;$C$7,BD!$A$3:$A$5001,"&lt;="&amp;$B234,BD!$Y$3:$Y$5001,"&lt;&gt;")=0,"",SUMIFS(BD!$Y$3:$Y$5001,BD!$B$3:$B$5001,O$210,BD!$A$3:$A$5001,_xlfn.MAXIFS(BD!$A$3:$A$5001,BD!$B$3:$B$5001,O$210,BD!$A$3:$A$5001,"&gt;="&amp;$C$7,BD!$A$3:$A$5001,"&lt;="&amp;$B234,BD!$Y$3:$Y$5001,"&lt;&gt;"))))</f>
        <v/>
      </c>
      <c r="P234" s="54" t="str">
        <f>IF(OR($B234="",$A234&gt;$B$9,P$210=""),"",IF(COUNTIFS(BD!$B$3:$B$5001,P$210,BD!$A$3:$A$5001,"&gt;="&amp;$C$7,BD!$A$3:$A$5001,"&lt;="&amp;$B234,BD!$Y$3:$Y$5001,"&lt;&gt;")=0,"",SUMIFS(BD!$Y$3:$Y$5001,BD!$B$3:$B$5001,P$210,BD!$A$3:$A$5001,_xlfn.MAXIFS(BD!$A$3:$A$5001,BD!$B$3:$B$5001,P$210,BD!$A$3:$A$5001,"&gt;="&amp;$C$7,BD!$A$3:$A$5001,"&lt;="&amp;$B234,BD!$Y$3:$Y$5001,"&lt;&gt;"))))</f>
        <v/>
      </c>
      <c r="Q234" s="54" t="str">
        <f>IF(OR($B234="",$A234&gt;$B$9,Q$210=""),"",IF(COUNTIFS(BD!$B$3:$B$5001,Q$210,BD!$A$3:$A$5001,"&gt;="&amp;$C$7,BD!$A$3:$A$5001,"&lt;="&amp;$B234,BD!$Y$3:$Y$5001,"&lt;&gt;")=0,"",SUMIFS(BD!$Y$3:$Y$5001,BD!$B$3:$B$5001,Q$210,BD!$A$3:$A$5001,_xlfn.MAXIFS(BD!$A$3:$A$5001,BD!$B$3:$B$5001,Q$210,BD!$A$3:$A$5001,"&gt;="&amp;$C$7,BD!$A$3:$A$5001,"&lt;="&amp;$B234,BD!$Y$3:$Y$5001,"&lt;&gt;"))))</f>
        <v/>
      </c>
      <c r="R234" s="54" t="str">
        <f>IF(OR($B234="",$A234&gt;$B$9,R$210=""),"",IF(COUNTIFS(BD!$B$3:$B$5001,R$210,BD!$A$3:$A$5001,"&gt;="&amp;$C$7,BD!$A$3:$A$5001,"&lt;="&amp;$B234,BD!$Y$3:$Y$5001,"&lt;&gt;")=0,"",SUMIFS(BD!$Y$3:$Y$5001,BD!$B$3:$B$5001,R$210,BD!$A$3:$A$5001,_xlfn.MAXIFS(BD!$A$3:$A$5001,BD!$B$3:$B$5001,R$210,BD!$A$3:$A$5001,"&gt;="&amp;$C$7,BD!$A$3:$A$5001,"&lt;="&amp;$B234,BD!$Y$3:$Y$5001,"&lt;&gt;"))))</f>
        <v/>
      </c>
      <c r="S234" s="54" t="str">
        <f>IF(OR($B234="",$A234&gt;$B$9,S$210=""),"",IF(COUNTIFS(BD!$B$3:$B$5001,S$210,BD!$A$3:$A$5001,"&gt;="&amp;$C$7,BD!$A$3:$A$5001,"&lt;="&amp;$B234,BD!$Y$3:$Y$5001,"&lt;&gt;")=0,"",SUMIFS(BD!$Y$3:$Y$5001,BD!$B$3:$B$5001,S$210,BD!$A$3:$A$5001,_xlfn.MAXIFS(BD!$A$3:$A$5001,BD!$B$3:$B$5001,S$210,BD!$A$3:$A$5001,"&gt;="&amp;$C$7,BD!$A$3:$A$5001,"&lt;="&amp;$B234,BD!$Y$3:$Y$5001,"&lt;&gt;"))))</f>
        <v/>
      </c>
      <c r="T234" s="54" t="str">
        <f>IF(OR($B234="",$A234&gt;$B$9,T$210=""),"",IF(COUNTIFS(BD!$B$3:$B$5001,T$210,BD!$A$3:$A$5001,"&gt;="&amp;$C$7,BD!$A$3:$A$5001,"&lt;="&amp;$B234,BD!$Y$3:$Y$5001,"&lt;&gt;")=0,"",SUMIFS(BD!$Y$3:$Y$5001,BD!$B$3:$B$5001,T$210,BD!$A$3:$A$5001,_xlfn.MAXIFS(BD!$A$3:$A$5001,BD!$B$3:$B$5001,T$210,BD!$A$3:$A$5001,"&gt;="&amp;$C$7,BD!$A$3:$A$5001,"&lt;="&amp;$B234,BD!$Y$3:$Y$5001,"&lt;&gt;"))))</f>
        <v/>
      </c>
      <c r="U234" s="54" t="str">
        <f>IF(OR($B234="",$A234&gt;$B$9,U$210=""),"",IF(COUNTIFS(BD!$B$3:$B$5001,U$210,BD!$A$3:$A$5001,"&gt;="&amp;$C$7,BD!$A$3:$A$5001,"&lt;="&amp;$B234,BD!$Y$3:$Y$5001,"&lt;&gt;")=0,"",SUMIFS(BD!$Y$3:$Y$5001,BD!$B$3:$B$5001,U$210,BD!$A$3:$A$5001,_xlfn.MAXIFS(BD!$A$3:$A$5001,BD!$B$3:$B$5001,U$210,BD!$A$3:$A$5001,"&gt;="&amp;$C$7,BD!$A$3:$A$5001,"&lt;="&amp;$B234,BD!$Y$3:$Y$5001,"&lt;&gt;"))))</f>
        <v/>
      </c>
      <c r="V234" s="54" t="str">
        <f>IF(OR($B234="",$A234&gt;$B$9,V$210=""),"",IF(COUNTIFS(BD!$B$3:$B$5001,V$210,BD!$A$3:$A$5001,"&gt;="&amp;$C$7,BD!$A$3:$A$5001,"&lt;="&amp;$B234,BD!$Y$3:$Y$5001,"&lt;&gt;")=0,"",SUMIFS(BD!$Y$3:$Y$5001,BD!$B$3:$B$5001,V$210,BD!$A$3:$A$5001,_xlfn.MAXIFS(BD!$A$3:$A$5001,BD!$B$3:$B$5001,V$210,BD!$A$3:$A$5001,"&gt;="&amp;$C$7,BD!$A$3:$A$5001,"&lt;="&amp;$B234,BD!$Y$3:$Y$5001,"&lt;&gt;"))))</f>
        <v/>
      </c>
    </row>
    <row r="235">
      <c r="A235" s="48">
        <v>25</v>
      </c>
      <c r="B235" s="53">
        <f>$B$36</f>
        <v>46320</v>
      </c>
      <c r="C235" s="54" t="str">
        <f>IF(OR($B235="",$A235&gt;$B$9,C$210=""),"",IF(COUNTIFS(BD!$B$3:$B$5001,C$210,BD!$A$3:$A$5001,"&gt;="&amp;$C$7,BD!$A$3:$A$5001,"&lt;="&amp;$B235,BD!$Y$3:$Y$5001,"&lt;&gt;")=0,"",SUMIFS(BD!$Y$3:$Y$5001,BD!$B$3:$B$5001,C$210,BD!$A$3:$A$5001,_xlfn.MAXIFS(BD!$A$3:$A$5001,BD!$B$3:$B$5001,C$210,BD!$A$3:$A$5001,"&gt;="&amp;$C$7,BD!$A$3:$A$5001,"&lt;="&amp;$B235,BD!$Y$3:$Y$5001,"&lt;&gt;"))))</f>
        <v/>
      </c>
      <c r="D235" s="54" t="str">
        <f>IF(OR($B235="",$A235&gt;$B$9,D$210=""),"",IF(COUNTIFS(BD!$B$3:$B$5001,D$210,BD!$A$3:$A$5001,"&gt;="&amp;$C$7,BD!$A$3:$A$5001,"&lt;="&amp;$B235,BD!$Y$3:$Y$5001,"&lt;&gt;")=0,"",SUMIFS(BD!$Y$3:$Y$5001,BD!$B$3:$B$5001,D$210,BD!$A$3:$A$5001,_xlfn.MAXIFS(BD!$A$3:$A$5001,BD!$B$3:$B$5001,D$210,BD!$A$3:$A$5001,"&gt;="&amp;$C$7,BD!$A$3:$A$5001,"&lt;="&amp;$B235,BD!$Y$3:$Y$5001,"&lt;&gt;"))))</f>
        <v/>
      </c>
      <c r="E235" s="54" t="str">
        <f>IF(OR($B235="",$A235&gt;$B$9,E$210=""),"",IF(COUNTIFS(BD!$B$3:$B$5001,E$210,BD!$A$3:$A$5001,"&gt;="&amp;$C$7,BD!$A$3:$A$5001,"&lt;="&amp;$B235,BD!$Y$3:$Y$5001,"&lt;&gt;")=0,"",SUMIFS(BD!$Y$3:$Y$5001,BD!$B$3:$B$5001,E$210,BD!$A$3:$A$5001,_xlfn.MAXIFS(BD!$A$3:$A$5001,BD!$B$3:$B$5001,E$210,BD!$A$3:$A$5001,"&gt;="&amp;$C$7,BD!$A$3:$A$5001,"&lt;="&amp;$B235,BD!$Y$3:$Y$5001,"&lt;&gt;"))))</f>
        <v/>
      </c>
      <c r="F235" s="54" t="str">
        <f>IF(OR($B235="",$A235&gt;$B$9,F$210=""),"",IF(COUNTIFS(BD!$B$3:$B$5001,F$210,BD!$A$3:$A$5001,"&gt;="&amp;$C$7,BD!$A$3:$A$5001,"&lt;="&amp;$B235,BD!$Y$3:$Y$5001,"&lt;&gt;")=0,"",SUMIFS(BD!$Y$3:$Y$5001,BD!$B$3:$B$5001,F$210,BD!$A$3:$A$5001,_xlfn.MAXIFS(BD!$A$3:$A$5001,BD!$B$3:$B$5001,F$210,BD!$A$3:$A$5001,"&gt;="&amp;$C$7,BD!$A$3:$A$5001,"&lt;="&amp;$B235,BD!$Y$3:$Y$5001,"&lt;&gt;"))))</f>
        <v/>
      </c>
      <c r="G235" s="54" t="str">
        <f>IF(OR($B235="",$A235&gt;$B$9,G$210=""),"",IF(COUNTIFS(BD!$B$3:$B$5001,G$210,BD!$A$3:$A$5001,"&gt;="&amp;$C$7,BD!$A$3:$A$5001,"&lt;="&amp;$B235,BD!$Y$3:$Y$5001,"&lt;&gt;")=0,"",SUMIFS(BD!$Y$3:$Y$5001,BD!$B$3:$B$5001,G$210,BD!$A$3:$A$5001,_xlfn.MAXIFS(BD!$A$3:$A$5001,BD!$B$3:$B$5001,G$210,BD!$A$3:$A$5001,"&gt;="&amp;$C$7,BD!$A$3:$A$5001,"&lt;="&amp;$B235,BD!$Y$3:$Y$5001,"&lt;&gt;"))))</f>
        <v/>
      </c>
      <c r="H235" s="54" t="str">
        <f>IF(OR($B235="",$A235&gt;$B$9,H$210=""),"",IF(COUNTIFS(BD!$B$3:$B$5001,H$210,BD!$A$3:$A$5001,"&gt;="&amp;$C$7,BD!$A$3:$A$5001,"&lt;="&amp;$B235,BD!$Y$3:$Y$5001,"&lt;&gt;")=0,"",SUMIFS(BD!$Y$3:$Y$5001,BD!$B$3:$B$5001,H$210,BD!$A$3:$A$5001,_xlfn.MAXIFS(BD!$A$3:$A$5001,BD!$B$3:$B$5001,H$210,BD!$A$3:$A$5001,"&gt;="&amp;$C$7,BD!$A$3:$A$5001,"&lt;="&amp;$B235,BD!$Y$3:$Y$5001,"&lt;&gt;"))))</f>
        <v/>
      </c>
      <c r="I235" s="54" t="str">
        <f>IF(OR($B235="",$A235&gt;$B$9,I$210=""),"",IF(COUNTIFS(BD!$B$3:$B$5001,I$210,BD!$A$3:$A$5001,"&gt;="&amp;$C$7,BD!$A$3:$A$5001,"&lt;="&amp;$B235,BD!$Y$3:$Y$5001,"&lt;&gt;")=0,"",SUMIFS(BD!$Y$3:$Y$5001,BD!$B$3:$B$5001,I$210,BD!$A$3:$A$5001,_xlfn.MAXIFS(BD!$A$3:$A$5001,BD!$B$3:$B$5001,I$210,BD!$A$3:$A$5001,"&gt;="&amp;$C$7,BD!$A$3:$A$5001,"&lt;="&amp;$B235,BD!$Y$3:$Y$5001,"&lt;&gt;"))))</f>
        <v/>
      </c>
      <c r="J235" s="54" t="str">
        <f>IF(OR($B235="",$A235&gt;$B$9,J$210=""),"",IF(COUNTIFS(BD!$B$3:$B$5001,J$210,BD!$A$3:$A$5001,"&gt;="&amp;$C$7,BD!$A$3:$A$5001,"&lt;="&amp;$B235,BD!$Y$3:$Y$5001,"&lt;&gt;")=0,"",SUMIFS(BD!$Y$3:$Y$5001,BD!$B$3:$B$5001,J$210,BD!$A$3:$A$5001,_xlfn.MAXIFS(BD!$A$3:$A$5001,BD!$B$3:$B$5001,J$210,BD!$A$3:$A$5001,"&gt;="&amp;$C$7,BD!$A$3:$A$5001,"&lt;="&amp;$B235,BD!$Y$3:$Y$5001,"&lt;&gt;"))))</f>
        <v/>
      </c>
      <c r="K235" s="54" t="str">
        <f>IF(OR($B235="",$A235&gt;$B$9,K$210=""),"",IF(COUNTIFS(BD!$B$3:$B$5001,K$210,BD!$A$3:$A$5001,"&gt;="&amp;$C$7,BD!$A$3:$A$5001,"&lt;="&amp;$B235,BD!$Y$3:$Y$5001,"&lt;&gt;")=0,"",SUMIFS(BD!$Y$3:$Y$5001,BD!$B$3:$B$5001,K$210,BD!$A$3:$A$5001,_xlfn.MAXIFS(BD!$A$3:$A$5001,BD!$B$3:$B$5001,K$210,BD!$A$3:$A$5001,"&gt;="&amp;$C$7,BD!$A$3:$A$5001,"&lt;="&amp;$B235,BD!$Y$3:$Y$5001,"&lt;&gt;"))))</f>
        <v/>
      </c>
      <c r="L235" s="54" t="str">
        <f>IF(OR($B235="",$A235&gt;$B$9,L$210=""),"",IF(COUNTIFS(BD!$B$3:$B$5001,L$210,BD!$A$3:$A$5001,"&gt;="&amp;$C$7,BD!$A$3:$A$5001,"&lt;="&amp;$B235,BD!$Y$3:$Y$5001,"&lt;&gt;")=0,"",SUMIFS(BD!$Y$3:$Y$5001,BD!$B$3:$B$5001,L$210,BD!$A$3:$A$5001,_xlfn.MAXIFS(BD!$A$3:$A$5001,BD!$B$3:$B$5001,L$210,BD!$A$3:$A$5001,"&gt;="&amp;$C$7,BD!$A$3:$A$5001,"&lt;="&amp;$B235,BD!$Y$3:$Y$5001,"&lt;&gt;"))))</f>
        <v/>
      </c>
      <c r="M235" s="54" t="str">
        <f>IF(OR($B235="",$A235&gt;$B$9,M$210=""),"",IF(COUNTIFS(BD!$B$3:$B$5001,M$210,BD!$A$3:$A$5001,"&gt;="&amp;$C$7,BD!$A$3:$A$5001,"&lt;="&amp;$B235,BD!$Y$3:$Y$5001,"&lt;&gt;")=0,"",SUMIFS(BD!$Y$3:$Y$5001,BD!$B$3:$B$5001,M$210,BD!$A$3:$A$5001,_xlfn.MAXIFS(BD!$A$3:$A$5001,BD!$B$3:$B$5001,M$210,BD!$A$3:$A$5001,"&gt;="&amp;$C$7,BD!$A$3:$A$5001,"&lt;="&amp;$B235,BD!$Y$3:$Y$5001,"&lt;&gt;"))))</f>
        <v/>
      </c>
      <c r="N235" s="54" t="str">
        <f>IF(OR($B235="",$A235&gt;$B$9,N$210=""),"",IF(COUNTIFS(BD!$B$3:$B$5001,N$210,BD!$A$3:$A$5001,"&gt;="&amp;$C$7,BD!$A$3:$A$5001,"&lt;="&amp;$B235,BD!$Y$3:$Y$5001,"&lt;&gt;")=0,"",SUMIFS(BD!$Y$3:$Y$5001,BD!$B$3:$B$5001,N$210,BD!$A$3:$A$5001,_xlfn.MAXIFS(BD!$A$3:$A$5001,BD!$B$3:$B$5001,N$210,BD!$A$3:$A$5001,"&gt;="&amp;$C$7,BD!$A$3:$A$5001,"&lt;="&amp;$B235,BD!$Y$3:$Y$5001,"&lt;&gt;"))))</f>
        <v/>
      </c>
      <c r="O235" s="54" t="str">
        <f>IF(OR($B235="",$A235&gt;$B$9,O$210=""),"",IF(COUNTIFS(BD!$B$3:$B$5001,O$210,BD!$A$3:$A$5001,"&gt;="&amp;$C$7,BD!$A$3:$A$5001,"&lt;="&amp;$B235,BD!$Y$3:$Y$5001,"&lt;&gt;")=0,"",SUMIFS(BD!$Y$3:$Y$5001,BD!$B$3:$B$5001,O$210,BD!$A$3:$A$5001,_xlfn.MAXIFS(BD!$A$3:$A$5001,BD!$B$3:$B$5001,O$210,BD!$A$3:$A$5001,"&gt;="&amp;$C$7,BD!$A$3:$A$5001,"&lt;="&amp;$B235,BD!$Y$3:$Y$5001,"&lt;&gt;"))))</f>
        <v/>
      </c>
      <c r="P235" s="54" t="str">
        <f>IF(OR($B235="",$A235&gt;$B$9,P$210=""),"",IF(COUNTIFS(BD!$B$3:$B$5001,P$210,BD!$A$3:$A$5001,"&gt;="&amp;$C$7,BD!$A$3:$A$5001,"&lt;="&amp;$B235,BD!$Y$3:$Y$5001,"&lt;&gt;")=0,"",SUMIFS(BD!$Y$3:$Y$5001,BD!$B$3:$B$5001,P$210,BD!$A$3:$A$5001,_xlfn.MAXIFS(BD!$A$3:$A$5001,BD!$B$3:$B$5001,P$210,BD!$A$3:$A$5001,"&gt;="&amp;$C$7,BD!$A$3:$A$5001,"&lt;="&amp;$B235,BD!$Y$3:$Y$5001,"&lt;&gt;"))))</f>
        <v/>
      </c>
      <c r="Q235" s="54" t="str">
        <f>IF(OR($B235="",$A235&gt;$B$9,Q$210=""),"",IF(COUNTIFS(BD!$B$3:$B$5001,Q$210,BD!$A$3:$A$5001,"&gt;="&amp;$C$7,BD!$A$3:$A$5001,"&lt;="&amp;$B235,BD!$Y$3:$Y$5001,"&lt;&gt;")=0,"",SUMIFS(BD!$Y$3:$Y$5001,BD!$B$3:$B$5001,Q$210,BD!$A$3:$A$5001,_xlfn.MAXIFS(BD!$A$3:$A$5001,BD!$B$3:$B$5001,Q$210,BD!$A$3:$A$5001,"&gt;="&amp;$C$7,BD!$A$3:$A$5001,"&lt;="&amp;$B235,BD!$Y$3:$Y$5001,"&lt;&gt;"))))</f>
        <v/>
      </c>
      <c r="R235" s="54" t="str">
        <f>IF(OR($B235="",$A235&gt;$B$9,R$210=""),"",IF(COUNTIFS(BD!$B$3:$B$5001,R$210,BD!$A$3:$A$5001,"&gt;="&amp;$C$7,BD!$A$3:$A$5001,"&lt;="&amp;$B235,BD!$Y$3:$Y$5001,"&lt;&gt;")=0,"",SUMIFS(BD!$Y$3:$Y$5001,BD!$B$3:$B$5001,R$210,BD!$A$3:$A$5001,_xlfn.MAXIFS(BD!$A$3:$A$5001,BD!$B$3:$B$5001,R$210,BD!$A$3:$A$5001,"&gt;="&amp;$C$7,BD!$A$3:$A$5001,"&lt;="&amp;$B235,BD!$Y$3:$Y$5001,"&lt;&gt;"))))</f>
        <v/>
      </c>
      <c r="S235" s="54" t="str">
        <f>IF(OR($B235="",$A235&gt;$B$9,S$210=""),"",IF(COUNTIFS(BD!$B$3:$B$5001,S$210,BD!$A$3:$A$5001,"&gt;="&amp;$C$7,BD!$A$3:$A$5001,"&lt;="&amp;$B235,BD!$Y$3:$Y$5001,"&lt;&gt;")=0,"",SUMIFS(BD!$Y$3:$Y$5001,BD!$B$3:$B$5001,S$210,BD!$A$3:$A$5001,_xlfn.MAXIFS(BD!$A$3:$A$5001,BD!$B$3:$B$5001,S$210,BD!$A$3:$A$5001,"&gt;="&amp;$C$7,BD!$A$3:$A$5001,"&lt;="&amp;$B235,BD!$Y$3:$Y$5001,"&lt;&gt;"))))</f>
        <v/>
      </c>
      <c r="T235" s="54" t="str">
        <f>IF(OR($B235="",$A235&gt;$B$9,T$210=""),"",IF(COUNTIFS(BD!$B$3:$B$5001,T$210,BD!$A$3:$A$5001,"&gt;="&amp;$C$7,BD!$A$3:$A$5001,"&lt;="&amp;$B235,BD!$Y$3:$Y$5001,"&lt;&gt;")=0,"",SUMIFS(BD!$Y$3:$Y$5001,BD!$B$3:$B$5001,T$210,BD!$A$3:$A$5001,_xlfn.MAXIFS(BD!$A$3:$A$5001,BD!$B$3:$B$5001,T$210,BD!$A$3:$A$5001,"&gt;="&amp;$C$7,BD!$A$3:$A$5001,"&lt;="&amp;$B235,BD!$Y$3:$Y$5001,"&lt;&gt;"))))</f>
        <v/>
      </c>
      <c r="U235" s="54" t="str">
        <f>IF(OR($B235="",$A235&gt;$B$9,U$210=""),"",IF(COUNTIFS(BD!$B$3:$B$5001,U$210,BD!$A$3:$A$5001,"&gt;="&amp;$C$7,BD!$A$3:$A$5001,"&lt;="&amp;$B235,BD!$Y$3:$Y$5001,"&lt;&gt;")=0,"",SUMIFS(BD!$Y$3:$Y$5001,BD!$B$3:$B$5001,U$210,BD!$A$3:$A$5001,_xlfn.MAXIFS(BD!$A$3:$A$5001,BD!$B$3:$B$5001,U$210,BD!$A$3:$A$5001,"&gt;="&amp;$C$7,BD!$A$3:$A$5001,"&lt;="&amp;$B235,BD!$Y$3:$Y$5001,"&lt;&gt;"))))</f>
        <v/>
      </c>
      <c r="V235" s="54" t="str">
        <f>IF(OR($B235="",$A235&gt;$B$9,V$210=""),"",IF(COUNTIFS(BD!$B$3:$B$5001,V$210,BD!$A$3:$A$5001,"&gt;="&amp;$C$7,BD!$A$3:$A$5001,"&lt;="&amp;$B235,BD!$Y$3:$Y$5001,"&lt;&gt;")=0,"",SUMIFS(BD!$Y$3:$Y$5001,BD!$B$3:$B$5001,V$210,BD!$A$3:$A$5001,_xlfn.MAXIFS(BD!$A$3:$A$5001,BD!$B$3:$B$5001,V$210,BD!$A$3:$A$5001,"&gt;="&amp;$C$7,BD!$A$3:$A$5001,"&lt;="&amp;$B235,BD!$Y$3:$Y$5001,"&lt;&gt;"))))</f>
        <v/>
      </c>
    </row>
    <row r="236">
      <c r="A236" s="48">
        <v>26</v>
      </c>
      <c r="B236" s="53">
        <f>$B$37</f>
        <v>46321</v>
      </c>
      <c r="C236" s="54" t="str">
        <f>IF(OR($B236="",$A236&gt;$B$9,C$210=""),"",IF(COUNTIFS(BD!$B$3:$B$5001,C$210,BD!$A$3:$A$5001,"&gt;="&amp;$C$7,BD!$A$3:$A$5001,"&lt;="&amp;$B236,BD!$Y$3:$Y$5001,"&lt;&gt;")=0,"",SUMIFS(BD!$Y$3:$Y$5001,BD!$B$3:$B$5001,C$210,BD!$A$3:$A$5001,_xlfn.MAXIFS(BD!$A$3:$A$5001,BD!$B$3:$B$5001,C$210,BD!$A$3:$A$5001,"&gt;="&amp;$C$7,BD!$A$3:$A$5001,"&lt;="&amp;$B236,BD!$Y$3:$Y$5001,"&lt;&gt;"))))</f>
        <v/>
      </c>
      <c r="D236" s="54" t="str">
        <f>IF(OR($B236="",$A236&gt;$B$9,D$210=""),"",IF(COUNTIFS(BD!$B$3:$B$5001,D$210,BD!$A$3:$A$5001,"&gt;="&amp;$C$7,BD!$A$3:$A$5001,"&lt;="&amp;$B236,BD!$Y$3:$Y$5001,"&lt;&gt;")=0,"",SUMIFS(BD!$Y$3:$Y$5001,BD!$B$3:$B$5001,D$210,BD!$A$3:$A$5001,_xlfn.MAXIFS(BD!$A$3:$A$5001,BD!$B$3:$B$5001,D$210,BD!$A$3:$A$5001,"&gt;="&amp;$C$7,BD!$A$3:$A$5001,"&lt;="&amp;$B236,BD!$Y$3:$Y$5001,"&lt;&gt;"))))</f>
        <v/>
      </c>
      <c r="E236" s="54" t="str">
        <f>IF(OR($B236="",$A236&gt;$B$9,E$210=""),"",IF(COUNTIFS(BD!$B$3:$B$5001,E$210,BD!$A$3:$A$5001,"&gt;="&amp;$C$7,BD!$A$3:$A$5001,"&lt;="&amp;$B236,BD!$Y$3:$Y$5001,"&lt;&gt;")=0,"",SUMIFS(BD!$Y$3:$Y$5001,BD!$B$3:$B$5001,E$210,BD!$A$3:$A$5001,_xlfn.MAXIFS(BD!$A$3:$A$5001,BD!$B$3:$B$5001,E$210,BD!$A$3:$A$5001,"&gt;="&amp;$C$7,BD!$A$3:$A$5001,"&lt;="&amp;$B236,BD!$Y$3:$Y$5001,"&lt;&gt;"))))</f>
        <v/>
      </c>
      <c r="F236" s="54" t="str">
        <f>IF(OR($B236="",$A236&gt;$B$9,F$210=""),"",IF(COUNTIFS(BD!$B$3:$B$5001,F$210,BD!$A$3:$A$5001,"&gt;="&amp;$C$7,BD!$A$3:$A$5001,"&lt;="&amp;$B236,BD!$Y$3:$Y$5001,"&lt;&gt;")=0,"",SUMIFS(BD!$Y$3:$Y$5001,BD!$B$3:$B$5001,F$210,BD!$A$3:$A$5001,_xlfn.MAXIFS(BD!$A$3:$A$5001,BD!$B$3:$B$5001,F$210,BD!$A$3:$A$5001,"&gt;="&amp;$C$7,BD!$A$3:$A$5001,"&lt;="&amp;$B236,BD!$Y$3:$Y$5001,"&lt;&gt;"))))</f>
        <v/>
      </c>
      <c r="G236" s="54" t="str">
        <f>IF(OR($B236="",$A236&gt;$B$9,G$210=""),"",IF(COUNTIFS(BD!$B$3:$B$5001,G$210,BD!$A$3:$A$5001,"&gt;="&amp;$C$7,BD!$A$3:$A$5001,"&lt;="&amp;$B236,BD!$Y$3:$Y$5001,"&lt;&gt;")=0,"",SUMIFS(BD!$Y$3:$Y$5001,BD!$B$3:$B$5001,G$210,BD!$A$3:$A$5001,_xlfn.MAXIFS(BD!$A$3:$A$5001,BD!$B$3:$B$5001,G$210,BD!$A$3:$A$5001,"&gt;="&amp;$C$7,BD!$A$3:$A$5001,"&lt;="&amp;$B236,BD!$Y$3:$Y$5001,"&lt;&gt;"))))</f>
        <v/>
      </c>
      <c r="H236" s="54" t="str">
        <f>IF(OR($B236="",$A236&gt;$B$9,H$210=""),"",IF(COUNTIFS(BD!$B$3:$B$5001,H$210,BD!$A$3:$A$5001,"&gt;="&amp;$C$7,BD!$A$3:$A$5001,"&lt;="&amp;$B236,BD!$Y$3:$Y$5001,"&lt;&gt;")=0,"",SUMIFS(BD!$Y$3:$Y$5001,BD!$B$3:$B$5001,H$210,BD!$A$3:$A$5001,_xlfn.MAXIFS(BD!$A$3:$A$5001,BD!$B$3:$B$5001,H$210,BD!$A$3:$A$5001,"&gt;="&amp;$C$7,BD!$A$3:$A$5001,"&lt;="&amp;$B236,BD!$Y$3:$Y$5001,"&lt;&gt;"))))</f>
        <v/>
      </c>
      <c r="I236" s="54" t="str">
        <f>IF(OR($B236="",$A236&gt;$B$9,I$210=""),"",IF(COUNTIFS(BD!$B$3:$B$5001,I$210,BD!$A$3:$A$5001,"&gt;="&amp;$C$7,BD!$A$3:$A$5001,"&lt;="&amp;$B236,BD!$Y$3:$Y$5001,"&lt;&gt;")=0,"",SUMIFS(BD!$Y$3:$Y$5001,BD!$B$3:$B$5001,I$210,BD!$A$3:$A$5001,_xlfn.MAXIFS(BD!$A$3:$A$5001,BD!$B$3:$B$5001,I$210,BD!$A$3:$A$5001,"&gt;="&amp;$C$7,BD!$A$3:$A$5001,"&lt;="&amp;$B236,BD!$Y$3:$Y$5001,"&lt;&gt;"))))</f>
        <v/>
      </c>
      <c r="J236" s="54" t="str">
        <f>IF(OR($B236="",$A236&gt;$B$9,J$210=""),"",IF(COUNTIFS(BD!$B$3:$B$5001,J$210,BD!$A$3:$A$5001,"&gt;="&amp;$C$7,BD!$A$3:$A$5001,"&lt;="&amp;$B236,BD!$Y$3:$Y$5001,"&lt;&gt;")=0,"",SUMIFS(BD!$Y$3:$Y$5001,BD!$B$3:$B$5001,J$210,BD!$A$3:$A$5001,_xlfn.MAXIFS(BD!$A$3:$A$5001,BD!$B$3:$B$5001,J$210,BD!$A$3:$A$5001,"&gt;="&amp;$C$7,BD!$A$3:$A$5001,"&lt;="&amp;$B236,BD!$Y$3:$Y$5001,"&lt;&gt;"))))</f>
        <v/>
      </c>
      <c r="K236" s="54" t="str">
        <f>IF(OR($B236="",$A236&gt;$B$9,K$210=""),"",IF(COUNTIFS(BD!$B$3:$B$5001,K$210,BD!$A$3:$A$5001,"&gt;="&amp;$C$7,BD!$A$3:$A$5001,"&lt;="&amp;$B236,BD!$Y$3:$Y$5001,"&lt;&gt;")=0,"",SUMIFS(BD!$Y$3:$Y$5001,BD!$B$3:$B$5001,K$210,BD!$A$3:$A$5001,_xlfn.MAXIFS(BD!$A$3:$A$5001,BD!$B$3:$B$5001,K$210,BD!$A$3:$A$5001,"&gt;="&amp;$C$7,BD!$A$3:$A$5001,"&lt;="&amp;$B236,BD!$Y$3:$Y$5001,"&lt;&gt;"))))</f>
        <v/>
      </c>
      <c r="L236" s="54" t="str">
        <f>IF(OR($B236="",$A236&gt;$B$9,L$210=""),"",IF(COUNTIFS(BD!$B$3:$B$5001,L$210,BD!$A$3:$A$5001,"&gt;="&amp;$C$7,BD!$A$3:$A$5001,"&lt;="&amp;$B236,BD!$Y$3:$Y$5001,"&lt;&gt;")=0,"",SUMIFS(BD!$Y$3:$Y$5001,BD!$B$3:$B$5001,L$210,BD!$A$3:$A$5001,_xlfn.MAXIFS(BD!$A$3:$A$5001,BD!$B$3:$B$5001,L$210,BD!$A$3:$A$5001,"&gt;="&amp;$C$7,BD!$A$3:$A$5001,"&lt;="&amp;$B236,BD!$Y$3:$Y$5001,"&lt;&gt;"))))</f>
        <v/>
      </c>
      <c r="M236" s="54" t="str">
        <f>IF(OR($B236="",$A236&gt;$B$9,M$210=""),"",IF(COUNTIFS(BD!$B$3:$B$5001,M$210,BD!$A$3:$A$5001,"&gt;="&amp;$C$7,BD!$A$3:$A$5001,"&lt;="&amp;$B236,BD!$Y$3:$Y$5001,"&lt;&gt;")=0,"",SUMIFS(BD!$Y$3:$Y$5001,BD!$B$3:$B$5001,M$210,BD!$A$3:$A$5001,_xlfn.MAXIFS(BD!$A$3:$A$5001,BD!$B$3:$B$5001,M$210,BD!$A$3:$A$5001,"&gt;="&amp;$C$7,BD!$A$3:$A$5001,"&lt;="&amp;$B236,BD!$Y$3:$Y$5001,"&lt;&gt;"))))</f>
        <v/>
      </c>
      <c r="N236" s="54" t="str">
        <f>IF(OR($B236="",$A236&gt;$B$9,N$210=""),"",IF(COUNTIFS(BD!$B$3:$B$5001,N$210,BD!$A$3:$A$5001,"&gt;="&amp;$C$7,BD!$A$3:$A$5001,"&lt;="&amp;$B236,BD!$Y$3:$Y$5001,"&lt;&gt;")=0,"",SUMIFS(BD!$Y$3:$Y$5001,BD!$B$3:$B$5001,N$210,BD!$A$3:$A$5001,_xlfn.MAXIFS(BD!$A$3:$A$5001,BD!$B$3:$B$5001,N$210,BD!$A$3:$A$5001,"&gt;="&amp;$C$7,BD!$A$3:$A$5001,"&lt;="&amp;$B236,BD!$Y$3:$Y$5001,"&lt;&gt;"))))</f>
        <v/>
      </c>
      <c r="O236" s="54" t="str">
        <f>IF(OR($B236="",$A236&gt;$B$9,O$210=""),"",IF(COUNTIFS(BD!$B$3:$B$5001,O$210,BD!$A$3:$A$5001,"&gt;="&amp;$C$7,BD!$A$3:$A$5001,"&lt;="&amp;$B236,BD!$Y$3:$Y$5001,"&lt;&gt;")=0,"",SUMIFS(BD!$Y$3:$Y$5001,BD!$B$3:$B$5001,O$210,BD!$A$3:$A$5001,_xlfn.MAXIFS(BD!$A$3:$A$5001,BD!$B$3:$B$5001,O$210,BD!$A$3:$A$5001,"&gt;="&amp;$C$7,BD!$A$3:$A$5001,"&lt;="&amp;$B236,BD!$Y$3:$Y$5001,"&lt;&gt;"))))</f>
        <v/>
      </c>
      <c r="P236" s="54" t="str">
        <f>IF(OR($B236="",$A236&gt;$B$9,P$210=""),"",IF(COUNTIFS(BD!$B$3:$B$5001,P$210,BD!$A$3:$A$5001,"&gt;="&amp;$C$7,BD!$A$3:$A$5001,"&lt;="&amp;$B236,BD!$Y$3:$Y$5001,"&lt;&gt;")=0,"",SUMIFS(BD!$Y$3:$Y$5001,BD!$B$3:$B$5001,P$210,BD!$A$3:$A$5001,_xlfn.MAXIFS(BD!$A$3:$A$5001,BD!$B$3:$B$5001,P$210,BD!$A$3:$A$5001,"&gt;="&amp;$C$7,BD!$A$3:$A$5001,"&lt;="&amp;$B236,BD!$Y$3:$Y$5001,"&lt;&gt;"))))</f>
        <v/>
      </c>
      <c r="Q236" s="54" t="str">
        <f>IF(OR($B236="",$A236&gt;$B$9,Q$210=""),"",IF(COUNTIFS(BD!$B$3:$B$5001,Q$210,BD!$A$3:$A$5001,"&gt;="&amp;$C$7,BD!$A$3:$A$5001,"&lt;="&amp;$B236,BD!$Y$3:$Y$5001,"&lt;&gt;")=0,"",SUMIFS(BD!$Y$3:$Y$5001,BD!$B$3:$B$5001,Q$210,BD!$A$3:$A$5001,_xlfn.MAXIFS(BD!$A$3:$A$5001,BD!$B$3:$B$5001,Q$210,BD!$A$3:$A$5001,"&gt;="&amp;$C$7,BD!$A$3:$A$5001,"&lt;="&amp;$B236,BD!$Y$3:$Y$5001,"&lt;&gt;"))))</f>
        <v/>
      </c>
      <c r="R236" s="54" t="str">
        <f>IF(OR($B236="",$A236&gt;$B$9,R$210=""),"",IF(COUNTIFS(BD!$B$3:$B$5001,R$210,BD!$A$3:$A$5001,"&gt;="&amp;$C$7,BD!$A$3:$A$5001,"&lt;="&amp;$B236,BD!$Y$3:$Y$5001,"&lt;&gt;")=0,"",SUMIFS(BD!$Y$3:$Y$5001,BD!$B$3:$B$5001,R$210,BD!$A$3:$A$5001,_xlfn.MAXIFS(BD!$A$3:$A$5001,BD!$B$3:$B$5001,R$210,BD!$A$3:$A$5001,"&gt;="&amp;$C$7,BD!$A$3:$A$5001,"&lt;="&amp;$B236,BD!$Y$3:$Y$5001,"&lt;&gt;"))))</f>
        <v/>
      </c>
      <c r="S236" s="54" t="str">
        <f>IF(OR($B236="",$A236&gt;$B$9,S$210=""),"",IF(COUNTIFS(BD!$B$3:$B$5001,S$210,BD!$A$3:$A$5001,"&gt;="&amp;$C$7,BD!$A$3:$A$5001,"&lt;="&amp;$B236,BD!$Y$3:$Y$5001,"&lt;&gt;")=0,"",SUMIFS(BD!$Y$3:$Y$5001,BD!$B$3:$B$5001,S$210,BD!$A$3:$A$5001,_xlfn.MAXIFS(BD!$A$3:$A$5001,BD!$B$3:$B$5001,S$210,BD!$A$3:$A$5001,"&gt;="&amp;$C$7,BD!$A$3:$A$5001,"&lt;="&amp;$B236,BD!$Y$3:$Y$5001,"&lt;&gt;"))))</f>
        <v/>
      </c>
      <c r="T236" s="54" t="str">
        <f>IF(OR($B236="",$A236&gt;$B$9,T$210=""),"",IF(COUNTIFS(BD!$B$3:$B$5001,T$210,BD!$A$3:$A$5001,"&gt;="&amp;$C$7,BD!$A$3:$A$5001,"&lt;="&amp;$B236,BD!$Y$3:$Y$5001,"&lt;&gt;")=0,"",SUMIFS(BD!$Y$3:$Y$5001,BD!$B$3:$B$5001,T$210,BD!$A$3:$A$5001,_xlfn.MAXIFS(BD!$A$3:$A$5001,BD!$B$3:$B$5001,T$210,BD!$A$3:$A$5001,"&gt;="&amp;$C$7,BD!$A$3:$A$5001,"&lt;="&amp;$B236,BD!$Y$3:$Y$5001,"&lt;&gt;"))))</f>
        <v/>
      </c>
      <c r="U236" s="54" t="str">
        <f>IF(OR($B236="",$A236&gt;$B$9,U$210=""),"",IF(COUNTIFS(BD!$B$3:$B$5001,U$210,BD!$A$3:$A$5001,"&gt;="&amp;$C$7,BD!$A$3:$A$5001,"&lt;="&amp;$B236,BD!$Y$3:$Y$5001,"&lt;&gt;")=0,"",SUMIFS(BD!$Y$3:$Y$5001,BD!$B$3:$B$5001,U$210,BD!$A$3:$A$5001,_xlfn.MAXIFS(BD!$A$3:$A$5001,BD!$B$3:$B$5001,U$210,BD!$A$3:$A$5001,"&gt;="&amp;$C$7,BD!$A$3:$A$5001,"&lt;="&amp;$B236,BD!$Y$3:$Y$5001,"&lt;&gt;"))))</f>
        <v/>
      </c>
      <c r="V236" s="54" t="str">
        <f>IF(OR($B236="",$A236&gt;$B$9,V$210=""),"",IF(COUNTIFS(BD!$B$3:$B$5001,V$210,BD!$A$3:$A$5001,"&gt;="&amp;$C$7,BD!$A$3:$A$5001,"&lt;="&amp;$B236,BD!$Y$3:$Y$5001,"&lt;&gt;")=0,"",SUMIFS(BD!$Y$3:$Y$5001,BD!$B$3:$B$5001,V$210,BD!$A$3:$A$5001,_xlfn.MAXIFS(BD!$A$3:$A$5001,BD!$B$3:$B$5001,V$210,BD!$A$3:$A$5001,"&gt;="&amp;$C$7,BD!$A$3:$A$5001,"&lt;="&amp;$B236,BD!$Y$3:$Y$5001,"&lt;&gt;"))))</f>
        <v/>
      </c>
    </row>
    <row r="237">
      <c r="A237" s="48">
        <v>27</v>
      </c>
      <c r="B237" s="53">
        <f>$B$38</f>
        <v>46322</v>
      </c>
      <c r="C237" s="54" t="str">
        <f>IF(OR($B237="",$A237&gt;$B$9,C$210=""),"",IF(COUNTIFS(BD!$B$3:$B$5001,C$210,BD!$A$3:$A$5001,"&gt;="&amp;$C$7,BD!$A$3:$A$5001,"&lt;="&amp;$B237,BD!$Y$3:$Y$5001,"&lt;&gt;")=0,"",SUMIFS(BD!$Y$3:$Y$5001,BD!$B$3:$B$5001,C$210,BD!$A$3:$A$5001,_xlfn.MAXIFS(BD!$A$3:$A$5001,BD!$B$3:$B$5001,C$210,BD!$A$3:$A$5001,"&gt;="&amp;$C$7,BD!$A$3:$A$5001,"&lt;="&amp;$B237,BD!$Y$3:$Y$5001,"&lt;&gt;"))))</f>
        <v/>
      </c>
      <c r="D237" s="54" t="str">
        <f>IF(OR($B237="",$A237&gt;$B$9,D$210=""),"",IF(COUNTIFS(BD!$B$3:$B$5001,D$210,BD!$A$3:$A$5001,"&gt;="&amp;$C$7,BD!$A$3:$A$5001,"&lt;="&amp;$B237,BD!$Y$3:$Y$5001,"&lt;&gt;")=0,"",SUMIFS(BD!$Y$3:$Y$5001,BD!$B$3:$B$5001,D$210,BD!$A$3:$A$5001,_xlfn.MAXIFS(BD!$A$3:$A$5001,BD!$B$3:$B$5001,D$210,BD!$A$3:$A$5001,"&gt;="&amp;$C$7,BD!$A$3:$A$5001,"&lt;="&amp;$B237,BD!$Y$3:$Y$5001,"&lt;&gt;"))))</f>
        <v/>
      </c>
      <c r="E237" s="54" t="str">
        <f>IF(OR($B237="",$A237&gt;$B$9,E$210=""),"",IF(COUNTIFS(BD!$B$3:$B$5001,E$210,BD!$A$3:$A$5001,"&gt;="&amp;$C$7,BD!$A$3:$A$5001,"&lt;="&amp;$B237,BD!$Y$3:$Y$5001,"&lt;&gt;")=0,"",SUMIFS(BD!$Y$3:$Y$5001,BD!$B$3:$B$5001,E$210,BD!$A$3:$A$5001,_xlfn.MAXIFS(BD!$A$3:$A$5001,BD!$B$3:$B$5001,E$210,BD!$A$3:$A$5001,"&gt;="&amp;$C$7,BD!$A$3:$A$5001,"&lt;="&amp;$B237,BD!$Y$3:$Y$5001,"&lt;&gt;"))))</f>
        <v/>
      </c>
      <c r="F237" s="54" t="str">
        <f>IF(OR($B237="",$A237&gt;$B$9,F$210=""),"",IF(COUNTIFS(BD!$B$3:$B$5001,F$210,BD!$A$3:$A$5001,"&gt;="&amp;$C$7,BD!$A$3:$A$5001,"&lt;="&amp;$B237,BD!$Y$3:$Y$5001,"&lt;&gt;")=0,"",SUMIFS(BD!$Y$3:$Y$5001,BD!$B$3:$B$5001,F$210,BD!$A$3:$A$5001,_xlfn.MAXIFS(BD!$A$3:$A$5001,BD!$B$3:$B$5001,F$210,BD!$A$3:$A$5001,"&gt;="&amp;$C$7,BD!$A$3:$A$5001,"&lt;="&amp;$B237,BD!$Y$3:$Y$5001,"&lt;&gt;"))))</f>
        <v/>
      </c>
      <c r="G237" s="54" t="str">
        <f>IF(OR($B237="",$A237&gt;$B$9,G$210=""),"",IF(COUNTIFS(BD!$B$3:$B$5001,G$210,BD!$A$3:$A$5001,"&gt;="&amp;$C$7,BD!$A$3:$A$5001,"&lt;="&amp;$B237,BD!$Y$3:$Y$5001,"&lt;&gt;")=0,"",SUMIFS(BD!$Y$3:$Y$5001,BD!$B$3:$B$5001,G$210,BD!$A$3:$A$5001,_xlfn.MAXIFS(BD!$A$3:$A$5001,BD!$B$3:$B$5001,G$210,BD!$A$3:$A$5001,"&gt;="&amp;$C$7,BD!$A$3:$A$5001,"&lt;="&amp;$B237,BD!$Y$3:$Y$5001,"&lt;&gt;"))))</f>
        <v/>
      </c>
      <c r="H237" s="54" t="str">
        <f>IF(OR($B237="",$A237&gt;$B$9,H$210=""),"",IF(COUNTIFS(BD!$B$3:$B$5001,H$210,BD!$A$3:$A$5001,"&gt;="&amp;$C$7,BD!$A$3:$A$5001,"&lt;="&amp;$B237,BD!$Y$3:$Y$5001,"&lt;&gt;")=0,"",SUMIFS(BD!$Y$3:$Y$5001,BD!$B$3:$B$5001,H$210,BD!$A$3:$A$5001,_xlfn.MAXIFS(BD!$A$3:$A$5001,BD!$B$3:$B$5001,H$210,BD!$A$3:$A$5001,"&gt;="&amp;$C$7,BD!$A$3:$A$5001,"&lt;="&amp;$B237,BD!$Y$3:$Y$5001,"&lt;&gt;"))))</f>
        <v/>
      </c>
      <c r="I237" s="54" t="str">
        <f>IF(OR($B237="",$A237&gt;$B$9,I$210=""),"",IF(COUNTIFS(BD!$B$3:$B$5001,I$210,BD!$A$3:$A$5001,"&gt;="&amp;$C$7,BD!$A$3:$A$5001,"&lt;="&amp;$B237,BD!$Y$3:$Y$5001,"&lt;&gt;")=0,"",SUMIFS(BD!$Y$3:$Y$5001,BD!$B$3:$B$5001,I$210,BD!$A$3:$A$5001,_xlfn.MAXIFS(BD!$A$3:$A$5001,BD!$B$3:$B$5001,I$210,BD!$A$3:$A$5001,"&gt;="&amp;$C$7,BD!$A$3:$A$5001,"&lt;="&amp;$B237,BD!$Y$3:$Y$5001,"&lt;&gt;"))))</f>
        <v/>
      </c>
      <c r="J237" s="54" t="str">
        <f>IF(OR($B237="",$A237&gt;$B$9,J$210=""),"",IF(COUNTIFS(BD!$B$3:$B$5001,J$210,BD!$A$3:$A$5001,"&gt;="&amp;$C$7,BD!$A$3:$A$5001,"&lt;="&amp;$B237,BD!$Y$3:$Y$5001,"&lt;&gt;")=0,"",SUMIFS(BD!$Y$3:$Y$5001,BD!$B$3:$B$5001,J$210,BD!$A$3:$A$5001,_xlfn.MAXIFS(BD!$A$3:$A$5001,BD!$B$3:$B$5001,J$210,BD!$A$3:$A$5001,"&gt;="&amp;$C$7,BD!$A$3:$A$5001,"&lt;="&amp;$B237,BD!$Y$3:$Y$5001,"&lt;&gt;"))))</f>
        <v/>
      </c>
      <c r="K237" s="54" t="str">
        <f>IF(OR($B237="",$A237&gt;$B$9,K$210=""),"",IF(COUNTIFS(BD!$B$3:$B$5001,K$210,BD!$A$3:$A$5001,"&gt;="&amp;$C$7,BD!$A$3:$A$5001,"&lt;="&amp;$B237,BD!$Y$3:$Y$5001,"&lt;&gt;")=0,"",SUMIFS(BD!$Y$3:$Y$5001,BD!$B$3:$B$5001,K$210,BD!$A$3:$A$5001,_xlfn.MAXIFS(BD!$A$3:$A$5001,BD!$B$3:$B$5001,K$210,BD!$A$3:$A$5001,"&gt;="&amp;$C$7,BD!$A$3:$A$5001,"&lt;="&amp;$B237,BD!$Y$3:$Y$5001,"&lt;&gt;"))))</f>
        <v/>
      </c>
      <c r="L237" s="54" t="str">
        <f>IF(OR($B237="",$A237&gt;$B$9,L$210=""),"",IF(COUNTIFS(BD!$B$3:$B$5001,L$210,BD!$A$3:$A$5001,"&gt;="&amp;$C$7,BD!$A$3:$A$5001,"&lt;="&amp;$B237,BD!$Y$3:$Y$5001,"&lt;&gt;")=0,"",SUMIFS(BD!$Y$3:$Y$5001,BD!$B$3:$B$5001,L$210,BD!$A$3:$A$5001,_xlfn.MAXIFS(BD!$A$3:$A$5001,BD!$B$3:$B$5001,L$210,BD!$A$3:$A$5001,"&gt;="&amp;$C$7,BD!$A$3:$A$5001,"&lt;="&amp;$B237,BD!$Y$3:$Y$5001,"&lt;&gt;"))))</f>
        <v/>
      </c>
      <c r="M237" s="54" t="str">
        <f>IF(OR($B237="",$A237&gt;$B$9,M$210=""),"",IF(COUNTIFS(BD!$B$3:$B$5001,M$210,BD!$A$3:$A$5001,"&gt;="&amp;$C$7,BD!$A$3:$A$5001,"&lt;="&amp;$B237,BD!$Y$3:$Y$5001,"&lt;&gt;")=0,"",SUMIFS(BD!$Y$3:$Y$5001,BD!$B$3:$B$5001,M$210,BD!$A$3:$A$5001,_xlfn.MAXIFS(BD!$A$3:$A$5001,BD!$B$3:$B$5001,M$210,BD!$A$3:$A$5001,"&gt;="&amp;$C$7,BD!$A$3:$A$5001,"&lt;="&amp;$B237,BD!$Y$3:$Y$5001,"&lt;&gt;"))))</f>
        <v/>
      </c>
      <c r="N237" s="54" t="str">
        <f>IF(OR($B237="",$A237&gt;$B$9,N$210=""),"",IF(COUNTIFS(BD!$B$3:$B$5001,N$210,BD!$A$3:$A$5001,"&gt;="&amp;$C$7,BD!$A$3:$A$5001,"&lt;="&amp;$B237,BD!$Y$3:$Y$5001,"&lt;&gt;")=0,"",SUMIFS(BD!$Y$3:$Y$5001,BD!$B$3:$B$5001,N$210,BD!$A$3:$A$5001,_xlfn.MAXIFS(BD!$A$3:$A$5001,BD!$B$3:$B$5001,N$210,BD!$A$3:$A$5001,"&gt;="&amp;$C$7,BD!$A$3:$A$5001,"&lt;="&amp;$B237,BD!$Y$3:$Y$5001,"&lt;&gt;"))))</f>
        <v/>
      </c>
      <c r="O237" s="54" t="str">
        <f>IF(OR($B237="",$A237&gt;$B$9,O$210=""),"",IF(COUNTIFS(BD!$B$3:$B$5001,O$210,BD!$A$3:$A$5001,"&gt;="&amp;$C$7,BD!$A$3:$A$5001,"&lt;="&amp;$B237,BD!$Y$3:$Y$5001,"&lt;&gt;")=0,"",SUMIFS(BD!$Y$3:$Y$5001,BD!$B$3:$B$5001,O$210,BD!$A$3:$A$5001,_xlfn.MAXIFS(BD!$A$3:$A$5001,BD!$B$3:$B$5001,O$210,BD!$A$3:$A$5001,"&gt;="&amp;$C$7,BD!$A$3:$A$5001,"&lt;="&amp;$B237,BD!$Y$3:$Y$5001,"&lt;&gt;"))))</f>
        <v/>
      </c>
      <c r="P237" s="54" t="str">
        <f>IF(OR($B237="",$A237&gt;$B$9,P$210=""),"",IF(COUNTIFS(BD!$B$3:$B$5001,P$210,BD!$A$3:$A$5001,"&gt;="&amp;$C$7,BD!$A$3:$A$5001,"&lt;="&amp;$B237,BD!$Y$3:$Y$5001,"&lt;&gt;")=0,"",SUMIFS(BD!$Y$3:$Y$5001,BD!$B$3:$B$5001,P$210,BD!$A$3:$A$5001,_xlfn.MAXIFS(BD!$A$3:$A$5001,BD!$B$3:$B$5001,P$210,BD!$A$3:$A$5001,"&gt;="&amp;$C$7,BD!$A$3:$A$5001,"&lt;="&amp;$B237,BD!$Y$3:$Y$5001,"&lt;&gt;"))))</f>
        <v/>
      </c>
      <c r="Q237" s="54" t="str">
        <f>IF(OR($B237="",$A237&gt;$B$9,Q$210=""),"",IF(COUNTIFS(BD!$B$3:$B$5001,Q$210,BD!$A$3:$A$5001,"&gt;="&amp;$C$7,BD!$A$3:$A$5001,"&lt;="&amp;$B237,BD!$Y$3:$Y$5001,"&lt;&gt;")=0,"",SUMIFS(BD!$Y$3:$Y$5001,BD!$B$3:$B$5001,Q$210,BD!$A$3:$A$5001,_xlfn.MAXIFS(BD!$A$3:$A$5001,BD!$B$3:$B$5001,Q$210,BD!$A$3:$A$5001,"&gt;="&amp;$C$7,BD!$A$3:$A$5001,"&lt;="&amp;$B237,BD!$Y$3:$Y$5001,"&lt;&gt;"))))</f>
        <v/>
      </c>
      <c r="R237" s="54" t="str">
        <f>IF(OR($B237="",$A237&gt;$B$9,R$210=""),"",IF(COUNTIFS(BD!$B$3:$B$5001,R$210,BD!$A$3:$A$5001,"&gt;="&amp;$C$7,BD!$A$3:$A$5001,"&lt;="&amp;$B237,BD!$Y$3:$Y$5001,"&lt;&gt;")=0,"",SUMIFS(BD!$Y$3:$Y$5001,BD!$B$3:$B$5001,R$210,BD!$A$3:$A$5001,_xlfn.MAXIFS(BD!$A$3:$A$5001,BD!$B$3:$B$5001,R$210,BD!$A$3:$A$5001,"&gt;="&amp;$C$7,BD!$A$3:$A$5001,"&lt;="&amp;$B237,BD!$Y$3:$Y$5001,"&lt;&gt;"))))</f>
        <v/>
      </c>
      <c r="S237" s="54" t="str">
        <f>IF(OR($B237="",$A237&gt;$B$9,S$210=""),"",IF(COUNTIFS(BD!$B$3:$B$5001,S$210,BD!$A$3:$A$5001,"&gt;="&amp;$C$7,BD!$A$3:$A$5001,"&lt;="&amp;$B237,BD!$Y$3:$Y$5001,"&lt;&gt;")=0,"",SUMIFS(BD!$Y$3:$Y$5001,BD!$B$3:$B$5001,S$210,BD!$A$3:$A$5001,_xlfn.MAXIFS(BD!$A$3:$A$5001,BD!$B$3:$B$5001,S$210,BD!$A$3:$A$5001,"&gt;="&amp;$C$7,BD!$A$3:$A$5001,"&lt;="&amp;$B237,BD!$Y$3:$Y$5001,"&lt;&gt;"))))</f>
        <v/>
      </c>
      <c r="T237" s="54" t="str">
        <f>IF(OR($B237="",$A237&gt;$B$9,T$210=""),"",IF(COUNTIFS(BD!$B$3:$B$5001,T$210,BD!$A$3:$A$5001,"&gt;="&amp;$C$7,BD!$A$3:$A$5001,"&lt;="&amp;$B237,BD!$Y$3:$Y$5001,"&lt;&gt;")=0,"",SUMIFS(BD!$Y$3:$Y$5001,BD!$B$3:$B$5001,T$210,BD!$A$3:$A$5001,_xlfn.MAXIFS(BD!$A$3:$A$5001,BD!$B$3:$B$5001,T$210,BD!$A$3:$A$5001,"&gt;="&amp;$C$7,BD!$A$3:$A$5001,"&lt;="&amp;$B237,BD!$Y$3:$Y$5001,"&lt;&gt;"))))</f>
        <v/>
      </c>
      <c r="U237" s="54" t="str">
        <f>IF(OR($B237="",$A237&gt;$B$9,U$210=""),"",IF(COUNTIFS(BD!$B$3:$B$5001,U$210,BD!$A$3:$A$5001,"&gt;="&amp;$C$7,BD!$A$3:$A$5001,"&lt;="&amp;$B237,BD!$Y$3:$Y$5001,"&lt;&gt;")=0,"",SUMIFS(BD!$Y$3:$Y$5001,BD!$B$3:$B$5001,U$210,BD!$A$3:$A$5001,_xlfn.MAXIFS(BD!$A$3:$A$5001,BD!$B$3:$B$5001,U$210,BD!$A$3:$A$5001,"&gt;="&amp;$C$7,BD!$A$3:$A$5001,"&lt;="&amp;$B237,BD!$Y$3:$Y$5001,"&lt;&gt;"))))</f>
        <v/>
      </c>
      <c r="V237" s="54" t="str">
        <f>IF(OR($B237="",$A237&gt;$B$9,V$210=""),"",IF(COUNTIFS(BD!$B$3:$B$5001,V$210,BD!$A$3:$A$5001,"&gt;="&amp;$C$7,BD!$A$3:$A$5001,"&lt;="&amp;$B237,BD!$Y$3:$Y$5001,"&lt;&gt;")=0,"",SUMIFS(BD!$Y$3:$Y$5001,BD!$B$3:$B$5001,V$210,BD!$A$3:$A$5001,_xlfn.MAXIFS(BD!$A$3:$A$5001,BD!$B$3:$B$5001,V$210,BD!$A$3:$A$5001,"&gt;="&amp;$C$7,BD!$A$3:$A$5001,"&lt;="&amp;$B237,BD!$Y$3:$Y$5001,"&lt;&gt;"))))</f>
        <v/>
      </c>
    </row>
    <row r="238">
      <c r="A238" s="48">
        <v>28</v>
      </c>
      <c r="B238" s="53">
        <f>$B$39</f>
        <v>46323</v>
      </c>
      <c r="C238" s="54" t="str">
        <f>IF(OR($B238="",$A238&gt;$B$9,C$210=""),"",IF(COUNTIFS(BD!$B$3:$B$5001,C$210,BD!$A$3:$A$5001,"&gt;="&amp;$C$7,BD!$A$3:$A$5001,"&lt;="&amp;$B238,BD!$Y$3:$Y$5001,"&lt;&gt;")=0,"",SUMIFS(BD!$Y$3:$Y$5001,BD!$B$3:$B$5001,C$210,BD!$A$3:$A$5001,_xlfn.MAXIFS(BD!$A$3:$A$5001,BD!$B$3:$B$5001,C$210,BD!$A$3:$A$5001,"&gt;="&amp;$C$7,BD!$A$3:$A$5001,"&lt;="&amp;$B238,BD!$Y$3:$Y$5001,"&lt;&gt;"))))</f>
        <v/>
      </c>
      <c r="D238" s="54" t="str">
        <f>IF(OR($B238="",$A238&gt;$B$9,D$210=""),"",IF(COUNTIFS(BD!$B$3:$B$5001,D$210,BD!$A$3:$A$5001,"&gt;="&amp;$C$7,BD!$A$3:$A$5001,"&lt;="&amp;$B238,BD!$Y$3:$Y$5001,"&lt;&gt;")=0,"",SUMIFS(BD!$Y$3:$Y$5001,BD!$B$3:$B$5001,D$210,BD!$A$3:$A$5001,_xlfn.MAXIFS(BD!$A$3:$A$5001,BD!$B$3:$B$5001,D$210,BD!$A$3:$A$5001,"&gt;="&amp;$C$7,BD!$A$3:$A$5001,"&lt;="&amp;$B238,BD!$Y$3:$Y$5001,"&lt;&gt;"))))</f>
        <v/>
      </c>
      <c r="E238" s="54" t="str">
        <f>IF(OR($B238="",$A238&gt;$B$9,E$210=""),"",IF(COUNTIFS(BD!$B$3:$B$5001,E$210,BD!$A$3:$A$5001,"&gt;="&amp;$C$7,BD!$A$3:$A$5001,"&lt;="&amp;$B238,BD!$Y$3:$Y$5001,"&lt;&gt;")=0,"",SUMIFS(BD!$Y$3:$Y$5001,BD!$B$3:$B$5001,E$210,BD!$A$3:$A$5001,_xlfn.MAXIFS(BD!$A$3:$A$5001,BD!$B$3:$B$5001,E$210,BD!$A$3:$A$5001,"&gt;="&amp;$C$7,BD!$A$3:$A$5001,"&lt;="&amp;$B238,BD!$Y$3:$Y$5001,"&lt;&gt;"))))</f>
        <v/>
      </c>
      <c r="F238" s="54" t="str">
        <f>IF(OR($B238="",$A238&gt;$B$9,F$210=""),"",IF(COUNTIFS(BD!$B$3:$B$5001,F$210,BD!$A$3:$A$5001,"&gt;="&amp;$C$7,BD!$A$3:$A$5001,"&lt;="&amp;$B238,BD!$Y$3:$Y$5001,"&lt;&gt;")=0,"",SUMIFS(BD!$Y$3:$Y$5001,BD!$B$3:$B$5001,F$210,BD!$A$3:$A$5001,_xlfn.MAXIFS(BD!$A$3:$A$5001,BD!$B$3:$B$5001,F$210,BD!$A$3:$A$5001,"&gt;="&amp;$C$7,BD!$A$3:$A$5001,"&lt;="&amp;$B238,BD!$Y$3:$Y$5001,"&lt;&gt;"))))</f>
        <v/>
      </c>
      <c r="G238" s="54" t="str">
        <f>IF(OR($B238="",$A238&gt;$B$9,G$210=""),"",IF(COUNTIFS(BD!$B$3:$B$5001,G$210,BD!$A$3:$A$5001,"&gt;="&amp;$C$7,BD!$A$3:$A$5001,"&lt;="&amp;$B238,BD!$Y$3:$Y$5001,"&lt;&gt;")=0,"",SUMIFS(BD!$Y$3:$Y$5001,BD!$B$3:$B$5001,G$210,BD!$A$3:$A$5001,_xlfn.MAXIFS(BD!$A$3:$A$5001,BD!$B$3:$B$5001,G$210,BD!$A$3:$A$5001,"&gt;="&amp;$C$7,BD!$A$3:$A$5001,"&lt;="&amp;$B238,BD!$Y$3:$Y$5001,"&lt;&gt;"))))</f>
        <v/>
      </c>
      <c r="H238" s="54" t="str">
        <f>IF(OR($B238="",$A238&gt;$B$9,H$210=""),"",IF(COUNTIFS(BD!$B$3:$B$5001,H$210,BD!$A$3:$A$5001,"&gt;="&amp;$C$7,BD!$A$3:$A$5001,"&lt;="&amp;$B238,BD!$Y$3:$Y$5001,"&lt;&gt;")=0,"",SUMIFS(BD!$Y$3:$Y$5001,BD!$B$3:$B$5001,H$210,BD!$A$3:$A$5001,_xlfn.MAXIFS(BD!$A$3:$A$5001,BD!$B$3:$B$5001,H$210,BD!$A$3:$A$5001,"&gt;="&amp;$C$7,BD!$A$3:$A$5001,"&lt;="&amp;$B238,BD!$Y$3:$Y$5001,"&lt;&gt;"))))</f>
        <v/>
      </c>
      <c r="I238" s="54" t="str">
        <f>IF(OR($B238="",$A238&gt;$B$9,I$210=""),"",IF(COUNTIFS(BD!$B$3:$B$5001,I$210,BD!$A$3:$A$5001,"&gt;="&amp;$C$7,BD!$A$3:$A$5001,"&lt;="&amp;$B238,BD!$Y$3:$Y$5001,"&lt;&gt;")=0,"",SUMIFS(BD!$Y$3:$Y$5001,BD!$B$3:$B$5001,I$210,BD!$A$3:$A$5001,_xlfn.MAXIFS(BD!$A$3:$A$5001,BD!$B$3:$B$5001,I$210,BD!$A$3:$A$5001,"&gt;="&amp;$C$7,BD!$A$3:$A$5001,"&lt;="&amp;$B238,BD!$Y$3:$Y$5001,"&lt;&gt;"))))</f>
        <v/>
      </c>
      <c r="J238" s="54" t="str">
        <f>IF(OR($B238="",$A238&gt;$B$9,J$210=""),"",IF(COUNTIFS(BD!$B$3:$B$5001,J$210,BD!$A$3:$A$5001,"&gt;="&amp;$C$7,BD!$A$3:$A$5001,"&lt;="&amp;$B238,BD!$Y$3:$Y$5001,"&lt;&gt;")=0,"",SUMIFS(BD!$Y$3:$Y$5001,BD!$B$3:$B$5001,J$210,BD!$A$3:$A$5001,_xlfn.MAXIFS(BD!$A$3:$A$5001,BD!$B$3:$B$5001,J$210,BD!$A$3:$A$5001,"&gt;="&amp;$C$7,BD!$A$3:$A$5001,"&lt;="&amp;$B238,BD!$Y$3:$Y$5001,"&lt;&gt;"))))</f>
        <v/>
      </c>
      <c r="K238" s="54" t="str">
        <f>IF(OR($B238="",$A238&gt;$B$9,K$210=""),"",IF(COUNTIFS(BD!$B$3:$B$5001,K$210,BD!$A$3:$A$5001,"&gt;="&amp;$C$7,BD!$A$3:$A$5001,"&lt;="&amp;$B238,BD!$Y$3:$Y$5001,"&lt;&gt;")=0,"",SUMIFS(BD!$Y$3:$Y$5001,BD!$B$3:$B$5001,K$210,BD!$A$3:$A$5001,_xlfn.MAXIFS(BD!$A$3:$A$5001,BD!$B$3:$B$5001,K$210,BD!$A$3:$A$5001,"&gt;="&amp;$C$7,BD!$A$3:$A$5001,"&lt;="&amp;$B238,BD!$Y$3:$Y$5001,"&lt;&gt;"))))</f>
        <v/>
      </c>
      <c r="L238" s="54" t="str">
        <f>IF(OR($B238="",$A238&gt;$B$9,L$210=""),"",IF(COUNTIFS(BD!$B$3:$B$5001,L$210,BD!$A$3:$A$5001,"&gt;="&amp;$C$7,BD!$A$3:$A$5001,"&lt;="&amp;$B238,BD!$Y$3:$Y$5001,"&lt;&gt;")=0,"",SUMIFS(BD!$Y$3:$Y$5001,BD!$B$3:$B$5001,L$210,BD!$A$3:$A$5001,_xlfn.MAXIFS(BD!$A$3:$A$5001,BD!$B$3:$B$5001,L$210,BD!$A$3:$A$5001,"&gt;="&amp;$C$7,BD!$A$3:$A$5001,"&lt;="&amp;$B238,BD!$Y$3:$Y$5001,"&lt;&gt;"))))</f>
        <v/>
      </c>
      <c r="M238" s="54" t="str">
        <f>IF(OR($B238="",$A238&gt;$B$9,M$210=""),"",IF(COUNTIFS(BD!$B$3:$B$5001,M$210,BD!$A$3:$A$5001,"&gt;="&amp;$C$7,BD!$A$3:$A$5001,"&lt;="&amp;$B238,BD!$Y$3:$Y$5001,"&lt;&gt;")=0,"",SUMIFS(BD!$Y$3:$Y$5001,BD!$B$3:$B$5001,M$210,BD!$A$3:$A$5001,_xlfn.MAXIFS(BD!$A$3:$A$5001,BD!$B$3:$B$5001,M$210,BD!$A$3:$A$5001,"&gt;="&amp;$C$7,BD!$A$3:$A$5001,"&lt;="&amp;$B238,BD!$Y$3:$Y$5001,"&lt;&gt;"))))</f>
        <v/>
      </c>
      <c r="N238" s="54" t="str">
        <f>IF(OR($B238="",$A238&gt;$B$9,N$210=""),"",IF(COUNTIFS(BD!$B$3:$B$5001,N$210,BD!$A$3:$A$5001,"&gt;="&amp;$C$7,BD!$A$3:$A$5001,"&lt;="&amp;$B238,BD!$Y$3:$Y$5001,"&lt;&gt;")=0,"",SUMIFS(BD!$Y$3:$Y$5001,BD!$B$3:$B$5001,N$210,BD!$A$3:$A$5001,_xlfn.MAXIFS(BD!$A$3:$A$5001,BD!$B$3:$B$5001,N$210,BD!$A$3:$A$5001,"&gt;="&amp;$C$7,BD!$A$3:$A$5001,"&lt;="&amp;$B238,BD!$Y$3:$Y$5001,"&lt;&gt;"))))</f>
        <v/>
      </c>
      <c r="O238" s="54" t="str">
        <f>IF(OR($B238="",$A238&gt;$B$9,O$210=""),"",IF(COUNTIFS(BD!$B$3:$B$5001,O$210,BD!$A$3:$A$5001,"&gt;="&amp;$C$7,BD!$A$3:$A$5001,"&lt;="&amp;$B238,BD!$Y$3:$Y$5001,"&lt;&gt;")=0,"",SUMIFS(BD!$Y$3:$Y$5001,BD!$B$3:$B$5001,O$210,BD!$A$3:$A$5001,_xlfn.MAXIFS(BD!$A$3:$A$5001,BD!$B$3:$B$5001,O$210,BD!$A$3:$A$5001,"&gt;="&amp;$C$7,BD!$A$3:$A$5001,"&lt;="&amp;$B238,BD!$Y$3:$Y$5001,"&lt;&gt;"))))</f>
        <v/>
      </c>
      <c r="P238" s="54" t="str">
        <f>IF(OR($B238="",$A238&gt;$B$9,P$210=""),"",IF(COUNTIFS(BD!$B$3:$B$5001,P$210,BD!$A$3:$A$5001,"&gt;="&amp;$C$7,BD!$A$3:$A$5001,"&lt;="&amp;$B238,BD!$Y$3:$Y$5001,"&lt;&gt;")=0,"",SUMIFS(BD!$Y$3:$Y$5001,BD!$B$3:$B$5001,P$210,BD!$A$3:$A$5001,_xlfn.MAXIFS(BD!$A$3:$A$5001,BD!$B$3:$B$5001,P$210,BD!$A$3:$A$5001,"&gt;="&amp;$C$7,BD!$A$3:$A$5001,"&lt;="&amp;$B238,BD!$Y$3:$Y$5001,"&lt;&gt;"))))</f>
        <v/>
      </c>
      <c r="Q238" s="54" t="str">
        <f>IF(OR($B238="",$A238&gt;$B$9,Q$210=""),"",IF(COUNTIFS(BD!$B$3:$B$5001,Q$210,BD!$A$3:$A$5001,"&gt;="&amp;$C$7,BD!$A$3:$A$5001,"&lt;="&amp;$B238,BD!$Y$3:$Y$5001,"&lt;&gt;")=0,"",SUMIFS(BD!$Y$3:$Y$5001,BD!$B$3:$B$5001,Q$210,BD!$A$3:$A$5001,_xlfn.MAXIFS(BD!$A$3:$A$5001,BD!$B$3:$B$5001,Q$210,BD!$A$3:$A$5001,"&gt;="&amp;$C$7,BD!$A$3:$A$5001,"&lt;="&amp;$B238,BD!$Y$3:$Y$5001,"&lt;&gt;"))))</f>
        <v/>
      </c>
      <c r="R238" s="54" t="str">
        <f>IF(OR($B238="",$A238&gt;$B$9,R$210=""),"",IF(COUNTIFS(BD!$B$3:$B$5001,R$210,BD!$A$3:$A$5001,"&gt;="&amp;$C$7,BD!$A$3:$A$5001,"&lt;="&amp;$B238,BD!$Y$3:$Y$5001,"&lt;&gt;")=0,"",SUMIFS(BD!$Y$3:$Y$5001,BD!$B$3:$B$5001,R$210,BD!$A$3:$A$5001,_xlfn.MAXIFS(BD!$A$3:$A$5001,BD!$B$3:$B$5001,R$210,BD!$A$3:$A$5001,"&gt;="&amp;$C$7,BD!$A$3:$A$5001,"&lt;="&amp;$B238,BD!$Y$3:$Y$5001,"&lt;&gt;"))))</f>
        <v/>
      </c>
      <c r="S238" s="54" t="str">
        <f>IF(OR($B238="",$A238&gt;$B$9,S$210=""),"",IF(COUNTIFS(BD!$B$3:$B$5001,S$210,BD!$A$3:$A$5001,"&gt;="&amp;$C$7,BD!$A$3:$A$5001,"&lt;="&amp;$B238,BD!$Y$3:$Y$5001,"&lt;&gt;")=0,"",SUMIFS(BD!$Y$3:$Y$5001,BD!$B$3:$B$5001,S$210,BD!$A$3:$A$5001,_xlfn.MAXIFS(BD!$A$3:$A$5001,BD!$B$3:$B$5001,S$210,BD!$A$3:$A$5001,"&gt;="&amp;$C$7,BD!$A$3:$A$5001,"&lt;="&amp;$B238,BD!$Y$3:$Y$5001,"&lt;&gt;"))))</f>
        <v/>
      </c>
      <c r="T238" s="54" t="str">
        <f>IF(OR($B238="",$A238&gt;$B$9,T$210=""),"",IF(COUNTIFS(BD!$B$3:$B$5001,T$210,BD!$A$3:$A$5001,"&gt;="&amp;$C$7,BD!$A$3:$A$5001,"&lt;="&amp;$B238,BD!$Y$3:$Y$5001,"&lt;&gt;")=0,"",SUMIFS(BD!$Y$3:$Y$5001,BD!$B$3:$B$5001,T$210,BD!$A$3:$A$5001,_xlfn.MAXIFS(BD!$A$3:$A$5001,BD!$B$3:$B$5001,T$210,BD!$A$3:$A$5001,"&gt;="&amp;$C$7,BD!$A$3:$A$5001,"&lt;="&amp;$B238,BD!$Y$3:$Y$5001,"&lt;&gt;"))))</f>
        <v/>
      </c>
      <c r="U238" s="54" t="str">
        <f>IF(OR($B238="",$A238&gt;$B$9,U$210=""),"",IF(COUNTIFS(BD!$B$3:$B$5001,U$210,BD!$A$3:$A$5001,"&gt;="&amp;$C$7,BD!$A$3:$A$5001,"&lt;="&amp;$B238,BD!$Y$3:$Y$5001,"&lt;&gt;")=0,"",SUMIFS(BD!$Y$3:$Y$5001,BD!$B$3:$B$5001,U$210,BD!$A$3:$A$5001,_xlfn.MAXIFS(BD!$A$3:$A$5001,BD!$B$3:$B$5001,U$210,BD!$A$3:$A$5001,"&gt;="&amp;$C$7,BD!$A$3:$A$5001,"&lt;="&amp;$B238,BD!$Y$3:$Y$5001,"&lt;&gt;"))))</f>
        <v/>
      </c>
      <c r="V238" s="54" t="str">
        <f>IF(OR($B238="",$A238&gt;$B$9,V$210=""),"",IF(COUNTIFS(BD!$B$3:$B$5001,V$210,BD!$A$3:$A$5001,"&gt;="&amp;$C$7,BD!$A$3:$A$5001,"&lt;="&amp;$B238,BD!$Y$3:$Y$5001,"&lt;&gt;")=0,"",SUMIFS(BD!$Y$3:$Y$5001,BD!$B$3:$B$5001,V$210,BD!$A$3:$A$5001,_xlfn.MAXIFS(BD!$A$3:$A$5001,BD!$B$3:$B$5001,V$210,BD!$A$3:$A$5001,"&gt;="&amp;$C$7,BD!$A$3:$A$5001,"&lt;="&amp;$B238,BD!$Y$3:$Y$5001,"&lt;&gt;"))))</f>
        <v/>
      </c>
    </row>
    <row r="239">
      <c r="A239" s="48">
        <v>29</v>
      </c>
      <c r="B239" s="53">
        <f>$B$40</f>
        <v>46324</v>
      </c>
      <c r="C239" s="54" t="str">
        <f>IF(OR($B239="",$A239&gt;$B$9,C$210=""),"",IF(COUNTIFS(BD!$B$3:$B$5001,C$210,BD!$A$3:$A$5001,"&gt;="&amp;$C$7,BD!$A$3:$A$5001,"&lt;="&amp;$B239,BD!$Y$3:$Y$5001,"&lt;&gt;")=0,"",SUMIFS(BD!$Y$3:$Y$5001,BD!$B$3:$B$5001,C$210,BD!$A$3:$A$5001,_xlfn.MAXIFS(BD!$A$3:$A$5001,BD!$B$3:$B$5001,C$210,BD!$A$3:$A$5001,"&gt;="&amp;$C$7,BD!$A$3:$A$5001,"&lt;="&amp;$B239,BD!$Y$3:$Y$5001,"&lt;&gt;"))))</f>
        <v/>
      </c>
      <c r="D239" s="54" t="str">
        <f>IF(OR($B239="",$A239&gt;$B$9,D$210=""),"",IF(COUNTIFS(BD!$B$3:$B$5001,D$210,BD!$A$3:$A$5001,"&gt;="&amp;$C$7,BD!$A$3:$A$5001,"&lt;="&amp;$B239,BD!$Y$3:$Y$5001,"&lt;&gt;")=0,"",SUMIFS(BD!$Y$3:$Y$5001,BD!$B$3:$B$5001,D$210,BD!$A$3:$A$5001,_xlfn.MAXIFS(BD!$A$3:$A$5001,BD!$B$3:$B$5001,D$210,BD!$A$3:$A$5001,"&gt;="&amp;$C$7,BD!$A$3:$A$5001,"&lt;="&amp;$B239,BD!$Y$3:$Y$5001,"&lt;&gt;"))))</f>
        <v/>
      </c>
      <c r="E239" s="54" t="str">
        <f>IF(OR($B239="",$A239&gt;$B$9,E$210=""),"",IF(COUNTIFS(BD!$B$3:$B$5001,E$210,BD!$A$3:$A$5001,"&gt;="&amp;$C$7,BD!$A$3:$A$5001,"&lt;="&amp;$B239,BD!$Y$3:$Y$5001,"&lt;&gt;")=0,"",SUMIFS(BD!$Y$3:$Y$5001,BD!$B$3:$B$5001,E$210,BD!$A$3:$A$5001,_xlfn.MAXIFS(BD!$A$3:$A$5001,BD!$B$3:$B$5001,E$210,BD!$A$3:$A$5001,"&gt;="&amp;$C$7,BD!$A$3:$A$5001,"&lt;="&amp;$B239,BD!$Y$3:$Y$5001,"&lt;&gt;"))))</f>
        <v/>
      </c>
      <c r="F239" s="54" t="str">
        <f>IF(OR($B239="",$A239&gt;$B$9,F$210=""),"",IF(COUNTIFS(BD!$B$3:$B$5001,F$210,BD!$A$3:$A$5001,"&gt;="&amp;$C$7,BD!$A$3:$A$5001,"&lt;="&amp;$B239,BD!$Y$3:$Y$5001,"&lt;&gt;")=0,"",SUMIFS(BD!$Y$3:$Y$5001,BD!$B$3:$B$5001,F$210,BD!$A$3:$A$5001,_xlfn.MAXIFS(BD!$A$3:$A$5001,BD!$B$3:$B$5001,F$210,BD!$A$3:$A$5001,"&gt;="&amp;$C$7,BD!$A$3:$A$5001,"&lt;="&amp;$B239,BD!$Y$3:$Y$5001,"&lt;&gt;"))))</f>
        <v/>
      </c>
      <c r="G239" s="54" t="str">
        <f>IF(OR($B239="",$A239&gt;$B$9,G$210=""),"",IF(COUNTIFS(BD!$B$3:$B$5001,G$210,BD!$A$3:$A$5001,"&gt;="&amp;$C$7,BD!$A$3:$A$5001,"&lt;="&amp;$B239,BD!$Y$3:$Y$5001,"&lt;&gt;")=0,"",SUMIFS(BD!$Y$3:$Y$5001,BD!$B$3:$B$5001,G$210,BD!$A$3:$A$5001,_xlfn.MAXIFS(BD!$A$3:$A$5001,BD!$B$3:$B$5001,G$210,BD!$A$3:$A$5001,"&gt;="&amp;$C$7,BD!$A$3:$A$5001,"&lt;="&amp;$B239,BD!$Y$3:$Y$5001,"&lt;&gt;"))))</f>
        <v/>
      </c>
      <c r="H239" s="54" t="str">
        <f>IF(OR($B239="",$A239&gt;$B$9,H$210=""),"",IF(COUNTIFS(BD!$B$3:$B$5001,H$210,BD!$A$3:$A$5001,"&gt;="&amp;$C$7,BD!$A$3:$A$5001,"&lt;="&amp;$B239,BD!$Y$3:$Y$5001,"&lt;&gt;")=0,"",SUMIFS(BD!$Y$3:$Y$5001,BD!$B$3:$B$5001,H$210,BD!$A$3:$A$5001,_xlfn.MAXIFS(BD!$A$3:$A$5001,BD!$B$3:$B$5001,H$210,BD!$A$3:$A$5001,"&gt;="&amp;$C$7,BD!$A$3:$A$5001,"&lt;="&amp;$B239,BD!$Y$3:$Y$5001,"&lt;&gt;"))))</f>
        <v/>
      </c>
      <c r="I239" s="54" t="str">
        <f>IF(OR($B239="",$A239&gt;$B$9,I$210=""),"",IF(COUNTIFS(BD!$B$3:$B$5001,I$210,BD!$A$3:$A$5001,"&gt;="&amp;$C$7,BD!$A$3:$A$5001,"&lt;="&amp;$B239,BD!$Y$3:$Y$5001,"&lt;&gt;")=0,"",SUMIFS(BD!$Y$3:$Y$5001,BD!$B$3:$B$5001,I$210,BD!$A$3:$A$5001,_xlfn.MAXIFS(BD!$A$3:$A$5001,BD!$B$3:$B$5001,I$210,BD!$A$3:$A$5001,"&gt;="&amp;$C$7,BD!$A$3:$A$5001,"&lt;="&amp;$B239,BD!$Y$3:$Y$5001,"&lt;&gt;"))))</f>
        <v/>
      </c>
      <c r="J239" s="54" t="str">
        <f>IF(OR($B239="",$A239&gt;$B$9,J$210=""),"",IF(COUNTIFS(BD!$B$3:$B$5001,J$210,BD!$A$3:$A$5001,"&gt;="&amp;$C$7,BD!$A$3:$A$5001,"&lt;="&amp;$B239,BD!$Y$3:$Y$5001,"&lt;&gt;")=0,"",SUMIFS(BD!$Y$3:$Y$5001,BD!$B$3:$B$5001,J$210,BD!$A$3:$A$5001,_xlfn.MAXIFS(BD!$A$3:$A$5001,BD!$B$3:$B$5001,J$210,BD!$A$3:$A$5001,"&gt;="&amp;$C$7,BD!$A$3:$A$5001,"&lt;="&amp;$B239,BD!$Y$3:$Y$5001,"&lt;&gt;"))))</f>
        <v/>
      </c>
      <c r="K239" s="54" t="str">
        <f>IF(OR($B239="",$A239&gt;$B$9,K$210=""),"",IF(COUNTIFS(BD!$B$3:$B$5001,K$210,BD!$A$3:$A$5001,"&gt;="&amp;$C$7,BD!$A$3:$A$5001,"&lt;="&amp;$B239,BD!$Y$3:$Y$5001,"&lt;&gt;")=0,"",SUMIFS(BD!$Y$3:$Y$5001,BD!$B$3:$B$5001,K$210,BD!$A$3:$A$5001,_xlfn.MAXIFS(BD!$A$3:$A$5001,BD!$B$3:$B$5001,K$210,BD!$A$3:$A$5001,"&gt;="&amp;$C$7,BD!$A$3:$A$5001,"&lt;="&amp;$B239,BD!$Y$3:$Y$5001,"&lt;&gt;"))))</f>
        <v/>
      </c>
      <c r="L239" s="54" t="str">
        <f>IF(OR($B239="",$A239&gt;$B$9,L$210=""),"",IF(COUNTIFS(BD!$B$3:$B$5001,L$210,BD!$A$3:$A$5001,"&gt;="&amp;$C$7,BD!$A$3:$A$5001,"&lt;="&amp;$B239,BD!$Y$3:$Y$5001,"&lt;&gt;")=0,"",SUMIFS(BD!$Y$3:$Y$5001,BD!$B$3:$B$5001,L$210,BD!$A$3:$A$5001,_xlfn.MAXIFS(BD!$A$3:$A$5001,BD!$B$3:$B$5001,L$210,BD!$A$3:$A$5001,"&gt;="&amp;$C$7,BD!$A$3:$A$5001,"&lt;="&amp;$B239,BD!$Y$3:$Y$5001,"&lt;&gt;"))))</f>
        <v/>
      </c>
      <c r="M239" s="54" t="str">
        <f>IF(OR($B239="",$A239&gt;$B$9,M$210=""),"",IF(COUNTIFS(BD!$B$3:$B$5001,M$210,BD!$A$3:$A$5001,"&gt;="&amp;$C$7,BD!$A$3:$A$5001,"&lt;="&amp;$B239,BD!$Y$3:$Y$5001,"&lt;&gt;")=0,"",SUMIFS(BD!$Y$3:$Y$5001,BD!$B$3:$B$5001,M$210,BD!$A$3:$A$5001,_xlfn.MAXIFS(BD!$A$3:$A$5001,BD!$B$3:$B$5001,M$210,BD!$A$3:$A$5001,"&gt;="&amp;$C$7,BD!$A$3:$A$5001,"&lt;="&amp;$B239,BD!$Y$3:$Y$5001,"&lt;&gt;"))))</f>
        <v/>
      </c>
      <c r="N239" s="54" t="str">
        <f>IF(OR($B239="",$A239&gt;$B$9,N$210=""),"",IF(COUNTIFS(BD!$B$3:$B$5001,N$210,BD!$A$3:$A$5001,"&gt;="&amp;$C$7,BD!$A$3:$A$5001,"&lt;="&amp;$B239,BD!$Y$3:$Y$5001,"&lt;&gt;")=0,"",SUMIFS(BD!$Y$3:$Y$5001,BD!$B$3:$B$5001,N$210,BD!$A$3:$A$5001,_xlfn.MAXIFS(BD!$A$3:$A$5001,BD!$B$3:$B$5001,N$210,BD!$A$3:$A$5001,"&gt;="&amp;$C$7,BD!$A$3:$A$5001,"&lt;="&amp;$B239,BD!$Y$3:$Y$5001,"&lt;&gt;"))))</f>
        <v/>
      </c>
      <c r="O239" s="54" t="str">
        <f>IF(OR($B239="",$A239&gt;$B$9,O$210=""),"",IF(COUNTIFS(BD!$B$3:$B$5001,O$210,BD!$A$3:$A$5001,"&gt;="&amp;$C$7,BD!$A$3:$A$5001,"&lt;="&amp;$B239,BD!$Y$3:$Y$5001,"&lt;&gt;")=0,"",SUMIFS(BD!$Y$3:$Y$5001,BD!$B$3:$B$5001,O$210,BD!$A$3:$A$5001,_xlfn.MAXIFS(BD!$A$3:$A$5001,BD!$B$3:$B$5001,O$210,BD!$A$3:$A$5001,"&gt;="&amp;$C$7,BD!$A$3:$A$5001,"&lt;="&amp;$B239,BD!$Y$3:$Y$5001,"&lt;&gt;"))))</f>
        <v/>
      </c>
      <c r="P239" s="54" t="str">
        <f>IF(OR($B239="",$A239&gt;$B$9,P$210=""),"",IF(COUNTIFS(BD!$B$3:$B$5001,P$210,BD!$A$3:$A$5001,"&gt;="&amp;$C$7,BD!$A$3:$A$5001,"&lt;="&amp;$B239,BD!$Y$3:$Y$5001,"&lt;&gt;")=0,"",SUMIFS(BD!$Y$3:$Y$5001,BD!$B$3:$B$5001,P$210,BD!$A$3:$A$5001,_xlfn.MAXIFS(BD!$A$3:$A$5001,BD!$B$3:$B$5001,P$210,BD!$A$3:$A$5001,"&gt;="&amp;$C$7,BD!$A$3:$A$5001,"&lt;="&amp;$B239,BD!$Y$3:$Y$5001,"&lt;&gt;"))))</f>
        <v/>
      </c>
      <c r="Q239" s="54" t="str">
        <f>IF(OR($B239="",$A239&gt;$B$9,Q$210=""),"",IF(COUNTIFS(BD!$B$3:$B$5001,Q$210,BD!$A$3:$A$5001,"&gt;="&amp;$C$7,BD!$A$3:$A$5001,"&lt;="&amp;$B239,BD!$Y$3:$Y$5001,"&lt;&gt;")=0,"",SUMIFS(BD!$Y$3:$Y$5001,BD!$B$3:$B$5001,Q$210,BD!$A$3:$A$5001,_xlfn.MAXIFS(BD!$A$3:$A$5001,BD!$B$3:$B$5001,Q$210,BD!$A$3:$A$5001,"&gt;="&amp;$C$7,BD!$A$3:$A$5001,"&lt;="&amp;$B239,BD!$Y$3:$Y$5001,"&lt;&gt;"))))</f>
        <v/>
      </c>
      <c r="R239" s="54" t="str">
        <f>IF(OR($B239="",$A239&gt;$B$9,R$210=""),"",IF(COUNTIFS(BD!$B$3:$B$5001,R$210,BD!$A$3:$A$5001,"&gt;="&amp;$C$7,BD!$A$3:$A$5001,"&lt;="&amp;$B239,BD!$Y$3:$Y$5001,"&lt;&gt;")=0,"",SUMIFS(BD!$Y$3:$Y$5001,BD!$B$3:$B$5001,R$210,BD!$A$3:$A$5001,_xlfn.MAXIFS(BD!$A$3:$A$5001,BD!$B$3:$B$5001,R$210,BD!$A$3:$A$5001,"&gt;="&amp;$C$7,BD!$A$3:$A$5001,"&lt;="&amp;$B239,BD!$Y$3:$Y$5001,"&lt;&gt;"))))</f>
        <v/>
      </c>
      <c r="S239" s="54" t="str">
        <f>IF(OR($B239="",$A239&gt;$B$9,S$210=""),"",IF(COUNTIFS(BD!$B$3:$B$5001,S$210,BD!$A$3:$A$5001,"&gt;="&amp;$C$7,BD!$A$3:$A$5001,"&lt;="&amp;$B239,BD!$Y$3:$Y$5001,"&lt;&gt;")=0,"",SUMIFS(BD!$Y$3:$Y$5001,BD!$B$3:$B$5001,S$210,BD!$A$3:$A$5001,_xlfn.MAXIFS(BD!$A$3:$A$5001,BD!$B$3:$B$5001,S$210,BD!$A$3:$A$5001,"&gt;="&amp;$C$7,BD!$A$3:$A$5001,"&lt;="&amp;$B239,BD!$Y$3:$Y$5001,"&lt;&gt;"))))</f>
        <v/>
      </c>
      <c r="T239" s="54" t="str">
        <f>IF(OR($B239="",$A239&gt;$B$9,T$210=""),"",IF(COUNTIFS(BD!$B$3:$B$5001,T$210,BD!$A$3:$A$5001,"&gt;="&amp;$C$7,BD!$A$3:$A$5001,"&lt;="&amp;$B239,BD!$Y$3:$Y$5001,"&lt;&gt;")=0,"",SUMIFS(BD!$Y$3:$Y$5001,BD!$B$3:$B$5001,T$210,BD!$A$3:$A$5001,_xlfn.MAXIFS(BD!$A$3:$A$5001,BD!$B$3:$B$5001,T$210,BD!$A$3:$A$5001,"&gt;="&amp;$C$7,BD!$A$3:$A$5001,"&lt;="&amp;$B239,BD!$Y$3:$Y$5001,"&lt;&gt;"))))</f>
        <v/>
      </c>
      <c r="U239" s="54" t="str">
        <f>IF(OR($B239="",$A239&gt;$B$9,U$210=""),"",IF(COUNTIFS(BD!$B$3:$B$5001,U$210,BD!$A$3:$A$5001,"&gt;="&amp;$C$7,BD!$A$3:$A$5001,"&lt;="&amp;$B239,BD!$Y$3:$Y$5001,"&lt;&gt;")=0,"",SUMIFS(BD!$Y$3:$Y$5001,BD!$B$3:$B$5001,U$210,BD!$A$3:$A$5001,_xlfn.MAXIFS(BD!$A$3:$A$5001,BD!$B$3:$B$5001,U$210,BD!$A$3:$A$5001,"&gt;="&amp;$C$7,BD!$A$3:$A$5001,"&lt;="&amp;$B239,BD!$Y$3:$Y$5001,"&lt;&gt;"))))</f>
        <v/>
      </c>
      <c r="V239" s="54" t="str">
        <f>IF(OR($B239="",$A239&gt;$B$9,V$210=""),"",IF(COUNTIFS(BD!$B$3:$B$5001,V$210,BD!$A$3:$A$5001,"&gt;="&amp;$C$7,BD!$A$3:$A$5001,"&lt;="&amp;$B239,BD!$Y$3:$Y$5001,"&lt;&gt;")=0,"",SUMIFS(BD!$Y$3:$Y$5001,BD!$B$3:$B$5001,V$210,BD!$A$3:$A$5001,_xlfn.MAXIFS(BD!$A$3:$A$5001,BD!$B$3:$B$5001,V$210,BD!$A$3:$A$5001,"&gt;="&amp;$C$7,BD!$A$3:$A$5001,"&lt;="&amp;$B239,BD!$Y$3:$Y$5001,"&lt;&gt;"))))</f>
        <v/>
      </c>
    </row>
    <row r="240">
      <c r="A240" s="48">
        <v>30</v>
      </c>
      <c r="B240" s="53">
        <f>$B$41</f>
        <v>46325</v>
      </c>
      <c r="C240" s="54" t="str">
        <f>IF(OR($B240="",$A240&gt;$B$9,C$210=""),"",IF(COUNTIFS(BD!$B$3:$B$5001,C$210,BD!$A$3:$A$5001,"&gt;="&amp;$C$7,BD!$A$3:$A$5001,"&lt;="&amp;$B240,BD!$Y$3:$Y$5001,"&lt;&gt;")=0,"",SUMIFS(BD!$Y$3:$Y$5001,BD!$B$3:$B$5001,C$210,BD!$A$3:$A$5001,_xlfn.MAXIFS(BD!$A$3:$A$5001,BD!$B$3:$B$5001,C$210,BD!$A$3:$A$5001,"&gt;="&amp;$C$7,BD!$A$3:$A$5001,"&lt;="&amp;$B240,BD!$Y$3:$Y$5001,"&lt;&gt;"))))</f>
        <v/>
      </c>
      <c r="D240" s="54" t="str">
        <f>IF(OR($B240="",$A240&gt;$B$9,D$210=""),"",IF(COUNTIFS(BD!$B$3:$B$5001,D$210,BD!$A$3:$A$5001,"&gt;="&amp;$C$7,BD!$A$3:$A$5001,"&lt;="&amp;$B240,BD!$Y$3:$Y$5001,"&lt;&gt;")=0,"",SUMIFS(BD!$Y$3:$Y$5001,BD!$B$3:$B$5001,D$210,BD!$A$3:$A$5001,_xlfn.MAXIFS(BD!$A$3:$A$5001,BD!$B$3:$B$5001,D$210,BD!$A$3:$A$5001,"&gt;="&amp;$C$7,BD!$A$3:$A$5001,"&lt;="&amp;$B240,BD!$Y$3:$Y$5001,"&lt;&gt;"))))</f>
        <v/>
      </c>
      <c r="E240" s="54" t="str">
        <f>IF(OR($B240="",$A240&gt;$B$9,E$210=""),"",IF(COUNTIFS(BD!$B$3:$B$5001,E$210,BD!$A$3:$A$5001,"&gt;="&amp;$C$7,BD!$A$3:$A$5001,"&lt;="&amp;$B240,BD!$Y$3:$Y$5001,"&lt;&gt;")=0,"",SUMIFS(BD!$Y$3:$Y$5001,BD!$B$3:$B$5001,E$210,BD!$A$3:$A$5001,_xlfn.MAXIFS(BD!$A$3:$A$5001,BD!$B$3:$B$5001,E$210,BD!$A$3:$A$5001,"&gt;="&amp;$C$7,BD!$A$3:$A$5001,"&lt;="&amp;$B240,BD!$Y$3:$Y$5001,"&lt;&gt;"))))</f>
        <v/>
      </c>
      <c r="F240" s="54" t="str">
        <f>IF(OR($B240="",$A240&gt;$B$9,F$210=""),"",IF(COUNTIFS(BD!$B$3:$B$5001,F$210,BD!$A$3:$A$5001,"&gt;="&amp;$C$7,BD!$A$3:$A$5001,"&lt;="&amp;$B240,BD!$Y$3:$Y$5001,"&lt;&gt;")=0,"",SUMIFS(BD!$Y$3:$Y$5001,BD!$B$3:$B$5001,F$210,BD!$A$3:$A$5001,_xlfn.MAXIFS(BD!$A$3:$A$5001,BD!$B$3:$B$5001,F$210,BD!$A$3:$A$5001,"&gt;="&amp;$C$7,BD!$A$3:$A$5001,"&lt;="&amp;$B240,BD!$Y$3:$Y$5001,"&lt;&gt;"))))</f>
        <v/>
      </c>
      <c r="G240" s="54" t="str">
        <f>IF(OR($B240="",$A240&gt;$B$9,G$210=""),"",IF(COUNTIFS(BD!$B$3:$B$5001,G$210,BD!$A$3:$A$5001,"&gt;="&amp;$C$7,BD!$A$3:$A$5001,"&lt;="&amp;$B240,BD!$Y$3:$Y$5001,"&lt;&gt;")=0,"",SUMIFS(BD!$Y$3:$Y$5001,BD!$B$3:$B$5001,G$210,BD!$A$3:$A$5001,_xlfn.MAXIFS(BD!$A$3:$A$5001,BD!$B$3:$B$5001,G$210,BD!$A$3:$A$5001,"&gt;="&amp;$C$7,BD!$A$3:$A$5001,"&lt;="&amp;$B240,BD!$Y$3:$Y$5001,"&lt;&gt;"))))</f>
        <v/>
      </c>
      <c r="H240" s="54" t="str">
        <f>IF(OR($B240="",$A240&gt;$B$9,H$210=""),"",IF(COUNTIFS(BD!$B$3:$B$5001,H$210,BD!$A$3:$A$5001,"&gt;="&amp;$C$7,BD!$A$3:$A$5001,"&lt;="&amp;$B240,BD!$Y$3:$Y$5001,"&lt;&gt;")=0,"",SUMIFS(BD!$Y$3:$Y$5001,BD!$B$3:$B$5001,H$210,BD!$A$3:$A$5001,_xlfn.MAXIFS(BD!$A$3:$A$5001,BD!$B$3:$B$5001,H$210,BD!$A$3:$A$5001,"&gt;="&amp;$C$7,BD!$A$3:$A$5001,"&lt;="&amp;$B240,BD!$Y$3:$Y$5001,"&lt;&gt;"))))</f>
        <v/>
      </c>
      <c r="I240" s="54" t="str">
        <f>IF(OR($B240="",$A240&gt;$B$9,I$210=""),"",IF(COUNTIFS(BD!$B$3:$B$5001,I$210,BD!$A$3:$A$5001,"&gt;="&amp;$C$7,BD!$A$3:$A$5001,"&lt;="&amp;$B240,BD!$Y$3:$Y$5001,"&lt;&gt;")=0,"",SUMIFS(BD!$Y$3:$Y$5001,BD!$B$3:$B$5001,I$210,BD!$A$3:$A$5001,_xlfn.MAXIFS(BD!$A$3:$A$5001,BD!$B$3:$B$5001,I$210,BD!$A$3:$A$5001,"&gt;="&amp;$C$7,BD!$A$3:$A$5001,"&lt;="&amp;$B240,BD!$Y$3:$Y$5001,"&lt;&gt;"))))</f>
        <v/>
      </c>
      <c r="J240" s="54" t="str">
        <f>IF(OR($B240="",$A240&gt;$B$9,J$210=""),"",IF(COUNTIFS(BD!$B$3:$B$5001,J$210,BD!$A$3:$A$5001,"&gt;="&amp;$C$7,BD!$A$3:$A$5001,"&lt;="&amp;$B240,BD!$Y$3:$Y$5001,"&lt;&gt;")=0,"",SUMIFS(BD!$Y$3:$Y$5001,BD!$B$3:$B$5001,J$210,BD!$A$3:$A$5001,_xlfn.MAXIFS(BD!$A$3:$A$5001,BD!$B$3:$B$5001,J$210,BD!$A$3:$A$5001,"&gt;="&amp;$C$7,BD!$A$3:$A$5001,"&lt;="&amp;$B240,BD!$Y$3:$Y$5001,"&lt;&gt;"))))</f>
        <v/>
      </c>
      <c r="K240" s="54" t="str">
        <f>IF(OR($B240="",$A240&gt;$B$9,K$210=""),"",IF(COUNTIFS(BD!$B$3:$B$5001,K$210,BD!$A$3:$A$5001,"&gt;="&amp;$C$7,BD!$A$3:$A$5001,"&lt;="&amp;$B240,BD!$Y$3:$Y$5001,"&lt;&gt;")=0,"",SUMIFS(BD!$Y$3:$Y$5001,BD!$B$3:$B$5001,K$210,BD!$A$3:$A$5001,_xlfn.MAXIFS(BD!$A$3:$A$5001,BD!$B$3:$B$5001,K$210,BD!$A$3:$A$5001,"&gt;="&amp;$C$7,BD!$A$3:$A$5001,"&lt;="&amp;$B240,BD!$Y$3:$Y$5001,"&lt;&gt;"))))</f>
        <v/>
      </c>
      <c r="L240" s="54" t="str">
        <f>IF(OR($B240="",$A240&gt;$B$9,L$210=""),"",IF(COUNTIFS(BD!$B$3:$B$5001,L$210,BD!$A$3:$A$5001,"&gt;="&amp;$C$7,BD!$A$3:$A$5001,"&lt;="&amp;$B240,BD!$Y$3:$Y$5001,"&lt;&gt;")=0,"",SUMIFS(BD!$Y$3:$Y$5001,BD!$B$3:$B$5001,L$210,BD!$A$3:$A$5001,_xlfn.MAXIFS(BD!$A$3:$A$5001,BD!$B$3:$B$5001,L$210,BD!$A$3:$A$5001,"&gt;="&amp;$C$7,BD!$A$3:$A$5001,"&lt;="&amp;$B240,BD!$Y$3:$Y$5001,"&lt;&gt;"))))</f>
        <v/>
      </c>
      <c r="M240" s="54" t="str">
        <f>IF(OR($B240="",$A240&gt;$B$9,M$210=""),"",IF(COUNTIFS(BD!$B$3:$B$5001,M$210,BD!$A$3:$A$5001,"&gt;="&amp;$C$7,BD!$A$3:$A$5001,"&lt;="&amp;$B240,BD!$Y$3:$Y$5001,"&lt;&gt;")=0,"",SUMIFS(BD!$Y$3:$Y$5001,BD!$B$3:$B$5001,M$210,BD!$A$3:$A$5001,_xlfn.MAXIFS(BD!$A$3:$A$5001,BD!$B$3:$B$5001,M$210,BD!$A$3:$A$5001,"&gt;="&amp;$C$7,BD!$A$3:$A$5001,"&lt;="&amp;$B240,BD!$Y$3:$Y$5001,"&lt;&gt;"))))</f>
        <v/>
      </c>
      <c r="N240" s="54" t="str">
        <f>IF(OR($B240="",$A240&gt;$B$9,N$210=""),"",IF(COUNTIFS(BD!$B$3:$B$5001,N$210,BD!$A$3:$A$5001,"&gt;="&amp;$C$7,BD!$A$3:$A$5001,"&lt;="&amp;$B240,BD!$Y$3:$Y$5001,"&lt;&gt;")=0,"",SUMIFS(BD!$Y$3:$Y$5001,BD!$B$3:$B$5001,N$210,BD!$A$3:$A$5001,_xlfn.MAXIFS(BD!$A$3:$A$5001,BD!$B$3:$B$5001,N$210,BD!$A$3:$A$5001,"&gt;="&amp;$C$7,BD!$A$3:$A$5001,"&lt;="&amp;$B240,BD!$Y$3:$Y$5001,"&lt;&gt;"))))</f>
        <v/>
      </c>
      <c r="O240" s="54" t="str">
        <f>IF(OR($B240="",$A240&gt;$B$9,O$210=""),"",IF(COUNTIFS(BD!$B$3:$B$5001,O$210,BD!$A$3:$A$5001,"&gt;="&amp;$C$7,BD!$A$3:$A$5001,"&lt;="&amp;$B240,BD!$Y$3:$Y$5001,"&lt;&gt;")=0,"",SUMIFS(BD!$Y$3:$Y$5001,BD!$B$3:$B$5001,O$210,BD!$A$3:$A$5001,_xlfn.MAXIFS(BD!$A$3:$A$5001,BD!$B$3:$B$5001,O$210,BD!$A$3:$A$5001,"&gt;="&amp;$C$7,BD!$A$3:$A$5001,"&lt;="&amp;$B240,BD!$Y$3:$Y$5001,"&lt;&gt;"))))</f>
        <v/>
      </c>
      <c r="P240" s="54" t="str">
        <f>IF(OR($B240="",$A240&gt;$B$9,P$210=""),"",IF(COUNTIFS(BD!$B$3:$B$5001,P$210,BD!$A$3:$A$5001,"&gt;="&amp;$C$7,BD!$A$3:$A$5001,"&lt;="&amp;$B240,BD!$Y$3:$Y$5001,"&lt;&gt;")=0,"",SUMIFS(BD!$Y$3:$Y$5001,BD!$B$3:$B$5001,P$210,BD!$A$3:$A$5001,_xlfn.MAXIFS(BD!$A$3:$A$5001,BD!$B$3:$B$5001,P$210,BD!$A$3:$A$5001,"&gt;="&amp;$C$7,BD!$A$3:$A$5001,"&lt;="&amp;$B240,BD!$Y$3:$Y$5001,"&lt;&gt;"))))</f>
        <v/>
      </c>
      <c r="Q240" s="54" t="str">
        <f>IF(OR($B240="",$A240&gt;$B$9,Q$210=""),"",IF(COUNTIFS(BD!$B$3:$B$5001,Q$210,BD!$A$3:$A$5001,"&gt;="&amp;$C$7,BD!$A$3:$A$5001,"&lt;="&amp;$B240,BD!$Y$3:$Y$5001,"&lt;&gt;")=0,"",SUMIFS(BD!$Y$3:$Y$5001,BD!$B$3:$B$5001,Q$210,BD!$A$3:$A$5001,_xlfn.MAXIFS(BD!$A$3:$A$5001,BD!$B$3:$B$5001,Q$210,BD!$A$3:$A$5001,"&gt;="&amp;$C$7,BD!$A$3:$A$5001,"&lt;="&amp;$B240,BD!$Y$3:$Y$5001,"&lt;&gt;"))))</f>
        <v/>
      </c>
      <c r="R240" s="54" t="str">
        <f>IF(OR($B240="",$A240&gt;$B$9,R$210=""),"",IF(COUNTIFS(BD!$B$3:$B$5001,R$210,BD!$A$3:$A$5001,"&gt;="&amp;$C$7,BD!$A$3:$A$5001,"&lt;="&amp;$B240,BD!$Y$3:$Y$5001,"&lt;&gt;")=0,"",SUMIFS(BD!$Y$3:$Y$5001,BD!$B$3:$B$5001,R$210,BD!$A$3:$A$5001,_xlfn.MAXIFS(BD!$A$3:$A$5001,BD!$B$3:$B$5001,R$210,BD!$A$3:$A$5001,"&gt;="&amp;$C$7,BD!$A$3:$A$5001,"&lt;="&amp;$B240,BD!$Y$3:$Y$5001,"&lt;&gt;"))))</f>
        <v/>
      </c>
      <c r="S240" s="54" t="str">
        <f>IF(OR($B240="",$A240&gt;$B$9,S$210=""),"",IF(COUNTIFS(BD!$B$3:$B$5001,S$210,BD!$A$3:$A$5001,"&gt;="&amp;$C$7,BD!$A$3:$A$5001,"&lt;="&amp;$B240,BD!$Y$3:$Y$5001,"&lt;&gt;")=0,"",SUMIFS(BD!$Y$3:$Y$5001,BD!$B$3:$B$5001,S$210,BD!$A$3:$A$5001,_xlfn.MAXIFS(BD!$A$3:$A$5001,BD!$B$3:$B$5001,S$210,BD!$A$3:$A$5001,"&gt;="&amp;$C$7,BD!$A$3:$A$5001,"&lt;="&amp;$B240,BD!$Y$3:$Y$5001,"&lt;&gt;"))))</f>
        <v/>
      </c>
      <c r="T240" s="54" t="str">
        <f>IF(OR($B240="",$A240&gt;$B$9,T$210=""),"",IF(COUNTIFS(BD!$B$3:$B$5001,T$210,BD!$A$3:$A$5001,"&gt;="&amp;$C$7,BD!$A$3:$A$5001,"&lt;="&amp;$B240,BD!$Y$3:$Y$5001,"&lt;&gt;")=0,"",SUMIFS(BD!$Y$3:$Y$5001,BD!$B$3:$B$5001,T$210,BD!$A$3:$A$5001,_xlfn.MAXIFS(BD!$A$3:$A$5001,BD!$B$3:$B$5001,T$210,BD!$A$3:$A$5001,"&gt;="&amp;$C$7,BD!$A$3:$A$5001,"&lt;="&amp;$B240,BD!$Y$3:$Y$5001,"&lt;&gt;"))))</f>
        <v/>
      </c>
      <c r="U240" s="54" t="str">
        <f>IF(OR($B240="",$A240&gt;$B$9,U$210=""),"",IF(COUNTIFS(BD!$B$3:$B$5001,U$210,BD!$A$3:$A$5001,"&gt;="&amp;$C$7,BD!$A$3:$A$5001,"&lt;="&amp;$B240,BD!$Y$3:$Y$5001,"&lt;&gt;")=0,"",SUMIFS(BD!$Y$3:$Y$5001,BD!$B$3:$B$5001,U$210,BD!$A$3:$A$5001,_xlfn.MAXIFS(BD!$A$3:$A$5001,BD!$B$3:$B$5001,U$210,BD!$A$3:$A$5001,"&gt;="&amp;$C$7,BD!$A$3:$A$5001,"&lt;="&amp;$B240,BD!$Y$3:$Y$5001,"&lt;&gt;"))))</f>
        <v/>
      </c>
      <c r="V240" s="54" t="str">
        <f>IF(OR($B240="",$A240&gt;$B$9,V$210=""),"",IF(COUNTIFS(BD!$B$3:$B$5001,V$210,BD!$A$3:$A$5001,"&gt;="&amp;$C$7,BD!$A$3:$A$5001,"&lt;="&amp;$B240,BD!$Y$3:$Y$5001,"&lt;&gt;")=0,"",SUMIFS(BD!$Y$3:$Y$5001,BD!$B$3:$B$5001,V$210,BD!$A$3:$A$5001,_xlfn.MAXIFS(BD!$A$3:$A$5001,BD!$B$3:$B$5001,V$210,BD!$A$3:$A$5001,"&gt;="&amp;$C$7,BD!$A$3:$A$5001,"&lt;="&amp;$B240,BD!$Y$3:$Y$5001,"&lt;&gt;"))))</f>
        <v/>
      </c>
    </row>
    <row r="241">
      <c r="A241" s="48">
        <v>31</v>
      </c>
      <c r="B241" s="53">
        <f>$B$42</f>
        <v>46326</v>
      </c>
      <c r="C241" s="54" t="str">
        <f>IF(OR($B241="",$A241&gt;$B$9,C$210=""),"",IF(COUNTIFS(BD!$B$3:$B$5001,C$210,BD!$A$3:$A$5001,"&gt;="&amp;$C$7,BD!$A$3:$A$5001,"&lt;="&amp;$B241,BD!$Y$3:$Y$5001,"&lt;&gt;")=0,"",SUMIFS(BD!$Y$3:$Y$5001,BD!$B$3:$B$5001,C$210,BD!$A$3:$A$5001,_xlfn.MAXIFS(BD!$A$3:$A$5001,BD!$B$3:$B$5001,C$210,BD!$A$3:$A$5001,"&gt;="&amp;$C$7,BD!$A$3:$A$5001,"&lt;="&amp;$B241,BD!$Y$3:$Y$5001,"&lt;&gt;"))))</f>
        <v/>
      </c>
      <c r="D241" s="54" t="str">
        <f>IF(OR($B241="",$A241&gt;$B$9,D$210=""),"",IF(COUNTIFS(BD!$B$3:$B$5001,D$210,BD!$A$3:$A$5001,"&gt;="&amp;$C$7,BD!$A$3:$A$5001,"&lt;="&amp;$B241,BD!$Y$3:$Y$5001,"&lt;&gt;")=0,"",SUMIFS(BD!$Y$3:$Y$5001,BD!$B$3:$B$5001,D$210,BD!$A$3:$A$5001,_xlfn.MAXIFS(BD!$A$3:$A$5001,BD!$B$3:$B$5001,D$210,BD!$A$3:$A$5001,"&gt;="&amp;$C$7,BD!$A$3:$A$5001,"&lt;="&amp;$B241,BD!$Y$3:$Y$5001,"&lt;&gt;"))))</f>
        <v/>
      </c>
      <c r="E241" s="54" t="str">
        <f>IF(OR($B241="",$A241&gt;$B$9,E$210=""),"",IF(COUNTIFS(BD!$B$3:$B$5001,E$210,BD!$A$3:$A$5001,"&gt;="&amp;$C$7,BD!$A$3:$A$5001,"&lt;="&amp;$B241,BD!$Y$3:$Y$5001,"&lt;&gt;")=0,"",SUMIFS(BD!$Y$3:$Y$5001,BD!$B$3:$B$5001,E$210,BD!$A$3:$A$5001,_xlfn.MAXIFS(BD!$A$3:$A$5001,BD!$B$3:$B$5001,E$210,BD!$A$3:$A$5001,"&gt;="&amp;$C$7,BD!$A$3:$A$5001,"&lt;="&amp;$B241,BD!$Y$3:$Y$5001,"&lt;&gt;"))))</f>
        <v/>
      </c>
      <c r="F241" s="54" t="str">
        <f>IF(OR($B241="",$A241&gt;$B$9,F$210=""),"",IF(COUNTIFS(BD!$B$3:$B$5001,F$210,BD!$A$3:$A$5001,"&gt;="&amp;$C$7,BD!$A$3:$A$5001,"&lt;="&amp;$B241,BD!$Y$3:$Y$5001,"&lt;&gt;")=0,"",SUMIFS(BD!$Y$3:$Y$5001,BD!$B$3:$B$5001,F$210,BD!$A$3:$A$5001,_xlfn.MAXIFS(BD!$A$3:$A$5001,BD!$B$3:$B$5001,F$210,BD!$A$3:$A$5001,"&gt;="&amp;$C$7,BD!$A$3:$A$5001,"&lt;="&amp;$B241,BD!$Y$3:$Y$5001,"&lt;&gt;"))))</f>
        <v/>
      </c>
      <c r="G241" s="54" t="str">
        <f>IF(OR($B241="",$A241&gt;$B$9,G$210=""),"",IF(COUNTIFS(BD!$B$3:$B$5001,G$210,BD!$A$3:$A$5001,"&gt;="&amp;$C$7,BD!$A$3:$A$5001,"&lt;="&amp;$B241,BD!$Y$3:$Y$5001,"&lt;&gt;")=0,"",SUMIFS(BD!$Y$3:$Y$5001,BD!$B$3:$B$5001,G$210,BD!$A$3:$A$5001,_xlfn.MAXIFS(BD!$A$3:$A$5001,BD!$B$3:$B$5001,G$210,BD!$A$3:$A$5001,"&gt;="&amp;$C$7,BD!$A$3:$A$5001,"&lt;="&amp;$B241,BD!$Y$3:$Y$5001,"&lt;&gt;"))))</f>
        <v/>
      </c>
      <c r="H241" s="54" t="str">
        <f>IF(OR($B241="",$A241&gt;$B$9,H$210=""),"",IF(COUNTIFS(BD!$B$3:$B$5001,H$210,BD!$A$3:$A$5001,"&gt;="&amp;$C$7,BD!$A$3:$A$5001,"&lt;="&amp;$B241,BD!$Y$3:$Y$5001,"&lt;&gt;")=0,"",SUMIFS(BD!$Y$3:$Y$5001,BD!$B$3:$B$5001,H$210,BD!$A$3:$A$5001,_xlfn.MAXIFS(BD!$A$3:$A$5001,BD!$B$3:$B$5001,H$210,BD!$A$3:$A$5001,"&gt;="&amp;$C$7,BD!$A$3:$A$5001,"&lt;="&amp;$B241,BD!$Y$3:$Y$5001,"&lt;&gt;"))))</f>
        <v/>
      </c>
      <c r="I241" s="54" t="str">
        <f>IF(OR($B241="",$A241&gt;$B$9,I$210=""),"",IF(COUNTIFS(BD!$B$3:$B$5001,I$210,BD!$A$3:$A$5001,"&gt;="&amp;$C$7,BD!$A$3:$A$5001,"&lt;="&amp;$B241,BD!$Y$3:$Y$5001,"&lt;&gt;")=0,"",SUMIFS(BD!$Y$3:$Y$5001,BD!$B$3:$B$5001,I$210,BD!$A$3:$A$5001,_xlfn.MAXIFS(BD!$A$3:$A$5001,BD!$B$3:$B$5001,I$210,BD!$A$3:$A$5001,"&gt;="&amp;$C$7,BD!$A$3:$A$5001,"&lt;="&amp;$B241,BD!$Y$3:$Y$5001,"&lt;&gt;"))))</f>
        <v/>
      </c>
      <c r="J241" s="54" t="str">
        <f>IF(OR($B241="",$A241&gt;$B$9,J$210=""),"",IF(COUNTIFS(BD!$B$3:$B$5001,J$210,BD!$A$3:$A$5001,"&gt;="&amp;$C$7,BD!$A$3:$A$5001,"&lt;="&amp;$B241,BD!$Y$3:$Y$5001,"&lt;&gt;")=0,"",SUMIFS(BD!$Y$3:$Y$5001,BD!$B$3:$B$5001,J$210,BD!$A$3:$A$5001,_xlfn.MAXIFS(BD!$A$3:$A$5001,BD!$B$3:$B$5001,J$210,BD!$A$3:$A$5001,"&gt;="&amp;$C$7,BD!$A$3:$A$5001,"&lt;="&amp;$B241,BD!$Y$3:$Y$5001,"&lt;&gt;"))))</f>
        <v/>
      </c>
      <c r="K241" s="54" t="str">
        <f>IF(OR($B241="",$A241&gt;$B$9,K$210=""),"",IF(COUNTIFS(BD!$B$3:$B$5001,K$210,BD!$A$3:$A$5001,"&gt;="&amp;$C$7,BD!$A$3:$A$5001,"&lt;="&amp;$B241,BD!$Y$3:$Y$5001,"&lt;&gt;")=0,"",SUMIFS(BD!$Y$3:$Y$5001,BD!$B$3:$B$5001,K$210,BD!$A$3:$A$5001,_xlfn.MAXIFS(BD!$A$3:$A$5001,BD!$B$3:$B$5001,K$210,BD!$A$3:$A$5001,"&gt;="&amp;$C$7,BD!$A$3:$A$5001,"&lt;="&amp;$B241,BD!$Y$3:$Y$5001,"&lt;&gt;"))))</f>
        <v/>
      </c>
      <c r="L241" s="54" t="str">
        <f>IF(OR($B241="",$A241&gt;$B$9,L$210=""),"",IF(COUNTIFS(BD!$B$3:$B$5001,L$210,BD!$A$3:$A$5001,"&gt;="&amp;$C$7,BD!$A$3:$A$5001,"&lt;="&amp;$B241,BD!$Y$3:$Y$5001,"&lt;&gt;")=0,"",SUMIFS(BD!$Y$3:$Y$5001,BD!$B$3:$B$5001,L$210,BD!$A$3:$A$5001,_xlfn.MAXIFS(BD!$A$3:$A$5001,BD!$B$3:$B$5001,L$210,BD!$A$3:$A$5001,"&gt;="&amp;$C$7,BD!$A$3:$A$5001,"&lt;="&amp;$B241,BD!$Y$3:$Y$5001,"&lt;&gt;"))))</f>
        <v/>
      </c>
      <c r="M241" s="54" t="str">
        <f>IF(OR($B241="",$A241&gt;$B$9,M$210=""),"",IF(COUNTIFS(BD!$B$3:$B$5001,M$210,BD!$A$3:$A$5001,"&gt;="&amp;$C$7,BD!$A$3:$A$5001,"&lt;="&amp;$B241,BD!$Y$3:$Y$5001,"&lt;&gt;")=0,"",SUMIFS(BD!$Y$3:$Y$5001,BD!$B$3:$B$5001,M$210,BD!$A$3:$A$5001,_xlfn.MAXIFS(BD!$A$3:$A$5001,BD!$B$3:$B$5001,M$210,BD!$A$3:$A$5001,"&gt;="&amp;$C$7,BD!$A$3:$A$5001,"&lt;="&amp;$B241,BD!$Y$3:$Y$5001,"&lt;&gt;"))))</f>
        <v/>
      </c>
      <c r="N241" s="54" t="str">
        <f>IF(OR($B241="",$A241&gt;$B$9,N$210=""),"",IF(COUNTIFS(BD!$B$3:$B$5001,N$210,BD!$A$3:$A$5001,"&gt;="&amp;$C$7,BD!$A$3:$A$5001,"&lt;="&amp;$B241,BD!$Y$3:$Y$5001,"&lt;&gt;")=0,"",SUMIFS(BD!$Y$3:$Y$5001,BD!$B$3:$B$5001,N$210,BD!$A$3:$A$5001,_xlfn.MAXIFS(BD!$A$3:$A$5001,BD!$B$3:$B$5001,N$210,BD!$A$3:$A$5001,"&gt;="&amp;$C$7,BD!$A$3:$A$5001,"&lt;="&amp;$B241,BD!$Y$3:$Y$5001,"&lt;&gt;"))))</f>
        <v/>
      </c>
      <c r="O241" s="54" t="str">
        <f>IF(OR($B241="",$A241&gt;$B$9,O$210=""),"",IF(COUNTIFS(BD!$B$3:$B$5001,O$210,BD!$A$3:$A$5001,"&gt;="&amp;$C$7,BD!$A$3:$A$5001,"&lt;="&amp;$B241,BD!$Y$3:$Y$5001,"&lt;&gt;")=0,"",SUMIFS(BD!$Y$3:$Y$5001,BD!$B$3:$B$5001,O$210,BD!$A$3:$A$5001,_xlfn.MAXIFS(BD!$A$3:$A$5001,BD!$B$3:$B$5001,O$210,BD!$A$3:$A$5001,"&gt;="&amp;$C$7,BD!$A$3:$A$5001,"&lt;="&amp;$B241,BD!$Y$3:$Y$5001,"&lt;&gt;"))))</f>
        <v/>
      </c>
      <c r="P241" s="54" t="str">
        <f>IF(OR($B241="",$A241&gt;$B$9,P$210=""),"",IF(COUNTIFS(BD!$B$3:$B$5001,P$210,BD!$A$3:$A$5001,"&gt;="&amp;$C$7,BD!$A$3:$A$5001,"&lt;="&amp;$B241,BD!$Y$3:$Y$5001,"&lt;&gt;")=0,"",SUMIFS(BD!$Y$3:$Y$5001,BD!$B$3:$B$5001,P$210,BD!$A$3:$A$5001,_xlfn.MAXIFS(BD!$A$3:$A$5001,BD!$B$3:$B$5001,P$210,BD!$A$3:$A$5001,"&gt;="&amp;$C$7,BD!$A$3:$A$5001,"&lt;="&amp;$B241,BD!$Y$3:$Y$5001,"&lt;&gt;"))))</f>
        <v/>
      </c>
      <c r="Q241" s="54" t="str">
        <f>IF(OR($B241="",$A241&gt;$B$9,Q$210=""),"",IF(COUNTIFS(BD!$B$3:$B$5001,Q$210,BD!$A$3:$A$5001,"&gt;="&amp;$C$7,BD!$A$3:$A$5001,"&lt;="&amp;$B241,BD!$Y$3:$Y$5001,"&lt;&gt;")=0,"",SUMIFS(BD!$Y$3:$Y$5001,BD!$B$3:$B$5001,Q$210,BD!$A$3:$A$5001,_xlfn.MAXIFS(BD!$A$3:$A$5001,BD!$B$3:$B$5001,Q$210,BD!$A$3:$A$5001,"&gt;="&amp;$C$7,BD!$A$3:$A$5001,"&lt;="&amp;$B241,BD!$Y$3:$Y$5001,"&lt;&gt;"))))</f>
        <v/>
      </c>
      <c r="R241" s="54" t="str">
        <f>IF(OR($B241="",$A241&gt;$B$9,R$210=""),"",IF(COUNTIFS(BD!$B$3:$B$5001,R$210,BD!$A$3:$A$5001,"&gt;="&amp;$C$7,BD!$A$3:$A$5001,"&lt;="&amp;$B241,BD!$Y$3:$Y$5001,"&lt;&gt;")=0,"",SUMIFS(BD!$Y$3:$Y$5001,BD!$B$3:$B$5001,R$210,BD!$A$3:$A$5001,_xlfn.MAXIFS(BD!$A$3:$A$5001,BD!$B$3:$B$5001,R$210,BD!$A$3:$A$5001,"&gt;="&amp;$C$7,BD!$A$3:$A$5001,"&lt;="&amp;$B241,BD!$Y$3:$Y$5001,"&lt;&gt;"))))</f>
        <v/>
      </c>
      <c r="S241" s="54" t="str">
        <f>IF(OR($B241="",$A241&gt;$B$9,S$210=""),"",IF(COUNTIFS(BD!$B$3:$B$5001,S$210,BD!$A$3:$A$5001,"&gt;="&amp;$C$7,BD!$A$3:$A$5001,"&lt;="&amp;$B241,BD!$Y$3:$Y$5001,"&lt;&gt;")=0,"",SUMIFS(BD!$Y$3:$Y$5001,BD!$B$3:$B$5001,S$210,BD!$A$3:$A$5001,_xlfn.MAXIFS(BD!$A$3:$A$5001,BD!$B$3:$B$5001,S$210,BD!$A$3:$A$5001,"&gt;="&amp;$C$7,BD!$A$3:$A$5001,"&lt;="&amp;$B241,BD!$Y$3:$Y$5001,"&lt;&gt;"))))</f>
        <v/>
      </c>
      <c r="T241" s="54" t="str">
        <f>IF(OR($B241="",$A241&gt;$B$9,T$210=""),"",IF(COUNTIFS(BD!$B$3:$B$5001,T$210,BD!$A$3:$A$5001,"&gt;="&amp;$C$7,BD!$A$3:$A$5001,"&lt;="&amp;$B241,BD!$Y$3:$Y$5001,"&lt;&gt;")=0,"",SUMIFS(BD!$Y$3:$Y$5001,BD!$B$3:$B$5001,T$210,BD!$A$3:$A$5001,_xlfn.MAXIFS(BD!$A$3:$A$5001,BD!$B$3:$B$5001,T$210,BD!$A$3:$A$5001,"&gt;="&amp;$C$7,BD!$A$3:$A$5001,"&lt;="&amp;$B241,BD!$Y$3:$Y$5001,"&lt;&gt;"))))</f>
        <v/>
      </c>
      <c r="U241" s="54" t="str">
        <f>IF(OR($B241="",$A241&gt;$B$9,U$210=""),"",IF(COUNTIFS(BD!$B$3:$B$5001,U$210,BD!$A$3:$A$5001,"&gt;="&amp;$C$7,BD!$A$3:$A$5001,"&lt;="&amp;$B241,BD!$Y$3:$Y$5001,"&lt;&gt;")=0,"",SUMIFS(BD!$Y$3:$Y$5001,BD!$B$3:$B$5001,U$210,BD!$A$3:$A$5001,_xlfn.MAXIFS(BD!$A$3:$A$5001,BD!$B$3:$B$5001,U$210,BD!$A$3:$A$5001,"&gt;="&amp;$C$7,BD!$A$3:$A$5001,"&lt;="&amp;$B241,BD!$Y$3:$Y$5001,"&lt;&gt;"))))</f>
        <v/>
      </c>
      <c r="V241" s="54" t="str">
        <f>IF(OR($B241="",$A241&gt;$B$9,V$210=""),"",IF(COUNTIFS(BD!$B$3:$B$5001,V$210,BD!$A$3:$A$5001,"&gt;="&amp;$C$7,BD!$A$3:$A$5001,"&lt;="&amp;$B241,BD!$Y$3:$Y$5001,"&lt;&gt;")=0,"",SUMIFS(BD!$Y$3:$Y$5001,BD!$B$3:$B$5001,V$210,BD!$A$3:$A$5001,_xlfn.MAXIFS(BD!$A$3:$A$5001,BD!$B$3:$B$5001,V$210,BD!$A$3:$A$5001,"&gt;="&amp;$C$7,BD!$A$3:$A$5001,"&lt;="&amp;$B241,BD!$Y$3:$Y$5001,"&lt;&gt;"))))</f>
        <v/>
      </c>
    </row>
    <row r="242">
      <c r="A242" s="55" t="inlineStr">
        <is>
          <t xml:space="preserve">Mês anterior (último)</t>
        </is>
      </c>
      <c r="C242" s="56" t="str">
        <f>IF(C$210="","",IF(COUNTIFS(BD!$B$3:$B$5001,C$210,BD!$A$3:$A$5001,"&gt;="&amp;$C$8,BD!$A$3:$A$5001,"&lt;="&amp;$D$8,BD!$Y$3:$Y$5001,"&lt;&gt;")=0,"",SUMIFS(BD!$Y$3:$Y$5001,BD!$B$3:$B$5001,C$210,BD!$A$3:$A$5001,_xlfn.MAXIFS(BD!$A$3:$A$5001,BD!$B$3:$B$5001,C$210,BD!$A$3:$A$5001,"&gt;="&amp;$C$8,BD!$A$3:$A$5001,"&lt;="&amp;$D$8,BD!$Y$3:$Y$5001,"&lt;&gt;"))))</f>
        <v/>
      </c>
      <c r="D242" s="56" t="str">
        <f>IF(D$210="","",IF(COUNTIFS(BD!$B$3:$B$5001,D$210,BD!$A$3:$A$5001,"&gt;="&amp;$C$8,BD!$A$3:$A$5001,"&lt;="&amp;$D$8,BD!$Y$3:$Y$5001,"&lt;&gt;")=0,"",SUMIFS(BD!$Y$3:$Y$5001,BD!$B$3:$B$5001,D$210,BD!$A$3:$A$5001,_xlfn.MAXIFS(BD!$A$3:$A$5001,BD!$B$3:$B$5001,D$210,BD!$A$3:$A$5001,"&gt;="&amp;$C$8,BD!$A$3:$A$5001,"&lt;="&amp;$D$8,BD!$Y$3:$Y$5001,"&lt;&gt;"))))</f>
        <v/>
      </c>
      <c r="E242" s="56" t="str">
        <f>IF(E$210="","",IF(COUNTIFS(BD!$B$3:$B$5001,E$210,BD!$A$3:$A$5001,"&gt;="&amp;$C$8,BD!$A$3:$A$5001,"&lt;="&amp;$D$8,BD!$Y$3:$Y$5001,"&lt;&gt;")=0,"",SUMIFS(BD!$Y$3:$Y$5001,BD!$B$3:$B$5001,E$210,BD!$A$3:$A$5001,_xlfn.MAXIFS(BD!$A$3:$A$5001,BD!$B$3:$B$5001,E$210,BD!$A$3:$A$5001,"&gt;="&amp;$C$8,BD!$A$3:$A$5001,"&lt;="&amp;$D$8,BD!$Y$3:$Y$5001,"&lt;&gt;"))))</f>
        <v/>
      </c>
      <c r="F242" s="56" t="str">
        <f>IF(F$210="","",IF(COUNTIFS(BD!$B$3:$B$5001,F$210,BD!$A$3:$A$5001,"&gt;="&amp;$C$8,BD!$A$3:$A$5001,"&lt;="&amp;$D$8,BD!$Y$3:$Y$5001,"&lt;&gt;")=0,"",SUMIFS(BD!$Y$3:$Y$5001,BD!$B$3:$B$5001,F$210,BD!$A$3:$A$5001,_xlfn.MAXIFS(BD!$A$3:$A$5001,BD!$B$3:$B$5001,F$210,BD!$A$3:$A$5001,"&gt;="&amp;$C$8,BD!$A$3:$A$5001,"&lt;="&amp;$D$8,BD!$Y$3:$Y$5001,"&lt;&gt;"))))</f>
        <v/>
      </c>
      <c r="G242" s="56" t="str">
        <f>IF(G$210="","",IF(COUNTIFS(BD!$B$3:$B$5001,G$210,BD!$A$3:$A$5001,"&gt;="&amp;$C$8,BD!$A$3:$A$5001,"&lt;="&amp;$D$8,BD!$Y$3:$Y$5001,"&lt;&gt;")=0,"",SUMIFS(BD!$Y$3:$Y$5001,BD!$B$3:$B$5001,G$210,BD!$A$3:$A$5001,_xlfn.MAXIFS(BD!$A$3:$A$5001,BD!$B$3:$B$5001,G$210,BD!$A$3:$A$5001,"&gt;="&amp;$C$8,BD!$A$3:$A$5001,"&lt;="&amp;$D$8,BD!$Y$3:$Y$5001,"&lt;&gt;"))))</f>
        <v/>
      </c>
      <c r="H242" s="56" t="str">
        <f>IF(H$210="","",IF(COUNTIFS(BD!$B$3:$B$5001,H$210,BD!$A$3:$A$5001,"&gt;="&amp;$C$8,BD!$A$3:$A$5001,"&lt;="&amp;$D$8,BD!$Y$3:$Y$5001,"&lt;&gt;")=0,"",SUMIFS(BD!$Y$3:$Y$5001,BD!$B$3:$B$5001,H$210,BD!$A$3:$A$5001,_xlfn.MAXIFS(BD!$A$3:$A$5001,BD!$B$3:$B$5001,H$210,BD!$A$3:$A$5001,"&gt;="&amp;$C$8,BD!$A$3:$A$5001,"&lt;="&amp;$D$8,BD!$Y$3:$Y$5001,"&lt;&gt;"))))</f>
        <v/>
      </c>
      <c r="I242" s="56" t="str">
        <f>IF(I$210="","",IF(COUNTIFS(BD!$B$3:$B$5001,I$210,BD!$A$3:$A$5001,"&gt;="&amp;$C$8,BD!$A$3:$A$5001,"&lt;="&amp;$D$8,BD!$Y$3:$Y$5001,"&lt;&gt;")=0,"",SUMIFS(BD!$Y$3:$Y$5001,BD!$B$3:$B$5001,I$210,BD!$A$3:$A$5001,_xlfn.MAXIFS(BD!$A$3:$A$5001,BD!$B$3:$B$5001,I$210,BD!$A$3:$A$5001,"&gt;="&amp;$C$8,BD!$A$3:$A$5001,"&lt;="&amp;$D$8,BD!$Y$3:$Y$5001,"&lt;&gt;"))))</f>
        <v/>
      </c>
      <c r="J242" s="56" t="str">
        <f>IF(J$210="","",IF(COUNTIFS(BD!$B$3:$B$5001,J$210,BD!$A$3:$A$5001,"&gt;="&amp;$C$8,BD!$A$3:$A$5001,"&lt;="&amp;$D$8,BD!$Y$3:$Y$5001,"&lt;&gt;")=0,"",SUMIFS(BD!$Y$3:$Y$5001,BD!$B$3:$B$5001,J$210,BD!$A$3:$A$5001,_xlfn.MAXIFS(BD!$A$3:$A$5001,BD!$B$3:$B$5001,J$210,BD!$A$3:$A$5001,"&gt;="&amp;$C$8,BD!$A$3:$A$5001,"&lt;="&amp;$D$8,BD!$Y$3:$Y$5001,"&lt;&gt;"))))</f>
        <v/>
      </c>
      <c r="K242" s="56" t="str">
        <f>IF(K$210="","",IF(COUNTIFS(BD!$B$3:$B$5001,K$210,BD!$A$3:$A$5001,"&gt;="&amp;$C$8,BD!$A$3:$A$5001,"&lt;="&amp;$D$8,BD!$Y$3:$Y$5001,"&lt;&gt;")=0,"",SUMIFS(BD!$Y$3:$Y$5001,BD!$B$3:$B$5001,K$210,BD!$A$3:$A$5001,_xlfn.MAXIFS(BD!$A$3:$A$5001,BD!$B$3:$B$5001,K$210,BD!$A$3:$A$5001,"&gt;="&amp;$C$8,BD!$A$3:$A$5001,"&lt;="&amp;$D$8,BD!$Y$3:$Y$5001,"&lt;&gt;"))))</f>
        <v/>
      </c>
      <c r="L242" s="56" t="str">
        <f>IF(L$210="","",IF(COUNTIFS(BD!$B$3:$B$5001,L$210,BD!$A$3:$A$5001,"&gt;="&amp;$C$8,BD!$A$3:$A$5001,"&lt;="&amp;$D$8,BD!$Y$3:$Y$5001,"&lt;&gt;")=0,"",SUMIFS(BD!$Y$3:$Y$5001,BD!$B$3:$B$5001,L$210,BD!$A$3:$A$5001,_xlfn.MAXIFS(BD!$A$3:$A$5001,BD!$B$3:$B$5001,L$210,BD!$A$3:$A$5001,"&gt;="&amp;$C$8,BD!$A$3:$A$5001,"&lt;="&amp;$D$8,BD!$Y$3:$Y$5001,"&lt;&gt;"))))</f>
        <v/>
      </c>
      <c r="M242" s="56" t="str">
        <f>IF(M$210="","",IF(COUNTIFS(BD!$B$3:$B$5001,M$210,BD!$A$3:$A$5001,"&gt;="&amp;$C$8,BD!$A$3:$A$5001,"&lt;="&amp;$D$8,BD!$Y$3:$Y$5001,"&lt;&gt;")=0,"",SUMIFS(BD!$Y$3:$Y$5001,BD!$B$3:$B$5001,M$210,BD!$A$3:$A$5001,_xlfn.MAXIFS(BD!$A$3:$A$5001,BD!$B$3:$B$5001,M$210,BD!$A$3:$A$5001,"&gt;="&amp;$C$8,BD!$A$3:$A$5001,"&lt;="&amp;$D$8,BD!$Y$3:$Y$5001,"&lt;&gt;"))))</f>
        <v/>
      </c>
      <c r="N242" s="56" t="str">
        <f>IF(N$210="","",IF(COUNTIFS(BD!$B$3:$B$5001,N$210,BD!$A$3:$A$5001,"&gt;="&amp;$C$8,BD!$A$3:$A$5001,"&lt;="&amp;$D$8,BD!$Y$3:$Y$5001,"&lt;&gt;")=0,"",SUMIFS(BD!$Y$3:$Y$5001,BD!$B$3:$B$5001,N$210,BD!$A$3:$A$5001,_xlfn.MAXIFS(BD!$A$3:$A$5001,BD!$B$3:$B$5001,N$210,BD!$A$3:$A$5001,"&gt;="&amp;$C$8,BD!$A$3:$A$5001,"&lt;="&amp;$D$8,BD!$Y$3:$Y$5001,"&lt;&gt;"))))</f>
        <v/>
      </c>
      <c r="O242" s="56" t="str">
        <f>IF(O$210="","",IF(COUNTIFS(BD!$B$3:$B$5001,O$210,BD!$A$3:$A$5001,"&gt;="&amp;$C$8,BD!$A$3:$A$5001,"&lt;="&amp;$D$8,BD!$Y$3:$Y$5001,"&lt;&gt;")=0,"",SUMIFS(BD!$Y$3:$Y$5001,BD!$B$3:$B$5001,O$210,BD!$A$3:$A$5001,_xlfn.MAXIFS(BD!$A$3:$A$5001,BD!$B$3:$B$5001,O$210,BD!$A$3:$A$5001,"&gt;="&amp;$C$8,BD!$A$3:$A$5001,"&lt;="&amp;$D$8,BD!$Y$3:$Y$5001,"&lt;&gt;"))))</f>
        <v/>
      </c>
      <c r="P242" s="56" t="str">
        <f>IF(P$210="","",IF(COUNTIFS(BD!$B$3:$B$5001,P$210,BD!$A$3:$A$5001,"&gt;="&amp;$C$8,BD!$A$3:$A$5001,"&lt;="&amp;$D$8,BD!$Y$3:$Y$5001,"&lt;&gt;")=0,"",SUMIFS(BD!$Y$3:$Y$5001,BD!$B$3:$B$5001,P$210,BD!$A$3:$A$5001,_xlfn.MAXIFS(BD!$A$3:$A$5001,BD!$B$3:$B$5001,P$210,BD!$A$3:$A$5001,"&gt;="&amp;$C$8,BD!$A$3:$A$5001,"&lt;="&amp;$D$8,BD!$Y$3:$Y$5001,"&lt;&gt;"))))</f>
        <v/>
      </c>
      <c r="Q242" s="56" t="str">
        <f>IF(Q$210="","",IF(COUNTIFS(BD!$B$3:$B$5001,Q$210,BD!$A$3:$A$5001,"&gt;="&amp;$C$8,BD!$A$3:$A$5001,"&lt;="&amp;$D$8,BD!$Y$3:$Y$5001,"&lt;&gt;")=0,"",SUMIFS(BD!$Y$3:$Y$5001,BD!$B$3:$B$5001,Q$210,BD!$A$3:$A$5001,_xlfn.MAXIFS(BD!$A$3:$A$5001,BD!$B$3:$B$5001,Q$210,BD!$A$3:$A$5001,"&gt;="&amp;$C$8,BD!$A$3:$A$5001,"&lt;="&amp;$D$8,BD!$Y$3:$Y$5001,"&lt;&gt;"))))</f>
        <v/>
      </c>
      <c r="R242" s="56" t="str">
        <f>IF(R$210="","",IF(COUNTIFS(BD!$B$3:$B$5001,R$210,BD!$A$3:$A$5001,"&gt;="&amp;$C$8,BD!$A$3:$A$5001,"&lt;="&amp;$D$8,BD!$Y$3:$Y$5001,"&lt;&gt;")=0,"",SUMIFS(BD!$Y$3:$Y$5001,BD!$B$3:$B$5001,R$210,BD!$A$3:$A$5001,_xlfn.MAXIFS(BD!$A$3:$A$5001,BD!$B$3:$B$5001,R$210,BD!$A$3:$A$5001,"&gt;="&amp;$C$8,BD!$A$3:$A$5001,"&lt;="&amp;$D$8,BD!$Y$3:$Y$5001,"&lt;&gt;"))))</f>
        <v/>
      </c>
      <c r="S242" s="56" t="str">
        <f>IF(S$210="","",IF(COUNTIFS(BD!$B$3:$B$5001,S$210,BD!$A$3:$A$5001,"&gt;="&amp;$C$8,BD!$A$3:$A$5001,"&lt;="&amp;$D$8,BD!$Y$3:$Y$5001,"&lt;&gt;")=0,"",SUMIFS(BD!$Y$3:$Y$5001,BD!$B$3:$B$5001,S$210,BD!$A$3:$A$5001,_xlfn.MAXIFS(BD!$A$3:$A$5001,BD!$B$3:$B$5001,S$210,BD!$A$3:$A$5001,"&gt;="&amp;$C$8,BD!$A$3:$A$5001,"&lt;="&amp;$D$8,BD!$Y$3:$Y$5001,"&lt;&gt;"))))</f>
        <v/>
      </c>
      <c r="T242" s="56" t="str">
        <f>IF(T$210="","",IF(COUNTIFS(BD!$B$3:$B$5001,T$210,BD!$A$3:$A$5001,"&gt;="&amp;$C$8,BD!$A$3:$A$5001,"&lt;="&amp;$D$8,BD!$Y$3:$Y$5001,"&lt;&gt;")=0,"",SUMIFS(BD!$Y$3:$Y$5001,BD!$B$3:$B$5001,T$210,BD!$A$3:$A$5001,_xlfn.MAXIFS(BD!$A$3:$A$5001,BD!$B$3:$B$5001,T$210,BD!$A$3:$A$5001,"&gt;="&amp;$C$8,BD!$A$3:$A$5001,"&lt;="&amp;$D$8,BD!$Y$3:$Y$5001,"&lt;&gt;"))))</f>
        <v/>
      </c>
      <c r="U242" s="56" t="str">
        <f>IF(U$210="","",IF(COUNTIFS(BD!$B$3:$B$5001,U$210,BD!$A$3:$A$5001,"&gt;="&amp;$C$8,BD!$A$3:$A$5001,"&lt;="&amp;$D$8,BD!$Y$3:$Y$5001,"&lt;&gt;")=0,"",SUMIFS(BD!$Y$3:$Y$5001,BD!$B$3:$B$5001,U$210,BD!$A$3:$A$5001,_xlfn.MAXIFS(BD!$A$3:$A$5001,BD!$B$3:$B$5001,U$210,BD!$A$3:$A$5001,"&gt;="&amp;$C$8,BD!$A$3:$A$5001,"&lt;="&amp;$D$8,BD!$Y$3:$Y$5001,"&lt;&gt;"))))</f>
        <v/>
      </c>
      <c r="V242" s="56" t="str">
        <f>IF(V$210="","",IF(COUNTIFS(BD!$B$3:$B$5001,V$210,BD!$A$3:$A$5001,"&gt;="&amp;$C$8,BD!$A$3:$A$5001,"&lt;="&amp;$D$8,BD!$Y$3:$Y$5001,"&lt;&gt;")=0,"",SUMIFS(BD!$Y$3:$Y$5001,BD!$B$3:$B$5001,V$210,BD!$A$3:$A$5001,_xlfn.MAXIFS(BD!$A$3:$A$5001,BD!$B$3:$B$5001,V$210,BD!$A$3:$A$5001,"&gt;="&amp;$C$8,BD!$A$3:$A$5001,"&lt;="&amp;$D$8,BD!$Y$3:$Y$5001,"&lt;&gt;"))))</f>
        <v/>
      </c>
    </row>
    <row r="243">
      <c r="A243" s="55" t="inlineStr">
        <is>
          <t xml:space="preserve">Depósito</t>
        </is>
      </c>
      <c r="C243" s="48" t="str">
        <f>IF(Config!$C$10="","TPC",Config!$C$10)</f>
        <v>TPC</v>
      </c>
      <c r="D243" s="48" t="str">
        <f>IF(Config!$C$11="","TPC",Config!$C$11)</f>
        <v>TPC</v>
      </c>
      <c r="E243" s="48" t="str">
        <f>IF(Config!$C$12="","TPC",Config!$C$12)</f>
        <v>TPC</v>
      </c>
      <c r="F243" s="48" t="str">
        <f>IF(Config!$C$13="","TPC",Config!$C$13)</f>
        <v>TPC</v>
      </c>
      <c r="G243" s="48" t="str">
        <f>IF(Config!$C$14="","TPC",Config!$C$14)</f>
        <v>TPC</v>
      </c>
      <c r="H243" s="48" t="str">
        <f>IF(Config!$C$15="","TPC",Config!$C$15)</f>
        <v>TPC</v>
      </c>
      <c r="I243" s="48" t="str">
        <f>IF(Config!$C$16="","TPC",Config!$C$16)</f>
        <v>TPC</v>
      </c>
      <c r="J243" s="48" t="str">
        <f>IF(Config!$C$17="","TPC",Config!$C$17)</f>
        <v>TPC</v>
      </c>
      <c r="K243" s="48" t="str">
        <f>IF(Config!$C$18="","TPC",Config!$C$18)</f>
        <v>TPC</v>
      </c>
      <c r="L243" s="48" t="str">
        <f>IF(Config!$C$19="","TPC",Config!$C$19)</f>
        <v>TPC</v>
      </c>
      <c r="M243" s="48" t="str">
        <f>IF(Config!$C$20="","TPC",Config!$C$20)</f>
        <v>TPC</v>
      </c>
      <c r="N243" s="48" t="str">
        <f>IF(Config!$C$21="","TPC",Config!$C$21)</f>
        <v>TPC</v>
      </c>
      <c r="O243" s="48" t="str">
        <f>IF(Config!$C$22="","TPC",Config!$C$22)</f>
        <v>TPC</v>
      </c>
      <c r="P243" s="48" t="str">
        <f>IF(Config!$C$23="","TPC",Config!$C$23)</f>
        <v>TPC</v>
      </c>
      <c r="Q243" s="48" t="str">
        <f>IF(Config!$C$24="","TPC",Config!$C$24)</f>
        <v>TPC</v>
      </c>
      <c r="R243" s="48" t="str">
        <f>IF(Config!$C$25="","TPC",Config!$C$25)</f>
        <v>TPC</v>
      </c>
      <c r="S243" s="48" t="str">
        <f>IF(Config!$C$26="","TPC",Config!$C$26)</f>
        <v>TPC</v>
      </c>
      <c r="T243" s="48" t="str">
        <f>IF(Config!$C$27="","TPC",Config!$C$27)</f>
        <v>TPC</v>
      </c>
      <c r="U243" s="48" t="str">
        <f>IF(Config!$C$28="","TPC",Config!$C$28)</f>
        <v>TPC</v>
      </c>
      <c r="V243" s="48" t="str">
        <f>IF(Config!$C$29="","TPC",Config!$C$29)</f>
        <v>TPC</v>
      </c>
    </row>
    <row r="245">
      <c r="A245" s="47" t="inlineStr">
        <is>
          <t xml:space="preserve">Posições Disponíveis</t>
        </is>
      </c>
      <c r="B245" s="47" t="inlineStr">
        <is>
          <t xml:space="preserve">Data</t>
        </is>
      </c>
      <c r="C245" s="47" t="str">
        <f>Config!$B$10&amp;""</f>
        <v>Alpargatas</v>
      </c>
      <c r="D245" s="47" t="str">
        <f>Config!$B$11&amp;""</f>
        <v>Basf</v>
      </c>
      <c r="E245" s="47" t="str">
        <f>Config!$B$12&amp;""</f>
        <v>Beautybiz</v>
      </c>
      <c r="F245" s="47" t="str">
        <f>Config!$B$13&amp;""</f>
        <v>Boticário</v>
      </c>
      <c r="G245" s="47" t="str">
        <f>Config!$B$14&amp;""</f>
        <v>Confiance</v>
      </c>
      <c r="H245" s="47" t="str">
        <f>Config!$B$15&amp;""</f>
        <v>GE Vernova</v>
      </c>
      <c r="I245" s="47" t="str">
        <f>Config!$B$16&amp;""</f>
        <v>Omnilife</v>
      </c>
      <c r="J245" s="47" t="str">
        <f>Config!$B$17&amp;""</f>
        <v>Supply</v>
      </c>
      <c r="K245" s="47" t="str">
        <f>Config!$B$18&amp;""</f>
        <v>Vedacit</v>
      </c>
      <c r="L245" s="47" t="str">
        <f>Config!$B$19&amp;""</f>
        <v>Vestas</v>
      </c>
      <c r="M245" s="47" t="str">
        <f>Config!$B$20&amp;""</f>
        <v/>
      </c>
      <c r="N245" s="47" t="str">
        <f>Config!$B$21&amp;""</f>
        <v/>
      </c>
      <c r="O245" s="47" t="str">
        <f>Config!$B$22&amp;""</f>
        <v/>
      </c>
      <c r="P245" s="47" t="str">
        <f>Config!$B$23&amp;""</f>
        <v/>
      </c>
      <c r="Q245" s="47" t="str">
        <f>Config!$B$24&amp;""</f>
        <v/>
      </c>
      <c r="R245" s="47" t="str">
        <f>Config!$B$25&amp;""</f>
        <v/>
      </c>
      <c r="S245" s="47" t="str">
        <f>Config!$B$26&amp;""</f>
        <v/>
      </c>
      <c r="T245" s="47" t="str">
        <f>Config!$B$27&amp;""</f>
        <v/>
      </c>
      <c r="U245" s="47" t="str">
        <f>Config!$B$28&amp;""</f>
        <v/>
      </c>
      <c r="V245" s="47" t="str">
        <f>Config!$B$29&amp;""</f>
        <v/>
      </c>
    </row>
    <row r="246">
      <c r="A246" s="48">
        <v>1</v>
      </c>
      <c r="B246" s="53">
        <f>$B$12</f>
        <v>46296</v>
      </c>
      <c r="C246" s="54" t="str">
        <f>IF(OR($B246="",$A246&gt;$B$9,C$245=""),"",IF(COUNTIFS(BD!$B$3:$B$5001,C$245,BD!$A$3:$A$5001,"&gt;="&amp;$C$7,BD!$A$3:$A$5001,"&lt;="&amp;$B246,BD!$X$3:$X$5001,"&lt;&gt;")=0,"",SUMIFS(BD!$X$3:$X$5001,BD!$B$3:$B$5001,C$245,BD!$A$3:$A$5001,_xlfn.MAXIFS(BD!$A$3:$A$5001,BD!$B$3:$B$5001,C$245,BD!$A$3:$A$5001,"&gt;="&amp;$C$7,BD!$A$3:$A$5001,"&lt;="&amp;$B246,BD!$X$3:$X$5001,"&lt;&gt;"))))</f>
        <v/>
      </c>
      <c r="D246" s="54" t="str">
        <f>IF(OR($B246="",$A246&gt;$B$9,D$245=""),"",IF(COUNTIFS(BD!$B$3:$B$5001,D$245,BD!$A$3:$A$5001,"&gt;="&amp;$C$7,BD!$A$3:$A$5001,"&lt;="&amp;$B246,BD!$X$3:$X$5001,"&lt;&gt;")=0,"",SUMIFS(BD!$X$3:$X$5001,BD!$B$3:$B$5001,D$245,BD!$A$3:$A$5001,_xlfn.MAXIFS(BD!$A$3:$A$5001,BD!$B$3:$B$5001,D$245,BD!$A$3:$A$5001,"&gt;="&amp;$C$7,BD!$A$3:$A$5001,"&lt;="&amp;$B246,BD!$X$3:$X$5001,"&lt;&gt;"))))</f>
        <v/>
      </c>
      <c r="E246" s="54" t="str">
        <f>IF(OR($B246="",$A246&gt;$B$9,E$245=""),"",IF(COUNTIFS(BD!$B$3:$B$5001,E$245,BD!$A$3:$A$5001,"&gt;="&amp;$C$7,BD!$A$3:$A$5001,"&lt;="&amp;$B246,BD!$X$3:$X$5001,"&lt;&gt;")=0,"",SUMIFS(BD!$X$3:$X$5001,BD!$B$3:$B$5001,E$245,BD!$A$3:$A$5001,_xlfn.MAXIFS(BD!$A$3:$A$5001,BD!$B$3:$B$5001,E$245,BD!$A$3:$A$5001,"&gt;="&amp;$C$7,BD!$A$3:$A$5001,"&lt;="&amp;$B246,BD!$X$3:$X$5001,"&lt;&gt;"))))</f>
        <v/>
      </c>
      <c r="F246" s="54" t="str">
        <f>IF(OR($B246="",$A246&gt;$B$9,F$245=""),"",IF(COUNTIFS(BD!$B$3:$B$5001,F$245,BD!$A$3:$A$5001,"&gt;="&amp;$C$7,BD!$A$3:$A$5001,"&lt;="&amp;$B246,BD!$X$3:$X$5001,"&lt;&gt;")=0,"",SUMIFS(BD!$X$3:$X$5001,BD!$B$3:$B$5001,F$245,BD!$A$3:$A$5001,_xlfn.MAXIFS(BD!$A$3:$A$5001,BD!$B$3:$B$5001,F$245,BD!$A$3:$A$5001,"&gt;="&amp;$C$7,BD!$A$3:$A$5001,"&lt;="&amp;$B246,BD!$X$3:$X$5001,"&lt;&gt;"))))</f>
        <v/>
      </c>
      <c r="G246" s="54" t="str">
        <f>IF(OR($B246="",$A246&gt;$B$9,G$245=""),"",IF(COUNTIFS(BD!$B$3:$B$5001,G$245,BD!$A$3:$A$5001,"&gt;="&amp;$C$7,BD!$A$3:$A$5001,"&lt;="&amp;$B246,BD!$X$3:$X$5001,"&lt;&gt;")=0,"",SUMIFS(BD!$X$3:$X$5001,BD!$B$3:$B$5001,G$245,BD!$A$3:$A$5001,_xlfn.MAXIFS(BD!$A$3:$A$5001,BD!$B$3:$B$5001,G$245,BD!$A$3:$A$5001,"&gt;="&amp;$C$7,BD!$A$3:$A$5001,"&lt;="&amp;$B246,BD!$X$3:$X$5001,"&lt;&gt;"))))</f>
        <v/>
      </c>
      <c r="H246" s="54" t="str">
        <f>IF(OR($B246="",$A246&gt;$B$9,H$245=""),"",IF(COUNTIFS(BD!$B$3:$B$5001,H$245,BD!$A$3:$A$5001,"&gt;="&amp;$C$7,BD!$A$3:$A$5001,"&lt;="&amp;$B246,BD!$X$3:$X$5001,"&lt;&gt;")=0,"",SUMIFS(BD!$X$3:$X$5001,BD!$B$3:$B$5001,H$245,BD!$A$3:$A$5001,_xlfn.MAXIFS(BD!$A$3:$A$5001,BD!$B$3:$B$5001,H$245,BD!$A$3:$A$5001,"&gt;="&amp;$C$7,BD!$A$3:$A$5001,"&lt;="&amp;$B246,BD!$X$3:$X$5001,"&lt;&gt;"))))</f>
        <v/>
      </c>
      <c r="I246" s="54" t="str">
        <f>IF(OR($B246="",$A246&gt;$B$9,I$245=""),"",IF(COUNTIFS(BD!$B$3:$B$5001,I$245,BD!$A$3:$A$5001,"&gt;="&amp;$C$7,BD!$A$3:$A$5001,"&lt;="&amp;$B246,BD!$X$3:$X$5001,"&lt;&gt;")=0,"",SUMIFS(BD!$X$3:$X$5001,BD!$B$3:$B$5001,I$245,BD!$A$3:$A$5001,_xlfn.MAXIFS(BD!$A$3:$A$5001,BD!$B$3:$B$5001,I$245,BD!$A$3:$A$5001,"&gt;="&amp;$C$7,BD!$A$3:$A$5001,"&lt;="&amp;$B246,BD!$X$3:$X$5001,"&lt;&gt;"))))</f>
        <v/>
      </c>
      <c r="J246" s="54" t="str">
        <f>IF(OR($B246="",$A246&gt;$B$9,J$245=""),"",IF(COUNTIFS(BD!$B$3:$B$5001,J$245,BD!$A$3:$A$5001,"&gt;="&amp;$C$7,BD!$A$3:$A$5001,"&lt;="&amp;$B246,BD!$X$3:$X$5001,"&lt;&gt;")=0,"",SUMIFS(BD!$X$3:$X$5001,BD!$B$3:$B$5001,J$245,BD!$A$3:$A$5001,_xlfn.MAXIFS(BD!$A$3:$A$5001,BD!$B$3:$B$5001,J$245,BD!$A$3:$A$5001,"&gt;="&amp;$C$7,BD!$A$3:$A$5001,"&lt;="&amp;$B246,BD!$X$3:$X$5001,"&lt;&gt;"))))</f>
        <v/>
      </c>
      <c r="K246" s="54" t="str">
        <f>IF(OR($B246="",$A246&gt;$B$9,K$245=""),"",IF(COUNTIFS(BD!$B$3:$B$5001,K$245,BD!$A$3:$A$5001,"&gt;="&amp;$C$7,BD!$A$3:$A$5001,"&lt;="&amp;$B246,BD!$X$3:$X$5001,"&lt;&gt;")=0,"",SUMIFS(BD!$X$3:$X$5001,BD!$B$3:$B$5001,K$245,BD!$A$3:$A$5001,_xlfn.MAXIFS(BD!$A$3:$A$5001,BD!$B$3:$B$5001,K$245,BD!$A$3:$A$5001,"&gt;="&amp;$C$7,BD!$A$3:$A$5001,"&lt;="&amp;$B246,BD!$X$3:$X$5001,"&lt;&gt;"))))</f>
        <v/>
      </c>
      <c r="L246" s="54" t="str">
        <f>IF(OR($B246="",$A246&gt;$B$9,L$245=""),"",IF(COUNTIFS(BD!$B$3:$B$5001,L$245,BD!$A$3:$A$5001,"&gt;="&amp;$C$7,BD!$A$3:$A$5001,"&lt;="&amp;$B246,BD!$X$3:$X$5001,"&lt;&gt;")=0,"",SUMIFS(BD!$X$3:$X$5001,BD!$B$3:$B$5001,L$245,BD!$A$3:$A$5001,_xlfn.MAXIFS(BD!$A$3:$A$5001,BD!$B$3:$B$5001,L$245,BD!$A$3:$A$5001,"&gt;="&amp;$C$7,BD!$A$3:$A$5001,"&lt;="&amp;$B246,BD!$X$3:$X$5001,"&lt;&gt;"))))</f>
        <v/>
      </c>
      <c r="M246" s="54" t="str">
        <f>IF(OR($B246="",$A246&gt;$B$9,M$245=""),"",IF(COUNTIFS(BD!$B$3:$B$5001,M$245,BD!$A$3:$A$5001,"&gt;="&amp;$C$7,BD!$A$3:$A$5001,"&lt;="&amp;$B246,BD!$X$3:$X$5001,"&lt;&gt;")=0,"",SUMIFS(BD!$X$3:$X$5001,BD!$B$3:$B$5001,M$245,BD!$A$3:$A$5001,_xlfn.MAXIFS(BD!$A$3:$A$5001,BD!$B$3:$B$5001,M$245,BD!$A$3:$A$5001,"&gt;="&amp;$C$7,BD!$A$3:$A$5001,"&lt;="&amp;$B246,BD!$X$3:$X$5001,"&lt;&gt;"))))</f>
        <v/>
      </c>
      <c r="N246" s="54" t="str">
        <f>IF(OR($B246="",$A246&gt;$B$9,N$245=""),"",IF(COUNTIFS(BD!$B$3:$B$5001,N$245,BD!$A$3:$A$5001,"&gt;="&amp;$C$7,BD!$A$3:$A$5001,"&lt;="&amp;$B246,BD!$X$3:$X$5001,"&lt;&gt;")=0,"",SUMIFS(BD!$X$3:$X$5001,BD!$B$3:$B$5001,N$245,BD!$A$3:$A$5001,_xlfn.MAXIFS(BD!$A$3:$A$5001,BD!$B$3:$B$5001,N$245,BD!$A$3:$A$5001,"&gt;="&amp;$C$7,BD!$A$3:$A$5001,"&lt;="&amp;$B246,BD!$X$3:$X$5001,"&lt;&gt;"))))</f>
        <v/>
      </c>
      <c r="O246" s="54" t="str">
        <f>IF(OR($B246="",$A246&gt;$B$9,O$245=""),"",IF(COUNTIFS(BD!$B$3:$B$5001,O$245,BD!$A$3:$A$5001,"&gt;="&amp;$C$7,BD!$A$3:$A$5001,"&lt;="&amp;$B246,BD!$X$3:$X$5001,"&lt;&gt;")=0,"",SUMIFS(BD!$X$3:$X$5001,BD!$B$3:$B$5001,O$245,BD!$A$3:$A$5001,_xlfn.MAXIFS(BD!$A$3:$A$5001,BD!$B$3:$B$5001,O$245,BD!$A$3:$A$5001,"&gt;="&amp;$C$7,BD!$A$3:$A$5001,"&lt;="&amp;$B246,BD!$X$3:$X$5001,"&lt;&gt;"))))</f>
        <v/>
      </c>
      <c r="P246" s="54" t="str">
        <f>IF(OR($B246="",$A246&gt;$B$9,P$245=""),"",IF(COUNTIFS(BD!$B$3:$B$5001,P$245,BD!$A$3:$A$5001,"&gt;="&amp;$C$7,BD!$A$3:$A$5001,"&lt;="&amp;$B246,BD!$X$3:$X$5001,"&lt;&gt;")=0,"",SUMIFS(BD!$X$3:$X$5001,BD!$B$3:$B$5001,P$245,BD!$A$3:$A$5001,_xlfn.MAXIFS(BD!$A$3:$A$5001,BD!$B$3:$B$5001,P$245,BD!$A$3:$A$5001,"&gt;="&amp;$C$7,BD!$A$3:$A$5001,"&lt;="&amp;$B246,BD!$X$3:$X$5001,"&lt;&gt;"))))</f>
        <v/>
      </c>
      <c r="Q246" s="54" t="str">
        <f>IF(OR($B246="",$A246&gt;$B$9,Q$245=""),"",IF(COUNTIFS(BD!$B$3:$B$5001,Q$245,BD!$A$3:$A$5001,"&gt;="&amp;$C$7,BD!$A$3:$A$5001,"&lt;="&amp;$B246,BD!$X$3:$X$5001,"&lt;&gt;")=0,"",SUMIFS(BD!$X$3:$X$5001,BD!$B$3:$B$5001,Q$245,BD!$A$3:$A$5001,_xlfn.MAXIFS(BD!$A$3:$A$5001,BD!$B$3:$B$5001,Q$245,BD!$A$3:$A$5001,"&gt;="&amp;$C$7,BD!$A$3:$A$5001,"&lt;="&amp;$B246,BD!$X$3:$X$5001,"&lt;&gt;"))))</f>
        <v/>
      </c>
      <c r="R246" s="54" t="str">
        <f>IF(OR($B246="",$A246&gt;$B$9,R$245=""),"",IF(COUNTIFS(BD!$B$3:$B$5001,R$245,BD!$A$3:$A$5001,"&gt;="&amp;$C$7,BD!$A$3:$A$5001,"&lt;="&amp;$B246,BD!$X$3:$X$5001,"&lt;&gt;")=0,"",SUMIFS(BD!$X$3:$X$5001,BD!$B$3:$B$5001,R$245,BD!$A$3:$A$5001,_xlfn.MAXIFS(BD!$A$3:$A$5001,BD!$B$3:$B$5001,R$245,BD!$A$3:$A$5001,"&gt;="&amp;$C$7,BD!$A$3:$A$5001,"&lt;="&amp;$B246,BD!$X$3:$X$5001,"&lt;&gt;"))))</f>
        <v/>
      </c>
      <c r="S246" s="54" t="str">
        <f>IF(OR($B246="",$A246&gt;$B$9,S$245=""),"",IF(COUNTIFS(BD!$B$3:$B$5001,S$245,BD!$A$3:$A$5001,"&gt;="&amp;$C$7,BD!$A$3:$A$5001,"&lt;="&amp;$B246,BD!$X$3:$X$5001,"&lt;&gt;")=0,"",SUMIFS(BD!$X$3:$X$5001,BD!$B$3:$B$5001,S$245,BD!$A$3:$A$5001,_xlfn.MAXIFS(BD!$A$3:$A$5001,BD!$B$3:$B$5001,S$245,BD!$A$3:$A$5001,"&gt;="&amp;$C$7,BD!$A$3:$A$5001,"&lt;="&amp;$B246,BD!$X$3:$X$5001,"&lt;&gt;"))))</f>
        <v/>
      </c>
      <c r="T246" s="54" t="str">
        <f>IF(OR($B246="",$A246&gt;$B$9,T$245=""),"",IF(COUNTIFS(BD!$B$3:$B$5001,T$245,BD!$A$3:$A$5001,"&gt;="&amp;$C$7,BD!$A$3:$A$5001,"&lt;="&amp;$B246,BD!$X$3:$X$5001,"&lt;&gt;")=0,"",SUMIFS(BD!$X$3:$X$5001,BD!$B$3:$B$5001,T$245,BD!$A$3:$A$5001,_xlfn.MAXIFS(BD!$A$3:$A$5001,BD!$B$3:$B$5001,T$245,BD!$A$3:$A$5001,"&gt;="&amp;$C$7,BD!$A$3:$A$5001,"&lt;="&amp;$B246,BD!$X$3:$X$5001,"&lt;&gt;"))))</f>
        <v/>
      </c>
      <c r="U246" s="54" t="str">
        <f>IF(OR($B246="",$A246&gt;$B$9,U$245=""),"",IF(COUNTIFS(BD!$B$3:$B$5001,U$245,BD!$A$3:$A$5001,"&gt;="&amp;$C$7,BD!$A$3:$A$5001,"&lt;="&amp;$B246,BD!$X$3:$X$5001,"&lt;&gt;")=0,"",SUMIFS(BD!$X$3:$X$5001,BD!$B$3:$B$5001,U$245,BD!$A$3:$A$5001,_xlfn.MAXIFS(BD!$A$3:$A$5001,BD!$B$3:$B$5001,U$245,BD!$A$3:$A$5001,"&gt;="&amp;$C$7,BD!$A$3:$A$5001,"&lt;="&amp;$B246,BD!$X$3:$X$5001,"&lt;&gt;"))))</f>
        <v/>
      </c>
      <c r="V246" s="54" t="str">
        <f>IF(OR($B246="",$A246&gt;$B$9,V$245=""),"",IF(COUNTIFS(BD!$B$3:$B$5001,V$245,BD!$A$3:$A$5001,"&gt;="&amp;$C$7,BD!$A$3:$A$5001,"&lt;="&amp;$B246,BD!$X$3:$X$5001,"&lt;&gt;")=0,"",SUMIFS(BD!$X$3:$X$5001,BD!$B$3:$B$5001,V$245,BD!$A$3:$A$5001,_xlfn.MAXIFS(BD!$A$3:$A$5001,BD!$B$3:$B$5001,V$245,BD!$A$3:$A$5001,"&gt;="&amp;$C$7,BD!$A$3:$A$5001,"&lt;="&amp;$B246,BD!$X$3:$X$5001,"&lt;&gt;"))))</f>
        <v/>
      </c>
    </row>
    <row r="247">
      <c r="A247" s="48">
        <v>2</v>
      </c>
      <c r="B247" s="53">
        <f>$B$13</f>
        <v>46297</v>
      </c>
      <c r="C247" s="54" t="str">
        <f>IF(OR($B247="",$A247&gt;$B$9,C$245=""),"",IF(COUNTIFS(BD!$B$3:$B$5001,C$245,BD!$A$3:$A$5001,"&gt;="&amp;$C$7,BD!$A$3:$A$5001,"&lt;="&amp;$B247,BD!$X$3:$X$5001,"&lt;&gt;")=0,"",SUMIFS(BD!$X$3:$X$5001,BD!$B$3:$B$5001,C$245,BD!$A$3:$A$5001,_xlfn.MAXIFS(BD!$A$3:$A$5001,BD!$B$3:$B$5001,C$245,BD!$A$3:$A$5001,"&gt;="&amp;$C$7,BD!$A$3:$A$5001,"&lt;="&amp;$B247,BD!$X$3:$X$5001,"&lt;&gt;"))))</f>
        <v/>
      </c>
      <c r="D247" s="54" t="str">
        <f>IF(OR($B247="",$A247&gt;$B$9,D$245=""),"",IF(COUNTIFS(BD!$B$3:$B$5001,D$245,BD!$A$3:$A$5001,"&gt;="&amp;$C$7,BD!$A$3:$A$5001,"&lt;="&amp;$B247,BD!$X$3:$X$5001,"&lt;&gt;")=0,"",SUMIFS(BD!$X$3:$X$5001,BD!$B$3:$B$5001,D$245,BD!$A$3:$A$5001,_xlfn.MAXIFS(BD!$A$3:$A$5001,BD!$B$3:$B$5001,D$245,BD!$A$3:$A$5001,"&gt;="&amp;$C$7,BD!$A$3:$A$5001,"&lt;="&amp;$B247,BD!$X$3:$X$5001,"&lt;&gt;"))))</f>
        <v/>
      </c>
      <c r="E247" s="54" t="str">
        <f>IF(OR($B247="",$A247&gt;$B$9,E$245=""),"",IF(COUNTIFS(BD!$B$3:$B$5001,E$245,BD!$A$3:$A$5001,"&gt;="&amp;$C$7,BD!$A$3:$A$5001,"&lt;="&amp;$B247,BD!$X$3:$X$5001,"&lt;&gt;")=0,"",SUMIFS(BD!$X$3:$X$5001,BD!$B$3:$B$5001,E$245,BD!$A$3:$A$5001,_xlfn.MAXIFS(BD!$A$3:$A$5001,BD!$B$3:$B$5001,E$245,BD!$A$3:$A$5001,"&gt;="&amp;$C$7,BD!$A$3:$A$5001,"&lt;="&amp;$B247,BD!$X$3:$X$5001,"&lt;&gt;"))))</f>
        <v/>
      </c>
      <c r="F247" s="54" t="str">
        <f>IF(OR($B247="",$A247&gt;$B$9,F$245=""),"",IF(COUNTIFS(BD!$B$3:$B$5001,F$245,BD!$A$3:$A$5001,"&gt;="&amp;$C$7,BD!$A$3:$A$5001,"&lt;="&amp;$B247,BD!$X$3:$X$5001,"&lt;&gt;")=0,"",SUMIFS(BD!$X$3:$X$5001,BD!$B$3:$B$5001,F$245,BD!$A$3:$A$5001,_xlfn.MAXIFS(BD!$A$3:$A$5001,BD!$B$3:$B$5001,F$245,BD!$A$3:$A$5001,"&gt;="&amp;$C$7,BD!$A$3:$A$5001,"&lt;="&amp;$B247,BD!$X$3:$X$5001,"&lt;&gt;"))))</f>
        <v/>
      </c>
      <c r="G247" s="54" t="str">
        <f>IF(OR($B247="",$A247&gt;$B$9,G$245=""),"",IF(COUNTIFS(BD!$B$3:$B$5001,G$245,BD!$A$3:$A$5001,"&gt;="&amp;$C$7,BD!$A$3:$A$5001,"&lt;="&amp;$B247,BD!$X$3:$X$5001,"&lt;&gt;")=0,"",SUMIFS(BD!$X$3:$X$5001,BD!$B$3:$B$5001,G$245,BD!$A$3:$A$5001,_xlfn.MAXIFS(BD!$A$3:$A$5001,BD!$B$3:$B$5001,G$245,BD!$A$3:$A$5001,"&gt;="&amp;$C$7,BD!$A$3:$A$5001,"&lt;="&amp;$B247,BD!$X$3:$X$5001,"&lt;&gt;"))))</f>
        <v/>
      </c>
      <c r="H247" s="54" t="str">
        <f>IF(OR($B247="",$A247&gt;$B$9,H$245=""),"",IF(COUNTIFS(BD!$B$3:$B$5001,H$245,BD!$A$3:$A$5001,"&gt;="&amp;$C$7,BD!$A$3:$A$5001,"&lt;="&amp;$B247,BD!$X$3:$X$5001,"&lt;&gt;")=0,"",SUMIFS(BD!$X$3:$X$5001,BD!$B$3:$B$5001,H$245,BD!$A$3:$A$5001,_xlfn.MAXIFS(BD!$A$3:$A$5001,BD!$B$3:$B$5001,H$245,BD!$A$3:$A$5001,"&gt;="&amp;$C$7,BD!$A$3:$A$5001,"&lt;="&amp;$B247,BD!$X$3:$X$5001,"&lt;&gt;"))))</f>
        <v/>
      </c>
      <c r="I247" s="54" t="str">
        <f>IF(OR($B247="",$A247&gt;$B$9,I$245=""),"",IF(COUNTIFS(BD!$B$3:$B$5001,I$245,BD!$A$3:$A$5001,"&gt;="&amp;$C$7,BD!$A$3:$A$5001,"&lt;="&amp;$B247,BD!$X$3:$X$5001,"&lt;&gt;")=0,"",SUMIFS(BD!$X$3:$X$5001,BD!$B$3:$B$5001,I$245,BD!$A$3:$A$5001,_xlfn.MAXIFS(BD!$A$3:$A$5001,BD!$B$3:$B$5001,I$245,BD!$A$3:$A$5001,"&gt;="&amp;$C$7,BD!$A$3:$A$5001,"&lt;="&amp;$B247,BD!$X$3:$X$5001,"&lt;&gt;"))))</f>
        <v/>
      </c>
      <c r="J247" s="54" t="str">
        <f>IF(OR($B247="",$A247&gt;$B$9,J$245=""),"",IF(COUNTIFS(BD!$B$3:$B$5001,J$245,BD!$A$3:$A$5001,"&gt;="&amp;$C$7,BD!$A$3:$A$5001,"&lt;="&amp;$B247,BD!$X$3:$X$5001,"&lt;&gt;")=0,"",SUMIFS(BD!$X$3:$X$5001,BD!$B$3:$B$5001,J$245,BD!$A$3:$A$5001,_xlfn.MAXIFS(BD!$A$3:$A$5001,BD!$B$3:$B$5001,J$245,BD!$A$3:$A$5001,"&gt;="&amp;$C$7,BD!$A$3:$A$5001,"&lt;="&amp;$B247,BD!$X$3:$X$5001,"&lt;&gt;"))))</f>
        <v/>
      </c>
      <c r="K247" s="54" t="str">
        <f>IF(OR($B247="",$A247&gt;$B$9,K$245=""),"",IF(COUNTIFS(BD!$B$3:$B$5001,K$245,BD!$A$3:$A$5001,"&gt;="&amp;$C$7,BD!$A$3:$A$5001,"&lt;="&amp;$B247,BD!$X$3:$X$5001,"&lt;&gt;")=0,"",SUMIFS(BD!$X$3:$X$5001,BD!$B$3:$B$5001,K$245,BD!$A$3:$A$5001,_xlfn.MAXIFS(BD!$A$3:$A$5001,BD!$B$3:$B$5001,K$245,BD!$A$3:$A$5001,"&gt;="&amp;$C$7,BD!$A$3:$A$5001,"&lt;="&amp;$B247,BD!$X$3:$X$5001,"&lt;&gt;"))))</f>
        <v/>
      </c>
      <c r="L247" s="54" t="str">
        <f>IF(OR($B247="",$A247&gt;$B$9,L$245=""),"",IF(COUNTIFS(BD!$B$3:$B$5001,L$245,BD!$A$3:$A$5001,"&gt;="&amp;$C$7,BD!$A$3:$A$5001,"&lt;="&amp;$B247,BD!$X$3:$X$5001,"&lt;&gt;")=0,"",SUMIFS(BD!$X$3:$X$5001,BD!$B$3:$B$5001,L$245,BD!$A$3:$A$5001,_xlfn.MAXIFS(BD!$A$3:$A$5001,BD!$B$3:$B$5001,L$245,BD!$A$3:$A$5001,"&gt;="&amp;$C$7,BD!$A$3:$A$5001,"&lt;="&amp;$B247,BD!$X$3:$X$5001,"&lt;&gt;"))))</f>
        <v/>
      </c>
      <c r="M247" s="54" t="str">
        <f>IF(OR($B247="",$A247&gt;$B$9,M$245=""),"",IF(COUNTIFS(BD!$B$3:$B$5001,M$245,BD!$A$3:$A$5001,"&gt;="&amp;$C$7,BD!$A$3:$A$5001,"&lt;="&amp;$B247,BD!$X$3:$X$5001,"&lt;&gt;")=0,"",SUMIFS(BD!$X$3:$X$5001,BD!$B$3:$B$5001,M$245,BD!$A$3:$A$5001,_xlfn.MAXIFS(BD!$A$3:$A$5001,BD!$B$3:$B$5001,M$245,BD!$A$3:$A$5001,"&gt;="&amp;$C$7,BD!$A$3:$A$5001,"&lt;="&amp;$B247,BD!$X$3:$X$5001,"&lt;&gt;"))))</f>
        <v/>
      </c>
      <c r="N247" s="54" t="str">
        <f>IF(OR($B247="",$A247&gt;$B$9,N$245=""),"",IF(COUNTIFS(BD!$B$3:$B$5001,N$245,BD!$A$3:$A$5001,"&gt;="&amp;$C$7,BD!$A$3:$A$5001,"&lt;="&amp;$B247,BD!$X$3:$X$5001,"&lt;&gt;")=0,"",SUMIFS(BD!$X$3:$X$5001,BD!$B$3:$B$5001,N$245,BD!$A$3:$A$5001,_xlfn.MAXIFS(BD!$A$3:$A$5001,BD!$B$3:$B$5001,N$245,BD!$A$3:$A$5001,"&gt;="&amp;$C$7,BD!$A$3:$A$5001,"&lt;="&amp;$B247,BD!$X$3:$X$5001,"&lt;&gt;"))))</f>
        <v/>
      </c>
      <c r="O247" s="54" t="str">
        <f>IF(OR($B247="",$A247&gt;$B$9,O$245=""),"",IF(COUNTIFS(BD!$B$3:$B$5001,O$245,BD!$A$3:$A$5001,"&gt;="&amp;$C$7,BD!$A$3:$A$5001,"&lt;="&amp;$B247,BD!$X$3:$X$5001,"&lt;&gt;")=0,"",SUMIFS(BD!$X$3:$X$5001,BD!$B$3:$B$5001,O$245,BD!$A$3:$A$5001,_xlfn.MAXIFS(BD!$A$3:$A$5001,BD!$B$3:$B$5001,O$245,BD!$A$3:$A$5001,"&gt;="&amp;$C$7,BD!$A$3:$A$5001,"&lt;="&amp;$B247,BD!$X$3:$X$5001,"&lt;&gt;"))))</f>
        <v/>
      </c>
      <c r="P247" s="54" t="str">
        <f>IF(OR($B247="",$A247&gt;$B$9,P$245=""),"",IF(COUNTIFS(BD!$B$3:$B$5001,P$245,BD!$A$3:$A$5001,"&gt;="&amp;$C$7,BD!$A$3:$A$5001,"&lt;="&amp;$B247,BD!$X$3:$X$5001,"&lt;&gt;")=0,"",SUMIFS(BD!$X$3:$X$5001,BD!$B$3:$B$5001,P$245,BD!$A$3:$A$5001,_xlfn.MAXIFS(BD!$A$3:$A$5001,BD!$B$3:$B$5001,P$245,BD!$A$3:$A$5001,"&gt;="&amp;$C$7,BD!$A$3:$A$5001,"&lt;="&amp;$B247,BD!$X$3:$X$5001,"&lt;&gt;"))))</f>
        <v/>
      </c>
      <c r="Q247" s="54" t="str">
        <f>IF(OR($B247="",$A247&gt;$B$9,Q$245=""),"",IF(COUNTIFS(BD!$B$3:$B$5001,Q$245,BD!$A$3:$A$5001,"&gt;="&amp;$C$7,BD!$A$3:$A$5001,"&lt;="&amp;$B247,BD!$X$3:$X$5001,"&lt;&gt;")=0,"",SUMIFS(BD!$X$3:$X$5001,BD!$B$3:$B$5001,Q$245,BD!$A$3:$A$5001,_xlfn.MAXIFS(BD!$A$3:$A$5001,BD!$B$3:$B$5001,Q$245,BD!$A$3:$A$5001,"&gt;="&amp;$C$7,BD!$A$3:$A$5001,"&lt;="&amp;$B247,BD!$X$3:$X$5001,"&lt;&gt;"))))</f>
        <v/>
      </c>
      <c r="R247" s="54" t="str">
        <f>IF(OR($B247="",$A247&gt;$B$9,R$245=""),"",IF(COUNTIFS(BD!$B$3:$B$5001,R$245,BD!$A$3:$A$5001,"&gt;="&amp;$C$7,BD!$A$3:$A$5001,"&lt;="&amp;$B247,BD!$X$3:$X$5001,"&lt;&gt;")=0,"",SUMIFS(BD!$X$3:$X$5001,BD!$B$3:$B$5001,R$245,BD!$A$3:$A$5001,_xlfn.MAXIFS(BD!$A$3:$A$5001,BD!$B$3:$B$5001,R$245,BD!$A$3:$A$5001,"&gt;="&amp;$C$7,BD!$A$3:$A$5001,"&lt;="&amp;$B247,BD!$X$3:$X$5001,"&lt;&gt;"))))</f>
        <v/>
      </c>
      <c r="S247" s="54" t="str">
        <f>IF(OR($B247="",$A247&gt;$B$9,S$245=""),"",IF(COUNTIFS(BD!$B$3:$B$5001,S$245,BD!$A$3:$A$5001,"&gt;="&amp;$C$7,BD!$A$3:$A$5001,"&lt;="&amp;$B247,BD!$X$3:$X$5001,"&lt;&gt;")=0,"",SUMIFS(BD!$X$3:$X$5001,BD!$B$3:$B$5001,S$245,BD!$A$3:$A$5001,_xlfn.MAXIFS(BD!$A$3:$A$5001,BD!$B$3:$B$5001,S$245,BD!$A$3:$A$5001,"&gt;="&amp;$C$7,BD!$A$3:$A$5001,"&lt;="&amp;$B247,BD!$X$3:$X$5001,"&lt;&gt;"))))</f>
        <v/>
      </c>
      <c r="T247" s="54" t="str">
        <f>IF(OR($B247="",$A247&gt;$B$9,T$245=""),"",IF(COUNTIFS(BD!$B$3:$B$5001,T$245,BD!$A$3:$A$5001,"&gt;="&amp;$C$7,BD!$A$3:$A$5001,"&lt;="&amp;$B247,BD!$X$3:$X$5001,"&lt;&gt;")=0,"",SUMIFS(BD!$X$3:$X$5001,BD!$B$3:$B$5001,T$245,BD!$A$3:$A$5001,_xlfn.MAXIFS(BD!$A$3:$A$5001,BD!$B$3:$B$5001,T$245,BD!$A$3:$A$5001,"&gt;="&amp;$C$7,BD!$A$3:$A$5001,"&lt;="&amp;$B247,BD!$X$3:$X$5001,"&lt;&gt;"))))</f>
        <v/>
      </c>
      <c r="U247" s="54" t="str">
        <f>IF(OR($B247="",$A247&gt;$B$9,U$245=""),"",IF(COUNTIFS(BD!$B$3:$B$5001,U$245,BD!$A$3:$A$5001,"&gt;="&amp;$C$7,BD!$A$3:$A$5001,"&lt;="&amp;$B247,BD!$X$3:$X$5001,"&lt;&gt;")=0,"",SUMIFS(BD!$X$3:$X$5001,BD!$B$3:$B$5001,U$245,BD!$A$3:$A$5001,_xlfn.MAXIFS(BD!$A$3:$A$5001,BD!$B$3:$B$5001,U$245,BD!$A$3:$A$5001,"&gt;="&amp;$C$7,BD!$A$3:$A$5001,"&lt;="&amp;$B247,BD!$X$3:$X$5001,"&lt;&gt;"))))</f>
        <v/>
      </c>
      <c r="V247" s="54" t="str">
        <f>IF(OR($B247="",$A247&gt;$B$9,V$245=""),"",IF(COUNTIFS(BD!$B$3:$B$5001,V$245,BD!$A$3:$A$5001,"&gt;="&amp;$C$7,BD!$A$3:$A$5001,"&lt;="&amp;$B247,BD!$X$3:$X$5001,"&lt;&gt;")=0,"",SUMIFS(BD!$X$3:$X$5001,BD!$B$3:$B$5001,V$245,BD!$A$3:$A$5001,_xlfn.MAXIFS(BD!$A$3:$A$5001,BD!$B$3:$B$5001,V$245,BD!$A$3:$A$5001,"&gt;="&amp;$C$7,BD!$A$3:$A$5001,"&lt;="&amp;$B247,BD!$X$3:$X$5001,"&lt;&gt;"))))</f>
        <v/>
      </c>
    </row>
    <row r="248">
      <c r="A248" s="48">
        <v>3</v>
      </c>
      <c r="B248" s="53">
        <f>$B$14</f>
        <v>46298</v>
      </c>
      <c r="C248" s="54" t="str">
        <f>IF(OR($B248="",$A248&gt;$B$9,C$245=""),"",IF(COUNTIFS(BD!$B$3:$B$5001,C$245,BD!$A$3:$A$5001,"&gt;="&amp;$C$7,BD!$A$3:$A$5001,"&lt;="&amp;$B248,BD!$X$3:$X$5001,"&lt;&gt;")=0,"",SUMIFS(BD!$X$3:$X$5001,BD!$B$3:$B$5001,C$245,BD!$A$3:$A$5001,_xlfn.MAXIFS(BD!$A$3:$A$5001,BD!$B$3:$B$5001,C$245,BD!$A$3:$A$5001,"&gt;="&amp;$C$7,BD!$A$3:$A$5001,"&lt;="&amp;$B248,BD!$X$3:$X$5001,"&lt;&gt;"))))</f>
        <v/>
      </c>
      <c r="D248" s="54" t="str">
        <f>IF(OR($B248="",$A248&gt;$B$9,D$245=""),"",IF(COUNTIFS(BD!$B$3:$B$5001,D$245,BD!$A$3:$A$5001,"&gt;="&amp;$C$7,BD!$A$3:$A$5001,"&lt;="&amp;$B248,BD!$X$3:$X$5001,"&lt;&gt;")=0,"",SUMIFS(BD!$X$3:$X$5001,BD!$B$3:$B$5001,D$245,BD!$A$3:$A$5001,_xlfn.MAXIFS(BD!$A$3:$A$5001,BD!$B$3:$B$5001,D$245,BD!$A$3:$A$5001,"&gt;="&amp;$C$7,BD!$A$3:$A$5001,"&lt;="&amp;$B248,BD!$X$3:$X$5001,"&lt;&gt;"))))</f>
        <v/>
      </c>
      <c r="E248" s="54" t="str">
        <f>IF(OR($B248="",$A248&gt;$B$9,E$245=""),"",IF(COUNTIFS(BD!$B$3:$B$5001,E$245,BD!$A$3:$A$5001,"&gt;="&amp;$C$7,BD!$A$3:$A$5001,"&lt;="&amp;$B248,BD!$X$3:$X$5001,"&lt;&gt;")=0,"",SUMIFS(BD!$X$3:$X$5001,BD!$B$3:$B$5001,E$245,BD!$A$3:$A$5001,_xlfn.MAXIFS(BD!$A$3:$A$5001,BD!$B$3:$B$5001,E$245,BD!$A$3:$A$5001,"&gt;="&amp;$C$7,BD!$A$3:$A$5001,"&lt;="&amp;$B248,BD!$X$3:$X$5001,"&lt;&gt;"))))</f>
        <v/>
      </c>
      <c r="F248" s="54" t="str">
        <f>IF(OR($B248="",$A248&gt;$B$9,F$245=""),"",IF(COUNTIFS(BD!$B$3:$B$5001,F$245,BD!$A$3:$A$5001,"&gt;="&amp;$C$7,BD!$A$3:$A$5001,"&lt;="&amp;$B248,BD!$X$3:$X$5001,"&lt;&gt;")=0,"",SUMIFS(BD!$X$3:$X$5001,BD!$B$3:$B$5001,F$245,BD!$A$3:$A$5001,_xlfn.MAXIFS(BD!$A$3:$A$5001,BD!$B$3:$B$5001,F$245,BD!$A$3:$A$5001,"&gt;="&amp;$C$7,BD!$A$3:$A$5001,"&lt;="&amp;$B248,BD!$X$3:$X$5001,"&lt;&gt;"))))</f>
        <v/>
      </c>
      <c r="G248" s="54" t="str">
        <f>IF(OR($B248="",$A248&gt;$B$9,G$245=""),"",IF(COUNTIFS(BD!$B$3:$B$5001,G$245,BD!$A$3:$A$5001,"&gt;="&amp;$C$7,BD!$A$3:$A$5001,"&lt;="&amp;$B248,BD!$X$3:$X$5001,"&lt;&gt;")=0,"",SUMIFS(BD!$X$3:$X$5001,BD!$B$3:$B$5001,G$245,BD!$A$3:$A$5001,_xlfn.MAXIFS(BD!$A$3:$A$5001,BD!$B$3:$B$5001,G$245,BD!$A$3:$A$5001,"&gt;="&amp;$C$7,BD!$A$3:$A$5001,"&lt;="&amp;$B248,BD!$X$3:$X$5001,"&lt;&gt;"))))</f>
        <v/>
      </c>
      <c r="H248" s="54" t="str">
        <f>IF(OR($B248="",$A248&gt;$B$9,H$245=""),"",IF(COUNTIFS(BD!$B$3:$B$5001,H$245,BD!$A$3:$A$5001,"&gt;="&amp;$C$7,BD!$A$3:$A$5001,"&lt;="&amp;$B248,BD!$X$3:$X$5001,"&lt;&gt;")=0,"",SUMIFS(BD!$X$3:$X$5001,BD!$B$3:$B$5001,H$245,BD!$A$3:$A$5001,_xlfn.MAXIFS(BD!$A$3:$A$5001,BD!$B$3:$B$5001,H$245,BD!$A$3:$A$5001,"&gt;="&amp;$C$7,BD!$A$3:$A$5001,"&lt;="&amp;$B248,BD!$X$3:$X$5001,"&lt;&gt;"))))</f>
        <v/>
      </c>
      <c r="I248" s="54" t="str">
        <f>IF(OR($B248="",$A248&gt;$B$9,I$245=""),"",IF(COUNTIFS(BD!$B$3:$B$5001,I$245,BD!$A$3:$A$5001,"&gt;="&amp;$C$7,BD!$A$3:$A$5001,"&lt;="&amp;$B248,BD!$X$3:$X$5001,"&lt;&gt;")=0,"",SUMIFS(BD!$X$3:$X$5001,BD!$B$3:$B$5001,I$245,BD!$A$3:$A$5001,_xlfn.MAXIFS(BD!$A$3:$A$5001,BD!$B$3:$B$5001,I$245,BD!$A$3:$A$5001,"&gt;="&amp;$C$7,BD!$A$3:$A$5001,"&lt;="&amp;$B248,BD!$X$3:$X$5001,"&lt;&gt;"))))</f>
        <v/>
      </c>
      <c r="J248" s="54" t="str">
        <f>IF(OR($B248="",$A248&gt;$B$9,J$245=""),"",IF(COUNTIFS(BD!$B$3:$B$5001,J$245,BD!$A$3:$A$5001,"&gt;="&amp;$C$7,BD!$A$3:$A$5001,"&lt;="&amp;$B248,BD!$X$3:$X$5001,"&lt;&gt;")=0,"",SUMIFS(BD!$X$3:$X$5001,BD!$B$3:$B$5001,J$245,BD!$A$3:$A$5001,_xlfn.MAXIFS(BD!$A$3:$A$5001,BD!$B$3:$B$5001,J$245,BD!$A$3:$A$5001,"&gt;="&amp;$C$7,BD!$A$3:$A$5001,"&lt;="&amp;$B248,BD!$X$3:$X$5001,"&lt;&gt;"))))</f>
        <v/>
      </c>
      <c r="K248" s="54" t="str">
        <f>IF(OR($B248="",$A248&gt;$B$9,K$245=""),"",IF(COUNTIFS(BD!$B$3:$B$5001,K$245,BD!$A$3:$A$5001,"&gt;="&amp;$C$7,BD!$A$3:$A$5001,"&lt;="&amp;$B248,BD!$X$3:$X$5001,"&lt;&gt;")=0,"",SUMIFS(BD!$X$3:$X$5001,BD!$B$3:$B$5001,K$245,BD!$A$3:$A$5001,_xlfn.MAXIFS(BD!$A$3:$A$5001,BD!$B$3:$B$5001,K$245,BD!$A$3:$A$5001,"&gt;="&amp;$C$7,BD!$A$3:$A$5001,"&lt;="&amp;$B248,BD!$X$3:$X$5001,"&lt;&gt;"))))</f>
        <v/>
      </c>
      <c r="L248" s="54" t="str">
        <f>IF(OR($B248="",$A248&gt;$B$9,L$245=""),"",IF(COUNTIFS(BD!$B$3:$B$5001,L$245,BD!$A$3:$A$5001,"&gt;="&amp;$C$7,BD!$A$3:$A$5001,"&lt;="&amp;$B248,BD!$X$3:$X$5001,"&lt;&gt;")=0,"",SUMIFS(BD!$X$3:$X$5001,BD!$B$3:$B$5001,L$245,BD!$A$3:$A$5001,_xlfn.MAXIFS(BD!$A$3:$A$5001,BD!$B$3:$B$5001,L$245,BD!$A$3:$A$5001,"&gt;="&amp;$C$7,BD!$A$3:$A$5001,"&lt;="&amp;$B248,BD!$X$3:$X$5001,"&lt;&gt;"))))</f>
        <v/>
      </c>
      <c r="M248" s="54" t="str">
        <f>IF(OR($B248="",$A248&gt;$B$9,M$245=""),"",IF(COUNTIFS(BD!$B$3:$B$5001,M$245,BD!$A$3:$A$5001,"&gt;="&amp;$C$7,BD!$A$3:$A$5001,"&lt;="&amp;$B248,BD!$X$3:$X$5001,"&lt;&gt;")=0,"",SUMIFS(BD!$X$3:$X$5001,BD!$B$3:$B$5001,M$245,BD!$A$3:$A$5001,_xlfn.MAXIFS(BD!$A$3:$A$5001,BD!$B$3:$B$5001,M$245,BD!$A$3:$A$5001,"&gt;="&amp;$C$7,BD!$A$3:$A$5001,"&lt;="&amp;$B248,BD!$X$3:$X$5001,"&lt;&gt;"))))</f>
        <v/>
      </c>
      <c r="N248" s="54" t="str">
        <f>IF(OR($B248="",$A248&gt;$B$9,N$245=""),"",IF(COUNTIFS(BD!$B$3:$B$5001,N$245,BD!$A$3:$A$5001,"&gt;="&amp;$C$7,BD!$A$3:$A$5001,"&lt;="&amp;$B248,BD!$X$3:$X$5001,"&lt;&gt;")=0,"",SUMIFS(BD!$X$3:$X$5001,BD!$B$3:$B$5001,N$245,BD!$A$3:$A$5001,_xlfn.MAXIFS(BD!$A$3:$A$5001,BD!$B$3:$B$5001,N$245,BD!$A$3:$A$5001,"&gt;="&amp;$C$7,BD!$A$3:$A$5001,"&lt;="&amp;$B248,BD!$X$3:$X$5001,"&lt;&gt;"))))</f>
        <v/>
      </c>
      <c r="O248" s="54" t="str">
        <f>IF(OR($B248="",$A248&gt;$B$9,O$245=""),"",IF(COUNTIFS(BD!$B$3:$B$5001,O$245,BD!$A$3:$A$5001,"&gt;="&amp;$C$7,BD!$A$3:$A$5001,"&lt;="&amp;$B248,BD!$X$3:$X$5001,"&lt;&gt;")=0,"",SUMIFS(BD!$X$3:$X$5001,BD!$B$3:$B$5001,O$245,BD!$A$3:$A$5001,_xlfn.MAXIFS(BD!$A$3:$A$5001,BD!$B$3:$B$5001,O$245,BD!$A$3:$A$5001,"&gt;="&amp;$C$7,BD!$A$3:$A$5001,"&lt;="&amp;$B248,BD!$X$3:$X$5001,"&lt;&gt;"))))</f>
        <v/>
      </c>
      <c r="P248" s="54" t="str">
        <f>IF(OR($B248="",$A248&gt;$B$9,P$245=""),"",IF(COUNTIFS(BD!$B$3:$B$5001,P$245,BD!$A$3:$A$5001,"&gt;="&amp;$C$7,BD!$A$3:$A$5001,"&lt;="&amp;$B248,BD!$X$3:$X$5001,"&lt;&gt;")=0,"",SUMIFS(BD!$X$3:$X$5001,BD!$B$3:$B$5001,P$245,BD!$A$3:$A$5001,_xlfn.MAXIFS(BD!$A$3:$A$5001,BD!$B$3:$B$5001,P$245,BD!$A$3:$A$5001,"&gt;="&amp;$C$7,BD!$A$3:$A$5001,"&lt;="&amp;$B248,BD!$X$3:$X$5001,"&lt;&gt;"))))</f>
        <v/>
      </c>
      <c r="Q248" s="54" t="str">
        <f>IF(OR($B248="",$A248&gt;$B$9,Q$245=""),"",IF(COUNTIFS(BD!$B$3:$B$5001,Q$245,BD!$A$3:$A$5001,"&gt;="&amp;$C$7,BD!$A$3:$A$5001,"&lt;="&amp;$B248,BD!$X$3:$X$5001,"&lt;&gt;")=0,"",SUMIFS(BD!$X$3:$X$5001,BD!$B$3:$B$5001,Q$245,BD!$A$3:$A$5001,_xlfn.MAXIFS(BD!$A$3:$A$5001,BD!$B$3:$B$5001,Q$245,BD!$A$3:$A$5001,"&gt;="&amp;$C$7,BD!$A$3:$A$5001,"&lt;="&amp;$B248,BD!$X$3:$X$5001,"&lt;&gt;"))))</f>
        <v/>
      </c>
      <c r="R248" s="54" t="str">
        <f>IF(OR($B248="",$A248&gt;$B$9,R$245=""),"",IF(COUNTIFS(BD!$B$3:$B$5001,R$245,BD!$A$3:$A$5001,"&gt;="&amp;$C$7,BD!$A$3:$A$5001,"&lt;="&amp;$B248,BD!$X$3:$X$5001,"&lt;&gt;")=0,"",SUMIFS(BD!$X$3:$X$5001,BD!$B$3:$B$5001,R$245,BD!$A$3:$A$5001,_xlfn.MAXIFS(BD!$A$3:$A$5001,BD!$B$3:$B$5001,R$245,BD!$A$3:$A$5001,"&gt;="&amp;$C$7,BD!$A$3:$A$5001,"&lt;="&amp;$B248,BD!$X$3:$X$5001,"&lt;&gt;"))))</f>
        <v/>
      </c>
      <c r="S248" s="54" t="str">
        <f>IF(OR($B248="",$A248&gt;$B$9,S$245=""),"",IF(COUNTIFS(BD!$B$3:$B$5001,S$245,BD!$A$3:$A$5001,"&gt;="&amp;$C$7,BD!$A$3:$A$5001,"&lt;="&amp;$B248,BD!$X$3:$X$5001,"&lt;&gt;")=0,"",SUMIFS(BD!$X$3:$X$5001,BD!$B$3:$B$5001,S$245,BD!$A$3:$A$5001,_xlfn.MAXIFS(BD!$A$3:$A$5001,BD!$B$3:$B$5001,S$245,BD!$A$3:$A$5001,"&gt;="&amp;$C$7,BD!$A$3:$A$5001,"&lt;="&amp;$B248,BD!$X$3:$X$5001,"&lt;&gt;"))))</f>
        <v/>
      </c>
      <c r="T248" s="54" t="str">
        <f>IF(OR($B248="",$A248&gt;$B$9,T$245=""),"",IF(COUNTIFS(BD!$B$3:$B$5001,T$245,BD!$A$3:$A$5001,"&gt;="&amp;$C$7,BD!$A$3:$A$5001,"&lt;="&amp;$B248,BD!$X$3:$X$5001,"&lt;&gt;")=0,"",SUMIFS(BD!$X$3:$X$5001,BD!$B$3:$B$5001,T$245,BD!$A$3:$A$5001,_xlfn.MAXIFS(BD!$A$3:$A$5001,BD!$B$3:$B$5001,T$245,BD!$A$3:$A$5001,"&gt;="&amp;$C$7,BD!$A$3:$A$5001,"&lt;="&amp;$B248,BD!$X$3:$X$5001,"&lt;&gt;"))))</f>
        <v/>
      </c>
      <c r="U248" s="54" t="str">
        <f>IF(OR($B248="",$A248&gt;$B$9,U$245=""),"",IF(COUNTIFS(BD!$B$3:$B$5001,U$245,BD!$A$3:$A$5001,"&gt;="&amp;$C$7,BD!$A$3:$A$5001,"&lt;="&amp;$B248,BD!$X$3:$X$5001,"&lt;&gt;")=0,"",SUMIFS(BD!$X$3:$X$5001,BD!$B$3:$B$5001,U$245,BD!$A$3:$A$5001,_xlfn.MAXIFS(BD!$A$3:$A$5001,BD!$B$3:$B$5001,U$245,BD!$A$3:$A$5001,"&gt;="&amp;$C$7,BD!$A$3:$A$5001,"&lt;="&amp;$B248,BD!$X$3:$X$5001,"&lt;&gt;"))))</f>
        <v/>
      </c>
      <c r="V248" s="54" t="str">
        <f>IF(OR($B248="",$A248&gt;$B$9,V$245=""),"",IF(COUNTIFS(BD!$B$3:$B$5001,V$245,BD!$A$3:$A$5001,"&gt;="&amp;$C$7,BD!$A$3:$A$5001,"&lt;="&amp;$B248,BD!$X$3:$X$5001,"&lt;&gt;")=0,"",SUMIFS(BD!$X$3:$X$5001,BD!$B$3:$B$5001,V$245,BD!$A$3:$A$5001,_xlfn.MAXIFS(BD!$A$3:$A$5001,BD!$B$3:$B$5001,V$245,BD!$A$3:$A$5001,"&gt;="&amp;$C$7,BD!$A$3:$A$5001,"&lt;="&amp;$B248,BD!$X$3:$X$5001,"&lt;&gt;"))))</f>
        <v/>
      </c>
    </row>
    <row r="249">
      <c r="A249" s="48">
        <v>4</v>
      </c>
      <c r="B249" s="53">
        <f>$B$15</f>
        <v>46299</v>
      </c>
      <c r="C249" s="54" t="str">
        <f>IF(OR($B249="",$A249&gt;$B$9,C$245=""),"",IF(COUNTIFS(BD!$B$3:$B$5001,C$245,BD!$A$3:$A$5001,"&gt;="&amp;$C$7,BD!$A$3:$A$5001,"&lt;="&amp;$B249,BD!$X$3:$X$5001,"&lt;&gt;")=0,"",SUMIFS(BD!$X$3:$X$5001,BD!$B$3:$B$5001,C$245,BD!$A$3:$A$5001,_xlfn.MAXIFS(BD!$A$3:$A$5001,BD!$B$3:$B$5001,C$245,BD!$A$3:$A$5001,"&gt;="&amp;$C$7,BD!$A$3:$A$5001,"&lt;="&amp;$B249,BD!$X$3:$X$5001,"&lt;&gt;"))))</f>
        <v/>
      </c>
      <c r="D249" s="54" t="str">
        <f>IF(OR($B249="",$A249&gt;$B$9,D$245=""),"",IF(COUNTIFS(BD!$B$3:$B$5001,D$245,BD!$A$3:$A$5001,"&gt;="&amp;$C$7,BD!$A$3:$A$5001,"&lt;="&amp;$B249,BD!$X$3:$X$5001,"&lt;&gt;")=0,"",SUMIFS(BD!$X$3:$X$5001,BD!$B$3:$B$5001,D$245,BD!$A$3:$A$5001,_xlfn.MAXIFS(BD!$A$3:$A$5001,BD!$B$3:$B$5001,D$245,BD!$A$3:$A$5001,"&gt;="&amp;$C$7,BD!$A$3:$A$5001,"&lt;="&amp;$B249,BD!$X$3:$X$5001,"&lt;&gt;"))))</f>
        <v/>
      </c>
      <c r="E249" s="54" t="str">
        <f>IF(OR($B249="",$A249&gt;$B$9,E$245=""),"",IF(COUNTIFS(BD!$B$3:$B$5001,E$245,BD!$A$3:$A$5001,"&gt;="&amp;$C$7,BD!$A$3:$A$5001,"&lt;="&amp;$B249,BD!$X$3:$X$5001,"&lt;&gt;")=0,"",SUMIFS(BD!$X$3:$X$5001,BD!$B$3:$B$5001,E$245,BD!$A$3:$A$5001,_xlfn.MAXIFS(BD!$A$3:$A$5001,BD!$B$3:$B$5001,E$245,BD!$A$3:$A$5001,"&gt;="&amp;$C$7,BD!$A$3:$A$5001,"&lt;="&amp;$B249,BD!$X$3:$X$5001,"&lt;&gt;"))))</f>
        <v/>
      </c>
      <c r="F249" s="54" t="str">
        <f>IF(OR($B249="",$A249&gt;$B$9,F$245=""),"",IF(COUNTIFS(BD!$B$3:$B$5001,F$245,BD!$A$3:$A$5001,"&gt;="&amp;$C$7,BD!$A$3:$A$5001,"&lt;="&amp;$B249,BD!$X$3:$X$5001,"&lt;&gt;")=0,"",SUMIFS(BD!$X$3:$X$5001,BD!$B$3:$B$5001,F$245,BD!$A$3:$A$5001,_xlfn.MAXIFS(BD!$A$3:$A$5001,BD!$B$3:$B$5001,F$245,BD!$A$3:$A$5001,"&gt;="&amp;$C$7,BD!$A$3:$A$5001,"&lt;="&amp;$B249,BD!$X$3:$X$5001,"&lt;&gt;"))))</f>
        <v/>
      </c>
      <c r="G249" s="54" t="str">
        <f>IF(OR($B249="",$A249&gt;$B$9,G$245=""),"",IF(COUNTIFS(BD!$B$3:$B$5001,G$245,BD!$A$3:$A$5001,"&gt;="&amp;$C$7,BD!$A$3:$A$5001,"&lt;="&amp;$B249,BD!$X$3:$X$5001,"&lt;&gt;")=0,"",SUMIFS(BD!$X$3:$X$5001,BD!$B$3:$B$5001,G$245,BD!$A$3:$A$5001,_xlfn.MAXIFS(BD!$A$3:$A$5001,BD!$B$3:$B$5001,G$245,BD!$A$3:$A$5001,"&gt;="&amp;$C$7,BD!$A$3:$A$5001,"&lt;="&amp;$B249,BD!$X$3:$X$5001,"&lt;&gt;"))))</f>
        <v/>
      </c>
      <c r="H249" s="54" t="str">
        <f>IF(OR($B249="",$A249&gt;$B$9,H$245=""),"",IF(COUNTIFS(BD!$B$3:$B$5001,H$245,BD!$A$3:$A$5001,"&gt;="&amp;$C$7,BD!$A$3:$A$5001,"&lt;="&amp;$B249,BD!$X$3:$X$5001,"&lt;&gt;")=0,"",SUMIFS(BD!$X$3:$X$5001,BD!$B$3:$B$5001,H$245,BD!$A$3:$A$5001,_xlfn.MAXIFS(BD!$A$3:$A$5001,BD!$B$3:$B$5001,H$245,BD!$A$3:$A$5001,"&gt;="&amp;$C$7,BD!$A$3:$A$5001,"&lt;="&amp;$B249,BD!$X$3:$X$5001,"&lt;&gt;"))))</f>
        <v/>
      </c>
      <c r="I249" s="54" t="str">
        <f>IF(OR($B249="",$A249&gt;$B$9,I$245=""),"",IF(COUNTIFS(BD!$B$3:$B$5001,I$245,BD!$A$3:$A$5001,"&gt;="&amp;$C$7,BD!$A$3:$A$5001,"&lt;="&amp;$B249,BD!$X$3:$X$5001,"&lt;&gt;")=0,"",SUMIFS(BD!$X$3:$X$5001,BD!$B$3:$B$5001,I$245,BD!$A$3:$A$5001,_xlfn.MAXIFS(BD!$A$3:$A$5001,BD!$B$3:$B$5001,I$245,BD!$A$3:$A$5001,"&gt;="&amp;$C$7,BD!$A$3:$A$5001,"&lt;="&amp;$B249,BD!$X$3:$X$5001,"&lt;&gt;"))))</f>
        <v/>
      </c>
      <c r="J249" s="54" t="str">
        <f>IF(OR($B249="",$A249&gt;$B$9,J$245=""),"",IF(COUNTIFS(BD!$B$3:$B$5001,J$245,BD!$A$3:$A$5001,"&gt;="&amp;$C$7,BD!$A$3:$A$5001,"&lt;="&amp;$B249,BD!$X$3:$X$5001,"&lt;&gt;")=0,"",SUMIFS(BD!$X$3:$X$5001,BD!$B$3:$B$5001,J$245,BD!$A$3:$A$5001,_xlfn.MAXIFS(BD!$A$3:$A$5001,BD!$B$3:$B$5001,J$245,BD!$A$3:$A$5001,"&gt;="&amp;$C$7,BD!$A$3:$A$5001,"&lt;="&amp;$B249,BD!$X$3:$X$5001,"&lt;&gt;"))))</f>
        <v/>
      </c>
      <c r="K249" s="54" t="str">
        <f>IF(OR($B249="",$A249&gt;$B$9,K$245=""),"",IF(COUNTIFS(BD!$B$3:$B$5001,K$245,BD!$A$3:$A$5001,"&gt;="&amp;$C$7,BD!$A$3:$A$5001,"&lt;="&amp;$B249,BD!$X$3:$X$5001,"&lt;&gt;")=0,"",SUMIFS(BD!$X$3:$X$5001,BD!$B$3:$B$5001,K$245,BD!$A$3:$A$5001,_xlfn.MAXIFS(BD!$A$3:$A$5001,BD!$B$3:$B$5001,K$245,BD!$A$3:$A$5001,"&gt;="&amp;$C$7,BD!$A$3:$A$5001,"&lt;="&amp;$B249,BD!$X$3:$X$5001,"&lt;&gt;"))))</f>
        <v/>
      </c>
      <c r="L249" s="54" t="str">
        <f>IF(OR($B249="",$A249&gt;$B$9,L$245=""),"",IF(COUNTIFS(BD!$B$3:$B$5001,L$245,BD!$A$3:$A$5001,"&gt;="&amp;$C$7,BD!$A$3:$A$5001,"&lt;="&amp;$B249,BD!$X$3:$X$5001,"&lt;&gt;")=0,"",SUMIFS(BD!$X$3:$X$5001,BD!$B$3:$B$5001,L$245,BD!$A$3:$A$5001,_xlfn.MAXIFS(BD!$A$3:$A$5001,BD!$B$3:$B$5001,L$245,BD!$A$3:$A$5001,"&gt;="&amp;$C$7,BD!$A$3:$A$5001,"&lt;="&amp;$B249,BD!$X$3:$X$5001,"&lt;&gt;"))))</f>
        <v/>
      </c>
      <c r="M249" s="54" t="str">
        <f>IF(OR($B249="",$A249&gt;$B$9,M$245=""),"",IF(COUNTIFS(BD!$B$3:$B$5001,M$245,BD!$A$3:$A$5001,"&gt;="&amp;$C$7,BD!$A$3:$A$5001,"&lt;="&amp;$B249,BD!$X$3:$X$5001,"&lt;&gt;")=0,"",SUMIFS(BD!$X$3:$X$5001,BD!$B$3:$B$5001,M$245,BD!$A$3:$A$5001,_xlfn.MAXIFS(BD!$A$3:$A$5001,BD!$B$3:$B$5001,M$245,BD!$A$3:$A$5001,"&gt;="&amp;$C$7,BD!$A$3:$A$5001,"&lt;="&amp;$B249,BD!$X$3:$X$5001,"&lt;&gt;"))))</f>
        <v/>
      </c>
      <c r="N249" s="54" t="str">
        <f>IF(OR($B249="",$A249&gt;$B$9,N$245=""),"",IF(COUNTIFS(BD!$B$3:$B$5001,N$245,BD!$A$3:$A$5001,"&gt;="&amp;$C$7,BD!$A$3:$A$5001,"&lt;="&amp;$B249,BD!$X$3:$X$5001,"&lt;&gt;")=0,"",SUMIFS(BD!$X$3:$X$5001,BD!$B$3:$B$5001,N$245,BD!$A$3:$A$5001,_xlfn.MAXIFS(BD!$A$3:$A$5001,BD!$B$3:$B$5001,N$245,BD!$A$3:$A$5001,"&gt;="&amp;$C$7,BD!$A$3:$A$5001,"&lt;="&amp;$B249,BD!$X$3:$X$5001,"&lt;&gt;"))))</f>
        <v/>
      </c>
      <c r="O249" s="54" t="str">
        <f>IF(OR($B249="",$A249&gt;$B$9,O$245=""),"",IF(COUNTIFS(BD!$B$3:$B$5001,O$245,BD!$A$3:$A$5001,"&gt;="&amp;$C$7,BD!$A$3:$A$5001,"&lt;="&amp;$B249,BD!$X$3:$X$5001,"&lt;&gt;")=0,"",SUMIFS(BD!$X$3:$X$5001,BD!$B$3:$B$5001,O$245,BD!$A$3:$A$5001,_xlfn.MAXIFS(BD!$A$3:$A$5001,BD!$B$3:$B$5001,O$245,BD!$A$3:$A$5001,"&gt;="&amp;$C$7,BD!$A$3:$A$5001,"&lt;="&amp;$B249,BD!$X$3:$X$5001,"&lt;&gt;"))))</f>
        <v/>
      </c>
      <c r="P249" s="54" t="str">
        <f>IF(OR($B249="",$A249&gt;$B$9,P$245=""),"",IF(COUNTIFS(BD!$B$3:$B$5001,P$245,BD!$A$3:$A$5001,"&gt;="&amp;$C$7,BD!$A$3:$A$5001,"&lt;="&amp;$B249,BD!$X$3:$X$5001,"&lt;&gt;")=0,"",SUMIFS(BD!$X$3:$X$5001,BD!$B$3:$B$5001,P$245,BD!$A$3:$A$5001,_xlfn.MAXIFS(BD!$A$3:$A$5001,BD!$B$3:$B$5001,P$245,BD!$A$3:$A$5001,"&gt;="&amp;$C$7,BD!$A$3:$A$5001,"&lt;="&amp;$B249,BD!$X$3:$X$5001,"&lt;&gt;"))))</f>
        <v/>
      </c>
      <c r="Q249" s="54" t="str">
        <f>IF(OR($B249="",$A249&gt;$B$9,Q$245=""),"",IF(COUNTIFS(BD!$B$3:$B$5001,Q$245,BD!$A$3:$A$5001,"&gt;="&amp;$C$7,BD!$A$3:$A$5001,"&lt;="&amp;$B249,BD!$X$3:$X$5001,"&lt;&gt;")=0,"",SUMIFS(BD!$X$3:$X$5001,BD!$B$3:$B$5001,Q$245,BD!$A$3:$A$5001,_xlfn.MAXIFS(BD!$A$3:$A$5001,BD!$B$3:$B$5001,Q$245,BD!$A$3:$A$5001,"&gt;="&amp;$C$7,BD!$A$3:$A$5001,"&lt;="&amp;$B249,BD!$X$3:$X$5001,"&lt;&gt;"))))</f>
        <v/>
      </c>
      <c r="R249" s="54" t="str">
        <f>IF(OR($B249="",$A249&gt;$B$9,R$245=""),"",IF(COUNTIFS(BD!$B$3:$B$5001,R$245,BD!$A$3:$A$5001,"&gt;="&amp;$C$7,BD!$A$3:$A$5001,"&lt;="&amp;$B249,BD!$X$3:$X$5001,"&lt;&gt;")=0,"",SUMIFS(BD!$X$3:$X$5001,BD!$B$3:$B$5001,R$245,BD!$A$3:$A$5001,_xlfn.MAXIFS(BD!$A$3:$A$5001,BD!$B$3:$B$5001,R$245,BD!$A$3:$A$5001,"&gt;="&amp;$C$7,BD!$A$3:$A$5001,"&lt;="&amp;$B249,BD!$X$3:$X$5001,"&lt;&gt;"))))</f>
        <v/>
      </c>
      <c r="S249" s="54" t="str">
        <f>IF(OR($B249="",$A249&gt;$B$9,S$245=""),"",IF(COUNTIFS(BD!$B$3:$B$5001,S$245,BD!$A$3:$A$5001,"&gt;="&amp;$C$7,BD!$A$3:$A$5001,"&lt;="&amp;$B249,BD!$X$3:$X$5001,"&lt;&gt;")=0,"",SUMIFS(BD!$X$3:$X$5001,BD!$B$3:$B$5001,S$245,BD!$A$3:$A$5001,_xlfn.MAXIFS(BD!$A$3:$A$5001,BD!$B$3:$B$5001,S$245,BD!$A$3:$A$5001,"&gt;="&amp;$C$7,BD!$A$3:$A$5001,"&lt;="&amp;$B249,BD!$X$3:$X$5001,"&lt;&gt;"))))</f>
        <v/>
      </c>
      <c r="T249" s="54" t="str">
        <f>IF(OR($B249="",$A249&gt;$B$9,T$245=""),"",IF(COUNTIFS(BD!$B$3:$B$5001,T$245,BD!$A$3:$A$5001,"&gt;="&amp;$C$7,BD!$A$3:$A$5001,"&lt;="&amp;$B249,BD!$X$3:$X$5001,"&lt;&gt;")=0,"",SUMIFS(BD!$X$3:$X$5001,BD!$B$3:$B$5001,T$245,BD!$A$3:$A$5001,_xlfn.MAXIFS(BD!$A$3:$A$5001,BD!$B$3:$B$5001,T$245,BD!$A$3:$A$5001,"&gt;="&amp;$C$7,BD!$A$3:$A$5001,"&lt;="&amp;$B249,BD!$X$3:$X$5001,"&lt;&gt;"))))</f>
        <v/>
      </c>
      <c r="U249" s="54" t="str">
        <f>IF(OR($B249="",$A249&gt;$B$9,U$245=""),"",IF(COUNTIFS(BD!$B$3:$B$5001,U$245,BD!$A$3:$A$5001,"&gt;="&amp;$C$7,BD!$A$3:$A$5001,"&lt;="&amp;$B249,BD!$X$3:$X$5001,"&lt;&gt;")=0,"",SUMIFS(BD!$X$3:$X$5001,BD!$B$3:$B$5001,U$245,BD!$A$3:$A$5001,_xlfn.MAXIFS(BD!$A$3:$A$5001,BD!$B$3:$B$5001,U$245,BD!$A$3:$A$5001,"&gt;="&amp;$C$7,BD!$A$3:$A$5001,"&lt;="&amp;$B249,BD!$X$3:$X$5001,"&lt;&gt;"))))</f>
        <v/>
      </c>
      <c r="V249" s="54" t="str">
        <f>IF(OR($B249="",$A249&gt;$B$9,V$245=""),"",IF(COUNTIFS(BD!$B$3:$B$5001,V$245,BD!$A$3:$A$5001,"&gt;="&amp;$C$7,BD!$A$3:$A$5001,"&lt;="&amp;$B249,BD!$X$3:$X$5001,"&lt;&gt;")=0,"",SUMIFS(BD!$X$3:$X$5001,BD!$B$3:$B$5001,V$245,BD!$A$3:$A$5001,_xlfn.MAXIFS(BD!$A$3:$A$5001,BD!$B$3:$B$5001,V$245,BD!$A$3:$A$5001,"&gt;="&amp;$C$7,BD!$A$3:$A$5001,"&lt;="&amp;$B249,BD!$X$3:$X$5001,"&lt;&gt;"))))</f>
        <v/>
      </c>
    </row>
    <row r="250">
      <c r="A250" s="48">
        <v>5</v>
      </c>
      <c r="B250" s="53">
        <f>$B$16</f>
        <v>46300</v>
      </c>
      <c r="C250" s="54" t="str">
        <f>IF(OR($B250="",$A250&gt;$B$9,C$245=""),"",IF(COUNTIFS(BD!$B$3:$B$5001,C$245,BD!$A$3:$A$5001,"&gt;="&amp;$C$7,BD!$A$3:$A$5001,"&lt;="&amp;$B250,BD!$X$3:$X$5001,"&lt;&gt;")=0,"",SUMIFS(BD!$X$3:$X$5001,BD!$B$3:$B$5001,C$245,BD!$A$3:$A$5001,_xlfn.MAXIFS(BD!$A$3:$A$5001,BD!$B$3:$B$5001,C$245,BD!$A$3:$A$5001,"&gt;="&amp;$C$7,BD!$A$3:$A$5001,"&lt;="&amp;$B250,BD!$X$3:$X$5001,"&lt;&gt;"))))</f>
        <v/>
      </c>
      <c r="D250" s="54" t="str">
        <f>IF(OR($B250="",$A250&gt;$B$9,D$245=""),"",IF(COUNTIFS(BD!$B$3:$B$5001,D$245,BD!$A$3:$A$5001,"&gt;="&amp;$C$7,BD!$A$3:$A$5001,"&lt;="&amp;$B250,BD!$X$3:$X$5001,"&lt;&gt;")=0,"",SUMIFS(BD!$X$3:$X$5001,BD!$B$3:$B$5001,D$245,BD!$A$3:$A$5001,_xlfn.MAXIFS(BD!$A$3:$A$5001,BD!$B$3:$B$5001,D$245,BD!$A$3:$A$5001,"&gt;="&amp;$C$7,BD!$A$3:$A$5001,"&lt;="&amp;$B250,BD!$X$3:$X$5001,"&lt;&gt;"))))</f>
        <v/>
      </c>
      <c r="E250" s="54" t="str">
        <f>IF(OR($B250="",$A250&gt;$B$9,E$245=""),"",IF(COUNTIFS(BD!$B$3:$B$5001,E$245,BD!$A$3:$A$5001,"&gt;="&amp;$C$7,BD!$A$3:$A$5001,"&lt;="&amp;$B250,BD!$X$3:$X$5001,"&lt;&gt;")=0,"",SUMIFS(BD!$X$3:$X$5001,BD!$B$3:$B$5001,E$245,BD!$A$3:$A$5001,_xlfn.MAXIFS(BD!$A$3:$A$5001,BD!$B$3:$B$5001,E$245,BD!$A$3:$A$5001,"&gt;="&amp;$C$7,BD!$A$3:$A$5001,"&lt;="&amp;$B250,BD!$X$3:$X$5001,"&lt;&gt;"))))</f>
        <v/>
      </c>
      <c r="F250" s="54" t="str">
        <f>IF(OR($B250="",$A250&gt;$B$9,F$245=""),"",IF(COUNTIFS(BD!$B$3:$B$5001,F$245,BD!$A$3:$A$5001,"&gt;="&amp;$C$7,BD!$A$3:$A$5001,"&lt;="&amp;$B250,BD!$X$3:$X$5001,"&lt;&gt;")=0,"",SUMIFS(BD!$X$3:$X$5001,BD!$B$3:$B$5001,F$245,BD!$A$3:$A$5001,_xlfn.MAXIFS(BD!$A$3:$A$5001,BD!$B$3:$B$5001,F$245,BD!$A$3:$A$5001,"&gt;="&amp;$C$7,BD!$A$3:$A$5001,"&lt;="&amp;$B250,BD!$X$3:$X$5001,"&lt;&gt;"))))</f>
        <v/>
      </c>
      <c r="G250" s="54" t="str">
        <f>IF(OR($B250="",$A250&gt;$B$9,G$245=""),"",IF(COUNTIFS(BD!$B$3:$B$5001,G$245,BD!$A$3:$A$5001,"&gt;="&amp;$C$7,BD!$A$3:$A$5001,"&lt;="&amp;$B250,BD!$X$3:$X$5001,"&lt;&gt;")=0,"",SUMIFS(BD!$X$3:$X$5001,BD!$B$3:$B$5001,G$245,BD!$A$3:$A$5001,_xlfn.MAXIFS(BD!$A$3:$A$5001,BD!$B$3:$B$5001,G$245,BD!$A$3:$A$5001,"&gt;="&amp;$C$7,BD!$A$3:$A$5001,"&lt;="&amp;$B250,BD!$X$3:$X$5001,"&lt;&gt;"))))</f>
        <v/>
      </c>
      <c r="H250" s="54" t="str">
        <f>IF(OR($B250="",$A250&gt;$B$9,H$245=""),"",IF(COUNTIFS(BD!$B$3:$B$5001,H$245,BD!$A$3:$A$5001,"&gt;="&amp;$C$7,BD!$A$3:$A$5001,"&lt;="&amp;$B250,BD!$X$3:$X$5001,"&lt;&gt;")=0,"",SUMIFS(BD!$X$3:$X$5001,BD!$B$3:$B$5001,H$245,BD!$A$3:$A$5001,_xlfn.MAXIFS(BD!$A$3:$A$5001,BD!$B$3:$B$5001,H$245,BD!$A$3:$A$5001,"&gt;="&amp;$C$7,BD!$A$3:$A$5001,"&lt;="&amp;$B250,BD!$X$3:$X$5001,"&lt;&gt;"))))</f>
        <v/>
      </c>
      <c r="I250" s="54" t="str">
        <f>IF(OR($B250="",$A250&gt;$B$9,I$245=""),"",IF(COUNTIFS(BD!$B$3:$B$5001,I$245,BD!$A$3:$A$5001,"&gt;="&amp;$C$7,BD!$A$3:$A$5001,"&lt;="&amp;$B250,BD!$X$3:$X$5001,"&lt;&gt;")=0,"",SUMIFS(BD!$X$3:$X$5001,BD!$B$3:$B$5001,I$245,BD!$A$3:$A$5001,_xlfn.MAXIFS(BD!$A$3:$A$5001,BD!$B$3:$B$5001,I$245,BD!$A$3:$A$5001,"&gt;="&amp;$C$7,BD!$A$3:$A$5001,"&lt;="&amp;$B250,BD!$X$3:$X$5001,"&lt;&gt;"))))</f>
        <v/>
      </c>
      <c r="J250" s="54" t="str">
        <f>IF(OR($B250="",$A250&gt;$B$9,J$245=""),"",IF(COUNTIFS(BD!$B$3:$B$5001,J$245,BD!$A$3:$A$5001,"&gt;="&amp;$C$7,BD!$A$3:$A$5001,"&lt;="&amp;$B250,BD!$X$3:$X$5001,"&lt;&gt;")=0,"",SUMIFS(BD!$X$3:$X$5001,BD!$B$3:$B$5001,J$245,BD!$A$3:$A$5001,_xlfn.MAXIFS(BD!$A$3:$A$5001,BD!$B$3:$B$5001,J$245,BD!$A$3:$A$5001,"&gt;="&amp;$C$7,BD!$A$3:$A$5001,"&lt;="&amp;$B250,BD!$X$3:$X$5001,"&lt;&gt;"))))</f>
        <v/>
      </c>
      <c r="K250" s="54" t="str">
        <f>IF(OR($B250="",$A250&gt;$B$9,K$245=""),"",IF(COUNTIFS(BD!$B$3:$B$5001,K$245,BD!$A$3:$A$5001,"&gt;="&amp;$C$7,BD!$A$3:$A$5001,"&lt;="&amp;$B250,BD!$X$3:$X$5001,"&lt;&gt;")=0,"",SUMIFS(BD!$X$3:$X$5001,BD!$B$3:$B$5001,K$245,BD!$A$3:$A$5001,_xlfn.MAXIFS(BD!$A$3:$A$5001,BD!$B$3:$B$5001,K$245,BD!$A$3:$A$5001,"&gt;="&amp;$C$7,BD!$A$3:$A$5001,"&lt;="&amp;$B250,BD!$X$3:$X$5001,"&lt;&gt;"))))</f>
        <v/>
      </c>
      <c r="L250" s="54" t="str">
        <f>IF(OR($B250="",$A250&gt;$B$9,L$245=""),"",IF(COUNTIFS(BD!$B$3:$B$5001,L$245,BD!$A$3:$A$5001,"&gt;="&amp;$C$7,BD!$A$3:$A$5001,"&lt;="&amp;$B250,BD!$X$3:$X$5001,"&lt;&gt;")=0,"",SUMIFS(BD!$X$3:$X$5001,BD!$B$3:$B$5001,L$245,BD!$A$3:$A$5001,_xlfn.MAXIFS(BD!$A$3:$A$5001,BD!$B$3:$B$5001,L$245,BD!$A$3:$A$5001,"&gt;="&amp;$C$7,BD!$A$3:$A$5001,"&lt;="&amp;$B250,BD!$X$3:$X$5001,"&lt;&gt;"))))</f>
        <v/>
      </c>
      <c r="M250" s="54" t="str">
        <f>IF(OR($B250="",$A250&gt;$B$9,M$245=""),"",IF(COUNTIFS(BD!$B$3:$B$5001,M$245,BD!$A$3:$A$5001,"&gt;="&amp;$C$7,BD!$A$3:$A$5001,"&lt;="&amp;$B250,BD!$X$3:$X$5001,"&lt;&gt;")=0,"",SUMIFS(BD!$X$3:$X$5001,BD!$B$3:$B$5001,M$245,BD!$A$3:$A$5001,_xlfn.MAXIFS(BD!$A$3:$A$5001,BD!$B$3:$B$5001,M$245,BD!$A$3:$A$5001,"&gt;="&amp;$C$7,BD!$A$3:$A$5001,"&lt;="&amp;$B250,BD!$X$3:$X$5001,"&lt;&gt;"))))</f>
        <v/>
      </c>
      <c r="N250" s="54" t="str">
        <f>IF(OR($B250="",$A250&gt;$B$9,N$245=""),"",IF(COUNTIFS(BD!$B$3:$B$5001,N$245,BD!$A$3:$A$5001,"&gt;="&amp;$C$7,BD!$A$3:$A$5001,"&lt;="&amp;$B250,BD!$X$3:$X$5001,"&lt;&gt;")=0,"",SUMIFS(BD!$X$3:$X$5001,BD!$B$3:$B$5001,N$245,BD!$A$3:$A$5001,_xlfn.MAXIFS(BD!$A$3:$A$5001,BD!$B$3:$B$5001,N$245,BD!$A$3:$A$5001,"&gt;="&amp;$C$7,BD!$A$3:$A$5001,"&lt;="&amp;$B250,BD!$X$3:$X$5001,"&lt;&gt;"))))</f>
        <v/>
      </c>
      <c r="O250" s="54" t="str">
        <f>IF(OR($B250="",$A250&gt;$B$9,O$245=""),"",IF(COUNTIFS(BD!$B$3:$B$5001,O$245,BD!$A$3:$A$5001,"&gt;="&amp;$C$7,BD!$A$3:$A$5001,"&lt;="&amp;$B250,BD!$X$3:$X$5001,"&lt;&gt;")=0,"",SUMIFS(BD!$X$3:$X$5001,BD!$B$3:$B$5001,O$245,BD!$A$3:$A$5001,_xlfn.MAXIFS(BD!$A$3:$A$5001,BD!$B$3:$B$5001,O$245,BD!$A$3:$A$5001,"&gt;="&amp;$C$7,BD!$A$3:$A$5001,"&lt;="&amp;$B250,BD!$X$3:$X$5001,"&lt;&gt;"))))</f>
        <v/>
      </c>
      <c r="P250" s="54" t="str">
        <f>IF(OR($B250="",$A250&gt;$B$9,P$245=""),"",IF(COUNTIFS(BD!$B$3:$B$5001,P$245,BD!$A$3:$A$5001,"&gt;="&amp;$C$7,BD!$A$3:$A$5001,"&lt;="&amp;$B250,BD!$X$3:$X$5001,"&lt;&gt;")=0,"",SUMIFS(BD!$X$3:$X$5001,BD!$B$3:$B$5001,P$245,BD!$A$3:$A$5001,_xlfn.MAXIFS(BD!$A$3:$A$5001,BD!$B$3:$B$5001,P$245,BD!$A$3:$A$5001,"&gt;="&amp;$C$7,BD!$A$3:$A$5001,"&lt;="&amp;$B250,BD!$X$3:$X$5001,"&lt;&gt;"))))</f>
        <v/>
      </c>
      <c r="Q250" s="54" t="str">
        <f>IF(OR($B250="",$A250&gt;$B$9,Q$245=""),"",IF(COUNTIFS(BD!$B$3:$B$5001,Q$245,BD!$A$3:$A$5001,"&gt;="&amp;$C$7,BD!$A$3:$A$5001,"&lt;="&amp;$B250,BD!$X$3:$X$5001,"&lt;&gt;")=0,"",SUMIFS(BD!$X$3:$X$5001,BD!$B$3:$B$5001,Q$245,BD!$A$3:$A$5001,_xlfn.MAXIFS(BD!$A$3:$A$5001,BD!$B$3:$B$5001,Q$245,BD!$A$3:$A$5001,"&gt;="&amp;$C$7,BD!$A$3:$A$5001,"&lt;="&amp;$B250,BD!$X$3:$X$5001,"&lt;&gt;"))))</f>
        <v/>
      </c>
      <c r="R250" s="54" t="str">
        <f>IF(OR($B250="",$A250&gt;$B$9,R$245=""),"",IF(COUNTIFS(BD!$B$3:$B$5001,R$245,BD!$A$3:$A$5001,"&gt;="&amp;$C$7,BD!$A$3:$A$5001,"&lt;="&amp;$B250,BD!$X$3:$X$5001,"&lt;&gt;")=0,"",SUMIFS(BD!$X$3:$X$5001,BD!$B$3:$B$5001,R$245,BD!$A$3:$A$5001,_xlfn.MAXIFS(BD!$A$3:$A$5001,BD!$B$3:$B$5001,R$245,BD!$A$3:$A$5001,"&gt;="&amp;$C$7,BD!$A$3:$A$5001,"&lt;="&amp;$B250,BD!$X$3:$X$5001,"&lt;&gt;"))))</f>
        <v/>
      </c>
      <c r="S250" s="54" t="str">
        <f>IF(OR($B250="",$A250&gt;$B$9,S$245=""),"",IF(COUNTIFS(BD!$B$3:$B$5001,S$245,BD!$A$3:$A$5001,"&gt;="&amp;$C$7,BD!$A$3:$A$5001,"&lt;="&amp;$B250,BD!$X$3:$X$5001,"&lt;&gt;")=0,"",SUMIFS(BD!$X$3:$X$5001,BD!$B$3:$B$5001,S$245,BD!$A$3:$A$5001,_xlfn.MAXIFS(BD!$A$3:$A$5001,BD!$B$3:$B$5001,S$245,BD!$A$3:$A$5001,"&gt;="&amp;$C$7,BD!$A$3:$A$5001,"&lt;="&amp;$B250,BD!$X$3:$X$5001,"&lt;&gt;"))))</f>
        <v/>
      </c>
      <c r="T250" s="54" t="str">
        <f>IF(OR($B250="",$A250&gt;$B$9,T$245=""),"",IF(COUNTIFS(BD!$B$3:$B$5001,T$245,BD!$A$3:$A$5001,"&gt;="&amp;$C$7,BD!$A$3:$A$5001,"&lt;="&amp;$B250,BD!$X$3:$X$5001,"&lt;&gt;")=0,"",SUMIFS(BD!$X$3:$X$5001,BD!$B$3:$B$5001,T$245,BD!$A$3:$A$5001,_xlfn.MAXIFS(BD!$A$3:$A$5001,BD!$B$3:$B$5001,T$245,BD!$A$3:$A$5001,"&gt;="&amp;$C$7,BD!$A$3:$A$5001,"&lt;="&amp;$B250,BD!$X$3:$X$5001,"&lt;&gt;"))))</f>
        <v/>
      </c>
      <c r="U250" s="54" t="str">
        <f>IF(OR($B250="",$A250&gt;$B$9,U$245=""),"",IF(COUNTIFS(BD!$B$3:$B$5001,U$245,BD!$A$3:$A$5001,"&gt;="&amp;$C$7,BD!$A$3:$A$5001,"&lt;="&amp;$B250,BD!$X$3:$X$5001,"&lt;&gt;")=0,"",SUMIFS(BD!$X$3:$X$5001,BD!$B$3:$B$5001,U$245,BD!$A$3:$A$5001,_xlfn.MAXIFS(BD!$A$3:$A$5001,BD!$B$3:$B$5001,U$245,BD!$A$3:$A$5001,"&gt;="&amp;$C$7,BD!$A$3:$A$5001,"&lt;="&amp;$B250,BD!$X$3:$X$5001,"&lt;&gt;"))))</f>
        <v/>
      </c>
      <c r="V250" s="54" t="str">
        <f>IF(OR($B250="",$A250&gt;$B$9,V$245=""),"",IF(COUNTIFS(BD!$B$3:$B$5001,V$245,BD!$A$3:$A$5001,"&gt;="&amp;$C$7,BD!$A$3:$A$5001,"&lt;="&amp;$B250,BD!$X$3:$X$5001,"&lt;&gt;")=0,"",SUMIFS(BD!$X$3:$X$5001,BD!$B$3:$B$5001,V$245,BD!$A$3:$A$5001,_xlfn.MAXIFS(BD!$A$3:$A$5001,BD!$B$3:$B$5001,V$245,BD!$A$3:$A$5001,"&gt;="&amp;$C$7,BD!$A$3:$A$5001,"&lt;="&amp;$B250,BD!$X$3:$X$5001,"&lt;&gt;"))))</f>
        <v/>
      </c>
    </row>
    <row r="251">
      <c r="A251" s="48">
        <v>6</v>
      </c>
      <c r="B251" s="53">
        <f>$B$17</f>
        <v>46301</v>
      </c>
      <c r="C251" s="54" t="str">
        <f>IF(OR($B251="",$A251&gt;$B$9,C$245=""),"",IF(COUNTIFS(BD!$B$3:$B$5001,C$245,BD!$A$3:$A$5001,"&gt;="&amp;$C$7,BD!$A$3:$A$5001,"&lt;="&amp;$B251,BD!$X$3:$X$5001,"&lt;&gt;")=0,"",SUMIFS(BD!$X$3:$X$5001,BD!$B$3:$B$5001,C$245,BD!$A$3:$A$5001,_xlfn.MAXIFS(BD!$A$3:$A$5001,BD!$B$3:$B$5001,C$245,BD!$A$3:$A$5001,"&gt;="&amp;$C$7,BD!$A$3:$A$5001,"&lt;="&amp;$B251,BD!$X$3:$X$5001,"&lt;&gt;"))))</f>
        <v/>
      </c>
      <c r="D251" s="54" t="str">
        <f>IF(OR($B251="",$A251&gt;$B$9,D$245=""),"",IF(COUNTIFS(BD!$B$3:$B$5001,D$245,BD!$A$3:$A$5001,"&gt;="&amp;$C$7,BD!$A$3:$A$5001,"&lt;="&amp;$B251,BD!$X$3:$X$5001,"&lt;&gt;")=0,"",SUMIFS(BD!$X$3:$X$5001,BD!$B$3:$B$5001,D$245,BD!$A$3:$A$5001,_xlfn.MAXIFS(BD!$A$3:$A$5001,BD!$B$3:$B$5001,D$245,BD!$A$3:$A$5001,"&gt;="&amp;$C$7,BD!$A$3:$A$5001,"&lt;="&amp;$B251,BD!$X$3:$X$5001,"&lt;&gt;"))))</f>
        <v/>
      </c>
      <c r="E251" s="54" t="str">
        <f>IF(OR($B251="",$A251&gt;$B$9,E$245=""),"",IF(COUNTIFS(BD!$B$3:$B$5001,E$245,BD!$A$3:$A$5001,"&gt;="&amp;$C$7,BD!$A$3:$A$5001,"&lt;="&amp;$B251,BD!$X$3:$X$5001,"&lt;&gt;")=0,"",SUMIFS(BD!$X$3:$X$5001,BD!$B$3:$B$5001,E$245,BD!$A$3:$A$5001,_xlfn.MAXIFS(BD!$A$3:$A$5001,BD!$B$3:$B$5001,E$245,BD!$A$3:$A$5001,"&gt;="&amp;$C$7,BD!$A$3:$A$5001,"&lt;="&amp;$B251,BD!$X$3:$X$5001,"&lt;&gt;"))))</f>
        <v/>
      </c>
      <c r="F251" s="54" t="str">
        <f>IF(OR($B251="",$A251&gt;$B$9,F$245=""),"",IF(COUNTIFS(BD!$B$3:$B$5001,F$245,BD!$A$3:$A$5001,"&gt;="&amp;$C$7,BD!$A$3:$A$5001,"&lt;="&amp;$B251,BD!$X$3:$X$5001,"&lt;&gt;")=0,"",SUMIFS(BD!$X$3:$X$5001,BD!$B$3:$B$5001,F$245,BD!$A$3:$A$5001,_xlfn.MAXIFS(BD!$A$3:$A$5001,BD!$B$3:$B$5001,F$245,BD!$A$3:$A$5001,"&gt;="&amp;$C$7,BD!$A$3:$A$5001,"&lt;="&amp;$B251,BD!$X$3:$X$5001,"&lt;&gt;"))))</f>
        <v/>
      </c>
      <c r="G251" s="54" t="str">
        <f>IF(OR($B251="",$A251&gt;$B$9,G$245=""),"",IF(COUNTIFS(BD!$B$3:$B$5001,G$245,BD!$A$3:$A$5001,"&gt;="&amp;$C$7,BD!$A$3:$A$5001,"&lt;="&amp;$B251,BD!$X$3:$X$5001,"&lt;&gt;")=0,"",SUMIFS(BD!$X$3:$X$5001,BD!$B$3:$B$5001,G$245,BD!$A$3:$A$5001,_xlfn.MAXIFS(BD!$A$3:$A$5001,BD!$B$3:$B$5001,G$245,BD!$A$3:$A$5001,"&gt;="&amp;$C$7,BD!$A$3:$A$5001,"&lt;="&amp;$B251,BD!$X$3:$X$5001,"&lt;&gt;"))))</f>
        <v/>
      </c>
      <c r="H251" s="54" t="str">
        <f>IF(OR($B251="",$A251&gt;$B$9,H$245=""),"",IF(COUNTIFS(BD!$B$3:$B$5001,H$245,BD!$A$3:$A$5001,"&gt;="&amp;$C$7,BD!$A$3:$A$5001,"&lt;="&amp;$B251,BD!$X$3:$X$5001,"&lt;&gt;")=0,"",SUMIFS(BD!$X$3:$X$5001,BD!$B$3:$B$5001,H$245,BD!$A$3:$A$5001,_xlfn.MAXIFS(BD!$A$3:$A$5001,BD!$B$3:$B$5001,H$245,BD!$A$3:$A$5001,"&gt;="&amp;$C$7,BD!$A$3:$A$5001,"&lt;="&amp;$B251,BD!$X$3:$X$5001,"&lt;&gt;"))))</f>
        <v/>
      </c>
      <c r="I251" s="54" t="str">
        <f>IF(OR($B251="",$A251&gt;$B$9,I$245=""),"",IF(COUNTIFS(BD!$B$3:$B$5001,I$245,BD!$A$3:$A$5001,"&gt;="&amp;$C$7,BD!$A$3:$A$5001,"&lt;="&amp;$B251,BD!$X$3:$X$5001,"&lt;&gt;")=0,"",SUMIFS(BD!$X$3:$X$5001,BD!$B$3:$B$5001,I$245,BD!$A$3:$A$5001,_xlfn.MAXIFS(BD!$A$3:$A$5001,BD!$B$3:$B$5001,I$245,BD!$A$3:$A$5001,"&gt;="&amp;$C$7,BD!$A$3:$A$5001,"&lt;="&amp;$B251,BD!$X$3:$X$5001,"&lt;&gt;"))))</f>
        <v/>
      </c>
      <c r="J251" s="54" t="str">
        <f>IF(OR($B251="",$A251&gt;$B$9,J$245=""),"",IF(COUNTIFS(BD!$B$3:$B$5001,J$245,BD!$A$3:$A$5001,"&gt;="&amp;$C$7,BD!$A$3:$A$5001,"&lt;="&amp;$B251,BD!$X$3:$X$5001,"&lt;&gt;")=0,"",SUMIFS(BD!$X$3:$X$5001,BD!$B$3:$B$5001,J$245,BD!$A$3:$A$5001,_xlfn.MAXIFS(BD!$A$3:$A$5001,BD!$B$3:$B$5001,J$245,BD!$A$3:$A$5001,"&gt;="&amp;$C$7,BD!$A$3:$A$5001,"&lt;="&amp;$B251,BD!$X$3:$X$5001,"&lt;&gt;"))))</f>
        <v/>
      </c>
      <c r="K251" s="54" t="str">
        <f>IF(OR($B251="",$A251&gt;$B$9,K$245=""),"",IF(COUNTIFS(BD!$B$3:$B$5001,K$245,BD!$A$3:$A$5001,"&gt;="&amp;$C$7,BD!$A$3:$A$5001,"&lt;="&amp;$B251,BD!$X$3:$X$5001,"&lt;&gt;")=0,"",SUMIFS(BD!$X$3:$X$5001,BD!$B$3:$B$5001,K$245,BD!$A$3:$A$5001,_xlfn.MAXIFS(BD!$A$3:$A$5001,BD!$B$3:$B$5001,K$245,BD!$A$3:$A$5001,"&gt;="&amp;$C$7,BD!$A$3:$A$5001,"&lt;="&amp;$B251,BD!$X$3:$X$5001,"&lt;&gt;"))))</f>
        <v/>
      </c>
      <c r="L251" s="54" t="str">
        <f>IF(OR($B251="",$A251&gt;$B$9,L$245=""),"",IF(COUNTIFS(BD!$B$3:$B$5001,L$245,BD!$A$3:$A$5001,"&gt;="&amp;$C$7,BD!$A$3:$A$5001,"&lt;="&amp;$B251,BD!$X$3:$X$5001,"&lt;&gt;")=0,"",SUMIFS(BD!$X$3:$X$5001,BD!$B$3:$B$5001,L$245,BD!$A$3:$A$5001,_xlfn.MAXIFS(BD!$A$3:$A$5001,BD!$B$3:$B$5001,L$245,BD!$A$3:$A$5001,"&gt;="&amp;$C$7,BD!$A$3:$A$5001,"&lt;="&amp;$B251,BD!$X$3:$X$5001,"&lt;&gt;"))))</f>
        <v/>
      </c>
      <c r="M251" s="54" t="str">
        <f>IF(OR($B251="",$A251&gt;$B$9,M$245=""),"",IF(COUNTIFS(BD!$B$3:$B$5001,M$245,BD!$A$3:$A$5001,"&gt;="&amp;$C$7,BD!$A$3:$A$5001,"&lt;="&amp;$B251,BD!$X$3:$X$5001,"&lt;&gt;")=0,"",SUMIFS(BD!$X$3:$X$5001,BD!$B$3:$B$5001,M$245,BD!$A$3:$A$5001,_xlfn.MAXIFS(BD!$A$3:$A$5001,BD!$B$3:$B$5001,M$245,BD!$A$3:$A$5001,"&gt;="&amp;$C$7,BD!$A$3:$A$5001,"&lt;="&amp;$B251,BD!$X$3:$X$5001,"&lt;&gt;"))))</f>
        <v/>
      </c>
      <c r="N251" s="54" t="str">
        <f>IF(OR($B251="",$A251&gt;$B$9,N$245=""),"",IF(COUNTIFS(BD!$B$3:$B$5001,N$245,BD!$A$3:$A$5001,"&gt;="&amp;$C$7,BD!$A$3:$A$5001,"&lt;="&amp;$B251,BD!$X$3:$X$5001,"&lt;&gt;")=0,"",SUMIFS(BD!$X$3:$X$5001,BD!$B$3:$B$5001,N$245,BD!$A$3:$A$5001,_xlfn.MAXIFS(BD!$A$3:$A$5001,BD!$B$3:$B$5001,N$245,BD!$A$3:$A$5001,"&gt;="&amp;$C$7,BD!$A$3:$A$5001,"&lt;="&amp;$B251,BD!$X$3:$X$5001,"&lt;&gt;"))))</f>
        <v/>
      </c>
      <c r="O251" s="54" t="str">
        <f>IF(OR($B251="",$A251&gt;$B$9,O$245=""),"",IF(COUNTIFS(BD!$B$3:$B$5001,O$245,BD!$A$3:$A$5001,"&gt;="&amp;$C$7,BD!$A$3:$A$5001,"&lt;="&amp;$B251,BD!$X$3:$X$5001,"&lt;&gt;")=0,"",SUMIFS(BD!$X$3:$X$5001,BD!$B$3:$B$5001,O$245,BD!$A$3:$A$5001,_xlfn.MAXIFS(BD!$A$3:$A$5001,BD!$B$3:$B$5001,O$245,BD!$A$3:$A$5001,"&gt;="&amp;$C$7,BD!$A$3:$A$5001,"&lt;="&amp;$B251,BD!$X$3:$X$5001,"&lt;&gt;"))))</f>
        <v/>
      </c>
      <c r="P251" s="54" t="str">
        <f>IF(OR($B251="",$A251&gt;$B$9,P$245=""),"",IF(COUNTIFS(BD!$B$3:$B$5001,P$245,BD!$A$3:$A$5001,"&gt;="&amp;$C$7,BD!$A$3:$A$5001,"&lt;="&amp;$B251,BD!$X$3:$X$5001,"&lt;&gt;")=0,"",SUMIFS(BD!$X$3:$X$5001,BD!$B$3:$B$5001,P$245,BD!$A$3:$A$5001,_xlfn.MAXIFS(BD!$A$3:$A$5001,BD!$B$3:$B$5001,P$245,BD!$A$3:$A$5001,"&gt;="&amp;$C$7,BD!$A$3:$A$5001,"&lt;="&amp;$B251,BD!$X$3:$X$5001,"&lt;&gt;"))))</f>
        <v/>
      </c>
      <c r="Q251" s="54" t="str">
        <f>IF(OR($B251="",$A251&gt;$B$9,Q$245=""),"",IF(COUNTIFS(BD!$B$3:$B$5001,Q$245,BD!$A$3:$A$5001,"&gt;="&amp;$C$7,BD!$A$3:$A$5001,"&lt;="&amp;$B251,BD!$X$3:$X$5001,"&lt;&gt;")=0,"",SUMIFS(BD!$X$3:$X$5001,BD!$B$3:$B$5001,Q$245,BD!$A$3:$A$5001,_xlfn.MAXIFS(BD!$A$3:$A$5001,BD!$B$3:$B$5001,Q$245,BD!$A$3:$A$5001,"&gt;="&amp;$C$7,BD!$A$3:$A$5001,"&lt;="&amp;$B251,BD!$X$3:$X$5001,"&lt;&gt;"))))</f>
        <v/>
      </c>
      <c r="R251" s="54" t="str">
        <f>IF(OR($B251="",$A251&gt;$B$9,R$245=""),"",IF(COUNTIFS(BD!$B$3:$B$5001,R$245,BD!$A$3:$A$5001,"&gt;="&amp;$C$7,BD!$A$3:$A$5001,"&lt;="&amp;$B251,BD!$X$3:$X$5001,"&lt;&gt;")=0,"",SUMIFS(BD!$X$3:$X$5001,BD!$B$3:$B$5001,R$245,BD!$A$3:$A$5001,_xlfn.MAXIFS(BD!$A$3:$A$5001,BD!$B$3:$B$5001,R$245,BD!$A$3:$A$5001,"&gt;="&amp;$C$7,BD!$A$3:$A$5001,"&lt;="&amp;$B251,BD!$X$3:$X$5001,"&lt;&gt;"))))</f>
        <v/>
      </c>
      <c r="S251" s="54" t="str">
        <f>IF(OR($B251="",$A251&gt;$B$9,S$245=""),"",IF(COUNTIFS(BD!$B$3:$B$5001,S$245,BD!$A$3:$A$5001,"&gt;="&amp;$C$7,BD!$A$3:$A$5001,"&lt;="&amp;$B251,BD!$X$3:$X$5001,"&lt;&gt;")=0,"",SUMIFS(BD!$X$3:$X$5001,BD!$B$3:$B$5001,S$245,BD!$A$3:$A$5001,_xlfn.MAXIFS(BD!$A$3:$A$5001,BD!$B$3:$B$5001,S$245,BD!$A$3:$A$5001,"&gt;="&amp;$C$7,BD!$A$3:$A$5001,"&lt;="&amp;$B251,BD!$X$3:$X$5001,"&lt;&gt;"))))</f>
        <v/>
      </c>
      <c r="T251" s="54" t="str">
        <f>IF(OR($B251="",$A251&gt;$B$9,T$245=""),"",IF(COUNTIFS(BD!$B$3:$B$5001,T$245,BD!$A$3:$A$5001,"&gt;="&amp;$C$7,BD!$A$3:$A$5001,"&lt;="&amp;$B251,BD!$X$3:$X$5001,"&lt;&gt;")=0,"",SUMIFS(BD!$X$3:$X$5001,BD!$B$3:$B$5001,T$245,BD!$A$3:$A$5001,_xlfn.MAXIFS(BD!$A$3:$A$5001,BD!$B$3:$B$5001,T$245,BD!$A$3:$A$5001,"&gt;="&amp;$C$7,BD!$A$3:$A$5001,"&lt;="&amp;$B251,BD!$X$3:$X$5001,"&lt;&gt;"))))</f>
        <v/>
      </c>
      <c r="U251" s="54" t="str">
        <f>IF(OR($B251="",$A251&gt;$B$9,U$245=""),"",IF(COUNTIFS(BD!$B$3:$B$5001,U$245,BD!$A$3:$A$5001,"&gt;="&amp;$C$7,BD!$A$3:$A$5001,"&lt;="&amp;$B251,BD!$X$3:$X$5001,"&lt;&gt;")=0,"",SUMIFS(BD!$X$3:$X$5001,BD!$B$3:$B$5001,U$245,BD!$A$3:$A$5001,_xlfn.MAXIFS(BD!$A$3:$A$5001,BD!$B$3:$B$5001,U$245,BD!$A$3:$A$5001,"&gt;="&amp;$C$7,BD!$A$3:$A$5001,"&lt;="&amp;$B251,BD!$X$3:$X$5001,"&lt;&gt;"))))</f>
        <v/>
      </c>
      <c r="V251" s="54" t="str">
        <f>IF(OR($B251="",$A251&gt;$B$9,V$245=""),"",IF(COUNTIFS(BD!$B$3:$B$5001,V$245,BD!$A$3:$A$5001,"&gt;="&amp;$C$7,BD!$A$3:$A$5001,"&lt;="&amp;$B251,BD!$X$3:$X$5001,"&lt;&gt;")=0,"",SUMIFS(BD!$X$3:$X$5001,BD!$B$3:$B$5001,V$245,BD!$A$3:$A$5001,_xlfn.MAXIFS(BD!$A$3:$A$5001,BD!$B$3:$B$5001,V$245,BD!$A$3:$A$5001,"&gt;="&amp;$C$7,BD!$A$3:$A$5001,"&lt;="&amp;$B251,BD!$X$3:$X$5001,"&lt;&gt;"))))</f>
        <v/>
      </c>
    </row>
    <row r="252">
      <c r="A252" s="48">
        <v>7</v>
      </c>
      <c r="B252" s="53">
        <f>$B$18</f>
        <v>46302</v>
      </c>
      <c r="C252" s="54" t="str">
        <f>IF(OR($B252="",$A252&gt;$B$9,C$245=""),"",IF(COUNTIFS(BD!$B$3:$B$5001,C$245,BD!$A$3:$A$5001,"&gt;="&amp;$C$7,BD!$A$3:$A$5001,"&lt;="&amp;$B252,BD!$X$3:$X$5001,"&lt;&gt;")=0,"",SUMIFS(BD!$X$3:$X$5001,BD!$B$3:$B$5001,C$245,BD!$A$3:$A$5001,_xlfn.MAXIFS(BD!$A$3:$A$5001,BD!$B$3:$B$5001,C$245,BD!$A$3:$A$5001,"&gt;="&amp;$C$7,BD!$A$3:$A$5001,"&lt;="&amp;$B252,BD!$X$3:$X$5001,"&lt;&gt;"))))</f>
        <v/>
      </c>
      <c r="D252" s="54" t="str">
        <f>IF(OR($B252="",$A252&gt;$B$9,D$245=""),"",IF(COUNTIFS(BD!$B$3:$B$5001,D$245,BD!$A$3:$A$5001,"&gt;="&amp;$C$7,BD!$A$3:$A$5001,"&lt;="&amp;$B252,BD!$X$3:$X$5001,"&lt;&gt;")=0,"",SUMIFS(BD!$X$3:$X$5001,BD!$B$3:$B$5001,D$245,BD!$A$3:$A$5001,_xlfn.MAXIFS(BD!$A$3:$A$5001,BD!$B$3:$B$5001,D$245,BD!$A$3:$A$5001,"&gt;="&amp;$C$7,BD!$A$3:$A$5001,"&lt;="&amp;$B252,BD!$X$3:$X$5001,"&lt;&gt;"))))</f>
        <v/>
      </c>
      <c r="E252" s="54" t="str">
        <f>IF(OR($B252="",$A252&gt;$B$9,E$245=""),"",IF(COUNTIFS(BD!$B$3:$B$5001,E$245,BD!$A$3:$A$5001,"&gt;="&amp;$C$7,BD!$A$3:$A$5001,"&lt;="&amp;$B252,BD!$X$3:$X$5001,"&lt;&gt;")=0,"",SUMIFS(BD!$X$3:$X$5001,BD!$B$3:$B$5001,E$245,BD!$A$3:$A$5001,_xlfn.MAXIFS(BD!$A$3:$A$5001,BD!$B$3:$B$5001,E$245,BD!$A$3:$A$5001,"&gt;="&amp;$C$7,BD!$A$3:$A$5001,"&lt;="&amp;$B252,BD!$X$3:$X$5001,"&lt;&gt;"))))</f>
        <v/>
      </c>
      <c r="F252" s="54" t="str">
        <f>IF(OR($B252="",$A252&gt;$B$9,F$245=""),"",IF(COUNTIFS(BD!$B$3:$B$5001,F$245,BD!$A$3:$A$5001,"&gt;="&amp;$C$7,BD!$A$3:$A$5001,"&lt;="&amp;$B252,BD!$X$3:$X$5001,"&lt;&gt;")=0,"",SUMIFS(BD!$X$3:$X$5001,BD!$B$3:$B$5001,F$245,BD!$A$3:$A$5001,_xlfn.MAXIFS(BD!$A$3:$A$5001,BD!$B$3:$B$5001,F$245,BD!$A$3:$A$5001,"&gt;="&amp;$C$7,BD!$A$3:$A$5001,"&lt;="&amp;$B252,BD!$X$3:$X$5001,"&lt;&gt;"))))</f>
        <v/>
      </c>
      <c r="G252" s="54" t="str">
        <f>IF(OR($B252="",$A252&gt;$B$9,G$245=""),"",IF(COUNTIFS(BD!$B$3:$B$5001,G$245,BD!$A$3:$A$5001,"&gt;="&amp;$C$7,BD!$A$3:$A$5001,"&lt;="&amp;$B252,BD!$X$3:$X$5001,"&lt;&gt;")=0,"",SUMIFS(BD!$X$3:$X$5001,BD!$B$3:$B$5001,G$245,BD!$A$3:$A$5001,_xlfn.MAXIFS(BD!$A$3:$A$5001,BD!$B$3:$B$5001,G$245,BD!$A$3:$A$5001,"&gt;="&amp;$C$7,BD!$A$3:$A$5001,"&lt;="&amp;$B252,BD!$X$3:$X$5001,"&lt;&gt;"))))</f>
        <v/>
      </c>
      <c r="H252" s="54" t="str">
        <f>IF(OR($B252="",$A252&gt;$B$9,H$245=""),"",IF(COUNTIFS(BD!$B$3:$B$5001,H$245,BD!$A$3:$A$5001,"&gt;="&amp;$C$7,BD!$A$3:$A$5001,"&lt;="&amp;$B252,BD!$X$3:$X$5001,"&lt;&gt;")=0,"",SUMIFS(BD!$X$3:$X$5001,BD!$B$3:$B$5001,H$245,BD!$A$3:$A$5001,_xlfn.MAXIFS(BD!$A$3:$A$5001,BD!$B$3:$B$5001,H$245,BD!$A$3:$A$5001,"&gt;="&amp;$C$7,BD!$A$3:$A$5001,"&lt;="&amp;$B252,BD!$X$3:$X$5001,"&lt;&gt;"))))</f>
        <v/>
      </c>
      <c r="I252" s="54" t="str">
        <f>IF(OR($B252="",$A252&gt;$B$9,I$245=""),"",IF(COUNTIFS(BD!$B$3:$B$5001,I$245,BD!$A$3:$A$5001,"&gt;="&amp;$C$7,BD!$A$3:$A$5001,"&lt;="&amp;$B252,BD!$X$3:$X$5001,"&lt;&gt;")=0,"",SUMIFS(BD!$X$3:$X$5001,BD!$B$3:$B$5001,I$245,BD!$A$3:$A$5001,_xlfn.MAXIFS(BD!$A$3:$A$5001,BD!$B$3:$B$5001,I$245,BD!$A$3:$A$5001,"&gt;="&amp;$C$7,BD!$A$3:$A$5001,"&lt;="&amp;$B252,BD!$X$3:$X$5001,"&lt;&gt;"))))</f>
        <v/>
      </c>
      <c r="J252" s="54" t="str">
        <f>IF(OR($B252="",$A252&gt;$B$9,J$245=""),"",IF(COUNTIFS(BD!$B$3:$B$5001,J$245,BD!$A$3:$A$5001,"&gt;="&amp;$C$7,BD!$A$3:$A$5001,"&lt;="&amp;$B252,BD!$X$3:$X$5001,"&lt;&gt;")=0,"",SUMIFS(BD!$X$3:$X$5001,BD!$B$3:$B$5001,J$245,BD!$A$3:$A$5001,_xlfn.MAXIFS(BD!$A$3:$A$5001,BD!$B$3:$B$5001,J$245,BD!$A$3:$A$5001,"&gt;="&amp;$C$7,BD!$A$3:$A$5001,"&lt;="&amp;$B252,BD!$X$3:$X$5001,"&lt;&gt;"))))</f>
        <v/>
      </c>
      <c r="K252" s="54" t="str">
        <f>IF(OR($B252="",$A252&gt;$B$9,K$245=""),"",IF(COUNTIFS(BD!$B$3:$B$5001,K$245,BD!$A$3:$A$5001,"&gt;="&amp;$C$7,BD!$A$3:$A$5001,"&lt;="&amp;$B252,BD!$X$3:$X$5001,"&lt;&gt;")=0,"",SUMIFS(BD!$X$3:$X$5001,BD!$B$3:$B$5001,K$245,BD!$A$3:$A$5001,_xlfn.MAXIFS(BD!$A$3:$A$5001,BD!$B$3:$B$5001,K$245,BD!$A$3:$A$5001,"&gt;="&amp;$C$7,BD!$A$3:$A$5001,"&lt;="&amp;$B252,BD!$X$3:$X$5001,"&lt;&gt;"))))</f>
        <v/>
      </c>
      <c r="L252" s="54" t="str">
        <f>IF(OR($B252="",$A252&gt;$B$9,L$245=""),"",IF(COUNTIFS(BD!$B$3:$B$5001,L$245,BD!$A$3:$A$5001,"&gt;="&amp;$C$7,BD!$A$3:$A$5001,"&lt;="&amp;$B252,BD!$X$3:$X$5001,"&lt;&gt;")=0,"",SUMIFS(BD!$X$3:$X$5001,BD!$B$3:$B$5001,L$245,BD!$A$3:$A$5001,_xlfn.MAXIFS(BD!$A$3:$A$5001,BD!$B$3:$B$5001,L$245,BD!$A$3:$A$5001,"&gt;="&amp;$C$7,BD!$A$3:$A$5001,"&lt;="&amp;$B252,BD!$X$3:$X$5001,"&lt;&gt;"))))</f>
        <v/>
      </c>
      <c r="M252" s="54" t="str">
        <f>IF(OR($B252="",$A252&gt;$B$9,M$245=""),"",IF(COUNTIFS(BD!$B$3:$B$5001,M$245,BD!$A$3:$A$5001,"&gt;="&amp;$C$7,BD!$A$3:$A$5001,"&lt;="&amp;$B252,BD!$X$3:$X$5001,"&lt;&gt;")=0,"",SUMIFS(BD!$X$3:$X$5001,BD!$B$3:$B$5001,M$245,BD!$A$3:$A$5001,_xlfn.MAXIFS(BD!$A$3:$A$5001,BD!$B$3:$B$5001,M$245,BD!$A$3:$A$5001,"&gt;="&amp;$C$7,BD!$A$3:$A$5001,"&lt;="&amp;$B252,BD!$X$3:$X$5001,"&lt;&gt;"))))</f>
        <v/>
      </c>
      <c r="N252" s="54" t="str">
        <f>IF(OR($B252="",$A252&gt;$B$9,N$245=""),"",IF(COUNTIFS(BD!$B$3:$B$5001,N$245,BD!$A$3:$A$5001,"&gt;="&amp;$C$7,BD!$A$3:$A$5001,"&lt;="&amp;$B252,BD!$X$3:$X$5001,"&lt;&gt;")=0,"",SUMIFS(BD!$X$3:$X$5001,BD!$B$3:$B$5001,N$245,BD!$A$3:$A$5001,_xlfn.MAXIFS(BD!$A$3:$A$5001,BD!$B$3:$B$5001,N$245,BD!$A$3:$A$5001,"&gt;="&amp;$C$7,BD!$A$3:$A$5001,"&lt;="&amp;$B252,BD!$X$3:$X$5001,"&lt;&gt;"))))</f>
        <v/>
      </c>
      <c r="O252" s="54" t="str">
        <f>IF(OR($B252="",$A252&gt;$B$9,O$245=""),"",IF(COUNTIFS(BD!$B$3:$B$5001,O$245,BD!$A$3:$A$5001,"&gt;="&amp;$C$7,BD!$A$3:$A$5001,"&lt;="&amp;$B252,BD!$X$3:$X$5001,"&lt;&gt;")=0,"",SUMIFS(BD!$X$3:$X$5001,BD!$B$3:$B$5001,O$245,BD!$A$3:$A$5001,_xlfn.MAXIFS(BD!$A$3:$A$5001,BD!$B$3:$B$5001,O$245,BD!$A$3:$A$5001,"&gt;="&amp;$C$7,BD!$A$3:$A$5001,"&lt;="&amp;$B252,BD!$X$3:$X$5001,"&lt;&gt;"))))</f>
        <v/>
      </c>
      <c r="P252" s="54" t="str">
        <f>IF(OR($B252="",$A252&gt;$B$9,P$245=""),"",IF(COUNTIFS(BD!$B$3:$B$5001,P$245,BD!$A$3:$A$5001,"&gt;="&amp;$C$7,BD!$A$3:$A$5001,"&lt;="&amp;$B252,BD!$X$3:$X$5001,"&lt;&gt;")=0,"",SUMIFS(BD!$X$3:$X$5001,BD!$B$3:$B$5001,P$245,BD!$A$3:$A$5001,_xlfn.MAXIFS(BD!$A$3:$A$5001,BD!$B$3:$B$5001,P$245,BD!$A$3:$A$5001,"&gt;="&amp;$C$7,BD!$A$3:$A$5001,"&lt;="&amp;$B252,BD!$X$3:$X$5001,"&lt;&gt;"))))</f>
        <v/>
      </c>
      <c r="Q252" s="54" t="str">
        <f>IF(OR($B252="",$A252&gt;$B$9,Q$245=""),"",IF(COUNTIFS(BD!$B$3:$B$5001,Q$245,BD!$A$3:$A$5001,"&gt;="&amp;$C$7,BD!$A$3:$A$5001,"&lt;="&amp;$B252,BD!$X$3:$X$5001,"&lt;&gt;")=0,"",SUMIFS(BD!$X$3:$X$5001,BD!$B$3:$B$5001,Q$245,BD!$A$3:$A$5001,_xlfn.MAXIFS(BD!$A$3:$A$5001,BD!$B$3:$B$5001,Q$245,BD!$A$3:$A$5001,"&gt;="&amp;$C$7,BD!$A$3:$A$5001,"&lt;="&amp;$B252,BD!$X$3:$X$5001,"&lt;&gt;"))))</f>
        <v/>
      </c>
      <c r="R252" s="54" t="str">
        <f>IF(OR($B252="",$A252&gt;$B$9,R$245=""),"",IF(COUNTIFS(BD!$B$3:$B$5001,R$245,BD!$A$3:$A$5001,"&gt;="&amp;$C$7,BD!$A$3:$A$5001,"&lt;="&amp;$B252,BD!$X$3:$X$5001,"&lt;&gt;")=0,"",SUMIFS(BD!$X$3:$X$5001,BD!$B$3:$B$5001,R$245,BD!$A$3:$A$5001,_xlfn.MAXIFS(BD!$A$3:$A$5001,BD!$B$3:$B$5001,R$245,BD!$A$3:$A$5001,"&gt;="&amp;$C$7,BD!$A$3:$A$5001,"&lt;="&amp;$B252,BD!$X$3:$X$5001,"&lt;&gt;"))))</f>
        <v/>
      </c>
      <c r="S252" s="54" t="str">
        <f>IF(OR($B252="",$A252&gt;$B$9,S$245=""),"",IF(COUNTIFS(BD!$B$3:$B$5001,S$245,BD!$A$3:$A$5001,"&gt;="&amp;$C$7,BD!$A$3:$A$5001,"&lt;="&amp;$B252,BD!$X$3:$X$5001,"&lt;&gt;")=0,"",SUMIFS(BD!$X$3:$X$5001,BD!$B$3:$B$5001,S$245,BD!$A$3:$A$5001,_xlfn.MAXIFS(BD!$A$3:$A$5001,BD!$B$3:$B$5001,S$245,BD!$A$3:$A$5001,"&gt;="&amp;$C$7,BD!$A$3:$A$5001,"&lt;="&amp;$B252,BD!$X$3:$X$5001,"&lt;&gt;"))))</f>
        <v/>
      </c>
      <c r="T252" s="54" t="str">
        <f>IF(OR($B252="",$A252&gt;$B$9,T$245=""),"",IF(COUNTIFS(BD!$B$3:$B$5001,T$245,BD!$A$3:$A$5001,"&gt;="&amp;$C$7,BD!$A$3:$A$5001,"&lt;="&amp;$B252,BD!$X$3:$X$5001,"&lt;&gt;")=0,"",SUMIFS(BD!$X$3:$X$5001,BD!$B$3:$B$5001,T$245,BD!$A$3:$A$5001,_xlfn.MAXIFS(BD!$A$3:$A$5001,BD!$B$3:$B$5001,T$245,BD!$A$3:$A$5001,"&gt;="&amp;$C$7,BD!$A$3:$A$5001,"&lt;="&amp;$B252,BD!$X$3:$X$5001,"&lt;&gt;"))))</f>
        <v/>
      </c>
      <c r="U252" s="54" t="str">
        <f>IF(OR($B252="",$A252&gt;$B$9,U$245=""),"",IF(COUNTIFS(BD!$B$3:$B$5001,U$245,BD!$A$3:$A$5001,"&gt;="&amp;$C$7,BD!$A$3:$A$5001,"&lt;="&amp;$B252,BD!$X$3:$X$5001,"&lt;&gt;")=0,"",SUMIFS(BD!$X$3:$X$5001,BD!$B$3:$B$5001,U$245,BD!$A$3:$A$5001,_xlfn.MAXIFS(BD!$A$3:$A$5001,BD!$B$3:$B$5001,U$245,BD!$A$3:$A$5001,"&gt;="&amp;$C$7,BD!$A$3:$A$5001,"&lt;="&amp;$B252,BD!$X$3:$X$5001,"&lt;&gt;"))))</f>
        <v/>
      </c>
      <c r="V252" s="54" t="str">
        <f>IF(OR($B252="",$A252&gt;$B$9,V$245=""),"",IF(COUNTIFS(BD!$B$3:$B$5001,V$245,BD!$A$3:$A$5001,"&gt;="&amp;$C$7,BD!$A$3:$A$5001,"&lt;="&amp;$B252,BD!$X$3:$X$5001,"&lt;&gt;")=0,"",SUMIFS(BD!$X$3:$X$5001,BD!$B$3:$B$5001,V$245,BD!$A$3:$A$5001,_xlfn.MAXIFS(BD!$A$3:$A$5001,BD!$B$3:$B$5001,V$245,BD!$A$3:$A$5001,"&gt;="&amp;$C$7,BD!$A$3:$A$5001,"&lt;="&amp;$B252,BD!$X$3:$X$5001,"&lt;&gt;"))))</f>
        <v/>
      </c>
    </row>
    <row r="253">
      <c r="A253" s="48">
        <v>8</v>
      </c>
      <c r="B253" s="53">
        <f>$B$19</f>
        <v>46303</v>
      </c>
      <c r="C253" s="54" t="str">
        <f>IF(OR($B253="",$A253&gt;$B$9,C$245=""),"",IF(COUNTIFS(BD!$B$3:$B$5001,C$245,BD!$A$3:$A$5001,"&gt;="&amp;$C$7,BD!$A$3:$A$5001,"&lt;="&amp;$B253,BD!$X$3:$X$5001,"&lt;&gt;")=0,"",SUMIFS(BD!$X$3:$X$5001,BD!$B$3:$B$5001,C$245,BD!$A$3:$A$5001,_xlfn.MAXIFS(BD!$A$3:$A$5001,BD!$B$3:$B$5001,C$245,BD!$A$3:$A$5001,"&gt;="&amp;$C$7,BD!$A$3:$A$5001,"&lt;="&amp;$B253,BD!$X$3:$X$5001,"&lt;&gt;"))))</f>
        <v/>
      </c>
      <c r="D253" s="54" t="str">
        <f>IF(OR($B253="",$A253&gt;$B$9,D$245=""),"",IF(COUNTIFS(BD!$B$3:$B$5001,D$245,BD!$A$3:$A$5001,"&gt;="&amp;$C$7,BD!$A$3:$A$5001,"&lt;="&amp;$B253,BD!$X$3:$X$5001,"&lt;&gt;")=0,"",SUMIFS(BD!$X$3:$X$5001,BD!$B$3:$B$5001,D$245,BD!$A$3:$A$5001,_xlfn.MAXIFS(BD!$A$3:$A$5001,BD!$B$3:$B$5001,D$245,BD!$A$3:$A$5001,"&gt;="&amp;$C$7,BD!$A$3:$A$5001,"&lt;="&amp;$B253,BD!$X$3:$X$5001,"&lt;&gt;"))))</f>
        <v/>
      </c>
      <c r="E253" s="54" t="str">
        <f>IF(OR($B253="",$A253&gt;$B$9,E$245=""),"",IF(COUNTIFS(BD!$B$3:$B$5001,E$245,BD!$A$3:$A$5001,"&gt;="&amp;$C$7,BD!$A$3:$A$5001,"&lt;="&amp;$B253,BD!$X$3:$X$5001,"&lt;&gt;")=0,"",SUMIFS(BD!$X$3:$X$5001,BD!$B$3:$B$5001,E$245,BD!$A$3:$A$5001,_xlfn.MAXIFS(BD!$A$3:$A$5001,BD!$B$3:$B$5001,E$245,BD!$A$3:$A$5001,"&gt;="&amp;$C$7,BD!$A$3:$A$5001,"&lt;="&amp;$B253,BD!$X$3:$X$5001,"&lt;&gt;"))))</f>
        <v/>
      </c>
      <c r="F253" s="54" t="str">
        <f>IF(OR($B253="",$A253&gt;$B$9,F$245=""),"",IF(COUNTIFS(BD!$B$3:$B$5001,F$245,BD!$A$3:$A$5001,"&gt;="&amp;$C$7,BD!$A$3:$A$5001,"&lt;="&amp;$B253,BD!$X$3:$X$5001,"&lt;&gt;")=0,"",SUMIFS(BD!$X$3:$X$5001,BD!$B$3:$B$5001,F$245,BD!$A$3:$A$5001,_xlfn.MAXIFS(BD!$A$3:$A$5001,BD!$B$3:$B$5001,F$245,BD!$A$3:$A$5001,"&gt;="&amp;$C$7,BD!$A$3:$A$5001,"&lt;="&amp;$B253,BD!$X$3:$X$5001,"&lt;&gt;"))))</f>
        <v/>
      </c>
      <c r="G253" s="54" t="str">
        <f>IF(OR($B253="",$A253&gt;$B$9,G$245=""),"",IF(COUNTIFS(BD!$B$3:$B$5001,G$245,BD!$A$3:$A$5001,"&gt;="&amp;$C$7,BD!$A$3:$A$5001,"&lt;="&amp;$B253,BD!$X$3:$X$5001,"&lt;&gt;")=0,"",SUMIFS(BD!$X$3:$X$5001,BD!$B$3:$B$5001,G$245,BD!$A$3:$A$5001,_xlfn.MAXIFS(BD!$A$3:$A$5001,BD!$B$3:$B$5001,G$245,BD!$A$3:$A$5001,"&gt;="&amp;$C$7,BD!$A$3:$A$5001,"&lt;="&amp;$B253,BD!$X$3:$X$5001,"&lt;&gt;"))))</f>
        <v/>
      </c>
      <c r="H253" s="54" t="str">
        <f>IF(OR($B253="",$A253&gt;$B$9,H$245=""),"",IF(COUNTIFS(BD!$B$3:$B$5001,H$245,BD!$A$3:$A$5001,"&gt;="&amp;$C$7,BD!$A$3:$A$5001,"&lt;="&amp;$B253,BD!$X$3:$X$5001,"&lt;&gt;")=0,"",SUMIFS(BD!$X$3:$X$5001,BD!$B$3:$B$5001,H$245,BD!$A$3:$A$5001,_xlfn.MAXIFS(BD!$A$3:$A$5001,BD!$B$3:$B$5001,H$245,BD!$A$3:$A$5001,"&gt;="&amp;$C$7,BD!$A$3:$A$5001,"&lt;="&amp;$B253,BD!$X$3:$X$5001,"&lt;&gt;"))))</f>
        <v/>
      </c>
      <c r="I253" s="54" t="str">
        <f>IF(OR($B253="",$A253&gt;$B$9,I$245=""),"",IF(COUNTIFS(BD!$B$3:$B$5001,I$245,BD!$A$3:$A$5001,"&gt;="&amp;$C$7,BD!$A$3:$A$5001,"&lt;="&amp;$B253,BD!$X$3:$X$5001,"&lt;&gt;")=0,"",SUMIFS(BD!$X$3:$X$5001,BD!$B$3:$B$5001,I$245,BD!$A$3:$A$5001,_xlfn.MAXIFS(BD!$A$3:$A$5001,BD!$B$3:$B$5001,I$245,BD!$A$3:$A$5001,"&gt;="&amp;$C$7,BD!$A$3:$A$5001,"&lt;="&amp;$B253,BD!$X$3:$X$5001,"&lt;&gt;"))))</f>
        <v/>
      </c>
      <c r="J253" s="54" t="str">
        <f>IF(OR($B253="",$A253&gt;$B$9,J$245=""),"",IF(COUNTIFS(BD!$B$3:$B$5001,J$245,BD!$A$3:$A$5001,"&gt;="&amp;$C$7,BD!$A$3:$A$5001,"&lt;="&amp;$B253,BD!$X$3:$X$5001,"&lt;&gt;")=0,"",SUMIFS(BD!$X$3:$X$5001,BD!$B$3:$B$5001,J$245,BD!$A$3:$A$5001,_xlfn.MAXIFS(BD!$A$3:$A$5001,BD!$B$3:$B$5001,J$245,BD!$A$3:$A$5001,"&gt;="&amp;$C$7,BD!$A$3:$A$5001,"&lt;="&amp;$B253,BD!$X$3:$X$5001,"&lt;&gt;"))))</f>
        <v/>
      </c>
      <c r="K253" s="54" t="str">
        <f>IF(OR($B253="",$A253&gt;$B$9,K$245=""),"",IF(COUNTIFS(BD!$B$3:$B$5001,K$245,BD!$A$3:$A$5001,"&gt;="&amp;$C$7,BD!$A$3:$A$5001,"&lt;="&amp;$B253,BD!$X$3:$X$5001,"&lt;&gt;")=0,"",SUMIFS(BD!$X$3:$X$5001,BD!$B$3:$B$5001,K$245,BD!$A$3:$A$5001,_xlfn.MAXIFS(BD!$A$3:$A$5001,BD!$B$3:$B$5001,K$245,BD!$A$3:$A$5001,"&gt;="&amp;$C$7,BD!$A$3:$A$5001,"&lt;="&amp;$B253,BD!$X$3:$X$5001,"&lt;&gt;"))))</f>
        <v/>
      </c>
      <c r="L253" s="54" t="str">
        <f>IF(OR($B253="",$A253&gt;$B$9,L$245=""),"",IF(COUNTIFS(BD!$B$3:$B$5001,L$245,BD!$A$3:$A$5001,"&gt;="&amp;$C$7,BD!$A$3:$A$5001,"&lt;="&amp;$B253,BD!$X$3:$X$5001,"&lt;&gt;")=0,"",SUMIFS(BD!$X$3:$X$5001,BD!$B$3:$B$5001,L$245,BD!$A$3:$A$5001,_xlfn.MAXIFS(BD!$A$3:$A$5001,BD!$B$3:$B$5001,L$245,BD!$A$3:$A$5001,"&gt;="&amp;$C$7,BD!$A$3:$A$5001,"&lt;="&amp;$B253,BD!$X$3:$X$5001,"&lt;&gt;"))))</f>
        <v/>
      </c>
      <c r="M253" s="54" t="str">
        <f>IF(OR($B253="",$A253&gt;$B$9,M$245=""),"",IF(COUNTIFS(BD!$B$3:$B$5001,M$245,BD!$A$3:$A$5001,"&gt;="&amp;$C$7,BD!$A$3:$A$5001,"&lt;="&amp;$B253,BD!$X$3:$X$5001,"&lt;&gt;")=0,"",SUMIFS(BD!$X$3:$X$5001,BD!$B$3:$B$5001,M$245,BD!$A$3:$A$5001,_xlfn.MAXIFS(BD!$A$3:$A$5001,BD!$B$3:$B$5001,M$245,BD!$A$3:$A$5001,"&gt;="&amp;$C$7,BD!$A$3:$A$5001,"&lt;="&amp;$B253,BD!$X$3:$X$5001,"&lt;&gt;"))))</f>
        <v/>
      </c>
      <c r="N253" s="54" t="str">
        <f>IF(OR($B253="",$A253&gt;$B$9,N$245=""),"",IF(COUNTIFS(BD!$B$3:$B$5001,N$245,BD!$A$3:$A$5001,"&gt;="&amp;$C$7,BD!$A$3:$A$5001,"&lt;="&amp;$B253,BD!$X$3:$X$5001,"&lt;&gt;")=0,"",SUMIFS(BD!$X$3:$X$5001,BD!$B$3:$B$5001,N$245,BD!$A$3:$A$5001,_xlfn.MAXIFS(BD!$A$3:$A$5001,BD!$B$3:$B$5001,N$245,BD!$A$3:$A$5001,"&gt;="&amp;$C$7,BD!$A$3:$A$5001,"&lt;="&amp;$B253,BD!$X$3:$X$5001,"&lt;&gt;"))))</f>
        <v/>
      </c>
      <c r="O253" s="54" t="str">
        <f>IF(OR($B253="",$A253&gt;$B$9,O$245=""),"",IF(COUNTIFS(BD!$B$3:$B$5001,O$245,BD!$A$3:$A$5001,"&gt;="&amp;$C$7,BD!$A$3:$A$5001,"&lt;="&amp;$B253,BD!$X$3:$X$5001,"&lt;&gt;")=0,"",SUMIFS(BD!$X$3:$X$5001,BD!$B$3:$B$5001,O$245,BD!$A$3:$A$5001,_xlfn.MAXIFS(BD!$A$3:$A$5001,BD!$B$3:$B$5001,O$245,BD!$A$3:$A$5001,"&gt;="&amp;$C$7,BD!$A$3:$A$5001,"&lt;="&amp;$B253,BD!$X$3:$X$5001,"&lt;&gt;"))))</f>
        <v/>
      </c>
      <c r="P253" s="54" t="str">
        <f>IF(OR($B253="",$A253&gt;$B$9,P$245=""),"",IF(COUNTIFS(BD!$B$3:$B$5001,P$245,BD!$A$3:$A$5001,"&gt;="&amp;$C$7,BD!$A$3:$A$5001,"&lt;="&amp;$B253,BD!$X$3:$X$5001,"&lt;&gt;")=0,"",SUMIFS(BD!$X$3:$X$5001,BD!$B$3:$B$5001,P$245,BD!$A$3:$A$5001,_xlfn.MAXIFS(BD!$A$3:$A$5001,BD!$B$3:$B$5001,P$245,BD!$A$3:$A$5001,"&gt;="&amp;$C$7,BD!$A$3:$A$5001,"&lt;="&amp;$B253,BD!$X$3:$X$5001,"&lt;&gt;"))))</f>
        <v/>
      </c>
      <c r="Q253" s="54" t="str">
        <f>IF(OR($B253="",$A253&gt;$B$9,Q$245=""),"",IF(COUNTIFS(BD!$B$3:$B$5001,Q$245,BD!$A$3:$A$5001,"&gt;="&amp;$C$7,BD!$A$3:$A$5001,"&lt;="&amp;$B253,BD!$X$3:$X$5001,"&lt;&gt;")=0,"",SUMIFS(BD!$X$3:$X$5001,BD!$B$3:$B$5001,Q$245,BD!$A$3:$A$5001,_xlfn.MAXIFS(BD!$A$3:$A$5001,BD!$B$3:$B$5001,Q$245,BD!$A$3:$A$5001,"&gt;="&amp;$C$7,BD!$A$3:$A$5001,"&lt;="&amp;$B253,BD!$X$3:$X$5001,"&lt;&gt;"))))</f>
        <v/>
      </c>
      <c r="R253" s="54" t="str">
        <f>IF(OR($B253="",$A253&gt;$B$9,R$245=""),"",IF(COUNTIFS(BD!$B$3:$B$5001,R$245,BD!$A$3:$A$5001,"&gt;="&amp;$C$7,BD!$A$3:$A$5001,"&lt;="&amp;$B253,BD!$X$3:$X$5001,"&lt;&gt;")=0,"",SUMIFS(BD!$X$3:$X$5001,BD!$B$3:$B$5001,R$245,BD!$A$3:$A$5001,_xlfn.MAXIFS(BD!$A$3:$A$5001,BD!$B$3:$B$5001,R$245,BD!$A$3:$A$5001,"&gt;="&amp;$C$7,BD!$A$3:$A$5001,"&lt;="&amp;$B253,BD!$X$3:$X$5001,"&lt;&gt;"))))</f>
        <v/>
      </c>
      <c r="S253" s="54" t="str">
        <f>IF(OR($B253="",$A253&gt;$B$9,S$245=""),"",IF(COUNTIFS(BD!$B$3:$B$5001,S$245,BD!$A$3:$A$5001,"&gt;="&amp;$C$7,BD!$A$3:$A$5001,"&lt;="&amp;$B253,BD!$X$3:$X$5001,"&lt;&gt;")=0,"",SUMIFS(BD!$X$3:$X$5001,BD!$B$3:$B$5001,S$245,BD!$A$3:$A$5001,_xlfn.MAXIFS(BD!$A$3:$A$5001,BD!$B$3:$B$5001,S$245,BD!$A$3:$A$5001,"&gt;="&amp;$C$7,BD!$A$3:$A$5001,"&lt;="&amp;$B253,BD!$X$3:$X$5001,"&lt;&gt;"))))</f>
        <v/>
      </c>
      <c r="T253" s="54" t="str">
        <f>IF(OR($B253="",$A253&gt;$B$9,T$245=""),"",IF(COUNTIFS(BD!$B$3:$B$5001,T$245,BD!$A$3:$A$5001,"&gt;="&amp;$C$7,BD!$A$3:$A$5001,"&lt;="&amp;$B253,BD!$X$3:$X$5001,"&lt;&gt;")=0,"",SUMIFS(BD!$X$3:$X$5001,BD!$B$3:$B$5001,T$245,BD!$A$3:$A$5001,_xlfn.MAXIFS(BD!$A$3:$A$5001,BD!$B$3:$B$5001,T$245,BD!$A$3:$A$5001,"&gt;="&amp;$C$7,BD!$A$3:$A$5001,"&lt;="&amp;$B253,BD!$X$3:$X$5001,"&lt;&gt;"))))</f>
        <v/>
      </c>
      <c r="U253" s="54" t="str">
        <f>IF(OR($B253="",$A253&gt;$B$9,U$245=""),"",IF(COUNTIFS(BD!$B$3:$B$5001,U$245,BD!$A$3:$A$5001,"&gt;="&amp;$C$7,BD!$A$3:$A$5001,"&lt;="&amp;$B253,BD!$X$3:$X$5001,"&lt;&gt;")=0,"",SUMIFS(BD!$X$3:$X$5001,BD!$B$3:$B$5001,U$245,BD!$A$3:$A$5001,_xlfn.MAXIFS(BD!$A$3:$A$5001,BD!$B$3:$B$5001,U$245,BD!$A$3:$A$5001,"&gt;="&amp;$C$7,BD!$A$3:$A$5001,"&lt;="&amp;$B253,BD!$X$3:$X$5001,"&lt;&gt;"))))</f>
        <v/>
      </c>
      <c r="V253" s="54" t="str">
        <f>IF(OR($B253="",$A253&gt;$B$9,V$245=""),"",IF(COUNTIFS(BD!$B$3:$B$5001,V$245,BD!$A$3:$A$5001,"&gt;="&amp;$C$7,BD!$A$3:$A$5001,"&lt;="&amp;$B253,BD!$X$3:$X$5001,"&lt;&gt;")=0,"",SUMIFS(BD!$X$3:$X$5001,BD!$B$3:$B$5001,V$245,BD!$A$3:$A$5001,_xlfn.MAXIFS(BD!$A$3:$A$5001,BD!$B$3:$B$5001,V$245,BD!$A$3:$A$5001,"&gt;="&amp;$C$7,BD!$A$3:$A$5001,"&lt;="&amp;$B253,BD!$X$3:$X$5001,"&lt;&gt;"))))</f>
        <v/>
      </c>
    </row>
    <row r="254">
      <c r="A254" s="48">
        <v>9</v>
      </c>
      <c r="B254" s="53">
        <f>$B$20</f>
        <v>46304</v>
      </c>
      <c r="C254" s="54" t="str">
        <f>IF(OR($B254="",$A254&gt;$B$9,C$245=""),"",IF(COUNTIFS(BD!$B$3:$B$5001,C$245,BD!$A$3:$A$5001,"&gt;="&amp;$C$7,BD!$A$3:$A$5001,"&lt;="&amp;$B254,BD!$X$3:$X$5001,"&lt;&gt;")=0,"",SUMIFS(BD!$X$3:$X$5001,BD!$B$3:$B$5001,C$245,BD!$A$3:$A$5001,_xlfn.MAXIFS(BD!$A$3:$A$5001,BD!$B$3:$B$5001,C$245,BD!$A$3:$A$5001,"&gt;="&amp;$C$7,BD!$A$3:$A$5001,"&lt;="&amp;$B254,BD!$X$3:$X$5001,"&lt;&gt;"))))</f>
        <v/>
      </c>
      <c r="D254" s="54" t="str">
        <f>IF(OR($B254="",$A254&gt;$B$9,D$245=""),"",IF(COUNTIFS(BD!$B$3:$B$5001,D$245,BD!$A$3:$A$5001,"&gt;="&amp;$C$7,BD!$A$3:$A$5001,"&lt;="&amp;$B254,BD!$X$3:$X$5001,"&lt;&gt;")=0,"",SUMIFS(BD!$X$3:$X$5001,BD!$B$3:$B$5001,D$245,BD!$A$3:$A$5001,_xlfn.MAXIFS(BD!$A$3:$A$5001,BD!$B$3:$B$5001,D$245,BD!$A$3:$A$5001,"&gt;="&amp;$C$7,BD!$A$3:$A$5001,"&lt;="&amp;$B254,BD!$X$3:$X$5001,"&lt;&gt;"))))</f>
        <v/>
      </c>
      <c r="E254" s="54" t="str">
        <f>IF(OR($B254="",$A254&gt;$B$9,E$245=""),"",IF(COUNTIFS(BD!$B$3:$B$5001,E$245,BD!$A$3:$A$5001,"&gt;="&amp;$C$7,BD!$A$3:$A$5001,"&lt;="&amp;$B254,BD!$X$3:$X$5001,"&lt;&gt;")=0,"",SUMIFS(BD!$X$3:$X$5001,BD!$B$3:$B$5001,E$245,BD!$A$3:$A$5001,_xlfn.MAXIFS(BD!$A$3:$A$5001,BD!$B$3:$B$5001,E$245,BD!$A$3:$A$5001,"&gt;="&amp;$C$7,BD!$A$3:$A$5001,"&lt;="&amp;$B254,BD!$X$3:$X$5001,"&lt;&gt;"))))</f>
        <v/>
      </c>
      <c r="F254" s="54" t="str">
        <f>IF(OR($B254="",$A254&gt;$B$9,F$245=""),"",IF(COUNTIFS(BD!$B$3:$B$5001,F$245,BD!$A$3:$A$5001,"&gt;="&amp;$C$7,BD!$A$3:$A$5001,"&lt;="&amp;$B254,BD!$X$3:$X$5001,"&lt;&gt;")=0,"",SUMIFS(BD!$X$3:$X$5001,BD!$B$3:$B$5001,F$245,BD!$A$3:$A$5001,_xlfn.MAXIFS(BD!$A$3:$A$5001,BD!$B$3:$B$5001,F$245,BD!$A$3:$A$5001,"&gt;="&amp;$C$7,BD!$A$3:$A$5001,"&lt;="&amp;$B254,BD!$X$3:$X$5001,"&lt;&gt;"))))</f>
        <v/>
      </c>
      <c r="G254" s="54" t="str">
        <f>IF(OR($B254="",$A254&gt;$B$9,G$245=""),"",IF(COUNTIFS(BD!$B$3:$B$5001,G$245,BD!$A$3:$A$5001,"&gt;="&amp;$C$7,BD!$A$3:$A$5001,"&lt;="&amp;$B254,BD!$X$3:$X$5001,"&lt;&gt;")=0,"",SUMIFS(BD!$X$3:$X$5001,BD!$B$3:$B$5001,G$245,BD!$A$3:$A$5001,_xlfn.MAXIFS(BD!$A$3:$A$5001,BD!$B$3:$B$5001,G$245,BD!$A$3:$A$5001,"&gt;="&amp;$C$7,BD!$A$3:$A$5001,"&lt;="&amp;$B254,BD!$X$3:$X$5001,"&lt;&gt;"))))</f>
        <v/>
      </c>
      <c r="H254" s="54" t="str">
        <f>IF(OR($B254="",$A254&gt;$B$9,H$245=""),"",IF(COUNTIFS(BD!$B$3:$B$5001,H$245,BD!$A$3:$A$5001,"&gt;="&amp;$C$7,BD!$A$3:$A$5001,"&lt;="&amp;$B254,BD!$X$3:$X$5001,"&lt;&gt;")=0,"",SUMIFS(BD!$X$3:$X$5001,BD!$B$3:$B$5001,H$245,BD!$A$3:$A$5001,_xlfn.MAXIFS(BD!$A$3:$A$5001,BD!$B$3:$B$5001,H$245,BD!$A$3:$A$5001,"&gt;="&amp;$C$7,BD!$A$3:$A$5001,"&lt;="&amp;$B254,BD!$X$3:$X$5001,"&lt;&gt;"))))</f>
        <v/>
      </c>
      <c r="I254" s="54" t="str">
        <f>IF(OR($B254="",$A254&gt;$B$9,I$245=""),"",IF(COUNTIFS(BD!$B$3:$B$5001,I$245,BD!$A$3:$A$5001,"&gt;="&amp;$C$7,BD!$A$3:$A$5001,"&lt;="&amp;$B254,BD!$X$3:$X$5001,"&lt;&gt;")=0,"",SUMIFS(BD!$X$3:$X$5001,BD!$B$3:$B$5001,I$245,BD!$A$3:$A$5001,_xlfn.MAXIFS(BD!$A$3:$A$5001,BD!$B$3:$B$5001,I$245,BD!$A$3:$A$5001,"&gt;="&amp;$C$7,BD!$A$3:$A$5001,"&lt;="&amp;$B254,BD!$X$3:$X$5001,"&lt;&gt;"))))</f>
        <v/>
      </c>
      <c r="J254" s="54" t="str">
        <f>IF(OR($B254="",$A254&gt;$B$9,J$245=""),"",IF(COUNTIFS(BD!$B$3:$B$5001,J$245,BD!$A$3:$A$5001,"&gt;="&amp;$C$7,BD!$A$3:$A$5001,"&lt;="&amp;$B254,BD!$X$3:$X$5001,"&lt;&gt;")=0,"",SUMIFS(BD!$X$3:$X$5001,BD!$B$3:$B$5001,J$245,BD!$A$3:$A$5001,_xlfn.MAXIFS(BD!$A$3:$A$5001,BD!$B$3:$B$5001,J$245,BD!$A$3:$A$5001,"&gt;="&amp;$C$7,BD!$A$3:$A$5001,"&lt;="&amp;$B254,BD!$X$3:$X$5001,"&lt;&gt;"))))</f>
        <v/>
      </c>
      <c r="K254" s="54" t="str">
        <f>IF(OR($B254="",$A254&gt;$B$9,K$245=""),"",IF(COUNTIFS(BD!$B$3:$B$5001,K$245,BD!$A$3:$A$5001,"&gt;="&amp;$C$7,BD!$A$3:$A$5001,"&lt;="&amp;$B254,BD!$X$3:$X$5001,"&lt;&gt;")=0,"",SUMIFS(BD!$X$3:$X$5001,BD!$B$3:$B$5001,K$245,BD!$A$3:$A$5001,_xlfn.MAXIFS(BD!$A$3:$A$5001,BD!$B$3:$B$5001,K$245,BD!$A$3:$A$5001,"&gt;="&amp;$C$7,BD!$A$3:$A$5001,"&lt;="&amp;$B254,BD!$X$3:$X$5001,"&lt;&gt;"))))</f>
        <v/>
      </c>
      <c r="L254" s="54" t="str">
        <f>IF(OR($B254="",$A254&gt;$B$9,L$245=""),"",IF(COUNTIFS(BD!$B$3:$B$5001,L$245,BD!$A$3:$A$5001,"&gt;="&amp;$C$7,BD!$A$3:$A$5001,"&lt;="&amp;$B254,BD!$X$3:$X$5001,"&lt;&gt;")=0,"",SUMIFS(BD!$X$3:$X$5001,BD!$B$3:$B$5001,L$245,BD!$A$3:$A$5001,_xlfn.MAXIFS(BD!$A$3:$A$5001,BD!$B$3:$B$5001,L$245,BD!$A$3:$A$5001,"&gt;="&amp;$C$7,BD!$A$3:$A$5001,"&lt;="&amp;$B254,BD!$X$3:$X$5001,"&lt;&gt;"))))</f>
        <v/>
      </c>
      <c r="M254" s="54" t="str">
        <f>IF(OR($B254="",$A254&gt;$B$9,M$245=""),"",IF(COUNTIFS(BD!$B$3:$B$5001,M$245,BD!$A$3:$A$5001,"&gt;="&amp;$C$7,BD!$A$3:$A$5001,"&lt;="&amp;$B254,BD!$X$3:$X$5001,"&lt;&gt;")=0,"",SUMIFS(BD!$X$3:$X$5001,BD!$B$3:$B$5001,M$245,BD!$A$3:$A$5001,_xlfn.MAXIFS(BD!$A$3:$A$5001,BD!$B$3:$B$5001,M$245,BD!$A$3:$A$5001,"&gt;="&amp;$C$7,BD!$A$3:$A$5001,"&lt;="&amp;$B254,BD!$X$3:$X$5001,"&lt;&gt;"))))</f>
        <v/>
      </c>
      <c r="N254" s="54" t="str">
        <f>IF(OR($B254="",$A254&gt;$B$9,N$245=""),"",IF(COUNTIFS(BD!$B$3:$B$5001,N$245,BD!$A$3:$A$5001,"&gt;="&amp;$C$7,BD!$A$3:$A$5001,"&lt;="&amp;$B254,BD!$X$3:$X$5001,"&lt;&gt;")=0,"",SUMIFS(BD!$X$3:$X$5001,BD!$B$3:$B$5001,N$245,BD!$A$3:$A$5001,_xlfn.MAXIFS(BD!$A$3:$A$5001,BD!$B$3:$B$5001,N$245,BD!$A$3:$A$5001,"&gt;="&amp;$C$7,BD!$A$3:$A$5001,"&lt;="&amp;$B254,BD!$X$3:$X$5001,"&lt;&gt;"))))</f>
        <v/>
      </c>
      <c r="O254" s="54" t="str">
        <f>IF(OR($B254="",$A254&gt;$B$9,O$245=""),"",IF(COUNTIFS(BD!$B$3:$B$5001,O$245,BD!$A$3:$A$5001,"&gt;="&amp;$C$7,BD!$A$3:$A$5001,"&lt;="&amp;$B254,BD!$X$3:$X$5001,"&lt;&gt;")=0,"",SUMIFS(BD!$X$3:$X$5001,BD!$B$3:$B$5001,O$245,BD!$A$3:$A$5001,_xlfn.MAXIFS(BD!$A$3:$A$5001,BD!$B$3:$B$5001,O$245,BD!$A$3:$A$5001,"&gt;="&amp;$C$7,BD!$A$3:$A$5001,"&lt;="&amp;$B254,BD!$X$3:$X$5001,"&lt;&gt;"))))</f>
        <v/>
      </c>
      <c r="P254" s="54" t="str">
        <f>IF(OR($B254="",$A254&gt;$B$9,P$245=""),"",IF(COUNTIFS(BD!$B$3:$B$5001,P$245,BD!$A$3:$A$5001,"&gt;="&amp;$C$7,BD!$A$3:$A$5001,"&lt;="&amp;$B254,BD!$X$3:$X$5001,"&lt;&gt;")=0,"",SUMIFS(BD!$X$3:$X$5001,BD!$B$3:$B$5001,P$245,BD!$A$3:$A$5001,_xlfn.MAXIFS(BD!$A$3:$A$5001,BD!$B$3:$B$5001,P$245,BD!$A$3:$A$5001,"&gt;="&amp;$C$7,BD!$A$3:$A$5001,"&lt;="&amp;$B254,BD!$X$3:$X$5001,"&lt;&gt;"))))</f>
        <v/>
      </c>
      <c r="Q254" s="54" t="str">
        <f>IF(OR($B254="",$A254&gt;$B$9,Q$245=""),"",IF(COUNTIFS(BD!$B$3:$B$5001,Q$245,BD!$A$3:$A$5001,"&gt;="&amp;$C$7,BD!$A$3:$A$5001,"&lt;="&amp;$B254,BD!$X$3:$X$5001,"&lt;&gt;")=0,"",SUMIFS(BD!$X$3:$X$5001,BD!$B$3:$B$5001,Q$245,BD!$A$3:$A$5001,_xlfn.MAXIFS(BD!$A$3:$A$5001,BD!$B$3:$B$5001,Q$245,BD!$A$3:$A$5001,"&gt;="&amp;$C$7,BD!$A$3:$A$5001,"&lt;="&amp;$B254,BD!$X$3:$X$5001,"&lt;&gt;"))))</f>
        <v/>
      </c>
      <c r="R254" s="54" t="str">
        <f>IF(OR($B254="",$A254&gt;$B$9,R$245=""),"",IF(COUNTIFS(BD!$B$3:$B$5001,R$245,BD!$A$3:$A$5001,"&gt;="&amp;$C$7,BD!$A$3:$A$5001,"&lt;="&amp;$B254,BD!$X$3:$X$5001,"&lt;&gt;")=0,"",SUMIFS(BD!$X$3:$X$5001,BD!$B$3:$B$5001,R$245,BD!$A$3:$A$5001,_xlfn.MAXIFS(BD!$A$3:$A$5001,BD!$B$3:$B$5001,R$245,BD!$A$3:$A$5001,"&gt;="&amp;$C$7,BD!$A$3:$A$5001,"&lt;="&amp;$B254,BD!$X$3:$X$5001,"&lt;&gt;"))))</f>
        <v/>
      </c>
      <c r="S254" s="54" t="str">
        <f>IF(OR($B254="",$A254&gt;$B$9,S$245=""),"",IF(COUNTIFS(BD!$B$3:$B$5001,S$245,BD!$A$3:$A$5001,"&gt;="&amp;$C$7,BD!$A$3:$A$5001,"&lt;="&amp;$B254,BD!$X$3:$X$5001,"&lt;&gt;")=0,"",SUMIFS(BD!$X$3:$X$5001,BD!$B$3:$B$5001,S$245,BD!$A$3:$A$5001,_xlfn.MAXIFS(BD!$A$3:$A$5001,BD!$B$3:$B$5001,S$245,BD!$A$3:$A$5001,"&gt;="&amp;$C$7,BD!$A$3:$A$5001,"&lt;="&amp;$B254,BD!$X$3:$X$5001,"&lt;&gt;"))))</f>
        <v/>
      </c>
      <c r="T254" s="54" t="str">
        <f>IF(OR($B254="",$A254&gt;$B$9,T$245=""),"",IF(COUNTIFS(BD!$B$3:$B$5001,T$245,BD!$A$3:$A$5001,"&gt;="&amp;$C$7,BD!$A$3:$A$5001,"&lt;="&amp;$B254,BD!$X$3:$X$5001,"&lt;&gt;")=0,"",SUMIFS(BD!$X$3:$X$5001,BD!$B$3:$B$5001,T$245,BD!$A$3:$A$5001,_xlfn.MAXIFS(BD!$A$3:$A$5001,BD!$B$3:$B$5001,T$245,BD!$A$3:$A$5001,"&gt;="&amp;$C$7,BD!$A$3:$A$5001,"&lt;="&amp;$B254,BD!$X$3:$X$5001,"&lt;&gt;"))))</f>
        <v/>
      </c>
      <c r="U254" s="54" t="str">
        <f>IF(OR($B254="",$A254&gt;$B$9,U$245=""),"",IF(COUNTIFS(BD!$B$3:$B$5001,U$245,BD!$A$3:$A$5001,"&gt;="&amp;$C$7,BD!$A$3:$A$5001,"&lt;="&amp;$B254,BD!$X$3:$X$5001,"&lt;&gt;")=0,"",SUMIFS(BD!$X$3:$X$5001,BD!$B$3:$B$5001,U$245,BD!$A$3:$A$5001,_xlfn.MAXIFS(BD!$A$3:$A$5001,BD!$B$3:$B$5001,U$245,BD!$A$3:$A$5001,"&gt;="&amp;$C$7,BD!$A$3:$A$5001,"&lt;="&amp;$B254,BD!$X$3:$X$5001,"&lt;&gt;"))))</f>
        <v/>
      </c>
      <c r="V254" s="54" t="str">
        <f>IF(OR($B254="",$A254&gt;$B$9,V$245=""),"",IF(COUNTIFS(BD!$B$3:$B$5001,V$245,BD!$A$3:$A$5001,"&gt;="&amp;$C$7,BD!$A$3:$A$5001,"&lt;="&amp;$B254,BD!$X$3:$X$5001,"&lt;&gt;")=0,"",SUMIFS(BD!$X$3:$X$5001,BD!$B$3:$B$5001,V$245,BD!$A$3:$A$5001,_xlfn.MAXIFS(BD!$A$3:$A$5001,BD!$B$3:$B$5001,V$245,BD!$A$3:$A$5001,"&gt;="&amp;$C$7,BD!$A$3:$A$5001,"&lt;="&amp;$B254,BD!$X$3:$X$5001,"&lt;&gt;"))))</f>
        <v/>
      </c>
    </row>
    <row r="255">
      <c r="A255" s="48">
        <v>10</v>
      </c>
      <c r="B255" s="53">
        <f>$B$21</f>
        <v>46305</v>
      </c>
      <c r="C255" s="54" t="str">
        <f>IF(OR($B255="",$A255&gt;$B$9,C$245=""),"",IF(COUNTIFS(BD!$B$3:$B$5001,C$245,BD!$A$3:$A$5001,"&gt;="&amp;$C$7,BD!$A$3:$A$5001,"&lt;="&amp;$B255,BD!$X$3:$X$5001,"&lt;&gt;")=0,"",SUMIFS(BD!$X$3:$X$5001,BD!$B$3:$B$5001,C$245,BD!$A$3:$A$5001,_xlfn.MAXIFS(BD!$A$3:$A$5001,BD!$B$3:$B$5001,C$245,BD!$A$3:$A$5001,"&gt;="&amp;$C$7,BD!$A$3:$A$5001,"&lt;="&amp;$B255,BD!$X$3:$X$5001,"&lt;&gt;"))))</f>
        <v/>
      </c>
      <c r="D255" s="54" t="str">
        <f>IF(OR($B255="",$A255&gt;$B$9,D$245=""),"",IF(COUNTIFS(BD!$B$3:$B$5001,D$245,BD!$A$3:$A$5001,"&gt;="&amp;$C$7,BD!$A$3:$A$5001,"&lt;="&amp;$B255,BD!$X$3:$X$5001,"&lt;&gt;")=0,"",SUMIFS(BD!$X$3:$X$5001,BD!$B$3:$B$5001,D$245,BD!$A$3:$A$5001,_xlfn.MAXIFS(BD!$A$3:$A$5001,BD!$B$3:$B$5001,D$245,BD!$A$3:$A$5001,"&gt;="&amp;$C$7,BD!$A$3:$A$5001,"&lt;="&amp;$B255,BD!$X$3:$X$5001,"&lt;&gt;"))))</f>
        <v/>
      </c>
      <c r="E255" s="54" t="str">
        <f>IF(OR($B255="",$A255&gt;$B$9,E$245=""),"",IF(COUNTIFS(BD!$B$3:$B$5001,E$245,BD!$A$3:$A$5001,"&gt;="&amp;$C$7,BD!$A$3:$A$5001,"&lt;="&amp;$B255,BD!$X$3:$X$5001,"&lt;&gt;")=0,"",SUMIFS(BD!$X$3:$X$5001,BD!$B$3:$B$5001,E$245,BD!$A$3:$A$5001,_xlfn.MAXIFS(BD!$A$3:$A$5001,BD!$B$3:$B$5001,E$245,BD!$A$3:$A$5001,"&gt;="&amp;$C$7,BD!$A$3:$A$5001,"&lt;="&amp;$B255,BD!$X$3:$X$5001,"&lt;&gt;"))))</f>
        <v/>
      </c>
      <c r="F255" s="54" t="str">
        <f>IF(OR($B255="",$A255&gt;$B$9,F$245=""),"",IF(COUNTIFS(BD!$B$3:$B$5001,F$245,BD!$A$3:$A$5001,"&gt;="&amp;$C$7,BD!$A$3:$A$5001,"&lt;="&amp;$B255,BD!$X$3:$X$5001,"&lt;&gt;")=0,"",SUMIFS(BD!$X$3:$X$5001,BD!$B$3:$B$5001,F$245,BD!$A$3:$A$5001,_xlfn.MAXIFS(BD!$A$3:$A$5001,BD!$B$3:$B$5001,F$245,BD!$A$3:$A$5001,"&gt;="&amp;$C$7,BD!$A$3:$A$5001,"&lt;="&amp;$B255,BD!$X$3:$X$5001,"&lt;&gt;"))))</f>
        <v/>
      </c>
      <c r="G255" s="54" t="str">
        <f>IF(OR($B255="",$A255&gt;$B$9,G$245=""),"",IF(COUNTIFS(BD!$B$3:$B$5001,G$245,BD!$A$3:$A$5001,"&gt;="&amp;$C$7,BD!$A$3:$A$5001,"&lt;="&amp;$B255,BD!$X$3:$X$5001,"&lt;&gt;")=0,"",SUMIFS(BD!$X$3:$X$5001,BD!$B$3:$B$5001,G$245,BD!$A$3:$A$5001,_xlfn.MAXIFS(BD!$A$3:$A$5001,BD!$B$3:$B$5001,G$245,BD!$A$3:$A$5001,"&gt;="&amp;$C$7,BD!$A$3:$A$5001,"&lt;="&amp;$B255,BD!$X$3:$X$5001,"&lt;&gt;"))))</f>
        <v/>
      </c>
      <c r="H255" s="54" t="str">
        <f>IF(OR($B255="",$A255&gt;$B$9,H$245=""),"",IF(COUNTIFS(BD!$B$3:$B$5001,H$245,BD!$A$3:$A$5001,"&gt;="&amp;$C$7,BD!$A$3:$A$5001,"&lt;="&amp;$B255,BD!$X$3:$X$5001,"&lt;&gt;")=0,"",SUMIFS(BD!$X$3:$X$5001,BD!$B$3:$B$5001,H$245,BD!$A$3:$A$5001,_xlfn.MAXIFS(BD!$A$3:$A$5001,BD!$B$3:$B$5001,H$245,BD!$A$3:$A$5001,"&gt;="&amp;$C$7,BD!$A$3:$A$5001,"&lt;="&amp;$B255,BD!$X$3:$X$5001,"&lt;&gt;"))))</f>
        <v/>
      </c>
      <c r="I255" s="54" t="str">
        <f>IF(OR($B255="",$A255&gt;$B$9,I$245=""),"",IF(COUNTIFS(BD!$B$3:$B$5001,I$245,BD!$A$3:$A$5001,"&gt;="&amp;$C$7,BD!$A$3:$A$5001,"&lt;="&amp;$B255,BD!$X$3:$X$5001,"&lt;&gt;")=0,"",SUMIFS(BD!$X$3:$X$5001,BD!$B$3:$B$5001,I$245,BD!$A$3:$A$5001,_xlfn.MAXIFS(BD!$A$3:$A$5001,BD!$B$3:$B$5001,I$245,BD!$A$3:$A$5001,"&gt;="&amp;$C$7,BD!$A$3:$A$5001,"&lt;="&amp;$B255,BD!$X$3:$X$5001,"&lt;&gt;"))))</f>
        <v/>
      </c>
      <c r="J255" s="54" t="str">
        <f>IF(OR($B255="",$A255&gt;$B$9,J$245=""),"",IF(COUNTIFS(BD!$B$3:$B$5001,J$245,BD!$A$3:$A$5001,"&gt;="&amp;$C$7,BD!$A$3:$A$5001,"&lt;="&amp;$B255,BD!$X$3:$X$5001,"&lt;&gt;")=0,"",SUMIFS(BD!$X$3:$X$5001,BD!$B$3:$B$5001,J$245,BD!$A$3:$A$5001,_xlfn.MAXIFS(BD!$A$3:$A$5001,BD!$B$3:$B$5001,J$245,BD!$A$3:$A$5001,"&gt;="&amp;$C$7,BD!$A$3:$A$5001,"&lt;="&amp;$B255,BD!$X$3:$X$5001,"&lt;&gt;"))))</f>
        <v/>
      </c>
      <c r="K255" s="54" t="str">
        <f>IF(OR($B255="",$A255&gt;$B$9,K$245=""),"",IF(COUNTIFS(BD!$B$3:$B$5001,K$245,BD!$A$3:$A$5001,"&gt;="&amp;$C$7,BD!$A$3:$A$5001,"&lt;="&amp;$B255,BD!$X$3:$X$5001,"&lt;&gt;")=0,"",SUMIFS(BD!$X$3:$X$5001,BD!$B$3:$B$5001,K$245,BD!$A$3:$A$5001,_xlfn.MAXIFS(BD!$A$3:$A$5001,BD!$B$3:$B$5001,K$245,BD!$A$3:$A$5001,"&gt;="&amp;$C$7,BD!$A$3:$A$5001,"&lt;="&amp;$B255,BD!$X$3:$X$5001,"&lt;&gt;"))))</f>
        <v/>
      </c>
      <c r="L255" s="54" t="str">
        <f>IF(OR($B255="",$A255&gt;$B$9,L$245=""),"",IF(COUNTIFS(BD!$B$3:$B$5001,L$245,BD!$A$3:$A$5001,"&gt;="&amp;$C$7,BD!$A$3:$A$5001,"&lt;="&amp;$B255,BD!$X$3:$X$5001,"&lt;&gt;")=0,"",SUMIFS(BD!$X$3:$X$5001,BD!$B$3:$B$5001,L$245,BD!$A$3:$A$5001,_xlfn.MAXIFS(BD!$A$3:$A$5001,BD!$B$3:$B$5001,L$245,BD!$A$3:$A$5001,"&gt;="&amp;$C$7,BD!$A$3:$A$5001,"&lt;="&amp;$B255,BD!$X$3:$X$5001,"&lt;&gt;"))))</f>
        <v/>
      </c>
      <c r="M255" s="54" t="str">
        <f>IF(OR($B255="",$A255&gt;$B$9,M$245=""),"",IF(COUNTIFS(BD!$B$3:$B$5001,M$245,BD!$A$3:$A$5001,"&gt;="&amp;$C$7,BD!$A$3:$A$5001,"&lt;="&amp;$B255,BD!$X$3:$X$5001,"&lt;&gt;")=0,"",SUMIFS(BD!$X$3:$X$5001,BD!$B$3:$B$5001,M$245,BD!$A$3:$A$5001,_xlfn.MAXIFS(BD!$A$3:$A$5001,BD!$B$3:$B$5001,M$245,BD!$A$3:$A$5001,"&gt;="&amp;$C$7,BD!$A$3:$A$5001,"&lt;="&amp;$B255,BD!$X$3:$X$5001,"&lt;&gt;"))))</f>
        <v/>
      </c>
      <c r="N255" s="54" t="str">
        <f>IF(OR($B255="",$A255&gt;$B$9,N$245=""),"",IF(COUNTIFS(BD!$B$3:$B$5001,N$245,BD!$A$3:$A$5001,"&gt;="&amp;$C$7,BD!$A$3:$A$5001,"&lt;="&amp;$B255,BD!$X$3:$X$5001,"&lt;&gt;")=0,"",SUMIFS(BD!$X$3:$X$5001,BD!$B$3:$B$5001,N$245,BD!$A$3:$A$5001,_xlfn.MAXIFS(BD!$A$3:$A$5001,BD!$B$3:$B$5001,N$245,BD!$A$3:$A$5001,"&gt;="&amp;$C$7,BD!$A$3:$A$5001,"&lt;="&amp;$B255,BD!$X$3:$X$5001,"&lt;&gt;"))))</f>
        <v/>
      </c>
      <c r="O255" s="54" t="str">
        <f>IF(OR($B255="",$A255&gt;$B$9,O$245=""),"",IF(COUNTIFS(BD!$B$3:$B$5001,O$245,BD!$A$3:$A$5001,"&gt;="&amp;$C$7,BD!$A$3:$A$5001,"&lt;="&amp;$B255,BD!$X$3:$X$5001,"&lt;&gt;")=0,"",SUMIFS(BD!$X$3:$X$5001,BD!$B$3:$B$5001,O$245,BD!$A$3:$A$5001,_xlfn.MAXIFS(BD!$A$3:$A$5001,BD!$B$3:$B$5001,O$245,BD!$A$3:$A$5001,"&gt;="&amp;$C$7,BD!$A$3:$A$5001,"&lt;="&amp;$B255,BD!$X$3:$X$5001,"&lt;&gt;"))))</f>
        <v/>
      </c>
      <c r="P255" s="54" t="str">
        <f>IF(OR($B255="",$A255&gt;$B$9,P$245=""),"",IF(COUNTIFS(BD!$B$3:$B$5001,P$245,BD!$A$3:$A$5001,"&gt;="&amp;$C$7,BD!$A$3:$A$5001,"&lt;="&amp;$B255,BD!$X$3:$X$5001,"&lt;&gt;")=0,"",SUMIFS(BD!$X$3:$X$5001,BD!$B$3:$B$5001,P$245,BD!$A$3:$A$5001,_xlfn.MAXIFS(BD!$A$3:$A$5001,BD!$B$3:$B$5001,P$245,BD!$A$3:$A$5001,"&gt;="&amp;$C$7,BD!$A$3:$A$5001,"&lt;="&amp;$B255,BD!$X$3:$X$5001,"&lt;&gt;"))))</f>
        <v/>
      </c>
      <c r="Q255" s="54" t="str">
        <f>IF(OR($B255="",$A255&gt;$B$9,Q$245=""),"",IF(COUNTIFS(BD!$B$3:$B$5001,Q$245,BD!$A$3:$A$5001,"&gt;="&amp;$C$7,BD!$A$3:$A$5001,"&lt;="&amp;$B255,BD!$X$3:$X$5001,"&lt;&gt;")=0,"",SUMIFS(BD!$X$3:$X$5001,BD!$B$3:$B$5001,Q$245,BD!$A$3:$A$5001,_xlfn.MAXIFS(BD!$A$3:$A$5001,BD!$B$3:$B$5001,Q$245,BD!$A$3:$A$5001,"&gt;="&amp;$C$7,BD!$A$3:$A$5001,"&lt;="&amp;$B255,BD!$X$3:$X$5001,"&lt;&gt;"))))</f>
        <v/>
      </c>
      <c r="R255" s="54" t="str">
        <f>IF(OR($B255="",$A255&gt;$B$9,R$245=""),"",IF(COUNTIFS(BD!$B$3:$B$5001,R$245,BD!$A$3:$A$5001,"&gt;="&amp;$C$7,BD!$A$3:$A$5001,"&lt;="&amp;$B255,BD!$X$3:$X$5001,"&lt;&gt;")=0,"",SUMIFS(BD!$X$3:$X$5001,BD!$B$3:$B$5001,R$245,BD!$A$3:$A$5001,_xlfn.MAXIFS(BD!$A$3:$A$5001,BD!$B$3:$B$5001,R$245,BD!$A$3:$A$5001,"&gt;="&amp;$C$7,BD!$A$3:$A$5001,"&lt;="&amp;$B255,BD!$X$3:$X$5001,"&lt;&gt;"))))</f>
        <v/>
      </c>
      <c r="S255" s="54" t="str">
        <f>IF(OR($B255="",$A255&gt;$B$9,S$245=""),"",IF(COUNTIFS(BD!$B$3:$B$5001,S$245,BD!$A$3:$A$5001,"&gt;="&amp;$C$7,BD!$A$3:$A$5001,"&lt;="&amp;$B255,BD!$X$3:$X$5001,"&lt;&gt;")=0,"",SUMIFS(BD!$X$3:$X$5001,BD!$B$3:$B$5001,S$245,BD!$A$3:$A$5001,_xlfn.MAXIFS(BD!$A$3:$A$5001,BD!$B$3:$B$5001,S$245,BD!$A$3:$A$5001,"&gt;="&amp;$C$7,BD!$A$3:$A$5001,"&lt;="&amp;$B255,BD!$X$3:$X$5001,"&lt;&gt;"))))</f>
        <v/>
      </c>
      <c r="T255" s="54" t="str">
        <f>IF(OR($B255="",$A255&gt;$B$9,T$245=""),"",IF(COUNTIFS(BD!$B$3:$B$5001,T$245,BD!$A$3:$A$5001,"&gt;="&amp;$C$7,BD!$A$3:$A$5001,"&lt;="&amp;$B255,BD!$X$3:$X$5001,"&lt;&gt;")=0,"",SUMIFS(BD!$X$3:$X$5001,BD!$B$3:$B$5001,T$245,BD!$A$3:$A$5001,_xlfn.MAXIFS(BD!$A$3:$A$5001,BD!$B$3:$B$5001,T$245,BD!$A$3:$A$5001,"&gt;="&amp;$C$7,BD!$A$3:$A$5001,"&lt;="&amp;$B255,BD!$X$3:$X$5001,"&lt;&gt;"))))</f>
        <v/>
      </c>
      <c r="U255" s="54" t="str">
        <f>IF(OR($B255="",$A255&gt;$B$9,U$245=""),"",IF(COUNTIFS(BD!$B$3:$B$5001,U$245,BD!$A$3:$A$5001,"&gt;="&amp;$C$7,BD!$A$3:$A$5001,"&lt;="&amp;$B255,BD!$X$3:$X$5001,"&lt;&gt;")=0,"",SUMIFS(BD!$X$3:$X$5001,BD!$B$3:$B$5001,U$245,BD!$A$3:$A$5001,_xlfn.MAXIFS(BD!$A$3:$A$5001,BD!$B$3:$B$5001,U$245,BD!$A$3:$A$5001,"&gt;="&amp;$C$7,BD!$A$3:$A$5001,"&lt;="&amp;$B255,BD!$X$3:$X$5001,"&lt;&gt;"))))</f>
        <v/>
      </c>
      <c r="V255" s="54" t="str">
        <f>IF(OR($B255="",$A255&gt;$B$9,V$245=""),"",IF(COUNTIFS(BD!$B$3:$B$5001,V$245,BD!$A$3:$A$5001,"&gt;="&amp;$C$7,BD!$A$3:$A$5001,"&lt;="&amp;$B255,BD!$X$3:$X$5001,"&lt;&gt;")=0,"",SUMIFS(BD!$X$3:$X$5001,BD!$B$3:$B$5001,V$245,BD!$A$3:$A$5001,_xlfn.MAXIFS(BD!$A$3:$A$5001,BD!$B$3:$B$5001,V$245,BD!$A$3:$A$5001,"&gt;="&amp;$C$7,BD!$A$3:$A$5001,"&lt;="&amp;$B255,BD!$X$3:$X$5001,"&lt;&gt;"))))</f>
        <v/>
      </c>
    </row>
    <row r="256">
      <c r="A256" s="48">
        <v>11</v>
      </c>
      <c r="B256" s="53">
        <f>$B$22</f>
        <v>46306</v>
      </c>
      <c r="C256" s="54" t="str">
        <f>IF(OR($B256="",$A256&gt;$B$9,C$245=""),"",IF(COUNTIFS(BD!$B$3:$B$5001,C$245,BD!$A$3:$A$5001,"&gt;="&amp;$C$7,BD!$A$3:$A$5001,"&lt;="&amp;$B256,BD!$X$3:$X$5001,"&lt;&gt;")=0,"",SUMIFS(BD!$X$3:$X$5001,BD!$B$3:$B$5001,C$245,BD!$A$3:$A$5001,_xlfn.MAXIFS(BD!$A$3:$A$5001,BD!$B$3:$B$5001,C$245,BD!$A$3:$A$5001,"&gt;="&amp;$C$7,BD!$A$3:$A$5001,"&lt;="&amp;$B256,BD!$X$3:$X$5001,"&lt;&gt;"))))</f>
        <v/>
      </c>
      <c r="D256" s="54" t="str">
        <f>IF(OR($B256="",$A256&gt;$B$9,D$245=""),"",IF(COUNTIFS(BD!$B$3:$B$5001,D$245,BD!$A$3:$A$5001,"&gt;="&amp;$C$7,BD!$A$3:$A$5001,"&lt;="&amp;$B256,BD!$X$3:$X$5001,"&lt;&gt;")=0,"",SUMIFS(BD!$X$3:$X$5001,BD!$B$3:$B$5001,D$245,BD!$A$3:$A$5001,_xlfn.MAXIFS(BD!$A$3:$A$5001,BD!$B$3:$B$5001,D$245,BD!$A$3:$A$5001,"&gt;="&amp;$C$7,BD!$A$3:$A$5001,"&lt;="&amp;$B256,BD!$X$3:$X$5001,"&lt;&gt;"))))</f>
        <v/>
      </c>
      <c r="E256" s="54" t="str">
        <f>IF(OR($B256="",$A256&gt;$B$9,E$245=""),"",IF(COUNTIFS(BD!$B$3:$B$5001,E$245,BD!$A$3:$A$5001,"&gt;="&amp;$C$7,BD!$A$3:$A$5001,"&lt;="&amp;$B256,BD!$X$3:$X$5001,"&lt;&gt;")=0,"",SUMIFS(BD!$X$3:$X$5001,BD!$B$3:$B$5001,E$245,BD!$A$3:$A$5001,_xlfn.MAXIFS(BD!$A$3:$A$5001,BD!$B$3:$B$5001,E$245,BD!$A$3:$A$5001,"&gt;="&amp;$C$7,BD!$A$3:$A$5001,"&lt;="&amp;$B256,BD!$X$3:$X$5001,"&lt;&gt;"))))</f>
        <v/>
      </c>
      <c r="F256" s="54" t="str">
        <f>IF(OR($B256="",$A256&gt;$B$9,F$245=""),"",IF(COUNTIFS(BD!$B$3:$B$5001,F$245,BD!$A$3:$A$5001,"&gt;="&amp;$C$7,BD!$A$3:$A$5001,"&lt;="&amp;$B256,BD!$X$3:$X$5001,"&lt;&gt;")=0,"",SUMIFS(BD!$X$3:$X$5001,BD!$B$3:$B$5001,F$245,BD!$A$3:$A$5001,_xlfn.MAXIFS(BD!$A$3:$A$5001,BD!$B$3:$B$5001,F$245,BD!$A$3:$A$5001,"&gt;="&amp;$C$7,BD!$A$3:$A$5001,"&lt;="&amp;$B256,BD!$X$3:$X$5001,"&lt;&gt;"))))</f>
        <v/>
      </c>
      <c r="G256" s="54" t="str">
        <f>IF(OR($B256="",$A256&gt;$B$9,G$245=""),"",IF(COUNTIFS(BD!$B$3:$B$5001,G$245,BD!$A$3:$A$5001,"&gt;="&amp;$C$7,BD!$A$3:$A$5001,"&lt;="&amp;$B256,BD!$X$3:$X$5001,"&lt;&gt;")=0,"",SUMIFS(BD!$X$3:$X$5001,BD!$B$3:$B$5001,G$245,BD!$A$3:$A$5001,_xlfn.MAXIFS(BD!$A$3:$A$5001,BD!$B$3:$B$5001,G$245,BD!$A$3:$A$5001,"&gt;="&amp;$C$7,BD!$A$3:$A$5001,"&lt;="&amp;$B256,BD!$X$3:$X$5001,"&lt;&gt;"))))</f>
        <v/>
      </c>
      <c r="H256" s="54" t="str">
        <f>IF(OR($B256="",$A256&gt;$B$9,H$245=""),"",IF(COUNTIFS(BD!$B$3:$B$5001,H$245,BD!$A$3:$A$5001,"&gt;="&amp;$C$7,BD!$A$3:$A$5001,"&lt;="&amp;$B256,BD!$X$3:$X$5001,"&lt;&gt;")=0,"",SUMIFS(BD!$X$3:$X$5001,BD!$B$3:$B$5001,H$245,BD!$A$3:$A$5001,_xlfn.MAXIFS(BD!$A$3:$A$5001,BD!$B$3:$B$5001,H$245,BD!$A$3:$A$5001,"&gt;="&amp;$C$7,BD!$A$3:$A$5001,"&lt;="&amp;$B256,BD!$X$3:$X$5001,"&lt;&gt;"))))</f>
        <v/>
      </c>
      <c r="I256" s="54" t="str">
        <f>IF(OR($B256="",$A256&gt;$B$9,I$245=""),"",IF(COUNTIFS(BD!$B$3:$B$5001,I$245,BD!$A$3:$A$5001,"&gt;="&amp;$C$7,BD!$A$3:$A$5001,"&lt;="&amp;$B256,BD!$X$3:$X$5001,"&lt;&gt;")=0,"",SUMIFS(BD!$X$3:$X$5001,BD!$B$3:$B$5001,I$245,BD!$A$3:$A$5001,_xlfn.MAXIFS(BD!$A$3:$A$5001,BD!$B$3:$B$5001,I$245,BD!$A$3:$A$5001,"&gt;="&amp;$C$7,BD!$A$3:$A$5001,"&lt;="&amp;$B256,BD!$X$3:$X$5001,"&lt;&gt;"))))</f>
        <v/>
      </c>
      <c r="J256" s="54" t="str">
        <f>IF(OR($B256="",$A256&gt;$B$9,J$245=""),"",IF(COUNTIFS(BD!$B$3:$B$5001,J$245,BD!$A$3:$A$5001,"&gt;="&amp;$C$7,BD!$A$3:$A$5001,"&lt;="&amp;$B256,BD!$X$3:$X$5001,"&lt;&gt;")=0,"",SUMIFS(BD!$X$3:$X$5001,BD!$B$3:$B$5001,J$245,BD!$A$3:$A$5001,_xlfn.MAXIFS(BD!$A$3:$A$5001,BD!$B$3:$B$5001,J$245,BD!$A$3:$A$5001,"&gt;="&amp;$C$7,BD!$A$3:$A$5001,"&lt;="&amp;$B256,BD!$X$3:$X$5001,"&lt;&gt;"))))</f>
        <v/>
      </c>
      <c r="K256" s="54" t="str">
        <f>IF(OR($B256="",$A256&gt;$B$9,K$245=""),"",IF(COUNTIFS(BD!$B$3:$B$5001,K$245,BD!$A$3:$A$5001,"&gt;="&amp;$C$7,BD!$A$3:$A$5001,"&lt;="&amp;$B256,BD!$X$3:$X$5001,"&lt;&gt;")=0,"",SUMIFS(BD!$X$3:$X$5001,BD!$B$3:$B$5001,K$245,BD!$A$3:$A$5001,_xlfn.MAXIFS(BD!$A$3:$A$5001,BD!$B$3:$B$5001,K$245,BD!$A$3:$A$5001,"&gt;="&amp;$C$7,BD!$A$3:$A$5001,"&lt;="&amp;$B256,BD!$X$3:$X$5001,"&lt;&gt;"))))</f>
        <v/>
      </c>
      <c r="L256" s="54" t="str">
        <f>IF(OR($B256="",$A256&gt;$B$9,L$245=""),"",IF(COUNTIFS(BD!$B$3:$B$5001,L$245,BD!$A$3:$A$5001,"&gt;="&amp;$C$7,BD!$A$3:$A$5001,"&lt;="&amp;$B256,BD!$X$3:$X$5001,"&lt;&gt;")=0,"",SUMIFS(BD!$X$3:$X$5001,BD!$B$3:$B$5001,L$245,BD!$A$3:$A$5001,_xlfn.MAXIFS(BD!$A$3:$A$5001,BD!$B$3:$B$5001,L$245,BD!$A$3:$A$5001,"&gt;="&amp;$C$7,BD!$A$3:$A$5001,"&lt;="&amp;$B256,BD!$X$3:$X$5001,"&lt;&gt;"))))</f>
        <v/>
      </c>
      <c r="M256" s="54" t="str">
        <f>IF(OR($B256="",$A256&gt;$B$9,M$245=""),"",IF(COUNTIFS(BD!$B$3:$B$5001,M$245,BD!$A$3:$A$5001,"&gt;="&amp;$C$7,BD!$A$3:$A$5001,"&lt;="&amp;$B256,BD!$X$3:$X$5001,"&lt;&gt;")=0,"",SUMIFS(BD!$X$3:$X$5001,BD!$B$3:$B$5001,M$245,BD!$A$3:$A$5001,_xlfn.MAXIFS(BD!$A$3:$A$5001,BD!$B$3:$B$5001,M$245,BD!$A$3:$A$5001,"&gt;="&amp;$C$7,BD!$A$3:$A$5001,"&lt;="&amp;$B256,BD!$X$3:$X$5001,"&lt;&gt;"))))</f>
        <v/>
      </c>
      <c r="N256" s="54" t="str">
        <f>IF(OR($B256="",$A256&gt;$B$9,N$245=""),"",IF(COUNTIFS(BD!$B$3:$B$5001,N$245,BD!$A$3:$A$5001,"&gt;="&amp;$C$7,BD!$A$3:$A$5001,"&lt;="&amp;$B256,BD!$X$3:$X$5001,"&lt;&gt;")=0,"",SUMIFS(BD!$X$3:$X$5001,BD!$B$3:$B$5001,N$245,BD!$A$3:$A$5001,_xlfn.MAXIFS(BD!$A$3:$A$5001,BD!$B$3:$B$5001,N$245,BD!$A$3:$A$5001,"&gt;="&amp;$C$7,BD!$A$3:$A$5001,"&lt;="&amp;$B256,BD!$X$3:$X$5001,"&lt;&gt;"))))</f>
        <v/>
      </c>
      <c r="O256" s="54" t="str">
        <f>IF(OR($B256="",$A256&gt;$B$9,O$245=""),"",IF(COUNTIFS(BD!$B$3:$B$5001,O$245,BD!$A$3:$A$5001,"&gt;="&amp;$C$7,BD!$A$3:$A$5001,"&lt;="&amp;$B256,BD!$X$3:$X$5001,"&lt;&gt;")=0,"",SUMIFS(BD!$X$3:$X$5001,BD!$B$3:$B$5001,O$245,BD!$A$3:$A$5001,_xlfn.MAXIFS(BD!$A$3:$A$5001,BD!$B$3:$B$5001,O$245,BD!$A$3:$A$5001,"&gt;="&amp;$C$7,BD!$A$3:$A$5001,"&lt;="&amp;$B256,BD!$X$3:$X$5001,"&lt;&gt;"))))</f>
        <v/>
      </c>
      <c r="P256" s="54" t="str">
        <f>IF(OR($B256="",$A256&gt;$B$9,P$245=""),"",IF(COUNTIFS(BD!$B$3:$B$5001,P$245,BD!$A$3:$A$5001,"&gt;="&amp;$C$7,BD!$A$3:$A$5001,"&lt;="&amp;$B256,BD!$X$3:$X$5001,"&lt;&gt;")=0,"",SUMIFS(BD!$X$3:$X$5001,BD!$B$3:$B$5001,P$245,BD!$A$3:$A$5001,_xlfn.MAXIFS(BD!$A$3:$A$5001,BD!$B$3:$B$5001,P$245,BD!$A$3:$A$5001,"&gt;="&amp;$C$7,BD!$A$3:$A$5001,"&lt;="&amp;$B256,BD!$X$3:$X$5001,"&lt;&gt;"))))</f>
        <v/>
      </c>
      <c r="Q256" s="54" t="str">
        <f>IF(OR($B256="",$A256&gt;$B$9,Q$245=""),"",IF(COUNTIFS(BD!$B$3:$B$5001,Q$245,BD!$A$3:$A$5001,"&gt;="&amp;$C$7,BD!$A$3:$A$5001,"&lt;="&amp;$B256,BD!$X$3:$X$5001,"&lt;&gt;")=0,"",SUMIFS(BD!$X$3:$X$5001,BD!$B$3:$B$5001,Q$245,BD!$A$3:$A$5001,_xlfn.MAXIFS(BD!$A$3:$A$5001,BD!$B$3:$B$5001,Q$245,BD!$A$3:$A$5001,"&gt;="&amp;$C$7,BD!$A$3:$A$5001,"&lt;="&amp;$B256,BD!$X$3:$X$5001,"&lt;&gt;"))))</f>
        <v/>
      </c>
      <c r="R256" s="54" t="str">
        <f>IF(OR($B256="",$A256&gt;$B$9,R$245=""),"",IF(COUNTIFS(BD!$B$3:$B$5001,R$245,BD!$A$3:$A$5001,"&gt;="&amp;$C$7,BD!$A$3:$A$5001,"&lt;="&amp;$B256,BD!$X$3:$X$5001,"&lt;&gt;")=0,"",SUMIFS(BD!$X$3:$X$5001,BD!$B$3:$B$5001,R$245,BD!$A$3:$A$5001,_xlfn.MAXIFS(BD!$A$3:$A$5001,BD!$B$3:$B$5001,R$245,BD!$A$3:$A$5001,"&gt;="&amp;$C$7,BD!$A$3:$A$5001,"&lt;="&amp;$B256,BD!$X$3:$X$5001,"&lt;&gt;"))))</f>
        <v/>
      </c>
      <c r="S256" s="54" t="str">
        <f>IF(OR($B256="",$A256&gt;$B$9,S$245=""),"",IF(COUNTIFS(BD!$B$3:$B$5001,S$245,BD!$A$3:$A$5001,"&gt;="&amp;$C$7,BD!$A$3:$A$5001,"&lt;="&amp;$B256,BD!$X$3:$X$5001,"&lt;&gt;")=0,"",SUMIFS(BD!$X$3:$X$5001,BD!$B$3:$B$5001,S$245,BD!$A$3:$A$5001,_xlfn.MAXIFS(BD!$A$3:$A$5001,BD!$B$3:$B$5001,S$245,BD!$A$3:$A$5001,"&gt;="&amp;$C$7,BD!$A$3:$A$5001,"&lt;="&amp;$B256,BD!$X$3:$X$5001,"&lt;&gt;"))))</f>
        <v/>
      </c>
      <c r="T256" s="54" t="str">
        <f>IF(OR($B256="",$A256&gt;$B$9,T$245=""),"",IF(COUNTIFS(BD!$B$3:$B$5001,T$245,BD!$A$3:$A$5001,"&gt;="&amp;$C$7,BD!$A$3:$A$5001,"&lt;="&amp;$B256,BD!$X$3:$X$5001,"&lt;&gt;")=0,"",SUMIFS(BD!$X$3:$X$5001,BD!$B$3:$B$5001,T$245,BD!$A$3:$A$5001,_xlfn.MAXIFS(BD!$A$3:$A$5001,BD!$B$3:$B$5001,T$245,BD!$A$3:$A$5001,"&gt;="&amp;$C$7,BD!$A$3:$A$5001,"&lt;="&amp;$B256,BD!$X$3:$X$5001,"&lt;&gt;"))))</f>
        <v/>
      </c>
      <c r="U256" s="54" t="str">
        <f>IF(OR($B256="",$A256&gt;$B$9,U$245=""),"",IF(COUNTIFS(BD!$B$3:$B$5001,U$245,BD!$A$3:$A$5001,"&gt;="&amp;$C$7,BD!$A$3:$A$5001,"&lt;="&amp;$B256,BD!$X$3:$X$5001,"&lt;&gt;")=0,"",SUMIFS(BD!$X$3:$X$5001,BD!$B$3:$B$5001,U$245,BD!$A$3:$A$5001,_xlfn.MAXIFS(BD!$A$3:$A$5001,BD!$B$3:$B$5001,U$245,BD!$A$3:$A$5001,"&gt;="&amp;$C$7,BD!$A$3:$A$5001,"&lt;="&amp;$B256,BD!$X$3:$X$5001,"&lt;&gt;"))))</f>
        <v/>
      </c>
      <c r="V256" s="54" t="str">
        <f>IF(OR($B256="",$A256&gt;$B$9,V$245=""),"",IF(COUNTIFS(BD!$B$3:$B$5001,V$245,BD!$A$3:$A$5001,"&gt;="&amp;$C$7,BD!$A$3:$A$5001,"&lt;="&amp;$B256,BD!$X$3:$X$5001,"&lt;&gt;")=0,"",SUMIFS(BD!$X$3:$X$5001,BD!$B$3:$B$5001,V$245,BD!$A$3:$A$5001,_xlfn.MAXIFS(BD!$A$3:$A$5001,BD!$B$3:$B$5001,V$245,BD!$A$3:$A$5001,"&gt;="&amp;$C$7,BD!$A$3:$A$5001,"&lt;="&amp;$B256,BD!$X$3:$X$5001,"&lt;&gt;"))))</f>
        <v/>
      </c>
    </row>
    <row r="257">
      <c r="A257" s="48">
        <v>12</v>
      </c>
      <c r="B257" s="53">
        <f>$B$23</f>
        <v>46307</v>
      </c>
      <c r="C257" s="54" t="str">
        <f>IF(OR($B257="",$A257&gt;$B$9,C$245=""),"",IF(COUNTIFS(BD!$B$3:$B$5001,C$245,BD!$A$3:$A$5001,"&gt;="&amp;$C$7,BD!$A$3:$A$5001,"&lt;="&amp;$B257,BD!$X$3:$X$5001,"&lt;&gt;")=0,"",SUMIFS(BD!$X$3:$X$5001,BD!$B$3:$B$5001,C$245,BD!$A$3:$A$5001,_xlfn.MAXIFS(BD!$A$3:$A$5001,BD!$B$3:$B$5001,C$245,BD!$A$3:$A$5001,"&gt;="&amp;$C$7,BD!$A$3:$A$5001,"&lt;="&amp;$B257,BD!$X$3:$X$5001,"&lt;&gt;"))))</f>
        <v/>
      </c>
      <c r="D257" s="54" t="str">
        <f>IF(OR($B257="",$A257&gt;$B$9,D$245=""),"",IF(COUNTIFS(BD!$B$3:$B$5001,D$245,BD!$A$3:$A$5001,"&gt;="&amp;$C$7,BD!$A$3:$A$5001,"&lt;="&amp;$B257,BD!$X$3:$X$5001,"&lt;&gt;")=0,"",SUMIFS(BD!$X$3:$X$5001,BD!$B$3:$B$5001,D$245,BD!$A$3:$A$5001,_xlfn.MAXIFS(BD!$A$3:$A$5001,BD!$B$3:$B$5001,D$245,BD!$A$3:$A$5001,"&gt;="&amp;$C$7,BD!$A$3:$A$5001,"&lt;="&amp;$B257,BD!$X$3:$X$5001,"&lt;&gt;"))))</f>
        <v/>
      </c>
      <c r="E257" s="54" t="str">
        <f>IF(OR($B257="",$A257&gt;$B$9,E$245=""),"",IF(COUNTIFS(BD!$B$3:$B$5001,E$245,BD!$A$3:$A$5001,"&gt;="&amp;$C$7,BD!$A$3:$A$5001,"&lt;="&amp;$B257,BD!$X$3:$X$5001,"&lt;&gt;")=0,"",SUMIFS(BD!$X$3:$X$5001,BD!$B$3:$B$5001,E$245,BD!$A$3:$A$5001,_xlfn.MAXIFS(BD!$A$3:$A$5001,BD!$B$3:$B$5001,E$245,BD!$A$3:$A$5001,"&gt;="&amp;$C$7,BD!$A$3:$A$5001,"&lt;="&amp;$B257,BD!$X$3:$X$5001,"&lt;&gt;"))))</f>
        <v/>
      </c>
      <c r="F257" s="54" t="str">
        <f>IF(OR($B257="",$A257&gt;$B$9,F$245=""),"",IF(COUNTIFS(BD!$B$3:$B$5001,F$245,BD!$A$3:$A$5001,"&gt;="&amp;$C$7,BD!$A$3:$A$5001,"&lt;="&amp;$B257,BD!$X$3:$X$5001,"&lt;&gt;")=0,"",SUMIFS(BD!$X$3:$X$5001,BD!$B$3:$B$5001,F$245,BD!$A$3:$A$5001,_xlfn.MAXIFS(BD!$A$3:$A$5001,BD!$B$3:$B$5001,F$245,BD!$A$3:$A$5001,"&gt;="&amp;$C$7,BD!$A$3:$A$5001,"&lt;="&amp;$B257,BD!$X$3:$X$5001,"&lt;&gt;"))))</f>
        <v/>
      </c>
      <c r="G257" s="54" t="str">
        <f>IF(OR($B257="",$A257&gt;$B$9,G$245=""),"",IF(COUNTIFS(BD!$B$3:$B$5001,G$245,BD!$A$3:$A$5001,"&gt;="&amp;$C$7,BD!$A$3:$A$5001,"&lt;="&amp;$B257,BD!$X$3:$X$5001,"&lt;&gt;")=0,"",SUMIFS(BD!$X$3:$X$5001,BD!$B$3:$B$5001,G$245,BD!$A$3:$A$5001,_xlfn.MAXIFS(BD!$A$3:$A$5001,BD!$B$3:$B$5001,G$245,BD!$A$3:$A$5001,"&gt;="&amp;$C$7,BD!$A$3:$A$5001,"&lt;="&amp;$B257,BD!$X$3:$X$5001,"&lt;&gt;"))))</f>
        <v/>
      </c>
      <c r="H257" s="54" t="str">
        <f>IF(OR($B257="",$A257&gt;$B$9,H$245=""),"",IF(COUNTIFS(BD!$B$3:$B$5001,H$245,BD!$A$3:$A$5001,"&gt;="&amp;$C$7,BD!$A$3:$A$5001,"&lt;="&amp;$B257,BD!$X$3:$X$5001,"&lt;&gt;")=0,"",SUMIFS(BD!$X$3:$X$5001,BD!$B$3:$B$5001,H$245,BD!$A$3:$A$5001,_xlfn.MAXIFS(BD!$A$3:$A$5001,BD!$B$3:$B$5001,H$245,BD!$A$3:$A$5001,"&gt;="&amp;$C$7,BD!$A$3:$A$5001,"&lt;="&amp;$B257,BD!$X$3:$X$5001,"&lt;&gt;"))))</f>
        <v/>
      </c>
      <c r="I257" s="54" t="str">
        <f>IF(OR($B257="",$A257&gt;$B$9,I$245=""),"",IF(COUNTIFS(BD!$B$3:$B$5001,I$245,BD!$A$3:$A$5001,"&gt;="&amp;$C$7,BD!$A$3:$A$5001,"&lt;="&amp;$B257,BD!$X$3:$X$5001,"&lt;&gt;")=0,"",SUMIFS(BD!$X$3:$X$5001,BD!$B$3:$B$5001,I$245,BD!$A$3:$A$5001,_xlfn.MAXIFS(BD!$A$3:$A$5001,BD!$B$3:$B$5001,I$245,BD!$A$3:$A$5001,"&gt;="&amp;$C$7,BD!$A$3:$A$5001,"&lt;="&amp;$B257,BD!$X$3:$X$5001,"&lt;&gt;"))))</f>
        <v/>
      </c>
      <c r="J257" s="54" t="str">
        <f>IF(OR($B257="",$A257&gt;$B$9,J$245=""),"",IF(COUNTIFS(BD!$B$3:$B$5001,J$245,BD!$A$3:$A$5001,"&gt;="&amp;$C$7,BD!$A$3:$A$5001,"&lt;="&amp;$B257,BD!$X$3:$X$5001,"&lt;&gt;")=0,"",SUMIFS(BD!$X$3:$X$5001,BD!$B$3:$B$5001,J$245,BD!$A$3:$A$5001,_xlfn.MAXIFS(BD!$A$3:$A$5001,BD!$B$3:$B$5001,J$245,BD!$A$3:$A$5001,"&gt;="&amp;$C$7,BD!$A$3:$A$5001,"&lt;="&amp;$B257,BD!$X$3:$X$5001,"&lt;&gt;"))))</f>
        <v/>
      </c>
      <c r="K257" s="54" t="str">
        <f>IF(OR($B257="",$A257&gt;$B$9,K$245=""),"",IF(COUNTIFS(BD!$B$3:$B$5001,K$245,BD!$A$3:$A$5001,"&gt;="&amp;$C$7,BD!$A$3:$A$5001,"&lt;="&amp;$B257,BD!$X$3:$X$5001,"&lt;&gt;")=0,"",SUMIFS(BD!$X$3:$X$5001,BD!$B$3:$B$5001,K$245,BD!$A$3:$A$5001,_xlfn.MAXIFS(BD!$A$3:$A$5001,BD!$B$3:$B$5001,K$245,BD!$A$3:$A$5001,"&gt;="&amp;$C$7,BD!$A$3:$A$5001,"&lt;="&amp;$B257,BD!$X$3:$X$5001,"&lt;&gt;"))))</f>
        <v/>
      </c>
      <c r="L257" s="54" t="str">
        <f>IF(OR($B257="",$A257&gt;$B$9,L$245=""),"",IF(COUNTIFS(BD!$B$3:$B$5001,L$245,BD!$A$3:$A$5001,"&gt;="&amp;$C$7,BD!$A$3:$A$5001,"&lt;="&amp;$B257,BD!$X$3:$X$5001,"&lt;&gt;")=0,"",SUMIFS(BD!$X$3:$X$5001,BD!$B$3:$B$5001,L$245,BD!$A$3:$A$5001,_xlfn.MAXIFS(BD!$A$3:$A$5001,BD!$B$3:$B$5001,L$245,BD!$A$3:$A$5001,"&gt;="&amp;$C$7,BD!$A$3:$A$5001,"&lt;="&amp;$B257,BD!$X$3:$X$5001,"&lt;&gt;"))))</f>
        <v/>
      </c>
      <c r="M257" s="54" t="str">
        <f>IF(OR($B257="",$A257&gt;$B$9,M$245=""),"",IF(COUNTIFS(BD!$B$3:$B$5001,M$245,BD!$A$3:$A$5001,"&gt;="&amp;$C$7,BD!$A$3:$A$5001,"&lt;="&amp;$B257,BD!$X$3:$X$5001,"&lt;&gt;")=0,"",SUMIFS(BD!$X$3:$X$5001,BD!$B$3:$B$5001,M$245,BD!$A$3:$A$5001,_xlfn.MAXIFS(BD!$A$3:$A$5001,BD!$B$3:$B$5001,M$245,BD!$A$3:$A$5001,"&gt;="&amp;$C$7,BD!$A$3:$A$5001,"&lt;="&amp;$B257,BD!$X$3:$X$5001,"&lt;&gt;"))))</f>
        <v/>
      </c>
      <c r="N257" s="54" t="str">
        <f>IF(OR($B257="",$A257&gt;$B$9,N$245=""),"",IF(COUNTIFS(BD!$B$3:$B$5001,N$245,BD!$A$3:$A$5001,"&gt;="&amp;$C$7,BD!$A$3:$A$5001,"&lt;="&amp;$B257,BD!$X$3:$X$5001,"&lt;&gt;")=0,"",SUMIFS(BD!$X$3:$X$5001,BD!$B$3:$B$5001,N$245,BD!$A$3:$A$5001,_xlfn.MAXIFS(BD!$A$3:$A$5001,BD!$B$3:$B$5001,N$245,BD!$A$3:$A$5001,"&gt;="&amp;$C$7,BD!$A$3:$A$5001,"&lt;="&amp;$B257,BD!$X$3:$X$5001,"&lt;&gt;"))))</f>
        <v/>
      </c>
      <c r="O257" s="54" t="str">
        <f>IF(OR($B257="",$A257&gt;$B$9,O$245=""),"",IF(COUNTIFS(BD!$B$3:$B$5001,O$245,BD!$A$3:$A$5001,"&gt;="&amp;$C$7,BD!$A$3:$A$5001,"&lt;="&amp;$B257,BD!$X$3:$X$5001,"&lt;&gt;")=0,"",SUMIFS(BD!$X$3:$X$5001,BD!$B$3:$B$5001,O$245,BD!$A$3:$A$5001,_xlfn.MAXIFS(BD!$A$3:$A$5001,BD!$B$3:$B$5001,O$245,BD!$A$3:$A$5001,"&gt;="&amp;$C$7,BD!$A$3:$A$5001,"&lt;="&amp;$B257,BD!$X$3:$X$5001,"&lt;&gt;"))))</f>
        <v/>
      </c>
      <c r="P257" s="54" t="str">
        <f>IF(OR($B257="",$A257&gt;$B$9,P$245=""),"",IF(COUNTIFS(BD!$B$3:$B$5001,P$245,BD!$A$3:$A$5001,"&gt;="&amp;$C$7,BD!$A$3:$A$5001,"&lt;="&amp;$B257,BD!$X$3:$X$5001,"&lt;&gt;")=0,"",SUMIFS(BD!$X$3:$X$5001,BD!$B$3:$B$5001,P$245,BD!$A$3:$A$5001,_xlfn.MAXIFS(BD!$A$3:$A$5001,BD!$B$3:$B$5001,P$245,BD!$A$3:$A$5001,"&gt;="&amp;$C$7,BD!$A$3:$A$5001,"&lt;="&amp;$B257,BD!$X$3:$X$5001,"&lt;&gt;"))))</f>
        <v/>
      </c>
      <c r="Q257" s="54" t="str">
        <f>IF(OR($B257="",$A257&gt;$B$9,Q$245=""),"",IF(COUNTIFS(BD!$B$3:$B$5001,Q$245,BD!$A$3:$A$5001,"&gt;="&amp;$C$7,BD!$A$3:$A$5001,"&lt;="&amp;$B257,BD!$X$3:$X$5001,"&lt;&gt;")=0,"",SUMIFS(BD!$X$3:$X$5001,BD!$B$3:$B$5001,Q$245,BD!$A$3:$A$5001,_xlfn.MAXIFS(BD!$A$3:$A$5001,BD!$B$3:$B$5001,Q$245,BD!$A$3:$A$5001,"&gt;="&amp;$C$7,BD!$A$3:$A$5001,"&lt;="&amp;$B257,BD!$X$3:$X$5001,"&lt;&gt;"))))</f>
        <v/>
      </c>
      <c r="R257" s="54" t="str">
        <f>IF(OR($B257="",$A257&gt;$B$9,R$245=""),"",IF(COUNTIFS(BD!$B$3:$B$5001,R$245,BD!$A$3:$A$5001,"&gt;="&amp;$C$7,BD!$A$3:$A$5001,"&lt;="&amp;$B257,BD!$X$3:$X$5001,"&lt;&gt;")=0,"",SUMIFS(BD!$X$3:$X$5001,BD!$B$3:$B$5001,R$245,BD!$A$3:$A$5001,_xlfn.MAXIFS(BD!$A$3:$A$5001,BD!$B$3:$B$5001,R$245,BD!$A$3:$A$5001,"&gt;="&amp;$C$7,BD!$A$3:$A$5001,"&lt;="&amp;$B257,BD!$X$3:$X$5001,"&lt;&gt;"))))</f>
        <v/>
      </c>
      <c r="S257" s="54" t="str">
        <f>IF(OR($B257="",$A257&gt;$B$9,S$245=""),"",IF(COUNTIFS(BD!$B$3:$B$5001,S$245,BD!$A$3:$A$5001,"&gt;="&amp;$C$7,BD!$A$3:$A$5001,"&lt;="&amp;$B257,BD!$X$3:$X$5001,"&lt;&gt;")=0,"",SUMIFS(BD!$X$3:$X$5001,BD!$B$3:$B$5001,S$245,BD!$A$3:$A$5001,_xlfn.MAXIFS(BD!$A$3:$A$5001,BD!$B$3:$B$5001,S$245,BD!$A$3:$A$5001,"&gt;="&amp;$C$7,BD!$A$3:$A$5001,"&lt;="&amp;$B257,BD!$X$3:$X$5001,"&lt;&gt;"))))</f>
        <v/>
      </c>
      <c r="T257" s="54" t="str">
        <f>IF(OR($B257="",$A257&gt;$B$9,T$245=""),"",IF(COUNTIFS(BD!$B$3:$B$5001,T$245,BD!$A$3:$A$5001,"&gt;="&amp;$C$7,BD!$A$3:$A$5001,"&lt;="&amp;$B257,BD!$X$3:$X$5001,"&lt;&gt;")=0,"",SUMIFS(BD!$X$3:$X$5001,BD!$B$3:$B$5001,T$245,BD!$A$3:$A$5001,_xlfn.MAXIFS(BD!$A$3:$A$5001,BD!$B$3:$B$5001,T$245,BD!$A$3:$A$5001,"&gt;="&amp;$C$7,BD!$A$3:$A$5001,"&lt;="&amp;$B257,BD!$X$3:$X$5001,"&lt;&gt;"))))</f>
        <v/>
      </c>
      <c r="U257" s="54" t="str">
        <f>IF(OR($B257="",$A257&gt;$B$9,U$245=""),"",IF(COUNTIFS(BD!$B$3:$B$5001,U$245,BD!$A$3:$A$5001,"&gt;="&amp;$C$7,BD!$A$3:$A$5001,"&lt;="&amp;$B257,BD!$X$3:$X$5001,"&lt;&gt;")=0,"",SUMIFS(BD!$X$3:$X$5001,BD!$B$3:$B$5001,U$245,BD!$A$3:$A$5001,_xlfn.MAXIFS(BD!$A$3:$A$5001,BD!$B$3:$B$5001,U$245,BD!$A$3:$A$5001,"&gt;="&amp;$C$7,BD!$A$3:$A$5001,"&lt;="&amp;$B257,BD!$X$3:$X$5001,"&lt;&gt;"))))</f>
        <v/>
      </c>
      <c r="V257" s="54" t="str">
        <f>IF(OR($B257="",$A257&gt;$B$9,V$245=""),"",IF(COUNTIFS(BD!$B$3:$B$5001,V$245,BD!$A$3:$A$5001,"&gt;="&amp;$C$7,BD!$A$3:$A$5001,"&lt;="&amp;$B257,BD!$X$3:$X$5001,"&lt;&gt;")=0,"",SUMIFS(BD!$X$3:$X$5001,BD!$B$3:$B$5001,V$245,BD!$A$3:$A$5001,_xlfn.MAXIFS(BD!$A$3:$A$5001,BD!$B$3:$B$5001,V$245,BD!$A$3:$A$5001,"&gt;="&amp;$C$7,BD!$A$3:$A$5001,"&lt;="&amp;$B257,BD!$X$3:$X$5001,"&lt;&gt;"))))</f>
        <v/>
      </c>
    </row>
    <row r="258">
      <c r="A258" s="48">
        <v>13</v>
      </c>
      <c r="B258" s="53">
        <f>$B$24</f>
        <v>46308</v>
      </c>
      <c r="C258" s="54" t="str">
        <f>IF(OR($B258="",$A258&gt;$B$9,C$245=""),"",IF(COUNTIFS(BD!$B$3:$B$5001,C$245,BD!$A$3:$A$5001,"&gt;="&amp;$C$7,BD!$A$3:$A$5001,"&lt;="&amp;$B258,BD!$X$3:$X$5001,"&lt;&gt;")=0,"",SUMIFS(BD!$X$3:$X$5001,BD!$B$3:$B$5001,C$245,BD!$A$3:$A$5001,_xlfn.MAXIFS(BD!$A$3:$A$5001,BD!$B$3:$B$5001,C$245,BD!$A$3:$A$5001,"&gt;="&amp;$C$7,BD!$A$3:$A$5001,"&lt;="&amp;$B258,BD!$X$3:$X$5001,"&lt;&gt;"))))</f>
        <v/>
      </c>
      <c r="D258" s="54" t="str">
        <f>IF(OR($B258="",$A258&gt;$B$9,D$245=""),"",IF(COUNTIFS(BD!$B$3:$B$5001,D$245,BD!$A$3:$A$5001,"&gt;="&amp;$C$7,BD!$A$3:$A$5001,"&lt;="&amp;$B258,BD!$X$3:$X$5001,"&lt;&gt;")=0,"",SUMIFS(BD!$X$3:$X$5001,BD!$B$3:$B$5001,D$245,BD!$A$3:$A$5001,_xlfn.MAXIFS(BD!$A$3:$A$5001,BD!$B$3:$B$5001,D$245,BD!$A$3:$A$5001,"&gt;="&amp;$C$7,BD!$A$3:$A$5001,"&lt;="&amp;$B258,BD!$X$3:$X$5001,"&lt;&gt;"))))</f>
        <v/>
      </c>
      <c r="E258" s="54" t="str">
        <f>IF(OR($B258="",$A258&gt;$B$9,E$245=""),"",IF(COUNTIFS(BD!$B$3:$B$5001,E$245,BD!$A$3:$A$5001,"&gt;="&amp;$C$7,BD!$A$3:$A$5001,"&lt;="&amp;$B258,BD!$X$3:$X$5001,"&lt;&gt;")=0,"",SUMIFS(BD!$X$3:$X$5001,BD!$B$3:$B$5001,E$245,BD!$A$3:$A$5001,_xlfn.MAXIFS(BD!$A$3:$A$5001,BD!$B$3:$B$5001,E$245,BD!$A$3:$A$5001,"&gt;="&amp;$C$7,BD!$A$3:$A$5001,"&lt;="&amp;$B258,BD!$X$3:$X$5001,"&lt;&gt;"))))</f>
        <v/>
      </c>
      <c r="F258" s="54" t="str">
        <f>IF(OR($B258="",$A258&gt;$B$9,F$245=""),"",IF(COUNTIFS(BD!$B$3:$B$5001,F$245,BD!$A$3:$A$5001,"&gt;="&amp;$C$7,BD!$A$3:$A$5001,"&lt;="&amp;$B258,BD!$X$3:$X$5001,"&lt;&gt;")=0,"",SUMIFS(BD!$X$3:$X$5001,BD!$B$3:$B$5001,F$245,BD!$A$3:$A$5001,_xlfn.MAXIFS(BD!$A$3:$A$5001,BD!$B$3:$B$5001,F$245,BD!$A$3:$A$5001,"&gt;="&amp;$C$7,BD!$A$3:$A$5001,"&lt;="&amp;$B258,BD!$X$3:$X$5001,"&lt;&gt;"))))</f>
        <v/>
      </c>
      <c r="G258" s="54" t="str">
        <f>IF(OR($B258="",$A258&gt;$B$9,G$245=""),"",IF(COUNTIFS(BD!$B$3:$B$5001,G$245,BD!$A$3:$A$5001,"&gt;="&amp;$C$7,BD!$A$3:$A$5001,"&lt;="&amp;$B258,BD!$X$3:$X$5001,"&lt;&gt;")=0,"",SUMIFS(BD!$X$3:$X$5001,BD!$B$3:$B$5001,G$245,BD!$A$3:$A$5001,_xlfn.MAXIFS(BD!$A$3:$A$5001,BD!$B$3:$B$5001,G$245,BD!$A$3:$A$5001,"&gt;="&amp;$C$7,BD!$A$3:$A$5001,"&lt;="&amp;$B258,BD!$X$3:$X$5001,"&lt;&gt;"))))</f>
        <v/>
      </c>
      <c r="H258" s="54" t="str">
        <f>IF(OR($B258="",$A258&gt;$B$9,H$245=""),"",IF(COUNTIFS(BD!$B$3:$B$5001,H$245,BD!$A$3:$A$5001,"&gt;="&amp;$C$7,BD!$A$3:$A$5001,"&lt;="&amp;$B258,BD!$X$3:$X$5001,"&lt;&gt;")=0,"",SUMIFS(BD!$X$3:$X$5001,BD!$B$3:$B$5001,H$245,BD!$A$3:$A$5001,_xlfn.MAXIFS(BD!$A$3:$A$5001,BD!$B$3:$B$5001,H$245,BD!$A$3:$A$5001,"&gt;="&amp;$C$7,BD!$A$3:$A$5001,"&lt;="&amp;$B258,BD!$X$3:$X$5001,"&lt;&gt;"))))</f>
        <v/>
      </c>
      <c r="I258" s="54" t="str">
        <f>IF(OR($B258="",$A258&gt;$B$9,I$245=""),"",IF(COUNTIFS(BD!$B$3:$B$5001,I$245,BD!$A$3:$A$5001,"&gt;="&amp;$C$7,BD!$A$3:$A$5001,"&lt;="&amp;$B258,BD!$X$3:$X$5001,"&lt;&gt;")=0,"",SUMIFS(BD!$X$3:$X$5001,BD!$B$3:$B$5001,I$245,BD!$A$3:$A$5001,_xlfn.MAXIFS(BD!$A$3:$A$5001,BD!$B$3:$B$5001,I$245,BD!$A$3:$A$5001,"&gt;="&amp;$C$7,BD!$A$3:$A$5001,"&lt;="&amp;$B258,BD!$X$3:$X$5001,"&lt;&gt;"))))</f>
        <v/>
      </c>
      <c r="J258" s="54" t="str">
        <f>IF(OR($B258="",$A258&gt;$B$9,J$245=""),"",IF(COUNTIFS(BD!$B$3:$B$5001,J$245,BD!$A$3:$A$5001,"&gt;="&amp;$C$7,BD!$A$3:$A$5001,"&lt;="&amp;$B258,BD!$X$3:$X$5001,"&lt;&gt;")=0,"",SUMIFS(BD!$X$3:$X$5001,BD!$B$3:$B$5001,J$245,BD!$A$3:$A$5001,_xlfn.MAXIFS(BD!$A$3:$A$5001,BD!$B$3:$B$5001,J$245,BD!$A$3:$A$5001,"&gt;="&amp;$C$7,BD!$A$3:$A$5001,"&lt;="&amp;$B258,BD!$X$3:$X$5001,"&lt;&gt;"))))</f>
        <v/>
      </c>
      <c r="K258" s="54" t="str">
        <f>IF(OR($B258="",$A258&gt;$B$9,K$245=""),"",IF(COUNTIFS(BD!$B$3:$B$5001,K$245,BD!$A$3:$A$5001,"&gt;="&amp;$C$7,BD!$A$3:$A$5001,"&lt;="&amp;$B258,BD!$X$3:$X$5001,"&lt;&gt;")=0,"",SUMIFS(BD!$X$3:$X$5001,BD!$B$3:$B$5001,K$245,BD!$A$3:$A$5001,_xlfn.MAXIFS(BD!$A$3:$A$5001,BD!$B$3:$B$5001,K$245,BD!$A$3:$A$5001,"&gt;="&amp;$C$7,BD!$A$3:$A$5001,"&lt;="&amp;$B258,BD!$X$3:$X$5001,"&lt;&gt;"))))</f>
        <v/>
      </c>
      <c r="L258" s="54" t="str">
        <f>IF(OR($B258="",$A258&gt;$B$9,L$245=""),"",IF(COUNTIFS(BD!$B$3:$B$5001,L$245,BD!$A$3:$A$5001,"&gt;="&amp;$C$7,BD!$A$3:$A$5001,"&lt;="&amp;$B258,BD!$X$3:$X$5001,"&lt;&gt;")=0,"",SUMIFS(BD!$X$3:$X$5001,BD!$B$3:$B$5001,L$245,BD!$A$3:$A$5001,_xlfn.MAXIFS(BD!$A$3:$A$5001,BD!$B$3:$B$5001,L$245,BD!$A$3:$A$5001,"&gt;="&amp;$C$7,BD!$A$3:$A$5001,"&lt;="&amp;$B258,BD!$X$3:$X$5001,"&lt;&gt;"))))</f>
        <v/>
      </c>
      <c r="M258" s="54" t="str">
        <f>IF(OR($B258="",$A258&gt;$B$9,M$245=""),"",IF(COUNTIFS(BD!$B$3:$B$5001,M$245,BD!$A$3:$A$5001,"&gt;="&amp;$C$7,BD!$A$3:$A$5001,"&lt;="&amp;$B258,BD!$X$3:$X$5001,"&lt;&gt;")=0,"",SUMIFS(BD!$X$3:$X$5001,BD!$B$3:$B$5001,M$245,BD!$A$3:$A$5001,_xlfn.MAXIFS(BD!$A$3:$A$5001,BD!$B$3:$B$5001,M$245,BD!$A$3:$A$5001,"&gt;="&amp;$C$7,BD!$A$3:$A$5001,"&lt;="&amp;$B258,BD!$X$3:$X$5001,"&lt;&gt;"))))</f>
        <v/>
      </c>
      <c r="N258" s="54" t="str">
        <f>IF(OR($B258="",$A258&gt;$B$9,N$245=""),"",IF(COUNTIFS(BD!$B$3:$B$5001,N$245,BD!$A$3:$A$5001,"&gt;="&amp;$C$7,BD!$A$3:$A$5001,"&lt;="&amp;$B258,BD!$X$3:$X$5001,"&lt;&gt;")=0,"",SUMIFS(BD!$X$3:$X$5001,BD!$B$3:$B$5001,N$245,BD!$A$3:$A$5001,_xlfn.MAXIFS(BD!$A$3:$A$5001,BD!$B$3:$B$5001,N$245,BD!$A$3:$A$5001,"&gt;="&amp;$C$7,BD!$A$3:$A$5001,"&lt;="&amp;$B258,BD!$X$3:$X$5001,"&lt;&gt;"))))</f>
        <v/>
      </c>
      <c r="O258" s="54" t="str">
        <f>IF(OR($B258="",$A258&gt;$B$9,O$245=""),"",IF(COUNTIFS(BD!$B$3:$B$5001,O$245,BD!$A$3:$A$5001,"&gt;="&amp;$C$7,BD!$A$3:$A$5001,"&lt;="&amp;$B258,BD!$X$3:$X$5001,"&lt;&gt;")=0,"",SUMIFS(BD!$X$3:$X$5001,BD!$B$3:$B$5001,O$245,BD!$A$3:$A$5001,_xlfn.MAXIFS(BD!$A$3:$A$5001,BD!$B$3:$B$5001,O$245,BD!$A$3:$A$5001,"&gt;="&amp;$C$7,BD!$A$3:$A$5001,"&lt;="&amp;$B258,BD!$X$3:$X$5001,"&lt;&gt;"))))</f>
        <v/>
      </c>
      <c r="P258" s="54" t="str">
        <f>IF(OR($B258="",$A258&gt;$B$9,P$245=""),"",IF(COUNTIFS(BD!$B$3:$B$5001,P$245,BD!$A$3:$A$5001,"&gt;="&amp;$C$7,BD!$A$3:$A$5001,"&lt;="&amp;$B258,BD!$X$3:$X$5001,"&lt;&gt;")=0,"",SUMIFS(BD!$X$3:$X$5001,BD!$B$3:$B$5001,P$245,BD!$A$3:$A$5001,_xlfn.MAXIFS(BD!$A$3:$A$5001,BD!$B$3:$B$5001,P$245,BD!$A$3:$A$5001,"&gt;="&amp;$C$7,BD!$A$3:$A$5001,"&lt;="&amp;$B258,BD!$X$3:$X$5001,"&lt;&gt;"))))</f>
        <v/>
      </c>
      <c r="Q258" s="54" t="str">
        <f>IF(OR($B258="",$A258&gt;$B$9,Q$245=""),"",IF(COUNTIFS(BD!$B$3:$B$5001,Q$245,BD!$A$3:$A$5001,"&gt;="&amp;$C$7,BD!$A$3:$A$5001,"&lt;="&amp;$B258,BD!$X$3:$X$5001,"&lt;&gt;")=0,"",SUMIFS(BD!$X$3:$X$5001,BD!$B$3:$B$5001,Q$245,BD!$A$3:$A$5001,_xlfn.MAXIFS(BD!$A$3:$A$5001,BD!$B$3:$B$5001,Q$245,BD!$A$3:$A$5001,"&gt;="&amp;$C$7,BD!$A$3:$A$5001,"&lt;="&amp;$B258,BD!$X$3:$X$5001,"&lt;&gt;"))))</f>
        <v/>
      </c>
      <c r="R258" s="54" t="str">
        <f>IF(OR($B258="",$A258&gt;$B$9,R$245=""),"",IF(COUNTIFS(BD!$B$3:$B$5001,R$245,BD!$A$3:$A$5001,"&gt;="&amp;$C$7,BD!$A$3:$A$5001,"&lt;="&amp;$B258,BD!$X$3:$X$5001,"&lt;&gt;")=0,"",SUMIFS(BD!$X$3:$X$5001,BD!$B$3:$B$5001,R$245,BD!$A$3:$A$5001,_xlfn.MAXIFS(BD!$A$3:$A$5001,BD!$B$3:$B$5001,R$245,BD!$A$3:$A$5001,"&gt;="&amp;$C$7,BD!$A$3:$A$5001,"&lt;="&amp;$B258,BD!$X$3:$X$5001,"&lt;&gt;"))))</f>
        <v/>
      </c>
      <c r="S258" s="54" t="str">
        <f>IF(OR($B258="",$A258&gt;$B$9,S$245=""),"",IF(COUNTIFS(BD!$B$3:$B$5001,S$245,BD!$A$3:$A$5001,"&gt;="&amp;$C$7,BD!$A$3:$A$5001,"&lt;="&amp;$B258,BD!$X$3:$X$5001,"&lt;&gt;")=0,"",SUMIFS(BD!$X$3:$X$5001,BD!$B$3:$B$5001,S$245,BD!$A$3:$A$5001,_xlfn.MAXIFS(BD!$A$3:$A$5001,BD!$B$3:$B$5001,S$245,BD!$A$3:$A$5001,"&gt;="&amp;$C$7,BD!$A$3:$A$5001,"&lt;="&amp;$B258,BD!$X$3:$X$5001,"&lt;&gt;"))))</f>
        <v/>
      </c>
      <c r="T258" s="54" t="str">
        <f>IF(OR($B258="",$A258&gt;$B$9,T$245=""),"",IF(COUNTIFS(BD!$B$3:$B$5001,T$245,BD!$A$3:$A$5001,"&gt;="&amp;$C$7,BD!$A$3:$A$5001,"&lt;="&amp;$B258,BD!$X$3:$X$5001,"&lt;&gt;")=0,"",SUMIFS(BD!$X$3:$X$5001,BD!$B$3:$B$5001,T$245,BD!$A$3:$A$5001,_xlfn.MAXIFS(BD!$A$3:$A$5001,BD!$B$3:$B$5001,T$245,BD!$A$3:$A$5001,"&gt;="&amp;$C$7,BD!$A$3:$A$5001,"&lt;="&amp;$B258,BD!$X$3:$X$5001,"&lt;&gt;"))))</f>
        <v/>
      </c>
      <c r="U258" s="54" t="str">
        <f>IF(OR($B258="",$A258&gt;$B$9,U$245=""),"",IF(COUNTIFS(BD!$B$3:$B$5001,U$245,BD!$A$3:$A$5001,"&gt;="&amp;$C$7,BD!$A$3:$A$5001,"&lt;="&amp;$B258,BD!$X$3:$X$5001,"&lt;&gt;")=0,"",SUMIFS(BD!$X$3:$X$5001,BD!$B$3:$B$5001,U$245,BD!$A$3:$A$5001,_xlfn.MAXIFS(BD!$A$3:$A$5001,BD!$B$3:$B$5001,U$245,BD!$A$3:$A$5001,"&gt;="&amp;$C$7,BD!$A$3:$A$5001,"&lt;="&amp;$B258,BD!$X$3:$X$5001,"&lt;&gt;"))))</f>
        <v/>
      </c>
      <c r="V258" s="54" t="str">
        <f>IF(OR($B258="",$A258&gt;$B$9,V$245=""),"",IF(COUNTIFS(BD!$B$3:$B$5001,V$245,BD!$A$3:$A$5001,"&gt;="&amp;$C$7,BD!$A$3:$A$5001,"&lt;="&amp;$B258,BD!$X$3:$X$5001,"&lt;&gt;")=0,"",SUMIFS(BD!$X$3:$X$5001,BD!$B$3:$B$5001,V$245,BD!$A$3:$A$5001,_xlfn.MAXIFS(BD!$A$3:$A$5001,BD!$B$3:$B$5001,V$245,BD!$A$3:$A$5001,"&gt;="&amp;$C$7,BD!$A$3:$A$5001,"&lt;="&amp;$B258,BD!$X$3:$X$5001,"&lt;&gt;"))))</f>
        <v/>
      </c>
    </row>
    <row r="259">
      <c r="A259" s="48">
        <v>14</v>
      </c>
      <c r="B259" s="53">
        <f>$B$25</f>
        <v>46309</v>
      </c>
      <c r="C259" s="54" t="str">
        <f>IF(OR($B259="",$A259&gt;$B$9,C$245=""),"",IF(COUNTIFS(BD!$B$3:$B$5001,C$245,BD!$A$3:$A$5001,"&gt;="&amp;$C$7,BD!$A$3:$A$5001,"&lt;="&amp;$B259,BD!$X$3:$X$5001,"&lt;&gt;")=0,"",SUMIFS(BD!$X$3:$X$5001,BD!$B$3:$B$5001,C$245,BD!$A$3:$A$5001,_xlfn.MAXIFS(BD!$A$3:$A$5001,BD!$B$3:$B$5001,C$245,BD!$A$3:$A$5001,"&gt;="&amp;$C$7,BD!$A$3:$A$5001,"&lt;="&amp;$B259,BD!$X$3:$X$5001,"&lt;&gt;"))))</f>
        <v/>
      </c>
      <c r="D259" s="54" t="str">
        <f>IF(OR($B259="",$A259&gt;$B$9,D$245=""),"",IF(COUNTIFS(BD!$B$3:$B$5001,D$245,BD!$A$3:$A$5001,"&gt;="&amp;$C$7,BD!$A$3:$A$5001,"&lt;="&amp;$B259,BD!$X$3:$X$5001,"&lt;&gt;")=0,"",SUMIFS(BD!$X$3:$X$5001,BD!$B$3:$B$5001,D$245,BD!$A$3:$A$5001,_xlfn.MAXIFS(BD!$A$3:$A$5001,BD!$B$3:$B$5001,D$245,BD!$A$3:$A$5001,"&gt;="&amp;$C$7,BD!$A$3:$A$5001,"&lt;="&amp;$B259,BD!$X$3:$X$5001,"&lt;&gt;"))))</f>
        <v/>
      </c>
      <c r="E259" s="54" t="str">
        <f>IF(OR($B259="",$A259&gt;$B$9,E$245=""),"",IF(COUNTIFS(BD!$B$3:$B$5001,E$245,BD!$A$3:$A$5001,"&gt;="&amp;$C$7,BD!$A$3:$A$5001,"&lt;="&amp;$B259,BD!$X$3:$X$5001,"&lt;&gt;")=0,"",SUMIFS(BD!$X$3:$X$5001,BD!$B$3:$B$5001,E$245,BD!$A$3:$A$5001,_xlfn.MAXIFS(BD!$A$3:$A$5001,BD!$B$3:$B$5001,E$245,BD!$A$3:$A$5001,"&gt;="&amp;$C$7,BD!$A$3:$A$5001,"&lt;="&amp;$B259,BD!$X$3:$X$5001,"&lt;&gt;"))))</f>
        <v/>
      </c>
      <c r="F259" s="54" t="str">
        <f>IF(OR($B259="",$A259&gt;$B$9,F$245=""),"",IF(COUNTIFS(BD!$B$3:$B$5001,F$245,BD!$A$3:$A$5001,"&gt;="&amp;$C$7,BD!$A$3:$A$5001,"&lt;="&amp;$B259,BD!$X$3:$X$5001,"&lt;&gt;")=0,"",SUMIFS(BD!$X$3:$X$5001,BD!$B$3:$B$5001,F$245,BD!$A$3:$A$5001,_xlfn.MAXIFS(BD!$A$3:$A$5001,BD!$B$3:$B$5001,F$245,BD!$A$3:$A$5001,"&gt;="&amp;$C$7,BD!$A$3:$A$5001,"&lt;="&amp;$B259,BD!$X$3:$X$5001,"&lt;&gt;"))))</f>
        <v/>
      </c>
      <c r="G259" s="54" t="str">
        <f>IF(OR($B259="",$A259&gt;$B$9,G$245=""),"",IF(COUNTIFS(BD!$B$3:$B$5001,G$245,BD!$A$3:$A$5001,"&gt;="&amp;$C$7,BD!$A$3:$A$5001,"&lt;="&amp;$B259,BD!$X$3:$X$5001,"&lt;&gt;")=0,"",SUMIFS(BD!$X$3:$X$5001,BD!$B$3:$B$5001,G$245,BD!$A$3:$A$5001,_xlfn.MAXIFS(BD!$A$3:$A$5001,BD!$B$3:$B$5001,G$245,BD!$A$3:$A$5001,"&gt;="&amp;$C$7,BD!$A$3:$A$5001,"&lt;="&amp;$B259,BD!$X$3:$X$5001,"&lt;&gt;"))))</f>
        <v/>
      </c>
      <c r="H259" s="54" t="str">
        <f>IF(OR($B259="",$A259&gt;$B$9,H$245=""),"",IF(COUNTIFS(BD!$B$3:$B$5001,H$245,BD!$A$3:$A$5001,"&gt;="&amp;$C$7,BD!$A$3:$A$5001,"&lt;="&amp;$B259,BD!$X$3:$X$5001,"&lt;&gt;")=0,"",SUMIFS(BD!$X$3:$X$5001,BD!$B$3:$B$5001,H$245,BD!$A$3:$A$5001,_xlfn.MAXIFS(BD!$A$3:$A$5001,BD!$B$3:$B$5001,H$245,BD!$A$3:$A$5001,"&gt;="&amp;$C$7,BD!$A$3:$A$5001,"&lt;="&amp;$B259,BD!$X$3:$X$5001,"&lt;&gt;"))))</f>
        <v/>
      </c>
      <c r="I259" s="54" t="str">
        <f>IF(OR($B259="",$A259&gt;$B$9,I$245=""),"",IF(COUNTIFS(BD!$B$3:$B$5001,I$245,BD!$A$3:$A$5001,"&gt;="&amp;$C$7,BD!$A$3:$A$5001,"&lt;="&amp;$B259,BD!$X$3:$X$5001,"&lt;&gt;")=0,"",SUMIFS(BD!$X$3:$X$5001,BD!$B$3:$B$5001,I$245,BD!$A$3:$A$5001,_xlfn.MAXIFS(BD!$A$3:$A$5001,BD!$B$3:$B$5001,I$245,BD!$A$3:$A$5001,"&gt;="&amp;$C$7,BD!$A$3:$A$5001,"&lt;="&amp;$B259,BD!$X$3:$X$5001,"&lt;&gt;"))))</f>
        <v/>
      </c>
      <c r="J259" s="54" t="str">
        <f>IF(OR($B259="",$A259&gt;$B$9,J$245=""),"",IF(COUNTIFS(BD!$B$3:$B$5001,J$245,BD!$A$3:$A$5001,"&gt;="&amp;$C$7,BD!$A$3:$A$5001,"&lt;="&amp;$B259,BD!$X$3:$X$5001,"&lt;&gt;")=0,"",SUMIFS(BD!$X$3:$X$5001,BD!$B$3:$B$5001,J$245,BD!$A$3:$A$5001,_xlfn.MAXIFS(BD!$A$3:$A$5001,BD!$B$3:$B$5001,J$245,BD!$A$3:$A$5001,"&gt;="&amp;$C$7,BD!$A$3:$A$5001,"&lt;="&amp;$B259,BD!$X$3:$X$5001,"&lt;&gt;"))))</f>
        <v/>
      </c>
      <c r="K259" s="54" t="str">
        <f>IF(OR($B259="",$A259&gt;$B$9,K$245=""),"",IF(COUNTIFS(BD!$B$3:$B$5001,K$245,BD!$A$3:$A$5001,"&gt;="&amp;$C$7,BD!$A$3:$A$5001,"&lt;="&amp;$B259,BD!$X$3:$X$5001,"&lt;&gt;")=0,"",SUMIFS(BD!$X$3:$X$5001,BD!$B$3:$B$5001,K$245,BD!$A$3:$A$5001,_xlfn.MAXIFS(BD!$A$3:$A$5001,BD!$B$3:$B$5001,K$245,BD!$A$3:$A$5001,"&gt;="&amp;$C$7,BD!$A$3:$A$5001,"&lt;="&amp;$B259,BD!$X$3:$X$5001,"&lt;&gt;"))))</f>
        <v/>
      </c>
      <c r="L259" s="54" t="str">
        <f>IF(OR($B259="",$A259&gt;$B$9,L$245=""),"",IF(COUNTIFS(BD!$B$3:$B$5001,L$245,BD!$A$3:$A$5001,"&gt;="&amp;$C$7,BD!$A$3:$A$5001,"&lt;="&amp;$B259,BD!$X$3:$X$5001,"&lt;&gt;")=0,"",SUMIFS(BD!$X$3:$X$5001,BD!$B$3:$B$5001,L$245,BD!$A$3:$A$5001,_xlfn.MAXIFS(BD!$A$3:$A$5001,BD!$B$3:$B$5001,L$245,BD!$A$3:$A$5001,"&gt;="&amp;$C$7,BD!$A$3:$A$5001,"&lt;="&amp;$B259,BD!$X$3:$X$5001,"&lt;&gt;"))))</f>
        <v/>
      </c>
      <c r="M259" s="54" t="str">
        <f>IF(OR($B259="",$A259&gt;$B$9,M$245=""),"",IF(COUNTIFS(BD!$B$3:$B$5001,M$245,BD!$A$3:$A$5001,"&gt;="&amp;$C$7,BD!$A$3:$A$5001,"&lt;="&amp;$B259,BD!$X$3:$X$5001,"&lt;&gt;")=0,"",SUMIFS(BD!$X$3:$X$5001,BD!$B$3:$B$5001,M$245,BD!$A$3:$A$5001,_xlfn.MAXIFS(BD!$A$3:$A$5001,BD!$B$3:$B$5001,M$245,BD!$A$3:$A$5001,"&gt;="&amp;$C$7,BD!$A$3:$A$5001,"&lt;="&amp;$B259,BD!$X$3:$X$5001,"&lt;&gt;"))))</f>
        <v/>
      </c>
      <c r="N259" s="54" t="str">
        <f>IF(OR($B259="",$A259&gt;$B$9,N$245=""),"",IF(COUNTIFS(BD!$B$3:$B$5001,N$245,BD!$A$3:$A$5001,"&gt;="&amp;$C$7,BD!$A$3:$A$5001,"&lt;="&amp;$B259,BD!$X$3:$X$5001,"&lt;&gt;")=0,"",SUMIFS(BD!$X$3:$X$5001,BD!$B$3:$B$5001,N$245,BD!$A$3:$A$5001,_xlfn.MAXIFS(BD!$A$3:$A$5001,BD!$B$3:$B$5001,N$245,BD!$A$3:$A$5001,"&gt;="&amp;$C$7,BD!$A$3:$A$5001,"&lt;="&amp;$B259,BD!$X$3:$X$5001,"&lt;&gt;"))))</f>
        <v/>
      </c>
      <c r="O259" s="54" t="str">
        <f>IF(OR($B259="",$A259&gt;$B$9,O$245=""),"",IF(COUNTIFS(BD!$B$3:$B$5001,O$245,BD!$A$3:$A$5001,"&gt;="&amp;$C$7,BD!$A$3:$A$5001,"&lt;="&amp;$B259,BD!$X$3:$X$5001,"&lt;&gt;")=0,"",SUMIFS(BD!$X$3:$X$5001,BD!$B$3:$B$5001,O$245,BD!$A$3:$A$5001,_xlfn.MAXIFS(BD!$A$3:$A$5001,BD!$B$3:$B$5001,O$245,BD!$A$3:$A$5001,"&gt;="&amp;$C$7,BD!$A$3:$A$5001,"&lt;="&amp;$B259,BD!$X$3:$X$5001,"&lt;&gt;"))))</f>
        <v/>
      </c>
      <c r="P259" s="54" t="str">
        <f>IF(OR($B259="",$A259&gt;$B$9,P$245=""),"",IF(COUNTIFS(BD!$B$3:$B$5001,P$245,BD!$A$3:$A$5001,"&gt;="&amp;$C$7,BD!$A$3:$A$5001,"&lt;="&amp;$B259,BD!$X$3:$X$5001,"&lt;&gt;")=0,"",SUMIFS(BD!$X$3:$X$5001,BD!$B$3:$B$5001,P$245,BD!$A$3:$A$5001,_xlfn.MAXIFS(BD!$A$3:$A$5001,BD!$B$3:$B$5001,P$245,BD!$A$3:$A$5001,"&gt;="&amp;$C$7,BD!$A$3:$A$5001,"&lt;="&amp;$B259,BD!$X$3:$X$5001,"&lt;&gt;"))))</f>
        <v/>
      </c>
      <c r="Q259" s="54" t="str">
        <f>IF(OR($B259="",$A259&gt;$B$9,Q$245=""),"",IF(COUNTIFS(BD!$B$3:$B$5001,Q$245,BD!$A$3:$A$5001,"&gt;="&amp;$C$7,BD!$A$3:$A$5001,"&lt;="&amp;$B259,BD!$X$3:$X$5001,"&lt;&gt;")=0,"",SUMIFS(BD!$X$3:$X$5001,BD!$B$3:$B$5001,Q$245,BD!$A$3:$A$5001,_xlfn.MAXIFS(BD!$A$3:$A$5001,BD!$B$3:$B$5001,Q$245,BD!$A$3:$A$5001,"&gt;="&amp;$C$7,BD!$A$3:$A$5001,"&lt;="&amp;$B259,BD!$X$3:$X$5001,"&lt;&gt;"))))</f>
        <v/>
      </c>
      <c r="R259" s="54" t="str">
        <f>IF(OR($B259="",$A259&gt;$B$9,R$245=""),"",IF(COUNTIFS(BD!$B$3:$B$5001,R$245,BD!$A$3:$A$5001,"&gt;="&amp;$C$7,BD!$A$3:$A$5001,"&lt;="&amp;$B259,BD!$X$3:$X$5001,"&lt;&gt;")=0,"",SUMIFS(BD!$X$3:$X$5001,BD!$B$3:$B$5001,R$245,BD!$A$3:$A$5001,_xlfn.MAXIFS(BD!$A$3:$A$5001,BD!$B$3:$B$5001,R$245,BD!$A$3:$A$5001,"&gt;="&amp;$C$7,BD!$A$3:$A$5001,"&lt;="&amp;$B259,BD!$X$3:$X$5001,"&lt;&gt;"))))</f>
        <v/>
      </c>
      <c r="S259" s="54" t="str">
        <f>IF(OR($B259="",$A259&gt;$B$9,S$245=""),"",IF(COUNTIFS(BD!$B$3:$B$5001,S$245,BD!$A$3:$A$5001,"&gt;="&amp;$C$7,BD!$A$3:$A$5001,"&lt;="&amp;$B259,BD!$X$3:$X$5001,"&lt;&gt;")=0,"",SUMIFS(BD!$X$3:$X$5001,BD!$B$3:$B$5001,S$245,BD!$A$3:$A$5001,_xlfn.MAXIFS(BD!$A$3:$A$5001,BD!$B$3:$B$5001,S$245,BD!$A$3:$A$5001,"&gt;="&amp;$C$7,BD!$A$3:$A$5001,"&lt;="&amp;$B259,BD!$X$3:$X$5001,"&lt;&gt;"))))</f>
        <v/>
      </c>
      <c r="T259" s="54" t="str">
        <f>IF(OR($B259="",$A259&gt;$B$9,T$245=""),"",IF(COUNTIFS(BD!$B$3:$B$5001,T$245,BD!$A$3:$A$5001,"&gt;="&amp;$C$7,BD!$A$3:$A$5001,"&lt;="&amp;$B259,BD!$X$3:$X$5001,"&lt;&gt;")=0,"",SUMIFS(BD!$X$3:$X$5001,BD!$B$3:$B$5001,T$245,BD!$A$3:$A$5001,_xlfn.MAXIFS(BD!$A$3:$A$5001,BD!$B$3:$B$5001,T$245,BD!$A$3:$A$5001,"&gt;="&amp;$C$7,BD!$A$3:$A$5001,"&lt;="&amp;$B259,BD!$X$3:$X$5001,"&lt;&gt;"))))</f>
        <v/>
      </c>
      <c r="U259" s="54" t="str">
        <f>IF(OR($B259="",$A259&gt;$B$9,U$245=""),"",IF(COUNTIFS(BD!$B$3:$B$5001,U$245,BD!$A$3:$A$5001,"&gt;="&amp;$C$7,BD!$A$3:$A$5001,"&lt;="&amp;$B259,BD!$X$3:$X$5001,"&lt;&gt;")=0,"",SUMIFS(BD!$X$3:$X$5001,BD!$B$3:$B$5001,U$245,BD!$A$3:$A$5001,_xlfn.MAXIFS(BD!$A$3:$A$5001,BD!$B$3:$B$5001,U$245,BD!$A$3:$A$5001,"&gt;="&amp;$C$7,BD!$A$3:$A$5001,"&lt;="&amp;$B259,BD!$X$3:$X$5001,"&lt;&gt;"))))</f>
        <v/>
      </c>
      <c r="V259" s="54" t="str">
        <f>IF(OR($B259="",$A259&gt;$B$9,V$245=""),"",IF(COUNTIFS(BD!$B$3:$B$5001,V$245,BD!$A$3:$A$5001,"&gt;="&amp;$C$7,BD!$A$3:$A$5001,"&lt;="&amp;$B259,BD!$X$3:$X$5001,"&lt;&gt;")=0,"",SUMIFS(BD!$X$3:$X$5001,BD!$B$3:$B$5001,V$245,BD!$A$3:$A$5001,_xlfn.MAXIFS(BD!$A$3:$A$5001,BD!$B$3:$B$5001,V$245,BD!$A$3:$A$5001,"&gt;="&amp;$C$7,BD!$A$3:$A$5001,"&lt;="&amp;$B259,BD!$X$3:$X$5001,"&lt;&gt;"))))</f>
        <v/>
      </c>
    </row>
    <row r="260">
      <c r="A260" s="48">
        <v>15</v>
      </c>
      <c r="B260" s="53">
        <f>$B$26</f>
        <v>46310</v>
      </c>
      <c r="C260" s="54" t="str">
        <f>IF(OR($B260="",$A260&gt;$B$9,C$245=""),"",IF(COUNTIFS(BD!$B$3:$B$5001,C$245,BD!$A$3:$A$5001,"&gt;="&amp;$C$7,BD!$A$3:$A$5001,"&lt;="&amp;$B260,BD!$X$3:$X$5001,"&lt;&gt;")=0,"",SUMIFS(BD!$X$3:$X$5001,BD!$B$3:$B$5001,C$245,BD!$A$3:$A$5001,_xlfn.MAXIFS(BD!$A$3:$A$5001,BD!$B$3:$B$5001,C$245,BD!$A$3:$A$5001,"&gt;="&amp;$C$7,BD!$A$3:$A$5001,"&lt;="&amp;$B260,BD!$X$3:$X$5001,"&lt;&gt;"))))</f>
        <v/>
      </c>
      <c r="D260" s="54" t="str">
        <f>IF(OR($B260="",$A260&gt;$B$9,D$245=""),"",IF(COUNTIFS(BD!$B$3:$B$5001,D$245,BD!$A$3:$A$5001,"&gt;="&amp;$C$7,BD!$A$3:$A$5001,"&lt;="&amp;$B260,BD!$X$3:$X$5001,"&lt;&gt;")=0,"",SUMIFS(BD!$X$3:$X$5001,BD!$B$3:$B$5001,D$245,BD!$A$3:$A$5001,_xlfn.MAXIFS(BD!$A$3:$A$5001,BD!$B$3:$B$5001,D$245,BD!$A$3:$A$5001,"&gt;="&amp;$C$7,BD!$A$3:$A$5001,"&lt;="&amp;$B260,BD!$X$3:$X$5001,"&lt;&gt;"))))</f>
        <v/>
      </c>
      <c r="E260" s="54" t="str">
        <f>IF(OR($B260="",$A260&gt;$B$9,E$245=""),"",IF(COUNTIFS(BD!$B$3:$B$5001,E$245,BD!$A$3:$A$5001,"&gt;="&amp;$C$7,BD!$A$3:$A$5001,"&lt;="&amp;$B260,BD!$X$3:$X$5001,"&lt;&gt;")=0,"",SUMIFS(BD!$X$3:$X$5001,BD!$B$3:$B$5001,E$245,BD!$A$3:$A$5001,_xlfn.MAXIFS(BD!$A$3:$A$5001,BD!$B$3:$B$5001,E$245,BD!$A$3:$A$5001,"&gt;="&amp;$C$7,BD!$A$3:$A$5001,"&lt;="&amp;$B260,BD!$X$3:$X$5001,"&lt;&gt;"))))</f>
        <v/>
      </c>
      <c r="F260" s="54" t="str">
        <f>IF(OR($B260="",$A260&gt;$B$9,F$245=""),"",IF(COUNTIFS(BD!$B$3:$B$5001,F$245,BD!$A$3:$A$5001,"&gt;="&amp;$C$7,BD!$A$3:$A$5001,"&lt;="&amp;$B260,BD!$X$3:$X$5001,"&lt;&gt;")=0,"",SUMIFS(BD!$X$3:$X$5001,BD!$B$3:$B$5001,F$245,BD!$A$3:$A$5001,_xlfn.MAXIFS(BD!$A$3:$A$5001,BD!$B$3:$B$5001,F$245,BD!$A$3:$A$5001,"&gt;="&amp;$C$7,BD!$A$3:$A$5001,"&lt;="&amp;$B260,BD!$X$3:$X$5001,"&lt;&gt;"))))</f>
        <v/>
      </c>
      <c r="G260" s="54" t="str">
        <f>IF(OR($B260="",$A260&gt;$B$9,G$245=""),"",IF(COUNTIFS(BD!$B$3:$B$5001,G$245,BD!$A$3:$A$5001,"&gt;="&amp;$C$7,BD!$A$3:$A$5001,"&lt;="&amp;$B260,BD!$X$3:$X$5001,"&lt;&gt;")=0,"",SUMIFS(BD!$X$3:$X$5001,BD!$B$3:$B$5001,G$245,BD!$A$3:$A$5001,_xlfn.MAXIFS(BD!$A$3:$A$5001,BD!$B$3:$B$5001,G$245,BD!$A$3:$A$5001,"&gt;="&amp;$C$7,BD!$A$3:$A$5001,"&lt;="&amp;$B260,BD!$X$3:$X$5001,"&lt;&gt;"))))</f>
        <v/>
      </c>
      <c r="H260" s="54" t="str">
        <f>IF(OR($B260="",$A260&gt;$B$9,H$245=""),"",IF(COUNTIFS(BD!$B$3:$B$5001,H$245,BD!$A$3:$A$5001,"&gt;="&amp;$C$7,BD!$A$3:$A$5001,"&lt;="&amp;$B260,BD!$X$3:$X$5001,"&lt;&gt;")=0,"",SUMIFS(BD!$X$3:$X$5001,BD!$B$3:$B$5001,H$245,BD!$A$3:$A$5001,_xlfn.MAXIFS(BD!$A$3:$A$5001,BD!$B$3:$B$5001,H$245,BD!$A$3:$A$5001,"&gt;="&amp;$C$7,BD!$A$3:$A$5001,"&lt;="&amp;$B260,BD!$X$3:$X$5001,"&lt;&gt;"))))</f>
        <v/>
      </c>
      <c r="I260" s="54" t="str">
        <f>IF(OR($B260="",$A260&gt;$B$9,I$245=""),"",IF(COUNTIFS(BD!$B$3:$B$5001,I$245,BD!$A$3:$A$5001,"&gt;="&amp;$C$7,BD!$A$3:$A$5001,"&lt;="&amp;$B260,BD!$X$3:$X$5001,"&lt;&gt;")=0,"",SUMIFS(BD!$X$3:$X$5001,BD!$B$3:$B$5001,I$245,BD!$A$3:$A$5001,_xlfn.MAXIFS(BD!$A$3:$A$5001,BD!$B$3:$B$5001,I$245,BD!$A$3:$A$5001,"&gt;="&amp;$C$7,BD!$A$3:$A$5001,"&lt;="&amp;$B260,BD!$X$3:$X$5001,"&lt;&gt;"))))</f>
        <v/>
      </c>
      <c r="J260" s="54" t="str">
        <f>IF(OR($B260="",$A260&gt;$B$9,J$245=""),"",IF(COUNTIFS(BD!$B$3:$B$5001,J$245,BD!$A$3:$A$5001,"&gt;="&amp;$C$7,BD!$A$3:$A$5001,"&lt;="&amp;$B260,BD!$X$3:$X$5001,"&lt;&gt;")=0,"",SUMIFS(BD!$X$3:$X$5001,BD!$B$3:$B$5001,J$245,BD!$A$3:$A$5001,_xlfn.MAXIFS(BD!$A$3:$A$5001,BD!$B$3:$B$5001,J$245,BD!$A$3:$A$5001,"&gt;="&amp;$C$7,BD!$A$3:$A$5001,"&lt;="&amp;$B260,BD!$X$3:$X$5001,"&lt;&gt;"))))</f>
        <v/>
      </c>
      <c r="K260" s="54" t="str">
        <f>IF(OR($B260="",$A260&gt;$B$9,K$245=""),"",IF(COUNTIFS(BD!$B$3:$B$5001,K$245,BD!$A$3:$A$5001,"&gt;="&amp;$C$7,BD!$A$3:$A$5001,"&lt;="&amp;$B260,BD!$X$3:$X$5001,"&lt;&gt;")=0,"",SUMIFS(BD!$X$3:$X$5001,BD!$B$3:$B$5001,K$245,BD!$A$3:$A$5001,_xlfn.MAXIFS(BD!$A$3:$A$5001,BD!$B$3:$B$5001,K$245,BD!$A$3:$A$5001,"&gt;="&amp;$C$7,BD!$A$3:$A$5001,"&lt;="&amp;$B260,BD!$X$3:$X$5001,"&lt;&gt;"))))</f>
        <v/>
      </c>
      <c r="L260" s="54" t="str">
        <f>IF(OR($B260="",$A260&gt;$B$9,L$245=""),"",IF(COUNTIFS(BD!$B$3:$B$5001,L$245,BD!$A$3:$A$5001,"&gt;="&amp;$C$7,BD!$A$3:$A$5001,"&lt;="&amp;$B260,BD!$X$3:$X$5001,"&lt;&gt;")=0,"",SUMIFS(BD!$X$3:$X$5001,BD!$B$3:$B$5001,L$245,BD!$A$3:$A$5001,_xlfn.MAXIFS(BD!$A$3:$A$5001,BD!$B$3:$B$5001,L$245,BD!$A$3:$A$5001,"&gt;="&amp;$C$7,BD!$A$3:$A$5001,"&lt;="&amp;$B260,BD!$X$3:$X$5001,"&lt;&gt;"))))</f>
        <v/>
      </c>
      <c r="M260" s="54" t="str">
        <f>IF(OR($B260="",$A260&gt;$B$9,M$245=""),"",IF(COUNTIFS(BD!$B$3:$B$5001,M$245,BD!$A$3:$A$5001,"&gt;="&amp;$C$7,BD!$A$3:$A$5001,"&lt;="&amp;$B260,BD!$X$3:$X$5001,"&lt;&gt;")=0,"",SUMIFS(BD!$X$3:$X$5001,BD!$B$3:$B$5001,M$245,BD!$A$3:$A$5001,_xlfn.MAXIFS(BD!$A$3:$A$5001,BD!$B$3:$B$5001,M$245,BD!$A$3:$A$5001,"&gt;="&amp;$C$7,BD!$A$3:$A$5001,"&lt;="&amp;$B260,BD!$X$3:$X$5001,"&lt;&gt;"))))</f>
        <v/>
      </c>
      <c r="N260" s="54" t="str">
        <f>IF(OR($B260="",$A260&gt;$B$9,N$245=""),"",IF(COUNTIFS(BD!$B$3:$B$5001,N$245,BD!$A$3:$A$5001,"&gt;="&amp;$C$7,BD!$A$3:$A$5001,"&lt;="&amp;$B260,BD!$X$3:$X$5001,"&lt;&gt;")=0,"",SUMIFS(BD!$X$3:$X$5001,BD!$B$3:$B$5001,N$245,BD!$A$3:$A$5001,_xlfn.MAXIFS(BD!$A$3:$A$5001,BD!$B$3:$B$5001,N$245,BD!$A$3:$A$5001,"&gt;="&amp;$C$7,BD!$A$3:$A$5001,"&lt;="&amp;$B260,BD!$X$3:$X$5001,"&lt;&gt;"))))</f>
        <v/>
      </c>
      <c r="O260" s="54" t="str">
        <f>IF(OR($B260="",$A260&gt;$B$9,O$245=""),"",IF(COUNTIFS(BD!$B$3:$B$5001,O$245,BD!$A$3:$A$5001,"&gt;="&amp;$C$7,BD!$A$3:$A$5001,"&lt;="&amp;$B260,BD!$X$3:$X$5001,"&lt;&gt;")=0,"",SUMIFS(BD!$X$3:$X$5001,BD!$B$3:$B$5001,O$245,BD!$A$3:$A$5001,_xlfn.MAXIFS(BD!$A$3:$A$5001,BD!$B$3:$B$5001,O$245,BD!$A$3:$A$5001,"&gt;="&amp;$C$7,BD!$A$3:$A$5001,"&lt;="&amp;$B260,BD!$X$3:$X$5001,"&lt;&gt;"))))</f>
        <v/>
      </c>
      <c r="P260" s="54" t="str">
        <f>IF(OR($B260="",$A260&gt;$B$9,P$245=""),"",IF(COUNTIFS(BD!$B$3:$B$5001,P$245,BD!$A$3:$A$5001,"&gt;="&amp;$C$7,BD!$A$3:$A$5001,"&lt;="&amp;$B260,BD!$X$3:$X$5001,"&lt;&gt;")=0,"",SUMIFS(BD!$X$3:$X$5001,BD!$B$3:$B$5001,P$245,BD!$A$3:$A$5001,_xlfn.MAXIFS(BD!$A$3:$A$5001,BD!$B$3:$B$5001,P$245,BD!$A$3:$A$5001,"&gt;="&amp;$C$7,BD!$A$3:$A$5001,"&lt;="&amp;$B260,BD!$X$3:$X$5001,"&lt;&gt;"))))</f>
        <v/>
      </c>
      <c r="Q260" s="54" t="str">
        <f>IF(OR($B260="",$A260&gt;$B$9,Q$245=""),"",IF(COUNTIFS(BD!$B$3:$B$5001,Q$245,BD!$A$3:$A$5001,"&gt;="&amp;$C$7,BD!$A$3:$A$5001,"&lt;="&amp;$B260,BD!$X$3:$X$5001,"&lt;&gt;")=0,"",SUMIFS(BD!$X$3:$X$5001,BD!$B$3:$B$5001,Q$245,BD!$A$3:$A$5001,_xlfn.MAXIFS(BD!$A$3:$A$5001,BD!$B$3:$B$5001,Q$245,BD!$A$3:$A$5001,"&gt;="&amp;$C$7,BD!$A$3:$A$5001,"&lt;="&amp;$B260,BD!$X$3:$X$5001,"&lt;&gt;"))))</f>
        <v/>
      </c>
      <c r="R260" s="54" t="str">
        <f>IF(OR($B260="",$A260&gt;$B$9,R$245=""),"",IF(COUNTIFS(BD!$B$3:$B$5001,R$245,BD!$A$3:$A$5001,"&gt;="&amp;$C$7,BD!$A$3:$A$5001,"&lt;="&amp;$B260,BD!$X$3:$X$5001,"&lt;&gt;")=0,"",SUMIFS(BD!$X$3:$X$5001,BD!$B$3:$B$5001,R$245,BD!$A$3:$A$5001,_xlfn.MAXIFS(BD!$A$3:$A$5001,BD!$B$3:$B$5001,R$245,BD!$A$3:$A$5001,"&gt;="&amp;$C$7,BD!$A$3:$A$5001,"&lt;="&amp;$B260,BD!$X$3:$X$5001,"&lt;&gt;"))))</f>
        <v/>
      </c>
      <c r="S260" s="54" t="str">
        <f>IF(OR($B260="",$A260&gt;$B$9,S$245=""),"",IF(COUNTIFS(BD!$B$3:$B$5001,S$245,BD!$A$3:$A$5001,"&gt;="&amp;$C$7,BD!$A$3:$A$5001,"&lt;="&amp;$B260,BD!$X$3:$X$5001,"&lt;&gt;")=0,"",SUMIFS(BD!$X$3:$X$5001,BD!$B$3:$B$5001,S$245,BD!$A$3:$A$5001,_xlfn.MAXIFS(BD!$A$3:$A$5001,BD!$B$3:$B$5001,S$245,BD!$A$3:$A$5001,"&gt;="&amp;$C$7,BD!$A$3:$A$5001,"&lt;="&amp;$B260,BD!$X$3:$X$5001,"&lt;&gt;"))))</f>
        <v/>
      </c>
      <c r="T260" s="54" t="str">
        <f>IF(OR($B260="",$A260&gt;$B$9,T$245=""),"",IF(COUNTIFS(BD!$B$3:$B$5001,T$245,BD!$A$3:$A$5001,"&gt;="&amp;$C$7,BD!$A$3:$A$5001,"&lt;="&amp;$B260,BD!$X$3:$X$5001,"&lt;&gt;")=0,"",SUMIFS(BD!$X$3:$X$5001,BD!$B$3:$B$5001,T$245,BD!$A$3:$A$5001,_xlfn.MAXIFS(BD!$A$3:$A$5001,BD!$B$3:$B$5001,T$245,BD!$A$3:$A$5001,"&gt;="&amp;$C$7,BD!$A$3:$A$5001,"&lt;="&amp;$B260,BD!$X$3:$X$5001,"&lt;&gt;"))))</f>
        <v/>
      </c>
      <c r="U260" s="54" t="str">
        <f>IF(OR($B260="",$A260&gt;$B$9,U$245=""),"",IF(COUNTIFS(BD!$B$3:$B$5001,U$245,BD!$A$3:$A$5001,"&gt;="&amp;$C$7,BD!$A$3:$A$5001,"&lt;="&amp;$B260,BD!$X$3:$X$5001,"&lt;&gt;")=0,"",SUMIFS(BD!$X$3:$X$5001,BD!$B$3:$B$5001,U$245,BD!$A$3:$A$5001,_xlfn.MAXIFS(BD!$A$3:$A$5001,BD!$B$3:$B$5001,U$245,BD!$A$3:$A$5001,"&gt;="&amp;$C$7,BD!$A$3:$A$5001,"&lt;="&amp;$B260,BD!$X$3:$X$5001,"&lt;&gt;"))))</f>
        <v/>
      </c>
      <c r="V260" s="54" t="str">
        <f>IF(OR($B260="",$A260&gt;$B$9,V$245=""),"",IF(COUNTIFS(BD!$B$3:$B$5001,V$245,BD!$A$3:$A$5001,"&gt;="&amp;$C$7,BD!$A$3:$A$5001,"&lt;="&amp;$B260,BD!$X$3:$X$5001,"&lt;&gt;")=0,"",SUMIFS(BD!$X$3:$X$5001,BD!$B$3:$B$5001,V$245,BD!$A$3:$A$5001,_xlfn.MAXIFS(BD!$A$3:$A$5001,BD!$B$3:$B$5001,V$245,BD!$A$3:$A$5001,"&gt;="&amp;$C$7,BD!$A$3:$A$5001,"&lt;="&amp;$B260,BD!$X$3:$X$5001,"&lt;&gt;"))))</f>
        <v/>
      </c>
    </row>
    <row r="261">
      <c r="A261" s="48">
        <v>16</v>
      </c>
      <c r="B261" s="53">
        <f>$B$27</f>
        <v>46311</v>
      </c>
      <c r="C261" s="54" t="str">
        <f>IF(OR($B261="",$A261&gt;$B$9,C$245=""),"",IF(COUNTIFS(BD!$B$3:$B$5001,C$245,BD!$A$3:$A$5001,"&gt;="&amp;$C$7,BD!$A$3:$A$5001,"&lt;="&amp;$B261,BD!$X$3:$X$5001,"&lt;&gt;")=0,"",SUMIFS(BD!$X$3:$X$5001,BD!$B$3:$B$5001,C$245,BD!$A$3:$A$5001,_xlfn.MAXIFS(BD!$A$3:$A$5001,BD!$B$3:$B$5001,C$245,BD!$A$3:$A$5001,"&gt;="&amp;$C$7,BD!$A$3:$A$5001,"&lt;="&amp;$B261,BD!$X$3:$X$5001,"&lt;&gt;"))))</f>
        <v/>
      </c>
      <c r="D261" s="54" t="str">
        <f>IF(OR($B261="",$A261&gt;$B$9,D$245=""),"",IF(COUNTIFS(BD!$B$3:$B$5001,D$245,BD!$A$3:$A$5001,"&gt;="&amp;$C$7,BD!$A$3:$A$5001,"&lt;="&amp;$B261,BD!$X$3:$X$5001,"&lt;&gt;")=0,"",SUMIFS(BD!$X$3:$X$5001,BD!$B$3:$B$5001,D$245,BD!$A$3:$A$5001,_xlfn.MAXIFS(BD!$A$3:$A$5001,BD!$B$3:$B$5001,D$245,BD!$A$3:$A$5001,"&gt;="&amp;$C$7,BD!$A$3:$A$5001,"&lt;="&amp;$B261,BD!$X$3:$X$5001,"&lt;&gt;"))))</f>
        <v/>
      </c>
      <c r="E261" s="54" t="str">
        <f>IF(OR($B261="",$A261&gt;$B$9,E$245=""),"",IF(COUNTIFS(BD!$B$3:$B$5001,E$245,BD!$A$3:$A$5001,"&gt;="&amp;$C$7,BD!$A$3:$A$5001,"&lt;="&amp;$B261,BD!$X$3:$X$5001,"&lt;&gt;")=0,"",SUMIFS(BD!$X$3:$X$5001,BD!$B$3:$B$5001,E$245,BD!$A$3:$A$5001,_xlfn.MAXIFS(BD!$A$3:$A$5001,BD!$B$3:$B$5001,E$245,BD!$A$3:$A$5001,"&gt;="&amp;$C$7,BD!$A$3:$A$5001,"&lt;="&amp;$B261,BD!$X$3:$X$5001,"&lt;&gt;"))))</f>
        <v/>
      </c>
      <c r="F261" s="54" t="str">
        <f>IF(OR($B261="",$A261&gt;$B$9,F$245=""),"",IF(COUNTIFS(BD!$B$3:$B$5001,F$245,BD!$A$3:$A$5001,"&gt;="&amp;$C$7,BD!$A$3:$A$5001,"&lt;="&amp;$B261,BD!$X$3:$X$5001,"&lt;&gt;")=0,"",SUMIFS(BD!$X$3:$X$5001,BD!$B$3:$B$5001,F$245,BD!$A$3:$A$5001,_xlfn.MAXIFS(BD!$A$3:$A$5001,BD!$B$3:$B$5001,F$245,BD!$A$3:$A$5001,"&gt;="&amp;$C$7,BD!$A$3:$A$5001,"&lt;="&amp;$B261,BD!$X$3:$X$5001,"&lt;&gt;"))))</f>
        <v/>
      </c>
      <c r="G261" s="54" t="str">
        <f>IF(OR($B261="",$A261&gt;$B$9,G$245=""),"",IF(COUNTIFS(BD!$B$3:$B$5001,G$245,BD!$A$3:$A$5001,"&gt;="&amp;$C$7,BD!$A$3:$A$5001,"&lt;="&amp;$B261,BD!$X$3:$X$5001,"&lt;&gt;")=0,"",SUMIFS(BD!$X$3:$X$5001,BD!$B$3:$B$5001,G$245,BD!$A$3:$A$5001,_xlfn.MAXIFS(BD!$A$3:$A$5001,BD!$B$3:$B$5001,G$245,BD!$A$3:$A$5001,"&gt;="&amp;$C$7,BD!$A$3:$A$5001,"&lt;="&amp;$B261,BD!$X$3:$X$5001,"&lt;&gt;"))))</f>
        <v/>
      </c>
      <c r="H261" s="54" t="str">
        <f>IF(OR($B261="",$A261&gt;$B$9,H$245=""),"",IF(COUNTIFS(BD!$B$3:$B$5001,H$245,BD!$A$3:$A$5001,"&gt;="&amp;$C$7,BD!$A$3:$A$5001,"&lt;="&amp;$B261,BD!$X$3:$X$5001,"&lt;&gt;")=0,"",SUMIFS(BD!$X$3:$X$5001,BD!$B$3:$B$5001,H$245,BD!$A$3:$A$5001,_xlfn.MAXIFS(BD!$A$3:$A$5001,BD!$B$3:$B$5001,H$245,BD!$A$3:$A$5001,"&gt;="&amp;$C$7,BD!$A$3:$A$5001,"&lt;="&amp;$B261,BD!$X$3:$X$5001,"&lt;&gt;"))))</f>
        <v/>
      </c>
      <c r="I261" s="54" t="str">
        <f>IF(OR($B261="",$A261&gt;$B$9,I$245=""),"",IF(COUNTIFS(BD!$B$3:$B$5001,I$245,BD!$A$3:$A$5001,"&gt;="&amp;$C$7,BD!$A$3:$A$5001,"&lt;="&amp;$B261,BD!$X$3:$X$5001,"&lt;&gt;")=0,"",SUMIFS(BD!$X$3:$X$5001,BD!$B$3:$B$5001,I$245,BD!$A$3:$A$5001,_xlfn.MAXIFS(BD!$A$3:$A$5001,BD!$B$3:$B$5001,I$245,BD!$A$3:$A$5001,"&gt;="&amp;$C$7,BD!$A$3:$A$5001,"&lt;="&amp;$B261,BD!$X$3:$X$5001,"&lt;&gt;"))))</f>
        <v/>
      </c>
      <c r="J261" s="54" t="str">
        <f>IF(OR($B261="",$A261&gt;$B$9,J$245=""),"",IF(COUNTIFS(BD!$B$3:$B$5001,J$245,BD!$A$3:$A$5001,"&gt;="&amp;$C$7,BD!$A$3:$A$5001,"&lt;="&amp;$B261,BD!$X$3:$X$5001,"&lt;&gt;")=0,"",SUMIFS(BD!$X$3:$X$5001,BD!$B$3:$B$5001,J$245,BD!$A$3:$A$5001,_xlfn.MAXIFS(BD!$A$3:$A$5001,BD!$B$3:$B$5001,J$245,BD!$A$3:$A$5001,"&gt;="&amp;$C$7,BD!$A$3:$A$5001,"&lt;="&amp;$B261,BD!$X$3:$X$5001,"&lt;&gt;"))))</f>
        <v/>
      </c>
      <c r="K261" s="54" t="str">
        <f>IF(OR($B261="",$A261&gt;$B$9,K$245=""),"",IF(COUNTIFS(BD!$B$3:$B$5001,K$245,BD!$A$3:$A$5001,"&gt;="&amp;$C$7,BD!$A$3:$A$5001,"&lt;="&amp;$B261,BD!$X$3:$X$5001,"&lt;&gt;")=0,"",SUMIFS(BD!$X$3:$X$5001,BD!$B$3:$B$5001,K$245,BD!$A$3:$A$5001,_xlfn.MAXIFS(BD!$A$3:$A$5001,BD!$B$3:$B$5001,K$245,BD!$A$3:$A$5001,"&gt;="&amp;$C$7,BD!$A$3:$A$5001,"&lt;="&amp;$B261,BD!$X$3:$X$5001,"&lt;&gt;"))))</f>
        <v/>
      </c>
      <c r="L261" s="54" t="str">
        <f>IF(OR($B261="",$A261&gt;$B$9,L$245=""),"",IF(COUNTIFS(BD!$B$3:$B$5001,L$245,BD!$A$3:$A$5001,"&gt;="&amp;$C$7,BD!$A$3:$A$5001,"&lt;="&amp;$B261,BD!$X$3:$X$5001,"&lt;&gt;")=0,"",SUMIFS(BD!$X$3:$X$5001,BD!$B$3:$B$5001,L$245,BD!$A$3:$A$5001,_xlfn.MAXIFS(BD!$A$3:$A$5001,BD!$B$3:$B$5001,L$245,BD!$A$3:$A$5001,"&gt;="&amp;$C$7,BD!$A$3:$A$5001,"&lt;="&amp;$B261,BD!$X$3:$X$5001,"&lt;&gt;"))))</f>
        <v/>
      </c>
      <c r="M261" s="54" t="str">
        <f>IF(OR($B261="",$A261&gt;$B$9,M$245=""),"",IF(COUNTIFS(BD!$B$3:$B$5001,M$245,BD!$A$3:$A$5001,"&gt;="&amp;$C$7,BD!$A$3:$A$5001,"&lt;="&amp;$B261,BD!$X$3:$X$5001,"&lt;&gt;")=0,"",SUMIFS(BD!$X$3:$X$5001,BD!$B$3:$B$5001,M$245,BD!$A$3:$A$5001,_xlfn.MAXIFS(BD!$A$3:$A$5001,BD!$B$3:$B$5001,M$245,BD!$A$3:$A$5001,"&gt;="&amp;$C$7,BD!$A$3:$A$5001,"&lt;="&amp;$B261,BD!$X$3:$X$5001,"&lt;&gt;"))))</f>
        <v/>
      </c>
      <c r="N261" s="54" t="str">
        <f>IF(OR($B261="",$A261&gt;$B$9,N$245=""),"",IF(COUNTIFS(BD!$B$3:$B$5001,N$245,BD!$A$3:$A$5001,"&gt;="&amp;$C$7,BD!$A$3:$A$5001,"&lt;="&amp;$B261,BD!$X$3:$X$5001,"&lt;&gt;")=0,"",SUMIFS(BD!$X$3:$X$5001,BD!$B$3:$B$5001,N$245,BD!$A$3:$A$5001,_xlfn.MAXIFS(BD!$A$3:$A$5001,BD!$B$3:$B$5001,N$245,BD!$A$3:$A$5001,"&gt;="&amp;$C$7,BD!$A$3:$A$5001,"&lt;="&amp;$B261,BD!$X$3:$X$5001,"&lt;&gt;"))))</f>
        <v/>
      </c>
      <c r="O261" s="54" t="str">
        <f>IF(OR($B261="",$A261&gt;$B$9,O$245=""),"",IF(COUNTIFS(BD!$B$3:$B$5001,O$245,BD!$A$3:$A$5001,"&gt;="&amp;$C$7,BD!$A$3:$A$5001,"&lt;="&amp;$B261,BD!$X$3:$X$5001,"&lt;&gt;")=0,"",SUMIFS(BD!$X$3:$X$5001,BD!$B$3:$B$5001,O$245,BD!$A$3:$A$5001,_xlfn.MAXIFS(BD!$A$3:$A$5001,BD!$B$3:$B$5001,O$245,BD!$A$3:$A$5001,"&gt;="&amp;$C$7,BD!$A$3:$A$5001,"&lt;="&amp;$B261,BD!$X$3:$X$5001,"&lt;&gt;"))))</f>
        <v/>
      </c>
      <c r="P261" s="54" t="str">
        <f>IF(OR($B261="",$A261&gt;$B$9,P$245=""),"",IF(COUNTIFS(BD!$B$3:$B$5001,P$245,BD!$A$3:$A$5001,"&gt;="&amp;$C$7,BD!$A$3:$A$5001,"&lt;="&amp;$B261,BD!$X$3:$X$5001,"&lt;&gt;")=0,"",SUMIFS(BD!$X$3:$X$5001,BD!$B$3:$B$5001,P$245,BD!$A$3:$A$5001,_xlfn.MAXIFS(BD!$A$3:$A$5001,BD!$B$3:$B$5001,P$245,BD!$A$3:$A$5001,"&gt;="&amp;$C$7,BD!$A$3:$A$5001,"&lt;="&amp;$B261,BD!$X$3:$X$5001,"&lt;&gt;"))))</f>
        <v/>
      </c>
      <c r="Q261" s="54" t="str">
        <f>IF(OR($B261="",$A261&gt;$B$9,Q$245=""),"",IF(COUNTIFS(BD!$B$3:$B$5001,Q$245,BD!$A$3:$A$5001,"&gt;="&amp;$C$7,BD!$A$3:$A$5001,"&lt;="&amp;$B261,BD!$X$3:$X$5001,"&lt;&gt;")=0,"",SUMIFS(BD!$X$3:$X$5001,BD!$B$3:$B$5001,Q$245,BD!$A$3:$A$5001,_xlfn.MAXIFS(BD!$A$3:$A$5001,BD!$B$3:$B$5001,Q$245,BD!$A$3:$A$5001,"&gt;="&amp;$C$7,BD!$A$3:$A$5001,"&lt;="&amp;$B261,BD!$X$3:$X$5001,"&lt;&gt;"))))</f>
        <v/>
      </c>
      <c r="R261" s="54" t="str">
        <f>IF(OR($B261="",$A261&gt;$B$9,R$245=""),"",IF(COUNTIFS(BD!$B$3:$B$5001,R$245,BD!$A$3:$A$5001,"&gt;="&amp;$C$7,BD!$A$3:$A$5001,"&lt;="&amp;$B261,BD!$X$3:$X$5001,"&lt;&gt;")=0,"",SUMIFS(BD!$X$3:$X$5001,BD!$B$3:$B$5001,R$245,BD!$A$3:$A$5001,_xlfn.MAXIFS(BD!$A$3:$A$5001,BD!$B$3:$B$5001,R$245,BD!$A$3:$A$5001,"&gt;="&amp;$C$7,BD!$A$3:$A$5001,"&lt;="&amp;$B261,BD!$X$3:$X$5001,"&lt;&gt;"))))</f>
        <v/>
      </c>
      <c r="S261" s="54" t="str">
        <f>IF(OR($B261="",$A261&gt;$B$9,S$245=""),"",IF(COUNTIFS(BD!$B$3:$B$5001,S$245,BD!$A$3:$A$5001,"&gt;="&amp;$C$7,BD!$A$3:$A$5001,"&lt;="&amp;$B261,BD!$X$3:$X$5001,"&lt;&gt;")=0,"",SUMIFS(BD!$X$3:$X$5001,BD!$B$3:$B$5001,S$245,BD!$A$3:$A$5001,_xlfn.MAXIFS(BD!$A$3:$A$5001,BD!$B$3:$B$5001,S$245,BD!$A$3:$A$5001,"&gt;="&amp;$C$7,BD!$A$3:$A$5001,"&lt;="&amp;$B261,BD!$X$3:$X$5001,"&lt;&gt;"))))</f>
        <v/>
      </c>
      <c r="T261" s="54" t="str">
        <f>IF(OR($B261="",$A261&gt;$B$9,T$245=""),"",IF(COUNTIFS(BD!$B$3:$B$5001,T$245,BD!$A$3:$A$5001,"&gt;="&amp;$C$7,BD!$A$3:$A$5001,"&lt;="&amp;$B261,BD!$X$3:$X$5001,"&lt;&gt;")=0,"",SUMIFS(BD!$X$3:$X$5001,BD!$B$3:$B$5001,T$245,BD!$A$3:$A$5001,_xlfn.MAXIFS(BD!$A$3:$A$5001,BD!$B$3:$B$5001,T$245,BD!$A$3:$A$5001,"&gt;="&amp;$C$7,BD!$A$3:$A$5001,"&lt;="&amp;$B261,BD!$X$3:$X$5001,"&lt;&gt;"))))</f>
        <v/>
      </c>
      <c r="U261" s="54" t="str">
        <f>IF(OR($B261="",$A261&gt;$B$9,U$245=""),"",IF(COUNTIFS(BD!$B$3:$B$5001,U$245,BD!$A$3:$A$5001,"&gt;="&amp;$C$7,BD!$A$3:$A$5001,"&lt;="&amp;$B261,BD!$X$3:$X$5001,"&lt;&gt;")=0,"",SUMIFS(BD!$X$3:$X$5001,BD!$B$3:$B$5001,U$245,BD!$A$3:$A$5001,_xlfn.MAXIFS(BD!$A$3:$A$5001,BD!$B$3:$B$5001,U$245,BD!$A$3:$A$5001,"&gt;="&amp;$C$7,BD!$A$3:$A$5001,"&lt;="&amp;$B261,BD!$X$3:$X$5001,"&lt;&gt;"))))</f>
        <v/>
      </c>
      <c r="V261" s="54" t="str">
        <f>IF(OR($B261="",$A261&gt;$B$9,V$245=""),"",IF(COUNTIFS(BD!$B$3:$B$5001,V$245,BD!$A$3:$A$5001,"&gt;="&amp;$C$7,BD!$A$3:$A$5001,"&lt;="&amp;$B261,BD!$X$3:$X$5001,"&lt;&gt;")=0,"",SUMIFS(BD!$X$3:$X$5001,BD!$B$3:$B$5001,V$245,BD!$A$3:$A$5001,_xlfn.MAXIFS(BD!$A$3:$A$5001,BD!$B$3:$B$5001,V$245,BD!$A$3:$A$5001,"&gt;="&amp;$C$7,BD!$A$3:$A$5001,"&lt;="&amp;$B261,BD!$X$3:$X$5001,"&lt;&gt;"))))</f>
        <v/>
      </c>
    </row>
    <row r="262">
      <c r="A262" s="48">
        <v>17</v>
      </c>
      <c r="B262" s="53">
        <f>$B$28</f>
        <v>46312</v>
      </c>
      <c r="C262" s="54" t="str">
        <f>IF(OR($B262="",$A262&gt;$B$9,C$245=""),"",IF(COUNTIFS(BD!$B$3:$B$5001,C$245,BD!$A$3:$A$5001,"&gt;="&amp;$C$7,BD!$A$3:$A$5001,"&lt;="&amp;$B262,BD!$X$3:$X$5001,"&lt;&gt;")=0,"",SUMIFS(BD!$X$3:$X$5001,BD!$B$3:$B$5001,C$245,BD!$A$3:$A$5001,_xlfn.MAXIFS(BD!$A$3:$A$5001,BD!$B$3:$B$5001,C$245,BD!$A$3:$A$5001,"&gt;="&amp;$C$7,BD!$A$3:$A$5001,"&lt;="&amp;$B262,BD!$X$3:$X$5001,"&lt;&gt;"))))</f>
        <v/>
      </c>
      <c r="D262" s="54" t="str">
        <f>IF(OR($B262="",$A262&gt;$B$9,D$245=""),"",IF(COUNTIFS(BD!$B$3:$B$5001,D$245,BD!$A$3:$A$5001,"&gt;="&amp;$C$7,BD!$A$3:$A$5001,"&lt;="&amp;$B262,BD!$X$3:$X$5001,"&lt;&gt;")=0,"",SUMIFS(BD!$X$3:$X$5001,BD!$B$3:$B$5001,D$245,BD!$A$3:$A$5001,_xlfn.MAXIFS(BD!$A$3:$A$5001,BD!$B$3:$B$5001,D$245,BD!$A$3:$A$5001,"&gt;="&amp;$C$7,BD!$A$3:$A$5001,"&lt;="&amp;$B262,BD!$X$3:$X$5001,"&lt;&gt;"))))</f>
        <v/>
      </c>
      <c r="E262" s="54" t="str">
        <f>IF(OR($B262="",$A262&gt;$B$9,E$245=""),"",IF(COUNTIFS(BD!$B$3:$B$5001,E$245,BD!$A$3:$A$5001,"&gt;="&amp;$C$7,BD!$A$3:$A$5001,"&lt;="&amp;$B262,BD!$X$3:$X$5001,"&lt;&gt;")=0,"",SUMIFS(BD!$X$3:$X$5001,BD!$B$3:$B$5001,E$245,BD!$A$3:$A$5001,_xlfn.MAXIFS(BD!$A$3:$A$5001,BD!$B$3:$B$5001,E$245,BD!$A$3:$A$5001,"&gt;="&amp;$C$7,BD!$A$3:$A$5001,"&lt;="&amp;$B262,BD!$X$3:$X$5001,"&lt;&gt;"))))</f>
        <v/>
      </c>
      <c r="F262" s="54" t="str">
        <f>IF(OR($B262="",$A262&gt;$B$9,F$245=""),"",IF(COUNTIFS(BD!$B$3:$B$5001,F$245,BD!$A$3:$A$5001,"&gt;="&amp;$C$7,BD!$A$3:$A$5001,"&lt;="&amp;$B262,BD!$X$3:$X$5001,"&lt;&gt;")=0,"",SUMIFS(BD!$X$3:$X$5001,BD!$B$3:$B$5001,F$245,BD!$A$3:$A$5001,_xlfn.MAXIFS(BD!$A$3:$A$5001,BD!$B$3:$B$5001,F$245,BD!$A$3:$A$5001,"&gt;="&amp;$C$7,BD!$A$3:$A$5001,"&lt;="&amp;$B262,BD!$X$3:$X$5001,"&lt;&gt;"))))</f>
        <v/>
      </c>
      <c r="G262" s="54" t="str">
        <f>IF(OR($B262="",$A262&gt;$B$9,G$245=""),"",IF(COUNTIFS(BD!$B$3:$B$5001,G$245,BD!$A$3:$A$5001,"&gt;="&amp;$C$7,BD!$A$3:$A$5001,"&lt;="&amp;$B262,BD!$X$3:$X$5001,"&lt;&gt;")=0,"",SUMIFS(BD!$X$3:$X$5001,BD!$B$3:$B$5001,G$245,BD!$A$3:$A$5001,_xlfn.MAXIFS(BD!$A$3:$A$5001,BD!$B$3:$B$5001,G$245,BD!$A$3:$A$5001,"&gt;="&amp;$C$7,BD!$A$3:$A$5001,"&lt;="&amp;$B262,BD!$X$3:$X$5001,"&lt;&gt;"))))</f>
        <v/>
      </c>
      <c r="H262" s="54" t="str">
        <f>IF(OR($B262="",$A262&gt;$B$9,H$245=""),"",IF(COUNTIFS(BD!$B$3:$B$5001,H$245,BD!$A$3:$A$5001,"&gt;="&amp;$C$7,BD!$A$3:$A$5001,"&lt;="&amp;$B262,BD!$X$3:$X$5001,"&lt;&gt;")=0,"",SUMIFS(BD!$X$3:$X$5001,BD!$B$3:$B$5001,H$245,BD!$A$3:$A$5001,_xlfn.MAXIFS(BD!$A$3:$A$5001,BD!$B$3:$B$5001,H$245,BD!$A$3:$A$5001,"&gt;="&amp;$C$7,BD!$A$3:$A$5001,"&lt;="&amp;$B262,BD!$X$3:$X$5001,"&lt;&gt;"))))</f>
        <v/>
      </c>
      <c r="I262" s="54" t="str">
        <f>IF(OR($B262="",$A262&gt;$B$9,I$245=""),"",IF(COUNTIFS(BD!$B$3:$B$5001,I$245,BD!$A$3:$A$5001,"&gt;="&amp;$C$7,BD!$A$3:$A$5001,"&lt;="&amp;$B262,BD!$X$3:$X$5001,"&lt;&gt;")=0,"",SUMIFS(BD!$X$3:$X$5001,BD!$B$3:$B$5001,I$245,BD!$A$3:$A$5001,_xlfn.MAXIFS(BD!$A$3:$A$5001,BD!$B$3:$B$5001,I$245,BD!$A$3:$A$5001,"&gt;="&amp;$C$7,BD!$A$3:$A$5001,"&lt;="&amp;$B262,BD!$X$3:$X$5001,"&lt;&gt;"))))</f>
        <v/>
      </c>
      <c r="J262" s="54" t="str">
        <f>IF(OR($B262="",$A262&gt;$B$9,J$245=""),"",IF(COUNTIFS(BD!$B$3:$B$5001,J$245,BD!$A$3:$A$5001,"&gt;="&amp;$C$7,BD!$A$3:$A$5001,"&lt;="&amp;$B262,BD!$X$3:$X$5001,"&lt;&gt;")=0,"",SUMIFS(BD!$X$3:$X$5001,BD!$B$3:$B$5001,J$245,BD!$A$3:$A$5001,_xlfn.MAXIFS(BD!$A$3:$A$5001,BD!$B$3:$B$5001,J$245,BD!$A$3:$A$5001,"&gt;="&amp;$C$7,BD!$A$3:$A$5001,"&lt;="&amp;$B262,BD!$X$3:$X$5001,"&lt;&gt;"))))</f>
        <v/>
      </c>
      <c r="K262" s="54" t="str">
        <f>IF(OR($B262="",$A262&gt;$B$9,K$245=""),"",IF(COUNTIFS(BD!$B$3:$B$5001,K$245,BD!$A$3:$A$5001,"&gt;="&amp;$C$7,BD!$A$3:$A$5001,"&lt;="&amp;$B262,BD!$X$3:$X$5001,"&lt;&gt;")=0,"",SUMIFS(BD!$X$3:$X$5001,BD!$B$3:$B$5001,K$245,BD!$A$3:$A$5001,_xlfn.MAXIFS(BD!$A$3:$A$5001,BD!$B$3:$B$5001,K$245,BD!$A$3:$A$5001,"&gt;="&amp;$C$7,BD!$A$3:$A$5001,"&lt;="&amp;$B262,BD!$X$3:$X$5001,"&lt;&gt;"))))</f>
        <v/>
      </c>
      <c r="L262" s="54" t="str">
        <f>IF(OR($B262="",$A262&gt;$B$9,L$245=""),"",IF(COUNTIFS(BD!$B$3:$B$5001,L$245,BD!$A$3:$A$5001,"&gt;="&amp;$C$7,BD!$A$3:$A$5001,"&lt;="&amp;$B262,BD!$X$3:$X$5001,"&lt;&gt;")=0,"",SUMIFS(BD!$X$3:$X$5001,BD!$B$3:$B$5001,L$245,BD!$A$3:$A$5001,_xlfn.MAXIFS(BD!$A$3:$A$5001,BD!$B$3:$B$5001,L$245,BD!$A$3:$A$5001,"&gt;="&amp;$C$7,BD!$A$3:$A$5001,"&lt;="&amp;$B262,BD!$X$3:$X$5001,"&lt;&gt;"))))</f>
        <v/>
      </c>
      <c r="M262" s="54" t="str">
        <f>IF(OR($B262="",$A262&gt;$B$9,M$245=""),"",IF(COUNTIFS(BD!$B$3:$B$5001,M$245,BD!$A$3:$A$5001,"&gt;="&amp;$C$7,BD!$A$3:$A$5001,"&lt;="&amp;$B262,BD!$X$3:$X$5001,"&lt;&gt;")=0,"",SUMIFS(BD!$X$3:$X$5001,BD!$B$3:$B$5001,M$245,BD!$A$3:$A$5001,_xlfn.MAXIFS(BD!$A$3:$A$5001,BD!$B$3:$B$5001,M$245,BD!$A$3:$A$5001,"&gt;="&amp;$C$7,BD!$A$3:$A$5001,"&lt;="&amp;$B262,BD!$X$3:$X$5001,"&lt;&gt;"))))</f>
        <v/>
      </c>
      <c r="N262" s="54" t="str">
        <f>IF(OR($B262="",$A262&gt;$B$9,N$245=""),"",IF(COUNTIFS(BD!$B$3:$B$5001,N$245,BD!$A$3:$A$5001,"&gt;="&amp;$C$7,BD!$A$3:$A$5001,"&lt;="&amp;$B262,BD!$X$3:$X$5001,"&lt;&gt;")=0,"",SUMIFS(BD!$X$3:$X$5001,BD!$B$3:$B$5001,N$245,BD!$A$3:$A$5001,_xlfn.MAXIFS(BD!$A$3:$A$5001,BD!$B$3:$B$5001,N$245,BD!$A$3:$A$5001,"&gt;="&amp;$C$7,BD!$A$3:$A$5001,"&lt;="&amp;$B262,BD!$X$3:$X$5001,"&lt;&gt;"))))</f>
        <v/>
      </c>
      <c r="O262" s="54" t="str">
        <f>IF(OR($B262="",$A262&gt;$B$9,O$245=""),"",IF(COUNTIFS(BD!$B$3:$B$5001,O$245,BD!$A$3:$A$5001,"&gt;="&amp;$C$7,BD!$A$3:$A$5001,"&lt;="&amp;$B262,BD!$X$3:$X$5001,"&lt;&gt;")=0,"",SUMIFS(BD!$X$3:$X$5001,BD!$B$3:$B$5001,O$245,BD!$A$3:$A$5001,_xlfn.MAXIFS(BD!$A$3:$A$5001,BD!$B$3:$B$5001,O$245,BD!$A$3:$A$5001,"&gt;="&amp;$C$7,BD!$A$3:$A$5001,"&lt;="&amp;$B262,BD!$X$3:$X$5001,"&lt;&gt;"))))</f>
        <v/>
      </c>
      <c r="P262" s="54" t="str">
        <f>IF(OR($B262="",$A262&gt;$B$9,P$245=""),"",IF(COUNTIFS(BD!$B$3:$B$5001,P$245,BD!$A$3:$A$5001,"&gt;="&amp;$C$7,BD!$A$3:$A$5001,"&lt;="&amp;$B262,BD!$X$3:$X$5001,"&lt;&gt;")=0,"",SUMIFS(BD!$X$3:$X$5001,BD!$B$3:$B$5001,P$245,BD!$A$3:$A$5001,_xlfn.MAXIFS(BD!$A$3:$A$5001,BD!$B$3:$B$5001,P$245,BD!$A$3:$A$5001,"&gt;="&amp;$C$7,BD!$A$3:$A$5001,"&lt;="&amp;$B262,BD!$X$3:$X$5001,"&lt;&gt;"))))</f>
        <v/>
      </c>
      <c r="Q262" s="54" t="str">
        <f>IF(OR($B262="",$A262&gt;$B$9,Q$245=""),"",IF(COUNTIFS(BD!$B$3:$B$5001,Q$245,BD!$A$3:$A$5001,"&gt;="&amp;$C$7,BD!$A$3:$A$5001,"&lt;="&amp;$B262,BD!$X$3:$X$5001,"&lt;&gt;")=0,"",SUMIFS(BD!$X$3:$X$5001,BD!$B$3:$B$5001,Q$245,BD!$A$3:$A$5001,_xlfn.MAXIFS(BD!$A$3:$A$5001,BD!$B$3:$B$5001,Q$245,BD!$A$3:$A$5001,"&gt;="&amp;$C$7,BD!$A$3:$A$5001,"&lt;="&amp;$B262,BD!$X$3:$X$5001,"&lt;&gt;"))))</f>
        <v/>
      </c>
      <c r="R262" s="54" t="str">
        <f>IF(OR($B262="",$A262&gt;$B$9,R$245=""),"",IF(COUNTIFS(BD!$B$3:$B$5001,R$245,BD!$A$3:$A$5001,"&gt;="&amp;$C$7,BD!$A$3:$A$5001,"&lt;="&amp;$B262,BD!$X$3:$X$5001,"&lt;&gt;")=0,"",SUMIFS(BD!$X$3:$X$5001,BD!$B$3:$B$5001,R$245,BD!$A$3:$A$5001,_xlfn.MAXIFS(BD!$A$3:$A$5001,BD!$B$3:$B$5001,R$245,BD!$A$3:$A$5001,"&gt;="&amp;$C$7,BD!$A$3:$A$5001,"&lt;="&amp;$B262,BD!$X$3:$X$5001,"&lt;&gt;"))))</f>
        <v/>
      </c>
      <c r="S262" s="54" t="str">
        <f>IF(OR($B262="",$A262&gt;$B$9,S$245=""),"",IF(COUNTIFS(BD!$B$3:$B$5001,S$245,BD!$A$3:$A$5001,"&gt;="&amp;$C$7,BD!$A$3:$A$5001,"&lt;="&amp;$B262,BD!$X$3:$X$5001,"&lt;&gt;")=0,"",SUMIFS(BD!$X$3:$X$5001,BD!$B$3:$B$5001,S$245,BD!$A$3:$A$5001,_xlfn.MAXIFS(BD!$A$3:$A$5001,BD!$B$3:$B$5001,S$245,BD!$A$3:$A$5001,"&gt;="&amp;$C$7,BD!$A$3:$A$5001,"&lt;="&amp;$B262,BD!$X$3:$X$5001,"&lt;&gt;"))))</f>
        <v/>
      </c>
      <c r="T262" s="54" t="str">
        <f>IF(OR($B262="",$A262&gt;$B$9,T$245=""),"",IF(COUNTIFS(BD!$B$3:$B$5001,T$245,BD!$A$3:$A$5001,"&gt;="&amp;$C$7,BD!$A$3:$A$5001,"&lt;="&amp;$B262,BD!$X$3:$X$5001,"&lt;&gt;")=0,"",SUMIFS(BD!$X$3:$X$5001,BD!$B$3:$B$5001,T$245,BD!$A$3:$A$5001,_xlfn.MAXIFS(BD!$A$3:$A$5001,BD!$B$3:$B$5001,T$245,BD!$A$3:$A$5001,"&gt;="&amp;$C$7,BD!$A$3:$A$5001,"&lt;="&amp;$B262,BD!$X$3:$X$5001,"&lt;&gt;"))))</f>
        <v/>
      </c>
      <c r="U262" s="54" t="str">
        <f>IF(OR($B262="",$A262&gt;$B$9,U$245=""),"",IF(COUNTIFS(BD!$B$3:$B$5001,U$245,BD!$A$3:$A$5001,"&gt;="&amp;$C$7,BD!$A$3:$A$5001,"&lt;="&amp;$B262,BD!$X$3:$X$5001,"&lt;&gt;")=0,"",SUMIFS(BD!$X$3:$X$5001,BD!$B$3:$B$5001,U$245,BD!$A$3:$A$5001,_xlfn.MAXIFS(BD!$A$3:$A$5001,BD!$B$3:$B$5001,U$245,BD!$A$3:$A$5001,"&gt;="&amp;$C$7,BD!$A$3:$A$5001,"&lt;="&amp;$B262,BD!$X$3:$X$5001,"&lt;&gt;"))))</f>
        <v/>
      </c>
      <c r="V262" s="54" t="str">
        <f>IF(OR($B262="",$A262&gt;$B$9,V$245=""),"",IF(COUNTIFS(BD!$B$3:$B$5001,V$245,BD!$A$3:$A$5001,"&gt;="&amp;$C$7,BD!$A$3:$A$5001,"&lt;="&amp;$B262,BD!$X$3:$X$5001,"&lt;&gt;")=0,"",SUMIFS(BD!$X$3:$X$5001,BD!$B$3:$B$5001,V$245,BD!$A$3:$A$5001,_xlfn.MAXIFS(BD!$A$3:$A$5001,BD!$B$3:$B$5001,V$245,BD!$A$3:$A$5001,"&gt;="&amp;$C$7,BD!$A$3:$A$5001,"&lt;="&amp;$B262,BD!$X$3:$X$5001,"&lt;&gt;"))))</f>
        <v/>
      </c>
    </row>
    <row r="263">
      <c r="A263" s="48">
        <v>18</v>
      </c>
      <c r="B263" s="53">
        <f>$B$29</f>
        <v>46313</v>
      </c>
      <c r="C263" s="54" t="str">
        <f>IF(OR($B263="",$A263&gt;$B$9,C$245=""),"",IF(COUNTIFS(BD!$B$3:$B$5001,C$245,BD!$A$3:$A$5001,"&gt;="&amp;$C$7,BD!$A$3:$A$5001,"&lt;="&amp;$B263,BD!$X$3:$X$5001,"&lt;&gt;")=0,"",SUMIFS(BD!$X$3:$X$5001,BD!$B$3:$B$5001,C$245,BD!$A$3:$A$5001,_xlfn.MAXIFS(BD!$A$3:$A$5001,BD!$B$3:$B$5001,C$245,BD!$A$3:$A$5001,"&gt;="&amp;$C$7,BD!$A$3:$A$5001,"&lt;="&amp;$B263,BD!$X$3:$X$5001,"&lt;&gt;"))))</f>
        <v/>
      </c>
      <c r="D263" s="54" t="str">
        <f>IF(OR($B263="",$A263&gt;$B$9,D$245=""),"",IF(COUNTIFS(BD!$B$3:$B$5001,D$245,BD!$A$3:$A$5001,"&gt;="&amp;$C$7,BD!$A$3:$A$5001,"&lt;="&amp;$B263,BD!$X$3:$X$5001,"&lt;&gt;")=0,"",SUMIFS(BD!$X$3:$X$5001,BD!$B$3:$B$5001,D$245,BD!$A$3:$A$5001,_xlfn.MAXIFS(BD!$A$3:$A$5001,BD!$B$3:$B$5001,D$245,BD!$A$3:$A$5001,"&gt;="&amp;$C$7,BD!$A$3:$A$5001,"&lt;="&amp;$B263,BD!$X$3:$X$5001,"&lt;&gt;"))))</f>
        <v/>
      </c>
      <c r="E263" s="54" t="str">
        <f>IF(OR($B263="",$A263&gt;$B$9,E$245=""),"",IF(COUNTIFS(BD!$B$3:$B$5001,E$245,BD!$A$3:$A$5001,"&gt;="&amp;$C$7,BD!$A$3:$A$5001,"&lt;="&amp;$B263,BD!$X$3:$X$5001,"&lt;&gt;")=0,"",SUMIFS(BD!$X$3:$X$5001,BD!$B$3:$B$5001,E$245,BD!$A$3:$A$5001,_xlfn.MAXIFS(BD!$A$3:$A$5001,BD!$B$3:$B$5001,E$245,BD!$A$3:$A$5001,"&gt;="&amp;$C$7,BD!$A$3:$A$5001,"&lt;="&amp;$B263,BD!$X$3:$X$5001,"&lt;&gt;"))))</f>
        <v/>
      </c>
      <c r="F263" s="54" t="str">
        <f>IF(OR($B263="",$A263&gt;$B$9,F$245=""),"",IF(COUNTIFS(BD!$B$3:$B$5001,F$245,BD!$A$3:$A$5001,"&gt;="&amp;$C$7,BD!$A$3:$A$5001,"&lt;="&amp;$B263,BD!$X$3:$X$5001,"&lt;&gt;")=0,"",SUMIFS(BD!$X$3:$X$5001,BD!$B$3:$B$5001,F$245,BD!$A$3:$A$5001,_xlfn.MAXIFS(BD!$A$3:$A$5001,BD!$B$3:$B$5001,F$245,BD!$A$3:$A$5001,"&gt;="&amp;$C$7,BD!$A$3:$A$5001,"&lt;="&amp;$B263,BD!$X$3:$X$5001,"&lt;&gt;"))))</f>
        <v/>
      </c>
      <c r="G263" s="54" t="str">
        <f>IF(OR($B263="",$A263&gt;$B$9,G$245=""),"",IF(COUNTIFS(BD!$B$3:$B$5001,G$245,BD!$A$3:$A$5001,"&gt;="&amp;$C$7,BD!$A$3:$A$5001,"&lt;="&amp;$B263,BD!$X$3:$X$5001,"&lt;&gt;")=0,"",SUMIFS(BD!$X$3:$X$5001,BD!$B$3:$B$5001,G$245,BD!$A$3:$A$5001,_xlfn.MAXIFS(BD!$A$3:$A$5001,BD!$B$3:$B$5001,G$245,BD!$A$3:$A$5001,"&gt;="&amp;$C$7,BD!$A$3:$A$5001,"&lt;="&amp;$B263,BD!$X$3:$X$5001,"&lt;&gt;"))))</f>
        <v/>
      </c>
      <c r="H263" s="54" t="str">
        <f>IF(OR($B263="",$A263&gt;$B$9,H$245=""),"",IF(COUNTIFS(BD!$B$3:$B$5001,H$245,BD!$A$3:$A$5001,"&gt;="&amp;$C$7,BD!$A$3:$A$5001,"&lt;="&amp;$B263,BD!$X$3:$X$5001,"&lt;&gt;")=0,"",SUMIFS(BD!$X$3:$X$5001,BD!$B$3:$B$5001,H$245,BD!$A$3:$A$5001,_xlfn.MAXIFS(BD!$A$3:$A$5001,BD!$B$3:$B$5001,H$245,BD!$A$3:$A$5001,"&gt;="&amp;$C$7,BD!$A$3:$A$5001,"&lt;="&amp;$B263,BD!$X$3:$X$5001,"&lt;&gt;"))))</f>
        <v/>
      </c>
      <c r="I263" s="54" t="str">
        <f>IF(OR($B263="",$A263&gt;$B$9,I$245=""),"",IF(COUNTIFS(BD!$B$3:$B$5001,I$245,BD!$A$3:$A$5001,"&gt;="&amp;$C$7,BD!$A$3:$A$5001,"&lt;="&amp;$B263,BD!$X$3:$X$5001,"&lt;&gt;")=0,"",SUMIFS(BD!$X$3:$X$5001,BD!$B$3:$B$5001,I$245,BD!$A$3:$A$5001,_xlfn.MAXIFS(BD!$A$3:$A$5001,BD!$B$3:$B$5001,I$245,BD!$A$3:$A$5001,"&gt;="&amp;$C$7,BD!$A$3:$A$5001,"&lt;="&amp;$B263,BD!$X$3:$X$5001,"&lt;&gt;"))))</f>
        <v/>
      </c>
      <c r="J263" s="54" t="str">
        <f>IF(OR($B263="",$A263&gt;$B$9,J$245=""),"",IF(COUNTIFS(BD!$B$3:$B$5001,J$245,BD!$A$3:$A$5001,"&gt;="&amp;$C$7,BD!$A$3:$A$5001,"&lt;="&amp;$B263,BD!$X$3:$X$5001,"&lt;&gt;")=0,"",SUMIFS(BD!$X$3:$X$5001,BD!$B$3:$B$5001,J$245,BD!$A$3:$A$5001,_xlfn.MAXIFS(BD!$A$3:$A$5001,BD!$B$3:$B$5001,J$245,BD!$A$3:$A$5001,"&gt;="&amp;$C$7,BD!$A$3:$A$5001,"&lt;="&amp;$B263,BD!$X$3:$X$5001,"&lt;&gt;"))))</f>
        <v/>
      </c>
      <c r="K263" s="54" t="str">
        <f>IF(OR($B263="",$A263&gt;$B$9,K$245=""),"",IF(COUNTIFS(BD!$B$3:$B$5001,K$245,BD!$A$3:$A$5001,"&gt;="&amp;$C$7,BD!$A$3:$A$5001,"&lt;="&amp;$B263,BD!$X$3:$X$5001,"&lt;&gt;")=0,"",SUMIFS(BD!$X$3:$X$5001,BD!$B$3:$B$5001,K$245,BD!$A$3:$A$5001,_xlfn.MAXIFS(BD!$A$3:$A$5001,BD!$B$3:$B$5001,K$245,BD!$A$3:$A$5001,"&gt;="&amp;$C$7,BD!$A$3:$A$5001,"&lt;="&amp;$B263,BD!$X$3:$X$5001,"&lt;&gt;"))))</f>
        <v/>
      </c>
      <c r="L263" s="54" t="str">
        <f>IF(OR($B263="",$A263&gt;$B$9,L$245=""),"",IF(COUNTIFS(BD!$B$3:$B$5001,L$245,BD!$A$3:$A$5001,"&gt;="&amp;$C$7,BD!$A$3:$A$5001,"&lt;="&amp;$B263,BD!$X$3:$X$5001,"&lt;&gt;")=0,"",SUMIFS(BD!$X$3:$X$5001,BD!$B$3:$B$5001,L$245,BD!$A$3:$A$5001,_xlfn.MAXIFS(BD!$A$3:$A$5001,BD!$B$3:$B$5001,L$245,BD!$A$3:$A$5001,"&gt;="&amp;$C$7,BD!$A$3:$A$5001,"&lt;="&amp;$B263,BD!$X$3:$X$5001,"&lt;&gt;"))))</f>
        <v/>
      </c>
      <c r="M263" s="54" t="str">
        <f>IF(OR($B263="",$A263&gt;$B$9,M$245=""),"",IF(COUNTIFS(BD!$B$3:$B$5001,M$245,BD!$A$3:$A$5001,"&gt;="&amp;$C$7,BD!$A$3:$A$5001,"&lt;="&amp;$B263,BD!$X$3:$X$5001,"&lt;&gt;")=0,"",SUMIFS(BD!$X$3:$X$5001,BD!$B$3:$B$5001,M$245,BD!$A$3:$A$5001,_xlfn.MAXIFS(BD!$A$3:$A$5001,BD!$B$3:$B$5001,M$245,BD!$A$3:$A$5001,"&gt;="&amp;$C$7,BD!$A$3:$A$5001,"&lt;="&amp;$B263,BD!$X$3:$X$5001,"&lt;&gt;"))))</f>
        <v/>
      </c>
      <c r="N263" s="54" t="str">
        <f>IF(OR($B263="",$A263&gt;$B$9,N$245=""),"",IF(COUNTIFS(BD!$B$3:$B$5001,N$245,BD!$A$3:$A$5001,"&gt;="&amp;$C$7,BD!$A$3:$A$5001,"&lt;="&amp;$B263,BD!$X$3:$X$5001,"&lt;&gt;")=0,"",SUMIFS(BD!$X$3:$X$5001,BD!$B$3:$B$5001,N$245,BD!$A$3:$A$5001,_xlfn.MAXIFS(BD!$A$3:$A$5001,BD!$B$3:$B$5001,N$245,BD!$A$3:$A$5001,"&gt;="&amp;$C$7,BD!$A$3:$A$5001,"&lt;="&amp;$B263,BD!$X$3:$X$5001,"&lt;&gt;"))))</f>
        <v/>
      </c>
      <c r="O263" s="54" t="str">
        <f>IF(OR($B263="",$A263&gt;$B$9,O$245=""),"",IF(COUNTIFS(BD!$B$3:$B$5001,O$245,BD!$A$3:$A$5001,"&gt;="&amp;$C$7,BD!$A$3:$A$5001,"&lt;="&amp;$B263,BD!$X$3:$X$5001,"&lt;&gt;")=0,"",SUMIFS(BD!$X$3:$X$5001,BD!$B$3:$B$5001,O$245,BD!$A$3:$A$5001,_xlfn.MAXIFS(BD!$A$3:$A$5001,BD!$B$3:$B$5001,O$245,BD!$A$3:$A$5001,"&gt;="&amp;$C$7,BD!$A$3:$A$5001,"&lt;="&amp;$B263,BD!$X$3:$X$5001,"&lt;&gt;"))))</f>
        <v/>
      </c>
      <c r="P263" s="54" t="str">
        <f>IF(OR($B263="",$A263&gt;$B$9,P$245=""),"",IF(COUNTIFS(BD!$B$3:$B$5001,P$245,BD!$A$3:$A$5001,"&gt;="&amp;$C$7,BD!$A$3:$A$5001,"&lt;="&amp;$B263,BD!$X$3:$X$5001,"&lt;&gt;")=0,"",SUMIFS(BD!$X$3:$X$5001,BD!$B$3:$B$5001,P$245,BD!$A$3:$A$5001,_xlfn.MAXIFS(BD!$A$3:$A$5001,BD!$B$3:$B$5001,P$245,BD!$A$3:$A$5001,"&gt;="&amp;$C$7,BD!$A$3:$A$5001,"&lt;="&amp;$B263,BD!$X$3:$X$5001,"&lt;&gt;"))))</f>
        <v/>
      </c>
      <c r="Q263" s="54" t="str">
        <f>IF(OR($B263="",$A263&gt;$B$9,Q$245=""),"",IF(COUNTIFS(BD!$B$3:$B$5001,Q$245,BD!$A$3:$A$5001,"&gt;="&amp;$C$7,BD!$A$3:$A$5001,"&lt;="&amp;$B263,BD!$X$3:$X$5001,"&lt;&gt;")=0,"",SUMIFS(BD!$X$3:$X$5001,BD!$B$3:$B$5001,Q$245,BD!$A$3:$A$5001,_xlfn.MAXIFS(BD!$A$3:$A$5001,BD!$B$3:$B$5001,Q$245,BD!$A$3:$A$5001,"&gt;="&amp;$C$7,BD!$A$3:$A$5001,"&lt;="&amp;$B263,BD!$X$3:$X$5001,"&lt;&gt;"))))</f>
        <v/>
      </c>
      <c r="R263" s="54" t="str">
        <f>IF(OR($B263="",$A263&gt;$B$9,R$245=""),"",IF(COUNTIFS(BD!$B$3:$B$5001,R$245,BD!$A$3:$A$5001,"&gt;="&amp;$C$7,BD!$A$3:$A$5001,"&lt;="&amp;$B263,BD!$X$3:$X$5001,"&lt;&gt;")=0,"",SUMIFS(BD!$X$3:$X$5001,BD!$B$3:$B$5001,R$245,BD!$A$3:$A$5001,_xlfn.MAXIFS(BD!$A$3:$A$5001,BD!$B$3:$B$5001,R$245,BD!$A$3:$A$5001,"&gt;="&amp;$C$7,BD!$A$3:$A$5001,"&lt;="&amp;$B263,BD!$X$3:$X$5001,"&lt;&gt;"))))</f>
        <v/>
      </c>
      <c r="S263" s="54" t="str">
        <f>IF(OR($B263="",$A263&gt;$B$9,S$245=""),"",IF(COUNTIFS(BD!$B$3:$B$5001,S$245,BD!$A$3:$A$5001,"&gt;="&amp;$C$7,BD!$A$3:$A$5001,"&lt;="&amp;$B263,BD!$X$3:$X$5001,"&lt;&gt;")=0,"",SUMIFS(BD!$X$3:$X$5001,BD!$B$3:$B$5001,S$245,BD!$A$3:$A$5001,_xlfn.MAXIFS(BD!$A$3:$A$5001,BD!$B$3:$B$5001,S$245,BD!$A$3:$A$5001,"&gt;="&amp;$C$7,BD!$A$3:$A$5001,"&lt;="&amp;$B263,BD!$X$3:$X$5001,"&lt;&gt;"))))</f>
        <v/>
      </c>
      <c r="T263" s="54" t="str">
        <f>IF(OR($B263="",$A263&gt;$B$9,T$245=""),"",IF(COUNTIFS(BD!$B$3:$B$5001,T$245,BD!$A$3:$A$5001,"&gt;="&amp;$C$7,BD!$A$3:$A$5001,"&lt;="&amp;$B263,BD!$X$3:$X$5001,"&lt;&gt;")=0,"",SUMIFS(BD!$X$3:$X$5001,BD!$B$3:$B$5001,T$245,BD!$A$3:$A$5001,_xlfn.MAXIFS(BD!$A$3:$A$5001,BD!$B$3:$B$5001,T$245,BD!$A$3:$A$5001,"&gt;="&amp;$C$7,BD!$A$3:$A$5001,"&lt;="&amp;$B263,BD!$X$3:$X$5001,"&lt;&gt;"))))</f>
        <v/>
      </c>
      <c r="U263" s="54" t="str">
        <f>IF(OR($B263="",$A263&gt;$B$9,U$245=""),"",IF(COUNTIFS(BD!$B$3:$B$5001,U$245,BD!$A$3:$A$5001,"&gt;="&amp;$C$7,BD!$A$3:$A$5001,"&lt;="&amp;$B263,BD!$X$3:$X$5001,"&lt;&gt;")=0,"",SUMIFS(BD!$X$3:$X$5001,BD!$B$3:$B$5001,U$245,BD!$A$3:$A$5001,_xlfn.MAXIFS(BD!$A$3:$A$5001,BD!$B$3:$B$5001,U$245,BD!$A$3:$A$5001,"&gt;="&amp;$C$7,BD!$A$3:$A$5001,"&lt;="&amp;$B263,BD!$X$3:$X$5001,"&lt;&gt;"))))</f>
        <v/>
      </c>
      <c r="V263" s="54" t="str">
        <f>IF(OR($B263="",$A263&gt;$B$9,V$245=""),"",IF(COUNTIFS(BD!$B$3:$B$5001,V$245,BD!$A$3:$A$5001,"&gt;="&amp;$C$7,BD!$A$3:$A$5001,"&lt;="&amp;$B263,BD!$X$3:$X$5001,"&lt;&gt;")=0,"",SUMIFS(BD!$X$3:$X$5001,BD!$B$3:$B$5001,V$245,BD!$A$3:$A$5001,_xlfn.MAXIFS(BD!$A$3:$A$5001,BD!$B$3:$B$5001,V$245,BD!$A$3:$A$5001,"&gt;="&amp;$C$7,BD!$A$3:$A$5001,"&lt;="&amp;$B263,BD!$X$3:$X$5001,"&lt;&gt;"))))</f>
        <v/>
      </c>
    </row>
    <row r="264">
      <c r="A264" s="48">
        <v>19</v>
      </c>
      <c r="B264" s="53">
        <f>$B$30</f>
        <v>46314</v>
      </c>
      <c r="C264" s="54" t="str">
        <f>IF(OR($B264="",$A264&gt;$B$9,C$245=""),"",IF(COUNTIFS(BD!$B$3:$B$5001,C$245,BD!$A$3:$A$5001,"&gt;="&amp;$C$7,BD!$A$3:$A$5001,"&lt;="&amp;$B264,BD!$X$3:$X$5001,"&lt;&gt;")=0,"",SUMIFS(BD!$X$3:$X$5001,BD!$B$3:$B$5001,C$245,BD!$A$3:$A$5001,_xlfn.MAXIFS(BD!$A$3:$A$5001,BD!$B$3:$B$5001,C$245,BD!$A$3:$A$5001,"&gt;="&amp;$C$7,BD!$A$3:$A$5001,"&lt;="&amp;$B264,BD!$X$3:$X$5001,"&lt;&gt;"))))</f>
        <v/>
      </c>
      <c r="D264" s="54" t="str">
        <f>IF(OR($B264="",$A264&gt;$B$9,D$245=""),"",IF(COUNTIFS(BD!$B$3:$B$5001,D$245,BD!$A$3:$A$5001,"&gt;="&amp;$C$7,BD!$A$3:$A$5001,"&lt;="&amp;$B264,BD!$X$3:$X$5001,"&lt;&gt;")=0,"",SUMIFS(BD!$X$3:$X$5001,BD!$B$3:$B$5001,D$245,BD!$A$3:$A$5001,_xlfn.MAXIFS(BD!$A$3:$A$5001,BD!$B$3:$B$5001,D$245,BD!$A$3:$A$5001,"&gt;="&amp;$C$7,BD!$A$3:$A$5001,"&lt;="&amp;$B264,BD!$X$3:$X$5001,"&lt;&gt;"))))</f>
        <v/>
      </c>
      <c r="E264" s="54" t="str">
        <f>IF(OR($B264="",$A264&gt;$B$9,E$245=""),"",IF(COUNTIFS(BD!$B$3:$B$5001,E$245,BD!$A$3:$A$5001,"&gt;="&amp;$C$7,BD!$A$3:$A$5001,"&lt;="&amp;$B264,BD!$X$3:$X$5001,"&lt;&gt;")=0,"",SUMIFS(BD!$X$3:$X$5001,BD!$B$3:$B$5001,E$245,BD!$A$3:$A$5001,_xlfn.MAXIFS(BD!$A$3:$A$5001,BD!$B$3:$B$5001,E$245,BD!$A$3:$A$5001,"&gt;="&amp;$C$7,BD!$A$3:$A$5001,"&lt;="&amp;$B264,BD!$X$3:$X$5001,"&lt;&gt;"))))</f>
        <v/>
      </c>
      <c r="F264" s="54" t="str">
        <f>IF(OR($B264="",$A264&gt;$B$9,F$245=""),"",IF(COUNTIFS(BD!$B$3:$B$5001,F$245,BD!$A$3:$A$5001,"&gt;="&amp;$C$7,BD!$A$3:$A$5001,"&lt;="&amp;$B264,BD!$X$3:$X$5001,"&lt;&gt;")=0,"",SUMIFS(BD!$X$3:$X$5001,BD!$B$3:$B$5001,F$245,BD!$A$3:$A$5001,_xlfn.MAXIFS(BD!$A$3:$A$5001,BD!$B$3:$B$5001,F$245,BD!$A$3:$A$5001,"&gt;="&amp;$C$7,BD!$A$3:$A$5001,"&lt;="&amp;$B264,BD!$X$3:$X$5001,"&lt;&gt;"))))</f>
        <v/>
      </c>
      <c r="G264" s="54" t="str">
        <f>IF(OR($B264="",$A264&gt;$B$9,G$245=""),"",IF(COUNTIFS(BD!$B$3:$B$5001,G$245,BD!$A$3:$A$5001,"&gt;="&amp;$C$7,BD!$A$3:$A$5001,"&lt;="&amp;$B264,BD!$X$3:$X$5001,"&lt;&gt;")=0,"",SUMIFS(BD!$X$3:$X$5001,BD!$B$3:$B$5001,G$245,BD!$A$3:$A$5001,_xlfn.MAXIFS(BD!$A$3:$A$5001,BD!$B$3:$B$5001,G$245,BD!$A$3:$A$5001,"&gt;="&amp;$C$7,BD!$A$3:$A$5001,"&lt;="&amp;$B264,BD!$X$3:$X$5001,"&lt;&gt;"))))</f>
        <v/>
      </c>
      <c r="H264" s="54" t="str">
        <f>IF(OR($B264="",$A264&gt;$B$9,H$245=""),"",IF(COUNTIFS(BD!$B$3:$B$5001,H$245,BD!$A$3:$A$5001,"&gt;="&amp;$C$7,BD!$A$3:$A$5001,"&lt;="&amp;$B264,BD!$X$3:$X$5001,"&lt;&gt;")=0,"",SUMIFS(BD!$X$3:$X$5001,BD!$B$3:$B$5001,H$245,BD!$A$3:$A$5001,_xlfn.MAXIFS(BD!$A$3:$A$5001,BD!$B$3:$B$5001,H$245,BD!$A$3:$A$5001,"&gt;="&amp;$C$7,BD!$A$3:$A$5001,"&lt;="&amp;$B264,BD!$X$3:$X$5001,"&lt;&gt;"))))</f>
        <v/>
      </c>
      <c r="I264" s="54" t="str">
        <f>IF(OR($B264="",$A264&gt;$B$9,I$245=""),"",IF(COUNTIFS(BD!$B$3:$B$5001,I$245,BD!$A$3:$A$5001,"&gt;="&amp;$C$7,BD!$A$3:$A$5001,"&lt;="&amp;$B264,BD!$X$3:$X$5001,"&lt;&gt;")=0,"",SUMIFS(BD!$X$3:$X$5001,BD!$B$3:$B$5001,I$245,BD!$A$3:$A$5001,_xlfn.MAXIFS(BD!$A$3:$A$5001,BD!$B$3:$B$5001,I$245,BD!$A$3:$A$5001,"&gt;="&amp;$C$7,BD!$A$3:$A$5001,"&lt;="&amp;$B264,BD!$X$3:$X$5001,"&lt;&gt;"))))</f>
        <v/>
      </c>
      <c r="J264" s="54" t="str">
        <f>IF(OR($B264="",$A264&gt;$B$9,J$245=""),"",IF(COUNTIFS(BD!$B$3:$B$5001,J$245,BD!$A$3:$A$5001,"&gt;="&amp;$C$7,BD!$A$3:$A$5001,"&lt;="&amp;$B264,BD!$X$3:$X$5001,"&lt;&gt;")=0,"",SUMIFS(BD!$X$3:$X$5001,BD!$B$3:$B$5001,J$245,BD!$A$3:$A$5001,_xlfn.MAXIFS(BD!$A$3:$A$5001,BD!$B$3:$B$5001,J$245,BD!$A$3:$A$5001,"&gt;="&amp;$C$7,BD!$A$3:$A$5001,"&lt;="&amp;$B264,BD!$X$3:$X$5001,"&lt;&gt;"))))</f>
        <v/>
      </c>
      <c r="K264" s="54" t="str">
        <f>IF(OR($B264="",$A264&gt;$B$9,K$245=""),"",IF(COUNTIFS(BD!$B$3:$B$5001,K$245,BD!$A$3:$A$5001,"&gt;="&amp;$C$7,BD!$A$3:$A$5001,"&lt;="&amp;$B264,BD!$X$3:$X$5001,"&lt;&gt;")=0,"",SUMIFS(BD!$X$3:$X$5001,BD!$B$3:$B$5001,K$245,BD!$A$3:$A$5001,_xlfn.MAXIFS(BD!$A$3:$A$5001,BD!$B$3:$B$5001,K$245,BD!$A$3:$A$5001,"&gt;="&amp;$C$7,BD!$A$3:$A$5001,"&lt;="&amp;$B264,BD!$X$3:$X$5001,"&lt;&gt;"))))</f>
        <v/>
      </c>
      <c r="L264" s="54" t="str">
        <f>IF(OR($B264="",$A264&gt;$B$9,L$245=""),"",IF(COUNTIFS(BD!$B$3:$B$5001,L$245,BD!$A$3:$A$5001,"&gt;="&amp;$C$7,BD!$A$3:$A$5001,"&lt;="&amp;$B264,BD!$X$3:$X$5001,"&lt;&gt;")=0,"",SUMIFS(BD!$X$3:$X$5001,BD!$B$3:$B$5001,L$245,BD!$A$3:$A$5001,_xlfn.MAXIFS(BD!$A$3:$A$5001,BD!$B$3:$B$5001,L$245,BD!$A$3:$A$5001,"&gt;="&amp;$C$7,BD!$A$3:$A$5001,"&lt;="&amp;$B264,BD!$X$3:$X$5001,"&lt;&gt;"))))</f>
        <v/>
      </c>
      <c r="M264" s="54" t="str">
        <f>IF(OR($B264="",$A264&gt;$B$9,M$245=""),"",IF(COUNTIFS(BD!$B$3:$B$5001,M$245,BD!$A$3:$A$5001,"&gt;="&amp;$C$7,BD!$A$3:$A$5001,"&lt;="&amp;$B264,BD!$X$3:$X$5001,"&lt;&gt;")=0,"",SUMIFS(BD!$X$3:$X$5001,BD!$B$3:$B$5001,M$245,BD!$A$3:$A$5001,_xlfn.MAXIFS(BD!$A$3:$A$5001,BD!$B$3:$B$5001,M$245,BD!$A$3:$A$5001,"&gt;="&amp;$C$7,BD!$A$3:$A$5001,"&lt;="&amp;$B264,BD!$X$3:$X$5001,"&lt;&gt;"))))</f>
        <v/>
      </c>
      <c r="N264" s="54" t="str">
        <f>IF(OR($B264="",$A264&gt;$B$9,N$245=""),"",IF(COUNTIFS(BD!$B$3:$B$5001,N$245,BD!$A$3:$A$5001,"&gt;="&amp;$C$7,BD!$A$3:$A$5001,"&lt;="&amp;$B264,BD!$X$3:$X$5001,"&lt;&gt;")=0,"",SUMIFS(BD!$X$3:$X$5001,BD!$B$3:$B$5001,N$245,BD!$A$3:$A$5001,_xlfn.MAXIFS(BD!$A$3:$A$5001,BD!$B$3:$B$5001,N$245,BD!$A$3:$A$5001,"&gt;="&amp;$C$7,BD!$A$3:$A$5001,"&lt;="&amp;$B264,BD!$X$3:$X$5001,"&lt;&gt;"))))</f>
        <v/>
      </c>
      <c r="O264" s="54" t="str">
        <f>IF(OR($B264="",$A264&gt;$B$9,O$245=""),"",IF(COUNTIFS(BD!$B$3:$B$5001,O$245,BD!$A$3:$A$5001,"&gt;="&amp;$C$7,BD!$A$3:$A$5001,"&lt;="&amp;$B264,BD!$X$3:$X$5001,"&lt;&gt;")=0,"",SUMIFS(BD!$X$3:$X$5001,BD!$B$3:$B$5001,O$245,BD!$A$3:$A$5001,_xlfn.MAXIFS(BD!$A$3:$A$5001,BD!$B$3:$B$5001,O$245,BD!$A$3:$A$5001,"&gt;="&amp;$C$7,BD!$A$3:$A$5001,"&lt;="&amp;$B264,BD!$X$3:$X$5001,"&lt;&gt;"))))</f>
        <v/>
      </c>
      <c r="P264" s="54" t="str">
        <f>IF(OR($B264="",$A264&gt;$B$9,P$245=""),"",IF(COUNTIFS(BD!$B$3:$B$5001,P$245,BD!$A$3:$A$5001,"&gt;="&amp;$C$7,BD!$A$3:$A$5001,"&lt;="&amp;$B264,BD!$X$3:$X$5001,"&lt;&gt;")=0,"",SUMIFS(BD!$X$3:$X$5001,BD!$B$3:$B$5001,P$245,BD!$A$3:$A$5001,_xlfn.MAXIFS(BD!$A$3:$A$5001,BD!$B$3:$B$5001,P$245,BD!$A$3:$A$5001,"&gt;="&amp;$C$7,BD!$A$3:$A$5001,"&lt;="&amp;$B264,BD!$X$3:$X$5001,"&lt;&gt;"))))</f>
        <v/>
      </c>
      <c r="Q264" s="54" t="str">
        <f>IF(OR($B264="",$A264&gt;$B$9,Q$245=""),"",IF(COUNTIFS(BD!$B$3:$B$5001,Q$245,BD!$A$3:$A$5001,"&gt;="&amp;$C$7,BD!$A$3:$A$5001,"&lt;="&amp;$B264,BD!$X$3:$X$5001,"&lt;&gt;")=0,"",SUMIFS(BD!$X$3:$X$5001,BD!$B$3:$B$5001,Q$245,BD!$A$3:$A$5001,_xlfn.MAXIFS(BD!$A$3:$A$5001,BD!$B$3:$B$5001,Q$245,BD!$A$3:$A$5001,"&gt;="&amp;$C$7,BD!$A$3:$A$5001,"&lt;="&amp;$B264,BD!$X$3:$X$5001,"&lt;&gt;"))))</f>
        <v/>
      </c>
      <c r="R264" s="54" t="str">
        <f>IF(OR($B264="",$A264&gt;$B$9,R$245=""),"",IF(COUNTIFS(BD!$B$3:$B$5001,R$245,BD!$A$3:$A$5001,"&gt;="&amp;$C$7,BD!$A$3:$A$5001,"&lt;="&amp;$B264,BD!$X$3:$X$5001,"&lt;&gt;")=0,"",SUMIFS(BD!$X$3:$X$5001,BD!$B$3:$B$5001,R$245,BD!$A$3:$A$5001,_xlfn.MAXIFS(BD!$A$3:$A$5001,BD!$B$3:$B$5001,R$245,BD!$A$3:$A$5001,"&gt;="&amp;$C$7,BD!$A$3:$A$5001,"&lt;="&amp;$B264,BD!$X$3:$X$5001,"&lt;&gt;"))))</f>
        <v/>
      </c>
      <c r="S264" s="54" t="str">
        <f>IF(OR($B264="",$A264&gt;$B$9,S$245=""),"",IF(COUNTIFS(BD!$B$3:$B$5001,S$245,BD!$A$3:$A$5001,"&gt;="&amp;$C$7,BD!$A$3:$A$5001,"&lt;="&amp;$B264,BD!$X$3:$X$5001,"&lt;&gt;")=0,"",SUMIFS(BD!$X$3:$X$5001,BD!$B$3:$B$5001,S$245,BD!$A$3:$A$5001,_xlfn.MAXIFS(BD!$A$3:$A$5001,BD!$B$3:$B$5001,S$245,BD!$A$3:$A$5001,"&gt;="&amp;$C$7,BD!$A$3:$A$5001,"&lt;="&amp;$B264,BD!$X$3:$X$5001,"&lt;&gt;"))))</f>
        <v/>
      </c>
      <c r="T264" s="54" t="str">
        <f>IF(OR($B264="",$A264&gt;$B$9,T$245=""),"",IF(COUNTIFS(BD!$B$3:$B$5001,T$245,BD!$A$3:$A$5001,"&gt;="&amp;$C$7,BD!$A$3:$A$5001,"&lt;="&amp;$B264,BD!$X$3:$X$5001,"&lt;&gt;")=0,"",SUMIFS(BD!$X$3:$X$5001,BD!$B$3:$B$5001,T$245,BD!$A$3:$A$5001,_xlfn.MAXIFS(BD!$A$3:$A$5001,BD!$B$3:$B$5001,T$245,BD!$A$3:$A$5001,"&gt;="&amp;$C$7,BD!$A$3:$A$5001,"&lt;="&amp;$B264,BD!$X$3:$X$5001,"&lt;&gt;"))))</f>
        <v/>
      </c>
      <c r="U264" s="54" t="str">
        <f>IF(OR($B264="",$A264&gt;$B$9,U$245=""),"",IF(COUNTIFS(BD!$B$3:$B$5001,U$245,BD!$A$3:$A$5001,"&gt;="&amp;$C$7,BD!$A$3:$A$5001,"&lt;="&amp;$B264,BD!$X$3:$X$5001,"&lt;&gt;")=0,"",SUMIFS(BD!$X$3:$X$5001,BD!$B$3:$B$5001,U$245,BD!$A$3:$A$5001,_xlfn.MAXIFS(BD!$A$3:$A$5001,BD!$B$3:$B$5001,U$245,BD!$A$3:$A$5001,"&gt;="&amp;$C$7,BD!$A$3:$A$5001,"&lt;="&amp;$B264,BD!$X$3:$X$5001,"&lt;&gt;"))))</f>
        <v/>
      </c>
      <c r="V264" s="54" t="str">
        <f>IF(OR($B264="",$A264&gt;$B$9,V$245=""),"",IF(COUNTIFS(BD!$B$3:$B$5001,V$245,BD!$A$3:$A$5001,"&gt;="&amp;$C$7,BD!$A$3:$A$5001,"&lt;="&amp;$B264,BD!$X$3:$X$5001,"&lt;&gt;")=0,"",SUMIFS(BD!$X$3:$X$5001,BD!$B$3:$B$5001,V$245,BD!$A$3:$A$5001,_xlfn.MAXIFS(BD!$A$3:$A$5001,BD!$B$3:$B$5001,V$245,BD!$A$3:$A$5001,"&gt;="&amp;$C$7,BD!$A$3:$A$5001,"&lt;="&amp;$B264,BD!$X$3:$X$5001,"&lt;&gt;"))))</f>
        <v/>
      </c>
    </row>
    <row r="265">
      <c r="A265" s="48">
        <v>20</v>
      </c>
      <c r="B265" s="53">
        <f>$B$31</f>
        <v>46315</v>
      </c>
      <c r="C265" s="54" t="str">
        <f>IF(OR($B265="",$A265&gt;$B$9,C$245=""),"",IF(COUNTIFS(BD!$B$3:$B$5001,C$245,BD!$A$3:$A$5001,"&gt;="&amp;$C$7,BD!$A$3:$A$5001,"&lt;="&amp;$B265,BD!$X$3:$X$5001,"&lt;&gt;")=0,"",SUMIFS(BD!$X$3:$X$5001,BD!$B$3:$B$5001,C$245,BD!$A$3:$A$5001,_xlfn.MAXIFS(BD!$A$3:$A$5001,BD!$B$3:$B$5001,C$245,BD!$A$3:$A$5001,"&gt;="&amp;$C$7,BD!$A$3:$A$5001,"&lt;="&amp;$B265,BD!$X$3:$X$5001,"&lt;&gt;"))))</f>
        <v/>
      </c>
      <c r="D265" s="54" t="str">
        <f>IF(OR($B265="",$A265&gt;$B$9,D$245=""),"",IF(COUNTIFS(BD!$B$3:$B$5001,D$245,BD!$A$3:$A$5001,"&gt;="&amp;$C$7,BD!$A$3:$A$5001,"&lt;="&amp;$B265,BD!$X$3:$X$5001,"&lt;&gt;")=0,"",SUMIFS(BD!$X$3:$X$5001,BD!$B$3:$B$5001,D$245,BD!$A$3:$A$5001,_xlfn.MAXIFS(BD!$A$3:$A$5001,BD!$B$3:$B$5001,D$245,BD!$A$3:$A$5001,"&gt;="&amp;$C$7,BD!$A$3:$A$5001,"&lt;="&amp;$B265,BD!$X$3:$X$5001,"&lt;&gt;"))))</f>
        <v/>
      </c>
      <c r="E265" s="54" t="str">
        <f>IF(OR($B265="",$A265&gt;$B$9,E$245=""),"",IF(COUNTIFS(BD!$B$3:$B$5001,E$245,BD!$A$3:$A$5001,"&gt;="&amp;$C$7,BD!$A$3:$A$5001,"&lt;="&amp;$B265,BD!$X$3:$X$5001,"&lt;&gt;")=0,"",SUMIFS(BD!$X$3:$X$5001,BD!$B$3:$B$5001,E$245,BD!$A$3:$A$5001,_xlfn.MAXIFS(BD!$A$3:$A$5001,BD!$B$3:$B$5001,E$245,BD!$A$3:$A$5001,"&gt;="&amp;$C$7,BD!$A$3:$A$5001,"&lt;="&amp;$B265,BD!$X$3:$X$5001,"&lt;&gt;"))))</f>
        <v/>
      </c>
      <c r="F265" s="54" t="str">
        <f>IF(OR($B265="",$A265&gt;$B$9,F$245=""),"",IF(COUNTIFS(BD!$B$3:$B$5001,F$245,BD!$A$3:$A$5001,"&gt;="&amp;$C$7,BD!$A$3:$A$5001,"&lt;="&amp;$B265,BD!$X$3:$X$5001,"&lt;&gt;")=0,"",SUMIFS(BD!$X$3:$X$5001,BD!$B$3:$B$5001,F$245,BD!$A$3:$A$5001,_xlfn.MAXIFS(BD!$A$3:$A$5001,BD!$B$3:$B$5001,F$245,BD!$A$3:$A$5001,"&gt;="&amp;$C$7,BD!$A$3:$A$5001,"&lt;="&amp;$B265,BD!$X$3:$X$5001,"&lt;&gt;"))))</f>
        <v/>
      </c>
      <c r="G265" s="54" t="str">
        <f>IF(OR($B265="",$A265&gt;$B$9,G$245=""),"",IF(COUNTIFS(BD!$B$3:$B$5001,G$245,BD!$A$3:$A$5001,"&gt;="&amp;$C$7,BD!$A$3:$A$5001,"&lt;="&amp;$B265,BD!$X$3:$X$5001,"&lt;&gt;")=0,"",SUMIFS(BD!$X$3:$X$5001,BD!$B$3:$B$5001,G$245,BD!$A$3:$A$5001,_xlfn.MAXIFS(BD!$A$3:$A$5001,BD!$B$3:$B$5001,G$245,BD!$A$3:$A$5001,"&gt;="&amp;$C$7,BD!$A$3:$A$5001,"&lt;="&amp;$B265,BD!$X$3:$X$5001,"&lt;&gt;"))))</f>
        <v/>
      </c>
      <c r="H265" s="54" t="str">
        <f>IF(OR($B265="",$A265&gt;$B$9,H$245=""),"",IF(COUNTIFS(BD!$B$3:$B$5001,H$245,BD!$A$3:$A$5001,"&gt;="&amp;$C$7,BD!$A$3:$A$5001,"&lt;="&amp;$B265,BD!$X$3:$X$5001,"&lt;&gt;")=0,"",SUMIFS(BD!$X$3:$X$5001,BD!$B$3:$B$5001,H$245,BD!$A$3:$A$5001,_xlfn.MAXIFS(BD!$A$3:$A$5001,BD!$B$3:$B$5001,H$245,BD!$A$3:$A$5001,"&gt;="&amp;$C$7,BD!$A$3:$A$5001,"&lt;="&amp;$B265,BD!$X$3:$X$5001,"&lt;&gt;"))))</f>
        <v/>
      </c>
      <c r="I265" s="54" t="str">
        <f>IF(OR($B265="",$A265&gt;$B$9,I$245=""),"",IF(COUNTIFS(BD!$B$3:$B$5001,I$245,BD!$A$3:$A$5001,"&gt;="&amp;$C$7,BD!$A$3:$A$5001,"&lt;="&amp;$B265,BD!$X$3:$X$5001,"&lt;&gt;")=0,"",SUMIFS(BD!$X$3:$X$5001,BD!$B$3:$B$5001,I$245,BD!$A$3:$A$5001,_xlfn.MAXIFS(BD!$A$3:$A$5001,BD!$B$3:$B$5001,I$245,BD!$A$3:$A$5001,"&gt;="&amp;$C$7,BD!$A$3:$A$5001,"&lt;="&amp;$B265,BD!$X$3:$X$5001,"&lt;&gt;"))))</f>
        <v/>
      </c>
      <c r="J265" s="54" t="str">
        <f>IF(OR($B265="",$A265&gt;$B$9,J$245=""),"",IF(COUNTIFS(BD!$B$3:$B$5001,J$245,BD!$A$3:$A$5001,"&gt;="&amp;$C$7,BD!$A$3:$A$5001,"&lt;="&amp;$B265,BD!$X$3:$X$5001,"&lt;&gt;")=0,"",SUMIFS(BD!$X$3:$X$5001,BD!$B$3:$B$5001,J$245,BD!$A$3:$A$5001,_xlfn.MAXIFS(BD!$A$3:$A$5001,BD!$B$3:$B$5001,J$245,BD!$A$3:$A$5001,"&gt;="&amp;$C$7,BD!$A$3:$A$5001,"&lt;="&amp;$B265,BD!$X$3:$X$5001,"&lt;&gt;"))))</f>
        <v/>
      </c>
      <c r="K265" s="54" t="str">
        <f>IF(OR($B265="",$A265&gt;$B$9,K$245=""),"",IF(COUNTIFS(BD!$B$3:$B$5001,K$245,BD!$A$3:$A$5001,"&gt;="&amp;$C$7,BD!$A$3:$A$5001,"&lt;="&amp;$B265,BD!$X$3:$X$5001,"&lt;&gt;")=0,"",SUMIFS(BD!$X$3:$X$5001,BD!$B$3:$B$5001,K$245,BD!$A$3:$A$5001,_xlfn.MAXIFS(BD!$A$3:$A$5001,BD!$B$3:$B$5001,K$245,BD!$A$3:$A$5001,"&gt;="&amp;$C$7,BD!$A$3:$A$5001,"&lt;="&amp;$B265,BD!$X$3:$X$5001,"&lt;&gt;"))))</f>
        <v/>
      </c>
      <c r="L265" s="54" t="str">
        <f>IF(OR($B265="",$A265&gt;$B$9,L$245=""),"",IF(COUNTIFS(BD!$B$3:$B$5001,L$245,BD!$A$3:$A$5001,"&gt;="&amp;$C$7,BD!$A$3:$A$5001,"&lt;="&amp;$B265,BD!$X$3:$X$5001,"&lt;&gt;")=0,"",SUMIFS(BD!$X$3:$X$5001,BD!$B$3:$B$5001,L$245,BD!$A$3:$A$5001,_xlfn.MAXIFS(BD!$A$3:$A$5001,BD!$B$3:$B$5001,L$245,BD!$A$3:$A$5001,"&gt;="&amp;$C$7,BD!$A$3:$A$5001,"&lt;="&amp;$B265,BD!$X$3:$X$5001,"&lt;&gt;"))))</f>
        <v/>
      </c>
      <c r="M265" s="54" t="str">
        <f>IF(OR($B265="",$A265&gt;$B$9,M$245=""),"",IF(COUNTIFS(BD!$B$3:$B$5001,M$245,BD!$A$3:$A$5001,"&gt;="&amp;$C$7,BD!$A$3:$A$5001,"&lt;="&amp;$B265,BD!$X$3:$X$5001,"&lt;&gt;")=0,"",SUMIFS(BD!$X$3:$X$5001,BD!$B$3:$B$5001,M$245,BD!$A$3:$A$5001,_xlfn.MAXIFS(BD!$A$3:$A$5001,BD!$B$3:$B$5001,M$245,BD!$A$3:$A$5001,"&gt;="&amp;$C$7,BD!$A$3:$A$5001,"&lt;="&amp;$B265,BD!$X$3:$X$5001,"&lt;&gt;"))))</f>
        <v/>
      </c>
      <c r="N265" s="54" t="str">
        <f>IF(OR($B265="",$A265&gt;$B$9,N$245=""),"",IF(COUNTIFS(BD!$B$3:$B$5001,N$245,BD!$A$3:$A$5001,"&gt;="&amp;$C$7,BD!$A$3:$A$5001,"&lt;="&amp;$B265,BD!$X$3:$X$5001,"&lt;&gt;")=0,"",SUMIFS(BD!$X$3:$X$5001,BD!$B$3:$B$5001,N$245,BD!$A$3:$A$5001,_xlfn.MAXIFS(BD!$A$3:$A$5001,BD!$B$3:$B$5001,N$245,BD!$A$3:$A$5001,"&gt;="&amp;$C$7,BD!$A$3:$A$5001,"&lt;="&amp;$B265,BD!$X$3:$X$5001,"&lt;&gt;"))))</f>
        <v/>
      </c>
      <c r="O265" s="54" t="str">
        <f>IF(OR($B265="",$A265&gt;$B$9,O$245=""),"",IF(COUNTIFS(BD!$B$3:$B$5001,O$245,BD!$A$3:$A$5001,"&gt;="&amp;$C$7,BD!$A$3:$A$5001,"&lt;="&amp;$B265,BD!$X$3:$X$5001,"&lt;&gt;")=0,"",SUMIFS(BD!$X$3:$X$5001,BD!$B$3:$B$5001,O$245,BD!$A$3:$A$5001,_xlfn.MAXIFS(BD!$A$3:$A$5001,BD!$B$3:$B$5001,O$245,BD!$A$3:$A$5001,"&gt;="&amp;$C$7,BD!$A$3:$A$5001,"&lt;="&amp;$B265,BD!$X$3:$X$5001,"&lt;&gt;"))))</f>
        <v/>
      </c>
      <c r="P265" s="54" t="str">
        <f>IF(OR($B265="",$A265&gt;$B$9,P$245=""),"",IF(COUNTIFS(BD!$B$3:$B$5001,P$245,BD!$A$3:$A$5001,"&gt;="&amp;$C$7,BD!$A$3:$A$5001,"&lt;="&amp;$B265,BD!$X$3:$X$5001,"&lt;&gt;")=0,"",SUMIFS(BD!$X$3:$X$5001,BD!$B$3:$B$5001,P$245,BD!$A$3:$A$5001,_xlfn.MAXIFS(BD!$A$3:$A$5001,BD!$B$3:$B$5001,P$245,BD!$A$3:$A$5001,"&gt;="&amp;$C$7,BD!$A$3:$A$5001,"&lt;="&amp;$B265,BD!$X$3:$X$5001,"&lt;&gt;"))))</f>
        <v/>
      </c>
      <c r="Q265" s="54" t="str">
        <f>IF(OR($B265="",$A265&gt;$B$9,Q$245=""),"",IF(COUNTIFS(BD!$B$3:$B$5001,Q$245,BD!$A$3:$A$5001,"&gt;="&amp;$C$7,BD!$A$3:$A$5001,"&lt;="&amp;$B265,BD!$X$3:$X$5001,"&lt;&gt;")=0,"",SUMIFS(BD!$X$3:$X$5001,BD!$B$3:$B$5001,Q$245,BD!$A$3:$A$5001,_xlfn.MAXIFS(BD!$A$3:$A$5001,BD!$B$3:$B$5001,Q$245,BD!$A$3:$A$5001,"&gt;="&amp;$C$7,BD!$A$3:$A$5001,"&lt;="&amp;$B265,BD!$X$3:$X$5001,"&lt;&gt;"))))</f>
        <v/>
      </c>
      <c r="R265" s="54" t="str">
        <f>IF(OR($B265="",$A265&gt;$B$9,R$245=""),"",IF(COUNTIFS(BD!$B$3:$B$5001,R$245,BD!$A$3:$A$5001,"&gt;="&amp;$C$7,BD!$A$3:$A$5001,"&lt;="&amp;$B265,BD!$X$3:$X$5001,"&lt;&gt;")=0,"",SUMIFS(BD!$X$3:$X$5001,BD!$B$3:$B$5001,R$245,BD!$A$3:$A$5001,_xlfn.MAXIFS(BD!$A$3:$A$5001,BD!$B$3:$B$5001,R$245,BD!$A$3:$A$5001,"&gt;="&amp;$C$7,BD!$A$3:$A$5001,"&lt;="&amp;$B265,BD!$X$3:$X$5001,"&lt;&gt;"))))</f>
        <v/>
      </c>
      <c r="S265" s="54" t="str">
        <f>IF(OR($B265="",$A265&gt;$B$9,S$245=""),"",IF(COUNTIFS(BD!$B$3:$B$5001,S$245,BD!$A$3:$A$5001,"&gt;="&amp;$C$7,BD!$A$3:$A$5001,"&lt;="&amp;$B265,BD!$X$3:$X$5001,"&lt;&gt;")=0,"",SUMIFS(BD!$X$3:$X$5001,BD!$B$3:$B$5001,S$245,BD!$A$3:$A$5001,_xlfn.MAXIFS(BD!$A$3:$A$5001,BD!$B$3:$B$5001,S$245,BD!$A$3:$A$5001,"&gt;="&amp;$C$7,BD!$A$3:$A$5001,"&lt;="&amp;$B265,BD!$X$3:$X$5001,"&lt;&gt;"))))</f>
        <v/>
      </c>
      <c r="T265" s="54" t="str">
        <f>IF(OR($B265="",$A265&gt;$B$9,T$245=""),"",IF(COUNTIFS(BD!$B$3:$B$5001,T$245,BD!$A$3:$A$5001,"&gt;="&amp;$C$7,BD!$A$3:$A$5001,"&lt;="&amp;$B265,BD!$X$3:$X$5001,"&lt;&gt;")=0,"",SUMIFS(BD!$X$3:$X$5001,BD!$B$3:$B$5001,T$245,BD!$A$3:$A$5001,_xlfn.MAXIFS(BD!$A$3:$A$5001,BD!$B$3:$B$5001,T$245,BD!$A$3:$A$5001,"&gt;="&amp;$C$7,BD!$A$3:$A$5001,"&lt;="&amp;$B265,BD!$X$3:$X$5001,"&lt;&gt;"))))</f>
        <v/>
      </c>
      <c r="U265" s="54" t="str">
        <f>IF(OR($B265="",$A265&gt;$B$9,U$245=""),"",IF(COUNTIFS(BD!$B$3:$B$5001,U$245,BD!$A$3:$A$5001,"&gt;="&amp;$C$7,BD!$A$3:$A$5001,"&lt;="&amp;$B265,BD!$X$3:$X$5001,"&lt;&gt;")=0,"",SUMIFS(BD!$X$3:$X$5001,BD!$B$3:$B$5001,U$245,BD!$A$3:$A$5001,_xlfn.MAXIFS(BD!$A$3:$A$5001,BD!$B$3:$B$5001,U$245,BD!$A$3:$A$5001,"&gt;="&amp;$C$7,BD!$A$3:$A$5001,"&lt;="&amp;$B265,BD!$X$3:$X$5001,"&lt;&gt;"))))</f>
        <v/>
      </c>
      <c r="V265" s="54" t="str">
        <f>IF(OR($B265="",$A265&gt;$B$9,V$245=""),"",IF(COUNTIFS(BD!$B$3:$B$5001,V$245,BD!$A$3:$A$5001,"&gt;="&amp;$C$7,BD!$A$3:$A$5001,"&lt;="&amp;$B265,BD!$X$3:$X$5001,"&lt;&gt;")=0,"",SUMIFS(BD!$X$3:$X$5001,BD!$B$3:$B$5001,V$245,BD!$A$3:$A$5001,_xlfn.MAXIFS(BD!$A$3:$A$5001,BD!$B$3:$B$5001,V$245,BD!$A$3:$A$5001,"&gt;="&amp;$C$7,BD!$A$3:$A$5001,"&lt;="&amp;$B265,BD!$X$3:$X$5001,"&lt;&gt;"))))</f>
        <v/>
      </c>
    </row>
    <row r="266">
      <c r="A266" s="48">
        <v>21</v>
      </c>
      <c r="B266" s="53">
        <f>$B$32</f>
        <v>46316</v>
      </c>
      <c r="C266" s="54" t="str">
        <f>IF(OR($B266="",$A266&gt;$B$9,C$245=""),"",IF(COUNTIFS(BD!$B$3:$B$5001,C$245,BD!$A$3:$A$5001,"&gt;="&amp;$C$7,BD!$A$3:$A$5001,"&lt;="&amp;$B266,BD!$X$3:$X$5001,"&lt;&gt;")=0,"",SUMIFS(BD!$X$3:$X$5001,BD!$B$3:$B$5001,C$245,BD!$A$3:$A$5001,_xlfn.MAXIFS(BD!$A$3:$A$5001,BD!$B$3:$B$5001,C$245,BD!$A$3:$A$5001,"&gt;="&amp;$C$7,BD!$A$3:$A$5001,"&lt;="&amp;$B266,BD!$X$3:$X$5001,"&lt;&gt;"))))</f>
        <v/>
      </c>
      <c r="D266" s="54" t="str">
        <f>IF(OR($B266="",$A266&gt;$B$9,D$245=""),"",IF(COUNTIFS(BD!$B$3:$B$5001,D$245,BD!$A$3:$A$5001,"&gt;="&amp;$C$7,BD!$A$3:$A$5001,"&lt;="&amp;$B266,BD!$X$3:$X$5001,"&lt;&gt;")=0,"",SUMIFS(BD!$X$3:$X$5001,BD!$B$3:$B$5001,D$245,BD!$A$3:$A$5001,_xlfn.MAXIFS(BD!$A$3:$A$5001,BD!$B$3:$B$5001,D$245,BD!$A$3:$A$5001,"&gt;="&amp;$C$7,BD!$A$3:$A$5001,"&lt;="&amp;$B266,BD!$X$3:$X$5001,"&lt;&gt;"))))</f>
        <v/>
      </c>
      <c r="E266" s="54" t="str">
        <f>IF(OR($B266="",$A266&gt;$B$9,E$245=""),"",IF(COUNTIFS(BD!$B$3:$B$5001,E$245,BD!$A$3:$A$5001,"&gt;="&amp;$C$7,BD!$A$3:$A$5001,"&lt;="&amp;$B266,BD!$X$3:$X$5001,"&lt;&gt;")=0,"",SUMIFS(BD!$X$3:$X$5001,BD!$B$3:$B$5001,E$245,BD!$A$3:$A$5001,_xlfn.MAXIFS(BD!$A$3:$A$5001,BD!$B$3:$B$5001,E$245,BD!$A$3:$A$5001,"&gt;="&amp;$C$7,BD!$A$3:$A$5001,"&lt;="&amp;$B266,BD!$X$3:$X$5001,"&lt;&gt;"))))</f>
        <v/>
      </c>
      <c r="F266" s="54" t="str">
        <f>IF(OR($B266="",$A266&gt;$B$9,F$245=""),"",IF(COUNTIFS(BD!$B$3:$B$5001,F$245,BD!$A$3:$A$5001,"&gt;="&amp;$C$7,BD!$A$3:$A$5001,"&lt;="&amp;$B266,BD!$X$3:$X$5001,"&lt;&gt;")=0,"",SUMIFS(BD!$X$3:$X$5001,BD!$B$3:$B$5001,F$245,BD!$A$3:$A$5001,_xlfn.MAXIFS(BD!$A$3:$A$5001,BD!$B$3:$B$5001,F$245,BD!$A$3:$A$5001,"&gt;="&amp;$C$7,BD!$A$3:$A$5001,"&lt;="&amp;$B266,BD!$X$3:$X$5001,"&lt;&gt;"))))</f>
        <v/>
      </c>
      <c r="G266" s="54" t="str">
        <f>IF(OR($B266="",$A266&gt;$B$9,G$245=""),"",IF(COUNTIFS(BD!$B$3:$B$5001,G$245,BD!$A$3:$A$5001,"&gt;="&amp;$C$7,BD!$A$3:$A$5001,"&lt;="&amp;$B266,BD!$X$3:$X$5001,"&lt;&gt;")=0,"",SUMIFS(BD!$X$3:$X$5001,BD!$B$3:$B$5001,G$245,BD!$A$3:$A$5001,_xlfn.MAXIFS(BD!$A$3:$A$5001,BD!$B$3:$B$5001,G$245,BD!$A$3:$A$5001,"&gt;="&amp;$C$7,BD!$A$3:$A$5001,"&lt;="&amp;$B266,BD!$X$3:$X$5001,"&lt;&gt;"))))</f>
        <v/>
      </c>
      <c r="H266" s="54" t="str">
        <f>IF(OR($B266="",$A266&gt;$B$9,H$245=""),"",IF(COUNTIFS(BD!$B$3:$B$5001,H$245,BD!$A$3:$A$5001,"&gt;="&amp;$C$7,BD!$A$3:$A$5001,"&lt;="&amp;$B266,BD!$X$3:$X$5001,"&lt;&gt;")=0,"",SUMIFS(BD!$X$3:$X$5001,BD!$B$3:$B$5001,H$245,BD!$A$3:$A$5001,_xlfn.MAXIFS(BD!$A$3:$A$5001,BD!$B$3:$B$5001,H$245,BD!$A$3:$A$5001,"&gt;="&amp;$C$7,BD!$A$3:$A$5001,"&lt;="&amp;$B266,BD!$X$3:$X$5001,"&lt;&gt;"))))</f>
        <v/>
      </c>
      <c r="I266" s="54" t="str">
        <f>IF(OR($B266="",$A266&gt;$B$9,I$245=""),"",IF(COUNTIFS(BD!$B$3:$B$5001,I$245,BD!$A$3:$A$5001,"&gt;="&amp;$C$7,BD!$A$3:$A$5001,"&lt;="&amp;$B266,BD!$X$3:$X$5001,"&lt;&gt;")=0,"",SUMIFS(BD!$X$3:$X$5001,BD!$B$3:$B$5001,I$245,BD!$A$3:$A$5001,_xlfn.MAXIFS(BD!$A$3:$A$5001,BD!$B$3:$B$5001,I$245,BD!$A$3:$A$5001,"&gt;="&amp;$C$7,BD!$A$3:$A$5001,"&lt;="&amp;$B266,BD!$X$3:$X$5001,"&lt;&gt;"))))</f>
        <v/>
      </c>
      <c r="J266" s="54" t="str">
        <f>IF(OR($B266="",$A266&gt;$B$9,J$245=""),"",IF(COUNTIFS(BD!$B$3:$B$5001,J$245,BD!$A$3:$A$5001,"&gt;="&amp;$C$7,BD!$A$3:$A$5001,"&lt;="&amp;$B266,BD!$X$3:$X$5001,"&lt;&gt;")=0,"",SUMIFS(BD!$X$3:$X$5001,BD!$B$3:$B$5001,J$245,BD!$A$3:$A$5001,_xlfn.MAXIFS(BD!$A$3:$A$5001,BD!$B$3:$B$5001,J$245,BD!$A$3:$A$5001,"&gt;="&amp;$C$7,BD!$A$3:$A$5001,"&lt;="&amp;$B266,BD!$X$3:$X$5001,"&lt;&gt;"))))</f>
        <v/>
      </c>
      <c r="K266" s="54" t="str">
        <f>IF(OR($B266="",$A266&gt;$B$9,K$245=""),"",IF(COUNTIFS(BD!$B$3:$B$5001,K$245,BD!$A$3:$A$5001,"&gt;="&amp;$C$7,BD!$A$3:$A$5001,"&lt;="&amp;$B266,BD!$X$3:$X$5001,"&lt;&gt;")=0,"",SUMIFS(BD!$X$3:$X$5001,BD!$B$3:$B$5001,K$245,BD!$A$3:$A$5001,_xlfn.MAXIFS(BD!$A$3:$A$5001,BD!$B$3:$B$5001,K$245,BD!$A$3:$A$5001,"&gt;="&amp;$C$7,BD!$A$3:$A$5001,"&lt;="&amp;$B266,BD!$X$3:$X$5001,"&lt;&gt;"))))</f>
        <v/>
      </c>
      <c r="L266" s="54" t="str">
        <f>IF(OR($B266="",$A266&gt;$B$9,L$245=""),"",IF(COUNTIFS(BD!$B$3:$B$5001,L$245,BD!$A$3:$A$5001,"&gt;="&amp;$C$7,BD!$A$3:$A$5001,"&lt;="&amp;$B266,BD!$X$3:$X$5001,"&lt;&gt;")=0,"",SUMIFS(BD!$X$3:$X$5001,BD!$B$3:$B$5001,L$245,BD!$A$3:$A$5001,_xlfn.MAXIFS(BD!$A$3:$A$5001,BD!$B$3:$B$5001,L$245,BD!$A$3:$A$5001,"&gt;="&amp;$C$7,BD!$A$3:$A$5001,"&lt;="&amp;$B266,BD!$X$3:$X$5001,"&lt;&gt;"))))</f>
        <v/>
      </c>
      <c r="M266" s="54" t="str">
        <f>IF(OR($B266="",$A266&gt;$B$9,M$245=""),"",IF(COUNTIFS(BD!$B$3:$B$5001,M$245,BD!$A$3:$A$5001,"&gt;="&amp;$C$7,BD!$A$3:$A$5001,"&lt;="&amp;$B266,BD!$X$3:$X$5001,"&lt;&gt;")=0,"",SUMIFS(BD!$X$3:$X$5001,BD!$B$3:$B$5001,M$245,BD!$A$3:$A$5001,_xlfn.MAXIFS(BD!$A$3:$A$5001,BD!$B$3:$B$5001,M$245,BD!$A$3:$A$5001,"&gt;="&amp;$C$7,BD!$A$3:$A$5001,"&lt;="&amp;$B266,BD!$X$3:$X$5001,"&lt;&gt;"))))</f>
        <v/>
      </c>
      <c r="N266" s="54" t="str">
        <f>IF(OR($B266="",$A266&gt;$B$9,N$245=""),"",IF(COUNTIFS(BD!$B$3:$B$5001,N$245,BD!$A$3:$A$5001,"&gt;="&amp;$C$7,BD!$A$3:$A$5001,"&lt;="&amp;$B266,BD!$X$3:$X$5001,"&lt;&gt;")=0,"",SUMIFS(BD!$X$3:$X$5001,BD!$B$3:$B$5001,N$245,BD!$A$3:$A$5001,_xlfn.MAXIFS(BD!$A$3:$A$5001,BD!$B$3:$B$5001,N$245,BD!$A$3:$A$5001,"&gt;="&amp;$C$7,BD!$A$3:$A$5001,"&lt;="&amp;$B266,BD!$X$3:$X$5001,"&lt;&gt;"))))</f>
        <v/>
      </c>
      <c r="O266" s="54" t="str">
        <f>IF(OR($B266="",$A266&gt;$B$9,O$245=""),"",IF(COUNTIFS(BD!$B$3:$B$5001,O$245,BD!$A$3:$A$5001,"&gt;="&amp;$C$7,BD!$A$3:$A$5001,"&lt;="&amp;$B266,BD!$X$3:$X$5001,"&lt;&gt;")=0,"",SUMIFS(BD!$X$3:$X$5001,BD!$B$3:$B$5001,O$245,BD!$A$3:$A$5001,_xlfn.MAXIFS(BD!$A$3:$A$5001,BD!$B$3:$B$5001,O$245,BD!$A$3:$A$5001,"&gt;="&amp;$C$7,BD!$A$3:$A$5001,"&lt;="&amp;$B266,BD!$X$3:$X$5001,"&lt;&gt;"))))</f>
        <v/>
      </c>
      <c r="P266" s="54" t="str">
        <f>IF(OR($B266="",$A266&gt;$B$9,P$245=""),"",IF(COUNTIFS(BD!$B$3:$B$5001,P$245,BD!$A$3:$A$5001,"&gt;="&amp;$C$7,BD!$A$3:$A$5001,"&lt;="&amp;$B266,BD!$X$3:$X$5001,"&lt;&gt;")=0,"",SUMIFS(BD!$X$3:$X$5001,BD!$B$3:$B$5001,P$245,BD!$A$3:$A$5001,_xlfn.MAXIFS(BD!$A$3:$A$5001,BD!$B$3:$B$5001,P$245,BD!$A$3:$A$5001,"&gt;="&amp;$C$7,BD!$A$3:$A$5001,"&lt;="&amp;$B266,BD!$X$3:$X$5001,"&lt;&gt;"))))</f>
        <v/>
      </c>
      <c r="Q266" s="54" t="str">
        <f>IF(OR($B266="",$A266&gt;$B$9,Q$245=""),"",IF(COUNTIFS(BD!$B$3:$B$5001,Q$245,BD!$A$3:$A$5001,"&gt;="&amp;$C$7,BD!$A$3:$A$5001,"&lt;="&amp;$B266,BD!$X$3:$X$5001,"&lt;&gt;")=0,"",SUMIFS(BD!$X$3:$X$5001,BD!$B$3:$B$5001,Q$245,BD!$A$3:$A$5001,_xlfn.MAXIFS(BD!$A$3:$A$5001,BD!$B$3:$B$5001,Q$245,BD!$A$3:$A$5001,"&gt;="&amp;$C$7,BD!$A$3:$A$5001,"&lt;="&amp;$B266,BD!$X$3:$X$5001,"&lt;&gt;"))))</f>
        <v/>
      </c>
      <c r="R266" s="54" t="str">
        <f>IF(OR($B266="",$A266&gt;$B$9,R$245=""),"",IF(COUNTIFS(BD!$B$3:$B$5001,R$245,BD!$A$3:$A$5001,"&gt;="&amp;$C$7,BD!$A$3:$A$5001,"&lt;="&amp;$B266,BD!$X$3:$X$5001,"&lt;&gt;")=0,"",SUMIFS(BD!$X$3:$X$5001,BD!$B$3:$B$5001,R$245,BD!$A$3:$A$5001,_xlfn.MAXIFS(BD!$A$3:$A$5001,BD!$B$3:$B$5001,R$245,BD!$A$3:$A$5001,"&gt;="&amp;$C$7,BD!$A$3:$A$5001,"&lt;="&amp;$B266,BD!$X$3:$X$5001,"&lt;&gt;"))))</f>
        <v/>
      </c>
      <c r="S266" s="54" t="str">
        <f>IF(OR($B266="",$A266&gt;$B$9,S$245=""),"",IF(COUNTIFS(BD!$B$3:$B$5001,S$245,BD!$A$3:$A$5001,"&gt;="&amp;$C$7,BD!$A$3:$A$5001,"&lt;="&amp;$B266,BD!$X$3:$X$5001,"&lt;&gt;")=0,"",SUMIFS(BD!$X$3:$X$5001,BD!$B$3:$B$5001,S$245,BD!$A$3:$A$5001,_xlfn.MAXIFS(BD!$A$3:$A$5001,BD!$B$3:$B$5001,S$245,BD!$A$3:$A$5001,"&gt;="&amp;$C$7,BD!$A$3:$A$5001,"&lt;="&amp;$B266,BD!$X$3:$X$5001,"&lt;&gt;"))))</f>
        <v/>
      </c>
      <c r="T266" s="54" t="str">
        <f>IF(OR($B266="",$A266&gt;$B$9,T$245=""),"",IF(COUNTIFS(BD!$B$3:$B$5001,T$245,BD!$A$3:$A$5001,"&gt;="&amp;$C$7,BD!$A$3:$A$5001,"&lt;="&amp;$B266,BD!$X$3:$X$5001,"&lt;&gt;")=0,"",SUMIFS(BD!$X$3:$X$5001,BD!$B$3:$B$5001,T$245,BD!$A$3:$A$5001,_xlfn.MAXIFS(BD!$A$3:$A$5001,BD!$B$3:$B$5001,T$245,BD!$A$3:$A$5001,"&gt;="&amp;$C$7,BD!$A$3:$A$5001,"&lt;="&amp;$B266,BD!$X$3:$X$5001,"&lt;&gt;"))))</f>
        <v/>
      </c>
      <c r="U266" s="54" t="str">
        <f>IF(OR($B266="",$A266&gt;$B$9,U$245=""),"",IF(COUNTIFS(BD!$B$3:$B$5001,U$245,BD!$A$3:$A$5001,"&gt;="&amp;$C$7,BD!$A$3:$A$5001,"&lt;="&amp;$B266,BD!$X$3:$X$5001,"&lt;&gt;")=0,"",SUMIFS(BD!$X$3:$X$5001,BD!$B$3:$B$5001,U$245,BD!$A$3:$A$5001,_xlfn.MAXIFS(BD!$A$3:$A$5001,BD!$B$3:$B$5001,U$245,BD!$A$3:$A$5001,"&gt;="&amp;$C$7,BD!$A$3:$A$5001,"&lt;="&amp;$B266,BD!$X$3:$X$5001,"&lt;&gt;"))))</f>
        <v/>
      </c>
      <c r="V266" s="54" t="str">
        <f>IF(OR($B266="",$A266&gt;$B$9,V$245=""),"",IF(COUNTIFS(BD!$B$3:$B$5001,V$245,BD!$A$3:$A$5001,"&gt;="&amp;$C$7,BD!$A$3:$A$5001,"&lt;="&amp;$B266,BD!$X$3:$X$5001,"&lt;&gt;")=0,"",SUMIFS(BD!$X$3:$X$5001,BD!$B$3:$B$5001,V$245,BD!$A$3:$A$5001,_xlfn.MAXIFS(BD!$A$3:$A$5001,BD!$B$3:$B$5001,V$245,BD!$A$3:$A$5001,"&gt;="&amp;$C$7,BD!$A$3:$A$5001,"&lt;="&amp;$B266,BD!$X$3:$X$5001,"&lt;&gt;"))))</f>
        <v/>
      </c>
    </row>
    <row r="267">
      <c r="A267" s="48">
        <v>22</v>
      </c>
      <c r="B267" s="53">
        <f>$B$33</f>
        <v>46317</v>
      </c>
      <c r="C267" s="54" t="str">
        <f>IF(OR($B267="",$A267&gt;$B$9,C$245=""),"",IF(COUNTIFS(BD!$B$3:$B$5001,C$245,BD!$A$3:$A$5001,"&gt;="&amp;$C$7,BD!$A$3:$A$5001,"&lt;="&amp;$B267,BD!$X$3:$X$5001,"&lt;&gt;")=0,"",SUMIFS(BD!$X$3:$X$5001,BD!$B$3:$B$5001,C$245,BD!$A$3:$A$5001,_xlfn.MAXIFS(BD!$A$3:$A$5001,BD!$B$3:$B$5001,C$245,BD!$A$3:$A$5001,"&gt;="&amp;$C$7,BD!$A$3:$A$5001,"&lt;="&amp;$B267,BD!$X$3:$X$5001,"&lt;&gt;"))))</f>
        <v/>
      </c>
      <c r="D267" s="54" t="str">
        <f>IF(OR($B267="",$A267&gt;$B$9,D$245=""),"",IF(COUNTIFS(BD!$B$3:$B$5001,D$245,BD!$A$3:$A$5001,"&gt;="&amp;$C$7,BD!$A$3:$A$5001,"&lt;="&amp;$B267,BD!$X$3:$X$5001,"&lt;&gt;")=0,"",SUMIFS(BD!$X$3:$X$5001,BD!$B$3:$B$5001,D$245,BD!$A$3:$A$5001,_xlfn.MAXIFS(BD!$A$3:$A$5001,BD!$B$3:$B$5001,D$245,BD!$A$3:$A$5001,"&gt;="&amp;$C$7,BD!$A$3:$A$5001,"&lt;="&amp;$B267,BD!$X$3:$X$5001,"&lt;&gt;"))))</f>
        <v/>
      </c>
      <c r="E267" s="54" t="str">
        <f>IF(OR($B267="",$A267&gt;$B$9,E$245=""),"",IF(COUNTIFS(BD!$B$3:$B$5001,E$245,BD!$A$3:$A$5001,"&gt;="&amp;$C$7,BD!$A$3:$A$5001,"&lt;="&amp;$B267,BD!$X$3:$X$5001,"&lt;&gt;")=0,"",SUMIFS(BD!$X$3:$X$5001,BD!$B$3:$B$5001,E$245,BD!$A$3:$A$5001,_xlfn.MAXIFS(BD!$A$3:$A$5001,BD!$B$3:$B$5001,E$245,BD!$A$3:$A$5001,"&gt;="&amp;$C$7,BD!$A$3:$A$5001,"&lt;="&amp;$B267,BD!$X$3:$X$5001,"&lt;&gt;"))))</f>
        <v/>
      </c>
      <c r="F267" s="54" t="str">
        <f>IF(OR($B267="",$A267&gt;$B$9,F$245=""),"",IF(COUNTIFS(BD!$B$3:$B$5001,F$245,BD!$A$3:$A$5001,"&gt;="&amp;$C$7,BD!$A$3:$A$5001,"&lt;="&amp;$B267,BD!$X$3:$X$5001,"&lt;&gt;")=0,"",SUMIFS(BD!$X$3:$X$5001,BD!$B$3:$B$5001,F$245,BD!$A$3:$A$5001,_xlfn.MAXIFS(BD!$A$3:$A$5001,BD!$B$3:$B$5001,F$245,BD!$A$3:$A$5001,"&gt;="&amp;$C$7,BD!$A$3:$A$5001,"&lt;="&amp;$B267,BD!$X$3:$X$5001,"&lt;&gt;"))))</f>
        <v/>
      </c>
      <c r="G267" s="54" t="str">
        <f>IF(OR($B267="",$A267&gt;$B$9,G$245=""),"",IF(COUNTIFS(BD!$B$3:$B$5001,G$245,BD!$A$3:$A$5001,"&gt;="&amp;$C$7,BD!$A$3:$A$5001,"&lt;="&amp;$B267,BD!$X$3:$X$5001,"&lt;&gt;")=0,"",SUMIFS(BD!$X$3:$X$5001,BD!$B$3:$B$5001,G$245,BD!$A$3:$A$5001,_xlfn.MAXIFS(BD!$A$3:$A$5001,BD!$B$3:$B$5001,G$245,BD!$A$3:$A$5001,"&gt;="&amp;$C$7,BD!$A$3:$A$5001,"&lt;="&amp;$B267,BD!$X$3:$X$5001,"&lt;&gt;"))))</f>
        <v/>
      </c>
      <c r="H267" s="54" t="str">
        <f>IF(OR($B267="",$A267&gt;$B$9,H$245=""),"",IF(COUNTIFS(BD!$B$3:$B$5001,H$245,BD!$A$3:$A$5001,"&gt;="&amp;$C$7,BD!$A$3:$A$5001,"&lt;="&amp;$B267,BD!$X$3:$X$5001,"&lt;&gt;")=0,"",SUMIFS(BD!$X$3:$X$5001,BD!$B$3:$B$5001,H$245,BD!$A$3:$A$5001,_xlfn.MAXIFS(BD!$A$3:$A$5001,BD!$B$3:$B$5001,H$245,BD!$A$3:$A$5001,"&gt;="&amp;$C$7,BD!$A$3:$A$5001,"&lt;="&amp;$B267,BD!$X$3:$X$5001,"&lt;&gt;"))))</f>
        <v/>
      </c>
      <c r="I267" s="54" t="str">
        <f>IF(OR($B267="",$A267&gt;$B$9,I$245=""),"",IF(COUNTIFS(BD!$B$3:$B$5001,I$245,BD!$A$3:$A$5001,"&gt;="&amp;$C$7,BD!$A$3:$A$5001,"&lt;="&amp;$B267,BD!$X$3:$X$5001,"&lt;&gt;")=0,"",SUMIFS(BD!$X$3:$X$5001,BD!$B$3:$B$5001,I$245,BD!$A$3:$A$5001,_xlfn.MAXIFS(BD!$A$3:$A$5001,BD!$B$3:$B$5001,I$245,BD!$A$3:$A$5001,"&gt;="&amp;$C$7,BD!$A$3:$A$5001,"&lt;="&amp;$B267,BD!$X$3:$X$5001,"&lt;&gt;"))))</f>
        <v/>
      </c>
      <c r="J267" s="54" t="str">
        <f>IF(OR($B267="",$A267&gt;$B$9,J$245=""),"",IF(COUNTIFS(BD!$B$3:$B$5001,J$245,BD!$A$3:$A$5001,"&gt;="&amp;$C$7,BD!$A$3:$A$5001,"&lt;="&amp;$B267,BD!$X$3:$X$5001,"&lt;&gt;")=0,"",SUMIFS(BD!$X$3:$X$5001,BD!$B$3:$B$5001,J$245,BD!$A$3:$A$5001,_xlfn.MAXIFS(BD!$A$3:$A$5001,BD!$B$3:$B$5001,J$245,BD!$A$3:$A$5001,"&gt;="&amp;$C$7,BD!$A$3:$A$5001,"&lt;="&amp;$B267,BD!$X$3:$X$5001,"&lt;&gt;"))))</f>
        <v/>
      </c>
      <c r="K267" s="54" t="str">
        <f>IF(OR($B267="",$A267&gt;$B$9,K$245=""),"",IF(COUNTIFS(BD!$B$3:$B$5001,K$245,BD!$A$3:$A$5001,"&gt;="&amp;$C$7,BD!$A$3:$A$5001,"&lt;="&amp;$B267,BD!$X$3:$X$5001,"&lt;&gt;")=0,"",SUMIFS(BD!$X$3:$X$5001,BD!$B$3:$B$5001,K$245,BD!$A$3:$A$5001,_xlfn.MAXIFS(BD!$A$3:$A$5001,BD!$B$3:$B$5001,K$245,BD!$A$3:$A$5001,"&gt;="&amp;$C$7,BD!$A$3:$A$5001,"&lt;="&amp;$B267,BD!$X$3:$X$5001,"&lt;&gt;"))))</f>
        <v/>
      </c>
      <c r="L267" s="54" t="str">
        <f>IF(OR($B267="",$A267&gt;$B$9,L$245=""),"",IF(COUNTIFS(BD!$B$3:$B$5001,L$245,BD!$A$3:$A$5001,"&gt;="&amp;$C$7,BD!$A$3:$A$5001,"&lt;="&amp;$B267,BD!$X$3:$X$5001,"&lt;&gt;")=0,"",SUMIFS(BD!$X$3:$X$5001,BD!$B$3:$B$5001,L$245,BD!$A$3:$A$5001,_xlfn.MAXIFS(BD!$A$3:$A$5001,BD!$B$3:$B$5001,L$245,BD!$A$3:$A$5001,"&gt;="&amp;$C$7,BD!$A$3:$A$5001,"&lt;="&amp;$B267,BD!$X$3:$X$5001,"&lt;&gt;"))))</f>
        <v/>
      </c>
      <c r="M267" s="54" t="str">
        <f>IF(OR($B267="",$A267&gt;$B$9,M$245=""),"",IF(COUNTIFS(BD!$B$3:$B$5001,M$245,BD!$A$3:$A$5001,"&gt;="&amp;$C$7,BD!$A$3:$A$5001,"&lt;="&amp;$B267,BD!$X$3:$X$5001,"&lt;&gt;")=0,"",SUMIFS(BD!$X$3:$X$5001,BD!$B$3:$B$5001,M$245,BD!$A$3:$A$5001,_xlfn.MAXIFS(BD!$A$3:$A$5001,BD!$B$3:$B$5001,M$245,BD!$A$3:$A$5001,"&gt;="&amp;$C$7,BD!$A$3:$A$5001,"&lt;="&amp;$B267,BD!$X$3:$X$5001,"&lt;&gt;"))))</f>
        <v/>
      </c>
      <c r="N267" s="54" t="str">
        <f>IF(OR($B267="",$A267&gt;$B$9,N$245=""),"",IF(COUNTIFS(BD!$B$3:$B$5001,N$245,BD!$A$3:$A$5001,"&gt;="&amp;$C$7,BD!$A$3:$A$5001,"&lt;="&amp;$B267,BD!$X$3:$X$5001,"&lt;&gt;")=0,"",SUMIFS(BD!$X$3:$X$5001,BD!$B$3:$B$5001,N$245,BD!$A$3:$A$5001,_xlfn.MAXIFS(BD!$A$3:$A$5001,BD!$B$3:$B$5001,N$245,BD!$A$3:$A$5001,"&gt;="&amp;$C$7,BD!$A$3:$A$5001,"&lt;="&amp;$B267,BD!$X$3:$X$5001,"&lt;&gt;"))))</f>
        <v/>
      </c>
      <c r="O267" s="54" t="str">
        <f>IF(OR($B267="",$A267&gt;$B$9,O$245=""),"",IF(COUNTIFS(BD!$B$3:$B$5001,O$245,BD!$A$3:$A$5001,"&gt;="&amp;$C$7,BD!$A$3:$A$5001,"&lt;="&amp;$B267,BD!$X$3:$X$5001,"&lt;&gt;")=0,"",SUMIFS(BD!$X$3:$X$5001,BD!$B$3:$B$5001,O$245,BD!$A$3:$A$5001,_xlfn.MAXIFS(BD!$A$3:$A$5001,BD!$B$3:$B$5001,O$245,BD!$A$3:$A$5001,"&gt;="&amp;$C$7,BD!$A$3:$A$5001,"&lt;="&amp;$B267,BD!$X$3:$X$5001,"&lt;&gt;"))))</f>
        <v/>
      </c>
      <c r="P267" s="54" t="str">
        <f>IF(OR($B267="",$A267&gt;$B$9,P$245=""),"",IF(COUNTIFS(BD!$B$3:$B$5001,P$245,BD!$A$3:$A$5001,"&gt;="&amp;$C$7,BD!$A$3:$A$5001,"&lt;="&amp;$B267,BD!$X$3:$X$5001,"&lt;&gt;")=0,"",SUMIFS(BD!$X$3:$X$5001,BD!$B$3:$B$5001,P$245,BD!$A$3:$A$5001,_xlfn.MAXIFS(BD!$A$3:$A$5001,BD!$B$3:$B$5001,P$245,BD!$A$3:$A$5001,"&gt;="&amp;$C$7,BD!$A$3:$A$5001,"&lt;="&amp;$B267,BD!$X$3:$X$5001,"&lt;&gt;"))))</f>
        <v/>
      </c>
      <c r="Q267" s="54" t="str">
        <f>IF(OR($B267="",$A267&gt;$B$9,Q$245=""),"",IF(COUNTIFS(BD!$B$3:$B$5001,Q$245,BD!$A$3:$A$5001,"&gt;="&amp;$C$7,BD!$A$3:$A$5001,"&lt;="&amp;$B267,BD!$X$3:$X$5001,"&lt;&gt;")=0,"",SUMIFS(BD!$X$3:$X$5001,BD!$B$3:$B$5001,Q$245,BD!$A$3:$A$5001,_xlfn.MAXIFS(BD!$A$3:$A$5001,BD!$B$3:$B$5001,Q$245,BD!$A$3:$A$5001,"&gt;="&amp;$C$7,BD!$A$3:$A$5001,"&lt;="&amp;$B267,BD!$X$3:$X$5001,"&lt;&gt;"))))</f>
        <v/>
      </c>
      <c r="R267" s="54" t="str">
        <f>IF(OR($B267="",$A267&gt;$B$9,R$245=""),"",IF(COUNTIFS(BD!$B$3:$B$5001,R$245,BD!$A$3:$A$5001,"&gt;="&amp;$C$7,BD!$A$3:$A$5001,"&lt;="&amp;$B267,BD!$X$3:$X$5001,"&lt;&gt;")=0,"",SUMIFS(BD!$X$3:$X$5001,BD!$B$3:$B$5001,R$245,BD!$A$3:$A$5001,_xlfn.MAXIFS(BD!$A$3:$A$5001,BD!$B$3:$B$5001,R$245,BD!$A$3:$A$5001,"&gt;="&amp;$C$7,BD!$A$3:$A$5001,"&lt;="&amp;$B267,BD!$X$3:$X$5001,"&lt;&gt;"))))</f>
        <v/>
      </c>
      <c r="S267" s="54" t="str">
        <f>IF(OR($B267="",$A267&gt;$B$9,S$245=""),"",IF(COUNTIFS(BD!$B$3:$B$5001,S$245,BD!$A$3:$A$5001,"&gt;="&amp;$C$7,BD!$A$3:$A$5001,"&lt;="&amp;$B267,BD!$X$3:$X$5001,"&lt;&gt;")=0,"",SUMIFS(BD!$X$3:$X$5001,BD!$B$3:$B$5001,S$245,BD!$A$3:$A$5001,_xlfn.MAXIFS(BD!$A$3:$A$5001,BD!$B$3:$B$5001,S$245,BD!$A$3:$A$5001,"&gt;="&amp;$C$7,BD!$A$3:$A$5001,"&lt;="&amp;$B267,BD!$X$3:$X$5001,"&lt;&gt;"))))</f>
        <v/>
      </c>
      <c r="T267" s="54" t="str">
        <f>IF(OR($B267="",$A267&gt;$B$9,T$245=""),"",IF(COUNTIFS(BD!$B$3:$B$5001,T$245,BD!$A$3:$A$5001,"&gt;="&amp;$C$7,BD!$A$3:$A$5001,"&lt;="&amp;$B267,BD!$X$3:$X$5001,"&lt;&gt;")=0,"",SUMIFS(BD!$X$3:$X$5001,BD!$B$3:$B$5001,T$245,BD!$A$3:$A$5001,_xlfn.MAXIFS(BD!$A$3:$A$5001,BD!$B$3:$B$5001,T$245,BD!$A$3:$A$5001,"&gt;="&amp;$C$7,BD!$A$3:$A$5001,"&lt;="&amp;$B267,BD!$X$3:$X$5001,"&lt;&gt;"))))</f>
        <v/>
      </c>
      <c r="U267" s="54" t="str">
        <f>IF(OR($B267="",$A267&gt;$B$9,U$245=""),"",IF(COUNTIFS(BD!$B$3:$B$5001,U$245,BD!$A$3:$A$5001,"&gt;="&amp;$C$7,BD!$A$3:$A$5001,"&lt;="&amp;$B267,BD!$X$3:$X$5001,"&lt;&gt;")=0,"",SUMIFS(BD!$X$3:$X$5001,BD!$B$3:$B$5001,U$245,BD!$A$3:$A$5001,_xlfn.MAXIFS(BD!$A$3:$A$5001,BD!$B$3:$B$5001,U$245,BD!$A$3:$A$5001,"&gt;="&amp;$C$7,BD!$A$3:$A$5001,"&lt;="&amp;$B267,BD!$X$3:$X$5001,"&lt;&gt;"))))</f>
        <v/>
      </c>
      <c r="V267" s="54" t="str">
        <f>IF(OR($B267="",$A267&gt;$B$9,V$245=""),"",IF(COUNTIFS(BD!$B$3:$B$5001,V$245,BD!$A$3:$A$5001,"&gt;="&amp;$C$7,BD!$A$3:$A$5001,"&lt;="&amp;$B267,BD!$X$3:$X$5001,"&lt;&gt;")=0,"",SUMIFS(BD!$X$3:$X$5001,BD!$B$3:$B$5001,V$245,BD!$A$3:$A$5001,_xlfn.MAXIFS(BD!$A$3:$A$5001,BD!$B$3:$B$5001,V$245,BD!$A$3:$A$5001,"&gt;="&amp;$C$7,BD!$A$3:$A$5001,"&lt;="&amp;$B267,BD!$X$3:$X$5001,"&lt;&gt;"))))</f>
        <v/>
      </c>
    </row>
    <row r="268">
      <c r="A268" s="48">
        <v>23</v>
      </c>
      <c r="B268" s="53">
        <f>$B$34</f>
        <v>46318</v>
      </c>
      <c r="C268" s="54" t="str">
        <f>IF(OR($B268="",$A268&gt;$B$9,C$245=""),"",IF(COUNTIFS(BD!$B$3:$B$5001,C$245,BD!$A$3:$A$5001,"&gt;="&amp;$C$7,BD!$A$3:$A$5001,"&lt;="&amp;$B268,BD!$X$3:$X$5001,"&lt;&gt;")=0,"",SUMIFS(BD!$X$3:$X$5001,BD!$B$3:$B$5001,C$245,BD!$A$3:$A$5001,_xlfn.MAXIFS(BD!$A$3:$A$5001,BD!$B$3:$B$5001,C$245,BD!$A$3:$A$5001,"&gt;="&amp;$C$7,BD!$A$3:$A$5001,"&lt;="&amp;$B268,BD!$X$3:$X$5001,"&lt;&gt;"))))</f>
        <v/>
      </c>
      <c r="D268" s="54" t="str">
        <f>IF(OR($B268="",$A268&gt;$B$9,D$245=""),"",IF(COUNTIFS(BD!$B$3:$B$5001,D$245,BD!$A$3:$A$5001,"&gt;="&amp;$C$7,BD!$A$3:$A$5001,"&lt;="&amp;$B268,BD!$X$3:$X$5001,"&lt;&gt;")=0,"",SUMIFS(BD!$X$3:$X$5001,BD!$B$3:$B$5001,D$245,BD!$A$3:$A$5001,_xlfn.MAXIFS(BD!$A$3:$A$5001,BD!$B$3:$B$5001,D$245,BD!$A$3:$A$5001,"&gt;="&amp;$C$7,BD!$A$3:$A$5001,"&lt;="&amp;$B268,BD!$X$3:$X$5001,"&lt;&gt;"))))</f>
        <v/>
      </c>
      <c r="E268" s="54" t="str">
        <f>IF(OR($B268="",$A268&gt;$B$9,E$245=""),"",IF(COUNTIFS(BD!$B$3:$B$5001,E$245,BD!$A$3:$A$5001,"&gt;="&amp;$C$7,BD!$A$3:$A$5001,"&lt;="&amp;$B268,BD!$X$3:$X$5001,"&lt;&gt;")=0,"",SUMIFS(BD!$X$3:$X$5001,BD!$B$3:$B$5001,E$245,BD!$A$3:$A$5001,_xlfn.MAXIFS(BD!$A$3:$A$5001,BD!$B$3:$B$5001,E$245,BD!$A$3:$A$5001,"&gt;="&amp;$C$7,BD!$A$3:$A$5001,"&lt;="&amp;$B268,BD!$X$3:$X$5001,"&lt;&gt;"))))</f>
        <v/>
      </c>
      <c r="F268" s="54" t="str">
        <f>IF(OR($B268="",$A268&gt;$B$9,F$245=""),"",IF(COUNTIFS(BD!$B$3:$B$5001,F$245,BD!$A$3:$A$5001,"&gt;="&amp;$C$7,BD!$A$3:$A$5001,"&lt;="&amp;$B268,BD!$X$3:$X$5001,"&lt;&gt;")=0,"",SUMIFS(BD!$X$3:$X$5001,BD!$B$3:$B$5001,F$245,BD!$A$3:$A$5001,_xlfn.MAXIFS(BD!$A$3:$A$5001,BD!$B$3:$B$5001,F$245,BD!$A$3:$A$5001,"&gt;="&amp;$C$7,BD!$A$3:$A$5001,"&lt;="&amp;$B268,BD!$X$3:$X$5001,"&lt;&gt;"))))</f>
        <v/>
      </c>
      <c r="G268" s="54" t="str">
        <f>IF(OR($B268="",$A268&gt;$B$9,G$245=""),"",IF(COUNTIFS(BD!$B$3:$B$5001,G$245,BD!$A$3:$A$5001,"&gt;="&amp;$C$7,BD!$A$3:$A$5001,"&lt;="&amp;$B268,BD!$X$3:$X$5001,"&lt;&gt;")=0,"",SUMIFS(BD!$X$3:$X$5001,BD!$B$3:$B$5001,G$245,BD!$A$3:$A$5001,_xlfn.MAXIFS(BD!$A$3:$A$5001,BD!$B$3:$B$5001,G$245,BD!$A$3:$A$5001,"&gt;="&amp;$C$7,BD!$A$3:$A$5001,"&lt;="&amp;$B268,BD!$X$3:$X$5001,"&lt;&gt;"))))</f>
        <v/>
      </c>
      <c r="H268" s="54" t="str">
        <f>IF(OR($B268="",$A268&gt;$B$9,H$245=""),"",IF(COUNTIFS(BD!$B$3:$B$5001,H$245,BD!$A$3:$A$5001,"&gt;="&amp;$C$7,BD!$A$3:$A$5001,"&lt;="&amp;$B268,BD!$X$3:$X$5001,"&lt;&gt;")=0,"",SUMIFS(BD!$X$3:$X$5001,BD!$B$3:$B$5001,H$245,BD!$A$3:$A$5001,_xlfn.MAXIFS(BD!$A$3:$A$5001,BD!$B$3:$B$5001,H$245,BD!$A$3:$A$5001,"&gt;="&amp;$C$7,BD!$A$3:$A$5001,"&lt;="&amp;$B268,BD!$X$3:$X$5001,"&lt;&gt;"))))</f>
        <v/>
      </c>
      <c r="I268" s="54" t="str">
        <f>IF(OR($B268="",$A268&gt;$B$9,I$245=""),"",IF(COUNTIFS(BD!$B$3:$B$5001,I$245,BD!$A$3:$A$5001,"&gt;="&amp;$C$7,BD!$A$3:$A$5001,"&lt;="&amp;$B268,BD!$X$3:$X$5001,"&lt;&gt;")=0,"",SUMIFS(BD!$X$3:$X$5001,BD!$B$3:$B$5001,I$245,BD!$A$3:$A$5001,_xlfn.MAXIFS(BD!$A$3:$A$5001,BD!$B$3:$B$5001,I$245,BD!$A$3:$A$5001,"&gt;="&amp;$C$7,BD!$A$3:$A$5001,"&lt;="&amp;$B268,BD!$X$3:$X$5001,"&lt;&gt;"))))</f>
        <v/>
      </c>
      <c r="J268" s="54" t="str">
        <f>IF(OR($B268="",$A268&gt;$B$9,J$245=""),"",IF(COUNTIFS(BD!$B$3:$B$5001,J$245,BD!$A$3:$A$5001,"&gt;="&amp;$C$7,BD!$A$3:$A$5001,"&lt;="&amp;$B268,BD!$X$3:$X$5001,"&lt;&gt;")=0,"",SUMIFS(BD!$X$3:$X$5001,BD!$B$3:$B$5001,J$245,BD!$A$3:$A$5001,_xlfn.MAXIFS(BD!$A$3:$A$5001,BD!$B$3:$B$5001,J$245,BD!$A$3:$A$5001,"&gt;="&amp;$C$7,BD!$A$3:$A$5001,"&lt;="&amp;$B268,BD!$X$3:$X$5001,"&lt;&gt;"))))</f>
        <v/>
      </c>
      <c r="K268" s="54" t="str">
        <f>IF(OR($B268="",$A268&gt;$B$9,K$245=""),"",IF(COUNTIFS(BD!$B$3:$B$5001,K$245,BD!$A$3:$A$5001,"&gt;="&amp;$C$7,BD!$A$3:$A$5001,"&lt;="&amp;$B268,BD!$X$3:$X$5001,"&lt;&gt;")=0,"",SUMIFS(BD!$X$3:$X$5001,BD!$B$3:$B$5001,K$245,BD!$A$3:$A$5001,_xlfn.MAXIFS(BD!$A$3:$A$5001,BD!$B$3:$B$5001,K$245,BD!$A$3:$A$5001,"&gt;="&amp;$C$7,BD!$A$3:$A$5001,"&lt;="&amp;$B268,BD!$X$3:$X$5001,"&lt;&gt;"))))</f>
        <v/>
      </c>
      <c r="L268" s="54" t="str">
        <f>IF(OR($B268="",$A268&gt;$B$9,L$245=""),"",IF(COUNTIFS(BD!$B$3:$B$5001,L$245,BD!$A$3:$A$5001,"&gt;="&amp;$C$7,BD!$A$3:$A$5001,"&lt;="&amp;$B268,BD!$X$3:$X$5001,"&lt;&gt;")=0,"",SUMIFS(BD!$X$3:$X$5001,BD!$B$3:$B$5001,L$245,BD!$A$3:$A$5001,_xlfn.MAXIFS(BD!$A$3:$A$5001,BD!$B$3:$B$5001,L$245,BD!$A$3:$A$5001,"&gt;="&amp;$C$7,BD!$A$3:$A$5001,"&lt;="&amp;$B268,BD!$X$3:$X$5001,"&lt;&gt;"))))</f>
        <v/>
      </c>
      <c r="M268" s="54" t="str">
        <f>IF(OR($B268="",$A268&gt;$B$9,M$245=""),"",IF(COUNTIFS(BD!$B$3:$B$5001,M$245,BD!$A$3:$A$5001,"&gt;="&amp;$C$7,BD!$A$3:$A$5001,"&lt;="&amp;$B268,BD!$X$3:$X$5001,"&lt;&gt;")=0,"",SUMIFS(BD!$X$3:$X$5001,BD!$B$3:$B$5001,M$245,BD!$A$3:$A$5001,_xlfn.MAXIFS(BD!$A$3:$A$5001,BD!$B$3:$B$5001,M$245,BD!$A$3:$A$5001,"&gt;="&amp;$C$7,BD!$A$3:$A$5001,"&lt;="&amp;$B268,BD!$X$3:$X$5001,"&lt;&gt;"))))</f>
        <v/>
      </c>
      <c r="N268" s="54" t="str">
        <f>IF(OR($B268="",$A268&gt;$B$9,N$245=""),"",IF(COUNTIFS(BD!$B$3:$B$5001,N$245,BD!$A$3:$A$5001,"&gt;="&amp;$C$7,BD!$A$3:$A$5001,"&lt;="&amp;$B268,BD!$X$3:$X$5001,"&lt;&gt;")=0,"",SUMIFS(BD!$X$3:$X$5001,BD!$B$3:$B$5001,N$245,BD!$A$3:$A$5001,_xlfn.MAXIFS(BD!$A$3:$A$5001,BD!$B$3:$B$5001,N$245,BD!$A$3:$A$5001,"&gt;="&amp;$C$7,BD!$A$3:$A$5001,"&lt;="&amp;$B268,BD!$X$3:$X$5001,"&lt;&gt;"))))</f>
        <v/>
      </c>
      <c r="O268" s="54" t="str">
        <f>IF(OR($B268="",$A268&gt;$B$9,O$245=""),"",IF(COUNTIFS(BD!$B$3:$B$5001,O$245,BD!$A$3:$A$5001,"&gt;="&amp;$C$7,BD!$A$3:$A$5001,"&lt;="&amp;$B268,BD!$X$3:$X$5001,"&lt;&gt;")=0,"",SUMIFS(BD!$X$3:$X$5001,BD!$B$3:$B$5001,O$245,BD!$A$3:$A$5001,_xlfn.MAXIFS(BD!$A$3:$A$5001,BD!$B$3:$B$5001,O$245,BD!$A$3:$A$5001,"&gt;="&amp;$C$7,BD!$A$3:$A$5001,"&lt;="&amp;$B268,BD!$X$3:$X$5001,"&lt;&gt;"))))</f>
        <v/>
      </c>
      <c r="P268" s="54" t="str">
        <f>IF(OR($B268="",$A268&gt;$B$9,P$245=""),"",IF(COUNTIFS(BD!$B$3:$B$5001,P$245,BD!$A$3:$A$5001,"&gt;="&amp;$C$7,BD!$A$3:$A$5001,"&lt;="&amp;$B268,BD!$X$3:$X$5001,"&lt;&gt;")=0,"",SUMIFS(BD!$X$3:$X$5001,BD!$B$3:$B$5001,P$245,BD!$A$3:$A$5001,_xlfn.MAXIFS(BD!$A$3:$A$5001,BD!$B$3:$B$5001,P$245,BD!$A$3:$A$5001,"&gt;="&amp;$C$7,BD!$A$3:$A$5001,"&lt;="&amp;$B268,BD!$X$3:$X$5001,"&lt;&gt;"))))</f>
        <v/>
      </c>
      <c r="Q268" s="54" t="str">
        <f>IF(OR($B268="",$A268&gt;$B$9,Q$245=""),"",IF(COUNTIFS(BD!$B$3:$B$5001,Q$245,BD!$A$3:$A$5001,"&gt;="&amp;$C$7,BD!$A$3:$A$5001,"&lt;="&amp;$B268,BD!$X$3:$X$5001,"&lt;&gt;")=0,"",SUMIFS(BD!$X$3:$X$5001,BD!$B$3:$B$5001,Q$245,BD!$A$3:$A$5001,_xlfn.MAXIFS(BD!$A$3:$A$5001,BD!$B$3:$B$5001,Q$245,BD!$A$3:$A$5001,"&gt;="&amp;$C$7,BD!$A$3:$A$5001,"&lt;="&amp;$B268,BD!$X$3:$X$5001,"&lt;&gt;"))))</f>
        <v/>
      </c>
      <c r="R268" s="54" t="str">
        <f>IF(OR($B268="",$A268&gt;$B$9,R$245=""),"",IF(COUNTIFS(BD!$B$3:$B$5001,R$245,BD!$A$3:$A$5001,"&gt;="&amp;$C$7,BD!$A$3:$A$5001,"&lt;="&amp;$B268,BD!$X$3:$X$5001,"&lt;&gt;")=0,"",SUMIFS(BD!$X$3:$X$5001,BD!$B$3:$B$5001,R$245,BD!$A$3:$A$5001,_xlfn.MAXIFS(BD!$A$3:$A$5001,BD!$B$3:$B$5001,R$245,BD!$A$3:$A$5001,"&gt;="&amp;$C$7,BD!$A$3:$A$5001,"&lt;="&amp;$B268,BD!$X$3:$X$5001,"&lt;&gt;"))))</f>
        <v/>
      </c>
      <c r="S268" s="54" t="str">
        <f>IF(OR($B268="",$A268&gt;$B$9,S$245=""),"",IF(COUNTIFS(BD!$B$3:$B$5001,S$245,BD!$A$3:$A$5001,"&gt;="&amp;$C$7,BD!$A$3:$A$5001,"&lt;="&amp;$B268,BD!$X$3:$X$5001,"&lt;&gt;")=0,"",SUMIFS(BD!$X$3:$X$5001,BD!$B$3:$B$5001,S$245,BD!$A$3:$A$5001,_xlfn.MAXIFS(BD!$A$3:$A$5001,BD!$B$3:$B$5001,S$245,BD!$A$3:$A$5001,"&gt;="&amp;$C$7,BD!$A$3:$A$5001,"&lt;="&amp;$B268,BD!$X$3:$X$5001,"&lt;&gt;"))))</f>
        <v/>
      </c>
      <c r="T268" s="54" t="str">
        <f>IF(OR($B268="",$A268&gt;$B$9,T$245=""),"",IF(COUNTIFS(BD!$B$3:$B$5001,T$245,BD!$A$3:$A$5001,"&gt;="&amp;$C$7,BD!$A$3:$A$5001,"&lt;="&amp;$B268,BD!$X$3:$X$5001,"&lt;&gt;")=0,"",SUMIFS(BD!$X$3:$X$5001,BD!$B$3:$B$5001,T$245,BD!$A$3:$A$5001,_xlfn.MAXIFS(BD!$A$3:$A$5001,BD!$B$3:$B$5001,T$245,BD!$A$3:$A$5001,"&gt;="&amp;$C$7,BD!$A$3:$A$5001,"&lt;="&amp;$B268,BD!$X$3:$X$5001,"&lt;&gt;"))))</f>
        <v/>
      </c>
      <c r="U268" s="54" t="str">
        <f>IF(OR($B268="",$A268&gt;$B$9,U$245=""),"",IF(COUNTIFS(BD!$B$3:$B$5001,U$245,BD!$A$3:$A$5001,"&gt;="&amp;$C$7,BD!$A$3:$A$5001,"&lt;="&amp;$B268,BD!$X$3:$X$5001,"&lt;&gt;")=0,"",SUMIFS(BD!$X$3:$X$5001,BD!$B$3:$B$5001,U$245,BD!$A$3:$A$5001,_xlfn.MAXIFS(BD!$A$3:$A$5001,BD!$B$3:$B$5001,U$245,BD!$A$3:$A$5001,"&gt;="&amp;$C$7,BD!$A$3:$A$5001,"&lt;="&amp;$B268,BD!$X$3:$X$5001,"&lt;&gt;"))))</f>
        <v/>
      </c>
      <c r="V268" s="54" t="str">
        <f>IF(OR($B268="",$A268&gt;$B$9,V$245=""),"",IF(COUNTIFS(BD!$B$3:$B$5001,V$245,BD!$A$3:$A$5001,"&gt;="&amp;$C$7,BD!$A$3:$A$5001,"&lt;="&amp;$B268,BD!$X$3:$X$5001,"&lt;&gt;")=0,"",SUMIFS(BD!$X$3:$X$5001,BD!$B$3:$B$5001,V$245,BD!$A$3:$A$5001,_xlfn.MAXIFS(BD!$A$3:$A$5001,BD!$B$3:$B$5001,V$245,BD!$A$3:$A$5001,"&gt;="&amp;$C$7,BD!$A$3:$A$5001,"&lt;="&amp;$B268,BD!$X$3:$X$5001,"&lt;&gt;"))))</f>
        <v/>
      </c>
    </row>
    <row r="269">
      <c r="A269" s="48">
        <v>24</v>
      </c>
      <c r="B269" s="53">
        <f>$B$35</f>
        <v>46319</v>
      </c>
      <c r="C269" s="54" t="str">
        <f>IF(OR($B269="",$A269&gt;$B$9,C$245=""),"",IF(COUNTIFS(BD!$B$3:$B$5001,C$245,BD!$A$3:$A$5001,"&gt;="&amp;$C$7,BD!$A$3:$A$5001,"&lt;="&amp;$B269,BD!$X$3:$X$5001,"&lt;&gt;")=0,"",SUMIFS(BD!$X$3:$X$5001,BD!$B$3:$B$5001,C$245,BD!$A$3:$A$5001,_xlfn.MAXIFS(BD!$A$3:$A$5001,BD!$B$3:$B$5001,C$245,BD!$A$3:$A$5001,"&gt;="&amp;$C$7,BD!$A$3:$A$5001,"&lt;="&amp;$B269,BD!$X$3:$X$5001,"&lt;&gt;"))))</f>
        <v/>
      </c>
      <c r="D269" s="54" t="str">
        <f>IF(OR($B269="",$A269&gt;$B$9,D$245=""),"",IF(COUNTIFS(BD!$B$3:$B$5001,D$245,BD!$A$3:$A$5001,"&gt;="&amp;$C$7,BD!$A$3:$A$5001,"&lt;="&amp;$B269,BD!$X$3:$X$5001,"&lt;&gt;")=0,"",SUMIFS(BD!$X$3:$X$5001,BD!$B$3:$B$5001,D$245,BD!$A$3:$A$5001,_xlfn.MAXIFS(BD!$A$3:$A$5001,BD!$B$3:$B$5001,D$245,BD!$A$3:$A$5001,"&gt;="&amp;$C$7,BD!$A$3:$A$5001,"&lt;="&amp;$B269,BD!$X$3:$X$5001,"&lt;&gt;"))))</f>
        <v/>
      </c>
      <c r="E269" s="54" t="str">
        <f>IF(OR($B269="",$A269&gt;$B$9,E$245=""),"",IF(COUNTIFS(BD!$B$3:$B$5001,E$245,BD!$A$3:$A$5001,"&gt;="&amp;$C$7,BD!$A$3:$A$5001,"&lt;="&amp;$B269,BD!$X$3:$X$5001,"&lt;&gt;")=0,"",SUMIFS(BD!$X$3:$X$5001,BD!$B$3:$B$5001,E$245,BD!$A$3:$A$5001,_xlfn.MAXIFS(BD!$A$3:$A$5001,BD!$B$3:$B$5001,E$245,BD!$A$3:$A$5001,"&gt;="&amp;$C$7,BD!$A$3:$A$5001,"&lt;="&amp;$B269,BD!$X$3:$X$5001,"&lt;&gt;"))))</f>
        <v/>
      </c>
      <c r="F269" s="54" t="str">
        <f>IF(OR($B269="",$A269&gt;$B$9,F$245=""),"",IF(COUNTIFS(BD!$B$3:$B$5001,F$245,BD!$A$3:$A$5001,"&gt;="&amp;$C$7,BD!$A$3:$A$5001,"&lt;="&amp;$B269,BD!$X$3:$X$5001,"&lt;&gt;")=0,"",SUMIFS(BD!$X$3:$X$5001,BD!$B$3:$B$5001,F$245,BD!$A$3:$A$5001,_xlfn.MAXIFS(BD!$A$3:$A$5001,BD!$B$3:$B$5001,F$245,BD!$A$3:$A$5001,"&gt;="&amp;$C$7,BD!$A$3:$A$5001,"&lt;="&amp;$B269,BD!$X$3:$X$5001,"&lt;&gt;"))))</f>
        <v/>
      </c>
      <c r="G269" s="54" t="str">
        <f>IF(OR($B269="",$A269&gt;$B$9,G$245=""),"",IF(COUNTIFS(BD!$B$3:$B$5001,G$245,BD!$A$3:$A$5001,"&gt;="&amp;$C$7,BD!$A$3:$A$5001,"&lt;="&amp;$B269,BD!$X$3:$X$5001,"&lt;&gt;")=0,"",SUMIFS(BD!$X$3:$X$5001,BD!$B$3:$B$5001,G$245,BD!$A$3:$A$5001,_xlfn.MAXIFS(BD!$A$3:$A$5001,BD!$B$3:$B$5001,G$245,BD!$A$3:$A$5001,"&gt;="&amp;$C$7,BD!$A$3:$A$5001,"&lt;="&amp;$B269,BD!$X$3:$X$5001,"&lt;&gt;"))))</f>
        <v/>
      </c>
      <c r="H269" s="54" t="str">
        <f>IF(OR($B269="",$A269&gt;$B$9,H$245=""),"",IF(COUNTIFS(BD!$B$3:$B$5001,H$245,BD!$A$3:$A$5001,"&gt;="&amp;$C$7,BD!$A$3:$A$5001,"&lt;="&amp;$B269,BD!$X$3:$X$5001,"&lt;&gt;")=0,"",SUMIFS(BD!$X$3:$X$5001,BD!$B$3:$B$5001,H$245,BD!$A$3:$A$5001,_xlfn.MAXIFS(BD!$A$3:$A$5001,BD!$B$3:$B$5001,H$245,BD!$A$3:$A$5001,"&gt;="&amp;$C$7,BD!$A$3:$A$5001,"&lt;="&amp;$B269,BD!$X$3:$X$5001,"&lt;&gt;"))))</f>
        <v/>
      </c>
      <c r="I269" s="54" t="str">
        <f>IF(OR($B269="",$A269&gt;$B$9,I$245=""),"",IF(COUNTIFS(BD!$B$3:$B$5001,I$245,BD!$A$3:$A$5001,"&gt;="&amp;$C$7,BD!$A$3:$A$5001,"&lt;="&amp;$B269,BD!$X$3:$X$5001,"&lt;&gt;")=0,"",SUMIFS(BD!$X$3:$X$5001,BD!$B$3:$B$5001,I$245,BD!$A$3:$A$5001,_xlfn.MAXIFS(BD!$A$3:$A$5001,BD!$B$3:$B$5001,I$245,BD!$A$3:$A$5001,"&gt;="&amp;$C$7,BD!$A$3:$A$5001,"&lt;="&amp;$B269,BD!$X$3:$X$5001,"&lt;&gt;"))))</f>
        <v/>
      </c>
      <c r="J269" s="54" t="str">
        <f>IF(OR($B269="",$A269&gt;$B$9,J$245=""),"",IF(COUNTIFS(BD!$B$3:$B$5001,J$245,BD!$A$3:$A$5001,"&gt;="&amp;$C$7,BD!$A$3:$A$5001,"&lt;="&amp;$B269,BD!$X$3:$X$5001,"&lt;&gt;")=0,"",SUMIFS(BD!$X$3:$X$5001,BD!$B$3:$B$5001,J$245,BD!$A$3:$A$5001,_xlfn.MAXIFS(BD!$A$3:$A$5001,BD!$B$3:$B$5001,J$245,BD!$A$3:$A$5001,"&gt;="&amp;$C$7,BD!$A$3:$A$5001,"&lt;="&amp;$B269,BD!$X$3:$X$5001,"&lt;&gt;"))))</f>
        <v/>
      </c>
      <c r="K269" s="54" t="str">
        <f>IF(OR($B269="",$A269&gt;$B$9,K$245=""),"",IF(COUNTIFS(BD!$B$3:$B$5001,K$245,BD!$A$3:$A$5001,"&gt;="&amp;$C$7,BD!$A$3:$A$5001,"&lt;="&amp;$B269,BD!$X$3:$X$5001,"&lt;&gt;")=0,"",SUMIFS(BD!$X$3:$X$5001,BD!$B$3:$B$5001,K$245,BD!$A$3:$A$5001,_xlfn.MAXIFS(BD!$A$3:$A$5001,BD!$B$3:$B$5001,K$245,BD!$A$3:$A$5001,"&gt;="&amp;$C$7,BD!$A$3:$A$5001,"&lt;="&amp;$B269,BD!$X$3:$X$5001,"&lt;&gt;"))))</f>
        <v/>
      </c>
      <c r="L269" s="54" t="str">
        <f>IF(OR($B269="",$A269&gt;$B$9,L$245=""),"",IF(COUNTIFS(BD!$B$3:$B$5001,L$245,BD!$A$3:$A$5001,"&gt;="&amp;$C$7,BD!$A$3:$A$5001,"&lt;="&amp;$B269,BD!$X$3:$X$5001,"&lt;&gt;")=0,"",SUMIFS(BD!$X$3:$X$5001,BD!$B$3:$B$5001,L$245,BD!$A$3:$A$5001,_xlfn.MAXIFS(BD!$A$3:$A$5001,BD!$B$3:$B$5001,L$245,BD!$A$3:$A$5001,"&gt;="&amp;$C$7,BD!$A$3:$A$5001,"&lt;="&amp;$B269,BD!$X$3:$X$5001,"&lt;&gt;"))))</f>
        <v/>
      </c>
      <c r="M269" s="54" t="str">
        <f>IF(OR($B269="",$A269&gt;$B$9,M$245=""),"",IF(COUNTIFS(BD!$B$3:$B$5001,M$245,BD!$A$3:$A$5001,"&gt;="&amp;$C$7,BD!$A$3:$A$5001,"&lt;="&amp;$B269,BD!$X$3:$X$5001,"&lt;&gt;")=0,"",SUMIFS(BD!$X$3:$X$5001,BD!$B$3:$B$5001,M$245,BD!$A$3:$A$5001,_xlfn.MAXIFS(BD!$A$3:$A$5001,BD!$B$3:$B$5001,M$245,BD!$A$3:$A$5001,"&gt;="&amp;$C$7,BD!$A$3:$A$5001,"&lt;="&amp;$B269,BD!$X$3:$X$5001,"&lt;&gt;"))))</f>
        <v/>
      </c>
      <c r="N269" s="54" t="str">
        <f>IF(OR($B269="",$A269&gt;$B$9,N$245=""),"",IF(COUNTIFS(BD!$B$3:$B$5001,N$245,BD!$A$3:$A$5001,"&gt;="&amp;$C$7,BD!$A$3:$A$5001,"&lt;="&amp;$B269,BD!$X$3:$X$5001,"&lt;&gt;")=0,"",SUMIFS(BD!$X$3:$X$5001,BD!$B$3:$B$5001,N$245,BD!$A$3:$A$5001,_xlfn.MAXIFS(BD!$A$3:$A$5001,BD!$B$3:$B$5001,N$245,BD!$A$3:$A$5001,"&gt;="&amp;$C$7,BD!$A$3:$A$5001,"&lt;="&amp;$B269,BD!$X$3:$X$5001,"&lt;&gt;"))))</f>
        <v/>
      </c>
      <c r="O269" s="54" t="str">
        <f>IF(OR($B269="",$A269&gt;$B$9,O$245=""),"",IF(COUNTIFS(BD!$B$3:$B$5001,O$245,BD!$A$3:$A$5001,"&gt;="&amp;$C$7,BD!$A$3:$A$5001,"&lt;="&amp;$B269,BD!$X$3:$X$5001,"&lt;&gt;")=0,"",SUMIFS(BD!$X$3:$X$5001,BD!$B$3:$B$5001,O$245,BD!$A$3:$A$5001,_xlfn.MAXIFS(BD!$A$3:$A$5001,BD!$B$3:$B$5001,O$245,BD!$A$3:$A$5001,"&gt;="&amp;$C$7,BD!$A$3:$A$5001,"&lt;="&amp;$B269,BD!$X$3:$X$5001,"&lt;&gt;"))))</f>
        <v/>
      </c>
      <c r="P269" s="54" t="str">
        <f>IF(OR($B269="",$A269&gt;$B$9,P$245=""),"",IF(COUNTIFS(BD!$B$3:$B$5001,P$245,BD!$A$3:$A$5001,"&gt;="&amp;$C$7,BD!$A$3:$A$5001,"&lt;="&amp;$B269,BD!$X$3:$X$5001,"&lt;&gt;")=0,"",SUMIFS(BD!$X$3:$X$5001,BD!$B$3:$B$5001,P$245,BD!$A$3:$A$5001,_xlfn.MAXIFS(BD!$A$3:$A$5001,BD!$B$3:$B$5001,P$245,BD!$A$3:$A$5001,"&gt;="&amp;$C$7,BD!$A$3:$A$5001,"&lt;="&amp;$B269,BD!$X$3:$X$5001,"&lt;&gt;"))))</f>
        <v/>
      </c>
      <c r="Q269" s="54" t="str">
        <f>IF(OR($B269="",$A269&gt;$B$9,Q$245=""),"",IF(COUNTIFS(BD!$B$3:$B$5001,Q$245,BD!$A$3:$A$5001,"&gt;="&amp;$C$7,BD!$A$3:$A$5001,"&lt;="&amp;$B269,BD!$X$3:$X$5001,"&lt;&gt;")=0,"",SUMIFS(BD!$X$3:$X$5001,BD!$B$3:$B$5001,Q$245,BD!$A$3:$A$5001,_xlfn.MAXIFS(BD!$A$3:$A$5001,BD!$B$3:$B$5001,Q$245,BD!$A$3:$A$5001,"&gt;="&amp;$C$7,BD!$A$3:$A$5001,"&lt;="&amp;$B269,BD!$X$3:$X$5001,"&lt;&gt;"))))</f>
        <v/>
      </c>
      <c r="R269" s="54" t="str">
        <f>IF(OR($B269="",$A269&gt;$B$9,R$245=""),"",IF(COUNTIFS(BD!$B$3:$B$5001,R$245,BD!$A$3:$A$5001,"&gt;="&amp;$C$7,BD!$A$3:$A$5001,"&lt;="&amp;$B269,BD!$X$3:$X$5001,"&lt;&gt;")=0,"",SUMIFS(BD!$X$3:$X$5001,BD!$B$3:$B$5001,R$245,BD!$A$3:$A$5001,_xlfn.MAXIFS(BD!$A$3:$A$5001,BD!$B$3:$B$5001,R$245,BD!$A$3:$A$5001,"&gt;="&amp;$C$7,BD!$A$3:$A$5001,"&lt;="&amp;$B269,BD!$X$3:$X$5001,"&lt;&gt;"))))</f>
        <v/>
      </c>
      <c r="S269" s="54" t="str">
        <f>IF(OR($B269="",$A269&gt;$B$9,S$245=""),"",IF(COUNTIFS(BD!$B$3:$B$5001,S$245,BD!$A$3:$A$5001,"&gt;="&amp;$C$7,BD!$A$3:$A$5001,"&lt;="&amp;$B269,BD!$X$3:$X$5001,"&lt;&gt;")=0,"",SUMIFS(BD!$X$3:$X$5001,BD!$B$3:$B$5001,S$245,BD!$A$3:$A$5001,_xlfn.MAXIFS(BD!$A$3:$A$5001,BD!$B$3:$B$5001,S$245,BD!$A$3:$A$5001,"&gt;="&amp;$C$7,BD!$A$3:$A$5001,"&lt;="&amp;$B269,BD!$X$3:$X$5001,"&lt;&gt;"))))</f>
        <v/>
      </c>
      <c r="T269" s="54" t="str">
        <f>IF(OR($B269="",$A269&gt;$B$9,T$245=""),"",IF(COUNTIFS(BD!$B$3:$B$5001,T$245,BD!$A$3:$A$5001,"&gt;="&amp;$C$7,BD!$A$3:$A$5001,"&lt;="&amp;$B269,BD!$X$3:$X$5001,"&lt;&gt;")=0,"",SUMIFS(BD!$X$3:$X$5001,BD!$B$3:$B$5001,T$245,BD!$A$3:$A$5001,_xlfn.MAXIFS(BD!$A$3:$A$5001,BD!$B$3:$B$5001,T$245,BD!$A$3:$A$5001,"&gt;="&amp;$C$7,BD!$A$3:$A$5001,"&lt;="&amp;$B269,BD!$X$3:$X$5001,"&lt;&gt;"))))</f>
        <v/>
      </c>
      <c r="U269" s="54" t="str">
        <f>IF(OR($B269="",$A269&gt;$B$9,U$245=""),"",IF(COUNTIFS(BD!$B$3:$B$5001,U$245,BD!$A$3:$A$5001,"&gt;="&amp;$C$7,BD!$A$3:$A$5001,"&lt;="&amp;$B269,BD!$X$3:$X$5001,"&lt;&gt;")=0,"",SUMIFS(BD!$X$3:$X$5001,BD!$B$3:$B$5001,U$245,BD!$A$3:$A$5001,_xlfn.MAXIFS(BD!$A$3:$A$5001,BD!$B$3:$B$5001,U$245,BD!$A$3:$A$5001,"&gt;="&amp;$C$7,BD!$A$3:$A$5001,"&lt;="&amp;$B269,BD!$X$3:$X$5001,"&lt;&gt;"))))</f>
        <v/>
      </c>
      <c r="V269" s="54" t="str">
        <f>IF(OR($B269="",$A269&gt;$B$9,V$245=""),"",IF(COUNTIFS(BD!$B$3:$B$5001,V$245,BD!$A$3:$A$5001,"&gt;="&amp;$C$7,BD!$A$3:$A$5001,"&lt;="&amp;$B269,BD!$X$3:$X$5001,"&lt;&gt;")=0,"",SUMIFS(BD!$X$3:$X$5001,BD!$B$3:$B$5001,V$245,BD!$A$3:$A$5001,_xlfn.MAXIFS(BD!$A$3:$A$5001,BD!$B$3:$B$5001,V$245,BD!$A$3:$A$5001,"&gt;="&amp;$C$7,BD!$A$3:$A$5001,"&lt;="&amp;$B269,BD!$X$3:$X$5001,"&lt;&gt;"))))</f>
        <v/>
      </c>
    </row>
    <row r="270">
      <c r="A270" s="48">
        <v>25</v>
      </c>
      <c r="B270" s="53">
        <f>$B$36</f>
        <v>46320</v>
      </c>
      <c r="C270" s="54" t="str">
        <f>IF(OR($B270="",$A270&gt;$B$9,C$245=""),"",IF(COUNTIFS(BD!$B$3:$B$5001,C$245,BD!$A$3:$A$5001,"&gt;="&amp;$C$7,BD!$A$3:$A$5001,"&lt;="&amp;$B270,BD!$X$3:$X$5001,"&lt;&gt;")=0,"",SUMIFS(BD!$X$3:$X$5001,BD!$B$3:$B$5001,C$245,BD!$A$3:$A$5001,_xlfn.MAXIFS(BD!$A$3:$A$5001,BD!$B$3:$B$5001,C$245,BD!$A$3:$A$5001,"&gt;="&amp;$C$7,BD!$A$3:$A$5001,"&lt;="&amp;$B270,BD!$X$3:$X$5001,"&lt;&gt;"))))</f>
        <v/>
      </c>
      <c r="D270" s="54" t="str">
        <f>IF(OR($B270="",$A270&gt;$B$9,D$245=""),"",IF(COUNTIFS(BD!$B$3:$B$5001,D$245,BD!$A$3:$A$5001,"&gt;="&amp;$C$7,BD!$A$3:$A$5001,"&lt;="&amp;$B270,BD!$X$3:$X$5001,"&lt;&gt;")=0,"",SUMIFS(BD!$X$3:$X$5001,BD!$B$3:$B$5001,D$245,BD!$A$3:$A$5001,_xlfn.MAXIFS(BD!$A$3:$A$5001,BD!$B$3:$B$5001,D$245,BD!$A$3:$A$5001,"&gt;="&amp;$C$7,BD!$A$3:$A$5001,"&lt;="&amp;$B270,BD!$X$3:$X$5001,"&lt;&gt;"))))</f>
        <v/>
      </c>
      <c r="E270" s="54" t="str">
        <f>IF(OR($B270="",$A270&gt;$B$9,E$245=""),"",IF(COUNTIFS(BD!$B$3:$B$5001,E$245,BD!$A$3:$A$5001,"&gt;="&amp;$C$7,BD!$A$3:$A$5001,"&lt;="&amp;$B270,BD!$X$3:$X$5001,"&lt;&gt;")=0,"",SUMIFS(BD!$X$3:$X$5001,BD!$B$3:$B$5001,E$245,BD!$A$3:$A$5001,_xlfn.MAXIFS(BD!$A$3:$A$5001,BD!$B$3:$B$5001,E$245,BD!$A$3:$A$5001,"&gt;="&amp;$C$7,BD!$A$3:$A$5001,"&lt;="&amp;$B270,BD!$X$3:$X$5001,"&lt;&gt;"))))</f>
        <v/>
      </c>
      <c r="F270" s="54" t="str">
        <f>IF(OR($B270="",$A270&gt;$B$9,F$245=""),"",IF(COUNTIFS(BD!$B$3:$B$5001,F$245,BD!$A$3:$A$5001,"&gt;="&amp;$C$7,BD!$A$3:$A$5001,"&lt;="&amp;$B270,BD!$X$3:$X$5001,"&lt;&gt;")=0,"",SUMIFS(BD!$X$3:$X$5001,BD!$B$3:$B$5001,F$245,BD!$A$3:$A$5001,_xlfn.MAXIFS(BD!$A$3:$A$5001,BD!$B$3:$B$5001,F$245,BD!$A$3:$A$5001,"&gt;="&amp;$C$7,BD!$A$3:$A$5001,"&lt;="&amp;$B270,BD!$X$3:$X$5001,"&lt;&gt;"))))</f>
        <v/>
      </c>
      <c r="G270" s="54" t="str">
        <f>IF(OR($B270="",$A270&gt;$B$9,G$245=""),"",IF(COUNTIFS(BD!$B$3:$B$5001,G$245,BD!$A$3:$A$5001,"&gt;="&amp;$C$7,BD!$A$3:$A$5001,"&lt;="&amp;$B270,BD!$X$3:$X$5001,"&lt;&gt;")=0,"",SUMIFS(BD!$X$3:$X$5001,BD!$B$3:$B$5001,G$245,BD!$A$3:$A$5001,_xlfn.MAXIFS(BD!$A$3:$A$5001,BD!$B$3:$B$5001,G$245,BD!$A$3:$A$5001,"&gt;="&amp;$C$7,BD!$A$3:$A$5001,"&lt;="&amp;$B270,BD!$X$3:$X$5001,"&lt;&gt;"))))</f>
        <v/>
      </c>
      <c r="H270" s="54" t="str">
        <f>IF(OR($B270="",$A270&gt;$B$9,H$245=""),"",IF(COUNTIFS(BD!$B$3:$B$5001,H$245,BD!$A$3:$A$5001,"&gt;="&amp;$C$7,BD!$A$3:$A$5001,"&lt;="&amp;$B270,BD!$X$3:$X$5001,"&lt;&gt;")=0,"",SUMIFS(BD!$X$3:$X$5001,BD!$B$3:$B$5001,H$245,BD!$A$3:$A$5001,_xlfn.MAXIFS(BD!$A$3:$A$5001,BD!$B$3:$B$5001,H$245,BD!$A$3:$A$5001,"&gt;="&amp;$C$7,BD!$A$3:$A$5001,"&lt;="&amp;$B270,BD!$X$3:$X$5001,"&lt;&gt;"))))</f>
        <v/>
      </c>
      <c r="I270" s="54" t="str">
        <f>IF(OR($B270="",$A270&gt;$B$9,I$245=""),"",IF(COUNTIFS(BD!$B$3:$B$5001,I$245,BD!$A$3:$A$5001,"&gt;="&amp;$C$7,BD!$A$3:$A$5001,"&lt;="&amp;$B270,BD!$X$3:$X$5001,"&lt;&gt;")=0,"",SUMIFS(BD!$X$3:$X$5001,BD!$B$3:$B$5001,I$245,BD!$A$3:$A$5001,_xlfn.MAXIFS(BD!$A$3:$A$5001,BD!$B$3:$B$5001,I$245,BD!$A$3:$A$5001,"&gt;="&amp;$C$7,BD!$A$3:$A$5001,"&lt;="&amp;$B270,BD!$X$3:$X$5001,"&lt;&gt;"))))</f>
        <v/>
      </c>
      <c r="J270" s="54" t="str">
        <f>IF(OR($B270="",$A270&gt;$B$9,J$245=""),"",IF(COUNTIFS(BD!$B$3:$B$5001,J$245,BD!$A$3:$A$5001,"&gt;="&amp;$C$7,BD!$A$3:$A$5001,"&lt;="&amp;$B270,BD!$X$3:$X$5001,"&lt;&gt;")=0,"",SUMIFS(BD!$X$3:$X$5001,BD!$B$3:$B$5001,J$245,BD!$A$3:$A$5001,_xlfn.MAXIFS(BD!$A$3:$A$5001,BD!$B$3:$B$5001,J$245,BD!$A$3:$A$5001,"&gt;="&amp;$C$7,BD!$A$3:$A$5001,"&lt;="&amp;$B270,BD!$X$3:$X$5001,"&lt;&gt;"))))</f>
        <v/>
      </c>
      <c r="K270" s="54" t="str">
        <f>IF(OR($B270="",$A270&gt;$B$9,K$245=""),"",IF(COUNTIFS(BD!$B$3:$B$5001,K$245,BD!$A$3:$A$5001,"&gt;="&amp;$C$7,BD!$A$3:$A$5001,"&lt;="&amp;$B270,BD!$X$3:$X$5001,"&lt;&gt;")=0,"",SUMIFS(BD!$X$3:$X$5001,BD!$B$3:$B$5001,K$245,BD!$A$3:$A$5001,_xlfn.MAXIFS(BD!$A$3:$A$5001,BD!$B$3:$B$5001,K$245,BD!$A$3:$A$5001,"&gt;="&amp;$C$7,BD!$A$3:$A$5001,"&lt;="&amp;$B270,BD!$X$3:$X$5001,"&lt;&gt;"))))</f>
        <v/>
      </c>
      <c r="L270" s="54" t="str">
        <f>IF(OR($B270="",$A270&gt;$B$9,L$245=""),"",IF(COUNTIFS(BD!$B$3:$B$5001,L$245,BD!$A$3:$A$5001,"&gt;="&amp;$C$7,BD!$A$3:$A$5001,"&lt;="&amp;$B270,BD!$X$3:$X$5001,"&lt;&gt;")=0,"",SUMIFS(BD!$X$3:$X$5001,BD!$B$3:$B$5001,L$245,BD!$A$3:$A$5001,_xlfn.MAXIFS(BD!$A$3:$A$5001,BD!$B$3:$B$5001,L$245,BD!$A$3:$A$5001,"&gt;="&amp;$C$7,BD!$A$3:$A$5001,"&lt;="&amp;$B270,BD!$X$3:$X$5001,"&lt;&gt;"))))</f>
        <v/>
      </c>
      <c r="M270" s="54" t="str">
        <f>IF(OR($B270="",$A270&gt;$B$9,M$245=""),"",IF(COUNTIFS(BD!$B$3:$B$5001,M$245,BD!$A$3:$A$5001,"&gt;="&amp;$C$7,BD!$A$3:$A$5001,"&lt;="&amp;$B270,BD!$X$3:$X$5001,"&lt;&gt;")=0,"",SUMIFS(BD!$X$3:$X$5001,BD!$B$3:$B$5001,M$245,BD!$A$3:$A$5001,_xlfn.MAXIFS(BD!$A$3:$A$5001,BD!$B$3:$B$5001,M$245,BD!$A$3:$A$5001,"&gt;="&amp;$C$7,BD!$A$3:$A$5001,"&lt;="&amp;$B270,BD!$X$3:$X$5001,"&lt;&gt;"))))</f>
        <v/>
      </c>
      <c r="N270" s="54" t="str">
        <f>IF(OR($B270="",$A270&gt;$B$9,N$245=""),"",IF(COUNTIFS(BD!$B$3:$B$5001,N$245,BD!$A$3:$A$5001,"&gt;="&amp;$C$7,BD!$A$3:$A$5001,"&lt;="&amp;$B270,BD!$X$3:$X$5001,"&lt;&gt;")=0,"",SUMIFS(BD!$X$3:$X$5001,BD!$B$3:$B$5001,N$245,BD!$A$3:$A$5001,_xlfn.MAXIFS(BD!$A$3:$A$5001,BD!$B$3:$B$5001,N$245,BD!$A$3:$A$5001,"&gt;="&amp;$C$7,BD!$A$3:$A$5001,"&lt;="&amp;$B270,BD!$X$3:$X$5001,"&lt;&gt;"))))</f>
        <v/>
      </c>
      <c r="O270" s="54" t="str">
        <f>IF(OR($B270="",$A270&gt;$B$9,O$245=""),"",IF(COUNTIFS(BD!$B$3:$B$5001,O$245,BD!$A$3:$A$5001,"&gt;="&amp;$C$7,BD!$A$3:$A$5001,"&lt;="&amp;$B270,BD!$X$3:$X$5001,"&lt;&gt;")=0,"",SUMIFS(BD!$X$3:$X$5001,BD!$B$3:$B$5001,O$245,BD!$A$3:$A$5001,_xlfn.MAXIFS(BD!$A$3:$A$5001,BD!$B$3:$B$5001,O$245,BD!$A$3:$A$5001,"&gt;="&amp;$C$7,BD!$A$3:$A$5001,"&lt;="&amp;$B270,BD!$X$3:$X$5001,"&lt;&gt;"))))</f>
        <v/>
      </c>
      <c r="P270" s="54" t="str">
        <f>IF(OR($B270="",$A270&gt;$B$9,P$245=""),"",IF(COUNTIFS(BD!$B$3:$B$5001,P$245,BD!$A$3:$A$5001,"&gt;="&amp;$C$7,BD!$A$3:$A$5001,"&lt;="&amp;$B270,BD!$X$3:$X$5001,"&lt;&gt;")=0,"",SUMIFS(BD!$X$3:$X$5001,BD!$B$3:$B$5001,P$245,BD!$A$3:$A$5001,_xlfn.MAXIFS(BD!$A$3:$A$5001,BD!$B$3:$B$5001,P$245,BD!$A$3:$A$5001,"&gt;="&amp;$C$7,BD!$A$3:$A$5001,"&lt;="&amp;$B270,BD!$X$3:$X$5001,"&lt;&gt;"))))</f>
        <v/>
      </c>
      <c r="Q270" s="54" t="str">
        <f>IF(OR($B270="",$A270&gt;$B$9,Q$245=""),"",IF(COUNTIFS(BD!$B$3:$B$5001,Q$245,BD!$A$3:$A$5001,"&gt;="&amp;$C$7,BD!$A$3:$A$5001,"&lt;="&amp;$B270,BD!$X$3:$X$5001,"&lt;&gt;")=0,"",SUMIFS(BD!$X$3:$X$5001,BD!$B$3:$B$5001,Q$245,BD!$A$3:$A$5001,_xlfn.MAXIFS(BD!$A$3:$A$5001,BD!$B$3:$B$5001,Q$245,BD!$A$3:$A$5001,"&gt;="&amp;$C$7,BD!$A$3:$A$5001,"&lt;="&amp;$B270,BD!$X$3:$X$5001,"&lt;&gt;"))))</f>
        <v/>
      </c>
      <c r="R270" s="54" t="str">
        <f>IF(OR($B270="",$A270&gt;$B$9,R$245=""),"",IF(COUNTIFS(BD!$B$3:$B$5001,R$245,BD!$A$3:$A$5001,"&gt;="&amp;$C$7,BD!$A$3:$A$5001,"&lt;="&amp;$B270,BD!$X$3:$X$5001,"&lt;&gt;")=0,"",SUMIFS(BD!$X$3:$X$5001,BD!$B$3:$B$5001,R$245,BD!$A$3:$A$5001,_xlfn.MAXIFS(BD!$A$3:$A$5001,BD!$B$3:$B$5001,R$245,BD!$A$3:$A$5001,"&gt;="&amp;$C$7,BD!$A$3:$A$5001,"&lt;="&amp;$B270,BD!$X$3:$X$5001,"&lt;&gt;"))))</f>
        <v/>
      </c>
      <c r="S270" s="54" t="str">
        <f>IF(OR($B270="",$A270&gt;$B$9,S$245=""),"",IF(COUNTIFS(BD!$B$3:$B$5001,S$245,BD!$A$3:$A$5001,"&gt;="&amp;$C$7,BD!$A$3:$A$5001,"&lt;="&amp;$B270,BD!$X$3:$X$5001,"&lt;&gt;")=0,"",SUMIFS(BD!$X$3:$X$5001,BD!$B$3:$B$5001,S$245,BD!$A$3:$A$5001,_xlfn.MAXIFS(BD!$A$3:$A$5001,BD!$B$3:$B$5001,S$245,BD!$A$3:$A$5001,"&gt;="&amp;$C$7,BD!$A$3:$A$5001,"&lt;="&amp;$B270,BD!$X$3:$X$5001,"&lt;&gt;"))))</f>
        <v/>
      </c>
      <c r="T270" s="54" t="str">
        <f>IF(OR($B270="",$A270&gt;$B$9,T$245=""),"",IF(COUNTIFS(BD!$B$3:$B$5001,T$245,BD!$A$3:$A$5001,"&gt;="&amp;$C$7,BD!$A$3:$A$5001,"&lt;="&amp;$B270,BD!$X$3:$X$5001,"&lt;&gt;")=0,"",SUMIFS(BD!$X$3:$X$5001,BD!$B$3:$B$5001,T$245,BD!$A$3:$A$5001,_xlfn.MAXIFS(BD!$A$3:$A$5001,BD!$B$3:$B$5001,T$245,BD!$A$3:$A$5001,"&gt;="&amp;$C$7,BD!$A$3:$A$5001,"&lt;="&amp;$B270,BD!$X$3:$X$5001,"&lt;&gt;"))))</f>
        <v/>
      </c>
      <c r="U270" s="54" t="str">
        <f>IF(OR($B270="",$A270&gt;$B$9,U$245=""),"",IF(COUNTIFS(BD!$B$3:$B$5001,U$245,BD!$A$3:$A$5001,"&gt;="&amp;$C$7,BD!$A$3:$A$5001,"&lt;="&amp;$B270,BD!$X$3:$X$5001,"&lt;&gt;")=0,"",SUMIFS(BD!$X$3:$X$5001,BD!$B$3:$B$5001,U$245,BD!$A$3:$A$5001,_xlfn.MAXIFS(BD!$A$3:$A$5001,BD!$B$3:$B$5001,U$245,BD!$A$3:$A$5001,"&gt;="&amp;$C$7,BD!$A$3:$A$5001,"&lt;="&amp;$B270,BD!$X$3:$X$5001,"&lt;&gt;"))))</f>
        <v/>
      </c>
      <c r="V270" s="54" t="str">
        <f>IF(OR($B270="",$A270&gt;$B$9,V$245=""),"",IF(COUNTIFS(BD!$B$3:$B$5001,V$245,BD!$A$3:$A$5001,"&gt;="&amp;$C$7,BD!$A$3:$A$5001,"&lt;="&amp;$B270,BD!$X$3:$X$5001,"&lt;&gt;")=0,"",SUMIFS(BD!$X$3:$X$5001,BD!$B$3:$B$5001,V$245,BD!$A$3:$A$5001,_xlfn.MAXIFS(BD!$A$3:$A$5001,BD!$B$3:$B$5001,V$245,BD!$A$3:$A$5001,"&gt;="&amp;$C$7,BD!$A$3:$A$5001,"&lt;="&amp;$B270,BD!$X$3:$X$5001,"&lt;&gt;"))))</f>
        <v/>
      </c>
    </row>
    <row r="271">
      <c r="A271" s="48">
        <v>26</v>
      </c>
      <c r="B271" s="53">
        <f>$B$37</f>
        <v>46321</v>
      </c>
      <c r="C271" s="54" t="str">
        <f>IF(OR($B271="",$A271&gt;$B$9,C$245=""),"",IF(COUNTIFS(BD!$B$3:$B$5001,C$245,BD!$A$3:$A$5001,"&gt;="&amp;$C$7,BD!$A$3:$A$5001,"&lt;="&amp;$B271,BD!$X$3:$X$5001,"&lt;&gt;")=0,"",SUMIFS(BD!$X$3:$X$5001,BD!$B$3:$B$5001,C$245,BD!$A$3:$A$5001,_xlfn.MAXIFS(BD!$A$3:$A$5001,BD!$B$3:$B$5001,C$245,BD!$A$3:$A$5001,"&gt;="&amp;$C$7,BD!$A$3:$A$5001,"&lt;="&amp;$B271,BD!$X$3:$X$5001,"&lt;&gt;"))))</f>
        <v/>
      </c>
      <c r="D271" s="54" t="str">
        <f>IF(OR($B271="",$A271&gt;$B$9,D$245=""),"",IF(COUNTIFS(BD!$B$3:$B$5001,D$245,BD!$A$3:$A$5001,"&gt;="&amp;$C$7,BD!$A$3:$A$5001,"&lt;="&amp;$B271,BD!$X$3:$X$5001,"&lt;&gt;")=0,"",SUMIFS(BD!$X$3:$X$5001,BD!$B$3:$B$5001,D$245,BD!$A$3:$A$5001,_xlfn.MAXIFS(BD!$A$3:$A$5001,BD!$B$3:$B$5001,D$245,BD!$A$3:$A$5001,"&gt;="&amp;$C$7,BD!$A$3:$A$5001,"&lt;="&amp;$B271,BD!$X$3:$X$5001,"&lt;&gt;"))))</f>
        <v/>
      </c>
      <c r="E271" s="54" t="str">
        <f>IF(OR($B271="",$A271&gt;$B$9,E$245=""),"",IF(COUNTIFS(BD!$B$3:$B$5001,E$245,BD!$A$3:$A$5001,"&gt;="&amp;$C$7,BD!$A$3:$A$5001,"&lt;="&amp;$B271,BD!$X$3:$X$5001,"&lt;&gt;")=0,"",SUMIFS(BD!$X$3:$X$5001,BD!$B$3:$B$5001,E$245,BD!$A$3:$A$5001,_xlfn.MAXIFS(BD!$A$3:$A$5001,BD!$B$3:$B$5001,E$245,BD!$A$3:$A$5001,"&gt;="&amp;$C$7,BD!$A$3:$A$5001,"&lt;="&amp;$B271,BD!$X$3:$X$5001,"&lt;&gt;"))))</f>
        <v/>
      </c>
      <c r="F271" s="54" t="str">
        <f>IF(OR($B271="",$A271&gt;$B$9,F$245=""),"",IF(COUNTIFS(BD!$B$3:$B$5001,F$245,BD!$A$3:$A$5001,"&gt;="&amp;$C$7,BD!$A$3:$A$5001,"&lt;="&amp;$B271,BD!$X$3:$X$5001,"&lt;&gt;")=0,"",SUMIFS(BD!$X$3:$X$5001,BD!$B$3:$B$5001,F$245,BD!$A$3:$A$5001,_xlfn.MAXIFS(BD!$A$3:$A$5001,BD!$B$3:$B$5001,F$245,BD!$A$3:$A$5001,"&gt;="&amp;$C$7,BD!$A$3:$A$5001,"&lt;="&amp;$B271,BD!$X$3:$X$5001,"&lt;&gt;"))))</f>
        <v/>
      </c>
      <c r="G271" s="54" t="str">
        <f>IF(OR($B271="",$A271&gt;$B$9,G$245=""),"",IF(COUNTIFS(BD!$B$3:$B$5001,G$245,BD!$A$3:$A$5001,"&gt;="&amp;$C$7,BD!$A$3:$A$5001,"&lt;="&amp;$B271,BD!$X$3:$X$5001,"&lt;&gt;")=0,"",SUMIFS(BD!$X$3:$X$5001,BD!$B$3:$B$5001,G$245,BD!$A$3:$A$5001,_xlfn.MAXIFS(BD!$A$3:$A$5001,BD!$B$3:$B$5001,G$245,BD!$A$3:$A$5001,"&gt;="&amp;$C$7,BD!$A$3:$A$5001,"&lt;="&amp;$B271,BD!$X$3:$X$5001,"&lt;&gt;"))))</f>
        <v/>
      </c>
      <c r="H271" s="54" t="str">
        <f>IF(OR($B271="",$A271&gt;$B$9,H$245=""),"",IF(COUNTIFS(BD!$B$3:$B$5001,H$245,BD!$A$3:$A$5001,"&gt;="&amp;$C$7,BD!$A$3:$A$5001,"&lt;="&amp;$B271,BD!$X$3:$X$5001,"&lt;&gt;")=0,"",SUMIFS(BD!$X$3:$X$5001,BD!$B$3:$B$5001,H$245,BD!$A$3:$A$5001,_xlfn.MAXIFS(BD!$A$3:$A$5001,BD!$B$3:$B$5001,H$245,BD!$A$3:$A$5001,"&gt;="&amp;$C$7,BD!$A$3:$A$5001,"&lt;="&amp;$B271,BD!$X$3:$X$5001,"&lt;&gt;"))))</f>
        <v/>
      </c>
      <c r="I271" s="54" t="str">
        <f>IF(OR($B271="",$A271&gt;$B$9,I$245=""),"",IF(COUNTIFS(BD!$B$3:$B$5001,I$245,BD!$A$3:$A$5001,"&gt;="&amp;$C$7,BD!$A$3:$A$5001,"&lt;="&amp;$B271,BD!$X$3:$X$5001,"&lt;&gt;")=0,"",SUMIFS(BD!$X$3:$X$5001,BD!$B$3:$B$5001,I$245,BD!$A$3:$A$5001,_xlfn.MAXIFS(BD!$A$3:$A$5001,BD!$B$3:$B$5001,I$245,BD!$A$3:$A$5001,"&gt;="&amp;$C$7,BD!$A$3:$A$5001,"&lt;="&amp;$B271,BD!$X$3:$X$5001,"&lt;&gt;"))))</f>
        <v/>
      </c>
      <c r="J271" s="54" t="str">
        <f>IF(OR($B271="",$A271&gt;$B$9,J$245=""),"",IF(COUNTIFS(BD!$B$3:$B$5001,J$245,BD!$A$3:$A$5001,"&gt;="&amp;$C$7,BD!$A$3:$A$5001,"&lt;="&amp;$B271,BD!$X$3:$X$5001,"&lt;&gt;")=0,"",SUMIFS(BD!$X$3:$X$5001,BD!$B$3:$B$5001,J$245,BD!$A$3:$A$5001,_xlfn.MAXIFS(BD!$A$3:$A$5001,BD!$B$3:$B$5001,J$245,BD!$A$3:$A$5001,"&gt;="&amp;$C$7,BD!$A$3:$A$5001,"&lt;="&amp;$B271,BD!$X$3:$X$5001,"&lt;&gt;"))))</f>
        <v/>
      </c>
      <c r="K271" s="54" t="str">
        <f>IF(OR($B271="",$A271&gt;$B$9,K$245=""),"",IF(COUNTIFS(BD!$B$3:$B$5001,K$245,BD!$A$3:$A$5001,"&gt;="&amp;$C$7,BD!$A$3:$A$5001,"&lt;="&amp;$B271,BD!$X$3:$X$5001,"&lt;&gt;")=0,"",SUMIFS(BD!$X$3:$X$5001,BD!$B$3:$B$5001,K$245,BD!$A$3:$A$5001,_xlfn.MAXIFS(BD!$A$3:$A$5001,BD!$B$3:$B$5001,K$245,BD!$A$3:$A$5001,"&gt;="&amp;$C$7,BD!$A$3:$A$5001,"&lt;="&amp;$B271,BD!$X$3:$X$5001,"&lt;&gt;"))))</f>
        <v/>
      </c>
      <c r="L271" s="54" t="str">
        <f>IF(OR($B271="",$A271&gt;$B$9,L$245=""),"",IF(COUNTIFS(BD!$B$3:$B$5001,L$245,BD!$A$3:$A$5001,"&gt;="&amp;$C$7,BD!$A$3:$A$5001,"&lt;="&amp;$B271,BD!$X$3:$X$5001,"&lt;&gt;")=0,"",SUMIFS(BD!$X$3:$X$5001,BD!$B$3:$B$5001,L$245,BD!$A$3:$A$5001,_xlfn.MAXIFS(BD!$A$3:$A$5001,BD!$B$3:$B$5001,L$245,BD!$A$3:$A$5001,"&gt;="&amp;$C$7,BD!$A$3:$A$5001,"&lt;="&amp;$B271,BD!$X$3:$X$5001,"&lt;&gt;"))))</f>
        <v/>
      </c>
      <c r="M271" s="54" t="str">
        <f>IF(OR($B271="",$A271&gt;$B$9,M$245=""),"",IF(COUNTIFS(BD!$B$3:$B$5001,M$245,BD!$A$3:$A$5001,"&gt;="&amp;$C$7,BD!$A$3:$A$5001,"&lt;="&amp;$B271,BD!$X$3:$X$5001,"&lt;&gt;")=0,"",SUMIFS(BD!$X$3:$X$5001,BD!$B$3:$B$5001,M$245,BD!$A$3:$A$5001,_xlfn.MAXIFS(BD!$A$3:$A$5001,BD!$B$3:$B$5001,M$245,BD!$A$3:$A$5001,"&gt;="&amp;$C$7,BD!$A$3:$A$5001,"&lt;="&amp;$B271,BD!$X$3:$X$5001,"&lt;&gt;"))))</f>
        <v/>
      </c>
      <c r="N271" s="54" t="str">
        <f>IF(OR($B271="",$A271&gt;$B$9,N$245=""),"",IF(COUNTIFS(BD!$B$3:$B$5001,N$245,BD!$A$3:$A$5001,"&gt;="&amp;$C$7,BD!$A$3:$A$5001,"&lt;="&amp;$B271,BD!$X$3:$X$5001,"&lt;&gt;")=0,"",SUMIFS(BD!$X$3:$X$5001,BD!$B$3:$B$5001,N$245,BD!$A$3:$A$5001,_xlfn.MAXIFS(BD!$A$3:$A$5001,BD!$B$3:$B$5001,N$245,BD!$A$3:$A$5001,"&gt;="&amp;$C$7,BD!$A$3:$A$5001,"&lt;="&amp;$B271,BD!$X$3:$X$5001,"&lt;&gt;"))))</f>
        <v/>
      </c>
      <c r="O271" s="54" t="str">
        <f>IF(OR($B271="",$A271&gt;$B$9,O$245=""),"",IF(COUNTIFS(BD!$B$3:$B$5001,O$245,BD!$A$3:$A$5001,"&gt;="&amp;$C$7,BD!$A$3:$A$5001,"&lt;="&amp;$B271,BD!$X$3:$X$5001,"&lt;&gt;")=0,"",SUMIFS(BD!$X$3:$X$5001,BD!$B$3:$B$5001,O$245,BD!$A$3:$A$5001,_xlfn.MAXIFS(BD!$A$3:$A$5001,BD!$B$3:$B$5001,O$245,BD!$A$3:$A$5001,"&gt;="&amp;$C$7,BD!$A$3:$A$5001,"&lt;="&amp;$B271,BD!$X$3:$X$5001,"&lt;&gt;"))))</f>
        <v/>
      </c>
      <c r="P271" s="54" t="str">
        <f>IF(OR($B271="",$A271&gt;$B$9,P$245=""),"",IF(COUNTIFS(BD!$B$3:$B$5001,P$245,BD!$A$3:$A$5001,"&gt;="&amp;$C$7,BD!$A$3:$A$5001,"&lt;="&amp;$B271,BD!$X$3:$X$5001,"&lt;&gt;")=0,"",SUMIFS(BD!$X$3:$X$5001,BD!$B$3:$B$5001,P$245,BD!$A$3:$A$5001,_xlfn.MAXIFS(BD!$A$3:$A$5001,BD!$B$3:$B$5001,P$245,BD!$A$3:$A$5001,"&gt;="&amp;$C$7,BD!$A$3:$A$5001,"&lt;="&amp;$B271,BD!$X$3:$X$5001,"&lt;&gt;"))))</f>
        <v/>
      </c>
      <c r="Q271" s="54" t="str">
        <f>IF(OR($B271="",$A271&gt;$B$9,Q$245=""),"",IF(COUNTIFS(BD!$B$3:$B$5001,Q$245,BD!$A$3:$A$5001,"&gt;="&amp;$C$7,BD!$A$3:$A$5001,"&lt;="&amp;$B271,BD!$X$3:$X$5001,"&lt;&gt;")=0,"",SUMIFS(BD!$X$3:$X$5001,BD!$B$3:$B$5001,Q$245,BD!$A$3:$A$5001,_xlfn.MAXIFS(BD!$A$3:$A$5001,BD!$B$3:$B$5001,Q$245,BD!$A$3:$A$5001,"&gt;="&amp;$C$7,BD!$A$3:$A$5001,"&lt;="&amp;$B271,BD!$X$3:$X$5001,"&lt;&gt;"))))</f>
        <v/>
      </c>
      <c r="R271" s="54" t="str">
        <f>IF(OR($B271="",$A271&gt;$B$9,R$245=""),"",IF(COUNTIFS(BD!$B$3:$B$5001,R$245,BD!$A$3:$A$5001,"&gt;="&amp;$C$7,BD!$A$3:$A$5001,"&lt;="&amp;$B271,BD!$X$3:$X$5001,"&lt;&gt;")=0,"",SUMIFS(BD!$X$3:$X$5001,BD!$B$3:$B$5001,R$245,BD!$A$3:$A$5001,_xlfn.MAXIFS(BD!$A$3:$A$5001,BD!$B$3:$B$5001,R$245,BD!$A$3:$A$5001,"&gt;="&amp;$C$7,BD!$A$3:$A$5001,"&lt;="&amp;$B271,BD!$X$3:$X$5001,"&lt;&gt;"))))</f>
        <v/>
      </c>
      <c r="S271" s="54" t="str">
        <f>IF(OR($B271="",$A271&gt;$B$9,S$245=""),"",IF(COUNTIFS(BD!$B$3:$B$5001,S$245,BD!$A$3:$A$5001,"&gt;="&amp;$C$7,BD!$A$3:$A$5001,"&lt;="&amp;$B271,BD!$X$3:$X$5001,"&lt;&gt;")=0,"",SUMIFS(BD!$X$3:$X$5001,BD!$B$3:$B$5001,S$245,BD!$A$3:$A$5001,_xlfn.MAXIFS(BD!$A$3:$A$5001,BD!$B$3:$B$5001,S$245,BD!$A$3:$A$5001,"&gt;="&amp;$C$7,BD!$A$3:$A$5001,"&lt;="&amp;$B271,BD!$X$3:$X$5001,"&lt;&gt;"))))</f>
        <v/>
      </c>
      <c r="T271" s="54" t="str">
        <f>IF(OR($B271="",$A271&gt;$B$9,T$245=""),"",IF(COUNTIFS(BD!$B$3:$B$5001,T$245,BD!$A$3:$A$5001,"&gt;="&amp;$C$7,BD!$A$3:$A$5001,"&lt;="&amp;$B271,BD!$X$3:$X$5001,"&lt;&gt;")=0,"",SUMIFS(BD!$X$3:$X$5001,BD!$B$3:$B$5001,T$245,BD!$A$3:$A$5001,_xlfn.MAXIFS(BD!$A$3:$A$5001,BD!$B$3:$B$5001,T$245,BD!$A$3:$A$5001,"&gt;="&amp;$C$7,BD!$A$3:$A$5001,"&lt;="&amp;$B271,BD!$X$3:$X$5001,"&lt;&gt;"))))</f>
        <v/>
      </c>
      <c r="U271" s="54" t="str">
        <f>IF(OR($B271="",$A271&gt;$B$9,U$245=""),"",IF(COUNTIFS(BD!$B$3:$B$5001,U$245,BD!$A$3:$A$5001,"&gt;="&amp;$C$7,BD!$A$3:$A$5001,"&lt;="&amp;$B271,BD!$X$3:$X$5001,"&lt;&gt;")=0,"",SUMIFS(BD!$X$3:$X$5001,BD!$B$3:$B$5001,U$245,BD!$A$3:$A$5001,_xlfn.MAXIFS(BD!$A$3:$A$5001,BD!$B$3:$B$5001,U$245,BD!$A$3:$A$5001,"&gt;="&amp;$C$7,BD!$A$3:$A$5001,"&lt;="&amp;$B271,BD!$X$3:$X$5001,"&lt;&gt;"))))</f>
        <v/>
      </c>
      <c r="V271" s="54" t="str">
        <f>IF(OR($B271="",$A271&gt;$B$9,V$245=""),"",IF(COUNTIFS(BD!$B$3:$B$5001,V$245,BD!$A$3:$A$5001,"&gt;="&amp;$C$7,BD!$A$3:$A$5001,"&lt;="&amp;$B271,BD!$X$3:$X$5001,"&lt;&gt;")=0,"",SUMIFS(BD!$X$3:$X$5001,BD!$B$3:$B$5001,V$245,BD!$A$3:$A$5001,_xlfn.MAXIFS(BD!$A$3:$A$5001,BD!$B$3:$B$5001,V$245,BD!$A$3:$A$5001,"&gt;="&amp;$C$7,BD!$A$3:$A$5001,"&lt;="&amp;$B271,BD!$X$3:$X$5001,"&lt;&gt;"))))</f>
        <v/>
      </c>
    </row>
    <row r="272">
      <c r="A272" s="48">
        <v>27</v>
      </c>
      <c r="B272" s="53">
        <f>$B$38</f>
        <v>46322</v>
      </c>
      <c r="C272" s="54" t="str">
        <f>IF(OR($B272="",$A272&gt;$B$9,C$245=""),"",IF(COUNTIFS(BD!$B$3:$B$5001,C$245,BD!$A$3:$A$5001,"&gt;="&amp;$C$7,BD!$A$3:$A$5001,"&lt;="&amp;$B272,BD!$X$3:$X$5001,"&lt;&gt;")=0,"",SUMIFS(BD!$X$3:$X$5001,BD!$B$3:$B$5001,C$245,BD!$A$3:$A$5001,_xlfn.MAXIFS(BD!$A$3:$A$5001,BD!$B$3:$B$5001,C$245,BD!$A$3:$A$5001,"&gt;="&amp;$C$7,BD!$A$3:$A$5001,"&lt;="&amp;$B272,BD!$X$3:$X$5001,"&lt;&gt;"))))</f>
        <v/>
      </c>
      <c r="D272" s="54" t="str">
        <f>IF(OR($B272="",$A272&gt;$B$9,D$245=""),"",IF(COUNTIFS(BD!$B$3:$B$5001,D$245,BD!$A$3:$A$5001,"&gt;="&amp;$C$7,BD!$A$3:$A$5001,"&lt;="&amp;$B272,BD!$X$3:$X$5001,"&lt;&gt;")=0,"",SUMIFS(BD!$X$3:$X$5001,BD!$B$3:$B$5001,D$245,BD!$A$3:$A$5001,_xlfn.MAXIFS(BD!$A$3:$A$5001,BD!$B$3:$B$5001,D$245,BD!$A$3:$A$5001,"&gt;="&amp;$C$7,BD!$A$3:$A$5001,"&lt;="&amp;$B272,BD!$X$3:$X$5001,"&lt;&gt;"))))</f>
        <v/>
      </c>
      <c r="E272" s="54" t="str">
        <f>IF(OR($B272="",$A272&gt;$B$9,E$245=""),"",IF(COUNTIFS(BD!$B$3:$B$5001,E$245,BD!$A$3:$A$5001,"&gt;="&amp;$C$7,BD!$A$3:$A$5001,"&lt;="&amp;$B272,BD!$X$3:$X$5001,"&lt;&gt;")=0,"",SUMIFS(BD!$X$3:$X$5001,BD!$B$3:$B$5001,E$245,BD!$A$3:$A$5001,_xlfn.MAXIFS(BD!$A$3:$A$5001,BD!$B$3:$B$5001,E$245,BD!$A$3:$A$5001,"&gt;="&amp;$C$7,BD!$A$3:$A$5001,"&lt;="&amp;$B272,BD!$X$3:$X$5001,"&lt;&gt;"))))</f>
        <v/>
      </c>
      <c r="F272" s="54" t="str">
        <f>IF(OR($B272="",$A272&gt;$B$9,F$245=""),"",IF(COUNTIFS(BD!$B$3:$B$5001,F$245,BD!$A$3:$A$5001,"&gt;="&amp;$C$7,BD!$A$3:$A$5001,"&lt;="&amp;$B272,BD!$X$3:$X$5001,"&lt;&gt;")=0,"",SUMIFS(BD!$X$3:$X$5001,BD!$B$3:$B$5001,F$245,BD!$A$3:$A$5001,_xlfn.MAXIFS(BD!$A$3:$A$5001,BD!$B$3:$B$5001,F$245,BD!$A$3:$A$5001,"&gt;="&amp;$C$7,BD!$A$3:$A$5001,"&lt;="&amp;$B272,BD!$X$3:$X$5001,"&lt;&gt;"))))</f>
        <v/>
      </c>
      <c r="G272" s="54" t="str">
        <f>IF(OR($B272="",$A272&gt;$B$9,G$245=""),"",IF(COUNTIFS(BD!$B$3:$B$5001,G$245,BD!$A$3:$A$5001,"&gt;="&amp;$C$7,BD!$A$3:$A$5001,"&lt;="&amp;$B272,BD!$X$3:$X$5001,"&lt;&gt;")=0,"",SUMIFS(BD!$X$3:$X$5001,BD!$B$3:$B$5001,G$245,BD!$A$3:$A$5001,_xlfn.MAXIFS(BD!$A$3:$A$5001,BD!$B$3:$B$5001,G$245,BD!$A$3:$A$5001,"&gt;="&amp;$C$7,BD!$A$3:$A$5001,"&lt;="&amp;$B272,BD!$X$3:$X$5001,"&lt;&gt;"))))</f>
        <v/>
      </c>
      <c r="H272" s="54" t="str">
        <f>IF(OR($B272="",$A272&gt;$B$9,H$245=""),"",IF(COUNTIFS(BD!$B$3:$B$5001,H$245,BD!$A$3:$A$5001,"&gt;="&amp;$C$7,BD!$A$3:$A$5001,"&lt;="&amp;$B272,BD!$X$3:$X$5001,"&lt;&gt;")=0,"",SUMIFS(BD!$X$3:$X$5001,BD!$B$3:$B$5001,H$245,BD!$A$3:$A$5001,_xlfn.MAXIFS(BD!$A$3:$A$5001,BD!$B$3:$B$5001,H$245,BD!$A$3:$A$5001,"&gt;="&amp;$C$7,BD!$A$3:$A$5001,"&lt;="&amp;$B272,BD!$X$3:$X$5001,"&lt;&gt;"))))</f>
        <v/>
      </c>
      <c r="I272" s="54" t="str">
        <f>IF(OR($B272="",$A272&gt;$B$9,I$245=""),"",IF(COUNTIFS(BD!$B$3:$B$5001,I$245,BD!$A$3:$A$5001,"&gt;="&amp;$C$7,BD!$A$3:$A$5001,"&lt;="&amp;$B272,BD!$X$3:$X$5001,"&lt;&gt;")=0,"",SUMIFS(BD!$X$3:$X$5001,BD!$B$3:$B$5001,I$245,BD!$A$3:$A$5001,_xlfn.MAXIFS(BD!$A$3:$A$5001,BD!$B$3:$B$5001,I$245,BD!$A$3:$A$5001,"&gt;="&amp;$C$7,BD!$A$3:$A$5001,"&lt;="&amp;$B272,BD!$X$3:$X$5001,"&lt;&gt;"))))</f>
        <v/>
      </c>
      <c r="J272" s="54" t="str">
        <f>IF(OR($B272="",$A272&gt;$B$9,J$245=""),"",IF(COUNTIFS(BD!$B$3:$B$5001,J$245,BD!$A$3:$A$5001,"&gt;="&amp;$C$7,BD!$A$3:$A$5001,"&lt;="&amp;$B272,BD!$X$3:$X$5001,"&lt;&gt;")=0,"",SUMIFS(BD!$X$3:$X$5001,BD!$B$3:$B$5001,J$245,BD!$A$3:$A$5001,_xlfn.MAXIFS(BD!$A$3:$A$5001,BD!$B$3:$B$5001,J$245,BD!$A$3:$A$5001,"&gt;="&amp;$C$7,BD!$A$3:$A$5001,"&lt;="&amp;$B272,BD!$X$3:$X$5001,"&lt;&gt;"))))</f>
        <v/>
      </c>
      <c r="K272" s="54" t="str">
        <f>IF(OR($B272="",$A272&gt;$B$9,K$245=""),"",IF(COUNTIFS(BD!$B$3:$B$5001,K$245,BD!$A$3:$A$5001,"&gt;="&amp;$C$7,BD!$A$3:$A$5001,"&lt;="&amp;$B272,BD!$X$3:$X$5001,"&lt;&gt;")=0,"",SUMIFS(BD!$X$3:$X$5001,BD!$B$3:$B$5001,K$245,BD!$A$3:$A$5001,_xlfn.MAXIFS(BD!$A$3:$A$5001,BD!$B$3:$B$5001,K$245,BD!$A$3:$A$5001,"&gt;="&amp;$C$7,BD!$A$3:$A$5001,"&lt;="&amp;$B272,BD!$X$3:$X$5001,"&lt;&gt;"))))</f>
        <v/>
      </c>
      <c r="L272" s="54" t="str">
        <f>IF(OR($B272="",$A272&gt;$B$9,L$245=""),"",IF(COUNTIFS(BD!$B$3:$B$5001,L$245,BD!$A$3:$A$5001,"&gt;="&amp;$C$7,BD!$A$3:$A$5001,"&lt;="&amp;$B272,BD!$X$3:$X$5001,"&lt;&gt;")=0,"",SUMIFS(BD!$X$3:$X$5001,BD!$B$3:$B$5001,L$245,BD!$A$3:$A$5001,_xlfn.MAXIFS(BD!$A$3:$A$5001,BD!$B$3:$B$5001,L$245,BD!$A$3:$A$5001,"&gt;="&amp;$C$7,BD!$A$3:$A$5001,"&lt;="&amp;$B272,BD!$X$3:$X$5001,"&lt;&gt;"))))</f>
        <v/>
      </c>
      <c r="M272" s="54" t="str">
        <f>IF(OR($B272="",$A272&gt;$B$9,M$245=""),"",IF(COUNTIFS(BD!$B$3:$B$5001,M$245,BD!$A$3:$A$5001,"&gt;="&amp;$C$7,BD!$A$3:$A$5001,"&lt;="&amp;$B272,BD!$X$3:$X$5001,"&lt;&gt;")=0,"",SUMIFS(BD!$X$3:$X$5001,BD!$B$3:$B$5001,M$245,BD!$A$3:$A$5001,_xlfn.MAXIFS(BD!$A$3:$A$5001,BD!$B$3:$B$5001,M$245,BD!$A$3:$A$5001,"&gt;="&amp;$C$7,BD!$A$3:$A$5001,"&lt;="&amp;$B272,BD!$X$3:$X$5001,"&lt;&gt;"))))</f>
        <v/>
      </c>
      <c r="N272" s="54" t="str">
        <f>IF(OR($B272="",$A272&gt;$B$9,N$245=""),"",IF(COUNTIFS(BD!$B$3:$B$5001,N$245,BD!$A$3:$A$5001,"&gt;="&amp;$C$7,BD!$A$3:$A$5001,"&lt;="&amp;$B272,BD!$X$3:$X$5001,"&lt;&gt;")=0,"",SUMIFS(BD!$X$3:$X$5001,BD!$B$3:$B$5001,N$245,BD!$A$3:$A$5001,_xlfn.MAXIFS(BD!$A$3:$A$5001,BD!$B$3:$B$5001,N$245,BD!$A$3:$A$5001,"&gt;="&amp;$C$7,BD!$A$3:$A$5001,"&lt;="&amp;$B272,BD!$X$3:$X$5001,"&lt;&gt;"))))</f>
        <v/>
      </c>
      <c r="O272" s="54" t="str">
        <f>IF(OR($B272="",$A272&gt;$B$9,O$245=""),"",IF(COUNTIFS(BD!$B$3:$B$5001,O$245,BD!$A$3:$A$5001,"&gt;="&amp;$C$7,BD!$A$3:$A$5001,"&lt;="&amp;$B272,BD!$X$3:$X$5001,"&lt;&gt;")=0,"",SUMIFS(BD!$X$3:$X$5001,BD!$B$3:$B$5001,O$245,BD!$A$3:$A$5001,_xlfn.MAXIFS(BD!$A$3:$A$5001,BD!$B$3:$B$5001,O$245,BD!$A$3:$A$5001,"&gt;="&amp;$C$7,BD!$A$3:$A$5001,"&lt;="&amp;$B272,BD!$X$3:$X$5001,"&lt;&gt;"))))</f>
        <v/>
      </c>
      <c r="P272" s="54" t="str">
        <f>IF(OR($B272="",$A272&gt;$B$9,P$245=""),"",IF(COUNTIFS(BD!$B$3:$B$5001,P$245,BD!$A$3:$A$5001,"&gt;="&amp;$C$7,BD!$A$3:$A$5001,"&lt;="&amp;$B272,BD!$X$3:$X$5001,"&lt;&gt;")=0,"",SUMIFS(BD!$X$3:$X$5001,BD!$B$3:$B$5001,P$245,BD!$A$3:$A$5001,_xlfn.MAXIFS(BD!$A$3:$A$5001,BD!$B$3:$B$5001,P$245,BD!$A$3:$A$5001,"&gt;="&amp;$C$7,BD!$A$3:$A$5001,"&lt;="&amp;$B272,BD!$X$3:$X$5001,"&lt;&gt;"))))</f>
        <v/>
      </c>
      <c r="Q272" s="54" t="str">
        <f>IF(OR($B272="",$A272&gt;$B$9,Q$245=""),"",IF(COUNTIFS(BD!$B$3:$B$5001,Q$245,BD!$A$3:$A$5001,"&gt;="&amp;$C$7,BD!$A$3:$A$5001,"&lt;="&amp;$B272,BD!$X$3:$X$5001,"&lt;&gt;")=0,"",SUMIFS(BD!$X$3:$X$5001,BD!$B$3:$B$5001,Q$245,BD!$A$3:$A$5001,_xlfn.MAXIFS(BD!$A$3:$A$5001,BD!$B$3:$B$5001,Q$245,BD!$A$3:$A$5001,"&gt;="&amp;$C$7,BD!$A$3:$A$5001,"&lt;="&amp;$B272,BD!$X$3:$X$5001,"&lt;&gt;"))))</f>
        <v/>
      </c>
      <c r="R272" s="54" t="str">
        <f>IF(OR($B272="",$A272&gt;$B$9,R$245=""),"",IF(COUNTIFS(BD!$B$3:$B$5001,R$245,BD!$A$3:$A$5001,"&gt;="&amp;$C$7,BD!$A$3:$A$5001,"&lt;="&amp;$B272,BD!$X$3:$X$5001,"&lt;&gt;")=0,"",SUMIFS(BD!$X$3:$X$5001,BD!$B$3:$B$5001,R$245,BD!$A$3:$A$5001,_xlfn.MAXIFS(BD!$A$3:$A$5001,BD!$B$3:$B$5001,R$245,BD!$A$3:$A$5001,"&gt;="&amp;$C$7,BD!$A$3:$A$5001,"&lt;="&amp;$B272,BD!$X$3:$X$5001,"&lt;&gt;"))))</f>
        <v/>
      </c>
      <c r="S272" s="54" t="str">
        <f>IF(OR($B272="",$A272&gt;$B$9,S$245=""),"",IF(COUNTIFS(BD!$B$3:$B$5001,S$245,BD!$A$3:$A$5001,"&gt;="&amp;$C$7,BD!$A$3:$A$5001,"&lt;="&amp;$B272,BD!$X$3:$X$5001,"&lt;&gt;")=0,"",SUMIFS(BD!$X$3:$X$5001,BD!$B$3:$B$5001,S$245,BD!$A$3:$A$5001,_xlfn.MAXIFS(BD!$A$3:$A$5001,BD!$B$3:$B$5001,S$245,BD!$A$3:$A$5001,"&gt;="&amp;$C$7,BD!$A$3:$A$5001,"&lt;="&amp;$B272,BD!$X$3:$X$5001,"&lt;&gt;"))))</f>
        <v/>
      </c>
      <c r="T272" s="54" t="str">
        <f>IF(OR($B272="",$A272&gt;$B$9,T$245=""),"",IF(COUNTIFS(BD!$B$3:$B$5001,T$245,BD!$A$3:$A$5001,"&gt;="&amp;$C$7,BD!$A$3:$A$5001,"&lt;="&amp;$B272,BD!$X$3:$X$5001,"&lt;&gt;")=0,"",SUMIFS(BD!$X$3:$X$5001,BD!$B$3:$B$5001,T$245,BD!$A$3:$A$5001,_xlfn.MAXIFS(BD!$A$3:$A$5001,BD!$B$3:$B$5001,T$245,BD!$A$3:$A$5001,"&gt;="&amp;$C$7,BD!$A$3:$A$5001,"&lt;="&amp;$B272,BD!$X$3:$X$5001,"&lt;&gt;"))))</f>
        <v/>
      </c>
      <c r="U272" s="54" t="str">
        <f>IF(OR($B272="",$A272&gt;$B$9,U$245=""),"",IF(COUNTIFS(BD!$B$3:$B$5001,U$245,BD!$A$3:$A$5001,"&gt;="&amp;$C$7,BD!$A$3:$A$5001,"&lt;="&amp;$B272,BD!$X$3:$X$5001,"&lt;&gt;")=0,"",SUMIFS(BD!$X$3:$X$5001,BD!$B$3:$B$5001,U$245,BD!$A$3:$A$5001,_xlfn.MAXIFS(BD!$A$3:$A$5001,BD!$B$3:$B$5001,U$245,BD!$A$3:$A$5001,"&gt;="&amp;$C$7,BD!$A$3:$A$5001,"&lt;="&amp;$B272,BD!$X$3:$X$5001,"&lt;&gt;"))))</f>
        <v/>
      </c>
      <c r="V272" s="54" t="str">
        <f>IF(OR($B272="",$A272&gt;$B$9,V$245=""),"",IF(COUNTIFS(BD!$B$3:$B$5001,V$245,BD!$A$3:$A$5001,"&gt;="&amp;$C$7,BD!$A$3:$A$5001,"&lt;="&amp;$B272,BD!$X$3:$X$5001,"&lt;&gt;")=0,"",SUMIFS(BD!$X$3:$X$5001,BD!$B$3:$B$5001,V$245,BD!$A$3:$A$5001,_xlfn.MAXIFS(BD!$A$3:$A$5001,BD!$B$3:$B$5001,V$245,BD!$A$3:$A$5001,"&gt;="&amp;$C$7,BD!$A$3:$A$5001,"&lt;="&amp;$B272,BD!$X$3:$X$5001,"&lt;&gt;"))))</f>
        <v/>
      </c>
    </row>
    <row r="273">
      <c r="A273" s="48">
        <v>28</v>
      </c>
      <c r="B273" s="53">
        <f>$B$39</f>
        <v>46323</v>
      </c>
      <c r="C273" s="54" t="str">
        <f>IF(OR($B273="",$A273&gt;$B$9,C$245=""),"",IF(COUNTIFS(BD!$B$3:$B$5001,C$245,BD!$A$3:$A$5001,"&gt;="&amp;$C$7,BD!$A$3:$A$5001,"&lt;="&amp;$B273,BD!$X$3:$X$5001,"&lt;&gt;")=0,"",SUMIFS(BD!$X$3:$X$5001,BD!$B$3:$B$5001,C$245,BD!$A$3:$A$5001,_xlfn.MAXIFS(BD!$A$3:$A$5001,BD!$B$3:$B$5001,C$245,BD!$A$3:$A$5001,"&gt;="&amp;$C$7,BD!$A$3:$A$5001,"&lt;="&amp;$B273,BD!$X$3:$X$5001,"&lt;&gt;"))))</f>
        <v/>
      </c>
      <c r="D273" s="54" t="str">
        <f>IF(OR($B273="",$A273&gt;$B$9,D$245=""),"",IF(COUNTIFS(BD!$B$3:$B$5001,D$245,BD!$A$3:$A$5001,"&gt;="&amp;$C$7,BD!$A$3:$A$5001,"&lt;="&amp;$B273,BD!$X$3:$X$5001,"&lt;&gt;")=0,"",SUMIFS(BD!$X$3:$X$5001,BD!$B$3:$B$5001,D$245,BD!$A$3:$A$5001,_xlfn.MAXIFS(BD!$A$3:$A$5001,BD!$B$3:$B$5001,D$245,BD!$A$3:$A$5001,"&gt;="&amp;$C$7,BD!$A$3:$A$5001,"&lt;="&amp;$B273,BD!$X$3:$X$5001,"&lt;&gt;"))))</f>
        <v/>
      </c>
      <c r="E273" s="54" t="str">
        <f>IF(OR($B273="",$A273&gt;$B$9,E$245=""),"",IF(COUNTIFS(BD!$B$3:$B$5001,E$245,BD!$A$3:$A$5001,"&gt;="&amp;$C$7,BD!$A$3:$A$5001,"&lt;="&amp;$B273,BD!$X$3:$X$5001,"&lt;&gt;")=0,"",SUMIFS(BD!$X$3:$X$5001,BD!$B$3:$B$5001,E$245,BD!$A$3:$A$5001,_xlfn.MAXIFS(BD!$A$3:$A$5001,BD!$B$3:$B$5001,E$245,BD!$A$3:$A$5001,"&gt;="&amp;$C$7,BD!$A$3:$A$5001,"&lt;="&amp;$B273,BD!$X$3:$X$5001,"&lt;&gt;"))))</f>
        <v/>
      </c>
      <c r="F273" s="54" t="str">
        <f>IF(OR($B273="",$A273&gt;$B$9,F$245=""),"",IF(COUNTIFS(BD!$B$3:$B$5001,F$245,BD!$A$3:$A$5001,"&gt;="&amp;$C$7,BD!$A$3:$A$5001,"&lt;="&amp;$B273,BD!$X$3:$X$5001,"&lt;&gt;")=0,"",SUMIFS(BD!$X$3:$X$5001,BD!$B$3:$B$5001,F$245,BD!$A$3:$A$5001,_xlfn.MAXIFS(BD!$A$3:$A$5001,BD!$B$3:$B$5001,F$245,BD!$A$3:$A$5001,"&gt;="&amp;$C$7,BD!$A$3:$A$5001,"&lt;="&amp;$B273,BD!$X$3:$X$5001,"&lt;&gt;"))))</f>
        <v/>
      </c>
      <c r="G273" s="54" t="str">
        <f>IF(OR($B273="",$A273&gt;$B$9,G$245=""),"",IF(COUNTIFS(BD!$B$3:$B$5001,G$245,BD!$A$3:$A$5001,"&gt;="&amp;$C$7,BD!$A$3:$A$5001,"&lt;="&amp;$B273,BD!$X$3:$X$5001,"&lt;&gt;")=0,"",SUMIFS(BD!$X$3:$X$5001,BD!$B$3:$B$5001,G$245,BD!$A$3:$A$5001,_xlfn.MAXIFS(BD!$A$3:$A$5001,BD!$B$3:$B$5001,G$245,BD!$A$3:$A$5001,"&gt;="&amp;$C$7,BD!$A$3:$A$5001,"&lt;="&amp;$B273,BD!$X$3:$X$5001,"&lt;&gt;"))))</f>
        <v/>
      </c>
      <c r="H273" s="54" t="str">
        <f>IF(OR($B273="",$A273&gt;$B$9,H$245=""),"",IF(COUNTIFS(BD!$B$3:$B$5001,H$245,BD!$A$3:$A$5001,"&gt;="&amp;$C$7,BD!$A$3:$A$5001,"&lt;="&amp;$B273,BD!$X$3:$X$5001,"&lt;&gt;")=0,"",SUMIFS(BD!$X$3:$X$5001,BD!$B$3:$B$5001,H$245,BD!$A$3:$A$5001,_xlfn.MAXIFS(BD!$A$3:$A$5001,BD!$B$3:$B$5001,H$245,BD!$A$3:$A$5001,"&gt;="&amp;$C$7,BD!$A$3:$A$5001,"&lt;="&amp;$B273,BD!$X$3:$X$5001,"&lt;&gt;"))))</f>
        <v/>
      </c>
      <c r="I273" s="54" t="str">
        <f>IF(OR($B273="",$A273&gt;$B$9,I$245=""),"",IF(COUNTIFS(BD!$B$3:$B$5001,I$245,BD!$A$3:$A$5001,"&gt;="&amp;$C$7,BD!$A$3:$A$5001,"&lt;="&amp;$B273,BD!$X$3:$X$5001,"&lt;&gt;")=0,"",SUMIFS(BD!$X$3:$X$5001,BD!$B$3:$B$5001,I$245,BD!$A$3:$A$5001,_xlfn.MAXIFS(BD!$A$3:$A$5001,BD!$B$3:$B$5001,I$245,BD!$A$3:$A$5001,"&gt;="&amp;$C$7,BD!$A$3:$A$5001,"&lt;="&amp;$B273,BD!$X$3:$X$5001,"&lt;&gt;"))))</f>
        <v/>
      </c>
      <c r="J273" s="54" t="str">
        <f>IF(OR($B273="",$A273&gt;$B$9,J$245=""),"",IF(COUNTIFS(BD!$B$3:$B$5001,J$245,BD!$A$3:$A$5001,"&gt;="&amp;$C$7,BD!$A$3:$A$5001,"&lt;="&amp;$B273,BD!$X$3:$X$5001,"&lt;&gt;")=0,"",SUMIFS(BD!$X$3:$X$5001,BD!$B$3:$B$5001,J$245,BD!$A$3:$A$5001,_xlfn.MAXIFS(BD!$A$3:$A$5001,BD!$B$3:$B$5001,J$245,BD!$A$3:$A$5001,"&gt;="&amp;$C$7,BD!$A$3:$A$5001,"&lt;="&amp;$B273,BD!$X$3:$X$5001,"&lt;&gt;"))))</f>
        <v/>
      </c>
      <c r="K273" s="54" t="str">
        <f>IF(OR($B273="",$A273&gt;$B$9,K$245=""),"",IF(COUNTIFS(BD!$B$3:$B$5001,K$245,BD!$A$3:$A$5001,"&gt;="&amp;$C$7,BD!$A$3:$A$5001,"&lt;="&amp;$B273,BD!$X$3:$X$5001,"&lt;&gt;")=0,"",SUMIFS(BD!$X$3:$X$5001,BD!$B$3:$B$5001,K$245,BD!$A$3:$A$5001,_xlfn.MAXIFS(BD!$A$3:$A$5001,BD!$B$3:$B$5001,K$245,BD!$A$3:$A$5001,"&gt;="&amp;$C$7,BD!$A$3:$A$5001,"&lt;="&amp;$B273,BD!$X$3:$X$5001,"&lt;&gt;"))))</f>
        <v/>
      </c>
      <c r="L273" s="54" t="str">
        <f>IF(OR($B273="",$A273&gt;$B$9,L$245=""),"",IF(COUNTIFS(BD!$B$3:$B$5001,L$245,BD!$A$3:$A$5001,"&gt;="&amp;$C$7,BD!$A$3:$A$5001,"&lt;="&amp;$B273,BD!$X$3:$X$5001,"&lt;&gt;")=0,"",SUMIFS(BD!$X$3:$X$5001,BD!$B$3:$B$5001,L$245,BD!$A$3:$A$5001,_xlfn.MAXIFS(BD!$A$3:$A$5001,BD!$B$3:$B$5001,L$245,BD!$A$3:$A$5001,"&gt;="&amp;$C$7,BD!$A$3:$A$5001,"&lt;="&amp;$B273,BD!$X$3:$X$5001,"&lt;&gt;"))))</f>
        <v/>
      </c>
      <c r="M273" s="54" t="str">
        <f>IF(OR($B273="",$A273&gt;$B$9,M$245=""),"",IF(COUNTIFS(BD!$B$3:$B$5001,M$245,BD!$A$3:$A$5001,"&gt;="&amp;$C$7,BD!$A$3:$A$5001,"&lt;="&amp;$B273,BD!$X$3:$X$5001,"&lt;&gt;")=0,"",SUMIFS(BD!$X$3:$X$5001,BD!$B$3:$B$5001,M$245,BD!$A$3:$A$5001,_xlfn.MAXIFS(BD!$A$3:$A$5001,BD!$B$3:$B$5001,M$245,BD!$A$3:$A$5001,"&gt;="&amp;$C$7,BD!$A$3:$A$5001,"&lt;="&amp;$B273,BD!$X$3:$X$5001,"&lt;&gt;"))))</f>
        <v/>
      </c>
      <c r="N273" s="54" t="str">
        <f>IF(OR($B273="",$A273&gt;$B$9,N$245=""),"",IF(COUNTIFS(BD!$B$3:$B$5001,N$245,BD!$A$3:$A$5001,"&gt;="&amp;$C$7,BD!$A$3:$A$5001,"&lt;="&amp;$B273,BD!$X$3:$X$5001,"&lt;&gt;")=0,"",SUMIFS(BD!$X$3:$X$5001,BD!$B$3:$B$5001,N$245,BD!$A$3:$A$5001,_xlfn.MAXIFS(BD!$A$3:$A$5001,BD!$B$3:$B$5001,N$245,BD!$A$3:$A$5001,"&gt;="&amp;$C$7,BD!$A$3:$A$5001,"&lt;="&amp;$B273,BD!$X$3:$X$5001,"&lt;&gt;"))))</f>
        <v/>
      </c>
      <c r="O273" s="54" t="str">
        <f>IF(OR($B273="",$A273&gt;$B$9,O$245=""),"",IF(COUNTIFS(BD!$B$3:$B$5001,O$245,BD!$A$3:$A$5001,"&gt;="&amp;$C$7,BD!$A$3:$A$5001,"&lt;="&amp;$B273,BD!$X$3:$X$5001,"&lt;&gt;")=0,"",SUMIFS(BD!$X$3:$X$5001,BD!$B$3:$B$5001,O$245,BD!$A$3:$A$5001,_xlfn.MAXIFS(BD!$A$3:$A$5001,BD!$B$3:$B$5001,O$245,BD!$A$3:$A$5001,"&gt;="&amp;$C$7,BD!$A$3:$A$5001,"&lt;="&amp;$B273,BD!$X$3:$X$5001,"&lt;&gt;"))))</f>
        <v/>
      </c>
      <c r="P273" s="54" t="str">
        <f>IF(OR($B273="",$A273&gt;$B$9,P$245=""),"",IF(COUNTIFS(BD!$B$3:$B$5001,P$245,BD!$A$3:$A$5001,"&gt;="&amp;$C$7,BD!$A$3:$A$5001,"&lt;="&amp;$B273,BD!$X$3:$X$5001,"&lt;&gt;")=0,"",SUMIFS(BD!$X$3:$X$5001,BD!$B$3:$B$5001,P$245,BD!$A$3:$A$5001,_xlfn.MAXIFS(BD!$A$3:$A$5001,BD!$B$3:$B$5001,P$245,BD!$A$3:$A$5001,"&gt;="&amp;$C$7,BD!$A$3:$A$5001,"&lt;="&amp;$B273,BD!$X$3:$X$5001,"&lt;&gt;"))))</f>
        <v/>
      </c>
      <c r="Q273" s="54" t="str">
        <f>IF(OR($B273="",$A273&gt;$B$9,Q$245=""),"",IF(COUNTIFS(BD!$B$3:$B$5001,Q$245,BD!$A$3:$A$5001,"&gt;="&amp;$C$7,BD!$A$3:$A$5001,"&lt;="&amp;$B273,BD!$X$3:$X$5001,"&lt;&gt;")=0,"",SUMIFS(BD!$X$3:$X$5001,BD!$B$3:$B$5001,Q$245,BD!$A$3:$A$5001,_xlfn.MAXIFS(BD!$A$3:$A$5001,BD!$B$3:$B$5001,Q$245,BD!$A$3:$A$5001,"&gt;="&amp;$C$7,BD!$A$3:$A$5001,"&lt;="&amp;$B273,BD!$X$3:$X$5001,"&lt;&gt;"))))</f>
        <v/>
      </c>
      <c r="R273" s="54" t="str">
        <f>IF(OR($B273="",$A273&gt;$B$9,R$245=""),"",IF(COUNTIFS(BD!$B$3:$B$5001,R$245,BD!$A$3:$A$5001,"&gt;="&amp;$C$7,BD!$A$3:$A$5001,"&lt;="&amp;$B273,BD!$X$3:$X$5001,"&lt;&gt;")=0,"",SUMIFS(BD!$X$3:$X$5001,BD!$B$3:$B$5001,R$245,BD!$A$3:$A$5001,_xlfn.MAXIFS(BD!$A$3:$A$5001,BD!$B$3:$B$5001,R$245,BD!$A$3:$A$5001,"&gt;="&amp;$C$7,BD!$A$3:$A$5001,"&lt;="&amp;$B273,BD!$X$3:$X$5001,"&lt;&gt;"))))</f>
        <v/>
      </c>
      <c r="S273" s="54" t="str">
        <f>IF(OR($B273="",$A273&gt;$B$9,S$245=""),"",IF(COUNTIFS(BD!$B$3:$B$5001,S$245,BD!$A$3:$A$5001,"&gt;="&amp;$C$7,BD!$A$3:$A$5001,"&lt;="&amp;$B273,BD!$X$3:$X$5001,"&lt;&gt;")=0,"",SUMIFS(BD!$X$3:$X$5001,BD!$B$3:$B$5001,S$245,BD!$A$3:$A$5001,_xlfn.MAXIFS(BD!$A$3:$A$5001,BD!$B$3:$B$5001,S$245,BD!$A$3:$A$5001,"&gt;="&amp;$C$7,BD!$A$3:$A$5001,"&lt;="&amp;$B273,BD!$X$3:$X$5001,"&lt;&gt;"))))</f>
        <v/>
      </c>
      <c r="T273" s="54" t="str">
        <f>IF(OR($B273="",$A273&gt;$B$9,T$245=""),"",IF(COUNTIFS(BD!$B$3:$B$5001,T$245,BD!$A$3:$A$5001,"&gt;="&amp;$C$7,BD!$A$3:$A$5001,"&lt;="&amp;$B273,BD!$X$3:$X$5001,"&lt;&gt;")=0,"",SUMIFS(BD!$X$3:$X$5001,BD!$B$3:$B$5001,T$245,BD!$A$3:$A$5001,_xlfn.MAXIFS(BD!$A$3:$A$5001,BD!$B$3:$B$5001,T$245,BD!$A$3:$A$5001,"&gt;="&amp;$C$7,BD!$A$3:$A$5001,"&lt;="&amp;$B273,BD!$X$3:$X$5001,"&lt;&gt;"))))</f>
        <v/>
      </c>
      <c r="U273" s="54" t="str">
        <f>IF(OR($B273="",$A273&gt;$B$9,U$245=""),"",IF(COUNTIFS(BD!$B$3:$B$5001,U$245,BD!$A$3:$A$5001,"&gt;="&amp;$C$7,BD!$A$3:$A$5001,"&lt;="&amp;$B273,BD!$X$3:$X$5001,"&lt;&gt;")=0,"",SUMIFS(BD!$X$3:$X$5001,BD!$B$3:$B$5001,U$245,BD!$A$3:$A$5001,_xlfn.MAXIFS(BD!$A$3:$A$5001,BD!$B$3:$B$5001,U$245,BD!$A$3:$A$5001,"&gt;="&amp;$C$7,BD!$A$3:$A$5001,"&lt;="&amp;$B273,BD!$X$3:$X$5001,"&lt;&gt;"))))</f>
        <v/>
      </c>
      <c r="V273" s="54" t="str">
        <f>IF(OR($B273="",$A273&gt;$B$9,V$245=""),"",IF(COUNTIFS(BD!$B$3:$B$5001,V$245,BD!$A$3:$A$5001,"&gt;="&amp;$C$7,BD!$A$3:$A$5001,"&lt;="&amp;$B273,BD!$X$3:$X$5001,"&lt;&gt;")=0,"",SUMIFS(BD!$X$3:$X$5001,BD!$B$3:$B$5001,V$245,BD!$A$3:$A$5001,_xlfn.MAXIFS(BD!$A$3:$A$5001,BD!$B$3:$B$5001,V$245,BD!$A$3:$A$5001,"&gt;="&amp;$C$7,BD!$A$3:$A$5001,"&lt;="&amp;$B273,BD!$X$3:$X$5001,"&lt;&gt;"))))</f>
        <v/>
      </c>
    </row>
    <row r="274">
      <c r="A274" s="48">
        <v>29</v>
      </c>
      <c r="B274" s="53">
        <f>$B$40</f>
        <v>46324</v>
      </c>
      <c r="C274" s="54" t="str">
        <f>IF(OR($B274="",$A274&gt;$B$9,C$245=""),"",IF(COUNTIFS(BD!$B$3:$B$5001,C$245,BD!$A$3:$A$5001,"&gt;="&amp;$C$7,BD!$A$3:$A$5001,"&lt;="&amp;$B274,BD!$X$3:$X$5001,"&lt;&gt;")=0,"",SUMIFS(BD!$X$3:$X$5001,BD!$B$3:$B$5001,C$245,BD!$A$3:$A$5001,_xlfn.MAXIFS(BD!$A$3:$A$5001,BD!$B$3:$B$5001,C$245,BD!$A$3:$A$5001,"&gt;="&amp;$C$7,BD!$A$3:$A$5001,"&lt;="&amp;$B274,BD!$X$3:$X$5001,"&lt;&gt;"))))</f>
        <v/>
      </c>
      <c r="D274" s="54" t="str">
        <f>IF(OR($B274="",$A274&gt;$B$9,D$245=""),"",IF(COUNTIFS(BD!$B$3:$B$5001,D$245,BD!$A$3:$A$5001,"&gt;="&amp;$C$7,BD!$A$3:$A$5001,"&lt;="&amp;$B274,BD!$X$3:$X$5001,"&lt;&gt;")=0,"",SUMIFS(BD!$X$3:$X$5001,BD!$B$3:$B$5001,D$245,BD!$A$3:$A$5001,_xlfn.MAXIFS(BD!$A$3:$A$5001,BD!$B$3:$B$5001,D$245,BD!$A$3:$A$5001,"&gt;="&amp;$C$7,BD!$A$3:$A$5001,"&lt;="&amp;$B274,BD!$X$3:$X$5001,"&lt;&gt;"))))</f>
        <v/>
      </c>
      <c r="E274" s="54" t="str">
        <f>IF(OR($B274="",$A274&gt;$B$9,E$245=""),"",IF(COUNTIFS(BD!$B$3:$B$5001,E$245,BD!$A$3:$A$5001,"&gt;="&amp;$C$7,BD!$A$3:$A$5001,"&lt;="&amp;$B274,BD!$X$3:$X$5001,"&lt;&gt;")=0,"",SUMIFS(BD!$X$3:$X$5001,BD!$B$3:$B$5001,E$245,BD!$A$3:$A$5001,_xlfn.MAXIFS(BD!$A$3:$A$5001,BD!$B$3:$B$5001,E$245,BD!$A$3:$A$5001,"&gt;="&amp;$C$7,BD!$A$3:$A$5001,"&lt;="&amp;$B274,BD!$X$3:$X$5001,"&lt;&gt;"))))</f>
        <v/>
      </c>
      <c r="F274" s="54" t="str">
        <f>IF(OR($B274="",$A274&gt;$B$9,F$245=""),"",IF(COUNTIFS(BD!$B$3:$B$5001,F$245,BD!$A$3:$A$5001,"&gt;="&amp;$C$7,BD!$A$3:$A$5001,"&lt;="&amp;$B274,BD!$X$3:$X$5001,"&lt;&gt;")=0,"",SUMIFS(BD!$X$3:$X$5001,BD!$B$3:$B$5001,F$245,BD!$A$3:$A$5001,_xlfn.MAXIFS(BD!$A$3:$A$5001,BD!$B$3:$B$5001,F$245,BD!$A$3:$A$5001,"&gt;="&amp;$C$7,BD!$A$3:$A$5001,"&lt;="&amp;$B274,BD!$X$3:$X$5001,"&lt;&gt;"))))</f>
        <v/>
      </c>
      <c r="G274" s="54" t="str">
        <f>IF(OR($B274="",$A274&gt;$B$9,G$245=""),"",IF(COUNTIFS(BD!$B$3:$B$5001,G$245,BD!$A$3:$A$5001,"&gt;="&amp;$C$7,BD!$A$3:$A$5001,"&lt;="&amp;$B274,BD!$X$3:$X$5001,"&lt;&gt;")=0,"",SUMIFS(BD!$X$3:$X$5001,BD!$B$3:$B$5001,G$245,BD!$A$3:$A$5001,_xlfn.MAXIFS(BD!$A$3:$A$5001,BD!$B$3:$B$5001,G$245,BD!$A$3:$A$5001,"&gt;="&amp;$C$7,BD!$A$3:$A$5001,"&lt;="&amp;$B274,BD!$X$3:$X$5001,"&lt;&gt;"))))</f>
        <v/>
      </c>
      <c r="H274" s="54" t="str">
        <f>IF(OR($B274="",$A274&gt;$B$9,H$245=""),"",IF(COUNTIFS(BD!$B$3:$B$5001,H$245,BD!$A$3:$A$5001,"&gt;="&amp;$C$7,BD!$A$3:$A$5001,"&lt;="&amp;$B274,BD!$X$3:$X$5001,"&lt;&gt;")=0,"",SUMIFS(BD!$X$3:$X$5001,BD!$B$3:$B$5001,H$245,BD!$A$3:$A$5001,_xlfn.MAXIFS(BD!$A$3:$A$5001,BD!$B$3:$B$5001,H$245,BD!$A$3:$A$5001,"&gt;="&amp;$C$7,BD!$A$3:$A$5001,"&lt;="&amp;$B274,BD!$X$3:$X$5001,"&lt;&gt;"))))</f>
        <v/>
      </c>
      <c r="I274" s="54" t="str">
        <f>IF(OR($B274="",$A274&gt;$B$9,I$245=""),"",IF(COUNTIFS(BD!$B$3:$B$5001,I$245,BD!$A$3:$A$5001,"&gt;="&amp;$C$7,BD!$A$3:$A$5001,"&lt;="&amp;$B274,BD!$X$3:$X$5001,"&lt;&gt;")=0,"",SUMIFS(BD!$X$3:$X$5001,BD!$B$3:$B$5001,I$245,BD!$A$3:$A$5001,_xlfn.MAXIFS(BD!$A$3:$A$5001,BD!$B$3:$B$5001,I$245,BD!$A$3:$A$5001,"&gt;="&amp;$C$7,BD!$A$3:$A$5001,"&lt;="&amp;$B274,BD!$X$3:$X$5001,"&lt;&gt;"))))</f>
        <v/>
      </c>
      <c r="J274" s="54" t="str">
        <f>IF(OR($B274="",$A274&gt;$B$9,J$245=""),"",IF(COUNTIFS(BD!$B$3:$B$5001,J$245,BD!$A$3:$A$5001,"&gt;="&amp;$C$7,BD!$A$3:$A$5001,"&lt;="&amp;$B274,BD!$X$3:$X$5001,"&lt;&gt;")=0,"",SUMIFS(BD!$X$3:$X$5001,BD!$B$3:$B$5001,J$245,BD!$A$3:$A$5001,_xlfn.MAXIFS(BD!$A$3:$A$5001,BD!$B$3:$B$5001,J$245,BD!$A$3:$A$5001,"&gt;="&amp;$C$7,BD!$A$3:$A$5001,"&lt;="&amp;$B274,BD!$X$3:$X$5001,"&lt;&gt;"))))</f>
        <v/>
      </c>
      <c r="K274" s="54" t="str">
        <f>IF(OR($B274="",$A274&gt;$B$9,K$245=""),"",IF(COUNTIFS(BD!$B$3:$B$5001,K$245,BD!$A$3:$A$5001,"&gt;="&amp;$C$7,BD!$A$3:$A$5001,"&lt;="&amp;$B274,BD!$X$3:$X$5001,"&lt;&gt;")=0,"",SUMIFS(BD!$X$3:$X$5001,BD!$B$3:$B$5001,K$245,BD!$A$3:$A$5001,_xlfn.MAXIFS(BD!$A$3:$A$5001,BD!$B$3:$B$5001,K$245,BD!$A$3:$A$5001,"&gt;="&amp;$C$7,BD!$A$3:$A$5001,"&lt;="&amp;$B274,BD!$X$3:$X$5001,"&lt;&gt;"))))</f>
        <v/>
      </c>
      <c r="L274" s="54" t="str">
        <f>IF(OR($B274="",$A274&gt;$B$9,L$245=""),"",IF(COUNTIFS(BD!$B$3:$B$5001,L$245,BD!$A$3:$A$5001,"&gt;="&amp;$C$7,BD!$A$3:$A$5001,"&lt;="&amp;$B274,BD!$X$3:$X$5001,"&lt;&gt;")=0,"",SUMIFS(BD!$X$3:$X$5001,BD!$B$3:$B$5001,L$245,BD!$A$3:$A$5001,_xlfn.MAXIFS(BD!$A$3:$A$5001,BD!$B$3:$B$5001,L$245,BD!$A$3:$A$5001,"&gt;="&amp;$C$7,BD!$A$3:$A$5001,"&lt;="&amp;$B274,BD!$X$3:$X$5001,"&lt;&gt;"))))</f>
        <v/>
      </c>
      <c r="M274" s="54" t="str">
        <f>IF(OR($B274="",$A274&gt;$B$9,M$245=""),"",IF(COUNTIFS(BD!$B$3:$B$5001,M$245,BD!$A$3:$A$5001,"&gt;="&amp;$C$7,BD!$A$3:$A$5001,"&lt;="&amp;$B274,BD!$X$3:$X$5001,"&lt;&gt;")=0,"",SUMIFS(BD!$X$3:$X$5001,BD!$B$3:$B$5001,M$245,BD!$A$3:$A$5001,_xlfn.MAXIFS(BD!$A$3:$A$5001,BD!$B$3:$B$5001,M$245,BD!$A$3:$A$5001,"&gt;="&amp;$C$7,BD!$A$3:$A$5001,"&lt;="&amp;$B274,BD!$X$3:$X$5001,"&lt;&gt;"))))</f>
        <v/>
      </c>
      <c r="N274" s="54" t="str">
        <f>IF(OR($B274="",$A274&gt;$B$9,N$245=""),"",IF(COUNTIFS(BD!$B$3:$B$5001,N$245,BD!$A$3:$A$5001,"&gt;="&amp;$C$7,BD!$A$3:$A$5001,"&lt;="&amp;$B274,BD!$X$3:$X$5001,"&lt;&gt;")=0,"",SUMIFS(BD!$X$3:$X$5001,BD!$B$3:$B$5001,N$245,BD!$A$3:$A$5001,_xlfn.MAXIFS(BD!$A$3:$A$5001,BD!$B$3:$B$5001,N$245,BD!$A$3:$A$5001,"&gt;="&amp;$C$7,BD!$A$3:$A$5001,"&lt;="&amp;$B274,BD!$X$3:$X$5001,"&lt;&gt;"))))</f>
        <v/>
      </c>
      <c r="O274" s="54" t="str">
        <f>IF(OR($B274="",$A274&gt;$B$9,O$245=""),"",IF(COUNTIFS(BD!$B$3:$B$5001,O$245,BD!$A$3:$A$5001,"&gt;="&amp;$C$7,BD!$A$3:$A$5001,"&lt;="&amp;$B274,BD!$X$3:$X$5001,"&lt;&gt;")=0,"",SUMIFS(BD!$X$3:$X$5001,BD!$B$3:$B$5001,O$245,BD!$A$3:$A$5001,_xlfn.MAXIFS(BD!$A$3:$A$5001,BD!$B$3:$B$5001,O$245,BD!$A$3:$A$5001,"&gt;="&amp;$C$7,BD!$A$3:$A$5001,"&lt;="&amp;$B274,BD!$X$3:$X$5001,"&lt;&gt;"))))</f>
        <v/>
      </c>
      <c r="P274" s="54" t="str">
        <f>IF(OR($B274="",$A274&gt;$B$9,P$245=""),"",IF(COUNTIFS(BD!$B$3:$B$5001,P$245,BD!$A$3:$A$5001,"&gt;="&amp;$C$7,BD!$A$3:$A$5001,"&lt;="&amp;$B274,BD!$X$3:$X$5001,"&lt;&gt;")=0,"",SUMIFS(BD!$X$3:$X$5001,BD!$B$3:$B$5001,P$245,BD!$A$3:$A$5001,_xlfn.MAXIFS(BD!$A$3:$A$5001,BD!$B$3:$B$5001,P$245,BD!$A$3:$A$5001,"&gt;="&amp;$C$7,BD!$A$3:$A$5001,"&lt;="&amp;$B274,BD!$X$3:$X$5001,"&lt;&gt;"))))</f>
        <v/>
      </c>
      <c r="Q274" s="54" t="str">
        <f>IF(OR($B274="",$A274&gt;$B$9,Q$245=""),"",IF(COUNTIFS(BD!$B$3:$B$5001,Q$245,BD!$A$3:$A$5001,"&gt;="&amp;$C$7,BD!$A$3:$A$5001,"&lt;="&amp;$B274,BD!$X$3:$X$5001,"&lt;&gt;")=0,"",SUMIFS(BD!$X$3:$X$5001,BD!$B$3:$B$5001,Q$245,BD!$A$3:$A$5001,_xlfn.MAXIFS(BD!$A$3:$A$5001,BD!$B$3:$B$5001,Q$245,BD!$A$3:$A$5001,"&gt;="&amp;$C$7,BD!$A$3:$A$5001,"&lt;="&amp;$B274,BD!$X$3:$X$5001,"&lt;&gt;"))))</f>
        <v/>
      </c>
      <c r="R274" s="54" t="str">
        <f>IF(OR($B274="",$A274&gt;$B$9,R$245=""),"",IF(COUNTIFS(BD!$B$3:$B$5001,R$245,BD!$A$3:$A$5001,"&gt;="&amp;$C$7,BD!$A$3:$A$5001,"&lt;="&amp;$B274,BD!$X$3:$X$5001,"&lt;&gt;")=0,"",SUMIFS(BD!$X$3:$X$5001,BD!$B$3:$B$5001,R$245,BD!$A$3:$A$5001,_xlfn.MAXIFS(BD!$A$3:$A$5001,BD!$B$3:$B$5001,R$245,BD!$A$3:$A$5001,"&gt;="&amp;$C$7,BD!$A$3:$A$5001,"&lt;="&amp;$B274,BD!$X$3:$X$5001,"&lt;&gt;"))))</f>
        <v/>
      </c>
      <c r="S274" s="54" t="str">
        <f>IF(OR($B274="",$A274&gt;$B$9,S$245=""),"",IF(COUNTIFS(BD!$B$3:$B$5001,S$245,BD!$A$3:$A$5001,"&gt;="&amp;$C$7,BD!$A$3:$A$5001,"&lt;="&amp;$B274,BD!$X$3:$X$5001,"&lt;&gt;")=0,"",SUMIFS(BD!$X$3:$X$5001,BD!$B$3:$B$5001,S$245,BD!$A$3:$A$5001,_xlfn.MAXIFS(BD!$A$3:$A$5001,BD!$B$3:$B$5001,S$245,BD!$A$3:$A$5001,"&gt;="&amp;$C$7,BD!$A$3:$A$5001,"&lt;="&amp;$B274,BD!$X$3:$X$5001,"&lt;&gt;"))))</f>
        <v/>
      </c>
      <c r="T274" s="54" t="str">
        <f>IF(OR($B274="",$A274&gt;$B$9,T$245=""),"",IF(COUNTIFS(BD!$B$3:$B$5001,T$245,BD!$A$3:$A$5001,"&gt;="&amp;$C$7,BD!$A$3:$A$5001,"&lt;="&amp;$B274,BD!$X$3:$X$5001,"&lt;&gt;")=0,"",SUMIFS(BD!$X$3:$X$5001,BD!$B$3:$B$5001,T$245,BD!$A$3:$A$5001,_xlfn.MAXIFS(BD!$A$3:$A$5001,BD!$B$3:$B$5001,T$245,BD!$A$3:$A$5001,"&gt;="&amp;$C$7,BD!$A$3:$A$5001,"&lt;="&amp;$B274,BD!$X$3:$X$5001,"&lt;&gt;"))))</f>
        <v/>
      </c>
      <c r="U274" s="54" t="str">
        <f>IF(OR($B274="",$A274&gt;$B$9,U$245=""),"",IF(COUNTIFS(BD!$B$3:$B$5001,U$245,BD!$A$3:$A$5001,"&gt;="&amp;$C$7,BD!$A$3:$A$5001,"&lt;="&amp;$B274,BD!$X$3:$X$5001,"&lt;&gt;")=0,"",SUMIFS(BD!$X$3:$X$5001,BD!$B$3:$B$5001,U$245,BD!$A$3:$A$5001,_xlfn.MAXIFS(BD!$A$3:$A$5001,BD!$B$3:$B$5001,U$245,BD!$A$3:$A$5001,"&gt;="&amp;$C$7,BD!$A$3:$A$5001,"&lt;="&amp;$B274,BD!$X$3:$X$5001,"&lt;&gt;"))))</f>
        <v/>
      </c>
      <c r="V274" s="54" t="str">
        <f>IF(OR($B274="",$A274&gt;$B$9,V$245=""),"",IF(COUNTIFS(BD!$B$3:$B$5001,V$245,BD!$A$3:$A$5001,"&gt;="&amp;$C$7,BD!$A$3:$A$5001,"&lt;="&amp;$B274,BD!$X$3:$X$5001,"&lt;&gt;")=0,"",SUMIFS(BD!$X$3:$X$5001,BD!$B$3:$B$5001,V$245,BD!$A$3:$A$5001,_xlfn.MAXIFS(BD!$A$3:$A$5001,BD!$B$3:$B$5001,V$245,BD!$A$3:$A$5001,"&gt;="&amp;$C$7,BD!$A$3:$A$5001,"&lt;="&amp;$B274,BD!$X$3:$X$5001,"&lt;&gt;"))))</f>
        <v/>
      </c>
    </row>
    <row r="275">
      <c r="A275" s="48">
        <v>30</v>
      </c>
      <c r="B275" s="53">
        <f>$B$41</f>
        <v>46325</v>
      </c>
      <c r="C275" s="54" t="str">
        <f>IF(OR($B275="",$A275&gt;$B$9,C$245=""),"",IF(COUNTIFS(BD!$B$3:$B$5001,C$245,BD!$A$3:$A$5001,"&gt;="&amp;$C$7,BD!$A$3:$A$5001,"&lt;="&amp;$B275,BD!$X$3:$X$5001,"&lt;&gt;")=0,"",SUMIFS(BD!$X$3:$X$5001,BD!$B$3:$B$5001,C$245,BD!$A$3:$A$5001,_xlfn.MAXIFS(BD!$A$3:$A$5001,BD!$B$3:$B$5001,C$245,BD!$A$3:$A$5001,"&gt;="&amp;$C$7,BD!$A$3:$A$5001,"&lt;="&amp;$B275,BD!$X$3:$X$5001,"&lt;&gt;"))))</f>
        <v/>
      </c>
      <c r="D275" s="54" t="str">
        <f>IF(OR($B275="",$A275&gt;$B$9,D$245=""),"",IF(COUNTIFS(BD!$B$3:$B$5001,D$245,BD!$A$3:$A$5001,"&gt;="&amp;$C$7,BD!$A$3:$A$5001,"&lt;="&amp;$B275,BD!$X$3:$X$5001,"&lt;&gt;")=0,"",SUMIFS(BD!$X$3:$X$5001,BD!$B$3:$B$5001,D$245,BD!$A$3:$A$5001,_xlfn.MAXIFS(BD!$A$3:$A$5001,BD!$B$3:$B$5001,D$245,BD!$A$3:$A$5001,"&gt;="&amp;$C$7,BD!$A$3:$A$5001,"&lt;="&amp;$B275,BD!$X$3:$X$5001,"&lt;&gt;"))))</f>
        <v/>
      </c>
      <c r="E275" s="54" t="str">
        <f>IF(OR($B275="",$A275&gt;$B$9,E$245=""),"",IF(COUNTIFS(BD!$B$3:$B$5001,E$245,BD!$A$3:$A$5001,"&gt;="&amp;$C$7,BD!$A$3:$A$5001,"&lt;="&amp;$B275,BD!$X$3:$X$5001,"&lt;&gt;")=0,"",SUMIFS(BD!$X$3:$X$5001,BD!$B$3:$B$5001,E$245,BD!$A$3:$A$5001,_xlfn.MAXIFS(BD!$A$3:$A$5001,BD!$B$3:$B$5001,E$245,BD!$A$3:$A$5001,"&gt;="&amp;$C$7,BD!$A$3:$A$5001,"&lt;="&amp;$B275,BD!$X$3:$X$5001,"&lt;&gt;"))))</f>
        <v/>
      </c>
      <c r="F275" s="54" t="str">
        <f>IF(OR($B275="",$A275&gt;$B$9,F$245=""),"",IF(COUNTIFS(BD!$B$3:$B$5001,F$245,BD!$A$3:$A$5001,"&gt;="&amp;$C$7,BD!$A$3:$A$5001,"&lt;="&amp;$B275,BD!$X$3:$X$5001,"&lt;&gt;")=0,"",SUMIFS(BD!$X$3:$X$5001,BD!$B$3:$B$5001,F$245,BD!$A$3:$A$5001,_xlfn.MAXIFS(BD!$A$3:$A$5001,BD!$B$3:$B$5001,F$245,BD!$A$3:$A$5001,"&gt;="&amp;$C$7,BD!$A$3:$A$5001,"&lt;="&amp;$B275,BD!$X$3:$X$5001,"&lt;&gt;"))))</f>
        <v/>
      </c>
      <c r="G275" s="54" t="str">
        <f>IF(OR($B275="",$A275&gt;$B$9,G$245=""),"",IF(COUNTIFS(BD!$B$3:$B$5001,G$245,BD!$A$3:$A$5001,"&gt;="&amp;$C$7,BD!$A$3:$A$5001,"&lt;="&amp;$B275,BD!$X$3:$X$5001,"&lt;&gt;")=0,"",SUMIFS(BD!$X$3:$X$5001,BD!$B$3:$B$5001,G$245,BD!$A$3:$A$5001,_xlfn.MAXIFS(BD!$A$3:$A$5001,BD!$B$3:$B$5001,G$245,BD!$A$3:$A$5001,"&gt;="&amp;$C$7,BD!$A$3:$A$5001,"&lt;="&amp;$B275,BD!$X$3:$X$5001,"&lt;&gt;"))))</f>
        <v/>
      </c>
      <c r="H275" s="54" t="str">
        <f>IF(OR($B275="",$A275&gt;$B$9,H$245=""),"",IF(COUNTIFS(BD!$B$3:$B$5001,H$245,BD!$A$3:$A$5001,"&gt;="&amp;$C$7,BD!$A$3:$A$5001,"&lt;="&amp;$B275,BD!$X$3:$X$5001,"&lt;&gt;")=0,"",SUMIFS(BD!$X$3:$X$5001,BD!$B$3:$B$5001,H$245,BD!$A$3:$A$5001,_xlfn.MAXIFS(BD!$A$3:$A$5001,BD!$B$3:$B$5001,H$245,BD!$A$3:$A$5001,"&gt;="&amp;$C$7,BD!$A$3:$A$5001,"&lt;="&amp;$B275,BD!$X$3:$X$5001,"&lt;&gt;"))))</f>
        <v/>
      </c>
      <c r="I275" s="54" t="str">
        <f>IF(OR($B275="",$A275&gt;$B$9,I$245=""),"",IF(COUNTIFS(BD!$B$3:$B$5001,I$245,BD!$A$3:$A$5001,"&gt;="&amp;$C$7,BD!$A$3:$A$5001,"&lt;="&amp;$B275,BD!$X$3:$X$5001,"&lt;&gt;")=0,"",SUMIFS(BD!$X$3:$X$5001,BD!$B$3:$B$5001,I$245,BD!$A$3:$A$5001,_xlfn.MAXIFS(BD!$A$3:$A$5001,BD!$B$3:$B$5001,I$245,BD!$A$3:$A$5001,"&gt;="&amp;$C$7,BD!$A$3:$A$5001,"&lt;="&amp;$B275,BD!$X$3:$X$5001,"&lt;&gt;"))))</f>
        <v/>
      </c>
      <c r="J275" s="54" t="str">
        <f>IF(OR($B275="",$A275&gt;$B$9,J$245=""),"",IF(COUNTIFS(BD!$B$3:$B$5001,J$245,BD!$A$3:$A$5001,"&gt;="&amp;$C$7,BD!$A$3:$A$5001,"&lt;="&amp;$B275,BD!$X$3:$X$5001,"&lt;&gt;")=0,"",SUMIFS(BD!$X$3:$X$5001,BD!$B$3:$B$5001,J$245,BD!$A$3:$A$5001,_xlfn.MAXIFS(BD!$A$3:$A$5001,BD!$B$3:$B$5001,J$245,BD!$A$3:$A$5001,"&gt;="&amp;$C$7,BD!$A$3:$A$5001,"&lt;="&amp;$B275,BD!$X$3:$X$5001,"&lt;&gt;"))))</f>
        <v/>
      </c>
      <c r="K275" s="54" t="str">
        <f>IF(OR($B275="",$A275&gt;$B$9,K$245=""),"",IF(COUNTIFS(BD!$B$3:$B$5001,K$245,BD!$A$3:$A$5001,"&gt;="&amp;$C$7,BD!$A$3:$A$5001,"&lt;="&amp;$B275,BD!$X$3:$X$5001,"&lt;&gt;")=0,"",SUMIFS(BD!$X$3:$X$5001,BD!$B$3:$B$5001,K$245,BD!$A$3:$A$5001,_xlfn.MAXIFS(BD!$A$3:$A$5001,BD!$B$3:$B$5001,K$245,BD!$A$3:$A$5001,"&gt;="&amp;$C$7,BD!$A$3:$A$5001,"&lt;="&amp;$B275,BD!$X$3:$X$5001,"&lt;&gt;"))))</f>
        <v/>
      </c>
      <c r="L275" s="54" t="str">
        <f>IF(OR($B275="",$A275&gt;$B$9,L$245=""),"",IF(COUNTIFS(BD!$B$3:$B$5001,L$245,BD!$A$3:$A$5001,"&gt;="&amp;$C$7,BD!$A$3:$A$5001,"&lt;="&amp;$B275,BD!$X$3:$X$5001,"&lt;&gt;")=0,"",SUMIFS(BD!$X$3:$X$5001,BD!$B$3:$B$5001,L$245,BD!$A$3:$A$5001,_xlfn.MAXIFS(BD!$A$3:$A$5001,BD!$B$3:$B$5001,L$245,BD!$A$3:$A$5001,"&gt;="&amp;$C$7,BD!$A$3:$A$5001,"&lt;="&amp;$B275,BD!$X$3:$X$5001,"&lt;&gt;"))))</f>
        <v/>
      </c>
      <c r="M275" s="54" t="str">
        <f>IF(OR($B275="",$A275&gt;$B$9,M$245=""),"",IF(COUNTIFS(BD!$B$3:$B$5001,M$245,BD!$A$3:$A$5001,"&gt;="&amp;$C$7,BD!$A$3:$A$5001,"&lt;="&amp;$B275,BD!$X$3:$X$5001,"&lt;&gt;")=0,"",SUMIFS(BD!$X$3:$X$5001,BD!$B$3:$B$5001,M$245,BD!$A$3:$A$5001,_xlfn.MAXIFS(BD!$A$3:$A$5001,BD!$B$3:$B$5001,M$245,BD!$A$3:$A$5001,"&gt;="&amp;$C$7,BD!$A$3:$A$5001,"&lt;="&amp;$B275,BD!$X$3:$X$5001,"&lt;&gt;"))))</f>
        <v/>
      </c>
      <c r="N275" s="54" t="str">
        <f>IF(OR($B275="",$A275&gt;$B$9,N$245=""),"",IF(COUNTIFS(BD!$B$3:$B$5001,N$245,BD!$A$3:$A$5001,"&gt;="&amp;$C$7,BD!$A$3:$A$5001,"&lt;="&amp;$B275,BD!$X$3:$X$5001,"&lt;&gt;")=0,"",SUMIFS(BD!$X$3:$X$5001,BD!$B$3:$B$5001,N$245,BD!$A$3:$A$5001,_xlfn.MAXIFS(BD!$A$3:$A$5001,BD!$B$3:$B$5001,N$245,BD!$A$3:$A$5001,"&gt;="&amp;$C$7,BD!$A$3:$A$5001,"&lt;="&amp;$B275,BD!$X$3:$X$5001,"&lt;&gt;"))))</f>
        <v/>
      </c>
      <c r="O275" s="54" t="str">
        <f>IF(OR($B275="",$A275&gt;$B$9,O$245=""),"",IF(COUNTIFS(BD!$B$3:$B$5001,O$245,BD!$A$3:$A$5001,"&gt;="&amp;$C$7,BD!$A$3:$A$5001,"&lt;="&amp;$B275,BD!$X$3:$X$5001,"&lt;&gt;")=0,"",SUMIFS(BD!$X$3:$X$5001,BD!$B$3:$B$5001,O$245,BD!$A$3:$A$5001,_xlfn.MAXIFS(BD!$A$3:$A$5001,BD!$B$3:$B$5001,O$245,BD!$A$3:$A$5001,"&gt;="&amp;$C$7,BD!$A$3:$A$5001,"&lt;="&amp;$B275,BD!$X$3:$X$5001,"&lt;&gt;"))))</f>
        <v/>
      </c>
      <c r="P275" s="54" t="str">
        <f>IF(OR($B275="",$A275&gt;$B$9,P$245=""),"",IF(COUNTIFS(BD!$B$3:$B$5001,P$245,BD!$A$3:$A$5001,"&gt;="&amp;$C$7,BD!$A$3:$A$5001,"&lt;="&amp;$B275,BD!$X$3:$X$5001,"&lt;&gt;")=0,"",SUMIFS(BD!$X$3:$X$5001,BD!$B$3:$B$5001,P$245,BD!$A$3:$A$5001,_xlfn.MAXIFS(BD!$A$3:$A$5001,BD!$B$3:$B$5001,P$245,BD!$A$3:$A$5001,"&gt;="&amp;$C$7,BD!$A$3:$A$5001,"&lt;="&amp;$B275,BD!$X$3:$X$5001,"&lt;&gt;"))))</f>
        <v/>
      </c>
      <c r="Q275" s="54" t="str">
        <f>IF(OR($B275="",$A275&gt;$B$9,Q$245=""),"",IF(COUNTIFS(BD!$B$3:$B$5001,Q$245,BD!$A$3:$A$5001,"&gt;="&amp;$C$7,BD!$A$3:$A$5001,"&lt;="&amp;$B275,BD!$X$3:$X$5001,"&lt;&gt;")=0,"",SUMIFS(BD!$X$3:$X$5001,BD!$B$3:$B$5001,Q$245,BD!$A$3:$A$5001,_xlfn.MAXIFS(BD!$A$3:$A$5001,BD!$B$3:$B$5001,Q$245,BD!$A$3:$A$5001,"&gt;="&amp;$C$7,BD!$A$3:$A$5001,"&lt;="&amp;$B275,BD!$X$3:$X$5001,"&lt;&gt;"))))</f>
        <v/>
      </c>
      <c r="R275" s="54" t="str">
        <f>IF(OR($B275="",$A275&gt;$B$9,R$245=""),"",IF(COUNTIFS(BD!$B$3:$B$5001,R$245,BD!$A$3:$A$5001,"&gt;="&amp;$C$7,BD!$A$3:$A$5001,"&lt;="&amp;$B275,BD!$X$3:$X$5001,"&lt;&gt;")=0,"",SUMIFS(BD!$X$3:$X$5001,BD!$B$3:$B$5001,R$245,BD!$A$3:$A$5001,_xlfn.MAXIFS(BD!$A$3:$A$5001,BD!$B$3:$B$5001,R$245,BD!$A$3:$A$5001,"&gt;="&amp;$C$7,BD!$A$3:$A$5001,"&lt;="&amp;$B275,BD!$X$3:$X$5001,"&lt;&gt;"))))</f>
        <v/>
      </c>
      <c r="S275" s="54" t="str">
        <f>IF(OR($B275="",$A275&gt;$B$9,S$245=""),"",IF(COUNTIFS(BD!$B$3:$B$5001,S$245,BD!$A$3:$A$5001,"&gt;="&amp;$C$7,BD!$A$3:$A$5001,"&lt;="&amp;$B275,BD!$X$3:$X$5001,"&lt;&gt;")=0,"",SUMIFS(BD!$X$3:$X$5001,BD!$B$3:$B$5001,S$245,BD!$A$3:$A$5001,_xlfn.MAXIFS(BD!$A$3:$A$5001,BD!$B$3:$B$5001,S$245,BD!$A$3:$A$5001,"&gt;="&amp;$C$7,BD!$A$3:$A$5001,"&lt;="&amp;$B275,BD!$X$3:$X$5001,"&lt;&gt;"))))</f>
        <v/>
      </c>
      <c r="T275" s="54" t="str">
        <f>IF(OR($B275="",$A275&gt;$B$9,T$245=""),"",IF(COUNTIFS(BD!$B$3:$B$5001,T$245,BD!$A$3:$A$5001,"&gt;="&amp;$C$7,BD!$A$3:$A$5001,"&lt;="&amp;$B275,BD!$X$3:$X$5001,"&lt;&gt;")=0,"",SUMIFS(BD!$X$3:$X$5001,BD!$B$3:$B$5001,T$245,BD!$A$3:$A$5001,_xlfn.MAXIFS(BD!$A$3:$A$5001,BD!$B$3:$B$5001,T$245,BD!$A$3:$A$5001,"&gt;="&amp;$C$7,BD!$A$3:$A$5001,"&lt;="&amp;$B275,BD!$X$3:$X$5001,"&lt;&gt;"))))</f>
        <v/>
      </c>
      <c r="U275" s="54" t="str">
        <f>IF(OR($B275="",$A275&gt;$B$9,U$245=""),"",IF(COUNTIFS(BD!$B$3:$B$5001,U$245,BD!$A$3:$A$5001,"&gt;="&amp;$C$7,BD!$A$3:$A$5001,"&lt;="&amp;$B275,BD!$X$3:$X$5001,"&lt;&gt;")=0,"",SUMIFS(BD!$X$3:$X$5001,BD!$B$3:$B$5001,U$245,BD!$A$3:$A$5001,_xlfn.MAXIFS(BD!$A$3:$A$5001,BD!$B$3:$B$5001,U$245,BD!$A$3:$A$5001,"&gt;="&amp;$C$7,BD!$A$3:$A$5001,"&lt;="&amp;$B275,BD!$X$3:$X$5001,"&lt;&gt;"))))</f>
        <v/>
      </c>
      <c r="V275" s="54" t="str">
        <f>IF(OR($B275="",$A275&gt;$B$9,V$245=""),"",IF(COUNTIFS(BD!$B$3:$B$5001,V$245,BD!$A$3:$A$5001,"&gt;="&amp;$C$7,BD!$A$3:$A$5001,"&lt;="&amp;$B275,BD!$X$3:$X$5001,"&lt;&gt;")=0,"",SUMIFS(BD!$X$3:$X$5001,BD!$B$3:$B$5001,V$245,BD!$A$3:$A$5001,_xlfn.MAXIFS(BD!$A$3:$A$5001,BD!$B$3:$B$5001,V$245,BD!$A$3:$A$5001,"&gt;="&amp;$C$7,BD!$A$3:$A$5001,"&lt;="&amp;$B275,BD!$X$3:$X$5001,"&lt;&gt;"))))</f>
        <v/>
      </c>
    </row>
    <row r="276">
      <c r="A276" s="48">
        <v>31</v>
      </c>
      <c r="B276" s="53">
        <f>$B$42</f>
        <v>46326</v>
      </c>
      <c r="C276" s="54" t="str">
        <f>IF(OR($B276="",$A276&gt;$B$9,C$245=""),"",IF(COUNTIFS(BD!$B$3:$B$5001,C$245,BD!$A$3:$A$5001,"&gt;="&amp;$C$7,BD!$A$3:$A$5001,"&lt;="&amp;$B276,BD!$X$3:$X$5001,"&lt;&gt;")=0,"",SUMIFS(BD!$X$3:$X$5001,BD!$B$3:$B$5001,C$245,BD!$A$3:$A$5001,_xlfn.MAXIFS(BD!$A$3:$A$5001,BD!$B$3:$B$5001,C$245,BD!$A$3:$A$5001,"&gt;="&amp;$C$7,BD!$A$3:$A$5001,"&lt;="&amp;$B276,BD!$X$3:$X$5001,"&lt;&gt;"))))</f>
        <v/>
      </c>
      <c r="D276" s="54" t="str">
        <f>IF(OR($B276="",$A276&gt;$B$9,D$245=""),"",IF(COUNTIFS(BD!$B$3:$B$5001,D$245,BD!$A$3:$A$5001,"&gt;="&amp;$C$7,BD!$A$3:$A$5001,"&lt;="&amp;$B276,BD!$X$3:$X$5001,"&lt;&gt;")=0,"",SUMIFS(BD!$X$3:$X$5001,BD!$B$3:$B$5001,D$245,BD!$A$3:$A$5001,_xlfn.MAXIFS(BD!$A$3:$A$5001,BD!$B$3:$B$5001,D$245,BD!$A$3:$A$5001,"&gt;="&amp;$C$7,BD!$A$3:$A$5001,"&lt;="&amp;$B276,BD!$X$3:$X$5001,"&lt;&gt;"))))</f>
        <v/>
      </c>
      <c r="E276" s="54" t="str">
        <f>IF(OR($B276="",$A276&gt;$B$9,E$245=""),"",IF(COUNTIFS(BD!$B$3:$B$5001,E$245,BD!$A$3:$A$5001,"&gt;="&amp;$C$7,BD!$A$3:$A$5001,"&lt;="&amp;$B276,BD!$X$3:$X$5001,"&lt;&gt;")=0,"",SUMIFS(BD!$X$3:$X$5001,BD!$B$3:$B$5001,E$245,BD!$A$3:$A$5001,_xlfn.MAXIFS(BD!$A$3:$A$5001,BD!$B$3:$B$5001,E$245,BD!$A$3:$A$5001,"&gt;="&amp;$C$7,BD!$A$3:$A$5001,"&lt;="&amp;$B276,BD!$X$3:$X$5001,"&lt;&gt;"))))</f>
        <v/>
      </c>
      <c r="F276" s="54" t="str">
        <f>IF(OR($B276="",$A276&gt;$B$9,F$245=""),"",IF(COUNTIFS(BD!$B$3:$B$5001,F$245,BD!$A$3:$A$5001,"&gt;="&amp;$C$7,BD!$A$3:$A$5001,"&lt;="&amp;$B276,BD!$X$3:$X$5001,"&lt;&gt;")=0,"",SUMIFS(BD!$X$3:$X$5001,BD!$B$3:$B$5001,F$245,BD!$A$3:$A$5001,_xlfn.MAXIFS(BD!$A$3:$A$5001,BD!$B$3:$B$5001,F$245,BD!$A$3:$A$5001,"&gt;="&amp;$C$7,BD!$A$3:$A$5001,"&lt;="&amp;$B276,BD!$X$3:$X$5001,"&lt;&gt;"))))</f>
        <v/>
      </c>
      <c r="G276" s="54" t="str">
        <f>IF(OR($B276="",$A276&gt;$B$9,G$245=""),"",IF(COUNTIFS(BD!$B$3:$B$5001,G$245,BD!$A$3:$A$5001,"&gt;="&amp;$C$7,BD!$A$3:$A$5001,"&lt;="&amp;$B276,BD!$X$3:$X$5001,"&lt;&gt;")=0,"",SUMIFS(BD!$X$3:$X$5001,BD!$B$3:$B$5001,G$245,BD!$A$3:$A$5001,_xlfn.MAXIFS(BD!$A$3:$A$5001,BD!$B$3:$B$5001,G$245,BD!$A$3:$A$5001,"&gt;="&amp;$C$7,BD!$A$3:$A$5001,"&lt;="&amp;$B276,BD!$X$3:$X$5001,"&lt;&gt;"))))</f>
        <v/>
      </c>
      <c r="H276" s="54" t="str">
        <f>IF(OR($B276="",$A276&gt;$B$9,H$245=""),"",IF(COUNTIFS(BD!$B$3:$B$5001,H$245,BD!$A$3:$A$5001,"&gt;="&amp;$C$7,BD!$A$3:$A$5001,"&lt;="&amp;$B276,BD!$X$3:$X$5001,"&lt;&gt;")=0,"",SUMIFS(BD!$X$3:$X$5001,BD!$B$3:$B$5001,H$245,BD!$A$3:$A$5001,_xlfn.MAXIFS(BD!$A$3:$A$5001,BD!$B$3:$B$5001,H$245,BD!$A$3:$A$5001,"&gt;="&amp;$C$7,BD!$A$3:$A$5001,"&lt;="&amp;$B276,BD!$X$3:$X$5001,"&lt;&gt;"))))</f>
        <v/>
      </c>
      <c r="I276" s="54" t="str">
        <f>IF(OR($B276="",$A276&gt;$B$9,I$245=""),"",IF(COUNTIFS(BD!$B$3:$B$5001,I$245,BD!$A$3:$A$5001,"&gt;="&amp;$C$7,BD!$A$3:$A$5001,"&lt;="&amp;$B276,BD!$X$3:$X$5001,"&lt;&gt;")=0,"",SUMIFS(BD!$X$3:$X$5001,BD!$B$3:$B$5001,I$245,BD!$A$3:$A$5001,_xlfn.MAXIFS(BD!$A$3:$A$5001,BD!$B$3:$B$5001,I$245,BD!$A$3:$A$5001,"&gt;="&amp;$C$7,BD!$A$3:$A$5001,"&lt;="&amp;$B276,BD!$X$3:$X$5001,"&lt;&gt;"))))</f>
        <v/>
      </c>
      <c r="J276" s="54" t="str">
        <f>IF(OR($B276="",$A276&gt;$B$9,J$245=""),"",IF(COUNTIFS(BD!$B$3:$B$5001,J$245,BD!$A$3:$A$5001,"&gt;="&amp;$C$7,BD!$A$3:$A$5001,"&lt;="&amp;$B276,BD!$X$3:$X$5001,"&lt;&gt;")=0,"",SUMIFS(BD!$X$3:$X$5001,BD!$B$3:$B$5001,J$245,BD!$A$3:$A$5001,_xlfn.MAXIFS(BD!$A$3:$A$5001,BD!$B$3:$B$5001,J$245,BD!$A$3:$A$5001,"&gt;="&amp;$C$7,BD!$A$3:$A$5001,"&lt;="&amp;$B276,BD!$X$3:$X$5001,"&lt;&gt;"))))</f>
        <v/>
      </c>
      <c r="K276" s="54" t="str">
        <f>IF(OR($B276="",$A276&gt;$B$9,K$245=""),"",IF(COUNTIFS(BD!$B$3:$B$5001,K$245,BD!$A$3:$A$5001,"&gt;="&amp;$C$7,BD!$A$3:$A$5001,"&lt;="&amp;$B276,BD!$X$3:$X$5001,"&lt;&gt;")=0,"",SUMIFS(BD!$X$3:$X$5001,BD!$B$3:$B$5001,K$245,BD!$A$3:$A$5001,_xlfn.MAXIFS(BD!$A$3:$A$5001,BD!$B$3:$B$5001,K$245,BD!$A$3:$A$5001,"&gt;="&amp;$C$7,BD!$A$3:$A$5001,"&lt;="&amp;$B276,BD!$X$3:$X$5001,"&lt;&gt;"))))</f>
        <v/>
      </c>
      <c r="L276" s="54" t="str">
        <f>IF(OR($B276="",$A276&gt;$B$9,L$245=""),"",IF(COUNTIFS(BD!$B$3:$B$5001,L$245,BD!$A$3:$A$5001,"&gt;="&amp;$C$7,BD!$A$3:$A$5001,"&lt;="&amp;$B276,BD!$X$3:$X$5001,"&lt;&gt;")=0,"",SUMIFS(BD!$X$3:$X$5001,BD!$B$3:$B$5001,L$245,BD!$A$3:$A$5001,_xlfn.MAXIFS(BD!$A$3:$A$5001,BD!$B$3:$B$5001,L$245,BD!$A$3:$A$5001,"&gt;="&amp;$C$7,BD!$A$3:$A$5001,"&lt;="&amp;$B276,BD!$X$3:$X$5001,"&lt;&gt;"))))</f>
        <v/>
      </c>
      <c r="M276" s="54" t="str">
        <f>IF(OR($B276="",$A276&gt;$B$9,M$245=""),"",IF(COUNTIFS(BD!$B$3:$B$5001,M$245,BD!$A$3:$A$5001,"&gt;="&amp;$C$7,BD!$A$3:$A$5001,"&lt;="&amp;$B276,BD!$X$3:$X$5001,"&lt;&gt;")=0,"",SUMIFS(BD!$X$3:$X$5001,BD!$B$3:$B$5001,M$245,BD!$A$3:$A$5001,_xlfn.MAXIFS(BD!$A$3:$A$5001,BD!$B$3:$B$5001,M$245,BD!$A$3:$A$5001,"&gt;="&amp;$C$7,BD!$A$3:$A$5001,"&lt;="&amp;$B276,BD!$X$3:$X$5001,"&lt;&gt;"))))</f>
        <v/>
      </c>
      <c r="N276" s="54" t="str">
        <f>IF(OR($B276="",$A276&gt;$B$9,N$245=""),"",IF(COUNTIFS(BD!$B$3:$B$5001,N$245,BD!$A$3:$A$5001,"&gt;="&amp;$C$7,BD!$A$3:$A$5001,"&lt;="&amp;$B276,BD!$X$3:$X$5001,"&lt;&gt;")=0,"",SUMIFS(BD!$X$3:$X$5001,BD!$B$3:$B$5001,N$245,BD!$A$3:$A$5001,_xlfn.MAXIFS(BD!$A$3:$A$5001,BD!$B$3:$B$5001,N$245,BD!$A$3:$A$5001,"&gt;="&amp;$C$7,BD!$A$3:$A$5001,"&lt;="&amp;$B276,BD!$X$3:$X$5001,"&lt;&gt;"))))</f>
        <v/>
      </c>
      <c r="O276" s="54" t="str">
        <f>IF(OR($B276="",$A276&gt;$B$9,O$245=""),"",IF(COUNTIFS(BD!$B$3:$B$5001,O$245,BD!$A$3:$A$5001,"&gt;="&amp;$C$7,BD!$A$3:$A$5001,"&lt;="&amp;$B276,BD!$X$3:$X$5001,"&lt;&gt;")=0,"",SUMIFS(BD!$X$3:$X$5001,BD!$B$3:$B$5001,O$245,BD!$A$3:$A$5001,_xlfn.MAXIFS(BD!$A$3:$A$5001,BD!$B$3:$B$5001,O$245,BD!$A$3:$A$5001,"&gt;="&amp;$C$7,BD!$A$3:$A$5001,"&lt;="&amp;$B276,BD!$X$3:$X$5001,"&lt;&gt;"))))</f>
        <v/>
      </c>
      <c r="P276" s="54" t="str">
        <f>IF(OR($B276="",$A276&gt;$B$9,P$245=""),"",IF(COUNTIFS(BD!$B$3:$B$5001,P$245,BD!$A$3:$A$5001,"&gt;="&amp;$C$7,BD!$A$3:$A$5001,"&lt;="&amp;$B276,BD!$X$3:$X$5001,"&lt;&gt;")=0,"",SUMIFS(BD!$X$3:$X$5001,BD!$B$3:$B$5001,P$245,BD!$A$3:$A$5001,_xlfn.MAXIFS(BD!$A$3:$A$5001,BD!$B$3:$B$5001,P$245,BD!$A$3:$A$5001,"&gt;="&amp;$C$7,BD!$A$3:$A$5001,"&lt;="&amp;$B276,BD!$X$3:$X$5001,"&lt;&gt;"))))</f>
        <v/>
      </c>
      <c r="Q276" s="54" t="str">
        <f>IF(OR($B276="",$A276&gt;$B$9,Q$245=""),"",IF(COUNTIFS(BD!$B$3:$B$5001,Q$245,BD!$A$3:$A$5001,"&gt;="&amp;$C$7,BD!$A$3:$A$5001,"&lt;="&amp;$B276,BD!$X$3:$X$5001,"&lt;&gt;")=0,"",SUMIFS(BD!$X$3:$X$5001,BD!$B$3:$B$5001,Q$245,BD!$A$3:$A$5001,_xlfn.MAXIFS(BD!$A$3:$A$5001,BD!$B$3:$B$5001,Q$245,BD!$A$3:$A$5001,"&gt;="&amp;$C$7,BD!$A$3:$A$5001,"&lt;="&amp;$B276,BD!$X$3:$X$5001,"&lt;&gt;"))))</f>
        <v/>
      </c>
      <c r="R276" s="54" t="str">
        <f>IF(OR($B276="",$A276&gt;$B$9,R$245=""),"",IF(COUNTIFS(BD!$B$3:$B$5001,R$245,BD!$A$3:$A$5001,"&gt;="&amp;$C$7,BD!$A$3:$A$5001,"&lt;="&amp;$B276,BD!$X$3:$X$5001,"&lt;&gt;")=0,"",SUMIFS(BD!$X$3:$X$5001,BD!$B$3:$B$5001,R$245,BD!$A$3:$A$5001,_xlfn.MAXIFS(BD!$A$3:$A$5001,BD!$B$3:$B$5001,R$245,BD!$A$3:$A$5001,"&gt;="&amp;$C$7,BD!$A$3:$A$5001,"&lt;="&amp;$B276,BD!$X$3:$X$5001,"&lt;&gt;"))))</f>
        <v/>
      </c>
      <c r="S276" s="54" t="str">
        <f>IF(OR($B276="",$A276&gt;$B$9,S$245=""),"",IF(COUNTIFS(BD!$B$3:$B$5001,S$245,BD!$A$3:$A$5001,"&gt;="&amp;$C$7,BD!$A$3:$A$5001,"&lt;="&amp;$B276,BD!$X$3:$X$5001,"&lt;&gt;")=0,"",SUMIFS(BD!$X$3:$X$5001,BD!$B$3:$B$5001,S$245,BD!$A$3:$A$5001,_xlfn.MAXIFS(BD!$A$3:$A$5001,BD!$B$3:$B$5001,S$245,BD!$A$3:$A$5001,"&gt;="&amp;$C$7,BD!$A$3:$A$5001,"&lt;="&amp;$B276,BD!$X$3:$X$5001,"&lt;&gt;"))))</f>
        <v/>
      </c>
      <c r="T276" s="54" t="str">
        <f>IF(OR($B276="",$A276&gt;$B$9,T$245=""),"",IF(COUNTIFS(BD!$B$3:$B$5001,T$245,BD!$A$3:$A$5001,"&gt;="&amp;$C$7,BD!$A$3:$A$5001,"&lt;="&amp;$B276,BD!$X$3:$X$5001,"&lt;&gt;")=0,"",SUMIFS(BD!$X$3:$X$5001,BD!$B$3:$B$5001,T$245,BD!$A$3:$A$5001,_xlfn.MAXIFS(BD!$A$3:$A$5001,BD!$B$3:$B$5001,T$245,BD!$A$3:$A$5001,"&gt;="&amp;$C$7,BD!$A$3:$A$5001,"&lt;="&amp;$B276,BD!$X$3:$X$5001,"&lt;&gt;"))))</f>
        <v/>
      </c>
      <c r="U276" s="54" t="str">
        <f>IF(OR($B276="",$A276&gt;$B$9,U$245=""),"",IF(COUNTIFS(BD!$B$3:$B$5001,U$245,BD!$A$3:$A$5001,"&gt;="&amp;$C$7,BD!$A$3:$A$5001,"&lt;="&amp;$B276,BD!$X$3:$X$5001,"&lt;&gt;")=0,"",SUMIFS(BD!$X$3:$X$5001,BD!$B$3:$B$5001,U$245,BD!$A$3:$A$5001,_xlfn.MAXIFS(BD!$A$3:$A$5001,BD!$B$3:$B$5001,U$245,BD!$A$3:$A$5001,"&gt;="&amp;$C$7,BD!$A$3:$A$5001,"&lt;="&amp;$B276,BD!$X$3:$X$5001,"&lt;&gt;"))))</f>
        <v/>
      </c>
      <c r="V276" s="54" t="str">
        <f>IF(OR($B276="",$A276&gt;$B$9,V$245=""),"",IF(COUNTIFS(BD!$B$3:$B$5001,V$245,BD!$A$3:$A$5001,"&gt;="&amp;$C$7,BD!$A$3:$A$5001,"&lt;="&amp;$B276,BD!$X$3:$X$5001,"&lt;&gt;")=0,"",SUMIFS(BD!$X$3:$X$5001,BD!$B$3:$B$5001,V$245,BD!$A$3:$A$5001,_xlfn.MAXIFS(BD!$A$3:$A$5001,BD!$B$3:$B$5001,V$245,BD!$A$3:$A$5001,"&gt;="&amp;$C$7,BD!$A$3:$A$5001,"&lt;="&amp;$B276,BD!$X$3:$X$5001,"&lt;&gt;"))))</f>
        <v/>
      </c>
    </row>
    <row r="277">
      <c r="A277" s="55" t="inlineStr">
        <is>
          <t xml:space="preserve">Mês anterior (último)</t>
        </is>
      </c>
      <c r="C277" s="56" t="str">
        <f>IF(C$245="","",IF(COUNTIFS(BD!$B$3:$B$5001,C$245,BD!$A$3:$A$5001,"&gt;="&amp;$C$8,BD!$A$3:$A$5001,"&lt;="&amp;$D$8,BD!$X$3:$X$5001,"&lt;&gt;")=0,"",SUMIFS(BD!$X$3:$X$5001,BD!$B$3:$B$5001,C$245,BD!$A$3:$A$5001,_xlfn.MAXIFS(BD!$A$3:$A$5001,BD!$B$3:$B$5001,C$245,BD!$A$3:$A$5001,"&gt;="&amp;$C$8,BD!$A$3:$A$5001,"&lt;="&amp;$D$8,BD!$X$3:$X$5001,"&lt;&gt;"))))</f>
        <v/>
      </c>
      <c r="D277" s="56" t="str">
        <f>IF(D$245="","",IF(COUNTIFS(BD!$B$3:$B$5001,D$245,BD!$A$3:$A$5001,"&gt;="&amp;$C$8,BD!$A$3:$A$5001,"&lt;="&amp;$D$8,BD!$X$3:$X$5001,"&lt;&gt;")=0,"",SUMIFS(BD!$X$3:$X$5001,BD!$B$3:$B$5001,D$245,BD!$A$3:$A$5001,_xlfn.MAXIFS(BD!$A$3:$A$5001,BD!$B$3:$B$5001,D$245,BD!$A$3:$A$5001,"&gt;="&amp;$C$8,BD!$A$3:$A$5001,"&lt;="&amp;$D$8,BD!$X$3:$X$5001,"&lt;&gt;"))))</f>
        <v/>
      </c>
      <c r="E277" s="56" t="str">
        <f>IF(E$245="","",IF(COUNTIFS(BD!$B$3:$B$5001,E$245,BD!$A$3:$A$5001,"&gt;="&amp;$C$8,BD!$A$3:$A$5001,"&lt;="&amp;$D$8,BD!$X$3:$X$5001,"&lt;&gt;")=0,"",SUMIFS(BD!$X$3:$X$5001,BD!$B$3:$B$5001,E$245,BD!$A$3:$A$5001,_xlfn.MAXIFS(BD!$A$3:$A$5001,BD!$B$3:$B$5001,E$245,BD!$A$3:$A$5001,"&gt;="&amp;$C$8,BD!$A$3:$A$5001,"&lt;="&amp;$D$8,BD!$X$3:$X$5001,"&lt;&gt;"))))</f>
        <v/>
      </c>
      <c r="F277" s="56" t="str">
        <f>IF(F$245="","",IF(COUNTIFS(BD!$B$3:$B$5001,F$245,BD!$A$3:$A$5001,"&gt;="&amp;$C$8,BD!$A$3:$A$5001,"&lt;="&amp;$D$8,BD!$X$3:$X$5001,"&lt;&gt;")=0,"",SUMIFS(BD!$X$3:$X$5001,BD!$B$3:$B$5001,F$245,BD!$A$3:$A$5001,_xlfn.MAXIFS(BD!$A$3:$A$5001,BD!$B$3:$B$5001,F$245,BD!$A$3:$A$5001,"&gt;="&amp;$C$8,BD!$A$3:$A$5001,"&lt;="&amp;$D$8,BD!$X$3:$X$5001,"&lt;&gt;"))))</f>
        <v/>
      </c>
      <c r="G277" s="56" t="str">
        <f>IF(G$245="","",IF(COUNTIFS(BD!$B$3:$B$5001,G$245,BD!$A$3:$A$5001,"&gt;="&amp;$C$8,BD!$A$3:$A$5001,"&lt;="&amp;$D$8,BD!$X$3:$X$5001,"&lt;&gt;")=0,"",SUMIFS(BD!$X$3:$X$5001,BD!$B$3:$B$5001,G$245,BD!$A$3:$A$5001,_xlfn.MAXIFS(BD!$A$3:$A$5001,BD!$B$3:$B$5001,G$245,BD!$A$3:$A$5001,"&gt;="&amp;$C$8,BD!$A$3:$A$5001,"&lt;="&amp;$D$8,BD!$X$3:$X$5001,"&lt;&gt;"))))</f>
        <v/>
      </c>
      <c r="H277" s="56" t="str">
        <f>IF(H$245="","",IF(COUNTIFS(BD!$B$3:$B$5001,H$245,BD!$A$3:$A$5001,"&gt;="&amp;$C$8,BD!$A$3:$A$5001,"&lt;="&amp;$D$8,BD!$X$3:$X$5001,"&lt;&gt;")=0,"",SUMIFS(BD!$X$3:$X$5001,BD!$B$3:$B$5001,H$245,BD!$A$3:$A$5001,_xlfn.MAXIFS(BD!$A$3:$A$5001,BD!$B$3:$B$5001,H$245,BD!$A$3:$A$5001,"&gt;="&amp;$C$8,BD!$A$3:$A$5001,"&lt;="&amp;$D$8,BD!$X$3:$X$5001,"&lt;&gt;"))))</f>
        <v/>
      </c>
      <c r="I277" s="56" t="str">
        <f>IF(I$245="","",IF(COUNTIFS(BD!$B$3:$B$5001,I$245,BD!$A$3:$A$5001,"&gt;="&amp;$C$8,BD!$A$3:$A$5001,"&lt;="&amp;$D$8,BD!$X$3:$X$5001,"&lt;&gt;")=0,"",SUMIFS(BD!$X$3:$X$5001,BD!$B$3:$B$5001,I$245,BD!$A$3:$A$5001,_xlfn.MAXIFS(BD!$A$3:$A$5001,BD!$B$3:$B$5001,I$245,BD!$A$3:$A$5001,"&gt;="&amp;$C$8,BD!$A$3:$A$5001,"&lt;="&amp;$D$8,BD!$X$3:$X$5001,"&lt;&gt;"))))</f>
        <v/>
      </c>
      <c r="J277" s="56" t="str">
        <f>IF(J$245="","",IF(COUNTIFS(BD!$B$3:$B$5001,J$245,BD!$A$3:$A$5001,"&gt;="&amp;$C$8,BD!$A$3:$A$5001,"&lt;="&amp;$D$8,BD!$X$3:$X$5001,"&lt;&gt;")=0,"",SUMIFS(BD!$X$3:$X$5001,BD!$B$3:$B$5001,J$245,BD!$A$3:$A$5001,_xlfn.MAXIFS(BD!$A$3:$A$5001,BD!$B$3:$B$5001,J$245,BD!$A$3:$A$5001,"&gt;="&amp;$C$8,BD!$A$3:$A$5001,"&lt;="&amp;$D$8,BD!$X$3:$X$5001,"&lt;&gt;"))))</f>
        <v/>
      </c>
      <c r="K277" s="56" t="str">
        <f>IF(K$245="","",IF(COUNTIFS(BD!$B$3:$B$5001,K$245,BD!$A$3:$A$5001,"&gt;="&amp;$C$8,BD!$A$3:$A$5001,"&lt;="&amp;$D$8,BD!$X$3:$X$5001,"&lt;&gt;")=0,"",SUMIFS(BD!$X$3:$X$5001,BD!$B$3:$B$5001,K$245,BD!$A$3:$A$5001,_xlfn.MAXIFS(BD!$A$3:$A$5001,BD!$B$3:$B$5001,K$245,BD!$A$3:$A$5001,"&gt;="&amp;$C$8,BD!$A$3:$A$5001,"&lt;="&amp;$D$8,BD!$X$3:$X$5001,"&lt;&gt;"))))</f>
        <v/>
      </c>
      <c r="L277" s="56" t="str">
        <f>IF(L$245="","",IF(COUNTIFS(BD!$B$3:$B$5001,L$245,BD!$A$3:$A$5001,"&gt;="&amp;$C$8,BD!$A$3:$A$5001,"&lt;="&amp;$D$8,BD!$X$3:$X$5001,"&lt;&gt;")=0,"",SUMIFS(BD!$X$3:$X$5001,BD!$B$3:$B$5001,L$245,BD!$A$3:$A$5001,_xlfn.MAXIFS(BD!$A$3:$A$5001,BD!$B$3:$B$5001,L$245,BD!$A$3:$A$5001,"&gt;="&amp;$C$8,BD!$A$3:$A$5001,"&lt;="&amp;$D$8,BD!$X$3:$X$5001,"&lt;&gt;"))))</f>
        <v/>
      </c>
      <c r="M277" s="56" t="str">
        <f>IF(M$245="","",IF(COUNTIFS(BD!$B$3:$B$5001,M$245,BD!$A$3:$A$5001,"&gt;="&amp;$C$8,BD!$A$3:$A$5001,"&lt;="&amp;$D$8,BD!$X$3:$X$5001,"&lt;&gt;")=0,"",SUMIFS(BD!$X$3:$X$5001,BD!$B$3:$B$5001,M$245,BD!$A$3:$A$5001,_xlfn.MAXIFS(BD!$A$3:$A$5001,BD!$B$3:$B$5001,M$245,BD!$A$3:$A$5001,"&gt;="&amp;$C$8,BD!$A$3:$A$5001,"&lt;="&amp;$D$8,BD!$X$3:$X$5001,"&lt;&gt;"))))</f>
        <v/>
      </c>
      <c r="N277" s="56" t="str">
        <f>IF(N$245="","",IF(COUNTIFS(BD!$B$3:$B$5001,N$245,BD!$A$3:$A$5001,"&gt;="&amp;$C$8,BD!$A$3:$A$5001,"&lt;="&amp;$D$8,BD!$X$3:$X$5001,"&lt;&gt;")=0,"",SUMIFS(BD!$X$3:$X$5001,BD!$B$3:$B$5001,N$245,BD!$A$3:$A$5001,_xlfn.MAXIFS(BD!$A$3:$A$5001,BD!$B$3:$B$5001,N$245,BD!$A$3:$A$5001,"&gt;="&amp;$C$8,BD!$A$3:$A$5001,"&lt;="&amp;$D$8,BD!$X$3:$X$5001,"&lt;&gt;"))))</f>
        <v/>
      </c>
      <c r="O277" s="56" t="str">
        <f>IF(O$245="","",IF(COUNTIFS(BD!$B$3:$B$5001,O$245,BD!$A$3:$A$5001,"&gt;="&amp;$C$8,BD!$A$3:$A$5001,"&lt;="&amp;$D$8,BD!$X$3:$X$5001,"&lt;&gt;")=0,"",SUMIFS(BD!$X$3:$X$5001,BD!$B$3:$B$5001,O$245,BD!$A$3:$A$5001,_xlfn.MAXIFS(BD!$A$3:$A$5001,BD!$B$3:$B$5001,O$245,BD!$A$3:$A$5001,"&gt;="&amp;$C$8,BD!$A$3:$A$5001,"&lt;="&amp;$D$8,BD!$X$3:$X$5001,"&lt;&gt;"))))</f>
        <v/>
      </c>
      <c r="P277" s="56" t="str">
        <f>IF(P$245="","",IF(COUNTIFS(BD!$B$3:$B$5001,P$245,BD!$A$3:$A$5001,"&gt;="&amp;$C$8,BD!$A$3:$A$5001,"&lt;="&amp;$D$8,BD!$X$3:$X$5001,"&lt;&gt;")=0,"",SUMIFS(BD!$X$3:$X$5001,BD!$B$3:$B$5001,P$245,BD!$A$3:$A$5001,_xlfn.MAXIFS(BD!$A$3:$A$5001,BD!$B$3:$B$5001,P$245,BD!$A$3:$A$5001,"&gt;="&amp;$C$8,BD!$A$3:$A$5001,"&lt;="&amp;$D$8,BD!$X$3:$X$5001,"&lt;&gt;"))))</f>
        <v/>
      </c>
      <c r="Q277" s="56" t="str">
        <f>IF(Q$245="","",IF(COUNTIFS(BD!$B$3:$B$5001,Q$245,BD!$A$3:$A$5001,"&gt;="&amp;$C$8,BD!$A$3:$A$5001,"&lt;="&amp;$D$8,BD!$X$3:$X$5001,"&lt;&gt;")=0,"",SUMIFS(BD!$X$3:$X$5001,BD!$B$3:$B$5001,Q$245,BD!$A$3:$A$5001,_xlfn.MAXIFS(BD!$A$3:$A$5001,BD!$B$3:$B$5001,Q$245,BD!$A$3:$A$5001,"&gt;="&amp;$C$8,BD!$A$3:$A$5001,"&lt;="&amp;$D$8,BD!$X$3:$X$5001,"&lt;&gt;"))))</f>
        <v/>
      </c>
      <c r="R277" s="56" t="str">
        <f>IF(R$245="","",IF(COUNTIFS(BD!$B$3:$B$5001,R$245,BD!$A$3:$A$5001,"&gt;="&amp;$C$8,BD!$A$3:$A$5001,"&lt;="&amp;$D$8,BD!$X$3:$X$5001,"&lt;&gt;")=0,"",SUMIFS(BD!$X$3:$X$5001,BD!$B$3:$B$5001,R$245,BD!$A$3:$A$5001,_xlfn.MAXIFS(BD!$A$3:$A$5001,BD!$B$3:$B$5001,R$245,BD!$A$3:$A$5001,"&gt;="&amp;$C$8,BD!$A$3:$A$5001,"&lt;="&amp;$D$8,BD!$X$3:$X$5001,"&lt;&gt;"))))</f>
        <v/>
      </c>
      <c r="S277" s="56" t="str">
        <f>IF(S$245="","",IF(COUNTIFS(BD!$B$3:$B$5001,S$245,BD!$A$3:$A$5001,"&gt;="&amp;$C$8,BD!$A$3:$A$5001,"&lt;="&amp;$D$8,BD!$X$3:$X$5001,"&lt;&gt;")=0,"",SUMIFS(BD!$X$3:$X$5001,BD!$B$3:$B$5001,S$245,BD!$A$3:$A$5001,_xlfn.MAXIFS(BD!$A$3:$A$5001,BD!$B$3:$B$5001,S$245,BD!$A$3:$A$5001,"&gt;="&amp;$C$8,BD!$A$3:$A$5001,"&lt;="&amp;$D$8,BD!$X$3:$X$5001,"&lt;&gt;"))))</f>
        <v/>
      </c>
      <c r="T277" s="56" t="str">
        <f>IF(T$245="","",IF(COUNTIFS(BD!$B$3:$B$5001,T$245,BD!$A$3:$A$5001,"&gt;="&amp;$C$8,BD!$A$3:$A$5001,"&lt;="&amp;$D$8,BD!$X$3:$X$5001,"&lt;&gt;")=0,"",SUMIFS(BD!$X$3:$X$5001,BD!$B$3:$B$5001,T$245,BD!$A$3:$A$5001,_xlfn.MAXIFS(BD!$A$3:$A$5001,BD!$B$3:$B$5001,T$245,BD!$A$3:$A$5001,"&gt;="&amp;$C$8,BD!$A$3:$A$5001,"&lt;="&amp;$D$8,BD!$X$3:$X$5001,"&lt;&gt;"))))</f>
        <v/>
      </c>
      <c r="U277" s="56" t="str">
        <f>IF(U$245="","",IF(COUNTIFS(BD!$B$3:$B$5001,U$245,BD!$A$3:$A$5001,"&gt;="&amp;$C$8,BD!$A$3:$A$5001,"&lt;="&amp;$D$8,BD!$X$3:$X$5001,"&lt;&gt;")=0,"",SUMIFS(BD!$X$3:$X$5001,BD!$B$3:$B$5001,U$245,BD!$A$3:$A$5001,_xlfn.MAXIFS(BD!$A$3:$A$5001,BD!$B$3:$B$5001,U$245,BD!$A$3:$A$5001,"&gt;="&amp;$C$8,BD!$A$3:$A$5001,"&lt;="&amp;$D$8,BD!$X$3:$X$5001,"&lt;&gt;"))))</f>
        <v/>
      </c>
      <c r="V277" s="56" t="str">
        <f>IF(V$245="","",IF(COUNTIFS(BD!$B$3:$B$5001,V$245,BD!$A$3:$A$5001,"&gt;="&amp;$C$8,BD!$A$3:$A$5001,"&lt;="&amp;$D$8,BD!$X$3:$X$5001,"&lt;&gt;")=0,"",SUMIFS(BD!$X$3:$X$5001,BD!$B$3:$B$5001,V$245,BD!$A$3:$A$5001,_xlfn.MAXIFS(BD!$A$3:$A$5001,BD!$B$3:$B$5001,V$245,BD!$A$3:$A$5001,"&gt;="&amp;$C$8,BD!$A$3:$A$5001,"&lt;="&amp;$D$8,BD!$X$3:$X$5001,"&lt;&gt;"))))</f>
        <v/>
      </c>
    </row>
    <row r="278">
      <c r="A278" s="55" t="inlineStr">
        <is>
          <t xml:space="preserve">Depósito</t>
        </is>
      </c>
      <c r="C278" s="48" t="str">
        <f>IF(Config!$C$10="","TPC",Config!$C$10)</f>
        <v>TPC</v>
      </c>
      <c r="D278" s="48" t="str">
        <f>IF(Config!$C$11="","TPC",Config!$C$11)</f>
        <v>TPC</v>
      </c>
      <c r="E278" s="48" t="str">
        <f>IF(Config!$C$12="","TPC",Config!$C$12)</f>
        <v>TPC</v>
      </c>
      <c r="F278" s="48" t="str">
        <f>IF(Config!$C$13="","TPC",Config!$C$13)</f>
        <v>TPC</v>
      </c>
      <c r="G278" s="48" t="str">
        <f>IF(Config!$C$14="","TPC",Config!$C$14)</f>
        <v>TPC</v>
      </c>
      <c r="H278" s="48" t="str">
        <f>IF(Config!$C$15="","TPC",Config!$C$15)</f>
        <v>TPC</v>
      </c>
      <c r="I278" s="48" t="str">
        <f>IF(Config!$C$16="","TPC",Config!$C$16)</f>
        <v>TPC</v>
      </c>
      <c r="J278" s="48" t="str">
        <f>IF(Config!$C$17="","TPC",Config!$C$17)</f>
        <v>TPC</v>
      </c>
      <c r="K278" s="48" t="str">
        <f>IF(Config!$C$18="","TPC",Config!$C$18)</f>
        <v>TPC</v>
      </c>
      <c r="L278" s="48" t="str">
        <f>IF(Config!$C$19="","TPC",Config!$C$19)</f>
        <v>TPC</v>
      </c>
      <c r="M278" s="48" t="str">
        <f>IF(Config!$C$20="","TPC",Config!$C$20)</f>
        <v>TPC</v>
      </c>
      <c r="N278" s="48" t="str">
        <f>IF(Config!$C$21="","TPC",Config!$C$21)</f>
        <v>TPC</v>
      </c>
      <c r="O278" s="48" t="str">
        <f>IF(Config!$C$22="","TPC",Config!$C$22)</f>
        <v>TPC</v>
      </c>
      <c r="P278" s="48" t="str">
        <f>IF(Config!$C$23="","TPC",Config!$C$23)</f>
        <v>TPC</v>
      </c>
      <c r="Q278" s="48" t="str">
        <f>IF(Config!$C$24="","TPC",Config!$C$24)</f>
        <v>TPC</v>
      </c>
      <c r="R278" s="48" t="str">
        <f>IF(Config!$C$25="","TPC",Config!$C$25)</f>
        <v>TPC</v>
      </c>
      <c r="S278" s="48" t="str">
        <f>IF(Config!$C$26="","TPC",Config!$C$26)</f>
        <v>TPC</v>
      </c>
      <c r="T278" s="48" t="str">
        <f>IF(Config!$C$27="","TPC",Config!$C$27)</f>
        <v>TPC</v>
      </c>
      <c r="U278" s="48" t="str">
        <f>IF(Config!$C$28="","TPC",Config!$C$28)</f>
        <v>TPC</v>
      </c>
      <c r="V278" s="48" t="str">
        <f>IF(Config!$C$29="","TPC",Config!$C$29)</f>
        <v>TPC</v>
      </c>
    </row>
    <row r="280">
      <c r="A280" s="47" t="inlineStr">
        <is>
          <t xml:space="preserve">Efetivo Op.</t>
        </is>
      </c>
      <c r="B280" s="47" t="inlineStr">
        <is>
          <t xml:space="preserve">Data</t>
        </is>
      </c>
      <c r="C280" s="47" t="str">
        <f>Config!$B$10&amp;""</f>
        <v>Alpargatas</v>
      </c>
      <c r="D280" s="47" t="str">
        <f>Config!$B$11&amp;""</f>
        <v>Basf</v>
      </c>
      <c r="E280" s="47" t="str">
        <f>Config!$B$12&amp;""</f>
        <v>Beautybiz</v>
      </c>
      <c r="F280" s="47" t="str">
        <f>Config!$B$13&amp;""</f>
        <v>Boticário</v>
      </c>
      <c r="G280" s="47" t="str">
        <f>Config!$B$14&amp;""</f>
        <v>Confiance</v>
      </c>
      <c r="H280" s="47" t="str">
        <f>Config!$B$15&amp;""</f>
        <v>GE Vernova</v>
      </c>
      <c r="I280" s="47" t="str">
        <f>Config!$B$16&amp;""</f>
        <v>Omnilife</v>
      </c>
      <c r="J280" s="47" t="str">
        <f>Config!$B$17&amp;""</f>
        <v>Supply</v>
      </c>
      <c r="K280" s="47" t="str">
        <f>Config!$B$18&amp;""</f>
        <v>Vedacit</v>
      </c>
      <c r="L280" s="47" t="str">
        <f>Config!$B$19&amp;""</f>
        <v>Vestas</v>
      </c>
      <c r="M280" s="47" t="str">
        <f>Config!$B$20&amp;""</f>
        <v/>
      </c>
      <c r="N280" s="47" t="str">
        <f>Config!$B$21&amp;""</f>
        <v/>
      </c>
      <c r="O280" s="47" t="str">
        <f>Config!$B$22&amp;""</f>
        <v/>
      </c>
      <c r="P280" s="47" t="str">
        <f>Config!$B$23&amp;""</f>
        <v/>
      </c>
      <c r="Q280" s="47" t="str">
        <f>Config!$B$24&amp;""</f>
        <v/>
      </c>
      <c r="R280" s="47" t="str">
        <f>Config!$B$25&amp;""</f>
        <v/>
      </c>
      <c r="S280" s="47" t="str">
        <f>Config!$B$26&amp;""</f>
        <v/>
      </c>
      <c r="T280" s="47" t="str">
        <f>Config!$B$27&amp;""</f>
        <v/>
      </c>
      <c r="U280" s="47" t="str">
        <f>Config!$B$28&amp;""</f>
        <v/>
      </c>
      <c r="V280" s="47" t="str">
        <f>Config!$B$29&amp;""</f>
        <v/>
      </c>
    </row>
    <row r="281">
      <c r="A281" s="48">
        <v>1</v>
      </c>
      <c r="B281" s="53">
        <f>$B$12</f>
        <v>46296</v>
      </c>
      <c r="C281" s="54" t="str">
        <f>IF(OR($B281="",$A281&gt;$B$9,C$280=""),"",IF(COUNTIFS(BD!$B$3:$B$5001,C$280,BD!$A$3:$A$5001,"&gt;="&amp;$C$7,BD!$A$3:$A$5001,"&lt;="&amp;$B281,BD!$Z$3:$Z$5001,"&lt;&gt;")=0,"",SUMIFS(BD!$Z$3:$Z$5001,BD!$B$3:$B$5001,C$280,BD!$A$3:$A$5001,_xlfn.MAXIFS(BD!$A$3:$A$5001,BD!$B$3:$B$5001,C$280,BD!$A$3:$A$5001,"&gt;="&amp;$C$7,BD!$A$3:$A$5001,"&lt;="&amp;$B281,BD!$Z$3:$Z$5001,"&lt;&gt;"))))</f>
        <v/>
      </c>
      <c r="D281" s="54" t="str">
        <f>IF(OR($B281="",$A281&gt;$B$9,D$280=""),"",IF(COUNTIFS(BD!$B$3:$B$5001,D$280,BD!$A$3:$A$5001,"&gt;="&amp;$C$7,BD!$A$3:$A$5001,"&lt;="&amp;$B281,BD!$Z$3:$Z$5001,"&lt;&gt;")=0,"",SUMIFS(BD!$Z$3:$Z$5001,BD!$B$3:$B$5001,D$280,BD!$A$3:$A$5001,_xlfn.MAXIFS(BD!$A$3:$A$5001,BD!$B$3:$B$5001,D$280,BD!$A$3:$A$5001,"&gt;="&amp;$C$7,BD!$A$3:$A$5001,"&lt;="&amp;$B281,BD!$Z$3:$Z$5001,"&lt;&gt;"))))</f>
        <v/>
      </c>
      <c r="E281" s="54" t="str">
        <f>IF(OR($B281="",$A281&gt;$B$9,E$280=""),"",IF(COUNTIFS(BD!$B$3:$B$5001,E$280,BD!$A$3:$A$5001,"&gt;="&amp;$C$7,BD!$A$3:$A$5001,"&lt;="&amp;$B281,BD!$Z$3:$Z$5001,"&lt;&gt;")=0,"",SUMIFS(BD!$Z$3:$Z$5001,BD!$B$3:$B$5001,E$280,BD!$A$3:$A$5001,_xlfn.MAXIFS(BD!$A$3:$A$5001,BD!$B$3:$B$5001,E$280,BD!$A$3:$A$5001,"&gt;="&amp;$C$7,BD!$A$3:$A$5001,"&lt;="&amp;$B281,BD!$Z$3:$Z$5001,"&lt;&gt;"))))</f>
        <v/>
      </c>
      <c r="F281" s="54" t="str">
        <f>IF(OR($B281="",$A281&gt;$B$9,F$280=""),"",IF(COUNTIFS(BD!$B$3:$B$5001,F$280,BD!$A$3:$A$5001,"&gt;="&amp;$C$7,BD!$A$3:$A$5001,"&lt;="&amp;$B281,BD!$Z$3:$Z$5001,"&lt;&gt;")=0,"",SUMIFS(BD!$Z$3:$Z$5001,BD!$B$3:$B$5001,F$280,BD!$A$3:$A$5001,_xlfn.MAXIFS(BD!$A$3:$A$5001,BD!$B$3:$B$5001,F$280,BD!$A$3:$A$5001,"&gt;="&amp;$C$7,BD!$A$3:$A$5001,"&lt;="&amp;$B281,BD!$Z$3:$Z$5001,"&lt;&gt;"))))</f>
        <v/>
      </c>
      <c r="G281" s="54" t="str">
        <f>IF(OR($B281="",$A281&gt;$B$9,G$280=""),"",IF(COUNTIFS(BD!$B$3:$B$5001,G$280,BD!$A$3:$A$5001,"&gt;="&amp;$C$7,BD!$A$3:$A$5001,"&lt;="&amp;$B281,BD!$Z$3:$Z$5001,"&lt;&gt;")=0,"",SUMIFS(BD!$Z$3:$Z$5001,BD!$B$3:$B$5001,G$280,BD!$A$3:$A$5001,_xlfn.MAXIFS(BD!$A$3:$A$5001,BD!$B$3:$B$5001,G$280,BD!$A$3:$A$5001,"&gt;="&amp;$C$7,BD!$A$3:$A$5001,"&lt;="&amp;$B281,BD!$Z$3:$Z$5001,"&lt;&gt;"))))</f>
        <v/>
      </c>
      <c r="H281" s="54" t="str">
        <f>IF(OR($B281="",$A281&gt;$B$9,H$280=""),"",IF(COUNTIFS(BD!$B$3:$B$5001,H$280,BD!$A$3:$A$5001,"&gt;="&amp;$C$7,BD!$A$3:$A$5001,"&lt;="&amp;$B281,BD!$Z$3:$Z$5001,"&lt;&gt;")=0,"",SUMIFS(BD!$Z$3:$Z$5001,BD!$B$3:$B$5001,H$280,BD!$A$3:$A$5001,_xlfn.MAXIFS(BD!$A$3:$A$5001,BD!$B$3:$B$5001,H$280,BD!$A$3:$A$5001,"&gt;="&amp;$C$7,BD!$A$3:$A$5001,"&lt;="&amp;$B281,BD!$Z$3:$Z$5001,"&lt;&gt;"))))</f>
        <v/>
      </c>
      <c r="I281" s="54" t="str">
        <f>IF(OR($B281="",$A281&gt;$B$9,I$280=""),"",IF(COUNTIFS(BD!$B$3:$B$5001,I$280,BD!$A$3:$A$5001,"&gt;="&amp;$C$7,BD!$A$3:$A$5001,"&lt;="&amp;$B281,BD!$Z$3:$Z$5001,"&lt;&gt;")=0,"",SUMIFS(BD!$Z$3:$Z$5001,BD!$B$3:$B$5001,I$280,BD!$A$3:$A$5001,_xlfn.MAXIFS(BD!$A$3:$A$5001,BD!$B$3:$B$5001,I$280,BD!$A$3:$A$5001,"&gt;="&amp;$C$7,BD!$A$3:$A$5001,"&lt;="&amp;$B281,BD!$Z$3:$Z$5001,"&lt;&gt;"))))</f>
        <v/>
      </c>
      <c r="J281" s="54" t="str">
        <f>IF(OR($B281="",$A281&gt;$B$9,J$280=""),"",IF(COUNTIFS(BD!$B$3:$B$5001,J$280,BD!$A$3:$A$5001,"&gt;="&amp;$C$7,BD!$A$3:$A$5001,"&lt;="&amp;$B281,BD!$Z$3:$Z$5001,"&lt;&gt;")=0,"",SUMIFS(BD!$Z$3:$Z$5001,BD!$B$3:$B$5001,J$280,BD!$A$3:$A$5001,_xlfn.MAXIFS(BD!$A$3:$A$5001,BD!$B$3:$B$5001,J$280,BD!$A$3:$A$5001,"&gt;="&amp;$C$7,BD!$A$3:$A$5001,"&lt;="&amp;$B281,BD!$Z$3:$Z$5001,"&lt;&gt;"))))</f>
        <v/>
      </c>
      <c r="K281" s="54" t="str">
        <f>IF(OR($B281="",$A281&gt;$B$9,K$280=""),"",IF(COUNTIFS(BD!$B$3:$B$5001,K$280,BD!$A$3:$A$5001,"&gt;="&amp;$C$7,BD!$A$3:$A$5001,"&lt;="&amp;$B281,BD!$Z$3:$Z$5001,"&lt;&gt;")=0,"",SUMIFS(BD!$Z$3:$Z$5001,BD!$B$3:$B$5001,K$280,BD!$A$3:$A$5001,_xlfn.MAXIFS(BD!$A$3:$A$5001,BD!$B$3:$B$5001,K$280,BD!$A$3:$A$5001,"&gt;="&amp;$C$7,BD!$A$3:$A$5001,"&lt;="&amp;$B281,BD!$Z$3:$Z$5001,"&lt;&gt;"))))</f>
        <v/>
      </c>
      <c r="L281" s="54" t="str">
        <f>IF(OR($B281="",$A281&gt;$B$9,L$280=""),"",IF(COUNTIFS(BD!$B$3:$B$5001,L$280,BD!$A$3:$A$5001,"&gt;="&amp;$C$7,BD!$A$3:$A$5001,"&lt;="&amp;$B281,BD!$Z$3:$Z$5001,"&lt;&gt;")=0,"",SUMIFS(BD!$Z$3:$Z$5001,BD!$B$3:$B$5001,L$280,BD!$A$3:$A$5001,_xlfn.MAXIFS(BD!$A$3:$A$5001,BD!$B$3:$B$5001,L$280,BD!$A$3:$A$5001,"&gt;="&amp;$C$7,BD!$A$3:$A$5001,"&lt;="&amp;$B281,BD!$Z$3:$Z$5001,"&lt;&gt;"))))</f>
        <v/>
      </c>
      <c r="M281" s="54" t="str">
        <f>IF(OR($B281="",$A281&gt;$B$9,M$280=""),"",IF(COUNTIFS(BD!$B$3:$B$5001,M$280,BD!$A$3:$A$5001,"&gt;="&amp;$C$7,BD!$A$3:$A$5001,"&lt;="&amp;$B281,BD!$Z$3:$Z$5001,"&lt;&gt;")=0,"",SUMIFS(BD!$Z$3:$Z$5001,BD!$B$3:$B$5001,M$280,BD!$A$3:$A$5001,_xlfn.MAXIFS(BD!$A$3:$A$5001,BD!$B$3:$B$5001,M$280,BD!$A$3:$A$5001,"&gt;="&amp;$C$7,BD!$A$3:$A$5001,"&lt;="&amp;$B281,BD!$Z$3:$Z$5001,"&lt;&gt;"))))</f>
        <v/>
      </c>
      <c r="N281" s="54" t="str">
        <f>IF(OR($B281="",$A281&gt;$B$9,N$280=""),"",IF(COUNTIFS(BD!$B$3:$B$5001,N$280,BD!$A$3:$A$5001,"&gt;="&amp;$C$7,BD!$A$3:$A$5001,"&lt;="&amp;$B281,BD!$Z$3:$Z$5001,"&lt;&gt;")=0,"",SUMIFS(BD!$Z$3:$Z$5001,BD!$B$3:$B$5001,N$280,BD!$A$3:$A$5001,_xlfn.MAXIFS(BD!$A$3:$A$5001,BD!$B$3:$B$5001,N$280,BD!$A$3:$A$5001,"&gt;="&amp;$C$7,BD!$A$3:$A$5001,"&lt;="&amp;$B281,BD!$Z$3:$Z$5001,"&lt;&gt;"))))</f>
        <v/>
      </c>
      <c r="O281" s="54" t="str">
        <f>IF(OR($B281="",$A281&gt;$B$9,O$280=""),"",IF(COUNTIFS(BD!$B$3:$B$5001,O$280,BD!$A$3:$A$5001,"&gt;="&amp;$C$7,BD!$A$3:$A$5001,"&lt;="&amp;$B281,BD!$Z$3:$Z$5001,"&lt;&gt;")=0,"",SUMIFS(BD!$Z$3:$Z$5001,BD!$B$3:$B$5001,O$280,BD!$A$3:$A$5001,_xlfn.MAXIFS(BD!$A$3:$A$5001,BD!$B$3:$B$5001,O$280,BD!$A$3:$A$5001,"&gt;="&amp;$C$7,BD!$A$3:$A$5001,"&lt;="&amp;$B281,BD!$Z$3:$Z$5001,"&lt;&gt;"))))</f>
        <v/>
      </c>
      <c r="P281" s="54" t="str">
        <f>IF(OR($B281="",$A281&gt;$B$9,P$280=""),"",IF(COUNTIFS(BD!$B$3:$B$5001,P$280,BD!$A$3:$A$5001,"&gt;="&amp;$C$7,BD!$A$3:$A$5001,"&lt;="&amp;$B281,BD!$Z$3:$Z$5001,"&lt;&gt;")=0,"",SUMIFS(BD!$Z$3:$Z$5001,BD!$B$3:$B$5001,P$280,BD!$A$3:$A$5001,_xlfn.MAXIFS(BD!$A$3:$A$5001,BD!$B$3:$B$5001,P$280,BD!$A$3:$A$5001,"&gt;="&amp;$C$7,BD!$A$3:$A$5001,"&lt;="&amp;$B281,BD!$Z$3:$Z$5001,"&lt;&gt;"))))</f>
        <v/>
      </c>
      <c r="Q281" s="54" t="str">
        <f>IF(OR($B281="",$A281&gt;$B$9,Q$280=""),"",IF(COUNTIFS(BD!$B$3:$B$5001,Q$280,BD!$A$3:$A$5001,"&gt;="&amp;$C$7,BD!$A$3:$A$5001,"&lt;="&amp;$B281,BD!$Z$3:$Z$5001,"&lt;&gt;")=0,"",SUMIFS(BD!$Z$3:$Z$5001,BD!$B$3:$B$5001,Q$280,BD!$A$3:$A$5001,_xlfn.MAXIFS(BD!$A$3:$A$5001,BD!$B$3:$B$5001,Q$280,BD!$A$3:$A$5001,"&gt;="&amp;$C$7,BD!$A$3:$A$5001,"&lt;="&amp;$B281,BD!$Z$3:$Z$5001,"&lt;&gt;"))))</f>
        <v/>
      </c>
      <c r="R281" s="54" t="str">
        <f>IF(OR($B281="",$A281&gt;$B$9,R$280=""),"",IF(COUNTIFS(BD!$B$3:$B$5001,R$280,BD!$A$3:$A$5001,"&gt;="&amp;$C$7,BD!$A$3:$A$5001,"&lt;="&amp;$B281,BD!$Z$3:$Z$5001,"&lt;&gt;")=0,"",SUMIFS(BD!$Z$3:$Z$5001,BD!$B$3:$B$5001,R$280,BD!$A$3:$A$5001,_xlfn.MAXIFS(BD!$A$3:$A$5001,BD!$B$3:$B$5001,R$280,BD!$A$3:$A$5001,"&gt;="&amp;$C$7,BD!$A$3:$A$5001,"&lt;="&amp;$B281,BD!$Z$3:$Z$5001,"&lt;&gt;"))))</f>
        <v/>
      </c>
      <c r="S281" s="54" t="str">
        <f>IF(OR($B281="",$A281&gt;$B$9,S$280=""),"",IF(COUNTIFS(BD!$B$3:$B$5001,S$280,BD!$A$3:$A$5001,"&gt;="&amp;$C$7,BD!$A$3:$A$5001,"&lt;="&amp;$B281,BD!$Z$3:$Z$5001,"&lt;&gt;")=0,"",SUMIFS(BD!$Z$3:$Z$5001,BD!$B$3:$B$5001,S$280,BD!$A$3:$A$5001,_xlfn.MAXIFS(BD!$A$3:$A$5001,BD!$B$3:$B$5001,S$280,BD!$A$3:$A$5001,"&gt;="&amp;$C$7,BD!$A$3:$A$5001,"&lt;="&amp;$B281,BD!$Z$3:$Z$5001,"&lt;&gt;"))))</f>
        <v/>
      </c>
      <c r="T281" s="54" t="str">
        <f>IF(OR($B281="",$A281&gt;$B$9,T$280=""),"",IF(COUNTIFS(BD!$B$3:$B$5001,T$280,BD!$A$3:$A$5001,"&gt;="&amp;$C$7,BD!$A$3:$A$5001,"&lt;="&amp;$B281,BD!$Z$3:$Z$5001,"&lt;&gt;")=0,"",SUMIFS(BD!$Z$3:$Z$5001,BD!$B$3:$B$5001,T$280,BD!$A$3:$A$5001,_xlfn.MAXIFS(BD!$A$3:$A$5001,BD!$B$3:$B$5001,T$280,BD!$A$3:$A$5001,"&gt;="&amp;$C$7,BD!$A$3:$A$5001,"&lt;="&amp;$B281,BD!$Z$3:$Z$5001,"&lt;&gt;"))))</f>
        <v/>
      </c>
      <c r="U281" s="54" t="str">
        <f>IF(OR($B281="",$A281&gt;$B$9,U$280=""),"",IF(COUNTIFS(BD!$B$3:$B$5001,U$280,BD!$A$3:$A$5001,"&gt;="&amp;$C$7,BD!$A$3:$A$5001,"&lt;="&amp;$B281,BD!$Z$3:$Z$5001,"&lt;&gt;")=0,"",SUMIFS(BD!$Z$3:$Z$5001,BD!$B$3:$B$5001,U$280,BD!$A$3:$A$5001,_xlfn.MAXIFS(BD!$A$3:$A$5001,BD!$B$3:$B$5001,U$280,BD!$A$3:$A$5001,"&gt;="&amp;$C$7,BD!$A$3:$A$5001,"&lt;="&amp;$B281,BD!$Z$3:$Z$5001,"&lt;&gt;"))))</f>
        <v/>
      </c>
      <c r="V281" s="54" t="str">
        <f>IF(OR($B281="",$A281&gt;$B$9,V$280=""),"",IF(COUNTIFS(BD!$B$3:$B$5001,V$280,BD!$A$3:$A$5001,"&gt;="&amp;$C$7,BD!$A$3:$A$5001,"&lt;="&amp;$B281,BD!$Z$3:$Z$5001,"&lt;&gt;")=0,"",SUMIFS(BD!$Z$3:$Z$5001,BD!$B$3:$B$5001,V$280,BD!$A$3:$A$5001,_xlfn.MAXIFS(BD!$A$3:$A$5001,BD!$B$3:$B$5001,V$280,BD!$A$3:$A$5001,"&gt;="&amp;$C$7,BD!$A$3:$A$5001,"&lt;="&amp;$B281,BD!$Z$3:$Z$5001,"&lt;&gt;"))))</f>
        <v/>
      </c>
    </row>
    <row r="282">
      <c r="A282" s="48">
        <v>2</v>
      </c>
      <c r="B282" s="53">
        <f>$B$13</f>
        <v>46297</v>
      </c>
      <c r="C282" s="54" t="str">
        <f>IF(OR($B282="",$A282&gt;$B$9,C$280=""),"",IF(COUNTIFS(BD!$B$3:$B$5001,C$280,BD!$A$3:$A$5001,"&gt;="&amp;$C$7,BD!$A$3:$A$5001,"&lt;="&amp;$B282,BD!$Z$3:$Z$5001,"&lt;&gt;")=0,"",SUMIFS(BD!$Z$3:$Z$5001,BD!$B$3:$B$5001,C$280,BD!$A$3:$A$5001,_xlfn.MAXIFS(BD!$A$3:$A$5001,BD!$B$3:$B$5001,C$280,BD!$A$3:$A$5001,"&gt;="&amp;$C$7,BD!$A$3:$A$5001,"&lt;="&amp;$B282,BD!$Z$3:$Z$5001,"&lt;&gt;"))))</f>
        <v/>
      </c>
      <c r="D282" s="54" t="str">
        <f>IF(OR($B282="",$A282&gt;$B$9,D$280=""),"",IF(COUNTIFS(BD!$B$3:$B$5001,D$280,BD!$A$3:$A$5001,"&gt;="&amp;$C$7,BD!$A$3:$A$5001,"&lt;="&amp;$B282,BD!$Z$3:$Z$5001,"&lt;&gt;")=0,"",SUMIFS(BD!$Z$3:$Z$5001,BD!$B$3:$B$5001,D$280,BD!$A$3:$A$5001,_xlfn.MAXIFS(BD!$A$3:$A$5001,BD!$B$3:$B$5001,D$280,BD!$A$3:$A$5001,"&gt;="&amp;$C$7,BD!$A$3:$A$5001,"&lt;="&amp;$B282,BD!$Z$3:$Z$5001,"&lt;&gt;"))))</f>
        <v/>
      </c>
      <c r="E282" s="54" t="str">
        <f>IF(OR($B282="",$A282&gt;$B$9,E$280=""),"",IF(COUNTIFS(BD!$B$3:$B$5001,E$280,BD!$A$3:$A$5001,"&gt;="&amp;$C$7,BD!$A$3:$A$5001,"&lt;="&amp;$B282,BD!$Z$3:$Z$5001,"&lt;&gt;")=0,"",SUMIFS(BD!$Z$3:$Z$5001,BD!$B$3:$B$5001,E$280,BD!$A$3:$A$5001,_xlfn.MAXIFS(BD!$A$3:$A$5001,BD!$B$3:$B$5001,E$280,BD!$A$3:$A$5001,"&gt;="&amp;$C$7,BD!$A$3:$A$5001,"&lt;="&amp;$B282,BD!$Z$3:$Z$5001,"&lt;&gt;"))))</f>
        <v/>
      </c>
      <c r="F282" s="54" t="str">
        <f>IF(OR($B282="",$A282&gt;$B$9,F$280=""),"",IF(COUNTIFS(BD!$B$3:$B$5001,F$280,BD!$A$3:$A$5001,"&gt;="&amp;$C$7,BD!$A$3:$A$5001,"&lt;="&amp;$B282,BD!$Z$3:$Z$5001,"&lt;&gt;")=0,"",SUMIFS(BD!$Z$3:$Z$5001,BD!$B$3:$B$5001,F$280,BD!$A$3:$A$5001,_xlfn.MAXIFS(BD!$A$3:$A$5001,BD!$B$3:$B$5001,F$280,BD!$A$3:$A$5001,"&gt;="&amp;$C$7,BD!$A$3:$A$5001,"&lt;="&amp;$B282,BD!$Z$3:$Z$5001,"&lt;&gt;"))))</f>
        <v/>
      </c>
      <c r="G282" s="54" t="str">
        <f>IF(OR($B282="",$A282&gt;$B$9,G$280=""),"",IF(COUNTIFS(BD!$B$3:$B$5001,G$280,BD!$A$3:$A$5001,"&gt;="&amp;$C$7,BD!$A$3:$A$5001,"&lt;="&amp;$B282,BD!$Z$3:$Z$5001,"&lt;&gt;")=0,"",SUMIFS(BD!$Z$3:$Z$5001,BD!$B$3:$B$5001,G$280,BD!$A$3:$A$5001,_xlfn.MAXIFS(BD!$A$3:$A$5001,BD!$B$3:$B$5001,G$280,BD!$A$3:$A$5001,"&gt;="&amp;$C$7,BD!$A$3:$A$5001,"&lt;="&amp;$B282,BD!$Z$3:$Z$5001,"&lt;&gt;"))))</f>
        <v/>
      </c>
      <c r="H282" s="54" t="str">
        <f>IF(OR($B282="",$A282&gt;$B$9,H$280=""),"",IF(COUNTIFS(BD!$B$3:$B$5001,H$280,BD!$A$3:$A$5001,"&gt;="&amp;$C$7,BD!$A$3:$A$5001,"&lt;="&amp;$B282,BD!$Z$3:$Z$5001,"&lt;&gt;")=0,"",SUMIFS(BD!$Z$3:$Z$5001,BD!$B$3:$B$5001,H$280,BD!$A$3:$A$5001,_xlfn.MAXIFS(BD!$A$3:$A$5001,BD!$B$3:$B$5001,H$280,BD!$A$3:$A$5001,"&gt;="&amp;$C$7,BD!$A$3:$A$5001,"&lt;="&amp;$B282,BD!$Z$3:$Z$5001,"&lt;&gt;"))))</f>
        <v/>
      </c>
      <c r="I282" s="54" t="str">
        <f>IF(OR($B282="",$A282&gt;$B$9,I$280=""),"",IF(COUNTIFS(BD!$B$3:$B$5001,I$280,BD!$A$3:$A$5001,"&gt;="&amp;$C$7,BD!$A$3:$A$5001,"&lt;="&amp;$B282,BD!$Z$3:$Z$5001,"&lt;&gt;")=0,"",SUMIFS(BD!$Z$3:$Z$5001,BD!$B$3:$B$5001,I$280,BD!$A$3:$A$5001,_xlfn.MAXIFS(BD!$A$3:$A$5001,BD!$B$3:$B$5001,I$280,BD!$A$3:$A$5001,"&gt;="&amp;$C$7,BD!$A$3:$A$5001,"&lt;="&amp;$B282,BD!$Z$3:$Z$5001,"&lt;&gt;"))))</f>
        <v/>
      </c>
      <c r="J282" s="54" t="str">
        <f>IF(OR($B282="",$A282&gt;$B$9,J$280=""),"",IF(COUNTIFS(BD!$B$3:$B$5001,J$280,BD!$A$3:$A$5001,"&gt;="&amp;$C$7,BD!$A$3:$A$5001,"&lt;="&amp;$B282,BD!$Z$3:$Z$5001,"&lt;&gt;")=0,"",SUMIFS(BD!$Z$3:$Z$5001,BD!$B$3:$B$5001,J$280,BD!$A$3:$A$5001,_xlfn.MAXIFS(BD!$A$3:$A$5001,BD!$B$3:$B$5001,J$280,BD!$A$3:$A$5001,"&gt;="&amp;$C$7,BD!$A$3:$A$5001,"&lt;="&amp;$B282,BD!$Z$3:$Z$5001,"&lt;&gt;"))))</f>
        <v/>
      </c>
      <c r="K282" s="54" t="str">
        <f>IF(OR($B282="",$A282&gt;$B$9,K$280=""),"",IF(COUNTIFS(BD!$B$3:$B$5001,K$280,BD!$A$3:$A$5001,"&gt;="&amp;$C$7,BD!$A$3:$A$5001,"&lt;="&amp;$B282,BD!$Z$3:$Z$5001,"&lt;&gt;")=0,"",SUMIFS(BD!$Z$3:$Z$5001,BD!$B$3:$B$5001,K$280,BD!$A$3:$A$5001,_xlfn.MAXIFS(BD!$A$3:$A$5001,BD!$B$3:$B$5001,K$280,BD!$A$3:$A$5001,"&gt;="&amp;$C$7,BD!$A$3:$A$5001,"&lt;="&amp;$B282,BD!$Z$3:$Z$5001,"&lt;&gt;"))))</f>
        <v/>
      </c>
      <c r="L282" s="54" t="str">
        <f>IF(OR($B282="",$A282&gt;$B$9,L$280=""),"",IF(COUNTIFS(BD!$B$3:$B$5001,L$280,BD!$A$3:$A$5001,"&gt;="&amp;$C$7,BD!$A$3:$A$5001,"&lt;="&amp;$B282,BD!$Z$3:$Z$5001,"&lt;&gt;")=0,"",SUMIFS(BD!$Z$3:$Z$5001,BD!$B$3:$B$5001,L$280,BD!$A$3:$A$5001,_xlfn.MAXIFS(BD!$A$3:$A$5001,BD!$B$3:$B$5001,L$280,BD!$A$3:$A$5001,"&gt;="&amp;$C$7,BD!$A$3:$A$5001,"&lt;="&amp;$B282,BD!$Z$3:$Z$5001,"&lt;&gt;"))))</f>
        <v/>
      </c>
      <c r="M282" s="54" t="str">
        <f>IF(OR($B282="",$A282&gt;$B$9,M$280=""),"",IF(COUNTIFS(BD!$B$3:$B$5001,M$280,BD!$A$3:$A$5001,"&gt;="&amp;$C$7,BD!$A$3:$A$5001,"&lt;="&amp;$B282,BD!$Z$3:$Z$5001,"&lt;&gt;")=0,"",SUMIFS(BD!$Z$3:$Z$5001,BD!$B$3:$B$5001,M$280,BD!$A$3:$A$5001,_xlfn.MAXIFS(BD!$A$3:$A$5001,BD!$B$3:$B$5001,M$280,BD!$A$3:$A$5001,"&gt;="&amp;$C$7,BD!$A$3:$A$5001,"&lt;="&amp;$B282,BD!$Z$3:$Z$5001,"&lt;&gt;"))))</f>
        <v/>
      </c>
      <c r="N282" s="54" t="str">
        <f>IF(OR($B282="",$A282&gt;$B$9,N$280=""),"",IF(COUNTIFS(BD!$B$3:$B$5001,N$280,BD!$A$3:$A$5001,"&gt;="&amp;$C$7,BD!$A$3:$A$5001,"&lt;="&amp;$B282,BD!$Z$3:$Z$5001,"&lt;&gt;")=0,"",SUMIFS(BD!$Z$3:$Z$5001,BD!$B$3:$B$5001,N$280,BD!$A$3:$A$5001,_xlfn.MAXIFS(BD!$A$3:$A$5001,BD!$B$3:$B$5001,N$280,BD!$A$3:$A$5001,"&gt;="&amp;$C$7,BD!$A$3:$A$5001,"&lt;="&amp;$B282,BD!$Z$3:$Z$5001,"&lt;&gt;"))))</f>
        <v/>
      </c>
      <c r="O282" s="54" t="str">
        <f>IF(OR($B282="",$A282&gt;$B$9,O$280=""),"",IF(COUNTIFS(BD!$B$3:$B$5001,O$280,BD!$A$3:$A$5001,"&gt;="&amp;$C$7,BD!$A$3:$A$5001,"&lt;="&amp;$B282,BD!$Z$3:$Z$5001,"&lt;&gt;")=0,"",SUMIFS(BD!$Z$3:$Z$5001,BD!$B$3:$B$5001,O$280,BD!$A$3:$A$5001,_xlfn.MAXIFS(BD!$A$3:$A$5001,BD!$B$3:$B$5001,O$280,BD!$A$3:$A$5001,"&gt;="&amp;$C$7,BD!$A$3:$A$5001,"&lt;="&amp;$B282,BD!$Z$3:$Z$5001,"&lt;&gt;"))))</f>
        <v/>
      </c>
      <c r="P282" s="54" t="str">
        <f>IF(OR($B282="",$A282&gt;$B$9,P$280=""),"",IF(COUNTIFS(BD!$B$3:$B$5001,P$280,BD!$A$3:$A$5001,"&gt;="&amp;$C$7,BD!$A$3:$A$5001,"&lt;="&amp;$B282,BD!$Z$3:$Z$5001,"&lt;&gt;")=0,"",SUMIFS(BD!$Z$3:$Z$5001,BD!$B$3:$B$5001,P$280,BD!$A$3:$A$5001,_xlfn.MAXIFS(BD!$A$3:$A$5001,BD!$B$3:$B$5001,P$280,BD!$A$3:$A$5001,"&gt;="&amp;$C$7,BD!$A$3:$A$5001,"&lt;="&amp;$B282,BD!$Z$3:$Z$5001,"&lt;&gt;"))))</f>
        <v/>
      </c>
      <c r="Q282" s="54" t="str">
        <f>IF(OR($B282="",$A282&gt;$B$9,Q$280=""),"",IF(COUNTIFS(BD!$B$3:$B$5001,Q$280,BD!$A$3:$A$5001,"&gt;="&amp;$C$7,BD!$A$3:$A$5001,"&lt;="&amp;$B282,BD!$Z$3:$Z$5001,"&lt;&gt;")=0,"",SUMIFS(BD!$Z$3:$Z$5001,BD!$B$3:$B$5001,Q$280,BD!$A$3:$A$5001,_xlfn.MAXIFS(BD!$A$3:$A$5001,BD!$B$3:$B$5001,Q$280,BD!$A$3:$A$5001,"&gt;="&amp;$C$7,BD!$A$3:$A$5001,"&lt;="&amp;$B282,BD!$Z$3:$Z$5001,"&lt;&gt;"))))</f>
        <v/>
      </c>
      <c r="R282" s="54" t="str">
        <f>IF(OR($B282="",$A282&gt;$B$9,R$280=""),"",IF(COUNTIFS(BD!$B$3:$B$5001,R$280,BD!$A$3:$A$5001,"&gt;="&amp;$C$7,BD!$A$3:$A$5001,"&lt;="&amp;$B282,BD!$Z$3:$Z$5001,"&lt;&gt;")=0,"",SUMIFS(BD!$Z$3:$Z$5001,BD!$B$3:$B$5001,R$280,BD!$A$3:$A$5001,_xlfn.MAXIFS(BD!$A$3:$A$5001,BD!$B$3:$B$5001,R$280,BD!$A$3:$A$5001,"&gt;="&amp;$C$7,BD!$A$3:$A$5001,"&lt;="&amp;$B282,BD!$Z$3:$Z$5001,"&lt;&gt;"))))</f>
        <v/>
      </c>
      <c r="S282" s="54" t="str">
        <f>IF(OR($B282="",$A282&gt;$B$9,S$280=""),"",IF(COUNTIFS(BD!$B$3:$B$5001,S$280,BD!$A$3:$A$5001,"&gt;="&amp;$C$7,BD!$A$3:$A$5001,"&lt;="&amp;$B282,BD!$Z$3:$Z$5001,"&lt;&gt;")=0,"",SUMIFS(BD!$Z$3:$Z$5001,BD!$B$3:$B$5001,S$280,BD!$A$3:$A$5001,_xlfn.MAXIFS(BD!$A$3:$A$5001,BD!$B$3:$B$5001,S$280,BD!$A$3:$A$5001,"&gt;="&amp;$C$7,BD!$A$3:$A$5001,"&lt;="&amp;$B282,BD!$Z$3:$Z$5001,"&lt;&gt;"))))</f>
        <v/>
      </c>
      <c r="T282" s="54" t="str">
        <f>IF(OR($B282="",$A282&gt;$B$9,T$280=""),"",IF(COUNTIFS(BD!$B$3:$B$5001,T$280,BD!$A$3:$A$5001,"&gt;="&amp;$C$7,BD!$A$3:$A$5001,"&lt;="&amp;$B282,BD!$Z$3:$Z$5001,"&lt;&gt;")=0,"",SUMIFS(BD!$Z$3:$Z$5001,BD!$B$3:$B$5001,T$280,BD!$A$3:$A$5001,_xlfn.MAXIFS(BD!$A$3:$A$5001,BD!$B$3:$B$5001,T$280,BD!$A$3:$A$5001,"&gt;="&amp;$C$7,BD!$A$3:$A$5001,"&lt;="&amp;$B282,BD!$Z$3:$Z$5001,"&lt;&gt;"))))</f>
        <v/>
      </c>
      <c r="U282" s="54" t="str">
        <f>IF(OR($B282="",$A282&gt;$B$9,U$280=""),"",IF(COUNTIFS(BD!$B$3:$B$5001,U$280,BD!$A$3:$A$5001,"&gt;="&amp;$C$7,BD!$A$3:$A$5001,"&lt;="&amp;$B282,BD!$Z$3:$Z$5001,"&lt;&gt;")=0,"",SUMIFS(BD!$Z$3:$Z$5001,BD!$B$3:$B$5001,U$280,BD!$A$3:$A$5001,_xlfn.MAXIFS(BD!$A$3:$A$5001,BD!$B$3:$B$5001,U$280,BD!$A$3:$A$5001,"&gt;="&amp;$C$7,BD!$A$3:$A$5001,"&lt;="&amp;$B282,BD!$Z$3:$Z$5001,"&lt;&gt;"))))</f>
        <v/>
      </c>
      <c r="V282" s="54" t="str">
        <f>IF(OR($B282="",$A282&gt;$B$9,V$280=""),"",IF(COUNTIFS(BD!$B$3:$B$5001,V$280,BD!$A$3:$A$5001,"&gt;="&amp;$C$7,BD!$A$3:$A$5001,"&lt;="&amp;$B282,BD!$Z$3:$Z$5001,"&lt;&gt;")=0,"",SUMIFS(BD!$Z$3:$Z$5001,BD!$B$3:$B$5001,V$280,BD!$A$3:$A$5001,_xlfn.MAXIFS(BD!$A$3:$A$5001,BD!$B$3:$B$5001,V$280,BD!$A$3:$A$5001,"&gt;="&amp;$C$7,BD!$A$3:$A$5001,"&lt;="&amp;$B282,BD!$Z$3:$Z$5001,"&lt;&gt;"))))</f>
        <v/>
      </c>
    </row>
    <row r="283">
      <c r="A283" s="48">
        <v>3</v>
      </c>
      <c r="B283" s="53">
        <f>$B$14</f>
        <v>46298</v>
      </c>
      <c r="C283" s="54" t="str">
        <f>IF(OR($B283="",$A283&gt;$B$9,C$280=""),"",IF(COUNTIFS(BD!$B$3:$B$5001,C$280,BD!$A$3:$A$5001,"&gt;="&amp;$C$7,BD!$A$3:$A$5001,"&lt;="&amp;$B283,BD!$Z$3:$Z$5001,"&lt;&gt;")=0,"",SUMIFS(BD!$Z$3:$Z$5001,BD!$B$3:$B$5001,C$280,BD!$A$3:$A$5001,_xlfn.MAXIFS(BD!$A$3:$A$5001,BD!$B$3:$B$5001,C$280,BD!$A$3:$A$5001,"&gt;="&amp;$C$7,BD!$A$3:$A$5001,"&lt;="&amp;$B283,BD!$Z$3:$Z$5001,"&lt;&gt;"))))</f>
        <v/>
      </c>
      <c r="D283" s="54" t="str">
        <f>IF(OR($B283="",$A283&gt;$B$9,D$280=""),"",IF(COUNTIFS(BD!$B$3:$B$5001,D$280,BD!$A$3:$A$5001,"&gt;="&amp;$C$7,BD!$A$3:$A$5001,"&lt;="&amp;$B283,BD!$Z$3:$Z$5001,"&lt;&gt;")=0,"",SUMIFS(BD!$Z$3:$Z$5001,BD!$B$3:$B$5001,D$280,BD!$A$3:$A$5001,_xlfn.MAXIFS(BD!$A$3:$A$5001,BD!$B$3:$B$5001,D$280,BD!$A$3:$A$5001,"&gt;="&amp;$C$7,BD!$A$3:$A$5001,"&lt;="&amp;$B283,BD!$Z$3:$Z$5001,"&lt;&gt;"))))</f>
        <v/>
      </c>
      <c r="E283" s="54" t="str">
        <f>IF(OR($B283="",$A283&gt;$B$9,E$280=""),"",IF(COUNTIFS(BD!$B$3:$B$5001,E$280,BD!$A$3:$A$5001,"&gt;="&amp;$C$7,BD!$A$3:$A$5001,"&lt;="&amp;$B283,BD!$Z$3:$Z$5001,"&lt;&gt;")=0,"",SUMIFS(BD!$Z$3:$Z$5001,BD!$B$3:$B$5001,E$280,BD!$A$3:$A$5001,_xlfn.MAXIFS(BD!$A$3:$A$5001,BD!$B$3:$B$5001,E$280,BD!$A$3:$A$5001,"&gt;="&amp;$C$7,BD!$A$3:$A$5001,"&lt;="&amp;$B283,BD!$Z$3:$Z$5001,"&lt;&gt;"))))</f>
        <v/>
      </c>
      <c r="F283" s="54" t="str">
        <f>IF(OR($B283="",$A283&gt;$B$9,F$280=""),"",IF(COUNTIFS(BD!$B$3:$B$5001,F$280,BD!$A$3:$A$5001,"&gt;="&amp;$C$7,BD!$A$3:$A$5001,"&lt;="&amp;$B283,BD!$Z$3:$Z$5001,"&lt;&gt;")=0,"",SUMIFS(BD!$Z$3:$Z$5001,BD!$B$3:$B$5001,F$280,BD!$A$3:$A$5001,_xlfn.MAXIFS(BD!$A$3:$A$5001,BD!$B$3:$B$5001,F$280,BD!$A$3:$A$5001,"&gt;="&amp;$C$7,BD!$A$3:$A$5001,"&lt;="&amp;$B283,BD!$Z$3:$Z$5001,"&lt;&gt;"))))</f>
        <v/>
      </c>
      <c r="G283" s="54" t="str">
        <f>IF(OR($B283="",$A283&gt;$B$9,G$280=""),"",IF(COUNTIFS(BD!$B$3:$B$5001,G$280,BD!$A$3:$A$5001,"&gt;="&amp;$C$7,BD!$A$3:$A$5001,"&lt;="&amp;$B283,BD!$Z$3:$Z$5001,"&lt;&gt;")=0,"",SUMIFS(BD!$Z$3:$Z$5001,BD!$B$3:$B$5001,G$280,BD!$A$3:$A$5001,_xlfn.MAXIFS(BD!$A$3:$A$5001,BD!$B$3:$B$5001,G$280,BD!$A$3:$A$5001,"&gt;="&amp;$C$7,BD!$A$3:$A$5001,"&lt;="&amp;$B283,BD!$Z$3:$Z$5001,"&lt;&gt;"))))</f>
        <v/>
      </c>
      <c r="H283" s="54" t="str">
        <f>IF(OR($B283="",$A283&gt;$B$9,H$280=""),"",IF(COUNTIFS(BD!$B$3:$B$5001,H$280,BD!$A$3:$A$5001,"&gt;="&amp;$C$7,BD!$A$3:$A$5001,"&lt;="&amp;$B283,BD!$Z$3:$Z$5001,"&lt;&gt;")=0,"",SUMIFS(BD!$Z$3:$Z$5001,BD!$B$3:$B$5001,H$280,BD!$A$3:$A$5001,_xlfn.MAXIFS(BD!$A$3:$A$5001,BD!$B$3:$B$5001,H$280,BD!$A$3:$A$5001,"&gt;="&amp;$C$7,BD!$A$3:$A$5001,"&lt;="&amp;$B283,BD!$Z$3:$Z$5001,"&lt;&gt;"))))</f>
        <v/>
      </c>
      <c r="I283" s="54" t="str">
        <f>IF(OR($B283="",$A283&gt;$B$9,I$280=""),"",IF(COUNTIFS(BD!$B$3:$B$5001,I$280,BD!$A$3:$A$5001,"&gt;="&amp;$C$7,BD!$A$3:$A$5001,"&lt;="&amp;$B283,BD!$Z$3:$Z$5001,"&lt;&gt;")=0,"",SUMIFS(BD!$Z$3:$Z$5001,BD!$B$3:$B$5001,I$280,BD!$A$3:$A$5001,_xlfn.MAXIFS(BD!$A$3:$A$5001,BD!$B$3:$B$5001,I$280,BD!$A$3:$A$5001,"&gt;="&amp;$C$7,BD!$A$3:$A$5001,"&lt;="&amp;$B283,BD!$Z$3:$Z$5001,"&lt;&gt;"))))</f>
        <v/>
      </c>
      <c r="J283" s="54" t="str">
        <f>IF(OR($B283="",$A283&gt;$B$9,J$280=""),"",IF(COUNTIFS(BD!$B$3:$B$5001,J$280,BD!$A$3:$A$5001,"&gt;="&amp;$C$7,BD!$A$3:$A$5001,"&lt;="&amp;$B283,BD!$Z$3:$Z$5001,"&lt;&gt;")=0,"",SUMIFS(BD!$Z$3:$Z$5001,BD!$B$3:$B$5001,J$280,BD!$A$3:$A$5001,_xlfn.MAXIFS(BD!$A$3:$A$5001,BD!$B$3:$B$5001,J$280,BD!$A$3:$A$5001,"&gt;="&amp;$C$7,BD!$A$3:$A$5001,"&lt;="&amp;$B283,BD!$Z$3:$Z$5001,"&lt;&gt;"))))</f>
        <v/>
      </c>
      <c r="K283" s="54" t="str">
        <f>IF(OR($B283="",$A283&gt;$B$9,K$280=""),"",IF(COUNTIFS(BD!$B$3:$B$5001,K$280,BD!$A$3:$A$5001,"&gt;="&amp;$C$7,BD!$A$3:$A$5001,"&lt;="&amp;$B283,BD!$Z$3:$Z$5001,"&lt;&gt;")=0,"",SUMIFS(BD!$Z$3:$Z$5001,BD!$B$3:$B$5001,K$280,BD!$A$3:$A$5001,_xlfn.MAXIFS(BD!$A$3:$A$5001,BD!$B$3:$B$5001,K$280,BD!$A$3:$A$5001,"&gt;="&amp;$C$7,BD!$A$3:$A$5001,"&lt;="&amp;$B283,BD!$Z$3:$Z$5001,"&lt;&gt;"))))</f>
        <v/>
      </c>
      <c r="L283" s="54" t="str">
        <f>IF(OR($B283="",$A283&gt;$B$9,L$280=""),"",IF(COUNTIFS(BD!$B$3:$B$5001,L$280,BD!$A$3:$A$5001,"&gt;="&amp;$C$7,BD!$A$3:$A$5001,"&lt;="&amp;$B283,BD!$Z$3:$Z$5001,"&lt;&gt;")=0,"",SUMIFS(BD!$Z$3:$Z$5001,BD!$B$3:$B$5001,L$280,BD!$A$3:$A$5001,_xlfn.MAXIFS(BD!$A$3:$A$5001,BD!$B$3:$B$5001,L$280,BD!$A$3:$A$5001,"&gt;="&amp;$C$7,BD!$A$3:$A$5001,"&lt;="&amp;$B283,BD!$Z$3:$Z$5001,"&lt;&gt;"))))</f>
        <v/>
      </c>
      <c r="M283" s="54" t="str">
        <f>IF(OR($B283="",$A283&gt;$B$9,M$280=""),"",IF(COUNTIFS(BD!$B$3:$B$5001,M$280,BD!$A$3:$A$5001,"&gt;="&amp;$C$7,BD!$A$3:$A$5001,"&lt;="&amp;$B283,BD!$Z$3:$Z$5001,"&lt;&gt;")=0,"",SUMIFS(BD!$Z$3:$Z$5001,BD!$B$3:$B$5001,M$280,BD!$A$3:$A$5001,_xlfn.MAXIFS(BD!$A$3:$A$5001,BD!$B$3:$B$5001,M$280,BD!$A$3:$A$5001,"&gt;="&amp;$C$7,BD!$A$3:$A$5001,"&lt;="&amp;$B283,BD!$Z$3:$Z$5001,"&lt;&gt;"))))</f>
        <v/>
      </c>
      <c r="N283" s="54" t="str">
        <f>IF(OR($B283="",$A283&gt;$B$9,N$280=""),"",IF(COUNTIFS(BD!$B$3:$B$5001,N$280,BD!$A$3:$A$5001,"&gt;="&amp;$C$7,BD!$A$3:$A$5001,"&lt;="&amp;$B283,BD!$Z$3:$Z$5001,"&lt;&gt;")=0,"",SUMIFS(BD!$Z$3:$Z$5001,BD!$B$3:$B$5001,N$280,BD!$A$3:$A$5001,_xlfn.MAXIFS(BD!$A$3:$A$5001,BD!$B$3:$B$5001,N$280,BD!$A$3:$A$5001,"&gt;="&amp;$C$7,BD!$A$3:$A$5001,"&lt;="&amp;$B283,BD!$Z$3:$Z$5001,"&lt;&gt;"))))</f>
        <v/>
      </c>
      <c r="O283" s="54" t="str">
        <f>IF(OR($B283="",$A283&gt;$B$9,O$280=""),"",IF(COUNTIFS(BD!$B$3:$B$5001,O$280,BD!$A$3:$A$5001,"&gt;="&amp;$C$7,BD!$A$3:$A$5001,"&lt;="&amp;$B283,BD!$Z$3:$Z$5001,"&lt;&gt;")=0,"",SUMIFS(BD!$Z$3:$Z$5001,BD!$B$3:$B$5001,O$280,BD!$A$3:$A$5001,_xlfn.MAXIFS(BD!$A$3:$A$5001,BD!$B$3:$B$5001,O$280,BD!$A$3:$A$5001,"&gt;="&amp;$C$7,BD!$A$3:$A$5001,"&lt;="&amp;$B283,BD!$Z$3:$Z$5001,"&lt;&gt;"))))</f>
        <v/>
      </c>
      <c r="P283" s="54" t="str">
        <f>IF(OR($B283="",$A283&gt;$B$9,P$280=""),"",IF(COUNTIFS(BD!$B$3:$B$5001,P$280,BD!$A$3:$A$5001,"&gt;="&amp;$C$7,BD!$A$3:$A$5001,"&lt;="&amp;$B283,BD!$Z$3:$Z$5001,"&lt;&gt;")=0,"",SUMIFS(BD!$Z$3:$Z$5001,BD!$B$3:$B$5001,P$280,BD!$A$3:$A$5001,_xlfn.MAXIFS(BD!$A$3:$A$5001,BD!$B$3:$B$5001,P$280,BD!$A$3:$A$5001,"&gt;="&amp;$C$7,BD!$A$3:$A$5001,"&lt;="&amp;$B283,BD!$Z$3:$Z$5001,"&lt;&gt;"))))</f>
        <v/>
      </c>
      <c r="Q283" s="54" t="str">
        <f>IF(OR($B283="",$A283&gt;$B$9,Q$280=""),"",IF(COUNTIFS(BD!$B$3:$B$5001,Q$280,BD!$A$3:$A$5001,"&gt;="&amp;$C$7,BD!$A$3:$A$5001,"&lt;="&amp;$B283,BD!$Z$3:$Z$5001,"&lt;&gt;")=0,"",SUMIFS(BD!$Z$3:$Z$5001,BD!$B$3:$B$5001,Q$280,BD!$A$3:$A$5001,_xlfn.MAXIFS(BD!$A$3:$A$5001,BD!$B$3:$B$5001,Q$280,BD!$A$3:$A$5001,"&gt;="&amp;$C$7,BD!$A$3:$A$5001,"&lt;="&amp;$B283,BD!$Z$3:$Z$5001,"&lt;&gt;"))))</f>
        <v/>
      </c>
      <c r="R283" s="54" t="str">
        <f>IF(OR($B283="",$A283&gt;$B$9,R$280=""),"",IF(COUNTIFS(BD!$B$3:$B$5001,R$280,BD!$A$3:$A$5001,"&gt;="&amp;$C$7,BD!$A$3:$A$5001,"&lt;="&amp;$B283,BD!$Z$3:$Z$5001,"&lt;&gt;")=0,"",SUMIFS(BD!$Z$3:$Z$5001,BD!$B$3:$B$5001,R$280,BD!$A$3:$A$5001,_xlfn.MAXIFS(BD!$A$3:$A$5001,BD!$B$3:$B$5001,R$280,BD!$A$3:$A$5001,"&gt;="&amp;$C$7,BD!$A$3:$A$5001,"&lt;="&amp;$B283,BD!$Z$3:$Z$5001,"&lt;&gt;"))))</f>
        <v/>
      </c>
      <c r="S283" s="54" t="str">
        <f>IF(OR($B283="",$A283&gt;$B$9,S$280=""),"",IF(COUNTIFS(BD!$B$3:$B$5001,S$280,BD!$A$3:$A$5001,"&gt;="&amp;$C$7,BD!$A$3:$A$5001,"&lt;="&amp;$B283,BD!$Z$3:$Z$5001,"&lt;&gt;")=0,"",SUMIFS(BD!$Z$3:$Z$5001,BD!$B$3:$B$5001,S$280,BD!$A$3:$A$5001,_xlfn.MAXIFS(BD!$A$3:$A$5001,BD!$B$3:$B$5001,S$280,BD!$A$3:$A$5001,"&gt;="&amp;$C$7,BD!$A$3:$A$5001,"&lt;="&amp;$B283,BD!$Z$3:$Z$5001,"&lt;&gt;"))))</f>
        <v/>
      </c>
      <c r="T283" s="54" t="str">
        <f>IF(OR($B283="",$A283&gt;$B$9,T$280=""),"",IF(COUNTIFS(BD!$B$3:$B$5001,T$280,BD!$A$3:$A$5001,"&gt;="&amp;$C$7,BD!$A$3:$A$5001,"&lt;="&amp;$B283,BD!$Z$3:$Z$5001,"&lt;&gt;")=0,"",SUMIFS(BD!$Z$3:$Z$5001,BD!$B$3:$B$5001,T$280,BD!$A$3:$A$5001,_xlfn.MAXIFS(BD!$A$3:$A$5001,BD!$B$3:$B$5001,T$280,BD!$A$3:$A$5001,"&gt;="&amp;$C$7,BD!$A$3:$A$5001,"&lt;="&amp;$B283,BD!$Z$3:$Z$5001,"&lt;&gt;"))))</f>
        <v/>
      </c>
      <c r="U283" s="54" t="str">
        <f>IF(OR($B283="",$A283&gt;$B$9,U$280=""),"",IF(COUNTIFS(BD!$B$3:$B$5001,U$280,BD!$A$3:$A$5001,"&gt;="&amp;$C$7,BD!$A$3:$A$5001,"&lt;="&amp;$B283,BD!$Z$3:$Z$5001,"&lt;&gt;")=0,"",SUMIFS(BD!$Z$3:$Z$5001,BD!$B$3:$B$5001,U$280,BD!$A$3:$A$5001,_xlfn.MAXIFS(BD!$A$3:$A$5001,BD!$B$3:$B$5001,U$280,BD!$A$3:$A$5001,"&gt;="&amp;$C$7,BD!$A$3:$A$5001,"&lt;="&amp;$B283,BD!$Z$3:$Z$5001,"&lt;&gt;"))))</f>
        <v/>
      </c>
      <c r="V283" s="54" t="str">
        <f>IF(OR($B283="",$A283&gt;$B$9,V$280=""),"",IF(COUNTIFS(BD!$B$3:$B$5001,V$280,BD!$A$3:$A$5001,"&gt;="&amp;$C$7,BD!$A$3:$A$5001,"&lt;="&amp;$B283,BD!$Z$3:$Z$5001,"&lt;&gt;")=0,"",SUMIFS(BD!$Z$3:$Z$5001,BD!$B$3:$B$5001,V$280,BD!$A$3:$A$5001,_xlfn.MAXIFS(BD!$A$3:$A$5001,BD!$B$3:$B$5001,V$280,BD!$A$3:$A$5001,"&gt;="&amp;$C$7,BD!$A$3:$A$5001,"&lt;="&amp;$B283,BD!$Z$3:$Z$5001,"&lt;&gt;"))))</f>
        <v/>
      </c>
    </row>
    <row r="284">
      <c r="A284" s="48">
        <v>4</v>
      </c>
      <c r="B284" s="53">
        <f>$B$15</f>
        <v>46299</v>
      </c>
      <c r="C284" s="54" t="str">
        <f>IF(OR($B284="",$A284&gt;$B$9,C$280=""),"",IF(COUNTIFS(BD!$B$3:$B$5001,C$280,BD!$A$3:$A$5001,"&gt;="&amp;$C$7,BD!$A$3:$A$5001,"&lt;="&amp;$B284,BD!$Z$3:$Z$5001,"&lt;&gt;")=0,"",SUMIFS(BD!$Z$3:$Z$5001,BD!$B$3:$B$5001,C$280,BD!$A$3:$A$5001,_xlfn.MAXIFS(BD!$A$3:$A$5001,BD!$B$3:$B$5001,C$280,BD!$A$3:$A$5001,"&gt;="&amp;$C$7,BD!$A$3:$A$5001,"&lt;="&amp;$B284,BD!$Z$3:$Z$5001,"&lt;&gt;"))))</f>
        <v/>
      </c>
      <c r="D284" s="54" t="str">
        <f>IF(OR($B284="",$A284&gt;$B$9,D$280=""),"",IF(COUNTIFS(BD!$B$3:$B$5001,D$280,BD!$A$3:$A$5001,"&gt;="&amp;$C$7,BD!$A$3:$A$5001,"&lt;="&amp;$B284,BD!$Z$3:$Z$5001,"&lt;&gt;")=0,"",SUMIFS(BD!$Z$3:$Z$5001,BD!$B$3:$B$5001,D$280,BD!$A$3:$A$5001,_xlfn.MAXIFS(BD!$A$3:$A$5001,BD!$B$3:$B$5001,D$280,BD!$A$3:$A$5001,"&gt;="&amp;$C$7,BD!$A$3:$A$5001,"&lt;="&amp;$B284,BD!$Z$3:$Z$5001,"&lt;&gt;"))))</f>
        <v/>
      </c>
      <c r="E284" s="54" t="str">
        <f>IF(OR($B284="",$A284&gt;$B$9,E$280=""),"",IF(COUNTIFS(BD!$B$3:$B$5001,E$280,BD!$A$3:$A$5001,"&gt;="&amp;$C$7,BD!$A$3:$A$5001,"&lt;="&amp;$B284,BD!$Z$3:$Z$5001,"&lt;&gt;")=0,"",SUMIFS(BD!$Z$3:$Z$5001,BD!$B$3:$B$5001,E$280,BD!$A$3:$A$5001,_xlfn.MAXIFS(BD!$A$3:$A$5001,BD!$B$3:$B$5001,E$280,BD!$A$3:$A$5001,"&gt;="&amp;$C$7,BD!$A$3:$A$5001,"&lt;="&amp;$B284,BD!$Z$3:$Z$5001,"&lt;&gt;"))))</f>
        <v/>
      </c>
      <c r="F284" s="54" t="str">
        <f>IF(OR($B284="",$A284&gt;$B$9,F$280=""),"",IF(COUNTIFS(BD!$B$3:$B$5001,F$280,BD!$A$3:$A$5001,"&gt;="&amp;$C$7,BD!$A$3:$A$5001,"&lt;="&amp;$B284,BD!$Z$3:$Z$5001,"&lt;&gt;")=0,"",SUMIFS(BD!$Z$3:$Z$5001,BD!$B$3:$B$5001,F$280,BD!$A$3:$A$5001,_xlfn.MAXIFS(BD!$A$3:$A$5001,BD!$B$3:$B$5001,F$280,BD!$A$3:$A$5001,"&gt;="&amp;$C$7,BD!$A$3:$A$5001,"&lt;="&amp;$B284,BD!$Z$3:$Z$5001,"&lt;&gt;"))))</f>
        <v/>
      </c>
      <c r="G284" s="54" t="str">
        <f>IF(OR($B284="",$A284&gt;$B$9,G$280=""),"",IF(COUNTIFS(BD!$B$3:$B$5001,G$280,BD!$A$3:$A$5001,"&gt;="&amp;$C$7,BD!$A$3:$A$5001,"&lt;="&amp;$B284,BD!$Z$3:$Z$5001,"&lt;&gt;")=0,"",SUMIFS(BD!$Z$3:$Z$5001,BD!$B$3:$B$5001,G$280,BD!$A$3:$A$5001,_xlfn.MAXIFS(BD!$A$3:$A$5001,BD!$B$3:$B$5001,G$280,BD!$A$3:$A$5001,"&gt;="&amp;$C$7,BD!$A$3:$A$5001,"&lt;="&amp;$B284,BD!$Z$3:$Z$5001,"&lt;&gt;"))))</f>
        <v/>
      </c>
      <c r="H284" s="54" t="str">
        <f>IF(OR($B284="",$A284&gt;$B$9,H$280=""),"",IF(COUNTIFS(BD!$B$3:$B$5001,H$280,BD!$A$3:$A$5001,"&gt;="&amp;$C$7,BD!$A$3:$A$5001,"&lt;="&amp;$B284,BD!$Z$3:$Z$5001,"&lt;&gt;")=0,"",SUMIFS(BD!$Z$3:$Z$5001,BD!$B$3:$B$5001,H$280,BD!$A$3:$A$5001,_xlfn.MAXIFS(BD!$A$3:$A$5001,BD!$B$3:$B$5001,H$280,BD!$A$3:$A$5001,"&gt;="&amp;$C$7,BD!$A$3:$A$5001,"&lt;="&amp;$B284,BD!$Z$3:$Z$5001,"&lt;&gt;"))))</f>
        <v/>
      </c>
      <c r="I284" s="54" t="str">
        <f>IF(OR($B284="",$A284&gt;$B$9,I$280=""),"",IF(COUNTIFS(BD!$B$3:$B$5001,I$280,BD!$A$3:$A$5001,"&gt;="&amp;$C$7,BD!$A$3:$A$5001,"&lt;="&amp;$B284,BD!$Z$3:$Z$5001,"&lt;&gt;")=0,"",SUMIFS(BD!$Z$3:$Z$5001,BD!$B$3:$B$5001,I$280,BD!$A$3:$A$5001,_xlfn.MAXIFS(BD!$A$3:$A$5001,BD!$B$3:$B$5001,I$280,BD!$A$3:$A$5001,"&gt;="&amp;$C$7,BD!$A$3:$A$5001,"&lt;="&amp;$B284,BD!$Z$3:$Z$5001,"&lt;&gt;"))))</f>
        <v/>
      </c>
      <c r="J284" s="54" t="str">
        <f>IF(OR($B284="",$A284&gt;$B$9,J$280=""),"",IF(COUNTIFS(BD!$B$3:$B$5001,J$280,BD!$A$3:$A$5001,"&gt;="&amp;$C$7,BD!$A$3:$A$5001,"&lt;="&amp;$B284,BD!$Z$3:$Z$5001,"&lt;&gt;")=0,"",SUMIFS(BD!$Z$3:$Z$5001,BD!$B$3:$B$5001,J$280,BD!$A$3:$A$5001,_xlfn.MAXIFS(BD!$A$3:$A$5001,BD!$B$3:$B$5001,J$280,BD!$A$3:$A$5001,"&gt;="&amp;$C$7,BD!$A$3:$A$5001,"&lt;="&amp;$B284,BD!$Z$3:$Z$5001,"&lt;&gt;"))))</f>
        <v/>
      </c>
      <c r="K284" s="54" t="str">
        <f>IF(OR($B284="",$A284&gt;$B$9,K$280=""),"",IF(COUNTIFS(BD!$B$3:$B$5001,K$280,BD!$A$3:$A$5001,"&gt;="&amp;$C$7,BD!$A$3:$A$5001,"&lt;="&amp;$B284,BD!$Z$3:$Z$5001,"&lt;&gt;")=0,"",SUMIFS(BD!$Z$3:$Z$5001,BD!$B$3:$B$5001,K$280,BD!$A$3:$A$5001,_xlfn.MAXIFS(BD!$A$3:$A$5001,BD!$B$3:$B$5001,K$280,BD!$A$3:$A$5001,"&gt;="&amp;$C$7,BD!$A$3:$A$5001,"&lt;="&amp;$B284,BD!$Z$3:$Z$5001,"&lt;&gt;"))))</f>
        <v/>
      </c>
      <c r="L284" s="54" t="str">
        <f>IF(OR($B284="",$A284&gt;$B$9,L$280=""),"",IF(COUNTIFS(BD!$B$3:$B$5001,L$280,BD!$A$3:$A$5001,"&gt;="&amp;$C$7,BD!$A$3:$A$5001,"&lt;="&amp;$B284,BD!$Z$3:$Z$5001,"&lt;&gt;")=0,"",SUMIFS(BD!$Z$3:$Z$5001,BD!$B$3:$B$5001,L$280,BD!$A$3:$A$5001,_xlfn.MAXIFS(BD!$A$3:$A$5001,BD!$B$3:$B$5001,L$280,BD!$A$3:$A$5001,"&gt;="&amp;$C$7,BD!$A$3:$A$5001,"&lt;="&amp;$B284,BD!$Z$3:$Z$5001,"&lt;&gt;"))))</f>
        <v/>
      </c>
      <c r="M284" s="54" t="str">
        <f>IF(OR($B284="",$A284&gt;$B$9,M$280=""),"",IF(COUNTIFS(BD!$B$3:$B$5001,M$280,BD!$A$3:$A$5001,"&gt;="&amp;$C$7,BD!$A$3:$A$5001,"&lt;="&amp;$B284,BD!$Z$3:$Z$5001,"&lt;&gt;")=0,"",SUMIFS(BD!$Z$3:$Z$5001,BD!$B$3:$B$5001,M$280,BD!$A$3:$A$5001,_xlfn.MAXIFS(BD!$A$3:$A$5001,BD!$B$3:$B$5001,M$280,BD!$A$3:$A$5001,"&gt;="&amp;$C$7,BD!$A$3:$A$5001,"&lt;="&amp;$B284,BD!$Z$3:$Z$5001,"&lt;&gt;"))))</f>
        <v/>
      </c>
      <c r="N284" s="54" t="str">
        <f>IF(OR($B284="",$A284&gt;$B$9,N$280=""),"",IF(COUNTIFS(BD!$B$3:$B$5001,N$280,BD!$A$3:$A$5001,"&gt;="&amp;$C$7,BD!$A$3:$A$5001,"&lt;="&amp;$B284,BD!$Z$3:$Z$5001,"&lt;&gt;")=0,"",SUMIFS(BD!$Z$3:$Z$5001,BD!$B$3:$B$5001,N$280,BD!$A$3:$A$5001,_xlfn.MAXIFS(BD!$A$3:$A$5001,BD!$B$3:$B$5001,N$280,BD!$A$3:$A$5001,"&gt;="&amp;$C$7,BD!$A$3:$A$5001,"&lt;="&amp;$B284,BD!$Z$3:$Z$5001,"&lt;&gt;"))))</f>
        <v/>
      </c>
      <c r="O284" s="54" t="str">
        <f>IF(OR($B284="",$A284&gt;$B$9,O$280=""),"",IF(COUNTIFS(BD!$B$3:$B$5001,O$280,BD!$A$3:$A$5001,"&gt;="&amp;$C$7,BD!$A$3:$A$5001,"&lt;="&amp;$B284,BD!$Z$3:$Z$5001,"&lt;&gt;")=0,"",SUMIFS(BD!$Z$3:$Z$5001,BD!$B$3:$B$5001,O$280,BD!$A$3:$A$5001,_xlfn.MAXIFS(BD!$A$3:$A$5001,BD!$B$3:$B$5001,O$280,BD!$A$3:$A$5001,"&gt;="&amp;$C$7,BD!$A$3:$A$5001,"&lt;="&amp;$B284,BD!$Z$3:$Z$5001,"&lt;&gt;"))))</f>
        <v/>
      </c>
      <c r="P284" s="54" t="str">
        <f>IF(OR($B284="",$A284&gt;$B$9,P$280=""),"",IF(COUNTIFS(BD!$B$3:$B$5001,P$280,BD!$A$3:$A$5001,"&gt;="&amp;$C$7,BD!$A$3:$A$5001,"&lt;="&amp;$B284,BD!$Z$3:$Z$5001,"&lt;&gt;")=0,"",SUMIFS(BD!$Z$3:$Z$5001,BD!$B$3:$B$5001,P$280,BD!$A$3:$A$5001,_xlfn.MAXIFS(BD!$A$3:$A$5001,BD!$B$3:$B$5001,P$280,BD!$A$3:$A$5001,"&gt;="&amp;$C$7,BD!$A$3:$A$5001,"&lt;="&amp;$B284,BD!$Z$3:$Z$5001,"&lt;&gt;"))))</f>
        <v/>
      </c>
      <c r="Q284" s="54" t="str">
        <f>IF(OR($B284="",$A284&gt;$B$9,Q$280=""),"",IF(COUNTIFS(BD!$B$3:$B$5001,Q$280,BD!$A$3:$A$5001,"&gt;="&amp;$C$7,BD!$A$3:$A$5001,"&lt;="&amp;$B284,BD!$Z$3:$Z$5001,"&lt;&gt;")=0,"",SUMIFS(BD!$Z$3:$Z$5001,BD!$B$3:$B$5001,Q$280,BD!$A$3:$A$5001,_xlfn.MAXIFS(BD!$A$3:$A$5001,BD!$B$3:$B$5001,Q$280,BD!$A$3:$A$5001,"&gt;="&amp;$C$7,BD!$A$3:$A$5001,"&lt;="&amp;$B284,BD!$Z$3:$Z$5001,"&lt;&gt;"))))</f>
        <v/>
      </c>
      <c r="R284" s="54" t="str">
        <f>IF(OR($B284="",$A284&gt;$B$9,R$280=""),"",IF(COUNTIFS(BD!$B$3:$B$5001,R$280,BD!$A$3:$A$5001,"&gt;="&amp;$C$7,BD!$A$3:$A$5001,"&lt;="&amp;$B284,BD!$Z$3:$Z$5001,"&lt;&gt;")=0,"",SUMIFS(BD!$Z$3:$Z$5001,BD!$B$3:$B$5001,R$280,BD!$A$3:$A$5001,_xlfn.MAXIFS(BD!$A$3:$A$5001,BD!$B$3:$B$5001,R$280,BD!$A$3:$A$5001,"&gt;="&amp;$C$7,BD!$A$3:$A$5001,"&lt;="&amp;$B284,BD!$Z$3:$Z$5001,"&lt;&gt;"))))</f>
        <v/>
      </c>
      <c r="S284" s="54" t="str">
        <f>IF(OR($B284="",$A284&gt;$B$9,S$280=""),"",IF(COUNTIFS(BD!$B$3:$B$5001,S$280,BD!$A$3:$A$5001,"&gt;="&amp;$C$7,BD!$A$3:$A$5001,"&lt;="&amp;$B284,BD!$Z$3:$Z$5001,"&lt;&gt;")=0,"",SUMIFS(BD!$Z$3:$Z$5001,BD!$B$3:$B$5001,S$280,BD!$A$3:$A$5001,_xlfn.MAXIFS(BD!$A$3:$A$5001,BD!$B$3:$B$5001,S$280,BD!$A$3:$A$5001,"&gt;="&amp;$C$7,BD!$A$3:$A$5001,"&lt;="&amp;$B284,BD!$Z$3:$Z$5001,"&lt;&gt;"))))</f>
        <v/>
      </c>
      <c r="T284" s="54" t="str">
        <f>IF(OR($B284="",$A284&gt;$B$9,T$280=""),"",IF(COUNTIFS(BD!$B$3:$B$5001,T$280,BD!$A$3:$A$5001,"&gt;="&amp;$C$7,BD!$A$3:$A$5001,"&lt;="&amp;$B284,BD!$Z$3:$Z$5001,"&lt;&gt;")=0,"",SUMIFS(BD!$Z$3:$Z$5001,BD!$B$3:$B$5001,T$280,BD!$A$3:$A$5001,_xlfn.MAXIFS(BD!$A$3:$A$5001,BD!$B$3:$B$5001,T$280,BD!$A$3:$A$5001,"&gt;="&amp;$C$7,BD!$A$3:$A$5001,"&lt;="&amp;$B284,BD!$Z$3:$Z$5001,"&lt;&gt;"))))</f>
        <v/>
      </c>
      <c r="U284" s="54" t="str">
        <f>IF(OR($B284="",$A284&gt;$B$9,U$280=""),"",IF(COUNTIFS(BD!$B$3:$B$5001,U$280,BD!$A$3:$A$5001,"&gt;="&amp;$C$7,BD!$A$3:$A$5001,"&lt;="&amp;$B284,BD!$Z$3:$Z$5001,"&lt;&gt;")=0,"",SUMIFS(BD!$Z$3:$Z$5001,BD!$B$3:$B$5001,U$280,BD!$A$3:$A$5001,_xlfn.MAXIFS(BD!$A$3:$A$5001,BD!$B$3:$B$5001,U$280,BD!$A$3:$A$5001,"&gt;="&amp;$C$7,BD!$A$3:$A$5001,"&lt;="&amp;$B284,BD!$Z$3:$Z$5001,"&lt;&gt;"))))</f>
        <v/>
      </c>
      <c r="V284" s="54" t="str">
        <f>IF(OR($B284="",$A284&gt;$B$9,V$280=""),"",IF(COUNTIFS(BD!$B$3:$B$5001,V$280,BD!$A$3:$A$5001,"&gt;="&amp;$C$7,BD!$A$3:$A$5001,"&lt;="&amp;$B284,BD!$Z$3:$Z$5001,"&lt;&gt;")=0,"",SUMIFS(BD!$Z$3:$Z$5001,BD!$B$3:$B$5001,V$280,BD!$A$3:$A$5001,_xlfn.MAXIFS(BD!$A$3:$A$5001,BD!$B$3:$B$5001,V$280,BD!$A$3:$A$5001,"&gt;="&amp;$C$7,BD!$A$3:$A$5001,"&lt;="&amp;$B284,BD!$Z$3:$Z$5001,"&lt;&gt;"))))</f>
        <v/>
      </c>
    </row>
    <row r="285">
      <c r="A285" s="48">
        <v>5</v>
      </c>
      <c r="B285" s="53">
        <f>$B$16</f>
        <v>46300</v>
      </c>
      <c r="C285" s="54" t="str">
        <f>IF(OR($B285="",$A285&gt;$B$9,C$280=""),"",IF(COUNTIFS(BD!$B$3:$B$5001,C$280,BD!$A$3:$A$5001,"&gt;="&amp;$C$7,BD!$A$3:$A$5001,"&lt;="&amp;$B285,BD!$Z$3:$Z$5001,"&lt;&gt;")=0,"",SUMIFS(BD!$Z$3:$Z$5001,BD!$B$3:$B$5001,C$280,BD!$A$3:$A$5001,_xlfn.MAXIFS(BD!$A$3:$A$5001,BD!$B$3:$B$5001,C$280,BD!$A$3:$A$5001,"&gt;="&amp;$C$7,BD!$A$3:$A$5001,"&lt;="&amp;$B285,BD!$Z$3:$Z$5001,"&lt;&gt;"))))</f>
        <v/>
      </c>
      <c r="D285" s="54" t="str">
        <f>IF(OR($B285="",$A285&gt;$B$9,D$280=""),"",IF(COUNTIFS(BD!$B$3:$B$5001,D$280,BD!$A$3:$A$5001,"&gt;="&amp;$C$7,BD!$A$3:$A$5001,"&lt;="&amp;$B285,BD!$Z$3:$Z$5001,"&lt;&gt;")=0,"",SUMIFS(BD!$Z$3:$Z$5001,BD!$B$3:$B$5001,D$280,BD!$A$3:$A$5001,_xlfn.MAXIFS(BD!$A$3:$A$5001,BD!$B$3:$B$5001,D$280,BD!$A$3:$A$5001,"&gt;="&amp;$C$7,BD!$A$3:$A$5001,"&lt;="&amp;$B285,BD!$Z$3:$Z$5001,"&lt;&gt;"))))</f>
        <v/>
      </c>
      <c r="E285" s="54" t="str">
        <f>IF(OR($B285="",$A285&gt;$B$9,E$280=""),"",IF(COUNTIFS(BD!$B$3:$B$5001,E$280,BD!$A$3:$A$5001,"&gt;="&amp;$C$7,BD!$A$3:$A$5001,"&lt;="&amp;$B285,BD!$Z$3:$Z$5001,"&lt;&gt;")=0,"",SUMIFS(BD!$Z$3:$Z$5001,BD!$B$3:$B$5001,E$280,BD!$A$3:$A$5001,_xlfn.MAXIFS(BD!$A$3:$A$5001,BD!$B$3:$B$5001,E$280,BD!$A$3:$A$5001,"&gt;="&amp;$C$7,BD!$A$3:$A$5001,"&lt;="&amp;$B285,BD!$Z$3:$Z$5001,"&lt;&gt;"))))</f>
        <v/>
      </c>
      <c r="F285" s="54" t="str">
        <f>IF(OR($B285="",$A285&gt;$B$9,F$280=""),"",IF(COUNTIFS(BD!$B$3:$B$5001,F$280,BD!$A$3:$A$5001,"&gt;="&amp;$C$7,BD!$A$3:$A$5001,"&lt;="&amp;$B285,BD!$Z$3:$Z$5001,"&lt;&gt;")=0,"",SUMIFS(BD!$Z$3:$Z$5001,BD!$B$3:$B$5001,F$280,BD!$A$3:$A$5001,_xlfn.MAXIFS(BD!$A$3:$A$5001,BD!$B$3:$B$5001,F$280,BD!$A$3:$A$5001,"&gt;="&amp;$C$7,BD!$A$3:$A$5001,"&lt;="&amp;$B285,BD!$Z$3:$Z$5001,"&lt;&gt;"))))</f>
        <v/>
      </c>
      <c r="G285" s="54" t="str">
        <f>IF(OR($B285="",$A285&gt;$B$9,G$280=""),"",IF(COUNTIFS(BD!$B$3:$B$5001,G$280,BD!$A$3:$A$5001,"&gt;="&amp;$C$7,BD!$A$3:$A$5001,"&lt;="&amp;$B285,BD!$Z$3:$Z$5001,"&lt;&gt;")=0,"",SUMIFS(BD!$Z$3:$Z$5001,BD!$B$3:$B$5001,G$280,BD!$A$3:$A$5001,_xlfn.MAXIFS(BD!$A$3:$A$5001,BD!$B$3:$B$5001,G$280,BD!$A$3:$A$5001,"&gt;="&amp;$C$7,BD!$A$3:$A$5001,"&lt;="&amp;$B285,BD!$Z$3:$Z$5001,"&lt;&gt;"))))</f>
        <v/>
      </c>
      <c r="H285" s="54" t="str">
        <f>IF(OR($B285="",$A285&gt;$B$9,H$280=""),"",IF(COUNTIFS(BD!$B$3:$B$5001,H$280,BD!$A$3:$A$5001,"&gt;="&amp;$C$7,BD!$A$3:$A$5001,"&lt;="&amp;$B285,BD!$Z$3:$Z$5001,"&lt;&gt;")=0,"",SUMIFS(BD!$Z$3:$Z$5001,BD!$B$3:$B$5001,H$280,BD!$A$3:$A$5001,_xlfn.MAXIFS(BD!$A$3:$A$5001,BD!$B$3:$B$5001,H$280,BD!$A$3:$A$5001,"&gt;="&amp;$C$7,BD!$A$3:$A$5001,"&lt;="&amp;$B285,BD!$Z$3:$Z$5001,"&lt;&gt;"))))</f>
        <v/>
      </c>
      <c r="I285" s="54" t="str">
        <f>IF(OR($B285="",$A285&gt;$B$9,I$280=""),"",IF(COUNTIFS(BD!$B$3:$B$5001,I$280,BD!$A$3:$A$5001,"&gt;="&amp;$C$7,BD!$A$3:$A$5001,"&lt;="&amp;$B285,BD!$Z$3:$Z$5001,"&lt;&gt;")=0,"",SUMIFS(BD!$Z$3:$Z$5001,BD!$B$3:$B$5001,I$280,BD!$A$3:$A$5001,_xlfn.MAXIFS(BD!$A$3:$A$5001,BD!$B$3:$B$5001,I$280,BD!$A$3:$A$5001,"&gt;="&amp;$C$7,BD!$A$3:$A$5001,"&lt;="&amp;$B285,BD!$Z$3:$Z$5001,"&lt;&gt;"))))</f>
        <v/>
      </c>
      <c r="J285" s="54" t="str">
        <f>IF(OR($B285="",$A285&gt;$B$9,J$280=""),"",IF(COUNTIFS(BD!$B$3:$B$5001,J$280,BD!$A$3:$A$5001,"&gt;="&amp;$C$7,BD!$A$3:$A$5001,"&lt;="&amp;$B285,BD!$Z$3:$Z$5001,"&lt;&gt;")=0,"",SUMIFS(BD!$Z$3:$Z$5001,BD!$B$3:$B$5001,J$280,BD!$A$3:$A$5001,_xlfn.MAXIFS(BD!$A$3:$A$5001,BD!$B$3:$B$5001,J$280,BD!$A$3:$A$5001,"&gt;="&amp;$C$7,BD!$A$3:$A$5001,"&lt;="&amp;$B285,BD!$Z$3:$Z$5001,"&lt;&gt;"))))</f>
        <v/>
      </c>
      <c r="K285" s="54" t="str">
        <f>IF(OR($B285="",$A285&gt;$B$9,K$280=""),"",IF(COUNTIFS(BD!$B$3:$B$5001,K$280,BD!$A$3:$A$5001,"&gt;="&amp;$C$7,BD!$A$3:$A$5001,"&lt;="&amp;$B285,BD!$Z$3:$Z$5001,"&lt;&gt;")=0,"",SUMIFS(BD!$Z$3:$Z$5001,BD!$B$3:$B$5001,K$280,BD!$A$3:$A$5001,_xlfn.MAXIFS(BD!$A$3:$A$5001,BD!$B$3:$B$5001,K$280,BD!$A$3:$A$5001,"&gt;="&amp;$C$7,BD!$A$3:$A$5001,"&lt;="&amp;$B285,BD!$Z$3:$Z$5001,"&lt;&gt;"))))</f>
        <v/>
      </c>
      <c r="L285" s="54" t="str">
        <f>IF(OR($B285="",$A285&gt;$B$9,L$280=""),"",IF(COUNTIFS(BD!$B$3:$B$5001,L$280,BD!$A$3:$A$5001,"&gt;="&amp;$C$7,BD!$A$3:$A$5001,"&lt;="&amp;$B285,BD!$Z$3:$Z$5001,"&lt;&gt;")=0,"",SUMIFS(BD!$Z$3:$Z$5001,BD!$B$3:$B$5001,L$280,BD!$A$3:$A$5001,_xlfn.MAXIFS(BD!$A$3:$A$5001,BD!$B$3:$B$5001,L$280,BD!$A$3:$A$5001,"&gt;="&amp;$C$7,BD!$A$3:$A$5001,"&lt;="&amp;$B285,BD!$Z$3:$Z$5001,"&lt;&gt;"))))</f>
        <v/>
      </c>
      <c r="M285" s="54" t="str">
        <f>IF(OR($B285="",$A285&gt;$B$9,M$280=""),"",IF(COUNTIFS(BD!$B$3:$B$5001,M$280,BD!$A$3:$A$5001,"&gt;="&amp;$C$7,BD!$A$3:$A$5001,"&lt;="&amp;$B285,BD!$Z$3:$Z$5001,"&lt;&gt;")=0,"",SUMIFS(BD!$Z$3:$Z$5001,BD!$B$3:$B$5001,M$280,BD!$A$3:$A$5001,_xlfn.MAXIFS(BD!$A$3:$A$5001,BD!$B$3:$B$5001,M$280,BD!$A$3:$A$5001,"&gt;="&amp;$C$7,BD!$A$3:$A$5001,"&lt;="&amp;$B285,BD!$Z$3:$Z$5001,"&lt;&gt;"))))</f>
        <v/>
      </c>
      <c r="N285" s="54" t="str">
        <f>IF(OR($B285="",$A285&gt;$B$9,N$280=""),"",IF(COUNTIFS(BD!$B$3:$B$5001,N$280,BD!$A$3:$A$5001,"&gt;="&amp;$C$7,BD!$A$3:$A$5001,"&lt;="&amp;$B285,BD!$Z$3:$Z$5001,"&lt;&gt;")=0,"",SUMIFS(BD!$Z$3:$Z$5001,BD!$B$3:$B$5001,N$280,BD!$A$3:$A$5001,_xlfn.MAXIFS(BD!$A$3:$A$5001,BD!$B$3:$B$5001,N$280,BD!$A$3:$A$5001,"&gt;="&amp;$C$7,BD!$A$3:$A$5001,"&lt;="&amp;$B285,BD!$Z$3:$Z$5001,"&lt;&gt;"))))</f>
        <v/>
      </c>
      <c r="O285" s="54" t="str">
        <f>IF(OR($B285="",$A285&gt;$B$9,O$280=""),"",IF(COUNTIFS(BD!$B$3:$B$5001,O$280,BD!$A$3:$A$5001,"&gt;="&amp;$C$7,BD!$A$3:$A$5001,"&lt;="&amp;$B285,BD!$Z$3:$Z$5001,"&lt;&gt;")=0,"",SUMIFS(BD!$Z$3:$Z$5001,BD!$B$3:$B$5001,O$280,BD!$A$3:$A$5001,_xlfn.MAXIFS(BD!$A$3:$A$5001,BD!$B$3:$B$5001,O$280,BD!$A$3:$A$5001,"&gt;="&amp;$C$7,BD!$A$3:$A$5001,"&lt;="&amp;$B285,BD!$Z$3:$Z$5001,"&lt;&gt;"))))</f>
        <v/>
      </c>
      <c r="P285" s="54" t="str">
        <f>IF(OR($B285="",$A285&gt;$B$9,P$280=""),"",IF(COUNTIFS(BD!$B$3:$B$5001,P$280,BD!$A$3:$A$5001,"&gt;="&amp;$C$7,BD!$A$3:$A$5001,"&lt;="&amp;$B285,BD!$Z$3:$Z$5001,"&lt;&gt;")=0,"",SUMIFS(BD!$Z$3:$Z$5001,BD!$B$3:$B$5001,P$280,BD!$A$3:$A$5001,_xlfn.MAXIFS(BD!$A$3:$A$5001,BD!$B$3:$B$5001,P$280,BD!$A$3:$A$5001,"&gt;="&amp;$C$7,BD!$A$3:$A$5001,"&lt;="&amp;$B285,BD!$Z$3:$Z$5001,"&lt;&gt;"))))</f>
        <v/>
      </c>
      <c r="Q285" s="54" t="str">
        <f>IF(OR($B285="",$A285&gt;$B$9,Q$280=""),"",IF(COUNTIFS(BD!$B$3:$B$5001,Q$280,BD!$A$3:$A$5001,"&gt;="&amp;$C$7,BD!$A$3:$A$5001,"&lt;="&amp;$B285,BD!$Z$3:$Z$5001,"&lt;&gt;")=0,"",SUMIFS(BD!$Z$3:$Z$5001,BD!$B$3:$B$5001,Q$280,BD!$A$3:$A$5001,_xlfn.MAXIFS(BD!$A$3:$A$5001,BD!$B$3:$B$5001,Q$280,BD!$A$3:$A$5001,"&gt;="&amp;$C$7,BD!$A$3:$A$5001,"&lt;="&amp;$B285,BD!$Z$3:$Z$5001,"&lt;&gt;"))))</f>
        <v/>
      </c>
      <c r="R285" s="54" t="str">
        <f>IF(OR($B285="",$A285&gt;$B$9,R$280=""),"",IF(COUNTIFS(BD!$B$3:$B$5001,R$280,BD!$A$3:$A$5001,"&gt;="&amp;$C$7,BD!$A$3:$A$5001,"&lt;="&amp;$B285,BD!$Z$3:$Z$5001,"&lt;&gt;")=0,"",SUMIFS(BD!$Z$3:$Z$5001,BD!$B$3:$B$5001,R$280,BD!$A$3:$A$5001,_xlfn.MAXIFS(BD!$A$3:$A$5001,BD!$B$3:$B$5001,R$280,BD!$A$3:$A$5001,"&gt;="&amp;$C$7,BD!$A$3:$A$5001,"&lt;="&amp;$B285,BD!$Z$3:$Z$5001,"&lt;&gt;"))))</f>
        <v/>
      </c>
      <c r="S285" s="54" t="str">
        <f>IF(OR($B285="",$A285&gt;$B$9,S$280=""),"",IF(COUNTIFS(BD!$B$3:$B$5001,S$280,BD!$A$3:$A$5001,"&gt;="&amp;$C$7,BD!$A$3:$A$5001,"&lt;="&amp;$B285,BD!$Z$3:$Z$5001,"&lt;&gt;")=0,"",SUMIFS(BD!$Z$3:$Z$5001,BD!$B$3:$B$5001,S$280,BD!$A$3:$A$5001,_xlfn.MAXIFS(BD!$A$3:$A$5001,BD!$B$3:$B$5001,S$280,BD!$A$3:$A$5001,"&gt;="&amp;$C$7,BD!$A$3:$A$5001,"&lt;="&amp;$B285,BD!$Z$3:$Z$5001,"&lt;&gt;"))))</f>
        <v/>
      </c>
      <c r="T285" s="54" t="str">
        <f>IF(OR($B285="",$A285&gt;$B$9,T$280=""),"",IF(COUNTIFS(BD!$B$3:$B$5001,T$280,BD!$A$3:$A$5001,"&gt;="&amp;$C$7,BD!$A$3:$A$5001,"&lt;="&amp;$B285,BD!$Z$3:$Z$5001,"&lt;&gt;")=0,"",SUMIFS(BD!$Z$3:$Z$5001,BD!$B$3:$B$5001,T$280,BD!$A$3:$A$5001,_xlfn.MAXIFS(BD!$A$3:$A$5001,BD!$B$3:$B$5001,T$280,BD!$A$3:$A$5001,"&gt;="&amp;$C$7,BD!$A$3:$A$5001,"&lt;="&amp;$B285,BD!$Z$3:$Z$5001,"&lt;&gt;"))))</f>
        <v/>
      </c>
      <c r="U285" s="54" t="str">
        <f>IF(OR($B285="",$A285&gt;$B$9,U$280=""),"",IF(COUNTIFS(BD!$B$3:$B$5001,U$280,BD!$A$3:$A$5001,"&gt;="&amp;$C$7,BD!$A$3:$A$5001,"&lt;="&amp;$B285,BD!$Z$3:$Z$5001,"&lt;&gt;")=0,"",SUMIFS(BD!$Z$3:$Z$5001,BD!$B$3:$B$5001,U$280,BD!$A$3:$A$5001,_xlfn.MAXIFS(BD!$A$3:$A$5001,BD!$B$3:$B$5001,U$280,BD!$A$3:$A$5001,"&gt;="&amp;$C$7,BD!$A$3:$A$5001,"&lt;="&amp;$B285,BD!$Z$3:$Z$5001,"&lt;&gt;"))))</f>
        <v/>
      </c>
      <c r="V285" s="54" t="str">
        <f>IF(OR($B285="",$A285&gt;$B$9,V$280=""),"",IF(COUNTIFS(BD!$B$3:$B$5001,V$280,BD!$A$3:$A$5001,"&gt;="&amp;$C$7,BD!$A$3:$A$5001,"&lt;="&amp;$B285,BD!$Z$3:$Z$5001,"&lt;&gt;")=0,"",SUMIFS(BD!$Z$3:$Z$5001,BD!$B$3:$B$5001,V$280,BD!$A$3:$A$5001,_xlfn.MAXIFS(BD!$A$3:$A$5001,BD!$B$3:$B$5001,V$280,BD!$A$3:$A$5001,"&gt;="&amp;$C$7,BD!$A$3:$A$5001,"&lt;="&amp;$B285,BD!$Z$3:$Z$5001,"&lt;&gt;"))))</f>
        <v/>
      </c>
    </row>
    <row r="286">
      <c r="A286" s="48">
        <v>6</v>
      </c>
      <c r="B286" s="53">
        <f>$B$17</f>
        <v>46301</v>
      </c>
      <c r="C286" s="54" t="str">
        <f>IF(OR($B286="",$A286&gt;$B$9,C$280=""),"",IF(COUNTIFS(BD!$B$3:$B$5001,C$280,BD!$A$3:$A$5001,"&gt;="&amp;$C$7,BD!$A$3:$A$5001,"&lt;="&amp;$B286,BD!$Z$3:$Z$5001,"&lt;&gt;")=0,"",SUMIFS(BD!$Z$3:$Z$5001,BD!$B$3:$B$5001,C$280,BD!$A$3:$A$5001,_xlfn.MAXIFS(BD!$A$3:$A$5001,BD!$B$3:$B$5001,C$280,BD!$A$3:$A$5001,"&gt;="&amp;$C$7,BD!$A$3:$A$5001,"&lt;="&amp;$B286,BD!$Z$3:$Z$5001,"&lt;&gt;"))))</f>
        <v/>
      </c>
      <c r="D286" s="54" t="str">
        <f>IF(OR($B286="",$A286&gt;$B$9,D$280=""),"",IF(COUNTIFS(BD!$B$3:$B$5001,D$280,BD!$A$3:$A$5001,"&gt;="&amp;$C$7,BD!$A$3:$A$5001,"&lt;="&amp;$B286,BD!$Z$3:$Z$5001,"&lt;&gt;")=0,"",SUMIFS(BD!$Z$3:$Z$5001,BD!$B$3:$B$5001,D$280,BD!$A$3:$A$5001,_xlfn.MAXIFS(BD!$A$3:$A$5001,BD!$B$3:$B$5001,D$280,BD!$A$3:$A$5001,"&gt;="&amp;$C$7,BD!$A$3:$A$5001,"&lt;="&amp;$B286,BD!$Z$3:$Z$5001,"&lt;&gt;"))))</f>
        <v/>
      </c>
      <c r="E286" s="54" t="str">
        <f>IF(OR($B286="",$A286&gt;$B$9,E$280=""),"",IF(COUNTIFS(BD!$B$3:$B$5001,E$280,BD!$A$3:$A$5001,"&gt;="&amp;$C$7,BD!$A$3:$A$5001,"&lt;="&amp;$B286,BD!$Z$3:$Z$5001,"&lt;&gt;")=0,"",SUMIFS(BD!$Z$3:$Z$5001,BD!$B$3:$B$5001,E$280,BD!$A$3:$A$5001,_xlfn.MAXIFS(BD!$A$3:$A$5001,BD!$B$3:$B$5001,E$280,BD!$A$3:$A$5001,"&gt;="&amp;$C$7,BD!$A$3:$A$5001,"&lt;="&amp;$B286,BD!$Z$3:$Z$5001,"&lt;&gt;"))))</f>
        <v/>
      </c>
      <c r="F286" s="54" t="str">
        <f>IF(OR($B286="",$A286&gt;$B$9,F$280=""),"",IF(COUNTIFS(BD!$B$3:$B$5001,F$280,BD!$A$3:$A$5001,"&gt;="&amp;$C$7,BD!$A$3:$A$5001,"&lt;="&amp;$B286,BD!$Z$3:$Z$5001,"&lt;&gt;")=0,"",SUMIFS(BD!$Z$3:$Z$5001,BD!$B$3:$B$5001,F$280,BD!$A$3:$A$5001,_xlfn.MAXIFS(BD!$A$3:$A$5001,BD!$B$3:$B$5001,F$280,BD!$A$3:$A$5001,"&gt;="&amp;$C$7,BD!$A$3:$A$5001,"&lt;="&amp;$B286,BD!$Z$3:$Z$5001,"&lt;&gt;"))))</f>
        <v/>
      </c>
      <c r="G286" s="54" t="str">
        <f>IF(OR($B286="",$A286&gt;$B$9,G$280=""),"",IF(COUNTIFS(BD!$B$3:$B$5001,G$280,BD!$A$3:$A$5001,"&gt;="&amp;$C$7,BD!$A$3:$A$5001,"&lt;="&amp;$B286,BD!$Z$3:$Z$5001,"&lt;&gt;")=0,"",SUMIFS(BD!$Z$3:$Z$5001,BD!$B$3:$B$5001,G$280,BD!$A$3:$A$5001,_xlfn.MAXIFS(BD!$A$3:$A$5001,BD!$B$3:$B$5001,G$280,BD!$A$3:$A$5001,"&gt;="&amp;$C$7,BD!$A$3:$A$5001,"&lt;="&amp;$B286,BD!$Z$3:$Z$5001,"&lt;&gt;"))))</f>
        <v/>
      </c>
      <c r="H286" s="54" t="str">
        <f>IF(OR($B286="",$A286&gt;$B$9,H$280=""),"",IF(COUNTIFS(BD!$B$3:$B$5001,H$280,BD!$A$3:$A$5001,"&gt;="&amp;$C$7,BD!$A$3:$A$5001,"&lt;="&amp;$B286,BD!$Z$3:$Z$5001,"&lt;&gt;")=0,"",SUMIFS(BD!$Z$3:$Z$5001,BD!$B$3:$B$5001,H$280,BD!$A$3:$A$5001,_xlfn.MAXIFS(BD!$A$3:$A$5001,BD!$B$3:$B$5001,H$280,BD!$A$3:$A$5001,"&gt;="&amp;$C$7,BD!$A$3:$A$5001,"&lt;="&amp;$B286,BD!$Z$3:$Z$5001,"&lt;&gt;"))))</f>
        <v/>
      </c>
      <c r="I286" s="54" t="str">
        <f>IF(OR($B286="",$A286&gt;$B$9,I$280=""),"",IF(COUNTIFS(BD!$B$3:$B$5001,I$280,BD!$A$3:$A$5001,"&gt;="&amp;$C$7,BD!$A$3:$A$5001,"&lt;="&amp;$B286,BD!$Z$3:$Z$5001,"&lt;&gt;")=0,"",SUMIFS(BD!$Z$3:$Z$5001,BD!$B$3:$B$5001,I$280,BD!$A$3:$A$5001,_xlfn.MAXIFS(BD!$A$3:$A$5001,BD!$B$3:$B$5001,I$280,BD!$A$3:$A$5001,"&gt;="&amp;$C$7,BD!$A$3:$A$5001,"&lt;="&amp;$B286,BD!$Z$3:$Z$5001,"&lt;&gt;"))))</f>
        <v/>
      </c>
      <c r="J286" s="54" t="str">
        <f>IF(OR($B286="",$A286&gt;$B$9,J$280=""),"",IF(COUNTIFS(BD!$B$3:$B$5001,J$280,BD!$A$3:$A$5001,"&gt;="&amp;$C$7,BD!$A$3:$A$5001,"&lt;="&amp;$B286,BD!$Z$3:$Z$5001,"&lt;&gt;")=0,"",SUMIFS(BD!$Z$3:$Z$5001,BD!$B$3:$B$5001,J$280,BD!$A$3:$A$5001,_xlfn.MAXIFS(BD!$A$3:$A$5001,BD!$B$3:$B$5001,J$280,BD!$A$3:$A$5001,"&gt;="&amp;$C$7,BD!$A$3:$A$5001,"&lt;="&amp;$B286,BD!$Z$3:$Z$5001,"&lt;&gt;"))))</f>
        <v/>
      </c>
      <c r="K286" s="54" t="str">
        <f>IF(OR($B286="",$A286&gt;$B$9,K$280=""),"",IF(COUNTIFS(BD!$B$3:$B$5001,K$280,BD!$A$3:$A$5001,"&gt;="&amp;$C$7,BD!$A$3:$A$5001,"&lt;="&amp;$B286,BD!$Z$3:$Z$5001,"&lt;&gt;")=0,"",SUMIFS(BD!$Z$3:$Z$5001,BD!$B$3:$B$5001,K$280,BD!$A$3:$A$5001,_xlfn.MAXIFS(BD!$A$3:$A$5001,BD!$B$3:$B$5001,K$280,BD!$A$3:$A$5001,"&gt;="&amp;$C$7,BD!$A$3:$A$5001,"&lt;="&amp;$B286,BD!$Z$3:$Z$5001,"&lt;&gt;"))))</f>
        <v/>
      </c>
      <c r="L286" s="54" t="str">
        <f>IF(OR($B286="",$A286&gt;$B$9,L$280=""),"",IF(COUNTIFS(BD!$B$3:$B$5001,L$280,BD!$A$3:$A$5001,"&gt;="&amp;$C$7,BD!$A$3:$A$5001,"&lt;="&amp;$B286,BD!$Z$3:$Z$5001,"&lt;&gt;")=0,"",SUMIFS(BD!$Z$3:$Z$5001,BD!$B$3:$B$5001,L$280,BD!$A$3:$A$5001,_xlfn.MAXIFS(BD!$A$3:$A$5001,BD!$B$3:$B$5001,L$280,BD!$A$3:$A$5001,"&gt;="&amp;$C$7,BD!$A$3:$A$5001,"&lt;="&amp;$B286,BD!$Z$3:$Z$5001,"&lt;&gt;"))))</f>
        <v/>
      </c>
      <c r="M286" s="54" t="str">
        <f>IF(OR($B286="",$A286&gt;$B$9,M$280=""),"",IF(COUNTIFS(BD!$B$3:$B$5001,M$280,BD!$A$3:$A$5001,"&gt;="&amp;$C$7,BD!$A$3:$A$5001,"&lt;="&amp;$B286,BD!$Z$3:$Z$5001,"&lt;&gt;")=0,"",SUMIFS(BD!$Z$3:$Z$5001,BD!$B$3:$B$5001,M$280,BD!$A$3:$A$5001,_xlfn.MAXIFS(BD!$A$3:$A$5001,BD!$B$3:$B$5001,M$280,BD!$A$3:$A$5001,"&gt;="&amp;$C$7,BD!$A$3:$A$5001,"&lt;="&amp;$B286,BD!$Z$3:$Z$5001,"&lt;&gt;"))))</f>
        <v/>
      </c>
      <c r="N286" s="54" t="str">
        <f>IF(OR($B286="",$A286&gt;$B$9,N$280=""),"",IF(COUNTIFS(BD!$B$3:$B$5001,N$280,BD!$A$3:$A$5001,"&gt;="&amp;$C$7,BD!$A$3:$A$5001,"&lt;="&amp;$B286,BD!$Z$3:$Z$5001,"&lt;&gt;")=0,"",SUMIFS(BD!$Z$3:$Z$5001,BD!$B$3:$B$5001,N$280,BD!$A$3:$A$5001,_xlfn.MAXIFS(BD!$A$3:$A$5001,BD!$B$3:$B$5001,N$280,BD!$A$3:$A$5001,"&gt;="&amp;$C$7,BD!$A$3:$A$5001,"&lt;="&amp;$B286,BD!$Z$3:$Z$5001,"&lt;&gt;"))))</f>
        <v/>
      </c>
      <c r="O286" s="54" t="str">
        <f>IF(OR($B286="",$A286&gt;$B$9,O$280=""),"",IF(COUNTIFS(BD!$B$3:$B$5001,O$280,BD!$A$3:$A$5001,"&gt;="&amp;$C$7,BD!$A$3:$A$5001,"&lt;="&amp;$B286,BD!$Z$3:$Z$5001,"&lt;&gt;")=0,"",SUMIFS(BD!$Z$3:$Z$5001,BD!$B$3:$B$5001,O$280,BD!$A$3:$A$5001,_xlfn.MAXIFS(BD!$A$3:$A$5001,BD!$B$3:$B$5001,O$280,BD!$A$3:$A$5001,"&gt;="&amp;$C$7,BD!$A$3:$A$5001,"&lt;="&amp;$B286,BD!$Z$3:$Z$5001,"&lt;&gt;"))))</f>
        <v/>
      </c>
      <c r="P286" s="54" t="str">
        <f>IF(OR($B286="",$A286&gt;$B$9,P$280=""),"",IF(COUNTIFS(BD!$B$3:$B$5001,P$280,BD!$A$3:$A$5001,"&gt;="&amp;$C$7,BD!$A$3:$A$5001,"&lt;="&amp;$B286,BD!$Z$3:$Z$5001,"&lt;&gt;")=0,"",SUMIFS(BD!$Z$3:$Z$5001,BD!$B$3:$B$5001,P$280,BD!$A$3:$A$5001,_xlfn.MAXIFS(BD!$A$3:$A$5001,BD!$B$3:$B$5001,P$280,BD!$A$3:$A$5001,"&gt;="&amp;$C$7,BD!$A$3:$A$5001,"&lt;="&amp;$B286,BD!$Z$3:$Z$5001,"&lt;&gt;"))))</f>
        <v/>
      </c>
      <c r="Q286" s="54" t="str">
        <f>IF(OR($B286="",$A286&gt;$B$9,Q$280=""),"",IF(COUNTIFS(BD!$B$3:$B$5001,Q$280,BD!$A$3:$A$5001,"&gt;="&amp;$C$7,BD!$A$3:$A$5001,"&lt;="&amp;$B286,BD!$Z$3:$Z$5001,"&lt;&gt;")=0,"",SUMIFS(BD!$Z$3:$Z$5001,BD!$B$3:$B$5001,Q$280,BD!$A$3:$A$5001,_xlfn.MAXIFS(BD!$A$3:$A$5001,BD!$B$3:$B$5001,Q$280,BD!$A$3:$A$5001,"&gt;="&amp;$C$7,BD!$A$3:$A$5001,"&lt;="&amp;$B286,BD!$Z$3:$Z$5001,"&lt;&gt;"))))</f>
        <v/>
      </c>
      <c r="R286" s="54" t="str">
        <f>IF(OR($B286="",$A286&gt;$B$9,R$280=""),"",IF(COUNTIFS(BD!$B$3:$B$5001,R$280,BD!$A$3:$A$5001,"&gt;="&amp;$C$7,BD!$A$3:$A$5001,"&lt;="&amp;$B286,BD!$Z$3:$Z$5001,"&lt;&gt;")=0,"",SUMIFS(BD!$Z$3:$Z$5001,BD!$B$3:$B$5001,R$280,BD!$A$3:$A$5001,_xlfn.MAXIFS(BD!$A$3:$A$5001,BD!$B$3:$B$5001,R$280,BD!$A$3:$A$5001,"&gt;="&amp;$C$7,BD!$A$3:$A$5001,"&lt;="&amp;$B286,BD!$Z$3:$Z$5001,"&lt;&gt;"))))</f>
        <v/>
      </c>
      <c r="S286" s="54" t="str">
        <f>IF(OR($B286="",$A286&gt;$B$9,S$280=""),"",IF(COUNTIFS(BD!$B$3:$B$5001,S$280,BD!$A$3:$A$5001,"&gt;="&amp;$C$7,BD!$A$3:$A$5001,"&lt;="&amp;$B286,BD!$Z$3:$Z$5001,"&lt;&gt;")=0,"",SUMIFS(BD!$Z$3:$Z$5001,BD!$B$3:$B$5001,S$280,BD!$A$3:$A$5001,_xlfn.MAXIFS(BD!$A$3:$A$5001,BD!$B$3:$B$5001,S$280,BD!$A$3:$A$5001,"&gt;="&amp;$C$7,BD!$A$3:$A$5001,"&lt;="&amp;$B286,BD!$Z$3:$Z$5001,"&lt;&gt;"))))</f>
        <v/>
      </c>
      <c r="T286" s="54" t="str">
        <f>IF(OR($B286="",$A286&gt;$B$9,T$280=""),"",IF(COUNTIFS(BD!$B$3:$B$5001,T$280,BD!$A$3:$A$5001,"&gt;="&amp;$C$7,BD!$A$3:$A$5001,"&lt;="&amp;$B286,BD!$Z$3:$Z$5001,"&lt;&gt;")=0,"",SUMIFS(BD!$Z$3:$Z$5001,BD!$B$3:$B$5001,T$280,BD!$A$3:$A$5001,_xlfn.MAXIFS(BD!$A$3:$A$5001,BD!$B$3:$B$5001,T$280,BD!$A$3:$A$5001,"&gt;="&amp;$C$7,BD!$A$3:$A$5001,"&lt;="&amp;$B286,BD!$Z$3:$Z$5001,"&lt;&gt;"))))</f>
        <v/>
      </c>
      <c r="U286" s="54" t="str">
        <f>IF(OR($B286="",$A286&gt;$B$9,U$280=""),"",IF(COUNTIFS(BD!$B$3:$B$5001,U$280,BD!$A$3:$A$5001,"&gt;="&amp;$C$7,BD!$A$3:$A$5001,"&lt;="&amp;$B286,BD!$Z$3:$Z$5001,"&lt;&gt;")=0,"",SUMIFS(BD!$Z$3:$Z$5001,BD!$B$3:$B$5001,U$280,BD!$A$3:$A$5001,_xlfn.MAXIFS(BD!$A$3:$A$5001,BD!$B$3:$B$5001,U$280,BD!$A$3:$A$5001,"&gt;="&amp;$C$7,BD!$A$3:$A$5001,"&lt;="&amp;$B286,BD!$Z$3:$Z$5001,"&lt;&gt;"))))</f>
        <v/>
      </c>
      <c r="V286" s="54" t="str">
        <f>IF(OR($B286="",$A286&gt;$B$9,V$280=""),"",IF(COUNTIFS(BD!$B$3:$B$5001,V$280,BD!$A$3:$A$5001,"&gt;="&amp;$C$7,BD!$A$3:$A$5001,"&lt;="&amp;$B286,BD!$Z$3:$Z$5001,"&lt;&gt;")=0,"",SUMIFS(BD!$Z$3:$Z$5001,BD!$B$3:$B$5001,V$280,BD!$A$3:$A$5001,_xlfn.MAXIFS(BD!$A$3:$A$5001,BD!$B$3:$B$5001,V$280,BD!$A$3:$A$5001,"&gt;="&amp;$C$7,BD!$A$3:$A$5001,"&lt;="&amp;$B286,BD!$Z$3:$Z$5001,"&lt;&gt;"))))</f>
        <v/>
      </c>
    </row>
    <row r="287">
      <c r="A287" s="48">
        <v>7</v>
      </c>
      <c r="B287" s="53">
        <f>$B$18</f>
        <v>46302</v>
      </c>
      <c r="C287" s="54" t="str">
        <f>IF(OR($B287="",$A287&gt;$B$9,C$280=""),"",IF(COUNTIFS(BD!$B$3:$B$5001,C$280,BD!$A$3:$A$5001,"&gt;="&amp;$C$7,BD!$A$3:$A$5001,"&lt;="&amp;$B287,BD!$Z$3:$Z$5001,"&lt;&gt;")=0,"",SUMIFS(BD!$Z$3:$Z$5001,BD!$B$3:$B$5001,C$280,BD!$A$3:$A$5001,_xlfn.MAXIFS(BD!$A$3:$A$5001,BD!$B$3:$B$5001,C$280,BD!$A$3:$A$5001,"&gt;="&amp;$C$7,BD!$A$3:$A$5001,"&lt;="&amp;$B287,BD!$Z$3:$Z$5001,"&lt;&gt;"))))</f>
        <v/>
      </c>
      <c r="D287" s="54" t="str">
        <f>IF(OR($B287="",$A287&gt;$B$9,D$280=""),"",IF(COUNTIFS(BD!$B$3:$B$5001,D$280,BD!$A$3:$A$5001,"&gt;="&amp;$C$7,BD!$A$3:$A$5001,"&lt;="&amp;$B287,BD!$Z$3:$Z$5001,"&lt;&gt;")=0,"",SUMIFS(BD!$Z$3:$Z$5001,BD!$B$3:$B$5001,D$280,BD!$A$3:$A$5001,_xlfn.MAXIFS(BD!$A$3:$A$5001,BD!$B$3:$B$5001,D$280,BD!$A$3:$A$5001,"&gt;="&amp;$C$7,BD!$A$3:$A$5001,"&lt;="&amp;$B287,BD!$Z$3:$Z$5001,"&lt;&gt;"))))</f>
        <v/>
      </c>
      <c r="E287" s="54" t="str">
        <f>IF(OR($B287="",$A287&gt;$B$9,E$280=""),"",IF(COUNTIFS(BD!$B$3:$B$5001,E$280,BD!$A$3:$A$5001,"&gt;="&amp;$C$7,BD!$A$3:$A$5001,"&lt;="&amp;$B287,BD!$Z$3:$Z$5001,"&lt;&gt;")=0,"",SUMIFS(BD!$Z$3:$Z$5001,BD!$B$3:$B$5001,E$280,BD!$A$3:$A$5001,_xlfn.MAXIFS(BD!$A$3:$A$5001,BD!$B$3:$B$5001,E$280,BD!$A$3:$A$5001,"&gt;="&amp;$C$7,BD!$A$3:$A$5001,"&lt;="&amp;$B287,BD!$Z$3:$Z$5001,"&lt;&gt;"))))</f>
        <v/>
      </c>
      <c r="F287" s="54" t="str">
        <f>IF(OR($B287="",$A287&gt;$B$9,F$280=""),"",IF(COUNTIFS(BD!$B$3:$B$5001,F$280,BD!$A$3:$A$5001,"&gt;="&amp;$C$7,BD!$A$3:$A$5001,"&lt;="&amp;$B287,BD!$Z$3:$Z$5001,"&lt;&gt;")=0,"",SUMIFS(BD!$Z$3:$Z$5001,BD!$B$3:$B$5001,F$280,BD!$A$3:$A$5001,_xlfn.MAXIFS(BD!$A$3:$A$5001,BD!$B$3:$B$5001,F$280,BD!$A$3:$A$5001,"&gt;="&amp;$C$7,BD!$A$3:$A$5001,"&lt;="&amp;$B287,BD!$Z$3:$Z$5001,"&lt;&gt;"))))</f>
        <v/>
      </c>
      <c r="G287" s="54" t="str">
        <f>IF(OR($B287="",$A287&gt;$B$9,G$280=""),"",IF(COUNTIFS(BD!$B$3:$B$5001,G$280,BD!$A$3:$A$5001,"&gt;="&amp;$C$7,BD!$A$3:$A$5001,"&lt;="&amp;$B287,BD!$Z$3:$Z$5001,"&lt;&gt;")=0,"",SUMIFS(BD!$Z$3:$Z$5001,BD!$B$3:$B$5001,G$280,BD!$A$3:$A$5001,_xlfn.MAXIFS(BD!$A$3:$A$5001,BD!$B$3:$B$5001,G$280,BD!$A$3:$A$5001,"&gt;="&amp;$C$7,BD!$A$3:$A$5001,"&lt;="&amp;$B287,BD!$Z$3:$Z$5001,"&lt;&gt;"))))</f>
        <v/>
      </c>
      <c r="H287" s="54" t="str">
        <f>IF(OR($B287="",$A287&gt;$B$9,H$280=""),"",IF(COUNTIFS(BD!$B$3:$B$5001,H$280,BD!$A$3:$A$5001,"&gt;="&amp;$C$7,BD!$A$3:$A$5001,"&lt;="&amp;$B287,BD!$Z$3:$Z$5001,"&lt;&gt;")=0,"",SUMIFS(BD!$Z$3:$Z$5001,BD!$B$3:$B$5001,H$280,BD!$A$3:$A$5001,_xlfn.MAXIFS(BD!$A$3:$A$5001,BD!$B$3:$B$5001,H$280,BD!$A$3:$A$5001,"&gt;="&amp;$C$7,BD!$A$3:$A$5001,"&lt;="&amp;$B287,BD!$Z$3:$Z$5001,"&lt;&gt;"))))</f>
        <v/>
      </c>
      <c r="I287" s="54" t="str">
        <f>IF(OR($B287="",$A287&gt;$B$9,I$280=""),"",IF(COUNTIFS(BD!$B$3:$B$5001,I$280,BD!$A$3:$A$5001,"&gt;="&amp;$C$7,BD!$A$3:$A$5001,"&lt;="&amp;$B287,BD!$Z$3:$Z$5001,"&lt;&gt;")=0,"",SUMIFS(BD!$Z$3:$Z$5001,BD!$B$3:$B$5001,I$280,BD!$A$3:$A$5001,_xlfn.MAXIFS(BD!$A$3:$A$5001,BD!$B$3:$B$5001,I$280,BD!$A$3:$A$5001,"&gt;="&amp;$C$7,BD!$A$3:$A$5001,"&lt;="&amp;$B287,BD!$Z$3:$Z$5001,"&lt;&gt;"))))</f>
        <v/>
      </c>
      <c r="J287" s="54" t="str">
        <f>IF(OR($B287="",$A287&gt;$B$9,J$280=""),"",IF(COUNTIFS(BD!$B$3:$B$5001,J$280,BD!$A$3:$A$5001,"&gt;="&amp;$C$7,BD!$A$3:$A$5001,"&lt;="&amp;$B287,BD!$Z$3:$Z$5001,"&lt;&gt;")=0,"",SUMIFS(BD!$Z$3:$Z$5001,BD!$B$3:$B$5001,J$280,BD!$A$3:$A$5001,_xlfn.MAXIFS(BD!$A$3:$A$5001,BD!$B$3:$B$5001,J$280,BD!$A$3:$A$5001,"&gt;="&amp;$C$7,BD!$A$3:$A$5001,"&lt;="&amp;$B287,BD!$Z$3:$Z$5001,"&lt;&gt;"))))</f>
        <v/>
      </c>
      <c r="K287" s="54" t="str">
        <f>IF(OR($B287="",$A287&gt;$B$9,K$280=""),"",IF(COUNTIFS(BD!$B$3:$B$5001,K$280,BD!$A$3:$A$5001,"&gt;="&amp;$C$7,BD!$A$3:$A$5001,"&lt;="&amp;$B287,BD!$Z$3:$Z$5001,"&lt;&gt;")=0,"",SUMIFS(BD!$Z$3:$Z$5001,BD!$B$3:$B$5001,K$280,BD!$A$3:$A$5001,_xlfn.MAXIFS(BD!$A$3:$A$5001,BD!$B$3:$B$5001,K$280,BD!$A$3:$A$5001,"&gt;="&amp;$C$7,BD!$A$3:$A$5001,"&lt;="&amp;$B287,BD!$Z$3:$Z$5001,"&lt;&gt;"))))</f>
        <v/>
      </c>
      <c r="L287" s="54" t="str">
        <f>IF(OR($B287="",$A287&gt;$B$9,L$280=""),"",IF(COUNTIFS(BD!$B$3:$B$5001,L$280,BD!$A$3:$A$5001,"&gt;="&amp;$C$7,BD!$A$3:$A$5001,"&lt;="&amp;$B287,BD!$Z$3:$Z$5001,"&lt;&gt;")=0,"",SUMIFS(BD!$Z$3:$Z$5001,BD!$B$3:$B$5001,L$280,BD!$A$3:$A$5001,_xlfn.MAXIFS(BD!$A$3:$A$5001,BD!$B$3:$B$5001,L$280,BD!$A$3:$A$5001,"&gt;="&amp;$C$7,BD!$A$3:$A$5001,"&lt;="&amp;$B287,BD!$Z$3:$Z$5001,"&lt;&gt;"))))</f>
        <v/>
      </c>
      <c r="M287" s="54" t="str">
        <f>IF(OR($B287="",$A287&gt;$B$9,M$280=""),"",IF(COUNTIFS(BD!$B$3:$B$5001,M$280,BD!$A$3:$A$5001,"&gt;="&amp;$C$7,BD!$A$3:$A$5001,"&lt;="&amp;$B287,BD!$Z$3:$Z$5001,"&lt;&gt;")=0,"",SUMIFS(BD!$Z$3:$Z$5001,BD!$B$3:$B$5001,M$280,BD!$A$3:$A$5001,_xlfn.MAXIFS(BD!$A$3:$A$5001,BD!$B$3:$B$5001,M$280,BD!$A$3:$A$5001,"&gt;="&amp;$C$7,BD!$A$3:$A$5001,"&lt;="&amp;$B287,BD!$Z$3:$Z$5001,"&lt;&gt;"))))</f>
        <v/>
      </c>
      <c r="N287" s="54" t="str">
        <f>IF(OR($B287="",$A287&gt;$B$9,N$280=""),"",IF(COUNTIFS(BD!$B$3:$B$5001,N$280,BD!$A$3:$A$5001,"&gt;="&amp;$C$7,BD!$A$3:$A$5001,"&lt;="&amp;$B287,BD!$Z$3:$Z$5001,"&lt;&gt;")=0,"",SUMIFS(BD!$Z$3:$Z$5001,BD!$B$3:$B$5001,N$280,BD!$A$3:$A$5001,_xlfn.MAXIFS(BD!$A$3:$A$5001,BD!$B$3:$B$5001,N$280,BD!$A$3:$A$5001,"&gt;="&amp;$C$7,BD!$A$3:$A$5001,"&lt;="&amp;$B287,BD!$Z$3:$Z$5001,"&lt;&gt;"))))</f>
        <v/>
      </c>
      <c r="O287" s="54" t="str">
        <f>IF(OR($B287="",$A287&gt;$B$9,O$280=""),"",IF(COUNTIFS(BD!$B$3:$B$5001,O$280,BD!$A$3:$A$5001,"&gt;="&amp;$C$7,BD!$A$3:$A$5001,"&lt;="&amp;$B287,BD!$Z$3:$Z$5001,"&lt;&gt;")=0,"",SUMIFS(BD!$Z$3:$Z$5001,BD!$B$3:$B$5001,O$280,BD!$A$3:$A$5001,_xlfn.MAXIFS(BD!$A$3:$A$5001,BD!$B$3:$B$5001,O$280,BD!$A$3:$A$5001,"&gt;="&amp;$C$7,BD!$A$3:$A$5001,"&lt;="&amp;$B287,BD!$Z$3:$Z$5001,"&lt;&gt;"))))</f>
        <v/>
      </c>
      <c r="P287" s="54" t="str">
        <f>IF(OR($B287="",$A287&gt;$B$9,P$280=""),"",IF(COUNTIFS(BD!$B$3:$B$5001,P$280,BD!$A$3:$A$5001,"&gt;="&amp;$C$7,BD!$A$3:$A$5001,"&lt;="&amp;$B287,BD!$Z$3:$Z$5001,"&lt;&gt;")=0,"",SUMIFS(BD!$Z$3:$Z$5001,BD!$B$3:$B$5001,P$280,BD!$A$3:$A$5001,_xlfn.MAXIFS(BD!$A$3:$A$5001,BD!$B$3:$B$5001,P$280,BD!$A$3:$A$5001,"&gt;="&amp;$C$7,BD!$A$3:$A$5001,"&lt;="&amp;$B287,BD!$Z$3:$Z$5001,"&lt;&gt;"))))</f>
        <v/>
      </c>
      <c r="Q287" s="54" t="str">
        <f>IF(OR($B287="",$A287&gt;$B$9,Q$280=""),"",IF(COUNTIFS(BD!$B$3:$B$5001,Q$280,BD!$A$3:$A$5001,"&gt;="&amp;$C$7,BD!$A$3:$A$5001,"&lt;="&amp;$B287,BD!$Z$3:$Z$5001,"&lt;&gt;")=0,"",SUMIFS(BD!$Z$3:$Z$5001,BD!$B$3:$B$5001,Q$280,BD!$A$3:$A$5001,_xlfn.MAXIFS(BD!$A$3:$A$5001,BD!$B$3:$B$5001,Q$280,BD!$A$3:$A$5001,"&gt;="&amp;$C$7,BD!$A$3:$A$5001,"&lt;="&amp;$B287,BD!$Z$3:$Z$5001,"&lt;&gt;"))))</f>
        <v/>
      </c>
      <c r="R287" s="54" t="str">
        <f>IF(OR($B287="",$A287&gt;$B$9,R$280=""),"",IF(COUNTIFS(BD!$B$3:$B$5001,R$280,BD!$A$3:$A$5001,"&gt;="&amp;$C$7,BD!$A$3:$A$5001,"&lt;="&amp;$B287,BD!$Z$3:$Z$5001,"&lt;&gt;")=0,"",SUMIFS(BD!$Z$3:$Z$5001,BD!$B$3:$B$5001,R$280,BD!$A$3:$A$5001,_xlfn.MAXIFS(BD!$A$3:$A$5001,BD!$B$3:$B$5001,R$280,BD!$A$3:$A$5001,"&gt;="&amp;$C$7,BD!$A$3:$A$5001,"&lt;="&amp;$B287,BD!$Z$3:$Z$5001,"&lt;&gt;"))))</f>
        <v/>
      </c>
      <c r="S287" s="54" t="str">
        <f>IF(OR($B287="",$A287&gt;$B$9,S$280=""),"",IF(COUNTIFS(BD!$B$3:$B$5001,S$280,BD!$A$3:$A$5001,"&gt;="&amp;$C$7,BD!$A$3:$A$5001,"&lt;="&amp;$B287,BD!$Z$3:$Z$5001,"&lt;&gt;")=0,"",SUMIFS(BD!$Z$3:$Z$5001,BD!$B$3:$B$5001,S$280,BD!$A$3:$A$5001,_xlfn.MAXIFS(BD!$A$3:$A$5001,BD!$B$3:$B$5001,S$280,BD!$A$3:$A$5001,"&gt;="&amp;$C$7,BD!$A$3:$A$5001,"&lt;="&amp;$B287,BD!$Z$3:$Z$5001,"&lt;&gt;"))))</f>
        <v/>
      </c>
      <c r="T287" s="54" t="str">
        <f>IF(OR($B287="",$A287&gt;$B$9,T$280=""),"",IF(COUNTIFS(BD!$B$3:$B$5001,T$280,BD!$A$3:$A$5001,"&gt;="&amp;$C$7,BD!$A$3:$A$5001,"&lt;="&amp;$B287,BD!$Z$3:$Z$5001,"&lt;&gt;")=0,"",SUMIFS(BD!$Z$3:$Z$5001,BD!$B$3:$B$5001,T$280,BD!$A$3:$A$5001,_xlfn.MAXIFS(BD!$A$3:$A$5001,BD!$B$3:$B$5001,T$280,BD!$A$3:$A$5001,"&gt;="&amp;$C$7,BD!$A$3:$A$5001,"&lt;="&amp;$B287,BD!$Z$3:$Z$5001,"&lt;&gt;"))))</f>
        <v/>
      </c>
      <c r="U287" s="54" t="str">
        <f>IF(OR($B287="",$A287&gt;$B$9,U$280=""),"",IF(COUNTIFS(BD!$B$3:$B$5001,U$280,BD!$A$3:$A$5001,"&gt;="&amp;$C$7,BD!$A$3:$A$5001,"&lt;="&amp;$B287,BD!$Z$3:$Z$5001,"&lt;&gt;")=0,"",SUMIFS(BD!$Z$3:$Z$5001,BD!$B$3:$B$5001,U$280,BD!$A$3:$A$5001,_xlfn.MAXIFS(BD!$A$3:$A$5001,BD!$B$3:$B$5001,U$280,BD!$A$3:$A$5001,"&gt;="&amp;$C$7,BD!$A$3:$A$5001,"&lt;="&amp;$B287,BD!$Z$3:$Z$5001,"&lt;&gt;"))))</f>
        <v/>
      </c>
      <c r="V287" s="54" t="str">
        <f>IF(OR($B287="",$A287&gt;$B$9,V$280=""),"",IF(COUNTIFS(BD!$B$3:$B$5001,V$280,BD!$A$3:$A$5001,"&gt;="&amp;$C$7,BD!$A$3:$A$5001,"&lt;="&amp;$B287,BD!$Z$3:$Z$5001,"&lt;&gt;")=0,"",SUMIFS(BD!$Z$3:$Z$5001,BD!$B$3:$B$5001,V$280,BD!$A$3:$A$5001,_xlfn.MAXIFS(BD!$A$3:$A$5001,BD!$B$3:$B$5001,V$280,BD!$A$3:$A$5001,"&gt;="&amp;$C$7,BD!$A$3:$A$5001,"&lt;="&amp;$B287,BD!$Z$3:$Z$5001,"&lt;&gt;"))))</f>
        <v/>
      </c>
    </row>
    <row r="288">
      <c r="A288" s="48">
        <v>8</v>
      </c>
      <c r="B288" s="53">
        <f>$B$19</f>
        <v>46303</v>
      </c>
      <c r="C288" s="54" t="str">
        <f>IF(OR($B288="",$A288&gt;$B$9,C$280=""),"",IF(COUNTIFS(BD!$B$3:$B$5001,C$280,BD!$A$3:$A$5001,"&gt;="&amp;$C$7,BD!$A$3:$A$5001,"&lt;="&amp;$B288,BD!$Z$3:$Z$5001,"&lt;&gt;")=0,"",SUMIFS(BD!$Z$3:$Z$5001,BD!$B$3:$B$5001,C$280,BD!$A$3:$A$5001,_xlfn.MAXIFS(BD!$A$3:$A$5001,BD!$B$3:$B$5001,C$280,BD!$A$3:$A$5001,"&gt;="&amp;$C$7,BD!$A$3:$A$5001,"&lt;="&amp;$B288,BD!$Z$3:$Z$5001,"&lt;&gt;"))))</f>
        <v/>
      </c>
      <c r="D288" s="54" t="str">
        <f>IF(OR($B288="",$A288&gt;$B$9,D$280=""),"",IF(COUNTIFS(BD!$B$3:$B$5001,D$280,BD!$A$3:$A$5001,"&gt;="&amp;$C$7,BD!$A$3:$A$5001,"&lt;="&amp;$B288,BD!$Z$3:$Z$5001,"&lt;&gt;")=0,"",SUMIFS(BD!$Z$3:$Z$5001,BD!$B$3:$B$5001,D$280,BD!$A$3:$A$5001,_xlfn.MAXIFS(BD!$A$3:$A$5001,BD!$B$3:$B$5001,D$280,BD!$A$3:$A$5001,"&gt;="&amp;$C$7,BD!$A$3:$A$5001,"&lt;="&amp;$B288,BD!$Z$3:$Z$5001,"&lt;&gt;"))))</f>
        <v/>
      </c>
      <c r="E288" s="54" t="str">
        <f>IF(OR($B288="",$A288&gt;$B$9,E$280=""),"",IF(COUNTIFS(BD!$B$3:$B$5001,E$280,BD!$A$3:$A$5001,"&gt;="&amp;$C$7,BD!$A$3:$A$5001,"&lt;="&amp;$B288,BD!$Z$3:$Z$5001,"&lt;&gt;")=0,"",SUMIFS(BD!$Z$3:$Z$5001,BD!$B$3:$B$5001,E$280,BD!$A$3:$A$5001,_xlfn.MAXIFS(BD!$A$3:$A$5001,BD!$B$3:$B$5001,E$280,BD!$A$3:$A$5001,"&gt;="&amp;$C$7,BD!$A$3:$A$5001,"&lt;="&amp;$B288,BD!$Z$3:$Z$5001,"&lt;&gt;"))))</f>
        <v/>
      </c>
      <c r="F288" s="54" t="str">
        <f>IF(OR($B288="",$A288&gt;$B$9,F$280=""),"",IF(COUNTIFS(BD!$B$3:$B$5001,F$280,BD!$A$3:$A$5001,"&gt;="&amp;$C$7,BD!$A$3:$A$5001,"&lt;="&amp;$B288,BD!$Z$3:$Z$5001,"&lt;&gt;")=0,"",SUMIFS(BD!$Z$3:$Z$5001,BD!$B$3:$B$5001,F$280,BD!$A$3:$A$5001,_xlfn.MAXIFS(BD!$A$3:$A$5001,BD!$B$3:$B$5001,F$280,BD!$A$3:$A$5001,"&gt;="&amp;$C$7,BD!$A$3:$A$5001,"&lt;="&amp;$B288,BD!$Z$3:$Z$5001,"&lt;&gt;"))))</f>
        <v/>
      </c>
      <c r="G288" s="54" t="str">
        <f>IF(OR($B288="",$A288&gt;$B$9,G$280=""),"",IF(COUNTIFS(BD!$B$3:$B$5001,G$280,BD!$A$3:$A$5001,"&gt;="&amp;$C$7,BD!$A$3:$A$5001,"&lt;="&amp;$B288,BD!$Z$3:$Z$5001,"&lt;&gt;")=0,"",SUMIFS(BD!$Z$3:$Z$5001,BD!$B$3:$B$5001,G$280,BD!$A$3:$A$5001,_xlfn.MAXIFS(BD!$A$3:$A$5001,BD!$B$3:$B$5001,G$280,BD!$A$3:$A$5001,"&gt;="&amp;$C$7,BD!$A$3:$A$5001,"&lt;="&amp;$B288,BD!$Z$3:$Z$5001,"&lt;&gt;"))))</f>
        <v/>
      </c>
      <c r="H288" s="54" t="str">
        <f>IF(OR($B288="",$A288&gt;$B$9,H$280=""),"",IF(COUNTIFS(BD!$B$3:$B$5001,H$280,BD!$A$3:$A$5001,"&gt;="&amp;$C$7,BD!$A$3:$A$5001,"&lt;="&amp;$B288,BD!$Z$3:$Z$5001,"&lt;&gt;")=0,"",SUMIFS(BD!$Z$3:$Z$5001,BD!$B$3:$B$5001,H$280,BD!$A$3:$A$5001,_xlfn.MAXIFS(BD!$A$3:$A$5001,BD!$B$3:$B$5001,H$280,BD!$A$3:$A$5001,"&gt;="&amp;$C$7,BD!$A$3:$A$5001,"&lt;="&amp;$B288,BD!$Z$3:$Z$5001,"&lt;&gt;"))))</f>
        <v/>
      </c>
      <c r="I288" s="54" t="str">
        <f>IF(OR($B288="",$A288&gt;$B$9,I$280=""),"",IF(COUNTIFS(BD!$B$3:$B$5001,I$280,BD!$A$3:$A$5001,"&gt;="&amp;$C$7,BD!$A$3:$A$5001,"&lt;="&amp;$B288,BD!$Z$3:$Z$5001,"&lt;&gt;")=0,"",SUMIFS(BD!$Z$3:$Z$5001,BD!$B$3:$B$5001,I$280,BD!$A$3:$A$5001,_xlfn.MAXIFS(BD!$A$3:$A$5001,BD!$B$3:$B$5001,I$280,BD!$A$3:$A$5001,"&gt;="&amp;$C$7,BD!$A$3:$A$5001,"&lt;="&amp;$B288,BD!$Z$3:$Z$5001,"&lt;&gt;"))))</f>
        <v/>
      </c>
      <c r="J288" s="54" t="str">
        <f>IF(OR($B288="",$A288&gt;$B$9,J$280=""),"",IF(COUNTIFS(BD!$B$3:$B$5001,J$280,BD!$A$3:$A$5001,"&gt;="&amp;$C$7,BD!$A$3:$A$5001,"&lt;="&amp;$B288,BD!$Z$3:$Z$5001,"&lt;&gt;")=0,"",SUMIFS(BD!$Z$3:$Z$5001,BD!$B$3:$B$5001,J$280,BD!$A$3:$A$5001,_xlfn.MAXIFS(BD!$A$3:$A$5001,BD!$B$3:$B$5001,J$280,BD!$A$3:$A$5001,"&gt;="&amp;$C$7,BD!$A$3:$A$5001,"&lt;="&amp;$B288,BD!$Z$3:$Z$5001,"&lt;&gt;"))))</f>
        <v/>
      </c>
      <c r="K288" s="54" t="str">
        <f>IF(OR($B288="",$A288&gt;$B$9,K$280=""),"",IF(COUNTIFS(BD!$B$3:$B$5001,K$280,BD!$A$3:$A$5001,"&gt;="&amp;$C$7,BD!$A$3:$A$5001,"&lt;="&amp;$B288,BD!$Z$3:$Z$5001,"&lt;&gt;")=0,"",SUMIFS(BD!$Z$3:$Z$5001,BD!$B$3:$B$5001,K$280,BD!$A$3:$A$5001,_xlfn.MAXIFS(BD!$A$3:$A$5001,BD!$B$3:$B$5001,K$280,BD!$A$3:$A$5001,"&gt;="&amp;$C$7,BD!$A$3:$A$5001,"&lt;="&amp;$B288,BD!$Z$3:$Z$5001,"&lt;&gt;"))))</f>
        <v/>
      </c>
      <c r="L288" s="54" t="str">
        <f>IF(OR($B288="",$A288&gt;$B$9,L$280=""),"",IF(COUNTIFS(BD!$B$3:$B$5001,L$280,BD!$A$3:$A$5001,"&gt;="&amp;$C$7,BD!$A$3:$A$5001,"&lt;="&amp;$B288,BD!$Z$3:$Z$5001,"&lt;&gt;")=0,"",SUMIFS(BD!$Z$3:$Z$5001,BD!$B$3:$B$5001,L$280,BD!$A$3:$A$5001,_xlfn.MAXIFS(BD!$A$3:$A$5001,BD!$B$3:$B$5001,L$280,BD!$A$3:$A$5001,"&gt;="&amp;$C$7,BD!$A$3:$A$5001,"&lt;="&amp;$B288,BD!$Z$3:$Z$5001,"&lt;&gt;"))))</f>
        <v/>
      </c>
      <c r="M288" s="54" t="str">
        <f>IF(OR($B288="",$A288&gt;$B$9,M$280=""),"",IF(COUNTIFS(BD!$B$3:$B$5001,M$280,BD!$A$3:$A$5001,"&gt;="&amp;$C$7,BD!$A$3:$A$5001,"&lt;="&amp;$B288,BD!$Z$3:$Z$5001,"&lt;&gt;")=0,"",SUMIFS(BD!$Z$3:$Z$5001,BD!$B$3:$B$5001,M$280,BD!$A$3:$A$5001,_xlfn.MAXIFS(BD!$A$3:$A$5001,BD!$B$3:$B$5001,M$280,BD!$A$3:$A$5001,"&gt;="&amp;$C$7,BD!$A$3:$A$5001,"&lt;="&amp;$B288,BD!$Z$3:$Z$5001,"&lt;&gt;"))))</f>
        <v/>
      </c>
      <c r="N288" s="54" t="str">
        <f>IF(OR($B288="",$A288&gt;$B$9,N$280=""),"",IF(COUNTIFS(BD!$B$3:$B$5001,N$280,BD!$A$3:$A$5001,"&gt;="&amp;$C$7,BD!$A$3:$A$5001,"&lt;="&amp;$B288,BD!$Z$3:$Z$5001,"&lt;&gt;")=0,"",SUMIFS(BD!$Z$3:$Z$5001,BD!$B$3:$B$5001,N$280,BD!$A$3:$A$5001,_xlfn.MAXIFS(BD!$A$3:$A$5001,BD!$B$3:$B$5001,N$280,BD!$A$3:$A$5001,"&gt;="&amp;$C$7,BD!$A$3:$A$5001,"&lt;="&amp;$B288,BD!$Z$3:$Z$5001,"&lt;&gt;"))))</f>
        <v/>
      </c>
      <c r="O288" s="54" t="str">
        <f>IF(OR($B288="",$A288&gt;$B$9,O$280=""),"",IF(COUNTIFS(BD!$B$3:$B$5001,O$280,BD!$A$3:$A$5001,"&gt;="&amp;$C$7,BD!$A$3:$A$5001,"&lt;="&amp;$B288,BD!$Z$3:$Z$5001,"&lt;&gt;")=0,"",SUMIFS(BD!$Z$3:$Z$5001,BD!$B$3:$B$5001,O$280,BD!$A$3:$A$5001,_xlfn.MAXIFS(BD!$A$3:$A$5001,BD!$B$3:$B$5001,O$280,BD!$A$3:$A$5001,"&gt;="&amp;$C$7,BD!$A$3:$A$5001,"&lt;="&amp;$B288,BD!$Z$3:$Z$5001,"&lt;&gt;"))))</f>
        <v/>
      </c>
      <c r="P288" s="54" t="str">
        <f>IF(OR($B288="",$A288&gt;$B$9,P$280=""),"",IF(COUNTIFS(BD!$B$3:$B$5001,P$280,BD!$A$3:$A$5001,"&gt;="&amp;$C$7,BD!$A$3:$A$5001,"&lt;="&amp;$B288,BD!$Z$3:$Z$5001,"&lt;&gt;")=0,"",SUMIFS(BD!$Z$3:$Z$5001,BD!$B$3:$B$5001,P$280,BD!$A$3:$A$5001,_xlfn.MAXIFS(BD!$A$3:$A$5001,BD!$B$3:$B$5001,P$280,BD!$A$3:$A$5001,"&gt;="&amp;$C$7,BD!$A$3:$A$5001,"&lt;="&amp;$B288,BD!$Z$3:$Z$5001,"&lt;&gt;"))))</f>
        <v/>
      </c>
      <c r="Q288" s="54" t="str">
        <f>IF(OR($B288="",$A288&gt;$B$9,Q$280=""),"",IF(COUNTIFS(BD!$B$3:$B$5001,Q$280,BD!$A$3:$A$5001,"&gt;="&amp;$C$7,BD!$A$3:$A$5001,"&lt;="&amp;$B288,BD!$Z$3:$Z$5001,"&lt;&gt;")=0,"",SUMIFS(BD!$Z$3:$Z$5001,BD!$B$3:$B$5001,Q$280,BD!$A$3:$A$5001,_xlfn.MAXIFS(BD!$A$3:$A$5001,BD!$B$3:$B$5001,Q$280,BD!$A$3:$A$5001,"&gt;="&amp;$C$7,BD!$A$3:$A$5001,"&lt;="&amp;$B288,BD!$Z$3:$Z$5001,"&lt;&gt;"))))</f>
        <v/>
      </c>
      <c r="R288" s="54" t="str">
        <f>IF(OR($B288="",$A288&gt;$B$9,R$280=""),"",IF(COUNTIFS(BD!$B$3:$B$5001,R$280,BD!$A$3:$A$5001,"&gt;="&amp;$C$7,BD!$A$3:$A$5001,"&lt;="&amp;$B288,BD!$Z$3:$Z$5001,"&lt;&gt;")=0,"",SUMIFS(BD!$Z$3:$Z$5001,BD!$B$3:$B$5001,R$280,BD!$A$3:$A$5001,_xlfn.MAXIFS(BD!$A$3:$A$5001,BD!$B$3:$B$5001,R$280,BD!$A$3:$A$5001,"&gt;="&amp;$C$7,BD!$A$3:$A$5001,"&lt;="&amp;$B288,BD!$Z$3:$Z$5001,"&lt;&gt;"))))</f>
        <v/>
      </c>
      <c r="S288" s="54" t="str">
        <f>IF(OR($B288="",$A288&gt;$B$9,S$280=""),"",IF(COUNTIFS(BD!$B$3:$B$5001,S$280,BD!$A$3:$A$5001,"&gt;="&amp;$C$7,BD!$A$3:$A$5001,"&lt;="&amp;$B288,BD!$Z$3:$Z$5001,"&lt;&gt;")=0,"",SUMIFS(BD!$Z$3:$Z$5001,BD!$B$3:$B$5001,S$280,BD!$A$3:$A$5001,_xlfn.MAXIFS(BD!$A$3:$A$5001,BD!$B$3:$B$5001,S$280,BD!$A$3:$A$5001,"&gt;="&amp;$C$7,BD!$A$3:$A$5001,"&lt;="&amp;$B288,BD!$Z$3:$Z$5001,"&lt;&gt;"))))</f>
        <v/>
      </c>
      <c r="T288" s="54" t="str">
        <f>IF(OR($B288="",$A288&gt;$B$9,T$280=""),"",IF(COUNTIFS(BD!$B$3:$B$5001,T$280,BD!$A$3:$A$5001,"&gt;="&amp;$C$7,BD!$A$3:$A$5001,"&lt;="&amp;$B288,BD!$Z$3:$Z$5001,"&lt;&gt;")=0,"",SUMIFS(BD!$Z$3:$Z$5001,BD!$B$3:$B$5001,T$280,BD!$A$3:$A$5001,_xlfn.MAXIFS(BD!$A$3:$A$5001,BD!$B$3:$B$5001,T$280,BD!$A$3:$A$5001,"&gt;="&amp;$C$7,BD!$A$3:$A$5001,"&lt;="&amp;$B288,BD!$Z$3:$Z$5001,"&lt;&gt;"))))</f>
        <v/>
      </c>
      <c r="U288" s="54" t="str">
        <f>IF(OR($B288="",$A288&gt;$B$9,U$280=""),"",IF(COUNTIFS(BD!$B$3:$B$5001,U$280,BD!$A$3:$A$5001,"&gt;="&amp;$C$7,BD!$A$3:$A$5001,"&lt;="&amp;$B288,BD!$Z$3:$Z$5001,"&lt;&gt;")=0,"",SUMIFS(BD!$Z$3:$Z$5001,BD!$B$3:$B$5001,U$280,BD!$A$3:$A$5001,_xlfn.MAXIFS(BD!$A$3:$A$5001,BD!$B$3:$B$5001,U$280,BD!$A$3:$A$5001,"&gt;="&amp;$C$7,BD!$A$3:$A$5001,"&lt;="&amp;$B288,BD!$Z$3:$Z$5001,"&lt;&gt;"))))</f>
        <v/>
      </c>
      <c r="V288" s="54" t="str">
        <f>IF(OR($B288="",$A288&gt;$B$9,V$280=""),"",IF(COUNTIFS(BD!$B$3:$B$5001,V$280,BD!$A$3:$A$5001,"&gt;="&amp;$C$7,BD!$A$3:$A$5001,"&lt;="&amp;$B288,BD!$Z$3:$Z$5001,"&lt;&gt;")=0,"",SUMIFS(BD!$Z$3:$Z$5001,BD!$B$3:$B$5001,V$280,BD!$A$3:$A$5001,_xlfn.MAXIFS(BD!$A$3:$A$5001,BD!$B$3:$B$5001,V$280,BD!$A$3:$A$5001,"&gt;="&amp;$C$7,BD!$A$3:$A$5001,"&lt;="&amp;$B288,BD!$Z$3:$Z$5001,"&lt;&gt;"))))</f>
        <v/>
      </c>
    </row>
    <row r="289">
      <c r="A289" s="48">
        <v>9</v>
      </c>
      <c r="B289" s="53">
        <f>$B$20</f>
        <v>46304</v>
      </c>
      <c r="C289" s="54" t="str">
        <f>IF(OR($B289="",$A289&gt;$B$9,C$280=""),"",IF(COUNTIFS(BD!$B$3:$B$5001,C$280,BD!$A$3:$A$5001,"&gt;="&amp;$C$7,BD!$A$3:$A$5001,"&lt;="&amp;$B289,BD!$Z$3:$Z$5001,"&lt;&gt;")=0,"",SUMIFS(BD!$Z$3:$Z$5001,BD!$B$3:$B$5001,C$280,BD!$A$3:$A$5001,_xlfn.MAXIFS(BD!$A$3:$A$5001,BD!$B$3:$B$5001,C$280,BD!$A$3:$A$5001,"&gt;="&amp;$C$7,BD!$A$3:$A$5001,"&lt;="&amp;$B289,BD!$Z$3:$Z$5001,"&lt;&gt;"))))</f>
        <v/>
      </c>
      <c r="D289" s="54" t="str">
        <f>IF(OR($B289="",$A289&gt;$B$9,D$280=""),"",IF(COUNTIFS(BD!$B$3:$B$5001,D$280,BD!$A$3:$A$5001,"&gt;="&amp;$C$7,BD!$A$3:$A$5001,"&lt;="&amp;$B289,BD!$Z$3:$Z$5001,"&lt;&gt;")=0,"",SUMIFS(BD!$Z$3:$Z$5001,BD!$B$3:$B$5001,D$280,BD!$A$3:$A$5001,_xlfn.MAXIFS(BD!$A$3:$A$5001,BD!$B$3:$B$5001,D$280,BD!$A$3:$A$5001,"&gt;="&amp;$C$7,BD!$A$3:$A$5001,"&lt;="&amp;$B289,BD!$Z$3:$Z$5001,"&lt;&gt;"))))</f>
        <v/>
      </c>
      <c r="E289" s="54" t="str">
        <f>IF(OR($B289="",$A289&gt;$B$9,E$280=""),"",IF(COUNTIFS(BD!$B$3:$B$5001,E$280,BD!$A$3:$A$5001,"&gt;="&amp;$C$7,BD!$A$3:$A$5001,"&lt;="&amp;$B289,BD!$Z$3:$Z$5001,"&lt;&gt;")=0,"",SUMIFS(BD!$Z$3:$Z$5001,BD!$B$3:$B$5001,E$280,BD!$A$3:$A$5001,_xlfn.MAXIFS(BD!$A$3:$A$5001,BD!$B$3:$B$5001,E$280,BD!$A$3:$A$5001,"&gt;="&amp;$C$7,BD!$A$3:$A$5001,"&lt;="&amp;$B289,BD!$Z$3:$Z$5001,"&lt;&gt;"))))</f>
        <v/>
      </c>
      <c r="F289" s="54" t="str">
        <f>IF(OR($B289="",$A289&gt;$B$9,F$280=""),"",IF(COUNTIFS(BD!$B$3:$B$5001,F$280,BD!$A$3:$A$5001,"&gt;="&amp;$C$7,BD!$A$3:$A$5001,"&lt;="&amp;$B289,BD!$Z$3:$Z$5001,"&lt;&gt;")=0,"",SUMIFS(BD!$Z$3:$Z$5001,BD!$B$3:$B$5001,F$280,BD!$A$3:$A$5001,_xlfn.MAXIFS(BD!$A$3:$A$5001,BD!$B$3:$B$5001,F$280,BD!$A$3:$A$5001,"&gt;="&amp;$C$7,BD!$A$3:$A$5001,"&lt;="&amp;$B289,BD!$Z$3:$Z$5001,"&lt;&gt;"))))</f>
        <v/>
      </c>
      <c r="G289" s="54" t="str">
        <f>IF(OR($B289="",$A289&gt;$B$9,G$280=""),"",IF(COUNTIFS(BD!$B$3:$B$5001,G$280,BD!$A$3:$A$5001,"&gt;="&amp;$C$7,BD!$A$3:$A$5001,"&lt;="&amp;$B289,BD!$Z$3:$Z$5001,"&lt;&gt;")=0,"",SUMIFS(BD!$Z$3:$Z$5001,BD!$B$3:$B$5001,G$280,BD!$A$3:$A$5001,_xlfn.MAXIFS(BD!$A$3:$A$5001,BD!$B$3:$B$5001,G$280,BD!$A$3:$A$5001,"&gt;="&amp;$C$7,BD!$A$3:$A$5001,"&lt;="&amp;$B289,BD!$Z$3:$Z$5001,"&lt;&gt;"))))</f>
        <v/>
      </c>
      <c r="H289" s="54" t="str">
        <f>IF(OR($B289="",$A289&gt;$B$9,H$280=""),"",IF(COUNTIFS(BD!$B$3:$B$5001,H$280,BD!$A$3:$A$5001,"&gt;="&amp;$C$7,BD!$A$3:$A$5001,"&lt;="&amp;$B289,BD!$Z$3:$Z$5001,"&lt;&gt;")=0,"",SUMIFS(BD!$Z$3:$Z$5001,BD!$B$3:$B$5001,H$280,BD!$A$3:$A$5001,_xlfn.MAXIFS(BD!$A$3:$A$5001,BD!$B$3:$B$5001,H$280,BD!$A$3:$A$5001,"&gt;="&amp;$C$7,BD!$A$3:$A$5001,"&lt;="&amp;$B289,BD!$Z$3:$Z$5001,"&lt;&gt;"))))</f>
        <v/>
      </c>
      <c r="I289" s="54" t="str">
        <f>IF(OR($B289="",$A289&gt;$B$9,I$280=""),"",IF(COUNTIFS(BD!$B$3:$B$5001,I$280,BD!$A$3:$A$5001,"&gt;="&amp;$C$7,BD!$A$3:$A$5001,"&lt;="&amp;$B289,BD!$Z$3:$Z$5001,"&lt;&gt;")=0,"",SUMIFS(BD!$Z$3:$Z$5001,BD!$B$3:$B$5001,I$280,BD!$A$3:$A$5001,_xlfn.MAXIFS(BD!$A$3:$A$5001,BD!$B$3:$B$5001,I$280,BD!$A$3:$A$5001,"&gt;="&amp;$C$7,BD!$A$3:$A$5001,"&lt;="&amp;$B289,BD!$Z$3:$Z$5001,"&lt;&gt;"))))</f>
        <v/>
      </c>
      <c r="J289" s="54" t="str">
        <f>IF(OR($B289="",$A289&gt;$B$9,J$280=""),"",IF(COUNTIFS(BD!$B$3:$B$5001,J$280,BD!$A$3:$A$5001,"&gt;="&amp;$C$7,BD!$A$3:$A$5001,"&lt;="&amp;$B289,BD!$Z$3:$Z$5001,"&lt;&gt;")=0,"",SUMIFS(BD!$Z$3:$Z$5001,BD!$B$3:$B$5001,J$280,BD!$A$3:$A$5001,_xlfn.MAXIFS(BD!$A$3:$A$5001,BD!$B$3:$B$5001,J$280,BD!$A$3:$A$5001,"&gt;="&amp;$C$7,BD!$A$3:$A$5001,"&lt;="&amp;$B289,BD!$Z$3:$Z$5001,"&lt;&gt;"))))</f>
        <v/>
      </c>
      <c r="K289" s="54" t="str">
        <f>IF(OR($B289="",$A289&gt;$B$9,K$280=""),"",IF(COUNTIFS(BD!$B$3:$B$5001,K$280,BD!$A$3:$A$5001,"&gt;="&amp;$C$7,BD!$A$3:$A$5001,"&lt;="&amp;$B289,BD!$Z$3:$Z$5001,"&lt;&gt;")=0,"",SUMIFS(BD!$Z$3:$Z$5001,BD!$B$3:$B$5001,K$280,BD!$A$3:$A$5001,_xlfn.MAXIFS(BD!$A$3:$A$5001,BD!$B$3:$B$5001,K$280,BD!$A$3:$A$5001,"&gt;="&amp;$C$7,BD!$A$3:$A$5001,"&lt;="&amp;$B289,BD!$Z$3:$Z$5001,"&lt;&gt;"))))</f>
        <v/>
      </c>
      <c r="L289" s="54" t="str">
        <f>IF(OR($B289="",$A289&gt;$B$9,L$280=""),"",IF(COUNTIFS(BD!$B$3:$B$5001,L$280,BD!$A$3:$A$5001,"&gt;="&amp;$C$7,BD!$A$3:$A$5001,"&lt;="&amp;$B289,BD!$Z$3:$Z$5001,"&lt;&gt;")=0,"",SUMIFS(BD!$Z$3:$Z$5001,BD!$B$3:$B$5001,L$280,BD!$A$3:$A$5001,_xlfn.MAXIFS(BD!$A$3:$A$5001,BD!$B$3:$B$5001,L$280,BD!$A$3:$A$5001,"&gt;="&amp;$C$7,BD!$A$3:$A$5001,"&lt;="&amp;$B289,BD!$Z$3:$Z$5001,"&lt;&gt;"))))</f>
        <v/>
      </c>
      <c r="M289" s="54" t="str">
        <f>IF(OR($B289="",$A289&gt;$B$9,M$280=""),"",IF(COUNTIFS(BD!$B$3:$B$5001,M$280,BD!$A$3:$A$5001,"&gt;="&amp;$C$7,BD!$A$3:$A$5001,"&lt;="&amp;$B289,BD!$Z$3:$Z$5001,"&lt;&gt;")=0,"",SUMIFS(BD!$Z$3:$Z$5001,BD!$B$3:$B$5001,M$280,BD!$A$3:$A$5001,_xlfn.MAXIFS(BD!$A$3:$A$5001,BD!$B$3:$B$5001,M$280,BD!$A$3:$A$5001,"&gt;="&amp;$C$7,BD!$A$3:$A$5001,"&lt;="&amp;$B289,BD!$Z$3:$Z$5001,"&lt;&gt;"))))</f>
        <v/>
      </c>
      <c r="N289" s="54" t="str">
        <f>IF(OR($B289="",$A289&gt;$B$9,N$280=""),"",IF(COUNTIFS(BD!$B$3:$B$5001,N$280,BD!$A$3:$A$5001,"&gt;="&amp;$C$7,BD!$A$3:$A$5001,"&lt;="&amp;$B289,BD!$Z$3:$Z$5001,"&lt;&gt;")=0,"",SUMIFS(BD!$Z$3:$Z$5001,BD!$B$3:$B$5001,N$280,BD!$A$3:$A$5001,_xlfn.MAXIFS(BD!$A$3:$A$5001,BD!$B$3:$B$5001,N$280,BD!$A$3:$A$5001,"&gt;="&amp;$C$7,BD!$A$3:$A$5001,"&lt;="&amp;$B289,BD!$Z$3:$Z$5001,"&lt;&gt;"))))</f>
        <v/>
      </c>
      <c r="O289" s="54" t="str">
        <f>IF(OR($B289="",$A289&gt;$B$9,O$280=""),"",IF(COUNTIFS(BD!$B$3:$B$5001,O$280,BD!$A$3:$A$5001,"&gt;="&amp;$C$7,BD!$A$3:$A$5001,"&lt;="&amp;$B289,BD!$Z$3:$Z$5001,"&lt;&gt;")=0,"",SUMIFS(BD!$Z$3:$Z$5001,BD!$B$3:$B$5001,O$280,BD!$A$3:$A$5001,_xlfn.MAXIFS(BD!$A$3:$A$5001,BD!$B$3:$B$5001,O$280,BD!$A$3:$A$5001,"&gt;="&amp;$C$7,BD!$A$3:$A$5001,"&lt;="&amp;$B289,BD!$Z$3:$Z$5001,"&lt;&gt;"))))</f>
        <v/>
      </c>
      <c r="P289" s="54" t="str">
        <f>IF(OR($B289="",$A289&gt;$B$9,P$280=""),"",IF(COUNTIFS(BD!$B$3:$B$5001,P$280,BD!$A$3:$A$5001,"&gt;="&amp;$C$7,BD!$A$3:$A$5001,"&lt;="&amp;$B289,BD!$Z$3:$Z$5001,"&lt;&gt;")=0,"",SUMIFS(BD!$Z$3:$Z$5001,BD!$B$3:$B$5001,P$280,BD!$A$3:$A$5001,_xlfn.MAXIFS(BD!$A$3:$A$5001,BD!$B$3:$B$5001,P$280,BD!$A$3:$A$5001,"&gt;="&amp;$C$7,BD!$A$3:$A$5001,"&lt;="&amp;$B289,BD!$Z$3:$Z$5001,"&lt;&gt;"))))</f>
        <v/>
      </c>
      <c r="Q289" s="54" t="str">
        <f>IF(OR($B289="",$A289&gt;$B$9,Q$280=""),"",IF(COUNTIFS(BD!$B$3:$B$5001,Q$280,BD!$A$3:$A$5001,"&gt;="&amp;$C$7,BD!$A$3:$A$5001,"&lt;="&amp;$B289,BD!$Z$3:$Z$5001,"&lt;&gt;")=0,"",SUMIFS(BD!$Z$3:$Z$5001,BD!$B$3:$B$5001,Q$280,BD!$A$3:$A$5001,_xlfn.MAXIFS(BD!$A$3:$A$5001,BD!$B$3:$B$5001,Q$280,BD!$A$3:$A$5001,"&gt;="&amp;$C$7,BD!$A$3:$A$5001,"&lt;="&amp;$B289,BD!$Z$3:$Z$5001,"&lt;&gt;"))))</f>
        <v/>
      </c>
      <c r="R289" s="54" t="str">
        <f>IF(OR($B289="",$A289&gt;$B$9,R$280=""),"",IF(COUNTIFS(BD!$B$3:$B$5001,R$280,BD!$A$3:$A$5001,"&gt;="&amp;$C$7,BD!$A$3:$A$5001,"&lt;="&amp;$B289,BD!$Z$3:$Z$5001,"&lt;&gt;")=0,"",SUMIFS(BD!$Z$3:$Z$5001,BD!$B$3:$B$5001,R$280,BD!$A$3:$A$5001,_xlfn.MAXIFS(BD!$A$3:$A$5001,BD!$B$3:$B$5001,R$280,BD!$A$3:$A$5001,"&gt;="&amp;$C$7,BD!$A$3:$A$5001,"&lt;="&amp;$B289,BD!$Z$3:$Z$5001,"&lt;&gt;"))))</f>
        <v/>
      </c>
      <c r="S289" s="54" t="str">
        <f>IF(OR($B289="",$A289&gt;$B$9,S$280=""),"",IF(COUNTIFS(BD!$B$3:$B$5001,S$280,BD!$A$3:$A$5001,"&gt;="&amp;$C$7,BD!$A$3:$A$5001,"&lt;="&amp;$B289,BD!$Z$3:$Z$5001,"&lt;&gt;")=0,"",SUMIFS(BD!$Z$3:$Z$5001,BD!$B$3:$B$5001,S$280,BD!$A$3:$A$5001,_xlfn.MAXIFS(BD!$A$3:$A$5001,BD!$B$3:$B$5001,S$280,BD!$A$3:$A$5001,"&gt;="&amp;$C$7,BD!$A$3:$A$5001,"&lt;="&amp;$B289,BD!$Z$3:$Z$5001,"&lt;&gt;"))))</f>
        <v/>
      </c>
      <c r="T289" s="54" t="str">
        <f>IF(OR($B289="",$A289&gt;$B$9,T$280=""),"",IF(COUNTIFS(BD!$B$3:$B$5001,T$280,BD!$A$3:$A$5001,"&gt;="&amp;$C$7,BD!$A$3:$A$5001,"&lt;="&amp;$B289,BD!$Z$3:$Z$5001,"&lt;&gt;")=0,"",SUMIFS(BD!$Z$3:$Z$5001,BD!$B$3:$B$5001,T$280,BD!$A$3:$A$5001,_xlfn.MAXIFS(BD!$A$3:$A$5001,BD!$B$3:$B$5001,T$280,BD!$A$3:$A$5001,"&gt;="&amp;$C$7,BD!$A$3:$A$5001,"&lt;="&amp;$B289,BD!$Z$3:$Z$5001,"&lt;&gt;"))))</f>
        <v/>
      </c>
      <c r="U289" s="54" t="str">
        <f>IF(OR($B289="",$A289&gt;$B$9,U$280=""),"",IF(COUNTIFS(BD!$B$3:$B$5001,U$280,BD!$A$3:$A$5001,"&gt;="&amp;$C$7,BD!$A$3:$A$5001,"&lt;="&amp;$B289,BD!$Z$3:$Z$5001,"&lt;&gt;")=0,"",SUMIFS(BD!$Z$3:$Z$5001,BD!$B$3:$B$5001,U$280,BD!$A$3:$A$5001,_xlfn.MAXIFS(BD!$A$3:$A$5001,BD!$B$3:$B$5001,U$280,BD!$A$3:$A$5001,"&gt;="&amp;$C$7,BD!$A$3:$A$5001,"&lt;="&amp;$B289,BD!$Z$3:$Z$5001,"&lt;&gt;"))))</f>
        <v/>
      </c>
      <c r="V289" s="54" t="str">
        <f>IF(OR($B289="",$A289&gt;$B$9,V$280=""),"",IF(COUNTIFS(BD!$B$3:$B$5001,V$280,BD!$A$3:$A$5001,"&gt;="&amp;$C$7,BD!$A$3:$A$5001,"&lt;="&amp;$B289,BD!$Z$3:$Z$5001,"&lt;&gt;")=0,"",SUMIFS(BD!$Z$3:$Z$5001,BD!$B$3:$B$5001,V$280,BD!$A$3:$A$5001,_xlfn.MAXIFS(BD!$A$3:$A$5001,BD!$B$3:$B$5001,V$280,BD!$A$3:$A$5001,"&gt;="&amp;$C$7,BD!$A$3:$A$5001,"&lt;="&amp;$B289,BD!$Z$3:$Z$5001,"&lt;&gt;"))))</f>
        <v/>
      </c>
    </row>
    <row r="290">
      <c r="A290" s="48">
        <v>10</v>
      </c>
      <c r="B290" s="53">
        <f>$B$21</f>
        <v>46305</v>
      </c>
      <c r="C290" s="54" t="str">
        <f>IF(OR($B290="",$A290&gt;$B$9,C$280=""),"",IF(COUNTIFS(BD!$B$3:$B$5001,C$280,BD!$A$3:$A$5001,"&gt;="&amp;$C$7,BD!$A$3:$A$5001,"&lt;="&amp;$B290,BD!$Z$3:$Z$5001,"&lt;&gt;")=0,"",SUMIFS(BD!$Z$3:$Z$5001,BD!$B$3:$B$5001,C$280,BD!$A$3:$A$5001,_xlfn.MAXIFS(BD!$A$3:$A$5001,BD!$B$3:$B$5001,C$280,BD!$A$3:$A$5001,"&gt;="&amp;$C$7,BD!$A$3:$A$5001,"&lt;="&amp;$B290,BD!$Z$3:$Z$5001,"&lt;&gt;"))))</f>
        <v/>
      </c>
      <c r="D290" s="54" t="str">
        <f>IF(OR($B290="",$A290&gt;$B$9,D$280=""),"",IF(COUNTIFS(BD!$B$3:$B$5001,D$280,BD!$A$3:$A$5001,"&gt;="&amp;$C$7,BD!$A$3:$A$5001,"&lt;="&amp;$B290,BD!$Z$3:$Z$5001,"&lt;&gt;")=0,"",SUMIFS(BD!$Z$3:$Z$5001,BD!$B$3:$B$5001,D$280,BD!$A$3:$A$5001,_xlfn.MAXIFS(BD!$A$3:$A$5001,BD!$B$3:$B$5001,D$280,BD!$A$3:$A$5001,"&gt;="&amp;$C$7,BD!$A$3:$A$5001,"&lt;="&amp;$B290,BD!$Z$3:$Z$5001,"&lt;&gt;"))))</f>
        <v/>
      </c>
      <c r="E290" s="54" t="str">
        <f>IF(OR($B290="",$A290&gt;$B$9,E$280=""),"",IF(COUNTIFS(BD!$B$3:$B$5001,E$280,BD!$A$3:$A$5001,"&gt;="&amp;$C$7,BD!$A$3:$A$5001,"&lt;="&amp;$B290,BD!$Z$3:$Z$5001,"&lt;&gt;")=0,"",SUMIFS(BD!$Z$3:$Z$5001,BD!$B$3:$B$5001,E$280,BD!$A$3:$A$5001,_xlfn.MAXIFS(BD!$A$3:$A$5001,BD!$B$3:$B$5001,E$280,BD!$A$3:$A$5001,"&gt;="&amp;$C$7,BD!$A$3:$A$5001,"&lt;="&amp;$B290,BD!$Z$3:$Z$5001,"&lt;&gt;"))))</f>
        <v/>
      </c>
      <c r="F290" s="54" t="str">
        <f>IF(OR($B290="",$A290&gt;$B$9,F$280=""),"",IF(COUNTIFS(BD!$B$3:$B$5001,F$280,BD!$A$3:$A$5001,"&gt;="&amp;$C$7,BD!$A$3:$A$5001,"&lt;="&amp;$B290,BD!$Z$3:$Z$5001,"&lt;&gt;")=0,"",SUMIFS(BD!$Z$3:$Z$5001,BD!$B$3:$B$5001,F$280,BD!$A$3:$A$5001,_xlfn.MAXIFS(BD!$A$3:$A$5001,BD!$B$3:$B$5001,F$280,BD!$A$3:$A$5001,"&gt;="&amp;$C$7,BD!$A$3:$A$5001,"&lt;="&amp;$B290,BD!$Z$3:$Z$5001,"&lt;&gt;"))))</f>
        <v/>
      </c>
      <c r="G290" s="54" t="str">
        <f>IF(OR($B290="",$A290&gt;$B$9,G$280=""),"",IF(COUNTIFS(BD!$B$3:$B$5001,G$280,BD!$A$3:$A$5001,"&gt;="&amp;$C$7,BD!$A$3:$A$5001,"&lt;="&amp;$B290,BD!$Z$3:$Z$5001,"&lt;&gt;")=0,"",SUMIFS(BD!$Z$3:$Z$5001,BD!$B$3:$B$5001,G$280,BD!$A$3:$A$5001,_xlfn.MAXIFS(BD!$A$3:$A$5001,BD!$B$3:$B$5001,G$280,BD!$A$3:$A$5001,"&gt;="&amp;$C$7,BD!$A$3:$A$5001,"&lt;="&amp;$B290,BD!$Z$3:$Z$5001,"&lt;&gt;"))))</f>
        <v/>
      </c>
      <c r="H290" s="54" t="str">
        <f>IF(OR($B290="",$A290&gt;$B$9,H$280=""),"",IF(COUNTIFS(BD!$B$3:$B$5001,H$280,BD!$A$3:$A$5001,"&gt;="&amp;$C$7,BD!$A$3:$A$5001,"&lt;="&amp;$B290,BD!$Z$3:$Z$5001,"&lt;&gt;")=0,"",SUMIFS(BD!$Z$3:$Z$5001,BD!$B$3:$B$5001,H$280,BD!$A$3:$A$5001,_xlfn.MAXIFS(BD!$A$3:$A$5001,BD!$B$3:$B$5001,H$280,BD!$A$3:$A$5001,"&gt;="&amp;$C$7,BD!$A$3:$A$5001,"&lt;="&amp;$B290,BD!$Z$3:$Z$5001,"&lt;&gt;"))))</f>
        <v/>
      </c>
      <c r="I290" s="54" t="str">
        <f>IF(OR($B290="",$A290&gt;$B$9,I$280=""),"",IF(COUNTIFS(BD!$B$3:$B$5001,I$280,BD!$A$3:$A$5001,"&gt;="&amp;$C$7,BD!$A$3:$A$5001,"&lt;="&amp;$B290,BD!$Z$3:$Z$5001,"&lt;&gt;")=0,"",SUMIFS(BD!$Z$3:$Z$5001,BD!$B$3:$B$5001,I$280,BD!$A$3:$A$5001,_xlfn.MAXIFS(BD!$A$3:$A$5001,BD!$B$3:$B$5001,I$280,BD!$A$3:$A$5001,"&gt;="&amp;$C$7,BD!$A$3:$A$5001,"&lt;="&amp;$B290,BD!$Z$3:$Z$5001,"&lt;&gt;"))))</f>
        <v/>
      </c>
      <c r="J290" s="54" t="str">
        <f>IF(OR($B290="",$A290&gt;$B$9,J$280=""),"",IF(COUNTIFS(BD!$B$3:$B$5001,J$280,BD!$A$3:$A$5001,"&gt;="&amp;$C$7,BD!$A$3:$A$5001,"&lt;="&amp;$B290,BD!$Z$3:$Z$5001,"&lt;&gt;")=0,"",SUMIFS(BD!$Z$3:$Z$5001,BD!$B$3:$B$5001,J$280,BD!$A$3:$A$5001,_xlfn.MAXIFS(BD!$A$3:$A$5001,BD!$B$3:$B$5001,J$280,BD!$A$3:$A$5001,"&gt;="&amp;$C$7,BD!$A$3:$A$5001,"&lt;="&amp;$B290,BD!$Z$3:$Z$5001,"&lt;&gt;"))))</f>
        <v/>
      </c>
      <c r="K290" s="54" t="str">
        <f>IF(OR($B290="",$A290&gt;$B$9,K$280=""),"",IF(COUNTIFS(BD!$B$3:$B$5001,K$280,BD!$A$3:$A$5001,"&gt;="&amp;$C$7,BD!$A$3:$A$5001,"&lt;="&amp;$B290,BD!$Z$3:$Z$5001,"&lt;&gt;")=0,"",SUMIFS(BD!$Z$3:$Z$5001,BD!$B$3:$B$5001,K$280,BD!$A$3:$A$5001,_xlfn.MAXIFS(BD!$A$3:$A$5001,BD!$B$3:$B$5001,K$280,BD!$A$3:$A$5001,"&gt;="&amp;$C$7,BD!$A$3:$A$5001,"&lt;="&amp;$B290,BD!$Z$3:$Z$5001,"&lt;&gt;"))))</f>
        <v/>
      </c>
      <c r="L290" s="54" t="str">
        <f>IF(OR($B290="",$A290&gt;$B$9,L$280=""),"",IF(COUNTIFS(BD!$B$3:$B$5001,L$280,BD!$A$3:$A$5001,"&gt;="&amp;$C$7,BD!$A$3:$A$5001,"&lt;="&amp;$B290,BD!$Z$3:$Z$5001,"&lt;&gt;")=0,"",SUMIFS(BD!$Z$3:$Z$5001,BD!$B$3:$B$5001,L$280,BD!$A$3:$A$5001,_xlfn.MAXIFS(BD!$A$3:$A$5001,BD!$B$3:$B$5001,L$280,BD!$A$3:$A$5001,"&gt;="&amp;$C$7,BD!$A$3:$A$5001,"&lt;="&amp;$B290,BD!$Z$3:$Z$5001,"&lt;&gt;"))))</f>
        <v/>
      </c>
      <c r="M290" s="54" t="str">
        <f>IF(OR($B290="",$A290&gt;$B$9,M$280=""),"",IF(COUNTIFS(BD!$B$3:$B$5001,M$280,BD!$A$3:$A$5001,"&gt;="&amp;$C$7,BD!$A$3:$A$5001,"&lt;="&amp;$B290,BD!$Z$3:$Z$5001,"&lt;&gt;")=0,"",SUMIFS(BD!$Z$3:$Z$5001,BD!$B$3:$B$5001,M$280,BD!$A$3:$A$5001,_xlfn.MAXIFS(BD!$A$3:$A$5001,BD!$B$3:$B$5001,M$280,BD!$A$3:$A$5001,"&gt;="&amp;$C$7,BD!$A$3:$A$5001,"&lt;="&amp;$B290,BD!$Z$3:$Z$5001,"&lt;&gt;"))))</f>
        <v/>
      </c>
      <c r="N290" s="54" t="str">
        <f>IF(OR($B290="",$A290&gt;$B$9,N$280=""),"",IF(COUNTIFS(BD!$B$3:$B$5001,N$280,BD!$A$3:$A$5001,"&gt;="&amp;$C$7,BD!$A$3:$A$5001,"&lt;="&amp;$B290,BD!$Z$3:$Z$5001,"&lt;&gt;")=0,"",SUMIFS(BD!$Z$3:$Z$5001,BD!$B$3:$B$5001,N$280,BD!$A$3:$A$5001,_xlfn.MAXIFS(BD!$A$3:$A$5001,BD!$B$3:$B$5001,N$280,BD!$A$3:$A$5001,"&gt;="&amp;$C$7,BD!$A$3:$A$5001,"&lt;="&amp;$B290,BD!$Z$3:$Z$5001,"&lt;&gt;"))))</f>
        <v/>
      </c>
      <c r="O290" s="54" t="str">
        <f>IF(OR($B290="",$A290&gt;$B$9,O$280=""),"",IF(COUNTIFS(BD!$B$3:$B$5001,O$280,BD!$A$3:$A$5001,"&gt;="&amp;$C$7,BD!$A$3:$A$5001,"&lt;="&amp;$B290,BD!$Z$3:$Z$5001,"&lt;&gt;")=0,"",SUMIFS(BD!$Z$3:$Z$5001,BD!$B$3:$B$5001,O$280,BD!$A$3:$A$5001,_xlfn.MAXIFS(BD!$A$3:$A$5001,BD!$B$3:$B$5001,O$280,BD!$A$3:$A$5001,"&gt;="&amp;$C$7,BD!$A$3:$A$5001,"&lt;="&amp;$B290,BD!$Z$3:$Z$5001,"&lt;&gt;"))))</f>
        <v/>
      </c>
      <c r="P290" s="54" t="str">
        <f>IF(OR($B290="",$A290&gt;$B$9,P$280=""),"",IF(COUNTIFS(BD!$B$3:$B$5001,P$280,BD!$A$3:$A$5001,"&gt;="&amp;$C$7,BD!$A$3:$A$5001,"&lt;="&amp;$B290,BD!$Z$3:$Z$5001,"&lt;&gt;")=0,"",SUMIFS(BD!$Z$3:$Z$5001,BD!$B$3:$B$5001,P$280,BD!$A$3:$A$5001,_xlfn.MAXIFS(BD!$A$3:$A$5001,BD!$B$3:$B$5001,P$280,BD!$A$3:$A$5001,"&gt;="&amp;$C$7,BD!$A$3:$A$5001,"&lt;="&amp;$B290,BD!$Z$3:$Z$5001,"&lt;&gt;"))))</f>
        <v/>
      </c>
      <c r="Q290" s="54" t="str">
        <f>IF(OR($B290="",$A290&gt;$B$9,Q$280=""),"",IF(COUNTIFS(BD!$B$3:$B$5001,Q$280,BD!$A$3:$A$5001,"&gt;="&amp;$C$7,BD!$A$3:$A$5001,"&lt;="&amp;$B290,BD!$Z$3:$Z$5001,"&lt;&gt;")=0,"",SUMIFS(BD!$Z$3:$Z$5001,BD!$B$3:$B$5001,Q$280,BD!$A$3:$A$5001,_xlfn.MAXIFS(BD!$A$3:$A$5001,BD!$B$3:$B$5001,Q$280,BD!$A$3:$A$5001,"&gt;="&amp;$C$7,BD!$A$3:$A$5001,"&lt;="&amp;$B290,BD!$Z$3:$Z$5001,"&lt;&gt;"))))</f>
        <v/>
      </c>
      <c r="R290" s="54" t="str">
        <f>IF(OR($B290="",$A290&gt;$B$9,R$280=""),"",IF(COUNTIFS(BD!$B$3:$B$5001,R$280,BD!$A$3:$A$5001,"&gt;="&amp;$C$7,BD!$A$3:$A$5001,"&lt;="&amp;$B290,BD!$Z$3:$Z$5001,"&lt;&gt;")=0,"",SUMIFS(BD!$Z$3:$Z$5001,BD!$B$3:$B$5001,R$280,BD!$A$3:$A$5001,_xlfn.MAXIFS(BD!$A$3:$A$5001,BD!$B$3:$B$5001,R$280,BD!$A$3:$A$5001,"&gt;="&amp;$C$7,BD!$A$3:$A$5001,"&lt;="&amp;$B290,BD!$Z$3:$Z$5001,"&lt;&gt;"))))</f>
        <v/>
      </c>
      <c r="S290" s="54" t="str">
        <f>IF(OR($B290="",$A290&gt;$B$9,S$280=""),"",IF(COUNTIFS(BD!$B$3:$B$5001,S$280,BD!$A$3:$A$5001,"&gt;="&amp;$C$7,BD!$A$3:$A$5001,"&lt;="&amp;$B290,BD!$Z$3:$Z$5001,"&lt;&gt;")=0,"",SUMIFS(BD!$Z$3:$Z$5001,BD!$B$3:$B$5001,S$280,BD!$A$3:$A$5001,_xlfn.MAXIFS(BD!$A$3:$A$5001,BD!$B$3:$B$5001,S$280,BD!$A$3:$A$5001,"&gt;="&amp;$C$7,BD!$A$3:$A$5001,"&lt;="&amp;$B290,BD!$Z$3:$Z$5001,"&lt;&gt;"))))</f>
        <v/>
      </c>
      <c r="T290" s="54" t="str">
        <f>IF(OR($B290="",$A290&gt;$B$9,T$280=""),"",IF(COUNTIFS(BD!$B$3:$B$5001,T$280,BD!$A$3:$A$5001,"&gt;="&amp;$C$7,BD!$A$3:$A$5001,"&lt;="&amp;$B290,BD!$Z$3:$Z$5001,"&lt;&gt;")=0,"",SUMIFS(BD!$Z$3:$Z$5001,BD!$B$3:$B$5001,T$280,BD!$A$3:$A$5001,_xlfn.MAXIFS(BD!$A$3:$A$5001,BD!$B$3:$B$5001,T$280,BD!$A$3:$A$5001,"&gt;="&amp;$C$7,BD!$A$3:$A$5001,"&lt;="&amp;$B290,BD!$Z$3:$Z$5001,"&lt;&gt;"))))</f>
        <v/>
      </c>
      <c r="U290" s="54" t="str">
        <f>IF(OR($B290="",$A290&gt;$B$9,U$280=""),"",IF(COUNTIFS(BD!$B$3:$B$5001,U$280,BD!$A$3:$A$5001,"&gt;="&amp;$C$7,BD!$A$3:$A$5001,"&lt;="&amp;$B290,BD!$Z$3:$Z$5001,"&lt;&gt;")=0,"",SUMIFS(BD!$Z$3:$Z$5001,BD!$B$3:$B$5001,U$280,BD!$A$3:$A$5001,_xlfn.MAXIFS(BD!$A$3:$A$5001,BD!$B$3:$B$5001,U$280,BD!$A$3:$A$5001,"&gt;="&amp;$C$7,BD!$A$3:$A$5001,"&lt;="&amp;$B290,BD!$Z$3:$Z$5001,"&lt;&gt;"))))</f>
        <v/>
      </c>
      <c r="V290" s="54" t="str">
        <f>IF(OR($B290="",$A290&gt;$B$9,V$280=""),"",IF(COUNTIFS(BD!$B$3:$B$5001,V$280,BD!$A$3:$A$5001,"&gt;="&amp;$C$7,BD!$A$3:$A$5001,"&lt;="&amp;$B290,BD!$Z$3:$Z$5001,"&lt;&gt;")=0,"",SUMIFS(BD!$Z$3:$Z$5001,BD!$B$3:$B$5001,V$280,BD!$A$3:$A$5001,_xlfn.MAXIFS(BD!$A$3:$A$5001,BD!$B$3:$B$5001,V$280,BD!$A$3:$A$5001,"&gt;="&amp;$C$7,BD!$A$3:$A$5001,"&lt;="&amp;$B290,BD!$Z$3:$Z$5001,"&lt;&gt;"))))</f>
        <v/>
      </c>
    </row>
    <row r="291">
      <c r="A291" s="48">
        <v>11</v>
      </c>
      <c r="B291" s="53">
        <f>$B$22</f>
        <v>46306</v>
      </c>
      <c r="C291" s="54" t="str">
        <f>IF(OR($B291="",$A291&gt;$B$9,C$280=""),"",IF(COUNTIFS(BD!$B$3:$B$5001,C$280,BD!$A$3:$A$5001,"&gt;="&amp;$C$7,BD!$A$3:$A$5001,"&lt;="&amp;$B291,BD!$Z$3:$Z$5001,"&lt;&gt;")=0,"",SUMIFS(BD!$Z$3:$Z$5001,BD!$B$3:$B$5001,C$280,BD!$A$3:$A$5001,_xlfn.MAXIFS(BD!$A$3:$A$5001,BD!$B$3:$B$5001,C$280,BD!$A$3:$A$5001,"&gt;="&amp;$C$7,BD!$A$3:$A$5001,"&lt;="&amp;$B291,BD!$Z$3:$Z$5001,"&lt;&gt;"))))</f>
        <v/>
      </c>
      <c r="D291" s="54" t="str">
        <f>IF(OR($B291="",$A291&gt;$B$9,D$280=""),"",IF(COUNTIFS(BD!$B$3:$B$5001,D$280,BD!$A$3:$A$5001,"&gt;="&amp;$C$7,BD!$A$3:$A$5001,"&lt;="&amp;$B291,BD!$Z$3:$Z$5001,"&lt;&gt;")=0,"",SUMIFS(BD!$Z$3:$Z$5001,BD!$B$3:$B$5001,D$280,BD!$A$3:$A$5001,_xlfn.MAXIFS(BD!$A$3:$A$5001,BD!$B$3:$B$5001,D$280,BD!$A$3:$A$5001,"&gt;="&amp;$C$7,BD!$A$3:$A$5001,"&lt;="&amp;$B291,BD!$Z$3:$Z$5001,"&lt;&gt;"))))</f>
        <v/>
      </c>
      <c r="E291" s="54" t="str">
        <f>IF(OR($B291="",$A291&gt;$B$9,E$280=""),"",IF(COUNTIFS(BD!$B$3:$B$5001,E$280,BD!$A$3:$A$5001,"&gt;="&amp;$C$7,BD!$A$3:$A$5001,"&lt;="&amp;$B291,BD!$Z$3:$Z$5001,"&lt;&gt;")=0,"",SUMIFS(BD!$Z$3:$Z$5001,BD!$B$3:$B$5001,E$280,BD!$A$3:$A$5001,_xlfn.MAXIFS(BD!$A$3:$A$5001,BD!$B$3:$B$5001,E$280,BD!$A$3:$A$5001,"&gt;="&amp;$C$7,BD!$A$3:$A$5001,"&lt;="&amp;$B291,BD!$Z$3:$Z$5001,"&lt;&gt;"))))</f>
        <v/>
      </c>
      <c r="F291" s="54" t="str">
        <f>IF(OR($B291="",$A291&gt;$B$9,F$280=""),"",IF(COUNTIFS(BD!$B$3:$B$5001,F$280,BD!$A$3:$A$5001,"&gt;="&amp;$C$7,BD!$A$3:$A$5001,"&lt;="&amp;$B291,BD!$Z$3:$Z$5001,"&lt;&gt;")=0,"",SUMIFS(BD!$Z$3:$Z$5001,BD!$B$3:$B$5001,F$280,BD!$A$3:$A$5001,_xlfn.MAXIFS(BD!$A$3:$A$5001,BD!$B$3:$B$5001,F$280,BD!$A$3:$A$5001,"&gt;="&amp;$C$7,BD!$A$3:$A$5001,"&lt;="&amp;$B291,BD!$Z$3:$Z$5001,"&lt;&gt;"))))</f>
        <v/>
      </c>
      <c r="G291" s="54" t="str">
        <f>IF(OR($B291="",$A291&gt;$B$9,G$280=""),"",IF(COUNTIFS(BD!$B$3:$B$5001,G$280,BD!$A$3:$A$5001,"&gt;="&amp;$C$7,BD!$A$3:$A$5001,"&lt;="&amp;$B291,BD!$Z$3:$Z$5001,"&lt;&gt;")=0,"",SUMIFS(BD!$Z$3:$Z$5001,BD!$B$3:$B$5001,G$280,BD!$A$3:$A$5001,_xlfn.MAXIFS(BD!$A$3:$A$5001,BD!$B$3:$B$5001,G$280,BD!$A$3:$A$5001,"&gt;="&amp;$C$7,BD!$A$3:$A$5001,"&lt;="&amp;$B291,BD!$Z$3:$Z$5001,"&lt;&gt;"))))</f>
        <v/>
      </c>
      <c r="H291" s="54" t="str">
        <f>IF(OR($B291="",$A291&gt;$B$9,H$280=""),"",IF(COUNTIFS(BD!$B$3:$B$5001,H$280,BD!$A$3:$A$5001,"&gt;="&amp;$C$7,BD!$A$3:$A$5001,"&lt;="&amp;$B291,BD!$Z$3:$Z$5001,"&lt;&gt;")=0,"",SUMIFS(BD!$Z$3:$Z$5001,BD!$B$3:$B$5001,H$280,BD!$A$3:$A$5001,_xlfn.MAXIFS(BD!$A$3:$A$5001,BD!$B$3:$B$5001,H$280,BD!$A$3:$A$5001,"&gt;="&amp;$C$7,BD!$A$3:$A$5001,"&lt;="&amp;$B291,BD!$Z$3:$Z$5001,"&lt;&gt;"))))</f>
        <v/>
      </c>
      <c r="I291" s="54" t="str">
        <f>IF(OR($B291="",$A291&gt;$B$9,I$280=""),"",IF(COUNTIFS(BD!$B$3:$B$5001,I$280,BD!$A$3:$A$5001,"&gt;="&amp;$C$7,BD!$A$3:$A$5001,"&lt;="&amp;$B291,BD!$Z$3:$Z$5001,"&lt;&gt;")=0,"",SUMIFS(BD!$Z$3:$Z$5001,BD!$B$3:$B$5001,I$280,BD!$A$3:$A$5001,_xlfn.MAXIFS(BD!$A$3:$A$5001,BD!$B$3:$B$5001,I$280,BD!$A$3:$A$5001,"&gt;="&amp;$C$7,BD!$A$3:$A$5001,"&lt;="&amp;$B291,BD!$Z$3:$Z$5001,"&lt;&gt;"))))</f>
        <v/>
      </c>
      <c r="J291" s="54" t="str">
        <f>IF(OR($B291="",$A291&gt;$B$9,J$280=""),"",IF(COUNTIFS(BD!$B$3:$B$5001,J$280,BD!$A$3:$A$5001,"&gt;="&amp;$C$7,BD!$A$3:$A$5001,"&lt;="&amp;$B291,BD!$Z$3:$Z$5001,"&lt;&gt;")=0,"",SUMIFS(BD!$Z$3:$Z$5001,BD!$B$3:$B$5001,J$280,BD!$A$3:$A$5001,_xlfn.MAXIFS(BD!$A$3:$A$5001,BD!$B$3:$B$5001,J$280,BD!$A$3:$A$5001,"&gt;="&amp;$C$7,BD!$A$3:$A$5001,"&lt;="&amp;$B291,BD!$Z$3:$Z$5001,"&lt;&gt;"))))</f>
        <v/>
      </c>
      <c r="K291" s="54" t="str">
        <f>IF(OR($B291="",$A291&gt;$B$9,K$280=""),"",IF(COUNTIFS(BD!$B$3:$B$5001,K$280,BD!$A$3:$A$5001,"&gt;="&amp;$C$7,BD!$A$3:$A$5001,"&lt;="&amp;$B291,BD!$Z$3:$Z$5001,"&lt;&gt;")=0,"",SUMIFS(BD!$Z$3:$Z$5001,BD!$B$3:$B$5001,K$280,BD!$A$3:$A$5001,_xlfn.MAXIFS(BD!$A$3:$A$5001,BD!$B$3:$B$5001,K$280,BD!$A$3:$A$5001,"&gt;="&amp;$C$7,BD!$A$3:$A$5001,"&lt;="&amp;$B291,BD!$Z$3:$Z$5001,"&lt;&gt;"))))</f>
        <v/>
      </c>
      <c r="L291" s="54" t="str">
        <f>IF(OR($B291="",$A291&gt;$B$9,L$280=""),"",IF(COUNTIFS(BD!$B$3:$B$5001,L$280,BD!$A$3:$A$5001,"&gt;="&amp;$C$7,BD!$A$3:$A$5001,"&lt;="&amp;$B291,BD!$Z$3:$Z$5001,"&lt;&gt;")=0,"",SUMIFS(BD!$Z$3:$Z$5001,BD!$B$3:$B$5001,L$280,BD!$A$3:$A$5001,_xlfn.MAXIFS(BD!$A$3:$A$5001,BD!$B$3:$B$5001,L$280,BD!$A$3:$A$5001,"&gt;="&amp;$C$7,BD!$A$3:$A$5001,"&lt;="&amp;$B291,BD!$Z$3:$Z$5001,"&lt;&gt;"))))</f>
        <v/>
      </c>
      <c r="M291" s="54" t="str">
        <f>IF(OR($B291="",$A291&gt;$B$9,M$280=""),"",IF(COUNTIFS(BD!$B$3:$B$5001,M$280,BD!$A$3:$A$5001,"&gt;="&amp;$C$7,BD!$A$3:$A$5001,"&lt;="&amp;$B291,BD!$Z$3:$Z$5001,"&lt;&gt;")=0,"",SUMIFS(BD!$Z$3:$Z$5001,BD!$B$3:$B$5001,M$280,BD!$A$3:$A$5001,_xlfn.MAXIFS(BD!$A$3:$A$5001,BD!$B$3:$B$5001,M$280,BD!$A$3:$A$5001,"&gt;="&amp;$C$7,BD!$A$3:$A$5001,"&lt;="&amp;$B291,BD!$Z$3:$Z$5001,"&lt;&gt;"))))</f>
        <v/>
      </c>
      <c r="N291" s="54" t="str">
        <f>IF(OR($B291="",$A291&gt;$B$9,N$280=""),"",IF(COUNTIFS(BD!$B$3:$B$5001,N$280,BD!$A$3:$A$5001,"&gt;="&amp;$C$7,BD!$A$3:$A$5001,"&lt;="&amp;$B291,BD!$Z$3:$Z$5001,"&lt;&gt;")=0,"",SUMIFS(BD!$Z$3:$Z$5001,BD!$B$3:$B$5001,N$280,BD!$A$3:$A$5001,_xlfn.MAXIFS(BD!$A$3:$A$5001,BD!$B$3:$B$5001,N$280,BD!$A$3:$A$5001,"&gt;="&amp;$C$7,BD!$A$3:$A$5001,"&lt;="&amp;$B291,BD!$Z$3:$Z$5001,"&lt;&gt;"))))</f>
        <v/>
      </c>
      <c r="O291" s="54" t="str">
        <f>IF(OR($B291="",$A291&gt;$B$9,O$280=""),"",IF(COUNTIFS(BD!$B$3:$B$5001,O$280,BD!$A$3:$A$5001,"&gt;="&amp;$C$7,BD!$A$3:$A$5001,"&lt;="&amp;$B291,BD!$Z$3:$Z$5001,"&lt;&gt;")=0,"",SUMIFS(BD!$Z$3:$Z$5001,BD!$B$3:$B$5001,O$280,BD!$A$3:$A$5001,_xlfn.MAXIFS(BD!$A$3:$A$5001,BD!$B$3:$B$5001,O$280,BD!$A$3:$A$5001,"&gt;="&amp;$C$7,BD!$A$3:$A$5001,"&lt;="&amp;$B291,BD!$Z$3:$Z$5001,"&lt;&gt;"))))</f>
        <v/>
      </c>
      <c r="P291" s="54" t="str">
        <f>IF(OR($B291="",$A291&gt;$B$9,P$280=""),"",IF(COUNTIFS(BD!$B$3:$B$5001,P$280,BD!$A$3:$A$5001,"&gt;="&amp;$C$7,BD!$A$3:$A$5001,"&lt;="&amp;$B291,BD!$Z$3:$Z$5001,"&lt;&gt;")=0,"",SUMIFS(BD!$Z$3:$Z$5001,BD!$B$3:$B$5001,P$280,BD!$A$3:$A$5001,_xlfn.MAXIFS(BD!$A$3:$A$5001,BD!$B$3:$B$5001,P$280,BD!$A$3:$A$5001,"&gt;="&amp;$C$7,BD!$A$3:$A$5001,"&lt;="&amp;$B291,BD!$Z$3:$Z$5001,"&lt;&gt;"))))</f>
        <v/>
      </c>
      <c r="Q291" s="54" t="str">
        <f>IF(OR($B291="",$A291&gt;$B$9,Q$280=""),"",IF(COUNTIFS(BD!$B$3:$B$5001,Q$280,BD!$A$3:$A$5001,"&gt;="&amp;$C$7,BD!$A$3:$A$5001,"&lt;="&amp;$B291,BD!$Z$3:$Z$5001,"&lt;&gt;")=0,"",SUMIFS(BD!$Z$3:$Z$5001,BD!$B$3:$B$5001,Q$280,BD!$A$3:$A$5001,_xlfn.MAXIFS(BD!$A$3:$A$5001,BD!$B$3:$B$5001,Q$280,BD!$A$3:$A$5001,"&gt;="&amp;$C$7,BD!$A$3:$A$5001,"&lt;="&amp;$B291,BD!$Z$3:$Z$5001,"&lt;&gt;"))))</f>
        <v/>
      </c>
      <c r="R291" s="54" t="str">
        <f>IF(OR($B291="",$A291&gt;$B$9,R$280=""),"",IF(COUNTIFS(BD!$B$3:$B$5001,R$280,BD!$A$3:$A$5001,"&gt;="&amp;$C$7,BD!$A$3:$A$5001,"&lt;="&amp;$B291,BD!$Z$3:$Z$5001,"&lt;&gt;")=0,"",SUMIFS(BD!$Z$3:$Z$5001,BD!$B$3:$B$5001,R$280,BD!$A$3:$A$5001,_xlfn.MAXIFS(BD!$A$3:$A$5001,BD!$B$3:$B$5001,R$280,BD!$A$3:$A$5001,"&gt;="&amp;$C$7,BD!$A$3:$A$5001,"&lt;="&amp;$B291,BD!$Z$3:$Z$5001,"&lt;&gt;"))))</f>
        <v/>
      </c>
      <c r="S291" s="54" t="str">
        <f>IF(OR($B291="",$A291&gt;$B$9,S$280=""),"",IF(COUNTIFS(BD!$B$3:$B$5001,S$280,BD!$A$3:$A$5001,"&gt;="&amp;$C$7,BD!$A$3:$A$5001,"&lt;="&amp;$B291,BD!$Z$3:$Z$5001,"&lt;&gt;")=0,"",SUMIFS(BD!$Z$3:$Z$5001,BD!$B$3:$B$5001,S$280,BD!$A$3:$A$5001,_xlfn.MAXIFS(BD!$A$3:$A$5001,BD!$B$3:$B$5001,S$280,BD!$A$3:$A$5001,"&gt;="&amp;$C$7,BD!$A$3:$A$5001,"&lt;="&amp;$B291,BD!$Z$3:$Z$5001,"&lt;&gt;"))))</f>
        <v/>
      </c>
      <c r="T291" s="54" t="str">
        <f>IF(OR($B291="",$A291&gt;$B$9,T$280=""),"",IF(COUNTIFS(BD!$B$3:$B$5001,T$280,BD!$A$3:$A$5001,"&gt;="&amp;$C$7,BD!$A$3:$A$5001,"&lt;="&amp;$B291,BD!$Z$3:$Z$5001,"&lt;&gt;")=0,"",SUMIFS(BD!$Z$3:$Z$5001,BD!$B$3:$B$5001,T$280,BD!$A$3:$A$5001,_xlfn.MAXIFS(BD!$A$3:$A$5001,BD!$B$3:$B$5001,T$280,BD!$A$3:$A$5001,"&gt;="&amp;$C$7,BD!$A$3:$A$5001,"&lt;="&amp;$B291,BD!$Z$3:$Z$5001,"&lt;&gt;"))))</f>
        <v/>
      </c>
      <c r="U291" s="54" t="str">
        <f>IF(OR($B291="",$A291&gt;$B$9,U$280=""),"",IF(COUNTIFS(BD!$B$3:$B$5001,U$280,BD!$A$3:$A$5001,"&gt;="&amp;$C$7,BD!$A$3:$A$5001,"&lt;="&amp;$B291,BD!$Z$3:$Z$5001,"&lt;&gt;")=0,"",SUMIFS(BD!$Z$3:$Z$5001,BD!$B$3:$B$5001,U$280,BD!$A$3:$A$5001,_xlfn.MAXIFS(BD!$A$3:$A$5001,BD!$B$3:$B$5001,U$280,BD!$A$3:$A$5001,"&gt;="&amp;$C$7,BD!$A$3:$A$5001,"&lt;="&amp;$B291,BD!$Z$3:$Z$5001,"&lt;&gt;"))))</f>
        <v/>
      </c>
      <c r="V291" s="54" t="str">
        <f>IF(OR($B291="",$A291&gt;$B$9,V$280=""),"",IF(COUNTIFS(BD!$B$3:$B$5001,V$280,BD!$A$3:$A$5001,"&gt;="&amp;$C$7,BD!$A$3:$A$5001,"&lt;="&amp;$B291,BD!$Z$3:$Z$5001,"&lt;&gt;")=0,"",SUMIFS(BD!$Z$3:$Z$5001,BD!$B$3:$B$5001,V$280,BD!$A$3:$A$5001,_xlfn.MAXIFS(BD!$A$3:$A$5001,BD!$B$3:$B$5001,V$280,BD!$A$3:$A$5001,"&gt;="&amp;$C$7,BD!$A$3:$A$5001,"&lt;="&amp;$B291,BD!$Z$3:$Z$5001,"&lt;&gt;"))))</f>
        <v/>
      </c>
    </row>
    <row r="292">
      <c r="A292" s="48">
        <v>12</v>
      </c>
      <c r="B292" s="53">
        <f>$B$23</f>
        <v>46307</v>
      </c>
      <c r="C292" s="54" t="str">
        <f>IF(OR($B292="",$A292&gt;$B$9,C$280=""),"",IF(COUNTIFS(BD!$B$3:$B$5001,C$280,BD!$A$3:$A$5001,"&gt;="&amp;$C$7,BD!$A$3:$A$5001,"&lt;="&amp;$B292,BD!$Z$3:$Z$5001,"&lt;&gt;")=0,"",SUMIFS(BD!$Z$3:$Z$5001,BD!$B$3:$B$5001,C$280,BD!$A$3:$A$5001,_xlfn.MAXIFS(BD!$A$3:$A$5001,BD!$B$3:$B$5001,C$280,BD!$A$3:$A$5001,"&gt;="&amp;$C$7,BD!$A$3:$A$5001,"&lt;="&amp;$B292,BD!$Z$3:$Z$5001,"&lt;&gt;"))))</f>
        <v/>
      </c>
      <c r="D292" s="54" t="str">
        <f>IF(OR($B292="",$A292&gt;$B$9,D$280=""),"",IF(COUNTIFS(BD!$B$3:$B$5001,D$280,BD!$A$3:$A$5001,"&gt;="&amp;$C$7,BD!$A$3:$A$5001,"&lt;="&amp;$B292,BD!$Z$3:$Z$5001,"&lt;&gt;")=0,"",SUMIFS(BD!$Z$3:$Z$5001,BD!$B$3:$B$5001,D$280,BD!$A$3:$A$5001,_xlfn.MAXIFS(BD!$A$3:$A$5001,BD!$B$3:$B$5001,D$280,BD!$A$3:$A$5001,"&gt;="&amp;$C$7,BD!$A$3:$A$5001,"&lt;="&amp;$B292,BD!$Z$3:$Z$5001,"&lt;&gt;"))))</f>
        <v/>
      </c>
      <c r="E292" s="54" t="str">
        <f>IF(OR($B292="",$A292&gt;$B$9,E$280=""),"",IF(COUNTIFS(BD!$B$3:$B$5001,E$280,BD!$A$3:$A$5001,"&gt;="&amp;$C$7,BD!$A$3:$A$5001,"&lt;="&amp;$B292,BD!$Z$3:$Z$5001,"&lt;&gt;")=0,"",SUMIFS(BD!$Z$3:$Z$5001,BD!$B$3:$B$5001,E$280,BD!$A$3:$A$5001,_xlfn.MAXIFS(BD!$A$3:$A$5001,BD!$B$3:$B$5001,E$280,BD!$A$3:$A$5001,"&gt;="&amp;$C$7,BD!$A$3:$A$5001,"&lt;="&amp;$B292,BD!$Z$3:$Z$5001,"&lt;&gt;"))))</f>
        <v/>
      </c>
      <c r="F292" s="54" t="str">
        <f>IF(OR($B292="",$A292&gt;$B$9,F$280=""),"",IF(COUNTIFS(BD!$B$3:$B$5001,F$280,BD!$A$3:$A$5001,"&gt;="&amp;$C$7,BD!$A$3:$A$5001,"&lt;="&amp;$B292,BD!$Z$3:$Z$5001,"&lt;&gt;")=0,"",SUMIFS(BD!$Z$3:$Z$5001,BD!$B$3:$B$5001,F$280,BD!$A$3:$A$5001,_xlfn.MAXIFS(BD!$A$3:$A$5001,BD!$B$3:$B$5001,F$280,BD!$A$3:$A$5001,"&gt;="&amp;$C$7,BD!$A$3:$A$5001,"&lt;="&amp;$B292,BD!$Z$3:$Z$5001,"&lt;&gt;"))))</f>
        <v/>
      </c>
      <c r="G292" s="54" t="str">
        <f>IF(OR($B292="",$A292&gt;$B$9,G$280=""),"",IF(COUNTIFS(BD!$B$3:$B$5001,G$280,BD!$A$3:$A$5001,"&gt;="&amp;$C$7,BD!$A$3:$A$5001,"&lt;="&amp;$B292,BD!$Z$3:$Z$5001,"&lt;&gt;")=0,"",SUMIFS(BD!$Z$3:$Z$5001,BD!$B$3:$B$5001,G$280,BD!$A$3:$A$5001,_xlfn.MAXIFS(BD!$A$3:$A$5001,BD!$B$3:$B$5001,G$280,BD!$A$3:$A$5001,"&gt;="&amp;$C$7,BD!$A$3:$A$5001,"&lt;="&amp;$B292,BD!$Z$3:$Z$5001,"&lt;&gt;"))))</f>
        <v/>
      </c>
      <c r="H292" s="54" t="str">
        <f>IF(OR($B292="",$A292&gt;$B$9,H$280=""),"",IF(COUNTIFS(BD!$B$3:$B$5001,H$280,BD!$A$3:$A$5001,"&gt;="&amp;$C$7,BD!$A$3:$A$5001,"&lt;="&amp;$B292,BD!$Z$3:$Z$5001,"&lt;&gt;")=0,"",SUMIFS(BD!$Z$3:$Z$5001,BD!$B$3:$B$5001,H$280,BD!$A$3:$A$5001,_xlfn.MAXIFS(BD!$A$3:$A$5001,BD!$B$3:$B$5001,H$280,BD!$A$3:$A$5001,"&gt;="&amp;$C$7,BD!$A$3:$A$5001,"&lt;="&amp;$B292,BD!$Z$3:$Z$5001,"&lt;&gt;"))))</f>
        <v/>
      </c>
      <c r="I292" s="54" t="str">
        <f>IF(OR($B292="",$A292&gt;$B$9,I$280=""),"",IF(COUNTIFS(BD!$B$3:$B$5001,I$280,BD!$A$3:$A$5001,"&gt;="&amp;$C$7,BD!$A$3:$A$5001,"&lt;="&amp;$B292,BD!$Z$3:$Z$5001,"&lt;&gt;")=0,"",SUMIFS(BD!$Z$3:$Z$5001,BD!$B$3:$B$5001,I$280,BD!$A$3:$A$5001,_xlfn.MAXIFS(BD!$A$3:$A$5001,BD!$B$3:$B$5001,I$280,BD!$A$3:$A$5001,"&gt;="&amp;$C$7,BD!$A$3:$A$5001,"&lt;="&amp;$B292,BD!$Z$3:$Z$5001,"&lt;&gt;"))))</f>
        <v/>
      </c>
      <c r="J292" s="54" t="str">
        <f>IF(OR($B292="",$A292&gt;$B$9,J$280=""),"",IF(COUNTIFS(BD!$B$3:$B$5001,J$280,BD!$A$3:$A$5001,"&gt;="&amp;$C$7,BD!$A$3:$A$5001,"&lt;="&amp;$B292,BD!$Z$3:$Z$5001,"&lt;&gt;")=0,"",SUMIFS(BD!$Z$3:$Z$5001,BD!$B$3:$B$5001,J$280,BD!$A$3:$A$5001,_xlfn.MAXIFS(BD!$A$3:$A$5001,BD!$B$3:$B$5001,J$280,BD!$A$3:$A$5001,"&gt;="&amp;$C$7,BD!$A$3:$A$5001,"&lt;="&amp;$B292,BD!$Z$3:$Z$5001,"&lt;&gt;"))))</f>
        <v/>
      </c>
      <c r="K292" s="54" t="str">
        <f>IF(OR($B292="",$A292&gt;$B$9,K$280=""),"",IF(COUNTIFS(BD!$B$3:$B$5001,K$280,BD!$A$3:$A$5001,"&gt;="&amp;$C$7,BD!$A$3:$A$5001,"&lt;="&amp;$B292,BD!$Z$3:$Z$5001,"&lt;&gt;")=0,"",SUMIFS(BD!$Z$3:$Z$5001,BD!$B$3:$B$5001,K$280,BD!$A$3:$A$5001,_xlfn.MAXIFS(BD!$A$3:$A$5001,BD!$B$3:$B$5001,K$280,BD!$A$3:$A$5001,"&gt;="&amp;$C$7,BD!$A$3:$A$5001,"&lt;="&amp;$B292,BD!$Z$3:$Z$5001,"&lt;&gt;"))))</f>
        <v/>
      </c>
      <c r="L292" s="54" t="str">
        <f>IF(OR($B292="",$A292&gt;$B$9,L$280=""),"",IF(COUNTIFS(BD!$B$3:$B$5001,L$280,BD!$A$3:$A$5001,"&gt;="&amp;$C$7,BD!$A$3:$A$5001,"&lt;="&amp;$B292,BD!$Z$3:$Z$5001,"&lt;&gt;")=0,"",SUMIFS(BD!$Z$3:$Z$5001,BD!$B$3:$B$5001,L$280,BD!$A$3:$A$5001,_xlfn.MAXIFS(BD!$A$3:$A$5001,BD!$B$3:$B$5001,L$280,BD!$A$3:$A$5001,"&gt;="&amp;$C$7,BD!$A$3:$A$5001,"&lt;="&amp;$B292,BD!$Z$3:$Z$5001,"&lt;&gt;"))))</f>
        <v/>
      </c>
      <c r="M292" s="54" t="str">
        <f>IF(OR($B292="",$A292&gt;$B$9,M$280=""),"",IF(COUNTIFS(BD!$B$3:$B$5001,M$280,BD!$A$3:$A$5001,"&gt;="&amp;$C$7,BD!$A$3:$A$5001,"&lt;="&amp;$B292,BD!$Z$3:$Z$5001,"&lt;&gt;")=0,"",SUMIFS(BD!$Z$3:$Z$5001,BD!$B$3:$B$5001,M$280,BD!$A$3:$A$5001,_xlfn.MAXIFS(BD!$A$3:$A$5001,BD!$B$3:$B$5001,M$280,BD!$A$3:$A$5001,"&gt;="&amp;$C$7,BD!$A$3:$A$5001,"&lt;="&amp;$B292,BD!$Z$3:$Z$5001,"&lt;&gt;"))))</f>
        <v/>
      </c>
      <c r="N292" s="54" t="str">
        <f>IF(OR($B292="",$A292&gt;$B$9,N$280=""),"",IF(COUNTIFS(BD!$B$3:$B$5001,N$280,BD!$A$3:$A$5001,"&gt;="&amp;$C$7,BD!$A$3:$A$5001,"&lt;="&amp;$B292,BD!$Z$3:$Z$5001,"&lt;&gt;")=0,"",SUMIFS(BD!$Z$3:$Z$5001,BD!$B$3:$B$5001,N$280,BD!$A$3:$A$5001,_xlfn.MAXIFS(BD!$A$3:$A$5001,BD!$B$3:$B$5001,N$280,BD!$A$3:$A$5001,"&gt;="&amp;$C$7,BD!$A$3:$A$5001,"&lt;="&amp;$B292,BD!$Z$3:$Z$5001,"&lt;&gt;"))))</f>
        <v/>
      </c>
      <c r="O292" s="54" t="str">
        <f>IF(OR($B292="",$A292&gt;$B$9,O$280=""),"",IF(COUNTIFS(BD!$B$3:$B$5001,O$280,BD!$A$3:$A$5001,"&gt;="&amp;$C$7,BD!$A$3:$A$5001,"&lt;="&amp;$B292,BD!$Z$3:$Z$5001,"&lt;&gt;")=0,"",SUMIFS(BD!$Z$3:$Z$5001,BD!$B$3:$B$5001,O$280,BD!$A$3:$A$5001,_xlfn.MAXIFS(BD!$A$3:$A$5001,BD!$B$3:$B$5001,O$280,BD!$A$3:$A$5001,"&gt;="&amp;$C$7,BD!$A$3:$A$5001,"&lt;="&amp;$B292,BD!$Z$3:$Z$5001,"&lt;&gt;"))))</f>
        <v/>
      </c>
      <c r="P292" s="54" t="str">
        <f>IF(OR($B292="",$A292&gt;$B$9,P$280=""),"",IF(COUNTIFS(BD!$B$3:$B$5001,P$280,BD!$A$3:$A$5001,"&gt;="&amp;$C$7,BD!$A$3:$A$5001,"&lt;="&amp;$B292,BD!$Z$3:$Z$5001,"&lt;&gt;")=0,"",SUMIFS(BD!$Z$3:$Z$5001,BD!$B$3:$B$5001,P$280,BD!$A$3:$A$5001,_xlfn.MAXIFS(BD!$A$3:$A$5001,BD!$B$3:$B$5001,P$280,BD!$A$3:$A$5001,"&gt;="&amp;$C$7,BD!$A$3:$A$5001,"&lt;="&amp;$B292,BD!$Z$3:$Z$5001,"&lt;&gt;"))))</f>
        <v/>
      </c>
      <c r="Q292" s="54" t="str">
        <f>IF(OR($B292="",$A292&gt;$B$9,Q$280=""),"",IF(COUNTIFS(BD!$B$3:$B$5001,Q$280,BD!$A$3:$A$5001,"&gt;="&amp;$C$7,BD!$A$3:$A$5001,"&lt;="&amp;$B292,BD!$Z$3:$Z$5001,"&lt;&gt;")=0,"",SUMIFS(BD!$Z$3:$Z$5001,BD!$B$3:$B$5001,Q$280,BD!$A$3:$A$5001,_xlfn.MAXIFS(BD!$A$3:$A$5001,BD!$B$3:$B$5001,Q$280,BD!$A$3:$A$5001,"&gt;="&amp;$C$7,BD!$A$3:$A$5001,"&lt;="&amp;$B292,BD!$Z$3:$Z$5001,"&lt;&gt;"))))</f>
        <v/>
      </c>
      <c r="R292" s="54" t="str">
        <f>IF(OR($B292="",$A292&gt;$B$9,R$280=""),"",IF(COUNTIFS(BD!$B$3:$B$5001,R$280,BD!$A$3:$A$5001,"&gt;="&amp;$C$7,BD!$A$3:$A$5001,"&lt;="&amp;$B292,BD!$Z$3:$Z$5001,"&lt;&gt;")=0,"",SUMIFS(BD!$Z$3:$Z$5001,BD!$B$3:$B$5001,R$280,BD!$A$3:$A$5001,_xlfn.MAXIFS(BD!$A$3:$A$5001,BD!$B$3:$B$5001,R$280,BD!$A$3:$A$5001,"&gt;="&amp;$C$7,BD!$A$3:$A$5001,"&lt;="&amp;$B292,BD!$Z$3:$Z$5001,"&lt;&gt;"))))</f>
        <v/>
      </c>
      <c r="S292" s="54" t="str">
        <f>IF(OR($B292="",$A292&gt;$B$9,S$280=""),"",IF(COUNTIFS(BD!$B$3:$B$5001,S$280,BD!$A$3:$A$5001,"&gt;="&amp;$C$7,BD!$A$3:$A$5001,"&lt;="&amp;$B292,BD!$Z$3:$Z$5001,"&lt;&gt;")=0,"",SUMIFS(BD!$Z$3:$Z$5001,BD!$B$3:$B$5001,S$280,BD!$A$3:$A$5001,_xlfn.MAXIFS(BD!$A$3:$A$5001,BD!$B$3:$B$5001,S$280,BD!$A$3:$A$5001,"&gt;="&amp;$C$7,BD!$A$3:$A$5001,"&lt;="&amp;$B292,BD!$Z$3:$Z$5001,"&lt;&gt;"))))</f>
        <v/>
      </c>
      <c r="T292" s="54" t="str">
        <f>IF(OR($B292="",$A292&gt;$B$9,T$280=""),"",IF(COUNTIFS(BD!$B$3:$B$5001,T$280,BD!$A$3:$A$5001,"&gt;="&amp;$C$7,BD!$A$3:$A$5001,"&lt;="&amp;$B292,BD!$Z$3:$Z$5001,"&lt;&gt;")=0,"",SUMIFS(BD!$Z$3:$Z$5001,BD!$B$3:$B$5001,T$280,BD!$A$3:$A$5001,_xlfn.MAXIFS(BD!$A$3:$A$5001,BD!$B$3:$B$5001,T$280,BD!$A$3:$A$5001,"&gt;="&amp;$C$7,BD!$A$3:$A$5001,"&lt;="&amp;$B292,BD!$Z$3:$Z$5001,"&lt;&gt;"))))</f>
        <v/>
      </c>
      <c r="U292" s="54" t="str">
        <f>IF(OR($B292="",$A292&gt;$B$9,U$280=""),"",IF(COUNTIFS(BD!$B$3:$B$5001,U$280,BD!$A$3:$A$5001,"&gt;="&amp;$C$7,BD!$A$3:$A$5001,"&lt;="&amp;$B292,BD!$Z$3:$Z$5001,"&lt;&gt;")=0,"",SUMIFS(BD!$Z$3:$Z$5001,BD!$B$3:$B$5001,U$280,BD!$A$3:$A$5001,_xlfn.MAXIFS(BD!$A$3:$A$5001,BD!$B$3:$B$5001,U$280,BD!$A$3:$A$5001,"&gt;="&amp;$C$7,BD!$A$3:$A$5001,"&lt;="&amp;$B292,BD!$Z$3:$Z$5001,"&lt;&gt;"))))</f>
        <v/>
      </c>
      <c r="V292" s="54" t="str">
        <f>IF(OR($B292="",$A292&gt;$B$9,V$280=""),"",IF(COUNTIFS(BD!$B$3:$B$5001,V$280,BD!$A$3:$A$5001,"&gt;="&amp;$C$7,BD!$A$3:$A$5001,"&lt;="&amp;$B292,BD!$Z$3:$Z$5001,"&lt;&gt;")=0,"",SUMIFS(BD!$Z$3:$Z$5001,BD!$B$3:$B$5001,V$280,BD!$A$3:$A$5001,_xlfn.MAXIFS(BD!$A$3:$A$5001,BD!$B$3:$B$5001,V$280,BD!$A$3:$A$5001,"&gt;="&amp;$C$7,BD!$A$3:$A$5001,"&lt;="&amp;$B292,BD!$Z$3:$Z$5001,"&lt;&gt;"))))</f>
        <v/>
      </c>
    </row>
    <row r="293">
      <c r="A293" s="48">
        <v>13</v>
      </c>
      <c r="B293" s="53">
        <f>$B$24</f>
        <v>46308</v>
      </c>
      <c r="C293" s="54" t="str">
        <f>IF(OR($B293="",$A293&gt;$B$9,C$280=""),"",IF(COUNTIFS(BD!$B$3:$B$5001,C$280,BD!$A$3:$A$5001,"&gt;="&amp;$C$7,BD!$A$3:$A$5001,"&lt;="&amp;$B293,BD!$Z$3:$Z$5001,"&lt;&gt;")=0,"",SUMIFS(BD!$Z$3:$Z$5001,BD!$B$3:$B$5001,C$280,BD!$A$3:$A$5001,_xlfn.MAXIFS(BD!$A$3:$A$5001,BD!$B$3:$B$5001,C$280,BD!$A$3:$A$5001,"&gt;="&amp;$C$7,BD!$A$3:$A$5001,"&lt;="&amp;$B293,BD!$Z$3:$Z$5001,"&lt;&gt;"))))</f>
        <v/>
      </c>
      <c r="D293" s="54" t="str">
        <f>IF(OR($B293="",$A293&gt;$B$9,D$280=""),"",IF(COUNTIFS(BD!$B$3:$B$5001,D$280,BD!$A$3:$A$5001,"&gt;="&amp;$C$7,BD!$A$3:$A$5001,"&lt;="&amp;$B293,BD!$Z$3:$Z$5001,"&lt;&gt;")=0,"",SUMIFS(BD!$Z$3:$Z$5001,BD!$B$3:$B$5001,D$280,BD!$A$3:$A$5001,_xlfn.MAXIFS(BD!$A$3:$A$5001,BD!$B$3:$B$5001,D$280,BD!$A$3:$A$5001,"&gt;="&amp;$C$7,BD!$A$3:$A$5001,"&lt;="&amp;$B293,BD!$Z$3:$Z$5001,"&lt;&gt;"))))</f>
        <v/>
      </c>
      <c r="E293" s="54" t="str">
        <f>IF(OR($B293="",$A293&gt;$B$9,E$280=""),"",IF(COUNTIFS(BD!$B$3:$B$5001,E$280,BD!$A$3:$A$5001,"&gt;="&amp;$C$7,BD!$A$3:$A$5001,"&lt;="&amp;$B293,BD!$Z$3:$Z$5001,"&lt;&gt;")=0,"",SUMIFS(BD!$Z$3:$Z$5001,BD!$B$3:$B$5001,E$280,BD!$A$3:$A$5001,_xlfn.MAXIFS(BD!$A$3:$A$5001,BD!$B$3:$B$5001,E$280,BD!$A$3:$A$5001,"&gt;="&amp;$C$7,BD!$A$3:$A$5001,"&lt;="&amp;$B293,BD!$Z$3:$Z$5001,"&lt;&gt;"))))</f>
        <v/>
      </c>
      <c r="F293" s="54" t="str">
        <f>IF(OR($B293="",$A293&gt;$B$9,F$280=""),"",IF(COUNTIFS(BD!$B$3:$B$5001,F$280,BD!$A$3:$A$5001,"&gt;="&amp;$C$7,BD!$A$3:$A$5001,"&lt;="&amp;$B293,BD!$Z$3:$Z$5001,"&lt;&gt;")=0,"",SUMIFS(BD!$Z$3:$Z$5001,BD!$B$3:$B$5001,F$280,BD!$A$3:$A$5001,_xlfn.MAXIFS(BD!$A$3:$A$5001,BD!$B$3:$B$5001,F$280,BD!$A$3:$A$5001,"&gt;="&amp;$C$7,BD!$A$3:$A$5001,"&lt;="&amp;$B293,BD!$Z$3:$Z$5001,"&lt;&gt;"))))</f>
        <v/>
      </c>
      <c r="G293" s="54" t="str">
        <f>IF(OR($B293="",$A293&gt;$B$9,G$280=""),"",IF(COUNTIFS(BD!$B$3:$B$5001,G$280,BD!$A$3:$A$5001,"&gt;="&amp;$C$7,BD!$A$3:$A$5001,"&lt;="&amp;$B293,BD!$Z$3:$Z$5001,"&lt;&gt;")=0,"",SUMIFS(BD!$Z$3:$Z$5001,BD!$B$3:$B$5001,G$280,BD!$A$3:$A$5001,_xlfn.MAXIFS(BD!$A$3:$A$5001,BD!$B$3:$B$5001,G$280,BD!$A$3:$A$5001,"&gt;="&amp;$C$7,BD!$A$3:$A$5001,"&lt;="&amp;$B293,BD!$Z$3:$Z$5001,"&lt;&gt;"))))</f>
        <v/>
      </c>
      <c r="H293" s="54" t="str">
        <f>IF(OR($B293="",$A293&gt;$B$9,H$280=""),"",IF(COUNTIFS(BD!$B$3:$B$5001,H$280,BD!$A$3:$A$5001,"&gt;="&amp;$C$7,BD!$A$3:$A$5001,"&lt;="&amp;$B293,BD!$Z$3:$Z$5001,"&lt;&gt;")=0,"",SUMIFS(BD!$Z$3:$Z$5001,BD!$B$3:$B$5001,H$280,BD!$A$3:$A$5001,_xlfn.MAXIFS(BD!$A$3:$A$5001,BD!$B$3:$B$5001,H$280,BD!$A$3:$A$5001,"&gt;="&amp;$C$7,BD!$A$3:$A$5001,"&lt;="&amp;$B293,BD!$Z$3:$Z$5001,"&lt;&gt;"))))</f>
        <v/>
      </c>
      <c r="I293" s="54" t="str">
        <f>IF(OR($B293="",$A293&gt;$B$9,I$280=""),"",IF(COUNTIFS(BD!$B$3:$B$5001,I$280,BD!$A$3:$A$5001,"&gt;="&amp;$C$7,BD!$A$3:$A$5001,"&lt;="&amp;$B293,BD!$Z$3:$Z$5001,"&lt;&gt;")=0,"",SUMIFS(BD!$Z$3:$Z$5001,BD!$B$3:$B$5001,I$280,BD!$A$3:$A$5001,_xlfn.MAXIFS(BD!$A$3:$A$5001,BD!$B$3:$B$5001,I$280,BD!$A$3:$A$5001,"&gt;="&amp;$C$7,BD!$A$3:$A$5001,"&lt;="&amp;$B293,BD!$Z$3:$Z$5001,"&lt;&gt;"))))</f>
        <v/>
      </c>
      <c r="J293" s="54" t="str">
        <f>IF(OR($B293="",$A293&gt;$B$9,J$280=""),"",IF(COUNTIFS(BD!$B$3:$B$5001,J$280,BD!$A$3:$A$5001,"&gt;="&amp;$C$7,BD!$A$3:$A$5001,"&lt;="&amp;$B293,BD!$Z$3:$Z$5001,"&lt;&gt;")=0,"",SUMIFS(BD!$Z$3:$Z$5001,BD!$B$3:$B$5001,J$280,BD!$A$3:$A$5001,_xlfn.MAXIFS(BD!$A$3:$A$5001,BD!$B$3:$B$5001,J$280,BD!$A$3:$A$5001,"&gt;="&amp;$C$7,BD!$A$3:$A$5001,"&lt;="&amp;$B293,BD!$Z$3:$Z$5001,"&lt;&gt;"))))</f>
        <v/>
      </c>
      <c r="K293" s="54" t="str">
        <f>IF(OR($B293="",$A293&gt;$B$9,K$280=""),"",IF(COUNTIFS(BD!$B$3:$B$5001,K$280,BD!$A$3:$A$5001,"&gt;="&amp;$C$7,BD!$A$3:$A$5001,"&lt;="&amp;$B293,BD!$Z$3:$Z$5001,"&lt;&gt;")=0,"",SUMIFS(BD!$Z$3:$Z$5001,BD!$B$3:$B$5001,K$280,BD!$A$3:$A$5001,_xlfn.MAXIFS(BD!$A$3:$A$5001,BD!$B$3:$B$5001,K$280,BD!$A$3:$A$5001,"&gt;="&amp;$C$7,BD!$A$3:$A$5001,"&lt;="&amp;$B293,BD!$Z$3:$Z$5001,"&lt;&gt;"))))</f>
        <v/>
      </c>
      <c r="L293" s="54" t="str">
        <f>IF(OR($B293="",$A293&gt;$B$9,L$280=""),"",IF(COUNTIFS(BD!$B$3:$B$5001,L$280,BD!$A$3:$A$5001,"&gt;="&amp;$C$7,BD!$A$3:$A$5001,"&lt;="&amp;$B293,BD!$Z$3:$Z$5001,"&lt;&gt;")=0,"",SUMIFS(BD!$Z$3:$Z$5001,BD!$B$3:$B$5001,L$280,BD!$A$3:$A$5001,_xlfn.MAXIFS(BD!$A$3:$A$5001,BD!$B$3:$B$5001,L$280,BD!$A$3:$A$5001,"&gt;="&amp;$C$7,BD!$A$3:$A$5001,"&lt;="&amp;$B293,BD!$Z$3:$Z$5001,"&lt;&gt;"))))</f>
        <v/>
      </c>
      <c r="M293" s="54" t="str">
        <f>IF(OR($B293="",$A293&gt;$B$9,M$280=""),"",IF(COUNTIFS(BD!$B$3:$B$5001,M$280,BD!$A$3:$A$5001,"&gt;="&amp;$C$7,BD!$A$3:$A$5001,"&lt;="&amp;$B293,BD!$Z$3:$Z$5001,"&lt;&gt;")=0,"",SUMIFS(BD!$Z$3:$Z$5001,BD!$B$3:$B$5001,M$280,BD!$A$3:$A$5001,_xlfn.MAXIFS(BD!$A$3:$A$5001,BD!$B$3:$B$5001,M$280,BD!$A$3:$A$5001,"&gt;="&amp;$C$7,BD!$A$3:$A$5001,"&lt;="&amp;$B293,BD!$Z$3:$Z$5001,"&lt;&gt;"))))</f>
        <v/>
      </c>
      <c r="N293" s="54" t="str">
        <f>IF(OR($B293="",$A293&gt;$B$9,N$280=""),"",IF(COUNTIFS(BD!$B$3:$B$5001,N$280,BD!$A$3:$A$5001,"&gt;="&amp;$C$7,BD!$A$3:$A$5001,"&lt;="&amp;$B293,BD!$Z$3:$Z$5001,"&lt;&gt;")=0,"",SUMIFS(BD!$Z$3:$Z$5001,BD!$B$3:$B$5001,N$280,BD!$A$3:$A$5001,_xlfn.MAXIFS(BD!$A$3:$A$5001,BD!$B$3:$B$5001,N$280,BD!$A$3:$A$5001,"&gt;="&amp;$C$7,BD!$A$3:$A$5001,"&lt;="&amp;$B293,BD!$Z$3:$Z$5001,"&lt;&gt;"))))</f>
        <v/>
      </c>
      <c r="O293" s="54" t="str">
        <f>IF(OR($B293="",$A293&gt;$B$9,O$280=""),"",IF(COUNTIFS(BD!$B$3:$B$5001,O$280,BD!$A$3:$A$5001,"&gt;="&amp;$C$7,BD!$A$3:$A$5001,"&lt;="&amp;$B293,BD!$Z$3:$Z$5001,"&lt;&gt;")=0,"",SUMIFS(BD!$Z$3:$Z$5001,BD!$B$3:$B$5001,O$280,BD!$A$3:$A$5001,_xlfn.MAXIFS(BD!$A$3:$A$5001,BD!$B$3:$B$5001,O$280,BD!$A$3:$A$5001,"&gt;="&amp;$C$7,BD!$A$3:$A$5001,"&lt;="&amp;$B293,BD!$Z$3:$Z$5001,"&lt;&gt;"))))</f>
        <v/>
      </c>
      <c r="P293" s="54" t="str">
        <f>IF(OR($B293="",$A293&gt;$B$9,P$280=""),"",IF(COUNTIFS(BD!$B$3:$B$5001,P$280,BD!$A$3:$A$5001,"&gt;="&amp;$C$7,BD!$A$3:$A$5001,"&lt;="&amp;$B293,BD!$Z$3:$Z$5001,"&lt;&gt;")=0,"",SUMIFS(BD!$Z$3:$Z$5001,BD!$B$3:$B$5001,P$280,BD!$A$3:$A$5001,_xlfn.MAXIFS(BD!$A$3:$A$5001,BD!$B$3:$B$5001,P$280,BD!$A$3:$A$5001,"&gt;="&amp;$C$7,BD!$A$3:$A$5001,"&lt;="&amp;$B293,BD!$Z$3:$Z$5001,"&lt;&gt;"))))</f>
        <v/>
      </c>
      <c r="Q293" s="54" t="str">
        <f>IF(OR($B293="",$A293&gt;$B$9,Q$280=""),"",IF(COUNTIFS(BD!$B$3:$B$5001,Q$280,BD!$A$3:$A$5001,"&gt;="&amp;$C$7,BD!$A$3:$A$5001,"&lt;="&amp;$B293,BD!$Z$3:$Z$5001,"&lt;&gt;")=0,"",SUMIFS(BD!$Z$3:$Z$5001,BD!$B$3:$B$5001,Q$280,BD!$A$3:$A$5001,_xlfn.MAXIFS(BD!$A$3:$A$5001,BD!$B$3:$B$5001,Q$280,BD!$A$3:$A$5001,"&gt;="&amp;$C$7,BD!$A$3:$A$5001,"&lt;="&amp;$B293,BD!$Z$3:$Z$5001,"&lt;&gt;"))))</f>
        <v/>
      </c>
      <c r="R293" s="54" t="str">
        <f>IF(OR($B293="",$A293&gt;$B$9,R$280=""),"",IF(COUNTIFS(BD!$B$3:$B$5001,R$280,BD!$A$3:$A$5001,"&gt;="&amp;$C$7,BD!$A$3:$A$5001,"&lt;="&amp;$B293,BD!$Z$3:$Z$5001,"&lt;&gt;")=0,"",SUMIFS(BD!$Z$3:$Z$5001,BD!$B$3:$B$5001,R$280,BD!$A$3:$A$5001,_xlfn.MAXIFS(BD!$A$3:$A$5001,BD!$B$3:$B$5001,R$280,BD!$A$3:$A$5001,"&gt;="&amp;$C$7,BD!$A$3:$A$5001,"&lt;="&amp;$B293,BD!$Z$3:$Z$5001,"&lt;&gt;"))))</f>
        <v/>
      </c>
      <c r="S293" s="54" t="str">
        <f>IF(OR($B293="",$A293&gt;$B$9,S$280=""),"",IF(COUNTIFS(BD!$B$3:$B$5001,S$280,BD!$A$3:$A$5001,"&gt;="&amp;$C$7,BD!$A$3:$A$5001,"&lt;="&amp;$B293,BD!$Z$3:$Z$5001,"&lt;&gt;")=0,"",SUMIFS(BD!$Z$3:$Z$5001,BD!$B$3:$B$5001,S$280,BD!$A$3:$A$5001,_xlfn.MAXIFS(BD!$A$3:$A$5001,BD!$B$3:$B$5001,S$280,BD!$A$3:$A$5001,"&gt;="&amp;$C$7,BD!$A$3:$A$5001,"&lt;="&amp;$B293,BD!$Z$3:$Z$5001,"&lt;&gt;"))))</f>
        <v/>
      </c>
      <c r="T293" s="54" t="str">
        <f>IF(OR($B293="",$A293&gt;$B$9,T$280=""),"",IF(COUNTIFS(BD!$B$3:$B$5001,T$280,BD!$A$3:$A$5001,"&gt;="&amp;$C$7,BD!$A$3:$A$5001,"&lt;="&amp;$B293,BD!$Z$3:$Z$5001,"&lt;&gt;")=0,"",SUMIFS(BD!$Z$3:$Z$5001,BD!$B$3:$B$5001,T$280,BD!$A$3:$A$5001,_xlfn.MAXIFS(BD!$A$3:$A$5001,BD!$B$3:$B$5001,T$280,BD!$A$3:$A$5001,"&gt;="&amp;$C$7,BD!$A$3:$A$5001,"&lt;="&amp;$B293,BD!$Z$3:$Z$5001,"&lt;&gt;"))))</f>
        <v/>
      </c>
      <c r="U293" s="54" t="str">
        <f>IF(OR($B293="",$A293&gt;$B$9,U$280=""),"",IF(COUNTIFS(BD!$B$3:$B$5001,U$280,BD!$A$3:$A$5001,"&gt;="&amp;$C$7,BD!$A$3:$A$5001,"&lt;="&amp;$B293,BD!$Z$3:$Z$5001,"&lt;&gt;")=0,"",SUMIFS(BD!$Z$3:$Z$5001,BD!$B$3:$B$5001,U$280,BD!$A$3:$A$5001,_xlfn.MAXIFS(BD!$A$3:$A$5001,BD!$B$3:$B$5001,U$280,BD!$A$3:$A$5001,"&gt;="&amp;$C$7,BD!$A$3:$A$5001,"&lt;="&amp;$B293,BD!$Z$3:$Z$5001,"&lt;&gt;"))))</f>
        <v/>
      </c>
      <c r="V293" s="54" t="str">
        <f>IF(OR($B293="",$A293&gt;$B$9,V$280=""),"",IF(COUNTIFS(BD!$B$3:$B$5001,V$280,BD!$A$3:$A$5001,"&gt;="&amp;$C$7,BD!$A$3:$A$5001,"&lt;="&amp;$B293,BD!$Z$3:$Z$5001,"&lt;&gt;")=0,"",SUMIFS(BD!$Z$3:$Z$5001,BD!$B$3:$B$5001,V$280,BD!$A$3:$A$5001,_xlfn.MAXIFS(BD!$A$3:$A$5001,BD!$B$3:$B$5001,V$280,BD!$A$3:$A$5001,"&gt;="&amp;$C$7,BD!$A$3:$A$5001,"&lt;="&amp;$B293,BD!$Z$3:$Z$5001,"&lt;&gt;"))))</f>
        <v/>
      </c>
    </row>
    <row r="294">
      <c r="A294" s="48">
        <v>14</v>
      </c>
      <c r="B294" s="53">
        <f>$B$25</f>
        <v>46309</v>
      </c>
      <c r="C294" s="54" t="str">
        <f>IF(OR($B294="",$A294&gt;$B$9,C$280=""),"",IF(COUNTIFS(BD!$B$3:$B$5001,C$280,BD!$A$3:$A$5001,"&gt;="&amp;$C$7,BD!$A$3:$A$5001,"&lt;="&amp;$B294,BD!$Z$3:$Z$5001,"&lt;&gt;")=0,"",SUMIFS(BD!$Z$3:$Z$5001,BD!$B$3:$B$5001,C$280,BD!$A$3:$A$5001,_xlfn.MAXIFS(BD!$A$3:$A$5001,BD!$B$3:$B$5001,C$280,BD!$A$3:$A$5001,"&gt;="&amp;$C$7,BD!$A$3:$A$5001,"&lt;="&amp;$B294,BD!$Z$3:$Z$5001,"&lt;&gt;"))))</f>
        <v/>
      </c>
      <c r="D294" s="54" t="str">
        <f>IF(OR($B294="",$A294&gt;$B$9,D$280=""),"",IF(COUNTIFS(BD!$B$3:$B$5001,D$280,BD!$A$3:$A$5001,"&gt;="&amp;$C$7,BD!$A$3:$A$5001,"&lt;="&amp;$B294,BD!$Z$3:$Z$5001,"&lt;&gt;")=0,"",SUMIFS(BD!$Z$3:$Z$5001,BD!$B$3:$B$5001,D$280,BD!$A$3:$A$5001,_xlfn.MAXIFS(BD!$A$3:$A$5001,BD!$B$3:$B$5001,D$280,BD!$A$3:$A$5001,"&gt;="&amp;$C$7,BD!$A$3:$A$5001,"&lt;="&amp;$B294,BD!$Z$3:$Z$5001,"&lt;&gt;"))))</f>
        <v/>
      </c>
      <c r="E294" s="54" t="str">
        <f>IF(OR($B294="",$A294&gt;$B$9,E$280=""),"",IF(COUNTIFS(BD!$B$3:$B$5001,E$280,BD!$A$3:$A$5001,"&gt;="&amp;$C$7,BD!$A$3:$A$5001,"&lt;="&amp;$B294,BD!$Z$3:$Z$5001,"&lt;&gt;")=0,"",SUMIFS(BD!$Z$3:$Z$5001,BD!$B$3:$B$5001,E$280,BD!$A$3:$A$5001,_xlfn.MAXIFS(BD!$A$3:$A$5001,BD!$B$3:$B$5001,E$280,BD!$A$3:$A$5001,"&gt;="&amp;$C$7,BD!$A$3:$A$5001,"&lt;="&amp;$B294,BD!$Z$3:$Z$5001,"&lt;&gt;"))))</f>
        <v/>
      </c>
      <c r="F294" s="54" t="str">
        <f>IF(OR($B294="",$A294&gt;$B$9,F$280=""),"",IF(COUNTIFS(BD!$B$3:$B$5001,F$280,BD!$A$3:$A$5001,"&gt;="&amp;$C$7,BD!$A$3:$A$5001,"&lt;="&amp;$B294,BD!$Z$3:$Z$5001,"&lt;&gt;")=0,"",SUMIFS(BD!$Z$3:$Z$5001,BD!$B$3:$B$5001,F$280,BD!$A$3:$A$5001,_xlfn.MAXIFS(BD!$A$3:$A$5001,BD!$B$3:$B$5001,F$280,BD!$A$3:$A$5001,"&gt;="&amp;$C$7,BD!$A$3:$A$5001,"&lt;="&amp;$B294,BD!$Z$3:$Z$5001,"&lt;&gt;"))))</f>
        <v/>
      </c>
      <c r="G294" s="54" t="str">
        <f>IF(OR($B294="",$A294&gt;$B$9,G$280=""),"",IF(COUNTIFS(BD!$B$3:$B$5001,G$280,BD!$A$3:$A$5001,"&gt;="&amp;$C$7,BD!$A$3:$A$5001,"&lt;="&amp;$B294,BD!$Z$3:$Z$5001,"&lt;&gt;")=0,"",SUMIFS(BD!$Z$3:$Z$5001,BD!$B$3:$B$5001,G$280,BD!$A$3:$A$5001,_xlfn.MAXIFS(BD!$A$3:$A$5001,BD!$B$3:$B$5001,G$280,BD!$A$3:$A$5001,"&gt;="&amp;$C$7,BD!$A$3:$A$5001,"&lt;="&amp;$B294,BD!$Z$3:$Z$5001,"&lt;&gt;"))))</f>
        <v/>
      </c>
      <c r="H294" s="54" t="str">
        <f>IF(OR($B294="",$A294&gt;$B$9,H$280=""),"",IF(COUNTIFS(BD!$B$3:$B$5001,H$280,BD!$A$3:$A$5001,"&gt;="&amp;$C$7,BD!$A$3:$A$5001,"&lt;="&amp;$B294,BD!$Z$3:$Z$5001,"&lt;&gt;")=0,"",SUMIFS(BD!$Z$3:$Z$5001,BD!$B$3:$B$5001,H$280,BD!$A$3:$A$5001,_xlfn.MAXIFS(BD!$A$3:$A$5001,BD!$B$3:$B$5001,H$280,BD!$A$3:$A$5001,"&gt;="&amp;$C$7,BD!$A$3:$A$5001,"&lt;="&amp;$B294,BD!$Z$3:$Z$5001,"&lt;&gt;"))))</f>
        <v/>
      </c>
      <c r="I294" s="54" t="str">
        <f>IF(OR($B294="",$A294&gt;$B$9,I$280=""),"",IF(COUNTIFS(BD!$B$3:$B$5001,I$280,BD!$A$3:$A$5001,"&gt;="&amp;$C$7,BD!$A$3:$A$5001,"&lt;="&amp;$B294,BD!$Z$3:$Z$5001,"&lt;&gt;")=0,"",SUMIFS(BD!$Z$3:$Z$5001,BD!$B$3:$B$5001,I$280,BD!$A$3:$A$5001,_xlfn.MAXIFS(BD!$A$3:$A$5001,BD!$B$3:$B$5001,I$280,BD!$A$3:$A$5001,"&gt;="&amp;$C$7,BD!$A$3:$A$5001,"&lt;="&amp;$B294,BD!$Z$3:$Z$5001,"&lt;&gt;"))))</f>
        <v/>
      </c>
      <c r="J294" s="54" t="str">
        <f>IF(OR($B294="",$A294&gt;$B$9,J$280=""),"",IF(COUNTIFS(BD!$B$3:$B$5001,J$280,BD!$A$3:$A$5001,"&gt;="&amp;$C$7,BD!$A$3:$A$5001,"&lt;="&amp;$B294,BD!$Z$3:$Z$5001,"&lt;&gt;")=0,"",SUMIFS(BD!$Z$3:$Z$5001,BD!$B$3:$B$5001,J$280,BD!$A$3:$A$5001,_xlfn.MAXIFS(BD!$A$3:$A$5001,BD!$B$3:$B$5001,J$280,BD!$A$3:$A$5001,"&gt;="&amp;$C$7,BD!$A$3:$A$5001,"&lt;="&amp;$B294,BD!$Z$3:$Z$5001,"&lt;&gt;"))))</f>
        <v/>
      </c>
      <c r="K294" s="54" t="str">
        <f>IF(OR($B294="",$A294&gt;$B$9,K$280=""),"",IF(COUNTIFS(BD!$B$3:$B$5001,K$280,BD!$A$3:$A$5001,"&gt;="&amp;$C$7,BD!$A$3:$A$5001,"&lt;="&amp;$B294,BD!$Z$3:$Z$5001,"&lt;&gt;")=0,"",SUMIFS(BD!$Z$3:$Z$5001,BD!$B$3:$B$5001,K$280,BD!$A$3:$A$5001,_xlfn.MAXIFS(BD!$A$3:$A$5001,BD!$B$3:$B$5001,K$280,BD!$A$3:$A$5001,"&gt;="&amp;$C$7,BD!$A$3:$A$5001,"&lt;="&amp;$B294,BD!$Z$3:$Z$5001,"&lt;&gt;"))))</f>
        <v/>
      </c>
      <c r="L294" s="54" t="str">
        <f>IF(OR($B294="",$A294&gt;$B$9,L$280=""),"",IF(COUNTIFS(BD!$B$3:$B$5001,L$280,BD!$A$3:$A$5001,"&gt;="&amp;$C$7,BD!$A$3:$A$5001,"&lt;="&amp;$B294,BD!$Z$3:$Z$5001,"&lt;&gt;")=0,"",SUMIFS(BD!$Z$3:$Z$5001,BD!$B$3:$B$5001,L$280,BD!$A$3:$A$5001,_xlfn.MAXIFS(BD!$A$3:$A$5001,BD!$B$3:$B$5001,L$280,BD!$A$3:$A$5001,"&gt;="&amp;$C$7,BD!$A$3:$A$5001,"&lt;="&amp;$B294,BD!$Z$3:$Z$5001,"&lt;&gt;"))))</f>
        <v/>
      </c>
      <c r="M294" s="54" t="str">
        <f>IF(OR($B294="",$A294&gt;$B$9,M$280=""),"",IF(COUNTIFS(BD!$B$3:$B$5001,M$280,BD!$A$3:$A$5001,"&gt;="&amp;$C$7,BD!$A$3:$A$5001,"&lt;="&amp;$B294,BD!$Z$3:$Z$5001,"&lt;&gt;")=0,"",SUMIFS(BD!$Z$3:$Z$5001,BD!$B$3:$B$5001,M$280,BD!$A$3:$A$5001,_xlfn.MAXIFS(BD!$A$3:$A$5001,BD!$B$3:$B$5001,M$280,BD!$A$3:$A$5001,"&gt;="&amp;$C$7,BD!$A$3:$A$5001,"&lt;="&amp;$B294,BD!$Z$3:$Z$5001,"&lt;&gt;"))))</f>
        <v/>
      </c>
      <c r="N294" s="54" t="str">
        <f>IF(OR($B294="",$A294&gt;$B$9,N$280=""),"",IF(COUNTIFS(BD!$B$3:$B$5001,N$280,BD!$A$3:$A$5001,"&gt;="&amp;$C$7,BD!$A$3:$A$5001,"&lt;="&amp;$B294,BD!$Z$3:$Z$5001,"&lt;&gt;")=0,"",SUMIFS(BD!$Z$3:$Z$5001,BD!$B$3:$B$5001,N$280,BD!$A$3:$A$5001,_xlfn.MAXIFS(BD!$A$3:$A$5001,BD!$B$3:$B$5001,N$280,BD!$A$3:$A$5001,"&gt;="&amp;$C$7,BD!$A$3:$A$5001,"&lt;="&amp;$B294,BD!$Z$3:$Z$5001,"&lt;&gt;"))))</f>
        <v/>
      </c>
      <c r="O294" s="54" t="str">
        <f>IF(OR($B294="",$A294&gt;$B$9,O$280=""),"",IF(COUNTIFS(BD!$B$3:$B$5001,O$280,BD!$A$3:$A$5001,"&gt;="&amp;$C$7,BD!$A$3:$A$5001,"&lt;="&amp;$B294,BD!$Z$3:$Z$5001,"&lt;&gt;")=0,"",SUMIFS(BD!$Z$3:$Z$5001,BD!$B$3:$B$5001,O$280,BD!$A$3:$A$5001,_xlfn.MAXIFS(BD!$A$3:$A$5001,BD!$B$3:$B$5001,O$280,BD!$A$3:$A$5001,"&gt;="&amp;$C$7,BD!$A$3:$A$5001,"&lt;="&amp;$B294,BD!$Z$3:$Z$5001,"&lt;&gt;"))))</f>
        <v/>
      </c>
      <c r="P294" s="54" t="str">
        <f>IF(OR($B294="",$A294&gt;$B$9,P$280=""),"",IF(COUNTIFS(BD!$B$3:$B$5001,P$280,BD!$A$3:$A$5001,"&gt;="&amp;$C$7,BD!$A$3:$A$5001,"&lt;="&amp;$B294,BD!$Z$3:$Z$5001,"&lt;&gt;")=0,"",SUMIFS(BD!$Z$3:$Z$5001,BD!$B$3:$B$5001,P$280,BD!$A$3:$A$5001,_xlfn.MAXIFS(BD!$A$3:$A$5001,BD!$B$3:$B$5001,P$280,BD!$A$3:$A$5001,"&gt;="&amp;$C$7,BD!$A$3:$A$5001,"&lt;="&amp;$B294,BD!$Z$3:$Z$5001,"&lt;&gt;"))))</f>
        <v/>
      </c>
      <c r="Q294" s="54" t="str">
        <f>IF(OR($B294="",$A294&gt;$B$9,Q$280=""),"",IF(COUNTIFS(BD!$B$3:$B$5001,Q$280,BD!$A$3:$A$5001,"&gt;="&amp;$C$7,BD!$A$3:$A$5001,"&lt;="&amp;$B294,BD!$Z$3:$Z$5001,"&lt;&gt;")=0,"",SUMIFS(BD!$Z$3:$Z$5001,BD!$B$3:$B$5001,Q$280,BD!$A$3:$A$5001,_xlfn.MAXIFS(BD!$A$3:$A$5001,BD!$B$3:$B$5001,Q$280,BD!$A$3:$A$5001,"&gt;="&amp;$C$7,BD!$A$3:$A$5001,"&lt;="&amp;$B294,BD!$Z$3:$Z$5001,"&lt;&gt;"))))</f>
        <v/>
      </c>
      <c r="R294" s="54" t="str">
        <f>IF(OR($B294="",$A294&gt;$B$9,R$280=""),"",IF(COUNTIFS(BD!$B$3:$B$5001,R$280,BD!$A$3:$A$5001,"&gt;="&amp;$C$7,BD!$A$3:$A$5001,"&lt;="&amp;$B294,BD!$Z$3:$Z$5001,"&lt;&gt;")=0,"",SUMIFS(BD!$Z$3:$Z$5001,BD!$B$3:$B$5001,R$280,BD!$A$3:$A$5001,_xlfn.MAXIFS(BD!$A$3:$A$5001,BD!$B$3:$B$5001,R$280,BD!$A$3:$A$5001,"&gt;="&amp;$C$7,BD!$A$3:$A$5001,"&lt;="&amp;$B294,BD!$Z$3:$Z$5001,"&lt;&gt;"))))</f>
        <v/>
      </c>
      <c r="S294" s="54" t="str">
        <f>IF(OR($B294="",$A294&gt;$B$9,S$280=""),"",IF(COUNTIFS(BD!$B$3:$B$5001,S$280,BD!$A$3:$A$5001,"&gt;="&amp;$C$7,BD!$A$3:$A$5001,"&lt;="&amp;$B294,BD!$Z$3:$Z$5001,"&lt;&gt;")=0,"",SUMIFS(BD!$Z$3:$Z$5001,BD!$B$3:$B$5001,S$280,BD!$A$3:$A$5001,_xlfn.MAXIFS(BD!$A$3:$A$5001,BD!$B$3:$B$5001,S$280,BD!$A$3:$A$5001,"&gt;="&amp;$C$7,BD!$A$3:$A$5001,"&lt;="&amp;$B294,BD!$Z$3:$Z$5001,"&lt;&gt;"))))</f>
        <v/>
      </c>
      <c r="T294" s="54" t="str">
        <f>IF(OR($B294="",$A294&gt;$B$9,T$280=""),"",IF(COUNTIFS(BD!$B$3:$B$5001,T$280,BD!$A$3:$A$5001,"&gt;="&amp;$C$7,BD!$A$3:$A$5001,"&lt;="&amp;$B294,BD!$Z$3:$Z$5001,"&lt;&gt;")=0,"",SUMIFS(BD!$Z$3:$Z$5001,BD!$B$3:$B$5001,T$280,BD!$A$3:$A$5001,_xlfn.MAXIFS(BD!$A$3:$A$5001,BD!$B$3:$B$5001,T$280,BD!$A$3:$A$5001,"&gt;="&amp;$C$7,BD!$A$3:$A$5001,"&lt;="&amp;$B294,BD!$Z$3:$Z$5001,"&lt;&gt;"))))</f>
        <v/>
      </c>
      <c r="U294" s="54" t="str">
        <f>IF(OR($B294="",$A294&gt;$B$9,U$280=""),"",IF(COUNTIFS(BD!$B$3:$B$5001,U$280,BD!$A$3:$A$5001,"&gt;="&amp;$C$7,BD!$A$3:$A$5001,"&lt;="&amp;$B294,BD!$Z$3:$Z$5001,"&lt;&gt;")=0,"",SUMIFS(BD!$Z$3:$Z$5001,BD!$B$3:$B$5001,U$280,BD!$A$3:$A$5001,_xlfn.MAXIFS(BD!$A$3:$A$5001,BD!$B$3:$B$5001,U$280,BD!$A$3:$A$5001,"&gt;="&amp;$C$7,BD!$A$3:$A$5001,"&lt;="&amp;$B294,BD!$Z$3:$Z$5001,"&lt;&gt;"))))</f>
        <v/>
      </c>
      <c r="V294" s="54" t="str">
        <f>IF(OR($B294="",$A294&gt;$B$9,V$280=""),"",IF(COUNTIFS(BD!$B$3:$B$5001,V$280,BD!$A$3:$A$5001,"&gt;="&amp;$C$7,BD!$A$3:$A$5001,"&lt;="&amp;$B294,BD!$Z$3:$Z$5001,"&lt;&gt;")=0,"",SUMIFS(BD!$Z$3:$Z$5001,BD!$B$3:$B$5001,V$280,BD!$A$3:$A$5001,_xlfn.MAXIFS(BD!$A$3:$A$5001,BD!$B$3:$B$5001,V$280,BD!$A$3:$A$5001,"&gt;="&amp;$C$7,BD!$A$3:$A$5001,"&lt;="&amp;$B294,BD!$Z$3:$Z$5001,"&lt;&gt;"))))</f>
        <v/>
      </c>
    </row>
    <row r="295">
      <c r="A295" s="48">
        <v>15</v>
      </c>
      <c r="B295" s="53">
        <f>$B$26</f>
        <v>46310</v>
      </c>
      <c r="C295" s="54" t="str">
        <f>IF(OR($B295="",$A295&gt;$B$9,C$280=""),"",IF(COUNTIFS(BD!$B$3:$B$5001,C$280,BD!$A$3:$A$5001,"&gt;="&amp;$C$7,BD!$A$3:$A$5001,"&lt;="&amp;$B295,BD!$Z$3:$Z$5001,"&lt;&gt;")=0,"",SUMIFS(BD!$Z$3:$Z$5001,BD!$B$3:$B$5001,C$280,BD!$A$3:$A$5001,_xlfn.MAXIFS(BD!$A$3:$A$5001,BD!$B$3:$B$5001,C$280,BD!$A$3:$A$5001,"&gt;="&amp;$C$7,BD!$A$3:$A$5001,"&lt;="&amp;$B295,BD!$Z$3:$Z$5001,"&lt;&gt;"))))</f>
        <v/>
      </c>
      <c r="D295" s="54" t="str">
        <f>IF(OR($B295="",$A295&gt;$B$9,D$280=""),"",IF(COUNTIFS(BD!$B$3:$B$5001,D$280,BD!$A$3:$A$5001,"&gt;="&amp;$C$7,BD!$A$3:$A$5001,"&lt;="&amp;$B295,BD!$Z$3:$Z$5001,"&lt;&gt;")=0,"",SUMIFS(BD!$Z$3:$Z$5001,BD!$B$3:$B$5001,D$280,BD!$A$3:$A$5001,_xlfn.MAXIFS(BD!$A$3:$A$5001,BD!$B$3:$B$5001,D$280,BD!$A$3:$A$5001,"&gt;="&amp;$C$7,BD!$A$3:$A$5001,"&lt;="&amp;$B295,BD!$Z$3:$Z$5001,"&lt;&gt;"))))</f>
        <v/>
      </c>
      <c r="E295" s="54" t="str">
        <f>IF(OR($B295="",$A295&gt;$B$9,E$280=""),"",IF(COUNTIFS(BD!$B$3:$B$5001,E$280,BD!$A$3:$A$5001,"&gt;="&amp;$C$7,BD!$A$3:$A$5001,"&lt;="&amp;$B295,BD!$Z$3:$Z$5001,"&lt;&gt;")=0,"",SUMIFS(BD!$Z$3:$Z$5001,BD!$B$3:$B$5001,E$280,BD!$A$3:$A$5001,_xlfn.MAXIFS(BD!$A$3:$A$5001,BD!$B$3:$B$5001,E$280,BD!$A$3:$A$5001,"&gt;="&amp;$C$7,BD!$A$3:$A$5001,"&lt;="&amp;$B295,BD!$Z$3:$Z$5001,"&lt;&gt;"))))</f>
        <v/>
      </c>
      <c r="F295" s="54" t="str">
        <f>IF(OR($B295="",$A295&gt;$B$9,F$280=""),"",IF(COUNTIFS(BD!$B$3:$B$5001,F$280,BD!$A$3:$A$5001,"&gt;="&amp;$C$7,BD!$A$3:$A$5001,"&lt;="&amp;$B295,BD!$Z$3:$Z$5001,"&lt;&gt;")=0,"",SUMIFS(BD!$Z$3:$Z$5001,BD!$B$3:$B$5001,F$280,BD!$A$3:$A$5001,_xlfn.MAXIFS(BD!$A$3:$A$5001,BD!$B$3:$B$5001,F$280,BD!$A$3:$A$5001,"&gt;="&amp;$C$7,BD!$A$3:$A$5001,"&lt;="&amp;$B295,BD!$Z$3:$Z$5001,"&lt;&gt;"))))</f>
        <v/>
      </c>
      <c r="G295" s="54" t="str">
        <f>IF(OR($B295="",$A295&gt;$B$9,G$280=""),"",IF(COUNTIFS(BD!$B$3:$B$5001,G$280,BD!$A$3:$A$5001,"&gt;="&amp;$C$7,BD!$A$3:$A$5001,"&lt;="&amp;$B295,BD!$Z$3:$Z$5001,"&lt;&gt;")=0,"",SUMIFS(BD!$Z$3:$Z$5001,BD!$B$3:$B$5001,G$280,BD!$A$3:$A$5001,_xlfn.MAXIFS(BD!$A$3:$A$5001,BD!$B$3:$B$5001,G$280,BD!$A$3:$A$5001,"&gt;="&amp;$C$7,BD!$A$3:$A$5001,"&lt;="&amp;$B295,BD!$Z$3:$Z$5001,"&lt;&gt;"))))</f>
        <v/>
      </c>
      <c r="H295" s="54" t="str">
        <f>IF(OR($B295="",$A295&gt;$B$9,H$280=""),"",IF(COUNTIFS(BD!$B$3:$B$5001,H$280,BD!$A$3:$A$5001,"&gt;="&amp;$C$7,BD!$A$3:$A$5001,"&lt;="&amp;$B295,BD!$Z$3:$Z$5001,"&lt;&gt;")=0,"",SUMIFS(BD!$Z$3:$Z$5001,BD!$B$3:$B$5001,H$280,BD!$A$3:$A$5001,_xlfn.MAXIFS(BD!$A$3:$A$5001,BD!$B$3:$B$5001,H$280,BD!$A$3:$A$5001,"&gt;="&amp;$C$7,BD!$A$3:$A$5001,"&lt;="&amp;$B295,BD!$Z$3:$Z$5001,"&lt;&gt;"))))</f>
        <v/>
      </c>
      <c r="I295" s="54" t="str">
        <f>IF(OR($B295="",$A295&gt;$B$9,I$280=""),"",IF(COUNTIFS(BD!$B$3:$B$5001,I$280,BD!$A$3:$A$5001,"&gt;="&amp;$C$7,BD!$A$3:$A$5001,"&lt;="&amp;$B295,BD!$Z$3:$Z$5001,"&lt;&gt;")=0,"",SUMIFS(BD!$Z$3:$Z$5001,BD!$B$3:$B$5001,I$280,BD!$A$3:$A$5001,_xlfn.MAXIFS(BD!$A$3:$A$5001,BD!$B$3:$B$5001,I$280,BD!$A$3:$A$5001,"&gt;="&amp;$C$7,BD!$A$3:$A$5001,"&lt;="&amp;$B295,BD!$Z$3:$Z$5001,"&lt;&gt;"))))</f>
        <v/>
      </c>
      <c r="J295" s="54" t="str">
        <f>IF(OR($B295="",$A295&gt;$B$9,J$280=""),"",IF(COUNTIFS(BD!$B$3:$B$5001,J$280,BD!$A$3:$A$5001,"&gt;="&amp;$C$7,BD!$A$3:$A$5001,"&lt;="&amp;$B295,BD!$Z$3:$Z$5001,"&lt;&gt;")=0,"",SUMIFS(BD!$Z$3:$Z$5001,BD!$B$3:$B$5001,J$280,BD!$A$3:$A$5001,_xlfn.MAXIFS(BD!$A$3:$A$5001,BD!$B$3:$B$5001,J$280,BD!$A$3:$A$5001,"&gt;="&amp;$C$7,BD!$A$3:$A$5001,"&lt;="&amp;$B295,BD!$Z$3:$Z$5001,"&lt;&gt;"))))</f>
        <v/>
      </c>
      <c r="K295" s="54" t="str">
        <f>IF(OR($B295="",$A295&gt;$B$9,K$280=""),"",IF(COUNTIFS(BD!$B$3:$B$5001,K$280,BD!$A$3:$A$5001,"&gt;="&amp;$C$7,BD!$A$3:$A$5001,"&lt;="&amp;$B295,BD!$Z$3:$Z$5001,"&lt;&gt;")=0,"",SUMIFS(BD!$Z$3:$Z$5001,BD!$B$3:$B$5001,K$280,BD!$A$3:$A$5001,_xlfn.MAXIFS(BD!$A$3:$A$5001,BD!$B$3:$B$5001,K$280,BD!$A$3:$A$5001,"&gt;="&amp;$C$7,BD!$A$3:$A$5001,"&lt;="&amp;$B295,BD!$Z$3:$Z$5001,"&lt;&gt;"))))</f>
        <v/>
      </c>
      <c r="L295" s="54" t="str">
        <f>IF(OR($B295="",$A295&gt;$B$9,L$280=""),"",IF(COUNTIFS(BD!$B$3:$B$5001,L$280,BD!$A$3:$A$5001,"&gt;="&amp;$C$7,BD!$A$3:$A$5001,"&lt;="&amp;$B295,BD!$Z$3:$Z$5001,"&lt;&gt;")=0,"",SUMIFS(BD!$Z$3:$Z$5001,BD!$B$3:$B$5001,L$280,BD!$A$3:$A$5001,_xlfn.MAXIFS(BD!$A$3:$A$5001,BD!$B$3:$B$5001,L$280,BD!$A$3:$A$5001,"&gt;="&amp;$C$7,BD!$A$3:$A$5001,"&lt;="&amp;$B295,BD!$Z$3:$Z$5001,"&lt;&gt;"))))</f>
        <v/>
      </c>
      <c r="M295" s="54" t="str">
        <f>IF(OR($B295="",$A295&gt;$B$9,M$280=""),"",IF(COUNTIFS(BD!$B$3:$B$5001,M$280,BD!$A$3:$A$5001,"&gt;="&amp;$C$7,BD!$A$3:$A$5001,"&lt;="&amp;$B295,BD!$Z$3:$Z$5001,"&lt;&gt;")=0,"",SUMIFS(BD!$Z$3:$Z$5001,BD!$B$3:$B$5001,M$280,BD!$A$3:$A$5001,_xlfn.MAXIFS(BD!$A$3:$A$5001,BD!$B$3:$B$5001,M$280,BD!$A$3:$A$5001,"&gt;="&amp;$C$7,BD!$A$3:$A$5001,"&lt;="&amp;$B295,BD!$Z$3:$Z$5001,"&lt;&gt;"))))</f>
        <v/>
      </c>
      <c r="N295" s="54" t="str">
        <f>IF(OR($B295="",$A295&gt;$B$9,N$280=""),"",IF(COUNTIFS(BD!$B$3:$B$5001,N$280,BD!$A$3:$A$5001,"&gt;="&amp;$C$7,BD!$A$3:$A$5001,"&lt;="&amp;$B295,BD!$Z$3:$Z$5001,"&lt;&gt;")=0,"",SUMIFS(BD!$Z$3:$Z$5001,BD!$B$3:$B$5001,N$280,BD!$A$3:$A$5001,_xlfn.MAXIFS(BD!$A$3:$A$5001,BD!$B$3:$B$5001,N$280,BD!$A$3:$A$5001,"&gt;="&amp;$C$7,BD!$A$3:$A$5001,"&lt;="&amp;$B295,BD!$Z$3:$Z$5001,"&lt;&gt;"))))</f>
        <v/>
      </c>
      <c r="O295" s="54" t="str">
        <f>IF(OR($B295="",$A295&gt;$B$9,O$280=""),"",IF(COUNTIFS(BD!$B$3:$B$5001,O$280,BD!$A$3:$A$5001,"&gt;="&amp;$C$7,BD!$A$3:$A$5001,"&lt;="&amp;$B295,BD!$Z$3:$Z$5001,"&lt;&gt;")=0,"",SUMIFS(BD!$Z$3:$Z$5001,BD!$B$3:$B$5001,O$280,BD!$A$3:$A$5001,_xlfn.MAXIFS(BD!$A$3:$A$5001,BD!$B$3:$B$5001,O$280,BD!$A$3:$A$5001,"&gt;="&amp;$C$7,BD!$A$3:$A$5001,"&lt;="&amp;$B295,BD!$Z$3:$Z$5001,"&lt;&gt;"))))</f>
        <v/>
      </c>
      <c r="P295" s="54" t="str">
        <f>IF(OR($B295="",$A295&gt;$B$9,P$280=""),"",IF(COUNTIFS(BD!$B$3:$B$5001,P$280,BD!$A$3:$A$5001,"&gt;="&amp;$C$7,BD!$A$3:$A$5001,"&lt;="&amp;$B295,BD!$Z$3:$Z$5001,"&lt;&gt;")=0,"",SUMIFS(BD!$Z$3:$Z$5001,BD!$B$3:$B$5001,P$280,BD!$A$3:$A$5001,_xlfn.MAXIFS(BD!$A$3:$A$5001,BD!$B$3:$B$5001,P$280,BD!$A$3:$A$5001,"&gt;="&amp;$C$7,BD!$A$3:$A$5001,"&lt;="&amp;$B295,BD!$Z$3:$Z$5001,"&lt;&gt;"))))</f>
        <v/>
      </c>
      <c r="Q295" s="54" t="str">
        <f>IF(OR($B295="",$A295&gt;$B$9,Q$280=""),"",IF(COUNTIFS(BD!$B$3:$B$5001,Q$280,BD!$A$3:$A$5001,"&gt;="&amp;$C$7,BD!$A$3:$A$5001,"&lt;="&amp;$B295,BD!$Z$3:$Z$5001,"&lt;&gt;")=0,"",SUMIFS(BD!$Z$3:$Z$5001,BD!$B$3:$B$5001,Q$280,BD!$A$3:$A$5001,_xlfn.MAXIFS(BD!$A$3:$A$5001,BD!$B$3:$B$5001,Q$280,BD!$A$3:$A$5001,"&gt;="&amp;$C$7,BD!$A$3:$A$5001,"&lt;="&amp;$B295,BD!$Z$3:$Z$5001,"&lt;&gt;"))))</f>
        <v/>
      </c>
      <c r="R295" s="54" t="str">
        <f>IF(OR($B295="",$A295&gt;$B$9,R$280=""),"",IF(COUNTIFS(BD!$B$3:$B$5001,R$280,BD!$A$3:$A$5001,"&gt;="&amp;$C$7,BD!$A$3:$A$5001,"&lt;="&amp;$B295,BD!$Z$3:$Z$5001,"&lt;&gt;")=0,"",SUMIFS(BD!$Z$3:$Z$5001,BD!$B$3:$B$5001,R$280,BD!$A$3:$A$5001,_xlfn.MAXIFS(BD!$A$3:$A$5001,BD!$B$3:$B$5001,R$280,BD!$A$3:$A$5001,"&gt;="&amp;$C$7,BD!$A$3:$A$5001,"&lt;="&amp;$B295,BD!$Z$3:$Z$5001,"&lt;&gt;"))))</f>
        <v/>
      </c>
      <c r="S295" s="54" t="str">
        <f>IF(OR($B295="",$A295&gt;$B$9,S$280=""),"",IF(COUNTIFS(BD!$B$3:$B$5001,S$280,BD!$A$3:$A$5001,"&gt;="&amp;$C$7,BD!$A$3:$A$5001,"&lt;="&amp;$B295,BD!$Z$3:$Z$5001,"&lt;&gt;")=0,"",SUMIFS(BD!$Z$3:$Z$5001,BD!$B$3:$B$5001,S$280,BD!$A$3:$A$5001,_xlfn.MAXIFS(BD!$A$3:$A$5001,BD!$B$3:$B$5001,S$280,BD!$A$3:$A$5001,"&gt;="&amp;$C$7,BD!$A$3:$A$5001,"&lt;="&amp;$B295,BD!$Z$3:$Z$5001,"&lt;&gt;"))))</f>
        <v/>
      </c>
      <c r="T295" s="54" t="str">
        <f>IF(OR($B295="",$A295&gt;$B$9,T$280=""),"",IF(COUNTIFS(BD!$B$3:$B$5001,T$280,BD!$A$3:$A$5001,"&gt;="&amp;$C$7,BD!$A$3:$A$5001,"&lt;="&amp;$B295,BD!$Z$3:$Z$5001,"&lt;&gt;")=0,"",SUMIFS(BD!$Z$3:$Z$5001,BD!$B$3:$B$5001,T$280,BD!$A$3:$A$5001,_xlfn.MAXIFS(BD!$A$3:$A$5001,BD!$B$3:$B$5001,T$280,BD!$A$3:$A$5001,"&gt;="&amp;$C$7,BD!$A$3:$A$5001,"&lt;="&amp;$B295,BD!$Z$3:$Z$5001,"&lt;&gt;"))))</f>
        <v/>
      </c>
      <c r="U295" s="54" t="str">
        <f>IF(OR($B295="",$A295&gt;$B$9,U$280=""),"",IF(COUNTIFS(BD!$B$3:$B$5001,U$280,BD!$A$3:$A$5001,"&gt;="&amp;$C$7,BD!$A$3:$A$5001,"&lt;="&amp;$B295,BD!$Z$3:$Z$5001,"&lt;&gt;")=0,"",SUMIFS(BD!$Z$3:$Z$5001,BD!$B$3:$B$5001,U$280,BD!$A$3:$A$5001,_xlfn.MAXIFS(BD!$A$3:$A$5001,BD!$B$3:$B$5001,U$280,BD!$A$3:$A$5001,"&gt;="&amp;$C$7,BD!$A$3:$A$5001,"&lt;="&amp;$B295,BD!$Z$3:$Z$5001,"&lt;&gt;"))))</f>
        <v/>
      </c>
      <c r="V295" s="54" t="str">
        <f>IF(OR($B295="",$A295&gt;$B$9,V$280=""),"",IF(COUNTIFS(BD!$B$3:$B$5001,V$280,BD!$A$3:$A$5001,"&gt;="&amp;$C$7,BD!$A$3:$A$5001,"&lt;="&amp;$B295,BD!$Z$3:$Z$5001,"&lt;&gt;")=0,"",SUMIFS(BD!$Z$3:$Z$5001,BD!$B$3:$B$5001,V$280,BD!$A$3:$A$5001,_xlfn.MAXIFS(BD!$A$3:$A$5001,BD!$B$3:$B$5001,V$280,BD!$A$3:$A$5001,"&gt;="&amp;$C$7,BD!$A$3:$A$5001,"&lt;="&amp;$B295,BD!$Z$3:$Z$5001,"&lt;&gt;"))))</f>
        <v/>
      </c>
    </row>
    <row r="296">
      <c r="A296" s="48">
        <v>16</v>
      </c>
      <c r="B296" s="53">
        <f>$B$27</f>
        <v>46311</v>
      </c>
      <c r="C296" s="54" t="str">
        <f>IF(OR($B296="",$A296&gt;$B$9,C$280=""),"",IF(COUNTIFS(BD!$B$3:$B$5001,C$280,BD!$A$3:$A$5001,"&gt;="&amp;$C$7,BD!$A$3:$A$5001,"&lt;="&amp;$B296,BD!$Z$3:$Z$5001,"&lt;&gt;")=0,"",SUMIFS(BD!$Z$3:$Z$5001,BD!$B$3:$B$5001,C$280,BD!$A$3:$A$5001,_xlfn.MAXIFS(BD!$A$3:$A$5001,BD!$B$3:$B$5001,C$280,BD!$A$3:$A$5001,"&gt;="&amp;$C$7,BD!$A$3:$A$5001,"&lt;="&amp;$B296,BD!$Z$3:$Z$5001,"&lt;&gt;"))))</f>
        <v/>
      </c>
      <c r="D296" s="54" t="str">
        <f>IF(OR($B296="",$A296&gt;$B$9,D$280=""),"",IF(COUNTIFS(BD!$B$3:$B$5001,D$280,BD!$A$3:$A$5001,"&gt;="&amp;$C$7,BD!$A$3:$A$5001,"&lt;="&amp;$B296,BD!$Z$3:$Z$5001,"&lt;&gt;")=0,"",SUMIFS(BD!$Z$3:$Z$5001,BD!$B$3:$B$5001,D$280,BD!$A$3:$A$5001,_xlfn.MAXIFS(BD!$A$3:$A$5001,BD!$B$3:$B$5001,D$280,BD!$A$3:$A$5001,"&gt;="&amp;$C$7,BD!$A$3:$A$5001,"&lt;="&amp;$B296,BD!$Z$3:$Z$5001,"&lt;&gt;"))))</f>
        <v/>
      </c>
      <c r="E296" s="54" t="str">
        <f>IF(OR($B296="",$A296&gt;$B$9,E$280=""),"",IF(COUNTIFS(BD!$B$3:$B$5001,E$280,BD!$A$3:$A$5001,"&gt;="&amp;$C$7,BD!$A$3:$A$5001,"&lt;="&amp;$B296,BD!$Z$3:$Z$5001,"&lt;&gt;")=0,"",SUMIFS(BD!$Z$3:$Z$5001,BD!$B$3:$B$5001,E$280,BD!$A$3:$A$5001,_xlfn.MAXIFS(BD!$A$3:$A$5001,BD!$B$3:$B$5001,E$280,BD!$A$3:$A$5001,"&gt;="&amp;$C$7,BD!$A$3:$A$5001,"&lt;="&amp;$B296,BD!$Z$3:$Z$5001,"&lt;&gt;"))))</f>
        <v/>
      </c>
      <c r="F296" s="54" t="str">
        <f>IF(OR($B296="",$A296&gt;$B$9,F$280=""),"",IF(COUNTIFS(BD!$B$3:$B$5001,F$280,BD!$A$3:$A$5001,"&gt;="&amp;$C$7,BD!$A$3:$A$5001,"&lt;="&amp;$B296,BD!$Z$3:$Z$5001,"&lt;&gt;")=0,"",SUMIFS(BD!$Z$3:$Z$5001,BD!$B$3:$B$5001,F$280,BD!$A$3:$A$5001,_xlfn.MAXIFS(BD!$A$3:$A$5001,BD!$B$3:$B$5001,F$280,BD!$A$3:$A$5001,"&gt;="&amp;$C$7,BD!$A$3:$A$5001,"&lt;="&amp;$B296,BD!$Z$3:$Z$5001,"&lt;&gt;"))))</f>
        <v/>
      </c>
      <c r="G296" s="54" t="str">
        <f>IF(OR($B296="",$A296&gt;$B$9,G$280=""),"",IF(COUNTIFS(BD!$B$3:$B$5001,G$280,BD!$A$3:$A$5001,"&gt;="&amp;$C$7,BD!$A$3:$A$5001,"&lt;="&amp;$B296,BD!$Z$3:$Z$5001,"&lt;&gt;")=0,"",SUMIFS(BD!$Z$3:$Z$5001,BD!$B$3:$B$5001,G$280,BD!$A$3:$A$5001,_xlfn.MAXIFS(BD!$A$3:$A$5001,BD!$B$3:$B$5001,G$280,BD!$A$3:$A$5001,"&gt;="&amp;$C$7,BD!$A$3:$A$5001,"&lt;="&amp;$B296,BD!$Z$3:$Z$5001,"&lt;&gt;"))))</f>
        <v/>
      </c>
      <c r="H296" s="54" t="str">
        <f>IF(OR($B296="",$A296&gt;$B$9,H$280=""),"",IF(COUNTIFS(BD!$B$3:$B$5001,H$280,BD!$A$3:$A$5001,"&gt;="&amp;$C$7,BD!$A$3:$A$5001,"&lt;="&amp;$B296,BD!$Z$3:$Z$5001,"&lt;&gt;")=0,"",SUMIFS(BD!$Z$3:$Z$5001,BD!$B$3:$B$5001,H$280,BD!$A$3:$A$5001,_xlfn.MAXIFS(BD!$A$3:$A$5001,BD!$B$3:$B$5001,H$280,BD!$A$3:$A$5001,"&gt;="&amp;$C$7,BD!$A$3:$A$5001,"&lt;="&amp;$B296,BD!$Z$3:$Z$5001,"&lt;&gt;"))))</f>
        <v/>
      </c>
      <c r="I296" s="54" t="str">
        <f>IF(OR($B296="",$A296&gt;$B$9,I$280=""),"",IF(COUNTIFS(BD!$B$3:$B$5001,I$280,BD!$A$3:$A$5001,"&gt;="&amp;$C$7,BD!$A$3:$A$5001,"&lt;="&amp;$B296,BD!$Z$3:$Z$5001,"&lt;&gt;")=0,"",SUMIFS(BD!$Z$3:$Z$5001,BD!$B$3:$B$5001,I$280,BD!$A$3:$A$5001,_xlfn.MAXIFS(BD!$A$3:$A$5001,BD!$B$3:$B$5001,I$280,BD!$A$3:$A$5001,"&gt;="&amp;$C$7,BD!$A$3:$A$5001,"&lt;="&amp;$B296,BD!$Z$3:$Z$5001,"&lt;&gt;"))))</f>
        <v/>
      </c>
      <c r="J296" s="54" t="str">
        <f>IF(OR($B296="",$A296&gt;$B$9,J$280=""),"",IF(COUNTIFS(BD!$B$3:$B$5001,J$280,BD!$A$3:$A$5001,"&gt;="&amp;$C$7,BD!$A$3:$A$5001,"&lt;="&amp;$B296,BD!$Z$3:$Z$5001,"&lt;&gt;")=0,"",SUMIFS(BD!$Z$3:$Z$5001,BD!$B$3:$B$5001,J$280,BD!$A$3:$A$5001,_xlfn.MAXIFS(BD!$A$3:$A$5001,BD!$B$3:$B$5001,J$280,BD!$A$3:$A$5001,"&gt;="&amp;$C$7,BD!$A$3:$A$5001,"&lt;="&amp;$B296,BD!$Z$3:$Z$5001,"&lt;&gt;"))))</f>
        <v/>
      </c>
      <c r="K296" s="54" t="str">
        <f>IF(OR($B296="",$A296&gt;$B$9,K$280=""),"",IF(COUNTIFS(BD!$B$3:$B$5001,K$280,BD!$A$3:$A$5001,"&gt;="&amp;$C$7,BD!$A$3:$A$5001,"&lt;="&amp;$B296,BD!$Z$3:$Z$5001,"&lt;&gt;")=0,"",SUMIFS(BD!$Z$3:$Z$5001,BD!$B$3:$B$5001,K$280,BD!$A$3:$A$5001,_xlfn.MAXIFS(BD!$A$3:$A$5001,BD!$B$3:$B$5001,K$280,BD!$A$3:$A$5001,"&gt;="&amp;$C$7,BD!$A$3:$A$5001,"&lt;="&amp;$B296,BD!$Z$3:$Z$5001,"&lt;&gt;"))))</f>
        <v/>
      </c>
      <c r="L296" s="54" t="str">
        <f>IF(OR($B296="",$A296&gt;$B$9,L$280=""),"",IF(COUNTIFS(BD!$B$3:$B$5001,L$280,BD!$A$3:$A$5001,"&gt;="&amp;$C$7,BD!$A$3:$A$5001,"&lt;="&amp;$B296,BD!$Z$3:$Z$5001,"&lt;&gt;")=0,"",SUMIFS(BD!$Z$3:$Z$5001,BD!$B$3:$B$5001,L$280,BD!$A$3:$A$5001,_xlfn.MAXIFS(BD!$A$3:$A$5001,BD!$B$3:$B$5001,L$280,BD!$A$3:$A$5001,"&gt;="&amp;$C$7,BD!$A$3:$A$5001,"&lt;="&amp;$B296,BD!$Z$3:$Z$5001,"&lt;&gt;"))))</f>
        <v/>
      </c>
      <c r="M296" s="54" t="str">
        <f>IF(OR($B296="",$A296&gt;$B$9,M$280=""),"",IF(COUNTIFS(BD!$B$3:$B$5001,M$280,BD!$A$3:$A$5001,"&gt;="&amp;$C$7,BD!$A$3:$A$5001,"&lt;="&amp;$B296,BD!$Z$3:$Z$5001,"&lt;&gt;")=0,"",SUMIFS(BD!$Z$3:$Z$5001,BD!$B$3:$B$5001,M$280,BD!$A$3:$A$5001,_xlfn.MAXIFS(BD!$A$3:$A$5001,BD!$B$3:$B$5001,M$280,BD!$A$3:$A$5001,"&gt;="&amp;$C$7,BD!$A$3:$A$5001,"&lt;="&amp;$B296,BD!$Z$3:$Z$5001,"&lt;&gt;"))))</f>
        <v/>
      </c>
      <c r="N296" s="54" t="str">
        <f>IF(OR($B296="",$A296&gt;$B$9,N$280=""),"",IF(COUNTIFS(BD!$B$3:$B$5001,N$280,BD!$A$3:$A$5001,"&gt;="&amp;$C$7,BD!$A$3:$A$5001,"&lt;="&amp;$B296,BD!$Z$3:$Z$5001,"&lt;&gt;")=0,"",SUMIFS(BD!$Z$3:$Z$5001,BD!$B$3:$B$5001,N$280,BD!$A$3:$A$5001,_xlfn.MAXIFS(BD!$A$3:$A$5001,BD!$B$3:$B$5001,N$280,BD!$A$3:$A$5001,"&gt;="&amp;$C$7,BD!$A$3:$A$5001,"&lt;="&amp;$B296,BD!$Z$3:$Z$5001,"&lt;&gt;"))))</f>
        <v/>
      </c>
      <c r="O296" s="54" t="str">
        <f>IF(OR($B296="",$A296&gt;$B$9,O$280=""),"",IF(COUNTIFS(BD!$B$3:$B$5001,O$280,BD!$A$3:$A$5001,"&gt;="&amp;$C$7,BD!$A$3:$A$5001,"&lt;="&amp;$B296,BD!$Z$3:$Z$5001,"&lt;&gt;")=0,"",SUMIFS(BD!$Z$3:$Z$5001,BD!$B$3:$B$5001,O$280,BD!$A$3:$A$5001,_xlfn.MAXIFS(BD!$A$3:$A$5001,BD!$B$3:$B$5001,O$280,BD!$A$3:$A$5001,"&gt;="&amp;$C$7,BD!$A$3:$A$5001,"&lt;="&amp;$B296,BD!$Z$3:$Z$5001,"&lt;&gt;"))))</f>
        <v/>
      </c>
      <c r="P296" s="54" t="str">
        <f>IF(OR($B296="",$A296&gt;$B$9,P$280=""),"",IF(COUNTIFS(BD!$B$3:$B$5001,P$280,BD!$A$3:$A$5001,"&gt;="&amp;$C$7,BD!$A$3:$A$5001,"&lt;="&amp;$B296,BD!$Z$3:$Z$5001,"&lt;&gt;")=0,"",SUMIFS(BD!$Z$3:$Z$5001,BD!$B$3:$B$5001,P$280,BD!$A$3:$A$5001,_xlfn.MAXIFS(BD!$A$3:$A$5001,BD!$B$3:$B$5001,P$280,BD!$A$3:$A$5001,"&gt;="&amp;$C$7,BD!$A$3:$A$5001,"&lt;="&amp;$B296,BD!$Z$3:$Z$5001,"&lt;&gt;"))))</f>
        <v/>
      </c>
      <c r="Q296" s="54" t="str">
        <f>IF(OR($B296="",$A296&gt;$B$9,Q$280=""),"",IF(COUNTIFS(BD!$B$3:$B$5001,Q$280,BD!$A$3:$A$5001,"&gt;="&amp;$C$7,BD!$A$3:$A$5001,"&lt;="&amp;$B296,BD!$Z$3:$Z$5001,"&lt;&gt;")=0,"",SUMIFS(BD!$Z$3:$Z$5001,BD!$B$3:$B$5001,Q$280,BD!$A$3:$A$5001,_xlfn.MAXIFS(BD!$A$3:$A$5001,BD!$B$3:$B$5001,Q$280,BD!$A$3:$A$5001,"&gt;="&amp;$C$7,BD!$A$3:$A$5001,"&lt;="&amp;$B296,BD!$Z$3:$Z$5001,"&lt;&gt;"))))</f>
        <v/>
      </c>
      <c r="R296" s="54" t="str">
        <f>IF(OR($B296="",$A296&gt;$B$9,R$280=""),"",IF(COUNTIFS(BD!$B$3:$B$5001,R$280,BD!$A$3:$A$5001,"&gt;="&amp;$C$7,BD!$A$3:$A$5001,"&lt;="&amp;$B296,BD!$Z$3:$Z$5001,"&lt;&gt;")=0,"",SUMIFS(BD!$Z$3:$Z$5001,BD!$B$3:$B$5001,R$280,BD!$A$3:$A$5001,_xlfn.MAXIFS(BD!$A$3:$A$5001,BD!$B$3:$B$5001,R$280,BD!$A$3:$A$5001,"&gt;="&amp;$C$7,BD!$A$3:$A$5001,"&lt;="&amp;$B296,BD!$Z$3:$Z$5001,"&lt;&gt;"))))</f>
        <v/>
      </c>
      <c r="S296" s="54" t="str">
        <f>IF(OR($B296="",$A296&gt;$B$9,S$280=""),"",IF(COUNTIFS(BD!$B$3:$B$5001,S$280,BD!$A$3:$A$5001,"&gt;="&amp;$C$7,BD!$A$3:$A$5001,"&lt;="&amp;$B296,BD!$Z$3:$Z$5001,"&lt;&gt;")=0,"",SUMIFS(BD!$Z$3:$Z$5001,BD!$B$3:$B$5001,S$280,BD!$A$3:$A$5001,_xlfn.MAXIFS(BD!$A$3:$A$5001,BD!$B$3:$B$5001,S$280,BD!$A$3:$A$5001,"&gt;="&amp;$C$7,BD!$A$3:$A$5001,"&lt;="&amp;$B296,BD!$Z$3:$Z$5001,"&lt;&gt;"))))</f>
        <v/>
      </c>
      <c r="T296" s="54" t="str">
        <f>IF(OR($B296="",$A296&gt;$B$9,T$280=""),"",IF(COUNTIFS(BD!$B$3:$B$5001,T$280,BD!$A$3:$A$5001,"&gt;="&amp;$C$7,BD!$A$3:$A$5001,"&lt;="&amp;$B296,BD!$Z$3:$Z$5001,"&lt;&gt;")=0,"",SUMIFS(BD!$Z$3:$Z$5001,BD!$B$3:$B$5001,T$280,BD!$A$3:$A$5001,_xlfn.MAXIFS(BD!$A$3:$A$5001,BD!$B$3:$B$5001,T$280,BD!$A$3:$A$5001,"&gt;="&amp;$C$7,BD!$A$3:$A$5001,"&lt;="&amp;$B296,BD!$Z$3:$Z$5001,"&lt;&gt;"))))</f>
        <v/>
      </c>
      <c r="U296" s="54" t="str">
        <f>IF(OR($B296="",$A296&gt;$B$9,U$280=""),"",IF(COUNTIFS(BD!$B$3:$B$5001,U$280,BD!$A$3:$A$5001,"&gt;="&amp;$C$7,BD!$A$3:$A$5001,"&lt;="&amp;$B296,BD!$Z$3:$Z$5001,"&lt;&gt;")=0,"",SUMIFS(BD!$Z$3:$Z$5001,BD!$B$3:$B$5001,U$280,BD!$A$3:$A$5001,_xlfn.MAXIFS(BD!$A$3:$A$5001,BD!$B$3:$B$5001,U$280,BD!$A$3:$A$5001,"&gt;="&amp;$C$7,BD!$A$3:$A$5001,"&lt;="&amp;$B296,BD!$Z$3:$Z$5001,"&lt;&gt;"))))</f>
        <v/>
      </c>
      <c r="V296" s="54" t="str">
        <f>IF(OR($B296="",$A296&gt;$B$9,V$280=""),"",IF(COUNTIFS(BD!$B$3:$B$5001,V$280,BD!$A$3:$A$5001,"&gt;="&amp;$C$7,BD!$A$3:$A$5001,"&lt;="&amp;$B296,BD!$Z$3:$Z$5001,"&lt;&gt;")=0,"",SUMIFS(BD!$Z$3:$Z$5001,BD!$B$3:$B$5001,V$280,BD!$A$3:$A$5001,_xlfn.MAXIFS(BD!$A$3:$A$5001,BD!$B$3:$B$5001,V$280,BD!$A$3:$A$5001,"&gt;="&amp;$C$7,BD!$A$3:$A$5001,"&lt;="&amp;$B296,BD!$Z$3:$Z$5001,"&lt;&gt;"))))</f>
        <v/>
      </c>
    </row>
    <row r="297">
      <c r="A297" s="48">
        <v>17</v>
      </c>
      <c r="B297" s="53">
        <f>$B$28</f>
        <v>46312</v>
      </c>
      <c r="C297" s="54" t="str">
        <f>IF(OR($B297="",$A297&gt;$B$9,C$280=""),"",IF(COUNTIFS(BD!$B$3:$B$5001,C$280,BD!$A$3:$A$5001,"&gt;="&amp;$C$7,BD!$A$3:$A$5001,"&lt;="&amp;$B297,BD!$Z$3:$Z$5001,"&lt;&gt;")=0,"",SUMIFS(BD!$Z$3:$Z$5001,BD!$B$3:$B$5001,C$280,BD!$A$3:$A$5001,_xlfn.MAXIFS(BD!$A$3:$A$5001,BD!$B$3:$B$5001,C$280,BD!$A$3:$A$5001,"&gt;="&amp;$C$7,BD!$A$3:$A$5001,"&lt;="&amp;$B297,BD!$Z$3:$Z$5001,"&lt;&gt;"))))</f>
        <v/>
      </c>
      <c r="D297" s="54" t="str">
        <f>IF(OR($B297="",$A297&gt;$B$9,D$280=""),"",IF(COUNTIFS(BD!$B$3:$B$5001,D$280,BD!$A$3:$A$5001,"&gt;="&amp;$C$7,BD!$A$3:$A$5001,"&lt;="&amp;$B297,BD!$Z$3:$Z$5001,"&lt;&gt;")=0,"",SUMIFS(BD!$Z$3:$Z$5001,BD!$B$3:$B$5001,D$280,BD!$A$3:$A$5001,_xlfn.MAXIFS(BD!$A$3:$A$5001,BD!$B$3:$B$5001,D$280,BD!$A$3:$A$5001,"&gt;="&amp;$C$7,BD!$A$3:$A$5001,"&lt;="&amp;$B297,BD!$Z$3:$Z$5001,"&lt;&gt;"))))</f>
        <v/>
      </c>
      <c r="E297" s="54" t="str">
        <f>IF(OR($B297="",$A297&gt;$B$9,E$280=""),"",IF(COUNTIFS(BD!$B$3:$B$5001,E$280,BD!$A$3:$A$5001,"&gt;="&amp;$C$7,BD!$A$3:$A$5001,"&lt;="&amp;$B297,BD!$Z$3:$Z$5001,"&lt;&gt;")=0,"",SUMIFS(BD!$Z$3:$Z$5001,BD!$B$3:$B$5001,E$280,BD!$A$3:$A$5001,_xlfn.MAXIFS(BD!$A$3:$A$5001,BD!$B$3:$B$5001,E$280,BD!$A$3:$A$5001,"&gt;="&amp;$C$7,BD!$A$3:$A$5001,"&lt;="&amp;$B297,BD!$Z$3:$Z$5001,"&lt;&gt;"))))</f>
        <v/>
      </c>
      <c r="F297" s="54" t="str">
        <f>IF(OR($B297="",$A297&gt;$B$9,F$280=""),"",IF(COUNTIFS(BD!$B$3:$B$5001,F$280,BD!$A$3:$A$5001,"&gt;="&amp;$C$7,BD!$A$3:$A$5001,"&lt;="&amp;$B297,BD!$Z$3:$Z$5001,"&lt;&gt;")=0,"",SUMIFS(BD!$Z$3:$Z$5001,BD!$B$3:$B$5001,F$280,BD!$A$3:$A$5001,_xlfn.MAXIFS(BD!$A$3:$A$5001,BD!$B$3:$B$5001,F$280,BD!$A$3:$A$5001,"&gt;="&amp;$C$7,BD!$A$3:$A$5001,"&lt;="&amp;$B297,BD!$Z$3:$Z$5001,"&lt;&gt;"))))</f>
        <v/>
      </c>
      <c r="G297" s="54" t="str">
        <f>IF(OR($B297="",$A297&gt;$B$9,G$280=""),"",IF(COUNTIFS(BD!$B$3:$B$5001,G$280,BD!$A$3:$A$5001,"&gt;="&amp;$C$7,BD!$A$3:$A$5001,"&lt;="&amp;$B297,BD!$Z$3:$Z$5001,"&lt;&gt;")=0,"",SUMIFS(BD!$Z$3:$Z$5001,BD!$B$3:$B$5001,G$280,BD!$A$3:$A$5001,_xlfn.MAXIFS(BD!$A$3:$A$5001,BD!$B$3:$B$5001,G$280,BD!$A$3:$A$5001,"&gt;="&amp;$C$7,BD!$A$3:$A$5001,"&lt;="&amp;$B297,BD!$Z$3:$Z$5001,"&lt;&gt;"))))</f>
        <v/>
      </c>
      <c r="H297" s="54" t="str">
        <f>IF(OR($B297="",$A297&gt;$B$9,H$280=""),"",IF(COUNTIFS(BD!$B$3:$B$5001,H$280,BD!$A$3:$A$5001,"&gt;="&amp;$C$7,BD!$A$3:$A$5001,"&lt;="&amp;$B297,BD!$Z$3:$Z$5001,"&lt;&gt;")=0,"",SUMIFS(BD!$Z$3:$Z$5001,BD!$B$3:$B$5001,H$280,BD!$A$3:$A$5001,_xlfn.MAXIFS(BD!$A$3:$A$5001,BD!$B$3:$B$5001,H$280,BD!$A$3:$A$5001,"&gt;="&amp;$C$7,BD!$A$3:$A$5001,"&lt;="&amp;$B297,BD!$Z$3:$Z$5001,"&lt;&gt;"))))</f>
        <v/>
      </c>
      <c r="I297" s="54" t="str">
        <f>IF(OR($B297="",$A297&gt;$B$9,I$280=""),"",IF(COUNTIFS(BD!$B$3:$B$5001,I$280,BD!$A$3:$A$5001,"&gt;="&amp;$C$7,BD!$A$3:$A$5001,"&lt;="&amp;$B297,BD!$Z$3:$Z$5001,"&lt;&gt;")=0,"",SUMIFS(BD!$Z$3:$Z$5001,BD!$B$3:$B$5001,I$280,BD!$A$3:$A$5001,_xlfn.MAXIFS(BD!$A$3:$A$5001,BD!$B$3:$B$5001,I$280,BD!$A$3:$A$5001,"&gt;="&amp;$C$7,BD!$A$3:$A$5001,"&lt;="&amp;$B297,BD!$Z$3:$Z$5001,"&lt;&gt;"))))</f>
        <v/>
      </c>
      <c r="J297" s="54" t="str">
        <f>IF(OR($B297="",$A297&gt;$B$9,J$280=""),"",IF(COUNTIFS(BD!$B$3:$B$5001,J$280,BD!$A$3:$A$5001,"&gt;="&amp;$C$7,BD!$A$3:$A$5001,"&lt;="&amp;$B297,BD!$Z$3:$Z$5001,"&lt;&gt;")=0,"",SUMIFS(BD!$Z$3:$Z$5001,BD!$B$3:$B$5001,J$280,BD!$A$3:$A$5001,_xlfn.MAXIFS(BD!$A$3:$A$5001,BD!$B$3:$B$5001,J$280,BD!$A$3:$A$5001,"&gt;="&amp;$C$7,BD!$A$3:$A$5001,"&lt;="&amp;$B297,BD!$Z$3:$Z$5001,"&lt;&gt;"))))</f>
        <v/>
      </c>
      <c r="K297" s="54" t="str">
        <f>IF(OR($B297="",$A297&gt;$B$9,K$280=""),"",IF(COUNTIFS(BD!$B$3:$B$5001,K$280,BD!$A$3:$A$5001,"&gt;="&amp;$C$7,BD!$A$3:$A$5001,"&lt;="&amp;$B297,BD!$Z$3:$Z$5001,"&lt;&gt;")=0,"",SUMIFS(BD!$Z$3:$Z$5001,BD!$B$3:$B$5001,K$280,BD!$A$3:$A$5001,_xlfn.MAXIFS(BD!$A$3:$A$5001,BD!$B$3:$B$5001,K$280,BD!$A$3:$A$5001,"&gt;="&amp;$C$7,BD!$A$3:$A$5001,"&lt;="&amp;$B297,BD!$Z$3:$Z$5001,"&lt;&gt;"))))</f>
        <v/>
      </c>
      <c r="L297" s="54" t="str">
        <f>IF(OR($B297="",$A297&gt;$B$9,L$280=""),"",IF(COUNTIFS(BD!$B$3:$B$5001,L$280,BD!$A$3:$A$5001,"&gt;="&amp;$C$7,BD!$A$3:$A$5001,"&lt;="&amp;$B297,BD!$Z$3:$Z$5001,"&lt;&gt;")=0,"",SUMIFS(BD!$Z$3:$Z$5001,BD!$B$3:$B$5001,L$280,BD!$A$3:$A$5001,_xlfn.MAXIFS(BD!$A$3:$A$5001,BD!$B$3:$B$5001,L$280,BD!$A$3:$A$5001,"&gt;="&amp;$C$7,BD!$A$3:$A$5001,"&lt;="&amp;$B297,BD!$Z$3:$Z$5001,"&lt;&gt;"))))</f>
        <v/>
      </c>
      <c r="M297" s="54" t="str">
        <f>IF(OR($B297="",$A297&gt;$B$9,M$280=""),"",IF(COUNTIFS(BD!$B$3:$B$5001,M$280,BD!$A$3:$A$5001,"&gt;="&amp;$C$7,BD!$A$3:$A$5001,"&lt;="&amp;$B297,BD!$Z$3:$Z$5001,"&lt;&gt;")=0,"",SUMIFS(BD!$Z$3:$Z$5001,BD!$B$3:$B$5001,M$280,BD!$A$3:$A$5001,_xlfn.MAXIFS(BD!$A$3:$A$5001,BD!$B$3:$B$5001,M$280,BD!$A$3:$A$5001,"&gt;="&amp;$C$7,BD!$A$3:$A$5001,"&lt;="&amp;$B297,BD!$Z$3:$Z$5001,"&lt;&gt;"))))</f>
        <v/>
      </c>
      <c r="N297" s="54" t="str">
        <f>IF(OR($B297="",$A297&gt;$B$9,N$280=""),"",IF(COUNTIFS(BD!$B$3:$B$5001,N$280,BD!$A$3:$A$5001,"&gt;="&amp;$C$7,BD!$A$3:$A$5001,"&lt;="&amp;$B297,BD!$Z$3:$Z$5001,"&lt;&gt;")=0,"",SUMIFS(BD!$Z$3:$Z$5001,BD!$B$3:$B$5001,N$280,BD!$A$3:$A$5001,_xlfn.MAXIFS(BD!$A$3:$A$5001,BD!$B$3:$B$5001,N$280,BD!$A$3:$A$5001,"&gt;="&amp;$C$7,BD!$A$3:$A$5001,"&lt;="&amp;$B297,BD!$Z$3:$Z$5001,"&lt;&gt;"))))</f>
        <v/>
      </c>
      <c r="O297" s="54" t="str">
        <f>IF(OR($B297="",$A297&gt;$B$9,O$280=""),"",IF(COUNTIFS(BD!$B$3:$B$5001,O$280,BD!$A$3:$A$5001,"&gt;="&amp;$C$7,BD!$A$3:$A$5001,"&lt;="&amp;$B297,BD!$Z$3:$Z$5001,"&lt;&gt;")=0,"",SUMIFS(BD!$Z$3:$Z$5001,BD!$B$3:$B$5001,O$280,BD!$A$3:$A$5001,_xlfn.MAXIFS(BD!$A$3:$A$5001,BD!$B$3:$B$5001,O$280,BD!$A$3:$A$5001,"&gt;="&amp;$C$7,BD!$A$3:$A$5001,"&lt;="&amp;$B297,BD!$Z$3:$Z$5001,"&lt;&gt;"))))</f>
        <v/>
      </c>
      <c r="P297" s="54" t="str">
        <f>IF(OR($B297="",$A297&gt;$B$9,P$280=""),"",IF(COUNTIFS(BD!$B$3:$B$5001,P$280,BD!$A$3:$A$5001,"&gt;="&amp;$C$7,BD!$A$3:$A$5001,"&lt;="&amp;$B297,BD!$Z$3:$Z$5001,"&lt;&gt;")=0,"",SUMIFS(BD!$Z$3:$Z$5001,BD!$B$3:$B$5001,P$280,BD!$A$3:$A$5001,_xlfn.MAXIFS(BD!$A$3:$A$5001,BD!$B$3:$B$5001,P$280,BD!$A$3:$A$5001,"&gt;="&amp;$C$7,BD!$A$3:$A$5001,"&lt;="&amp;$B297,BD!$Z$3:$Z$5001,"&lt;&gt;"))))</f>
        <v/>
      </c>
      <c r="Q297" s="54" t="str">
        <f>IF(OR($B297="",$A297&gt;$B$9,Q$280=""),"",IF(COUNTIFS(BD!$B$3:$B$5001,Q$280,BD!$A$3:$A$5001,"&gt;="&amp;$C$7,BD!$A$3:$A$5001,"&lt;="&amp;$B297,BD!$Z$3:$Z$5001,"&lt;&gt;")=0,"",SUMIFS(BD!$Z$3:$Z$5001,BD!$B$3:$B$5001,Q$280,BD!$A$3:$A$5001,_xlfn.MAXIFS(BD!$A$3:$A$5001,BD!$B$3:$B$5001,Q$280,BD!$A$3:$A$5001,"&gt;="&amp;$C$7,BD!$A$3:$A$5001,"&lt;="&amp;$B297,BD!$Z$3:$Z$5001,"&lt;&gt;"))))</f>
        <v/>
      </c>
      <c r="R297" s="54" t="str">
        <f>IF(OR($B297="",$A297&gt;$B$9,R$280=""),"",IF(COUNTIFS(BD!$B$3:$B$5001,R$280,BD!$A$3:$A$5001,"&gt;="&amp;$C$7,BD!$A$3:$A$5001,"&lt;="&amp;$B297,BD!$Z$3:$Z$5001,"&lt;&gt;")=0,"",SUMIFS(BD!$Z$3:$Z$5001,BD!$B$3:$B$5001,R$280,BD!$A$3:$A$5001,_xlfn.MAXIFS(BD!$A$3:$A$5001,BD!$B$3:$B$5001,R$280,BD!$A$3:$A$5001,"&gt;="&amp;$C$7,BD!$A$3:$A$5001,"&lt;="&amp;$B297,BD!$Z$3:$Z$5001,"&lt;&gt;"))))</f>
        <v/>
      </c>
      <c r="S297" s="54" t="str">
        <f>IF(OR($B297="",$A297&gt;$B$9,S$280=""),"",IF(COUNTIFS(BD!$B$3:$B$5001,S$280,BD!$A$3:$A$5001,"&gt;="&amp;$C$7,BD!$A$3:$A$5001,"&lt;="&amp;$B297,BD!$Z$3:$Z$5001,"&lt;&gt;")=0,"",SUMIFS(BD!$Z$3:$Z$5001,BD!$B$3:$B$5001,S$280,BD!$A$3:$A$5001,_xlfn.MAXIFS(BD!$A$3:$A$5001,BD!$B$3:$B$5001,S$280,BD!$A$3:$A$5001,"&gt;="&amp;$C$7,BD!$A$3:$A$5001,"&lt;="&amp;$B297,BD!$Z$3:$Z$5001,"&lt;&gt;"))))</f>
        <v/>
      </c>
      <c r="T297" s="54" t="str">
        <f>IF(OR($B297="",$A297&gt;$B$9,T$280=""),"",IF(COUNTIFS(BD!$B$3:$B$5001,T$280,BD!$A$3:$A$5001,"&gt;="&amp;$C$7,BD!$A$3:$A$5001,"&lt;="&amp;$B297,BD!$Z$3:$Z$5001,"&lt;&gt;")=0,"",SUMIFS(BD!$Z$3:$Z$5001,BD!$B$3:$B$5001,T$280,BD!$A$3:$A$5001,_xlfn.MAXIFS(BD!$A$3:$A$5001,BD!$B$3:$B$5001,T$280,BD!$A$3:$A$5001,"&gt;="&amp;$C$7,BD!$A$3:$A$5001,"&lt;="&amp;$B297,BD!$Z$3:$Z$5001,"&lt;&gt;"))))</f>
        <v/>
      </c>
      <c r="U297" s="54" t="str">
        <f>IF(OR($B297="",$A297&gt;$B$9,U$280=""),"",IF(COUNTIFS(BD!$B$3:$B$5001,U$280,BD!$A$3:$A$5001,"&gt;="&amp;$C$7,BD!$A$3:$A$5001,"&lt;="&amp;$B297,BD!$Z$3:$Z$5001,"&lt;&gt;")=0,"",SUMIFS(BD!$Z$3:$Z$5001,BD!$B$3:$B$5001,U$280,BD!$A$3:$A$5001,_xlfn.MAXIFS(BD!$A$3:$A$5001,BD!$B$3:$B$5001,U$280,BD!$A$3:$A$5001,"&gt;="&amp;$C$7,BD!$A$3:$A$5001,"&lt;="&amp;$B297,BD!$Z$3:$Z$5001,"&lt;&gt;"))))</f>
        <v/>
      </c>
      <c r="V297" s="54" t="str">
        <f>IF(OR($B297="",$A297&gt;$B$9,V$280=""),"",IF(COUNTIFS(BD!$B$3:$B$5001,V$280,BD!$A$3:$A$5001,"&gt;="&amp;$C$7,BD!$A$3:$A$5001,"&lt;="&amp;$B297,BD!$Z$3:$Z$5001,"&lt;&gt;")=0,"",SUMIFS(BD!$Z$3:$Z$5001,BD!$B$3:$B$5001,V$280,BD!$A$3:$A$5001,_xlfn.MAXIFS(BD!$A$3:$A$5001,BD!$B$3:$B$5001,V$280,BD!$A$3:$A$5001,"&gt;="&amp;$C$7,BD!$A$3:$A$5001,"&lt;="&amp;$B297,BD!$Z$3:$Z$5001,"&lt;&gt;"))))</f>
        <v/>
      </c>
    </row>
    <row r="298">
      <c r="A298" s="48">
        <v>18</v>
      </c>
      <c r="B298" s="53">
        <f>$B$29</f>
        <v>46313</v>
      </c>
      <c r="C298" s="54" t="str">
        <f>IF(OR($B298="",$A298&gt;$B$9,C$280=""),"",IF(COUNTIFS(BD!$B$3:$B$5001,C$280,BD!$A$3:$A$5001,"&gt;="&amp;$C$7,BD!$A$3:$A$5001,"&lt;="&amp;$B298,BD!$Z$3:$Z$5001,"&lt;&gt;")=0,"",SUMIFS(BD!$Z$3:$Z$5001,BD!$B$3:$B$5001,C$280,BD!$A$3:$A$5001,_xlfn.MAXIFS(BD!$A$3:$A$5001,BD!$B$3:$B$5001,C$280,BD!$A$3:$A$5001,"&gt;="&amp;$C$7,BD!$A$3:$A$5001,"&lt;="&amp;$B298,BD!$Z$3:$Z$5001,"&lt;&gt;"))))</f>
        <v/>
      </c>
      <c r="D298" s="54" t="str">
        <f>IF(OR($B298="",$A298&gt;$B$9,D$280=""),"",IF(COUNTIFS(BD!$B$3:$B$5001,D$280,BD!$A$3:$A$5001,"&gt;="&amp;$C$7,BD!$A$3:$A$5001,"&lt;="&amp;$B298,BD!$Z$3:$Z$5001,"&lt;&gt;")=0,"",SUMIFS(BD!$Z$3:$Z$5001,BD!$B$3:$B$5001,D$280,BD!$A$3:$A$5001,_xlfn.MAXIFS(BD!$A$3:$A$5001,BD!$B$3:$B$5001,D$280,BD!$A$3:$A$5001,"&gt;="&amp;$C$7,BD!$A$3:$A$5001,"&lt;="&amp;$B298,BD!$Z$3:$Z$5001,"&lt;&gt;"))))</f>
        <v/>
      </c>
      <c r="E298" s="54" t="str">
        <f>IF(OR($B298="",$A298&gt;$B$9,E$280=""),"",IF(COUNTIFS(BD!$B$3:$B$5001,E$280,BD!$A$3:$A$5001,"&gt;="&amp;$C$7,BD!$A$3:$A$5001,"&lt;="&amp;$B298,BD!$Z$3:$Z$5001,"&lt;&gt;")=0,"",SUMIFS(BD!$Z$3:$Z$5001,BD!$B$3:$B$5001,E$280,BD!$A$3:$A$5001,_xlfn.MAXIFS(BD!$A$3:$A$5001,BD!$B$3:$B$5001,E$280,BD!$A$3:$A$5001,"&gt;="&amp;$C$7,BD!$A$3:$A$5001,"&lt;="&amp;$B298,BD!$Z$3:$Z$5001,"&lt;&gt;"))))</f>
        <v/>
      </c>
      <c r="F298" s="54" t="str">
        <f>IF(OR($B298="",$A298&gt;$B$9,F$280=""),"",IF(COUNTIFS(BD!$B$3:$B$5001,F$280,BD!$A$3:$A$5001,"&gt;="&amp;$C$7,BD!$A$3:$A$5001,"&lt;="&amp;$B298,BD!$Z$3:$Z$5001,"&lt;&gt;")=0,"",SUMIFS(BD!$Z$3:$Z$5001,BD!$B$3:$B$5001,F$280,BD!$A$3:$A$5001,_xlfn.MAXIFS(BD!$A$3:$A$5001,BD!$B$3:$B$5001,F$280,BD!$A$3:$A$5001,"&gt;="&amp;$C$7,BD!$A$3:$A$5001,"&lt;="&amp;$B298,BD!$Z$3:$Z$5001,"&lt;&gt;"))))</f>
        <v/>
      </c>
      <c r="G298" s="54" t="str">
        <f>IF(OR($B298="",$A298&gt;$B$9,G$280=""),"",IF(COUNTIFS(BD!$B$3:$B$5001,G$280,BD!$A$3:$A$5001,"&gt;="&amp;$C$7,BD!$A$3:$A$5001,"&lt;="&amp;$B298,BD!$Z$3:$Z$5001,"&lt;&gt;")=0,"",SUMIFS(BD!$Z$3:$Z$5001,BD!$B$3:$B$5001,G$280,BD!$A$3:$A$5001,_xlfn.MAXIFS(BD!$A$3:$A$5001,BD!$B$3:$B$5001,G$280,BD!$A$3:$A$5001,"&gt;="&amp;$C$7,BD!$A$3:$A$5001,"&lt;="&amp;$B298,BD!$Z$3:$Z$5001,"&lt;&gt;"))))</f>
        <v/>
      </c>
      <c r="H298" s="54" t="str">
        <f>IF(OR($B298="",$A298&gt;$B$9,H$280=""),"",IF(COUNTIFS(BD!$B$3:$B$5001,H$280,BD!$A$3:$A$5001,"&gt;="&amp;$C$7,BD!$A$3:$A$5001,"&lt;="&amp;$B298,BD!$Z$3:$Z$5001,"&lt;&gt;")=0,"",SUMIFS(BD!$Z$3:$Z$5001,BD!$B$3:$B$5001,H$280,BD!$A$3:$A$5001,_xlfn.MAXIFS(BD!$A$3:$A$5001,BD!$B$3:$B$5001,H$280,BD!$A$3:$A$5001,"&gt;="&amp;$C$7,BD!$A$3:$A$5001,"&lt;="&amp;$B298,BD!$Z$3:$Z$5001,"&lt;&gt;"))))</f>
        <v/>
      </c>
      <c r="I298" s="54" t="str">
        <f>IF(OR($B298="",$A298&gt;$B$9,I$280=""),"",IF(COUNTIFS(BD!$B$3:$B$5001,I$280,BD!$A$3:$A$5001,"&gt;="&amp;$C$7,BD!$A$3:$A$5001,"&lt;="&amp;$B298,BD!$Z$3:$Z$5001,"&lt;&gt;")=0,"",SUMIFS(BD!$Z$3:$Z$5001,BD!$B$3:$B$5001,I$280,BD!$A$3:$A$5001,_xlfn.MAXIFS(BD!$A$3:$A$5001,BD!$B$3:$B$5001,I$280,BD!$A$3:$A$5001,"&gt;="&amp;$C$7,BD!$A$3:$A$5001,"&lt;="&amp;$B298,BD!$Z$3:$Z$5001,"&lt;&gt;"))))</f>
        <v/>
      </c>
      <c r="J298" s="54" t="str">
        <f>IF(OR($B298="",$A298&gt;$B$9,J$280=""),"",IF(COUNTIFS(BD!$B$3:$B$5001,J$280,BD!$A$3:$A$5001,"&gt;="&amp;$C$7,BD!$A$3:$A$5001,"&lt;="&amp;$B298,BD!$Z$3:$Z$5001,"&lt;&gt;")=0,"",SUMIFS(BD!$Z$3:$Z$5001,BD!$B$3:$B$5001,J$280,BD!$A$3:$A$5001,_xlfn.MAXIFS(BD!$A$3:$A$5001,BD!$B$3:$B$5001,J$280,BD!$A$3:$A$5001,"&gt;="&amp;$C$7,BD!$A$3:$A$5001,"&lt;="&amp;$B298,BD!$Z$3:$Z$5001,"&lt;&gt;"))))</f>
        <v/>
      </c>
      <c r="K298" s="54" t="str">
        <f>IF(OR($B298="",$A298&gt;$B$9,K$280=""),"",IF(COUNTIFS(BD!$B$3:$B$5001,K$280,BD!$A$3:$A$5001,"&gt;="&amp;$C$7,BD!$A$3:$A$5001,"&lt;="&amp;$B298,BD!$Z$3:$Z$5001,"&lt;&gt;")=0,"",SUMIFS(BD!$Z$3:$Z$5001,BD!$B$3:$B$5001,K$280,BD!$A$3:$A$5001,_xlfn.MAXIFS(BD!$A$3:$A$5001,BD!$B$3:$B$5001,K$280,BD!$A$3:$A$5001,"&gt;="&amp;$C$7,BD!$A$3:$A$5001,"&lt;="&amp;$B298,BD!$Z$3:$Z$5001,"&lt;&gt;"))))</f>
        <v/>
      </c>
      <c r="L298" s="54" t="str">
        <f>IF(OR($B298="",$A298&gt;$B$9,L$280=""),"",IF(COUNTIFS(BD!$B$3:$B$5001,L$280,BD!$A$3:$A$5001,"&gt;="&amp;$C$7,BD!$A$3:$A$5001,"&lt;="&amp;$B298,BD!$Z$3:$Z$5001,"&lt;&gt;")=0,"",SUMIFS(BD!$Z$3:$Z$5001,BD!$B$3:$B$5001,L$280,BD!$A$3:$A$5001,_xlfn.MAXIFS(BD!$A$3:$A$5001,BD!$B$3:$B$5001,L$280,BD!$A$3:$A$5001,"&gt;="&amp;$C$7,BD!$A$3:$A$5001,"&lt;="&amp;$B298,BD!$Z$3:$Z$5001,"&lt;&gt;"))))</f>
        <v/>
      </c>
      <c r="M298" s="54" t="str">
        <f>IF(OR($B298="",$A298&gt;$B$9,M$280=""),"",IF(COUNTIFS(BD!$B$3:$B$5001,M$280,BD!$A$3:$A$5001,"&gt;="&amp;$C$7,BD!$A$3:$A$5001,"&lt;="&amp;$B298,BD!$Z$3:$Z$5001,"&lt;&gt;")=0,"",SUMIFS(BD!$Z$3:$Z$5001,BD!$B$3:$B$5001,M$280,BD!$A$3:$A$5001,_xlfn.MAXIFS(BD!$A$3:$A$5001,BD!$B$3:$B$5001,M$280,BD!$A$3:$A$5001,"&gt;="&amp;$C$7,BD!$A$3:$A$5001,"&lt;="&amp;$B298,BD!$Z$3:$Z$5001,"&lt;&gt;"))))</f>
        <v/>
      </c>
      <c r="N298" s="54" t="str">
        <f>IF(OR($B298="",$A298&gt;$B$9,N$280=""),"",IF(COUNTIFS(BD!$B$3:$B$5001,N$280,BD!$A$3:$A$5001,"&gt;="&amp;$C$7,BD!$A$3:$A$5001,"&lt;="&amp;$B298,BD!$Z$3:$Z$5001,"&lt;&gt;")=0,"",SUMIFS(BD!$Z$3:$Z$5001,BD!$B$3:$B$5001,N$280,BD!$A$3:$A$5001,_xlfn.MAXIFS(BD!$A$3:$A$5001,BD!$B$3:$B$5001,N$280,BD!$A$3:$A$5001,"&gt;="&amp;$C$7,BD!$A$3:$A$5001,"&lt;="&amp;$B298,BD!$Z$3:$Z$5001,"&lt;&gt;"))))</f>
        <v/>
      </c>
      <c r="O298" s="54" t="str">
        <f>IF(OR($B298="",$A298&gt;$B$9,O$280=""),"",IF(COUNTIFS(BD!$B$3:$B$5001,O$280,BD!$A$3:$A$5001,"&gt;="&amp;$C$7,BD!$A$3:$A$5001,"&lt;="&amp;$B298,BD!$Z$3:$Z$5001,"&lt;&gt;")=0,"",SUMIFS(BD!$Z$3:$Z$5001,BD!$B$3:$B$5001,O$280,BD!$A$3:$A$5001,_xlfn.MAXIFS(BD!$A$3:$A$5001,BD!$B$3:$B$5001,O$280,BD!$A$3:$A$5001,"&gt;="&amp;$C$7,BD!$A$3:$A$5001,"&lt;="&amp;$B298,BD!$Z$3:$Z$5001,"&lt;&gt;"))))</f>
        <v/>
      </c>
      <c r="P298" s="54" t="str">
        <f>IF(OR($B298="",$A298&gt;$B$9,P$280=""),"",IF(COUNTIFS(BD!$B$3:$B$5001,P$280,BD!$A$3:$A$5001,"&gt;="&amp;$C$7,BD!$A$3:$A$5001,"&lt;="&amp;$B298,BD!$Z$3:$Z$5001,"&lt;&gt;")=0,"",SUMIFS(BD!$Z$3:$Z$5001,BD!$B$3:$B$5001,P$280,BD!$A$3:$A$5001,_xlfn.MAXIFS(BD!$A$3:$A$5001,BD!$B$3:$B$5001,P$280,BD!$A$3:$A$5001,"&gt;="&amp;$C$7,BD!$A$3:$A$5001,"&lt;="&amp;$B298,BD!$Z$3:$Z$5001,"&lt;&gt;"))))</f>
        <v/>
      </c>
      <c r="Q298" s="54" t="str">
        <f>IF(OR($B298="",$A298&gt;$B$9,Q$280=""),"",IF(COUNTIFS(BD!$B$3:$B$5001,Q$280,BD!$A$3:$A$5001,"&gt;="&amp;$C$7,BD!$A$3:$A$5001,"&lt;="&amp;$B298,BD!$Z$3:$Z$5001,"&lt;&gt;")=0,"",SUMIFS(BD!$Z$3:$Z$5001,BD!$B$3:$B$5001,Q$280,BD!$A$3:$A$5001,_xlfn.MAXIFS(BD!$A$3:$A$5001,BD!$B$3:$B$5001,Q$280,BD!$A$3:$A$5001,"&gt;="&amp;$C$7,BD!$A$3:$A$5001,"&lt;="&amp;$B298,BD!$Z$3:$Z$5001,"&lt;&gt;"))))</f>
        <v/>
      </c>
      <c r="R298" s="54" t="str">
        <f>IF(OR($B298="",$A298&gt;$B$9,R$280=""),"",IF(COUNTIFS(BD!$B$3:$B$5001,R$280,BD!$A$3:$A$5001,"&gt;="&amp;$C$7,BD!$A$3:$A$5001,"&lt;="&amp;$B298,BD!$Z$3:$Z$5001,"&lt;&gt;")=0,"",SUMIFS(BD!$Z$3:$Z$5001,BD!$B$3:$B$5001,R$280,BD!$A$3:$A$5001,_xlfn.MAXIFS(BD!$A$3:$A$5001,BD!$B$3:$B$5001,R$280,BD!$A$3:$A$5001,"&gt;="&amp;$C$7,BD!$A$3:$A$5001,"&lt;="&amp;$B298,BD!$Z$3:$Z$5001,"&lt;&gt;"))))</f>
        <v/>
      </c>
      <c r="S298" s="54" t="str">
        <f>IF(OR($B298="",$A298&gt;$B$9,S$280=""),"",IF(COUNTIFS(BD!$B$3:$B$5001,S$280,BD!$A$3:$A$5001,"&gt;="&amp;$C$7,BD!$A$3:$A$5001,"&lt;="&amp;$B298,BD!$Z$3:$Z$5001,"&lt;&gt;")=0,"",SUMIFS(BD!$Z$3:$Z$5001,BD!$B$3:$B$5001,S$280,BD!$A$3:$A$5001,_xlfn.MAXIFS(BD!$A$3:$A$5001,BD!$B$3:$B$5001,S$280,BD!$A$3:$A$5001,"&gt;="&amp;$C$7,BD!$A$3:$A$5001,"&lt;="&amp;$B298,BD!$Z$3:$Z$5001,"&lt;&gt;"))))</f>
        <v/>
      </c>
      <c r="T298" s="54" t="str">
        <f>IF(OR($B298="",$A298&gt;$B$9,T$280=""),"",IF(COUNTIFS(BD!$B$3:$B$5001,T$280,BD!$A$3:$A$5001,"&gt;="&amp;$C$7,BD!$A$3:$A$5001,"&lt;="&amp;$B298,BD!$Z$3:$Z$5001,"&lt;&gt;")=0,"",SUMIFS(BD!$Z$3:$Z$5001,BD!$B$3:$B$5001,T$280,BD!$A$3:$A$5001,_xlfn.MAXIFS(BD!$A$3:$A$5001,BD!$B$3:$B$5001,T$280,BD!$A$3:$A$5001,"&gt;="&amp;$C$7,BD!$A$3:$A$5001,"&lt;="&amp;$B298,BD!$Z$3:$Z$5001,"&lt;&gt;"))))</f>
        <v/>
      </c>
      <c r="U298" s="54" t="str">
        <f>IF(OR($B298="",$A298&gt;$B$9,U$280=""),"",IF(COUNTIFS(BD!$B$3:$B$5001,U$280,BD!$A$3:$A$5001,"&gt;="&amp;$C$7,BD!$A$3:$A$5001,"&lt;="&amp;$B298,BD!$Z$3:$Z$5001,"&lt;&gt;")=0,"",SUMIFS(BD!$Z$3:$Z$5001,BD!$B$3:$B$5001,U$280,BD!$A$3:$A$5001,_xlfn.MAXIFS(BD!$A$3:$A$5001,BD!$B$3:$B$5001,U$280,BD!$A$3:$A$5001,"&gt;="&amp;$C$7,BD!$A$3:$A$5001,"&lt;="&amp;$B298,BD!$Z$3:$Z$5001,"&lt;&gt;"))))</f>
        <v/>
      </c>
      <c r="V298" s="54" t="str">
        <f>IF(OR($B298="",$A298&gt;$B$9,V$280=""),"",IF(COUNTIFS(BD!$B$3:$B$5001,V$280,BD!$A$3:$A$5001,"&gt;="&amp;$C$7,BD!$A$3:$A$5001,"&lt;="&amp;$B298,BD!$Z$3:$Z$5001,"&lt;&gt;")=0,"",SUMIFS(BD!$Z$3:$Z$5001,BD!$B$3:$B$5001,V$280,BD!$A$3:$A$5001,_xlfn.MAXIFS(BD!$A$3:$A$5001,BD!$B$3:$B$5001,V$280,BD!$A$3:$A$5001,"&gt;="&amp;$C$7,BD!$A$3:$A$5001,"&lt;="&amp;$B298,BD!$Z$3:$Z$5001,"&lt;&gt;"))))</f>
        <v/>
      </c>
    </row>
    <row r="299">
      <c r="A299" s="48">
        <v>19</v>
      </c>
      <c r="B299" s="53">
        <f>$B$30</f>
        <v>46314</v>
      </c>
      <c r="C299" s="54" t="str">
        <f>IF(OR($B299="",$A299&gt;$B$9,C$280=""),"",IF(COUNTIFS(BD!$B$3:$B$5001,C$280,BD!$A$3:$A$5001,"&gt;="&amp;$C$7,BD!$A$3:$A$5001,"&lt;="&amp;$B299,BD!$Z$3:$Z$5001,"&lt;&gt;")=0,"",SUMIFS(BD!$Z$3:$Z$5001,BD!$B$3:$B$5001,C$280,BD!$A$3:$A$5001,_xlfn.MAXIFS(BD!$A$3:$A$5001,BD!$B$3:$B$5001,C$280,BD!$A$3:$A$5001,"&gt;="&amp;$C$7,BD!$A$3:$A$5001,"&lt;="&amp;$B299,BD!$Z$3:$Z$5001,"&lt;&gt;"))))</f>
        <v/>
      </c>
      <c r="D299" s="54" t="str">
        <f>IF(OR($B299="",$A299&gt;$B$9,D$280=""),"",IF(COUNTIFS(BD!$B$3:$B$5001,D$280,BD!$A$3:$A$5001,"&gt;="&amp;$C$7,BD!$A$3:$A$5001,"&lt;="&amp;$B299,BD!$Z$3:$Z$5001,"&lt;&gt;")=0,"",SUMIFS(BD!$Z$3:$Z$5001,BD!$B$3:$B$5001,D$280,BD!$A$3:$A$5001,_xlfn.MAXIFS(BD!$A$3:$A$5001,BD!$B$3:$B$5001,D$280,BD!$A$3:$A$5001,"&gt;="&amp;$C$7,BD!$A$3:$A$5001,"&lt;="&amp;$B299,BD!$Z$3:$Z$5001,"&lt;&gt;"))))</f>
        <v/>
      </c>
      <c r="E299" s="54" t="str">
        <f>IF(OR($B299="",$A299&gt;$B$9,E$280=""),"",IF(COUNTIFS(BD!$B$3:$B$5001,E$280,BD!$A$3:$A$5001,"&gt;="&amp;$C$7,BD!$A$3:$A$5001,"&lt;="&amp;$B299,BD!$Z$3:$Z$5001,"&lt;&gt;")=0,"",SUMIFS(BD!$Z$3:$Z$5001,BD!$B$3:$B$5001,E$280,BD!$A$3:$A$5001,_xlfn.MAXIFS(BD!$A$3:$A$5001,BD!$B$3:$B$5001,E$280,BD!$A$3:$A$5001,"&gt;="&amp;$C$7,BD!$A$3:$A$5001,"&lt;="&amp;$B299,BD!$Z$3:$Z$5001,"&lt;&gt;"))))</f>
        <v/>
      </c>
      <c r="F299" s="54" t="str">
        <f>IF(OR($B299="",$A299&gt;$B$9,F$280=""),"",IF(COUNTIFS(BD!$B$3:$B$5001,F$280,BD!$A$3:$A$5001,"&gt;="&amp;$C$7,BD!$A$3:$A$5001,"&lt;="&amp;$B299,BD!$Z$3:$Z$5001,"&lt;&gt;")=0,"",SUMIFS(BD!$Z$3:$Z$5001,BD!$B$3:$B$5001,F$280,BD!$A$3:$A$5001,_xlfn.MAXIFS(BD!$A$3:$A$5001,BD!$B$3:$B$5001,F$280,BD!$A$3:$A$5001,"&gt;="&amp;$C$7,BD!$A$3:$A$5001,"&lt;="&amp;$B299,BD!$Z$3:$Z$5001,"&lt;&gt;"))))</f>
        <v/>
      </c>
      <c r="G299" s="54" t="str">
        <f>IF(OR($B299="",$A299&gt;$B$9,G$280=""),"",IF(COUNTIFS(BD!$B$3:$B$5001,G$280,BD!$A$3:$A$5001,"&gt;="&amp;$C$7,BD!$A$3:$A$5001,"&lt;="&amp;$B299,BD!$Z$3:$Z$5001,"&lt;&gt;")=0,"",SUMIFS(BD!$Z$3:$Z$5001,BD!$B$3:$B$5001,G$280,BD!$A$3:$A$5001,_xlfn.MAXIFS(BD!$A$3:$A$5001,BD!$B$3:$B$5001,G$280,BD!$A$3:$A$5001,"&gt;="&amp;$C$7,BD!$A$3:$A$5001,"&lt;="&amp;$B299,BD!$Z$3:$Z$5001,"&lt;&gt;"))))</f>
        <v/>
      </c>
      <c r="H299" s="54" t="str">
        <f>IF(OR($B299="",$A299&gt;$B$9,H$280=""),"",IF(COUNTIFS(BD!$B$3:$B$5001,H$280,BD!$A$3:$A$5001,"&gt;="&amp;$C$7,BD!$A$3:$A$5001,"&lt;="&amp;$B299,BD!$Z$3:$Z$5001,"&lt;&gt;")=0,"",SUMIFS(BD!$Z$3:$Z$5001,BD!$B$3:$B$5001,H$280,BD!$A$3:$A$5001,_xlfn.MAXIFS(BD!$A$3:$A$5001,BD!$B$3:$B$5001,H$280,BD!$A$3:$A$5001,"&gt;="&amp;$C$7,BD!$A$3:$A$5001,"&lt;="&amp;$B299,BD!$Z$3:$Z$5001,"&lt;&gt;"))))</f>
        <v/>
      </c>
      <c r="I299" s="54" t="str">
        <f>IF(OR($B299="",$A299&gt;$B$9,I$280=""),"",IF(COUNTIFS(BD!$B$3:$B$5001,I$280,BD!$A$3:$A$5001,"&gt;="&amp;$C$7,BD!$A$3:$A$5001,"&lt;="&amp;$B299,BD!$Z$3:$Z$5001,"&lt;&gt;")=0,"",SUMIFS(BD!$Z$3:$Z$5001,BD!$B$3:$B$5001,I$280,BD!$A$3:$A$5001,_xlfn.MAXIFS(BD!$A$3:$A$5001,BD!$B$3:$B$5001,I$280,BD!$A$3:$A$5001,"&gt;="&amp;$C$7,BD!$A$3:$A$5001,"&lt;="&amp;$B299,BD!$Z$3:$Z$5001,"&lt;&gt;"))))</f>
        <v/>
      </c>
      <c r="J299" s="54" t="str">
        <f>IF(OR($B299="",$A299&gt;$B$9,J$280=""),"",IF(COUNTIFS(BD!$B$3:$B$5001,J$280,BD!$A$3:$A$5001,"&gt;="&amp;$C$7,BD!$A$3:$A$5001,"&lt;="&amp;$B299,BD!$Z$3:$Z$5001,"&lt;&gt;")=0,"",SUMIFS(BD!$Z$3:$Z$5001,BD!$B$3:$B$5001,J$280,BD!$A$3:$A$5001,_xlfn.MAXIFS(BD!$A$3:$A$5001,BD!$B$3:$B$5001,J$280,BD!$A$3:$A$5001,"&gt;="&amp;$C$7,BD!$A$3:$A$5001,"&lt;="&amp;$B299,BD!$Z$3:$Z$5001,"&lt;&gt;"))))</f>
        <v/>
      </c>
      <c r="K299" s="54" t="str">
        <f>IF(OR($B299="",$A299&gt;$B$9,K$280=""),"",IF(COUNTIFS(BD!$B$3:$B$5001,K$280,BD!$A$3:$A$5001,"&gt;="&amp;$C$7,BD!$A$3:$A$5001,"&lt;="&amp;$B299,BD!$Z$3:$Z$5001,"&lt;&gt;")=0,"",SUMIFS(BD!$Z$3:$Z$5001,BD!$B$3:$B$5001,K$280,BD!$A$3:$A$5001,_xlfn.MAXIFS(BD!$A$3:$A$5001,BD!$B$3:$B$5001,K$280,BD!$A$3:$A$5001,"&gt;="&amp;$C$7,BD!$A$3:$A$5001,"&lt;="&amp;$B299,BD!$Z$3:$Z$5001,"&lt;&gt;"))))</f>
        <v/>
      </c>
      <c r="L299" s="54" t="str">
        <f>IF(OR($B299="",$A299&gt;$B$9,L$280=""),"",IF(COUNTIFS(BD!$B$3:$B$5001,L$280,BD!$A$3:$A$5001,"&gt;="&amp;$C$7,BD!$A$3:$A$5001,"&lt;="&amp;$B299,BD!$Z$3:$Z$5001,"&lt;&gt;")=0,"",SUMIFS(BD!$Z$3:$Z$5001,BD!$B$3:$B$5001,L$280,BD!$A$3:$A$5001,_xlfn.MAXIFS(BD!$A$3:$A$5001,BD!$B$3:$B$5001,L$280,BD!$A$3:$A$5001,"&gt;="&amp;$C$7,BD!$A$3:$A$5001,"&lt;="&amp;$B299,BD!$Z$3:$Z$5001,"&lt;&gt;"))))</f>
        <v/>
      </c>
      <c r="M299" s="54" t="str">
        <f>IF(OR($B299="",$A299&gt;$B$9,M$280=""),"",IF(COUNTIFS(BD!$B$3:$B$5001,M$280,BD!$A$3:$A$5001,"&gt;="&amp;$C$7,BD!$A$3:$A$5001,"&lt;="&amp;$B299,BD!$Z$3:$Z$5001,"&lt;&gt;")=0,"",SUMIFS(BD!$Z$3:$Z$5001,BD!$B$3:$B$5001,M$280,BD!$A$3:$A$5001,_xlfn.MAXIFS(BD!$A$3:$A$5001,BD!$B$3:$B$5001,M$280,BD!$A$3:$A$5001,"&gt;="&amp;$C$7,BD!$A$3:$A$5001,"&lt;="&amp;$B299,BD!$Z$3:$Z$5001,"&lt;&gt;"))))</f>
        <v/>
      </c>
      <c r="N299" s="54" t="str">
        <f>IF(OR($B299="",$A299&gt;$B$9,N$280=""),"",IF(COUNTIFS(BD!$B$3:$B$5001,N$280,BD!$A$3:$A$5001,"&gt;="&amp;$C$7,BD!$A$3:$A$5001,"&lt;="&amp;$B299,BD!$Z$3:$Z$5001,"&lt;&gt;")=0,"",SUMIFS(BD!$Z$3:$Z$5001,BD!$B$3:$B$5001,N$280,BD!$A$3:$A$5001,_xlfn.MAXIFS(BD!$A$3:$A$5001,BD!$B$3:$B$5001,N$280,BD!$A$3:$A$5001,"&gt;="&amp;$C$7,BD!$A$3:$A$5001,"&lt;="&amp;$B299,BD!$Z$3:$Z$5001,"&lt;&gt;"))))</f>
        <v/>
      </c>
      <c r="O299" s="54" t="str">
        <f>IF(OR($B299="",$A299&gt;$B$9,O$280=""),"",IF(COUNTIFS(BD!$B$3:$B$5001,O$280,BD!$A$3:$A$5001,"&gt;="&amp;$C$7,BD!$A$3:$A$5001,"&lt;="&amp;$B299,BD!$Z$3:$Z$5001,"&lt;&gt;")=0,"",SUMIFS(BD!$Z$3:$Z$5001,BD!$B$3:$B$5001,O$280,BD!$A$3:$A$5001,_xlfn.MAXIFS(BD!$A$3:$A$5001,BD!$B$3:$B$5001,O$280,BD!$A$3:$A$5001,"&gt;="&amp;$C$7,BD!$A$3:$A$5001,"&lt;="&amp;$B299,BD!$Z$3:$Z$5001,"&lt;&gt;"))))</f>
        <v/>
      </c>
      <c r="P299" s="54" t="str">
        <f>IF(OR($B299="",$A299&gt;$B$9,P$280=""),"",IF(COUNTIFS(BD!$B$3:$B$5001,P$280,BD!$A$3:$A$5001,"&gt;="&amp;$C$7,BD!$A$3:$A$5001,"&lt;="&amp;$B299,BD!$Z$3:$Z$5001,"&lt;&gt;")=0,"",SUMIFS(BD!$Z$3:$Z$5001,BD!$B$3:$B$5001,P$280,BD!$A$3:$A$5001,_xlfn.MAXIFS(BD!$A$3:$A$5001,BD!$B$3:$B$5001,P$280,BD!$A$3:$A$5001,"&gt;="&amp;$C$7,BD!$A$3:$A$5001,"&lt;="&amp;$B299,BD!$Z$3:$Z$5001,"&lt;&gt;"))))</f>
        <v/>
      </c>
      <c r="Q299" s="54" t="str">
        <f>IF(OR($B299="",$A299&gt;$B$9,Q$280=""),"",IF(COUNTIFS(BD!$B$3:$B$5001,Q$280,BD!$A$3:$A$5001,"&gt;="&amp;$C$7,BD!$A$3:$A$5001,"&lt;="&amp;$B299,BD!$Z$3:$Z$5001,"&lt;&gt;")=0,"",SUMIFS(BD!$Z$3:$Z$5001,BD!$B$3:$B$5001,Q$280,BD!$A$3:$A$5001,_xlfn.MAXIFS(BD!$A$3:$A$5001,BD!$B$3:$B$5001,Q$280,BD!$A$3:$A$5001,"&gt;="&amp;$C$7,BD!$A$3:$A$5001,"&lt;="&amp;$B299,BD!$Z$3:$Z$5001,"&lt;&gt;"))))</f>
        <v/>
      </c>
      <c r="R299" s="54" t="str">
        <f>IF(OR($B299="",$A299&gt;$B$9,R$280=""),"",IF(COUNTIFS(BD!$B$3:$B$5001,R$280,BD!$A$3:$A$5001,"&gt;="&amp;$C$7,BD!$A$3:$A$5001,"&lt;="&amp;$B299,BD!$Z$3:$Z$5001,"&lt;&gt;")=0,"",SUMIFS(BD!$Z$3:$Z$5001,BD!$B$3:$B$5001,R$280,BD!$A$3:$A$5001,_xlfn.MAXIFS(BD!$A$3:$A$5001,BD!$B$3:$B$5001,R$280,BD!$A$3:$A$5001,"&gt;="&amp;$C$7,BD!$A$3:$A$5001,"&lt;="&amp;$B299,BD!$Z$3:$Z$5001,"&lt;&gt;"))))</f>
        <v/>
      </c>
      <c r="S299" s="54" t="str">
        <f>IF(OR($B299="",$A299&gt;$B$9,S$280=""),"",IF(COUNTIFS(BD!$B$3:$B$5001,S$280,BD!$A$3:$A$5001,"&gt;="&amp;$C$7,BD!$A$3:$A$5001,"&lt;="&amp;$B299,BD!$Z$3:$Z$5001,"&lt;&gt;")=0,"",SUMIFS(BD!$Z$3:$Z$5001,BD!$B$3:$B$5001,S$280,BD!$A$3:$A$5001,_xlfn.MAXIFS(BD!$A$3:$A$5001,BD!$B$3:$B$5001,S$280,BD!$A$3:$A$5001,"&gt;="&amp;$C$7,BD!$A$3:$A$5001,"&lt;="&amp;$B299,BD!$Z$3:$Z$5001,"&lt;&gt;"))))</f>
        <v/>
      </c>
      <c r="T299" s="54" t="str">
        <f>IF(OR($B299="",$A299&gt;$B$9,T$280=""),"",IF(COUNTIFS(BD!$B$3:$B$5001,T$280,BD!$A$3:$A$5001,"&gt;="&amp;$C$7,BD!$A$3:$A$5001,"&lt;="&amp;$B299,BD!$Z$3:$Z$5001,"&lt;&gt;")=0,"",SUMIFS(BD!$Z$3:$Z$5001,BD!$B$3:$B$5001,T$280,BD!$A$3:$A$5001,_xlfn.MAXIFS(BD!$A$3:$A$5001,BD!$B$3:$B$5001,T$280,BD!$A$3:$A$5001,"&gt;="&amp;$C$7,BD!$A$3:$A$5001,"&lt;="&amp;$B299,BD!$Z$3:$Z$5001,"&lt;&gt;"))))</f>
        <v/>
      </c>
      <c r="U299" s="54" t="str">
        <f>IF(OR($B299="",$A299&gt;$B$9,U$280=""),"",IF(COUNTIFS(BD!$B$3:$B$5001,U$280,BD!$A$3:$A$5001,"&gt;="&amp;$C$7,BD!$A$3:$A$5001,"&lt;="&amp;$B299,BD!$Z$3:$Z$5001,"&lt;&gt;")=0,"",SUMIFS(BD!$Z$3:$Z$5001,BD!$B$3:$B$5001,U$280,BD!$A$3:$A$5001,_xlfn.MAXIFS(BD!$A$3:$A$5001,BD!$B$3:$B$5001,U$280,BD!$A$3:$A$5001,"&gt;="&amp;$C$7,BD!$A$3:$A$5001,"&lt;="&amp;$B299,BD!$Z$3:$Z$5001,"&lt;&gt;"))))</f>
        <v/>
      </c>
      <c r="V299" s="54" t="str">
        <f>IF(OR($B299="",$A299&gt;$B$9,V$280=""),"",IF(COUNTIFS(BD!$B$3:$B$5001,V$280,BD!$A$3:$A$5001,"&gt;="&amp;$C$7,BD!$A$3:$A$5001,"&lt;="&amp;$B299,BD!$Z$3:$Z$5001,"&lt;&gt;")=0,"",SUMIFS(BD!$Z$3:$Z$5001,BD!$B$3:$B$5001,V$280,BD!$A$3:$A$5001,_xlfn.MAXIFS(BD!$A$3:$A$5001,BD!$B$3:$B$5001,V$280,BD!$A$3:$A$5001,"&gt;="&amp;$C$7,BD!$A$3:$A$5001,"&lt;="&amp;$B299,BD!$Z$3:$Z$5001,"&lt;&gt;"))))</f>
        <v/>
      </c>
    </row>
    <row r="300">
      <c r="A300" s="48">
        <v>20</v>
      </c>
      <c r="B300" s="53">
        <f>$B$31</f>
        <v>46315</v>
      </c>
      <c r="C300" s="54" t="str">
        <f>IF(OR($B300="",$A300&gt;$B$9,C$280=""),"",IF(COUNTIFS(BD!$B$3:$B$5001,C$280,BD!$A$3:$A$5001,"&gt;="&amp;$C$7,BD!$A$3:$A$5001,"&lt;="&amp;$B300,BD!$Z$3:$Z$5001,"&lt;&gt;")=0,"",SUMIFS(BD!$Z$3:$Z$5001,BD!$B$3:$B$5001,C$280,BD!$A$3:$A$5001,_xlfn.MAXIFS(BD!$A$3:$A$5001,BD!$B$3:$B$5001,C$280,BD!$A$3:$A$5001,"&gt;="&amp;$C$7,BD!$A$3:$A$5001,"&lt;="&amp;$B300,BD!$Z$3:$Z$5001,"&lt;&gt;"))))</f>
        <v/>
      </c>
      <c r="D300" s="54" t="str">
        <f>IF(OR($B300="",$A300&gt;$B$9,D$280=""),"",IF(COUNTIFS(BD!$B$3:$B$5001,D$280,BD!$A$3:$A$5001,"&gt;="&amp;$C$7,BD!$A$3:$A$5001,"&lt;="&amp;$B300,BD!$Z$3:$Z$5001,"&lt;&gt;")=0,"",SUMIFS(BD!$Z$3:$Z$5001,BD!$B$3:$B$5001,D$280,BD!$A$3:$A$5001,_xlfn.MAXIFS(BD!$A$3:$A$5001,BD!$B$3:$B$5001,D$280,BD!$A$3:$A$5001,"&gt;="&amp;$C$7,BD!$A$3:$A$5001,"&lt;="&amp;$B300,BD!$Z$3:$Z$5001,"&lt;&gt;"))))</f>
        <v/>
      </c>
      <c r="E300" s="54" t="str">
        <f>IF(OR($B300="",$A300&gt;$B$9,E$280=""),"",IF(COUNTIFS(BD!$B$3:$B$5001,E$280,BD!$A$3:$A$5001,"&gt;="&amp;$C$7,BD!$A$3:$A$5001,"&lt;="&amp;$B300,BD!$Z$3:$Z$5001,"&lt;&gt;")=0,"",SUMIFS(BD!$Z$3:$Z$5001,BD!$B$3:$B$5001,E$280,BD!$A$3:$A$5001,_xlfn.MAXIFS(BD!$A$3:$A$5001,BD!$B$3:$B$5001,E$280,BD!$A$3:$A$5001,"&gt;="&amp;$C$7,BD!$A$3:$A$5001,"&lt;="&amp;$B300,BD!$Z$3:$Z$5001,"&lt;&gt;"))))</f>
        <v/>
      </c>
      <c r="F300" s="54" t="str">
        <f>IF(OR($B300="",$A300&gt;$B$9,F$280=""),"",IF(COUNTIFS(BD!$B$3:$B$5001,F$280,BD!$A$3:$A$5001,"&gt;="&amp;$C$7,BD!$A$3:$A$5001,"&lt;="&amp;$B300,BD!$Z$3:$Z$5001,"&lt;&gt;")=0,"",SUMIFS(BD!$Z$3:$Z$5001,BD!$B$3:$B$5001,F$280,BD!$A$3:$A$5001,_xlfn.MAXIFS(BD!$A$3:$A$5001,BD!$B$3:$B$5001,F$280,BD!$A$3:$A$5001,"&gt;="&amp;$C$7,BD!$A$3:$A$5001,"&lt;="&amp;$B300,BD!$Z$3:$Z$5001,"&lt;&gt;"))))</f>
        <v/>
      </c>
      <c r="G300" s="54" t="str">
        <f>IF(OR($B300="",$A300&gt;$B$9,G$280=""),"",IF(COUNTIFS(BD!$B$3:$B$5001,G$280,BD!$A$3:$A$5001,"&gt;="&amp;$C$7,BD!$A$3:$A$5001,"&lt;="&amp;$B300,BD!$Z$3:$Z$5001,"&lt;&gt;")=0,"",SUMIFS(BD!$Z$3:$Z$5001,BD!$B$3:$B$5001,G$280,BD!$A$3:$A$5001,_xlfn.MAXIFS(BD!$A$3:$A$5001,BD!$B$3:$B$5001,G$280,BD!$A$3:$A$5001,"&gt;="&amp;$C$7,BD!$A$3:$A$5001,"&lt;="&amp;$B300,BD!$Z$3:$Z$5001,"&lt;&gt;"))))</f>
        <v/>
      </c>
      <c r="H300" s="54" t="str">
        <f>IF(OR($B300="",$A300&gt;$B$9,H$280=""),"",IF(COUNTIFS(BD!$B$3:$B$5001,H$280,BD!$A$3:$A$5001,"&gt;="&amp;$C$7,BD!$A$3:$A$5001,"&lt;="&amp;$B300,BD!$Z$3:$Z$5001,"&lt;&gt;")=0,"",SUMIFS(BD!$Z$3:$Z$5001,BD!$B$3:$B$5001,H$280,BD!$A$3:$A$5001,_xlfn.MAXIFS(BD!$A$3:$A$5001,BD!$B$3:$B$5001,H$280,BD!$A$3:$A$5001,"&gt;="&amp;$C$7,BD!$A$3:$A$5001,"&lt;="&amp;$B300,BD!$Z$3:$Z$5001,"&lt;&gt;"))))</f>
        <v/>
      </c>
      <c r="I300" s="54" t="str">
        <f>IF(OR($B300="",$A300&gt;$B$9,I$280=""),"",IF(COUNTIFS(BD!$B$3:$B$5001,I$280,BD!$A$3:$A$5001,"&gt;="&amp;$C$7,BD!$A$3:$A$5001,"&lt;="&amp;$B300,BD!$Z$3:$Z$5001,"&lt;&gt;")=0,"",SUMIFS(BD!$Z$3:$Z$5001,BD!$B$3:$B$5001,I$280,BD!$A$3:$A$5001,_xlfn.MAXIFS(BD!$A$3:$A$5001,BD!$B$3:$B$5001,I$280,BD!$A$3:$A$5001,"&gt;="&amp;$C$7,BD!$A$3:$A$5001,"&lt;="&amp;$B300,BD!$Z$3:$Z$5001,"&lt;&gt;"))))</f>
        <v/>
      </c>
      <c r="J300" s="54" t="str">
        <f>IF(OR($B300="",$A300&gt;$B$9,J$280=""),"",IF(COUNTIFS(BD!$B$3:$B$5001,J$280,BD!$A$3:$A$5001,"&gt;="&amp;$C$7,BD!$A$3:$A$5001,"&lt;="&amp;$B300,BD!$Z$3:$Z$5001,"&lt;&gt;")=0,"",SUMIFS(BD!$Z$3:$Z$5001,BD!$B$3:$B$5001,J$280,BD!$A$3:$A$5001,_xlfn.MAXIFS(BD!$A$3:$A$5001,BD!$B$3:$B$5001,J$280,BD!$A$3:$A$5001,"&gt;="&amp;$C$7,BD!$A$3:$A$5001,"&lt;="&amp;$B300,BD!$Z$3:$Z$5001,"&lt;&gt;"))))</f>
        <v/>
      </c>
      <c r="K300" s="54" t="str">
        <f>IF(OR($B300="",$A300&gt;$B$9,K$280=""),"",IF(COUNTIFS(BD!$B$3:$B$5001,K$280,BD!$A$3:$A$5001,"&gt;="&amp;$C$7,BD!$A$3:$A$5001,"&lt;="&amp;$B300,BD!$Z$3:$Z$5001,"&lt;&gt;")=0,"",SUMIFS(BD!$Z$3:$Z$5001,BD!$B$3:$B$5001,K$280,BD!$A$3:$A$5001,_xlfn.MAXIFS(BD!$A$3:$A$5001,BD!$B$3:$B$5001,K$280,BD!$A$3:$A$5001,"&gt;="&amp;$C$7,BD!$A$3:$A$5001,"&lt;="&amp;$B300,BD!$Z$3:$Z$5001,"&lt;&gt;"))))</f>
        <v/>
      </c>
      <c r="L300" s="54" t="str">
        <f>IF(OR($B300="",$A300&gt;$B$9,L$280=""),"",IF(COUNTIFS(BD!$B$3:$B$5001,L$280,BD!$A$3:$A$5001,"&gt;="&amp;$C$7,BD!$A$3:$A$5001,"&lt;="&amp;$B300,BD!$Z$3:$Z$5001,"&lt;&gt;")=0,"",SUMIFS(BD!$Z$3:$Z$5001,BD!$B$3:$B$5001,L$280,BD!$A$3:$A$5001,_xlfn.MAXIFS(BD!$A$3:$A$5001,BD!$B$3:$B$5001,L$280,BD!$A$3:$A$5001,"&gt;="&amp;$C$7,BD!$A$3:$A$5001,"&lt;="&amp;$B300,BD!$Z$3:$Z$5001,"&lt;&gt;"))))</f>
        <v/>
      </c>
      <c r="M300" s="54" t="str">
        <f>IF(OR($B300="",$A300&gt;$B$9,M$280=""),"",IF(COUNTIFS(BD!$B$3:$B$5001,M$280,BD!$A$3:$A$5001,"&gt;="&amp;$C$7,BD!$A$3:$A$5001,"&lt;="&amp;$B300,BD!$Z$3:$Z$5001,"&lt;&gt;")=0,"",SUMIFS(BD!$Z$3:$Z$5001,BD!$B$3:$B$5001,M$280,BD!$A$3:$A$5001,_xlfn.MAXIFS(BD!$A$3:$A$5001,BD!$B$3:$B$5001,M$280,BD!$A$3:$A$5001,"&gt;="&amp;$C$7,BD!$A$3:$A$5001,"&lt;="&amp;$B300,BD!$Z$3:$Z$5001,"&lt;&gt;"))))</f>
        <v/>
      </c>
      <c r="N300" s="54" t="str">
        <f>IF(OR($B300="",$A300&gt;$B$9,N$280=""),"",IF(COUNTIFS(BD!$B$3:$B$5001,N$280,BD!$A$3:$A$5001,"&gt;="&amp;$C$7,BD!$A$3:$A$5001,"&lt;="&amp;$B300,BD!$Z$3:$Z$5001,"&lt;&gt;")=0,"",SUMIFS(BD!$Z$3:$Z$5001,BD!$B$3:$B$5001,N$280,BD!$A$3:$A$5001,_xlfn.MAXIFS(BD!$A$3:$A$5001,BD!$B$3:$B$5001,N$280,BD!$A$3:$A$5001,"&gt;="&amp;$C$7,BD!$A$3:$A$5001,"&lt;="&amp;$B300,BD!$Z$3:$Z$5001,"&lt;&gt;"))))</f>
        <v/>
      </c>
      <c r="O300" s="54" t="str">
        <f>IF(OR($B300="",$A300&gt;$B$9,O$280=""),"",IF(COUNTIFS(BD!$B$3:$B$5001,O$280,BD!$A$3:$A$5001,"&gt;="&amp;$C$7,BD!$A$3:$A$5001,"&lt;="&amp;$B300,BD!$Z$3:$Z$5001,"&lt;&gt;")=0,"",SUMIFS(BD!$Z$3:$Z$5001,BD!$B$3:$B$5001,O$280,BD!$A$3:$A$5001,_xlfn.MAXIFS(BD!$A$3:$A$5001,BD!$B$3:$B$5001,O$280,BD!$A$3:$A$5001,"&gt;="&amp;$C$7,BD!$A$3:$A$5001,"&lt;="&amp;$B300,BD!$Z$3:$Z$5001,"&lt;&gt;"))))</f>
        <v/>
      </c>
      <c r="P300" s="54" t="str">
        <f>IF(OR($B300="",$A300&gt;$B$9,P$280=""),"",IF(COUNTIFS(BD!$B$3:$B$5001,P$280,BD!$A$3:$A$5001,"&gt;="&amp;$C$7,BD!$A$3:$A$5001,"&lt;="&amp;$B300,BD!$Z$3:$Z$5001,"&lt;&gt;")=0,"",SUMIFS(BD!$Z$3:$Z$5001,BD!$B$3:$B$5001,P$280,BD!$A$3:$A$5001,_xlfn.MAXIFS(BD!$A$3:$A$5001,BD!$B$3:$B$5001,P$280,BD!$A$3:$A$5001,"&gt;="&amp;$C$7,BD!$A$3:$A$5001,"&lt;="&amp;$B300,BD!$Z$3:$Z$5001,"&lt;&gt;"))))</f>
        <v/>
      </c>
      <c r="Q300" s="54" t="str">
        <f>IF(OR($B300="",$A300&gt;$B$9,Q$280=""),"",IF(COUNTIFS(BD!$B$3:$B$5001,Q$280,BD!$A$3:$A$5001,"&gt;="&amp;$C$7,BD!$A$3:$A$5001,"&lt;="&amp;$B300,BD!$Z$3:$Z$5001,"&lt;&gt;")=0,"",SUMIFS(BD!$Z$3:$Z$5001,BD!$B$3:$B$5001,Q$280,BD!$A$3:$A$5001,_xlfn.MAXIFS(BD!$A$3:$A$5001,BD!$B$3:$B$5001,Q$280,BD!$A$3:$A$5001,"&gt;="&amp;$C$7,BD!$A$3:$A$5001,"&lt;="&amp;$B300,BD!$Z$3:$Z$5001,"&lt;&gt;"))))</f>
        <v/>
      </c>
      <c r="R300" s="54" t="str">
        <f>IF(OR($B300="",$A300&gt;$B$9,R$280=""),"",IF(COUNTIFS(BD!$B$3:$B$5001,R$280,BD!$A$3:$A$5001,"&gt;="&amp;$C$7,BD!$A$3:$A$5001,"&lt;="&amp;$B300,BD!$Z$3:$Z$5001,"&lt;&gt;")=0,"",SUMIFS(BD!$Z$3:$Z$5001,BD!$B$3:$B$5001,R$280,BD!$A$3:$A$5001,_xlfn.MAXIFS(BD!$A$3:$A$5001,BD!$B$3:$B$5001,R$280,BD!$A$3:$A$5001,"&gt;="&amp;$C$7,BD!$A$3:$A$5001,"&lt;="&amp;$B300,BD!$Z$3:$Z$5001,"&lt;&gt;"))))</f>
        <v/>
      </c>
      <c r="S300" s="54" t="str">
        <f>IF(OR($B300="",$A300&gt;$B$9,S$280=""),"",IF(COUNTIFS(BD!$B$3:$B$5001,S$280,BD!$A$3:$A$5001,"&gt;="&amp;$C$7,BD!$A$3:$A$5001,"&lt;="&amp;$B300,BD!$Z$3:$Z$5001,"&lt;&gt;")=0,"",SUMIFS(BD!$Z$3:$Z$5001,BD!$B$3:$B$5001,S$280,BD!$A$3:$A$5001,_xlfn.MAXIFS(BD!$A$3:$A$5001,BD!$B$3:$B$5001,S$280,BD!$A$3:$A$5001,"&gt;="&amp;$C$7,BD!$A$3:$A$5001,"&lt;="&amp;$B300,BD!$Z$3:$Z$5001,"&lt;&gt;"))))</f>
        <v/>
      </c>
      <c r="T300" s="54" t="str">
        <f>IF(OR($B300="",$A300&gt;$B$9,T$280=""),"",IF(COUNTIFS(BD!$B$3:$B$5001,T$280,BD!$A$3:$A$5001,"&gt;="&amp;$C$7,BD!$A$3:$A$5001,"&lt;="&amp;$B300,BD!$Z$3:$Z$5001,"&lt;&gt;")=0,"",SUMIFS(BD!$Z$3:$Z$5001,BD!$B$3:$B$5001,T$280,BD!$A$3:$A$5001,_xlfn.MAXIFS(BD!$A$3:$A$5001,BD!$B$3:$B$5001,T$280,BD!$A$3:$A$5001,"&gt;="&amp;$C$7,BD!$A$3:$A$5001,"&lt;="&amp;$B300,BD!$Z$3:$Z$5001,"&lt;&gt;"))))</f>
        <v/>
      </c>
      <c r="U300" s="54" t="str">
        <f>IF(OR($B300="",$A300&gt;$B$9,U$280=""),"",IF(COUNTIFS(BD!$B$3:$B$5001,U$280,BD!$A$3:$A$5001,"&gt;="&amp;$C$7,BD!$A$3:$A$5001,"&lt;="&amp;$B300,BD!$Z$3:$Z$5001,"&lt;&gt;")=0,"",SUMIFS(BD!$Z$3:$Z$5001,BD!$B$3:$B$5001,U$280,BD!$A$3:$A$5001,_xlfn.MAXIFS(BD!$A$3:$A$5001,BD!$B$3:$B$5001,U$280,BD!$A$3:$A$5001,"&gt;="&amp;$C$7,BD!$A$3:$A$5001,"&lt;="&amp;$B300,BD!$Z$3:$Z$5001,"&lt;&gt;"))))</f>
        <v/>
      </c>
      <c r="V300" s="54" t="str">
        <f>IF(OR($B300="",$A300&gt;$B$9,V$280=""),"",IF(COUNTIFS(BD!$B$3:$B$5001,V$280,BD!$A$3:$A$5001,"&gt;="&amp;$C$7,BD!$A$3:$A$5001,"&lt;="&amp;$B300,BD!$Z$3:$Z$5001,"&lt;&gt;")=0,"",SUMIFS(BD!$Z$3:$Z$5001,BD!$B$3:$B$5001,V$280,BD!$A$3:$A$5001,_xlfn.MAXIFS(BD!$A$3:$A$5001,BD!$B$3:$B$5001,V$280,BD!$A$3:$A$5001,"&gt;="&amp;$C$7,BD!$A$3:$A$5001,"&lt;="&amp;$B300,BD!$Z$3:$Z$5001,"&lt;&gt;"))))</f>
        <v/>
      </c>
    </row>
    <row r="301">
      <c r="A301" s="48">
        <v>21</v>
      </c>
      <c r="B301" s="53">
        <f>$B$32</f>
        <v>46316</v>
      </c>
      <c r="C301" s="54" t="str">
        <f>IF(OR($B301="",$A301&gt;$B$9,C$280=""),"",IF(COUNTIFS(BD!$B$3:$B$5001,C$280,BD!$A$3:$A$5001,"&gt;="&amp;$C$7,BD!$A$3:$A$5001,"&lt;="&amp;$B301,BD!$Z$3:$Z$5001,"&lt;&gt;")=0,"",SUMIFS(BD!$Z$3:$Z$5001,BD!$B$3:$B$5001,C$280,BD!$A$3:$A$5001,_xlfn.MAXIFS(BD!$A$3:$A$5001,BD!$B$3:$B$5001,C$280,BD!$A$3:$A$5001,"&gt;="&amp;$C$7,BD!$A$3:$A$5001,"&lt;="&amp;$B301,BD!$Z$3:$Z$5001,"&lt;&gt;"))))</f>
        <v/>
      </c>
      <c r="D301" s="54" t="str">
        <f>IF(OR($B301="",$A301&gt;$B$9,D$280=""),"",IF(COUNTIFS(BD!$B$3:$B$5001,D$280,BD!$A$3:$A$5001,"&gt;="&amp;$C$7,BD!$A$3:$A$5001,"&lt;="&amp;$B301,BD!$Z$3:$Z$5001,"&lt;&gt;")=0,"",SUMIFS(BD!$Z$3:$Z$5001,BD!$B$3:$B$5001,D$280,BD!$A$3:$A$5001,_xlfn.MAXIFS(BD!$A$3:$A$5001,BD!$B$3:$B$5001,D$280,BD!$A$3:$A$5001,"&gt;="&amp;$C$7,BD!$A$3:$A$5001,"&lt;="&amp;$B301,BD!$Z$3:$Z$5001,"&lt;&gt;"))))</f>
        <v/>
      </c>
      <c r="E301" s="54" t="str">
        <f>IF(OR($B301="",$A301&gt;$B$9,E$280=""),"",IF(COUNTIFS(BD!$B$3:$B$5001,E$280,BD!$A$3:$A$5001,"&gt;="&amp;$C$7,BD!$A$3:$A$5001,"&lt;="&amp;$B301,BD!$Z$3:$Z$5001,"&lt;&gt;")=0,"",SUMIFS(BD!$Z$3:$Z$5001,BD!$B$3:$B$5001,E$280,BD!$A$3:$A$5001,_xlfn.MAXIFS(BD!$A$3:$A$5001,BD!$B$3:$B$5001,E$280,BD!$A$3:$A$5001,"&gt;="&amp;$C$7,BD!$A$3:$A$5001,"&lt;="&amp;$B301,BD!$Z$3:$Z$5001,"&lt;&gt;"))))</f>
        <v/>
      </c>
      <c r="F301" s="54" t="str">
        <f>IF(OR($B301="",$A301&gt;$B$9,F$280=""),"",IF(COUNTIFS(BD!$B$3:$B$5001,F$280,BD!$A$3:$A$5001,"&gt;="&amp;$C$7,BD!$A$3:$A$5001,"&lt;="&amp;$B301,BD!$Z$3:$Z$5001,"&lt;&gt;")=0,"",SUMIFS(BD!$Z$3:$Z$5001,BD!$B$3:$B$5001,F$280,BD!$A$3:$A$5001,_xlfn.MAXIFS(BD!$A$3:$A$5001,BD!$B$3:$B$5001,F$280,BD!$A$3:$A$5001,"&gt;="&amp;$C$7,BD!$A$3:$A$5001,"&lt;="&amp;$B301,BD!$Z$3:$Z$5001,"&lt;&gt;"))))</f>
        <v/>
      </c>
      <c r="G301" s="54" t="str">
        <f>IF(OR($B301="",$A301&gt;$B$9,G$280=""),"",IF(COUNTIFS(BD!$B$3:$B$5001,G$280,BD!$A$3:$A$5001,"&gt;="&amp;$C$7,BD!$A$3:$A$5001,"&lt;="&amp;$B301,BD!$Z$3:$Z$5001,"&lt;&gt;")=0,"",SUMIFS(BD!$Z$3:$Z$5001,BD!$B$3:$B$5001,G$280,BD!$A$3:$A$5001,_xlfn.MAXIFS(BD!$A$3:$A$5001,BD!$B$3:$B$5001,G$280,BD!$A$3:$A$5001,"&gt;="&amp;$C$7,BD!$A$3:$A$5001,"&lt;="&amp;$B301,BD!$Z$3:$Z$5001,"&lt;&gt;"))))</f>
        <v/>
      </c>
      <c r="H301" s="54" t="str">
        <f>IF(OR($B301="",$A301&gt;$B$9,H$280=""),"",IF(COUNTIFS(BD!$B$3:$B$5001,H$280,BD!$A$3:$A$5001,"&gt;="&amp;$C$7,BD!$A$3:$A$5001,"&lt;="&amp;$B301,BD!$Z$3:$Z$5001,"&lt;&gt;")=0,"",SUMIFS(BD!$Z$3:$Z$5001,BD!$B$3:$B$5001,H$280,BD!$A$3:$A$5001,_xlfn.MAXIFS(BD!$A$3:$A$5001,BD!$B$3:$B$5001,H$280,BD!$A$3:$A$5001,"&gt;="&amp;$C$7,BD!$A$3:$A$5001,"&lt;="&amp;$B301,BD!$Z$3:$Z$5001,"&lt;&gt;"))))</f>
        <v/>
      </c>
      <c r="I301" s="54" t="str">
        <f>IF(OR($B301="",$A301&gt;$B$9,I$280=""),"",IF(COUNTIFS(BD!$B$3:$B$5001,I$280,BD!$A$3:$A$5001,"&gt;="&amp;$C$7,BD!$A$3:$A$5001,"&lt;="&amp;$B301,BD!$Z$3:$Z$5001,"&lt;&gt;")=0,"",SUMIFS(BD!$Z$3:$Z$5001,BD!$B$3:$B$5001,I$280,BD!$A$3:$A$5001,_xlfn.MAXIFS(BD!$A$3:$A$5001,BD!$B$3:$B$5001,I$280,BD!$A$3:$A$5001,"&gt;="&amp;$C$7,BD!$A$3:$A$5001,"&lt;="&amp;$B301,BD!$Z$3:$Z$5001,"&lt;&gt;"))))</f>
        <v/>
      </c>
      <c r="J301" s="54" t="str">
        <f>IF(OR($B301="",$A301&gt;$B$9,J$280=""),"",IF(COUNTIFS(BD!$B$3:$B$5001,J$280,BD!$A$3:$A$5001,"&gt;="&amp;$C$7,BD!$A$3:$A$5001,"&lt;="&amp;$B301,BD!$Z$3:$Z$5001,"&lt;&gt;")=0,"",SUMIFS(BD!$Z$3:$Z$5001,BD!$B$3:$B$5001,J$280,BD!$A$3:$A$5001,_xlfn.MAXIFS(BD!$A$3:$A$5001,BD!$B$3:$B$5001,J$280,BD!$A$3:$A$5001,"&gt;="&amp;$C$7,BD!$A$3:$A$5001,"&lt;="&amp;$B301,BD!$Z$3:$Z$5001,"&lt;&gt;"))))</f>
        <v/>
      </c>
      <c r="K301" s="54" t="str">
        <f>IF(OR($B301="",$A301&gt;$B$9,K$280=""),"",IF(COUNTIFS(BD!$B$3:$B$5001,K$280,BD!$A$3:$A$5001,"&gt;="&amp;$C$7,BD!$A$3:$A$5001,"&lt;="&amp;$B301,BD!$Z$3:$Z$5001,"&lt;&gt;")=0,"",SUMIFS(BD!$Z$3:$Z$5001,BD!$B$3:$B$5001,K$280,BD!$A$3:$A$5001,_xlfn.MAXIFS(BD!$A$3:$A$5001,BD!$B$3:$B$5001,K$280,BD!$A$3:$A$5001,"&gt;="&amp;$C$7,BD!$A$3:$A$5001,"&lt;="&amp;$B301,BD!$Z$3:$Z$5001,"&lt;&gt;"))))</f>
        <v/>
      </c>
      <c r="L301" s="54" t="str">
        <f>IF(OR($B301="",$A301&gt;$B$9,L$280=""),"",IF(COUNTIFS(BD!$B$3:$B$5001,L$280,BD!$A$3:$A$5001,"&gt;="&amp;$C$7,BD!$A$3:$A$5001,"&lt;="&amp;$B301,BD!$Z$3:$Z$5001,"&lt;&gt;")=0,"",SUMIFS(BD!$Z$3:$Z$5001,BD!$B$3:$B$5001,L$280,BD!$A$3:$A$5001,_xlfn.MAXIFS(BD!$A$3:$A$5001,BD!$B$3:$B$5001,L$280,BD!$A$3:$A$5001,"&gt;="&amp;$C$7,BD!$A$3:$A$5001,"&lt;="&amp;$B301,BD!$Z$3:$Z$5001,"&lt;&gt;"))))</f>
        <v/>
      </c>
      <c r="M301" s="54" t="str">
        <f>IF(OR($B301="",$A301&gt;$B$9,M$280=""),"",IF(COUNTIFS(BD!$B$3:$B$5001,M$280,BD!$A$3:$A$5001,"&gt;="&amp;$C$7,BD!$A$3:$A$5001,"&lt;="&amp;$B301,BD!$Z$3:$Z$5001,"&lt;&gt;")=0,"",SUMIFS(BD!$Z$3:$Z$5001,BD!$B$3:$B$5001,M$280,BD!$A$3:$A$5001,_xlfn.MAXIFS(BD!$A$3:$A$5001,BD!$B$3:$B$5001,M$280,BD!$A$3:$A$5001,"&gt;="&amp;$C$7,BD!$A$3:$A$5001,"&lt;="&amp;$B301,BD!$Z$3:$Z$5001,"&lt;&gt;"))))</f>
        <v/>
      </c>
      <c r="N301" s="54" t="str">
        <f>IF(OR($B301="",$A301&gt;$B$9,N$280=""),"",IF(COUNTIFS(BD!$B$3:$B$5001,N$280,BD!$A$3:$A$5001,"&gt;="&amp;$C$7,BD!$A$3:$A$5001,"&lt;="&amp;$B301,BD!$Z$3:$Z$5001,"&lt;&gt;")=0,"",SUMIFS(BD!$Z$3:$Z$5001,BD!$B$3:$B$5001,N$280,BD!$A$3:$A$5001,_xlfn.MAXIFS(BD!$A$3:$A$5001,BD!$B$3:$B$5001,N$280,BD!$A$3:$A$5001,"&gt;="&amp;$C$7,BD!$A$3:$A$5001,"&lt;="&amp;$B301,BD!$Z$3:$Z$5001,"&lt;&gt;"))))</f>
        <v/>
      </c>
      <c r="O301" s="54" t="str">
        <f>IF(OR($B301="",$A301&gt;$B$9,O$280=""),"",IF(COUNTIFS(BD!$B$3:$B$5001,O$280,BD!$A$3:$A$5001,"&gt;="&amp;$C$7,BD!$A$3:$A$5001,"&lt;="&amp;$B301,BD!$Z$3:$Z$5001,"&lt;&gt;")=0,"",SUMIFS(BD!$Z$3:$Z$5001,BD!$B$3:$B$5001,O$280,BD!$A$3:$A$5001,_xlfn.MAXIFS(BD!$A$3:$A$5001,BD!$B$3:$B$5001,O$280,BD!$A$3:$A$5001,"&gt;="&amp;$C$7,BD!$A$3:$A$5001,"&lt;="&amp;$B301,BD!$Z$3:$Z$5001,"&lt;&gt;"))))</f>
        <v/>
      </c>
      <c r="P301" s="54" t="str">
        <f>IF(OR($B301="",$A301&gt;$B$9,P$280=""),"",IF(COUNTIFS(BD!$B$3:$B$5001,P$280,BD!$A$3:$A$5001,"&gt;="&amp;$C$7,BD!$A$3:$A$5001,"&lt;="&amp;$B301,BD!$Z$3:$Z$5001,"&lt;&gt;")=0,"",SUMIFS(BD!$Z$3:$Z$5001,BD!$B$3:$B$5001,P$280,BD!$A$3:$A$5001,_xlfn.MAXIFS(BD!$A$3:$A$5001,BD!$B$3:$B$5001,P$280,BD!$A$3:$A$5001,"&gt;="&amp;$C$7,BD!$A$3:$A$5001,"&lt;="&amp;$B301,BD!$Z$3:$Z$5001,"&lt;&gt;"))))</f>
        <v/>
      </c>
      <c r="Q301" s="54" t="str">
        <f>IF(OR($B301="",$A301&gt;$B$9,Q$280=""),"",IF(COUNTIFS(BD!$B$3:$B$5001,Q$280,BD!$A$3:$A$5001,"&gt;="&amp;$C$7,BD!$A$3:$A$5001,"&lt;="&amp;$B301,BD!$Z$3:$Z$5001,"&lt;&gt;")=0,"",SUMIFS(BD!$Z$3:$Z$5001,BD!$B$3:$B$5001,Q$280,BD!$A$3:$A$5001,_xlfn.MAXIFS(BD!$A$3:$A$5001,BD!$B$3:$B$5001,Q$280,BD!$A$3:$A$5001,"&gt;="&amp;$C$7,BD!$A$3:$A$5001,"&lt;="&amp;$B301,BD!$Z$3:$Z$5001,"&lt;&gt;"))))</f>
        <v/>
      </c>
      <c r="R301" s="54" t="str">
        <f>IF(OR($B301="",$A301&gt;$B$9,R$280=""),"",IF(COUNTIFS(BD!$B$3:$B$5001,R$280,BD!$A$3:$A$5001,"&gt;="&amp;$C$7,BD!$A$3:$A$5001,"&lt;="&amp;$B301,BD!$Z$3:$Z$5001,"&lt;&gt;")=0,"",SUMIFS(BD!$Z$3:$Z$5001,BD!$B$3:$B$5001,R$280,BD!$A$3:$A$5001,_xlfn.MAXIFS(BD!$A$3:$A$5001,BD!$B$3:$B$5001,R$280,BD!$A$3:$A$5001,"&gt;="&amp;$C$7,BD!$A$3:$A$5001,"&lt;="&amp;$B301,BD!$Z$3:$Z$5001,"&lt;&gt;"))))</f>
        <v/>
      </c>
      <c r="S301" s="54" t="str">
        <f>IF(OR($B301="",$A301&gt;$B$9,S$280=""),"",IF(COUNTIFS(BD!$B$3:$B$5001,S$280,BD!$A$3:$A$5001,"&gt;="&amp;$C$7,BD!$A$3:$A$5001,"&lt;="&amp;$B301,BD!$Z$3:$Z$5001,"&lt;&gt;")=0,"",SUMIFS(BD!$Z$3:$Z$5001,BD!$B$3:$B$5001,S$280,BD!$A$3:$A$5001,_xlfn.MAXIFS(BD!$A$3:$A$5001,BD!$B$3:$B$5001,S$280,BD!$A$3:$A$5001,"&gt;="&amp;$C$7,BD!$A$3:$A$5001,"&lt;="&amp;$B301,BD!$Z$3:$Z$5001,"&lt;&gt;"))))</f>
        <v/>
      </c>
      <c r="T301" s="54" t="str">
        <f>IF(OR($B301="",$A301&gt;$B$9,T$280=""),"",IF(COUNTIFS(BD!$B$3:$B$5001,T$280,BD!$A$3:$A$5001,"&gt;="&amp;$C$7,BD!$A$3:$A$5001,"&lt;="&amp;$B301,BD!$Z$3:$Z$5001,"&lt;&gt;")=0,"",SUMIFS(BD!$Z$3:$Z$5001,BD!$B$3:$B$5001,T$280,BD!$A$3:$A$5001,_xlfn.MAXIFS(BD!$A$3:$A$5001,BD!$B$3:$B$5001,T$280,BD!$A$3:$A$5001,"&gt;="&amp;$C$7,BD!$A$3:$A$5001,"&lt;="&amp;$B301,BD!$Z$3:$Z$5001,"&lt;&gt;"))))</f>
        <v/>
      </c>
      <c r="U301" s="54" t="str">
        <f>IF(OR($B301="",$A301&gt;$B$9,U$280=""),"",IF(COUNTIFS(BD!$B$3:$B$5001,U$280,BD!$A$3:$A$5001,"&gt;="&amp;$C$7,BD!$A$3:$A$5001,"&lt;="&amp;$B301,BD!$Z$3:$Z$5001,"&lt;&gt;")=0,"",SUMIFS(BD!$Z$3:$Z$5001,BD!$B$3:$B$5001,U$280,BD!$A$3:$A$5001,_xlfn.MAXIFS(BD!$A$3:$A$5001,BD!$B$3:$B$5001,U$280,BD!$A$3:$A$5001,"&gt;="&amp;$C$7,BD!$A$3:$A$5001,"&lt;="&amp;$B301,BD!$Z$3:$Z$5001,"&lt;&gt;"))))</f>
        <v/>
      </c>
      <c r="V301" s="54" t="str">
        <f>IF(OR($B301="",$A301&gt;$B$9,V$280=""),"",IF(COUNTIFS(BD!$B$3:$B$5001,V$280,BD!$A$3:$A$5001,"&gt;="&amp;$C$7,BD!$A$3:$A$5001,"&lt;="&amp;$B301,BD!$Z$3:$Z$5001,"&lt;&gt;")=0,"",SUMIFS(BD!$Z$3:$Z$5001,BD!$B$3:$B$5001,V$280,BD!$A$3:$A$5001,_xlfn.MAXIFS(BD!$A$3:$A$5001,BD!$B$3:$B$5001,V$280,BD!$A$3:$A$5001,"&gt;="&amp;$C$7,BD!$A$3:$A$5001,"&lt;="&amp;$B301,BD!$Z$3:$Z$5001,"&lt;&gt;"))))</f>
        <v/>
      </c>
    </row>
    <row r="302">
      <c r="A302" s="48">
        <v>22</v>
      </c>
      <c r="B302" s="53">
        <f>$B$33</f>
        <v>46317</v>
      </c>
      <c r="C302" s="54" t="str">
        <f>IF(OR($B302="",$A302&gt;$B$9,C$280=""),"",IF(COUNTIFS(BD!$B$3:$B$5001,C$280,BD!$A$3:$A$5001,"&gt;="&amp;$C$7,BD!$A$3:$A$5001,"&lt;="&amp;$B302,BD!$Z$3:$Z$5001,"&lt;&gt;")=0,"",SUMIFS(BD!$Z$3:$Z$5001,BD!$B$3:$B$5001,C$280,BD!$A$3:$A$5001,_xlfn.MAXIFS(BD!$A$3:$A$5001,BD!$B$3:$B$5001,C$280,BD!$A$3:$A$5001,"&gt;="&amp;$C$7,BD!$A$3:$A$5001,"&lt;="&amp;$B302,BD!$Z$3:$Z$5001,"&lt;&gt;"))))</f>
        <v/>
      </c>
      <c r="D302" s="54" t="str">
        <f>IF(OR($B302="",$A302&gt;$B$9,D$280=""),"",IF(COUNTIFS(BD!$B$3:$B$5001,D$280,BD!$A$3:$A$5001,"&gt;="&amp;$C$7,BD!$A$3:$A$5001,"&lt;="&amp;$B302,BD!$Z$3:$Z$5001,"&lt;&gt;")=0,"",SUMIFS(BD!$Z$3:$Z$5001,BD!$B$3:$B$5001,D$280,BD!$A$3:$A$5001,_xlfn.MAXIFS(BD!$A$3:$A$5001,BD!$B$3:$B$5001,D$280,BD!$A$3:$A$5001,"&gt;="&amp;$C$7,BD!$A$3:$A$5001,"&lt;="&amp;$B302,BD!$Z$3:$Z$5001,"&lt;&gt;"))))</f>
        <v/>
      </c>
      <c r="E302" s="54" t="str">
        <f>IF(OR($B302="",$A302&gt;$B$9,E$280=""),"",IF(COUNTIFS(BD!$B$3:$B$5001,E$280,BD!$A$3:$A$5001,"&gt;="&amp;$C$7,BD!$A$3:$A$5001,"&lt;="&amp;$B302,BD!$Z$3:$Z$5001,"&lt;&gt;")=0,"",SUMIFS(BD!$Z$3:$Z$5001,BD!$B$3:$B$5001,E$280,BD!$A$3:$A$5001,_xlfn.MAXIFS(BD!$A$3:$A$5001,BD!$B$3:$B$5001,E$280,BD!$A$3:$A$5001,"&gt;="&amp;$C$7,BD!$A$3:$A$5001,"&lt;="&amp;$B302,BD!$Z$3:$Z$5001,"&lt;&gt;"))))</f>
        <v/>
      </c>
      <c r="F302" s="54" t="str">
        <f>IF(OR($B302="",$A302&gt;$B$9,F$280=""),"",IF(COUNTIFS(BD!$B$3:$B$5001,F$280,BD!$A$3:$A$5001,"&gt;="&amp;$C$7,BD!$A$3:$A$5001,"&lt;="&amp;$B302,BD!$Z$3:$Z$5001,"&lt;&gt;")=0,"",SUMIFS(BD!$Z$3:$Z$5001,BD!$B$3:$B$5001,F$280,BD!$A$3:$A$5001,_xlfn.MAXIFS(BD!$A$3:$A$5001,BD!$B$3:$B$5001,F$280,BD!$A$3:$A$5001,"&gt;="&amp;$C$7,BD!$A$3:$A$5001,"&lt;="&amp;$B302,BD!$Z$3:$Z$5001,"&lt;&gt;"))))</f>
        <v/>
      </c>
      <c r="G302" s="54" t="str">
        <f>IF(OR($B302="",$A302&gt;$B$9,G$280=""),"",IF(COUNTIFS(BD!$B$3:$B$5001,G$280,BD!$A$3:$A$5001,"&gt;="&amp;$C$7,BD!$A$3:$A$5001,"&lt;="&amp;$B302,BD!$Z$3:$Z$5001,"&lt;&gt;")=0,"",SUMIFS(BD!$Z$3:$Z$5001,BD!$B$3:$B$5001,G$280,BD!$A$3:$A$5001,_xlfn.MAXIFS(BD!$A$3:$A$5001,BD!$B$3:$B$5001,G$280,BD!$A$3:$A$5001,"&gt;="&amp;$C$7,BD!$A$3:$A$5001,"&lt;="&amp;$B302,BD!$Z$3:$Z$5001,"&lt;&gt;"))))</f>
        <v/>
      </c>
      <c r="H302" s="54" t="str">
        <f>IF(OR($B302="",$A302&gt;$B$9,H$280=""),"",IF(COUNTIFS(BD!$B$3:$B$5001,H$280,BD!$A$3:$A$5001,"&gt;="&amp;$C$7,BD!$A$3:$A$5001,"&lt;="&amp;$B302,BD!$Z$3:$Z$5001,"&lt;&gt;")=0,"",SUMIFS(BD!$Z$3:$Z$5001,BD!$B$3:$B$5001,H$280,BD!$A$3:$A$5001,_xlfn.MAXIFS(BD!$A$3:$A$5001,BD!$B$3:$B$5001,H$280,BD!$A$3:$A$5001,"&gt;="&amp;$C$7,BD!$A$3:$A$5001,"&lt;="&amp;$B302,BD!$Z$3:$Z$5001,"&lt;&gt;"))))</f>
        <v/>
      </c>
      <c r="I302" s="54" t="str">
        <f>IF(OR($B302="",$A302&gt;$B$9,I$280=""),"",IF(COUNTIFS(BD!$B$3:$B$5001,I$280,BD!$A$3:$A$5001,"&gt;="&amp;$C$7,BD!$A$3:$A$5001,"&lt;="&amp;$B302,BD!$Z$3:$Z$5001,"&lt;&gt;")=0,"",SUMIFS(BD!$Z$3:$Z$5001,BD!$B$3:$B$5001,I$280,BD!$A$3:$A$5001,_xlfn.MAXIFS(BD!$A$3:$A$5001,BD!$B$3:$B$5001,I$280,BD!$A$3:$A$5001,"&gt;="&amp;$C$7,BD!$A$3:$A$5001,"&lt;="&amp;$B302,BD!$Z$3:$Z$5001,"&lt;&gt;"))))</f>
        <v/>
      </c>
      <c r="J302" s="54" t="str">
        <f>IF(OR($B302="",$A302&gt;$B$9,J$280=""),"",IF(COUNTIFS(BD!$B$3:$B$5001,J$280,BD!$A$3:$A$5001,"&gt;="&amp;$C$7,BD!$A$3:$A$5001,"&lt;="&amp;$B302,BD!$Z$3:$Z$5001,"&lt;&gt;")=0,"",SUMIFS(BD!$Z$3:$Z$5001,BD!$B$3:$B$5001,J$280,BD!$A$3:$A$5001,_xlfn.MAXIFS(BD!$A$3:$A$5001,BD!$B$3:$B$5001,J$280,BD!$A$3:$A$5001,"&gt;="&amp;$C$7,BD!$A$3:$A$5001,"&lt;="&amp;$B302,BD!$Z$3:$Z$5001,"&lt;&gt;"))))</f>
        <v/>
      </c>
      <c r="K302" s="54" t="str">
        <f>IF(OR($B302="",$A302&gt;$B$9,K$280=""),"",IF(COUNTIFS(BD!$B$3:$B$5001,K$280,BD!$A$3:$A$5001,"&gt;="&amp;$C$7,BD!$A$3:$A$5001,"&lt;="&amp;$B302,BD!$Z$3:$Z$5001,"&lt;&gt;")=0,"",SUMIFS(BD!$Z$3:$Z$5001,BD!$B$3:$B$5001,K$280,BD!$A$3:$A$5001,_xlfn.MAXIFS(BD!$A$3:$A$5001,BD!$B$3:$B$5001,K$280,BD!$A$3:$A$5001,"&gt;="&amp;$C$7,BD!$A$3:$A$5001,"&lt;="&amp;$B302,BD!$Z$3:$Z$5001,"&lt;&gt;"))))</f>
        <v/>
      </c>
      <c r="L302" s="54" t="str">
        <f>IF(OR($B302="",$A302&gt;$B$9,L$280=""),"",IF(COUNTIFS(BD!$B$3:$B$5001,L$280,BD!$A$3:$A$5001,"&gt;="&amp;$C$7,BD!$A$3:$A$5001,"&lt;="&amp;$B302,BD!$Z$3:$Z$5001,"&lt;&gt;")=0,"",SUMIFS(BD!$Z$3:$Z$5001,BD!$B$3:$B$5001,L$280,BD!$A$3:$A$5001,_xlfn.MAXIFS(BD!$A$3:$A$5001,BD!$B$3:$B$5001,L$280,BD!$A$3:$A$5001,"&gt;="&amp;$C$7,BD!$A$3:$A$5001,"&lt;="&amp;$B302,BD!$Z$3:$Z$5001,"&lt;&gt;"))))</f>
        <v/>
      </c>
      <c r="M302" s="54" t="str">
        <f>IF(OR($B302="",$A302&gt;$B$9,M$280=""),"",IF(COUNTIFS(BD!$B$3:$B$5001,M$280,BD!$A$3:$A$5001,"&gt;="&amp;$C$7,BD!$A$3:$A$5001,"&lt;="&amp;$B302,BD!$Z$3:$Z$5001,"&lt;&gt;")=0,"",SUMIFS(BD!$Z$3:$Z$5001,BD!$B$3:$B$5001,M$280,BD!$A$3:$A$5001,_xlfn.MAXIFS(BD!$A$3:$A$5001,BD!$B$3:$B$5001,M$280,BD!$A$3:$A$5001,"&gt;="&amp;$C$7,BD!$A$3:$A$5001,"&lt;="&amp;$B302,BD!$Z$3:$Z$5001,"&lt;&gt;"))))</f>
        <v/>
      </c>
      <c r="N302" s="54" t="str">
        <f>IF(OR($B302="",$A302&gt;$B$9,N$280=""),"",IF(COUNTIFS(BD!$B$3:$B$5001,N$280,BD!$A$3:$A$5001,"&gt;="&amp;$C$7,BD!$A$3:$A$5001,"&lt;="&amp;$B302,BD!$Z$3:$Z$5001,"&lt;&gt;")=0,"",SUMIFS(BD!$Z$3:$Z$5001,BD!$B$3:$B$5001,N$280,BD!$A$3:$A$5001,_xlfn.MAXIFS(BD!$A$3:$A$5001,BD!$B$3:$B$5001,N$280,BD!$A$3:$A$5001,"&gt;="&amp;$C$7,BD!$A$3:$A$5001,"&lt;="&amp;$B302,BD!$Z$3:$Z$5001,"&lt;&gt;"))))</f>
        <v/>
      </c>
      <c r="O302" s="54" t="str">
        <f>IF(OR($B302="",$A302&gt;$B$9,O$280=""),"",IF(COUNTIFS(BD!$B$3:$B$5001,O$280,BD!$A$3:$A$5001,"&gt;="&amp;$C$7,BD!$A$3:$A$5001,"&lt;="&amp;$B302,BD!$Z$3:$Z$5001,"&lt;&gt;")=0,"",SUMIFS(BD!$Z$3:$Z$5001,BD!$B$3:$B$5001,O$280,BD!$A$3:$A$5001,_xlfn.MAXIFS(BD!$A$3:$A$5001,BD!$B$3:$B$5001,O$280,BD!$A$3:$A$5001,"&gt;="&amp;$C$7,BD!$A$3:$A$5001,"&lt;="&amp;$B302,BD!$Z$3:$Z$5001,"&lt;&gt;"))))</f>
        <v/>
      </c>
      <c r="P302" s="54" t="str">
        <f>IF(OR($B302="",$A302&gt;$B$9,P$280=""),"",IF(COUNTIFS(BD!$B$3:$B$5001,P$280,BD!$A$3:$A$5001,"&gt;="&amp;$C$7,BD!$A$3:$A$5001,"&lt;="&amp;$B302,BD!$Z$3:$Z$5001,"&lt;&gt;")=0,"",SUMIFS(BD!$Z$3:$Z$5001,BD!$B$3:$B$5001,P$280,BD!$A$3:$A$5001,_xlfn.MAXIFS(BD!$A$3:$A$5001,BD!$B$3:$B$5001,P$280,BD!$A$3:$A$5001,"&gt;="&amp;$C$7,BD!$A$3:$A$5001,"&lt;="&amp;$B302,BD!$Z$3:$Z$5001,"&lt;&gt;"))))</f>
        <v/>
      </c>
      <c r="Q302" s="54" t="str">
        <f>IF(OR($B302="",$A302&gt;$B$9,Q$280=""),"",IF(COUNTIFS(BD!$B$3:$B$5001,Q$280,BD!$A$3:$A$5001,"&gt;="&amp;$C$7,BD!$A$3:$A$5001,"&lt;="&amp;$B302,BD!$Z$3:$Z$5001,"&lt;&gt;")=0,"",SUMIFS(BD!$Z$3:$Z$5001,BD!$B$3:$B$5001,Q$280,BD!$A$3:$A$5001,_xlfn.MAXIFS(BD!$A$3:$A$5001,BD!$B$3:$B$5001,Q$280,BD!$A$3:$A$5001,"&gt;="&amp;$C$7,BD!$A$3:$A$5001,"&lt;="&amp;$B302,BD!$Z$3:$Z$5001,"&lt;&gt;"))))</f>
        <v/>
      </c>
      <c r="R302" s="54" t="str">
        <f>IF(OR($B302="",$A302&gt;$B$9,R$280=""),"",IF(COUNTIFS(BD!$B$3:$B$5001,R$280,BD!$A$3:$A$5001,"&gt;="&amp;$C$7,BD!$A$3:$A$5001,"&lt;="&amp;$B302,BD!$Z$3:$Z$5001,"&lt;&gt;")=0,"",SUMIFS(BD!$Z$3:$Z$5001,BD!$B$3:$B$5001,R$280,BD!$A$3:$A$5001,_xlfn.MAXIFS(BD!$A$3:$A$5001,BD!$B$3:$B$5001,R$280,BD!$A$3:$A$5001,"&gt;="&amp;$C$7,BD!$A$3:$A$5001,"&lt;="&amp;$B302,BD!$Z$3:$Z$5001,"&lt;&gt;"))))</f>
        <v/>
      </c>
      <c r="S302" s="54" t="str">
        <f>IF(OR($B302="",$A302&gt;$B$9,S$280=""),"",IF(COUNTIFS(BD!$B$3:$B$5001,S$280,BD!$A$3:$A$5001,"&gt;="&amp;$C$7,BD!$A$3:$A$5001,"&lt;="&amp;$B302,BD!$Z$3:$Z$5001,"&lt;&gt;")=0,"",SUMIFS(BD!$Z$3:$Z$5001,BD!$B$3:$B$5001,S$280,BD!$A$3:$A$5001,_xlfn.MAXIFS(BD!$A$3:$A$5001,BD!$B$3:$B$5001,S$280,BD!$A$3:$A$5001,"&gt;="&amp;$C$7,BD!$A$3:$A$5001,"&lt;="&amp;$B302,BD!$Z$3:$Z$5001,"&lt;&gt;"))))</f>
        <v/>
      </c>
      <c r="T302" s="54" t="str">
        <f>IF(OR($B302="",$A302&gt;$B$9,T$280=""),"",IF(COUNTIFS(BD!$B$3:$B$5001,T$280,BD!$A$3:$A$5001,"&gt;="&amp;$C$7,BD!$A$3:$A$5001,"&lt;="&amp;$B302,BD!$Z$3:$Z$5001,"&lt;&gt;")=0,"",SUMIFS(BD!$Z$3:$Z$5001,BD!$B$3:$B$5001,T$280,BD!$A$3:$A$5001,_xlfn.MAXIFS(BD!$A$3:$A$5001,BD!$B$3:$B$5001,T$280,BD!$A$3:$A$5001,"&gt;="&amp;$C$7,BD!$A$3:$A$5001,"&lt;="&amp;$B302,BD!$Z$3:$Z$5001,"&lt;&gt;"))))</f>
        <v/>
      </c>
      <c r="U302" s="54" t="str">
        <f>IF(OR($B302="",$A302&gt;$B$9,U$280=""),"",IF(COUNTIFS(BD!$B$3:$B$5001,U$280,BD!$A$3:$A$5001,"&gt;="&amp;$C$7,BD!$A$3:$A$5001,"&lt;="&amp;$B302,BD!$Z$3:$Z$5001,"&lt;&gt;")=0,"",SUMIFS(BD!$Z$3:$Z$5001,BD!$B$3:$B$5001,U$280,BD!$A$3:$A$5001,_xlfn.MAXIFS(BD!$A$3:$A$5001,BD!$B$3:$B$5001,U$280,BD!$A$3:$A$5001,"&gt;="&amp;$C$7,BD!$A$3:$A$5001,"&lt;="&amp;$B302,BD!$Z$3:$Z$5001,"&lt;&gt;"))))</f>
        <v/>
      </c>
      <c r="V302" s="54" t="str">
        <f>IF(OR($B302="",$A302&gt;$B$9,V$280=""),"",IF(COUNTIFS(BD!$B$3:$B$5001,V$280,BD!$A$3:$A$5001,"&gt;="&amp;$C$7,BD!$A$3:$A$5001,"&lt;="&amp;$B302,BD!$Z$3:$Z$5001,"&lt;&gt;")=0,"",SUMIFS(BD!$Z$3:$Z$5001,BD!$B$3:$B$5001,V$280,BD!$A$3:$A$5001,_xlfn.MAXIFS(BD!$A$3:$A$5001,BD!$B$3:$B$5001,V$280,BD!$A$3:$A$5001,"&gt;="&amp;$C$7,BD!$A$3:$A$5001,"&lt;="&amp;$B302,BD!$Z$3:$Z$5001,"&lt;&gt;"))))</f>
        <v/>
      </c>
    </row>
    <row r="303">
      <c r="A303" s="48">
        <v>23</v>
      </c>
      <c r="B303" s="53">
        <f>$B$34</f>
        <v>46318</v>
      </c>
      <c r="C303" s="54" t="str">
        <f>IF(OR($B303="",$A303&gt;$B$9,C$280=""),"",IF(COUNTIFS(BD!$B$3:$B$5001,C$280,BD!$A$3:$A$5001,"&gt;="&amp;$C$7,BD!$A$3:$A$5001,"&lt;="&amp;$B303,BD!$Z$3:$Z$5001,"&lt;&gt;")=0,"",SUMIFS(BD!$Z$3:$Z$5001,BD!$B$3:$B$5001,C$280,BD!$A$3:$A$5001,_xlfn.MAXIFS(BD!$A$3:$A$5001,BD!$B$3:$B$5001,C$280,BD!$A$3:$A$5001,"&gt;="&amp;$C$7,BD!$A$3:$A$5001,"&lt;="&amp;$B303,BD!$Z$3:$Z$5001,"&lt;&gt;"))))</f>
        <v/>
      </c>
      <c r="D303" s="54" t="str">
        <f>IF(OR($B303="",$A303&gt;$B$9,D$280=""),"",IF(COUNTIFS(BD!$B$3:$B$5001,D$280,BD!$A$3:$A$5001,"&gt;="&amp;$C$7,BD!$A$3:$A$5001,"&lt;="&amp;$B303,BD!$Z$3:$Z$5001,"&lt;&gt;")=0,"",SUMIFS(BD!$Z$3:$Z$5001,BD!$B$3:$B$5001,D$280,BD!$A$3:$A$5001,_xlfn.MAXIFS(BD!$A$3:$A$5001,BD!$B$3:$B$5001,D$280,BD!$A$3:$A$5001,"&gt;="&amp;$C$7,BD!$A$3:$A$5001,"&lt;="&amp;$B303,BD!$Z$3:$Z$5001,"&lt;&gt;"))))</f>
        <v/>
      </c>
      <c r="E303" s="54" t="str">
        <f>IF(OR($B303="",$A303&gt;$B$9,E$280=""),"",IF(COUNTIFS(BD!$B$3:$B$5001,E$280,BD!$A$3:$A$5001,"&gt;="&amp;$C$7,BD!$A$3:$A$5001,"&lt;="&amp;$B303,BD!$Z$3:$Z$5001,"&lt;&gt;")=0,"",SUMIFS(BD!$Z$3:$Z$5001,BD!$B$3:$B$5001,E$280,BD!$A$3:$A$5001,_xlfn.MAXIFS(BD!$A$3:$A$5001,BD!$B$3:$B$5001,E$280,BD!$A$3:$A$5001,"&gt;="&amp;$C$7,BD!$A$3:$A$5001,"&lt;="&amp;$B303,BD!$Z$3:$Z$5001,"&lt;&gt;"))))</f>
        <v/>
      </c>
      <c r="F303" s="54" t="str">
        <f>IF(OR($B303="",$A303&gt;$B$9,F$280=""),"",IF(COUNTIFS(BD!$B$3:$B$5001,F$280,BD!$A$3:$A$5001,"&gt;="&amp;$C$7,BD!$A$3:$A$5001,"&lt;="&amp;$B303,BD!$Z$3:$Z$5001,"&lt;&gt;")=0,"",SUMIFS(BD!$Z$3:$Z$5001,BD!$B$3:$B$5001,F$280,BD!$A$3:$A$5001,_xlfn.MAXIFS(BD!$A$3:$A$5001,BD!$B$3:$B$5001,F$280,BD!$A$3:$A$5001,"&gt;="&amp;$C$7,BD!$A$3:$A$5001,"&lt;="&amp;$B303,BD!$Z$3:$Z$5001,"&lt;&gt;"))))</f>
        <v/>
      </c>
      <c r="G303" s="54" t="str">
        <f>IF(OR($B303="",$A303&gt;$B$9,G$280=""),"",IF(COUNTIFS(BD!$B$3:$B$5001,G$280,BD!$A$3:$A$5001,"&gt;="&amp;$C$7,BD!$A$3:$A$5001,"&lt;="&amp;$B303,BD!$Z$3:$Z$5001,"&lt;&gt;")=0,"",SUMIFS(BD!$Z$3:$Z$5001,BD!$B$3:$B$5001,G$280,BD!$A$3:$A$5001,_xlfn.MAXIFS(BD!$A$3:$A$5001,BD!$B$3:$B$5001,G$280,BD!$A$3:$A$5001,"&gt;="&amp;$C$7,BD!$A$3:$A$5001,"&lt;="&amp;$B303,BD!$Z$3:$Z$5001,"&lt;&gt;"))))</f>
        <v/>
      </c>
      <c r="H303" s="54" t="str">
        <f>IF(OR($B303="",$A303&gt;$B$9,H$280=""),"",IF(COUNTIFS(BD!$B$3:$B$5001,H$280,BD!$A$3:$A$5001,"&gt;="&amp;$C$7,BD!$A$3:$A$5001,"&lt;="&amp;$B303,BD!$Z$3:$Z$5001,"&lt;&gt;")=0,"",SUMIFS(BD!$Z$3:$Z$5001,BD!$B$3:$B$5001,H$280,BD!$A$3:$A$5001,_xlfn.MAXIFS(BD!$A$3:$A$5001,BD!$B$3:$B$5001,H$280,BD!$A$3:$A$5001,"&gt;="&amp;$C$7,BD!$A$3:$A$5001,"&lt;="&amp;$B303,BD!$Z$3:$Z$5001,"&lt;&gt;"))))</f>
        <v/>
      </c>
      <c r="I303" s="54" t="str">
        <f>IF(OR($B303="",$A303&gt;$B$9,I$280=""),"",IF(COUNTIFS(BD!$B$3:$B$5001,I$280,BD!$A$3:$A$5001,"&gt;="&amp;$C$7,BD!$A$3:$A$5001,"&lt;="&amp;$B303,BD!$Z$3:$Z$5001,"&lt;&gt;")=0,"",SUMIFS(BD!$Z$3:$Z$5001,BD!$B$3:$B$5001,I$280,BD!$A$3:$A$5001,_xlfn.MAXIFS(BD!$A$3:$A$5001,BD!$B$3:$B$5001,I$280,BD!$A$3:$A$5001,"&gt;="&amp;$C$7,BD!$A$3:$A$5001,"&lt;="&amp;$B303,BD!$Z$3:$Z$5001,"&lt;&gt;"))))</f>
        <v/>
      </c>
      <c r="J303" s="54" t="str">
        <f>IF(OR($B303="",$A303&gt;$B$9,J$280=""),"",IF(COUNTIFS(BD!$B$3:$B$5001,J$280,BD!$A$3:$A$5001,"&gt;="&amp;$C$7,BD!$A$3:$A$5001,"&lt;="&amp;$B303,BD!$Z$3:$Z$5001,"&lt;&gt;")=0,"",SUMIFS(BD!$Z$3:$Z$5001,BD!$B$3:$B$5001,J$280,BD!$A$3:$A$5001,_xlfn.MAXIFS(BD!$A$3:$A$5001,BD!$B$3:$B$5001,J$280,BD!$A$3:$A$5001,"&gt;="&amp;$C$7,BD!$A$3:$A$5001,"&lt;="&amp;$B303,BD!$Z$3:$Z$5001,"&lt;&gt;"))))</f>
        <v/>
      </c>
      <c r="K303" s="54" t="str">
        <f>IF(OR($B303="",$A303&gt;$B$9,K$280=""),"",IF(COUNTIFS(BD!$B$3:$B$5001,K$280,BD!$A$3:$A$5001,"&gt;="&amp;$C$7,BD!$A$3:$A$5001,"&lt;="&amp;$B303,BD!$Z$3:$Z$5001,"&lt;&gt;")=0,"",SUMIFS(BD!$Z$3:$Z$5001,BD!$B$3:$B$5001,K$280,BD!$A$3:$A$5001,_xlfn.MAXIFS(BD!$A$3:$A$5001,BD!$B$3:$B$5001,K$280,BD!$A$3:$A$5001,"&gt;="&amp;$C$7,BD!$A$3:$A$5001,"&lt;="&amp;$B303,BD!$Z$3:$Z$5001,"&lt;&gt;"))))</f>
        <v/>
      </c>
      <c r="L303" s="54" t="str">
        <f>IF(OR($B303="",$A303&gt;$B$9,L$280=""),"",IF(COUNTIFS(BD!$B$3:$B$5001,L$280,BD!$A$3:$A$5001,"&gt;="&amp;$C$7,BD!$A$3:$A$5001,"&lt;="&amp;$B303,BD!$Z$3:$Z$5001,"&lt;&gt;")=0,"",SUMIFS(BD!$Z$3:$Z$5001,BD!$B$3:$B$5001,L$280,BD!$A$3:$A$5001,_xlfn.MAXIFS(BD!$A$3:$A$5001,BD!$B$3:$B$5001,L$280,BD!$A$3:$A$5001,"&gt;="&amp;$C$7,BD!$A$3:$A$5001,"&lt;="&amp;$B303,BD!$Z$3:$Z$5001,"&lt;&gt;"))))</f>
        <v/>
      </c>
      <c r="M303" s="54" t="str">
        <f>IF(OR($B303="",$A303&gt;$B$9,M$280=""),"",IF(COUNTIFS(BD!$B$3:$B$5001,M$280,BD!$A$3:$A$5001,"&gt;="&amp;$C$7,BD!$A$3:$A$5001,"&lt;="&amp;$B303,BD!$Z$3:$Z$5001,"&lt;&gt;")=0,"",SUMIFS(BD!$Z$3:$Z$5001,BD!$B$3:$B$5001,M$280,BD!$A$3:$A$5001,_xlfn.MAXIFS(BD!$A$3:$A$5001,BD!$B$3:$B$5001,M$280,BD!$A$3:$A$5001,"&gt;="&amp;$C$7,BD!$A$3:$A$5001,"&lt;="&amp;$B303,BD!$Z$3:$Z$5001,"&lt;&gt;"))))</f>
        <v/>
      </c>
      <c r="N303" s="54" t="str">
        <f>IF(OR($B303="",$A303&gt;$B$9,N$280=""),"",IF(COUNTIFS(BD!$B$3:$B$5001,N$280,BD!$A$3:$A$5001,"&gt;="&amp;$C$7,BD!$A$3:$A$5001,"&lt;="&amp;$B303,BD!$Z$3:$Z$5001,"&lt;&gt;")=0,"",SUMIFS(BD!$Z$3:$Z$5001,BD!$B$3:$B$5001,N$280,BD!$A$3:$A$5001,_xlfn.MAXIFS(BD!$A$3:$A$5001,BD!$B$3:$B$5001,N$280,BD!$A$3:$A$5001,"&gt;="&amp;$C$7,BD!$A$3:$A$5001,"&lt;="&amp;$B303,BD!$Z$3:$Z$5001,"&lt;&gt;"))))</f>
        <v/>
      </c>
      <c r="O303" s="54" t="str">
        <f>IF(OR($B303="",$A303&gt;$B$9,O$280=""),"",IF(COUNTIFS(BD!$B$3:$B$5001,O$280,BD!$A$3:$A$5001,"&gt;="&amp;$C$7,BD!$A$3:$A$5001,"&lt;="&amp;$B303,BD!$Z$3:$Z$5001,"&lt;&gt;")=0,"",SUMIFS(BD!$Z$3:$Z$5001,BD!$B$3:$B$5001,O$280,BD!$A$3:$A$5001,_xlfn.MAXIFS(BD!$A$3:$A$5001,BD!$B$3:$B$5001,O$280,BD!$A$3:$A$5001,"&gt;="&amp;$C$7,BD!$A$3:$A$5001,"&lt;="&amp;$B303,BD!$Z$3:$Z$5001,"&lt;&gt;"))))</f>
        <v/>
      </c>
      <c r="P303" s="54" t="str">
        <f>IF(OR($B303="",$A303&gt;$B$9,P$280=""),"",IF(COUNTIFS(BD!$B$3:$B$5001,P$280,BD!$A$3:$A$5001,"&gt;="&amp;$C$7,BD!$A$3:$A$5001,"&lt;="&amp;$B303,BD!$Z$3:$Z$5001,"&lt;&gt;")=0,"",SUMIFS(BD!$Z$3:$Z$5001,BD!$B$3:$B$5001,P$280,BD!$A$3:$A$5001,_xlfn.MAXIFS(BD!$A$3:$A$5001,BD!$B$3:$B$5001,P$280,BD!$A$3:$A$5001,"&gt;="&amp;$C$7,BD!$A$3:$A$5001,"&lt;="&amp;$B303,BD!$Z$3:$Z$5001,"&lt;&gt;"))))</f>
        <v/>
      </c>
      <c r="Q303" s="54" t="str">
        <f>IF(OR($B303="",$A303&gt;$B$9,Q$280=""),"",IF(COUNTIFS(BD!$B$3:$B$5001,Q$280,BD!$A$3:$A$5001,"&gt;="&amp;$C$7,BD!$A$3:$A$5001,"&lt;="&amp;$B303,BD!$Z$3:$Z$5001,"&lt;&gt;")=0,"",SUMIFS(BD!$Z$3:$Z$5001,BD!$B$3:$B$5001,Q$280,BD!$A$3:$A$5001,_xlfn.MAXIFS(BD!$A$3:$A$5001,BD!$B$3:$B$5001,Q$280,BD!$A$3:$A$5001,"&gt;="&amp;$C$7,BD!$A$3:$A$5001,"&lt;="&amp;$B303,BD!$Z$3:$Z$5001,"&lt;&gt;"))))</f>
        <v/>
      </c>
      <c r="R303" s="54" t="str">
        <f>IF(OR($B303="",$A303&gt;$B$9,R$280=""),"",IF(COUNTIFS(BD!$B$3:$B$5001,R$280,BD!$A$3:$A$5001,"&gt;="&amp;$C$7,BD!$A$3:$A$5001,"&lt;="&amp;$B303,BD!$Z$3:$Z$5001,"&lt;&gt;")=0,"",SUMIFS(BD!$Z$3:$Z$5001,BD!$B$3:$B$5001,R$280,BD!$A$3:$A$5001,_xlfn.MAXIFS(BD!$A$3:$A$5001,BD!$B$3:$B$5001,R$280,BD!$A$3:$A$5001,"&gt;="&amp;$C$7,BD!$A$3:$A$5001,"&lt;="&amp;$B303,BD!$Z$3:$Z$5001,"&lt;&gt;"))))</f>
        <v/>
      </c>
      <c r="S303" s="54" t="str">
        <f>IF(OR($B303="",$A303&gt;$B$9,S$280=""),"",IF(COUNTIFS(BD!$B$3:$B$5001,S$280,BD!$A$3:$A$5001,"&gt;="&amp;$C$7,BD!$A$3:$A$5001,"&lt;="&amp;$B303,BD!$Z$3:$Z$5001,"&lt;&gt;")=0,"",SUMIFS(BD!$Z$3:$Z$5001,BD!$B$3:$B$5001,S$280,BD!$A$3:$A$5001,_xlfn.MAXIFS(BD!$A$3:$A$5001,BD!$B$3:$B$5001,S$280,BD!$A$3:$A$5001,"&gt;="&amp;$C$7,BD!$A$3:$A$5001,"&lt;="&amp;$B303,BD!$Z$3:$Z$5001,"&lt;&gt;"))))</f>
        <v/>
      </c>
      <c r="T303" s="54" t="str">
        <f>IF(OR($B303="",$A303&gt;$B$9,T$280=""),"",IF(COUNTIFS(BD!$B$3:$B$5001,T$280,BD!$A$3:$A$5001,"&gt;="&amp;$C$7,BD!$A$3:$A$5001,"&lt;="&amp;$B303,BD!$Z$3:$Z$5001,"&lt;&gt;")=0,"",SUMIFS(BD!$Z$3:$Z$5001,BD!$B$3:$B$5001,T$280,BD!$A$3:$A$5001,_xlfn.MAXIFS(BD!$A$3:$A$5001,BD!$B$3:$B$5001,T$280,BD!$A$3:$A$5001,"&gt;="&amp;$C$7,BD!$A$3:$A$5001,"&lt;="&amp;$B303,BD!$Z$3:$Z$5001,"&lt;&gt;"))))</f>
        <v/>
      </c>
      <c r="U303" s="54" t="str">
        <f>IF(OR($B303="",$A303&gt;$B$9,U$280=""),"",IF(COUNTIFS(BD!$B$3:$B$5001,U$280,BD!$A$3:$A$5001,"&gt;="&amp;$C$7,BD!$A$3:$A$5001,"&lt;="&amp;$B303,BD!$Z$3:$Z$5001,"&lt;&gt;")=0,"",SUMIFS(BD!$Z$3:$Z$5001,BD!$B$3:$B$5001,U$280,BD!$A$3:$A$5001,_xlfn.MAXIFS(BD!$A$3:$A$5001,BD!$B$3:$B$5001,U$280,BD!$A$3:$A$5001,"&gt;="&amp;$C$7,BD!$A$3:$A$5001,"&lt;="&amp;$B303,BD!$Z$3:$Z$5001,"&lt;&gt;"))))</f>
        <v/>
      </c>
      <c r="V303" s="54" t="str">
        <f>IF(OR($B303="",$A303&gt;$B$9,V$280=""),"",IF(COUNTIFS(BD!$B$3:$B$5001,V$280,BD!$A$3:$A$5001,"&gt;="&amp;$C$7,BD!$A$3:$A$5001,"&lt;="&amp;$B303,BD!$Z$3:$Z$5001,"&lt;&gt;")=0,"",SUMIFS(BD!$Z$3:$Z$5001,BD!$B$3:$B$5001,V$280,BD!$A$3:$A$5001,_xlfn.MAXIFS(BD!$A$3:$A$5001,BD!$B$3:$B$5001,V$280,BD!$A$3:$A$5001,"&gt;="&amp;$C$7,BD!$A$3:$A$5001,"&lt;="&amp;$B303,BD!$Z$3:$Z$5001,"&lt;&gt;"))))</f>
        <v/>
      </c>
    </row>
    <row r="304">
      <c r="A304" s="48">
        <v>24</v>
      </c>
      <c r="B304" s="53">
        <f>$B$35</f>
        <v>46319</v>
      </c>
      <c r="C304" s="54" t="str">
        <f>IF(OR($B304="",$A304&gt;$B$9,C$280=""),"",IF(COUNTIFS(BD!$B$3:$B$5001,C$280,BD!$A$3:$A$5001,"&gt;="&amp;$C$7,BD!$A$3:$A$5001,"&lt;="&amp;$B304,BD!$Z$3:$Z$5001,"&lt;&gt;")=0,"",SUMIFS(BD!$Z$3:$Z$5001,BD!$B$3:$B$5001,C$280,BD!$A$3:$A$5001,_xlfn.MAXIFS(BD!$A$3:$A$5001,BD!$B$3:$B$5001,C$280,BD!$A$3:$A$5001,"&gt;="&amp;$C$7,BD!$A$3:$A$5001,"&lt;="&amp;$B304,BD!$Z$3:$Z$5001,"&lt;&gt;"))))</f>
        <v/>
      </c>
      <c r="D304" s="54" t="str">
        <f>IF(OR($B304="",$A304&gt;$B$9,D$280=""),"",IF(COUNTIFS(BD!$B$3:$B$5001,D$280,BD!$A$3:$A$5001,"&gt;="&amp;$C$7,BD!$A$3:$A$5001,"&lt;="&amp;$B304,BD!$Z$3:$Z$5001,"&lt;&gt;")=0,"",SUMIFS(BD!$Z$3:$Z$5001,BD!$B$3:$B$5001,D$280,BD!$A$3:$A$5001,_xlfn.MAXIFS(BD!$A$3:$A$5001,BD!$B$3:$B$5001,D$280,BD!$A$3:$A$5001,"&gt;="&amp;$C$7,BD!$A$3:$A$5001,"&lt;="&amp;$B304,BD!$Z$3:$Z$5001,"&lt;&gt;"))))</f>
        <v/>
      </c>
      <c r="E304" s="54" t="str">
        <f>IF(OR($B304="",$A304&gt;$B$9,E$280=""),"",IF(COUNTIFS(BD!$B$3:$B$5001,E$280,BD!$A$3:$A$5001,"&gt;="&amp;$C$7,BD!$A$3:$A$5001,"&lt;="&amp;$B304,BD!$Z$3:$Z$5001,"&lt;&gt;")=0,"",SUMIFS(BD!$Z$3:$Z$5001,BD!$B$3:$B$5001,E$280,BD!$A$3:$A$5001,_xlfn.MAXIFS(BD!$A$3:$A$5001,BD!$B$3:$B$5001,E$280,BD!$A$3:$A$5001,"&gt;="&amp;$C$7,BD!$A$3:$A$5001,"&lt;="&amp;$B304,BD!$Z$3:$Z$5001,"&lt;&gt;"))))</f>
        <v/>
      </c>
      <c r="F304" s="54" t="str">
        <f>IF(OR($B304="",$A304&gt;$B$9,F$280=""),"",IF(COUNTIFS(BD!$B$3:$B$5001,F$280,BD!$A$3:$A$5001,"&gt;="&amp;$C$7,BD!$A$3:$A$5001,"&lt;="&amp;$B304,BD!$Z$3:$Z$5001,"&lt;&gt;")=0,"",SUMIFS(BD!$Z$3:$Z$5001,BD!$B$3:$B$5001,F$280,BD!$A$3:$A$5001,_xlfn.MAXIFS(BD!$A$3:$A$5001,BD!$B$3:$B$5001,F$280,BD!$A$3:$A$5001,"&gt;="&amp;$C$7,BD!$A$3:$A$5001,"&lt;="&amp;$B304,BD!$Z$3:$Z$5001,"&lt;&gt;"))))</f>
        <v/>
      </c>
      <c r="G304" s="54" t="str">
        <f>IF(OR($B304="",$A304&gt;$B$9,G$280=""),"",IF(COUNTIFS(BD!$B$3:$B$5001,G$280,BD!$A$3:$A$5001,"&gt;="&amp;$C$7,BD!$A$3:$A$5001,"&lt;="&amp;$B304,BD!$Z$3:$Z$5001,"&lt;&gt;")=0,"",SUMIFS(BD!$Z$3:$Z$5001,BD!$B$3:$B$5001,G$280,BD!$A$3:$A$5001,_xlfn.MAXIFS(BD!$A$3:$A$5001,BD!$B$3:$B$5001,G$280,BD!$A$3:$A$5001,"&gt;="&amp;$C$7,BD!$A$3:$A$5001,"&lt;="&amp;$B304,BD!$Z$3:$Z$5001,"&lt;&gt;"))))</f>
        <v/>
      </c>
      <c r="H304" s="54" t="str">
        <f>IF(OR($B304="",$A304&gt;$B$9,H$280=""),"",IF(COUNTIFS(BD!$B$3:$B$5001,H$280,BD!$A$3:$A$5001,"&gt;="&amp;$C$7,BD!$A$3:$A$5001,"&lt;="&amp;$B304,BD!$Z$3:$Z$5001,"&lt;&gt;")=0,"",SUMIFS(BD!$Z$3:$Z$5001,BD!$B$3:$B$5001,H$280,BD!$A$3:$A$5001,_xlfn.MAXIFS(BD!$A$3:$A$5001,BD!$B$3:$B$5001,H$280,BD!$A$3:$A$5001,"&gt;="&amp;$C$7,BD!$A$3:$A$5001,"&lt;="&amp;$B304,BD!$Z$3:$Z$5001,"&lt;&gt;"))))</f>
        <v/>
      </c>
      <c r="I304" s="54" t="str">
        <f>IF(OR($B304="",$A304&gt;$B$9,I$280=""),"",IF(COUNTIFS(BD!$B$3:$B$5001,I$280,BD!$A$3:$A$5001,"&gt;="&amp;$C$7,BD!$A$3:$A$5001,"&lt;="&amp;$B304,BD!$Z$3:$Z$5001,"&lt;&gt;")=0,"",SUMIFS(BD!$Z$3:$Z$5001,BD!$B$3:$B$5001,I$280,BD!$A$3:$A$5001,_xlfn.MAXIFS(BD!$A$3:$A$5001,BD!$B$3:$B$5001,I$280,BD!$A$3:$A$5001,"&gt;="&amp;$C$7,BD!$A$3:$A$5001,"&lt;="&amp;$B304,BD!$Z$3:$Z$5001,"&lt;&gt;"))))</f>
        <v/>
      </c>
      <c r="J304" s="54" t="str">
        <f>IF(OR($B304="",$A304&gt;$B$9,J$280=""),"",IF(COUNTIFS(BD!$B$3:$B$5001,J$280,BD!$A$3:$A$5001,"&gt;="&amp;$C$7,BD!$A$3:$A$5001,"&lt;="&amp;$B304,BD!$Z$3:$Z$5001,"&lt;&gt;")=0,"",SUMIFS(BD!$Z$3:$Z$5001,BD!$B$3:$B$5001,J$280,BD!$A$3:$A$5001,_xlfn.MAXIFS(BD!$A$3:$A$5001,BD!$B$3:$B$5001,J$280,BD!$A$3:$A$5001,"&gt;="&amp;$C$7,BD!$A$3:$A$5001,"&lt;="&amp;$B304,BD!$Z$3:$Z$5001,"&lt;&gt;"))))</f>
        <v/>
      </c>
      <c r="K304" s="54" t="str">
        <f>IF(OR($B304="",$A304&gt;$B$9,K$280=""),"",IF(COUNTIFS(BD!$B$3:$B$5001,K$280,BD!$A$3:$A$5001,"&gt;="&amp;$C$7,BD!$A$3:$A$5001,"&lt;="&amp;$B304,BD!$Z$3:$Z$5001,"&lt;&gt;")=0,"",SUMIFS(BD!$Z$3:$Z$5001,BD!$B$3:$B$5001,K$280,BD!$A$3:$A$5001,_xlfn.MAXIFS(BD!$A$3:$A$5001,BD!$B$3:$B$5001,K$280,BD!$A$3:$A$5001,"&gt;="&amp;$C$7,BD!$A$3:$A$5001,"&lt;="&amp;$B304,BD!$Z$3:$Z$5001,"&lt;&gt;"))))</f>
        <v/>
      </c>
      <c r="L304" s="54" t="str">
        <f>IF(OR($B304="",$A304&gt;$B$9,L$280=""),"",IF(COUNTIFS(BD!$B$3:$B$5001,L$280,BD!$A$3:$A$5001,"&gt;="&amp;$C$7,BD!$A$3:$A$5001,"&lt;="&amp;$B304,BD!$Z$3:$Z$5001,"&lt;&gt;")=0,"",SUMIFS(BD!$Z$3:$Z$5001,BD!$B$3:$B$5001,L$280,BD!$A$3:$A$5001,_xlfn.MAXIFS(BD!$A$3:$A$5001,BD!$B$3:$B$5001,L$280,BD!$A$3:$A$5001,"&gt;="&amp;$C$7,BD!$A$3:$A$5001,"&lt;="&amp;$B304,BD!$Z$3:$Z$5001,"&lt;&gt;"))))</f>
        <v/>
      </c>
      <c r="M304" s="54" t="str">
        <f>IF(OR($B304="",$A304&gt;$B$9,M$280=""),"",IF(COUNTIFS(BD!$B$3:$B$5001,M$280,BD!$A$3:$A$5001,"&gt;="&amp;$C$7,BD!$A$3:$A$5001,"&lt;="&amp;$B304,BD!$Z$3:$Z$5001,"&lt;&gt;")=0,"",SUMIFS(BD!$Z$3:$Z$5001,BD!$B$3:$B$5001,M$280,BD!$A$3:$A$5001,_xlfn.MAXIFS(BD!$A$3:$A$5001,BD!$B$3:$B$5001,M$280,BD!$A$3:$A$5001,"&gt;="&amp;$C$7,BD!$A$3:$A$5001,"&lt;="&amp;$B304,BD!$Z$3:$Z$5001,"&lt;&gt;"))))</f>
        <v/>
      </c>
      <c r="N304" s="54" t="str">
        <f>IF(OR($B304="",$A304&gt;$B$9,N$280=""),"",IF(COUNTIFS(BD!$B$3:$B$5001,N$280,BD!$A$3:$A$5001,"&gt;="&amp;$C$7,BD!$A$3:$A$5001,"&lt;="&amp;$B304,BD!$Z$3:$Z$5001,"&lt;&gt;")=0,"",SUMIFS(BD!$Z$3:$Z$5001,BD!$B$3:$B$5001,N$280,BD!$A$3:$A$5001,_xlfn.MAXIFS(BD!$A$3:$A$5001,BD!$B$3:$B$5001,N$280,BD!$A$3:$A$5001,"&gt;="&amp;$C$7,BD!$A$3:$A$5001,"&lt;="&amp;$B304,BD!$Z$3:$Z$5001,"&lt;&gt;"))))</f>
        <v/>
      </c>
      <c r="O304" s="54" t="str">
        <f>IF(OR($B304="",$A304&gt;$B$9,O$280=""),"",IF(COUNTIFS(BD!$B$3:$B$5001,O$280,BD!$A$3:$A$5001,"&gt;="&amp;$C$7,BD!$A$3:$A$5001,"&lt;="&amp;$B304,BD!$Z$3:$Z$5001,"&lt;&gt;")=0,"",SUMIFS(BD!$Z$3:$Z$5001,BD!$B$3:$B$5001,O$280,BD!$A$3:$A$5001,_xlfn.MAXIFS(BD!$A$3:$A$5001,BD!$B$3:$B$5001,O$280,BD!$A$3:$A$5001,"&gt;="&amp;$C$7,BD!$A$3:$A$5001,"&lt;="&amp;$B304,BD!$Z$3:$Z$5001,"&lt;&gt;"))))</f>
        <v/>
      </c>
      <c r="P304" s="54" t="str">
        <f>IF(OR($B304="",$A304&gt;$B$9,P$280=""),"",IF(COUNTIFS(BD!$B$3:$B$5001,P$280,BD!$A$3:$A$5001,"&gt;="&amp;$C$7,BD!$A$3:$A$5001,"&lt;="&amp;$B304,BD!$Z$3:$Z$5001,"&lt;&gt;")=0,"",SUMIFS(BD!$Z$3:$Z$5001,BD!$B$3:$B$5001,P$280,BD!$A$3:$A$5001,_xlfn.MAXIFS(BD!$A$3:$A$5001,BD!$B$3:$B$5001,P$280,BD!$A$3:$A$5001,"&gt;="&amp;$C$7,BD!$A$3:$A$5001,"&lt;="&amp;$B304,BD!$Z$3:$Z$5001,"&lt;&gt;"))))</f>
        <v/>
      </c>
      <c r="Q304" s="54" t="str">
        <f>IF(OR($B304="",$A304&gt;$B$9,Q$280=""),"",IF(COUNTIFS(BD!$B$3:$B$5001,Q$280,BD!$A$3:$A$5001,"&gt;="&amp;$C$7,BD!$A$3:$A$5001,"&lt;="&amp;$B304,BD!$Z$3:$Z$5001,"&lt;&gt;")=0,"",SUMIFS(BD!$Z$3:$Z$5001,BD!$B$3:$B$5001,Q$280,BD!$A$3:$A$5001,_xlfn.MAXIFS(BD!$A$3:$A$5001,BD!$B$3:$B$5001,Q$280,BD!$A$3:$A$5001,"&gt;="&amp;$C$7,BD!$A$3:$A$5001,"&lt;="&amp;$B304,BD!$Z$3:$Z$5001,"&lt;&gt;"))))</f>
        <v/>
      </c>
      <c r="R304" s="54" t="str">
        <f>IF(OR($B304="",$A304&gt;$B$9,R$280=""),"",IF(COUNTIFS(BD!$B$3:$B$5001,R$280,BD!$A$3:$A$5001,"&gt;="&amp;$C$7,BD!$A$3:$A$5001,"&lt;="&amp;$B304,BD!$Z$3:$Z$5001,"&lt;&gt;")=0,"",SUMIFS(BD!$Z$3:$Z$5001,BD!$B$3:$B$5001,R$280,BD!$A$3:$A$5001,_xlfn.MAXIFS(BD!$A$3:$A$5001,BD!$B$3:$B$5001,R$280,BD!$A$3:$A$5001,"&gt;="&amp;$C$7,BD!$A$3:$A$5001,"&lt;="&amp;$B304,BD!$Z$3:$Z$5001,"&lt;&gt;"))))</f>
        <v/>
      </c>
      <c r="S304" s="54" t="str">
        <f>IF(OR($B304="",$A304&gt;$B$9,S$280=""),"",IF(COUNTIFS(BD!$B$3:$B$5001,S$280,BD!$A$3:$A$5001,"&gt;="&amp;$C$7,BD!$A$3:$A$5001,"&lt;="&amp;$B304,BD!$Z$3:$Z$5001,"&lt;&gt;")=0,"",SUMIFS(BD!$Z$3:$Z$5001,BD!$B$3:$B$5001,S$280,BD!$A$3:$A$5001,_xlfn.MAXIFS(BD!$A$3:$A$5001,BD!$B$3:$B$5001,S$280,BD!$A$3:$A$5001,"&gt;="&amp;$C$7,BD!$A$3:$A$5001,"&lt;="&amp;$B304,BD!$Z$3:$Z$5001,"&lt;&gt;"))))</f>
        <v/>
      </c>
      <c r="T304" s="54" t="str">
        <f>IF(OR($B304="",$A304&gt;$B$9,T$280=""),"",IF(COUNTIFS(BD!$B$3:$B$5001,T$280,BD!$A$3:$A$5001,"&gt;="&amp;$C$7,BD!$A$3:$A$5001,"&lt;="&amp;$B304,BD!$Z$3:$Z$5001,"&lt;&gt;")=0,"",SUMIFS(BD!$Z$3:$Z$5001,BD!$B$3:$B$5001,T$280,BD!$A$3:$A$5001,_xlfn.MAXIFS(BD!$A$3:$A$5001,BD!$B$3:$B$5001,T$280,BD!$A$3:$A$5001,"&gt;="&amp;$C$7,BD!$A$3:$A$5001,"&lt;="&amp;$B304,BD!$Z$3:$Z$5001,"&lt;&gt;"))))</f>
        <v/>
      </c>
      <c r="U304" s="54" t="str">
        <f>IF(OR($B304="",$A304&gt;$B$9,U$280=""),"",IF(COUNTIFS(BD!$B$3:$B$5001,U$280,BD!$A$3:$A$5001,"&gt;="&amp;$C$7,BD!$A$3:$A$5001,"&lt;="&amp;$B304,BD!$Z$3:$Z$5001,"&lt;&gt;")=0,"",SUMIFS(BD!$Z$3:$Z$5001,BD!$B$3:$B$5001,U$280,BD!$A$3:$A$5001,_xlfn.MAXIFS(BD!$A$3:$A$5001,BD!$B$3:$B$5001,U$280,BD!$A$3:$A$5001,"&gt;="&amp;$C$7,BD!$A$3:$A$5001,"&lt;="&amp;$B304,BD!$Z$3:$Z$5001,"&lt;&gt;"))))</f>
        <v/>
      </c>
      <c r="V304" s="54" t="str">
        <f>IF(OR($B304="",$A304&gt;$B$9,V$280=""),"",IF(COUNTIFS(BD!$B$3:$B$5001,V$280,BD!$A$3:$A$5001,"&gt;="&amp;$C$7,BD!$A$3:$A$5001,"&lt;="&amp;$B304,BD!$Z$3:$Z$5001,"&lt;&gt;")=0,"",SUMIFS(BD!$Z$3:$Z$5001,BD!$B$3:$B$5001,V$280,BD!$A$3:$A$5001,_xlfn.MAXIFS(BD!$A$3:$A$5001,BD!$B$3:$B$5001,V$280,BD!$A$3:$A$5001,"&gt;="&amp;$C$7,BD!$A$3:$A$5001,"&lt;="&amp;$B304,BD!$Z$3:$Z$5001,"&lt;&gt;"))))</f>
        <v/>
      </c>
    </row>
    <row r="305">
      <c r="A305" s="48">
        <v>25</v>
      </c>
      <c r="B305" s="53">
        <f>$B$36</f>
        <v>46320</v>
      </c>
      <c r="C305" s="54" t="str">
        <f>IF(OR($B305="",$A305&gt;$B$9,C$280=""),"",IF(COUNTIFS(BD!$B$3:$B$5001,C$280,BD!$A$3:$A$5001,"&gt;="&amp;$C$7,BD!$A$3:$A$5001,"&lt;="&amp;$B305,BD!$Z$3:$Z$5001,"&lt;&gt;")=0,"",SUMIFS(BD!$Z$3:$Z$5001,BD!$B$3:$B$5001,C$280,BD!$A$3:$A$5001,_xlfn.MAXIFS(BD!$A$3:$A$5001,BD!$B$3:$B$5001,C$280,BD!$A$3:$A$5001,"&gt;="&amp;$C$7,BD!$A$3:$A$5001,"&lt;="&amp;$B305,BD!$Z$3:$Z$5001,"&lt;&gt;"))))</f>
        <v/>
      </c>
      <c r="D305" s="54" t="str">
        <f>IF(OR($B305="",$A305&gt;$B$9,D$280=""),"",IF(COUNTIFS(BD!$B$3:$B$5001,D$280,BD!$A$3:$A$5001,"&gt;="&amp;$C$7,BD!$A$3:$A$5001,"&lt;="&amp;$B305,BD!$Z$3:$Z$5001,"&lt;&gt;")=0,"",SUMIFS(BD!$Z$3:$Z$5001,BD!$B$3:$B$5001,D$280,BD!$A$3:$A$5001,_xlfn.MAXIFS(BD!$A$3:$A$5001,BD!$B$3:$B$5001,D$280,BD!$A$3:$A$5001,"&gt;="&amp;$C$7,BD!$A$3:$A$5001,"&lt;="&amp;$B305,BD!$Z$3:$Z$5001,"&lt;&gt;"))))</f>
        <v/>
      </c>
      <c r="E305" s="54" t="str">
        <f>IF(OR($B305="",$A305&gt;$B$9,E$280=""),"",IF(COUNTIFS(BD!$B$3:$B$5001,E$280,BD!$A$3:$A$5001,"&gt;="&amp;$C$7,BD!$A$3:$A$5001,"&lt;="&amp;$B305,BD!$Z$3:$Z$5001,"&lt;&gt;")=0,"",SUMIFS(BD!$Z$3:$Z$5001,BD!$B$3:$B$5001,E$280,BD!$A$3:$A$5001,_xlfn.MAXIFS(BD!$A$3:$A$5001,BD!$B$3:$B$5001,E$280,BD!$A$3:$A$5001,"&gt;="&amp;$C$7,BD!$A$3:$A$5001,"&lt;="&amp;$B305,BD!$Z$3:$Z$5001,"&lt;&gt;"))))</f>
        <v/>
      </c>
      <c r="F305" s="54" t="str">
        <f>IF(OR($B305="",$A305&gt;$B$9,F$280=""),"",IF(COUNTIFS(BD!$B$3:$B$5001,F$280,BD!$A$3:$A$5001,"&gt;="&amp;$C$7,BD!$A$3:$A$5001,"&lt;="&amp;$B305,BD!$Z$3:$Z$5001,"&lt;&gt;")=0,"",SUMIFS(BD!$Z$3:$Z$5001,BD!$B$3:$B$5001,F$280,BD!$A$3:$A$5001,_xlfn.MAXIFS(BD!$A$3:$A$5001,BD!$B$3:$B$5001,F$280,BD!$A$3:$A$5001,"&gt;="&amp;$C$7,BD!$A$3:$A$5001,"&lt;="&amp;$B305,BD!$Z$3:$Z$5001,"&lt;&gt;"))))</f>
        <v/>
      </c>
      <c r="G305" s="54" t="str">
        <f>IF(OR($B305="",$A305&gt;$B$9,G$280=""),"",IF(COUNTIFS(BD!$B$3:$B$5001,G$280,BD!$A$3:$A$5001,"&gt;="&amp;$C$7,BD!$A$3:$A$5001,"&lt;="&amp;$B305,BD!$Z$3:$Z$5001,"&lt;&gt;")=0,"",SUMIFS(BD!$Z$3:$Z$5001,BD!$B$3:$B$5001,G$280,BD!$A$3:$A$5001,_xlfn.MAXIFS(BD!$A$3:$A$5001,BD!$B$3:$B$5001,G$280,BD!$A$3:$A$5001,"&gt;="&amp;$C$7,BD!$A$3:$A$5001,"&lt;="&amp;$B305,BD!$Z$3:$Z$5001,"&lt;&gt;"))))</f>
        <v/>
      </c>
      <c r="H305" s="54" t="str">
        <f>IF(OR($B305="",$A305&gt;$B$9,H$280=""),"",IF(COUNTIFS(BD!$B$3:$B$5001,H$280,BD!$A$3:$A$5001,"&gt;="&amp;$C$7,BD!$A$3:$A$5001,"&lt;="&amp;$B305,BD!$Z$3:$Z$5001,"&lt;&gt;")=0,"",SUMIFS(BD!$Z$3:$Z$5001,BD!$B$3:$B$5001,H$280,BD!$A$3:$A$5001,_xlfn.MAXIFS(BD!$A$3:$A$5001,BD!$B$3:$B$5001,H$280,BD!$A$3:$A$5001,"&gt;="&amp;$C$7,BD!$A$3:$A$5001,"&lt;="&amp;$B305,BD!$Z$3:$Z$5001,"&lt;&gt;"))))</f>
        <v/>
      </c>
      <c r="I305" s="54" t="str">
        <f>IF(OR($B305="",$A305&gt;$B$9,I$280=""),"",IF(COUNTIFS(BD!$B$3:$B$5001,I$280,BD!$A$3:$A$5001,"&gt;="&amp;$C$7,BD!$A$3:$A$5001,"&lt;="&amp;$B305,BD!$Z$3:$Z$5001,"&lt;&gt;")=0,"",SUMIFS(BD!$Z$3:$Z$5001,BD!$B$3:$B$5001,I$280,BD!$A$3:$A$5001,_xlfn.MAXIFS(BD!$A$3:$A$5001,BD!$B$3:$B$5001,I$280,BD!$A$3:$A$5001,"&gt;="&amp;$C$7,BD!$A$3:$A$5001,"&lt;="&amp;$B305,BD!$Z$3:$Z$5001,"&lt;&gt;"))))</f>
        <v/>
      </c>
      <c r="J305" s="54" t="str">
        <f>IF(OR($B305="",$A305&gt;$B$9,J$280=""),"",IF(COUNTIFS(BD!$B$3:$B$5001,J$280,BD!$A$3:$A$5001,"&gt;="&amp;$C$7,BD!$A$3:$A$5001,"&lt;="&amp;$B305,BD!$Z$3:$Z$5001,"&lt;&gt;")=0,"",SUMIFS(BD!$Z$3:$Z$5001,BD!$B$3:$B$5001,J$280,BD!$A$3:$A$5001,_xlfn.MAXIFS(BD!$A$3:$A$5001,BD!$B$3:$B$5001,J$280,BD!$A$3:$A$5001,"&gt;="&amp;$C$7,BD!$A$3:$A$5001,"&lt;="&amp;$B305,BD!$Z$3:$Z$5001,"&lt;&gt;"))))</f>
        <v/>
      </c>
      <c r="K305" s="54" t="str">
        <f>IF(OR($B305="",$A305&gt;$B$9,K$280=""),"",IF(COUNTIFS(BD!$B$3:$B$5001,K$280,BD!$A$3:$A$5001,"&gt;="&amp;$C$7,BD!$A$3:$A$5001,"&lt;="&amp;$B305,BD!$Z$3:$Z$5001,"&lt;&gt;")=0,"",SUMIFS(BD!$Z$3:$Z$5001,BD!$B$3:$B$5001,K$280,BD!$A$3:$A$5001,_xlfn.MAXIFS(BD!$A$3:$A$5001,BD!$B$3:$B$5001,K$280,BD!$A$3:$A$5001,"&gt;="&amp;$C$7,BD!$A$3:$A$5001,"&lt;="&amp;$B305,BD!$Z$3:$Z$5001,"&lt;&gt;"))))</f>
        <v/>
      </c>
      <c r="L305" s="54" t="str">
        <f>IF(OR($B305="",$A305&gt;$B$9,L$280=""),"",IF(COUNTIFS(BD!$B$3:$B$5001,L$280,BD!$A$3:$A$5001,"&gt;="&amp;$C$7,BD!$A$3:$A$5001,"&lt;="&amp;$B305,BD!$Z$3:$Z$5001,"&lt;&gt;")=0,"",SUMIFS(BD!$Z$3:$Z$5001,BD!$B$3:$B$5001,L$280,BD!$A$3:$A$5001,_xlfn.MAXIFS(BD!$A$3:$A$5001,BD!$B$3:$B$5001,L$280,BD!$A$3:$A$5001,"&gt;="&amp;$C$7,BD!$A$3:$A$5001,"&lt;="&amp;$B305,BD!$Z$3:$Z$5001,"&lt;&gt;"))))</f>
        <v/>
      </c>
      <c r="M305" s="54" t="str">
        <f>IF(OR($B305="",$A305&gt;$B$9,M$280=""),"",IF(COUNTIFS(BD!$B$3:$B$5001,M$280,BD!$A$3:$A$5001,"&gt;="&amp;$C$7,BD!$A$3:$A$5001,"&lt;="&amp;$B305,BD!$Z$3:$Z$5001,"&lt;&gt;")=0,"",SUMIFS(BD!$Z$3:$Z$5001,BD!$B$3:$B$5001,M$280,BD!$A$3:$A$5001,_xlfn.MAXIFS(BD!$A$3:$A$5001,BD!$B$3:$B$5001,M$280,BD!$A$3:$A$5001,"&gt;="&amp;$C$7,BD!$A$3:$A$5001,"&lt;="&amp;$B305,BD!$Z$3:$Z$5001,"&lt;&gt;"))))</f>
        <v/>
      </c>
      <c r="N305" s="54" t="str">
        <f>IF(OR($B305="",$A305&gt;$B$9,N$280=""),"",IF(COUNTIFS(BD!$B$3:$B$5001,N$280,BD!$A$3:$A$5001,"&gt;="&amp;$C$7,BD!$A$3:$A$5001,"&lt;="&amp;$B305,BD!$Z$3:$Z$5001,"&lt;&gt;")=0,"",SUMIFS(BD!$Z$3:$Z$5001,BD!$B$3:$B$5001,N$280,BD!$A$3:$A$5001,_xlfn.MAXIFS(BD!$A$3:$A$5001,BD!$B$3:$B$5001,N$280,BD!$A$3:$A$5001,"&gt;="&amp;$C$7,BD!$A$3:$A$5001,"&lt;="&amp;$B305,BD!$Z$3:$Z$5001,"&lt;&gt;"))))</f>
        <v/>
      </c>
      <c r="O305" s="54" t="str">
        <f>IF(OR($B305="",$A305&gt;$B$9,O$280=""),"",IF(COUNTIFS(BD!$B$3:$B$5001,O$280,BD!$A$3:$A$5001,"&gt;="&amp;$C$7,BD!$A$3:$A$5001,"&lt;="&amp;$B305,BD!$Z$3:$Z$5001,"&lt;&gt;")=0,"",SUMIFS(BD!$Z$3:$Z$5001,BD!$B$3:$B$5001,O$280,BD!$A$3:$A$5001,_xlfn.MAXIFS(BD!$A$3:$A$5001,BD!$B$3:$B$5001,O$280,BD!$A$3:$A$5001,"&gt;="&amp;$C$7,BD!$A$3:$A$5001,"&lt;="&amp;$B305,BD!$Z$3:$Z$5001,"&lt;&gt;"))))</f>
        <v/>
      </c>
      <c r="P305" s="54" t="str">
        <f>IF(OR($B305="",$A305&gt;$B$9,P$280=""),"",IF(COUNTIFS(BD!$B$3:$B$5001,P$280,BD!$A$3:$A$5001,"&gt;="&amp;$C$7,BD!$A$3:$A$5001,"&lt;="&amp;$B305,BD!$Z$3:$Z$5001,"&lt;&gt;")=0,"",SUMIFS(BD!$Z$3:$Z$5001,BD!$B$3:$B$5001,P$280,BD!$A$3:$A$5001,_xlfn.MAXIFS(BD!$A$3:$A$5001,BD!$B$3:$B$5001,P$280,BD!$A$3:$A$5001,"&gt;="&amp;$C$7,BD!$A$3:$A$5001,"&lt;="&amp;$B305,BD!$Z$3:$Z$5001,"&lt;&gt;"))))</f>
        <v/>
      </c>
      <c r="Q305" s="54" t="str">
        <f>IF(OR($B305="",$A305&gt;$B$9,Q$280=""),"",IF(COUNTIFS(BD!$B$3:$B$5001,Q$280,BD!$A$3:$A$5001,"&gt;="&amp;$C$7,BD!$A$3:$A$5001,"&lt;="&amp;$B305,BD!$Z$3:$Z$5001,"&lt;&gt;")=0,"",SUMIFS(BD!$Z$3:$Z$5001,BD!$B$3:$B$5001,Q$280,BD!$A$3:$A$5001,_xlfn.MAXIFS(BD!$A$3:$A$5001,BD!$B$3:$B$5001,Q$280,BD!$A$3:$A$5001,"&gt;="&amp;$C$7,BD!$A$3:$A$5001,"&lt;="&amp;$B305,BD!$Z$3:$Z$5001,"&lt;&gt;"))))</f>
        <v/>
      </c>
      <c r="R305" s="54" t="str">
        <f>IF(OR($B305="",$A305&gt;$B$9,R$280=""),"",IF(COUNTIFS(BD!$B$3:$B$5001,R$280,BD!$A$3:$A$5001,"&gt;="&amp;$C$7,BD!$A$3:$A$5001,"&lt;="&amp;$B305,BD!$Z$3:$Z$5001,"&lt;&gt;")=0,"",SUMIFS(BD!$Z$3:$Z$5001,BD!$B$3:$B$5001,R$280,BD!$A$3:$A$5001,_xlfn.MAXIFS(BD!$A$3:$A$5001,BD!$B$3:$B$5001,R$280,BD!$A$3:$A$5001,"&gt;="&amp;$C$7,BD!$A$3:$A$5001,"&lt;="&amp;$B305,BD!$Z$3:$Z$5001,"&lt;&gt;"))))</f>
        <v/>
      </c>
      <c r="S305" s="54" t="str">
        <f>IF(OR($B305="",$A305&gt;$B$9,S$280=""),"",IF(COUNTIFS(BD!$B$3:$B$5001,S$280,BD!$A$3:$A$5001,"&gt;="&amp;$C$7,BD!$A$3:$A$5001,"&lt;="&amp;$B305,BD!$Z$3:$Z$5001,"&lt;&gt;")=0,"",SUMIFS(BD!$Z$3:$Z$5001,BD!$B$3:$B$5001,S$280,BD!$A$3:$A$5001,_xlfn.MAXIFS(BD!$A$3:$A$5001,BD!$B$3:$B$5001,S$280,BD!$A$3:$A$5001,"&gt;="&amp;$C$7,BD!$A$3:$A$5001,"&lt;="&amp;$B305,BD!$Z$3:$Z$5001,"&lt;&gt;"))))</f>
        <v/>
      </c>
      <c r="T305" s="54" t="str">
        <f>IF(OR($B305="",$A305&gt;$B$9,T$280=""),"",IF(COUNTIFS(BD!$B$3:$B$5001,T$280,BD!$A$3:$A$5001,"&gt;="&amp;$C$7,BD!$A$3:$A$5001,"&lt;="&amp;$B305,BD!$Z$3:$Z$5001,"&lt;&gt;")=0,"",SUMIFS(BD!$Z$3:$Z$5001,BD!$B$3:$B$5001,T$280,BD!$A$3:$A$5001,_xlfn.MAXIFS(BD!$A$3:$A$5001,BD!$B$3:$B$5001,T$280,BD!$A$3:$A$5001,"&gt;="&amp;$C$7,BD!$A$3:$A$5001,"&lt;="&amp;$B305,BD!$Z$3:$Z$5001,"&lt;&gt;"))))</f>
        <v/>
      </c>
      <c r="U305" s="54" t="str">
        <f>IF(OR($B305="",$A305&gt;$B$9,U$280=""),"",IF(COUNTIFS(BD!$B$3:$B$5001,U$280,BD!$A$3:$A$5001,"&gt;="&amp;$C$7,BD!$A$3:$A$5001,"&lt;="&amp;$B305,BD!$Z$3:$Z$5001,"&lt;&gt;")=0,"",SUMIFS(BD!$Z$3:$Z$5001,BD!$B$3:$B$5001,U$280,BD!$A$3:$A$5001,_xlfn.MAXIFS(BD!$A$3:$A$5001,BD!$B$3:$B$5001,U$280,BD!$A$3:$A$5001,"&gt;="&amp;$C$7,BD!$A$3:$A$5001,"&lt;="&amp;$B305,BD!$Z$3:$Z$5001,"&lt;&gt;"))))</f>
        <v/>
      </c>
      <c r="V305" s="54" t="str">
        <f>IF(OR($B305="",$A305&gt;$B$9,V$280=""),"",IF(COUNTIFS(BD!$B$3:$B$5001,V$280,BD!$A$3:$A$5001,"&gt;="&amp;$C$7,BD!$A$3:$A$5001,"&lt;="&amp;$B305,BD!$Z$3:$Z$5001,"&lt;&gt;")=0,"",SUMIFS(BD!$Z$3:$Z$5001,BD!$B$3:$B$5001,V$280,BD!$A$3:$A$5001,_xlfn.MAXIFS(BD!$A$3:$A$5001,BD!$B$3:$B$5001,V$280,BD!$A$3:$A$5001,"&gt;="&amp;$C$7,BD!$A$3:$A$5001,"&lt;="&amp;$B305,BD!$Z$3:$Z$5001,"&lt;&gt;"))))</f>
        <v/>
      </c>
    </row>
    <row r="306">
      <c r="A306" s="48">
        <v>26</v>
      </c>
      <c r="B306" s="53">
        <f>$B$37</f>
        <v>46321</v>
      </c>
      <c r="C306" s="54" t="str">
        <f>IF(OR($B306="",$A306&gt;$B$9,C$280=""),"",IF(COUNTIFS(BD!$B$3:$B$5001,C$280,BD!$A$3:$A$5001,"&gt;="&amp;$C$7,BD!$A$3:$A$5001,"&lt;="&amp;$B306,BD!$Z$3:$Z$5001,"&lt;&gt;")=0,"",SUMIFS(BD!$Z$3:$Z$5001,BD!$B$3:$B$5001,C$280,BD!$A$3:$A$5001,_xlfn.MAXIFS(BD!$A$3:$A$5001,BD!$B$3:$B$5001,C$280,BD!$A$3:$A$5001,"&gt;="&amp;$C$7,BD!$A$3:$A$5001,"&lt;="&amp;$B306,BD!$Z$3:$Z$5001,"&lt;&gt;"))))</f>
        <v/>
      </c>
      <c r="D306" s="54" t="str">
        <f>IF(OR($B306="",$A306&gt;$B$9,D$280=""),"",IF(COUNTIFS(BD!$B$3:$B$5001,D$280,BD!$A$3:$A$5001,"&gt;="&amp;$C$7,BD!$A$3:$A$5001,"&lt;="&amp;$B306,BD!$Z$3:$Z$5001,"&lt;&gt;")=0,"",SUMIFS(BD!$Z$3:$Z$5001,BD!$B$3:$B$5001,D$280,BD!$A$3:$A$5001,_xlfn.MAXIFS(BD!$A$3:$A$5001,BD!$B$3:$B$5001,D$280,BD!$A$3:$A$5001,"&gt;="&amp;$C$7,BD!$A$3:$A$5001,"&lt;="&amp;$B306,BD!$Z$3:$Z$5001,"&lt;&gt;"))))</f>
        <v/>
      </c>
      <c r="E306" s="54" t="str">
        <f>IF(OR($B306="",$A306&gt;$B$9,E$280=""),"",IF(COUNTIFS(BD!$B$3:$B$5001,E$280,BD!$A$3:$A$5001,"&gt;="&amp;$C$7,BD!$A$3:$A$5001,"&lt;="&amp;$B306,BD!$Z$3:$Z$5001,"&lt;&gt;")=0,"",SUMIFS(BD!$Z$3:$Z$5001,BD!$B$3:$B$5001,E$280,BD!$A$3:$A$5001,_xlfn.MAXIFS(BD!$A$3:$A$5001,BD!$B$3:$B$5001,E$280,BD!$A$3:$A$5001,"&gt;="&amp;$C$7,BD!$A$3:$A$5001,"&lt;="&amp;$B306,BD!$Z$3:$Z$5001,"&lt;&gt;"))))</f>
        <v/>
      </c>
      <c r="F306" s="54" t="str">
        <f>IF(OR($B306="",$A306&gt;$B$9,F$280=""),"",IF(COUNTIFS(BD!$B$3:$B$5001,F$280,BD!$A$3:$A$5001,"&gt;="&amp;$C$7,BD!$A$3:$A$5001,"&lt;="&amp;$B306,BD!$Z$3:$Z$5001,"&lt;&gt;")=0,"",SUMIFS(BD!$Z$3:$Z$5001,BD!$B$3:$B$5001,F$280,BD!$A$3:$A$5001,_xlfn.MAXIFS(BD!$A$3:$A$5001,BD!$B$3:$B$5001,F$280,BD!$A$3:$A$5001,"&gt;="&amp;$C$7,BD!$A$3:$A$5001,"&lt;="&amp;$B306,BD!$Z$3:$Z$5001,"&lt;&gt;"))))</f>
        <v/>
      </c>
      <c r="G306" s="54" t="str">
        <f>IF(OR($B306="",$A306&gt;$B$9,G$280=""),"",IF(COUNTIFS(BD!$B$3:$B$5001,G$280,BD!$A$3:$A$5001,"&gt;="&amp;$C$7,BD!$A$3:$A$5001,"&lt;="&amp;$B306,BD!$Z$3:$Z$5001,"&lt;&gt;")=0,"",SUMIFS(BD!$Z$3:$Z$5001,BD!$B$3:$B$5001,G$280,BD!$A$3:$A$5001,_xlfn.MAXIFS(BD!$A$3:$A$5001,BD!$B$3:$B$5001,G$280,BD!$A$3:$A$5001,"&gt;="&amp;$C$7,BD!$A$3:$A$5001,"&lt;="&amp;$B306,BD!$Z$3:$Z$5001,"&lt;&gt;"))))</f>
        <v/>
      </c>
      <c r="H306" s="54" t="str">
        <f>IF(OR($B306="",$A306&gt;$B$9,H$280=""),"",IF(COUNTIFS(BD!$B$3:$B$5001,H$280,BD!$A$3:$A$5001,"&gt;="&amp;$C$7,BD!$A$3:$A$5001,"&lt;="&amp;$B306,BD!$Z$3:$Z$5001,"&lt;&gt;")=0,"",SUMIFS(BD!$Z$3:$Z$5001,BD!$B$3:$B$5001,H$280,BD!$A$3:$A$5001,_xlfn.MAXIFS(BD!$A$3:$A$5001,BD!$B$3:$B$5001,H$280,BD!$A$3:$A$5001,"&gt;="&amp;$C$7,BD!$A$3:$A$5001,"&lt;="&amp;$B306,BD!$Z$3:$Z$5001,"&lt;&gt;"))))</f>
        <v/>
      </c>
      <c r="I306" s="54" t="str">
        <f>IF(OR($B306="",$A306&gt;$B$9,I$280=""),"",IF(COUNTIFS(BD!$B$3:$B$5001,I$280,BD!$A$3:$A$5001,"&gt;="&amp;$C$7,BD!$A$3:$A$5001,"&lt;="&amp;$B306,BD!$Z$3:$Z$5001,"&lt;&gt;")=0,"",SUMIFS(BD!$Z$3:$Z$5001,BD!$B$3:$B$5001,I$280,BD!$A$3:$A$5001,_xlfn.MAXIFS(BD!$A$3:$A$5001,BD!$B$3:$B$5001,I$280,BD!$A$3:$A$5001,"&gt;="&amp;$C$7,BD!$A$3:$A$5001,"&lt;="&amp;$B306,BD!$Z$3:$Z$5001,"&lt;&gt;"))))</f>
        <v/>
      </c>
      <c r="J306" s="54" t="str">
        <f>IF(OR($B306="",$A306&gt;$B$9,J$280=""),"",IF(COUNTIFS(BD!$B$3:$B$5001,J$280,BD!$A$3:$A$5001,"&gt;="&amp;$C$7,BD!$A$3:$A$5001,"&lt;="&amp;$B306,BD!$Z$3:$Z$5001,"&lt;&gt;")=0,"",SUMIFS(BD!$Z$3:$Z$5001,BD!$B$3:$B$5001,J$280,BD!$A$3:$A$5001,_xlfn.MAXIFS(BD!$A$3:$A$5001,BD!$B$3:$B$5001,J$280,BD!$A$3:$A$5001,"&gt;="&amp;$C$7,BD!$A$3:$A$5001,"&lt;="&amp;$B306,BD!$Z$3:$Z$5001,"&lt;&gt;"))))</f>
        <v/>
      </c>
      <c r="K306" s="54" t="str">
        <f>IF(OR($B306="",$A306&gt;$B$9,K$280=""),"",IF(COUNTIFS(BD!$B$3:$B$5001,K$280,BD!$A$3:$A$5001,"&gt;="&amp;$C$7,BD!$A$3:$A$5001,"&lt;="&amp;$B306,BD!$Z$3:$Z$5001,"&lt;&gt;")=0,"",SUMIFS(BD!$Z$3:$Z$5001,BD!$B$3:$B$5001,K$280,BD!$A$3:$A$5001,_xlfn.MAXIFS(BD!$A$3:$A$5001,BD!$B$3:$B$5001,K$280,BD!$A$3:$A$5001,"&gt;="&amp;$C$7,BD!$A$3:$A$5001,"&lt;="&amp;$B306,BD!$Z$3:$Z$5001,"&lt;&gt;"))))</f>
        <v/>
      </c>
      <c r="L306" s="54" t="str">
        <f>IF(OR($B306="",$A306&gt;$B$9,L$280=""),"",IF(COUNTIFS(BD!$B$3:$B$5001,L$280,BD!$A$3:$A$5001,"&gt;="&amp;$C$7,BD!$A$3:$A$5001,"&lt;="&amp;$B306,BD!$Z$3:$Z$5001,"&lt;&gt;")=0,"",SUMIFS(BD!$Z$3:$Z$5001,BD!$B$3:$B$5001,L$280,BD!$A$3:$A$5001,_xlfn.MAXIFS(BD!$A$3:$A$5001,BD!$B$3:$B$5001,L$280,BD!$A$3:$A$5001,"&gt;="&amp;$C$7,BD!$A$3:$A$5001,"&lt;="&amp;$B306,BD!$Z$3:$Z$5001,"&lt;&gt;"))))</f>
        <v/>
      </c>
      <c r="M306" s="54" t="str">
        <f>IF(OR($B306="",$A306&gt;$B$9,M$280=""),"",IF(COUNTIFS(BD!$B$3:$B$5001,M$280,BD!$A$3:$A$5001,"&gt;="&amp;$C$7,BD!$A$3:$A$5001,"&lt;="&amp;$B306,BD!$Z$3:$Z$5001,"&lt;&gt;")=0,"",SUMIFS(BD!$Z$3:$Z$5001,BD!$B$3:$B$5001,M$280,BD!$A$3:$A$5001,_xlfn.MAXIFS(BD!$A$3:$A$5001,BD!$B$3:$B$5001,M$280,BD!$A$3:$A$5001,"&gt;="&amp;$C$7,BD!$A$3:$A$5001,"&lt;="&amp;$B306,BD!$Z$3:$Z$5001,"&lt;&gt;"))))</f>
        <v/>
      </c>
      <c r="N306" s="54" t="str">
        <f>IF(OR($B306="",$A306&gt;$B$9,N$280=""),"",IF(COUNTIFS(BD!$B$3:$B$5001,N$280,BD!$A$3:$A$5001,"&gt;="&amp;$C$7,BD!$A$3:$A$5001,"&lt;="&amp;$B306,BD!$Z$3:$Z$5001,"&lt;&gt;")=0,"",SUMIFS(BD!$Z$3:$Z$5001,BD!$B$3:$B$5001,N$280,BD!$A$3:$A$5001,_xlfn.MAXIFS(BD!$A$3:$A$5001,BD!$B$3:$B$5001,N$280,BD!$A$3:$A$5001,"&gt;="&amp;$C$7,BD!$A$3:$A$5001,"&lt;="&amp;$B306,BD!$Z$3:$Z$5001,"&lt;&gt;"))))</f>
        <v/>
      </c>
      <c r="O306" s="54" t="str">
        <f>IF(OR($B306="",$A306&gt;$B$9,O$280=""),"",IF(COUNTIFS(BD!$B$3:$B$5001,O$280,BD!$A$3:$A$5001,"&gt;="&amp;$C$7,BD!$A$3:$A$5001,"&lt;="&amp;$B306,BD!$Z$3:$Z$5001,"&lt;&gt;")=0,"",SUMIFS(BD!$Z$3:$Z$5001,BD!$B$3:$B$5001,O$280,BD!$A$3:$A$5001,_xlfn.MAXIFS(BD!$A$3:$A$5001,BD!$B$3:$B$5001,O$280,BD!$A$3:$A$5001,"&gt;="&amp;$C$7,BD!$A$3:$A$5001,"&lt;="&amp;$B306,BD!$Z$3:$Z$5001,"&lt;&gt;"))))</f>
        <v/>
      </c>
      <c r="P306" s="54" t="str">
        <f>IF(OR($B306="",$A306&gt;$B$9,P$280=""),"",IF(COUNTIFS(BD!$B$3:$B$5001,P$280,BD!$A$3:$A$5001,"&gt;="&amp;$C$7,BD!$A$3:$A$5001,"&lt;="&amp;$B306,BD!$Z$3:$Z$5001,"&lt;&gt;")=0,"",SUMIFS(BD!$Z$3:$Z$5001,BD!$B$3:$B$5001,P$280,BD!$A$3:$A$5001,_xlfn.MAXIFS(BD!$A$3:$A$5001,BD!$B$3:$B$5001,P$280,BD!$A$3:$A$5001,"&gt;="&amp;$C$7,BD!$A$3:$A$5001,"&lt;="&amp;$B306,BD!$Z$3:$Z$5001,"&lt;&gt;"))))</f>
        <v/>
      </c>
      <c r="Q306" s="54" t="str">
        <f>IF(OR($B306="",$A306&gt;$B$9,Q$280=""),"",IF(COUNTIFS(BD!$B$3:$B$5001,Q$280,BD!$A$3:$A$5001,"&gt;="&amp;$C$7,BD!$A$3:$A$5001,"&lt;="&amp;$B306,BD!$Z$3:$Z$5001,"&lt;&gt;")=0,"",SUMIFS(BD!$Z$3:$Z$5001,BD!$B$3:$B$5001,Q$280,BD!$A$3:$A$5001,_xlfn.MAXIFS(BD!$A$3:$A$5001,BD!$B$3:$B$5001,Q$280,BD!$A$3:$A$5001,"&gt;="&amp;$C$7,BD!$A$3:$A$5001,"&lt;="&amp;$B306,BD!$Z$3:$Z$5001,"&lt;&gt;"))))</f>
        <v/>
      </c>
      <c r="R306" s="54" t="str">
        <f>IF(OR($B306="",$A306&gt;$B$9,R$280=""),"",IF(COUNTIFS(BD!$B$3:$B$5001,R$280,BD!$A$3:$A$5001,"&gt;="&amp;$C$7,BD!$A$3:$A$5001,"&lt;="&amp;$B306,BD!$Z$3:$Z$5001,"&lt;&gt;")=0,"",SUMIFS(BD!$Z$3:$Z$5001,BD!$B$3:$B$5001,R$280,BD!$A$3:$A$5001,_xlfn.MAXIFS(BD!$A$3:$A$5001,BD!$B$3:$B$5001,R$280,BD!$A$3:$A$5001,"&gt;="&amp;$C$7,BD!$A$3:$A$5001,"&lt;="&amp;$B306,BD!$Z$3:$Z$5001,"&lt;&gt;"))))</f>
        <v/>
      </c>
      <c r="S306" s="54" t="str">
        <f>IF(OR($B306="",$A306&gt;$B$9,S$280=""),"",IF(COUNTIFS(BD!$B$3:$B$5001,S$280,BD!$A$3:$A$5001,"&gt;="&amp;$C$7,BD!$A$3:$A$5001,"&lt;="&amp;$B306,BD!$Z$3:$Z$5001,"&lt;&gt;")=0,"",SUMIFS(BD!$Z$3:$Z$5001,BD!$B$3:$B$5001,S$280,BD!$A$3:$A$5001,_xlfn.MAXIFS(BD!$A$3:$A$5001,BD!$B$3:$B$5001,S$280,BD!$A$3:$A$5001,"&gt;="&amp;$C$7,BD!$A$3:$A$5001,"&lt;="&amp;$B306,BD!$Z$3:$Z$5001,"&lt;&gt;"))))</f>
        <v/>
      </c>
      <c r="T306" s="54" t="str">
        <f>IF(OR($B306="",$A306&gt;$B$9,T$280=""),"",IF(COUNTIFS(BD!$B$3:$B$5001,T$280,BD!$A$3:$A$5001,"&gt;="&amp;$C$7,BD!$A$3:$A$5001,"&lt;="&amp;$B306,BD!$Z$3:$Z$5001,"&lt;&gt;")=0,"",SUMIFS(BD!$Z$3:$Z$5001,BD!$B$3:$B$5001,T$280,BD!$A$3:$A$5001,_xlfn.MAXIFS(BD!$A$3:$A$5001,BD!$B$3:$B$5001,T$280,BD!$A$3:$A$5001,"&gt;="&amp;$C$7,BD!$A$3:$A$5001,"&lt;="&amp;$B306,BD!$Z$3:$Z$5001,"&lt;&gt;"))))</f>
        <v/>
      </c>
      <c r="U306" s="54" t="str">
        <f>IF(OR($B306="",$A306&gt;$B$9,U$280=""),"",IF(COUNTIFS(BD!$B$3:$B$5001,U$280,BD!$A$3:$A$5001,"&gt;="&amp;$C$7,BD!$A$3:$A$5001,"&lt;="&amp;$B306,BD!$Z$3:$Z$5001,"&lt;&gt;")=0,"",SUMIFS(BD!$Z$3:$Z$5001,BD!$B$3:$B$5001,U$280,BD!$A$3:$A$5001,_xlfn.MAXIFS(BD!$A$3:$A$5001,BD!$B$3:$B$5001,U$280,BD!$A$3:$A$5001,"&gt;="&amp;$C$7,BD!$A$3:$A$5001,"&lt;="&amp;$B306,BD!$Z$3:$Z$5001,"&lt;&gt;"))))</f>
        <v/>
      </c>
      <c r="V306" s="54" t="str">
        <f>IF(OR($B306="",$A306&gt;$B$9,V$280=""),"",IF(COUNTIFS(BD!$B$3:$B$5001,V$280,BD!$A$3:$A$5001,"&gt;="&amp;$C$7,BD!$A$3:$A$5001,"&lt;="&amp;$B306,BD!$Z$3:$Z$5001,"&lt;&gt;")=0,"",SUMIFS(BD!$Z$3:$Z$5001,BD!$B$3:$B$5001,V$280,BD!$A$3:$A$5001,_xlfn.MAXIFS(BD!$A$3:$A$5001,BD!$B$3:$B$5001,V$280,BD!$A$3:$A$5001,"&gt;="&amp;$C$7,BD!$A$3:$A$5001,"&lt;="&amp;$B306,BD!$Z$3:$Z$5001,"&lt;&gt;"))))</f>
        <v/>
      </c>
    </row>
    <row r="307">
      <c r="A307" s="48">
        <v>27</v>
      </c>
      <c r="B307" s="53">
        <f>$B$38</f>
        <v>46322</v>
      </c>
      <c r="C307" s="54" t="str">
        <f>IF(OR($B307="",$A307&gt;$B$9,C$280=""),"",IF(COUNTIFS(BD!$B$3:$B$5001,C$280,BD!$A$3:$A$5001,"&gt;="&amp;$C$7,BD!$A$3:$A$5001,"&lt;="&amp;$B307,BD!$Z$3:$Z$5001,"&lt;&gt;")=0,"",SUMIFS(BD!$Z$3:$Z$5001,BD!$B$3:$B$5001,C$280,BD!$A$3:$A$5001,_xlfn.MAXIFS(BD!$A$3:$A$5001,BD!$B$3:$B$5001,C$280,BD!$A$3:$A$5001,"&gt;="&amp;$C$7,BD!$A$3:$A$5001,"&lt;="&amp;$B307,BD!$Z$3:$Z$5001,"&lt;&gt;"))))</f>
        <v/>
      </c>
      <c r="D307" s="54" t="str">
        <f>IF(OR($B307="",$A307&gt;$B$9,D$280=""),"",IF(COUNTIFS(BD!$B$3:$B$5001,D$280,BD!$A$3:$A$5001,"&gt;="&amp;$C$7,BD!$A$3:$A$5001,"&lt;="&amp;$B307,BD!$Z$3:$Z$5001,"&lt;&gt;")=0,"",SUMIFS(BD!$Z$3:$Z$5001,BD!$B$3:$B$5001,D$280,BD!$A$3:$A$5001,_xlfn.MAXIFS(BD!$A$3:$A$5001,BD!$B$3:$B$5001,D$280,BD!$A$3:$A$5001,"&gt;="&amp;$C$7,BD!$A$3:$A$5001,"&lt;="&amp;$B307,BD!$Z$3:$Z$5001,"&lt;&gt;"))))</f>
        <v/>
      </c>
      <c r="E307" s="54" t="str">
        <f>IF(OR($B307="",$A307&gt;$B$9,E$280=""),"",IF(COUNTIFS(BD!$B$3:$B$5001,E$280,BD!$A$3:$A$5001,"&gt;="&amp;$C$7,BD!$A$3:$A$5001,"&lt;="&amp;$B307,BD!$Z$3:$Z$5001,"&lt;&gt;")=0,"",SUMIFS(BD!$Z$3:$Z$5001,BD!$B$3:$B$5001,E$280,BD!$A$3:$A$5001,_xlfn.MAXIFS(BD!$A$3:$A$5001,BD!$B$3:$B$5001,E$280,BD!$A$3:$A$5001,"&gt;="&amp;$C$7,BD!$A$3:$A$5001,"&lt;="&amp;$B307,BD!$Z$3:$Z$5001,"&lt;&gt;"))))</f>
        <v/>
      </c>
      <c r="F307" s="54" t="str">
        <f>IF(OR($B307="",$A307&gt;$B$9,F$280=""),"",IF(COUNTIFS(BD!$B$3:$B$5001,F$280,BD!$A$3:$A$5001,"&gt;="&amp;$C$7,BD!$A$3:$A$5001,"&lt;="&amp;$B307,BD!$Z$3:$Z$5001,"&lt;&gt;")=0,"",SUMIFS(BD!$Z$3:$Z$5001,BD!$B$3:$B$5001,F$280,BD!$A$3:$A$5001,_xlfn.MAXIFS(BD!$A$3:$A$5001,BD!$B$3:$B$5001,F$280,BD!$A$3:$A$5001,"&gt;="&amp;$C$7,BD!$A$3:$A$5001,"&lt;="&amp;$B307,BD!$Z$3:$Z$5001,"&lt;&gt;"))))</f>
        <v/>
      </c>
      <c r="G307" s="54" t="str">
        <f>IF(OR($B307="",$A307&gt;$B$9,G$280=""),"",IF(COUNTIFS(BD!$B$3:$B$5001,G$280,BD!$A$3:$A$5001,"&gt;="&amp;$C$7,BD!$A$3:$A$5001,"&lt;="&amp;$B307,BD!$Z$3:$Z$5001,"&lt;&gt;")=0,"",SUMIFS(BD!$Z$3:$Z$5001,BD!$B$3:$B$5001,G$280,BD!$A$3:$A$5001,_xlfn.MAXIFS(BD!$A$3:$A$5001,BD!$B$3:$B$5001,G$280,BD!$A$3:$A$5001,"&gt;="&amp;$C$7,BD!$A$3:$A$5001,"&lt;="&amp;$B307,BD!$Z$3:$Z$5001,"&lt;&gt;"))))</f>
        <v/>
      </c>
      <c r="H307" s="54" t="str">
        <f>IF(OR($B307="",$A307&gt;$B$9,H$280=""),"",IF(COUNTIFS(BD!$B$3:$B$5001,H$280,BD!$A$3:$A$5001,"&gt;="&amp;$C$7,BD!$A$3:$A$5001,"&lt;="&amp;$B307,BD!$Z$3:$Z$5001,"&lt;&gt;")=0,"",SUMIFS(BD!$Z$3:$Z$5001,BD!$B$3:$B$5001,H$280,BD!$A$3:$A$5001,_xlfn.MAXIFS(BD!$A$3:$A$5001,BD!$B$3:$B$5001,H$280,BD!$A$3:$A$5001,"&gt;="&amp;$C$7,BD!$A$3:$A$5001,"&lt;="&amp;$B307,BD!$Z$3:$Z$5001,"&lt;&gt;"))))</f>
        <v/>
      </c>
      <c r="I307" s="54" t="str">
        <f>IF(OR($B307="",$A307&gt;$B$9,I$280=""),"",IF(COUNTIFS(BD!$B$3:$B$5001,I$280,BD!$A$3:$A$5001,"&gt;="&amp;$C$7,BD!$A$3:$A$5001,"&lt;="&amp;$B307,BD!$Z$3:$Z$5001,"&lt;&gt;")=0,"",SUMIFS(BD!$Z$3:$Z$5001,BD!$B$3:$B$5001,I$280,BD!$A$3:$A$5001,_xlfn.MAXIFS(BD!$A$3:$A$5001,BD!$B$3:$B$5001,I$280,BD!$A$3:$A$5001,"&gt;="&amp;$C$7,BD!$A$3:$A$5001,"&lt;="&amp;$B307,BD!$Z$3:$Z$5001,"&lt;&gt;"))))</f>
        <v/>
      </c>
      <c r="J307" s="54" t="str">
        <f>IF(OR($B307="",$A307&gt;$B$9,J$280=""),"",IF(COUNTIFS(BD!$B$3:$B$5001,J$280,BD!$A$3:$A$5001,"&gt;="&amp;$C$7,BD!$A$3:$A$5001,"&lt;="&amp;$B307,BD!$Z$3:$Z$5001,"&lt;&gt;")=0,"",SUMIFS(BD!$Z$3:$Z$5001,BD!$B$3:$B$5001,J$280,BD!$A$3:$A$5001,_xlfn.MAXIFS(BD!$A$3:$A$5001,BD!$B$3:$B$5001,J$280,BD!$A$3:$A$5001,"&gt;="&amp;$C$7,BD!$A$3:$A$5001,"&lt;="&amp;$B307,BD!$Z$3:$Z$5001,"&lt;&gt;"))))</f>
        <v/>
      </c>
      <c r="K307" s="54" t="str">
        <f>IF(OR($B307="",$A307&gt;$B$9,K$280=""),"",IF(COUNTIFS(BD!$B$3:$B$5001,K$280,BD!$A$3:$A$5001,"&gt;="&amp;$C$7,BD!$A$3:$A$5001,"&lt;="&amp;$B307,BD!$Z$3:$Z$5001,"&lt;&gt;")=0,"",SUMIFS(BD!$Z$3:$Z$5001,BD!$B$3:$B$5001,K$280,BD!$A$3:$A$5001,_xlfn.MAXIFS(BD!$A$3:$A$5001,BD!$B$3:$B$5001,K$280,BD!$A$3:$A$5001,"&gt;="&amp;$C$7,BD!$A$3:$A$5001,"&lt;="&amp;$B307,BD!$Z$3:$Z$5001,"&lt;&gt;"))))</f>
        <v/>
      </c>
      <c r="L307" s="54" t="str">
        <f>IF(OR($B307="",$A307&gt;$B$9,L$280=""),"",IF(COUNTIFS(BD!$B$3:$B$5001,L$280,BD!$A$3:$A$5001,"&gt;="&amp;$C$7,BD!$A$3:$A$5001,"&lt;="&amp;$B307,BD!$Z$3:$Z$5001,"&lt;&gt;")=0,"",SUMIFS(BD!$Z$3:$Z$5001,BD!$B$3:$B$5001,L$280,BD!$A$3:$A$5001,_xlfn.MAXIFS(BD!$A$3:$A$5001,BD!$B$3:$B$5001,L$280,BD!$A$3:$A$5001,"&gt;="&amp;$C$7,BD!$A$3:$A$5001,"&lt;="&amp;$B307,BD!$Z$3:$Z$5001,"&lt;&gt;"))))</f>
        <v/>
      </c>
      <c r="M307" s="54" t="str">
        <f>IF(OR($B307="",$A307&gt;$B$9,M$280=""),"",IF(COUNTIFS(BD!$B$3:$B$5001,M$280,BD!$A$3:$A$5001,"&gt;="&amp;$C$7,BD!$A$3:$A$5001,"&lt;="&amp;$B307,BD!$Z$3:$Z$5001,"&lt;&gt;")=0,"",SUMIFS(BD!$Z$3:$Z$5001,BD!$B$3:$B$5001,M$280,BD!$A$3:$A$5001,_xlfn.MAXIFS(BD!$A$3:$A$5001,BD!$B$3:$B$5001,M$280,BD!$A$3:$A$5001,"&gt;="&amp;$C$7,BD!$A$3:$A$5001,"&lt;="&amp;$B307,BD!$Z$3:$Z$5001,"&lt;&gt;"))))</f>
        <v/>
      </c>
      <c r="N307" s="54" t="str">
        <f>IF(OR($B307="",$A307&gt;$B$9,N$280=""),"",IF(COUNTIFS(BD!$B$3:$B$5001,N$280,BD!$A$3:$A$5001,"&gt;="&amp;$C$7,BD!$A$3:$A$5001,"&lt;="&amp;$B307,BD!$Z$3:$Z$5001,"&lt;&gt;")=0,"",SUMIFS(BD!$Z$3:$Z$5001,BD!$B$3:$B$5001,N$280,BD!$A$3:$A$5001,_xlfn.MAXIFS(BD!$A$3:$A$5001,BD!$B$3:$B$5001,N$280,BD!$A$3:$A$5001,"&gt;="&amp;$C$7,BD!$A$3:$A$5001,"&lt;="&amp;$B307,BD!$Z$3:$Z$5001,"&lt;&gt;"))))</f>
        <v/>
      </c>
      <c r="O307" s="54" t="str">
        <f>IF(OR($B307="",$A307&gt;$B$9,O$280=""),"",IF(COUNTIFS(BD!$B$3:$B$5001,O$280,BD!$A$3:$A$5001,"&gt;="&amp;$C$7,BD!$A$3:$A$5001,"&lt;="&amp;$B307,BD!$Z$3:$Z$5001,"&lt;&gt;")=0,"",SUMIFS(BD!$Z$3:$Z$5001,BD!$B$3:$B$5001,O$280,BD!$A$3:$A$5001,_xlfn.MAXIFS(BD!$A$3:$A$5001,BD!$B$3:$B$5001,O$280,BD!$A$3:$A$5001,"&gt;="&amp;$C$7,BD!$A$3:$A$5001,"&lt;="&amp;$B307,BD!$Z$3:$Z$5001,"&lt;&gt;"))))</f>
        <v/>
      </c>
      <c r="P307" s="54" t="str">
        <f>IF(OR($B307="",$A307&gt;$B$9,P$280=""),"",IF(COUNTIFS(BD!$B$3:$B$5001,P$280,BD!$A$3:$A$5001,"&gt;="&amp;$C$7,BD!$A$3:$A$5001,"&lt;="&amp;$B307,BD!$Z$3:$Z$5001,"&lt;&gt;")=0,"",SUMIFS(BD!$Z$3:$Z$5001,BD!$B$3:$B$5001,P$280,BD!$A$3:$A$5001,_xlfn.MAXIFS(BD!$A$3:$A$5001,BD!$B$3:$B$5001,P$280,BD!$A$3:$A$5001,"&gt;="&amp;$C$7,BD!$A$3:$A$5001,"&lt;="&amp;$B307,BD!$Z$3:$Z$5001,"&lt;&gt;"))))</f>
        <v/>
      </c>
      <c r="Q307" s="54" t="str">
        <f>IF(OR($B307="",$A307&gt;$B$9,Q$280=""),"",IF(COUNTIFS(BD!$B$3:$B$5001,Q$280,BD!$A$3:$A$5001,"&gt;="&amp;$C$7,BD!$A$3:$A$5001,"&lt;="&amp;$B307,BD!$Z$3:$Z$5001,"&lt;&gt;")=0,"",SUMIFS(BD!$Z$3:$Z$5001,BD!$B$3:$B$5001,Q$280,BD!$A$3:$A$5001,_xlfn.MAXIFS(BD!$A$3:$A$5001,BD!$B$3:$B$5001,Q$280,BD!$A$3:$A$5001,"&gt;="&amp;$C$7,BD!$A$3:$A$5001,"&lt;="&amp;$B307,BD!$Z$3:$Z$5001,"&lt;&gt;"))))</f>
        <v/>
      </c>
      <c r="R307" s="54" t="str">
        <f>IF(OR($B307="",$A307&gt;$B$9,R$280=""),"",IF(COUNTIFS(BD!$B$3:$B$5001,R$280,BD!$A$3:$A$5001,"&gt;="&amp;$C$7,BD!$A$3:$A$5001,"&lt;="&amp;$B307,BD!$Z$3:$Z$5001,"&lt;&gt;")=0,"",SUMIFS(BD!$Z$3:$Z$5001,BD!$B$3:$B$5001,R$280,BD!$A$3:$A$5001,_xlfn.MAXIFS(BD!$A$3:$A$5001,BD!$B$3:$B$5001,R$280,BD!$A$3:$A$5001,"&gt;="&amp;$C$7,BD!$A$3:$A$5001,"&lt;="&amp;$B307,BD!$Z$3:$Z$5001,"&lt;&gt;"))))</f>
        <v/>
      </c>
      <c r="S307" s="54" t="str">
        <f>IF(OR($B307="",$A307&gt;$B$9,S$280=""),"",IF(COUNTIFS(BD!$B$3:$B$5001,S$280,BD!$A$3:$A$5001,"&gt;="&amp;$C$7,BD!$A$3:$A$5001,"&lt;="&amp;$B307,BD!$Z$3:$Z$5001,"&lt;&gt;")=0,"",SUMIFS(BD!$Z$3:$Z$5001,BD!$B$3:$B$5001,S$280,BD!$A$3:$A$5001,_xlfn.MAXIFS(BD!$A$3:$A$5001,BD!$B$3:$B$5001,S$280,BD!$A$3:$A$5001,"&gt;="&amp;$C$7,BD!$A$3:$A$5001,"&lt;="&amp;$B307,BD!$Z$3:$Z$5001,"&lt;&gt;"))))</f>
        <v/>
      </c>
      <c r="T307" s="54" t="str">
        <f>IF(OR($B307="",$A307&gt;$B$9,T$280=""),"",IF(COUNTIFS(BD!$B$3:$B$5001,T$280,BD!$A$3:$A$5001,"&gt;="&amp;$C$7,BD!$A$3:$A$5001,"&lt;="&amp;$B307,BD!$Z$3:$Z$5001,"&lt;&gt;")=0,"",SUMIFS(BD!$Z$3:$Z$5001,BD!$B$3:$B$5001,T$280,BD!$A$3:$A$5001,_xlfn.MAXIFS(BD!$A$3:$A$5001,BD!$B$3:$B$5001,T$280,BD!$A$3:$A$5001,"&gt;="&amp;$C$7,BD!$A$3:$A$5001,"&lt;="&amp;$B307,BD!$Z$3:$Z$5001,"&lt;&gt;"))))</f>
        <v/>
      </c>
      <c r="U307" s="54" t="str">
        <f>IF(OR($B307="",$A307&gt;$B$9,U$280=""),"",IF(COUNTIFS(BD!$B$3:$B$5001,U$280,BD!$A$3:$A$5001,"&gt;="&amp;$C$7,BD!$A$3:$A$5001,"&lt;="&amp;$B307,BD!$Z$3:$Z$5001,"&lt;&gt;")=0,"",SUMIFS(BD!$Z$3:$Z$5001,BD!$B$3:$B$5001,U$280,BD!$A$3:$A$5001,_xlfn.MAXIFS(BD!$A$3:$A$5001,BD!$B$3:$B$5001,U$280,BD!$A$3:$A$5001,"&gt;="&amp;$C$7,BD!$A$3:$A$5001,"&lt;="&amp;$B307,BD!$Z$3:$Z$5001,"&lt;&gt;"))))</f>
        <v/>
      </c>
      <c r="V307" s="54" t="str">
        <f>IF(OR($B307="",$A307&gt;$B$9,V$280=""),"",IF(COUNTIFS(BD!$B$3:$B$5001,V$280,BD!$A$3:$A$5001,"&gt;="&amp;$C$7,BD!$A$3:$A$5001,"&lt;="&amp;$B307,BD!$Z$3:$Z$5001,"&lt;&gt;")=0,"",SUMIFS(BD!$Z$3:$Z$5001,BD!$B$3:$B$5001,V$280,BD!$A$3:$A$5001,_xlfn.MAXIFS(BD!$A$3:$A$5001,BD!$B$3:$B$5001,V$280,BD!$A$3:$A$5001,"&gt;="&amp;$C$7,BD!$A$3:$A$5001,"&lt;="&amp;$B307,BD!$Z$3:$Z$5001,"&lt;&gt;"))))</f>
        <v/>
      </c>
    </row>
    <row r="308">
      <c r="A308" s="48">
        <v>28</v>
      </c>
      <c r="B308" s="53">
        <f>$B$39</f>
        <v>46323</v>
      </c>
      <c r="C308" s="54" t="str">
        <f>IF(OR($B308="",$A308&gt;$B$9,C$280=""),"",IF(COUNTIFS(BD!$B$3:$B$5001,C$280,BD!$A$3:$A$5001,"&gt;="&amp;$C$7,BD!$A$3:$A$5001,"&lt;="&amp;$B308,BD!$Z$3:$Z$5001,"&lt;&gt;")=0,"",SUMIFS(BD!$Z$3:$Z$5001,BD!$B$3:$B$5001,C$280,BD!$A$3:$A$5001,_xlfn.MAXIFS(BD!$A$3:$A$5001,BD!$B$3:$B$5001,C$280,BD!$A$3:$A$5001,"&gt;="&amp;$C$7,BD!$A$3:$A$5001,"&lt;="&amp;$B308,BD!$Z$3:$Z$5001,"&lt;&gt;"))))</f>
        <v/>
      </c>
      <c r="D308" s="54" t="str">
        <f>IF(OR($B308="",$A308&gt;$B$9,D$280=""),"",IF(COUNTIFS(BD!$B$3:$B$5001,D$280,BD!$A$3:$A$5001,"&gt;="&amp;$C$7,BD!$A$3:$A$5001,"&lt;="&amp;$B308,BD!$Z$3:$Z$5001,"&lt;&gt;")=0,"",SUMIFS(BD!$Z$3:$Z$5001,BD!$B$3:$B$5001,D$280,BD!$A$3:$A$5001,_xlfn.MAXIFS(BD!$A$3:$A$5001,BD!$B$3:$B$5001,D$280,BD!$A$3:$A$5001,"&gt;="&amp;$C$7,BD!$A$3:$A$5001,"&lt;="&amp;$B308,BD!$Z$3:$Z$5001,"&lt;&gt;"))))</f>
        <v/>
      </c>
      <c r="E308" s="54" t="str">
        <f>IF(OR($B308="",$A308&gt;$B$9,E$280=""),"",IF(COUNTIFS(BD!$B$3:$B$5001,E$280,BD!$A$3:$A$5001,"&gt;="&amp;$C$7,BD!$A$3:$A$5001,"&lt;="&amp;$B308,BD!$Z$3:$Z$5001,"&lt;&gt;")=0,"",SUMIFS(BD!$Z$3:$Z$5001,BD!$B$3:$B$5001,E$280,BD!$A$3:$A$5001,_xlfn.MAXIFS(BD!$A$3:$A$5001,BD!$B$3:$B$5001,E$280,BD!$A$3:$A$5001,"&gt;="&amp;$C$7,BD!$A$3:$A$5001,"&lt;="&amp;$B308,BD!$Z$3:$Z$5001,"&lt;&gt;"))))</f>
        <v/>
      </c>
      <c r="F308" s="54" t="str">
        <f>IF(OR($B308="",$A308&gt;$B$9,F$280=""),"",IF(COUNTIFS(BD!$B$3:$B$5001,F$280,BD!$A$3:$A$5001,"&gt;="&amp;$C$7,BD!$A$3:$A$5001,"&lt;="&amp;$B308,BD!$Z$3:$Z$5001,"&lt;&gt;")=0,"",SUMIFS(BD!$Z$3:$Z$5001,BD!$B$3:$B$5001,F$280,BD!$A$3:$A$5001,_xlfn.MAXIFS(BD!$A$3:$A$5001,BD!$B$3:$B$5001,F$280,BD!$A$3:$A$5001,"&gt;="&amp;$C$7,BD!$A$3:$A$5001,"&lt;="&amp;$B308,BD!$Z$3:$Z$5001,"&lt;&gt;"))))</f>
        <v/>
      </c>
      <c r="G308" s="54" t="str">
        <f>IF(OR($B308="",$A308&gt;$B$9,G$280=""),"",IF(COUNTIFS(BD!$B$3:$B$5001,G$280,BD!$A$3:$A$5001,"&gt;="&amp;$C$7,BD!$A$3:$A$5001,"&lt;="&amp;$B308,BD!$Z$3:$Z$5001,"&lt;&gt;")=0,"",SUMIFS(BD!$Z$3:$Z$5001,BD!$B$3:$B$5001,G$280,BD!$A$3:$A$5001,_xlfn.MAXIFS(BD!$A$3:$A$5001,BD!$B$3:$B$5001,G$280,BD!$A$3:$A$5001,"&gt;="&amp;$C$7,BD!$A$3:$A$5001,"&lt;="&amp;$B308,BD!$Z$3:$Z$5001,"&lt;&gt;"))))</f>
        <v/>
      </c>
      <c r="H308" s="54" t="str">
        <f>IF(OR($B308="",$A308&gt;$B$9,H$280=""),"",IF(COUNTIFS(BD!$B$3:$B$5001,H$280,BD!$A$3:$A$5001,"&gt;="&amp;$C$7,BD!$A$3:$A$5001,"&lt;="&amp;$B308,BD!$Z$3:$Z$5001,"&lt;&gt;")=0,"",SUMIFS(BD!$Z$3:$Z$5001,BD!$B$3:$B$5001,H$280,BD!$A$3:$A$5001,_xlfn.MAXIFS(BD!$A$3:$A$5001,BD!$B$3:$B$5001,H$280,BD!$A$3:$A$5001,"&gt;="&amp;$C$7,BD!$A$3:$A$5001,"&lt;="&amp;$B308,BD!$Z$3:$Z$5001,"&lt;&gt;"))))</f>
        <v/>
      </c>
      <c r="I308" s="54" t="str">
        <f>IF(OR($B308="",$A308&gt;$B$9,I$280=""),"",IF(COUNTIFS(BD!$B$3:$B$5001,I$280,BD!$A$3:$A$5001,"&gt;="&amp;$C$7,BD!$A$3:$A$5001,"&lt;="&amp;$B308,BD!$Z$3:$Z$5001,"&lt;&gt;")=0,"",SUMIFS(BD!$Z$3:$Z$5001,BD!$B$3:$B$5001,I$280,BD!$A$3:$A$5001,_xlfn.MAXIFS(BD!$A$3:$A$5001,BD!$B$3:$B$5001,I$280,BD!$A$3:$A$5001,"&gt;="&amp;$C$7,BD!$A$3:$A$5001,"&lt;="&amp;$B308,BD!$Z$3:$Z$5001,"&lt;&gt;"))))</f>
        <v/>
      </c>
      <c r="J308" s="54" t="str">
        <f>IF(OR($B308="",$A308&gt;$B$9,J$280=""),"",IF(COUNTIFS(BD!$B$3:$B$5001,J$280,BD!$A$3:$A$5001,"&gt;="&amp;$C$7,BD!$A$3:$A$5001,"&lt;="&amp;$B308,BD!$Z$3:$Z$5001,"&lt;&gt;")=0,"",SUMIFS(BD!$Z$3:$Z$5001,BD!$B$3:$B$5001,J$280,BD!$A$3:$A$5001,_xlfn.MAXIFS(BD!$A$3:$A$5001,BD!$B$3:$B$5001,J$280,BD!$A$3:$A$5001,"&gt;="&amp;$C$7,BD!$A$3:$A$5001,"&lt;="&amp;$B308,BD!$Z$3:$Z$5001,"&lt;&gt;"))))</f>
        <v/>
      </c>
      <c r="K308" s="54" t="str">
        <f>IF(OR($B308="",$A308&gt;$B$9,K$280=""),"",IF(COUNTIFS(BD!$B$3:$B$5001,K$280,BD!$A$3:$A$5001,"&gt;="&amp;$C$7,BD!$A$3:$A$5001,"&lt;="&amp;$B308,BD!$Z$3:$Z$5001,"&lt;&gt;")=0,"",SUMIFS(BD!$Z$3:$Z$5001,BD!$B$3:$B$5001,K$280,BD!$A$3:$A$5001,_xlfn.MAXIFS(BD!$A$3:$A$5001,BD!$B$3:$B$5001,K$280,BD!$A$3:$A$5001,"&gt;="&amp;$C$7,BD!$A$3:$A$5001,"&lt;="&amp;$B308,BD!$Z$3:$Z$5001,"&lt;&gt;"))))</f>
        <v/>
      </c>
      <c r="L308" s="54" t="str">
        <f>IF(OR($B308="",$A308&gt;$B$9,L$280=""),"",IF(COUNTIFS(BD!$B$3:$B$5001,L$280,BD!$A$3:$A$5001,"&gt;="&amp;$C$7,BD!$A$3:$A$5001,"&lt;="&amp;$B308,BD!$Z$3:$Z$5001,"&lt;&gt;")=0,"",SUMIFS(BD!$Z$3:$Z$5001,BD!$B$3:$B$5001,L$280,BD!$A$3:$A$5001,_xlfn.MAXIFS(BD!$A$3:$A$5001,BD!$B$3:$B$5001,L$280,BD!$A$3:$A$5001,"&gt;="&amp;$C$7,BD!$A$3:$A$5001,"&lt;="&amp;$B308,BD!$Z$3:$Z$5001,"&lt;&gt;"))))</f>
        <v/>
      </c>
      <c r="M308" s="54" t="str">
        <f>IF(OR($B308="",$A308&gt;$B$9,M$280=""),"",IF(COUNTIFS(BD!$B$3:$B$5001,M$280,BD!$A$3:$A$5001,"&gt;="&amp;$C$7,BD!$A$3:$A$5001,"&lt;="&amp;$B308,BD!$Z$3:$Z$5001,"&lt;&gt;")=0,"",SUMIFS(BD!$Z$3:$Z$5001,BD!$B$3:$B$5001,M$280,BD!$A$3:$A$5001,_xlfn.MAXIFS(BD!$A$3:$A$5001,BD!$B$3:$B$5001,M$280,BD!$A$3:$A$5001,"&gt;="&amp;$C$7,BD!$A$3:$A$5001,"&lt;="&amp;$B308,BD!$Z$3:$Z$5001,"&lt;&gt;"))))</f>
        <v/>
      </c>
      <c r="N308" s="54" t="str">
        <f>IF(OR($B308="",$A308&gt;$B$9,N$280=""),"",IF(COUNTIFS(BD!$B$3:$B$5001,N$280,BD!$A$3:$A$5001,"&gt;="&amp;$C$7,BD!$A$3:$A$5001,"&lt;="&amp;$B308,BD!$Z$3:$Z$5001,"&lt;&gt;")=0,"",SUMIFS(BD!$Z$3:$Z$5001,BD!$B$3:$B$5001,N$280,BD!$A$3:$A$5001,_xlfn.MAXIFS(BD!$A$3:$A$5001,BD!$B$3:$B$5001,N$280,BD!$A$3:$A$5001,"&gt;="&amp;$C$7,BD!$A$3:$A$5001,"&lt;="&amp;$B308,BD!$Z$3:$Z$5001,"&lt;&gt;"))))</f>
        <v/>
      </c>
      <c r="O308" s="54" t="str">
        <f>IF(OR($B308="",$A308&gt;$B$9,O$280=""),"",IF(COUNTIFS(BD!$B$3:$B$5001,O$280,BD!$A$3:$A$5001,"&gt;="&amp;$C$7,BD!$A$3:$A$5001,"&lt;="&amp;$B308,BD!$Z$3:$Z$5001,"&lt;&gt;")=0,"",SUMIFS(BD!$Z$3:$Z$5001,BD!$B$3:$B$5001,O$280,BD!$A$3:$A$5001,_xlfn.MAXIFS(BD!$A$3:$A$5001,BD!$B$3:$B$5001,O$280,BD!$A$3:$A$5001,"&gt;="&amp;$C$7,BD!$A$3:$A$5001,"&lt;="&amp;$B308,BD!$Z$3:$Z$5001,"&lt;&gt;"))))</f>
        <v/>
      </c>
      <c r="P308" s="54" t="str">
        <f>IF(OR($B308="",$A308&gt;$B$9,P$280=""),"",IF(COUNTIFS(BD!$B$3:$B$5001,P$280,BD!$A$3:$A$5001,"&gt;="&amp;$C$7,BD!$A$3:$A$5001,"&lt;="&amp;$B308,BD!$Z$3:$Z$5001,"&lt;&gt;")=0,"",SUMIFS(BD!$Z$3:$Z$5001,BD!$B$3:$B$5001,P$280,BD!$A$3:$A$5001,_xlfn.MAXIFS(BD!$A$3:$A$5001,BD!$B$3:$B$5001,P$280,BD!$A$3:$A$5001,"&gt;="&amp;$C$7,BD!$A$3:$A$5001,"&lt;="&amp;$B308,BD!$Z$3:$Z$5001,"&lt;&gt;"))))</f>
        <v/>
      </c>
      <c r="Q308" s="54" t="str">
        <f>IF(OR($B308="",$A308&gt;$B$9,Q$280=""),"",IF(COUNTIFS(BD!$B$3:$B$5001,Q$280,BD!$A$3:$A$5001,"&gt;="&amp;$C$7,BD!$A$3:$A$5001,"&lt;="&amp;$B308,BD!$Z$3:$Z$5001,"&lt;&gt;")=0,"",SUMIFS(BD!$Z$3:$Z$5001,BD!$B$3:$B$5001,Q$280,BD!$A$3:$A$5001,_xlfn.MAXIFS(BD!$A$3:$A$5001,BD!$B$3:$B$5001,Q$280,BD!$A$3:$A$5001,"&gt;="&amp;$C$7,BD!$A$3:$A$5001,"&lt;="&amp;$B308,BD!$Z$3:$Z$5001,"&lt;&gt;"))))</f>
        <v/>
      </c>
      <c r="R308" s="54" t="str">
        <f>IF(OR($B308="",$A308&gt;$B$9,R$280=""),"",IF(COUNTIFS(BD!$B$3:$B$5001,R$280,BD!$A$3:$A$5001,"&gt;="&amp;$C$7,BD!$A$3:$A$5001,"&lt;="&amp;$B308,BD!$Z$3:$Z$5001,"&lt;&gt;")=0,"",SUMIFS(BD!$Z$3:$Z$5001,BD!$B$3:$B$5001,R$280,BD!$A$3:$A$5001,_xlfn.MAXIFS(BD!$A$3:$A$5001,BD!$B$3:$B$5001,R$280,BD!$A$3:$A$5001,"&gt;="&amp;$C$7,BD!$A$3:$A$5001,"&lt;="&amp;$B308,BD!$Z$3:$Z$5001,"&lt;&gt;"))))</f>
        <v/>
      </c>
      <c r="S308" s="54" t="str">
        <f>IF(OR($B308="",$A308&gt;$B$9,S$280=""),"",IF(COUNTIFS(BD!$B$3:$B$5001,S$280,BD!$A$3:$A$5001,"&gt;="&amp;$C$7,BD!$A$3:$A$5001,"&lt;="&amp;$B308,BD!$Z$3:$Z$5001,"&lt;&gt;")=0,"",SUMIFS(BD!$Z$3:$Z$5001,BD!$B$3:$B$5001,S$280,BD!$A$3:$A$5001,_xlfn.MAXIFS(BD!$A$3:$A$5001,BD!$B$3:$B$5001,S$280,BD!$A$3:$A$5001,"&gt;="&amp;$C$7,BD!$A$3:$A$5001,"&lt;="&amp;$B308,BD!$Z$3:$Z$5001,"&lt;&gt;"))))</f>
        <v/>
      </c>
      <c r="T308" s="54" t="str">
        <f>IF(OR($B308="",$A308&gt;$B$9,T$280=""),"",IF(COUNTIFS(BD!$B$3:$B$5001,T$280,BD!$A$3:$A$5001,"&gt;="&amp;$C$7,BD!$A$3:$A$5001,"&lt;="&amp;$B308,BD!$Z$3:$Z$5001,"&lt;&gt;")=0,"",SUMIFS(BD!$Z$3:$Z$5001,BD!$B$3:$B$5001,T$280,BD!$A$3:$A$5001,_xlfn.MAXIFS(BD!$A$3:$A$5001,BD!$B$3:$B$5001,T$280,BD!$A$3:$A$5001,"&gt;="&amp;$C$7,BD!$A$3:$A$5001,"&lt;="&amp;$B308,BD!$Z$3:$Z$5001,"&lt;&gt;"))))</f>
        <v/>
      </c>
      <c r="U308" s="54" t="str">
        <f>IF(OR($B308="",$A308&gt;$B$9,U$280=""),"",IF(COUNTIFS(BD!$B$3:$B$5001,U$280,BD!$A$3:$A$5001,"&gt;="&amp;$C$7,BD!$A$3:$A$5001,"&lt;="&amp;$B308,BD!$Z$3:$Z$5001,"&lt;&gt;")=0,"",SUMIFS(BD!$Z$3:$Z$5001,BD!$B$3:$B$5001,U$280,BD!$A$3:$A$5001,_xlfn.MAXIFS(BD!$A$3:$A$5001,BD!$B$3:$B$5001,U$280,BD!$A$3:$A$5001,"&gt;="&amp;$C$7,BD!$A$3:$A$5001,"&lt;="&amp;$B308,BD!$Z$3:$Z$5001,"&lt;&gt;"))))</f>
        <v/>
      </c>
      <c r="V308" s="54" t="str">
        <f>IF(OR($B308="",$A308&gt;$B$9,V$280=""),"",IF(COUNTIFS(BD!$B$3:$B$5001,V$280,BD!$A$3:$A$5001,"&gt;="&amp;$C$7,BD!$A$3:$A$5001,"&lt;="&amp;$B308,BD!$Z$3:$Z$5001,"&lt;&gt;")=0,"",SUMIFS(BD!$Z$3:$Z$5001,BD!$B$3:$B$5001,V$280,BD!$A$3:$A$5001,_xlfn.MAXIFS(BD!$A$3:$A$5001,BD!$B$3:$B$5001,V$280,BD!$A$3:$A$5001,"&gt;="&amp;$C$7,BD!$A$3:$A$5001,"&lt;="&amp;$B308,BD!$Z$3:$Z$5001,"&lt;&gt;"))))</f>
        <v/>
      </c>
    </row>
    <row r="309">
      <c r="A309" s="48">
        <v>29</v>
      </c>
      <c r="B309" s="53">
        <f>$B$40</f>
        <v>46324</v>
      </c>
      <c r="C309" s="54" t="str">
        <f>IF(OR($B309="",$A309&gt;$B$9,C$280=""),"",IF(COUNTIFS(BD!$B$3:$B$5001,C$280,BD!$A$3:$A$5001,"&gt;="&amp;$C$7,BD!$A$3:$A$5001,"&lt;="&amp;$B309,BD!$Z$3:$Z$5001,"&lt;&gt;")=0,"",SUMIFS(BD!$Z$3:$Z$5001,BD!$B$3:$B$5001,C$280,BD!$A$3:$A$5001,_xlfn.MAXIFS(BD!$A$3:$A$5001,BD!$B$3:$B$5001,C$280,BD!$A$3:$A$5001,"&gt;="&amp;$C$7,BD!$A$3:$A$5001,"&lt;="&amp;$B309,BD!$Z$3:$Z$5001,"&lt;&gt;"))))</f>
        <v/>
      </c>
      <c r="D309" s="54" t="str">
        <f>IF(OR($B309="",$A309&gt;$B$9,D$280=""),"",IF(COUNTIFS(BD!$B$3:$B$5001,D$280,BD!$A$3:$A$5001,"&gt;="&amp;$C$7,BD!$A$3:$A$5001,"&lt;="&amp;$B309,BD!$Z$3:$Z$5001,"&lt;&gt;")=0,"",SUMIFS(BD!$Z$3:$Z$5001,BD!$B$3:$B$5001,D$280,BD!$A$3:$A$5001,_xlfn.MAXIFS(BD!$A$3:$A$5001,BD!$B$3:$B$5001,D$280,BD!$A$3:$A$5001,"&gt;="&amp;$C$7,BD!$A$3:$A$5001,"&lt;="&amp;$B309,BD!$Z$3:$Z$5001,"&lt;&gt;"))))</f>
        <v/>
      </c>
      <c r="E309" s="54" t="str">
        <f>IF(OR($B309="",$A309&gt;$B$9,E$280=""),"",IF(COUNTIFS(BD!$B$3:$B$5001,E$280,BD!$A$3:$A$5001,"&gt;="&amp;$C$7,BD!$A$3:$A$5001,"&lt;="&amp;$B309,BD!$Z$3:$Z$5001,"&lt;&gt;")=0,"",SUMIFS(BD!$Z$3:$Z$5001,BD!$B$3:$B$5001,E$280,BD!$A$3:$A$5001,_xlfn.MAXIFS(BD!$A$3:$A$5001,BD!$B$3:$B$5001,E$280,BD!$A$3:$A$5001,"&gt;="&amp;$C$7,BD!$A$3:$A$5001,"&lt;="&amp;$B309,BD!$Z$3:$Z$5001,"&lt;&gt;"))))</f>
        <v/>
      </c>
      <c r="F309" s="54" t="str">
        <f>IF(OR($B309="",$A309&gt;$B$9,F$280=""),"",IF(COUNTIFS(BD!$B$3:$B$5001,F$280,BD!$A$3:$A$5001,"&gt;="&amp;$C$7,BD!$A$3:$A$5001,"&lt;="&amp;$B309,BD!$Z$3:$Z$5001,"&lt;&gt;")=0,"",SUMIFS(BD!$Z$3:$Z$5001,BD!$B$3:$B$5001,F$280,BD!$A$3:$A$5001,_xlfn.MAXIFS(BD!$A$3:$A$5001,BD!$B$3:$B$5001,F$280,BD!$A$3:$A$5001,"&gt;="&amp;$C$7,BD!$A$3:$A$5001,"&lt;="&amp;$B309,BD!$Z$3:$Z$5001,"&lt;&gt;"))))</f>
        <v/>
      </c>
      <c r="G309" s="54" t="str">
        <f>IF(OR($B309="",$A309&gt;$B$9,G$280=""),"",IF(COUNTIFS(BD!$B$3:$B$5001,G$280,BD!$A$3:$A$5001,"&gt;="&amp;$C$7,BD!$A$3:$A$5001,"&lt;="&amp;$B309,BD!$Z$3:$Z$5001,"&lt;&gt;")=0,"",SUMIFS(BD!$Z$3:$Z$5001,BD!$B$3:$B$5001,G$280,BD!$A$3:$A$5001,_xlfn.MAXIFS(BD!$A$3:$A$5001,BD!$B$3:$B$5001,G$280,BD!$A$3:$A$5001,"&gt;="&amp;$C$7,BD!$A$3:$A$5001,"&lt;="&amp;$B309,BD!$Z$3:$Z$5001,"&lt;&gt;"))))</f>
        <v/>
      </c>
      <c r="H309" s="54" t="str">
        <f>IF(OR($B309="",$A309&gt;$B$9,H$280=""),"",IF(COUNTIFS(BD!$B$3:$B$5001,H$280,BD!$A$3:$A$5001,"&gt;="&amp;$C$7,BD!$A$3:$A$5001,"&lt;="&amp;$B309,BD!$Z$3:$Z$5001,"&lt;&gt;")=0,"",SUMIFS(BD!$Z$3:$Z$5001,BD!$B$3:$B$5001,H$280,BD!$A$3:$A$5001,_xlfn.MAXIFS(BD!$A$3:$A$5001,BD!$B$3:$B$5001,H$280,BD!$A$3:$A$5001,"&gt;="&amp;$C$7,BD!$A$3:$A$5001,"&lt;="&amp;$B309,BD!$Z$3:$Z$5001,"&lt;&gt;"))))</f>
        <v/>
      </c>
      <c r="I309" s="54" t="str">
        <f>IF(OR($B309="",$A309&gt;$B$9,I$280=""),"",IF(COUNTIFS(BD!$B$3:$B$5001,I$280,BD!$A$3:$A$5001,"&gt;="&amp;$C$7,BD!$A$3:$A$5001,"&lt;="&amp;$B309,BD!$Z$3:$Z$5001,"&lt;&gt;")=0,"",SUMIFS(BD!$Z$3:$Z$5001,BD!$B$3:$B$5001,I$280,BD!$A$3:$A$5001,_xlfn.MAXIFS(BD!$A$3:$A$5001,BD!$B$3:$B$5001,I$280,BD!$A$3:$A$5001,"&gt;="&amp;$C$7,BD!$A$3:$A$5001,"&lt;="&amp;$B309,BD!$Z$3:$Z$5001,"&lt;&gt;"))))</f>
        <v/>
      </c>
      <c r="J309" s="54" t="str">
        <f>IF(OR($B309="",$A309&gt;$B$9,J$280=""),"",IF(COUNTIFS(BD!$B$3:$B$5001,J$280,BD!$A$3:$A$5001,"&gt;="&amp;$C$7,BD!$A$3:$A$5001,"&lt;="&amp;$B309,BD!$Z$3:$Z$5001,"&lt;&gt;")=0,"",SUMIFS(BD!$Z$3:$Z$5001,BD!$B$3:$B$5001,J$280,BD!$A$3:$A$5001,_xlfn.MAXIFS(BD!$A$3:$A$5001,BD!$B$3:$B$5001,J$280,BD!$A$3:$A$5001,"&gt;="&amp;$C$7,BD!$A$3:$A$5001,"&lt;="&amp;$B309,BD!$Z$3:$Z$5001,"&lt;&gt;"))))</f>
        <v/>
      </c>
      <c r="K309" s="54" t="str">
        <f>IF(OR($B309="",$A309&gt;$B$9,K$280=""),"",IF(COUNTIFS(BD!$B$3:$B$5001,K$280,BD!$A$3:$A$5001,"&gt;="&amp;$C$7,BD!$A$3:$A$5001,"&lt;="&amp;$B309,BD!$Z$3:$Z$5001,"&lt;&gt;")=0,"",SUMIFS(BD!$Z$3:$Z$5001,BD!$B$3:$B$5001,K$280,BD!$A$3:$A$5001,_xlfn.MAXIFS(BD!$A$3:$A$5001,BD!$B$3:$B$5001,K$280,BD!$A$3:$A$5001,"&gt;="&amp;$C$7,BD!$A$3:$A$5001,"&lt;="&amp;$B309,BD!$Z$3:$Z$5001,"&lt;&gt;"))))</f>
        <v/>
      </c>
      <c r="L309" s="54" t="str">
        <f>IF(OR($B309="",$A309&gt;$B$9,L$280=""),"",IF(COUNTIFS(BD!$B$3:$B$5001,L$280,BD!$A$3:$A$5001,"&gt;="&amp;$C$7,BD!$A$3:$A$5001,"&lt;="&amp;$B309,BD!$Z$3:$Z$5001,"&lt;&gt;")=0,"",SUMIFS(BD!$Z$3:$Z$5001,BD!$B$3:$B$5001,L$280,BD!$A$3:$A$5001,_xlfn.MAXIFS(BD!$A$3:$A$5001,BD!$B$3:$B$5001,L$280,BD!$A$3:$A$5001,"&gt;="&amp;$C$7,BD!$A$3:$A$5001,"&lt;="&amp;$B309,BD!$Z$3:$Z$5001,"&lt;&gt;"))))</f>
        <v/>
      </c>
      <c r="M309" s="54" t="str">
        <f>IF(OR($B309="",$A309&gt;$B$9,M$280=""),"",IF(COUNTIFS(BD!$B$3:$B$5001,M$280,BD!$A$3:$A$5001,"&gt;="&amp;$C$7,BD!$A$3:$A$5001,"&lt;="&amp;$B309,BD!$Z$3:$Z$5001,"&lt;&gt;")=0,"",SUMIFS(BD!$Z$3:$Z$5001,BD!$B$3:$B$5001,M$280,BD!$A$3:$A$5001,_xlfn.MAXIFS(BD!$A$3:$A$5001,BD!$B$3:$B$5001,M$280,BD!$A$3:$A$5001,"&gt;="&amp;$C$7,BD!$A$3:$A$5001,"&lt;="&amp;$B309,BD!$Z$3:$Z$5001,"&lt;&gt;"))))</f>
        <v/>
      </c>
      <c r="N309" s="54" t="str">
        <f>IF(OR($B309="",$A309&gt;$B$9,N$280=""),"",IF(COUNTIFS(BD!$B$3:$B$5001,N$280,BD!$A$3:$A$5001,"&gt;="&amp;$C$7,BD!$A$3:$A$5001,"&lt;="&amp;$B309,BD!$Z$3:$Z$5001,"&lt;&gt;")=0,"",SUMIFS(BD!$Z$3:$Z$5001,BD!$B$3:$B$5001,N$280,BD!$A$3:$A$5001,_xlfn.MAXIFS(BD!$A$3:$A$5001,BD!$B$3:$B$5001,N$280,BD!$A$3:$A$5001,"&gt;="&amp;$C$7,BD!$A$3:$A$5001,"&lt;="&amp;$B309,BD!$Z$3:$Z$5001,"&lt;&gt;"))))</f>
        <v/>
      </c>
      <c r="O309" s="54" t="str">
        <f>IF(OR($B309="",$A309&gt;$B$9,O$280=""),"",IF(COUNTIFS(BD!$B$3:$B$5001,O$280,BD!$A$3:$A$5001,"&gt;="&amp;$C$7,BD!$A$3:$A$5001,"&lt;="&amp;$B309,BD!$Z$3:$Z$5001,"&lt;&gt;")=0,"",SUMIFS(BD!$Z$3:$Z$5001,BD!$B$3:$B$5001,O$280,BD!$A$3:$A$5001,_xlfn.MAXIFS(BD!$A$3:$A$5001,BD!$B$3:$B$5001,O$280,BD!$A$3:$A$5001,"&gt;="&amp;$C$7,BD!$A$3:$A$5001,"&lt;="&amp;$B309,BD!$Z$3:$Z$5001,"&lt;&gt;"))))</f>
        <v/>
      </c>
      <c r="P309" s="54" t="str">
        <f>IF(OR($B309="",$A309&gt;$B$9,P$280=""),"",IF(COUNTIFS(BD!$B$3:$B$5001,P$280,BD!$A$3:$A$5001,"&gt;="&amp;$C$7,BD!$A$3:$A$5001,"&lt;="&amp;$B309,BD!$Z$3:$Z$5001,"&lt;&gt;")=0,"",SUMIFS(BD!$Z$3:$Z$5001,BD!$B$3:$B$5001,P$280,BD!$A$3:$A$5001,_xlfn.MAXIFS(BD!$A$3:$A$5001,BD!$B$3:$B$5001,P$280,BD!$A$3:$A$5001,"&gt;="&amp;$C$7,BD!$A$3:$A$5001,"&lt;="&amp;$B309,BD!$Z$3:$Z$5001,"&lt;&gt;"))))</f>
        <v/>
      </c>
      <c r="Q309" s="54" t="str">
        <f>IF(OR($B309="",$A309&gt;$B$9,Q$280=""),"",IF(COUNTIFS(BD!$B$3:$B$5001,Q$280,BD!$A$3:$A$5001,"&gt;="&amp;$C$7,BD!$A$3:$A$5001,"&lt;="&amp;$B309,BD!$Z$3:$Z$5001,"&lt;&gt;")=0,"",SUMIFS(BD!$Z$3:$Z$5001,BD!$B$3:$B$5001,Q$280,BD!$A$3:$A$5001,_xlfn.MAXIFS(BD!$A$3:$A$5001,BD!$B$3:$B$5001,Q$280,BD!$A$3:$A$5001,"&gt;="&amp;$C$7,BD!$A$3:$A$5001,"&lt;="&amp;$B309,BD!$Z$3:$Z$5001,"&lt;&gt;"))))</f>
        <v/>
      </c>
      <c r="R309" s="54" t="str">
        <f>IF(OR($B309="",$A309&gt;$B$9,R$280=""),"",IF(COUNTIFS(BD!$B$3:$B$5001,R$280,BD!$A$3:$A$5001,"&gt;="&amp;$C$7,BD!$A$3:$A$5001,"&lt;="&amp;$B309,BD!$Z$3:$Z$5001,"&lt;&gt;")=0,"",SUMIFS(BD!$Z$3:$Z$5001,BD!$B$3:$B$5001,R$280,BD!$A$3:$A$5001,_xlfn.MAXIFS(BD!$A$3:$A$5001,BD!$B$3:$B$5001,R$280,BD!$A$3:$A$5001,"&gt;="&amp;$C$7,BD!$A$3:$A$5001,"&lt;="&amp;$B309,BD!$Z$3:$Z$5001,"&lt;&gt;"))))</f>
        <v/>
      </c>
      <c r="S309" s="54" t="str">
        <f>IF(OR($B309="",$A309&gt;$B$9,S$280=""),"",IF(COUNTIFS(BD!$B$3:$B$5001,S$280,BD!$A$3:$A$5001,"&gt;="&amp;$C$7,BD!$A$3:$A$5001,"&lt;="&amp;$B309,BD!$Z$3:$Z$5001,"&lt;&gt;")=0,"",SUMIFS(BD!$Z$3:$Z$5001,BD!$B$3:$B$5001,S$280,BD!$A$3:$A$5001,_xlfn.MAXIFS(BD!$A$3:$A$5001,BD!$B$3:$B$5001,S$280,BD!$A$3:$A$5001,"&gt;="&amp;$C$7,BD!$A$3:$A$5001,"&lt;="&amp;$B309,BD!$Z$3:$Z$5001,"&lt;&gt;"))))</f>
        <v/>
      </c>
      <c r="T309" s="54" t="str">
        <f>IF(OR($B309="",$A309&gt;$B$9,T$280=""),"",IF(COUNTIFS(BD!$B$3:$B$5001,T$280,BD!$A$3:$A$5001,"&gt;="&amp;$C$7,BD!$A$3:$A$5001,"&lt;="&amp;$B309,BD!$Z$3:$Z$5001,"&lt;&gt;")=0,"",SUMIFS(BD!$Z$3:$Z$5001,BD!$B$3:$B$5001,T$280,BD!$A$3:$A$5001,_xlfn.MAXIFS(BD!$A$3:$A$5001,BD!$B$3:$B$5001,T$280,BD!$A$3:$A$5001,"&gt;="&amp;$C$7,BD!$A$3:$A$5001,"&lt;="&amp;$B309,BD!$Z$3:$Z$5001,"&lt;&gt;"))))</f>
        <v/>
      </c>
      <c r="U309" s="54" t="str">
        <f>IF(OR($B309="",$A309&gt;$B$9,U$280=""),"",IF(COUNTIFS(BD!$B$3:$B$5001,U$280,BD!$A$3:$A$5001,"&gt;="&amp;$C$7,BD!$A$3:$A$5001,"&lt;="&amp;$B309,BD!$Z$3:$Z$5001,"&lt;&gt;")=0,"",SUMIFS(BD!$Z$3:$Z$5001,BD!$B$3:$B$5001,U$280,BD!$A$3:$A$5001,_xlfn.MAXIFS(BD!$A$3:$A$5001,BD!$B$3:$B$5001,U$280,BD!$A$3:$A$5001,"&gt;="&amp;$C$7,BD!$A$3:$A$5001,"&lt;="&amp;$B309,BD!$Z$3:$Z$5001,"&lt;&gt;"))))</f>
        <v/>
      </c>
      <c r="V309" s="54" t="str">
        <f>IF(OR($B309="",$A309&gt;$B$9,V$280=""),"",IF(COUNTIFS(BD!$B$3:$B$5001,V$280,BD!$A$3:$A$5001,"&gt;="&amp;$C$7,BD!$A$3:$A$5001,"&lt;="&amp;$B309,BD!$Z$3:$Z$5001,"&lt;&gt;")=0,"",SUMIFS(BD!$Z$3:$Z$5001,BD!$B$3:$B$5001,V$280,BD!$A$3:$A$5001,_xlfn.MAXIFS(BD!$A$3:$A$5001,BD!$B$3:$B$5001,V$280,BD!$A$3:$A$5001,"&gt;="&amp;$C$7,BD!$A$3:$A$5001,"&lt;="&amp;$B309,BD!$Z$3:$Z$5001,"&lt;&gt;"))))</f>
        <v/>
      </c>
    </row>
    <row r="310">
      <c r="A310" s="48">
        <v>30</v>
      </c>
      <c r="B310" s="53">
        <f>$B$41</f>
        <v>46325</v>
      </c>
      <c r="C310" s="54" t="str">
        <f>IF(OR($B310="",$A310&gt;$B$9,C$280=""),"",IF(COUNTIFS(BD!$B$3:$B$5001,C$280,BD!$A$3:$A$5001,"&gt;="&amp;$C$7,BD!$A$3:$A$5001,"&lt;="&amp;$B310,BD!$Z$3:$Z$5001,"&lt;&gt;")=0,"",SUMIFS(BD!$Z$3:$Z$5001,BD!$B$3:$B$5001,C$280,BD!$A$3:$A$5001,_xlfn.MAXIFS(BD!$A$3:$A$5001,BD!$B$3:$B$5001,C$280,BD!$A$3:$A$5001,"&gt;="&amp;$C$7,BD!$A$3:$A$5001,"&lt;="&amp;$B310,BD!$Z$3:$Z$5001,"&lt;&gt;"))))</f>
        <v/>
      </c>
      <c r="D310" s="54" t="str">
        <f>IF(OR($B310="",$A310&gt;$B$9,D$280=""),"",IF(COUNTIFS(BD!$B$3:$B$5001,D$280,BD!$A$3:$A$5001,"&gt;="&amp;$C$7,BD!$A$3:$A$5001,"&lt;="&amp;$B310,BD!$Z$3:$Z$5001,"&lt;&gt;")=0,"",SUMIFS(BD!$Z$3:$Z$5001,BD!$B$3:$B$5001,D$280,BD!$A$3:$A$5001,_xlfn.MAXIFS(BD!$A$3:$A$5001,BD!$B$3:$B$5001,D$280,BD!$A$3:$A$5001,"&gt;="&amp;$C$7,BD!$A$3:$A$5001,"&lt;="&amp;$B310,BD!$Z$3:$Z$5001,"&lt;&gt;"))))</f>
        <v/>
      </c>
      <c r="E310" s="54" t="str">
        <f>IF(OR($B310="",$A310&gt;$B$9,E$280=""),"",IF(COUNTIFS(BD!$B$3:$B$5001,E$280,BD!$A$3:$A$5001,"&gt;="&amp;$C$7,BD!$A$3:$A$5001,"&lt;="&amp;$B310,BD!$Z$3:$Z$5001,"&lt;&gt;")=0,"",SUMIFS(BD!$Z$3:$Z$5001,BD!$B$3:$B$5001,E$280,BD!$A$3:$A$5001,_xlfn.MAXIFS(BD!$A$3:$A$5001,BD!$B$3:$B$5001,E$280,BD!$A$3:$A$5001,"&gt;="&amp;$C$7,BD!$A$3:$A$5001,"&lt;="&amp;$B310,BD!$Z$3:$Z$5001,"&lt;&gt;"))))</f>
        <v/>
      </c>
      <c r="F310" s="54" t="str">
        <f>IF(OR($B310="",$A310&gt;$B$9,F$280=""),"",IF(COUNTIFS(BD!$B$3:$B$5001,F$280,BD!$A$3:$A$5001,"&gt;="&amp;$C$7,BD!$A$3:$A$5001,"&lt;="&amp;$B310,BD!$Z$3:$Z$5001,"&lt;&gt;")=0,"",SUMIFS(BD!$Z$3:$Z$5001,BD!$B$3:$B$5001,F$280,BD!$A$3:$A$5001,_xlfn.MAXIFS(BD!$A$3:$A$5001,BD!$B$3:$B$5001,F$280,BD!$A$3:$A$5001,"&gt;="&amp;$C$7,BD!$A$3:$A$5001,"&lt;="&amp;$B310,BD!$Z$3:$Z$5001,"&lt;&gt;"))))</f>
        <v/>
      </c>
      <c r="G310" s="54" t="str">
        <f>IF(OR($B310="",$A310&gt;$B$9,G$280=""),"",IF(COUNTIFS(BD!$B$3:$B$5001,G$280,BD!$A$3:$A$5001,"&gt;="&amp;$C$7,BD!$A$3:$A$5001,"&lt;="&amp;$B310,BD!$Z$3:$Z$5001,"&lt;&gt;")=0,"",SUMIFS(BD!$Z$3:$Z$5001,BD!$B$3:$B$5001,G$280,BD!$A$3:$A$5001,_xlfn.MAXIFS(BD!$A$3:$A$5001,BD!$B$3:$B$5001,G$280,BD!$A$3:$A$5001,"&gt;="&amp;$C$7,BD!$A$3:$A$5001,"&lt;="&amp;$B310,BD!$Z$3:$Z$5001,"&lt;&gt;"))))</f>
        <v/>
      </c>
      <c r="H310" s="54" t="str">
        <f>IF(OR($B310="",$A310&gt;$B$9,H$280=""),"",IF(COUNTIFS(BD!$B$3:$B$5001,H$280,BD!$A$3:$A$5001,"&gt;="&amp;$C$7,BD!$A$3:$A$5001,"&lt;="&amp;$B310,BD!$Z$3:$Z$5001,"&lt;&gt;")=0,"",SUMIFS(BD!$Z$3:$Z$5001,BD!$B$3:$B$5001,H$280,BD!$A$3:$A$5001,_xlfn.MAXIFS(BD!$A$3:$A$5001,BD!$B$3:$B$5001,H$280,BD!$A$3:$A$5001,"&gt;="&amp;$C$7,BD!$A$3:$A$5001,"&lt;="&amp;$B310,BD!$Z$3:$Z$5001,"&lt;&gt;"))))</f>
        <v/>
      </c>
      <c r="I310" s="54" t="str">
        <f>IF(OR($B310="",$A310&gt;$B$9,I$280=""),"",IF(COUNTIFS(BD!$B$3:$B$5001,I$280,BD!$A$3:$A$5001,"&gt;="&amp;$C$7,BD!$A$3:$A$5001,"&lt;="&amp;$B310,BD!$Z$3:$Z$5001,"&lt;&gt;")=0,"",SUMIFS(BD!$Z$3:$Z$5001,BD!$B$3:$B$5001,I$280,BD!$A$3:$A$5001,_xlfn.MAXIFS(BD!$A$3:$A$5001,BD!$B$3:$B$5001,I$280,BD!$A$3:$A$5001,"&gt;="&amp;$C$7,BD!$A$3:$A$5001,"&lt;="&amp;$B310,BD!$Z$3:$Z$5001,"&lt;&gt;"))))</f>
        <v/>
      </c>
      <c r="J310" s="54" t="str">
        <f>IF(OR($B310="",$A310&gt;$B$9,J$280=""),"",IF(COUNTIFS(BD!$B$3:$B$5001,J$280,BD!$A$3:$A$5001,"&gt;="&amp;$C$7,BD!$A$3:$A$5001,"&lt;="&amp;$B310,BD!$Z$3:$Z$5001,"&lt;&gt;")=0,"",SUMIFS(BD!$Z$3:$Z$5001,BD!$B$3:$B$5001,J$280,BD!$A$3:$A$5001,_xlfn.MAXIFS(BD!$A$3:$A$5001,BD!$B$3:$B$5001,J$280,BD!$A$3:$A$5001,"&gt;="&amp;$C$7,BD!$A$3:$A$5001,"&lt;="&amp;$B310,BD!$Z$3:$Z$5001,"&lt;&gt;"))))</f>
        <v/>
      </c>
      <c r="K310" s="54" t="str">
        <f>IF(OR($B310="",$A310&gt;$B$9,K$280=""),"",IF(COUNTIFS(BD!$B$3:$B$5001,K$280,BD!$A$3:$A$5001,"&gt;="&amp;$C$7,BD!$A$3:$A$5001,"&lt;="&amp;$B310,BD!$Z$3:$Z$5001,"&lt;&gt;")=0,"",SUMIFS(BD!$Z$3:$Z$5001,BD!$B$3:$B$5001,K$280,BD!$A$3:$A$5001,_xlfn.MAXIFS(BD!$A$3:$A$5001,BD!$B$3:$B$5001,K$280,BD!$A$3:$A$5001,"&gt;="&amp;$C$7,BD!$A$3:$A$5001,"&lt;="&amp;$B310,BD!$Z$3:$Z$5001,"&lt;&gt;"))))</f>
        <v/>
      </c>
      <c r="L310" s="54" t="str">
        <f>IF(OR($B310="",$A310&gt;$B$9,L$280=""),"",IF(COUNTIFS(BD!$B$3:$B$5001,L$280,BD!$A$3:$A$5001,"&gt;="&amp;$C$7,BD!$A$3:$A$5001,"&lt;="&amp;$B310,BD!$Z$3:$Z$5001,"&lt;&gt;")=0,"",SUMIFS(BD!$Z$3:$Z$5001,BD!$B$3:$B$5001,L$280,BD!$A$3:$A$5001,_xlfn.MAXIFS(BD!$A$3:$A$5001,BD!$B$3:$B$5001,L$280,BD!$A$3:$A$5001,"&gt;="&amp;$C$7,BD!$A$3:$A$5001,"&lt;="&amp;$B310,BD!$Z$3:$Z$5001,"&lt;&gt;"))))</f>
        <v/>
      </c>
      <c r="M310" s="54" t="str">
        <f>IF(OR($B310="",$A310&gt;$B$9,M$280=""),"",IF(COUNTIFS(BD!$B$3:$B$5001,M$280,BD!$A$3:$A$5001,"&gt;="&amp;$C$7,BD!$A$3:$A$5001,"&lt;="&amp;$B310,BD!$Z$3:$Z$5001,"&lt;&gt;")=0,"",SUMIFS(BD!$Z$3:$Z$5001,BD!$B$3:$B$5001,M$280,BD!$A$3:$A$5001,_xlfn.MAXIFS(BD!$A$3:$A$5001,BD!$B$3:$B$5001,M$280,BD!$A$3:$A$5001,"&gt;="&amp;$C$7,BD!$A$3:$A$5001,"&lt;="&amp;$B310,BD!$Z$3:$Z$5001,"&lt;&gt;"))))</f>
        <v/>
      </c>
      <c r="N310" s="54" t="str">
        <f>IF(OR($B310="",$A310&gt;$B$9,N$280=""),"",IF(COUNTIFS(BD!$B$3:$B$5001,N$280,BD!$A$3:$A$5001,"&gt;="&amp;$C$7,BD!$A$3:$A$5001,"&lt;="&amp;$B310,BD!$Z$3:$Z$5001,"&lt;&gt;")=0,"",SUMIFS(BD!$Z$3:$Z$5001,BD!$B$3:$B$5001,N$280,BD!$A$3:$A$5001,_xlfn.MAXIFS(BD!$A$3:$A$5001,BD!$B$3:$B$5001,N$280,BD!$A$3:$A$5001,"&gt;="&amp;$C$7,BD!$A$3:$A$5001,"&lt;="&amp;$B310,BD!$Z$3:$Z$5001,"&lt;&gt;"))))</f>
        <v/>
      </c>
      <c r="O310" s="54" t="str">
        <f>IF(OR($B310="",$A310&gt;$B$9,O$280=""),"",IF(COUNTIFS(BD!$B$3:$B$5001,O$280,BD!$A$3:$A$5001,"&gt;="&amp;$C$7,BD!$A$3:$A$5001,"&lt;="&amp;$B310,BD!$Z$3:$Z$5001,"&lt;&gt;")=0,"",SUMIFS(BD!$Z$3:$Z$5001,BD!$B$3:$B$5001,O$280,BD!$A$3:$A$5001,_xlfn.MAXIFS(BD!$A$3:$A$5001,BD!$B$3:$B$5001,O$280,BD!$A$3:$A$5001,"&gt;="&amp;$C$7,BD!$A$3:$A$5001,"&lt;="&amp;$B310,BD!$Z$3:$Z$5001,"&lt;&gt;"))))</f>
        <v/>
      </c>
      <c r="P310" s="54" t="str">
        <f>IF(OR($B310="",$A310&gt;$B$9,P$280=""),"",IF(COUNTIFS(BD!$B$3:$B$5001,P$280,BD!$A$3:$A$5001,"&gt;="&amp;$C$7,BD!$A$3:$A$5001,"&lt;="&amp;$B310,BD!$Z$3:$Z$5001,"&lt;&gt;")=0,"",SUMIFS(BD!$Z$3:$Z$5001,BD!$B$3:$B$5001,P$280,BD!$A$3:$A$5001,_xlfn.MAXIFS(BD!$A$3:$A$5001,BD!$B$3:$B$5001,P$280,BD!$A$3:$A$5001,"&gt;="&amp;$C$7,BD!$A$3:$A$5001,"&lt;="&amp;$B310,BD!$Z$3:$Z$5001,"&lt;&gt;"))))</f>
        <v/>
      </c>
      <c r="Q310" s="54" t="str">
        <f>IF(OR($B310="",$A310&gt;$B$9,Q$280=""),"",IF(COUNTIFS(BD!$B$3:$B$5001,Q$280,BD!$A$3:$A$5001,"&gt;="&amp;$C$7,BD!$A$3:$A$5001,"&lt;="&amp;$B310,BD!$Z$3:$Z$5001,"&lt;&gt;")=0,"",SUMIFS(BD!$Z$3:$Z$5001,BD!$B$3:$B$5001,Q$280,BD!$A$3:$A$5001,_xlfn.MAXIFS(BD!$A$3:$A$5001,BD!$B$3:$B$5001,Q$280,BD!$A$3:$A$5001,"&gt;="&amp;$C$7,BD!$A$3:$A$5001,"&lt;="&amp;$B310,BD!$Z$3:$Z$5001,"&lt;&gt;"))))</f>
        <v/>
      </c>
      <c r="R310" s="54" t="str">
        <f>IF(OR($B310="",$A310&gt;$B$9,R$280=""),"",IF(COUNTIFS(BD!$B$3:$B$5001,R$280,BD!$A$3:$A$5001,"&gt;="&amp;$C$7,BD!$A$3:$A$5001,"&lt;="&amp;$B310,BD!$Z$3:$Z$5001,"&lt;&gt;")=0,"",SUMIFS(BD!$Z$3:$Z$5001,BD!$B$3:$B$5001,R$280,BD!$A$3:$A$5001,_xlfn.MAXIFS(BD!$A$3:$A$5001,BD!$B$3:$B$5001,R$280,BD!$A$3:$A$5001,"&gt;="&amp;$C$7,BD!$A$3:$A$5001,"&lt;="&amp;$B310,BD!$Z$3:$Z$5001,"&lt;&gt;"))))</f>
        <v/>
      </c>
      <c r="S310" s="54" t="str">
        <f>IF(OR($B310="",$A310&gt;$B$9,S$280=""),"",IF(COUNTIFS(BD!$B$3:$B$5001,S$280,BD!$A$3:$A$5001,"&gt;="&amp;$C$7,BD!$A$3:$A$5001,"&lt;="&amp;$B310,BD!$Z$3:$Z$5001,"&lt;&gt;")=0,"",SUMIFS(BD!$Z$3:$Z$5001,BD!$B$3:$B$5001,S$280,BD!$A$3:$A$5001,_xlfn.MAXIFS(BD!$A$3:$A$5001,BD!$B$3:$B$5001,S$280,BD!$A$3:$A$5001,"&gt;="&amp;$C$7,BD!$A$3:$A$5001,"&lt;="&amp;$B310,BD!$Z$3:$Z$5001,"&lt;&gt;"))))</f>
        <v/>
      </c>
      <c r="T310" s="54" t="str">
        <f>IF(OR($B310="",$A310&gt;$B$9,T$280=""),"",IF(COUNTIFS(BD!$B$3:$B$5001,T$280,BD!$A$3:$A$5001,"&gt;="&amp;$C$7,BD!$A$3:$A$5001,"&lt;="&amp;$B310,BD!$Z$3:$Z$5001,"&lt;&gt;")=0,"",SUMIFS(BD!$Z$3:$Z$5001,BD!$B$3:$B$5001,T$280,BD!$A$3:$A$5001,_xlfn.MAXIFS(BD!$A$3:$A$5001,BD!$B$3:$B$5001,T$280,BD!$A$3:$A$5001,"&gt;="&amp;$C$7,BD!$A$3:$A$5001,"&lt;="&amp;$B310,BD!$Z$3:$Z$5001,"&lt;&gt;"))))</f>
        <v/>
      </c>
      <c r="U310" s="54" t="str">
        <f>IF(OR($B310="",$A310&gt;$B$9,U$280=""),"",IF(COUNTIFS(BD!$B$3:$B$5001,U$280,BD!$A$3:$A$5001,"&gt;="&amp;$C$7,BD!$A$3:$A$5001,"&lt;="&amp;$B310,BD!$Z$3:$Z$5001,"&lt;&gt;")=0,"",SUMIFS(BD!$Z$3:$Z$5001,BD!$B$3:$B$5001,U$280,BD!$A$3:$A$5001,_xlfn.MAXIFS(BD!$A$3:$A$5001,BD!$B$3:$B$5001,U$280,BD!$A$3:$A$5001,"&gt;="&amp;$C$7,BD!$A$3:$A$5001,"&lt;="&amp;$B310,BD!$Z$3:$Z$5001,"&lt;&gt;"))))</f>
        <v/>
      </c>
      <c r="V310" s="54" t="str">
        <f>IF(OR($B310="",$A310&gt;$B$9,V$280=""),"",IF(COUNTIFS(BD!$B$3:$B$5001,V$280,BD!$A$3:$A$5001,"&gt;="&amp;$C$7,BD!$A$3:$A$5001,"&lt;="&amp;$B310,BD!$Z$3:$Z$5001,"&lt;&gt;")=0,"",SUMIFS(BD!$Z$3:$Z$5001,BD!$B$3:$B$5001,V$280,BD!$A$3:$A$5001,_xlfn.MAXIFS(BD!$A$3:$A$5001,BD!$B$3:$B$5001,V$280,BD!$A$3:$A$5001,"&gt;="&amp;$C$7,BD!$A$3:$A$5001,"&lt;="&amp;$B310,BD!$Z$3:$Z$5001,"&lt;&gt;"))))</f>
        <v/>
      </c>
    </row>
    <row r="311">
      <c r="A311" s="48">
        <v>31</v>
      </c>
      <c r="B311" s="53">
        <f>$B$42</f>
        <v>46326</v>
      </c>
      <c r="C311" s="54" t="str">
        <f>IF(OR($B311="",$A311&gt;$B$9,C$280=""),"",IF(COUNTIFS(BD!$B$3:$B$5001,C$280,BD!$A$3:$A$5001,"&gt;="&amp;$C$7,BD!$A$3:$A$5001,"&lt;="&amp;$B311,BD!$Z$3:$Z$5001,"&lt;&gt;")=0,"",SUMIFS(BD!$Z$3:$Z$5001,BD!$B$3:$B$5001,C$280,BD!$A$3:$A$5001,_xlfn.MAXIFS(BD!$A$3:$A$5001,BD!$B$3:$B$5001,C$280,BD!$A$3:$A$5001,"&gt;="&amp;$C$7,BD!$A$3:$A$5001,"&lt;="&amp;$B311,BD!$Z$3:$Z$5001,"&lt;&gt;"))))</f>
        <v/>
      </c>
      <c r="D311" s="54" t="str">
        <f>IF(OR($B311="",$A311&gt;$B$9,D$280=""),"",IF(COUNTIFS(BD!$B$3:$B$5001,D$280,BD!$A$3:$A$5001,"&gt;="&amp;$C$7,BD!$A$3:$A$5001,"&lt;="&amp;$B311,BD!$Z$3:$Z$5001,"&lt;&gt;")=0,"",SUMIFS(BD!$Z$3:$Z$5001,BD!$B$3:$B$5001,D$280,BD!$A$3:$A$5001,_xlfn.MAXIFS(BD!$A$3:$A$5001,BD!$B$3:$B$5001,D$280,BD!$A$3:$A$5001,"&gt;="&amp;$C$7,BD!$A$3:$A$5001,"&lt;="&amp;$B311,BD!$Z$3:$Z$5001,"&lt;&gt;"))))</f>
        <v/>
      </c>
      <c r="E311" s="54" t="str">
        <f>IF(OR($B311="",$A311&gt;$B$9,E$280=""),"",IF(COUNTIFS(BD!$B$3:$B$5001,E$280,BD!$A$3:$A$5001,"&gt;="&amp;$C$7,BD!$A$3:$A$5001,"&lt;="&amp;$B311,BD!$Z$3:$Z$5001,"&lt;&gt;")=0,"",SUMIFS(BD!$Z$3:$Z$5001,BD!$B$3:$B$5001,E$280,BD!$A$3:$A$5001,_xlfn.MAXIFS(BD!$A$3:$A$5001,BD!$B$3:$B$5001,E$280,BD!$A$3:$A$5001,"&gt;="&amp;$C$7,BD!$A$3:$A$5001,"&lt;="&amp;$B311,BD!$Z$3:$Z$5001,"&lt;&gt;"))))</f>
        <v/>
      </c>
      <c r="F311" s="54" t="str">
        <f>IF(OR($B311="",$A311&gt;$B$9,F$280=""),"",IF(COUNTIFS(BD!$B$3:$B$5001,F$280,BD!$A$3:$A$5001,"&gt;="&amp;$C$7,BD!$A$3:$A$5001,"&lt;="&amp;$B311,BD!$Z$3:$Z$5001,"&lt;&gt;")=0,"",SUMIFS(BD!$Z$3:$Z$5001,BD!$B$3:$B$5001,F$280,BD!$A$3:$A$5001,_xlfn.MAXIFS(BD!$A$3:$A$5001,BD!$B$3:$B$5001,F$280,BD!$A$3:$A$5001,"&gt;="&amp;$C$7,BD!$A$3:$A$5001,"&lt;="&amp;$B311,BD!$Z$3:$Z$5001,"&lt;&gt;"))))</f>
        <v/>
      </c>
      <c r="G311" s="54" t="str">
        <f>IF(OR($B311="",$A311&gt;$B$9,G$280=""),"",IF(COUNTIFS(BD!$B$3:$B$5001,G$280,BD!$A$3:$A$5001,"&gt;="&amp;$C$7,BD!$A$3:$A$5001,"&lt;="&amp;$B311,BD!$Z$3:$Z$5001,"&lt;&gt;")=0,"",SUMIFS(BD!$Z$3:$Z$5001,BD!$B$3:$B$5001,G$280,BD!$A$3:$A$5001,_xlfn.MAXIFS(BD!$A$3:$A$5001,BD!$B$3:$B$5001,G$280,BD!$A$3:$A$5001,"&gt;="&amp;$C$7,BD!$A$3:$A$5001,"&lt;="&amp;$B311,BD!$Z$3:$Z$5001,"&lt;&gt;"))))</f>
        <v/>
      </c>
      <c r="H311" s="54" t="str">
        <f>IF(OR($B311="",$A311&gt;$B$9,H$280=""),"",IF(COUNTIFS(BD!$B$3:$B$5001,H$280,BD!$A$3:$A$5001,"&gt;="&amp;$C$7,BD!$A$3:$A$5001,"&lt;="&amp;$B311,BD!$Z$3:$Z$5001,"&lt;&gt;")=0,"",SUMIFS(BD!$Z$3:$Z$5001,BD!$B$3:$B$5001,H$280,BD!$A$3:$A$5001,_xlfn.MAXIFS(BD!$A$3:$A$5001,BD!$B$3:$B$5001,H$280,BD!$A$3:$A$5001,"&gt;="&amp;$C$7,BD!$A$3:$A$5001,"&lt;="&amp;$B311,BD!$Z$3:$Z$5001,"&lt;&gt;"))))</f>
        <v/>
      </c>
      <c r="I311" s="54" t="str">
        <f>IF(OR($B311="",$A311&gt;$B$9,I$280=""),"",IF(COUNTIFS(BD!$B$3:$B$5001,I$280,BD!$A$3:$A$5001,"&gt;="&amp;$C$7,BD!$A$3:$A$5001,"&lt;="&amp;$B311,BD!$Z$3:$Z$5001,"&lt;&gt;")=0,"",SUMIFS(BD!$Z$3:$Z$5001,BD!$B$3:$B$5001,I$280,BD!$A$3:$A$5001,_xlfn.MAXIFS(BD!$A$3:$A$5001,BD!$B$3:$B$5001,I$280,BD!$A$3:$A$5001,"&gt;="&amp;$C$7,BD!$A$3:$A$5001,"&lt;="&amp;$B311,BD!$Z$3:$Z$5001,"&lt;&gt;"))))</f>
        <v/>
      </c>
      <c r="J311" s="54" t="str">
        <f>IF(OR($B311="",$A311&gt;$B$9,J$280=""),"",IF(COUNTIFS(BD!$B$3:$B$5001,J$280,BD!$A$3:$A$5001,"&gt;="&amp;$C$7,BD!$A$3:$A$5001,"&lt;="&amp;$B311,BD!$Z$3:$Z$5001,"&lt;&gt;")=0,"",SUMIFS(BD!$Z$3:$Z$5001,BD!$B$3:$B$5001,J$280,BD!$A$3:$A$5001,_xlfn.MAXIFS(BD!$A$3:$A$5001,BD!$B$3:$B$5001,J$280,BD!$A$3:$A$5001,"&gt;="&amp;$C$7,BD!$A$3:$A$5001,"&lt;="&amp;$B311,BD!$Z$3:$Z$5001,"&lt;&gt;"))))</f>
        <v/>
      </c>
      <c r="K311" s="54" t="str">
        <f>IF(OR($B311="",$A311&gt;$B$9,K$280=""),"",IF(COUNTIFS(BD!$B$3:$B$5001,K$280,BD!$A$3:$A$5001,"&gt;="&amp;$C$7,BD!$A$3:$A$5001,"&lt;="&amp;$B311,BD!$Z$3:$Z$5001,"&lt;&gt;")=0,"",SUMIFS(BD!$Z$3:$Z$5001,BD!$B$3:$B$5001,K$280,BD!$A$3:$A$5001,_xlfn.MAXIFS(BD!$A$3:$A$5001,BD!$B$3:$B$5001,K$280,BD!$A$3:$A$5001,"&gt;="&amp;$C$7,BD!$A$3:$A$5001,"&lt;="&amp;$B311,BD!$Z$3:$Z$5001,"&lt;&gt;"))))</f>
        <v/>
      </c>
      <c r="L311" s="54" t="str">
        <f>IF(OR($B311="",$A311&gt;$B$9,L$280=""),"",IF(COUNTIFS(BD!$B$3:$B$5001,L$280,BD!$A$3:$A$5001,"&gt;="&amp;$C$7,BD!$A$3:$A$5001,"&lt;="&amp;$B311,BD!$Z$3:$Z$5001,"&lt;&gt;")=0,"",SUMIFS(BD!$Z$3:$Z$5001,BD!$B$3:$B$5001,L$280,BD!$A$3:$A$5001,_xlfn.MAXIFS(BD!$A$3:$A$5001,BD!$B$3:$B$5001,L$280,BD!$A$3:$A$5001,"&gt;="&amp;$C$7,BD!$A$3:$A$5001,"&lt;="&amp;$B311,BD!$Z$3:$Z$5001,"&lt;&gt;"))))</f>
        <v/>
      </c>
      <c r="M311" s="54" t="str">
        <f>IF(OR($B311="",$A311&gt;$B$9,M$280=""),"",IF(COUNTIFS(BD!$B$3:$B$5001,M$280,BD!$A$3:$A$5001,"&gt;="&amp;$C$7,BD!$A$3:$A$5001,"&lt;="&amp;$B311,BD!$Z$3:$Z$5001,"&lt;&gt;")=0,"",SUMIFS(BD!$Z$3:$Z$5001,BD!$B$3:$B$5001,M$280,BD!$A$3:$A$5001,_xlfn.MAXIFS(BD!$A$3:$A$5001,BD!$B$3:$B$5001,M$280,BD!$A$3:$A$5001,"&gt;="&amp;$C$7,BD!$A$3:$A$5001,"&lt;="&amp;$B311,BD!$Z$3:$Z$5001,"&lt;&gt;"))))</f>
        <v/>
      </c>
      <c r="N311" s="54" t="str">
        <f>IF(OR($B311="",$A311&gt;$B$9,N$280=""),"",IF(COUNTIFS(BD!$B$3:$B$5001,N$280,BD!$A$3:$A$5001,"&gt;="&amp;$C$7,BD!$A$3:$A$5001,"&lt;="&amp;$B311,BD!$Z$3:$Z$5001,"&lt;&gt;")=0,"",SUMIFS(BD!$Z$3:$Z$5001,BD!$B$3:$B$5001,N$280,BD!$A$3:$A$5001,_xlfn.MAXIFS(BD!$A$3:$A$5001,BD!$B$3:$B$5001,N$280,BD!$A$3:$A$5001,"&gt;="&amp;$C$7,BD!$A$3:$A$5001,"&lt;="&amp;$B311,BD!$Z$3:$Z$5001,"&lt;&gt;"))))</f>
        <v/>
      </c>
      <c r="O311" s="54" t="str">
        <f>IF(OR($B311="",$A311&gt;$B$9,O$280=""),"",IF(COUNTIFS(BD!$B$3:$B$5001,O$280,BD!$A$3:$A$5001,"&gt;="&amp;$C$7,BD!$A$3:$A$5001,"&lt;="&amp;$B311,BD!$Z$3:$Z$5001,"&lt;&gt;")=0,"",SUMIFS(BD!$Z$3:$Z$5001,BD!$B$3:$B$5001,O$280,BD!$A$3:$A$5001,_xlfn.MAXIFS(BD!$A$3:$A$5001,BD!$B$3:$B$5001,O$280,BD!$A$3:$A$5001,"&gt;="&amp;$C$7,BD!$A$3:$A$5001,"&lt;="&amp;$B311,BD!$Z$3:$Z$5001,"&lt;&gt;"))))</f>
        <v/>
      </c>
      <c r="P311" s="54" t="str">
        <f>IF(OR($B311="",$A311&gt;$B$9,P$280=""),"",IF(COUNTIFS(BD!$B$3:$B$5001,P$280,BD!$A$3:$A$5001,"&gt;="&amp;$C$7,BD!$A$3:$A$5001,"&lt;="&amp;$B311,BD!$Z$3:$Z$5001,"&lt;&gt;")=0,"",SUMIFS(BD!$Z$3:$Z$5001,BD!$B$3:$B$5001,P$280,BD!$A$3:$A$5001,_xlfn.MAXIFS(BD!$A$3:$A$5001,BD!$B$3:$B$5001,P$280,BD!$A$3:$A$5001,"&gt;="&amp;$C$7,BD!$A$3:$A$5001,"&lt;="&amp;$B311,BD!$Z$3:$Z$5001,"&lt;&gt;"))))</f>
        <v/>
      </c>
      <c r="Q311" s="54" t="str">
        <f>IF(OR($B311="",$A311&gt;$B$9,Q$280=""),"",IF(COUNTIFS(BD!$B$3:$B$5001,Q$280,BD!$A$3:$A$5001,"&gt;="&amp;$C$7,BD!$A$3:$A$5001,"&lt;="&amp;$B311,BD!$Z$3:$Z$5001,"&lt;&gt;")=0,"",SUMIFS(BD!$Z$3:$Z$5001,BD!$B$3:$B$5001,Q$280,BD!$A$3:$A$5001,_xlfn.MAXIFS(BD!$A$3:$A$5001,BD!$B$3:$B$5001,Q$280,BD!$A$3:$A$5001,"&gt;="&amp;$C$7,BD!$A$3:$A$5001,"&lt;="&amp;$B311,BD!$Z$3:$Z$5001,"&lt;&gt;"))))</f>
        <v/>
      </c>
      <c r="R311" s="54" t="str">
        <f>IF(OR($B311="",$A311&gt;$B$9,R$280=""),"",IF(COUNTIFS(BD!$B$3:$B$5001,R$280,BD!$A$3:$A$5001,"&gt;="&amp;$C$7,BD!$A$3:$A$5001,"&lt;="&amp;$B311,BD!$Z$3:$Z$5001,"&lt;&gt;")=0,"",SUMIFS(BD!$Z$3:$Z$5001,BD!$B$3:$B$5001,R$280,BD!$A$3:$A$5001,_xlfn.MAXIFS(BD!$A$3:$A$5001,BD!$B$3:$B$5001,R$280,BD!$A$3:$A$5001,"&gt;="&amp;$C$7,BD!$A$3:$A$5001,"&lt;="&amp;$B311,BD!$Z$3:$Z$5001,"&lt;&gt;"))))</f>
        <v/>
      </c>
      <c r="S311" s="54" t="str">
        <f>IF(OR($B311="",$A311&gt;$B$9,S$280=""),"",IF(COUNTIFS(BD!$B$3:$B$5001,S$280,BD!$A$3:$A$5001,"&gt;="&amp;$C$7,BD!$A$3:$A$5001,"&lt;="&amp;$B311,BD!$Z$3:$Z$5001,"&lt;&gt;")=0,"",SUMIFS(BD!$Z$3:$Z$5001,BD!$B$3:$B$5001,S$280,BD!$A$3:$A$5001,_xlfn.MAXIFS(BD!$A$3:$A$5001,BD!$B$3:$B$5001,S$280,BD!$A$3:$A$5001,"&gt;="&amp;$C$7,BD!$A$3:$A$5001,"&lt;="&amp;$B311,BD!$Z$3:$Z$5001,"&lt;&gt;"))))</f>
        <v/>
      </c>
      <c r="T311" s="54" t="str">
        <f>IF(OR($B311="",$A311&gt;$B$9,T$280=""),"",IF(COUNTIFS(BD!$B$3:$B$5001,T$280,BD!$A$3:$A$5001,"&gt;="&amp;$C$7,BD!$A$3:$A$5001,"&lt;="&amp;$B311,BD!$Z$3:$Z$5001,"&lt;&gt;")=0,"",SUMIFS(BD!$Z$3:$Z$5001,BD!$B$3:$B$5001,T$280,BD!$A$3:$A$5001,_xlfn.MAXIFS(BD!$A$3:$A$5001,BD!$B$3:$B$5001,T$280,BD!$A$3:$A$5001,"&gt;="&amp;$C$7,BD!$A$3:$A$5001,"&lt;="&amp;$B311,BD!$Z$3:$Z$5001,"&lt;&gt;"))))</f>
        <v/>
      </c>
      <c r="U311" s="54" t="str">
        <f>IF(OR($B311="",$A311&gt;$B$9,U$280=""),"",IF(COUNTIFS(BD!$B$3:$B$5001,U$280,BD!$A$3:$A$5001,"&gt;="&amp;$C$7,BD!$A$3:$A$5001,"&lt;="&amp;$B311,BD!$Z$3:$Z$5001,"&lt;&gt;")=0,"",SUMIFS(BD!$Z$3:$Z$5001,BD!$B$3:$B$5001,U$280,BD!$A$3:$A$5001,_xlfn.MAXIFS(BD!$A$3:$A$5001,BD!$B$3:$B$5001,U$280,BD!$A$3:$A$5001,"&gt;="&amp;$C$7,BD!$A$3:$A$5001,"&lt;="&amp;$B311,BD!$Z$3:$Z$5001,"&lt;&gt;"))))</f>
        <v/>
      </c>
      <c r="V311" s="54" t="str">
        <f>IF(OR($B311="",$A311&gt;$B$9,V$280=""),"",IF(COUNTIFS(BD!$B$3:$B$5001,V$280,BD!$A$3:$A$5001,"&gt;="&amp;$C$7,BD!$A$3:$A$5001,"&lt;="&amp;$B311,BD!$Z$3:$Z$5001,"&lt;&gt;")=0,"",SUMIFS(BD!$Z$3:$Z$5001,BD!$B$3:$B$5001,V$280,BD!$A$3:$A$5001,_xlfn.MAXIFS(BD!$A$3:$A$5001,BD!$B$3:$B$5001,V$280,BD!$A$3:$A$5001,"&gt;="&amp;$C$7,BD!$A$3:$A$5001,"&lt;="&amp;$B311,BD!$Z$3:$Z$5001,"&lt;&gt;"))))</f>
        <v/>
      </c>
    </row>
    <row r="312">
      <c r="A312" s="55" t="inlineStr">
        <is>
          <t xml:space="preserve">Mês anterior (último)</t>
        </is>
      </c>
      <c r="C312" s="56" t="str">
        <f>IF(C$280="","",IF(COUNTIFS(BD!$B$3:$B$5001,C$280,BD!$A$3:$A$5001,"&gt;="&amp;$C$8,BD!$A$3:$A$5001,"&lt;="&amp;$D$8,BD!$Z$3:$Z$5001,"&lt;&gt;")=0,"",SUMIFS(BD!$Z$3:$Z$5001,BD!$B$3:$B$5001,C$280,BD!$A$3:$A$5001,_xlfn.MAXIFS(BD!$A$3:$A$5001,BD!$B$3:$B$5001,C$280,BD!$A$3:$A$5001,"&gt;="&amp;$C$8,BD!$A$3:$A$5001,"&lt;="&amp;$D$8,BD!$Z$3:$Z$5001,"&lt;&gt;"))))</f>
        <v/>
      </c>
      <c r="D312" s="56" t="str">
        <f>IF(D$280="","",IF(COUNTIFS(BD!$B$3:$B$5001,D$280,BD!$A$3:$A$5001,"&gt;="&amp;$C$8,BD!$A$3:$A$5001,"&lt;="&amp;$D$8,BD!$Z$3:$Z$5001,"&lt;&gt;")=0,"",SUMIFS(BD!$Z$3:$Z$5001,BD!$B$3:$B$5001,D$280,BD!$A$3:$A$5001,_xlfn.MAXIFS(BD!$A$3:$A$5001,BD!$B$3:$B$5001,D$280,BD!$A$3:$A$5001,"&gt;="&amp;$C$8,BD!$A$3:$A$5001,"&lt;="&amp;$D$8,BD!$Z$3:$Z$5001,"&lt;&gt;"))))</f>
        <v/>
      </c>
      <c r="E312" s="56" t="str">
        <f>IF(E$280="","",IF(COUNTIFS(BD!$B$3:$B$5001,E$280,BD!$A$3:$A$5001,"&gt;="&amp;$C$8,BD!$A$3:$A$5001,"&lt;="&amp;$D$8,BD!$Z$3:$Z$5001,"&lt;&gt;")=0,"",SUMIFS(BD!$Z$3:$Z$5001,BD!$B$3:$B$5001,E$280,BD!$A$3:$A$5001,_xlfn.MAXIFS(BD!$A$3:$A$5001,BD!$B$3:$B$5001,E$280,BD!$A$3:$A$5001,"&gt;="&amp;$C$8,BD!$A$3:$A$5001,"&lt;="&amp;$D$8,BD!$Z$3:$Z$5001,"&lt;&gt;"))))</f>
        <v/>
      </c>
      <c r="F312" s="56" t="str">
        <f>IF(F$280="","",IF(COUNTIFS(BD!$B$3:$B$5001,F$280,BD!$A$3:$A$5001,"&gt;="&amp;$C$8,BD!$A$3:$A$5001,"&lt;="&amp;$D$8,BD!$Z$3:$Z$5001,"&lt;&gt;")=0,"",SUMIFS(BD!$Z$3:$Z$5001,BD!$B$3:$B$5001,F$280,BD!$A$3:$A$5001,_xlfn.MAXIFS(BD!$A$3:$A$5001,BD!$B$3:$B$5001,F$280,BD!$A$3:$A$5001,"&gt;="&amp;$C$8,BD!$A$3:$A$5001,"&lt;="&amp;$D$8,BD!$Z$3:$Z$5001,"&lt;&gt;"))))</f>
        <v/>
      </c>
      <c r="G312" s="56" t="str">
        <f>IF(G$280="","",IF(COUNTIFS(BD!$B$3:$B$5001,G$280,BD!$A$3:$A$5001,"&gt;="&amp;$C$8,BD!$A$3:$A$5001,"&lt;="&amp;$D$8,BD!$Z$3:$Z$5001,"&lt;&gt;")=0,"",SUMIFS(BD!$Z$3:$Z$5001,BD!$B$3:$B$5001,G$280,BD!$A$3:$A$5001,_xlfn.MAXIFS(BD!$A$3:$A$5001,BD!$B$3:$B$5001,G$280,BD!$A$3:$A$5001,"&gt;="&amp;$C$8,BD!$A$3:$A$5001,"&lt;="&amp;$D$8,BD!$Z$3:$Z$5001,"&lt;&gt;"))))</f>
        <v/>
      </c>
      <c r="H312" s="56" t="str">
        <f>IF(H$280="","",IF(COUNTIFS(BD!$B$3:$B$5001,H$280,BD!$A$3:$A$5001,"&gt;="&amp;$C$8,BD!$A$3:$A$5001,"&lt;="&amp;$D$8,BD!$Z$3:$Z$5001,"&lt;&gt;")=0,"",SUMIFS(BD!$Z$3:$Z$5001,BD!$B$3:$B$5001,H$280,BD!$A$3:$A$5001,_xlfn.MAXIFS(BD!$A$3:$A$5001,BD!$B$3:$B$5001,H$280,BD!$A$3:$A$5001,"&gt;="&amp;$C$8,BD!$A$3:$A$5001,"&lt;="&amp;$D$8,BD!$Z$3:$Z$5001,"&lt;&gt;"))))</f>
        <v/>
      </c>
      <c r="I312" s="56" t="str">
        <f>IF(I$280="","",IF(COUNTIFS(BD!$B$3:$B$5001,I$280,BD!$A$3:$A$5001,"&gt;="&amp;$C$8,BD!$A$3:$A$5001,"&lt;="&amp;$D$8,BD!$Z$3:$Z$5001,"&lt;&gt;")=0,"",SUMIFS(BD!$Z$3:$Z$5001,BD!$B$3:$B$5001,I$280,BD!$A$3:$A$5001,_xlfn.MAXIFS(BD!$A$3:$A$5001,BD!$B$3:$B$5001,I$280,BD!$A$3:$A$5001,"&gt;="&amp;$C$8,BD!$A$3:$A$5001,"&lt;="&amp;$D$8,BD!$Z$3:$Z$5001,"&lt;&gt;"))))</f>
        <v/>
      </c>
      <c r="J312" s="56" t="str">
        <f>IF(J$280="","",IF(COUNTIFS(BD!$B$3:$B$5001,J$280,BD!$A$3:$A$5001,"&gt;="&amp;$C$8,BD!$A$3:$A$5001,"&lt;="&amp;$D$8,BD!$Z$3:$Z$5001,"&lt;&gt;")=0,"",SUMIFS(BD!$Z$3:$Z$5001,BD!$B$3:$B$5001,J$280,BD!$A$3:$A$5001,_xlfn.MAXIFS(BD!$A$3:$A$5001,BD!$B$3:$B$5001,J$280,BD!$A$3:$A$5001,"&gt;="&amp;$C$8,BD!$A$3:$A$5001,"&lt;="&amp;$D$8,BD!$Z$3:$Z$5001,"&lt;&gt;"))))</f>
        <v/>
      </c>
      <c r="K312" s="56" t="str">
        <f>IF(K$280="","",IF(COUNTIFS(BD!$B$3:$B$5001,K$280,BD!$A$3:$A$5001,"&gt;="&amp;$C$8,BD!$A$3:$A$5001,"&lt;="&amp;$D$8,BD!$Z$3:$Z$5001,"&lt;&gt;")=0,"",SUMIFS(BD!$Z$3:$Z$5001,BD!$B$3:$B$5001,K$280,BD!$A$3:$A$5001,_xlfn.MAXIFS(BD!$A$3:$A$5001,BD!$B$3:$B$5001,K$280,BD!$A$3:$A$5001,"&gt;="&amp;$C$8,BD!$A$3:$A$5001,"&lt;="&amp;$D$8,BD!$Z$3:$Z$5001,"&lt;&gt;"))))</f>
        <v/>
      </c>
      <c r="L312" s="56" t="str">
        <f>IF(L$280="","",IF(COUNTIFS(BD!$B$3:$B$5001,L$280,BD!$A$3:$A$5001,"&gt;="&amp;$C$8,BD!$A$3:$A$5001,"&lt;="&amp;$D$8,BD!$Z$3:$Z$5001,"&lt;&gt;")=0,"",SUMIFS(BD!$Z$3:$Z$5001,BD!$B$3:$B$5001,L$280,BD!$A$3:$A$5001,_xlfn.MAXIFS(BD!$A$3:$A$5001,BD!$B$3:$B$5001,L$280,BD!$A$3:$A$5001,"&gt;="&amp;$C$8,BD!$A$3:$A$5001,"&lt;="&amp;$D$8,BD!$Z$3:$Z$5001,"&lt;&gt;"))))</f>
        <v/>
      </c>
      <c r="M312" s="56" t="str">
        <f>IF(M$280="","",IF(COUNTIFS(BD!$B$3:$B$5001,M$280,BD!$A$3:$A$5001,"&gt;="&amp;$C$8,BD!$A$3:$A$5001,"&lt;="&amp;$D$8,BD!$Z$3:$Z$5001,"&lt;&gt;")=0,"",SUMIFS(BD!$Z$3:$Z$5001,BD!$B$3:$B$5001,M$280,BD!$A$3:$A$5001,_xlfn.MAXIFS(BD!$A$3:$A$5001,BD!$B$3:$B$5001,M$280,BD!$A$3:$A$5001,"&gt;="&amp;$C$8,BD!$A$3:$A$5001,"&lt;="&amp;$D$8,BD!$Z$3:$Z$5001,"&lt;&gt;"))))</f>
        <v/>
      </c>
      <c r="N312" s="56" t="str">
        <f>IF(N$280="","",IF(COUNTIFS(BD!$B$3:$B$5001,N$280,BD!$A$3:$A$5001,"&gt;="&amp;$C$8,BD!$A$3:$A$5001,"&lt;="&amp;$D$8,BD!$Z$3:$Z$5001,"&lt;&gt;")=0,"",SUMIFS(BD!$Z$3:$Z$5001,BD!$B$3:$B$5001,N$280,BD!$A$3:$A$5001,_xlfn.MAXIFS(BD!$A$3:$A$5001,BD!$B$3:$B$5001,N$280,BD!$A$3:$A$5001,"&gt;="&amp;$C$8,BD!$A$3:$A$5001,"&lt;="&amp;$D$8,BD!$Z$3:$Z$5001,"&lt;&gt;"))))</f>
        <v/>
      </c>
      <c r="O312" s="56" t="str">
        <f>IF(O$280="","",IF(COUNTIFS(BD!$B$3:$B$5001,O$280,BD!$A$3:$A$5001,"&gt;="&amp;$C$8,BD!$A$3:$A$5001,"&lt;="&amp;$D$8,BD!$Z$3:$Z$5001,"&lt;&gt;")=0,"",SUMIFS(BD!$Z$3:$Z$5001,BD!$B$3:$B$5001,O$280,BD!$A$3:$A$5001,_xlfn.MAXIFS(BD!$A$3:$A$5001,BD!$B$3:$B$5001,O$280,BD!$A$3:$A$5001,"&gt;="&amp;$C$8,BD!$A$3:$A$5001,"&lt;="&amp;$D$8,BD!$Z$3:$Z$5001,"&lt;&gt;"))))</f>
        <v/>
      </c>
      <c r="P312" s="56" t="str">
        <f>IF(P$280="","",IF(COUNTIFS(BD!$B$3:$B$5001,P$280,BD!$A$3:$A$5001,"&gt;="&amp;$C$8,BD!$A$3:$A$5001,"&lt;="&amp;$D$8,BD!$Z$3:$Z$5001,"&lt;&gt;")=0,"",SUMIFS(BD!$Z$3:$Z$5001,BD!$B$3:$B$5001,P$280,BD!$A$3:$A$5001,_xlfn.MAXIFS(BD!$A$3:$A$5001,BD!$B$3:$B$5001,P$280,BD!$A$3:$A$5001,"&gt;="&amp;$C$8,BD!$A$3:$A$5001,"&lt;="&amp;$D$8,BD!$Z$3:$Z$5001,"&lt;&gt;"))))</f>
        <v/>
      </c>
      <c r="Q312" s="56" t="str">
        <f>IF(Q$280="","",IF(COUNTIFS(BD!$B$3:$B$5001,Q$280,BD!$A$3:$A$5001,"&gt;="&amp;$C$8,BD!$A$3:$A$5001,"&lt;="&amp;$D$8,BD!$Z$3:$Z$5001,"&lt;&gt;")=0,"",SUMIFS(BD!$Z$3:$Z$5001,BD!$B$3:$B$5001,Q$280,BD!$A$3:$A$5001,_xlfn.MAXIFS(BD!$A$3:$A$5001,BD!$B$3:$B$5001,Q$280,BD!$A$3:$A$5001,"&gt;="&amp;$C$8,BD!$A$3:$A$5001,"&lt;="&amp;$D$8,BD!$Z$3:$Z$5001,"&lt;&gt;"))))</f>
        <v/>
      </c>
      <c r="R312" s="56" t="str">
        <f>IF(R$280="","",IF(COUNTIFS(BD!$B$3:$B$5001,R$280,BD!$A$3:$A$5001,"&gt;="&amp;$C$8,BD!$A$3:$A$5001,"&lt;="&amp;$D$8,BD!$Z$3:$Z$5001,"&lt;&gt;")=0,"",SUMIFS(BD!$Z$3:$Z$5001,BD!$B$3:$B$5001,R$280,BD!$A$3:$A$5001,_xlfn.MAXIFS(BD!$A$3:$A$5001,BD!$B$3:$B$5001,R$280,BD!$A$3:$A$5001,"&gt;="&amp;$C$8,BD!$A$3:$A$5001,"&lt;="&amp;$D$8,BD!$Z$3:$Z$5001,"&lt;&gt;"))))</f>
        <v/>
      </c>
      <c r="S312" s="56" t="str">
        <f>IF(S$280="","",IF(COUNTIFS(BD!$B$3:$B$5001,S$280,BD!$A$3:$A$5001,"&gt;="&amp;$C$8,BD!$A$3:$A$5001,"&lt;="&amp;$D$8,BD!$Z$3:$Z$5001,"&lt;&gt;")=0,"",SUMIFS(BD!$Z$3:$Z$5001,BD!$B$3:$B$5001,S$280,BD!$A$3:$A$5001,_xlfn.MAXIFS(BD!$A$3:$A$5001,BD!$B$3:$B$5001,S$280,BD!$A$3:$A$5001,"&gt;="&amp;$C$8,BD!$A$3:$A$5001,"&lt;="&amp;$D$8,BD!$Z$3:$Z$5001,"&lt;&gt;"))))</f>
        <v/>
      </c>
      <c r="T312" s="56" t="str">
        <f>IF(T$280="","",IF(COUNTIFS(BD!$B$3:$B$5001,T$280,BD!$A$3:$A$5001,"&gt;="&amp;$C$8,BD!$A$3:$A$5001,"&lt;="&amp;$D$8,BD!$Z$3:$Z$5001,"&lt;&gt;")=0,"",SUMIFS(BD!$Z$3:$Z$5001,BD!$B$3:$B$5001,T$280,BD!$A$3:$A$5001,_xlfn.MAXIFS(BD!$A$3:$A$5001,BD!$B$3:$B$5001,T$280,BD!$A$3:$A$5001,"&gt;="&amp;$C$8,BD!$A$3:$A$5001,"&lt;="&amp;$D$8,BD!$Z$3:$Z$5001,"&lt;&gt;"))))</f>
        <v/>
      </c>
      <c r="U312" s="56" t="str">
        <f>IF(U$280="","",IF(COUNTIFS(BD!$B$3:$B$5001,U$280,BD!$A$3:$A$5001,"&gt;="&amp;$C$8,BD!$A$3:$A$5001,"&lt;="&amp;$D$8,BD!$Z$3:$Z$5001,"&lt;&gt;")=0,"",SUMIFS(BD!$Z$3:$Z$5001,BD!$B$3:$B$5001,U$280,BD!$A$3:$A$5001,_xlfn.MAXIFS(BD!$A$3:$A$5001,BD!$B$3:$B$5001,U$280,BD!$A$3:$A$5001,"&gt;="&amp;$C$8,BD!$A$3:$A$5001,"&lt;="&amp;$D$8,BD!$Z$3:$Z$5001,"&lt;&gt;"))))</f>
        <v/>
      </c>
      <c r="V312" s="56" t="str">
        <f>IF(V$280="","",IF(COUNTIFS(BD!$B$3:$B$5001,V$280,BD!$A$3:$A$5001,"&gt;="&amp;$C$8,BD!$A$3:$A$5001,"&lt;="&amp;$D$8,BD!$Z$3:$Z$5001,"&lt;&gt;")=0,"",SUMIFS(BD!$Z$3:$Z$5001,BD!$B$3:$B$5001,V$280,BD!$A$3:$A$5001,_xlfn.MAXIFS(BD!$A$3:$A$5001,BD!$B$3:$B$5001,V$280,BD!$A$3:$A$5001,"&gt;="&amp;$C$8,BD!$A$3:$A$5001,"&lt;="&amp;$D$8,BD!$Z$3:$Z$5001,"&lt;&gt;"))))</f>
        <v/>
      </c>
    </row>
    <row r="313">
      <c r="A313" s="55" t="inlineStr">
        <is>
          <t xml:space="preserve">Depósito</t>
        </is>
      </c>
      <c r="C313" s="48" t="str">
        <f>IF(Config!$C$10="","TPC",Config!$C$10)</f>
        <v>TPC</v>
      </c>
      <c r="D313" s="48" t="str">
        <f>IF(Config!$C$11="","TPC",Config!$C$11)</f>
        <v>TPC</v>
      </c>
      <c r="E313" s="48" t="str">
        <f>IF(Config!$C$12="","TPC",Config!$C$12)</f>
        <v>TPC</v>
      </c>
      <c r="F313" s="48" t="str">
        <f>IF(Config!$C$13="","TPC",Config!$C$13)</f>
        <v>TPC</v>
      </c>
      <c r="G313" s="48" t="str">
        <f>IF(Config!$C$14="","TPC",Config!$C$14)</f>
        <v>TPC</v>
      </c>
      <c r="H313" s="48" t="str">
        <f>IF(Config!$C$15="","TPC",Config!$C$15)</f>
        <v>TPC</v>
      </c>
      <c r="I313" s="48" t="str">
        <f>IF(Config!$C$16="","TPC",Config!$C$16)</f>
        <v>TPC</v>
      </c>
      <c r="J313" s="48" t="str">
        <f>IF(Config!$C$17="","TPC",Config!$C$17)</f>
        <v>TPC</v>
      </c>
      <c r="K313" s="48" t="str">
        <f>IF(Config!$C$18="","TPC",Config!$C$18)</f>
        <v>TPC</v>
      </c>
      <c r="L313" s="48" t="str">
        <f>IF(Config!$C$19="","TPC",Config!$C$19)</f>
        <v>TPC</v>
      </c>
      <c r="M313" s="48" t="str">
        <f>IF(Config!$C$20="","TPC",Config!$C$20)</f>
        <v>TPC</v>
      </c>
      <c r="N313" s="48" t="str">
        <f>IF(Config!$C$21="","TPC",Config!$C$21)</f>
        <v>TPC</v>
      </c>
      <c r="O313" s="48" t="str">
        <f>IF(Config!$C$22="","TPC",Config!$C$22)</f>
        <v>TPC</v>
      </c>
      <c r="P313" s="48" t="str">
        <f>IF(Config!$C$23="","TPC",Config!$C$23)</f>
        <v>TPC</v>
      </c>
      <c r="Q313" s="48" t="str">
        <f>IF(Config!$C$24="","TPC",Config!$C$24)</f>
        <v>TPC</v>
      </c>
      <c r="R313" s="48" t="str">
        <f>IF(Config!$C$25="","TPC",Config!$C$25)</f>
        <v>TPC</v>
      </c>
      <c r="S313" s="48" t="str">
        <f>IF(Config!$C$26="","TPC",Config!$C$26)</f>
        <v>TPC</v>
      </c>
      <c r="T313" s="48" t="str">
        <f>IF(Config!$C$27="","TPC",Config!$C$27)</f>
        <v>TPC</v>
      </c>
      <c r="U313" s="48" t="str">
        <f>IF(Config!$C$28="","TPC",Config!$C$28)</f>
        <v>TPC</v>
      </c>
      <c r="V313" s="48" t="str">
        <f>IF(Config!$C$29="","TPC",Config!$C$29)</f>
        <v>TPC</v>
      </c>
    </row>
    <row r="317">
      <c r="A317" s="52" t="inlineStr">
        <is>
          <t xml:space="preserve">RESUMO POR CLIENTE — clientes visíveis pelo filtro do Consol Mensal</t>
        </is>
      </c>
    </row>
    <row r="318">
      <c r="A318" s="47" t="inlineStr">
        <is>
          <t xml:space="preserve">Cliente</t>
        </is>
      </c>
      <c r="B318" s="47" t="inlineStr">
        <is>
          <t xml:space="preserve">Depósito</t>
        </is>
      </c>
      <c r="C318" s="47" t="inlineStr">
        <is>
          <t xml:space="preserve">Entra?</t>
        </is>
      </c>
      <c r="D318" s="47" t="inlineStr">
        <is>
          <t xml:space="preserve">Ordem</t>
        </is>
      </c>
      <c r="F318" s="47" t="inlineStr">
        <is>
          <t xml:space="preserve">Posição</t>
        </is>
      </c>
      <c r="G318" s="47" t="inlineStr">
        <is>
          <t xml:space="preserve">Cliente visível</t>
        </is>
      </c>
      <c r="H318" s="47" t="inlineStr">
        <is>
          <t xml:space="preserve">Depósito visível</t>
        </is>
      </c>
    </row>
    <row r="319">
      <c r="A319" s="76" t="str">
        <f>Config!$B$10&amp;""</f>
        <v>Alpargatas</v>
      </c>
      <c r="B319" s="48" t="str">
        <f>IF(Config!$C$10="","TPC",Config!$C$10)</f>
        <v>TPC</v>
      </c>
      <c r="C319" s="48">
        <f>IF($A319="",0,IF(OR($B$2="Todos",AND($C$2=2,$B319=$D$2),AND($C$2=1,$A319=$D$2)),1,0))</f>
        <v>1</v>
      </c>
      <c r="D319" s="48">
        <f>IF($C319=1,SUM($C$319:$C319),"")</f>
        <v>1</v>
      </c>
      <c r="F319" s="48">
        <v>1</v>
      </c>
      <c r="G319" s="76" t="str">
        <f>IFERROR(INDEX($A$319:$A$338,MATCH($F319,$D$319:$D$338,0)),"")</f>
        <v>Alpargatas</v>
      </c>
      <c r="H319" s="48" t="str">
        <f>IFERROR(INDEX($B$319:$B$338,MATCH($F319,$D$319:$D$338,0)),"")</f>
        <v>TPC</v>
      </c>
    </row>
    <row r="320">
      <c r="A320" s="76" t="str">
        <f>Config!$B$11&amp;""</f>
        <v>Basf</v>
      </c>
      <c r="B320" s="48" t="str">
        <f>IF(Config!$C$11="","TPC",Config!$C$11)</f>
        <v>TPC</v>
      </c>
      <c r="C320" s="48">
        <f>IF($A320="",0,IF(OR($B$2="Todos",AND($C$2=2,$B320=$D$2),AND($C$2=1,$A320=$D$2)),1,0))</f>
        <v>1</v>
      </c>
      <c r="D320" s="48">
        <f>IF($C320=1,SUM($C$319:$C320),"")</f>
        <v>2</v>
      </c>
      <c r="F320" s="48">
        <v>2</v>
      </c>
      <c r="G320" s="76" t="str">
        <f>IFERROR(INDEX($A$319:$A$338,MATCH($F320,$D$319:$D$338,0)),"")</f>
        <v>Basf</v>
      </c>
      <c r="H320" s="48" t="str">
        <f>IFERROR(INDEX($B$319:$B$338,MATCH($F320,$D$319:$D$338,0)),"")</f>
        <v>TPC</v>
      </c>
    </row>
    <row r="321">
      <c r="A321" s="76" t="str">
        <f>Config!$B$12&amp;""</f>
        <v>Beautybiz</v>
      </c>
      <c r="B321" s="48" t="str">
        <f>IF(Config!$C$12="","TPC",Config!$C$12)</f>
        <v>TPC</v>
      </c>
      <c r="C321" s="48">
        <f>IF($A321="",0,IF(OR($B$2="Todos",AND($C$2=2,$B321=$D$2),AND($C$2=1,$A321=$D$2)),1,0))</f>
        <v>1</v>
      </c>
      <c r="D321" s="48">
        <f>IF($C321=1,SUM($C$319:$C321),"")</f>
        <v>3</v>
      </c>
      <c r="F321" s="48">
        <v>3</v>
      </c>
      <c r="G321" s="76" t="str">
        <f>IFERROR(INDEX($A$319:$A$338,MATCH($F321,$D$319:$D$338,0)),"")</f>
        <v>Beautybiz</v>
      </c>
      <c r="H321" s="48" t="str">
        <f>IFERROR(INDEX($B$319:$B$338,MATCH($F321,$D$319:$D$338,0)),"")</f>
        <v>TPC</v>
      </c>
    </row>
    <row r="322">
      <c r="A322" s="76" t="str">
        <f>Config!$B$13&amp;""</f>
        <v>Boticário</v>
      </c>
      <c r="B322" s="48" t="str">
        <f>IF(Config!$C$13="","TPC",Config!$C$13)</f>
        <v>TPC</v>
      </c>
      <c r="C322" s="48">
        <f>IF($A322="",0,IF(OR($B$2="Todos",AND($C$2=2,$B322=$D$2),AND($C$2=1,$A322=$D$2)),1,0))</f>
        <v>1</v>
      </c>
      <c r="D322" s="48">
        <f>IF($C322=1,SUM($C$319:$C322),"")</f>
        <v>4</v>
      </c>
      <c r="F322" s="48">
        <v>4</v>
      </c>
      <c r="G322" s="76" t="str">
        <f>IFERROR(INDEX($A$319:$A$338,MATCH($F322,$D$319:$D$338,0)),"")</f>
        <v>Boticário</v>
      </c>
      <c r="H322" s="48" t="str">
        <f>IFERROR(INDEX($B$319:$B$338,MATCH($F322,$D$319:$D$338,0)),"")</f>
        <v>TPC</v>
      </c>
    </row>
    <row r="323">
      <c r="A323" s="76" t="str">
        <f>Config!$B$14&amp;""</f>
        <v>Confiance</v>
      </c>
      <c r="B323" s="48" t="str">
        <f>IF(Config!$C$14="","TPC",Config!$C$14)</f>
        <v>TPC</v>
      </c>
      <c r="C323" s="48">
        <f>IF($A323="",0,IF(OR($B$2="Todos",AND($C$2=2,$B323=$D$2),AND($C$2=1,$A323=$D$2)),1,0))</f>
        <v>1</v>
      </c>
      <c r="D323" s="48">
        <f>IF($C323=1,SUM($C$319:$C323),"")</f>
        <v>5</v>
      </c>
      <c r="F323" s="48">
        <v>5</v>
      </c>
      <c r="G323" s="76" t="str">
        <f>IFERROR(INDEX($A$319:$A$338,MATCH($F323,$D$319:$D$338,0)),"")</f>
        <v>Confiance</v>
      </c>
      <c r="H323" s="48" t="str">
        <f>IFERROR(INDEX($B$319:$B$338,MATCH($F323,$D$319:$D$338,0)),"")</f>
        <v>TPC</v>
      </c>
    </row>
    <row r="324">
      <c r="A324" s="76" t="str">
        <f>Config!$B$15&amp;""</f>
        <v>GE Vernova</v>
      </c>
      <c r="B324" s="48" t="str">
        <f>IF(Config!$C$15="","TPC",Config!$C$15)</f>
        <v>TPC</v>
      </c>
      <c r="C324" s="48">
        <f>IF($A324="",0,IF(OR($B$2="Todos",AND($C$2=2,$B324=$D$2),AND($C$2=1,$A324=$D$2)),1,0))</f>
        <v>1</v>
      </c>
      <c r="D324" s="48">
        <f>IF($C324=1,SUM($C$319:$C324),"")</f>
        <v>6</v>
      </c>
      <c r="F324" s="48">
        <v>6</v>
      </c>
      <c r="G324" s="76" t="str">
        <f>IFERROR(INDEX($A$319:$A$338,MATCH($F324,$D$319:$D$338,0)),"")</f>
        <v>GE Vernova</v>
      </c>
      <c r="H324" s="48" t="str">
        <f>IFERROR(INDEX($B$319:$B$338,MATCH($F324,$D$319:$D$338,0)),"")</f>
        <v>TPC</v>
      </c>
    </row>
    <row r="325">
      <c r="A325" s="76" t="str">
        <f>Config!$B$16&amp;""</f>
        <v>Omnilife</v>
      </c>
      <c r="B325" s="48" t="str">
        <f>IF(Config!$C$16="","TPC",Config!$C$16)</f>
        <v>TPC</v>
      </c>
      <c r="C325" s="48">
        <f>IF($A325="",0,IF(OR($B$2="Todos",AND($C$2=2,$B325=$D$2),AND($C$2=1,$A325=$D$2)),1,0))</f>
        <v>1</v>
      </c>
      <c r="D325" s="48">
        <f>IF($C325=1,SUM($C$319:$C325),"")</f>
        <v>7</v>
      </c>
      <c r="F325" s="48">
        <v>7</v>
      </c>
      <c r="G325" s="76" t="str">
        <f>IFERROR(INDEX($A$319:$A$338,MATCH($F325,$D$319:$D$338,0)),"")</f>
        <v>Omnilife</v>
      </c>
      <c r="H325" s="48" t="str">
        <f>IFERROR(INDEX($B$319:$B$338,MATCH($F325,$D$319:$D$338,0)),"")</f>
        <v>TPC</v>
      </c>
    </row>
    <row r="326">
      <c r="A326" s="76" t="str">
        <f>Config!$B$17&amp;""</f>
        <v>Supply</v>
      </c>
      <c r="B326" s="48" t="str">
        <f>IF(Config!$C$17="","TPC",Config!$C$17)</f>
        <v>TPC</v>
      </c>
      <c r="C326" s="48">
        <f>IF($A326="",0,IF(OR($B$2="Todos",AND($C$2=2,$B326=$D$2),AND($C$2=1,$A326=$D$2)),1,0))</f>
        <v>1</v>
      </c>
      <c r="D326" s="48">
        <f>IF($C326=1,SUM($C$319:$C326),"")</f>
        <v>8</v>
      </c>
      <c r="F326" s="48">
        <v>8</v>
      </c>
      <c r="G326" s="76" t="str">
        <f>IFERROR(INDEX($A$319:$A$338,MATCH($F326,$D$319:$D$338,0)),"")</f>
        <v>Supply</v>
      </c>
      <c r="H326" s="48" t="str">
        <f>IFERROR(INDEX($B$319:$B$338,MATCH($F326,$D$319:$D$338,0)),"")</f>
        <v>TPC</v>
      </c>
    </row>
    <row r="327">
      <c r="A327" s="76" t="str">
        <f>Config!$B$18&amp;""</f>
        <v>Vedacit</v>
      </c>
      <c r="B327" s="48" t="str">
        <f>IF(Config!$C$18="","TPC",Config!$C$18)</f>
        <v>TPC</v>
      </c>
      <c r="C327" s="48">
        <f>IF($A327="",0,IF(OR($B$2="Todos",AND($C$2=2,$B327=$D$2),AND($C$2=1,$A327=$D$2)),1,0))</f>
        <v>1</v>
      </c>
      <c r="D327" s="48">
        <f>IF($C327=1,SUM($C$319:$C327),"")</f>
        <v>9</v>
      </c>
      <c r="F327" s="48">
        <v>9</v>
      </c>
      <c r="G327" s="76" t="str">
        <f>IFERROR(INDEX($A$319:$A$338,MATCH($F327,$D$319:$D$338,0)),"")</f>
        <v>Vedacit</v>
      </c>
      <c r="H327" s="48" t="str">
        <f>IFERROR(INDEX($B$319:$B$338,MATCH($F327,$D$319:$D$338,0)),"")</f>
        <v>TPC</v>
      </c>
    </row>
    <row r="328">
      <c r="A328" s="76" t="str">
        <f>Config!$B$19&amp;""</f>
        <v>Vestas</v>
      </c>
      <c r="B328" s="48" t="str">
        <f>IF(Config!$C$19="","TPC",Config!$C$19)</f>
        <v>TPC</v>
      </c>
      <c r="C328" s="48">
        <f>IF($A328="",0,IF(OR($B$2="Todos",AND($C$2=2,$B328=$D$2),AND($C$2=1,$A328=$D$2)),1,0))</f>
        <v>1</v>
      </c>
      <c r="D328" s="48">
        <f>IF($C328=1,SUM($C$319:$C328),"")</f>
        <v>10</v>
      </c>
      <c r="F328" s="48">
        <v>10</v>
      </c>
      <c r="G328" s="76" t="str">
        <f>IFERROR(INDEX($A$319:$A$338,MATCH($F328,$D$319:$D$338,0)),"")</f>
        <v>Vestas</v>
      </c>
      <c r="H328" s="48" t="str">
        <f>IFERROR(INDEX($B$319:$B$338,MATCH($F328,$D$319:$D$338,0)),"")</f>
        <v>TPC</v>
      </c>
    </row>
    <row r="329">
      <c r="A329" s="76" t="str">
        <f>Config!$B$20&amp;""</f>
        <v/>
      </c>
      <c r="B329" s="48" t="str">
        <f>IF(Config!$C$20="","TPC",Config!$C$20)</f>
        <v>TPC</v>
      </c>
      <c r="C329" s="48">
        <f>IF($A329="",0,IF(OR($B$2="Todos",AND($C$2=2,$B329=$D$2),AND($C$2=1,$A329=$D$2)),1,0))</f>
        <v>0</v>
      </c>
      <c r="D329" s="48" t="str">
        <f>IF($C329=1,SUM($C$319:$C329),"")</f>
        <v/>
      </c>
      <c r="F329" s="48">
        <v>11</v>
      </c>
      <c r="G329" s="76" t="str">
        <f>IFERROR(INDEX($A$319:$A$338,MATCH($F329,$D$319:$D$338,0)),"")</f>
        <v/>
      </c>
      <c r="H329" s="48" t="str">
        <f>IFERROR(INDEX($B$319:$B$338,MATCH($F329,$D$319:$D$338,0)),"")</f>
        <v/>
      </c>
    </row>
    <row r="330">
      <c r="A330" s="76" t="str">
        <f>Config!$B$21&amp;""</f>
        <v/>
      </c>
      <c r="B330" s="48" t="str">
        <f>IF(Config!$C$21="","TPC",Config!$C$21)</f>
        <v>TPC</v>
      </c>
      <c r="C330" s="48">
        <f>IF($A330="",0,IF(OR($B$2="Todos",AND($C$2=2,$B330=$D$2),AND($C$2=1,$A330=$D$2)),1,0))</f>
        <v>0</v>
      </c>
      <c r="D330" s="48" t="str">
        <f>IF($C330=1,SUM($C$319:$C330),"")</f>
        <v/>
      </c>
      <c r="F330" s="48">
        <v>12</v>
      </c>
      <c r="G330" s="76" t="str">
        <f>IFERROR(INDEX($A$319:$A$338,MATCH($F330,$D$319:$D$338,0)),"")</f>
        <v/>
      </c>
      <c r="H330" s="48" t="str">
        <f>IFERROR(INDEX($B$319:$B$338,MATCH($F330,$D$319:$D$338,0)),"")</f>
        <v/>
      </c>
    </row>
    <row r="331">
      <c r="A331" s="76" t="str">
        <f>Config!$B$22&amp;""</f>
        <v/>
      </c>
      <c r="B331" s="48" t="str">
        <f>IF(Config!$C$22="","TPC",Config!$C$22)</f>
        <v>TPC</v>
      </c>
      <c r="C331" s="48">
        <f>IF($A331="",0,IF(OR($B$2="Todos",AND($C$2=2,$B331=$D$2),AND($C$2=1,$A331=$D$2)),1,0))</f>
        <v>0</v>
      </c>
      <c r="D331" s="48" t="str">
        <f>IF($C331=1,SUM($C$319:$C331),"")</f>
        <v/>
      </c>
      <c r="F331" s="48">
        <v>13</v>
      </c>
      <c r="G331" s="76" t="str">
        <f>IFERROR(INDEX($A$319:$A$338,MATCH($F331,$D$319:$D$338,0)),"")</f>
        <v/>
      </c>
      <c r="H331" s="48" t="str">
        <f>IFERROR(INDEX($B$319:$B$338,MATCH($F331,$D$319:$D$338,0)),"")</f>
        <v/>
      </c>
    </row>
    <row r="332">
      <c r="A332" s="76" t="str">
        <f>Config!$B$23&amp;""</f>
        <v/>
      </c>
      <c r="B332" s="48" t="str">
        <f>IF(Config!$C$23="","TPC",Config!$C$23)</f>
        <v>TPC</v>
      </c>
      <c r="C332" s="48">
        <f>IF($A332="",0,IF(OR($B$2="Todos",AND($C$2=2,$B332=$D$2),AND($C$2=1,$A332=$D$2)),1,0))</f>
        <v>0</v>
      </c>
      <c r="D332" s="48" t="str">
        <f>IF($C332=1,SUM($C$319:$C332),"")</f>
        <v/>
      </c>
      <c r="F332" s="48">
        <v>14</v>
      </c>
      <c r="G332" s="76" t="str">
        <f>IFERROR(INDEX($A$319:$A$338,MATCH($F332,$D$319:$D$338,0)),"")</f>
        <v/>
      </c>
      <c r="H332" s="48" t="str">
        <f>IFERROR(INDEX($B$319:$B$338,MATCH($F332,$D$319:$D$338,0)),"")</f>
        <v/>
      </c>
    </row>
    <row r="333">
      <c r="A333" s="76" t="str">
        <f>Config!$B$24&amp;""</f>
        <v/>
      </c>
      <c r="B333" s="48" t="str">
        <f>IF(Config!$C$24="","TPC",Config!$C$24)</f>
        <v>TPC</v>
      </c>
      <c r="C333" s="48">
        <f>IF($A333="",0,IF(OR($B$2="Todos",AND($C$2=2,$B333=$D$2),AND($C$2=1,$A333=$D$2)),1,0))</f>
        <v>0</v>
      </c>
      <c r="D333" s="48" t="str">
        <f>IF($C333=1,SUM($C$319:$C333),"")</f>
        <v/>
      </c>
      <c r="F333" s="48">
        <v>15</v>
      </c>
      <c r="G333" s="76" t="str">
        <f>IFERROR(INDEX($A$319:$A$338,MATCH($F333,$D$319:$D$338,0)),"")</f>
        <v/>
      </c>
      <c r="H333" s="48" t="str">
        <f>IFERROR(INDEX($B$319:$B$338,MATCH($F333,$D$319:$D$338,0)),"")</f>
        <v/>
      </c>
    </row>
    <row r="334">
      <c r="A334" s="76" t="str">
        <f>Config!$B$25&amp;""</f>
        <v/>
      </c>
      <c r="B334" s="48" t="str">
        <f>IF(Config!$C$25="","TPC",Config!$C$25)</f>
        <v>TPC</v>
      </c>
      <c r="C334" s="48">
        <f>IF($A334="",0,IF(OR($B$2="Todos",AND($C$2=2,$B334=$D$2),AND($C$2=1,$A334=$D$2)),1,0))</f>
        <v>0</v>
      </c>
      <c r="D334" s="48" t="str">
        <f>IF($C334=1,SUM($C$319:$C334),"")</f>
        <v/>
      </c>
      <c r="F334" s="48">
        <v>16</v>
      </c>
      <c r="G334" s="76" t="str">
        <f>IFERROR(INDEX($A$319:$A$338,MATCH($F334,$D$319:$D$338,0)),"")</f>
        <v/>
      </c>
      <c r="H334" s="48" t="str">
        <f>IFERROR(INDEX($B$319:$B$338,MATCH($F334,$D$319:$D$338,0)),"")</f>
        <v/>
      </c>
    </row>
    <row r="335">
      <c r="A335" s="76" t="str">
        <f>Config!$B$26&amp;""</f>
        <v/>
      </c>
      <c r="B335" s="48" t="str">
        <f>IF(Config!$C$26="","TPC",Config!$C$26)</f>
        <v>TPC</v>
      </c>
      <c r="C335" s="48">
        <f>IF($A335="",0,IF(OR($B$2="Todos",AND($C$2=2,$B335=$D$2),AND($C$2=1,$A335=$D$2)),1,0))</f>
        <v>0</v>
      </c>
      <c r="D335" s="48" t="str">
        <f>IF($C335=1,SUM($C$319:$C335),"")</f>
        <v/>
      </c>
      <c r="F335" s="48">
        <v>17</v>
      </c>
      <c r="G335" s="76" t="str">
        <f>IFERROR(INDEX($A$319:$A$338,MATCH($F335,$D$319:$D$338,0)),"")</f>
        <v/>
      </c>
      <c r="H335" s="48" t="str">
        <f>IFERROR(INDEX($B$319:$B$338,MATCH($F335,$D$319:$D$338,0)),"")</f>
        <v/>
      </c>
    </row>
    <row r="336">
      <c r="A336" s="76" t="str">
        <f>Config!$B$27&amp;""</f>
        <v/>
      </c>
      <c r="B336" s="48" t="str">
        <f>IF(Config!$C$27="","TPC",Config!$C$27)</f>
        <v>TPC</v>
      </c>
      <c r="C336" s="48">
        <f>IF($A336="",0,IF(OR($B$2="Todos",AND($C$2=2,$B336=$D$2),AND($C$2=1,$A336=$D$2)),1,0))</f>
        <v>0</v>
      </c>
      <c r="D336" s="48" t="str">
        <f>IF($C336=1,SUM($C$319:$C336),"")</f>
        <v/>
      </c>
      <c r="F336" s="48">
        <v>18</v>
      </c>
      <c r="G336" s="76" t="str">
        <f>IFERROR(INDEX($A$319:$A$338,MATCH($F336,$D$319:$D$338,0)),"")</f>
        <v/>
      </c>
      <c r="H336" s="48" t="str">
        <f>IFERROR(INDEX($B$319:$B$338,MATCH($F336,$D$319:$D$338,0)),"")</f>
        <v/>
      </c>
    </row>
    <row r="337">
      <c r="A337" s="76" t="str">
        <f>Config!$B$28&amp;""</f>
        <v/>
      </c>
      <c r="B337" s="48" t="str">
        <f>IF(Config!$C$28="","TPC",Config!$C$28)</f>
        <v>TPC</v>
      </c>
      <c r="C337" s="48">
        <f>IF($A337="",0,IF(OR($B$2="Todos",AND($C$2=2,$B337=$D$2),AND($C$2=1,$A337=$D$2)),1,0))</f>
        <v>0</v>
      </c>
      <c r="D337" s="48" t="str">
        <f>IF($C337=1,SUM($C$319:$C337),"")</f>
        <v/>
      </c>
      <c r="F337" s="48">
        <v>19</v>
      </c>
      <c r="G337" s="76" t="str">
        <f>IFERROR(INDEX($A$319:$A$338,MATCH($F337,$D$319:$D$338,0)),"")</f>
        <v/>
      </c>
      <c r="H337" s="48" t="str">
        <f>IFERROR(INDEX($B$319:$B$338,MATCH($F337,$D$319:$D$338,0)),"")</f>
        <v/>
      </c>
    </row>
    <row r="338">
      <c r="A338" s="76" t="str">
        <f>Config!$B$29&amp;""</f>
        <v/>
      </c>
      <c r="B338" s="48" t="str">
        <f>IF(Config!$C$29="","TPC",Config!$C$29)</f>
        <v>TPC</v>
      </c>
      <c r="C338" s="48">
        <f>IF($A338="",0,IF(OR($B$2="Todos",AND($C$2=2,$B338=$D$2),AND($C$2=1,$A338=$D$2)),1,0))</f>
        <v>0</v>
      </c>
      <c r="D338" s="48" t="str">
        <f>IF($C338=1,SUM($C$319:$C338),"")</f>
        <v/>
      </c>
      <c r="F338" s="48">
        <v>20</v>
      </c>
      <c r="G338" s="76" t="str">
        <f>IFERROR(INDEX($A$319:$A$338,MATCH($F338,$D$319:$D$338,0)),"")</f>
        <v/>
      </c>
      <c r="H338" s="48" t="str">
        <f>IFERROR(INDEX($B$319:$B$338,MATCH($F338,$D$319:$D$338,0)),"")</f>
        <v/>
      </c>
    </row>
    <row r="340">
      <c r="A340" s="52" t="inlineStr">
        <is>
          <t xml:space="preserve">INDICADORES MEDIDOS POR CLIENTE (1 = mede) — o quadro mostra "—" quando o cliente filtrado não mede</t>
        </is>
      </c>
    </row>
    <row r="341">
      <c r="A341" s="47" t="inlineStr">
        <is>
          <t xml:space="preserve">Indicador</t>
        </is>
      </c>
      <c r="B341" s="47" t="inlineStr">
        <is>
          <t xml:space="preserve">Mede (seleção)</t>
        </is>
      </c>
      <c r="C341" s="47" t="str">
        <f>Config!$B$10&amp;""</f>
        <v>Alpargatas</v>
      </c>
      <c r="D341" s="47" t="str">
        <f>Config!$B$11&amp;""</f>
        <v>Basf</v>
      </c>
      <c r="E341" s="47" t="str">
        <f>Config!$B$12&amp;""</f>
        <v>Beautybiz</v>
      </c>
      <c r="F341" s="47" t="str">
        <f>Config!$B$13&amp;""</f>
        <v>Boticário</v>
      </c>
      <c r="G341" s="47" t="str">
        <f>Config!$B$14&amp;""</f>
        <v>Confiance</v>
      </c>
      <c r="H341" s="47" t="str">
        <f>Config!$B$15&amp;""</f>
        <v>GE Vernova</v>
      </c>
      <c r="I341" s="47" t="str">
        <f>Config!$B$16&amp;""</f>
        <v>Omnilife</v>
      </c>
      <c r="J341" s="47" t="str">
        <f>Config!$B$17&amp;""</f>
        <v>Supply</v>
      </c>
      <c r="K341" s="47" t="str">
        <f>Config!$B$18&amp;""</f>
        <v>Vedacit</v>
      </c>
      <c r="L341" s="47" t="str">
        <f>Config!$B$19&amp;""</f>
        <v>Vestas</v>
      </c>
      <c r="M341" s="47" t="str">
        <f>Config!$B$20&amp;""</f>
        <v/>
      </c>
      <c r="N341" s="47" t="str">
        <f>Config!$B$21&amp;""</f>
        <v/>
      </c>
      <c r="O341" s="47" t="str">
        <f>Config!$B$22&amp;""</f>
        <v/>
      </c>
      <c r="P341" s="47" t="str">
        <f>Config!$B$23&amp;""</f>
        <v/>
      </c>
      <c r="Q341" s="47" t="str">
        <f>Config!$B$24&amp;""</f>
        <v/>
      </c>
      <c r="R341" s="47" t="str">
        <f>Config!$B$25&amp;""</f>
        <v/>
      </c>
      <c r="S341" s="47" t="str">
        <f>Config!$B$26&amp;""</f>
        <v/>
      </c>
      <c r="T341" s="47" t="str">
        <f>Config!$B$27&amp;""</f>
        <v/>
      </c>
      <c r="U341" s="47" t="str">
        <f>Config!$B$28&amp;""</f>
        <v/>
      </c>
      <c r="V341" s="47" t="str">
        <f>Config!$B$29&amp;""</f>
        <v/>
      </c>
    </row>
    <row r="342">
      <c r="A342" s="76" t="inlineStr">
        <is>
          <t xml:space="preserve">IN · Veículos Recebidos</t>
        </is>
      </c>
      <c r="B342" s="49">
        <f>IF(OR($B$2="Todos",$C$2=2),1,IFERROR(INDEX($C$342:$V$342,MATCH($D$2,$C$341:$V$341,0)),1))</f>
        <v>1</v>
      </c>
      <c r="C342" s="48">
        <f>IF(Config!$D$35&lt;&gt;"Não",1,0)</f>
        <v>1</v>
      </c>
      <c r="D342" s="48">
        <f>IF(Config!$D$36&lt;&gt;"Não",1,0)</f>
        <v>1</v>
      </c>
      <c r="E342" s="48">
        <f>IF(Config!$D$37&lt;&gt;"Não",1,0)</f>
        <v>1</v>
      </c>
      <c r="F342" s="48">
        <f>IF(Config!$D$38&lt;&gt;"Não",1,0)</f>
        <v>1</v>
      </c>
      <c r="G342" s="48">
        <f>IF(Config!$D$39&lt;&gt;"Não",1,0)</f>
        <v>1</v>
      </c>
      <c r="H342" s="48">
        <f>IF(Config!$D$40&lt;&gt;"Não",1,0)</f>
        <v>1</v>
      </c>
      <c r="I342" s="48">
        <f>IF(Config!$D$41&lt;&gt;"Não",1,0)</f>
        <v>1</v>
      </c>
      <c r="J342" s="48">
        <f>IF(Config!$D$42&lt;&gt;"Não",1,0)</f>
        <v>1</v>
      </c>
      <c r="K342" s="48">
        <f>IF(Config!$D$43&lt;&gt;"Não",1,0)</f>
        <v>1</v>
      </c>
      <c r="L342" s="48">
        <f>IF(Config!$D$44&lt;&gt;"Não",1,0)</f>
        <v>1</v>
      </c>
      <c r="M342" s="48">
        <f>IF(Config!$D$45&lt;&gt;"Não",1,0)</f>
        <v>1</v>
      </c>
      <c r="N342" s="48">
        <f>IF(Config!$D$46&lt;&gt;"Não",1,0)</f>
        <v>1</v>
      </c>
      <c r="O342" s="48">
        <f>IF(Config!$D$47&lt;&gt;"Não",1,0)</f>
        <v>1</v>
      </c>
      <c r="P342" s="48">
        <f>IF(Config!$D$48&lt;&gt;"Não",1,0)</f>
        <v>1</v>
      </c>
      <c r="Q342" s="48">
        <f>IF(Config!$D$49&lt;&gt;"Não",1,0)</f>
        <v>1</v>
      </c>
      <c r="R342" s="48">
        <f>IF(Config!$D$50&lt;&gt;"Não",1,0)</f>
        <v>1</v>
      </c>
      <c r="S342" s="48">
        <f>IF(Config!$D$51&lt;&gt;"Não",1,0)</f>
        <v>1</v>
      </c>
      <c r="T342" s="48">
        <f>IF(Config!$D$52&lt;&gt;"Não",1,0)</f>
        <v>1</v>
      </c>
      <c r="U342" s="48">
        <f>IF(Config!$D$53&lt;&gt;"Não",1,0)</f>
        <v>1</v>
      </c>
      <c r="V342" s="48">
        <f>IF(Config!$D$54&lt;&gt;"Não",1,0)</f>
        <v>1</v>
      </c>
    </row>
    <row r="343">
      <c r="A343" s="76" t="inlineStr">
        <is>
          <t xml:space="preserve">IN · Pallets Movimentados</t>
        </is>
      </c>
      <c r="B343" s="49">
        <f>IF(OR($B$2="Todos",$C$2=2),1,IFERROR(INDEX($C$343:$V$343,MATCH($D$2,$C$341:$V$341,0)),1))</f>
        <v>1</v>
      </c>
      <c r="C343" s="48">
        <f>IF(Config!$E$35&lt;&gt;"Não",1,0)</f>
        <v>0</v>
      </c>
      <c r="D343" s="48">
        <f>IF(Config!$E$36&lt;&gt;"Não",1,0)</f>
        <v>1</v>
      </c>
      <c r="E343" s="48">
        <f>IF(Config!$E$37&lt;&gt;"Não",1,0)</f>
        <v>1</v>
      </c>
      <c r="F343" s="48">
        <f>IF(Config!$E$38&lt;&gt;"Não",1,0)</f>
        <v>1</v>
      </c>
      <c r="G343" s="48">
        <f>IF(Config!$E$39&lt;&gt;"Não",1,0)</f>
        <v>1</v>
      </c>
      <c r="H343" s="48">
        <f>IF(Config!$E$40&lt;&gt;"Não",1,0)</f>
        <v>1</v>
      </c>
      <c r="I343" s="48">
        <f>IF(Config!$E$41&lt;&gt;"Não",1,0)</f>
        <v>1</v>
      </c>
      <c r="J343" s="48">
        <f>IF(Config!$E$42&lt;&gt;"Não",1,0)</f>
        <v>1</v>
      </c>
      <c r="K343" s="48">
        <f>IF(Config!$E$43&lt;&gt;"Não",1,0)</f>
        <v>1</v>
      </c>
      <c r="L343" s="48">
        <f>IF(Config!$E$44&lt;&gt;"Não",1,0)</f>
        <v>0</v>
      </c>
      <c r="M343" s="48">
        <f>IF(Config!$E$45&lt;&gt;"Não",1,0)</f>
        <v>1</v>
      </c>
      <c r="N343" s="48">
        <f>IF(Config!$E$46&lt;&gt;"Não",1,0)</f>
        <v>1</v>
      </c>
      <c r="O343" s="48">
        <f>IF(Config!$E$47&lt;&gt;"Não",1,0)</f>
        <v>1</v>
      </c>
      <c r="P343" s="48">
        <f>IF(Config!$E$48&lt;&gt;"Não",1,0)</f>
        <v>1</v>
      </c>
      <c r="Q343" s="48">
        <f>IF(Config!$E$49&lt;&gt;"Não",1,0)</f>
        <v>1</v>
      </c>
      <c r="R343" s="48">
        <f>IF(Config!$E$50&lt;&gt;"Não",1,0)</f>
        <v>1</v>
      </c>
      <c r="S343" s="48">
        <f>IF(Config!$E$51&lt;&gt;"Não",1,0)</f>
        <v>1</v>
      </c>
      <c r="T343" s="48">
        <f>IF(Config!$E$52&lt;&gt;"Não",1,0)</f>
        <v>1</v>
      </c>
      <c r="U343" s="48">
        <f>IF(Config!$E$53&lt;&gt;"Não",1,0)</f>
        <v>1</v>
      </c>
      <c r="V343" s="48">
        <f>IF(Config!$E$54&lt;&gt;"Não",1,0)</f>
        <v>1</v>
      </c>
    </row>
    <row r="344">
      <c r="A344" s="76" t="inlineStr">
        <is>
          <t xml:space="preserve">IN · Toneladas Movimentadas</t>
        </is>
      </c>
      <c r="B344" s="49">
        <f>IF(OR($B$2="Todos",$C$2=2),1,IFERROR(INDEX($C$344:$V$344,MATCH($D$2,$C$341:$V$341,0)),1))</f>
        <v>1</v>
      </c>
      <c r="C344" s="48">
        <f>IF(Config!$F$35&lt;&gt;"Não",1,0)</f>
        <v>0</v>
      </c>
      <c r="D344" s="48">
        <f>IF(Config!$F$36&lt;&gt;"Não",1,0)</f>
        <v>1</v>
      </c>
      <c r="E344" s="48">
        <f>IF(Config!$F$37&lt;&gt;"Não",1,0)</f>
        <v>0</v>
      </c>
      <c r="F344" s="48">
        <f>IF(Config!$F$38&lt;&gt;"Não",1,0)</f>
        <v>0</v>
      </c>
      <c r="G344" s="48">
        <f>IF(Config!$F$39&lt;&gt;"Não",1,0)</f>
        <v>1</v>
      </c>
      <c r="H344" s="48">
        <f>IF(Config!$F$40&lt;&gt;"Não",1,0)</f>
        <v>0</v>
      </c>
      <c r="I344" s="48">
        <f>IF(Config!$F$41&lt;&gt;"Não",1,0)</f>
        <v>0</v>
      </c>
      <c r="J344" s="48">
        <f>IF(Config!$F$42&lt;&gt;"Não",1,0)</f>
        <v>1</v>
      </c>
      <c r="K344" s="48">
        <f>IF(Config!$F$43&lt;&gt;"Não",1,0)</f>
        <v>0</v>
      </c>
      <c r="L344" s="48">
        <f>IF(Config!$F$44&lt;&gt;"Não",1,0)</f>
        <v>0</v>
      </c>
      <c r="M344" s="48">
        <f>IF(Config!$F$45&lt;&gt;"Não",1,0)</f>
        <v>1</v>
      </c>
      <c r="N344" s="48">
        <f>IF(Config!$F$46&lt;&gt;"Não",1,0)</f>
        <v>1</v>
      </c>
      <c r="O344" s="48">
        <f>IF(Config!$F$47&lt;&gt;"Não",1,0)</f>
        <v>1</v>
      </c>
      <c r="P344" s="48">
        <f>IF(Config!$F$48&lt;&gt;"Não",1,0)</f>
        <v>1</v>
      </c>
      <c r="Q344" s="48">
        <f>IF(Config!$F$49&lt;&gt;"Não",1,0)</f>
        <v>1</v>
      </c>
      <c r="R344" s="48">
        <f>IF(Config!$F$50&lt;&gt;"Não",1,0)</f>
        <v>1</v>
      </c>
      <c r="S344" s="48">
        <f>IF(Config!$F$51&lt;&gt;"Não",1,0)</f>
        <v>1</v>
      </c>
      <c r="T344" s="48">
        <f>IF(Config!$F$52&lt;&gt;"Não",1,0)</f>
        <v>1</v>
      </c>
      <c r="U344" s="48">
        <f>IF(Config!$F$53&lt;&gt;"Não",1,0)</f>
        <v>1</v>
      </c>
      <c r="V344" s="48">
        <f>IF(Config!$F$54&lt;&gt;"Não",1,0)</f>
        <v>1</v>
      </c>
    </row>
    <row r="345">
      <c r="A345" s="76" t="inlineStr">
        <is>
          <t xml:space="preserve">IN · Linhas NF</t>
        </is>
      </c>
      <c r="B345" s="49">
        <f>IF(OR($B$2="Todos",$C$2=2),1,IFERROR(INDEX($C$345:$V$345,MATCH($D$2,$C$341:$V$341,0)),1))</f>
        <v>1</v>
      </c>
      <c r="C345" s="48">
        <f>IF(Config!$G$35&lt;&gt;"Não",1,0)</f>
        <v>0</v>
      </c>
      <c r="D345" s="48">
        <f>IF(Config!$G$36&lt;&gt;"Não",1,0)</f>
        <v>0</v>
      </c>
      <c r="E345" s="48">
        <f>IF(Config!$G$37&lt;&gt;"Não",1,0)</f>
        <v>0</v>
      </c>
      <c r="F345" s="48">
        <f>IF(Config!$G$38&lt;&gt;"Não",1,0)</f>
        <v>0</v>
      </c>
      <c r="G345" s="48">
        <f>IF(Config!$G$39&lt;&gt;"Não",1,0)</f>
        <v>0</v>
      </c>
      <c r="H345" s="48">
        <f>IF(Config!$G$40&lt;&gt;"Não",1,0)</f>
        <v>1</v>
      </c>
      <c r="I345" s="48">
        <f>IF(Config!$G$41&lt;&gt;"Não",1,0)</f>
        <v>0</v>
      </c>
      <c r="J345" s="48">
        <f>IF(Config!$G$42&lt;&gt;"Não",1,0)</f>
        <v>0</v>
      </c>
      <c r="K345" s="48">
        <f>IF(Config!$G$43&lt;&gt;"Não",1,0)</f>
        <v>0</v>
      </c>
      <c r="L345" s="48">
        <f>IF(Config!$G$44&lt;&gt;"Não",1,0)</f>
        <v>1</v>
      </c>
      <c r="M345" s="48">
        <f>IF(Config!$G$45&lt;&gt;"Não",1,0)</f>
        <v>0</v>
      </c>
      <c r="N345" s="48">
        <f>IF(Config!$G$46&lt;&gt;"Não",1,0)</f>
        <v>0</v>
      </c>
      <c r="O345" s="48">
        <f>IF(Config!$G$47&lt;&gt;"Não",1,0)</f>
        <v>0</v>
      </c>
      <c r="P345" s="48">
        <f>IF(Config!$G$48&lt;&gt;"Não",1,0)</f>
        <v>0</v>
      </c>
      <c r="Q345" s="48">
        <f>IF(Config!$G$49&lt;&gt;"Não",1,0)</f>
        <v>0</v>
      </c>
      <c r="R345" s="48">
        <f>IF(Config!$G$50&lt;&gt;"Não",1,0)</f>
        <v>0</v>
      </c>
      <c r="S345" s="48">
        <f>IF(Config!$G$51&lt;&gt;"Não",1,0)</f>
        <v>0</v>
      </c>
      <c r="T345" s="48">
        <f>IF(Config!$G$52&lt;&gt;"Não",1,0)</f>
        <v>0</v>
      </c>
      <c r="U345" s="48">
        <f>IF(Config!$G$53&lt;&gt;"Não",1,0)</f>
        <v>0</v>
      </c>
      <c r="V345" s="48">
        <f>IF(Config!$G$54&lt;&gt;"Não",1,0)</f>
        <v>0</v>
      </c>
    </row>
    <row r="346">
      <c r="A346" s="76" t="inlineStr">
        <is>
          <t xml:space="preserve">IN · Caixas Movimentadas</t>
        </is>
      </c>
      <c r="B346" s="49">
        <f>IF(OR($B$2="Todos",$C$2=2),1,IFERROR(INDEX($C$346:$V$346,MATCH($D$2,$C$341:$V$341,0)),1))</f>
        <v>1</v>
      </c>
      <c r="C346" s="48">
        <f>IF(Config!$H$35&lt;&gt;"Não",1,0)</f>
        <v>1</v>
      </c>
      <c r="D346" s="48">
        <f>IF(Config!$H$36&lt;&gt;"Não",1,0)</f>
        <v>0</v>
      </c>
      <c r="E346" s="48">
        <f>IF(Config!$H$37&lt;&gt;"Não",1,0)</f>
        <v>1</v>
      </c>
      <c r="F346" s="48">
        <f>IF(Config!$H$38&lt;&gt;"Não",1,0)</f>
        <v>1</v>
      </c>
      <c r="G346" s="48">
        <f>IF(Config!$H$39&lt;&gt;"Não",1,0)</f>
        <v>0</v>
      </c>
      <c r="H346" s="48">
        <f>IF(Config!$H$40&lt;&gt;"Não",1,0)</f>
        <v>0</v>
      </c>
      <c r="I346" s="48">
        <f>IF(Config!$H$41&lt;&gt;"Não",1,0)</f>
        <v>0</v>
      </c>
      <c r="J346" s="48">
        <f>IF(Config!$H$42&lt;&gt;"Não",1,0)</f>
        <v>0</v>
      </c>
      <c r="K346" s="48">
        <f>IF(Config!$H$43&lt;&gt;"Não",1,0)</f>
        <v>0</v>
      </c>
      <c r="L346" s="48">
        <f>IF(Config!$H$44&lt;&gt;"Não",1,0)</f>
        <v>0</v>
      </c>
      <c r="M346" s="48">
        <f>IF(Config!$H$45&lt;&gt;"Não",1,0)</f>
        <v>0</v>
      </c>
      <c r="N346" s="48">
        <f>IF(Config!$H$46&lt;&gt;"Não",1,0)</f>
        <v>0</v>
      </c>
      <c r="O346" s="48">
        <f>IF(Config!$H$47&lt;&gt;"Não",1,0)</f>
        <v>0</v>
      </c>
      <c r="P346" s="48">
        <f>IF(Config!$H$48&lt;&gt;"Não",1,0)</f>
        <v>0</v>
      </c>
      <c r="Q346" s="48">
        <f>IF(Config!$H$49&lt;&gt;"Não",1,0)</f>
        <v>0</v>
      </c>
      <c r="R346" s="48">
        <f>IF(Config!$H$50&lt;&gt;"Não",1,0)</f>
        <v>0</v>
      </c>
      <c r="S346" s="48">
        <f>IF(Config!$H$51&lt;&gt;"Não",1,0)</f>
        <v>0</v>
      </c>
      <c r="T346" s="48">
        <f>IF(Config!$H$52&lt;&gt;"Não",1,0)</f>
        <v>0</v>
      </c>
      <c r="U346" s="48">
        <f>IF(Config!$H$53&lt;&gt;"Não",1,0)</f>
        <v>0</v>
      </c>
      <c r="V346" s="48">
        <f>IF(Config!$H$54&lt;&gt;"Não",1,0)</f>
        <v>0</v>
      </c>
    </row>
    <row r="347">
      <c r="A347" s="76" t="inlineStr">
        <is>
          <t xml:space="preserve">IN · Itens Recebidos</t>
        </is>
      </c>
      <c r="B347" s="49">
        <f>IF(OR($B$2="Todos",$C$2=2),1,IFERROR(INDEX($C$347:$V$347,MATCH($D$2,$C$341:$V$341,0)),1))</f>
        <v>1</v>
      </c>
      <c r="C347" s="48">
        <f>IF(Config!$I$35&lt;&gt;"Não",1,0)</f>
        <v>0</v>
      </c>
      <c r="D347" s="48">
        <f>IF(Config!$I$36&lt;&gt;"Não",1,0)</f>
        <v>0</v>
      </c>
      <c r="E347" s="48">
        <f>IF(Config!$I$37&lt;&gt;"Não",1,0)</f>
        <v>0</v>
      </c>
      <c r="F347" s="48">
        <f>IF(Config!$I$38&lt;&gt;"Não",1,0)</f>
        <v>0</v>
      </c>
      <c r="G347" s="48">
        <f>IF(Config!$I$39&lt;&gt;"Não",1,0)</f>
        <v>0</v>
      </c>
      <c r="H347" s="48">
        <f>IF(Config!$I$40&lt;&gt;"Não",1,0)</f>
        <v>0</v>
      </c>
      <c r="I347" s="48">
        <f>IF(Config!$I$41&lt;&gt;"Não",1,0)</f>
        <v>0</v>
      </c>
      <c r="J347" s="48">
        <f>IF(Config!$I$42&lt;&gt;"Não",1,0)</f>
        <v>0</v>
      </c>
      <c r="K347" s="48">
        <f>IF(Config!$I$43&lt;&gt;"Não",1,0)</f>
        <v>0</v>
      </c>
      <c r="L347" s="48">
        <f>IF(Config!$I$44&lt;&gt;"Não",1,0)</f>
        <v>0</v>
      </c>
      <c r="M347" s="48">
        <f>IF(Config!$I$45&lt;&gt;"Não",1,0)</f>
        <v>0</v>
      </c>
      <c r="N347" s="48">
        <f>IF(Config!$I$46&lt;&gt;"Não",1,0)</f>
        <v>0</v>
      </c>
      <c r="O347" s="48">
        <f>IF(Config!$I$47&lt;&gt;"Não",1,0)</f>
        <v>0</v>
      </c>
      <c r="P347" s="48">
        <f>IF(Config!$I$48&lt;&gt;"Não",1,0)</f>
        <v>0</v>
      </c>
      <c r="Q347" s="48">
        <f>IF(Config!$I$49&lt;&gt;"Não",1,0)</f>
        <v>0</v>
      </c>
      <c r="R347" s="48">
        <f>IF(Config!$I$50&lt;&gt;"Não",1,0)</f>
        <v>0</v>
      </c>
      <c r="S347" s="48">
        <f>IF(Config!$I$51&lt;&gt;"Não",1,0)</f>
        <v>0</v>
      </c>
      <c r="T347" s="48">
        <f>IF(Config!$I$52&lt;&gt;"Não",1,0)</f>
        <v>0</v>
      </c>
      <c r="U347" s="48">
        <f>IF(Config!$I$53&lt;&gt;"Não",1,0)</f>
        <v>0</v>
      </c>
      <c r="V347" s="48">
        <f>IF(Config!$I$54&lt;&gt;"Não",1,0)</f>
        <v>0</v>
      </c>
    </row>
    <row r="348">
      <c r="A348" s="76" t="inlineStr">
        <is>
          <t xml:space="preserve">IN · Itens Recebidos CX Mista</t>
        </is>
      </c>
      <c r="B348" s="49">
        <f>IF(OR($B$2="Todos",$C$2=2),1,IFERROR(INDEX($C$348:$V$348,MATCH($D$2,$C$341:$V$341,0)),1))</f>
        <v>1</v>
      </c>
      <c r="C348" s="48">
        <f>IF(Config!$J$35&lt;&gt;"Não",1,0)</f>
        <v>0</v>
      </c>
      <c r="D348" s="48">
        <f>IF(Config!$J$36&lt;&gt;"Não",1,0)</f>
        <v>0</v>
      </c>
      <c r="E348" s="48">
        <f>IF(Config!$J$37&lt;&gt;"Não",1,0)</f>
        <v>0</v>
      </c>
      <c r="F348" s="48">
        <f>IF(Config!$J$38&lt;&gt;"Não",1,0)</f>
        <v>1</v>
      </c>
      <c r="G348" s="48">
        <f>IF(Config!$J$39&lt;&gt;"Não",1,0)</f>
        <v>0</v>
      </c>
      <c r="H348" s="48">
        <f>IF(Config!$J$40&lt;&gt;"Não",1,0)</f>
        <v>0</v>
      </c>
      <c r="I348" s="48">
        <f>IF(Config!$J$41&lt;&gt;"Não",1,0)</f>
        <v>0</v>
      </c>
      <c r="J348" s="48">
        <f>IF(Config!$J$42&lt;&gt;"Não",1,0)</f>
        <v>0</v>
      </c>
      <c r="K348" s="48">
        <f>IF(Config!$J$43&lt;&gt;"Não",1,0)</f>
        <v>0</v>
      </c>
      <c r="L348" s="48">
        <f>IF(Config!$J$44&lt;&gt;"Não",1,0)</f>
        <v>0</v>
      </c>
      <c r="M348" s="48">
        <f>IF(Config!$J$45&lt;&gt;"Não",1,0)</f>
        <v>0</v>
      </c>
      <c r="N348" s="48">
        <f>IF(Config!$J$46&lt;&gt;"Não",1,0)</f>
        <v>0</v>
      </c>
      <c r="O348" s="48">
        <f>IF(Config!$J$47&lt;&gt;"Não",1,0)</f>
        <v>0</v>
      </c>
      <c r="P348" s="48">
        <f>IF(Config!$J$48&lt;&gt;"Não",1,0)</f>
        <v>0</v>
      </c>
      <c r="Q348" s="48">
        <f>IF(Config!$J$49&lt;&gt;"Não",1,0)</f>
        <v>0</v>
      </c>
      <c r="R348" s="48">
        <f>IF(Config!$J$50&lt;&gt;"Não",1,0)</f>
        <v>0</v>
      </c>
      <c r="S348" s="48">
        <f>IF(Config!$J$51&lt;&gt;"Não",1,0)</f>
        <v>0</v>
      </c>
      <c r="T348" s="48">
        <f>IF(Config!$J$52&lt;&gt;"Não",1,0)</f>
        <v>0</v>
      </c>
      <c r="U348" s="48">
        <f>IF(Config!$J$53&lt;&gt;"Não",1,0)</f>
        <v>0</v>
      </c>
      <c r="V348" s="48">
        <f>IF(Config!$J$54&lt;&gt;"Não",1,0)</f>
        <v>0</v>
      </c>
    </row>
    <row r="349">
      <c r="A349" s="76" t="inlineStr">
        <is>
          <t xml:space="preserve">IN · Caixas Fechadas</t>
        </is>
      </c>
      <c r="B349" s="49">
        <f>IF(OR($B$2="Todos",$C$2=2),1,IFERROR(INDEX($C$349:$V$349,MATCH($D$2,$C$341:$V$341,0)),1))</f>
        <v>1</v>
      </c>
      <c r="C349" s="48">
        <f>IF(Config!$K$35&lt;&gt;"Não",1,0)</f>
        <v>0</v>
      </c>
      <c r="D349" s="48">
        <f>IF(Config!$K$36&lt;&gt;"Não",1,0)</f>
        <v>0</v>
      </c>
      <c r="E349" s="48">
        <f>IF(Config!$K$37&lt;&gt;"Não",1,0)</f>
        <v>0</v>
      </c>
      <c r="F349" s="48">
        <f>IF(Config!$K$38&lt;&gt;"Não",1,0)</f>
        <v>1</v>
      </c>
      <c r="G349" s="48">
        <f>IF(Config!$K$39&lt;&gt;"Não",1,0)</f>
        <v>0</v>
      </c>
      <c r="H349" s="48">
        <f>IF(Config!$K$40&lt;&gt;"Não",1,0)</f>
        <v>0</v>
      </c>
      <c r="I349" s="48">
        <f>IF(Config!$K$41&lt;&gt;"Não",1,0)</f>
        <v>0</v>
      </c>
      <c r="J349" s="48">
        <f>IF(Config!$K$42&lt;&gt;"Não",1,0)</f>
        <v>0</v>
      </c>
      <c r="K349" s="48">
        <f>IF(Config!$K$43&lt;&gt;"Não",1,0)</f>
        <v>0</v>
      </c>
      <c r="L349" s="48">
        <f>IF(Config!$K$44&lt;&gt;"Não",1,0)</f>
        <v>0</v>
      </c>
      <c r="M349" s="48">
        <f>IF(Config!$K$45&lt;&gt;"Não",1,0)</f>
        <v>0</v>
      </c>
      <c r="N349" s="48">
        <f>IF(Config!$K$46&lt;&gt;"Não",1,0)</f>
        <v>0</v>
      </c>
      <c r="O349" s="48">
        <f>IF(Config!$K$47&lt;&gt;"Não",1,0)</f>
        <v>0</v>
      </c>
      <c r="P349" s="48">
        <f>IF(Config!$K$48&lt;&gt;"Não",1,0)</f>
        <v>0</v>
      </c>
      <c r="Q349" s="48">
        <f>IF(Config!$K$49&lt;&gt;"Não",1,0)</f>
        <v>0</v>
      </c>
      <c r="R349" s="48">
        <f>IF(Config!$K$50&lt;&gt;"Não",1,0)</f>
        <v>0</v>
      </c>
      <c r="S349" s="48">
        <f>IF(Config!$K$51&lt;&gt;"Não",1,0)</f>
        <v>0</v>
      </c>
      <c r="T349" s="48">
        <f>IF(Config!$K$52&lt;&gt;"Não",1,0)</f>
        <v>0</v>
      </c>
      <c r="U349" s="48">
        <f>IF(Config!$K$53&lt;&gt;"Não",1,0)</f>
        <v>0</v>
      </c>
      <c r="V349" s="48">
        <f>IF(Config!$K$54&lt;&gt;"Não",1,0)</f>
        <v>0</v>
      </c>
    </row>
    <row r="350">
      <c r="A350" s="76" t="inlineStr">
        <is>
          <t xml:space="preserve">IN · Caixas Mistas Recebidas</t>
        </is>
      </c>
      <c r="B350" s="49">
        <f>IF(OR($B$2="Todos",$C$2=2),1,IFERROR(INDEX($C$350:$V$350,MATCH($D$2,$C$341:$V$341,0)),1))</f>
        <v>1</v>
      </c>
      <c r="C350" s="48">
        <f>IF(Config!$L$35&lt;&gt;"Não",1,0)</f>
        <v>0</v>
      </c>
      <c r="D350" s="48">
        <f>IF(Config!$L$36&lt;&gt;"Não",1,0)</f>
        <v>0</v>
      </c>
      <c r="E350" s="48">
        <f>IF(Config!$L$37&lt;&gt;"Não",1,0)</f>
        <v>0</v>
      </c>
      <c r="F350" s="48">
        <f>IF(Config!$L$38&lt;&gt;"Não",1,0)</f>
        <v>1</v>
      </c>
      <c r="G350" s="48">
        <f>IF(Config!$L$39&lt;&gt;"Não",1,0)</f>
        <v>0</v>
      </c>
      <c r="H350" s="48">
        <f>IF(Config!$L$40&lt;&gt;"Não",1,0)</f>
        <v>0</v>
      </c>
      <c r="I350" s="48">
        <f>IF(Config!$L$41&lt;&gt;"Não",1,0)</f>
        <v>0</v>
      </c>
      <c r="J350" s="48">
        <f>IF(Config!$L$42&lt;&gt;"Não",1,0)</f>
        <v>0</v>
      </c>
      <c r="K350" s="48">
        <f>IF(Config!$L$43&lt;&gt;"Não",1,0)</f>
        <v>0</v>
      </c>
      <c r="L350" s="48">
        <f>IF(Config!$L$44&lt;&gt;"Não",1,0)</f>
        <v>0</v>
      </c>
      <c r="M350" s="48">
        <f>IF(Config!$L$45&lt;&gt;"Não",1,0)</f>
        <v>0</v>
      </c>
      <c r="N350" s="48">
        <f>IF(Config!$L$46&lt;&gt;"Não",1,0)</f>
        <v>0</v>
      </c>
      <c r="O350" s="48">
        <f>IF(Config!$L$47&lt;&gt;"Não",1,0)</f>
        <v>0</v>
      </c>
      <c r="P350" s="48">
        <f>IF(Config!$L$48&lt;&gt;"Não",1,0)</f>
        <v>0</v>
      </c>
      <c r="Q350" s="48">
        <f>IF(Config!$L$49&lt;&gt;"Não",1,0)</f>
        <v>0</v>
      </c>
      <c r="R350" s="48">
        <f>IF(Config!$L$50&lt;&gt;"Não",1,0)</f>
        <v>0</v>
      </c>
      <c r="S350" s="48">
        <f>IF(Config!$L$51&lt;&gt;"Não",1,0)</f>
        <v>0</v>
      </c>
      <c r="T350" s="48">
        <f>IF(Config!$L$52&lt;&gt;"Não",1,0)</f>
        <v>0</v>
      </c>
      <c r="U350" s="48">
        <f>IF(Config!$L$53&lt;&gt;"Não",1,0)</f>
        <v>0</v>
      </c>
      <c r="V350" s="48">
        <f>IF(Config!$L$54&lt;&gt;"Não",1,0)</f>
        <v>0</v>
      </c>
    </row>
    <row r="351">
      <c r="A351" s="76" t="inlineStr">
        <is>
          <t xml:space="preserve">OUT · Veículos Expedidos</t>
        </is>
      </c>
      <c r="B351" s="49">
        <f>IF(OR($B$2="Todos",$C$2=2),1,IFERROR(INDEX($C$351:$V$351,MATCH($D$2,$C$341:$V$341,0)),1))</f>
        <v>1</v>
      </c>
      <c r="C351" s="48">
        <f>IF(Config!$M$35&lt;&gt;"Não",1,0)</f>
        <v>1</v>
      </c>
      <c r="D351" s="48">
        <f>IF(Config!$M$36&lt;&gt;"Não",1,0)</f>
        <v>1</v>
      </c>
      <c r="E351" s="48">
        <f>IF(Config!$M$37&lt;&gt;"Não",1,0)</f>
        <v>1</v>
      </c>
      <c r="F351" s="48">
        <f>IF(Config!$M$38&lt;&gt;"Não",1,0)</f>
        <v>1</v>
      </c>
      <c r="G351" s="48">
        <f>IF(Config!$M$39&lt;&gt;"Não",1,0)</f>
        <v>1</v>
      </c>
      <c r="H351" s="48">
        <f>IF(Config!$M$40&lt;&gt;"Não",1,0)</f>
        <v>1</v>
      </c>
      <c r="I351" s="48">
        <f>IF(Config!$M$41&lt;&gt;"Não",1,0)</f>
        <v>1</v>
      </c>
      <c r="J351" s="48">
        <f>IF(Config!$M$42&lt;&gt;"Não",1,0)</f>
        <v>1</v>
      </c>
      <c r="K351" s="48">
        <f>IF(Config!$M$43&lt;&gt;"Não",1,0)</f>
        <v>1</v>
      </c>
      <c r="L351" s="48">
        <f>IF(Config!$M$44&lt;&gt;"Não",1,0)</f>
        <v>1</v>
      </c>
      <c r="M351" s="48">
        <f>IF(Config!$M$45&lt;&gt;"Não",1,0)</f>
        <v>1</v>
      </c>
      <c r="N351" s="48">
        <f>IF(Config!$M$46&lt;&gt;"Não",1,0)</f>
        <v>1</v>
      </c>
      <c r="O351" s="48">
        <f>IF(Config!$M$47&lt;&gt;"Não",1,0)</f>
        <v>1</v>
      </c>
      <c r="P351" s="48">
        <f>IF(Config!$M$48&lt;&gt;"Não",1,0)</f>
        <v>1</v>
      </c>
      <c r="Q351" s="48">
        <f>IF(Config!$M$49&lt;&gt;"Não",1,0)</f>
        <v>1</v>
      </c>
      <c r="R351" s="48">
        <f>IF(Config!$M$50&lt;&gt;"Não",1,0)</f>
        <v>1</v>
      </c>
      <c r="S351" s="48">
        <f>IF(Config!$M$51&lt;&gt;"Não",1,0)</f>
        <v>1</v>
      </c>
      <c r="T351" s="48">
        <f>IF(Config!$M$52&lt;&gt;"Não",1,0)</f>
        <v>1</v>
      </c>
      <c r="U351" s="48">
        <f>IF(Config!$M$53&lt;&gt;"Não",1,0)</f>
        <v>1</v>
      </c>
      <c r="V351" s="48">
        <f>IF(Config!$M$54&lt;&gt;"Não",1,0)</f>
        <v>1</v>
      </c>
    </row>
    <row r="352">
      <c r="A352" s="76" t="inlineStr">
        <is>
          <t xml:space="preserve">OUT · Pedidos Expedidos</t>
        </is>
      </c>
      <c r="B352" s="49">
        <f>IF(OR($B$2="Todos",$C$2=2),1,IFERROR(INDEX($C$352:$V$352,MATCH($D$2,$C$341:$V$341,0)),1))</f>
        <v>1</v>
      </c>
      <c r="C352" s="48">
        <f>IF(Config!$N$35&lt;&gt;"Não",1,0)</f>
        <v>0</v>
      </c>
      <c r="D352" s="48">
        <f>IF(Config!$N$36&lt;&gt;"Não",1,0)</f>
        <v>0</v>
      </c>
      <c r="E352" s="48">
        <f>IF(Config!$N$37&lt;&gt;"Não",1,0)</f>
        <v>1</v>
      </c>
      <c r="F352" s="48">
        <f>IF(Config!$N$38&lt;&gt;"Não",1,0)</f>
        <v>0</v>
      </c>
      <c r="G352" s="48">
        <f>IF(Config!$N$39&lt;&gt;"Não",1,0)</f>
        <v>0</v>
      </c>
      <c r="H352" s="48">
        <f>IF(Config!$N$40&lt;&gt;"Não",1,0)</f>
        <v>0</v>
      </c>
      <c r="I352" s="48">
        <f>IF(Config!$N$41&lt;&gt;"Não",1,0)</f>
        <v>0</v>
      </c>
      <c r="J352" s="48">
        <f>IF(Config!$N$42&lt;&gt;"Não",1,0)</f>
        <v>0</v>
      </c>
      <c r="K352" s="48">
        <f>IF(Config!$N$43&lt;&gt;"Não",1,0)</f>
        <v>0</v>
      </c>
      <c r="L352" s="48">
        <f>IF(Config!$N$44&lt;&gt;"Não",1,0)</f>
        <v>0</v>
      </c>
      <c r="M352" s="48">
        <f>IF(Config!$N$45&lt;&gt;"Não",1,0)</f>
        <v>0</v>
      </c>
      <c r="N352" s="48">
        <f>IF(Config!$N$46&lt;&gt;"Não",1,0)</f>
        <v>0</v>
      </c>
      <c r="O352" s="48">
        <f>IF(Config!$N$47&lt;&gt;"Não",1,0)</f>
        <v>0</v>
      </c>
      <c r="P352" s="48">
        <f>IF(Config!$N$48&lt;&gt;"Não",1,0)</f>
        <v>0</v>
      </c>
      <c r="Q352" s="48">
        <f>IF(Config!$N$49&lt;&gt;"Não",1,0)</f>
        <v>0</v>
      </c>
      <c r="R352" s="48">
        <f>IF(Config!$N$50&lt;&gt;"Não",1,0)</f>
        <v>0</v>
      </c>
      <c r="S352" s="48">
        <f>IF(Config!$N$51&lt;&gt;"Não",1,0)</f>
        <v>0</v>
      </c>
      <c r="T352" s="48">
        <f>IF(Config!$N$52&lt;&gt;"Não",1,0)</f>
        <v>0</v>
      </c>
      <c r="U352" s="48">
        <f>IF(Config!$N$53&lt;&gt;"Não",1,0)</f>
        <v>0</v>
      </c>
      <c r="V352" s="48">
        <f>IF(Config!$N$54&lt;&gt;"Não",1,0)</f>
        <v>0</v>
      </c>
    </row>
    <row r="353">
      <c r="A353" s="76" t="inlineStr">
        <is>
          <t xml:space="preserve">OUT · Pedidos Faturados</t>
        </is>
      </c>
      <c r="B353" s="49">
        <f>IF(OR($B$2="Todos",$C$2=2),1,IFERROR(INDEX($C$353:$V$353,MATCH($D$2,$C$341:$V$341,0)),1))</f>
        <v>1</v>
      </c>
      <c r="C353" s="48">
        <f>IF(Config!$O$35&lt;&gt;"Não",1,0)</f>
        <v>0</v>
      </c>
      <c r="D353" s="48">
        <f>IF(Config!$O$36&lt;&gt;"Não",1,0)</f>
        <v>0</v>
      </c>
      <c r="E353" s="48">
        <f>IF(Config!$O$37&lt;&gt;"Não",1,0)</f>
        <v>0</v>
      </c>
      <c r="F353" s="48">
        <f>IF(Config!$O$38&lt;&gt;"Não",1,0)</f>
        <v>1</v>
      </c>
      <c r="G353" s="48">
        <f>IF(Config!$O$39&lt;&gt;"Não",1,0)</f>
        <v>0</v>
      </c>
      <c r="H353" s="48">
        <f>IF(Config!$O$40&lt;&gt;"Não",1,0)</f>
        <v>0</v>
      </c>
      <c r="I353" s="48">
        <f>IF(Config!$O$41&lt;&gt;"Não",1,0)</f>
        <v>0</v>
      </c>
      <c r="J353" s="48">
        <f>IF(Config!$O$42&lt;&gt;"Não",1,0)</f>
        <v>0</v>
      </c>
      <c r="K353" s="48">
        <f>IF(Config!$O$43&lt;&gt;"Não",1,0)</f>
        <v>0</v>
      </c>
      <c r="L353" s="48">
        <f>IF(Config!$O$44&lt;&gt;"Não",1,0)</f>
        <v>0</v>
      </c>
      <c r="M353" s="48">
        <f>IF(Config!$O$45&lt;&gt;"Não",1,0)</f>
        <v>0</v>
      </c>
      <c r="N353" s="48">
        <f>IF(Config!$O$46&lt;&gt;"Não",1,0)</f>
        <v>0</v>
      </c>
      <c r="O353" s="48">
        <f>IF(Config!$O$47&lt;&gt;"Não",1,0)</f>
        <v>0</v>
      </c>
      <c r="P353" s="48">
        <f>IF(Config!$O$48&lt;&gt;"Não",1,0)</f>
        <v>0</v>
      </c>
      <c r="Q353" s="48">
        <f>IF(Config!$O$49&lt;&gt;"Não",1,0)</f>
        <v>0</v>
      </c>
      <c r="R353" s="48">
        <f>IF(Config!$O$50&lt;&gt;"Não",1,0)</f>
        <v>0</v>
      </c>
      <c r="S353" s="48">
        <f>IF(Config!$O$51&lt;&gt;"Não",1,0)</f>
        <v>0</v>
      </c>
      <c r="T353" s="48">
        <f>IF(Config!$O$52&lt;&gt;"Não",1,0)</f>
        <v>0</v>
      </c>
      <c r="U353" s="48">
        <f>IF(Config!$O$53&lt;&gt;"Não",1,0)</f>
        <v>0</v>
      </c>
      <c r="V353" s="48">
        <f>IF(Config!$O$54&lt;&gt;"Não",1,0)</f>
        <v>0</v>
      </c>
    </row>
    <row r="354">
      <c r="A354" s="76" t="inlineStr">
        <is>
          <t xml:space="preserve">OUT · Itens Expedidos</t>
        </is>
      </c>
      <c r="B354" s="49">
        <f>IF(OR($B$2="Todos",$C$2=2),1,IFERROR(INDEX($C$354:$V$354,MATCH($D$2,$C$341:$V$341,0)),1))</f>
        <v>1</v>
      </c>
      <c r="C354" s="48">
        <f>IF(Config!$P$35&lt;&gt;"Não",1,0)</f>
        <v>0</v>
      </c>
      <c r="D354" s="48">
        <f>IF(Config!$P$36&lt;&gt;"Não",1,0)</f>
        <v>0</v>
      </c>
      <c r="E354" s="48">
        <f>IF(Config!$P$37&lt;&gt;"Não",1,0)</f>
        <v>0</v>
      </c>
      <c r="F354" s="48">
        <f>IF(Config!$P$38&lt;&gt;"Não",1,0)</f>
        <v>1</v>
      </c>
      <c r="G354" s="48">
        <f>IF(Config!$P$39&lt;&gt;"Não",1,0)</f>
        <v>0</v>
      </c>
      <c r="H354" s="48">
        <f>IF(Config!$P$40&lt;&gt;"Não",1,0)</f>
        <v>0</v>
      </c>
      <c r="I354" s="48">
        <f>IF(Config!$P$41&lt;&gt;"Não",1,0)</f>
        <v>0</v>
      </c>
      <c r="J354" s="48">
        <f>IF(Config!$P$42&lt;&gt;"Não",1,0)</f>
        <v>0</v>
      </c>
      <c r="K354" s="48">
        <f>IF(Config!$P$43&lt;&gt;"Não",1,0)</f>
        <v>0</v>
      </c>
      <c r="L354" s="48">
        <f>IF(Config!$P$44&lt;&gt;"Não",1,0)</f>
        <v>0</v>
      </c>
      <c r="M354" s="48">
        <f>IF(Config!$P$45&lt;&gt;"Não",1,0)</f>
        <v>0</v>
      </c>
      <c r="N354" s="48">
        <f>IF(Config!$P$46&lt;&gt;"Não",1,0)</f>
        <v>0</v>
      </c>
      <c r="O354" s="48">
        <f>IF(Config!$P$47&lt;&gt;"Não",1,0)</f>
        <v>0</v>
      </c>
      <c r="P354" s="48">
        <f>IF(Config!$P$48&lt;&gt;"Não",1,0)</f>
        <v>0</v>
      </c>
      <c r="Q354" s="48">
        <f>IF(Config!$P$49&lt;&gt;"Não",1,0)</f>
        <v>0</v>
      </c>
      <c r="R354" s="48">
        <f>IF(Config!$P$50&lt;&gt;"Não",1,0)</f>
        <v>0</v>
      </c>
      <c r="S354" s="48">
        <f>IF(Config!$P$51&lt;&gt;"Não",1,0)</f>
        <v>0</v>
      </c>
      <c r="T354" s="48">
        <f>IF(Config!$P$52&lt;&gt;"Não",1,0)</f>
        <v>0</v>
      </c>
      <c r="U354" s="48">
        <f>IF(Config!$P$53&lt;&gt;"Não",1,0)</f>
        <v>0</v>
      </c>
      <c r="V354" s="48">
        <f>IF(Config!$P$54&lt;&gt;"Não",1,0)</f>
        <v>0</v>
      </c>
    </row>
    <row r="355">
      <c r="A355" s="76" t="inlineStr">
        <is>
          <t xml:space="preserve">OUT · Linhas NF</t>
        </is>
      </c>
      <c r="B355" s="49">
        <f>IF(OR($B$2="Todos",$C$2=2),1,IFERROR(INDEX($C$355:$V$355,MATCH($D$2,$C$341:$V$341,0)),1))</f>
        <v>1</v>
      </c>
      <c r="C355" s="48">
        <f>IF(Config!$Q$35&lt;&gt;"Não",1,0)</f>
        <v>0</v>
      </c>
      <c r="D355" s="48">
        <f>IF(Config!$Q$36&lt;&gt;"Não",1,0)</f>
        <v>0</v>
      </c>
      <c r="E355" s="48">
        <f>IF(Config!$Q$37&lt;&gt;"Não",1,0)</f>
        <v>0</v>
      </c>
      <c r="F355" s="48">
        <f>IF(Config!$Q$38&lt;&gt;"Não",1,0)</f>
        <v>0</v>
      </c>
      <c r="G355" s="48">
        <f>IF(Config!$Q$39&lt;&gt;"Não",1,0)</f>
        <v>0</v>
      </c>
      <c r="H355" s="48">
        <f>IF(Config!$Q$40&lt;&gt;"Não",1,0)</f>
        <v>1</v>
      </c>
      <c r="I355" s="48">
        <f>IF(Config!$Q$41&lt;&gt;"Não",1,0)</f>
        <v>0</v>
      </c>
      <c r="J355" s="48">
        <f>IF(Config!$Q$42&lt;&gt;"Não",1,0)</f>
        <v>0</v>
      </c>
      <c r="K355" s="48">
        <f>IF(Config!$Q$43&lt;&gt;"Não",1,0)</f>
        <v>0</v>
      </c>
      <c r="L355" s="48">
        <f>IF(Config!$Q$44&lt;&gt;"Não",1,0)</f>
        <v>1</v>
      </c>
      <c r="M355" s="48">
        <f>IF(Config!$Q$45&lt;&gt;"Não",1,0)</f>
        <v>0</v>
      </c>
      <c r="N355" s="48">
        <f>IF(Config!$Q$46&lt;&gt;"Não",1,0)</f>
        <v>0</v>
      </c>
      <c r="O355" s="48">
        <f>IF(Config!$Q$47&lt;&gt;"Não",1,0)</f>
        <v>0</v>
      </c>
      <c r="P355" s="48">
        <f>IF(Config!$Q$48&lt;&gt;"Não",1,0)</f>
        <v>0</v>
      </c>
      <c r="Q355" s="48">
        <f>IF(Config!$Q$49&lt;&gt;"Não",1,0)</f>
        <v>0</v>
      </c>
      <c r="R355" s="48">
        <f>IF(Config!$Q$50&lt;&gt;"Não",1,0)</f>
        <v>0</v>
      </c>
      <c r="S355" s="48">
        <f>IF(Config!$Q$51&lt;&gt;"Não",1,0)</f>
        <v>0</v>
      </c>
      <c r="T355" s="48">
        <f>IF(Config!$Q$52&lt;&gt;"Não",1,0)</f>
        <v>0</v>
      </c>
      <c r="U355" s="48">
        <f>IF(Config!$Q$53&lt;&gt;"Não",1,0)</f>
        <v>0</v>
      </c>
      <c r="V355" s="48">
        <f>IF(Config!$Q$54&lt;&gt;"Não",1,0)</f>
        <v>0</v>
      </c>
    </row>
    <row r="356">
      <c r="A356" s="76" t="inlineStr">
        <is>
          <t xml:space="preserve">OUT · Caixas Expedidas</t>
        </is>
      </c>
      <c r="B356" s="49">
        <f>IF(OR($B$2="Todos",$C$2=2),1,IFERROR(INDEX($C$356:$V$356,MATCH($D$2,$C$341:$V$341,0)),1))</f>
        <v>1</v>
      </c>
      <c r="C356" s="48">
        <f>IF(Config!$R$35&lt;&gt;"Não",1,0)</f>
        <v>1</v>
      </c>
      <c r="D356" s="48">
        <f>IF(Config!$R$36&lt;&gt;"Não",1,0)</f>
        <v>0</v>
      </c>
      <c r="E356" s="48">
        <f>IF(Config!$R$37&lt;&gt;"Não",1,0)</f>
        <v>0</v>
      </c>
      <c r="F356" s="48">
        <f>IF(Config!$R$38&lt;&gt;"Não",1,0)</f>
        <v>1</v>
      </c>
      <c r="G356" s="48">
        <f>IF(Config!$R$39&lt;&gt;"Não",1,0)</f>
        <v>0</v>
      </c>
      <c r="H356" s="48">
        <f>IF(Config!$R$40&lt;&gt;"Não",1,0)</f>
        <v>0</v>
      </c>
      <c r="I356" s="48">
        <f>IF(Config!$R$41&lt;&gt;"Não",1,0)</f>
        <v>0</v>
      </c>
      <c r="J356" s="48">
        <f>IF(Config!$R$42&lt;&gt;"Não",1,0)</f>
        <v>0</v>
      </c>
      <c r="K356" s="48">
        <f>IF(Config!$R$43&lt;&gt;"Não",1,0)</f>
        <v>0</v>
      </c>
      <c r="L356" s="48">
        <f>IF(Config!$R$44&lt;&gt;"Não",1,0)</f>
        <v>0</v>
      </c>
      <c r="M356" s="48">
        <f>IF(Config!$R$45&lt;&gt;"Não",1,0)</f>
        <v>0</v>
      </c>
      <c r="N356" s="48">
        <f>IF(Config!$R$46&lt;&gt;"Não",1,0)</f>
        <v>0</v>
      </c>
      <c r="O356" s="48">
        <f>IF(Config!$R$47&lt;&gt;"Não",1,0)</f>
        <v>0</v>
      </c>
      <c r="P356" s="48">
        <f>IF(Config!$R$48&lt;&gt;"Não",1,0)</f>
        <v>0</v>
      </c>
      <c r="Q356" s="48">
        <f>IF(Config!$R$49&lt;&gt;"Não",1,0)</f>
        <v>0</v>
      </c>
      <c r="R356" s="48">
        <f>IF(Config!$R$50&lt;&gt;"Não",1,0)</f>
        <v>0</v>
      </c>
      <c r="S356" s="48">
        <f>IF(Config!$R$51&lt;&gt;"Não",1,0)</f>
        <v>0</v>
      </c>
      <c r="T356" s="48">
        <f>IF(Config!$R$52&lt;&gt;"Não",1,0)</f>
        <v>0</v>
      </c>
      <c r="U356" s="48">
        <f>IF(Config!$R$53&lt;&gt;"Não",1,0)</f>
        <v>0</v>
      </c>
      <c r="V356" s="48">
        <f>IF(Config!$R$54&lt;&gt;"Não",1,0)</f>
        <v>0</v>
      </c>
    </row>
    <row r="357">
      <c r="A357" s="76" t="inlineStr">
        <is>
          <t xml:space="preserve">OUT · Pallets Movimentados</t>
        </is>
      </c>
      <c r="B357" s="49">
        <f>IF(OR($B$2="Todos",$C$2=2),1,IFERROR(INDEX($C$357:$V$357,MATCH($D$2,$C$341:$V$341,0)),1))</f>
        <v>1</v>
      </c>
      <c r="C357" s="48">
        <f>IF(Config!$S$35&lt;&gt;"Não",1,0)</f>
        <v>0</v>
      </c>
      <c r="D357" s="48">
        <f>IF(Config!$S$36&lt;&gt;"Não",1,0)</f>
        <v>1</v>
      </c>
      <c r="E357" s="48">
        <f>IF(Config!$S$37&lt;&gt;"Não",1,0)</f>
        <v>1</v>
      </c>
      <c r="F357" s="48">
        <f>IF(Config!$S$38&lt;&gt;"Não",1,0)</f>
        <v>1</v>
      </c>
      <c r="G357" s="48">
        <f>IF(Config!$S$39&lt;&gt;"Não",1,0)</f>
        <v>1</v>
      </c>
      <c r="H357" s="48">
        <f>IF(Config!$S$40&lt;&gt;"Não",1,0)</f>
        <v>1</v>
      </c>
      <c r="I357" s="48">
        <f>IF(Config!$S$41&lt;&gt;"Não",1,0)</f>
        <v>1</v>
      </c>
      <c r="J357" s="48">
        <f>IF(Config!$S$42&lt;&gt;"Não",1,0)</f>
        <v>1</v>
      </c>
      <c r="K357" s="48">
        <f>IF(Config!$S$43&lt;&gt;"Não",1,0)</f>
        <v>1</v>
      </c>
      <c r="L357" s="48">
        <f>IF(Config!$S$44&lt;&gt;"Não",1,0)</f>
        <v>0</v>
      </c>
      <c r="M357" s="48">
        <f>IF(Config!$S$45&lt;&gt;"Não",1,0)</f>
        <v>1</v>
      </c>
      <c r="N357" s="48">
        <f>IF(Config!$S$46&lt;&gt;"Não",1,0)</f>
        <v>1</v>
      </c>
      <c r="O357" s="48">
        <f>IF(Config!$S$47&lt;&gt;"Não",1,0)</f>
        <v>1</v>
      </c>
      <c r="P357" s="48">
        <f>IF(Config!$S$48&lt;&gt;"Não",1,0)</f>
        <v>1</v>
      </c>
      <c r="Q357" s="48">
        <f>IF(Config!$S$49&lt;&gt;"Não",1,0)</f>
        <v>1</v>
      </c>
      <c r="R357" s="48">
        <f>IF(Config!$S$50&lt;&gt;"Não",1,0)</f>
        <v>1</v>
      </c>
      <c r="S357" s="48">
        <f>IF(Config!$S$51&lt;&gt;"Não",1,0)</f>
        <v>1</v>
      </c>
      <c r="T357" s="48">
        <f>IF(Config!$S$52&lt;&gt;"Não",1,0)</f>
        <v>1</v>
      </c>
      <c r="U357" s="48">
        <f>IF(Config!$S$53&lt;&gt;"Não",1,0)</f>
        <v>1</v>
      </c>
      <c r="V357" s="48">
        <f>IF(Config!$S$54&lt;&gt;"Não",1,0)</f>
        <v>1</v>
      </c>
    </row>
    <row r="358">
      <c r="A358" s="76" t="inlineStr">
        <is>
          <t xml:space="preserve">OUT · Toneladas Movimentadas</t>
        </is>
      </c>
      <c r="B358" s="49">
        <f>IF(OR($B$2="Todos",$C$2=2),1,IFERROR(INDEX($C$358:$V$358,MATCH($D$2,$C$341:$V$341,0)),1))</f>
        <v>1</v>
      </c>
      <c r="C358" s="48">
        <f>IF(Config!$T$35&lt;&gt;"Não",1,0)</f>
        <v>0</v>
      </c>
      <c r="D358" s="48">
        <f>IF(Config!$T$36&lt;&gt;"Não",1,0)</f>
        <v>1</v>
      </c>
      <c r="E358" s="48">
        <f>IF(Config!$T$37&lt;&gt;"Não",1,0)</f>
        <v>0</v>
      </c>
      <c r="F358" s="48">
        <f>IF(Config!$T$38&lt;&gt;"Não",1,0)</f>
        <v>0</v>
      </c>
      <c r="G358" s="48">
        <f>IF(Config!$T$39&lt;&gt;"Não",1,0)</f>
        <v>1</v>
      </c>
      <c r="H358" s="48">
        <f>IF(Config!$T$40&lt;&gt;"Não",1,0)</f>
        <v>0</v>
      </c>
      <c r="I358" s="48">
        <f>IF(Config!$T$41&lt;&gt;"Não",1,0)</f>
        <v>0</v>
      </c>
      <c r="J358" s="48">
        <f>IF(Config!$T$42&lt;&gt;"Não",1,0)</f>
        <v>1</v>
      </c>
      <c r="K358" s="48">
        <f>IF(Config!$T$43&lt;&gt;"Não",1,0)</f>
        <v>0</v>
      </c>
      <c r="L358" s="48">
        <f>IF(Config!$T$44&lt;&gt;"Não",1,0)</f>
        <v>0</v>
      </c>
      <c r="M358" s="48">
        <f>IF(Config!$T$45&lt;&gt;"Não",1,0)</f>
        <v>1</v>
      </c>
      <c r="N358" s="48">
        <f>IF(Config!$T$46&lt;&gt;"Não",1,0)</f>
        <v>1</v>
      </c>
      <c r="O358" s="48">
        <f>IF(Config!$T$47&lt;&gt;"Não",1,0)</f>
        <v>1</v>
      </c>
      <c r="P358" s="48">
        <f>IF(Config!$T$48&lt;&gt;"Não",1,0)</f>
        <v>1</v>
      </c>
      <c r="Q358" s="48">
        <f>IF(Config!$T$49&lt;&gt;"Não",1,0)</f>
        <v>1</v>
      </c>
      <c r="R358" s="48">
        <f>IF(Config!$T$50&lt;&gt;"Não",1,0)</f>
        <v>1</v>
      </c>
      <c r="S358" s="48">
        <f>IF(Config!$T$51&lt;&gt;"Não",1,0)</f>
        <v>1</v>
      </c>
      <c r="T358" s="48">
        <f>IF(Config!$T$52&lt;&gt;"Não",1,0)</f>
        <v>1</v>
      </c>
      <c r="U358" s="48">
        <f>IF(Config!$T$53&lt;&gt;"Não",1,0)</f>
        <v>1</v>
      </c>
      <c r="V358" s="48">
        <f>IF(Config!$T$54&lt;&gt;"Não",1,0)</f>
        <v>1</v>
      </c>
    </row>
    <row r="359">
      <c r="A359" s="76" t="inlineStr">
        <is>
          <t xml:space="preserve">NC · Incidentes</t>
        </is>
      </c>
      <c r="B359" s="49">
        <f>IF(OR($B$2="Todos",$C$2=2),1,IFERROR(INDEX($C$359:$V$359,MATCH($D$2,$C$341:$V$341,0)),1))</f>
        <v>1</v>
      </c>
      <c r="C359" s="48">
        <f>IF(Config!$U$35&lt;&gt;"Não",1,0)</f>
        <v>1</v>
      </c>
      <c r="D359" s="48">
        <f>IF(Config!$U$36&lt;&gt;"Não",1,0)</f>
        <v>1</v>
      </c>
      <c r="E359" s="48">
        <f>IF(Config!$U$37&lt;&gt;"Não",1,0)</f>
        <v>1</v>
      </c>
      <c r="F359" s="48">
        <f>IF(Config!$U$38&lt;&gt;"Não",1,0)</f>
        <v>1</v>
      </c>
      <c r="G359" s="48">
        <f>IF(Config!$U$39&lt;&gt;"Não",1,0)</f>
        <v>1</v>
      </c>
      <c r="H359" s="48">
        <f>IF(Config!$U$40&lt;&gt;"Não",1,0)</f>
        <v>1</v>
      </c>
      <c r="I359" s="48">
        <f>IF(Config!$U$41&lt;&gt;"Não",1,0)</f>
        <v>1</v>
      </c>
      <c r="J359" s="48">
        <f>IF(Config!$U$42&lt;&gt;"Não",1,0)</f>
        <v>1</v>
      </c>
      <c r="K359" s="48">
        <f>IF(Config!$U$43&lt;&gt;"Não",1,0)</f>
        <v>1</v>
      </c>
      <c r="L359" s="48">
        <f>IF(Config!$U$44&lt;&gt;"Não",1,0)</f>
        <v>1</v>
      </c>
      <c r="M359" s="48">
        <f>IF(Config!$U$45&lt;&gt;"Não",1,0)</f>
        <v>1</v>
      </c>
      <c r="N359" s="48">
        <f>IF(Config!$U$46&lt;&gt;"Não",1,0)</f>
        <v>1</v>
      </c>
      <c r="O359" s="48">
        <f>IF(Config!$U$47&lt;&gt;"Não",1,0)</f>
        <v>1</v>
      </c>
      <c r="P359" s="48">
        <f>IF(Config!$U$48&lt;&gt;"Não",1,0)</f>
        <v>1</v>
      </c>
      <c r="Q359" s="48">
        <f>IF(Config!$U$49&lt;&gt;"Não",1,0)</f>
        <v>1</v>
      </c>
      <c r="R359" s="48">
        <f>IF(Config!$U$50&lt;&gt;"Não",1,0)</f>
        <v>1</v>
      </c>
      <c r="S359" s="48">
        <f>IF(Config!$U$51&lt;&gt;"Não",1,0)</f>
        <v>1</v>
      </c>
      <c r="T359" s="48">
        <f>IF(Config!$U$52&lt;&gt;"Não",1,0)</f>
        <v>1</v>
      </c>
      <c r="U359" s="48">
        <f>IF(Config!$U$53&lt;&gt;"Não",1,0)</f>
        <v>1</v>
      </c>
      <c r="V359" s="48">
        <f>IF(Config!$U$54&lt;&gt;"Não",1,0)</f>
        <v>1</v>
      </c>
    </row>
    <row r="360">
      <c r="A360" s="76" t="inlineStr">
        <is>
          <t xml:space="preserve">NC · No show</t>
        </is>
      </c>
      <c r="B360" s="49">
        <f>IF(OR($B$2="Todos",$C$2=2),1,IFERROR(INDEX($C$360:$V$360,MATCH($D$2,$C$341:$V$341,0)),1))</f>
        <v>1</v>
      </c>
      <c r="C360" s="48">
        <f>IF(Config!$V$35&lt;&gt;"Não",1,0)</f>
        <v>1</v>
      </c>
      <c r="D360" s="48">
        <f>IF(Config!$V$36&lt;&gt;"Não",1,0)</f>
        <v>1</v>
      </c>
      <c r="E360" s="48">
        <f>IF(Config!$V$37&lt;&gt;"Não",1,0)</f>
        <v>1</v>
      </c>
      <c r="F360" s="48">
        <f>IF(Config!$V$38&lt;&gt;"Não",1,0)</f>
        <v>1</v>
      </c>
      <c r="G360" s="48">
        <f>IF(Config!$V$39&lt;&gt;"Não",1,0)</f>
        <v>1</v>
      </c>
      <c r="H360" s="48">
        <f>IF(Config!$V$40&lt;&gt;"Não",1,0)</f>
        <v>1</v>
      </c>
      <c r="I360" s="48">
        <f>IF(Config!$V$41&lt;&gt;"Não",1,0)</f>
        <v>1</v>
      </c>
      <c r="J360" s="48">
        <f>IF(Config!$V$42&lt;&gt;"Não",1,0)</f>
        <v>1</v>
      </c>
      <c r="K360" s="48">
        <f>IF(Config!$V$43&lt;&gt;"Não",1,0)</f>
        <v>1</v>
      </c>
      <c r="L360" s="48">
        <f>IF(Config!$V$44&lt;&gt;"Não",1,0)</f>
        <v>1</v>
      </c>
      <c r="M360" s="48">
        <f>IF(Config!$V$45&lt;&gt;"Não",1,0)</f>
        <v>1</v>
      </c>
      <c r="N360" s="48">
        <f>IF(Config!$V$46&lt;&gt;"Não",1,0)</f>
        <v>1</v>
      </c>
      <c r="O360" s="48">
        <f>IF(Config!$V$47&lt;&gt;"Não",1,0)</f>
        <v>1</v>
      </c>
      <c r="P360" s="48">
        <f>IF(Config!$V$48&lt;&gt;"Não",1,0)</f>
        <v>1</v>
      </c>
      <c r="Q360" s="48">
        <f>IF(Config!$V$49&lt;&gt;"Não",1,0)</f>
        <v>1</v>
      </c>
      <c r="R360" s="48">
        <f>IF(Config!$V$50&lt;&gt;"Não",1,0)</f>
        <v>1</v>
      </c>
      <c r="S360" s="48">
        <f>IF(Config!$V$51&lt;&gt;"Não",1,0)</f>
        <v>1</v>
      </c>
      <c r="T360" s="48">
        <f>IF(Config!$V$52&lt;&gt;"Não",1,0)</f>
        <v>1</v>
      </c>
      <c r="U360" s="48">
        <f>IF(Config!$V$53&lt;&gt;"Não",1,0)</f>
        <v>1</v>
      </c>
      <c r="V360" s="48">
        <f>IF(Config!$V$54&lt;&gt;"Não",1,0)</f>
        <v>1</v>
      </c>
    </row>
    <row r="361">
      <c r="A361" s="76" t="inlineStr">
        <is>
          <t xml:space="preserve">NC · Backlog Intralog</t>
        </is>
      </c>
      <c r="B361" s="49">
        <f>IF(OR($B$2="Todos",$C$2=2),1,IFERROR(INDEX($C$361:$V$361,MATCH($D$2,$C$341:$V$341,0)),1))</f>
        <v>1</v>
      </c>
      <c r="C361" s="48">
        <f>IF(Config!$W$35&lt;&gt;"Não",1,0)</f>
        <v>1</v>
      </c>
      <c r="D361" s="48">
        <f>IF(Config!$W$36&lt;&gt;"Não",1,0)</f>
        <v>1</v>
      </c>
      <c r="E361" s="48">
        <f>IF(Config!$W$37&lt;&gt;"Não",1,0)</f>
        <v>1</v>
      </c>
      <c r="F361" s="48">
        <f>IF(Config!$W$38&lt;&gt;"Não",1,0)</f>
        <v>1</v>
      </c>
      <c r="G361" s="48">
        <f>IF(Config!$W$39&lt;&gt;"Não",1,0)</f>
        <v>1</v>
      </c>
      <c r="H361" s="48">
        <f>IF(Config!$W$40&lt;&gt;"Não",1,0)</f>
        <v>1</v>
      </c>
      <c r="I361" s="48">
        <f>IF(Config!$W$41&lt;&gt;"Não",1,0)</f>
        <v>1</v>
      </c>
      <c r="J361" s="48">
        <f>IF(Config!$W$42&lt;&gt;"Não",1,0)</f>
        <v>1</v>
      </c>
      <c r="K361" s="48">
        <f>IF(Config!$W$43&lt;&gt;"Não",1,0)</f>
        <v>1</v>
      </c>
      <c r="L361" s="48">
        <f>IF(Config!$W$44&lt;&gt;"Não",1,0)</f>
        <v>1</v>
      </c>
      <c r="M361" s="48">
        <f>IF(Config!$W$45&lt;&gt;"Não",1,0)</f>
        <v>1</v>
      </c>
      <c r="N361" s="48">
        <f>IF(Config!$W$46&lt;&gt;"Não",1,0)</f>
        <v>1</v>
      </c>
      <c r="O361" s="48">
        <f>IF(Config!$W$47&lt;&gt;"Não",1,0)</f>
        <v>1</v>
      </c>
      <c r="P361" s="48">
        <f>IF(Config!$W$48&lt;&gt;"Não",1,0)</f>
        <v>1</v>
      </c>
      <c r="Q361" s="48">
        <f>IF(Config!$W$49&lt;&gt;"Não",1,0)</f>
        <v>1</v>
      </c>
      <c r="R361" s="48">
        <f>IF(Config!$W$50&lt;&gt;"Não",1,0)</f>
        <v>1</v>
      </c>
      <c r="S361" s="48">
        <f>IF(Config!$W$51&lt;&gt;"Não",1,0)</f>
        <v>1</v>
      </c>
      <c r="T361" s="48">
        <f>IF(Config!$W$52&lt;&gt;"Não",1,0)</f>
        <v>1</v>
      </c>
      <c r="U361" s="48">
        <f>IF(Config!$W$53&lt;&gt;"Não",1,0)</f>
        <v>1</v>
      </c>
      <c r="V361" s="48">
        <f>IF(Config!$W$54&lt;&gt;"Não",1,0)</f>
        <v>1</v>
      </c>
    </row>
    <row r="362">
      <c r="A362" s="76" t="inlineStr">
        <is>
          <t xml:space="preserve">NC · Backlog Cliente</t>
        </is>
      </c>
      <c r="B362" s="49">
        <f>IF(OR($B$2="Todos",$C$2=2),1,IFERROR(INDEX($C$362:$V$362,MATCH($D$2,$C$341:$V$341,0)),1))</f>
        <v>1</v>
      </c>
      <c r="C362" s="48">
        <f>IF(Config!$X$35&lt;&gt;"Não",1,0)</f>
        <v>1</v>
      </c>
      <c r="D362" s="48">
        <f>IF(Config!$X$36&lt;&gt;"Não",1,0)</f>
        <v>1</v>
      </c>
      <c r="E362" s="48">
        <f>IF(Config!$X$37&lt;&gt;"Não",1,0)</f>
        <v>1</v>
      </c>
      <c r="F362" s="48">
        <f>IF(Config!$X$38&lt;&gt;"Não",1,0)</f>
        <v>1</v>
      </c>
      <c r="G362" s="48">
        <f>IF(Config!$X$39&lt;&gt;"Não",1,0)</f>
        <v>1</v>
      </c>
      <c r="H362" s="48">
        <f>IF(Config!$X$40&lt;&gt;"Não",1,0)</f>
        <v>1</v>
      </c>
      <c r="I362" s="48">
        <f>IF(Config!$X$41&lt;&gt;"Não",1,0)</f>
        <v>1</v>
      </c>
      <c r="J362" s="48">
        <f>IF(Config!$X$42&lt;&gt;"Não",1,0)</f>
        <v>1</v>
      </c>
      <c r="K362" s="48">
        <f>IF(Config!$X$43&lt;&gt;"Não",1,0)</f>
        <v>1</v>
      </c>
      <c r="L362" s="48">
        <f>IF(Config!$X$44&lt;&gt;"Não",1,0)</f>
        <v>1</v>
      </c>
      <c r="M362" s="48">
        <f>IF(Config!$X$45&lt;&gt;"Não",1,0)</f>
        <v>1</v>
      </c>
      <c r="N362" s="48">
        <f>IF(Config!$X$46&lt;&gt;"Não",1,0)</f>
        <v>1</v>
      </c>
      <c r="O362" s="48">
        <f>IF(Config!$X$47&lt;&gt;"Não",1,0)</f>
        <v>1</v>
      </c>
      <c r="P362" s="48">
        <f>IF(Config!$X$48&lt;&gt;"Não",1,0)</f>
        <v>1</v>
      </c>
      <c r="Q362" s="48">
        <f>IF(Config!$X$49&lt;&gt;"Não",1,0)</f>
        <v>1</v>
      </c>
      <c r="R362" s="48">
        <f>IF(Config!$X$50&lt;&gt;"Não",1,0)</f>
        <v>1</v>
      </c>
      <c r="S362" s="48">
        <f>IF(Config!$X$51&lt;&gt;"Não",1,0)</f>
        <v>1</v>
      </c>
      <c r="T362" s="48">
        <f>IF(Config!$X$52&lt;&gt;"Não",1,0)</f>
        <v>1</v>
      </c>
      <c r="U362" s="48">
        <f>IF(Config!$X$53&lt;&gt;"Não",1,0)</f>
        <v>1</v>
      </c>
      <c r="V362" s="48">
        <f>IF(Config!$X$54&lt;&gt;"Não",1,0)</f>
        <v>1</v>
      </c>
    </row>
    <row r="363">
      <c r="A363" s="76" t="inlineStr">
        <is>
          <t xml:space="preserve">OCUPAÇÃO (P.P) · Posições Disponíveis</t>
        </is>
      </c>
      <c r="B363" s="49">
        <f>IF(OR($B$2="Todos",$C$2=2),1,IFERROR(INDEX($C$363:$V$363,MATCH($D$2,$C$341:$V$341,0)),1))</f>
        <v>1</v>
      </c>
      <c r="C363" s="48">
        <f>IF(Config!$Y$35&lt;&gt;"Não",1,0)</f>
        <v>1</v>
      </c>
      <c r="D363" s="48">
        <f>IF(Config!$Y$36&lt;&gt;"Não",1,0)</f>
        <v>1</v>
      </c>
      <c r="E363" s="48">
        <f>IF(Config!$Y$37&lt;&gt;"Não",1,0)</f>
        <v>1</v>
      </c>
      <c r="F363" s="48">
        <f>IF(Config!$Y$38&lt;&gt;"Não",1,0)</f>
        <v>1</v>
      </c>
      <c r="G363" s="48">
        <f>IF(Config!$Y$39&lt;&gt;"Não",1,0)</f>
        <v>1</v>
      </c>
      <c r="H363" s="48">
        <f>IF(Config!$Y$40&lt;&gt;"Não",1,0)</f>
        <v>1</v>
      </c>
      <c r="I363" s="48">
        <f>IF(Config!$Y$41&lt;&gt;"Não",1,0)</f>
        <v>1</v>
      </c>
      <c r="J363" s="48">
        <f>IF(Config!$Y$42&lt;&gt;"Não",1,0)</f>
        <v>1</v>
      </c>
      <c r="K363" s="48">
        <f>IF(Config!$Y$43&lt;&gt;"Não",1,0)</f>
        <v>1</v>
      </c>
      <c r="L363" s="48">
        <f>IF(Config!$Y$44&lt;&gt;"Não",1,0)</f>
        <v>1</v>
      </c>
      <c r="M363" s="48">
        <f>IF(Config!$Y$45&lt;&gt;"Não",1,0)</f>
        <v>1</v>
      </c>
      <c r="N363" s="48">
        <f>IF(Config!$Y$46&lt;&gt;"Não",1,0)</f>
        <v>1</v>
      </c>
      <c r="O363" s="48">
        <f>IF(Config!$Y$47&lt;&gt;"Não",1,0)</f>
        <v>1</v>
      </c>
      <c r="P363" s="48">
        <f>IF(Config!$Y$48&lt;&gt;"Não",1,0)</f>
        <v>1</v>
      </c>
      <c r="Q363" s="48">
        <f>IF(Config!$Y$49&lt;&gt;"Não",1,0)</f>
        <v>1</v>
      </c>
      <c r="R363" s="48">
        <f>IF(Config!$Y$50&lt;&gt;"Não",1,0)</f>
        <v>1</v>
      </c>
      <c r="S363" s="48">
        <f>IF(Config!$Y$51&lt;&gt;"Não",1,0)</f>
        <v>1</v>
      </c>
      <c r="T363" s="48">
        <f>IF(Config!$Y$52&lt;&gt;"Não",1,0)</f>
        <v>1</v>
      </c>
      <c r="U363" s="48">
        <f>IF(Config!$Y$53&lt;&gt;"Não",1,0)</f>
        <v>1</v>
      </c>
      <c r="V363" s="48">
        <f>IF(Config!$Y$54&lt;&gt;"Não",1,0)</f>
        <v>1</v>
      </c>
    </row>
    <row r="364">
      <c r="A364" s="76" t="inlineStr">
        <is>
          <t xml:space="preserve">OCUPAÇÃO (P.P) · Posições Ocupadas</t>
        </is>
      </c>
      <c r="B364" s="49">
        <f>IF(OR($B$2="Todos",$C$2=2),1,IFERROR(INDEX($C$364:$V$364,MATCH($D$2,$C$341:$V$341,0)),1))</f>
        <v>1</v>
      </c>
      <c r="C364" s="48">
        <f>IF(Config!$Z$35&lt;&gt;"Não",1,0)</f>
        <v>1</v>
      </c>
      <c r="D364" s="48">
        <f>IF(Config!$Z$36&lt;&gt;"Não",1,0)</f>
        <v>1</v>
      </c>
      <c r="E364" s="48">
        <f>IF(Config!$Z$37&lt;&gt;"Não",1,0)</f>
        <v>1</v>
      </c>
      <c r="F364" s="48">
        <f>IF(Config!$Z$38&lt;&gt;"Não",1,0)</f>
        <v>1</v>
      </c>
      <c r="G364" s="48">
        <f>IF(Config!$Z$39&lt;&gt;"Não",1,0)</f>
        <v>1</v>
      </c>
      <c r="H364" s="48">
        <f>IF(Config!$Z$40&lt;&gt;"Não",1,0)</f>
        <v>1</v>
      </c>
      <c r="I364" s="48">
        <f>IF(Config!$Z$41&lt;&gt;"Não",1,0)</f>
        <v>1</v>
      </c>
      <c r="J364" s="48">
        <f>IF(Config!$Z$42&lt;&gt;"Não",1,0)</f>
        <v>1</v>
      </c>
      <c r="K364" s="48">
        <f>IF(Config!$Z$43&lt;&gt;"Não",1,0)</f>
        <v>1</v>
      </c>
      <c r="L364" s="48">
        <f>IF(Config!$Z$44&lt;&gt;"Não",1,0)</f>
        <v>1</v>
      </c>
      <c r="M364" s="48">
        <f>IF(Config!$Z$45&lt;&gt;"Não",1,0)</f>
        <v>1</v>
      </c>
      <c r="N364" s="48">
        <f>IF(Config!$Z$46&lt;&gt;"Não",1,0)</f>
        <v>1</v>
      </c>
      <c r="O364" s="48">
        <f>IF(Config!$Z$47&lt;&gt;"Não",1,0)</f>
        <v>1</v>
      </c>
      <c r="P364" s="48">
        <f>IF(Config!$Z$48&lt;&gt;"Não",1,0)</f>
        <v>1</v>
      </c>
      <c r="Q364" s="48">
        <f>IF(Config!$Z$49&lt;&gt;"Não",1,0)</f>
        <v>1</v>
      </c>
      <c r="R364" s="48">
        <f>IF(Config!$Z$50&lt;&gt;"Não",1,0)</f>
        <v>1</v>
      </c>
      <c r="S364" s="48">
        <f>IF(Config!$Z$51&lt;&gt;"Não",1,0)</f>
        <v>1</v>
      </c>
      <c r="T364" s="48">
        <f>IF(Config!$Z$52&lt;&gt;"Não",1,0)</f>
        <v>1</v>
      </c>
      <c r="U364" s="48">
        <f>IF(Config!$Z$53&lt;&gt;"Não",1,0)</f>
        <v>1</v>
      </c>
      <c r="V364" s="48">
        <f>IF(Config!$Z$54&lt;&gt;"Não",1,0)</f>
        <v>1</v>
      </c>
    </row>
    <row r="365">
      <c r="A365" s="76" t="inlineStr">
        <is>
          <t xml:space="preserve">OCUPAÇÃO (P.P) · Taxa de Ocupação</t>
        </is>
      </c>
      <c r="B365" s="49">
        <f>IF(OR($B$2="Todos",$C$2=2),1,IFERROR(INDEX($C$365:$V$365,MATCH($D$2,$C$341:$V$341,0)),1))</f>
        <v>1</v>
      </c>
      <c r="C365" s="48">
        <f>IF(AND(Config!$Y$35&lt;&gt;"Não",Config!$Z$35&lt;&gt;"Não"),1,0)</f>
        <v>1</v>
      </c>
      <c r="D365" s="48">
        <f>IF(AND(Config!$Y$36&lt;&gt;"Não",Config!$Z$36&lt;&gt;"Não"),1,0)</f>
        <v>1</v>
      </c>
      <c r="E365" s="48">
        <f>IF(AND(Config!$Y$37&lt;&gt;"Não",Config!$Z$37&lt;&gt;"Não"),1,0)</f>
        <v>1</v>
      </c>
      <c r="F365" s="48">
        <f>IF(AND(Config!$Y$38&lt;&gt;"Não",Config!$Z$38&lt;&gt;"Não"),1,0)</f>
        <v>1</v>
      </c>
      <c r="G365" s="48">
        <f>IF(AND(Config!$Y$39&lt;&gt;"Não",Config!$Z$39&lt;&gt;"Não"),1,0)</f>
        <v>1</v>
      </c>
      <c r="H365" s="48">
        <f>IF(AND(Config!$Y$40&lt;&gt;"Não",Config!$Z$40&lt;&gt;"Não"),1,0)</f>
        <v>1</v>
      </c>
      <c r="I365" s="48">
        <f>IF(AND(Config!$Y$41&lt;&gt;"Não",Config!$Z$41&lt;&gt;"Não"),1,0)</f>
        <v>1</v>
      </c>
      <c r="J365" s="48">
        <f>IF(AND(Config!$Y$42&lt;&gt;"Não",Config!$Z$42&lt;&gt;"Não"),1,0)</f>
        <v>1</v>
      </c>
      <c r="K365" s="48">
        <f>IF(AND(Config!$Y$43&lt;&gt;"Não",Config!$Z$43&lt;&gt;"Não"),1,0)</f>
        <v>1</v>
      </c>
      <c r="L365" s="48">
        <f>IF(AND(Config!$Y$44&lt;&gt;"Não",Config!$Z$44&lt;&gt;"Não"),1,0)</f>
        <v>1</v>
      </c>
      <c r="M365" s="48">
        <f>IF(AND(Config!$Y$45&lt;&gt;"Não",Config!$Z$45&lt;&gt;"Não"),1,0)</f>
        <v>1</v>
      </c>
      <c r="N365" s="48">
        <f>IF(AND(Config!$Y$46&lt;&gt;"Não",Config!$Z$46&lt;&gt;"Não"),1,0)</f>
        <v>1</v>
      </c>
      <c r="O365" s="48">
        <f>IF(AND(Config!$Y$47&lt;&gt;"Não",Config!$Z$47&lt;&gt;"Não"),1,0)</f>
        <v>1</v>
      </c>
      <c r="P365" s="48">
        <f>IF(AND(Config!$Y$48&lt;&gt;"Não",Config!$Z$48&lt;&gt;"Não"),1,0)</f>
        <v>1</v>
      </c>
      <c r="Q365" s="48">
        <f>IF(AND(Config!$Y$49&lt;&gt;"Não",Config!$Z$49&lt;&gt;"Não"),1,0)</f>
        <v>1</v>
      </c>
      <c r="R365" s="48">
        <f>IF(AND(Config!$Y$50&lt;&gt;"Não",Config!$Z$50&lt;&gt;"Não"),1,0)</f>
        <v>1</v>
      </c>
      <c r="S365" s="48">
        <f>IF(AND(Config!$Y$51&lt;&gt;"Não",Config!$Z$51&lt;&gt;"Não"),1,0)</f>
        <v>1</v>
      </c>
      <c r="T365" s="48">
        <f>IF(AND(Config!$Y$52&lt;&gt;"Não",Config!$Z$52&lt;&gt;"Não"),1,0)</f>
        <v>1</v>
      </c>
      <c r="U365" s="48">
        <f>IF(AND(Config!$Y$53&lt;&gt;"Não",Config!$Z$53&lt;&gt;"Não"),1,0)</f>
        <v>1</v>
      </c>
      <c r="V365" s="48">
        <f>IF(AND(Config!$Y$54&lt;&gt;"Não",Config!$Z$54&lt;&gt;"Não"),1,0)</f>
        <v>1</v>
      </c>
    </row>
    <row r="366">
      <c r="A366" s="76" t="inlineStr">
        <is>
          <t xml:space="preserve">GENTE · Efetivo Op.</t>
        </is>
      </c>
      <c r="B366" s="49">
        <f>IF(OR($B$2="Todos",$C$2=2),1,IFERROR(INDEX($C$366:$V$366,MATCH($D$2,$C$341:$V$341,0)),1))</f>
        <v>1</v>
      </c>
      <c r="C366" s="48">
        <f>IF(Config!$AA$35&lt;&gt;"Não",1,0)</f>
        <v>1</v>
      </c>
      <c r="D366" s="48">
        <f>IF(Config!$AA$36&lt;&gt;"Não",1,0)</f>
        <v>1</v>
      </c>
      <c r="E366" s="48">
        <f>IF(Config!$AA$37&lt;&gt;"Não",1,0)</f>
        <v>1</v>
      </c>
      <c r="F366" s="48">
        <f>IF(Config!$AA$38&lt;&gt;"Não",1,0)</f>
        <v>1</v>
      </c>
      <c r="G366" s="48">
        <f>IF(Config!$AA$39&lt;&gt;"Não",1,0)</f>
        <v>1</v>
      </c>
      <c r="H366" s="48">
        <f>IF(Config!$AA$40&lt;&gt;"Não",1,0)</f>
        <v>1</v>
      </c>
      <c r="I366" s="48">
        <f>IF(Config!$AA$41&lt;&gt;"Não",1,0)</f>
        <v>1</v>
      </c>
      <c r="J366" s="48">
        <f>IF(Config!$AA$42&lt;&gt;"Não",1,0)</f>
        <v>1</v>
      </c>
      <c r="K366" s="48">
        <f>IF(Config!$AA$43&lt;&gt;"Não",1,0)</f>
        <v>1</v>
      </c>
      <c r="L366" s="48">
        <f>IF(Config!$AA$44&lt;&gt;"Não",1,0)</f>
        <v>1</v>
      </c>
      <c r="M366" s="48">
        <f>IF(Config!$AA$45&lt;&gt;"Não",1,0)</f>
        <v>1</v>
      </c>
      <c r="N366" s="48">
        <f>IF(Config!$AA$46&lt;&gt;"Não",1,0)</f>
        <v>1</v>
      </c>
      <c r="O366" s="48">
        <f>IF(Config!$AA$47&lt;&gt;"Não",1,0)</f>
        <v>1</v>
      </c>
      <c r="P366" s="48">
        <f>IF(Config!$AA$48&lt;&gt;"Não",1,0)</f>
        <v>1</v>
      </c>
      <c r="Q366" s="48">
        <f>IF(Config!$AA$49&lt;&gt;"Não",1,0)</f>
        <v>1</v>
      </c>
      <c r="R366" s="48">
        <f>IF(Config!$AA$50&lt;&gt;"Não",1,0)</f>
        <v>1</v>
      </c>
      <c r="S366" s="48">
        <f>IF(Config!$AA$51&lt;&gt;"Não",1,0)</f>
        <v>1</v>
      </c>
      <c r="T366" s="48">
        <f>IF(Config!$AA$52&lt;&gt;"Não",1,0)</f>
        <v>1</v>
      </c>
      <c r="U366" s="48">
        <f>IF(Config!$AA$53&lt;&gt;"Não",1,0)</f>
        <v>1</v>
      </c>
      <c r="V366" s="48">
        <f>IF(Config!$AA$54&lt;&gt;"Não",1,0)</f>
        <v>1</v>
      </c>
    </row>
    <row r="367">
      <c r="A367" s="76" t="inlineStr">
        <is>
          <t xml:space="preserve">GENTE · Falta</t>
        </is>
      </c>
      <c r="B367" s="49">
        <f>IF(OR($B$2="Todos",$C$2=2),1,IFERROR(INDEX($C$367:$V$367,MATCH($D$2,$C$341:$V$341,0)),1))</f>
        <v>1</v>
      </c>
      <c r="C367" s="48">
        <f>IF(Config!$AB$35&lt;&gt;"Não",1,0)</f>
        <v>1</v>
      </c>
      <c r="D367" s="48">
        <f>IF(Config!$AB$36&lt;&gt;"Não",1,0)</f>
        <v>1</v>
      </c>
      <c r="E367" s="48">
        <f>IF(Config!$AB$37&lt;&gt;"Não",1,0)</f>
        <v>1</v>
      </c>
      <c r="F367" s="48">
        <f>IF(Config!$AB$38&lt;&gt;"Não",1,0)</f>
        <v>1</v>
      </c>
      <c r="G367" s="48">
        <f>IF(Config!$AB$39&lt;&gt;"Não",1,0)</f>
        <v>1</v>
      </c>
      <c r="H367" s="48">
        <f>IF(Config!$AB$40&lt;&gt;"Não",1,0)</f>
        <v>1</v>
      </c>
      <c r="I367" s="48">
        <f>IF(Config!$AB$41&lt;&gt;"Não",1,0)</f>
        <v>1</v>
      </c>
      <c r="J367" s="48">
        <f>IF(Config!$AB$42&lt;&gt;"Não",1,0)</f>
        <v>1</v>
      </c>
      <c r="K367" s="48">
        <f>IF(Config!$AB$43&lt;&gt;"Não",1,0)</f>
        <v>1</v>
      </c>
      <c r="L367" s="48">
        <f>IF(Config!$AB$44&lt;&gt;"Não",1,0)</f>
        <v>1</v>
      </c>
      <c r="M367" s="48">
        <f>IF(Config!$AB$45&lt;&gt;"Não",1,0)</f>
        <v>1</v>
      </c>
      <c r="N367" s="48">
        <f>IF(Config!$AB$46&lt;&gt;"Não",1,0)</f>
        <v>1</v>
      </c>
      <c r="O367" s="48">
        <f>IF(Config!$AB$47&lt;&gt;"Não",1,0)</f>
        <v>1</v>
      </c>
      <c r="P367" s="48">
        <f>IF(Config!$AB$48&lt;&gt;"Não",1,0)</f>
        <v>1</v>
      </c>
      <c r="Q367" s="48">
        <f>IF(Config!$AB$49&lt;&gt;"Não",1,0)</f>
        <v>1</v>
      </c>
      <c r="R367" s="48">
        <f>IF(Config!$AB$50&lt;&gt;"Não",1,0)</f>
        <v>1</v>
      </c>
      <c r="S367" s="48">
        <f>IF(Config!$AB$51&lt;&gt;"Não",1,0)</f>
        <v>1</v>
      </c>
      <c r="T367" s="48">
        <f>IF(Config!$AB$52&lt;&gt;"Não",1,0)</f>
        <v>1</v>
      </c>
      <c r="U367" s="48">
        <f>IF(Config!$AB$53&lt;&gt;"Não",1,0)</f>
        <v>1</v>
      </c>
      <c r="V367" s="48">
        <f>IF(Config!$AB$54&lt;&gt;"Não",1,0)</f>
        <v>1</v>
      </c>
    </row>
    <row r="368">
      <c r="A368" s="76" t="inlineStr">
        <is>
          <t xml:space="preserve">GENTE · Absenteísmo (H/H)</t>
        </is>
      </c>
      <c r="B368" s="49">
        <f>IF(OR($B$2="Todos",$C$2=2),1,IFERROR(INDEX($C$368:$V$368,MATCH($D$2,$C$341:$V$341,0)),1))</f>
        <v>1</v>
      </c>
      <c r="C368" s="48">
        <f>IF(Config!$AC$35&lt;&gt;"Não",1,0)</f>
        <v>1</v>
      </c>
      <c r="D368" s="48">
        <f>IF(Config!$AC$36&lt;&gt;"Não",1,0)</f>
        <v>1</v>
      </c>
      <c r="E368" s="48">
        <f>IF(Config!$AC$37&lt;&gt;"Não",1,0)</f>
        <v>1</v>
      </c>
      <c r="F368" s="48">
        <f>IF(Config!$AC$38&lt;&gt;"Não",1,0)</f>
        <v>1</v>
      </c>
      <c r="G368" s="48">
        <f>IF(Config!$AC$39&lt;&gt;"Não",1,0)</f>
        <v>1</v>
      </c>
      <c r="H368" s="48">
        <f>IF(Config!$AC$40&lt;&gt;"Não",1,0)</f>
        <v>1</v>
      </c>
      <c r="I368" s="48">
        <f>IF(Config!$AC$41&lt;&gt;"Não",1,0)</f>
        <v>1</v>
      </c>
      <c r="J368" s="48">
        <f>IF(Config!$AC$42&lt;&gt;"Não",1,0)</f>
        <v>1</v>
      </c>
      <c r="K368" s="48">
        <f>IF(Config!$AC$43&lt;&gt;"Não",1,0)</f>
        <v>1</v>
      </c>
      <c r="L368" s="48">
        <f>IF(Config!$AC$44&lt;&gt;"Não",1,0)</f>
        <v>1</v>
      </c>
      <c r="M368" s="48">
        <f>IF(Config!$AC$45&lt;&gt;"Não",1,0)</f>
        <v>1</v>
      </c>
      <c r="N368" s="48">
        <f>IF(Config!$AC$46&lt;&gt;"Não",1,0)</f>
        <v>1</v>
      </c>
      <c r="O368" s="48">
        <f>IF(Config!$AC$47&lt;&gt;"Não",1,0)</f>
        <v>1</v>
      </c>
      <c r="P368" s="48">
        <f>IF(Config!$AC$48&lt;&gt;"Não",1,0)</f>
        <v>1</v>
      </c>
      <c r="Q368" s="48">
        <f>IF(Config!$AC$49&lt;&gt;"Não",1,0)</f>
        <v>1</v>
      </c>
      <c r="R368" s="48">
        <f>IF(Config!$AC$50&lt;&gt;"Não",1,0)</f>
        <v>1</v>
      </c>
      <c r="S368" s="48">
        <f>IF(Config!$AC$51&lt;&gt;"Não",1,0)</f>
        <v>1</v>
      </c>
      <c r="T368" s="48">
        <f>IF(Config!$AC$52&lt;&gt;"Não",1,0)</f>
        <v>1</v>
      </c>
      <c r="U368" s="48">
        <f>IF(Config!$AC$53&lt;&gt;"Não",1,0)</f>
        <v>1</v>
      </c>
      <c r="V368" s="48">
        <f>IF(Config!$AC$54&lt;&gt;"Não",1,0)</f>
        <v>1</v>
      </c>
    </row>
    <row r="369">
      <c r="A369" s="76" t="inlineStr">
        <is>
          <t xml:space="preserve">GENTE · Folga</t>
        </is>
      </c>
      <c r="B369" s="49">
        <f>IF(OR($B$2="Todos",$C$2=2),1,IFERROR(INDEX($C$369:$V$369,MATCH($D$2,$C$341:$V$341,0)),1))</f>
        <v>1</v>
      </c>
      <c r="C369" s="48">
        <f>IF(Config!$AD$35&lt;&gt;"Não",1,0)</f>
        <v>1</v>
      </c>
      <c r="D369" s="48">
        <f>IF(Config!$AD$36&lt;&gt;"Não",1,0)</f>
        <v>1</v>
      </c>
      <c r="E369" s="48">
        <f>IF(Config!$AD$37&lt;&gt;"Não",1,0)</f>
        <v>1</v>
      </c>
      <c r="F369" s="48">
        <f>IF(Config!$AD$38&lt;&gt;"Não",1,0)</f>
        <v>1</v>
      </c>
      <c r="G369" s="48">
        <f>IF(Config!$AD$39&lt;&gt;"Não",1,0)</f>
        <v>1</v>
      </c>
      <c r="H369" s="48">
        <f>IF(Config!$AD$40&lt;&gt;"Não",1,0)</f>
        <v>1</v>
      </c>
      <c r="I369" s="48">
        <f>IF(Config!$AD$41&lt;&gt;"Não",1,0)</f>
        <v>1</v>
      </c>
      <c r="J369" s="48">
        <f>IF(Config!$AD$42&lt;&gt;"Não",1,0)</f>
        <v>1</v>
      </c>
      <c r="K369" s="48">
        <f>IF(Config!$AD$43&lt;&gt;"Não",1,0)</f>
        <v>1</v>
      </c>
      <c r="L369" s="48">
        <f>IF(Config!$AD$44&lt;&gt;"Não",1,0)</f>
        <v>1</v>
      </c>
      <c r="M369" s="48">
        <f>IF(Config!$AD$45&lt;&gt;"Não",1,0)</f>
        <v>1</v>
      </c>
      <c r="N369" s="48">
        <f>IF(Config!$AD$46&lt;&gt;"Não",1,0)</f>
        <v>1</v>
      </c>
      <c r="O369" s="48">
        <f>IF(Config!$AD$47&lt;&gt;"Não",1,0)</f>
        <v>1</v>
      </c>
      <c r="P369" s="48">
        <f>IF(Config!$AD$48&lt;&gt;"Não",1,0)</f>
        <v>1</v>
      </c>
      <c r="Q369" s="48">
        <f>IF(Config!$AD$49&lt;&gt;"Não",1,0)</f>
        <v>1</v>
      </c>
      <c r="R369" s="48">
        <f>IF(Config!$AD$50&lt;&gt;"Não",1,0)</f>
        <v>1</v>
      </c>
      <c r="S369" s="48">
        <f>IF(Config!$AD$51&lt;&gt;"Não",1,0)</f>
        <v>1</v>
      </c>
      <c r="T369" s="48">
        <f>IF(Config!$AD$52&lt;&gt;"Não",1,0)</f>
        <v>1</v>
      </c>
      <c r="U369" s="48">
        <f>IF(Config!$AD$53&lt;&gt;"Não",1,0)</f>
        <v>1</v>
      </c>
      <c r="V369" s="48">
        <f>IF(Config!$AD$54&lt;&gt;"Não",1,0)</f>
        <v>1</v>
      </c>
    </row>
    <row r="370">
      <c r="A370" s="76" t="inlineStr">
        <is>
          <t xml:space="preserve">GENTE · Férias</t>
        </is>
      </c>
      <c r="B370" s="49">
        <f>IF(OR($B$2="Todos",$C$2=2),1,IFERROR(INDEX($C$370:$V$370,MATCH($D$2,$C$341:$V$341,0)),1))</f>
        <v>1</v>
      </c>
      <c r="C370" s="48">
        <f>IF(Config!$AE$35&lt;&gt;"Não",1,0)</f>
        <v>1</v>
      </c>
      <c r="D370" s="48">
        <f>IF(Config!$AE$36&lt;&gt;"Não",1,0)</f>
        <v>1</v>
      </c>
      <c r="E370" s="48">
        <f>IF(Config!$AE$37&lt;&gt;"Não",1,0)</f>
        <v>1</v>
      </c>
      <c r="F370" s="48">
        <f>IF(Config!$AE$38&lt;&gt;"Não",1,0)</f>
        <v>1</v>
      </c>
      <c r="G370" s="48">
        <f>IF(Config!$AE$39&lt;&gt;"Não",1,0)</f>
        <v>1</v>
      </c>
      <c r="H370" s="48">
        <f>IF(Config!$AE$40&lt;&gt;"Não",1,0)</f>
        <v>1</v>
      </c>
      <c r="I370" s="48">
        <f>IF(Config!$AE$41&lt;&gt;"Não",1,0)</f>
        <v>1</v>
      </c>
      <c r="J370" s="48">
        <f>IF(Config!$AE$42&lt;&gt;"Não",1,0)</f>
        <v>1</v>
      </c>
      <c r="K370" s="48">
        <f>IF(Config!$AE$43&lt;&gt;"Não",1,0)</f>
        <v>1</v>
      </c>
      <c r="L370" s="48">
        <f>IF(Config!$AE$44&lt;&gt;"Não",1,0)</f>
        <v>1</v>
      </c>
      <c r="M370" s="48">
        <f>IF(Config!$AE$45&lt;&gt;"Não",1,0)</f>
        <v>1</v>
      </c>
      <c r="N370" s="48">
        <f>IF(Config!$AE$46&lt;&gt;"Não",1,0)</f>
        <v>1</v>
      </c>
      <c r="O370" s="48">
        <f>IF(Config!$AE$47&lt;&gt;"Não",1,0)</f>
        <v>1</v>
      </c>
      <c r="P370" s="48">
        <f>IF(Config!$AE$48&lt;&gt;"Não",1,0)</f>
        <v>1</v>
      </c>
      <c r="Q370" s="48">
        <f>IF(Config!$AE$49&lt;&gt;"Não",1,0)</f>
        <v>1</v>
      </c>
      <c r="R370" s="48">
        <f>IF(Config!$AE$50&lt;&gt;"Não",1,0)</f>
        <v>1</v>
      </c>
      <c r="S370" s="48">
        <f>IF(Config!$AE$51&lt;&gt;"Não",1,0)</f>
        <v>1</v>
      </c>
      <c r="T370" s="48">
        <f>IF(Config!$AE$52&lt;&gt;"Não",1,0)</f>
        <v>1</v>
      </c>
      <c r="U370" s="48">
        <f>IF(Config!$AE$53&lt;&gt;"Não",1,0)</f>
        <v>1</v>
      </c>
      <c r="V370" s="48">
        <f>IF(Config!$AE$54&lt;&gt;"Não",1,0)</f>
        <v>1</v>
      </c>
    </row>
    <row r="371">
      <c r="A371" s="76" t="inlineStr">
        <is>
          <t xml:space="preserve">GENTE · Desligamento</t>
        </is>
      </c>
      <c r="B371" s="49">
        <f>IF(OR($B$2="Todos",$C$2=2),1,IFERROR(INDEX($C$371:$V$371,MATCH($D$2,$C$341:$V$341,0)),1))</f>
        <v>1</v>
      </c>
      <c r="C371" s="48">
        <f>IF(Config!$AF$35&lt;&gt;"Não",1,0)</f>
        <v>1</v>
      </c>
      <c r="D371" s="48">
        <f>IF(Config!$AF$36&lt;&gt;"Não",1,0)</f>
        <v>1</v>
      </c>
      <c r="E371" s="48">
        <f>IF(Config!$AF$37&lt;&gt;"Não",1,0)</f>
        <v>1</v>
      </c>
      <c r="F371" s="48">
        <f>IF(Config!$AF$38&lt;&gt;"Não",1,0)</f>
        <v>1</v>
      </c>
      <c r="G371" s="48">
        <f>IF(Config!$AF$39&lt;&gt;"Não",1,0)</f>
        <v>1</v>
      </c>
      <c r="H371" s="48">
        <f>IF(Config!$AF$40&lt;&gt;"Não",1,0)</f>
        <v>1</v>
      </c>
      <c r="I371" s="48">
        <f>IF(Config!$AF$41&lt;&gt;"Não",1,0)</f>
        <v>1</v>
      </c>
      <c r="J371" s="48">
        <f>IF(Config!$AF$42&lt;&gt;"Não",1,0)</f>
        <v>1</v>
      </c>
      <c r="K371" s="48">
        <f>IF(Config!$AF$43&lt;&gt;"Não",1,0)</f>
        <v>1</v>
      </c>
      <c r="L371" s="48">
        <f>IF(Config!$AF$44&lt;&gt;"Não",1,0)</f>
        <v>1</v>
      </c>
      <c r="M371" s="48">
        <f>IF(Config!$AF$45&lt;&gt;"Não",1,0)</f>
        <v>1</v>
      </c>
      <c r="N371" s="48">
        <f>IF(Config!$AF$46&lt;&gt;"Não",1,0)</f>
        <v>1</v>
      </c>
      <c r="O371" s="48">
        <f>IF(Config!$AF$47&lt;&gt;"Não",1,0)</f>
        <v>1</v>
      </c>
      <c r="P371" s="48">
        <f>IF(Config!$AF$48&lt;&gt;"Não",1,0)</f>
        <v>1</v>
      </c>
      <c r="Q371" s="48">
        <f>IF(Config!$AF$49&lt;&gt;"Não",1,0)</f>
        <v>1</v>
      </c>
      <c r="R371" s="48">
        <f>IF(Config!$AF$50&lt;&gt;"Não",1,0)</f>
        <v>1</v>
      </c>
      <c r="S371" s="48">
        <f>IF(Config!$AF$51&lt;&gt;"Não",1,0)</f>
        <v>1</v>
      </c>
      <c r="T371" s="48">
        <f>IF(Config!$AF$52&lt;&gt;"Não",1,0)</f>
        <v>1</v>
      </c>
      <c r="U371" s="48">
        <f>IF(Config!$AF$53&lt;&gt;"Não",1,0)</f>
        <v>1</v>
      </c>
      <c r="V371" s="48">
        <f>IF(Config!$AF$54&lt;&gt;"Não",1,0)</f>
        <v>1</v>
      </c>
    </row>
    <row r="372">
      <c r="A372" s="76" t="inlineStr">
        <is>
          <t xml:space="preserve">GENTE · Desvios Comportamentais</t>
        </is>
      </c>
      <c r="B372" s="49">
        <f>IF(OR($B$2="Todos",$C$2=2),1,IFERROR(INDEX($C$372:$V$372,MATCH($D$2,$C$341:$V$341,0)),1))</f>
        <v>1</v>
      </c>
      <c r="C372" s="48">
        <f>IF(Config!$AG$35&lt;&gt;"Não",1,0)</f>
        <v>1</v>
      </c>
      <c r="D372" s="48">
        <f>IF(Config!$AG$36&lt;&gt;"Não",1,0)</f>
        <v>1</v>
      </c>
      <c r="E372" s="48">
        <f>IF(Config!$AG$37&lt;&gt;"Não",1,0)</f>
        <v>1</v>
      </c>
      <c r="F372" s="48">
        <f>IF(Config!$AG$38&lt;&gt;"Não",1,0)</f>
        <v>1</v>
      </c>
      <c r="G372" s="48">
        <f>IF(Config!$AG$39&lt;&gt;"Não",1,0)</f>
        <v>1</v>
      </c>
      <c r="H372" s="48">
        <f>IF(Config!$AG$40&lt;&gt;"Não",1,0)</f>
        <v>1</v>
      </c>
      <c r="I372" s="48">
        <f>IF(Config!$AG$41&lt;&gt;"Não",1,0)</f>
        <v>1</v>
      </c>
      <c r="J372" s="48">
        <f>IF(Config!$AG$42&lt;&gt;"Não",1,0)</f>
        <v>1</v>
      </c>
      <c r="K372" s="48">
        <f>IF(Config!$AG$43&lt;&gt;"Não",1,0)</f>
        <v>1</v>
      </c>
      <c r="L372" s="48">
        <f>IF(Config!$AG$44&lt;&gt;"Não",1,0)</f>
        <v>1</v>
      </c>
      <c r="M372" s="48">
        <f>IF(Config!$AG$45&lt;&gt;"Não",1,0)</f>
        <v>1</v>
      </c>
      <c r="N372" s="48">
        <f>IF(Config!$AG$46&lt;&gt;"Não",1,0)</f>
        <v>1</v>
      </c>
      <c r="O372" s="48">
        <f>IF(Config!$AG$47&lt;&gt;"Não",1,0)</f>
        <v>1</v>
      </c>
      <c r="P372" s="48">
        <f>IF(Config!$AG$48&lt;&gt;"Não",1,0)</f>
        <v>1</v>
      </c>
      <c r="Q372" s="48">
        <f>IF(Config!$AG$49&lt;&gt;"Não",1,0)</f>
        <v>1</v>
      </c>
      <c r="R372" s="48">
        <f>IF(Config!$AG$50&lt;&gt;"Não",1,0)</f>
        <v>1</v>
      </c>
      <c r="S372" s="48">
        <f>IF(Config!$AG$51&lt;&gt;"Não",1,0)</f>
        <v>1</v>
      </c>
      <c r="T372" s="48">
        <f>IF(Config!$AG$52&lt;&gt;"Não",1,0)</f>
        <v>1</v>
      </c>
      <c r="U372" s="48">
        <f>IF(Config!$AG$53&lt;&gt;"Não",1,0)</f>
        <v>1</v>
      </c>
      <c r="V372" s="48">
        <f>IF(Config!$AG$54&lt;&gt;"Não",1,0)</f>
        <v>1</v>
      </c>
    </row>
    <row r="373">
      <c r="A373" s="76" t="inlineStr">
        <is>
          <t xml:space="preserve">GENTE · Acidentes CAF</t>
        </is>
      </c>
      <c r="B373" s="49">
        <f>IF(OR($B$2="Todos",$C$2=2),1,IFERROR(INDEX($C$373:$V$373,MATCH($D$2,$C$341:$V$341,0)),1))</f>
        <v>1</v>
      </c>
      <c r="C373" s="48">
        <f>IF(Config!$AH$35&lt;&gt;"Não",1,0)</f>
        <v>1</v>
      </c>
      <c r="D373" s="48">
        <f>IF(Config!$AH$36&lt;&gt;"Não",1,0)</f>
        <v>1</v>
      </c>
      <c r="E373" s="48">
        <f>IF(Config!$AH$37&lt;&gt;"Não",1,0)</f>
        <v>1</v>
      </c>
      <c r="F373" s="48">
        <f>IF(Config!$AH$38&lt;&gt;"Não",1,0)</f>
        <v>1</v>
      </c>
      <c r="G373" s="48">
        <f>IF(Config!$AH$39&lt;&gt;"Não",1,0)</f>
        <v>1</v>
      </c>
      <c r="H373" s="48">
        <f>IF(Config!$AH$40&lt;&gt;"Não",1,0)</f>
        <v>1</v>
      </c>
      <c r="I373" s="48">
        <f>IF(Config!$AH$41&lt;&gt;"Não",1,0)</f>
        <v>1</v>
      </c>
      <c r="J373" s="48">
        <f>IF(Config!$AH$42&lt;&gt;"Não",1,0)</f>
        <v>1</v>
      </c>
      <c r="K373" s="48">
        <f>IF(Config!$AH$43&lt;&gt;"Não",1,0)</f>
        <v>1</v>
      </c>
      <c r="L373" s="48">
        <f>IF(Config!$AH$44&lt;&gt;"Não",1,0)</f>
        <v>1</v>
      </c>
      <c r="M373" s="48">
        <f>IF(Config!$AH$45&lt;&gt;"Não",1,0)</f>
        <v>1</v>
      </c>
      <c r="N373" s="48">
        <f>IF(Config!$AH$46&lt;&gt;"Não",1,0)</f>
        <v>1</v>
      </c>
      <c r="O373" s="48">
        <f>IF(Config!$AH$47&lt;&gt;"Não",1,0)</f>
        <v>1</v>
      </c>
      <c r="P373" s="48">
        <f>IF(Config!$AH$48&lt;&gt;"Não",1,0)</f>
        <v>1</v>
      </c>
      <c r="Q373" s="48">
        <f>IF(Config!$AH$49&lt;&gt;"Não",1,0)</f>
        <v>1</v>
      </c>
      <c r="R373" s="48">
        <f>IF(Config!$AH$50&lt;&gt;"Não",1,0)</f>
        <v>1</v>
      </c>
      <c r="S373" s="48">
        <f>IF(Config!$AH$51&lt;&gt;"Não",1,0)</f>
        <v>1</v>
      </c>
      <c r="T373" s="48">
        <f>IF(Config!$AH$52&lt;&gt;"Não",1,0)</f>
        <v>1</v>
      </c>
      <c r="U373" s="48">
        <f>IF(Config!$AH$53&lt;&gt;"Não",1,0)</f>
        <v>1</v>
      </c>
      <c r="V373" s="48">
        <f>IF(Config!$AH$54&lt;&gt;"Não",1,0)</f>
        <v>1</v>
      </c>
    </row>
    <row r="374">
      <c r="A374" s="76" t="inlineStr">
        <is>
          <t xml:space="preserve">GENTE · Acidentes SAF</t>
        </is>
      </c>
      <c r="B374" s="49">
        <f>IF(OR($B$2="Todos",$C$2=2),1,IFERROR(INDEX($C$374:$V$374,MATCH($D$2,$C$341:$V$341,0)),1))</f>
        <v>1</v>
      </c>
      <c r="C374" s="48">
        <f>IF(Config!$AI$35&lt;&gt;"Não",1,0)</f>
        <v>1</v>
      </c>
      <c r="D374" s="48">
        <f>IF(Config!$AI$36&lt;&gt;"Não",1,0)</f>
        <v>1</v>
      </c>
      <c r="E374" s="48">
        <f>IF(Config!$AI$37&lt;&gt;"Não",1,0)</f>
        <v>1</v>
      </c>
      <c r="F374" s="48">
        <f>IF(Config!$AI$38&lt;&gt;"Não",1,0)</f>
        <v>1</v>
      </c>
      <c r="G374" s="48">
        <f>IF(Config!$AI$39&lt;&gt;"Não",1,0)</f>
        <v>1</v>
      </c>
      <c r="H374" s="48">
        <f>IF(Config!$AI$40&lt;&gt;"Não",1,0)</f>
        <v>1</v>
      </c>
      <c r="I374" s="48">
        <f>IF(Config!$AI$41&lt;&gt;"Não",1,0)</f>
        <v>1</v>
      </c>
      <c r="J374" s="48">
        <f>IF(Config!$AI$42&lt;&gt;"Não",1,0)</f>
        <v>1</v>
      </c>
      <c r="K374" s="48">
        <f>IF(Config!$AI$43&lt;&gt;"Não",1,0)</f>
        <v>1</v>
      </c>
      <c r="L374" s="48">
        <f>IF(Config!$AI$44&lt;&gt;"Não",1,0)</f>
        <v>1</v>
      </c>
      <c r="M374" s="48">
        <f>IF(Config!$AI$45&lt;&gt;"Não",1,0)</f>
        <v>1</v>
      </c>
      <c r="N374" s="48">
        <f>IF(Config!$AI$46&lt;&gt;"Não",1,0)</f>
        <v>1</v>
      </c>
      <c r="O374" s="48">
        <f>IF(Config!$AI$47&lt;&gt;"Não",1,0)</f>
        <v>1</v>
      </c>
      <c r="P374" s="48">
        <f>IF(Config!$AI$48&lt;&gt;"Não",1,0)</f>
        <v>1</v>
      </c>
      <c r="Q374" s="48">
        <f>IF(Config!$AI$49&lt;&gt;"Não",1,0)</f>
        <v>1</v>
      </c>
      <c r="R374" s="48">
        <f>IF(Config!$AI$50&lt;&gt;"Não",1,0)</f>
        <v>1</v>
      </c>
      <c r="S374" s="48">
        <f>IF(Config!$AI$51&lt;&gt;"Não",1,0)</f>
        <v>1</v>
      </c>
      <c r="T374" s="48">
        <f>IF(Config!$AI$52&lt;&gt;"Não",1,0)</f>
        <v>1</v>
      </c>
      <c r="U374" s="48">
        <f>IF(Config!$AI$53&lt;&gt;"Não",1,0)</f>
        <v>1</v>
      </c>
      <c r="V374" s="48">
        <f>IF(Config!$AI$54&lt;&gt;"Não",1,0)</f>
        <v>1</v>
      </c>
    </row>
  </sheetData>
  <sheetProtection password="CC78" sheet="1" objects="1" scenarios="1"/>
  <pageMargins left="0.25" right="0.2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Monitoramento diário de performance</dc:title>
  <dc:creator>IntraLog · Resumo operacional</dc:creator>
  <dcterms:created xsi:type="dcterms:W3CDTF">2026-10-05T13:27:16Z</dcterms:created>
</cp:coreProperties>
</file>